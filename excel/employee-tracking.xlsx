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JM\Documents\Data Analytics\data projects\employee turnover analysis\excel\"/>
    </mc:Choice>
  </mc:AlternateContent>
  <xr:revisionPtr revIDLastSave="0" documentId="13_ncr:1_{40219E0C-9C08-451D-AC7A-D159A6FBBF77}" xr6:coauthVersionLast="47" xr6:coauthVersionMax="47" xr10:uidLastSave="{00000000-0000-0000-0000-000000000000}"/>
  <bookViews>
    <workbookView xWindow="-108" yWindow="-108" windowWidth="23256" windowHeight="12456" xr2:uid="{953EE27E-DA74-44E2-9081-D2C0DF775A24}"/>
  </bookViews>
  <sheets>
    <sheet name="DASHBOARD" sheetId="3" r:id="rId1"/>
    <sheet name="PIVOT TABLES" sheetId="1" r:id="rId2"/>
    <sheet name="Employee Data" sheetId="2" r:id="rId3"/>
    <sheet name="helpers" sheetId="5" state="hidden" r:id="rId4"/>
  </sheets>
  <definedNames>
    <definedName name="Slicer_Department1">#N/A</definedName>
    <definedName name="TotalHeadcount_KPI">GETPIVOTDATA("Employee ID",'PIVOT TABLES'!$B$4)</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2" i="1" l="1"/>
  <c r="E33" i="1"/>
  <c r="E34" i="1"/>
  <c r="G34" i="1" s="1"/>
  <c r="E35" i="1"/>
  <c r="E36" i="1"/>
  <c r="E37" i="1"/>
  <c r="F37" i="1" s="1"/>
  <c r="H37" i="1" s="1"/>
  <c r="E38" i="1"/>
  <c r="E39" i="1"/>
  <c r="G39" i="1" s="1"/>
  <c r="E31" i="1"/>
  <c r="G32" i="1" s="1"/>
  <c r="M5" i="5"/>
  <c r="M7" i="5"/>
  <c r="M8" i="5"/>
  <c r="M9" i="5"/>
  <c r="M10" i="5"/>
  <c r="M11" i="5"/>
  <c r="M12" i="5"/>
  <c r="M13" i="5"/>
  <c r="M6" i="5"/>
  <c r="L5" i="5"/>
  <c r="X38" i="1"/>
  <c r="X37" i="1"/>
  <c r="W38" i="1"/>
  <c r="Y38" i="1" s="1"/>
  <c r="W34" i="1"/>
  <c r="Y34" i="1" s="1"/>
  <c r="W37" i="1"/>
  <c r="Y37" i="1" s="1"/>
  <c r="X36" i="1"/>
  <c r="X35" i="1"/>
  <c r="X34" i="1"/>
  <c r="X33" i="1"/>
  <c r="X32" i="1"/>
  <c r="X31" i="1"/>
  <c r="X30" i="1"/>
  <c r="X29" i="1"/>
  <c r="X28" i="1"/>
  <c r="X27" i="1"/>
  <c r="X25" i="1"/>
  <c r="X26" i="1"/>
  <c r="X24" i="1"/>
  <c r="X23" i="1"/>
  <c r="X22" i="1"/>
  <c r="X21" i="1"/>
  <c r="X20" i="1"/>
  <c r="X19" i="1"/>
  <c r="X18" i="1"/>
  <c r="X17" i="1"/>
  <c r="X16" i="1"/>
  <c r="X15" i="1"/>
  <c r="X14" i="1"/>
  <c r="X13" i="1"/>
  <c r="X12" i="1"/>
  <c r="X11" i="1"/>
  <c r="X10" i="1"/>
  <c r="X9" i="1"/>
  <c r="X6" i="1"/>
  <c r="X7" i="1"/>
  <c r="X8" i="1"/>
  <c r="X5" i="1"/>
  <c r="W35" i="1"/>
  <c r="Y35" i="1" s="1"/>
  <c r="W36" i="1"/>
  <c r="Y36" i="1" s="1"/>
  <c r="W33" i="1"/>
  <c r="Y33" i="1" s="1"/>
  <c r="W32" i="1"/>
  <c r="Y32" i="1" s="1"/>
  <c r="W31" i="1"/>
  <c r="Y31" i="1" s="1"/>
  <c r="W30" i="1"/>
  <c r="Y30" i="1" s="1"/>
  <c r="W29" i="1"/>
  <c r="Y29" i="1" s="1"/>
  <c r="W28" i="1"/>
  <c r="Y28" i="1" s="1"/>
  <c r="W27" i="1"/>
  <c r="Y27" i="1" s="1"/>
  <c r="W26" i="1"/>
  <c r="Y26" i="1" s="1"/>
  <c r="W25" i="1"/>
  <c r="Y25" i="1" s="1"/>
  <c r="W24" i="1"/>
  <c r="Y24" i="1" s="1"/>
  <c r="W23" i="1"/>
  <c r="Y23" i="1" s="1"/>
  <c r="W22" i="1"/>
  <c r="Y22" i="1" s="1"/>
  <c r="W21" i="1"/>
  <c r="Y21" i="1" s="1"/>
  <c r="W20" i="1"/>
  <c r="Y20" i="1" s="1"/>
  <c r="W19" i="1"/>
  <c r="Y19" i="1" s="1"/>
  <c r="W18" i="1"/>
  <c r="Y18" i="1" s="1"/>
  <c r="W17" i="1"/>
  <c r="Y17" i="1" s="1"/>
  <c r="W16" i="1"/>
  <c r="Y16" i="1" s="1"/>
  <c r="W15" i="1"/>
  <c r="Y15" i="1" s="1"/>
  <c r="W14" i="1"/>
  <c r="Y14" i="1" s="1"/>
  <c r="W13" i="1"/>
  <c r="Y13" i="1" s="1"/>
  <c r="W12" i="1"/>
  <c r="Y12" i="1" s="1"/>
  <c r="W11" i="1"/>
  <c r="Y11" i="1" s="1"/>
  <c r="W10" i="1"/>
  <c r="Y10" i="1" s="1"/>
  <c r="W9" i="1"/>
  <c r="Y9" i="1" s="1"/>
  <c r="W6" i="1"/>
  <c r="Y6" i="1" s="1"/>
  <c r="W8" i="1"/>
  <c r="Y8" i="1" s="1"/>
  <c r="W7" i="1"/>
  <c r="Y7" i="1" s="1"/>
  <c r="W5" i="1"/>
  <c r="Y5" i="1" s="1"/>
  <c r="Q2" i="2" a="1"/>
  <c r="Q2" i="2" s="1"/>
  <c r="Q3" i="2" a="1"/>
  <c r="Q3" i="2" s="1"/>
  <c r="L2" i="2"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s="1"/>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s="1"/>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L1002" i="2" a="1"/>
  <c r="L1002" i="2" s="1"/>
  <c r="L1003" i="2" a="1"/>
  <c r="L1003" i="2" s="1"/>
  <c r="L1004" i="2" a="1"/>
  <c r="L1004" i="2" s="1"/>
  <c r="L1005" i="2" a="1"/>
  <c r="L1005" i="2" s="1"/>
  <c r="L1006" i="2" a="1"/>
  <c r="L1006" i="2" s="1"/>
  <c r="L1007" i="2" a="1"/>
  <c r="L1007" i="2" s="1"/>
  <c r="L1008" i="2" a="1"/>
  <c r="L1008" i="2" s="1"/>
  <c r="L1009" i="2" a="1"/>
  <c r="L1009" i="2" s="1"/>
  <c r="L1010" i="2" a="1"/>
  <c r="L1010" i="2" s="1"/>
  <c r="L1011" i="2" a="1"/>
  <c r="L1011" i="2" s="1"/>
  <c r="L1012" i="2" a="1"/>
  <c r="L1012" i="2" s="1"/>
  <c r="L1013" i="2" a="1"/>
  <c r="L1013" i="2" s="1"/>
  <c r="L1014" i="2" a="1"/>
  <c r="L1014" i="2" s="1"/>
  <c r="L1015" i="2" a="1"/>
  <c r="L1015" i="2" s="1"/>
  <c r="L1016" i="2" a="1"/>
  <c r="L1016" i="2" s="1"/>
  <c r="L1017" i="2" a="1"/>
  <c r="L1017" i="2" s="1"/>
  <c r="L1018" i="2" a="1"/>
  <c r="L1018" i="2" s="1"/>
  <c r="L1019" i="2" a="1"/>
  <c r="L1019" i="2" s="1"/>
  <c r="L1020" i="2" a="1"/>
  <c r="L1020" i="2" s="1"/>
  <c r="L1021" i="2" a="1"/>
  <c r="L1021" i="2" s="1"/>
  <c r="L1022" i="2" a="1"/>
  <c r="L1022" i="2" s="1"/>
  <c r="L1023" i="2" a="1"/>
  <c r="L1023" i="2" s="1"/>
  <c r="L1024" i="2" a="1"/>
  <c r="L1024" i="2" s="1"/>
  <c r="L1025" i="2" a="1"/>
  <c r="L1025" i="2" s="1"/>
  <c r="L1026" i="2" a="1"/>
  <c r="L1026" i="2" s="1"/>
  <c r="L1027" i="2" a="1"/>
  <c r="L1027" i="2" s="1"/>
  <c r="L1028" i="2" a="1"/>
  <c r="L1028" i="2" s="1"/>
  <c r="L1029" i="2" a="1"/>
  <c r="L1029" i="2" s="1"/>
  <c r="L1030" i="2" a="1"/>
  <c r="L1030" i="2" s="1"/>
  <c r="L1031" i="2" a="1"/>
  <c r="L1031" i="2" s="1"/>
  <c r="L1032" i="2" a="1"/>
  <c r="L1032" i="2" s="1"/>
  <c r="L1033" i="2" a="1"/>
  <c r="L1033" i="2" s="1"/>
  <c r="L1034" i="2" a="1"/>
  <c r="L1034" i="2" s="1"/>
  <c r="L1035" i="2" a="1"/>
  <c r="L1035" i="2" s="1"/>
  <c r="L1036" i="2" a="1"/>
  <c r="L1036" i="2" s="1"/>
  <c r="L1037" i="2" a="1"/>
  <c r="L1037" i="2" s="1"/>
  <c r="L1038" i="2" a="1"/>
  <c r="L1038" i="2" s="1"/>
  <c r="L1039" i="2" a="1"/>
  <c r="L1039" i="2" s="1"/>
  <c r="L1040" i="2" a="1"/>
  <c r="L1040" i="2" s="1"/>
  <c r="L1041" i="2" a="1"/>
  <c r="L1041" i="2" s="1"/>
  <c r="L1042" i="2" a="1"/>
  <c r="L1042" i="2" s="1"/>
  <c r="L1043" i="2" a="1"/>
  <c r="L1043" i="2" s="1"/>
  <c r="L1044" i="2" a="1"/>
  <c r="L1044" i="2" s="1"/>
  <c r="L1045" i="2" a="1"/>
  <c r="L1045" i="2" s="1"/>
  <c r="L1046" i="2" a="1"/>
  <c r="L1046" i="2" s="1"/>
  <c r="L1047" i="2" a="1"/>
  <c r="L1047" i="2" s="1"/>
  <c r="L1048" i="2" a="1"/>
  <c r="L1048" i="2" s="1"/>
  <c r="L1049" i="2" a="1"/>
  <c r="L1049" i="2" s="1"/>
  <c r="L1050" i="2" a="1"/>
  <c r="L1050" i="2" s="1"/>
  <c r="L1051" i="2" a="1"/>
  <c r="L1051" i="2" s="1"/>
  <c r="L1052" i="2" a="1"/>
  <c r="L1052" i="2" s="1"/>
  <c r="L1053" i="2" a="1"/>
  <c r="L1053" i="2" s="1"/>
  <c r="L1054" i="2" a="1"/>
  <c r="L1054" i="2" s="1"/>
  <c r="L1055" i="2" a="1"/>
  <c r="L1055" i="2" s="1"/>
  <c r="L1056" i="2" a="1"/>
  <c r="L1056" i="2" s="1"/>
  <c r="L1057" i="2" a="1"/>
  <c r="L1057" i="2" s="1"/>
  <c r="L1058" i="2" a="1"/>
  <c r="L1058" i="2" s="1"/>
  <c r="L1059" i="2" a="1"/>
  <c r="L1059" i="2" s="1"/>
  <c r="L1060" i="2" a="1"/>
  <c r="L1060" i="2" s="1"/>
  <c r="L1061" i="2" a="1"/>
  <c r="L1061" i="2" s="1"/>
  <c r="L1062" i="2" a="1"/>
  <c r="L1062" i="2" s="1"/>
  <c r="L1063" i="2" a="1"/>
  <c r="L1063" i="2" s="1"/>
  <c r="L1064" i="2" a="1"/>
  <c r="L1064" i="2" s="1"/>
  <c r="L1065" i="2" a="1"/>
  <c r="L1065" i="2" s="1"/>
  <c r="L1066" i="2" a="1"/>
  <c r="L1066" i="2" s="1"/>
  <c r="L1067" i="2" a="1"/>
  <c r="L1067" i="2" s="1"/>
  <c r="L1068" i="2" a="1"/>
  <c r="L1068" i="2" s="1"/>
  <c r="L1069" i="2" a="1"/>
  <c r="L1069" i="2" s="1"/>
  <c r="L1070" i="2" a="1"/>
  <c r="L1070" i="2" s="1"/>
  <c r="L1071" i="2" a="1"/>
  <c r="L1071" i="2" s="1"/>
  <c r="L1072" i="2" a="1"/>
  <c r="L1072" i="2" s="1"/>
  <c r="L1073" i="2" a="1"/>
  <c r="L1073" i="2" s="1"/>
  <c r="L1074" i="2" a="1"/>
  <c r="L1074" i="2" s="1"/>
  <c r="L1075" i="2" a="1"/>
  <c r="L1075" i="2" s="1"/>
  <c r="L1076" i="2" a="1"/>
  <c r="L1076" i="2" s="1"/>
  <c r="L1077" i="2" a="1"/>
  <c r="L1077" i="2" s="1"/>
  <c r="L1078" i="2" a="1"/>
  <c r="L1078" i="2" s="1"/>
  <c r="L1079" i="2" a="1"/>
  <c r="L1079" i="2" s="1"/>
  <c r="L1080" i="2" a="1"/>
  <c r="L1080" i="2" s="1"/>
  <c r="L1081" i="2" a="1"/>
  <c r="L1081" i="2" s="1"/>
  <c r="L1082" i="2" a="1"/>
  <c r="L1082" i="2" s="1"/>
  <c r="F2" i="2" a="1"/>
  <c r="F2" i="2" s="1"/>
  <c r="F3" i="2"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510" i="2"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F570" i="2" a="1"/>
  <c r="F570" i="2" s="1"/>
  <c r="F571" i="2" a="1"/>
  <c r="F571" i="2" s="1"/>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587" i="2" a="1"/>
  <c r="F587" i="2" s="1"/>
  <c r="F588" i="2" a="1"/>
  <c r="F588" i="2" s="1"/>
  <c r="F589" i="2" a="1"/>
  <c r="F589" i="2" s="1"/>
  <c r="F590" i="2" a="1"/>
  <c r="F590" i="2" s="1"/>
  <c r="F591" i="2" a="1"/>
  <c r="F591" i="2" s="1"/>
  <c r="F592" i="2" a="1"/>
  <c r="F592" i="2" s="1"/>
  <c r="F593" i="2" a="1"/>
  <c r="F593" i="2" s="1"/>
  <c r="F594" i="2" a="1"/>
  <c r="F594" i="2" s="1"/>
  <c r="F595" i="2" a="1"/>
  <c r="F595" i="2" s="1"/>
  <c r="F596" i="2" a="1"/>
  <c r="F596" i="2" s="1"/>
  <c r="F597" i="2" a="1"/>
  <c r="F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s="1"/>
  <c r="F608" i="2" a="1"/>
  <c r="F608" i="2" s="1"/>
  <c r="F609" i="2" a="1"/>
  <c r="F609" i="2" s="1"/>
  <c r="F610" i="2" a="1"/>
  <c r="F610" i="2" s="1"/>
  <c r="F611" i="2" a="1"/>
  <c r="F611" i="2" s="1"/>
  <c r="F612" i="2" a="1"/>
  <c r="F612" i="2" s="1"/>
  <c r="F613" i="2" a="1"/>
  <c r="F613" i="2" s="1"/>
  <c r="F614" i="2" a="1"/>
  <c r="F614" i="2" s="1"/>
  <c r="F615" i="2" a="1"/>
  <c r="F615" i="2" s="1"/>
  <c r="F616" i="2" a="1"/>
  <c r="F616" i="2" s="1"/>
  <c r="F617" i="2" a="1"/>
  <c r="F617" i="2" s="1"/>
  <c r="F618" i="2" a="1"/>
  <c r="F618" i="2" s="1"/>
  <c r="F619" i="2" a="1"/>
  <c r="F619" i="2" s="1"/>
  <c r="F620" i="2" a="1"/>
  <c r="F620" i="2" s="1"/>
  <c r="F621" i="2" a="1"/>
  <c r="F621" i="2" s="1"/>
  <c r="F622" i="2" a="1"/>
  <c r="F622" i="2" s="1"/>
  <c r="F623" i="2" a="1"/>
  <c r="F623" i="2" s="1"/>
  <c r="F624" i="2" a="1"/>
  <c r="F624" i="2" s="1"/>
  <c r="F625" i="2" a="1"/>
  <c r="F625" i="2" s="1"/>
  <c r="F626" i="2" a="1"/>
  <c r="F626" i="2" s="1"/>
  <c r="F627" i="2" a="1"/>
  <c r="F627" i="2" s="1"/>
  <c r="F628" i="2" a="1"/>
  <c r="F628" i="2" s="1"/>
  <c r="F629" i="2" a="1"/>
  <c r="F629" i="2" s="1"/>
  <c r="F630" i="2" a="1"/>
  <c r="F630" i="2" s="1"/>
  <c r="F631" i="2" a="1"/>
  <c r="F631" i="2" s="1"/>
  <c r="F632" i="2" a="1"/>
  <c r="F632" i="2" s="1"/>
  <c r="F633" i="2" a="1"/>
  <c r="F633" i="2" s="1"/>
  <c r="F634" i="2" a="1"/>
  <c r="F634" i="2" s="1"/>
  <c r="F635" i="2" a="1"/>
  <c r="F635" i="2" s="1"/>
  <c r="F636" i="2" a="1"/>
  <c r="F636" i="2" s="1"/>
  <c r="F637" i="2" a="1"/>
  <c r="F637" i="2" s="1"/>
  <c r="F638" i="2" a="1"/>
  <c r="F638" i="2" s="1"/>
  <c r="F639" i="2" a="1"/>
  <c r="F639" i="2" s="1"/>
  <c r="F640" i="2" a="1"/>
  <c r="F640" i="2" s="1"/>
  <c r="F641" i="2" a="1"/>
  <c r="F641" i="2" s="1"/>
  <c r="F642" i="2" a="1"/>
  <c r="F642" i="2" s="1"/>
  <c r="F643" i="2" a="1"/>
  <c r="F643" i="2" s="1"/>
  <c r="F644" i="2" a="1"/>
  <c r="F644" i="2" s="1"/>
  <c r="F645" i="2" a="1"/>
  <c r="F645" i="2" s="1"/>
  <c r="F646" i="2" a="1"/>
  <c r="F646" i="2" s="1"/>
  <c r="F647" i="2" a="1"/>
  <c r="F647" i="2" s="1"/>
  <c r="F648" i="2" a="1"/>
  <c r="F648" i="2" s="1"/>
  <c r="F649" i="2" a="1"/>
  <c r="F649" i="2" s="1"/>
  <c r="F650" i="2" a="1"/>
  <c r="F650" i="2" s="1"/>
  <c r="F651" i="2" a="1"/>
  <c r="F651" i="2" s="1"/>
  <c r="F652" i="2" a="1"/>
  <c r="F652" i="2" s="1"/>
  <c r="F653" i="2" a="1"/>
  <c r="F653" i="2" s="1"/>
  <c r="F654" i="2" a="1"/>
  <c r="F654" i="2" s="1"/>
  <c r="F655" i="2" a="1"/>
  <c r="F655" i="2" s="1"/>
  <c r="F656" i="2" a="1"/>
  <c r="F656" i="2" s="1"/>
  <c r="F657" i="2" a="1"/>
  <c r="F657" i="2" s="1"/>
  <c r="F658" i="2" a="1"/>
  <c r="F658" i="2" s="1"/>
  <c r="F659" i="2" a="1"/>
  <c r="F659" i="2" s="1"/>
  <c r="F660" i="2" a="1"/>
  <c r="F660" i="2" s="1"/>
  <c r="F661" i="2" a="1"/>
  <c r="F661" i="2" s="1"/>
  <c r="F662" i="2" a="1"/>
  <c r="F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F693" i="2" a="1"/>
  <c r="F693" i="2" s="1"/>
  <c r="F694" i="2" a="1"/>
  <c r="F694" i="2" s="1"/>
  <c r="F695" i="2" a="1"/>
  <c r="F695" i="2" s="1"/>
  <c r="F696" i="2" a="1"/>
  <c r="F696" i="2" s="1"/>
  <c r="F697" i="2" a="1"/>
  <c r="F697" i="2" s="1"/>
  <c r="F698" i="2" a="1"/>
  <c r="F698" i="2" s="1"/>
  <c r="F699" i="2" a="1"/>
  <c r="F699" i="2" s="1"/>
  <c r="F700" i="2" a="1"/>
  <c r="F700" i="2" s="1"/>
  <c r="F701" i="2" a="1"/>
  <c r="F701" i="2" s="1"/>
  <c r="F702" i="2" a="1"/>
  <c r="F702" i="2" s="1"/>
  <c r="F703" i="2" a="1"/>
  <c r="F703" i="2" s="1"/>
  <c r="F704" i="2" a="1"/>
  <c r="F704" i="2" s="1"/>
  <c r="F705" i="2" a="1"/>
  <c r="F705" i="2" s="1"/>
  <c r="F706" i="2" a="1"/>
  <c r="F706" i="2" s="1"/>
  <c r="F707" i="2" a="1"/>
  <c r="F707" i="2" s="1"/>
  <c r="F708" i="2" a="1"/>
  <c r="F708" i="2" s="1"/>
  <c r="F709" i="2" a="1"/>
  <c r="F709" i="2" s="1"/>
  <c r="F710" i="2" a="1"/>
  <c r="F710" i="2" s="1"/>
  <c r="F711" i="2" a="1"/>
  <c r="F711" i="2" s="1"/>
  <c r="F712" i="2" a="1"/>
  <c r="F712" i="2" s="1"/>
  <c r="F713" i="2" a="1"/>
  <c r="F713" i="2" s="1"/>
  <c r="F714" i="2" a="1"/>
  <c r="F714" i="2" s="1"/>
  <c r="F715" i="2" a="1"/>
  <c r="F715" i="2" s="1"/>
  <c r="F716" i="2" a="1"/>
  <c r="F716" i="2" s="1"/>
  <c r="F717" i="2" a="1"/>
  <c r="F717" i="2" s="1"/>
  <c r="F718" i="2" a="1"/>
  <c r="F718" i="2" s="1"/>
  <c r="F719" i="2" a="1"/>
  <c r="F719" i="2" s="1"/>
  <c r="F720" i="2" a="1"/>
  <c r="F720" i="2" s="1"/>
  <c r="F721" i="2" a="1"/>
  <c r="F721" i="2" s="1"/>
  <c r="F722" i="2" a="1"/>
  <c r="F722" i="2" s="1"/>
  <c r="F723" i="2" a="1"/>
  <c r="F723" i="2" s="1"/>
  <c r="F724" i="2" a="1"/>
  <c r="F724" i="2" s="1"/>
  <c r="F725" i="2" a="1"/>
  <c r="F725" i="2" s="1"/>
  <c r="F726" i="2" a="1"/>
  <c r="F726" i="2" s="1"/>
  <c r="F727" i="2" a="1"/>
  <c r="F727" i="2" s="1"/>
  <c r="F728" i="2" a="1"/>
  <c r="F728" i="2" s="1"/>
  <c r="F729" i="2" a="1"/>
  <c r="F729" i="2" s="1"/>
  <c r="F730" i="2" a="1"/>
  <c r="F730" i="2" s="1"/>
  <c r="F731" i="2" a="1"/>
  <c r="F731" i="2" s="1"/>
  <c r="F732" i="2" a="1"/>
  <c r="F732" i="2" s="1"/>
  <c r="F733" i="2" a="1"/>
  <c r="F733" i="2" s="1"/>
  <c r="F734" i="2" a="1"/>
  <c r="F734" i="2" s="1"/>
  <c r="F735" i="2" a="1"/>
  <c r="F735" i="2" s="1"/>
  <c r="F736" i="2" a="1"/>
  <c r="F736" i="2" s="1"/>
  <c r="F737" i="2" a="1"/>
  <c r="F737" i="2" s="1"/>
  <c r="F738" i="2" a="1"/>
  <c r="F738" i="2" s="1"/>
  <c r="F739" i="2" a="1"/>
  <c r="F739" i="2" s="1"/>
  <c r="F740" i="2" a="1"/>
  <c r="F740" i="2" s="1"/>
  <c r="F741" i="2" a="1"/>
  <c r="F741" i="2" s="1"/>
  <c r="F742" i="2" a="1"/>
  <c r="F742" i="2" s="1"/>
  <c r="F743" i="2" a="1"/>
  <c r="F743" i="2" s="1"/>
  <c r="F744" i="2" a="1"/>
  <c r="F744" i="2" s="1"/>
  <c r="F745" i="2" a="1"/>
  <c r="F745" i="2" s="1"/>
  <c r="F746" i="2" a="1"/>
  <c r="F746" i="2" s="1"/>
  <c r="F747" i="2" a="1"/>
  <c r="F747" i="2" s="1"/>
  <c r="F748" i="2" a="1"/>
  <c r="F748" i="2" s="1"/>
  <c r="F749" i="2" a="1"/>
  <c r="F749" i="2" s="1"/>
  <c r="F750" i="2" a="1"/>
  <c r="F750" i="2" s="1"/>
  <c r="F751" i="2" a="1"/>
  <c r="F751" i="2" s="1"/>
  <c r="F752" i="2" a="1"/>
  <c r="F752" i="2" s="1"/>
  <c r="F753" i="2" a="1"/>
  <c r="F753" i="2" s="1"/>
  <c r="F754" i="2" a="1"/>
  <c r="F754" i="2" s="1"/>
  <c r="F755" i="2" a="1"/>
  <c r="F755" i="2" s="1"/>
  <c r="F756" i="2" a="1"/>
  <c r="F756" i="2" s="1"/>
  <c r="F757" i="2" a="1"/>
  <c r="F757" i="2" s="1"/>
  <c r="F758" i="2" a="1"/>
  <c r="F758" i="2" s="1"/>
  <c r="F759" i="2" a="1"/>
  <c r="F759" i="2" s="1"/>
  <c r="F760" i="2" a="1"/>
  <c r="F760" i="2" s="1"/>
  <c r="F761" i="2" a="1"/>
  <c r="F761" i="2" s="1"/>
  <c r="F762" i="2" a="1"/>
  <c r="F762" i="2" s="1"/>
  <c r="F763" i="2" a="1"/>
  <c r="F763" i="2" s="1"/>
  <c r="F764" i="2" a="1"/>
  <c r="F764" i="2" s="1"/>
  <c r="F765" i="2" a="1"/>
  <c r="F765" i="2" s="1"/>
  <c r="F766" i="2" a="1"/>
  <c r="F766" i="2" s="1"/>
  <c r="F767" i="2" a="1"/>
  <c r="F767" i="2" s="1"/>
  <c r="F768" i="2" a="1"/>
  <c r="F768" i="2" s="1"/>
  <c r="F769" i="2" a="1"/>
  <c r="F769" i="2" s="1"/>
  <c r="F770" i="2" a="1"/>
  <c r="F770" i="2" s="1"/>
  <c r="F771" i="2" a="1"/>
  <c r="F771" i="2" s="1"/>
  <c r="F772" i="2" a="1"/>
  <c r="F772" i="2" s="1"/>
  <c r="F773" i="2" a="1"/>
  <c r="F773" i="2" s="1"/>
  <c r="F774" i="2" a="1"/>
  <c r="F774" i="2" s="1"/>
  <c r="F775" i="2" a="1"/>
  <c r="F775" i="2" s="1"/>
  <c r="F776" i="2" a="1"/>
  <c r="F776" i="2" s="1"/>
  <c r="F777" i="2" a="1"/>
  <c r="F777" i="2" s="1"/>
  <c r="F778" i="2" a="1"/>
  <c r="F778" i="2" s="1"/>
  <c r="F779" i="2" a="1"/>
  <c r="F779" i="2" s="1"/>
  <c r="F780" i="2" a="1"/>
  <c r="F780" i="2" s="1"/>
  <c r="F781" i="2" a="1"/>
  <c r="F781" i="2"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F798" i="2" a="1"/>
  <c r="F798" i="2" s="1"/>
  <c r="F799" i="2" a="1"/>
  <c r="F799" i="2" s="1"/>
  <c r="F800" i="2" a="1"/>
  <c r="F800" i="2" s="1"/>
  <c r="F801" i="2" a="1"/>
  <c r="F801" i="2" s="1"/>
  <c r="F802" i="2" a="1"/>
  <c r="F802" i="2" s="1"/>
  <c r="F803" i="2" a="1"/>
  <c r="F803" i="2" s="1"/>
  <c r="F804" i="2" a="1"/>
  <c r="F804" i="2" s="1"/>
  <c r="F805" i="2" a="1"/>
  <c r="F805" i="2" s="1"/>
  <c r="F806" i="2" a="1"/>
  <c r="F806" i="2" s="1"/>
  <c r="F807" i="2" a="1"/>
  <c r="F807" i="2" s="1"/>
  <c r="F808" i="2" a="1"/>
  <c r="F808" i="2" s="1"/>
  <c r="F809" i="2" a="1"/>
  <c r="F809" i="2" s="1"/>
  <c r="F810" i="2" a="1"/>
  <c r="F810" i="2" s="1"/>
  <c r="F811" i="2" a="1"/>
  <c r="F811" i="2" s="1"/>
  <c r="F812" i="2" a="1"/>
  <c r="F812" i="2" s="1"/>
  <c r="F813" i="2" a="1"/>
  <c r="F813" i="2"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F830" i="2" a="1"/>
  <c r="F830" i="2" s="1"/>
  <c r="F831" i="2" a="1"/>
  <c r="F831" i="2" s="1"/>
  <c r="F832" i="2" a="1"/>
  <c r="F832" i="2" s="1"/>
  <c r="F833" i="2" a="1"/>
  <c r="F833" i="2" s="1"/>
  <c r="F834" i="2" a="1"/>
  <c r="F834" i="2" s="1"/>
  <c r="F835" i="2" a="1"/>
  <c r="F835" i="2" s="1"/>
  <c r="F836" i="2" a="1"/>
  <c r="F836" i="2" s="1"/>
  <c r="F837" i="2" a="1"/>
  <c r="F837" i="2"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F854" i="2" a="1"/>
  <c r="F854" i="2" s="1"/>
  <c r="F855" i="2" a="1"/>
  <c r="F855" i="2" s="1"/>
  <c r="F856" i="2" a="1"/>
  <c r="F856" i="2" s="1"/>
  <c r="F857" i="2" a="1"/>
  <c r="F857" i="2" s="1"/>
  <c r="F858" i="2" a="1"/>
  <c r="F858" i="2" s="1"/>
  <c r="F859" i="2" a="1"/>
  <c r="F859" i="2" s="1"/>
  <c r="F860" i="2" a="1"/>
  <c r="F860" i="2" s="1"/>
  <c r="F861" i="2" a="1"/>
  <c r="F861" i="2" s="1"/>
  <c r="F862" i="2" a="1"/>
  <c r="F862" i="2" s="1"/>
  <c r="F863" i="2" a="1"/>
  <c r="F863" i="2" s="1"/>
  <c r="F864" i="2" a="1"/>
  <c r="F864" i="2" s="1"/>
  <c r="F865" i="2" a="1"/>
  <c r="F865" i="2" s="1"/>
  <c r="F866" i="2" a="1"/>
  <c r="F866" i="2" s="1"/>
  <c r="F867" i="2" a="1"/>
  <c r="F867" i="2" s="1"/>
  <c r="F868" i="2" a="1"/>
  <c r="F868" i="2" s="1"/>
  <c r="F869" i="2" a="1"/>
  <c r="F869" i="2" s="1"/>
  <c r="F870" i="2" a="1"/>
  <c r="F870" i="2" s="1"/>
  <c r="F871" i="2" a="1"/>
  <c r="F871" i="2" s="1"/>
  <c r="F872" i="2" a="1"/>
  <c r="F872" i="2" s="1"/>
  <c r="F873" i="2" a="1"/>
  <c r="F873" i="2" s="1"/>
  <c r="F874" i="2" a="1"/>
  <c r="F874" i="2" s="1"/>
  <c r="F875" i="2" a="1"/>
  <c r="F875" i="2" s="1"/>
  <c r="F876" i="2" a="1"/>
  <c r="F876" i="2" s="1"/>
  <c r="F877" i="2" a="1"/>
  <c r="F877" i="2" s="1"/>
  <c r="F878" i="2" a="1"/>
  <c r="F878" i="2" s="1"/>
  <c r="F879" i="2" a="1"/>
  <c r="F879" i="2" s="1"/>
  <c r="F880" i="2" a="1"/>
  <c r="F880" i="2" s="1"/>
  <c r="F881" i="2" a="1"/>
  <c r="F881" i="2" s="1"/>
  <c r="F882" i="2" a="1"/>
  <c r="F882" i="2" s="1"/>
  <c r="F883" i="2" a="1"/>
  <c r="F883" i="2" s="1"/>
  <c r="F884" i="2" a="1"/>
  <c r="F884" i="2" s="1"/>
  <c r="F885" i="2" a="1"/>
  <c r="F885" i="2" s="1"/>
  <c r="F886" i="2" a="1"/>
  <c r="F886" i="2" s="1"/>
  <c r="F887" i="2" a="1"/>
  <c r="F887" i="2" s="1"/>
  <c r="F888" i="2" a="1"/>
  <c r="F888" i="2" s="1"/>
  <c r="F889" i="2" a="1"/>
  <c r="F889" i="2" s="1"/>
  <c r="F890" i="2" a="1"/>
  <c r="F890" i="2" s="1"/>
  <c r="F891" i="2" a="1"/>
  <c r="F891" i="2" s="1"/>
  <c r="F892" i="2" a="1"/>
  <c r="F892" i="2" s="1"/>
  <c r="F893" i="2" a="1"/>
  <c r="F893" i="2" s="1"/>
  <c r="F894" i="2" a="1"/>
  <c r="F894" i="2" s="1"/>
  <c r="F895" i="2" a="1"/>
  <c r="F895" i="2" s="1"/>
  <c r="F896" i="2" a="1"/>
  <c r="F896" i="2" s="1"/>
  <c r="F897" i="2" a="1"/>
  <c r="F897" i="2" s="1"/>
  <c r="F898" i="2" a="1"/>
  <c r="F898" i="2" s="1"/>
  <c r="F899" i="2" a="1"/>
  <c r="F899" i="2" s="1"/>
  <c r="F900" i="2" a="1"/>
  <c r="F900" i="2" s="1"/>
  <c r="F901" i="2" a="1"/>
  <c r="F901" i="2" s="1"/>
  <c r="F902" i="2" a="1"/>
  <c r="F902" i="2" s="1"/>
  <c r="F903" i="2" a="1"/>
  <c r="F903" i="2" s="1"/>
  <c r="F904" i="2" a="1"/>
  <c r="F904" i="2" s="1"/>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F916" i="2" a="1"/>
  <c r="F916" i="2" s="1"/>
  <c r="F917" i="2" a="1"/>
  <c r="F917" i="2" s="1"/>
  <c r="F918" i="2" a="1"/>
  <c r="F918" i="2" s="1"/>
  <c r="F919" i="2" a="1"/>
  <c r="F919" i="2" s="1"/>
  <c r="F920" i="2" a="1"/>
  <c r="F920" i="2" s="1"/>
  <c r="F921" i="2" a="1"/>
  <c r="F921" i="2" s="1"/>
  <c r="F922" i="2" a="1"/>
  <c r="F922" i="2" s="1"/>
  <c r="F923" i="2" a="1"/>
  <c r="F923" i="2" s="1"/>
  <c r="F924" i="2" a="1"/>
  <c r="F924" i="2" s="1"/>
  <c r="F925" i="2" a="1"/>
  <c r="F925" i="2" s="1"/>
  <c r="F926" i="2" a="1"/>
  <c r="F926" i="2" s="1"/>
  <c r="F927" i="2" a="1"/>
  <c r="F927" i="2" s="1"/>
  <c r="F928" i="2" a="1"/>
  <c r="F928" i="2" s="1"/>
  <c r="F929" i="2" a="1"/>
  <c r="F929" i="2" s="1"/>
  <c r="F930" i="2" a="1"/>
  <c r="F930" i="2" s="1"/>
  <c r="F931" i="2" a="1"/>
  <c r="F931" i="2" s="1"/>
  <c r="F932" i="2" a="1"/>
  <c r="F932" i="2" s="1"/>
  <c r="F933" i="2" a="1"/>
  <c r="F933" i="2" s="1"/>
  <c r="F934" i="2" a="1"/>
  <c r="F934" i="2" s="1"/>
  <c r="F935" i="2" a="1"/>
  <c r="F935" i="2" s="1"/>
  <c r="F936" i="2" a="1"/>
  <c r="F936" i="2" s="1"/>
  <c r="F937" i="2" a="1"/>
  <c r="F937" i="2" s="1"/>
  <c r="F938" i="2" a="1"/>
  <c r="F938" i="2" s="1"/>
  <c r="F939" i="2" a="1"/>
  <c r="F939" i="2" s="1"/>
  <c r="F940" i="2" a="1"/>
  <c r="F940" i="2" s="1"/>
  <c r="F941" i="2" a="1"/>
  <c r="F941" i="2" s="1"/>
  <c r="F942" i="2" a="1"/>
  <c r="F942" i="2" s="1"/>
  <c r="F943" i="2" a="1"/>
  <c r="F943" i="2" s="1"/>
  <c r="F944" i="2" a="1"/>
  <c r="F944" i="2" s="1"/>
  <c r="F945" i="2" a="1"/>
  <c r="F945" i="2" s="1"/>
  <c r="F946" i="2" a="1"/>
  <c r="F946" i="2" s="1"/>
  <c r="F947" i="2" a="1"/>
  <c r="F947" i="2" s="1"/>
  <c r="F948" i="2" a="1"/>
  <c r="F948" i="2" s="1"/>
  <c r="F949" i="2" a="1"/>
  <c r="F949" i="2" s="1"/>
  <c r="F950" i="2" a="1"/>
  <c r="F950" i="2" s="1"/>
  <c r="F951" i="2" a="1"/>
  <c r="F951" i="2" s="1"/>
  <c r="F952" i="2" a="1"/>
  <c r="F952" i="2" s="1"/>
  <c r="F953" i="2" a="1"/>
  <c r="F953" i="2" s="1"/>
  <c r="F954" i="2" a="1"/>
  <c r="F954" i="2" s="1"/>
  <c r="F955" i="2" a="1"/>
  <c r="F955" i="2" s="1"/>
  <c r="F956" i="2" a="1"/>
  <c r="F956" i="2" s="1"/>
  <c r="F957" i="2" a="1"/>
  <c r="F957" i="2" s="1"/>
  <c r="F958" i="2" a="1"/>
  <c r="F958" i="2" s="1"/>
  <c r="F959" i="2" a="1"/>
  <c r="F959" i="2" s="1"/>
  <c r="F960" i="2" a="1"/>
  <c r="F960" i="2" s="1"/>
  <c r="F961" i="2" a="1"/>
  <c r="F961" i="2" s="1"/>
  <c r="F962" i="2" a="1"/>
  <c r="F962" i="2" s="1"/>
  <c r="F963" i="2" a="1"/>
  <c r="F963" i="2" s="1"/>
  <c r="F964" i="2" a="1"/>
  <c r="F964" i="2" s="1"/>
  <c r="F965" i="2" a="1"/>
  <c r="F965" i="2" s="1"/>
  <c r="F966" i="2" a="1"/>
  <c r="F966" i="2" s="1"/>
  <c r="F967" i="2" a="1"/>
  <c r="F967" i="2" s="1"/>
  <c r="F968" i="2" a="1"/>
  <c r="F968" i="2" s="1"/>
  <c r="F969" i="2" a="1"/>
  <c r="F969" i="2" s="1"/>
  <c r="F970" i="2" a="1"/>
  <c r="F970" i="2" s="1"/>
  <c r="F971" i="2" a="1"/>
  <c r="F971" i="2" s="1"/>
  <c r="F972" i="2" a="1"/>
  <c r="F972" i="2" s="1"/>
  <c r="F973" i="2" a="1"/>
  <c r="F973" i="2" s="1"/>
  <c r="F974" i="2" a="1"/>
  <c r="F974" i="2" s="1"/>
  <c r="F975" i="2" a="1"/>
  <c r="F975" i="2" s="1"/>
  <c r="F976" i="2" a="1"/>
  <c r="F976" i="2" s="1"/>
  <c r="F977" i="2" a="1"/>
  <c r="F977" i="2" s="1"/>
  <c r="F978" i="2" a="1"/>
  <c r="F978" i="2" s="1"/>
  <c r="F979" i="2" a="1"/>
  <c r="F979" i="2" s="1"/>
  <c r="F980" i="2" a="1"/>
  <c r="F980" i="2" s="1"/>
  <c r="F981" i="2" a="1"/>
  <c r="F981" i="2" s="1"/>
  <c r="F982" i="2" a="1"/>
  <c r="F982" i="2" s="1"/>
  <c r="F983" i="2" a="1"/>
  <c r="F983" i="2" s="1"/>
  <c r="F984" i="2" a="1"/>
  <c r="F984" i="2" s="1"/>
  <c r="F985" i="2" a="1"/>
  <c r="F985" i="2" s="1"/>
  <c r="F986" i="2" a="1"/>
  <c r="F986" i="2" s="1"/>
  <c r="F987" i="2" a="1"/>
  <c r="F987" i="2" s="1"/>
  <c r="F988" i="2" a="1"/>
  <c r="F988" i="2" s="1"/>
  <c r="F989" i="2" a="1"/>
  <c r="F989" i="2" s="1"/>
  <c r="F990" i="2" a="1"/>
  <c r="F990" i="2" s="1"/>
  <c r="F991" i="2" a="1"/>
  <c r="F991" i="2" s="1"/>
  <c r="F992" i="2" a="1"/>
  <c r="F992" i="2" s="1"/>
  <c r="F993" i="2" a="1"/>
  <c r="F993" i="2" s="1"/>
  <c r="F994" i="2" a="1"/>
  <c r="F994" i="2" s="1"/>
  <c r="F995" i="2" a="1"/>
  <c r="F995" i="2" s="1"/>
  <c r="F996" i="2" a="1"/>
  <c r="F996" i="2" s="1"/>
  <c r="F997" i="2" a="1"/>
  <c r="F997" i="2" s="1"/>
  <c r="F998" i="2" a="1"/>
  <c r="F998" i="2" s="1"/>
  <c r="F999" i="2" a="1"/>
  <c r="F999" i="2" s="1"/>
  <c r="F1000" i="2" a="1"/>
  <c r="F1000" i="2" s="1"/>
  <c r="F1001" i="2" a="1"/>
  <c r="F1001" i="2" s="1"/>
  <c r="F1002" i="2" a="1"/>
  <c r="F1002" i="2" s="1"/>
  <c r="F1003" i="2" a="1"/>
  <c r="F1003" i="2" s="1"/>
  <c r="F1004" i="2" a="1"/>
  <c r="F1004" i="2" s="1"/>
  <c r="F1005" i="2" a="1"/>
  <c r="F1005" i="2" s="1"/>
  <c r="F1006" i="2" a="1"/>
  <c r="F1006" i="2" s="1"/>
  <c r="F1007" i="2" a="1"/>
  <c r="F1007" i="2" s="1"/>
  <c r="F1008" i="2" a="1"/>
  <c r="F1008" i="2" s="1"/>
  <c r="F1009" i="2" a="1"/>
  <c r="F1009" i="2" s="1"/>
  <c r="F1010" i="2" a="1"/>
  <c r="F1010" i="2" s="1"/>
  <c r="F1011" i="2" a="1"/>
  <c r="F1011" i="2" s="1"/>
  <c r="F1012" i="2" a="1"/>
  <c r="F1012" i="2" s="1"/>
  <c r="F1013" i="2" a="1"/>
  <c r="F1013" i="2" s="1"/>
  <c r="F1014" i="2" a="1"/>
  <c r="F1014" i="2" s="1"/>
  <c r="F1015" i="2" a="1"/>
  <c r="F1015" i="2" s="1"/>
  <c r="F1016" i="2" a="1"/>
  <c r="F1016" i="2" s="1"/>
  <c r="F1017" i="2" a="1"/>
  <c r="F1017" i="2" s="1"/>
  <c r="F1018" i="2" a="1"/>
  <c r="F1018" i="2" s="1"/>
  <c r="F1019" i="2" a="1"/>
  <c r="F1019" i="2" s="1"/>
  <c r="F1020" i="2" a="1"/>
  <c r="F1020" i="2" s="1"/>
  <c r="F1021" i="2" a="1"/>
  <c r="F1021" i="2" s="1"/>
  <c r="F1022" i="2" a="1"/>
  <c r="F1022" i="2" s="1"/>
  <c r="F1023" i="2" a="1"/>
  <c r="F1023" i="2" s="1"/>
  <c r="F1024" i="2" a="1"/>
  <c r="F1024" i="2" s="1"/>
  <c r="F1025" i="2" a="1"/>
  <c r="F1025" i="2" s="1"/>
  <c r="F1026" i="2" a="1"/>
  <c r="F1026" i="2" s="1"/>
  <c r="F1027" i="2" a="1"/>
  <c r="F1027" i="2" s="1"/>
  <c r="F1028" i="2" a="1"/>
  <c r="F1028" i="2" s="1"/>
  <c r="F1029" i="2" a="1"/>
  <c r="F1029" i="2" s="1"/>
  <c r="F1030" i="2" a="1"/>
  <c r="F1030" i="2" s="1"/>
  <c r="F1031" i="2" a="1"/>
  <c r="F1031" i="2" s="1"/>
  <c r="F1032" i="2" a="1"/>
  <c r="F1032" i="2" s="1"/>
  <c r="F1033" i="2" a="1"/>
  <c r="F1033" i="2" s="1"/>
  <c r="F1034" i="2" a="1"/>
  <c r="F1034" i="2" s="1"/>
  <c r="F1035" i="2" a="1"/>
  <c r="F1035" i="2" s="1"/>
  <c r="F1036" i="2" a="1"/>
  <c r="F1036" i="2" s="1"/>
  <c r="F1037" i="2" a="1"/>
  <c r="F1037" i="2" s="1"/>
  <c r="F1038" i="2" a="1"/>
  <c r="F1038" i="2" s="1"/>
  <c r="F1039" i="2" a="1"/>
  <c r="F1039" i="2" s="1"/>
  <c r="F1040" i="2" a="1"/>
  <c r="F1040" i="2" s="1"/>
  <c r="F1041" i="2" a="1"/>
  <c r="F1041" i="2" s="1"/>
  <c r="F1042" i="2" a="1"/>
  <c r="F1042" i="2" s="1"/>
  <c r="F1043" i="2" a="1"/>
  <c r="F1043" i="2" s="1"/>
  <c r="F1044" i="2" a="1"/>
  <c r="F1044" i="2" s="1"/>
  <c r="F1045" i="2" a="1"/>
  <c r="F1045" i="2" s="1"/>
  <c r="F1046" i="2" a="1"/>
  <c r="F1046" i="2" s="1"/>
  <c r="F1047" i="2" a="1"/>
  <c r="F1047" i="2" s="1"/>
  <c r="F1048" i="2" a="1"/>
  <c r="F1048" i="2" s="1"/>
  <c r="F1049" i="2" a="1"/>
  <c r="F1049" i="2" s="1"/>
  <c r="F1050" i="2" a="1"/>
  <c r="F1050" i="2" s="1"/>
  <c r="F1051" i="2" a="1"/>
  <c r="F1051" i="2" s="1"/>
  <c r="F1052" i="2" a="1"/>
  <c r="F1052" i="2" s="1"/>
  <c r="F1053" i="2" a="1"/>
  <c r="F1053" i="2" s="1"/>
  <c r="F1054" i="2" a="1"/>
  <c r="F1054" i="2" s="1"/>
  <c r="F1055" i="2" a="1"/>
  <c r="F1055" i="2" s="1"/>
  <c r="F1056" i="2" a="1"/>
  <c r="F1056" i="2" s="1"/>
  <c r="F1057" i="2" a="1"/>
  <c r="F1057" i="2" s="1"/>
  <c r="F1058" i="2" a="1"/>
  <c r="F1058" i="2" s="1"/>
  <c r="F1059" i="2" a="1"/>
  <c r="F1059" i="2" s="1"/>
  <c r="F1060" i="2" a="1"/>
  <c r="F1060" i="2" s="1"/>
  <c r="F1061" i="2" a="1"/>
  <c r="F1061" i="2" s="1"/>
  <c r="F1062" i="2" a="1"/>
  <c r="F1062" i="2" s="1"/>
  <c r="F1063" i="2" a="1"/>
  <c r="F1063" i="2" s="1"/>
  <c r="F1064" i="2" a="1"/>
  <c r="F1064" i="2" s="1"/>
  <c r="F1065" i="2" a="1"/>
  <c r="F1065" i="2" s="1"/>
  <c r="F1066" i="2" a="1"/>
  <c r="F1066" i="2" s="1"/>
  <c r="F1067" i="2" a="1"/>
  <c r="F1067" i="2" s="1"/>
  <c r="F1068" i="2" a="1"/>
  <c r="F1068" i="2" s="1"/>
  <c r="F1069" i="2" a="1"/>
  <c r="F1069" i="2" s="1"/>
  <c r="F1070" i="2" a="1"/>
  <c r="F1070" i="2" s="1"/>
  <c r="F1071" i="2" a="1"/>
  <c r="F1071" i="2" s="1"/>
  <c r="F1072" i="2" a="1"/>
  <c r="F1072" i="2" s="1"/>
  <c r="F1073" i="2" a="1"/>
  <c r="F1073" i="2" s="1"/>
  <c r="F1074" i="2" a="1"/>
  <c r="F1074" i="2" s="1"/>
  <c r="F1075" i="2" a="1"/>
  <c r="F1075" i="2" s="1"/>
  <c r="F1076" i="2" a="1"/>
  <c r="F1076" i="2" s="1"/>
  <c r="F1077" i="2" a="1"/>
  <c r="F1077" i="2" s="1"/>
  <c r="F1078" i="2" a="1"/>
  <c r="F1078" i="2" s="1"/>
  <c r="F1079" i="2" a="1"/>
  <c r="F1079" i="2" s="1"/>
  <c r="F1080" i="2" a="1"/>
  <c r="F1080" i="2" s="1"/>
  <c r="F1081" i="2" a="1"/>
  <c r="F1081" i="2" s="1"/>
  <c r="F1082" i="2" a="1"/>
  <c r="F1082"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s="1"/>
  <c r="Q398" i="2" a="1"/>
  <c r="Q398" i="2" s="1"/>
  <c r="Q399" i="2" a="1"/>
  <c r="Q399" i="2" s="1"/>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s="1"/>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s="1"/>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s="1"/>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s="1"/>
  <c r="Q643" i="2" a="1"/>
  <c r="Q643" i="2" s="1"/>
  <c r="Q644" i="2" a="1"/>
  <c r="Q644" i="2" s="1"/>
  <c r="Q645" i="2" a="1"/>
  <c r="Q645" i="2" s="1"/>
  <c r="Q646" i="2" a="1"/>
  <c r="Q646" i="2" s="1"/>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s="1"/>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s="1"/>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s="1"/>
  <c r="Q722" i="2" a="1"/>
  <c r="Q722" i="2" s="1"/>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s="1"/>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s="1"/>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s="1"/>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s="1"/>
  <c r="Q839" i="2" a="1"/>
  <c r="Q839" i="2" s="1"/>
  <c r="Q840" i="2" a="1"/>
  <c r="Q840" i="2" s="1"/>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s="1"/>
  <c r="Q853" i="2" a="1"/>
  <c r="Q853" i="2" s="1"/>
  <c r="Q854" i="2" a="1"/>
  <c r="Q854" i="2" s="1"/>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s="1"/>
  <c r="Q887" i="2" a="1"/>
  <c r="Q887" i="2" s="1"/>
  <c r="Q888" i="2" a="1"/>
  <c r="Q888" i="2" s="1"/>
  <c r="Q889" i="2" a="1"/>
  <c r="Q889" i="2" s="1"/>
  <c r="Q890" i="2" a="1"/>
  <c r="Q890" i="2" s="1"/>
  <c r="Q891" i="2" a="1"/>
  <c r="Q891" i="2" s="1"/>
  <c r="Q892" i="2" a="1"/>
  <c r="Q892" i="2" s="1"/>
  <c r="Q893" i="2" a="1"/>
  <c r="Q893" i="2" s="1"/>
  <c r="Q894" i="2" a="1"/>
  <c r="Q894" i="2" s="1"/>
  <c r="Q895" i="2" a="1"/>
  <c r="Q895" i="2" s="1"/>
  <c r="Q896" i="2" a="1"/>
  <c r="Q896" i="2" s="1"/>
  <c r="Q897" i="2" a="1"/>
  <c r="Q897" i="2" s="1"/>
  <c r="Q898" i="2" a="1"/>
  <c r="Q898" i="2" s="1"/>
  <c r="Q899" i="2" a="1"/>
  <c r="Q899" i="2" s="1"/>
  <c r="Q900" i="2" a="1"/>
  <c r="Q900" i="2" s="1"/>
  <c r="Q901" i="2" a="1"/>
  <c r="Q901" i="2" s="1"/>
  <c r="Q902" i="2" a="1"/>
  <c r="Q902" i="2" s="1"/>
  <c r="Q903" i="2" a="1"/>
  <c r="Q903" i="2" s="1"/>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s="1"/>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s="1"/>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4" i="2" a="1"/>
  <c r="Q4" i="2" s="1"/>
  <c r="Q5" i="2" a="1"/>
  <c r="Q5" i="2" s="1"/>
  <c r="Q6" i="2" a="1"/>
  <c r="Q6" i="2" s="1"/>
  <c r="Q7" i="2" a="1"/>
  <c r="Q7" i="2" s="1"/>
  <c r="Q8" i="2" a="1"/>
  <c r="Q8" i="2" s="1"/>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K1004" i="2" a="1"/>
  <c r="K1004" i="2" s="1"/>
  <c r="K1005" i="2" a="1"/>
  <c r="K1005" i="2" s="1"/>
  <c r="K1006" i="2" a="1"/>
  <c r="K1006" i="2" s="1"/>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s="1"/>
  <c r="K1017" i="2" a="1"/>
  <c r="K1017" i="2" s="1"/>
  <c r="K1018" i="2" a="1"/>
  <c r="K1018" i="2" s="1"/>
  <c r="K1019" i="2" a="1"/>
  <c r="K1019" i="2" s="1"/>
  <c r="K1020" i="2" a="1"/>
  <c r="K1020" i="2" s="1"/>
  <c r="K1021" i="2" a="1"/>
  <c r="K1021" i="2" s="1"/>
  <c r="K1022" i="2" a="1"/>
  <c r="K1022" i="2" s="1"/>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s="1"/>
  <c r="K1033" i="2" a="1"/>
  <c r="K1033" i="2" s="1"/>
  <c r="K1034" i="2" a="1"/>
  <c r="K1034" i="2" s="1"/>
  <c r="K1035" i="2" a="1"/>
  <c r="K1035" i="2" s="1"/>
  <c r="K1036" i="2" a="1"/>
  <c r="K1036" i="2" s="1"/>
  <c r="K1037" i="2" a="1"/>
  <c r="K1037" i="2" s="1"/>
  <c r="K1038" i="2" a="1"/>
  <c r="K1038" i="2" s="1"/>
  <c r="K1039" i="2" a="1"/>
  <c r="K1039" i="2" s="1"/>
  <c r="K1040" i="2" a="1"/>
  <c r="K1040" i="2" s="1"/>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s="1"/>
  <c r="K1071" i="2" a="1"/>
  <c r="K1071" i="2" s="1"/>
  <c r="K1072" i="2" a="1"/>
  <c r="K1072" i="2" s="1"/>
  <c r="K1073" i="2" a="1"/>
  <c r="K1073" i="2" s="1"/>
  <c r="K1074" i="2" a="1"/>
  <c r="K1074" i="2" s="1"/>
  <c r="K1075" i="2" a="1"/>
  <c r="K1075" i="2" s="1"/>
  <c r="K1076" i="2" a="1"/>
  <c r="K1076" i="2" s="1"/>
  <c r="K1077" i="2" a="1"/>
  <c r="K1077" i="2" s="1"/>
  <c r="K1078" i="2" a="1"/>
  <c r="K1078" i="2" s="1"/>
  <c r="K1079" i="2" a="1"/>
  <c r="K1079" i="2" s="1"/>
  <c r="K1080" i="2" a="1"/>
  <c r="K1080" i="2" s="1"/>
  <c r="K1081" i="2" a="1"/>
  <c r="K1081" i="2" s="1"/>
  <c r="K1082" i="2" a="1"/>
  <c r="K1082" i="2" s="1"/>
  <c r="C38" i="3" a="1"/>
  <c r="C38" i="3" s="1"/>
  <c r="I39" i="3" a="1"/>
  <c r="I39" i="3" s="1"/>
  <c r="I40" i="3" a="1"/>
  <c r="I40" i="3" s="1"/>
  <c r="I41" i="3" a="1"/>
  <c r="I41" i="3" s="1"/>
  <c r="I42" i="3" a="1"/>
  <c r="I42" i="3" s="1"/>
  <c r="I43" i="3" a="1"/>
  <c r="I43" i="3" s="1"/>
  <c r="I44" i="3" a="1"/>
  <c r="I44" i="3" s="1"/>
  <c r="I45" i="3" a="1"/>
  <c r="I45" i="3" s="1"/>
  <c r="I46" i="3" a="1"/>
  <c r="I46" i="3" s="1"/>
  <c r="I47" i="3" a="1"/>
  <c r="I47" i="3" s="1"/>
  <c r="I48" i="3" a="1"/>
  <c r="I48" i="3" s="1"/>
  <c r="I49" i="3" a="1"/>
  <c r="I49" i="3" s="1"/>
  <c r="I50" i="3" a="1"/>
  <c r="I50" i="3" s="1"/>
  <c r="I51" i="3" a="1"/>
  <c r="I51" i="3" s="1"/>
  <c r="I52" i="3" a="1"/>
  <c r="I52" i="3" s="1"/>
  <c r="I53" i="3" a="1"/>
  <c r="I53" i="3" s="1"/>
  <c r="I54" i="3" a="1"/>
  <c r="I54" i="3" s="1"/>
  <c r="I55" i="3" a="1"/>
  <c r="I55" i="3" s="1"/>
  <c r="I56" i="3" a="1"/>
  <c r="I56" i="3" s="1"/>
  <c r="I57" i="3" a="1"/>
  <c r="I57" i="3" s="1"/>
  <c r="I58" i="3" a="1"/>
  <c r="I58" i="3" s="1"/>
  <c r="I59" i="3" a="1"/>
  <c r="I59" i="3" s="1"/>
  <c r="I60" i="3" a="1"/>
  <c r="I60" i="3" s="1"/>
  <c r="I61" i="3" a="1"/>
  <c r="I61" i="3" s="1"/>
  <c r="I62" i="3" a="1"/>
  <c r="I62" i="3" s="1"/>
  <c r="I63" i="3" a="1"/>
  <c r="I63" i="3" s="1"/>
  <c r="I64" i="3" a="1"/>
  <c r="I64" i="3" s="1"/>
  <c r="I65" i="3" a="1"/>
  <c r="I65" i="3" s="1"/>
  <c r="I66" i="3" a="1"/>
  <c r="I66" i="3" s="1"/>
  <c r="I67" i="3" a="1"/>
  <c r="I67" i="3" s="1"/>
  <c r="I68" i="3" a="1"/>
  <c r="I68" i="3" s="1"/>
  <c r="I69" i="3" a="1"/>
  <c r="I69" i="3" s="1"/>
  <c r="I70" i="3" a="1"/>
  <c r="I70" i="3" s="1"/>
  <c r="I71" i="3" a="1"/>
  <c r="I71" i="3" s="1"/>
  <c r="I72" i="3" a="1"/>
  <c r="I72" i="3" s="1"/>
  <c r="I73" i="3" a="1"/>
  <c r="I73" i="3" s="1"/>
  <c r="I74" i="3" a="1"/>
  <c r="I74" i="3" s="1"/>
  <c r="I75" i="3" a="1"/>
  <c r="I75" i="3" s="1"/>
  <c r="I76" i="3" a="1"/>
  <c r="I76" i="3" s="1"/>
  <c r="I77" i="3" a="1"/>
  <c r="I77" i="3" s="1"/>
  <c r="I78" i="3" a="1"/>
  <c r="I78" i="3" s="1"/>
  <c r="I79" i="3" a="1"/>
  <c r="I79" i="3" s="1"/>
  <c r="I80" i="3" a="1"/>
  <c r="I80" i="3" s="1"/>
  <c r="I81" i="3" a="1"/>
  <c r="I81" i="3" s="1"/>
  <c r="I82" i="3" a="1"/>
  <c r="I82" i="3" s="1"/>
  <c r="I83" i="3" a="1"/>
  <c r="I83" i="3" s="1"/>
  <c r="I84" i="3" a="1"/>
  <c r="I84" i="3" s="1"/>
  <c r="I85" i="3" a="1"/>
  <c r="I85" i="3" s="1"/>
  <c r="I86" i="3" a="1"/>
  <c r="I86" i="3" s="1"/>
  <c r="I87" i="3" a="1"/>
  <c r="I87" i="3" s="1"/>
  <c r="I88" i="3" a="1"/>
  <c r="I88" i="3" s="1"/>
  <c r="I89" i="3" a="1"/>
  <c r="I89" i="3" s="1"/>
  <c r="I90" i="3" a="1"/>
  <c r="I90" i="3" s="1"/>
  <c r="I91" i="3" a="1"/>
  <c r="I91" i="3" s="1"/>
  <c r="I92" i="3" a="1"/>
  <c r="I92" i="3" s="1"/>
  <c r="I93" i="3" a="1"/>
  <c r="I93" i="3" s="1"/>
  <c r="I94" i="3" a="1"/>
  <c r="I94" i="3" s="1"/>
  <c r="I95" i="3" a="1"/>
  <c r="I95" i="3" s="1"/>
  <c r="I96" i="3" a="1"/>
  <c r="I96" i="3" s="1"/>
  <c r="I97" i="3" a="1"/>
  <c r="I97" i="3" s="1"/>
  <c r="I98" i="3" a="1"/>
  <c r="I98" i="3" s="1"/>
  <c r="I99" i="3" a="1"/>
  <c r="I99" i="3" s="1"/>
  <c r="I100" i="3" a="1"/>
  <c r="I100" i="3" s="1"/>
  <c r="I101" i="3" a="1"/>
  <c r="I101" i="3" s="1"/>
  <c r="I102" i="3" a="1"/>
  <c r="I102" i="3" s="1"/>
  <c r="I103" i="3" a="1"/>
  <c r="I103" i="3" s="1"/>
  <c r="I104" i="3" a="1"/>
  <c r="I104" i="3" s="1"/>
  <c r="I105" i="3" a="1"/>
  <c r="I105" i="3" s="1"/>
  <c r="I106" i="3" a="1"/>
  <c r="I106" i="3" s="1"/>
  <c r="I107" i="3" a="1"/>
  <c r="I107" i="3" s="1"/>
  <c r="I108" i="3" a="1"/>
  <c r="I108" i="3" s="1"/>
  <c r="I109" i="3" a="1"/>
  <c r="I109" i="3" s="1"/>
  <c r="I110" i="3" a="1"/>
  <c r="I110" i="3" s="1"/>
  <c r="I111" i="3" a="1"/>
  <c r="I111" i="3" s="1"/>
  <c r="I112" i="3" a="1"/>
  <c r="I112" i="3" s="1"/>
  <c r="I113" i="3" a="1"/>
  <c r="I113" i="3" s="1"/>
  <c r="I114" i="3" a="1"/>
  <c r="I114" i="3" s="1"/>
  <c r="I115" i="3" a="1"/>
  <c r="I115" i="3" s="1"/>
  <c r="I116" i="3" a="1"/>
  <c r="I116" i="3" s="1"/>
  <c r="I117" i="3" a="1"/>
  <c r="I117" i="3" s="1"/>
  <c r="I118" i="3" a="1"/>
  <c r="I118" i="3" s="1"/>
  <c r="I119" i="3" a="1"/>
  <c r="I119" i="3" s="1"/>
  <c r="I120" i="3" a="1"/>
  <c r="I120" i="3" s="1"/>
  <c r="I121" i="3" a="1"/>
  <c r="I121" i="3" s="1"/>
  <c r="I122" i="3" a="1"/>
  <c r="I122" i="3" s="1"/>
  <c r="I123" i="3" a="1"/>
  <c r="I123" i="3" s="1"/>
  <c r="I124" i="3" a="1"/>
  <c r="I124" i="3" s="1"/>
  <c r="I125" i="3" a="1"/>
  <c r="I125" i="3" s="1"/>
  <c r="I126" i="3" a="1"/>
  <c r="I126" i="3" s="1"/>
  <c r="I127" i="3" a="1"/>
  <c r="I127" i="3" s="1"/>
  <c r="I128" i="3" a="1"/>
  <c r="I128" i="3" s="1"/>
  <c r="I129" i="3" a="1"/>
  <c r="I129" i="3" s="1"/>
  <c r="I130" i="3" a="1"/>
  <c r="I130" i="3" s="1"/>
  <c r="I131" i="3" a="1"/>
  <c r="I131" i="3" s="1"/>
  <c r="I132" i="3" a="1"/>
  <c r="I132" i="3" s="1"/>
  <c r="I133" i="3" a="1"/>
  <c r="I133" i="3" s="1"/>
  <c r="I134" i="3" a="1"/>
  <c r="I134" i="3" s="1"/>
  <c r="I135" i="3" a="1"/>
  <c r="I135" i="3" s="1"/>
  <c r="I136" i="3" a="1"/>
  <c r="I136" i="3" s="1"/>
  <c r="I137" i="3" a="1"/>
  <c r="I137" i="3" s="1"/>
  <c r="I138" i="3" a="1"/>
  <c r="I138" i="3" s="1"/>
  <c r="I139" i="3" a="1"/>
  <c r="I139" i="3" s="1"/>
  <c r="I140" i="3" a="1"/>
  <c r="I140" i="3" s="1"/>
  <c r="I141" i="3" a="1"/>
  <c r="I141" i="3" s="1"/>
  <c r="I142" i="3" a="1"/>
  <c r="I142" i="3" s="1"/>
  <c r="I143" i="3" a="1"/>
  <c r="I143" i="3" s="1"/>
  <c r="I144" i="3" a="1"/>
  <c r="I144" i="3" s="1"/>
  <c r="I145" i="3" a="1"/>
  <c r="I145" i="3" s="1"/>
  <c r="I146" i="3" a="1"/>
  <c r="I146" i="3" s="1"/>
  <c r="I147" i="3" a="1"/>
  <c r="I147" i="3" s="1"/>
  <c r="I148" i="3" a="1"/>
  <c r="I148" i="3" s="1"/>
  <c r="I149" i="3" a="1"/>
  <c r="I149" i="3" s="1"/>
  <c r="I150" i="3" a="1"/>
  <c r="I150" i="3" s="1"/>
  <c r="I151" i="3" a="1"/>
  <c r="I151" i="3" s="1"/>
  <c r="I152" i="3" a="1"/>
  <c r="I152" i="3" s="1"/>
  <c r="I153" i="3" a="1"/>
  <c r="I153" i="3" s="1"/>
  <c r="I154" i="3" a="1"/>
  <c r="I154" i="3" s="1"/>
  <c r="I155" i="3" a="1"/>
  <c r="I155" i="3" s="1"/>
  <c r="I156" i="3" a="1"/>
  <c r="I156" i="3" s="1"/>
  <c r="I157" i="3" a="1"/>
  <c r="I157" i="3" s="1"/>
  <c r="I158" i="3" a="1"/>
  <c r="I158" i="3" s="1"/>
  <c r="I159" i="3" a="1"/>
  <c r="I159" i="3" s="1"/>
  <c r="I160" i="3" a="1"/>
  <c r="I160" i="3" s="1"/>
  <c r="I161" i="3" a="1"/>
  <c r="I161" i="3" s="1"/>
  <c r="I162" i="3" a="1"/>
  <c r="I162" i="3" s="1"/>
  <c r="I163" i="3" a="1"/>
  <c r="I163" i="3" s="1"/>
  <c r="I164" i="3" a="1"/>
  <c r="I164" i="3" s="1"/>
  <c r="I165" i="3" a="1"/>
  <c r="I165" i="3" s="1"/>
  <c r="I166" i="3" a="1"/>
  <c r="I166" i="3" s="1"/>
  <c r="I167" i="3" a="1"/>
  <c r="I167" i="3" s="1"/>
  <c r="I168" i="3" a="1"/>
  <c r="I168" i="3" s="1"/>
  <c r="I169" i="3" a="1"/>
  <c r="I169" i="3" s="1"/>
  <c r="I170" i="3" a="1"/>
  <c r="I170" i="3" s="1"/>
  <c r="I171" i="3" a="1"/>
  <c r="I171" i="3" s="1"/>
  <c r="I172" i="3" a="1"/>
  <c r="I172" i="3" s="1"/>
  <c r="I173" i="3" a="1"/>
  <c r="I173" i="3" s="1"/>
  <c r="I174" i="3" a="1"/>
  <c r="I174" i="3" s="1"/>
  <c r="I175" i="3" a="1"/>
  <c r="I175" i="3" s="1"/>
  <c r="I176" i="3" a="1"/>
  <c r="I176" i="3" s="1"/>
  <c r="I177" i="3" a="1"/>
  <c r="I177" i="3" s="1"/>
  <c r="I178" i="3" a="1"/>
  <c r="I178" i="3" s="1"/>
  <c r="I179" i="3" a="1"/>
  <c r="I179" i="3" s="1"/>
  <c r="I180" i="3" a="1"/>
  <c r="I180" i="3" s="1"/>
  <c r="I181" i="3" a="1"/>
  <c r="I181" i="3" s="1"/>
  <c r="I182" i="3" a="1"/>
  <c r="I182" i="3" s="1"/>
  <c r="I183" i="3" a="1"/>
  <c r="I183" i="3" s="1"/>
  <c r="I184" i="3" a="1"/>
  <c r="I184" i="3" s="1"/>
  <c r="I185" i="3" a="1"/>
  <c r="I185" i="3" s="1"/>
  <c r="I186" i="3" a="1"/>
  <c r="I186" i="3" s="1"/>
  <c r="I187" i="3" a="1"/>
  <c r="I187" i="3" s="1"/>
  <c r="I188" i="3" a="1"/>
  <c r="I188" i="3" s="1"/>
  <c r="I189" i="3" a="1"/>
  <c r="I189" i="3" s="1"/>
  <c r="I190" i="3" a="1"/>
  <c r="I190" i="3" s="1"/>
  <c r="I191" i="3" a="1"/>
  <c r="I191" i="3" s="1"/>
  <c r="I192" i="3" a="1"/>
  <c r="I192" i="3" s="1"/>
  <c r="I193" i="3" a="1"/>
  <c r="I193" i="3" s="1"/>
  <c r="I194" i="3" a="1"/>
  <c r="I194" i="3" s="1"/>
  <c r="I195" i="3" a="1"/>
  <c r="I195" i="3" s="1"/>
  <c r="I196" i="3" a="1"/>
  <c r="I196" i="3" s="1"/>
  <c r="I197" i="3" a="1"/>
  <c r="I197" i="3" s="1"/>
  <c r="I198" i="3" a="1"/>
  <c r="I198" i="3" s="1"/>
  <c r="I199" i="3" a="1"/>
  <c r="I199" i="3" s="1"/>
  <c r="I200" i="3" a="1"/>
  <c r="I200" i="3" s="1"/>
  <c r="I201" i="3" a="1"/>
  <c r="I201" i="3" s="1"/>
  <c r="I202" i="3" a="1"/>
  <c r="I202" i="3" s="1"/>
  <c r="I203" i="3" a="1"/>
  <c r="I203" i="3" s="1"/>
  <c r="I204" i="3" a="1"/>
  <c r="I204" i="3" s="1"/>
  <c r="I205" i="3" a="1"/>
  <c r="I205" i="3" s="1"/>
  <c r="I206" i="3" a="1"/>
  <c r="I206" i="3" s="1"/>
  <c r="I207" i="3" a="1"/>
  <c r="I207" i="3" s="1"/>
  <c r="I208" i="3" a="1"/>
  <c r="I208" i="3" s="1"/>
  <c r="I209" i="3" a="1"/>
  <c r="I209" i="3" s="1"/>
  <c r="I210" i="3" a="1"/>
  <c r="I210" i="3" s="1"/>
  <c r="I211" i="3" a="1"/>
  <c r="I211" i="3" s="1"/>
  <c r="I212" i="3" a="1"/>
  <c r="I212" i="3" s="1"/>
  <c r="I213" i="3" a="1"/>
  <c r="I213" i="3" s="1"/>
  <c r="I214" i="3" a="1"/>
  <c r="I214" i="3" s="1"/>
  <c r="I215" i="3" a="1"/>
  <c r="I215" i="3" s="1"/>
  <c r="I216" i="3" a="1"/>
  <c r="I216" i="3" s="1"/>
  <c r="I217" i="3" a="1"/>
  <c r="I217" i="3" s="1"/>
  <c r="I218" i="3" a="1"/>
  <c r="I218" i="3" s="1"/>
  <c r="I219" i="3" a="1"/>
  <c r="I219" i="3" s="1"/>
  <c r="I220" i="3" a="1"/>
  <c r="I220" i="3" s="1"/>
  <c r="I221" i="3" a="1"/>
  <c r="I221" i="3" s="1"/>
  <c r="I222" i="3" a="1"/>
  <c r="I222" i="3" s="1"/>
  <c r="I223" i="3" a="1"/>
  <c r="I223" i="3" s="1"/>
  <c r="I224" i="3" a="1"/>
  <c r="I224" i="3" s="1"/>
  <c r="I225" i="3" a="1"/>
  <c r="I225" i="3" s="1"/>
  <c r="I226" i="3" a="1"/>
  <c r="I226" i="3" s="1"/>
  <c r="I227" i="3" a="1"/>
  <c r="I227" i="3" s="1"/>
  <c r="I228" i="3" a="1"/>
  <c r="I228" i="3" s="1"/>
  <c r="I229" i="3" a="1"/>
  <c r="I229" i="3" s="1"/>
  <c r="I230" i="3" a="1"/>
  <c r="I230" i="3" s="1"/>
  <c r="I231" i="3" a="1"/>
  <c r="I231" i="3" s="1"/>
  <c r="I232" i="3" a="1"/>
  <c r="I232" i="3" s="1"/>
  <c r="I233" i="3" a="1"/>
  <c r="I233" i="3" s="1"/>
  <c r="I234" i="3" a="1"/>
  <c r="I234" i="3" s="1"/>
  <c r="I235" i="3" a="1"/>
  <c r="I235" i="3" s="1"/>
  <c r="I236" i="3" a="1"/>
  <c r="I236" i="3" s="1"/>
  <c r="I237" i="3" a="1"/>
  <c r="I237" i="3" s="1"/>
  <c r="I238" i="3" a="1"/>
  <c r="I238" i="3" s="1"/>
  <c r="I239" i="3" a="1"/>
  <c r="I239" i="3" s="1"/>
  <c r="I240" i="3" a="1"/>
  <c r="I240" i="3" s="1"/>
  <c r="I241" i="3" a="1"/>
  <c r="I241" i="3" s="1"/>
  <c r="I242" i="3" a="1"/>
  <c r="I242" i="3" s="1"/>
  <c r="I243" i="3" a="1"/>
  <c r="I243" i="3" s="1"/>
  <c r="I244" i="3" a="1"/>
  <c r="I244" i="3" s="1"/>
  <c r="I245" i="3" a="1"/>
  <c r="I245" i="3" s="1"/>
  <c r="I246" i="3" a="1"/>
  <c r="I246" i="3" s="1"/>
  <c r="I247" i="3" a="1"/>
  <c r="I247" i="3" s="1"/>
  <c r="I248" i="3" a="1"/>
  <c r="I248" i="3" s="1"/>
  <c r="I249" i="3" a="1"/>
  <c r="I249" i="3" s="1"/>
  <c r="I250" i="3" a="1"/>
  <c r="I250" i="3" s="1"/>
  <c r="I251" i="3" a="1"/>
  <c r="I251" i="3" s="1"/>
  <c r="I252" i="3" a="1"/>
  <c r="I252" i="3" s="1"/>
  <c r="I253" i="3" a="1"/>
  <c r="I253" i="3" s="1"/>
  <c r="I254" i="3" a="1"/>
  <c r="I254" i="3" s="1"/>
  <c r="I255" i="3" a="1"/>
  <c r="I255" i="3" s="1"/>
  <c r="I256" i="3" a="1"/>
  <c r="I256" i="3" s="1"/>
  <c r="I257" i="3" a="1"/>
  <c r="I257" i="3" s="1"/>
  <c r="I258" i="3" a="1"/>
  <c r="I258" i="3" s="1"/>
  <c r="I259" i="3" a="1"/>
  <c r="I259" i="3" s="1"/>
  <c r="I260" i="3" a="1"/>
  <c r="I260" i="3" s="1"/>
  <c r="I261" i="3" a="1"/>
  <c r="I261" i="3" s="1"/>
  <c r="I262" i="3" a="1"/>
  <c r="I262" i="3" s="1"/>
  <c r="I263" i="3" a="1"/>
  <c r="I263" i="3" s="1"/>
  <c r="I264" i="3" a="1"/>
  <c r="I264" i="3" s="1"/>
  <c r="I265" i="3" a="1"/>
  <c r="I265" i="3" s="1"/>
  <c r="I266" i="3" a="1"/>
  <c r="I266" i="3" s="1"/>
  <c r="I267" i="3" a="1"/>
  <c r="I267" i="3" s="1"/>
  <c r="I268" i="3" a="1"/>
  <c r="I268" i="3" s="1"/>
  <c r="I269" i="3" a="1"/>
  <c r="I269" i="3" s="1"/>
  <c r="I270" i="3" a="1"/>
  <c r="I270" i="3" s="1"/>
  <c r="I271" i="3" a="1"/>
  <c r="I271" i="3" s="1"/>
  <c r="I272" i="3" a="1"/>
  <c r="I272" i="3" s="1"/>
  <c r="I273" i="3" a="1"/>
  <c r="I273" i="3" s="1"/>
  <c r="I274" i="3" a="1"/>
  <c r="I274" i="3" s="1"/>
  <c r="I275" i="3" a="1"/>
  <c r="I275" i="3" s="1"/>
  <c r="I276" i="3" a="1"/>
  <c r="I276" i="3" s="1"/>
  <c r="I277" i="3" a="1"/>
  <c r="I277" i="3" s="1"/>
  <c r="I278" i="3" a="1"/>
  <c r="I278" i="3" s="1"/>
  <c r="I279" i="3" a="1"/>
  <c r="I279" i="3" s="1"/>
  <c r="I280" i="3" a="1"/>
  <c r="I280" i="3" s="1"/>
  <c r="I281" i="3" a="1"/>
  <c r="I281" i="3" s="1"/>
  <c r="I282" i="3" a="1"/>
  <c r="I282" i="3" s="1"/>
  <c r="I283" i="3" a="1"/>
  <c r="I283" i="3" s="1"/>
  <c r="I284" i="3" a="1"/>
  <c r="I284" i="3" s="1"/>
  <c r="I285" i="3" a="1"/>
  <c r="I285" i="3" s="1"/>
  <c r="I286" i="3" a="1"/>
  <c r="I286" i="3" s="1"/>
  <c r="I287" i="3" a="1"/>
  <c r="I287" i="3" s="1"/>
  <c r="I288" i="3" a="1"/>
  <c r="I288" i="3" s="1"/>
  <c r="I289" i="3" a="1"/>
  <c r="I289" i="3" s="1"/>
  <c r="I290" i="3" a="1"/>
  <c r="I290" i="3" s="1"/>
  <c r="I291" i="3" a="1"/>
  <c r="I291" i="3" s="1"/>
  <c r="I292" i="3" a="1"/>
  <c r="I292" i="3" s="1"/>
  <c r="I293" i="3" a="1"/>
  <c r="I293" i="3" s="1"/>
  <c r="I294" i="3" a="1"/>
  <c r="I294" i="3" s="1"/>
  <c r="I295" i="3" a="1"/>
  <c r="I295" i="3" s="1"/>
  <c r="I296" i="3" a="1"/>
  <c r="I296" i="3" s="1"/>
  <c r="I297" i="3" a="1"/>
  <c r="I297" i="3" s="1"/>
  <c r="I298" i="3" a="1"/>
  <c r="I298" i="3" s="1"/>
  <c r="I299" i="3" a="1"/>
  <c r="I299" i="3" s="1"/>
  <c r="I300" i="3" a="1"/>
  <c r="I300" i="3" s="1"/>
  <c r="I301" i="3" a="1"/>
  <c r="I301" i="3" s="1"/>
  <c r="I302" i="3" a="1"/>
  <c r="I302" i="3" s="1"/>
  <c r="I303" i="3" a="1"/>
  <c r="I303" i="3" s="1"/>
  <c r="I304" i="3" a="1"/>
  <c r="I304" i="3" s="1"/>
  <c r="I305" i="3" a="1"/>
  <c r="I305" i="3" s="1"/>
  <c r="I306" i="3" a="1"/>
  <c r="I306" i="3" s="1"/>
  <c r="I307" i="3" a="1"/>
  <c r="I307" i="3" s="1"/>
  <c r="I308" i="3" a="1"/>
  <c r="I308" i="3" s="1"/>
  <c r="I309" i="3" a="1"/>
  <c r="I309" i="3" s="1"/>
  <c r="I310" i="3" a="1"/>
  <c r="I310" i="3" s="1"/>
  <c r="I311" i="3" a="1"/>
  <c r="I311" i="3" s="1"/>
  <c r="I312" i="3" a="1"/>
  <c r="I312" i="3" s="1"/>
  <c r="I313" i="3" a="1"/>
  <c r="I313" i="3" s="1"/>
  <c r="I314" i="3" a="1"/>
  <c r="I314" i="3" s="1"/>
  <c r="I315" i="3" a="1"/>
  <c r="I315" i="3" s="1"/>
  <c r="I316" i="3" a="1"/>
  <c r="I316" i="3" s="1"/>
  <c r="I317" i="3" a="1"/>
  <c r="I317" i="3" s="1"/>
  <c r="I318" i="3" a="1"/>
  <c r="I318" i="3" s="1"/>
  <c r="I319" i="3" a="1"/>
  <c r="I319" i="3" s="1"/>
  <c r="I320" i="3" a="1"/>
  <c r="I320" i="3" s="1"/>
  <c r="I321" i="3" a="1"/>
  <c r="I321" i="3" s="1"/>
  <c r="I322" i="3" a="1"/>
  <c r="I322" i="3" s="1"/>
  <c r="I323" i="3" a="1"/>
  <c r="I323" i="3" s="1"/>
  <c r="I324" i="3" a="1"/>
  <c r="I324" i="3" s="1"/>
  <c r="I325" i="3" a="1"/>
  <c r="I325" i="3" s="1"/>
  <c r="I326" i="3" a="1"/>
  <c r="I326" i="3" s="1"/>
  <c r="I327" i="3" a="1"/>
  <c r="I327" i="3" s="1"/>
  <c r="I328" i="3" a="1"/>
  <c r="I328" i="3" s="1"/>
  <c r="I329" i="3" a="1"/>
  <c r="I329" i="3" s="1"/>
  <c r="I330" i="3" a="1"/>
  <c r="I330" i="3" s="1"/>
  <c r="I331" i="3" a="1"/>
  <c r="I331" i="3" s="1"/>
  <c r="I332" i="3" a="1"/>
  <c r="I332" i="3" s="1"/>
  <c r="I333" i="3" a="1"/>
  <c r="I333" i="3" s="1"/>
  <c r="I334" i="3" a="1"/>
  <c r="I334" i="3" s="1"/>
  <c r="I335" i="3" a="1"/>
  <c r="I335" i="3" s="1"/>
  <c r="I336" i="3" a="1"/>
  <c r="I336" i="3" s="1"/>
  <c r="I337" i="3" a="1"/>
  <c r="I337" i="3" s="1"/>
  <c r="I338" i="3" a="1"/>
  <c r="I338" i="3" s="1"/>
  <c r="I339" i="3" a="1"/>
  <c r="I339" i="3" s="1"/>
  <c r="I340" i="3" a="1"/>
  <c r="I340" i="3" s="1"/>
  <c r="I341" i="3" a="1"/>
  <c r="I341" i="3" s="1"/>
  <c r="I342" i="3" a="1"/>
  <c r="I342" i="3" s="1"/>
  <c r="I343" i="3" a="1"/>
  <c r="I343" i="3" s="1"/>
  <c r="I344" i="3" a="1"/>
  <c r="I344" i="3" s="1"/>
  <c r="I345" i="3" a="1"/>
  <c r="I345" i="3" s="1"/>
  <c r="I346" i="3" a="1"/>
  <c r="I346" i="3" s="1"/>
  <c r="I347" i="3" a="1"/>
  <c r="I347" i="3" s="1"/>
  <c r="I348" i="3" a="1"/>
  <c r="I348" i="3" s="1"/>
  <c r="I349" i="3" a="1"/>
  <c r="I349" i="3" s="1"/>
  <c r="I350" i="3" a="1"/>
  <c r="I350" i="3" s="1"/>
  <c r="I351" i="3" a="1"/>
  <c r="I351" i="3" s="1"/>
  <c r="I352" i="3" a="1"/>
  <c r="I352" i="3" s="1"/>
  <c r="I353" i="3" a="1"/>
  <c r="I353" i="3" s="1"/>
  <c r="I354" i="3" a="1"/>
  <c r="I354" i="3" s="1"/>
  <c r="I355" i="3" a="1"/>
  <c r="I355" i="3" s="1"/>
  <c r="I356" i="3" a="1"/>
  <c r="I356" i="3" s="1"/>
  <c r="I357" i="3" a="1"/>
  <c r="I357" i="3" s="1"/>
  <c r="I358" i="3" a="1"/>
  <c r="I358" i="3" s="1"/>
  <c r="I359" i="3" a="1"/>
  <c r="I359" i="3" s="1"/>
  <c r="I360" i="3" a="1"/>
  <c r="I360" i="3" s="1"/>
  <c r="I361" i="3" a="1"/>
  <c r="I361" i="3" s="1"/>
  <c r="I362" i="3" a="1"/>
  <c r="I362" i="3" s="1"/>
  <c r="I363" i="3" a="1"/>
  <c r="I363" i="3" s="1"/>
  <c r="I364" i="3" a="1"/>
  <c r="I364" i="3" s="1"/>
  <c r="I365" i="3" a="1"/>
  <c r="I365" i="3" s="1"/>
  <c r="I366" i="3" a="1"/>
  <c r="I366" i="3" s="1"/>
  <c r="I367" i="3" a="1"/>
  <c r="I367" i="3" s="1"/>
  <c r="I368" i="3" a="1"/>
  <c r="I368" i="3" s="1"/>
  <c r="I369" i="3" a="1"/>
  <c r="I369" i="3" s="1"/>
  <c r="I370" i="3" a="1"/>
  <c r="I370" i="3" s="1"/>
  <c r="I371" i="3" a="1"/>
  <c r="I371" i="3" s="1"/>
  <c r="I372" i="3" a="1"/>
  <c r="I372" i="3" s="1"/>
  <c r="I373" i="3" a="1"/>
  <c r="I373" i="3" s="1"/>
  <c r="I374" i="3" a="1"/>
  <c r="I374" i="3" s="1"/>
  <c r="I375" i="3" a="1"/>
  <c r="I375" i="3" s="1"/>
  <c r="I376" i="3" a="1"/>
  <c r="I376" i="3" s="1"/>
  <c r="I377" i="3" a="1"/>
  <c r="I377" i="3" s="1"/>
  <c r="I378" i="3" a="1"/>
  <c r="I378" i="3" s="1"/>
  <c r="I379" i="3" a="1"/>
  <c r="I379" i="3" s="1"/>
  <c r="I380" i="3" a="1"/>
  <c r="I380" i="3" s="1"/>
  <c r="I381" i="3" a="1"/>
  <c r="I381" i="3" s="1"/>
  <c r="I382" i="3" a="1"/>
  <c r="I382" i="3" s="1"/>
  <c r="I383" i="3" a="1"/>
  <c r="I383" i="3" s="1"/>
  <c r="I384" i="3" a="1"/>
  <c r="I384" i="3" s="1"/>
  <c r="I385" i="3" a="1"/>
  <c r="I385" i="3" s="1"/>
  <c r="I386" i="3" a="1"/>
  <c r="I386" i="3" s="1"/>
  <c r="I387" i="3" a="1"/>
  <c r="I387" i="3" s="1"/>
  <c r="I388" i="3" a="1"/>
  <c r="I388" i="3" s="1"/>
  <c r="I389" i="3" a="1"/>
  <c r="I389" i="3" s="1"/>
  <c r="I390" i="3" a="1"/>
  <c r="I390" i="3" s="1"/>
  <c r="I391" i="3" a="1"/>
  <c r="I391" i="3" s="1"/>
  <c r="I392" i="3" a="1"/>
  <c r="I392" i="3" s="1"/>
  <c r="I393" i="3" a="1"/>
  <c r="I393" i="3" s="1"/>
  <c r="I394" i="3" a="1"/>
  <c r="I394" i="3" s="1"/>
  <c r="I395" i="3" a="1"/>
  <c r="I395" i="3" s="1"/>
  <c r="I396" i="3" a="1"/>
  <c r="I396" i="3" s="1"/>
  <c r="I397" i="3" a="1"/>
  <c r="I397" i="3" s="1"/>
  <c r="I398" i="3" a="1"/>
  <c r="I398" i="3" s="1"/>
  <c r="I399" i="3" a="1"/>
  <c r="I399" i="3" s="1"/>
  <c r="I400" i="3" a="1"/>
  <c r="I400" i="3" s="1"/>
  <c r="I401" i="3" a="1"/>
  <c r="I401" i="3" s="1"/>
  <c r="I402" i="3" a="1"/>
  <c r="I402" i="3" s="1"/>
  <c r="I403" i="3" a="1"/>
  <c r="I403" i="3" s="1"/>
  <c r="I404" i="3" a="1"/>
  <c r="I404" i="3" s="1"/>
  <c r="I405" i="3" a="1"/>
  <c r="I405" i="3" s="1"/>
  <c r="I406" i="3" a="1"/>
  <c r="I406" i="3" s="1"/>
  <c r="I407" i="3" a="1"/>
  <c r="I407" i="3" s="1"/>
  <c r="I408" i="3" a="1"/>
  <c r="I408" i="3" s="1"/>
  <c r="I409" i="3" a="1"/>
  <c r="I409" i="3" s="1"/>
  <c r="I410" i="3" a="1"/>
  <c r="I410" i="3" s="1"/>
  <c r="I411" i="3" a="1"/>
  <c r="I411" i="3" s="1"/>
  <c r="I412" i="3" a="1"/>
  <c r="I412" i="3" s="1"/>
  <c r="I413" i="3" a="1"/>
  <c r="I413" i="3" s="1"/>
  <c r="I414" i="3" a="1"/>
  <c r="I414" i="3" s="1"/>
  <c r="I415" i="3" a="1"/>
  <c r="I415" i="3" s="1"/>
  <c r="I416" i="3" a="1"/>
  <c r="I416" i="3" s="1"/>
  <c r="I417" i="3" a="1"/>
  <c r="I417" i="3" s="1"/>
  <c r="I418" i="3" a="1"/>
  <c r="I418" i="3" s="1"/>
  <c r="I419" i="3" a="1"/>
  <c r="I419" i="3" s="1"/>
  <c r="I420" i="3" a="1"/>
  <c r="I420" i="3" s="1"/>
  <c r="I421" i="3" a="1"/>
  <c r="I421" i="3" s="1"/>
  <c r="I422" i="3" a="1"/>
  <c r="I422" i="3" s="1"/>
  <c r="I423" i="3" a="1"/>
  <c r="I423" i="3" s="1"/>
  <c r="I424" i="3" a="1"/>
  <c r="I424" i="3" s="1"/>
  <c r="I425" i="3" a="1"/>
  <c r="I425" i="3" s="1"/>
  <c r="I426" i="3" a="1"/>
  <c r="I426" i="3" s="1"/>
  <c r="I427" i="3" a="1"/>
  <c r="I427" i="3" s="1"/>
  <c r="I428" i="3" a="1"/>
  <c r="I428" i="3" s="1"/>
  <c r="I429" i="3" a="1"/>
  <c r="I429" i="3" s="1"/>
  <c r="I430" i="3" a="1"/>
  <c r="I430" i="3" s="1"/>
  <c r="I431" i="3" a="1"/>
  <c r="I431" i="3" s="1"/>
  <c r="I432" i="3" a="1"/>
  <c r="I432" i="3" s="1"/>
  <c r="I433" i="3" a="1"/>
  <c r="I433" i="3" s="1"/>
  <c r="I434" i="3" a="1"/>
  <c r="I434" i="3" s="1"/>
  <c r="I435" i="3" a="1"/>
  <c r="I435" i="3" s="1"/>
  <c r="I436" i="3" a="1"/>
  <c r="I436" i="3" s="1"/>
  <c r="I437" i="3" a="1"/>
  <c r="I437" i="3" s="1"/>
  <c r="I438" i="3" a="1"/>
  <c r="I438" i="3" s="1"/>
  <c r="I439" i="3" a="1"/>
  <c r="I439" i="3" s="1"/>
  <c r="I440" i="3" a="1"/>
  <c r="I440" i="3" s="1"/>
  <c r="I441" i="3" a="1"/>
  <c r="I441" i="3" s="1"/>
  <c r="I442" i="3" a="1"/>
  <c r="I442" i="3" s="1"/>
  <c r="I443" i="3" a="1"/>
  <c r="I443" i="3" s="1"/>
  <c r="I444" i="3" a="1"/>
  <c r="I444" i="3" s="1"/>
  <c r="I445" i="3" a="1"/>
  <c r="I445" i="3" s="1"/>
  <c r="I446" i="3" a="1"/>
  <c r="I446" i="3" s="1"/>
  <c r="I447" i="3" a="1"/>
  <c r="I447" i="3" s="1"/>
  <c r="I448" i="3" a="1"/>
  <c r="I448" i="3" s="1"/>
  <c r="I449" i="3" a="1"/>
  <c r="I449" i="3" s="1"/>
  <c r="I450" i="3" a="1"/>
  <c r="I450" i="3" s="1"/>
  <c r="I451" i="3" a="1"/>
  <c r="I451" i="3" s="1"/>
  <c r="I452" i="3" a="1"/>
  <c r="I452" i="3" s="1"/>
  <c r="I453" i="3" a="1"/>
  <c r="I453" i="3" s="1"/>
  <c r="I454" i="3" a="1"/>
  <c r="I454" i="3" s="1"/>
  <c r="I455" i="3" a="1"/>
  <c r="I455" i="3" s="1"/>
  <c r="I456" i="3" a="1"/>
  <c r="I456" i="3" s="1"/>
  <c r="I457" i="3" a="1"/>
  <c r="I457" i="3" s="1"/>
  <c r="I458" i="3" a="1"/>
  <c r="I458" i="3" s="1"/>
  <c r="I459" i="3" a="1"/>
  <c r="I459" i="3" s="1"/>
  <c r="I460" i="3" a="1"/>
  <c r="I460" i="3" s="1"/>
  <c r="I461" i="3" a="1"/>
  <c r="I461" i="3" s="1"/>
  <c r="I462" i="3" a="1"/>
  <c r="I462" i="3" s="1"/>
  <c r="I463" i="3" a="1"/>
  <c r="I463" i="3" s="1"/>
  <c r="I464" i="3" a="1"/>
  <c r="I464" i="3" s="1"/>
  <c r="I465" i="3" a="1"/>
  <c r="I465" i="3" s="1"/>
  <c r="I466" i="3" a="1"/>
  <c r="I466" i="3" s="1"/>
  <c r="I467" i="3" a="1"/>
  <c r="I467" i="3" s="1"/>
  <c r="I468" i="3" a="1"/>
  <c r="I468" i="3" s="1"/>
  <c r="I469" i="3" a="1"/>
  <c r="I469" i="3" s="1"/>
  <c r="I470" i="3" a="1"/>
  <c r="I470" i="3" s="1"/>
  <c r="I471" i="3" a="1"/>
  <c r="I471" i="3" s="1"/>
  <c r="I472" i="3" a="1"/>
  <c r="I472" i="3" s="1"/>
  <c r="I473" i="3" a="1"/>
  <c r="I473" i="3" s="1"/>
  <c r="I474" i="3" a="1"/>
  <c r="I474" i="3" s="1"/>
  <c r="I475" i="3" a="1"/>
  <c r="I475" i="3" s="1"/>
  <c r="I476" i="3" a="1"/>
  <c r="I476" i="3" s="1"/>
  <c r="I477" i="3" a="1"/>
  <c r="I477" i="3" s="1"/>
  <c r="I478" i="3" a="1"/>
  <c r="I478" i="3" s="1"/>
  <c r="I479" i="3" a="1"/>
  <c r="I479" i="3" s="1"/>
  <c r="I480" i="3" a="1"/>
  <c r="I480" i="3" s="1"/>
  <c r="I481" i="3" a="1"/>
  <c r="I481" i="3" s="1"/>
  <c r="I482" i="3" a="1"/>
  <c r="I482" i="3" s="1"/>
  <c r="I483" i="3" a="1"/>
  <c r="I483" i="3" s="1"/>
  <c r="I484" i="3" a="1"/>
  <c r="I484" i="3" s="1"/>
  <c r="I485" i="3" a="1"/>
  <c r="I485" i="3" s="1"/>
  <c r="I486" i="3" a="1"/>
  <c r="I486" i="3" s="1"/>
  <c r="I487" i="3" a="1"/>
  <c r="I487" i="3" s="1"/>
  <c r="I488" i="3" a="1"/>
  <c r="I488" i="3" s="1"/>
  <c r="I489" i="3" a="1"/>
  <c r="I489" i="3" s="1"/>
  <c r="I490" i="3" a="1"/>
  <c r="I490" i="3" s="1"/>
  <c r="I491" i="3" a="1"/>
  <c r="I491" i="3" s="1"/>
  <c r="I492" i="3" a="1"/>
  <c r="I492" i="3" s="1"/>
  <c r="I493" i="3" a="1"/>
  <c r="I493" i="3" s="1"/>
  <c r="I494" i="3" a="1"/>
  <c r="I494" i="3" s="1"/>
  <c r="I495" i="3" a="1"/>
  <c r="I495" i="3" s="1"/>
  <c r="I496" i="3" a="1"/>
  <c r="I496" i="3" s="1"/>
  <c r="I497" i="3" a="1"/>
  <c r="I497" i="3" s="1"/>
  <c r="I498" i="3" a="1"/>
  <c r="I498" i="3" s="1"/>
  <c r="I499" i="3" a="1"/>
  <c r="I499" i="3" s="1"/>
  <c r="I500" i="3" a="1"/>
  <c r="I500" i="3" s="1"/>
  <c r="I501" i="3" a="1"/>
  <c r="I501" i="3" s="1"/>
  <c r="I502" i="3" a="1"/>
  <c r="I502" i="3" s="1"/>
  <c r="I503" i="3" a="1"/>
  <c r="I503" i="3" s="1"/>
  <c r="I504" i="3" a="1"/>
  <c r="I504" i="3" s="1"/>
  <c r="I505" i="3" a="1"/>
  <c r="I505" i="3" s="1"/>
  <c r="I506" i="3" a="1"/>
  <c r="I506" i="3" s="1"/>
  <c r="I507" i="3" a="1"/>
  <c r="I507" i="3" s="1"/>
  <c r="I508" i="3" a="1"/>
  <c r="I508" i="3" s="1"/>
  <c r="I509" i="3" a="1"/>
  <c r="I509" i="3" s="1"/>
  <c r="I510" i="3" a="1"/>
  <c r="I510" i="3" s="1"/>
  <c r="I511" i="3" a="1"/>
  <c r="I511" i="3" s="1"/>
  <c r="I512" i="3" a="1"/>
  <c r="I512" i="3" s="1"/>
  <c r="I513" i="3" a="1"/>
  <c r="I513" i="3" s="1"/>
  <c r="I514" i="3" a="1"/>
  <c r="I514" i="3" s="1"/>
  <c r="I515" i="3" a="1"/>
  <c r="I515" i="3" s="1"/>
  <c r="I516" i="3" a="1"/>
  <c r="I516" i="3" s="1"/>
  <c r="I517" i="3" a="1"/>
  <c r="I517" i="3" s="1"/>
  <c r="I518" i="3" a="1"/>
  <c r="I518" i="3" s="1"/>
  <c r="I519" i="3" a="1"/>
  <c r="I519" i="3" s="1"/>
  <c r="I520" i="3" a="1"/>
  <c r="I520" i="3" s="1"/>
  <c r="I521" i="3" a="1"/>
  <c r="I521" i="3" s="1"/>
  <c r="I522" i="3" a="1"/>
  <c r="I522" i="3" s="1"/>
  <c r="I523" i="3" a="1"/>
  <c r="I523" i="3" s="1"/>
  <c r="I524" i="3" a="1"/>
  <c r="I524" i="3" s="1"/>
  <c r="I525" i="3" a="1"/>
  <c r="I525" i="3" s="1"/>
  <c r="I526" i="3" a="1"/>
  <c r="I526" i="3" s="1"/>
  <c r="I527" i="3" a="1"/>
  <c r="I527" i="3" s="1"/>
  <c r="I528" i="3" a="1"/>
  <c r="I528" i="3" s="1"/>
  <c r="I529" i="3" a="1"/>
  <c r="I529" i="3" s="1"/>
  <c r="I530" i="3" a="1"/>
  <c r="I530" i="3" s="1"/>
  <c r="I531" i="3" a="1"/>
  <c r="I531" i="3" s="1"/>
  <c r="I532" i="3" a="1"/>
  <c r="I532" i="3" s="1"/>
  <c r="I533" i="3" a="1"/>
  <c r="I533" i="3" s="1"/>
  <c r="I534" i="3" a="1"/>
  <c r="I534" i="3" s="1"/>
  <c r="I535" i="3" a="1"/>
  <c r="I535" i="3" s="1"/>
  <c r="I536" i="3" a="1"/>
  <c r="I536" i="3" s="1"/>
  <c r="I537" i="3" a="1"/>
  <c r="I537" i="3" s="1"/>
  <c r="I538" i="3" a="1"/>
  <c r="I538" i="3" s="1"/>
  <c r="I539" i="3" a="1"/>
  <c r="I539" i="3" s="1"/>
  <c r="I540" i="3" a="1"/>
  <c r="I540" i="3" s="1"/>
  <c r="I541" i="3" a="1"/>
  <c r="I541" i="3" s="1"/>
  <c r="I542" i="3" a="1"/>
  <c r="I542" i="3" s="1"/>
  <c r="I543" i="3" a="1"/>
  <c r="I543" i="3" s="1"/>
  <c r="I544" i="3" a="1"/>
  <c r="I544" i="3" s="1"/>
  <c r="I545" i="3" a="1"/>
  <c r="I545" i="3" s="1"/>
  <c r="I546" i="3" a="1"/>
  <c r="I546" i="3" s="1"/>
  <c r="I547" i="3" a="1"/>
  <c r="I547" i="3" s="1"/>
  <c r="I548" i="3" a="1"/>
  <c r="I548" i="3" s="1"/>
  <c r="I549" i="3" a="1"/>
  <c r="I549" i="3" s="1"/>
  <c r="I550" i="3" a="1"/>
  <c r="I550" i="3" s="1"/>
  <c r="I551" i="3" a="1"/>
  <c r="I551" i="3" s="1"/>
  <c r="I552" i="3" a="1"/>
  <c r="I552" i="3" s="1"/>
  <c r="I553" i="3" a="1"/>
  <c r="I553" i="3" s="1"/>
  <c r="I554" i="3" a="1"/>
  <c r="I554" i="3" s="1"/>
  <c r="I555" i="3" a="1"/>
  <c r="I555" i="3" s="1"/>
  <c r="I556" i="3" a="1"/>
  <c r="I556" i="3" s="1"/>
  <c r="I557" i="3" a="1"/>
  <c r="I557" i="3" s="1"/>
  <c r="I558" i="3" a="1"/>
  <c r="I558" i="3" s="1"/>
  <c r="I559" i="3" a="1"/>
  <c r="I559" i="3" s="1"/>
  <c r="I560" i="3" a="1"/>
  <c r="I560" i="3" s="1"/>
  <c r="I561" i="3" a="1"/>
  <c r="I561" i="3" s="1"/>
  <c r="I562" i="3" a="1"/>
  <c r="I562" i="3" s="1"/>
  <c r="I563" i="3" a="1"/>
  <c r="I563" i="3" s="1"/>
  <c r="I564" i="3" a="1"/>
  <c r="I564" i="3" s="1"/>
  <c r="I565" i="3" a="1"/>
  <c r="I565" i="3" s="1"/>
  <c r="I566" i="3" a="1"/>
  <c r="I566" i="3" s="1"/>
  <c r="I567" i="3" a="1"/>
  <c r="I567" i="3" s="1"/>
  <c r="I568" i="3" a="1"/>
  <c r="I568" i="3" s="1"/>
  <c r="I569" i="3" a="1"/>
  <c r="I569" i="3" s="1"/>
  <c r="I570" i="3" a="1"/>
  <c r="I570" i="3" s="1"/>
  <c r="I571" i="3" a="1"/>
  <c r="I571" i="3" s="1"/>
  <c r="I572" i="3" a="1"/>
  <c r="I572" i="3" s="1"/>
  <c r="I573" i="3" a="1"/>
  <c r="I573" i="3" s="1"/>
  <c r="I574" i="3" a="1"/>
  <c r="I574" i="3" s="1"/>
  <c r="I575" i="3" a="1"/>
  <c r="I575" i="3" s="1"/>
  <c r="I576" i="3" a="1"/>
  <c r="I576" i="3" s="1"/>
  <c r="I577" i="3" a="1"/>
  <c r="I577" i="3" s="1"/>
  <c r="I578" i="3" a="1"/>
  <c r="I578" i="3" s="1"/>
  <c r="I579" i="3" a="1"/>
  <c r="I579" i="3" s="1"/>
  <c r="I580" i="3" a="1"/>
  <c r="I580" i="3" s="1"/>
  <c r="I581" i="3" a="1"/>
  <c r="I581" i="3" s="1"/>
  <c r="I582" i="3" a="1"/>
  <c r="I582" i="3" s="1"/>
  <c r="I583" i="3" a="1"/>
  <c r="I583" i="3" s="1"/>
  <c r="I584" i="3" a="1"/>
  <c r="I584" i="3" s="1"/>
  <c r="I585" i="3" a="1"/>
  <c r="I585" i="3" s="1"/>
  <c r="I586" i="3" a="1"/>
  <c r="I586" i="3" s="1"/>
  <c r="I587" i="3" a="1"/>
  <c r="I587" i="3" s="1"/>
  <c r="I588" i="3" a="1"/>
  <c r="I588" i="3" s="1"/>
  <c r="I589" i="3" a="1"/>
  <c r="I589" i="3" s="1"/>
  <c r="I590" i="3" a="1"/>
  <c r="I590" i="3" s="1"/>
  <c r="I591" i="3" a="1"/>
  <c r="I591" i="3" s="1"/>
  <c r="I592" i="3" a="1"/>
  <c r="I592" i="3" s="1"/>
  <c r="I593" i="3" a="1"/>
  <c r="I593" i="3" s="1"/>
  <c r="I594" i="3" a="1"/>
  <c r="I594" i="3" s="1"/>
  <c r="I595" i="3" a="1"/>
  <c r="I595" i="3" s="1"/>
  <c r="I596" i="3" a="1"/>
  <c r="I596" i="3" s="1"/>
  <c r="I597" i="3" a="1"/>
  <c r="I597" i="3" s="1"/>
  <c r="I598" i="3" a="1"/>
  <c r="I598" i="3" s="1"/>
  <c r="I599" i="3" a="1"/>
  <c r="I599" i="3" s="1"/>
  <c r="I600" i="3" a="1"/>
  <c r="I600" i="3" s="1"/>
  <c r="I601" i="3" a="1"/>
  <c r="I601" i="3" s="1"/>
  <c r="I602" i="3" a="1"/>
  <c r="I602" i="3" s="1"/>
  <c r="I603" i="3" a="1"/>
  <c r="I603" i="3" s="1"/>
  <c r="I604" i="3" a="1"/>
  <c r="I604" i="3" s="1"/>
  <c r="I605" i="3" a="1"/>
  <c r="I605" i="3" s="1"/>
  <c r="I606" i="3" a="1"/>
  <c r="I606" i="3" s="1"/>
  <c r="I607" i="3" a="1"/>
  <c r="I607" i="3" s="1"/>
  <c r="I608" i="3" a="1"/>
  <c r="I608" i="3" s="1"/>
  <c r="I609" i="3" a="1"/>
  <c r="I609" i="3" s="1"/>
  <c r="I610" i="3" a="1"/>
  <c r="I610" i="3" s="1"/>
  <c r="I611" i="3" a="1"/>
  <c r="I611" i="3" s="1"/>
  <c r="I612" i="3" a="1"/>
  <c r="I612" i="3" s="1"/>
  <c r="I613" i="3" a="1"/>
  <c r="I613" i="3" s="1"/>
  <c r="I614" i="3" a="1"/>
  <c r="I614" i="3" s="1"/>
  <c r="I615" i="3" a="1"/>
  <c r="I615" i="3" s="1"/>
  <c r="I616" i="3" a="1"/>
  <c r="I616" i="3" s="1"/>
  <c r="I617" i="3" a="1"/>
  <c r="I617" i="3" s="1"/>
  <c r="I618" i="3" a="1"/>
  <c r="I618" i="3" s="1"/>
  <c r="I619" i="3" a="1"/>
  <c r="I619" i="3" s="1"/>
  <c r="I620" i="3" a="1"/>
  <c r="I620" i="3" s="1"/>
  <c r="I621" i="3" a="1"/>
  <c r="I621" i="3" s="1"/>
  <c r="I622" i="3" a="1"/>
  <c r="I622" i="3" s="1"/>
  <c r="I623" i="3" a="1"/>
  <c r="I623" i="3" s="1"/>
  <c r="I624" i="3" a="1"/>
  <c r="I624" i="3" s="1"/>
  <c r="I625" i="3" a="1"/>
  <c r="I625" i="3" s="1"/>
  <c r="I626" i="3" a="1"/>
  <c r="I626" i="3" s="1"/>
  <c r="I627" i="3" a="1"/>
  <c r="I627" i="3" s="1"/>
  <c r="I628" i="3" a="1"/>
  <c r="I628" i="3" s="1"/>
  <c r="I629" i="3" a="1"/>
  <c r="I629" i="3" s="1"/>
  <c r="I630" i="3" a="1"/>
  <c r="I630" i="3" s="1"/>
  <c r="I631" i="3" a="1"/>
  <c r="I631" i="3" s="1"/>
  <c r="I632" i="3" a="1"/>
  <c r="I632" i="3" s="1"/>
  <c r="I633" i="3" a="1"/>
  <c r="I633" i="3" s="1"/>
  <c r="I634" i="3" a="1"/>
  <c r="I634" i="3" s="1"/>
  <c r="I635" i="3" a="1"/>
  <c r="I635" i="3" s="1"/>
  <c r="I636" i="3" a="1"/>
  <c r="I636" i="3" s="1"/>
  <c r="I637" i="3" a="1"/>
  <c r="I637" i="3" s="1"/>
  <c r="I638" i="3" a="1"/>
  <c r="I638" i="3" s="1"/>
  <c r="I639" i="3" a="1"/>
  <c r="I639" i="3" s="1"/>
  <c r="I640" i="3" a="1"/>
  <c r="I640" i="3" s="1"/>
  <c r="I641" i="3" a="1"/>
  <c r="I641" i="3" s="1"/>
  <c r="I642" i="3" a="1"/>
  <c r="I642" i="3" s="1"/>
  <c r="I643" i="3" a="1"/>
  <c r="I643" i="3" s="1"/>
  <c r="I644" i="3" a="1"/>
  <c r="I644" i="3" s="1"/>
  <c r="I645" i="3" a="1"/>
  <c r="I645" i="3" s="1"/>
  <c r="I646" i="3" a="1"/>
  <c r="I646" i="3" s="1"/>
  <c r="I647" i="3" a="1"/>
  <c r="I647" i="3" s="1"/>
  <c r="I648" i="3" a="1"/>
  <c r="I648" i="3" s="1"/>
  <c r="I649" i="3" a="1"/>
  <c r="I649" i="3" s="1"/>
  <c r="I650" i="3" a="1"/>
  <c r="I650" i="3" s="1"/>
  <c r="I651" i="3" a="1"/>
  <c r="I651" i="3" s="1"/>
  <c r="I652" i="3" a="1"/>
  <c r="I652" i="3" s="1"/>
  <c r="I653" i="3" a="1"/>
  <c r="I653" i="3" s="1"/>
  <c r="I654" i="3" a="1"/>
  <c r="I654" i="3" s="1"/>
  <c r="I655" i="3" a="1"/>
  <c r="I655" i="3" s="1"/>
  <c r="I656" i="3" a="1"/>
  <c r="I656" i="3" s="1"/>
  <c r="I657" i="3" a="1"/>
  <c r="I657" i="3" s="1"/>
  <c r="I658" i="3" a="1"/>
  <c r="I658" i="3" s="1"/>
  <c r="I659" i="3" a="1"/>
  <c r="I659" i="3" s="1"/>
  <c r="I660" i="3" a="1"/>
  <c r="I660" i="3" s="1"/>
  <c r="I661" i="3" a="1"/>
  <c r="I661" i="3" s="1"/>
  <c r="I662" i="3" a="1"/>
  <c r="I662" i="3" s="1"/>
  <c r="I663" i="3" a="1"/>
  <c r="I663" i="3" s="1"/>
  <c r="I664" i="3" a="1"/>
  <c r="I664" i="3" s="1"/>
  <c r="I665" i="3" a="1"/>
  <c r="I665" i="3" s="1"/>
  <c r="I666" i="3" a="1"/>
  <c r="I666" i="3" s="1"/>
  <c r="I667" i="3" a="1"/>
  <c r="I667" i="3" s="1"/>
  <c r="I668" i="3" a="1"/>
  <c r="I668" i="3" s="1"/>
  <c r="I669" i="3" a="1"/>
  <c r="I669" i="3" s="1"/>
  <c r="I670" i="3" a="1"/>
  <c r="I670" i="3" s="1"/>
  <c r="I671" i="3" a="1"/>
  <c r="I671" i="3" s="1"/>
  <c r="I672" i="3" a="1"/>
  <c r="I672" i="3" s="1"/>
  <c r="I673" i="3" a="1"/>
  <c r="I673" i="3" s="1"/>
  <c r="I674" i="3" a="1"/>
  <c r="I674" i="3" s="1"/>
  <c r="I675" i="3" a="1"/>
  <c r="I675" i="3" s="1"/>
  <c r="I676" i="3" a="1"/>
  <c r="I676" i="3" s="1"/>
  <c r="I677" i="3" a="1"/>
  <c r="I677" i="3" s="1"/>
  <c r="I678" i="3" a="1"/>
  <c r="I678" i="3" s="1"/>
  <c r="I679" i="3" a="1"/>
  <c r="I679" i="3" s="1"/>
  <c r="I680" i="3" a="1"/>
  <c r="I680" i="3" s="1"/>
  <c r="I681" i="3" a="1"/>
  <c r="I681" i="3" s="1"/>
  <c r="I682" i="3" a="1"/>
  <c r="I682" i="3" s="1"/>
  <c r="I683" i="3" a="1"/>
  <c r="I683" i="3" s="1"/>
  <c r="I684" i="3" a="1"/>
  <c r="I684" i="3" s="1"/>
  <c r="I685" i="3" a="1"/>
  <c r="I685" i="3" s="1"/>
  <c r="I686" i="3" a="1"/>
  <c r="I686" i="3" s="1"/>
  <c r="I687" i="3" a="1"/>
  <c r="I687" i="3" s="1"/>
  <c r="I688" i="3" a="1"/>
  <c r="I688" i="3" s="1"/>
  <c r="I689" i="3" a="1"/>
  <c r="I689" i="3" s="1"/>
  <c r="I690" i="3" a="1"/>
  <c r="I690" i="3" s="1"/>
  <c r="I691" i="3" a="1"/>
  <c r="I691" i="3" s="1"/>
  <c r="I692" i="3" a="1"/>
  <c r="I692" i="3" s="1"/>
  <c r="I693" i="3" a="1"/>
  <c r="I693" i="3" s="1"/>
  <c r="I694" i="3" a="1"/>
  <c r="I694" i="3" s="1"/>
  <c r="I695" i="3" a="1"/>
  <c r="I695" i="3" s="1"/>
  <c r="I696" i="3" a="1"/>
  <c r="I696" i="3" s="1"/>
  <c r="I697" i="3" a="1"/>
  <c r="I697" i="3" s="1"/>
  <c r="I698" i="3" a="1"/>
  <c r="I698" i="3" s="1"/>
  <c r="I699" i="3" a="1"/>
  <c r="I699" i="3" s="1"/>
  <c r="I700" i="3" a="1"/>
  <c r="I700" i="3" s="1"/>
  <c r="I701" i="3" a="1"/>
  <c r="I701" i="3" s="1"/>
  <c r="I702" i="3" a="1"/>
  <c r="I702" i="3" s="1"/>
  <c r="I703" i="3" a="1"/>
  <c r="I703" i="3" s="1"/>
  <c r="I704" i="3" a="1"/>
  <c r="I704" i="3" s="1"/>
  <c r="I705" i="3" a="1"/>
  <c r="I705" i="3" s="1"/>
  <c r="I706" i="3" a="1"/>
  <c r="I706" i="3" s="1"/>
  <c r="I707" i="3" a="1"/>
  <c r="I707" i="3" s="1"/>
  <c r="I708" i="3" a="1"/>
  <c r="I708" i="3" s="1"/>
  <c r="I709" i="3" a="1"/>
  <c r="I709" i="3" s="1"/>
  <c r="I710" i="3" a="1"/>
  <c r="I710" i="3" s="1"/>
  <c r="I711" i="3" a="1"/>
  <c r="I711" i="3" s="1"/>
  <c r="I712" i="3" a="1"/>
  <c r="I712" i="3" s="1"/>
  <c r="I713" i="3" a="1"/>
  <c r="I713" i="3" s="1"/>
  <c r="I714" i="3" a="1"/>
  <c r="I714" i="3" s="1"/>
  <c r="I715" i="3" a="1"/>
  <c r="I715" i="3" s="1"/>
  <c r="I716" i="3" a="1"/>
  <c r="I716" i="3" s="1"/>
  <c r="I717" i="3" a="1"/>
  <c r="I717" i="3" s="1"/>
  <c r="I718" i="3" a="1"/>
  <c r="I718" i="3" s="1"/>
  <c r="I719" i="3" a="1"/>
  <c r="I719" i="3" s="1"/>
  <c r="I720" i="3" a="1"/>
  <c r="I720" i="3" s="1"/>
  <c r="I721" i="3" a="1"/>
  <c r="I721" i="3" s="1"/>
  <c r="I722" i="3" a="1"/>
  <c r="I722" i="3" s="1"/>
  <c r="I723" i="3" a="1"/>
  <c r="I723" i="3" s="1"/>
  <c r="I724" i="3" a="1"/>
  <c r="I724" i="3" s="1"/>
  <c r="I725" i="3" a="1"/>
  <c r="I725" i="3" s="1"/>
  <c r="I726" i="3" a="1"/>
  <c r="I726" i="3" s="1"/>
  <c r="I727" i="3" a="1"/>
  <c r="I727" i="3" s="1"/>
  <c r="I728" i="3" a="1"/>
  <c r="I728" i="3" s="1"/>
  <c r="I729" i="3" a="1"/>
  <c r="I729" i="3" s="1"/>
  <c r="I730" i="3" a="1"/>
  <c r="I730" i="3" s="1"/>
  <c r="I731" i="3" a="1"/>
  <c r="I731" i="3" s="1"/>
  <c r="I732" i="3" a="1"/>
  <c r="I732" i="3" s="1"/>
  <c r="I733" i="3" a="1"/>
  <c r="I733" i="3" s="1"/>
  <c r="I734" i="3" a="1"/>
  <c r="I734" i="3" s="1"/>
  <c r="I735" i="3" a="1"/>
  <c r="I735" i="3" s="1"/>
  <c r="I736" i="3" a="1"/>
  <c r="I736" i="3" s="1"/>
  <c r="I737" i="3" a="1"/>
  <c r="I737" i="3" s="1"/>
  <c r="I738" i="3" a="1"/>
  <c r="I738" i="3" s="1"/>
  <c r="I739" i="3" a="1"/>
  <c r="I739" i="3" s="1"/>
  <c r="I740" i="3" a="1"/>
  <c r="I740" i="3" s="1"/>
  <c r="I741" i="3" a="1"/>
  <c r="I741" i="3" s="1"/>
  <c r="I742" i="3" a="1"/>
  <c r="I742" i="3" s="1"/>
  <c r="I743" i="3" a="1"/>
  <c r="I743" i="3" s="1"/>
  <c r="I744" i="3" a="1"/>
  <c r="I744" i="3" s="1"/>
  <c r="I745" i="3" a="1"/>
  <c r="I745" i="3" s="1"/>
  <c r="I746" i="3" a="1"/>
  <c r="I746" i="3" s="1"/>
  <c r="I747" i="3" a="1"/>
  <c r="I747" i="3" s="1"/>
  <c r="I748" i="3" a="1"/>
  <c r="I748" i="3" s="1"/>
  <c r="I749" i="3" a="1"/>
  <c r="I749" i="3" s="1"/>
  <c r="I750" i="3" a="1"/>
  <c r="I750" i="3" s="1"/>
  <c r="I751" i="3" a="1"/>
  <c r="I751" i="3" s="1"/>
  <c r="I752" i="3" a="1"/>
  <c r="I752" i="3" s="1"/>
  <c r="I753" i="3" a="1"/>
  <c r="I753" i="3" s="1"/>
  <c r="I754" i="3" a="1"/>
  <c r="I754" i="3" s="1"/>
  <c r="I755" i="3" a="1"/>
  <c r="I755" i="3" s="1"/>
  <c r="I756" i="3" a="1"/>
  <c r="I756" i="3" s="1"/>
  <c r="I757" i="3" a="1"/>
  <c r="I757" i="3" s="1"/>
  <c r="I758" i="3" a="1"/>
  <c r="I758" i="3" s="1"/>
  <c r="I759" i="3" a="1"/>
  <c r="I759" i="3" s="1"/>
  <c r="I760" i="3" a="1"/>
  <c r="I760" i="3" s="1"/>
  <c r="I761" i="3" a="1"/>
  <c r="I761" i="3" s="1"/>
  <c r="I762" i="3" a="1"/>
  <c r="I762" i="3" s="1"/>
  <c r="I763" i="3" a="1"/>
  <c r="I763" i="3" s="1"/>
  <c r="I764" i="3" a="1"/>
  <c r="I764" i="3" s="1"/>
  <c r="I765" i="3" a="1"/>
  <c r="I765" i="3" s="1"/>
  <c r="I766" i="3" a="1"/>
  <c r="I766" i="3" s="1"/>
  <c r="I767" i="3" a="1"/>
  <c r="I767" i="3" s="1"/>
  <c r="I768" i="3" a="1"/>
  <c r="I768" i="3" s="1"/>
  <c r="I769" i="3" a="1"/>
  <c r="I769" i="3" s="1"/>
  <c r="I770" i="3" a="1"/>
  <c r="I770" i="3" s="1"/>
  <c r="I771" i="3" a="1"/>
  <c r="I771" i="3" s="1"/>
  <c r="I772" i="3" a="1"/>
  <c r="I772" i="3" s="1"/>
  <c r="I773" i="3" a="1"/>
  <c r="I773" i="3" s="1"/>
  <c r="I774" i="3" a="1"/>
  <c r="I774" i="3" s="1"/>
  <c r="I775" i="3" a="1"/>
  <c r="I775" i="3" s="1"/>
  <c r="I776" i="3" a="1"/>
  <c r="I776" i="3" s="1"/>
  <c r="I777" i="3" a="1"/>
  <c r="I777" i="3" s="1"/>
  <c r="I778" i="3" a="1"/>
  <c r="I778" i="3" s="1"/>
  <c r="I779" i="3" a="1"/>
  <c r="I779" i="3" s="1"/>
  <c r="I780" i="3" a="1"/>
  <c r="I780" i="3" s="1"/>
  <c r="I781" i="3" a="1"/>
  <c r="I781" i="3" s="1"/>
  <c r="I782" i="3" a="1"/>
  <c r="I782" i="3" s="1"/>
  <c r="I783" i="3" a="1"/>
  <c r="I783" i="3" s="1"/>
  <c r="I784" i="3" a="1"/>
  <c r="I784" i="3" s="1"/>
  <c r="I785" i="3" a="1"/>
  <c r="I785" i="3" s="1"/>
  <c r="I786" i="3" a="1"/>
  <c r="I786" i="3" s="1"/>
  <c r="I787" i="3" a="1"/>
  <c r="I787" i="3" s="1"/>
  <c r="I788" i="3" a="1"/>
  <c r="I788" i="3" s="1"/>
  <c r="I789" i="3" a="1"/>
  <c r="I789" i="3" s="1"/>
  <c r="I790" i="3" a="1"/>
  <c r="I790" i="3" s="1"/>
  <c r="I791" i="3" a="1"/>
  <c r="I791" i="3" s="1"/>
  <c r="I792" i="3" a="1"/>
  <c r="I792" i="3" s="1"/>
  <c r="I793" i="3" a="1"/>
  <c r="I793" i="3" s="1"/>
  <c r="I794" i="3" a="1"/>
  <c r="I794" i="3" s="1"/>
  <c r="I795" i="3" a="1"/>
  <c r="I795" i="3" s="1"/>
  <c r="I796" i="3" a="1"/>
  <c r="I796" i="3" s="1"/>
  <c r="I797" i="3" a="1"/>
  <c r="I797" i="3" s="1"/>
  <c r="I798" i="3" a="1"/>
  <c r="I798" i="3" s="1"/>
  <c r="I799" i="3" a="1"/>
  <c r="I799" i="3" s="1"/>
  <c r="I800" i="3" a="1"/>
  <c r="I800" i="3" s="1"/>
  <c r="I801" i="3" a="1"/>
  <c r="I801" i="3" s="1"/>
  <c r="I802" i="3" a="1"/>
  <c r="I802" i="3" s="1"/>
  <c r="I803" i="3" a="1"/>
  <c r="I803" i="3" s="1"/>
  <c r="I804" i="3" a="1"/>
  <c r="I804" i="3" s="1"/>
  <c r="I805" i="3" a="1"/>
  <c r="I805" i="3" s="1"/>
  <c r="I806" i="3" a="1"/>
  <c r="I806" i="3" s="1"/>
  <c r="I807" i="3" a="1"/>
  <c r="I807" i="3" s="1"/>
  <c r="I808" i="3" a="1"/>
  <c r="I808" i="3" s="1"/>
  <c r="I809" i="3" a="1"/>
  <c r="I809" i="3" s="1"/>
  <c r="I810" i="3" a="1"/>
  <c r="I810" i="3" s="1"/>
  <c r="I811" i="3" a="1"/>
  <c r="I811" i="3" s="1"/>
  <c r="I812" i="3" a="1"/>
  <c r="I812" i="3" s="1"/>
  <c r="I813" i="3" a="1"/>
  <c r="I813" i="3" s="1"/>
  <c r="I814" i="3" a="1"/>
  <c r="I814" i="3" s="1"/>
  <c r="I815" i="3" a="1"/>
  <c r="I815" i="3" s="1"/>
  <c r="I816" i="3" a="1"/>
  <c r="I816" i="3" s="1"/>
  <c r="I817" i="3" a="1"/>
  <c r="I817" i="3" s="1"/>
  <c r="I818" i="3" a="1"/>
  <c r="I818" i="3" s="1"/>
  <c r="I819" i="3" a="1"/>
  <c r="I819" i="3" s="1"/>
  <c r="I820" i="3" a="1"/>
  <c r="I820" i="3" s="1"/>
  <c r="I821" i="3" a="1"/>
  <c r="I821" i="3" s="1"/>
  <c r="I822" i="3" a="1"/>
  <c r="I822" i="3" s="1"/>
  <c r="I823" i="3" a="1"/>
  <c r="I823" i="3" s="1"/>
  <c r="I824" i="3" a="1"/>
  <c r="I824" i="3" s="1"/>
  <c r="I825" i="3" a="1"/>
  <c r="I825" i="3" s="1"/>
  <c r="I826" i="3" a="1"/>
  <c r="I826" i="3" s="1"/>
  <c r="I827" i="3" a="1"/>
  <c r="I827" i="3" s="1"/>
  <c r="I828" i="3" a="1"/>
  <c r="I828" i="3" s="1"/>
  <c r="I829" i="3" a="1"/>
  <c r="I829" i="3" s="1"/>
  <c r="I830" i="3" a="1"/>
  <c r="I830" i="3" s="1"/>
  <c r="I831" i="3" a="1"/>
  <c r="I831" i="3" s="1"/>
  <c r="I832" i="3" a="1"/>
  <c r="I832" i="3" s="1"/>
  <c r="I833" i="3" a="1"/>
  <c r="I833" i="3" s="1"/>
  <c r="I834" i="3" a="1"/>
  <c r="I834" i="3" s="1"/>
  <c r="I835" i="3" a="1"/>
  <c r="I835" i="3" s="1"/>
  <c r="I836" i="3" a="1"/>
  <c r="I836" i="3" s="1"/>
  <c r="I837" i="3" a="1"/>
  <c r="I837" i="3" s="1"/>
  <c r="I838" i="3" a="1"/>
  <c r="I838" i="3" s="1"/>
  <c r="I839" i="3" a="1"/>
  <c r="I839" i="3" s="1"/>
  <c r="I840" i="3" a="1"/>
  <c r="I840" i="3" s="1"/>
  <c r="I841" i="3" a="1"/>
  <c r="I841" i="3" s="1"/>
  <c r="I842" i="3" a="1"/>
  <c r="I842" i="3" s="1"/>
  <c r="I843" i="3" a="1"/>
  <c r="I843" i="3" s="1"/>
  <c r="I844" i="3" a="1"/>
  <c r="I844" i="3" s="1"/>
  <c r="I845" i="3" a="1"/>
  <c r="I845" i="3" s="1"/>
  <c r="I846" i="3" a="1"/>
  <c r="I846" i="3" s="1"/>
  <c r="I847" i="3" a="1"/>
  <c r="I847" i="3" s="1"/>
  <c r="I848" i="3" a="1"/>
  <c r="I848" i="3" s="1"/>
  <c r="I849" i="3" a="1"/>
  <c r="I849" i="3" s="1"/>
  <c r="I850" i="3" a="1"/>
  <c r="I850" i="3" s="1"/>
  <c r="I851" i="3" a="1"/>
  <c r="I851" i="3" s="1"/>
  <c r="I852" i="3" a="1"/>
  <c r="I852" i="3" s="1"/>
  <c r="I853" i="3" a="1"/>
  <c r="I853" i="3" s="1"/>
  <c r="I854" i="3" a="1"/>
  <c r="I854" i="3" s="1"/>
  <c r="I855" i="3" a="1"/>
  <c r="I855" i="3" s="1"/>
  <c r="I856" i="3" a="1"/>
  <c r="I856" i="3" s="1"/>
  <c r="I857" i="3" a="1"/>
  <c r="I857" i="3" s="1"/>
  <c r="I858" i="3" a="1"/>
  <c r="I858" i="3" s="1"/>
  <c r="I859" i="3" a="1"/>
  <c r="I859" i="3" s="1"/>
  <c r="I860" i="3" a="1"/>
  <c r="I860" i="3" s="1"/>
  <c r="I861" i="3" a="1"/>
  <c r="I861" i="3" s="1"/>
  <c r="I862" i="3" a="1"/>
  <c r="I862" i="3" s="1"/>
  <c r="I863" i="3" a="1"/>
  <c r="I863" i="3" s="1"/>
  <c r="I864" i="3" a="1"/>
  <c r="I864" i="3" s="1"/>
  <c r="I865" i="3" a="1"/>
  <c r="I865" i="3" s="1"/>
  <c r="I866" i="3" a="1"/>
  <c r="I866" i="3" s="1"/>
  <c r="I867" i="3" a="1"/>
  <c r="I867" i="3" s="1"/>
  <c r="I868" i="3" a="1"/>
  <c r="I868" i="3" s="1"/>
  <c r="I869" i="3" a="1"/>
  <c r="I869" i="3" s="1"/>
  <c r="I870" i="3" a="1"/>
  <c r="I870" i="3" s="1"/>
  <c r="I871" i="3" a="1"/>
  <c r="I871" i="3" s="1"/>
  <c r="I872" i="3" a="1"/>
  <c r="I872" i="3" s="1"/>
  <c r="I873" i="3" a="1"/>
  <c r="I873" i="3" s="1"/>
  <c r="I874" i="3" a="1"/>
  <c r="I874" i="3" s="1"/>
  <c r="I875" i="3" a="1"/>
  <c r="I875" i="3" s="1"/>
  <c r="I876" i="3" a="1"/>
  <c r="I876" i="3" s="1"/>
  <c r="I877" i="3" a="1"/>
  <c r="I877" i="3" s="1"/>
  <c r="I878" i="3" a="1"/>
  <c r="I878" i="3" s="1"/>
  <c r="I879" i="3" a="1"/>
  <c r="I879" i="3" s="1"/>
  <c r="I880" i="3" a="1"/>
  <c r="I880" i="3" s="1"/>
  <c r="I881" i="3" a="1"/>
  <c r="I881" i="3" s="1"/>
  <c r="I882" i="3" a="1"/>
  <c r="I882" i="3" s="1"/>
  <c r="I883" i="3" a="1"/>
  <c r="I883" i="3" s="1"/>
  <c r="I884" i="3" a="1"/>
  <c r="I884" i="3" s="1"/>
  <c r="I885" i="3" a="1"/>
  <c r="I885" i="3" s="1"/>
  <c r="I886" i="3" a="1"/>
  <c r="I886" i="3" s="1"/>
  <c r="I887" i="3" a="1"/>
  <c r="I887" i="3" s="1"/>
  <c r="I888" i="3" a="1"/>
  <c r="I888" i="3" s="1"/>
  <c r="I889" i="3" a="1"/>
  <c r="I889" i="3" s="1"/>
  <c r="I890" i="3" a="1"/>
  <c r="I890" i="3" s="1"/>
  <c r="I891" i="3" a="1"/>
  <c r="I891" i="3" s="1"/>
  <c r="I892" i="3" a="1"/>
  <c r="I892" i="3" s="1"/>
  <c r="I893" i="3" a="1"/>
  <c r="I893" i="3" s="1"/>
  <c r="I894" i="3" a="1"/>
  <c r="I894" i="3" s="1"/>
  <c r="I895" i="3" a="1"/>
  <c r="I895" i="3" s="1"/>
  <c r="I896" i="3" a="1"/>
  <c r="I896" i="3" s="1"/>
  <c r="I897" i="3" a="1"/>
  <c r="I897" i="3" s="1"/>
  <c r="I898" i="3" a="1"/>
  <c r="I898" i="3" s="1"/>
  <c r="I899" i="3" a="1"/>
  <c r="I899" i="3" s="1"/>
  <c r="I900" i="3" a="1"/>
  <c r="I900" i="3" s="1"/>
  <c r="I901" i="3" a="1"/>
  <c r="I901" i="3" s="1"/>
  <c r="I902" i="3" a="1"/>
  <c r="I902" i="3" s="1"/>
  <c r="I903" i="3" a="1"/>
  <c r="I903" i="3" s="1"/>
  <c r="I904" i="3" a="1"/>
  <c r="I904" i="3" s="1"/>
  <c r="I905" i="3" a="1"/>
  <c r="I905" i="3" s="1"/>
  <c r="I906" i="3" a="1"/>
  <c r="I906" i="3" s="1"/>
  <c r="I907" i="3" a="1"/>
  <c r="I907" i="3" s="1"/>
  <c r="I908" i="3" a="1"/>
  <c r="I908" i="3" s="1"/>
  <c r="I909" i="3" a="1"/>
  <c r="I909" i="3" s="1"/>
  <c r="I910" i="3" a="1"/>
  <c r="I910" i="3" s="1"/>
  <c r="I911" i="3" a="1"/>
  <c r="I911" i="3" s="1"/>
  <c r="I912" i="3" a="1"/>
  <c r="I912" i="3" s="1"/>
  <c r="I913" i="3" a="1"/>
  <c r="I913" i="3" s="1"/>
  <c r="I914" i="3" a="1"/>
  <c r="I914" i="3" s="1"/>
  <c r="I915" i="3" a="1"/>
  <c r="I915" i="3" s="1"/>
  <c r="I916" i="3" a="1"/>
  <c r="I916" i="3" s="1"/>
  <c r="I917" i="3" a="1"/>
  <c r="I917" i="3" s="1"/>
  <c r="I918" i="3" a="1"/>
  <c r="I918" i="3" s="1"/>
  <c r="I919" i="3" a="1"/>
  <c r="I919" i="3" s="1"/>
  <c r="I920" i="3" a="1"/>
  <c r="I920" i="3" s="1"/>
  <c r="I921" i="3" a="1"/>
  <c r="I921" i="3" s="1"/>
  <c r="I922" i="3" a="1"/>
  <c r="I922" i="3" s="1"/>
  <c r="I923" i="3" a="1"/>
  <c r="I923" i="3" s="1"/>
  <c r="I924" i="3" a="1"/>
  <c r="I924" i="3" s="1"/>
  <c r="I925" i="3" a="1"/>
  <c r="I925" i="3" s="1"/>
  <c r="I926" i="3" a="1"/>
  <c r="I926" i="3" s="1"/>
  <c r="I927" i="3" a="1"/>
  <c r="I927" i="3" s="1"/>
  <c r="I928" i="3" a="1"/>
  <c r="I928" i="3" s="1"/>
  <c r="I929" i="3" a="1"/>
  <c r="I929" i="3" s="1"/>
  <c r="I930" i="3" a="1"/>
  <c r="I930" i="3" s="1"/>
  <c r="I931" i="3" a="1"/>
  <c r="I931" i="3" s="1"/>
  <c r="I932" i="3" a="1"/>
  <c r="I932" i="3" s="1"/>
  <c r="I933" i="3" a="1"/>
  <c r="I933" i="3" s="1"/>
  <c r="I934" i="3" a="1"/>
  <c r="I934" i="3" s="1"/>
  <c r="I935" i="3" a="1"/>
  <c r="I935" i="3" s="1"/>
  <c r="I936" i="3" a="1"/>
  <c r="I936" i="3" s="1"/>
  <c r="I937" i="3" a="1"/>
  <c r="I937" i="3" s="1"/>
  <c r="I938" i="3" a="1"/>
  <c r="I938" i="3" s="1"/>
  <c r="I939" i="3" a="1"/>
  <c r="I939" i="3" s="1"/>
  <c r="I940" i="3" a="1"/>
  <c r="I940" i="3" s="1"/>
  <c r="I941" i="3" a="1"/>
  <c r="I941" i="3" s="1"/>
  <c r="I942" i="3" a="1"/>
  <c r="I942" i="3" s="1"/>
  <c r="I943" i="3" a="1"/>
  <c r="I943" i="3" s="1"/>
  <c r="I944" i="3" a="1"/>
  <c r="I944" i="3" s="1"/>
  <c r="I945" i="3" a="1"/>
  <c r="I945" i="3" s="1"/>
  <c r="I946" i="3" a="1"/>
  <c r="I946" i="3" s="1"/>
  <c r="I947" i="3" a="1"/>
  <c r="I947" i="3" s="1"/>
  <c r="I948" i="3" a="1"/>
  <c r="I948" i="3" s="1"/>
  <c r="I949" i="3" a="1"/>
  <c r="I949" i="3" s="1"/>
  <c r="I950" i="3" a="1"/>
  <c r="I950" i="3" s="1"/>
  <c r="I951" i="3" a="1"/>
  <c r="I951" i="3" s="1"/>
  <c r="I952" i="3" a="1"/>
  <c r="I952" i="3" s="1"/>
  <c r="I953" i="3" a="1"/>
  <c r="I953" i="3" s="1"/>
  <c r="I954" i="3" a="1"/>
  <c r="I954" i="3" s="1"/>
  <c r="I955" i="3" a="1"/>
  <c r="I955" i="3" s="1"/>
  <c r="I956" i="3" a="1"/>
  <c r="I956" i="3" s="1"/>
  <c r="I957" i="3" a="1"/>
  <c r="I957" i="3" s="1"/>
  <c r="I958" i="3" a="1"/>
  <c r="I958" i="3" s="1"/>
  <c r="I959" i="3" a="1"/>
  <c r="I959" i="3" s="1"/>
  <c r="I960" i="3" a="1"/>
  <c r="I960" i="3" s="1"/>
  <c r="I961" i="3" a="1"/>
  <c r="I961" i="3" s="1"/>
  <c r="I962" i="3" a="1"/>
  <c r="I962" i="3" s="1"/>
  <c r="I963" i="3" a="1"/>
  <c r="I963" i="3" s="1"/>
  <c r="I964" i="3" a="1"/>
  <c r="I964" i="3" s="1"/>
  <c r="I965" i="3" a="1"/>
  <c r="I965" i="3" s="1"/>
  <c r="I966" i="3" a="1"/>
  <c r="I966" i="3" s="1"/>
  <c r="I967" i="3" a="1"/>
  <c r="I967" i="3" s="1"/>
  <c r="I968" i="3" a="1"/>
  <c r="I968" i="3" s="1"/>
  <c r="I969" i="3" a="1"/>
  <c r="I969" i="3" s="1"/>
  <c r="I970" i="3" a="1"/>
  <c r="I970" i="3" s="1"/>
  <c r="I971" i="3" a="1"/>
  <c r="I971" i="3" s="1"/>
  <c r="I972" i="3" a="1"/>
  <c r="I972" i="3" s="1"/>
  <c r="I973" i="3" a="1"/>
  <c r="I973" i="3" s="1"/>
  <c r="I974" i="3" a="1"/>
  <c r="I974" i="3" s="1"/>
  <c r="I975" i="3" a="1"/>
  <c r="I975" i="3" s="1"/>
  <c r="I976" i="3" a="1"/>
  <c r="I976" i="3" s="1"/>
  <c r="I977" i="3" a="1"/>
  <c r="I977" i="3" s="1"/>
  <c r="I978" i="3" a="1"/>
  <c r="I978" i="3" s="1"/>
  <c r="I979" i="3" a="1"/>
  <c r="I979" i="3" s="1"/>
  <c r="I980" i="3" a="1"/>
  <c r="I980" i="3" s="1"/>
  <c r="I981" i="3" a="1"/>
  <c r="I981" i="3" s="1"/>
  <c r="I982" i="3" a="1"/>
  <c r="I982" i="3" s="1"/>
  <c r="I983" i="3" a="1"/>
  <c r="I983" i="3" s="1"/>
  <c r="I984" i="3" a="1"/>
  <c r="I984" i="3" s="1"/>
  <c r="I985" i="3" a="1"/>
  <c r="I985" i="3" s="1"/>
  <c r="I986" i="3" a="1"/>
  <c r="I986" i="3" s="1"/>
  <c r="I987" i="3" a="1"/>
  <c r="I987" i="3" s="1"/>
  <c r="I988" i="3" a="1"/>
  <c r="I988" i="3" s="1"/>
  <c r="I989" i="3" a="1"/>
  <c r="I989" i="3" s="1"/>
  <c r="I990" i="3" a="1"/>
  <c r="I990" i="3" s="1"/>
  <c r="I991" i="3" a="1"/>
  <c r="I991" i="3" s="1"/>
  <c r="I992" i="3" a="1"/>
  <c r="I992" i="3" s="1"/>
  <c r="I993" i="3" a="1"/>
  <c r="I993" i="3" s="1"/>
  <c r="I994" i="3" a="1"/>
  <c r="I994" i="3" s="1"/>
  <c r="I995" i="3" a="1"/>
  <c r="I995" i="3" s="1"/>
  <c r="I996" i="3" a="1"/>
  <c r="I996" i="3" s="1"/>
  <c r="I997" i="3" a="1"/>
  <c r="I997" i="3" s="1"/>
  <c r="I998" i="3" a="1"/>
  <c r="I998" i="3" s="1"/>
  <c r="I999" i="3" a="1"/>
  <c r="I999" i="3" s="1"/>
  <c r="I1000" i="3" a="1"/>
  <c r="I1000" i="3" s="1"/>
  <c r="I1001" i="3" a="1"/>
  <c r="I1001" i="3" s="1"/>
  <c r="I1002" i="3" a="1"/>
  <c r="I1002" i="3" s="1"/>
  <c r="I1003" i="3" a="1"/>
  <c r="I1003" i="3" s="1"/>
  <c r="I1004" i="3" a="1"/>
  <c r="I1004" i="3" s="1"/>
  <c r="I1005" i="3" a="1"/>
  <c r="I1005" i="3" s="1"/>
  <c r="I1006" i="3" a="1"/>
  <c r="I1006" i="3" s="1"/>
  <c r="I1007" i="3" a="1"/>
  <c r="I1007" i="3" s="1"/>
  <c r="I1008" i="3" a="1"/>
  <c r="I1008" i="3" s="1"/>
  <c r="I1009" i="3" a="1"/>
  <c r="I1009" i="3" s="1"/>
  <c r="I1010" i="3" a="1"/>
  <c r="I1010" i="3" s="1"/>
  <c r="I1011" i="3" a="1"/>
  <c r="I1011" i="3" s="1"/>
  <c r="I1012" i="3" a="1"/>
  <c r="I1012" i="3" s="1"/>
  <c r="I1013" i="3" a="1"/>
  <c r="I1013" i="3" s="1"/>
  <c r="I1014" i="3" a="1"/>
  <c r="I1014" i="3" s="1"/>
  <c r="I1015" i="3" a="1"/>
  <c r="I1015" i="3" s="1"/>
  <c r="I1016" i="3" a="1"/>
  <c r="I1016" i="3" s="1"/>
  <c r="I1017" i="3" a="1"/>
  <c r="I1017" i="3" s="1"/>
  <c r="I1018" i="3" a="1"/>
  <c r="I1018" i="3" s="1"/>
  <c r="I1019" i="3" a="1"/>
  <c r="I1019" i="3" s="1"/>
  <c r="I1020" i="3" a="1"/>
  <c r="I1020" i="3" s="1"/>
  <c r="I1021" i="3" a="1"/>
  <c r="I1021" i="3" s="1"/>
  <c r="I1022" i="3" a="1"/>
  <c r="I1022" i="3" s="1"/>
  <c r="I1023" i="3" a="1"/>
  <c r="I1023" i="3" s="1"/>
  <c r="I1024" i="3" a="1"/>
  <c r="I1024" i="3" s="1"/>
  <c r="I1025" i="3" a="1"/>
  <c r="I1025" i="3" s="1"/>
  <c r="I1026" i="3" a="1"/>
  <c r="I1026" i="3" s="1"/>
  <c r="I1027" i="3" a="1"/>
  <c r="I1027" i="3" s="1"/>
  <c r="I1028" i="3" a="1"/>
  <c r="I1028" i="3" s="1"/>
  <c r="I1029" i="3" a="1"/>
  <c r="I1029" i="3" s="1"/>
  <c r="I1030" i="3" a="1"/>
  <c r="I1030" i="3" s="1"/>
  <c r="I1031" i="3" a="1"/>
  <c r="I1031" i="3" s="1"/>
  <c r="I1032" i="3" a="1"/>
  <c r="I1032" i="3" s="1"/>
  <c r="I1033" i="3" a="1"/>
  <c r="I1033" i="3" s="1"/>
  <c r="I1034" i="3" a="1"/>
  <c r="I1034" i="3" s="1"/>
  <c r="I1035" i="3" a="1"/>
  <c r="I1035" i="3" s="1"/>
  <c r="I1036" i="3" a="1"/>
  <c r="I1036" i="3" s="1"/>
  <c r="I1037" i="3" a="1"/>
  <c r="I1037" i="3" s="1"/>
  <c r="I1038" i="3" a="1"/>
  <c r="I1038" i="3" s="1"/>
  <c r="I1039" i="3" a="1"/>
  <c r="I1039" i="3" s="1"/>
  <c r="I1040" i="3" a="1"/>
  <c r="I1040" i="3" s="1"/>
  <c r="I1041" i="3" a="1"/>
  <c r="I1041" i="3" s="1"/>
  <c r="I1042" i="3" a="1"/>
  <c r="I1042" i="3" s="1"/>
  <c r="I1043" i="3" a="1"/>
  <c r="I1043" i="3" s="1"/>
  <c r="I1044" i="3" a="1"/>
  <c r="I1044" i="3" s="1"/>
  <c r="I1045" i="3" a="1"/>
  <c r="I1045" i="3" s="1"/>
  <c r="I1046" i="3" a="1"/>
  <c r="I1046" i="3" s="1"/>
  <c r="I1047" i="3" a="1"/>
  <c r="I1047" i="3" s="1"/>
  <c r="I1048" i="3" a="1"/>
  <c r="I1048" i="3" s="1"/>
  <c r="I1049" i="3" a="1"/>
  <c r="I1049" i="3" s="1"/>
  <c r="I1050" i="3" a="1"/>
  <c r="I1050" i="3" s="1"/>
  <c r="I1051" i="3" a="1"/>
  <c r="I1051" i="3" s="1"/>
  <c r="I1052" i="3" a="1"/>
  <c r="I1052" i="3" s="1"/>
  <c r="I1053" i="3" a="1"/>
  <c r="I1053" i="3" s="1"/>
  <c r="I1054" i="3" a="1"/>
  <c r="I1054" i="3" s="1"/>
  <c r="I1055" i="3" a="1"/>
  <c r="I1055" i="3" s="1"/>
  <c r="I1056" i="3" a="1"/>
  <c r="I1056" i="3" s="1"/>
  <c r="I1057" i="3" a="1"/>
  <c r="I1057" i="3" s="1"/>
  <c r="I1058" i="3" a="1"/>
  <c r="I1058" i="3" s="1"/>
  <c r="I1059" i="3" a="1"/>
  <c r="I1059" i="3" s="1"/>
  <c r="I1060" i="3" a="1"/>
  <c r="I1060" i="3" s="1"/>
  <c r="I1061" i="3" a="1"/>
  <c r="I1061" i="3" s="1"/>
  <c r="I1062" i="3" a="1"/>
  <c r="I1062" i="3" s="1"/>
  <c r="I1063" i="3" a="1"/>
  <c r="I1063" i="3" s="1"/>
  <c r="I1064" i="3" a="1"/>
  <c r="I1064" i="3" s="1"/>
  <c r="I1065" i="3" a="1"/>
  <c r="I1065" i="3" s="1"/>
  <c r="I1066" i="3" a="1"/>
  <c r="I1066" i="3" s="1"/>
  <c r="I1067" i="3" a="1"/>
  <c r="I1067" i="3" s="1"/>
  <c r="I1068" i="3" a="1"/>
  <c r="I1068" i="3" s="1"/>
  <c r="I1069" i="3" a="1"/>
  <c r="I1069" i="3" s="1"/>
  <c r="I1070" i="3" a="1"/>
  <c r="I1070" i="3" s="1"/>
  <c r="I1071" i="3" a="1"/>
  <c r="I1071" i="3" s="1"/>
  <c r="I1072" i="3" a="1"/>
  <c r="I1072" i="3" s="1"/>
  <c r="I1073" i="3" a="1"/>
  <c r="I1073" i="3" s="1"/>
  <c r="I1074" i="3" a="1"/>
  <c r="I1074" i="3" s="1"/>
  <c r="I1075" i="3" a="1"/>
  <c r="I1075" i="3" s="1"/>
  <c r="I1076" i="3" a="1"/>
  <c r="I1076" i="3" s="1"/>
  <c r="I1077" i="3" a="1"/>
  <c r="I1077" i="3" s="1"/>
  <c r="I1078" i="3" a="1"/>
  <c r="I1078" i="3" s="1"/>
  <c r="I1079" i="3" a="1"/>
  <c r="I1079" i="3" s="1"/>
  <c r="I1080" i="3" a="1"/>
  <c r="I1080" i="3" s="1"/>
  <c r="I1081" i="3" a="1"/>
  <c r="I1081" i="3" s="1"/>
  <c r="I1082" i="3" a="1"/>
  <c r="I1082" i="3" s="1"/>
  <c r="I1083" i="3" a="1"/>
  <c r="I1083" i="3" s="1"/>
  <c r="I1084" i="3" a="1"/>
  <c r="I1084" i="3" s="1"/>
  <c r="I1085" i="3" a="1"/>
  <c r="I1085" i="3" s="1"/>
  <c r="I1086" i="3" a="1"/>
  <c r="I1086" i="3" s="1"/>
  <c r="I1087" i="3" a="1"/>
  <c r="I1087" i="3" s="1"/>
  <c r="I1088" i="3" a="1"/>
  <c r="I1088" i="3" s="1"/>
  <c r="I1089" i="3" a="1"/>
  <c r="I1089" i="3" s="1"/>
  <c r="I1090" i="3" a="1"/>
  <c r="I1090" i="3" s="1"/>
  <c r="I1091" i="3" a="1"/>
  <c r="I1091" i="3" s="1"/>
  <c r="I1092" i="3" a="1"/>
  <c r="I1092" i="3" s="1"/>
  <c r="I1093" i="3" a="1"/>
  <c r="I1093" i="3" s="1"/>
  <c r="I1094" i="3" a="1"/>
  <c r="I1094" i="3" s="1"/>
  <c r="I1095" i="3" a="1"/>
  <c r="I1095" i="3" s="1"/>
  <c r="I1096" i="3" a="1"/>
  <c r="I1096" i="3" s="1"/>
  <c r="I1097" i="3" a="1"/>
  <c r="I1097" i="3" s="1"/>
  <c r="I1098" i="3" a="1"/>
  <c r="I1098" i="3" s="1"/>
  <c r="I1099" i="3" a="1"/>
  <c r="I1099" i="3" s="1"/>
  <c r="I1100" i="3" a="1"/>
  <c r="I1100" i="3" s="1"/>
  <c r="I1101" i="3" a="1"/>
  <c r="I1101" i="3" s="1"/>
  <c r="I1102" i="3" a="1"/>
  <c r="I1102" i="3" s="1"/>
  <c r="I1103" i="3" a="1"/>
  <c r="I1103" i="3" s="1"/>
  <c r="I1104" i="3" a="1"/>
  <c r="I1104" i="3" s="1"/>
  <c r="I1105" i="3" a="1"/>
  <c r="I1105" i="3" s="1"/>
  <c r="I1106" i="3" a="1"/>
  <c r="I1106" i="3" s="1"/>
  <c r="I1107" i="3" a="1"/>
  <c r="I1107" i="3" s="1"/>
  <c r="I1108" i="3" a="1"/>
  <c r="I1108" i="3" s="1"/>
  <c r="I1109" i="3" a="1"/>
  <c r="I1109" i="3" s="1"/>
  <c r="I1110" i="3" a="1"/>
  <c r="I1110" i="3" s="1"/>
  <c r="I1111" i="3" a="1"/>
  <c r="I1111" i="3" s="1"/>
  <c r="I1112" i="3" a="1"/>
  <c r="I1112" i="3" s="1"/>
  <c r="I1113" i="3" a="1"/>
  <c r="I1113" i="3" s="1"/>
  <c r="I1114" i="3" a="1"/>
  <c r="I1114" i="3" s="1"/>
  <c r="I1115" i="3" a="1"/>
  <c r="I1115" i="3" s="1"/>
  <c r="I1116" i="3" a="1"/>
  <c r="I1116" i="3" s="1"/>
  <c r="I1117" i="3" a="1"/>
  <c r="I1117" i="3" s="1"/>
  <c r="I1118" i="3" a="1"/>
  <c r="I1118" i="3" s="1"/>
  <c r="I1119" i="3" a="1"/>
  <c r="I1119" i="3" s="1"/>
  <c r="I1120" i="3" a="1"/>
  <c r="I1120" i="3" s="1"/>
  <c r="I1121" i="3" a="1"/>
  <c r="I1121" i="3" s="1"/>
  <c r="I1122" i="3" a="1"/>
  <c r="I1122" i="3" s="1"/>
  <c r="I1123" i="3" a="1"/>
  <c r="I1123" i="3" s="1"/>
  <c r="I1124" i="3" a="1"/>
  <c r="I1124" i="3" s="1"/>
  <c r="I1125" i="3" a="1"/>
  <c r="I1125" i="3" s="1"/>
  <c r="I1126" i="3" a="1"/>
  <c r="I1126" i="3" s="1"/>
  <c r="I1127" i="3" a="1"/>
  <c r="I1127" i="3" s="1"/>
  <c r="I1128" i="3" a="1"/>
  <c r="I1128" i="3" s="1"/>
  <c r="I1129" i="3" a="1"/>
  <c r="I1129" i="3" s="1"/>
  <c r="I1130" i="3" a="1"/>
  <c r="I1130" i="3" s="1"/>
  <c r="I1131" i="3" a="1"/>
  <c r="I1131" i="3" s="1"/>
  <c r="I1132" i="3" a="1"/>
  <c r="I1132" i="3" s="1"/>
  <c r="I1133" i="3" a="1"/>
  <c r="I1133" i="3" s="1"/>
  <c r="I1134" i="3" a="1"/>
  <c r="I1134" i="3" s="1"/>
  <c r="I1135" i="3" a="1"/>
  <c r="I1135" i="3" s="1"/>
  <c r="I1136" i="3" a="1"/>
  <c r="I1136" i="3" s="1"/>
  <c r="I1137" i="3" a="1"/>
  <c r="I1137" i="3" s="1"/>
  <c r="I1138" i="3" a="1"/>
  <c r="I1138" i="3" s="1"/>
  <c r="I1139" i="3" a="1"/>
  <c r="I1139" i="3" s="1"/>
  <c r="I1140" i="3" a="1"/>
  <c r="I1140" i="3" s="1"/>
  <c r="I1141" i="3" a="1"/>
  <c r="I1141" i="3" s="1"/>
  <c r="I1142" i="3" a="1"/>
  <c r="I1142" i="3" s="1"/>
  <c r="I1143" i="3" a="1"/>
  <c r="I1143" i="3" s="1"/>
  <c r="I1144" i="3" a="1"/>
  <c r="I1144" i="3" s="1"/>
  <c r="I1145" i="3" a="1"/>
  <c r="I1145" i="3" s="1"/>
  <c r="I1146" i="3" a="1"/>
  <c r="I1146" i="3" s="1"/>
  <c r="I1147" i="3" a="1"/>
  <c r="I1147" i="3" s="1"/>
  <c r="I1148" i="3" a="1"/>
  <c r="I1148" i="3" s="1"/>
  <c r="I1149" i="3" a="1"/>
  <c r="I1149" i="3" s="1"/>
  <c r="I1150" i="3" a="1"/>
  <c r="I1150" i="3" s="1"/>
  <c r="I1151" i="3" a="1"/>
  <c r="I1151" i="3" s="1"/>
  <c r="I1152" i="3" a="1"/>
  <c r="I1152" i="3" s="1"/>
  <c r="I1153" i="3" a="1"/>
  <c r="I1153" i="3" s="1"/>
  <c r="I1154" i="3" a="1"/>
  <c r="I1154" i="3" s="1"/>
  <c r="I1155" i="3" a="1"/>
  <c r="I1155" i="3" s="1"/>
  <c r="I1156" i="3" a="1"/>
  <c r="I1156" i="3" s="1"/>
  <c r="I1157" i="3" a="1"/>
  <c r="I1157" i="3" s="1"/>
  <c r="I1158" i="3" a="1"/>
  <c r="I1158" i="3" s="1"/>
  <c r="I1159" i="3" a="1"/>
  <c r="I1159" i="3" s="1"/>
  <c r="I1160" i="3" a="1"/>
  <c r="I1160" i="3" s="1"/>
  <c r="I1161" i="3" a="1"/>
  <c r="I1161" i="3" s="1"/>
  <c r="I1162" i="3" a="1"/>
  <c r="I1162" i="3" s="1"/>
  <c r="I1163" i="3" a="1"/>
  <c r="I1163" i="3" s="1"/>
  <c r="I1164" i="3" a="1"/>
  <c r="I1164" i="3" s="1"/>
  <c r="I1165" i="3" a="1"/>
  <c r="I1165" i="3" s="1"/>
  <c r="I1166" i="3" a="1"/>
  <c r="I1166" i="3" s="1"/>
  <c r="I1167" i="3" a="1"/>
  <c r="I1167" i="3" s="1"/>
  <c r="I1168" i="3" a="1"/>
  <c r="I1168" i="3" s="1"/>
  <c r="I1169" i="3" a="1"/>
  <c r="I1169" i="3" s="1"/>
  <c r="I1170" i="3" a="1"/>
  <c r="I1170" i="3" s="1"/>
  <c r="I1171" i="3" a="1"/>
  <c r="I1171" i="3" s="1"/>
  <c r="I1172" i="3" a="1"/>
  <c r="I1172" i="3" s="1"/>
  <c r="I1173" i="3" a="1"/>
  <c r="I1173" i="3" s="1"/>
  <c r="I1174" i="3" a="1"/>
  <c r="I1174" i="3" s="1"/>
  <c r="I1175" i="3" a="1"/>
  <c r="I1175" i="3" s="1"/>
  <c r="I1176" i="3" a="1"/>
  <c r="I1176" i="3" s="1"/>
  <c r="I1177" i="3" a="1"/>
  <c r="I1177" i="3" s="1"/>
  <c r="I1178" i="3" a="1"/>
  <c r="I1178" i="3" s="1"/>
  <c r="I1179" i="3" a="1"/>
  <c r="I1179" i="3" s="1"/>
  <c r="I1180" i="3" a="1"/>
  <c r="I1180" i="3" s="1"/>
  <c r="I1181" i="3" a="1"/>
  <c r="I1181" i="3" s="1"/>
  <c r="I1182" i="3" a="1"/>
  <c r="I1182" i="3" s="1"/>
  <c r="I1183" i="3" a="1"/>
  <c r="I1183" i="3" s="1"/>
  <c r="I1184" i="3" a="1"/>
  <c r="I1184" i="3" s="1"/>
  <c r="I1185" i="3" a="1"/>
  <c r="I1185" i="3" s="1"/>
  <c r="I1186" i="3" a="1"/>
  <c r="I1186" i="3" s="1"/>
  <c r="I1187" i="3" a="1"/>
  <c r="I1187" i="3" s="1"/>
  <c r="I1188" i="3" a="1"/>
  <c r="I1188" i="3" s="1"/>
  <c r="I1189" i="3" a="1"/>
  <c r="I1189" i="3" s="1"/>
  <c r="I1190" i="3" a="1"/>
  <c r="I1190" i="3" s="1"/>
  <c r="I1191" i="3" a="1"/>
  <c r="I1191" i="3" s="1"/>
  <c r="I1192" i="3" a="1"/>
  <c r="I1192" i="3" s="1"/>
  <c r="I1193" i="3" a="1"/>
  <c r="I1193" i="3" s="1"/>
  <c r="I1194" i="3" a="1"/>
  <c r="I1194" i="3" s="1"/>
  <c r="I1195" i="3" a="1"/>
  <c r="I1195" i="3" s="1"/>
  <c r="I1196" i="3" a="1"/>
  <c r="I1196" i="3" s="1"/>
  <c r="I1197" i="3" a="1"/>
  <c r="I1197" i="3" s="1"/>
  <c r="I1198" i="3" a="1"/>
  <c r="I1198" i="3" s="1"/>
  <c r="I1199" i="3" a="1"/>
  <c r="I1199" i="3" s="1"/>
  <c r="I1200" i="3" a="1"/>
  <c r="I1200" i="3" s="1"/>
  <c r="I1201" i="3" a="1"/>
  <c r="I1201" i="3" s="1"/>
  <c r="I1202" i="3" a="1"/>
  <c r="I1202" i="3" s="1"/>
  <c r="I1203" i="3" a="1"/>
  <c r="I1203" i="3" s="1"/>
  <c r="I1204" i="3" a="1"/>
  <c r="I1204" i="3" s="1"/>
  <c r="I1205" i="3" a="1"/>
  <c r="I1205" i="3" s="1"/>
  <c r="I1206" i="3" a="1"/>
  <c r="I1206" i="3" s="1"/>
  <c r="I1207" i="3" a="1"/>
  <c r="I1207" i="3" s="1"/>
  <c r="I1208" i="3" a="1"/>
  <c r="I1208" i="3" s="1"/>
  <c r="I1209" i="3" a="1"/>
  <c r="I1209" i="3" s="1"/>
  <c r="I1210" i="3" a="1"/>
  <c r="I1210" i="3" s="1"/>
  <c r="I1211" i="3" a="1"/>
  <c r="I1211" i="3" s="1"/>
  <c r="I1212" i="3" a="1"/>
  <c r="I1212" i="3" s="1"/>
  <c r="I1213" i="3" a="1"/>
  <c r="I1213" i="3" s="1"/>
  <c r="I1214" i="3" a="1"/>
  <c r="I1214" i="3" s="1"/>
  <c r="I1215" i="3" a="1"/>
  <c r="I1215" i="3" s="1"/>
  <c r="I1216" i="3" a="1"/>
  <c r="I1216" i="3" s="1"/>
  <c r="I1217" i="3" a="1"/>
  <c r="I1217" i="3" s="1"/>
  <c r="I1218" i="3" a="1"/>
  <c r="I1218" i="3" s="1"/>
  <c r="I1219" i="3" a="1"/>
  <c r="I1219" i="3" s="1"/>
  <c r="I1220" i="3" a="1"/>
  <c r="I1220" i="3" s="1"/>
  <c r="I1221" i="3" a="1"/>
  <c r="I1221" i="3" s="1"/>
  <c r="I1222" i="3" a="1"/>
  <c r="I1222" i="3" s="1"/>
  <c r="I1223" i="3" a="1"/>
  <c r="I1223" i="3" s="1"/>
  <c r="I1224" i="3" a="1"/>
  <c r="I1224" i="3" s="1"/>
  <c r="I1225" i="3" a="1"/>
  <c r="I1225" i="3" s="1"/>
  <c r="I1226" i="3" a="1"/>
  <c r="I1226" i="3" s="1"/>
  <c r="I1227" i="3" a="1"/>
  <c r="I1227" i="3" s="1"/>
  <c r="I1228" i="3" a="1"/>
  <c r="I1228" i="3" s="1"/>
  <c r="I1229" i="3" a="1"/>
  <c r="I1229" i="3" s="1"/>
  <c r="I1230" i="3" a="1"/>
  <c r="I1230" i="3" s="1"/>
  <c r="I1231" i="3" a="1"/>
  <c r="I1231" i="3" s="1"/>
  <c r="I1232" i="3" a="1"/>
  <c r="I1232" i="3" s="1"/>
  <c r="I1233" i="3" a="1"/>
  <c r="I1233" i="3" s="1"/>
  <c r="I1234" i="3" a="1"/>
  <c r="I1234" i="3" s="1"/>
  <c r="I1235" i="3" a="1"/>
  <c r="I1235" i="3" s="1"/>
  <c r="I1236" i="3" a="1"/>
  <c r="I1236" i="3" s="1"/>
  <c r="I1237" i="3" a="1"/>
  <c r="I1237" i="3" s="1"/>
  <c r="I1238" i="3" a="1"/>
  <c r="I1238" i="3" s="1"/>
  <c r="I1239" i="3" a="1"/>
  <c r="I1239" i="3" s="1"/>
  <c r="I1240" i="3" a="1"/>
  <c r="I1240" i="3" s="1"/>
  <c r="I1241" i="3" a="1"/>
  <c r="I1241" i="3" s="1"/>
  <c r="I1242" i="3" a="1"/>
  <c r="I1242" i="3" s="1"/>
  <c r="I1243" i="3" a="1"/>
  <c r="I1243" i="3" s="1"/>
  <c r="I1244" i="3" a="1"/>
  <c r="I1244" i="3" s="1"/>
  <c r="I1245" i="3" a="1"/>
  <c r="I1245" i="3" s="1"/>
  <c r="I1246" i="3" a="1"/>
  <c r="I1246" i="3" s="1"/>
  <c r="I1247" i="3" a="1"/>
  <c r="I1247" i="3" s="1"/>
  <c r="I1248" i="3" a="1"/>
  <c r="I1248" i="3" s="1"/>
  <c r="I1249" i="3" a="1"/>
  <c r="I1249" i="3" s="1"/>
  <c r="I1250" i="3" a="1"/>
  <c r="I1250" i="3" s="1"/>
  <c r="I1251" i="3" a="1"/>
  <c r="I1251" i="3" s="1"/>
  <c r="I1252" i="3" a="1"/>
  <c r="I1252" i="3" s="1"/>
  <c r="I1253" i="3" a="1"/>
  <c r="I1253" i="3" s="1"/>
  <c r="I1254" i="3" a="1"/>
  <c r="I1254" i="3" s="1"/>
  <c r="I1255" i="3" a="1"/>
  <c r="I1255" i="3" s="1"/>
  <c r="I1256" i="3" a="1"/>
  <c r="I1256" i="3" s="1"/>
  <c r="I1257" i="3" a="1"/>
  <c r="I1257" i="3" s="1"/>
  <c r="I1258" i="3" a="1"/>
  <c r="I1258" i="3" s="1"/>
  <c r="I1259" i="3" a="1"/>
  <c r="I1259" i="3" s="1"/>
  <c r="I1260" i="3" a="1"/>
  <c r="I1260" i="3" s="1"/>
  <c r="I1261" i="3" a="1"/>
  <c r="I1261" i="3" s="1"/>
  <c r="I1262" i="3" a="1"/>
  <c r="I1262" i="3" s="1"/>
  <c r="I1263" i="3" a="1"/>
  <c r="I1263" i="3" s="1"/>
  <c r="I1264" i="3" a="1"/>
  <c r="I1264" i="3" s="1"/>
  <c r="I1265" i="3" a="1"/>
  <c r="I1265" i="3" s="1"/>
  <c r="I1266" i="3" a="1"/>
  <c r="I1266" i="3" s="1"/>
  <c r="I1267" i="3" a="1"/>
  <c r="I1267" i="3" s="1"/>
  <c r="I1268" i="3" a="1"/>
  <c r="I1268" i="3" s="1"/>
  <c r="I1269" i="3" a="1"/>
  <c r="I1269" i="3" s="1"/>
  <c r="I1270" i="3" a="1"/>
  <c r="I1270" i="3" s="1"/>
  <c r="I1271" i="3" a="1"/>
  <c r="I1271" i="3" s="1"/>
  <c r="I1272" i="3" a="1"/>
  <c r="I1272" i="3" s="1"/>
  <c r="I1273" i="3" a="1"/>
  <c r="I1273" i="3" s="1"/>
  <c r="I1274" i="3" a="1"/>
  <c r="I1274" i="3" s="1"/>
  <c r="I1275" i="3" a="1"/>
  <c r="I1275" i="3" s="1"/>
  <c r="I1276" i="3" a="1"/>
  <c r="I1276" i="3" s="1"/>
  <c r="I1277" i="3" a="1"/>
  <c r="I1277" i="3" s="1"/>
  <c r="I1278" i="3" a="1"/>
  <c r="I1278" i="3" s="1"/>
  <c r="I1279" i="3" a="1"/>
  <c r="I1279" i="3" s="1"/>
  <c r="I1280" i="3" a="1"/>
  <c r="I1280" i="3" s="1"/>
  <c r="I1281" i="3" a="1"/>
  <c r="I1281" i="3" s="1"/>
  <c r="I1282" i="3" a="1"/>
  <c r="I1282" i="3" s="1"/>
  <c r="I1283" i="3" a="1"/>
  <c r="I1283" i="3" s="1"/>
  <c r="I1284" i="3" a="1"/>
  <c r="I1284" i="3" s="1"/>
  <c r="I1285" i="3" a="1"/>
  <c r="I1285" i="3" s="1"/>
  <c r="I1286" i="3" a="1"/>
  <c r="I1286" i="3" s="1"/>
  <c r="I1287" i="3" a="1"/>
  <c r="I1287" i="3" s="1"/>
  <c r="I1288" i="3" a="1"/>
  <c r="I1288" i="3" s="1"/>
  <c r="I1289" i="3" a="1"/>
  <c r="I1289" i="3" s="1"/>
  <c r="I1290" i="3" a="1"/>
  <c r="I1290" i="3" s="1"/>
  <c r="I1291" i="3" a="1"/>
  <c r="I1291" i="3" s="1"/>
  <c r="I1292" i="3" a="1"/>
  <c r="I1292" i="3" s="1"/>
  <c r="I1293" i="3" a="1"/>
  <c r="I1293" i="3" s="1"/>
  <c r="I1294" i="3" a="1"/>
  <c r="I1294" i="3" s="1"/>
  <c r="I1295" i="3" a="1"/>
  <c r="I1295" i="3" s="1"/>
  <c r="I1296" i="3" a="1"/>
  <c r="I1296" i="3" s="1"/>
  <c r="I1297" i="3" a="1"/>
  <c r="I1297" i="3" s="1"/>
  <c r="I1298" i="3" a="1"/>
  <c r="I1298" i="3" s="1"/>
  <c r="I1299" i="3" a="1"/>
  <c r="I1299" i="3" s="1"/>
  <c r="I1300" i="3" a="1"/>
  <c r="I1300" i="3" s="1"/>
  <c r="I1301" i="3" a="1"/>
  <c r="I1301" i="3" s="1"/>
  <c r="I1302" i="3" a="1"/>
  <c r="I1302" i="3" s="1"/>
  <c r="I1303" i="3" a="1"/>
  <c r="I1303" i="3" s="1"/>
  <c r="I1304" i="3" a="1"/>
  <c r="I1304" i="3" s="1"/>
  <c r="I1305" i="3" a="1"/>
  <c r="I1305" i="3" s="1"/>
  <c r="I1306" i="3" a="1"/>
  <c r="I1306" i="3" s="1"/>
  <c r="I1307" i="3" a="1"/>
  <c r="I1307" i="3" s="1"/>
  <c r="I1308" i="3" a="1"/>
  <c r="I1308" i="3" s="1"/>
  <c r="I1309" i="3" a="1"/>
  <c r="I1309" i="3" s="1"/>
  <c r="I1310" i="3" a="1"/>
  <c r="I1310" i="3" s="1"/>
  <c r="I1311" i="3" a="1"/>
  <c r="I1311" i="3" s="1"/>
  <c r="I1312" i="3" a="1"/>
  <c r="I1312" i="3" s="1"/>
  <c r="I1313" i="3" a="1"/>
  <c r="I1313" i="3" s="1"/>
  <c r="I1314" i="3" a="1"/>
  <c r="I1314" i="3" s="1"/>
  <c r="I1315" i="3" a="1"/>
  <c r="I1315" i="3" s="1"/>
  <c r="I1316" i="3" a="1"/>
  <c r="I1316" i="3" s="1"/>
  <c r="I1317" i="3" a="1"/>
  <c r="I1317" i="3" s="1"/>
  <c r="I1318" i="3" a="1"/>
  <c r="I1318" i="3" s="1"/>
  <c r="I1319" i="3" a="1"/>
  <c r="I1319" i="3" s="1"/>
  <c r="I1320" i="3" a="1"/>
  <c r="I1320" i="3" s="1"/>
  <c r="I1321" i="3" a="1"/>
  <c r="I1321" i="3" s="1"/>
  <c r="I1322" i="3" a="1"/>
  <c r="I1322" i="3" s="1"/>
  <c r="I1323" i="3" a="1"/>
  <c r="I1323" i="3" s="1"/>
  <c r="I1324" i="3" a="1"/>
  <c r="I1324" i="3" s="1"/>
  <c r="I1325" i="3" a="1"/>
  <c r="I1325" i="3" s="1"/>
  <c r="I1326" i="3" a="1"/>
  <c r="I1326" i="3" s="1"/>
  <c r="I1327" i="3" a="1"/>
  <c r="I1327" i="3" s="1"/>
  <c r="I1328" i="3" a="1"/>
  <c r="I1328" i="3" s="1"/>
  <c r="I1329" i="3" a="1"/>
  <c r="I1329" i="3" s="1"/>
  <c r="I1330" i="3" a="1"/>
  <c r="I1330" i="3" s="1"/>
  <c r="I1331" i="3" a="1"/>
  <c r="I1331" i="3" s="1"/>
  <c r="I1332" i="3" a="1"/>
  <c r="I1332" i="3" s="1"/>
  <c r="I1333" i="3" a="1"/>
  <c r="I1333" i="3" s="1"/>
  <c r="I1334" i="3" a="1"/>
  <c r="I1334" i="3" s="1"/>
  <c r="I1335" i="3" a="1"/>
  <c r="I1335" i="3" s="1"/>
  <c r="I1336" i="3" a="1"/>
  <c r="I1336" i="3" s="1"/>
  <c r="I1337" i="3" a="1"/>
  <c r="I1337" i="3" s="1"/>
  <c r="I1338" i="3" a="1"/>
  <c r="I1338" i="3" s="1"/>
  <c r="I1339" i="3" a="1"/>
  <c r="I1339" i="3" s="1"/>
  <c r="I1340" i="3" a="1"/>
  <c r="I1340" i="3" s="1"/>
  <c r="I1341" i="3" a="1"/>
  <c r="I1341" i="3" s="1"/>
  <c r="I1342" i="3" a="1"/>
  <c r="I1342" i="3" s="1"/>
  <c r="I1343" i="3" a="1"/>
  <c r="I1343" i="3" s="1"/>
  <c r="I1344" i="3" a="1"/>
  <c r="I1344" i="3" s="1"/>
  <c r="I1345" i="3" a="1"/>
  <c r="I1345" i="3" s="1"/>
  <c r="I1346" i="3" a="1"/>
  <c r="I1346" i="3" s="1"/>
  <c r="I1347" i="3" a="1"/>
  <c r="I1347" i="3" s="1"/>
  <c r="I1348" i="3" a="1"/>
  <c r="I1348" i="3" s="1"/>
  <c r="I1349" i="3" a="1"/>
  <c r="I1349" i="3" s="1"/>
  <c r="I1350" i="3" a="1"/>
  <c r="I1350" i="3" s="1"/>
  <c r="I1351" i="3" a="1"/>
  <c r="I1351" i="3" s="1"/>
  <c r="I1352" i="3" a="1"/>
  <c r="I1352" i="3" s="1"/>
  <c r="I1353" i="3" a="1"/>
  <c r="I1353" i="3" s="1"/>
  <c r="I1354" i="3" a="1"/>
  <c r="I1354" i="3" s="1"/>
  <c r="I1355" i="3" a="1"/>
  <c r="I1355" i="3" s="1"/>
  <c r="I1356" i="3" a="1"/>
  <c r="I1356" i="3" s="1"/>
  <c r="I1357" i="3" a="1"/>
  <c r="I1357" i="3" s="1"/>
  <c r="I1358" i="3" a="1"/>
  <c r="I1358" i="3" s="1"/>
  <c r="I1359" i="3" a="1"/>
  <c r="I1359" i="3" s="1"/>
  <c r="I1360" i="3" a="1"/>
  <c r="I1360" i="3" s="1"/>
  <c r="I1361" i="3" a="1"/>
  <c r="I1361" i="3" s="1"/>
  <c r="I1362" i="3" a="1"/>
  <c r="I1362" i="3" s="1"/>
  <c r="I1363" i="3" a="1"/>
  <c r="I1363" i="3" s="1"/>
  <c r="I1364" i="3" a="1"/>
  <c r="I1364" i="3" s="1"/>
  <c r="I1365" i="3" a="1"/>
  <c r="I1365" i="3" s="1"/>
  <c r="I1366" i="3" a="1"/>
  <c r="I1366" i="3" s="1"/>
  <c r="I1367" i="3" a="1"/>
  <c r="I1367" i="3" s="1"/>
  <c r="I1368" i="3" a="1"/>
  <c r="I1368" i="3" s="1"/>
  <c r="I1369" i="3" a="1"/>
  <c r="I1369" i="3" s="1"/>
  <c r="I1370" i="3" a="1"/>
  <c r="I1370" i="3" s="1"/>
  <c r="I1371" i="3" a="1"/>
  <c r="I1371" i="3" s="1"/>
  <c r="I1372" i="3" a="1"/>
  <c r="I1372" i="3" s="1"/>
  <c r="I1373" i="3" a="1"/>
  <c r="I1373" i="3" s="1"/>
  <c r="I1374" i="3" a="1"/>
  <c r="I1374" i="3" s="1"/>
  <c r="I1375" i="3" a="1"/>
  <c r="I1375" i="3" s="1"/>
  <c r="I1376" i="3" a="1"/>
  <c r="I1376" i="3" s="1"/>
  <c r="I1377" i="3" a="1"/>
  <c r="I1377" i="3" s="1"/>
  <c r="I1378" i="3" a="1"/>
  <c r="I1378" i="3" s="1"/>
  <c r="I1379" i="3" a="1"/>
  <c r="I1379" i="3" s="1"/>
  <c r="I1380" i="3" a="1"/>
  <c r="I1380" i="3" s="1"/>
  <c r="I1381" i="3" a="1"/>
  <c r="I1381" i="3" s="1"/>
  <c r="I1382" i="3" a="1"/>
  <c r="I1382" i="3" s="1"/>
  <c r="I1383" i="3" a="1"/>
  <c r="I1383" i="3" s="1"/>
  <c r="I1384" i="3" a="1"/>
  <c r="I1384" i="3" s="1"/>
  <c r="I1385" i="3" a="1"/>
  <c r="I1385" i="3" s="1"/>
  <c r="I1386" i="3" a="1"/>
  <c r="I1386" i="3" s="1"/>
  <c r="I1387" i="3" a="1"/>
  <c r="I1387" i="3" s="1"/>
  <c r="I1388" i="3" a="1"/>
  <c r="I1388" i="3" s="1"/>
  <c r="I1389" i="3" a="1"/>
  <c r="I1389" i="3" s="1"/>
  <c r="I1390" i="3" a="1"/>
  <c r="I1390" i="3" s="1"/>
  <c r="I1391" i="3" a="1"/>
  <c r="I1391" i="3" s="1"/>
  <c r="I1392" i="3" a="1"/>
  <c r="I1392" i="3" s="1"/>
  <c r="I1393" i="3" a="1"/>
  <c r="I1393" i="3" s="1"/>
  <c r="I1394" i="3" a="1"/>
  <c r="I1394" i="3" s="1"/>
  <c r="I1395" i="3" a="1"/>
  <c r="I1395" i="3" s="1"/>
  <c r="I1396" i="3" a="1"/>
  <c r="I1396" i="3" s="1"/>
  <c r="I1397" i="3" a="1"/>
  <c r="I1397" i="3" s="1"/>
  <c r="I1398" i="3" a="1"/>
  <c r="I1398" i="3" s="1"/>
  <c r="I1399" i="3" a="1"/>
  <c r="I1399" i="3" s="1"/>
  <c r="I1400" i="3" a="1"/>
  <c r="I1400" i="3" s="1"/>
  <c r="I1401" i="3" a="1"/>
  <c r="I1401" i="3" s="1"/>
  <c r="I1402" i="3" a="1"/>
  <c r="I1402" i="3" s="1"/>
  <c r="I1403" i="3" a="1"/>
  <c r="I1403" i="3" s="1"/>
  <c r="I1404" i="3" a="1"/>
  <c r="I1404" i="3" s="1"/>
  <c r="I1405" i="3" a="1"/>
  <c r="I1405" i="3" s="1"/>
  <c r="I1406" i="3" a="1"/>
  <c r="I1406" i="3" s="1"/>
  <c r="I1407" i="3" a="1"/>
  <c r="I1407" i="3" s="1"/>
  <c r="I1408" i="3" a="1"/>
  <c r="I1408" i="3" s="1"/>
  <c r="I1409" i="3" a="1"/>
  <c r="I1409" i="3" s="1"/>
  <c r="I1410" i="3" a="1"/>
  <c r="I1410" i="3" s="1"/>
  <c r="I1411" i="3" a="1"/>
  <c r="I1411" i="3" s="1"/>
  <c r="I1412" i="3" a="1"/>
  <c r="I1412" i="3" s="1"/>
  <c r="I1413" i="3" a="1"/>
  <c r="I1413" i="3" s="1"/>
  <c r="I1414" i="3" a="1"/>
  <c r="I1414" i="3" s="1"/>
  <c r="I1415" i="3" a="1"/>
  <c r="I1415" i="3" s="1"/>
  <c r="I1416" i="3" a="1"/>
  <c r="I1416" i="3" s="1"/>
  <c r="I1417" i="3" a="1"/>
  <c r="I1417" i="3" s="1"/>
  <c r="I1418" i="3" a="1"/>
  <c r="I1418" i="3" s="1"/>
  <c r="I1419" i="3" a="1"/>
  <c r="I1419" i="3" s="1"/>
  <c r="I1420" i="3" a="1"/>
  <c r="I1420" i="3" s="1"/>
  <c r="I1421" i="3" a="1"/>
  <c r="I1421" i="3" s="1"/>
  <c r="I1422" i="3" a="1"/>
  <c r="I1422" i="3" s="1"/>
  <c r="I1423" i="3" a="1"/>
  <c r="I1423" i="3" s="1"/>
  <c r="I1424" i="3" a="1"/>
  <c r="I1424" i="3" s="1"/>
  <c r="I1425" i="3" a="1"/>
  <c r="I1425" i="3" s="1"/>
  <c r="I1426" i="3" a="1"/>
  <c r="I1426" i="3" s="1"/>
  <c r="I1427" i="3" a="1"/>
  <c r="I1427" i="3" s="1"/>
  <c r="I1428" i="3" a="1"/>
  <c r="I1428" i="3" s="1"/>
  <c r="I1429" i="3" a="1"/>
  <c r="I1429" i="3" s="1"/>
  <c r="I1430" i="3" a="1"/>
  <c r="I1430" i="3" s="1"/>
  <c r="I1431" i="3" a="1"/>
  <c r="I1431" i="3" s="1"/>
  <c r="I1432" i="3" a="1"/>
  <c r="I1432" i="3" s="1"/>
  <c r="I1433" i="3" a="1"/>
  <c r="I1433" i="3" s="1"/>
  <c r="I1434" i="3" a="1"/>
  <c r="I1434" i="3" s="1"/>
  <c r="I1435" i="3" a="1"/>
  <c r="I1435" i="3" s="1"/>
  <c r="I1436" i="3" a="1"/>
  <c r="I1436" i="3" s="1"/>
  <c r="I1437" i="3" a="1"/>
  <c r="I1437" i="3" s="1"/>
  <c r="I1438" i="3" a="1"/>
  <c r="I1438" i="3" s="1"/>
  <c r="I1439" i="3" a="1"/>
  <c r="I1439" i="3" s="1"/>
  <c r="I1440" i="3" a="1"/>
  <c r="I1440" i="3" s="1"/>
  <c r="I1441" i="3" a="1"/>
  <c r="I1441" i="3" s="1"/>
  <c r="I1442" i="3" a="1"/>
  <c r="I1442" i="3" s="1"/>
  <c r="I1443" i="3" a="1"/>
  <c r="I1443" i="3" s="1"/>
  <c r="I1444" i="3" a="1"/>
  <c r="I1444" i="3" s="1"/>
  <c r="I1445" i="3" a="1"/>
  <c r="I1445" i="3" s="1"/>
  <c r="I1446" i="3" a="1"/>
  <c r="I1446" i="3" s="1"/>
  <c r="I1447" i="3" a="1"/>
  <c r="I1447" i="3" s="1"/>
  <c r="I1448" i="3" a="1"/>
  <c r="I1448" i="3" s="1"/>
  <c r="I1449" i="3" a="1"/>
  <c r="I1449" i="3" s="1"/>
  <c r="I1450" i="3" a="1"/>
  <c r="I1450" i="3" s="1"/>
  <c r="I1451" i="3" a="1"/>
  <c r="I1451" i="3" s="1"/>
  <c r="I1452" i="3" a="1"/>
  <c r="I1452" i="3" s="1"/>
  <c r="I1453" i="3" a="1"/>
  <c r="I1453" i="3" s="1"/>
  <c r="I1454" i="3" a="1"/>
  <c r="I1454" i="3" s="1"/>
  <c r="I1455" i="3" a="1"/>
  <c r="I1455" i="3" s="1"/>
  <c r="I1456" i="3" a="1"/>
  <c r="I1456" i="3" s="1"/>
  <c r="I1457" i="3" a="1"/>
  <c r="I1457" i="3" s="1"/>
  <c r="I1458" i="3" a="1"/>
  <c r="I1458" i="3" s="1"/>
  <c r="I1459" i="3" a="1"/>
  <c r="I1459" i="3" s="1"/>
  <c r="I1460" i="3" a="1"/>
  <c r="I1460" i="3" s="1"/>
  <c r="I1461" i="3" a="1"/>
  <c r="I1461" i="3" s="1"/>
  <c r="I1462" i="3" a="1"/>
  <c r="I1462" i="3" s="1"/>
  <c r="I1463" i="3" a="1"/>
  <c r="I1463" i="3" s="1"/>
  <c r="I1464" i="3" a="1"/>
  <c r="I1464" i="3" s="1"/>
  <c r="I1465" i="3" a="1"/>
  <c r="I1465" i="3" s="1"/>
  <c r="I1466" i="3" a="1"/>
  <c r="I1466" i="3" s="1"/>
  <c r="I1467" i="3" a="1"/>
  <c r="I1467" i="3" s="1"/>
  <c r="I1468" i="3" a="1"/>
  <c r="I1468" i="3" s="1"/>
  <c r="I1469" i="3" a="1"/>
  <c r="I1469" i="3" s="1"/>
  <c r="I1470" i="3" a="1"/>
  <c r="I1470" i="3" s="1"/>
  <c r="I1471" i="3" a="1"/>
  <c r="I1471" i="3" s="1"/>
  <c r="I1472" i="3" a="1"/>
  <c r="I1472" i="3" s="1"/>
  <c r="I1473" i="3" a="1"/>
  <c r="I1473" i="3" s="1"/>
  <c r="I1474" i="3" a="1"/>
  <c r="I1474" i="3" s="1"/>
  <c r="I1475" i="3" a="1"/>
  <c r="I1475" i="3" s="1"/>
  <c r="I1476" i="3" a="1"/>
  <c r="I1476" i="3" s="1"/>
  <c r="I1477" i="3" a="1"/>
  <c r="I1477" i="3" s="1"/>
  <c r="I1478" i="3" a="1"/>
  <c r="I1478" i="3" s="1"/>
  <c r="I1479" i="3" a="1"/>
  <c r="I1479" i="3" s="1"/>
  <c r="I1480" i="3" a="1"/>
  <c r="I1480" i="3" s="1"/>
  <c r="I1481" i="3" a="1"/>
  <c r="I1481" i="3" s="1"/>
  <c r="I1482" i="3" a="1"/>
  <c r="I1482" i="3" s="1"/>
  <c r="I1483" i="3" a="1"/>
  <c r="I1483" i="3" s="1"/>
  <c r="I1484" i="3" a="1"/>
  <c r="I1484" i="3" s="1"/>
  <c r="I1485" i="3" a="1"/>
  <c r="I1485" i="3" s="1"/>
  <c r="I1486" i="3" a="1"/>
  <c r="I1486" i="3" s="1"/>
  <c r="I1487" i="3" a="1"/>
  <c r="I1487" i="3" s="1"/>
  <c r="I1488" i="3" a="1"/>
  <c r="I1488" i="3" s="1"/>
  <c r="I1489" i="3" a="1"/>
  <c r="I1489" i="3" s="1"/>
  <c r="I1490" i="3" a="1"/>
  <c r="I1490" i="3" s="1"/>
  <c r="I1491" i="3" a="1"/>
  <c r="I1491" i="3" s="1"/>
  <c r="I1492" i="3" a="1"/>
  <c r="I1492" i="3" s="1"/>
  <c r="I1493" i="3" a="1"/>
  <c r="I1493" i="3" s="1"/>
  <c r="I1494" i="3" a="1"/>
  <c r="I1494" i="3" s="1"/>
  <c r="I1495" i="3" a="1"/>
  <c r="I1495" i="3" s="1"/>
  <c r="I1496" i="3" a="1"/>
  <c r="I1496" i="3" s="1"/>
  <c r="I1497" i="3" a="1"/>
  <c r="I1497" i="3" s="1"/>
  <c r="I1498" i="3" a="1"/>
  <c r="I1498" i="3" s="1"/>
  <c r="I1499" i="3" a="1"/>
  <c r="I1499" i="3" s="1"/>
  <c r="I1500" i="3" a="1"/>
  <c r="I1500" i="3" s="1"/>
  <c r="I1501" i="3" a="1"/>
  <c r="I1501" i="3" s="1"/>
  <c r="I1502" i="3" a="1"/>
  <c r="I1502" i="3" s="1"/>
  <c r="I1503" i="3" a="1"/>
  <c r="I1503" i="3" s="1"/>
  <c r="I1504" i="3" a="1"/>
  <c r="I1504" i="3" s="1"/>
  <c r="I1505" i="3" a="1"/>
  <c r="I1505" i="3" s="1"/>
  <c r="I1506" i="3" a="1"/>
  <c r="I1506" i="3" s="1"/>
  <c r="I1507" i="3" a="1"/>
  <c r="I1507" i="3" s="1"/>
  <c r="I1508" i="3" a="1"/>
  <c r="I1508" i="3" s="1"/>
  <c r="I1509" i="3" a="1"/>
  <c r="I1509" i="3" s="1"/>
  <c r="I1510" i="3" a="1"/>
  <c r="I1510" i="3" s="1"/>
  <c r="I1511" i="3" a="1"/>
  <c r="I1511" i="3" s="1"/>
  <c r="I1512" i="3" a="1"/>
  <c r="I1512" i="3" s="1"/>
  <c r="I1513" i="3" a="1"/>
  <c r="I1513" i="3" s="1"/>
  <c r="I1514" i="3" a="1"/>
  <c r="I1514" i="3" s="1"/>
  <c r="I1515" i="3" a="1"/>
  <c r="I1515" i="3" s="1"/>
  <c r="I1516" i="3" a="1"/>
  <c r="I1516" i="3" s="1"/>
  <c r="I1517" i="3" a="1"/>
  <c r="I1517" i="3" s="1"/>
  <c r="I1518" i="3" a="1"/>
  <c r="I1518" i="3" s="1"/>
  <c r="I1519" i="3" a="1"/>
  <c r="I1519" i="3" s="1"/>
  <c r="I1520" i="3" a="1"/>
  <c r="I1520" i="3" s="1"/>
  <c r="I1521" i="3" a="1"/>
  <c r="I1521" i="3" s="1"/>
  <c r="I1522" i="3" a="1"/>
  <c r="I1522" i="3" s="1"/>
  <c r="I1523" i="3" a="1"/>
  <c r="I1523" i="3" s="1"/>
  <c r="I1524" i="3" a="1"/>
  <c r="I1524" i="3" s="1"/>
  <c r="I1525" i="3" a="1"/>
  <c r="I1525" i="3" s="1"/>
  <c r="I1526" i="3" a="1"/>
  <c r="I1526" i="3" s="1"/>
  <c r="I1527" i="3" a="1"/>
  <c r="I1527" i="3" s="1"/>
  <c r="I1528" i="3" a="1"/>
  <c r="I1528" i="3" s="1"/>
  <c r="I1529" i="3" a="1"/>
  <c r="I1529" i="3" s="1"/>
  <c r="I1530" i="3" a="1"/>
  <c r="I1530" i="3" s="1"/>
  <c r="I1531" i="3" a="1"/>
  <c r="I1531" i="3" s="1"/>
  <c r="I1532" i="3" a="1"/>
  <c r="I1532" i="3" s="1"/>
  <c r="I1533" i="3" a="1"/>
  <c r="I1533" i="3" s="1"/>
  <c r="I1534" i="3" a="1"/>
  <c r="I1534" i="3" s="1"/>
  <c r="I1535" i="3" a="1"/>
  <c r="I1535" i="3" s="1"/>
  <c r="I1536" i="3" a="1"/>
  <c r="I1536" i="3" s="1"/>
  <c r="I1537" i="3" a="1"/>
  <c r="I1537" i="3" s="1"/>
  <c r="I1538" i="3" a="1"/>
  <c r="I1538" i="3" s="1"/>
  <c r="I1539" i="3" a="1"/>
  <c r="I1539" i="3" s="1"/>
  <c r="I1540" i="3" a="1"/>
  <c r="I1540" i="3" s="1"/>
  <c r="I1541" i="3" a="1"/>
  <c r="I1541" i="3" s="1"/>
  <c r="I1542" i="3" a="1"/>
  <c r="I1542" i="3" s="1"/>
  <c r="I1543" i="3" a="1"/>
  <c r="I1543" i="3" s="1"/>
  <c r="I1544" i="3" a="1"/>
  <c r="I1544" i="3" s="1"/>
  <c r="I1545" i="3" a="1"/>
  <c r="I1545" i="3" s="1"/>
  <c r="I1546" i="3" a="1"/>
  <c r="I1546" i="3" s="1"/>
  <c r="I1547" i="3" a="1"/>
  <c r="I1547" i="3" s="1"/>
  <c r="I1548" i="3" a="1"/>
  <c r="I1548" i="3" s="1"/>
  <c r="I1549" i="3" a="1"/>
  <c r="I1549" i="3" s="1"/>
  <c r="I1550" i="3" a="1"/>
  <c r="I1550" i="3" s="1"/>
  <c r="I1551" i="3" a="1"/>
  <c r="I1551" i="3" s="1"/>
  <c r="I1552" i="3" a="1"/>
  <c r="I1552" i="3" s="1"/>
  <c r="I1553" i="3" a="1"/>
  <c r="I1553" i="3" s="1"/>
  <c r="I1554" i="3" a="1"/>
  <c r="I1554" i="3" s="1"/>
  <c r="I1555" i="3" a="1"/>
  <c r="I1555" i="3" s="1"/>
  <c r="I1556" i="3" a="1"/>
  <c r="I1556" i="3" s="1"/>
  <c r="I1557" i="3" a="1"/>
  <c r="I1557" i="3" s="1"/>
  <c r="I1558" i="3" a="1"/>
  <c r="I1558" i="3" s="1"/>
  <c r="I1559" i="3" a="1"/>
  <c r="I1559" i="3" s="1"/>
  <c r="I1560" i="3" a="1"/>
  <c r="I1560" i="3" s="1"/>
  <c r="I1561" i="3" a="1"/>
  <c r="I1561" i="3" s="1"/>
  <c r="I1562" i="3" a="1"/>
  <c r="I1562" i="3" s="1"/>
  <c r="I1563" i="3" a="1"/>
  <c r="I1563" i="3" s="1"/>
  <c r="I1564" i="3" a="1"/>
  <c r="I1564" i="3" s="1"/>
  <c r="I1565" i="3" a="1"/>
  <c r="I1565" i="3" s="1"/>
  <c r="I1566" i="3" a="1"/>
  <c r="I1566" i="3" s="1"/>
  <c r="I1567" i="3" a="1"/>
  <c r="I1567" i="3" s="1"/>
  <c r="I1568" i="3" a="1"/>
  <c r="I1568" i="3" s="1"/>
  <c r="I1569" i="3" a="1"/>
  <c r="I1569" i="3" s="1"/>
  <c r="I1570" i="3" a="1"/>
  <c r="I1570" i="3" s="1"/>
  <c r="I1571" i="3" a="1"/>
  <c r="I1571" i="3" s="1"/>
  <c r="I1572" i="3" a="1"/>
  <c r="I1572" i="3" s="1"/>
  <c r="I1573" i="3" a="1"/>
  <c r="I1573" i="3" s="1"/>
  <c r="I1574" i="3" a="1"/>
  <c r="I1574" i="3" s="1"/>
  <c r="I1575" i="3" a="1"/>
  <c r="I1575" i="3" s="1"/>
  <c r="I1576" i="3" a="1"/>
  <c r="I1576" i="3" s="1"/>
  <c r="I1577" i="3" a="1"/>
  <c r="I1577" i="3" s="1"/>
  <c r="I1578" i="3" a="1"/>
  <c r="I1578" i="3" s="1"/>
  <c r="I1579" i="3" a="1"/>
  <c r="I1579" i="3" s="1"/>
  <c r="I1580" i="3" a="1"/>
  <c r="I1580" i="3" s="1"/>
  <c r="I1581" i="3" a="1"/>
  <c r="I1581" i="3" s="1"/>
  <c r="I1582" i="3" a="1"/>
  <c r="I1582" i="3" s="1"/>
  <c r="I1583" i="3" a="1"/>
  <c r="I1583" i="3" s="1"/>
  <c r="I1584" i="3" a="1"/>
  <c r="I1584" i="3" s="1"/>
  <c r="I1585" i="3" a="1"/>
  <c r="I1585" i="3" s="1"/>
  <c r="I1586" i="3" a="1"/>
  <c r="I1586" i="3" s="1"/>
  <c r="I1587" i="3" a="1"/>
  <c r="I1587" i="3" s="1"/>
  <c r="I1588" i="3" a="1"/>
  <c r="I1588" i="3" s="1"/>
  <c r="I1589" i="3" a="1"/>
  <c r="I1589" i="3" s="1"/>
  <c r="I1590" i="3" a="1"/>
  <c r="I1590" i="3" s="1"/>
  <c r="I1591" i="3" a="1"/>
  <c r="I1591" i="3" s="1"/>
  <c r="I1592" i="3" a="1"/>
  <c r="I1592" i="3" s="1"/>
  <c r="I1593" i="3" a="1"/>
  <c r="I1593" i="3" s="1"/>
  <c r="I1594" i="3" a="1"/>
  <c r="I1594" i="3" s="1"/>
  <c r="I1595" i="3" a="1"/>
  <c r="I1595" i="3" s="1"/>
  <c r="I1596" i="3" a="1"/>
  <c r="I1596" i="3" s="1"/>
  <c r="I1597" i="3" a="1"/>
  <c r="I1597" i="3" s="1"/>
  <c r="I1598" i="3" a="1"/>
  <c r="I1598" i="3" s="1"/>
  <c r="I1599" i="3" a="1"/>
  <c r="I1599" i="3" s="1"/>
  <c r="I1600" i="3" a="1"/>
  <c r="I1600" i="3" s="1"/>
  <c r="I1601" i="3" a="1"/>
  <c r="I1601" i="3" s="1"/>
  <c r="I1602" i="3" a="1"/>
  <c r="I1602" i="3" s="1"/>
  <c r="I1603" i="3" a="1"/>
  <c r="I1603" i="3" s="1"/>
  <c r="I1604" i="3" a="1"/>
  <c r="I1604" i="3" s="1"/>
  <c r="I1605" i="3" a="1"/>
  <c r="I1605" i="3" s="1"/>
  <c r="I1606" i="3" a="1"/>
  <c r="I1606" i="3" s="1"/>
  <c r="I1607" i="3" a="1"/>
  <c r="I1607" i="3" s="1"/>
  <c r="I1608" i="3" a="1"/>
  <c r="I1608" i="3" s="1"/>
  <c r="I1609" i="3" a="1"/>
  <c r="I1609" i="3" s="1"/>
  <c r="I1610" i="3" a="1"/>
  <c r="I1610" i="3" s="1"/>
  <c r="I1611" i="3" a="1"/>
  <c r="I1611" i="3" s="1"/>
  <c r="I1612" i="3" a="1"/>
  <c r="I1612" i="3" s="1"/>
  <c r="I1613" i="3" a="1"/>
  <c r="I1613" i="3" s="1"/>
  <c r="I1614" i="3" a="1"/>
  <c r="I1614" i="3" s="1"/>
  <c r="I1615" i="3" a="1"/>
  <c r="I1615" i="3" s="1"/>
  <c r="I1616" i="3" a="1"/>
  <c r="I1616" i="3" s="1"/>
  <c r="I1617" i="3" a="1"/>
  <c r="I1617" i="3" s="1"/>
  <c r="I1618" i="3" a="1"/>
  <c r="I1618" i="3" s="1"/>
  <c r="I1619" i="3" a="1"/>
  <c r="I1619" i="3" s="1"/>
  <c r="I1620" i="3" a="1"/>
  <c r="I1620" i="3" s="1"/>
  <c r="I1621" i="3" a="1"/>
  <c r="I1621" i="3" s="1"/>
  <c r="I1622" i="3" a="1"/>
  <c r="I1622" i="3" s="1"/>
  <c r="I1623" i="3" a="1"/>
  <c r="I1623" i="3" s="1"/>
  <c r="I1624" i="3" a="1"/>
  <c r="I1624" i="3" s="1"/>
  <c r="I1625" i="3" a="1"/>
  <c r="I1625" i="3" s="1"/>
  <c r="I1626" i="3" a="1"/>
  <c r="I1626" i="3" s="1"/>
  <c r="I1627" i="3" a="1"/>
  <c r="I1627" i="3" s="1"/>
  <c r="I1628" i="3" a="1"/>
  <c r="I1628" i="3" s="1"/>
  <c r="I1629" i="3" a="1"/>
  <c r="I1629" i="3" s="1"/>
  <c r="I1630" i="3" a="1"/>
  <c r="I1630" i="3" s="1"/>
  <c r="I1631" i="3" a="1"/>
  <c r="I1631" i="3" s="1"/>
  <c r="I1632" i="3" a="1"/>
  <c r="I1632" i="3" s="1"/>
  <c r="I1633" i="3" a="1"/>
  <c r="I1633" i="3" s="1"/>
  <c r="I1634" i="3" a="1"/>
  <c r="I1634" i="3" s="1"/>
  <c r="I1635" i="3" a="1"/>
  <c r="I1635" i="3" s="1"/>
  <c r="I1636" i="3" a="1"/>
  <c r="I1636" i="3" s="1"/>
  <c r="I1637" i="3" a="1"/>
  <c r="I1637" i="3" s="1"/>
  <c r="I1638" i="3" a="1"/>
  <c r="I1638" i="3" s="1"/>
  <c r="I1639" i="3" a="1"/>
  <c r="I1639" i="3" s="1"/>
  <c r="I1640" i="3" a="1"/>
  <c r="I1640" i="3" s="1"/>
  <c r="I1641" i="3" a="1"/>
  <c r="I1641" i="3" s="1"/>
  <c r="I1642" i="3" a="1"/>
  <c r="I1642" i="3" s="1"/>
  <c r="I1643" i="3" a="1"/>
  <c r="I1643" i="3" s="1"/>
  <c r="I1644" i="3" a="1"/>
  <c r="I1644" i="3" s="1"/>
  <c r="I1645" i="3" a="1"/>
  <c r="I1645" i="3" s="1"/>
  <c r="I1646" i="3" a="1"/>
  <c r="I1646" i="3" s="1"/>
  <c r="I1647" i="3" a="1"/>
  <c r="I1647" i="3" s="1"/>
  <c r="I1648" i="3" a="1"/>
  <c r="I1648" i="3" s="1"/>
  <c r="I1649" i="3" a="1"/>
  <c r="I1649" i="3" s="1"/>
  <c r="I1650" i="3" a="1"/>
  <c r="I1650" i="3" s="1"/>
  <c r="I1651" i="3" a="1"/>
  <c r="I1651" i="3" s="1"/>
  <c r="I1652" i="3" a="1"/>
  <c r="I1652" i="3" s="1"/>
  <c r="I1653" i="3" a="1"/>
  <c r="I1653" i="3" s="1"/>
  <c r="I1654" i="3" a="1"/>
  <c r="I1654" i="3" s="1"/>
  <c r="I1655" i="3" a="1"/>
  <c r="I1655" i="3" s="1"/>
  <c r="I1656" i="3" a="1"/>
  <c r="I1656" i="3" s="1"/>
  <c r="I1657" i="3" a="1"/>
  <c r="I1657" i="3" s="1"/>
  <c r="I1658" i="3" a="1"/>
  <c r="I1658" i="3" s="1"/>
  <c r="I1659" i="3" a="1"/>
  <c r="I1659" i="3" s="1"/>
  <c r="I1660" i="3" a="1"/>
  <c r="I1660" i="3" s="1"/>
  <c r="I1661" i="3" a="1"/>
  <c r="I1661" i="3" s="1"/>
  <c r="I1662" i="3" a="1"/>
  <c r="I1662" i="3" s="1"/>
  <c r="I1663" i="3" a="1"/>
  <c r="I1663" i="3" s="1"/>
  <c r="I1664" i="3" a="1"/>
  <c r="I1664" i="3" s="1"/>
  <c r="I1665" i="3" a="1"/>
  <c r="I1665" i="3" s="1"/>
  <c r="I1666" i="3" a="1"/>
  <c r="I1666" i="3" s="1"/>
  <c r="I1667" i="3" a="1"/>
  <c r="I1667" i="3" s="1"/>
  <c r="I1668" i="3" a="1"/>
  <c r="I1668" i="3" s="1"/>
  <c r="I1669" i="3" a="1"/>
  <c r="I1669" i="3" s="1"/>
  <c r="I1670" i="3" a="1"/>
  <c r="I1670" i="3" s="1"/>
  <c r="I1671" i="3" a="1"/>
  <c r="I1671" i="3" s="1"/>
  <c r="I1672" i="3" a="1"/>
  <c r="I1672" i="3" s="1"/>
  <c r="I1673" i="3" a="1"/>
  <c r="I1673" i="3" s="1"/>
  <c r="I1674" i="3" a="1"/>
  <c r="I1674" i="3" s="1"/>
  <c r="I1675" i="3" a="1"/>
  <c r="I1675" i="3" s="1"/>
  <c r="I1676" i="3" a="1"/>
  <c r="I1676" i="3" s="1"/>
  <c r="I1677" i="3" a="1"/>
  <c r="I1677" i="3" s="1"/>
  <c r="I1678" i="3" a="1"/>
  <c r="I1678" i="3" s="1"/>
  <c r="I1679" i="3" a="1"/>
  <c r="I1679" i="3" s="1"/>
  <c r="I1680" i="3" a="1"/>
  <c r="I1680" i="3" s="1"/>
  <c r="I1681" i="3" a="1"/>
  <c r="I1681" i="3" s="1"/>
  <c r="I1682" i="3" a="1"/>
  <c r="I1682" i="3" s="1"/>
  <c r="I1683" i="3" a="1"/>
  <c r="I1683" i="3" s="1"/>
  <c r="I1684" i="3" a="1"/>
  <c r="I1684" i="3" s="1"/>
  <c r="I1685" i="3" a="1"/>
  <c r="I1685" i="3" s="1"/>
  <c r="I1686" i="3" a="1"/>
  <c r="I1686" i="3" s="1"/>
  <c r="I1687" i="3" a="1"/>
  <c r="I1687" i="3" s="1"/>
  <c r="I1688" i="3" a="1"/>
  <c r="I1688" i="3" s="1"/>
  <c r="I1689" i="3" a="1"/>
  <c r="I1689" i="3" s="1"/>
  <c r="I1690" i="3" a="1"/>
  <c r="I1690" i="3" s="1"/>
  <c r="I1691" i="3" a="1"/>
  <c r="I1691" i="3" s="1"/>
  <c r="I1692" i="3" a="1"/>
  <c r="I1692" i="3" s="1"/>
  <c r="I1693" i="3" a="1"/>
  <c r="I1693" i="3" s="1"/>
  <c r="I1694" i="3" a="1"/>
  <c r="I1694" i="3" s="1"/>
  <c r="I1695" i="3" a="1"/>
  <c r="I1695" i="3" s="1"/>
  <c r="I1696" i="3" a="1"/>
  <c r="I1696" i="3" s="1"/>
  <c r="I1697" i="3" a="1"/>
  <c r="I1697" i="3" s="1"/>
  <c r="I1698" i="3" a="1"/>
  <c r="I1698" i="3" s="1"/>
  <c r="I1699" i="3" a="1"/>
  <c r="I1699" i="3" s="1"/>
  <c r="I1700" i="3" a="1"/>
  <c r="I1700" i="3" s="1"/>
  <c r="I1701" i="3" a="1"/>
  <c r="I1701" i="3" s="1"/>
  <c r="I1702" i="3" a="1"/>
  <c r="I1702" i="3" s="1"/>
  <c r="I1703" i="3" a="1"/>
  <c r="I1703" i="3" s="1"/>
  <c r="I1704" i="3" a="1"/>
  <c r="I1704" i="3" s="1"/>
  <c r="I1705" i="3" a="1"/>
  <c r="I1705" i="3" s="1"/>
  <c r="I1706" i="3" a="1"/>
  <c r="I1706" i="3" s="1"/>
  <c r="I1707" i="3" a="1"/>
  <c r="I1707" i="3" s="1"/>
  <c r="I1708" i="3" a="1"/>
  <c r="I1708" i="3" s="1"/>
  <c r="I1709" i="3" a="1"/>
  <c r="I1709" i="3" s="1"/>
  <c r="I1710" i="3" a="1"/>
  <c r="I1710" i="3" s="1"/>
  <c r="I1711" i="3" a="1"/>
  <c r="I1711" i="3" s="1"/>
  <c r="I1712" i="3" a="1"/>
  <c r="I1712" i="3" s="1"/>
  <c r="I1713" i="3" a="1"/>
  <c r="I1713" i="3" s="1"/>
  <c r="I1714" i="3" a="1"/>
  <c r="I1714" i="3" s="1"/>
  <c r="I1715" i="3" a="1"/>
  <c r="I1715" i="3" s="1"/>
  <c r="I1716" i="3" a="1"/>
  <c r="I1716" i="3" s="1"/>
  <c r="I1717" i="3" a="1"/>
  <c r="I1717" i="3" s="1"/>
  <c r="I1718" i="3" a="1"/>
  <c r="I1718" i="3" s="1"/>
  <c r="I1719" i="3" a="1"/>
  <c r="I1719" i="3" s="1"/>
  <c r="I1720" i="3" a="1"/>
  <c r="I1720" i="3" s="1"/>
  <c r="I1721" i="3" a="1"/>
  <c r="I1721" i="3" s="1"/>
  <c r="I1722" i="3" a="1"/>
  <c r="I1722" i="3" s="1"/>
  <c r="I1723" i="3" a="1"/>
  <c r="I1723" i="3" s="1"/>
  <c r="I1724" i="3" a="1"/>
  <c r="I1724" i="3" s="1"/>
  <c r="I1725" i="3" a="1"/>
  <c r="I1725" i="3" s="1"/>
  <c r="I1726" i="3" a="1"/>
  <c r="I1726" i="3" s="1"/>
  <c r="I1727" i="3" a="1"/>
  <c r="I1727" i="3" s="1"/>
  <c r="I1728" i="3" a="1"/>
  <c r="I1728" i="3" s="1"/>
  <c r="I1729" i="3" a="1"/>
  <c r="I1729" i="3" s="1"/>
  <c r="I1730" i="3" a="1"/>
  <c r="I1730" i="3" s="1"/>
  <c r="I1731" i="3" a="1"/>
  <c r="I1731" i="3" s="1"/>
  <c r="I1732" i="3" a="1"/>
  <c r="I1732" i="3" s="1"/>
  <c r="I1733" i="3" a="1"/>
  <c r="I1733" i="3" s="1"/>
  <c r="I1734" i="3" a="1"/>
  <c r="I1734" i="3" s="1"/>
  <c r="I1735" i="3" a="1"/>
  <c r="I1735" i="3" s="1"/>
  <c r="I1736" i="3" a="1"/>
  <c r="I1736" i="3" s="1"/>
  <c r="I1737" i="3" a="1"/>
  <c r="I1737" i="3" s="1"/>
  <c r="I1738" i="3" a="1"/>
  <c r="I1738" i="3" s="1"/>
  <c r="I1739" i="3" a="1"/>
  <c r="I1739" i="3" s="1"/>
  <c r="I1740" i="3" a="1"/>
  <c r="I1740" i="3" s="1"/>
  <c r="I1741" i="3" a="1"/>
  <c r="I1741" i="3" s="1"/>
  <c r="I1742" i="3" a="1"/>
  <c r="I1742" i="3" s="1"/>
  <c r="I1743" i="3" a="1"/>
  <c r="I1743" i="3" s="1"/>
  <c r="I1744" i="3" a="1"/>
  <c r="I1744" i="3" s="1"/>
  <c r="I1745" i="3" a="1"/>
  <c r="I1745" i="3" s="1"/>
  <c r="I1746" i="3" a="1"/>
  <c r="I1746" i="3" s="1"/>
  <c r="I1747" i="3" a="1"/>
  <c r="I1747" i="3" s="1"/>
  <c r="I1748" i="3" a="1"/>
  <c r="I1748" i="3" s="1"/>
  <c r="I1749" i="3" a="1"/>
  <c r="I1749" i="3" s="1"/>
  <c r="I1750" i="3" a="1"/>
  <c r="I1750" i="3" s="1"/>
  <c r="I1751" i="3" a="1"/>
  <c r="I1751" i="3" s="1"/>
  <c r="I1752" i="3" a="1"/>
  <c r="I1752" i="3" s="1"/>
  <c r="I1753" i="3" a="1"/>
  <c r="I1753" i="3" s="1"/>
  <c r="I1754" i="3" a="1"/>
  <c r="I1754" i="3" s="1"/>
  <c r="I1755" i="3" a="1"/>
  <c r="I1755" i="3" s="1"/>
  <c r="I1756" i="3" a="1"/>
  <c r="I1756" i="3" s="1"/>
  <c r="I1757" i="3" a="1"/>
  <c r="I1757" i="3" s="1"/>
  <c r="I1758" i="3" a="1"/>
  <c r="I1758" i="3" s="1"/>
  <c r="I1759" i="3" a="1"/>
  <c r="I1759" i="3" s="1"/>
  <c r="I1760" i="3" a="1"/>
  <c r="I1760" i="3" s="1"/>
  <c r="I1761" i="3" a="1"/>
  <c r="I1761" i="3" s="1"/>
  <c r="I1762" i="3" a="1"/>
  <c r="I1762" i="3" s="1"/>
  <c r="I1763" i="3" a="1"/>
  <c r="I1763" i="3" s="1"/>
  <c r="I1764" i="3" a="1"/>
  <c r="I1764" i="3" s="1"/>
  <c r="I1765" i="3" a="1"/>
  <c r="I1765" i="3" s="1"/>
  <c r="I1766" i="3" a="1"/>
  <c r="I1766" i="3" s="1"/>
  <c r="I1767" i="3" a="1"/>
  <c r="I1767" i="3" s="1"/>
  <c r="I1768" i="3" a="1"/>
  <c r="I1768" i="3" s="1"/>
  <c r="I1769" i="3" a="1"/>
  <c r="I1769" i="3" s="1"/>
  <c r="I1770" i="3" a="1"/>
  <c r="I1770" i="3" s="1"/>
  <c r="I1771" i="3" a="1"/>
  <c r="I1771" i="3" s="1"/>
  <c r="I1772" i="3" a="1"/>
  <c r="I1772" i="3" s="1"/>
  <c r="I1773" i="3" a="1"/>
  <c r="I1773" i="3" s="1"/>
  <c r="I1774" i="3" a="1"/>
  <c r="I1774" i="3" s="1"/>
  <c r="I1775" i="3" a="1"/>
  <c r="I1775" i="3" s="1"/>
  <c r="I1776" i="3" a="1"/>
  <c r="I1776" i="3" s="1"/>
  <c r="I1777" i="3" a="1"/>
  <c r="I1777" i="3" s="1"/>
  <c r="I1778" i="3" a="1"/>
  <c r="I1778" i="3" s="1"/>
  <c r="I1779" i="3" a="1"/>
  <c r="I1779" i="3" s="1"/>
  <c r="I1780" i="3" a="1"/>
  <c r="I1780" i="3" s="1"/>
  <c r="I1781" i="3" a="1"/>
  <c r="I1781" i="3" s="1"/>
  <c r="I1782" i="3" a="1"/>
  <c r="I1782" i="3" s="1"/>
  <c r="I1783" i="3" a="1"/>
  <c r="I1783" i="3" s="1"/>
  <c r="I1784" i="3" a="1"/>
  <c r="I1784" i="3" s="1"/>
  <c r="I1785" i="3" a="1"/>
  <c r="I1785" i="3" s="1"/>
  <c r="I1786" i="3" a="1"/>
  <c r="I1786" i="3" s="1"/>
  <c r="I1787" i="3" a="1"/>
  <c r="I1787" i="3" s="1"/>
  <c r="I1788" i="3" a="1"/>
  <c r="I1788" i="3" s="1"/>
  <c r="I1789" i="3" a="1"/>
  <c r="I1789" i="3" s="1"/>
  <c r="I1790" i="3" a="1"/>
  <c r="I1790" i="3" s="1"/>
  <c r="I1791" i="3" a="1"/>
  <c r="I1791" i="3" s="1"/>
  <c r="I1792" i="3" a="1"/>
  <c r="I1792" i="3" s="1"/>
  <c r="I1793" i="3" a="1"/>
  <c r="I1793" i="3" s="1"/>
  <c r="I1794" i="3" a="1"/>
  <c r="I1794" i="3" s="1"/>
  <c r="I1795" i="3" a="1"/>
  <c r="I1795" i="3" s="1"/>
  <c r="I1796" i="3" a="1"/>
  <c r="I1796" i="3" s="1"/>
  <c r="I1797" i="3" a="1"/>
  <c r="I1797" i="3" s="1"/>
  <c r="I1798" i="3" a="1"/>
  <c r="I1798" i="3" s="1"/>
  <c r="I1799" i="3" a="1"/>
  <c r="I1799" i="3" s="1"/>
  <c r="I1800" i="3" a="1"/>
  <c r="I1800" i="3" s="1"/>
  <c r="I1801" i="3" a="1"/>
  <c r="I1801" i="3" s="1"/>
  <c r="I1802" i="3" a="1"/>
  <c r="I1802" i="3" s="1"/>
  <c r="I1803" i="3" a="1"/>
  <c r="I1803" i="3" s="1"/>
  <c r="I1804" i="3" a="1"/>
  <c r="I1804" i="3" s="1"/>
  <c r="I1805" i="3" a="1"/>
  <c r="I1805" i="3" s="1"/>
  <c r="I1806" i="3" a="1"/>
  <c r="I1806" i="3" s="1"/>
  <c r="I1807" i="3" a="1"/>
  <c r="I1807" i="3" s="1"/>
  <c r="I1808" i="3" a="1"/>
  <c r="I1808" i="3" s="1"/>
  <c r="I1809" i="3" a="1"/>
  <c r="I1809" i="3" s="1"/>
  <c r="I1810" i="3" a="1"/>
  <c r="I1810" i="3" s="1"/>
  <c r="I1811" i="3" a="1"/>
  <c r="I1811" i="3" s="1"/>
  <c r="I1812" i="3" a="1"/>
  <c r="I1812" i="3" s="1"/>
  <c r="I1813" i="3" a="1"/>
  <c r="I1813" i="3" s="1"/>
  <c r="I1814" i="3" a="1"/>
  <c r="I1814" i="3" s="1"/>
  <c r="I1815" i="3" a="1"/>
  <c r="I1815" i="3" s="1"/>
  <c r="I1816" i="3" a="1"/>
  <c r="I1816" i="3" s="1"/>
  <c r="I1817" i="3" a="1"/>
  <c r="I1817" i="3" s="1"/>
  <c r="I1818" i="3" a="1"/>
  <c r="I1818" i="3" s="1"/>
  <c r="I1819" i="3" a="1"/>
  <c r="I1819" i="3" s="1"/>
  <c r="I1820" i="3" a="1"/>
  <c r="I1820" i="3" s="1"/>
  <c r="I1821" i="3" a="1"/>
  <c r="I1821" i="3" s="1"/>
  <c r="I1822" i="3" a="1"/>
  <c r="I1822" i="3" s="1"/>
  <c r="I1823" i="3" a="1"/>
  <c r="I1823" i="3" s="1"/>
  <c r="I1824" i="3" a="1"/>
  <c r="I1824" i="3" s="1"/>
  <c r="I1825" i="3" a="1"/>
  <c r="I1825" i="3" s="1"/>
  <c r="I1826" i="3" a="1"/>
  <c r="I1826" i="3" s="1"/>
  <c r="I1827" i="3" a="1"/>
  <c r="I1827" i="3" s="1"/>
  <c r="I1828" i="3" a="1"/>
  <c r="I1828" i="3" s="1"/>
  <c r="I1829" i="3" a="1"/>
  <c r="I1829" i="3" s="1"/>
  <c r="I1830" i="3" a="1"/>
  <c r="I1830" i="3" s="1"/>
  <c r="I1831" i="3" a="1"/>
  <c r="I1831" i="3" s="1"/>
  <c r="I1832" i="3" a="1"/>
  <c r="I1832" i="3" s="1"/>
  <c r="I1833" i="3" a="1"/>
  <c r="I1833" i="3" s="1"/>
  <c r="I1834" i="3" a="1"/>
  <c r="I1834" i="3" s="1"/>
  <c r="I1835" i="3" a="1"/>
  <c r="I1835" i="3" s="1"/>
  <c r="I1836" i="3" a="1"/>
  <c r="I1836" i="3" s="1"/>
  <c r="I1837" i="3" a="1"/>
  <c r="I1837" i="3" s="1"/>
  <c r="I1838" i="3" a="1"/>
  <c r="I1838" i="3" s="1"/>
  <c r="I1839" i="3" a="1"/>
  <c r="I1839" i="3" s="1"/>
  <c r="I1840" i="3" a="1"/>
  <c r="I1840" i="3" s="1"/>
  <c r="I1841" i="3" a="1"/>
  <c r="I1841" i="3" s="1"/>
  <c r="I1842" i="3" a="1"/>
  <c r="I1842" i="3" s="1"/>
  <c r="I1843" i="3" a="1"/>
  <c r="I1843" i="3" s="1"/>
  <c r="I1844" i="3" a="1"/>
  <c r="I1844" i="3" s="1"/>
  <c r="I1845" i="3" a="1"/>
  <c r="I1845" i="3" s="1"/>
  <c r="I1846" i="3" a="1"/>
  <c r="I1846" i="3" s="1"/>
  <c r="I1847" i="3" a="1"/>
  <c r="I1847" i="3" s="1"/>
  <c r="I1848" i="3" a="1"/>
  <c r="I1848" i="3" s="1"/>
  <c r="I1849" i="3" a="1"/>
  <c r="I1849" i="3" s="1"/>
  <c r="I1850" i="3" a="1"/>
  <c r="I1850" i="3" s="1"/>
  <c r="I1851" i="3" a="1"/>
  <c r="I1851" i="3" s="1"/>
  <c r="I1852" i="3" a="1"/>
  <c r="I1852" i="3" s="1"/>
  <c r="I1853" i="3" a="1"/>
  <c r="I1853" i="3" s="1"/>
  <c r="I1854" i="3" a="1"/>
  <c r="I1854" i="3" s="1"/>
  <c r="I1855" i="3" a="1"/>
  <c r="I1855" i="3" s="1"/>
  <c r="I1856" i="3" a="1"/>
  <c r="I1856" i="3" s="1"/>
  <c r="I1857" i="3" a="1"/>
  <c r="I1857" i="3" s="1"/>
  <c r="I1858" i="3" a="1"/>
  <c r="I1858" i="3" s="1"/>
  <c r="I1859" i="3" a="1"/>
  <c r="I1859" i="3" s="1"/>
  <c r="I1860" i="3" a="1"/>
  <c r="I1860" i="3" s="1"/>
  <c r="I1861" i="3" a="1"/>
  <c r="I1861" i="3" s="1"/>
  <c r="I1862" i="3" a="1"/>
  <c r="I1862" i="3" s="1"/>
  <c r="I1863" i="3" a="1"/>
  <c r="I1863" i="3" s="1"/>
  <c r="I1864" i="3" a="1"/>
  <c r="I1864" i="3" s="1"/>
  <c r="I1865" i="3" a="1"/>
  <c r="I1865" i="3" s="1"/>
  <c r="I1866" i="3" a="1"/>
  <c r="I1866" i="3" s="1"/>
  <c r="I1867" i="3" a="1"/>
  <c r="I1867" i="3" s="1"/>
  <c r="I1868" i="3" a="1"/>
  <c r="I1868" i="3" s="1"/>
  <c r="I1869" i="3" a="1"/>
  <c r="I1869" i="3" s="1"/>
  <c r="I1870" i="3" a="1"/>
  <c r="I1870" i="3" s="1"/>
  <c r="I1871" i="3" a="1"/>
  <c r="I1871" i="3" s="1"/>
  <c r="I1872" i="3" a="1"/>
  <c r="I1872" i="3" s="1"/>
  <c r="I1873" i="3" a="1"/>
  <c r="I1873" i="3" s="1"/>
  <c r="I1874" i="3" a="1"/>
  <c r="I1874" i="3" s="1"/>
  <c r="I1875" i="3" a="1"/>
  <c r="I1875" i="3" s="1"/>
  <c r="I1876" i="3" a="1"/>
  <c r="I1876" i="3" s="1"/>
  <c r="I1877" i="3" a="1"/>
  <c r="I1877" i="3" s="1"/>
  <c r="I1878" i="3" a="1"/>
  <c r="I1878" i="3" s="1"/>
  <c r="I1879" i="3" a="1"/>
  <c r="I1879" i="3" s="1"/>
  <c r="I1880" i="3" a="1"/>
  <c r="I1880" i="3" s="1"/>
  <c r="I1881" i="3" a="1"/>
  <c r="I1881" i="3" s="1"/>
  <c r="I1882" i="3" a="1"/>
  <c r="I1882" i="3" s="1"/>
  <c r="I1883" i="3" a="1"/>
  <c r="I1883" i="3" s="1"/>
  <c r="I1884" i="3" a="1"/>
  <c r="I1884" i="3" s="1"/>
  <c r="I1885" i="3" a="1"/>
  <c r="I1885" i="3" s="1"/>
  <c r="I1886" i="3" a="1"/>
  <c r="I1886" i="3" s="1"/>
  <c r="I1887" i="3" a="1"/>
  <c r="I1887" i="3" s="1"/>
  <c r="I1888" i="3" a="1"/>
  <c r="I1888" i="3" s="1"/>
  <c r="I1889" i="3" a="1"/>
  <c r="I1889" i="3" s="1"/>
  <c r="I1890" i="3" a="1"/>
  <c r="I1890" i="3" s="1"/>
  <c r="I1891" i="3" a="1"/>
  <c r="I1891" i="3" s="1"/>
  <c r="I1892" i="3" a="1"/>
  <c r="I1892" i="3" s="1"/>
  <c r="I1893" i="3" a="1"/>
  <c r="I1893" i="3" s="1"/>
  <c r="I1894" i="3" a="1"/>
  <c r="I1894" i="3" s="1"/>
  <c r="I1895" i="3" a="1"/>
  <c r="I1895" i="3" s="1"/>
  <c r="I1896" i="3" a="1"/>
  <c r="I1896" i="3" s="1"/>
  <c r="I1897" i="3" a="1"/>
  <c r="I1897" i="3" s="1"/>
  <c r="I1898" i="3" a="1"/>
  <c r="I1898" i="3" s="1"/>
  <c r="I1899" i="3" a="1"/>
  <c r="I1899" i="3" s="1"/>
  <c r="I1900" i="3" a="1"/>
  <c r="I1900" i="3" s="1"/>
  <c r="I1901" i="3" a="1"/>
  <c r="I1901" i="3" s="1"/>
  <c r="I1902" i="3" a="1"/>
  <c r="I1902" i="3" s="1"/>
  <c r="I1903" i="3" a="1"/>
  <c r="I1903" i="3" s="1"/>
  <c r="I1904" i="3" a="1"/>
  <c r="I1904" i="3" s="1"/>
  <c r="I1905" i="3" a="1"/>
  <c r="I1905" i="3" s="1"/>
  <c r="I1906" i="3" a="1"/>
  <c r="I1906" i="3" s="1"/>
  <c r="I1907" i="3" a="1"/>
  <c r="I1907" i="3" s="1"/>
  <c r="I1908" i="3" a="1"/>
  <c r="I1908" i="3" s="1"/>
  <c r="I1909" i="3" a="1"/>
  <c r="I1909" i="3" s="1"/>
  <c r="I1910" i="3" a="1"/>
  <c r="I1910" i="3" s="1"/>
  <c r="I1911" i="3" a="1"/>
  <c r="I1911" i="3" s="1"/>
  <c r="I1912" i="3" a="1"/>
  <c r="I1912" i="3" s="1"/>
  <c r="I1913" i="3" a="1"/>
  <c r="I1913" i="3" s="1"/>
  <c r="I1914" i="3" a="1"/>
  <c r="I1914" i="3" s="1"/>
  <c r="I1915" i="3" a="1"/>
  <c r="I1915" i="3" s="1"/>
  <c r="I1916" i="3" a="1"/>
  <c r="I1916" i="3" s="1"/>
  <c r="I1917" i="3" a="1"/>
  <c r="I1917" i="3" s="1"/>
  <c r="I1918" i="3" a="1"/>
  <c r="I1918" i="3" s="1"/>
  <c r="I1919" i="3" a="1"/>
  <c r="I1919" i="3" s="1"/>
  <c r="I1920" i="3" a="1"/>
  <c r="I1920" i="3" s="1"/>
  <c r="I1921" i="3" a="1"/>
  <c r="I1921" i="3" s="1"/>
  <c r="I1922" i="3" a="1"/>
  <c r="I1922" i="3" s="1"/>
  <c r="I1923" i="3" a="1"/>
  <c r="I1923" i="3" s="1"/>
  <c r="I1924" i="3" a="1"/>
  <c r="I1924" i="3" s="1"/>
  <c r="I1925" i="3" a="1"/>
  <c r="I1925" i="3" s="1"/>
  <c r="I1926" i="3" a="1"/>
  <c r="I1926" i="3" s="1"/>
  <c r="I1927" i="3" a="1"/>
  <c r="I1927" i="3" s="1"/>
  <c r="I1928" i="3" a="1"/>
  <c r="I1928" i="3" s="1"/>
  <c r="I1929" i="3" a="1"/>
  <c r="I1929" i="3" s="1"/>
  <c r="I1930" i="3" a="1"/>
  <c r="I1930" i="3" s="1"/>
  <c r="I1931" i="3" a="1"/>
  <c r="I1931" i="3" s="1"/>
  <c r="I1932" i="3" a="1"/>
  <c r="I1932" i="3" s="1"/>
  <c r="I1933" i="3" a="1"/>
  <c r="I1933" i="3" s="1"/>
  <c r="I1934" i="3" a="1"/>
  <c r="I1934" i="3" s="1"/>
  <c r="I1935" i="3" a="1"/>
  <c r="I1935" i="3" s="1"/>
  <c r="I1936" i="3" a="1"/>
  <c r="I1936" i="3" s="1"/>
  <c r="I1937" i="3" a="1"/>
  <c r="I1937" i="3" s="1"/>
  <c r="I1938" i="3" a="1"/>
  <c r="I1938" i="3" s="1"/>
  <c r="I1939" i="3" a="1"/>
  <c r="I1939" i="3" s="1"/>
  <c r="I1940" i="3" a="1"/>
  <c r="I1940" i="3" s="1"/>
  <c r="I1941" i="3" a="1"/>
  <c r="I1941" i="3" s="1"/>
  <c r="I1942" i="3" a="1"/>
  <c r="I1942" i="3" s="1"/>
  <c r="I1943" i="3" a="1"/>
  <c r="I1943" i="3" s="1"/>
  <c r="I1944" i="3" a="1"/>
  <c r="I1944" i="3" s="1"/>
  <c r="I1945" i="3" a="1"/>
  <c r="I1945" i="3" s="1"/>
  <c r="I1946" i="3" a="1"/>
  <c r="I1946" i="3" s="1"/>
  <c r="I1947" i="3" a="1"/>
  <c r="I1947" i="3" s="1"/>
  <c r="I1948" i="3" a="1"/>
  <c r="I1948" i="3" s="1"/>
  <c r="I1949" i="3" a="1"/>
  <c r="I1949" i="3" s="1"/>
  <c r="I1950" i="3" a="1"/>
  <c r="I1950" i="3" s="1"/>
  <c r="I1951" i="3" a="1"/>
  <c r="I1951" i="3" s="1"/>
  <c r="I1952" i="3" a="1"/>
  <c r="I1952" i="3" s="1"/>
  <c r="I1953" i="3" a="1"/>
  <c r="I1953" i="3" s="1"/>
  <c r="I1954" i="3" a="1"/>
  <c r="I1954" i="3" s="1"/>
  <c r="I1955" i="3" a="1"/>
  <c r="I1955" i="3" s="1"/>
  <c r="I1956" i="3" a="1"/>
  <c r="I1956" i="3" s="1"/>
  <c r="I1957" i="3" a="1"/>
  <c r="I1957" i="3" s="1"/>
  <c r="I1958" i="3" a="1"/>
  <c r="I1958" i="3" s="1"/>
  <c r="I1959" i="3" a="1"/>
  <c r="I1959" i="3" s="1"/>
  <c r="I1960" i="3" a="1"/>
  <c r="I1960" i="3" s="1"/>
  <c r="I1961" i="3" a="1"/>
  <c r="I1961" i="3" s="1"/>
  <c r="I1962" i="3" a="1"/>
  <c r="I1962" i="3" s="1"/>
  <c r="I1963" i="3" a="1"/>
  <c r="I1963" i="3" s="1"/>
  <c r="I1964" i="3" a="1"/>
  <c r="I1964" i="3" s="1"/>
  <c r="I1965" i="3" a="1"/>
  <c r="I1965" i="3" s="1"/>
  <c r="I1966" i="3" a="1"/>
  <c r="I1966" i="3" s="1"/>
  <c r="I1967" i="3" a="1"/>
  <c r="I1967" i="3" s="1"/>
  <c r="I1968" i="3" a="1"/>
  <c r="I1968" i="3" s="1"/>
  <c r="I1969" i="3" a="1"/>
  <c r="I1969" i="3" s="1"/>
  <c r="I1970" i="3" a="1"/>
  <c r="I1970" i="3" s="1"/>
  <c r="I1971" i="3" a="1"/>
  <c r="I1971" i="3" s="1"/>
  <c r="I1972" i="3" a="1"/>
  <c r="I1972" i="3" s="1"/>
  <c r="I1973" i="3" a="1"/>
  <c r="I1973" i="3" s="1"/>
  <c r="I1974" i="3" a="1"/>
  <c r="I1974" i="3" s="1"/>
  <c r="I1975" i="3" a="1"/>
  <c r="I1975" i="3" s="1"/>
  <c r="I1976" i="3" a="1"/>
  <c r="I1976" i="3" s="1"/>
  <c r="I1977" i="3" a="1"/>
  <c r="I1977" i="3" s="1"/>
  <c r="I1978" i="3" a="1"/>
  <c r="I1978" i="3" s="1"/>
  <c r="I1979" i="3" a="1"/>
  <c r="I1979" i="3" s="1"/>
  <c r="I1980" i="3" a="1"/>
  <c r="I1980" i="3" s="1"/>
  <c r="I1981" i="3" a="1"/>
  <c r="I1981" i="3" s="1"/>
  <c r="I1982" i="3" a="1"/>
  <c r="I1982" i="3" s="1"/>
  <c r="I1983" i="3" a="1"/>
  <c r="I1983" i="3" s="1"/>
  <c r="I1984" i="3" a="1"/>
  <c r="I1984" i="3" s="1"/>
  <c r="I1985" i="3" a="1"/>
  <c r="I1985" i="3" s="1"/>
  <c r="I1986" i="3" a="1"/>
  <c r="I1986" i="3" s="1"/>
  <c r="I1987" i="3" a="1"/>
  <c r="I1987" i="3" s="1"/>
  <c r="I1988" i="3" a="1"/>
  <c r="I1988" i="3" s="1"/>
  <c r="I1989" i="3" a="1"/>
  <c r="I1989" i="3" s="1"/>
  <c r="I1990" i="3" a="1"/>
  <c r="I1990" i="3" s="1"/>
  <c r="I1991" i="3" a="1"/>
  <c r="I1991" i="3" s="1"/>
  <c r="I1992" i="3" a="1"/>
  <c r="I1992" i="3" s="1"/>
  <c r="I1993" i="3" a="1"/>
  <c r="I1993" i="3" s="1"/>
  <c r="I1994" i="3" a="1"/>
  <c r="I1994" i="3" s="1"/>
  <c r="I1995" i="3" a="1"/>
  <c r="I1995" i="3" s="1"/>
  <c r="I1996" i="3" a="1"/>
  <c r="I1996" i="3" s="1"/>
  <c r="I1997" i="3" a="1"/>
  <c r="I1997" i="3" s="1"/>
  <c r="I1998" i="3" a="1"/>
  <c r="I1998" i="3" s="1"/>
  <c r="I1999" i="3" a="1"/>
  <c r="I1999" i="3" s="1"/>
  <c r="I2000" i="3" a="1"/>
  <c r="I2000" i="3" s="1"/>
  <c r="I2001" i="3" a="1"/>
  <c r="I2001" i="3" s="1"/>
  <c r="I2002" i="3" a="1"/>
  <c r="I2002" i="3" s="1"/>
  <c r="I2003" i="3" a="1"/>
  <c r="I2003" i="3" s="1"/>
  <c r="I2004" i="3" a="1"/>
  <c r="I2004" i="3" s="1"/>
  <c r="I2005" i="3" a="1"/>
  <c r="I2005" i="3" s="1"/>
  <c r="I2006" i="3" a="1"/>
  <c r="I2006" i="3" s="1"/>
  <c r="I2007" i="3" a="1"/>
  <c r="I2007" i="3" s="1"/>
  <c r="I2008" i="3" a="1"/>
  <c r="I2008" i="3" s="1"/>
  <c r="I2009" i="3" a="1"/>
  <c r="I2009" i="3" s="1"/>
  <c r="I2010" i="3" a="1"/>
  <c r="I2010" i="3" s="1"/>
  <c r="I2011" i="3" a="1"/>
  <c r="I2011" i="3" s="1"/>
  <c r="I2012" i="3" a="1"/>
  <c r="I2012" i="3" s="1"/>
  <c r="I2013" i="3" a="1"/>
  <c r="I2013" i="3" s="1"/>
  <c r="I2014" i="3" a="1"/>
  <c r="I2014" i="3" s="1"/>
  <c r="I2015" i="3" a="1"/>
  <c r="I2015" i="3" s="1"/>
  <c r="I2016" i="3" a="1"/>
  <c r="I2016" i="3" s="1"/>
  <c r="I2017" i="3" a="1"/>
  <c r="I2017" i="3" s="1"/>
  <c r="I2018" i="3" a="1"/>
  <c r="I2018" i="3" s="1"/>
  <c r="I2019" i="3" a="1"/>
  <c r="I2019" i="3" s="1"/>
  <c r="I2020" i="3" a="1"/>
  <c r="I2020" i="3" s="1"/>
  <c r="I2021" i="3" a="1"/>
  <c r="I2021" i="3" s="1"/>
  <c r="I2022" i="3" a="1"/>
  <c r="I2022" i="3" s="1"/>
  <c r="I2023" i="3" a="1"/>
  <c r="I2023" i="3" s="1"/>
  <c r="I2024" i="3" a="1"/>
  <c r="I2024" i="3" s="1"/>
  <c r="I2025" i="3" a="1"/>
  <c r="I2025" i="3" s="1"/>
  <c r="I2026" i="3" a="1"/>
  <c r="I2026" i="3" s="1"/>
  <c r="I2027" i="3" a="1"/>
  <c r="I2027" i="3" s="1"/>
  <c r="I2028" i="3" a="1"/>
  <c r="I2028" i="3" s="1"/>
  <c r="I2029" i="3" a="1"/>
  <c r="I2029" i="3" s="1"/>
  <c r="I2030" i="3" a="1"/>
  <c r="I2030" i="3" s="1"/>
  <c r="I2031" i="3" a="1"/>
  <c r="I2031" i="3" s="1"/>
  <c r="I2032" i="3" a="1"/>
  <c r="I2032" i="3" s="1"/>
  <c r="I2033" i="3" a="1"/>
  <c r="I2033" i="3" s="1"/>
  <c r="I2034" i="3" a="1"/>
  <c r="I2034" i="3" s="1"/>
  <c r="I2035" i="3" a="1"/>
  <c r="I2035" i="3" s="1"/>
  <c r="I2036" i="3" a="1"/>
  <c r="I2036" i="3" s="1"/>
  <c r="I2037" i="3" a="1"/>
  <c r="I2037" i="3" s="1"/>
  <c r="I2038" i="3" a="1"/>
  <c r="I2038" i="3" s="1"/>
  <c r="I2039" i="3" a="1"/>
  <c r="I2039" i="3" s="1"/>
  <c r="I2040" i="3" a="1"/>
  <c r="I2040" i="3" s="1"/>
  <c r="I2041" i="3" a="1"/>
  <c r="I2041" i="3" s="1"/>
  <c r="I2042" i="3" a="1"/>
  <c r="I2042" i="3" s="1"/>
  <c r="I2043" i="3" a="1"/>
  <c r="I2043" i="3" s="1"/>
  <c r="I2044" i="3" a="1"/>
  <c r="I2044" i="3" s="1"/>
  <c r="I2045" i="3" a="1"/>
  <c r="I2045" i="3" s="1"/>
  <c r="I2046" i="3" a="1"/>
  <c r="I2046" i="3" s="1"/>
  <c r="I2047" i="3" a="1"/>
  <c r="I2047" i="3" s="1"/>
  <c r="I2048" i="3" a="1"/>
  <c r="I2048" i="3" s="1"/>
  <c r="I2049" i="3" a="1"/>
  <c r="I2049" i="3" s="1"/>
  <c r="I2050" i="3" a="1"/>
  <c r="I2050" i="3" s="1"/>
  <c r="I2051" i="3" a="1"/>
  <c r="I2051" i="3" s="1"/>
  <c r="I2052" i="3" a="1"/>
  <c r="I2052" i="3" s="1"/>
  <c r="I2053" i="3" a="1"/>
  <c r="I2053" i="3" s="1"/>
  <c r="I2054" i="3" a="1"/>
  <c r="I2054" i="3" s="1"/>
  <c r="I2055" i="3" a="1"/>
  <c r="I2055" i="3" s="1"/>
  <c r="I2056" i="3" a="1"/>
  <c r="I2056" i="3" s="1"/>
  <c r="I2057" i="3" a="1"/>
  <c r="I2057" i="3" s="1"/>
  <c r="I2058" i="3" a="1"/>
  <c r="I2058" i="3" s="1"/>
  <c r="I2059" i="3" a="1"/>
  <c r="I2059" i="3" s="1"/>
  <c r="I2060" i="3" a="1"/>
  <c r="I2060" i="3" s="1"/>
  <c r="I2061" i="3" a="1"/>
  <c r="I2061" i="3" s="1"/>
  <c r="I2062" i="3" a="1"/>
  <c r="I2062" i="3" s="1"/>
  <c r="I2063" i="3" a="1"/>
  <c r="I2063" i="3" s="1"/>
  <c r="I2064" i="3" a="1"/>
  <c r="I2064" i="3" s="1"/>
  <c r="I2065" i="3" a="1"/>
  <c r="I2065" i="3" s="1"/>
  <c r="I2066" i="3" a="1"/>
  <c r="I2066" i="3" s="1"/>
  <c r="I2067" i="3" a="1"/>
  <c r="I2067" i="3" s="1"/>
  <c r="I2068" i="3" a="1"/>
  <c r="I2068" i="3" s="1"/>
  <c r="I2069" i="3" a="1"/>
  <c r="I2069" i="3" s="1"/>
  <c r="I2070" i="3" a="1"/>
  <c r="I2070" i="3" s="1"/>
  <c r="I2071" i="3" a="1"/>
  <c r="I2071" i="3" s="1"/>
  <c r="I2072" i="3" a="1"/>
  <c r="I2072" i="3" s="1"/>
  <c r="I2073" i="3" a="1"/>
  <c r="I2073" i="3" s="1"/>
  <c r="I2074" i="3" a="1"/>
  <c r="I2074" i="3" s="1"/>
  <c r="I2075" i="3" a="1"/>
  <c r="I2075" i="3" s="1"/>
  <c r="I2076" i="3" a="1"/>
  <c r="I2076" i="3" s="1"/>
  <c r="I2077" i="3" a="1"/>
  <c r="I2077" i="3" s="1"/>
  <c r="I2078" i="3" a="1"/>
  <c r="I2078" i="3" s="1"/>
  <c r="I2079" i="3" a="1"/>
  <c r="I2079" i="3" s="1"/>
  <c r="I2080" i="3" a="1"/>
  <c r="I2080" i="3" s="1"/>
  <c r="I2081" i="3" a="1"/>
  <c r="I2081" i="3" s="1"/>
  <c r="I2082" i="3" a="1"/>
  <c r="I2082" i="3" s="1"/>
  <c r="I2083" i="3" a="1"/>
  <c r="I2083" i="3" s="1"/>
  <c r="I2084" i="3" a="1"/>
  <c r="I2084" i="3" s="1"/>
  <c r="I2085" i="3" a="1"/>
  <c r="I2085" i="3" s="1"/>
  <c r="I2086" i="3" a="1"/>
  <c r="I2086" i="3" s="1"/>
  <c r="I2087" i="3" a="1"/>
  <c r="I2087" i="3" s="1"/>
  <c r="I2088" i="3" a="1"/>
  <c r="I2088" i="3" s="1"/>
  <c r="I2089" i="3" a="1"/>
  <c r="I2089" i="3" s="1"/>
  <c r="I2090" i="3" a="1"/>
  <c r="I2090" i="3" s="1"/>
  <c r="I2091" i="3" a="1"/>
  <c r="I2091" i="3" s="1"/>
  <c r="I2092" i="3" a="1"/>
  <c r="I2092" i="3" s="1"/>
  <c r="I2093" i="3" a="1"/>
  <c r="I2093" i="3" s="1"/>
  <c r="I2094" i="3" a="1"/>
  <c r="I2094" i="3" s="1"/>
  <c r="I2095" i="3" a="1"/>
  <c r="I2095" i="3" s="1"/>
  <c r="I2096" i="3" a="1"/>
  <c r="I2096" i="3" s="1"/>
  <c r="I2097" i="3" a="1"/>
  <c r="I2097" i="3" s="1"/>
  <c r="I2098" i="3" a="1"/>
  <c r="I2098" i="3" s="1"/>
  <c r="I2099" i="3" a="1"/>
  <c r="I2099" i="3" s="1"/>
  <c r="I2100" i="3" a="1"/>
  <c r="I2100" i="3" s="1"/>
  <c r="I2101" i="3" a="1"/>
  <c r="I2101" i="3" s="1"/>
  <c r="I2102" i="3" a="1"/>
  <c r="I2102" i="3" s="1"/>
  <c r="I2103" i="3" a="1"/>
  <c r="I2103" i="3" s="1"/>
  <c r="I2104" i="3" a="1"/>
  <c r="I2104" i="3" s="1"/>
  <c r="I2105" i="3" a="1"/>
  <c r="I2105" i="3" s="1"/>
  <c r="I2106" i="3" a="1"/>
  <c r="I2106" i="3" s="1"/>
  <c r="I2107" i="3" a="1"/>
  <c r="I2107" i="3" s="1"/>
  <c r="I2108" i="3" a="1"/>
  <c r="I2108" i="3" s="1"/>
  <c r="I2109" i="3" a="1"/>
  <c r="I2109" i="3" s="1"/>
  <c r="I2110" i="3" a="1"/>
  <c r="I2110" i="3" s="1"/>
  <c r="I2111" i="3" a="1"/>
  <c r="I2111" i="3" s="1"/>
  <c r="I2112" i="3" a="1"/>
  <c r="I2112" i="3" s="1"/>
  <c r="I2113" i="3" a="1"/>
  <c r="I2113" i="3" s="1"/>
  <c r="I2114" i="3" a="1"/>
  <c r="I2114" i="3" s="1"/>
  <c r="I2115" i="3" a="1"/>
  <c r="I2115" i="3" s="1"/>
  <c r="I2116" i="3" a="1"/>
  <c r="I2116" i="3" s="1"/>
  <c r="I2117" i="3" a="1"/>
  <c r="I2117" i="3" s="1"/>
  <c r="I2118" i="3" a="1"/>
  <c r="I2118" i="3" s="1"/>
  <c r="I2119" i="3" a="1"/>
  <c r="I2119" i="3" s="1"/>
  <c r="I2120" i="3" a="1"/>
  <c r="I2120" i="3" s="1"/>
  <c r="I2121" i="3" a="1"/>
  <c r="I2121" i="3" s="1"/>
  <c r="I2122" i="3" a="1"/>
  <c r="I2122" i="3" s="1"/>
  <c r="I2123" i="3" a="1"/>
  <c r="I2123" i="3" s="1"/>
  <c r="I2124" i="3" a="1"/>
  <c r="I2124" i="3" s="1"/>
  <c r="I2125" i="3" a="1"/>
  <c r="I2125" i="3" s="1"/>
  <c r="I2126" i="3" a="1"/>
  <c r="I2126" i="3" s="1"/>
  <c r="I2127" i="3" a="1"/>
  <c r="I2127" i="3" s="1"/>
  <c r="I2128" i="3" a="1"/>
  <c r="I2128" i="3" s="1"/>
  <c r="I2129" i="3" a="1"/>
  <c r="I2129" i="3" s="1"/>
  <c r="I2130" i="3" a="1"/>
  <c r="I2130" i="3" s="1"/>
  <c r="I2131" i="3" a="1"/>
  <c r="I2131" i="3" s="1"/>
  <c r="I2132" i="3" a="1"/>
  <c r="I2132" i="3" s="1"/>
  <c r="I2133" i="3" a="1"/>
  <c r="I2133" i="3" s="1"/>
  <c r="I2134" i="3" a="1"/>
  <c r="I2134" i="3" s="1"/>
  <c r="I2135" i="3" a="1"/>
  <c r="I2135" i="3" s="1"/>
  <c r="I2136" i="3" a="1"/>
  <c r="I2136" i="3" s="1"/>
  <c r="I2137" i="3" a="1"/>
  <c r="I2137" i="3" s="1"/>
  <c r="I2138" i="3" a="1"/>
  <c r="I2138" i="3" s="1"/>
  <c r="I2139" i="3" a="1"/>
  <c r="I2139" i="3" s="1"/>
  <c r="I2140" i="3" a="1"/>
  <c r="I2140" i="3" s="1"/>
  <c r="I2141" i="3" a="1"/>
  <c r="I2141" i="3" s="1"/>
  <c r="I2142" i="3" a="1"/>
  <c r="I2142" i="3" s="1"/>
  <c r="I2143" i="3" a="1"/>
  <c r="I2143" i="3" s="1"/>
  <c r="I2144" i="3" a="1"/>
  <c r="I2144" i="3" s="1"/>
  <c r="I2145" i="3" a="1"/>
  <c r="I2145" i="3" s="1"/>
  <c r="I2146" i="3" a="1"/>
  <c r="I2146" i="3" s="1"/>
  <c r="I2147" i="3" a="1"/>
  <c r="I2147" i="3" s="1"/>
  <c r="I2148" i="3" a="1"/>
  <c r="I2148" i="3" s="1"/>
  <c r="I2149" i="3" a="1"/>
  <c r="I2149" i="3" s="1"/>
  <c r="I2150" i="3" a="1"/>
  <c r="I2150" i="3" s="1"/>
  <c r="I2151" i="3" a="1"/>
  <c r="I2151" i="3" s="1"/>
  <c r="I2152" i="3" a="1"/>
  <c r="I2152" i="3" s="1"/>
  <c r="I2153" i="3" a="1"/>
  <c r="I2153" i="3" s="1"/>
  <c r="I2154" i="3" a="1"/>
  <c r="I2154" i="3" s="1"/>
  <c r="I2155" i="3" a="1"/>
  <c r="I2155" i="3" s="1"/>
  <c r="I2156" i="3" a="1"/>
  <c r="I2156" i="3" s="1"/>
  <c r="I2157" i="3" a="1"/>
  <c r="I2157" i="3" s="1"/>
  <c r="I2158" i="3" a="1"/>
  <c r="I2158" i="3" s="1"/>
  <c r="I2159" i="3" a="1"/>
  <c r="I2159" i="3" s="1"/>
  <c r="I2160" i="3" a="1"/>
  <c r="I2160" i="3" s="1"/>
  <c r="I2161" i="3" a="1"/>
  <c r="I2161" i="3" s="1"/>
  <c r="I2162" i="3" a="1"/>
  <c r="I2162" i="3" s="1"/>
  <c r="I2163" i="3" a="1"/>
  <c r="I2163" i="3" s="1"/>
  <c r="I2164" i="3" a="1"/>
  <c r="I2164" i="3" s="1"/>
  <c r="I2165" i="3" a="1"/>
  <c r="I2165" i="3" s="1"/>
  <c r="I2166" i="3" a="1"/>
  <c r="I2166" i="3" s="1"/>
  <c r="I2167" i="3" a="1"/>
  <c r="I2167" i="3" s="1"/>
  <c r="I2168" i="3" a="1"/>
  <c r="I2168" i="3" s="1"/>
  <c r="I2169" i="3" a="1"/>
  <c r="I2169" i="3" s="1"/>
  <c r="I2170" i="3" a="1"/>
  <c r="I2170" i="3" s="1"/>
  <c r="I2171" i="3" a="1"/>
  <c r="I2171" i="3" s="1"/>
  <c r="I2172" i="3" a="1"/>
  <c r="I2172" i="3" s="1"/>
  <c r="I2173" i="3" a="1"/>
  <c r="I2173" i="3" s="1"/>
  <c r="I2174" i="3" a="1"/>
  <c r="I2174" i="3" s="1"/>
  <c r="I2175" i="3" a="1"/>
  <c r="I2175" i="3" s="1"/>
  <c r="I2176" i="3" a="1"/>
  <c r="I2176" i="3" s="1"/>
  <c r="I2177" i="3" a="1"/>
  <c r="I2177" i="3" s="1"/>
  <c r="I2178" i="3" a="1"/>
  <c r="I2178" i="3" s="1"/>
  <c r="I2179" i="3" a="1"/>
  <c r="I2179" i="3" s="1"/>
  <c r="I2180" i="3" a="1"/>
  <c r="I2180" i="3" s="1"/>
  <c r="I2181" i="3" a="1"/>
  <c r="I2181" i="3" s="1"/>
  <c r="I2182" i="3" a="1"/>
  <c r="I2182" i="3" s="1"/>
  <c r="I2183" i="3" a="1"/>
  <c r="I2183" i="3" s="1"/>
  <c r="I2184" i="3" a="1"/>
  <c r="I2184" i="3" s="1"/>
  <c r="I2185" i="3" a="1"/>
  <c r="I2185" i="3" s="1"/>
  <c r="I2186" i="3" a="1"/>
  <c r="I2186" i="3" s="1"/>
  <c r="I2187" i="3" a="1"/>
  <c r="I2187" i="3" s="1"/>
  <c r="I2188" i="3" a="1"/>
  <c r="I2188" i="3" s="1"/>
  <c r="I2189" i="3" a="1"/>
  <c r="I2189" i="3" s="1"/>
  <c r="I2190" i="3" a="1"/>
  <c r="I2190" i="3" s="1"/>
  <c r="I2191" i="3" a="1"/>
  <c r="I2191" i="3" s="1"/>
  <c r="I2192" i="3" a="1"/>
  <c r="I2192" i="3" s="1"/>
  <c r="I2193" i="3" a="1"/>
  <c r="I2193" i="3" s="1"/>
  <c r="I2194" i="3" a="1"/>
  <c r="I2194" i="3" s="1"/>
  <c r="I2195" i="3" a="1"/>
  <c r="I2195" i="3" s="1"/>
  <c r="I2196" i="3" a="1"/>
  <c r="I2196" i="3" s="1"/>
  <c r="I2197" i="3" a="1"/>
  <c r="I2197" i="3" s="1"/>
  <c r="I2198" i="3" a="1"/>
  <c r="I2198" i="3" s="1"/>
  <c r="I2199" i="3" a="1"/>
  <c r="I2199" i="3" s="1"/>
  <c r="I2200" i="3" a="1"/>
  <c r="I2200" i="3" s="1"/>
  <c r="I2201" i="3" a="1"/>
  <c r="I2201" i="3" s="1"/>
  <c r="I2202" i="3" a="1"/>
  <c r="I2202" i="3" s="1"/>
  <c r="I2203" i="3" a="1"/>
  <c r="I2203" i="3" s="1"/>
  <c r="I2204" i="3" a="1"/>
  <c r="I2204" i="3" s="1"/>
  <c r="I2205" i="3" a="1"/>
  <c r="I2205" i="3" s="1"/>
  <c r="I2206" i="3" a="1"/>
  <c r="I2206" i="3" s="1"/>
  <c r="I2207" i="3" a="1"/>
  <c r="I2207" i="3" s="1"/>
  <c r="I2208" i="3" a="1"/>
  <c r="I2208" i="3" s="1"/>
  <c r="I2209" i="3" a="1"/>
  <c r="I2209" i="3" s="1"/>
  <c r="I2210" i="3" a="1"/>
  <c r="I2210" i="3" s="1"/>
  <c r="I2211" i="3" a="1"/>
  <c r="I2211" i="3" s="1"/>
  <c r="I2212" i="3" a="1"/>
  <c r="I2212" i="3" s="1"/>
  <c r="I2213" i="3" a="1"/>
  <c r="I2213" i="3" s="1"/>
  <c r="I2214" i="3" a="1"/>
  <c r="I2214" i="3" s="1"/>
  <c r="I2215" i="3" a="1"/>
  <c r="I2215" i="3" s="1"/>
  <c r="I2216" i="3" a="1"/>
  <c r="I2216" i="3" s="1"/>
  <c r="I2217" i="3" a="1"/>
  <c r="I2217" i="3" s="1"/>
  <c r="I2218" i="3" a="1"/>
  <c r="I2218" i="3" s="1"/>
  <c r="I2219" i="3" a="1"/>
  <c r="I2219" i="3" s="1"/>
  <c r="I2220" i="3" a="1"/>
  <c r="I2220" i="3" s="1"/>
  <c r="I2221" i="3" a="1"/>
  <c r="I2221" i="3" s="1"/>
  <c r="I2222" i="3" a="1"/>
  <c r="I2222" i="3" s="1"/>
  <c r="I2223" i="3" a="1"/>
  <c r="I2223" i="3" s="1"/>
  <c r="I2224" i="3" a="1"/>
  <c r="I2224" i="3" s="1"/>
  <c r="I2225" i="3" a="1"/>
  <c r="I2225" i="3" s="1"/>
  <c r="I2226" i="3" a="1"/>
  <c r="I2226" i="3" s="1"/>
  <c r="I2227" i="3" a="1"/>
  <c r="I2227" i="3" s="1"/>
  <c r="I2228" i="3" a="1"/>
  <c r="I2228" i="3" s="1"/>
  <c r="I2229" i="3" a="1"/>
  <c r="I2229" i="3" s="1"/>
  <c r="I2230" i="3" a="1"/>
  <c r="I2230" i="3" s="1"/>
  <c r="I2231" i="3" a="1"/>
  <c r="I2231" i="3" s="1"/>
  <c r="I2232" i="3" a="1"/>
  <c r="I2232" i="3" s="1"/>
  <c r="I2233" i="3" a="1"/>
  <c r="I2233" i="3" s="1"/>
  <c r="I2234" i="3" a="1"/>
  <c r="I2234" i="3" s="1"/>
  <c r="I2235" i="3" a="1"/>
  <c r="I2235" i="3" s="1"/>
  <c r="I2236" i="3" a="1"/>
  <c r="I2236" i="3" s="1"/>
  <c r="I2237" i="3" a="1"/>
  <c r="I2237" i="3" s="1"/>
  <c r="I2238" i="3" a="1"/>
  <c r="I2238" i="3" s="1"/>
  <c r="I2239" i="3" a="1"/>
  <c r="I2239" i="3" s="1"/>
  <c r="I2240" i="3" a="1"/>
  <c r="I2240" i="3" s="1"/>
  <c r="I2241" i="3" a="1"/>
  <c r="I2241" i="3" s="1"/>
  <c r="I2242" i="3" a="1"/>
  <c r="I2242" i="3" s="1"/>
  <c r="I2243" i="3" a="1"/>
  <c r="I2243" i="3" s="1"/>
  <c r="I2244" i="3" a="1"/>
  <c r="I2244" i="3" s="1"/>
  <c r="I2245" i="3" a="1"/>
  <c r="I2245" i="3" s="1"/>
  <c r="I2246" i="3" a="1"/>
  <c r="I2246" i="3" s="1"/>
  <c r="I2247" i="3" a="1"/>
  <c r="I2247" i="3" s="1"/>
  <c r="I2248" i="3" a="1"/>
  <c r="I2248" i="3" s="1"/>
  <c r="I2249" i="3" a="1"/>
  <c r="I2249" i="3" s="1"/>
  <c r="I2250" i="3" a="1"/>
  <c r="I2250" i="3" s="1"/>
  <c r="I2251" i="3" a="1"/>
  <c r="I2251" i="3" s="1"/>
  <c r="I2252" i="3" a="1"/>
  <c r="I2252" i="3" s="1"/>
  <c r="I2253" i="3" a="1"/>
  <c r="I2253" i="3" s="1"/>
  <c r="I2254" i="3" a="1"/>
  <c r="I2254" i="3" s="1"/>
  <c r="I2255" i="3" a="1"/>
  <c r="I2255" i="3" s="1"/>
  <c r="I2256" i="3" a="1"/>
  <c r="I2256" i="3" s="1"/>
  <c r="I2257" i="3" a="1"/>
  <c r="I2257" i="3" s="1"/>
  <c r="I2258" i="3" a="1"/>
  <c r="I2258" i="3" s="1"/>
  <c r="I2259" i="3" a="1"/>
  <c r="I2259" i="3" s="1"/>
  <c r="I2260" i="3" a="1"/>
  <c r="I2260" i="3" s="1"/>
  <c r="I2261" i="3" a="1"/>
  <c r="I2261" i="3" s="1"/>
  <c r="I2262" i="3" a="1"/>
  <c r="I2262" i="3" s="1"/>
  <c r="I2263" i="3" a="1"/>
  <c r="I2263" i="3" s="1"/>
  <c r="I2264" i="3" a="1"/>
  <c r="I2264" i="3" s="1"/>
  <c r="I2265" i="3" a="1"/>
  <c r="I2265" i="3" s="1"/>
  <c r="I2266" i="3" a="1"/>
  <c r="I2266" i="3" s="1"/>
  <c r="I2267" i="3" a="1"/>
  <c r="I2267" i="3" s="1"/>
  <c r="I2268" i="3" a="1"/>
  <c r="I2268" i="3" s="1"/>
  <c r="I2269" i="3" a="1"/>
  <c r="I2269" i="3" s="1"/>
  <c r="I2270" i="3" a="1"/>
  <c r="I2270" i="3" s="1"/>
  <c r="I2271" i="3" a="1"/>
  <c r="I2271" i="3" s="1"/>
  <c r="I2272" i="3" a="1"/>
  <c r="I2272" i="3" s="1"/>
  <c r="I2273" i="3" a="1"/>
  <c r="I2273" i="3" s="1"/>
  <c r="I2274" i="3" a="1"/>
  <c r="I2274" i="3" s="1"/>
  <c r="I2275" i="3" a="1"/>
  <c r="I2275" i="3" s="1"/>
  <c r="I2276" i="3" a="1"/>
  <c r="I2276" i="3" s="1"/>
  <c r="I2277" i="3" a="1"/>
  <c r="I2277" i="3" s="1"/>
  <c r="I2278" i="3" a="1"/>
  <c r="I2278" i="3" s="1"/>
  <c r="I2279" i="3" a="1"/>
  <c r="I2279" i="3" s="1"/>
  <c r="I2280" i="3" a="1"/>
  <c r="I2280" i="3" s="1"/>
  <c r="I2281" i="3" a="1"/>
  <c r="I2281" i="3" s="1"/>
  <c r="I2282" i="3" a="1"/>
  <c r="I2282" i="3" s="1"/>
  <c r="I2283" i="3" a="1"/>
  <c r="I2283" i="3" s="1"/>
  <c r="I2284" i="3" a="1"/>
  <c r="I2284" i="3" s="1"/>
  <c r="I2285" i="3" a="1"/>
  <c r="I2285" i="3" s="1"/>
  <c r="I2286" i="3" a="1"/>
  <c r="I2286" i="3" s="1"/>
  <c r="I2287" i="3" a="1"/>
  <c r="I2287" i="3" s="1"/>
  <c r="I2288" i="3" a="1"/>
  <c r="I2288" i="3" s="1"/>
  <c r="I2289" i="3" a="1"/>
  <c r="I2289" i="3" s="1"/>
  <c r="I2290" i="3" a="1"/>
  <c r="I2290" i="3" s="1"/>
  <c r="I2291" i="3" a="1"/>
  <c r="I2291" i="3" s="1"/>
  <c r="I2292" i="3" a="1"/>
  <c r="I2292" i="3" s="1"/>
  <c r="I2293" i="3" a="1"/>
  <c r="I2293" i="3" s="1"/>
  <c r="I2294" i="3" a="1"/>
  <c r="I2294" i="3" s="1"/>
  <c r="I2295" i="3" a="1"/>
  <c r="I2295" i="3" s="1"/>
  <c r="I2296" i="3" a="1"/>
  <c r="I2296" i="3" s="1"/>
  <c r="I2297" i="3" a="1"/>
  <c r="I2297" i="3" s="1"/>
  <c r="I2298" i="3" a="1"/>
  <c r="I2298" i="3" s="1"/>
  <c r="I2299" i="3" a="1"/>
  <c r="I2299" i="3" s="1"/>
  <c r="I2300" i="3" a="1"/>
  <c r="I2300" i="3" s="1"/>
  <c r="I2301" i="3" a="1"/>
  <c r="I2301" i="3" s="1"/>
  <c r="I2302" i="3" a="1"/>
  <c r="I2302" i="3" s="1"/>
  <c r="I2303" i="3" a="1"/>
  <c r="I2303" i="3" s="1"/>
  <c r="I2304" i="3" a="1"/>
  <c r="I2304" i="3" s="1"/>
  <c r="I2305" i="3" a="1"/>
  <c r="I2305" i="3" s="1"/>
  <c r="I2306" i="3" a="1"/>
  <c r="I2306" i="3" s="1"/>
  <c r="I2307" i="3" a="1"/>
  <c r="I2307" i="3" s="1"/>
  <c r="I2308" i="3" a="1"/>
  <c r="I2308" i="3" s="1"/>
  <c r="I2309" i="3" a="1"/>
  <c r="I2309" i="3" s="1"/>
  <c r="I2310" i="3" a="1"/>
  <c r="I2310" i="3" s="1"/>
  <c r="I2311" i="3" a="1"/>
  <c r="I2311" i="3" s="1"/>
  <c r="I2312" i="3" a="1"/>
  <c r="I2312" i="3" s="1"/>
  <c r="I2313" i="3" a="1"/>
  <c r="I2313" i="3" s="1"/>
  <c r="I2314" i="3" a="1"/>
  <c r="I2314" i="3" s="1"/>
  <c r="I2315" i="3" a="1"/>
  <c r="I2315" i="3" s="1"/>
  <c r="I2316" i="3" a="1"/>
  <c r="I2316" i="3" s="1"/>
  <c r="I2317" i="3" a="1"/>
  <c r="I2317" i="3" s="1"/>
  <c r="I2318" i="3" a="1"/>
  <c r="I2318" i="3" s="1"/>
  <c r="I2319" i="3" a="1"/>
  <c r="I2319" i="3" s="1"/>
  <c r="I2320" i="3" a="1"/>
  <c r="I2320" i="3" s="1"/>
  <c r="I2321" i="3" a="1"/>
  <c r="I2321" i="3" s="1"/>
  <c r="I2322" i="3" a="1"/>
  <c r="I2322" i="3" s="1"/>
  <c r="I2323" i="3" a="1"/>
  <c r="I2323" i="3" s="1"/>
  <c r="I2324" i="3" a="1"/>
  <c r="I2324" i="3" s="1"/>
  <c r="I2325" i="3" a="1"/>
  <c r="I2325" i="3" s="1"/>
  <c r="I2326" i="3" a="1"/>
  <c r="I2326" i="3" s="1"/>
  <c r="I2327" i="3" a="1"/>
  <c r="I2327" i="3" s="1"/>
  <c r="I2328" i="3" a="1"/>
  <c r="I2328" i="3" s="1"/>
  <c r="I2329" i="3" a="1"/>
  <c r="I2329" i="3" s="1"/>
  <c r="I2330" i="3" a="1"/>
  <c r="I2330" i="3" s="1"/>
  <c r="I2331" i="3" a="1"/>
  <c r="I2331" i="3" s="1"/>
  <c r="I2332" i="3" a="1"/>
  <c r="I2332" i="3" s="1"/>
  <c r="I2333" i="3" a="1"/>
  <c r="I2333" i="3" s="1"/>
  <c r="I2334" i="3" a="1"/>
  <c r="I2334" i="3" s="1"/>
  <c r="I2335" i="3" a="1"/>
  <c r="I2335" i="3" s="1"/>
  <c r="I2336" i="3" a="1"/>
  <c r="I2336" i="3" s="1"/>
  <c r="I2337" i="3" a="1"/>
  <c r="I2337" i="3" s="1"/>
  <c r="I2338" i="3" a="1"/>
  <c r="I2338" i="3" s="1"/>
  <c r="I2339" i="3" a="1"/>
  <c r="I2339" i="3" s="1"/>
  <c r="I2340" i="3" a="1"/>
  <c r="I2340" i="3" s="1"/>
  <c r="I2341" i="3" a="1"/>
  <c r="I2341" i="3" s="1"/>
  <c r="I2342" i="3" a="1"/>
  <c r="I2342" i="3" s="1"/>
  <c r="I2343" i="3" a="1"/>
  <c r="I2343" i="3" s="1"/>
  <c r="I2344" i="3" a="1"/>
  <c r="I2344" i="3" s="1"/>
  <c r="I2345" i="3" a="1"/>
  <c r="I2345" i="3" s="1"/>
  <c r="I2346" i="3" a="1"/>
  <c r="I2346" i="3" s="1"/>
  <c r="I2347" i="3" a="1"/>
  <c r="I2347" i="3" s="1"/>
  <c r="I2348" i="3" a="1"/>
  <c r="I2348" i="3" s="1"/>
  <c r="I2349" i="3" a="1"/>
  <c r="I2349" i="3" s="1"/>
  <c r="I2350" i="3" a="1"/>
  <c r="I2350" i="3" s="1"/>
  <c r="I2351" i="3" a="1"/>
  <c r="I2351" i="3" s="1"/>
  <c r="I2352" i="3" a="1"/>
  <c r="I2352" i="3" s="1"/>
  <c r="I2353" i="3" a="1"/>
  <c r="I2353" i="3" s="1"/>
  <c r="I2354" i="3" a="1"/>
  <c r="I2354" i="3" s="1"/>
  <c r="I2355" i="3" a="1"/>
  <c r="I2355" i="3" s="1"/>
  <c r="I2356" i="3" a="1"/>
  <c r="I2356" i="3" s="1"/>
  <c r="I2357" i="3" a="1"/>
  <c r="I2357" i="3" s="1"/>
  <c r="I2358" i="3" a="1"/>
  <c r="I2358" i="3" s="1"/>
  <c r="I2359" i="3" a="1"/>
  <c r="I2359" i="3" s="1"/>
  <c r="I2360" i="3" a="1"/>
  <c r="I2360" i="3" s="1"/>
  <c r="I2361" i="3" a="1"/>
  <c r="I2361" i="3" s="1"/>
  <c r="I2362" i="3" a="1"/>
  <c r="I2362" i="3" s="1"/>
  <c r="I2363" i="3" a="1"/>
  <c r="I2363" i="3" s="1"/>
  <c r="I2364" i="3" a="1"/>
  <c r="I2364" i="3" s="1"/>
  <c r="I2365" i="3" a="1"/>
  <c r="I2365" i="3" s="1"/>
  <c r="I2366" i="3" a="1"/>
  <c r="I2366" i="3" s="1"/>
  <c r="I2367" i="3" a="1"/>
  <c r="I2367" i="3" s="1"/>
  <c r="I2368" i="3" a="1"/>
  <c r="I2368" i="3" s="1"/>
  <c r="I2369" i="3" a="1"/>
  <c r="I2369" i="3" s="1"/>
  <c r="I2370" i="3" a="1"/>
  <c r="I2370" i="3" s="1"/>
  <c r="I2371" i="3" a="1"/>
  <c r="I2371" i="3" s="1"/>
  <c r="I2372" i="3" a="1"/>
  <c r="I2372" i="3" s="1"/>
  <c r="I2373" i="3" a="1"/>
  <c r="I2373" i="3" s="1"/>
  <c r="I2374" i="3" a="1"/>
  <c r="I2374" i="3" s="1"/>
  <c r="I2375" i="3" a="1"/>
  <c r="I2375" i="3" s="1"/>
  <c r="I2376" i="3" a="1"/>
  <c r="I2376" i="3" s="1"/>
  <c r="I2377" i="3" a="1"/>
  <c r="I2377" i="3" s="1"/>
  <c r="I2378" i="3" a="1"/>
  <c r="I2378" i="3" s="1"/>
  <c r="I2379" i="3" a="1"/>
  <c r="I2379" i="3" s="1"/>
  <c r="I2380" i="3" a="1"/>
  <c r="I2380" i="3" s="1"/>
  <c r="I2381" i="3" a="1"/>
  <c r="I2381" i="3" s="1"/>
  <c r="I2382" i="3" a="1"/>
  <c r="I2382" i="3" s="1"/>
  <c r="I2383" i="3" a="1"/>
  <c r="I2383" i="3" s="1"/>
  <c r="I2384" i="3" a="1"/>
  <c r="I2384" i="3" s="1"/>
  <c r="I2385" i="3" a="1"/>
  <c r="I2385" i="3" s="1"/>
  <c r="I2386" i="3" a="1"/>
  <c r="I2386" i="3" s="1"/>
  <c r="I2387" i="3" a="1"/>
  <c r="I2387" i="3" s="1"/>
  <c r="I2388" i="3" a="1"/>
  <c r="I2388" i="3" s="1"/>
  <c r="I2389" i="3" a="1"/>
  <c r="I2389" i="3" s="1"/>
  <c r="I2390" i="3" a="1"/>
  <c r="I2390" i="3" s="1"/>
  <c r="I2391" i="3" a="1"/>
  <c r="I2391" i="3" s="1"/>
  <c r="I2392" i="3" a="1"/>
  <c r="I2392" i="3" s="1"/>
  <c r="I2393" i="3" a="1"/>
  <c r="I2393" i="3" s="1"/>
  <c r="I2394" i="3" a="1"/>
  <c r="I2394" i="3" s="1"/>
  <c r="I2395" i="3" a="1"/>
  <c r="I2395" i="3" s="1"/>
  <c r="I2396" i="3" a="1"/>
  <c r="I2396" i="3" s="1"/>
  <c r="I2397" i="3" a="1"/>
  <c r="I2397" i="3" s="1"/>
  <c r="I2398" i="3" a="1"/>
  <c r="I2398" i="3" s="1"/>
  <c r="I2399" i="3" a="1"/>
  <c r="I2399" i="3" s="1"/>
  <c r="I2400" i="3" a="1"/>
  <c r="I2400" i="3" s="1"/>
  <c r="I2401" i="3" a="1"/>
  <c r="I2401" i="3" s="1"/>
  <c r="I2402" i="3" a="1"/>
  <c r="I2402" i="3" s="1"/>
  <c r="I2403" i="3" a="1"/>
  <c r="I2403" i="3" s="1"/>
  <c r="I2404" i="3" a="1"/>
  <c r="I2404" i="3" s="1"/>
  <c r="I2405" i="3" a="1"/>
  <c r="I2405" i="3" s="1"/>
  <c r="I2406" i="3" a="1"/>
  <c r="I2406" i="3" s="1"/>
  <c r="I2407" i="3" a="1"/>
  <c r="I2407" i="3" s="1"/>
  <c r="I2408" i="3" a="1"/>
  <c r="I2408" i="3" s="1"/>
  <c r="I2409" i="3" a="1"/>
  <c r="I2409" i="3" s="1"/>
  <c r="I2410" i="3" a="1"/>
  <c r="I2410" i="3" s="1"/>
  <c r="I2411" i="3" a="1"/>
  <c r="I2411" i="3" s="1"/>
  <c r="I2412" i="3" a="1"/>
  <c r="I2412" i="3" s="1"/>
  <c r="I2413" i="3" a="1"/>
  <c r="I2413" i="3" s="1"/>
  <c r="I2414" i="3" a="1"/>
  <c r="I2414" i="3" s="1"/>
  <c r="I2415" i="3" a="1"/>
  <c r="I2415" i="3" s="1"/>
  <c r="I2416" i="3" a="1"/>
  <c r="I2416" i="3" s="1"/>
  <c r="I2417" i="3" a="1"/>
  <c r="I2417" i="3" s="1"/>
  <c r="I2418" i="3" a="1"/>
  <c r="I2418" i="3" s="1"/>
  <c r="I2419" i="3" a="1"/>
  <c r="I2419" i="3" s="1"/>
  <c r="I2420" i="3" a="1"/>
  <c r="I2420" i="3" s="1"/>
  <c r="I2421" i="3" a="1"/>
  <c r="I2421" i="3" s="1"/>
  <c r="I2422" i="3" a="1"/>
  <c r="I2422" i="3" s="1"/>
  <c r="I2423" i="3" a="1"/>
  <c r="I2423" i="3" s="1"/>
  <c r="I2424" i="3" a="1"/>
  <c r="I2424" i="3" s="1"/>
  <c r="I2425" i="3" a="1"/>
  <c r="I2425" i="3" s="1"/>
  <c r="I2426" i="3" a="1"/>
  <c r="I2426" i="3" s="1"/>
  <c r="I2427" i="3" a="1"/>
  <c r="I2427" i="3" s="1"/>
  <c r="I2428" i="3" a="1"/>
  <c r="I2428" i="3" s="1"/>
  <c r="I2429" i="3" a="1"/>
  <c r="I2429" i="3" s="1"/>
  <c r="I2430" i="3" a="1"/>
  <c r="I2430" i="3" s="1"/>
  <c r="I2431" i="3" a="1"/>
  <c r="I2431" i="3" s="1"/>
  <c r="I2432" i="3" a="1"/>
  <c r="I2432" i="3" s="1"/>
  <c r="I2433" i="3" a="1"/>
  <c r="I2433" i="3" s="1"/>
  <c r="I2434" i="3" a="1"/>
  <c r="I2434" i="3" s="1"/>
  <c r="I2435" i="3" a="1"/>
  <c r="I2435" i="3" s="1"/>
  <c r="I2436" i="3" a="1"/>
  <c r="I2436" i="3" s="1"/>
  <c r="I2437" i="3" a="1"/>
  <c r="I2437" i="3" s="1"/>
  <c r="I2438" i="3" a="1"/>
  <c r="I2438" i="3" s="1"/>
  <c r="I2439" i="3" a="1"/>
  <c r="I2439" i="3" s="1"/>
  <c r="I2440" i="3" a="1"/>
  <c r="I2440" i="3" s="1"/>
  <c r="I2441" i="3" a="1"/>
  <c r="I2441" i="3" s="1"/>
  <c r="I2442" i="3" a="1"/>
  <c r="I2442" i="3" s="1"/>
  <c r="I2443" i="3" a="1"/>
  <c r="I2443" i="3" s="1"/>
  <c r="I2444" i="3" a="1"/>
  <c r="I2444" i="3" s="1"/>
  <c r="I2445" i="3" a="1"/>
  <c r="I2445" i="3" s="1"/>
  <c r="I2446" i="3" a="1"/>
  <c r="I2446" i="3" s="1"/>
  <c r="I2447" i="3" a="1"/>
  <c r="I2447" i="3" s="1"/>
  <c r="I2448" i="3" a="1"/>
  <c r="I2448" i="3" s="1"/>
  <c r="I2449" i="3" a="1"/>
  <c r="I2449" i="3" s="1"/>
  <c r="I2450" i="3" a="1"/>
  <c r="I2450" i="3" s="1"/>
  <c r="I2451" i="3" a="1"/>
  <c r="I2451" i="3" s="1"/>
  <c r="I2452" i="3" a="1"/>
  <c r="I2452" i="3" s="1"/>
  <c r="I2453" i="3" a="1"/>
  <c r="I2453" i="3" s="1"/>
  <c r="I2454" i="3" a="1"/>
  <c r="I2454" i="3" s="1"/>
  <c r="I2455" i="3" a="1"/>
  <c r="I2455" i="3" s="1"/>
  <c r="I2456" i="3" a="1"/>
  <c r="I2456" i="3" s="1"/>
  <c r="I2457" i="3" a="1"/>
  <c r="I2457" i="3" s="1"/>
  <c r="I2458" i="3" a="1"/>
  <c r="I2458" i="3" s="1"/>
  <c r="I2459" i="3" a="1"/>
  <c r="I2459" i="3" s="1"/>
  <c r="I2460" i="3" a="1"/>
  <c r="I2460" i="3" s="1"/>
  <c r="I2461" i="3" a="1"/>
  <c r="I2461" i="3" s="1"/>
  <c r="I2462" i="3" a="1"/>
  <c r="I2462" i="3" s="1"/>
  <c r="I2463" i="3" a="1"/>
  <c r="I2463" i="3" s="1"/>
  <c r="I2464" i="3" a="1"/>
  <c r="I2464" i="3" s="1"/>
  <c r="I2465" i="3" a="1"/>
  <c r="I2465" i="3" s="1"/>
  <c r="I2466" i="3" a="1"/>
  <c r="I2466" i="3" s="1"/>
  <c r="I2467" i="3" a="1"/>
  <c r="I2467" i="3" s="1"/>
  <c r="I2468" i="3" a="1"/>
  <c r="I2468" i="3" s="1"/>
  <c r="I2469" i="3" a="1"/>
  <c r="I2469" i="3" s="1"/>
  <c r="I2470" i="3" a="1"/>
  <c r="I2470" i="3" s="1"/>
  <c r="I2471" i="3" a="1"/>
  <c r="I2471" i="3" s="1"/>
  <c r="I2472" i="3" a="1"/>
  <c r="I2472" i="3" s="1"/>
  <c r="I2473" i="3" a="1"/>
  <c r="I2473" i="3" s="1"/>
  <c r="I2474" i="3" a="1"/>
  <c r="I2474" i="3" s="1"/>
  <c r="I2475" i="3" a="1"/>
  <c r="I2475" i="3" s="1"/>
  <c r="I2476" i="3" a="1"/>
  <c r="I2476" i="3" s="1"/>
  <c r="I2477" i="3" a="1"/>
  <c r="I2477" i="3" s="1"/>
  <c r="I2478" i="3" a="1"/>
  <c r="I2478" i="3" s="1"/>
  <c r="I2479" i="3" a="1"/>
  <c r="I2479" i="3" s="1"/>
  <c r="I2480" i="3" a="1"/>
  <c r="I2480" i="3" s="1"/>
  <c r="I2481" i="3" a="1"/>
  <c r="I2481" i="3" s="1"/>
  <c r="I2482" i="3" a="1"/>
  <c r="I2482" i="3" s="1"/>
  <c r="I2483" i="3" a="1"/>
  <c r="I2483" i="3" s="1"/>
  <c r="I2484" i="3" a="1"/>
  <c r="I2484" i="3" s="1"/>
  <c r="I2485" i="3" a="1"/>
  <c r="I2485" i="3" s="1"/>
  <c r="I2486" i="3" a="1"/>
  <c r="I2486" i="3" s="1"/>
  <c r="I2487" i="3" a="1"/>
  <c r="I2487" i="3" s="1"/>
  <c r="I2488" i="3" a="1"/>
  <c r="I2488" i="3" s="1"/>
  <c r="I2489" i="3" a="1"/>
  <c r="I2489" i="3" s="1"/>
  <c r="I2490" i="3" a="1"/>
  <c r="I2490" i="3" s="1"/>
  <c r="I2491" i="3" a="1"/>
  <c r="I2491" i="3" s="1"/>
  <c r="I2492" i="3" a="1"/>
  <c r="I2492" i="3" s="1"/>
  <c r="I2493" i="3" a="1"/>
  <c r="I2493" i="3" s="1"/>
  <c r="I2494" i="3" a="1"/>
  <c r="I2494" i="3" s="1"/>
  <c r="I2495" i="3" a="1"/>
  <c r="I2495" i="3" s="1"/>
  <c r="I2496" i="3" a="1"/>
  <c r="I2496" i="3" s="1"/>
  <c r="I2497" i="3" a="1"/>
  <c r="I2497" i="3" s="1"/>
  <c r="I2498" i="3" a="1"/>
  <c r="I2498" i="3" s="1"/>
  <c r="I2499" i="3" a="1"/>
  <c r="I2499" i="3" s="1"/>
  <c r="I2500" i="3" a="1"/>
  <c r="I2500" i="3" s="1"/>
  <c r="I2501" i="3" a="1"/>
  <c r="I2501" i="3" s="1"/>
  <c r="I2502" i="3" a="1"/>
  <c r="I2502" i="3" s="1"/>
  <c r="I2503" i="3" a="1"/>
  <c r="I2503" i="3" s="1"/>
  <c r="I2504" i="3" a="1"/>
  <c r="I2504" i="3" s="1"/>
  <c r="I2505" i="3" a="1"/>
  <c r="I2505" i="3" s="1"/>
  <c r="I2506" i="3" a="1"/>
  <c r="I2506" i="3" s="1"/>
  <c r="I2507" i="3" a="1"/>
  <c r="I2507" i="3" s="1"/>
  <c r="I2508" i="3" a="1"/>
  <c r="I2508" i="3" s="1"/>
  <c r="I2509" i="3" a="1"/>
  <c r="I2509" i="3" s="1"/>
  <c r="I2510" i="3" a="1"/>
  <c r="I2510" i="3" s="1"/>
  <c r="I2511" i="3" a="1"/>
  <c r="I2511" i="3" s="1"/>
  <c r="I2512" i="3" a="1"/>
  <c r="I2512" i="3" s="1"/>
  <c r="I2513" i="3" a="1"/>
  <c r="I2513" i="3" s="1"/>
  <c r="I2514" i="3" a="1"/>
  <c r="I2514" i="3" s="1"/>
  <c r="I2515" i="3" a="1"/>
  <c r="I2515" i="3" s="1"/>
  <c r="I2516" i="3" a="1"/>
  <c r="I2516" i="3" s="1"/>
  <c r="I2517" i="3" a="1"/>
  <c r="I2517" i="3" s="1"/>
  <c r="I2518" i="3" a="1"/>
  <c r="I2518" i="3" s="1"/>
  <c r="I2519" i="3" a="1"/>
  <c r="I2519" i="3" s="1"/>
  <c r="I2520" i="3" a="1"/>
  <c r="I2520" i="3" s="1"/>
  <c r="I2521" i="3" a="1"/>
  <c r="I2521" i="3" s="1"/>
  <c r="I2522" i="3" a="1"/>
  <c r="I2522" i="3" s="1"/>
  <c r="I2523" i="3" a="1"/>
  <c r="I2523" i="3" s="1"/>
  <c r="I2524" i="3" a="1"/>
  <c r="I2524" i="3" s="1"/>
  <c r="I2525" i="3" a="1"/>
  <c r="I2525" i="3" s="1"/>
  <c r="I2526" i="3" a="1"/>
  <c r="I2526" i="3" s="1"/>
  <c r="I2527" i="3" a="1"/>
  <c r="I2527" i="3" s="1"/>
  <c r="I2528" i="3" a="1"/>
  <c r="I2528" i="3" s="1"/>
  <c r="I2529" i="3" a="1"/>
  <c r="I2529" i="3" s="1"/>
  <c r="I2530" i="3" a="1"/>
  <c r="I2530" i="3" s="1"/>
  <c r="I2531" i="3" a="1"/>
  <c r="I2531" i="3" s="1"/>
  <c r="I2532" i="3" a="1"/>
  <c r="I2532" i="3" s="1"/>
  <c r="I2533" i="3" a="1"/>
  <c r="I2533" i="3" s="1"/>
  <c r="I2534" i="3" a="1"/>
  <c r="I2534" i="3" s="1"/>
  <c r="I2535" i="3" a="1"/>
  <c r="I2535" i="3" s="1"/>
  <c r="I2536" i="3" a="1"/>
  <c r="I2536" i="3" s="1"/>
  <c r="I2537" i="3" a="1"/>
  <c r="I2537" i="3" s="1"/>
  <c r="I2538" i="3" a="1"/>
  <c r="I2538" i="3" s="1"/>
  <c r="I2539" i="3" a="1"/>
  <c r="I2539" i="3" s="1"/>
  <c r="I2540" i="3" a="1"/>
  <c r="I2540" i="3" s="1"/>
  <c r="I2541" i="3" a="1"/>
  <c r="I2541" i="3" s="1"/>
  <c r="I2542" i="3" a="1"/>
  <c r="I2542" i="3" s="1"/>
  <c r="I2543" i="3" a="1"/>
  <c r="I2543" i="3" s="1"/>
  <c r="I2544" i="3" a="1"/>
  <c r="I2544" i="3" s="1"/>
  <c r="I2545" i="3" a="1"/>
  <c r="I2545" i="3" s="1"/>
  <c r="I2546" i="3" a="1"/>
  <c r="I2546" i="3" s="1"/>
  <c r="I2547" i="3" a="1"/>
  <c r="I2547" i="3" s="1"/>
  <c r="I2548" i="3" a="1"/>
  <c r="I2548" i="3" s="1"/>
  <c r="I2549" i="3" a="1"/>
  <c r="I2549" i="3" s="1"/>
  <c r="I2550" i="3" a="1"/>
  <c r="I2550" i="3" s="1"/>
  <c r="I2551" i="3" a="1"/>
  <c r="I2551" i="3" s="1"/>
  <c r="I2552" i="3" a="1"/>
  <c r="I2552" i="3" s="1"/>
  <c r="I2553" i="3" a="1"/>
  <c r="I2553" i="3" s="1"/>
  <c r="I2554" i="3" a="1"/>
  <c r="I2554" i="3" s="1"/>
  <c r="I2555" i="3" a="1"/>
  <c r="I2555" i="3" s="1"/>
  <c r="I2556" i="3" a="1"/>
  <c r="I2556" i="3" s="1"/>
  <c r="I2557" i="3" a="1"/>
  <c r="I2557" i="3" s="1"/>
  <c r="I2558" i="3" a="1"/>
  <c r="I2558" i="3" s="1"/>
  <c r="I2559" i="3" a="1"/>
  <c r="I2559" i="3" s="1"/>
  <c r="I2560" i="3" a="1"/>
  <c r="I2560" i="3" s="1"/>
  <c r="I2561" i="3" a="1"/>
  <c r="I2561" i="3" s="1"/>
  <c r="I2562" i="3" a="1"/>
  <c r="I2562" i="3" s="1"/>
  <c r="I2563" i="3" a="1"/>
  <c r="I2563" i="3" s="1"/>
  <c r="I2564" i="3" a="1"/>
  <c r="I2564" i="3" s="1"/>
  <c r="I2565" i="3" a="1"/>
  <c r="I2565" i="3" s="1"/>
  <c r="I2566" i="3" a="1"/>
  <c r="I2566" i="3" s="1"/>
  <c r="I2567" i="3" a="1"/>
  <c r="I2567" i="3" s="1"/>
  <c r="I2568" i="3" a="1"/>
  <c r="I2568" i="3" s="1"/>
  <c r="I2569" i="3" a="1"/>
  <c r="I2569" i="3" s="1"/>
  <c r="I2570" i="3" a="1"/>
  <c r="I2570" i="3" s="1"/>
  <c r="I2571" i="3" a="1"/>
  <c r="I2571" i="3" s="1"/>
  <c r="I2572" i="3" a="1"/>
  <c r="I2572" i="3" s="1"/>
  <c r="I2573" i="3" a="1"/>
  <c r="I2573" i="3" s="1"/>
  <c r="I2574" i="3" a="1"/>
  <c r="I2574" i="3" s="1"/>
  <c r="I2575" i="3" a="1"/>
  <c r="I2575" i="3" s="1"/>
  <c r="I2576" i="3" a="1"/>
  <c r="I2576" i="3" s="1"/>
  <c r="I2577" i="3" a="1"/>
  <c r="I2577" i="3" s="1"/>
  <c r="I2578" i="3" a="1"/>
  <c r="I2578" i="3" s="1"/>
  <c r="I2579" i="3" a="1"/>
  <c r="I2579" i="3" s="1"/>
  <c r="I2580" i="3" a="1"/>
  <c r="I2580" i="3" s="1"/>
  <c r="I2581" i="3" a="1"/>
  <c r="I2581" i="3" s="1"/>
  <c r="I2582" i="3" a="1"/>
  <c r="I2582" i="3" s="1"/>
  <c r="I2583" i="3" a="1"/>
  <c r="I2583" i="3" s="1"/>
  <c r="I2584" i="3" a="1"/>
  <c r="I2584" i="3" s="1"/>
  <c r="I2585" i="3" a="1"/>
  <c r="I2585" i="3" s="1"/>
  <c r="I2586" i="3" a="1"/>
  <c r="I2586" i="3" s="1"/>
  <c r="I2587" i="3" a="1"/>
  <c r="I2587" i="3" s="1"/>
  <c r="I2588" i="3" a="1"/>
  <c r="I2588" i="3" s="1"/>
  <c r="I2589" i="3" a="1"/>
  <c r="I2589" i="3" s="1"/>
  <c r="I2590" i="3" a="1"/>
  <c r="I2590" i="3" s="1"/>
  <c r="I2591" i="3" a="1"/>
  <c r="I2591" i="3" s="1"/>
  <c r="I2592" i="3" a="1"/>
  <c r="I2592" i="3" s="1"/>
  <c r="I2593" i="3" a="1"/>
  <c r="I2593" i="3" s="1"/>
  <c r="I2594" i="3" a="1"/>
  <c r="I2594" i="3" s="1"/>
  <c r="I2595" i="3" a="1"/>
  <c r="I2595" i="3" s="1"/>
  <c r="I2596" i="3" a="1"/>
  <c r="I2596" i="3" s="1"/>
  <c r="I2597" i="3" a="1"/>
  <c r="I2597" i="3" s="1"/>
  <c r="I2598" i="3" a="1"/>
  <c r="I2598" i="3" s="1"/>
  <c r="I2599" i="3" a="1"/>
  <c r="I2599" i="3" s="1"/>
  <c r="I2600" i="3" a="1"/>
  <c r="I2600" i="3" s="1"/>
  <c r="I2601" i="3" a="1"/>
  <c r="I2601" i="3" s="1"/>
  <c r="I2602" i="3" a="1"/>
  <c r="I2602" i="3" s="1"/>
  <c r="I2603" i="3" a="1"/>
  <c r="I2603" i="3" s="1"/>
  <c r="I2604" i="3" a="1"/>
  <c r="I2604" i="3" s="1"/>
  <c r="I2605" i="3" a="1"/>
  <c r="I2605" i="3" s="1"/>
  <c r="I2606" i="3" a="1"/>
  <c r="I2606" i="3" s="1"/>
  <c r="I2607" i="3" a="1"/>
  <c r="I2607" i="3" s="1"/>
  <c r="I2608" i="3" a="1"/>
  <c r="I2608" i="3" s="1"/>
  <c r="I2609" i="3" a="1"/>
  <c r="I2609" i="3" s="1"/>
  <c r="I2610" i="3" a="1"/>
  <c r="I2610" i="3" s="1"/>
  <c r="I2611" i="3" a="1"/>
  <c r="I2611" i="3" s="1"/>
  <c r="I2612" i="3" a="1"/>
  <c r="I2612" i="3" s="1"/>
  <c r="I2613" i="3" a="1"/>
  <c r="I2613" i="3" s="1"/>
  <c r="I2614" i="3" a="1"/>
  <c r="I2614" i="3" s="1"/>
  <c r="I2615" i="3" a="1"/>
  <c r="I2615" i="3" s="1"/>
  <c r="I2616" i="3" a="1"/>
  <c r="I2616" i="3" s="1"/>
  <c r="I2617" i="3" a="1"/>
  <c r="I2617" i="3" s="1"/>
  <c r="I2618" i="3" a="1"/>
  <c r="I2618" i="3" s="1"/>
  <c r="I2619" i="3" a="1"/>
  <c r="I2619" i="3" s="1"/>
  <c r="I2620" i="3" a="1"/>
  <c r="I2620" i="3" s="1"/>
  <c r="I2621" i="3" a="1"/>
  <c r="I2621" i="3" s="1"/>
  <c r="I2622" i="3" a="1"/>
  <c r="I2622" i="3" s="1"/>
  <c r="I2623" i="3" a="1"/>
  <c r="I2623" i="3" s="1"/>
  <c r="I2624" i="3" a="1"/>
  <c r="I2624" i="3" s="1"/>
  <c r="I2625" i="3" a="1"/>
  <c r="I2625" i="3" s="1"/>
  <c r="I2626" i="3" a="1"/>
  <c r="I2626" i="3" s="1"/>
  <c r="I2627" i="3" a="1"/>
  <c r="I2627" i="3" s="1"/>
  <c r="I2628" i="3" a="1"/>
  <c r="I2628" i="3" s="1"/>
  <c r="I2629" i="3" a="1"/>
  <c r="I2629" i="3" s="1"/>
  <c r="I2630" i="3" a="1"/>
  <c r="I2630" i="3" s="1"/>
  <c r="I2631" i="3" a="1"/>
  <c r="I2631" i="3" s="1"/>
  <c r="I2632" i="3" a="1"/>
  <c r="I2632" i="3" s="1"/>
  <c r="I2633" i="3" a="1"/>
  <c r="I2633" i="3" s="1"/>
  <c r="I2634" i="3" a="1"/>
  <c r="I2634" i="3" s="1"/>
  <c r="I2635" i="3" a="1"/>
  <c r="I2635" i="3" s="1"/>
  <c r="I2636" i="3" a="1"/>
  <c r="I2636" i="3" s="1"/>
  <c r="I2637" i="3" a="1"/>
  <c r="I2637" i="3" s="1"/>
  <c r="I2638" i="3" a="1"/>
  <c r="I2638" i="3" s="1"/>
  <c r="I2639" i="3" a="1"/>
  <c r="I2639" i="3" s="1"/>
  <c r="I2640" i="3" a="1"/>
  <c r="I2640" i="3" s="1"/>
  <c r="I2641" i="3" a="1"/>
  <c r="I2641" i="3" s="1"/>
  <c r="I2642" i="3" a="1"/>
  <c r="I2642" i="3" s="1"/>
  <c r="I2643" i="3" a="1"/>
  <c r="I2643" i="3" s="1"/>
  <c r="I2644" i="3" a="1"/>
  <c r="I2644" i="3" s="1"/>
  <c r="I2645" i="3" a="1"/>
  <c r="I2645" i="3" s="1"/>
  <c r="I2646" i="3" a="1"/>
  <c r="I2646" i="3" s="1"/>
  <c r="I2647" i="3" a="1"/>
  <c r="I2647" i="3" s="1"/>
  <c r="I2648" i="3" a="1"/>
  <c r="I2648" i="3" s="1"/>
  <c r="I2649" i="3" a="1"/>
  <c r="I2649" i="3" s="1"/>
  <c r="I2650" i="3" a="1"/>
  <c r="I2650" i="3" s="1"/>
  <c r="I2651" i="3" a="1"/>
  <c r="I2651" i="3" s="1"/>
  <c r="I2652" i="3" a="1"/>
  <c r="I2652" i="3" s="1"/>
  <c r="I2653" i="3" a="1"/>
  <c r="I2653" i="3" s="1"/>
  <c r="I2654" i="3" a="1"/>
  <c r="I2654" i="3" s="1"/>
  <c r="I2655" i="3" a="1"/>
  <c r="I2655" i="3" s="1"/>
  <c r="I2656" i="3" a="1"/>
  <c r="I2656" i="3" s="1"/>
  <c r="I2657" i="3" a="1"/>
  <c r="I2657" i="3" s="1"/>
  <c r="I2658" i="3" a="1"/>
  <c r="I2658" i="3" s="1"/>
  <c r="I2659" i="3" a="1"/>
  <c r="I2659" i="3" s="1"/>
  <c r="I2660" i="3" a="1"/>
  <c r="I2660" i="3" s="1"/>
  <c r="I2661" i="3" a="1"/>
  <c r="I2661" i="3" s="1"/>
  <c r="I2662" i="3" a="1"/>
  <c r="I2662" i="3" s="1"/>
  <c r="I2663" i="3" a="1"/>
  <c r="I2663" i="3" s="1"/>
  <c r="I2664" i="3" a="1"/>
  <c r="I2664" i="3" s="1"/>
  <c r="I2665" i="3" a="1"/>
  <c r="I2665" i="3" s="1"/>
  <c r="I2666" i="3" a="1"/>
  <c r="I2666" i="3" s="1"/>
  <c r="I2667" i="3" a="1"/>
  <c r="I2667" i="3" s="1"/>
  <c r="I2668" i="3" a="1"/>
  <c r="I2668" i="3" s="1"/>
  <c r="I2669" i="3" a="1"/>
  <c r="I2669" i="3" s="1"/>
  <c r="I2670" i="3" a="1"/>
  <c r="I2670" i="3" s="1"/>
  <c r="I2671" i="3" a="1"/>
  <c r="I2671" i="3" s="1"/>
  <c r="I2672" i="3" a="1"/>
  <c r="I2672" i="3" s="1"/>
  <c r="I2673" i="3" a="1"/>
  <c r="I2673" i="3" s="1"/>
  <c r="I2674" i="3" a="1"/>
  <c r="I2674" i="3" s="1"/>
  <c r="I2675" i="3" a="1"/>
  <c r="I2675" i="3" s="1"/>
  <c r="I2676" i="3" a="1"/>
  <c r="I2676" i="3" s="1"/>
  <c r="I2677" i="3" a="1"/>
  <c r="I2677" i="3" s="1"/>
  <c r="I2678" i="3" a="1"/>
  <c r="I2678" i="3" s="1"/>
  <c r="I2679" i="3" a="1"/>
  <c r="I2679" i="3" s="1"/>
  <c r="I2680" i="3" a="1"/>
  <c r="I2680" i="3" s="1"/>
  <c r="I2681" i="3" a="1"/>
  <c r="I2681" i="3" s="1"/>
  <c r="I2682" i="3" a="1"/>
  <c r="I2682" i="3" s="1"/>
  <c r="I2683" i="3" a="1"/>
  <c r="I2683" i="3" s="1"/>
  <c r="I2684" i="3" a="1"/>
  <c r="I2684" i="3" s="1"/>
  <c r="I2685" i="3" a="1"/>
  <c r="I2685" i="3" s="1"/>
  <c r="I2686" i="3" a="1"/>
  <c r="I2686" i="3" s="1"/>
  <c r="I2687" i="3" a="1"/>
  <c r="I2687" i="3" s="1"/>
  <c r="I2688" i="3" a="1"/>
  <c r="I2688" i="3" s="1"/>
  <c r="I2689" i="3" a="1"/>
  <c r="I2689" i="3" s="1"/>
  <c r="I2690" i="3" a="1"/>
  <c r="I2690" i="3" s="1"/>
  <c r="I2691" i="3" a="1"/>
  <c r="I2691" i="3" s="1"/>
  <c r="I2692" i="3" a="1"/>
  <c r="I2692" i="3" s="1"/>
  <c r="I2693" i="3" a="1"/>
  <c r="I2693" i="3" s="1"/>
  <c r="I2694" i="3" a="1"/>
  <c r="I2694" i="3" s="1"/>
  <c r="I2695" i="3" a="1"/>
  <c r="I2695" i="3" s="1"/>
  <c r="I2696" i="3" a="1"/>
  <c r="I2696" i="3" s="1"/>
  <c r="I2697" i="3" a="1"/>
  <c r="I2697" i="3" s="1"/>
  <c r="I2698" i="3" a="1"/>
  <c r="I2698" i="3" s="1"/>
  <c r="I2699" i="3" a="1"/>
  <c r="I2699" i="3" s="1"/>
  <c r="I2700" i="3" a="1"/>
  <c r="I2700" i="3" s="1"/>
  <c r="I2701" i="3" a="1"/>
  <c r="I2701" i="3" s="1"/>
  <c r="I2702" i="3" a="1"/>
  <c r="I2702" i="3" s="1"/>
  <c r="I2703" i="3" a="1"/>
  <c r="I2703" i="3" s="1"/>
  <c r="I2704" i="3" a="1"/>
  <c r="I2704" i="3" s="1"/>
  <c r="I2705" i="3" a="1"/>
  <c r="I2705" i="3" s="1"/>
  <c r="I2706" i="3" a="1"/>
  <c r="I2706" i="3" s="1"/>
  <c r="I2707" i="3" a="1"/>
  <c r="I2707" i="3" s="1"/>
  <c r="I2708" i="3" a="1"/>
  <c r="I2708" i="3" s="1"/>
  <c r="I2709" i="3" a="1"/>
  <c r="I2709" i="3" s="1"/>
  <c r="I2710" i="3" a="1"/>
  <c r="I2710" i="3" s="1"/>
  <c r="I2711" i="3" a="1"/>
  <c r="I2711" i="3" s="1"/>
  <c r="I2712" i="3" a="1"/>
  <c r="I2712" i="3" s="1"/>
  <c r="I2713" i="3" a="1"/>
  <c r="I2713" i="3" s="1"/>
  <c r="I2714" i="3" a="1"/>
  <c r="I2714" i="3" s="1"/>
  <c r="I2715" i="3" a="1"/>
  <c r="I2715" i="3" s="1"/>
  <c r="I2716" i="3" a="1"/>
  <c r="I2716" i="3" s="1"/>
  <c r="I2717" i="3" a="1"/>
  <c r="I2717" i="3" s="1"/>
  <c r="I2718" i="3" a="1"/>
  <c r="I2718" i="3" s="1"/>
  <c r="I2719" i="3" a="1"/>
  <c r="I2719" i="3" s="1"/>
  <c r="I2720" i="3" a="1"/>
  <c r="I2720" i="3" s="1"/>
  <c r="I2721" i="3" a="1"/>
  <c r="I2721" i="3" s="1"/>
  <c r="I2722" i="3" a="1"/>
  <c r="I2722" i="3" s="1"/>
  <c r="I2723" i="3" a="1"/>
  <c r="I2723" i="3" s="1"/>
  <c r="I2724" i="3" a="1"/>
  <c r="I2724" i="3" s="1"/>
  <c r="I2725" i="3" a="1"/>
  <c r="I2725" i="3" s="1"/>
  <c r="I2726" i="3" a="1"/>
  <c r="I2726" i="3" s="1"/>
  <c r="I2727" i="3" a="1"/>
  <c r="I2727" i="3" s="1"/>
  <c r="I2728" i="3" a="1"/>
  <c r="I2728" i="3" s="1"/>
  <c r="I2729" i="3" a="1"/>
  <c r="I2729" i="3" s="1"/>
  <c r="I2730" i="3" a="1"/>
  <c r="I2730" i="3" s="1"/>
  <c r="I2731" i="3" a="1"/>
  <c r="I2731" i="3" s="1"/>
  <c r="I2732" i="3" a="1"/>
  <c r="I2732" i="3" s="1"/>
  <c r="I2733" i="3" a="1"/>
  <c r="I2733" i="3" s="1"/>
  <c r="I2734" i="3" a="1"/>
  <c r="I2734" i="3" s="1"/>
  <c r="I2735" i="3" a="1"/>
  <c r="I2735" i="3" s="1"/>
  <c r="I2736" i="3" a="1"/>
  <c r="I2736" i="3" s="1"/>
  <c r="I2737" i="3" a="1"/>
  <c r="I2737" i="3" s="1"/>
  <c r="I2738" i="3" a="1"/>
  <c r="I2738" i="3" s="1"/>
  <c r="I2739" i="3" a="1"/>
  <c r="I2739" i="3" s="1"/>
  <c r="I2740" i="3" a="1"/>
  <c r="I2740" i="3" s="1"/>
  <c r="I2741" i="3" a="1"/>
  <c r="I2741" i="3" s="1"/>
  <c r="I2742" i="3" a="1"/>
  <c r="I2742" i="3" s="1"/>
  <c r="I2743" i="3" a="1"/>
  <c r="I2743" i="3" s="1"/>
  <c r="I2744" i="3" a="1"/>
  <c r="I2744" i="3" s="1"/>
  <c r="I2745" i="3" a="1"/>
  <c r="I2745" i="3" s="1"/>
  <c r="I2746" i="3" a="1"/>
  <c r="I2746" i="3" s="1"/>
  <c r="I2747" i="3" a="1"/>
  <c r="I2747" i="3" s="1"/>
  <c r="I2748" i="3" a="1"/>
  <c r="I2748" i="3" s="1"/>
  <c r="I2749" i="3" a="1"/>
  <c r="I2749" i="3" s="1"/>
  <c r="I2750" i="3" a="1"/>
  <c r="I2750" i="3" s="1"/>
  <c r="I2751" i="3" a="1"/>
  <c r="I2751" i="3" s="1"/>
  <c r="I2752" i="3" a="1"/>
  <c r="I2752" i="3" s="1"/>
  <c r="I2753" i="3" a="1"/>
  <c r="I2753" i="3" s="1"/>
  <c r="I2754" i="3" a="1"/>
  <c r="I2754" i="3" s="1"/>
  <c r="I2755" i="3" a="1"/>
  <c r="I2755" i="3" s="1"/>
  <c r="I2756" i="3" a="1"/>
  <c r="I2756" i="3" s="1"/>
  <c r="I2757" i="3" a="1"/>
  <c r="I2757" i="3" s="1"/>
  <c r="I2758" i="3" a="1"/>
  <c r="I2758" i="3" s="1"/>
  <c r="I2759" i="3" a="1"/>
  <c r="I2759" i="3" s="1"/>
  <c r="I2760" i="3" a="1"/>
  <c r="I2760" i="3" s="1"/>
  <c r="I2761" i="3" a="1"/>
  <c r="I2761" i="3" s="1"/>
  <c r="I2762" i="3" a="1"/>
  <c r="I2762" i="3" s="1"/>
  <c r="I2763" i="3" a="1"/>
  <c r="I2763" i="3" s="1"/>
  <c r="I2764" i="3" a="1"/>
  <c r="I2764" i="3" s="1"/>
  <c r="I2765" i="3" a="1"/>
  <c r="I2765" i="3" s="1"/>
  <c r="I2766" i="3" a="1"/>
  <c r="I2766" i="3" s="1"/>
  <c r="I2767" i="3" a="1"/>
  <c r="I2767" i="3" s="1"/>
  <c r="I2768" i="3" a="1"/>
  <c r="I2768" i="3" s="1"/>
  <c r="I2769" i="3" a="1"/>
  <c r="I2769" i="3" s="1"/>
  <c r="I2770" i="3" a="1"/>
  <c r="I2770" i="3" s="1"/>
  <c r="I2771" i="3" a="1"/>
  <c r="I2771" i="3" s="1"/>
  <c r="I2772" i="3" a="1"/>
  <c r="I2772" i="3" s="1"/>
  <c r="I2773" i="3" a="1"/>
  <c r="I2773" i="3" s="1"/>
  <c r="I2774" i="3" a="1"/>
  <c r="I2774" i="3" s="1"/>
  <c r="I2775" i="3" a="1"/>
  <c r="I2775" i="3" s="1"/>
  <c r="I2776" i="3" a="1"/>
  <c r="I2776" i="3" s="1"/>
  <c r="I2777" i="3" a="1"/>
  <c r="I2777" i="3" s="1"/>
  <c r="I2778" i="3" a="1"/>
  <c r="I2778" i="3" s="1"/>
  <c r="I2779" i="3" a="1"/>
  <c r="I2779" i="3" s="1"/>
  <c r="I2780" i="3" a="1"/>
  <c r="I2780" i="3" s="1"/>
  <c r="I2781" i="3" a="1"/>
  <c r="I2781" i="3" s="1"/>
  <c r="I2782" i="3" a="1"/>
  <c r="I2782" i="3" s="1"/>
  <c r="I2783" i="3" a="1"/>
  <c r="I2783" i="3" s="1"/>
  <c r="I2784" i="3" a="1"/>
  <c r="I2784" i="3" s="1"/>
  <c r="I2785" i="3" a="1"/>
  <c r="I2785" i="3" s="1"/>
  <c r="I2786" i="3" a="1"/>
  <c r="I2786" i="3" s="1"/>
  <c r="I2787" i="3" a="1"/>
  <c r="I2787" i="3" s="1"/>
  <c r="I2788" i="3" a="1"/>
  <c r="I2788" i="3" s="1"/>
  <c r="I2789" i="3" a="1"/>
  <c r="I2789" i="3" s="1"/>
  <c r="I2790" i="3" a="1"/>
  <c r="I2790" i="3" s="1"/>
  <c r="I2791" i="3" a="1"/>
  <c r="I2791" i="3" s="1"/>
  <c r="I2792" i="3" a="1"/>
  <c r="I2792" i="3" s="1"/>
  <c r="I2793" i="3" a="1"/>
  <c r="I2793" i="3" s="1"/>
  <c r="I2794" i="3" a="1"/>
  <c r="I2794" i="3" s="1"/>
  <c r="I2795" i="3" a="1"/>
  <c r="I2795" i="3" s="1"/>
  <c r="I2796" i="3" a="1"/>
  <c r="I2796" i="3" s="1"/>
  <c r="I2797" i="3" a="1"/>
  <c r="I2797" i="3" s="1"/>
  <c r="I2798" i="3" a="1"/>
  <c r="I2798" i="3" s="1"/>
  <c r="I2799" i="3" a="1"/>
  <c r="I2799" i="3" s="1"/>
  <c r="I2800" i="3" a="1"/>
  <c r="I2800" i="3" s="1"/>
  <c r="I2801" i="3" a="1"/>
  <c r="I2801" i="3" s="1"/>
  <c r="I2802" i="3" a="1"/>
  <c r="I2802" i="3" s="1"/>
  <c r="I2803" i="3" a="1"/>
  <c r="I2803" i="3" s="1"/>
  <c r="I2804" i="3" a="1"/>
  <c r="I2804" i="3" s="1"/>
  <c r="I2805" i="3" a="1"/>
  <c r="I2805" i="3" s="1"/>
  <c r="I2806" i="3" a="1"/>
  <c r="I2806" i="3" s="1"/>
  <c r="I2807" i="3" a="1"/>
  <c r="I2807" i="3" s="1"/>
  <c r="I2808" i="3" a="1"/>
  <c r="I2808" i="3" s="1"/>
  <c r="I2809" i="3" a="1"/>
  <c r="I2809" i="3" s="1"/>
  <c r="I2810" i="3" a="1"/>
  <c r="I2810" i="3" s="1"/>
  <c r="I2811" i="3" a="1"/>
  <c r="I2811" i="3" s="1"/>
  <c r="I2812" i="3" a="1"/>
  <c r="I2812" i="3" s="1"/>
  <c r="I2813" i="3" a="1"/>
  <c r="I2813" i="3" s="1"/>
  <c r="I2814" i="3" a="1"/>
  <c r="I2814" i="3" s="1"/>
  <c r="I2815" i="3" a="1"/>
  <c r="I2815" i="3" s="1"/>
  <c r="I2816" i="3" a="1"/>
  <c r="I2816" i="3" s="1"/>
  <c r="I2817" i="3" a="1"/>
  <c r="I2817" i="3" s="1"/>
  <c r="I2818" i="3" a="1"/>
  <c r="I2818" i="3" s="1"/>
  <c r="I2819" i="3" a="1"/>
  <c r="I2819" i="3" s="1"/>
  <c r="I2820" i="3" a="1"/>
  <c r="I2820" i="3" s="1"/>
  <c r="I2821" i="3" a="1"/>
  <c r="I2821" i="3" s="1"/>
  <c r="I2822" i="3" a="1"/>
  <c r="I2822" i="3" s="1"/>
  <c r="I2823" i="3" a="1"/>
  <c r="I2823" i="3" s="1"/>
  <c r="I2824" i="3" a="1"/>
  <c r="I2824" i="3" s="1"/>
  <c r="I2825" i="3" a="1"/>
  <c r="I2825" i="3" s="1"/>
  <c r="I2826" i="3" a="1"/>
  <c r="I2826" i="3" s="1"/>
  <c r="I2827" i="3" a="1"/>
  <c r="I2827" i="3" s="1"/>
  <c r="I2828" i="3" a="1"/>
  <c r="I2828" i="3" s="1"/>
  <c r="I2829" i="3" a="1"/>
  <c r="I2829" i="3" s="1"/>
  <c r="I2830" i="3" a="1"/>
  <c r="I2830" i="3" s="1"/>
  <c r="I2831" i="3" a="1"/>
  <c r="I2831" i="3" s="1"/>
  <c r="I2832" i="3" a="1"/>
  <c r="I2832" i="3" s="1"/>
  <c r="I2833" i="3" a="1"/>
  <c r="I2833" i="3" s="1"/>
  <c r="I2834" i="3" a="1"/>
  <c r="I2834" i="3" s="1"/>
  <c r="I2835" i="3" a="1"/>
  <c r="I2835" i="3" s="1"/>
  <c r="I2836" i="3" a="1"/>
  <c r="I2836" i="3" s="1"/>
  <c r="I2837" i="3" a="1"/>
  <c r="I2837" i="3" s="1"/>
  <c r="I2838" i="3" a="1"/>
  <c r="I2838" i="3" s="1"/>
  <c r="I2839" i="3" a="1"/>
  <c r="I2839" i="3" s="1"/>
  <c r="I2840" i="3" a="1"/>
  <c r="I2840" i="3" s="1"/>
  <c r="I2841" i="3" a="1"/>
  <c r="I2841" i="3" s="1"/>
  <c r="I2842" i="3" a="1"/>
  <c r="I2842" i="3" s="1"/>
  <c r="I2843" i="3" a="1"/>
  <c r="I2843" i="3" s="1"/>
  <c r="I2844" i="3" a="1"/>
  <c r="I2844" i="3" s="1"/>
  <c r="I2845" i="3" a="1"/>
  <c r="I2845" i="3" s="1"/>
  <c r="I2846" i="3" a="1"/>
  <c r="I2846" i="3" s="1"/>
  <c r="I2847" i="3" a="1"/>
  <c r="I2847" i="3" s="1"/>
  <c r="I2848" i="3" a="1"/>
  <c r="I2848" i="3" s="1"/>
  <c r="I2849" i="3" a="1"/>
  <c r="I2849" i="3" s="1"/>
  <c r="I2850" i="3" a="1"/>
  <c r="I2850" i="3" s="1"/>
  <c r="I2851" i="3" a="1"/>
  <c r="I2851" i="3" s="1"/>
  <c r="I2852" i="3" a="1"/>
  <c r="I2852" i="3" s="1"/>
  <c r="I2853" i="3" a="1"/>
  <c r="I2853" i="3" s="1"/>
  <c r="I2854" i="3" a="1"/>
  <c r="I2854" i="3" s="1"/>
  <c r="I2855" i="3" a="1"/>
  <c r="I2855" i="3" s="1"/>
  <c r="I2856" i="3" a="1"/>
  <c r="I2856" i="3" s="1"/>
  <c r="I2857" i="3" a="1"/>
  <c r="I2857" i="3" s="1"/>
  <c r="I2858" i="3" a="1"/>
  <c r="I2858" i="3" s="1"/>
  <c r="I2859" i="3" a="1"/>
  <c r="I2859" i="3" s="1"/>
  <c r="I2860" i="3" a="1"/>
  <c r="I2860" i="3" s="1"/>
  <c r="I2861" i="3" a="1"/>
  <c r="I2861" i="3" s="1"/>
  <c r="I2862" i="3" a="1"/>
  <c r="I2862" i="3" s="1"/>
  <c r="I2863" i="3" a="1"/>
  <c r="I2863" i="3" s="1"/>
  <c r="I2864" i="3" a="1"/>
  <c r="I2864" i="3" s="1"/>
  <c r="I2865" i="3" a="1"/>
  <c r="I2865" i="3" s="1"/>
  <c r="I2866" i="3" a="1"/>
  <c r="I2866" i="3" s="1"/>
  <c r="I2867" i="3" a="1"/>
  <c r="I2867" i="3" s="1"/>
  <c r="I2868" i="3" a="1"/>
  <c r="I2868" i="3" s="1"/>
  <c r="I2869" i="3" a="1"/>
  <c r="I2869" i="3" s="1"/>
  <c r="I2870" i="3" a="1"/>
  <c r="I2870" i="3" s="1"/>
  <c r="I2871" i="3" a="1"/>
  <c r="I2871" i="3" s="1"/>
  <c r="I2872" i="3" a="1"/>
  <c r="I2872" i="3" s="1"/>
  <c r="I2873" i="3" a="1"/>
  <c r="I2873" i="3" s="1"/>
  <c r="I2874" i="3" a="1"/>
  <c r="I2874" i="3" s="1"/>
  <c r="I2875" i="3" a="1"/>
  <c r="I2875" i="3" s="1"/>
  <c r="I2876" i="3" a="1"/>
  <c r="I2876" i="3" s="1"/>
  <c r="I2877" i="3" a="1"/>
  <c r="I2877" i="3" s="1"/>
  <c r="I2878" i="3" a="1"/>
  <c r="I2878" i="3" s="1"/>
  <c r="I2879" i="3" a="1"/>
  <c r="I2879" i="3" s="1"/>
  <c r="I2880" i="3" a="1"/>
  <c r="I2880" i="3" s="1"/>
  <c r="I2881" i="3" a="1"/>
  <c r="I2881" i="3" s="1"/>
  <c r="I2882" i="3" a="1"/>
  <c r="I2882" i="3" s="1"/>
  <c r="I2883" i="3" a="1"/>
  <c r="I2883" i="3" s="1"/>
  <c r="I2884" i="3" a="1"/>
  <c r="I2884" i="3" s="1"/>
  <c r="I2885" i="3" a="1"/>
  <c r="I2885" i="3" s="1"/>
  <c r="I2886" i="3" a="1"/>
  <c r="I2886" i="3" s="1"/>
  <c r="I2887" i="3" a="1"/>
  <c r="I2887" i="3" s="1"/>
  <c r="I2888" i="3" a="1"/>
  <c r="I2888" i="3" s="1"/>
  <c r="I2889" i="3" a="1"/>
  <c r="I2889" i="3" s="1"/>
  <c r="I2890" i="3" a="1"/>
  <c r="I2890" i="3" s="1"/>
  <c r="I2891" i="3" a="1"/>
  <c r="I2891" i="3" s="1"/>
  <c r="I2892" i="3" a="1"/>
  <c r="I2892" i="3" s="1"/>
  <c r="I2893" i="3" a="1"/>
  <c r="I2893" i="3" s="1"/>
  <c r="I2894" i="3" a="1"/>
  <c r="I2894" i="3" s="1"/>
  <c r="I2895" i="3" a="1"/>
  <c r="I2895" i="3" s="1"/>
  <c r="I2896" i="3" a="1"/>
  <c r="I2896" i="3" s="1"/>
  <c r="I2897" i="3" a="1"/>
  <c r="I2897" i="3" s="1"/>
  <c r="I2898" i="3" a="1"/>
  <c r="I2898" i="3" s="1"/>
  <c r="I2899" i="3" a="1"/>
  <c r="I2899" i="3" s="1"/>
  <c r="I2900" i="3" a="1"/>
  <c r="I2900" i="3" s="1"/>
  <c r="I2901" i="3" a="1"/>
  <c r="I2901" i="3" s="1"/>
  <c r="I2902" i="3" a="1"/>
  <c r="I2902" i="3" s="1"/>
  <c r="I2903" i="3" a="1"/>
  <c r="I2903" i="3" s="1"/>
  <c r="I2904" i="3" a="1"/>
  <c r="I2904" i="3" s="1"/>
  <c r="I2905" i="3" a="1"/>
  <c r="I2905" i="3" s="1"/>
  <c r="I2906" i="3" a="1"/>
  <c r="I2906" i="3" s="1"/>
  <c r="I2907" i="3" a="1"/>
  <c r="I2907" i="3" s="1"/>
  <c r="I2908" i="3" a="1"/>
  <c r="I2908" i="3" s="1"/>
  <c r="I2909" i="3" a="1"/>
  <c r="I2909" i="3" s="1"/>
  <c r="I2910" i="3" a="1"/>
  <c r="I2910" i="3" s="1"/>
  <c r="I2911" i="3" a="1"/>
  <c r="I2911" i="3" s="1"/>
  <c r="I2912" i="3" a="1"/>
  <c r="I2912" i="3" s="1"/>
  <c r="I2913" i="3" a="1"/>
  <c r="I2913" i="3" s="1"/>
  <c r="I2914" i="3" a="1"/>
  <c r="I2914" i="3" s="1"/>
  <c r="I2915" i="3" a="1"/>
  <c r="I2915" i="3" s="1"/>
  <c r="I2916" i="3" a="1"/>
  <c r="I2916" i="3" s="1"/>
  <c r="I2917" i="3" a="1"/>
  <c r="I2917" i="3" s="1"/>
  <c r="I2918" i="3" a="1"/>
  <c r="I2918" i="3" s="1"/>
  <c r="I2919" i="3" a="1"/>
  <c r="I2919" i="3" s="1"/>
  <c r="I2920" i="3" a="1"/>
  <c r="I2920" i="3" s="1"/>
  <c r="I2921" i="3" a="1"/>
  <c r="I2921" i="3" s="1"/>
  <c r="I2922" i="3" a="1"/>
  <c r="I2922" i="3" s="1"/>
  <c r="I2923" i="3" a="1"/>
  <c r="I2923" i="3" s="1"/>
  <c r="I2924" i="3" a="1"/>
  <c r="I2924" i="3" s="1"/>
  <c r="I2925" i="3" a="1"/>
  <c r="I2925" i="3" s="1"/>
  <c r="I2926" i="3" a="1"/>
  <c r="I2926" i="3" s="1"/>
  <c r="I2927" i="3" a="1"/>
  <c r="I2927" i="3" s="1"/>
  <c r="I2928" i="3" a="1"/>
  <c r="I2928" i="3" s="1"/>
  <c r="I2929" i="3" a="1"/>
  <c r="I2929" i="3" s="1"/>
  <c r="I2930" i="3" a="1"/>
  <c r="I2930" i="3" s="1"/>
  <c r="I2931" i="3" a="1"/>
  <c r="I2931" i="3" s="1"/>
  <c r="I2932" i="3" a="1"/>
  <c r="I2932" i="3" s="1"/>
  <c r="I2933" i="3" a="1"/>
  <c r="I2933" i="3" s="1"/>
  <c r="I2934" i="3" a="1"/>
  <c r="I2934" i="3" s="1"/>
  <c r="I2935" i="3" a="1"/>
  <c r="I2935" i="3" s="1"/>
  <c r="I2936" i="3" a="1"/>
  <c r="I2936" i="3" s="1"/>
  <c r="I2937" i="3" a="1"/>
  <c r="I2937" i="3" s="1"/>
  <c r="I2938" i="3" a="1"/>
  <c r="I2938" i="3" s="1"/>
  <c r="I2939" i="3" a="1"/>
  <c r="I2939" i="3" s="1"/>
  <c r="I2940" i="3" a="1"/>
  <c r="I2940" i="3" s="1"/>
  <c r="I2941" i="3" a="1"/>
  <c r="I2941" i="3" s="1"/>
  <c r="I2942" i="3" a="1"/>
  <c r="I2942" i="3" s="1"/>
  <c r="I2943" i="3" a="1"/>
  <c r="I2943" i="3" s="1"/>
  <c r="I2944" i="3" a="1"/>
  <c r="I2944" i="3" s="1"/>
  <c r="I2945" i="3" a="1"/>
  <c r="I2945" i="3" s="1"/>
  <c r="I2946" i="3" a="1"/>
  <c r="I2946" i="3" s="1"/>
  <c r="I2947" i="3" a="1"/>
  <c r="I2947" i="3" s="1"/>
  <c r="I2948" i="3" a="1"/>
  <c r="I2948" i="3" s="1"/>
  <c r="I2949" i="3" a="1"/>
  <c r="I2949" i="3" s="1"/>
  <c r="I2950" i="3" a="1"/>
  <c r="I2950" i="3" s="1"/>
  <c r="I2951" i="3" a="1"/>
  <c r="I2951" i="3" s="1"/>
  <c r="I2952" i="3" a="1"/>
  <c r="I2952" i="3" s="1"/>
  <c r="I2953" i="3" a="1"/>
  <c r="I2953" i="3" s="1"/>
  <c r="I2954" i="3" a="1"/>
  <c r="I2954" i="3" s="1"/>
  <c r="I2955" i="3" a="1"/>
  <c r="I2955" i="3" s="1"/>
  <c r="I2956" i="3" a="1"/>
  <c r="I2956" i="3" s="1"/>
  <c r="I2957" i="3" a="1"/>
  <c r="I2957" i="3" s="1"/>
  <c r="I2958" i="3" a="1"/>
  <c r="I2958" i="3" s="1"/>
  <c r="I2959" i="3" a="1"/>
  <c r="I2959" i="3" s="1"/>
  <c r="I2960" i="3" a="1"/>
  <c r="I2960" i="3" s="1"/>
  <c r="I2961" i="3" a="1"/>
  <c r="I2961" i="3" s="1"/>
  <c r="I2962" i="3" a="1"/>
  <c r="I2962" i="3" s="1"/>
  <c r="I2963" i="3" a="1"/>
  <c r="I2963" i="3" s="1"/>
  <c r="I2964" i="3" a="1"/>
  <c r="I2964" i="3" s="1"/>
  <c r="I2965" i="3" a="1"/>
  <c r="I2965" i="3" s="1"/>
  <c r="I2966" i="3" a="1"/>
  <c r="I2966" i="3" s="1"/>
  <c r="I2967" i="3" a="1"/>
  <c r="I2967" i="3" s="1"/>
  <c r="I2968" i="3" a="1"/>
  <c r="I2968" i="3" s="1"/>
  <c r="I2969" i="3" a="1"/>
  <c r="I2969" i="3" s="1"/>
  <c r="I2970" i="3" a="1"/>
  <c r="I2970" i="3" s="1"/>
  <c r="I2971" i="3" a="1"/>
  <c r="I2971" i="3" s="1"/>
  <c r="I2972" i="3" a="1"/>
  <c r="I2972" i="3" s="1"/>
  <c r="I2973" i="3" a="1"/>
  <c r="I2973" i="3" s="1"/>
  <c r="I2974" i="3" a="1"/>
  <c r="I2974" i="3" s="1"/>
  <c r="I2975" i="3" a="1"/>
  <c r="I2975" i="3" s="1"/>
  <c r="I2976" i="3" a="1"/>
  <c r="I2976" i="3" s="1"/>
  <c r="I2977" i="3" a="1"/>
  <c r="I2977" i="3" s="1"/>
  <c r="I2978" i="3" a="1"/>
  <c r="I2978" i="3" s="1"/>
  <c r="I2979" i="3" a="1"/>
  <c r="I2979" i="3" s="1"/>
  <c r="I2980" i="3" a="1"/>
  <c r="I2980" i="3" s="1"/>
  <c r="I2981" i="3" a="1"/>
  <c r="I2981" i="3" s="1"/>
  <c r="I2982" i="3" a="1"/>
  <c r="I2982" i="3" s="1"/>
  <c r="I2983" i="3" a="1"/>
  <c r="I2983" i="3" s="1"/>
  <c r="I2984" i="3" a="1"/>
  <c r="I2984" i="3" s="1"/>
  <c r="I2985" i="3" a="1"/>
  <c r="I2985" i="3" s="1"/>
  <c r="I2986" i="3" a="1"/>
  <c r="I2986" i="3" s="1"/>
  <c r="I2987" i="3" a="1"/>
  <c r="I2987" i="3" s="1"/>
  <c r="I2988" i="3" a="1"/>
  <c r="I2988" i="3" s="1"/>
  <c r="I2989" i="3" a="1"/>
  <c r="I2989" i="3" s="1"/>
  <c r="I2990" i="3" a="1"/>
  <c r="I2990" i="3" s="1"/>
  <c r="I2991" i="3" a="1"/>
  <c r="I2991" i="3" s="1"/>
  <c r="I2992" i="3" a="1"/>
  <c r="I2992" i="3" s="1"/>
  <c r="I2993" i="3" a="1"/>
  <c r="I2993" i="3" s="1"/>
  <c r="I2994" i="3" a="1"/>
  <c r="I2994" i="3" s="1"/>
  <c r="I2995" i="3" a="1"/>
  <c r="I2995" i="3" s="1"/>
  <c r="I2996" i="3" a="1"/>
  <c r="I2996" i="3" s="1"/>
  <c r="I2997" i="3" a="1"/>
  <c r="I2997" i="3" s="1"/>
  <c r="I2998" i="3" a="1"/>
  <c r="I2998" i="3" s="1"/>
  <c r="I2999" i="3" a="1"/>
  <c r="I2999" i="3" s="1"/>
  <c r="I3000" i="3" a="1"/>
  <c r="I3000" i="3" s="1"/>
  <c r="I3001" i="3" a="1"/>
  <c r="I3001" i="3" s="1"/>
  <c r="I3002" i="3" a="1"/>
  <c r="I3002" i="3" s="1"/>
  <c r="I3003" i="3" a="1"/>
  <c r="I3003" i="3" s="1"/>
  <c r="I3004" i="3" a="1"/>
  <c r="I3004" i="3" s="1"/>
  <c r="I3005" i="3" a="1"/>
  <c r="I3005" i="3" s="1"/>
  <c r="I3006" i="3" a="1"/>
  <c r="I3006" i="3" s="1"/>
  <c r="I3007" i="3" a="1"/>
  <c r="I3007" i="3" s="1"/>
  <c r="I3008" i="3" a="1"/>
  <c r="I3008" i="3" s="1"/>
  <c r="I3009" i="3" a="1"/>
  <c r="I3009" i="3" s="1"/>
  <c r="I3010" i="3" a="1"/>
  <c r="I3010" i="3" s="1"/>
  <c r="I3011" i="3" a="1"/>
  <c r="I3011" i="3" s="1"/>
  <c r="I3012" i="3" a="1"/>
  <c r="I3012" i="3" s="1"/>
  <c r="I3013" i="3" a="1"/>
  <c r="I3013" i="3" s="1"/>
  <c r="I3014" i="3" a="1"/>
  <c r="I3014" i="3" s="1"/>
  <c r="I3015" i="3" a="1"/>
  <c r="I3015" i="3" s="1"/>
  <c r="I3016" i="3" a="1"/>
  <c r="I3016" i="3" s="1"/>
  <c r="I3017" i="3" a="1"/>
  <c r="I3017" i="3" s="1"/>
  <c r="I3018" i="3" a="1"/>
  <c r="I3018" i="3" s="1"/>
  <c r="I3019" i="3" a="1"/>
  <c r="I3019" i="3" s="1"/>
  <c r="I3020" i="3" a="1"/>
  <c r="I3020" i="3" s="1"/>
  <c r="I3021" i="3" a="1"/>
  <c r="I3021" i="3" s="1"/>
  <c r="I3022" i="3" a="1"/>
  <c r="I3022" i="3" s="1"/>
  <c r="I3023" i="3" a="1"/>
  <c r="I3023" i="3" s="1"/>
  <c r="I3024" i="3" a="1"/>
  <c r="I3024" i="3" s="1"/>
  <c r="I3025" i="3" a="1"/>
  <c r="I3025" i="3" s="1"/>
  <c r="I3026" i="3" a="1"/>
  <c r="I3026" i="3" s="1"/>
  <c r="I3027" i="3" a="1"/>
  <c r="I3027" i="3" s="1"/>
  <c r="I3028" i="3" a="1"/>
  <c r="I3028" i="3" s="1"/>
  <c r="I3029" i="3" a="1"/>
  <c r="I3029" i="3" s="1"/>
  <c r="I3030" i="3" a="1"/>
  <c r="I3030" i="3" s="1"/>
  <c r="I3031" i="3" a="1"/>
  <c r="I3031" i="3" s="1"/>
  <c r="I3032" i="3" a="1"/>
  <c r="I3032" i="3" s="1"/>
  <c r="I3033" i="3" a="1"/>
  <c r="I3033" i="3" s="1"/>
  <c r="I3034" i="3" a="1"/>
  <c r="I3034" i="3" s="1"/>
  <c r="I3035" i="3" a="1"/>
  <c r="I3035" i="3" s="1"/>
  <c r="I3036" i="3" a="1"/>
  <c r="I3036" i="3" s="1"/>
  <c r="I3037" i="3" a="1"/>
  <c r="I3037" i="3" s="1"/>
  <c r="I3038" i="3" a="1"/>
  <c r="I3038" i="3" s="1"/>
  <c r="I3039" i="3" a="1"/>
  <c r="I3039" i="3" s="1"/>
  <c r="I3040" i="3" a="1"/>
  <c r="I3040" i="3" s="1"/>
  <c r="I3041" i="3" a="1"/>
  <c r="I3041" i="3" s="1"/>
  <c r="I3042" i="3" a="1"/>
  <c r="I3042" i="3" s="1"/>
  <c r="I3043" i="3" a="1"/>
  <c r="I3043" i="3" s="1"/>
  <c r="I3044" i="3" a="1"/>
  <c r="I3044" i="3" s="1"/>
  <c r="I3045" i="3" a="1"/>
  <c r="I3045" i="3" s="1"/>
  <c r="I3046" i="3" a="1"/>
  <c r="I3046" i="3" s="1"/>
  <c r="I3047" i="3" a="1"/>
  <c r="I3047" i="3" s="1"/>
  <c r="I3048" i="3" a="1"/>
  <c r="I3048" i="3" s="1"/>
  <c r="I3049" i="3" a="1"/>
  <c r="I3049" i="3" s="1"/>
  <c r="I3050" i="3" a="1"/>
  <c r="I3050" i="3" s="1"/>
  <c r="I3051" i="3" a="1"/>
  <c r="I3051" i="3" s="1"/>
  <c r="I3052" i="3" a="1"/>
  <c r="I3052" i="3" s="1"/>
  <c r="I3053" i="3" a="1"/>
  <c r="I3053" i="3" s="1"/>
  <c r="I3054" i="3" a="1"/>
  <c r="I3054" i="3" s="1"/>
  <c r="I3055" i="3" a="1"/>
  <c r="I3055" i="3" s="1"/>
  <c r="I3056" i="3" a="1"/>
  <c r="I3056" i="3" s="1"/>
  <c r="I3057" i="3" a="1"/>
  <c r="I3057" i="3" s="1"/>
  <c r="I3058" i="3" a="1"/>
  <c r="I3058" i="3" s="1"/>
  <c r="I3059" i="3" a="1"/>
  <c r="I3059" i="3" s="1"/>
  <c r="I3060" i="3" a="1"/>
  <c r="I3060" i="3" s="1"/>
  <c r="I3061" i="3" a="1"/>
  <c r="I3061" i="3" s="1"/>
  <c r="I3062" i="3" a="1"/>
  <c r="I3062" i="3" s="1"/>
  <c r="I3063" i="3" a="1"/>
  <c r="I3063" i="3" s="1"/>
  <c r="I3064" i="3" a="1"/>
  <c r="I3064" i="3" s="1"/>
  <c r="I3065" i="3" a="1"/>
  <c r="I3065" i="3" s="1"/>
  <c r="I3066" i="3" a="1"/>
  <c r="I3066" i="3" s="1"/>
  <c r="I3067" i="3" a="1"/>
  <c r="I3067" i="3" s="1"/>
  <c r="I3068" i="3" a="1"/>
  <c r="I3068" i="3" s="1"/>
  <c r="I3069" i="3" a="1"/>
  <c r="I3069" i="3" s="1"/>
  <c r="I3070" i="3" a="1"/>
  <c r="I3070" i="3" s="1"/>
  <c r="I3071" i="3" a="1"/>
  <c r="I3071" i="3" s="1"/>
  <c r="I3072" i="3" a="1"/>
  <c r="I3072" i="3" s="1"/>
  <c r="I3073" i="3" a="1"/>
  <c r="I3073" i="3" s="1"/>
  <c r="I3074" i="3" a="1"/>
  <c r="I3074" i="3" s="1"/>
  <c r="I3075" i="3" a="1"/>
  <c r="I3075" i="3" s="1"/>
  <c r="I3076" i="3" a="1"/>
  <c r="I3076" i="3" s="1"/>
  <c r="I3077" i="3" a="1"/>
  <c r="I3077" i="3" s="1"/>
  <c r="I3078" i="3" a="1"/>
  <c r="I3078" i="3" s="1"/>
  <c r="I3079" i="3" a="1"/>
  <c r="I3079" i="3" s="1"/>
  <c r="I3080" i="3" a="1"/>
  <c r="I3080" i="3" s="1"/>
  <c r="I3081" i="3" a="1"/>
  <c r="I3081" i="3" s="1"/>
  <c r="I3082" i="3" a="1"/>
  <c r="I3082" i="3" s="1"/>
  <c r="I3083" i="3" a="1"/>
  <c r="I3083" i="3" s="1"/>
  <c r="I3084" i="3" a="1"/>
  <c r="I3084" i="3" s="1"/>
  <c r="I3085" i="3" a="1"/>
  <c r="I3085" i="3" s="1"/>
  <c r="I3086" i="3" a="1"/>
  <c r="I3086" i="3" s="1"/>
  <c r="I3087" i="3" a="1"/>
  <c r="I3087" i="3" s="1"/>
  <c r="I3088" i="3" a="1"/>
  <c r="I3088" i="3" s="1"/>
  <c r="I3089" i="3" a="1"/>
  <c r="I3089" i="3" s="1"/>
  <c r="I3090" i="3" a="1"/>
  <c r="I3090" i="3" s="1"/>
  <c r="I3091" i="3" a="1"/>
  <c r="I3091" i="3" s="1"/>
  <c r="I3092" i="3" a="1"/>
  <c r="I3092" i="3" s="1"/>
  <c r="I3093" i="3" a="1"/>
  <c r="I3093" i="3" s="1"/>
  <c r="I3094" i="3" a="1"/>
  <c r="I3094" i="3" s="1"/>
  <c r="I3095" i="3" a="1"/>
  <c r="I3095" i="3" s="1"/>
  <c r="I3096" i="3" a="1"/>
  <c r="I3096" i="3" s="1"/>
  <c r="I3097" i="3" a="1"/>
  <c r="I3097" i="3" s="1"/>
  <c r="I3098" i="3" a="1"/>
  <c r="I3098" i="3" s="1"/>
  <c r="I3099" i="3" a="1"/>
  <c r="I3099" i="3" s="1"/>
  <c r="I3100" i="3" a="1"/>
  <c r="I3100" i="3" s="1"/>
  <c r="I3101" i="3" a="1"/>
  <c r="I3101" i="3" s="1"/>
  <c r="I3102" i="3" a="1"/>
  <c r="I3102" i="3" s="1"/>
  <c r="I3103" i="3" a="1"/>
  <c r="I3103" i="3" s="1"/>
  <c r="I3104" i="3" a="1"/>
  <c r="I3104" i="3" s="1"/>
  <c r="I3105" i="3" a="1"/>
  <c r="I3105" i="3" s="1"/>
  <c r="I3106" i="3" a="1"/>
  <c r="I3106" i="3" s="1"/>
  <c r="I3107" i="3" a="1"/>
  <c r="I3107" i="3" s="1"/>
  <c r="I3108" i="3" a="1"/>
  <c r="I3108" i="3" s="1"/>
  <c r="I3109" i="3" a="1"/>
  <c r="I3109" i="3" s="1"/>
  <c r="I3110" i="3" a="1"/>
  <c r="I3110" i="3" s="1"/>
  <c r="I3111" i="3" a="1"/>
  <c r="I3111" i="3" s="1"/>
  <c r="I3112" i="3" a="1"/>
  <c r="I3112" i="3" s="1"/>
  <c r="I3113" i="3" a="1"/>
  <c r="I3113" i="3" s="1"/>
  <c r="I3114" i="3" a="1"/>
  <c r="I3114" i="3" s="1"/>
  <c r="I3115" i="3" a="1"/>
  <c r="I3115" i="3" s="1"/>
  <c r="I3116" i="3" a="1"/>
  <c r="I3116" i="3" s="1"/>
  <c r="I3117" i="3" a="1"/>
  <c r="I3117" i="3" s="1"/>
  <c r="I3118" i="3" a="1"/>
  <c r="I3118" i="3" s="1"/>
  <c r="I3119" i="3" a="1"/>
  <c r="I3119" i="3" s="1"/>
  <c r="I3120" i="3" a="1"/>
  <c r="I3120" i="3" s="1"/>
  <c r="I3121" i="3" a="1"/>
  <c r="I3121" i="3" s="1"/>
  <c r="I3122" i="3" a="1"/>
  <c r="I3122" i="3" s="1"/>
  <c r="I3123" i="3" a="1"/>
  <c r="I3123" i="3" s="1"/>
  <c r="I3124" i="3" a="1"/>
  <c r="I3124" i="3" s="1"/>
  <c r="I3125" i="3" a="1"/>
  <c r="I3125" i="3" s="1"/>
  <c r="I3126" i="3" a="1"/>
  <c r="I3126" i="3" s="1"/>
  <c r="I3127" i="3" a="1"/>
  <c r="I3127" i="3" s="1"/>
  <c r="I3128" i="3" a="1"/>
  <c r="I3128" i="3" s="1"/>
  <c r="I3129" i="3" a="1"/>
  <c r="I3129" i="3" s="1"/>
  <c r="I3130" i="3" a="1"/>
  <c r="I3130" i="3" s="1"/>
  <c r="I3131" i="3" a="1"/>
  <c r="I3131" i="3" s="1"/>
  <c r="I3132" i="3" a="1"/>
  <c r="I3132" i="3" s="1"/>
  <c r="I3133" i="3" a="1"/>
  <c r="I3133" i="3" s="1"/>
  <c r="I3134" i="3" a="1"/>
  <c r="I3134" i="3" s="1"/>
  <c r="I3135" i="3" a="1"/>
  <c r="I3135" i="3" s="1"/>
  <c r="I3136" i="3" a="1"/>
  <c r="I3136" i="3" s="1"/>
  <c r="I3137" i="3" a="1"/>
  <c r="I3137" i="3" s="1"/>
  <c r="I3138" i="3" a="1"/>
  <c r="I3138" i="3" s="1"/>
  <c r="I3139" i="3" a="1"/>
  <c r="I3139" i="3" s="1"/>
  <c r="I3140" i="3" a="1"/>
  <c r="I3140" i="3" s="1"/>
  <c r="I3141" i="3" a="1"/>
  <c r="I3141" i="3" s="1"/>
  <c r="I3142" i="3" a="1"/>
  <c r="I3142" i="3" s="1"/>
  <c r="I3143" i="3" a="1"/>
  <c r="I3143" i="3" s="1"/>
  <c r="I3144" i="3" a="1"/>
  <c r="I3144" i="3" s="1"/>
  <c r="I3145" i="3" a="1"/>
  <c r="I3145" i="3" s="1"/>
  <c r="I3146" i="3" a="1"/>
  <c r="I3146" i="3" s="1"/>
  <c r="I3147" i="3" a="1"/>
  <c r="I3147" i="3" s="1"/>
  <c r="I3148" i="3" a="1"/>
  <c r="I3148" i="3" s="1"/>
  <c r="I3149" i="3" a="1"/>
  <c r="I3149" i="3" s="1"/>
  <c r="I3150" i="3" a="1"/>
  <c r="I3150" i="3" s="1"/>
  <c r="I3151" i="3" a="1"/>
  <c r="I3151" i="3" s="1"/>
  <c r="I3152" i="3" a="1"/>
  <c r="I3152" i="3" s="1"/>
  <c r="I3153" i="3" a="1"/>
  <c r="I3153" i="3" s="1"/>
  <c r="I3154" i="3" a="1"/>
  <c r="I3154" i="3" s="1"/>
  <c r="I3155" i="3" a="1"/>
  <c r="I3155" i="3" s="1"/>
  <c r="I3156" i="3" a="1"/>
  <c r="I3156" i="3" s="1"/>
  <c r="I3157" i="3" a="1"/>
  <c r="I3157" i="3" s="1"/>
  <c r="I3158" i="3" a="1"/>
  <c r="I3158" i="3" s="1"/>
  <c r="I3159" i="3" a="1"/>
  <c r="I3159" i="3" s="1"/>
  <c r="I3160" i="3" a="1"/>
  <c r="I3160" i="3" s="1"/>
  <c r="I3161" i="3" a="1"/>
  <c r="I3161" i="3" s="1"/>
  <c r="I3162" i="3" a="1"/>
  <c r="I3162" i="3" s="1"/>
  <c r="I3163" i="3" a="1"/>
  <c r="I3163" i="3" s="1"/>
  <c r="I3164" i="3" a="1"/>
  <c r="I3164" i="3" s="1"/>
  <c r="I3165" i="3" a="1"/>
  <c r="I3165" i="3" s="1"/>
  <c r="I3166" i="3" a="1"/>
  <c r="I3166" i="3" s="1"/>
  <c r="I3167" i="3" a="1"/>
  <c r="I3167" i="3" s="1"/>
  <c r="I3168" i="3" a="1"/>
  <c r="I3168" i="3" s="1"/>
  <c r="I3169" i="3" a="1"/>
  <c r="I3169" i="3" s="1"/>
  <c r="I3170" i="3" a="1"/>
  <c r="I3170" i="3" s="1"/>
  <c r="I3171" i="3" a="1"/>
  <c r="I3171" i="3" s="1"/>
  <c r="I3172" i="3" a="1"/>
  <c r="I3172" i="3" s="1"/>
  <c r="I3173" i="3" a="1"/>
  <c r="I3173" i="3" s="1"/>
  <c r="I3174" i="3" a="1"/>
  <c r="I3174" i="3" s="1"/>
  <c r="I3175" i="3" a="1"/>
  <c r="I3175" i="3" s="1"/>
  <c r="I3176" i="3" a="1"/>
  <c r="I3176" i="3" s="1"/>
  <c r="I3177" i="3" a="1"/>
  <c r="I3177" i="3" s="1"/>
  <c r="I3178" i="3" a="1"/>
  <c r="I3178" i="3" s="1"/>
  <c r="I3179" i="3" a="1"/>
  <c r="I3179" i="3" s="1"/>
  <c r="I3180" i="3" a="1"/>
  <c r="I3180" i="3" s="1"/>
  <c r="I3181" i="3" a="1"/>
  <c r="I3181" i="3" s="1"/>
  <c r="I3182" i="3" a="1"/>
  <c r="I3182" i="3" s="1"/>
  <c r="I3183" i="3" a="1"/>
  <c r="I3183" i="3" s="1"/>
  <c r="I3184" i="3" a="1"/>
  <c r="I3184" i="3" s="1"/>
  <c r="I3185" i="3" a="1"/>
  <c r="I3185" i="3" s="1"/>
  <c r="I3186" i="3" a="1"/>
  <c r="I3186" i="3" s="1"/>
  <c r="I3187" i="3" a="1"/>
  <c r="I3187" i="3" s="1"/>
  <c r="I3188" i="3" a="1"/>
  <c r="I3188" i="3" s="1"/>
  <c r="I3189" i="3" a="1"/>
  <c r="I3189" i="3" s="1"/>
  <c r="I3190" i="3" a="1"/>
  <c r="I3190" i="3" s="1"/>
  <c r="I3191" i="3" a="1"/>
  <c r="I3191" i="3" s="1"/>
  <c r="I3192" i="3" a="1"/>
  <c r="I3192" i="3" s="1"/>
  <c r="I3193" i="3" a="1"/>
  <c r="I3193" i="3" s="1"/>
  <c r="I3194" i="3" a="1"/>
  <c r="I3194" i="3" s="1"/>
  <c r="I3195" i="3" a="1"/>
  <c r="I3195" i="3" s="1"/>
  <c r="I3196" i="3" a="1"/>
  <c r="I3196" i="3" s="1"/>
  <c r="I3197" i="3" a="1"/>
  <c r="I3197" i="3" s="1"/>
  <c r="I3198" i="3" a="1"/>
  <c r="I3198" i="3" s="1"/>
  <c r="I3199" i="3" a="1"/>
  <c r="I3199" i="3" s="1"/>
  <c r="I3200" i="3" a="1"/>
  <c r="I3200" i="3" s="1"/>
  <c r="I3201" i="3" a="1"/>
  <c r="I3201" i="3" s="1"/>
  <c r="I3202" i="3" a="1"/>
  <c r="I3202" i="3" s="1"/>
  <c r="I3203" i="3" a="1"/>
  <c r="I3203" i="3" s="1"/>
  <c r="I3204" i="3" a="1"/>
  <c r="I3204" i="3" s="1"/>
  <c r="I3205" i="3" a="1"/>
  <c r="I3205" i="3" s="1"/>
  <c r="I3206" i="3" a="1"/>
  <c r="I3206" i="3" s="1"/>
  <c r="I3207" i="3" a="1"/>
  <c r="I3207" i="3" s="1"/>
  <c r="I3208" i="3" a="1"/>
  <c r="I3208" i="3" s="1"/>
  <c r="I3209" i="3" a="1"/>
  <c r="I3209" i="3" s="1"/>
  <c r="I3210" i="3" a="1"/>
  <c r="I3210" i="3" s="1"/>
  <c r="I3211" i="3" a="1"/>
  <c r="I3211" i="3" s="1"/>
  <c r="I3212" i="3" a="1"/>
  <c r="I3212" i="3" s="1"/>
  <c r="I3213" i="3" a="1"/>
  <c r="I3213" i="3" s="1"/>
  <c r="I3214" i="3" a="1"/>
  <c r="I3214" i="3" s="1"/>
  <c r="I3215" i="3" a="1"/>
  <c r="I3215" i="3" s="1"/>
  <c r="I3216" i="3" a="1"/>
  <c r="I3216" i="3" s="1"/>
  <c r="I3217" i="3" a="1"/>
  <c r="I3217" i="3" s="1"/>
  <c r="I3218" i="3" a="1"/>
  <c r="I3218" i="3" s="1"/>
  <c r="I3219" i="3" a="1"/>
  <c r="I3219" i="3" s="1"/>
  <c r="I3220" i="3" a="1"/>
  <c r="I3220" i="3" s="1"/>
  <c r="I3221" i="3" a="1"/>
  <c r="I3221" i="3" s="1"/>
  <c r="I3222" i="3" a="1"/>
  <c r="I3222" i="3" s="1"/>
  <c r="I3223" i="3" a="1"/>
  <c r="I3223" i="3" s="1"/>
  <c r="I3224" i="3" a="1"/>
  <c r="I3224" i="3" s="1"/>
  <c r="I3225" i="3" a="1"/>
  <c r="I3225" i="3" s="1"/>
  <c r="I3226" i="3" a="1"/>
  <c r="I3226" i="3" s="1"/>
  <c r="I3227" i="3" a="1"/>
  <c r="I3227" i="3" s="1"/>
  <c r="I3228" i="3" a="1"/>
  <c r="I3228" i="3" s="1"/>
  <c r="I3229" i="3" a="1"/>
  <c r="I3229" i="3" s="1"/>
  <c r="I3230" i="3" a="1"/>
  <c r="I3230" i="3" s="1"/>
  <c r="I3231" i="3" a="1"/>
  <c r="I3231" i="3" s="1"/>
  <c r="I3232" i="3" a="1"/>
  <c r="I3232" i="3" s="1"/>
  <c r="I3233" i="3" a="1"/>
  <c r="I3233" i="3" s="1"/>
  <c r="I3234" i="3" a="1"/>
  <c r="I3234" i="3" s="1"/>
  <c r="I3235" i="3" a="1"/>
  <c r="I3235" i="3" s="1"/>
  <c r="I3236" i="3" a="1"/>
  <c r="I3236" i="3" s="1"/>
  <c r="I3237" i="3" a="1"/>
  <c r="I3237" i="3" s="1"/>
  <c r="I3238" i="3" a="1"/>
  <c r="I3238" i="3" s="1"/>
  <c r="I3239" i="3" a="1"/>
  <c r="I3239" i="3" s="1"/>
  <c r="I3240" i="3" a="1"/>
  <c r="I3240" i="3" s="1"/>
  <c r="I3241" i="3" a="1"/>
  <c r="I3241" i="3" s="1"/>
  <c r="I3242" i="3" a="1"/>
  <c r="I3242" i="3" s="1"/>
  <c r="I3243" i="3" a="1"/>
  <c r="I3243" i="3" s="1"/>
  <c r="I3244" i="3" a="1"/>
  <c r="I3244" i="3" s="1"/>
  <c r="I3245" i="3" a="1"/>
  <c r="I3245" i="3" s="1"/>
  <c r="I3246" i="3" a="1"/>
  <c r="I3246" i="3" s="1"/>
  <c r="I3247" i="3" a="1"/>
  <c r="I3247" i="3" s="1"/>
  <c r="I3248" i="3" a="1"/>
  <c r="I3248" i="3" s="1"/>
  <c r="I3249" i="3" a="1"/>
  <c r="I3249" i="3" s="1"/>
  <c r="I3250" i="3" a="1"/>
  <c r="I3250" i="3" s="1"/>
  <c r="I3251" i="3" a="1"/>
  <c r="I3251" i="3" s="1"/>
  <c r="I3252" i="3" a="1"/>
  <c r="I3252" i="3" s="1"/>
  <c r="I3253" i="3" a="1"/>
  <c r="I3253" i="3" s="1"/>
  <c r="I3254" i="3" a="1"/>
  <c r="I3254" i="3" s="1"/>
  <c r="I3255" i="3" a="1"/>
  <c r="I3255" i="3" s="1"/>
  <c r="I3256" i="3" a="1"/>
  <c r="I3256" i="3" s="1"/>
  <c r="I3257" i="3" a="1"/>
  <c r="I3257" i="3" s="1"/>
  <c r="I3258" i="3" a="1"/>
  <c r="I3258" i="3" s="1"/>
  <c r="I3259" i="3" a="1"/>
  <c r="I3259" i="3" s="1"/>
  <c r="I3260" i="3" a="1"/>
  <c r="I3260" i="3" s="1"/>
  <c r="I3261" i="3" a="1"/>
  <c r="I3261" i="3" s="1"/>
  <c r="I3262" i="3" a="1"/>
  <c r="I3262" i="3" s="1"/>
  <c r="I3263" i="3" a="1"/>
  <c r="I3263" i="3" s="1"/>
  <c r="I3264" i="3" a="1"/>
  <c r="I3264" i="3" s="1"/>
  <c r="I3265" i="3" a="1"/>
  <c r="I3265" i="3" s="1"/>
  <c r="I3266" i="3" a="1"/>
  <c r="I3266" i="3" s="1"/>
  <c r="I3267" i="3" a="1"/>
  <c r="I3267" i="3" s="1"/>
  <c r="I3268" i="3" a="1"/>
  <c r="I3268" i="3" s="1"/>
  <c r="I3269" i="3" a="1"/>
  <c r="I3269" i="3" s="1"/>
  <c r="I3270" i="3" a="1"/>
  <c r="I3270" i="3" s="1"/>
  <c r="I3271" i="3" a="1"/>
  <c r="I3271" i="3" s="1"/>
  <c r="I3272" i="3" a="1"/>
  <c r="I3272" i="3" s="1"/>
  <c r="I3273" i="3" a="1"/>
  <c r="I3273" i="3" s="1"/>
  <c r="I3274" i="3" a="1"/>
  <c r="I3274" i="3" s="1"/>
  <c r="I3275" i="3" a="1"/>
  <c r="I3275" i="3" s="1"/>
  <c r="I3276" i="3" a="1"/>
  <c r="I3276" i="3" s="1"/>
  <c r="I3277" i="3" a="1"/>
  <c r="I3277" i="3" s="1"/>
  <c r="I3278" i="3" a="1"/>
  <c r="I3278" i="3" s="1"/>
  <c r="I3279" i="3" a="1"/>
  <c r="I3279" i="3" s="1"/>
  <c r="I3280" i="3" a="1"/>
  <c r="I3280" i="3" s="1"/>
  <c r="I3281" i="3" a="1"/>
  <c r="I3281" i="3" s="1"/>
  <c r="I3282" i="3" a="1"/>
  <c r="I3282" i="3" s="1"/>
  <c r="I3283" i="3" a="1"/>
  <c r="I3283" i="3" s="1"/>
  <c r="I3284" i="3" a="1"/>
  <c r="I3284" i="3" s="1"/>
  <c r="I3285" i="3" a="1"/>
  <c r="I3285" i="3" s="1"/>
  <c r="I3286" i="3" a="1"/>
  <c r="I3286" i="3" s="1"/>
  <c r="I3287" i="3" a="1"/>
  <c r="I3287" i="3" s="1"/>
  <c r="I3288" i="3" a="1"/>
  <c r="I3288" i="3" s="1"/>
  <c r="I3289" i="3" a="1"/>
  <c r="I3289" i="3" s="1"/>
  <c r="I3290" i="3" a="1"/>
  <c r="I3290" i="3" s="1"/>
  <c r="I3291" i="3" a="1"/>
  <c r="I3291" i="3" s="1"/>
  <c r="I3292" i="3" a="1"/>
  <c r="I3292" i="3" s="1"/>
  <c r="I3293" i="3" a="1"/>
  <c r="I3293" i="3" s="1"/>
  <c r="I3294" i="3" a="1"/>
  <c r="I3294" i="3" s="1"/>
  <c r="I3295" i="3" a="1"/>
  <c r="I3295" i="3" s="1"/>
  <c r="I3296" i="3" a="1"/>
  <c r="I3296" i="3" s="1"/>
  <c r="I3297" i="3" a="1"/>
  <c r="I3297" i="3" s="1"/>
  <c r="I3298" i="3" a="1"/>
  <c r="I3298" i="3" s="1"/>
  <c r="I3299" i="3" a="1"/>
  <c r="I3299" i="3" s="1"/>
  <c r="I3300" i="3" a="1"/>
  <c r="I3300" i="3" s="1"/>
  <c r="I3301" i="3" a="1"/>
  <c r="I3301" i="3" s="1"/>
  <c r="I3302" i="3" a="1"/>
  <c r="I3302" i="3" s="1"/>
  <c r="I3303" i="3" a="1"/>
  <c r="I3303" i="3" s="1"/>
  <c r="I3304" i="3" a="1"/>
  <c r="I3304" i="3" s="1"/>
  <c r="I3305" i="3" a="1"/>
  <c r="I3305" i="3" s="1"/>
  <c r="I3306" i="3" a="1"/>
  <c r="I3306" i="3" s="1"/>
  <c r="I3307" i="3" a="1"/>
  <c r="I3307" i="3" s="1"/>
  <c r="I3308" i="3" a="1"/>
  <c r="I3308" i="3" s="1"/>
  <c r="I3309" i="3" a="1"/>
  <c r="I3309" i="3" s="1"/>
  <c r="I3310" i="3" a="1"/>
  <c r="I3310" i="3" s="1"/>
  <c r="I3311" i="3" a="1"/>
  <c r="I3311" i="3" s="1"/>
  <c r="I3312" i="3" a="1"/>
  <c r="I3312" i="3" s="1"/>
  <c r="I3313" i="3" a="1"/>
  <c r="I3313" i="3" s="1"/>
  <c r="I3314" i="3" a="1"/>
  <c r="I3314" i="3" s="1"/>
  <c r="I3315" i="3" a="1"/>
  <c r="I3315" i="3" s="1"/>
  <c r="I3316" i="3" a="1"/>
  <c r="I3316" i="3" s="1"/>
  <c r="I3317" i="3" a="1"/>
  <c r="I3317" i="3" s="1"/>
  <c r="I3318" i="3" a="1"/>
  <c r="I3318" i="3" s="1"/>
  <c r="I3319" i="3" a="1"/>
  <c r="I3319" i="3" s="1"/>
  <c r="I3320" i="3" a="1"/>
  <c r="I3320" i="3" s="1"/>
  <c r="I3321" i="3" a="1"/>
  <c r="I3321" i="3" s="1"/>
  <c r="I3322" i="3" a="1"/>
  <c r="I3322" i="3" s="1"/>
  <c r="I3323" i="3" a="1"/>
  <c r="I3323" i="3" s="1"/>
  <c r="I3324" i="3" a="1"/>
  <c r="I3324" i="3" s="1"/>
  <c r="I3325" i="3" a="1"/>
  <c r="I3325" i="3" s="1"/>
  <c r="I3326" i="3" a="1"/>
  <c r="I3326" i="3" s="1"/>
  <c r="I3327" i="3" a="1"/>
  <c r="I3327" i="3" s="1"/>
  <c r="I3328" i="3" a="1"/>
  <c r="I3328" i="3" s="1"/>
  <c r="I3329" i="3" a="1"/>
  <c r="I3329" i="3" s="1"/>
  <c r="I3330" i="3" a="1"/>
  <c r="I3330" i="3" s="1"/>
  <c r="I3331" i="3" a="1"/>
  <c r="I3331" i="3" s="1"/>
  <c r="I3332" i="3" a="1"/>
  <c r="I3332" i="3" s="1"/>
  <c r="I3333" i="3" a="1"/>
  <c r="I3333" i="3" s="1"/>
  <c r="I3334" i="3" a="1"/>
  <c r="I3334" i="3" s="1"/>
  <c r="I3335" i="3" a="1"/>
  <c r="I3335" i="3" s="1"/>
  <c r="I3336" i="3" a="1"/>
  <c r="I3336" i="3" s="1"/>
  <c r="I3337" i="3" a="1"/>
  <c r="I3337" i="3" s="1"/>
  <c r="I3338" i="3" a="1"/>
  <c r="I3338" i="3" s="1"/>
  <c r="I3339" i="3" a="1"/>
  <c r="I3339" i="3" s="1"/>
  <c r="I3340" i="3" a="1"/>
  <c r="I3340" i="3" s="1"/>
  <c r="I3341" i="3" a="1"/>
  <c r="I3341" i="3" s="1"/>
  <c r="I3342" i="3" a="1"/>
  <c r="I3342" i="3" s="1"/>
  <c r="I3343" i="3" a="1"/>
  <c r="I3343" i="3" s="1"/>
  <c r="I3344" i="3" a="1"/>
  <c r="I3344" i="3" s="1"/>
  <c r="I3345" i="3" a="1"/>
  <c r="I3345" i="3" s="1"/>
  <c r="I3346" i="3" a="1"/>
  <c r="I3346" i="3" s="1"/>
  <c r="I3347" i="3" a="1"/>
  <c r="I3347" i="3" s="1"/>
  <c r="I3348" i="3" a="1"/>
  <c r="I3348" i="3" s="1"/>
  <c r="I3349" i="3" a="1"/>
  <c r="I3349" i="3" s="1"/>
  <c r="I3350" i="3" a="1"/>
  <c r="I3350" i="3" s="1"/>
  <c r="I3351" i="3" a="1"/>
  <c r="I3351" i="3" s="1"/>
  <c r="I3352" i="3" a="1"/>
  <c r="I3352" i="3" s="1"/>
  <c r="I3353" i="3" a="1"/>
  <c r="I3353" i="3" s="1"/>
  <c r="I3354" i="3" a="1"/>
  <c r="I3354" i="3" s="1"/>
  <c r="I3355" i="3" a="1"/>
  <c r="I3355" i="3" s="1"/>
  <c r="I3356" i="3" a="1"/>
  <c r="I3356" i="3" s="1"/>
  <c r="I3357" i="3" a="1"/>
  <c r="I3357" i="3" s="1"/>
  <c r="I3358" i="3" a="1"/>
  <c r="I3358" i="3" s="1"/>
  <c r="I3359" i="3" a="1"/>
  <c r="I3359" i="3" s="1"/>
  <c r="I3360" i="3" a="1"/>
  <c r="I3360" i="3" s="1"/>
  <c r="I3361" i="3" a="1"/>
  <c r="I3361" i="3" s="1"/>
  <c r="I3362" i="3" a="1"/>
  <c r="I3362" i="3" s="1"/>
  <c r="I3363" i="3" a="1"/>
  <c r="I3363" i="3" s="1"/>
  <c r="I3364" i="3" a="1"/>
  <c r="I3364" i="3" s="1"/>
  <c r="I3365" i="3" a="1"/>
  <c r="I3365" i="3" s="1"/>
  <c r="I3366" i="3" a="1"/>
  <c r="I3366" i="3" s="1"/>
  <c r="I3367" i="3" a="1"/>
  <c r="I3367" i="3" s="1"/>
  <c r="I3368" i="3" a="1"/>
  <c r="I3368" i="3" s="1"/>
  <c r="I3369" i="3" a="1"/>
  <c r="I3369" i="3" s="1"/>
  <c r="I3370" i="3" a="1"/>
  <c r="I3370" i="3" s="1"/>
  <c r="I3371" i="3" a="1"/>
  <c r="I3371" i="3" s="1"/>
  <c r="I3372" i="3" a="1"/>
  <c r="I3372" i="3" s="1"/>
  <c r="I3373" i="3" a="1"/>
  <c r="I3373" i="3" s="1"/>
  <c r="I3374" i="3" a="1"/>
  <c r="I3374" i="3" s="1"/>
  <c r="I3375" i="3" a="1"/>
  <c r="I3375" i="3" s="1"/>
  <c r="I3376" i="3" a="1"/>
  <c r="I3376" i="3" s="1"/>
  <c r="I3377" i="3" a="1"/>
  <c r="I3377" i="3" s="1"/>
  <c r="I3378" i="3" a="1"/>
  <c r="I3378" i="3" s="1"/>
  <c r="I3379" i="3" a="1"/>
  <c r="I3379" i="3" s="1"/>
  <c r="I3380" i="3" a="1"/>
  <c r="I3380" i="3" s="1"/>
  <c r="I3381" i="3" a="1"/>
  <c r="I3381" i="3" s="1"/>
  <c r="I3382" i="3" a="1"/>
  <c r="I3382" i="3" s="1"/>
  <c r="I3383" i="3" a="1"/>
  <c r="I3383" i="3" s="1"/>
  <c r="I3384" i="3" a="1"/>
  <c r="I3384" i="3" s="1"/>
  <c r="I3385" i="3" a="1"/>
  <c r="I3385" i="3" s="1"/>
  <c r="I3386" i="3" a="1"/>
  <c r="I3386" i="3" s="1"/>
  <c r="I3387" i="3" a="1"/>
  <c r="I3387" i="3" s="1"/>
  <c r="I3388" i="3" a="1"/>
  <c r="I3388" i="3" s="1"/>
  <c r="I3389" i="3" a="1"/>
  <c r="I3389" i="3" s="1"/>
  <c r="I3390" i="3" a="1"/>
  <c r="I3390" i="3" s="1"/>
  <c r="I3391" i="3" a="1"/>
  <c r="I3391" i="3" s="1"/>
  <c r="I3392" i="3" a="1"/>
  <c r="I3392" i="3" s="1"/>
  <c r="I3393" i="3" a="1"/>
  <c r="I3393" i="3" s="1"/>
  <c r="I3394" i="3" a="1"/>
  <c r="I3394" i="3" s="1"/>
  <c r="I3395" i="3" a="1"/>
  <c r="I3395" i="3" s="1"/>
  <c r="I3396" i="3" a="1"/>
  <c r="I3396" i="3" s="1"/>
  <c r="I3397" i="3" a="1"/>
  <c r="I3397" i="3" s="1"/>
  <c r="I3398" i="3" a="1"/>
  <c r="I3398" i="3" s="1"/>
  <c r="I3399" i="3" a="1"/>
  <c r="I3399" i="3" s="1"/>
  <c r="I3400" i="3" a="1"/>
  <c r="I3400" i="3" s="1"/>
  <c r="I3401" i="3" a="1"/>
  <c r="I3401" i="3" s="1"/>
  <c r="I3402" i="3" a="1"/>
  <c r="I3402" i="3" s="1"/>
  <c r="I3403" i="3" a="1"/>
  <c r="I3403" i="3" s="1"/>
  <c r="I3404" i="3" a="1"/>
  <c r="I3404" i="3" s="1"/>
  <c r="I3405" i="3" a="1"/>
  <c r="I3405" i="3" s="1"/>
  <c r="I3406" i="3" a="1"/>
  <c r="I3406" i="3" s="1"/>
  <c r="I3407" i="3" a="1"/>
  <c r="I3407" i="3" s="1"/>
  <c r="I3408" i="3" a="1"/>
  <c r="I3408" i="3" s="1"/>
  <c r="I3409" i="3" a="1"/>
  <c r="I3409" i="3" s="1"/>
  <c r="I3410" i="3" a="1"/>
  <c r="I3410" i="3" s="1"/>
  <c r="I3411" i="3" a="1"/>
  <c r="I3411" i="3" s="1"/>
  <c r="I3412" i="3" a="1"/>
  <c r="I3412" i="3" s="1"/>
  <c r="I3413" i="3" a="1"/>
  <c r="I3413" i="3" s="1"/>
  <c r="I3414" i="3" a="1"/>
  <c r="I3414" i="3" s="1"/>
  <c r="I3415" i="3" a="1"/>
  <c r="I3415" i="3" s="1"/>
  <c r="I3416" i="3" a="1"/>
  <c r="I3416" i="3" s="1"/>
  <c r="I3417" i="3" a="1"/>
  <c r="I3417" i="3" s="1"/>
  <c r="I3418" i="3" a="1"/>
  <c r="I3418" i="3" s="1"/>
  <c r="I3419" i="3" a="1"/>
  <c r="I3419" i="3" s="1"/>
  <c r="I3420" i="3" a="1"/>
  <c r="I3420" i="3" s="1"/>
  <c r="I3421" i="3" a="1"/>
  <c r="I3421" i="3" s="1"/>
  <c r="I3422" i="3" a="1"/>
  <c r="I3422" i="3" s="1"/>
  <c r="I3423" i="3" a="1"/>
  <c r="I3423" i="3" s="1"/>
  <c r="I3424" i="3" a="1"/>
  <c r="I3424" i="3" s="1"/>
  <c r="I3425" i="3" a="1"/>
  <c r="I3425" i="3" s="1"/>
  <c r="I3426" i="3" a="1"/>
  <c r="I3426" i="3" s="1"/>
  <c r="I3427" i="3" a="1"/>
  <c r="I3427" i="3" s="1"/>
  <c r="I3428" i="3" a="1"/>
  <c r="I3428" i="3" s="1"/>
  <c r="I3429" i="3" a="1"/>
  <c r="I3429" i="3" s="1"/>
  <c r="I3430" i="3" a="1"/>
  <c r="I3430" i="3" s="1"/>
  <c r="I3431" i="3" a="1"/>
  <c r="I3431" i="3" s="1"/>
  <c r="I3432" i="3" a="1"/>
  <c r="I3432" i="3" s="1"/>
  <c r="I3433" i="3" a="1"/>
  <c r="I3433" i="3" s="1"/>
  <c r="I3434" i="3" a="1"/>
  <c r="I3434" i="3" s="1"/>
  <c r="I3435" i="3" a="1"/>
  <c r="I3435" i="3" s="1"/>
  <c r="I3436" i="3" a="1"/>
  <c r="I3436" i="3" s="1"/>
  <c r="I3437" i="3" a="1"/>
  <c r="I3437" i="3" s="1"/>
  <c r="I3438" i="3" a="1"/>
  <c r="I3438" i="3" s="1"/>
  <c r="I3439" i="3" a="1"/>
  <c r="I3439" i="3" s="1"/>
  <c r="I3440" i="3" a="1"/>
  <c r="I3440" i="3" s="1"/>
  <c r="I3441" i="3" a="1"/>
  <c r="I3441" i="3" s="1"/>
  <c r="I3442" i="3" a="1"/>
  <c r="I3442" i="3" s="1"/>
  <c r="I3443" i="3" a="1"/>
  <c r="I3443" i="3" s="1"/>
  <c r="I3444" i="3" a="1"/>
  <c r="I3444" i="3" s="1"/>
  <c r="I3445" i="3" a="1"/>
  <c r="I3445" i="3" s="1"/>
  <c r="I3446" i="3" a="1"/>
  <c r="I3446" i="3" s="1"/>
  <c r="I3447" i="3" a="1"/>
  <c r="I3447" i="3" s="1"/>
  <c r="I3448" i="3" a="1"/>
  <c r="I3448" i="3" s="1"/>
  <c r="I3449" i="3" a="1"/>
  <c r="I3449" i="3" s="1"/>
  <c r="I3450" i="3" a="1"/>
  <c r="I3450" i="3" s="1"/>
  <c r="I3451" i="3" a="1"/>
  <c r="I3451" i="3" s="1"/>
  <c r="I3452" i="3" a="1"/>
  <c r="I3452" i="3" s="1"/>
  <c r="I3453" i="3" a="1"/>
  <c r="I3453" i="3" s="1"/>
  <c r="I3454" i="3" a="1"/>
  <c r="I3454" i="3" s="1"/>
  <c r="I3455" i="3" a="1"/>
  <c r="I3455" i="3" s="1"/>
  <c r="I3456" i="3" a="1"/>
  <c r="I3456" i="3" s="1"/>
  <c r="I3457" i="3" a="1"/>
  <c r="I3457" i="3" s="1"/>
  <c r="I3458" i="3" a="1"/>
  <c r="I3458" i="3" s="1"/>
  <c r="I3459" i="3" a="1"/>
  <c r="I3459" i="3" s="1"/>
  <c r="I3460" i="3" a="1"/>
  <c r="I3460" i="3" s="1"/>
  <c r="I3461" i="3" a="1"/>
  <c r="I3461" i="3" s="1"/>
  <c r="I3462" i="3" a="1"/>
  <c r="I3462" i="3" s="1"/>
  <c r="I3463" i="3" a="1"/>
  <c r="I3463" i="3" s="1"/>
  <c r="I3464" i="3" a="1"/>
  <c r="I3464" i="3" s="1"/>
  <c r="I3465" i="3" a="1"/>
  <c r="I3465" i="3" s="1"/>
  <c r="I3466" i="3" a="1"/>
  <c r="I3466" i="3" s="1"/>
  <c r="I3467" i="3" a="1"/>
  <c r="I3467" i="3" s="1"/>
  <c r="I3468" i="3" a="1"/>
  <c r="I3468" i="3" s="1"/>
  <c r="I3469" i="3" a="1"/>
  <c r="I3469" i="3" s="1"/>
  <c r="I3470" i="3" a="1"/>
  <c r="I3470" i="3" s="1"/>
  <c r="I3471" i="3" a="1"/>
  <c r="I3471" i="3" s="1"/>
  <c r="I3472" i="3" a="1"/>
  <c r="I3472" i="3" s="1"/>
  <c r="I3473" i="3" a="1"/>
  <c r="I3473" i="3" s="1"/>
  <c r="I3474" i="3" a="1"/>
  <c r="I3474" i="3" s="1"/>
  <c r="I3475" i="3" a="1"/>
  <c r="I3475" i="3" s="1"/>
  <c r="I3476" i="3" a="1"/>
  <c r="I3476" i="3" s="1"/>
  <c r="I3477" i="3" a="1"/>
  <c r="I3477" i="3" s="1"/>
  <c r="I3478" i="3" a="1"/>
  <c r="I3478" i="3" s="1"/>
  <c r="I3479" i="3" a="1"/>
  <c r="I3479" i="3" s="1"/>
  <c r="I3480" i="3" a="1"/>
  <c r="I3480" i="3" s="1"/>
  <c r="I3481" i="3" a="1"/>
  <c r="I3481" i="3" s="1"/>
  <c r="I3482" i="3" a="1"/>
  <c r="I3482" i="3" s="1"/>
  <c r="I3483" i="3" a="1"/>
  <c r="I3483" i="3" s="1"/>
  <c r="I3484" i="3" a="1"/>
  <c r="I3484" i="3" s="1"/>
  <c r="I3485" i="3" a="1"/>
  <c r="I3485" i="3" s="1"/>
  <c r="I3486" i="3" a="1"/>
  <c r="I3486" i="3" s="1"/>
  <c r="I3487" i="3" a="1"/>
  <c r="I3487" i="3" s="1"/>
  <c r="I3488" i="3" a="1"/>
  <c r="I3488" i="3" s="1"/>
  <c r="I3489" i="3" a="1"/>
  <c r="I3489" i="3" s="1"/>
  <c r="I3490" i="3" a="1"/>
  <c r="I3490" i="3" s="1"/>
  <c r="I3491" i="3" a="1"/>
  <c r="I3491" i="3" s="1"/>
  <c r="I3492" i="3" a="1"/>
  <c r="I3492" i="3" s="1"/>
  <c r="I3493" i="3" a="1"/>
  <c r="I3493" i="3" s="1"/>
  <c r="I3494" i="3" a="1"/>
  <c r="I3494" i="3" s="1"/>
  <c r="I3495" i="3" a="1"/>
  <c r="I3495" i="3" s="1"/>
  <c r="I3496" i="3" a="1"/>
  <c r="I3496" i="3" s="1"/>
  <c r="I3497" i="3" a="1"/>
  <c r="I3497" i="3" s="1"/>
  <c r="I3498" i="3" a="1"/>
  <c r="I3498" i="3" s="1"/>
  <c r="I3499" i="3" a="1"/>
  <c r="I3499" i="3" s="1"/>
  <c r="I3500" i="3" a="1"/>
  <c r="I3500" i="3" s="1"/>
  <c r="I3501" i="3" a="1"/>
  <c r="I3501" i="3" s="1"/>
  <c r="I3502" i="3" a="1"/>
  <c r="I3502" i="3" s="1"/>
  <c r="I3503" i="3" a="1"/>
  <c r="I3503" i="3" s="1"/>
  <c r="I3504" i="3" a="1"/>
  <c r="I3504" i="3" s="1"/>
  <c r="I3505" i="3" a="1"/>
  <c r="I3505" i="3" s="1"/>
  <c r="I3506" i="3" a="1"/>
  <c r="I3506" i="3" s="1"/>
  <c r="I3507" i="3" a="1"/>
  <c r="I3507" i="3" s="1"/>
  <c r="I3508" i="3" a="1"/>
  <c r="I3508" i="3" s="1"/>
  <c r="I3509" i="3" a="1"/>
  <c r="I3509" i="3" s="1"/>
  <c r="I3510" i="3" a="1"/>
  <c r="I3510" i="3" s="1"/>
  <c r="I3511" i="3" a="1"/>
  <c r="I3511" i="3" s="1"/>
  <c r="I3512" i="3" a="1"/>
  <c r="I3512" i="3" s="1"/>
  <c r="I3513" i="3" a="1"/>
  <c r="I3513" i="3" s="1"/>
  <c r="I3514" i="3" a="1"/>
  <c r="I3514" i="3" s="1"/>
  <c r="I3515" i="3" a="1"/>
  <c r="I3515" i="3" s="1"/>
  <c r="I3516" i="3" a="1"/>
  <c r="I3516" i="3" s="1"/>
  <c r="I3517" i="3" a="1"/>
  <c r="I3517" i="3" s="1"/>
  <c r="I3518" i="3" a="1"/>
  <c r="I3518" i="3" s="1"/>
  <c r="I3519" i="3" a="1"/>
  <c r="I3519" i="3" s="1"/>
  <c r="I3520" i="3" a="1"/>
  <c r="I3520" i="3" s="1"/>
  <c r="I3521" i="3" a="1"/>
  <c r="I3521" i="3" s="1"/>
  <c r="I3522" i="3" a="1"/>
  <c r="I3522" i="3" s="1"/>
  <c r="I3523" i="3" a="1"/>
  <c r="I3523" i="3" s="1"/>
  <c r="I3524" i="3" a="1"/>
  <c r="I3524" i="3" s="1"/>
  <c r="I3525" i="3" a="1"/>
  <c r="I3525" i="3" s="1"/>
  <c r="I3526" i="3" a="1"/>
  <c r="I3526" i="3" s="1"/>
  <c r="I3527" i="3" a="1"/>
  <c r="I3527" i="3" s="1"/>
  <c r="I3528" i="3" a="1"/>
  <c r="I3528" i="3" s="1"/>
  <c r="I3529" i="3" a="1"/>
  <c r="I3529" i="3" s="1"/>
  <c r="I3530" i="3" a="1"/>
  <c r="I3530" i="3" s="1"/>
  <c r="I3531" i="3" a="1"/>
  <c r="I3531" i="3" s="1"/>
  <c r="I3532" i="3" a="1"/>
  <c r="I3532" i="3" s="1"/>
  <c r="I3533" i="3" a="1"/>
  <c r="I3533" i="3" s="1"/>
  <c r="I3534" i="3" a="1"/>
  <c r="I3534" i="3" s="1"/>
  <c r="I3535" i="3" a="1"/>
  <c r="I3535" i="3" s="1"/>
  <c r="I3536" i="3" a="1"/>
  <c r="I3536" i="3" s="1"/>
  <c r="I3537" i="3" a="1"/>
  <c r="I3537" i="3" s="1"/>
  <c r="I3538" i="3" a="1"/>
  <c r="I3538" i="3" s="1"/>
  <c r="I3539" i="3" a="1"/>
  <c r="I3539" i="3" s="1"/>
  <c r="I3540" i="3" a="1"/>
  <c r="I3540" i="3" s="1"/>
  <c r="I3541" i="3" a="1"/>
  <c r="I3541" i="3" s="1"/>
  <c r="I3542" i="3" a="1"/>
  <c r="I3542" i="3" s="1"/>
  <c r="I3543" i="3" a="1"/>
  <c r="I3543" i="3" s="1"/>
  <c r="I3544" i="3" a="1"/>
  <c r="I3544" i="3" s="1"/>
  <c r="I3545" i="3" a="1"/>
  <c r="I3545" i="3" s="1"/>
  <c r="I3546" i="3" a="1"/>
  <c r="I3546" i="3" s="1"/>
  <c r="I3547" i="3" a="1"/>
  <c r="I3547" i="3" s="1"/>
  <c r="I3548" i="3" a="1"/>
  <c r="I3548" i="3" s="1"/>
  <c r="I3549" i="3" a="1"/>
  <c r="I3549" i="3" s="1"/>
  <c r="I3550" i="3" a="1"/>
  <c r="I3550" i="3" s="1"/>
  <c r="I3551" i="3" a="1"/>
  <c r="I3551" i="3" s="1"/>
  <c r="I3552" i="3" a="1"/>
  <c r="I3552" i="3" s="1"/>
  <c r="I3553" i="3" a="1"/>
  <c r="I3553" i="3" s="1"/>
  <c r="I3554" i="3" a="1"/>
  <c r="I3554" i="3" s="1"/>
  <c r="I3555" i="3" a="1"/>
  <c r="I3555" i="3" s="1"/>
  <c r="I3556" i="3" a="1"/>
  <c r="I3556" i="3" s="1"/>
  <c r="I3557" i="3" a="1"/>
  <c r="I3557" i="3" s="1"/>
  <c r="I3558" i="3" a="1"/>
  <c r="I3558" i="3" s="1"/>
  <c r="I3559" i="3" a="1"/>
  <c r="I3559" i="3" s="1"/>
  <c r="I3560" i="3" a="1"/>
  <c r="I3560" i="3" s="1"/>
  <c r="I3561" i="3" a="1"/>
  <c r="I3561" i="3" s="1"/>
  <c r="I3562" i="3" a="1"/>
  <c r="I3562" i="3" s="1"/>
  <c r="I3563" i="3" a="1"/>
  <c r="I3563" i="3" s="1"/>
  <c r="I3564" i="3" a="1"/>
  <c r="I3564" i="3" s="1"/>
  <c r="I3565" i="3" a="1"/>
  <c r="I3565" i="3" s="1"/>
  <c r="I3566" i="3" a="1"/>
  <c r="I3566" i="3" s="1"/>
  <c r="I3567" i="3" a="1"/>
  <c r="I3567" i="3" s="1"/>
  <c r="I3568" i="3" a="1"/>
  <c r="I3568" i="3" s="1"/>
  <c r="I3569" i="3" a="1"/>
  <c r="I3569" i="3" s="1"/>
  <c r="I3570" i="3" a="1"/>
  <c r="I3570" i="3" s="1"/>
  <c r="I3571" i="3" a="1"/>
  <c r="I3571" i="3" s="1"/>
  <c r="I3572" i="3" a="1"/>
  <c r="I3572" i="3" s="1"/>
  <c r="I3573" i="3" a="1"/>
  <c r="I3573" i="3" s="1"/>
  <c r="I3574" i="3" a="1"/>
  <c r="I3574" i="3" s="1"/>
  <c r="I3575" i="3" a="1"/>
  <c r="I3575" i="3" s="1"/>
  <c r="I3576" i="3" a="1"/>
  <c r="I3576" i="3" s="1"/>
  <c r="I3577" i="3" a="1"/>
  <c r="I3577" i="3" s="1"/>
  <c r="I3578" i="3" a="1"/>
  <c r="I3578" i="3" s="1"/>
  <c r="I3579" i="3" a="1"/>
  <c r="I3579" i="3" s="1"/>
  <c r="I3580" i="3" a="1"/>
  <c r="I3580" i="3" s="1"/>
  <c r="I3581" i="3" a="1"/>
  <c r="I3581" i="3" s="1"/>
  <c r="I3582" i="3" a="1"/>
  <c r="I3582" i="3" s="1"/>
  <c r="I3583" i="3" a="1"/>
  <c r="I3583" i="3" s="1"/>
  <c r="I3584" i="3" a="1"/>
  <c r="I3584" i="3" s="1"/>
  <c r="I3585" i="3" a="1"/>
  <c r="I3585" i="3" s="1"/>
  <c r="I3586" i="3" a="1"/>
  <c r="I3586" i="3" s="1"/>
  <c r="I3587" i="3" a="1"/>
  <c r="I3587" i="3" s="1"/>
  <c r="I3588" i="3" a="1"/>
  <c r="I3588" i="3" s="1"/>
  <c r="I3589" i="3" a="1"/>
  <c r="I3589" i="3" s="1"/>
  <c r="I3590" i="3" a="1"/>
  <c r="I3590" i="3" s="1"/>
  <c r="I3591" i="3" a="1"/>
  <c r="I3591" i="3" s="1"/>
  <c r="I3592" i="3" a="1"/>
  <c r="I3592" i="3" s="1"/>
  <c r="I3593" i="3" a="1"/>
  <c r="I3593" i="3" s="1"/>
  <c r="I3594" i="3" a="1"/>
  <c r="I3594" i="3" s="1"/>
  <c r="I3595" i="3" a="1"/>
  <c r="I3595" i="3" s="1"/>
  <c r="I3596" i="3" a="1"/>
  <c r="I3596" i="3" s="1"/>
  <c r="I3597" i="3" a="1"/>
  <c r="I3597" i="3" s="1"/>
  <c r="I3598" i="3" a="1"/>
  <c r="I3598" i="3" s="1"/>
  <c r="I3599" i="3" a="1"/>
  <c r="I3599" i="3" s="1"/>
  <c r="I3600" i="3" a="1"/>
  <c r="I3600" i="3" s="1"/>
  <c r="I3601" i="3" a="1"/>
  <c r="I3601" i="3" s="1"/>
  <c r="I3602" i="3" a="1"/>
  <c r="I3602" i="3" s="1"/>
  <c r="I3603" i="3" a="1"/>
  <c r="I3603" i="3" s="1"/>
  <c r="I3604" i="3" a="1"/>
  <c r="I3604" i="3" s="1"/>
  <c r="I3605" i="3" a="1"/>
  <c r="I3605" i="3" s="1"/>
  <c r="I3606" i="3" a="1"/>
  <c r="I3606" i="3" s="1"/>
  <c r="I3607" i="3" a="1"/>
  <c r="I3607" i="3" s="1"/>
  <c r="I3608" i="3" a="1"/>
  <c r="I3608" i="3" s="1"/>
  <c r="I3609" i="3" a="1"/>
  <c r="I3609" i="3" s="1"/>
  <c r="I3610" i="3" a="1"/>
  <c r="I3610" i="3" s="1"/>
  <c r="I3611" i="3" a="1"/>
  <c r="I3611" i="3" s="1"/>
  <c r="I3612" i="3" a="1"/>
  <c r="I3612" i="3" s="1"/>
  <c r="I3613" i="3" a="1"/>
  <c r="I3613" i="3" s="1"/>
  <c r="I3614" i="3" a="1"/>
  <c r="I3614" i="3" s="1"/>
  <c r="I3615" i="3" a="1"/>
  <c r="I3615" i="3" s="1"/>
  <c r="I3616" i="3" a="1"/>
  <c r="I3616" i="3" s="1"/>
  <c r="I3617" i="3" a="1"/>
  <c r="I3617" i="3" s="1"/>
  <c r="I3618" i="3" a="1"/>
  <c r="I3618" i="3" s="1"/>
  <c r="I3619" i="3" a="1"/>
  <c r="I3619" i="3" s="1"/>
  <c r="I3620" i="3" a="1"/>
  <c r="I3620" i="3" s="1"/>
  <c r="I3621" i="3" a="1"/>
  <c r="I3621" i="3" s="1"/>
  <c r="I3622" i="3" a="1"/>
  <c r="I3622" i="3" s="1"/>
  <c r="I3623" i="3" a="1"/>
  <c r="I3623" i="3" s="1"/>
  <c r="I3624" i="3" a="1"/>
  <c r="I3624" i="3" s="1"/>
  <c r="I3625" i="3" a="1"/>
  <c r="I3625" i="3" s="1"/>
  <c r="I3626" i="3" a="1"/>
  <c r="I3626" i="3" s="1"/>
  <c r="I3627" i="3" a="1"/>
  <c r="I3627" i="3" s="1"/>
  <c r="I3628" i="3" a="1"/>
  <c r="I3628" i="3" s="1"/>
  <c r="I3629" i="3" a="1"/>
  <c r="I3629" i="3" s="1"/>
  <c r="I3630" i="3" a="1"/>
  <c r="I3630" i="3" s="1"/>
  <c r="I3631" i="3" a="1"/>
  <c r="I3631" i="3" s="1"/>
  <c r="I3632" i="3" a="1"/>
  <c r="I3632" i="3" s="1"/>
  <c r="I3633" i="3" a="1"/>
  <c r="I3633" i="3" s="1"/>
  <c r="I3634" i="3" a="1"/>
  <c r="I3634" i="3" s="1"/>
  <c r="I3635" i="3" a="1"/>
  <c r="I3635" i="3" s="1"/>
  <c r="I3636" i="3" a="1"/>
  <c r="I3636" i="3" s="1"/>
  <c r="I3637" i="3" a="1"/>
  <c r="I3637" i="3" s="1"/>
  <c r="I3638" i="3" a="1"/>
  <c r="I3638" i="3" s="1"/>
  <c r="I3639" i="3" a="1"/>
  <c r="I3639" i="3" s="1"/>
  <c r="I3640" i="3" a="1"/>
  <c r="I3640" i="3" s="1"/>
  <c r="I3641" i="3" a="1"/>
  <c r="I3641" i="3" s="1"/>
  <c r="I3642" i="3" a="1"/>
  <c r="I3642" i="3" s="1"/>
  <c r="I3643" i="3" a="1"/>
  <c r="I3643" i="3" s="1"/>
  <c r="I3644" i="3" a="1"/>
  <c r="I3644" i="3" s="1"/>
  <c r="I3645" i="3" a="1"/>
  <c r="I3645" i="3" s="1"/>
  <c r="I3646" i="3" a="1"/>
  <c r="I3646" i="3" s="1"/>
  <c r="I3647" i="3" a="1"/>
  <c r="I3647" i="3" s="1"/>
  <c r="I3648" i="3" a="1"/>
  <c r="I3648" i="3" s="1"/>
  <c r="I3649" i="3" a="1"/>
  <c r="I3649" i="3" s="1"/>
  <c r="I3650" i="3" a="1"/>
  <c r="I3650" i="3" s="1"/>
  <c r="I3651" i="3" a="1"/>
  <c r="I3651" i="3" s="1"/>
  <c r="I3652" i="3" a="1"/>
  <c r="I3652" i="3" s="1"/>
  <c r="I3653" i="3" a="1"/>
  <c r="I3653" i="3" s="1"/>
  <c r="I3654" i="3" a="1"/>
  <c r="I3654" i="3" s="1"/>
  <c r="I3655" i="3" a="1"/>
  <c r="I3655" i="3" s="1"/>
  <c r="I3656" i="3" a="1"/>
  <c r="I3656" i="3" s="1"/>
  <c r="I3657" i="3" a="1"/>
  <c r="I3657" i="3" s="1"/>
  <c r="I3658" i="3" a="1"/>
  <c r="I3658" i="3" s="1"/>
  <c r="I3659" i="3" a="1"/>
  <c r="I3659" i="3" s="1"/>
  <c r="I3660" i="3" a="1"/>
  <c r="I3660" i="3" s="1"/>
  <c r="I3661" i="3" a="1"/>
  <c r="I3661" i="3" s="1"/>
  <c r="I3662" i="3" a="1"/>
  <c r="I3662" i="3" s="1"/>
  <c r="I3663" i="3" a="1"/>
  <c r="I3663" i="3" s="1"/>
  <c r="I3664" i="3" a="1"/>
  <c r="I3664" i="3" s="1"/>
  <c r="I3665" i="3" a="1"/>
  <c r="I3665" i="3" s="1"/>
  <c r="I3666" i="3" a="1"/>
  <c r="I3666" i="3" s="1"/>
  <c r="I3667" i="3" a="1"/>
  <c r="I3667" i="3" s="1"/>
  <c r="I3668" i="3" a="1"/>
  <c r="I3668" i="3" s="1"/>
  <c r="I3669" i="3" a="1"/>
  <c r="I3669" i="3" s="1"/>
  <c r="I3670" i="3" a="1"/>
  <c r="I3670" i="3" s="1"/>
  <c r="I3671" i="3" a="1"/>
  <c r="I3671" i="3" s="1"/>
  <c r="I3672" i="3" a="1"/>
  <c r="I3672" i="3" s="1"/>
  <c r="I3673" i="3" a="1"/>
  <c r="I3673" i="3" s="1"/>
  <c r="I3674" i="3" a="1"/>
  <c r="I3674" i="3" s="1"/>
  <c r="I3675" i="3" a="1"/>
  <c r="I3675" i="3" s="1"/>
  <c r="I3676" i="3" a="1"/>
  <c r="I3676" i="3" s="1"/>
  <c r="I3677" i="3" a="1"/>
  <c r="I3677" i="3" s="1"/>
  <c r="I3678" i="3" a="1"/>
  <c r="I3678" i="3" s="1"/>
  <c r="I3679" i="3" a="1"/>
  <c r="I3679" i="3" s="1"/>
  <c r="I3680" i="3" a="1"/>
  <c r="I3680" i="3" s="1"/>
  <c r="I3681" i="3" a="1"/>
  <c r="I3681" i="3" s="1"/>
  <c r="I3682" i="3" a="1"/>
  <c r="I3682" i="3" s="1"/>
  <c r="I3683" i="3" a="1"/>
  <c r="I3683" i="3" s="1"/>
  <c r="I3684" i="3" a="1"/>
  <c r="I3684" i="3" s="1"/>
  <c r="I3685" i="3" a="1"/>
  <c r="I3685" i="3" s="1"/>
  <c r="I3686" i="3" a="1"/>
  <c r="I3686" i="3" s="1"/>
  <c r="I3687" i="3" a="1"/>
  <c r="I3687" i="3" s="1"/>
  <c r="I3688" i="3" a="1"/>
  <c r="I3688" i="3" s="1"/>
  <c r="I3689" i="3" a="1"/>
  <c r="I3689" i="3" s="1"/>
  <c r="I3690" i="3" a="1"/>
  <c r="I3690" i="3" s="1"/>
  <c r="I3691" i="3" a="1"/>
  <c r="I3691" i="3" s="1"/>
  <c r="I3692" i="3" a="1"/>
  <c r="I3692" i="3" s="1"/>
  <c r="I3693" i="3" a="1"/>
  <c r="I3693" i="3" s="1"/>
  <c r="I3694" i="3" a="1"/>
  <c r="I3694" i="3" s="1"/>
  <c r="I3695" i="3" a="1"/>
  <c r="I3695" i="3" s="1"/>
  <c r="I3696" i="3" a="1"/>
  <c r="I3696" i="3" s="1"/>
  <c r="I3697" i="3" a="1"/>
  <c r="I3697" i="3" s="1"/>
  <c r="I3698" i="3" a="1"/>
  <c r="I3698" i="3" s="1"/>
  <c r="I3699" i="3" a="1"/>
  <c r="I3699" i="3" s="1"/>
  <c r="I3700" i="3" a="1"/>
  <c r="I3700" i="3" s="1"/>
  <c r="I3701" i="3" a="1"/>
  <c r="I3701" i="3" s="1"/>
  <c r="I3702" i="3" a="1"/>
  <c r="I3702" i="3" s="1"/>
  <c r="I3703" i="3" a="1"/>
  <c r="I3703" i="3" s="1"/>
  <c r="I3704" i="3" a="1"/>
  <c r="I3704" i="3" s="1"/>
  <c r="I3705" i="3" a="1"/>
  <c r="I3705" i="3" s="1"/>
  <c r="I3706" i="3" a="1"/>
  <c r="I3706" i="3" s="1"/>
  <c r="I3707" i="3" a="1"/>
  <c r="I3707" i="3" s="1"/>
  <c r="I3708" i="3" a="1"/>
  <c r="I3708" i="3" s="1"/>
  <c r="I3709" i="3" a="1"/>
  <c r="I3709" i="3" s="1"/>
  <c r="I3710" i="3" a="1"/>
  <c r="I3710" i="3" s="1"/>
  <c r="I3711" i="3" a="1"/>
  <c r="I3711" i="3" s="1"/>
  <c r="I3712" i="3" a="1"/>
  <c r="I3712" i="3" s="1"/>
  <c r="I3713" i="3" a="1"/>
  <c r="I3713" i="3" s="1"/>
  <c r="I3714" i="3" a="1"/>
  <c r="I3714" i="3" s="1"/>
  <c r="I3715" i="3" a="1"/>
  <c r="I3715" i="3" s="1"/>
  <c r="I3716" i="3" a="1"/>
  <c r="I3716" i="3" s="1"/>
  <c r="I3717" i="3" a="1"/>
  <c r="I3717" i="3" s="1"/>
  <c r="I3718" i="3" a="1"/>
  <c r="I3718" i="3" s="1"/>
  <c r="I3719" i="3" a="1"/>
  <c r="I3719" i="3" s="1"/>
  <c r="I3720" i="3" a="1"/>
  <c r="I3720" i="3" s="1"/>
  <c r="I3721" i="3" a="1"/>
  <c r="I3721" i="3" s="1"/>
  <c r="I3722" i="3" a="1"/>
  <c r="I3722" i="3" s="1"/>
  <c r="I3723" i="3" a="1"/>
  <c r="I3723" i="3" s="1"/>
  <c r="I3724" i="3" a="1"/>
  <c r="I3724" i="3" s="1"/>
  <c r="I3725" i="3" a="1"/>
  <c r="I3725" i="3" s="1"/>
  <c r="I3726" i="3" a="1"/>
  <c r="I3726" i="3" s="1"/>
  <c r="I3727" i="3" a="1"/>
  <c r="I3727" i="3" s="1"/>
  <c r="I3728" i="3" a="1"/>
  <c r="I3728" i="3" s="1"/>
  <c r="I3729" i="3" a="1"/>
  <c r="I3729" i="3" s="1"/>
  <c r="I3730" i="3" a="1"/>
  <c r="I3730" i="3" s="1"/>
  <c r="I3731" i="3" a="1"/>
  <c r="I3731" i="3" s="1"/>
  <c r="I3732" i="3" a="1"/>
  <c r="I3732" i="3" s="1"/>
  <c r="I3733" i="3" a="1"/>
  <c r="I3733" i="3" s="1"/>
  <c r="I3734" i="3" a="1"/>
  <c r="I3734" i="3" s="1"/>
  <c r="I3735" i="3" a="1"/>
  <c r="I3735" i="3" s="1"/>
  <c r="I3736" i="3" a="1"/>
  <c r="I3736" i="3" s="1"/>
  <c r="I3737" i="3" a="1"/>
  <c r="I3737" i="3" s="1"/>
  <c r="I3738" i="3" a="1"/>
  <c r="I3738" i="3" s="1"/>
  <c r="I3739" i="3" a="1"/>
  <c r="I3739" i="3" s="1"/>
  <c r="I3740" i="3" a="1"/>
  <c r="I3740" i="3" s="1"/>
  <c r="I3741" i="3" a="1"/>
  <c r="I3741" i="3" s="1"/>
  <c r="I3742" i="3" a="1"/>
  <c r="I3742" i="3" s="1"/>
  <c r="I3743" i="3" a="1"/>
  <c r="I3743" i="3" s="1"/>
  <c r="I3744" i="3" a="1"/>
  <c r="I3744" i="3" s="1"/>
  <c r="I3745" i="3" a="1"/>
  <c r="I3745" i="3" s="1"/>
  <c r="I3746" i="3" a="1"/>
  <c r="I3746" i="3" s="1"/>
  <c r="I3747" i="3" a="1"/>
  <c r="I3747" i="3" s="1"/>
  <c r="I3748" i="3" a="1"/>
  <c r="I3748" i="3" s="1"/>
  <c r="I3749" i="3" a="1"/>
  <c r="I3749" i="3" s="1"/>
  <c r="I3750" i="3" a="1"/>
  <c r="I3750" i="3" s="1"/>
  <c r="I3751" i="3" a="1"/>
  <c r="I3751" i="3" s="1"/>
  <c r="I3752" i="3" a="1"/>
  <c r="I3752" i="3" s="1"/>
  <c r="I3753" i="3" a="1"/>
  <c r="I3753" i="3" s="1"/>
  <c r="I3754" i="3" a="1"/>
  <c r="I3754" i="3" s="1"/>
  <c r="I3755" i="3" a="1"/>
  <c r="I3755" i="3" s="1"/>
  <c r="I3756" i="3" a="1"/>
  <c r="I3756" i="3" s="1"/>
  <c r="I3757" i="3" a="1"/>
  <c r="I3757" i="3" s="1"/>
  <c r="I3758" i="3" a="1"/>
  <c r="I3758" i="3" s="1"/>
  <c r="I3759" i="3" a="1"/>
  <c r="I3759" i="3" s="1"/>
  <c r="I3760" i="3" a="1"/>
  <c r="I3760" i="3" s="1"/>
  <c r="I3761" i="3" a="1"/>
  <c r="I3761" i="3" s="1"/>
  <c r="I3762" i="3" a="1"/>
  <c r="I3762" i="3" s="1"/>
  <c r="I3763" i="3" a="1"/>
  <c r="I3763" i="3" s="1"/>
  <c r="I3764" i="3" a="1"/>
  <c r="I3764" i="3" s="1"/>
  <c r="I3765" i="3" a="1"/>
  <c r="I3765" i="3" s="1"/>
  <c r="I3766" i="3" a="1"/>
  <c r="I3766" i="3" s="1"/>
  <c r="I3767" i="3" a="1"/>
  <c r="I3767" i="3" s="1"/>
  <c r="I3768" i="3" a="1"/>
  <c r="I3768" i="3" s="1"/>
  <c r="I3769" i="3" a="1"/>
  <c r="I3769" i="3" s="1"/>
  <c r="I3770" i="3" a="1"/>
  <c r="I3770" i="3" s="1"/>
  <c r="I3771" i="3" a="1"/>
  <c r="I3771" i="3" s="1"/>
  <c r="I3772" i="3" a="1"/>
  <c r="I3772" i="3" s="1"/>
  <c r="I3773" i="3" a="1"/>
  <c r="I3773" i="3" s="1"/>
  <c r="I3774" i="3" a="1"/>
  <c r="I3774" i="3" s="1"/>
  <c r="I3775" i="3" a="1"/>
  <c r="I3775" i="3" s="1"/>
  <c r="I3776" i="3" a="1"/>
  <c r="I3776" i="3" s="1"/>
  <c r="I3777" i="3" a="1"/>
  <c r="I3777" i="3" s="1"/>
  <c r="I3778" i="3" a="1"/>
  <c r="I3778" i="3" s="1"/>
  <c r="I3779" i="3" a="1"/>
  <c r="I3779" i="3" s="1"/>
  <c r="I3780" i="3" a="1"/>
  <c r="I3780" i="3" s="1"/>
  <c r="I3781" i="3" a="1"/>
  <c r="I3781" i="3" s="1"/>
  <c r="I3782" i="3" a="1"/>
  <c r="I3782" i="3" s="1"/>
  <c r="I3783" i="3" a="1"/>
  <c r="I3783" i="3" s="1"/>
  <c r="I3784" i="3" a="1"/>
  <c r="I3784" i="3" s="1"/>
  <c r="I3785" i="3" a="1"/>
  <c r="I3785" i="3" s="1"/>
  <c r="I3786" i="3" a="1"/>
  <c r="I3786" i="3" s="1"/>
  <c r="I3787" i="3" a="1"/>
  <c r="I3787" i="3" s="1"/>
  <c r="I3788" i="3" a="1"/>
  <c r="I3788" i="3" s="1"/>
  <c r="I3789" i="3" a="1"/>
  <c r="I3789" i="3" s="1"/>
  <c r="I3790" i="3" a="1"/>
  <c r="I3790" i="3" s="1"/>
  <c r="I3791" i="3" a="1"/>
  <c r="I3791" i="3" s="1"/>
  <c r="I3792" i="3" a="1"/>
  <c r="I3792" i="3" s="1"/>
  <c r="I3793" i="3" a="1"/>
  <c r="I3793" i="3" s="1"/>
  <c r="I3794" i="3" a="1"/>
  <c r="I3794" i="3" s="1"/>
  <c r="I3795" i="3" a="1"/>
  <c r="I3795" i="3" s="1"/>
  <c r="I3796" i="3" a="1"/>
  <c r="I3796" i="3" s="1"/>
  <c r="I3797" i="3" a="1"/>
  <c r="I3797" i="3" s="1"/>
  <c r="I3798" i="3" a="1"/>
  <c r="I3798" i="3" s="1"/>
  <c r="I3799" i="3" a="1"/>
  <c r="I3799" i="3" s="1"/>
  <c r="I3800" i="3" a="1"/>
  <c r="I3800" i="3" s="1"/>
  <c r="I3801" i="3" a="1"/>
  <c r="I3801" i="3" s="1"/>
  <c r="I3802" i="3" a="1"/>
  <c r="I3802" i="3" s="1"/>
  <c r="I3803" i="3" a="1"/>
  <c r="I3803" i="3" s="1"/>
  <c r="I3804" i="3" a="1"/>
  <c r="I3804" i="3" s="1"/>
  <c r="I3805" i="3" a="1"/>
  <c r="I3805" i="3" s="1"/>
  <c r="I3806" i="3" a="1"/>
  <c r="I3806" i="3" s="1"/>
  <c r="I3807" i="3" a="1"/>
  <c r="I3807" i="3" s="1"/>
  <c r="I3808" i="3" a="1"/>
  <c r="I3808" i="3" s="1"/>
  <c r="I3809" i="3" a="1"/>
  <c r="I3809" i="3" s="1"/>
  <c r="I3810" i="3" a="1"/>
  <c r="I3810" i="3" s="1"/>
  <c r="I3811" i="3" a="1"/>
  <c r="I3811" i="3" s="1"/>
  <c r="I3812" i="3" a="1"/>
  <c r="I3812" i="3" s="1"/>
  <c r="I3813" i="3" a="1"/>
  <c r="I3813" i="3" s="1"/>
  <c r="I3814" i="3" a="1"/>
  <c r="I3814" i="3" s="1"/>
  <c r="I3815" i="3" a="1"/>
  <c r="I3815" i="3" s="1"/>
  <c r="I3816" i="3" a="1"/>
  <c r="I3816" i="3" s="1"/>
  <c r="I3817" i="3" a="1"/>
  <c r="I3817" i="3" s="1"/>
  <c r="I3818" i="3" a="1"/>
  <c r="I3818" i="3" s="1"/>
  <c r="I3819" i="3" a="1"/>
  <c r="I3819" i="3" s="1"/>
  <c r="I3820" i="3" a="1"/>
  <c r="I3820" i="3" s="1"/>
  <c r="I3821" i="3" a="1"/>
  <c r="I3821" i="3" s="1"/>
  <c r="I3822" i="3" a="1"/>
  <c r="I3822" i="3" s="1"/>
  <c r="I3823" i="3" a="1"/>
  <c r="I3823" i="3" s="1"/>
  <c r="I3824" i="3" a="1"/>
  <c r="I3824" i="3" s="1"/>
  <c r="I3825" i="3" a="1"/>
  <c r="I3825" i="3" s="1"/>
  <c r="I3826" i="3" a="1"/>
  <c r="I3826" i="3" s="1"/>
  <c r="I3827" i="3" a="1"/>
  <c r="I3827" i="3" s="1"/>
  <c r="I3828" i="3" a="1"/>
  <c r="I3828" i="3" s="1"/>
  <c r="I3829" i="3" a="1"/>
  <c r="I3829" i="3" s="1"/>
  <c r="I3830" i="3" a="1"/>
  <c r="I3830" i="3" s="1"/>
  <c r="I3831" i="3" a="1"/>
  <c r="I3831" i="3" s="1"/>
  <c r="I3832" i="3" a="1"/>
  <c r="I3832" i="3" s="1"/>
  <c r="I3833" i="3" a="1"/>
  <c r="I3833" i="3" s="1"/>
  <c r="I3834" i="3" a="1"/>
  <c r="I3834" i="3" s="1"/>
  <c r="I3835" i="3" a="1"/>
  <c r="I3835" i="3" s="1"/>
  <c r="I3836" i="3" a="1"/>
  <c r="I3836" i="3" s="1"/>
  <c r="I3837" i="3" a="1"/>
  <c r="I3837" i="3" s="1"/>
  <c r="I3838" i="3" a="1"/>
  <c r="I3838" i="3" s="1"/>
  <c r="I3839" i="3" a="1"/>
  <c r="I3839" i="3" s="1"/>
  <c r="I3840" i="3" a="1"/>
  <c r="I3840" i="3" s="1"/>
  <c r="I3841" i="3" a="1"/>
  <c r="I3841" i="3" s="1"/>
  <c r="I3842" i="3" a="1"/>
  <c r="I3842" i="3" s="1"/>
  <c r="I3843" i="3" a="1"/>
  <c r="I3843" i="3" s="1"/>
  <c r="I3844" i="3" a="1"/>
  <c r="I3844" i="3" s="1"/>
  <c r="I3845" i="3" a="1"/>
  <c r="I3845" i="3" s="1"/>
  <c r="I3846" i="3" a="1"/>
  <c r="I3846" i="3" s="1"/>
  <c r="I3847" i="3" a="1"/>
  <c r="I3847" i="3" s="1"/>
  <c r="I3848" i="3" a="1"/>
  <c r="I3848" i="3" s="1"/>
  <c r="I3849" i="3" a="1"/>
  <c r="I3849" i="3" s="1"/>
  <c r="I3850" i="3" a="1"/>
  <c r="I3850" i="3" s="1"/>
  <c r="I3851" i="3" a="1"/>
  <c r="I3851" i="3" s="1"/>
  <c r="I3852" i="3" a="1"/>
  <c r="I3852" i="3" s="1"/>
  <c r="I3853" i="3" a="1"/>
  <c r="I3853" i="3" s="1"/>
  <c r="I3854" i="3" a="1"/>
  <c r="I3854" i="3" s="1"/>
  <c r="I3855" i="3" a="1"/>
  <c r="I3855" i="3" s="1"/>
  <c r="I3856" i="3" a="1"/>
  <c r="I3856" i="3" s="1"/>
  <c r="I3857" i="3" a="1"/>
  <c r="I3857" i="3" s="1"/>
  <c r="I3858" i="3" a="1"/>
  <c r="I3858" i="3" s="1"/>
  <c r="I3859" i="3" a="1"/>
  <c r="I3859" i="3" s="1"/>
  <c r="I3860" i="3" a="1"/>
  <c r="I3860" i="3" s="1"/>
  <c r="I3861" i="3" a="1"/>
  <c r="I3861" i="3" s="1"/>
  <c r="I3862" i="3" a="1"/>
  <c r="I3862" i="3" s="1"/>
  <c r="I3863" i="3" a="1"/>
  <c r="I3863" i="3" s="1"/>
  <c r="I3864" i="3" a="1"/>
  <c r="I3864" i="3" s="1"/>
  <c r="I3865" i="3" a="1"/>
  <c r="I3865" i="3" s="1"/>
  <c r="I3866" i="3" a="1"/>
  <c r="I3866" i="3" s="1"/>
  <c r="I3867" i="3" a="1"/>
  <c r="I3867" i="3" s="1"/>
  <c r="I3868" i="3" a="1"/>
  <c r="I3868" i="3" s="1"/>
  <c r="I3869" i="3" a="1"/>
  <c r="I3869" i="3" s="1"/>
  <c r="I3870" i="3" a="1"/>
  <c r="I3870" i="3" s="1"/>
  <c r="I3871" i="3" a="1"/>
  <c r="I3871" i="3" s="1"/>
  <c r="I3872" i="3" a="1"/>
  <c r="I3872" i="3" s="1"/>
  <c r="I3873" i="3" a="1"/>
  <c r="I3873" i="3" s="1"/>
  <c r="I3874" i="3" a="1"/>
  <c r="I3874" i="3" s="1"/>
  <c r="I3875" i="3" a="1"/>
  <c r="I3875" i="3" s="1"/>
  <c r="I3876" i="3" a="1"/>
  <c r="I3876" i="3" s="1"/>
  <c r="I3877" i="3" a="1"/>
  <c r="I3877" i="3" s="1"/>
  <c r="I3878" i="3" a="1"/>
  <c r="I3878" i="3" s="1"/>
  <c r="I3879" i="3" a="1"/>
  <c r="I3879" i="3" s="1"/>
  <c r="I3880" i="3" a="1"/>
  <c r="I3880" i="3" s="1"/>
  <c r="I3881" i="3" a="1"/>
  <c r="I3881" i="3" s="1"/>
  <c r="I3882" i="3" a="1"/>
  <c r="I3882" i="3" s="1"/>
  <c r="I3883" i="3" a="1"/>
  <c r="I3883" i="3" s="1"/>
  <c r="I3884" i="3" a="1"/>
  <c r="I3884" i="3" s="1"/>
  <c r="I3885" i="3" a="1"/>
  <c r="I3885" i="3" s="1"/>
  <c r="I3886" i="3" a="1"/>
  <c r="I3886" i="3" s="1"/>
  <c r="I3887" i="3" a="1"/>
  <c r="I3887" i="3" s="1"/>
  <c r="I3888" i="3" a="1"/>
  <c r="I3888" i="3" s="1"/>
  <c r="I3889" i="3" a="1"/>
  <c r="I3889" i="3" s="1"/>
  <c r="I3890" i="3" a="1"/>
  <c r="I3890" i="3" s="1"/>
  <c r="I3891" i="3" a="1"/>
  <c r="I3891" i="3" s="1"/>
  <c r="I3892" i="3" a="1"/>
  <c r="I3892" i="3" s="1"/>
  <c r="I3893" i="3" a="1"/>
  <c r="I3893" i="3" s="1"/>
  <c r="I3894" i="3" a="1"/>
  <c r="I3894" i="3" s="1"/>
  <c r="I3895" i="3" a="1"/>
  <c r="I3895" i="3" s="1"/>
  <c r="I3896" i="3" a="1"/>
  <c r="I3896" i="3" s="1"/>
  <c r="I3897" i="3" a="1"/>
  <c r="I3897" i="3" s="1"/>
  <c r="I3898" i="3" a="1"/>
  <c r="I3898" i="3" s="1"/>
  <c r="I3899" i="3" a="1"/>
  <c r="I3899" i="3" s="1"/>
  <c r="I3900" i="3" a="1"/>
  <c r="I3900" i="3" s="1"/>
  <c r="I3901" i="3" a="1"/>
  <c r="I3901" i="3" s="1"/>
  <c r="I3902" i="3" a="1"/>
  <c r="I3902" i="3" s="1"/>
  <c r="I3903" i="3" a="1"/>
  <c r="I3903" i="3" s="1"/>
  <c r="I3904" i="3" a="1"/>
  <c r="I3904" i="3" s="1"/>
  <c r="I3905" i="3" a="1"/>
  <c r="I3905" i="3" s="1"/>
  <c r="I3906" i="3" a="1"/>
  <c r="I3906" i="3" s="1"/>
  <c r="I3907" i="3" a="1"/>
  <c r="I3907" i="3" s="1"/>
  <c r="I3908" i="3" a="1"/>
  <c r="I3908" i="3" s="1"/>
  <c r="I3909" i="3" a="1"/>
  <c r="I3909" i="3" s="1"/>
  <c r="I3910" i="3" a="1"/>
  <c r="I3910" i="3" s="1"/>
  <c r="I3911" i="3" a="1"/>
  <c r="I3911" i="3" s="1"/>
  <c r="I3912" i="3" a="1"/>
  <c r="I3912" i="3" s="1"/>
  <c r="I3913" i="3" a="1"/>
  <c r="I3913" i="3" s="1"/>
  <c r="I3914" i="3" a="1"/>
  <c r="I3914" i="3" s="1"/>
  <c r="I3915" i="3" a="1"/>
  <c r="I3915" i="3" s="1"/>
  <c r="I3916" i="3" a="1"/>
  <c r="I3916" i="3" s="1"/>
  <c r="I3917" i="3" a="1"/>
  <c r="I3917" i="3" s="1"/>
  <c r="I3918" i="3" a="1"/>
  <c r="I3918" i="3" s="1"/>
  <c r="I3919" i="3" a="1"/>
  <c r="I3919" i="3" s="1"/>
  <c r="I3920" i="3" a="1"/>
  <c r="I3920" i="3" s="1"/>
  <c r="I3921" i="3" a="1"/>
  <c r="I3921" i="3" s="1"/>
  <c r="I3922" i="3" a="1"/>
  <c r="I3922" i="3" s="1"/>
  <c r="I3923" i="3" a="1"/>
  <c r="I3923" i="3" s="1"/>
  <c r="I3924" i="3" a="1"/>
  <c r="I3924" i="3" s="1"/>
  <c r="I3925" i="3" a="1"/>
  <c r="I3925" i="3" s="1"/>
  <c r="I3926" i="3" a="1"/>
  <c r="I3926" i="3" s="1"/>
  <c r="I3927" i="3" a="1"/>
  <c r="I3927" i="3" s="1"/>
  <c r="I3928" i="3" a="1"/>
  <c r="I3928" i="3" s="1"/>
  <c r="I3929" i="3" a="1"/>
  <c r="I3929" i="3" s="1"/>
  <c r="I3930" i="3" a="1"/>
  <c r="I3930" i="3" s="1"/>
  <c r="I3931" i="3" a="1"/>
  <c r="I3931" i="3" s="1"/>
  <c r="I3932" i="3" a="1"/>
  <c r="I3932" i="3" s="1"/>
  <c r="I3933" i="3" a="1"/>
  <c r="I3933" i="3" s="1"/>
  <c r="I3934" i="3" a="1"/>
  <c r="I3934" i="3" s="1"/>
  <c r="I3935" i="3" a="1"/>
  <c r="I3935" i="3" s="1"/>
  <c r="I3936" i="3" a="1"/>
  <c r="I3936" i="3" s="1"/>
  <c r="I3937" i="3" a="1"/>
  <c r="I3937" i="3" s="1"/>
  <c r="I3938" i="3" a="1"/>
  <c r="I3938" i="3" s="1"/>
  <c r="I3939" i="3" a="1"/>
  <c r="I3939" i="3" s="1"/>
  <c r="I3940" i="3" a="1"/>
  <c r="I3940" i="3" s="1"/>
  <c r="I3941" i="3" a="1"/>
  <c r="I3941" i="3" s="1"/>
  <c r="I3942" i="3" a="1"/>
  <c r="I3942" i="3" s="1"/>
  <c r="I3943" i="3" a="1"/>
  <c r="I3943" i="3" s="1"/>
  <c r="I3944" i="3" a="1"/>
  <c r="I3944" i="3" s="1"/>
  <c r="I3945" i="3" a="1"/>
  <c r="I3945" i="3" s="1"/>
  <c r="I3946" i="3" a="1"/>
  <c r="I3946" i="3" s="1"/>
  <c r="I3947" i="3" a="1"/>
  <c r="I3947" i="3" s="1"/>
  <c r="I3948" i="3" a="1"/>
  <c r="I3948" i="3" s="1"/>
  <c r="I3949" i="3" a="1"/>
  <c r="I3949" i="3" s="1"/>
  <c r="I3950" i="3" a="1"/>
  <c r="I3950" i="3" s="1"/>
  <c r="I3951" i="3" a="1"/>
  <c r="I3951" i="3" s="1"/>
  <c r="I3952" i="3" a="1"/>
  <c r="I3952" i="3" s="1"/>
  <c r="I3953" i="3" a="1"/>
  <c r="I3953" i="3" s="1"/>
  <c r="I3954" i="3" a="1"/>
  <c r="I3954" i="3" s="1"/>
  <c r="I3955" i="3" a="1"/>
  <c r="I3955" i="3" s="1"/>
  <c r="I3956" i="3" a="1"/>
  <c r="I3956" i="3" s="1"/>
  <c r="I3957" i="3" a="1"/>
  <c r="I3957" i="3" s="1"/>
  <c r="I3958" i="3" a="1"/>
  <c r="I3958" i="3" s="1"/>
  <c r="I3959" i="3" a="1"/>
  <c r="I3959" i="3" s="1"/>
  <c r="I3960" i="3" a="1"/>
  <c r="I3960" i="3" s="1"/>
  <c r="I3961" i="3" a="1"/>
  <c r="I3961" i="3" s="1"/>
  <c r="I3962" i="3" a="1"/>
  <c r="I3962" i="3" s="1"/>
  <c r="I3963" i="3" a="1"/>
  <c r="I3963" i="3" s="1"/>
  <c r="I3964" i="3" a="1"/>
  <c r="I3964" i="3" s="1"/>
  <c r="I3965" i="3" a="1"/>
  <c r="I3965" i="3" s="1"/>
  <c r="I3966" i="3" a="1"/>
  <c r="I3966" i="3" s="1"/>
  <c r="I3967" i="3" a="1"/>
  <c r="I3967" i="3" s="1"/>
  <c r="I3968" i="3" a="1"/>
  <c r="I3968" i="3" s="1"/>
  <c r="I3969" i="3" a="1"/>
  <c r="I3969" i="3" s="1"/>
  <c r="I3970" i="3" a="1"/>
  <c r="I3970" i="3" s="1"/>
  <c r="I3971" i="3" a="1"/>
  <c r="I3971" i="3" s="1"/>
  <c r="I3972" i="3" a="1"/>
  <c r="I3972" i="3" s="1"/>
  <c r="I3973" i="3" a="1"/>
  <c r="I3973" i="3" s="1"/>
  <c r="I3974" i="3" a="1"/>
  <c r="I3974" i="3" s="1"/>
  <c r="I3975" i="3" a="1"/>
  <c r="I3975" i="3" s="1"/>
  <c r="I3976" i="3" a="1"/>
  <c r="I3976" i="3" s="1"/>
  <c r="I3977" i="3" a="1"/>
  <c r="I3977" i="3" s="1"/>
  <c r="I3978" i="3" a="1"/>
  <c r="I3978" i="3" s="1"/>
  <c r="I3979" i="3" a="1"/>
  <c r="I3979" i="3" s="1"/>
  <c r="I3980" i="3" a="1"/>
  <c r="I3980" i="3" s="1"/>
  <c r="I3981" i="3" a="1"/>
  <c r="I3981" i="3" s="1"/>
  <c r="I3982" i="3" a="1"/>
  <c r="I3982" i="3" s="1"/>
  <c r="I3983" i="3" a="1"/>
  <c r="I3983" i="3" s="1"/>
  <c r="I3984" i="3" a="1"/>
  <c r="I3984" i="3" s="1"/>
  <c r="I3985" i="3" a="1"/>
  <c r="I3985" i="3" s="1"/>
  <c r="I3986" i="3" a="1"/>
  <c r="I3986" i="3" s="1"/>
  <c r="I3987" i="3" a="1"/>
  <c r="I3987" i="3" s="1"/>
  <c r="I3988" i="3" a="1"/>
  <c r="I3988" i="3" s="1"/>
  <c r="I3989" i="3" a="1"/>
  <c r="I3989" i="3" s="1"/>
  <c r="I3990" i="3" a="1"/>
  <c r="I3990" i="3" s="1"/>
  <c r="I3991" i="3" a="1"/>
  <c r="I3991" i="3" s="1"/>
  <c r="I3992" i="3" a="1"/>
  <c r="I3992" i="3" s="1"/>
  <c r="I3993" i="3" a="1"/>
  <c r="I3993" i="3" s="1"/>
  <c r="I3994" i="3" a="1"/>
  <c r="I3994" i="3" s="1"/>
  <c r="I3995" i="3" a="1"/>
  <c r="I3995" i="3" s="1"/>
  <c r="I3996" i="3" a="1"/>
  <c r="I3996" i="3" s="1"/>
  <c r="I3997" i="3" a="1"/>
  <c r="I3997" i="3" s="1"/>
  <c r="I3998" i="3" a="1"/>
  <c r="I3998" i="3" s="1"/>
  <c r="I3999" i="3" a="1"/>
  <c r="I3999" i="3" s="1"/>
  <c r="I4000" i="3" a="1"/>
  <c r="I4000" i="3" s="1"/>
  <c r="I4001" i="3" a="1"/>
  <c r="I4001" i="3" s="1"/>
  <c r="I4002" i="3" a="1"/>
  <c r="I4002" i="3" s="1"/>
  <c r="I4003" i="3" a="1"/>
  <c r="I4003" i="3" s="1"/>
  <c r="I4004" i="3" a="1"/>
  <c r="I4004" i="3" s="1"/>
  <c r="I4005" i="3" a="1"/>
  <c r="I4005" i="3" s="1"/>
  <c r="I4006" i="3" a="1"/>
  <c r="I4006" i="3" s="1"/>
  <c r="I4007" i="3" a="1"/>
  <c r="I4007" i="3" s="1"/>
  <c r="I4008" i="3" a="1"/>
  <c r="I4008" i="3" s="1"/>
  <c r="I4009" i="3" a="1"/>
  <c r="I4009" i="3" s="1"/>
  <c r="I4010" i="3" a="1"/>
  <c r="I4010" i="3" s="1"/>
  <c r="I4011" i="3" a="1"/>
  <c r="I4011" i="3" s="1"/>
  <c r="I4012" i="3" a="1"/>
  <c r="I4012" i="3" s="1"/>
  <c r="I4013" i="3" a="1"/>
  <c r="I4013" i="3" s="1"/>
  <c r="I4014" i="3" a="1"/>
  <c r="I4014" i="3" s="1"/>
  <c r="I4015" i="3" a="1"/>
  <c r="I4015" i="3" s="1"/>
  <c r="I4016" i="3" a="1"/>
  <c r="I4016" i="3" s="1"/>
  <c r="I4017" i="3" a="1"/>
  <c r="I4017" i="3" s="1"/>
  <c r="I4018" i="3" a="1"/>
  <c r="I4018" i="3" s="1"/>
  <c r="I4019" i="3" a="1"/>
  <c r="I4019" i="3" s="1"/>
  <c r="I4020" i="3" a="1"/>
  <c r="I4020" i="3" s="1"/>
  <c r="I4021" i="3" a="1"/>
  <c r="I4021" i="3" s="1"/>
  <c r="I4022" i="3" a="1"/>
  <c r="I4022" i="3" s="1"/>
  <c r="I4023" i="3" a="1"/>
  <c r="I4023" i="3" s="1"/>
  <c r="I4024" i="3" a="1"/>
  <c r="I4024" i="3" s="1"/>
  <c r="I4025" i="3" a="1"/>
  <c r="I4025" i="3" s="1"/>
  <c r="I4026" i="3" a="1"/>
  <c r="I4026" i="3" s="1"/>
  <c r="I4027" i="3" a="1"/>
  <c r="I4027" i="3" s="1"/>
  <c r="I4028" i="3" a="1"/>
  <c r="I4028" i="3" s="1"/>
  <c r="I4029" i="3" a="1"/>
  <c r="I4029" i="3" s="1"/>
  <c r="I4030" i="3" a="1"/>
  <c r="I4030" i="3" s="1"/>
  <c r="I4031" i="3" a="1"/>
  <c r="I4031" i="3" s="1"/>
  <c r="I4032" i="3" a="1"/>
  <c r="I4032" i="3" s="1"/>
  <c r="I4033" i="3" a="1"/>
  <c r="I4033" i="3" s="1"/>
  <c r="I4034" i="3" a="1"/>
  <c r="I4034" i="3" s="1"/>
  <c r="I4035" i="3" a="1"/>
  <c r="I4035" i="3" s="1"/>
  <c r="I4036" i="3" a="1"/>
  <c r="I4036" i="3" s="1"/>
  <c r="I4037" i="3" a="1"/>
  <c r="I4037" i="3" s="1"/>
  <c r="I4038" i="3" a="1"/>
  <c r="I4038" i="3" s="1"/>
  <c r="I4039" i="3" a="1"/>
  <c r="I4039" i="3" s="1"/>
  <c r="I4040" i="3" a="1"/>
  <c r="I4040" i="3" s="1"/>
  <c r="I4041" i="3" a="1"/>
  <c r="I4041" i="3" s="1"/>
  <c r="I4042" i="3" a="1"/>
  <c r="I4042" i="3" s="1"/>
  <c r="I4043" i="3" a="1"/>
  <c r="I4043" i="3" s="1"/>
  <c r="I4044" i="3" a="1"/>
  <c r="I4044" i="3" s="1"/>
  <c r="I4045" i="3" a="1"/>
  <c r="I4045" i="3" s="1"/>
  <c r="I4046" i="3" a="1"/>
  <c r="I4046" i="3" s="1"/>
  <c r="I4047" i="3" a="1"/>
  <c r="I4047" i="3" s="1"/>
  <c r="I4048" i="3" a="1"/>
  <c r="I4048" i="3" s="1"/>
  <c r="I4049" i="3" a="1"/>
  <c r="I4049" i="3" s="1"/>
  <c r="I4050" i="3" a="1"/>
  <c r="I4050" i="3" s="1"/>
  <c r="I4051" i="3" a="1"/>
  <c r="I4051" i="3" s="1"/>
  <c r="I4052" i="3" a="1"/>
  <c r="I4052" i="3" s="1"/>
  <c r="I4053" i="3" a="1"/>
  <c r="I4053" i="3" s="1"/>
  <c r="I4054" i="3" a="1"/>
  <c r="I4054" i="3" s="1"/>
  <c r="I4055" i="3" a="1"/>
  <c r="I4055" i="3" s="1"/>
  <c r="I4056" i="3" a="1"/>
  <c r="I4056" i="3" s="1"/>
  <c r="I4057" i="3" a="1"/>
  <c r="I4057" i="3" s="1"/>
  <c r="I4058" i="3" a="1"/>
  <c r="I4058" i="3" s="1"/>
  <c r="I4059" i="3" a="1"/>
  <c r="I4059" i="3" s="1"/>
  <c r="I4060" i="3" a="1"/>
  <c r="I4060" i="3" s="1"/>
  <c r="I4061" i="3" a="1"/>
  <c r="I4061" i="3" s="1"/>
  <c r="I4062" i="3" a="1"/>
  <c r="I4062" i="3" s="1"/>
  <c r="I4063" i="3" a="1"/>
  <c r="I4063" i="3" s="1"/>
  <c r="I4064" i="3" a="1"/>
  <c r="I4064" i="3" s="1"/>
  <c r="I4065" i="3" a="1"/>
  <c r="I4065" i="3" s="1"/>
  <c r="I4066" i="3" a="1"/>
  <c r="I4066" i="3" s="1"/>
  <c r="I4067" i="3" a="1"/>
  <c r="I4067" i="3" s="1"/>
  <c r="I4068" i="3" a="1"/>
  <c r="I4068" i="3" s="1"/>
  <c r="I4069" i="3" a="1"/>
  <c r="I4069" i="3" s="1"/>
  <c r="I4070" i="3" a="1"/>
  <c r="I4070" i="3" s="1"/>
  <c r="I4071" i="3" a="1"/>
  <c r="I4071" i="3" s="1"/>
  <c r="I4072" i="3" a="1"/>
  <c r="I4072" i="3" s="1"/>
  <c r="I4073" i="3" a="1"/>
  <c r="I4073" i="3" s="1"/>
  <c r="I4074" i="3" a="1"/>
  <c r="I4074" i="3" s="1"/>
  <c r="I4075" i="3" a="1"/>
  <c r="I4075" i="3" s="1"/>
  <c r="I4076" i="3" a="1"/>
  <c r="I4076" i="3" s="1"/>
  <c r="I4077" i="3" a="1"/>
  <c r="I4077" i="3" s="1"/>
  <c r="I4078" i="3" a="1"/>
  <c r="I4078" i="3" s="1"/>
  <c r="I4079" i="3" a="1"/>
  <c r="I4079" i="3" s="1"/>
  <c r="I4080" i="3" a="1"/>
  <c r="I4080" i="3" s="1"/>
  <c r="I4081" i="3" a="1"/>
  <c r="I4081" i="3" s="1"/>
  <c r="I4082" i="3" a="1"/>
  <c r="I4082" i="3" s="1"/>
  <c r="I4083" i="3" a="1"/>
  <c r="I4083" i="3" s="1"/>
  <c r="I4084" i="3" a="1"/>
  <c r="I4084" i="3" s="1"/>
  <c r="I4085" i="3" a="1"/>
  <c r="I4085" i="3" s="1"/>
  <c r="I4086" i="3" a="1"/>
  <c r="I4086" i="3" s="1"/>
  <c r="I4087" i="3" a="1"/>
  <c r="I4087" i="3" s="1"/>
  <c r="I4088" i="3" a="1"/>
  <c r="I4088" i="3" s="1"/>
  <c r="I4089" i="3" a="1"/>
  <c r="I4089" i="3" s="1"/>
  <c r="I4090" i="3" a="1"/>
  <c r="I4090" i="3" s="1"/>
  <c r="I4091" i="3" a="1"/>
  <c r="I4091" i="3" s="1"/>
  <c r="I4092" i="3" a="1"/>
  <c r="I4092" i="3" s="1"/>
  <c r="I4093" i="3" a="1"/>
  <c r="I4093" i="3" s="1"/>
  <c r="I4094" i="3" a="1"/>
  <c r="I4094" i="3" s="1"/>
  <c r="I4095" i="3" a="1"/>
  <c r="I4095" i="3" s="1"/>
  <c r="I4096" i="3" a="1"/>
  <c r="I4096" i="3" s="1"/>
  <c r="I4097" i="3" a="1"/>
  <c r="I4097" i="3" s="1"/>
  <c r="I4098" i="3" a="1"/>
  <c r="I4098" i="3" s="1"/>
  <c r="I4099" i="3" a="1"/>
  <c r="I4099" i="3" s="1"/>
  <c r="I4100" i="3" a="1"/>
  <c r="I4100" i="3" s="1"/>
  <c r="I4101" i="3" a="1"/>
  <c r="I4101" i="3" s="1"/>
  <c r="I4102" i="3" a="1"/>
  <c r="I4102" i="3" s="1"/>
  <c r="I4103" i="3" a="1"/>
  <c r="I4103" i="3" s="1"/>
  <c r="I4104" i="3" a="1"/>
  <c r="I4104" i="3" s="1"/>
  <c r="I4105" i="3" a="1"/>
  <c r="I4105" i="3" s="1"/>
  <c r="I4106" i="3" a="1"/>
  <c r="I4106" i="3" s="1"/>
  <c r="I4107" i="3" a="1"/>
  <c r="I4107" i="3" s="1"/>
  <c r="I4108" i="3" a="1"/>
  <c r="I4108" i="3" s="1"/>
  <c r="I4109" i="3" a="1"/>
  <c r="I4109" i="3" s="1"/>
  <c r="I4110" i="3" a="1"/>
  <c r="I4110" i="3" s="1"/>
  <c r="I4111" i="3" a="1"/>
  <c r="I4111" i="3" s="1"/>
  <c r="I4112" i="3" a="1"/>
  <c r="I4112" i="3" s="1"/>
  <c r="I4113" i="3" a="1"/>
  <c r="I4113" i="3" s="1"/>
  <c r="I4114" i="3" a="1"/>
  <c r="I4114" i="3" s="1"/>
  <c r="I4115" i="3" a="1"/>
  <c r="I4115" i="3" s="1"/>
  <c r="I4116" i="3" a="1"/>
  <c r="I4116" i="3" s="1"/>
  <c r="I4117" i="3" a="1"/>
  <c r="I4117" i="3" s="1"/>
  <c r="I4118" i="3" a="1"/>
  <c r="I4118" i="3" s="1"/>
  <c r="I4119" i="3" a="1"/>
  <c r="I4119" i="3" s="1"/>
  <c r="I4120" i="3" a="1"/>
  <c r="I4120" i="3" s="1"/>
  <c r="I4121" i="3" a="1"/>
  <c r="I4121" i="3" s="1"/>
  <c r="I4122" i="3" a="1"/>
  <c r="I4122" i="3" s="1"/>
  <c r="I4123" i="3" a="1"/>
  <c r="I4123" i="3" s="1"/>
  <c r="I4124" i="3" a="1"/>
  <c r="I4124" i="3" s="1"/>
  <c r="I4125" i="3" a="1"/>
  <c r="I4125" i="3" s="1"/>
  <c r="I4126" i="3" a="1"/>
  <c r="I4126" i="3" s="1"/>
  <c r="I4127" i="3" a="1"/>
  <c r="I4127" i="3" s="1"/>
  <c r="I4128" i="3" a="1"/>
  <c r="I4128" i="3" s="1"/>
  <c r="I4129" i="3" a="1"/>
  <c r="I4129" i="3" s="1"/>
  <c r="I4130" i="3" a="1"/>
  <c r="I4130" i="3" s="1"/>
  <c r="I4131" i="3" a="1"/>
  <c r="I4131" i="3" s="1"/>
  <c r="I4132" i="3" a="1"/>
  <c r="I4132" i="3" s="1"/>
  <c r="I4133" i="3" a="1"/>
  <c r="I4133" i="3" s="1"/>
  <c r="I4134" i="3" a="1"/>
  <c r="I4134" i="3" s="1"/>
  <c r="I4135" i="3" a="1"/>
  <c r="I4135" i="3" s="1"/>
  <c r="I4136" i="3" a="1"/>
  <c r="I4136" i="3" s="1"/>
  <c r="I4137" i="3" a="1"/>
  <c r="I4137" i="3" s="1"/>
  <c r="I4138" i="3" a="1"/>
  <c r="I4138" i="3" s="1"/>
  <c r="I4139" i="3" a="1"/>
  <c r="I4139" i="3" s="1"/>
  <c r="I4140" i="3" a="1"/>
  <c r="I4140" i="3" s="1"/>
  <c r="I4141" i="3" a="1"/>
  <c r="I4141" i="3" s="1"/>
  <c r="I4142" i="3" a="1"/>
  <c r="I4142" i="3" s="1"/>
  <c r="I4143" i="3" a="1"/>
  <c r="I4143" i="3" s="1"/>
  <c r="I4144" i="3" a="1"/>
  <c r="I4144" i="3" s="1"/>
  <c r="I4145" i="3" a="1"/>
  <c r="I4145" i="3" s="1"/>
  <c r="I4146" i="3" a="1"/>
  <c r="I4146" i="3" s="1"/>
  <c r="I4147" i="3" a="1"/>
  <c r="I4147" i="3" s="1"/>
  <c r="I4148" i="3" a="1"/>
  <c r="I4148" i="3" s="1"/>
  <c r="I4149" i="3" a="1"/>
  <c r="I4149" i="3" s="1"/>
  <c r="I4150" i="3" a="1"/>
  <c r="I4150" i="3" s="1"/>
  <c r="I4151" i="3" a="1"/>
  <c r="I4151" i="3" s="1"/>
  <c r="I4152" i="3" a="1"/>
  <c r="I4152" i="3" s="1"/>
  <c r="I4153" i="3" a="1"/>
  <c r="I4153" i="3" s="1"/>
  <c r="I4154" i="3" a="1"/>
  <c r="I4154" i="3" s="1"/>
  <c r="I4155" i="3" a="1"/>
  <c r="I4155" i="3" s="1"/>
  <c r="I4156" i="3" a="1"/>
  <c r="I4156" i="3" s="1"/>
  <c r="I4157" i="3" a="1"/>
  <c r="I4157" i="3" s="1"/>
  <c r="I4158" i="3" a="1"/>
  <c r="I4158" i="3" s="1"/>
  <c r="I4159" i="3" a="1"/>
  <c r="I4159" i="3" s="1"/>
  <c r="I4160" i="3" a="1"/>
  <c r="I4160" i="3" s="1"/>
  <c r="I4161" i="3" a="1"/>
  <c r="I4161" i="3" s="1"/>
  <c r="I4162" i="3" a="1"/>
  <c r="I4162" i="3" s="1"/>
  <c r="I4163" i="3" a="1"/>
  <c r="I4163" i="3" s="1"/>
  <c r="I4164" i="3" a="1"/>
  <c r="I4164" i="3" s="1"/>
  <c r="I4165" i="3" a="1"/>
  <c r="I4165" i="3" s="1"/>
  <c r="I4166" i="3" a="1"/>
  <c r="I4166" i="3" s="1"/>
  <c r="I4167" i="3" a="1"/>
  <c r="I4167" i="3" s="1"/>
  <c r="I4168" i="3" a="1"/>
  <c r="I4168" i="3" s="1"/>
  <c r="I4169" i="3" a="1"/>
  <c r="I4169" i="3" s="1"/>
  <c r="I4170" i="3" a="1"/>
  <c r="I4170" i="3" s="1"/>
  <c r="I4171" i="3" a="1"/>
  <c r="I4171" i="3" s="1"/>
  <c r="I4172" i="3" a="1"/>
  <c r="I4172" i="3" s="1"/>
  <c r="I4173" i="3" a="1"/>
  <c r="I4173" i="3" s="1"/>
  <c r="I4174" i="3" a="1"/>
  <c r="I4174" i="3" s="1"/>
  <c r="I4175" i="3" a="1"/>
  <c r="I4175" i="3" s="1"/>
  <c r="I4176" i="3" a="1"/>
  <c r="I4176" i="3" s="1"/>
  <c r="I4177" i="3" a="1"/>
  <c r="I4177" i="3" s="1"/>
  <c r="I4178" i="3" a="1"/>
  <c r="I4178" i="3" s="1"/>
  <c r="I4179" i="3" a="1"/>
  <c r="I4179" i="3" s="1"/>
  <c r="I4180" i="3" a="1"/>
  <c r="I4180" i="3" s="1"/>
  <c r="I4181" i="3" a="1"/>
  <c r="I4181" i="3" s="1"/>
  <c r="I4182" i="3" a="1"/>
  <c r="I4182" i="3" s="1"/>
  <c r="I4183" i="3" a="1"/>
  <c r="I4183" i="3" s="1"/>
  <c r="I4184" i="3" a="1"/>
  <c r="I4184" i="3" s="1"/>
  <c r="I4185" i="3" a="1"/>
  <c r="I4185" i="3" s="1"/>
  <c r="I4186" i="3" a="1"/>
  <c r="I4186" i="3" s="1"/>
  <c r="I4187" i="3" a="1"/>
  <c r="I4187" i="3" s="1"/>
  <c r="I4188" i="3" a="1"/>
  <c r="I4188" i="3" s="1"/>
  <c r="I4189" i="3" a="1"/>
  <c r="I4189" i="3" s="1"/>
  <c r="I4190" i="3" a="1"/>
  <c r="I4190" i="3" s="1"/>
  <c r="I4191" i="3" a="1"/>
  <c r="I4191" i="3" s="1"/>
  <c r="I4192" i="3" a="1"/>
  <c r="I4192" i="3" s="1"/>
  <c r="I4193" i="3" a="1"/>
  <c r="I4193" i="3" s="1"/>
  <c r="I4194" i="3" a="1"/>
  <c r="I4194" i="3" s="1"/>
  <c r="I4195" i="3" a="1"/>
  <c r="I4195" i="3" s="1"/>
  <c r="I4196" i="3" a="1"/>
  <c r="I4196" i="3" s="1"/>
  <c r="I4197" i="3" a="1"/>
  <c r="I4197" i="3" s="1"/>
  <c r="I4198" i="3" a="1"/>
  <c r="I4198" i="3" s="1"/>
  <c r="I4199" i="3" a="1"/>
  <c r="I4199" i="3" s="1"/>
  <c r="I4200" i="3" a="1"/>
  <c r="I4200" i="3" s="1"/>
  <c r="I4201" i="3" a="1"/>
  <c r="I4201" i="3" s="1"/>
  <c r="I4202" i="3" a="1"/>
  <c r="I4202" i="3" s="1"/>
  <c r="I4203" i="3" a="1"/>
  <c r="I4203" i="3" s="1"/>
  <c r="I4204" i="3" a="1"/>
  <c r="I4204" i="3" s="1"/>
  <c r="I4205" i="3" a="1"/>
  <c r="I4205" i="3" s="1"/>
  <c r="I4206" i="3" a="1"/>
  <c r="I4206" i="3" s="1"/>
  <c r="I4207" i="3" a="1"/>
  <c r="I4207" i="3" s="1"/>
  <c r="I4208" i="3" a="1"/>
  <c r="I4208" i="3" s="1"/>
  <c r="I4209" i="3" a="1"/>
  <c r="I4209" i="3" s="1"/>
  <c r="I4210" i="3" a="1"/>
  <c r="I4210" i="3" s="1"/>
  <c r="I4211" i="3" a="1"/>
  <c r="I4211" i="3" s="1"/>
  <c r="I4212" i="3" a="1"/>
  <c r="I4212" i="3" s="1"/>
  <c r="I4213" i="3" a="1"/>
  <c r="I4213" i="3" s="1"/>
  <c r="I4214" i="3" a="1"/>
  <c r="I4214" i="3" s="1"/>
  <c r="I4215" i="3" a="1"/>
  <c r="I4215" i="3" s="1"/>
  <c r="I4216" i="3" a="1"/>
  <c r="I4216" i="3" s="1"/>
  <c r="I4217" i="3" a="1"/>
  <c r="I4217" i="3" s="1"/>
  <c r="I4218" i="3" a="1"/>
  <c r="I4218" i="3" s="1"/>
  <c r="I4219" i="3" a="1"/>
  <c r="I4219" i="3" s="1"/>
  <c r="I4220" i="3" a="1"/>
  <c r="I4220" i="3" s="1"/>
  <c r="I4221" i="3" a="1"/>
  <c r="I4221" i="3" s="1"/>
  <c r="I4222" i="3" a="1"/>
  <c r="I4222" i="3" s="1"/>
  <c r="I4223" i="3" a="1"/>
  <c r="I4223" i="3" s="1"/>
  <c r="I4224" i="3" a="1"/>
  <c r="I4224" i="3" s="1"/>
  <c r="I4225" i="3" a="1"/>
  <c r="I4225" i="3" s="1"/>
  <c r="I4226" i="3" a="1"/>
  <c r="I4226" i="3" s="1"/>
  <c r="I4227" i="3" a="1"/>
  <c r="I4227" i="3" s="1"/>
  <c r="I4228" i="3" a="1"/>
  <c r="I4228" i="3" s="1"/>
  <c r="I4229" i="3" a="1"/>
  <c r="I4229" i="3" s="1"/>
  <c r="I4230" i="3" a="1"/>
  <c r="I4230" i="3" s="1"/>
  <c r="I4231" i="3" a="1"/>
  <c r="I4231" i="3" s="1"/>
  <c r="I4232" i="3" a="1"/>
  <c r="I4232" i="3" s="1"/>
  <c r="I4233" i="3" a="1"/>
  <c r="I4233" i="3" s="1"/>
  <c r="I4234" i="3" a="1"/>
  <c r="I4234" i="3" s="1"/>
  <c r="I4235" i="3" a="1"/>
  <c r="I4235" i="3" s="1"/>
  <c r="I4236" i="3" a="1"/>
  <c r="I4236" i="3" s="1"/>
  <c r="I4237" i="3" a="1"/>
  <c r="I4237" i="3" s="1"/>
  <c r="I4238" i="3" a="1"/>
  <c r="I4238" i="3" s="1"/>
  <c r="I4239" i="3" a="1"/>
  <c r="I4239" i="3" s="1"/>
  <c r="I4240" i="3" a="1"/>
  <c r="I4240" i="3" s="1"/>
  <c r="I4241" i="3" a="1"/>
  <c r="I4241" i="3" s="1"/>
  <c r="I4242" i="3" a="1"/>
  <c r="I4242" i="3" s="1"/>
  <c r="I4243" i="3" a="1"/>
  <c r="I4243" i="3" s="1"/>
  <c r="I4244" i="3" a="1"/>
  <c r="I4244" i="3" s="1"/>
  <c r="I4245" i="3" a="1"/>
  <c r="I4245" i="3" s="1"/>
  <c r="I4246" i="3" a="1"/>
  <c r="I4246" i="3" s="1"/>
  <c r="I4247" i="3" a="1"/>
  <c r="I4247" i="3" s="1"/>
  <c r="I4248" i="3" a="1"/>
  <c r="I4248" i="3" s="1"/>
  <c r="I4249" i="3" a="1"/>
  <c r="I4249" i="3" s="1"/>
  <c r="I4250" i="3" a="1"/>
  <c r="I4250" i="3" s="1"/>
  <c r="I4251" i="3" a="1"/>
  <c r="I4251" i="3" s="1"/>
  <c r="I4252" i="3" a="1"/>
  <c r="I4252" i="3" s="1"/>
  <c r="I4253" i="3" a="1"/>
  <c r="I4253" i="3" s="1"/>
  <c r="I4254" i="3" a="1"/>
  <c r="I4254" i="3" s="1"/>
  <c r="I4255" i="3" a="1"/>
  <c r="I4255" i="3" s="1"/>
  <c r="I4256" i="3" a="1"/>
  <c r="I4256" i="3" s="1"/>
  <c r="I4257" i="3" a="1"/>
  <c r="I4257" i="3" s="1"/>
  <c r="I4258" i="3" a="1"/>
  <c r="I4258" i="3" s="1"/>
  <c r="I4259" i="3" a="1"/>
  <c r="I4259" i="3" s="1"/>
  <c r="I4260" i="3" a="1"/>
  <c r="I4260" i="3" s="1"/>
  <c r="I4261" i="3" a="1"/>
  <c r="I4261" i="3" s="1"/>
  <c r="I4262" i="3" a="1"/>
  <c r="I4262" i="3" s="1"/>
  <c r="I4263" i="3" a="1"/>
  <c r="I4263" i="3" s="1"/>
  <c r="I4264" i="3" a="1"/>
  <c r="I4264" i="3" s="1"/>
  <c r="I4265" i="3" a="1"/>
  <c r="I4265" i="3" s="1"/>
  <c r="I4266" i="3" a="1"/>
  <c r="I4266" i="3" s="1"/>
  <c r="I4267" i="3" a="1"/>
  <c r="I4267" i="3" s="1"/>
  <c r="I4268" i="3" a="1"/>
  <c r="I4268" i="3" s="1"/>
  <c r="I4269" i="3" a="1"/>
  <c r="I4269" i="3" s="1"/>
  <c r="I4270" i="3" a="1"/>
  <c r="I4270" i="3" s="1"/>
  <c r="I4271" i="3" a="1"/>
  <c r="I4271" i="3" s="1"/>
  <c r="I4272" i="3" a="1"/>
  <c r="I4272" i="3" s="1"/>
  <c r="I4273" i="3" a="1"/>
  <c r="I4273" i="3" s="1"/>
  <c r="I4274" i="3" a="1"/>
  <c r="I4274" i="3" s="1"/>
  <c r="I4275" i="3" a="1"/>
  <c r="I4275" i="3" s="1"/>
  <c r="I4276" i="3" a="1"/>
  <c r="I4276" i="3" s="1"/>
  <c r="I4277" i="3" a="1"/>
  <c r="I4277" i="3" s="1"/>
  <c r="I4278" i="3" a="1"/>
  <c r="I4278" i="3" s="1"/>
  <c r="I4279" i="3" a="1"/>
  <c r="I4279" i="3" s="1"/>
  <c r="I4280" i="3" a="1"/>
  <c r="I4280" i="3" s="1"/>
  <c r="I4281" i="3" a="1"/>
  <c r="I4281" i="3" s="1"/>
  <c r="I4282" i="3" a="1"/>
  <c r="I4282" i="3" s="1"/>
  <c r="I4283" i="3" a="1"/>
  <c r="I4283" i="3" s="1"/>
  <c r="I4284" i="3" a="1"/>
  <c r="I4284" i="3" s="1"/>
  <c r="I4285" i="3" a="1"/>
  <c r="I4285" i="3" s="1"/>
  <c r="I4286" i="3" a="1"/>
  <c r="I4286" i="3" s="1"/>
  <c r="I4287" i="3" a="1"/>
  <c r="I4287" i="3" s="1"/>
  <c r="I4288" i="3" a="1"/>
  <c r="I4288" i="3" s="1"/>
  <c r="I4289" i="3" a="1"/>
  <c r="I4289" i="3" s="1"/>
  <c r="I4290" i="3" a="1"/>
  <c r="I4290" i="3" s="1"/>
  <c r="I4291" i="3" a="1"/>
  <c r="I4291" i="3" s="1"/>
  <c r="I4292" i="3" a="1"/>
  <c r="I4292" i="3" s="1"/>
  <c r="I4293" i="3" a="1"/>
  <c r="I4293" i="3" s="1"/>
  <c r="I4294" i="3" a="1"/>
  <c r="I4294" i="3" s="1"/>
  <c r="I4295" i="3" a="1"/>
  <c r="I4295" i="3" s="1"/>
  <c r="I4296" i="3" a="1"/>
  <c r="I4296" i="3" s="1"/>
  <c r="I4297" i="3" a="1"/>
  <c r="I4297" i="3" s="1"/>
  <c r="I4298" i="3" a="1"/>
  <c r="I4298" i="3" s="1"/>
  <c r="I4299" i="3" a="1"/>
  <c r="I4299" i="3" s="1"/>
  <c r="I4300" i="3" a="1"/>
  <c r="I4300" i="3" s="1"/>
  <c r="I4301" i="3" a="1"/>
  <c r="I4301" i="3" s="1"/>
  <c r="I4302" i="3" a="1"/>
  <c r="I4302" i="3" s="1"/>
  <c r="I4303" i="3" a="1"/>
  <c r="I4303" i="3" s="1"/>
  <c r="I4304" i="3" a="1"/>
  <c r="I4304" i="3" s="1"/>
  <c r="I4305" i="3" a="1"/>
  <c r="I4305" i="3" s="1"/>
  <c r="I4306" i="3" a="1"/>
  <c r="I4306" i="3" s="1"/>
  <c r="I4307" i="3" a="1"/>
  <c r="I4307" i="3" s="1"/>
  <c r="I4308" i="3" a="1"/>
  <c r="I4308" i="3" s="1"/>
  <c r="I4309" i="3" a="1"/>
  <c r="I4309" i="3" s="1"/>
  <c r="I4310" i="3" a="1"/>
  <c r="I4310" i="3" s="1"/>
  <c r="I4311" i="3" a="1"/>
  <c r="I4311" i="3" s="1"/>
  <c r="I4312" i="3" a="1"/>
  <c r="I4312" i="3" s="1"/>
  <c r="I4313" i="3" a="1"/>
  <c r="I4313" i="3" s="1"/>
  <c r="I4314" i="3" a="1"/>
  <c r="I4314" i="3" s="1"/>
  <c r="I4315" i="3" a="1"/>
  <c r="I4315" i="3" s="1"/>
  <c r="I4316" i="3" a="1"/>
  <c r="I4316" i="3" s="1"/>
  <c r="I4317" i="3" a="1"/>
  <c r="I4317" i="3" s="1"/>
  <c r="I4318" i="3" a="1"/>
  <c r="I4318" i="3" s="1"/>
  <c r="I4319" i="3" a="1"/>
  <c r="I4319" i="3" s="1"/>
  <c r="I4320" i="3" a="1"/>
  <c r="I4320" i="3" s="1"/>
  <c r="I4321" i="3" a="1"/>
  <c r="I4321" i="3" s="1"/>
  <c r="I4322" i="3" a="1"/>
  <c r="I4322" i="3" s="1"/>
  <c r="I4323" i="3" a="1"/>
  <c r="I4323" i="3" s="1"/>
  <c r="I4324" i="3" a="1"/>
  <c r="I4324" i="3" s="1"/>
  <c r="I4325" i="3" a="1"/>
  <c r="I4325" i="3" s="1"/>
  <c r="I4326" i="3" a="1"/>
  <c r="I4326" i="3" s="1"/>
  <c r="I4327" i="3" a="1"/>
  <c r="I4327" i="3" s="1"/>
  <c r="I4328" i="3" a="1"/>
  <c r="I4328" i="3" s="1"/>
  <c r="I4329" i="3" a="1"/>
  <c r="I4329" i="3" s="1"/>
  <c r="I4330" i="3" a="1"/>
  <c r="I4330" i="3" s="1"/>
  <c r="I4331" i="3" a="1"/>
  <c r="I4331" i="3" s="1"/>
  <c r="I4332" i="3" a="1"/>
  <c r="I4332" i="3" s="1"/>
  <c r="I4333" i="3" a="1"/>
  <c r="I4333" i="3" s="1"/>
  <c r="I4334" i="3" a="1"/>
  <c r="I4334" i="3" s="1"/>
  <c r="I4335" i="3" a="1"/>
  <c r="I4335" i="3" s="1"/>
  <c r="I4336" i="3" a="1"/>
  <c r="I4336" i="3" s="1"/>
  <c r="I4337" i="3" a="1"/>
  <c r="I4337" i="3" s="1"/>
  <c r="I4338" i="3" a="1"/>
  <c r="I4338" i="3" s="1"/>
  <c r="I4339" i="3" a="1"/>
  <c r="I4339" i="3" s="1"/>
  <c r="I4340" i="3" a="1"/>
  <c r="I4340" i="3" s="1"/>
  <c r="I4341" i="3" a="1"/>
  <c r="I4341" i="3" s="1"/>
  <c r="I4342" i="3" a="1"/>
  <c r="I4342" i="3" s="1"/>
  <c r="I4343" i="3" a="1"/>
  <c r="I4343" i="3" s="1"/>
  <c r="I4344" i="3" a="1"/>
  <c r="I4344" i="3" s="1"/>
  <c r="I4345" i="3" a="1"/>
  <c r="I4345" i="3" s="1"/>
  <c r="I4346" i="3" a="1"/>
  <c r="I4346" i="3" s="1"/>
  <c r="I4347" i="3" a="1"/>
  <c r="I4347" i="3" s="1"/>
  <c r="I4348" i="3" a="1"/>
  <c r="I4348" i="3" s="1"/>
  <c r="I4349" i="3" a="1"/>
  <c r="I4349" i="3" s="1"/>
  <c r="I4350" i="3" a="1"/>
  <c r="I4350" i="3" s="1"/>
  <c r="I4351" i="3" a="1"/>
  <c r="I4351" i="3" s="1"/>
  <c r="I4352" i="3" a="1"/>
  <c r="I4352" i="3" s="1"/>
  <c r="I4353" i="3" a="1"/>
  <c r="I4353" i="3" s="1"/>
  <c r="I4354" i="3" a="1"/>
  <c r="I4354" i="3" s="1"/>
  <c r="I4355" i="3" a="1"/>
  <c r="I4355" i="3" s="1"/>
  <c r="I4356" i="3" a="1"/>
  <c r="I4356" i="3" s="1"/>
  <c r="I4357" i="3" a="1"/>
  <c r="I4357" i="3" s="1"/>
  <c r="I4358" i="3" a="1"/>
  <c r="I4358" i="3" s="1"/>
  <c r="I4359" i="3" a="1"/>
  <c r="I4359" i="3" s="1"/>
  <c r="I4360" i="3" a="1"/>
  <c r="I4360" i="3" s="1"/>
  <c r="I4361" i="3" a="1"/>
  <c r="I4361" i="3" s="1"/>
  <c r="I4362" i="3" a="1"/>
  <c r="I4362" i="3" s="1"/>
  <c r="I4363" i="3" a="1"/>
  <c r="I4363" i="3" s="1"/>
  <c r="I4364" i="3" a="1"/>
  <c r="I4364" i="3" s="1"/>
  <c r="I4365" i="3" a="1"/>
  <c r="I4365" i="3" s="1"/>
  <c r="I4366" i="3" a="1"/>
  <c r="I4366" i="3" s="1"/>
  <c r="I4367" i="3" a="1"/>
  <c r="I4367" i="3" s="1"/>
  <c r="I4368" i="3" a="1"/>
  <c r="I4368" i="3" s="1"/>
  <c r="I4369" i="3" a="1"/>
  <c r="I4369" i="3" s="1"/>
  <c r="I4370" i="3" a="1"/>
  <c r="I4370" i="3" s="1"/>
  <c r="I4371" i="3" a="1"/>
  <c r="I4371" i="3" s="1"/>
  <c r="I4372" i="3" a="1"/>
  <c r="I4372" i="3" s="1"/>
  <c r="I4373" i="3" a="1"/>
  <c r="I4373" i="3" s="1"/>
  <c r="I4374" i="3" a="1"/>
  <c r="I4374" i="3" s="1"/>
  <c r="I4375" i="3" a="1"/>
  <c r="I4375" i="3" s="1"/>
  <c r="I4376" i="3" a="1"/>
  <c r="I4376" i="3" s="1"/>
  <c r="I4377" i="3" a="1"/>
  <c r="I4377" i="3" s="1"/>
  <c r="I4378" i="3" a="1"/>
  <c r="I4378" i="3" s="1"/>
  <c r="I4379" i="3" a="1"/>
  <c r="I4379" i="3" s="1"/>
  <c r="I4380" i="3" a="1"/>
  <c r="I4380" i="3" s="1"/>
  <c r="I4381" i="3" a="1"/>
  <c r="I4381" i="3" s="1"/>
  <c r="I4382" i="3" a="1"/>
  <c r="I4382" i="3" s="1"/>
  <c r="I4383" i="3" a="1"/>
  <c r="I4383" i="3" s="1"/>
  <c r="I4384" i="3" a="1"/>
  <c r="I4384" i="3" s="1"/>
  <c r="I4385" i="3" a="1"/>
  <c r="I4385" i="3" s="1"/>
  <c r="I4386" i="3" a="1"/>
  <c r="I4386" i="3" s="1"/>
  <c r="I4387" i="3" a="1"/>
  <c r="I4387" i="3" s="1"/>
  <c r="I4388" i="3" a="1"/>
  <c r="I4388" i="3" s="1"/>
  <c r="I4389" i="3" a="1"/>
  <c r="I4389" i="3" s="1"/>
  <c r="I4390" i="3" a="1"/>
  <c r="I4390" i="3" s="1"/>
  <c r="I4391" i="3" a="1"/>
  <c r="I4391" i="3" s="1"/>
  <c r="I4392" i="3" a="1"/>
  <c r="I4392" i="3" s="1"/>
  <c r="I4393" i="3" a="1"/>
  <c r="I4393" i="3" s="1"/>
  <c r="I4394" i="3" a="1"/>
  <c r="I4394" i="3" s="1"/>
  <c r="I4395" i="3" a="1"/>
  <c r="I4395" i="3" s="1"/>
  <c r="I4396" i="3" a="1"/>
  <c r="I4396" i="3" s="1"/>
  <c r="I4397" i="3" a="1"/>
  <c r="I4397" i="3" s="1"/>
  <c r="I4398" i="3" a="1"/>
  <c r="I4398" i="3" s="1"/>
  <c r="I4399" i="3" a="1"/>
  <c r="I4399" i="3" s="1"/>
  <c r="I4400" i="3" a="1"/>
  <c r="I4400" i="3" s="1"/>
  <c r="I4401" i="3" a="1"/>
  <c r="I4401" i="3" s="1"/>
  <c r="I4402" i="3" a="1"/>
  <c r="I4402" i="3" s="1"/>
  <c r="I4403" i="3" a="1"/>
  <c r="I4403" i="3" s="1"/>
  <c r="I4404" i="3" a="1"/>
  <c r="I4404" i="3" s="1"/>
  <c r="I4405" i="3" a="1"/>
  <c r="I4405" i="3" s="1"/>
  <c r="I4406" i="3" a="1"/>
  <c r="I4406" i="3" s="1"/>
  <c r="I4407" i="3" a="1"/>
  <c r="I4407" i="3" s="1"/>
  <c r="I4408" i="3" a="1"/>
  <c r="I4408" i="3" s="1"/>
  <c r="I4409" i="3" a="1"/>
  <c r="I4409" i="3" s="1"/>
  <c r="I4410" i="3" a="1"/>
  <c r="I4410" i="3" s="1"/>
  <c r="I4411" i="3" a="1"/>
  <c r="I4411" i="3" s="1"/>
  <c r="I4412" i="3" a="1"/>
  <c r="I4412" i="3" s="1"/>
  <c r="I4413" i="3" a="1"/>
  <c r="I4413" i="3" s="1"/>
  <c r="I4414" i="3" a="1"/>
  <c r="I4414" i="3" s="1"/>
  <c r="I4415" i="3" a="1"/>
  <c r="I4415" i="3" s="1"/>
  <c r="I4416" i="3" a="1"/>
  <c r="I4416" i="3" s="1"/>
  <c r="I4417" i="3" a="1"/>
  <c r="I4417" i="3" s="1"/>
  <c r="I4418" i="3" a="1"/>
  <c r="I4418" i="3" s="1"/>
  <c r="I4419" i="3" a="1"/>
  <c r="I4419" i="3" s="1"/>
  <c r="I4420" i="3" a="1"/>
  <c r="I4420" i="3" s="1"/>
  <c r="I4421" i="3" a="1"/>
  <c r="I4421" i="3" s="1"/>
  <c r="I4422" i="3" a="1"/>
  <c r="I4422" i="3" s="1"/>
  <c r="I4423" i="3" a="1"/>
  <c r="I4423" i="3" s="1"/>
  <c r="I4424" i="3" a="1"/>
  <c r="I4424" i="3" s="1"/>
  <c r="I4425" i="3" a="1"/>
  <c r="I4425" i="3" s="1"/>
  <c r="I4426" i="3" a="1"/>
  <c r="I4426" i="3" s="1"/>
  <c r="I4427" i="3" a="1"/>
  <c r="I4427" i="3" s="1"/>
  <c r="I4428" i="3" a="1"/>
  <c r="I4428" i="3" s="1"/>
  <c r="I4429" i="3" a="1"/>
  <c r="I4429" i="3" s="1"/>
  <c r="I4430" i="3" a="1"/>
  <c r="I4430" i="3" s="1"/>
  <c r="I4431" i="3" a="1"/>
  <c r="I4431" i="3" s="1"/>
  <c r="I4432" i="3" a="1"/>
  <c r="I4432" i="3" s="1"/>
  <c r="I4433" i="3" a="1"/>
  <c r="I4433" i="3" s="1"/>
  <c r="I4434" i="3" a="1"/>
  <c r="I4434" i="3" s="1"/>
  <c r="I4435" i="3" a="1"/>
  <c r="I4435" i="3" s="1"/>
  <c r="I4436" i="3" a="1"/>
  <c r="I4436" i="3" s="1"/>
  <c r="I4437" i="3" a="1"/>
  <c r="I4437" i="3" s="1"/>
  <c r="I4438" i="3" a="1"/>
  <c r="I4438" i="3" s="1"/>
  <c r="I4439" i="3" a="1"/>
  <c r="I4439" i="3" s="1"/>
  <c r="I4440" i="3" a="1"/>
  <c r="I4440" i="3" s="1"/>
  <c r="I4441" i="3" a="1"/>
  <c r="I4441" i="3" s="1"/>
  <c r="I4442" i="3" a="1"/>
  <c r="I4442" i="3" s="1"/>
  <c r="I4443" i="3" a="1"/>
  <c r="I4443" i="3" s="1"/>
  <c r="I4444" i="3" a="1"/>
  <c r="I4444" i="3" s="1"/>
  <c r="I4445" i="3" a="1"/>
  <c r="I4445" i="3" s="1"/>
  <c r="I4446" i="3" a="1"/>
  <c r="I4446" i="3" s="1"/>
  <c r="I4447" i="3" a="1"/>
  <c r="I4447" i="3" s="1"/>
  <c r="I4448" i="3" a="1"/>
  <c r="I4448" i="3" s="1"/>
  <c r="I4449" i="3" a="1"/>
  <c r="I4449" i="3" s="1"/>
  <c r="I4450" i="3" a="1"/>
  <c r="I4450" i="3" s="1"/>
  <c r="I4451" i="3" a="1"/>
  <c r="I4451" i="3" s="1"/>
  <c r="I4452" i="3" a="1"/>
  <c r="I4452" i="3" s="1"/>
  <c r="I4453" i="3" a="1"/>
  <c r="I4453" i="3" s="1"/>
  <c r="I4454" i="3" a="1"/>
  <c r="I4454" i="3" s="1"/>
  <c r="I4455" i="3" a="1"/>
  <c r="I4455" i="3" s="1"/>
  <c r="I4456" i="3" a="1"/>
  <c r="I4456" i="3" s="1"/>
  <c r="I4457" i="3" a="1"/>
  <c r="I4457" i="3" s="1"/>
  <c r="I4458" i="3" a="1"/>
  <c r="I4458" i="3" s="1"/>
  <c r="I4459" i="3" a="1"/>
  <c r="I4459" i="3" s="1"/>
  <c r="I4460" i="3" a="1"/>
  <c r="I4460" i="3" s="1"/>
  <c r="I4461" i="3" a="1"/>
  <c r="I4461" i="3" s="1"/>
  <c r="I4462" i="3" a="1"/>
  <c r="I4462" i="3" s="1"/>
  <c r="I4463" i="3" a="1"/>
  <c r="I4463" i="3" s="1"/>
  <c r="I4464" i="3" a="1"/>
  <c r="I4464" i="3" s="1"/>
  <c r="I4465" i="3" a="1"/>
  <c r="I4465" i="3" s="1"/>
  <c r="I4466" i="3" a="1"/>
  <c r="I4466" i="3" s="1"/>
  <c r="I4467" i="3" a="1"/>
  <c r="I4467" i="3" s="1"/>
  <c r="I4468" i="3" a="1"/>
  <c r="I4468" i="3" s="1"/>
  <c r="I4469" i="3" a="1"/>
  <c r="I4469" i="3" s="1"/>
  <c r="I4470" i="3" a="1"/>
  <c r="I4470" i="3" s="1"/>
  <c r="I4471" i="3" a="1"/>
  <c r="I4471" i="3" s="1"/>
  <c r="I4472" i="3" a="1"/>
  <c r="I4472" i="3" s="1"/>
  <c r="I4473" i="3" a="1"/>
  <c r="I4473" i="3" s="1"/>
  <c r="I4474" i="3" a="1"/>
  <c r="I4474" i="3" s="1"/>
  <c r="I4475" i="3" a="1"/>
  <c r="I4475" i="3" s="1"/>
  <c r="I4476" i="3" a="1"/>
  <c r="I4476" i="3" s="1"/>
  <c r="I4477" i="3" a="1"/>
  <c r="I4477" i="3" s="1"/>
  <c r="I4478" i="3" a="1"/>
  <c r="I4478" i="3" s="1"/>
  <c r="I4479" i="3" a="1"/>
  <c r="I4479" i="3" s="1"/>
  <c r="I4480" i="3" a="1"/>
  <c r="I4480" i="3" s="1"/>
  <c r="I4481" i="3" a="1"/>
  <c r="I4481" i="3" s="1"/>
  <c r="I4482" i="3" a="1"/>
  <c r="I4482" i="3" s="1"/>
  <c r="I4483" i="3" a="1"/>
  <c r="I4483" i="3" s="1"/>
  <c r="I4484" i="3" a="1"/>
  <c r="I4484" i="3" s="1"/>
  <c r="I4485" i="3" a="1"/>
  <c r="I4485" i="3" s="1"/>
  <c r="I4486" i="3" a="1"/>
  <c r="I4486" i="3" s="1"/>
  <c r="I4487" i="3" a="1"/>
  <c r="I4487" i="3" s="1"/>
  <c r="I4488" i="3" a="1"/>
  <c r="I4488" i="3" s="1"/>
  <c r="I4489" i="3" a="1"/>
  <c r="I4489" i="3" s="1"/>
  <c r="I4490" i="3" a="1"/>
  <c r="I4490" i="3" s="1"/>
  <c r="I4491" i="3" a="1"/>
  <c r="I4491" i="3" s="1"/>
  <c r="I4492" i="3" a="1"/>
  <c r="I4492" i="3" s="1"/>
  <c r="I4493" i="3" a="1"/>
  <c r="I4493" i="3" s="1"/>
  <c r="I4494" i="3" a="1"/>
  <c r="I4494" i="3" s="1"/>
  <c r="I4495" i="3" a="1"/>
  <c r="I4495" i="3" s="1"/>
  <c r="I4496" i="3" a="1"/>
  <c r="I4496" i="3" s="1"/>
  <c r="I4497" i="3" a="1"/>
  <c r="I4497" i="3" s="1"/>
  <c r="I4498" i="3" a="1"/>
  <c r="I4498" i="3" s="1"/>
  <c r="I4499" i="3" a="1"/>
  <c r="I4499" i="3" s="1"/>
  <c r="I4500" i="3" a="1"/>
  <c r="I4500" i="3" s="1"/>
  <c r="I4501" i="3" a="1"/>
  <c r="I4501" i="3" s="1"/>
  <c r="I4502" i="3" a="1"/>
  <c r="I4502" i="3" s="1"/>
  <c r="I4503" i="3" a="1"/>
  <c r="I4503" i="3" s="1"/>
  <c r="I4504" i="3" a="1"/>
  <c r="I4504" i="3" s="1"/>
  <c r="I4505" i="3" a="1"/>
  <c r="I4505" i="3" s="1"/>
  <c r="I4506" i="3" a="1"/>
  <c r="I4506" i="3" s="1"/>
  <c r="I4507" i="3" a="1"/>
  <c r="I4507" i="3" s="1"/>
  <c r="I4508" i="3" a="1"/>
  <c r="I4508" i="3" s="1"/>
  <c r="I4509" i="3" a="1"/>
  <c r="I4509" i="3" s="1"/>
  <c r="I4510" i="3" a="1"/>
  <c r="I4510" i="3" s="1"/>
  <c r="I4511" i="3" a="1"/>
  <c r="I4511" i="3" s="1"/>
  <c r="I4512" i="3" a="1"/>
  <c r="I4512" i="3" s="1"/>
  <c r="I4513" i="3" a="1"/>
  <c r="I4513" i="3" s="1"/>
  <c r="I4514" i="3" a="1"/>
  <c r="I4514" i="3" s="1"/>
  <c r="I4515" i="3" a="1"/>
  <c r="I4515" i="3" s="1"/>
  <c r="I4516" i="3" a="1"/>
  <c r="I4516" i="3" s="1"/>
  <c r="I4517" i="3" a="1"/>
  <c r="I4517" i="3" s="1"/>
  <c r="I4518" i="3" a="1"/>
  <c r="I4518" i="3" s="1"/>
  <c r="I4519" i="3" a="1"/>
  <c r="I4519" i="3" s="1"/>
  <c r="I4520" i="3" a="1"/>
  <c r="I4520" i="3" s="1"/>
  <c r="I4521" i="3" a="1"/>
  <c r="I4521" i="3" s="1"/>
  <c r="I4522" i="3" a="1"/>
  <c r="I4522" i="3" s="1"/>
  <c r="I4523" i="3" a="1"/>
  <c r="I4523" i="3" s="1"/>
  <c r="I4524" i="3" a="1"/>
  <c r="I4524" i="3" s="1"/>
  <c r="I4525" i="3" a="1"/>
  <c r="I4525" i="3" s="1"/>
  <c r="I4526" i="3" a="1"/>
  <c r="I4526" i="3" s="1"/>
  <c r="I4527" i="3" a="1"/>
  <c r="I4527" i="3" s="1"/>
  <c r="I4528" i="3" a="1"/>
  <c r="I4528" i="3" s="1"/>
  <c r="I4529" i="3" a="1"/>
  <c r="I4529" i="3" s="1"/>
  <c r="I4530" i="3" a="1"/>
  <c r="I4530" i="3" s="1"/>
  <c r="I4531" i="3" a="1"/>
  <c r="I4531" i="3" s="1"/>
  <c r="I4532" i="3" a="1"/>
  <c r="I4532" i="3" s="1"/>
  <c r="I4533" i="3" a="1"/>
  <c r="I4533" i="3" s="1"/>
  <c r="I4534" i="3" a="1"/>
  <c r="I4534" i="3" s="1"/>
  <c r="I4535" i="3" a="1"/>
  <c r="I4535" i="3" s="1"/>
  <c r="I4536" i="3" a="1"/>
  <c r="I4536" i="3" s="1"/>
  <c r="I4537" i="3" a="1"/>
  <c r="I4537" i="3" s="1"/>
  <c r="I4538" i="3" a="1"/>
  <c r="I4538" i="3" s="1"/>
  <c r="I4539" i="3" a="1"/>
  <c r="I4539" i="3" s="1"/>
  <c r="I4540" i="3" a="1"/>
  <c r="I4540" i="3" s="1"/>
  <c r="I4541" i="3" a="1"/>
  <c r="I4541" i="3" s="1"/>
  <c r="I4542" i="3" a="1"/>
  <c r="I4542" i="3" s="1"/>
  <c r="I4543" i="3" a="1"/>
  <c r="I4543" i="3" s="1"/>
  <c r="I4544" i="3" a="1"/>
  <c r="I4544" i="3" s="1"/>
  <c r="I4545" i="3" a="1"/>
  <c r="I4545" i="3" s="1"/>
  <c r="I4546" i="3" a="1"/>
  <c r="I4546" i="3" s="1"/>
  <c r="I4547" i="3" a="1"/>
  <c r="I4547" i="3" s="1"/>
  <c r="I4548" i="3" a="1"/>
  <c r="I4548" i="3" s="1"/>
  <c r="I4549" i="3" a="1"/>
  <c r="I4549" i="3" s="1"/>
  <c r="I4550" i="3" a="1"/>
  <c r="I4550" i="3" s="1"/>
  <c r="I4551" i="3" a="1"/>
  <c r="I4551" i="3" s="1"/>
  <c r="I4552" i="3" a="1"/>
  <c r="I4552" i="3" s="1"/>
  <c r="I4553" i="3" a="1"/>
  <c r="I4553" i="3" s="1"/>
  <c r="I4554" i="3" a="1"/>
  <c r="I4554" i="3" s="1"/>
  <c r="I4555" i="3" a="1"/>
  <c r="I4555" i="3" s="1"/>
  <c r="I4556" i="3" a="1"/>
  <c r="I4556" i="3" s="1"/>
  <c r="I4557" i="3" a="1"/>
  <c r="I4557" i="3" s="1"/>
  <c r="I4558" i="3" a="1"/>
  <c r="I4558" i="3" s="1"/>
  <c r="I4559" i="3" a="1"/>
  <c r="I4559" i="3" s="1"/>
  <c r="I4560" i="3" a="1"/>
  <c r="I4560" i="3" s="1"/>
  <c r="I4561" i="3" a="1"/>
  <c r="I4561" i="3" s="1"/>
  <c r="I4562" i="3" a="1"/>
  <c r="I4562" i="3" s="1"/>
  <c r="I4563" i="3" a="1"/>
  <c r="I4563" i="3" s="1"/>
  <c r="I4564" i="3" a="1"/>
  <c r="I4564" i="3" s="1"/>
  <c r="I4565" i="3" a="1"/>
  <c r="I4565" i="3" s="1"/>
  <c r="I4566" i="3" a="1"/>
  <c r="I4566" i="3" s="1"/>
  <c r="I4567" i="3" a="1"/>
  <c r="I4567" i="3" s="1"/>
  <c r="I4568" i="3" a="1"/>
  <c r="I4568" i="3" s="1"/>
  <c r="I4569" i="3" a="1"/>
  <c r="I4569" i="3" s="1"/>
  <c r="I4570" i="3" a="1"/>
  <c r="I4570" i="3" s="1"/>
  <c r="I4571" i="3" a="1"/>
  <c r="I4571" i="3" s="1"/>
  <c r="I4572" i="3" a="1"/>
  <c r="I4572" i="3" s="1"/>
  <c r="I4573" i="3" a="1"/>
  <c r="I4573" i="3" s="1"/>
  <c r="I4574" i="3" a="1"/>
  <c r="I4574" i="3" s="1"/>
  <c r="I4575" i="3" a="1"/>
  <c r="I4575" i="3" s="1"/>
  <c r="I4576" i="3" a="1"/>
  <c r="I4576" i="3" s="1"/>
  <c r="I4577" i="3" a="1"/>
  <c r="I4577" i="3" s="1"/>
  <c r="I4578" i="3" a="1"/>
  <c r="I4578" i="3" s="1"/>
  <c r="I4579" i="3" a="1"/>
  <c r="I4579" i="3" s="1"/>
  <c r="I4580" i="3" a="1"/>
  <c r="I4580" i="3" s="1"/>
  <c r="I4581" i="3" a="1"/>
  <c r="I4581" i="3" s="1"/>
  <c r="I4582" i="3" a="1"/>
  <c r="I4582" i="3" s="1"/>
  <c r="I4583" i="3" a="1"/>
  <c r="I4583" i="3" s="1"/>
  <c r="I4584" i="3" a="1"/>
  <c r="I4584" i="3" s="1"/>
  <c r="I4585" i="3" a="1"/>
  <c r="I4585" i="3" s="1"/>
  <c r="I4586" i="3" a="1"/>
  <c r="I4586" i="3" s="1"/>
  <c r="I4587" i="3" a="1"/>
  <c r="I4587" i="3" s="1"/>
  <c r="I4588" i="3" a="1"/>
  <c r="I4588" i="3" s="1"/>
  <c r="I4589" i="3" a="1"/>
  <c r="I4589" i="3" s="1"/>
  <c r="I4590" i="3" a="1"/>
  <c r="I4590" i="3" s="1"/>
  <c r="I4591" i="3" a="1"/>
  <c r="I4591" i="3" s="1"/>
  <c r="I4592" i="3" a="1"/>
  <c r="I4592" i="3" s="1"/>
  <c r="I4593" i="3" a="1"/>
  <c r="I4593" i="3" s="1"/>
  <c r="I4594" i="3" a="1"/>
  <c r="I4594" i="3" s="1"/>
  <c r="I4595" i="3" a="1"/>
  <c r="I4595" i="3" s="1"/>
  <c r="I4596" i="3" a="1"/>
  <c r="I4596" i="3" s="1"/>
  <c r="I4597" i="3" a="1"/>
  <c r="I4597" i="3" s="1"/>
  <c r="I4598" i="3" a="1"/>
  <c r="I4598" i="3" s="1"/>
  <c r="I4599" i="3" a="1"/>
  <c r="I4599" i="3" s="1"/>
  <c r="I4600" i="3" a="1"/>
  <c r="I4600" i="3" s="1"/>
  <c r="I4601" i="3" a="1"/>
  <c r="I4601" i="3" s="1"/>
  <c r="I4602" i="3" a="1"/>
  <c r="I4602" i="3" s="1"/>
  <c r="I4603" i="3" a="1"/>
  <c r="I4603" i="3" s="1"/>
  <c r="I4604" i="3" a="1"/>
  <c r="I4604" i="3" s="1"/>
  <c r="I4605" i="3" a="1"/>
  <c r="I4605" i="3" s="1"/>
  <c r="I4606" i="3" a="1"/>
  <c r="I4606" i="3" s="1"/>
  <c r="I4607" i="3" a="1"/>
  <c r="I4607" i="3" s="1"/>
  <c r="I4608" i="3" a="1"/>
  <c r="I4608" i="3" s="1"/>
  <c r="I4609" i="3" a="1"/>
  <c r="I4609" i="3" s="1"/>
  <c r="I4610" i="3" a="1"/>
  <c r="I4610" i="3" s="1"/>
  <c r="I4611" i="3" a="1"/>
  <c r="I4611" i="3" s="1"/>
  <c r="I4612" i="3" a="1"/>
  <c r="I4612" i="3" s="1"/>
  <c r="I4613" i="3" a="1"/>
  <c r="I4613" i="3" s="1"/>
  <c r="I4614" i="3" a="1"/>
  <c r="I4614" i="3" s="1"/>
  <c r="I4615" i="3" a="1"/>
  <c r="I4615" i="3" s="1"/>
  <c r="I4616" i="3" a="1"/>
  <c r="I4616" i="3" s="1"/>
  <c r="I4617" i="3" a="1"/>
  <c r="I4617" i="3" s="1"/>
  <c r="I4618" i="3" a="1"/>
  <c r="I4618" i="3" s="1"/>
  <c r="I4619" i="3" a="1"/>
  <c r="I4619" i="3" s="1"/>
  <c r="I4620" i="3" a="1"/>
  <c r="I4620" i="3" s="1"/>
  <c r="I4621" i="3" a="1"/>
  <c r="I4621" i="3" s="1"/>
  <c r="I4622" i="3" a="1"/>
  <c r="I4622" i="3" s="1"/>
  <c r="I4623" i="3" a="1"/>
  <c r="I4623" i="3" s="1"/>
  <c r="I4624" i="3" a="1"/>
  <c r="I4624" i="3" s="1"/>
  <c r="I4625" i="3" a="1"/>
  <c r="I4625" i="3" s="1"/>
  <c r="I4626" i="3" a="1"/>
  <c r="I4626" i="3" s="1"/>
  <c r="I4627" i="3" a="1"/>
  <c r="I4627" i="3" s="1"/>
  <c r="I4628" i="3" a="1"/>
  <c r="I4628" i="3" s="1"/>
  <c r="I4629" i="3" a="1"/>
  <c r="I4629" i="3" s="1"/>
  <c r="I4630" i="3" a="1"/>
  <c r="I4630" i="3" s="1"/>
  <c r="I4631" i="3" a="1"/>
  <c r="I4631" i="3" s="1"/>
  <c r="I4632" i="3" a="1"/>
  <c r="I4632" i="3" s="1"/>
  <c r="I4633" i="3" a="1"/>
  <c r="I4633" i="3" s="1"/>
  <c r="I4634" i="3" a="1"/>
  <c r="I4634" i="3" s="1"/>
  <c r="I4635" i="3" a="1"/>
  <c r="I4635" i="3" s="1"/>
  <c r="I4636" i="3" a="1"/>
  <c r="I4636" i="3" s="1"/>
  <c r="I4637" i="3" a="1"/>
  <c r="I4637" i="3" s="1"/>
  <c r="I4638" i="3" a="1"/>
  <c r="I4638" i="3" s="1"/>
  <c r="I4639" i="3" a="1"/>
  <c r="I4639" i="3" s="1"/>
  <c r="I4640" i="3" a="1"/>
  <c r="I4640" i="3" s="1"/>
  <c r="I4641" i="3" a="1"/>
  <c r="I4641" i="3" s="1"/>
  <c r="I4642" i="3" a="1"/>
  <c r="I4642" i="3" s="1"/>
  <c r="I4643" i="3" a="1"/>
  <c r="I4643" i="3" s="1"/>
  <c r="I4644" i="3" a="1"/>
  <c r="I4644" i="3" s="1"/>
  <c r="I4645" i="3" a="1"/>
  <c r="I4645" i="3" s="1"/>
  <c r="I4646" i="3" a="1"/>
  <c r="I4646" i="3" s="1"/>
  <c r="I4647" i="3" a="1"/>
  <c r="I4647" i="3" s="1"/>
  <c r="I4648" i="3" a="1"/>
  <c r="I4648" i="3" s="1"/>
  <c r="I4649" i="3" a="1"/>
  <c r="I4649" i="3" s="1"/>
  <c r="I4650" i="3" a="1"/>
  <c r="I4650" i="3" s="1"/>
  <c r="I4651" i="3" a="1"/>
  <c r="I4651" i="3" s="1"/>
  <c r="I4652" i="3" a="1"/>
  <c r="I4652" i="3" s="1"/>
  <c r="I4653" i="3" a="1"/>
  <c r="I4653" i="3" s="1"/>
  <c r="I4654" i="3" a="1"/>
  <c r="I4654" i="3" s="1"/>
  <c r="I4655" i="3" a="1"/>
  <c r="I4655" i="3" s="1"/>
  <c r="I4656" i="3" a="1"/>
  <c r="I4656" i="3" s="1"/>
  <c r="I4657" i="3" a="1"/>
  <c r="I4657" i="3" s="1"/>
  <c r="I4658" i="3" a="1"/>
  <c r="I4658" i="3" s="1"/>
  <c r="I4659" i="3" a="1"/>
  <c r="I4659" i="3" s="1"/>
  <c r="I4660" i="3" a="1"/>
  <c r="I4660" i="3" s="1"/>
  <c r="I4661" i="3" a="1"/>
  <c r="I4661" i="3" s="1"/>
  <c r="I4662" i="3" a="1"/>
  <c r="I4662" i="3" s="1"/>
  <c r="I4663" i="3" a="1"/>
  <c r="I4663" i="3" s="1"/>
  <c r="I4664" i="3" a="1"/>
  <c r="I4664" i="3" s="1"/>
  <c r="I4665" i="3" a="1"/>
  <c r="I4665" i="3" s="1"/>
  <c r="I4666" i="3" a="1"/>
  <c r="I4666" i="3" s="1"/>
  <c r="I4667" i="3" a="1"/>
  <c r="I4667" i="3" s="1"/>
  <c r="I4668" i="3" a="1"/>
  <c r="I4668" i="3" s="1"/>
  <c r="I4669" i="3" a="1"/>
  <c r="I4669" i="3" s="1"/>
  <c r="I4670" i="3" a="1"/>
  <c r="I4670" i="3" s="1"/>
  <c r="I4671" i="3" a="1"/>
  <c r="I4671" i="3" s="1"/>
  <c r="I4672" i="3" a="1"/>
  <c r="I4672" i="3" s="1"/>
  <c r="I4673" i="3" a="1"/>
  <c r="I4673" i="3" s="1"/>
  <c r="I4674" i="3" a="1"/>
  <c r="I4674" i="3" s="1"/>
  <c r="I4675" i="3" a="1"/>
  <c r="I4675" i="3" s="1"/>
  <c r="I4676" i="3" a="1"/>
  <c r="I4676" i="3" s="1"/>
  <c r="I4677" i="3" a="1"/>
  <c r="I4677" i="3" s="1"/>
  <c r="I4678" i="3" a="1"/>
  <c r="I4678" i="3" s="1"/>
  <c r="I4679" i="3" a="1"/>
  <c r="I4679" i="3" s="1"/>
  <c r="I4680" i="3" a="1"/>
  <c r="I4680" i="3" s="1"/>
  <c r="I4681" i="3" a="1"/>
  <c r="I4681" i="3" s="1"/>
  <c r="I4682" i="3" a="1"/>
  <c r="I4682" i="3" s="1"/>
  <c r="I4683" i="3" a="1"/>
  <c r="I4683" i="3" s="1"/>
  <c r="I4684" i="3" a="1"/>
  <c r="I4684" i="3" s="1"/>
  <c r="I4685" i="3" a="1"/>
  <c r="I4685" i="3" s="1"/>
  <c r="I4686" i="3" a="1"/>
  <c r="I4686" i="3" s="1"/>
  <c r="I4687" i="3" a="1"/>
  <c r="I4687" i="3" s="1"/>
  <c r="I4688" i="3" a="1"/>
  <c r="I4688" i="3" s="1"/>
  <c r="I4689" i="3" a="1"/>
  <c r="I4689" i="3" s="1"/>
  <c r="I4690" i="3" a="1"/>
  <c r="I4690" i="3" s="1"/>
  <c r="I4691" i="3" a="1"/>
  <c r="I4691" i="3" s="1"/>
  <c r="I4692" i="3" a="1"/>
  <c r="I4692" i="3" s="1"/>
  <c r="I4693" i="3" a="1"/>
  <c r="I4693" i="3" s="1"/>
  <c r="I4694" i="3" a="1"/>
  <c r="I4694" i="3" s="1"/>
  <c r="I4695" i="3" a="1"/>
  <c r="I4695" i="3" s="1"/>
  <c r="I4696" i="3" a="1"/>
  <c r="I4696" i="3" s="1"/>
  <c r="I4697" i="3" a="1"/>
  <c r="I4697" i="3" s="1"/>
  <c r="I4698" i="3" a="1"/>
  <c r="I4698" i="3" s="1"/>
  <c r="I4699" i="3" a="1"/>
  <c r="I4699" i="3" s="1"/>
  <c r="I4700" i="3" a="1"/>
  <c r="I4700" i="3" s="1"/>
  <c r="I4701" i="3" a="1"/>
  <c r="I4701" i="3" s="1"/>
  <c r="I4702" i="3" a="1"/>
  <c r="I4702" i="3" s="1"/>
  <c r="I4703" i="3" a="1"/>
  <c r="I4703" i="3" s="1"/>
  <c r="I4704" i="3" a="1"/>
  <c r="I4704" i="3" s="1"/>
  <c r="I4705" i="3" a="1"/>
  <c r="I4705" i="3" s="1"/>
  <c r="I4706" i="3" a="1"/>
  <c r="I4706" i="3" s="1"/>
  <c r="I4707" i="3" a="1"/>
  <c r="I4707" i="3" s="1"/>
  <c r="I4708" i="3" a="1"/>
  <c r="I4708" i="3" s="1"/>
  <c r="I4709" i="3" a="1"/>
  <c r="I4709" i="3" s="1"/>
  <c r="I4710" i="3" a="1"/>
  <c r="I4710" i="3" s="1"/>
  <c r="I4711" i="3" a="1"/>
  <c r="I4711" i="3" s="1"/>
  <c r="I4712" i="3" a="1"/>
  <c r="I4712" i="3" s="1"/>
  <c r="I4713" i="3" a="1"/>
  <c r="I4713" i="3" s="1"/>
  <c r="I4714" i="3" a="1"/>
  <c r="I4714" i="3" s="1"/>
  <c r="I4715" i="3" a="1"/>
  <c r="I4715" i="3" s="1"/>
  <c r="I4716" i="3" a="1"/>
  <c r="I4716" i="3" s="1"/>
  <c r="I4717" i="3" a="1"/>
  <c r="I4717" i="3" s="1"/>
  <c r="I4718" i="3" a="1"/>
  <c r="I4718" i="3" s="1"/>
  <c r="I4719" i="3" a="1"/>
  <c r="I4719" i="3" s="1"/>
  <c r="I4720" i="3" a="1"/>
  <c r="I4720" i="3" s="1"/>
  <c r="I4721" i="3" a="1"/>
  <c r="I4721" i="3" s="1"/>
  <c r="I4722" i="3" a="1"/>
  <c r="I4722" i="3" s="1"/>
  <c r="I4723" i="3" a="1"/>
  <c r="I4723" i="3" s="1"/>
  <c r="I4724" i="3" a="1"/>
  <c r="I4724" i="3" s="1"/>
  <c r="I4725" i="3" a="1"/>
  <c r="I4725" i="3" s="1"/>
  <c r="I4726" i="3" a="1"/>
  <c r="I4726" i="3" s="1"/>
  <c r="I4727" i="3" a="1"/>
  <c r="I4727" i="3" s="1"/>
  <c r="I4728" i="3" a="1"/>
  <c r="I4728" i="3" s="1"/>
  <c r="I4729" i="3" a="1"/>
  <c r="I4729" i="3" s="1"/>
  <c r="I4730" i="3" a="1"/>
  <c r="I4730" i="3" s="1"/>
  <c r="I4731" i="3" a="1"/>
  <c r="I4731" i="3" s="1"/>
  <c r="I4732" i="3" a="1"/>
  <c r="I4732" i="3" s="1"/>
  <c r="I4733" i="3" a="1"/>
  <c r="I4733" i="3" s="1"/>
  <c r="I4734" i="3" a="1"/>
  <c r="I4734" i="3" s="1"/>
  <c r="I4735" i="3" a="1"/>
  <c r="I4735" i="3" s="1"/>
  <c r="I4736" i="3" a="1"/>
  <c r="I4736" i="3" s="1"/>
  <c r="I4737" i="3" a="1"/>
  <c r="I4737" i="3" s="1"/>
  <c r="I4738" i="3" a="1"/>
  <c r="I4738" i="3" s="1"/>
  <c r="I4739" i="3" a="1"/>
  <c r="I4739" i="3" s="1"/>
  <c r="I4740" i="3" a="1"/>
  <c r="I4740" i="3" s="1"/>
  <c r="I4741" i="3" a="1"/>
  <c r="I4741" i="3" s="1"/>
  <c r="I4742" i="3" a="1"/>
  <c r="I4742" i="3" s="1"/>
  <c r="I4743" i="3" a="1"/>
  <c r="I4743" i="3" s="1"/>
  <c r="I4744" i="3" a="1"/>
  <c r="I4744" i="3" s="1"/>
  <c r="I4745" i="3" a="1"/>
  <c r="I4745" i="3" s="1"/>
  <c r="I4746" i="3" a="1"/>
  <c r="I4746" i="3" s="1"/>
  <c r="I4747" i="3" a="1"/>
  <c r="I4747" i="3" s="1"/>
  <c r="I4748" i="3" a="1"/>
  <c r="I4748" i="3" s="1"/>
  <c r="I4749" i="3" a="1"/>
  <c r="I4749" i="3" s="1"/>
  <c r="I4750" i="3" a="1"/>
  <c r="I4750" i="3" s="1"/>
  <c r="I4751" i="3" a="1"/>
  <c r="I4751" i="3" s="1"/>
  <c r="I4752" i="3" a="1"/>
  <c r="I4752" i="3" s="1"/>
  <c r="I4753" i="3" a="1"/>
  <c r="I4753" i="3" s="1"/>
  <c r="I4754" i="3" a="1"/>
  <c r="I4754" i="3" s="1"/>
  <c r="I4755" i="3" a="1"/>
  <c r="I4755" i="3" s="1"/>
  <c r="I4756" i="3" a="1"/>
  <c r="I4756" i="3" s="1"/>
  <c r="I4757" i="3" a="1"/>
  <c r="I4757" i="3" s="1"/>
  <c r="I4758" i="3" a="1"/>
  <c r="I4758" i="3" s="1"/>
  <c r="I4759" i="3" a="1"/>
  <c r="I4759" i="3" s="1"/>
  <c r="I4760" i="3" a="1"/>
  <c r="I4760" i="3" s="1"/>
  <c r="I4761" i="3" a="1"/>
  <c r="I4761" i="3" s="1"/>
  <c r="I4762" i="3" a="1"/>
  <c r="I4762" i="3" s="1"/>
  <c r="I4763" i="3" a="1"/>
  <c r="I4763" i="3" s="1"/>
  <c r="I4764" i="3" a="1"/>
  <c r="I4764" i="3" s="1"/>
  <c r="I4765" i="3" a="1"/>
  <c r="I4765" i="3" s="1"/>
  <c r="I4766" i="3" a="1"/>
  <c r="I4766" i="3" s="1"/>
  <c r="I4767" i="3" a="1"/>
  <c r="I4767" i="3" s="1"/>
  <c r="I4768" i="3" a="1"/>
  <c r="I4768" i="3" s="1"/>
  <c r="I4769" i="3" a="1"/>
  <c r="I4769" i="3" s="1"/>
  <c r="I4770" i="3" a="1"/>
  <c r="I4770" i="3" s="1"/>
  <c r="I4771" i="3" a="1"/>
  <c r="I4771" i="3" s="1"/>
  <c r="I4772" i="3" a="1"/>
  <c r="I4772" i="3" s="1"/>
  <c r="I4773" i="3" a="1"/>
  <c r="I4773" i="3" s="1"/>
  <c r="I4774" i="3" a="1"/>
  <c r="I4774" i="3" s="1"/>
  <c r="I4775" i="3" a="1"/>
  <c r="I4775" i="3" s="1"/>
  <c r="I4776" i="3" a="1"/>
  <c r="I4776" i="3" s="1"/>
  <c r="I4777" i="3" a="1"/>
  <c r="I4777" i="3" s="1"/>
  <c r="I4778" i="3" a="1"/>
  <c r="I4778" i="3" s="1"/>
  <c r="I4779" i="3" a="1"/>
  <c r="I4779" i="3" s="1"/>
  <c r="I4780" i="3" a="1"/>
  <c r="I4780" i="3" s="1"/>
  <c r="I4781" i="3" a="1"/>
  <c r="I4781" i="3" s="1"/>
  <c r="I4782" i="3" a="1"/>
  <c r="I4782" i="3" s="1"/>
  <c r="I4783" i="3" a="1"/>
  <c r="I4783" i="3" s="1"/>
  <c r="I4784" i="3" a="1"/>
  <c r="I4784" i="3" s="1"/>
  <c r="I4785" i="3" a="1"/>
  <c r="I4785" i="3" s="1"/>
  <c r="I4786" i="3" a="1"/>
  <c r="I4786" i="3" s="1"/>
  <c r="I4787" i="3" a="1"/>
  <c r="I4787" i="3" s="1"/>
  <c r="I4788" i="3" a="1"/>
  <c r="I4788" i="3" s="1"/>
  <c r="I4789" i="3" a="1"/>
  <c r="I4789" i="3" s="1"/>
  <c r="I4790" i="3" a="1"/>
  <c r="I4790" i="3" s="1"/>
  <c r="I4791" i="3" a="1"/>
  <c r="I4791" i="3" s="1"/>
  <c r="I4792" i="3" a="1"/>
  <c r="I4792" i="3" s="1"/>
  <c r="I4793" i="3" a="1"/>
  <c r="I4793" i="3" s="1"/>
  <c r="I4794" i="3" a="1"/>
  <c r="I4794" i="3" s="1"/>
  <c r="I4795" i="3" a="1"/>
  <c r="I4795" i="3" s="1"/>
  <c r="I4796" i="3" a="1"/>
  <c r="I4796" i="3" s="1"/>
  <c r="I4797" i="3" a="1"/>
  <c r="I4797" i="3" s="1"/>
  <c r="I4798" i="3" a="1"/>
  <c r="I4798" i="3" s="1"/>
  <c r="I4799" i="3" a="1"/>
  <c r="I4799" i="3" s="1"/>
  <c r="I4800" i="3" a="1"/>
  <c r="I4800" i="3" s="1"/>
  <c r="I4801" i="3" a="1"/>
  <c r="I4801" i="3" s="1"/>
  <c r="I4802" i="3" a="1"/>
  <c r="I4802" i="3" s="1"/>
  <c r="I4803" i="3" a="1"/>
  <c r="I4803" i="3" s="1"/>
  <c r="I4804" i="3" a="1"/>
  <c r="I4804" i="3" s="1"/>
  <c r="I4805" i="3" a="1"/>
  <c r="I4805" i="3" s="1"/>
  <c r="I4806" i="3" a="1"/>
  <c r="I4806" i="3" s="1"/>
  <c r="I4807" i="3" a="1"/>
  <c r="I4807" i="3" s="1"/>
  <c r="I4808" i="3" a="1"/>
  <c r="I4808" i="3" s="1"/>
  <c r="I4809" i="3" a="1"/>
  <c r="I4809" i="3" s="1"/>
  <c r="I4810" i="3" a="1"/>
  <c r="I4810" i="3" s="1"/>
  <c r="I4811" i="3" a="1"/>
  <c r="I4811" i="3" s="1"/>
  <c r="I4812" i="3" a="1"/>
  <c r="I4812" i="3" s="1"/>
  <c r="I4813" i="3" a="1"/>
  <c r="I4813" i="3" s="1"/>
  <c r="I4814" i="3" a="1"/>
  <c r="I4814" i="3" s="1"/>
  <c r="I4815" i="3" a="1"/>
  <c r="I4815" i="3" s="1"/>
  <c r="I4816" i="3" a="1"/>
  <c r="I4816" i="3" s="1"/>
  <c r="I4817" i="3" a="1"/>
  <c r="I4817" i="3" s="1"/>
  <c r="I4818" i="3" a="1"/>
  <c r="I4818" i="3" s="1"/>
  <c r="I4819" i="3" a="1"/>
  <c r="I4819" i="3" s="1"/>
  <c r="I4820" i="3" a="1"/>
  <c r="I4820" i="3" s="1"/>
  <c r="I4821" i="3" a="1"/>
  <c r="I4821" i="3" s="1"/>
  <c r="I4822" i="3" a="1"/>
  <c r="I4822" i="3" s="1"/>
  <c r="I4823" i="3" a="1"/>
  <c r="I4823" i="3" s="1"/>
  <c r="I4824" i="3" a="1"/>
  <c r="I4824" i="3" s="1"/>
  <c r="I4825" i="3" a="1"/>
  <c r="I4825" i="3" s="1"/>
  <c r="I4826" i="3" a="1"/>
  <c r="I4826" i="3" s="1"/>
  <c r="I4827" i="3" a="1"/>
  <c r="I4827" i="3" s="1"/>
  <c r="I4828" i="3" a="1"/>
  <c r="I4828" i="3" s="1"/>
  <c r="I4829" i="3" a="1"/>
  <c r="I4829" i="3" s="1"/>
  <c r="I4830" i="3" a="1"/>
  <c r="I4830" i="3" s="1"/>
  <c r="I4831" i="3" a="1"/>
  <c r="I4831" i="3" s="1"/>
  <c r="I4832" i="3" a="1"/>
  <c r="I4832" i="3" s="1"/>
  <c r="I4833" i="3" a="1"/>
  <c r="I4833" i="3" s="1"/>
  <c r="I4834" i="3" a="1"/>
  <c r="I4834" i="3" s="1"/>
  <c r="I4835" i="3" a="1"/>
  <c r="I4835" i="3" s="1"/>
  <c r="I4836" i="3" a="1"/>
  <c r="I4836" i="3" s="1"/>
  <c r="I4837" i="3" a="1"/>
  <c r="I4837" i="3" s="1"/>
  <c r="I4838" i="3" a="1"/>
  <c r="I4838" i="3" s="1"/>
  <c r="I4839" i="3" a="1"/>
  <c r="I4839" i="3" s="1"/>
  <c r="I4840" i="3" a="1"/>
  <c r="I4840" i="3" s="1"/>
  <c r="I4841" i="3" a="1"/>
  <c r="I4841" i="3" s="1"/>
  <c r="I4842" i="3" a="1"/>
  <c r="I4842" i="3" s="1"/>
  <c r="I4843" i="3" a="1"/>
  <c r="I4843" i="3" s="1"/>
  <c r="I4844" i="3" a="1"/>
  <c r="I4844" i="3" s="1"/>
  <c r="I4845" i="3" a="1"/>
  <c r="I4845" i="3" s="1"/>
  <c r="I4846" i="3" a="1"/>
  <c r="I4846" i="3" s="1"/>
  <c r="I4847" i="3" a="1"/>
  <c r="I4847" i="3" s="1"/>
  <c r="I4848" i="3" a="1"/>
  <c r="I4848" i="3" s="1"/>
  <c r="I4849" i="3" a="1"/>
  <c r="I4849" i="3" s="1"/>
  <c r="I4850" i="3" a="1"/>
  <c r="I4850" i="3" s="1"/>
  <c r="I4851" i="3" a="1"/>
  <c r="I4851" i="3" s="1"/>
  <c r="I4852" i="3" a="1"/>
  <c r="I4852" i="3" s="1"/>
  <c r="I4853" i="3" a="1"/>
  <c r="I4853" i="3" s="1"/>
  <c r="I4854" i="3" a="1"/>
  <c r="I4854" i="3" s="1"/>
  <c r="I4855" i="3" a="1"/>
  <c r="I4855" i="3" s="1"/>
  <c r="I4856" i="3" a="1"/>
  <c r="I4856" i="3" s="1"/>
  <c r="I4857" i="3" a="1"/>
  <c r="I4857" i="3" s="1"/>
  <c r="I4858" i="3" a="1"/>
  <c r="I4858" i="3" s="1"/>
  <c r="I4859" i="3" a="1"/>
  <c r="I4859" i="3" s="1"/>
  <c r="I4860" i="3" a="1"/>
  <c r="I4860" i="3" s="1"/>
  <c r="I4861" i="3" a="1"/>
  <c r="I4861" i="3" s="1"/>
  <c r="I4862" i="3" a="1"/>
  <c r="I4862" i="3" s="1"/>
  <c r="I4863" i="3" a="1"/>
  <c r="I4863" i="3" s="1"/>
  <c r="I4864" i="3" a="1"/>
  <c r="I4864" i="3" s="1"/>
  <c r="I4865" i="3" a="1"/>
  <c r="I4865" i="3" s="1"/>
  <c r="I4866" i="3" a="1"/>
  <c r="I4866" i="3" s="1"/>
  <c r="I4867" i="3" a="1"/>
  <c r="I4867" i="3" s="1"/>
  <c r="I4868" i="3" a="1"/>
  <c r="I4868" i="3" s="1"/>
  <c r="I4869" i="3" a="1"/>
  <c r="I4869" i="3" s="1"/>
  <c r="I4870" i="3" a="1"/>
  <c r="I4870" i="3" s="1"/>
  <c r="I4871" i="3" a="1"/>
  <c r="I4871" i="3" s="1"/>
  <c r="I4872" i="3" a="1"/>
  <c r="I4872" i="3" s="1"/>
  <c r="I4873" i="3" a="1"/>
  <c r="I4873" i="3" s="1"/>
  <c r="I4874" i="3" a="1"/>
  <c r="I4874" i="3" s="1"/>
  <c r="I4875" i="3" a="1"/>
  <c r="I4875" i="3" s="1"/>
  <c r="I4876" i="3" a="1"/>
  <c r="I4876" i="3" s="1"/>
  <c r="I4877" i="3" a="1"/>
  <c r="I4877" i="3" s="1"/>
  <c r="I4878" i="3" a="1"/>
  <c r="I4878" i="3" s="1"/>
  <c r="I4879" i="3" a="1"/>
  <c r="I4879" i="3" s="1"/>
  <c r="I4880" i="3" a="1"/>
  <c r="I4880" i="3" s="1"/>
  <c r="I4881" i="3" a="1"/>
  <c r="I4881" i="3" s="1"/>
  <c r="I4882" i="3" a="1"/>
  <c r="I4882" i="3" s="1"/>
  <c r="I4883" i="3" a="1"/>
  <c r="I4883" i="3" s="1"/>
  <c r="I4884" i="3" a="1"/>
  <c r="I4884" i="3" s="1"/>
  <c r="I4885" i="3" a="1"/>
  <c r="I4885" i="3" s="1"/>
  <c r="I4886" i="3" a="1"/>
  <c r="I4886" i="3" s="1"/>
  <c r="I4887" i="3" a="1"/>
  <c r="I4887" i="3" s="1"/>
  <c r="I4888" i="3" a="1"/>
  <c r="I4888" i="3" s="1"/>
  <c r="I4889" i="3" a="1"/>
  <c r="I4889" i="3" s="1"/>
  <c r="I4890" i="3" a="1"/>
  <c r="I4890" i="3" s="1"/>
  <c r="I4891" i="3" a="1"/>
  <c r="I4891" i="3" s="1"/>
  <c r="I4892" i="3" a="1"/>
  <c r="I4892" i="3" s="1"/>
  <c r="I4893" i="3" a="1"/>
  <c r="I4893" i="3" s="1"/>
  <c r="I4894" i="3" a="1"/>
  <c r="I4894" i="3" s="1"/>
  <c r="I4895" i="3" a="1"/>
  <c r="I4895" i="3" s="1"/>
  <c r="I4896" i="3" a="1"/>
  <c r="I4896" i="3" s="1"/>
  <c r="I4897" i="3" a="1"/>
  <c r="I4897" i="3" s="1"/>
  <c r="I4898" i="3" a="1"/>
  <c r="I4898" i="3" s="1"/>
  <c r="I4899" i="3" a="1"/>
  <c r="I4899" i="3" s="1"/>
  <c r="I4900" i="3" a="1"/>
  <c r="I4900" i="3" s="1"/>
  <c r="I4901" i="3" a="1"/>
  <c r="I4901" i="3" s="1"/>
  <c r="I4902" i="3" a="1"/>
  <c r="I4902" i="3" s="1"/>
  <c r="I4903" i="3" a="1"/>
  <c r="I4903" i="3" s="1"/>
  <c r="I4904" i="3" a="1"/>
  <c r="I4904" i="3" s="1"/>
  <c r="I4905" i="3" a="1"/>
  <c r="I4905" i="3" s="1"/>
  <c r="I4906" i="3" a="1"/>
  <c r="I4906" i="3" s="1"/>
  <c r="I4907" i="3" a="1"/>
  <c r="I4907" i="3" s="1"/>
  <c r="I4908" i="3" a="1"/>
  <c r="I4908" i="3" s="1"/>
  <c r="I4909" i="3" a="1"/>
  <c r="I4909" i="3" s="1"/>
  <c r="I4910" i="3" a="1"/>
  <c r="I4910" i="3" s="1"/>
  <c r="I4911" i="3" a="1"/>
  <c r="I4911" i="3" s="1"/>
  <c r="I4912" i="3" a="1"/>
  <c r="I4912" i="3" s="1"/>
  <c r="I4913" i="3" a="1"/>
  <c r="I4913" i="3" s="1"/>
  <c r="I4914" i="3" a="1"/>
  <c r="I4914" i="3" s="1"/>
  <c r="I4915" i="3" a="1"/>
  <c r="I4915" i="3" s="1"/>
  <c r="I4916" i="3" a="1"/>
  <c r="I4916" i="3" s="1"/>
  <c r="I4917" i="3" a="1"/>
  <c r="I4917" i="3" s="1"/>
  <c r="I4918" i="3" a="1"/>
  <c r="I4918" i="3" s="1"/>
  <c r="I4919" i="3" a="1"/>
  <c r="I4919" i="3" s="1"/>
  <c r="I4920" i="3" a="1"/>
  <c r="I4920" i="3" s="1"/>
  <c r="I4921" i="3" a="1"/>
  <c r="I4921" i="3" s="1"/>
  <c r="I4922" i="3" a="1"/>
  <c r="I4922" i="3" s="1"/>
  <c r="I4923" i="3" a="1"/>
  <c r="I4923" i="3" s="1"/>
  <c r="I4924" i="3" a="1"/>
  <c r="I4924" i="3" s="1"/>
  <c r="I4925" i="3" a="1"/>
  <c r="I4925" i="3" s="1"/>
  <c r="I4926" i="3" a="1"/>
  <c r="I4926" i="3" s="1"/>
  <c r="I4927" i="3" a="1"/>
  <c r="I4927" i="3" s="1"/>
  <c r="I4928" i="3" a="1"/>
  <c r="I4928" i="3" s="1"/>
  <c r="I4929" i="3" a="1"/>
  <c r="I4929" i="3" s="1"/>
  <c r="I4930" i="3" a="1"/>
  <c r="I4930" i="3" s="1"/>
  <c r="I4931" i="3" a="1"/>
  <c r="I4931" i="3" s="1"/>
  <c r="I4932" i="3" a="1"/>
  <c r="I4932" i="3" s="1"/>
  <c r="I4933" i="3" a="1"/>
  <c r="I4933" i="3" s="1"/>
  <c r="I4934" i="3" a="1"/>
  <c r="I4934" i="3" s="1"/>
  <c r="I4935" i="3" a="1"/>
  <c r="I4935" i="3" s="1"/>
  <c r="I4936" i="3" a="1"/>
  <c r="I4936" i="3" s="1"/>
  <c r="I4937" i="3" a="1"/>
  <c r="I4937" i="3" s="1"/>
  <c r="I4938" i="3" a="1"/>
  <c r="I4938" i="3" s="1"/>
  <c r="I4939" i="3" a="1"/>
  <c r="I4939" i="3" s="1"/>
  <c r="I4940" i="3" a="1"/>
  <c r="I4940" i="3" s="1"/>
  <c r="I4941" i="3" a="1"/>
  <c r="I4941" i="3" s="1"/>
  <c r="I4942" i="3" a="1"/>
  <c r="I4942" i="3" s="1"/>
  <c r="I4943" i="3" a="1"/>
  <c r="I4943" i="3" s="1"/>
  <c r="I4944" i="3" a="1"/>
  <c r="I4944" i="3" s="1"/>
  <c r="I4945" i="3" a="1"/>
  <c r="I4945" i="3" s="1"/>
  <c r="I4946" i="3" a="1"/>
  <c r="I4946" i="3" s="1"/>
  <c r="I4947" i="3" a="1"/>
  <c r="I4947" i="3" s="1"/>
  <c r="I4948" i="3" a="1"/>
  <c r="I4948" i="3" s="1"/>
  <c r="I4949" i="3" a="1"/>
  <c r="I4949" i="3" s="1"/>
  <c r="I4950" i="3" a="1"/>
  <c r="I4950" i="3" s="1"/>
  <c r="I4951" i="3" a="1"/>
  <c r="I4951" i="3" s="1"/>
  <c r="I4952" i="3" a="1"/>
  <c r="I4952" i="3" s="1"/>
  <c r="I4953" i="3" a="1"/>
  <c r="I4953" i="3" s="1"/>
  <c r="I4954" i="3" a="1"/>
  <c r="I4954" i="3" s="1"/>
  <c r="I4955" i="3" a="1"/>
  <c r="I4955" i="3" s="1"/>
  <c r="I4956" i="3" a="1"/>
  <c r="I4956" i="3" s="1"/>
  <c r="I4957" i="3" a="1"/>
  <c r="I4957" i="3" s="1"/>
  <c r="I4958" i="3" a="1"/>
  <c r="I4958" i="3" s="1"/>
  <c r="I4959" i="3" a="1"/>
  <c r="I4959" i="3" s="1"/>
  <c r="I4960" i="3" a="1"/>
  <c r="I4960" i="3" s="1"/>
  <c r="I4961" i="3" a="1"/>
  <c r="I4961" i="3" s="1"/>
  <c r="I4962" i="3" a="1"/>
  <c r="I4962" i="3" s="1"/>
  <c r="I4963" i="3" a="1"/>
  <c r="I4963" i="3" s="1"/>
  <c r="I4964" i="3" a="1"/>
  <c r="I4964" i="3" s="1"/>
  <c r="I4965" i="3" a="1"/>
  <c r="I4965" i="3" s="1"/>
  <c r="I4966" i="3" a="1"/>
  <c r="I4966" i="3" s="1"/>
  <c r="I4967" i="3" a="1"/>
  <c r="I4967" i="3" s="1"/>
  <c r="I4968" i="3" a="1"/>
  <c r="I4968" i="3" s="1"/>
  <c r="I4969" i="3" a="1"/>
  <c r="I4969" i="3" s="1"/>
  <c r="I4970" i="3" a="1"/>
  <c r="I4970" i="3" s="1"/>
  <c r="I4971" i="3" a="1"/>
  <c r="I4971" i="3" s="1"/>
  <c r="I4972" i="3" a="1"/>
  <c r="I4972" i="3" s="1"/>
  <c r="I4973" i="3" a="1"/>
  <c r="I4973" i="3" s="1"/>
  <c r="I4974" i="3" a="1"/>
  <c r="I4974" i="3" s="1"/>
  <c r="I4975" i="3" a="1"/>
  <c r="I4975" i="3" s="1"/>
  <c r="I4976" i="3" a="1"/>
  <c r="I4976" i="3" s="1"/>
  <c r="I4977" i="3" a="1"/>
  <c r="I4977" i="3" s="1"/>
  <c r="I4978" i="3" a="1"/>
  <c r="I4978" i="3" s="1"/>
  <c r="I4979" i="3" a="1"/>
  <c r="I4979" i="3" s="1"/>
  <c r="I4980" i="3" a="1"/>
  <c r="I4980" i="3" s="1"/>
  <c r="I4981" i="3" a="1"/>
  <c r="I4981" i="3" s="1"/>
  <c r="I4982" i="3" a="1"/>
  <c r="I4982" i="3" s="1"/>
  <c r="I4983" i="3" a="1"/>
  <c r="I4983" i="3" s="1"/>
  <c r="I4984" i="3" a="1"/>
  <c r="I4984" i="3" s="1"/>
  <c r="I4985" i="3" a="1"/>
  <c r="I4985" i="3" s="1"/>
  <c r="I4986" i="3" a="1"/>
  <c r="I4986" i="3" s="1"/>
  <c r="I4987" i="3" a="1"/>
  <c r="I4987" i="3" s="1"/>
  <c r="I4988" i="3" a="1"/>
  <c r="I4988" i="3" s="1"/>
  <c r="I4989" i="3" a="1"/>
  <c r="I4989" i="3" s="1"/>
  <c r="I4990" i="3" a="1"/>
  <c r="I4990" i="3" s="1"/>
  <c r="I4991" i="3" a="1"/>
  <c r="I4991" i="3" s="1"/>
  <c r="I4992" i="3" a="1"/>
  <c r="I4992" i="3" s="1"/>
  <c r="I4993" i="3" a="1"/>
  <c r="I4993" i="3" s="1"/>
  <c r="I4994" i="3" a="1"/>
  <c r="I4994" i="3" s="1"/>
  <c r="I4995" i="3" a="1"/>
  <c r="I4995" i="3" s="1"/>
  <c r="I4996" i="3" a="1"/>
  <c r="I4996" i="3" s="1"/>
  <c r="I4997" i="3" a="1"/>
  <c r="I4997" i="3" s="1"/>
  <c r="I4998" i="3" a="1"/>
  <c r="I4998" i="3" s="1"/>
  <c r="I4999" i="3" a="1"/>
  <c r="I4999" i="3" s="1"/>
  <c r="I5000" i="3" a="1"/>
  <c r="I5000" i="3" s="1"/>
  <c r="I5001" i="3" a="1"/>
  <c r="I5001" i="3" s="1"/>
  <c r="I5002" i="3" a="1"/>
  <c r="I5002" i="3" s="1"/>
  <c r="I5003" i="3" a="1"/>
  <c r="I5003" i="3" s="1"/>
  <c r="I5004" i="3" a="1"/>
  <c r="I5004" i="3" s="1"/>
  <c r="I5005" i="3" a="1"/>
  <c r="I5005" i="3" s="1"/>
  <c r="I5006" i="3" a="1"/>
  <c r="I5006" i="3" s="1"/>
  <c r="I5007" i="3" a="1"/>
  <c r="I5007" i="3" s="1"/>
  <c r="I5008" i="3" a="1"/>
  <c r="I5008" i="3" s="1"/>
  <c r="I5009" i="3" a="1"/>
  <c r="I5009" i="3" s="1"/>
  <c r="I5010" i="3" a="1"/>
  <c r="I5010" i="3" s="1"/>
  <c r="I5011" i="3" a="1"/>
  <c r="I5011" i="3" s="1"/>
  <c r="I5012" i="3" a="1"/>
  <c r="I5012" i="3" s="1"/>
  <c r="I5013" i="3" a="1"/>
  <c r="I5013" i="3" s="1"/>
  <c r="I5014" i="3" a="1"/>
  <c r="I5014" i="3" s="1"/>
  <c r="I5015" i="3" a="1"/>
  <c r="I5015" i="3" s="1"/>
  <c r="I5016" i="3" a="1"/>
  <c r="I5016" i="3" s="1"/>
  <c r="I5017" i="3" a="1"/>
  <c r="I5017" i="3" s="1"/>
  <c r="I5018" i="3" a="1"/>
  <c r="I5018" i="3" s="1"/>
  <c r="I5019" i="3" a="1"/>
  <c r="I5019" i="3" s="1"/>
  <c r="I5020" i="3" a="1"/>
  <c r="I5020" i="3" s="1"/>
  <c r="I5021" i="3" a="1"/>
  <c r="I5021" i="3" s="1"/>
  <c r="I5022" i="3" a="1"/>
  <c r="I5022" i="3" s="1"/>
  <c r="I5023" i="3" a="1"/>
  <c r="I5023" i="3" s="1"/>
  <c r="I5024" i="3" a="1"/>
  <c r="I5024" i="3" s="1"/>
  <c r="I5025" i="3" a="1"/>
  <c r="I5025" i="3" s="1"/>
  <c r="I5026" i="3" a="1"/>
  <c r="I5026" i="3" s="1"/>
  <c r="I5027" i="3" a="1"/>
  <c r="I5027" i="3" s="1"/>
  <c r="I5028" i="3" a="1"/>
  <c r="I5028" i="3" s="1"/>
  <c r="I5029" i="3" a="1"/>
  <c r="I5029" i="3" s="1"/>
  <c r="I5030" i="3" a="1"/>
  <c r="I5030" i="3" s="1"/>
  <c r="I5031" i="3" a="1"/>
  <c r="I5031" i="3" s="1"/>
  <c r="I5032" i="3" a="1"/>
  <c r="I5032" i="3" s="1"/>
  <c r="I5033" i="3" a="1"/>
  <c r="I5033" i="3" s="1"/>
  <c r="I5034" i="3" a="1"/>
  <c r="I5034" i="3" s="1"/>
  <c r="I5035" i="3" a="1"/>
  <c r="I5035" i="3" s="1"/>
  <c r="I5036" i="3" a="1"/>
  <c r="I5036" i="3" s="1"/>
  <c r="I5037" i="3" a="1"/>
  <c r="I5037" i="3" s="1"/>
  <c r="I5038" i="3" a="1"/>
  <c r="I5038" i="3" s="1"/>
  <c r="I38" i="3" a="1"/>
  <c r="I38" i="3" s="1"/>
  <c r="H38" i="3" a="1"/>
  <c r="H38" i="3" s="1"/>
  <c r="H39" i="3" a="1"/>
  <c r="H39" i="3" s="1"/>
  <c r="H40" i="3" a="1"/>
  <c r="H40" i="3" s="1"/>
  <c r="H41" i="3" a="1"/>
  <c r="H41" i="3" s="1"/>
  <c r="H42" i="3" a="1"/>
  <c r="H42" i="3" s="1"/>
  <c r="H43" i="3" a="1"/>
  <c r="H43" i="3" s="1"/>
  <c r="H44" i="3" a="1"/>
  <c r="H44" i="3" s="1"/>
  <c r="H45" i="3" a="1"/>
  <c r="H45" i="3" s="1"/>
  <c r="H46" i="3" a="1"/>
  <c r="H46" i="3" s="1"/>
  <c r="H47" i="3" a="1"/>
  <c r="H47" i="3" s="1"/>
  <c r="H48" i="3" a="1"/>
  <c r="H48" i="3" s="1"/>
  <c r="H49" i="3" a="1"/>
  <c r="H49" i="3" s="1"/>
  <c r="H50" i="3" a="1"/>
  <c r="H50" i="3" s="1"/>
  <c r="H51" i="3" a="1"/>
  <c r="H51" i="3" s="1"/>
  <c r="H52" i="3" a="1"/>
  <c r="H52" i="3" s="1"/>
  <c r="H53" i="3" a="1"/>
  <c r="H53" i="3" s="1"/>
  <c r="H54" i="3" a="1"/>
  <c r="H54" i="3" s="1"/>
  <c r="H55" i="3" a="1"/>
  <c r="H55" i="3" s="1"/>
  <c r="H56" i="3" a="1"/>
  <c r="H56" i="3" s="1"/>
  <c r="H57" i="3" a="1"/>
  <c r="H57" i="3" s="1"/>
  <c r="H58" i="3" a="1"/>
  <c r="H58" i="3" s="1"/>
  <c r="H59" i="3" a="1"/>
  <c r="H59" i="3" s="1"/>
  <c r="H60" i="3" a="1"/>
  <c r="H60" i="3" s="1"/>
  <c r="H61" i="3" a="1"/>
  <c r="H61" i="3" s="1"/>
  <c r="H62" i="3" a="1"/>
  <c r="H62" i="3" s="1"/>
  <c r="H63" i="3" a="1"/>
  <c r="H63" i="3" s="1"/>
  <c r="H64" i="3" a="1"/>
  <c r="H64" i="3" s="1"/>
  <c r="H65" i="3" a="1"/>
  <c r="H65" i="3" s="1"/>
  <c r="H66" i="3" a="1"/>
  <c r="H66" i="3" s="1"/>
  <c r="H67" i="3" a="1"/>
  <c r="H67" i="3" s="1"/>
  <c r="H68" i="3" a="1"/>
  <c r="H68" i="3" s="1"/>
  <c r="H69" i="3" a="1"/>
  <c r="H69" i="3" s="1"/>
  <c r="H70" i="3" a="1"/>
  <c r="H70" i="3" s="1"/>
  <c r="H71" i="3" a="1"/>
  <c r="H71" i="3" s="1"/>
  <c r="H72" i="3" a="1"/>
  <c r="H72" i="3" s="1"/>
  <c r="H73" i="3" a="1"/>
  <c r="H73" i="3" s="1"/>
  <c r="H74" i="3" a="1"/>
  <c r="H74" i="3" s="1"/>
  <c r="H75" i="3" a="1"/>
  <c r="H75" i="3" s="1"/>
  <c r="H76" i="3" a="1"/>
  <c r="H76" i="3" s="1"/>
  <c r="H77" i="3" a="1"/>
  <c r="H77" i="3" s="1"/>
  <c r="H78" i="3" a="1"/>
  <c r="H78" i="3" s="1"/>
  <c r="H79" i="3" a="1"/>
  <c r="H79" i="3" s="1"/>
  <c r="H80" i="3" a="1"/>
  <c r="H80" i="3" s="1"/>
  <c r="H81" i="3" a="1"/>
  <c r="H81" i="3" s="1"/>
  <c r="H82" i="3" a="1"/>
  <c r="H82" i="3" s="1"/>
  <c r="H83" i="3" a="1"/>
  <c r="H83" i="3" s="1"/>
  <c r="H84" i="3" a="1"/>
  <c r="H84" i="3" s="1"/>
  <c r="H85" i="3" a="1"/>
  <c r="H85" i="3" s="1"/>
  <c r="H86" i="3" a="1"/>
  <c r="H86" i="3" s="1"/>
  <c r="H87" i="3" a="1"/>
  <c r="H87" i="3" s="1"/>
  <c r="H88" i="3" a="1"/>
  <c r="H88" i="3" s="1"/>
  <c r="H89" i="3" a="1"/>
  <c r="H89" i="3" s="1"/>
  <c r="H90" i="3" a="1"/>
  <c r="H90" i="3" s="1"/>
  <c r="H91" i="3" a="1"/>
  <c r="H91" i="3" s="1"/>
  <c r="H92" i="3" a="1"/>
  <c r="H92" i="3" s="1"/>
  <c r="H93" i="3" a="1"/>
  <c r="H93" i="3" s="1"/>
  <c r="H94" i="3" a="1"/>
  <c r="H94" i="3" s="1"/>
  <c r="H95" i="3" a="1"/>
  <c r="H95" i="3" s="1"/>
  <c r="H96" i="3" a="1"/>
  <c r="H96" i="3" s="1"/>
  <c r="H97" i="3" a="1"/>
  <c r="H97" i="3" s="1"/>
  <c r="H98" i="3" a="1"/>
  <c r="H98" i="3" s="1"/>
  <c r="H99" i="3" a="1"/>
  <c r="H99" i="3" s="1"/>
  <c r="H100" i="3" a="1"/>
  <c r="H100" i="3" s="1"/>
  <c r="H101" i="3" a="1"/>
  <c r="H101" i="3" s="1"/>
  <c r="H102" i="3" a="1"/>
  <c r="H102" i="3" s="1"/>
  <c r="H103" i="3" a="1"/>
  <c r="H103" i="3" s="1"/>
  <c r="H104" i="3" a="1"/>
  <c r="H104" i="3" s="1"/>
  <c r="H105" i="3" a="1"/>
  <c r="H105" i="3" s="1"/>
  <c r="H106" i="3" a="1"/>
  <c r="H106" i="3" s="1"/>
  <c r="H107" i="3" a="1"/>
  <c r="H107" i="3" s="1"/>
  <c r="H108" i="3" a="1"/>
  <c r="H108" i="3" s="1"/>
  <c r="H109" i="3" a="1"/>
  <c r="H109" i="3" s="1"/>
  <c r="H110" i="3" a="1"/>
  <c r="H110" i="3" s="1"/>
  <c r="H111" i="3" a="1"/>
  <c r="H111" i="3" s="1"/>
  <c r="H112" i="3" a="1"/>
  <c r="H112" i="3" s="1"/>
  <c r="H113" i="3" a="1"/>
  <c r="H113" i="3" s="1"/>
  <c r="H114" i="3" a="1"/>
  <c r="H114" i="3" s="1"/>
  <c r="H115" i="3" a="1"/>
  <c r="H115" i="3" s="1"/>
  <c r="H116" i="3" a="1"/>
  <c r="H116" i="3" s="1"/>
  <c r="H117" i="3" a="1"/>
  <c r="H117" i="3" s="1"/>
  <c r="H118" i="3" a="1"/>
  <c r="H118" i="3" s="1"/>
  <c r="H119" i="3" a="1"/>
  <c r="H119" i="3" s="1"/>
  <c r="H120" i="3" a="1"/>
  <c r="H120" i="3" s="1"/>
  <c r="H121" i="3" a="1"/>
  <c r="H121" i="3" s="1"/>
  <c r="H122" i="3" a="1"/>
  <c r="H122" i="3" s="1"/>
  <c r="H123" i="3" a="1"/>
  <c r="H123" i="3" s="1"/>
  <c r="H124" i="3" a="1"/>
  <c r="H124" i="3" s="1"/>
  <c r="H125" i="3" a="1"/>
  <c r="H125" i="3" s="1"/>
  <c r="H126" i="3" a="1"/>
  <c r="H126" i="3" s="1"/>
  <c r="H127" i="3" a="1"/>
  <c r="H127" i="3" s="1"/>
  <c r="H128" i="3" a="1"/>
  <c r="H128" i="3" s="1"/>
  <c r="H129" i="3" a="1"/>
  <c r="H129" i="3" s="1"/>
  <c r="H130" i="3" a="1"/>
  <c r="H130" i="3" s="1"/>
  <c r="H131" i="3" a="1"/>
  <c r="H131" i="3" s="1"/>
  <c r="H132" i="3" a="1"/>
  <c r="H132" i="3" s="1"/>
  <c r="H133" i="3" a="1"/>
  <c r="H133" i="3" s="1"/>
  <c r="H134" i="3" a="1"/>
  <c r="H134" i="3" s="1"/>
  <c r="H135" i="3" a="1"/>
  <c r="H135" i="3" s="1"/>
  <c r="H136" i="3" a="1"/>
  <c r="H136" i="3" s="1"/>
  <c r="H137" i="3" a="1"/>
  <c r="H137" i="3" s="1"/>
  <c r="H138" i="3" a="1"/>
  <c r="H138" i="3" s="1"/>
  <c r="H139" i="3" a="1"/>
  <c r="H139" i="3" s="1"/>
  <c r="H140" i="3" a="1"/>
  <c r="H140" i="3" s="1"/>
  <c r="H141" i="3" a="1"/>
  <c r="H141" i="3" s="1"/>
  <c r="H142" i="3" a="1"/>
  <c r="H142" i="3" s="1"/>
  <c r="H143" i="3" a="1"/>
  <c r="H143" i="3" s="1"/>
  <c r="H144" i="3" a="1"/>
  <c r="H144" i="3" s="1"/>
  <c r="H145" i="3" a="1"/>
  <c r="H145" i="3" s="1"/>
  <c r="H146" i="3" a="1"/>
  <c r="H146" i="3" s="1"/>
  <c r="H147" i="3" a="1"/>
  <c r="H147" i="3" s="1"/>
  <c r="H148" i="3" a="1"/>
  <c r="H148" i="3" s="1"/>
  <c r="H149" i="3" a="1"/>
  <c r="H149" i="3" s="1"/>
  <c r="H150" i="3" a="1"/>
  <c r="H150" i="3" s="1"/>
  <c r="H151" i="3" a="1"/>
  <c r="H151" i="3" s="1"/>
  <c r="H152" i="3" a="1"/>
  <c r="H152" i="3" s="1"/>
  <c r="H153" i="3" a="1"/>
  <c r="H153" i="3" s="1"/>
  <c r="H154" i="3" a="1"/>
  <c r="H154" i="3" s="1"/>
  <c r="H155" i="3" a="1"/>
  <c r="H155" i="3" s="1"/>
  <c r="H156" i="3" a="1"/>
  <c r="H156" i="3" s="1"/>
  <c r="H157" i="3" a="1"/>
  <c r="H157" i="3" s="1"/>
  <c r="H158" i="3" a="1"/>
  <c r="H158" i="3" s="1"/>
  <c r="H159" i="3" a="1"/>
  <c r="H159" i="3" s="1"/>
  <c r="H160" i="3" a="1"/>
  <c r="H160" i="3" s="1"/>
  <c r="H161" i="3" a="1"/>
  <c r="H161" i="3" s="1"/>
  <c r="H162" i="3" a="1"/>
  <c r="H162" i="3" s="1"/>
  <c r="H163" i="3" a="1"/>
  <c r="H163" i="3" s="1"/>
  <c r="H164" i="3" a="1"/>
  <c r="H164" i="3" s="1"/>
  <c r="H165" i="3" a="1"/>
  <c r="H165" i="3" s="1"/>
  <c r="H166" i="3" a="1"/>
  <c r="H166" i="3" s="1"/>
  <c r="H167" i="3" a="1"/>
  <c r="H167" i="3" s="1"/>
  <c r="H168" i="3" a="1"/>
  <c r="H168" i="3" s="1"/>
  <c r="H169" i="3" a="1"/>
  <c r="H169" i="3" s="1"/>
  <c r="H170" i="3" a="1"/>
  <c r="H170" i="3" s="1"/>
  <c r="H171" i="3" a="1"/>
  <c r="H171" i="3" s="1"/>
  <c r="H172" i="3" a="1"/>
  <c r="H172" i="3" s="1"/>
  <c r="H173" i="3" a="1"/>
  <c r="H173" i="3" s="1"/>
  <c r="H174" i="3" a="1"/>
  <c r="H174" i="3" s="1"/>
  <c r="H175" i="3" a="1"/>
  <c r="H175" i="3" s="1"/>
  <c r="H176" i="3" a="1"/>
  <c r="H176" i="3" s="1"/>
  <c r="H177" i="3" a="1"/>
  <c r="H177" i="3" s="1"/>
  <c r="H178" i="3" a="1"/>
  <c r="H178" i="3" s="1"/>
  <c r="H179" i="3" a="1"/>
  <c r="H179" i="3" s="1"/>
  <c r="H180" i="3" a="1"/>
  <c r="H180" i="3" s="1"/>
  <c r="H181" i="3" a="1"/>
  <c r="H181" i="3" s="1"/>
  <c r="H182" i="3" a="1"/>
  <c r="H182" i="3" s="1"/>
  <c r="H183" i="3" a="1"/>
  <c r="H183" i="3" s="1"/>
  <c r="H184" i="3" a="1"/>
  <c r="H184" i="3" s="1"/>
  <c r="H185" i="3" a="1"/>
  <c r="H185" i="3" s="1"/>
  <c r="H186" i="3" a="1"/>
  <c r="H186" i="3" s="1"/>
  <c r="H187" i="3" a="1"/>
  <c r="H187" i="3" s="1"/>
  <c r="H188" i="3" a="1"/>
  <c r="H188" i="3" s="1"/>
  <c r="H189" i="3" a="1"/>
  <c r="H189" i="3" s="1"/>
  <c r="H190" i="3" a="1"/>
  <c r="H190" i="3" s="1"/>
  <c r="H191" i="3" a="1"/>
  <c r="H191" i="3" s="1"/>
  <c r="H192" i="3" a="1"/>
  <c r="H192" i="3" s="1"/>
  <c r="H193" i="3" a="1"/>
  <c r="H193" i="3" s="1"/>
  <c r="H194" i="3" a="1"/>
  <c r="H194" i="3" s="1"/>
  <c r="H195" i="3" a="1"/>
  <c r="H195" i="3" s="1"/>
  <c r="H196" i="3" a="1"/>
  <c r="H196" i="3" s="1"/>
  <c r="H197" i="3" a="1"/>
  <c r="H197" i="3" s="1"/>
  <c r="H198" i="3" a="1"/>
  <c r="H198" i="3" s="1"/>
  <c r="H199" i="3" a="1"/>
  <c r="H199" i="3" s="1"/>
  <c r="H200" i="3" a="1"/>
  <c r="H200" i="3" s="1"/>
  <c r="H201" i="3" a="1"/>
  <c r="H201" i="3" s="1"/>
  <c r="H202" i="3" a="1"/>
  <c r="H202" i="3" s="1"/>
  <c r="H203" i="3" a="1"/>
  <c r="H203" i="3" s="1"/>
  <c r="H204" i="3" a="1"/>
  <c r="H204" i="3" s="1"/>
  <c r="H205" i="3" a="1"/>
  <c r="H205" i="3" s="1"/>
  <c r="H206" i="3" a="1"/>
  <c r="H206" i="3" s="1"/>
  <c r="H207" i="3" a="1"/>
  <c r="H207" i="3" s="1"/>
  <c r="H208" i="3" a="1"/>
  <c r="H208" i="3" s="1"/>
  <c r="H209" i="3" a="1"/>
  <c r="H209" i="3" s="1"/>
  <c r="H210" i="3" a="1"/>
  <c r="H210" i="3" s="1"/>
  <c r="H211" i="3" a="1"/>
  <c r="H211" i="3" s="1"/>
  <c r="H212" i="3" a="1"/>
  <c r="H212" i="3" s="1"/>
  <c r="H213" i="3" a="1"/>
  <c r="H213" i="3" s="1"/>
  <c r="H214" i="3" a="1"/>
  <c r="H214" i="3" s="1"/>
  <c r="H215" i="3" a="1"/>
  <c r="H215" i="3" s="1"/>
  <c r="H216" i="3" a="1"/>
  <c r="H216" i="3" s="1"/>
  <c r="H217" i="3" a="1"/>
  <c r="H217" i="3" s="1"/>
  <c r="H218" i="3" a="1"/>
  <c r="H218" i="3" s="1"/>
  <c r="H219" i="3" a="1"/>
  <c r="H219" i="3" s="1"/>
  <c r="H220" i="3" a="1"/>
  <c r="H220" i="3" s="1"/>
  <c r="H221" i="3" a="1"/>
  <c r="H221" i="3" s="1"/>
  <c r="H222" i="3" a="1"/>
  <c r="H222" i="3" s="1"/>
  <c r="H223" i="3" a="1"/>
  <c r="H223" i="3" s="1"/>
  <c r="H224" i="3" a="1"/>
  <c r="H224" i="3" s="1"/>
  <c r="H225" i="3" a="1"/>
  <c r="H225" i="3" s="1"/>
  <c r="H226" i="3" a="1"/>
  <c r="H226" i="3" s="1"/>
  <c r="H227" i="3" a="1"/>
  <c r="H227" i="3" s="1"/>
  <c r="H228" i="3" a="1"/>
  <c r="H228" i="3" s="1"/>
  <c r="H229" i="3" a="1"/>
  <c r="H229" i="3" s="1"/>
  <c r="H230" i="3" a="1"/>
  <c r="H230" i="3" s="1"/>
  <c r="H231" i="3" a="1"/>
  <c r="H231" i="3" s="1"/>
  <c r="H232" i="3" a="1"/>
  <c r="H232" i="3" s="1"/>
  <c r="H233" i="3" a="1"/>
  <c r="H233" i="3" s="1"/>
  <c r="H234" i="3" a="1"/>
  <c r="H234" i="3" s="1"/>
  <c r="H235" i="3" a="1"/>
  <c r="H235" i="3" s="1"/>
  <c r="H236" i="3" a="1"/>
  <c r="H236" i="3" s="1"/>
  <c r="H237" i="3" a="1"/>
  <c r="H237" i="3" s="1"/>
  <c r="H238" i="3" a="1"/>
  <c r="H238" i="3" s="1"/>
  <c r="H239" i="3" a="1"/>
  <c r="H239" i="3" s="1"/>
  <c r="H240" i="3" a="1"/>
  <c r="H240" i="3" s="1"/>
  <c r="H241" i="3" a="1"/>
  <c r="H241" i="3" s="1"/>
  <c r="H242" i="3" a="1"/>
  <c r="H242" i="3" s="1"/>
  <c r="H243" i="3" a="1"/>
  <c r="H243" i="3" s="1"/>
  <c r="H244" i="3" a="1"/>
  <c r="H244" i="3" s="1"/>
  <c r="H245" i="3" a="1"/>
  <c r="H245" i="3" s="1"/>
  <c r="H246" i="3" a="1"/>
  <c r="H246" i="3" s="1"/>
  <c r="H247" i="3" a="1"/>
  <c r="H247" i="3" s="1"/>
  <c r="H248" i="3" a="1"/>
  <c r="H248" i="3" s="1"/>
  <c r="H249" i="3" a="1"/>
  <c r="H249" i="3" s="1"/>
  <c r="H250" i="3" a="1"/>
  <c r="H250" i="3" s="1"/>
  <c r="H251" i="3" a="1"/>
  <c r="H251" i="3" s="1"/>
  <c r="H252" i="3" a="1"/>
  <c r="H252" i="3" s="1"/>
  <c r="H253" i="3" a="1"/>
  <c r="H253" i="3" s="1"/>
  <c r="H254" i="3" a="1"/>
  <c r="H254" i="3" s="1"/>
  <c r="H255" i="3" a="1"/>
  <c r="H255" i="3" s="1"/>
  <c r="H256" i="3" a="1"/>
  <c r="H256" i="3" s="1"/>
  <c r="H257" i="3" a="1"/>
  <c r="H257" i="3" s="1"/>
  <c r="H258" i="3" a="1"/>
  <c r="H258" i="3" s="1"/>
  <c r="H259" i="3" a="1"/>
  <c r="H259" i="3" s="1"/>
  <c r="H260" i="3" a="1"/>
  <c r="H260" i="3" s="1"/>
  <c r="H261" i="3" a="1"/>
  <c r="H261" i="3" s="1"/>
  <c r="H262" i="3" a="1"/>
  <c r="H262" i="3" s="1"/>
  <c r="H263" i="3" a="1"/>
  <c r="H263" i="3" s="1"/>
  <c r="H264" i="3" a="1"/>
  <c r="H264" i="3" s="1"/>
  <c r="H265" i="3" a="1"/>
  <c r="H265" i="3" s="1"/>
  <c r="H266" i="3" a="1"/>
  <c r="H266" i="3" s="1"/>
  <c r="H267" i="3" a="1"/>
  <c r="H267" i="3" s="1"/>
  <c r="H268" i="3" a="1"/>
  <c r="H268" i="3" s="1"/>
  <c r="H269" i="3" a="1"/>
  <c r="H269" i="3" s="1"/>
  <c r="H270" i="3" a="1"/>
  <c r="H270" i="3" s="1"/>
  <c r="H271" i="3" a="1"/>
  <c r="H271" i="3" s="1"/>
  <c r="H272" i="3" a="1"/>
  <c r="H272" i="3" s="1"/>
  <c r="H273" i="3" a="1"/>
  <c r="H273" i="3" s="1"/>
  <c r="H274" i="3" a="1"/>
  <c r="H274" i="3" s="1"/>
  <c r="H275" i="3" a="1"/>
  <c r="H275" i="3" s="1"/>
  <c r="H276" i="3" a="1"/>
  <c r="H276" i="3" s="1"/>
  <c r="H277" i="3" a="1"/>
  <c r="H277" i="3" s="1"/>
  <c r="H278" i="3" a="1"/>
  <c r="H278" i="3" s="1"/>
  <c r="H279" i="3" a="1"/>
  <c r="H279" i="3" s="1"/>
  <c r="H280" i="3" a="1"/>
  <c r="H280" i="3" s="1"/>
  <c r="H281" i="3" a="1"/>
  <c r="H281" i="3" s="1"/>
  <c r="H282" i="3" a="1"/>
  <c r="H282" i="3" s="1"/>
  <c r="H283" i="3" a="1"/>
  <c r="H283" i="3" s="1"/>
  <c r="H284" i="3" a="1"/>
  <c r="H284" i="3" s="1"/>
  <c r="H285" i="3" a="1"/>
  <c r="H285" i="3" s="1"/>
  <c r="H286" i="3" a="1"/>
  <c r="H286" i="3" s="1"/>
  <c r="H287" i="3" a="1"/>
  <c r="H287" i="3" s="1"/>
  <c r="H288" i="3" a="1"/>
  <c r="H288" i="3" s="1"/>
  <c r="H289" i="3" a="1"/>
  <c r="H289" i="3" s="1"/>
  <c r="H290" i="3" a="1"/>
  <c r="H290" i="3" s="1"/>
  <c r="H291" i="3" a="1"/>
  <c r="H291" i="3" s="1"/>
  <c r="H292" i="3" a="1"/>
  <c r="H292" i="3" s="1"/>
  <c r="H293" i="3" a="1"/>
  <c r="H293" i="3" s="1"/>
  <c r="H294" i="3" a="1"/>
  <c r="H294" i="3" s="1"/>
  <c r="H295" i="3" a="1"/>
  <c r="H295" i="3" s="1"/>
  <c r="H296" i="3" a="1"/>
  <c r="H296" i="3" s="1"/>
  <c r="H297" i="3" a="1"/>
  <c r="H297" i="3" s="1"/>
  <c r="H298" i="3" a="1"/>
  <c r="H298" i="3" s="1"/>
  <c r="H299" i="3" a="1"/>
  <c r="H299" i="3" s="1"/>
  <c r="H300" i="3" a="1"/>
  <c r="H300" i="3" s="1"/>
  <c r="H301" i="3" a="1"/>
  <c r="H301" i="3" s="1"/>
  <c r="H302" i="3" a="1"/>
  <c r="H302" i="3" s="1"/>
  <c r="H303" i="3" a="1"/>
  <c r="H303" i="3" s="1"/>
  <c r="H304" i="3" a="1"/>
  <c r="H304" i="3" s="1"/>
  <c r="H305" i="3" a="1"/>
  <c r="H305" i="3" s="1"/>
  <c r="H306" i="3" a="1"/>
  <c r="H306" i="3" s="1"/>
  <c r="H307" i="3" a="1"/>
  <c r="H307" i="3" s="1"/>
  <c r="H308" i="3" a="1"/>
  <c r="H308" i="3" s="1"/>
  <c r="H309" i="3" a="1"/>
  <c r="H309" i="3" s="1"/>
  <c r="H310" i="3" a="1"/>
  <c r="H310" i="3" s="1"/>
  <c r="H311" i="3" a="1"/>
  <c r="H311" i="3" s="1"/>
  <c r="H312" i="3" a="1"/>
  <c r="H312" i="3" s="1"/>
  <c r="H313" i="3" a="1"/>
  <c r="H313" i="3" s="1"/>
  <c r="H314" i="3" a="1"/>
  <c r="H314" i="3" s="1"/>
  <c r="H315" i="3" a="1"/>
  <c r="H315" i="3" s="1"/>
  <c r="H316" i="3" a="1"/>
  <c r="H316" i="3" s="1"/>
  <c r="H317" i="3" a="1"/>
  <c r="H317" i="3" s="1"/>
  <c r="H318" i="3" a="1"/>
  <c r="H318" i="3" s="1"/>
  <c r="H319" i="3" a="1"/>
  <c r="H319" i="3" s="1"/>
  <c r="H320" i="3" a="1"/>
  <c r="H320" i="3" s="1"/>
  <c r="H321" i="3" a="1"/>
  <c r="H321" i="3" s="1"/>
  <c r="H322" i="3" a="1"/>
  <c r="H322" i="3" s="1"/>
  <c r="H323" i="3" a="1"/>
  <c r="H323" i="3" s="1"/>
  <c r="H324" i="3" a="1"/>
  <c r="H324" i="3" s="1"/>
  <c r="H325" i="3" a="1"/>
  <c r="H325" i="3" s="1"/>
  <c r="H326" i="3" a="1"/>
  <c r="H326" i="3" s="1"/>
  <c r="H327" i="3" a="1"/>
  <c r="H327" i="3" s="1"/>
  <c r="H328" i="3" a="1"/>
  <c r="H328" i="3" s="1"/>
  <c r="H329" i="3" a="1"/>
  <c r="H329" i="3" s="1"/>
  <c r="H330" i="3" a="1"/>
  <c r="H330" i="3" s="1"/>
  <c r="H331" i="3" a="1"/>
  <c r="H331" i="3" s="1"/>
  <c r="H332" i="3" a="1"/>
  <c r="H332" i="3" s="1"/>
  <c r="H333" i="3" a="1"/>
  <c r="H333" i="3" s="1"/>
  <c r="H334" i="3" a="1"/>
  <c r="H334" i="3" s="1"/>
  <c r="H335" i="3" a="1"/>
  <c r="H335" i="3" s="1"/>
  <c r="H336" i="3" a="1"/>
  <c r="H336" i="3" s="1"/>
  <c r="H337" i="3" a="1"/>
  <c r="H337" i="3" s="1"/>
  <c r="H338" i="3" a="1"/>
  <c r="H338" i="3" s="1"/>
  <c r="H339" i="3" a="1"/>
  <c r="H339" i="3" s="1"/>
  <c r="H340" i="3" a="1"/>
  <c r="H340" i="3" s="1"/>
  <c r="H341" i="3" a="1"/>
  <c r="H341" i="3" s="1"/>
  <c r="H342" i="3" a="1"/>
  <c r="H342" i="3" s="1"/>
  <c r="H343" i="3" a="1"/>
  <c r="H343" i="3" s="1"/>
  <c r="H344" i="3" a="1"/>
  <c r="H344" i="3" s="1"/>
  <c r="H345" i="3" a="1"/>
  <c r="H345" i="3" s="1"/>
  <c r="H346" i="3" a="1"/>
  <c r="H346" i="3" s="1"/>
  <c r="H347" i="3" a="1"/>
  <c r="H347" i="3" s="1"/>
  <c r="H348" i="3" a="1"/>
  <c r="H348" i="3" s="1"/>
  <c r="H349" i="3" a="1"/>
  <c r="H349" i="3" s="1"/>
  <c r="H350" i="3" a="1"/>
  <c r="H350" i="3" s="1"/>
  <c r="H351" i="3" a="1"/>
  <c r="H351" i="3" s="1"/>
  <c r="H352" i="3" a="1"/>
  <c r="H352" i="3" s="1"/>
  <c r="H353" i="3" a="1"/>
  <c r="H353" i="3" s="1"/>
  <c r="H354" i="3" a="1"/>
  <c r="H354" i="3" s="1"/>
  <c r="H355" i="3" a="1"/>
  <c r="H355" i="3" s="1"/>
  <c r="H356" i="3" a="1"/>
  <c r="H356" i="3" s="1"/>
  <c r="H357" i="3" a="1"/>
  <c r="H357" i="3" s="1"/>
  <c r="H358" i="3" a="1"/>
  <c r="H358" i="3" s="1"/>
  <c r="H359" i="3" a="1"/>
  <c r="H359" i="3" s="1"/>
  <c r="H360" i="3" a="1"/>
  <c r="H360" i="3" s="1"/>
  <c r="H361" i="3" a="1"/>
  <c r="H361" i="3" s="1"/>
  <c r="H362" i="3" a="1"/>
  <c r="H362" i="3" s="1"/>
  <c r="H363" i="3" a="1"/>
  <c r="H363" i="3" s="1"/>
  <c r="H364" i="3" a="1"/>
  <c r="H364" i="3" s="1"/>
  <c r="H365" i="3" a="1"/>
  <c r="H365" i="3" s="1"/>
  <c r="H366" i="3" a="1"/>
  <c r="H366" i="3" s="1"/>
  <c r="H367" i="3" a="1"/>
  <c r="H367" i="3" s="1"/>
  <c r="H368" i="3" a="1"/>
  <c r="H368" i="3" s="1"/>
  <c r="H369" i="3" a="1"/>
  <c r="H369" i="3" s="1"/>
  <c r="H370" i="3" a="1"/>
  <c r="H370" i="3" s="1"/>
  <c r="H371" i="3" a="1"/>
  <c r="H371" i="3" s="1"/>
  <c r="H372" i="3" a="1"/>
  <c r="H372" i="3" s="1"/>
  <c r="H373" i="3" a="1"/>
  <c r="H373" i="3" s="1"/>
  <c r="H374" i="3" a="1"/>
  <c r="H374" i="3" s="1"/>
  <c r="H375" i="3" a="1"/>
  <c r="H375" i="3" s="1"/>
  <c r="H376" i="3" a="1"/>
  <c r="H376" i="3" s="1"/>
  <c r="H377" i="3" a="1"/>
  <c r="H377" i="3" s="1"/>
  <c r="H378" i="3" a="1"/>
  <c r="H378" i="3" s="1"/>
  <c r="H379" i="3" a="1"/>
  <c r="H379" i="3" s="1"/>
  <c r="H380" i="3" a="1"/>
  <c r="H380" i="3" s="1"/>
  <c r="H381" i="3" a="1"/>
  <c r="H381" i="3" s="1"/>
  <c r="H382" i="3" a="1"/>
  <c r="H382" i="3" s="1"/>
  <c r="H383" i="3" a="1"/>
  <c r="H383" i="3" s="1"/>
  <c r="H384" i="3" a="1"/>
  <c r="H384" i="3" s="1"/>
  <c r="H385" i="3" a="1"/>
  <c r="H385" i="3" s="1"/>
  <c r="H386" i="3" a="1"/>
  <c r="H386" i="3" s="1"/>
  <c r="H387" i="3" a="1"/>
  <c r="H387" i="3" s="1"/>
  <c r="H388" i="3" a="1"/>
  <c r="H388" i="3" s="1"/>
  <c r="H389" i="3" a="1"/>
  <c r="H389" i="3" s="1"/>
  <c r="H390" i="3" a="1"/>
  <c r="H390" i="3" s="1"/>
  <c r="H391" i="3" a="1"/>
  <c r="H391" i="3" s="1"/>
  <c r="H392" i="3" a="1"/>
  <c r="H392" i="3" s="1"/>
  <c r="H393" i="3" a="1"/>
  <c r="H393" i="3" s="1"/>
  <c r="H394" i="3" a="1"/>
  <c r="H394" i="3" s="1"/>
  <c r="H395" i="3" a="1"/>
  <c r="H395" i="3" s="1"/>
  <c r="H396" i="3" a="1"/>
  <c r="H396" i="3" s="1"/>
  <c r="H397" i="3" a="1"/>
  <c r="H397" i="3" s="1"/>
  <c r="H398" i="3" a="1"/>
  <c r="H398" i="3" s="1"/>
  <c r="H399" i="3" a="1"/>
  <c r="H399" i="3" s="1"/>
  <c r="H400" i="3" a="1"/>
  <c r="H400" i="3" s="1"/>
  <c r="H401" i="3" a="1"/>
  <c r="H401" i="3" s="1"/>
  <c r="H402" i="3" a="1"/>
  <c r="H402" i="3" s="1"/>
  <c r="H403" i="3" a="1"/>
  <c r="H403" i="3" s="1"/>
  <c r="H404" i="3" a="1"/>
  <c r="H404" i="3" s="1"/>
  <c r="H405" i="3" a="1"/>
  <c r="H405" i="3" s="1"/>
  <c r="H406" i="3" a="1"/>
  <c r="H406" i="3" s="1"/>
  <c r="H407" i="3" a="1"/>
  <c r="H407" i="3" s="1"/>
  <c r="H408" i="3" a="1"/>
  <c r="H408" i="3" s="1"/>
  <c r="H409" i="3" a="1"/>
  <c r="H409" i="3" s="1"/>
  <c r="H410" i="3" a="1"/>
  <c r="H410" i="3" s="1"/>
  <c r="H411" i="3" a="1"/>
  <c r="H411" i="3" s="1"/>
  <c r="H412" i="3" a="1"/>
  <c r="H412" i="3" s="1"/>
  <c r="H413" i="3" a="1"/>
  <c r="H413" i="3" s="1"/>
  <c r="H414" i="3" a="1"/>
  <c r="H414" i="3" s="1"/>
  <c r="H415" i="3" a="1"/>
  <c r="H415" i="3" s="1"/>
  <c r="H416" i="3" a="1"/>
  <c r="H416" i="3" s="1"/>
  <c r="H417" i="3" a="1"/>
  <c r="H417" i="3" s="1"/>
  <c r="H418" i="3" a="1"/>
  <c r="H418" i="3" s="1"/>
  <c r="H419" i="3" a="1"/>
  <c r="H419" i="3" s="1"/>
  <c r="H420" i="3" a="1"/>
  <c r="H420" i="3" s="1"/>
  <c r="H421" i="3" a="1"/>
  <c r="H421" i="3" s="1"/>
  <c r="H422" i="3" a="1"/>
  <c r="H422" i="3" s="1"/>
  <c r="H423" i="3" a="1"/>
  <c r="H423" i="3" s="1"/>
  <c r="H424" i="3" a="1"/>
  <c r="H424" i="3" s="1"/>
  <c r="H425" i="3" a="1"/>
  <c r="H425" i="3" s="1"/>
  <c r="H426" i="3" a="1"/>
  <c r="H426" i="3" s="1"/>
  <c r="H427" i="3" a="1"/>
  <c r="H427" i="3" s="1"/>
  <c r="H428" i="3" a="1"/>
  <c r="H428" i="3" s="1"/>
  <c r="H429" i="3" a="1"/>
  <c r="H429" i="3" s="1"/>
  <c r="H430" i="3" a="1"/>
  <c r="H430" i="3" s="1"/>
  <c r="H431" i="3" a="1"/>
  <c r="H431" i="3" s="1"/>
  <c r="H432" i="3" a="1"/>
  <c r="H432" i="3" s="1"/>
  <c r="H433" i="3" a="1"/>
  <c r="H433" i="3" s="1"/>
  <c r="H434" i="3" a="1"/>
  <c r="H434" i="3" s="1"/>
  <c r="H435" i="3" a="1"/>
  <c r="H435" i="3" s="1"/>
  <c r="H436" i="3" a="1"/>
  <c r="H436" i="3" s="1"/>
  <c r="H437" i="3" a="1"/>
  <c r="H437" i="3" s="1"/>
  <c r="H438" i="3" a="1"/>
  <c r="H438" i="3" s="1"/>
  <c r="H439" i="3" a="1"/>
  <c r="H439" i="3" s="1"/>
  <c r="H440" i="3" a="1"/>
  <c r="H440" i="3" s="1"/>
  <c r="H441" i="3" a="1"/>
  <c r="H441" i="3" s="1"/>
  <c r="H442" i="3" a="1"/>
  <c r="H442" i="3" s="1"/>
  <c r="H443" i="3" a="1"/>
  <c r="H443" i="3" s="1"/>
  <c r="H444" i="3" a="1"/>
  <c r="H444" i="3" s="1"/>
  <c r="H445" i="3" a="1"/>
  <c r="H445" i="3" s="1"/>
  <c r="H446" i="3" a="1"/>
  <c r="H446" i="3" s="1"/>
  <c r="H447" i="3" a="1"/>
  <c r="H447" i="3" s="1"/>
  <c r="H448" i="3" a="1"/>
  <c r="H448" i="3" s="1"/>
  <c r="H449" i="3" a="1"/>
  <c r="H449" i="3" s="1"/>
  <c r="H450" i="3" a="1"/>
  <c r="H450" i="3" s="1"/>
  <c r="H451" i="3" a="1"/>
  <c r="H451" i="3" s="1"/>
  <c r="H452" i="3" a="1"/>
  <c r="H452" i="3" s="1"/>
  <c r="H453" i="3" a="1"/>
  <c r="H453" i="3" s="1"/>
  <c r="H454" i="3" a="1"/>
  <c r="H454" i="3" s="1"/>
  <c r="H455" i="3" a="1"/>
  <c r="H455" i="3" s="1"/>
  <c r="H456" i="3" a="1"/>
  <c r="H456" i="3" s="1"/>
  <c r="H457" i="3" a="1"/>
  <c r="H457" i="3" s="1"/>
  <c r="H458" i="3" a="1"/>
  <c r="H458" i="3" s="1"/>
  <c r="H459" i="3" a="1"/>
  <c r="H459" i="3" s="1"/>
  <c r="H460" i="3" a="1"/>
  <c r="H460" i="3" s="1"/>
  <c r="H461" i="3" a="1"/>
  <c r="H461" i="3" s="1"/>
  <c r="H462" i="3" a="1"/>
  <c r="H462" i="3" s="1"/>
  <c r="H463" i="3" a="1"/>
  <c r="H463" i="3" s="1"/>
  <c r="H464" i="3" a="1"/>
  <c r="H464" i="3" s="1"/>
  <c r="H465" i="3" a="1"/>
  <c r="H465" i="3" s="1"/>
  <c r="H466" i="3" a="1"/>
  <c r="H466" i="3" s="1"/>
  <c r="H467" i="3" a="1"/>
  <c r="H467" i="3" s="1"/>
  <c r="H468" i="3" a="1"/>
  <c r="H468" i="3" s="1"/>
  <c r="H469" i="3" a="1"/>
  <c r="H469" i="3" s="1"/>
  <c r="H470" i="3" a="1"/>
  <c r="H470" i="3" s="1"/>
  <c r="H471" i="3" a="1"/>
  <c r="H471" i="3" s="1"/>
  <c r="H472" i="3" a="1"/>
  <c r="H472" i="3" s="1"/>
  <c r="H473" i="3" a="1"/>
  <c r="H473" i="3" s="1"/>
  <c r="H474" i="3" a="1"/>
  <c r="H474" i="3" s="1"/>
  <c r="H475" i="3" a="1"/>
  <c r="H475" i="3" s="1"/>
  <c r="H476" i="3" a="1"/>
  <c r="H476" i="3" s="1"/>
  <c r="H477" i="3" a="1"/>
  <c r="H477" i="3" s="1"/>
  <c r="H478" i="3" a="1"/>
  <c r="H478" i="3" s="1"/>
  <c r="H479" i="3" a="1"/>
  <c r="H479" i="3" s="1"/>
  <c r="H480" i="3" a="1"/>
  <c r="H480" i="3" s="1"/>
  <c r="H481" i="3" a="1"/>
  <c r="H481" i="3" s="1"/>
  <c r="H482" i="3" a="1"/>
  <c r="H482" i="3" s="1"/>
  <c r="H483" i="3" a="1"/>
  <c r="H483" i="3" s="1"/>
  <c r="H484" i="3" a="1"/>
  <c r="H484" i="3" s="1"/>
  <c r="H485" i="3" a="1"/>
  <c r="H485" i="3" s="1"/>
  <c r="H486" i="3" a="1"/>
  <c r="H486" i="3" s="1"/>
  <c r="H487" i="3" a="1"/>
  <c r="H487" i="3" s="1"/>
  <c r="H488" i="3" a="1"/>
  <c r="H488" i="3" s="1"/>
  <c r="H489" i="3" a="1"/>
  <c r="H489" i="3" s="1"/>
  <c r="H490" i="3" a="1"/>
  <c r="H490" i="3" s="1"/>
  <c r="H491" i="3" a="1"/>
  <c r="H491" i="3" s="1"/>
  <c r="H492" i="3" a="1"/>
  <c r="H492" i="3" s="1"/>
  <c r="H493" i="3" a="1"/>
  <c r="H493" i="3" s="1"/>
  <c r="H494" i="3" a="1"/>
  <c r="H494" i="3" s="1"/>
  <c r="H495" i="3" a="1"/>
  <c r="H495" i="3" s="1"/>
  <c r="H496" i="3" a="1"/>
  <c r="H496" i="3" s="1"/>
  <c r="H497" i="3" a="1"/>
  <c r="H497" i="3" s="1"/>
  <c r="H498" i="3" a="1"/>
  <c r="H498" i="3" s="1"/>
  <c r="H499" i="3" a="1"/>
  <c r="H499" i="3" s="1"/>
  <c r="H500" i="3" a="1"/>
  <c r="H500" i="3" s="1"/>
  <c r="H501" i="3" a="1"/>
  <c r="H501" i="3" s="1"/>
  <c r="H502" i="3" a="1"/>
  <c r="H502" i="3" s="1"/>
  <c r="H503" i="3" a="1"/>
  <c r="H503" i="3" s="1"/>
  <c r="H504" i="3" a="1"/>
  <c r="H504" i="3" s="1"/>
  <c r="H505" i="3" a="1"/>
  <c r="H505" i="3" s="1"/>
  <c r="H506" i="3" a="1"/>
  <c r="H506" i="3" s="1"/>
  <c r="H507" i="3" a="1"/>
  <c r="H507" i="3" s="1"/>
  <c r="H508" i="3" a="1"/>
  <c r="H508" i="3" s="1"/>
  <c r="H509" i="3" a="1"/>
  <c r="H509" i="3" s="1"/>
  <c r="H510" i="3" a="1"/>
  <c r="H510" i="3" s="1"/>
  <c r="H511" i="3" a="1"/>
  <c r="H511" i="3" s="1"/>
  <c r="H512" i="3" a="1"/>
  <c r="H512" i="3" s="1"/>
  <c r="H513" i="3" a="1"/>
  <c r="H513" i="3" s="1"/>
  <c r="H514" i="3" a="1"/>
  <c r="H514" i="3" s="1"/>
  <c r="H515" i="3" a="1"/>
  <c r="H515" i="3" s="1"/>
  <c r="H516" i="3" a="1"/>
  <c r="H516" i="3" s="1"/>
  <c r="H517" i="3" a="1"/>
  <c r="H517" i="3" s="1"/>
  <c r="H518" i="3" a="1"/>
  <c r="H518" i="3" s="1"/>
  <c r="H519" i="3" a="1"/>
  <c r="H519" i="3" s="1"/>
  <c r="H520" i="3" a="1"/>
  <c r="H520" i="3" s="1"/>
  <c r="H521" i="3" a="1"/>
  <c r="H521" i="3" s="1"/>
  <c r="H522" i="3" a="1"/>
  <c r="H522" i="3" s="1"/>
  <c r="H523" i="3" a="1"/>
  <c r="H523" i="3" s="1"/>
  <c r="H524" i="3" a="1"/>
  <c r="H524" i="3" s="1"/>
  <c r="H525" i="3" a="1"/>
  <c r="H525" i="3" s="1"/>
  <c r="H526" i="3" a="1"/>
  <c r="H526" i="3" s="1"/>
  <c r="H527" i="3" a="1"/>
  <c r="H527" i="3" s="1"/>
  <c r="H528" i="3" a="1"/>
  <c r="H528" i="3" s="1"/>
  <c r="H529" i="3" a="1"/>
  <c r="H529" i="3" s="1"/>
  <c r="H530" i="3" a="1"/>
  <c r="H530" i="3" s="1"/>
  <c r="H531" i="3" a="1"/>
  <c r="H531" i="3" s="1"/>
  <c r="H532" i="3" a="1"/>
  <c r="H532" i="3" s="1"/>
  <c r="H533" i="3" a="1"/>
  <c r="H533" i="3" s="1"/>
  <c r="H534" i="3" a="1"/>
  <c r="H534" i="3" s="1"/>
  <c r="H535" i="3" a="1"/>
  <c r="H535" i="3" s="1"/>
  <c r="H536" i="3" a="1"/>
  <c r="H536" i="3" s="1"/>
  <c r="H537" i="3" a="1"/>
  <c r="H537" i="3" s="1"/>
  <c r="H538" i="3" a="1"/>
  <c r="H538" i="3" s="1"/>
  <c r="H539" i="3" a="1"/>
  <c r="H539" i="3" s="1"/>
  <c r="H540" i="3" a="1"/>
  <c r="H540" i="3" s="1"/>
  <c r="H541" i="3" a="1"/>
  <c r="H541" i="3" s="1"/>
  <c r="H542" i="3" a="1"/>
  <c r="H542" i="3" s="1"/>
  <c r="H543" i="3" a="1"/>
  <c r="H543" i="3" s="1"/>
  <c r="H544" i="3" a="1"/>
  <c r="H544" i="3" s="1"/>
  <c r="H545" i="3" a="1"/>
  <c r="H545" i="3" s="1"/>
  <c r="H546" i="3" a="1"/>
  <c r="H546" i="3" s="1"/>
  <c r="H547" i="3" a="1"/>
  <c r="H547" i="3" s="1"/>
  <c r="H548" i="3" a="1"/>
  <c r="H548" i="3" s="1"/>
  <c r="H549" i="3" a="1"/>
  <c r="H549" i="3" s="1"/>
  <c r="H550" i="3" a="1"/>
  <c r="H550" i="3" s="1"/>
  <c r="H551" i="3" a="1"/>
  <c r="H551" i="3" s="1"/>
  <c r="H552" i="3" a="1"/>
  <c r="H552" i="3" s="1"/>
  <c r="H553" i="3" a="1"/>
  <c r="H553" i="3" s="1"/>
  <c r="H554" i="3" a="1"/>
  <c r="H554" i="3" s="1"/>
  <c r="H555" i="3" a="1"/>
  <c r="H555" i="3" s="1"/>
  <c r="H556" i="3" a="1"/>
  <c r="H556" i="3" s="1"/>
  <c r="H557" i="3" a="1"/>
  <c r="H557" i="3" s="1"/>
  <c r="H558" i="3" a="1"/>
  <c r="H558" i="3" s="1"/>
  <c r="H559" i="3" a="1"/>
  <c r="H559" i="3" s="1"/>
  <c r="H560" i="3" a="1"/>
  <c r="H560" i="3" s="1"/>
  <c r="H561" i="3" a="1"/>
  <c r="H561" i="3" s="1"/>
  <c r="H562" i="3" a="1"/>
  <c r="H562" i="3" s="1"/>
  <c r="H563" i="3" a="1"/>
  <c r="H563" i="3" s="1"/>
  <c r="H564" i="3" a="1"/>
  <c r="H564" i="3" s="1"/>
  <c r="H565" i="3" a="1"/>
  <c r="H565" i="3" s="1"/>
  <c r="H566" i="3" a="1"/>
  <c r="H566" i="3" s="1"/>
  <c r="H567" i="3" a="1"/>
  <c r="H567" i="3" s="1"/>
  <c r="H568" i="3" a="1"/>
  <c r="H568" i="3" s="1"/>
  <c r="H569" i="3" a="1"/>
  <c r="H569" i="3" s="1"/>
  <c r="H570" i="3" a="1"/>
  <c r="H570" i="3" s="1"/>
  <c r="H571" i="3" a="1"/>
  <c r="H571" i="3" s="1"/>
  <c r="H572" i="3" a="1"/>
  <c r="H572" i="3" s="1"/>
  <c r="H573" i="3" a="1"/>
  <c r="H573" i="3" s="1"/>
  <c r="H574" i="3" a="1"/>
  <c r="H574" i="3" s="1"/>
  <c r="H575" i="3" a="1"/>
  <c r="H575" i="3" s="1"/>
  <c r="H576" i="3" a="1"/>
  <c r="H576" i="3" s="1"/>
  <c r="H577" i="3" a="1"/>
  <c r="H577" i="3" s="1"/>
  <c r="H578" i="3" a="1"/>
  <c r="H578" i="3" s="1"/>
  <c r="H579" i="3" a="1"/>
  <c r="H579" i="3" s="1"/>
  <c r="H580" i="3" a="1"/>
  <c r="H580" i="3" s="1"/>
  <c r="H581" i="3" a="1"/>
  <c r="H581" i="3" s="1"/>
  <c r="H582" i="3" a="1"/>
  <c r="H582" i="3" s="1"/>
  <c r="H583" i="3" a="1"/>
  <c r="H583" i="3" s="1"/>
  <c r="H584" i="3" a="1"/>
  <c r="H584" i="3" s="1"/>
  <c r="H585" i="3" a="1"/>
  <c r="H585" i="3" s="1"/>
  <c r="H586" i="3" a="1"/>
  <c r="H586" i="3" s="1"/>
  <c r="H587" i="3" a="1"/>
  <c r="H587" i="3" s="1"/>
  <c r="H588" i="3" a="1"/>
  <c r="H588" i="3" s="1"/>
  <c r="H589" i="3" a="1"/>
  <c r="H589" i="3" s="1"/>
  <c r="H590" i="3" a="1"/>
  <c r="H590" i="3" s="1"/>
  <c r="H591" i="3" a="1"/>
  <c r="H591" i="3" s="1"/>
  <c r="H592" i="3" a="1"/>
  <c r="H592" i="3" s="1"/>
  <c r="H593" i="3" a="1"/>
  <c r="H593" i="3" s="1"/>
  <c r="H594" i="3" a="1"/>
  <c r="H594" i="3" s="1"/>
  <c r="H595" i="3" a="1"/>
  <c r="H595" i="3" s="1"/>
  <c r="H596" i="3" a="1"/>
  <c r="H596" i="3" s="1"/>
  <c r="H597" i="3" a="1"/>
  <c r="H597" i="3" s="1"/>
  <c r="H598" i="3" a="1"/>
  <c r="H598" i="3" s="1"/>
  <c r="H599" i="3" a="1"/>
  <c r="H599" i="3" s="1"/>
  <c r="H600" i="3" a="1"/>
  <c r="H600" i="3" s="1"/>
  <c r="H601" i="3" a="1"/>
  <c r="H601" i="3" s="1"/>
  <c r="H602" i="3" a="1"/>
  <c r="H602" i="3" s="1"/>
  <c r="H603" i="3" a="1"/>
  <c r="H603" i="3" s="1"/>
  <c r="H604" i="3" a="1"/>
  <c r="H604" i="3" s="1"/>
  <c r="H605" i="3" a="1"/>
  <c r="H605" i="3" s="1"/>
  <c r="H606" i="3" a="1"/>
  <c r="H606" i="3" s="1"/>
  <c r="H607" i="3" a="1"/>
  <c r="H607" i="3" s="1"/>
  <c r="H608" i="3" a="1"/>
  <c r="H608" i="3" s="1"/>
  <c r="H609" i="3" a="1"/>
  <c r="H609" i="3" s="1"/>
  <c r="H610" i="3" a="1"/>
  <c r="H610" i="3" s="1"/>
  <c r="H611" i="3" a="1"/>
  <c r="H611" i="3" s="1"/>
  <c r="H612" i="3" a="1"/>
  <c r="H612" i="3" s="1"/>
  <c r="H613" i="3" a="1"/>
  <c r="H613" i="3" s="1"/>
  <c r="H614" i="3" a="1"/>
  <c r="H614" i="3" s="1"/>
  <c r="H615" i="3" a="1"/>
  <c r="H615" i="3" s="1"/>
  <c r="H616" i="3" a="1"/>
  <c r="H616" i="3" s="1"/>
  <c r="H617" i="3" a="1"/>
  <c r="H617" i="3" s="1"/>
  <c r="H618" i="3" a="1"/>
  <c r="H618" i="3" s="1"/>
  <c r="H619" i="3" a="1"/>
  <c r="H619" i="3" s="1"/>
  <c r="H620" i="3" a="1"/>
  <c r="H620" i="3" s="1"/>
  <c r="H621" i="3" a="1"/>
  <c r="H621" i="3" s="1"/>
  <c r="H622" i="3" a="1"/>
  <c r="H622" i="3" s="1"/>
  <c r="H623" i="3" a="1"/>
  <c r="H623" i="3" s="1"/>
  <c r="H624" i="3" a="1"/>
  <c r="H624" i="3" s="1"/>
  <c r="H625" i="3" a="1"/>
  <c r="H625" i="3" s="1"/>
  <c r="H626" i="3" a="1"/>
  <c r="H626" i="3" s="1"/>
  <c r="H627" i="3" a="1"/>
  <c r="H627" i="3" s="1"/>
  <c r="H628" i="3" a="1"/>
  <c r="H628" i="3" s="1"/>
  <c r="H629" i="3" a="1"/>
  <c r="H629" i="3" s="1"/>
  <c r="H630" i="3" a="1"/>
  <c r="H630" i="3" s="1"/>
  <c r="H631" i="3" a="1"/>
  <c r="H631" i="3" s="1"/>
  <c r="H632" i="3" a="1"/>
  <c r="H632" i="3" s="1"/>
  <c r="H633" i="3" a="1"/>
  <c r="H633" i="3" s="1"/>
  <c r="H634" i="3" a="1"/>
  <c r="H634" i="3" s="1"/>
  <c r="H635" i="3" a="1"/>
  <c r="H635" i="3" s="1"/>
  <c r="H636" i="3" a="1"/>
  <c r="H636" i="3" s="1"/>
  <c r="H637" i="3" a="1"/>
  <c r="H637" i="3" s="1"/>
  <c r="H638" i="3" a="1"/>
  <c r="H638" i="3" s="1"/>
  <c r="H639" i="3" a="1"/>
  <c r="H639" i="3" s="1"/>
  <c r="H640" i="3" a="1"/>
  <c r="H640" i="3" s="1"/>
  <c r="H641" i="3" a="1"/>
  <c r="H641" i="3" s="1"/>
  <c r="H642" i="3" a="1"/>
  <c r="H642" i="3" s="1"/>
  <c r="H643" i="3" a="1"/>
  <c r="H643" i="3" s="1"/>
  <c r="H644" i="3" a="1"/>
  <c r="H644" i="3" s="1"/>
  <c r="H645" i="3" a="1"/>
  <c r="H645" i="3" s="1"/>
  <c r="H646" i="3" a="1"/>
  <c r="H646" i="3" s="1"/>
  <c r="H647" i="3" a="1"/>
  <c r="H647" i="3" s="1"/>
  <c r="H648" i="3" a="1"/>
  <c r="H648" i="3" s="1"/>
  <c r="H649" i="3" a="1"/>
  <c r="H649" i="3" s="1"/>
  <c r="H650" i="3" a="1"/>
  <c r="H650" i="3" s="1"/>
  <c r="H651" i="3" a="1"/>
  <c r="H651" i="3" s="1"/>
  <c r="H652" i="3" a="1"/>
  <c r="H652" i="3" s="1"/>
  <c r="H653" i="3" a="1"/>
  <c r="H653" i="3" s="1"/>
  <c r="H654" i="3" a="1"/>
  <c r="H654" i="3" s="1"/>
  <c r="H655" i="3" a="1"/>
  <c r="H655" i="3" s="1"/>
  <c r="H656" i="3" a="1"/>
  <c r="H656" i="3" s="1"/>
  <c r="H657" i="3" a="1"/>
  <c r="H657" i="3" s="1"/>
  <c r="H658" i="3" a="1"/>
  <c r="H658" i="3" s="1"/>
  <c r="H659" i="3" a="1"/>
  <c r="H659" i="3" s="1"/>
  <c r="H660" i="3" a="1"/>
  <c r="H660" i="3" s="1"/>
  <c r="H661" i="3" a="1"/>
  <c r="H661" i="3" s="1"/>
  <c r="H662" i="3" a="1"/>
  <c r="H662" i="3" s="1"/>
  <c r="H663" i="3" a="1"/>
  <c r="H663" i="3" s="1"/>
  <c r="H664" i="3" a="1"/>
  <c r="H664" i="3" s="1"/>
  <c r="H665" i="3" a="1"/>
  <c r="H665" i="3" s="1"/>
  <c r="H666" i="3" a="1"/>
  <c r="H666" i="3" s="1"/>
  <c r="H667" i="3" a="1"/>
  <c r="H667" i="3" s="1"/>
  <c r="H668" i="3" a="1"/>
  <c r="H668" i="3" s="1"/>
  <c r="H669" i="3" a="1"/>
  <c r="H669" i="3" s="1"/>
  <c r="H670" i="3" a="1"/>
  <c r="H670" i="3" s="1"/>
  <c r="H671" i="3" a="1"/>
  <c r="H671" i="3" s="1"/>
  <c r="H672" i="3" a="1"/>
  <c r="H672" i="3" s="1"/>
  <c r="H673" i="3" a="1"/>
  <c r="H673" i="3" s="1"/>
  <c r="H674" i="3" a="1"/>
  <c r="H674" i="3" s="1"/>
  <c r="H675" i="3" a="1"/>
  <c r="H675" i="3" s="1"/>
  <c r="H676" i="3" a="1"/>
  <c r="H676" i="3" s="1"/>
  <c r="H677" i="3" a="1"/>
  <c r="H677" i="3" s="1"/>
  <c r="H678" i="3" a="1"/>
  <c r="H678" i="3" s="1"/>
  <c r="H679" i="3" a="1"/>
  <c r="H679" i="3" s="1"/>
  <c r="H680" i="3" a="1"/>
  <c r="H680" i="3" s="1"/>
  <c r="H681" i="3" a="1"/>
  <c r="H681" i="3" s="1"/>
  <c r="H682" i="3" a="1"/>
  <c r="H682" i="3" s="1"/>
  <c r="H683" i="3" a="1"/>
  <c r="H683" i="3" s="1"/>
  <c r="H684" i="3" a="1"/>
  <c r="H684" i="3" s="1"/>
  <c r="H685" i="3" a="1"/>
  <c r="H685" i="3" s="1"/>
  <c r="H686" i="3" a="1"/>
  <c r="H686" i="3" s="1"/>
  <c r="H687" i="3" a="1"/>
  <c r="H687" i="3" s="1"/>
  <c r="H688" i="3" a="1"/>
  <c r="H688" i="3" s="1"/>
  <c r="H689" i="3" a="1"/>
  <c r="H689" i="3" s="1"/>
  <c r="H690" i="3" a="1"/>
  <c r="H690" i="3" s="1"/>
  <c r="H691" i="3" a="1"/>
  <c r="H691" i="3" s="1"/>
  <c r="H692" i="3" a="1"/>
  <c r="H692" i="3" s="1"/>
  <c r="H693" i="3" a="1"/>
  <c r="H693" i="3" s="1"/>
  <c r="H694" i="3" a="1"/>
  <c r="H694" i="3" s="1"/>
  <c r="H695" i="3" a="1"/>
  <c r="H695" i="3" s="1"/>
  <c r="H696" i="3" a="1"/>
  <c r="H696" i="3" s="1"/>
  <c r="H697" i="3" a="1"/>
  <c r="H697" i="3" s="1"/>
  <c r="H698" i="3" a="1"/>
  <c r="H698" i="3" s="1"/>
  <c r="H699" i="3" a="1"/>
  <c r="H699" i="3" s="1"/>
  <c r="H700" i="3" a="1"/>
  <c r="H700" i="3" s="1"/>
  <c r="H701" i="3" a="1"/>
  <c r="H701" i="3" s="1"/>
  <c r="H702" i="3" a="1"/>
  <c r="H702" i="3" s="1"/>
  <c r="H703" i="3" a="1"/>
  <c r="H703" i="3" s="1"/>
  <c r="H704" i="3" a="1"/>
  <c r="H704" i="3" s="1"/>
  <c r="H705" i="3" a="1"/>
  <c r="H705" i="3" s="1"/>
  <c r="H706" i="3" a="1"/>
  <c r="H706" i="3" s="1"/>
  <c r="H707" i="3" a="1"/>
  <c r="H707" i="3" s="1"/>
  <c r="H708" i="3" a="1"/>
  <c r="H708" i="3" s="1"/>
  <c r="H709" i="3" a="1"/>
  <c r="H709" i="3" s="1"/>
  <c r="H710" i="3" a="1"/>
  <c r="H710" i="3" s="1"/>
  <c r="H711" i="3" a="1"/>
  <c r="H711" i="3" s="1"/>
  <c r="H712" i="3" a="1"/>
  <c r="H712" i="3" s="1"/>
  <c r="H713" i="3" a="1"/>
  <c r="H713" i="3" s="1"/>
  <c r="H714" i="3" a="1"/>
  <c r="H714" i="3" s="1"/>
  <c r="H715" i="3" a="1"/>
  <c r="H715" i="3" s="1"/>
  <c r="H716" i="3" a="1"/>
  <c r="H716" i="3" s="1"/>
  <c r="H717" i="3" a="1"/>
  <c r="H717" i="3" s="1"/>
  <c r="H718" i="3" a="1"/>
  <c r="H718" i="3" s="1"/>
  <c r="H719" i="3" a="1"/>
  <c r="H719" i="3" s="1"/>
  <c r="H720" i="3" a="1"/>
  <c r="H720" i="3" s="1"/>
  <c r="H721" i="3" a="1"/>
  <c r="H721" i="3" s="1"/>
  <c r="H722" i="3" a="1"/>
  <c r="H722" i="3" s="1"/>
  <c r="H723" i="3" a="1"/>
  <c r="H723" i="3" s="1"/>
  <c r="H724" i="3" a="1"/>
  <c r="H724" i="3" s="1"/>
  <c r="H725" i="3" a="1"/>
  <c r="H725" i="3" s="1"/>
  <c r="H726" i="3" a="1"/>
  <c r="H726" i="3" s="1"/>
  <c r="H727" i="3" a="1"/>
  <c r="H727" i="3" s="1"/>
  <c r="H728" i="3" a="1"/>
  <c r="H728" i="3" s="1"/>
  <c r="H729" i="3" a="1"/>
  <c r="H729" i="3" s="1"/>
  <c r="H730" i="3" a="1"/>
  <c r="H730" i="3" s="1"/>
  <c r="H731" i="3" a="1"/>
  <c r="H731" i="3" s="1"/>
  <c r="H732" i="3" a="1"/>
  <c r="H732" i="3" s="1"/>
  <c r="H733" i="3" a="1"/>
  <c r="H733" i="3" s="1"/>
  <c r="H734" i="3" a="1"/>
  <c r="H734" i="3" s="1"/>
  <c r="H735" i="3" a="1"/>
  <c r="H735" i="3" s="1"/>
  <c r="H736" i="3" a="1"/>
  <c r="H736" i="3" s="1"/>
  <c r="H737" i="3" a="1"/>
  <c r="H737" i="3" s="1"/>
  <c r="H738" i="3" a="1"/>
  <c r="H738" i="3" s="1"/>
  <c r="H739" i="3" a="1"/>
  <c r="H739" i="3" s="1"/>
  <c r="H740" i="3" a="1"/>
  <c r="H740" i="3" s="1"/>
  <c r="H741" i="3" a="1"/>
  <c r="H741" i="3" s="1"/>
  <c r="H742" i="3" a="1"/>
  <c r="H742" i="3" s="1"/>
  <c r="H743" i="3" a="1"/>
  <c r="H743" i="3" s="1"/>
  <c r="H744" i="3" a="1"/>
  <c r="H744" i="3" s="1"/>
  <c r="H745" i="3" a="1"/>
  <c r="H745" i="3" s="1"/>
  <c r="H746" i="3" a="1"/>
  <c r="H746" i="3" s="1"/>
  <c r="H747" i="3" a="1"/>
  <c r="H747" i="3" s="1"/>
  <c r="H748" i="3" a="1"/>
  <c r="H748" i="3" s="1"/>
  <c r="H749" i="3" a="1"/>
  <c r="H749" i="3" s="1"/>
  <c r="H750" i="3" a="1"/>
  <c r="H750" i="3" s="1"/>
  <c r="H751" i="3" a="1"/>
  <c r="H751" i="3" s="1"/>
  <c r="H752" i="3" a="1"/>
  <c r="H752" i="3" s="1"/>
  <c r="H753" i="3" a="1"/>
  <c r="H753" i="3" s="1"/>
  <c r="H754" i="3" a="1"/>
  <c r="H754" i="3" s="1"/>
  <c r="H755" i="3" a="1"/>
  <c r="H755" i="3" s="1"/>
  <c r="H756" i="3" a="1"/>
  <c r="H756" i="3" s="1"/>
  <c r="H757" i="3" a="1"/>
  <c r="H757" i="3" s="1"/>
  <c r="H758" i="3" a="1"/>
  <c r="H758" i="3" s="1"/>
  <c r="H759" i="3" a="1"/>
  <c r="H759" i="3" s="1"/>
  <c r="H760" i="3" a="1"/>
  <c r="H760" i="3" s="1"/>
  <c r="H761" i="3" a="1"/>
  <c r="H761" i="3" s="1"/>
  <c r="H762" i="3" a="1"/>
  <c r="H762" i="3" s="1"/>
  <c r="H763" i="3" a="1"/>
  <c r="H763" i="3" s="1"/>
  <c r="H764" i="3" a="1"/>
  <c r="H764" i="3" s="1"/>
  <c r="H765" i="3" a="1"/>
  <c r="H765" i="3" s="1"/>
  <c r="H766" i="3" a="1"/>
  <c r="H766" i="3" s="1"/>
  <c r="H767" i="3" a="1"/>
  <c r="H767" i="3" s="1"/>
  <c r="H768" i="3" a="1"/>
  <c r="H768" i="3" s="1"/>
  <c r="H769" i="3" a="1"/>
  <c r="H769" i="3" s="1"/>
  <c r="H770" i="3" a="1"/>
  <c r="H770" i="3" s="1"/>
  <c r="H771" i="3" a="1"/>
  <c r="H771" i="3" s="1"/>
  <c r="H772" i="3" a="1"/>
  <c r="H772" i="3" s="1"/>
  <c r="H773" i="3" a="1"/>
  <c r="H773" i="3" s="1"/>
  <c r="H774" i="3" a="1"/>
  <c r="H774" i="3" s="1"/>
  <c r="H775" i="3" a="1"/>
  <c r="H775" i="3" s="1"/>
  <c r="H776" i="3" a="1"/>
  <c r="H776" i="3" s="1"/>
  <c r="H777" i="3" a="1"/>
  <c r="H777" i="3" s="1"/>
  <c r="H778" i="3" a="1"/>
  <c r="H778" i="3" s="1"/>
  <c r="H779" i="3" a="1"/>
  <c r="H779" i="3" s="1"/>
  <c r="H780" i="3" a="1"/>
  <c r="H780" i="3" s="1"/>
  <c r="H781" i="3" a="1"/>
  <c r="H781" i="3" s="1"/>
  <c r="H782" i="3" a="1"/>
  <c r="H782" i="3" s="1"/>
  <c r="H783" i="3" a="1"/>
  <c r="H783" i="3" s="1"/>
  <c r="H784" i="3" a="1"/>
  <c r="H784" i="3" s="1"/>
  <c r="H785" i="3" a="1"/>
  <c r="H785" i="3" s="1"/>
  <c r="H786" i="3" a="1"/>
  <c r="H786" i="3" s="1"/>
  <c r="H787" i="3" a="1"/>
  <c r="H787" i="3" s="1"/>
  <c r="H788" i="3" a="1"/>
  <c r="H788" i="3" s="1"/>
  <c r="H789" i="3" a="1"/>
  <c r="H789" i="3" s="1"/>
  <c r="H790" i="3" a="1"/>
  <c r="H790" i="3" s="1"/>
  <c r="H791" i="3" a="1"/>
  <c r="H791" i="3" s="1"/>
  <c r="H792" i="3" a="1"/>
  <c r="H792" i="3" s="1"/>
  <c r="H793" i="3" a="1"/>
  <c r="H793" i="3" s="1"/>
  <c r="H794" i="3" a="1"/>
  <c r="H794" i="3" s="1"/>
  <c r="H795" i="3" a="1"/>
  <c r="H795" i="3" s="1"/>
  <c r="H796" i="3" a="1"/>
  <c r="H796" i="3" s="1"/>
  <c r="H797" i="3" a="1"/>
  <c r="H797" i="3" s="1"/>
  <c r="H798" i="3" a="1"/>
  <c r="H798" i="3" s="1"/>
  <c r="H799" i="3" a="1"/>
  <c r="H799" i="3" s="1"/>
  <c r="H800" i="3" a="1"/>
  <c r="H800" i="3" s="1"/>
  <c r="H801" i="3" a="1"/>
  <c r="H801" i="3" s="1"/>
  <c r="H802" i="3" a="1"/>
  <c r="H802" i="3" s="1"/>
  <c r="H803" i="3" a="1"/>
  <c r="H803" i="3" s="1"/>
  <c r="H804" i="3" a="1"/>
  <c r="H804" i="3" s="1"/>
  <c r="H805" i="3" a="1"/>
  <c r="H805" i="3" s="1"/>
  <c r="H806" i="3" a="1"/>
  <c r="H806" i="3" s="1"/>
  <c r="H807" i="3" a="1"/>
  <c r="H807" i="3" s="1"/>
  <c r="H808" i="3" a="1"/>
  <c r="H808" i="3" s="1"/>
  <c r="H809" i="3" a="1"/>
  <c r="H809" i="3" s="1"/>
  <c r="H810" i="3" a="1"/>
  <c r="H810" i="3" s="1"/>
  <c r="H811" i="3" a="1"/>
  <c r="H811" i="3" s="1"/>
  <c r="H812" i="3" a="1"/>
  <c r="H812" i="3" s="1"/>
  <c r="H813" i="3" a="1"/>
  <c r="H813" i="3" s="1"/>
  <c r="H814" i="3" a="1"/>
  <c r="H814" i="3" s="1"/>
  <c r="H815" i="3" a="1"/>
  <c r="H815" i="3" s="1"/>
  <c r="H816" i="3" a="1"/>
  <c r="H816" i="3" s="1"/>
  <c r="H817" i="3" a="1"/>
  <c r="H817" i="3" s="1"/>
  <c r="H818" i="3" a="1"/>
  <c r="H818" i="3" s="1"/>
  <c r="H819" i="3" a="1"/>
  <c r="H819" i="3" s="1"/>
  <c r="H820" i="3" a="1"/>
  <c r="H820" i="3" s="1"/>
  <c r="H821" i="3" a="1"/>
  <c r="H821" i="3" s="1"/>
  <c r="H822" i="3" a="1"/>
  <c r="H822" i="3" s="1"/>
  <c r="H823" i="3" a="1"/>
  <c r="H823" i="3" s="1"/>
  <c r="H824" i="3" a="1"/>
  <c r="H824" i="3" s="1"/>
  <c r="H825" i="3" a="1"/>
  <c r="H825" i="3" s="1"/>
  <c r="H826" i="3" a="1"/>
  <c r="H826" i="3" s="1"/>
  <c r="H827" i="3" a="1"/>
  <c r="H827" i="3" s="1"/>
  <c r="H828" i="3" a="1"/>
  <c r="H828" i="3" s="1"/>
  <c r="H829" i="3" a="1"/>
  <c r="H829" i="3" s="1"/>
  <c r="H830" i="3" a="1"/>
  <c r="H830" i="3" s="1"/>
  <c r="H831" i="3" a="1"/>
  <c r="H831" i="3" s="1"/>
  <c r="H832" i="3" a="1"/>
  <c r="H832" i="3" s="1"/>
  <c r="H833" i="3" a="1"/>
  <c r="H833" i="3" s="1"/>
  <c r="H834" i="3" a="1"/>
  <c r="H834" i="3" s="1"/>
  <c r="H835" i="3" a="1"/>
  <c r="H835" i="3" s="1"/>
  <c r="H836" i="3" a="1"/>
  <c r="H836" i="3" s="1"/>
  <c r="H837" i="3" a="1"/>
  <c r="H837" i="3" s="1"/>
  <c r="H838" i="3" a="1"/>
  <c r="H838" i="3" s="1"/>
  <c r="H839" i="3" a="1"/>
  <c r="H839" i="3" s="1"/>
  <c r="H840" i="3" a="1"/>
  <c r="H840" i="3" s="1"/>
  <c r="H841" i="3" a="1"/>
  <c r="H841" i="3" s="1"/>
  <c r="H842" i="3" a="1"/>
  <c r="H842" i="3" s="1"/>
  <c r="H843" i="3" a="1"/>
  <c r="H843" i="3" s="1"/>
  <c r="H844" i="3" a="1"/>
  <c r="H844" i="3" s="1"/>
  <c r="H845" i="3" a="1"/>
  <c r="H845" i="3" s="1"/>
  <c r="H846" i="3" a="1"/>
  <c r="H846" i="3" s="1"/>
  <c r="H847" i="3" a="1"/>
  <c r="H847" i="3" s="1"/>
  <c r="H848" i="3" a="1"/>
  <c r="H848" i="3" s="1"/>
  <c r="H849" i="3" a="1"/>
  <c r="H849" i="3" s="1"/>
  <c r="H850" i="3" a="1"/>
  <c r="H850" i="3" s="1"/>
  <c r="H851" i="3" a="1"/>
  <c r="H851" i="3" s="1"/>
  <c r="H852" i="3" a="1"/>
  <c r="H852" i="3" s="1"/>
  <c r="H853" i="3" a="1"/>
  <c r="H853" i="3" s="1"/>
  <c r="H854" i="3" a="1"/>
  <c r="H854" i="3" s="1"/>
  <c r="H855" i="3" a="1"/>
  <c r="H855" i="3" s="1"/>
  <c r="H856" i="3" a="1"/>
  <c r="H856" i="3" s="1"/>
  <c r="H857" i="3" a="1"/>
  <c r="H857" i="3" s="1"/>
  <c r="H858" i="3" a="1"/>
  <c r="H858" i="3" s="1"/>
  <c r="H859" i="3" a="1"/>
  <c r="H859" i="3" s="1"/>
  <c r="H860" i="3" a="1"/>
  <c r="H860" i="3" s="1"/>
  <c r="H861" i="3" a="1"/>
  <c r="H861" i="3" s="1"/>
  <c r="H862" i="3" a="1"/>
  <c r="H862" i="3" s="1"/>
  <c r="H863" i="3" a="1"/>
  <c r="H863" i="3" s="1"/>
  <c r="H864" i="3" a="1"/>
  <c r="H864" i="3" s="1"/>
  <c r="H865" i="3" a="1"/>
  <c r="H865" i="3" s="1"/>
  <c r="H866" i="3" a="1"/>
  <c r="H866" i="3" s="1"/>
  <c r="H867" i="3" a="1"/>
  <c r="H867" i="3" s="1"/>
  <c r="H868" i="3" a="1"/>
  <c r="H868" i="3" s="1"/>
  <c r="H869" i="3" a="1"/>
  <c r="H869" i="3" s="1"/>
  <c r="H870" i="3" a="1"/>
  <c r="H870" i="3" s="1"/>
  <c r="H871" i="3" a="1"/>
  <c r="H871" i="3" s="1"/>
  <c r="H872" i="3" a="1"/>
  <c r="H872" i="3" s="1"/>
  <c r="H873" i="3" a="1"/>
  <c r="H873" i="3" s="1"/>
  <c r="H874" i="3" a="1"/>
  <c r="H874" i="3" s="1"/>
  <c r="H875" i="3" a="1"/>
  <c r="H875" i="3" s="1"/>
  <c r="H876" i="3" a="1"/>
  <c r="H876" i="3" s="1"/>
  <c r="H877" i="3" a="1"/>
  <c r="H877" i="3" s="1"/>
  <c r="H878" i="3" a="1"/>
  <c r="H878" i="3" s="1"/>
  <c r="H879" i="3" a="1"/>
  <c r="H879" i="3" s="1"/>
  <c r="H880" i="3" a="1"/>
  <c r="H880" i="3" s="1"/>
  <c r="H881" i="3" a="1"/>
  <c r="H881" i="3" s="1"/>
  <c r="H882" i="3" a="1"/>
  <c r="H882" i="3" s="1"/>
  <c r="H883" i="3" a="1"/>
  <c r="H883" i="3" s="1"/>
  <c r="H884" i="3" a="1"/>
  <c r="H884" i="3" s="1"/>
  <c r="H885" i="3" a="1"/>
  <c r="H885" i="3" s="1"/>
  <c r="H886" i="3" a="1"/>
  <c r="H886" i="3" s="1"/>
  <c r="H887" i="3" a="1"/>
  <c r="H887" i="3" s="1"/>
  <c r="H888" i="3" a="1"/>
  <c r="H888" i="3" s="1"/>
  <c r="H889" i="3" a="1"/>
  <c r="H889" i="3" s="1"/>
  <c r="H890" i="3" a="1"/>
  <c r="H890" i="3" s="1"/>
  <c r="H891" i="3" a="1"/>
  <c r="H891" i="3" s="1"/>
  <c r="H892" i="3" a="1"/>
  <c r="H892" i="3" s="1"/>
  <c r="H893" i="3" a="1"/>
  <c r="H893" i="3" s="1"/>
  <c r="H894" i="3" a="1"/>
  <c r="H894" i="3" s="1"/>
  <c r="H895" i="3" a="1"/>
  <c r="H895" i="3" s="1"/>
  <c r="H896" i="3" a="1"/>
  <c r="H896" i="3" s="1"/>
  <c r="H897" i="3" a="1"/>
  <c r="H897" i="3" s="1"/>
  <c r="H898" i="3" a="1"/>
  <c r="H898" i="3" s="1"/>
  <c r="H899" i="3" a="1"/>
  <c r="H899" i="3" s="1"/>
  <c r="H900" i="3" a="1"/>
  <c r="H900" i="3" s="1"/>
  <c r="H901" i="3" a="1"/>
  <c r="H901" i="3" s="1"/>
  <c r="H902" i="3" a="1"/>
  <c r="H902" i="3" s="1"/>
  <c r="H903" i="3" a="1"/>
  <c r="H903" i="3" s="1"/>
  <c r="H904" i="3" a="1"/>
  <c r="H904" i="3" s="1"/>
  <c r="H905" i="3" a="1"/>
  <c r="H905" i="3" s="1"/>
  <c r="H906" i="3" a="1"/>
  <c r="H906" i="3" s="1"/>
  <c r="H907" i="3" a="1"/>
  <c r="H907" i="3" s="1"/>
  <c r="H908" i="3" a="1"/>
  <c r="H908" i="3" s="1"/>
  <c r="H909" i="3" a="1"/>
  <c r="H909" i="3" s="1"/>
  <c r="H910" i="3" a="1"/>
  <c r="H910" i="3" s="1"/>
  <c r="H911" i="3" a="1"/>
  <c r="H911" i="3" s="1"/>
  <c r="H912" i="3" a="1"/>
  <c r="H912" i="3" s="1"/>
  <c r="H913" i="3" a="1"/>
  <c r="H913" i="3" s="1"/>
  <c r="H914" i="3" a="1"/>
  <c r="H914" i="3" s="1"/>
  <c r="H915" i="3" a="1"/>
  <c r="H915" i="3" s="1"/>
  <c r="H916" i="3" a="1"/>
  <c r="H916" i="3" s="1"/>
  <c r="H917" i="3" a="1"/>
  <c r="H917" i="3" s="1"/>
  <c r="H918" i="3" a="1"/>
  <c r="H918" i="3" s="1"/>
  <c r="H919" i="3" a="1"/>
  <c r="H919" i="3" s="1"/>
  <c r="H920" i="3" a="1"/>
  <c r="H920" i="3" s="1"/>
  <c r="H921" i="3" a="1"/>
  <c r="H921" i="3" s="1"/>
  <c r="H922" i="3" a="1"/>
  <c r="H922" i="3" s="1"/>
  <c r="H923" i="3" a="1"/>
  <c r="H923" i="3" s="1"/>
  <c r="H924" i="3" a="1"/>
  <c r="H924" i="3" s="1"/>
  <c r="H925" i="3" a="1"/>
  <c r="H925" i="3" s="1"/>
  <c r="H926" i="3" a="1"/>
  <c r="H926" i="3" s="1"/>
  <c r="H927" i="3" a="1"/>
  <c r="H927" i="3" s="1"/>
  <c r="H928" i="3" a="1"/>
  <c r="H928" i="3" s="1"/>
  <c r="H929" i="3" a="1"/>
  <c r="H929" i="3" s="1"/>
  <c r="H930" i="3" a="1"/>
  <c r="H930" i="3" s="1"/>
  <c r="H931" i="3" a="1"/>
  <c r="H931" i="3" s="1"/>
  <c r="H932" i="3" a="1"/>
  <c r="H932" i="3" s="1"/>
  <c r="H933" i="3" a="1"/>
  <c r="H933" i="3" s="1"/>
  <c r="H934" i="3" a="1"/>
  <c r="H934" i="3" s="1"/>
  <c r="H935" i="3" a="1"/>
  <c r="H935" i="3" s="1"/>
  <c r="H936" i="3" a="1"/>
  <c r="H936" i="3" s="1"/>
  <c r="H937" i="3" a="1"/>
  <c r="H937" i="3" s="1"/>
  <c r="H938" i="3" a="1"/>
  <c r="H938" i="3" s="1"/>
  <c r="H939" i="3" a="1"/>
  <c r="H939" i="3" s="1"/>
  <c r="H940" i="3" a="1"/>
  <c r="H940" i="3" s="1"/>
  <c r="H941" i="3" a="1"/>
  <c r="H941" i="3" s="1"/>
  <c r="H942" i="3" a="1"/>
  <c r="H942" i="3" s="1"/>
  <c r="H943" i="3" a="1"/>
  <c r="H943" i="3" s="1"/>
  <c r="H944" i="3" a="1"/>
  <c r="H944" i="3" s="1"/>
  <c r="H945" i="3" a="1"/>
  <c r="H945" i="3" s="1"/>
  <c r="H946" i="3" a="1"/>
  <c r="H946" i="3" s="1"/>
  <c r="H947" i="3" a="1"/>
  <c r="H947" i="3" s="1"/>
  <c r="H948" i="3" a="1"/>
  <c r="H948" i="3" s="1"/>
  <c r="H949" i="3" a="1"/>
  <c r="H949" i="3" s="1"/>
  <c r="H950" i="3" a="1"/>
  <c r="H950" i="3" s="1"/>
  <c r="H951" i="3" a="1"/>
  <c r="H951" i="3" s="1"/>
  <c r="H952" i="3" a="1"/>
  <c r="H952" i="3" s="1"/>
  <c r="H953" i="3" a="1"/>
  <c r="H953" i="3" s="1"/>
  <c r="H954" i="3" a="1"/>
  <c r="H954" i="3" s="1"/>
  <c r="H955" i="3" a="1"/>
  <c r="H955" i="3" s="1"/>
  <c r="H956" i="3" a="1"/>
  <c r="H956" i="3" s="1"/>
  <c r="H957" i="3" a="1"/>
  <c r="H957" i="3" s="1"/>
  <c r="H958" i="3" a="1"/>
  <c r="H958" i="3" s="1"/>
  <c r="H959" i="3" a="1"/>
  <c r="H959" i="3" s="1"/>
  <c r="H960" i="3" a="1"/>
  <c r="H960" i="3" s="1"/>
  <c r="H961" i="3" a="1"/>
  <c r="H961" i="3" s="1"/>
  <c r="H962" i="3" a="1"/>
  <c r="H962" i="3" s="1"/>
  <c r="H963" i="3" a="1"/>
  <c r="H963" i="3" s="1"/>
  <c r="H964" i="3" a="1"/>
  <c r="H964" i="3" s="1"/>
  <c r="H965" i="3" a="1"/>
  <c r="H965" i="3" s="1"/>
  <c r="H966" i="3" a="1"/>
  <c r="H966" i="3" s="1"/>
  <c r="H967" i="3" a="1"/>
  <c r="H967" i="3" s="1"/>
  <c r="H968" i="3" a="1"/>
  <c r="H968" i="3" s="1"/>
  <c r="H969" i="3" a="1"/>
  <c r="H969" i="3" s="1"/>
  <c r="H970" i="3" a="1"/>
  <c r="H970" i="3" s="1"/>
  <c r="H971" i="3" a="1"/>
  <c r="H971" i="3" s="1"/>
  <c r="H972" i="3" a="1"/>
  <c r="H972" i="3" s="1"/>
  <c r="H973" i="3" a="1"/>
  <c r="H973" i="3" s="1"/>
  <c r="H974" i="3" a="1"/>
  <c r="H974" i="3" s="1"/>
  <c r="H975" i="3" a="1"/>
  <c r="H975" i="3" s="1"/>
  <c r="H976" i="3" a="1"/>
  <c r="H976" i="3" s="1"/>
  <c r="H977" i="3" a="1"/>
  <c r="H977" i="3" s="1"/>
  <c r="H978" i="3" a="1"/>
  <c r="H978" i="3" s="1"/>
  <c r="H979" i="3" a="1"/>
  <c r="H979" i="3" s="1"/>
  <c r="H980" i="3" a="1"/>
  <c r="H980" i="3" s="1"/>
  <c r="H981" i="3" a="1"/>
  <c r="H981" i="3" s="1"/>
  <c r="H982" i="3" a="1"/>
  <c r="H982" i="3" s="1"/>
  <c r="H983" i="3" a="1"/>
  <c r="H983" i="3" s="1"/>
  <c r="H984" i="3" a="1"/>
  <c r="H984" i="3" s="1"/>
  <c r="H985" i="3" a="1"/>
  <c r="H985" i="3" s="1"/>
  <c r="H986" i="3" a="1"/>
  <c r="H986" i="3" s="1"/>
  <c r="H987" i="3" a="1"/>
  <c r="H987" i="3" s="1"/>
  <c r="H988" i="3" a="1"/>
  <c r="H988" i="3" s="1"/>
  <c r="H989" i="3" a="1"/>
  <c r="H989" i="3" s="1"/>
  <c r="H990" i="3" a="1"/>
  <c r="H990" i="3" s="1"/>
  <c r="H991" i="3" a="1"/>
  <c r="H991" i="3" s="1"/>
  <c r="H992" i="3" a="1"/>
  <c r="H992" i="3" s="1"/>
  <c r="H993" i="3" a="1"/>
  <c r="H993" i="3" s="1"/>
  <c r="H994" i="3" a="1"/>
  <c r="H994" i="3" s="1"/>
  <c r="H995" i="3" a="1"/>
  <c r="H995" i="3" s="1"/>
  <c r="H996" i="3" a="1"/>
  <c r="H996" i="3" s="1"/>
  <c r="H997" i="3" a="1"/>
  <c r="H997" i="3" s="1"/>
  <c r="H998" i="3" a="1"/>
  <c r="H998" i="3" s="1"/>
  <c r="H999" i="3" a="1"/>
  <c r="H999" i="3" s="1"/>
  <c r="H1000" i="3" a="1"/>
  <c r="H1000" i="3" s="1"/>
  <c r="H1001" i="3" a="1"/>
  <c r="H1001" i="3" s="1"/>
  <c r="H1002" i="3" a="1"/>
  <c r="H1002" i="3" s="1"/>
  <c r="H1003" i="3" a="1"/>
  <c r="H1003" i="3" s="1"/>
  <c r="H1004" i="3" a="1"/>
  <c r="H1004" i="3" s="1"/>
  <c r="H1005" i="3" a="1"/>
  <c r="H1005" i="3" s="1"/>
  <c r="H1006" i="3" a="1"/>
  <c r="H1006" i="3" s="1"/>
  <c r="H1007" i="3" a="1"/>
  <c r="H1007" i="3" s="1"/>
  <c r="H1008" i="3" a="1"/>
  <c r="H1008" i="3" s="1"/>
  <c r="H1009" i="3" a="1"/>
  <c r="H1009" i="3" s="1"/>
  <c r="H1010" i="3" a="1"/>
  <c r="H1010" i="3" s="1"/>
  <c r="H1011" i="3" a="1"/>
  <c r="H1011" i="3" s="1"/>
  <c r="H1012" i="3" a="1"/>
  <c r="H1012" i="3" s="1"/>
  <c r="H1013" i="3" a="1"/>
  <c r="H1013" i="3" s="1"/>
  <c r="H1014" i="3" a="1"/>
  <c r="H1014" i="3" s="1"/>
  <c r="H1015" i="3" a="1"/>
  <c r="H1015" i="3" s="1"/>
  <c r="H1016" i="3" a="1"/>
  <c r="H1016" i="3" s="1"/>
  <c r="H1017" i="3" a="1"/>
  <c r="H1017" i="3" s="1"/>
  <c r="H1018" i="3" a="1"/>
  <c r="H1018" i="3" s="1"/>
  <c r="H1019" i="3" a="1"/>
  <c r="H1019" i="3" s="1"/>
  <c r="H1020" i="3" a="1"/>
  <c r="H1020" i="3" s="1"/>
  <c r="H1021" i="3" a="1"/>
  <c r="H1021" i="3" s="1"/>
  <c r="H1022" i="3" a="1"/>
  <c r="H1022" i="3" s="1"/>
  <c r="H1023" i="3" a="1"/>
  <c r="H1023" i="3" s="1"/>
  <c r="H1024" i="3" a="1"/>
  <c r="H1024" i="3" s="1"/>
  <c r="H1025" i="3" a="1"/>
  <c r="H1025" i="3" s="1"/>
  <c r="H1026" i="3" a="1"/>
  <c r="H1026" i="3" s="1"/>
  <c r="H1027" i="3" a="1"/>
  <c r="H1027" i="3" s="1"/>
  <c r="H1028" i="3" a="1"/>
  <c r="H1028" i="3" s="1"/>
  <c r="H1029" i="3" a="1"/>
  <c r="H1029" i="3" s="1"/>
  <c r="H1030" i="3" a="1"/>
  <c r="H1030" i="3" s="1"/>
  <c r="H1031" i="3" a="1"/>
  <c r="H1031" i="3" s="1"/>
  <c r="H1032" i="3" a="1"/>
  <c r="H1032" i="3" s="1"/>
  <c r="H1033" i="3" a="1"/>
  <c r="H1033" i="3" s="1"/>
  <c r="H1034" i="3" a="1"/>
  <c r="H1034" i="3" s="1"/>
  <c r="H1035" i="3" a="1"/>
  <c r="H1035" i="3" s="1"/>
  <c r="H1036" i="3" a="1"/>
  <c r="H1036" i="3" s="1"/>
  <c r="H1037" i="3" a="1"/>
  <c r="H1037" i="3" s="1"/>
  <c r="H1038" i="3" a="1"/>
  <c r="H1038" i="3" s="1"/>
  <c r="H1039" i="3" a="1"/>
  <c r="H1039" i="3" s="1"/>
  <c r="H1040" i="3" a="1"/>
  <c r="H1040" i="3" s="1"/>
  <c r="H1041" i="3" a="1"/>
  <c r="H1041" i="3" s="1"/>
  <c r="H1042" i="3" a="1"/>
  <c r="H1042" i="3" s="1"/>
  <c r="H1043" i="3" a="1"/>
  <c r="H1043" i="3" s="1"/>
  <c r="H1044" i="3" a="1"/>
  <c r="H1044" i="3" s="1"/>
  <c r="H1045" i="3" a="1"/>
  <c r="H1045" i="3" s="1"/>
  <c r="H1046" i="3" a="1"/>
  <c r="H1046" i="3" s="1"/>
  <c r="H1047" i="3" a="1"/>
  <c r="H1047" i="3" s="1"/>
  <c r="H1048" i="3" a="1"/>
  <c r="H1048" i="3" s="1"/>
  <c r="H1049" i="3" a="1"/>
  <c r="H1049" i="3" s="1"/>
  <c r="H1050" i="3" a="1"/>
  <c r="H1050" i="3" s="1"/>
  <c r="H1051" i="3" a="1"/>
  <c r="H1051" i="3" s="1"/>
  <c r="H1052" i="3" a="1"/>
  <c r="H1052" i="3" s="1"/>
  <c r="H1053" i="3" a="1"/>
  <c r="H1053" i="3" s="1"/>
  <c r="H1054" i="3" a="1"/>
  <c r="H1054" i="3" s="1"/>
  <c r="H1055" i="3" a="1"/>
  <c r="H1055" i="3" s="1"/>
  <c r="H1056" i="3" a="1"/>
  <c r="H1056" i="3" s="1"/>
  <c r="H1057" i="3" a="1"/>
  <c r="H1057" i="3" s="1"/>
  <c r="H1058" i="3" a="1"/>
  <c r="H1058" i="3" s="1"/>
  <c r="H1059" i="3" a="1"/>
  <c r="H1059" i="3" s="1"/>
  <c r="H1060" i="3" a="1"/>
  <c r="H1060" i="3" s="1"/>
  <c r="H1061" i="3" a="1"/>
  <c r="H1061" i="3" s="1"/>
  <c r="H1062" i="3" a="1"/>
  <c r="H1062" i="3" s="1"/>
  <c r="H1063" i="3" a="1"/>
  <c r="H1063" i="3" s="1"/>
  <c r="H1064" i="3" a="1"/>
  <c r="H1064" i="3" s="1"/>
  <c r="H1065" i="3" a="1"/>
  <c r="H1065" i="3" s="1"/>
  <c r="H1066" i="3" a="1"/>
  <c r="H1066" i="3" s="1"/>
  <c r="H1067" i="3" a="1"/>
  <c r="H1067" i="3" s="1"/>
  <c r="H1068" i="3" a="1"/>
  <c r="H1068" i="3" s="1"/>
  <c r="H1069" i="3" a="1"/>
  <c r="H1069" i="3" s="1"/>
  <c r="H1070" i="3" a="1"/>
  <c r="H1070" i="3" s="1"/>
  <c r="H1071" i="3" a="1"/>
  <c r="H1071" i="3" s="1"/>
  <c r="H1072" i="3" a="1"/>
  <c r="H1072" i="3" s="1"/>
  <c r="H1073" i="3" a="1"/>
  <c r="H1073" i="3" s="1"/>
  <c r="H1074" i="3" a="1"/>
  <c r="H1074" i="3" s="1"/>
  <c r="H1075" i="3" a="1"/>
  <c r="H1075" i="3" s="1"/>
  <c r="H1076" i="3" a="1"/>
  <c r="H1076" i="3" s="1"/>
  <c r="H1077" i="3" a="1"/>
  <c r="H1077" i="3" s="1"/>
  <c r="H1078" i="3" a="1"/>
  <c r="H1078" i="3" s="1"/>
  <c r="H1079" i="3" a="1"/>
  <c r="H1079" i="3" s="1"/>
  <c r="H1080" i="3" a="1"/>
  <c r="H1080" i="3" s="1"/>
  <c r="H1081" i="3" a="1"/>
  <c r="H1081" i="3" s="1"/>
  <c r="H1082" i="3" a="1"/>
  <c r="H1082" i="3" s="1"/>
  <c r="H1083" i="3" a="1"/>
  <c r="H1083" i="3" s="1"/>
  <c r="H1084" i="3" a="1"/>
  <c r="H1084" i="3" s="1"/>
  <c r="H1085" i="3" a="1"/>
  <c r="H1085" i="3" s="1"/>
  <c r="H1086" i="3" a="1"/>
  <c r="H1086" i="3" s="1"/>
  <c r="H1087" i="3" a="1"/>
  <c r="H1087" i="3" s="1"/>
  <c r="H1088" i="3" a="1"/>
  <c r="H1088" i="3" s="1"/>
  <c r="H1089" i="3" a="1"/>
  <c r="H1089" i="3" s="1"/>
  <c r="H1090" i="3" a="1"/>
  <c r="H1090" i="3" s="1"/>
  <c r="H1091" i="3" a="1"/>
  <c r="H1091" i="3" s="1"/>
  <c r="H1092" i="3" a="1"/>
  <c r="H1092" i="3" s="1"/>
  <c r="H1093" i="3" a="1"/>
  <c r="H1093" i="3" s="1"/>
  <c r="H1094" i="3" a="1"/>
  <c r="H1094" i="3" s="1"/>
  <c r="H1095" i="3" a="1"/>
  <c r="H1095" i="3" s="1"/>
  <c r="H1096" i="3" a="1"/>
  <c r="H1096" i="3" s="1"/>
  <c r="H1097" i="3" a="1"/>
  <c r="H1097" i="3" s="1"/>
  <c r="H1098" i="3" a="1"/>
  <c r="H1098" i="3" s="1"/>
  <c r="H1099" i="3" a="1"/>
  <c r="H1099" i="3" s="1"/>
  <c r="H1100" i="3" a="1"/>
  <c r="H1100" i="3" s="1"/>
  <c r="H1101" i="3" a="1"/>
  <c r="H1101" i="3" s="1"/>
  <c r="H1102" i="3" a="1"/>
  <c r="H1102" i="3" s="1"/>
  <c r="H1103" i="3" a="1"/>
  <c r="H1103" i="3" s="1"/>
  <c r="H1104" i="3" a="1"/>
  <c r="H1104" i="3" s="1"/>
  <c r="H1105" i="3" a="1"/>
  <c r="H1105" i="3" s="1"/>
  <c r="H1106" i="3" a="1"/>
  <c r="H1106" i="3" s="1"/>
  <c r="H1107" i="3" a="1"/>
  <c r="H1107" i="3" s="1"/>
  <c r="H1108" i="3" a="1"/>
  <c r="H1108" i="3" s="1"/>
  <c r="H1109" i="3" a="1"/>
  <c r="H1109" i="3" s="1"/>
  <c r="H1110" i="3" a="1"/>
  <c r="H1110" i="3" s="1"/>
  <c r="H1111" i="3" a="1"/>
  <c r="H1111" i="3" s="1"/>
  <c r="H1112" i="3" a="1"/>
  <c r="H1112" i="3" s="1"/>
  <c r="H1113" i="3" a="1"/>
  <c r="H1113" i="3" s="1"/>
  <c r="H1114" i="3" a="1"/>
  <c r="H1114" i="3" s="1"/>
  <c r="H1115" i="3" a="1"/>
  <c r="H1115" i="3" s="1"/>
  <c r="H1116" i="3" a="1"/>
  <c r="H1116" i="3" s="1"/>
  <c r="H1117" i="3" a="1"/>
  <c r="H1117" i="3" s="1"/>
  <c r="H1118" i="3" a="1"/>
  <c r="H1118" i="3" s="1"/>
  <c r="H1119" i="3" a="1"/>
  <c r="H1119" i="3" s="1"/>
  <c r="H1120" i="3" a="1"/>
  <c r="H1120" i="3" s="1"/>
  <c r="H1121" i="3" a="1"/>
  <c r="H1121" i="3" s="1"/>
  <c r="H1122" i="3" a="1"/>
  <c r="H1122" i="3" s="1"/>
  <c r="H1123" i="3" a="1"/>
  <c r="H1123" i="3" s="1"/>
  <c r="H1124" i="3" a="1"/>
  <c r="H1124" i="3" s="1"/>
  <c r="H1125" i="3" a="1"/>
  <c r="H1125" i="3" s="1"/>
  <c r="H1126" i="3" a="1"/>
  <c r="H1126" i="3" s="1"/>
  <c r="H1127" i="3" a="1"/>
  <c r="H1127" i="3" s="1"/>
  <c r="H1128" i="3" a="1"/>
  <c r="H1128" i="3" s="1"/>
  <c r="H1129" i="3" a="1"/>
  <c r="H1129" i="3" s="1"/>
  <c r="H1130" i="3" a="1"/>
  <c r="H1130" i="3" s="1"/>
  <c r="H1131" i="3" a="1"/>
  <c r="H1131" i="3" s="1"/>
  <c r="H1132" i="3" a="1"/>
  <c r="H1132" i="3" s="1"/>
  <c r="H1133" i="3" a="1"/>
  <c r="H1133" i="3" s="1"/>
  <c r="H1134" i="3" a="1"/>
  <c r="H1134" i="3" s="1"/>
  <c r="H1135" i="3" a="1"/>
  <c r="H1135" i="3" s="1"/>
  <c r="H1136" i="3" a="1"/>
  <c r="H1136" i="3" s="1"/>
  <c r="H1137" i="3" a="1"/>
  <c r="H1137" i="3" s="1"/>
  <c r="H1138" i="3" a="1"/>
  <c r="H1138" i="3" s="1"/>
  <c r="H1139" i="3" a="1"/>
  <c r="H1139" i="3" s="1"/>
  <c r="H1140" i="3" a="1"/>
  <c r="H1140" i="3" s="1"/>
  <c r="H1141" i="3" a="1"/>
  <c r="H1141" i="3" s="1"/>
  <c r="H1142" i="3" a="1"/>
  <c r="H1142" i="3" s="1"/>
  <c r="H1143" i="3" a="1"/>
  <c r="H1143" i="3" s="1"/>
  <c r="H1144" i="3" a="1"/>
  <c r="H1144" i="3" s="1"/>
  <c r="H1145" i="3" a="1"/>
  <c r="H1145" i="3" s="1"/>
  <c r="H1146" i="3" a="1"/>
  <c r="H1146" i="3" s="1"/>
  <c r="H1147" i="3" a="1"/>
  <c r="H1147" i="3" s="1"/>
  <c r="H1148" i="3" a="1"/>
  <c r="H1148" i="3" s="1"/>
  <c r="H1149" i="3" a="1"/>
  <c r="H1149" i="3" s="1"/>
  <c r="H1150" i="3" a="1"/>
  <c r="H1150" i="3" s="1"/>
  <c r="H1151" i="3" a="1"/>
  <c r="H1151" i="3" s="1"/>
  <c r="H1152" i="3" a="1"/>
  <c r="H1152" i="3" s="1"/>
  <c r="H1153" i="3" a="1"/>
  <c r="H1153" i="3" s="1"/>
  <c r="H1154" i="3" a="1"/>
  <c r="H1154" i="3" s="1"/>
  <c r="H1155" i="3" a="1"/>
  <c r="H1155" i="3" s="1"/>
  <c r="H1156" i="3" a="1"/>
  <c r="H1156" i="3" s="1"/>
  <c r="H1157" i="3" a="1"/>
  <c r="H1157" i="3" s="1"/>
  <c r="H1158" i="3" a="1"/>
  <c r="H1158" i="3" s="1"/>
  <c r="H1159" i="3" a="1"/>
  <c r="H1159" i="3" s="1"/>
  <c r="H1160" i="3" a="1"/>
  <c r="H1160" i="3" s="1"/>
  <c r="H1161" i="3" a="1"/>
  <c r="H1161" i="3" s="1"/>
  <c r="H1162" i="3" a="1"/>
  <c r="H1162" i="3" s="1"/>
  <c r="H1163" i="3" a="1"/>
  <c r="H1163" i="3" s="1"/>
  <c r="H1164" i="3" a="1"/>
  <c r="H1164" i="3" s="1"/>
  <c r="H1165" i="3" a="1"/>
  <c r="H1165" i="3" s="1"/>
  <c r="H1166" i="3" a="1"/>
  <c r="H1166" i="3" s="1"/>
  <c r="H1167" i="3" a="1"/>
  <c r="H1167" i="3" s="1"/>
  <c r="H1168" i="3" a="1"/>
  <c r="H1168" i="3" s="1"/>
  <c r="H1169" i="3" a="1"/>
  <c r="H1169" i="3" s="1"/>
  <c r="H1170" i="3" a="1"/>
  <c r="H1170" i="3" s="1"/>
  <c r="H1171" i="3" a="1"/>
  <c r="H1171" i="3" s="1"/>
  <c r="H1172" i="3" a="1"/>
  <c r="H1172" i="3" s="1"/>
  <c r="H1173" i="3" a="1"/>
  <c r="H1173" i="3" s="1"/>
  <c r="H1174" i="3" a="1"/>
  <c r="H1174" i="3" s="1"/>
  <c r="H1175" i="3" a="1"/>
  <c r="H1175" i="3" s="1"/>
  <c r="H1176" i="3" a="1"/>
  <c r="H1176" i="3" s="1"/>
  <c r="H1177" i="3" a="1"/>
  <c r="H1177" i="3" s="1"/>
  <c r="H1178" i="3" a="1"/>
  <c r="H1178" i="3" s="1"/>
  <c r="H1179" i="3" a="1"/>
  <c r="H1179" i="3" s="1"/>
  <c r="H1180" i="3" a="1"/>
  <c r="H1180" i="3" s="1"/>
  <c r="H1181" i="3" a="1"/>
  <c r="H1181" i="3" s="1"/>
  <c r="H1182" i="3" a="1"/>
  <c r="H1182" i="3" s="1"/>
  <c r="H1183" i="3" a="1"/>
  <c r="H1183" i="3" s="1"/>
  <c r="H1184" i="3" a="1"/>
  <c r="H1184" i="3" s="1"/>
  <c r="H1185" i="3" a="1"/>
  <c r="H1185" i="3" s="1"/>
  <c r="H1186" i="3" a="1"/>
  <c r="H1186" i="3" s="1"/>
  <c r="H1187" i="3" a="1"/>
  <c r="H1187" i="3" s="1"/>
  <c r="H1188" i="3" a="1"/>
  <c r="H1188" i="3" s="1"/>
  <c r="H1189" i="3" a="1"/>
  <c r="H1189" i="3" s="1"/>
  <c r="H1190" i="3" a="1"/>
  <c r="H1190" i="3" s="1"/>
  <c r="H1191" i="3" a="1"/>
  <c r="H1191" i="3" s="1"/>
  <c r="H1192" i="3" a="1"/>
  <c r="H1192" i="3" s="1"/>
  <c r="H1193" i="3" a="1"/>
  <c r="H1193" i="3" s="1"/>
  <c r="H1194" i="3" a="1"/>
  <c r="H1194" i="3" s="1"/>
  <c r="H1195" i="3" a="1"/>
  <c r="H1195" i="3" s="1"/>
  <c r="H1196" i="3" a="1"/>
  <c r="H1196" i="3" s="1"/>
  <c r="H1197" i="3" a="1"/>
  <c r="H1197" i="3" s="1"/>
  <c r="H1198" i="3" a="1"/>
  <c r="H1198" i="3" s="1"/>
  <c r="H1199" i="3" a="1"/>
  <c r="H1199" i="3" s="1"/>
  <c r="H1200" i="3" a="1"/>
  <c r="H1200" i="3" s="1"/>
  <c r="H1201" i="3" a="1"/>
  <c r="H1201" i="3" s="1"/>
  <c r="H1202" i="3" a="1"/>
  <c r="H1202" i="3" s="1"/>
  <c r="H1203" i="3" a="1"/>
  <c r="H1203" i="3" s="1"/>
  <c r="H1204" i="3" a="1"/>
  <c r="H1204" i="3" s="1"/>
  <c r="H1205" i="3" a="1"/>
  <c r="H1205" i="3" s="1"/>
  <c r="H1206" i="3" a="1"/>
  <c r="H1206" i="3" s="1"/>
  <c r="H1207" i="3" a="1"/>
  <c r="H1207" i="3" s="1"/>
  <c r="H1208" i="3" a="1"/>
  <c r="H1208" i="3" s="1"/>
  <c r="H1209" i="3" a="1"/>
  <c r="H1209" i="3" s="1"/>
  <c r="H1210" i="3" a="1"/>
  <c r="H1210" i="3" s="1"/>
  <c r="H1211" i="3" a="1"/>
  <c r="H1211" i="3" s="1"/>
  <c r="H1212" i="3" a="1"/>
  <c r="H1212" i="3" s="1"/>
  <c r="H1213" i="3" a="1"/>
  <c r="H1213" i="3" s="1"/>
  <c r="H1214" i="3" a="1"/>
  <c r="H1214" i="3" s="1"/>
  <c r="H1215" i="3" a="1"/>
  <c r="H1215" i="3" s="1"/>
  <c r="H1216" i="3" a="1"/>
  <c r="H1216" i="3" s="1"/>
  <c r="H1217" i="3" a="1"/>
  <c r="H1217" i="3" s="1"/>
  <c r="H1218" i="3" a="1"/>
  <c r="H1218" i="3" s="1"/>
  <c r="H1219" i="3" a="1"/>
  <c r="H1219" i="3" s="1"/>
  <c r="H1220" i="3" a="1"/>
  <c r="H1220" i="3" s="1"/>
  <c r="H1221" i="3" a="1"/>
  <c r="H1221" i="3" s="1"/>
  <c r="H1222" i="3" a="1"/>
  <c r="H1222" i="3" s="1"/>
  <c r="H1223" i="3" a="1"/>
  <c r="H1223" i="3" s="1"/>
  <c r="H1224" i="3" a="1"/>
  <c r="H1224" i="3" s="1"/>
  <c r="H1225" i="3" a="1"/>
  <c r="H1225" i="3" s="1"/>
  <c r="H1226" i="3" a="1"/>
  <c r="H1226" i="3" s="1"/>
  <c r="H1227" i="3" a="1"/>
  <c r="H1227" i="3" s="1"/>
  <c r="H1228" i="3" a="1"/>
  <c r="H1228" i="3" s="1"/>
  <c r="H1229" i="3" a="1"/>
  <c r="H1229" i="3" s="1"/>
  <c r="H1230" i="3" a="1"/>
  <c r="H1230" i="3" s="1"/>
  <c r="H1231" i="3" a="1"/>
  <c r="H1231" i="3" s="1"/>
  <c r="H1232" i="3" a="1"/>
  <c r="H1232" i="3" s="1"/>
  <c r="H1233" i="3" a="1"/>
  <c r="H1233" i="3" s="1"/>
  <c r="H1234" i="3" a="1"/>
  <c r="H1234" i="3" s="1"/>
  <c r="H1235" i="3" a="1"/>
  <c r="H1235" i="3" s="1"/>
  <c r="H1236" i="3" a="1"/>
  <c r="H1236" i="3" s="1"/>
  <c r="H1237" i="3" a="1"/>
  <c r="H1237" i="3" s="1"/>
  <c r="H1238" i="3" a="1"/>
  <c r="H1238" i="3" s="1"/>
  <c r="H1239" i="3" a="1"/>
  <c r="H1239" i="3" s="1"/>
  <c r="H1240" i="3" a="1"/>
  <c r="H1240" i="3" s="1"/>
  <c r="H1241" i="3" a="1"/>
  <c r="H1241" i="3" s="1"/>
  <c r="H1242" i="3" a="1"/>
  <c r="H1242" i="3" s="1"/>
  <c r="H1243" i="3" a="1"/>
  <c r="H1243" i="3" s="1"/>
  <c r="H1244" i="3" a="1"/>
  <c r="H1244" i="3" s="1"/>
  <c r="H1245" i="3" a="1"/>
  <c r="H1245" i="3" s="1"/>
  <c r="H1246" i="3" a="1"/>
  <c r="H1246" i="3" s="1"/>
  <c r="H1247" i="3" a="1"/>
  <c r="H1247" i="3" s="1"/>
  <c r="H1248" i="3" a="1"/>
  <c r="H1248" i="3" s="1"/>
  <c r="H1249" i="3" a="1"/>
  <c r="H1249" i="3" s="1"/>
  <c r="H1250" i="3" a="1"/>
  <c r="H1250" i="3" s="1"/>
  <c r="H1251" i="3" a="1"/>
  <c r="H1251" i="3" s="1"/>
  <c r="H1252" i="3" a="1"/>
  <c r="H1252" i="3" s="1"/>
  <c r="H1253" i="3" a="1"/>
  <c r="H1253" i="3" s="1"/>
  <c r="H1254" i="3" a="1"/>
  <c r="H1254" i="3" s="1"/>
  <c r="H1255" i="3" a="1"/>
  <c r="H1255" i="3" s="1"/>
  <c r="H1256" i="3" a="1"/>
  <c r="H1256" i="3" s="1"/>
  <c r="H1257" i="3" a="1"/>
  <c r="H1257" i="3" s="1"/>
  <c r="H1258" i="3" a="1"/>
  <c r="H1258" i="3" s="1"/>
  <c r="H1259" i="3" a="1"/>
  <c r="H1259" i="3" s="1"/>
  <c r="H1260" i="3" a="1"/>
  <c r="H1260" i="3" s="1"/>
  <c r="H1261" i="3" a="1"/>
  <c r="H1261" i="3" s="1"/>
  <c r="H1262" i="3" a="1"/>
  <c r="H1262" i="3" s="1"/>
  <c r="H1263" i="3" a="1"/>
  <c r="H1263" i="3" s="1"/>
  <c r="H1264" i="3" a="1"/>
  <c r="H1264" i="3" s="1"/>
  <c r="H1265" i="3" a="1"/>
  <c r="H1265" i="3" s="1"/>
  <c r="H1266" i="3" a="1"/>
  <c r="H1266" i="3" s="1"/>
  <c r="H1267" i="3" a="1"/>
  <c r="H1267" i="3" s="1"/>
  <c r="H1268" i="3" a="1"/>
  <c r="H1268" i="3" s="1"/>
  <c r="H1269" i="3" a="1"/>
  <c r="H1269" i="3" s="1"/>
  <c r="H1270" i="3" a="1"/>
  <c r="H1270" i="3" s="1"/>
  <c r="H1271" i="3" a="1"/>
  <c r="H1271" i="3" s="1"/>
  <c r="H1272" i="3" a="1"/>
  <c r="H1272" i="3" s="1"/>
  <c r="H1273" i="3" a="1"/>
  <c r="H1273" i="3" s="1"/>
  <c r="H1274" i="3" a="1"/>
  <c r="H1274" i="3" s="1"/>
  <c r="H1275" i="3" a="1"/>
  <c r="H1275" i="3" s="1"/>
  <c r="H1276" i="3" a="1"/>
  <c r="H1276" i="3" s="1"/>
  <c r="H1277" i="3" a="1"/>
  <c r="H1277" i="3" s="1"/>
  <c r="H1278" i="3" a="1"/>
  <c r="H1278" i="3" s="1"/>
  <c r="H1279" i="3" a="1"/>
  <c r="H1279" i="3" s="1"/>
  <c r="H1280" i="3" a="1"/>
  <c r="H1280" i="3" s="1"/>
  <c r="H1281" i="3" a="1"/>
  <c r="H1281" i="3" s="1"/>
  <c r="H1282" i="3" a="1"/>
  <c r="H1282" i="3" s="1"/>
  <c r="H1283" i="3" a="1"/>
  <c r="H1283" i="3" s="1"/>
  <c r="H1284" i="3" a="1"/>
  <c r="H1284" i="3" s="1"/>
  <c r="H1285" i="3" a="1"/>
  <c r="H1285" i="3" s="1"/>
  <c r="H1286" i="3" a="1"/>
  <c r="H1286" i="3" s="1"/>
  <c r="H1287" i="3" a="1"/>
  <c r="H1287" i="3" s="1"/>
  <c r="H1288" i="3" a="1"/>
  <c r="H1288" i="3" s="1"/>
  <c r="H1289" i="3" a="1"/>
  <c r="H1289" i="3" s="1"/>
  <c r="H1290" i="3" a="1"/>
  <c r="H1290" i="3" s="1"/>
  <c r="H1291" i="3" a="1"/>
  <c r="H1291" i="3" s="1"/>
  <c r="H1292" i="3" a="1"/>
  <c r="H1292" i="3" s="1"/>
  <c r="H1293" i="3" a="1"/>
  <c r="H1293" i="3" s="1"/>
  <c r="H1294" i="3" a="1"/>
  <c r="H1294" i="3" s="1"/>
  <c r="H1295" i="3" a="1"/>
  <c r="H1295" i="3" s="1"/>
  <c r="H1296" i="3" a="1"/>
  <c r="H1296" i="3" s="1"/>
  <c r="H1297" i="3" a="1"/>
  <c r="H1297" i="3" s="1"/>
  <c r="H1298" i="3" a="1"/>
  <c r="H1298" i="3" s="1"/>
  <c r="H1299" i="3" a="1"/>
  <c r="H1299" i="3" s="1"/>
  <c r="H1300" i="3" a="1"/>
  <c r="H1300" i="3" s="1"/>
  <c r="H1301" i="3" a="1"/>
  <c r="H1301" i="3" s="1"/>
  <c r="H1302" i="3" a="1"/>
  <c r="H1302" i="3" s="1"/>
  <c r="H1303" i="3" a="1"/>
  <c r="H1303" i="3" s="1"/>
  <c r="H1304" i="3" a="1"/>
  <c r="H1304" i="3" s="1"/>
  <c r="H1305" i="3" a="1"/>
  <c r="H1305" i="3" s="1"/>
  <c r="H1306" i="3" a="1"/>
  <c r="H1306" i="3" s="1"/>
  <c r="H1307" i="3" a="1"/>
  <c r="H1307" i="3" s="1"/>
  <c r="H1308" i="3" a="1"/>
  <c r="H1308" i="3" s="1"/>
  <c r="H1309" i="3" a="1"/>
  <c r="H1309" i="3" s="1"/>
  <c r="H1310" i="3" a="1"/>
  <c r="H1310" i="3" s="1"/>
  <c r="H1311" i="3" a="1"/>
  <c r="H1311" i="3" s="1"/>
  <c r="H1312" i="3" a="1"/>
  <c r="H1312" i="3" s="1"/>
  <c r="H1313" i="3" a="1"/>
  <c r="H1313" i="3" s="1"/>
  <c r="H1314" i="3" a="1"/>
  <c r="H1314" i="3" s="1"/>
  <c r="H1315" i="3" a="1"/>
  <c r="H1315" i="3" s="1"/>
  <c r="H1316" i="3" a="1"/>
  <c r="H1316" i="3" s="1"/>
  <c r="H1317" i="3" a="1"/>
  <c r="H1317" i="3" s="1"/>
  <c r="H1318" i="3" a="1"/>
  <c r="H1318" i="3" s="1"/>
  <c r="H1319" i="3" a="1"/>
  <c r="H1319" i="3" s="1"/>
  <c r="H1320" i="3" a="1"/>
  <c r="H1320" i="3" s="1"/>
  <c r="H1321" i="3" a="1"/>
  <c r="H1321" i="3" s="1"/>
  <c r="H1322" i="3" a="1"/>
  <c r="H1322" i="3" s="1"/>
  <c r="H1323" i="3" a="1"/>
  <c r="H1323" i="3" s="1"/>
  <c r="H1324" i="3" a="1"/>
  <c r="H1324" i="3" s="1"/>
  <c r="H1325" i="3" a="1"/>
  <c r="H1325" i="3" s="1"/>
  <c r="H1326" i="3" a="1"/>
  <c r="H1326" i="3" s="1"/>
  <c r="H1327" i="3" a="1"/>
  <c r="H1327" i="3" s="1"/>
  <c r="H1328" i="3" a="1"/>
  <c r="H1328" i="3" s="1"/>
  <c r="H1329" i="3" a="1"/>
  <c r="H1329" i="3" s="1"/>
  <c r="H1330" i="3" a="1"/>
  <c r="H1330" i="3" s="1"/>
  <c r="H1331" i="3" a="1"/>
  <c r="H1331" i="3" s="1"/>
  <c r="H1332" i="3" a="1"/>
  <c r="H1332" i="3" s="1"/>
  <c r="H1333" i="3" a="1"/>
  <c r="H1333" i="3" s="1"/>
  <c r="H1334" i="3" a="1"/>
  <c r="H1334" i="3" s="1"/>
  <c r="H1335" i="3" a="1"/>
  <c r="H1335" i="3" s="1"/>
  <c r="H1336" i="3" a="1"/>
  <c r="H1336" i="3" s="1"/>
  <c r="H1337" i="3" a="1"/>
  <c r="H1337" i="3" s="1"/>
  <c r="H1338" i="3" a="1"/>
  <c r="H1338" i="3" s="1"/>
  <c r="H1339" i="3" a="1"/>
  <c r="H1339" i="3" s="1"/>
  <c r="H1340" i="3" a="1"/>
  <c r="H1340" i="3" s="1"/>
  <c r="H1341" i="3" a="1"/>
  <c r="H1341" i="3" s="1"/>
  <c r="H1342" i="3" a="1"/>
  <c r="H1342" i="3" s="1"/>
  <c r="H1343" i="3" a="1"/>
  <c r="H1343" i="3" s="1"/>
  <c r="H1344" i="3" a="1"/>
  <c r="H1344" i="3" s="1"/>
  <c r="H1345" i="3" a="1"/>
  <c r="H1345" i="3" s="1"/>
  <c r="H1346" i="3" a="1"/>
  <c r="H1346" i="3" s="1"/>
  <c r="H1347" i="3" a="1"/>
  <c r="H1347" i="3" s="1"/>
  <c r="H1348" i="3" a="1"/>
  <c r="H1348" i="3" s="1"/>
  <c r="H1349" i="3" a="1"/>
  <c r="H1349" i="3" s="1"/>
  <c r="H1350" i="3" a="1"/>
  <c r="H1350" i="3" s="1"/>
  <c r="H1351" i="3" a="1"/>
  <c r="H1351" i="3" s="1"/>
  <c r="H1352" i="3" a="1"/>
  <c r="H1352" i="3" s="1"/>
  <c r="H1353" i="3" a="1"/>
  <c r="H1353" i="3" s="1"/>
  <c r="H1354" i="3" a="1"/>
  <c r="H1354" i="3" s="1"/>
  <c r="H1355" i="3" a="1"/>
  <c r="H1355" i="3" s="1"/>
  <c r="H1356" i="3" a="1"/>
  <c r="H1356" i="3" s="1"/>
  <c r="H1357" i="3" a="1"/>
  <c r="H1357" i="3" s="1"/>
  <c r="H1358" i="3" a="1"/>
  <c r="H1358" i="3" s="1"/>
  <c r="H1359" i="3" a="1"/>
  <c r="H1359" i="3" s="1"/>
  <c r="H1360" i="3" a="1"/>
  <c r="H1360" i="3" s="1"/>
  <c r="H1361" i="3" a="1"/>
  <c r="H1361" i="3" s="1"/>
  <c r="H1362" i="3" a="1"/>
  <c r="H1362" i="3" s="1"/>
  <c r="H1363" i="3" a="1"/>
  <c r="H1363" i="3" s="1"/>
  <c r="H1364" i="3" a="1"/>
  <c r="H1364" i="3" s="1"/>
  <c r="H1365" i="3" a="1"/>
  <c r="H1365" i="3" s="1"/>
  <c r="H1366" i="3" a="1"/>
  <c r="H1366" i="3" s="1"/>
  <c r="H1367" i="3" a="1"/>
  <c r="H1367" i="3" s="1"/>
  <c r="H1368" i="3" a="1"/>
  <c r="H1368" i="3" s="1"/>
  <c r="H1369" i="3" a="1"/>
  <c r="H1369" i="3" s="1"/>
  <c r="H1370" i="3" a="1"/>
  <c r="H1370" i="3" s="1"/>
  <c r="H1371" i="3" a="1"/>
  <c r="H1371" i="3" s="1"/>
  <c r="H1372" i="3" a="1"/>
  <c r="H1372" i="3" s="1"/>
  <c r="H1373" i="3" a="1"/>
  <c r="H1373" i="3" s="1"/>
  <c r="H1374" i="3" a="1"/>
  <c r="H1374" i="3" s="1"/>
  <c r="H1375" i="3" a="1"/>
  <c r="H1375" i="3" s="1"/>
  <c r="H1376" i="3" a="1"/>
  <c r="H1376" i="3" s="1"/>
  <c r="H1377" i="3" a="1"/>
  <c r="H1377" i="3" s="1"/>
  <c r="H1378" i="3" a="1"/>
  <c r="H1378" i="3" s="1"/>
  <c r="H1379" i="3" a="1"/>
  <c r="H1379" i="3" s="1"/>
  <c r="H1380" i="3" a="1"/>
  <c r="H1380" i="3" s="1"/>
  <c r="H1381" i="3" a="1"/>
  <c r="H1381" i="3" s="1"/>
  <c r="H1382" i="3" a="1"/>
  <c r="H1382" i="3" s="1"/>
  <c r="H1383" i="3" a="1"/>
  <c r="H1383" i="3" s="1"/>
  <c r="H1384" i="3" a="1"/>
  <c r="H1384" i="3" s="1"/>
  <c r="H1385" i="3" a="1"/>
  <c r="H1385" i="3" s="1"/>
  <c r="H1386" i="3" a="1"/>
  <c r="H1386" i="3" s="1"/>
  <c r="H1387" i="3" a="1"/>
  <c r="H1387" i="3" s="1"/>
  <c r="H1388" i="3" a="1"/>
  <c r="H1388" i="3" s="1"/>
  <c r="H1389" i="3" a="1"/>
  <c r="H1389" i="3" s="1"/>
  <c r="H1390" i="3" a="1"/>
  <c r="H1390" i="3" s="1"/>
  <c r="H1391" i="3" a="1"/>
  <c r="H1391" i="3" s="1"/>
  <c r="H1392" i="3" a="1"/>
  <c r="H1392" i="3" s="1"/>
  <c r="H1393" i="3" a="1"/>
  <c r="H1393" i="3" s="1"/>
  <c r="H1394" i="3" a="1"/>
  <c r="H1394" i="3" s="1"/>
  <c r="H1395" i="3" a="1"/>
  <c r="H1395" i="3" s="1"/>
  <c r="H1396" i="3" a="1"/>
  <c r="H1396" i="3" s="1"/>
  <c r="H1397" i="3" a="1"/>
  <c r="H1397" i="3" s="1"/>
  <c r="H1398" i="3" a="1"/>
  <c r="H1398" i="3" s="1"/>
  <c r="H1399" i="3" a="1"/>
  <c r="H1399" i="3" s="1"/>
  <c r="H1400" i="3" a="1"/>
  <c r="H1400" i="3" s="1"/>
  <c r="H1401" i="3" a="1"/>
  <c r="H1401" i="3" s="1"/>
  <c r="H1402" i="3" a="1"/>
  <c r="H1402" i="3" s="1"/>
  <c r="H1403" i="3" a="1"/>
  <c r="H1403" i="3" s="1"/>
  <c r="H1404" i="3" a="1"/>
  <c r="H1404" i="3" s="1"/>
  <c r="H1405" i="3" a="1"/>
  <c r="H1405" i="3" s="1"/>
  <c r="H1406" i="3" a="1"/>
  <c r="H1406" i="3" s="1"/>
  <c r="H1407" i="3" a="1"/>
  <c r="H1407" i="3" s="1"/>
  <c r="H1408" i="3" a="1"/>
  <c r="H1408" i="3" s="1"/>
  <c r="H1409" i="3" a="1"/>
  <c r="H1409" i="3" s="1"/>
  <c r="H1410" i="3" a="1"/>
  <c r="H1410" i="3" s="1"/>
  <c r="H1411" i="3" a="1"/>
  <c r="H1411" i="3" s="1"/>
  <c r="H1412" i="3" a="1"/>
  <c r="H1412" i="3" s="1"/>
  <c r="H1413" i="3" a="1"/>
  <c r="H1413" i="3" s="1"/>
  <c r="H1414" i="3" a="1"/>
  <c r="H1414" i="3" s="1"/>
  <c r="H1415" i="3" a="1"/>
  <c r="H1415" i="3" s="1"/>
  <c r="H1416" i="3" a="1"/>
  <c r="H1416" i="3" s="1"/>
  <c r="H1417" i="3" a="1"/>
  <c r="H1417" i="3" s="1"/>
  <c r="H1418" i="3" a="1"/>
  <c r="H1418" i="3" s="1"/>
  <c r="H1419" i="3" a="1"/>
  <c r="H1419" i="3" s="1"/>
  <c r="H1420" i="3" a="1"/>
  <c r="H1420" i="3" s="1"/>
  <c r="H1421" i="3" a="1"/>
  <c r="H1421" i="3" s="1"/>
  <c r="H1422" i="3" a="1"/>
  <c r="H1422" i="3" s="1"/>
  <c r="H1423" i="3" a="1"/>
  <c r="H1423" i="3" s="1"/>
  <c r="H1424" i="3" a="1"/>
  <c r="H1424" i="3" s="1"/>
  <c r="H1425" i="3" a="1"/>
  <c r="H1425" i="3" s="1"/>
  <c r="H1426" i="3" a="1"/>
  <c r="H1426" i="3" s="1"/>
  <c r="H1427" i="3" a="1"/>
  <c r="H1427" i="3" s="1"/>
  <c r="H1428" i="3" a="1"/>
  <c r="H1428" i="3" s="1"/>
  <c r="H1429" i="3" a="1"/>
  <c r="H1429" i="3" s="1"/>
  <c r="H1430" i="3" a="1"/>
  <c r="H1430" i="3" s="1"/>
  <c r="H1431" i="3" a="1"/>
  <c r="H1431" i="3" s="1"/>
  <c r="H1432" i="3" a="1"/>
  <c r="H1432" i="3" s="1"/>
  <c r="H1433" i="3" a="1"/>
  <c r="H1433" i="3" s="1"/>
  <c r="H1434" i="3" a="1"/>
  <c r="H1434" i="3" s="1"/>
  <c r="H1435" i="3" a="1"/>
  <c r="H1435" i="3" s="1"/>
  <c r="H1436" i="3" a="1"/>
  <c r="H1436" i="3" s="1"/>
  <c r="H1437" i="3" a="1"/>
  <c r="H1437" i="3" s="1"/>
  <c r="H1438" i="3" a="1"/>
  <c r="H1438" i="3" s="1"/>
  <c r="H1439" i="3" a="1"/>
  <c r="H1439" i="3" s="1"/>
  <c r="H1440" i="3" a="1"/>
  <c r="H1440" i="3" s="1"/>
  <c r="H1441" i="3" a="1"/>
  <c r="H1441" i="3" s="1"/>
  <c r="H1442" i="3" a="1"/>
  <c r="H1442" i="3" s="1"/>
  <c r="H1443" i="3" a="1"/>
  <c r="H1443" i="3" s="1"/>
  <c r="H1444" i="3" a="1"/>
  <c r="H1444" i="3" s="1"/>
  <c r="H1445" i="3" a="1"/>
  <c r="H1445" i="3" s="1"/>
  <c r="H1446" i="3" a="1"/>
  <c r="H1446" i="3" s="1"/>
  <c r="H1447" i="3" a="1"/>
  <c r="H1447" i="3" s="1"/>
  <c r="H1448" i="3" a="1"/>
  <c r="H1448" i="3" s="1"/>
  <c r="H1449" i="3" a="1"/>
  <c r="H1449" i="3" s="1"/>
  <c r="H1450" i="3" a="1"/>
  <c r="H1450" i="3" s="1"/>
  <c r="H1451" i="3" a="1"/>
  <c r="H1451" i="3" s="1"/>
  <c r="H1452" i="3" a="1"/>
  <c r="H1452" i="3" s="1"/>
  <c r="H1453" i="3" a="1"/>
  <c r="H1453" i="3" s="1"/>
  <c r="H1454" i="3" a="1"/>
  <c r="H1454" i="3" s="1"/>
  <c r="H1455" i="3" a="1"/>
  <c r="H1455" i="3" s="1"/>
  <c r="H1456" i="3" a="1"/>
  <c r="H1456" i="3" s="1"/>
  <c r="H1457" i="3" a="1"/>
  <c r="H1457" i="3" s="1"/>
  <c r="H1458" i="3" a="1"/>
  <c r="H1458" i="3" s="1"/>
  <c r="H1459" i="3" a="1"/>
  <c r="H1459" i="3" s="1"/>
  <c r="H1460" i="3" a="1"/>
  <c r="H1460" i="3" s="1"/>
  <c r="H1461" i="3" a="1"/>
  <c r="H1461" i="3" s="1"/>
  <c r="H1462" i="3" a="1"/>
  <c r="H1462" i="3" s="1"/>
  <c r="H1463" i="3" a="1"/>
  <c r="H1463" i="3" s="1"/>
  <c r="H1464" i="3" a="1"/>
  <c r="H1464" i="3" s="1"/>
  <c r="H1465" i="3" a="1"/>
  <c r="H1465" i="3" s="1"/>
  <c r="H1466" i="3" a="1"/>
  <c r="H1466" i="3" s="1"/>
  <c r="H1467" i="3" a="1"/>
  <c r="H1467" i="3" s="1"/>
  <c r="H1468" i="3" a="1"/>
  <c r="H1468" i="3" s="1"/>
  <c r="H1469" i="3" a="1"/>
  <c r="H1469" i="3" s="1"/>
  <c r="H1470" i="3" a="1"/>
  <c r="H1470" i="3" s="1"/>
  <c r="H1471" i="3" a="1"/>
  <c r="H1471" i="3" s="1"/>
  <c r="H1472" i="3" a="1"/>
  <c r="H1472" i="3" s="1"/>
  <c r="H1473" i="3" a="1"/>
  <c r="H1473" i="3" s="1"/>
  <c r="H1474" i="3" a="1"/>
  <c r="H1474" i="3" s="1"/>
  <c r="H1475" i="3" a="1"/>
  <c r="H1475" i="3" s="1"/>
  <c r="H1476" i="3" a="1"/>
  <c r="H1476" i="3" s="1"/>
  <c r="H1477" i="3" a="1"/>
  <c r="H1477" i="3" s="1"/>
  <c r="H1478" i="3" a="1"/>
  <c r="H1478" i="3" s="1"/>
  <c r="H1479" i="3" a="1"/>
  <c r="H1479" i="3" s="1"/>
  <c r="H1480" i="3" a="1"/>
  <c r="H1480" i="3" s="1"/>
  <c r="H1481" i="3" a="1"/>
  <c r="H1481" i="3" s="1"/>
  <c r="H1482" i="3" a="1"/>
  <c r="H1482" i="3" s="1"/>
  <c r="H1483" i="3" a="1"/>
  <c r="H1483" i="3" s="1"/>
  <c r="H1484" i="3" a="1"/>
  <c r="H1484" i="3" s="1"/>
  <c r="H1485" i="3" a="1"/>
  <c r="H1485" i="3" s="1"/>
  <c r="H1486" i="3" a="1"/>
  <c r="H1486" i="3" s="1"/>
  <c r="H1487" i="3" a="1"/>
  <c r="H1487" i="3" s="1"/>
  <c r="H1488" i="3" a="1"/>
  <c r="H1488" i="3" s="1"/>
  <c r="H1489" i="3" a="1"/>
  <c r="H1489" i="3" s="1"/>
  <c r="H1490" i="3" a="1"/>
  <c r="H1490" i="3" s="1"/>
  <c r="H1491" i="3" a="1"/>
  <c r="H1491" i="3" s="1"/>
  <c r="H1492" i="3" a="1"/>
  <c r="H1492" i="3" s="1"/>
  <c r="H1493" i="3" a="1"/>
  <c r="H1493" i="3" s="1"/>
  <c r="H1494" i="3" a="1"/>
  <c r="H1494" i="3" s="1"/>
  <c r="H1495" i="3" a="1"/>
  <c r="H1495" i="3" s="1"/>
  <c r="H1496" i="3" a="1"/>
  <c r="H1496" i="3" s="1"/>
  <c r="H1497" i="3" a="1"/>
  <c r="H1497" i="3" s="1"/>
  <c r="H1498" i="3" a="1"/>
  <c r="H1498" i="3" s="1"/>
  <c r="H1499" i="3" a="1"/>
  <c r="H1499" i="3" s="1"/>
  <c r="H1500" i="3" a="1"/>
  <c r="H1500" i="3" s="1"/>
  <c r="H1501" i="3" a="1"/>
  <c r="H1501" i="3" s="1"/>
  <c r="H1502" i="3" a="1"/>
  <c r="H1502" i="3" s="1"/>
  <c r="H1503" i="3" a="1"/>
  <c r="H1503" i="3" s="1"/>
  <c r="H1504" i="3" a="1"/>
  <c r="H1504" i="3" s="1"/>
  <c r="H1505" i="3" a="1"/>
  <c r="H1505" i="3" s="1"/>
  <c r="H1506" i="3" a="1"/>
  <c r="H1506" i="3" s="1"/>
  <c r="H1507" i="3" a="1"/>
  <c r="H1507" i="3" s="1"/>
  <c r="H1508" i="3" a="1"/>
  <c r="H1508" i="3" s="1"/>
  <c r="H1509" i="3" a="1"/>
  <c r="H1509" i="3" s="1"/>
  <c r="H1510" i="3" a="1"/>
  <c r="H1510" i="3" s="1"/>
  <c r="H1511" i="3" a="1"/>
  <c r="H1511" i="3" s="1"/>
  <c r="H1512" i="3" a="1"/>
  <c r="H1512" i="3" s="1"/>
  <c r="H1513" i="3" a="1"/>
  <c r="H1513" i="3" s="1"/>
  <c r="H1514" i="3" a="1"/>
  <c r="H1514" i="3" s="1"/>
  <c r="H1515" i="3" a="1"/>
  <c r="H1515" i="3" s="1"/>
  <c r="H1516" i="3" a="1"/>
  <c r="H1516" i="3" s="1"/>
  <c r="H1517" i="3" a="1"/>
  <c r="H1517" i="3" s="1"/>
  <c r="H1518" i="3" a="1"/>
  <c r="H1518" i="3" s="1"/>
  <c r="H1519" i="3" a="1"/>
  <c r="H1519" i="3" s="1"/>
  <c r="H1520" i="3" a="1"/>
  <c r="H1520" i="3" s="1"/>
  <c r="H1521" i="3" a="1"/>
  <c r="H1521" i="3" s="1"/>
  <c r="H1522" i="3" a="1"/>
  <c r="H1522" i="3" s="1"/>
  <c r="H1523" i="3" a="1"/>
  <c r="H1523" i="3" s="1"/>
  <c r="H1524" i="3" a="1"/>
  <c r="H1524" i="3" s="1"/>
  <c r="H1525" i="3" a="1"/>
  <c r="H1525" i="3" s="1"/>
  <c r="H1526" i="3" a="1"/>
  <c r="H1526" i="3" s="1"/>
  <c r="H1527" i="3" a="1"/>
  <c r="H1527" i="3" s="1"/>
  <c r="H1528" i="3" a="1"/>
  <c r="H1528" i="3" s="1"/>
  <c r="H1529" i="3" a="1"/>
  <c r="H1529" i="3" s="1"/>
  <c r="H1530" i="3" a="1"/>
  <c r="H1530" i="3" s="1"/>
  <c r="H1531" i="3" a="1"/>
  <c r="H1531" i="3" s="1"/>
  <c r="H1532" i="3" a="1"/>
  <c r="H1532" i="3" s="1"/>
  <c r="H1533" i="3" a="1"/>
  <c r="H1533" i="3" s="1"/>
  <c r="H1534" i="3" a="1"/>
  <c r="H1534" i="3" s="1"/>
  <c r="H1535" i="3" a="1"/>
  <c r="H1535" i="3" s="1"/>
  <c r="H1536" i="3" a="1"/>
  <c r="H1536" i="3" s="1"/>
  <c r="H1537" i="3" a="1"/>
  <c r="H1537" i="3" s="1"/>
  <c r="H1538" i="3" a="1"/>
  <c r="H1538" i="3" s="1"/>
  <c r="H1539" i="3" a="1"/>
  <c r="H1539" i="3" s="1"/>
  <c r="H1540" i="3" a="1"/>
  <c r="H1540" i="3" s="1"/>
  <c r="H1541" i="3" a="1"/>
  <c r="H1541" i="3" s="1"/>
  <c r="H1542" i="3" a="1"/>
  <c r="H1542" i="3" s="1"/>
  <c r="H1543" i="3" a="1"/>
  <c r="H1543" i="3" s="1"/>
  <c r="H1544" i="3" a="1"/>
  <c r="H1544" i="3" s="1"/>
  <c r="H1545" i="3" a="1"/>
  <c r="H1545" i="3" s="1"/>
  <c r="H1546" i="3" a="1"/>
  <c r="H1546" i="3" s="1"/>
  <c r="H1547" i="3" a="1"/>
  <c r="H1547" i="3" s="1"/>
  <c r="H1548" i="3" a="1"/>
  <c r="H1548" i="3" s="1"/>
  <c r="H1549" i="3" a="1"/>
  <c r="H1549" i="3" s="1"/>
  <c r="H1550" i="3" a="1"/>
  <c r="H1550" i="3" s="1"/>
  <c r="H1551" i="3" a="1"/>
  <c r="H1551" i="3" s="1"/>
  <c r="H1552" i="3" a="1"/>
  <c r="H1552" i="3" s="1"/>
  <c r="H1553" i="3" a="1"/>
  <c r="H1553" i="3" s="1"/>
  <c r="H1554" i="3" a="1"/>
  <c r="H1554" i="3" s="1"/>
  <c r="H1555" i="3" a="1"/>
  <c r="H1555" i="3" s="1"/>
  <c r="H1556" i="3" a="1"/>
  <c r="H1556" i="3" s="1"/>
  <c r="H1557" i="3" a="1"/>
  <c r="H1557" i="3" s="1"/>
  <c r="H1558" i="3" a="1"/>
  <c r="H1558" i="3" s="1"/>
  <c r="H1559" i="3" a="1"/>
  <c r="H1559" i="3" s="1"/>
  <c r="H1560" i="3" a="1"/>
  <c r="H1560" i="3" s="1"/>
  <c r="H1561" i="3" a="1"/>
  <c r="H1561" i="3" s="1"/>
  <c r="H1562" i="3" a="1"/>
  <c r="H1562" i="3" s="1"/>
  <c r="H1563" i="3" a="1"/>
  <c r="H1563" i="3" s="1"/>
  <c r="H1564" i="3" a="1"/>
  <c r="H1564" i="3" s="1"/>
  <c r="H1565" i="3" a="1"/>
  <c r="H1565" i="3" s="1"/>
  <c r="H1566" i="3" a="1"/>
  <c r="H1566" i="3" s="1"/>
  <c r="H1567" i="3" a="1"/>
  <c r="H1567" i="3" s="1"/>
  <c r="H1568" i="3" a="1"/>
  <c r="H1568" i="3" s="1"/>
  <c r="H1569" i="3" a="1"/>
  <c r="H1569" i="3" s="1"/>
  <c r="H1570" i="3" a="1"/>
  <c r="H1570" i="3" s="1"/>
  <c r="H1571" i="3" a="1"/>
  <c r="H1571" i="3" s="1"/>
  <c r="H1572" i="3" a="1"/>
  <c r="H1572" i="3" s="1"/>
  <c r="H1573" i="3" a="1"/>
  <c r="H1573" i="3" s="1"/>
  <c r="H1574" i="3" a="1"/>
  <c r="H1574" i="3" s="1"/>
  <c r="H1575" i="3" a="1"/>
  <c r="H1575" i="3" s="1"/>
  <c r="H1576" i="3" a="1"/>
  <c r="H1576" i="3" s="1"/>
  <c r="H1577" i="3" a="1"/>
  <c r="H1577" i="3" s="1"/>
  <c r="H1578" i="3" a="1"/>
  <c r="H1578" i="3" s="1"/>
  <c r="H1579" i="3" a="1"/>
  <c r="H1579" i="3" s="1"/>
  <c r="H1580" i="3" a="1"/>
  <c r="H1580" i="3" s="1"/>
  <c r="H1581" i="3" a="1"/>
  <c r="H1581" i="3" s="1"/>
  <c r="H1582" i="3" a="1"/>
  <c r="H1582" i="3" s="1"/>
  <c r="H1583" i="3" a="1"/>
  <c r="H1583" i="3" s="1"/>
  <c r="H1584" i="3" a="1"/>
  <c r="H1584" i="3" s="1"/>
  <c r="H1585" i="3" a="1"/>
  <c r="H1585" i="3" s="1"/>
  <c r="H1586" i="3" a="1"/>
  <c r="H1586" i="3" s="1"/>
  <c r="H1587" i="3" a="1"/>
  <c r="H1587" i="3" s="1"/>
  <c r="H1588" i="3" a="1"/>
  <c r="H1588" i="3" s="1"/>
  <c r="H1589" i="3" a="1"/>
  <c r="H1589" i="3" s="1"/>
  <c r="H1590" i="3" a="1"/>
  <c r="H1590" i="3" s="1"/>
  <c r="H1591" i="3" a="1"/>
  <c r="H1591" i="3" s="1"/>
  <c r="H1592" i="3" a="1"/>
  <c r="H1592" i="3" s="1"/>
  <c r="H1593" i="3" a="1"/>
  <c r="H1593" i="3" s="1"/>
  <c r="H1594" i="3" a="1"/>
  <c r="H1594" i="3" s="1"/>
  <c r="H1595" i="3" a="1"/>
  <c r="H1595" i="3" s="1"/>
  <c r="H1596" i="3" a="1"/>
  <c r="H1596" i="3" s="1"/>
  <c r="H1597" i="3" a="1"/>
  <c r="H1597" i="3" s="1"/>
  <c r="H1598" i="3" a="1"/>
  <c r="H1598" i="3" s="1"/>
  <c r="H1599" i="3" a="1"/>
  <c r="H1599" i="3" s="1"/>
  <c r="H1600" i="3" a="1"/>
  <c r="H1600" i="3" s="1"/>
  <c r="H1601" i="3" a="1"/>
  <c r="H1601" i="3" s="1"/>
  <c r="H1602" i="3" a="1"/>
  <c r="H1602" i="3" s="1"/>
  <c r="H1603" i="3" a="1"/>
  <c r="H1603" i="3" s="1"/>
  <c r="H1604" i="3" a="1"/>
  <c r="H1604" i="3" s="1"/>
  <c r="H1605" i="3" a="1"/>
  <c r="H1605" i="3" s="1"/>
  <c r="H1606" i="3" a="1"/>
  <c r="H1606" i="3" s="1"/>
  <c r="H1607" i="3" a="1"/>
  <c r="H1607" i="3" s="1"/>
  <c r="H1608" i="3" a="1"/>
  <c r="H1608" i="3" s="1"/>
  <c r="H1609" i="3" a="1"/>
  <c r="H1609" i="3" s="1"/>
  <c r="H1610" i="3" a="1"/>
  <c r="H1610" i="3" s="1"/>
  <c r="H1611" i="3" a="1"/>
  <c r="H1611" i="3" s="1"/>
  <c r="H1612" i="3" a="1"/>
  <c r="H1612" i="3" s="1"/>
  <c r="H1613" i="3" a="1"/>
  <c r="H1613" i="3" s="1"/>
  <c r="H1614" i="3" a="1"/>
  <c r="H1614" i="3" s="1"/>
  <c r="H1615" i="3" a="1"/>
  <c r="H1615" i="3" s="1"/>
  <c r="H1616" i="3" a="1"/>
  <c r="H1616" i="3" s="1"/>
  <c r="H1617" i="3" a="1"/>
  <c r="H1617" i="3" s="1"/>
  <c r="H1618" i="3" a="1"/>
  <c r="H1618" i="3" s="1"/>
  <c r="H1619" i="3" a="1"/>
  <c r="H1619" i="3" s="1"/>
  <c r="H1620" i="3" a="1"/>
  <c r="H1620" i="3" s="1"/>
  <c r="H1621" i="3" a="1"/>
  <c r="H1621" i="3" s="1"/>
  <c r="H1622" i="3" a="1"/>
  <c r="H1622" i="3" s="1"/>
  <c r="H1623" i="3" a="1"/>
  <c r="H1623" i="3" s="1"/>
  <c r="H1624" i="3" a="1"/>
  <c r="H1624" i="3" s="1"/>
  <c r="H1625" i="3" a="1"/>
  <c r="H1625" i="3" s="1"/>
  <c r="H1626" i="3" a="1"/>
  <c r="H1626" i="3" s="1"/>
  <c r="H1627" i="3" a="1"/>
  <c r="H1627" i="3" s="1"/>
  <c r="H1628" i="3" a="1"/>
  <c r="H1628" i="3" s="1"/>
  <c r="H1629" i="3" a="1"/>
  <c r="H1629" i="3" s="1"/>
  <c r="H1630" i="3" a="1"/>
  <c r="H1630" i="3" s="1"/>
  <c r="H1631" i="3" a="1"/>
  <c r="H1631" i="3" s="1"/>
  <c r="H1632" i="3" a="1"/>
  <c r="H1632" i="3" s="1"/>
  <c r="H1633" i="3" a="1"/>
  <c r="H1633" i="3" s="1"/>
  <c r="H1634" i="3" a="1"/>
  <c r="H1634" i="3" s="1"/>
  <c r="H1635" i="3" a="1"/>
  <c r="H1635" i="3" s="1"/>
  <c r="H1636" i="3" a="1"/>
  <c r="H1636" i="3" s="1"/>
  <c r="H1637" i="3" a="1"/>
  <c r="H1637" i="3" s="1"/>
  <c r="H1638" i="3" a="1"/>
  <c r="H1638" i="3" s="1"/>
  <c r="H1639" i="3" a="1"/>
  <c r="H1639" i="3" s="1"/>
  <c r="H1640" i="3" a="1"/>
  <c r="H1640" i="3" s="1"/>
  <c r="H1641" i="3" a="1"/>
  <c r="H1641" i="3" s="1"/>
  <c r="H1642" i="3" a="1"/>
  <c r="H1642" i="3" s="1"/>
  <c r="H1643" i="3" a="1"/>
  <c r="H1643" i="3" s="1"/>
  <c r="H1644" i="3" a="1"/>
  <c r="H1644" i="3" s="1"/>
  <c r="H1645" i="3" a="1"/>
  <c r="H1645" i="3" s="1"/>
  <c r="H1646" i="3" a="1"/>
  <c r="H1646" i="3" s="1"/>
  <c r="H1647" i="3" a="1"/>
  <c r="H1647" i="3" s="1"/>
  <c r="H1648" i="3" a="1"/>
  <c r="H1648" i="3" s="1"/>
  <c r="H1649" i="3" a="1"/>
  <c r="H1649" i="3" s="1"/>
  <c r="H1650" i="3" a="1"/>
  <c r="H1650" i="3" s="1"/>
  <c r="H1651" i="3" a="1"/>
  <c r="H1651" i="3" s="1"/>
  <c r="H1652" i="3" a="1"/>
  <c r="H1652" i="3" s="1"/>
  <c r="H1653" i="3" a="1"/>
  <c r="H1653" i="3" s="1"/>
  <c r="H1654" i="3" a="1"/>
  <c r="H1654" i="3" s="1"/>
  <c r="H1655" i="3" a="1"/>
  <c r="H1655" i="3" s="1"/>
  <c r="H1656" i="3" a="1"/>
  <c r="H1656" i="3" s="1"/>
  <c r="H1657" i="3" a="1"/>
  <c r="H1657" i="3" s="1"/>
  <c r="H1658" i="3" a="1"/>
  <c r="H1658" i="3" s="1"/>
  <c r="H1659" i="3" a="1"/>
  <c r="H1659" i="3" s="1"/>
  <c r="H1660" i="3" a="1"/>
  <c r="H1660" i="3" s="1"/>
  <c r="H1661" i="3" a="1"/>
  <c r="H1661" i="3" s="1"/>
  <c r="H1662" i="3" a="1"/>
  <c r="H1662" i="3" s="1"/>
  <c r="H1663" i="3" a="1"/>
  <c r="H1663" i="3" s="1"/>
  <c r="H1664" i="3" a="1"/>
  <c r="H1664" i="3" s="1"/>
  <c r="H1665" i="3" a="1"/>
  <c r="H1665" i="3" s="1"/>
  <c r="H1666" i="3" a="1"/>
  <c r="H1666" i="3" s="1"/>
  <c r="H1667" i="3" a="1"/>
  <c r="H1667" i="3" s="1"/>
  <c r="H1668" i="3" a="1"/>
  <c r="H1668" i="3" s="1"/>
  <c r="H1669" i="3" a="1"/>
  <c r="H1669" i="3" s="1"/>
  <c r="H1670" i="3" a="1"/>
  <c r="H1670" i="3" s="1"/>
  <c r="H1671" i="3" a="1"/>
  <c r="H1671" i="3" s="1"/>
  <c r="H1672" i="3" a="1"/>
  <c r="H1672" i="3" s="1"/>
  <c r="H1673" i="3" a="1"/>
  <c r="H1673" i="3" s="1"/>
  <c r="H1674" i="3" a="1"/>
  <c r="H1674" i="3" s="1"/>
  <c r="H1675" i="3" a="1"/>
  <c r="H1675" i="3" s="1"/>
  <c r="H1676" i="3" a="1"/>
  <c r="H1676" i="3" s="1"/>
  <c r="H1677" i="3" a="1"/>
  <c r="H1677" i="3" s="1"/>
  <c r="H1678" i="3" a="1"/>
  <c r="H1678" i="3" s="1"/>
  <c r="H1679" i="3" a="1"/>
  <c r="H1679" i="3" s="1"/>
  <c r="H1680" i="3" a="1"/>
  <c r="H1680" i="3" s="1"/>
  <c r="H1681" i="3" a="1"/>
  <c r="H1681" i="3" s="1"/>
  <c r="H1682" i="3" a="1"/>
  <c r="H1682" i="3" s="1"/>
  <c r="H1683" i="3" a="1"/>
  <c r="H1683" i="3" s="1"/>
  <c r="H1684" i="3" a="1"/>
  <c r="H1684" i="3" s="1"/>
  <c r="H1685" i="3" a="1"/>
  <c r="H1685" i="3" s="1"/>
  <c r="H1686" i="3" a="1"/>
  <c r="H1686" i="3" s="1"/>
  <c r="H1687" i="3" a="1"/>
  <c r="H1687" i="3" s="1"/>
  <c r="H1688" i="3" a="1"/>
  <c r="H1688" i="3" s="1"/>
  <c r="H1689" i="3" a="1"/>
  <c r="H1689" i="3" s="1"/>
  <c r="H1690" i="3" a="1"/>
  <c r="H1690" i="3" s="1"/>
  <c r="H1691" i="3" a="1"/>
  <c r="H1691" i="3" s="1"/>
  <c r="H1692" i="3" a="1"/>
  <c r="H1692" i="3" s="1"/>
  <c r="H1693" i="3" a="1"/>
  <c r="H1693" i="3" s="1"/>
  <c r="H1694" i="3" a="1"/>
  <c r="H1694" i="3" s="1"/>
  <c r="H1695" i="3" a="1"/>
  <c r="H1695" i="3" s="1"/>
  <c r="H1696" i="3" a="1"/>
  <c r="H1696" i="3" s="1"/>
  <c r="H1697" i="3" a="1"/>
  <c r="H1697" i="3" s="1"/>
  <c r="H1698" i="3" a="1"/>
  <c r="H1698" i="3" s="1"/>
  <c r="H1699" i="3" a="1"/>
  <c r="H1699" i="3" s="1"/>
  <c r="H1700" i="3" a="1"/>
  <c r="H1700" i="3" s="1"/>
  <c r="H1701" i="3" a="1"/>
  <c r="H1701" i="3" s="1"/>
  <c r="H1702" i="3" a="1"/>
  <c r="H1702" i="3" s="1"/>
  <c r="H1703" i="3" a="1"/>
  <c r="H1703" i="3" s="1"/>
  <c r="H1704" i="3" a="1"/>
  <c r="H1704" i="3" s="1"/>
  <c r="H1705" i="3" a="1"/>
  <c r="H1705" i="3" s="1"/>
  <c r="H1706" i="3" a="1"/>
  <c r="H1706" i="3" s="1"/>
  <c r="H1707" i="3" a="1"/>
  <c r="H1707" i="3" s="1"/>
  <c r="H1708" i="3" a="1"/>
  <c r="H1708" i="3" s="1"/>
  <c r="H1709" i="3" a="1"/>
  <c r="H1709" i="3" s="1"/>
  <c r="H1710" i="3" a="1"/>
  <c r="H1710" i="3" s="1"/>
  <c r="H1711" i="3" a="1"/>
  <c r="H1711" i="3" s="1"/>
  <c r="H1712" i="3" a="1"/>
  <c r="H1712" i="3" s="1"/>
  <c r="H1713" i="3" a="1"/>
  <c r="H1713" i="3" s="1"/>
  <c r="H1714" i="3" a="1"/>
  <c r="H1714" i="3" s="1"/>
  <c r="H1715" i="3" a="1"/>
  <c r="H1715" i="3" s="1"/>
  <c r="H1716" i="3" a="1"/>
  <c r="H1716" i="3" s="1"/>
  <c r="H1717" i="3" a="1"/>
  <c r="H1717" i="3" s="1"/>
  <c r="H1718" i="3" a="1"/>
  <c r="H1718" i="3" s="1"/>
  <c r="H1719" i="3" a="1"/>
  <c r="H1719" i="3" s="1"/>
  <c r="H1720" i="3" a="1"/>
  <c r="H1720" i="3" s="1"/>
  <c r="H1721" i="3" a="1"/>
  <c r="H1721" i="3" s="1"/>
  <c r="H1722" i="3" a="1"/>
  <c r="H1722" i="3" s="1"/>
  <c r="H1723" i="3" a="1"/>
  <c r="H1723" i="3" s="1"/>
  <c r="H1724" i="3" a="1"/>
  <c r="H1724" i="3" s="1"/>
  <c r="H1725" i="3" a="1"/>
  <c r="H1725" i="3" s="1"/>
  <c r="H1726" i="3" a="1"/>
  <c r="H1726" i="3" s="1"/>
  <c r="H1727" i="3" a="1"/>
  <c r="H1727" i="3" s="1"/>
  <c r="H1728" i="3" a="1"/>
  <c r="H1728" i="3" s="1"/>
  <c r="H1729" i="3" a="1"/>
  <c r="H1729" i="3" s="1"/>
  <c r="H1730" i="3" a="1"/>
  <c r="H1730" i="3" s="1"/>
  <c r="H1731" i="3" a="1"/>
  <c r="H1731" i="3" s="1"/>
  <c r="H1732" i="3" a="1"/>
  <c r="H1732" i="3" s="1"/>
  <c r="H1733" i="3" a="1"/>
  <c r="H1733" i="3" s="1"/>
  <c r="H1734" i="3" a="1"/>
  <c r="H1734" i="3" s="1"/>
  <c r="H1735" i="3" a="1"/>
  <c r="H1735" i="3" s="1"/>
  <c r="H1736" i="3" a="1"/>
  <c r="H1736" i="3" s="1"/>
  <c r="H1737" i="3" a="1"/>
  <c r="H1737" i="3" s="1"/>
  <c r="H1738" i="3" a="1"/>
  <c r="H1738" i="3" s="1"/>
  <c r="H1739" i="3" a="1"/>
  <c r="H1739" i="3" s="1"/>
  <c r="H1740" i="3" a="1"/>
  <c r="H1740" i="3" s="1"/>
  <c r="H1741" i="3" a="1"/>
  <c r="H1741" i="3" s="1"/>
  <c r="H1742" i="3" a="1"/>
  <c r="H1742" i="3" s="1"/>
  <c r="H1743" i="3" a="1"/>
  <c r="H1743" i="3" s="1"/>
  <c r="H1744" i="3" a="1"/>
  <c r="H1744" i="3" s="1"/>
  <c r="H1745" i="3" a="1"/>
  <c r="H1745" i="3" s="1"/>
  <c r="H1746" i="3" a="1"/>
  <c r="H1746" i="3" s="1"/>
  <c r="H1747" i="3" a="1"/>
  <c r="H1747" i="3" s="1"/>
  <c r="H1748" i="3" a="1"/>
  <c r="H1748" i="3" s="1"/>
  <c r="H1749" i="3" a="1"/>
  <c r="H1749" i="3" s="1"/>
  <c r="H1750" i="3" a="1"/>
  <c r="H1750" i="3" s="1"/>
  <c r="H1751" i="3" a="1"/>
  <c r="H1751" i="3" s="1"/>
  <c r="H1752" i="3" a="1"/>
  <c r="H1752" i="3" s="1"/>
  <c r="H1753" i="3" a="1"/>
  <c r="H1753" i="3" s="1"/>
  <c r="H1754" i="3" a="1"/>
  <c r="H1754" i="3" s="1"/>
  <c r="H1755" i="3" a="1"/>
  <c r="H1755" i="3" s="1"/>
  <c r="H1756" i="3" a="1"/>
  <c r="H1756" i="3" s="1"/>
  <c r="H1757" i="3" a="1"/>
  <c r="H1757" i="3" s="1"/>
  <c r="H1758" i="3" a="1"/>
  <c r="H1758" i="3" s="1"/>
  <c r="H1759" i="3" a="1"/>
  <c r="H1759" i="3" s="1"/>
  <c r="H1760" i="3" a="1"/>
  <c r="H1760" i="3" s="1"/>
  <c r="H1761" i="3" a="1"/>
  <c r="H1761" i="3" s="1"/>
  <c r="H1762" i="3" a="1"/>
  <c r="H1762" i="3" s="1"/>
  <c r="H1763" i="3" a="1"/>
  <c r="H1763" i="3" s="1"/>
  <c r="H1764" i="3" a="1"/>
  <c r="H1764" i="3" s="1"/>
  <c r="H1765" i="3" a="1"/>
  <c r="H1765" i="3" s="1"/>
  <c r="H1766" i="3" a="1"/>
  <c r="H1766" i="3" s="1"/>
  <c r="H1767" i="3" a="1"/>
  <c r="H1767" i="3" s="1"/>
  <c r="H1768" i="3" a="1"/>
  <c r="H1768" i="3" s="1"/>
  <c r="H1769" i="3" a="1"/>
  <c r="H1769" i="3" s="1"/>
  <c r="H1770" i="3" a="1"/>
  <c r="H1770" i="3" s="1"/>
  <c r="H1771" i="3" a="1"/>
  <c r="H1771" i="3" s="1"/>
  <c r="H1772" i="3" a="1"/>
  <c r="H1772" i="3" s="1"/>
  <c r="H1773" i="3" a="1"/>
  <c r="H1773" i="3" s="1"/>
  <c r="H1774" i="3" a="1"/>
  <c r="H1774" i="3" s="1"/>
  <c r="H1775" i="3" a="1"/>
  <c r="H1775" i="3" s="1"/>
  <c r="H1776" i="3" a="1"/>
  <c r="H1776" i="3" s="1"/>
  <c r="H1777" i="3" a="1"/>
  <c r="H1777" i="3" s="1"/>
  <c r="H1778" i="3" a="1"/>
  <c r="H1778" i="3" s="1"/>
  <c r="H1779" i="3" a="1"/>
  <c r="H1779" i="3" s="1"/>
  <c r="H1780" i="3" a="1"/>
  <c r="H1780" i="3" s="1"/>
  <c r="H1781" i="3" a="1"/>
  <c r="H1781" i="3" s="1"/>
  <c r="H1782" i="3" a="1"/>
  <c r="H1782" i="3" s="1"/>
  <c r="H1783" i="3" a="1"/>
  <c r="H1783" i="3" s="1"/>
  <c r="H1784" i="3" a="1"/>
  <c r="H1784" i="3" s="1"/>
  <c r="H1785" i="3" a="1"/>
  <c r="H1785" i="3" s="1"/>
  <c r="H1786" i="3" a="1"/>
  <c r="H1786" i="3" s="1"/>
  <c r="H1787" i="3" a="1"/>
  <c r="H1787" i="3" s="1"/>
  <c r="H1788" i="3" a="1"/>
  <c r="H1788" i="3" s="1"/>
  <c r="H1789" i="3" a="1"/>
  <c r="H1789" i="3" s="1"/>
  <c r="H1790" i="3" a="1"/>
  <c r="H1790" i="3" s="1"/>
  <c r="H1791" i="3" a="1"/>
  <c r="H1791" i="3" s="1"/>
  <c r="H1792" i="3" a="1"/>
  <c r="H1792" i="3" s="1"/>
  <c r="H1793" i="3" a="1"/>
  <c r="H1793" i="3" s="1"/>
  <c r="H1794" i="3" a="1"/>
  <c r="H1794" i="3" s="1"/>
  <c r="H1795" i="3" a="1"/>
  <c r="H1795" i="3" s="1"/>
  <c r="H1796" i="3" a="1"/>
  <c r="H1796" i="3" s="1"/>
  <c r="H1797" i="3" a="1"/>
  <c r="H1797" i="3" s="1"/>
  <c r="H1798" i="3" a="1"/>
  <c r="H1798" i="3" s="1"/>
  <c r="H1799" i="3" a="1"/>
  <c r="H1799" i="3" s="1"/>
  <c r="H1800" i="3" a="1"/>
  <c r="H1800" i="3" s="1"/>
  <c r="H1801" i="3" a="1"/>
  <c r="H1801" i="3" s="1"/>
  <c r="H1802" i="3" a="1"/>
  <c r="H1802" i="3" s="1"/>
  <c r="H1803" i="3" a="1"/>
  <c r="H1803" i="3" s="1"/>
  <c r="H1804" i="3" a="1"/>
  <c r="H1804" i="3" s="1"/>
  <c r="H1805" i="3" a="1"/>
  <c r="H1805" i="3" s="1"/>
  <c r="H1806" i="3" a="1"/>
  <c r="H1806" i="3" s="1"/>
  <c r="H1807" i="3" a="1"/>
  <c r="H1807" i="3" s="1"/>
  <c r="H1808" i="3" a="1"/>
  <c r="H1808" i="3" s="1"/>
  <c r="H1809" i="3" a="1"/>
  <c r="H1809" i="3" s="1"/>
  <c r="H1810" i="3" a="1"/>
  <c r="H1810" i="3" s="1"/>
  <c r="H1811" i="3" a="1"/>
  <c r="H1811" i="3" s="1"/>
  <c r="H1812" i="3" a="1"/>
  <c r="H1812" i="3" s="1"/>
  <c r="H1813" i="3" a="1"/>
  <c r="H1813" i="3" s="1"/>
  <c r="H1814" i="3" a="1"/>
  <c r="H1814" i="3" s="1"/>
  <c r="H1815" i="3" a="1"/>
  <c r="H1815" i="3" s="1"/>
  <c r="H1816" i="3" a="1"/>
  <c r="H1816" i="3" s="1"/>
  <c r="H1817" i="3" a="1"/>
  <c r="H1817" i="3" s="1"/>
  <c r="H1818" i="3" a="1"/>
  <c r="H1818" i="3" s="1"/>
  <c r="H1819" i="3" a="1"/>
  <c r="H1819" i="3" s="1"/>
  <c r="H1820" i="3" a="1"/>
  <c r="H1820" i="3" s="1"/>
  <c r="H1821" i="3" a="1"/>
  <c r="H1821" i="3" s="1"/>
  <c r="H1822" i="3" a="1"/>
  <c r="H1822" i="3" s="1"/>
  <c r="H1823" i="3" a="1"/>
  <c r="H1823" i="3" s="1"/>
  <c r="H1824" i="3" a="1"/>
  <c r="H1824" i="3" s="1"/>
  <c r="H1825" i="3" a="1"/>
  <c r="H1825" i="3" s="1"/>
  <c r="H1826" i="3" a="1"/>
  <c r="H1826" i="3" s="1"/>
  <c r="H1827" i="3" a="1"/>
  <c r="H1827" i="3" s="1"/>
  <c r="H1828" i="3" a="1"/>
  <c r="H1828" i="3" s="1"/>
  <c r="H1829" i="3" a="1"/>
  <c r="H1829" i="3" s="1"/>
  <c r="H1830" i="3" a="1"/>
  <c r="H1830" i="3" s="1"/>
  <c r="H1831" i="3" a="1"/>
  <c r="H1831" i="3" s="1"/>
  <c r="H1832" i="3" a="1"/>
  <c r="H1832" i="3" s="1"/>
  <c r="H1833" i="3" a="1"/>
  <c r="H1833" i="3" s="1"/>
  <c r="H1834" i="3" a="1"/>
  <c r="H1834" i="3" s="1"/>
  <c r="H1835" i="3" a="1"/>
  <c r="H1835" i="3" s="1"/>
  <c r="H1836" i="3" a="1"/>
  <c r="H1836" i="3" s="1"/>
  <c r="H1837" i="3" a="1"/>
  <c r="H1837" i="3" s="1"/>
  <c r="H1838" i="3" a="1"/>
  <c r="H1838" i="3" s="1"/>
  <c r="H1839" i="3" a="1"/>
  <c r="H1839" i="3" s="1"/>
  <c r="H1840" i="3" a="1"/>
  <c r="H1840" i="3" s="1"/>
  <c r="H1841" i="3" a="1"/>
  <c r="H1841" i="3" s="1"/>
  <c r="H1842" i="3" a="1"/>
  <c r="H1842" i="3" s="1"/>
  <c r="H1843" i="3" a="1"/>
  <c r="H1843" i="3" s="1"/>
  <c r="H1844" i="3" a="1"/>
  <c r="H1844" i="3" s="1"/>
  <c r="H1845" i="3" a="1"/>
  <c r="H1845" i="3" s="1"/>
  <c r="H1846" i="3" a="1"/>
  <c r="H1846" i="3" s="1"/>
  <c r="H1847" i="3" a="1"/>
  <c r="H1847" i="3" s="1"/>
  <c r="H1848" i="3" a="1"/>
  <c r="H1848" i="3" s="1"/>
  <c r="H1849" i="3" a="1"/>
  <c r="H1849" i="3" s="1"/>
  <c r="H1850" i="3" a="1"/>
  <c r="H1850" i="3" s="1"/>
  <c r="H1851" i="3" a="1"/>
  <c r="H1851" i="3" s="1"/>
  <c r="H1852" i="3" a="1"/>
  <c r="H1852" i="3" s="1"/>
  <c r="H1853" i="3" a="1"/>
  <c r="H1853" i="3" s="1"/>
  <c r="H1854" i="3" a="1"/>
  <c r="H1854" i="3" s="1"/>
  <c r="H1855" i="3" a="1"/>
  <c r="H1855" i="3" s="1"/>
  <c r="H1856" i="3" a="1"/>
  <c r="H1856" i="3" s="1"/>
  <c r="H1857" i="3" a="1"/>
  <c r="H1857" i="3" s="1"/>
  <c r="H1858" i="3" a="1"/>
  <c r="H1858" i="3" s="1"/>
  <c r="H1859" i="3" a="1"/>
  <c r="H1859" i="3" s="1"/>
  <c r="H1860" i="3" a="1"/>
  <c r="H1860" i="3" s="1"/>
  <c r="H1861" i="3" a="1"/>
  <c r="H1861" i="3" s="1"/>
  <c r="H1862" i="3" a="1"/>
  <c r="H1862" i="3" s="1"/>
  <c r="H1863" i="3" a="1"/>
  <c r="H1863" i="3" s="1"/>
  <c r="H1864" i="3" a="1"/>
  <c r="H1864" i="3" s="1"/>
  <c r="H1865" i="3" a="1"/>
  <c r="H1865" i="3" s="1"/>
  <c r="H1866" i="3" a="1"/>
  <c r="H1866" i="3" s="1"/>
  <c r="H1867" i="3" a="1"/>
  <c r="H1867" i="3" s="1"/>
  <c r="H1868" i="3" a="1"/>
  <c r="H1868" i="3" s="1"/>
  <c r="H1869" i="3" a="1"/>
  <c r="H1869" i="3" s="1"/>
  <c r="H1870" i="3" a="1"/>
  <c r="H1870" i="3" s="1"/>
  <c r="H1871" i="3" a="1"/>
  <c r="H1871" i="3" s="1"/>
  <c r="H1872" i="3" a="1"/>
  <c r="H1872" i="3" s="1"/>
  <c r="H1873" i="3" a="1"/>
  <c r="H1873" i="3" s="1"/>
  <c r="H1874" i="3" a="1"/>
  <c r="H1874" i="3" s="1"/>
  <c r="H1875" i="3" a="1"/>
  <c r="H1875" i="3" s="1"/>
  <c r="H1876" i="3" a="1"/>
  <c r="H1876" i="3" s="1"/>
  <c r="H1877" i="3" a="1"/>
  <c r="H1877" i="3" s="1"/>
  <c r="H1878" i="3" a="1"/>
  <c r="H1878" i="3" s="1"/>
  <c r="H1879" i="3" a="1"/>
  <c r="H1879" i="3" s="1"/>
  <c r="H1880" i="3" a="1"/>
  <c r="H1880" i="3" s="1"/>
  <c r="H1881" i="3" a="1"/>
  <c r="H1881" i="3" s="1"/>
  <c r="H1882" i="3" a="1"/>
  <c r="H1882" i="3" s="1"/>
  <c r="H1883" i="3" a="1"/>
  <c r="H1883" i="3" s="1"/>
  <c r="H1884" i="3" a="1"/>
  <c r="H1884" i="3" s="1"/>
  <c r="H1885" i="3" a="1"/>
  <c r="H1885" i="3" s="1"/>
  <c r="H1886" i="3" a="1"/>
  <c r="H1886" i="3" s="1"/>
  <c r="H1887" i="3" a="1"/>
  <c r="H1887" i="3" s="1"/>
  <c r="H1888" i="3" a="1"/>
  <c r="H1888" i="3" s="1"/>
  <c r="H1889" i="3" a="1"/>
  <c r="H1889" i="3" s="1"/>
  <c r="H1890" i="3" a="1"/>
  <c r="H1890" i="3" s="1"/>
  <c r="H1891" i="3" a="1"/>
  <c r="H1891" i="3" s="1"/>
  <c r="H1892" i="3" a="1"/>
  <c r="H1892" i="3" s="1"/>
  <c r="H1893" i="3" a="1"/>
  <c r="H1893" i="3" s="1"/>
  <c r="H1894" i="3" a="1"/>
  <c r="H1894" i="3" s="1"/>
  <c r="H1895" i="3" a="1"/>
  <c r="H1895" i="3" s="1"/>
  <c r="H1896" i="3" a="1"/>
  <c r="H1896" i="3" s="1"/>
  <c r="H1897" i="3" a="1"/>
  <c r="H1897" i="3" s="1"/>
  <c r="H1898" i="3" a="1"/>
  <c r="H1898" i="3" s="1"/>
  <c r="H1899" i="3" a="1"/>
  <c r="H1899" i="3" s="1"/>
  <c r="H1900" i="3" a="1"/>
  <c r="H1900" i="3" s="1"/>
  <c r="H1901" i="3" a="1"/>
  <c r="H1901" i="3" s="1"/>
  <c r="H1902" i="3" a="1"/>
  <c r="H1902" i="3" s="1"/>
  <c r="H1903" i="3" a="1"/>
  <c r="H1903" i="3" s="1"/>
  <c r="H1904" i="3" a="1"/>
  <c r="H1904" i="3" s="1"/>
  <c r="H1905" i="3" a="1"/>
  <c r="H1905" i="3" s="1"/>
  <c r="H1906" i="3" a="1"/>
  <c r="H1906" i="3" s="1"/>
  <c r="H1907" i="3" a="1"/>
  <c r="H1907" i="3" s="1"/>
  <c r="H1908" i="3" a="1"/>
  <c r="H1908" i="3" s="1"/>
  <c r="H1909" i="3" a="1"/>
  <c r="H1909" i="3" s="1"/>
  <c r="H1910" i="3" a="1"/>
  <c r="H1910" i="3" s="1"/>
  <c r="H1911" i="3" a="1"/>
  <c r="H1911" i="3" s="1"/>
  <c r="H1912" i="3" a="1"/>
  <c r="H1912" i="3" s="1"/>
  <c r="H1913" i="3" a="1"/>
  <c r="H1913" i="3" s="1"/>
  <c r="H1914" i="3" a="1"/>
  <c r="H1914" i="3" s="1"/>
  <c r="H1915" i="3" a="1"/>
  <c r="H1915" i="3" s="1"/>
  <c r="H1916" i="3" a="1"/>
  <c r="H1916" i="3" s="1"/>
  <c r="H1917" i="3" a="1"/>
  <c r="H1917" i="3" s="1"/>
  <c r="H1918" i="3" a="1"/>
  <c r="H1918" i="3" s="1"/>
  <c r="H1919" i="3" a="1"/>
  <c r="H1919" i="3" s="1"/>
  <c r="H1920" i="3" a="1"/>
  <c r="H1920" i="3" s="1"/>
  <c r="H1921" i="3" a="1"/>
  <c r="H1921" i="3" s="1"/>
  <c r="H1922" i="3" a="1"/>
  <c r="H1922" i="3" s="1"/>
  <c r="H1923" i="3" a="1"/>
  <c r="H1923" i="3" s="1"/>
  <c r="H1924" i="3" a="1"/>
  <c r="H1924" i="3" s="1"/>
  <c r="H1925" i="3" a="1"/>
  <c r="H1925" i="3" s="1"/>
  <c r="H1926" i="3" a="1"/>
  <c r="H1926" i="3" s="1"/>
  <c r="H1927" i="3" a="1"/>
  <c r="H1927" i="3" s="1"/>
  <c r="H1928" i="3" a="1"/>
  <c r="H1928" i="3" s="1"/>
  <c r="H1929" i="3" a="1"/>
  <c r="H1929" i="3" s="1"/>
  <c r="H1930" i="3" a="1"/>
  <c r="H1930" i="3" s="1"/>
  <c r="H1931" i="3" a="1"/>
  <c r="H1931" i="3" s="1"/>
  <c r="H1932" i="3" a="1"/>
  <c r="H1932" i="3" s="1"/>
  <c r="H1933" i="3" a="1"/>
  <c r="H1933" i="3" s="1"/>
  <c r="H1934" i="3" a="1"/>
  <c r="H1934" i="3" s="1"/>
  <c r="H1935" i="3" a="1"/>
  <c r="H1935" i="3" s="1"/>
  <c r="H1936" i="3" a="1"/>
  <c r="H1936" i="3" s="1"/>
  <c r="H1937" i="3" a="1"/>
  <c r="H1937" i="3" s="1"/>
  <c r="H1938" i="3" a="1"/>
  <c r="H1938" i="3" s="1"/>
  <c r="H1939" i="3" a="1"/>
  <c r="H1939" i="3" s="1"/>
  <c r="H1940" i="3" a="1"/>
  <c r="H1940" i="3" s="1"/>
  <c r="H1941" i="3" a="1"/>
  <c r="H1941" i="3" s="1"/>
  <c r="H1942" i="3" a="1"/>
  <c r="H1942" i="3" s="1"/>
  <c r="H1943" i="3" a="1"/>
  <c r="H1943" i="3" s="1"/>
  <c r="H1944" i="3" a="1"/>
  <c r="H1944" i="3" s="1"/>
  <c r="H1945" i="3" a="1"/>
  <c r="H1945" i="3" s="1"/>
  <c r="H1946" i="3" a="1"/>
  <c r="H1946" i="3" s="1"/>
  <c r="H1947" i="3" a="1"/>
  <c r="H1947" i="3" s="1"/>
  <c r="H1948" i="3" a="1"/>
  <c r="H1948" i="3" s="1"/>
  <c r="H1949" i="3" a="1"/>
  <c r="H1949" i="3" s="1"/>
  <c r="H1950" i="3" a="1"/>
  <c r="H1950" i="3" s="1"/>
  <c r="H1951" i="3" a="1"/>
  <c r="H1951" i="3" s="1"/>
  <c r="H1952" i="3" a="1"/>
  <c r="H1952" i="3" s="1"/>
  <c r="H1953" i="3" a="1"/>
  <c r="H1953" i="3" s="1"/>
  <c r="H1954" i="3" a="1"/>
  <c r="H1954" i="3" s="1"/>
  <c r="H1955" i="3" a="1"/>
  <c r="H1955" i="3" s="1"/>
  <c r="H1956" i="3" a="1"/>
  <c r="H1956" i="3" s="1"/>
  <c r="H1957" i="3" a="1"/>
  <c r="H1957" i="3" s="1"/>
  <c r="H1958" i="3" a="1"/>
  <c r="H1958" i="3" s="1"/>
  <c r="H1959" i="3" a="1"/>
  <c r="H1959" i="3" s="1"/>
  <c r="H1960" i="3" a="1"/>
  <c r="H1960" i="3" s="1"/>
  <c r="H1961" i="3" a="1"/>
  <c r="H1961" i="3" s="1"/>
  <c r="H1962" i="3" a="1"/>
  <c r="H1962" i="3" s="1"/>
  <c r="H1963" i="3" a="1"/>
  <c r="H1963" i="3" s="1"/>
  <c r="H1964" i="3" a="1"/>
  <c r="H1964" i="3" s="1"/>
  <c r="H1965" i="3" a="1"/>
  <c r="H1965" i="3" s="1"/>
  <c r="H1966" i="3" a="1"/>
  <c r="H1966" i="3" s="1"/>
  <c r="H1967" i="3" a="1"/>
  <c r="H1967" i="3" s="1"/>
  <c r="H1968" i="3" a="1"/>
  <c r="H1968" i="3" s="1"/>
  <c r="H1969" i="3" a="1"/>
  <c r="H1969" i="3" s="1"/>
  <c r="H1970" i="3" a="1"/>
  <c r="H1970" i="3" s="1"/>
  <c r="H1971" i="3" a="1"/>
  <c r="H1971" i="3" s="1"/>
  <c r="H1972" i="3" a="1"/>
  <c r="H1972" i="3" s="1"/>
  <c r="H1973" i="3" a="1"/>
  <c r="H1973" i="3" s="1"/>
  <c r="H1974" i="3" a="1"/>
  <c r="H1974" i="3" s="1"/>
  <c r="H1975" i="3" a="1"/>
  <c r="H1975" i="3" s="1"/>
  <c r="H1976" i="3" a="1"/>
  <c r="H1976" i="3" s="1"/>
  <c r="H1977" i="3" a="1"/>
  <c r="H1977" i="3" s="1"/>
  <c r="H1978" i="3" a="1"/>
  <c r="H1978" i="3" s="1"/>
  <c r="H1979" i="3" a="1"/>
  <c r="H1979" i="3" s="1"/>
  <c r="H1980" i="3" a="1"/>
  <c r="H1980" i="3" s="1"/>
  <c r="H1981" i="3" a="1"/>
  <c r="H1981" i="3" s="1"/>
  <c r="H1982" i="3" a="1"/>
  <c r="H1982" i="3" s="1"/>
  <c r="H1983" i="3" a="1"/>
  <c r="H1983" i="3" s="1"/>
  <c r="H1984" i="3" a="1"/>
  <c r="H1984" i="3" s="1"/>
  <c r="H1985" i="3" a="1"/>
  <c r="H1985" i="3" s="1"/>
  <c r="H1986" i="3" a="1"/>
  <c r="H1986" i="3" s="1"/>
  <c r="H1987" i="3" a="1"/>
  <c r="H1987" i="3" s="1"/>
  <c r="H1988" i="3" a="1"/>
  <c r="H1988" i="3" s="1"/>
  <c r="H1989" i="3" a="1"/>
  <c r="H1989" i="3" s="1"/>
  <c r="H1990" i="3" a="1"/>
  <c r="H1990" i="3" s="1"/>
  <c r="H1991" i="3" a="1"/>
  <c r="H1991" i="3" s="1"/>
  <c r="H1992" i="3" a="1"/>
  <c r="H1992" i="3" s="1"/>
  <c r="H1993" i="3" a="1"/>
  <c r="H1993" i="3" s="1"/>
  <c r="H1994" i="3" a="1"/>
  <c r="H1994" i="3" s="1"/>
  <c r="H1995" i="3" a="1"/>
  <c r="H1995" i="3" s="1"/>
  <c r="H1996" i="3" a="1"/>
  <c r="H1996" i="3" s="1"/>
  <c r="H1997" i="3" a="1"/>
  <c r="H1997" i="3" s="1"/>
  <c r="H1998" i="3" a="1"/>
  <c r="H1998" i="3" s="1"/>
  <c r="H1999" i="3" a="1"/>
  <c r="H1999" i="3" s="1"/>
  <c r="H2000" i="3" a="1"/>
  <c r="H2000" i="3" s="1"/>
  <c r="H2001" i="3" a="1"/>
  <c r="H2001" i="3" s="1"/>
  <c r="H2002" i="3" a="1"/>
  <c r="H2002" i="3" s="1"/>
  <c r="H2003" i="3" a="1"/>
  <c r="H2003" i="3" s="1"/>
  <c r="H2004" i="3" a="1"/>
  <c r="H2004" i="3" s="1"/>
  <c r="H2005" i="3" a="1"/>
  <c r="H2005" i="3" s="1"/>
  <c r="H2006" i="3" a="1"/>
  <c r="H2006" i="3" s="1"/>
  <c r="H2007" i="3" a="1"/>
  <c r="H2007" i="3" s="1"/>
  <c r="H2008" i="3" a="1"/>
  <c r="H2008" i="3" s="1"/>
  <c r="H2009" i="3" a="1"/>
  <c r="H2009" i="3" s="1"/>
  <c r="H2010" i="3" a="1"/>
  <c r="H2010" i="3" s="1"/>
  <c r="H2011" i="3" a="1"/>
  <c r="H2011" i="3" s="1"/>
  <c r="H2012" i="3" a="1"/>
  <c r="H2012" i="3" s="1"/>
  <c r="H2013" i="3" a="1"/>
  <c r="H2013" i="3" s="1"/>
  <c r="H2014" i="3" a="1"/>
  <c r="H2014" i="3" s="1"/>
  <c r="H2015" i="3" a="1"/>
  <c r="H2015" i="3" s="1"/>
  <c r="H2016" i="3" a="1"/>
  <c r="H2016" i="3" s="1"/>
  <c r="H2017" i="3" a="1"/>
  <c r="H2017" i="3" s="1"/>
  <c r="H2018" i="3" a="1"/>
  <c r="H2018" i="3" s="1"/>
  <c r="H2019" i="3" a="1"/>
  <c r="H2019" i="3" s="1"/>
  <c r="H2020" i="3" a="1"/>
  <c r="H2020" i="3" s="1"/>
  <c r="H2021" i="3" a="1"/>
  <c r="H2021" i="3" s="1"/>
  <c r="H2022" i="3" a="1"/>
  <c r="H2022" i="3" s="1"/>
  <c r="H2023" i="3" a="1"/>
  <c r="H2023" i="3" s="1"/>
  <c r="H2024" i="3" a="1"/>
  <c r="H2024" i="3" s="1"/>
  <c r="H2025" i="3" a="1"/>
  <c r="H2025" i="3" s="1"/>
  <c r="H2026" i="3" a="1"/>
  <c r="H2026" i="3" s="1"/>
  <c r="H2027" i="3" a="1"/>
  <c r="H2027" i="3" s="1"/>
  <c r="H2028" i="3" a="1"/>
  <c r="H2028" i="3" s="1"/>
  <c r="H2029" i="3" a="1"/>
  <c r="H2029" i="3" s="1"/>
  <c r="H2030" i="3" a="1"/>
  <c r="H2030" i="3" s="1"/>
  <c r="H2031" i="3" a="1"/>
  <c r="H2031" i="3" s="1"/>
  <c r="H2032" i="3" a="1"/>
  <c r="H2032" i="3" s="1"/>
  <c r="H2033" i="3" a="1"/>
  <c r="H2033" i="3" s="1"/>
  <c r="H2034" i="3" a="1"/>
  <c r="H2034" i="3" s="1"/>
  <c r="H2035" i="3" a="1"/>
  <c r="H2035" i="3" s="1"/>
  <c r="H2036" i="3" a="1"/>
  <c r="H2036" i="3" s="1"/>
  <c r="H2037" i="3" a="1"/>
  <c r="H2037" i="3" s="1"/>
  <c r="H2038" i="3" a="1"/>
  <c r="H2038" i="3" s="1"/>
  <c r="H2039" i="3" a="1"/>
  <c r="H2039" i="3" s="1"/>
  <c r="H2040" i="3" a="1"/>
  <c r="H2040" i="3" s="1"/>
  <c r="H2041" i="3" a="1"/>
  <c r="H2041" i="3" s="1"/>
  <c r="H2042" i="3" a="1"/>
  <c r="H2042" i="3" s="1"/>
  <c r="H2043" i="3" a="1"/>
  <c r="H2043" i="3" s="1"/>
  <c r="H2044" i="3" a="1"/>
  <c r="H2044" i="3" s="1"/>
  <c r="H2045" i="3" a="1"/>
  <c r="H2045" i="3" s="1"/>
  <c r="H2046" i="3" a="1"/>
  <c r="H2046" i="3" s="1"/>
  <c r="H2047" i="3" a="1"/>
  <c r="H2047" i="3" s="1"/>
  <c r="H2048" i="3" a="1"/>
  <c r="H2048" i="3" s="1"/>
  <c r="H2049" i="3" a="1"/>
  <c r="H2049" i="3" s="1"/>
  <c r="H2050" i="3" a="1"/>
  <c r="H2050" i="3" s="1"/>
  <c r="H2051" i="3" a="1"/>
  <c r="H2051" i="3" s="1"/>
  <c r="H2052" i="3" a="1"/>
  <c r="H2052" i="3" s="1"/>
  <c r="H2053" i="3" a="1"/>
  <c r="H2053" i="3" s="1"/>
  <c r="H2054" i="3" a="1"/>
  <c r="H2054" i="3" s="1"/>
  <c r="H2055" i="3" a="1"/>
  <c r="H2055" i="3" s="1"/>
  <c r="H2056" i="3" a="1"/>
  <c r="H2056" i="3" s="1"/>
  <c r="H2057" i="3" a="1"/>
  <c r="H2057" i="3" s="1"/>
  <c r="H2058" i="3" a="1"/>
  <c r="H2058" i="3" s="1"/>
  <c r="H2059" i="3" a="1"/>
  <c r="H2059" i="3" s="1"/>
  <c r="H2060" i="3" a="1"/>
  <c r="H2060" i="3" s="1"/>
  <c r="H2061" i="3" a="1"/>
  <c r="H2061" i="3" s="1"/>
  <c r="H2062" i="3" a="1"/>
  <c r="H2062" i="3" s="1"/>
  <c r="H2063" i="3" a="1"/>
  <c r="H2063" i="3" s="1"/>
  <c r="H2064" i="3" a="1"/>
  <c r="H2064" i="3" s="1"/>
  <c r="H2065" i="3" a="1"/>
  <c r="H2065" i="3" s="1"/>
  <c r="H2066" i="3" a="1"/>
  <c r="H2066" i="3" s="1"/>
  <c r="H2067" i="3" a="1"/>
  <c r="H2067" i="3" s="1"/>
  <c r="H2068" i="3" a="1"/>
  <c r="H2068" i="3" s="1"/>
  <c r="H2069" i="3" a="1"/>
  <c r="H2069" i="3" s="1"/>
  <c r="H2070" i="3" a="1"/>
  <c r="H2070" i="3" s="1"/>
  <c r="H2071" i="3" a="1"/>
  <c r="H2071" i="3" s="1"/>
  <c r="H2072" i="3" a="1"/>
  <c r="H2072" i="3" s="1"/>
  <c r="H2073" i="3" a="1"/>
  <c r="H2073" i="3" s="1"/>
  <c r="H2074" i="3" a="1"/>
  <c r="H2074" i="3" s="1"/>
  <c r="H2075" i="3" a="1"/>
  <c r="H2075" i="3" s="1"/>
  <c r="H2076" i="3" a="1"/>
  <c r="H2076" i="3" s="1"/>
  <c r="H2077" i="3" a="1"/>
  <c r="H2077" i="3" s="1"/>
  <c r="H2078" i="3" a="1"/>
  <c r="H2078" i="3" s="1"/>
  <c r="H2079" i="3" a="1"/>
  <c r="H2079" i="3" s="1"/>
  <c r="H2080" i="3" a="1"/>
  <c r="H2080" i="3" s="1"/>
  <c r="H2081" i="3" a="1"/>
  <c r="H2081" i="3" s="1"/>
  <c r="H2082" i="3" a="1"/>
  <c r="H2082" i="3" s="1"/>
  <c r="H2083" i="3" a="1"/>
  <c r="H2083" i="3" s="1"/>
  <c r="H2084" i="3" a="1"/>
  <c r="H2084" i="3" s="1"/>
  <c r="H2085" i="3" a="1"/>
  <c r="H2085" i="3" s="1"/>
  <c r="H2086" i="3" a="1"/>
  <c r="H2086" i="3" s="1"/>
  <c r="H2087" i="3" a="1"/>
  <c r="H2087" i="3" s="1"/>
  <c r="H2088" i="3" a="1"/>
  <c r="H2088" i="3" s="1"/>
  <c r="H2089" i="3" a="1"/>
  <c r="H2089" i="3" s="1"/>
  <c r="H2090" i="3" a="1"/>
  <c r="H2090" i="3" s="1"/>
  <c r="H2091" i="3" a="1"/>
  <c r="H2091" i="3" s="1"/>
  <c r="H2092" i="3" a="1"/>
  <c r="H2092" i="3" s="1"/>
  <c r="H2093" i="3" a="1"/>
  <c r="H2093" i="3" s="1"/>
  <c r="H2094" i="3" a="1"/>
  <c r="H2094" i="3" s="1"/>
  <c r="H2095" i="3" a="1"/>
  <c r="H2095" i="3" s="1"/>
  <c r="H2096" i="3" a="1"/>
  <c r="H2096" i="3" s="1"/>
  <c r="H2097" i="3" a="1"/>
  <c r="H2097" i="3" s="1"/>
  <c r="H2098" i="3" a="1"/>
  <c r="H2098" i="3" s="1"/>
  <c r="H2099" i="3" a="1"/>
  <c r="H2099" i="3" s="1"/>
  <c r="H2100" i="3" a="1"/>
  <c r="H2100" i="3" s="1"/>
  <c r="H2101" i="3" a="1"/>
  <c r="H2101" i="3" s="1"/>
  <c r="H2102" i="3" a="1"/>
  <c r="H2102" i="3" s="1"/>
  <c r="H2103" i="3" a="1"/>
  <c r="H2103" i="3" s="1"/>
  <c r="H2104" i="3" a="1"/>
  <c r="H2104" i="3" s="1"/>
  <c r="H2105" i="3" a="1"/>
  <c r="H2105" i="3" s="1"/>
  <c r="H2106" i="3" a="1"/>
  <c r="H2106" i="3" s="1"/>
  <c r="H2107" i="3" a="1"/>
  <c r="H2107" i="3" s="1"/>
  <c r="H2108" i="3" a="1"/>
  <c r="H2108" i="3" s="1"/>
  <c r="H2109" i="3" a="1"/>
  <c r="H2109" i="3" s="1"/>
  <c r="H2110" i="3" a="1"/>
  <c r="H2110" i="3" s="1"/>
  <c r="H2111" i="3" a="1"/>
  <c r="H2111" i="3" s="1"/>
  <c r="H2112" i="3" a="1"/>
  <c r="H2112" i="3" s="1"/>
  <c r="H2113" i="3" a="1"/>
  <c r="H2113" i="3" s="1"/>
  <c r="H2114" i="3" a="1"/>
  <c r="H2114" i="3" s="1"/>
  <c r="H2115" i="3" a="1"/>
  <c r="H2115" i="3" s="1"/>
  <c r="H2116" i="3" a="1"/>
  <c r="H2116" i="3" s="1"/>
  <c r="H2117" i="3" a="1"/>
  <c r="H2117" i="3" s="1"/>
  <c r="H2118" i="3" a="1"/>
  <c r="H2118" i="3" s="1"/>
  <c r="H2119" i="3" a="1"/>
  <c r="H2119" i="3" s="1"/>
  <c r="H2120" i="3" a="1"/>
  <c r="H2120" i="3" s="1"/>
  <c r="H2121" i="3" a="1"/>
  <c r="H2121" i="3" s="1"/>
  <c r="H2122" i="3" a="1"/>
  <c r="H2122" i="3" s="1"/>
  <c r="H2123" i="3" a="1"/>
  <c r="H2123" i="3" s="1"/>
  <c r="H2124" i="3" a="1"/>
  <c r="H2124" i="3" s="1"/>
  <c r="H2125" i="3" a="1"/>
  <c r="H2125" i="3" s="1"/>
  <c r="H2126" i="3" a="1"/>
  <c r="H2126" i="3" s="1"/>
  <c r="H2127" i="3" a="1"/>
  <c r="H2127" i="3" s="1"/>
  <c r="H2128" i="3" a="1"/>
  <c r="H2128" i="3" s="1"/>
  <c r="H2129" i="3" a="1"/>
  <c r="H2129" i="3" s="1"/>
  <c r="H2130" i="3" a="1"/>
  <c r="H2130" i="3" s="1"/>
  <c r="H2131" i="3" a="1"/>
  <c r="H2131" i="3" s="1"/>
  <c r="H2132" i="3" a="1"/>
  <c r="H2132" i="3" s="1"/>
  <c r="H2133" i="3" a="1"/>
  <c r="H2133" i="3" s="1"/>
  <c r="H2134" i="3" a="1"/>
  <c r="H2134" i="3" s="1"/>
  <c r="H2135" i="3" a="1"/>
  <c r="H2135" i="3" s="1"/>
  <c r="H2136" i="3" a="1"/>
  <c r="H2136" i="3" s="1"/>
  <c r="H2137" i="3" a="1"/>
  <c r="H2137" i="3" s="1"/>
  <c r="H2138" i="3" a="1"/>
  <c r="H2138" i="3" s="1"/>
  <c r="H2139" i="3" a="1"/>
  <c r="H2139" i="3" s="1"/>
  <c r="H2140" i="3" a="1"/>
  <c r="H2140" i="3" s="1"/>
  <c r="H2141" i="3" a="1"/>
  <c r="H2141" i="3" s="1"/>
  <c r="H2142" i="3" a="1"/>
  <c r="H2142" i="3" s="1"/>
  <c r="H2143" i="3" a="1"/>
  <c r="H2143" i="3" s="1"/>
  <c r="H2144" i="3" a="1"/>
  <c r="H2144" i="3" s="1"/>
  <c r="H2145" i="3" a="1"/>
  <c r="H2145" i="3" s="1"/>
  <c r="H2146" i="3" a="1"/>
  <c r="H2146" i="3" s="1"/>
  <c r="H2147" i="3" a="1"/>
  <c r="H2147" i="3" s="1"/>
  <c r="H2148" i="3" a="1"/>
  <c r="H2148" i="3" s="1"/>
  <c r="H2149" i="3" a="1"/>
  <c r="H2149" i="3" s="1"/>
  <c r="H2150" i="3" a="1"/>
  <c r="H2150" i="3" s="1"/>
  <c r="H2151" i="3" a="1"/>
  <c r="H2151" i="3" s="1"/>
  <c r="H2152" i="3" a="1"/>
  <c r="H2152" i="3" s="1"/>
  <c r="H2153" i="3" a="1"/>
  <c r="H2153" i="3" s="1"/>
  <c r="H2154" i="3" a="1"/>
  <c r="H2154" i="3" s="1"/>
  <c r="H2155" i="3" a="1"/>
  <c r="H2155" i="3" s="1"/>
  <c r="H2156" i="3" a="1"/>
  <c r="H2156" i="3" s="1"/>
  <c r="H2157" i="3" a="1"/>
  <c r="H2157" i="3" s="1"/>
  <c r="H2158" i="3" a="1"/>
  <c r="H2158" i="3" s="1"/>
  <c r="H2159" i="3" a="1"/>
  <c r="H2159" i="3" s="1"/>
  <c r="H2160" i="3" a="1"/>
  <c r="H2160" i="3" s="1"/>
  <c r="H2161" i="3" a="1"/>
  <c r="H2161" i="3" s="1"/>
  <c r="H2162" i="3" a="1"/>
  <c r="H2162" i="3" s="1"/>
  <c r="H2163" i="3" a="1"/>
  <c r="H2163" i="3" s="1"/>
  <c r="H2164" i="3" a="1"/>
  <c r="H2164" i="3" s="1"/>
  <c r="H2165" i="3" a="1"/>
  <c r="H2165" i="3" s="1"/>
  <c r="H2166" i="3" a="1"/>
  <c r="H2166" i="3" s="1"/>
  <c r="H2167" i="3" a="1"/>
  <c r="H2167" i="3" s="1"/>
  <c r="H2168" i="3" a="1"/>
  <c r="H2168" i="3" s="1"/>
  <c r="H2169" i="3" a="1"/>
  <c r="H2169" i="3" s="1"/>
  <c r="H2170" i="3" a="1"/>
  <c r="H2170" i="3" s="1"/>
  <c r="H2171" i="3" a="1"/>
  <c r="H2171" i="3" s="1"/>
  <c r="H2172" i="3" a="1"/>
  <c r="H2172" i="3" s="1"/>
  <c r="H2173" i="3" a="1"/>
  <c r="H2173" i="3" s="1"/>
  <c r="H2174" i="3" a="1"/>
  <c r="H2174" i="3" s="1"/>
  <c r="H2175" i="3" a="1"/>
  <c r="H2175" i="3" s="1"/>
  <c r="H2176" i="3" a="1"/>
  <c r="H2176" i="3" s="1"/>
  <c r="H2177" i="3" a="1"/>
  <c r="H2177" i="3" s="1"/>
  <c r="H2178" i="3" a="1"/>
  <c r="H2178" i="3" s="1"/>
  <c r="H2179" i="3" a="1"/>
  <c r="H2179" i="3" s="1"/>
  <c r="H2180" i="3" a="1"/>
  <c r="H2180" i="3" s="1"/>
  <c r="H2181" i="3" a="1"/>
  <c r="H2181" i="3" s="1"/>
  <c r="H2182" i="3" a="1"/>
  <c r="H2182" i="3" s="1"/>
  <c r="H2183" i="3" a="1"/>
  <c r="H2183" i="3" s="1"/>
  <c r="H2184" i="3" a="1"/>
  <c r="H2184" i="3" s="1"/>
  <c r="H2185" i="3" a="1"/>
  <c r="H2185" i="3" s="1"/>
  <c r="H2186" i="3" a="1"/>
  <c r="H2186" i="3" s="1"/>
  <c r="H2187" i="3" a="1"/>
  <c r="H2187" i="3" s="1"/>
  <c r="H2188" i="3" a="1"/>
  <c r="H2188" i="3" s="1"/>
  <c r="H2189" i="3" a="1"/>
  <c r="H2189" i="3" s="1"/>
  <c r="H2190" i="3" a="1"/>
  <c r="H2190" i="3" s="1"/>
  <c r="H2191" i="3" a="1"/>
  <c r="H2191" i="3" s="1"/>
  <c r="H2192" i="3" a="1"/>
  <c r="H2192" i="3" s="1"/>
  <c r="H2193" i="3" a="1"/>
  <c r="H2193" i="3" s="1"/>
  <c r="H2194" i="3" a="1"/>
  <c r="H2194" i="3" s="1"/>
  <c r="H2195" i="3" a="1"/>
  <c r="H2195" i="3" s="1"/>
  <c r="H2196" i="3" a="1"/>
  <c r="H2196" i="3" s="1"/>
  <c r="H2197" i="3" a="1"/>
  <c r="H2197" i="3" s="1"/>
  <c r="H2198" i="3" a="1"/>
  <c r="H2198" i="3" s="1"/>
  <c r="H2199" i="3" a="1"/>
  <c r="H2199" i="3" s="1"/>
  <c r="H2200" i="3" a="1"/>
  <c r="H2200" i="3" s="1"/>
  <c r="H2201" i="3" a="1"/>
  <c r="H2201" i="3" s="1"/>
  <c r="H2202" i="3" a="1"/>
  <c r="H2202" i="3" s="1"/>
  <c r="H2203" i="3" a="1"/>
  <c r="H2203" i="3" s="1"/>
  <c r="H2204" i="3" a="1"/>
  <c r="H2204" i="3" s="1"/>
  <c r="H2205" i="3" a="1"/>
  <c r="H2205" i="3" s="1"/>
  <c r="H2206" i="3" a="1"/>
  <c r="H2206" i="3" s="1"/>
  <c r="H2207" i="3" a="1"/>
  <c r="H2207" i="3" s="1"/>
  <c r="H2208" i="3" a="1"/>
  <c r="H2208" i="3" s="1"/>
  <c r="H2209" i="3" a="1"/>
  <c r="H2209" i="3" s="1"/>
  <c r="H2210" i="3" a="1"/>
  <c r="H2210" i="3" s="1"/>
  <c r="H2211" i="3" a="1"/>
  <c r="H2211" i="3" s="1"/>
  <c r="H2212" i="3" a="1"/>
  <c r="H2212" i="3" s="1"/>
  <c r="H2213" i="3" a="1"/>
  <c r="H2213" i="3" s="1"/>
  <c r="H2214" i="3" a="1"/>
  <c r="H2214" i="3" s="1"/>
  <c r="H2215" i="3" a="1"/>
  <c r="H2215" i="3" s="1"/>
  <c r="H2216" i="3" a="1"/>
  <c r="H2216" i="3" s="1"/>
  <c r="H2217" i="3" a="1"/>
  <c r="H2217" i="3" s="1"/>
  <c r="H2218" i="3" a="1"/>
  <c r="H2218" i="3" s="1"/>
  <c r="H2219" i="3" a="1"/>
  <c r="H2219" i="3" s="1"/>
  <c r="H2220" i="3" a="1"/>
  <c r="H2220" i="3" s="1"/>
  <c r="H2221" i="3" a="1"/>
  <c r="H2221" i="3" s="1"/>
  <c r="H2222" i="3" a="1"/>
  <c r="H2222" i="3" s="1"/>
  <c r="H2223" i="3" a="1"/>
  <c r="H2223" i="3" s="1"/>
  <c r="H2224" i="3" a="1"/>
  <c r="H2224" i="3" s="1"/>
  <c r="H2225" i="3" a="1"/>
  <c r="H2225" i="3" s="1"/>
  <c r="H2226" i="3" a="1"/>
  <c r="H2226" i="3" s="1"/>
  <c r="H2227" i="3" a="1"/>
  <c r="H2227" i="3" s="1"/>
  <c r="H2228" i="3" a="1"/>
  <c r="H2228" i="3" s="1"/>
  <c r="H2229" i="3" a="1"/>
  <c r="H2229" i="3" s="1"/>
  <c r="H2230" i="3" a="1"/>
  <c r="H2230" i="3" s="1"/>
  <c r="H2231" i="3" a="1"/>
  <c r="H2231" i="3" s="1"/>
  <c r="H2232" i="3" a="1"/>
  <c r="H2232" i="3" s="1"/>
  <c r="H2233" i="3" a="1"/>
  <c r="H2233" i="3" s="1"/>
  <c r="H2234" i="3" a="1"/>
  <c r="H2234" i="3" s="1"/>
  <c r="H2235" i="3" a="1"/>
  <c r="H2235" i="3" s="1"/>
  <c r="H2236" i="3" a="1"/>
  <c r="H2236" i="3" s="1"/>
  <c r="H2237" i="3" a="1"/>
  <c r="H2237" i="3" s="1"/>
  <c r="H2238" i="3" a="1"/>
  <c r="H2238" i="3" s="1"/>
  <c r="H2239" i="3" a="1"/>
  <c r="H2239" i="3" s="1"/>
  <c r="H2240" i="3" a="1"/>
  <c r="H2240" i="3" s="1"/>
  <c r="H2241" i="3" a="1"/>
  <c r="H2241" i="3" s="1"/>
  <c r="H2242" i="3" a="1"/>
  <c r="H2242" i="3" s="1"/>
  <c r="H2243" i="3" a="1"/>
  <c r="H2243" i="3" s="1"/>
  <c r="H2244" i="3" a="1"/>
  <c r="H2244" i="3" s="1"/>
  <c r="H2245" i="3" a="1"/>
  <c r="H2245" i="3" s="1"/>
  <c r="H2246" i="3" a="1"/>
  <c r="H2246" i="3" s="1"/>
  <c r="H2247" i="3" a="1"/>
  <c r="H2247" i="3" s="1"/>
  <c r="H2248" i="3" a="1"/>
  <c r="H2248" i="3" s="1"/>
  <c r="H2249" i="3" a="1"/>
  <c r="H2249" i="3" s="1"/>
  <c r="H2250" i="3" a="1"/>
  <c r="H2250" i="3" s="1"/>
  <c r="H2251" i="3" a="1"/>
  <c r="H2251" i="3" s="1"/>
  <c r="H2252" i="3" a="1"/>
  <c r="H2252" i="3" s="1"/>
  <c r="H2253" i="3" a="1"/>
  <c r="H2253" i="3" s="1"/>
  <c r="H2254" i="3" a="1"/>
  <c r="H2254" i="3" s="1"/>
  <c r="H2255" i="3" a="1"/>
  <c r="H2255" i="3" s="1"/>
  <c r="H2256" i="3" a="1"/>
  <c r="H2256" i="3" s="1"/>
  <c r="H2257" i="3" a="1"/>
  <c r="H2257" i="3" s="1"/>
  <c r="H2258" i="3" a="1"/>
  <c r="H2258" i="3" s="1"/>
  <c r="H2259" i="3" a="1"/>
  <c r="H2259" i="3" s="1"/>
  <c r="H2260" i="3" a="1"/>
  <c r="H2260" i="3" s="1"/>
  <c r="H2261" i="3" a="1"/>
  <c r="H2261" i="3" s="1"/>
  <c r="H2262" i="3" a="1"/>
  <c r="H2262" i="3" s="1"/>
  <c r="H2263" i="3" a="1"/>
  <c r="H2263" i="3" s="1"/>
  <c r="H2264" i="3" a="1"/>
  <c r="H2264" i="3" s="1"/>
  <c r="H2265" i="3" a="1"/>
  <c r="H2265" i="3" s="1"/>
  <c r="H2266" i="3" a="1"/>
  <c r="H2266" i="3" s="1"/>
  <c r="H2267" i="3" a="1"/>
  <c r="H2267" i="3" s="1"/>
  <c r="H2268" i="3" a="1"/>
  <c r="H2268" i="3" s="1"/>
  <c r="H2269" i="3" a="1"/>
  <c r="H2269" i="3" s="1"/>
  <c r="H2270" i="3" a="1"/>
  <c r="H2270" i="3" s="1"/>
  <c r="H2271" i="3" a="1"/>
  <c r="H2271" i="3" s="1"/>
  <c r="H2272" i="3" a="1"/>
  <c r="H2272" i="3" s="1"/>
  <c r="H2273" i="3" a="1"/>
  <c r="H2273" i="3" s="1"/>
  <c r="H2274" i="3" a="1"/>
  <c r="H2274" i="3" s="1"/>
  <c r="H2275" i="3" a="1"/>
  <c r="H2275" i="3" s="1"/>
  <c r="H2276" i="3" a="1"/>
  <c r="H2276" i="3" s="1"/>
  <c r="H2277" i="3" a="1"/>
  <c r="H2277" i="3" s="1"/>
  <c r="H2278" i="3" a="1"/>
  <c r="H2278" i="3" s="1"/>
  <c r="H2279" i="3" a="1"/>
  <c r="H2279" i="3" s="1"/>
  <c r="H2280" i="3" a="1"/>
  <c r="H2280" i="3" s="1"/>
  <c r="H2281" i="3" a="1"/>
  <c r="H2281" i="3" s="1"/>
  <c r="H2282" i="3" a="1"/>
  <c r="H2282" i="3" s="1"/>
  <c r="H2283" i="3" a="1"/>
  <c r="H2283" i="3" s="1"/>
  <c r="H2284" i="3" a="1"/>
  <c r="H2284" i="3" s="1"/>
  <c r="H2285" i="3" a="1"/>
  <c r="H2285" i="3" s="1"/>
  <c r="H2286" i="3" a="1"/>
  <c r="H2286" i="3" s="1"/>
  <c r="H2287" i="3" a="1"/>
  <c r="H2287" i="3" s="1"/>
  <c r="H2288" i="3" a="1"/>
  <c r="H2288" i="3" s="1"/>
  <c r="H2289" i="3" a="1"/>
  <c r="H2289" i="3" s="1"/>
  <c r="H2290" i="3" a="1"/>
  <c r="H2290" i="3" s="1"/>
  <c r="H2291" i="3" a="1"/>
  <c r="H2291" i="3" s="1"/>
  <c r="H2292" i="3" a="1"/>
  <c r="H2292" i="3" s="1"/>
  <c r="H2293" i="3" a="1"/>
  <c r="H2293" i="3" s="1"/>
  <c r="H2294" i="3" a="1"/>
  <c r="H2294" i="3" s="1"/>
  <c r="H2295" i="3" a="1"/>
  <c r="H2295" i="3" s="1"/>
  <c r="H2296" i="3" a="1"/>
  <c r="H2296" i="3" s="1"/>
  <c r="H2297" i="3" a="1"/>
  <c r="H2297" i="3" s="1"/>
  <c r="H2298" i="3" a="1"/>
  <c r="H2298" i="3" s="1"/>
  <c r="H2299" i="3" a="1"/>
  <c r="H2299" i="3" s="1"/>
  <c r="H2300" i="3" a="1"/>
  <c r="H2300" i="3" s="1"/>
  <c r="H2301" i="3" a="1"/>
  <c r="H2301" i="3" s="1"/>
  <c r="H2302" i="3" a="1"/>
  <c r="H2302" i="3" s="1"/>
  <c r="H2303" i="3" a="1"/>
  <c r="H2303" i="3" s="1"/>
  <c r="H2304" i="3" a="1"/>
  <c r="H2304" i="3" s="1"/>
  <c r="H2305" i="3" a="1"/>
  <c r="H2305" i="3" s="1"/>
  <c r="H2306" i="3" a="1"/>
  <c r="H2306" i="3" s="1"/>
  <c r="H2307" i="3" a="1"/>
  <c r="H2307" i="3" s="1"/>
  <c r="H2308" i="3" a="1"/>
  <c r="H2308" i="3" s="1"/>
  <c r="H2309" i="3" a="1"/>
  <c r="H2309" i="3" s="1"/>
  <c r="H2310" i="3" a="1"/>
  <c r="H2310" i="3" s="1"/>
  <c r="H2311" i="3" a="1"/>
  <c r="H2311" i="3" s="1"/>
  <c r="H2312" i="3" a="1"/>
  <c r="H2312" i="3" s="1"/>
  <c r="H2313" i="3" a="1"/>
  <c r="H2313" i="3" s="1"/>
  <c r="H2314" i="3" a="1"/>
  <c r="H2314" i="3" s="1"/>
  <c r="H2315" i="3" a="1"/>
  <c r="H2315" i="3" s="1"/>
  <c r="H2316" i="3" a="1"/>
  <c r="H2316" i="3" s="1"/>
  <c r="H2317" i="3" a="1"/>
  <c r="H2317" i="3" s="1"/>
  <c r="H2318" i="3" a="1"/>
  <c r="H2318" i="3" s="1"/>
  <c r="H2319" i="3" a="1"/>
  <c r="H2319" i="3" s="1"/>
  <c r="H2320" i="3" a="1"/>
  <c r="H2320" i="3" s="1"/>
  <c r="H2321" i="3" a="1"/>
  <c r="H2321" i="3" s="1"/>
  <c r="H2322" i="3" a="1"/>
  <c r="H2322" i="3" s="1"/>
  <c r="H2323" i="3" a="1"/>
  <c r="H2323" i="3" s="1"/>
  <c r="H2324" i="3" a="1"/>
  <c r="H2324" i="3" s="1"/>
  <c r="H2325" i="3" a="1"/>
  <c r="H2325" i="3" s="1"/>
  <c r="H2326" i="3" a="1"/>
  <c r="H2326" i="3" s="1"/>
  <c r="H2327" i="3" a="1"/>
  <c r="H2327" i="3" s="1"/>
  <c r="H2328" i="3" a="1"/>
  <c r="H2328" i="3" s="1"/>
  <c r="H2329" i="3" a="1"/>
  <c r="H2329" i="3" s="1"/>
  <c r="H2330" i="3" a="1"/>
  <c r="H2330" i="3" s="1"/>
  <c r="H2331" i="3" a="1"/>
  <c r="H2331" i="3" s="1"/>
  <c r="H2332" i="3" a="1"/>
  <c r="H2332" i="3" s="1"/>
  <c r="H2333" i="3" a="1"/>
  <c r="H2333" i="3" s="1"/>
  <c r="H2334" i="3" a="1"/>
  <c r="H2334" i="3" s="1"/>
  <c r="H2335" i="3" a="1"/>
  <c r="H2335" i="3" s="1"/>
  <c r="H2336" i="3" a="1"/>
  <c r="H2336" i="3" s="1"/>
  <c r="H2337" i="3" a="1"/>
  <c r="H2337" i="3" s="1"/>
  <c r="H2338" i="3" a="1"/>
  <c r="H2338" i="3" s="1"/>
  <c r="H2339" i="3" a="1"/>
  <c r="H2339" i="3" s="1"/>
  <c r="H2340" i="3" a="1"/>
  <c r="H2340" i="3" s="1"/>
  <c r="H2341" i="3" a="1"/>
  <c r="H2341" i="3" s="1"/>
  <c r="H2342" i="3" a="1"/>
  <c r="H2342" i="3" s="1"/>
  <c r="H2343" i="3" a="1"/>
  <c r="H2343" i="3" s="1"/>
  <c r="H2344" i="3" a="1"/>
  <c r="H2344" i="3" s="1"/>
  <c r="H2345" i="3" a="1"/>
  <c r="H2345" i="3" s="1"/>
  <c r="H2346" i="3" a="1"/>
  <c r="H2346" i="3" s="1"/>
  <c r="H2347" i="3" a="1"/>
  <c r="H2347" i="3" s="1"/>
  <c r="H2348" i="3" a="1"/>
  <c r="H2348" i="3" s="1"/>
  <c r="H2349" i="3" a="1"/>
  <c r="H2349" i="3" s="1"/>
  <c r="H2350" i="3" a="1"/>
  <c r="H2350" i="3" s="1"/>
  <c r="H2351" i="3" a="1"/>
  <c r="H2351" i="3" s="1"/>
  <c r="H2352" i="3" a="1"/>
  <c r="H2352" i="3" s="1"/>
  <c r="H2353" i="3" a="1"/>
  <c r="H2353" i="3" s="1"/>
  <c r="H2354" i="3" a="1"/>
  <c r="H2354" i="3" s="1"/>
  <c r="H2355" i="3" a="1"/>
  <c r="H2355" i="3" s="1"/>
  <c r="H2356" i="3" a="1"/>
  <c r="H2356" i="3" s="1"/>
  <c r="H2357" i="3" a="1"/>
  <c r="H2357" i="3" s="1"/>
  <c r="H2358" i="3" a="1"/>
  <c r="H2358" i="3" s="1"/>
  <c r="H2359" i="3" a="1"/>
  <c r="H2359" i="3" s="1"/>
  <c r="H2360" i="3" a="1"/>
  <c r="H2360" i="3" s="1"/>
  <c r="H2361" i="3" a="1"/>
  <c r="H2361" i="3" s="1"/>
  <c r="H2362" i="3" a="1"/>
  <c r="H2362" i="3" s="1"/>
  <c r="H2363" i="3" a="1"/>
  <c r="H2363" i="3" s="1"/>
  <c r="H2364" i="3" a="1"/>
  <c r="H2364" i="3" s="1"/>
  <c r="H2365" i="3" a="1"/>
  <c r="H2365" i="3" s="1"/>
  <c r="H2366" i="3" a="1"/>
  <c r="H2366" i="3" s="1"/>
  <c r="H2367" i="3" a="1"/>
  <c r="H2367" i="3" s="1"/>
  <c r="H2368" i="3" a="1"/>
  <c r="H2368" i="3" s="1"/>
  <c r="H2369" i="3" a="1"/>
  <c r="H2369" i="3" s="1"/>
  <c r="H2370" i="3" a="1"/>
  <c r="H2370" i="3" s="1"/>
  <c r="H2371" i="3" a="1"/>
  <c r="H2371" i="3" s="1"/>
  <c r="H2372" i="3" a="1"/>
  <c r="H2372" i="3" s="1"/>
  <c r="H2373" i="3" a="1"/>
  <c r="H2373" i="3" s="1"/>
  <c r="H2374" i="3" a="1"/>
  <c r="H2374" i="3" s="1"/>
  <c r="H2375" i="3" a="1"/>
  <c r="H2375" i="3" s="1"/>
  <c r="H2376" i="3" a="1"/>
  <c r="H2376" i="3" s="1"/>
  <c r="H2377" i="3" a="1"/>
  <c r="H2377" i="3" s="1"/>
  <c r="H2378" i="3" a="1"/>
  <c r="H2378" i="3" s="1"/>
  <c r="H2379" i="3" a="1"/>
  <c r="H2379" i="3" s="1"/>
  <c r="H2380" i="3" a="1"/>
  <c r="H2380" i="3" s="1"/>
  <c r="H2381" i="3" a="1"/>
  <c r="H2381" i="3" s="1"/>
  <c r="H2382" i="3" a="1"/>
  <c r="H2382" i="3" s="1"/>
  <c r="H2383" i="3" a="1"/>
  <c r="H2383" i="3" s="1"/>
  <c r="H2384" i="3" a="1"/>
  <c r="H2384" i="3" s="1"/>
  <c r="H2385" i="3" a="1"/>
  <c r="H2385" i="3" s="1"/>
  <c r="H2386" i="3" a="1"/>
  <c r="H2386" i="3" s="1"/>
  <c r="H2387" i="3" a="1"/>
  <c r="H2387" i="3" s="1"/>
  <c r="H2388" i="3" a="1"/>
  <c r="H2388" i="3" s="1"/>
  <c r="H2389" i="3" a="1"/>
  <c r="H2389" i="3" s="1"/>
  <c r="H2390" i="3" a="1"/>
  <c r="H2390" i="3" s="1"/>
  <c r="H2391" i="3" a="1"/>
  <c r="H2391" i="3" s="1"/>
  <c r="H2392" i="3" a="1"/>
  <c r="H2392" i="3" s="1"/>
  <c r="H2393" i="3" a="1"/>
  <c r="H2393" i="3" s="1"/>
  <c r="H2394" i="3" a="1"/>
  <c r="H2394" i="3" s="1"/>
  <c r="H2395" i="3" a="1"/>
  <c r="H2395" i="3" s="1"/>
  <c r="H2396" i="3" a="1"/>
  <c r="H2396" i="3" s="1"/>
  <c r="H2397" i="3" a="1"/>
  <c r="H2397" i="3" s="1"/>
  <c r="H2398" i="3" a="1"/>
  <c r="H2398" i="3" s="1"/>
  <c r="H2399" i="3" a="1"/>
  <c r="H2399" i="3" s="1"/>
  <c r="H2400" i="3" a="1"/>
  <c r="H2400" i="3" s="1"/>
  <c r="H2401" i="3" a="1"/>
  <c r="H2401" i="3" s="1"/>
  <c r="H2402" i="3" a="1"/>
  <c r="H2402" i="3" s="1"/>
  <c r="H2403" i="3" a="1"/>
  <c r="H2403" i="3" s="1"/>
  <c r="H2404" i="3" a="1"/>
  <c r="H2404" i="3" s="1"/>
  <c r="H2405" i="3" a="1"/>
  <c r="H2405" i="3" s="1"/>
  <c r="H2406" i="3" a="1"/>
  <c r="H2406" i="3" s="1"/>
  <c r="H2407" i="3" a="1"/>
  <c r="H2407" i="3" s="1"/>
  <c r="H2408" i="3" a="1"/>
  <c r="H2408" i="3" s="1"/>
  <c r="H2409" i="3" a="1"/>
  <c r="H2409" i="3" s="1"/>
  <c r="H2410" i="3" a="1"/>
  <c r="H2410" i="3" s="1"/>
  <c r="H2411" i="3" a="1"/>
  <c r="H2411" i="3" s="1"/>
  <c r="H2412" i="3" a="1"/>
  <c r="H2412" i="3" s="1"/>
  <c r="H2413" i="3" a="1"/>
  <c r="H2413" i="3" s="1"/>
  <c r="H2414" i="3" a="1"/>
  <c r="H2414" i="3" s="1"/>
  <c r="H2415" i="3" a="1"/>
  <c r="H2415" i="3" s="1"/>
  <c r="H2416" i="3" a="1"/>
  <c r="H2416" i="3" s="1"/>
  <c r="H2417" i="3" a="1"/>
  <c r="H2417" i="3" s="1"/>
  <c r="H2418" i="3" a="1"/>
  <c r="H2418" i="3" s="1"/>
  <c r="H2419" i="3" a="1"/>
  <c r="H2419" i="3" s="1"/>
  <c r="H2420" i="3" a="1"/>
  <c r="H2420" i="3" s="1"/>
  <c r="H2421" i="3" a="1"/>
  <c r="H2421" i="3" s="1"/>
  <c r="H2422" i="3" a="1"/>
  <c r="H2422" i="3" s="1"/>
  <c r="H2423" i="3" a="1"/>
  <c r="H2423" i="3" s="1"/>
  <c r="H2424" i="3" a="1"/>
  <c r="H2424" i="3" s="1"/>
  <c r="H2425" i="3" a="1"/>
  <c r="H2425" i="3" s="1"/>
  <c r="H2426" i="3" a="1"/>
  <c r="H2426" i="3" s="1"/>
  <c r="H2427" i="3" a="1"/>
  <c r="H2427" i="3" s="1"/>
  <c r="H2428" i="3" a="1"/>
  <c r="H2428" i="3" s="1"/>
  <c r="H2429" i="3" a="1"/>
  <c r="H2429" i="3" s="1"/>
  <c r="H2430" i="3" a="1"/>
  <c r="H2430" i="3" s="1"/>
  <c r="H2431" i="3" a="1"/>
  <c r="H2431" i="3" s="1"/>
  <c r="H2432" i="3" a="1"/>
  <c r="H2432" i="3" s="1"/>
  <c r="H2433" i="3" a="1"/>
  <c r="H2433" i="3" s="1"/>
  <c r="H2434" i="3" a="1"/>
  <c r="H2434" i="3" s="1"/>
  <c r="H2435" i="3" a="1"/>
  <c r="H2435" i="3" s="1"/>
  <c r="H2436" i="3" a="1"/>
  <c r="H2436" i="3" s="1"/>
  <c r="H2437" i="3" a="1"/>
  <c r="H2437" i="3" s="1"/>
  <c r="H2438" i="3" a="1"/>
  <c r="H2438" i="3" s="1"/>
  <c r="H2439" i="3" a="1"/>
  <c r="H2439" i="3" s="1"/>
  <c r="H2440" i="3" a="1"/>
  <c r="H2440" i="3" s="1"/>
  <c r="H2441" i="3" a="1"/>
  <c r="H2441" i="3" s="1"/>
  <c r="H2442" i="3" a="1"/>
  <c r="H2442" i="3" s="1"/>
  <c r="H2443" i="3" a="1"/>
  <c r="H2443" i="3" s="1"/>
  <c r="H2444" i="3" a="1"/>
  <c r="H2444" i="3" s="1"/>
  <c r="H2445" i="3" a="1"/>
  <c r="H2445" i="3" s="1"/>
  <c r="H2446" i="3" a="1"/>
  <c r="H2446" i="3" s="1"/>
  <c r="H2447" i="3" a="1"/>
  <c r="H2447" i="3" s="1"/>
  <c r="H2448" i="3" a="1"/>
  <c r="H2448" i="3" s="1"/>
  <c r="H2449" i="3" a="1"/>
  <c r="H2449" i="3" s="1"/>
  <c r="H2450" i="3" a="1"/>
  <c r="H2450" i="3" s="1"/>
  <c r="H2451" i="3" a="1"/>
  <c r="H2451" i="3" s="1"/>
  <c r="H2452" i="3" a="1"/>
  <c r="H2452" i="3" s="1"/>
  <c r="H2453" i="3" a="1"/>
  <c r="H2453" i="3" s="1"/>
  <c r="H2454" i="3" a="1"/>
  <c r="H2454" i="3" s="1"/>
  <c r="H2455" i="3" a="1"/>
  <c r="H2455" i="3" s="1"/>
  <c r="H2456" i="3" a="1"/>
  <c r="H2456" i="3" s="1"/>
  <c r="H2457" i="3" a="1"/>
  <c r="H2457" i="3" s="1"/>
  <c r="H2458" i="3" a="1"/>
  <c r="H2458" i="3" s="1"/>
  <c r="H2459" i="3" a="1"/>
  <c r="H2459" i="3" s="1"/>
  <c r="H2460" i="3" a="1"/>
  <c r="H2460" i="3" s="1"/>
  <c r="H2461" i="3" a="1"/>
  <c r="H2461" i="3" s="1"/>
  <c r="H2462" i="3" a="1"/>
  <c r="H2462" i="3" s="1"/>
  <c r="H2463" i="3" a="1"/>
  <c r="H2463" i="3" s="1"/>
  <c r="H2464" i="3" a="1"/>
  <c r="H2464" i="3" s="1"/>
  <c r="H2465" i="3" a="1"/>
  <c r="H2465" i="3" s="1"/>
  <c r="H2466" i="3" a="1"/>
  <c r="H2466" i="3" s="1"/>
  <c r="H2467" i="3" a="1"/>
  <c r="H2467" i="3" s="1"/>
  <c r="H2468" i="3" a="1"/>
  <c r="H2468" i="3" s="1"/>
  <c r="H2469" i="3" a="1"/>
  <c r="H2469" i="3" s="1"/>
  <c r="H2470" i="3" a="1"/>
  <c r="H2470" i="3" s="1"/>
  <c r="H2471" i="3" a="1"/>
  <c r="H2471" i="3" s="1"/>
  <c r="H2472" i="3" a="1"/>
  <c r="H2472" i="3" s="1"/>
  <c r="H2473" i="3" a="1"/>
  <c r="H2473" i="3" s="1"/>
  <c r="H2474" i="3" a="1"/>
  <c r="H2474" i="3" s="1"/>
  <c r="H2475" i="3" a="1"/>
  <c r="H2475" i="3" s="1"/>
  <c r="H2476" i="3" a="1"/>
  <c r="H2476" i="3" s="1"/>
  <c r="H2477" i="3" a="1"/>
  <c r="H2477" i="3" s="1"/>
  <c r="H2478" i="3" a="1"/>
  <c r="H2478" i="3" s="1"/>
  <c r="H2479" i="3" a="1"/>
  <c r="H2479" i="3" s="1"/>
  <c r="H2480" i="3" a="1"/>
  <c r="H2480" i="3" s="1"/>
  <c r="H2481" i="3" a="1"/>
  <c r="H2481" i="3" s="1"/>
  <c r="H2482" i="3" a="1"/>
  <c r="H2482" i="3" s="1"/>
  <c r="H2483" i="3" a="1"/>
  <c r="H2483" i="3" s="1"/>
  <c r="H2484" i="3" a="1"/>
  <c r="H2484" i="3" s="1"/>
  <c r="H2485" i="3" a="1"/>
  <c r="H2485" i="3" s="1"/>
  <c r="H2486" i="3" a="1"/>
  <c r="H2486" i="3" s="1"/>
  <c r="H2487" i="3" a="1"/>
  <c r="H2487" i="3" s="1"/>
  <c r="H2488" i="3" a="1"/>
  <c r="H2488" i="3" s="1"/>
  <c r="H2489" i="3" a="1"/>
  <c r="H2489" i="3" s="1"/>
  <c r="H2490" i="3" a="1"/>
  <c r="H2490" i="3" s="1"/>
  <c r="H2491" i="3" a="1"/>
  <c r="H2491" i="3" s="1"/>
  <c r="H2492" i="3" a="1"/>
  <c r="H2492" i="3" s="1"/>
  <c r="H2493" i="3" a="1"/>
  <c r="H2493" i="3" s="1"/>
  <c r="H2494" i="3" a="1"/>
  <c r="H2494" i="3" s="1"/>
  <c r="H2495" i="3" a="1"/>
  <c r="H2495" i="3" s="1"/>
  <c r="H2496" i="3" a="1"/>
  <c r="H2496" i="3" s="1"/>
  <c r="H2497" i="3" a="1"/>
  <c r="H2497" i="3" s="1"/>
  <c r="H2498" i="3" a="1"/>
  <c r="H2498" i="3" s="1"/>
  <c r="H2499" i="3" a="1"/>
  <c r="H2499" i="3" s="1"/>
  <c r="H2500" i="3" a="1"/>
  <c r="H2500" i="3" s="1"/>
  <c r="H2501" i="3" a="1"/>
  <c r="H2501" i="3" s="1"/>
  <c r="H2502" i="3" a="1"/>
  <c r="H2502" i="3" s="1"/>
  <c r="H2503" i="3" a="1"/>
  <c r="H2503" i="3" s="1"/>
  <c r="H2504" i="3" a="1"/>
  <c r="H2504" i="3" s="1"/>
  <c r="H2505" i="3" a="1"/>
  <c r="H2505" i="3" s="1"/>
  <c r="H2506" i="3" a="1"/>
  <c r="H2506" i="3" s="1"/>
  <c r="H2507" i="3" a="1"/>
  <c r="H2507" i="3" s="1"/>
  <c r="H2508" i="3" a="1"/>
  <c r="H2508" i="3" s="1"/>
  <c r="H2509" i="3" a="1"/>
  <c r="H2509" i="3" s="1"/>
  <c r="H2510" i="3" a="1"/>
  <c r="H2510" i="3" s="1"/>
  <c r="H2511" i="3" a="1"/>
  <c r="H2511" i="3" s="1"/>
  <c r="H2512" i="3" a="1"/>
  <c r="H2512" i="3" s="1"/>
  <c r="H2513" i="3" a="1"/>
  <c r="H2513" i="3" s="1"/>
  <c r="H2514" i="3" a="1"/>
  <c r="H2514" i="3" s="1"/>
  <c r="H2515" i="3" a="1"/>
  <c r="H2515" i="3" s="1"/>
  <c r="H2516" i="3" a="1"/>
  <c r="H2516" i="3" s="1"/>
  <c r="H2517" i="3" a="1"/>
  <c r="H2517" i="3" s="1"/>
  <c r="H2518" i="3" a="1"/>
  <c r="H2518" i="3" s="1"/>
  <c r="H2519" i="3" a="1"/>
  <c r="H2519" i="3" s="1"/>
  <c r="H2520" i="3" a="1"/>
  <c r="H2520" i="3" s="1"/>
  <c r="H2521" i="3" a="1"/>
  <c r="H2521" i="3" s="1"/>
  <c r="H2522" i="3" a="1"/>
  <c r="H2522" i="3" s="1"/>
  <c r="H2523" i="3" a="1"/>
  <c r="H2523" i="3" s="1"/>
  <c r="H2524" i="3" a="1"/>
  <c r="H2524" i="3" s="1"/>
  <c r="H2525" i="3" a="1"/>
  <c r="H2525" i="3" s="1"/>
  <c r="H2526" i="3" a="1"/>
  <c r="H2526" i="3" s="1"/>
  <c r="H2527" i="3" a="1"/>
  <c r="H2527" i="3" s="1"/>
  <c r="H2528" i="3" a="1"/>
  <c r="H2528" i="3" s="1"/>
  <c r="H2529" i="3" a="1"/>
  <c r="H2529" i="3" s="1"/>
  <c r="H2530" i="3" a="1"/>
  <c r="H2530" i="3" s="1"/>
  <c r="H2531" i="3" a="1"/>
  <c r="H2531" i="3" s="1"/>
  <c r="H2532" i="3" a="1"/>
  <c r="H2532" i="3" s="1"/>
  <c r="H2533" i="3" a="1"/>
  <c r="H2533" i="3" s="1"/>
  <c r="H2534" i="3" a="1"/>
  <c r="H2534" i="3" s="1"/>
  <c r="H2535" i="3" a="1"/>
  <c r="H2535" i="3" s="1"/>
  <c r="H2536" i="3" a="1"/>
  <c r="H2536" i="3" s="1"/>
  <c r="H2537" i="3" a="1"/>
  <c r="H2537" i="3" s="1"/>
  <c r="H2538" i="3" a="1"/>
  <c r="H2538" i="3" s="1"/>
  <c r="H2539" i="3" a="1"/>
  <c r="H2539" i="3" s="1"/>
  <c r="H2540" i="3" a="1"/>
  <c r="H2540" i="3" s="1"/>
  <c r="H2541" i="3" a="1"/>
  <c r="H2541" i="3" s="1"/>
  <c r="H2542" i="3" a="1"/>
  <c r="H2542" i="3" s="1"/>
  <c r="H2543" i="3" a="1"/>
  <c r="H2543" i="3" s="1"/>
  <c r="H2544" i="3" a="1"/>
  <c r="H2544" i="3" s="1"/>
  <c r="H2545" i="3" a="1"/>
  <c r="H2545" i="3" s="1"/>
  <c r="H2546" i="3" a="1"/>
  <c r="H2546" i="3" s="1"/>
  <c r="H2547" i="3" a="1"/>
  <c r="H2547" i="3" s="1"/>
  <c r="H2548" i="3" a="1"/>
  <c r="H2548" i="3" s="1"/>
  <c r="H2549" i="3" a="1"/>
  <c r="H2549" i="3" s="1"/>
  <c r="H2550" i="3" a="1"/>
  <c r="H2550" i="3" s="1"/>
  <c r="H2551" i="3" a="1"/>
  <c r="H2551" i="3" s="1"/>
  <c r="H2552" i="3" a="1"/>
  <c r="H2552" i="3" s="1"/>
  <c r="H2553" i="3" a="1"/>
  <c r="H2553" i="3" s="1"/>
  <c r="H2554" i="3" a="1"/>
  <c r="H2554" i="3" s="1"/>
  <c r="H2555" i="3" a="1"/>
  <c r="H2555" i="3" s="1"/>
  <c r="H2556" i="3" a="1"/>
  <c r="H2556" i="3" s="1"/>
  <c r="H2557" i="3" a="1"/>
  <c r="H2557" i="3" s="1"/>
  <c r="H2558" i="3" a="1"/>
  <c r="H2558" i="3" s="1"/>
  <c r="H2559" i="3" a="1"/>
  <c r="H2559" i="3" s="1"/>
  <c r="H2560" i="3" a="1"/>
  <c r="H2560" i="3" s="1"/>
  <c r="H2561" i="3" a="1"/>
  <c r="H2561" i="3" s="1"/>
  <c r="H2562" i="3" a="1"/>
  <c r="H2562" i="3" s="1"/>
  <c r="H2563" i="3" a="1"/>
  <c r="H2563" i="3" s="1"/>
  <c r="H2564" i="3" a="1"/>
  <c r="H2564" i="3" s="1"/>
  <c r="H2565" i="3" a="1"/>
  <c r="H2565" i="3" s="1"/>
  <c r="H2566" i="3" a="1"/>
  <c r="H2566" i="3" s="1"/>
  <c r="H2567" i="3" a="1"/>
  <c r="H2567" i="3" s="1"/>
  <c r="H2568" i="3" a="1"/>
  <c r="H2568" i="3" s="1"/>
  <c r="H2569" i="3" a="1"/>
  <c r="H2569" i="3" s="1"/>
  <c r="H2570" i="3" a="1"/>
  <c r="H2570" i="3" s="1"/>
  <c r="H2571" i="3" a="1"/>
  <c r="H2571" i="3" s="1"/>
  <c r="H2572" i="3" a="1"/>
  <c r="H2572" i="3" s="1"/>
  <c r="H2573" i="3" a="1"/>
  <c r="H2573" i="3" s="1"/>
  <c r="H2574" i="3" a="1"/>
  <c r="H2574" i="3" s="1"/>
  <c r="H2575" i="3" a="1"/>
  <c r="H2575" i="3" s="1"/>
  <c r="H2576" i="3" a="1"/>
  <c r="H2576" i="3" s="1"/>
  <c r="H2577" i="3" a="1"/>
  <c r="H2577" i="3" s="1"/>
  <c r="H2578" i="3" a="1"/>
  <c r="H2578" i="3" s="1"/>
  <c r="H2579" i="3" a="1"/>
  <c r="H2579" i="3" s="1"/>
  <c r="H2580" i="3" a="1"/>
  <c r="H2580" i="3" s="1"/>
  <c r="H2581" i="3" a="1"/>
  <c r="H2581" i="3" s="1"/>
  <c r="H2582" i="3" a="1"/>
  <c r="H2582" i="3" s="1"/>
  <c r="H2583" i="3" a="1"/>
  <c r="H2583" i="3" s="1"/>
  <c r="H2584" i="3" a="1"/>
  <c r="H2584" i="3" s="1"/>
  <c r="H2585" i="3" a="1"/>
  <c r="H2585" i="3" s="1"/>
  <c r="H2586" i="3" a="1"/>
  <c r="H2586" i="3" s="1"/>
  <c r="H2587" i="3" a="1"/>
  <c r="H2587" i="3" s="1"/>
  <c r="H2588" i="3" a="1"/>
  <c r="H2588" i="3" s="1"/>
  <c r="H2589" i="3" a="1"/>
  <c r="H2589" i="3" s="1"/>
  <c r="H2590" i="3" a="1"/>
  <c r="H2590" i="3" s="1"/>
  <c r="H2591" i="3" a="1"/>
  <c r="H2591" i="3" s="1"/>
  <c r="H2592" i="3" a="1"/>
  <c r="H2592" i="3" s="1"/>
  <c r="H2593" i="3" a="1"/>
  <c r="H2593" i="3" s="1"/>
  <c r="H2594" i="3" a="1"/>
  <c r="H2594" i="3" s="1"/>
  <c r="H2595" i="3" a="1"/>
  <c r="H2595" i="3" s="1"/>
  <c r="H2596" i="3" a="1"/>
  <c r="H2596" i="3" s="1"/>
  <c r="H2597" i="3" a="1"/>
  <c r="H2597" i="3" s="1"/>
  <c r="H2598" i="3" a="1"/>
  <c r="H2598" i="3" s="1"/>
  <c r="H2599" i="3" a="1"/>
  <c r="H2599" i="3" s="1"/>
  <c r="H2600" i="3" a="1"/>
  <c r="H2600" i="3" s="1"/>
  <c r="H2601" i="3" a="1"/>
  <c r="H2601" i="3" s="1"/>
  <c r="H2602" i="3" a="1"/>
  <c r="H2602" i="3" s="1"/>
  <c r="H2603" i="3" a="1"/>
  <c r="H2603" i="3" s="1"/>
  <c r="H2604" i="3" a="1"/>
  <c r="H2604" i="3" s="1"/>
  <c r="H2605" i="3" a="1"/>
  <c r="H2605" i="3" s="1"/>
  <c r="H2606" i="3" a="1"/>
  <c r="H2606" i="3" s="1"/>
  <c r="H2607" i="3" a="1"/>
  <c r="H2607" i="3" s="1"/>
  <c r="H2608" i="3" a="1"/>
  <c r="H2608" i="3" s="1"/>
  <c r="H2609" i="3" a="1"/>
  <c r="H2609" i="3" s="1"/>
  <c r="H2610" i="3" a="1"/>
  <c r="H2610" i="3" s="1"/>
  <c r="H2611" i="3" a="1"/>
  <c r="H2611" i="3" s="1"/>
  <c r="H2612" i="3" a="1"/>
  <c r="H2612" i="3" s="1"/>
  <c r="H2613" i="3" a="1"/>
  <c r="H2613" i="3" s="1"/>
  <c r="H2614" i="3" a="1"/>
  <c r="H2614" i="3" s="1"/>
  <c r="H2615" i="3" a="1"/>
  <c r="H2615" i="3" s="1"/>
  <c r="H2616" i="3" a="1"/>
  <c r="H2616" i="3" s="1"/>
  <c r="H2617" i="3" a="1"/>
  <c r="H2617" i="3" s="1"/>
  <c r="H2618" i="3" a="1"/>
  <c r="H2618" i="3" s="1"/>
  <c r="H2619" i="3" a="1"/>
  <c r="H2619" i="3" s="1"/>
  <c r="H2620" i="3" a="1"/>
  <c r="H2620" i="3" s="1"/>
  <c r="H2621" i="3" a="1"/>
  <c r="H2621" i="3" s="1"/>
  <c r="H2622" i="3" a="1"/>
  <c r="H2622" i="3" s="1"/>
  <c r="H2623" i="3" a="1"/>
  <c r="H2623" i="3" s="1"/>
  <c r="H2624" i="3" a="1"/>
  <c r="H2624" i="3" s="1"/>
  <c r="H2625" i="3" a="1"/>
  <c r="H2625" i="3" s="1"/>
  <c r="H2626" i="3" a="1"/>
  <c r="H2626" i="3" s="1"/>
  <c r="H2627" i="3" a="1"/>
  <c r="H2627" i="3" s="1"/>
  <c r="H2628" i="3" a="1"/>
  <c r="H2628" i="3" s="1"/>
  <c r="H2629" i="3" a="1"/>
  <c r="H2629" i="3" s="1"/>
  <c r="H2630" i="3" a="1"/>
  <c r="H2630" i="3" s="1"/>
  <c r="H2631" i="3" a="1"/>
  <c r="H2631" i="3" s="1"/>
  <c r="H2632" i="3" a="1"/>
  <c r="H2632" i="3" s="1"/>
  <c r="H2633" i="3" a="1"/>
  <c r="H2633" i="3" s="1"/>
  <c r="H2634" i="3" a="1"/>
  <c r="H2634" i="3" s="1"/>
  <c r="H2635" i="3" a="1"/>
  <c r="H2635" i="3" s="1"/>
  <c r="H2636" i="3" a="1"/>
  <c r="H2636" i="3" s="1"/>
  <c r="H2637" i="3" a="1"/>
  <c r="H2637" i="3" s="1"/>
  <c r="H2638" i="3" a="1"/>
  <c r="H2638" i="3" s="1"/>
  <c r="H2639" i="3" a="1"/>
  <c r="H2639" i="3" s="1"/>
  <c r="H2640" i="3" a="1"/>
  <c r="H2640" i="3" s="1"/>
  <c r="H2641" i="3" a="1"/>
  <c r="H2641" i="3" s="1"/>
  <c r="H2642" i="3" a="1"/>
  <c r="H2642" i="3" s="1"/>
  <c r="H2643" i="3" a="1"/>
  <c r="H2643" i="3" s="1"/>
  <c r="H2644" i="3" a="1"/>
  <c r="H2644" i="3" s="1"/>
  <c r="H2645" i="3" a="1"/>
  <c r="H2645" i="3" s="1"/>
  <c r="H2646" i="3" a="1"/>
  <c r="H2646" i="3" s="1"/>
  <c r="H2647" i="3" a="1"/>
  <c r="H2647" i="3" s="1"/>
  <c r="H2648" i="3" a="1"/>
  <c r="H2648" i="3" s="1"/>
  <c r="H2649" i="3" a="1"/>
  <c r="H2649" i="3" s="1"/>
  <c r="H2650" i="3" a="1"/>
  <c r="H2650" i="3" s="1"/>
  <c r="H2651" i="3" a="1"/>
  <c r="H2651" i="3" s="1"/>
  <c r="H2652" i="3" a="1"/>
  <c r="H2652" i="3" s="1"/>
  <c r="H2653" i="3" a="1"/>
  <c r="H2653" i="3" s="1"/>
  <c r="H2654" i="3" a="1"/>
  <c r="H2654" i="3" s="1"/>
  <c r="H2655" i="3" a="1"/>
  <c r="H2655" i="3" s="1"/>
  <c r="H2656" i="3" a="1"/>
  <c r="H2656" i="3" s="1"/>
  <c r="H2657" i="3" a="1"/>
  <c r="H2657" i="3" s="1"/>
  <c r="H2658" i="3" a="1"/>
  <c r="H2658" i="3" s="1"/>
  <c r="H2659" i="3" a="1"/>
  <c r="H2659" i="3" s="1"/>
  <c r="H2660" i="3" a="1"/>
  <c r="H2660" i="3" s="1"/>
  <c r="H2661" i="3" a="1"/>
  <c r="H2661" i="3" s="1"/>
  <c r="H2662" i="3" a="1"/>
  <c r="H2662" i="3" s="1"/>
  <c r="H2663" i="3" a="1"/>
  <c r="H2663" i="3" s="1"/>
  <c r="H2664" i="3" a="1"/>
  <c r="H2664" i="3" s="1"/>
  <c r="H2665" i="3" a="1"/>
  <c r="H2665" i="3" s="1"/>
  <c r="H2666" i="3" a="1"/>
  <c r="H2666" i="3" s="1"/>
  <c r="H2667" i="3" a="1"/>
  <c r="H2667" i="3" s="1"/>
  <c r="H2668" i="3" a="1"/>
  <c r="H2668" i="3" s="1"/>
  <c r="H2669" i="3" a="1"/>
  <c r="H2669" i="3" s="1"/>
  <c r="H2670" i="3" a="1"/>
  <c r="H2670" i="3" s="1"/>
  <c r="H2671" i="3" a="1"/>
  <c r="H2671" i="3" s="1"/>
  <c r="H2672" i="3" a="1"/>
  <c r="H2672" i="3" s="1"/>
  <c r="H2673" i="3" a="1"/>
  <c r="H2673" i="3" s="1"/>
  <c r="H2674" i="3" a="1"/>
  <c r="H2674" i="3" s="1"/>
  <c r="H2675" i="3" a="1"/>
  <c r="H2675" i="3" s="1"/>
  <c r="H2676" i="3" a="1"/>
  <c r="H2676" i="3" s="1"/>
  <c r="H2677" i="3" a="1"/>
  <c r="H2677" i="3" s="1"/>
  <c r="H2678" i="3" a="1"/>
  <c r="H2678" i="3" s="1"/>
  <c r="H2679" i="3" a="1"/>
  <c r="H2679" i="3" s="1"/>
  <c r="H2680" i="3" a="1"/>
  <c r="H2680" i="3" s="1"/>
  <c r="H2681" i="3" a="1"/>
  <c r="H2681" i="3" s="1"/>
  <c r="H2682" i="3" a="1"/>
  <c r="H2682" i="3" s="1"/>
  <c r="H2683" i="3" a="1"/>
  <c r="H2683" i="3" s="1"/>
  <c r="H2684" i="3" a="1"/>
  <c r="H2684" i="3" s="1"/>
  <c r="H2685" i="3" a="1"/>
  <c r="H2685" i="3" s="1"/>
  <c r="H2686" i="3" a="1"/>
  <c r="H2686" i="3" s="1"/>
  <c r="H2687" i="3" a="1"/>
  <c r="H2687" i="3" s="1"/>
  <c r="H2688" i="3" a="1"/>
  <c r="H2688" i="3" s="1"/>
  <c r="H2689" i="3" a="1"/>
  <c r="H2689" i="3" s="1"/>
  <c r="H2690" i="3" a="1"/>
  <c r="H2690" i="3" s="1"/>
  <c r="H2691" i="3" a="1"/>
  <c r="H2691" i="3" s="1"/>
  <c r="H2692" i="3" a="1"/>
  <c r="H2692" i="3" s="1"/>
  <c r="H2693" i="3" a="1"/>
  <c r="H2693" i="3" s="1"/>
  <c r="H2694" i="3" a="1"/>
  <c r="H2694" i="3" s="1"/>
  <c r="H2695" i="3" a="1"/>
  <c r="H2695" i="3" s="1"/>
  <c r="H2696" i="3" a="1"/>
  <c r="H2696" i="3" s="1"/>
  <c r="H2697" i="3" a="1"/>
  <c r="H2697" i="3" s="1"/>
  <c r="H2698" i="3" a="1"/>
  <c r="H2698" i="3" s="1"/>
  <c r="H2699" i="3" a="1"/>
  <c r="H2699" i="3" s="1"/>
  <c r="H2700" i="3" a="1"/>
  <c r="H2700" i="3" s="1"/>
  <c r="H2701" i="3" a="1"/>
  <c r="H2701" i="3" s="1"/>
  <c r="H2702" i="3" a="1"/>
  <c r="H2702" i="3" s="1"/>
  <c r="H2703" i="3" a="1"/>
  <c r="H2703" i="3" s="1"/>
  <c r="H2704" i="3" a="1"/>
  <c r="H2704" i="3" s="1"/>
  <c r="H2705" i="3" a="1"/>
  <c r="H2705" i="3" s="1"/>
  <c r="H2706" i="3" a="1"/>
  <c r="H2706" i="3" s="1"/>
  <c r="H2707" i="3" a="1"/>
  <c r="H2707" i="3" s="1"/>
  <c r="H2708" i="3" a="1"/>
  <c r="H2708" i="3" s="1"/>
  <c r="H2709" i="3" a="1"/>
  <c r="H2709" i="3" s="1"/>
  <c r="H2710" i="3" a="1"/>
  <c r="H2710" i="3" s="1"/>
  <c r="H2711" i="3" a="1"/>
  <c r="H2711" i="3" s="1"/>
  <c r="H2712" i="3" a="1"/>
  <c r="H2712" i="3" s="1"/>
  <c r="H2713" i="3" a="1"/>
  <c r="H2713" i="3" s="1"/>
  <c r="H2714" i="3" a="1"/>
  <c r="H2714" i="3" s="1"/>
  <c r="H2715" i="3" a="1"/>
  <c r="H2715" i="3" s="1"/>
  <c r="H2716" i="3" a="1"/>
  <c r="H2716" i="3" s="1"/>
  <c r="H2717" i="3" a="1"/>
  <c r="H2717" i="3" s="1"/>
  <c r="H2718" i="3" a="1"/>
  <c r="H2718" i="3" s="1"/>
  <c r="H2719" i="3" a="1"/>
  <c r="H2719" i="3" s="1"/>
  <c r="H2720" i="3" a="1"/>
  <c r="H2720" i="3" s="1"/>
  <c r="H2721" i="3" a="1"/>
  <c r="H2721" i="3" s="1"/>
  <c r="H2722" i="3" a="1"/>
  <c r="H2722" i="3" s="1"/>
  <c r="H2723" i="3" a="1"/>
  <c r="H2723" i="3" s="1"/>
  <c r="H2724" i="3" a="1"/>
  <c r="H2724" i="3" s="1"/>
  <c r="H2725" i="3" a="1"/>
  <c r="H2725" i="3" s="1"/>
  <c r="H2726" i="3" a="1"/>
  <c r="H2726" i="3" s="1"/>
  <c r="H2727" i="3" a="1"/>
  <c r="H2727" i="3" s="1"/>
  <c r="H2728" i="3" a="1"/>
  <c r="H2728" i="3" s="1"/>
  <c r="H2729" i="3" a="1"/>
  <c r="H2729" i="3" s="1"/>
  <c r="H2730" i="3" a="1"/>
  <c r="H2730" i="3" s="1"/>
  <c r="H2731" i="3" a="1"/>
  <c r="H2731" i="3" s="1"/>
  <c r="H2732" i="3" a="1"/>
  <c r="H2732" i="3" s="1"/>
  <c r="H2733" i="3" a="1"/>
  <c r="H2733" i="3" s="1"/>
  <c r="H2734" i="3" a="1"/>
  <c r="H2734" i="3" s="1"/>
  <c r="H2735" i="3" a="1"/>
  <c r="H2735" i="3" s="1"/>
  <c r="H2736" i="3" a="1"/>
  <c r="H2736" i="3" s="1"/>
  <c r="H2737" i="3" a="1"/>
  <c r="H2737" i="3" s="1"/>
  <c r="H2738" i="3" a="1"/>
  <c r="H2738" i="3" s="1"/>
  <c r="H2739" i="3" a="1"/>
  <c r="H2739" i="3" s="1"/>
  <c r="H2740" i="3" a="1"/>
  <c r="H2740" i="3" s="1"/>
  <c r="H2741" i="3" a="1"/>
  <c r="H2741" i="3" s="1"/>
  <c r="H2742" i="3" a="1"/>
  <c r="H2742" i="3" s="1"/>
  <c r="H2743" i="3" a="1"/>
  <c r="H2743" i="3" s="1"/>
  <c r="H2744" i="3" a="1"/>
  <c r="H2744" i="3" s="1"/>
  <c r="H2745" i="3" a="1"/>
  <c r="H2745" i="3" s="1"/>
  <c r="H2746" i="3" a="1"/>
  <c r="H2746" i="3" s="1"/>
  <c r="H2747" i="3" a="1"/>
  <c r="H2747" i="3" s="1"/>
  <c r="H2748" i="3" a="1"/>
  <c r="H2748" i="3" s="1"/>
  <c r="H2749" i="3" a="1"/>
  <c r="H2749" i="3" s="1"/>
  <c r="H2750" i="3" a="1"/>
  <c r="H2750" i="3" s="1"/>
  <c r="H2751" i="3" a="1"/>
  <c r="H2751" i="3" s="1"/>
  <c r="H2752" i="3" a="1"/>
  <c r="H2752" i="3" s="1"/>
  <c r="H2753" i="3" a="1"/>
  <c r="H2753" i="3" s="1"/>
  <c r="H2754" i="3" a="1"/>
  <c r="H2754" i="3" s="1"/>
  <c r="H2755" i="3" a="1"/>
  <c r="H2755" i="3" s="1"/>
  <c r="H2756" i="3" a="1"/>
  <c r="H2756" i="3" s="1"/>
  <c r="H2757" i="3" a="1"/>
  <c r="H2757" i="3" s="1"/>
  <c r="H2758" i="3" a="1"/>
  <c r="H2758" i="3" s="1"/>
  <c r="H2759" i="3" a="1"/>
  <c r="H2759" i="3" s="1"/>
  <c r="H2760" i="3" a="1"/>
  <c r="H2760" i="3" s="1"/>
  <c r="H2761" i="3" a="1"/>
  <c r="H2761" i="3" s="1"/>
  <c r="H2762" i="3" a="1"/>
  <c r="H2762" i="3" s="1"/>
  <c r="H2763" i="3" a="1"/>
  <c r="H2763" i="3" s="1"/>
  <c r="H2764" i="3" a="1"/>
  <c r="H2764" i="3" s="1"/>
  <c r="H2765" i="3" a="1"/>
  <c r="H2765" i="3" s="1"/>
  <c r="H2766" i="3" a="1"/>
  <c r="H2766" i="3" s="1"/>
  <c r="H2767" i="3" a="1"/>
  <c r="H2767" i="3" s="1"/>
  <c r="H2768" i="3" a="1"/>
  <c r="H2768" i="3" s="1"/>
  <c r="H2769" i="3" a="1"/>
  <c r="H2769" i="3" s="1"/>
  <c r="H2770" i="3" a="1"/>
  <c r="H2770" i="3" s="1"/>
  <c r="H2771" i="3" a="1"/>
  <c r="H2771" i="3" s="1"/>
  <c r="H2772" i="3" a="1"/>
  <c r="H2772" i="3" s="1"/>
  <c r="H2773" i="3" a="1"/>
  <c r="H2773" i="3" s="1"/>
  <c r="H2774" i="3" a="1"/>
  <c r="H2774" i="3" s="1"/>
  <c r="H2775" i="3" a="1"/>
  <c r="H2775" i="3" s="1"/>
  <c r="H2776" i="3" a="1"/>
  <c r="H2776" i="3" s="1"/>
  <c r="H2777" i="3" a="1"/>
  <c r="H2777" i="3" s="1"/>
  <c r="H2778" i="3" a="1"/>
  <c r="H2778" i="3" s="1"/>
  <c r="H2779" i="3" a="1"/>
  <c r="H2779" i="3" s="1"/>
  <c r="H2780" i="3" a="1"/>
  <c r="H2780" i="3" s="1"/>
  <c r="H2781" i="3" a="1"/>
  <c r="H2781" i="3" s="1"/>
  <c r="H2782" i="3" a="1"/>
  <c r="H2782" i="3" s="1"/>
  <c r="H2783" i="3" a="1"/>
  <c r="H2783" i="3" s="1"/>
  <c r="H2784" i="3" a="1"/>
  <c r="H2784" i="3" s="1"/>
  <c r="H2785" i="3" a="1"/>
  <c r="H2785" i="3" s="1"/>
  <c r="H2786" i="3" a="1"/>
  <c r="H2786" i="3" s="1"/>
  <c r="H2787" i="3" a="1"/>
  <c r="H2787" i="3" s="1"/>
  <c r="H2788" i="3" a="1"/>
  <c r="H2788" i="3" s="1"/>
  <c r="H2789" i="3" a="1"/>
  <c r="H2789" i="3" s="1"/>
  <c r="H2790" i="3" a="1"/>
  <c r="H2790" i="3" s="1"/>
  <c r="H2791" i="3" a="1"/>
  <c r="H2791" i="3" s="1"/>
  <c r="H2792" i="3" a="1"/>
  <c r="H2792" i="3" s="1"/>
  <c r="H2793" i="3" a="1"/>
  <c r="H2793" i="3" s="1"/>
  <c r="H2794" i="3" a="1"/>
  <c r="H2794" i="3" s="1"/>
  <c r="H2795" i="3" a="1"/>
  <c r="H2795" i="3" s="1"/>
  <c r="H2796" i="3" a="1"/>
  <c r="H2796" i="3" s="1"/>
  <c r="H2797" i="3" a="1"/>
  <c r="H2797" i="3" s="1"/>
  <c r="H2798" i="3" a="1"/>
  <c r="H2798" i="3" s="1"/>
  <c r="H2799" i="3" a="1"/>
  <c r="H2799" i="3" s="1"/>
  <c r="H2800" i="3" a="1"/>
  <c r="H2800" i="3" s="1"/>
  <c r="H2801" i="3" a="1"/>
  <c r="H2801" i="3" s="1"/>
  <c r="H2802" i="3" a="1"/>
  <c r="H2802" i="3" s="1"/>
  <c r="H2803" i="3" a="1"/>
  <c r="H2803" i="3" s="1"/>
  <c r="H2804" i="3" a="1"/>
  <c r="H2804" i="3" s="1"/>
  <c r="H2805" i="3" a="1"/>
  <c r="H2805" i="3" s="1"/>
  <c r="H2806" i="3" a="1"/>
  <c r="H2806" i="3" s="1"/>
  <c r="H2807" i="3" a="1"/>
  <c r="H2807" i="3" s="1"/>
  <c r="H2808" i="3" a="1"/>
  <c r="H2808" i="3" s="1"/>
  <c r="H2809" i="3" a="1"/>
  <c r="H2809" i="3" s="1"/>
  <c r="H2810" i="3" a="1"/>
  <c r="H2810" i="3" s="1"/>
  <c r="H2811" i="3" a="1"/>
  <c r="H2811" i="3" s="1"/>
  <c r="H2812" i="3" a="1"/>
  <c r="H2812" i="3" s="1"/>
  <c r="H2813" i="3" a="1"/>
  <c r="H2813" i="3" s="1"/>
  <c r="H2814" i="3" a="1"/>
  <c r="H2814" i="3" s="1"/>
  <c r="H2815" i="3" a="1"/>
  <c r="H2815" i="3" s="1"/>
  <c r="H2816" i="3" a="1"/>
  <c r="H2816" i="3" s="1"/>
  <c r="H2817" i="3" a="1"/>
  <c r="H2817" i="3" s="1"/>
  <c r="H2818" i="3" a="1"/>
  <c r="H2818" i="3" s="1"/>
  <c r="H2819" i="3" a="1"/>
  <c r="H2819" i="3" s="1"/>
  <c r="H2820" i="3" a="1"/>
  <c r="H2820" i="3" s="1"/>
  <c r="H2821" i="3" a="1"/>
  <c r="H2821" i="3" s="1"/>
  <c r="H2822" i="3" a="1"/>
  <c r="H2822" i="3" s="1"/>
  <c r="H2823" i="3" a="1"/>
  <c r="H2823" i="3" s="1"/>
  <c r="H2824" i="3" a="1"/>
  <c r="H2824" i="3" s="1"/>
  <c r="H2825" i="3" a="1"/>
  <c r="H2825" i="3" s="1"/>
  <c r="H2826" i="3" a="1"/>
  <c r="H2826" i="3" s="1"/>
  <c r="H2827" i="3" a="1"/>
  <c r="H2827" i="3" s="1"/>
  <c r="H2828" i="3" a="1"/>
  <c r="H2828" i="3" s="1"/>
  <c r="H2829" i="3" a="1"/>
  <c r="H2829" i="3" s="1"/>
  <c r="H2830" i="3" a="1"/>
  <c r="H2830" i="3" s="1"/>
  <c r="H2831" i="3" a="1"/>
  <c r="H2831" i="3" s="1"/>
  <c r="H2832" i="3" a="1"/>
  <c r="H2832" i="3" s="1"/>
  <c r="H2833" i="3" a="1"/>
  <c r="H2833" i="3" s="1"/>
  <c r="H2834" i="3" a="1"/>
  <c r="H2834" i="3" s="1"/>
  <c r="H2835" i="3" a="1"/>
  <c r="H2835" i="3" s="1"/>
  <c r="H2836" i="3" a="1"/>
  <c r="H2836" i="3" s="1"/>
  <c r="H2837" i="3" a="1"/>
  <c r="H2837" i="3" s="1"/>
  <c r="H2838" i="3" a="1"/>
  <c r="H2838" i="3" s="1"/>
  <c r="H2839" i="3" a="1"/>
  <c r="H2839" i="3" s="1"/>
  <c r="H2840" i="3" a="1"/>
  <c r="H2840" i="3" s="1"/>
  <c r="H2841" i="3" a="1"/>
  <c r="H2841" i="3" s="1"/>
  <c r="H2842" i="3" a="1"/>
  <c r="H2842" i="3" s="1"/>
  <c r="H2843" i="3" a="1"/>
  <c r="H2843" i="3" s="1"/>
  <c r="H2844" i="3" a="1"/>
  <c r="H2844" i="3" s="1"/>
  <c r="H2845" i="3" a="1"/>
  <c r="H2845" i="3" s="1"/>
  <c r="H2846" i="3" a="1"/>
  <c r="H2846" i="3" s="1"/>
  <c r="H2847" i="3" a="1"/>
  <c r="H2847" i="3" s="1"/>
  <c r="H2848" i="3" a="1"/>
  <c r="H2848" i="3" s="1"/>
  <c r="H2849" i="3" a="1"/>
  <c r="H2849" i="3" s="1"/>
  <c r="H2850" i="3" a="1"/>
  <c r="H2850" i="3" s="1"/>
  <c r="H2851" i="3" a="1"/>
  <c r="H2851" i="3" s="1"/>
  <c r="H2852" i="3" a="1"/>
  <c r="H2852" i="3" s="1"/>
  <c r="H2853" i="3" a="1"/>
  <c r="H2853" i="3" s="1"/>
  <c r="H2854" i="3" a="1"/>
  <c r="H2854" i="3" s="1"/>
  <c r="H2855" i="3" a="1"/>
  <c r="H2855" i="3" s="1"/>
  <c r="H2856" i="3" a="1"/>
  <c r="H2856" i="3" s="1"/>
  <c r="H2857" i="3" a="1"/>
  <c r="H2857" i="3" s="1"/>
  <c r="H2858" i="3" a="1"/>
  <c r="H2858" i="3" s="1"/>
  <c r="H2859" i="3" a="1"/>
  <c r="H2859" i="3" s="1"/>
  <c r="H2860" i="3" a="1"/>
  <c r="H2860" i="3" s="1"/>
  <c r="H2861" i="3" a="1"/>
  <c r="H2861" i="3" s="1"/>
  <c r="H2862" i="3" a="1"/>
  <c r="H2862" i="3" s="1"/>
  <c r="H2863" i="3" a="1"/>
  <c r="H2863" i="3" s="1"/>
  <c r="H2864" i="3" a="1"/>
  <c r="H2864" i="3" s="1"/>
  <c r="H2865" i="3" a="1"/>
  <c r="H2865" i="3" s="1"/>
  <c r="H2866" i="3" a="1"/>
  <c r="H2866" i="3" s="1"/>
  <c r="H2867" i="3" a="1"/>
  <c r="H2867" i="3" s="1"/>
  <c r="H2868" i="3" a="1"/>
  <c r="H2868" i="3" s="1"/>
  <c r="H2869" i="3" a="1"/>
  <c r="H2869" i="3" s="1"/>
  <c r="H2870" i="3" a="1"/>
  <c r="H2870" i="3" s="1"/>
  <c r="H2871" i="3" a="1"/>
  <c r="H2871" i="3" s="1"/>
  <c r="H2872" i="3" a="1"/>
  <c r="H2872" i="3" s="1"/>
  <c r="H2873" i="3" a="1"/>
  <c r="H2873" i="3" s="1"/>
  <c r="H2874" i="3" a="1"/>
  <c r="H2874" i="3" s="1"/>
  <c r="H2875" i="3" a="1"/>
  <c r="H2875" i="3" s="1"/>
  <c r="H2876" i="3" a="1"/>
  <c r="H2876" i="3" s="1"/>
  <c r="H2877" i="3" a="1"/>
  <c r="H2877" i="3" s="1"/>
  <c r="H2878" i="3" a="1"/>
  <c r="H2878" i="3" s="1"/>
  <c r="H2879" i="3" a="1"/>
  <c r="H2879" i="3" s="1"/>
  <c r="H2880" i="3" a="1"/>
  <c r="H2880" i="3" s="1"/>
  <c r="H2881" i="3" a="1"/>
  <c r="H2881" i="3" s="1"/>
  <c r="H2882" i="3" a="1"/>
  <c r="H2882" i="3" s="1"/>
  <c r="H2883" i="3" a="1"/>
  <c r="H2883" i="3" s="1"/>
  <c r="H2884" i="3" a="1"/>
  <c r="H2884" i="3" s="1"/>
  <c r="H2885" i="3" a="1"/>
  <c r="H2885" i="3" s="1"/>
  <c r="H2886" i="3" a="1"/>
  <c r="H2886" i="3" s="1"/>
  <c r="H2887" i="3" a="1"/>
  <c r="H2887" i="3" s="1"/>
  <c r="H2888" i="3" a="1"/>
  <c r="H2888" i="3" s="1"/>
  <c r="H2889" i="3" a="1"/>
  <c r="H2889" i="3" s="1"/>
  <c r="H2890" i="3" a="1"/>
  <c r="H2890" i="3" s="1"/>
  <c r="H2891" i="3" a="1"/>
  <c r="H2891" i="3" s="1"/>
  <c r="H2892" i="3" a="1"/>
  <c r="H2892" i="3" s="1"/>
  <c r="H2893" i="3" a="1"/>
  <c r="H2893" i="3" s="1"/>
  <c r="H2894" i="3" a="1"/>
  <c r="H2894" i="3" s="1"/>
  <c r="H2895" i="3" a="1"/>
  <c r="H2895" i="3" s="1"/>
  <c r="H2896" i="3" a="1"/>
  <c r="H2896" i="3" s="1"/>
  <c r="H2897" i="3" a="1"/>
  <c r="H2897" i="3" s="1"/>
  <c r="H2898" i="3" a="1"/>
  <c r="H2898" i="3" s="1"/>
  <c r="H2899" i="3" a="1"/>
  <c r="H2899" i="3" s="1"/>
  <c r="H2900" i="3" a="1"/>
  <c r="H2900" i="3" s="1"/>
  <c r="H2901" i="3" a="1"/>
  <c r="H2901" i="3" s="1"/>
  <c r="H2902" i="3" a="1"/>
  <c r="H2902" i="3" s="1"/>
  <c r="H2903" i="3" a="1"/>
  <c r="H2903" i="3" s="1"/>
  <c r="H2904" i="3" a="1"/>
  <c r="H2904" i="3" s="1"/>
  <c r="H2905" i="3" a="1"/>
  <c r="H2905" i="3" s="1"/>
  <c r="H2906" i="3" a="1"/>
  <c r="H2906" i="3" s="1"/>
  <c r="H2907" i="3" a="1"/>
  <c r="H2907" i="3" s="1"/>
  <c r="H2908" i="3" a="1"/>
  <c r="H2908" i="3" s="1"/>
  <c r="H2909" i="3" a="1"/>
  <c r="H2909" i="3" s="1"/>
  <c r="H2910" i="3" a="1"/>
  <c r="H2910" i="3" s="1"/>
  <c r="H2911" i="3" a="1"/>
  <c r="H2911" i="3" s="1"/>
  <c r="H2912" i="3" a="1"/>
  <c r="H2912" i="3" s="1"/>
  <c r="H2913" i="3" a="1"/>
  <c r="H2913" i="3" s="1"/>
  <c r="H2914" i="3" a="1"/>
  <c r="H2914" i="3" s="1"/>
  <c r="H2915" i="3" a="1"/>
  <c r="H2915" i="3" s="1"/>
  <c r="H2916" i="3" a="1"/>
  <c r="H2916" i="3" s="1"/>
  <c r="H2917" i="3" a="1"/>
  <c r="H2917" i="3" s="1"/>
  <c r="H2918" i="3" a="1"/>
  <c r="H2918" i="3" s="1"/>
  <c r="H2919" i="3" a="1"/>
  <c r="H2919" i="3" s="1"/>
  <c r="H2920" i="3" a="1"/>
  <c r="H2920" i="3" s="1"/>
  <c r="H2921" i="3" a="1"/>
  <c r="H2921" i="3" s="1"/>
  <c r="H2922" i="3" a="1"/>
  <c r="H2922" i="3" s="1"/>
  <c r="H2923" i="3" a="1"/>
  <c r="H2923" i="3" s="1"/>
  <c r="H2924" i="3" a="1"/>
  <c r="H2924" i="3" s="1"/>
  <c r="H2925" i="3" a="1"/>
  <c r="H2925" i="3" s="1"/>
  <c r="H2926" i="3" a="1"/>
  <c r="H2926" i="3" s="1"/>
  <c r="H2927" i="3" a="1"/>
  <c r="H2927" i="3" s="1"/>
  <c r="H2928" i="3" a="1"/>
  <c r="H2928" i="3" s="1"/>
  <c r="H2929" i="3" a="1"/>
  <c r="H2929" i="3" s="1"/>
  <c r="H2930" i="3" a="1"/>
  <c r="H2930" i="3" s="1"/>
  <c r="H2931" i="3" a="1"/>
  <c r="H2931" i="3" s="1"/>
  <c r="H2932" i="3" a="1"/>
  <c r="H2932" i="3" s="1"/>
  <c r="H2933" i="3" a="1"/>
  <c r="H2933" i="3" s="1"/>
  <c r="H2934" i="3" a="1"/>
  <c r="H2934" i="3" s="1"/>
  <c r="H2935" i="3" a="1"/>
  <c r="H2935" i="3" s="1"/>
  <c r="H2936" i="3" a="1"/>
  <c r="H2936" i="3" s="1"/>
  <c r="H2937" i="3" a="1"/>
  <c r="H2937" i="3" s="1"/>
  <c r="H2938" i="3" a="1"/>
  <c r="H2938" i="3" s="1"/>
  <c r="H2939" i="3" a="1"/>
  <c r="H2939" i="3" s="1"/>
  <c r="H2940" i="3" a="1"/>
  <c r="H2940" i="3" s="1"/>
  <c r="H2941" i="3" a="1"/>
  <c r="H2941" i="3" s="1"/>
  <c r="H2942" i="3" a="1"/>
  <c r="H2942" i="3" s="1"/>
  <c r="H2943" i="3" a="1"/>
  <c r="H2943" i="3" s="1"/>
  <c r="H2944" i="3" a="1"/>
  <c r="H2944" i="3" s="1"/>
  <c r="H2945" i="3" a="1"/>
  <c r="H2945" i="3" s="1"/>
  <c r="H2946" i="3" a="1"/>
  <c r="H2946" i="3" s="1"/>
  <c r="H2947" i="3" a="1"/>
  <c r="H2947" i="3" s="1"/>
  <c r="H2948" i="3" a="1"/>
  <c r="H2948" i="3" s="1"/>
  <c r="H2949" i="3" a="1"/>
  <c r="H2949" i="3" s="1"/>
  <c r="H2950" i="3" a="1"/>
  <c r="H2950" i="3" s="1"/>
  <c r="H2951" i="3" a="1"/>
  <c r="H2951" i="3" s="1"/>
  <c r="H2952" i="3" a="1"/>
  <c r="H2952" i="3" s="1"/>
  <c r="H2953" i="3" a="1"/>
  <c r="H2953" i="3" s="1"/>
  <c r="H2954" i="3" a="1"/>
  <c r="H2954" i="3" s="1"/>
  <c r="H2955" i="3" a="1"/>
  <c r="H2955" i="3" s="1"/>
  <c r="H2956" i="3" a="1"/>
  <c r="H2956" i="3" s="1"/>
  <c r="H2957" i="3" a="1"/>
  <c r="H2957" i="3" s="1"/>
  <c r="H2958" i="3" a="1"/>
  <c r="H2958" i="3" s="1"/>
  <c r="H2959" i="3" a="1"/>
  <c r="H2959" i="3" s="1"/>
  <c r="H2960" i="3" a="1"/>
  <c r="H2960" i="3" s="1"/>
  <c r="H2961" i="3" a="1"/>
  <c r="H2961" i="3" s="1"/>
  <c r="H2962" i="3" a="1"/>
  <c r="H2962" i="3" s="1"/>
  <c r="H2963" i="3" a="1"/>
  <c r="H2963" i="3" s="1"/>
  <c r="H2964" i="3" a="1"/>
  <c r="H2964" i="3" s="1"/>
  <c r="H2965" i="3" a="1"/>
  <c r="H2965" i="3" s="1"/>
  <c r="H2966" i="3" a="1"/>
  <c r="H2966" i="3" s="1"/>
  <c r="H2967" i="3" a="1"/>
  <c r="H2967" i="3" s="1"/>
  <c r="H2968" i="3" a="1"/>
  <c r="H2968" i="3" s="1"/>
  <c r="H2969" i="3" a="1"/>
  <c r="H2969" i="3" s="1"/>
  <c r="H2970" i="3" a="1"/>
  <c r="H2970" i="3" s="1"/>
  <c r="H2971" i="3" a="1"/>
  <c r="H2971" i="3" s="1"/>
  <c r="H2972" i="3" a="1"/>
  <c r="H2972" i="3" s="1"/>
  <c r="H2973" i="3" a="1"/>
  <c r="H2973" i="3" s="1"/>
  <c r="H2974" i="3" a="1"/>
  <c r="H2974" i="3" s="1"/>
  <c r="H2975" i="3" a="1"/>
  <c r="H2975" i="3" s="1"/>
  <c r="H2976" i="3" a="1"/>
  <c r="H2976" i="3" s="1"/>
  <c r="H2977" i="3" a="1"/>
  <c r="H2977" i="3" s="1"/>
  <c r="H2978" i="3" a="1"/>
  <c r="H2978" i="3" s="1"/>
  <c r="H2979" i="3" a="1"/>
  <c r="H2979" i="3" s="1"/>
  <c r="H2980" i="3" a="1"/>
  <c r="H2980" i="3" s="1"/>
  <c r="H2981" i="3" a="1"/>
  <c r="H2981" i="3" s="1"/>
  <c r="H2982" i="3" a="1"/>
  <c r="H2982" i="3" s="1"/>
  <c r="H2983" i="3" a="1"/>
  <c r="H2983" i="3" s="1"/>
  <c r="H2984" i="3" a="1"/>
  <c r="H2984" i="3" s="1"/>
  <c r="H2985" i="3" a="1"/>
  <c r="H2985" i="3" s="1"/>
  <c r="H2986" i="3" a="1"/>
  <c r="H2986" i="3" s="1"/>
  <c r="H2987" i="3" a="1"/>
  <c r="H2987" i="3" s="1"/>
  <c r="H2988" i="3" a="1"/>
  <c r="H2988" i="3" s="1"/>
  <c r="H2989" i="3" a="1"/>
  <c r="H2989" i="3" s="1"/>
  <c r="H2990" i="3" a="1"/>
  <c r="H2990" i="3" s="1"/>
  <c r="H2991" i="3" a="1"/>
  <c r="H2991" i="3" s="1"/>
  <c r="H2992" i="3" a="1"/>
  <c r="H2992" i="3" s="1"/>
  <c r="H2993" i="3" a="1"/>
  <c r="H2993" i="3" s="1"/>
  <c r="H2994" i="3" a="1"/>
  <c r="H2994" i="3" s="1"/>
  <c r="H2995" i="3" a="1"/>
  <c r="H2995" i="3" s="1"/>
  <c r="H2996" i="3" a="1"/>
  <c r="H2996" i="3" s="1"/>
  <c r="H2997" i="3" a="1"/>
  <c r="H2997" i="3" s="1"/>
  <c r="H2998" i="3" a="1"/>
  <c r="H2998" i="3" s="1"/>
  <c r="H2999" i="3" a="1"/>
  <c r="H2999" i="3" s="1"/>
  <c r="H3000" i="3" a="1"/>
  <c r="H3000" i="3" s="1"/>
  <c r="H3001" i="3" a="1"/>
  <c r="H3001" i="3" s="1"/>
  <c r="H3002" i="3" a="1"/>
  <c r="H3002" i="3" s="1"/>
  <c r="H3003" i="3" a="1"/>
  <c r="H3003" i="3" s="1"/>
  <c r="H3004" i="3" a="1"/>
  <c r="H3004" i="3" s="1"/>
  <c r="H3005" i="3" a="1"/>
  <c r="H3005" i="3" s="1"/>
  <c r="H3006" i="3" a="1"/>
  <c r="H3006" i="3" s="1"/>
  <c r="H3007" i="3" a="1"/>
  <c r="H3007" i="3" s="1"/>
  <c r="H3008" i="3" a="1"/>
  <c r="H3008" i="3" s="1"/>
  <c r="H3009" i="3" a="1"/>
  <c r="H3009" i="3" s="1"/>
  <c r="H3010" i="3" a="1"/>
  <c r="H3010" i="3" s="1"/>
  <c r="H3011" i="3" a="1"/>
  <c r="H3011" i="3" s="1"/>
  <c r="H3012" i="3" a="1"/>
  <c r="H3012" i="3" s="1"/>
  <c r="H3013" i="3" a="1"/>
  <c r="H3013" i="3" s="1"/>
  <c r="H3014" i="3" a="1"/>
  <c r="H3014" i="3" s="1"/>
  <c r="H3015" i="3" a="1"/>
  <c r="H3015" i="3" s="1"/>
  <c r="H3016" i="3" a="1"/>
  <c r="H3016" i="3" s="1"/>
  <c r="H3017" i="3" a="1"/>
  <c r="H3017" i="3" s="1"/>
  <c r="H3018" i="3" a="1"/>
  <c r="H3018" i="3" s="1"/>
  <c r="H3019" i="3" a="1"/>
  <c r="H3019" i="3" s="1"/>
  <c r="H3020" i="3" a="1"/>
  <c r="H3020" i="3" s="1"/>
  <c r="H3021" i="3" a="1"/>
  <c r="H3021" i="3" s="1"/>
  <c r="H3022" i="3" a="1"/>
  <c r="H3022" i="3" s="1"/>
  <c r="H3023" i="3" a="1"/>
  <c r="H3023" i="3" s="1"/>
  <c r="H3024" i="3" a="1"/>
  <c r="H3024" i="3" s="1"/>
  <c r="H3025" i="3" a="1"/>
  <c r="H3025" i="3" s="1"/>
  <c r="H3026" i="3" a="1"/>
  <c r="H3026" i="3" s="1"/>
  <c r="H3027" i="3" a="1"/>
  <c r="H3027" i="3" s="1"/>
  <c r="H3028" i="3" a="1"/>
  <c r="H3028" i="3" s="1"/>
  <c r="H3029" i="3" a="1"/>
  <c r="H3029" i="3" s="1"/>
  <c r="H3030" i="3" a="1"/>
  <c r="H3030" i="3" s="1"/>
  <c r="H3031" i="3" a="1"/>
  <c r="H3031" i="3" s="1"/>
  <c r="H3032" i="3" a="1"/>
  <c r="H3032" i="3" s="1"/>
  <c r="H3033" i="3" a="1"/>
  <c r="H3033" i="3" s="1"/>
  <c r="H3034" i="3" a="1"/>
  <c r="H3034" i="3" s="1"/>
  <c r="H3035" i="3" a="1"/>
  <c r="H3035" i="3" s="1"/>
  <c r="H3036" i="3" a="1"/>
  <c r="H3036" i="3" s="1"/>
  <c r="H3037" i="3" a="1"/>
  <c r="H3037" i="3" s="1"/>
  <c r="H3038" i="3" a="1"/>
  <c r="H3038" i="3" s="1"/>
  <c r="H3039" i="3" a="1"/>
  <c r="H3039" i="3" s="1"/>
  <c r="H3040" i="3" a="1"/>
  <c r="H3040" i="3" s="1"/>
  <c r="H3041" i="3" a="1"/>
  <c r="H3041" i="3" s="1"/>
  <c r="H3042" i="3" a="1"/>
  <c r="H3042" i="3" s="1"/>
  <c r="H3043" i="3" a="1"/>
  <c r="H3043" i="3" s="1"/>
  <c r="H3044" i="3" a="1"/>
  <c r="H3044" i="3" s="1"/>
  <c r="H3045" i="3" a="1"/>
  <c r="H3045" i="3" s="1"/>
  <c r="H3046" i="3" a="1"/>
  <c r="H3046" i="3" s="1"/>
  <c r="H3047" i="3" a="1"/>
  <c r="H3047" i="3" s="1"/>
  <c r="H3048" i="3" a="1"/>
  <c r="H3048" i="3" s="1"/>
  <c r="H3049" i="3" a="1"/>
  <c r="H3049" i="3" s="1"/>
  <c r="H3050" i="3" a="1"/>
  <c r="H3050" i="3" s="1"/>
  <c r="H3051" i="3" a="1"/>
  <c r="H3051" i="3" s="1"/>
  <c r="H3052" i="3" a="1"/>
  <c r="H3052" i="3" s="1"/>
  <c r="H3053" i="3" a="1"/>
  <c r="H3053" i="3" s="1"/>
  <c r="H3054" i="3" a="1"/>
  <c r="H3054" i="3" s="1"/>
  <c r="H3055" i="3" a="1"/>
  <c r="H3055" i="3" s="1"/>
  <c r="H3056" i="3" a="1"/>
  <c r="H3056" i="3" s="1"/>
  <c r="H3057" i="3" a="1"/>
  <c r="H3057" i="3" s="1"/>
  <c r="H3058" i="3" a="1"/>
  <c r="H3058" i="3" s="1"/>
  <c r="H3059" i="3" a="1"/>
  <c r="H3059" i="3" s="1"/>
  <c r="H3060" i="3" a="1"/>
  <c r="H3060" i="3" s="1"/>
  <c r="H3061" i="3" a="1"/>
  <c r="H3061" i="3" s="1"/>
  <c r="H3062" i="3" a="1"/>
  <c r="H3062" i="3" s="1"/>
  <c r="H3063" i="3" a="1"/>
  <c r="H3063" i="3" s="1"/>
  <c r="H3064" i="3" a="1"/>
  <c r="H3064" i="3" s="1"/>
  <c r="H3065" i="3" a="1"/>
  <c r="H3065" i="3" s="1"/>
  <c r="H3066" i="3" a="1"/>
  <c r="H3066" i="3" s="1"/>
  <c r="H3067" i="3" a="1"/>
  <c r="H3067" i="3" s="1"/>
  <c r="H3068" i="3" a="1"/>
  <c r="H3068" i="3" s="1"/>
  <c r="H3069" i="3" a="1"/>
  <c r="H3069" i="3" s="1"/>
  <c r="H3070" i="3" a="1"/>
  <c r="H3070" i="3" s="1"/>
  <c r="H3071" i="3" a="1"/>
  <c r="H3071" i="3" s="1"/>
  <c r="H3072" i="3" a="1"/>
  <c r="H3072" i="3" s="1"/>
  <c r="H3073" i="3" a="1"/>
  <c r="H3073" i="3" s="1"/>
  <c r="H3074" i="3" a="1"/>
  <c r="H3074" i="3" s="1"/>
  <c r="H3075" i="3" a="1"/>
  <c r="H3075" i="3" s="1"/>
  <c r="H3076" i="3" a="1"/>
  <c r="H3076" i="3" s="1"/>
  <c r="H3077" i="3" a="1"/>
  <c r="H3077" i="3" s="1"/>
  <c r="H3078" i="3" a="1"/>
  <c r="H3078" i="3" s="1"/>
  <c r="H3079" i="3" a="1"/>
  <c r="H3079" i="3" s="1"/>
  <c r="H3080" i="3" a="1"/>
  <c r="H3080" i="3" s="1"/>
  <c r="H3081" i="3" a="1"/>
  <c r="H3081" i="3" s="1"/>
  <c r="H3082" i="3" a="1"/>
  <c r="H3082" i="3" s="1"/>
  <c r="H3083" i="3" a="1"/>
  <c r="H3083" i="3" s="1"/>
  <c r="H3084" i="3" a="1"/>
  <c r="H3084" i="3" s="1"/>
  <c r="H3085" i="3" a="1"/>
  <c r="H3085" i="3" s="1"/>
  <c r="H3086" i="3" a="1"/>
  <c r="H3086" i="3" s="1"/>
  <c r="H3087" i="3" a="1"/>
  <c r="H3087" i="3" s="1"/>
  <c r="H3088" i="3" a="1"/>
  <c r="H3088" i="3" s="1"/>
  <c r="H3089" i="3" a="1"/>
  <c r="H3089" i="3" s="1"/>
  <c r="H3090" i="3" a="1"/>
  <c r="H3090" i="3" s="1"/>
  <c r="H3091" i="3" a="1"/>
  <c r="H3091" i="3" s="1"/>
  <c r="H3092" i="3" a="1"/>
  <c r="H3092" i="3" s="1"/>
  <c r="H3093" i="3" a="1"/>
  <c r="H3093" i="3" s="1"/>
  <c r="H3094" i="3" a="1"/>
  <c r="H3094" i="3" s="1"/>
  <c r="H3095" i="3" a="1"/>
  <c r="H3095" i="3" s="1"/>
  <c r="H3096" i="3" a="1"/>
  <c r="H3096" i="3" s="1"/>
  <c r="H3097" i="3" a="1"/>
  <c r="H3097" i="3" s="1"/>
  <c r="H3098" i="3" a="1"/>
  <c r="H3098" i="3" s="1"/>
  <c r="H3099" i="3" a="1"/>
  <c r="H3099" i="3" s="1"/>
  <c r="H3100" i="3" a="1"/>
  <c r="H3100" i="3" s="1"/>
  <c r="H3101" i="3" a="1"/>
  <c r="H3101" i="3" s="1"/>
  <c r="H3102" i="3" a="1"/>
  <c r="H3102" i="3" s="1"/>
  <c r="H3103" i="3" a="1"/>
  <c r="H3103" i="3" s="1"/>
  <c r="H3104" i="3" a="1"/>
  <c r="H3104" i="3" s="1"/>
  <c r="H3105" i="3" a="1"/>
  <c r="H3105" i="3" s="1"/>
  <c r="H3106" i="3" a="1"/>
  <c r="H3106" i="3" s="1"/>
  <c r="H3107" i="3" a="1"/>
  <c r="H3107" i="3" s="1"/>
  <c r="H3108" i="3" a="1"/>
  <c r="H3108" i="3" s="1"/>
  <c r="H3109" i="3" a="1"/>
  <c r="H3109" i="3" s="1"/>
  <c r="H3110" i="3" a="1"/>
  <c r="H3110" i="3" s="1"/>
  <c r="H3111" i="3" a="1"/>
  <c r="H3111" i="3" s="1"/>
  <c r="H3112" i="3" a="1"/>
  <c r="H3112" i="3" s="1"/>
  <c r="H3113" i="3" a="1"/>
  <c r="H3113" i="3" s="1"/>
  <c r="H3114" i="3" a="1"/>
  <c r="H3114" i="3" s="1"/>
  <c r="H3115" i="3" a="1"/>
  <c r="H3115" i="3" s="1"/>
  <c r="H3116" i="3" a="1"/>
  <c r="H3116" i="3" s="1"/>
  <c r="H3117" i="3" a="1"/>
  <c r="H3117" i="3" s="1"/>
  <c r="H3118" i="3" a="1"/>
  <c r="H3118" i="3" s="1"/>
  <c r="H3119" i="3" a="1"/>
  <c r="H3119" i="3" s="1"/>
  <c r="H3120" i="3" a="1"/>
  <c r="H3120" i="3" s="1"/>
  <c r="H3121" i="3" a="1"/>
  <c r="H3121" i="3" s="1"/>
  <c r="H3122" i="3" a="1"/>
  <c r="H3122" i="3" s="1"/>
  <c r="H3123" i="3" a="1"/>
  <c r="H3123" i="3" s="1"/>
  <c r="H3124" i="3" a="1"/>
  <c r="H3124" i="3" s="1"/>
  <c r="H3125" i="3" a="1"/>
  <c r="H3125" i="3" s="1"/>
  <c r="H3126" i="3" a="1"/>
  <c r="H3126" i="3" s="1"/>
  <c r="H3127" i="3" a="1"/>
  <c r="H3127" i="3" s="1"/>
  <c r="H3128" i="3" a="1"/>
  <c r="H3128" i="3" s="1"/>
  <c r="H3129" i="3" a="1"/>
  <c r="H3129" i="3" s="1"/>
  <c r="H3130" i="3" a="1"/>
  <c r="H3130" i="3" s="1"/>
  <c r="H3131" i="3" a="1"/>
  <c r="H3131" i="3" s="1"/>
  <c r="H3132" i="3" a="1"/>
  <c r="H3132" i="3" s="1"/>
  <c r="H3133" i="3" a="1"/>
  <c r="H3133" i="3" s="1"/>
  <c r="H3134" i="3" a="1"/>
  <c r="H3134" i="3" s="1"/>
  <c r="H3135" i="3" a="1"/>
  <c r="H3135" i="3" s="1"/>
  <c r="H3136" i="3" a="1"/>
  <c r="H3136" i="3" s="1"/>
  <c r="H3137" i="3" a="1"/>
  <c r="H3137" i="3" s="1"/>
  <c r="H3138" i="3" a="1"/>
  <c r="H3138" i="3" s="1"/>
  <c r="H3139" i="3" a="1"/>
  <c r="H3139" i="3" s="1"/>
  <c r="H3140" i="3" a="1"/>
  <c r="H3140" i="3" s="1"/>
  <c r="H3141" i="3" a="1"/>
  <c r="H3141" i="3" s="1"/>
  <c r="H3142" i="3" a="1"/>
  <c r="H3142" i="3" s="1"/>
  <c r="H3143" i="3" a="1"/>
  <c r="H3143" i="3" s="1"/>
  <c r="H3144" i="3" a="1"/>
  <c r="H3144" i="3" s="1"/>
  <c r="H3145" i="3" a="1"/>
  <c r="H3145" i="3" s="1"/>
  <c r="H3146" i="3" a="1"/>
  <c r="H3146" i="3" s="1"/>
  <c r="H3147" i="3" a="1"/>
  <c r="H3147" i="3" s="1"/>
  <c r="H3148" i="3" a="1"/>
  <c r="H3148" i="3" s="1"/>
  <c r="H3149" i="3" a="1"/>
  <c r="H3149" i="3" s="1"/>
  <c r="H3150" i="3" a="1"/>
  <c r="H3150" i="3" s="1"/>
  <c r="H3151" i="3" a="1"/>
  <c r="H3151" i="3" s="1"/>
  <c r="H3152" i="3" a="1"/>
  <c r="H3152" i="3" s="1"/>
  <c r="H3153" i="3" a="1"/>
  <c r="H3153" i="3" s="1"/>
  <c r="H3154" i="3" a="1"/>
  <c r="H3154" i="3" s="1"/>
  <c r="H3155" i="3" a="1"/>
  <c r="H3155" i="3" s="1"/>
  <c r="H3156" i="3" a="1"/>
  <c r="H3156" i="3" s="1"/>
  <c r="H3157" i="3" a="1"/>
  <c r="H3157" i="3" s="1"/>
  <c r="H3158" i="3" a="1"/>
  <c r="H3158" i="3" s="1"/>
  <c r="H3159" i="3" a="1"/>
  <c r="H3159" i="3" s="1"/>
  <c r="H3160" i="3" a="1"/>
  <c r="H3160" i="3" s="1"/>
  <c r="H3161" i="3" a="1"/>
  <c r="H3161" i="3" s="1"/>
  <c r="H3162" i="3" a="1"/>
  <c r="H3162" i="3" s="1"/>
  <c r="H3163" i="3" a="1"/>
  <c r="H3163" i="3" s="1"/>
  <c r="H3164" i="3" a="1"/>
  <c r="H3164" i="3" s="1"/>
  <c r="H3165" i="3" a="1"/>
  <c r="H3165" i="3" s="1"/>
  <c r="H3166" i="3" a="1"/>
  <c r="H3166" i="3" s="1"/>
  <c r="H3167" i="3" a="1"/>
  <c r="H3167" i="3" s="1"/>
  <c r="H3168" i="3" a="1"/>
  <c r="H3168" i="3" s="1"/>
  <c r="H3169" i="3" a="1"/>
  <c r="H3169" i="3" s="1"/>
  <c r="H3170" i="3" a="1"/>
  <c r="H3170" i="3" s="1"/>
  <c r="H3171" i="3" a="1"/>
  <c r="H3171" i="3" s="1"/>
  <c r="H3172" i="3" a="1"/>
  <c r="H3172" i="3" s="1"/>
  <c r="H3173" i="3" a="1"/>
  <c r="H3173" i="3" s="1"/>
  <c r="H3174" i="3" a="1"/>
  <c r="H3174" i="3" s="1"/>
  <c r="H3175" i="3" a="1"/>
  <c r="H3175" i="3" s="1"/>
  <c r="H3176" i="3" a="1"/>
  <c r="H3176" i="3" s="1"/>
  <c r="H3177" i="3" a="1"/>
  <c r="H3177" i="3" s="1"/>
  <c r="H3178" i="3" a="1"/>
  <c r="H3178" i="3" s="1"/>
  <c r="H3179" i="3" a="1"/>
  <c r="H3179" i="3" s="1"/>
  <c r="H3180" i="3" a="1"/>
  <c r="H3180" i="3" s="1"/>
  <c r="H3181" i="3" a="1"/>
  <c r="H3181" i="3" s="1"/>
  <c r="H3182" i="3" a="1"/>
  <c r="H3182" i="3" s="1"/>
  <c r="H3183" i="3" a="1"/>
  <c r="H3183" i="3" s="1"/>
  <c r="H3184" i="3" a="1"/>
  <c r="H3184" i="3" s="1"/>
  <c r="H3185" i="3" a="1"/>
  <c r="H3185" i="3" s="1"/>
  <c r="H3186" i="3" a="1"/>
  <c r="H3186" i="3" s="1"/>
  <c r="H3187" i="3" a="1"/>
  <c r="H3187" i="3" s="1"/>
  <c r="H3188" i="3" a="1"/>
  <c r="H3188" i="3" s="1"/>
  <c r="H3189" i="3" a="1"/>
  <c r="H3189" i="3" s="1"/>
  <c r="H3190" i="3" a="1"/>
  <c r="H3190" i="3" s="1"/>
  <c r="H3191" i="3" a="1"/>
  <c r="H3191" i="3" s="1"/>
  <c r="H3192" i="3" a="1"/>
  <c r="H3192" i="3" s="1"/>
  <c r="H3193" i="3" a="1"/>
  <c r="H3193" i="3" s="1"/>
  <c r="H3194" i="3" a="1"/>
  <c r="H3194" i="3" s="1"/>
  <c r="H3195" i="3" a="1"/>
  <c r="H3195" i="3" s="1"/>
  <c r="H3196" i="3" a="1"/>
  <c r="H3196" i="3" s="1"/>
  <c r="H3197" i="3" a="1"/>
  <c r="H3197" i="3" s="1"/>
  <c r="H3198" i="3" a="1"/>
  <c r="H3198" i="3" s="1"/>
  <c r="H3199" i="3" a="1"/>
  <c r="H3199" i="3" s="1"/>
  <c r="H3200" i="3" a="1"/>
  <c r="H3200" i="3" s="1"/>
  <c r="H3201" i="3" a="1"/>
  <c r="H3201" i="3" s="1"/>
  <c r="H3202" i="3" a="1"/>
  <c r="H3202" i="3" s="1"/>
  <c r="H3203" i="3" a="1"/>
  <c r="H3203" i="3" s="1"/>
  <c r="H3204" i="3" a="1"/>
  <c r="H3204" i="3" s="1"/>
  <c r="H3205" i="3" a="1"/>
  <c r="H3205" i="3" s="1"/>
  <c r="H3206" i="3" a="1"/>
  <c r="H3206" i="3" s="1"/>
  <c r="H3207" i="3" a="1"/>
  <c r="H3207" i="3" s="1"/>
  <c r="H3208" i="3" a="1"/>
  <c r="H3208" i="3" s="1"/>
  <c r="H3209" i="3" a="1"/>
  <c r="H3209" i="3" s="1"/>
  <c r="H3210" i="3" a="1"/>
  <c r="H3210" i="3" s="1"/>
  <c r="H3211" i="3" a="1"/>
  <c r="H3211" i="3" s="1"/>
  <c r="H3212" i="3" a="1"/>
  <c r="H3212" i="3" s="1"/>
  <c r="H3213" i="3" a="1"/>
  <c r="H3213" i="3" s="1"/>
  <c r="H3214" i="3" a="1"/>
  <c r="H3214" i="3" s="1"/>
  <c r="H3215" i="3" a="1"/>
  <c r="H3215" i="3" s="1"/>
  <c r="H3216" i="3" a="1"/>
  <c r="H3216" i="3" s="1"/>
  <c r="H3217" i="3" a="1"/>
  <c r="H3217" i="3" s="1"/>
  <c r="H3218" i="3" a="1"/>
  <c r="H3218" i="3" s="1"/>
  <c r="H3219" i="3" a="1"/>
  <c r="H3219" i="3" s="1"/>
  <c r="H3220" i="3" a="1"/>
  <c r="H3220" i="3" s="1"/>
  <c r="H3221" i="3" a="1"/>
  <c r="H3221" i="3" s="1"/>
  <c r="H3222" i="3" a="1"/>
  <c r="H3222" i="3" s="1"/>
  <c r="H3223" i="3" a="1"/>
  <c r="H3223" i="3" s="1"/>
  <c r="H3224" i="3" a="1"/>
  <c r="H3224" i="3" s="1"/>
  <c r="H3225" i="3" a="1"/>
  <c r="H3225" i="3" s="1"/>
  <c r="H3226" i="3" a="1"/>
  <c r="H3226" i="3" s="1"/>
  <c r="H3227" i="3" a="1"/>
  <c r="H3227" i="3" s="1"/>
  <c r="H3228" i="3" a="1"/>
  <c r="H3228" i="3" s="1"/>
  <c r="H3229" i="3" a="1"/>
  <c r="H3229" i="3" s="1"/>
  <c r="H3230" i="3" a="1"/>
  <c r="H3230" i="3" s="1"/>
  <c r="H3231" i="3" a="1"/>
  <c r="H3231" i="3" s="1"/>
  <c r="H3232" i="3" a="1"/>
  <c r="H3232" i="3" s="1"/>
  <c r="H3233" i="3" a="1"/>
  <c r="H3233" i="3" s="1"/>
  <c r="H3234" i="3" a="1"/>
  <c r="H3234" i="3" s="1"/>
  <c r="H3235" i="3" a="1"/>
  <c r="H3235" i="3" s="1"/>
  <c r="H3236" i="3" a="1"/>
  <c r="H3236" i="3" s="1"/>
  <c r="H3237" i="3" a="1"/>
  <c r="H3237" i="3" s="1"/>
  <c r="H3238" i="3" a="1"/>
  <c r="H3238" i="3" s="1"/>
  <c r="H3239" i="3" a="1"/>
  <c r="H3239" i="3" s="1"/>
  <c r="H3240" i="3" a="1"/>
  <c r="H3240" i="3" s="1"/>
  <c r="H3241" i="3" a="1"/>
  <c r="H3241" i="3" s="1"/>
  <c r="H3242" i="3" a="1"/>
  <c r="H3242" i="3" s="1"/>
  <c r="H3243" i="3" a="1"/>
  <c r="H3243" i="3" s="1"/>
  <c r="H3244" i="3" a="1"/>
  <c r="H3244" i="3" s="1"/>
  <c r="H3245" i="3" a="1"/>
  <c r="H3245" i="3" s="1"/>
  <c r="H3246" i="3" a="1"/>
  <c r="H3246" i="3" s="1"/>
  <c r="H3247" i="3" a="1"/>
  <c r="H3247" i="3" s="1"/>
  <c r="H3248" i="3" a="1"/>
  <c r="H3248" i="3" s="1"/>
  <c r="H3249" i="3" a="1"/>
  <c r="H3249" i="3" s="1"/>
  <c r="H3250" i="3" a="1"/>
  <c r="H3250" i="3" s="1"/>
  <c r="H3251" i="3" a="1"/>
  <c r="H3251" i="3" s="1"/>
  <c r="H3252" i="3" a="1"/>
  <c r="H3252" i="3" s="1"/>
  <c r="H3253" i="3" a="1"/>
  <c r="H3253" i="3" s="1"/>
  <c r="H3254" i="3" a="1"/>
  <c r="H3254" i="3" s="1"/>
  <c r="H3255" i="3" a="1"/>
  <c r="H3255" i="3" s="1"/>
  <c r="H3256" i="3" a="1"/>
  <c r="H3256" i="3" s="1"/>
  <c r="H3257" i="3" a="1"/>
  <c r="H3257" i="3" s="1"/>
  <c r="H3258" i="3" a="1"/>
  <c r="H3258" i="3" s="1"/>
  <c r="H3259" i="3" a="1"/>
  <c r="H3259" i="3" s="1"/>
  <c r="H3260" i="3" a="1"/>
  <c r="H3260" i="3" s="1"/>
  <c r="H3261" i="3" a="1"/>
  <c r="H3261" i="3" s="1"/>
  <c r="H3262" i="3" a="1"/>
  <c r="H3262" i="3" s="1"/>
  <c r="H3263" i="3" a="1"/>
  <c r="H3263" i="3" s="1"/>
  <c r="H3264" i="3" a="1"/>
  <c r="H3264" i="3" s="1"/>
  <c r="H3265" i="3" a="1"/>
  <c r="H3265" i="3" s="1"/>
  <c r="H3266" i="3" a="1"/>
  <c r="H3266" i="3" s="1"/>
  <c r="H3267" i="3" a="1"/>
  <c r="H3267" i="3" s="1"/>
  <c r="H3268" i="3" a="1"/>
  <c r="H3268" i="3" s="1"/>
  <c r="H3269" i="3" a="1"/>
  <c r="H3269" i="3" s="1"/>
  <c r="H3270" i="3" a="1"/>
  <c r="H3270" i="3" s="1"/>
  <c r="H3271" i="3" a="1"/>
  <c r="H3271" i="3" s="1"/>
  <c r="H3272" i="3" a="1"/>
  <c r="H3272" i="3" s="1"/>
  <c r="H3273" i="3" a="1"/>
  <c r="H3273" i="3" s="1"/>
  <c r="H3274" i="3" a="1"/>
  <c r="H3274" i="3" s="1"/>
  <c r="H3275" i="3" a="1"/>
  <c r="H3275" i="3" s="1"/>
  <c r="H3276" i="3" a="1"/>
  <c r="H3276" i="3" s="1"/>
  <c r="H3277" i="3" a="1"/>
  <c r="H3277" i="3" s="1"/>
  <c r="H3278" i="3" a="1"/>
  <c r="H3278" i="3" s="1"/>
  <c r="H3279" i="3" a="1"/>
  <c r="H3279" i="3" s="1"/>
  <c r="H3280" i="3" a="1"/>
  <c r="H3280" i="3" s="1"/>
  <c r="H3281" i="3" a="1"/>
  <c r="H3281" i="3" s="1"/>
  <c r="H3282" i="3" a="1"/>
  <c r="H3282" i="3" s="1"/>
  <c r="H3283" i="3" a="1"/>
  <c r="H3283" i="3" s="1"/>
  <c r="H3284" i="3" a="1"/>
  <c r="H3284" i="3" s="1"/>
  <c r="H3285" i="3" a="1"/>
  <c r="H3285" i="3" s="1"/>
  <c r="H3286" i="3" a="1"/>
  <c r="H3286" i="3" s="1"/>
  <c r="H3287" i="3" a="1"/>
  <c r="H3287" i="3" s="1"/>
  <c r="H3288" i="3" a="1"/>
  <c r="H3288" i="3" s="1"/>
  <c r="H3289" i="3" a="1"/>
  <c r="H3289" i="3" s="1"/>
  <c r="H3290" i="3" a="1"/>
  <c r="H3290" i="3" s="1"/>
  <c r="H3291" i="3" a="1"/>
  <c r="H3291" i="3" s="1"/>
  <c r="H3292" i="3" a="1"/>
  <c r="H3292" i="3" s="1"/>
  <c r="H3293" i="3" a="1"/>
  <c r="H3293" i="3" s="1"/>
  <c r="H3294" i="3" a="1"/>
  <c r="H3294" i="3" s="1"/>
  <c r="H3295" i="3" a="1"/>
  <c r="H3295" i="3" s="1"/>
  <c r="H3296" i="3" a="1"/>
  <c r="H3296" i="3" s="1"/>
  <c r="H3297" i="3" a="1"/>
  <c r="H3297" i="3" s="1"/>
  <c r="H3298" i="3" a="1"/>
  <c r="H3298" i="3" s="1"/>
  <c r="H3299" i="3" a="1"/>
  <c r="H3299" i="3" s="1"/>
  <c r="H3300" i="3" a="1"/>
  <c r="H3300" i="3" s="1"/>
  <c r="H3301" i="3" a="1"/>
  <c r="H3301" i="3" s="1"/>
  <c r="H3302" i="3" a="1"/>
  <c r="H3302" i="3" s="1"/>
  <c r="H3303" i="3" a="1"/>
  <c r="H3303" i="3" s="1"/>
  <c r="H3304" i="3" a="1"/>
  <c r="H3304" i="3" s="1"/>
  <c r="H3305" i="3" a="1"/>
  <c r="H3305" i="3" s="1"/>
  <c r="H3306" i="3" a="1"/>
  <c r="H3306" i="3" s="1"/>
  <c r="H3307" i="3" a="1"/>
  <c r="H3307" i="3" s="1"/>
  <c r="H3308" i="3" a="1"/>
  <c r="H3308" i="3" s="1"/>
  <c r="H3309" i="3" a="1"/>
  <c r="H3309" i="3" s="1"/>
  <c r="H3310" i="3" a="1"/>
  <c r="H3310" i="3" s="1"/>
  <c r="H3311" i="3" a="1"/>
  <c r="H3311" i="3" s="1"/>
  <c r="H3312" i="3" a="1"/>
  <c r="H3312" i="3" s="1"/>
  <c r="H3313" i="3" a="1"/>
  <c r="H3313" i="3" s="1"/>
  <c r="H3314" i="3" a="1"/>
  <c r="H3314" i="3" s="1"/>
  <c r="H3315" i="3" a="1"/>
  <c r="H3315" i="3" s="1"/>
  <c r="H3316" i="3" a="1"/>
  <c r="H3316" i="3" s="1"/>
  <c r="H3317" i="3" a="1"/>
  <c r="H3317" i="3" s="1"/>
  <c r="H3318" i="3" a="1"/>
  <c r="H3318" i="3" s="1"/>
  <c r="H3319" i="3" a="1"/>
  <c r="H3319" i="3" s="1"/>
  <c r="H3320" i="3" a="1"/>
  <c r="H3320" i="3" s="1"/>
  <c r="H3321" i="3" a="1"/>
  <c r="H3321" i="3" s="1"/>
  <c r="H3322" i="3" a="1"/>
  <c r="H3322" i="3" s="1"/>
  <c r="H3323" i="3" a="1"/>
  <c r="H3323" i="3" s="1"/>
  <c r="H3324" i="3" a="1"/>
  <c r="H3324" i="3" s="1"/>
  <c r="H3325" i="3" a="1"/>
  <c r="H3325" i="3" s="1"/>
  <c r="H3326" i="3" a="1"/>
  <c r="H3326" i="3" s="1"/>
  <c r="H3327" i="3" a="1"/>
  <c r="H3327" i="3" s="1"/>
  <c r="H3328" i="3" a="1"/>
  <c r="H3328" i="3" s="1"/>
  <c r="H3329" i="3" a="1"/>
  <c r="H3329" i="3" s="1"/>
  <c r="H3330" i="3" a="1"/>
  <c r="H3330" i="3" s="1"/>
  <c r="H3331" i="3" a="1"/>
  <c r="H3331" i="3" s="1"/>
  <c r="H3332" i="3" a="1"/>
  <c r="H3332" i="3" s="1"/>
  <c r="H3333" i="3" a="1"/>
  <c r="H3333" i="3" s="1"/>
  <c r="H3334" i="3" a="1"/>
  <c r="H3334" i="3" s="1"/>
  <c r="H3335" i="3" a="1"/>
  <c r="H3335" i="3" s="1"/>
  <c r="H3336" i="3" a="1"/>
  <c r="H3336" i="3" s="1"/>
  <c r="H3337" i="3" a="1"/>
  <c r="H3337" i="3" s="1"/>
  <c r="H3338" i="3" a="1"/>
  <c r="H3338" i="3" s="1"/>
  <c r="H3339" i="3" a="1"/>
  <c r="H3339" i="3" s="1"/>
  <c r="H3340" i="3" a="1"/>
  <c r="H3340" i="3" s="1"/>
  <c r="H3341" i="3" a="1"/>
  <c r="H3341" i="3" s="1"/>
  <c r="H3342" i="3" a="1"/>
  <c r="H3342" i="3" s="1"/>
  <c r="H3343" i="3" a="1"/>
  <c r="H3343" i="3" s="1"/>
  <c r="H3344" i="3" a="1"/>
  <c r="H3344" i="3" s="1"/>
  <c r="H3345" i="3" a="1"/>
  <c r="H3345" i="3" s="1"/>
  <c r="H3346" i="3" a="1"/>
  <c r="H3346" i="3" s="1"/>
  <c r="H3347" i="3" a="1"/>
  <c r="H3347" i="3" s="1"/>
  <c r="H3348" i="3" a="1"/>
  <c r="H3348" i="3" s="1"/>
  <c r="H3349" i="3" a="1"/>
  <c r="H3349" i="3" s="1"/>
  <c r="H3350" i="3" a="1"/>
  <c r="H3350" i="3" s="1"/>
  <c r="H3351" i="3" a="1"/>
  <c r="H3351" i="3" s="1"/>
  <c r="H3352" i="3" a="1"/>
  <c r="H3352" i="3" s="1"/>
  <c r="H3353" i="3" a="1"/>
  <c r="H3353" i="3" s="1"/>
  <c r="H3354" i="3" a="1"/>
  <c r="H3354" i="3" s="1"/>
  <c r="H3355" i="3" a="1"/>
  <c r="H3355" i="3" s="1"/>
  <c r="H3356" i="3" a="1"/>
  <c r="H3356" i="3" s="1"/>
  <c r="H3357" i="3" a="1"/>
  <c r="H3357" i="3" s="1"/>
  <c r="H3358" i="3" a="1"/>
  <c r="H3358" i="3" s="1"/>
  <c r="H3359" i="3" a="1"/>
  <c r="H3359" i="3" s="1"/>
  <c r="H3360" i="3" a="1"/>
  <c r="H3360" i="3" s="1"/>
  <c r="H3361" i="3" a="1"/>
  <c r="H3361" i="3" s="1"/>
  <c r="H3362" i="3" a="1"/>
  <c r="H3362" i="3" s="1"/>
  <c r="H3363" i="3" a="1"/>
  <c r="H3363" i="3" s="1"/>
  <c r="H3364" i="3" a="1"/>
  <c r="H3364" i="3" s="1"/>
  <c r="H3365" i="3" a="1"/>
  <c r="H3365" i="3" s="1"/>
  <c r="H3366" i="3" a="1"/>
  <c r="H3366" i="3" s="1"/>
  <c r="H3367" i="3" a="1"/>
  <c r="H3367" i="3" s="1"/>
  <c r="H3368" i="3" a="1"/>
  <c r="H3368" i="3" s="1"/>
  <c r="H3369" i="3" a="1"/>
  <c r="H3369" i="3" s="1"/>
  <c r="H3370" i="3" a="1"/>
  <c r="H3370" i="3" s="1"/>
  <c r="H3371" i="3" a="1"/>
  <c r="H3371" i="3" s="1"/>
  <c r="H3372" i="3" a="1"/>
  <c r="H3372" i="3" s="1"/>
  <c r="H3373" i="3" a="1"/>
  <c r="H3373" i="3" s="1"/>
  <c r="H3374" i="3" a="1"/>
  <c r="H3374" i="3" s="1"/>
  <c r="H3375" i="3" a="1"/>
  <c r="H3375" i="3" s="1"/>
  <c r="H3376" i="3" a="1"/>
  <c r="H3376" i="3" s="1"/>
  <c r="H3377" i="3" a="1"/>
  <c r="H3377" i="3" s="1"/>
  <c r="H3378" i="3" a="1"/>
  <c r="H3378" i="3" s="1"/>
  <c r="H3379" i="3" a="1"/>
  <c r="H3379" i="3" s="1"/>
  <c r="H3380" i="3" a="1"/>
  <c r="H3380" i="3" s="1"/>
  <c r="H3381" i="3" a="1"/>
  <c r="H3381" i="3" s="1"/>
  <c r="H3382" i="3" a="1"/>
  <c r="H3382" i="3" s="1"/>
  <c r="H3383" i="3" a="1"/>
  <c r="H3383" i="3" s="1"/>
  <c r="H3384" i="3" a="1"/>
  <c r="H3384" i="3" s="1"/>
  <c r="H3385" i="3" a="1"/>
  <c r="H3385" i="3" s="1"/>
  <c r="H3386" i="3" a="1"/>
  <c r="H3386" i="3" s="1"/>
  <c r="H3387" i="3" a="1"/>
  <c r="H3387" i="3" s="1"/>
  <c r="H3388" i="3" a="1"/>
  <c r="H3388" i="3" s="1"/>
  <c r="H3389" i="3" a="1"/>
  <c r="H3389" i="3" s="1"/>
  <c r="H3390" i="3" a="1"/>
  <c r="H3390" i="3" s="1"/>
  <c r="H3391" i="3" a="1"/>
  <c r="H3391" i="3" s="1"/>
  <c r="H3392" i="3" a="1"/>
  <c r="H3392" i="3" s="1"/>
  <c r="H3393" i="3" a="1"/>
  <c r="H3393" i="3" s="1"/>
  <c r="H3394" i="3" a="1"/>
  <c r="H3394" i="3" s="1"/>
  <c r="H3395" i="3" a="1"/>
  <c r="H3395" i="3" s="1"/>
  <c r="H3396" i="3" a="1"/>
  <c r="H3396" i="3" s="1"/>
  <c r="H3397" i="3" a="1"/>
  <c r="H3397" i="3" s="1"/>
  <c r="H3398" i="3" a="1"/>
  <c r="H3398" i="3" s="1"/>
  <c r="H3399" i="3" a="1"/>
  <c r="H3399" i="3" s="1"/>
  <c r="H3400" i="3" a="1"/>
  <c r="H3400" i="3" s="1"/>
  <c r="H3401" i="3" a="1"/>
  <c r="H3401" i="3" s="1"/>
  <c r="H3402" i="3" a="1"/>
  <c r="H3402" i="3" s="1"/>
  <c r="H3403" i="3" a="1"/>
  <c r="H3403" i="3" s="1"/>
  <c r="H3404" i="3" a="1"/>
  <c r="H3404" i="3" s="1"/>
  <c r="H3405" i="3" a="1"/>
  <c r="H3405" i="3" s="1"/>
  <c r="H3406" i="3" a="1"/>
  <c r="H3406" i="3" s="1"/>
  <c r="H3407" i="3" a="1"/>
  <c r="H3407" i="3" s="1"/>
  <c r="H3408" i="3" a="1"/>
  <c r="H3408" i="3" s="1"/>
  <c r="H3409" i="3" a="1"/>
  <c r="H3409" i="3" s="1"/>
  <c r="H3410" i="3" a="1"/>
  <c r="H3410" i="3" s="1"/>
  <c r="H3411" i="3" a="1"/>
  <c r="H3411" i="3" s="1"/>
  <c r="H3412" i="3" a="1"/>
  <c r="H3412" i="3" s="1"/>
  <c r="H3413" i="3" a="1"/>
  <c r="H3413" i="3" s="1"/>
  <c r="H3414" i="3" a="1"/>
  <c r="H3414" i="3" s="1"/>
  <c r="H3415" i="3" a="1"/>
  <c r="H3415" i="3" s="1"/>
  <c r="H3416" i="3" a="1"/>
  <c r="H3416" i="3" s="1"/>
  <c r="H3417" i="3" a="1"/>
  <c r="H3417" i="3" s="1"/>
  <c r="H3418" i="3" a="1"/>
  <c r="H3418" i="3" s="1"/>
  <c r="H3419" i="3" a="1"/>
  <c r="H3419" i="3" s="1"/>
  <c r="H3420" i="3" a="1"/>
  <c r="H3420" i="3" s="1"/>
  <c r="H3421" i="3" a="1"/>
  <c r="H3421" i="3" s="1"/>
  <c r="H3422" i="3" a="1"/>
  <c r="H3422" i="3" s="1"/>
  <c r="H3423" i="3" a="1"/>
  <c r="H3423" i="3" s="1"/>
  <c r="H3424" i="3" a="1"/>
  <c r="H3424" i="3" s="1"/>
  <c r="H3425" i="3" a="1"/>
  <c r="H3425" i="3" s="1"/>
  <c r="H3426" i="3" a="1"/>
  <c r="H3426" i="3" s="1"/>
  <c r="H3427" i="3" a="1"/>
  <c r="H3427" i="3" s="1"/>
  <c r="H3428" i="3" a="1"/>
  <c r="H3428" i="3" s="1"/>
  <c r="H3429" i="3" a="1"/>
  <c r="H3429" i="3" s="1"/>
  <c r="H3430" i="3" a="1"/>
  <c r="H3430" i="3" s="1"/>
  <c r="H3431" i="3" a="1"/>
  <c r="H3431" i="3" s="1"/>
  <c r="H3432" i="3" a="1"/>
  <c r="H3432" i="3" s="1"/>
  <c r="H3433" i="3" a="1"/>
  <c r="H3433" i="3" s="1"/>
  <c r="H3434" i="3" a="1"/>
  <c r="H3434" i="3" s="1"/>
  <c r="H3435" i="3" a="1"/>
  <c r="H3435" i="3" s="1"/>
  <c r="H3436" i="3" a="1"/>
  <c r="H3436" i="3" s="1"/>
  <c r="H3437" i="3" a="1"/>
  <c r="H3437" i="3" s="1"/>
  <c r="H3438" i="3" a="1"/>
  <c r="H3438" i="3" s="1"/>
  <c r="H3439" i="3" a="1"/>
  <c r="H3439" i="3" s="1"/>
  <c r="H3440" i="3" a="1"/>
  <c r="H3440" i="3" s="1"/>
  <c r="H3441" i="3" a="1"/>
  <c r="H3441" i="3" s="1"/>
  <c r="H3442" i="3" a="1"/>
  <c r="H3442" i="3" s="1"/>
  <c r="H3443" i="3" a="1"/>
  <c r="H3443" i="3" s="1"/>
  <c r="H3444" i="3" a="1"/>
  <c r="H3444" i="3" s="1"/>
  <c r="H3445" i="3" a="1"/>
  <c r="H3445" i="3" s="1"/>
  <c r="H3446" i="3" a="1"/>
  <c r="H3446" i="3" s="1"/>
  <c r="H3447" i="3" a="1"/>
  <c r="H3447" i="3" s="1"/>
  <c r="H3448" i="3" a="1"/>
  <c r="H3448" i="3" s="1"/>
  <c r="H3449" i="3" a="1"/>
  <c r="H3449" i="3" s="1"/>
  <c r="H3450" i="3" a="1"/>
  <c r="H3450" i="3" s="1"/>
  <c r="H3451" i="3" a="1"/>
  <c r="H3451" i="3" s="1"/>
  <c r="H3452" i="3" a="1"/>
  <c r="H3452" i="3" s="1"/>
  <c r="H3453" i="3" a="1"/>
  <c r="H3453" i="3" s="1"/>
  <c r="H3454" i="3" a="1"/>
  <c r="H3454" i="3" s="1"/>
  <c r="H3455" i="3" a="1"/>
  <c r="H3455" i="3" s="1"/>
  <c r="H3456" i="3" a="1"/>
  <c r="H3456" i="3" s="1"/>
  <c r="H3457" i="3" a="1"/>
  <c r="H3457" i="3" s="1"/>
  <c r="H3458" i="3" a="1"/>
  <c r="H3458" i="3" s="1"/>
  <c r="H3459" i="3" a="1"/>
  <c r="H3459" i="3" s="1"/>
  <c r="H3460" i="3" a="1"/>
  <c r="H3460" i="3" s="1"/>
  <c r="H3461" i="3" a="1"/>
  <c r="H3461" i="3" s="1"/>
  <c r="H3462" i="3" a="1"/>
  <c r="H3462" i="3" s="1"/>
  <c r="H3463" i="3" a="1"/>
  <c r="H3463" i="3" s="1"/>
  <c r="H3464" i="3" a="1"/>
  <c r="H3464" i="3" s="1"/>
  <c r="H3465" i="3" a="1"/>
  <c r="H3465" i="3" s="1"/>
  <c r="H3466" i="3" a="1"/>
  <c r="H3466" i="3" s="1"/>
  <c r="H3467" i="3" a="1"/>
  <c r="H3467" i="3" s="1"/>
  <c r="H3468" i="3" a="1"/>
  <c r="H3468" i="3" s="1"/>
  <c r="H3469" i="3" a="1"/>
  <c r="H3469" i="3" s="1"/>
  <c r="H3470" i="3" a="1"/>
  <c r="H3470" i="3" s="1"/>
  <c r="H3471" i="3" a="1"/>
  <c r="H3471" i="3" s="1"/>
  <c r="H3472" i="3" a="1"/>
  <c r="H3472" i="3" s="1"/>
  <c r="H3473" i="3" a="1"/>
  <c r="H3473" i="3" s="1"/>
  <c r="H3474" i="3" a="1"/>
  <c r="H3474" i="3" s="1"/>
  <c r="H3475" i="3" a="1"/>
  <c r="H3475" i="3" s="1"/>
  <c r="H3476" i="3" a="1"/>
  <c r="H3476" i="3" s="1"/>
  <c r="H3477" i="3" a="1"/>
  <c r="H3477" i="3" s="1"/>
  <c r="H3478" i="3" a="1"/>
  <c r="H3478" i="3" s="1"/>
  <c r="H3479" i="3" a="1"/>
  <c r="H3479" i="3" s="1"/>
  <c r="H3480" i="3" a="1"/>
  <c r="H3480" i="3" s="1"/>
  <c r="H3481" i="3" a="1"/>
  <c r="H3481" i="3" s="1"/>
  <c r="H3482" i="3" a="1"/>
  <c r="H3482" i="3" s="1"/>
  <c r="H3483" i="3" a="1"/>
  <c r="H3483" i="3" s="1"/>
  <c r="H3484" i="3" a="1"/>
  <c r="H3484" i="3" s="1"/>
  <c r="H3485" i="3" a="1"/>
  <c r="H3485" i="3" s="1"/>
  <c r="H3486" i="3" a="1"/>
  <c r="H3486" i="3" s="1"/>
  <c r="H3487" i="3" a="1"/>
  <c r="H3487" i="3" s="1"/>
  <c r="H3488" i="3" a="1"/>
  <c r="H3488" i="3" s="1"/>
  <c r="H3489" i="3" a="1"/>
  <c r="H3489" i="3" s="1"/>
  <c r="H3490" i="3" a="1"/>
  <c r="H3490" i="3" s="1"/>
  <c r="H3491" i="3" a="1"/>
  <c r="H3491" i="3" s="1"/>
  <c r="H3492" i="3" a="1"/>
  <c r="H3492" i="3" s="1"/>
  <c r="H3493" i="3" a="1"/>
  <c r="H3493" i="3" s="1"/>
  <c r="H3494" i="3" a="1"/>
  <c r="H3494" i="3" s="1"/>
  <c r="H3495" i="3" a="1"/>
  <c r="H3495" i="3" s="1"/>
  <c r="H3496" i="3" a="1"/>
  <c r="H3496" i="3" s="1"/>
  <c r="H3497" i="3" a="1"/>
  <c r="H3497" i="3" s="1"/>
  <c r="H3498" i="3" a="1"/>
  <c r="H3498" i="3" s="1"/>
  <c r="H3499" i="3" a="1"/>
  <c r="H3499" i="3" s="1"/>
  <c r="H3500" i="3" a="1"/>
  <c r="H3500" i="3" s="1"/>
  <c r="H3501" i="3" a="1"/>
  <c r="H3501" i="3" s="1"/>
  <c r="H3502" i="3" a="1"/>
  <c r="H3502" i="3" s="1"/>
  <c r="H3503" i="3" a="1"/>
  <c r="H3503" i="3" s="1"/>
  <c r="H3504" i="3" a="1"/>
  <c r="H3504" i="3" s="1"/>
  <c r="H3505" i="3" a="1"/>
  <c r="H3505" i="3" s="1"/>
  <c r="H3506" i="3" a="1"/>
  <c r="H3506" i="3" s="1"/>
  <c r="H3507" i="3" a="1"/>
  <c r="H3507" i="3" s="1"/>
  <c r="H3508" i="3" a="1"/>
  <c r="H3508" i="3" s="1"/>
  <c r="H3509" i="3" a="1"/>
  <c r="H3509" i="3" s="1"/>
  <c r="H3510" i="3" a="1"/>
  <c r="H3510" i="3" s="1"/>
  <c r="H3511" i="3" a="1"/>
  <c r="H3511" i="3" s="1"/>
  <c r="H3512" i="3" a="1"/>
  <c r="H3512" i="3" s="1"/>
  <c r="H3513" i="3" a="1"/>
  <c r="H3513" i="3" s="1"/>
  <c r="H3514" i="3" a="1"/>
  <c r="H3514" i="3" s="1"/>
  <c r="H3515" i="3" a="1"/>
  <c r="H3515" i="3" s="1"/>
  <c r="H3516" i="3" a="1"/>
  <c r="H3516" i="3" s="1"/>
  <c r="H3517" i="3" a="1"/>
  <c r="H3517" i="3" s="1"/>
  <c r="H3518" i="3" a="1"/>
  <c r="H3518" i="3" s="1"/>
  <c r="H3519" i="3" a="1"/>
  <c r="H3519" i="3" s="1"/>
  <c r="H3520" i="3" a="1"/>
  <c r="H3520" i="3" s="1"/>
  <c r="H3521" i="3" a="1"/>
  <c r="H3521" i="3" s="1"/>
  <c r="H3522" i="3" a="1"/>
  <c r="H3522" i="3" s="1"/>
  <c r="H3523" i="3" a="1"/>
  <c r="H3523" i="3" s="1"/>
  <c r="H3524" i="3" a="1"/>
  <c r="H3524" i="3" s="1"/>
  <c r="H3525" i="3" a="1"/>
  <c r="H3525" i="3" s="1"/>
  <c r="H3526" i="3" a="1"/>
  <c r="H3526" i="3" s="1"/>
  <c r="H3527" i="3" a="1"/>
  <c r="H3527" i="3" s="1"/>
  <c r="H3528" i="3" a="1"/>
  <c r="H3528" i="3" s="1"/>
  <c r="H3529" i="3" a="1"/>
  <c r="H3529" i="3" s="1"/>
  <c r="H3530" i="3" a="1"/>
  <c r="H3530" i="3" s="1"/>
  <c r="H3531" i="3" a="1"/>
  <c r="H3531" i="3" s="1"/>
  <c r="H3532" i="3" a="1"/>
  <c r="H3532" i="3" s="1"/>
  <c r="H3533" i="3" a="1"/>
  <c r="H3533" i="3" s="1"/>
  <c r="H3534" i="3" a="1"/>
  <c r="H3534" i="3" s="1"/>
  <c r="H3535" i="3" a="1"/>
  <c r="H3535" i="3" s="1"/>
  <c r="H3536" i="3" a="1"/>
  <c r="H3536" i="3" s="1"/>
  <c r="H3537" i="3" a="1"/>
  <c r="H3537" i="3" s="1"/>
  <c r="H3538" i="3" a="1"/>
  <c r="H3538" i="3" s="1"/>
  <c r="H3539" i="3" a="1"/>
  <c r="H3539" i="3" s="1"/>
  <c r="H3540" i="3" a="1"/>
  <c r="H3540" i="3" s="1"/>
  <c r="H3541" i="3" a="1"/>
  <c r="H3541" i="3" s="1"/>
  <c r="H3542" i="3" a="1"/>
  <c r="H3542" i="3" s="1"/>
  <c r="H3543" i="3" a="1"/>
  <c r="H3543" i="3" s="1"/>
  <c r="H3544" i="3" a="1"/>
  <c r="H3544" i="3" s="1"/>
  <c r="H3545" i="3" a="1"/>
  <c r="H3545" i="3" s="1"/>
  <c r="H3546" i="3" a="1"/>
  <c r="H3546" i="3" s="1"/>
  <c r="H3547" i="3" a="1"/>
  <c r="H3547" i="3" s="1"/>
  <c r="H3548" i="3" a="1"/>
  <c r="H3548" i="3" s="1"/>
  <c r="H3549" i="3" a="1"/>
  <c r="H3549" i="3" s="1"/>
  <c r="H3550" i="3" a="1"/>
  <c r="H3550" i="3" s="1"/>
  <c r="H3551" i="3" a="1"/>
  <c r="H3551" i="3" s="1"/>
  <c r="H3552" i="3" a="1"/>
  <c r="H3552" i="3" s="1"/>
  <c r="H3553" i="3" a="1"/>
  <c r="H3553" i="3" s="1"/>
  <c r="H3554" i="3" a="1"/>
  <c r="H3554" i="3" s="1"/>
  <c r="H3555" i="3" a="1"/>
  <c r="H3555" i="3" s="1"/>
  <c r="H3556" i="3" a="1"/>
  <c r="H3556" i="3" s="1"/>
  <c r="H3557" i="3" a="1"/>
  <c r="H3557" i="3" s="1"/>
  <c r="H3558" i="3" a="1"/>
  <c r="H3558" i="3" s="1"/>
  <c r="H3559" i="3" a="1"/>
  <c r="H3559" i="3" s="1"/>
  <c r="H3560" i="3" a="1"/>
  <c r="H3560" i="3" s="1"/>
  <c r="H3561" i="3" a="1"/>
  <c r="H3561" i="3" s="1"/>
  <c r="H3562" i="3" a="1"/>
  <c r="H3562" i="3" s="1"/>
  <c r="H3563" i="3" a="1"/>
  <c r="H3563" i="3" s="1"/>
  <c r="H3564" i="3" a="1"/>
  <c r="H3564" i="3" s="1"/>
  <c r="H3565" i="3" a="1"/>
  <c r="H3565" i="3" s="1"/>
  <c r="H3566" i="3" a="1"/>
  <c r="H3566" i="3" s="1"/>
  <c r="H3567" i="3" a="1"/>
  <c r="H3567" i="3" s="1"/>
  <c r="H3568" i="3" a="1"/>
  <c r="H3568" i="3" s="1"/>
  <c r="H3569" i="3" a="1"/>
  <c r="H3569" i="3" s="1"/>
  <c r="H3570" i="3" a="1"/>
  <c r="H3570" i="3" s="1"/>
  <c r="H3571" i="3" a="1"/>
  <c r="H3571" i="3" s="1"/>
  <c r="H3572" i="3" a="1"/>
  <c r="H3572" i="3" s="1"/>
  <c r="H3573" i="3" a="1"/>
  <c r="H3573" i="3" s="1"/>
  <c r="H3574" i="3" a="1"/>
  <c r="H3574" i="3" s="1"/>
  <c r="H3575" i="3" a="1"/>
  <c r="H3575" i="3" s="1"/>
  <c r="H3576" i="3" a="1"/>
  <c r="H3576" i="3" s="1"/>
  <c r="H3577" i="3" a="1"/>
  <c r="H3577" i="3" s="1"/>
  <c r="H3578" i="3" a="1"/>
  <c r="H3578" i="3" s="1"/>
  <c r="H3579" i="3" a="1"/>
  <c r="H3579" i="3" s="1"/>
  <c r="H3580" i="3" a="1"/>
  <c r="H3580" i="3" s="1"/>
  <c r="H3581" i="3" a="1"/>
  <c r="H3581" i="3" s="1"/>
  <c r="H3582" i="3" a="1"/>
  <c r="H3582" i="3" s="1"/>
  <c r="H3583" i="3" a="1"/>
  <c r="H3583" i="3" s="1"/>
  <c r="H3584" i="3" a="1"/>
  <c r="H3584" i="3" s="1"/>
  <c r="H3585" i="3" a="1"/>
  <c r="H3585" i="3" s="1"/>
  <c r="H3586" i="3" a="1"/>
  <c r="H3586" i="3" s="1"/>
  <c r="H3587" i="3" a="1"/>
  <c r="H3587" i="3" s="1"/>
  <c r="H3588" i="3" a="1"/>
  <c r="H3588" i="3" s="1"/>
  <c r="H3589" i="3" a="1"/>
  <c r="H3589" i="3" s="1"/>
  <c r="H3590" i="3" a="1"/>
  <c r="H3590" i="3" s="1"/>
  <c r="H3591" i="3" a="1"/>
  <c r="H3591" i="3" s="1"/>
  <c r="H3592" i="3" a="1"/>
  <c r="H3592" i="3" s="1"/>
  <c r="H3593" i="3" a="1"/>
  <c r="H3593" i="3" s="1"/>
  <c r="H3594" i="3" a="1"/>
  <c r="H3594" i="3" s="1"/>
  <c r="H3595" i="3" a="1"/>
  <c r="H3595" i="3" s="1"/>
  <c r="H3596" i="3" a="1"/>
  <c r="H3596" i="3" s="1"/>
  <c r="H3597" i="3" a="1"/>
  <c r="H3597" i="3" s="1"/>
  <c r="H3598" i="3" a="1"/>
  <c r="H3598" i="3" s="1"/>
  <c r="H3599" i="3" a="1"/>
  <c r="H3599" i="3" s="1"/>
  <c r="H3600" i="3" a="1"/>
  <c r="H3600" i="3" s="1"/>
  <c r="H3601" i="3" a="1"/>
  <c r="H3601" i="3" s="1"/>
  <c r="H3602" i="3" a="1"/>
  <c r="H3602" i="3" s="1"/>
  <c r="H3603" i="3" a="1"/>
  <c r="H3603" i="3" s="1"/>
  <c r="H3604" i="3" a="1"/>
  <c r="H3604" i="3" s="1"/>
  <c r="H3605" i="3" a="1"/>
  <c r="H3605" i="3" s="1"/>
  <c r="H3606" i="3" a="1"/>
  <c r="H3606" i="3" s="1"/>
  <c r="H3607" i="3" a="1"/>
  <c r="H3607" i="3" s="1"/>
  <c r="H3608" i="3" a="1"/>
  <c r="H3608" i="3" s="1"/>
  <c r="H3609" i="3" a="1"/>
  <c r="H3609" i="3" s="1"/>
  <c r="H3610" i="3" a="1"/>
  <c r="H3610" i="3" s="1"/>
  <c r="H3611" i="3" a="1"/>
  <c r="H3611" i="3" s="1"/>
  <c r="H3612" i="3" a="1"/>
  <c r="H3612" i="3" s="1"/>
  <c r="H3613" i="3" a="1"/>
  <c r="H3613" i="3" s="1"/>
  <c r="H3614" i="3" a="1"/>
  <c r="H3614" i="3" s="1"/>
  <c r="H3615" i="3" a="1"/>
  <c r="H3615" i="3" s="1"/>
  <c r="H3616" i="3" a="1"/>
  <c r="H3616" i="3" s="1"/>
  <c r="H3617" i="3" a="1"/>
  <c r="H3617" i="3" s="1"/>
  <c r="H3618" i="3" a="1"/>
  <c r="H3618" i="3" s="1"/>
  <c r="H3619" i="3" a="1"/>
  <c r="H3619" i="3" s="1"/>
  <c r="H3620" i="3" a="1"/>
  <c r="H3620" i="3" s="1"/>
  <c r="H3621" i="3" a="1"/>
  <c r="H3621" i="3" s="1"/>
  <c r="H3622" i="3" a="1"/>
  <c r="H3622" i="3" s="1"/>
  <c r="H3623" i="3" a="1"/>
  <c r="H3623" i="3" s="1"/>
  <c r="H3624" i="3" a="1"/>
  <c r="H3624" i="3" s="1"/>
  <c r="H3625" i="3" a="1"/>
  <c r="H3625" i="3" s="1"/>
  <c r="H3626" i="3" a="1"/>
  <c r="H3626" i="3" s="1"/>
  <c r="H3627" i="3" a="1"/>
  <c r="H3627" i="3" s="1"/>
  <c r="H3628" i="3" a="1"/>
  <c r="H3628" i="3" s="1"/>
  <c r="H3629" i="3" a="1"/>
  <c r="H3629" i="3" s="1"/>
  <c r="H3630" i="3" a="1"/>
  <c r="H3630" i="3" s="1"/>
  <c r="H3631" i="3" a="1"/>
  <c r="H3631" i="3" s="1"/>
  <c r="H3632" i="3" a="1"/>
  <c r="H3632" i="3" s="1"/>
  <c r="H3633" i="3" a="1"/>
  <c r="H3633" i="3" s="1"/>
  <c r="H3634" i="3" a="1"/>
  <c r="H3634" i="3" s="1"/>
  <c r="H3635" i="3" a="1"/>
  <c r="H3635" i="3" s="1"/>
  <c r="H3636" i="3" a="1"/>
  <c r="H3636" i="3" s="1"/>
  <c r="H3637" i="3" a="1"/>
  <c r="H3637" i="3" s="1"/>
  <c r="H3638" i="3" a="1"/>
  <c r="H3638" i="3" s="1"/>
  <c r="H3639" i="3" a="1"/>
  <c r="H3639" i="3" s="1"/>
  <c r="H3640" i="3" a="1"/>
  <c r="H3640" i="3" s="1"/>
  <c r="H3641" i="3" a="1"/>
  <c r="H3641" i="3" s="1"/>
  <c r="H3642" i="3" a="1"/>
  <c r="H3642" i="3" s="1"/>
  <c r="H3643" i="3" a="1"/>
  <c r="H3643" i="3" s="1"/>
  <c r="H3644" i="3" a="1"/>
  <c r="H3644" i="3" s="1"/>
  <c r="H3645" i="3" a="1"/>
  <c r="H3645" i="3" s="1"/>
  <c r="H3646" i="3" a="1"/>
  <c r="H3646" i="3" s="1"/>
  <c r="H3647" i="3" a="1"/>
  <c r="H3647" i="3" s="1"/>
  <c r="H3648" i="3" a="1"/>
  <c r="H3648" i="3" s="1"/>
  <c r="H3649" i="3" a="1"/>
  <c r="H3649" i="3" s="1"/>
  <c r="H3650" i="3" a="1"/>
  <c r="H3650" i="3" s="1"/>
  <c r="H3651" i="3" a="1"/>
  <c r="H3651" i="3" s="1"/>
  <c r="H3652" i="3" a="1"/>
  <c r="H3652" i="3" s="1"/>
  <c r="H3653" i="3" a="1"/>
  <c r="H3653" i="3" s="1"/>
  <c r="H3654" i="3" a="1"/>
  <c r="H3654" i="3" s="1"/>
  <c r="H3655" i="3" a="1"/>
  <c r="H3655" i="3" s="1"/>
  <c r="H3656" i="3" a="1"/>
  <c r="H3656" i="3" s="1"/>
  <c r="H3657" i="3" a="1"/>
  <c r="H3657" i="3" s="1"/>
  <c r="H3658" i="3" a="1"/>
  <c r="H3658" i="3" s="1"/>
  <c r="H3659" i="3" a="1"/>
  <c r="H3659" i="3" s="1"/>
  <c r="H3660" i="3" a="1"/>
  <c r="H3660" i="3" s="1"/>
  <c r="H3661" i="3" a="1"/>
  <c r="H3661" i="3" s="1"/>
  <c r="H3662" i="3" a="1"/>
  <c r="H3662" i="3" s="1"/>
  <c r="H3663" i="3" a="1"/>
  <c r="H3663" i="3" s="1"/>
  <c r="H3664" i="3" a="1"/>
  <c r="H3664" i="3" s="1"/>
  <c r="H3665" i="3" a="1"/>
  <c r="H3665" i="3" s="1"/>
  <c r="H3666" i="3" a="1"/>
  <c r="H3666" i="3" s="1"/>
  <c r="H3667" i="3" a="1"/>
  <c r="H3667" i="3" s="1"/>
  <c r="H3668" i="3" a="1"/>
  <c r="H3668" i="3" s="1"/>
  <c r="H3669" i="3" a="1"/>
  <c r="H3669" i="3" s="1"/>
  <c r="H3670" i="3" a="1"/>
  <c r="H3670" i="3" s="1"/>
  <c r="H3671" i="3" a="1"/>
  <c r="H3671" i="3" s="1"/>
  <c r="H3672" i="3" a="1"/>
  <c r="H3672" i="3" s="1"/>
  <c r="H3673" i="3" a="1"/>
  <c r="H3673" i="3" s="1"/>
  <c r="H3674" i="3" a="1"/>
  <c r="H3674" i="3" s="1"/>
  <c r="H3675" i="3" a="1"/>
  <c r="H3675" i="3" s="1"/>
  <c r="H3676" i="3" a="1"/>
  <c r="H3676" i="3" s="1"/>
  <c r="H3677" i="3" a="1"/>
  <c r="H3677" i="3" s="1"/>
  <c r="H3678" i="3" a="1"/>
  <c r="H3678" i="3" s="1"/>
  <c r="H3679" i="3" a="1"/>
  <c r="H3679" i="3" s="1"/>
  <c r="H3680" i="3" a="1"/>
  <c r="H3680" i="3" s="1"/>
  <c r="H3681" i="3" a="1"/>
  <c r="H3681" i="3" s="1"/>
  <c r="H3682" i="3" a="1"/>
  <c r="H3682" i="3" s="1"/>
  <c r="H3683" i="3" a="1"/>
  <c r="H3683" i="3" s="1"/>
  <c r="H3684" i="3" a="1"/>
  <c r="H3684" i="3" s="1"/>
  <c r="H3685" i="3" a="1"/>
  <c r="H3685" i="3" s="1"/>
  <c r="H3686" i="3" a="1"/>
  <c r="H3686" i="3" s="1"/>
  <c r="H3687" i="3" a="1"/>
  <c r="H3687" i="3" s="1"/>
  <c r="H3688" i="3" a="1"/>
  <c r="H3688" i="3" s="1"/>
  <c r="H3689" i="3" a="1"/>
  <c r="H3689" i="3" s="1"/>
  <c r="H3690" i="3" a="1"/>
  <c r="H3690" i="3" s="1"/>
  <c r="H3691" i="3" a="1"/>
  <c r="H3691" i="3" s="1"/>
  <c r="H3692" i="3" a="1"/>
  <c r="H3692" i="3" s="1"/>
  <c r="H3693" i="3" a="1"/>
  <c r="H3693" i="3" s="1"/>
  <c r="H3694" i="3" a="1"/>
  <c r="H3694" i="3" s="1"/>
  <c r="H3695" i="3" a="1"/>
  <c r="H3695" i="3" s="1"/>
  <c r="H3696" i="3" a="1"/>
  <c r="H3696" i="3" s="1"/>
  <c r="H3697" i="3" a="1"/>
  <c r="H3697" i="3" s="1"/>
  <c r="H3698" i="3" a="1"/>
  <c r="H3698" i="3" s="1"/>
  <c r="H3699" i="3" a="1"/>
  <c r="H3699" i="3" s="1"/>
  <c r="H3700" i="3" a="1"/>
  <c r="H3700" i="3" s="1"/>
  <c r="H3701" i="3" a="1"/>
  <c r="H3701" i="3" s="1"/>
  <c r="H3702" i="3" a="1"/>
  <c r="H3702" i="3" s="1"/>
  <c r="H3703" i="3" a="1"/>
  <c r="H3703" i="3" s="1"/>
  <c r="H3704" i="3" a="1"/>
  <c r="H3704" i="3" s="1"/>
  <c r="H3705" i="3" a="1"/>
  <c r="H3705" i="3" s="1"/>
  <c r="H3706" i="3" a="1"/>
  <c r="H3706" i="3" s="1"/>
  <c r="H3707" i="3" a="1"/>
  <c r="H3707" i="3" s="1"/>
  <c r="H3708" i="3" a="1"/>
  <c r="H3708" i="3" s="1"/>
  <c r="H3709" i="3" a="1"/>
  <c r="H3709" i="3" s="1"/>
  <c r="H3710" i="3" a="1"/>
  <c r="H3710" i="3" s="1"/>
  <c r="H3711" i="3" a="1"/>
  <c r="H3711" i="3" s="1"/>
  <c r="H3712" i="3" a="1"/>
  <c r="H3712" i="3" s="1"/>
  <c r="H3713" i="3" a="1"/>
  <c r="H3713" i="3" s="1"/>
  <c r="H3714" i="3" a="1"/>
  <c r="H3714" i="3" s="1"/>
  <c r="H3715" i="3" a="1"/>
  <c r="H3715" i="3" s="1"/>
  <c r="H3716" i="3" a="1"/>
  <c r="H3716" i="3" s="1"/>
  <c r="H3717" i="3" a="1"/>
  <c r="H3717" i="3" s="1"/>
  <c r="H3718" i="3" a="1"/>
  <c r="H3718" i="3" s="1"/>
  <c r="H3719" i="3" a="1"/>
  <c r="H3719" i="3" s="1"/>
  <c r="H3720" i="3" a="1"/>
  <c r="H3720" i="3" s="1"/>
  <c r="H3721" i="3" a="1"/>
  <c r="H3721" i="3" s="1"/>
  <c r="H3722" i="3" a="1"/>
  <c r="H3722" i="3" s="1"/>
  <c r="H3723" i="3" a="1"/>
  <c r="H3723" i="3" s="1"/>
  <c r="H3724" i="3" a="1"/>
  <c r="H3724" i="3" s="1"/>
  <c r="H3725" i="3" a="1"/>
  <c r="H3725" i="3" s="1"/>
  <c r="H3726" i="3" a="1"/>
  <c r="H3726" i="3" s="1"/>
  <c r="H3727" i="3" a="1"/>
  <c r="H3727" i="3" s="1"/>
  <c r="H3728" i="3" a="1"/>
  <c r="H3728" i="3" s="1"/>
  <c r="H3729" i="3" a="1"/>
  <c r="H3729" i="3" s="1"/>
  <c r="H3730" i="3" a="1"/>
  <c r="H3730" i="3" s="1"/>
  <c r="H3731" i="3" a="1"/>
  <c r="H3731" i="3" s="1"/>
  <c r="H3732" i="3" a="1"/>
  <c r="H3732" i="3" s="1"/>
  <c r="H3733" i="3" a="1"/>
  <c r="H3733" i="3" s="1"/>
  <c r="H3734" i="3" a="1"/>
  <c r="H3734" i="3" s="1"/>
  <c r="H3735" i="3" a="1"/>
  <c r="H3735" i="3" s="1"/>
  <c r="H3736" i="3" a="1"/>
  <c r="H3736" i="3" s="1"/>
  <c r="H3737" i="3" a="1"/>
  <c r="H3737" i="3" s="1"/>
  <c r="H3738" i="3" a="1"/>
  <c r="H3738" i="3" s="1"/>
  <c r="H3739" i="3" a="1"/>
  <c r="H3739" i="3" s="1"/>
  <c r="H3740" i="3" a="1"/>
  <c r="H3740" i="3" s="1"/>
  <c r="H3741" i="3" a="1"/>
  <c r="H3741" i="3" s="1"/>
  <c r="H3742" i="3" a="1"/>
  <c r="H3742" i="3" s="1"/>
  <c r="H3743" i="3" a="1"/>
  <c r="H3743" i="3" s="1"/>
  <c r="H3744" i="3" a="1"/>
  <c r="H3744" i="3" s="1"/>
  <c r="H3745" i="3" a="1"/>
  <c r="H3745" i="3" s="1"/>
  <c r="H3746" i="3" a="1"/>
  <c r="H3746" i="3" s="1"/>
  <c r="H3747" i="3" a="1"/>
  <c r="H3747" i="3" s="1"/>
  <c r="H3748" i="3" a="1"/>
  <c r="H3748" i="3" s="1"/>
  <c r="H3749" i="3" a="1"/>
  <c r="H3749" i="3" s="1"/>
  <c r="H3750" i="3" a="1"/>
  <c r="H3750" i="3" s="1"/>
  <c r="H3751" i="3" a="1"/>
  <c r="H3751" i="3" s="1"/>
  <c r="H3752" i="3" a="1"/>
  <c r="H3752" i="3" s="1"/>
  <c r="H3753" i="3" a="1"/>
  <c r="H3753" i="3" s="1"/>
  <c r="H3754" i="3" a="1"/>
  <c r="H3754" i="3" s="1"/>
  <c r="H3755" i="3" a="1"/>
  <c r="H3755" i="3" s="1"/>
  <c r="H3756" i="3" a="1"/>
  <c r="H3756" i="3" s="1"/>
  <c r="H3757" i="3" a="1"/>
  <c r="H3757" i="3" s="1"/>
  <c r="H3758" i="3" a="1"/>
  <c r="H3758" i="3" s="1"/>
  <c r="H3759" i="3" a="1"/>
  <c r="H3759" i="3" s="1"/>
  <c r="H3760" i="3" a="1"/>
  <c r="H3760" i="3" s="1"/>
  <c r="H3761" i="3" a="1"/>
  <c r="H3761" i="3" s="1"/>
  <c r="H3762" i="3" a="1"/>
  <c r="H3762" i="3" s="1"/>
  <c r="H3763" i="3" a="1"/>
  <c r="H3763" i="3" s="1"/>
  <c r="H3764" i="3" a="1"/>
  <c r="H3764" i="3" s="1"/>
  <c r="H3765" i="3" a="1"/>
  <c r="H3765" i="3" s="1"/>
  <c r="H3766" i="3" a="1"/>
  <c r="H3766" i="3" s="1"/>
  <c r="H3767" i="3" a="1"/>
  <c r="H3767" i="3" s="1"/>
  <c r="H3768" i="3" a="1"/>
  <c r="H3768" i="3" s="1"/>
  <c r="H3769" i="3" a="1"/>
  <c r="H3769" i="3" s="1"/>
  <c r="H3770" i="3" a="1"/>
  <c r="H3770" i="3" s="1"/>
  <c r="H3771" i="3" a="1"/>
  <c r="H3771" i="3" s="1"/>
  <c r="H3772" i="3" a="1"/>
  <c r="H3772" i="3" s="1"/>
  <c r="H3773" i="3" a="1"/>
  <c r="H3773" i="3" s="1"/>
  <c r="H3774" i="3" a="1"/>
  <c r="H3774" i="3" s="1"/>
  <c r="H3775" i="3" a="1"/>
  <c r="H3775" i="3" s="1"/>
  <c r="H3776" i="3" a="1"/>
  <c r="H3776" i="3" s="1"/>
  <c r="H3777" i="3" a="1"/>
  <c r="H3777" i="3" s="1"/>
  <c r="H3778" i="3" a="1"/>
  <c r="H3778" i="3" s="1"/>
  <c r="H3779" i="3" a="1"/>
  <c r="H3779" i="3" s="1"/>
  <c r="H3780" i="3" a="1"/>
  <c r="H3780" i="3" s="1"/>
  <c r="H3781" i="3" a="1"/>
  <c r="H3781" i="3" s="1"/>
  <c r="H3782" i="3" a="1"/>
  <c r="H3782" i="3" s="1"/>
  <c r="H3783" i="3" a="1"/>
  <c r="H3783" i="3" s="1"/>
  <c r="H3784" i="3" a="1"/>
  <c r="H3784" i="3" s="1"/>
  <c r="H3785" i="3" a="1"/>
  <c r="H3785" i="3" s="1"/>
  <c r="H3786" i="3" a="1"/>
  <c r="H3786" i="3" s="1"/>
  <c r="H3787" i="3" a="1"/>
  <c r="H3787" i="3" s="1"/>
  <c r="H3788" i="3" a="1"/>
  <c r="H3788" i="3" s="1"/>
  <c r="H3789" i="3" a="1"/>
  <c r="H3789" i="3" s="1"/>
  <c r="H3790" i="3" a="1"/>
  <c r="H3790" i="3" s="1"/>
  <c r="H3791" i="3" a="1"/>
  <c r="H3791" i="3" s="1"/>
  <c r="H3792" i="3" a="1"/>
  <c r="H3792" i="3" s="1"/>
  <c r="H3793" i="3" a="1"/>
  <c r="H3793" i="3" s="1"/>
  <c r="H3794" i="3" a="1"/>
  <c r="H3794" i="3" s="1"/>
  <c r="H3795" i="3" a="1"/>
  <c r="H3795" i="3" s="1"/>
  <c r="H3796" i="3" a="1"/>
  <c r="H3796" i="3" s="1"/>
  <c r="H3797" i="3" a="1"/>
  <c r="H3797" i="3" s="1"/>
  <c r="H3798" i="3" a="1"/>
  <c r="H3798" i="3" s="1"/>
  <c r="H3799" i="3" a="1"/>
  <c r="H3799" i="3" s="1"/>
  <c r="H3800" i="3" a="1"/>
  <c r="H3800" i="3" s="1"/>
  <c r="H3801" i="3" a="1"/>
  <c r="H3801" i="3" s="1"/>
  <c r="H3802" i="3" a="1"/>
  <c r="H3802" i="3" s="1"/>
  <c r="H3803" i="3" a="1"/>
  <c r="H3803" i="3" s="1"/>
  <c r="H3804" i="3" a="1"/>
  <c r="H3804" i="3" s="1"/>
  <c r="H3805" i="3" a="1"/>
  <c r="H3805" i="3" s="1"/>
  <c r="H3806" i="3" a="1"/>
  <c r="H3806" i="3" s="1"/>
  <c r="H3807" i="3" a="1"/>
  <c r="H3807" i="3" s="1"/>
  <c r="H3808" i="3" a="1"/>
  <c r="H3808" i="3" s="1"/>
  <c r="H3809" i="3" a="1"/>
  <c r="H3809" i="3" s="1"/>
  <c r="H3810" i="3" a="1"/>
  <c r="H3810" i="3" s="1"/>
  <c r="H3811" i="3" a="1"/>
  <c r="H3811" i="3" s="1"/>
  <c r="H3812" i="3" a="1"/>
  <c r="H3812" i="3" s="1"/>
  <c r="H3813" i="3" a="1"/>
  <c r="H3813" i="3" s="1"/>
  <c r="H3814" i="3" a="1"/>
  <c r="H3814" i="3" s="1"/>
  <c r="H3815" i="3" a="1"/>
  <c r="H3815" i="3" s="1"/>
  <c r="H3816" i="3" a="1"/>
  <c r="H3816" i="3" s="1"/>
  <c r="H3817" i="3" a="1"/>
  <c r="H3817" i="3" s="1"/>
  <c r="H3818" i="3" a="1"/>
  <c r="H3818" i="3" s="1"/>
  <c r="H3819" i="3" a="1"/>
  <c r="H3819" i="3" s="1"/>
  <c r="H3820" i="3" a="1"/>
  <c r="H3820" i="3" s="1"/>
  <c r="H3821" i="3" a="1"/>
  <c r="H3821" i="3" s="1"/>
  <c r="H3822" i="3" a="1"/>
  <c r="H3822" i="3" s="1"/>
  <c r="H3823" i="3" a="1"/>
  <c r="H3823" i="3" s="1"/>
  <c r="H3824" i="3" a="1"/>
  <c r="H3824" i="3" s="1"/>
  <c r="H3825" i="3" a="1"/>
  <c r="H3825" i="3" s="1"/>
  <c r="H3826" i="3" a="1"/>
  <c r="H3826" i="3" s="1"/>
  <c r="H3827" i="3" a="1"/>
  <c r="H3827" i="3" s="1"/>
  <c r="H3828" i="3" a="1"/>
  <c r="H3828" i="3" s="1"/>
  <c r="H3829" i="3" a="1"/>
  <c r="H3829" i="3" s="1"/>
  <c r="H3830" i="3" a="1"/>
  <c r="H3830" i="3" s="1"/>
  <c r="H3831" i="3" a="1"/>
  <c r="H3831" i="3" s="1"/>
  <c r="H3832" i="3" a="1"/>
  <c r="H3832" i="3" s="1"/>
  <c r="H3833" i="3" a="1"/>
  <c r="H3833" i="3" s="1"/>
  <c r="H3834" i="3" a="1"/>
  <c r="H3834" i="3" s="1"/>
  <c r="H3835" i="3" a="1"/>
  <c r="H3835" i="3" s="1"/>
  <c r="H3836" i="3" a="1"/>
  <c r="H3836" i="3" s="1"/>
  <c r="H3837" i="3" a="1"/>
  <c r="H3837" i="3" s="1"/>
  <c r="H3838" i="3" a="1"/>
  <c r="H3838" i="3" s="1"/>
  <c r="H3839" i="3" a="1"/>
  <c r="H3839" i="3" s="1"/>
  <c r="H3840" i="3" a="1"/>
  <c r="H3840" i="3" s="1"/>
  <c r="H3841" i="3" a="1"/>
  <c r="H3841" i="3" s="1"/>
  <c r="H3842" i="3" a="1"/>
  <c r="H3842" i="3" s="1"/>
  <c r="H3843" i="3" a="1"/>
  <c r="H3843" i="3" s="1"/>
  <c r="H3844" i="3" a="1"/>
  <c r="H3844" i="3" s="1"/>
  <c r="H3845" i="3" a="1"/>
  <c r="H3845" i="3" s="1"/>
  <c r="H3846" i="3" a="1"/>
  <c r="H3846" i="3" s="1"/>
  <c r="H3847" i="3" a="1"/>
  <c r="H3847" i="3" s="1"/>
  <c r="H3848" i="3" a="1"/>
  <c r="H3848" i="3" s="1"/>
  <c r="H3849" i="3" a="1"/>
  <c r="H3849" i="3" s="1"/>
  <c r="H3850" i="3" a="1"/>
  <c r="H3850" i="3" s="1"/>
  <c r="H3851" i="3" a="1"/>
  <c r="H3851" i="3" s="1"/>
  <c r="H3852" i="3" a="1"/>
  <c r="H3852" i="3" s="1"/>
  <c r="H3853" i="3" a="1"/>
  <c r="H3853" i="3" s="1"/>
  <c r="H3854" i="3" a="1"/>
  <c r="H3854" i="3" s="1"/>
  <c r="H3855" i="3" a="1"/>
  <c r="H3855" i="3" s="1"/>
  <c r="H3856" i="3" a="1"/>
  <c r="H3856" i="3" s="1"/>
  <c r="H3857" i="3" a="1"/>
  <c r="H3857" i="3" s="1"/>
  <c r="H3858" i="3" a="1"/>
  <c r="H3858" i="3" s="1"/>
  <c r="H3859" i="3" a="1"/>
  <c r="H3859" i="3" s="1"/>
  <c r="H3860" i="3" a="1"/>
  <c r="H3860" i="3" s="1"/>
  <c r="H3861" i="3" a="1"/>
  <c r="H3861" i="3" s="1"/>
  <c r="H3862" i="3" a="1"/>
  <c r="H3862" i="3" s="1"/>
  <c r="H3863" i="3" a="1"/>
  <c r="H3863" i="3" s="1"/>
  <c r="H3864" i="3" a="1"/>
  <c r="H3864" i="3" s="1"/>
  <c r="H3865" i="3" a="1"/>
  <c r="H3865" i="3" s="1"/>
  <c r="H3866" i="3" a="1"/>
  <c r="H3866" i="3" s="1"/>
  <c r="H3867" i="3" a="1"/>
  <c r="H3867" i="3" s="1"/>
  <c r="H3868" i="3" a="1"/>
  <c r="H3868" i="3" s="1"/>
  <c r="H3869" i="3" a="1"/>
  <c r="H3869" i="3" s="1"/>
  <c r="H3870" i="3" a="1"/>
  <c r="H3870" i="3" s="1"/>
  <c r="H3871" i="3" a="1"/>
  <c r="H3871" i="3" s="1"/>
  <c r="H3872" i="3" a="1"/>
  <c r="H3872" i="3" s="1"/>
  <c r="H3873" i="3" a="1"/>
  <c r="H3873" i="3" s="1"/>
  <c r="H3874" i="3" a="1"/>
  <c r="H3874" i="3" s="1"/>
  <c r="H3875" i="3" a="1"/>
  <c r="H3875" i="3" s="1"/>
  <c r="H3876" i="3" a="1"/>
  <c r="H3876" i="3" s="1"/>
  <c r="H3877" i="3" a="1"/>
  <c r="H3877" i="3" s="1"/>
  <c r="H3878" i="3" a="1"/>
  <c r="H3878" i="3" s="1"/>
  <c r="H3879" i="3" a="1"/>
  <c r="H3879" i="3" s="1"/>
  <c r="H3880" i="3" a="1"/>
  <c r="H3880" i="3" s="1"/>
  <c r="H3881" i="3" a="1"/>
  <c r="H3881" i="3" s="1"/>
  <c r="H3882" i="3" a="1"/>
  <c r="H3882" i="3" s="1"/>
  <c r="H3883" i="3" a="1"/>
  <c r="H3883" i="3" s="1"/>
  <c r="H3884" i="3" a="1"/>
  <c r="H3884" i="3" s="1"/>
  <c r="H3885" i="3" a="1"/>
  <c r="H3885" i="3" s="1"/>
  <c r="H3886" i="3" a="1"/>
  <c r="H3886" i="3" s="1"/>
  <c r="H3887" i="3" a="1"/>
  <c r="H3887" i="3" s="1"/>
  <c r="H3888" i="3" a="1"/>
  <c r="H3888" i="3" s="1"/>
  <c r="H3889" i="3" a="1"/>
  <c r="H3889" i="3" s="1"/>
  <c r="H3890" i="3" a="1"/>
  <c r="H3890" i="3" s="1"/>
  <c r="H3891" i="3" a="1"/>
  <c r="H3891" i="3" s="1"/>
  <c r="H3892" i="3" a="1"/>
  <c r="H3892" i="3" s="1"/>
  <c r="H3893" i="3" a="1"/>
  <c r="H3893" i="3" s="1"/>
  <c r="H3894" i="3" a="1"/>
  <c r="H3894" i="3" s="1"/>
  <c r="H3895" i="3" a="1"/>
  <c r="H3895" i="3" s="1"/>
  <c r="H3896" i="3" a="1"/>
  <c r="H3896" i="3" s="1"/>
  <c r="H3897" i="3" a="1"/>
  <c r="H3897" i="3" s="1"/>
  <c r="H3898" i="3" a="1"/>
  <c r="H3898" i="3" s="1"/>
  <c r="H3899" i="3" a="1"/>
  <c r="H3899" i="3" s="1"/>
  <c r="H3900" i="3" a="1"/>
  <c r="H3900" i="3" s="1"/>
  <c r="H3901" i="3" a="1"/>
  <c r="H3901" i="3" s="1"/>
  <c r="H3902" i="3" a="1"/>
  <c r="H3902" i="3" s="1"/>
  <c r="H3903" i="3" a="1"/>
  <c r="H3903" i="3" s="1"/>
  <c r="H3904" i="3" a="1"/>
  <c r="H3904" i="3" s="1"/>
  <c r="H3905" i="3" a="1"/>
  <c r="H3905" i="3" s="1"/>
  <c r="H3906" i="3" a="1"/>
  <c r="H3906" i="3" s="1"/>
  <c r="H3907" i="3" a="1"/>
  <c r="H3907" i="3" s="1"/>
  <c r="H3908" i="3" a="1"/>
  <c r="H3908" i="3" s="1"/>
  <c r="H3909" i="3" a="1"/>
  <c r="H3909" i="3" s="1"/>
  <c r="H3910" i="3" a="1"/>
  <c r="H3910" i="3" s="1"/>
  <c r="H3911" i="3" a="1"/>
  <c r="H3911" i="3" s="1"/>
  <c r="H3912" i="3" a="1"/>
  <c r="H3912" i="3" s="1"/>
  <c r="H3913" i="3" a="1"/>
  <c r="H3913" i="3" s="1"/>
  <c r="H3914" i="3" a="1"/>
  <c r="H3914" i="3" s="1"/>
  <c r="H3915" i="3" a="1"/>
  <c r="H3915" i="3" s="1"/>
  <c r="H3916" i="3" a="1"/>
  <c r="H3916" i="3" s="1"/>
  <c r="H3917" i="3" a="1"/>
  <c r="H3917" i="3" s="1"/>
  <c r="H3918" i="3" a="1"/>
  <c r="H3918" i="3" s="1"/>
  <c r="H3919" i="3" a="1"/>
  <c r="H3919" i="3" s="1"/>
  <c r="H3920" i="3" a="1"/>
  <c r="H3920" i="3" s="1"/>
  <c r="H3921" i="3" a="1"/>
  <c r="H3921" i="3" s="1"/>
  <c r="H3922" i="3" a="1"/>
  <c r="H3922" i="3" s="1"/>
  <c r="H3923" i="3" a="1"/>
  <c r="H3923" i="3" s="1"/>
  <c r="H3924" i="3" a="1"/>
  <c r="H3924" i="3" s="1"/>
  <c r="H3925" i="3" a="1"/>
  <c r="H3925" i="3" s="1"/>
  <c r="H3926" i="3" a="1"/>
  <c r="H3926" i="3" s="1"/>
  <c r="H3927" i="3" a="1"/>
  <c r="H3927" i="3" s="1"/>
  <c r="H3928" i="3" a="1"/>
  <c r="H3928" i="3" s="1"/>
  <c r="H3929" i="3" a="1"/>
  <c r="H3929" i="3" s="1"/>
  <c r="H3930" i="3" a="1"/>
  <c r="H3930" i="3" s="1"/>
  <c r="H3931" i="3" a="1"/>
  <c r="H3931" i="3" s="1"/>
  <c r="H3932" i="3" a="1"/>
  <c r="H3932" i="3" s="1"/>
  <c r="H3933" i="3" a="1"/>
  <c r="H3933" i="3" s="1"/>
  <c r="H3934" i="3" a="1"/>
  <c r="H3934" i="3" s="1"/>
  <c r="H3935" i="3" a="1"/>
  <c r="H3935" i="3" s="1"/>
  <c r="H3936" i="3" a="1"/>
  <c r="H3936" i="3" s="1"/>
  <c r="H3937" i="3" a="1"/>
  <c r="H3937" i="3" s="1"/>
  <c r="H3938" i="3" a="1"/>
  <c r="H3938" i="3" s="1"/>
  <c r="H3939" i="3" a="1"/>
  <c r="H3939" i="3" s="1"/>
  <c r="H3940" i="3" a="1"/>
  <c r="H3940" i="3" s="1"/>
  <c r="H3941" i="3" a="1"/>
  <c r="H3941" i="3" s="1"/>
  <c r="H3942" i="3" a="1"/>
  <c r="H3942" i="3" s="1"/>
  <c r="H3943" i="3" a="1"/>
  <c r="H3943" i="3" s="1"/>
  <c r="H3944" i="3" a="1"/>
  <c r="H3944" i="3" s="1"/>
  <c r="H3945" i="3" a="1"/>
  <c r="H3945" i="3" s="1"/>
  <c r="H3946" i="3" a="1"/>
  <c r="H3946" i="3" s="1"/>
  <c r="H3947" i="3" a="1"/>
  <c r="H3947" i="3" s="1"/>
  <c r="H3948" i="3" a="1"/>
  <c r="H3948" i="3" s="1"/>
  <c r="H3949" i="3" a="1"/>
  <c r="H3949" i="3" s="1"/>
  <c r="H3950" i="3" a="1"/>
  <c r="H3950" i="3" s="1"/>
  <c r="H3951" i="3" a="1"/>
  <c r="H3951" i="3" s="1"/>
  <c r="H3952" i="3" a="1"/>
  <c r="H3952" i="3" s="1"/>
  <c r="H3953" i="3" a="1"/>
  <c r="H3953" i="3" s="1"/>
  <c r="H3954" i="3" a="1"/>
  <c r="H3954" i="3" s="1"/>
  <c r="H3955" i="3" a="1"/>
  <c r="H3955" i="3" s="1"/>
  <c r="H3956" i="3" a="1"/>
  <c r="H3956" i="3" s="1"/>
  <c r="H3957" i="3" a="1"/>
  <c r="H3957" i="3" s="1"/>
  <c r="H3958" i="3" a="1"/>
  <c r="H3958" i="3" s="1"/>
  <c r="H3959" i="3" a="1"/>
  <c r="H3959" i="3" s="1"/>
  <c r="H3960" i="3" a="1"/>
  <c r="H3960" i="3" s="1"/>
  <c r="H3961" i="3" a="1"/>
  <c r="H3961" i="3" s="1"/>
  <c r="H3962" i="3" a="1"/>
  <c r="H3962" i="3" s="1"/>
  <c r="H3963" i="3" a="1"/>
  <c r="H3963" i="3" s="1"/>
  <c r="H3964" i="3" a="1"/>
  <c r="H3964" i="3" s="1"/>
  <c r="H3965" i="3" a="1"/>
  <c r="H3965" i="3" s="1"/>
  <c r="H3966" i="3" a="1"/>
  <c r="H3966" i="3" s="1"/>
  <c r="H3967" i="3" a="1"/>
  <c r="H3967" i="3" s="1"/>
  <c r="H3968" i="3" a="1"/>
  <c r="H3968" i="3" s="1"/>
  <c r="H3969" i="3" a="1"/>
  <c r="H3969" i="3" s="1"/>
  <c r="H3970" i="3" a="1"/>
  <c r="H3970" i="3" s="1"/>
  <c r="H3971" i="3" a="1"/>
  <c r="H3971" i="3" s="1"/>
  <c r="H3972" i="3" a="1"/>
  <c r="H3972" i="3" s="1"/>
  <c r="H3973" i="3" a="1"/>
  <c r="H3973" i="3" s="1"/>
  <c r="H3974" i="3" a="1"/>
  <c r="H3974" i="3" s="1"/>
  <c r="H3975" i="3" a="1"/>
  <c r="H3975" i="3" s="1"/>
  <c r="H3976" i="3" a="1"/>
  <c r="H3976" i="3" s="1"/>
  <c r="H3977" i="3" a="1"/>
  <c r="H3977" i="3" s="1"/>
  <c r="H3978" i="3" a="1"/>
  <c r="H3978" i="3" s="1"/>
  <c r="H3979" i="3" a="1"/>
  <c r="H3979" i="3" s="1"/>
  <c r="H3980" i="3" a="1"/>
  <c r="H3980" i="3" s="1"/>
  <c r="H3981" i="3" a="1"/>
  <c r="H3981" i="3" s="1"/>
  <c r="H3982" i="3" a="1"/>
  <c r="H3982" i="3" s="1"/>
  <c r="H3983" i="3" a="1"/>
  <c r="H3983" i="3" s="1"/>
  <c r="H3984" i="3" a="1"/>
  <c r="H3984" i="3" s="1"/>
  <c r="H3985" i="3" a="1"/>
  <c r="H3985" i="3" s="1"/>
  <c r="H3986" i="3" a="1"/>
  <c r="H3986" i="3" s="1"/>
  <c r="H3987" i="3" a="1"/>
  <c r="H3987" i="3" s="1"/>
  <c r="H3988" i="3" a="1"/>
  <c r="H3988" i="3" s="1"/>
  <c r="H3989" i="3" a="1"/>
  <c r="H3989" i="3" s="1"/>
  <c r="H3990" i="3" a="1"/>
  <c r="H3990" i="3" s="1"/>
  <c r="H3991" i="3" a="1"/>
  <c r="H3991" i="3" s="1"/>
  <c r="H3992" i="3" a="1"/>
  <c r="H3992" i="3" s="1"/>
  <c r="H3993" i="3" a="1"/>
  <c r="H3993" i="3" s="1"/>
  <c r="H3994" i="3" a="1"/>
  <c r="H3994" i="3" s="1"/>
  <c r="H3995" i="3" a="1"/>
  <c r="H3995" i="3" s="1"/>
  <c r="H3996" i="3" a="1"/>
  <c r="H3996" i="3" s="1"/>
  <c r="H3997" i="3" a="1"/>
  <c r="H3997" i="3" s="1"/>
  <c r="H3998" i="3" a="1"/>
  <c r="H3998" i="3" s="1"/>
  <c r="H3999" i="3" a="1"/>
  <c r="H3999" i="3" s="1"/>
  <c r="H4000" i="3" a="1"/>
  <c r="H4000" i="3" s="1"/>
  <c r="H4001" i="3" a="1"/>
  <c r="H4001" i="3" s="1"/>
  <c r="H4002" i="3" a="1"/>
  <c r="H4002" i="3" s="1"/>
  <c r="H4003" i="3" a="1"/>
  <c r="H4003" i="3" s="1"/>
  <c r="H4004" i="3" a="1"/>
  <c r="H4004" i="3" s="1"/>
  <c r="H4005" i="3" a="1"/>
  <c r="H4005" i="3" s="1"/>
  <c r="H4006" i="3" a="1"/>
  <c r="H4006" i="3" s="1"/>
  <c r="H4007" i="3" a="1"/>
  <c r="H4007" i="3" s="1"/>
  <c r="H4008" i="3" a="1"/>
  <c r="H4008" i="3" s="1"/>
  <c r="H4009" i="3" a="1"/>
  <c r="H4009" i="3" s="1"/>
  <c r="H4010" i="3" a="1"/>
  <c r="H4010" i="3" s="1"/>
  <c r="H4011" i="3" a="1"/>
  <c r="H4011" i="3" s="1"/>
  <c r="H4012" i="3" a="1"/>
  <c r="H4012" i="3" s="1"/>
  <c r="H4013" i="3" a="1"/>
  <c r="H4013" i="3" s="1"/>
  <c r="H4014" i="3" a="1"/>
  <c r="H4014" i="3" s="1"/>
  <c r="H4015" i="3" a="1"/>
  <c r="H4015" i="3" s="1"/>
  <c r="H4016" i="3" a="1"/>
  <c r="H4016" i="3" s="1"/>
  <c r="H4017" i="3" a="1"/>
  <c r="H4017" i="3" s="1"/>
  <c r="H4018" i="3" a="1"/>
  <c r="H4018" i="3" s="1"/>
  <c r="H4019" i="3" a="1"/>
  <c r="H4019" i="3" s="1"/>
  <c r="H4020" i="3" a="1"/>
  <c r="H4020" i="3" s="1"/>
  <c r="H4021" i="3" a="1"/>
  <c r="H4021" i="3" s="1"/>
  <c r="H4022" i="3" a="1"/>
  <c r="H4022" i="3" s="1"/>
  <c r="H4023" i="3" a="1"/>
  <c r="H4023" i="3" s="1"/>
  <c r="H4024" i="3" a="1"/>
  <c r="H4024" i="3" s="1"/>
  <c r="H4025" i="3" a="1"/>
  <c r="H4025" i="3" s="1"/>
  <c r="H4026" i="3" a="1"/>
  <c r="H4026" i="3" s="1"/>
  <c r="H4027" i="3" a="1"/>
  <c r="H4027" i="3" s="1"/>
  <c r="H4028" i="3" a="1"/>
  <c r="H4028" i="3" s="1"/>
  <c r="H4029" i="3" a="1"/>
  <c r="H4029" i="3" s="1"/>
  <c r="H4030" i="3" a="1"/>
  <c r="H4030" i="3" s="1"/>
  <c r="H4031" i="3" a="1"/>
  <c r="H4031" i="3" s="1"/>
  <c r="H4032" i="3" a="1"/>
  <c r="H4032" i="3" s="1"/>
  <c r="H4033" i="3" a="1"/>
  <c r="H4033" i="3" s="1"/>
  <c r="H4034" i="3" a="1"/>
  <c r="H4034" i="3" s="1"/>
  <c r="H4035" i="3" a="1"/>
  <c r="H4035" i="3" s="1"/>
  <c r="H4036" i="3" a="1"/>
  <c r="H4036" i="3" s="1"/>
  <c r="H4037" i="3" a="1"/>
  <c r="H4037" i="3" s="1"/>
  <c r="H4038" i="3" a="1"/>
  <c r="H4038" i="3" s="1"/>
  <c r="H4039" i="3" a="1"/>
  <c r="H4039" i="3" s="1"/>
  <c r="H4040" i="3" a="1"/>
  <c r="H4040" i="3" s="1"/>
  <c r="H4041" i="3" a="1"/>
  <c r="H4041" i="3" s="1"/>
  <c r="H4042" i="3" a="1"/>
  <c r="H4042" i="3" s="1"/>
  <c r="H4043" i="3" a="1"/>
  <c r="H4043" i="3" s="1"/>
  <c r="H4044" i="3" a="1"/>
  <c r="H4044" i="3" s="1"/>
  <c r="H4045" i="3" a="1"/>
  <c r="H4045" i="3" s="1"/>
  <c r="H4046" i="3" a="1"/>
  <c r="H4046" i="3" s="1"/>
  <c r="H4047" i="3" a="1"/>
  <c r="H4047" i="3" s="1"/>
  <c r="H4048" i="3" a="1"/>
  <c r="H4048" i="3" s="1"/>
  <c r="H4049" i="3" a="1"/>
  <c r="H4049" i="3" s="1"/>
  <c r="H4050" i="3" a="1"/>
  <c r="H4050" i="3" s="1"/>
  <c r="H4051" i="3" a="1"/>
  <c r="H4051" i="3" s="1"/>
  <c r="H4052" i="3" a="1"/>
  <c r="H4052" i="3" s="1"/>
  <c r="H4053" i="3" a="1"/>
  <c r="H4053" i="3" s="1"/>
  <c r="H4054" i="3" a="1"/>
  <c r="H4054" i="3" s="1"/>
  <c r="H4055" i="3" a="1"/>
  <c r="H4055" i="3" s="1"/>
  <c r="H4056" i="3" a="1"/>
  <c r="H4056" i="3" s="1"/>
  <c r="H4057" i="3" a="1"/>
  <c r="H4057" i="3" s="1"/>
  <c r="H4058" i="3" a="1"/>
  <c r="H4058" i="3" s="1"/>
  <c r="H4059" i="3" a="1"/>
  <c r="H4059" i="3" s="1"/>
  <c r="H4060" i="3" a="1"/>
  <c r="H4060" i="3" s="1"/>
  <c r="H4061" i="3" a="1"/>
  <c r="H4061" i="3" s="1"/>
  <c r="H4062" i="3" a="1"/>
  <c r="H4062" i="3" s="1"/>
  <c r="H4063" i="3" a="1"/>
  <c r="H4063" i="3" s="1"/>
  <c r="H4064" i="3" a="1"/>
  <c r="H4064" i="3" s="1"/>
  <c r="H4065" i="3" a="1"/>
  <c r="H4065" i="3" s="1"/>
  <c r="H4066" i="3" a="1"/>
  <c r="H4066" i="3" s="1"/>
  <c r="H4067" i="3" a="1"/>
  <c r="H4067" i="3" s="1"/>
  <c r="H4068" i="3" a="1"/>
  <c r="H4068" i="3" s="1"/>
  <c r="H4069" i="3" a="1"/>
  <c r="H4069" i="3" s="1"/>
  <c r="H4070" i="3" a="1"/>
  <c r="H4070" i="3" s="1"/>
  <c r="H4071" i="3" a="1"/>
  <c r="H4071" i="3" s="1"/>
  <c r="H4072" i="3" a="1"/>
  <c r="H4072" i="3" s="1"/>
  <c r="H4073" i="3" a="1"/>
  <c r="H4073" i="3" s="1"/>
  <c r="H4074" i="3" a="1"/>
  <c r="H4074" i="3" s="1"/>
  <c r="H4075" i="3" a="1"/>
  <c r="H4075" i="3" s="1"/>
  <c r="H4076" i="3" a="1"/>
  <c r="H4076" i="3" s="1"/>
  <c r="H4077" i="3" a="1"/>
  <c r="H4077" i="3" s="1"/>
  <c r="H4078" i="3" a="1"/>
  <c r="H4078" i="3" s="1"/>
  <c r="H4079" i="3" a="1"/>
  <c r="H4079" i="3" s="1"/>
  <c r="H4080" i="3" a="1"/>
  <c r="H4080" i="3" s="1"/>
  <c r="H4081" i="3" a="1"/>
  <c r="H4081" i="3" s="1"/>
  <c r="H4082" i="3" a="1"/>
  <c r="H4082" i="3" s="1"/>
  <c r="H4083" i="3" a="1"/>
  <c r="H4083" i="3" s="1"/>
  <c r="H4084" i="3" a="1"/>
  <c r="H4084" i="3" s="1"/>
  <c r="H4085" i="3" a="1"/>
  <c r="H4085" i="3" s="1"/>
  <c r="H4086" i="3" a="1"/>
  <c r="H4086" i="3" s="1"/>
  <c r="H4087" i="3" a="1"/>
  <c r="H4087" i="3" s="1"/>
  <c r="H4088" i="3" a="1"/>
  <c r="H4088" i="3" s="1"/>
  <c r="H4089" i="3" a="1"/>
  <c r="H4089" i="3" s="1"/>
  <c r="H4090" i="3" a="1"/>
  <c r="H4090" i="3" s="1"/>
  <c r="H4091" i="3" a="1"/>
  <c r="H4091" i="3" s="1"/>
  <c r="H4092" i="3" a="1"/>
  <c r="H4092" i="3" s="1"/>
  <c r="H4093" i="3" a="1"/>
  <c r="H4093" i="3" s="1"/>
  <c r="H4094" i="3" a="1"/>
  <c r="H4094" i="3" s="1"/>
  <c r="H4095" i="3" a="1"/>
  <c r="H4095" i="3" s="1"/>
  <c r="H4096" i="3" a="1"/>
  <c r="H4096" i="3" s="1"/>
  <c r="H4097" i="3" a="1"/>
  <c r="H4097" i="3" s="1"/>
  <c r="H4098" i="3" a="1"/>
  <c r="H4098" i="3" s="1"/>
  <c r="H4099" i="3" a="1"/>
  <c r="H4099" i="3" s="1"/>
  <c r="H4100" i="3" a="1"/>
  <c r="H4100" i="3" s="1"/>
  <c r="H4101" i="3" a="1"/>
  <c r="H4101" i="3" s="1"/>
  <c r="H4102" i="3" a="1"/>
  <c r="H4102" i="3" s="1"/>
  <c r="H4103" i="3" a="1"/>
  <c r="H4103" i="3" s="1"/>
  <c r="H4104" i="3" a="1"/>
  <c r="H4104" i="3" s="1"/>
  <c r="H4105" i="3" a="1"/>
  <c r="H4105" i="3" s="1"/>
  <c r="H4106" i="3" a="1"/>
  <c r="H4106" i="3" s="1"/>
  <c r="H4107" i="3" a="1"/>
  <c r="H4107" i="3" s="1"/>
  <c r="H4108" i="3" a="1"/>
  <c r="H4108" i="3" s="1"/>
  <c r="H4109" i="3" a="1"/>
  <c r="H4109" i="3" s="1"/>
  <c r="H4110" i="3" a="1"/>
  <c r="H4110" i="3" s="1"/>
  <c r="H4111" i="3" a="1"/>
  <c r="H4111" i="3" s="1"/>
  <c r="H4112" i="3" a="1"/>
  <c r="H4112" i="3" s="1"/>
  <c r="H4113" i="3" a="1"/>
  <c r="H4113" i="3" s="1"/>
  <c r="H4114" i="3" a="1"/>
  <c r="H4114" i="3" s="1"/>
  <c r="H4115" i="3" a="1"/>
  <c r="H4115" i="3" s="1"/>
  <c r="H4116" i="3" a="1"/>
  <c r="H4116" i="3" s="1"/>
  <c r="H4117" i="3" a="1"/>
  <c r="H4117" i="3" s="1"/>
  <c r="H4118" i="3" a="1"/>
  <c r="H4118" i="3" s="1"/>
  <c r="H4119" i="3" a="1"/>
  <c r="H4119" i="3" s="1"/>
  <c r="H4120" i="3" a="1"/>
  <c r="H4120" i="3" s="1"/>
  <c r="H4121" i="3" a="1"/>
  <c r="H4121" i="3" s="1"/>
  <c r="H4122" i="3" a="1"/>
  <c r="H4122" i="3" s="1"/>
  <c r="H4123" i="3" a="1"/>
  <c r="H4123" i="3" s="1"/>
  <c r="H4124" i="3" a="1"/>
  <c r="H4124" i="3" s="1"/>
  <c r="H4125" i="3" a="1"/>
  <c r="H4125" i="3" s="1"/>
  <c r="H4126" i="3" a="1"/>
  <c r="H4126" i="3" s="1"/>
  <c r="H4127" i="3" a="1"/>
  <c r="H4127" i="3" s="1"/>
  <c r="H4128" i="3" a="1"/>
  <c r="H4128" i="3" s="1"/>
  <c r="H4129" i="3" a="1"/>
  <c r="H4129" i="3" s="1"/>
  <c r="H4130" i="3" a="1"/>
  <c r="H4130" i="3" s="1"/>
  <c r="H4131" i="3" a="1"/>
  <c r="H4131" i="3" s="1"/>
  <c r="H4132" i="3" a="1"/>
  <c r="H4132" i="3" s="1"/>
  <c r="H4133" i="3" a="1"/>
  <c r="H4133" i="3" s="1"/>
  <c r="H4134" i="3" a="1"/>
  <c r="H4134" i="3" s="1"/>
  <c r="H4135" i="3" a="1"/>
  <c r="H4135" i="3" s="1"/>
  <c r="H4136" i="3" a="1"/>
  <c r="H4136" i="3" s="1"/>
  <c r="H4137" i="3" a="1"/>
  <c r="H4137" i="3" s="1"/>
  <c r="H4138" i="3" a="1"/>
  <c r="H4138" i="3" s="1"/>
  <c r="H4139" i="3" a="1"/>
  <c r="H4139" i="3" s="1"/>
  <c r="H4140" i="3" a="1"/>
  <c r="H4140" i="3" s="1"/>
  <c r="H4141" i="3" a="1"/>
  <c r="H4141" i="3" s="1"/>
  <c r="H4142" i="3" a="1"/>
  <c r="H4142" i="3" s="1"/>
  <c r="H4143" i="3" a="1"/>
  <c r="H4143" i="3" s="1"/>
  <c r="H4144" i="3" a="1"/>
  <c r="H4144" i="3" s="1"/>
  <c r="H4145" i="3" a="1"/>
  <c r="H4145" i="3" s="1"/>
  <c r="H4146" i="3" a="1"/>
  <c r="H4146" i="3" s="1"/>
  <c r="H4147" i="3" a="1"/>
  <c r="H4147" i="3" s="1"/>
  <c r="H4148" i="3" a="1"/>
  <c r="H4148" i="3" s="1"/>
  <c r="H4149" i="3" a="1"/>
  <c r="H4149" i="3" s="1"/>
  <c r="H4150" i="3" a="1"/>
  <c r="H4150" i="3" s="1"/>
  <c r="H4151" i="3" a="1"/>
  <c r="H4151" i="3" s="1"/>
  <c r="H4152" i="3" a="1"/>
  <c r="H4152" i="3" s="1"/>
  <c r="H4153" i="3" a="1"/>
  <c r="H4153" i="3" s="1"/>
  <c r="H4154" i="3" a="1"/>
  <c r="H4154" i="3" s="1"/>
  <c r="H4155" i="3" a="1"/>
  <c r="H4155" i="3" s="1"/>
  <c r="H4156" i="3" a="1"/>
  <c r="H4156" i="3" s="1"/>
  <c r="H4157" i="3" a="1"/>
  <c r="H4157" i="3" s="1"/>
  <c r="H4158" i="3" a="1"/>
  <c r="H4158" i="3" s="1"/>
  <c r="H4159" i="3" a="1"/>
  <c r="H4159" i="3" s="1"/>
  <c r="H4160" i="3" a="1"/>
  <c r="H4160" i="3" s="1"/>
  <c r="H4161" i="3" a="1"/>
  <c r="H4161" i="3" s="1"/>
  <c r="H4162" i="3" a="1"/>
  <c r="H4162" i="3" s="1"/>
  <c r="H4163" i="3" a="1"/>
  <c r="H4163" i="3" s="1"/>
  <c r="H4164" i="3" a="1"/>
  <c r="H4164" i="3" s="1"/>
  <c r="H4165" i="3" a="1"/>
  <c r="H4165" i="3" s="1"/>
  <c r="H4166" i="3" a="1"/>
  <c r="H4166" i="3" s="1"/>
  <c r="H4167" i="3" a="1"/>
  <c r="H4167" i="3" s="1"/>
  <c r="H4168" i="3" a="1"/>
  <c r="H4168" i="3" s="1"/>
  <c r="H4169" i="3" a="1"/>
  <c r="H4169" i="3" s="1"/>
  <c r="H4170" i="3" a="1"/>
  <c r="H4170" i="3" s="1"/>
  <c r="H4171" i="3" a="1"/>
  <c r="H4171" i="3" s="1"/>
  <c r="H4172" i="3" a="1"/>
  <c r="H4172" i="3" s="1"/>
  <c r="H4173" i="3" a="1"/>
  <c r="H4173" i="3" s="1"/>
  <c r="H4174" i="3" a="1"/>
  <c r="H4174" i="3" s="1"/>
  <c r="H4175" i="3" a="1"/>
  <c r="H4175" i="3" s="1"/>
  <c r="H4176" i="3" a="1"/>
  <c r="H4176" i="3" s="1"/>
  <c r="H4177" i="3" a="1"/>
  <c r="H4177" i="3" s="1"/>
  <c r="H4178" i="3" a="1"/>
  <c r="H4178" i="3" s="1"/>
  <c r="H4179" i="3" a="1"/>
  <c r="H4179" i="3" s="1"/>
  <c r="H4180" i="3" a="1"/>
  <c r="H4180" i="3" s="1"/>
  <c r="H4181" i="3" a="1"/>
  <c r="H4181" i="3" s="1"/>
  <c r="H4182" i="3" a="1"/>
  <c r="H4182" i="3" s="1"/>
  <c r="H4183" i="3" a="1"/>
  <c r="H4183" i="3" s="1"/>
  <c r="H4184" i="3" a="1"/>
  <c r="H4184" i="3" s="1"/>
  <c r="H4185" i="3" a="1"/>
  <c r="H4185" i="3" s="1"/>
  <c r="H4186" i="3" a="1"/>
  <c r="H4186" i="3" s="1"/>
  <c r="H4187" i="3" a="1"/>
  <c r="H4187" i="3" s="1"/>
  <c r="H4188" i="3" a="1"/>
  <c r="H4188" i="3" s="1"/>
  <c r="H4189" i="3" a="1"/>
  <c r="H4189" i="3" s="1"/>
  <c r="H4190" i="3" a="1"/>
  <c r="H4190" i="3" s="1"/>
  <c r="H4191" i="3" a="1"/>
  <c r="H4191" i="3" s="1"/>
  <c r="H4192" i="3" a="1"/>
  <c r="H4192" i="3" s="1"/>
  <c r="H4193" i="3" a="1"/>
  <c r="H4193" i="3" s="1"/>
  <c r="H4194" i="3" a="1"/>
  <c r="H4194" i="3" s="1"/>
  <c r="H4195" i="3" a="1"/>
  <c r="H4195" i="3" s="1"/>
  <c r="H4196" i="3" a="1"/>
  <c r="H4196" i="3" s="1"/>
  <c r="H4197" i="3" a="1"/>
  <c r="H4197" i="3" s="1"/>
  <c r="H4198" i="3" a="1"/>
  <c r="H4198" i="3" s="1"/>
  <c r="H4199" i="3" a="1"/>
  <c r="H4199" i="3" s="1"/>
  <c r="H4200" i="3" a="1"/>
  <c r="H4200" i="3" s="1"/>
  <c r="H4201" i="3" a="1"/>
  <c r="H4201" i="3" s="1"/>
  <c r="H4202" i="3" a="1"/>
  <c r="H4202" i="3" s="1"/>
  <c r="H4203" i="3" a="1"/>
  <c r="H4203" i="3" s="1"/>
  <c r="H4204" i="3" a="1"/>
  <c r="H4204" i="3" s="1"/>
  <c r="H4205" i="3" a="1"/>
  <c r="H4205" i="3" s="1"/>
  <c r="H4206" i="3" a="1"/>
  <c r="H4206" i="3" s="1"/>
  <c r="H4207" i="3" a="1"/>
  <c r="H4207" i="3" s="1"/>
  <c r="H4208" i="3" a="1"/>
  <c r="H4208" i="3" s="1"/>
  <c r="H4209" i="3" a="1"/>
  <c r="H4209" i="3" s="1"/>
  <c r="H4210" i="3" a="1"/>
  <c r="H4210" i="3" s="1"/>
  <c r="H4211" i="3" a="1"/>
  <c r="H4211" i="3" s="1"/>
  <c r="H4212" i="3" a="1"/>
  <c r="H4212" i="3" s="1"/>
  <c r="H4213" i="3" a="1"/>
  <c r="H4213" i="3" s="1"/>
  <c r="H4214" i="3" a="1"/>
  <c r="H4214" i="3" s="1"/>
  <c r="H4215" i="3" a="1"/>
  <c r="H4215" i="3" s="1"/>
  <c r="H4216" i="3" a="1"/>
  <c r="H4216" i="3" s="1"/>
  <c r="H4217" i="3" a="1"/>
  <c r="H4217" i="3" s="1"/>
  <c r="H4218" i="3" a="1"/>
  <c r="H4218" i="3" s="1"/>
  <c r="H4219" i="3" a="1"/>
  <c r="H4219" i="3" s="1"/>
  <c r="H4220" i="3" a="1"/>
  <c r="H4220" i="3" s="1"/>
  <c r="H4221" i="3" a="1"/>
  <c r="H4221" i="3" s="1"/>
  <c r="H4222" i="3" a="1"/>
  <c r="H4222" i="3" s="1"/>
  <c r="H4223" i="3" a="1"/>
  <c r="H4223" i="3" s="1"/>
  <c r="H4224" i="3" a="1"/>
  <c r="H4224" i="3" s="1"/>
  <c r="H4225" i="3" a="1"/>
  <c r="H4225" i="3" s="1"/>
  <c r="H4226" i="3" a="1"/>
  <c r="H4226" i="3" s="1"/>
  <c r="H4227" i="3" a="1"/>
  <c r="H4227" i="3" s="1"/>
  <c r="H4228" i="3" a="1"/>
  <c r="H4228" i="3" s="1"/>
  <c r="H4229" i="3" a="1"/>
  <c r="H4229" i="3" s="1"/>
  <c r="H4230" i="3" a="1"/>
  <c r="H4230" i="3" s="1"/>
  <c r="H4231" i="3" a="1"/>
  <c r="H4231" i="3" s="1"/>
  <c r="H4232" i="3" a="1"/>
  <c r="H4232" i="3" s="1"/>
  <c r="H4233" i="3" a="1"/>
  <c r="H4233" i="3" s="1"/>
  <c r="H4234" i="3" a="1"/>
  <c r="H4234" i="3" s="1"/>
  <c r="H4235" i="3" a="1"/>
  <c r="H4235" i="3" s="1"/>
  <c r="H4236" i="3" a="1"/>
  <c r="H4236" i="3" s="1"/>
  <c r="H4237" i="3" a="1"/>
  <c r="H4237" i="3" s="1"/>
  <c r="H4238" i="3" a="1"/>
  <c r="H4238" i="3" s="1"/>
  <c r="H4239" i="3" a="1"/>
  <c r="H4239" i="3" s="1"/>
  <c r="H4240" i="3" a="1"/>
  <c r="H4240" i="3" s="1"/>
  <c r="H4241" i="3" a="1"/>
  <c r="H4241" i="3" s="1"/>
  <c r="H4242" i="3" a="1"/>
  <c r="H4242" i="3" s="1"/>
  <c r="H4243" i="3" a="1"/>
  <c r="H4243" i="3" s="1"/>
  <c r="H4244" i="3" a="1"/>
  <c r="H4244" i="3" s="1"/>
  <c r="H4245" i="3" a="1"/>
  <c r="H4245" i="3" s="1"/>
  <c r="H4246" i="3" a="1"/>
  <c r="H4246" i="3" s="1"/>
  <c r="H4247" i="3" a="1"/>
  <c r="H4247" i="3" s="1"/>
  <c r="H4248" i="3" a="1"/>
  <c r="H4248" i="3" s="1"/>
  <c r="H4249" i="3" a="1"/>
  <c r="H4249" i="3" s="1"/>
  <c r="H4250" i="3" a="1"/>
  <c r="H4250" i="3" s="1"/>
  <c r="H4251" i="3" a="1"/>
  <c r="H4251" i="3" s="1"/>
  <c r="H4252" i="3" a="1"/>
  <c r="H4252" i="3" s="1"/>
  <c r="H4253" i="3" a="1"/>
  <c r="H4253" i="3" s="1"/>
  <c r="H4254" i="3" a="1"/>
  <c r="H4254" i="3" s="1"/>
  <c r="H4255" i="3" a="1"/>
  <c r="H4255" i="3" s="1"/>
  <c r="H4256" i="3" a="1"/>
  <c r="H4256" i="3" s="1"/>
  <c r="H4257" i="3" a="1"/>
  <c r="H4257" i="3" s="1"/>
  <c r="H4258" i="3" a="1"/>
  <c r="H4258" i="3" s="1"/>
  <c r="H4259" i="3" a="1"/>
  <c r="H4259" i="3" s="1"/>
  <c r="H4260" i="3" a="1"/>
  <c r="H4260" i="3" s="1"/>
  <c r="H4261" i="3" a="1"/>
  <c r="H4261" i="3" s="1"/>
  <c r="H4262" i="3" a="1"/>
  <c r="H4262" i="3" s="1"/>
  <c r="H4263" i="3" a="1"/>
  <c r="H4263" i="3" s="1"/>
  <c r="H4264" i="3" a="1"/>
  <c r="H4264" i="3" s="1"/>
  <c r="H4265" i="3" a="1"/>
  <c r="H4265" i="3" s="1"/>
  <c r="H4266" i="3" a="1"/>
  <c r="H4266" i="3" s="1"/>
  <c r="H4267" i="3" a="1"/>
  <c r="H4267" i="3" s="1"/>
  <c r="H4268" i="3" a="1"/>
  <c r="H4268" i="3" s="1"/>
  <c r="H4269" i="3" a="1"/>
  <c r="H4269" i="3" s="1"/>
  <c r="H4270" i="3" a="1"/>
  <c r="H4270" i="3" s="1"/>
  <c r="H4271" i="3" a="1"/>
  <c r="H4271" i="3" s="1"/>
  <c r="H4272" i="3" a="1"/>
  <c r="H4272" i="3" s="1"/>
  <c r="H4273" i="3" a="1"/>
  <c r="H4273" i="3" s="1"/>
  <c r="H4274" i="3" a="1"/>
  <c r="H4274" i="3" s="1"/>
  <c r="H4275" i="3" a="1"/>
  <c r="H4275" i="3" s="1"/>
  <c r="H4276" i="3" a="1"/>
  <c r="H4276" i="3" s="1"/>
  <c r="H4277" i="3" a="1"/>
  <c r="H4277" i="3" s="1"/>
  <c r="H4278" i="3" a="1"/>
  <c r="H4278" i="3" s="1"/>
  <c r="H4279" i="3" a="1"/>
  <c r="H4279" i="3" s="1"/>
  <c r="H4280" i="3" a="1"/>
  <c r="H4280" i="3" s="1"/>
  <c r="H4281" i="3" a="1"/>
  <c r="H4281" i="3" s="1"/>
  <c r="H4282" i="3" a="1"/>
  <c r="H4282" i="3" s="1"/>
  <c r="H4283" i="3" a="1"/>
  <c r="H4283" i="3" s="1"/>
  <c r="H4284" i="3" a="1"/>
  <c r="H4284" i="3" s="1"/>
  <c r="H4285" i="3" a="1"/>
  <c r="H4285" i="3" s="1"/>
  <c r="H4286" i="3" a="1"/>
  <c r="H4286" i="3" s="1"/>
  <c r="H4287" i="3" a="1"/>
  <c r="H4287" i="3" s="1"/>
  <c r="H4288" i="3" a="1"/>
  <c r="H4288" i="3" s="1"/>
  <c r="H4289" i="3" a="1"/>
  <c r="H4289" i="3" s="1"/>
  <c r="H4290" i="3" a="1"/>
  <c r="H4290" i="3" s="1"/>
  <c r="H4291" i="3" a="1"/>
  <c r="H4291" i="3" s="1"/>
  <c r="H4292" i="3" a="1"/>
  <c r="H4292" i="3" s="1"/>
  <c r="H4293" i="3" a="1"/>
  <c r="H4293" i="3" s="1"/>
  <c r="H4294" i="3" a="1"/>
  <c r="H4294" i="3" s="1"/>
  <c r="H4295" i="3" a="1"/>
  <c r="H4295" i="3" s="1"/>
  <c r="H4296" i="3" a="1"/>
  <c r="H4296" i="3" s="1"/>
  <c r="H4297" i="3" a="1"/>
  <c r="H4297" i="3" s="1"/>
  <c r="H4298" i="3" a="1"/>
  <c r="H4298" i="3" s="1"/>
  <c r="H4299" i="3" a="1"/>
  <c r="H4299" i="3" s="1"/>
  <c r="H4300" i="3" a="1"/>
  <c r="H4300" i="3" s="1"/>
  <c r="H4301" i="3" a="1"/>
  <c r="H4301" i="3" s="1"/>
  <c r="H4302" i="3" a="1"/>
  <c r="H4302" i="3" s="1"/>
  <c r="H4303" i="3" a="1"/>
  <c r="H4303" i="3" s="1"/>
  <c r="H4304" i="3" a="1"/>
  <c r="H4304" i="3" s="1"/>
  <c r="H4305" i="3" a="1"/>
  <c r="H4305" i="3" s="1"/>
  <c r="H4306" i="3" a="1"/>
  <c r="H4306" i="3" s="1"/>
  <c r="H4307" i="3" a="1"/>
  <c r="H4307" i="3" s="1"/>
  <c r="H4308" i="3" a="1"/>
  <c r="H4308" i="3" s="1"/>
  <c r="H4309" i="3" a="1"/>
  <c r="H4309" i="3" s="1"/>
  <c r="H4310" i="3" a="1"/>
  <c r="H4310" i="3" s="1"/>
  <c r="H4311" i="3" a="1"/>
  <c r="H4311" i="3" s="1"/>
  <c r="H4312" i="3" a="1"/>
  <c r="H4312" i="3" s="1"/>
  <c r="H4313" i="3" a="1"/>
  <c r="H4313" i="3" s="1"/>
  <c r="H4314" i="3" a="1"/>
  <c r="H4314" i="3" s="1"/>
  <c r="H4315" i="3" a="1"/>
  <c r="H4315" i="3" s="1"/>
  <c r="H4316" i="3" a="1"/>
  <c r="H4316" i="3" s="1"/>
  <c r="H4317" i="3" a="1"/>
  <c r="H4317" i="3" s="1"/>
  <c r="H4318" i="3" a="1"/>
  <c r="H4318" i="3" s="1"/>
  <c r="H4319" i="3" a="1"/>
  <c r="H4319" i="3" s="1"/>
  <c r="H4320" i="3" a="1"/>
  <c r="H4320" i="3" s="1"/>
  <c r="H4321" i="3" a="1"/>
  <c r="H4321" i="3" s="1"/>
  <c r="H4322" i="3" a="1"/>
  <c r="H4322" i="3" s="1"/>
  <c r="H4323" i="3" a="1"/>
  <c r="H4323" i="3" s="1"/>
  <c r="H4324" i="3" a="1"/>
  <c r="H4324" i="3" s="1"/>
  <c r="H4325" i="3" a="1"/>
  <c r="H4325" i="3" s="1"/>
  <c r="H4326" i="3" a="1"/>
  <c r="H4326" i="3" s="1"/>
  <c r="H4327" i="3" a="1"/>
  <c r="H4327" i="3" s="1"/>
  <c r="H4328" i="3" a="1"/>
  <c r="H4328" i="3" s="1"/>
  <c r="H4329" i="3" a="1"/>
  <c r="H4329" i="3" s="1"/>
  <c r="H4330" i="3" a="1"/>
  <c r="H4330" i="3" s="1"/>
  <c r="H4331" i="3" a="1"/>
  <c r="H4331" i="3" s="1"/>
  <c r="H4332" i="3" a="1"/>
  <c r="H4332" i="3" s="1"/>
  <c r="H4333" i="3" a="1"/>
  <c r="H4333" i="3" s="1"/>
  <c r="H4334" i="3" a="1"/>
  <c r="H4334" i="3" s="1"/>
  <c r="H4335" i="3" a="1"/>
  <c r="H4335" i="3" s="1"/>
  <c r="H4336" i="3" a="1"/>
  <c r="H4336" i="3" s="1"/>
  <c r="H4337" i="3" a="1"/>
  <c r="H4337" i="3" s="1"/>
  <c r="H4338" i="3" a="1"/>
  <c r="H4338" i="3" s="1"/>
  <c r="H4339" i="3" a="1"/>
  <c r="H4339" i="3" s="1"/>
  <c r="H4340" i="3" a="1"/>
  <c r="H4340" i="3" s="1"/>
  <c r="H4341" i="3" a="1"/>
  <c r="H4341" i="3" s="1"/>
  <c r="H4342" i="3" a="1"/>
  <c r="H4342" i="3" s="1"/>
  <c r="H4343" i="3" a="1"/>
  <c r="H4343" i="3" s="1"/>
  <c r="H4344" i="3" a="1"/>
  <c r="H4344" i="3" s="1"/>
  <c r="H4345" i="3" a="1"/>
  <c r="H4345" i="3" s="1"/>
  <c r="H4346" i="3" a="1"/>
  <c r="H4346" i="3" s="1"/>
  <c r="H4347" i="3" a="1"/>
  <c r="H4347" i="3" s="1"/>
  <c r="H4348" i="3" a="1"/>
  <c r="H4348" i="3" s="1"/>
  <c r="H4349" i="3" a="1"/>
  <c r="H4349" i="3" s="1"/>
  <c r="H4350" i="3" a="1"/>
  <c r="H4350" i="3" s="1"/>
  <c r="H4351" i="3" a="1"/>
  <c r="H4351" i="3" s="1"/>
  <c r="H4352" i="3" a="1"/>
  <c r="H4352" i="3" s="1"/>
  <c r="H4353" i="3" a="1"/>
  <c r="H4353" i="3" s="1"/>
  <c r="H4354" i="3" a="1"/>
  <c r="H4354" i="3" s="1"/>
  <c r="H4355" i="3" a="1"/>
  <c r="H4355" i="3" s="1"/>
  <c r="H4356" i="3" a="1"/>
  <c r="H4356" i="3" s="1"/>
  <c r="H4357" i="3" a="1"/>
  <c r="H4357" i="3" s="1"/>
  <c r="H4358" i="3" a="1"/>
  <c r="H4358" i="3" s="1"/>
  <c r="H4359" i="3" a="1"/>
  <c r="H4359" i="3" s="1"/>
  <c r="H4360" i="3" a="1"/>
  <c r="H4360" i="3" s="1"/>
  <c r="H4361" i="3" a="1"/>
  <c r="H4361" i="3" s="1"/>
  <c r="H4362" i="3" a="1"/>
  <c r="H4362" i="3" s="1"/>
  <c r="H4363" i="3" a="1"/>
  <c r="H4363" i="3" s="1"/>
  <c r="H4364" i="3" a="1"/>
  <c r="H4364" i="3" s="1"/>
  <c r="H4365" i="3" a="1"/>
  <c r="H4365" i="3" s="1"/>
  <c r="H4366" i="3" a="1"/>
  <c r="H4366" i="3" s="1"/>
  <c r="H4367" i="3" a="1"/>
  <c r="H4367" i="3" s="1"/>
  <c r="H4368" i="3" a="1"/>
  <c r="H4368" i="3" s="1"/>
  <c r="H4369" i="3" a="1"/>
  <c r="H4369" i="3" s="1"/>
  <c r="H4370" i="3" a="1"/>
  <c r="H4370" i="3" s="1"/>
  <c r="H4371" i="3" a="1"/>
  <c r="H4371" i="3" s="1"/>
  <c r="H4372" i="3" a="1"/>
  <c r="H4372" i="3" s="1"/>
  <c r="H4373" i="3" a="1"/>
  <c r="H4373" i="3" s="1"/>
  <c r="H4374" i="3" a="1"/>
  <c r="H4374" i="3" s="1"/>
  <c r="H4375" i="3" a="1"/>
  <c r="H4375" i="3" s="1"/>
  <c r="H4376" i="3" a="1"/>
  <c r="H4376" i="3" s="1"/>
  <c r="H4377" i="3" a="1"/>
  <c r="H4377" i="3" s="1"/>
  <c r="H4378" i="3" a="1"/>
  <c r="H4378" i="3" s="1"/>
  <c r="H4379" i="3" a="1"/>
  <c r="H4379" i="3" s="1"/>
  <c r="H4380" i="3" a="1"/>
  <c r="H4380" i="3" s="1"/>
  <c r="H4381" i="3" a="1"/>
  <c r="H4381" i="3" s="1"/>
  <c r="H4382" i="3" a="1"/>
  <c r="H4382" i="3" s="1"/>
  <c r="H4383" i="3" a="1"/>
  <c r="H4383" i="3" s="1"/>
  <c r="H4384" i="3" a="1"/>
  <c r="H4384" i="3" s="1"/>
  <c r="H4385" i="3" a="1"/>
  <c r="H4385" i="3" s="1"/>
  <c r="H4386" i="3" a="1"/>
  <c r="H4386" i="3" s="1"/>
  <c r="H4387" i="3" a="1"/>
  <c r="H4387" i="3" s="1"/>
  <c r="H4388" i="3" a="1"/>
  <c r="H4388" i="3" s="1"/>
  <c r="H4389" i="3" a="1"/>
  <c r="H4389" i="3" s="1"/>
  <c r="H4390" i="3" a="1"/>
  <c r="H4390" i="3" s="1"/>
  <c r="H4391" i="3" a="1"/>
  <c r="H4391" i="3" s="1"/>
  <c r="H4392" i="3" a="1"/>
  <c r="H4392" i="3" s="1"/>
  <c r="H4393" i="3" a="1"/>
  <c r="H4393" i="3" s="1"/>
  <c r="H4394" i="3" a="1"/>
  <c r="H4394" i="3" s="1"/>
  <c r="H4395" i="3" a="1"/>
  <c r="H4395" i="3" s="1"/>
  <c r="H4396" i="3" a="1"/>
  <c r="H4396" i="3" s="1"/>
  <c r="H4397" i="3" a="1"/>
  <c r="H4397" i="3" s="1"/>
  <c r="H4398" i="3" a="1"/>
  <c r="H4398" i="3" s="1"/>
  <c r="H4399" i="3" a="1"/>
  <c r="H4399" i="3" s="1"/>
  <c r="H4400" i="3" a="1"/>
  <c r="H4400" i="3" s="1"/>
  <c r="H4401" i="3" a="1"/>
  <c r="H4401" i="3" s="1"/>
  <c r="H4402" i="3" a="1"/>
  <c r="H4402" i="3" s="1"/>
  <c r="H4403" i="3" a="1"/>
  <c r="H4403" i="3" s="1"/>
  <c r="H4404" i="3" a="1"/>
  <c r="H4404" i="3" s="1"/>
  <c r="H4405" i="3" a="1"/>
  <c r="H4405" i="3" s="1"/>
  <c r="H4406" i="3" a="1"/>
  <c r="H4406" i="3" s="1"/>
  <c r="H4407" i="3" a="1"/>
  <c r="H4407" i="3" s="1"/>
  <c r="H4408" i="3" a="1"/>
  <c r="H4408" i="3" s="1"/>
  <c r="H4409" i="3" a="1"/>
  <c r="H4409" i="3" s="1"/>
  <c r="H4410" i="3" a="1"/>
  <c r="H4410" i="3" s="1"/>
  <c r="H4411" i="3" a="1"/>
  <c r="H4411" i="3" s="1"/>
  <c r="H4412" i="3" a="1"/>
  <c r="H4412" i="3" s="1"/>
  <c r="H4413" i="3" a="1"/>
  <c r="H4413" i="3" s="1"/>
  <c r="H4414" i="3" a="1"/>
  <c r="H4414" i="3" s="1"/>
  <c r="H4415" i="3" a="1"/>
  <c r="H4415" i="3" s="1"/>
  <c r="H4416" i="3" a="1"/>
  <c r="H4416" i="3" s="1"/>
  <c r="H4417" i="3" a="1"/>
  <c r="H4417" i="3" s="1"/>
  <c r="H4418" i="3" a="1"/>
  <c r="H4418" i="3" s="1"/>
  <c r="H4419" i="3" a="1"/>
  <c r="H4419" i="3" s="1"/>
  <c r="H4420" i="3" a="1"/>
  <c r="H4420" i="3" s="1"/>
  <c r="H4421" i="3" a="1"/>
  <c r="H4421" i="3" s="1"/>
  <c r="H4422" i="3" a="1"/>
  <c r="H4422" i="3" s="1"/>
  <c r="H4423" i="3" a="1"/>
  <c r="H4423" i="3" s="1"/>
  <c r="H4424" i="3" a="1"/>
  <c r="H4424" i="3" s="1"/>
  <c r="H4425" i="3" a="1"/>
  <c r="H4425" i="3" s="1"/>
  <c r="H4426" i="3" a="1"/>
  <c r="H4426" i="3" s="1"/>
  <c r="H4427" i="3" a="1"/>
  <c r="H4427" i="3" s="1"/>
  <c r="H4428" i="3" a="1"/>
  <c r="H4428" i="3" s="1"/>
  <c r="H4429" i="3" a="1"/>
  <c r="H4429" i="3" s="1"/>
  <c r="H4430" i="3" a="1"/>
  <c r="H4430" i="3" s="1"/>
  <c r="H4431" i="3" a="1"/>
  <c r="H4431" i="3" s="1"/>
  <c r="H4432" i="3" a="1"/>
  <c r="H4432" i="3" s="1"/>
  <c r="H4433" i="3" a="1"/>
  <c r="H4433" i="3" s="1"/>
  <c r="H4434" i="3" a="1"/>
  <c r="H4434" i="3" s="1"/>
  <c r="H4435" i="3" a="1"/>
  <c r="H4435" i="3" s="1"/>
  <c r="H4436" i="3" a="1"/>
  <c r="H4436" i="3" s="1"/>
  <c r="H4437" i="3" a="1"/>
  <c r="H4437" i="3" s="1"/>
  <c r="H4438" i="3" a="1"/>
  <c r="H4438" i="3" s="1"/>
  <c r="H4439" i="3" a="1"/>
  <c r="H4439" i="3" s="1"/>
  <c r="H4440" i="3" a="1"/>
  <c r="H4440" i="3" s="1"/>
  <c r="H4441" i="3" a="1"/>
  <c r="H4441" i="3" s="1"/>
  <c r="H4442" i="3" a="1"/>
  <c r="H4442" i="3" s="1"/>
  <c r="H4443" i="3" a="1"/>
  <c r="H4443" i="3" s="1"/>
  <c r="H4444" i="3" a="1"/>
  <c r="H4444" i="3" s="1"/>
  <c r="H4445" i="3" a="1"/>
  <c r="H4445" i="3" s="1"/>
  <c r="H4446" i="3" a="1"/>
  <c r="H4446" i="3" s="1"/>
  <c r="H4447" i="3" a="1"/>
  <c r="H4447" i="3" s="1"/>
  <c r="H4448" i="3" a="1"/>
  <c r="H4448" i="3" s="1"/>
  <c r="H4449" i="3" a="1"/>
  <c r="H4449" i="3" s="1"/>
  <c r="H4450" i="3" a="1"/>
  <c r="H4450" i="3" s="1"/>
  <c r="H4451" i="3" a="1"/>
  <c r="H4451" i="3" s="1"/>
  <c r="H4452" i="3" a="1"/>
  <c r="H4452" i="3" s="1"/>
  <c r="H4453" i="3" a="1"/>
  <c r="H4453" i="3" s="1"/>
  <c r="H4454" i="3" a="1"/>
  <c r="H4454" i="3" s="1"/>
  <c r="H4455" i="3" a="1"/>
  <c r="H4455" i="3" s="1"/>
  <c r="H4456" i="3" a="1"/>
  <c r="H4456" i="3" s="1"/>
  <c r="H4457" i="3" a="1"/>
  <c r="H4457" i="3" s="1"/>
  <c r="H4458" i="3" a="1"/>
  <c r="H4458" i="3" s="1"/>
  <c r="H4459" i="3" a="1"/>
  <c r="H4459" i="3" s="1"/>
  <c r="H4460" i="3" a="1"/>
  <c r="H4460" i="3" s="1"/>
  <c r="H4461" i="3" a="1"/>
  <c r="H4461" i="3" s="1"/>
  <c r="H4462" i="3" a="1"/>
  <c r="H4462" i="3" s="1"/>
  <c r="H4463" i="3" a="1"/>
  <c r="H4463" i="3" s="1"/>
  <c r="H4464" i="3" a="1"/>
  <c r="H4464" i="3" s="1"/>
  <c r="H4465" i="3" a="1"/>
  <c r="H4465" i="3" s="1"/>
  <c r="H4466" i="3" a="1"/>
  <c r="H4466" i="3" s="1"/>
  <c r="H4467" i="3" a="1"/>
  <c r="H4467" i="3" s="1"/>
  <c r="H4468" i="3" a="1"/>
  <c r="H4468" i="3" s="1"/>
  <c r="H4469" i="3" a="1"/>
  <c r="H4469" i="3" s="1"/>
  <c r="H4470" i="3" a="1"/>
  <c r="H4470" i="3" s="1"/>
  <c r="H4471" i="3" a="1"/>
  <c r="H4471" i="3" s="1"/>
  <c r="H4472" i="3" a="1"/>
  <c r="H4472" i="3" s="1"/>
  <c r="H4473" i="3" a="1"/>
  <c r="H4473" i="3" s="1"/>
  <c r="H4474" i="3" a="1"/>
  <c r="H4474" i="3" s="1"/>
  <c r="H4475" i="3" a="1"/>
  <c r="H4475" i="3" s="1"/>
  <c r="H4476" i="3" a="1"/>
  <c r="H4476" i="3" s="1"/>
  <c r="H4477" i="3" a="1"/>
  <c r="H4477" i="3" s="1"/>
  <c r="H4478" i="3" a="1"/>
  <c r="H4478" i="3" s="1"/>
  <c r="H4479" i="3" a="1"/>
  <c r="H4479" i="3" s="1"/>
  <c r="H4480" i="3" a="1"/>
  <c r="H4480" i="3" s="1"/>
  <c r="H4481" i="3" a="1"/>
  <c r="H4481" i="3" s="1"/>
  <c r="H4482" i="3" a="1"/>
  <c r="H4482" i="3" s="1"/>
  <c r="H4483" i="3" a="1"/>
  <c r="H4483" i="3" s="1"/>
  <c r="H4484" i="3" a="1"/>
  <c r="H4484" i="3" s="1"/>
  <c r="H4485" i="3" a="1"/>
  <c r="H4485" i="3" s="1"/>
  <c r="H4486" i="3" a="1"/>
  <c r="H4486" i="3" s="1"/>
  <c r="H4487" i="3" a="1"/>
  <c r="H4487" i="3" s="1"/>
  <c r="H4488" i="3" a="1"/>
  <c r="H4488" i="3" s="1"/>
  <c r="H4489" i="3" a="1"/>
  <c r="H4489" i="3" s="1"/>
  <c r="H4490" i="3" a="1"/>
  <c r="H4490" i="3" s="1"/>
  <c r="H4491" i="3" a="1"/>
  <c r="H4491" i="3" s="1"/>
  <c r="H4492" i="3" a="1"/>
  <c r="H4492" i="3" s="1"/>
  <c r="H4493" i="3" a="1"/>
  <c r="H4493" i="3" s="1"/>
  <c r="H4494" i="3" a="1"/>
  <c r="H4494" i="3" s="1"/>
  <c r="H4495" i="3" a="1"/>
  <c r="H4495" i="3" s="1"/>
  <c r="H4496" i="3" a="1"/>
  <c r="H4496" i="3" s="1"/>
  <c r="H4497" i="3" a="1"/>
  <c r="H4497" i="3" s="1"/>
  <c r="H4498" i="3" a="1"/>
  <c r="H4498" i="3" s="1"/>
  <c r="H4499" i="3" a="1"/>
  <c r="H4499" i="3" s="1"/>
  <c r="H4500" i="3" a="1"/>
  <c r="H4500" i="3" s="1"/>
  <c r="H4501" i="3" a="1"/>
  <c r="H4501" i="3" s="1"/>
  <c r="H4502" i="3" a="1"/>
  <c r="H4502" i="3" s="1"/>
  <c r="H4503" i="3" a="1"/>
  <c r="H4503" i="3" s="1"/>
  <c r="H4504" i="3" a="1"/>
  <c r="H4504" i="3" s="1"/>
  <c r="H4505" i="3" a="1"/>
  <c r="H4505" i="3" s="1"/>
  <c r="H4506" i="3" a="1"/>
  <c r="H4506" i="3" s="1"/>
  <c r="H4507" i="3" a="1"/>
  <c r="H4507" i="3" s="1"/>
  <c r="H4508" i="3" a="1"/>
  <c r="H4508" i="3" s="1"/>
  <c r="H4509" i="3" a="1"/>
  <c r="H4509" i="3" s="1"/>
  <c r="H4510" i="3" a="1"/>
  <c r="H4510" i="3" s="1"/>
  <c r="H4511" i="3" a="1"/>
  <c r="H4511" i="3" s="1"/>
  <c r="H4512" i="3" a="1"/>
  <c r="H4512" i="3" s="1"/>
  <c r="H4513" i="3" a="1"/>
  <c r="H4513" i="3" s="1"/>
  <c r="H4514" i="3" a="1"/>
  <c r="H4514" i="3" s="1"/>
  <c r="H4515" i="3" a="1"/>
  <c r="H4515" i="3" s="1"/>
  <c r="H4516" i="3" a="1"/>
  <c r="H4516" i="3" s="1"/>
  <c r="H4517" i="3" a="1"/>
  <c r="H4517" i="3" s="1"/>
  <c r="H4518" i="3" a="1"/>
  <c r="H4518" i="3" s="1"/>
  <c r="H4519" i="3" a="1"/>
  <c r="H4519" i="3" s="1"/>
  <c r="H4520" i="3" a="1"/>
  <c r="H4520" i="3" s="1"/>
  <c r="H4521" i="3" a="1"/>
  <c r="H4521" i="3" s="1"/>
  <c r="H4522" i="3" a="1"/>
  <c r="H4522" i="3" s="1"/>
  <c r="H4523" i="3" a="1"/>
  <c r="H4523" i="3" s="1"/>
  <c r="H4524" i="3" a="1"/>
  <c r="H4524" i="3" s="1"/>
  <c r="H4525" i="3" a="1"/>
  <c r="H4525" i="3" s="1"/>
  <c r="H4526" i="3" a="1"/>
  <c r="H4526" i="3" s="1"/>
  <c r="H4527" i="3" a="1"/>
  <c r="H4527" i="3" s="1"/>
  <c r="H4528" i="3" a="1"/>
  <c r="H4528" i="3" s="1"/>
  <c r="H4529" i="3" a="1"/>
  <c r="H4529" i="3" s="1"/>
  <c r="H4530" i="3" a="1"/>
  <c r="H4530" i="3" s="1"/>
  <c r="H4531" i="3" a="1"/>
  <c r="H4531" i="3" s="1"/>
  <c r="H4532" i="3" a="1"/>
  <c r="H4532" i="3" s="1"/>
  <c r="H4533" i="3" a="1"/>
  <c r="H4533" i="3" s="1"/>
  <c r="H4534" i="3" a="1"/>
  <c r="H4534" i="3" s="1"/>
  <c r="H4535" i="3" a="1"/>
  <c r="H4535" i="3" s="1"/>
  <c r="H4536" i="3" a="1"/>
  <c r="H4536" i="3" s="1"/>
  <c r="H4537" i="3" a="1"/>
  <c r="H4537" i="3" s="1"/>
  <c r="H4538" i="3" a="1"/>
  <c r="H4538" i="3" s="1"/>
  <c r="H4539" i="3" a="1"/>
  <c r="H4539" i="3" s="1"/>
  <c r="H4540" i="3" a="1"/>
  <c r="H4540" i="3" s="1"/>
  <c r="H4541" i="3" a="1"/>
  <c r="H4541" i="3" s="1"/>
  <c r="H4542" i="3" a="1"/>
  <c r="H4542" i="3" s="1"/>
  <c r="H4543" i="3" a="1"/>
  <c r="H4543" i="3" s="1"/>
  <c r="H4544" i="3" a="1"/>
  <c r="H4544" i="3" s="1"/>
  <c r="H4545" i="3" a="1"/>
  <c r="H4545" i="3" s="1"/>
  <c r="H4546" i="3" a="1"/>
  <c r="H4546" i="3" s="1"/>
  <c r="H4547" i="3" a="1"/>
  <c r="H4547" i="3" s="1"/>
  <c r="H4548" i="3" a="1"/>
  <c r="H4548" i="3" s="1"/>
  <c r="H4549" i="3" a="1"/>
  <c r="H4549" i="3" s="1"/>
  <c r="H4550" i="3" a="1"/>
  <c r="H4550" i="3" s="1"/>
  <c r="H4551" i="3" a="1"/>
  <c r="H4551" i="3" s="1"/>
  <c r="H4552" i="3" a="1"/>
  <c r="H4552" i="3" s="1"/>
  <c r="H4553" i="3" a="1"/>
  <c r="H4553" i="3" s="1"/>
  <c r="H4554" i="3" a="1"/>
  <c r="H4554" i="3" s="1"/>
  <c r="H4555" i="3" a="1"/>
  <c r="H4555" i="3" s="1"/>
  <c r="H4556" i="3" a="1"/>
  <c r="H4556" i="3" s="1"/>
  <c r="H4557" i="3" a="1"/>
  <c r="H4557" i="3" s="1"/>
  <c r="H4558" i="3" a="1"/>
  <c r="H4558" i="3" s="1"/>
  <c r="H4559" i="3" a="1"/>
  <c r="H4559" i="3" s="1"/>
  <c r="H4560" i="3" a="1"/>
  <c r="H4560" i="3" s="1"/>
  <c r="H4561" i="3" a="1"/>
  <c r="H4561" i="3" s="1"/>
  <c r="H4562" i="3" a="1"/>
  <c r="H4562" i="3" s="1"/>
  <c r="H4563" i="3" a="1"/>
  <c r="H4563" i="3" s="1"/>
  <c r="H4564" i="3" a="1"/>
  <c r="H4564" i="3" s="1"/>
  <c r="H4565" i="3" a="1"/>
  <c r="H4565" i="3" s="1"/>
  <c r="H4566" i="3" a="1"/>
  <c r="H4566" i="3" s="1"/>
  <c r="H4567" i="3" a="1"/>
  <c r="H4567" i="3" s="1"/>
  <c r="H4568" i="3" a="1"/>
  <c r="H4568" i="3" s="1"/>
  <c r="H4569" i="3" a="1"/>
  <c r="H4569" i="3" s="1"/>
  <c r="H4570" i="3" a="1"/>
  <c r="H4570" i="3" s="1"/>
  <c r="H4571" i="3" a="1"/>
  <c r="H4571" i="3" s="1"/>
  <c r="H4572" i="3" a="1"/>
  <c r="H4572" i="3" s="1"/>
  <c r="H4573" i="3" a="1"/>
  <c r="H4573" i="3" s="1"/>
  <c r="H4574" i="3" a="1"/>
  <c r="H4574" i="3" s="1"/>
  <c r="H4575" i="3" a="1"/>
  <c r="H4575" i="3" s="1"/>
  <c r="H4576" i="3" a="1"/>
  <c r="H4576" i="3" s="1"/>
  <c r="H4577" i="3" a="1"/>
  <c r="H4577" i="3" s="1"/>
  <c r="H4578" i="3" a="1"/>
  <c r="H4578" i="3" s="1"/>
  <c r="H4579" i="3" a="1"/>
  <c r="H4579" i="3" s="1"/>
  <c r="H4580" i="3" a="1"/>
  <c r="H4580" i="3" s="1"/>
  <c r="H4581" i="3" a="1"/>
  <c r="H4581" i="3" s="1"/>
  <c r="H4582" i="3" a="1"/>
  <c r="H4582" i="3" s="1"/>
  <c r="H4583" i="3" a="1"/>
  <c r="H4583" i="3" s="1"/>
  <c r="H4584" i="3" a="1"/>
  <c r="H4584" i="3" s="1"/>
  <c r="H4585" i="3" a="1"/>
  <c r="H4585" i="3" s="1"/>
  <c r="H4586" i="3" a="1"/>
  <c r="H4586" i="3" s="1"/>
  <c r="H4587" i="3" a="1"/>
  <c r="H4587" i="3" s="1"/>
  <c r="H4588" i="3" a="1"/>
  <c r="H4588" i="3" s="1"/>
  <c r="H4589" i="3" a="1"/>
  <c r="H4589" i="3" s="1"/>
  <c r="H4590" i="3" a="1"/>
  <c r="H4590" i="3" s="1"/>
  <c r="H4591" i="3" a="1"/>
  <c r="H4591" i="3" s="1"/>
  <c r="H4592" i="3" a="1"/>
  <c r="H4592" i="3" s="1"/>
  <c r="H4593" i="3" a="1"/>
  <c r="H4593" i="3" s="1"/>
  <c r="H4594" i="3" a="1"/>
  <c r="H4594" i="3" s="1"/>
  <c r="H4595" i="3" a="1"/>
  <c r="H4595" i="3" s="1"/>
  <c r="H4596" i="3" a="1"/>
  <c r="H4596" i="3" s="1"/>
  <c r="H4597" i="3" a="1"/>
  <c r="H4597" i="3" s="1"/>
  <c r="H4598" i="3" a="1"/>
  <c r="H4598" i="3" s="1"/>
  <c r="H4599" i="3" a="1"/>
  <c r="H4599" i="3" s="1"/>
  <c r="H4600" i="3" a="1"/>
  <c r="H4600" i="3" s="1"/>
  <c r="H4601" i="3" a="1"/>
  <c r="H4601" i="3" s="1"/>
  <c r="H4602" i="3" a="1"/>
  <c r="H4602" i="3" s="1"/>
  <c r="H4603" i="3" a="1"/>
  <c r="H4603" i="3" s="1"/>
  <c r="H4604" i="3" a="1"/>
  <c r="H4604" i="3" s="1"/>
  <c r="H4605" i="3" a="1"/>
  <c r="H4605" i="3" s="1"/>
  <c r="H4606" i="3" a="1"/>
  <c r="H4606" i="3" s="1"/>
  <c r="H4607" i="3" a="1"/>
  <c r="H4607" i="3" s="1"/>
  <c r="H4608" i="3" a="1"/>
  <c r="H4608" i="3" s="1"/>
  <c r="H4609" i="3" a="1"/>
  <c r="H4609" i="3" s="1"/>
  <c r="H4610" i="3" a="1"/>
  <c r="H4610" i="3" s="1"/>
  <c r="H4611" i="3" a="1"/>
  <c r="H4611" i="3" s="1"/>
  <c r="H4612" i="3" a="1"/>
  <c r="H4612" i="3" s="1"/>
  <c r="H4613" i="3" a="1"/>
  <c r="H4613" i="3" s="1"/>
  <c r="H4614" i="3" a="1"/>
  <c r="H4614" i="3" s="1"/>
  <c r="H4615" i="3" a="1"/>
  <c r="H4615" i="3" s="1"/>
  <c r="H4616" i="3" a="1"/>
  <c r="H4616" i="3" s="1"/>
  <c r="H4617" i="3" a="1"/>
  <c r="H4617" i="3" s="1"/>
  <c r="H4618" i="3" a="1"/>
  <c r="H4618" i="3" s="1"/>
  <c r="H4619" i="3" a="1"/>
  <c r="H4619" i="3" s="1"/>
  <c r="H4620" i="3" a="1"/>
  <c r="H4620" i="3" s="1"/>
  <c r="H4621" i="3" a="1"/>
  <c r="H4621" i="3" s="1"/>
  <c r="H4622" i="3" a="1"/>
  <c r="H4622" i="3" s="1"/>
  <c r="H4623" i="3" a="1"/>
  <c r="H4623" i="3" s="1"/>
  <c r="H4624" i="3" a="1"/>
  <c r="H4624" i="3" s="1"/>
  <c r="H4625" i="3" a="1"/>
  <c r="H4625" i="3" s="1"/>
  <c r="H4626" i="3" a="1"/>
  <c r="H4626" i="3" s="1"/>
  <c r="H4627" i="3" a="1"/>
  <c r="H4627" i="3" s="1"/>
  <c r="H4628" i="3" a="1"/>
  <c r="H4628" i="3" s="1"/>
  <c r="H4629" i="3" a="1"/>
  <c r="H4629" i="3" s="1"/>
  <c r="H4630" i="3" a="1"/>
  <c r="H4630" i="3" s="1"/>
  <c r="H4631" i="3" a="1"/>
  <c r="H4631" i="3" s="1"/>
  <c r="H4632" i="3" a="1"/>
  <c r="H4632" i="3" s="1"/>
  <c r="H4633" i="3" a="1"/>
  <c r="H4633" i="3" s="1"/>
  <c r="H4634" i="3" a="1"/>
  <c r="H4634" i="3" s="1"/>
  <c r="H4635" i="3" a="1"/>
  <c r="H4635" i="3" s="1"/>
  <c r="H4636" i="3" a="1"/>
  <c r="H4636" i="3" s="1"/>
  <c r="H4637" i="3" a="1"/>
  <c r="H4637" i="3" s="1"/>
  <c r="H4638" i="3" a="1"/>
  <c r="H4638" i="3" s="1"/>
  <c r="H4639" i="3" a="1"/>
  <c r="H4639" i="3" s="1"/>
  <c r="H4640" i="3" a="1"/>
  <c r="H4640" i="3" s="1"/>
  <c r="H4641" i="3" a="1"/>
  <c r="H4641" i="3" s="1"/>
  <c r="H4642" i="3" a="1"/>
  <c r="H4642" i="3" s="1"/>
  <c r="H4643" i="3" a="1"/>
  <c r="H4643" i="3" s="1"/>
  <c r="H4644" i="3" a="1"/>
  <c r="H4644" i="3" s="1"/>
  <c r="H4645" i="3" a="1"/>
  <c r="H4645" i="3" s="1"/>
  <c r="H4646" i="3" a="1"/>
  <c r="H4646" i="3" s="1"/>
  <c r="H4647" i="3" a="1"/>
  <c r="H4647" i="3" s="1"/>
  <c r="H4648" i="3" a="1"/>
  <c r="H4648" i="3" s="1"/>
  <c r="H4649" i="3" a="1"/>
  <c r="H4649" i="3" s="1"/>
  <c r="H4650" i="3" a="1"/>
  <c r="H4650" i="3" s="1"/>
  <c r="H4651" i="3" a="1"/>
  <c r="H4651" i="3" s="1"/>
  <c r="H4652" i="3" a="1"/>
  <c r="H4652" i="3" s="1"/>
  <c r="H4653" i="3" a="1"/>
  <c r="H4653" i="3" s="1"/>
  <c r="H4654" i="3" a="1"/>
  <c r="H4654" i="3" s="1"/>
  <c r="H4655" i="3" a="1"/>
  <c r="H4655" i="3" s="1"/>
  <c r="H4656" i="3" a="1"/>
  <c r="H4656" i="3" s="1"/>
  <c r="H4657" i="3" a="1"/>
  <c r="H4657" i="3" s="1"/>
  <c r="H4658" i="3" a="1"/>
  <c r="H4658" i="3" s="1"/>
  <c r="H4659" i="3" a="1"/>
  <c r="H4659" i="3" s="1"/>
  <c r="H4660" i="3" a="1"/>
  <c r="H4660" i="3" s="1"/>
  <c r="H4661" i="3" a="1"/>
  <c r="H4661" i="3" s="1"/>
  <c r="H4662" i="3" a="1"/>
  <c r="H4662" i="3" s="1"/>
  <c r="H4663" i="3" a="1"/>
  <c r="H4663" i="3" s="1"/>
  <c r="H4664" i="3" a="1"/>
  <c r="H4664" i="3" s="1"/>
  <c r="H4665" i="3" a="1"/>
  <c r="H4665" i="3" s="1"/>
  <c r="H4666" i="3" a="1"/>
  <c r="H4666" i="3" s="1"/>
  <c r="H4667" i="3" a="1"/>
  <c r="H4667" i="3" s="1"/>
  <c r="H4668" i="3" a="1"/>
  <c r="H4668" i="3" s="1"/>
  <c r="H4669" i="3" a="1"/>
  <c r="H4669" i="3" s="1"/>
  <c r="H4670" i="3" a="1"/>
  <c r="H4670" i="3" s="1"/>
  <c r="H4671" i="3" a="1"/>
  <c r="H4671" i="3" s="1"/>
  <c r="H4672" i="3" a="1"/>
  <c r="H4672" i="3" s="1"/>
  <c r="H4673" i="3" a="1"/>
  <c r="H4673" i="3" s="1"/>
  <c r="H4674" i="3" a="1"/>
  <c r="H4674" i="3" s="1"/>
  <c r="H4675" i="3" a="1"/>
  <c r="H4675" i="3" s="1"/>
  <c r="H4676" i="3" a="1"/>
  <c r="H4676" i="3" s="1"/>
  <c r="H4677" i="3" a="1"/>
  <c r="H4677" i="3" s="1"/>
  <c r="H4678" i="3" a="1"/>
  <c r="H4678" i="3" s="1"/>
  <c r="H4679" i="3" a="1"/>
  <c r="H4679" i="3" s="1"/>
  <c r="H4680" i="3" a="1"/>
  <c r="H4680" i="3" s="1"/>
  <c r="H4681" i="3" a="1"/>
  <c r="H4681" i="3" s="1"/>
  <c r="H4682" i="3" a="1"/>
  <c r="H4682" i="3" s="1"/>
  <c r="H4683" i="3" a="1"/>
  <c r="H4683" i="3" s="1"/>
  <c r="H4684" i="3" a="1"/>
  <c r="H4684" i="3" s="1"/>
  <c r="H4685" i="3" a="1"/>
  <c r="H4685" i="3" s="1"/>
  <c r="H4686" i="3" a="1"/>
  <c r="H4686" i="3" s="1"/>
  <c r="H4687" i="3" a="1"/>
  <c r="H4687" i="3" s="1"/>
  <c r="H4688" i="3" a="1"/>
  <c r="H4688" i="3" s="1"/>
  <c r="H4689" i="3" a="1"/>
  <c r="H4689" i="3" s="1"/>
  <c r="H4690" i="3" a="1"/>
  <c r="H4690" i="3" s="1"/>
  <c r="H4691" i="3" a="1"/>
  <c r="H4691" i="3" s="1"/>
  <c r="H4692" i="3" a="1"/>
  <c r="H4692" i="3" s="1"/>
  <c r="H4693" i="3" a="1"/>
  <c r="H4693" i="3" s="1"/>
  <c r="H4694" i="3" a="1"/>
  <c r="H4694" i="3" s="1"/>
  <c r="H4695" i="3" a="1"/>
  <c r="H4695" i="3" s="1"/>
  <c r="H4696" i="3" a="1"/>
  <c r="H4696" i="3" s="1"/>
  <c r="H4697" i="3" a="1"/>
  <c r="H4697" i="3" s="1"/>
  <c r="H4698" i="3" a="1"/>
  <c r="H4698" i="3" s="1"/>
  <c r="H4699" i="3" a="1"/>
  <c r="H4699" i="3" s="1"/>
  <c r="H4700" i="3" a="1"/>
  <c r="H4700" i="3" s="1"/>
  <c r="H4701" i="3" a="1"/>
  <c r="H4701" i="3" s="1"/>
  <c r="H4702" i="3" a="1"/>
  <c r="H4702" i="3" s="1"/>
  <c r="H4703" i="3" a="1"/>
  <c r="H4703" i="3" s="1"/>
  <c r="H4704" i="3" a="1"/>
  <c r="H4704" i="3" s="1"/>
  <c r="H4705" i="3" a="1"/>
  <c r="H4705" i="3" s="1"/>
  <c r="H4706" i="3" a="1"/>
  <c r="H4706" i="3" s="1"/>
  <c r="H4707" i="3" a="1"/>
  <c r="H4707" i="3" s="1"/>
  <c r="H4708" i="3" a="1"/>
  <c r="H4708" i="3" s="1"/>
  <c r="H4709" i="3" a="1"/>
  <c r="H4709" i="3" s="1"/>
  <c r="H4710" i="3" a="1"/>
  <c r="H4710" i="3" s="1"/>
  <c r="H4711" i="3" a="1"/>
  <c r="H4711" i="3" s="1"/>
  <c r="H4712" i="3" a="1"/>
  <c r="H4712" i="3" s="1"/>
  <c r="H4713" i="3" a="1"/>
  <c r="H4713" i="3" s="1"/>
  <c r="H4714" i="3" a="1"/>
  <c r="H4714" i="3" s="1"/>
  <c r="H4715" i="3" a="1"/>
  <c r="H4715" i="3" s="1"/>
  <c r="H4716" i="3" a="1"/>
  <c r="H4716" i="3" s="1"/>
  <c r="H4717" i="3" a="1"/>
  <c r="H4717" i="3" s="1"/>
  <c r="H4718" i="3" a="1"/>
  <c r="H4718" i="3" s="1"/>
  <c r="H4719" i="3" a="1"/>
  <c r="H4719" i="3" s="1"/>
  <c r="H4720" i="3" a="1"/>
  <c r="H4720" i="3" s="1"/>
  <c r="H4721" i="3" a="1"/>
  <c r="H4721" i="3" s="1"/>
  <c r="H4722" i="3" a="1"/>
  <c r="H4722" i="3" s="1"/>
  <c r="H4723" i="3" a="1"/>
  <c r="H4723" i="3" s="1"/>
  <c r="H4724" i="3" a="1"/>
  <c r="H4724" i="3" s="1"/>
  <c r="H4725" i="3" a="1"/>
  <c r="H4725" i="3" s="1"/>
  <c r="H4726" i="3" a="1"/>
  <c r="H4726" i="3" s="1"/>
  <c r="H4727" i="3" a="1"/>
  <c r="H4727" i="3" s="1"/>
  <c r="H4728" i="3" a="1"/>
  <c r="H4728" i="3" s="1"/>
  <c r="H4729" i="3" a="1"/>
  <c r="H4729" i="3" s="1"/>
  <c r="H4730" i="3" a="1"/>
  <c r="H4730" i="3" s="1"/>
  <c r="H4731" i="3" a="1"/>
  <c r="H4731" i="3" s="1"/>
  <c r="H4732" i="3" a="1"/>
  <c r="H4732" i="3" s="1"/>
  <c r="H4733" i="3" a="1"/>
  <c r="H4733" i="3" s="1"/>
  <c r="H4734" i="3" a="1"/>
  <c r="H4734" i="3" s="1"/>
  <c r="H4735" i="3" a="1"/>
  <c r="H4735" i="3" s="1"/>
  <c r="H4736" i="3" a="1"/>
  <c r="H4736" i="3" s="1"/>
  <c r="H4737" i="3" a="1"/>
  <c r="H4737" i="3" s="1"/>
  <c r="H4738" i="3" a="1"/>
  <c r="H4738" i="3" s="1"/>
  <c r="H4739" i="3" a="1"/>
  <c r="H4739" i="3" s="1"/>
  <c r="H4740" i="3" a="1"/>
  <c r="H4740" i="3" s="1"/>
  <c r="H4741" i="3" a="1"/>
  <c r="H4741" i="3" s="1"/>
  <c r="H4742" i="3" a="1"/>
  <c r="H4742" i="3" s="1"/>
  <c r="H4743" i="3" a="1"/>
  <c r="H4743" i="3" s="1"/>
  <c r="H4744" i="3" a="1"/>
  <c r="H4744" i="3" s="1"/>
  <c r="H4745" i="3" a="1"/>
  <c r="H4745" i="3" s="1"/>
  <c r="H4746" i="3" a="1"/>
  <c r="H4746" i="3" s="1"/>
  <c r="H4747" i="3" a="1"/>
  <c r="H4747" i="3" s="1"/>
  <c r="H4748" i="3" a="1"/>
  <c r="H4748" i="3" s="1"/>
  <c r="H4749" i="3" a="1"/>
  <c r="H4749" i="3" s="1"/>
  <c r="H4750" i="3" a="1"/>
  <c r="H4750" i="3" s="1"/>
  <c r="H4751" i="3" a="1"/>
  <c r="H4751" i="3" s="1"/>
  <c r="H4752" i="3" a="1"/>
  <c r="H4752" i="3" s="1"/>
  <c r="H4753" i="3" a="1"/>
  <c r="H4753" i="3" s="1"/>
  <c r="H4754" i="3" a="1"/>
  <c r="H4754" i="3" s="1"/>
  <c r="H4755" i="3" a="1"/>
  <c r="H4755" i="3" s="1"/>
  <c r="H4756" i="3" a="1"/>
  <c r="H4756" i="3" s="1"/>
  <c r="H4757" i="3" a="1"/>
  <c r="H4757" i="3" s="1"/>
  <c r="H4758" i="3" a="1"/>
  <c r="H4758" i="3" s="1"/>
  <c r="H4759" i="3" a="1"/>
  <c r="H4759" i="3" s="1"/>
  <c r="H4760" i="3" a="1"/>
  <c r="H4760" i="3" s="1"/>
  <c r="H4761" i="3" a="1"/>
  <c r="H4761" i="3" s="1"/>
  <c r="H4762" i="3" a="1"/>
  <c r="H4762" i="3" s="1"/>
  <c r="H4763" i="3" a="1"/>
  <c r="H4763" i="3" s="1"/>
  <c r="H4764" i="3" a="1"/>
  <c r="H4764" i="3" s="1"/>
  <c r="H4765" i="3" a="1"/>
  <c r="H4765" i="3" s="1"/>
  <c r="H4766" i="3" a="1"/>
  <c r="H4766" i="3" s="1"/>
  <c r="H4767" i="3" a="1"/>
  <c r="H4767" i="3" s="1"/>
  <c r="H4768" i="3" a="1"/>
  <c r="H4768" i="3" s="1"/>
  <c r="H4769" i="3" a="1"/>
  <c r="H4769" i="3" s="1"/>
  <c r="H4770" i="3" a="1"/>
  <c r="H4770" i="3" s="1"/>
  <c r="H4771" i="3" a="1"/>
  <c r="H4771" i="3" s="1"/>
  <c r="H4772" i="3" a="1"/>
  <c r="H4772" i="3" s="1"/>
  <c r="H4773" i="3" a="1"/>
  <c r="H4773" i="3" s="1"/>
  <c r="H4774" i="3" a="1"/>
  <c r="H4774" i="3" s="1"/>
  <c r="H4775" i="3" a="1"/>
  <c r="H4775" i="3" s="1"/>
  <c r="H4776" i="3" a="1"/>
  <c r="H4776" i="3" s="1"/>
  <c r="H4777" i="3" a="1"/>
  <c r="H4777" i="3" s="1"/>
  <c r="H4778" i="3" a="1"/>
  <c r="H4778" i="3" s="1"/>
  <c r="H4779" i="3" a="1"/>
  <c r="H4779" i="3" s="1"/>
  <c r="H4780" i="3" a="1"/>
  <c r="H4780" i="3" s="1"/>
  <c r="H4781" i="3" a="1"/>
  <c r="H4781" i="3" s="1"/>
  <c r="H4782" i="3" a="1"/>
  <c r="H4782" i="3" s="1"/>
  <c r="H4783" i="3" a="1"/>
  <c r="H4783" i="3" s="1"/>
  <c r="H4784" i="3" a="1"/>
  <c r="H4784" i="3" s="1"/>
  <c r="H4785" i="3" a="1"/>
  <c r="H4785" i="3" s="1"/>
  <c r="H4786" i="3" a="1"/>
  <c r="H4786" i="3" s="1"/>
  <c r="H4787" i="3" a="1"/>
  <c r="H4787" i="3" s="1"/>
  <c r="H4788" i="3" a="1"/>
  <c r="H4788" i="3" s="1"/>
  <c r="H4789" i="3" a="1"/>
  <c r="H4789" i="3" s="1"/>
  <c r="H4790" i="3" a="1"/>
  <c r="H4790" i="3" s="1"/>
  <c r="H4791" i="3" a="1"/>
  <c r="H4791" i="3" s="1"/>
  <c r="H4792" i="3" a="1"/>
  <c r="H4792" i="3" s="1"/>
  <c r="H4793" i="3" a="1"/>
  <c r="H4793" i="3" s="1"/>
  <c r="H4794" i="3" a="1"/>
  <c r="H4794" i="3" s="1"/>
  <c r="H4795" i="3" a="1"/>
  <c r="H4795" i="3" s="1"/>
  <c r="H4796" i="3" a="1"/>
  <c r="H4796" i="3" s="1"/>
  <c r="H4797" i="3" a="1"/>
  <c r="H4797" i="3" s="1"/>
  <c r="H4798" i="3" a="1"/>
  <c r="H4798" i="3" s="1"/>
  <c r="H4799" i="3" a="1"/>
  <c r="H4799" i="3" s="1"/>
  <c r="H4800" i="3" a="1"/>
  <c r="H4800" i="3" s="1"/>
  <c r="H4801" i="3" a="1"/>
  <c r="H4801" i="3" s="1"/>
  <c r="H4802" i="3" a="1"/>
  <c r="H4802" i="3" s="1"/>
  <c r="H4803" i="3" a="1"/>
  <c r="H4803" i="3" s="1"/>
  <c r="H4804" i="3" a="1"/>
  <c r="H4804" i="3" s="1"/>
  <c r="H4805" i="3" a="1"/>
  <c r="H4805" i="3" s="1"/>
  <c r="H4806" i="3" a="1"/>
  <c r="H4806" i="3" s="1"/>
  <c r="H4807" i="3" a="1"/>
  <c r="H4807" i="3" s="1"/>
  <c r="H4808" i="3" a="1"/>
  <c r="H4808" i="3" s="1"/>
  <c r="H4809" i="3" a="1"/>
  <c r="H4809" i="3" s="1"/>
  <c r="H4810" i="3" a="1"/>
  <c r="H4810" i="3" s="1"/>
  <c r="H4811" i="3" a="1"/>
  <c r="H4811" i="3" s="1"/>
  <c r="H4812" i="3" a="1"/>
  <c r="H4812" i="3" s="1"/>
  <c r="H4813" i="3" a="1"/>
  <c r="H4813" i="3" s="1"/>
  <c r="H4814" i="3" a="1"/>
  <c r="H4814" i="3" s="1"/>
  <c r="H4815" i="3" a="1"/>
  <c r="H4815" i="3" s="1"/>
  <c r="H4816" i="3" a="1"/>
  <c r="H4816" i="3" s="1"/>
  <c r="H4817" i="3" a="1"/>
  <c r="H4817" i="3" s="1"/>
  <c r="H4818" i="3" a="1"/>
  <c r="H4818" i="3" s="1"/>
  <c r="H4819" i="3" a="1"/>
  <c r="H4819" i="3" s="1"/>
  <c r="H4820" i="3" a="1"/>
  <c r="H4820" i="3" s="1"/>
  <c r="H4821" i="3" a="1"/>
  <c r="H4821" i="3" s="1"/>
  <c r="H4822" i="3" a="1"/>
  <c r="H4822" i="3" s="1"/>
  <c r="H4823" i="3" a="1"/>
  <c r="H4823" i="3" s="1"/>
  <c r="H4824" i="3" a="1"/>
  <c r="H4824" i="3" s="1"/>
  <c r="H4825" i="3" a="1"/>
  <c r="H4825" i="3" s="1"/>
  <c r="H4826" i="3" a="1"/>
  <c r="H4826" i="3" s="1"/>
  <c r="H4827" i="3" a="1"/>
  <c r="H4827" i="3" s="1"/>
  <c r="H4828" i="3" a="1"/>
  <c r="H4828" i="3" s="1"/>
  <c r="H4829" i="3" a="1"/>
  <c r="H4829" i="3" s="1"/>
  <c r="H4830" i="3" a="1"/>
  <c r="H4830" i="3" s="1"/>
  <c r="H4831" i="3" a="1"/>
  <c r="H4831" i="3" s="1"/>
  <c r="H4832" i="3" a="1"/>
  <c r="H4832" i="3" s="1"/>
  <c r="H4833" i="3" a="1"/>
  <c r="H4833" i="3" s="1"/>
  <c r="H4834" i="3" a="1"/>
  <c r="H4834" i="3" s="1"/>
  <c r="H4835" i="3" a="1"/>
  <c r="H4835" i="3" s="1"/>
  <c r="H4836" i="3" a="1"/>
  <c r="H4836" i="3" s="1"/>
  <c r="H4837" i="3" a="1"/>
  <c r="H4837" i="3" s="1"/>
  <c r="H4838" i="3" a="1"/>
  <c r="H4838" i="3" s="1"/>
  <c r="H4839" i="3" a="1"/>
  <c r="H4839" i="3" s="1"/>
  <c r="H4840" i="3" a="1"/>
  <c r="H4840" i="3" s="1"/>
  <c r="H4841" i="3" a="1"/>
  <c r="H4841" i="3" s="1"/>
  <c r="H4842" i="3" a="1"/>
  <c r="H4842" i="3" s="1"/>
  <c r="H4843" i="3" a="1"/>
  <c r="H4843" i="3" s="1"/>
  <c r="H4844" i="3" a="1"/>
  <c r="H4844" i="3" s="1"/>
  <c r="H4845" i="3" a="1"/>
  <c r="H4845" i="3" s="1"/>
  <c r="H4846" i="3" a="1"/>
  <c r="H4846" i="3" s="1"/>
  <c r="H4847" i="3" a="1"/>
  <c r="H4847" i="3" s="1"/>
  <c r="H4848" i="3" a="1"/>
  <c r="H4848" i="3" s="1"/>
  <c r="H4849" i="3" a="1"/>
  <c r="H4849" i="3" s="1"/>
  <c r="H4850" i="3" a="1"/>
  <c r="H4850" i="3" s="1"/>
  <c r="H4851" i="3" a="1"/>
  <c r="H4851" i="3" s="1"/>
  <c r="H4852" i="3" a="1"/>
  <c r="H4852" i="3" s="1"/>
  <c r="H4853" i="3" a="1"/>
  <c r="H4853" i="3" s="1"/>
  <c r="H4854" i="3" a="1"/>
  <c r="H4854" i="3" s="1"/>
  <c r="H4855" i="3" a="1"/>
  <c r="H4855" i="3" s="1"/>
  <c r="H4856" i="3" a="1"/>
  <c r="H4856" i="3" s="1"/>
  <c r="H4857" i="3" a="1"/>
  <c r="H4857" i="3" s="1"/>
  <c r="H4858" i="3" a="1"/>
  <c r="H4858" i="3" s="1"/>
  <c r="H4859" i="3" a="1"/>
  <c r="H4859" i="3" s="1"/>
  <c r="H4860" i="3" a="1"/>
  <c r="H4860" i="3" s="1"/>
  <c r="H4861" i="3" a="1"/>
  <c r="H4861" i="3" s="1"/>
  <c r="H4862" i="3" a="1"/>
  <c r="H4862" i="3" s="1"/>
  <c r="H4863" i="3" a="1"/>
  <c r="H4863" i="3" s="1"/>
  <c r="H4864" i="3" a="1"/>
  <c r="H4864" i="3" s="1"/>
  <c r="H4865" i="3" a="1"/>
  <c r="H4865" i="3" s="1"/>
  <c r="H4866" i="3" a="1"/>
  <c r="H4866" i="3" s="1"/>
  <c r="H4867" i="3" a="1"/>
  <c r="H4867" i="3" s="1"/>
  <c r="H4868" i="3" a="1"/>
  <c r="H4868" i="3" s="1"/>
  <c r="H4869" i="3" a="1"/>
  <c r="H4869" i="3" s="1"/>
  <c r="H4870" i="3" a="1"/>
  <c r="H4870" i="3" s="1"/>
  <c r="H4871" i="3" a="1"/>
  <c r="H4871" i="3" s="1"/>
  <c r="H4872" i="3" a="1"/>
  <c r="H4872" i="3" s="1"/>
  <c r="H4873" i="3" a="1"/>
  <c r="H4873" i="3" s="1"/>
  <c r="H4874" i="3" a="1"/>
  <c r="H4874" i="3" s="1"/>
  <c r="H4875" i="3" a="1"/>
  <c r="H4875" i="3" s="1"/>
  <c r="H4876" i="3" a="1"/>
  <c r="H4876" i="3" s="1"/>
  <c r="H4877" i="3" a="1"/>
  <c r="H4877" i="3" s="1"/>
  <c r="H4878" i="3" a="1"/>
  <c r="H4878" i="3" s="1"/>
  <c r="H4879" i="3" a="1"/>
  <c r="H4879" i="3" s="1"/>
  <c r="H4880" i="3" a="1"/>
  <c r="H4880" i="3" s="1"/>
  <c r="H4881" i="3" a="1"/>
  <c r="H4881" i="3" s="1"/>
  <c r="H4882" i="3" a="1"/>
  <c r="H4882" i="3" s="1"/>
  <c r="H4883" i="3" a="1"/>
  <c r="H4883" i="3" s="1"/>
  <c r="H4884" i="3" a="1"/>
  <c r="H4884" i="3" s="1"/>
  <c r="H4885" i="3" a="1"/>
  <c r="H4885" i="3" s="1"/>
  <c r="H4886" i="3" a="1"/>
  <c r="H4886" i="3" s="1"/>
  <c r="H4887" i="3" a="1"/>
  <c r="H4887" i="3" s="1"/>
  <c r="H4888" i="3" a="1"/>
  <c r="H4888" i="3" s="1"/>
  <c r="H4889" i="3" a="1"/>
  <c r="H4889" i="3" s="1"/>
  <c r="H4890" i="3" a="1"/>
  <c r="H4890" i="3" s="1"/>
  <c r="H4891" i="3" a="1"/>
  <c r="H4891" i="3" s="1"/>
  <c r="H4892" i="3" a="1"/>
  <c r="H4892" i="3" s="1"/>
  <c r="H4893" i="3" a="1"/>
  <c r="H4893" i="3" s="1"/>
  <c r="H4894" i="3" a="1"/>
  <c r="H4894" i="3" s="1"/>
  <c r="H4895" i="3" a="1"/>
  <c r="H4895" i="3" s="1"/>
  <c r="H4896" i="3" a="1"/>
  <c r="H4896" i="3" s="1"/>
  <c r="H4897" i="3" a="1"/>
  <c r="H4897" i="3" s="1"/>
  <c r="H4898" i="3" a="1"/>
  <c r="H4898" i="3" s="1"/>
  <c r="H4899" i="3" a="1"/>
  <c r="H4899" i="3" s="1"/>
  <c r="H4900" i="3" a="1"/>
  <c r="H4900" i="3" s="1"/>
  <c r="H4901" i="3" a="1"/>
  <c r="H4901" i="3" s="1"/>
  <c r="H4902" i="3" a="1"/>
  <c r="H4902" i="3" s="1"/>
  <c r="H4903" i="3" a="1"/>
  <c r="H4903" i="3" s="1"/>
  <c r="H4904" i="3" a="1"/>
  <c r="H4904" i="3" s="1"/>
  <c r="H4905" i="3" a="1"/>
  <c r="H4905" i="3" s="1"/>
  <c r="H4906" i="3" a="1"/>
  <c r="H4906" i="3" s="1"/>
  <c r="H4907" i="3" a="1"/>
  <c r="H4907" i="3" s="1"/>
  <c r="H4908" i="3" a="1"/>
  <c r="H4908" i="3" s="1"/>
  <c r="H4909" i="3" a="1"/>
  <c r="H4909" i="3" s="1"/>
  <c r="H4910" i="3" a="1"/>
  <c r="H4910" i="3" s="1"/>
  <c r="H4911" i="3" a="1"/>
  <c r="H4911" i="3" s="1"/>
  <c r="H4912" i="3" a="1"/>
  <c r="H4912" i="3" s="1"/>
  <c r="H4913" i="3" a="1"/>
  <c r="H4913" i="3" s="1"/>
  <c r="H4914" i="3" a="1"/>
  <c r="H4914" i="3" s="1"/>
  <c r="H4915" i="3" a="1"/>
  <c r="H4915" i="3" s="1"/>
  <c r="H4916" i="3" a="1"/>
  <c r="H4916" i="3" s="1"/>
  <c r="H4917" i="3" a="1"/>
  <c r="H4917" i="3" s="1"/>
  <c r="H4918" i="3" a="1"/>
  <c r="H4918" i="3" s="1"/>
  <c r="H4919" i="3" a="1"/>
  <c r="H4919" i="3" s="1"/>
  <c r="H4920" i="3" a="1"/>
  <c r="H4920" i="3" s="1"/>
  <c r="H4921" i="3" a="1"/>
  <c r="H4921" i="3" s="1"/>
  <c r="H4922" i="3" a="1"/>
  <c r="H4922" i="3" s="1"/>
  <c r="H4923" i="3" a="1"/>
  <c r="H4923" i="3" s="1"/>
  <c r="H4924" i="3" a="1"/>
  <c r="H4924" i="3" s="1"/>
  <c r="H4925" i="3" a="1"/>
  <c r="H4925" i="3" s="1"/>
  <c r="H4926" i="3" a="1"/>
  <c r="H4926" i="3" s="1"/>
  <c r="H4927" i="3" a="1"/>
  <c r="H4927" i="3" s="1"/>
  <c r="H4928" i="3" a="1"/>
  <c r="H4928" i="3" s="1"/>
  <c r="H4929" i="3" a="1"/>
  <c r="H4929" i="3" s="1"/>
  <c r="H4930" i="3" a="1"/>
  <c r="H4930" i="3" s="1"/>
  <c r="H4931" i="3" a="1"/>
  <c r="H4931" i="3" s="1"/>
  <c r="H4932" i="3" a="1"/>
  <c r="H4932" i="3" s="1"/>
  <c r="H4933" i="3" a="1"/>
  <c r="H4933" i="3" s="1"/>
  <c r="H4934" i="3" a="1"/>
  <c r="H4934" i="3" s="1"/>
  <c r="H4935" i="3" a="1"/>
  <c r="H4935" i="3" s="1"/>
  <c r="H4936" i="3" a="1"/>
  <c r="H4936" i="3" s="1"/>
  <c r="H4937" i="3" a="1"/>
  <c r="H4937" i="3" s="1"/>
  <c r="H4938" i="3" a="1"/>
  <c r="H4938" i="3" s="1"/>
  <c r="H4939" i="3" a="1"/>
  <c r="H4939" i="3" s="1"/>
  <c r="H4940" i="3" a="1"/>
  <c r="H4940" i="3" s="1"/>
  <c r="H4941" i="3" a="1"/>
  <c r="H4941" i="3" s="1"/>
  <c r="H4942" i="3" a="1"/>
  <c r="H4942" i="3" s="1"/>
  <c r="H4943" i="3" a="1"/>
  <c r="H4943" i="3" s="1"/>
  <c r="H4944" i="3" a="1"/>
  <c r="H4944" i="3" s="1"/>
  <c r="H4945" i="3" a="1"/>
  <c r="H4945" i="3" s="1"/>
  <c r="H4946" i="3" a="1"/>
  <c r="H4946" i="3" s="1"/>
  <c r="H4947" i="3" a="1"/>
  <c r="H4947" i="3" s="1"/>
  <c r="H4948" i="3" a="1"/>
  <c r="H4948" i="3" s="1"/>
  <c r="H4949" i="3" a="1"/>
  <c r="H4949" i="3" s="1"/>
  <c r="H4950" i="3" a="1"/>
  <c r="H4950" i="3" s="1"/>
  <c r="H4951" i="3" a="1"/>
  <c r="H4951" i="3" s="1"/>
  <c r="H4952" i="3" a="1"/>
  <c r="H4952" i="3" s="1"/>
  <c r="H4953" i="3" a="1"/>
  <c r="H4953" i="3" s="1"/>
  <c r="H4954" i="3" a="1"/>
  <c r="H4954" i="3" s="1"/>
  <c r="H4955" i="3" a="1"/>
  <c r="H4955" i="3" s="1"/>
  <c r="H4956" i="3" a="1"/>
  <c r="H4956" i="3" s="1"/>
  <c r="H4957" i="3" a="1"/>
  <c r="H4957" i="3" s="1"/>
  <c r="H4958" i="3" a="1"/>
  <c r="H4958" i="3" s="1"/>
  <c r="H4959" i="3" a="1"/>
  <c r="H4959" i="3" s="1"/>
  <c r="H4960" i="3" a="1"/>
  <c r="H4960" i="3" s="1"/>
  <c r="H4961" i="3" a="1"/>
  <c r="H4961" i="3" s="1"/>
  <c r="H4962" i="3" a="1"/>
  <c r="H4962" i="3" s="1"/>
  <c r="H4963" i="3" a="1"/>
  <c r="H4963" i="3" s="1"/>
  <c r="H4964" i="3" a="1"/>
  <c r="H4964" i="3" s="1"/>
  <c r="H4965" i="3" a="1"/>
  <c r="H4965" i="3" s="1"/>
  <c r="H4966" i="3" a="1"/>
  <c r="H4966" i="3" s="1"/>
  <c r="H4967" i="3" a="1"/>
  <c r="H4967" i="3" s="1"/>
  <c r="H4968" i="3" a="1"/>
  <c r="H4968" i="3" s="1"/>
  <c r="H4969" i="3" a="1"/>
  <c r="H4969" i="3" s="1"/>
  <c r="H4970" i="3" a="1"/>
  <c r="H4970" i="3" s="1"/>
  <c r="H4971" i="3" a="1"/>
  <c r="H4971" i="3" s="1"/>
  <c r="H4972" i="3" a="1"/>
  <c r="H4972" i="3" s="1"/>
  <c r="H4973" i="3" a="1"/>
  <c r="H4973" i="3" s="1"/>
  <c r="H4974" i="3" a="1"/>
  <c r="H4974" i="3" s="1"/>
  <c r="H4975" i="3" a="1"/>
  <c r="H4975" i="3" s="1"/>
  <c r="H4976" i="3" a="1"/>
  <c r="H4976" i="3" s="1"/>
  <c r="H4977" i="3" a="1"/>
  <c r="H4977" i="3" s="1"/>
  <c r="H4978" i="3" a="1"/>
  <c r="H4978" i="3" s="1"/>
  <c r="H4979" i="3" a="1"/>
  <c r="H4979" i="3" s="1"/>
  <c r="H4980" i="3" a="1"/>
  <c r="H4980" i="3" s="1"/>
  <c r="H4981" i="3" a="1"/>
  <c r="H4981" i="3" s="1"/>
  <c r="H4982" i="3" a="1"/>
  <c r="H4982" i="3" s="1"/>
  <c r="H4983" i="3" a="1"/>
  <c r="H4983" i="3" s="1"/>
  <c r="H4984" i="3" a="1"/>
  <c r="H4984" i="3" s="1"/>
  <c r="H4985" i="3" a="1"/>
  <c r="H4985" i="3" s="1"/>
  <c r="H4986" i="3" a="1"/>
  <c r="H4986" i="3" s="1"/>
  <c r="H4987" i="3" a="1"/>
  <c r="H4987" i="3" s="1"/>
  <c r="H4988" i="3" a="1"/>
  <c r="H4988" i="3" s="1"/>
  <c r="H4989" i="3" a="1"/>
  <c r="H4989" i="3" s="1"/>
  <c r="H4990" i="3" a="1"/>
  <c r="H4990" i="3" s="1"/>
  <c r="H4991" i="3" a="1"/>
  <c r="H4991" i="3" s="1"/>
  <c r="H4992" i="3" a="1"/>
  <c r="H4992" i="3" s="1"/>
  <c r="H4993" i="3" a="1"/>
  <c r="H4993" i="3" s="1"/>
  <c r="H4994" i="3" a="1"/>
  <c r="H4994" i="3" s="1"/>
  <c r="H4995" i="3" a="1"/>
  <c r="H4995" i="3" s="1"/>
  <c r="H4996" i="3" a="1"/>
  <c r="H4996" i="3" s="1"/>
  <c r="H4997" i="3" a="1"/>
  <c r="H4997" i="3" s="1"/>
  <c r="H4998" i="3" a="1"/>
  <c r="H4998" i="3" s="1"/>
  <c r="H4999" i="3" a="1"/>
  <c r="H4999" i="3" s="1"/>
  <c r="H5000" i="3" a="1"/>
  <c r="H5000" i="3" s="1"/>
  <c r="H5001" i="3" a="1"/>
  <c r="H5001" i="3" s="1"/>
  <c r="H5002" i="3" a="1"/>
  <c r="H5002" i="3" s="1"/>
  <c r="H5003" i="3" a="1"/>
  <c r="H5003" i="3" s="1"/>
  <c r="H5004" i="3" a="1"/>
  <c r="H5004" i="3" s="1"/>
  <c r="H5005" i="3" a="1"/>
  <c r="H5005" i="3" s="1"/>
  <c r="H5006" i="3" a="1"/>
  <c r="H5006" i="3" s="1"/>
  <c r="H5007" i="3" a="1"/>
  <c r="H5007" i="3" s="1"/>
  <c r="H5008" i="3" a="1"/>
  <c r="H5008" i="3" s="1"/>
  <c r="H5009" i="3" a="1"/>
  <c r="H5009" i="3" s="1"/>
  <c r="H5010" i="3" a="1"/>
  <c r="H5010" i="3" s="1"/>
  <c r="H5011" i="3" a="1"/>
  <c r="H5011" i="3" s="1"/>
  <c r="H5012" i="3" a="1"/>
  <c r="H5012" i="3" s="1"/>
  <c r="H5013" i="3" a="1"/>
  <c r="H5013" i="3" s="1"/>
  <c r="H5014" i="3" a="1"/>
  <c r="H5014" i="3" s="1"/>
  <c r="H5015" i="3" a="1"/>
  <c r="H5015" i="3" s="1"/>
  <c r="H5016" i="3" a="1"/>
  <c r="H5016" i="3" s="1"/>
  <c r="H5017" i="3" a="1"/>
  <c r="H5017" i="3" s="1"/>
  <c r="H5018" i="3" a="1"/>
  <c r="H5018" i="3" s="1"/>
  <c r="H5019" i="3" a="1"/>
  <c r="H5019" i="3" s="1"/>
  <c r="H5020" i="3" a="1"/>
  <c r="H5020" i="3" s="1"/>
  <c r="H5021" i="3" a="1"/>
  <c r="H5021" i="3" s="1"/>
  <c r="H5022" i="3" a="1"/>
  <c r="H5022" i="3" s="1"/>
  <c r="H5023" i="3" a="1"/>
  <c r="H5023" i="3" s="1"/>
  <c r="H5024" i="3" a="1"/>
  <c r="H5024" i="3" s="1"/>
  <c r="H5025" i="3" a="1"/>
  <c r="H5025" i="3" s="1"/>
  <c r="H5026" i="3" a="1"/>
  <c r="H5026" i="3" s="1"/>
  <c r="H5027" i="3" a="1"/>
  <c r="H5027" i="3" s="1"/>
  <c r="H5028" i="3" a="1"/>
  <c r="H5028" i="3" s="1"/>
  <c r="H5029" i="3" a="1"/>
  <c r="H5029" i="3" s="1"/>
  <c r="H5030" i="3" a="1"/>
  <c r="H5030" i="3" s="1"/>
  <c r="H5031" i="3" a="1"/>
  <c r="H5031" i="3" s="1"/>
  <c r="H5032" i="3" a="1"/>
  <c r="H5032" i="3" s="1"/>
  <c r="H5033" i="3" a="1"/>
  <c r="H5033" i="3" s="1"/>
  <c r="H5034" i="3" a="1"/>
  <c r="H5034" i="3" s="1"/>
  <c r="H5035" i="3" a="1"/>
  <c r="H5035" i="3" s="1"/>
  <c r="H5036" i="3" a="1"/>
  <c r="H5036" i="3" s="1"/>
  <c r="H5037" i="3" a="1"/>
  <c r="H5037" i="3" s="1"/>
  <c r="H5038" i="3" a="1"/>
  <c r="H5038" i="3" s="1"/>
  <c r="B39" i="3" a="1"/>
  <c r="B39" i="3" s="1"/>
  <c r="C39" i="3" a="1"/>
  <c r="C39" i="3" s="1"/>
  <c r="D39" i="3" a="1"/>
  <c r="D39" i="3" s="1"/>
  <c r="E39" i="3" a="1"/>
  <c r="E39" i="3" s="1"/>
  <c r="F39" i="3" a="1"/>
  <c r="F39" i="3" s="1"/>
  <c r="G39" i="3" a="1"/>
  <c r="G39" i="3" s="1"/>
  <c r="J39" i="3" a="1"/>
  <c r="J39" i="3" s="1"/>
  <c r="B40" i="3" a="1"/>
  <c r="B40" i="3" s="1"/>
  <c r="C40" i="3" a="1"/>
  <c r="C40" i="3" s="1"/>
  <c r="D40" i="3" a="1"/>
  <c r="D40" i="3" s="1"/>
  <c r="E40" i="3" a="1"/>
  <c r="E40" i="3" s="1"/>
  <c r="F40" i="3" a="1"/>
  <c r="F40" i="3" s="1"/>
  <c r="G40" i="3" a="1"/>
  <c r="G40" i="3" s="1"/>
  <c r="J40" i="3" a="1"/>
  <c r="J40" i="3" s="1"/>
  <c r="B41" i="3" a="1"/>
  <c r="B41" i="3" s="1"/>
  <c r="C41" i="3" a="1"/>
  <c r="C41" i="3" s="1"/>
  <c r="D41" i="3" a="1"/>
  <c r="D41" i="3" s="1"/>
  <c r="E41" i="3" a="1"/>
  <c r="E41" i="3" s="1"/>
  <c r="F41" i="3" a="1"/>
  <c r="F41" i="3" s="1"/>
  <c r="G41" i="3" a="1"/>
  <c r="G41" i="3" s="1"/>
  <c r="J41" i="3" a="1"/>
  <c r="J41" i="3" s="1"/>
  <c r="B42" i="3" a="1"/>
  <c r="B42" i="3" s="1"/>
  <c r="C42" i="3" a="1"/>
  <c r="C42" i="3" s="1"/>
  <c r="D42" i="3" a="1"/>
  <c r="D42" i="3" s="1"/>
  <c r="E42" i="3" a="1"/>
  <c r="E42" i="3" s="1"/>
  <c r="F42" i="3" a="1"/>
  <c r="F42" i="3" s="1"/>
  <c r="G42" i="3" a="1"/>
  <c r="G42" i="3" s="1"/>
  <c r="J42" i="3" a="1"/>
  <c r="J42" i="3" s="1"/>
  <c r="B43" i="3" a="1"/>
  <c r="B43" i="3" s="1"/>
  <c r="C43" i="3" a="1"/>
  <c r="C43" i="3" s="1"/>
  <c r="D43" i="3" a="1"/>
  <c r="D43" i="3" s="1"/>
  <c r="E43" i="3" a="1"/>
  <c r="E43" i="3" s="1"/>
  <c r="F43" i="3" a="1"/>
  <c r="F43" i="3" s="1"/>
  <c r="G43" i="3" a="1"/>
  <c r="G43" i="3" s="1"/>
  <c r="J43" i="3" a="1"/>
  <c r="J43" i="3" s="1"/>
  <c r="B44" i="3" a="1"/>
  <c r="B44" i="3" s="1"/>
  <c r="C44" i="3" a="1"/>
  <c r="C44" i="3" s="1"/>
  <c r="D44" i="3" a="1"/>
  <c r="D44" i="3" s="1"/>
  <c r="E44" i="3" a="1"/>
  <c r="E44" i="3" s="1"/>
  <c r="F44" i="3" a="1"/>
  <c r="F44" i="3" s="1"/>
  <c r="G44" i="3" a="1"/>
  <c r="G44" i="3" s="1"/>
  <c r="J44" i="3" a="1"/>
  <c r="J44" i="3" s="1"/>
  <c r="B45" i="3" a="1"/>
  <c r="B45" i="3" s="1"/>
  <c r="C45" i="3" a="1"/>
  <c r="C45" i="3" s="1"/>
  <c r="D45" i="3" a="1"/>
  <c r="D45" i="3" s="1"/>
  <c r="E45" i="3" a="1"/>
  <c r="E45" i="3" s="1"/>
  <c r="F45" i="3" a="1"/>
  <c r="F45" i="3" s="1"/>
  <c r="G45" i="3" a="1"/>
  <c r="G45" i="3" s="1"/>
  <c r="J45" i="3" a="1"/>
  <c r="J45" i="3" s="1"/>
  <c r="B46" i="3" a="1"/>
  <c r="B46" i="3" s="1"/>
  <c r="C46" i="3" a="1"/>
  <c r="C46" i="3" s="1"/>
  <c r="D46" i="3" a="1"/>
  <c r="D46" i="3" s="1"/>
  <c r="E46" i="3" a="1"/>
  <c r="E46" i="3" s="1"/>
  <c r="F46" i="3" a="1"/>
  <c r="F46" i="3" s="1"/>
  <c r="G46" i="3" a="1"/>
  <c r="G46" i="3" s="1"/>
  <c r="J46" i="3" a="1"/>
  <c r="J46" i="3" s="1"/>
  <c r="B47" i="3" a="1"/>
  <c r="B47" i="3" s="1"/>
  <c r="C47" i="3" a="1"/>
  <c r="C47" i="3" s="1"/>
  <c r="D47" i="3" a="1"/>
  <c r="D47" i="3" s="1"/>
  <c r="E47" i="3" a="1"/>
  <c r="E47" i="3" s="1"/>
  <c r="F47" i="3" a="1"/>
  <c r="F47" i="3" s="1"/>
  <c r="G47" i="3" a="1"/>
  <c r="G47" i="3" s="1"/>
  <c r="J47" i="3" a="1"/>
  <c r="J47" i="3" s="1"/>
  <c r="B48" i="3" a="1"/>
  <c r="B48" i="3" s="1"/>
  <c r="C48" i="3" a="1"/>
  <c r="C48" i="3" s="1"/>
  <c r="D48" i="3" a="1"/>
  <c r="D48" i="3" s="1"/>
  <c r="E48" i="3" a="1"/>
  <c r="E48" i="3" s="1"/>
  <c r="F48" i="3" a="1"/>
  <c r="F48" i="3" s="1"/>
  <c r="G48" i="3" a="1"/>
  <c r="G48" i="3" s="1"/>
  <c r="J48" i="3" a="1"/>
  <c r="J48" i="3" s="1"/>
  <c r="B49" i="3" a="1"/>
  <c r="B49" i="3" s="1"/>
  <c r="C49" i="3" a="1"/>
  <c r="C49" i="3" s="1"/>
  <c r="D49" i="3" a="1"/>
  <c r="D49" i="3" s="1"/>
  <c r="E49" i="3" a="1"/>
  <c r="E49" i="3" s="1"/>
  <c r="F49" i="3" a="1"/>
  <c r="F49" i="3" s="1"/>
  <c r="G49" i="3" a="1"/>
  <c r="G49" i="3" s="1"/>
  <c r="J49" i="3" a="1"/>
  <c r="J49" i="3" s="1"/>
  <c r="B50" i="3" a="1"/>
  <c r="B50" i="3" s="1"/>
  <c r="C50" i="3" a="1"/>
  <c r="C50" i="3" s="1"/>
  <c r="D50" i="3" a="1"/>
  <c r="D50" i="3" s="1"/>
  <c r="E50" i="3" a="1"/>
  <c r="E50" i="3" s="1"/>
  <c r="F50" i="3" a="1"/>
  <c r="F50" i="3" s="1"/>
  <c r="G50" i="3" a="1"/>
  <c r="G50" i="3" s="1"/>
  <c r="J50" i="3" a="1"/>
  <c r="J50" i="3" s="1"/>
  <c r="B51" i="3" a="1"/>
  <c r="B51" i="3" s="1"/>
  <c r="C51" i="3" a="1"/>
  <c r="C51" i="3" s="1"/>
  <c r="D51" i="3" a="1"/>
  <c r="D51" i="3" s="1"/>
  <c r="E51" i="3" a="1"/>
  <c r="E51" i="3" s="1"/>
  <c r="F51" i="3" a="1"/>
  <c r="F51" i="3" s="1"/>
  <c r="G51" i="3" a="1"/>
  <c r="G51" i="3" s="1"/>
  <c r="J51" i="3" a="1"/>
  <c r="J51" i="3" s="1"/>
  <c r="B52" i="3" a="1"/>
  <c r="B52" i="3" s="1"/>
  <c r="C52" i="3" a="1"/>
  <c r="C52" i="3" s="1"/>
  <c r="D52" i="3" a="1"/>
  <c r="D52" i="3" s="1"/>
  <c r="E52" i="3" a="1"/>
  <c r="E52" i="3" s="1"/>
  <c r="F52" i="3" a="1"/>
  <c r="F52" i="3" s="1"/>
  <c r="G52" i="3" a="1"/>
  <c r="G52" i="3" s="1"/>
  <c r="J52" i="3" a="1"/>
  <c r="J52" i="3" s="1"/>
  <c r="B53" i="3" a="1"/>
  <c r="B53" i="3" s="1"/>
  <c r="C53" i="3" a="1"/>
  <c r="C53" i="3" s="1"/>
  <c r="D53" i="3" a="1"/>
  <c r="D53" i="3" s="1"/>
  <c r="E53" i="3" a="1"/>
  <c r="E53" i="3" s="1"/>
  <c r="F53" i="3" a="1"/>
  <c r="F53" i="3" s="1"/>
  <c r="G53" i="3" a="1"/>
  <c r="G53" i="3" s="1"/>
  <c r="J53" i="3" a="1"/>
  <c r="J53" i="3" s="1"/>
  <c r="B54" i="3" a="1"/>
  <c r="B54" i="3" s="1"/>
  <c r="C54" i="3" a="1"/>
  <c r="C54" i="3" s="1"/>
  <c r="D54" i="3" a="1"/>
  <c r="D54" i="3" s="1"/>
  <c r="E54" i="3" a="1"/>
  <c r="E54" i="3" s="1"/>
  <c r="F54" i="3" a="1"/>
  <c r="F54" i="3" s="1"/>
  <c r="G54" i="3" a="1"/>
  <c r="G54" i="3" s="1"/>
  <c r="J54" i="3" a="1"/>
  <c r="J54" i="3" s="1"/>
  <c r="B55" i="3" a="1"/>
  <c r="B55" i="3" s="1"/>
  <c r="C55" i="3" a="1"/>
  <c r="C55" i="3" s="1"/>
  <c r="D55" i="3" a="1"/>
  <c r="D55" i="3" s="1"/>
  <c r="E55" i="3" a="1"/>
  <c r="E55" i="3" s="1"/>
  <c r="F55" i="3" a="1"/>
  <c r="F55" i="3" s="1"/>
  <c r="G55" i="3" a="1"/>
  <c r="G55" i="3" s="1"/>
  <c r="J55" i="3" a="1"/>
  <c r="J55" i="3" s="1"/>
  <c r="B56" i="3" a="1"/>
  <c r="B56" i="3" s="1"/>
  <c r="C56" i="3" a="1"/>
  <c r="C56" i="3" s="1"/>
  <c r="D56" i="3" a="1"/>
  <c r="D56" i="3" s="1"/>
  <c r="E56" i="3" a="1"/>
  <c r="E56" i="3" s="1"/>
  <c r="F56" i="3" a="1"/>
  <c r="F56" i="3" s="1"/>
  <c r="G56" i="3" a="1"/>
  <c r="G56" i="3" s="1"/>
  <c r="J56" i="3" a="1"/>
  <c r="J56" i="3" s="1"/>
  <c r="B57" i="3" a="1"/>
  <c r="B57" i="3" s="1"/>
  <c r="C57" i="3" a="1"/>
  <c r="C57" i="3" s="1"/>
  <c r="D57" i="3" a="1"/>
  <c r="D57" i="3" s="1"/>
  <c r="E57" i="3" a="1"/>
  <c r="E57" i="3" s="1"/>
  <c r="F57" i="3" a="1"/>
  <c r="F57" i="3" s="1"/>
  <c r="G57" i="3" a="1"/>
  <c r="G57" i="3" s="1"/>
  <c r="J57" i="3" a="1"/>
  <c r="J57" i="3" s="1"/>
  <c r="B58" i="3" a="1"/>
  <c r="B58" i="3" s="1"/>
  <c r="C58" i="3" a="1"/>
  <c r="C58" i="3" s="1"/>
  <c r="D58" i="3" a="1"/>
  <c r="D58" i="3" s="1"/>
  <c r="E58" i="3" a="1"/>
  <c r="E58" i="3" s="1"/>
  <c r="F58" i="3" a="1"/>
  <c r="F58" i="3" s="1"/>
  <c r="G58" i="3" a="1"/>
  <c r="G58" i="3" s="1"/>
  <c r="J58" i="3" a="1"/>
  <c r="J58" i="3" s="1"/>
  <c r="B59" i="3" a="1"/>
  <c r="B59" i="3" s="1"/>
  <c r="C59" i="3" a="1"/>
  <c r="C59" i="3" s="1"/>
  <c r="D59" i="3" a="1"/>
  <c r="D59" i="3" s="1"/>
  <c r="E59" i="3" a="1"/>
  <c r="E59" i="3" s="1"/>
  <c r="F59" i="3" a="1"/>
  <c r="F59" i="3" s="1"/>
  <c r="G59" i="3" a="1"/>
  <c r="G59" i="3" s="1"/>
  <c r="J59" i="3" a="1"/>
  <c r="J59" i="3" s="1"/>
  <c r="B60" i="3" a="1"/>
  <c r="B60" i="3" s="1"/>
  <c r="C60" i="3" a="1"/>
  <c r="C60" i="3" s="1"/>
  <c r="D60" i="3" a="1"/>
  <c r="D60" i="3" s="1"/>
  <c r="E60" i="3" a="1"/>
  <c r="E60" i="3" s="1"/>
  <c r="F60" i="3" a="1"/>
  <c r="F60" i="3" s="1"/>
  <c r="G60" i="3" a="1"/>
  <c r="G60" i="3" s="1"/>
  <c r="J60" i="3" a="1"/>
  <c r="J60" i="3" s="1"/>
  <c r="B61" i="3" a="1"/>
  <c r="B61" i="3" s="1"/>
  <c r="C61" i="3" a="1"/>
  <c r="C61" i="3" s="1"/>
  <c r="D61" i="3" a="1"/>
  <c r="D61" i="3" s="1"/>
  <c r="E61" i="3" a="1"/>
  <c r="E61" i="3" s="1"/>
  <c r="F61" i="3" a="1"/>
  <c r="F61" i="3" s="1"/>
  <c r="G61" i="3" a="1"/>
  <c r="G61" i="3" s="1"/>
  <c r="J61" i="3" a="1"/>
  <c r="J61" i="3" s="1"/>
  <c r="B62" i="3" a="1"/>
  <c r="B62" i="3" s="1"/>
  <c r="C62" i="3" a="1"/>
  <c r="C62" i="3" s="1"/>
  <c r="D62" i="3" a="1"/>
  <c r="D62" i="3" s="1"/>
  <c r="E62" i="3" a="1"/>
  <c r="E62" i="3" s="1"/>
  <c r="F62" i="3" a="1"/>
  <c r="F62" i="3" s="1"/>
  <c r="G62" i="3" a="1"/>
  <c r="G62" i="3" s="1"/>
  <c r="J62" i="3" a="1"/>
  <c r="J62" i="3" s="1"/>
  <c r="B63" i="3" a="1"/>
  <c r="B63" i="3" s="1"/>
  <c r="C63" i="3" a="1"/>
  <c r="C63" i="3" s="1"/>
  <c r="D63" i="3" a="1"/>
  <c r="D63" i="3" s="1"/>
  <c r="E63" i="3" a="1"/>
  <c r="E63" i="3" s="1"/>
  <c r="F63" i="3" a="1"/>
  <c r="F63" i="3" s="1"/>
  <c r="G63" i="3" a="1"/>
  <c r="G63" i="3" s="1"/>
  <c r="J63" i="3" a="1"/>
  <c r="J63" i="3" s="1"/>
  <c r="B64" i="3" a="1"/>
  <c r="B64" i="3" s="1"/>
  <c r="C64" i="3" a="1"/>
  <c r="C64" i="3" s="1"/>
  <c r="D64" i="3" a="1"/>
  <c r="D64" i="3" s="1"/>
  <c r="E64" i="3" a="1"/>
  <c r="E64" i="3" s="1"/>
  <c r="F64" i="3" a="1"/>
  <c r="F64" i="3" s="1"/>
  <c r="G64" i="3" a="1"/>
  <c r="G64" i="3" s="1"/>
  <c r="J64" i="3" a="1"/>
  <c r="J64" i="3" s="1"/>
  <c r="B65" i="3" a="1"/>
  <c r="B65" i="3" s="1"/>
  <c r="C65" i="3" a="1"/>
  <c r="C65" i="3" s="1"/>
  <c r="D65" i="3" a="1"/>
  <c r="D65" i="3" s="1"/>
  <c r="E65" i="3" a="1"/>
  <c r="E65" i="3" s="1"/>
  <c r="F65" i="3" a="1"/>
  <c r="F65" i="3" s="1"/>
  <c r="G65" i="3" a="1"/>
  <c r="G65" i="3" s="1"/>
  <c r="J65" i="3" a="1"/>
  <c r="J65" i="3" s="1"/>
  <c r="B66" i="3" a="1"/>
  <c r="B66" i="3" s="1"/>
  <c r="C66" i="3" a="1"/>
  <c r="C66" i="3" s="1"/>
  <c r="D66" i="3" a="1"/>
  <c r="D66" i="3" s="1"/>
  <c r="E66" i="3" a="1"/>
  <c r="E66" i="3" s="1"/>
  <c r="F66" i="3" a="1"/>
  <c r="F66" i="3" s="1"/>
  <c r="G66" i="3" a="1"/>
  <c r="G66" i="3" s="1"/>
  <c r="J66" i="3" a="1"/>
  <c r="J66" i="3" s="1"/>
  <c r="B67" i="3" a="1"/>
  <c r="B67" i="3" s="1"/>
  <c r="C67" i="3" a="1"/>
  <c r="C67" i="3" s="1"/>
  <c r="D67" i="3" a="1"/>
  <c r="D67" i="3" s="1"/>
  <c r="E67" i="3" a="1"/>
  <c r="E67" i="3" s="1"/>
  <c r="F67" i="3" a="1"/>
  <c r="F67" i="3" s="1"/>
  <c r="G67" i="3" a="1"/>
  <c r="G67" i="3" s="1"/>
  <c r="J67" i="3" a="1"/>
  <c r="J67" i="3" s="1"/>
  <c r="B68" i="3" a="1"/>
  <c r="B68" i="3" s="1"/>
  <c r="C68" i="3" a="1"/>
  <c r="C68" i="3" s="1"/>
  <c r="D68" i="3" a="1"/>
  <c r="D68" i="3" s="1"/>
  <c r="E68" i="3" a="1"/>
  <c r="E68" i="3" s="1"/>
  <c r="F68" i="3" a="1"/>
  <c r="F68" i="3" s="1"/>
  <c r="G68" i="3" a="1"/>
  <c r="G68" i="3" s="1"/>
  <c r="J68" i="3" a="1"/>
  <c r="J68" i="3" s="1"/>
  <c r="B69" i="3" a="1"/>
  <c r="B69" i="3" s="1"/>
  <c r="C69" i="3" a="1"/>
  <c r="C69" i="3" s="1"/>
  <c r="D69" i="3" a="1"/>
  <c r="D69" i="3" s="1"/>
  <c r="E69" i="3" a="1"/>
  <c r="E69" i="3" s="1"/>
  <c r="F69" i="3" a="1"/>
  <c r="F69" i="3" s="1"/>
  <c r="G69" i="3" a="1"/>
  <c r="G69" i="3" s="1"/>
  <c r="J69" i="3" a="1"/>
  <c r="J69" i="3" s="1"/>
  <c r="B70" i="3" a="1"/>
  <c r="B70" i="3" s="1"/>
  <c r="C70" i="3" a="1"/>
  <c r="C70" i="3" s="1"/>
  <c r="D70" i="3" a="1"/>
  <c r="D70" i="3" s="1"/>
  <c r="E70" i="3" a="1"/>
  <c r="E70" i="3" s="1"/>
  <c r="F70" i="3" a="1"/>
  <c r="F70" i="3" s="1"/>
  <c r="G70" i="3" a="1"/>
  <c r="G70" i="3" s="1"/>
  <c r="J70" i="3" a="1"/>
  <c r="J70" i="3" s="1"/>
  <c r="B71" i="3" a="1"/>
  <c r="B71" i="3" s="1"/>
  <c r="C71" i="3" a="1"/>
  <c r="C71" i="3" s="1"/>
  <c r="D71" i="3" a="1"/>
  <c r="D71" i="3" s="1"/>
  <c r="E71" i="3" a="1"/>
  <c r="E71" i="3" s="1"/>
  <c r="F71" i="3" a="1"/>
  <c r="F71" i="3" s="1"/>
  <c r="G71" i="3" a="1"/>
  <c r="G71" i="3" s="1"/>
  <c r="J71" i="3" a="1"/>
  <c r="J71" i="3" s="1"/>
  <c r="B72" i="3" a="1"/>
  <c r="B72" i="3" s="1"/>
  <c r="C72" i="3" a="1"/>
  <c r="C72" i="3" s="1"/>
  <c r="D72" i="3" a="1"/>
  <c r="D72" i="3" s="1"/>
  <c r="E72" i="3" a="1"/>
  <c r="E72" i="3" s="1"/>
  <c r="F72" i="3" a="1"/>
  <c r="F72" i="3" s="1"/>
  <c r="G72" i="3" a="1"/>
  <c r="G72" i="3" s="1"/>
  <c r="J72" i="3" a="1"/>
  <c r="J72" i="3" s="1"/>
  <c r="B73" i="3" a="1"/>
  <c r="B73" i="3" s="1"/>
  <c r="C73" i="3" a="1"/>
  <c r="C73" i="3" s="1"/>
  <c r="D73" i="3" a="1"/>
  <c r="D73" i="3" s="1"/>
  <c r="E73" i="3" a="1"/>
  <c r="E73" i="3" s="1"/>
  <c r="F73" i="3" a="1"/>
  <c r="F73" i="3" s="1"/>
  <c r="G73" i="3" a="1"/>
  <c r="G73" i="3" s="1"/>
  <c r="J73" i="3" a="1"/>
  <c r="J73" i="3" s="1"/>
  <c r="B74" i="3" a="1"/>
  <c r="B74" i="3" s="1"/>
  <c r="C74" i="3" a="1"/>
  <c r="C74" i="3" s="1"/>
  <c r="D74" i="3" a="1"/>
  <c r="D74" i="3" s="1"/>
  <c r="E74" i="3" a="1"/>
  <c r="E74" i="3" s="1"/>
  <c r="F74" i="3" a="1"/>
  <c r="F74" i="3" s="1"/>
  <c r="G74" i="3" a="1"/>
  <c r="G74" i="3" s="1"/>
  <c r="J74" i="3" a="1"/>
  <c r="J74" i="3" s="1"/>
  <c r="B75" i="3" a="1"/>
  <c r="B75" i="3" s="1"/>
  <c r="C75" i="3" a="1"/>
  <c r="C75" i="3" s="1"/>
  <c r="D75" i="3" a="1"/>
  <c r="D75" i="3" s="1"/>
  <c r="E75" i="3" a="1"/>
  <c r="E75" i="3" s="1"/>
  <c r="F75" i="3" a="1"/>
  <c r="F75" i="3" s="1"/>
  <c r="G75" i="3" a="1"/>
  <c r="G75" i="3" s="1"/>
  <c r="J75" i="3" a="1"/>
  <c r="J75" i="3" s="1"/>
  <c r="B76" i="3" a="1"/>
  <c r="B76" i="3" s="1"/>
  <c r="C76" i="3" a="1"/>
  <c r="C76" i="3" s="1"/>
  <c r="D76" i="3" a="1"/>
  <c r="D76" i="3" s="1"/>
  <c r="E76" i="3" a="1"/>
  <c r="E76" i="3" s="1"/>
  <c r="F76" i="3" a="1"/>
  <c r="F76" i="3" s="1"/>
  <c r="G76" i="3" a="1"/>
  <c r="G76" i="3" s="1"/>
  <c r="J76" i="3" a="1"/>
  <c r="J76" i="3" s="1"/>
  <c r="B77" i="3" a="1"/>
  <c r="B77" i="3" s="1"/>
  <c r="C77" i="3" a="1"/>
  <c r="C77" i="3" s="1"/>
  <c r="D77" i="3" a="1"/>
  <c r="D77" i="3" s="1"/>
  <c r="E77" i="3" a="1"/>
  <c r="E77" i="3" s="1"/>
  <c r="F77" i="3" a="1"/>
  <c r="F77" i="3" s="1"/>
  <c r="G77" i="3" a="1"/>
  <c r="G77" i="3" s="1"/>
  <c r="J77" i="3" a="1"/>
  <c r="J77" i="3" s="1"/>
  <c r="B78" i="3" a="1"/>
  <c r="B78" i="3" s="1"/>
  <c r="C78" i="3" a="1"/>
  <c r="C78" i="3" s="1"/>
  <c r="D78" i="3" a="1"/>
  <c r="D78" i="3" s="1"/>
  <c r="E78" i="3" a="1"/>
  <c r="E78" i="3" s="1"/>
  <c r="F78" i="3" a="1"/>
  <c r="F78" i="3" s="1"/>
  <c r="G78" i="3" a="1"/>
  <c r="G78" i="3" s="1"/>
  <c r="J78" i="3" a="1"/>
  <c r="J78" i="3" s="1"/>
  <c r="B79" i="3" a="1"/>
  <c r="B79" i="3" s="1"/>
  <c r="C79" i="3" a="1"/>
  <c r="C79" i="3" s="1"/>
  <c r="D79" i="3" a="1"/>
  <c r="D79" i="3" s="1"/>
  <c r="E79" i="3" a="1"/>
  <c r="E79" i="3" s="1"/>
  <c r="F79" i="3" a="1"/>
  <c r="F79" i="3" s="1"/>
  <c r="G79" i="3" a="1"/>
  <c r="G79" i="3" s="1"/>
  <c r="J79" i="3" a="1"/>
  <c r="J79" i="3" s="1"/>
  <c r="B80" i="3" a="1"/>
  <c r="B80" i="3" s="1"/>
  <c r="C80" i="3" a="1"/>
  <c r="C80" i="3" s="1"/>
  <c r="D80" i="3" a="1"/>
  <c r="D80" i="3" s="1"/>
  <c r="E80" i="3" a="1"/>
  <c r="E80" i="3" s="1"/>
  <c r="F80" i="3" a="1"/>
  <c r="F80" i="3" s="1"/>
  <c r="G80" i="3" a="1"/>
  <c r="G80" i="3" s="1"/>
  <c r="J80" i="3" a="1"/>
  <c r="J80" i="3" s="1"/>
  <c r="B81" i="3" a="1"/>
  <c r="B81" i="3" s="1"/>
  <c r="C81" i="3" a="1"/>
  <c r="C81" i="3" s="1"/>
  <c r="D81" i="3" a="1"/>
  <c r="D81" i="3" s="1"/>
  <c r="E81" i="3" a="1"/>
  <c r="E81" i="3" s="1"/>
  <c r="F81" i="3" a="1"/>
  <c r="F81" i="3" s="1"/>
  <c r="G81" i="3" a="1"/>
  <c r="G81" i="3" s="1"/>
  <c r="J81" i="3" a="1"/>
  <c r="J81" i="3" s="1"/>
  <c r="B82" i="3" a="1"/>
  <c r="B82" i="3" s="1"/>
  <c r="C82" i="3" a="1"/>
  <c r="C82" i="3" s="1"/>
  <c r="D82" i="3" a="1"/>
  <c r="D82" i="3" s="1"/>
  <c r="E82" i="3" a="1"/>
  <c r="E82" i="3" s="1"/>
  <c r="F82" i="3" a="1"/>
  <c r="F82" i="3" s="1"/>
  <c r="G82" i="3" a="1"/>
  <c r="G82" i="3" s="1"/>
  <c r="J82" i="3" a="1"/>
  <c r="J82" i="3" s="1"/>
  <c r="B83" i="3" a="1"/>
  <c r="B83" i="3" s="1"/>
  <c r="C83" i="3" a="1"/>
  <c r="C83" i="3" s="1"/>
  <c r="D83" i="3" a="1"/>
  <c r="D83" i="3" s="1"/>
  <c r="E83" i="3" a="1"/>
  <c r="E83" i="3" s="1"/>
  <c r="F83" i="3" a="1"/>
  <c r="F83" i="3" s="1"/>
  <c r="G83" i="3" a="1"/>
  <c r="G83" i="3" s="1"/>
  <c r="J83" i="3" a="1"/>
  <c r="J83" i="3" s="1"/>
  <c r="B84" i="3" a="1"/>
  <c r="B84" i="3" s="1"/>
  <c r="C84" i="3" a="1"/>
  <c r="C84" i="3" s="1"/>
  <c r="D84" i="3" a="1"/>
  <c r="D84" i="3" s="1"/>
  <c r="E84" i="3" a="1"/>
  <c r="E84" i="3" s="1"/>
  <c r="F84" i="3" a="1"/>
  <c r="F84" i="3" s="1"/>
  <c r="G84" i="3" a="1"/>
  <c r="G84" i="3" s="1"/>
  <c r="J84" i="3" a="1"/>
  <c r="J84" i="3" s="1"/>
  <c r="B85" i="3" a="1"/>
  <c r="B85" i="3" s="1"/>
  <c r="C85" i="3" a="1"/>
  <c r="C85" i="3" s="1"/>
  <c r="D85" i="3" a="1"/>
  <c r="D85" i="3" s="1"/>
  <c r="E85" i="3" a="1"/>
  <c r="E85" i="3" s="1"/>
  <c r="F85" i="3" a="1"/>
  <c r="F85" i="3" s="1"/>
  <c r="G85" i="3" a="1"/>
  <c r="G85" i="3" s="1"/>
  <c r="J85" i="3" a="1"/>
  <c r="J85" i="3" s="1"/>
  <c r="B86" i="3" a="1"/>
  <c r="B86" i="3" s="1"/>
  <c r="C86" i="3" a="1"/>
  <c r="C86" i="3" s="1"/>
  <c r="D86" i="3" a="1"/>
  <c r="D86" i="3" s="1"/>
  <c r="E86" i="3" a="1"/>
  <c r="E86" i="3" s="1"/>
  <c r="F86" i="3" a="1"/>
  <c r="F86" i="3" s="1"/>
  <c r="G86" i="3" a="1"/>
  <c r="G86" i="3" s="1"/>
  <c r="J86" i="3" a="1"/>
  <c r="J86" i="3" s="1"/>
  <c r="B87" i="3" a="1"/>
  <c r="B87" i="3" s="1"/>
  <c r="C87" i="3" a="1"/>
  <c r="C87" i="3" s="1"/>
  <c r="D87" i="3" a="1"/>
  <c r="D87" i="3" s="1"/>
  <c r="E87" i="3" a="1"/>
  <c r="E87" i="3" s="1"/>
  <c r="F87" i="3" a="1"/>
  <c r="F87" i="3" s="1"/>
  <c r="G87" i="3" a="1"/>
  <c r="G87" i="3" s="1"/>
  <c r="J87" i="3" a="1"/>
  <c r="J87" i="3" s="1"/>
  <c r="B88" i="3" a="1"/>
  <c r="B88" i="3" s="1"/>
  <c r="C88" i="3" a="1"/>
  <c r="C88" i="3" s="1"/>
  <c r="D88" i="3" a="1"/>
  <c r="D88" i="3" s="1"/>
  <c r="E88" i="3" a="1"/>
  <c r="E88" i="3" s="1"/>
  <c r="F88" i="3" a="1"/>
  <c r="F88" i="3" s="1"/>
  <c r="G88" i="3" a="1"/>
  <c r="G88" i="3" s="1"/>
  <c r="J88" i="3" a="1"/>
  <c r="J88" i="3" s="1"/>
  <c r="B89" i="3" a="1"/>
  <c r="B89" i="3" s="1"/>
  <c r="C89" i="3" a="1"/>
  <c r="C89" i="3" s="1"/>
  <c r="D89" i="3" a="1"/>
  <c r="D89" i="3" s="1"/>
  <c r="E89" i="3" a="1"/>
  <c r="E89" i="3" s="1"/>
  <c r="F89" i="3" a="1"/>
  <c r="F89" i="3" s="1"/>
  <c r="G89" i="3" a="1"/>
  <c r="G89" i="3" s="1"/>
  <c r="J89" i="3" a="1"/>
  <c r="J89" i="3" s="1"/>
  <c r="B90" i="3" a="1"/>
  <c r="B90" i="3" s="1"/>
  <c r="C90" i="3" a="1"/>
  <c r="C90" i="3" s="1"/>
  <c r="D90" i="3" a="1"/>
  <c r="D90" i="3" s="1"/>
  <c r="E90" i="3" a="1"/>
  <c r="E90" i="3" s="1"/>
  <c r="F90" i="3" a="1"/>
  <c r="F90" i="3" s="1"/>
  <c r="G90" i="3" a="1"/>
  <c r="G90" i="3" s="1"/>
  <c r="J90" i="3" a="1"/>
  <c r="J90" i="3" s="1"/>
  <c r="B91" i="3" a="1"/>
  <c r="B91" i="3" s="1"/>
  <c r="C91" i="3" a="1"/>
  <c r="C91" i="3" s="1"/>
  <c r="D91" i="3" a="1"/>
  <c r="D91" i="3" s="1"/>
  <c r="E91" i="3" a="1"/>
  <c r="E91" i="3" s="1"/>
  <c r="F91" i="3" a="1"/>
  <c r="F91" i="3" s="1"/>
  <c r="G91" i="3" a="1"/>
  <c r="G91" i="3" s="1"/>
  <c r="J91" i="3" a="1"/>
  <c r="J91" i="3" s="1"/>
  <c r="B92" i="3" a="1"/>
  <c r="B92" i="3" s="1"/>
  <c r="C92" i="3" a="1"/>
  <c r="C92" i="3" s="1"/>
  <c r="D92" i="3" a="1"/>
  <c r="D92" i="3" s="1"/>
  <c r="E92" i="3" a="1"/>
  <c r="E92" i="3" s="1"/>
  <c r="F92" i="3" a="1"/>
  <c r="F92" i="3" s="1"/>
  <c r="G92" i="3" a="1"/>
  <c r="G92" i="3" s="1"/>
  <c r="J92" i="3" a="1"/>
  <c r="J92" i="3" s="1"/>
  <c r="B93" i="3" a="1"/>
  <c r="B93" i="3" s="1"/>
  <c r="C93" i="3" a="1"/>
  <c r="C93" i="3" s="1"/>
  <c r="D93" i="3" a="1"/>
  <c r="D93" i="3" s="1"/>
  <c r="E93" i="3" a="1"/>
  <c r="E93" i="3" s="1"/>
  <c r="F93" i="3" a="1"/>
  <c r="F93" i="3" s="1"/>
  <c r="G93" i="3" a="1"/>
  <c r="G93" i="3" s="1"/>
  <c r="J93" i="3" a="1"/>
  <c r="J93" i="3" s="1"/>
  <c r="B94" i="3" a="1"/>
  <c r="B94" i="3" s="1"/>
  <c r="C94" i="3" a="1"/>
  <c r="C94" i="3" s="1"/>
  <c r="D94" i="3" a="1"/>
  <c r="D94" i="3" s="1"/>
  <c r="E94" i="3" a="1"/>
  <c r="E94" i="3" s="1"/>
  <c r="F94" i="3" a="1"/>
  <c r="F94" i="3" s="1"/>
  <c r="G94" i="3" a="1"/>
  <c r="G94" i="3" s="1"/>
  <c r="J94" i="3" a="1"/>
  <c r="J94" i="3" s="1"/>
  <c r="B95" i="3" a="1"/>
  <c r="B95" i="3" s="1"/>
  <c r="C95" i="3" a="1"/>
  <c r="C95" i="3" s="1"/>
  <c r="D95" i="3" a="1"/>
  <c r="D95" i="3" s="1"/>
  <c r="E95" i="3" a="1"/>
  <c r="E95" i="3" s="1"/>
  <c r="F95" i="3" a="1"/>
  <c r="F95" i="3" s="1"/>
  <c r="G95" i="3" a="1"/>
  <c r="G95" i="3" s="1"/>
  <c r="J95" i="3" a="1"/>
  <c r="J95" i="3" s="1"/>
  <c r="B96" i="3" a="1"/>
  <c r="B96" i="3" s="1"/>
  <c r="C96" i="3" a="1"/>
  <c r="C96" i="3" s="1"/>
  <c r="D96" i="3" a="1"/>
  <c r="D96" i="3" s="1"/>
  <c r="E96" i="3" a="1"/>
  <c r="E96" i="3" s="1"/>
  <c r="F96" i="3" a="1"/>
  <c r="F96" i="3" s="1"/>
  <c r="G96" i="3" a="1"/>
  <c r="G96" i="3" s="1"/>
  <c r="J96" i="3" a="1"/>
  <c r="J96" i="3" s="1"/>
  <c r="B97" i="3" a="1"/>
  <c r="B97" i="3" s="1"/>
  <c r="C97" i="3" a="1"/>
  <c r="C97" i="3" s="1"/>
  <c r="D97" i="3" a="1"/>
  <c r="D97" i="3" s="1"/>
  <c r="E97" i="3" a="1"/>
  <c r="E97" i="3" s="1"/>
  <c r="F97" i="3" a="1"/>
  <c r="F97" i="3" s="1"/>
  <c r="G97" i="3" a="1"/>
  <c r="G97" i="3" s="1"/>
  <c r="J97" i="3" a="1"/>
  <c r="J97" i="3" s="1"/>
  <c r="B98" i="3" a="1"/>
  <c r="B98" i="3" s="1"/>
  <c r="C98" i="3" a="1"/>
  <c r="C98" i="3" s="1"/>
  <c r="D98" i="3" a="1"/>
  <c r="D98" i="3" s="1"/>
  <c r="E98" i="3" a="1"/>
  <c r="E98" i="3" s="1"/>
  <c r="F98" i="3" a="1"/>
  <c r="F98" i="3" s="1"/>
  <c r="G98" i="3" a="1"/>
  <c r="G98" i="3" s="1"/>
  <c r="J98" i="3" a="1"/>
  <c r="J98" i="3" s="1"/>
  <c r="B99" i="3" a="1"/>
  <c r="B99" i="3" s="1"/>
  <c r="C99" i="3" a="1"/>
  <c r="C99" i="3" s="1"/>
  <c r="D99" i="3" a="1"/>
  <c r="D99" i="3" s="1"/>
  <c r="E99" i="3" a="1"/>
  <c r="E99" i="3" s="1"/>
  <c r="F99" i="3" a="1"/>
  <c r="F99" i="3" s="1"/>
  <c r="G99" i="3" a="1"/>
  <c r="G99" i="3" s="1"/>
  <c r="J99" i="3" a="1"/>
  <c r="J99" i="3" s="1"/>
  <c r="B100" i="3" a="1"/>
  <c r="B100" i="3" s="1"/>
  <c r="C100" i="3" a="1"/>
  <c r="C100" i="3" s="1"/>
  <c r="D100" i="3" a="1"/>
  <c r="D100" i="3" s="1"/>
  <c r="E100" i="3" a="1"/>
  <c r="E100" i="3" s="1"/>
  <c r="F100" i="3" a="1"/>
  <c r="F100" i="3" s="1"/>
  <c r="G100" i="3" a="1"/>
  <c r="G100" i="3" s="1"/>
  <c r="J100" i="3" a="1"/>
  <c r="J100" i="3" s="1"/>
  <c r="B101" i="3" a="1"/>
  <c r="B101" i="3" s="1"/>
  <c r="C101" i="3" a="1"/>
  <c r="C101" i="3" s="1"/>
  <c r="D101" i="3" a="1"/>
  <c r="D101" i="3" s="1"/>
  <c r="E101" i="3" a="1"/>
  <c r="E101" i="3" s="1"/>
  <c r="F101" i="3" a="1"/>
  <c r="F101" i="3" s="1"/>
  <c r="G101" i="3" a="1"/>
  <c r="G101" i="3" s="1"/>
  <c r="J101" i="3" a="1"/>
  <c r="J101" i="3" s="1"/>
  <c r="B102" i="3" a="1"/>
  <c r="B102" i="3" s="1"/>
  <c r="C102" i="3" a="1"/>
  <c r="C102" i="3" s="1"/>
  <c r="D102" i="3" a="1"/>
  <c r="D102" i="3" s="1"/>
  <c r="E102" i="3" a="1"/>
  <c r="E102" i="3" s="1"/>
  <c r="F102" i="3" a="1"/>
  <c r="F102" i="3" s="1"/>
  <c r="G102" i="3" a="1"/>
  <c r="G102" i="3" s="1"/>
  <c r="J102" i="3" a="1"/>
  <c r="J102" i="3" s="1"/>
  <c r="B103" i="3" a="1"/>
  <c r="B103" i="3" s="1"/>
  <c r="C103" i="3" a="1"/>
  <c r="C103" i="3" s="1"/>
  <c r="D103" i="3" a="1"/>
  <c r="D103" i="3" s="1"/>
  <c r="E103" i="3" a="1"/>
  <c r="E103" i="3" s="1"/>
  <c r="F103" i="3" a="1"/>
  <c r="F103" i="3" s="1"/>
  <c r="G103" i="3" a="1"/>
  <c r="G103" i="3" s="1"/>
  <c r="J103" i="3" a="1"/>
  <c r="J103" i="3" s="1"/>
  <c r="B104" i="3" a="1"/>
  <c r="B104" i="3" s="1"/>
  <c r="C104" i="3" a="1"/>
  <c r="C104" i="3" s="1"/>
  <c r="D104" i="3" a="1"/>
  <c r="D104" i="3" s="1"/>
  <c r="E104" i="3" a="1"/>
  <c r="E104" i="3" s="1"/>
  <c r="F104" i="3" a="1"/>
  <c r="F104" i="3" s="1"/>
  <c r="G104" i="3" a="1"/>
  <c r="G104" i="3" s="1"/>
  <c r="J104" i="3" a="1"/>
  <c r="J104" i="3" s="1"/>
  <c r="B105" i="3" a="1"/>
  <c r="B105" i="3" s="1"/>
  <c r="C105" i="3" a="1"/>
  <c r="C105" i="3" s="1"/>
  <c r="D105" i="3" a="1"/>
  <c r="D105" i="3" s="1"/>
  <c r="E105" i="3" a="1"/>
  <c r="E105" i="3" s="1"/>
  <c r="F105" i="3" a="1"/>
  <c r="F105" i="3" s="1"/>
  <c r="G105" i="3" a="1"/>
  <c r="G105" i="3" s="1"/>
  <c r="J105" i="3" a="1"/>
  <c r="J105" i="3" s="1"/>
  <c r="B106" i="3" a="1"/>
  <c r="B106" i="3" s="1"/>
  <c r="C106" i="3" a="1"/>
  <c r="C106" i="3" s="1"/>
  <c r="D106" i="3" a="1"/>
  <c r="D106" i="3" s="1"/>
  <c r="E106" i="3" a="1"/>
  <c r="E106" i="3" s="1"/>
  <c r="F106" i="3" a="1"/>
  <c r="F106" i="3" s="1"/>
  <c r="G106" i="3" a="1"/>
  <c r="G106" i="3" s="1"/>
  <c r="J106" i="3" a="1"/>
  <c r="J106" i="3" s="1"/>
  <c r="B107" i="3" a="1"/>
  <c r="B107" i="3" s="1"/>
  <c r="C107" i="3" a="1"/>
  <c r="C107" i="3" s="1"/>
  <c r="D107" i="3" a="1"/>
  <c r="D107" i="3" s="1"/>
  <c r="E107" i="3" a="1"/>
  <c r="E107" i="3" s="1"/>
  <c r="F107" i="3" a="1"/>
  <c r="F107" i="3" s="1"/>
  <c r="G107" i="3" a="1"/>
  <c r="G107" i="3" s="1"/>
  <c r="J107" i="3" a="1"/>
  <c r="J107" i="3" s="1"/>
  <c r="B108" i="3" a="1"/>
  <c r="B108" i="3" s="1"/>
  <c r="C108" i="3" a="1"/>
  <c r="C108" i="3" s="1"/>
  <c r="D108" i="3" a="1"/>
  <c r="D108" i="3" s="1"/>
  <c r="E108" i="3" a="1"/>
  <c r="E108" i="3" s="1"/>
  <c r="F108" i="3" a="1"/>
  <c r="F108" i="3" s="1"/>
  <c r="G108" i="3" a="1"/>
  <c r="G108" i="3" s="1"/>
  <c r="J108" i="3" a="1"/>
  <c r="J108" i="3" s="1"/>
  <c r="B109" i="3" a="1"/>
  <c r="B109" i="3" s="1"/>
  <c r="C109" i="3" a="1"/>
  <c r="C109" i="3" s="1"/>
  <c r="D109" i="3" a="1"/>
  <c r="D109" i="3" s="1"/>
  <c r="E109" i="3" a="1"/>
  <c r="E109" i="3" s="1"/>
  <c r="F109" i="3" a="1"/>
  <c r="F109" i="3" s="1"/>
  <c r="G109" i="3" a="1"/>
  <c r="G109" i="3" s="1"/>
  <c r="J109" i="3" a="1"/>
  <c r="J109" i="3" s="1"/>
  <c r="B110" i="3" a="1"/>
  <c r="B110" i="3" s="1"/>
  <c r="C110" i="3" a="1"/>
  <c r="C110" i="3" s="1"/>
  <c r="D110" i="3" a="1"/>
  <c r="D110" i="3" s="1"/>
  <c r="E110" i="3" a="1"/>
  <c r="E110" i="3" s="1"/>
  <c r="F110" i="3" a="1"/>
  <c r="F110" i="3" s="1"/>
  <c r="G110" i="3" a="1"/>
  <c r="G110" i="3" s="1"/>
  <c r="J110" i="3" a="1"/>
  <c r="J110" i="3" s="1"/>
  <c r="B111" i="3" a="1"/>
  <c r="B111" i="3" s="1"/>
  <c r="C111" i="3" a="1"/>
  <c r="C111" i="3" s="1"/>
  <c r="D111" i="3" a="1"/>
  <c r="D111" i="3" s="1"/>
  <c r="E111" i="3" a="1"/>
  <c r="E111" i="3" s="1"/>
  <c r="F111" i="3" a="1"/>
  <c r="F111" i="3" s="1"/>
  <c r="G111" i="3" a="1"/>
  <c r="G111" i="3" s="1"/>
  <c r="J111" i="3" a="1"/>
  <c r="J111" i="3" s="1"/>
  <c r="B112" i="3" a="1"/>
  <c r="B112" i="3" s="1"/>
  <c r="C112" i="3" a="1"/>
  <c r="C112" i="3" s="1"/>
  <c r="D112" i="3" a="1"/>
  <c r="D112" i="3" s="1"/>
  <c r="E112" i="3" a="1"/>
  <c r="E112" i="3" s="1"/>
  <c r="F112" i="3" a="1"/>
  <c r="F112" i="3" s="1"/>
  <c r="G112" i="3" a="1"/>
  <c r="G112" i="3" s="1"/>
  <c r="J112" i="3" a="1"/>
  <c r="J112" i="3" s="1"/>
  <c r="B113" i="3" a="1"/>
  <c r="B113" i="3" s="1"/>
  <c r="C113" i="3" a="1"/>
  <c r="C113" i="3" s="1"/>
  <c r="D113" i="3" a="1"/>
  <c r="D113" i="3" s="1"/>
  <c r="E113" i="3" a="1"/>
  <c r="E113" i="3" s="1"/>
  <c r="F113" i="3" a="1"/>
  <c r="F113" i="3" s="1"/>
  <c r="G113" i="3" a="1"/>
  <c r="G113" i="3" s="1"/>
  <c r="J113" i="3" a="1"/>
  <c r="J113" i="3" s="1"/>
  <c r="B114" i="3" a="1"/>
  <c r="B114" i="3" s="1"/>
  <c r="C114" i="3" a="1"/>
  <c r="C114" i="3" s="1"/>
  <c r="D114" i="3" a="1"/>
  <c r="D114" i="3" s="1"/>
  <c r="E114" i="3" a="1"/>
  <c r="E114" i="3" s="1"/>
  <c r="F114" i="3" a="1"/>
  <c r="F114" i="3" s="1"/>
  <c r="G114" i="3" a="1"/>
  <c r="G114" i="3" s="1"/>
  <c r="J114" i="3" a="1"/>
  <c r="J114" i="3" s="1"/>
  <c r="B115" i="3" a="1"/>
  <c r="B115" i="3" s="1"/>
  <c r="C115" i="3" a="1"/>
  <c r="C115" i="3" s="1"/>
  <c r="D115" i="3" a="1"/>
  <c r="D115" i="3" s="1"/>
  <c r="E115" i="3" a="1"/>
  <c r="E115" i="3" s="1"/>
  <c r="F115" i="3" a="1"/>
  <c r="F115" i="3" s="1"/>
  <c r="G115" i="3" a="1"/>
  <c r="G115" i="3" s="1"/>
  <c r="J115" i="3" a="1"/>
  <c r="J115" i="3" s="1"/>
  <c r="B116" i="3" a="1"/>
  <c r="B116" i="3" s="1"/>
  <c r="C116" i="3" a="1"/>
  <c r="C116" i="3" s="1"/>
  <c r="D116" i="3" a="1"/>
  <c r="D116" i="3" s="1"/>
  <c r="E116" i="3" a="1"/>
  <c r="E116" i="3" s="1"/>
  <c r="F116" i="3" a="1"/>
  <c r="F116" i="3" s="1"/>
  <c r="G116" i="3" a="1"/>
  <c r="G116" i="3" s="1"/>
  <c r="J116" i="3" a="1"/>
  <c r="J116" i="3" s="1"/>
  <c r="B117" i="3" a="1"/>
  <c r="B117" i="3" s="1"/>
  <c r="C117" i="3" a="1"/>
  <c r="C117" i="3" s="1"/>
  <c r="D117" i="3" a="1"/>
  <c r="D117" i="3" s="1"/>
  <c r="E117" i="3" a="1"/>
  <c r="E117" i="3" s="1"/>
  <c r="F117" i="3" a="1"/>
  <c r="F117" i="3" s="1"/>
  <c r="G117" i="3" a="1"/>
  <c r="G117" i="3" s="1"/>
  <c r="J117" i="3" a="1"/>
  <c r="J117" i="3" s="1"/>
  <c r="B118" i="3" a="1"/>
  <c r="B118" i="3" s="1"/>
  <c r="C118" i="3" a="1"/>
  <c r="C118" i="3" s="1"/>
  <c r="D118" i="3" a="1"/>
  <c r="D118" i="3" s="1"/>
  <c r="E118" i="3" a="1"/>
  <c r="E118" i="3" s="1"/>
  <c r="F118" i="3" a="1"/>
  <c r="F118" i="3" s="1"/>
  <c r="G118" i="3" a="1"/>
  <c r="G118" i="3" s="1"/>
  <c r="J118" i="3" a="1"/>
  <c r="J118" i="3" s="1"/>
  <c r="B119" i="3" a="1"/>
  <c r="B119" i="3" s="1"/>
  <c r="C119" i="3" a="1"/>
  <c r="C119" i="3" s="1"/>
  <c r="D119" i="3" a="1"/>
  <c r="D119" i="3" s="1"/>
  <c r="E119" i="3" a="1"/>
  <c r="E119" i="3" s="1"/>
  <c r="F119" i="3" a="1"/>
  <c r="F119" i="3" s="1"/>
  <c r="G119" i="3" a="1"/>
  <c r="G119" i="3" s="1"/>
  <c r="J119" i="3" a="1"/>
  <c r="J119" i="3" s="1"/>
  <c r="B120" i="3" a="1"/>
  <c r="B120" i="3" s="1"/>
  <c r="C120" i="3" a="1"/>
  <c r="C120" i="3" s="1"/>
  <c r="D120" i="3" a="1"/>
  <c r="D120" i="3" s="1"/>
  <c r="E120" i="3" a="1"/>
  <c r="E120" i="3" s="1"/>
  <c r="F120" i="3" a="1"/>
  <c r="F120" i="3" s="1"/>
  <c r="G120" i="3" a="1"/>
  <c r="G120" i="3" s="1"/>
  <c r="J120" i="3" a="1"/>
  <c r="J120" i="3" s="1"/>
  <c r="B121" i="3" a="1"/>
  <c r="B121" i="3" s="1"/>
  <c r="C121" i="3" a="1"/>
  <c r="C121" i="3" s="1"/>
  <c r="D121" i="3" a="1"/>
  <c r="D121" i="3" s="1"/>
  <c r="E121" i="3" a="1"/>
  <c r="E121" i="3" s="1"/>
  <c r="F121" i="3" a="1"/>
  <c r="F121" i="3" s="1"/>
  <c r="G121" i="3" a="1"/>
  <c r="G121" i="3" s="1"/>
  <c r="J121" i="3" a="1"/>
  <c r="J121" i="3" s="1"/>
  <c r="B122" i="3" a="1"/>
  <c r="B122" i="3" s="1"/>
  <c r="C122" i="3" a="1"/>
  <c r="C122" i="3" s="1"/>
  <c r="D122" i="3" a="1"/>
  <c r="D122" i="3" s="1"/>
  <c r="E122" i="3" a="1"/>
  <c r="E122" i="3" s="1"/>
  <c r="F122" i="3" a="1"/>
  <c r="F122" i="3" s="1"/>
  <c r="G122" i="3" a="1"/>
  <c r="G122" i="3" s="1"/>
  <c r="J122" i="3" a="1"/>
  <c r="J122" i="3" s="1"/>
  <c r="B123" i="3" a="1"/>
  <c r="B123" i="3" s="1"/>
  <c r="C123" i="3" a="1"/>
  <c r="C123" i="3" s="1"/>
  <c r="D123" i="3" a="1"/>
  <c r="D123" i="3" s="1"/>
  <c r="E123" i="3" a="1"/>
  <c r="E123" i="3" s="1"/>
  <c r="F123" i="3" a="1"/>
  <c r="F123" i="3" s="1"/>
  <c r="G123" i="3" a="1"/>
  <c r="G123" i="3" s="1"/>
  <c r="J123" i="3" a="1"/>
  <c r="J123" i="3" s="1"/>
  <c r="B124" i="3" a="1"/>
  <c r="B124" i="3" s="1"/>
  <c r="C124" i="3" a="1"/>
  <c r="C124" i="3" s="1"/>
  <c r="D124" i="3" a="1"/>
  <c r="D124" i="3" s="1"/>
  <c r="E124" i="3" a="1"/>
  <c r="E124" i="3" s="1"/>
  <c r="F124" i="3" a="1"/>
  <c r="F124" i="3" s="1"/>
  <c r="G124" i="3" a="1"/>
  <c r="G124" i="3" s="1"/>
  <c r="J124" i="3" a="1"/>
  <c r="J124" i="3" s="1"/>
  <c r="B125" i="3" a="1"/>
  <c r="B125" i="3" s="1"/>
  <c r="C125" i="3" a="1"/>
  <c r="C125" i="3" s="1"/>
  <c r="D125" i="3" a="1"/>
  <c r="D125" i="3" s="1"/>
  <c r="E125" i="3" a="1"/>
  <c r="E125" i="3" s="1"/>
  <c r="F125" i="3" a="1"/>
  <c r="F125" i="3" s="1"/>
  <c r="G125" i="3" a="1"/>
  <c r="G125" i="3" s="1"/>
  <c r="J125" i="3" a="1"/>
  <c r="J125" i="3" s="1"/>
  <c r="B126" i="3" a="1"/>
  <c r="B126" i="3" s="1"/>
  <c r="C126" i="3" a="1"/>
  <c r="C126" i="3" s="1"/>
  <c r="D126" i="3" a="1"/>
  <c r="D126" i="3" s="1"/>
  <c r="E126" i="3" a="1"/>
  <c r="E126" i="3" s="1"/>
  <c r="F126" i="3" a="1"/>
  <c r="F126" i="3" s="1"/>
  <c r="G126" i="3" a="1"/>
  <c r="G126" i="3" s="1"/>
  <c r="J126" i="3" a="1"/>
  <c r="J126" i="3" s="1"/>
  <c r="B127" i="3" a="1"/>
  <c r="B127" i="3" s="1"/>
  <c r="C127" i="3" a="1"/>
  <c r="C127" i="3" s="1"/>
  <c r="D127" i="3" a="1"/>
  <c r="D127" i="3" s="1"/>
  <c r="E127" i="3" a="1"/>
  <c r="E127" i="3" s="1"/>
  <c r="F127" i="3" a="1"/>
  <c r="F127" i="3" s="1"/>
  <c r="G127" i="3" a="1"/>
  <c r="G127" i="3" s="1"/>
  <c r="J127" i="3" a="1"/>
  <c r="J127" i="3" s="1"/>
  <c r="B128" i="3" a="1"/>
  <c r="B128" i="3" s="1"/>
  <c r="C128" i="3" a="1"/>
  <c r="C128" i="3" s="1"/>
  <c r="D128" i="3" a="1"/>
  <c r="D128" i="3" s="1"/>
  <c r="E128" i="3" a="1"/>
  <c r="E128" i="3" s="1"/>
  <c r="F128" i="3" a="1"/>
  <c r="F128" i="3" s="1"/>
  <c r="G128" i="3" a="1"/>
  <c r="G128" i="3" s="1"/>
  <c r="J128" i="3" a="1"/>
  <c r="J128" i="3" s="1"/>
  <c r="B129" i="3" a="1"/>
  <c r="B129" i="3" s="1"/>
  <c r="C129" i="3" a="1"/>
  <c r="C129" i="3" s="1"/>
  <c r="D129" i="3" a="1"/>
  <c r="D129" i="3" s="1"/>
  <c r="E129" i="3" a="1"/>
  <c r="E129" i="3" s="1"/>
  <c r="F129" i="3" a="1"/>
  <c r="F129" i="3" s="1"/>
  <c r="G129" i="3" a="1"/>
  <c r="G129" i="3" s="1"/>
  <c r="J129" i="3" a="1"/>
  <c r="J129" i="3" s="1"/>
  <c r="B130" i="3" a="1"/>
  <c r="B130" i="3" s="1"/>
  <c r="C130" i="3" a="1"/>
  <c r="C130" i="3" s="1"/>
  <c r="D130" i="3" a="1"/>
  <c r="D130" i="3" s="1"/>
  <c r="E130" i="3" a="1"/>
  <c r="E130" i="3" s="1"/>
  <c r="F130" i="3" a="1"/>
  <c r="F130" i="3" s="1"/>
  <c r="G130" i="3" a="1"/>
  <c r="G130" i="3" s="1"/>
  <c r="J130" i="3" a="1"/>
  <c r="J130" i="3" s="1"/>
  <c r="B131" i="3" a="1"/>
  <c r="B131" i="3" s="1"/>
  <c r="C131" i="3" a="1"/>
  <c r="C131" i="3" s="1"/>
  <c r="D131" i="3" a="1"/>
  <c r="D131" i="3" s="1"/>
  <c r="E131" i="3" a="1"/>
  <c r="E131" i="3" s="1"/>
  <c r="F131" i="3" a="1"/>
  <c r="F131" i="3" s="1"/>
  <c r="G131" i="3" a="1"/>
  <c r="G131" i="3" s="1"/>
  <c r="J131" i="3" a="1"/>
  <c r="J131" i="3" s="1"/>
  <c r="B132" i="3" a="1"/>
  <c r="B132" i="3" s="1"/>
  <c r="C132" i="3" a="1"/>
  <c r="C132" i="3" s="1"/>
  <c r="D132" i="3" a="1"/>
  <c r="D132" i="3" s="1"/>
  <c r="E132" i="3" a="1"/>
  <c r="E132" i="3" s="1"/>
  <c r="F132" i="3" a="1"/>
  <c r="F132" i="3" s="1"/>
  <c r="G132" i="3" a="1"/>
  <c r="G132" i="3" s="1"/>
  <c r="J132" i="3" a="1"/>
  <c r="J132" i="3" s="1"/>
  <c r="B133" i="3" a="1"/>
  <c r="B133" i="3" s="1"/>
  <c r="C133" i="3" a="1"/>
  <c r="C133" i="3" s="1"/>
  <c r="D133" i="3" a="1"/>
  <c r="D133" i="3" s="1"/>
  <c r="E133" i="3" a="1"/>
  <c r="E133" i="3" s="1"/>
  <c r="F133" i="3" a="1"/>
  <c r="F133" i="3" s="1"/>
  <c r="G133" i="3" a="1"/>
  <c r="G133" i="3" s="1"/>
  <c r="J133" i="3" a="1"/>
  <c r="J133" i="3" s="1"/>
  <c r="B134" i="3" a="1"/>
  <c r="B134" i="3" s="1"/>
  <c r="C134" i="3" a="1"/>
  <c r="C134" i="3" s="1"/>
  <c r="D134" i="3" a="1"/>
  <c r="D134" i="3" s="1"/>
  <c r="E134" i="3" a="1"/>
  <c r="E134" i="3" s="1"/>
  <c r="F134" i="3" a="1"/>
  <c r="F134" i="3" s="1"/>
  <c r="G134" i="3" a="1"/>
  <c r="G134" i="3" s="1"/>
  <c r="J134" i="3" a="1"/>
  <c r="J134" i="3" s="1"/>
  <c r="B135" i="3" a="1"/>
  <c r="B135" i="3" s="1"/>
  <c r="C135" i="3" a="1"/>
  <c r="C135" i="3" s="1"/>
  <c r="D135" i="3" a="1"/>
  <c r="D135" i="3" s="1"/>
  <c r="E135" i="3" a="1"/>
  <c r="E135" i="3" s="1"/>
  <c r="F135" i="3" a="1"/>
  <c r="F135" i="3" s="1"/>
  <c r="G135" i="3" a="1"/>
  <c r="G135" i="3" s="1"/>
  <c r="J135" i="3" a="1"/>
  <c r="J135" i="3" s="1"/>
  <c r="B136" i="3" a="1"/>
  <c r="B136" i="3" s="1"/>
  <c r="C136" i="3" a="1"/>
  <c r="C136" i="3" s="1"/>
  <c r="D136" i="3" a="1"/>
  <c r="D136" i="3" s="1"/>
  <c r="E136" i="3" a="1"/>
  <c r="E136" i="3" s="1"/>
  <c r="F136" i="3" a="1"/>
  <c r="F136" i="3" s="1"/>
  <c r="G136" i="3" a="1"/>
  <c r="G136" i="3" s="1"/>
  <c r="J136" i="3" a="1"/>
  <c r="J136" i="3" s="1"/>
  <c r="B137" i="3" a="1"/>
  <c r="B137" i="3" s="1"/>
  <c r="C137" i="3" a="1"/>
  <c r="C137" i="3" s="1"/>
  <c r="D137" i="3" a="1"/>
  <c r="D137" i="3" s="1"/>
  <c r="E137" i="3" a="1"/>
  <c r="E137" i="3" s="1"/>
  <c r="F137" i="3" a="1"/>
  <c r="F137" i="3" s="1"/>
  <c r="G137" i="3" a="1"/>
  <c r="G137" i="3" s="1"/>
  <c r="J137" i="3" a="1"/>
  <c r="J137" i="3" s="1"/>
  <c r="B138" i="3" a="1"/>
  <c r="B138" i="3" s="1"/>
  <c r="C138" i="3" a="1"/>
  <c r="C138" i="3" s="1"/>
  <c r="D138" i="3" a="1"/>
  <c r="D138" i="3" s="1"/>
  <c r="E138" i="3" a="1"/>
  <c r="E138" i="3" s="1"/>
  <c r="F138" i="3" a="1"/>
  <c r="F138" i="3" s="1"/>
  <c r="G138" i="3" a="1"/>
  <c r="G138" i="3" s="1"/>
  <c r="J138" i="3" a="1"/>
  <c r="J138" i="3" s="1"/>
  <c r="B139" i="3" a="1"/>
  <c r="B139" i="3" s="1"/>
  <c r="C139" i="3" a="1"/>
  <c r="C139" i="3" s="1"/>
  <c r="D139" i="3" a="1"/>
  <c r="D139" i="3" s="1"/>
  <c r="E139" i="3" a="1"/>
  <c r="E139" i="3" s="1"/>
  <c r="F139" i="3" a="1"/>
  <c r="F139" i="3" s="1"/>
  <c r="G139" i="3" a="1"/>
  <c r="G139" i="3" s="1"/>
  <c r="J139" i="3" a="1"/>
  <c r="J139" i="3" s="1"/>
  <c r="B140" i="3" a="1"/>
  <c r="B140" i="3" s="1"/>
  <c r="C140" i="3" a="1"/>
  <c r="C140" i="3" s="1"/>
  <c r="D140" i="3" a="1"/>
  <c r="D140" i="3" s="1"/>
  <c r="E140" i="3" a="1"/>
  <c r="E140" i="3" s="1"/>
  <c r="F140" i="3" a="1"/>
  <c r="F140" i="3" s="1"/>
  <c r="G140" i="3" a="1"/>
  <c r="G140" i="3" s="1"/>
  <c r="J140" i="3" a="1"/>
  <c r="J140" i="3" s="1"/>
  <c r="B141" i="3" a="1"/>
  <c r="B141" i="3" s="1"/>
  <c r="C141" i="3" a="1"/>
  <c r="C141" i="3" s="1"/>
  <c r="D141" i="3" a="1"/>
  <c r="D141" i="3" s="1"/>
  <c r="E141" i="3" a="1"/>
  <c r="E141" i="3" s="1"/>
  <c r="F141" i="3" a="1"/>
  <c r="F141" i="3" s="1"/>
  <c r="G141" i="3" a="1"/>
  <c r="G141" i="3" s="1"/>
  <c r="J141" i="3" a="1"/>
  <c r="J141" i="3" s="1"/>
  <c r="B142" i="3" a="1"/>
  <c r="B142" i="3" s="1"/>
  <c r="C142" i="3" a="1"/>
  <c r="C142" i="3" s="1"/>
  <c r="D142" i="3" a="1"/>
  <c r="D142" i="3" s="1"/>
  <c r="E142" i="3" a="1"/>
  <c r="E142" i="3" s="1"/>
  <c r="F142" i="3" a="1"/>
  <c r="F142" i="3" s="1"/>
  <c r="G142" i="3" a="1"/>
  <c r="G142" i="3" s="1"/>
  <c r="J142" i="3" a="1"/>
  <c r="J142" i="3" s="1"/>
  <c r="B143" i="3" a="1"/>
  <c r="B143" i="3" s="1"/>
  <c r="C143" i="3" a="1"/>
  <c r="C143" i="3" s="1"/>
  <c r="D143" i="3" a="1"/>
  <c r="D143" i="3" s="1"/>
  <c r="E143" i="3" a="1"/>
  <c r="E143" i="3" s="1"/>
  <c r="F143" i="3" a="1"/>
  <c r="F143" i="3" s="1"/>
  <c r="G143" i="3" a="1"/>
  <c r="G143" i="3" s="1"/>
  <c r="J143" i="3" a="1"/>
  <c r="J143" i="3" s="1"/>
  <c r="B144" i="3" a="1"/>
  <c r="B144" i="3" s="1"/>
  <c r="C144" i="3" a="1"/>
  <c r="C144" i="3" s="1"/>
  <c r="D144" i="3" a="1"/>
  <c r="D144" i="3" s="1"/>
  <c r="E144" i="3" a="1"/>
  <c r="E144" i="3" s="1"/>
  <c r="F144" i="3" a="1"/>
  <c r="F144" i="3" s="1"/>
  <c r="G144" i="3" a="1"/>
  <c r="G144" i="3" s="1"/>
  <c r="J144" i="3" a="1"/>
  <c r="J144" i="3" s="1"/>
  <c r="B145" i="3" a="1"/>
  <c r="B145" i="3" s="1"/>
  <c r="C145" i="3" a="1"/>
  <c r="C145" i="3" s="1"/>
  <c r="D145" i="3" a="1"/>
  <c r="D145" i="3" s="1"/>
  <c r="E145" i="3" a="1"/>
  <c r="E145" i="3" s="1"/>
  <c r="F145" i="3" a="1"/>
  <c r="F145" i="3" s="1"/>
  <c r="G145" i="3" a="1"/>
  <c r="G145" i="3" s="1"/>
  <c r="J145" i="3" a="1"/>
  <c r="J145" i="3" s="1"/>
  <c r="B146" i="3" a="1"/>
  <c r="B146" i="3" s="1"/>
  <c r="C146" i="3" a="1"/>
  <c r="C146" i="3" s="1"/>
  <c r="D146" i="3" a="1"/>
  <c r="D146" i="3" s="1"/>
  <c r="E146" i="3" a="1"/>
  <c r="E146" i="3" s="1"/>
  <c r="F146" i="3" a="1"/>
  <c r="F146" i="3" s="1"/>
  <c r="G146" i="3" a="1"/>
  <c r="G146" i="3" s="1"/>
  <c r="J146" i="3" a="1"/>
  <c r="J146" i="3" s="1"/>
  <c r="B147" i="3" a="1"/>
  <c r="B147" i="3" s="1"/>
  <c r="C147" i="3" a="1"/>
  <c r="C147" i="3" s="1"/>
  <c r="D147" i="3" a="1"/>
  <c r="D147" i="3" s="1"/>
  <c r="E147" i="3" a="1"/>
  <c r="E147" i="3" s="1"/>
  <c r="F147" i="3" a="1"/>
  <c r="F147" i="3" s="1"/>
  <c r="G147" i="3" a="1"/>
  <c r="G147" i="3" s="1"/>
  <c r="J147" i="3" a="1"/>
  <c r="J147" i="3" s="1"/>
  <c r="B148" i="3" a="1"/>
  <c r="B148" i="3" s="1"/>
  <c r="C148" i="3" a="1"/>
  <c r="C148" i="3" s="1"/>
  <c r="D148" i="3" a="1"/>
  <c r="D148" i="3" s="1"/>
  <c r="E148" i="3" a="1"/>
  <c r="E148" i="3" s="1"/>
  <c r="F148" i="3" a="1"/>
  <c r="F148" i="3" s="1"/>
  <c r="G148" i="3" a="1"/>
  <c r="G148" i="3" s="1"/>
  <c r="J148" i="3" a="1"/>
  <c r="J148" i="3" s="1"/>
  <c r="B149" i="3" a="1"/>
  <c r="B149" i="3" s="1"/>
  <c r="C149" i="3" a="1"/>
  <c r="C149" i="3" s="1"/>
  <c r="D149" i="3" a="1"/>
  <c r="D149" i="3" s="1"/>
  <c r="E149" i="3" a="1"/>
  <c r="E149" i="3" s="1"/>
  <c r="F149" i="3" a="1"/>
  <c r="F149" i="3" s="1"/>
  <c r="G149" i="3" a="1"/>
  <c r="G149" i="3" s="1"/>
  <c r="J149" i="3" a="1"/>
  <c r="J149" i="3" s="1"/>
  <c r="B150" i="3" a="1"/>
  <c r="B150" i="3" s="1"/>
  <c r="C150" i="3" a="1"/>
  <c r="C150" i="3" s="1"/>
  <c r="D150" i="3" a="1"/>
  <c r="D150" i="3" s="1"/>
  <c r="E150" i="3" a="1"/>
  <c r="E150" i="3" s="1"/>
  <c r="F150" i="3" a="1"/>
  <c r="F150" i="3" s="1"/>
  <c r="G150" i="3" a="1"/>
  <c r="G150" i="3" s="1"/>
  <c r="J150" i="3" a="1"/>
  <c r="J150" i="3" s="1"/>
  <c r="B151" i="3" a="1"/>
  <c r="B151" i="3" s="1"/>
  <c r="C151" i="3" a="1"/>
  <c r="C151" i="3" s="1"/>
  <c r="D151" i="3" a="1"/>
  <c r="D151" i="3" s="1"/>
  <c r="E151" i="3" a="1"/>
  <c r="E151" i="3" s="1"/>
  <c r="F151" i="3" a="1"/>
  <c r="F151" i="3" s="1"/>
  <c r="G151" i="3" a="1"/>
  <c r="G151" i="3" s="1"/>
  <c r="J151" i="3" a="1"/>
  <c r="J151" i="3" s="1"/>
  <c r="B152" i="3" a="1"/>
  <c r="B152" i="3" s="1"/>
  <c r="C152" i="3" a="1"/>
  <c r="C152" i="3" s="1"/>
  <c r="D152" i="3" a="1"/>
  <c r="D152" i="3" s="1"/>
  <c r="E152" i="3" a="1"/>
  <c r="E152" i="3" s="1"/>
  <c r="F152" i="3" a="1"/>
  <c r="F152" i="3" s="1"/>
  <c r="G152" i="3" a="1"/>
  <c r="G152" i="3" s="1"/>
  <c r="J152" i="3" a="1"/>
  <c r="J152" i="3" s="1"/>
  <c r="B153" i="3" a="1"/>
  <c r="B153" i="3" s="1"/>
  <c r="C153" i="3" a="1"/>
  <c r="C153" i="3" s="1"/>
  <c r="D153" i="3" a="1"/>
  <c r="D153" i="3" s="1"/>
  <c r="E153" i="3" a="1"/>
  <c r="E153" i="3" s="1"/>
  <c r="F153" i="3" a="1"/>
  <c r="F153" i="3" s="1"/>
  <c r="G153" i="3" a="1"/>
  <c r="G153" i="3" s="1"/>
  <c r="J153" i="3" a="1"/>
  <c r="J153" i="3" s="1"/>
  <c r="B154" i="3" a="1"/>
  <c r="B154" i="3" s="1"/>
  <c r="C154" i="3" a="1"/>
  <c r="C154" i="3" s="1"/>
  <c r="D154" i="3" a="1"/>
  <c r="D154" i="3" s="1"/>
  <c r="E154" i="3" a="1"/>
  <c r="E154" i="3" s="1"/>
  <c r="F154" i="3" a="1"/>
  <c r="F154" i="3" s="1"/>
  <c r="G154" i="3" a="1"/>
  <c r="G154" i="3" s="1"/>
  <c r="J154" i="3" a="1"/>
  <c r="J154" i="3" s="1"/>
  <c r="B155" i="3" a="1"/>
  <c r="B155" i="3" s="1"/>
  <c r="C155" i="3" a="1"/>
  <c r="C155" i="3" s="1"/>
  <c r="D155" i="3" a="1"/>
  <c r="D155" i="3" s="1"/>
  <c r="E155" i="3" a="1"/>
  <c r="E155" i="3" s="1"/>
  <c r="F155" i="3" a="1"/>
  <c r="F155" i="3" s="1"/>
  <c r="G155" i="3" a="1"/>
  <c r="G155" i="3" s="1"/>
  <c r="J155" i="3" a="1"/>
  <c r="J155" i="3" s="1"/>
  <c r="B156" i="3" a="1"/>
  <c r="B156" i="3" s="1"/>
  <c r="C156" i="3" a="1"/>
  <c r="C156" i="3" s="1"/>
  <c r="D156" i="3" a="1"/>
  <c r="D156" i="3" s="1"/>
  <c r="E156" i="3" a="1"/>
  <c r="E156" i="3" s="1"/>
  <c r="F156" i="3" a="1"/>
  <c r="F156" i="3" s="1"/>
  <c r="G156" i="3" a="1"/>
  <c r="G156" i="3" s="1"/>
  <c r="J156" i="3" a="1"/>
  <c r="J156" i="3" s="1"/>
  <c r="B157" i="3" a="1"/>
  <c r="B157" i="3" s="1"/>
  <c r="C157" i="3" a="1"/>
  <c r="C157" i="3" s="1"/>
  <c r="D157" i="3" a="1"/>
  <c r="D157" i="3" s="1"/>
  <c r="E157" i="3" a="1"/>
  <c r="E157" i="3" s="1"/>
  <c r="F157" i="3" a="1"/>
  <c r="F157" i="3" s="1"/>
  <c r="G157" i="3" a="1"/>
  <c r="G157" i="3" s="1"/>
  <c r="J157" i="3" a="1"/>
  <c r="J157" i="3" s="1"/>
  <c r="B158" i="3" a="1"/>
  <c r="B158" i="3" s="1"/>
  <c r="C158" i="3" a="1"/>
  <c r="C158" i="3" s="1"/>
  <c r="D158" i="3" a="1"/>
  <c r="D158" i="3" s="1"/>
  <c r="E158" i="3" a="1"/>
  <c r="E158" i="3" s="1"/>
  <c r="F158" i="3" a="1"/>
  <c r="F158" i="3" s="1"/>
  <c r="G158" i="3" a="1"/>
  <c r="G158" i="3" s="1"/>
  <c r="J158" i="3" a="1"/>
  <c r="J158" i="3" s="1"/>
  <c r="B159" i="3" a="1"/>
  <c r="B159" i="3" s="1"/>
  <c r="C159" i="3" a="1"/>
  <c r="C159" i="3" s="1"/>
  <c r="D159" i="3" a="1"/>
  <c r="D159" i="3" s="1"/>
  <c r="E159" i="3" a="1"/>
  <c r="E159" i="3" s="1"/>
  <c r="F159" i="3" a="1"/>
  <c r="F159" i="3" s="1"/>
  <c r="G159" i="3" a="1"/>
  <c r="G159" i="3" s="1"/>
  <c r="J159" i="3" a="1"/>
  <c r="J159" i="3" s="1"/>
  <c r="B160" i="3" a="1"/>
  <c r="B160" i="3" s="1"/>
  <c r="C160" i="3" a="1"/>
  <c r="C160" i="3" s="1"/>
  <c r="D160" i="3" a="1"/>
  <c r="D160" i="3" s="1"/>
  <c r="E160" i="3" a="1"/>
  <c r="E160" i="3" s="1"/>
  <c r="F160" i="3" a="1"/>
  <c r="F160" i="3" s="1"/>
  <c r="G160" i="3" a="1"/>
  <c r="G160" i="3" s="1"/>
  <c r="J160" i="3" a="1"/>
  <c r="J160" i="3" s="1"/>
  <c r="B161" i="3" a="1"/>
  <c r="B161" i="3" s="1"/>
  <c r="C161" i="3" a="1"/>
  <c r="C161" i="3" s="1"/>
  <c r="D161" i="3" a="1"/>
  <c r="D161" i="3" s="1"/>
  <c r="E161" i="3" a="1"/>
  <c r="E161" i="3" s="1"/>
  <c r="F161" i="3" a="1"/>
  <c r="F161" i="3" s="1"/>
  <c r="G161" i="3" a="1"/>
  <c r="G161" i="3" s="1"/>
  <c r="J161" i="3" a="1"/>
  <c r="J161" i="3" s="1"/>
  <c r="B162" i="3" a="1"/>
  <c r="B162" i="3" s="1"/>
  <c r="C162" i="3" a="1"/>
  <c r="C162" i="3" s="1"/>
  <c r="D162" i="3" a="1"/>
  <c r="D162" i="3" s="1"/>
  <c r="E162" i="3" a="1"/>
  <c r="E162" i="3" s="1"/>
  <c r="F162" i="3" a="1"/>
  <c r="F162" i="3" s="1"/>
  <c r="G162" i="3" a="1"/>
  <c r="G162" i="3" s="1"/>
  <c r="J162" i="3" a="1"/>
  <c r="J162" i="3" s="1"/>
  <c r="B163" i="3" a="1"/>
  <c r="B163" i="3" s="1"/>
  <c r="C163" i="3" a="1"/>
  <c r="C163" i="3" s="1"/>
  <c r="D163" i="3" a="1"/>
  <c r="D163" i="3" s="1"/>
  <c r="E163" i="3" a="1"/>
  <c r="E163" i="3" s="1"/>
  <c r="F163" i="3" a="1"/>
  <c r="F163" i="3" s="1"/>
  <c r="G163" i="3" a="1"/>
  <c r="G163" i="3" s="1"/>
  <c r="J163" i="3" a="1"/>
  <c r="J163" i="3" s="1"/>
  <c r="B164" i="3" a="1"/>
  <c r="B164" i="3" s="1"/>
  <c r="C164" i="3" a="1"/>
  <c r="C164" i="3" s="1"/>
  <c r="D164" i="3" a="1"/>
  <c r="D164" i="3" s="1"/>
  <c r="E164" i="3" a="1"/>
  <c r="E164" i="3" s="1"/>
  <c r="F164" i="3" a="1"/>
  <c r="F164" i="3" s="1"/>
  <c r="G164" i="3" a="1"/>
  <c r="G164" i="3" s="1"/>
  <c r="J164" i="3" a="1"/>
  <c r="J164" i="3" s="1"/>
  <c r="B165" i="3" a="1"/>
  <c r="B165" i="3" s="1"/>
  <c r="C165" i="3" a="1"/>
  <c r="C165" i="3" s="1"/>
  <c r="D165" i="3" a="1"/>
  <c r="D165" i="3" s="1"/>
  <c r="E165" i="3" a="1"/>
  <c r="E165" i="3" s="1"/>
  <c r="F165" i="3" a="1"/>
  <c r="F165" i="3" s="1"/>
  <c r="G165" i="3" a="1"/>
  <c r="G165" i="3" s="1"/>
  <c r="J165" i="3" a="1"/>
  <c r="J165" i="3" s="1"/>
  <c r="B166" i="3" a="1"/>
  <c r="B166" i="3" s="1"/>
  <c r="C166" i="3" a="1"/>
  <c r="C166" i="3" s="1"/>
  <c r="D166" i="3" a="1"/>
  <c r="D166" i="3" s="1"/>
  <c r="E166" i="3" a="1"/>
  <c r="E166" i="3" s="1"/>
  <c r="F166" i="3" a="1"/>
  <c r="F166" i="3" s="1"/>
  <c r="G166" i="3" a="1"/>
  <c r="G166" i="3" s="1"/>
  <c r="J166" i="3" a="1"/>
  <c r="J166" i="3" s="1"/>
  <c r="B167" i="3" a="1"/>
  <c r="B167" i="3" s="1"/>
  <c r="C167" i="3" a="1"/>
  <c r="C167" i="3" s="1"/>
  <c r="D167" i="3" a="1"/>
  <c r="D167" i="3" s="1"/>
  <c r="E167" i="3" a="1"/>
  <c r="E167" i="3" s="1"/>
  <c r="F167" i="3" a="1"/>
  <c r="F167" i="3" s="1"/>
  <c r="G167" i="3" a="1"/>
  <c r="G167" i="3" s="1"/>
  <c r="J167" i="3" a="1"/>
  <c r="J167" i="3" s="1"/>
  <c r="B168" i="3" a="1"/>
  <c r="B168" i="3" s="1"/>
  <c r="C168" i="3" a="1"/>
  <c r="C168" i="3" s="1"/>
  <c r="D168" i="3" a="1"/>
  <c r="D168" i="3" s="1"/>
  <c r="E168" i="3" a="1"/>
  <c r="E168" i="3" s="1"/>
  <c r="F168" i="3" a="1"/>
  <c r="F168" i="3" s="1"/>
  <c r="G168" i="3" a="1"/>
  <c r="G168" i="3" s="1"/>
  <c r="J168" i="3" a="1"/>
  <c r="J168" i="3" s="1"/>
  <c r="B169" i="3" a="1"/>
  <c r="B169" i="3" s="1"/>
  <c r="C169" i="3" a="1"/>
  <c r="C169" i="3" s="1"/>
  <c r="D169" i="3" a="1"/>
  <c r="D169" i="3" s="1"/>
  <c r="E169" i="3" a="1"/>
  <c r="E169" i="3" s="1"/>
  <c r="F169" i="3" a="1"/>
  <c r="F169" i="3" s="1"/>
  <c r="G169" i="3" a="1"/>
  <c r="G169" i="3" s="1"/>
  <c r="J169" i="3" a="1"/>
  <c r="J169" i="3" s="1"/>
  <c r="B170" i="3" a="1"/>
  <c r="B170" i="3" s="1"/>
  <c r="C170" i="3" a="1"/>
  <c r="C170" i="3" s="1"/>
  <c r="D170" i="3" a="1"/>
  <c r="D170" i="3" s="1"/>
  <c r="E170" i="3" a="1"/>
  <c r="E170" i="3" s="1"/>
  <c r="F170" i="3" a="1"/>
  <c r="F170" i="3" s="1"/>
  <c r="G170" i="3" a="1"/>
  <c r="G170" i="3" s="1"/>
  <c r="J170" i="3" a="1"/>
  <c r="J170" i="3" s="1"/>
  <c r="B171" i="3" a="1"/>
  <c r="B171" i="3" s="1"/>
  <c r="C171" i="3" a="1"/>
  <c r="C171" i="3" s="1"/>
  <c r="D171" i="3" a="1"/>
  <c r="D171" i="3" s="1"/>
  <c r="E171" i="3" a="1"/>
  <c r="E171" i="3" s="1"/>
  <c r="F171" i="3" a="1"/>
  <c r="F171" i="3" s="1"/>
  <c r="G171" i="3" a="1"/>
  <c r="G171" i="3" s="1"/>
  <c r="J171" i="3" a="1"/>
  <c r="J171" i="3" s="1"/>
  <c r="B172" i="3" a="1"/>
  <c r="B172" i="3" s="1"/>
  <c r="C172" i="3" a="1"/>
  <c r="C172" i="3" s="1"/>
  <c r="D172" i="3" a="1"/>
  <c r="D172" i="3" s="1"/>
  <c r="E172" i="3" a="1"/>
  <c r="E172" i="3" s="1"/>
  <c r="F172" i="3" a="1"/>
  <c r="F172" i="3" s="1"/>
  <c r="G172" i="3" a="1"/>
  <c r="G172" i="3" s="1"/>
  <c r="J172" i="3" a="1"/>
  <c r="J172" i="3" s="1"/>
  <c r="B173" i="3" a="1"/>
  <c r="B173" i="3" s="1"/>
  <c r="C173" i="3" a="1"/>
  <c r="C173" i="3" s="1"/>
  <c r="D173" i="3" a="1"/>
  <c r="D173" i="3" s="1"/>
  <c r="E173" i="3" a="1"/>
  <c r="E173" i="3" s="1"/>
  <c r="F173" i="3" a="1"/>
  <c r="F173" i="3" s="1"/>
  <c r="G173" i="3" a="1"/>
  <c r="G173" i="3" s="1"/>
  <c r="J173" i="3" a="1"/>
  <c r="J173" i="3" s="1"/>
  <c r="B174" i="3" a="1"/>
  <c r="B174" i="3" s="1"/>
  <c r="C174" i="3" a="1"/>
  <c r="C174" i="3" s="1"/>
  <c r="D174" i="3" a="1"/>
  <c r="D174" i="3" s="1"/>
  <c r="E174" i="3" a="1"/>
  <c r="E174" i="3" s="1"/>
  <c r="F174" i="3" a="1"/>
  <c r="F174" i="3" s="1"/>
  <c r="G174" i="3" a="1"/>
  <c r="G174" i="3" s="1"/>
  <c r="J174" i="3" a="1"/>
  <c r="J174" i="3" s="1"/>
  <c r="B175" i="3" a="1"/>
  <c r="B175" i="3" s="1"/>
  <c r="C175" i="3" a="1"/>
  <c r="C175" i="3" s="1"/>
  <c r="D175" i="3" a="1"/>
  <c r="D175" i="3" s="1"/>
  <c r="E175" i="3" a="1"/>
  <c r="E175" i="3" s="1"/>
  <c r="F175" i="3" a="1"/>
  <c r="F175" i="3" s="1"/>
  <c r="G175" i="3" a="1"/>
  <c r="G175" i="3" s="1"/>
  <c r="J175" i="3" a="1"/>
  <c r="J175" i="3" s="1"/>
  <c r="B176" i="3" a="1"/>
  <c r="B176" i="3" s="1"/>
  <c r="C176" i="3" a="1"/>
  <c r="C176" i="3" s="1"/>
  <c r="D176" i="3" a="1"/>
  <c r="D176" i="3" s="1"/>
  <c r="E176" i="3" a="1"/>
  <c r="E176" i="3" s="1"/>
  <c r="F176" i="3" a="1"/>
  <c r="F176" i="3" s="1"/>
  <c r="G176" i="3" a="1"/>
  <c r="G176" i="3" s="1"/>
  <c r="J176" i="3" a="1"/>
  <c r="J176" i="3" s="1"/>
  <c r="B177" i="3" a="1"/>
  <c r="B177" i="3" s="1"/>
  <c r="C177" i="3" a="1"/>
  <c r="C177" i="3" s="1"/>
  <c r="D177" i="3" a="1"/>
  <c r="D177" i="3" s="1"/>
  <c r="E177" i="3" a="1"/>
  <c r="E177" i="3" s="1"/>
  <c r="F177" i="3" a="1"/>
  <c r="F177" i="3" s="1"/>
  <c r="G177" i="3" a="1"/>
  <c r="G177" i="3" s="1"/>
  <c r="J177" i="3" a="1"/>
  <c r="J177" i="3" s="1"/>
  <c r="B178" i="3" a="1"/>
  <c r="B178" i="3" s="1"/>
  <c r="C178" i="3" a="1"/>
  <c r="C178" i="3" s="1"/>
  <c r="D178" i="3" a="1"/>
  <c r="D178" i="3" s="1"/>
  <c r="E178" i="3" a="1"/>
  <c r="E178" i="3" s="1"/>
  <c r="F178" i="3" a="1"/>
  <c r="F178" i="3" s="1"/>
  <c r="G178" i="3" a="1"/>
  <c r="G178" i="3" s="1"/>
  <c r="J178" i="3" a="1"/>
  <c r="J178" i="3" s="1"/>
  <c r="B179" i="3" a="1"/>
  <c r="B179" i="3" s="1"/>
  <c r="C179" i="3" a="1"/>
  <c r="C179" i="3" s="1"/>
  <c r="D179" i="3" a="1"/>
  <c r="D179" i="3" s="1"/>
  <c r="E179" i="3" a="1"/>
  <c r="E179" i="3" s="1"/>
  <c r="F179" i="3" a="1"/>
  <c r="F179" i="3" s="1"/>
  <c r="G179" i="3" a="1"/>
  <c r="G179" i="3" s="1"/>
  <c r="J179" i="3" a="1"/>
  <c r="J179" i="3" s="1"/>
  <c r="B180" i="3" a="1"/>
  <c r="B180" i="3" s="1"/>
  <c r="C180" i="3" a="1"/>
  <c r="C180" i="3" s="1"/>
  <c r="D180" i="3" a="1"/>
  <c r="D180" i="3" s="1"/>
  <c r="E180" i="3" a="1"/>
  <c r="E180" i="3" s="1"/>
  <c r="F180" i="3" a="1"/>
  <c r="F180" i="3" s="1"/>
  <c r="G180" i="3" a="1"/>
  <c r="G180" i="3" s="1"/>
  <c r="J180" i="3" a="1"/>
  <c r="J180" i="3" s="1"/>
  <c r="B181" i="3" a="1"/>
  <c r="B181" i="3" s="1"/>
  <c r="C181" i="3" a="1"/>
  <c r="C181" i="3" s="1"/>
  <c r="D181" i="3" a="1"/>
  <c r="D181" i="3" s="1"/>
  <c r="E181" i="3" a="1"/>
  <c r="E181" i="3" s="1"/>
  <c r="F181" i="3" a="1"/>
  <c r="F181" i="3" s="1"/>
  <c r="G181" i="3" a="1"/>
  <c r="G181" i="3" s="1"/>
  <c r="J181" i="3" a="1"/>
  <c r="J181" i="3" s="1"/>
  <c r="B182" i="3" a="1"/>
  <c r="B182" i="3" s="1"/>
  <c r="C182" i="3" a="1"/>
  <c r="C182" i="3" s="1"/>
  <c r="D182" i="3" a="1"/>
  <c r="D182" i="3" s="1"/>
  <c r="E182" i="3" a="1"/>
  <c r="E182" i="3" s="1"/>
  <c r="F182" i="3" a="1"/>
  <c r="F182" i="3" s="1"/>
  <c r="G182" i="3" a="1"/>
  <c r="G182" i="3" s="1"/>
  <c r="J182" i="3" a="1"/>
  <c r="J182" i="3" s="1"/>
  <c r="B183" i="3" a="1"/>
  <c r="B183" i="3" s="1"/>
  <c r="C183" i="3" a="1"/>
  <c r="C183" i="3" s="1"/>
  <c r="D183" i="3" a="1"/>
  <c r="D183" i="3" s="1"/>
  <c r="E183" i="3" a="1"/>
  <c r="E183" i="3" s="1"/>
  <c r="F183" i="3" a="1"/>
  <c r="F183" i="3" s="1"/>
  <c r="G183" i="3" a="1"/>
  <c r="G183" i="3" s="1"/>
  <c r="J183" i="3" a="1"/>
  <c r="J183" i="3" s="1"/>
  <c r="B184" i="3" a="1"/>
  <c r="B184" i="3" s="1"/>
  <c r="C184" i="3" a="1"/>
  <c r="C184" i="3" s="1"/>
  <c r="D184" i="3" a="1"/>
  <c r="D184" i="3" s="1"/>
  <c r="E184" i="3" a="1"/>
  <c r="E184" i="3" s="1"/>
  <c r="F184" i="3" a="1"/>
  <c r="F184" i="3" s="1"/>
  <c r="G184" i="3" a="1"/>
  <c r="G184" i="3" s="1"/>
  <c r="J184" i="3" a="1"/>
  <c r="J184" i="3" s="1"/>
  <c r="B185" i="3" a="1"/>
  <c r="B185" i="3" s="1"/>
  <c r="C185" i="3" a="1"/>
  <c r="C185" i="3" s="1"/>
  <c r="D185" i="3" a="1"/>
  <c r="D185" i="3" s="1"/>
  <c r="E185" i="3" a="1"/>
  <c r="E185" i="3" s="1"/>
  <c r="F185" i="3" a="1"/>
  <c r="F185" i="3" s="1"/>
  <c r="G185" i="3" a="1"/>
  <c r="G185" i="3" s="1"/>
  <c r="J185" i="3" a="1"/>
  <c r="J185" i="3" s="1"/>
  <c r="B186" i="3" a="1"/>
  <c r="B186" i="3" s="1"/>
  <c r="C186" i="3" a="1"/>
  <c r="C186" i="3" s="1"/>
  <c r="D186" i="3" a="1"/>
  <c r="D186" i="3" s="1"/>
  <c r="E186" i="3" a="1"/>
  <c r="E186" i="3" s="1"/>
  <c r="F186" i="3" a="1"/>
  <c r="F186" i="3" s="1"/>
  <c r="G186" i="3" a="1"/>
  <c r="G186" i="3" s="1"/>
  <c r="J186" i="3" a="1"/>
  <c r="J186" i="3" s="1"/>
  <c r="B187" i="3" a="1"/>
  <c r="B187" i="3" s="1"/>
  <c r="C187" i="3" a="1"/>
  <c r="C187" i="3" s="1"/>
  <c r="D187" i="3" a="1"/>
  <c r="D187" i="3" s="1"/>
  <c r="E187" i="3" a="1"/>
  <c r="E187" i="3" s="1"/>
  <c r="F187" i="3" a="1"/>
  <c r="F187" i="3" s="1"/>
  <c r="G187" i="3" a="1"/>
  <c r="G187" i="3" s="1"/>
  <c r="J187" i="3" a="1"/>
  <c r="J187" i="3" s="1"/>
  <c r="B188" i="3" a="1"/>
  <c r="B188" i="3" s="1"/>
  <c r="C188" i="3" a="1"/>
  <c r="C188" i="3" s="1"/>
  <c r="D188" i="3" a="1"/>
  <c r="D188" i="3" s="1"/>
  <c r="E188" i="3" a="1"/>
  <c r="E188" i="3" s="1"/>
  <c r="F188" i="3" a="1"/>
  <c r="F188" i="3" s="1"/>
  <c r="G188" i="3" a="1"/>
  <c r="G188" i="3" s="1"/>
  <c r="J188" i="3" a="1"/>
  <c r="J188" i="3" s="1"/>
  <c r="B189" i="3" a="1"/>
  <c r="B189" i="3" s="1"/>
  <c r="C189" i="3" a="1"/>
  <c r="C189" i="3" s="1"/>
  <c r="D189" i="3" a="1"/>
  <c r="D189" i="3" s="1"/>
  <c r="E189" i="3" a="1"/>
  <c r="E189" i="3" s="1"/>
  <c r="F189" i="3" a="1"/>
  <c r="F189" i="3" s="1"/>
  <c r="G189" i="3" a="1"/>
  <c r="G189" i="3" s="1"/>
  <c r="J189" i="3" a="1"/>
  <c r="J189" i="3" s="1"/>
  <c r="B190" i="3" a="1"/>
  <c r="B190" i="3" s="1"/>
  <c r="C190" i="3" a="1"/>
  <c r="C190" i="3" s="1"/>
  <c r="D190" i="3" a="1"/>
  <c r="D190" i="3" s="1"/>
  <c r="E190" i="3" a="1"/>
  <c r="E190" i="3" s="1"/>
  <c r="F190" i="3" a="1"/>
  <c r="F190" i="3" s="1"/>
  <c r="G190" i="3" a="1"/>
  <c r="G190" i="3" s="1"/>
  <c r="J190" i="3" a="1"/>
  <c r="J190" i="3" s="1"/>
  <c r="B191" i="3" a="1"/>
  <c r="B191" i="3" s="1"/>
  <c r="C191" i="3" a="1"/>
  <c r="C191" i="3" s="1"/>
  <c r="D191" i="3" a="1"/>
  <c r="D191" i="3" s="1"/>
  <c r="E191" i="3" a="1"/>
  <c r="E191" i="3" s="1"/>
  <c r="F191" i="3" a="1"/>
  <c r="F191" i="3" s="1"/>
  <c r="G191" i="3" a="1"/>
  <c r="G191" i="3" s="1"/>
  <c r="J191" i="3" a="1"/>
  <c r="J191" i="3" s="1"/>
  <c r="B192" i="3" a="1"/>
  <c r="B192" i="3" s="1"/>
  <c r="C192" i="3" a="1"/>
  <c r="C192" i="3" s="1"/>
  <c r="D192" i="3" a="1"/>
  <c r="D192" i="3" s="1"/>
  <c r="E192" i="3" a="1"/>
  <c r="E192" i="3" s="1"/>
  <c r="F192" i="3" a="1"/>
  <c r="F192" i="3" s="1"/>
  <c r="G192" i="3" a="1"/>
  <c r="G192" i="3" s="1"/>
  <c r="J192" i="3" a="1"/>
  <c r="J192" i="3" s="1"/>
  <c r="B193" i="3" a="1"/>
  <c r="B193" i="3" s="1"/>
  <c r="C193" i="3" a="1"/>
  <c r="C193" i="3" s="1"/>
  <c r="D193" i="3" a="1"/>
  <c r="D193" i="3" s="1"/>
  <c r="E193" i="3" a="1"/>
  <c r="E193" i="3" s="1"/>
  <c r="F193" i="3" a="1"/>
  <c r="F193" i="3" s="1"/>
  <c r="G193" i="3" a="1"/>
  <c r="G193" i="3" s="1"/>
  <c r="J193" i="3" a="1"/>
  <c r="J193" i="3" s="1"/>
  <c r="B194" i="3" a="1"/>
  <c r="B194" i="3" s="1"/>
  <c r="C194" i="3" a="1"/>
  <c r="C194" i="3" s="1"/>
  <c r="D194" i="3" a="1"/>
  <c r="D194" i="3" s="1"/>
  <c r="E194" i="3" a="1"/>
  <c r="E194" i="3" s="1"/>
  <c r="F194" i="3" a="1"/>
  <c r="F194" i="3" s="1"/>
  <c r="G194" i="3" a="1"/>
  <c r="G194" i="3" s="1"/>
  <c r="J194" i="3" a="1"/>
  <c r="J194" i="3" s="1"/>
  <c r="B195" i="3" a="1"/>
  <c r="B195" i="3" s="1"/>
  <c r="C195" i="3" a="1"/>
  <c r="C195" i="3" s="1"/>
  <c r="D195" i="3" a="1"/>
  <c r="D195" i="3" s="1"/>
  <c r="E195" i="3" a="1"/>
  <c r="E195" i="3" s="1"/>
  <c r="F195" i="3" a="1"/>
  <c r="F195" i="3" s="1"/>
  <c r="G195" i="3" a="1"/>
  <c r="G195" i="3" s="1"/>
  <c r="J195" i="3" a="1"/>
  <c r="J195" i="3" s="1"/>
  <c r="B196" i="3" a="1"/>
  <c r="B196" i="3" s="1"/>
  <c r="C196" i="3" a="1"/>
  <c r="C196" i="3" s="1"/>
  <c r="D196" i="3" a="1"/>
  <c r="D196" i="3" s="1"/>
  <c r="E196" i="3" a="1"/>
  <c r="E196" i="3" s="1"/>
  <c r="F196" i="3" a="1"/>
  <c r="F196" i="3" s="1"/>
  <c r="G196" i="3" a="1"/>
  <c r="G196" i="3" s="1"/>
  <c r="J196" i="3" a="1"/>
  <c r="J196" i="3" s="1"/>
  <c r="B197" i="3" a="1"/>
  <c r="B197" i="3" s="1"/>
  <c r="C197" i="3" a="1"/>
  <c r="C197" i="3" s="1"/>
  <c r="D197" i="3" a="1"/>
  <c r="D197" i="3" s="1"/>
  <c r="E197" i="3" a="1"/>
  <c r="E197" i="3" s="1"/>
  <c r="F197" i="3" a="1"/>
  <c r="F197" i="3" s="1"/>
  <c r="G197" i="3" a="1"/>
  <c r="G197" i="3" s="1"/>
  <c r="J197" i="3" a="1"/>
  <c r="J197" i="3" s="1"/>
  <c r="B198" i="3" a="1"/>
  <c r="B198" i="3" s="1"/>
  <c r="C198" i="3" a="1"/>
  <c r="C198" i="3" s="1"/>
  <c r="D198" i="3" a="1"/>
  <c r="D198" i="3" s="1"/>
  <c r="E198" i="3" a="1"/>
  <c r="E198" i="3" s="1"/>
  <c r="F198" i="3" a="1"/>
  <c r="F198" i="3" s="1"/>
  <c r="G198" i="3" a="1"/>
  <c r="G198" i="3" s="1"/>
  <c r="J198" i="3" a="1"/>
  <c r="J198" i="3" s="1"/>
  <c r="B199" i="3" a="1"/>
  <c r="B199" i="3" s="1"/>
  <c r="C199" i="3" a="1"/>
  <c r="C199" i="3" s="1"/>
  <c r="D199" i="3" a="1"/>
  <c r="D199" i="3" s="1"/>
  <c r="E199" i="3" a="1"/>
  <c r="E199" i="3" s="1"/>
  <c r="F199" i="3" a="1"/>
  <c r="F199" i="3" s="1"/>
  <c r="G199" i="3" a="1"/>
  <c r="G199" i="3" s="1"/>
  <c r="J199" i="3" a="1"/>
  <c r="J199" i="3" s="1"/>
  <c r="B200" i="3" a="1"/>
  <c r="B200" i="3" s="1"/>
  <c r="C200" i="3" a="1"/>
  <c r="C200" i="3" s="1"/>
  <c r="D200" i="3" a="1"/>
  <c r="D200" i="3" s="1"/>
  <c r="E200" i="3" a="1"/>
  <c r="E200" i="3" s="1"/>
  <c r="F200" i="3" a="1"/>
  <c r="F200" i="3" s="1"/>
  <c r="G200" i="3" a="1"/>
  <c r="G200" i="3" s="1"/>
  <c r="J200" i="3" a="1"/>
  <c r="J200" i="3" s="1"/>
  <c r="B201" i="3" a="1"/>
  <c r="B201" i="3" s="1"/>
  <c r="C201" i="3" a="1"/>
  <c r="C201" i="3" s="1"/>
  <c r="D201" i="3" a="1"/>
  <c r="D201" i="3" s="1"/>
  <c r="E201" i="3" a="1"/>
  <c r="E201" i="3" s="1"/>
  <c r="F201" i="3" a="1"/>
  <c r="F201" i="3" s="1"/>
  <c r="G201" i="3" a="1"/>
  <c r="G201" i="3" s="1"/>
  <c r="J201" i="3" a="1"/>
  <c r="J201" i="3" s="1"/>
  <c r="B202" i="3" a="1"/>
  <c r="B202" i="3" s="1"/>
  <c r="C202" i="3" a="1"/>
  <c r="C202" i="3" s="1"/>
  <c r="D202" i="3" a="1"/>
  <c r="D202" i="3" s="1"/>
  <c r="E202" i="3" a="1"/>
  <c r="E202" i="3" s="1"/>
  <c r="F202" i="3" a="1"/>
  <c r="F202" i="3" s="1"/>
  <c r="G202" i="3" a="1"/>
  <c r="G202" i="3" s="1"/>
  <c r="J202" i="3" a="1"/>
  <c r="J202" i="3" s="1"/>
  <c r="B203" i="3" a="1"/>
  <c r="B203" i="3" s="1"/>
  <c r="C203" i="3" a="1"/>
  <c r="C203" i="3" s="1"/>
  <c r="D203" i="3" a="1"/>
  <c r="D203" i="3" s="1"/>
  <c r="E203" i="3" a="1"/>
  <c r="E203" i="3" s="1"/>
  <c r="F203" i="3" a="1"/>
  <c r="F203" i="3" s="1"/>
  <c r="G203" i="3" a="1"/>
  <c r="G203" i="3" s="1"/>
  <c r="J203" i="3" a="1"/>
  <c r="J203" i="3" s="1"/>
  <c r="B204" i="3" a="1"/>
  <c r="B204" i="3" s="1"/>
  <c r="C204" i="3" a="1"/>
  <c r="C204" i="3" s="1"/>
  <c r="D204" i="3" a="1"/>
  <c r="D204" i="3" s="1"/>
  <c r="E204" i="3" a="1"/>
  <c r="E204" i="3" s="1"/>
  <c r="F204" i="3" a="1"/>
  <c r="F204" i="3" s="1"/>
  <c r="G204" i="3" a="1"/>
  <c r="G204" i="3" s="1"/>
  <c r="J204" i="3" a="1"/>
  <c r="J204" i="3" s="1"/>
  <c r="B205" i="3" a="1"/>
  <c r="B205" i="3" s="1"/>
  <c r="C205" i="3" a="1"/>
  <c r="C205" i="3" s="1"/>
  <c r="D205" i="3" a="1"/>
  <c r="D205" i="3" s="1"/>
  <c r="E205" i="3" a="1"/>
  <c r="E205" i="3" s="1"/>
  <c r="F205" i="3" a="1"/>
  <c r="F205" i="3" s="1"/>
  <c r="G205" i="3" a="1"/>
  <c r="G205" i="3" s="1"/>
  <c r="J205" i="3" a="1"/>
  <c r="J205" i="3" s="1"/>
  <c r="B206" i="3" a="1"/>
  <c r="B206" i="3" s="1"/>
  <c r="C206" i="3" a="1"/>
  <c r="C206" i="3" s="1"/>
  <c r="D206" i="3" a="1"/>
  <c r="D206" i="3" s="1"/>
  <c r="E206" i="3" a="1"/>
  <c r="E206" i="3" s="1"/>
  <c r="F206" i="3" a="1"/>
  <c r="F206" i="3" s="1"/>
  <c r="G206" i="3" a="1"/>
  <c r="G206" i="3" s="1"/>
  <c r="J206" i="3" a="1"/>
  <c r="J206" i="3" s="1"/>
  <c r="B207" i="3" a="1"/>
  <c r="B207" i="3" s="1"/>
  <c r="C207" i="3" a="1"/>
  <c r="C207" i="3" s="1"/>
  <c r="D207" i="3" a="1"/>
  <c r="D207" i="3" s="1"/>
  <c r="E207" i="3" a="1"/>
  <c r="E207" i="3" s="1"/>
  <c r="F207" i="3" a="1"/>
  <c r="F207" i="3" s="1"/>
  <c r="G207" i="3" a="1"/>
  <c r="G207" i="3" s="1"/>
  <c r="J207" i="3" a="1"/>
  <c r="J207" i="3" s="1"/>
  <c r="B208" i="3" a="1"/>
  <c r="B208" i="3" s="1"/>
  <c r="C208" i="3" a="1"/>
  <c r="C208" i="3" s="1"/>
  <c r="D208" i="3" a="1"/>
  <c r="D208" i="3" s="1"/>
  <c r="E208" i="3" a="1"/>
  <c r="E208" i="3" s="1"/>
  <c r="F208" i="3" a="1"/>
  <c r="F208" i="3" s="1"/>
  <c r="G208" i="3" a="1"/>
  <c r="G208" i="3" s="1"/>
  <c r="J208" i="3" a="1"/>
  <c r="J208" i="3" s="1"/>
  <c r="B209" i="3" a="1"/>
  <c r="B209" i="3" s="1"/>
  <c r="C209" i="3" a="1"/>
  <c r="C209" i="3" s="1"/>
  <c r="D209" i="3" a="1"/>
  <c r="D209" i="3" s="1"/>
  <c r="E209" i="3" a="1"/>
  <c r="E209" i="3" s="1"/>
  <c r="F209" i="3" a="1"/>
  <c r="F209" i="3" s="1"/>
  <c r="G209" i="3" a="1"/>
  <c r="G209" i="3" s="1"/>
  <c r="J209" i="3" a="1"/>
  <c r="J209" i="3" s="1"/>
  <c r="B210" i="3" a="1"/>
  <c r="B210" i="3" s="1"/>
  <c r="C210" i="3" a="1"/>
  <c r="C210" i="3" s="1"/>
  <c r="D210" i="3" a="1"/>
  <c r="D210" i="3" s="1"/>
  <c r="E210" i="3" a="1"/>
  <c r="E210" i="3" s="1"/>
  <c r="F210" i="3" a="1"/>
  <c r="F210" i="3" s="1"/>
  <c r="G210" i="3" a="1"/>
  <c r="G210" i="3" s="1"/>
  <c r="J210" i="3" a="1"/>
  <c r="J210" i="3" s="1"/>
  <c r="B211" i="3" a="1"/>
  <c r="B211" i="3" s="1"/>
  <c r="C211" i="3" a="1"/>
  <c r="C211" i="3" s="1"/>
  <c r="D211" i="3" a="1"/>
  <c r="D211" i="3" s="1"/>
  <c r="E211" i="3" a="1"/>
  <c r="E211" i="3" s="1"/>
  <c r="F211" i="3" a="1"/>
  <c r="F211" i="3" s="1"/>
  <c r="G211" i="3" a="1"/>
  <c r="G211" i="3" s="1"/>
  <c r="J211" i="3" a="1"/>
  <c r="J211" i="3" s="1"/>
  <c r="B212" i="3" a="1"/>
  <c r="B212" i="3" s="1"/>
  <c r="C212" i="3" a="1"/>
  <c r="C212" i="3" s="1"/>
  <c r="D212" i="3" a="1"/>
  <c r="D212" i="3" s="1"/>
  <c r="E212" i="3" a="1"/>
  <c r="E212" i="3" s="1"/>
  <c r="F212" i="3" a="1"/>
  <c r="F212" i="3" s="1"/>
  <c r="G212" i="3" a="1"/>
  <c r="G212" i="3" s="1"/>
  <c r="J212" i="3" a="1"/>
  <c r="J212" i="3" s="1"/>
  <c r="B213" i="3" a="1"/>
  <c r="B213" i="3" s="1"/>
  <c r="C213" i="3" a="1"/>
  <c r="C213" i="3" s="1"/>
  <c r="D213" i="3" a="1"/>
  <c r="D213" i="3" s="1"/>
  <c r="E213" i="3" a="1"/>
  <c r="E213" i="3" s="1"/>
  <c r="F213" i="3" a="1"/>
  <c r="F213" i="3" s="1"/>
  <c r="G213" i="3" a="1"/>
  <c r="G213" i="3" s="1"/>
  <c r="J213" i="3" a="1"/>
  <c r="J213" i="3" s="1"/>
  <c r="B214" i="3" a="1"/>
  <c r="B214" i="3" s="1"/>
  <c r="C214" i="3" a="1"/>
  <c r="C214" i="3" s="1"/>
  <c r="D214" i="3" a="1"/>
  <c r="D214" i="3" s="1"/>
  <c r="E214" i="3" a="1"/>
  <c r="E214" i="3" s="1"/>
  <c r="F214" i="3" a="1"/>
  <c r="F214" i="3" s="1"/>
  <c r="G214" i="3" a="1"/>
  <c r="G214" i="3" s="1"/>
  <c r="J214" i="3" a="1"/>
  <c r="J214" i="3" s="1"/>
  <c r="B215" i="3" a="1"/>
  <c r="B215" i="3" s="1"/>
  <c r="C215" i="3" a="1"/>
  <c r="C215" i="3" s="1"/>
  <c r="D215" i="3" a="1"/>
  <c r="D215" i="3" s="1"/>
  <c r="E215" i="3" a="1"/>
  <c r="E215" i="3" s="1"/>
  <c r="F215" i="3" a="1"/>
  <c r="F215" i="3" s="1"/>
  <c r="G215" i="3" a="1"/>
  <c r="G215" i="3" s="1"/>
  <c r="J215" i="3" a="1"/>
  <c r="J215" i="3" s="1"/>
  <c r="B216" i="3" a="1"/>
  <c r="B216" i="3" s="1"/>
  <c r="C216" i="3" a="1"/>
  <c r="C216" i="3" s="1"/>
  <c r="D216" i="3" a="1"/>
  <c r="D216" i="3" s="1"/>
  <c r="E216" i="3" a="1"/>
  <c r="E216" i="3" s="1"/>
  <c r="F216" i="3" a="1"/>
  <c r="F216" i="3" s="1"/>
  <c r="G216" i="3" a="1"/>
  <c r="G216" i="3" s="1"/>
  <c r="J216" i="3" a="1"/>
  <c r="J216" i="3" s="1"/>
  <c r="B217" i="3" a="1"/>
  <c r="B217" i="3" s="1"/>
  <c r="C217" i="3" a="1"/>
  <c r="C217" i="3" s="1"/>
  <c r="D217" i="3" a="1"/>
  <c r="D217" i="3" s="1"/>
  <c r="E217" i="3" a="1"/>
  <c r="E217" i="3" s="1"/>
  <c r="F217" i="3" a="1"/>
  <c r="F217" i="3" s="1"/>
  <c r="G217" i="3" a="1"/>
  <c r="G217" i="3" s="1"/>
  <c r="J217" i="3" a="1"/>
  <c r="J217" i="3" s="1"/>
  <c r="B218" i="3" a="1"/>
  <c r="B218" i="3" s="1"/>
  <c r="C218" i="3" a="1"/>
  <c r="C218" i="3" s="1"/>
  <c r="D218" i="3" a="1"/>
  <c r="D218" i="3" s="1"/>
  <c r="E218" i="3" a="1"/>
  <c r="E218" i="3" s="1"/>
  <c r="F218" i="3" a="1"/>
  <c r="F218" i="3" s="1"/>
  <c r="G218" i="3" a="1"/>
  <c r="G218" i="3" s="1"/>
  <c r="J218" i="3" a="1"/>
  <c r="J218" i="3" s="1"/>
  <c r="B219" i="3" a="1"/>
  <c r="B219" i="3" s="1"/>
  <c r="C219" i="3" a="1"/>
  <c r="C219" i="3" s="1"/>
  <c r="D219" i="3" a="1"/>
  <c r="D219" i="3" s="1"/>
  <c r="E219" i="3" a="1"/>
  <c r="E219" i="3" s="1"/>
  <c r="F219" i="3" a="1"/>
  <c r="F219" i="3" s="1"/>
  <c r="G219" i="3" a="1"/>
  <c r="G219" i="3" s="1"/>
  <c r="J219" i="3" a="1"/>
  <c r="J219" i="3" s="1"/>
  <c r="B220" i="3" a="1"/>
  <c r="B220" i="3" s="1"/>
  <c r="C220" i="3" a="1"/>
  <c r="C220" i="3" s="1"/>
  <c r="D220" i="3" a="1"/>
  <c r="D220" i="3" s="1"/>
  <c r="E220" i="3" a="1"/>
  <c r="E220" i="3" s="1"/>
  <c r="F220" i="3" a="1"/>
  <c r="F220" i="3" s="1"/>
  <c r="G220" i="3" a="1"/>
  <c r="G220" i="3" s="1"/>
  <c r="J220" i="3" a="1"/>
  <c r="J220" i="3" s="1"/>
  <c r="B221" i="3" a="1"/>
  <c r="B221" i="3" s="1"/>
  <c r="C221" i="3" a="1"/>
  <c r="C221" i="3" s="1"/>
  <c r="D221" i="3" a="1"/>
  <c r="D221" i="3" s="1"/>
  <c r="E221" i="3" a="1"/>
  <c r="E221" i="3" s="1"/>
  <c r="F221" i="3" a="1"/>
  <c r="F221" i="3" s="1"/>
  <c r="G221" i="3" a="1"/>
  <c r="G221" i="3" s="1"/>
  <c r="J221" i="3" a="1"/>
  <c r="J221" i="3" s="1"/>
  <c r="B222" i="3" a="1"/>
  <c r="B222" i="3" s="1"/>
  <c r="C222" i="3" a="1"/>
  <c r="C222" i="3" s="1"/>
  <c r="D222" i="3" a="1"/>
  <c r="D222" i="3" s="1"/>
  <c r="E222" i="3" a="1"/>
  <c r="E222" i="3" s="1"/>
  <c r="F222" i="3" a="1"/>
  <c r="F222" i="3" s="1"/>
  <c r="G222" i="3" a="1"/>
  <c r="G222" i="3" s="1"/>
  <c r="J222" i="3" a="1"/>
  <c r="J222" i="3" s="1"/>
  <c r="B223" i="3" a="1"/>
  <c r="B223" i="3" s="1"/>
  <c r="C223" i="3" a="1"/>
  <c r="C223" i="3" s="1"/>
  <c r="D223" i="3" a="1"/>
  <c r="D223" i="3" s="1"/>
  <c r="E223" i="3" a="1"/>
  <c r="E223" i="3" s="1"/>
  <c r="F223" i="3" a="1"/>
  <c r="F223" i="3" s="1"/>
  <c r="G223" i="3" a="1"/>
  <c r="G223" i="3" s="1"/>
  <c r="J223" i="3" a="1"/>
  <c r="J223" i="3" s="1"/>
  <c r="B224" i="3" a="1"/>
  <c r="B224" i="3" s="1"/>
  <c r="C224" i="3" a="1"/>
  <c r="C224" i="3" s="1"/>
  <c r="D224" i="3" a="1"/>
  <c r="D224" i="3" s="1"/>
  <c r="E224" i="3" a="1"/>
  <c r="E224" i="3" s="1"/>
  <c r="F224" i="3" a="1"/>
  <c r="F224" i="3" s="1"/>
  <c r="G224" i="3" a="1"/>
  <c r="G224" i="3" s="1"/>
  <c r="J224" i="3" a="1"/>
  <c r="J224" i="3" s="1"/>
  <c r="B225" i="3" a="1"/>
  <c r="B225" i="3" s="1"/>
  <c r="C225" i="3" a="1"/>
  <c r="C225" i="3" s="1"/>
  <c r="D225" i="3" a="1"/>
  <c r="D225" i="3" s="1"/>
  <c r="E225" i="3" a="1"/>
  <c r="E225" i="3" s="1"/>
  <c r="F225" i="3" a="1"/>
  <c r="F225" i="3" s="1"/>
  <c r="G225" i="3" a="1"/>
  <c r="G225" i="3" s="1"/>
  <c r="J225" i="3" a="1"/>
  <c r="J225" i="3" s="1"/>
  <c r="B226" i="3" a="1"/>
  <c r="B226" i="3" s="1"/>
  <c r="C226" i="3" a="1"/>
  <c r="C226" i="3" s="1"/>
  <c r="D226" i="3" a="1"/>
  <c r="D226" i="3" s="1"/>
  <c r="E226" i="3" a="1"/>
  <c r="E226" i="3" s="1"/>
  <c r="F226" i="3" a="1"/>
  <c r="F226" i="3" s="1"/>
  <c r="G226" i="3" a="1"/>
  <c r="G226" i="3" s="1"/>
  <c r="J226" i="3" a="1"/>
  <c r="J226" i="3" s="1"/>
  <c r="B227" i="3" a="1"/>
  <c r="B227" i="3" s="1"/>
  <c r="C227" i="3" a="1"/>
  <c r="C227" i="3" s="1"/>
  <c r="D227" i="3" a="1"/>
  <c r="D227" i="3" s="1"/>
  <c r="E227" i="3" a="1"/>
  <c r="E227" i="3" s="1"/>
  <c r="F227" i="3" a="1"/>
  <c r="F227" i="3" s="1"/>
  <c r="G227" i="3" a="1"/>
  <c r="G227" i="3" s="1"/>
  <c r="J227" i="3" a="1"/>
  <c r="J227" i="3" s="1"/>
  <c r="B228" i="3" a="1"/>
  <c r="B228" i="3" s="1"/>
  <c r="C228" i="3" a="1"/>
  <c r="C228" i="3" s="1"/>
  <c r="D228" i="3" a="1"/>
  <c r="D228" i="3" s="1"/>
  <c r="E228" i="3" a="1"/>
  <c r="E228" i="3" s="1"/>
  <c r="F228" i="3" a="1"/>
  <c r="F228" i="3" s="1"/>
  <c r="G228" i="3" a="1"/>
  <c r="G228" i="3" s="1"/>
  <c r="J228" i="3" a="1"/>
  <c r="J228" i="3" s="1"/>
  <c r="B229" i="3" a="1"/>
  <c r="B229" i="3" s="1"/>
  <c r="C229" i="3" a="1"/>
  <c r="C229" i="3" s="1"/>
  <c r="D229" i="3" a="1"/>
  <c r="D229" i="3" s="1"/>
  <c r="E229" i="3" a="1"/>
  <c r="E229" i="3" s="1"/>
  <c r="F229" i="3" a="1"/>
  <c r="F229" i="3" s="1"/>
  <c r="G229" i="3" a="1"/>
  <c r="G229" i="3" s="1"/>
  <c r="J229" i="3" a="1"/>
  <c r="J229" i="3" s="1"/>
  <c r="B230" i="3" a="1"/>
  <c r="B230" i="3" s="1"/>
  <c r="C230" i="3" a="1"/>
  <c r="C230" i="3" s="1"/>
  <c r="D230" i="3" a="1"/>
  <c r="D230" i="3" s="1"/>
  <c r="E230" i="3" a="1"/>
  <c r="E230" i="3" s="1"/>
  <c r="F230" i="3" a="1"/>
  <c r="F230" i="3" s="1"/>
  <c r="G230" i="3" a="1"/>
  <c r="G230" i="3" s="1"/>
  <c r="J230" i="3" a="1"/>
  <c r="J230" i="3" s="1"/>
  <c r="B231" i="3" a="1"/>
  <c r="B231" i="3" s="1"/>
  <c r="C231" i="3" a="1"/>
  <c r="C231" i="3" s="1"/>
  <c r="D231" i="3" a="1"/>
  <c r="D231" i="3" s="1"/>
  <c r="E231" i="3" a="1"/>
  <c r="E231" i="3" s="1"/>
  <c r="F231" i="3" a="1"/>
  <c r="F231" i="3" s="1"/>
  <c r="G231" i="3" a="1"/>
  <c r="G231" i="3" s="1"/>
  <c r="J231" i="3" a="1"/>
  <c r="J231" i="3" s="1"/>
  <c r="B232" i="3" a="1"/>
  <c r="B232" i="3" s="1"/>
  <c r="C232" i="3" a="1"/>
  <c r="C232" i="3" s="1"/>
  <c r="D232" i="3" a="1"/>
  <c r="D232" i="3" s="1"/>
  <c r="E232" i="3" a="1"/>
  <c r="E232" i="3" s="1"/>
  <c r="F232" i="3" a="1"/>
  <c r="F232" i="3" s="1"/>
  <c r="G232" i="3" a="1"/>
  <c r="G232" i="3" s="1"/>
  <c r="J232" i="3" a="1"/>
  <c r="J232" i="3" s="1"/>
  <c r="B233" i="3" a="1"/>
  <c r="B233" i="3" s="1"/>
  <c r="C233" i="3" a="1"/>
  <c r="C233" i="3" s="1"/>
  <c r="D233" i="3" a="1"/>
  <c r="D233" i="3" s="1"/>
  <c r="E233" i="3" a="1"/>
  <c r="E233" i="3" s="1"/>
  <c r="F233" i="3" a="1"/>
  <c r="F233" i="3" s="1"/>
  <c r="G233" i="3" a="1"/>
  <c r="G233" i="3" s="1"/>
  <c r="J233" i="3" a="1"/>
  <c r="J233" i="3" s="1"/>
  <c r="B234" i="3" a="1"/>
  <c r="B234" i="3" s="1"/>
  <c r="C234" i="3" a="1"/>
  <c r="C234" i="3" s="1"/>
  <c r="D234" i="3" a="1"/>
  <c r="D234" i="3" s="1"/>
  <c r="E234" i="3" a="1"/>
  <c r="E234" i="3" s="1"/>
  <c r="F234" i="3" a="1"/>
  <c r="F234" i="3" s="1"/>
  <c r="G234" i="3" a="1"/>
  <c r="G234" i="3" s="1"/>
  <c r="J234" i="3" a="1"/>
  <c r="J234" i="3" s="1"/>
  <c r="B235" i="3" a="1"/>
  <c r="B235" i="3" s="1"/>
  <c r="C235" i="3" a="1"/>
  <c r="C235" i="3" s="1"/>
  <c r="D235" i="3" a="1"/>
  <c r="D235" i="3" s="1"/>
  <c r="E235" i="3" a="1"/>
  <c r="E235" i="3" s="1"/>
  <c r="F235" i="3" a="1"/>
  <c r="F235" i="3" s="1"/>
  <c r="G235" i="3" a="1"/>
  <c r="G235" i="3" s="1"/>
  <c r="J235" i="3" a="1"/>
  <c r="J235" i="3" s="1"/>
  <c r="B236" i="3" a="1"/>
  <c r="B236" i="3" s="1"/>
  <c r="C236" i="3" a="1"/>
  <c r="C236" i="3" s="1"/>
  <c r="D236" i="3" a="1"/>
  <c r="D236" i="3" s="1"/>
  <c r="E236" i="3" a="1"/>
  <c r="E236" i="3" s="1"/>
  <c r="F236" i="3" a="1"/>
  <c r="F236" i="3" s="1"/>
  <c r="G236" i="3" a="1"/>
  <c r="G236" i="3" s="1"/>
  <c r="J236" i="3" a="1"/>
  <c r="J236" i="3" s="1"/>
  <c r="B237" i="3" a="1"/>
  <c r="B237" i="3" s="1"/>
  <c r="C237" i="3" a="1"/>
  <c r="C237" i="3" s="1"/>
  <c r="D237" i="3" a="1"/>
  <c r="D237" i="3" s="1"/>
  <c r="E237" i="3" a="1"/>
  <c r="E237" i="3" s="1"/>
  <c r="F237" i="3" a="1"/>
  <c r="F237" i="3" s="1"/>
  <c r="G237" i="3" a="1"/>
  <c r="G237" i="3" s="1"/>
  <c r="J237" i="3" a="1"/>
  <c r="J237" i="3" s="1"/>
  <c r="B238" i="3" a="1"/>
  <c r="B238" i="3" s="1"/>
  <c r="C238" i="3" a="1"/>
  <c r="C238" i="3" s="1"/>
  <c r="D238" i="3" a="1"/>
  <c r="D238" i="3" s="1"/>
  <c r="E238" i="3" a="1"/>
  <c r="E238" i="3" s="1"/>
  <c r="F238" i="3" a="1"/>
  <c r="F238" i="3" s="1"/>
  <c r="G238" i="3" a="1"/>
  <c r="G238" i="3" s="1"/>
  <c r="J238" i="3" a="1"/>
  <c r="J238" i="3" s="1"/>
  <c r="B239" i="3" a="1"/>
  <c r="B239" i="3" s="1"/>
  <c r="C239" i="3" a="1"/>
  <c r="C239" i="3" s="1"/>
  <c r="D239" i="3" a="1"/>
  <c r="D239" i="3" s="1"/>
  <c r="E239" i="3" a="1"/>
  <c r="E239" i="3" s="1"/>
  <c r="F239" i="3" a="1"/>
  <c r="F239" i="3" s="1"/>
  <c r="G239" i="3" a="1"/>
  <c r="G239" i="3" s="1"/>
  <c r="J239" i="3" a="1"/>
  <c r="J239" i="3" s="1"/>
  <c r="B240" i="3" a="1"/>
  <c r="B240" i="3" s="1"/>
  <c r="C240" i="3" a="1"/>
  <c r="C240" i="3" s="1"/>
  <c r="D240" i="3" a="1"/>
  <c r="D240" i="3" s="1"/>
  <c r="E240" i="3" a="1"/>
  <c r="E240" i="3" s="1"/>
  <c r="F240" i="3" a="1"/>
  <c r="F240" i="3" s="1"/>
  <c r="G240" i="3" a="1"/>
  <c r="G240" i="3" s="1"/>
  <c r="J240" i="3" a="1"/>
  <c r="J240" i="3" s="1"/>
  <c r="B241" i="3" a="1"/>
  <c r="B241" i="3" s="1"/>
  <c r="C241" i="3" a="1"/>
  <c r="C241" i="3" s="1"/>
  <c r="D241" i="3" a="1"/>
  <c r="D241" i="3" s="1"/>
  <c r="E241" i="3" a="1"/>
  <c r="E241" i="3" s="1"/>
  <c r="F241" i="3" a="1"/>
  <c r="F241" i="3" s="1"/>
  <c r="G241" i="3" a="1"/>
  <c r="G241" i="3" s="1"/>
  <c r="J241" i="3" a="1"/>
  <c r="J241" i="3" s="1"/>
  <c r="B242" i="3" a="1"/>
  <c r="B242" i="3" s="1"/>
  <c r="C242" i="3" a="1"/>
  <c r="C242" i="3" s="1"/>
  <c r="D242" i="3" a="1"/>
  <c r="D242" i="3" s="1"/>
  <c r="E242" i="3" a="1"/>
  <c r="E242" i="3" s="1"/>
  <c r="F242" i="3" a="1"/>
  <c r="F242" i="3" s="1"/>
  <c r="G242" i="3" a="1"/>
  <c r="G242" i="3" s="1"/>
  <c r="J242" i="3" a="1"/>
  <c r="J242" i="3" s="1"/>
  <c r="B243" i="3" a="1"/>
  <c r="B243" i="3" s="1"/>
  <c r="C243" i="3" a="1"/>
  <c r="C243" i="3" s="1"/>
  <c r="D243" i="3" a="1"/>
  <c r="D243" i="3" s="1"/>
  <c r="E243" i="3" a="1"/>
  <c r="E243" i="3" s="1"/>
  <c r="F243" i="3" a="1"/>
  <c r="F243" i="3" s="1"/>
  <c r="G243" i="3" a="1"/>
  <c r="G243" i="3" s="1"/>
  <c r="J243" i="3" a="1"/>
  <c r="J243" i="3" s="1"/>
  <c r="B244" i="3" a="1"/>
  <c r="B244" i="3" s="1"/>
  <c r="C244" i="3" a="1"/>
  <c r="C244" i="3" s="1"/>
  <c r="D244" i="3" a="1"/>
  <c r="D244" i="3" s="1"/>
  <c r="E244" i="3" a="1"/>
  <c r="E244" i="3" s="1"/>
  <c r="F244" i="3" a="1"/>
  <c r="F244" i="3" s="1"/>
  <c r="G244" i="3" a="1"/>
  <c r="G244" i="3" s="1"/>
  <c r="J244" i="3" a="1"/>
  <c r="J244" i="3" s="1"/>
  <c r="B245" i="3" a="1"/>
  <c r="B245" i="3" s="1"/>
  <c r="C245" i="3" a="1"/>
  <c r="C245" i="3" s="1"/>
  <c r="D245" i="3" a="1"/>
  <c r="D245" i="3" s="1"/>
  <c r="E245" i="3" a="1"/>
  <c r="E245" i="3" s="1"/>
  <c r="F245" i="3" a="1"/>
  <c r="F245" i="3" s="1"/>
  <c r="G245" i="3" a="1"/>
  <c r="G245" i="3" s="1"/>
  <c r="J245" i="3" a="1"/>
  <c r="J245" i="3" s="1"/>
  <c r="B246" i="3" a="1"/>
  <c r="B246" i="3" s="1"/>
  <c r="C246" i="3" a="1"/>
  <c r="C246" i="3" s="1"/>
  <c r="D246" i="3" a="1"/>
  <c r="D246" i="3" s="1"/>
  <c r="E246" i="3" a="1"/>
  <c r="E246" i="3" s="1"/>
  <c r="F246" i="3" a="1"/>
  <c r="F246" i="3" s="1"/>
  <c r="G246" i="3" a="1"/>
  <c r="G246" i="3" s="1"/>
  <c r="J246" i="3" a="1"/>
  <c r="J246" i="3" s="1"/>
  <c r="B247" i="3" a="1"/>
  <c r="B247" i="3" s="1"/>
  <c r="C247" i="3" a="1"/>
  <c r="C247" i="3" s="1"/>
  <c r="D247" i="3" a="1"/>
  <c r="D247" i="3" s="1"/>
  <c r="E247" i="3" a="1"/>
  <c r="E247" i="3" s="1"/>
  <c r="F247" i="3" a="1"/>
  <c r="F247" i="3" s="1"/>
  <c r="G247" i="3" a="1"/>
  <c r="G247" i="3" s="1"/>
  <c r="J247" i="3" a="1"/>
  <c r="J247" i="3" s="1"/>
  <c r="B248" i="3" a="1"/>
  <c r="B248" i="3" s="1"/>
  <c r="C248" i="3" a="1"/>
  <c r="C248" i="3" s="1"/>
  <c r="D248" i="3" a="1"/>
  <c r="D248" i="3" s="1"/>
  <c r="E248" i="3" a="1"/>
  <c r="E248" i="3" s="1"/>
  <c r="F248" i="3" a="1"/>
  <c r="F248" i="3" s="1"/>
  <c r="G248" i="3" a="1"/>
  <c r="G248" i="3" s="1"/>
  <c r="J248" i="3" a="1"/>
  <c r="J248" i="3" s="1"/>
  <c r="B249" i="3" a="1"/>
  <c r="B249" i="3" s="1"/>
  <c r="C249" i="3" a="1"/>
  <c r="C249" i="3" s="1"/>
  <c r="D249" i="3" a="1"/>
  <c r="D249" i="3" s="1"/>
  <c r="E249" i="3" a="1"/>
  <c r="E249" i="3" s="1"/>
  <c r="F249" i="3" a="1"/>
  <c r="F249" i="3" s="1"/>
  <c r="G249" i="3" a="1"/>
  <c r="G249" i="3" s="1"/>
  <c r="J249" i="3" a="1"/>
  <c r="J249" i="3" s="1"/>
  <c r="B250" i="3" a="1"/>
  <c r="B250" i="3" s="1"/>
  <c r="C250" i="3" a="1"/>
  <c r="C250" i="3" s="1"/>
  <c r="D250" i="3" a="1"/>
  <c r="D250" i="3" s="1"/>
  <c r="E250" i="3" a="1"/>
  <c r="E250" i="3" s="1"/>
  <c r="F250" i="3" a="1"/>
  <c r="F250" i="3" s="1"/>
  <c r="G250" i="3" a="1"/>
  <c r="G250" i="3" s="1"/>
  <c r="J250" i="3" a="1"/>
  <c r="J250" i="3" s="1"/>
  <c r="B251" i="3" a="1"/>
  <c r="B251" i="3" s="1"/>
  <c r="C251" i="3" a="1"/>
  <c r="C251" i="3" s="1"/>
  <c r="D251" i="3" a="1"/>
  <c r="D251" i="3" s="1"/>
  <c r="E251" i="3" a="1"/>
  <c r="E251" i="3" s="1"/>
  <c r="F251" i="3" a="1"/>
  <c r="F251" i="3" s="1"/>
  <c r="G251" i="3" a="1"/>
  <c r="G251" i="3" s="1"/>
  <c r="J251" i="3" a="1"/>
  <c r="J251" i="3" s="1"/>
  <c r="B252" i="3" a="1"/>
  <c r="B252" i="3" s="1"/>
  <c r="C252" i="3" a="1"/>
  <c r="C252" i="3" s="1"/>
  <c r="D252" i="3" a="1"/>
  <c r="D252" i="3" s="1"/>
  <c r="E252" i="3" a="1"/>
  <c r="E252" i="3" s="1"/>
  <c r="F252" i="3" a="1"/>
  <c r="F252" i="3" s="1"/>
  <c r="G252" i="3" a="1"/>
  <c r="G252" i="3" s="1"/>
  <c r="J252" i="3" a="1"/>
  <c r="J252" i="3" s="1"/>
  <c r="B253" i="3" a="1"/>
  <c r="B253" i="3" s="1"/>
  <c r="C253" i="3" a="1"/>
  <c r="C253" i="3" s="1"/>
  <c r="D253" i="3" a="1"/>
  <c r="D253" i="3" s="1"/>
  <c r="E253" i="3" a="1"/>
  <c r="E253" i="3" s="1"/>
  <c r="F253" i="3" a="1"/>
  <c r="F253" i="3" s="1"/>
  <c r="G253" i="3" a="1"/>
  <c r="G253" i="3" s="1"/>
  <c r="J253" i="3" a="1"/>
  <c r="J253" i="3" s="1"/>
  <c r="B254" i="3" a="1"/>
  <c r="B254" i="3" s="1"/>
  <c r="C254" i="3" a="1"/>
  <c r="C254" i="3" s="1"/>
  <c r="D254" i="3" a="1"/>
  <c r="D254" i="3" s="1"/>
  <c r="E254" i="3" a="1"/>
  <c r="E254" i="3" s="1"/>
  <c r="F254" i="3" a="1"/>
  <c r="F254" i="3" s="1"/>
  <c r="G254" i="3" a="1"/>
  <c r="G254" i="3" s="1"/>
  <c r="J254" i="3" a="1"/>
  <c r="J254" i="3" s="1"/>
  <c r="B255" i="3" a="1"/>
  <c r="B255" i="3" s="1"/>
  <c r="C255" i="3" a="1"/>
  <c r="C255" i="3" s="1"/>
  <c r="D255" i="3" a="1"/>
  <c r="D255" i="3" s="1"/>
  <c r="E255" i="3" a="1"/>
  <c r="E255" i="3" s="1"/>
  <c r="F255" i="3" a="1"/>
  <c r="F255" i="3" s="1"/>
  <c r="G255" i="3" a="1"/>
  <c r="G255" i="3" s="1"/>
  <c r="J255" i="3" a="1"/>
  <c r="J255" i="3" s="1"/>
  <c r="B256" i="3" a="1"/>
  <c r="B256" i="3" s="1"/>
  <c r="C256" i="3" a="1"/>
  <c r="C256" i="3" s="1"/>
  <c r="D256" i="3" a="1"/>
  <c r="D256" i="3" s="1"/>
  <c r="E256" i="3" a="1"/>
  <c r="E256" i="3" s="1"/>
  <c r="F256" i="3" a="1"/>
  <c r="F256" i="3" s="1"/>
  <c r="G256" i="3" a="1"/>
  <c r="G256" i="3" s="1"/>
  <c r="J256" i="3" a="1"/>
  <c r="J256" i="3" s="1"/>
  <c r="B257" i="3" a="1"/>
  <c r="B257" i="3" s="1"/>
  <c r="C257" i="3" a="1"/>
  <c r="C257" i="3" s="1"/>
  <c r="D257" i="3" a="1"/>
  <c r="D257" i="3" s="1"/>
  <c r="E257" i="3" a="1"/>
  <c r="E257" i="3" s="1"/>
  <c r="F257" i="3" a="1"/>
  <c r="F257" i="3" s="1"/>
  <c r="G257" i="3" a="1"/>
  <c r="G257" i="3" s="1"/>
  <c r="J257" i="3" a="1"/>
  <c r="J257" i="3" s="1"/>
  <c r="B258" i="3" a="1"/>
  <c r="B258" i="3" s="1"/>
  <c r="C258" i="3" a="1"/>
  <c r="C258" i="3" s="1"/>
  <c r="D258" i="3" a="1"/>
  <c r="D258" i="3" s="1"/>
  <c r="E258" i="3" a="1"/>
  <c r="E258" i="3" s="1"/>
  <c r="F258" i="3" a="1"/>
  <c r="F258" i="3" s="1"/>
  <c r="G258" i="3" a="1"/>
  <c r="G258" i="3" s="1"/>
  <c r="J258" i="3" a="1"/>
  <c r="J258" i="3" s="1"/>
  <c r="B259" i="3" a="1"/>
  <c r="B259" i="3" s="1"/>
  <c r="C259" i="3" a="1"/>
  <c r="C259" i="3" s="1"/>
  <c r="D259" i="3" a="1"/>
  <c r="D259" i="3" s="1"/>
  <c r="E259" i="3" a="1"/>
  <c r="E259" i="3" s="1"/>
  <c r="F259" i="3" a="1"/>
  <c r="F259" i="3" s="1"/>
  <c r="G259" i="3" a="1"/>
  <c r="G259" i="3" s="1"/>
  <c r="J259" i="3" a="1"/>
  <c r="J259" i="3" s="1"/>
  <c r="B260" i="3" a="1"/>
  <c r="B260" i="3" s="1"/>
  <c r="C260" i="3" a="1"/>
  <c r="C260" i="3" s="1"/>
  <c r="D260" i="3" a="1"/>
  <c r="D260" i="3" s="1"/>
  <c r="E260" i="3" a="1"/>
  <c r="E260" i="3" s="1"/>
  <c r="F260" i="3" a="1"/>
  <c r="F260" i="3" s="1"/>
  <c r="G260" i="3" a="1"/>
  <c r="G260" i="3" s="1"/>
  <c r="J260" i="3" a="1"/>
  <c r="J260" i="3" s="1"/>
  <c r="B261" i="3" a="1"/>
  <c r="B261" i="3" s="1"/>
  <c r="C261" i="3" a="1"/>
  <c r="C261" i="3" s="1"/>
  <c r="D261" i="3" a="1"/>
  <c r="D261" i="3" s="1"/>
  <c r="E261" i="3" a="1"/>
  <c r="E261" i="3" s="1"/>
  <c r="F261" i="3" a="1"/>
  <c r="F261" i="3" s="1"/>
  <c r="G261" i="3" a="1"/>
  <c r="G261" i="3" s="1"/>
  <c r="J261" i="3" a="1"/>
  <c r="J261" i="3" s="1"/>
  <c r="B262" i="3" a="1"/>
  <c r="B262" i="3" s="1"/>
  <c r="C262" i="3" a="1"/>
  <c r="C262" i="3" s="1"/>
  <c r="D262" i="3" a="1"/>
  <c r="D262" i="3" s="1"/>
  <c r="E262" i="3" a="1"/>
  <c r="E262" i="3" s="1"/>
  <c r="F262" i="3" a="1"/>
  <c r="F262" i="3" s="1"/>
  <c r="G262" i="3" a="1"/>
  <c r="G262" i="3" s="1"/>
  <c r="J262" i="3" a="1"/>
  <c r="J262" i="3" s="1"/>
  <c r="B263" i="3" a="1"/>
  <c r="B263" i="3" s="1"/>
  <c r="C263" i="3" a="1"/>
  <c r="C263" i="3" s="1"/>
  <c r="D263" i="3" a="1"/>
  <c r="D263" i="3" s="1"/>
  <c r="E263" i="3" a="1"/>
  <c r="E263" i="3" s="1"/>
  <c r="F263" i="3" a="1"/>
  <c r="F263" i="3" s="1"/>
  <c r="G263" i="3" a="1"/>
  <c r="G263" i="3" s="1"/>
  <c r="J263" i="3" a="1"/>
  <c r="J263" i="3" s="1"/>
  <c r="B264" i="3" a="1"/>
  <c r="B264" i="3" s="1"/>
  <c r="C264" i="3" a="1"/>
  <c r="C264" i="3" s="1"/>
  <c r="D264" i="3" a="1"/>
  <c r="D264" i="3" s="1"/>
  <c r="E264" i="3" a="1"/>
  <c r="E264" i="3" s="1"/>
  <c r="F264" i="3" a="1"/>
  <c r="F264" i="3" s="1"/>
  <c r="G264" i="3" a="1"/>
  <c r="G264" i="3" s="1"/>
  <c r="J264" i="3" a="1"/>
  <c r="J264" i="3" s="1"/>
  <c r="B265" i="3" a="1"/>
  <c r="B265" i="3" s="1"/>
  <c r="C265" i="3" a="1"/>
  <c r="C265" i="3" s="1"/>
  <c r="D265" i="3" a="1"/>
  <c r="D265" i="3" s="1"/>
  <c r="E265" i="3" a="1"/>
  <c r="E265" i="3" s="1"/>
  <c r="F265" i="3" a="1"/>
  <c r="F265" i="3" s="1"/>
  <c r="G265" i="3" a="1"/>
  <c r="G265" i="3" s="1"/>
  <c r="J265" i="3" a="1"/>
  <c r="J265" i="3" s="1"/>
  <c r="B266" i="3" a="1"/>
  <c r="B266" i="3" s="1"/>
  <c r="C266" i="3" a="1"/>
  <c r="C266" i="3" s="1"/>
  <c r="D266" i="3" a="1"/>
  <c r="D266" i="3" s="1"/>
  <c r="E266" i="3" a="1"/>
  <c r="E266" i="3" s="1"/>
  <c r="F266" i="3" a="1"/>
  <c r="F266" i="3" s="1"/>
  <c r="G266" i="3" a="1"/>
  <c r="G266" i="3" s="1"/>
  <c r="J266" i="3" a="1"/>
  <c r="J266" i="3" s="1"/>
  <c r="B267" i="3" a="1"/>
  <c r="B267" i="3" s="1"/>
  <c r="C267" i="3" a="1"/>
  <c r="C267" i="3" s="1"/>
  <c r="D267" i="3" a="1"/>
  <c r="D267" i="3" s="1"/>
  <c r="E267" i="3" a="1"/>
  <c r="E267" i="3" s="1"/>
  <c r="F267" i="3" a="1"/>
  <c r="F267" i="3" s="1"/>
  <c r="G267" i="3" a="1"/>
  <c r="G267" i="3" s="1"/>
  <c r="J267" i="3" a="1"/>
  <c r="J267" i="3" s="1"/>
  <c r="B268" i="3" a="1"/>
  <c r="B268" i="3" s="1"/>
  <c r="C268" i="3" a="1"/>
  <c r="C268" i="3" s="1"/>
  <c r="D268" i="3" a="1"/>
  <c r="D268" i="3" s="1"/>
  <c r="E268" i="3" a="1"/>
  <c r="E268" i="3" s="1"/>
  <c r="F268" i="3" a="1"/>
  <c r="F268" i="3" s="1"/>
  <c r="G268" i="3" a="1"/>
  <c r="G268" i="3" s="1"/>
  <c r="J268" i="3" a="1"/>
  <c r="J268" i="3" s="1"/>
  <c r="B269" i="3" a="1"/>
  <c r="B269" i="3" s="1"/>
  <c r="C269" i="3" a="1"/>
  <c r="C269" i="3" s="1"/>
  <c r="D269" i="3" a="1"/>
  <c r="D269" i="3" s="1"/>
  <c r="E269" i="3" a="1"/>
  <c r="E269" i="3" s="1"/>
  <c r="F269" i="3" a="1"/>
  <c r="F269" i="3" s="1"/>
  <c r="G269" i="3" a="1"/>
  <c r="G269" i="3" s="1"/>
  <c r="J269" i="3" a="1"/>
  <c r="J269" i="3" s="1"/>
  <c r="B270" i="3" a="1"/>
  <c r="B270" i="3" s="1"/>
  <c r="C270" i="3" a="1"/>
  <c r="C270" i="3" s="1"/>
  <c r="D270" i="3" a="1"/>
  <c r="D270" i="3" s="1"/>
  <c r="E270" i="3" a="1"/>
  <c r="E270" i="3" s="1"/>
  <c r="F270" i="3" a="1"/>
  <c r="F270" i="3" s="1"/>
  <c r="G270" i="3" a="1"/>
  <c r="G270" i="3" s="1"/>
  <c r="J270" i="3" a="1"/>
  <c r="J270" i="3" s="1"/>
  <c r="B271" i="3" a="1"/>
  <c r="B271" i="3" s="1"/>
  <c r="C271" i="3" a="1"/>
  <c r="C271" i="3" s="1"/>
  <c r="D271" i="3" a="1"/>
  <c r="D271" i="3" s="1"/>
  <c r="E271" i="3" a="1"/>
  <c r="E271" i="3" s="1"/>
  <c r="F271" i="3" a="1"/>
  <c r="F271" i="3" s="1"/>
  <c r="G271" i="3" a="1"/>
  <c r="G271" i="3" s="1"/>
  <c r="J271" i="3" a="1"/>
  <c r="J271" i="3" s="1"/>
  <c r="B272" i="3" a="1"/>
  <c r="B272" i="3" s="1"/>
  <c r="C272" i="3" a="1"/>
  <c r="C272" i="3" s="1"/>
  <c r="D272" i="3" a="1"/>
  <c r="D272" i="3" s="1"/>
  <c r="E272" i="3" a="1"/>
  <c r="E272" i="3" s="1"/>
  <c r="F272" i="3" a="1"/>
  <c r="F272" i="3" s="1"/>
  <c r="G272" i="3" a="1"/>
  <c r="G272" i="3" s="1"/>
  <c r="J272" i="3" a="1"/>
  <c r="J272" i="3" s="1"/>
  <c r="B273" i="3" a="1"/>
  <c r="B273" i="3" s="1"/>
  <c r="C273" i="3" a="1"/>
  <c r="C273" i="3" s="1"/>
  <c r="D273" i="3" a="1"/>
  <c r="D273" i="3" s="1"/>
  <c r="E273" i="3" a="1"/>
  <c r="E273" i="3" s="1"/>
  <c r="F273" i="3" a="1"/>
  <c r="F273" i="3" s="1"/>
  <c r="G273" i="3" a="1"/>
  <c r="G273" i="3" s="1"/>
  <c r="J273" i="3" a="1"/>
  <c r="J273" i="3" s="1"/>
  <c r="B274" i="3" a="1"/>
  <c r="B274" i="3" s="1"/>
  <c r="C274" i="3" a="1"/>
  <c r="C274" i="3" s="1"/>
  <c r="D274" i="3" a="1"/>
  <c r="D274" i="3" s="1"/>
  <c r="E274" i="3" a="1"/>
  <c r="E274" i="3" s="1"/>
  <c r="F274" i="3" a="1"/>
  <c r="F274" i="3" s="1"/>
  <c r="G274" i="3" a="1"/>
  <c r="G274" i="3" s="1"/>
  <c r="J274" i="3" a="1"/>
  <c r="J274" i="3" s="1"/>
  <c r="B275" i="3" a="1"/>
  <c r="B275" i="3" s="1"/>
  <c r="C275" i="3" a="1"/>
  <c r="C275" i="3" s="1"/>
  <c r="D275" i="3" a="1"/>
  <c r="D275" i="3" s="1"/>
  <c r="E275" i="3" a="1"/>
  <c r="E275" i="3" s="1"/>
  <c r="F275" i="3" a="1"/>
  <c r="F275" i="3" s="1"/>
  <c r="G275" i="3" a="1"/>
  <c r="G275" i="3" s="1"/>
  <c r="J275" i="3" a="1"/>
  <c r="J275" i="3" s="1"/>
  <c r="B276" i="3" a="1"/>
  <c r="B276" i="3" s="1"/>
  <c r="C276" i="3" a="1"/>
  <c r="C276" i="3" s="1"/>
  <c r="D276" i="3" a="1"/>
  <c r="D276" i="3" s="1"/>
  <c r="E276" i="3" a="1"/>
  <c r="E276" i="3" s="1"/>
  <c r="F276" i="3" a="1"/>
  <c r="F276" i="3" s="1"/>
  <c r="G276" i="3" a="1"/>
  <c r="G276" i="3" s="1"/>
  <c r="J276" i="3" a="1"/>
  <c r="J276" i="3" s="1"/>
  <c r="B277" i="3" a="1"/>
  <c r="B277" i="3" s="1"/>
  <c r="C277" i="3" a="1"/>
  <c r="C277" i="3" s="1"/>
  <c r="D277" i="3" a="1"/>
  <c r="D277" i="3" s="1"/>
  <c r="E277" i="3" a="1"/>
  <c r="E277" i="3" s="1"/>
  <c r="F277" i="3" a="1"/>
  <c r="F277" i="3" s="1"/>
  <c r="G277" i="3" a="1"/>
  <c r="G277" i="3" s="1"/>
  <c r="J277" i="3" a="1"/>
  <c r="J277" i="3" s="1"/>
  <c r="B278" i="3" a="1"/>
  <c r="B278" i="3" s="1"/>
  <c r="C278" i="3" a="1"/>
  <c r="C278" i="3" s="1"/>
  <c r="D278" i="3" a="1"/>
  <c r="D278" i="3" s="1"/>
  <c r="E278" i="3" a="1"/>
  <c r="E278" i="3" s="1"/>
  <c r="F278" i="3" a="1"/>
  <c r="F278" i="3" s="1"/>
  <c r="G278" i="3" a="1"/>
  <c r="G278" i="3" s="1"/>
  <c r="J278" i="3" a="1"/>
  <c r="J278" i="3" s="1"/>
  <c r="B279" i="3" a="1"/>
  <c r="B279" i="3" s="1"/>
  <c r="C279" i="3" a="1"/>
  <c r="C279" i="3" s="1"/>
  <c r="D279" i="3" a="1"/>
  <c r="D279" i="3" s="1"/>
  <c r="E279" i="3" a="1"/>
  <c r="E279" i="3" s="1"/>
  <c r="F279" i="3" a="1"/>
  <c r="F279" i="3" s="1"/>
  <c r="G279" i="3" a="1"/>
  <c r="G279" i="3" s="1"/>
  <c r="J279" i="3" a="1"/>
  <c r="J279" i="3" s="1"/>
  <c r="B280" i="3" a="1"/>
  <c r="B280" i="3" s="1"/>
  <c r="C280" i="3" a="1"/>
  <c r="C280" i="3" s="1"/>
  <c r="D280" i="3" a="1"/>
  <c r="D280" i="3" s="1"/>
  <c r="E280" i="3" a="1"/>
  <c r="E280" i="3" s="1"/>
  <c r="F280" i="3" a="1"/>
  <c r="F280" i="3" s="1"/>
  <c r="G280" i="3" a="1"/>
  <c r="G280" i="3" s="1"/>
  <c r="J280" i="3" a="1"/>
  <c r="J280" i="3" s="1"/>
  <c r="B281" i="3" a="1"/>
  <c r="B281" i="3" s="1"/>
  <c r="C281" i="3" a="1"/>
  <c r="C281" i="3" s="1"/>
  <c r="D281" i="3" a="1"/>
  <c r="D281" i="3" s="1"/>
  <c r="E281" i="3" a="1"/>
  <c r="E281" i="3" s="1"/>
  <c r="F281" i="3" a="1"/>
  <c r="F281" i="3" s="1"/>
  <c r="G281" i="3" a="1"/>
  <c r="G281" i="3" s="1"/>
  <c r="J281" i="3" a="1"/>
  <c r="J281" i="3" s="1"/>
  <c r="B282" i="3" a="1"/>
  <c r="B282" i="3" s="1"/>
  <c r="C282" i="3" a="1"/>
  <c r="C282" i="3" s="1"/>
  <c r="D282" i="3" a="1"/>
  <c r="D282" i="3" s="1"/>
  <c r="E282" i="3" a="1"/>
  <c r="E282" i="3" s="1"/>
  <c r="F282" i="3" a="1"/>
  <c r="F282" i="3" s="1"/>
  <c r="G282" i="3" a="1"/>
  <c r="G282" i="3" s="1"/>
  <c r="J282" i="3" a="1"/>
  <c r="J282" i="3" s="1"/>
  <c r="B283" i="3" a="1"/>
  <c r="B283" i="3" s="1"/>
  <c r="C283" i="3" a="1"/>
  <c r="C283" i="3" s="1"/>
  <c r="D283" i="3" a="1"/>
  <c r="D283" i="3" s="1"/>
  <c r="E283" i="3" a="1"/>
  <c r="E283" i="3" s="1"/>
  <c r="F283" i="3" a="1"/>
  <c r="F283" i="3" s="1"/>
  <c r="G283" i="3" a="1"/>
  <c r="G283" i="3" s="1"/>
  <c r="J283" i="3" a="1"/>
  <c r="J283" i="3" s="1"/>
  <c r="B284" i="3" a="1"/>
  <c r="B284" i="3" s="1"/>
  <c r="C284" i="3" a="1"/>
  <c r="C284" i="3" s="1"/>
  <c r="D284" i="3" a="1"/>
  <c r="D284" i="3" s="1"/>
  <c r="E284" i="3" a="1"/>
  <c r="E284" i="3" s="1"/>
  <c r="F284" i="3" a="1"/>
  <c r="F284" i="3" s="1"/>
  <c r="G284" i="3" a="1"/>
  <c r="G284" i="3" s="1"/>
  <c r="J284" i="3" a="1"/>
  <c r="J284" i="3" s="1"/>
  <c r="B285" i="3" a="1"/>
  <c r="B285" i="3" s="1"/>
  <c r="C285" i="3" a="1"/>
  <c r="C285" i="3" s="1"/>
  <c r="D285" i="3" a="1"/>
  <c r="D285" i="3" s="1"/>
  <c r="E285" i="3" a="1"/>
  <c r="E285" i="3" s="1"/>
  <c r="F285" i="3" a="1"/>
  <c r="F285" i="3" s="1"/>
  <c r="G285" i="3" a="1"/>
  <c r="G285" i="3" s="1"/>
  <c r="J285" i="3" a="1"/>
  <c r="J285" i="3" s="1"/>
  <c r="B286" i="3" a="1"/>
  <c r="B286" i="3" s="1"/>
  <c r="C286" i="3" a="1"/>
  <c r="C286" i="3" s="1"/>
  <c r="D286" i="3" a="1"/>
  <c r="D286" i="3" s="1"/>
  <c r="E286" i="3" a="1"/>
  <c r="E286" i="3" s="1"/>
  <c r="F286" i="3" a="1"/>
  <c r="F286" i="3" s="1"/>
  <c r="G286" i="3" a="1"/>
  <c r="G286" i="3" s="1"/>
  <c r="J286" i="3" a="1"/>
  <c r="J286" i="3" s="1"/>
  <c r="B287" i="3" a="1"/>
  <c r="B287" i="3" s="1"/>
  <c r="C287" i="3" a="1"/>
  <c r="C287" i="3" s="1"/>
  <c r="D287" i="3" a="1"/>
  <c r="D287" i="3" s="1"/>
  <c r="E287" i="3" a="1"/>
  <c r="E287" i="3" s="1"/>
  <c r="F287" i="3" a="1"/>
  <c r="F287" i="3" s="1"/>
  <c r="G287" i="3" a="1"/>
  <c r="G287" i="3" s="1"/>
  <c r="J287" i="3" a="1"/>
  <c r="J287" i="3" s="1"/>
  <c r="B288" i="3" a="1"/>
  <c r="B288" i="3" s="1"/>
  <c r="C288" i="3" a="1"/>
  <c r="C288" i="3" s="1"/>
  <c r="D288" i="3" a="1"/>
  <c r="D288" i="3" s="1"/>
  <c r="E288" i="3" a="1"/>
  <c r="E288" i="3" s="1"/>
  <c r="F288" i="3" a="1"/>
  <c r="F288" i="3" s="1"/>
  <c r="G288" i="3" a="1"/>
  <c r="G288" i="3" s="1"/>
  <c r="J288" i="3" a="1"/>
  <c r="J288" i="3" s="1"/>
  <c r="B289" i="3" a="1"/>
  <c r="B289" i="3" s="1"/>
  <c r="C289" i="3" a="1"/>
  <c r="C289" i="3" s="1"/>
  <c r="D289" i="3" a="1"/>
  <c r="D289" i="3" s="1"/>
  <c r="E289" i="3" a="1"/>
  <c r="E289" i="3" s="1"/>
  <c r="F289" i="3" a="1"/>
  <c r="F289" i="3" s="1"/>
  <c r="G289" i="3" a="1"/>
  <c r="G289" i="3" s="1"/>
  <c r="J289" i="3" a="1"/>
  <c r="J289" i="3" s="1"/>
  <c r="B290" i="3" a="1"/>
  <c r="B290" i="3" s="1"/>
  <c r="C290" i="3" a="1"/>
  <c r="C290" i="3" s="1"/>
  <c r="D290" i="3" a="1"/>
  <c r="D290" i="3" s="1"/>
  <c r="E290" i="3" a="1"/>
  <c r="E290" i="3" s="1"/>
  <c r="F290" i="3" a="1"/>
  <c r="F290" i="3" s="1"/>
  <c r="G290" i="3" a="1"/>
  <c r="G290" i="3" s="1"/>
  <c r="J290" i="3" a="1"/>
  <c r="J290" i="3" s="1"/>
  <c r="B291" i="3" a="1"/>
  <c r="B291" i="3" s="1"/>
  <c r="C291" i="3" a="1"/>
  <c r="C291" i="3" s="1"/>
  <c r="D291" i="3" a="1"/>
  <c r="D291" i="3" s="1"/>
  <c r="E291" i="3" a="1"/>
  <c r="E291" i="3" s="1"/>
  <c r="F291" i="3" a="1"/>
  <c r="F291" i="3" s="1"/>
  <c r="G291" i="3" a="1"/>
  <c r="G291" i="3" s="1"/>
  <c r="J291" i="3" a="1"/>
  <c r="J291" i="3" s="1"/>
  <c r="B292" i="3" a="1"/>
  <c r="B292" i="3" s="1"/>
  <c r="C292" i="3" a="1"/>
  <c r="C292" i="3" s="1"/>
  <c r="D292" i="3" a="1"/>
  <c r="D292" i="3" s="1"/>
  <c r="E292" i="3" a="1"/>
  <c r="E292" i="3" s="1"/>
  <c r="F292" i="3" a="1"/>
  <c r="F292" i="3" s="1"/>
  <c r="G292" i="3" a="1"/>
  <c r="G292" i="3" s="1"/>
  <c r="J292" i="3" a="1"/>
  <c r="J292" i="3" s="1"/>
  <c r="B293" i="3" a="1"/>
  <c r="B293" i="3" s="1"/>
  <c r="C293" i="3" a="1"/>
  <c r="C293" i="3" s="1"/>
  <c r="D293" i="3" a="1"/>
  <c r="D293" i="3" s="1"/>
  <c r="E293" i="3" a="1"/>
  <c r="E293" i="3" s="1"/>
  <c r="F293" i="3" a="1"/>
  <c r="F293" i="3" s="1"/>
  <c r="G293" i="3" a="1"/>
  <c r="G293" i="3" s="1"/>
  <c r="J293" i="3" a="1"/>
  <c r="J293" i="3" s="1"/>
  <c r="B294" i="3" a="1"/>
  <c r="B294" i="3" s="1"/>
  <c r="C294" i="3" a="1"/>
  <c r="C294" i="3" s="1"/>
  <c r="D294" i="3" a="1"/>
  <c r="D294" i="3" s="1"/>
  <c r="E294" i="3" a="1"/>
  <c r="E294" i="3" s="1"/>
  <c r="F294" i="3" a="1"/>
  <c r="F294" i="3" s="1"/>
  <c r="G294" i="3" a="1"/>
  <c r="G294" i="3" s="1"/>
  <c r="J294" i="3" a="1"/>
  <c r="J294" i="3" s="1"/>
  <c r="B295" i="3" a="1"/>
  <c r="B295" i="3" s="1"/>
  <c r="C295" i="3" a="1"/>
  <c r="C295" i="3" s="1"/>
  <c r="D295" i="3" a="1"/>
  <c r="D295" i="3" s="1"/>
  <c r="E295" i="3" a="1"/>
  <c r="E295" i="3" s="1"/>
  <c r="F295" i="3" a="1"/>
  <c r="F295" i="3" s="1"/>
  <c r="G295" i="3" a="1"/>
  <c r="G295" i="3" s="1"/>
  <c r="J295" i="3" a="1"/>
  <c r="J295" i="3" s="1"/>
  <c r="B296" i="3" a="1"/>
  <c r="B296" i="3" s="1"/>
  <c r="C296" i="3" a="1"/>
  <c r="C296" i="3" s="1"/>
  <c r="D296" i="3" a="1"/>
  <c r="D296" i="3" s="1"/>
  <c r="E296" i="3" a="1"/>
  <c r="E296" i="3" s="1"/>
  <c r="F296" i="3" a="1"/>
  <c r="F296" i="3" s="1"/>
  <c r="G296" i="3" a="1"/>
  <c r="G296" i="3" s="1"/>
  <c r="J296" i="3" a="1"/>
  <c r="J296" i="3" s="1"/>
  <c r="B297" i="3" a="1"/>
  <c r="B297" i="3" s="1"/>
  <c r="C297" i="3" a="1"/>
  <c r="C297" i="3" s="1"/>
  <c r="D297" i="3" a="1"/>
  <c r="D297" i="3" s="1"/>
  <c r="E297" i="3" a="1"/>
  <c r="E297" i="3" s="1"/>
  <c r="F297" i="3" a="1"/>
  <c r="F297" i="3" s="1"/>
  <c r="G297" i="3" a="1"/>
  <c r="G297" i="3" s="1"/>
  <c r="J297" i="3" a="1"/>
  <c r="J297" i="3" s="1"/>
  <c r="B298" i="3" a="1"/>
  <c r="B298" i="3" s="1"/>
  <c r="C298" i="3" a="1"/>
  <c r="C298" i="3" s="1"/>
  <c r="D298" i="3" a="1"/>
  <c r="D298" i="3" s="1"/>
  <c r="E298" i="3" a="1"/>
  <c r="E298" i="3" s="1"/>
  <c r="F298" i="3" a="1"/>
  <c r="F298" i="3" s="1"/>
  <c r="G298" i="3" a="1"/>
  <c r="G298" i="3" s="1"/>
  <c r="J298" i="3" a="1"/>
  <c r="J298" i="3" s="1"/>
  <c r="B299" i="3" a="1"/>
  <c r="B299" i="3" s="1"/>
  <c r="C299" i="3" a="1"/>
  <c r="C299" i="3" s="1"/>
  <c r="D299" i="3" a="1"/>
  <c r="D299" i="3" s="1"/>
  <c r="E299" i="3" a="1"/>
  <c r="E299" i="3" s="1"/>
  <c r="F299" i="3" a="1"/>
  <c r="F299" i="3" s="1"/>
  <c r="G299" i="3" a="1"/>
  <c r="G299" i="3" s="1"/>
  <c r="J299" i="3" a="1"/>
  <c r="J299" i="3" s="1"/>
  <c r="B300" i="3" a="1"/>
  <c r="B300" i="3" s="1"/>
  <c r="C300" i="3" a="1"/>
  <c r="C300" i="3" s="1"/>
  <c r="D300" i="3" a="1"/>
  <c r="D300" i="3" s="1"/>
  <c r="E300" i="3" a="1"/>
  <c r="E300" i="3" s="1"/>
  <c r="F300" i="3" a="1"/>
  <c r="F300" i="3" s="1"/>
  <c r="G300" i="3" a="1"/>
  <c r="G300" i="3" s="1"/>
  <c r="J300" i="3" a="1"/>
  <c r="J300" i="3" s="1"/>
  <c r="B301" i="3" a="1"/>
  <c r="B301" i="3" s="1"/>
  <c r="C301" i="3" a="1"/>
  <c r="C301" i="3" s="1"/>
  <c r="D301" i="3" a="1"/>
  <c r="D301" i="3" s="1"/>
  <c r="E301" i="3" a="1"/>
  <c r="E301" i="3" s="1"/>
  <c r="F301" i="3" a="1"/>
  <c r="F301" i="3" s="1"/>
  <c r="G301" i="3" a="1"/>
  <c r="G301" i="3" s="1"/>
  <c r="J301" i="3" a="1"/>
  <c r="J301" i="3" s="1"/>
  <c r="B302" i="3" a="1"/>
  <c r="B302" i="3" s="1"/>
  <c r="C302" i="3" a="1"/>
  <c r="C302" i="3" s="1"/>
  <c r="D302" i="3" a="1"/>
  <c r="D302" i="3" s="1"/>
  <c r="E302" i="3" a="1"/>
  <c r="E302" i="3" s="1"/>
  <c r="F302" i="3" a="1"/>
  <c r="F302" i="3" s="1"/>
  <c r="G302" i="3" a="1"/>
  <c r="G302" i="3" s="1"/>
  <c r="J302" i="3" a="1"/>
  <c r="J302" i="3" s="1"/>
  <c r="B303" i="3" a="1"/>
  <c r="B303" i="3" s="1"/>
  <c r="C303" i="3" a="1"/>
  <c r="C303" i="3" s="1"/>
  <c r="D303" i="3" a="1"/>
  <c r="D303" i="3" s="1"/>
  <c r="E303" i="3" a="1"/>
  <c r="E303" i="3" s="1"/>
  <c r="F303" i="3" a="1"/>
  <c r="F303" i="3" s="1"/>
  <c r="G303" i="3" a="1"/>
  <c r="G303" i="3" s="1"/>
  <c r="J303" i="3" a="1"/>
  <c r="J303" i="3" s="1"/>
  <c r="B304" i="3" a="1"/>
  <c r="B304" i="3" s="1"/>
  <c r="C304" i="3" a="1"/>
  <c r="C304" i="3" s="1"/>
  <c r="D304" i="3" a="1"/>
  <c r="D304" i="3" s="1"/>
  <c r="E304" i="3" a="1"/>
  <c r="E304" i="3" s="1"/>
  <c r="F304" i="3" a="1"/>
  <c r="F304" i="3" s="1"/>
  <c r="G304" i="3" a="1"/>
  <c r="G304" i="3" s="1"/>
  <c r="J304" i="3" a="1"/>
  <c r="J304" i="3" s="1"/>
  <c r="B305" i="3" a="1"/>
  <c r="B305" i="3" s="1"/>
  <c r="C305" i="3" a="1"/>
  <c r="C305" i="3" s="1"/>
  <c r="D305" i="3" a="1"/>
  <c r="D305" i="3" s="1"/>
  <c r="E305" i="3" a="1"/>
  <c r="E305" i="3" s="1"/>
  <c r="F305" i="3" a="1"/>
  <c r="F305" i="3" s="1"/>
  <c r="G305" i="3" a="1"/>
  <c r="G305" i="3" s="1"/>
  <c r="J305" i="3" a="1"/>
  <c r="J305" i="3" s="1"/>
  <c r="B306" i="3" a="1"/>
  <c r="B306" i="3" s="1"/>
  <c r="C306" i="3" a="1"/>
  <c r="C306" i="3" s="1"/>
  <c r="D306" i="3" a="1"/>
  <c r="D306" i="3" s="1"/>
  <c r="E306" i="3" a="1"/>
  <c r="E306" i="3" s="1"/>
  <c r="F306" i="3" a="1"/>
  <c r="F306" i="3" s="1"/>
  <c r="G306" i="3" a="1"/>
  <c r="G306" i="3" s="1"/>
  <c r="J306" i="3" a="1"/>
  <c r="J306" i="3" s="1"/>
  <c r="B307" i="3" a="1"/>
  <c r="B307" i="3" s="1"/>
  <c r="C307" i="3" a="1"/>
  <c r="C307" i="3" s="1"/>
  <c r="D307" i="3" a="1"/>
  <c r="D307" i="3" s="1"/>
  <c r="E307" i="3" a="1"/>
  <c r="E307" i="3" s="1"/>
  <c r="F307" i="3" a="1"/>
  <c r="F307" i="3" s="1"/>
  <c r="G307" i="3" a="1"/>
  <c r="G307" i="3" s="1"/>
  <c r="J307" i="3" a="1"/>
  <c r="J307" i="3" s="1"/>
  <c r="B308" i="3" a="1"/>
  <c r="B308" i="3" s="1"/>
  <c r="C308" i="3" a="1"/>
  <c r="C308" i="3" s="1"/>
  <c r="D308" i="3" a="1"/>
  <c r="D308" i="3" s="1"/>
  <c r="E308" i="3" a="1"/>
  <c r="E308" i="3" s="1"/>
  <c r="F308" i="3" a="1"/>
  <c r="F308" i="3" s="1"/>
  <c r="G308" i="3" a="1"/>
  <c r="G308" i="3" s="1"/>
  <c r="J308" i="3" a="1"/>
  <c r="J308" i="3" s="1"/>
  <c r="B309" i="3" a="1"/>
  <c r="B309" i="3" s="1"/>
  <c r="C309" i="3" a="1"/>
  <c r="C309" i="3" s="1"/>
  <c r="D309" i="3" a="1"/>
  <c r="D309" i="3" s="1"/>
  <c r="E309" i="3" a="1"/>
  <c r="E309" i="3" s="1"/>
  <c r="F309" i="3" a="1"/>
  <c r="F309" i="3" s="1"/>
  <c r="G309" i="3" a="1"/>
  <c r="G309" i="3" s="1"/>
  <c r="J309" i="3" a="1"/>
  <c r="J309" i="3" s="1"/>
  <c r="B310" i="3" a="1"/>
  <c r="B310" i="3" s="1"/>
  <c r="C310" i="3" a="1"/>
  <c r="C310" i="3" s="1"/>
  <c r="D310" i="3" a="1"/>
  <c r="D310" i="3" s="1"/>
  <c r="E310" i="3" a="1"/>
  <c r="E310" i="3" s="1"/>
  <c r="F310" i="3" a="1"/>
  <c r="F310" i="3" s="1"/>
  <c r="G310" i="3" a="1"/>
  <c r="G310" i="3" s="1"/>
  <c r="J310" i="3" a="1"/>
  <c r="J310" i="3" s="1"/>
  <c r="B311" i="3" a="1"/>
  <c r="B311" i="3" s="1"/>
  <c r="C311" i="3" a="1"/>
  <c r="C311" i="3" s="1"/>
  <c r="D311" i="3" a="1"/>
  <c r="D311" i="3" s="1"/>
  <c r="E311" i="3" a="1"/>
  <c r="E311" i="3" s="1"/>
  <c r="F311" i="3" a="1"/>
  <c r="F311" i="3" s="1"/>
  <c r="G311" i="3" a="1"/>
  <c r="G311" i="3" s="1"/>
  <c r="J311" i="3" a="1"/>
  <c r="J311" i="3" s="1"/>
  <c r="B312" i="3" a="1"/>
  <c r="B312" i="3" s="1"/>
  <c r="C312" i="3" a="1"/>
  <c r="C312" i="3" s="1"/>
  <c r="D312" i="3" a="1"/>
  <c r="D312" i="3" s="1"/>
  <c r="E312" i="3" a="1"/>
  <c r="E312" i="3" s="1"/>
  <c r="F312" i="3" a="1"/>
  <c r="F312" i="3" s="1"/>
  <c r="G312" i="3" a="1"/>
  <c r="G312" i="3" s="1"/>
  <c r="J312" i="3" a="1"/>
  <c r="J312" i="3" s="1"/>
  <c r="B313" i="3" a="1"/>
  <c r="B313" i="3" s="1"/>
  <c r="C313" i="3" a="1"/>
  <c r="C313" i="3" s="1"/>
  <c r="D313" i="3" a="1"/>
  <c r="D313" i="3" s="1"/>
  <c r="E313" i="3" a="1"/>
  <c r="E313" i="3" s="1"/>
  <c r="F313" i="3" a="1"/>
  <c r="F313" i="3" s="1"/>
  <c r="G313" i="3" a="1"/>
  <c r="G313" i="3" s="1"/>
  <c r="J313" i="3" a="1"/>
  <c r="J313" i="3" s="1"/>
  <c r="B314" i="3" a="1"/>
  <c r="B314" i="3" s="1"/>
  <c r="C314" i="3" a="1"/>
  <c r="C314" i="3" s="1"/>
  <c r="D314" i="3" a="1"/>
  <c r="D314" i="3" s="1"/>
  <c r="E314" i="3" a="1"/>
  <c r="E314" i="3" s="1"/>
  <c r="F314" i="3" a="1"/>
  <c r="F314" i="3" s="1"/>
  <c r="G314" i="3" a="1"/>
  <c r="G314" i="3" s="1"/>
  <c r="J314" i="3" a="1"/>
  <c r="J314" i="3" s="1"/>
  <c r="B315" i="3" a="1"/>
  <c r="B315" i="3" s="1"/>
  <c r="C315" i="3" a="1"/>
  <c r="C315" i="3" s="1"/>
  <c r="D315" i="3" a="1"/>
  <c r="D315" i="3" s="1"/>
  <c r="E315" i="3" a="1"/>
  <c r="E315" i="3" s="1"/>
  <c r="F315" i="3" a="1"/>
  <c r="F315" i="3" s="1"/>
  <c r="G315" i="3" a="1"/>
  <c r="G315" i="3" s="1"/>
  <c r="J315" i="3" a="1"/>
  <c r="J315" i="3" s="1"/>
  <c r="B316" i="3" a="1"/>
  <c r="B316" i="3" s="1"/>
  <c r="C316" i="3" a="1"/>
  <c r="C316" i="3" s="1"/>
  <c r="D316" i="3" a="1"/>
  <c r="D316" i="3" s="1"/>
  <c r="E316" i="3" a="1"/>
  <c r="E316" i="3" s="1"/>
  <c r="F316" i="3" a="1"/>
  <c r="F316" i="3" s="1"/>
  <c r="G316" i="3" a="1"/>
  <c r="G316" i="3" s="1"/>
  <c r="J316" i="3" a="1"/>
  <c r="J316" i="3" s="1"/>
  <c r="B317" i="3" a="1"/>
  <c r="B317" i="3" s="1"/>
  <c r="C317" i="3" a="1"/>
  <c r="C317" i="3" s="1"/>
  <c r="D317" i="3" a="1"/>
  <c r="D317" i="3" s="1"/>
  <c r="E317" i="3" a="1"/>
  <c r="E317" i="3" s="1"/>
  <c r="F317" i="3" a="1"/>
  <c r="F317" i="3" s="1"/>
  <c r="G317" i="3" a="1"/>
  <c r="G317" i="3" s="1"/>
  <c r="J317" i="3" a="1"/>
  <c r="J317" i="3" s="1"/>
  <c r="B318" i="3" a="1"/>
  <c r="B318" i="3" s="1"/>
  <c r="C318" i="3" a="1"/>
  <c r="C318" i="3" s="1"/>
  <c r="D318" i="3" a="1"/>
  <c r="D318" i="3" s="1"/>
  <c r="E318" i="3" a="1"/>
  <c r="E318" i="3" s="1"/>
  <c r="F318" i="3" a="1"/>
  <c r="F318" i="3" s="1"/>
  <c r="G318" i="3" a="1"/>
  <c r="G318" i="3" s="1"/>
  <c r="J318" i="3" a="1"/>
  <c r="J318" i="3" s="1"/>
  <c r="B319" i="3" a="1"/>
  <c r="B319" i="3" s="1"/>
  <c r="C319" i="3" a="1"/>
  <c r="C319" i="3" s="1"/>
  <c r="D319" i="3" a="1"/>
  <c r="D319" i="3" s="1"/>
  <c r="E319" i="3" a="1"/>
  <c r="E319" i="3" s="1"/>
  <c r="F319" i="3" a="1"/>
  <c r="F319" i="3" s="1"/>
  <c r="G319" i="3" a="1"/>
  <c r="G319" i="3" s="1"/>
  <c r="J319" i="3" a="1"/>
  <c r="J319" i="3" s="1"/>
  <c r="B320" i="3" a="1"/>
  <c r="B320" i="3" s="1"/>
  <c r="C320" i="3" a="1"/>
  <c r="C320" i="3" s="1"/>
  <c r="D320" i="3" a="1"/>
  <c r="D320" i="3" s="1"/>
  <c r="E320" i="3" a="1"/>
  <c r="E320" i="3" s="1"/>
  <c r="F320" i="3" a="1"/>
  <c r="F320" i="3" s="1"/>
  <c r="G320" i="3" a="1"/>
  <c r="G320" i="3" s="1"/>
  <c r="J320" i="3" a="1"/>
  <c r="J320" i="3" s="1"/>
  <c r="B321" i="3" a="1"/>
  <c r="B321" i="3" s="1"/>
  <c r="C321" i="3" a="1"/>
  <c r="C321" i="3" s="1"/>
  <c r="D321" i="3" a="1"/>
  <c r="D321" i="3" s="1"/>
  <c r="E321" i="3" a="1"/>
  <c r="E321" i="3" s="1"/>
  <c r="F321" i="3" a="1"/>
  <c r="F321" i="3" s="1"/>
  <c r="G321" i="3" a="1"/>
  <c r="G321" i="3" s="1"/>
  <c r="J321" i="3" a="1"/>
  <c r="J321" i="3" s="1"/>
  <c r="B322" i="3" a="1"/>
  <c r="B322" i="3" s="1"/>
  <c r="C322" i="3" a="1"/>
  <c r="C322" i="3" s="1"/>
  <c r="D322" i="3" a="1"/>
  <c r="D322" i="3" s="1"/>
  <c r="E322" i="3" a="1"/>
  <c r="E322" i="3" s="1"/>
  <c r="F322" i="3" a="1"/>
  <c r="F322" i="3" s="1"/>
  <c r="G322" i="3" a="1"/>
  <c r="G322" i="3" s="1"/>
  <c r="J322" i="3" a="1"/>
  <c r="J322" i="3" s="1"/>
  <c r="B323" i="3" a="1"/>
  <c r="B323" i="3" s="1"/>
  <c r="C323" i="3" a="1"/>
  <c r="C323" i="3" s="1"/>
  <c r="D323" i="3" a="1"/>
  <c r="D323" i="3" s="1"/>
  <c r="E323" i="3" a="1"/>
  <c r="E323" i="3" s="1"/>
  <c r="F323" i="3" a="1"/>
  <c r="F323" i="3" s="1"/>
  <c r="G323" i="3" a="1"/>
  <c r="G323" i="3" s="1"/>
  <c r="J323" i="3" a="1"/>
  <c r="J323" i="3" s="1"/>
  <c r="B324" i="3" a="1"/>
  <c r="B324" i="3" s="1"/>
  <c r="C324" i="3" a="1"/>
  <c r="C324" i="3" s="1"/>
  <c r="D324" i="3" a="1"/>
  <c r="D324" i="3" s="1"/>
  <c r="E324" i="3" a="1"/>
  <c r="E324" i="3" s="1"/>
  <c r="F324" i="3" a="1"/>
  <c r="F324" i="3" s="1"/>
  <c r="G324" i="3" a="1"/>
  <c r="G324" i="3" s="1"/>
  <c r="J324" i="3" a="1"/>
  <c r="J324" i="3" s="1"/>
  <c r="B325" i="3" a="1"/>
  <c r="B325" i="3" s="1"/>
  <c r="C325" i="3" a="1"/>
  <c r="C325" i="3" s="1"/>
  <c r="D325" i="3" a="1"/>
  <c r="D325" i="3" s="1"/>
  <c r="E325" i="3" a="1"/>
  <c r="E325" i="3" s="1"/>
  <c r="F325" i="3" a="1"/>
  <c r="F325" i="3" s="1"/>
  <c r="G325" i="3" a="1"/>
  <c r="G325" i="3" s="1"/>
  <c r="J325" i="3" a="1"/>
  <c r="J325" i="3" s="1"/>
  <c r="B326" i="3" a="1"/>
  <c r="B326" i="3" s="1"/>
  <c r="C326" i="3" a="1"/>
  <c r="C326" i="3" s="1"/>
  <c r="D326" i="3" a="1"/>
  <c r="D326" i="3" s="1"/>
  <c r="E326" i="3" a="1"/>
  <c r="E326" i="3" s="1"/>
  <c r="F326" i="3" a="1"/>
  <c r="F326" i="3" s="1"/>
  <c r="G326" i="3" a="1"/>
  <c r="G326" i="3" s="1"/>
  <c r="J326" i="3" a="1"/>
  <c r="J326" i="3" s="1"/>
  <c r="B327" i="3" a="1"/>
  <c r="B327" i="3" s="1"/>
  <c r="C327" i="3" a="1"/>
  <c r="C327" i="3" s="1"/>
  <c r="D327" i="3" a="1"/>
  <c r="D327" i="3" s="1"/>
  <c r="E327" i="3" a="1"/>
  <c r="E327" i="3" s="1"/>
  <c r="F327" i="3" a="1"/>
  <c r="F327" i="3" s="1"/>
  <c r="G327" i="3" a="1"/>
  <c r="G327" i="3" s="1"/>
  <c r="J327" i="3" a="1"/>
  <c r="J327" i="3" s="1"/>
  <c r="B328" i="3" a="1"/>
  <c r="B328" i="3" s="1"/>
  <c r="C328" i="3" a="1"/>
  <c r="C328" i="3" s="1"/>
  <c r="D328" i="3" a="1"/>
  <c r="D328" i="3" s="1"/>
  <c r="E328" i="3" a="1"/>
  <c r="E328" i="3" s="1"/>
  <c r="F328" i="3" a="1"/>
  <c r="F328" i="3" s="1"/>
  <c r="G328" i="3" a="1"/>
  <c r="G328" i="3" s="1"/>
  <c r="J328" i="3" a="1"/>
  <c r="J328" i="3" s="1"/>
  <c r="B329" i="3" a="1"/>
  <c r="B329" i="3" s="1"/>
  <c r="C329" i="3" a="1"/>
  <c r="C329" i="3" s="1"/>
  <c r="D329" i="3" a="1"/>
  <c r="D329" i="3" s="1"/>
  <c r="E329" i="3" a="1"/>
  <c r="E329" i="3" s="1"/>
  <c r="F329" i="3" a="1"/>
  <c r="F329" i="3" s="1"/>
  <c r="G329" i="3" a="1"/>
  <c r="G329" i="3" s="1"/>
  <c r="J329" i="3" a="1"/>
  <c r="J329" i="3" s="1"/>
  <c r="B330" i="3" a="1"/>
  <c r="B330" i="3" s="1"/>
  <c r="C330" i="3" a="1"/>
  <c r="C330" i="3" s="1"/>
  <c r="D330" i="3" a="1"/>
  <c r="D330" i="3" s="1"/>
  <c r="E330" i="3" a="1"/>
  <c r="E330" i="3" s="1"/>
  <c r="F330" i="3" a="1"/>
  <c r="F330" i="3" s="1"/>
  <c r="G330" i="3" a="1"/>
  <c r="G330" i="3" s="1"/>
  <c r="J330" i="3" a="1"/>
  <c r="J330" i="3" s="1"/>
  <c r="B331" i="3" a="1"/>
  <c r="B331" i="3" s="1"/>
  <c r="C331" i="3" a="1"/>
  <c r="C331" i="3" s="1"/>
  <c r="D331" i="3" a="1"/>
  <c r="D331" i="3" s="1"/>
  <c r="E331" i="3" a="1"/>
  <c r="E331" i="3" s="1"/>
  <c r="F331" i="3" a="1"/>
  <c r="F331" i="3" s="1"/>
  <c r="G331" i="3" a="1"/>
  <c r="G331" i="3" s="1"/>
  <c r="J331" i="3" a="1"/>
  <c r="J331" i="3" s="1"/>
  <c r="B332" i="3" a="1"/>
  <c r="B332" i="3" s="1"/>
  <c r="C332" i="3" a="1"/>
  <c r="C332" i="3" s="1"/>
  <c r="D332" i="3" a="1"/>
  <c r="D332" i="3" s="1"/>
  <c r="E332" i="3" a="1"/>
  <c r="E332" i="3" s="1"/>
  <c r="F332" i="3" a="1"/>
  <c r="F332" i="3" s="1"/>
  <c r="G332" i="3" a="1"/>
  <c r="G332" i="3" s="1"/>
  <c r="J332" i="3" a="1"/>
  <c r="J332" i="3" s="1"/>
  <c r="B333" i="3" a="1"/>
  <c r="B333" i="3" s="1"/>
  <c r="C333" i="3" a="1"/>
  <c r="C333" i="3" s="1"/>
  <c r="D333" i="3" a="1"/>
  <c r="D333" i="3" s="1"/>
  <c r="E333" i="3" a="1"/>
  <c r="E333" i="3" s="1"/>
  <c r="F333" i="3" a="1"/>
  <c r="F333" i="3" s="1"/>
  <c r="G333" i="3" a="1"/>
  <c r="G333" i="3" s="1"/>
  <c r="J333" i="3" a="1"/>
  <c r="J333" i="3" s="1"/>
  <c r="B334" i="3" a="1"/>
  <c r="B334" i="3" s="1"/>
  <c r="C334" i="3" a="1"/>
  <c r="C334" i="3" s="1"/>
  <c r="D334" i="3" a="1"/>
  <c r="D334" i="3" s="1"/>
  <c r="E334" i="3" a="1"/>
  <c r="E334" i="3" s="1"/>
  <c r="F334" i="3" a="1"/>
  <c r="F334" i="3" s="1"/>
  <c r="G334" i="3" a="1"/>
  <c r="G334" i="3" s="1"/>
  <c r="J334" i="3" a="1"/>
  <c r="J334" i="3" s="1"/>
  <c r="B335" i="3" a="1"/>
  <c r="B335" i="3" s="1"/>
  <c r="C335" i="3" a="1"/>
  <c r="C335" i="3" s="1"/>
  <c r="D335" i="3" a="1"/>
  <c r="D335" i="3" s="1"/>
  <c r="E335" i="3" a="1"/>
  <c r="E335" i="3" s="1"/>
  <c r="F335" i="3" a="1"/>
  <c r="F335" i="3" s="1"/>
  <c r="G335" i="3" a="1"/>
  <c r="G335" i="3" s="1"/>
  <c r="J335" i="3" a="1"/>
  <c r="J335" i="3" s="1"/>
  <c r="B336" i="3" a="1"/>
  <c r="B336" i="3" s="1"/>
  <c r="C336" i="3" a="1"/>
  <c r="C336" i="3" s="1"/>
  <c r="D336" i="3" a="1"/>
  <c r="D336" i="3" s="1"/>
  <c r="E336" i="3" a="1"/>
  <c r="E336" i="3" s="1"/>
  <c r="F336" i="3" a="1"/>
  <c r="F336" i="3" s="1"/>
  <c r="G336" i="3" a="1"/>
  <c r="G336" i="3" s="1"/>
  <c r="J336" i="3" a="1"/>
  <c r="J336" i="3" s="1"/>
  <c r="B337" i="3" a="1"/>
  <c r="B337" i="3" s="1"/>
  <c r="C337" i="3" a="1"/>
  <c r="C337" i="3" s="1"/>
  <c r="D337" i="3" a="1"/>
  <c r="D337" i="3" s="1"/>
  <c r="E337" i="3" a="1"/>
  <c r="E337" i="3" s="1"/>
  <c r="F337" i="3" a="1"/>
  <c r="F337" i="3" s="1"/>
  <c r="G337" i="3" a="1"/>
  <c r="G337" i="3" s="1"/>
  <c r="J337" i="3" a="1"/>
  <c r="J337" i="3" s="1"/>
  <c r="B338" i="3" a="1"/>
  <c r="B338" i="3" s="1"/>
  <c r="C338" i="3" a="1"/>
  <c r="C338" i="3" s="1"/>
  <c r="D338" i="3" a="1"/>
  <c r="D338" i="3" s="1"/>
  <c r="E338" i="3" a="1"/>
  <c r="E338" i="3" s="1"/>
  <c r="F338" i="3" a="1"/>
  <c r="F338" i="3" s="1"/>
  <c r="G338" i="3" a="1"/>
  <c r="G338" i="3" s="1"/>
  <c r="J338" i="3" a="1"/>
  <c r="J338" i="3" s="1"/>
  <c r="B339" i="3" a="1"/>
  <c r="B339" i="3" s="1"/>
  <c r="C339" i="3" a="1"/>
  <c r="C339" i="3" s="1"/>
  <c r="D339" i="3" a="1"/>
  <c r="D339" i="3" s="1"/>
  <c r="E339" i="3" a="1"/>
  <c r="E339" i="3" s="1"/>
  <c r="F339" i="3" a="1"/>
  <c r="F339" i="3" s="1"/>
  <c r="G339" i="3" a="1"/>
  <c r="G339" i="3" s="1"/>
  <c r="J339" i="3" a="1"/>
  <c r="J339" i="3" s="1"/>
  <c r="B340" i="3" a="1"/>
  <c r="B340" i="3" s="1"/>
  <c r="C340" i="3" a="1"/>
  <c r="C340" i="3" s="1"/>
  <c r="D340" i="3" a="1"/>
  <c r="D340" i="3" s="1"/>
  <c r="E340" i="3" a="1"/>
  <c r="E340" i="3" s="1"/>
  <c r="F340" i="3" a="1"/>
  <c r="F340" i="3" s="1"/>
  <c r="G340" i="3" a="1"/>
  <c r="G340" i="3" s="1"/>
  <c r="J340" i="3" a="1"/>
  <c r="J340" i="3" s="1"/>
  <c r="B341" i="3" a="1"/>
  <c r="B341" i="3" s="1"/>
  <c r="C341" i="3" a="1"/>
  <c r="C341" i="3" s="1"/>
  <c r="D341" i="3" a="1"/>
  <c r="D341" i="3" s="1"/>
  <c r="E341" i="3" a="1"/>
  <c r="E341" i="3" s="1"/>
  <c r="F341" i="3" a="1"/>
  <c r="F341" i="3" s="1"/>
  <c r="G341" i="3" a="1"/>
  <c r="G341" i="3" s="1"/>
  <c r="J341" i="3" a="1"/>
  <c r="J341" i="3" s="1"/>
  <c r="B342" i="3" a="1"/>
  <c r="B342" i="3" s="1"/>
  <c r="C342" i="3" a="1"/>
  <c r="C342" i="3" s="1"/>
  <c r="D342" i="3" a="1"/>
  <c r="D342" i="3" s="1"/>
  <c r="E342" i="3" a="1"/>
  <c r="E342" i="3" s="1"/>
  <c r="F342" i="3" a="1"/>
  <c r="F342" i="3" s="1"/>
  <c r="G342" i="3" a="1"/>
  <c r="G342" i="3" s="1"/>
  <c r="J342" i="3" a="1"/>
  <c r="J342" i="3" s="1"/>
  <c r="B343" i="3" a="1"/>
  <c r="B343" i="3" s="1"/>
  <c r="C343" i="3" a="1"/>
  <c r="C343" i="3" s="1"/>
  <c r="D343" i="3" a="1"/>
  <c r="D343" i="3" s="1"/>
  <c r="E343" i="3" a="1"/>
  <c r="E343" i="3" s="1"/>
  <c r="F343" i="3" a="1"/>
  <c r="F343" i="3" s="1"/>
  <c r="G343" i="3" a="1"/>
  <c r="G343" i="3" s="1"/>
  <c r="J343" i="3" a="1"/>
  <c r="J343" i="3" s="1"/>
  <c r="B344" i="3" a="1"/>
  <c r="B344" i="3" s="1"/>
  <c r="C344" i="3" a="1"/>
  <c r="C344" i="3" s="1"/>
  <c r="D344" i="3" a="1"/>
  <c r="D344" i="3" s="1"/>
  <c r="E344" i="3" a="1"/>
  <c r="E344" i="3" s="1"/>
  <c r="F344" i="3" a="1"/>
  <c r="F344" i="3" s="1"/>
  <c r="G344" i="3" a="1"/>
  <c r="G344" i="3" s="1"/>
  <c r="J344" i="3" a="1"/>
  <c r="J344" i="3" s="1"/>
  <c r="B345" i="3" a="1"/>
  <c r="B345" i="3" s="1"/>
  <c r="C345" i="3" a="1"/>
  <c r="C345" i="3" s="1"/>
  <c r="D345" i="3" a="1"/>
  <c r="D345" i="3" s="1"/>
  <c r="E345" i="3" a="1"/>
  <c r="E345" i="3" s="1"/>
  <c r="F345" i="3" a="1"/>
  <c r="F345" i="3" s="1"/>
  <c r="G345" i="3" a="1"/>
  <c r="G345" i="3" s="1"/>
  <c r="J345" i="3" a="1"/>
  <c r="J345" i="3" s="1"/>
  <c r="B346" i="3" a="1"/>
  <c r="B346" i="3" s="1"/>
  <c r="C346" i="3" a="1"/>
  <c r="C346" i="3" s="1"/>
  <c r="D346" i="3" a="1"/>
  <c r="D346" i="3" s="1"/>
  <c r="E346" i="3" a="1"/>
  <c r="E346" i="3" s="1"/>
  <c r="F346" i="3" a="1"/>
  <c r="F346" i="3" s="1"/>
  <c r="G346" i="3" a="1"/>
  <c r="G346" i="3" s="1"/>
  <c r="J346" i="3" a="1"/>
  <c r="J346" i="3" s="1"/>
  <c r="B347" i="3" a="1"/>
  <c r="B347" i="3" s="1"/>
  <c r="C347" i="3" a="1"/>
  <c r="C347" i="3" s="1"/>
  <c r="D347" i="3" a="1"/>
  <c r="D347" i="3" s="1"/>
  <c r="E347" i="3" a="1"/>
  <c r="E347" i="3" s="1"/>
  <c r="F347" i="3" a="1"/>
  <c r="F347" i="3" s="1"/>
  <c r="G347" i="3" a="1"/>
  <c r="G347" i="3" s="1"/>
  <c r="J347" i="3" a="1"/>
  <c r="J347" i="3" s="1"/>
  <c r="B348" i="3" a="1"/>
  <c r="B348" i="3" s="1"/>
  <c r="C348" i="3" a="1"/>
  <c r="C348" i="3" s="1"/>
  <c r="D348" i="3" a="1"/>
  <c r="D348" i="3" s="1"/>
  <c r="E348" i="3" a="1"/>
  <c r="E348" i="3" s="1"/>
  <c r="F348" i="3" a="1"/>
  <c r="F348" i="3" s="1"/>
  <c r="G348" i="3" a="1"/>
  <c r="G348" i="3" s="1"/>
  <c r="J348" i="3" a="1"/>
  <c r="J348" i="3" s="1"/>
  <c r="B349" i="3" a="1"/>
  <c r="B349" i="3" s="1"/>
  <c r="C349" i="3" a="1"/>
  <c r="C349" i="3" s="1"/>
  <c r="D349" i="3" a="1"/>
  <c r="D349" i="3" s="1"/>
  <c r="E349" i="3" a="1"/>
  <c r="E349" i="3" s="1"/>
  <c r="F349" i="3" a="1"/>
  <c r="F349" i="3" s="1"/>
  <c r="G349" i="3" a="1"/>
  <c r="G349" i="3" s="1"/>
  <c r="J349" i="3" a="1"/>
  <c r="J349" i="3" s="1"/>
  <c r="B350" i="3" a="1"/>
  <c r="B350" i="3" s="1"/>
  <c r="C350" i="3" a="1"/>
  <c r="C350" i="3" s="1"/>
  <c r="D350" i="3" a="1"/>
  <c r="D350" i="3" s="1"/>
  <c r="E350" i="3" a="1"/>
  <c r="E350" i="3" s="1"/>
  <c r="F350" i="3" a="1"/>
  <c r="F350" i="3" s="1"/>
  <c r="G350" i="3" a="1"/>
  <c r="G350" i="3" s="1"/>
  <c r="J350" i="3" a="1"/>
  <c r="J350" i="3" s="1"/>
  <c r="B351" i="3" a="1"/>
  <c r="B351" i="3" s="1"/>
  <c r="C351" i="3" a="1"/>
  <c r="C351" i="3" s="1"/>
  <c r="D351" i="3" a="1"/>
  <c r="D351" i="3" s="1"/>
  <c r="E351" i="3" a="1"/>
  <c r="E351" i="3" s="1"/>
  <c r="F351" i="3" a="1"/>
  <c r="F351" i="3" s="1"/>
  <c r="G351" i="3" a="1"/>
  <c r="G351" i="3" s="1"/>
  <c r="J351" i="3" a="1"/>
  <c r="J351" i="3" s="1"/>
  <c r="B352" i="3" a="1"/>
  <c r="B352" i="3" s="1"/>
  <c r="C352" i="3" a="1"/>
  <c r="C352" i="3" s="1"/>
  <c r="D352" i="3" a="1"/>
  <c r="D352" i="3" s="1"/>
  <c r="E352" i="3" a="1"/>
  <c r="E352" i="3" s="1"/>
  <c r="F352" i="3" a="1"/>
  <c r="F352" i="3" s="1"/>
  <c r="G352" i="3" a="1"/>
  <c r="G352" i="3" s="1"/>
  <c r="J352" i="3" a="1"/>
  <c r="J352" i="3" s="1"/>
  <c r="B353" i="3" a="1"/>
  <c r="B353" i="3" s="1"/>
  <c r="C353" i="3" a="1"/>
  <c r="C353" i="3" s="1"/>
  <c r="D353" i="3" a="1"/>
  <c r="D353" i="3" s="1"/>
  <c r="E353" i="3" a="1"/>
  <c r="E353" i="3" s="1"/>
  <c r="F353" i="3" a="1"/>
  <c r="F353" i="3" s="1"/>
  <c r="G353" i="3" a="1"/>
  <c r="G353" i="3" s="1"/>
  <c r="J353" i="3" a="1"/>
  <c r="J353" i="3" s="1"/>
  <c r="B354" i="3" a="1"/>
  <c r="B354" i="3" s="1"/>
  <c r="C354" i="3" a="1"/>
  <c r="C354" i="3" s="1"/>
  <c r="D354" i="3" a="1"/>
  <c r="D354" i="3" s="1"/>
  <c r="E354" i="3" a="1"/>
  <c r="E354" i="3" s="1"/>
  <c r="F354" i="3" a="1"/>
  <c r="F354" i="3" s="1"/>
  <c r="G354" i="3" a="1"/>
  <c r="G354" i="3" s="1"/>
  <c r="J354" i="3" a="1"/>
  <c r="J354" i="3" s="1"/>
  <c r="B355" i="3" a="1"/>
  <c r="B355" i="3" s="1"/>
  <c r="C355" i="3" a="1"/>
  <c r="C355" i="3" s="1"/>
  <c r="D355" i="3" a="1"/>
  <c r="D355" i="3" s="1"/>
  <c r="E355" i="3" a="1"/>
  <c r="E355" i="3" s="1"/>
  <c r="F355" i="3" a="1"/>
  <c r="F355" i="3" s="1"/>
  <c r="G355" i="3" a="1"/>
  <c r="G355" i="3" s="1"/>
  <c r="J355" i="3" a="1"/>
  <c r="J355" i="3" s="1"/>
  <c r="B356" i="3" a="1"/>
  <c r="B356" i="3" s="1"/>
  <c r="C356" i="3" a="1"/>
  <c r="C356" i="3" s="1"/>
  <c r="D356" i="3" a="1"/>
  <c r="D356" i="3" s="1"/>
  <c r="E356" i="3" a="1"/>
  <c r="E356" i="3" s="1"/>
  <c r="F356" i="3" a="1"/>
  <c r="F356" i="3" s="1"/>
  <c r="G356" i="3" a="1"/>
  <c r="G356" i="3" s="1"/>
  <c r="J356" i="3" a="1"/>
  <c r="J356" i="3" s="1"/>
  <c r="B357" i="3" a="1"/>
  <c r="B357" i="3" s="1"/>
  <c r="C357" i="3" a="1"/>
  <c r="C357" i="3" s="1"/>
  <c r="D357" i="3" a="1"/>
  <c r="D357" i="3" s="1"/>
  <c r="E357" i="3" a="1"/>
  <c r="E357" i="3" s="1"/>
  <c r="F357" i="3" a="1"/>
  <c r="F357" i="3" s="1"/>
  <c r="G357" i="3" a="1"/>
  <c r="G357" i="3" s="1"/>
  <c r="J357" i="3" a="1"/>
  <c r="J357" i="3" s="1"/>
  <c r="B358" i="3" a="1"/>
  <c r="B358" i="3" s="1"/>
  <c r="C358" i="3" a="1"/>
  <c r="C358" i="3" s="1"/>
  <c r="D358" i="3" a="1"/>
  <c r="D358" i="3" s="1"/>
  <c r="E358" i="3" a="1"/>
  <c r="E358" i="3" s="1"/>
  <c r="F358" i="3" a="1"/>
  <c r="F358" i="3" s="1"/>
  <c r="G358" i="3" a="1"/>
  <c r="G358" i="3" s="1"/>
  <c r="J358" i="3" a="1"/>
  <c r="J358" i="3" s="1"/>
  <c r="B359" i="3" a="1"/>
  <c r="B359" i="3" s="1"/>
  <c r="C359" i="3" a="1"/>
  <c r="C359" i="3" s="1"/>
  <c r="D359" i="3" a="1"/>
  <c r="D359" i="3" s="1"/>
  <c r="E359" i="3" a="1"/>
  <c r="E359" i="3" s="1"/>
  <c r="F359" i="3" a="1"/>
  <c r="F359" i="3" s="1"/>
  <c r="G359" i="3" a="1"/>
  <c r="G359" i="3" s="1"/>
  <c r="J359" i="3" a="1"/>
  <c r="J359" i="3" s="1"/>
  <c r="B360" i="3" a="1"/>
  <c r="B360" i="3" s="1"/>
  <c r="C360" i="3" a="1"/>
  <c r="C360" i="3" s="1"/>
  <c r="D360" i="3" a="1"/>
  <c r="D360" i="3" s="1"/>
  <c r="E360" i="3" a="1"/>
  <c r="E360" i="3" s="1"/>
  <c r="F360" i="3" a="1"/>
  <c r="F360" i="3" s="1"/>
  <c r="G360" i="3" a="1"/>
  <c r="G360" i="3" s="1"/>
  <c r="J360" i="3" a="1"/>
  <c r="J360" i="3" s="1"/>
  <c r="B361" i="3" a="1"/>
  <c r="B361" i="3" s="1"/>
  <c r="C361" i="3" a="1"/>
  <c r="C361" i="3" s="1"/>
  <c r="D361" i="3" a="1"/>
  <c r="D361" i="3" s="1"/>
  <c r="E361" i="3" a="1"/>
  <c r="E361" i="3" s="1"/>
  <c r="F361" i="3" a="1"/>
  <c r="F361" i="3" s="1"/>
  <c r="G361" i="3" a="1"/>
  <c r="G361" i="3" s="1"/>
  <c r="J361" i="3" a="1"/>
  <c r="J361" i="3" s="1"/>
  <c r="B362" i="3" a="1"/>
  <c r="B362" i="3" s="1"/>
  <c r="C362" i="3" a="1"/>
  <c r="C362" i="3" s="1"/>
  <c r="D362" i="3" a="1"/>
  <c r="D362" i="3" s="1"/>
  <c r="E362" i="3" a="1"/>
  <c r="E362" i="3" s="1"/>
  <c r="F362" i="3" a="1"/>
  <c r="F362" i="3" s="1"/>
  <c r="G362" i="3" a="1"/>
  <c r="G362" i="3" s="1"/>
  <c r="J362" i="3" a="1"/>
  <c r="J362" i="3" s="1"/>
  <c r="B363" i="3" a="1"/>
  <c r="B363" i="3" s="1"/>
  <c r="C363" i="3" a="1"/>
  <c r="C363" i="3" s="1"/>
  <c r="D363" i="3" a="1"/>
  <c r="D363" i="3" s="1"/>
  <c r="E363" i="3" a="1"/>
  <c r="E363" i="3" s="1"/>
  <c r="F363" i="3" a="1"/>
  <c r="F363" i="3" s="1"/>
  <c r="G363" i="3" a="1"/>
  <c r="G363" i="3" s="1"/>
  <c r="J363" i="3" a="1"/>
  <c r="J363" i="3" s="1"/>
  <c r="B364" i="3" a="1"/>
  <c r="B364" i="3" s="1"/>
  <c r="C364" i="3" a="1"/>
  <c r="C364" i="3" s="1"/>
  <c r="D364" i="3" a="1"/>
  <c r="D364" i="3" s="1"/>
  <c r="E364" i="3" a="1"/>
  <c r="E364" i="3" s="1"/>
  <c r="F364" i="3" a="1"/>
  <c r="F364" i="3" s="1"/>
  <c r="G364" i="3" a="1"/>
  <c r="G364" i="3" s="1"/>
  <c r="J364" i="3" a="1"/>
  <c r="J364" i="3" s="1"/>
  <c r="B365" i="3" a="1"/>
  <c r="B365" i="3" s="1"/>
  <c r="C365" i="3" a="1"/>
  <c r="C365" i="3" s="1"/>
  <c r="D365" i="3" a="1"/>
  <c r="D365" i="3" s="1"/>
  <c r="E365" i="3" a="1"/>
  <c r="E365" i="3" s="1"/>
  <c r="F365" i="3" a="1"/>
  <c r="F365" i="3" s="1"/>
  <c r="G365" i="3" a="1"/>
  <c r="G365" i="3" s="1"/>
  <c r="J365" i="3" a="1"/>
  <c r="J365" i="3" s="1"/>
  <c r="B366" i="3" a="1"/>
  <c r="B366" i="3" s="1"/>
  <c r="C366" i="3" a="1"/>
  <c r="C366" i="3" s="1"/>
  <c r="D366" i="3" a="1"/>
  <c r="D366" i="3" s="1"/>
  <c r="E366" i="3" a="1"/>
  <c r="E366" i="3" s="1"/>
  <c r="F366" i="3" a="1"/>
  <c r="F366" i="3" s="1"/>
  <c r="G366" i="3" a="1"/>
  <c r="G366" i="3" s="1"/>
  <c r="J366" i="3" a="1"/>
  <c r="J366" i="3" s="1"/>
  <c r="B367" i="3" a="1"/>
  <c r="B367" i="3" s="1"/>
  <c r="C367" i="3" a="1"/>
  <c r="C367" i="3" s="1"/>
  <c r="D367" i="3" a="1"/>
  <c r="D367" i="3" s="1"/>
  <c r="E367" i="3" a="1"/>
  <c r="E367" i="3" s="1"/>
  <c r="F367" i="3" a="1"/>
  <c r="F367" i="3" s="1"/>
  <c r="G367" i="3" a="1"/>
  <c r="G367" i="3" s="1"/>
  <c r="J367" i="3" a="1"/>
  <c r="J367" i="3" s="1"/>
  <c r="B368" i="3" a="1"/>
  <c r="B368" i="3" s="1"/>
  <c r="C368" i="3" a="1"/>
  <c r="C368" i="3" s="1"/>
  <c r="D368" i="3" a="1"/>
  <c r="D368" i="3" s="1"/>
  <c r="E368" i="3" a="1"/>
  <c r="E368" i="3" s="1"/>
  <c r="F368" i="3" a="1"/>
  <c r="F368" i="3" s="1"/>
  <c r="G368" i="3" a="1"/>
  <c r="G368" i="3" s="1"/>
  <c r="J368" i="3" a="1"/>
  <c r="J368" i="3" s="1"/>
  <c r="B369" i="3" a="1"/>
  <c r="B369" i="3" s="1"/>
  <c r="C369" i="3" a="1"/>
  <c r="C369" i="3" s="1"/>
  <c r="D369" i="3" a="1"/>
  <c r="D369" i="3" s="1"/>
  <c r="E369" i="3" a="1"/>
  <c r="E369" i="3" s="1"/>
  <c r="F369" i="3" a="1"/>
  <c r="F369" i="3" s="1"/>
  <c r="G369" i="3" a="1"/>
  <c r="G369" i="3" s="1"/>
  <c r="J369" i="3" a="1"/>
  <c r="J369" i="3" s="1"/>
  <c r="B370" i="3" a="1"/>
  <c r="B370" i="3" s="1"/>
  <c r="C370" i="3" a="1"/>
  <c r="C370" i="3" s="1"/>
  <c r="D370" i="3" a="1"/>
  <c r="D370" i="3" s="1"/>
  <c r="E370" i="3" a="1"/>
  <c r="E370" i="3" s="1"/>
  <c r="F370" i="3" a="1"/>
  <c r="F370" i="3" s="1"/>
  <c r="G370" i="3" a="1"/>
  <c r="G370" i="3" s="1"/>
  <c r="J370" i="3" a="1"/>
  <c r="J370" i="3" s="1"/>
  <c r="B371" i="3" a="1"/>
  <c r="B371" i="3" s="1"/>
  <c r="C371" i="3" a="1"/>
  <c r="C371" i="3" s="1"/>
  <c r="D371" i="3" a="1"/>
  <c r="D371" i="3" s="1"/>
  <c r="E371" i="3" a="1"/>
  <c r="E371" i="3" s="1"/>
  <c r="F371" i="3" a="1"/>
  <c r="F371" i="3" s="1"/>
  <c r="G371" i="3" a="1"/>
  <c r="G371" i="3" s="1"/>
  <c r="J371" i="3" a="1"/>
  <c r="J371" i="3" s="1"/>
  <c r="B372" i="3" a="1"/>
  <c r="B372" i="3" s="1"/>
  <c r="C372" i="3" a="1"/>
  <c r="C372" i="3" s="1"/>
  <c r="D372" i="3" a="1"/>
  <c r="D372" i="3" s="1"/>
  <c r="E372" i="3" a="1"/>
  <c r="E372" i="3" s="1"/>
  <c r="F372" i="3" a="1"/>
  <c r="F372" i="3" s="1"/>
  <c r="G372" i="3" a="1"/>
  <c r="G372" i="3" s="1"/>
  <c r="J372" i="3" a="1"/>
  <c r="J372" i="3" s="1"/>
  <c r="B373" i="3" a="1"/>
  <c r="B373" i="3" s="1"/>
  <c r="C373" i="3" a="1"/>
  <c r="C373" i="3" s="1"/>
  <c r="D373" i="3" a="1"/>
  <c r="D373" i="3" s="1"/>
  <c r="E373" i="3" a="1"/>
  <c r="E373" i="3" s="1"/>
  <c r="F373" i="3" a="1"/>
  <c r="F373" i="3" s="1"/>
  <c r="G373" i="3" a="1"/>
  <c r="G373" i="3" s="1"/>
  <c r="J373" i="3" a="1"/>
  <c r="J373" i="3" s="1"/>
  <c r="B374" i="3" a="1"/>
  <c r="B374" i="3" s="1"/>
  <c r="C374" i="3" a="1"/>
  <c r="C374" i="3" s="1"/>
  <c r="D374" i="3" a="1"/>
  <c r="D374" i="3" s="1"/>
  <c r="E374" i="3" a="1"/>
  <c r="E374" i="3" s="1"/>
  <c r="F374" i="3" a="1"/>
  <c r="F374" i="3" s="1"/>
  <c r="G374" i="3" a="1"/>
  <c r="G374" i="3" s="1"/>
  <c r="J374" i="3" a="1"/>
  <c r="J374" i="3" s="1"/>
  <c r="B375" i="3" a="1"/>
  <c r="B375" i="3" s="1"/>
  <c r="C375" i="3" a="1"/>
  <c r="C375" i="3" s="1"/>
  <c r="D375" i="3" a="1"/>
  <c r="D375" i="3" s="1"/>
  <c r="E375" i="3" a="1"/>
  <c r="E375" i="3" s="1"/>
  <c r="F375" i="3" a="1"/>
  <c r="F375" i="3" s="1"/>
  <c r="G375" i="3" a="1"/>
  <c r="G375" i="3" s="1"/>
  <c r="J375" i="3" a="1"/>
  <c r="J375" i="3" s="1"/>
  <c r="B376" i="3" a="1"/>
  <c r="B376" i="3" s="1"/>
  <c r="C376" i="3" a="1"/>
  <c r="C376" i="3" s="1"/>
  <c r="D376" i="3" a="1"/>
  <c r="D376" i="3" s="1"/>
  <c r="E376" i="3" a="1"/>
  <c r="E376" i="3" s="1"/>
  <c r="F376" i="3" a="1"/>
  <c r="F376" i="3" s="1"/>
  <c r="G376" i="3" a="1"/>
  <c r="G376" i="3" s="1"/>
  <c r="J376" i="3" a="1"/>
  <c r="J376" i="3" s="1"/>
  <c r="B377" i="3" a="1"/>
  <c r="B377" i="3" s="1"/>
  <c r="C377" i="3" a="1"/>
  <c r="C377" i="3" s="1"/>
  <c r="D377" i="3" a="1"/>
  <c r="D377" i="3" s="1"/>
  <c r="E377" i="3" a="1"/>
  <c r="E377" i="3" s="1"/>
  <c r="F377" i="3" a="1"/>
  <c r="F377" i="3" s="1"/>
  <c r="G377" i="3" a="1"/>
  <c r="G377" i="3" s="1"/>
  <c r="J377" i="3" a="1"/>
  <c r="J377" i="3" s="1"/>
  <c r="B378" i="3" a="1"/>
  <c r="B378" i="3" s="1"/>
  <c r="C378" i="3" a="1"/>
  <c r="C378" i="3" s="1"/>
  <c r="D378" i="3" a="1"/>
  <c r="D378" i="3" s="1"/>
  <c r="E378" i="3" a="1"/>
  <c r="E378" i="3" s="1"/>
  <c r="F378" i="3" a="1"/>
  <c r="F378" i="3" s="1"/>
  <c r="G378" i="3" a="1"/>
  <c r="G378" i="3" s="1"/>
  <c r="J378" i="3" a="1"/>
  <c r="J378" i="3" s="1"/>
  <c r="B379" i="3" a="1"/>
  <c r="B379" i="3" s="1"/>
  <c r="C379" i="3" a="1"/>
  <c r="C379" i="3" s="1"/>
  <c r="D379" i="3" a="1"/>
  <c r="D379" i="3" s="1"/>
  <c r="E379" i="3" a="1"/>
  <c r="E379" i="3" s="1"/>
  <c r="F379" i="3" a="1"/>
  <c r="F379" i="3" s="1"/>
  <c r="G379" i="3" a="1"/>
  <c r="G379" i="3" s="1"/>
  <c r="J379" i="3" a="1"/>
  <c r="J379" i="3" s="1"/>
  <c r="B380" i="3" a="1"/>
  <c r="B380" i="3" s="1"/>
  <c r="C380" i="3" a="1"/>
  <c r="C380" i="3" s="1"/>
  <c r="D380" i="3" a="1"/>
  <c r="D380" i="3" s="1"/>
  <c r="E380" i="3" a="1"/>
  <c r="E380" i="3" s="1"/>
  <c r="F380" i="3" a="1"/>
  <c r="F380" i="3" s="1"/>
  <c r="G380" i="3" a="1"/>
  <c r="G380" i="3" s="1"/>
  <c r="J380" i="3" a="1"/>
  <c r="J380" i="3" s="1"/>
  <c r="B381" i="3" a="1"/>
  <c r="B381" i="3" s="1"/>
  <c r="C381" i="3" a="1"/>
  <c r="C381" i="3" s="1"/>
  <c r="D381" i="3" a="1"/>
  <c r="D381" i="3" s="1"/>
  <c r="E381" i="3" a="1"/>
  <c r="E381" i="3" s="1"/>
  <c r="F381" i="3" a="1"/>
  <c r="F381" i="3" s="1"/>
  <c r="G381" i="3" a="1"/>
  <c r="G381" i="3" s="1"/>
  <c r="J381" i="3" a="1"/>
  <c r="J381" i="3" s="1"/>
  <c r="B382" i="3" a="1"/>
  <c r="B382" i="3" s="1"/>
  <c r="C382" i="3" a="1"/>
  <c r="C382" i="3" s="1"/>
  <c r="D382" i="3" a="1"/>
  <c r="D382" i="3" s="1"/>
  <c r="E382" i="3" a="1"/>
  <c r="E382" i="3" s="1"/>
  <c r="F382" i="3" a="1"/>
  <c r="F382" i="3" s="1"/>
  <c r="G382" i="3" a="1"/>
  <c r="G382" i="3" s="1"/>
  <c r="J382" i="3" a="1"/>
  <c r="J382" i="3" s="1"/>
  <c r="B383" i="3" a="1"/>
  <c r="B383" i="3" s="1"/>
  <c r="C383" i="3" a="1"/>
  <c r="C383" i="3" s="1"/>
  <c r="D383" i="3" a="1"/>
  <c r="D383" i="3" s="1"/>
  <c r="E383" i="3" a="1"/>
  <c r="E383" i="3" s="1"/>
  <c r="F383" i="3" a="1"/>
  <c r="F383" i="3" s="1"/>
  <c r="G383" i="3" a="1"/>
  <c r="G383" i="3" s="1"/>
  <c r="J383" i="3" a="1"/>
  <c r="J383" i="3" s="1"/>
  <c r="B384" i="3" a="1"/>
  <c r="B384" i="3" s="1"/>
  <c r="C384" i="3" a="1"/>
  <c r="C384" i="3" s="1"/>
  <c r="D384" i="3" a="1"/>
  <c r="D384" i="3" s="1"/>
  <c r="E384" i="3" a="1"/>
  <c r="E384" i="3" s="1"/>
  <c r="F384" i="3" a="1"/>
  <c r="F384" i="3" s="1"/>
  <c r="G384" i="3" a="1"/>
  <c r="G384" i="3" s="1"/>
  <c r="J384" i="3" a="1"/>
  <c r="J384" i="3" s="1"/>
  <c r="B385" i="3" a="1"/>
  <c r="B385" i="3" s="1"/>
  <c r="C385" i="3" a="1"/>
  <c r="C385" i="3" s="1"/>
  <c r="D385" i="3" a="1"/>
  <c r="D385" i="3" s="1"/>
  <c r="E385" i="3" a="1"/>
  <c r="E385" i="3" s="1"/>
  <c r="F385" i="3" a="1"/>
  <c r="F385" i="3" s="1"/>
  <c r="G385" i="3" a="1"/>
  <c r="G385" i="3" s="1"/>
  <c r="J385" i="3" a="1"/>
  <c r="J385" i="3" s="1"/>
  <c r="B386" i="3" a="1"/>
  <c r="B386" i="3" s="1"/>
  <c r="C386" i="3" a="1"/>
  <c r="C386" i="3" s="1"/>
  <c r="D386" i="3" a="1"/>
  <c r="D386" i="3" s="1"/>
  <c r="E386" i="3" a="1"/>
  <c r="E386" i="3" s="1"/>
  <c r="F386" i="3" a="1"/>
  <c r="F386" i="3" s="1"/>
  <c r="G386" i="3" a="1"/>
  <c r="G386" i="3" s="1"/>
  <c r="J386" i="3" a="1"/>
  <c r="J386" i="3" s="1"/>
  <c r="B387" i="3" a="1"/>
  <c r="B387" i="3" s="1"/>
  <c r="C387" i="3" a="1"/>
  <c r="C387" i="3" s="1"/>
  <c r="D387" i="3" a="1"/>
  <c r="D387" i="3" s="1"/>
  <c r="E387" i="3" a="1"/>
  <c r="E387" i="3" s="1"/>
  <c r="F387" i="3" a="1"/>
  <c r="F387" i="3" s="1"/>
  <c r="G387" i="3" a="1"/>
  <c r="G387" i="3" s="1"/>
  <c r="J387" i="3" a="1"/>
  <c r="J387" i="3" s="1"/>
  <c r="B388" i="3" a="1"/>
  <c r="B388" i="3" s="1"/>
  <c r="C388" i="3" a="1"/>
  <c r="C388" i="3" s="1"/>
  <c r="D388" i="3" a="1"/>
  <c r="D388" i="3" s="1"/>
  <c r="E388" i="3" a="1"/>
  <c r="E388" i="3" s="1"/>
  <c r="F388" i="3" a="1"/>
  <c r="F388" i="3" s="1"/>
  <c r="G388" i="3" a="1"/>
  <c r="G388" i="3" s="1"/>
  <c r="J388" i="3" a="1"/>
  <c r="J388" i="3" s="1"/>
  <c r="B389" i="3" a="1"/>
  <c r="B389" i="3" s="1"/>
  <c r="C389" i="3" a="1"/>
  <c r="C389" i="3" s="1"/>
  <c r="D389" i="3" a="1"/>
  <c r="D389" i="3" s="1"/>
  <c r="E389" i="3" a="1"/>
  <c r="E389" i="3" s="1"/>
  <c r="F389" i="3" a="1"/>
  <c r="F389" i="3" s="1"/>
  <c r="G389" i="3" a="1"/>
  <c r="G389" i="3" s="1"/>
  <c r="J389" i="3" a="1"/>
  <c r="J389" i="3" s="1"/>
  <c r="B390" i="3" a="1"/>
  <c r="B390" i="3" s="1"/>
  <c r="C390" i="3" a="1"/>
  <c r="C390" i="3" s="1"/>
  <c r="D390" i="3" a="1"/>
  <c r="D390" i="3" s="1"/>
  <c r="E390" i="3" a="1"/>
  <c r="E390" i="3" s="1"/>
  <c r="F390" i="3" a="1"/>
  <c r="F390" i="3" s="1"/>
  <c r="G390" i="3" a="1"/>
  <c r="G390" i="3" s="1"/>
  <c r="J390" i="3" a="1"/>
  <c r="J390" i="3" s="1"/>
  <c r="B391" i="3" a="1"/>
  <c r="B391" i="3" s="1"/>
  <c r="C391" i="3" a="1"/>
  <c r="C391" i="3" s="1"/>
  <c r="D391" i="3" a="1"/>
  <c r="D391" i="3" s="1"/>
  <c r="E391" i="3" a="1"/>
  <c r="E391" i="3" s="1"/>
  <c r="F391" i="3" a="1"/>
  <c r="F391" i="3" s="1"/>
  <c r="G391" i="3" a="1"/>
  <c r="G391" i="3" s="1"/>
  <c r="J391" i="3" a="1"/>
  <c r="J391" i="3" s="1"/>
  <c r="B392" i="3" a="1"/>
  <c r="B392" i="3" s="1"/>
  <c r="C392" i="3" a="1"/>
  <c r="C392" i="3" s="1"/>
  <c r="D392" i="3" a="1"/>
  <c r="D392" i="3" s="1"/>
  <c r="E392" i="3" a="1"/>
  <c r="E392" i="3" s="1"/>
  <c r="F392" i="3" a="1"/>
  <c r="F392" i="3" s="1"/>
  <c r="G392" i="3" a="1"/>
  <c r="G392" i="3" s="1"/>
  <c r="J392" i="3" a="1"/>
  <c r="J392" i="3" s="1"/>
  <c r="B393" i="3" a="1"/>
  <c r="B393" i="3" s="1"/>
  <c r="C393" i="3" a="1"/>
  <c r="C393" i="3" s="1"/>
  <c r="D393" i="3" a="1"/>
  <c r="D393" i="3" s="1"/>
  <c r="E393" i="3" a="1"/>
  <c r="E393" i="3" s="1"/>
  <c r="F393" i="3" a="1"/>
  <c r="F393" i="3" s="1"/>
  <c r="G393" i="3" a="1"/>
  <c r="G393" i="3" s="1"/>
  <c r="J393" i="3" a="1"/>
  <c r="J393" i="3" s="1"/>
  <c r="B394" i="3" a="1"/>
  <c r="B394" i="3" s="1"/>
  <c r="C394" i="3" a="1"/>
  <c r="C394" i="3" s="1"/>
  <c r="D394" i="3" a="1"/>
  <c r="D394" i="3" s="1"/>
  <c r="E394" i="3" a="1"/>
  <c r="E394" i="3" s="1"/>
  <c r="F394" i="3" a="1"/>
  <c r="F394" i="3" s="1"/>
  <c r="G394" i="3" a="1"/>
  <c r="G394" i="3" s="1"/>
  <c r="J394" i="3" a="1"/>
  <c r="J394" i="3" s="1"/>
  <c r="B395" i="3" a="1"/>
  <c r="B395" i="3" s="1"/>
  <c r="C395" i="3" a="1"/>
  <c r="C395" i="3" s="1"/>
  <c r="D395" i="3" a="1"/>
  <c r="D395" i="3" s="1"/>
  <c r="E395" i="3" a="1"/>
  <c r="E395" i="3" s="1"/>
  <c r="F395" i="3" a="1"/>
  <c r="F395" i="3" s="1"/>
  <c r="G395" i="3" a="1"/>
  <c r="G395" i="3" s="1"/>
  <c r="J395" i="3" a="1"/>
  <c r="J395" i="3" s="1"/>
  <c r="B396" i="3" a="1"/>
  <c r="B396" i="3" s="1"/>
  <c r="C396" i="3" a="1"/>
  <c r="C396" i="3" s="1"/>
  <c r="D396" i="3" a="1"/>
  <c r="D396" i="3" s="1"/>
  <c r="E396" i="3" a="1"/>
  <c r="E396" i="3" s="1"/>
  <c r="F396" i="3" a="1"/>
  <c r="F396" i="3" s="1"/>
  <c r="G396" i="3" a="1"/>
  <c r="G396" i="3" s="1"/>
  <c r="J396" i="3" a="1"/>
  <c r="J396" i="3" s="1"/>
  <c r="B397" i="3" a="1"/>
  <c r="B397" i="3" s="1"/>
  <c r="C397" i="3" a="1"/>
  <c r="C397" i="3" s="1"/>
  <c r="D397" i="3" a="1"/>
  <c r="D397" i="3" s="1"/>
  <c r="E397" i="3" a="1"/>
  <c r="E397" i="3" s="1"/>
  <c r="F397" i="3" a="1"/>
  <c r="F397" i="3" s="1"/>
  <c r="G397" i="3" a="1"/>
  <c r="G397" i="3" s="1"/>
  <c r="J397" i="3" a="1"/>
  <c r="J397" i="3" s="1"/>
  <c r="B398" i="3" a="1"/>
  <c r="B398" i="3" s="1"/>
  <c r="C398" i="3" a="1"/>
  <c r="C398" i="3" s="1"/>
  <c r="D398" i="3" a="1"/>
  <c r="D398" i="3" s="1"/>
  <c r="E398" i="3" a="1"/>
  <c r="E398" i="3" s="1"/>
  <c r="F398" i="3" a="1"/>
  <c r="F398" i="3" s="1"/>
  <c r="G398" i="3" a="1"/>
  <c r="G398" i="3" s="1"/>
  <c r="J398" i="3" a="1"/>
  <c r="J398" i="3" s="1"/>
  <c r="B399" i="3" a="1"/>
  <c r="B399" i="3" s="1"/>
  <c r="C399" i="3" a="1"/>
  <c r="C399" i="3" s="1"/>
  <c r="D399" i="3" a="1"/>
  <c r="D399" i="3" s="1"/>
  <c r="E399" i="3" a="1"/>
  <c r="E399" i="3" s="1"/>
  <c r="F399" i="3" a="1"/>
  <c r="F399" i="3" s="1"/>
  <c r="G399" i="3" a="1"/>
  <c r="G399" i="3" s="1"/>
  <c r="J399" i="3" a="1"/>
  <c r="J399" i="3" s="1"/>
  <c r="B400" i="3" a="1"/>
  <c r="B400" i="3" s="1"/>
  <c r="C400" i="3" a="1"/>
  <c r="C400" i="3" s="1"/>
  <c r="D400" i="3" a="1"/>
  <c r="D400" i="3" s="1"/>
  <c r="E400" i="3" a="1"/>
  <c r="E400" i="3" s="1"/>
  <c r="F400" i="3" a="1"/>
  <c r="F400" i="3" s="1"/>
  <c r="G400" i="3" a="1"/>
  <c r="G400" i="3" s="1"/>
  <c r="J400" i="3" a="1"/>
  <c r="J400" i="3" s="1"/>
  <c r="B401" i="3" a="1"/>
  <c r="B401" i="3" s="1"/>
  <c r="C401" i="3" a="1"/>
  <c r="C401" i="3" s="1"/>
  <c r="D401" i="3" a="1"/>
  <c r="D401" i="3" s="1"/>
  <c r="E401" i="3" a="1"/>
  <c r="E401" i="3" s="1"/>
  <c r="F401" i="3" a="1"/>
  <c r="F401" i="3" s="1"/>
  <c r="G401" i="3" a="1"/>
  <c r="G401" i="3" s="1"/>
  <c r="J401" i="3" a="1"/>
  <c r="J401" i="3" s="1"/>
  <c r="B402" i="3" a="1"/>
  <c r="B402" i="3" s="1"/>
  <c r="C402" i="3" a="1"/>
  <c r="C402" i="3" s="1"/>
  <c r="D402" i="3" a="1"/>
  <c r="D402" i="3" s="1"/>
  <c r="E402" i="3" a="1"/>
  <c r="E402" i="3" s="1"/>
  <c r="F402" i="3" a="1"/>
  <c r="F402" i="3" s="1"/>
  <c r="G402" i="3" a="1"/>
  <c r="G402" i="3" s="1"/>
  <c r="J402" i="3" a="1"/>
  <c r="J402" i="3" s="1"/>
  <c r="B403" i="3" a="1"/>
  <c r="B403" i="3" s="1"/>
  <c r="C403" i="3" a="1"/>
  <c r="C403" i="3" s="1"/>
  <c r="D403" i="3" a="1"/>
  <c r="D403" i="3" s="1"/>
  <c r="E403" i="3" a="1"/>
  <c r="E403" i="3" s="1"/>
  <c r="F403" i="3" a="1"/>
  <c r="F403" i="3" s="1"/>
  <c r="G403" i="3" a="1"/>
  <c r="G403" i="3" s="1"/>
  <c r="J403" i="3" a="1"/>
  <c r="J403" i="3" s="1"/>
  <c r="B404" i="3" a="1"/>
  <c r="B404" i="3" s="1"/>
  <c r="C404" i="3" a="1"/>
  <c r="C404" i="3" s="1"/>
  <c r="D404" i="3" a="1"/>
  <c r="D404" i="3" s="1"/>
  <c r="E404" i="3" a="1"/>
  <c r="E404" i="3" s="1"/>
  <c r="F404" i="3" a="1"/>
  <c r="F404" i="3" s="1"/>
  <c r="G404" i="3" a="1"/>
  <c r="G404" i="3" s="1"/>
  <c r="J404" i="3" a="1"/>
  <c r="J404" i="3" s="1"/>
  <c r="B405" i="3" a="1"/>
  <c r="B405" i="3" s="1"/>
  <c r="C405" i="3" a="1"/>
  <c r="C405" i="3" s="1"/>
  <c r="D405" i="3" a="1"/>
  <c r="D405" i="3" s="1"/>
  <c r="E405" i="3" a="1"/>
  <c r="E405" i="3" s="1"/>
  <c r="F405" i="3" a="1"/>
  <c r="F405" i="3" s="1"/>
  <c r="G405" i="3" a="1"/>
  <c r="G405" i="3" s="1"/>
  <c r="J405" i="3" a="1"/>
  <c r="J405" i="3" s="1"/>
  <c r="B406" i="3" a="1"/>
  <c r="B406" i="3" s="1"/>
  <c r="C406" i="3" a="1"/>
  <c r="C406" i="3" s="1"/>
  <c r="D406" i="3" a="1"/>
  <c r="D406" i="3" s="1"/>
  <c r="E406" i="3" a="1"/>
  <c r="E406" i="3" s="1"/>
  <c r="F406" i="3" a="1"/>
  <c r="F406" i="3" s="1"/>
  <c r="G406" i="3" a="1"/>
  <c r="G406" i="3" s="1"/>
  <c r="J406" i="3" a="1"/>
  <c r="J406" i="3" s="1"/>
  <c r="B407" i="3" a="1"/>
  <c r="B407" i="3" s="1"/>
  <c r="C407" i="3" a="1"/>
  <c r="C407" i="3" s="1"/>
  <c r="D407" i="3" a="1"/>
  <c r="D407" i="3" s="1"/>
  <c r="E407" i="3" a="1"/>
  <c r="E407" i="3" s="1"/>
  <c r="F407" i="3" a="1"/>
  <c r="F407" i="3" s="1"/>
  <c r="G407" i="3" a="1"/>
  <c r="G407" i="3" s="1"/>
  <c r="J407" i="3" a="1"/>
  <c r="J407" i="3" s="1"/>
  <c r="B408" i="3" a="1"/>
  <c r="B408" i="3" s="1"/>
  <c r="C408" i="3" a="1"/>
  <c r="C408" i="3" s="1"/>
  <c r="D408" i="3" a="1"/>
  <c r="D408" i="3" s="1"/>
  <c r="E408" i="3" a="1"/>
  <c r="E408" i="3" s="1"/>
  <c r="F408" i="3" a="1"/>
  <c r="F408" i="3" s="1"/>
  <c r="G408" i="3" a="1"/>
  <c r="G408" i="3" s="1"/>
  <c r="J408" i="3" a="1"/>
  <c r="J408" i="3" s="1"/>
  <c r="B409" i="3" a="1"/>
  <c r="B409" i="3" s="1"/>
  <c r="C409" i="3" a="1"/>
  <c r="C409" i="3" s="1"/>
  <c r="D409" i="3" a="1"/>
  <c r="D409" i="3" s="1"/>
  <c r="E409" i="3" a="1"/>
  <c r="E409" i="3" s="1"/>
  <c r="F409" i="3" a="1"/>
  <c r="F409" i="3" s="1"/>
  <c r="G409" i="3" a="1"/>
  <c r="G409" i="3" s="1"/>
  <c r="J409" i="3" a="1"/>
  <c r="J409" i="3" s="1"/>
  <c r="B410" i="3" a="1"/>
  <c r="B410" i="3" s="1"/>
  <c r="C410" i="3" a="1"/>
  <c r="C410" i="3" s="1"/>
  <c r="D410" i="3" a="1"/>
  <c r="D410" i="3" s="1"/>
  <c r="E410" i="3" a="1"/>
  <c r="E410" i="3" s="1"/>
  <c r="F410" i="3" a="1"/>
  <c r="F410" i="3" s="1"/>
  <c r="G410" i="3" a="1"/>
  <c r="G410" i="3" s="1"/>
  <c r="J410" i="3" a="1"/>
  <c r="J410" i="3" s="1"/>
  <c r="B411" i="3" a="1"/>
  <c r="B411" i="3" s="1"/>
  <c r="C411" i="3" a="1"/>
  <c r="C411" i="3" s="1"/>
  <c r="D411" i="3" a="1"/>
  <c r="D411" i="3" s="1"/>
  <c r="E411" i="3" a="1"/>
  <c r="E411" i="3" s="1"/>
  <c r="F411" i="3" a="1"/>
  <c r="F411" i="3" s="1"/>
  <c r="G411" i="3" a="1"/>
  <c r="G411" i="3" s="1"/>
  <c r="J411" i="3" a="1"/>
  <c r="J411" i="3" s="1"/>
  <c r="B412" i="3" a="1"/>
  <c r="B412" i="3" s="1"/>
  <c r="C412" i="3" a="1"/>
  <c r="C412" i="3" s="1"/>
  <c r="D412" i="3" a="1"/>
  <c r="D412" i="3" s="1"/>
  <c r="E412" i="3" a="1"/>
  <c r="E412" i="3" s="1"/>
  <c r="F412" i="3" a="1"/>
  <c r="F412" i="3" s="1"/>
  <c r="G412" i="3" a="1"/>
  <c r="G412" i="3" s="1"/>
  <c r="J412" i="3" a="1"/>
  <c r="J412" i="3" s="1"/>
  <c r="B413" i="3" a="1"/>
  <c r="B413" i="3" s="1"/>
  <c r="C413" i="3" a="1"/>
  <c r="C413" i="3" s="1"/>
  <c r="D413" i="3" a="1"/>
  <c r="D413" i="3" s="1"/>
  <c r="E413" i="3" a="1"/>
  <c r="E413" i="3" s="1"/>
  <c r="F413" i="3" a="1"/>
  <c r="F413" i="3" s="1"/>
  <c r="G413" i="3" a="1"/>
  <c r="G413" i="3" s="1"/>
  <c r="J413" i="3" a="1"/>
  <c r="J413" i="3" s="1"/>
  <c r="B414" i="3" a="1"/>
  <c r="B414" i="3" s="1"/>
  <c r="C414" i="3" a="1"/>
  <c r="C414" i="3" s="1"/>
  <c r="D414" i="3" a="1"/>
  <c r="D414" i="3" s="1"/>
  <c r="E414" i="3" a="1"/>
  <c r="E414" i="3" s="1"/>
  <c r="F414" i="3" a="1"/>
  <c r="F414" i="3" s="1"/>
  <c r="G414" i="3" a="1"/>
  <c r="G414" i="3" s="1"/>
  <c r="J414" i="3" a="1"/>
  <c r="J414" i="3" s="1"/>
  <c r="B415" i="3" a="1"/>
  <c r="B415" i="3" s="1"/>
  <c r="C415" i="3" a="1"/>
  <c r="C415" i="3" s="1"/>
  <c r="D415" i="3" a="1"/>
  <c r="D415" i="3" s="1"/>
  <c r="E415" i="3" a="1"/>
  <c r="E415" i="3" s="1"/>
  <c r="F415" i="3" a="1"/>
  <c r="F415" i="3" s="1"/>
  <c r="G415" i="3" a="1"/>
  <c r="G415" i="3" s="1"/>
  <c r="J415" i="3" a="1"/>
  <c r="J415" i="3" s="1"/>
  <c r="B416" i="3" a="1"/>
  <c r="B416" i="3" s="1"/>
  <c r="C416" i="3" a="1"/>
  <c r="C416" i="3" s="1"/>
  <c r="D416" i="3" a="1"/>
  <c r="D416" i="3" s="1"/>
  <c r="E416" i="3" a="1"/>
  <c r="E416" i="3" s="1"/>
  <c r="F416" i="3" a="1"/>
  <c r="F416" i="3" s="1"/>
  <c r="G416" i="3" a="1"/>
  <c r="G416" i="3" s="1"/>
  <c r="J416" i="3" a="1"/>
  <c r="J416" i="3" s="1"/>
  <c r="B417" i="3" a="1"/>
  <c r="B417" i="3" s="1"/>
  <c r="C417" i="3" a="1"/>
  <c r="C417" i="3" s="1"/>
  <c r="D417" i="3" a="1"/>
  <c r="D417" i="3" s="1"/>
  <c r="E417" i="3" a="1"/>
  <c r="E417" i="3" s="1"/>
  <c r="F417" i="3" a="1"/>
  <c r="F417" i="3" s="1"/>
  <c r="G417" i="3" a="1"/>
  <c r="G417" i="3" s="1"/>
  <c r="J417" i="3" a="1"/>
  <c r="J417" i="3" s="1"/>
  <c r="B418" i="3" a="1"/>
  <c r="B418" i="3" s="1"/>
  <c r="C418" i="3" a="1"/>
  <c r="C418" i="3" s="1"/>
  <c r="D418" i="3" a="1"/>
  <c r="D418" i="3" s="1"/>
  <c r="E418" i="3" a="1"/>
  <c r="E418" i="3" s="1"/>
  <c r="F418" i="3" a="1"/>
  <c r="F418" i="3" s="1"/>
  <c r="G418" i="3" a="1"/>
  <c r="G418" i="3" s="1"/>
  <c r="J418" i="3" a="1"/>
  <c r="J418" i="3" s="1"/>
  <c r="B419" i="3" a="1"/>
  <c r="B419" i="3" s="1"/>
  <c r="C419" i="3" a="1"/>
  <c r="C419" i="3" s="1"/>
  <c r="D419" i="3" a="1"/>
  <c r="D419" i="3" s="1"/>
  <c r="E419" i="3" a="1"/>
  <c r="E419" i="3" s="1"/>
  <c r="F419" i="3" a="1"/>
  <c r="F419" i="3" s="1"/>
  <c r="G419" i="3" a="1"/>
  <c r="G419" i="3" s="1"/>
  <c r="J419" i="3" a="1"/>
  <c r="J419" i="3" s="1"/>
  <c r="B420" i="3" a="1"/>
  <c r="B420" i="3" s="1"/>
  <c r="C420" i="3" a="1"/>
  <c r="C420" i="3" s="1"/>
  <c r="D420" i="3" a="1"/>
  <c r="D420" i="3" s="1"/>
  <c r="E420" i="3" a="1"/>
  <c r="E420" i="3" s="1"/>
  <c r="F420" i="3" a="1"/>
  <c r="F420" i="3" s="1"/>
  <c r="G420" i="3" a="1"/>
  <c r="G420" i="3" s="1"/>
  <c r="J420" i="3" a="1"/>
  <c r="J420" i="3" s="1"/>
  <c r="B421" i="3" a="1"/>
  <c r="B421" i="3" s="1"/>
  <c r="C421" i="3" a="1"/>
  <c r="C421" i="3" s="1"/>
  <c r="D421" i="3" a="1"/>
  <c r="D421" i="3" s="1"/>
  <c r="E421" i="3" a="1"/>
  <c r="E421" i="3" s="1"/>
  <c r="F421" i="3" a="1"/>
  <c r="F421" i="3" s="1"/>
  <c r="G421" i="3" a="1"/>
  <c r="G421" i="3" s="1"/>
  <c r="J421" i="3" a="1"/>
  <c r="J421" i="3" s="1"/>
  <c r="B422" i="3" a="1"/>
  <c r="B422" i="3" s="1"/>
  <c r="C422" i="3" a="1"/>
  <c r="C422" i="3" s="1"/>
  <c r="D422" i="3" a="1"/>
  <c r="D422" i="3" s="1"/>
  <c r="E422" i="3" a="1"/>
  <c r="E422" i="3" s="1"/>
  <c r="F422" i="3" a="1"/>
  <c r="F422" i="3" s="1"/>
  <c r="G422" i="3" a="1"/>
  <c r="G422" i="3" s="1"/>
  <c r="J422" i="3" a="1"/>
  <c r="J422" i="3" s="1"/>
  <c r="B423" i="3" a="1"/>
  <c r="B423" i="3" s="1"/>
  <c r="C423" i="3" a="1"/>
  <c r="C423" i="3" s="1"/>
  <c r="D423" i="3" a="1"/>
  <c r="D423" i="3" s="1"/>
  <c r="E423" i="3" a="1"/>
  <c r="E423" i="3" s="1"/>
  <c r="F423" i="3" a="1"/>
  <c r="F423" i="3" s="1"/>
  <c r="G423" i="3" a="1"/>
  <c r="G423" i="3" s="1"/>
  <c r="J423" i="3" a="1"/>
  <c r="J423" i="3" s="1"/>
  <c r="B424" i="3" a="1"/>
  <c r="B424" i="3" s="1"/>
  <c r="C424" i="3" a="1"/>
  <c r="C424" i="3" s="1"/>
  <c r="D424" i="3" a="1"/>
  <c r="D424" i="3" s="1"/>
  <c r="E424" i="3" a="1"/>
  <c r="E424" i="3" s="1"/>
  <c r="F424" i="3" a="1"/>
  <c r="F424" i="3" s="1"/>
  <c r="G424" i="3" a="1"/>
  <c r="G424" i="3" s="1"/>
  <c r="J424" i="3" a="1"/>
  <c r="J424" i="3" s="1"/>
  <c r="B425" i="3" a="1"/>
  <c r="B425" i="3" s="1"/>
  <c r="C425" i="3" a="1"/>
  <c r="C425" i="3" s="1"/>
  <c r="D425" i="3" a="1"/>
  <c r="D425" i="3" s="1"/>
  <c r="E425" i="3" a="1"/>
  <c r="E425" i="3" s="1"/>
  <c r="F425" i="3" a="1"/>
  <c r="F425" i="3" s="1"/>
  <c r="G425" i="3" a="1"/>
  <c r="G425" i="3" s="1"/>
  <c r="J425" i="3" a="1"/>
  <c r="J425" i="3" s="1"/>
  <c r="B426" i="3" a="1"/>
  <c r="B426" i="3" s="1"/>
  <c r="C426" i="3" a="1"/>
  <c r="C426" i="3" s="1"/>
  <c r="D426" i="3" a="1"/>
  <c r="D426" i="3" s="1"/>
  <c r="E426" i="3" a="1"/>
  <c r="E426" i="3" s="1"/>
  <c r="F426" i="3" a="1"/>
  <c r="F426" i="3" s="1"/>
  <c r="G426" i="3" a="1"/>
  <c r="G426" i="3" s="1"/>
  <c r="J426" i="3" a="1"/>
  <c r="J426" i="3" s="1"/>
  <c r="B427" i="3" a="1"/>
  <c r="B427" i="3" s="1"/>
  <c r="C427" i="3" a="1"/>
  <c r="C427" i="3" s="1"/>
  <c r="D427" i="3" a="1"/>
  <c r="D427" i="3" s="1"/>
  <c r="E427" i="3" a="1"/>
  <c r="E427" i="3" s="1"/>
  <c r="F427" i="3" a="1"/>
  <c r="F427" i="3" s="1"/>
  <c r="G427" i="3" a="1"/>
  <c r="G427" i="3" s="1"/>
  <c r="J427" i="3" a="1"/>
  <c r="J427" i="3" s="1"/>
  <c r="B428" i="3" a="1"/>
  <c r="B428" i="3" s="1"/>
  <c r="C428" i="3" a="1"/>
  <c r="C428" i="3" s="1"/>
  <c r="D428" i="3" a="1"/>
  <c r="D428" i="3" s="1"/>
  <c r="E428" i="3" a="1"/>
  <c r="E428" i="3" s="1"/>
  <c r="F428" i="3" a="1"/>
  <c r="F428" i="3" s="1"/>
  <c r="G428" i="3" a="1"/>
  <c r="G428" i="3" s="1"/>
  <c r="J428" i="3" a="1"/>
  <c r="J428" i="3" s="1"/>
  <c r="B429" i="3" a="1"/>
  <c r="B429" i="3" s="1"/>
  <c r="C429" i="3" a="1"/>
  <c r="C429" i="3" s="1"/>
  <c r="D429" i="3" a="1"/>
  <c r="D429" i="3" s="1"/>
  <c r="E429" i="3" a="1"/>
  <c r="E429" i="3" s="1"/>
  <c r="F429" i="3" a="1"/>
  <c r="F429" i="3" s="1"/>
  <c r="G429" i="3" a="1"/>
  <c r="G429" i="3" s="1"/>
  <c r="J429" i="3" a="1"/>
  <c r="J429" i="3" s="1"/>
  <c r="B430" i="3" a="1"/>
  <c r="B430" i="3" s="1"/>
  <c r="C430" i="3" a="1"/>
  <c r="C430" i="3" s="1"/>
  <c r="D430" i="3" a="1"/>
  <c r="D430" i="3" s="1"/>
  <c r="E430" i="3" a="1"/>
  <c r="E430" i="3" s="1"/>
  <c r="F430" i="3" a="1"/>
  <c r="F430" i="3" s="1"/>
  <c r="G430" i="3" a="1"/>
  <c r="G430" i="3" s="1"/>
  <c r="J430" i="3" a="1"/>
  <c r="J430" i="3" s="1"/>
  <c r="B431" i="3" a="1"/>
  <c r="B431" i="3" s="1"/>
  <c r="C431" i="3" a="1"/>
  <c r="C431" i="3" s="1"/>
  <c r="D431" i="3" a="1"/>
  <c r="D431" i="3" s="1"/>
  <c r="E431" i="3" a="1"/>
  <c r="E431" i="3" s="1"/>
  <c r="F431" i="3" a="1"/>
  <c r="F431" i="3" s="1"/>
  <c r="G431" i="3" a="1"/>
  <c r="G431" i="3" s="1"/>
  <c r="J431" i="3" a="1"/>
  <c r="J431" i="3" s="1"/>
  <c r="B432" i="3" a="1"/>
  <c r="B432" i="3" s="1"/>
  <c r="C432" i="3" a="1"/>
  <c r="C432" i="3" s="1"/>
  <c r="D432" i="3" a="1"/>
  <c r="D432" i="3" s="1"/>
  <c r="E432" i="3" a="1"/>
  <c r="E432" i="3" s="1"/>
  <c r="F432" i="3" a="1"/>
  <c r="F432" i="3" s="1"/>
  <c r="G432" i="3" a="1"/>
  <c r="G432" i="3" s="1"/>
  <c r="J432" i="3" a="1"/>
  <c r="J432" i="3" s="1"/>
  <c r="B433" i="3" a="1"/>
  <c r="B433" i="3" s="1"/>
  <c r="C433" i="3" a="1"/>
  <c r="C433" i="3" s="1"/>
  <c r="D433" i="3" a="1"/>
  <c r="D433" i="3" s="1"/>
  <c r="E433" i="3" a="1"/>
  <c r="E433" i="3" s="1"/>
  <c r="F433" i="3" a="1"/>
  <c r="F433" i="3" s="1"/>
  <c r="G433" i="3" a="1"/>
  <c r="G433" i="3" s="1"/>
  <c r="J433" i="3" a="1"/>
  <c r="J433" i="3" s="1"/>
  <c r="B434" i="3" a="1"/>
  <c r="B434" i="3" s="1"/>
  <c r="C434" i="3" a="1"/>
  <c r="C434" i="3" s="1"/>
  <c r="D434" i="3" a="1"/>
  <c r="D434" i="3" s="1"/>
  <c r="E434" i="3" a="1"/>
  <c r="E434" i="3" s="1"/>
  <c r="F434" i="3" a="1"/>
  <c r="F434" i="3" s="1"/>
  <c r="G434" i="3" a="1"/>
  <c r="G434" i="3" s="1"/>
  <c r="J434" i="3" a="1"/>
  <c r="J434" i="3" s="1"/>
  <c r="B435" i="3" a="1"/>
  <c r="B435" i="3" s="1"/>
  <c r="C435" i="3" a="1"/>
  <c r="C435" i="3" s="1"/>
  <c r="D435" i="3" a="1"/>
  <c r="D435" i="3" s="1"/>
  <c r="E435" i="3" a="1"/>
  <c r="E435" i="3" s="1"/>
  <c r="F435" i="3" a="1"/>
  <c r="F435" i="3" s="1"/>
  <c r="G435" i="3" a="1"/>
  <c r="G435" i="3" s="1"/>
  <c r="J435" i="3" a="1"/>
  <c r="J435" i="3" s="1"/>
  <c r="B436" i="3" a="1"/>
  <c r="B436" i="3" s="1"/>
  <c r="C436" i="3" a="1"/>
  <c r="C436" i="3" s="1"/>
  <c r="D436" i="3" a="1"/>
  <c r="D436" i="3" s="1"/>
  <c r="E436" i="3" a="1"/>
  <c r="E436" i="3" s="1"/>
  <c r="F436" i="3" a="1"/>
  <c r="F436" i="3" s="1"/>
  <c r="G436" i="3" a="1"/>
  <c r="G436" i="3" s="1"/>
  <c r="J436" i="3" a="1"/>
  <c r="J436" i="3" s="1"/>
  <c r="B437" i="3" a="1"/>
  <c r="B437" i="3" s="1"/>
  <c r="C437" i="3" a="1"/>
  <c r="C437" i="3" s="1"/>
  <c r="D437" i="3" a="1"/>
  <c r="D437" i="3" s="1"/>
  <c r="E437" i="3" a="1"/>
  <c r="E437" i="3" s="1"/>
  <c r="F437" i="3" a="1"/>
  <c r="F437" i="3" s="1"/>
  <c r="G437" i="3" a="1"/>
  <c r="G437" i="3" s="1"/>
  <c r="J437" i="3" a="1"/>
  <c r="J437" i="3" s="1"/>
  <c r="B438" i="3" a="1"/>
  <c r="B438" i="3" s="1"/>
  <c r="C438" i="3" a="1"/>
  <c r="C438" i="3" s="1"/>
  <c r="D438" i="3" a="1"/>
  <c r="D438" i="3" s="1"/>
  <c r="E438" i="3" a="1"/>
  <c r="E438" i="3" s="1"/>
  <c r="F438" i="3" a="1"/>
  <c r="F438" i="3" s="1"/>
  <c r="G438" i="3" a="1"/>
  <c r="G438" i="3" s="1"/>
  <c r="J438" i="3" a="1"/>
  <c r="J438" i="3" s="1"/>
  <c r="B439" i="3" a="1"/>
  <c r="B439" i="3" s="1"/>
  <c r="C439" i="3" a="1"/>
  <c r="C439" i="3" s="1"/>
  <c r="D439" i="3" a="1"/>
  <c r="D439" i="3" s="1"/>
  <c r="E439" i="3" a="1"/>
  <c r="E439" i="3" s="1"/>
  <c r="F439" i="3" a="1"/>
  <c r="F439" i="3" s="1"/>
  <c r="G439" i="3" a="1"/>
  <c r="G439" i="3" s="1"/>
  <c r="J439" i="3" a="1"/>
  <c r="J439" i="3" s="1"/>
  <c r="B440" i="3" a="1"/>
  <c r="B440" i="3" s="1"/>
  <c r="C440" i="3" a="1"/>
  <c r="C440" i="3" s="1"/>
  <c r="D440" i="3" a="1"/>
  <c r="D440" i="3" s="1"/>
  <c r="E440" i="3" a="1"/>
  <c r="E440" i="3" s="1"/>
  <c r="F440" i="3" a="1"/>
  <c r="F440" i="3" s="1"/>
  <c r="G440" i="3" a="1"/>
  <c r="G440" i="3" s="1"/>
  <c r="J440" i="3" a="1"/>
  <c r="J440" i="3" s="1"/>
  <c r="B441" i="3" a="1"/>
  <c r="B441" i="3" s="1"/>
  <c r="C441" i="3" a="1"/>
  <c r="C441" i="3" s="1"/>
  <c r="D441" i="3" a="1"/>
  <c r="D441" i="3" s="1"/>
  <c r="E441" i="3" a="1"/>
  <c r="E441" i="3" s="1"/>
  <c r="F441" i="3" a="1"/>
  <c r="F441" i="3" s="1"/>
  <c r="G441" i="3" a="1"/>
  <c r="G441" i="3" s="1"/>
  <c r="J441" i="3" a="1"/>
  <c r="J441" i="3" s="1"/>
  <c r="B442" i="3" a="1"/>
  <c r="B442" i="3" s="1"/>
  <c r="C442" i="3" a="1"/>
  <c r="C442" i="3" s="1"/>
  <c r="D442" i="3" a="1"/>
  <c r="D442" i="3" s="1"/>
  <c r="E442" i="3" a="1"/>
  <c r="E442" i="3" s="1"/>
  <c r="F442" i="3" a="1"/>
  <c r="F442" i="3" s="1"/>
  <c r="G442" i="3" a="1"/>
  <c r="G442" i="3" s="1"/>
  <c r="J442" i="3" a="1"/>
  <c r="J442" i="3" s="1"/>
  <c r="B443" i="3" a="1"/>
  <c r="B443" i="3" s="1"/>
  <c r="C443" i="3" a="1"/>
  <c r="C443" i="3" s="1"/>
  <c r="D443" i="3" a="1"/>
  <c r="D443" i="3" s="1"/>
  <c r="E443" i="3" a="1"/>
  <c r="E443" i="3" s="1"/>
  <c r="F443" i="3" a="1"/>
  <c r="F443" i="3" s="1"/>
  <c r="G443" i="3" a="1"/>
  <c r="G443" i="3" s="1"/>
  <c r="J443" i="3" a="1"/>
  <c r="J443" i="3" s="1"/>
  <c r="B444" i="3" a="1"/>
  <c r="B444" i="3" s="1"/>
  <c r="C444" i="3" a="1"/>
  <c r="C444" i="3" s="1"/>
  <c r="D444" i="3" a="1"/>
  <c r="D444" i="3" s="1"/>
  <c r="E444" i="3" a="1"/>
  <c r="E444" i="3" s="1"/>
  <c r="F444" i="3" a="1"/>
  <c r="F444" i="3" s="1"/>
  <c r="G444" i="3" a="1"/>
  <c r="G444" i="3" s="1"/>
  <c r="J444" i="3" a="1"/>
  <c r="J444" i="3" s="1"/>
  <c r="B445" i="3" a="1"/>
  <c r="B445" i="3" s="1"/>
  <c r="C445" i="3" a="1"/>
  <c r="C445" i="3" s="1"/>
  <c r="D445" i="3" a="1"/>
  <c r="D445" i="3" s="1"/>
  <c r="E445" i="3" a="1"/>
  <c r="E445" i="3" s="1"/>
  <c r="F445" i="3" a="1"/>
  <c r="F445" i="3" s="1"/>
  <c r="G445" i="3" a="1"/>
  <c r="G445" i="3" s="1"/>
  <c r="J445" i="3" a="1"/>
  <c r="J445" i="3" s="1"/>
  <c r="B446" i="3" a="1"/>
  <c r="B446" i="3" s="1"/>
  <c r="C446" i="3" a="1"/>
  <c r="C446" i="3" s="1"/>
  <c r="D446" i="3" a="1"/>
  <c r="D446" i="3" s="1"/>
  <c r="E446" i="3" a="1"/>
  <c r="E446" i="3" s="1"/>
  <c r="F446" i="3" a="1"/>
  <c r="F446" i="3" s="1"/>
  <c r="G446" i="3" a="1"/>
  <c r="G446" i="3" s="1"/>
  <c r="J446" i="3" a="1"/>
  <c r="J446" i="3" s="1"/>
  <c r="B447" i="3" a="1"/>
  <c r="B447" i="3" s="1"/>
  <c r="C447" i="3" a="1"/>
  <c r="C447" i="3" s="1"/>
  <c r="D447" i="3" a="1"/>
  <c r="D447" i="3" s="1"/>
  <c r="E447" i="3" a="1"/>
  <c r="E447" i="3" s="1"/>
  <c r="F447" i="3" a="1"/>
  <c r="F447" i="3" s="1"/>
  <c r="G447" i="3" a="1"/>
  <c r="G447" i="3" s="1"/>
  <c r="J447" i="3" a="1"/>
  <c r="J447" i="3" s="1"/>
  <c r="B448" i="3" a="1"/>
  <c r="B448" i="3" s="1"/>
  <c r="C448" i="3" a="1"/>
  <c r="C448" i="3" s="1"/>
  <c r="D448" i="3" a="1"/>
  <c r="D448" i="3" s="1"/>
  <c r="E448" i="3" a="1"/>
  <c r="E448" i="3" s="1"/>
  <c r="F448" i="3" a="1"/>
  <c r="F448" i="3" s="1"/>
  <c r="G448" i="3" a="1"/>
  <c r="G448" i="3" s="1"/>
  <c r="J448" i="3" a="1"/>
  <c r="J448" i="3" s="1"/>
  <c r="B449" i="3" a="1"/>
  <c r="B449" i="3" s="1"/>
  <c r="C449" i="3" a="1"/>
  <c r="C449" i="3" s="1"/>
  <c r="D449" i="3" a="1"/>
  <c r="D449" i="3" s="1"/>
  <c r="E449" i="3" a="1"/>
  <c r="E449" i="3" s="1"/>
  <c r="F449" i="3" a="1"/>
  <c r="F449" i="3" s="1"/>
  <c r="G449" i="3" a="1"/>
  <c r="G449" i="3" s="1"/>
  <c r="J449" i="3" a="1"/>
  <c r="J449" i="3" s="1"/>
  <c r="B450" i="3" a="1"/>
  <c r="B450" i="3" s="1"/>
  <c r="C450" i="3" a="1"/>
  <c r="C450" i="3" s="1"/>
  <c r="D450" i="3" a="1"/>
  <c r="D450" i="3" s="1"/>
  <c r="E450" i="3" a="1"/>
  <c r="E450" i="3" s="1"/>
  <c r="F450" i="3" a="1"/>
  <c r="F450" i="3" s="1"/>
  <c r="G450" i="3" a="1"/>
  <c r="G450" i="3" s="1"/>
  <c r="J450" i="3" a="1"/>
  <c r="J450" i="3" s="1"/>
  <c r="B451" i="3" a="1"/>
  <c r="B451" i="3" s="1"/>
  <c r="C451" i="3" a="1"/>
  <c r="C451" i="3" s="1"/>
  <c r="D451" i="3" a="1"/>
  <c r="D451" i="3" s="1"/>
  <c r="E451" i="3" a="1"/>
  <c r="E451" i="3" s="1"/>
  <c r="F451" i="3" a="1"/>
  <c r="F451" i="3" s="1"/>
  <c r="G451" i="3" a="1"/>
  <c r="G451" i="3" s="1"/>
  <c r="J451" i="3" a="1"/>
  <c r="J451" i="3" s="1"/>
  <c r="B452" i="3" a="1"/>
  <c r="B452" i="3" s="1"/>
  <c r="C452" i="3" a="1"/>
  <c r="C452" i="3" s="1"/>
  <c r="D452" i="3" a="1"/>
  <c r="D452" i="3" s="1"/>
  <c r="E452" i="3" a="1"/>
  <c r="E452" i="3" s="1"/>
  <c r="F452" i="3" a="1"/>
  <c r="F452" i="3" s="1"/>
  <c r="G452" i="3" a="1"/>
  <c r="G452" i="3" s="1"/>
  <c r="J452" i="3" a="1"/>
  <c r="J452" i="3" s="1"/>
  <c r="B453" i="3" a="1"/>
  <c r="B453" i="3" s="1"/>
  <c r="C453" i="3" a="1"/>
  <c r="C453" i="3" s="1"/>
  <c r="D453" i="3" a="1"/>
  <c r="D453" i="3" s="1"/>
  <c r="E453" i="3" a="1"/>
  <c r="E453" i="3" s="1"/>
  <c r="F453" i="3" a="1"/>
  <c r="F453" i="3" s="1"/>
  <c r="G453" i="3" a="1"/>
  <c r="G453" i="3" s="1"/>
  <c r="J453" i="3" a="1"/>
  <c r="J453" i="3" s="1"/>
  <c r="B454" i="3" a="1"/>
  <c r="B454" i="3" s="1"/>
  <c r="C454" i="3" a="1"/>
  <c r="C454" i="3" s="1"/>
  <c r="D454" i="3" a="1"/>
  <c r="D454" i="3" s="1"/>
  <c r="E454" i="3" a="1"/>
  <c r="E454" i="3" s="1"/>
  <c r="F454" i="3" a="1"/>
  <c r="F454" i="3" s="1"/>
  <c r="G454" i="3" a="1"/>
  <c r="G454" i="3" s="1"/>
  <c r="J454" i="3" a="1"/>
  <c r="J454" i="3" s="1"/>
  <c r="B455" i="3" a="1"/>
  <c r="B455" i="3" s="1"/>
  <c r="C455" i="3" a="1"/>
  <c r="C455" i="3" s="1"/>
  <c r="D455" i="3" a="1"/>
  <c r="D455" i="3" s="1"/>
  <c r="E455" i="3" a="1"/>
  <c r="E455" i="3" s="1"/>
  <c r="F455" i="3" a="1"/>
  <c r="F455" i="3" s="1"/>
  <c r="G455" i="3" a="1"/>
  <c r="G455" i="3" s="1"/>
  <c r="J455" i="3" a="1"/>
  <c r="J455" i="3" s="1"/>
  <c r="B456" i="3" a="1"/>
  <c r="B456" i="3" s="1"/>
  <c r="C456" i="3" a="1"/>
  <c r="C456" i="3" s="1"/>
  <c r="D456" i="3" a="1"/>
  <c r="D456" i="3" s="1"/>
  <c r="E456" i="3" a="1"/>
  <c r="E456" i="3" s="1"/>
  <c r="F456" i="3" a="1"/>
  <c r="F456" i="3" s="1"/>
  <c r="G456" i="3" a="1"/>
  <c r="G456" i="3" s="1"/>
  <c r="J456" i="3" a="1"/>
  <c r="J456" i="3" s="1"/>
  <c r="B457" i="3" a="1"/>
  <c r="B457" i="3" s="1"/>
  <c r="C457" i="3" a="1"/>
  <c r="C457" i="3" s="1"/>
  <c r="D457" i="3" a="1"/>
  <c r="D457" i="3" s="1"/>
  <c r="E457" i="3" a="1"/>
  <c r="E457" i="3" s="1"/>
  <c r="F457" i="3" a="1"/>
  <c r="F457" i="3" s="1"/>
  <c r="G457" i="3" a="1"/>
  <c r="G457" i="3" s="1"/>
  <c r="J457" i="3" a="1"/>
  <c r="J457" i="3" s="1"/>
  <c r="B458" i="3" a="1"/>
  <c r="B458" i="3" s="1"/>
  <c r="C458" i="3" a="1"/>
  <c r="C458" i="3" s="1"/>
  <c r="D458" i="3" a="1"/>
  <c r="D458" i="3" s="1"/>
  <c r="E458" i="3" a="1"/>
  <c r="E458" i="3" s="1"/>
  <c r="F458" i="3" a="1"/>
  <c r="F458" i="3" s="1"/>
  <c r="G458" i="3" a="1"/>
  <c r="G458" i="3" s="1"/>
  <c r="J458" i="3" a="1"/>
  <c r="J458" i="3" s="1"/>
  <c r="B459" i="3" a="1"/>
  <c r="B459" i="3" s="1"/>
  <c r="C459" i="3" a="1"/>
  <c r="C459" i="3" s="1"/>
  <c r="D459" i="3" a="1"/>
  <c r="D459" i="3" s="1"/>
  <c r="E459" i="3" a="1"/>
  <c r="E459" i="3" s="1"/>
  <c r="F459" i="3" a="1"/>
  <c r="F459" i="3" s="1"/>
  <c r="G459" i="3" a="1"/>
  <c r="G459" i="3" s="1"/>
  <c r="J459" i="3" a="1"/>
  <c r="J459" i="3" s="1"/>
  <c r="B460" i="3" a="1"/>
  <c r="B460" i="3" s="1"/>
  <c r="C460" i="3" a="1"/>
  <c r="C460" i="3" s="1"/>
  <c r="D460" i="3" a="1"/>
  <c r="D460" i="3" s="1"/>
  <c r="E460" i="3" a="1"/>
  <c r="E460" i="3" s="1"/>
  <c r="F460" i="3" a="1"/>
  <c r="F460" i="3" s="1"/>
  <c r="G460" i="3" a="1"/>
  <c r="G460" i="3" s="1"/>
  <c r="J460" i="3" a="1"/>
  <c r="J460" i="3" s="1"/>
  <c r="B461" i="3" a="1"/>
  <c r="B461" i="3" s="1"/>
  <c r="C461" i="3" a="1"/>
  <c r="C461" i="3" s="1"/>
  <c r="D461" i="3" a="1"/>
  <c r="D461" i="3" s="1"/>
  <c r="E461" i="3" a="1"/>
  <c r="E461" i="3" s="1"/>
  <c r="F461" i="3" a="1"/>
  <c r="F461" i="3" s="1"/>
  <c r="G461" i="3" a="1"/>
  <c r="G461" i="3" s="1"/>
  <c r="J461" i="3" a="1"/>
  <c r="J461" i="3" s="1"/>
  <c r="B462" i="3" a="1"/>
  <c r="B462" i="3" s="1"/>
  <c r="C462" i="3" a="1"/>
  <c r="C462" i="3" s="1"/>
  <c r="D462" i="3" a="1"/>
  <c r="D462" i="3" s="1"/>
  <c r="E462" i="3" a="1"/>
  <c r="E462" i="3" s="1"/>
  <c r="F462" i="3" a="1"/>
  <c r="F462" i="3" s="1"/>
  <c r="G462" i="3" a="1"/>
  <c r="G462" i="3" s="1"/>
  <c r="J462" i="3" a="1"/>
  <c r="J462" i="3" s="1"/>
  <c r="B463" i="3" a="1"/>
  <c r="B463" i="3" s="1"/>
  <c r="C463" i="3" a="1"/>
  <c r="C463" i="3" s="1"/>
  <c r="D463" i="3" a="1"/>
  <c r="D463" i="3" s="1"/>
  <c r="E463" i="3" a="1"/>
  <c r="E463" i="3" s="1"/>
  <c r="F463" i="3" a="1"/>
  <c r="F463" i="3" s="1"/>
  <c r="G463" i="3" a="1"/>
  <c r="G463" i="3" s="1"/>
  <c r="J463" i="3" a="1"/>
  <c r="J463" i="3" s="1"/>
  <c r="B464" i="3" a="1"/>
  <c r="B464" i="3" s="1"/>
  <c r="C464" i="3" a="1"/>
  <c r="C464" i="3" s="1"/>
  <c r="D464" i="3" a="1"/>
  <c r="D464" i="3" s="1"/>
  <c r="E464" i="3" a="1"/>
  <c r="E464" i="3" s="1"/>
  <c r="F464" i="3" a="1"/>
  <c r="F464" i="3" s="1"/>
  <c r="G464" i="3" a="1"/>
  <c r="G464" i="3" s="1"/>
  <c r="J464" i="3" a="1"/>
  <c r="J464" i="3" s="1"/>
  <c r="B465" i="3" a="1"/>
  <c r="B465" i="3" s="1"/>
  <c r="C465" i="3" a="1"/>
  <c r="C465" i="3" s="1"/>
  <c r="D465" i="3" a="1"/>
  <c r="D465" i="3" s="1"/>
  <c r="E465" i="3" a="1"/>
  <c r="E465" i="3" s="1"/>
  <c r="F465" i="3" a="1"/>
  <c r="F465" i="3" s="1"/>
  <c r="G465" i="3" a="1"/>
  <c r="G465" i="3" s="1"/>
  <c r="J465" i="3" a="1"/>
  <c r="J465" i="3" s="1"/>
  <c r="B466" i="3" a="1"/>
  <c r="B466" i="3" s="1"/>
  <c r="C466" i="3" a="1"/>
  <c r="C466" i="3" s="1"/>
  <c r="D466" i="3" a="1"/>
  <c r="D466" i="3" s="1"/>
  <c r="E466" i="3" a="1"/>
  <c r="E466" i="3" s="1"/>
  <c r="F466" i="3" a="1"/>
  <c r="F466" i="3" s="1"/>
  <c r="G466" i="3" a="1"/>
  <c r="G466" i="3" s="1"/>
  <c r="J466" i="3" a="1"/>
  <c r="J466" i="3" s="1"/>
  <c r="B467" i="3" a="1"/>
  <c r="B467" i="3" s="1"/>
  <c r="C467" i="3" a="1"/>
  <c r="C467" i="3" s="1"/>
  <c r="D467" i="3" a="1"/>
  <c r="D467" i="3" s="1"/>
  <c r="E467" i="3" a="1"/>
  <c r="E467" i="3" s="1"/>
  <c r="F467" i="3" a="1"/>
  <c r="F467" i="3" s="1"/>
  <c r="G467" i="3" a="1"/>
  <c r="G467" i="3" s="1"/>
  <c r="J467" i="3" a="1"/>
  <c r="J467" i="3" s="1"/>
  <c r="B468" i="3" a="1"/>
  <c r="B468" i="3" s="1"/>
  <c r="C468" i="3" a="1"/>
  <c r="C468" i="3" s="1"/>
  <c r="D468" i="3" a="1"/>
  <c r="D468" i="3" s="1"/>
  <c r="E468" i="3" a="1"/>
  <c r="E468" i="3" s="1"/>
  <c r="F468" i="3" a="1"/>
  <c r="F468" i="3" s="1"/>
  <c r="G468" i="3" a="1"/>
  <c r="G468" i="3" s="1"/>
  <c r="J468" i="3" a="1"/>
  <c r="J468" i="3" s="1"/>
  <c r="B469" i="3" a="1"/>
  <c r="B469" i="3" s="1"/>
  <c r="C469" i="3" a="1"/>
  <c r="C469" i="3" s="1"/>
  <c r="D469" i="3" a="1"/>
  <c r="D469" i="3" s="1"/>
  <c r="E469" i="3" a="1"/>
  <c r="E469" i="3" s="1"/>
  <c r="F469" i="3" a="1"/>
  <c r="F469" i="3" s="1"/>
  <c r="G469" i="3" a="1"/>
  <c r="G469" i="3" s="1"/>
  <c r="J469" i="3" a="1"/>
  <c r="J469" i="3" s="1"/>
  <c r="B470" i="3" a="1"/>
  <c r="B470" i="3" s="1"/>
  <c r="C470" i="3" a="1"/>
  <c r="C470" i="3" s="1"/>
  <c r="D470" i="3" a="1"/>
  <c r="D470" i="3" s="1"/>
  <c r="E470" i="3" a="1"/>
  <c r="E470" i="3" s="1"/>
  <c r="F470" i="3" a="1"/>
  <c r="F470" i="3" s="1"/>
  <c r="G470" i="3" a="1"/>
  <c r="G470" i="3" s="1"/>
  <c r="J470" i="3" a="1"/>
  <c r="J470" i="3" s="1"/>
  <c r="B471" i="3" a="1"/>
  <c r="B471" i="3" s="1"/>
  <c r="C471" i="3" a="1"/>
  <c r="C471" i="3" s="1"/>
  <c r="D471" i="3" a="1"/>
  <c r="D471" i="3" s="1"/>
  <c r="E471" i="3" a="1"/>
  <c r="E471" i="3" s="1"/>
  <c r="F471" i="3" a="1"/>
  <c r="F471" i="3" s="1"/>
  <c r="G471" i="3" a="1"/>
  <c r="G471" i="3" s="1"/>
  <c r="J471" i="3" a="1"/>
  <c r="J471" i="3" s="1"/>
  <c r="B472" i="3" a="1"/>
  <c r="B472" i="3" s="1"/>
  <c r="C472" i="3" a="1"/>
  <c r="C472" i="3" s="1"/>
  <c r="D472" i="3" a="1"/>
  <c r="D472" i="3" s="1"/>
  <c r="E472" i="3" a="1"/>
  <c r="E472" i="3" s="1"/>
  <c r="F472" i="3" a="1"/>
  <c r="F472" i="3" s="1"/>
  <c r="G472" i="3" a="1"/>
  <c r="G472" i="3" s="1"/>
  <c r="J472" i="3" a="1"/>
  <c r="J472" i="3" s="1"/>
  <c r="B473" i="3" a="1"/>
  <c r="B473" i="3" s="1"/>
  <c r="C473" i="3" a="1"/>
  <c r="C473" i="3" s="1"/>
  <c r="D473" i="3" a="1"/>
  <c r="D473" i="3" s="1"/>
  <c r="E473" i="3" a="1"/>
  <c r="E473" i="3" s="1"/>
  <c r="F473" i="3" a="1"/>
  <c r="F473" i="3" s="1"/>
  <c r="G473" i="3" a="1"/>
  <c r="G473" i="3" s="1"/>
  <c r="J473" i="3" a="1"/>
  <c r="J473" i="3" s="1"/>
  <c r="B474" i="3" a="1"/>
  <c r="B474" i="3" s="1"/>
  <c r="C474" i="3" a="1"/>
  <c r="C474" i="3" s="1"/>
  <c r="D474" i="3" a="1"/>
  <c r="D474" i="3" s="1"/>
  <c r="E474" i="3" a="1"/>
  <c r="E474" i="3" s="1"/>
  <c r="F474" i="3" a="1"/>
  <c r="F474" i="3" s="1"/>
  <c r="G474" i="3" a="1"/>
  <c r="G474" i="3" s="1"/>
  <c r="J474" i="3" a="1"/>
  <c r="J474" i="3" s="1"/>
  <c r="B475" i="3" a="1"/>
  <c r="B475" i="3" s="1"/>
  <c r="C475" i="3" a="1"/>
  <c r="C475" i="3" s="1"/>
  <c r="D475" i="3" a="1"/>
  <c r="D475" i="3" s="1"/>
  <c r="E475" i="3" a="1"/>
  <c r="E475" i="3" s="1"/>
  <c r="F475" i="3" a="1"/>
  <c r="F475" i="3" s="1"/>
  <c r="G475" i="3" a="1"/>
  <c r="G475" i="3" s="1"/>
  <c r="J475" i="3" a="1"/>
  <c r="J475" i="3" s="1"/>
  <c r="B476" i="3" a="1"/>
  <c r="B476" i="3" s="1"/>
  <c r="C476" i="3" a="1"/>
  <c r="C476" i="3" s="1"/>
  <c r="D476" i="3" a="1"/>
  <c r="D476" i="3" s="1"/>
  <c r="E476" i="3" a="1"/>
  <c r="E476" i="3" s="1"/>
  <c r="F476" i="3" a="1"/>
  <c r="F476" i="3" s="1"/>
  <c r="G476" i="3" a="1"/>
  <c r="G476" i="3" s="1"/>
  <c r="J476" i="3" a="1"/>
  <c r="J476" i="3" s="1"/>
  <c r="B477" i="3" a="1"/>
  <c r="B477" i="3" s="1"/>
  <c r="C477" i="3" a="1"/>
  <c r="C477" i="3" s="1"/>
  <c r="D477" i="3" a="1"/>
  <c r="D477" i="3" s="1"/>
  <c r="E477" i="3" a="1"/>
  <c r="E477" i="3" s="1"/>
  <c r="F477" i="3" a="1"/>
  <c r="F477" i="3" s="1"/>
  <c r="G477" i="3" a="1"/>
  <c r="G477" i="3" s="1"/>
  <c r="J477" i="3" a="1"/>
  <c r="J477" i="3" s="1"/>
  <c r="B478" i="3" a="1"/>
  <c r="B478" i="3" s="1"/>
  <c r="C478" i="3" a="1"/>
  <c r="C478" i="3" s="1"/>
  <c r="D478" i="3" a="1"/>
  <c r="D478" i="3" s="1"/>
  <c r="E478" i="3" a="1"/>
  <c r="E478" i="3" s="1"/>
  <c r="F478" i="3" a="1"/>
  <c r="F478" i="3" s="1"/>
  <c r="G478" i="3" a="1"/>
  <c r="G478" i="3" s="1"/>
  <c r="J478" i="3" a="1"/>
  <c r="J478" i="3" s="1"/>
  <c r="B479" i="3" a="1"/>
  <c r="B479" i="3" s="1"/>
  <c r="C479" i="3" a="1"/>
  <c r="C479" i="3" s="1"/>
  <c r="D479" i="3" a="1"/>
  <c r="D479" i="3" s="1"/>
  <c r="E479" i="3" a="1"/>
  <c r="E479" i="3" s="1"/>
  <c r="F479" i="3" a="1"/>
  <c r="F479" i="3" s="1"/>
  <c r="G479" i="3" a="1"/>
  <c r="G479" i="3" s="1"/>
  <c r="J479" i="3" a="1"/>
  <c r="J479" i="3" s="1"/>
  <c r="B480" i="3" a="1"/>
  <c r="B480" i="3" s="1"/>
  <c r="C480" i="3" a="1"/>
  <c r="C480" i="3" s="1"/>
  <c r="D480" i="3" a="1"/>
  <c r="D480" i="3" s="1"/>
  <c r="E480" i="3" a="1"/>
  <c r="E480" i="3" s="1"/>
  <c r="F480" i="3" a="1"/>
  <c r="F480" i="3" s="1"/>
  <c r="G480" i="3" a="1"/>
  <c r="G480" i="3" s="1"/>
  <c r="J480" i="3" a="1"/>
  <c r="J480" i="3" s="1"/>
  <c r="B481" i="3" a="1"/>
  <c r="B481" i="3" s="1"/>
  <c r="C481" i="3" a="1"/>
  <c r="C481" i="3" s="1"/>
  <c r="D481" i="3" a="1"/>
  <c r="D481" i="3" s="1"/>
  <c r="E481" i="3" a="1"/>
  <c r="E481" i="3" s="1"/>
  <c r="F481" i="3" a="1"/>
  <c r="F481" i="3" s="1"/>
  <c r="G481" i="3" a="1"/>
  <c r="G481" i="3" s="1"/>
  <c r="J481" i="3" a="1"/>
  <c r="J481" i="3" s="1"/>
  <c r="B482" i="3" a="1"/>
  <c r="B482" i="3" s="1"/>
  <c r="C482" i="3" a="1"/>
  <c r="C482" i="3" s="1"/>
  <c r="D482" i="3" a="1"/>
  <c r="D482" i="3" s="1"/>
  <c r="E482" i="3" a="1"/>
  <c r="E482" i="3" s="1"/>
  <c r="F482" i="3" a="1"/>
  <c r="F482" i="3" s="1"/>
  <c r="G482" i="3" a="1"/>
  <c r="G482" i="3" s="1"/>
  <c r="J482" i="3" a="1"/>
  <c r="J482" i="3" s="1"/>
  <c r="B483" i="3" a="1"/>
  <c r="B483" i="3" s="1"/>
  <c r="C483" i="3" a="1"/>
  <c r="C483" i="3" s="1"/>
  <c r="D483" i="3" a="1"/>
  <c r="D483" i="3" s="1"/>
  <c r="E483" i="3" a="1"/>
  <c r="E483" i="3" s="1"/>
  <c r="F483" i="3" a="1"/>
  <c r="F483" i="3" s="1"/>
  <c r="G483" i="3" a="1"/>
  <c r="G483" i="3" s="1"/>
  <c r="J483" i="3" a="1"/>
  <c r="J483" i="3" s="1"/>
  <c r="B484" i="3" a="1"/>
  <c r="B484" i="3" s="1"/>
  <c r="C484" i="3" a="1"/>
  <c r="C484" i="3" s="1"/>
  <c r="D484" i="3" a="1"/>
  <c r="D484" i="3" s="1"/>
  <c r="E484" i="3" a="1"/>
  <c r="E484" i="3" s="1"/>
  <c r="F484" i="3" a="1"/>
  <c r="F484" i="3" s="1"/>
  <c r="G484" i="3" a="1"/>
  <c r="G484" i="3" s="1"/>
  <c r="J484" i="3" a="1"/>
  <c r="J484" i="3" s="1"/>
  <c r="B485" i="3" a="1"/>
  <c r="B485" i="3" s="1"/>
  <c r="C485" i="3" a="1"/>
  <c r="C485" i="3" s="1"/>
  <c r="D485" i="3" a="1"/>
  <c r="D485" i="3" s="1"/>
  <c r="E485" i="3" a="1"/>
  <c r="E485" i="3" s="1"/>
  <c r="F485" i="3" a="1"/>
  <c r="F485" i="3" s="1"/>
  <c r="G485" i="3" a="1"/>
  <c r="G485" i="3" s="1"/>
  <c r="J485" i="3" a="1"/>
  <c r="J485" i="3" s="1"/>
  <c r="B486" i="3" a="1"/>
  <c r="B486" i="3" s="1"/>
  <c r="C486" i="3" a="1"/>
  <c r="C486" i="3" s="1"/>
  <c r="D486" i="3" a="1"/>
  <c r="D486" i="3" s="1"/>
  <c r="E486" i="3" a="1"/>
  <c r="E486" i="3" s="1"/>
  <c r="F486" i="3" a="1"/>
  <c r="F486" i="3" s="1"/>
  <c r="G486" i="3" a="1"/>
  <c r="G486" i="3" s="1"/>
  <c r="J486" i="3" a="1"/>
  <c r="J486" i="3" s="1"/>
  <c r="B487" i="3" a="1"/>
  <c r="B487" i="3" s="1"/>
  <c r="C487" i="3" a="1"/>
  <c r="C487" i="3" s="1"/>
  <c r="D487" i="3" a="1"/>
  <c r="D487" i="3" s="1"/>
  <c r="E487" i="3" a="1"/>
  <c r="E487" i="3" s="1"/>
  <c r="F487" i="3" a="1"/>
  <c r="F487" i="3" s="1"/>
  <c r="G487" i="3" a="1"/>
  <c r="G487" i="3" s="1"/>
  <c r="J487" i="3" a="1"/>
  <c r="J487" i="3" s="1"/>
  <c r="B488" i="3" a="1"/>
  <c r="B488" i="3" s="1"/>
  <c r="C488" i="3" a="1"/>
  <c r="C488" i="3" s="1"/>
  <c r="D488" i="3" a="1"/>
  <c r="D488" i="3" s="1"/>
  <c r="E488" i="3" a="1"/>
  <c r="E488" i="3" s="1"/>
  <c r="F488" i="3" a="1"/>
  <c r="F488" i="3" s="1"/>
  <c r="G488" i="3" a="1"/>
  <c r="G488" i="3" s="1"/>
  <c r="J488" i="3" a="1"/>
  <c r="J488" i="3" s="1"/>
  <c r="B489" i="3" a="1"/>
  <c r="B489" i="3" s="1"/>
  <c r="C489" i="3" a="1"/>
  <c r="C489" i="3" s="1"/>
  <c r="D489" i="3" a="1"/>
  <c r="D489" i="3" s="1"/>
  <c r="E489" i="3" a="1"/>
  <c r="E489" i="3" s="1"/>
  <c r="F489" i="3" a="1"/>
  <c r="F489" i="3" s="1"/>
  <c r="G489" i="3" a="1"/>
  <c r="G489" i="3" s="1"/>
  <c r="J489" i="3" a="1"/>
  <c r="J489" i="3" s="1"/>
  <c r="B490" i="3" a="1"/>
  <c r="B490" i="3" s="1"/>
  <c r="C490" i="3" a="1"/>
  <c r="C490" i="3" s="1"/>
  <c r="D490" i="3" a="1"/>
  <c r="D490" i="3" s="1"/>
  <c r="E490" i="3" a="1"/>
  <c r="E490" i="3" s="1"/>
  <c r="F490" i="3" a="1"/>
  <c r="F490" i="3" s="1"/>
  <c r="G490" i="3" a="1"/>
  <c r="G490" i="3" s="1"/>
  <c r="J490" i="3" a="1"/>
  <c r="J490" i="3" s="1"/>
  <c r="B491" i="3" a="1"/>
  <c r="B491" i="3" s="1"/>
  <c r="C491" i="3" a="1"/>
  <c r="C491" i="3" s="1"/>
  <c r="D491" i="3" a="1"/>
  <c r="D491" i="3" s="1"/>
  <c r="E491" i="3" a="1"/>
  <c r="E491" i="3" s="1"/>
  <c r="F491" i="3" a="1"/>
  <c r="F491" i="3" s="1"/>
  <c r="G491" i="3" a="1"/>
  <c r="G491" i="3" s="1"/>
  <c r="J491" i="3" a="1"/>
  <c r="J491" i="3" s="1"/>
  <c r="B492" i="3" a="1"/>
  <c r="B492" i="3" s="1"/>
  <c r="C492" i="3" a="1"/>
  <c r="C492" i="3" s="1"/>
  <c r="D492" i="3" a="1"/>
  <c r="D492" i="3" s="1"/>
  <c r="E492" i="3" a="1"/>
  <c r="E492" i="3" s="1"/>
  <c r="F492" i="3" a="1"/>
  <c r="F492" i="3" s="1"/>
  <c r="G492" i="3" a="1"/>
  <c r="G492" i="3" s="1"/>
  <c r="J492" i="3" a="1"/>
  <c r="J492" i="3" s="1"/>
  <c r="B493" i="3" a="1"/>
  <c r="B493" i="3" s="1"/>
  <c r="C493" i="3" a="1"/>
  <c r="C493" i="3" s="1"/>
  <c r="D493" i="3" a="1"/>
  <c r="D493" i="3" s="1"/>
  <c r="E493" i="3" a="1"/>
  <c r="E493" i="3" s="1"/>
  <c r="F493" i="3" a="1"/>
  <c r="F493" i="3" s="1"/>
  <c r="G493" i="3" a="1"/>
  <c r="G493" i="3" s="1"/>
  <c r="J493" i="3" a="1"/>
  <c r="J493" i="3" s="1"/>
  <c r="B494" i="3" a="1"/>
  <c r="B494" i="3" s="1"/>
  <c r="C494" i="3" a="1"/>
  <c r="C494" i="3" s="1"/>
  <c r="D494" i="3" a="1"/>
  <c r="D494" i="3" s="1"/>
  <c r="E494" i="3" a="1"/>
  <c r="E494" i="3" s="1"/>
  <c r="F494" i="3" a="1"/>
  <c r="F494" i="3" s="1"/>
  <c r="G494" i="3" a="1"/>
  <c r="G494" i="3" s="1"/>
  <c r="J494" i="3" a="1"/>
  <c r="J494" i="3" s="1"/>
  <c r="B495" i="3" a="1"/>
  <c r="B495" i="3" s="1"/>
  <c r="C495" i="3" a="1"/>
  <c r="C495" i="3" s="1"/>
  <c r="D495" i="3" a="1"/>
  <c r="D495" i="3" s="1"/>
  <c r="E495" i="3" a="1"/>
  <c r="E495" i="3" s="1"/>
  <c r="F495" i="3" a="1"/>
  <c r="F495" i="3" s="1"/>
  <c r="G495" i="3" a="1"/>
  <c r="G495" i="3" s="1"/>
  <c r="J495" i="3" a="1"/>
  <c r="J495" i="3" s="1"/>
  <c r="B496" i="3" a="1"/>
  <c r="B496" i="3" s="1"/>
  <c r="C496" i="3" a="1"/>
  <c r="C496" i="3" s="1"/>
  <c r="D496" i="3" a="1"/>
  <c r="D496" i="3" s="1"/>
  <c r="E496" i="3" a="1"/>
  <c r="E496" i="3" s="1"/>
  <c r="F496" i="3" a="1"/>
  <c r="F496" i="3" s="1"/>
  <c r="G496" i="3" a="1"/>
  <c r="G496" i="3" s="1"/>
  <c r="J496" i="3" a="1"/>
  <c r="J496" i="3" s="1"/>
  <c r="B497" i="3" a="1"/>
  <c r="B497" i="3" s="1"/>
  <c r="C497" i="3" a="1"/>
  <c r="C497" i="3" s="1"/>
  <c r="D497" i="3" a="1"/>
  <c r="D497" i="3" s="1"/>
  <c r="E497" i="3" a="1"/>
  <c r="E497" i="3" s="1"/>
  <c r="F497" i="3" a="1"/>
  <c r="F497" i="3" s="1"/>
  <c r="G497" i="3" a="1"/>
  <c r="G497" i="3" s="1"/>
  <c r="J497" i="3" a="1"/>
  <c r="J497" i="3" s="1"/>
  <c r="B498" i="3" a="1"/>
  <c r="B498" i="3" s="1"/>
  <c r="C498" i="3" a="1"/>
  <c r="C498" i="3" s="1"/>
  <c r="D498" i="3" a="1"/>
  <c r="D498" i="3" s="1"/>
  <c r="E498" i="3" a="1"/>
  <c r="E498" i="3" s="1"/>
  <c r="F498" i="3" a="1"/>
  <c r="F498" i="3" s="1"/>
  <c r="G498" i="3" a="1"/>
  <c r="G498" i="3" s="1"/>
  <c r="J498" i="3" a="1"/>
  <c r="J498" i="3" s="1"/>
  <c r="B499" i="3" a="1"/>
  <c r="B499" i="3" s="1"/>
  <c r="C499" i="3" a="1"/>
  <c r="C499" i="3" s="1"/>
  <c r="D499" i="3" a="1"/>
  <c r="D499" i="3" s="1"/>
  <c r="E499" i="3" a="1"/>
  <c r="E499" i="3" s="1"/>
  <c r="F499" i="3" a="1"/>
  <c r="F499" i="3" s="1"/>
  <c r="G499" i="3" a="1"/>
  <c r="G499" i="3" s="1"/>
  <c r="J499" i="3" a="1"/>
  <c r="J499" i="3" s="1"/>
  <c r="B500" i="3" a="1"/>
  <c r="B500" i="3" s="1"/>
  <c r="C500" i="3" a="1"/>
  <c r="C500" i="3" s="1"/>
  <c r="D500" i="3" a="1"/>
  <c r="D500" i="3" s="1"/>
  <c r="E500" i="3" a="1"/>
  <c r="E500" i="3" s="1"/>
  <c r="F500" i="3" a="1"/>
  <c r="F500" i="3" s="1"/>
  <c r="G500" i="3" a="1"/>
  <c r="G500" i="3" s="1"/>
  <c r="J500" i="3" a="1"/>
  <c r="J500" i="3" s="1"/>
  <c r="B501" i="3" a="1"/>
  <c r="B501" i="3" s="1"/>
  <c r="C501" i="3" a="1"/>
  <c r="C501" i="3" s="1"/>
  <c r="D501" i="3" a="1"/>
  <c r="D501" i="3" s="1"/>
  <c r="E501" i="3" a="1"/>
  <c r="E501" i="3" s="1"/>
  <c r="F501" i="3" a="1"/>
  <c r="F501" i="3" s="1"/>
  <c r="G501" i="3" a="1"/>
  <c r="G501" i="3" s="1"/>
  <c r="J501" i="3" a="1"/>
  <c r="J501" i="3" s="1"/>
  <c r="B502" i="3" a="1"/>
  <c r="B502" i="3" s="1"/>
  <c r="C502" i="3" a="1"/>
  <c r="C502" i="3" s="1"/>
  <c r="D502" i="3" a="1"/>
  <c r="D502" i="3" s="1"/>
  <c r="E502" i="3" a="1"/>
  <c r="E502" i="3" s="1"/>
  <c r="F502" i="3" a="1"/>
  <c r="F502" i="3" s="1"/>
  <c r="G502" i="3" a="1"/>
  <c r="G502" i="3" s="1"/>
  <c r="J502" i="3" a="1"/>
  <c r="J502" i="3" s="1"/>
  <c r="B503" i="3" a="1"/>
  <c r="B503" i="3" s="1"/>
  <c r="C503" i="3" a="1"/>
  <c r="C503" i="3" s="1"/>
  <c r="D503" i="3" a="1"/>
  <c r="D503" i="3" s="1"/>
  <c r="E503" i="3" a="1"/>
  <c r="E503" i="3" s="1"/>
  <c r="F503" i="3" a="1"/>
  <c r="F503" i="3" s="1"/>
  <c r="G503" i="3" a="1"/>
  <c r="G503" i="3" s="1"/>
  <c r="J503" i="3" a="1"/>
  <c r="J503" i="3" s="1"/>
  <c r="B504" i="3" a="1"/>
  <c r="B504" i="3" s="1"/>
  <c r="C504" i="3" a="1"/>
  <c r="C504" i="3" s="1"/>
  <c r="D504" i="3" a="1"/>
  <c r="D504" i="3" s="1"/>
  <c r="E504" i="3" a="1"/>
  <c r="E504" i="3" s="1"/>
  <c r="F504" i="3" a="1"/>
  <c r="F504" i="3" s="1"/>
  <c r="G504" i="3" a="1"/>
  <c r="G504" i="3" s="1"/>
  <c r="J504" i="3" a="1"/>
  <c r="J504" i="3" s="1"/>
  <c r="B505" i="3" a="1"/>
  <c r="B505" i="3" s="1"/>
  <c r="C505" i="3" a="1"/>
  <c r="C505" i="3" s="1"/>
  <c r="D505" i="3" a="1"/>
  <c r="D505" i="3" s="1"/>
  <c r="E505" i="3" a="1"/>
  <c r="E505" i="3" s="1"/>
  <c r="F505" i="3" a="1"/>
  <c r="F505" i="3" s="1"/>
  <c r="G505" i="3" a="1"/>
  <c r="G505" i="3" s="1"/>
  <c r="J505" i="3" a="1"/>
  <c r="J505" i="3" s="1"/>
  <c r="B506" i="3" a="1"/>
  <c r="B506" i="3" s="1"/>
  <c r="C506" i="3" a="1"/>
  <c r="C506" i="3" s="1"/>
  <c r="D506" i="3" a="1"/>
  <c r="D506" i="3" s="1"/>
  <c r="E506" i="3" a="1"/>
  <c r="E506" i="3" s="1"/>
  <c r="F506" i="3" a="1"/>
  <c r="F506" i="3" s="1"/>
  <c r="G506" i="3" a="1"/>
  <c r="G506" i="3" s="1"/>
  <c r="J506" i="3" a="1"/>
  <c r="J506" i="3" s="1"/>
  <c r="B507" i="3" a="1"/>
  <c r="B507" i="3" s="1"/>
  <c r="C507" i="3" a="1"/>
  <c r="C507" i="3" s="1"/>
  <c r="D507" i="3" a="1"/>
  <c r="D507" i="3" s="1"/>
  <c r="E507" i="3" a="1"/>
  <c r="E507" i="3" s="1"/>
  <c r="F507" i="3" a="1"/>
  <c r="F507" i="3" s="1"/>
  <c r="G507" i="3" a="1"/>
  <c r="G507" i="3" s="1"/>
  <c r="J507" i="3" a="1"/>
  <c r="J507" i="3" s="1"/>
  <c r="B508" i="3" a="1"/>
  <c r="B508" i="3" s="1"/>
  <c r="C508" i="3" a="1"/>
  <c r="C508" i="3" s="1"/>
  <c r="D508" i="3" a="1"/>
  <c r="D508" i="3" s="1"/>
  <c r="E508" i="3" a="1"/>
  <c r="E508" i="3" s="1"/>
  <c r="F508" i="3" a="1"/>
  <c r="F508" i="3" s="1"/>
  <c r="G508" i="3" a="1"/>
  <c r="G508" i="3" s="1"/>
  <c r="J508" i="3" a="1"/>
  <c r="J508" i="3" s="1"/>
  <c r="B509" i="3" a="1"/>
  <c r="B509" i="3" s="1"/>
  <c r="C509" i="3" a="1"/>
  <c r="C509" i="3" s="1"/>
  <c r="D509" i="3" a="1"/>
  <c r="D509" i="3" s="1"/>
  <c r="E509" i="3" a="1"/>
  <c r="E509" i="3" s="1"/>
  <c r="F509" i="3" a="1"/>
  <c r="F509" i="3" s="1"/>
  <c r="G509" i="3" a="1"/>
  <c r="G509" i="3" s="1"/>
  <c r="J509" i="3" a="1"/>
  <c r="J509" i="3" s="1"/>
  <c r="B510" i="3" a="1"/>
  <c r="B510" i="3" s="1"/>
  <c r="C510" i="3" a="1"/>
  <c r="C510" i="3" s="1"/>
  <c r="D510" i="3" a="1"/>
  <c r="D510" i="3" s="1"/>
  <c r="E510" i="3" a="1"/>
  <c r="E510" i="3" s="1"/>
  <c r="F510" i="3" a="1"/>
  <c r="F510" i="3" s="1"/>
  <c r="G510" i="3" a="1"/>
  <c r="G510" i="3" s="1"/>
  <c r="J510" i="3" a="1"/>
  <c r="J510" i="3" s="1"/>
  <c r="B511" i="3" a="1"/>
  <c r="B511" i="3" s="1"/>
  <c r="C511" i="3" a="1"/>
  <c r="C511" i="3" s="1"/>
  <c r="D511" i="3" a="1"/>
  <c r="D511" i="3" s="1"/>
  <c r="E511" i="3" a="1"/>
  <c r="E511" i="3" s="1"/>
  <c r="F511" i="3" a="1"/>
  <c r="F511" i="3" s="1"/>
  <c r="G511" i="3" a="1"/>
  <c r="G511" i="3" s="1"/>
  <c r="J511" i="3" a="1"/>
  <c r="J511" i="3" s="1"/>
  <c r="B512" i="3" a="1"/>
  <c r="B512" i="3" s="1"/>
  <c r="C512" i="3" a="1"/>
  <c r="C512" i="3" s="1"/>
  <c r="D512" i="3" a="1"/>
  <c r="D512" i="3" s="1"/>
  <c r="E512" i="3" a="1"/>
  <c r="E512" i="3" s="1"/>
  <c r="F512" i="3" a="1"/>
  <c r="F512" i="3" s="1"/>
  <c r="G512" i="3" a="1"/>
  <c r="G512" i="3" s="1"/>
  <c r="J512" i="3" a="1"/>
  <c r="J512" i="3" s="1"/>
  <c r="B513" i="3" a="1"/>
  <c r="B513" i="3" s="1"/>
  <c r="C513" i="3" a="1"/>
  <c r="C513" i="3" s="1"/>
  <c r="D513" i="3" a="1"/>
  <c r="D513" i="3" s="1"/>
  <c r="E513" i="3" a="1"/>
  <c r="E513" i="3" s="1"/>
  <c r="F513" i="3" a="1"/>
  <c r="F513" i="3" s="1"/>
  <c r="G513" i="3" a="1"/>
  <c r="G513" i="3" s="1"/>
  <c r="J513" i="3" a="1"/>
  <c r="J513" i="3" s="1"/>
  <c r="B514" i="3" a="1"/>
  <c r="B514" i="3" s="1"/>
  <c r="C514" i="3" a="1"/>
  <c r="C514" i="3" s="1"/>
  <c r="D514" i="3" a="1"/>
  <c r="D514" i="3" s="1"/>
  <c r="E514" i="3" a="1"/>
  <c r="E514" i="3" s="1"/>
  <c r="F514" i="3" a="1"/>
  <c r="F514" i="3" s="1"/>
  <c r="G514" i="3" a="1"/>
  <c r="G514" i="3" s="1"/>
  <c r="J514" i="3" a="1"/>
  <c r="J514" i="3" s="1"/>
  <c r="B515" i="3" a="1"/>
  <c r="B515" i="3" s="1"/>
  <c r="C515" i="3" a="1"/>
  <c r="C515" i="3" s="1"/>
  <c r="D515" i="3" a="1"/>
  <c r="D515" i="3" s="1"/>
  <c r="E515" i="3" a="1"/>
  <c r="E515" i="3" s="1"/>
  <c r="F515" i="3" a="1"/>
  <c r="F515" i="3" s="1"/>
  <c r="G515" i="3" a="1"/>
  <c r="G515" i="3" s="1"/>
  <c r="J515" i="3" a="1"/>
  <c r="J515" i="3" s="1"/>
  <c r="B516" i="3" a="1"/>
  <c r="B516" i="3" s="1"/>
  <c r="C516" i="3" a="1"/>
  <c r="C516" i="3" s="1"/>
  <c r="D516" i="3" a="1"/>
  <c r="D516" i="3" s="1"/>
  <c r="E516" i="3" a="1"/>
  <c r="E516" i="3" s="1"/>
  <c r="F516" i="3" a="1"/>
  <c r="F516" i="3" s="1"/>
  <c r="G516" i="3" a="1"/>
  <c r="G516" i="3" s="1"/>
  <c r="J516" i="3" a="1"/>
  <c r="J516" i="3" s="1"/>
  <c r="B517" i="3" a="1"/>
  <c r="B517" i="3" s="1"/>
  <c r="C517" i="3" a="1"/>
  <c r="C517" i="3" s="1"/>
  <c r="D517" i="3" a="1"/>
  <c r="D517" i="3" s="1"/>
  <c r="E517" i="3" a="1"/>
  <c r="E517" i="3" s="1"/>
  <c r="F517" i="3" a="1"/>
  <c r="F517" i="3" s="1"/>
  <c r="G517" i="3" a="1"/>
  <c r="G517" i="3" s="1"/>
  <c r="J517" i="3" a="1"/>
  <c r="J517" i="3" s="1"/>
  <c r="B518" i="3" a="1"/>
  <c r="B518" i="3" s="1"/>
  <c r="C518" i="3" a="1"/>
  <c r="C518" i="3" s="1"/>
  <c r="D518" i="3" a="1"/>
  <c r="D518" i="3" s="1"/>
  <c r="E518" i="3" a="1"/>
  <c r="E518" i="3" s="1"/>
  <c r="F518" i="3" a="1"/>
  <c r="F518" i="3" s="1"/>
  <c r="G518" i="3" a="1"/>
  <c r="G518" i="3" s="1"/>
  <c r="J518" i="3" a="1"/>
  <c r="J518" i="3" s="1"/>
  <c r="B519" i="3" a="1"/>
  <c r="B519" i="3" s="1"/>
  <c r="C519" i="3" a="1"/>
  <c r="C519" i="3" s="1"/>
  <c r="D519" i="3" a="1"/>
  <c r="D519" i="3" s="1"/>
  <c r="E519" i="3" a="1"/>
  <c r="E519" i="3" s="1"/>
  <c r="F519" i="3" a="1"/>
  <c r="F519" i="3" s="1"/>
  <c r="G519" i="3" a="1"/>
  <c r="G519" i="3" s="1"/>
  <c r="J519" i="3" a="1"/>
  <c r="J519" i="3" s="1"/>
  <c r="B520" i="3" a="1"/>
  <c r="B520" i="3" s="1"/>
  <c r="C520" i="3" a="1"/>
  <c r="C520" i="3" s="1"/>
  <c r="D520" i="3" a="1"/>
  <c r="D520" i="3" s="1"/>
  <c r="E520" i="3" a="1"/>
  <c r="E520" i="3" s="1"/>
  <c r="F520" i="3" a="1"/>
  <c r="F520" i="3" s="1"/>
  <c r="G520" i="3" a="1"/>
  <c r="G520" i="3" s="1"/>
  <c r="J520" i="3" a="1"/>
  <c r="J520" i="3" s="1"/>
  <c r="B521" i="3" a="1"/>
  <c r="B521" i="3" s="1"/>
  <c r="C521" i="3" a="1"/>
  <c r="C521" i="3" s="1"/>
  <c r="D521" i="3" a="1"/>
  <c r="D521" i="3" s="1"/>
  <c r="E521" i="3" a="1"/>
  <c r="E521" i="3" s="1"/>
  <c r="F521" i="3" a="1"/>
  <c r="F521" i="3" s="1"/>
  <c r="G521" i="3" a="1"/>
  <c r="G521" i="3" s="1"/>
  <c r="J521" i="3" a="1"/>
  <c r="J521" i="3" s="1"/>
  <c r="B522" i="3" a="1"/>
  <c r="B522" i="3" s="1"/>
  <c r="C522" i="3" a="1"/>
  <c r="C522" i="3" s="1"/>
  <c r="D522" i="3" a="1"/>
  <c r="D522" i="3" s="1"/>
  <c r="E522" i="3" a="1"/>
  <c r="E522" i="3" s="1"/>
  <c r="F522" i="3" a="1"/>
  <c r="F522" i="3" s="1"/>
  <c r="G522" i="3" a="1"/>
  <c r="G522" i="3" s="1"/>
  <c r="J522" i="3" a="1"/>
  <c r="J522" i="3" s="1"/>
  <c r="B523" i="3" a="1"/>
  <c r="B523" i="3" s="1"/>
  <c r="C523" i="3" a="1"/>
  <c r="C523" i="3" s="1"/>
  <c r="D523" i="3" a="1"/>
  <c r="D523" i="3" s="1"/>
  <c r="E523" i="3" a="1"/>
  <c r="E523" i="3" s="1"/>
  <c r="F523" i="3" a="1"/>
  <c r="F523" i="3" s="1"/>
  <c r="G523" i="3" a="1"/>
  <c r="G523" i="3" s="1"/>
  <c r="J523" i="3" a="1"/>
  <c r="J523" i="3" s="1"/>
  <c r="B524" i="3" a="1"/>
  <c r="B524" i="3" s="1"/>
  <c r="C524" i="3" a="1"/>
  <c r="C524" i="3" s="1"/>
  <c r="D524" i="3" a="1"/>
  <c r="D524" i="3" s="1"/>
  <c r="E524" i="3" a="1"/>
  <c r="E524" i="3" s="1"/>
  <c r="F524" i="3" a="1"/>
  <c r="F524" i="3" s="1"/>
  <c r="G524" i="3" a="1"/>
  <c r="G524" i="3" s="1"/>
  <c r="J524" i="3" a="1"/>
  <c r="J524" i="3" s="1"/>
  <c r="B525" i="3" a="1"/>
  <c r="B525" i="3" s="1"/>
  <c r="C525" i="3" a="1"/>
  <c r="C525" i="3" s="1"/>
  <c r="D525" i="3" a="1"/>
  <c r="D525" i="3" s="1"/>
  <c r="E525" i="3" a="1"/>
  <c r="E525" i="3" s="1"/>
  <c r="F525" i="3" a="1"/>
  <c r="F525" i="3" s="1"/>
  <c r="G525" i="3" a="1"/>
  <c r="G525" i="3" s="1"/>
  <c r="J525" i="3" a="1"/>
  <c r="J525" i="3" s="1"/>
  <c r="B526" i="3" a="1"/>
  <c r="B526" i="3" s="1"/>
  <c r="C526" i="3" a="1"/>
  <c r="C526" i="3" s="1"/>
  <c r="D526" i="3" a="1"/>
  <c r="D526" i="3" s="1"/>
  <c r="E526" i="3" a="1"/>
  <c r="E526" i="3" s="1"/>
  <c r="F526" i="3" a="1"/>
  <c r="F526" i="3" s="1"/>
  <c r="G526" i="3" a="1"/>
  <c r="G526" i="3" s="1"/>
  <c r="J526" i="3" a="1"/>
  <c r="J526" i="3" s="1"/>
  <c r="B527" i="3" a="1"/>
  <c r="B527" i="3" s="1"/>
  <c r="C527" i="3" a="1"/>
  <c r="C527" i="3" s="1"/>
  <c r="D527" i="3" a="1"/>
  <c r="D527" i="3" s="1"/>
  <c r="E527" i="3" a="1"/>
  <c r="E527" i="3" s="1"/>
  <c r="F527" i="3" a="1"/>
  <c r="F527" i="3" s="1"/>
  <c r="G527" i="3" a="1"/>
  <c r="G527" i="3" s="1"/>
  <c r="J527" i="3" a="1"/>
  <c r="J527" i="3" s="1"/>
  <c r="B528" i="3" a="1"/>
  <c r="B528" i="3" s="1"/>
  <c r="C528" i="3" a="1"/>
  <c r="C528" i="3" s="1"/>
  <c r="D528" i="3" a="1"/>
  <c r="D528" i="3" s="1"/>
  <c r="E528" i="3" a="1"/>
  <c r="E528" i="3" s="1"/>
  <c r="F528" i="3" a="1"/>
  <c r="F528" i="3" s="1"/>
  <c r="G528" i="3" a="1"/>
  <c r="G528" i="3" s="1"/>
  <c r="J528" i="3" a="1"/>
  <c r="J528" i="3" s="1"/>
  <c r="B529" i="3" a="1"/>
  <c r="B529" i="3" s="1"/>
  <c r="C529" i="3" a="1"/>
  <c r="C529" i="3" s="1"/>
  <c r="D529" i="3" a="1"/>
  <c r="D529" i="3" s="1"/>
  <c r="E529" i="3" a="1"/>
  <c r="E529" i="3" s="1"/>
  <c r="F529" i="3" a="1"/>
  <c r="F529" i="3" s="1"/>
  <c r="G529" i="3" a="1"/>
  <c r="G529" i="3" s="1"/>
  <c r="J529" i="3" a="1"/>
  <c r="J529" i="3" s="1"/>
  <c r="B530" i="3" a="1"/>
  <c r="B530" i="3" s="1"/>
  <c r="C530" i="3" a="1"/>
  <c r="C530" i="3" s="1"/>
  <c r="D530" i="3" a="1"/>
  <c r="D530" i="3" s="1"/>
  <c r="E530" i="3" a="1"/>
  <c r="E530" i="3" s="1"/>
  <c r="F530" i="3" a="1"/>
  <c r="F530" i="3" s="1"/>
  <c r="G530" i="3" a="1"/>
  <c r="G530" i="3" s="1"/>
  <c r="J530" i="3" a="1"/>
  <c r="J530" i="3" s="1"/>
  <c r="B531" i="3" a="1"/>
  <c r="B531" i="3" s="1"/>
  <c r="C531" i="3" a="1"/>
  <c r="C531" i="3" s="1"/>
  <c r="D531" i="3" a="1"/>
  <c r="D531" i="3" s="1"/>
  <c r="E531" i="3" a="1"/>
  <c r="E531" i="3" s="1"/>
  <c r="F531" i="3" a="1"/>
  <c r="F531" i="3" s="1"/>
  <c r="G531" i="3" a="1"/>
  <c r="G531" i="3" s="1"/>
  <c r="J531" i="3" a="1"/>
  <c r="J531" i="3" s="1"/>
  <c r="B532" i="3" a="1"/>
  <c r="B532" i="3" s="1"/>
  <c r="C532" i="3" a="1"/>
  <c r="C532" i="3" s="1"/>
  <c r="D532" i="3" a="1"/>
  <c r="D532" i="3" s="1"/>
  <c r="E532" i="3" a="1"/>
  <c r="E532" i="3" s="1"/>
  <c r="F532" i="3" a="1"/>
  <c r="F532" i="3" s="1"/>
  <c r="G532" i="3" a="1"/>
  <c r="G532" i="3" s="1"/>
  <c r="J532" i="3" a="1"/>
  <c r="J532" i="3" s="1"/>
  <c r="B533" i="3" a="1"/>
  <c r="B533" i="3" s="1"/>
  <c r="C533" i="3" a="1"/>
  <c r="C533" i="3" s="1"/>
  <c r="D533" i="3" a="1"/>
  <c r="D533" i="3" s="1"/>
  <c r="E533" i="3" a="1"/>
  <c r="E533" i="3" s="1"/>
  <c r="F533" i="3" a="1"/>
  <c r="F533" i="3" s="1"/>
  <c r="G533" i="3" a="1"/>
  <c r="G533" i="3" s="1"/>
  <c r="J533" i="3" a="1"/>
  <c r="J533" i="3" s="1"/>
  <c r="B534" i="3" a="1"/>
  <c r="B534" i="3" s="1"/>
  <c r="C534" i="3" a="1"/>
  <c r="C534" i="3" s="1"/>
  <c r="D534" i="3" a="1"/>
  <c r="D534" i="3" s="1"/>
  <c r="E534" i="3" a="1"/>
  <c r="E534" i="3" s="1"/>
  <c r="F534" i="3" a="1"/>
  <c r="F534" i="3" s="1"/>
  <c r="G534" i="3" a="1"/>
  <c r="G534" i="3" s="1"/>
  <c r="J534" i="3" a="1"/>
  <c r="J534" i="3" s="1"/>
  <c r="B535" i="3" a="1"/>
  <c r="B535" i="3" s="1"/>
  <c r="C535" i="3" a="1"/>
  <c r="C535" i="3" s="1"/>
  <c r="D535" i="3" a="1"/>
  <c r="D535" i="3" s="1"/>
  <c r="E535" i="3" a="1"/>
  <c r="E535" i="3" s="1"/>
  <c r="F535" i="3" a="1"/>
  <c r="F535" i="3" s="1"/>
  <c r="G535" i="3" a="1"/>
  <c r="G535" i="3" s="1"/>
  <c r="J535" i="3" a="1"/>
  <c r="J535" i="3" s="1"/>
  <c r="B536" i="3" a="1"/>
  <c r="B536" i="3" s="1"/>
  <c r="C536" i="3" a="1"/>
  <c r="C536" i="3" s="1"/>
  <c r="D536" i="3" a="1"/>
  <c r="D536" i="3" s="1"/>
  <c r="E536" i="3" a="1"/>
  <c r="E536" i="3" s="1"/>
  <c r="F536" i="3" a="1"/>
  <c r="F536" i="3" s="1"/>
  <c r="G536" i="3" a="1"/>
  <c r="G536" i="3" s="1"/>
  <c r="J536" i="3" a="1"/>
  <c r="J536" i="3" s="1"/>
  <c r="B537" i="3" a="1"/>
  <c r="B537" i="3" s="1"/>
  <c r="C537" i="3" a="1"/>
  <c r="C537" i="3" s="1"/>
  <c r="D537" i="3" a="1"/>
  <c r="D537" i="3" s="1"/>
  <c r="E537" i="3" a="1"/>
  <c r="E537" i="3" s="1"/>
  <c r="F537" i="3" a="1"/>
  <c r="F537" i="3" s="1"/>
  <c r="G537" i="3" a="1"/>
  <c r="G537" i="3" s="1"/>
  <c r="J537" i="3" a="1"/>
  <c r="J537" i="3" s="1"/>
  <c r="B538" i="3" a="1"/>
  <c r="B538" i="3" s="1"/>
  <c r="C538" i="3" a="1"/>
  <c r="C538" i="3" s="1"/>
  <c r="D538" i="3" a="1"/>
  <c r="D538" i="3" s="1"/>
  <c r="E538" i="3" a="1"/>
  <c r="E538" i="3" s="1"/>
  <c r="F538" i="3" a="1"/>
  <c r="F538" i="3" s="1"/>
  <c r="G538" i="3" a="1"/>
  <c r="G538" i="3" s="1"/>
  <c r="J538" i="3" a="1"/>
  <c r="J538" i="3" s="1"/>
  <c r="B539" i="3" a="1"/>
  <c r="B539" i="3" s="1"/>
  <c r="C539" i="3" a="1"/>
  <c r="C539" i="3" s="1"/>
  <c r="D539" i="3" a="1"/>
  <c r="D539" i="3" s="1"/>
  <c r="E539" i="3" a="1"/>
  <c r="E539" i="3" s="1"/>
  <c r="F539" i="3" a="1"/>
  <c r="F539" i="3" s="1"/>
  <c r="G539" i="3" a="1"/>
  <c r="G539" i="3" s="1"/>
  <c r="J539" i="3" a="1"/>
  <c r="J539" i="3" s="1"/>
  <c r="B540" i="3" a="1"/>
  <c r="B540" i="3" s="1"/>
  <c r="C540" i="3" a="1"/>
  <c r="C540" i="3" s="1"/>
  <c r="D540" i="3" a="1"/>
  <c r="D540" i="3" s="1"/>
  <c r="E540" i="3" a="1"/>
  <c r="E540" i="3" s="1"/>
  <c r="F540" i="3" a="1"/>
  <c r="F540" i="3" s="1"/>
  <c r="G540" i="3" a="1"/>
  <c r="G540" i="3" s="1"/>
  <c r="J540" i="3" a="1"/>
  <c r="J540" i="3" s="1"/>
  <c r="B541" i="3" a="1"/>
  <c r="B541" i="3" s="1"/>
  <c r="C541" i="3" a="1"/>
  <c r="C541" i="3" s="1"/>
  <c r="D541" i="3" a="1"/>
  <c r="D541" i="3" s="1"/>
  <c r="E541" i="3" a="1"/>
  <c r="E541" i="3" s="1"/>
  <c r="F541" i="3" a="1"/>
  <c r="F541" i="3" s="1"/>
  <c r="G541" i="3" a="1"/>
  <c r="G541" i="3" s="1"/>
  <c r="J541" i="3" a="1"/>
  <c r="J541" i="3" s="1"/>
  <c r="B542" i="3" a="1"/>
  <c r="B542" i="3" s="1"/>
  <c r="C542" i="3" a="1"/>
  <c r="C542" i="3" s="1"/>
  <c r="D542" i="3" a="1"/>
  <c r="D542" i="3" s="1"/>
  <c r="E542" i="3" a="1"/>
  <c r="E542" i="3" s="1"/>
  <c r="F542" i="3" a="1"/>
  <c r="F542" i="3" s="1"/>
  <c r="G542" i="3" a="1"/>
  <c r="G542" i="3" s="1"/>
  <c r="J542" i="3" a="1"/>
  <c r="J542" i="3" s="1"/>
  <c r="B543" i="3" a="1"/>
  <c r="B543" i="3" s="1"/>
  <c r="C543" i="3" a="1"/>
  <c r="C543" i="3" s="1"/>
  <c r="D543" i="3" a="1"/>
  <c r="D543" i="3" s="1"/>
  <c r="E543" i="3" a="1"/>
  <c r="E543" i="3" s="1"/>
  <c r="F543" i="3" a="1"/>
  <c r="F543" i="3" s="1"/>
  <c r="G543" i="3" a="1"/>
  <c r="G543" i="3" s="1"/>
  <c r="J543" i="3" a="1"/>
  <c r="J543" i="3" s="1"/>
  <c r="B544" i="3" a="1"/>
  <c r="B544" i="3" s="1"/>
  <c r="C544" i="3" a="1"/>
  <c r="C544" i="3" s="1"/>
  <c r="D544" i="3" a="1"/>
  <c r="D544" i="3" s="1"/>
  <c r="E544" i="3" a="1"/>
  <c r="E544" i="3" s="1"/>
  <c r="F544" i="3" a="1"/>
  <c r="F544" i="3" s="1"/>
  <c r="G544" i="3" a="1"/>
  <c r="G544" i="3" s="1"/>
  <c r="J544" i="3" a="1"/>
  <c r="J544" i="3" s="1"/>
  <c r="B545" i="3" a="1"/>
  <c r="B545" i="3" s="1"/>
  <c r="C545" i="3" a="1"/>
  <c r="C545" i="3" s="1"/>
  <c r="D545" i="3" a="1"/>
  <c r="D545" i="3" s="1"/>
  <c r="E545" i="3" a="1"/>
  <c r="E545" i="3" s="1"/>
  <c r="F545" i="3" a="1"/>
  <c r="F545" i="3" s="1"/>
  <c r="G545" i="3" a="1"/>
  <c r="G545" i="3" s="1"/>
  <c r="J545" i="3" a="1"/>
  <c r="J545" i="3" s="1"/>
  <c r="B546" i="3" a="1"/>
  <c r="B546" i="3" s="1"/>
  <c r="C546" i="3" a="1"/>
  <c r="C546" i="3" s="1"/>
  <c r="D546" i="3" a="1"/>
  <c r="D546" i="3" s="1"/>
  <c r="E546" i="3" a="1"/>
  <c r="E546" i="3" s="1"/>
  <c r="F546" i="3" a="1"/>
  <c r="F546" i="3" s="1"/>
  <c r="G546" i="3" a="1"/>
  <c r="G546" i="3" s="1"/>
  <c r="J546" i="3" a="1"/>
  <c r="J546" i="3" s="1"/>
  <c r="B547" i="3" a="1"/>
  <c r="B547" i="3" s="1"/>
  <c r="C547" i="3" a="1"/>
  <c r="C547" i="3" s="1"/>
  <c r="D547" i="3" a="1"/>
  <c r="D547" i="3" s="1"/>
  <c r="E547" i="3" a="1"/>
  <c r="E547" i="3" s="1"/>
  <c r="F547" i="3" a="1"/>
  <c r="F547" i="3" s="1"/>
  <c r="G547" i="3" a="1"/>
  <c r="G547" i="3" s="1"/>
  <c r="J547" i="3" a="1"/>
  <c r="J547" i="3" s="1"/>
  <c r="B548" i="3" a="1"/>
  <c r="B548" i="3" s="1"/>
  <c r="C548" i="3" a="1"/>
  <c r="C548" i="3" s="1"/>
  <c r="D548" i="3" a="1"/>
  <c r="D548" i="3" s="1"/>
  <c r="E548" i="3" a="1"/>
  <c r="E548" i="3" s="1"/>
  <c r="F548" i="3" a="1"/>
  <c r="F548" i="3" s="1"/>
  <c r="G548" i="3" a="1"/>
  <c r="G548" i="3" s="1"/>
  <c r="J548" i="3" a="1"/>
  <c r="J548" i="3" s="1"/>
  <c r="B549" i="3" a="1"/>
  <c r="B549" i="3" s="1"/>
  <c r="C549" i="3" a="1"/>
  <c r="C549" i="3" s="1"/>
  <c r="D549" i="3" a="1"/>
  <c r="D549" i="3" s="1"/>
  <c r="E549" i="3" a="1"/>
  <c r="E549" i="3" s="1"/>
  <c r="F549" i="3" a="1"/>
  <c r="F549" i="3" s="1"/>
  <c r="G549" i="3" a="1"/>
  <c r="G549" i="3" s="1"/>
  <c r="J549" i="3" a="1"/>
  <c r="J549" i="3" s="1"/>
  <c r="B550" i="3" a="1"/>
  <c r="B550" i="3" s="1"/>
  <c r="C550" i="3" a="1"/>
  <c r="C550" i="3" s="1"/>
  <c r="D550" i="3" a="1"/>
  <c r="D550" i="3" s="1"/>
  <c r="E550" i="3" a="1"/>
  <c r="E550" i="3" s="1"/>
  <c r="F550" i="3" a="1"/>
  <c r="F550" i="3" s="1"/>
  <c r="G550" i="3" a="1"/>
  <c r="G550" i="3" s="1"/>
  <c r="J550" i="3" a="1"/>
  <c r="J550" i="3" s="1"/>
  <c r="B551" i="3" a="1"/>
  <c r="B551" i="3" s="1"/>
  <c r="C551" i="3" a="1"/>
  <c r="C551" i="3" s="1"/>
  <c r="D551" i="3" a="1"/>
  <c r="D551" i="3" s="1"/>
  <c r="E551" i="3" a="1"/>
  <c r="E551" i="3" s="1"/>
  <c r="F551" i="3" a="1"/>
  <c r="F551" i="3" s="1"/>
  <c r="G551" i="3" a="1"/>
  <c r="G551" i="3" s="1"/>
  <c r="J551" i="3" a="1"/>
  <c r="J551" i="3" s="1"/>
  <c r="B552" i="3" a="1"/>
  <c r="B552" i="3" s="1"/>
  <c r="C552" i="3" a="1"/>
  <c r="C552" i="3" s="1"/>
  <c r="D552" i="3" a="1"/>
  <c r="D552" i="3" s="1"/>
  <c r="E552" i="3" a="1"/>
  <c r="E552" i="3" s="1"/>
  <c r="F552" i="3" a="1"/>
  <c r="F552" i="3" s="1"/>
  <c r="G552" i="3" a="1"/>
  <c r="G552" i="3" s="1"/>
  <c r="J552" i="3" a="1"/>
  <c r="J552" i="3" s="1"/>
  <c r="B553" i="3" a="1"/>
  <c r="B553" i="3" s="1"/>
  <c r="C553" i="3" a="1"/>
  <c r="C553" i="3" s="1"/>
  <c r="D553" i="3" a="1"/>
  <c r="D553" i="3" s="1"/>
  <c r="E553" i="3" a="1"/>
  <c r="E553" i="3" s="1"/>
  <c r="F553" i="3" a="1"/>
  <c r="F553" i="3" s="1"/>
  <c r="G553" i="3" a="1"/>
  <c r="G553" i="3" s="1"/>
  <c r="J553" i="3" a="1"/>
  <c r="J553" i="3" s="1"/>
  <c r="B554" i="3" a="1"/>
  <c r="B554" i="3" s="1"/>
  <c r="C554" i="3" a="1"/>
  <c r="C554" i="3" s="1"/>
  <c r="D554" i="3" a="1"/>
  <c r="D554" i="3" s="1"/>
  <c r="E554" i="3" a="1"/>
  <c r="E554" i="3" s="1"/>
  <c r="F554" i="3" a="1"/>
  <c r="F554" i="3" s="1"/>
  <c r="G554" i="3" a="1"/>
  <c r="G554" i="3" s="1"/>
  <c r="J554" i="3" a="1"/>
  <c r="J554" i="3" s="1"/>
  <c r="B555" i="3" a="1"/>
  <c r="B555" i="3" s="1"/>
  <c r="C555" i="3" a="1"/>
  <c r="C555" i="3" s="1"/>
  <c r="D555" i="3" a="1"/>
  <c r="D555" i="3" s="1"/>
  <c r="E555" i="3" a="1"/>
  <c r="E555" i="3" s="1"/>
  <c r="F555" i="3" a="1"/>
  <c r="F555" i="3" s="1"/>
  <c r="G555" i="3" a="1"/>
  <c r="G555" i="3" s="1"/>
  <c r="J555" i="3" a="1"/>
  <c r="J555" i="3" s="1"/>
  <c r="B556" i="3" a="1"/>
  <c r="B556" i="3" s="1"/>
  <c r="C556" i="3" a="1"/>
  <c r="C556" i="3" s="1"/>
  <c r="D556" i="3" a="1"/>
  <c r="D556" i="3" s="1"/>
  <c r="E556" i="3" a="1"/>
  <c r="E556" i="3" s="1"/>
  <c r="F556" i="3" a="1"/>
  <c r="F556" i="3" s="1"/>
  <c r="G556" i="3" a="1"/>
  <c r="G556" i="3" s="1"/>
  <c r="J556" i="3" a="1"/>
  <c r="J556" i="3" s="1"/>
  <c r="B557" i="3" a="1"/>
  <c r="B557" i="3" s="1"/>
  <c r="C557" i="3" a="1"/>
  <c r="C557" i="3" s="1"/>
  <c r="D557" i="3" a="1"/>
  <c r="D557" i="3" s="1"/>
  <c r="E557" i="3" a="1"/>
  <c r="E557" i="3" s="1"/>
  <c r="F557" i="3" a="1"/>
  <c r="F557" i="3" s="1"/>
  <c r="G557" i="3" a="1"/>
  <c r="G557" i="3" s="1"/>
  <c r="J557" i="3" a="1"/>
  <c r="J557" i="3" s="1"/>
  <c r="B558" i="3" a="1"/>
  <c r="B558" i="3" s="1"/>
  <c r="C558" i="3" a="1"/>
  <c r="C558" i="3" s="1"/>
  <c r="D558" i="3" a="1"/>
  <c r="D558" i="3" s="1"/>
  <c r="E558" i="3" a="1"/>
  <c r="E558" i="3" s="1"/>
  <c r="F558" i="3" a="1"/>
  <c r="F558" i="3" s="1"/>
  <c r="G558" i="3" a="1"/>
  <c r="G558" i="3" s="1"/>
  <c r="J558" i="3" a="1"/>
  <c r="J558" i="3" s="1"/>
  <c r="B559" i="3" a="1"/>
  <c r="B559" i="3" s="1"/>
  <c r="C559" i="3" a="1"/>
  <c r="C559" i="3" s="1"/>
  <c r="D559" i="3" a="1"/>
  <c r="D559" i="3" s="1"/>
  <c r="E559" i="3" a="1"/>
  <c r="E559" i="3" s="1"/>
  <c r="F559" i="3" a="1"/>
  <c r="F559" i="3" s="1"/>
  <c r="G559" i="3" a="1"/>
  <c r="G559" i="3" s="1"/>
  <c r="J559" i="3" a="1"/>
  <c r="J559" i="3" s="1"/>
  <c r="B560" i="3" a="1"/>
  <c r="B560" i="3" s="1"/>
  <c r="C560" i="3" a="1"/>
  <c r="C560" i="3" s="1"/>
  <c r="D560" i="3" a="1"/>
  <c r="D560" i="3" s="1"/>
  <c r="E560" i="3" a="1"/>
  <c r="E560" i="3" s="1"/>
  <c r="F560" i="3" a="1"/>
  <c r="F560" i="3" s="1"/>
  <c r="G560" i="3" a="1"/>
  <c r="G560" i="3" s="1"/>
  <c r="J560" i="3" a="1"/>
  <c r="J560" i="3" s="1"/>
  <c r="B561" i="3" a="1"/>
  <c r="B561" i="3" s="1"/>
  <c r="C561" i="3" a="1"/>
  <c r="C561" i="3" s="1"/>
  <c r="D561" i="3" a="1"/>
  <c r="D561" i="3" s="1"/>
  <c r="E561" i="3" a="1"/>
  <c r="E561" i="3" s="1"/>
  <c r="F561" i="3" a="1"/>
  <c r="F561" i="3" s="1"/>
  <c r="G561" i="3" a="1"/>
  <c r="G561" i="3" s="1"/>
  <c r="J561" i="3" a="1"/>
  <c r="J561" i="3" s="1"/>
  <c r="B562" i="3" a="1"/>
  <c r="B562" i="3" s="1"/>
  <c r="C562" i="3" a="1"/>
  <c r="C562" i="3" s="1"/>
  <c r="D562" i="3" a="1"/>
  <c r="D562" i="3" s="1"/>
  <c r="E562" i="3" a="1"/>
  <c r="E562" i="3" s="1"/>
  <c r="F562" i="3" a="1"/>
  <c r="F562" i="3" s="1"/>
  <c r="G562" i="3" a="1"/>
  <c r="G562" i="3" s="1"/>
  <c r="J562" i="3" a="1"/>
  <c r="J562" i="3" s="1"/>
  <c r="B563" i="3" a="1"/>
  <c r="B563" i="3" s="1"/>
  <c r="C563" i="3" a="1"/>
  <c r="C563" i="3" s="1"/>
  <c r="D563" i="3" a="1"/>
  <c r="D563" i="3" s="1"/>
  <c r="E563" i="3" a="1"/>
  <c r="E563" i="3" s="1"/>
  <c r="F563" i="3" a="1"/>
  <c r="F563" i="3" s="1"/>
  <c r="G563" i="3" a="1"/>
  <c r="G563" i="3" s="1"/>
  <c r="J563" i="3" a="1"/>
  <c r="J563" i="3" s="1"/>
  <c r="B564" i="3" a="1"/>
  <c r="B564" i="3" s="1"/>
  <c r="C564" i="3" a="1"/>
  <c r="C564" i="3" s="1"/>
  <c r="D564" i="3" a="1"/>
  <c r="D564" i="3" s="1"/>
  <c r="E564" i="3" a="1"/>
  <c r="E564" i="3" s="1"/>
  <c r="F564" i="3" a="1"/>
  <c r="F564" i="3" s="1"/>
  <c r="G564" i="3" a="1"/>
  <c r="G564" i="3" s="1"/>
  <c r="J564" i="3" a="1"/>
  <c r="J564" i="3" s="1"/>
  <c r="B565" i="3" a="1"/>
  <c r="B565" i="3" s="1"/>
  <c r="C565" i="3" a="1"/>
  <c r="C565" i="3" s="1"/>
  <c r="D565" i="3" a="1"/>
  <c r="D565" i="3" s="1"/>
  <c r="E565" i="3" a="1"/>
  <c r="E565" i="3" s="1"/>
  <c r="F565" i="3" a="1"/>
  <c r="F565" i="3" s="1"/>
  <c r="G565" i="3" a="1"/>
  <c r="G565" i="3" s="1"/>
  <c r="J565" i="3" a="1"/>
  <c r="J565" i="3" s="1"/>
  <c r="B566" i="3" a="1"/>
  <c r="B566" i="3" s="1"/>
  <c r="C566" i="3" a="1"/>
  <c r="C566" i="3" s="1"/>
  <c r="D566" i="3" a="1"/>
  <c r="D566" i="3" s="1"/>
  <c r="E566" i="3" a="1"/>
  <c r="E566" i="3" s="1"/>
  <c r="F566" i="3" a="1"/>
  <c r="F566" i="3" s="1"/>
  <c r="G566" i="3" a="1"/>
  <c r="G566" i="3" s="1"/>
  <c r="J566" i="3" a="1"/>
  <c r="J566" i="3" s="1"/>
  <c r="B567" i="3" a="1"/>
  <c r="B567" i="3" s="1"/>
  <c r="C567" i="3" a="1"/>
  <c r="C567" i="3" s="1"/>
  <c r="D567" i="3" a="1"/>
  <c r="D567" i="3" s="1"/>
  <c r="E567" i="3" a="1"/>
  <c r="E567" i="3" s="1"/>
  <c r="F567" i="3" a="1"/>
  <c r="F567" i="3" s="1"/>
  <c r="G567" i="3" a="1"/>
  <c r="G567" i="3" s="1"/>
  <c r="J567" i="3" a="1"/>
  <c r="J567" i="3" s="1"/>
  <c r="B568" i="3" a="1"/>
  <c r="B568" i="3" s="1"/>
  <c r="C568" i="3" a="1"/>
  <c r="C568" i="3" s="1"/>
  <c r="D568" i="3" a="1"/>
  <c r="D568" i="3" s="1"/>
  <c r="E568" i="3" a="1"/>
  <c r="E568" i="3" s="1"/>
  <c r="F568" i="3" a="1"/>
  <c r="F568" i="3" s="1"/>
  <c r="G568" i="3" a="1"/>
  <c r="G568" i="3" s="1"/>
  <c r="J568" i="3" a="1"/>
  <c r="J568" i="3" s="1"/>
  <c r="B569" i="3" a="1"/>
  <c r="B569" i="3" s="1"/>
  <c r="C569" i="3" a="1"/>
  <c r="C569" i="3" s="1"/>
  <c r="D569" i="3" a="1"/>
  <c r="D569" i="3" s="1"/>
  <c r="E569" i="3" a="1"/>
  <c r="E569" i="3" s="1"/>
  <c r="F569" i="3" a="1"/>
  <c r="F569" i="3" s="1"/>
  <c r="G569" i="3" a="1"/>
  <c r="G569" i="3" s="1"/>
  <c r="J569" i="3" a="1"/>
  <c r="J569" i="3" s="1"/>
  <c r="B570" i="3" a="1"/>
  <c r="B570" i="3" s="1"/>
  <c r="C570" i="3" a="1"/>
  <c r="C570" i="3" s="1"/>
  <c r="D570" i="3" a="1"/>
  <c r="D570" i="3" s="1"/>
  <c r="E570" i="3" a="1"/>
  <c r="E570" i="3" s="1"/>
  <c r="F570" i="3" a="1"/>
  <c r="F570" i="3" s="1"/>
  <c r="G570" i="3" a="1"/>
  <c r="G570" i="3" s="1"/>
  <c r="J570" i="3" a="1"/>
  <c r="J570" i="3" s="1"/>
  <c r="B571" i="3" a="1"/>
  <c r="B571" i="3" s="1"/>
  <c r="C571" i="3" a="1"/>
  <c r="C571" i="3" s="1"/>
  <c r="D571" i="3" a="1"/>
  <c r="D571" i="3" s="1"/>
  <c r="E571" i="3" a="1"/>
  <c r="E571" i="3" s="1"/>
  <c r="F571" i="3" a="1"/>
  <c r="F571" i="3" s="1"/>
  <c r="G571" i="3" a="1"/>
  <c r="G571" i="3" s="1"/>
  <c r="J571" i="3" a="1"/>
  <c r="J571" i="3" s="1"/>
  <c r="B572" i="3" a="1"/>
  <c r="B572" i="3" s="1"/>
  <c r="C572" i="3" a="1"/>
  <c r="C572" i="3" s="1"/>
  <c r="D572" i="3" a="1"/>
  <c r="D572" i="3" s="1"/>
  <c r="E572" i="3" a="1"/>
  <c r="E572" i="3" s="1"/>
  <c r="F572" i="3" a="1"/>
  <c r="F572" i="3" s="1"/>
  <c r="G572" i="3" a="1"/>
  <c r="G572" i="3" s="1"/>
  <c r="J572" i="3" a="1"/>
  <c r="J572" i="3" s="1"/>
  <c r="B573" i="3" a="1"/>
  <c r="B573" i="3" s="1"/>
  <c r="C573" i="3" a="1"/>
  <c r="C573" i="3" s="1"/>
  <c r="D573" i="3" a="1"/>
  <c r="D573" i="3" s="1"/>
  <c r="E573" i="3" a="1"/>
  <c r="E573" i="3" s="1"/>
  <c r="F573" i="3" a="1"/>
  <c r="F573" i="3" s="1"/>
  <c r="G573" i="3" a="1"/>
  <c r="G573" i="3" s="1"/>
  <c r="J573" i="3" a="1"/>
  <c r="J573" i="3" s="1"/>
  <c r="B574" i="3" a="1"/>
  <c r="B574" i="3" s="1"/>
  <c r="C574" i="3" a="1"/>
  <c r="C574" i="3" s="1"/>
  <c r="D574" i="3" a="1"/>
  <c r="D574" i="3" s="1"/>
  <c r="E574" i="3" a="1"/>
  <c r="E574" i="3" s="1"/>
  <c r="F574" i="3" a="1"/>
  <c r="F574" i="3" s="1"/>
  <c r="G574" i="3" a="1"/>
  <c r="G574" i="3" s="1"/>
  <c r="J574" i="3" a="1"/>
  <c r="J574" i="3" s="1"/>
  <c r="B575" i="3" a="1"/>
  <c r="B575" i="3" s="1"/>
  <c r="C575" i="3" a="1"/>
  <c r="C575" i="3" s="1"/>
  <c r="D575" i="3" a="1"/>
  <c r="D575" i="3" s="1"/>
  <c r="E575" i="3" a="1"/>
  <c r="E575" i="3" s="1"/>
  <c r="F575" i="3" a="1"/>
  <c r="F575" i="3" s="1"/>
  <c r="G575" i="3" a="1"/>
  <c r="G575" i="3" s="1"/>
  <c r="J575" i="3" a="1"/>
  <c r="J575" i="3" s="1"/>
  <c r="B576" i="3" a="1"/>
  <c r="B576" i="3" s="1"/>
  <c r="C576" i="3" a="1"/>
  <c r="C576" i="3" s="1"/>
  <c r="D576" i="3" a="1"/>
  <c r="D576" i="3" s="1"/>
  <c r="E576" i="3" a="1"/>
  <c r="E576" i="3" s="1"/>
  <c r="F576" i="3" a="1"/>
  <c r="F576" i="3" s="1"/>
  <c r="G576" i="3" a="1"/>
  <c r="G576" i="3" s="1"/>
  <c r="J576" i="3" a="1"/>
  <c r="J576" i="3" s="1"/>
  <c r="B577" i="3" a="1"/>
  <c r="B577" i="3" s="1"/>
  <c r="C577" i="3" a="1"/>
  <c r="C577" i="3" s="1"/>
  <c r="D577" i="3" a="1"/>
  <c r="D577" i="3" s="1"/>
  <c r="E577" i="3" a="1"/>
  <c r="E577" i="3" s="1"/>
  <c r="F577" i="3" a="1"/>
  <c r="F577" i="3" s="1"/>
  <c r="G577" i="3" a="1"/>
  <c r="G577" i="3" s="1"/>
  <c r="J577" i="3" a="1"/>
  <c r="J577" i="3" s="1"/>
  <c r="B578" i="3" a="1"/>
  <c r="B578" i="3" s="1"/>
  <c r="C578" i="3" a="1"/>
  <c r="C578" i="3" s="1"/>
  <c r="D578" i="3" a="1"/>
  <c r="D578" i="3" s="1"/>
  <c r="E578" i="3" a="1"/>
  <c r="E578" i="3" s="1"/>
  <c r="F578" i="3" a="1"/>
  <c r="F578" i="3" s="1"/>
  <c r="G578" i="3" a="1"/>
  <c r="G578" i="3" s="1"/>
  <c r="J578" i="3" a="1"/>
  <c r="J578" i="3" s="1"/>
  <c r="B579" i="3" a="1"/>
  <c r="B579" i="3" s="1"/>
  <c r="C579" i="3" a="1"/>
  <c r="C579" i="3" s="1"/>
  <c r="D579" i="3" a="1"/>
  <c r="D579" i="3" s="1"/>
  <c r="E579" i="3" a="1"/>
  <c r="E579" i="3" s="1"/>
  <c r="F579" i="3" a="1"/>
  <c r="F579" i="3" s="1"/>
  <c r="G579" i="3" a="1"/>
  <c r="G579" i="3" s="1"/>
  <c r="J579" i="3" a="1"/>
  <c r="J579" i="3" s="1"/>
  <c r="B580" i="3" a="1"/>
  <c r="B580" i="3" s="1"/>
  <c r="C580" i="3" a="1"/>
  <c r="C580" i="3" s="1"/>
  <c r="D580" i="3" a="1"/>
  <c r="D580" i="3" s="1"/>
  <c r="E580" i="3" a="1"/>
  <c r="E580" i="3" s="1"/>
  <c r="F580" i="3" a="1"/>
  <c r="F580" i="3" s="1"/>
  <c r="G580" i="3" a="1"/>
  <c r="G580" i="3" s="1"/>
  <c r="J580" i="3" a="1"/>
  <c r="J580" i="3" s="1"/>
  <c r="B581" i="3" a="1"/>
  <c r="B581" i="3" s="1"/>
  <c r="C581" i="3" a="1"/>
  <c r="C581" i="3" s="1"/>
  <c r="D581" i="3" a="1"/>
  <c r="D581" i="3" s="1"/>
  <c r="E581" i="3" a="1"/>
  <c r="E581" i="3" s="1"/>
  <c r="F581" i="3" a="1"/>
  <c r="F581" i="3" s="1"/>
  <c r="G581" i="3" a="1"/>
  <c r="G581" i="3" s="1"/>
  <c r="J581" i="3" a="1"/>
  <c r="J581" i="3" s="1"/>
  <c r="B582" i="3" a="1"/>
  <c r="B582" i="3" s="1"/>
  <c r="C582" i="3" a="1"/>
  <c r="C582" i="3" s="1"/>
  <c r="D582" i="3" a="1"/>
  <c r="D582" i="3" s="1"/>
  <c r="E582" i="3" a="1"/>
  <c r="E582" i="3" s="1"/>
  <c r="F582" i="3" a="1"/>
  <c r="F582" i="3" s="1"/>
  <c r="G582" i="3" a="1"/>
  <c r="G582" i="3" s="1"/>
  <c r="J582" i="3" a="1"/>
  <c r="J582" i="3" s="1"/>
  <c r="B583" i="3" a="1"/>
  <c r="B583" i="3" s="1"/>
  <c r="C583" i="3" a="1"/>
  <c r="C583" i="3" s="1"/>
  <c r="D583" i="3" a="1"/>
  <c r="D583" i="3" s="1"/>
  <c r="E583" i="3" a="1"/>
  <c r="E583" i="3" s="1"/>
  <c r="F583" i="3" a="1"/>
  <c r="F583" i="3" s="1"/>
  <c r="G583" i="3" a="1"/>
  <c r="G583" i="3" s="1"/>
  <c r="J583" i="3" a="1"/>
  <c r="J583" i="3" s="1"/>
  <c r="B584" i="3" a="1"/>
  <c r="B584" i="3" s="1"/>
  <c r="C584" i="3" a="1"/>
  <c r="C584" i="3" s="1"/>
  <c r="D584" i="3" a="1"/>
  <c r="D584" i="3" s="1"/>
  <c r="E584" i="3" a="1"/>
  <c r="E584" i="3" s="1"/>
  <c r="F584" i="3" a="1"/>
  <c r="F584" i="3" s="1"/>
  <c r="G584" i="3" a="1"/>
  <c r="G584" i="3" s="1"/>
  <c r="J584" i="3" a="1"/>
  <c r="J584" i="3" s="1"/>
  <c r="B585" i="3" a="1"/>
  <c r="B585" i="3" s="1"/>
  <c r="C585" i="3" a="1"/>
  <c r="C585" i="3" s="1"/>
  <c r="D585" i="3" a="1"/>
  <c r="D585" i="3" s="1"/>
  <c r="E585" i="3" a="1"/>
  <c r="E585" i="3" s="1"/>
  <c r="F585" i="3" a="1"/>
  <c r="F585" i="3" s="1"/>
  <c r="G585" i="3" a="1"/>
  <c r="G585" i="3" s="1"/>
  <c r="J585" i="3" a="1"/>
  <c r="J585" i="3" s="1"/>
  <c r="B586" i="3" a="1"/>
  <c r="B586" i="3" s="1"/>
  <c r="C586" i="3" a="1"/>
  <c r="C586" i="3" s="1"/>
  <c r="D586" i="3" a="1"/>
  <c r="D586" i="3" s="1"/>
  <c r="E586" i="3" a="1"/>
  <c r="E586" i="3" s="1"/>
  <c r="F586" i="3" a="1"/>
  <c r="F586" i="3" s="1"/>
  <c r="G586" i="3" a="1"/>
  <c r="G586" i="3" s="1"/>
  <c r="J586" i="3" a="1"/>
  <c r="J586" i="3" s="1"/>
  <c r="B587" i="3" a="1"/>
  <c r="B587" i="3" s="1"/>
  <c r="C587" i="3" a="1"/>
  <c r="C587" i="3" s="1"/>
  <c r="D587" i="3" a="1"/>
  <c r="D587" i="3" s="1"/>
  <c r="E587" i="3" a="1"/>
  <c r="E587" i="3" s="1"/>
  <c r="F587" i="3" a="1"/>
  <c r="F587" i="3" s="1"/>
  <c r="G587" i="3" a="1"/>
  <c r="G587" i="3" s="1"/>
  <c r="J587" i="3" a="1"/>
  <c r="J587" i="3" s="1"/>
  <c r="B588" i="3" a="1"/>
  <c r="B588" i="3" s="1"/>
  <c r="C588" i="3" a="1"/>
  <c r="C588" i="3" s="1"/>
  <c r="D588" i="3" a="1"/>
  <c r="D588" i="3" s="1"/>
  <c r="E588" i="3" a="1"/>
  <c r="E588" i="3" s="1"/>
  <c r="F588" i="3" a="1"/>
  <c r="F588" i="3" s="1"/>
  <c r="G588" i="3" a="1"/>
  <c r="G588" i="3" s="1"/>
  <c r="J588" i="3" a="1"/>
  <c r="J588" i="3" s="1"/>
  <c r="B589" i="3" a="1"/>
  <c r="B589" i="3" s="1"/>
  <c r="C589" i="3" a="1"/>
  <c r="C589" i="3" s="1"/>
  <c r="D589" i="3" a="1"/>
  <c r="D589" i="3" s="1"/>
  <c r="E589" i="3" a="1"/>
  <c r="E589" i="3" s="1"/>
  <c r="F589" i="3" a="1"/>
  <c r="F589" i="3" s="1"/>
  <c r="G589" i="3" a="1"/>
  <c r="G589" i="3" s="1"/>
  <c r="J589" i="3" a="1"/>
  <c r="J589" i="3" s="1"/>
  <c r="B590" i="3" a="1"/>
  <c r="B590" i="3" s="1"/>
  <c r="C590" i="3" a="1"/>
  <c r="C590" i="3" s="1"/>
  <c r="D590" i="3" a="1"/>
  <c r="D590" i="3" s="1"/>
  <c r="E590" i="3" a="1"/>
  <c r="E590" i="3" s="1"/>
  <c r="F590" i="3" a="1"/>
  <c r="F590" i="3" s="1"/>
  <c r="G590" i="3" a="1"/>
  <c r="G590" i="3" s="1"/>
  <c r="J590" i="3" a="1"/>
  <c r="J590" i="3" s="1"/>
  <c r="B591" i="3" a="1"/>
  <c r="B591" i="3" s="1"/>
  <c r="C591" i="3" a="1"/>
  <c r="C591" i="3" s="1"/>
  <c r="D591" i="3" a="1"/>
  <c r="D591" i="3" s="1"/>
  <c r="E591" i="3" a="1"/>
  <c r="E591" i="3" s="1"/>
  <c r="F591" i="3" a="1"/>
  <c r="F591" i="3" s="1"/>
  <c r="G591" i="3" a="1"/>
  <c r="G591" i="3" s="1"/>
  <c r="J591" i="3" a="1"/>
  <c r="J591" i="3" s="1"/>
  <c r="B592" i="3" a="1"/>
  <c r="B592" i="3" s="1"/>
  <c r="C592" i="3" a="1"/>
  <c r="C592" i="3" s="1"/>
  <c r="D592" i="3" a="1"/>
  <c r="D592" i="3" s="1"/>
  <c r="E592" i="3" a="1"/>
  <c r="E592" i="3" s="1"/>
  <c r="F592" i="3" a="1"/>
  <c r="F592" i="3" s="1"/>
  <c r="G592" i="3" a="1"/>
  <c r="G592" i="3" s="1"/>
  <c r="J592" i="3" a="1"/>
  <c r="J592" i="3" s="1"/>
  <c r="B593" i="3" a="1"/>
  <c r="B593" i="3" s="1"/>
  <c r="C593" i="3" a="1"/>
  <c r="C593" i="3" s="1"/>
  <c r="D593" i="3" a="1"/>
  <c r="D593" i="3" s="1"/>
  <c r="E593" i="3" a="1"/>
  <c r="E593" i="3" s="1"/>
  <c r="F593" i="3" a="1"/>
  <c r="F593" i="3" s="1"/>
  <c r="G593" i="3" a="1"/>
  <c r="G593" i="3" s="1"/>
  <c r="J593" i="3" a="1"/>
  <c r="J593" i="3" s="1"/>
  <c r="B594" i="3" a="1"/>
  <c r="B594" i="3" s="1"/>
  <c r="C594" i="3" a="1"/>
  <c r="C594" i="3" s="1"/>
  <c r="D594" i="3" a="1"/>
  <c r="D594" i="3" s="1"/>
  <c r="E594" i="3" a="1"/>
  <c r="E594" i="3" s="1"/>
  <c r="F594" i="3" a="1"/>
  <c r="F594" i="3" s="1"/>
  <c r="G594" i="3" a="1"/>
  <c r="G594" i="3" s="1"/>
  <c r="J594" i="3" a="1"/>
  <c r="J594" i="3" s="1"/>
  <c r="B595" i="3" a="1"/>
  <c r="B595" i="3" s="1"/>
  <c r="C595" i="3" a="1"/>
  <c r="C595" i="3" s="1"/>
  <c r="D595" i="3" a="1"/>
  <c r="D595" i="3" s="1"/>
  <c r="E595" i="3" a="1"/>
  <c r="E595" i="3" s="1"/>
  <c r="F595" i="3" a="1"/>
  <c r="F595" i="3" s="1"/>
  <c r="G595" i="3" a="1"/>
  <c r="G595" i="3" s="1"/>
  <c r="J595" i="3" a="1"/>
  <c r="J595" i="3" s="1"/>
  <c r="B596" i="3" a="1"/>
  <c r="B596" i="3" s="1"/>
  <c r="C596" i="3" a="1"/>
  <c r="C596" i="3" s="1"/>
  <c r="D596" i="3" a="1"/>
  <c r="D596" i="3" s="1"/>
  <c r="E596" i="3" a="1"/>
  <c r="E596" i="3" s="1"/>
  <c r="F596" i="3" a="1"/>
  <c r="F596" i="3" s="1"/>
  <c r="G596" i="3" a="1"/>
  <c r="G596" i="3" s="1"/>
  <c r="J596" i="3" a="1"/>
  <c r="J596" i="3" s="1"/>
  <c r="B597" i="3" a="1"/>
  <c r="B597" i="3" s="1"/>
  <c r="C597" i="3" a="1"/>
  <c r="C597" i="3" s="1"/>
  <c r="D597" i="3" a="1"/>
  <c r="D597" i="3" s="1"/>
  <c r="E597" i="3" a="1"/>
  <c r="E597" i="3" s="1"/>
  <c r="F597" i="3" a="1"/>
  <c r="F597" i="3" s="1"/>
  <c r="G597" i="3" a="1"/>
  <c r="G597" i="3" s="1"/>
  <c r="J597" i="3" a="1"/>
  <c r="J597" i="3" s="1"/>
  <c r="B598" i="3" a="1"/>
  <c r="B598" i="3" s="1"/>
  <c r="C598" i="3" a="1"/>
  <c r="C598" i="3" s="1"/>
  <c r="D598" i="3" a="1"/>
  <c r="D598" i="3" s="1"/>
  <c r="E598" i="3" a="1"/>
  <c r="E598" i="3" s="1"/>
  <c r="F598" i="3" a="1"/>
  <c r="F598" i="3" s="1"/>
  <c r="G598" i="3" a="1"/>
  <c r="G598" i="3" s="1"/>
  <c r="J598" i="3" a="1"/>
  <c r="J598" i="3" s="1"/>
  <c r="B599" i="3" a="1"/>
  <c r="B599" i="3" s="1"/>
  <c r="C599" i="3" a="1"/>
  <c r="C599" i="3" s="1"/>
  <c r="D599" i="3" a="1"/>
  <c r="D599" i="3" s="1"/>
  <c r="E599" i="3" a="1"/>
  <c r="E599" i="3" s="1"/>
  <c r="F599" i="3" a="1"/>
  <c r="F599" i="3" s="1"/>
  <c r="G599" i="3" a="1"/>
  <c r="G599" i="3" s="1"/>
  <c r="J599" i="3" a="1"/>
  <c r="J599" i="3" s="1"/>
  <c r="B600" i="3" a="1"/>
  <c r="B600" i="3" s="1"/>
  <c r="C600" i="3" a="1"/>
  <c r="C600" i="3" s="1"/>
  <c r="D600" i="3" a="1"/>
  <c r="D600" i="3" s="1"/>
  <c r="E600" i="3" a="1"/>
  <c r="E600" i="3" s="1"/>
  <c r="F600" i="3" a="1"/>
  <c r="F600" i="3" s="1"/>
  <c r="G600" i="3" a="1"/>
  <c r="G600" i="3" s="1"/>
  <c r="J600" i="3" a="1"/>
  <c r="J600" i="3" s="1"/>
  <c r="B601" i="3" a="1"/>
  <c r="B601" i="3" s="1"/>
  <c r="C601" i="3" a="1"/>
  <c r="C601" i="3" s="1"/>
  <c r="D601" i="3" a="1"/>
  <c r="D601" i="3" s="1"/>
  <c r="E601" i="3" a="1"/>
  <c r="E601" i="3" s="1"/>
  <c r="F601" i="3" a="1"/>
  <c r="F601" i="3" s="1"/>
  <c r="G601" i="3" a="1"/>
  <c r="G601" i="3" s="1"/>
  <c r="J601" i="3" a="1"/>
  <c r="J601" i="3" s="1"/>
  <c r="B602" i="3" a="1"/>
  <c r="B602" i="3" s="1"/>
  <c r="C602" i="3" a="1"/>
  <c r="C602" i="3" s="1"/>
  <c r="D602" i="3" a="1"/>
  <c r="D602" i="3" s="1"/>
  <c r="E602" i="3" a="1"/>
  <c r="E602" i="3" s="1"/>
  <c r="F602" i="3" a="1"/>
  <c r="F602" i="3" s="1"/>
  <c r="G602" i="3" a="1"/>
  <c r="G602" i="3" s="1"/>
  <c r="J602" i="3" a="1"/>
  <c r="J602" i="3" s="1"/>
  <c r="B603" i="3" a="1"/>
  <c r="B603" i="3" s="1"/>
  <c r="C603" i="3" a="1"/>
  <c r="C603" i="3" s="1"/>
  <c r="D603" i="3" a="1"/>
  <c r="D603" i="3" s="1"/>
  <c r="E603" i="3" a="1"/>
  <c r="E603" i="3" s="1"/>
  <c r="F603" i="3" a="1"/>
  <c r="F603" i="3" s="1"/>
  <c r="G603" i="3" a="1"/>
  <c r="G603" i="3" s="1"/>
  <c r="J603" i="3" a="1"/>
  <c r="J603" i="3" s="1"/>
  <c r="B604" i="3" a="1"/>
  <c r="B604" i="3" s="1"/>
  <c r="C604" i="3" a="1"/>
  <c r="C604" i="3" s="1"/>
  <c r="D604" i="3" a="1"/>
  <c r="D604" i="3" s="1"/>
  <c r="E604" i="3" a="1"/>
  <c r="E604" i="3" s="1"/>
  <c r="F604" i="3" a="1"/>
  <c r="F604" i="3" s="1"/>
  <c r="G604" i="3" a="1"/>
  <c r="G604" i="3" s="1"/>
  <c r="J604" i="3" a="1"/>
  <c r="J604" i="3" s="1"/>
  <c r="B605" i="3" a="1"/>
  <c r="B605" i="3" s="1"/>
  <c r="C605" i="3" a="1"/>
  <c r="C605" i="3" s="1"/>
  <c r="D605" i="3" a="1"/>
  <c r="D605" i="3" s="1"/>
  <c r="E605" i="3" a="1"/>
  <c r="E605" i="3" s="1"/>
  <c r="F605" i="3" a="1"/>
  <c r="F605" i="3" s="1"/>
  <c r="G605" i="3" a="1"/>
  <c r="G605" i="3" s="1"/>
  <c r="J605" i="3" a="1"/>
  <c r="J605" i="3" s="1"/>
  <c r="B606" i="3" a="1"/>
  <c r="B606" i="3" s="1"/>
  <c r="C606" i="3" a="1"/>
  <c r="C606" i="3" s="1"/>
  <c r="D606" i="3" a="1"/>
  <c r="D606" i="3" s="1"/>
  <c r="E606" i="3" a="1"/>
  <c r="E606" i="3" s="1"/>
  <c r="F606" i="3" a="1"/>
  <c r="F606" i="3" s="1"/>
  <c r="G606" i="3" a="1"/>
  <c r="G606" i="3" s="1"/>
  <c r="J606" i="3" a="1"/>
  <c r="J606" i="3" s="1"/>
  <c r="B607" i="3" a="1"/>
  <c r="B607" i="3" s="1"/>
  <c r="C607" i="3" a="1"/>
  <c r="C607" i="3" s="1"/>
  <c r="D607" i="3" a="1"/>
  <c r="D607" i="3" s="1"/>
  <c r="E607" i="3" a="1"/>
  <c r="E607" i="3" s="1"/>
  <c r="F607" i="3" a="1"/>
  <c r="F607" i="3" s="1"/>
  <c r="G607" i="3" a="1"/>
  <c r="G607" i="3" s="1"/>
  <c r="J607" i="3" a="1"/>
  <c r="J607" i="3" s="1"/>
  <c r="B608" i="3" a="1"/>
  <c r="B608" i="3" s="1"/>
  <c r="C608" i="3" a="1"/>
  <c r="C608" i="3" s="1"/>
  <c r="D608" i="3" a="1"/>
  <c r="D608" i="3" s="1"/>
  <c r="E608" i="3" a="1"/>
  <c r="E608" i="3" s="1"/>
  <c r="F608" i="3" a="1"/>
  <c r="F608" i="3" s="1"/>
  <c r="G608" i="3" a="1"/>
  <c r="G608" i="3" s="1"/>
  <c r="J608" i="3" a="1"/>
  <c r="J608" i="3" s="1"/>
  <c r="B609" i="3" a="1"/>
  <c r="B609" i="3" s="1"/>
  <c r="C609" i="3" a="1"/>
  <c r="C609" i="3" s="1"/>
  <c r="D609" i="3" a="1"/>
  <c r="D609" i="3" s="1"/>
  <c r="E609" i="3" a="1"/>
  <c r="E609" i="3" s="1"/>
  <c r="F609" i="3" a="1"/>
  <c r="F609" i="3" s="1"/>
  <c r="G609" i="3" a="1"/>
  <c r="G609" i="3" s="1"/>
  <c r="J609" i="3" a="1"/>
  <c r="J609" i="3" s="1"/>
  <c r="B610" i="3" a="1"/>
  <c r="B610" i="3" s="1"/>
  <c r="C610" i="3" a="1"/>
  <c r="C610" i="3" s="1"/>
  <c r="D610" i="3" a="1"/>
  <c r="D610" i="3" s="1"/>
  <c r="E610" i="3" a="1"/>
  <c r="E610" i="3" s="1"/>
  <c r="F610" i="3" a="1"/>
  <c r="F610" i="3" s="1"/>
  <c r="G610" i="3" a="1"/>
  <c r="G610" i="3" s="1"/>
  <c r="J610" i="3" a="1"/>
  <c r="J610" i="3" s="1"/>
  <c r="B611" i="3" a="1"/>
  <c r="B611" i="3" s="1"/>
  <c r="C611" i="3" a="1"/>
  <c r="C611" i="3" s="1"/>
  <c r="D611" i="3" a="1"/>
  <c r="D611" i="3" s="1"/>
  <c r="E611" i="3" a="1"/>
  <c r="E611" i="3" s="1"/>
  <c r="F611" i="3" a="1"/>
  <c r="F611" i="3" s="1"/>
  <c r="G611" i="3" a="1"/>
  <c r="G611" i="3" s="1"/>
  <c r="J611" i="3" a="1"/>
  <c r="J611" i="3" s="1"/>
  <c r="B612" i="3" a="1"/>
  <c r="B612" i="3" s="1"/>
  <c r="C612" i="3" a="1"/>
  <c r="C612" i="3" s="1"/>
  <c r="D612" i="3" a="1"/>
  <c r="D612" i="3" s="1"/>
  <c r="E612" i="3" a="1"/>
  <c r="E612" i="3" s="1"/>
  <c r="F612" i="3" a="1"/>
  <c r="F612" i="3" s="1"/>
  <c r="G612" i="3" a="1"/>
  <c r="G612" i="3" s="1"/>
  <c r="J612" i="3" a="1"/>
  <c r="J612" i="3" s="1"/>
  <c r="B613" i="3" a="1"/>
  <c r="B613" i="3" s="1"/>
  <c r="C613" i="3" a="1"/>
  <c r="C613" i="3" s="1"/>
  <c r="D613" i="3" a="1"/>
  <c r="D613" i="3" s="1"/>
  <c r="E613" i="3" a="1"/>
  <c r="E613" i="3" s="1"/>
  <c r="F613" i="3" a="1"/>
  <c r="F613" i="3" s="1"/>
  <c r="G613" i="3" a="1"/>
  <c r="G613" i="3" s="1"/>
  <c r="J613" i="3" a="1"/>
  <c r="J613" i="3" s="1"/>
  <c r="B614" i="3" a="1"/>
  <c r="B614" i="3" s="1"/>
  <c r="C614" i="3" a="1"/>
  <c r="C614" i="3" s="1"/>
  <c r="D614" i="3" a="1"/>
  <c r="D614" i="3" s="1"/>
  <c r="E614" i="3" a="1"/>
  <c r="E614" i="3" s="1"/>
  <c r="F614" i="3" a="1"/>
  <c r="F614" i="3" s="1"/>
  <c r="G614" i="3" a="1"/>
  <c r="G614" i="3" s="1"/>
  <c r="J614" i="3" a="1"/>
  <c r="J614" i="3" s="1"/>
  <c r="B615" i="3" a="1"/>
  <c r="B615" i="3" s="1"/>
  <c r="C615" i="3" a="1"/>
  <c r="C615" i="3" s="1"/>
  <c r="D615" i="3" a="1"/>
  <c r="D615" i="3" s="1"/>
  <c r="E615" i="3" a="1"/>
  <c r="E615" i="3" s="1"/>
  <c r="F615" i="3" a="1"/>
  <c r="F615" i="3" s="1"/>
  <c r="G615" i="3" a="1"/>
  <c r="G615" i="3" s="1"/>
  <c r="J615" i="3" a="1"/>
  <c r="J615" i="3" s="1"/>
  <c r="B616" i="3" a="1"/>
  <c r="B616" i="3" s="1"/>
  <c r="C616" i="3" a="1"/>
  <c r="C616" i="3" s="1"/>
  <c r="D616" i="3" a="1"/>
  <c r="D616" i="3" s="1"/>
  <c r="E616" i="3" a="1"/>
  <c r="E616" i="3" s="1"/>
  <c r="F616" i="3" a="1"/>
  <c r="F616" i="3" s="1"/>
  <c r="G616" i="3" a="1"/>
  <c r="G616" i="3" s="1"/>
  <c r="J616" i="3" a="1"/>
  <c r="J616" i="3" s="1"/>
  <c r="B617" i="3" a="1"/>
  <c r="B617" i="3" s="1"/>
  <c r="C617" i="3" a="1"/>
  <c r="C617" i="3" s="1"/>
  <c r="D617" i="3" a="1"/>
  <c r="D617" i="3" s="1"/>
  <c r="E617" i="3" a="1"/>
  <c r="E617" i="3" s="1"/>
  <c r="F617" i="3" a="1"/>
  <c r="F617" i="3" s="1"/>
  <c r="G617" i="3" a="1"/>
  <c r="G617" i="3" s="1"/>
  <c r="J617" i="3" a="1"/>
  <c r="J617" i="3" s="1"/>
  <c r="B618" i="3" a="1"/>
  <c r="B618" i="3" s="1"/>
  <c r="C618" i="3" a="1"/>
  <c r="C618" i="3" s="1"/>
  <c r="D618" i="3" a="1"/>
  <c r="D618" i="3" s="1"/>
  <c r="E618" i="3" a="1"/>
  <c r="E618" i="3" s="1"/>
  <c r="F618" i="3" a="1"/>
  <c r="F618" i="3" s="1"/>
  <c r="G618" i="3" a="1"/>
  <c r="G618" i="3" s="1"/>
  <c r="J618" i="3" a="1"/>
  <c r="J618" i="3" s="1"/>
  <c r="B619" i="3" a="1"/>
  <c r="B619" i="3" s="1"/>
  <c r="C619" i="3" a="1"/>
  <c r="C619" i="3" s="1"/>
  <c r="D619" i="3" a="1"/>
  <c r="D619" i="3" s="1"/>
  <c r="E619" i="3" a="1"/>
  <c r="E619" i="3" s="1"/>
  <c r="F619" i="3" a="1"/>
  <c r="F619" i="3" s="1"/>
  <c r="G619" i="3" a="1"/>
  <c r="G619" i="3" s="1"/>
  <c r="J619" i="3" a="1"/>
  <c r="J619" i="3" s="1"/>
  <c r="B620" i="3" a="1"/>
  <c r="B620" i="3" s="1"/>
  <c r="C620" i="3" a="1"/>
  <c r="C620" i="3" s="1"/>
  <c r="D620" i="3" a="1"/>
  <c r="D620" i="3" s="1"/>
  <c r="E620" i="3" a="1"/>
  <c r="E620" i="3" s="1"/>
  <c r="F620" i="3" a="1"/>
  <c r="F620" i="3" s="1"/>
  <c r="G620" i="3" a="1"/>
  <c r="G620" i="3" s="1"/>
  <c r="J620" i="3" a="1"/>
  <c r="J620" i="3" s="1"/>
  <c r="B621" i="3" a="1"/>
  <c r="B621" i="3" s="1"/>
  <c r="C621" i="3" a="1"/>
  <c r="C621" i="3" s="1"/>
  <c r="D621" i="3" a="1"/>
  <c r="D621" i="3" s="1"/>
  <c r="E621" i="3" a="1"/>
  <c r="E621" i="3" s="1"/>
  <c r="F621" i="3" a="1"/>
  <c r="F621" i="3" s="1"/>
  <c r="G621" i="3" a="1"/>
  <c r="G621" i="3" s="1"/>
  <c r="J621" i="3" a="1"/>
  <c r="J621" i="3" s="1"/>
  <c r="B622" i="3" a="1"/>
  <c r="B622" i="3" s="1"/>
  <c r="C622" i="3" a="1"/>
  <c r="C622" i="3" s="1"/>
  <c r="D622" i="3" a="1"/>
  <c r="D622" i="3" s="1"/>
  <c r="E622" i="3" a="1"/>
  <c r="E622" i="3" s="1"/>
  <c r="F622" i="3" a="1"/>
  <c r="F622" i="3" s="1"/>
  <c r="G622" i="3" a="1"/>
  <c r="G622" i="3" s="1"/>
  <c r="J622" i="3" a="1"/>
  <c r="J622" i="3" s="1"/>
  <c r="B623" i="3" a="1"/>
  <c r="B623" i="3" s="1"/>
  <c r="C623" i="3" a="1"/>
  <c r="C623" i="3" s="1"/>
  <c r="D623" i="3" a="1"/>
  <c r="D623" i="3" s="1"/>
  <c r="E623" i="3" a="1"/>
  <c r="E623" i="3" s="1"/>
  <c r="F623" i="3" a="1"/>
  <c r="F623" i="3" s="1"/>
  <c r="G623" i="3" a="1"/>
  <c r="G623" i="3" s="1"/>
  <c r="J623" i="3" a="1"/>
  <c r="J623" i="3" s="1"/>
  <c r="B624" i="3" a="1"/>
  <c r="B624" i="3" s="1"/>
  <c r="C624" i="3" a="1"/>
  <c r="C624" i="3" s="1"/>
  <c r="D624" i="3" a="1"/>
  <c r="D624" i="3" s="1"/>
  <c r="E624" i="3" a="1"/>
  <c r="E624" i="3" s="1"/>
  <c r="F624" i="3" a="1"/>
  <c r="F624" i="3" s="1"/>
  <c r="G624" i="3" a="1"/>
  <c r="G624" i="3" s="1"/>
  <c r="J624" i="3" a="1"/>
  <c r="J624" i="3" s="1"/>
  <c r="B625" i="3" a="1"/>
  <c r="B625" i="3" s="1"/>
  <c r="C625" i="3" a="1"/>
  <c r="C625" i="3" s="1"/>
  <c r="D625" i="3" a="1"/>
  <c r="D625" i="3" s="1"/>
  <c r="E625" i="3" a="1"/>
  <c r="E625" i="3" s="1"/>
  <c r="F625" i="3" a="1"/>
  <c r="F625" i="3" s="1"/>
  <c r="G625" i="3" a="1"/>
  <c r="G625" i="3" s="1"/>
  <c r="J625" i="3" a="1"/>
  <c r="J625" i="3" s="1"/>
  <c r="B626" i="3" a="1"/>
  <c r="B626" i="3" s="1"/>
  <c r="C626" i="3" a="1"/>
  <c r="C626" i="3" s="1"/>
  <c r="D626" i="3" a="1"/>
  <c r="D626" i="3" s="1"/>
  <c r="E626" i="3" a="1"/>
  <c r="E626" i="3" s="1"/>
  <c r="F626" i="3" a="1"/>
  <c r="F626" i="3" s="1"/>
  <c r="G626" i="3" a="1"/>
  <c r="G626" i="3" s="1"/>
  <c r="J626" i="3" a="1"/>
  <c r="J626" i="3" s="1"/>
  <c r="B627" i="3" a="1"/>
  <c r="B627" i="3" s="1"/>
  <c r="C627" i="3" a="1"/>
  <c r="C627" i="3" s="1"/>
  <c r="D627" i="3" a="1"/>
  <c r="D627" i="3" s="1"/>
  <c r="E627" i="3" a="1"/>
  <c r="E627" i="3" s="1"/>
  <c r="F627" i="3" a="1"/>
  <c r="F627" i="3" s="1"/>
  <c r="G627" i="3" a="1"/>
  <c r="G627" i="3" s="1"/>
  <c r="J627" i="3" a="1"/>
  <c r="J627" i="3" s="1"/>
  <c r="B628" i="3" a="1"/>
  <c r="B628" i="3" s="1"/>
  <c r="C628" i="3" a="1"/>
  <c r="C628" i="3" s="1"/>
  <c r="D628" i="3" a="1"/>
  <c r="D628" i="3" s="1"/>
  <c r="E628" i="3" a="1"/>
  <c r="E628" i="3" s="1"/>
  <c r="F628" i="3" a="1"/>
  <c r="F628" i="3" s="1"/>
  <c r="G628" i="3" a="1"/>
  <c r="G628" i="3" s="1"/>
  <c r="J628" i="3" a="1"/>
  <c r="J628" i="3" s="1"/>
  <c r="B629" i="3" a="1"/>
  <c r="B629" i="3" s="1"/>
  <c r="C629" i="3" a="1"/>
  <c r="C629" i="3" s="1"/>
  <c r="D629" i="3" a="1"/>
  <c r="D629" i="3" s="1"/>
  <c r="E629" i="3" a="1"/>
  <c r="E629" i="3" s="1"/>
  <c r="F629" i="3" a="1"/>
  <c r="F629" i="3" s="1"/>
  <c r="G629" i="3" a="1"/>
  <c r="G629" i="3" s="1"/>
  <c r="J629" i="3" a="1"/>
  <c r="J629" i="3" s="1"/>
  <c r="B630" i="3" a="1"/>
  <c r="B630" i="3" s="1"/>
  <c r="C630" i="3" a="1"/>
  <c r="C630" i="3" s="1"/>
  <c r="D630" i="3" a="1"/>
  <c r="D630" i="3" s="1"/>
  <c r="E630" i="3" a="1"/>
  <c r="E630" i="3" s="1"/>
  <c r="F630" i="3" a="1"/>
  <c r="F630" i="3" s="1"/>
  <c r="G630" i="3" a="1"/>
  <c r="G630" i="3" s="1"/>
  <c r="J630" i="3" a="1"/>
  <c r="J630" i="3" s="1"/>
  <c r="B631" i="3" a="1"/>
  <c r="B631" i="3" s="1"/>
  <c r="C631" i="3" a="1"/>
  <c r="C631" i="3" s="1"/>
  <c r="D631" i="3" a="1"/>
  <c r="D631" i="3" s="1"/>
  <c r="E631" i="3" a="1"/>
  <c r="E631" i="3" s="1"/>
  <c r="F631" i="3" a="1"/>
  <c r="F631" i="3" s="1"/>
  <c r="G631" i="3" a="1"/>
  <c r="G631" i="3" s="1"/>
  <c r="J631" i="3" a="1"/>
  <c r="J631" i="3" s="1"/>
  <c r="B632" i="3" a="1"/>
  <c r="B632" i="3" s="1"/>
  <c r="C632" i="3" a="1"/>
  <c r="C632" i="3" s="1"/>
  <c r="D632" i="3" a="1"/>
  <c r="D632" i="3" s="1"/>
  <c r="E632" i="3" a="1"/>
  <c r="E632" i="3" s="1"/>
  <c r="F632" i="3" a="1"/>
  <c r="F632" i="3" s="1"/>
  <c r="G632" i="3" a="1"/>
  <c r="G632" i="3" s="1"/>
  <c r="J632" i="3" a="1"/>
  <c r="J632" i="3" s="1"/>
  <c r="B633" i="3" a="1"/>
  <c r="B633" i="3" s="1"/>
  <c r="C633" i="3" a="1"/>
  <c r="C633" i="3" s="1"/>
  <c r="D633" i="3" a="1"/>
  <c r="D633" i="3" s="1"/>
  <c r="E633" i="3" a="1"/>
  <c r="E633" i="3" s="1"/>
  <c r="F633" i="3" a="1"/>
  <c r="F633" i="3" s="1"/>
  <c r="G633" i="3" a="1"/>
  <c r="G633" i="3" s="1"/>
  <c r="J633" i="3" a="1"/>
  <c r="J633" i="3" s="1"/>
  <c r="B634" i="3" a="1"/>
  <c r="B634" i="3" s="1"/>
  <c r="C634" i="3" a="1"/>
  <c r="C634" i="3" s="1"/>
  <c r="D634" i="3" a="1"/>
  <c r="D634" i="3" s="1"/>
  <c r="E634" i="3" a="1"/>
  <c r="E634" i="3" s="1"/>
  <c r="F634" i="3" a="1"/>
  <c r="F634" i="3" s="1"/>
  <c r="G634" i="3" a="1"/>
  <c r="G634" i="3" s="1"/>
  <c r="J634" i="3" a="1"/>
  <c r="J634" i="3" s="1"/>
  <c r="B635" i="3" a="1"/>
  <c r="B635" i="3" s="1"/>
  <c r="C635" i="3" a="1"/>
  <c r="C635" i="3" s="1"/>
  <c r="D635" i="3" a="1"/>
  <c r="D635" i="3" s="1"/>
  <c r="E635" i="3" a="1"/>
  <c r="E635" i="3" s="1"/>
  <c r="F635" i="3" a="1"/>
  <c r="F635" i="3" s="1"/>
  <c r="G635" i="3" a="1"/>
  <c r="G635" i="3" s="1"/>
  <c r="J635" i="3" a="1"/>
  <c r="J635" i="3" s="1"/>
  <c r="B636" i="3" a="1"/>
  <c r="B636" i="3" s="1"/>
  <c r="C636" i="3" a="1"/>
  <c r="C636" i="3" s="1"/>
  <c r="D636" i="3" a="1"/>
  <c r="D636" i="3" s="1"/>
  <c r="E636" i="3" a="1"/>
  <c r="E636" i="3" s="1"/>
  <c r="F636" i="3" a="1"/>
  <c r="F636" i="3" s="1"/>
  <c r="G636" i="3" a="1"/>
  <c r="G636" i="3" s="1"/>
  <c r="J636" i="3" a="1"/>
  <c r="J636" i="3" s="1"/>
  <c r="B637" i="3" a="1"/>
  <c r="B637" i="3" s="1"/>
  <c r="C637" i="3" a="1"/>
  <c r="C637" i="3" s="1"/>
  <c r="D637" i="3" a="1"/>
  <c r="D637" i="3" s="1"/>
  <c r="E637" i="3" a="1"/>
  <c r="E637" i="3" s="1"/>
  <c r="F637" i="3" a="1"/>
  <c r="F637" i="3" s="1"/>
  <c r="G637" i="3" a="1"/>
  <c r="G637" i="3" s="1"/>
  <c r="J637" i="3" a="1"/>
  <c r="J637" i="3" s="1"/>
  <c r="B638" i="3" a="1"/>
  <c r="B638" i="3" s="1"/>
  <c r="C638" i="3" a="1"/>
  <c r="C638" i="3" s="1"/>
  <c r="D638" i="3" a="1"/>
  <c r="D638" i="3" s="1"/>
  <c r="E638" i="3" a="1"/>
  <c r="E638" i="3" s="1"/>
  <c r="F638" i="3" a="1"/>
  <c r="F638" i="3" s="1"/>
  <c r="G638" i="3" a="1"/>
  <c r="G638" i="3" s="1"/>
  <c r="J638" i="3" a="1"/>
  <c r="J638" i="3" s="1"/>
  <c r="B639" i="3" a="1"/>
  <c r="B639" i="3" s="1"/>
  <c r="C639" i="3" a="1"/>
  <c r="C639" i="3" s="1"/>
  <c r="D639" i="3" a="1"/>
  <c r="D639" i="3" s="1"/>
  <c r="E639" i="3" a="1"/>
  <c r="E639" i="3" s="1"/>
  <c r="F639" i="3" a="1"/>
  <c r="F639" i="3" s="1"/>
  <c r="G639" i="3" a="1"/>
  <c r="G639" i="3" s="1"/>
  <c r="J639" i="3" a="1"/>
  <c r="J639" i="3" s="1"/>
  <c r="B640" i="3" a="1"/>
  <c r="B640" i="3" s="1"/>
  <c r="C640" i="3" a="1"/>
  <c r="C640" i="3" s="1"/>
  <c r="D640" i="3" a="1"/>
  <c r="D640" i="3" s="1"/>
  <c r="E640" i="3" a="1"/>
  <c r="E640" i="3" s="1"/>
  <c r="F640" i="3" a="1"/>
  <c r="F640" i="3" s="1"/>
  <c r="G640" i="3" a="1"/>
  <c r="G640" i="3" s="1"/>
  <c r="J640" i="3" a="1"/>
  <c r="J640" i="3" s="1"/>
  <c r="B641" i="3" a="1"/>
  <c r="B641" i="3" s="1"/>
  <c r="C641" i="3" a="1"/>
  <c r="C641" i="3" s="1"/>
  <c r="D641" i="3" a="1"/>
  <c r="D641" i="3" s="1"/>
  <c r="E641" i="3" a="1"/>
  <c r="E641" i="3" s="1"/>
  <c r="F641" i="3" a="1"/>
  <c r="F641" i="3" s="1"/>
  <c r="G641" i="3" a="1"/>
  <c r="G641" i="3" s="1"/>
  <c r="J641" i="3" a="1"/>
  <c r="J641" i="3" s="1"/>
  <c r="B642" i="3" a="1"/>
  <c r="B642" i="3" s="1"/>
  <c r="C642" i="3" a="1"/>
  <c r="C642" i="3" s="1"/>
  <c r="D642" i="3" a="1"/>
  <c r="D642" i="3" s="1"/>
  <c r="E642" i="3" a="1"/>
  <c r="E642" i="3" s="1"/>
  <c r="F642" i="3" a="1"/>
  <c r="F642" i="3" s="1"/>
  <c r="G642" i="3" a="1"/>
  <c r="G642" i="3" s="1"/>
  <c r="J642" i="3" a="1"/>
  <c r="J642" i="3" s="1"/>
  <c r="B643" i="3" a="1"/>
  <c r="B643" i="3" s="1"/>
  <c r="C643" i="3" a="1"/>
  <c r="C643" i="3" s="1"/>
  <c r="D643" i="3" a="1"/>
  <c r="D643" i="3" s="1"/>
  <c r="E643" i="3" a="1"/>
  <c r="E643" i="3" s="1"/>
  <c r="F643" i="3" a="1"/>
  <c r="F643" i="3" s="1"/>
  <c r="G643" i="3" a="1"/>
  <c r="G643" i="3" s="1"/>
  <c r="J643" i="3" a="1"/>
  <c r="J643" i="3" s="1"/>
  <c r="B644" i="3" a="1"/>
  <c r="B644" i="3" s="1"/>
  <c r="C644" i="3" a="1"/>
  <c r="C644" i="3" s="1"/>
  <c r="D644" i="3" a="1"/>
  <c r="D644" i="3" s="1"/>
  <c r="E644" i="3" a="1"/>
  <c r="E644" i="3" s="1"/>
  <c r="F644" i="3" a="1"/>
  <c r="F644" i="3" s="1"/>
  <c r="G644" i="3" a="1"/>
  <c r="G644" i="3" s="1"/>
  <c r="J644" i="3" a="1"/>
  <c r="J644" i="3" s="1"/>
  <c r="B645" i="3" a="1"/>
  <c r="B645" i="3" s="1"/>
  <c r="C645" i="3" a="1"/>
  <c r="C645" i="3" s="1"/>
  <c r="D645" i="3" a="1"/>
  <c r="D645" i="3" s="1"/>
  <c r="E645" i="3" a="1"/>
  <c r="E645" i="3" s="1"/>
  <c r="F645" i="3" a="1"/>
  <c r="F645" i="3" s="1"/>
  <c r="G645" i="3" a="1"/>
  <c r="G645" i="3" s="1"/>
  <c r="J645" i="3" a="1"/>
  <c r="J645" i="3" s="1"/>
  <c r="B646" i="3" a="1"/>
  <c r="B646" i="3" s="1"/>
  <c r="C646" i="3" a="1"/>
  <c r="C646" i="3" s="1"/>
  <c r="D646" i="3" a="1"/>
  <c r="D646" i="3" s="1"/>
  <c r="E646" i="3" a="1"/>
  <c r="E646" i="3" s="1"/>
  <c r="F646" i="3" a="1"/>
  <c r="F646" i="3" s="1"/>
  <c r="G646" i="3" a="1"/>
  <c r="G646" i="3" s="1"/>
  <c r="J646" i="3" a="1"/>
  <c r="J646" i="3" s="1"/>
  <c r="B647" i="3" a="1"/>
  <c r="B647" i="3" s="1"/>
  <c r="C647" i="3" a="1"/>
  <c r="C647" i="3" s="1"/>
  <c r="D647" i="3" a="1"/>
  <c r="D647" i="3" s="1"/>
  <c r="E647" i="3" a="1"/>
  <c r="E647" i="3" s="1"/>
  <c r="F647" i="3" a="1"/>
  <c r="F647" i="3" s="1"/>
  <c r="G647" i="3" a="1"/>
  <c r="G647" i="3" s="1"/>
  <c r="J647" i="3" a="1"/>
  <c r="J647" i="3" s="1"/>
  <c r="B648" i="3" a="1"/>
  <c r="B648" i="3" s="1"/>
  <c r="C648" i="3" a="1"/>
  <c r="C648" i="3" s="1"/>
  <c r="D648" i="3" a="1"/>
  <c r="D648" i="3" s="1"/>
  <c r="E648" i="3" a="1"/>
  <c r="E648" i="3" s="1"/>
  <c r="F648" i="3" a="1"/>
  <c r="F648" i="3" s="1"/>
  <c r="G648" i="3" a="1"/>
  <c r="G648" i="3" s="1"/>
  <c r="J648" i="3" a="1"/>
  <c r="J648" i="3" s="1"/>
  <c r="B649" i="3" a="1"/>
  <c r="B649" i="3" s="1"/>
  <c r="C649" i="3" a="1"/>
  <c r="C649" i="3" s="1"/>
  <c r="D649" i="3" a="1"/>
  <c r="D649" i="3" s="1"/>
  <c r="E649" i="3" a="1"/>
  <c r="E649" i="3" s="1"/>
  <c r="F649" i="3" a="1"/>
  <c r="F649" i="3" s="1"/>
  <c r="G649" i="3" a="1"/>
  <c r="G649" i="3" s="1"/>
  <c r="J649" i="3" a="1"/>
  <c r="J649" i="3" s="1"/>
  <c r="B650" i="3" a="1"/>
  <c r="B650" i="3" s="1"/>
  <c r="C650" i="3" a="1"/>
  <c r="C650" i="3" s="1"/>
  <c r="D650" i="3" a="1"/>
  <c r="D650" i="3" s="1"/>
  <c r="E650" i="3" a="1"/>
  <c r="E650" i="3" s="1"/>
  <c r="F650" i="3" a="1"/>
  <c r="F650" i="3" s="1"/>
  <c r="G650" i="3" a="1"/>
  <c r="G650" i="3" s="1"/>
  <c r="J650" i="3" a="1"/>
  <c r="J650" i="3" s="1"/>
  <c r="B651" i="3" a="1"/>
  <c r="B651" i="3" s="1"/>
  <c r="C651" i="3" a="1"/>
  <c r="C651" i="3" s="1"/>
  <c r="D651" i="3" a="1"/>
  <c r="D651" i="3" s="1"/>
  <c r="E651" i="3" a="1"/>
  <c r="E651" i="3" s="1"/>
  <c r="F651" i="3" a="1"/>
  <c r="F651" i="3" s="1"/>
  <c r="G651" i="3" a="1"/>
  <c r="G651" i="3" s="1"/>
  <c r="J651" i="3" a="1"/>
  <c r="J651" i="3" s="1"/>
  <c r="B652" i="3" a="1"/>
  <c r="B652" i="3" s="1"/>
  <c r="C652" i="3" a="1"/>
  <c r="C652" i="3" s="1"/>
  <c r="D652" i="3" a="1"/>
  <c r="D652" i="3" s="1"/>
  <c r="E652" i="3" a="1"/>
  <c r="E652" i="3" s="1"/>
  <c r="F652" i="3" a="1"/>
  <c r="F652" i="3" s="1"/>
  <c r="G652" i="3" a="1"/>
  <c r="G652" i="3" s="1"/>
  <c r="J652" i="3" a="1"/>
  <c r="J652" i="3" s="1"/>
  <c r="B653" i="3" a="1"/>
  <c r="B653" i="3" s="1"/>
  <c r="C653" i="3" a="1"/>
  <c r="C653" i="3" s="1"/>
  <c r="D653" i="3" a="1"/>
  <c r="D653" i="3" s="1"/>
  <c r="E653" i="3" a="1"/>
  <c r="E653" i="3" s="1"/>
  <c r="F653" i="3" a="1"/>
  <c r="F653" i="3" s="1"/>
  <c r="G653" i="3" a="1"/>
  <c r="G653" i="3" s="1"/>
  <c r="J653" i="3" a="1"/>
  <c r="J653" i="3" s="1"/>
  <c r="B654" i="3" a="1"/>
  <c r="B654" i="3" s="1"/>
  <c r="C654" i="3" a="1"/>
  <c r="C654" i="3" s="1"/>
  <c r="D654" i="3" a="1"/>
  <c r="D654" i="3" s="1"/>
  <c r="E654" i="3" a="1"/>
  <c r="E654" i="3" s="1"/>
  <c r="F654" i="3" a="1"/>
  <c r="F654" i="3" s="1"/>
  <c r="G654" i="3" a="1"/>
  <c r="G654" i="3" s="1"/>
  <c r="J654" i="3" a="1"/>
  <c r="J654" i="3" s="1"/>
  <c r="B655" i="3" a="1"/>
  <c r="B655" i="3" s="1"/>
  <c r="C655" i="3" a="1"/>
  <c r="C655" i="3" s="1"/>
  <c r="D655" i="3" a="1"/>
  <c r="D655" i="3" s="1"/>
  <c r="E655" i="3" a="1"/>
  <c r="E655" i="3" s="1"/>
  <c r="F655" i="3" a="1"/>
  <c r="F655" i="3" s="1"/>
  <c r="G655" i="3" a="1"/>
  <c r="G655" i="3" s="1"/>
  <c r="J655" i="3" a="1"/>
  <c r="J655" i="3" s="1"/>
  <c r="B656" i="3" a="1"/>
  <c r="B656" i="3" s="1"/>
  <c r="C656" i="3" a="1"/>
  <c r="C656" i="3" s="1"/>
  <c r="D656" i="3" a="1"/>
  <c r="D656" i="3" s="1"/>
  <c r="E656" i="3" a="1"/>
  <c r="E656" i="3" s="1"/>
  <c r="F656" i="3" a="1"/>
  <c r="F656" i="3" s="1"/>
  <c r="G656" i="3" a="1"/>
  <c r="G656" i="3" s="1"/>
  <c r="J656" i="3" a="1"/>
  <c r="J656" i="3" s="1"/>
  <c r="B657" i="3" a="1"/>
  <c r="B657" i="3" s="1"/>
  <c r="C657" i="3" a="1"/>
  <c r="C657" i="3" s="1"/>
  <c r="D657" i="3" a="1"/>
  <c r="D657" i="3" s="1"/>
  <c r="E657" i="3" a="1"/>
  <c r="E657" i="3" s="1"/>
  <c r="F657" i="3" a="1"/>
  <c r="F657" i="3" s="1"/>
  <c r="G657" i="3" a="1"/>
  <c r="G657" i="3" s="1"/>
  <c r="J657" i="3" a="1"/>
  <c r="J657" i="3" s="1"/>
  <c r="B658" i="3" a="1"/>
  <c r="B658" i="3" s="1"/>
  <c r="C658" i="3" a="1"/>
  <c r="C658" i="3" s="1"/>
  <c r="D658" i="3" a="1"/>
  <c r="D658" i="3" s="1"/>
  <c r="E658" i="3" a="1"/>
  <c r="E658" i="3" s="1"/>
  <c r="F658" i="3" a="1"/>
  <c r="F658" i="3" s="1"/>
  <c r="G658" i="3" a="1"/>
  <c r="G658" i="3" s="1"/>
  <c r="J658" i="3" a="1"/>
  <c r="J658" i="3" s="1"/>
  <c r="B659" i="3" a="1"/>
  <c r="B659" i="3" s="1"/>
  <c r="C659" i="3" a="1"/>
  <c r="C659" i="3" s="1"/>
  <c r="D659" i="3" a="1"/>
  <c r="D659" i="3" s="1"/>
  <c r="E659" i="3" a="1"/>
  <c r="E659" i="3" s="1"/>
  <c r="F659" i="3" a="1"/>
  <c r="F659" i="3" s="1"/>
  <c r="G659" i="3" a="1"/>
  <c r="G659" i="3" s="1"/>
  <c r="J659" i="3" a="1"/>
  <c r="J659" i="3" s="1"/>
  <c r="B660" i="3" a="1"/>
  <c r="B660" i="3" s="1"/>
  <c r="C660" i="3" a="1"/>
  <c r="C660" i="3" s="1"/>
  <c r="D660" i="3" a="1"/>
  <c r="D660" i="3" s="1"/>
  <c r="E660" i="3" a="1"/>
  <c r="E660" i="3" s="1"/>
  <c r="F660" i="3" a="1"/>
  <c r="F660" i="3" s="1"/>
  <c r="G660" i="3" a="1"/>
  <c r="G660" i="3" s="1"/>
  <c r="J660" i="3" a="1"/>
  <c r="J660" i="3" s="1"/>
  <c r="B661" i="3" a="1"/>
  <c r="B661" i="3" s="1"/>
  <c r="C661" i="3" a="1"/>
  <c r="C661" i="3" s="1"/>
  <c r="D661" i="3" a="1"/>
  <c r="D661" i="3" s="1"/>
  <c r="E661" i="3" a="1"/>
  <c r="E661" i="3" s="1"/>
  <c r="F661" i="3" a="1"/>
  <c r="F661" i="3" s="1"/>
  <c r="G661" i="3" a="1"/>
  <c r="G661" i="3" s="1"/>
  <c r="J661" i="3" a="1"/>
  <c r="J661" i="3" s="1"/>
  <c r="B662" i="3" a="1"/>
  <c r="B662" i="3" s="1"/>
  <c r="C662" i="3" a="1"/>
  <c r="C662" i="3" s="1"/>
  <c r="D662" i="3" a="1"/>
  <c r="D662" i="3" s="1"/>
  <c r="E662" i="3" a="1"/>
  <c r="E662" i="3" s="1"/>
  <c r="F662" i="3" a="1"/>
  <c r="F662" i="3" s="1"/>
  <c r="G662" i="3" a="1"/>
  <c r="G662" i="3" s="1"/>
  <c r="J662" i="3" a="1"/>
  <c r="J662" i="3" s="1"/>
  <c r="B663" i="3" a="1"/>
  <c r="B663" i="3" s="1"/>
  <c r="C663" i="3" a="1"/>
  <c r="C663" i="3" s="1"/>
  <c r="D663" i="3" a="1"/>
  <c r="D663" i="3" s="1"/>
  <c r="E663" i="3" a="1"/>
  <c r="E663" i="3" s="1"/>
  <c r="F663" i="3" a="1"/>
  <c r="F663" i="3" s="1"/>
  <c r="G663" i="3" a="1"/>
  <c r="G663" i="3" s="1"/>
  <c r="J663" i="3" a="1"/>
  <c r="J663" i="3" s="1"/>
  <c r="B664" i="3" a="1"/>
  <c r="B664" i="3" s="1"/>
  <c r="C664" i="3" a="1"/>
  <c r="C664" i="3" s="1"/>
  <c r="D664" i="3" a="1"/>
  <c r="D664" i="3" s="1"/>
  <c r="E664" i="3" a="1"/>
  <c r="E664" i="3" s="1"/>
  <c r="F664" i="3" a="1"/>
  <c r="F664" i="3" s="1"/>
  <c r="G664" i="3" a="1"/>
  <c r="G664" i="3" s="1"/>
  <c r="J664" i="3" a="1"/>
  <c r="J664" i="3" s="1"/>
  <c r="B665" i="3" a="1"/>
  <c r="B665" i="3" s="1"/>
  <c r="C665" i="3" a="1"/>
  <c r="C665" i="3" s="1"/>
  <c r="D665" i="3" a="1"/>
  <c r="D665" i="3" s="1"/>
  <c r="E665" i="3" a="1"/>
  <c r="E665" i="3" s="1"/>
  <c r="F665" i="3" a="1"/>
  <c r="F665" i="3" s="1"/>
  <c r="G665" i="3" a="1"/>
  <c r="G665" i="3" s="1"/>
  <c r="J665" i="3" a="1"/>
  <c r="J665" i="3" s="1"/>
  <c r="B666" i="3" a="1"/>
  <c r="B666" i="3" s="1"/>
  <c r="C666" i="3" a="1"/>
  <c r="C666" i="3" s="1"/>
  <c r="D666" i="3" a="1"/>
  <c r="D666" i="3" s="1"/>
  <c r="E666" i="3" a="1"/>
  <c r="E666" i="3" s="1"/>
  <c r="F666" i="3" a="1"/>
  <c r="F666" i="3" s="1"/>
  <c r="G666" i="3" a="1"/>
  <c r="G666" i="3" s="1"/>
  <c r="J666" i="3" a="1"/>
  <c r="J666" i="3" s="1"/>
  <c r="B667" i="3" a="1"/>
  <c r="B667" i="3" s="1"/>
  <c r="C667" i="3" a="1"/>
  <c r="C667" i="3" s="1"/>
  <c r="D667" i="3" a="1"/>
  <c r="D667" i="3" s="1"/>
  <c r="E667" i="3" a="1"/>
  <c r="E667" i="3" s="1"/>
  <c r="F667" i="3" a="1"/>
  <c r="F667" i="3" s="1"/>
  <c r="G667" i="3" a="1"/>
  <c r="G667" i="3" s="1"/>
  <c r="J667" i="3" a="1"/>
  <c r="J667" i="3" s="1"/>
  <c r="B668" i="3" a="1"/>
  <c r="B668" i="3" s="1"/>
  <c r="C668" i="3" a="1"/>
  <c r="C668" i="3" s="1"/>
  <c r="D668" i="3" a="1"/>
  <c r="D668" i="3" s="1"/>
  <c r="E668" i="3" a="1"/>
  <c r="E668" i="3" s="1"/>
  <c r="F668" i="3" a="1"/>
  <c r="F668" i="3" s="1"/>
  <c r="G668" i="3" a="1"/>
  <c r="G668" i="3" s="1"/>
  <c r="J668" i="3" a="1"/>
  <c r="J668" i="3" s="1"/>
  <c r="B669" i="3" a="1"/>
  <c r="B669" i="3" s="1"/>
  <c r="C669" i="3" a="1"/>
  <c r="C669" i="3" s="1"/>
  <c r="D669" i="3" a="1"/>
  <c r="D669" i="3" s="1"/>
  <c r="E669" i="3" a="1"/>
  <c r="E669" i="3" s="1"/>
  <c r="F669" i="3" a="1"/>
  <c r="F669" i="3" s="1"/>
  <c r="G669" i="3" a="1"/>
  <c r="G669" i="3" s="1"/>
  <c r="J669" i="3" a="1"/>
  <c r="J669" i="3" s="1"/>
  <c r="B670" i="3" a="1"/>
  <c r="B670" i="3" s="1"/>
  <c r="C670" i="3" a="1"/>
  <c r="C670" i="3" s="1"/>
  <c r="D670" i="3" a="1"/>
  <c r="D670" i="3" s="1"/>
  <c r="E670" i="3" a="1"/>
  <c r="E670" i="3" s="1"/>
  <c r="F670" i="3" a="1"/>
  <c r="F670" i="3" s="1"/>
  <c r="G670" i="3" a="1"/>
  <c r="G670" i="3" s="1"/>
  <c r="J670" i="3" a="1"/>
  <c r="J670" i="3" s="1"/>
  <c r="B671" i="3" a="1"/>
  <c r="B671" i="3" s="1"/>
  <c r="C671" i="3" a="1"/>
  <c r="C671" i="3" s="1"/>
  <c r="D671" i="3" a="1"/>
  <c r="D671" i="3" s="1"/>
  <c r="E671" i="3" a="1"/>
  <c r="E671" i="3" s="1"/>
  <c r="F671" i="3" a="1"/>
  <c r="F671" i="3" s="1"/>
  <c r="G671" i="3" a="1"/>
  <c r="G671" i="3" s="1"/>
  <c r="J671" i="3" a="1"/>
  <c r="J671" i="3" s="1"/>
  <c r="B672" i="3" a="1"/>
  <c r="B672" i="3" s="1"/>
  <c r="C672" i="3" a="1"/>
  <c r="C672" i="3" s="1"/>
  <c r="D672" i="3" a="1"/>
  <c r="D672" i="3" s="1"/>
  <c r="E672" i="3" a="1"/>
  <c r="E672" i="3" s="1"/>
  <c r="F672" i="3" a="1"/>
  <c r="F672" i="3" s="1"/>
  <c r="G672" i="3" a="1"/>
  <c r="G672" i="3" s="1"/>
  <c r="J672" i="3" a="1"/>
  <c r="J672" i="3" s="1"/>
  <c r="B673" i="3" a="1"/>
  <c r="B673" i="3" s="1"/>
  <c r="C673" i="3" a="1"/>
  <c r="C673" i="3" s="1"/>
  <c r="D673" i="3" a="1"/>
  <c r="D673" i="3" s="1"/>
  <c r="E673" i="3" a="1"/>
  <c r="E673" i="3" s="1"/>
  <c r="F673" i="3" a="1"/>
  <c r="F673" i="3" s="1"/>
  <c r="G673" i="3" a="1"/>
  <c r="G673" i="3" s="1"/>
  <c r="J673" i="3" a="1"/>
  <c r="J673" i="3" s="1"/>
  <c r="B674" i="3" a="1"/>
  <c r="B674" i="3" s="1"/>
  <c r="C674" i="3" a="1"/>
  <c r="C674" i="3" s="1"/>
  <c r="D674" i="3" a="1"/>
  <c r="D674" i="3" s="1"/>
  <c r="E674" i="3" a="1"/>
  <c r="E674" i="3" s="1"/>
  <c r="F674" i="3" a="1"/>
  <c r="F674" i="3" s="1"/>
  <c r="G674" i="3" a="1"/>
  <c r="G674" i="3" s="1"/>
  <c r="J674" i="3" a="1"/>
  <c r="J674" i="3" s="1"/>
  <c r="B675" i="3" a="1"/>
  <c r="B675" i="3" s="1"/>
  <c r="C675" i="3" a="1"/>
  <c r="C675" i="3" s="1"/>
  <c r="D675" i="3" a="1"/>
  <c r="D675" i="3" s="1"/>
  <c r="E675" i="3" a="1"/>
  <c r="E675" i="3" s="1"/>
  <c r="F675" i="3" a="1"/>
  <c r="F675" i="3" s="1"/>
  <c r="G675" i="3" a="1"/>
  <c r="G675" i="3" s="1"/>
  <c r="J675" i="3" a="1"/>
  <c r="J675" i="3" s="1"/>
  <c r="B676" i="3" a="1"/>
  <c r="B676" i="3" s="1"/>
  <c r="C676" i="3" a="1"/>
  <c r="C676" i="3" s="1"/>
  <c r="D676" i="3" a="1"/>
  <c r="D676" i="3" s="1"/>
  <c r="E676" i="3" a="1"/>
  <c r="E676" i="3" s="1"/>
  <c r="F676" i="3" a="1"/>
  <c r="F676" i="3" s="1"/>
  <c r="G676" i="3" a="1"/>
  <c r="G676" i="3" s="1"/>
  <c r="J676" i="3" a="1"/>
  <c r="J676" i="3" s="1"/>
  <c r="B677" i="3" a="1"/>
  <c r="B677" i="3" s="1"/>
  <c r="C677" i="3" a="1"/>
  <c r="C677" i="3" s="1"/>
  <c r="D677" i="3" a="1"/>
  <c r="D677" i="3" s="1"/>
  <c r="E677" i="3" a="1"/>
  <c r="E677" i="3" s="1"/>
  <c r="F677" i="3" a="1"/>
  <c r="F677" i="3" s="1"/>
  <c r="G677" i="3" a="1"/>
  <c r="G677" i="3" s="1"/>
  <c r="J677" i="3" a="1"/>
  <c r="J677" i="3" s="1"/>
  <c r="B678" i="3" a="1"/>
  <c r="B678" i="3" s="1"/>
  <c r="C678" i="3" a="1"/>
  <c r="C678" i="3" s="1"/>
  <c r="D678" i="3" a="1"/>
  <c r="D678" i="3" s="1"/>
  <c r="E678" i="3" a="1"/>
  <c r="E678" i="3" s="1"/>
  <c r="F678" i="3" a="1"/>
  <c r="F678" i="3" s="1"/>
  <c r="G678" i="3" a="1"/>
  <c r="G678" i="3" s="1"/>
  <c r="J678" i="3" a="1"/>
  <c r="J678" i="3" s="1"/>
  <c r="B679" i="3" a="1"/>
  <c r="B679" i="3" s="1"/>
  <c r="C679" i="3" a="1"/>
  <c r="C679" i="3" s="1"/>
  <c r="D679" i="3" a="1"/>
  <c r="D679" i="3" s="1"/>
  <c r="E679" i="3" a="1"/>
  <c r="E679" i="3" s="1"/>
  <c r="F679" i="3" a="1"/>
  <c r="F679" i="3" s="1"/>
  <c r="G679" i="3" a="1"/>
  <c r="G679" i="3" s="1"/>
  <c r="J679" i="3" a="1"/>
  <c r="J679" i="3" s="1"/>
  <c r="B680" i="3" a="1"/>
  <c r="B680" i="3" s="1"/>
  <c r="C680" i="3" a="1"/>
  <c r="C680" i="3" s="1"/>
  <c r="D680" i="3" a="1"/>
  <c r="D680" i="3" s="1"/>
  <c r="E680" i="3" a="1"/>
  <c r="E680" i="3" s="1"/>
  <c r="F680" i="3" a="1"/>
  <c r="F680" i="3" s="1"/>
  <c r="G680" i="3" a="1"/>
  <c r="G680" i="3" s="1"/>
  <c r="J680" i="3" a="1"/>
  <c r="J680" i="3" s="1"/>
  <c r="B681" i="3" a="1"/>
  <c r="B681" i="3" s="1"/>
  <c r="C681" i="3" a="1"/>
  <c r="C681" i="3" s="1"/>
  <c r="D681" i="3" a="1"/>
  <c r="D681" i="3" s="1"/>
  <c r="E681" i="3" a="1"/>
  <c r="E681" i="3" s="1"/>
  <c r="F681" i="3" a="1"/>
  <c r="F681" i="3" s="1"/>
  <c r="G681" i="3" a="1"/>
  <c r="G681" i="3" s="1"/>
  <c r="J681" i="3" a="1"/>
  <c r="J681" i="3" s="1"/>
  <c r="B682" i="3" a="1"/>
  <c r="B682" i="3" s="1"/>
  <c r="C682" i="3" a="1"/>
  <c r="C682" i="3" s="1"/>
  <c r="D682" i="3" a="1"/>
  <c r="D682" i="3" s="1"/>
  <c r="E682" i="3" a="1"/>
  <c r="E682" i="3" s="1"/>
  <c r="F682" i="3" a="1"/>
  <c r="F682" i="3" s="1"/>
  <c r="G682" i="3" a="1"/>
  <c r="G682" i="3" s="1"/>
  <c r="J682" i="3" a="1"/>
  <c r="J682" i="3" s="1"/>
  <c r="B683" i="3" a="1"/>
  <c r="B683" i="3" s="1"/>
  <c r="C683" i="3" a="1"/>
  <c r="C683" i="3" s="1"/>
  <c r="D683" i="3" a="1"/>
  <c r="D683" i="3" s="1"/>
  <c r="E683" i="3" a="1"/>
  <c r="E683" i="3" s="1"/>
  <c r="F683" i="3" a="1"/>
  <c r="F683" i="3" s="1"/>
  <c r="G683" i="3" a="1"/>
  <c r="G683" i="3" s="1"/>
  <c r="J683" i="3" a="1"/>
  <c r="J683" i="3" s="1"/>
  <c r="B684" i="3" a="1"/>
  <c r="B684" i="3" s="1"/>
  <c r="C684" i="3" a="1"/>
  <c r="C684" i="3" s="1"/>
  <c r="D684" i="3" a="1"/>
  <c r="D684" i="3" s="1"/>
  <c r="E684" i="3" a="1"/>
  <c r="E684" i="3" s="1"/>
  <c r="F684" i="3" a="1"/>
  <c r="F684" i="3" s="1"/>
  <c r="G684" i="3" a="1"/>
  <c r="G684" i="3" s="1"/>
  <c r="J684" i="3" a="1"/>
  <c r="J684" i="3" s="1"/>
  <c r="B685" i="3" a="1"/>
  <c r="B685" i="3" s="1"/>
  <c r="C685" i="3" a="1"/>
  <c r="C685" i="3" s="1"/>
  <c r="D685" i="3" a="1"/>
  <c r="D685" i="3" s="1"/>
  <c r="E685" i="3" a="1"/>
  <c r="E685" i="3" s="1"/>
  <c r="F685" i="3" a="1"/>
  <c r="F685" i="3" s="1"/>
  <c r="G685" i="3" a="1"/>
  <c r="G685" i="3" s="1"/>
  <c r="J685" i="3" a="1"/>
  <c r="J685" i="3" s="1"/>
  <c r="B686" i="3" a="1"/>
  <c r="B686" i="3" s="1"/>
  <c r="C686" i="3" a="1"/>
  <c r="C686" i="3" s="1"/>
  <c r="D686" i="3" a="1"/>
  <c r="D686" i="3" s="1"/>
  <c r="E686" i="3" a="1"/>
  <c r="E686" i="3" s="1"/>
  <c r="F686" i="3" a="1"/>
  <c r="F686" i="3" s="1"/>
  <c r="G686" i="3" a="1"/>
  <c r="G686" i="3" s="1"/>
  <c r="J686" i="3" a="1"/>
  <c r="J686" i="3" s="1"/>
  <c r="B687" i="3" a="1"/>
  <c r="B687" i="3" s="1"/>
  <c r="C687" i="3" a="1"/>
  <c r="C687" i="3" s="1"/>
  <c r="D687" i="3" a="1"/>
  <c r="D687" i="3" s="1"/>
  <c r="E687" i="3" a="1"/>
  <c r="E687" i="3" s="1"/>
  <c r="F687" i="3" a="1"/>
  <c r="F687" i="3" s="1"/>
  <c r="G687" i="3" a="1"/>
  <c r="G687" i="3" s="1"/>
  <c r="J687" i="3" a="1"/>
  <c r="J687" i="3" s="1"/>
  <c r="B688" i="3" a="1"/>
  <c r="B688" i="3" s="1"/>
  <c r="C688" i="3" a="1"/>
  <c r="C688" i="3" s="1"/>
  <c r="D688" i="3" a="1"/>
  <c r="D688" i="3" s="1"/>
  <c r="E688" i="3" a="1"/>
  <c r="E688" i="3" s="1"/>
  <c r="F688" i="3" a="1"/>
  <c r="F688" i="3" s="1"/>
  <c r="G688" i="3" a="1"/>
  <c r="G688" i="3" s="1"/>
  <c r="J688" i="3" a="1"/>
  <c r="J688" i="3" s="1"/>
  <c r="B689" i="3" a="1"/>
  <c r="B689" i="3" s="1"/>
  <c r="C689" i="3" a="1"/>
  <c r="C689" i="3" s="1"/>
  <c r="D689" i="3" a="1"/>
  <c r="D689" i="3" s="1"/>
  <c r="E689" i="3" a="1"/>
  <c r="E689" i="3" s="1"/>
  <c r="F689" i="3" a="1"/>
  <c r="F689" i="3" s="1"/>
  <c r="G689" i="3" a="1"/>
  <c r="G689" i="3" s="1"/>
  <c r="J689" i="3" a="1"/>
  <c r="J689" i="3" s="1"/>
  <c r="B690" i="3" a="1"/>
  <c r="B690" i="3" s="1"/>
  <c r="C690" i="3" a="1"/>
  <c r="C690" i="3" s="1"/>
  <c r="D690" i="3" a="1"/>
  <c r="D690" i="3" s="1"/>
  <c r="E690" i="3" a="1"/>
  <c r="E690" i="3" s="1"/>
  <c r="F690" i="3" a="1"/>
  <c r="F690" i="3" s="1"/>
  <c r="G690" i="3" a="1"/>
  <c r="G690" i="3" s="1"/>
  <c r="J690" i="3" a="1"/>
  <c r="J690" i="3" s="1"/>
  <c r="B691" i="3" a="1"/>
  <c r="B691" i="3" s="1"/>
  <c r="C691" i="3" a="1"/>
  <c r="C691" i="3" s="1"/>
  <c r="D691" i="3" a="1"/>
  <c r="D691" i="3" s="1"/>
  <c r="E691" i="3" a="1"/>
  <c r="E691" i="3" s="1"/>
  <c r="F691" i="3" a="1"/>
  <c r="F691" i="3" s="1"/>
  <c r="G691" i="3" a="1"/>
  <c r="G691" i="3" s="1"/>
  <c r="J691" i="3" a="1"/>
  <c r="J691" i="3" s="1"/>
  <c r="B692" i="3" a="1"/>
  <c r="B692" i="3" s="1"/>
  <c r="C692" i="3" a="1"/>
  <c r="C692" i="3" s="1"/>
  <c r="D692" i="3" a="1"/>
  <c r="D692" i="3" s="1"/>
  <c r="E692" i="3" a="1"/>
  <c r="E692" i="3" s="1"/>
  <c r="F692" i="3" a="1"/>
  <c r="F692" i="3" s="1"/>
  <c r="G692" i="3" a="1"/>
  <c r="G692" i="3" s="1"/>
  <c r="J692" i="3" a="1"/>
  <c r="J692" i="3" s="1"/>
  <c r="B693" i="3" a="1"/>
  <c r="B693" i="3" s="1"/>
  <c r="C693" i="3" a="1"/>
  <c r="C693" i="3" s="1"/>
  <c r="D693" i="3" a="1"/>
  <c r="D693" i="3" s="1"/>
  <c r="E693" i="3" a="1"/>
  <c r="E693" i="3" s="1"/>
  <c r="F693" i="3" a="1"/>
  <c r="F693" i="3" s="1"/>
  <c r="G693" i="3" a="1"/>
  <c r="G693" i="3" s="1"/>
  <c r="J693" i="3" a="1"/>
  <c r="J693" i="3" s="1"/>
  <c r="B694" i="3" a="1"/>
  <c r="B694" i="3" s="1"/>
  <c r="C694" i="3" a="1"/>
  <c r="C694" i="3" s="1"/>
  <c r="D694" i="3" a="1"/>
  <c r="D694" i="3" s="1"/>
  <c r="E694" i="3" a="1"/>
  <c r="E694" i="3" s="1"/>
  <c r="F694" i="3" a="1"/>
  <c r="F694" i="3" s="1"/>
  <c r="G694" i="3" a="1"/>
  <c r="G694" i="3" s="1"/>
  <c r="J694" i="3" a="1"/>
  <c r="J694" i="3" s="1"/>
  <c r="B695" i="3" a="1"/>
  <c r="B695" i="3" s="1"/>
  <c r="C695" i="3" a="1"/>
  <c r="C695" i="3" s="1"/>
  <c r="D695" i="3" a="1"/>
  <c r="D695" i="3" s="1"/>
  <c r="E695" i="3" a="1"/>
  <c r="E695" i="3" s="1"/>
  <c r="F695" i="3" a="1"/>
  <c r="F695" i="3" s="1"/>
  <c r="G695" i="3" a="1"/>
  <c r="G695" i="3" s="1"/>
  <c r="J695" i="3" a="1"/>
  <c r="J695" i="3" s="1"/>
  <c r="B696" i="3" a="1"/>
  <c r="B696" i="3" s="1"/>
  <c r="C696" i="3" a="1"/>
  <c r="C696" i="3" s="1"/>
  <c r="D696" i="3" a="1"/>
  <c r="D696" i="3" s="1"/>
  <c r="E696" i="3" a="1"/>
  <c r="E696" i="3" s="1"/>
  <c r="F696" i="3" a="1"/>
  <c r="F696" i="3" s="1"/>
  <c r="G696" i="3" a="1"/>
  <c r="G696" i="3" s="1"/>
  <c r="J696" i="3" a="1"/>
  <c r="J696" i="3" s="1"/>
  <c r="B697" i="3" a="1"/>
  <c r="B697" i="3" s="1"/>
  <c r="C697" i="3" a="1"/>
  <c r="C697" i="3" s="1"/>
  <c r="D697" i="3" a="1"/>
  <c r="D697" i="3" s="1"/>
  <c r="E697" i="3" a="1"/>
  <c r="E697" i="3" s="1"/>
  <c r="F697" i="3" a="1"/>
  <c r="F697" i="3" s="1"/>
  <c r="G697" i="3" a="1"/>
  <c r="G697" i="3" s="1"/>
  <c r="J697" i="3" a="1"/>
  <c r="J697" i="3" s="1"/>
  <c r="B698" i="3" a="1"/>
  <c r="B698" i="3" s="1"/>
  <c r="C698" i="3" a="1"/>
  <c r="C698" i="3" s="1"/>
  <c r="D698" i="3" a="1"/>
  <c r="D698" i="3" s="1"/>
  <c r="E698" i="3" a="1"/>
  <c r="E698" i="3" s="1"/>
  <c r="F698" i="3" a="1"/>
  <c r="F698" i="3" s="1"/>
  <c r="G698" i="3" a="1"/>
  <c r="G698" i="3" s="1"/>
  <c r="J698" i="3" a="1"/>
  <c r="J698" i="3" s="1"/>
  <c r="B699" i="3" a="1"/>
  <c r="B699" i="3" s="1"/>
  <c r="C699" i="3" a="1"/>
  <c r="C699" i="3" s="1"/>
  <c r="D699" i="3" a="1"/>
  <c r="D699" i="3" s="1"/>
  <c r="E699" i="3" a="1"/>
  <c r="E699" i="3" s="1"/>
  <c r="F699" i="3" a="1"/>
  <c r="F699" i="3" s="1"/>
  <c r="G699" i="3" a="1"/>
  <c r="G699" i="3" s="1"/>
  <c r="J699" i="3" a="1"/>
  <c r="J699" i="3" s="1"/>
  <c r="B700" i="3" a="1"/>
  <c r="B700" i="3" s="1"/>
  <c r="C700" i="3" a="1"/>
  <c r="C700" i="3" s="1"/>
  <c r="D700" i="3" a="1"/>
  <c r="D700" i="3" s="1"/>
  <c r="E700" i="3" a="1"/>
  <c r="E700" i="3" s="1"/>
  <c r="F700" i="3" a="1"/>
  <c r="F700" i="3" s="1"/>
  <c r="G700" i="3" a="1"/>
  <c r="G700" i="3" s="1"/>
  <c r="J700" i="3" a="1"/>
  <c r="J700" i="3" s="1"/>
  <c r="B701" i="3" a="1"/>
  <c r="B701" i="3" s="1"/>
  <c r="C701" i="3" a="1"/>
  <c r="C701" i="3" s="1"/>
  <c r="D701" i="3" a="1"/>
  <c r="D701" i="3" s="1"/>
  <c r="E701" i="3" a="1"/>
  <c r="E701" i="3" s="1"/>
  <c r="F701" i="3" a="1"/>
  <c r="F701" i="3" s="1"/>
  <c r="G701" i="3" a="1"/>
  <c r="G701" i="3" s="1"/>
  <c r="J701" i="3" a="1"/>
  <c r="J701" i="3" s="1"/>
  <c r="B702" i="3" a="1"/>
  <c r="B702" i="3" s="1"/>
  <c r="C702" i="3" a="1"/>
  <c r="C702" i="3" s="1"/>
  <c r="D702" i="3" a="1"/>
  <c r="D702" i="3" s="1"/>
  <c r="E702" i="3" a="1"/>
  <c r="E702" i="3" s="1"/>
  <c r="F702" i="3" a="1"/>
  <c r="F702" i="3" s="1"/>
  <c r="G702" i="3" a="1"/>
  <c r="G702" i="3" s="1"/>
  <c r="J702" i="3" a="1"/>
  <c r="J702" i="3" s="1"/>
  <c r="B703" i="3" a="1"/>
  <c r="B703" i="3" s="1"/>
  <c r="C703" i="3" a="1"/>
  <c r="C703" i="3" s="1"/>
  <c r="D703" i="3" a="1"/>
  <c r="D703" i="3" s="1"/>
  <c r="E703" i="3" a="1"/>
  <c r="E703" i="3" s="1"/>
  <c r="F703" i="3" a="1"/>
  <c r="F703" i="3" s="1"/>
  <c r="G703" i="3" a="1"/>
  <c r="G703" i="3" s="1"/>
  <c r="J703" i="3" a="1"/>
  <c r="J703" i="3" s="1"/>
  <c r="B704" i="3" a="1"/>
  <c r="B704" i="3" s="1"/>
  <c r="C704" i="3" a="1"/>
  <c r="C704" i="3" s="1"/>
  <c r="D704" i="3" a="1"/>
  <c r="D704" i="3" s="1"/>
  <c r="E704" i="3" a="1"/>
  <c r="E704" i="3" s="1"/>
  <c r="F704" i="3" a="1"/>
  <c r="F704" i="3" s="1"/>
  <c r="G704" i="3" a="1"/>
  <c r="G704" i="3" s="1"/>
  <c r="J704" i="3" a="1"/>
  <c r="J704" i="3" s="1"/>
  <c r="B705" i="3" a="1"/>
  <c r="B705" i="3" s="1"/>
  <c r="C705" i="3" a="1"/>
  <c r="C705" i="3" s="1"/>
  <c r="D705" i="3" a="1"/>
  <c r="D705" i="3" s="1"/>
  <c r="E705" i="3" a="1"/>
  <c r="E705" i="3" s="1"/>
  <c r="F705" i="3" a="1"/>
  <c r="F705" i="3" s="1"/>
  <c r="G705" i="3" a="1"/>
  <c r="G705" i="3" s="1"/>
  <c r="J705" i="3" a="1"/>
  <c r="J705" i="3" s="1"/>
  <c r="B706" i="3" a="1"/>
  <c r="B706" i="3" s="1"/>
  <c r="C706" i="3" a="1"/>
  <c r="C706" i="3" s="1"/>
  <c r="D706" i="3" a="1"/>
  <c r="D706" i="3" s="1"/>
  <c r="E706" i="3" a="1"/>
  <c r="E706" i="3" s="1"/>
  <c r="F706" i="3" a="1"/>
  <c r="F706" i="3" s="1"/>
  <c r="G706" i="3" a="1"/>
  <c r="G706" i="3" s="1"/>
  <c r="J706" i="3" a="1"/>
  <c r="J706" i="3" s="1"/>
  <c r="B707" i="3" a="1"/>
  <c r="B707" i="3" s="1"/>
  <c r="C707" i="3" a="1"/>
  <c r="C707" i="3" s="1"/>
  <c r="D707" i="3" a="1"/>
  <c r="D707" i="3" s="1"/>
  <c r="E707" i="3" a="1"/>
  <c r="E707" i="3" s="1"/>
  <c r="F707" i="3" a="1"/>
  <c r="F707" i="3" s="1"/>
  <c r="G707" i="3" a="1"/>
  <c r="G707" i="3" s="1"/>
  <c r="J707" i="3" a="1"/>
  <c r="J707" i="3" s="1"/>
  <c r="B708" i="3" a="1"/>
  <c r="B708" i="3" s="1"/>
  <c r="C708" i="3" a="1"/>
  <c r="C708" i="3" s="1"/>
  <c r="D708" i="3" a="1"/>
  <c r="D708" i="3" s="1"/>
  <c r="E708" i="3" a="1"/>
  <c r="E708" i="3" s="1"/>
  <c r="F708" i="3" a="1"/>
  <c r="F708" i="3" s="1"/>
  <c r="G708" i="3" a="1"/>
  <c r="G708" i="3" s="1"/>
  <c r="J708" i="3" a="1"/>
  <c r="J708" i="3" s="1"/>
  <c r="B709" i="3" a="1"/>
  <c r="B709" i="3" s="1"/>
  <c r="C709" i="3" a="1"/>
  <c r="C709" i="3" s="1"/>
  <c r="D709" i="3" a="1"/>
  <c r="D709" i="3" s="1"/>
  <c r="E709" i="3" a="1"/>
  <c r="E709" i="3" s="1"/>
  <c r="F709" i="3" a="1"/>
  <c r="F709" i="3" s="1"/>
  <c r="G709" i="3" a="1"/>
  <c r="G709" i="3" s="1"/>
  <c r="J709" i="3" a="1"/>
  <c r="J709" i="3" s="1"/>
  <c r="B710" i="3" a="1"/>
  <c r="B710" i="3" s="1"/>
  <c r="C710" i="3" a="1"/>
  <c r="C710" i="3" s="1"/>
  <c r="D710" i="3" a="1"/>
  <c r="D710" i="3" s="1"/>
  <c r="E710" i="3" a="1"/>
  <c r="E710" i="3" s="1"/>
  <c r="F710" i="3" a="1"/>
  <c r="F710" i="3" s="1"/>
  <c r="G710" i="3" a="1"/>
  <c r="G710" i="3" s="1"/>
  <c r="J710" i="3" a="1"/>
  <c r="J710" i="3" s="1"/>
  <c r="B711" i="3" a="1"/>
  <c r="B711" i="3" s="1"/>
  <c r="C711" i="3" a="1"/>
  <c r="C711" i="3" s="1"/>
  <c r="D711" i="3" a="1"/>
  <c r="D711" i="3" s="1"/>
  <c r="E711" i="3" a="1"/>
  <c r="E711" i="3" s="1"/>
  <c r="F711" i="3" a="1"/>
  <c r="F711" i="3" s="1"/>
  <c r="G711" i="3" a="1"/>
  <c r="G711" i="3" s="1"/>
  <c r="J711" i="3" a="1"/>
  <c r="J711" i="3" s="1"/>
  <c r="B712" i="3" a="1"/>
  <c r="B712" i="3" s="1"/>
  <c r="C712" i="3" a="1"/>
  <c r="C712" i="3" s="1"/>
  <c r="D712" i="3" a="1"/>
  <c r="D712" i="3" s="1"/>
  <c r="E712" i="3" a="1"/>
  <c r="E712" i="3" s="1"/>
  <c r="F712" i="3" a="1"/>
  <c r="F712" i="3" s="1"/>
  <c r="G712" i="3" a="1"/>
  <c r="G712" i="3" s="1"/>
  <c r="J712" i="3" a="1"/>
  <c r="J712" i="3" s="1"/>
  <c r="B713" i="3" a="1"/>
  <c r="B713" i="3" s="1"/>
  <c r="C713" i="3" a="1"/>
  <c r="C713" i="3" s="1"/>
  <c r="D713" i="3" a="1"/>
  <c r="D713" i="3" s="1"/>
  <c r="E713" i="3" a="1"/>
  <c r="E713" i="3" s="1"/>
  <c r="F713" i="3" a="1"/>
  <c r="F713" i="3" s="1"/>
  <c r="G713" i="3" a="1"/>
  <c r="G713" i="3" s="1"/>
  <c r="J713" i="3" a="1"/>
  <c r="J713" i="3" s="1"/>
  <c r="B714" i="3" a="1"/>
  <c r="B714" i="3" s="1"/>
  <c r="C714" i="3" a="1"/>
  <c r="C714" i="3" s="1"/>
  <c r="D714" i="3" a="1"/>
  <c r="D714" i="3" s="1"/>
  <c r="E714" i="3" a="1"/>
  <c r="E714" i="3" s="1"/>
  <c r="F714" i="3" a="1"/>
  <c r="F714" i="3" s="1"/>
  <c r="G714" i="3" a="1"/>
  <c r="G714" i="3" s="1"/>
  <c r="J714" i="3" a="1"/>
  <c r="J714" i="3" s="1"/>
  <c r="B715" i="3" a="1"/>
  <c r="B715" i="3" s="1"/>
  <c r="C715" i="3" a="1"/>
  <c r="C715" i="3" s="1"/>
  <c r="D715" i="3" a="1"/>
  <c r="D715" i="3" s="1"/>
  <c r="E715" i="3" a="1"/>
  <c r="E715" i="3" s="1"/>
  <c r="F715" i="3" a="1"/>
  <c r="F715" i="3" s="1"/>
  <c r="G715" i="3" a="1"/>
  <c r="G715" i="3" s="1"/>
  <c r="J715" i="3" a="1"/>
  <c r="J715" i="3" s="1"/>
  <c r="B716" i="3" a="1"/>
  <c r="B716" i="3" s="1"/>
  <c r="C716" i="3" a="1"/>
  <c r="C716" i="3" s="1"/>
  <c r="D716" i="3" a="1"/>
  <c r="D716" i="3" s="1"/>
  <c r="E716" i="3" a="1"/>
  <c r="E716" i="3" s="1"/>
  <c r="F716" i="3" a="1"/>
  <c r="F716" i="3" s="1"/>
  <c r="G716" i="3" a="1"/>
  <c r="G716" i="3" s="1"/>
  <c r="J716" i="3" a="1"/>
  <c r="J716" i="3" s="1"/>
  <c r="B717" i="3" a="1"/>
  <c r="B717" i="3" s="1"/>
  <c r="C717" i="3" a="1"/>
  <c r="C717" i="3" s="1"/>
  <c r="D717" i="3" a="1"/>
  <c r="D717" i="3" s="1"/>
  <c r="E717" i="3" a="1"/>
  <c r="E717" i="3" s="1"/>
  <c r="F717" i="3" a="1"/>
  <c r="F717" i="3" s="1"/>
  <c r="G717" i="3" a="1"/>
  <c r="G717" i="3" s="1"/>
  <c r="J717" i="3" a="1"/>
  <c r="J717" i="3" s="1"/>
  <c r="B718" i="3" a="1"/>
  <c r="B718" i="3" s="1"/>
  <c r="C718" i="3" a="1"/>
  <c r="C718" i="3" s="1"/>
  <c r="D718" i="3" a="1"/>
  <c r="D718" i="3" s="1"/>
  <c r="E718" i="3" a="1"/>
  <c r="E718" i="3" s="1"/>
  <c r="F718" i="3" a="1"/>
  <c r="F718" i="3" s="1"/>
  <c r="G718" i="3" a="1"/>
  <c r="G718" i="3" s="1"/>
  <c r="J718" i="3" a="1"/>
  <c r="J718" i="3" s="1"/>
  <c r="B719" i="3" a="1"/>
  <c r="B719" i="3" s="1"/>
  <c r="C719" i="3" a="1"/>
  <c r="C719" i="3" s="1"/>
  <c r="D719" i="3" a="1"/>
  <c r="D719" i="3" s="1"/>
  <c r="E719" i="3" a="1"/>
  <c r="E719" i="3" s="1"/>
  <c r="F719" i="3" a="1"/>
  <c r="F719" i="3" s="1"/>
  <c r="G719" i="3" a="1"/>
  <c r="G719" i="3" s="1"/>
  <c r="J719" i="3" a="1"/>
  <c r="J719" i="3" s="1"/>
  <c r="B720" i="3" a="1"/>
  <c r="B720" i="3" s="1"/>
  <c r="C720" i="3" a="1"/>
  <c r="C720" i="3" s="1"/>
  <c r="D720" i="3" a="1"/>
  <c r="D720" i="3" s="1"/>
  <c r="E720" i="3" a="1"/>
  <c r="E720" i="3" s="1"/>
  <c r="F720" i="3" a="1"/>
  <c r="F720" i="3" s="1"/>
  <c r="G720" i="3" a="1"/>
  <c r="G720" i="3" s="1"/>
  <c r="J720" i="3" a="1"/>
  <c r="J720" i="3" s="1"/>
  <c r="B721" i="3" a="1"/>
  <c r="B721" i="3" s="1"/>
  <c r="C721" i="3" a="1"/>
  <c r="C721" i="3" s="1"/>
  <c r="D721" i="3" a="1"/>
  <c r="D721" i="3" s="1"/>
  <c r="E721" i="3" a="1"/>
  <c r="E721" i="3" s="1"/>
  <c r="F721" i="3" a="1"/>
  <c r="F721" i="3" s="1"/>
  <c r="G721" i="3" a="1"/>
  <c r="G721" i="3" s="1"/>
  <c r="J721" i="3" a="1"/>
  <c r="J721" i="3" s="1"/>
  <c r="B722" i="3" a="1"/>
  <c r="B722" i="3" s="1"/>
  <c r="C722" i="3" a="1"/>
  <c r="C722" i="3" s="1"/>
  <c r="D722" i="3" a="1"/>
  <c r="D722" i="3" s="1"/>
  <c r="E722" i="3" a="1"/>
  <c r="E722" i="3" s="1"/>
  <c r="F722" i="3" a="1"/>
  <c r="F722" i="3" s="1"/>
  <c r="G722" i="3" a="1"/>
  <c r="G722" i="3" s="1"/>
  <c r="J722" i="3" a="1"/>
  <c r="J722" i="3" s="1"/>
  <c r="B723" i="3" a="1"/>
  <c r="B723" i="3" s="1"/>
  <c r="C723" i="3" a="1"/>
  <c r="C723" i="3" s="1"/>
  <c r="D723" i="3" a="1"/>
  <c r="D723" i="3" s="1"/>
  <c r="E723" i="3" a="1"/>
  <c r="E723" i="3" s="1"/>
  <c r="F723" i="3" a="1"/>
  <c r="F723" i="3" s="1"/>
  <c r="G723" i="3" a="1"/>
  <c r="G723" i="3" s="1"/>
  <c r="J723" i="3" a="1"/>
  <c r="J723" i="3" s="1"/>
  <c r="B724" i="3" a="1"/>
  <c r="B724" i="3" s="1"/>
  <c r="C724" i="3" a="1"/>
  <c r="C724" i="3" s="1"/>
  <c r="D724" i="3" a="1"/>
  <c r="D724" i="3" s="1"/>
  <c r="E724" i="3" a="1"/>
  <c r="E724" i="3" s="1"/>
  <c r="F724" i="3" a="1"/>
  <c r="F724" i="3" s="1"/>
  <c r="G724" i="3" a="1"/>
  <c r="G724" i="3" s="1"/>
  <c r="J724" i="3" a="1"/>
  <c r="J724" i="3" s="1"/>
  <c r="B725" i="3" a="1"/>
  <c r="B725" i="3" s="1"/>
  <c r="C725" i="3" a="1"/>
  <c r="C725" i="3" s="1"/>
  <c r="D725" i="3" a="1"/>
  <c r="D725" i="3" s="1"/>
  <c r="E725" i="3" a="1"/>
  <c r="E725" i="3" s="1"/>
  <c r="F725" i="3" a="1"/>
  <c r="F725" i="3" s="1"/>
  <c r="G725" i="3" a="1"/>
  <c r="G725" i="3" s="1"/>
  <c r="J725" i="3" a="1"/>
  <c r="J725" i="3" s="1"/>
  <c r="B726" i="3" a="1"/>
  <c r="B726" i="3" s="1"/>
  <c r="C726" i="3" a="1"/>
  <c r="C726" i="3" s="1"/>
  <c r="D726" i="3" a="1"/>
  <c r="D726" i="3" s="1"/>
  <c r="E726" i="3" a="1"/>
  <c r="E726" i="3" s="1"/>
  <c r="F726" i="3" a="1"/>
  <c r="F726" i="3" s="1"/>
  <c r="G726" i="3" a="1"/>
  <c r="G726" i="3" s="1"/>
  <c r="J726" i="3" a="1"/>
  <c r="J726" i="3" s="1"/>
  <c r="B727" i="3" a="1"/>
  <c r="B727" i="3" s="1"/>
  <c r="C727" i="3" a="1"/>
  <c r="C727" i="3" s="1"/>
  <c r="D727" i="3" a="1"/>
  <c r="D727" i="3" s="1"/>
  <c r="E727" i="3" a="1"/>
  <c r="E727" i="3" s="1"/>
  <c r="F727" i="3" a="1"/>
  <c r="F727" i="3" s="1"/>
  <c r="G727" i="3" a="1"/>
  <c r="G727" i="3" s="1"/>
  <c r="J727" i="3" a="1"/>
  <c r="J727" i="3" s="1"/>
  <c r="B728" i="3" a="1"/>
  <c r="B728" i="3" s="1"/>
  <c r="C728" i="3" a="1"/>
  <c r="C728" i="3" s="1"/>
  <c r="D728" i="3" a="1"/>
  <c r="D728" i="3" s="1"/>
  <c r="E728" i="3" a="1"/>
  <c r="E728" i="3" s="1"/>
  <c r="F728" i="3" a="1"/>
  <c r="F728" i="3" s="1"/>
  <c r="G728" i="3" a="1"/>
  <c r="G728" i="3" s="1"/>
  <c r="J728" i="3" a="1"/>
  <c r="J728" i="3" s="1"/>
  <c r="B729" i="3" a="1"/>
  <c r="B729" i="3" s="1"/>
  <c r="C729" i="3" a="1"/>
  <c r="C729" i="3" s="1"/>
  <c r="D729" i="3" a="1"/>
  <c r="D729" i="3" s="1"/>
  <c r="E729" i="3" a="1"/>
  <c r="E729" i="3" s="1"/>
  <c r="F729" i="3" a="1"/>
  <c r="F729" i="3" s="1"/>
  <c r="G729" i="3" a="1"/>
  <c r="G729" i="3" s="1"/>
  <c r="J729" i="3" a="1"/>
  <c r="J729" i="3" s="1"/>
  <c r="B730" i="3" a="1"/>
  <c r="B730" i="3" s="1"/>
  <c r="C730" i="3" a="1"/>
  <c r="C730" i="3" s="1"/>
  <c r="D730" i="3" a="1"/>
  <c r="D730" i="3" s="1"/>
  <c r="E730" i="3" a="1"/>
  <c r="E730" i="3" s="1"/>
  <c r="F730" i="3" a="1"/>
  <c r="F730" i="3" s="1"/>
  <c r="G730" i="3" a="1"/>
  <c r="G730" i="3" s="1"/>
  <c r="J730" i="3" a="1"/>
  <c r="J730" i="3" s="1"/>
  <c r="B731" i="3" a="1"/>
  <c r="B731" i="3" s="1"/>
  <c r="C731" i="3" a="1"/>
  <c r="C731" i="3" s="1"/>
  <c r="D731" i="3" a="1"/>
  <c r="D731" i="3" s="1"/>
  <c r="E731" i="3" a="1"/>
  <c r="E731" i="3" s="1"/>
  <c r="F731" i="3" a="1"/>
  <c r="F731" i="3" s="1"/>
  <c r="G731" i="3" a="1"/>
  <c r="G731" i="3" s="1"/>
  <c r="J731" i="3" a="1"/>
  <c r="J731" i="3" s="1"/>
  <c r="B732" i="3" a="1"/>
  <c r="B732" i="3" s="1"/>
  <c r="C732" i="3" a="1"/>
  <c r="C732" i="3" s="1"/>
  <c r="D732" i="3" a="1"/>
  <c r="D732" i="3" s="1"/>
  <c r="E732" i="3" a="1"/>
  <c r="E732" i="3" s="1"/>
  <c r="F732" i="3" a="1"/>
  <c r="F732" i="3" s="1"/>
  <c r="G732" i="3" a="1"/>
  <c r="G732" i="3" s="1"/>
  <c r="J732" i="3" a="1"/>
  <c r="J732" i="3" s="1"/>
  <c r="B733" i="3" a="1"/>
  <c r="B733" i="3" s="1"/>
  <c r="C733" i="3" a="1"/>
  <c r="C733" i="3" s="1"/>
  <c r="D733" i="3" a="1"/>
  <c r="D733" i="3" s="1"/>
  <c r="E733" i="3" a="1"/>
  <c r="E733" i="3" s="1"/>
  <c r="F733" i="3" a="1"/>
  <c r="F733" i="3" s="1"/>
  <c r="G733" i="3" a="1"/>
  <c r="G733" i="3" s="1"/>
  <c r="J733" i="3" a="1"/>
  <c r="J733" i="3" s="1"/>
  <c r="B734" i="3" a="1"/>
  <c r="B734" i="3" s="1"/>
  <c r="C734" i="3" a="1"/>
  <c r="C734" i="3" s="1"/>
  <c r="D734" i="3" a="1"/>
  <c r="D734" i="3" s="1"/>
  <c r="E734" i="3" a="1"/>
  <c r="E734" i="3" s="1"/>
  <c r="F734" i="3" a="1"/>
  <c r="F734" i="3" s="1"/>
  <c r="G734" i="3" a="1"/>
  <c r="G734" i="3" s="1"/>
  <c r="J734" i="3" a="1"/>
  <c r="J734" i="3" s="1"/>
  <c r="B735" i="3" a="1"/>
  <c r="B735" i="3" s="1"/>
  <c r="C735" i="3" a="1"/>
  <c r="C735" i="3" s="1"/>
  <c r="D735" i="3" a="1"/>
  <c r="D735" i="3" s="1"/>
  <c r="E735" i="3" a="1"/>
  <c r="E735" i="3" s="1"/>
  <c r="F735" i="3" a="1"/>
  <c r="F735" i="3" s="1"/>
  <c r="G735" i="3" a="1"/>
  <c r="G735" i="3" s="1"/>
  <c r="J735" i="3" a="1"/>
  <c r="J735" i="3" s="1"/>
  <c r="B736" i="3" a="1"/>
  <c r="B736" i="3" s="1"/>
  <c r="C736" i="3" a="1"/>
  <c r="C736" i="3" s="1"/>
  <c r="D736" i="3" a="1"/>
  <c r="D736" i="3" s="1"/>
  <c r="E736" i="3" a="1"/>
  <c r="E736" i="3" s="1"/>
  <c r="F736" i="3" a="1"/>
  <c r="F736" i="3" s="1"/>
  <c r="G736" i="3" a="1"/>
  <c r="G736" i="3" s="1"/>
  <c r="J736" i="3" a="1"/>
  <c r="J736" i="3" s="1"/>
  <c r="B737" i="3" a="1"/>
  <c r="B737" i="3" s="1"/>
  <c r="C737" i="3" a="1"/>
  <c r="C737" i="3" s="1"/>
  <c r="D737" i="3" a="1"/>
  <c r="D737" i="3" s="1"/>
  <c r="E737" i="3" a="1"/>
  <c r="E737" i="3" s="1"/>
  <c r="F737" i="3" a="1"/>
  <c r="F737" i="3" s="1"/>
  <c r="G737" i="3" a="1"/>
  <c r="G737" i="3" s="1"/>
  <c r="J737" i="3" a="1"/>
  <c r="J737" i="3" s="1"/>
  <c r="B738" i="3" a="1"/>
  <c r="B738" i="3" s="1"/>
  <c r="C738" i="3" a="1"/>
  <c r="C738" i="3" s="1"/>
  <c r="D738" i="3" a="1"/>
  <c r="D738" i="3" s="1"/>
  <c r="E738" i="3" a="1"/>
  <c r="E738" i="3" s="1"/>
  <c r="F738" i="3" a="1"/>
  <c r="F738" i="3" s="1"/>
  <c r="G738" i="3" a="1"/>
  <c r="G738" i="3" s="1"/>
  <c r="J738" i="3" a="1"/>
  <c r="J738" i="3" s="1"/>
  <c r="B739" i="3" a="1"/>
  <c r="B739" i="3" s="1"/>
  <c r="C739" i="3" a="1"/>
  <c r="C739" i="3" s="1"/>
  <c r="D739" i="3" a="1"/>
  <c r="D739" i="3" s="1"/>
  <c r="E739" i="3" a="1"/>
  <c r="E739" i="3" s="1"/>
  <c r="F739" i="3" a="1"/>
  <c r="F739" i="3" s="1"/>
  <c r="G739" i="3" a="1"/>
  <c r="G739" i="3" s="1"/>
  <c r="J739" i="3" a="1"/>
  <c r="J739" i="3" s="1"/>
  <c r="B740" i="3" a="1"/>
  <c r="B740" i="3" s="1"/>
  <c r="C740" i="3" a="1"/>
  <c r="C740" i="3" s="1"/>
  <c r="D740" i="3" a="1"/>
  <c r="D740" i="3" s="1"/>
  <c r="E740" i="3" a="1"/>
  <c r="E740" i="3" s="1"/>
  <c r="F740" i="3" a="1"/>
  <c r="F740" i="3" s="1"/>
  <c r="G740" i="3" a="1"/>
  <c r="G740" i="3" s="1"/>
  <c r="J740" i="3" a="1"/>
  <c r="J740" i="3" s="1"/>
  <c r="B741" i="3" a="1"/>
  <c r="B741" i="3" s="1"/>
  <c r="C741" i="3" a="1"/>
  <c r="C741" i="3" s="1"/>
  <c r="D741" i="3" a="1"/>
  <c r="D741" i="3" s="1"/>
  <c r="E741" i="3" a="1"/>
  <c r="E741" i="3" s="1"/>
  <c r="F741" i="3" a="1"/>
  <c r="F741" i="3" s="1"/>
  <c r="G741" i="3" a="1"/>
  <c r="G741" i="3" s="1"/>
  <c r="J741" i="3" a="1"/>
  <c r="J741" i="3" s="1"/>
  <c r="B742" i="3" a="1"/>
  <c r="B742" i="3" s="1"/>
  <c r="C742" i="3" a="1"/>
  <c r="C742" i="3" s="1"/>
  <c r="D742" i="3" a="1"/>
  <c r="D742" i="3" s="1"/>
  <c r="E742" i="3" a="1"/>
  <c r="E742" i="3" s="1"/>
  <c r="F742" i="3" a="1"/>
  <c r="F742" i="3" s="1"/>
  <c r="G742" i="3" a="1"/>
  <c r="G742" i="3" s="1"/>
  <c r="J742" i="3" a="1"/>
  <c r="J742" i="3" s="1"/>
  <c r="B743" i="3" a="1"/>
  <c r="B743" i="3" s="1"/>
  <c r="C743" i="3" a="1"/>
  <c r="C743" i="3" s="1"/>
  <c r="D743" i="3" a="1"/>
  <c r="D743" i="3" s="1"/>
  <c r="E743" i="3" a="1"/>
  <c r="E743" i="3" s="1"/>
  <c r="F743" i="3" a="1"/>
  <c r="F743" i="3" s="1"/>
  <c r="G743" i="3" a="1"/>
  <c r="G743" i="3" s="1"/>
  <c r="J743" i="3" a="1"/>
  <c r="J743" i="3" s="1"/>
  <c r="B744" i="3" a="1"/>
  <c r="B744" i="3" s="1"/>
  <c r="C744" i="3" a="1"/>
  <c r="C744" i="3" s="1"/>
  <c r="D744" i="3" a="1"/>
  <c r="D744" i="3" s="1"/>
  <c r="E744" i="3" a="1"/>
  <c r="E744" i="3" s="1"/>
  <c r="F744" i="3" a="1"/>
  <c r="F744" i="3" s="1"/>
  <c r="G744" i="3" a="1"/>
  <c r="G744" i="3" s="1"/>
  <c r="J744" i="3" a="1"/>
  <c r="J744" i="3" s="1"/>
  <c r="B745" i="3" a="1"/>
  <c r="B745" i="3" s="1"/>
  <c r="C745" i="3" a="1"/>
  <c r="C745" i="3" s="1"/>
  <c r="D745" i="3" a="1"/>
  <c r="D745" i="3" s="1"/>
  <c r="E745" i="3" a="1"/>
  <c r="E745" i="3" s="1"/>
  <c r="F745" i="3" a="1"/>
  <c r="F745" i="3" s="1"/>
  <c r="G745" i="3" a="1"/>
  <c r="G745" i="3" s="1"/>
  <c r="J745" i="3" a="1"/>
  <c r="J745" i="3" s="1"/>
  <c r="B746" i="3" a="1"/>
  <c r="B746" i="3" s="1"/>
  <c r="C746" i="3" a="1"/>
  <c r="C746" i="3" s="1"/>
  <c r="D746" i="3" a="1"/>
  <c r="D746" i="3" s="1"/>
  <c r="E746" i="3" a="1"/>
  <c r="E746" i="3" s="1"/>
  <c r="F746" i="3" a="1"/>
  <c r="F746" i="3" s="1"/>
  <c r="G746" i="3" a="1"/>
  <c r="G746" i="3" s="1"/>
  <c r="J746" i="3" a="1"/>
  <c r="J746" i="3" s="1"/>
  <c r="B747" i="3" a="1"/>
  <c r="B747" i="3" s="1"/>
  <c r="C747" i="3" a="1"/>
  <c r="C747" i="3" s="1"/>
  <c r="D747" i="3" a="1"/>
  <c r="D747" i="3" s="1"/>
  <c r="E747" i="3" a="1"/>
  <c r="E747" i="3" s="1"/>
  <c r="F747" i="3" a="1"/>
  <c r="F747" i="3" s="1"/>
  <c r="G747" i="3" a="1"/>
  <c r="G747" i="3" s="1"/>
  <c r="J747" i="3" a="1"/>
  <c r="J747" i="3" s="1"/>
  <c r="B748" i="3" a="1"/>
  <c r="B748" i="3" s="1"/>
  <c r="C748" i="3" a="1"/>
  <c r="C748" i="3" s="1"/>
  <c r="D748" i="3" a="1"/>
  <c r="D748" i="3" s="1"/>
  <c r="E748" i="3" a="1"/>
  <c r="E748" i="3" s="1"/>
  <c r="F748" i="3" a="1"/>
  <c r="F748" i="3" s="1"/>
  <c r="G748" i="3" a="1"/>
  <c r="G748" i="3" s="1"/>
  <c r="J748" i="3" a="1"/>
  <c r="J748" i="3" s="1"/>
  <c r="B749" i="3" a="1"/>
  <c r="B749" i="3" s="1"/>
  <c r="C749" i="3" a="1"/>
  <c r="C749" i="3" s="1"/>
  <c r="D749" i="3" a="1"/>
  <c r="D749" i="3" s="1"/>
  <c r="E749" i="3" a="1"/>
  <c r="E749" i="3" s="1"/>
  <c r="F749" i="3" a="1"/>
  <c r="F749" i="3" s="1"/>
  <c r="G749" i="3" a="1"/>
  <c r="G749" i="3" s="1"/>
  <c r="J749" i="3" a="1"/>
  <c r="J749" i="3" s="1"/>
  <c r="B750" i="3" a="1"/>
  <c r="B750" i="3" s="1"/>
  <c r="C750" i="3" a="1"/>
  <c r="C750" i="3" s="1"/>
  <c r="D750" i="3" a="1"/>
  <c r="D750" i="3" s="1"/>
  <c r="E750" i="3" a="1"/>
  <c r="E750" i="3" s="1"/>
  <c r="F750" i="3" a="1"/>
  <c r="F750" i="3" s="1"/>
  <c r="G750" i="3" a="1"/>
  <c r="G750" i="3" s="1"/>
  <c r="J750" i="3" a="1"/>
  <c r="J750" i="3" s="1"/>
  <c r="B751" i="3" a="1"/>
  <c r="B751" i="3" s="1"/>
  <c r="C751" i="3" a="1"/>
  <c r="C751" i="3" s="1"/>
  <c r="D751" i="3" a="1"/>
  <c r="D751" i="3" s="1"/>
  <c r="E751" i="3" a="1"/>
  <c r="E751" i="3" s="1"/>
  <c r="F751" i="3" a="1"/>
  <c r="F751" i="3" s="1"/>
  <c r="G751" i="3" a="1"/>
  <c r="G751" i="3" s="1"/>
  <c r="J751" i="3" a="1"/>
  <c r="J751" i="3" s="1"/>
  <c r="B752" i="3" a="1"/>
  <c r="B752" i="3" s="1"/>
  <c r="C752" i="3" a="1"/>
  <c r="C752" i="3" s="1"/>
  <c r="D752" i="3" a="1"/>
  <c r="D752" i="3" s="1"/>
  <c r="E752" i="3" a="1"/>
  <c r="E752" i="3" s="1"/>
  <c r="F752" i="3" a="1"/>
  <c r="F752" i="3" s="1"/>
  <c r="G752" i="3" a="1"/>
  <c r="G752" i="3" s="1"/>
  <c r="J752" i="3" a="1"/>
  <c r="J752" i="3" s="1"/>
  <c r="B753" i="3" a="1"/>
  <c r="B753" i="3" s="1"/>
  <c r="C753" i="3" a="1"/>
  <c r="C753" i="3" s="1"/>
  <c r="D753" i="3" a="1"/>
  <c r="D753" i="3" s="1"/>
  <c r="E753" i="3" a="1"/>
  <c r="E753" i="3" s="1"/>
  <c r="F753" i="3" a="1"/>
  <c r="F753" i="3" s="1"/>
  <c r="G753" i="3" a="1"/>
  <c r="G753" i="3" s="1"/>
  <c r="J753" i="3" a="1"/>
  <c r="J753" i="3" s="1"/>
  <c r="B754" i="3" a="1"/>
  <c r="B754" i="3" s="1"/>
  <c r="C754" i="3" a="1"/>
  <c r="C754" i="3" s="1"/>
  <c r="D754" i="3" a="1"/>
  <c r="D754" i="3" s="1"/>
  <c r="E754" i="3" a="1"/>
  <c r="E754" i="3" s="1"/>
  <c r="F754" i="3" a="1"/>
  <c r="F754" i="3" s="1"/>
  <c r="G754" i="3" a="1"/>
  <c r="G754" i="3" s="1"/>
  <c r="J754" i="3" a="1"/>
  <c r="J754" i="3" s="1"/>
  <c r="B755" i="3" a="1"/>
  <c r="B755" i="3" s="1"/>
  <c r="C755" i="3" a="1"/>
  <c r="C755" i="3" s="1"/>
  <c r="D755" i="3" a="1"/>
  <c r="D755" i="3" s="1"/>
  <c r="E755" i="3" a="1"/>
  <c r="E755" i="3" s="1"/>
  <c r="F755" i="3" a="1"/>
  <c r="F755" i="3" s="1"/>
  <c r="G755" i="3" a="1"/>
  <c r="G755" i="3" s="1"/>
  <c r="J755" i="3" a="1"/>
  <c r="J755" i="3" s="1"/>
  <c r="B756" i="3" a="1"/>
  <c r="B756" i="3" s="1"/>
  <c r="C756" i="3" a="1"/>
  <c r="C756" i="3" s="1"/>
  <c r="D756" i="3" a="1"/>
  <c r="D756" i="3" s="1"/>
  <c r="E756" i="3" a="1"/>
  <c r="E756" i="3" s="1"/>
  <c r="F756" i="3" a="1"/>
  <c r="F756" i="3" s="1"/>
  <c r="G756" i="3" a="1"/>
  <c r="G756" i="3" s="1"/>
  <c r="J756" i="3" a="1"/>
  <c r="J756" i="3" s="1"/>
  <c r="B757" i="3" a="1"/>
  <c r="B757" i="3" s="1"/>
  <c r="C757" i="3" a="1"/>
  <c r="C757" i="3" s="1"/>
  <c r="D757" i="3" a="1"/>
  <c r="D757" i="3" s="1"/>
  <c r="E757" i="3" a="1"/>
  <c r="E757" i="3" s="1"/>
  <c r="F757" i="3" a="1"/>
  <c r="F757" i="3" s="1"/>
  <c r="G757" i="3" a="1"/>
  <c r="G757" i="3" s="1"/>
  <c r="J757" i="3" a="1"/>
  <c r="J757" i="3" s="1"/>
  <c r="B758" i="3" a="1"/>
  <c r="B758" i="3" s="1"/>
  <c r="C758" i="3" a="1"/>
  <c r="C758" i="3" s="1"/>
  <c r="D758" i="3" a="1"/>
  <c r="D758" i="3" s="1"/>
  <c r="E758" i="3" a="1"/>
  <c r="E758" i="3" s="1"/>
  <c r="F758" i="3" a="1"/>
  <c r="F758" i="3" s="1"/>
  <c r="G758" i="3" a="1"/>
  <c r="G758" i="3" s="1"/>
  <c r="J758" i="3" a="1"/>
  <c r="J758" i="3" s="1"/>
  <c r="B759" i="3" a="1"/>
  <c r="B759" i="3" s="1"/>
  <c r="C759" i="3" a="1"/>
  <c r="C759" i="3" s="1"/>
  <c r="D759" i="3" a="1"/>
  <c r="D759" i="3" s="1"/>
  <c r="E759" i="3" a="1"/>
  <c r="E759" i="3" s="1"/>
  <c r="F759" i="3" a="1"/>
  <c r="F759" i="3" s="1"/>
  <c r="G759" i="3" a="1"/>
  <c r="G759" i="3" s="1"/>
  <c r="J759" i="3" a="1"/>
  <c r="J759" i="3" s="1"/>
  <c r="B760" i="3" a="1"/>
  <c r="B760" i="3" s="1"/>
  <c r="C760" i="3" a="1"/>
  <c r="C760" i="3" s="1"/>
  <c r="D760" i="3" a="1"/>
  <c r="D760" i="3" s="1"/>
  <c r="E760" i="3" a="1"/>
  <c r="E760" i="3" s="1"/>
  <c r="F760" i="3" a="1"/>
  <c r="F760" i="3" s="1"/>
  <c r="G760" i="3" a="1"/>
  <c r="G760" i="3" s="1"/>
  <c r="J760" i="3" a="1"/>
  <c r="J760" i="3" s="1"/>
  <c r="B761" i="3" a="1"/>
  <c r="B761" i="3" s="1"/>
  <c r="C761" i="3" a="1"/>
  <c r="C761" i="3" s="1"/>
  <c r="D761" i="3" a="1"/>
  <c r="D761" i="3" s="1"/>
  <c r="E761" i="3" a="1"/>
  <c r="E761" i="3" s="1"/>
  <c r="F761" i="3" a="1"/>
  <c r="F761" i="3" s="1"/>
  <c r="G761" i="3" a="1"/>
  <c r="G761" i="3" s="1"/>
  <c r="J761" i="3" a="1"/>
  <c r="J761" i="3" s="1"/>
  <c r="B762" i="3" a="1"/>
  <c r="B762" i="3" s="1"/>
  <c r="C762" i="3" a="1"/>
  <c r="C762" i="3" s="1"/>
  <c r="D762" i="3" a="1"/>
  <c r="D762" i="3" s="1"/>
  <c r="E762" i="3" a="1"/>
  <c r="E762" i="3" s="1"/>
  <c r="F762" i="3" a="1"/>
  <c r="F762" i="3" s="1"/>
  <c r="G762" i="3" a="1"/>
  <c r="G762" i="3" s="1"/>
  <c r="J762" i="3" a="1"/>
  <c r="J762" i="3" s="1"/>
  <c r="B763" i="3" a="1"/>
  <c r="B763" i="3" s="1"/>
  <c r="C763" i="3" a="1"/>
  <c r="C763" i="3" s="1"/>
  <c r="D763" i="3" a="1"/>
  <c r="D763" i="3" s="1"/>
  <c r="E763" i="3" a="1"/>
  <c r="E763" i="3" s="1"/>
  <c r="F763" i="3" a="1"/>
  <c r="F763" i="3" s="1"/>
  <c r="G763" i="3" a="1"/>
  <c r="G763" i="3" s="1"/>
  <c r="J763" i="3" a="1"/>
  <c r="J763" i="3" s="1"/>
  <c r="B764" i="3" a="1"/>
  <c r="B764" i="3" s="1"/>
  <c r="C764" i="3" a="1"/>
  <c r="C764" i="3" s="1"/>
  <c r="D764" i="3" a="1"/>
  <c r="D764" i="3" s="1"/>
  <c r="E764" i="3" a="1"/>
  <c r="E764" i="3" s="1"/>
  <c r="F764" i="3" a="1"/>
  <c r="F764" i="3" s="1"/>
  <c r="G764" i="3" a="1"/>
  <c r="G764" i="3" s="1"/>
  <c r="J764" i="3" a="1"/>
  <c r="J764" i="3" s="1"/>
  <c r="B765" i="3" a="1"/>
  <c r="B765" i="3" s="1"/>
  <c r="C765" i="3" a="1"/>
  <c r="C765" i="3" s="1"/>
  <c r="D765" i="3" a="1"/>
  <c r="D765" i="3" s="1"/>
  <c r="E765" i="3" a="1"/>
  <c r="E765" i="3" s="1"/>
  <c r="F765" i="3" a="1"/>
  <c r="F765" i="3" s="1"/>
  <c r="G765" i="3" a="1"/>
  <c r="G765" i="3" s="1"/>
  <c r="J765" i="3" a="1"/>
  <c r="J765" i="3" s="1"/>
  <c r="B766" i="3" a="1"/>
  <c r="B766" i="3" s="1"/>
  <c r="C766" i="3" a="1"/>
  <c r="C766" i="3" s="1"/>
  <c r="D766" i="3" a="1"/>
  <c r="D766" i="3" s="1"/>
  <c r="E766" i="3" a="1"/>
  <c r="E766" i="3" s="1"/>
  <c r="F766" i="3" a="1"/>
  <c r="F766" i="3" s="1"/>
  <c r="G766" i="3" a="1"/>
  <c r="G766" i="3" s="1"/>
  <c r="J766" i="3" a="1"/>
  <c r="J766" i="3" s="1"/>
  <c r="B767" i="3" a="1"/>
  <c r="B767" i="3" s="1"/>
  <c r="C767" i="3" a="1"/>
  <c r="C767" i="3" s="1"/>
  <c r="D767" i="3" a="1"/>
  <c r="D767" i="3" s="1"/>
  <c r="E767" i="3" a="1"/>
  <c r="E767" i="3" s="1"/>
  <c r="F767" i="3" a="1"/>
  <c r="F767" i="3" s="1"/>
  <c r="G767" i="3" a="1"/>
  <c r="G767" i="3" s="1"/>
  <c r="J767" i="3" a="1"/>
  <c r="J767" i="3" s="1"/>
  <c r="B768" i="3" a="1"/>
  <c r="B768" i="3" s="1"/>
  <c r="C768" i="3" a="1"/>
  <c r="C768" i="3" s="1"/>
  <c r="D768" i="3" a="1"/>
  <c r="D768" i="3" s="1"/>
  <c r="E768" i="3" a="1"/>
  <c r="E768" i="3" s="1"/>
  <c r="F768" i="3" a="1"/>
  <c r="F768" i="3" s="1"/>
  <c r="G768" i="3" a="1"/>
  <c r="G768" i="3" s="1"/>
  <c r="J768" i="3" a="1"/>
  <c r="J768" i="3" s="1"/>
  <c r="B769" i="3" a="1"/>
  <c r="B769" i="3" s="1"/>
  <c r="C769" i="3" a="1"/>
  <c r="C769" i="3" s="1"/>
  <c r="D769" i="3" a="1"/>
  <c r="D769" i="3" s="1"/>
  <c r="E769" i="3" a="1"/>
  <c r="E769" i="3" s="1"/>
  <c r="F769" i="3" a="1"/>
  <c r="F769" i="3" s="1"/>
  <c r="G769" i="3" a="1"/>
  <c r="G769" i="3" s="1"/>
  <c r="J769" i="3" a="1"/>
  <c r="J769" i="3" s="1"/>
  <c r="B770" i="3" a="1"/>
  <c r="B770" i="3" s="1"/>
  <c r="C770" i="3" a="1"/>
  <c r="C770" i="3" s="1"/>
  <c r="D770" i="3" a="1"/>
  <c r="D770" i="3" s="1"/>
  <c r="E770" i="3" a="1"/>
  <c r="E770" i="3" s="1"/>
  <c r="F770" i="3" a="1"/>
  <c r="F770" i="3" s="1"/>
  <c r="G770" i="3" a="1"/>
  <c r="G770" i="3" s="1"/>
  <c r="J770" i="3" a="1"/>
  <c r="J770" i="3" s="1"/>
  <c r="B771" i="3" a="1"/>
  <c r="B771" i="3" s="1"/>
  <c r="C771" i="3" a="1"/>
  <c r="C771" i="3" s="1"/>
  <c r="D771" i="3" a="1"/>
  <c r="D771" i="3" s="1"/>
  <c r="E771" i="3" a="1"/>
  <c r="E771" i="3" s="1"/>
  <c r="F771" i="3" a="1"/>
  <c r="F771" i="3" s="1"/>
  <c r="G771" i="3" a="1"/>
  <c r="G771" i="3" s="1"/>
  <c r="J771" i="3" a="1"/>
  <c r="J771" i="3" s="1"/>
  <c r="B772" i="3" a="1"/>
  <c r="B772" i="3" s="1"/>
  <c r="C772" i="3" a="1"/>
  <c r="C772" i="3" s="1"/>
  <c r="D772" i="3" a="1"/>
  <c r="D772" i="3" s="1"/>
  <c r="E772" i="3" a="1"/>
  <c r="E772" i="3" s="1"/>
  <c r="F772" i="3" a="1"/>
  <c r="F772" i="3" s="1"/>
  <c r="G772" i="3" a="1"/>
  <c r="G772" i="3" s="1"/>
  <c r="J772" i="3" a="1"/>
  <c r="J772" i="3" s="1"/>
  <c r="B773" i="3" a="1"/>
  <c r="B773" i="3" s="1"/>
  <c r="C773" i="3" a="1"/>
  <c r="C773" i="3" s="1"/>
  <c r="D773" i="3" a="1"/>
  <c r="D773" i="3" s="1"/>
  <c r="E773" i="3" a="1"/>
  <c r="E773" i="3" s="1"/>
  <c r="F773" i="3" a="1"/>
  <c r="F773" i="3" s="1"/>
  <c r="G773" i="3" a="1"/>
  <c r="G773" i="3" s="1"/>
  <c r="J773" i="3" a="1"/>
  <c r="J773" i="3" s="1"/>
  <c r="B774" i="3" a="1"/>
  <c r="B774" i="3" s="1"/>
  <c r="C774" i="3" a="1"/>
  <c r="C774" i="3" s="1"/>
  <c r="D774" i="3" a="1"/>
  <c r="D774" i="3" s="1"/>
  <c r="E774" i="3" a="1"/>
  <c r="E774" i="3" s="1"/>
  <c r="F774" i="3" a="1"/>
  <c r="F774" i="3" s="1"/>
  <c r="G774" i="3" a="1"/>
  <c r="G774" i="3" s="1"/>
  <c r="J774" i="3" a="1"/>
  <c r="J774" i="3" s="1"/>
  <c r="B775" i="3" a="1"/>
  <c r="B775" i="3" s="1"/>
  <c r="C775" i="3" a="1"/>
  <c r="C775" i="3" s="1"/>
  <c r="D775" i="3" a="1"/>
  <c r="D775" i="3" s="1"/>
  <c r="E775" i="3" a="1"/>
  <c r="E775" i="3" s="1"/>
  <c r="F775" i="3" a="1"/>
  <c r="F775" i="3" s="1"/>
  <c r="G775" i="3" a="1"/>
  <c r="G775" i="3" s="1"/>
  <c r="J775" i="3" a="1"/>
  <c r="J775" i="3" s="1"/>
  <c r="B776" i="3" a="1"/>
  <c r="B776" i="3" s="1"/>
  <c r="C776" i="3" a="1"/>
  <c r="C776" i="3" s="1"/>
  <c r="D776" i="3" a="1"/>
  <c r="D776" i="3" s="1"/>
  <c r="E776" i="3" a="1"/>
  <c r="E776" i="3" s="1"/>
  <c r="F776" i="3" a="1"/>
  <c r="F776" i="3" s="1"/>
  <c r="G776" i="3" a="1"/>
  <c r="G776" i="3" s="1"/>
  <c r="J776" i="3" a="1"/>
  <c r="J776" i="3" s="1"/>
  <c r="B777" i="3" a="1"/>
  <c r="B777" i="3" s="1"/>
  <c r="C777" i="3" a="1"/>
  <c r="C777" i="3" s="1"/>
  <c r="D777" i="3" a="1"/>
  <c r="D777" i="3" s="1"/>
  <c r="E777" i="3" a="1"/>
  <c r="E777" i="3" s="1"/>
  <c r="F777" i="3" a="1"/>
  <c r="F777" i="3" s="1"/>
  <c r="G777" i="3" a="1"/>
  <c r="G777" i="3" s="1"/>
  <c r="J777" i="3" a="1"/>
  <c r="J777" i="3" s="1"/>
  <c r="B778" i="3" a="1"/>
  <c r="B778" i="3" s="1"/>
  <c r="C778" i="3" a="1"/>
  <c r="C778" i="3" s="1"/>
  <c r="D778" i="3" a="1"/>
  <c r="D778" i="3" s="1"/>
  <c r="E778" i="3" a="1"/>
  <c r="E778" i="3" s="1"/>
  <c r="F778" i="3" a="1"/>
  <c r="F778" i="3" s="1"/>
  <c r="G778" i="3" a="1"/>
  <c r="G778" i="3" s="1"/>
  <c r="J778" i="3" a="1"/>
  <c r="J778" i="3" s="1"/>
  <c r="B779" i="3" a="1"/>
  <c r="B779" i="3" s="1"/>
  <c r="C779" i="3" a="1"/>
  <c r="C779" i="3" s="1"/>
  <c r="D779" i="3" a="1"/>
  <c r="D779" i="3" s="1"/>
  <c r="E779" i="3" a="1"/>
  <c r="E779" i="3" s="1"/>
  <c r="F779" i="3" a="1"/>
  <c r="F779" i="3" s="1"/>
  <c r="G779" i="3" a="1"/>
  <c r="G779" i="3" s="1"/>
  <c r="J779" i="3" a="1"/>
  <c r="J779" i="3" s="1"/>
  <c r="B780" i="3" a="1"/>
  <c r="B780" i="3" s="1"/>
  <c r="C780" i="3" a="1"/>
  <c r="C780" i="3" s="1"/>
  <c r="D780" i="3" a="1"/>
  <c r="D780" i="3" s="1"/>
  <c r="E780" i="3" a="1"/>
  <c r="E780" i="3" s="1"/>
  <c r="F780" i="3" a="1"/>
  <c r="F780" i="3" s="1"/>
  <c r="G780" i="3" a="1"/>
  <c r="G780" i="3" s="1"/>
  <c r="J780" i="3" a="1"/>
  <c r="J780" i="3" s="1"/>
  <c r="B781" i="3" a="1"/>
  <c r="B781" i="3" s="1"/>
  <c r="C781" i="3" a="1"/>
  <c r="C781" i="3" s="1"/>
  <c r="D781" i="3" a="1"/>
  <c r="D781" i="3" s="1"/>
  <c r="E781" i="3" a="1"/>
  <c r="E781" i="3" s="1"/>
  <c r="F781" i="3" a="1"/>
  <c r="F781" i="3" s="1"/>
  <c r="G781" i="3" a="1"/>
  <c r="G781" i="3" s="1"/>
  <c r="J781" i="3" a="1"/>
  <c r="J781" i="3" s="1"/>
  <c r="B782" i="3" a="1"/>
  <c r="B782" i="3" s="1"/>
  <c r="C782" i="3" a="1"/>
  <c r="C782" i="3" s="1"/>
  <c r="D782" i="3" a="1"/>
  <c r="D782" i="3" s="1"/>
  <c r="E782" i="3" a="1"/>
  <c r="E782" i="3" s="1"/>
  <c r="F782" i="3" a="1"/>
  <c r="F782" i="3" s="1"/>
  <c r="G782" i="3" a="1"/>
  <c r="G782" i="3" s="1"/>
  <c r="J782" i="3" a="1"/>
  <c r="J782" i="3" s="1"/>
  <c r="B783" i="3" a="1"/>
  <c r="B783" i="3" s="1"/>
  <c r="C783" i="3" a="1"/>
  <c r="C783" i="3" s="1"/>
  <c r="D783" i="3" a="1"/>
  <c r="D783" i="3" s="1"/>
  <c r="E783" i="3" a="1"/>
  <c r="E783" i="3" s="1"/>
  <c r="F783" i="3" a="1"/>
  <c r="F783" i="3" s="1"/>
  <c r="G783" i="3" a="1"/>
  <c r="G783" i="3" s="1"/>
  <c r="J783" i="3" a="1"/>
  <c r="J783" i="3" s="1"/>
  <c r="B784" i="3" a="1"/>
  <c r="B784" i="3" s="1"/>
  <c r="C784" i="3" a="1"/>
  <c r="C784" i="3" s="1"/>
  <c r="D784" i="3" a="1"/>
  <c r="D784" i="3" s="1"/>
  <c r="E784" i="3" a="1"/>
  <c r="E784" i="3" s="1"/>
  <c r="F784" i="3" a="1"/>
  <c r="F784" i="3" s="1"/>
  <c r="G784" i="3" a="1"/>
  <c r="G784" i="3" s="1"/>
  <c r="J784" i="3" a="1"/>
  <c r="J784" i="3" s="1"/>
  <c r="B785" i="3" a="1"/>
  <c r="B785" i="3" s="1"/>
  <c r="C785" i="3" a="1"/>
  <c r="C785" i="3" s="1"/>
  <c r="D785" i="3" a="1"/>
  <c r="D785" i="3" s="1"/>
  <c r="E785" i="3" a="1"/>
  <c r="E785" i="3" s="1"/>
  <c r="F785" i="3" a="1"/>
  <c r="F785" i="3" s="1"/>
  <c r="G785" i="3" a="1"/>
  <c r="G785" i="3" s="1"/>
  <c r="J785" i="3" a="1"/>
  <c r="J785" i="3" s="1"/>
  <c r="B786" i="3" a="1"/>
  <c r="B786" i="3" s="1"/>
  <c r="C786" i="3" a="1"/>
  <c r="C786" i="3" s="1"/>
  <c r="D786" i="3" a="1"/>
  <c r="D786" i="3" s="1"/>
  <c r="E786" i="3" a="1"/>
  <c r="E786" i="3" s="1"/>
  <c r="F786" i="3" a="1"/>
  <c r="F786" i="3" s="1"/>
  <c r="G786" i="3" a="1"/>
  <c r="G786" i="3" s="1"/>
  <c r="J786" i="3" a="1"/>
  <c r="J786" i="3" s="1"/>
  <c r="B787" i="3" a="1"/>
  <c r="B787" i="3" s="1"/>
  <c r="C787" i="3" a="1"/>
  <c r="C787" i="3" s="1"/>
  <c r="D787" i="3" a="1"/>
  <c r="D787" i="3" s="1"/>
  <c r="E787" i="3" a="1"/>
  <c r="E787" i="3" s="1"/>
  <c r="F787" i="3" a="1"/>
  <c r="F787" i="3" s="1"/>
  <c r="G787" i="3" a="1"/>
  <c r="G787" i="3" s="1"/>
  <c r="J787" i="3" a="1"/>
  <c r="J787" i="3" s="1"/>
  <c r="B788" i="3" a="1"/>
  <c r="B788" i="3" s="1"/>
  <c r="C788" i="3" a="1"/>
  <c r="C788" i="3" s="1"/>
  <c r="D788" i="3" a="1"/>
  <c r="D788" i="3" s="1"/>
  <c r="E788" i="3" a="1"/>
  <c r="E788" i="3" s="1"/>
  <c r="F788" i="3" a="1"/>
  <c r="F788" i="3" s="1"/>
  <c r="G788" i="3" a="1"/>
  <c r="G788" i="3" s="1"/>
  <c r="J788" i="3" a="1"/>
  <c r="J788" i="3" s="1"/>
  <c r="B789" i="3" a="1"/>
  <c r="B789" i="3" s="1"/>
  <c r="C789" i="3" a="1"/>
  <c r="C789" i="3" s="1"/>
  <c r="D789" i="3" a="1"/>
  <c r="D789" i="3" s="1"/>
  <c r="E789" i="3" a="1"/>
  <c r="E789" i="3" s="1"/>
  <c r="F789" i="3" a="1"/>
  <c r="F789" i="3" s="1"/>
  <c r="G789" i="3" a="1"/>
  <c r="G789" i="3" s="1"/>
  <c r="J789" i="3" a="1"/>
  <c r="J789" i="3" s="1"/>
  <c r="B790" i="3" a="1"/>
  <c r="B790" i="3" s="1"/>
  <c r="C790" i="3" a="1"/>
  <c r="C790" i="3" s="1"/>
  <c r="D790" i="3" a="1"/>
  <c r="D790" i="3" s="1"/>
  <c r="E790" i="3" a="1"/>
  <c r="E790" i="3" s="1"/>
  <c r="F790" i="3" a="1"/>
  <c r="F790" i="3" s="1"/>
  <c r="G790" i="3" a="1"/>
  <c r="G790" i="3" s="1"/>
  <c r="J790" i="3" a="1"/>
  <c r="J790" i="3" s="1"/>
  <c r="B791" i="3" a="1"/>
  <c r="B791" i="3" s="1"/>
  <c r="C791" i="3" a="1"/>
  <c r="C791" i="3" s="1"/>
  <c r="D791" i="3" a="1"/>
  <c r="D791" i="3" s="1"/>
  <c r="E791" i="3" a="1"/>
  <c r="E791" i="3" s="1"/>
  <c r="F791" i="3" a="1"/>
  <c r="F791" i="3" s="1"/>
  <c r="G791" i="3" a="1"/>
  <c r="G791" i="3" s="1"/>
  <c r="J791" i="3" a="1"/>
  <c r="J791" i="3" s="1"/>
  <c r="B792" i="3" a="1"/>
  <c r="B792" i="3" s="1"/>
  <c r="C792" i="3" a="1"/>
  <c r="C792" i="3" s="1"/>
  <c r="D792" i="3" a="1"/>
  <c r="D792" i="3" s="1"/>
  <c r="E792" i="3" a="1"/>
  <c r="E792" i="3" s="1"/>
  <c r="F792" i="3" a="1"/>
  <c r="F792" i="3" s="1"/>
  <c r="G792" i="3" a="1"/>
  <c r="G792" i="3" s="1"/>
  <c r="J792" i="3" a="1"/>
  <c r="J792" i="3" s="1"/>
  <c r="B793" i="3" a="1"/>
  <c r="B793" i="3" s="1"/>
  <c r="C793" i="3" a="1"/>
  <c r="C793" i="3" s="1"/>
  <c r="D793" i="3" a="1"/>
  <c r="D793" i="3" s="1"/>
  <c r="E793" i="3" a="1"/>
  <c r="E793" i="3" s="1"/>
  <c r="F793" i="3" a="1"/>
  <c r="F793" i="3" s="1"/>
  <c r="G793" i="3" a="1"/>
  <c r="G793" i="3" s="1"/>
  <c r="J793" i="3" a="1"/>
  <c r="J793" i="3" s="1"/>
  <c r="B794" i="3" a="1"/>
  <c r="B794" i="3" s="1"/>
  <c r="C794" i="3" a="1"/>
  <c r="C794" i="3" s="1"/>
  <c r="D794" i="3" a="1"/>
  <c r="D794" i="3" s="1"/>
  <c r="E794" i="3" a="1"/>
  <c r="E794" i="3" s="1"/>
  <c r="F794" i="3" a="1"/>
  <c r="F794" i="3" s="1"/>
  <c r="G794" i="3" a="1"/>
  <c r="G794" i="3" s="1"/>
  <c r="J794" i="3" a="1"/>
  <c r="J794" i="3" s="1"/>
  <c r="B795" i="3" a="1"/>
  <c r="B795" i="3" s="1"/>
  <c r="C795" i="3" a="1"/>
  <c r="C795" i="3" s="1"/>
  <c r="D795" i="3" a="1"/>
  <c r="D795" i="3" s="1"/>
  <c r="E795" i="3" a="1"/>
  <c r="E795" i="3" s="1"/>
  <c r="F795" i="3" a="1"/>
  <c r="F795" i="3" s="1"/>
  <c r="G795" i="3" a="1"/>
  <c r="G795" i="3" s="1"/>
  <c r="J795" i="3" a="1"/>
  <c r="J795" i="3" s="1"/>
  <c r="B796" i="3" a="1"/>
  <c r="B796" i="3" s="1"/>
  <c r="C796" i="3" a="1"/>
  <c r="C796" i="3" s="1"/>
  <c r="D796" i="3" a="1"/>
  <c r="D796" i="3" s="1"/>
  <c r="E796" i="3" a="1"/>
  <c r="E796" i="3" s="1"/>
  <c r="F796" i="3" a="1"/>
  <c r="F796" i="3" s="1"/>
  <c r="G796" i="3" a="1"/>
  <c r="G796" i="3" s="1"/>
  <c r="J796" i="3" a="1"/>
  <c r="J796" i="3" s="1"/>
  <c r="B797" i="3" a="1"/>
  <c r="B797" i="3" s="1"/>
  <c r="C797" i="3" a="1"/>
  <c r="C797" i="3" s="1"/>
  <c r="D797" i="3" a="1"/>
  <c r="D797" i="3" s="1"/>
  <c r="E797" i="3" a="1"/>
  <c r="E797" i="3" s="1"/>
  <c r="F797" i="3" a="1"/>
  <c r="F797" i="3" s="1"/>
  <c r="G797" i="3" a="1"/>
  <c r="G797" i="3" s="1"/>
  <c r="J797" i="3" a="1"/>
  <c r="J797" i="3" s="1"/>
  <c r="B798" i="3" a="1"/>
  <c r="B798" i="3" s="1"/>
  <c r="C798" i="3" a="1"/>
  <c r="C798" i="3" s="1"/>
  <c r="D798" i="3" a="1"/>
  <c r="D798" i="3" s="1"/>
  <c r="E798" i="3" a="1"/>
  <c r="E798" i="3" s="1"/>
  <c r="F798" i="3" a="1"/>
  <c r="F798" i="3" s="1"/>
  <c r="G798" i="3" a="1"/>
  <c r="G798" i="3" s="1"/>
  <c r="J798" i="3" a="1"/>
  <c r="J798" i="3" s="1"/>
  <c r="B799" i="3" a="1"/>
  <c r="B799" i="3" s="1"/>
  <c r="C799" i="3" a="1"/>
  <c r="C799" i="3" s="1"/>
  <c r="D799" i="3" a="1"/>
  <c r="D799" i="3" s="1"/>
  <c r="E799" i="3" a="1"/>
  <c r="E799" i="3" s="1"/>
  <c r="F799" i="3" a="1"/>
  <c r="F799" i="3" s="1"/>
  <c r="G799" i="3" a="1"/>
  <c r="G799" i="3" s="1"/>
  <c r="J799" i="3" a="1"/>
  <c r="J799" i="3" s="1"/>
  <c r="B800" i="3" a="1"/>
  <c r="B800" i="3" s="1"/>
  <c r="C800" i="3" a="1"/>
  <c r="C800" i="3" s="1"/>
  <c r="D800" i="3" a="1"/>
  <c r="D800" i="3" s="1"/>
  <c r="E800" i="3" a="1"/>
  <c r="E800" i="3" s="1"/>
  <c r="F800" i="3" a="1"/>
  <c r="F800" i="3" s="1"/>
  <c r="G800" i="3" a="1"/>
  <c r="G800" i="3" s="1"/>
  <c r="J800" i="3" a="1"/>
  <c r="J800" i="3" s="1"/>
  <c r="B801" i="3" a="1"/>
  <c r="B801" i="3" s="1"/>
  <c r="C801" i="3" a="1"/>
  <c r="C801" i="3" s="1"/>
  <c r="D801" i="3" a="1"/>
  <c r="D801" i="3" s="1"/>
  <c r="E801" i="3" a="1"/>
  <c r="E801" i="3" s="1"/>
  <c r="F801" i="3" a="1"/>
  <c r="F801" i="3" s="1"/>
  <c r="G801" i="3" a="1"/>
  <c r="G801" i="3" s="1"/>
  <c r="J801" i="3" a="1"/>
  <c r="J801" i="3" s="1"/>
  <c r="B802" i="3" a="1"/>
  <c r="B802" i="3" s="1"/>
  <c r="C802" i="3" a="1"/>
  <c r="C802" i="3" s="1"/>
  <c r="D802" i="3" a="1"/>
  <c r="D802" i="3" s="1"/>
  <c r="E802" i="3" a="1"/>
  <c r="E802" i="3" s="1"/>
  <c r="F802" i="3" a="1"/>
  <c r="F802" i="3" s="1"/>
  <c r="G802" i="3" a="1"/>
  <c r="G802" i="3" s="1"/>
  <c r="J802" i="3" a="1"/>
  <c r="J802" i="3" s="1"/>
  <c r="B803" i="3" a="1"/>
  <c r="B803" i="3" s="1"/>
  <c r="C803" i="3" a="1"/>
  <c r="C803" i="3" s="1"/>
  <c r="D803" i="3" a="1"/>
  <c r="D803" i="3" s="1"/>
  <c r="E803" i="3" a="1"/>
  <c r="E803" i="3" s="1"/>
  <c r="F803" i="3" a="1"/>
  <c r="F803" i="3" s="1"/>
  <c r="G803" i="3" a="1"/>
  <c r="G803" i="3" s="1"/>
  <c r="J803" i="3" a="1"/>
  <c r="J803" i="3" s="1"/>
  <c r="B804" i="3" a="1"/>
  <c r="B804" i="3" s="1"/>
  <c r="C804" i="3" a="1"/>
  <c r="C804" i="3" s="1"/>
  <c r="D804" i="3" a="1"/>
  <c r="D804" i="3" s="1"/>
  <c r="E804" i="3" a="1"/>
  <c r="E804" i="3" s="1"/>
  <c r="F804" i="3" a="1"/>
  <c r="F804" i="3" s="1"/>
  <c r="G804" i="3" a="1"/>
  <c r="G804" i="3" s="1"/>
  <c r="J804" i="3" a="1"/>
  <c r="J804" i="3" s="1"/>
  <c r="B805" i="3" a="1"/>
  <c r="B805" i="3" s="1"/>
  <c r="C805" i="3" a="1"/>
  <c r="C805" i="3" s="1"/>
  <c r="D805" i="3" a="1"/>
  <c r="D805" i="3" s="1"/>
  <c r="E805" i="3" a="1"/>
  <c r="E805" i="3" s="1"/>
  <c r="F805" i="3" a="1"/>
  <c r="F805" i="3" s="1"/>
  <c r="G805" i="3" a="1"/>
  <c r="G805" i="3" s="1"/>
  <c r="J805" i="3" a="1"/>
  <c r="J805" i="3" s="1"/>
  <c r="B806" i="3" a="1"/>
  <c r="B806" i="3" s="1"/>
  <c r="C806" i="3" a="1"/>
  <c r="C806" i="3" s="1"/>
  <c r="D806" i="3" a="1"/>
  <c r="D806" i="3" s="1"/>
  <c r="E806" i="3" a="1"/>
  <c r="E806" i="3" s="1"/>
  <c r="F806" i="3" a="1"/>
  <c r="F806" i="3" s="1"/>
  <c r="G806" i="3" a="1"/>
  <c r="G806" i="3" s="1"/>
  <c r="J806" i="3" a="1"/>
  <c r="J806" i="3" s="1"/>
  <c r="B807" i="3" a="1"/>
  <c r="B807" i="3" s="1"/>
  <c r="C807" i="3" a="1"/>
  <c r="C807" i="3" s="1"/>
  <c r="D807" i="3" a="1"/>
  <c r="D807" i="3" s="1"/>
  <c r="E807" i="3" a="1"/>
  <c r="E807" i="3" s="1"/>
  <c r="F807" i="3" a="1"/>
  <c r="F807" i="3" s="1"/>
  <c r="G807" i="3" a="1"/>
  <c r="G807" i="3" s="1"/>
  <c r="J807" i="3" a="1"/>
  <c r="J807" i="3" s="1"/>
  <c r="B808" i="3" a="1"/>
  <c r="B808" i="3" s="1"/>
  <c r="C808" i="3" a="1"/>
  <c r="C808" i="3" s="1"/>
  <c r="D808" i="3" a="1"/>
  <c r="D808" i="3" s="1"/>
  <c r="E808" i="3" a="1"/>
  <c r="E808" i="3" s="1"/>
  <c r="F808" i="3" a="1"/>
  <c r="F808" i="3" s="1"/>
  <c r="G808" i="3" a="1"/>
  <c r="G808" i="3" s="1"/>
  <c r="J808" i="3" a="1"/>
  <c r="J808" i="3" s="1"/>
  <c r="B809" i="3" a="1"/>
  <c r="B809" i="3" s="1"/>
  <c r="C809" i="3" a="1"/>
  <c r="C809" i="3" s="1"/>
  <c r="D809" i="3" a="1"/>
  <c r="D809" i="3" s="1"/>
  <c r="E809" i="3" a="1"/>
  <c r="E809" i="3" s="1"/>
  <c r="F809" i="3" a="1"/>
  <c r="F809" i="3" s="1"/>
  <c r="G809" i="3" a="1"/>
  <c r="G809" i="3" s="1"/>
  <c r="J809" i="3" a="1"/>
  <c r="J809" i="3" s="1"/>
  <c r="B810" i="3" a="1"/>
  <c r="B810" i="3" s="1"/>
  <c r="C810" i="3" a="1"/>
  <c r="C810" i="3" s="1"/>
  <c r="D810" i="3" a="1"/>
  <c r="D810" i="3" s="1"/>
  <c r="E810" i="3" a="1"/>
  <c r="E810" i="3" s="1"/>
  <c r="F810" i="3" a="1"/>
  <c r="F810" i="3" s="1"/>
  <c r="G810" i="3" a="1"/>
  <c r="G810" i="3" s="1"/>
  <c r="J810" i="3" a="1"/>
  <c r="J810" i="3" s="1"/>
  <c r="B811" i="3" a="1"/>
  <c r="B811" i="3" s="1"/>
  <c r="C811" i="3" a="1"/>
  <c r="C811" i="3" s="1"/>
  <c r="D811" i="3" a="1"/>
  <c r="D811" i="3" s="1"/>
  <c r="E811" i="3" a="1"/>
  <c r="E811" i="3" s="1"/>
  <c r="F811" i="3" a="1"/>
  <c r="F811" i="3" s="1"/>
  <c r="G811" i="3" a="1"/>
  <c r="G811" i="3" s="1"/>
  <c r="J811" i="3" a="1"/>
  <c r="J811" i="3" s="1"/>
  <c r="B812" i="3" a="1"/>
  <c r="B812" i="3" s="1"/>
  <c r="C812" i="3" a="1"/>
  <c r="C812" i="3" s="1"/>
  <c r="D812" i="3" a="1"/>
  <c r="D812" i="3" s="1"/>
  <c r="E812" i="3" a="1"/>
  <c r="E812" i="3" s="1"/>
  <c r="F812" i="3" a="1"/>
  <c r="F812" i="3" s="1"/>
  <c r="G812" i="3" a="1"/>
  <c r="G812" i="3" s="1"/>
  <c r="J812" i="3" a="1"/>
  <c r="J812" i="3" s="1"/>
  <c r="B813" i="3" a="1"/>
  <c r="B813" i="3" s="1"/>
  <c r="C813" i="3" a="1"/>
  <c r="C813" i="3" s="1"/>
  <c r="D813" i="3" a="1"/>
  <c r="D813" i="3" s="1"/>
  <c r="E813" i="3" a="1"/>
  <c r="E813" i="3" s="1"/>
  <c r="F813" i="3" a="1"/>
  <c r="F813" i="3" s="1"/>
  <c r="G813" i="3" a="1"/>
  <c r="G813" i="3" s="1"/>
  <c r="J813" i="3" a="1"/>
  <c r="J813" i="3" s="1"/>
  <c r="B814" i="3" a="1"/>
  <c r="B814" i="3" s="1"/>
  <c r="C814" i="3" a="1"/>
  <c r="C814" i="3" s="1"/>
  <c r="D814" i="3" a="1"/>
  <c r="D814" i="3" s="1"/>
  <c r="E814" i="3" a="1"/>
  <c r="E814" i="3" s="1"/>
  <c r="F814" i="3" a="1"/>
  <c r="F814" i="3" s="1"/>
  <c r="G814" i="3" a="1"/>
  <c r="G814" i="3" s="1"/>
  <c r="J814" i="3" a="1"/>
  <c r="J814" i="3" s="1"/>
  <c r="B815" i="3" a="1"/>
  <c r="B815" i="3" s="1"/>
  <c r="C815" i="3" a="1"/>
  <c r="C815" i="3" s="1"/>
  <c r="D815" i="3" a="1"/>
  <c r="D815" i="3" s="1"/>
  <c r="E815" i="3" a="1"/>
  <c r="E815" i="3" s="1"/>
  <c r="F815" i="3" a="1"/>
  <c r="F815" i="3" s="1"/>
  <c r="G815" i="3" a="1"/>
  <c r="G815" i="3" s="1"/>
  <c r="J815" i="3" a="1"/>
  <c r="J815" i="3" s="1"/>
  <c r="B816" i="3" a="1"/>
  <c r="B816" i="3" s="1"/>
  <c r="C816" i="3" a="1"/>
  <c r="C816" i="3" s="1"/>
  <c r="D816" i="3" a="1"/>
  <c r="D816" i="3" s="1"/>
  <c r="E816" i="3" a="1"/>
  <c r="E816" i="3" s="1"/>
  <c r="F816" i="3" a="1"/>
  <c r="F816" i="3" s="1"/>
  <c r="G816" i="3" a="1"/>
  <c r="G816" i="3" s="1"/>
  <c r="J816" i="3" a="1"/>
  <c r="J816" i="3" s="1"/>
  <c r="B817" i="3" a="1"/>
  <c r="B817" i="3" s="1"/>
  <c r="C817" i="3" a="1"/>
  <c r="C817" i="3" s="1"/>
  <c r="D817" i="3" a="1"/>
  <c r="D817" i="3" s="1"/>
  <c r="E817" i="3" a="1"/>
  <c r="E817" i="3" s="1"/>
  <c r="F817" i="3" a="1"/>
  <c r="F817" i="3" s="1"/>
  <c r="G817" i="3" a="1"/>
  <c r="G817" i="3" s="1"/>
  <c r="J817" i="3" a="1"/>
  <c r="J817" i="3" s="1"/>
  <c r="B818" i="3" a="1"/>
  <c r="B818" i="3" s="1"/>
  <c r="C818" i="3" a="1"/>
  <c r="C818" i="3" s="1"/>
  <c r="D818" i="3" a="1"/>
  <c r="D818" i="3" s="1"/>
  <c r="E818" i="3" a="1"/>
  <c r="E818" i="3" s="1"/>
  <c r="F818" i="3" a="1"/>
  <c r="F818" i="3" s="1"/>
  <c r="G818" i="3" a="1"/>
  <c r="G818" i="3" s="1"/>
  <c r="J818" i="3" a="1"/>
  <c r="J818" i="3" s="1"/>
  <c r="B819" i="3" a="1"/>
  <c r="B819" i="3" s="1"/>
  <c r="C819" i="3" a="1"/>
  <c r="C819" i="3" s="1"/>
  <c r="D819" i="3" a="1"/>
  <c r="D819" i="3" s="1"/>
  <c r="E819" i="3" a="1"/>
  <c r="E819" i="3" s="1"/>
  <c r="F819" i="3" a="1"/>
  <c r="F819" i="3" s="1"/>
  <c r="G819" i="3" a="1"/>
  <c r="G819" i="3" s="1"/>
  <c r="J819" i="3" a="1"/>
  <c r="J819" i="3" s="1"/>
  <c r="B820" i="3" a="1"/>
  <c r="B820" i="3" s="1"/>
  <c r="C820" i="3" a="1"/>
  <c r="C820" i="3" s="1"/>
  <c r="D820" i="3" a="1"/>
  <c r="D820" i="3" s="1"/>
  <c r="E820" i="3" a="1"/>
  <c r="E820" i="3" s="1"/>
  <c r="F820" i="3" a="1"/>
  <c r="F820" i="3" s="1"/>
  <c r="G820" i="3" a="1"/>
  <c r="G820" i="3" s="1"/>
  <c r="J820" i="3" a="1"/>
  <c r="J820" i="3" s="1"/>
  <c r="B821" i="3" a="1"/>
  <c r="B821" i="3" s="1"/>
  <c r="C821" i="3" a="1"/>
  <c r="C821" i="3" s="1"/>
  <c r="D821" i="3" a="1"/>
  <c r="D821" i="3" s="1"/>
  <c r="E821" i="3" a="1"/>
  <c r="E821" i="3" s="1"/>
  <c r="F821" i="3" a="1"/>
  <c r="F821" i="3" s="1"/>
  <c r="G821" i="3" a="1"/>
  <c r="G821" i="3" s="1"/>
  <c r="J821" i="3" a="1"/>
  <c r="J821" i="3" s="1"/>
  <c r="B822" i="3" a="1"/>
  <c r="B822" i="3" s="1"/>
  <c r="C822" i="3" a="1"/>
  <c r="C822" i="3" s="1"/>
  <c r="D822" i="3" a="1"/>
  <c r="D822" i="3" s="1"/>
  <c r="E822" i="3" a="1"/>
  <c r="E822" i="3" s="1"/>
  <c r="F822" i="3" a="1"/>
  <c r="F822" i="3" s="1"/>
  <c r="G822" i="3" a="1"/>
  <c r="G822" i="3" s="1"/>
  <c r="J822" i="3" a="1"/>
  <c r="J822" i="3" s="1"/>
  <c r="B823" i="3" a="1"/>
  <c r="B823" i="3" s="1"/>
  <c r="C823" i="3" a="1"/>
  <c r="C823" i="3" s="1"/>
  <c r="D823" i="3" a="1"/>
  <c r="D823" i="3" s="1"/>
  <c r="E823" i="3" a="1"/>
  <c r="E823" i="3" s="1"/>
  <c r="F823" i="3" a="1"/>
  <c r="F823" i="3" s="1"/>
  <c r="G823" i="3" a="1"/>
  <c r="G823" i="3" s="1"/>
  <c r="J823" i="3" a="1"/>
  <c r="J823" i="3" s="1"/>
  <c r="B824" i="3" a="1"/>
  <c r="B824" i="3" s="1"/>
  <c r="C824" i="3" a="1"/>
  <c r="C824" i="3" s="1"/>
  <c r="D824" i="3" a="1"/>
  <c r="D824" i="3" s="1"/>
  <c r="E824" i="3" a="1"/>
  <c r="E824" i="3" s="1"/>
  <c r="F824" i="3" a="1"/>
  <c r="F824" i="3" s="1"/>
  <c r="G824" i="3" a="1"/>
  <c r="G824" i="3" s="1"/>
  <c r="J824" i="3" a="1"/>
  <c r="J824" i="3" s="1"/>
  <c r="B825" i="3" a="1"/>
  <c r="B825" i="3" s="1"/>
  <c r="C825" i="3" a="1"/>
  <c r="C825" i="3" s="1"/>
  <c r="D825" i="3" a="1"/>
  <c r="D825" i="3" s="1"/>
  <c r="E825" i="3" a="1"/>
  <c r="E825" i="3" s="1"/>
  <c r="F825" i="3" a="1"/>
  <c r="F825" i="3" s="1"/>
  <c r="G825" i="3" a="1"/>
  <c r="G825" i="3" s="1"/>
  <c r="J825" i="3" a="1"/>
  <c r="J825" i="3" s="1"/>
  <c r="B826" i="3" a="1"/>
  <c r="B826" i="3" s="1"/>
  <c r="C826" i="3" a="1"/>
  <c r="C826" i="3" s="1"/>
  <c r="D826" i="3" a="1"/>
  <c r="D826" i="3" s="1"/>
  <c r="E826" i="3" a="1"/>
  <c r="E826" i="3" s="1"/>
  <c r="F826" i="3" a="1"/>
  <c r="F826" i="3" s="1"/>
  <c r="G826" i="3" a="1"/>
  <c r="G826" i="3" s="1"/>
  <c r="J826" i="3" a="1"/>
  <c r="J826" i="3" s="1"/>
  <c r="B827" i="3" a="1"/>
  <c r="B827" i="3" s="1"/>
  <c r="C827" i="3" a="1"/>
  <c r="C827" i="3" s="1"/>
  <c r="D827" i="3" a="1"/>
  <c r="D827" i="3" s="1"/>
  <c r="E827" i="3" a="1"/>
  <c r="E827" i="3" s="1"/>
  <c r="F827" i="3" a="1"/>
  <c r="F827" i="3" s="1"/>
  <c r="G827" i="3" a="1"/>
  <c r="G827" i="3" s="1"/>
  <c r="J827" i="3" a="1"/>
  <c r="J827" i="3" s="1"/>
  <c r="B828" i="3" a="1"/>
  <c r="B828" i="3" s="1"/>
  <c r="C828" i="3" a="1"/>
  <c r="C828" i="3" s="1"/>
  <c r="D828" i="3" a="1"/>
  <c r="D828" i="3" s="1"/>
  <c r="E828" i="3" a="1"/>
  <c r="E828" i="3" s="1"/>
  <c r="F828" i="3" a="1"/>
  <c r="F828" i="3" s="1"/>
  <c r="G828" i="3" a="1"/>
  <c r="G828" i="3" s="1"/>
  <c r="J828" i="3" a="1"/>
  <c r="J828" i="3" s="1"/>
  <c r="B829" i="3" a="1"/>
  <c r="B829" i="3" s="1"/>
  <c r="C829" i="3" a="1"/>
  <c r="C829" i="3" s="1"/>
  <c r="D829" i="3" a="1"/>
  <c r="D829" i="3" s="1"/>
  <c r="E829" i="3" a="1"/>
  <c r="E829" i="3" s="1"/>
  <c r="F829" i="3" a="1"/>
  <c r="F829" i="3" s="1"/>
  <c r="G829" i="3" a="1"/>
  <c r="G829" i="3" s="1"/>
  <c r="J829" i="3" a="1"/>
  <c r="J829" i="3" s="1"/>
  <c r="B830" i="3" a="1"/>
  <c r="B830" i="3" s="1"/>
  <c r="C830" i="3" a="1"/>
  <c r="C830" i="3" s="1"/>
  <c r="D830" i="3" a="1"/>
  <c r="D830" i="3" s="1"/>
  <c r="E830" i="3" a="1"/>
  <c r="E830" i="3" s="1"/>
  <c r="F830" i="3" a="1"/>
  <c r="F830" i="3" s="1"/>
  <c r="G830" i="3" a="1"/>
  <c r="G830" i="3" s="1"/>
  <c r="J830" i="3" a="1"/>
  <c r="J830" i="3" s="1"/>
  <c r="B831" i="3" a="1"/>
  <c r="B831" i="3" s="1"/>
  <c r="C831" i="3" a="1"/>
  <c r="C831" i="3" s="1"/>
  <c r="D831" i="3" a="1"/>
  <c r="D831" i="3" s="1"/>
  <c r="E831" i="3" a="1"/>
  <c r="E831" i="3" s="1"/>
  <c r="F831" i="3" a="1"/>
  <c r="F831" i="3" s="1"/>
  <c r="G831" i="3" a="1"/>
  <c r="G831" i="3" s="1"/>
  <c r="J831" i="3" a="1"/>
  <c r="J831" i="3" s="1"/>
  <c r="B832" i="3" a="1"/>
  <c r="B832" i="3" s="1"/>
  <c r="C832" i="3" a="1"/>
  <c r="C832" i="3" s="1"/>
  <c r="D832" i="3" a="1"/>
  <c r="D832" i="3" s="1"/>
  <c r="E832" i="3" a="1"/>
  <c r="E832" i="3" s="1"/>
  <c r="F832" i="3" a="1"/>
  <c r="F832" i="3" s="1"/>
  <c r="G832" i="3" a="1"/>
  <c r="G832" i="3" s="1"/>
  <c r="J832" i="3" a="1"/>
  <c r="J832" i="3" s="1"/>
  <c r="B833" i="3" a="1"/>
  <c r="B833" i="3" s="1"/>
  <c r="C833" i="3" a="1"/>
  <c r="C833" i="3" s="1"/>
  <c r="D833" i="3" a="1"/>
  <c r="D833" i="3" s="1"/>
  <c r="E833" i="3" a="1"/>
  <c r="E833" i="3" s="1"/>
  <c r="F833" i="3" a="1"/>
  <c r="F833" i="3" s="1"/>
  <c r="G833" i="3" a="1"/>
  <c r="G833" i="3" s="1"/>
  <c r="J833" i="3" a="1"/>
  <c r="J833" i="3" s="1"/>
  <c r="B834" i="3" a="1"/>
  <c r="B834" i="3" s="1"/>
  <c r="C834" i="3" a="1"/>
  <c r="C834" i="3" s="1"/>
  <c r="D834" i="3" a="1"/>
  <c r="D834" i="3" s="1"/>
  <c r="E834" i="3" a="1"/>
  <c r="E834" i="3" s="1"/>
  <c r="F834" i="3" a="1"/>
  <c r="F834" i="3" s="1"/>
  <c r="G834" i="3" a="1"/>
  <c r="G834" i="3" s="1"/>
  <c r="J834" i="3" a="1"/>
  <c r="J834" i="3" s="1"/>
  <c r="B835" i="3" a="1"/>
  <c r="B835" i="3" s="1"/>
  <c r="C835" i="3" a="1"/>
  <c r="C835" i="3" s="1"/>
  <c r="D835" i="3" a="1"/>
  <c r="D835" i="3" s="1"/>
  <c r="E835" i="3" a="1"/>
  <c r="E835" i="3" s="1"/>
  <c r="F835" i="3" a="1"/>
  <c r="F835" i="3" s="1"/>
  <c r="G835" i="3" a="1"/>
  <c r="G835" i="3" s="1"/>
  <c r="J835" i="3" a="1"/>
  <c r="J835" i="3" s="1"/>
  <c r="B836" i="3" a="1"/>
  <c r="B836" i="3" s="1"/>
  <c r="C836" i="3" a="1"/>
  <c r="C836" i="3" s="1"/>
  <c r="D836" i="3" a="1"/>
  <c r="D836" i="3" s="1"/>
  <c r="E836" i="3" a="1"/>
  <c r="E836" i="3" s="1"/>
  <c r="F836" i="3" a="1"/>
  <c r="F836" i="3" s="1"/>
  <c r="G836" i="3" a="1"/>
  <c r="G836" i="3" s="1"/>
  <c r="J836" i="3" a="1"/>
  <c r="J836" i="3" s="1"/>
  <c r="B837" i="3" a="1"/>
  <c r="B837" i="3" s="1"/>
  <c r="C837" i="3" a="1"/>
  <c r="C837" i="3" s="1"/>
  <c r="D837" i="3" a="1"/>
  <c r="D837" i="3" s="1"/>
  <c r="E837" i="3" a="1"/>
  <c r="E837" i="3" s="1"/>
  <c r="F837" i="3" a="1"/>
  <c r="F837" i="3" s="1"/>
  <c r="G837" i="3" a="1"/>
  <c r="G837" i="3" s="1"/>
  <c r="J837" i="3" a="1"/>
  <c r="J837" i="3" s="1"/>
  <c r="B838" i="3" a="1"/>
  <c r="B838" i="3" s="1"/>
  <c r="C838" i="3" a="1"/>
  <c r="C838" i="3" s="1"/>
  <c r="D838" i="3" a="1"/>
  <c r="D838" i="3" s="1"/>
  <c r="E838" i="3" a="1"/>
  <c r="E838" i="3" s="1"/>
  <c r="F838" i="3" a="1"/>
  <c r="F838" i="3" s="1"/>
  <c r="G838" i="3" a="1"/>
  <c r="G838" i="3" s="1"/>
  <c r="J838" i="3" a="1"/>
  <c r="J838" i="3" s="1"/>
  <c r="B839" i="3" a="1"/>
  <c r="B839" i="3" s="1"/>
  <c r="C839" i="3" a="1"/>
  <c r="C839" i="3" s="1"/>
  <c r="D839" i="3" a="1"/>
  <c r="D839" i="3" s="1"/>
  <c r="E839" i="3" a="1"/>
  <c r="E839" i="3" s="1"/>
  <c r="F839" i="3" a="1"/>
  <c r="F839" i="3" s="1"/>
  <c r="G839" i="3" a="1"/>
  <c r="G839" i="3" s="1"/>
  <c r="J839" i="3" a="1"/>
  <c r="J839" i="3" s="1"/>
  <c r="B840" i="3" a="1"/>
  <c r="B840" i="3" s="1"/>
  <c r="C840" i="3" a="1"/>
  <c r="C840" i="3" s="1"/>
  <c r="D840" i="3" a="1"/>
  <c r="D840" i="3" s="1"/>
  <c r="E840" i="3" a="1"/>
  <c r="E840" i="3" s="1"/>
  <c r="F840" i="3" a="1"/>
  <c r="F840" i="3" s="1"/>
  <c r="G840" i="3" a="1"/>
  <c r="G840" i="3" s="1"/>
  <c r="J840" i="3" a="1"/>
  <c r="J840" i="3" s="1"/>
  <c r="B841" i="3" a="1"/>
  <c r="B841" i="3" s="1"/>
  <c r="C841" i="3" a="1"/>
  <c r="C841" i="3" s="1"/>
  <c r="D841" i="3" a="1"/>
  <c r="D841" i="3" s="1"/>
  <c r="E841" i="3" a="1"/>
  <c r="E841" i="3" s="1"/>
  <c r="F841" i="3" a="1"/>
  <c r="F841" i="3" s="1"/>
  <c r="G841" i="3" a="1"/>
  <c r="G841" i="3" s="1"/>
  <c r="J841" i="3" a="1"/>
  <c r="J841" i="3" s="1"/>
  <c r="B842" i="3" a="1"/>
  <c r="B842" i="3" s="1"/>
  <c r="C842" i="3" a="1"/>
  <c r="C842" i="3" s="1"/>
  <c r="D842" i="3" a="1"/>
  <c r="D842" i="3" s="1"/>
  <c r="E842" i="3" a="1"/>
  <c r="E842" i="3" s="1"/>
  <c r="F842" i="3" a="1"/>
  <c r="F842" i="3" s="1"/>
  <c r="G842" i="3" a="1"/>
  <c r="G842" i="3" s="1"/>
  <c r="J842" i="3" a="1"/>
  <c r="J842" i="3" s="1"/>
  <c r="B843" i="3" a="1"/>
  <c r="B843" i="3" s="1"/>
  <c r="C843" i="3" a="1"/>
  <c r="C843" i="3" s="1"/>
  <c r="D843" i="3" a="1"/>
  <c r="D843" i="3" s="1"/>
  <c r="E843" i="3" a="1"/>
  <c r="E843" i="3" s="1"/>
  <c r="F843" i="3" a="1"/>
  <c r="F843" i="3" s="1"/>
  <c r="G843" i="3" a="1"/>
  <c r="G843" i="3" s="1"/>
  <c r="J843" i="3" a="1"/>
  <c r="J843" i="3" s="1"/>
  <c r="B844" i="3" a="1"/>
  <c r="B844" i="3" s="1"/>
  <c r="C844" i="3" a="1"/>
  <c r="C844" i="3" s="1"/>
  <c r="D844" i="3" a="1"/>
  <c r="D844" i="3" s="1"/>
  <c r="E844" i="3" a="1"/>
  <c r="E844" i="3" s="1"/>
  <c r="F844" i="3" a="1"/>
  <c r="F844" i="3" s="1"/>
  <c r="G844" i="3" a="1"/>
  <c r="G844" i="3" s="1"/>
  <c r="J844" i="3" a="1"/>
  <c r="J844" i="3" s="1"/>
  <c r="B845" i="3" a="1"/>
  <c r="B845" i="3" s="1"/>
  <c r="C845" i="3" a="1"/>
  <c r="C845" i="3" s="1"/>
  <c r="D845" i="3" a="1"/>
  <c r="D845" i="3" s="1"/>
  <c r="E845" i="3" a="1"/>
  <c r="E845" i="3" s="1"/>
  <c r="F845" i="3" a="1"/>
  <c r="F845" i="3" s="1"/>
  <c r="G845" i="3" a="1"/>
  <c r="G845" i="3" s="1"/>
  <c r="J845" i="3" a="1"/>
  <c r="J845" i="3" s="1"/>
  <c r="B846" i="3" a="1"/>
  <c r="B846" i="3" s="1"/>
  <c r="C846" i="3" a="1"/>
  <c r="C846" i="3" s="1"/>
  <c r="D846" i="3" a="1"/>
  <c r="D846" i="3" s="1"/>
  <c r="E846" i="3" a="1"/>
  <c r="E846" i="3" s="1"/>
  <c r="F846" i="3" a="1"/>
  <c r="F846" i="3" s="1"/>
  <c r="G846" i="3" a="1"/>
  <c r="G846" i="3" s="1"/>
  <c r="J846" i="3" a="1"/>
  <c r="J846" i="3" s="1"/>
  <c r="B847" i="3" a="1"/>
  <c r="B847" i="3" s="1"/>
  <c r="C847" i="3" a="1"/>
  <c r="C847" i="3" s="1"/>
  <c r="D847" i="3" a="1"/>
  <c r="D847" i="3" s="1"/>
  <c r="E847" i="3" a="1"/>
  <c r="E847" i="3" s="1"/>
  <c r="F847" i="3" a="1"/>
  <c r="F847" i="3" s="1"/>
  <c r="G847" i="3" a="1"/>
  <c r="G847" i="3" s="1"/>
  <c r="J847" i="3" a="1"/>
  <c r="J847" i="3" s="1"/>
  <c r="B848" i="3" a="1"/>
  <c r="B848" i="3" s="1"/>
  <c r="C848" i="3" a="1"/>
  <c r="C848" i="3" s="1"/>
  <c r="D848" i="3" a="1"/>
  <c r="D848" i="3" s="1"/>
  <c r="E848" i="3" a="1"/>
  <c r="E848" i="3" s="1"/>
  <c r="F848" i="3" a="1"/>
  <c r="F848" i="3" s="1"/>
  <c r="G848" i="3" a="1"/>
  <c r="G848" i="3" s="1"/>
  <c r="J848" i="3" a="1"/>
  <c r="J848" i="3" s="1"/>
  <c r="B849" i="3" a="1"/>
  <c r="B849" i="3" s="1"/>
  <c r="C849" i="3" a="1"/>
  <c r="C849" i="3" s="1"/>
  <c r="D849" i="3" a="1"/>
  <c r="D849" i="3" s="1"/>
  <c r="E849" i="3" a="1"/>
  <c r="E849" i="3" s="1"/>
  <c r="F849" i="3" a="1"/>
  <c r="F849" i="3" s="1"/>
  <c r="G849" i="3" a="1"/>
  <c r="G849" i="3" s="1"/>
  <c r="J849" i="3" a="1"/>
  <c r="J849" i="3" s="1"/>
  <c r="B850" i="3" a="1"/>
  <c r="B850" i="3" s="1"/>
  <c r="C850" i="3" a="1"/>
  <c r="C850" i="3" s="1"/>
  <c r="D850" i="3" a="1"/>
  <c r="D850" i="3" s="1"/>
  <c r="E850" i="3" a="1"/>
  <c r="E850" i="3" s="1"/>
  <c r="F850" i="3" a="1"/>
  <c r="F850" i="3" s="1"/>
  <c r="G850" i="3" a="1"/>
  <c r="G850" i="3" s="1"/>
  <c r="J850" i="3" a="1"/>
  <c r="J850" i="3" s="1"/>
  <c r="B851" i="3" a="1"/>
  <c r="B851" i="3" s="1"/>
  <c r="C851" i="3" a="1"/>
  <c r="C851" i="3" s="1"/>
  <c r="D851" i="3" a="1"/>
  <c r="D851" i="3" s="1"/>
  <c r="E851" i="3" a="1"/>
  <c r="E851" i="3" s="1"/>
  <c r="F851" i="3" a="1"/>
  <c r="F851" i="3" s="1"/>
  <c r="G851" i="3" a="1"/>
  <c r="G851" i="3" s="1"/>
  <c r="J851" i="3" a="1"/>
  <c r="J851" i="3" s="1"/>
  <c r="B852" i="3" a="1"/>
  <c r="B852" i="3" s="1"/>
  <c r="C852" i="3" a="1"/>
  <c r="C852" i="3" s="1"/>
  <c r="D852" i="3" a="1"/>
  <c r="D852" i="3" s="1"/>
  <c r="E852" i="3" a="1"/>
  <c r="E852" i="3" s="1"/>
  <c r="F852" i="3" a="1"/>
  <c r="F852" i="3" s="1"/>
  <c r="G852" i="3" a="1"/>
  <c r="G852" i="3" s="1"/>
  <c r="J852" i="3" a="1"/>
  <c r="J852" i="3" s="1"/>
  <c r="B853" i="3" a="1"/>
  <c r="B853" i="3" s="1"/>
  <c r="C853" i="3" a="1"/>
  <c r="C853" i="3" s="1"/>
  <c r="D853" i="3" a="1"/>
  <c r="D853" i="3" s="1"/>
  <c r="E853" i="3" a="1"/>
  <c r="E853" i="3" s="1"/>
  <c r="F853" i="3" a="1"/>
  <c r="F853" i="3" s="1"/>
  <c r="G853" i="3" a="1"/>
  <c r="G853" i="3" s="1"/>
  <c r="J853" i="3" a="1"/>
  <c r="J853" i="3" s="1"/>
  <c r="B854" i="3" a="1"/>
  <c r="B854" i="3" s="1"/>
  <c r="C854" i="3" a="1"/>
  <c r="C854" i="3" s="1"/>
  <c r="D854" i="3" a="1"/>
  <c r="D854" i="3" s="1"/>
  <c r="E854" i="3" a="1"/>
  <c r="E854" i="3" s="1"/>
  <c r="F854" i="3" a="1"/>
  <c r="F854" i="3" s="1"/>
  <c r="G854" i="3" a="1"/>
  <c r="G854" i="3" s="1"/>
  <c r="J854" i="3" a="1"/>
  <c r="J854" i="3" s="1"/>
  <c r="B855" i="3" a="1"/>
  <c r="B855" i="3" s="1"/>
  <c r="C855" i="3" a="1"/>
  <c r="C855" i="3" s="1"/>
  <c r="D855" i="3" a="1"/>
  <c r="D855" i="3" s="1"/>
  <c r="E855" i="3" a="1"/>
  <c r="E855" i="3" s="1"/>
  <c r="F855" i="3" a="1"/>
  <c r="F855" i="3" s="1"/>
  <c r="G855" i="3" a="1"/>
  <c r="G855" i="3" s="1"/>
  <c r="J855" i="3" a="1"/>
  <c r="J855" i="3" s="1"/>
  <c r="B856" i="3" a="1"/>
  <c r="B856" i="3" s="1"/>
  <c r="C856" i="3" a="1"/>
  <c r="C856" i="3" s="1"/>
  <c r="D856" i="3" a="1"/>
  <c r="D856" i="3" s="1"/>
  <c r="E856" i="3" a="1"/>
  <c r="E856" i="3" s="1"/>
  <c r="F856" i="3" a="1"/>
  <c r="F856" i="3" s="1"/>
  <c r="G856" i="3" a="1"/>
  <c r="G856" i="3" s="1"/>
  <c r="J856" i="3" a="1"/>
  <c r="J856" i="3" s="1"/>
  <c r="B857" i="3" a="1"/>
  <c r="B857" i="3" s="1"/>
  <c r="C857" i="3" a="1"/>
  <c r="C857" i="3" s="1"/>
  <c r="D857" i="3" a="1"/>
  <c r="D857" i="3" s="1"/>
  <c r="E857" i="3" a="1"/>
  <c r="E857" i="3" s="1"/>
  <c r="F857" i="3" a="1"/>
  <c r="F857" i="3" s="1"/>
  <c r="G857" i="3" a="1"/>
  <c r="G857" i="3" s="1"/>
  <c r="J857" i="3" a="1"/>
  <c r="J857" i="3" s="1"/>
  <c r="B858" i="3" a="1"/>
  <c r="B858" i="3" s="1"/>
  <c r="C858" i="3" a="1"/>
  <c r="C858" i="3" s="1"/>
  <c r="D858" i="3" a="1"/>
  <c r="D858" i="3" s="1"/>
  <c r="E858" i="3" a="1"/>
  <c r="E858" i="3" s="1"/>
  <c r="F858" i="3" a="1"/>
  <c r="F858" i="3" s="1"/>
  <c r="G858" i="3" a="1"/>
  <c r="G858" i="3" s="1"/>
  <c r="J858" i="3" a="1"/>
  <c r="J858" i="3" s="1"/>
  <c r="B859" i="3" a="1"/>
  <c r="B859" i="3" s="1"/>
  <c r="C859" i="3" a="1"/>
  <c r="C859" i="3" s="1"/>
  <c r="D859" i="3" a="1"/>
  <c r="D859" i="3" s="1"/>
  <c r="E859" i="3" a="1"/>
  <c r="E859" i="3" s="1"/>
  <c r="F859" i="3" a="1"/>
  <c r="F859" i="3" s="1"/>
  <c r="G859" i="3" a="1"/>
  <c r="G859" i="3" s="1"/>
  <c r="J859" i="3" a="1"/>
  <c r="J859" i="3" s="1"/>
  <c r="B860" i="3" a="1"/>
  <c r="B860" i="3" s="1"/>
  <c r="C860" i="3" a="1"/>
  <c r="C860" i="3" s="1"/>
  <c r="D860" i="3" a="1"/>
  <c r="D860" i="3" s="1"/>
  <c r="E860" i="3" a="1"/>
  <c r="E860" i="3" s="1"/>
  <c r="F860" i="3" a="1"/>
  <c r="F860" i="3" s="1"/>
  <c r="G860" i="3" a="1"/>
  <c r="G860" i="3" s="1"/>
  <c r="J860" i="3" a="1"/>
  <c r="J860" i="3" s="1"/>
  <c r="B861" i="3" a="1"/>
  <c r="B861" i="3" s="1"/>
  <c r="C861" i="3" a="1"/>
  <c r="C861" i="3" s="1"/>
  <c r="D861" i="3" a="1"/>
  <c r="D861" i="3" s="1"/>
  <c r="E861" i="3" a="1"/>
  <c r="E861" i="3" s="1"/>
  <c r="F861" i="3" a="1"/>
  <c r="F861" i="3" s="1"/>
  <c r="G861" i="3" a="1"/>
  <c r="G861" i="3" s="1"/>
  <c r="J861" i="3" a="1"/>
  <c r="J861" i="3" s="1"/>
  <c r="B862" i="3" a="1"/>
  <c r="B862" i="3" s="1"/>
  <c r="C862" i="3" a="1"/>
  <c r="C862" i="3" s="1"/>
  <c r="D862" i="3" a="1"/>
  <c r="D862" i="3" s="1"/>
  <c r="E862" i="3" a="1"/>
  <c r="E862" i="3" s="1"/>
  <c r="F862" i="3" a="1"/>
  <c r="F862" i="3" s="1"/>
  <c r="G862" i="3" a="1"/>
  <c r="G862" i="3" s="1"/>
  <c r="J862" i="3" a="1"/>
  <c r="J862" i="3" s="1"/>
  <c r="B863" i="3" a="1"/>
  <c r="B863" i="3" s="1"/>
  <c r="C863" i="3" a="1"/>
  <c r="C863" i="3" s="1"/>
  <c r="D863" i="3" a="1"/>
  <c r="D863" i="3" s="1"/>
  <c r="E863" i="3" a="1"/>
  <c r="E863" i="3" s="1"/>
  <c r="F863" i="3" a="1"/>
  <c r="F863" i="3" s="1"/>
  <c r="G863" i="3" a="1"/>
  <c r="G863" i="3" s="1"/>
  <c r="J863" i="3" a="1"/>
  <c r="J863" i="3" s="1"/>
  <c r="B864" i="3" a="1"/>
  <c r="B864" i="3" s="1"/>
  <c r="C864" i="3" a="1"/>
  <c r="C864" i="3" s="1"/>
  <c r="D864" i="3" a="1"/>
  <c r="D864" i="3" s="1"/>
  <c r="E864" i="3" a="1"/>
  <c r="E864" i="3" s="1"/>
  <c r="F864" i="3" a="1"/>
  <c r="F864" i="3" s="1"/>
  <c r="G864" i="3" a="1"/>
  <c r="G864" i="3" s="1"/>
  <c r="J864" i="3" a="1"/>
  <c r="J864" i="3" s="1"/>
  <c r="B865" i="3" a="1"/>
  <c r="B865" i="3" s="1"/>
  <c r="C865" i="3" a="1"/>
  <c r="C865" i="3" s="1"/>
  <c r="D865" i="3" a="1"/>
  <c r="D865" i="3" s="1"/>
  <c r="E865" i="3" a="1"/>
  <c r="E865" i="3" s="1"/>
  <c r="F865" i="3" a="1"/>
  <c r="F865" i="3" s="1"/>
  <c r="G865" i="3" a="1"/>
  <c r="G865" i="3" s="1"/>
  <c r="J865" i="3" a="1"/>
  <c r="J865" i="3" s="1"/>
  <c r="B866" i="3" a="1"/>
  <c r="B866" i="3" s="1"/>
  <c r="C866" i="3" a="1"/>
  <c r="C866" i="3" s="1"/>
  <c r="D866" i="3" a="1"/>
  <c r="D866" i="3" s="1"/>
  <c r="E866" i="3" a="1"/>
  <c r="E866" i="3" s="1"/>
  <c r="F866" i="3" a="1"/>
  <c r="F866" i="3" s="1"/>
  <c r="G866" i="3" a="1"/>
  <c r="G866" i="3" s="1"/>
  <c r="J866" i="3" a="1"/>
  <c r="J866" i="3" s="1"/>
  <c r="B867" i="3" a="1"/>
  <c r="B867" i="3" s="1"/>
  <c r="C867" i="3" a="1"/>
  <c r="C867" i="3" s="1"/>
  <c r="D867" i="3" a="1"/>
  <c r="D867" i="3" s="1"/>
  <c r="E867" i="3" a="1"/>
  <c r="E867" i="3" s="1"/>
  <c r="F867" i="3" a="1"/>
  <c r="F867" i="3" s="1"/>
  <c r="G867" i="3" a="1"/>
  <c r="G867" i="3" s="1"/>
  <c r="J867" i="3" a="1"/>
  <c r="J867" i="3" s="1"/>
  <c r="B868" i="3" a="1"/>
  <c r="B868" i="3" s="1"/>
  <c r="C868" i="3" a="1"/>
  <c r="C868" i="3" s="1"/>
  <c r="D868" i="3" a="1"/>
  <c r="D868" i="3" s="1"/>
  <c r="E868" i="3" a="1"/>
  <c r="E868" i="3" s="1"/>
  <c r="F868" i="3" a="1"/>
  <c r="F868" i="3" s="1"/>
  <c r="G868" i="3" a="1"/>
  <c r="G868" i="3" s="1"/>
  <c r="J868" i="3" a="1"/>
  <c r="J868" i="3" s="1"/>
  <c r="B869" i="3" a="1"/>
  <c r="B869" i="3" s="1"/>
  <c r="C869" i="3" a="1"/>
  <c r="C869" i="3" s="1"/>
  <c r="D869" i="3" a="1"/>
  <c r="D869" i="3" s="1"/>
  <c r="E869" i="3" a="1"/>
  <c r="E869" i="3" s="1"/>
  <c r="F869" i="3" a="1"/>
  <c r="F869" i="3" s="1"/>
  <c r="G869" i="3" a="1"/>
  <c r="G869" i="3" s="1"/>
  <c r="J869" i="3" a="1"/>
  <c r="J869" i="3" s="1"/>
  <c r="B870" i="3" a="1"/>
  <c r="B870" i="3" s="1"/>
  <c r="C870" i="3" a="1"/>
  <c r="C870" i="3" s="1"/>
  <c r="D870" i="3" a="1"/>
  <c r="D870" i="3" s="1"/>
  <c r="E870" i="3" a="1"/>
  <c r="E870" i="3" s="1"/>
  <c r="F870" i="3" a="1"/>
  <c r="F870" i="3" s="1"/>
  <c r="G870" i="3" a="1"/>
  <c r="G870" i="3" s="1"/>
  <c r="J870" i="3" a="1"/>
  <c r="J870" i="3" s="1"/>
  <c r="B871" i="3" a="1"/>
  <c r="B871" i="3" s="1"/>
  <c r="C871" i="3" a="1"/>
  <c r="C871" i="3" s="1"/>
  <c r="D871" i="3" a="1"/>
  <c r="D871" i="3" s="1"/>
  <c r="E871" i="3" a="1"/>
  <c r="E871" i="3" s="1"/>
  <c r="F871" i="3" a="1"/>
  <c r="F871" i="3" s="1"/>
  <c r="G871" i="3" a="1"/>
  <c r="G871" i="3" s="1"/>
  <c r="J871" i="3" a="1"/>
  <c r="J871" i="3" s="1"/>
  <c r="B872" i="3" a="1"/>
  <c r="B872" i="3" s="1"/>
  <c r="C872" i="3" a="1"/>
  <c r="C872" i="3" s="1"/>
  <c r="D872" i="3" a="1"/>
  <c r="D872" i="3" s="1"/>
  <c r="E872" i="3" a="1"/>
  <c r="E872" i="3" s="1"/>
  <c r="F872" i="3" a="1"/>
  <c r="F872" i="3" s="1"/>
  <c r="G872" i="3" a="1"/>
  <c r="G872" i="3" s="1"/>
  <c r="J872" i="3" a="1"/>
  <c r="J872" i="3" s="1"/>
  <c r="B873" i="3" a="1"/>
  <c r="B873" i="3" s="1"/>
  <c r="C873" i="3" a="1"/>
  <c r="C873" i="3" s="1"/>
  <c r="D873" i="3" a="1"/>
  <c r="D873" i="3" s="1"/>
  <c r="E873" i="3" a="1"/>
  <c r="E873" i="3" s="1"/>
  <c r="F873" i="3" a="1"/>
  <c r="F873" i="3" s="1"/>
  <c r="G873" i="3" a="1"/>
  <c r="G873" i="3" s="1"/>
  <c r="J873" i="3" a="1"/>
  <c r="J873" i="3" s="1"/>
  <c r="B874" i="3" a="1"/>
  <c r="B874" i="3" s="1"/>
  <c r="C874" i="3" a="1"/>
  <c r="C874" i="3" s="1"/>
  <c r="D874" i="3" a="1"/>
  <c r="D874" i="3" s="1"/>
  <c r="E874" i="3" a="1"/>
  <c r="E874" i="3" s="1"/>
  <c r="F874" i="3" a="1"/>
  <c r="F874" i="3" s="1"/>
  <c r="G874" i="3" a="1"/>
  <c r="G874" i="3" s="1"/>
  <c r="J874" i="3" a="1"/>
  <c r="J874" i="3" s="1"/>
  <c r="B875" i="3" a="1"/>
  <c r="B875" i="3" s="1"/>
  <c r="C875" i="3" a="1"/>
  <c r="C875" i="3" s="1"/>
  <c r="D875" i="3" a="1"/>
  <c r="D875" i="3" s="1"/>
  <c r="E875" i="3" a="1"/>
  <c r="E875" i="3" s="1"/>
  <c r="F875" i="3" a="1"/>
  <c r="F875" i="3" s="1"/>
  <c r="G875" i="3" a="1"/>
  <c r="G875" i="3" s="1"/>
  <c r="J875" i="3" a="1"/>
  <c r="J875" i="3" s="1"/>
  <c r="B876" i="3" a="1"/>
  <c r="B876" i="3" s="1"/>
  <c r="C876" i="3" a="1"/>
  <c r="C876" i="3" s="1"/>
  <c r="D876" i="3" a="1"/>
  <c r="D876" i="3" s="1"/>
  <c r="E876" i="3" a="1"/>
  <c r="E876" i="3" s="1"/>
  <c r="F876" i="3" a="1"/>
  <c r="F876" i="3" s="1"/>
  <c r="G876" i="3" a="1"/>
  <c r="G876" i="3" s="1"/>
  <c r="J876" i="3" a="1"/>
  <c r="J876" i="3" s="1"/>
  <c r="B877" i="3" a="1"/>
  <c r="B877" i="3" s="1"/>
  <c r="C877" i="3" a="1"/>
  <c r="C877" i="3" s="1"/>
  <c r="D877" i="3" a="1"/>
  <c r="D877" i="3" s="1"/>
  <c r="E877" i="3" a="1"/>
  <c r="E877" i="3" s="1"/>
  <c r="F877" i="3" a="1"/>
  <c r="F877" i="3" s="1"/>
  <c r="G877" i="3" a="1"/>
  <c r="G877" i="3" s="1"/>
  <c r="J877" i="3" a="1"/>
  <c r="J877" i="3" s="1"/>
  <c r="B878" i="3" a="1"/>
  <c r="B878" i="3" s="1"/>
  <c r="C878" i="3" a="1"/>
  <c r="C878" i="3" s="1"/>
  <c r="D878" i="3" a="1"/>
  <c r="D878" i="3" s="1"/>
  <c r="E878" i="3" a="1"/>
  <c r="E878" i="3" s="1"/>
  <c r="F878" i="3" a="1"/>
  <c r="F878" i="3" s="1"/>
  <c r="G878" i="3" a="1"/>
  <c r="G878" i="3" s="1"/>
  <c r="J878" i="3" a="1"/>
  <c r="J878" i="3" s="1"/>
  <c r="B879" i="3" a="1"/>
  <c r="B879" i="3" s="1"/>
  <c r="C879" i="3" a="1"/>
  <c r="C879" i="3" s="1"/>
  <c r="D879" i="3" a="1"/>
  <c r="D879" i="3" s="1"/>
  <c r="E879" i="3" a="1"/>
  <c r="E879" i="3" s="1"/>
  <c r="F879" i="3" a="1"/>
  <c r="F879" i="3" s="1"/>
  <c r="G879" i="3" a="1"/>
  <c r="G879" i="3" s="1"/>
  <c r="J879" i="3" a="1"/>
  <c r="J879" i="3" s="1"/>
  <c r="B880" i="3" a="1"/>
  <c r="B880" i="3" s="1"/>
  <c r="C880" i="3" a="1"/>
  <c r="C880" i="3" s="1"/>
  <c r="D880" i="3" a="1"/>
  <c r="D880" i="3" s="1"/>
  <c r="E880" i="3" a="1"/>
  <c r="E880" i="3" s="1"/>
  <c r="F880" i="3" a="1"/>
  <c r="F880" i="3" s="1"/>
  <c r="G880" i="3" a="1"/>
  <c r="G880" i="3" s="1"/>
  <c r="J880" i="3" a="1"/>
  <c r="J880" i="3" s="1"/>
  <c r="B881" i="3" a="1"/>
  <c r="B881" i="3" s="1"/>
  <c r="C881" i="3" a="1"/>
  <c r="C881" i="3" s="1"/>
  <c r="D881" i="3" a="1"/>
  <c r="D881" i="3" s="1"/>
  <c r="E881" i="3" a="1"/>
  <c r="E881" i="3" s="1"/>
  <c r="F881" i="3" a="1"/>
  <c r="F881" i="3" s="1"/>
  <c r="G881" i="3" a="1"/>
  <c r="G881" i="3" s="1"/>
  <c r="J881" i="3" a="1"/>
  <c r="J881" i="3" s="1"/>
  <c r="B882" i="3" a="1"/>
  <c r="B882" i="3" s="1"/>
  <c r="C882" i="3" a="1"/>
  <c r="C882" i="3" s="1"/>
  <c r="D882" i="3" a="1"/>
  <c r="D882" i="3" s="1"/>
  <c r="E882" i="3" a="1"/>
  <c r="E882" i="3" s="1"/>
  <c r="F882" i="3" a="1"/>
  <c r="F882" i="3" s="1"/>
  <c r="G882" i="3" a="1"/>
  <c r="G882" i="3" s="1"/>
  <c r="J882" i="3" a="1"/>
  <c r="J882" i="3" s="1"/>
  <c r="B883" i="3" a="1"/>
  <c r="B883" i="3" s="1"/>
  <c r="C883" i="3" a="1"/>
  <c r="C883" i="3" s="1"/>
  <c r="D883" i="3" a="1"/>
  <c r="D883" i="3" s="1"/>
  <c r="E883" i="3" a="1"/>
  <c r="E883" i="3" s="1"/>
  <c r="F883" i="3" a="1"/>
  <c r="F883" i="3" s="1"/>
  <c r="G883" i="3" a="1"/>
  <c r="G883" i="3" s="1"/>
  <c r="J883" i="3" a="1"/>
  <c r="J883" i="3" s="1"/>
  <c r="B884" i="3" a="1"/>
  <c r="B884" i="3" s="1"/>
  <c r="C884" i="3" a="1"/>
  <c r="C884" i="3" s="1"/>
  <c r="D884" i="3" a="1"/>
  <c r="D884" i="3" s="1"/>
  <c r="E884" i="3" a="1"/>
  <c r="E884" i="3" s="1"/>
  <c r="F884" i="3" a="1"/>
  <c r="F884" i="3" s="1"/>
  <c r="G884" i="3" a="1"/>
  <c r="G884" i="3" s="1"/>
  <c r="J884" i="3" a="1"/>
  <c r="J884" i="3" s="1"/>
  <c r="B885" i="3" a="1"/>
  <c r="B885" i="3" s="1"/>
  <c r="C885" i="3" a="1"/>
  <c r="C885" i="3" s="1"/>
  <c r="D885" i="3" a="1"/>
  <c r="D885" i="3" s="1"/>
  <c r="E885" i="3" a="1"/>
  <c r="E885" i="3" s="1"/>
  <c r="F885" i="3" a="1"/>
  <c r="F885" i="3" s="1"/>
  <c r="G885" i="3" a="1"/>
  <c r="G885" i="3" s="1"/>
  <c r="J885" i="3" a="1"/>
  <c r="J885" i="3" s="1"/>
  <c r="B886" i="3" a="1"/>
  <c r="B886" i="3" s="1"/>
  <c r="C886" i="3" a="1"/>
  <c r="C886" i="3" s="1"/>
  <c r="D886" i="3" a="1"/>
  <c r="D886" i="3" s="1"/>
  <c r="E886" i="3" a="1"/>
  <c r="E886" i="3" s="1"/>
  <c r="F886" i="3" a="1"/>
  <c r="F886" i="3" s="1"/>
  <c r="G886" i="3" a="1"/>
  <c r="G886" i="3" s="1"/>
  <c r="J886" i="3" a="1"/>
  <c r="J886" i="3" s="1"/>
  <c r="B887" i="3" a="1"/>
  <c r="B887" i="3" s="1"/>
  <c r="C887" i="3" a="1"/>
  <c r="C887" i="3" s="1"/>
  <c r="D887" i="3" a="1"/>
  <c r="D887" i="3" s="1"/>
  <c r="E887" i="3" a="1"/>
  <c r="E887" i="3" s="1"/>
  <c r="F887" i="3" a="1"/>
  <c r="F887" i="3" s="1"/>
  <c r="G887" i="3" a="1"/>
  <c r="G887" i="3" s="1"/>
  <c r="J887" i="3" a="1"/>
  <c r="J887" i="3" s="1"/>
  <c r="B888" i="3" a="1"/>
  <c r="B888" i="3" s="1"/>
  <c r="C888" i="3" a="1"/>
  <c r="C888" i="3" s="1"/>
  <c r="D888" i="3" a="1"/>
  <c r="D888" i="3" s="1"/>
  <c r="E888" i="3" a="1"/>
  <c r="E888" i="3" s="1"/>
  <c r="F888" i="3" a="1"/>
  <c r="F888" i="3" s="1"/>
  <c r="G888" i="3" a="1"/>
  <c r="G888" i="3" s="1"/>
  <c r="J888" i="3" a="1"/>
  <c r="J888" i="3" s="1"/>
  <c r="B889" i="3" a="1"/>
  <c r="B889" i="3" s="1"/>
  <c r="C889" i="3" a="1"/>
  <c r="C889" i="3" s="1"/>
  <c r="D889" i="3" a="1"/>
  <c r="D889" i="3" s="1"/>
  <c r="E889" i="3" a="1"/>
  <c r="E889" i="3" s="1"/>
  <c r="F889" i="3" a="1"/>
  <c r="F889" i="3" s="1"/>
  <c r="G889" i="3" a="1"/>
  <c r="G889" i="3" s="1"/>
  <c r="J889" i="3" a="1"/>
  <c r="J889" i="3" s="1"/>
  <c r="B890" i="3" a="1"/>
  <c r="B890" i="3" s="1"/>
  <c r="C890" i="3" a="1"/>
  <c r="C890" i="3" s="1"/>
  <c r="D890" i="3" a="1"/>
  <c r="D890" i="3" s="1"/>
  <c r="E890" i="3" a="1"/>
  <c r="E890" i="3" s="1"/>
  <c r="F890" i="3" a="1"/>
  <c r="F890" i="3" s="1"/>
  <c r="G890" i="3" a="1"/>
  <c r="G890" i="3" s="1"/>
  <c r="J890" i="3" a="1"/>
  <c r="J890" i="3" s="1"/>
  <c r="B891" i="3" a="1"/>
  <c r="B891" i="3" s="1"/>
  <c r="C891" i="3" a="1"/>
  <c r="C891" i="3" s="1"/>
  <c r="D891" i="3" a="1"/>
  <c r="D891" i="3" s="1"/>
  <c r="E891" i="3" a="1"/>
  <c r="E891" i="3" s="1"/>
  <c r="F891" i="3" a="1"/>
  <c r="F891" i="3" s="1"/>
  <c r="G891" i="3" a="1"/>
  <c r="G891" i="3" s="1"/>
  <c r="J891" i="3" a="1"/>
  <c r="J891" i="3" s="1"/>
  <c r="B892" i="3" a="1"/>
  <c r="B892" i="3" s="1"/>
  <c r="C892" i="3" a="1"/>
  <c r="C892" i="3" s="1"/>
  <c r="D892" i="3" a="1"/>
  <c r="D892" i="3" s="1"/>
  <c r="E892" i="3" a="1"/>
  <c r="E892" i="3" s="1"/>
  <c r="F892" i="3" a="1"/>
  <c r="F892" i="3" s="1"/>
  <c r="G892" i="3" a="1"/>
  <c r="G892" i="3" s="1"/>
  <c r="J892" i="3" a="1"/>
  <c r="J892" i="3" s="1"/>
  <c r="B893" i="3" a="1"/>
  <c r="B893" i="3" s="1"/>
  <c r="C893" i="3" a="1"/>
  <c r="C893" i="3" s="1"/>
  <c r="D893" i="3" a="1"/>
  <c r="D893" i="3" s="1"/>
  <c r="E893" i="3" a="1"/>
  <c r="E893" i="3" s="1"/>
  <c r="F893" i="3" a="1"/>
  <c r="F893" i="3" s="1"/>
  <c r="G893" i="3" a="1"/>
  <c r="G893" i="3" s="1"/>
  <c r="J893" i="3" a="1"/>
  <c r="J893" i="3" s="1"/>
  <c r="B894" i="3" a="1"/>
  <c r="B894" i="3" s="1"/>
  <c r="C894" i="3" a="1"/>
  <c r="C894" i="3" s="1"/>
  <c r="D894" i="3" a="1"/>
  <c r="D894" i="3" s="1"/>
  <c r="E894" i="3" a="1"/>
  <c r="E894" i="3" s="1"/>
  <c r="F894" i="3" a="1"/>
  <c r="F894" i="3" s="1"/>
  <c r="G894" i="3" a="1"/>
  <c r="G894" i="3" s="1"/>
  <c r="J894" i="3" a="1"/>
  <c r="J894" i="3" s="1"/>
  <c r="B895" i="3" a="1"/>
  <c r="B895" i="3" s="1"/>
  <c r="C895" i="3" a="1"/>
  <c r="C895" i="3" s="1"/>
  <c r="D895" i="3" a="1"/>
  <c r="D895" i="3" s="1"/>
  <c r="E895" i="3" a="1"/>
  <c r="E895" i="3" s="1"/>
  <c r="F895" i="3" a="1"/>
  <c r="F895" i="3" s="1"/>
  <c r="G895" i="3" a="1"/>
  <c r="G895" i="3" s="1"/>
  <c r="J895" i="3" a="1"/>
  <c r="J895" i="3" s="1"/>
  <c r="B896" i="3" a="1"/>
  <c r="B896" i="3" s="1"/>
  <c r="C896" i="3" a="1"/>
  <c r="C896" i="3" s="1"/>
  <c r="D896" i="3" a="1"/>
  <c r="D896" i="3" s="1"/>
  <c r="E896" i="3" a="1"/>
  <c r="E896" i="3" s="1"/>
  <c r="F896" i="3" a="1"/>
  <c r="F896" i="3" s="1"/>
  <c r="G896" i="3" a="1"/>
  <c r="G896" i="3" s="1"/>
  <c r="J896" i="3" a="1"/>
  <c r="J896" i="3" s="1"/>
  <c r="B897" i="3" a="1"/>
  <c r="B897" i="3" s="1"/>
  <c r="C897" i="3" a="1"/>
  <c r="C897" i="3" s="1"/>
  <c r="D897" i="3" a="1"/>
  <c r="D897" i="3" s="1"/>
  <c r="E897" i="3" a="1"/>
  <c r="E897" i="3" s="1"/>
  <c r="F897" i="3" a="1"/>
  <c r="F897" i="3" s="1"/>
  <c r="G897" i="3" a="1"/>
  <c r="G897" i="3" s="1"/>
  <c r="J897" i="3" a="1"/>
  <c r="J897" i="3" s="1"/>
  <c r="B898" i="3" a="1"/>
  <c r="B898" i="3" s="1"/>
  <c r="C898" i="3" a="1"/>
  <c r="C898" i="3" s="1"/>
  <c r="D898" i="3" a="1"/>
  <c r="D898" i="3" s="1"/>
  <c r="E898" i="3" a="1"/>
  <c r="E898" i="3" s="1"/>
  <c r="F898" i="3" a="1"/>
  <c r="F898" i="3" s="1"/>
  <c r="G898" i="3" a="1"/>
  <c r="G898" i="3" s="1"/>
  <c r="J898" i="3" a="1"/>
  <c r="J898" i="3" s="1"/>
  <c r="B899" i="3" a="1"/>
  <c r="B899" i="3" s="1"/>
  <c r="C899" i="3" a="1"/>
  <c r="C899" i="3" s="1"/>
  <c r="D899" i="3" a="1"/>
  <c r="D899" i="3" s="1"/>
  <c r="E899" i="3" a="1"/>
  <c r="E899" i="3" s="1"/>
  <c r="F899" i="3" a="1"/>
  <c r="F899" i="3" s="1"/>
  <c r="G899" i="3" a="1"/>
  <c r="G899" i="3" s="1"/>
  <c r="J899" i="3" a="1"/>
  <c r="J899" i="3" s="1"/>
  <c r="B900" i="3" a="1"/>
  <c r="B900" i="3" s="1"/>
  <c r="C900" i="3" a="1"/>
  <c r="C900" i="3" s="1"/>
  <c r="D900" i="3" a="1"/>
  <c r="D900" i="3" s="1"/>
  <c r="E900" i="3" a="1"/>
  <c r="E900" i="3" s="1"/>
  <c r="F900" i="3" a="1"/>
  <c r="F900" i="3" s="1"/>
  <c r="G900" i="3" a="1"/>
  <c r="G900" i="3" s="1"/>
  <c r="J900" i="3" a="1"/>
  <c r="J900" i="3" s="1"/>
  <c r="B901" i="3" a="1"/>
  <c r="B901" i="3" s="1"/>
  <c r="C901" i="3" a="1"/>
  <c r="C901" i="3" s="1"/>
  <c r="D901" i="3" a="1"/>
  <c r="D901" i="3" s="1"/>
  <c r="E901" i="3" a="1"/>
  <c r="E901" i="3" s="1"/>
  <c r="F901" i="3" a="1"/>
  <c r="F901" i="3" s="1"/>
  <c r="G901" i="3" a="1"/>
  <c r="G901" i="3" s="1"/>
  <c r="J901" i="3" a="1"/>
  <c r="J901" i="3" s="1"/>
  <c r="B902" i="3" a="1"/>
  <c r="B902" i="3" s="1"/>
  <c r="C902" i="3" a="1"/>
  <c r="C902" i="3" s="1"/>
  <c r="D902" i="3" a="1"/>
  <c r="D902" i="3" s="1"/>
  <c r="E902" i="3" a="1"/>
  <c r="E902" i="3" s="1"/>
  <c r="F902" i="3" a="1"/>
  <c r="F902" i="3" s="1"/>
  <c r="G902" i="3" a="1"/>
  <c r="G902" i="3" s="1"/>
  <c r="J902" i="3" a="1"/>
  <c r="J902" i="3" s="1"/>
  <c r="B903" i="3" a="1"/>
  <c r="B903" i="3" s="1"/>
  <c r="C903" i="3" a="1"/>
  <c r="C903" i="3" s="1"/>
  <c r="D903" i="3" a="1"/>
  <c r="D903" i="3" s="1"/>
  <c r="E903" i="3" a="1"/>
  <c r="E903" i="3" s="1"/>
  <c r="F903" i="3" a="1"/>
  <c r="F903" i="3" s="1"/>
  <c r="G903" i="3" a="1"/>
  <c r="G903" i="3" s="1"/>
  <c r="J903" i="3" a="1"/>
  <c r="J903" i="3" s="1"/>
  <c r="B904" i="3" a="1"/>
  <c r="B904" i="3" s="1"/>
  <c r="C904" i="3" a="1"/>
  <c r="C904" i="3" s="1"/>
  <c r="D904" i="3" a="1"/>
  <c r="D904" i="3" s="1"/>
  <c r="E904" i="3" a="1"/>
  <c r="E904" i="3" s="1"/>
  <c r="F904" i="3" a="1"/>
  <c r="F904" i="3" s="1"/>
  <c r="G904" i="3" a="1"/>
  <c r="G904" i="3" s="1"/>
  <c r="J904" i="3" a="1"/>
  <c r="J904" i="3" s="1"/>
  <c r="B905" i="3" a="1"/>
  <c r="B905" i="3" s="1"/>
  <c r="C905" i="3" a="1"/>
  <c r="C905" i="3" s="1"/>
  <c r="D905" i="3" a="1"/>
  <c r="D905" i="3" s="1"/>
  <c r="E905" i="3" a="1"/>
  <c r="E905" i="3" s="1"/>
  <c r="F905" i="3" a="1"/>
  <c r="F905" i="3" s="1"/>
  <c r="G905" i="3" a="1"/>
  <c r="G905" i="3" s="1"/>
  <c r="J905" i="3" a="1"/>
  <c r="J905" i="3" s="1"/>
  <c r="B906" i="3" a="1"/>
  <c r="B906" i="3" s="1"/>
  <c r="C906" i="3" a="1"/>
  <c r="C906" i="3" s="1"/>
  <c r="D906" i="3" a="1"/>
  <c r="D906" i="3" s="1"/>
  <c r="E906" i="3" a="1"/>
  <c r="E906" i="3" s="1"/>
  <c r="F906" i="3" a="1"/>
  <c r="F906" i="3" s="1"/>
  <c r="G906" i="3" a="1"/>
  <c r="G906" i="3" s="1"/>
  <c r="J906" i="3" a="1"/>
  <c r="J906" i="3" s="1"/>
  <c r="B907" i="3" a="1"/>
  <c r="B907" i="3" s="1"/>
  <c r="C907" i="3" a="1"/>
  <c r="C907" i="3" s="1"/>
  <c r="D907" i="3" a="1"/>
  <c r="D907" i="3" s="1"/>
  <c r="E907" i="3" a="1"/>
  <c r="E907" i="3" s="1"/>
  <c r="F907" i="3" a="1"/>
  <c r="F907" i="3" s="1"/>
  <c r="G907" i="3" a="1"/>
  <c r="G907" i="3" s="1"/>
  <c r="J907" i="3" a="1"/>
  <c r="J907" i="3" s="1"/>
  <c r="B908" i="3" a="1"/>
  <c r="B908" i="3" s="1"/>
  <c r="C908" i="3" a="1"/>
  <c r="C908" i="3" s="1"/>
  <c r="D908" i="3" a="1"/>
  <c r="D908" i="3" s="1"/>
  <c r="E908" i="3" a="1"/>
  <c r="E908" i="3" s="1"/>
  <c r="F908" i="3" a="1"/>
  <c r="F908" i="3" s="1"/>
  <c r="G908" i="3" a="1"/>
  <c r="G908" i="3" s="1"/>
  <c r="J908" i="3" a="1"/>
  <c r="J908" i="3" s="1"/>
  <c r="B909" i="3" a="1"/>
  <c r="B909" i="3" s="1"/>
  <c r="C909" i="3" a="1"/>
  <c r="C909" i="3" s="1"/>
  <c r="D909" i="3" a="1"/>
  <c r="D909" i="3" s="1"/>
  <c r="E909" i="3" a="1"/>
  <c r="E909" i="3" s="1"/>
  <c r="F909" i="3" a="1"/>
  <c r="F909" i="3" s="1"/>
  <c r="G909" i="3" a="1"/>
  <c r="G909" i="3" s="1"/>
  <c r="J909" i="3" a="1"/>
  <c r="J909" i="3" s="1"/>
  <c r="B910" i="3" a="1"/>
  <c r="B910" i="3" s="1"/>
  <c r="C910" i="3" a="1"/>
  <c r="C910" i="3" s="1"/>
  <c r="D910" i="3" a="1"/>
  <c r="D910" i="3" s="1"/>
  <c r="E910" i="3" a="1"/>
  <c r="E910" i="3" s="1"/>
  <c r="F910" i="3" a="1"/>
  <c r="F910" i="3" s="1"/>
  <c r="G910" i="3" a="1"/>
  <c r="G910" i="3" s="1"/>
  <c r="J910" i="3" a="1"/>
  <c r="J910" i="3" s="1"/>
  <c r="B911" i="3" a="1"/>
  <c r="B911" i="3" s="1"/>
  <c r="C911" i="3" a="1"/>
  <c r="C911" i="3" s="1"/>
  <c r="D911" i="3" a="1"/>
  <c r="D911" i="3" s="1"/>
  <c r="E911" i="3" a="1"/>
  <c r="E911" i="3" s="1"/>
  <c r="F911" i="3" a="1"/>
  <c r="F911" i="3" s="1"/>
  <c r="G911" i="3" a="1"/>
  <c r="G911" i="3" s="1"/>
  <c r="J911" i="3" a="1"/>
  <c r="J911" i="3" s="1"/>
  <c r="B912" i="3" a="1"/>
  <c r="B912" i="3" s="1"/>
  <c r="C912" i="3" a="1"/>
  <c r="C912" i="3" s="1"/>
  <c r="D912" i="3" a="1"/>
  <c r="D912" i="3" s="1"/>
  <c r="E912" i="3" a="1"/>
  <c r="E912" i="3" s="1"/>
  <c r="F912" i="3" a="1"/>
  <c r="F912" i="3" s="1"/>
  <c r="G912" i="3" a="1"/>
  <c r="G912" i="3" s="1"/>
  <c r="J912" i="3" a="1"/>
  <c r="J912" i="3" s="1"/>
  <c r="B913" i="3" a="1"/>
  <c r="B913" i="3" s="1"/>
  <c r="C913" i="3" a="1"/>
  <c r="C913" i="3" s="1"/>
  <c r="D913" i="3" a="1"/>
  <c r="D913" i="3" s="1"/>
  <c r="E913" i="3" a="1"/>
  <c r="E913" i="3" s="1"/>
  <c r="F913" i="3" a="1"/>
  <c r="F913" i="3" s="1"/>
  <c r="G913" i="3" a="1"/>
  <c r="G913" i="3" s="1"/>
  <c r="J913" i="3" a="1"/>
  <c r="J913" i="3" s="1"/>
  <c r="B914" i="3" a="1"/>
  <c r="B914" i="3" s="1"/>
  <c r="C914" i="3" a="1"/>
  <c r="C914" i="3" s="1"/>
  <c r="D914" i="3" a="1"/>
  <c r="D914" i="3" s="1"/>
  <c r="E914" i="3" a="1"/>
  <c r="E914" i="3" s="1"/>
  <c r="F914" i="3" a="1"/>
  <c r="F914" i="3" s="1"/>
  <c r="G914" i="3" a="1"/>
  <c r="G914" i="3" s="1"/>
  <c r="J914" i="3" a="1"/>
  <c r="J914" i="3" s="1"/>
  <c r="B915" i="3" a="1"/>
  <c r="B915" i="3" s="1"/>
  <c r="C915" i="3" a="1"/>
  <c r="C915" i="3" s="1"/>
  <c r="D915" i="3" a="1"/>
  <c r="D915" i="3" s="1"/>
  <c r="E915" i="3" a="1"/>
  <c r="E915" i="3" s="1"/>
  <c r="F915" i="3" a="1"/>
  <c r="F915" i="3" s="1"/>
  <c r="G915" i="3" a="1"/>
  <c r="G915" i="3" s="1"/>
  <c r="J915" i="3" a="1"/>
  <c r="J915" i="3" s="1"/>
  <c r="B916" i="3" a="1"/>
  <c r="B916" i="3" s="1"/>
  <c r="C916" i="3" a="1"/>
  <c r="C916" i="3" s="1"/>
  <c r="D916" i="3" a="1"/>
  <c r="D916" i="3" s="1"/>
  <c r="E916" i="3" a="1"/>
  <c r="E916" i="3" s="1"/>
  <c r="F916" i="3" a="1"/>
  <c r="F916" i="3" s="1"/>
  <c r="G916" i="3" a="1"/>
  <c r="G916" i="3" s="1"/>
  <c r="J916" i="3" a="1"/>
  <c r="J916" i="3" s="1"/>
  <c r="B917" i="3" a="1"/>
  <c r="B917" i="3" s="1"/>
  <c r="C917" i="3" a="1"/>
  <c r="C917" i="3" s="1"/>
  <c r="D917" i="3" a="1"/>
  <c r="D917" i="3" s="1"/>
  <c r="E917" i="3" a="1"/>
  <c r="E917" i="3" s="1"/>
  <c r="F917" i="3" a="1"/>
  <c r="F917" i="3" s="1"/>
  <c r="G917" i="3" a="1"/>
  <c r="G917" i="3" s="1"/>
  <c r="J917" i="3" a="1"/>
  <c r="J917" i="3" s="1"/>
  <c r="B918" i="3" a="1"/>
  <c r="B918" i="3" s="1"/>
  <c r="C918" i="3" a="1"/>
  <c r="C918" i="3" s="1"/>
  <c r="D918" i="3" a="1"/>
  <c r="D918" i="3" s="1"/>
  <c r="E918" i="3" a="1"/>
  <c r="E918" i="3" s="1"/>
  <c r="F918" i="3" a="1"/>
  <c r="F918" i="3" s="1"/>
  <c r="G918" i="3" a="1"/>
  <c r="G918" i="3" s="1"/>
  <c r="J918" i="3" a="1"/>
  <c r="J918" i="3" s="1"/>
  <c r="B919" i="3" a="1"/>
  <c r="B919" i="3" s="1"/>
  <c r="C919" i="3" a="1"/>
  <c r="C919" i="3" s="1"/>
  <c r="D919" i="3" a="1"/>
  <c r="D919" i="3" s="1"/>
  <c r="E919" i="3" a="1"/>
  <c r="E919" i="3" s="1"/>
  <c r="F919" i="3" a="1"/>
  <c r="F919" i="3" s="1"/>
  <c r="G919" i="3" a="1"/>
  <c r="G919" i="3" s="1"/>
  <c r="J919" i="3" a="1"/>
  <c r="J919" i="3" s="1"/>
  <c r="B920" i="3" a="1"/>
  <c r="B920" i="3" s="1"/>
  <c r="C920" i="3" a="1"/>
  <c r="C920" i="3" s="1"/>
  <c r="D920" i="3" a="1"/>
  <c r="D920" i="3" s="1"/>
  <c r="E920" i="3" a="1"/>
  <c r="E920" i="3" s="1"/>
  <c r="F920" i="3" a="1"/>
  <c r="F920" i="3" s="1"/>
  <c r="G920" i="3" a="1"/>
  <c r="G920" i="3" s="1"/>
  <c r="J920" i="3" a="1"/>
  <c r="J920" i="3" s="1"/>
  <c r="B921" i="3" a="1"/>
  <c r="B921" i="3" s="1"/>
  <c r="C921" i="3" a="1"/>
  <c r="C921" i="3" s="1"/>
  <c r="D921" i="3" a="1"/>
  <c r="D921" i="3" s="1"/>
  <c r="E921" i="3" a="1"/>
  <c r="E921" i="3" s="1"/>
  <c r="F921" i="3" a="1"/>
  <c r="F921" i="3" s="1"/>
  <c r="G921" i="3" a="1"/>
  <c r="G921" i="3" s="1"/>
  <c r="J921" i="3" a="1"/>
  <c r="J921" i="3" s="1"/>
  <c r="B922" i="3" a="1"/>
  <c r="B922" i="3" s="1"/>
  <c r="C922" i="3" a="1"/>
  <c r="C922" i="3" s="1"/>
  <c r="D922" i="3" a="1"/>
  <c r="D922" i="3" s="1"/>
  <c r="E922" i="3" a="1"/>
  <c r="E922" i="3" s="1"/>
  <c r="F922" i="3" a="1"/>
  <c r="F922" i="3" s="1"/>
  <c r="G922" i="3" a="1"/>
  <c r="G922" i="3" s="1"/>
  <c r="J922" i="3" a="1"/>
  <c r="J922" i="3" s="1"/>
  <c r="B923" i="3" a="1"/>
  <c r="B923" i="3" s="1"/>
  <c r="C923" i="3" a="1"/>
  <c r="C923" i="3" s="1"/>
  <c r="D923" i="3" a="1"/>
  <c r="D923" i="3" s="1"/>
  <c r="E923" i="3" a="1"/>
  <c r="E923" i="3" s="1"/>
  <c r="F923" i="3" a="1"/>
  <c r="F923" i="3" s="1"/>
  <c r="G923" i="3" a="1"/>
  <c r="G923" i="3" s="1"/>
  <c r="J923" i="3" a="1"/>
  <c r="J923" i="3" s="1"/>
  <c r="B924" i="3" a="1"/>
  <c r="B924" i="3" s="1"/>
  <c r="C924" i="3" a="1"/>
  <c r="C924" i="3" s="1"/>
  <c r="D924" i="3" a="1"/>
  <c r="D924" i="3" s="1"/>
  <c r="E924" i="3" a="1"/>
  <c r="E924" i="3" s="1"/>
  <c r="F924" i="3" a="1"/>
  <c r="F924" i="3" s="1"/>
  <c r="G924" i="3" a="1"/>
  <c r="G924" i="3" s="1"/>
  <c r="J924" i="3" a="1"/>
  <c r="J924" i="3" s="1"/>
  <c r="B925" i="3" a="1"/>
  <c r="B925" i="3" s="1"/>
  <c r="C925" i="3" a="1"/>
  <c r="C925" i="3" s="1"/>
  <c r="D925" i="3" a="1"/>
  <c r="D925" i="3" s="1"/>
  <c r="E925" i="3" a="1"/>
  <c r="E925" i="3" s="1"/>
  <c r="F925" i="3" a="1"/>
  <c r="F925" i="3" s="1"/>
  <c r="G925" i="3" a="1"/>
  <c r="G925" i="3" s="1"/>
  <c r="J925" i="3" a="1"/>
  <c r="J925" i="3" s="1"/>
  <c r="B926" i="3" a="1"/>
  <c r="B926" i="3" s="1"/>
  <c r="C926" i="3" a="1"/>
  <c r="C926" i="3" s="1"/>
  <c r="D926" i="3" a="1"/>
  <c r="D926" i="3" s="1"/>
  <c r="E926" i="3" a="1"/>
  <c r="E926" i="3" s="1"/>
  <c r="F926" i="3" a="1"/>
  <c r="F926" i="3" s="1"/>
  <c r="G926" i="3" a="1"/>
  <c r="G926" i="3" s="1"/>
  <c r="J926" i="3" a="1"/>
  <c r="J926" i="3" s="1"/>
  <c r="B927" i="3" a="1"/>
  <c r="B927" i="3" s="1"/>
  <c r="C927" i="3" a="1"/>
  <c r="C927" i="3" s="1"/>
  <c r="D927" i="3" a="1"/>
  <c r="D927" i="3" s="1"/>
  <c r="E927" i="3" a="1"/>
  <c r="E927" i="3" s="1"/>
  <c r="F927" i="3" a="1"/>
  <c r="F927" i="3" s="1"/>
  <c r="G927" i="3" a="1"/>
  <c r="G927" i="3" s="1"/>
  <c r="J927" i="3" a="1"/>
  <c r="J927" i="3" s="1"/>
  <c r="B928" i="3" a="1"/>
  <c r="B928" i="3" s="1"/>
  <c r="C928" i="3" a="1"/>
  <c r="C928" i="3" s="1"/>
  <c r="D928" i="3" a="1"/>
  <c r="D928" i="3" s="1"/>
  <c r="E928" i="3" a="1"/>
  <c r="E928" i="3" s="1"/>
  <c r="F928" i="3" a="1"/>
  <c r="F928" i="3" s="1"/>
  <c r="G928" i="3" a="1"/>
  <c r="G928" i="3" s="1"/>
  <c r="J928" i="3" a="1"/>
  <c r="J928" i="3" s="1"/>
  <c r="B929" i="3" a="1"/>
  <c r="B929" i="3" s="1"/>
  <c r="C929" i="3" a="1"/>
  <c r="C929" i="3" s="1"/>
  <c r="D929" i="3" a="1"/>
  <c r="D929" i="3" s="1"/>
  <c r="E929" i="3" a="1"/>
  <c r="E929" i="3" s="1"/>
  <c r="F929" i="3" a="1"/>
  <c r="F929" i="3" s="1"/>
  <c r="G929" i="3" a="1"/>
  <c r="G929" i="3" s="1"/>
  <c r="J929" i="3" a="1"/>
  <c r="J929" i="3" s="1"/>
  <c r="B930" i="3" a="1"/>
  <c r="B930" i="3" s="1"/>
  <c r="C930" i="3" a="1"/>
  <c r="C930" i="3" s="1"/>
  <c r="D930" i="3" a="1"/>
  <c r="D930" i="3" s="1"/>
  <c r="E930" i="3" a="1"/>
  <c r="E930" i="3" s="1"/>
  <c r="F930" i="3" a="1"/>
  <c r="F930" i="3" s="1"/>
  <c r="G930" i="3" a="1"/>
  <c r="G930" i="3" s="1"/>
  <c r="J930" i="3" a="1"/>
  <c r="J930" i="3" s="1"/>
  <c r="B931" i="3" a="1"/>
  <c r="B931" i="3" s="1"/>
  <c r="C931" i="3" a="1"/>
  <c r="C931" i="3" s="1"/>
  <c r="D931" i="3" a="1"/>
  <c r="D931" i="3" s="1"/>
  <c r="E931" i="3" a="1"/>
  <c r="E931" i="3" s="1"/>
  <c r="F931" i="3" a="1"/>
  <c r="F931" i="3" s="1"/>
  <c r="G931" i="3" a="1"/>
  <c r="G931" i="3" s="1"/>
  <c r="J931" i="3" a="1"/>
  <c r="J931" i="3" s="1"/>
  <c r="B932" i="3" a="1"/>
  <c r="B932" i="3" s="1"/>
  <c r="C932" i="3" a="1"/>
  <c r="C932" i="3" s="1"/>
  <c r="D932" i="3" a="1"/>
  <c r="D932" i="3" s="1"/>
  <c r="E932" i="3" a="1"/>
  <c r="E932" i="3" s="1"/>
  <c r="F932" i="3" a="1"/>
  <c r="F932" i="3" s="1"/>
  <c r="G932" i="3" a="1"/>
  <c r="G932" i="3" s="1"/>
  <c r="J932" i="3" a="1"/>
  <c r="J932" i="3" s="1"/>
  <c r="B933" i="3" a="1"/>
  <c r="B933" i="3" s="1"/>
  <c r="C933" i="3" a="1"/>
  <c r="C933" i="3" s="1"/>
  <c r="D933" i="3" a="1"/>
  <c r="D933" i="3" s="1"/>
  <c r="E933" i="3" a="1"/>
  <c r="E933" i="3" s="1"/>
  <c r="F933" i="3" a="1"/>
  <c r="F933" i="3" s="1"/>
  <c r="G933" i="3" a="1"/>
  <c r="G933" i="3" s="1"/>
  <c r="J933" i="3" a="1"/>
  <c r="J933" i="3" s="1"/>
  <c r="B934" i="3" a="1"/>
  <c r="B934" i="3" s="1"/>
  <c r="C934" i="3" a="1"/>
  <c r="C934" i="3" s="1"/>
  <c r="D934" i="3" a="1"/>
  <c r="D934" i="3" s="1"/>
  <c r="E934" i="3" a="1"/>
  <c r="E934" i="3" s="1"/>
  <c r="F934" i="3" a="1"/>
  <c r="F934" i="3" s="1"/>
  <c r="G934" i="3" a="1"/>
  <c r="G934" i="3" s="1"/>
  <c r="J934" i="3" a="1"/>
  <c r="J934" i="3" s="1"/>
  <c r="B935" i="3" a="1"/>
  <c r="B935" i="3" s="1"/>
  <c r="C935" i="3" a="1"/>
  <c r="C935" i="3" s="1"/>
  <c r="D935" i="3" a="1"/>
  <c r="D935" i="3" s="1"/>
  <c r="E935" i="3" a="1"/>
  <c r="E935" i="3" s="1"/>
  <c r="F935" i="3" a="1"/>
  <c r="F935" i="3" s="1"/>
  <c r="G935" i="3" a="1"/>
  <c r="G935" i="3" s="1"/>
  <c r="J935" i="3" a="1"/>
  <c r="J935" i="3" s="1"/>
  <c r="B936" i="3" a="1"/>
  <c r="B936" i="3" s="1"/>
  <c r="C936" i="3" a="1"/>
  <c r="C936" i="3" s="1"/>
  <c r="D936" i="3" a="1"/>
  <c r="D936" i="3" s="1"/>
  <c r="E936" i="3" a="1"/>
  <c r="E936" i="3" s="1"/>
  <c r="F936" i="3" a="1"/>
  <c r="F936" i="3" s="1"/>
  <c r="G936" i="3" a="1"/>
  <c r="G936" i="3" s="1"/>
  <c r="J936" i="3" a="1"/>
  <c r="J936" i="3" s="1"/>
  <c r="B937" i="3" a="1"/>
  <c r="B937" i="3" s="1"/>
  <c r="C937" i="3" a="1"/>
  <c r="C937" i="3" s="1"/>
  <c r="D937" i="3" a="1"/>
  <c r="D937" i="3" s="1"/>
  <c r="E937" i="3" a="1"/>
  <c r="E937" i="3" s="1"/>
  <c r="F937" i="3" a="1"/>
  <c r="F937" i="3" s="1"/>
  <c r="G937" i="3" a="1"/>
  <c r="G937" i="3" s="1"/>
  <c r="J937" i="3" a="1"/>
  <c r="J937" i="3" s="1"/>
  <c r="B938" i="3" a="1"/>
  <c r="B938" i="3" s="1"/>
  <c r="C938" i="3" a="1"/>
  <c r="C938" i="3" s="1"/>
  <c r="D938" i="3" a="1"/>
  <c r="D938" i="3" s="1"/>
  <c r="E938" i="3" a="1"/>
  <c r="E938" i="3" s="1"/>
  <c r="F938" i="3" a="1"/>
  <c r="F938" i="3" s="1"/>
  <c r="G938" i="3" a="1"/>
  <c r="G938" i="3" s="1"/>
  <c r="J938" i="3" a="1"/>
  <c r="J938" i="3" s="1"/>
  <c r="B939" i="3" a="1"/>
  <c r="B939" i="3" s="1"/>
  <c r="C939" i="3" a="1"/>
  <c r="C939" i="3" s="1"/>
  <c r="D939" i="3" a="1"/>
  <c r="D939" i="3" s="1"/>
  <c r="E939" i="3" a="1"/>
  <c r="E939" i="3" s="1"/>
  <c r="F939" i="3" a="1"/>
  <c r="F939" i="3" s="1"/>
  <c r="G939" i="3" a="1"/>
  <c r="G939" i="3" s="1"/>
  <c r="J939" i="3" a="1"/>
  <c r="J939" i="3" s="1"/>
  <c r="B940" i="3" a="1"/>
  <c r="B940" i="3" s="1"/>
  <c r="C940" i="3" a="1"/>
  <c r="C940" i="3" s="1"/>
  <c r="D940" i="3" a="1"/>
  <c r="D940" i="3" s="1"/>
  <c r="E940" i="3" a="1"/>
  <c r="E940" i="3" s="1"/>
  <c r="F940" i="3" a="1"/>
  <c r="F940" i="3" s="1"/>
  <c r="G940" i="3" a="1"/>
  <c r="G940" i="3" s="1"/>
  <c r="J940" i="3" a="1"/>
  <c r="J940" i="3" s="1"/>
  <c r="B941" i="3" a="1"/>
  <c r="B941" i="3" s="1"/>
  <c r="C941" i="3" a="1"/>
  <c r="C941" i="3" s="1"/>
  <c r="D941" i="3" a="1"/>
  <c r="D941" i="3" s="1"/>
  <c r="E941" i="3" a="1"/>
  <c r="E941" i="3" s="1"/>
  <c r="F941" i="3" a="1"/>
  <c r="F941" i="3" s="1"/>
  <c r="G941" i="3" a="1"/>
  <c r="G941" i="3" s="1"/>
  <c r="J941" i="3" a="1"/>
  <c r="J941" i="3" s="1"/>
  <c r="B942" i="3" a="1"/>
  <c r="B942" i="3" s="1"/>
  <c r="C942" i="3" a="1"/>
  <c r="C942" i="3" s="1"/>
  <c r="D942" i="3" a="1"/>
  <c r="D942" i="3" s="1"/>
  <c r="E942" i="3" a="1"/>
  <c r="E942" i="3" s="1"/>
  <c r="F942" i="3" a="1"/>
  <c r="F942" i="3" s="1"/>
  <c r="G942" i="3" a="1"/>
  <c r="G942" i="3" s="1"/>
  <c r="J942" i="3" a="1"/>
  <c r="J942" i="3" s="1"/>
  <c r="B943" i="3" a="1"/>
  <c r="B943" i="3" s="1"/>
  <c r="C943" i="3" a="1"/>
  <c r="C943" i="3" s="1"/>
  <c r="D943" i="3" a="1"/>
  <c r="D943" i="3" s="1"/>
  <c r="E943" i="3" a="1"/>
  <c r="E943" i="3" s="1"/>
  <c r="F943" i="3" a="1"/>
  <c r="F943" i="3" s="1"/>
  <c r="G943" i="3" a="1"/>
  <c r="G943" i="3" s="1"/>
  <c r="J943" i="3" a="1"/>
  <c r="J943" i="3" s="1"/>
  <c r="B944" i="3" a="1"/>
  <c r="B944" i="3" s="1"/>
  <c r="C944" i="3" a="1"/>
  <c r="C944" i="3" s="1"/>
  <c r="D944" i="3" a="1"/>
  <c r="D944" i="3" s="1"/>
  <c r="E944" i="3" a="1"/>
  <c r="E944" i="3" s="1"/>
  <c r="F944" i="3" a="1"/>
  <c r="F944" i="3" s="1"/>
  <c r="G944" i="3" a="1"/>
  <c r="G944" i="3" s="1"/>
  <c r="J944" i="3" a="1"/>
  <c r="J944" i="3" s="1"/>
  <c r="B945" i="3" a="1"/>
  <c r="B945" i="3" s="1"/>
  <c r="C945" i="3" a="1"/>
  <c r="C945" i="3" s="1"/>
  <c r="D945" i="3" a="1"/>
  <c r="D945" i="3" s="1"/>
  <c r="E945" i="3" a="1"/>
  <c r="E945" i="3" s="1"/>
  <c r="F945" i="3" a="1"/>
  <c r="F945" i="3" s="1"/>
  <c r="G945" i="3" a="1"/>
  <c r="G945" i="3" s="1"/>
  <c r="J945" i="3" a="1"/>
  <c r="J945" i="3" s="1"/>
  <c r="B946" i="3" a="1"/>
  <c r="B946" i="3" s="1"/>
  <c r="C946" i="3" a="1"/>
  <c r="C946" i="3" s="1"/>
  <c r="D946" i="3" a="1"/>
  <c r="D946" i="3" s="1"/>
  <c r="E946" i="3" a="1"/>
  <c r="E946" i="3" s="1"/>
  <c r="F946" i="3" a="1"/>
  <c r="F946" i="3" s="1"/>
  <c r="G946" i="3" a="1"/>
  <c r="G946" i="3" s="1"/>
  <c r="J946" i="3" a="1"/>
  <c r="J946" i="3" s="1"/>
  <c r="B947" i="3" a="1"/>
  <c r="B947" i="3" s="1"/>
  <c r="C947" i="3" a="1"/>
  <c r="C947" i="3" s="1"/>
  <c r="D947" i="3" a="1"/>
  <c r="D947" i="3" s="1"/>
  <c r="E947" i="3" a="1"/>
  <c r="E947" i="3" s="1"/>
  <c r="F947" i="3" a="1"/>
  <c r="F947" i="3" s="1"/>
  <c r="G947" i="3" a="1"/>
  <c r="G947" i="3" s="1"/>
  <c r="J947" i="3" a="1"/>
  <c r="J947" i="3" s="1"/>
  <c r="B948" i="3" a="1"/>
  <c r="B948" i="3" s="1"/>
  <c r="C948" i="3" a="1"/>
  <c r="C948" i="3" s="1"/>
  <c r="D948" i="3" a="1"/>
  <c r="D948" i="3" s="1"/>
  <c r="E948" i="3" a="1"/>
  <c r="E948" i="3" s="1"/>
  <c r="F948" i="3" a="1"/>
  <c r="F948" i="3" s="1"/>
  <c r="G948" i="3" a="1"/>
  <c r="G948" i="3" s="1"/>
  <c r="J948" i="3" a="1"/>
  <c r="J948" i="3" s="1"/>
  <c r="B949" i="3" a="1"/>
  <c r="B949" i="3" s="1"/>
  <c r="C949" i="3" a="1"/>
  <c r="C949" i="3" s="1"/>
  <c r="D949" i="3" a="1"/>
  <c r="D949" i="3" s="1"/>
  <c r="E949" i="3" a="1"/>
  <c r="E949" i="3" s="1"/>
  <c r="F949" i="3" a="1"/>
  <c r="F949" i="3" s="1"/>
  <c r="G949" i="3" a="1"/>
  <c r="G949" i="3" s="1"/>
  <c r="J949" i="3" a="1"/>
  <c r="J949" i="3" s="1"/>
  <c r="B950" i="3" a="1"/>
  <c r="B950" i="3" s="1"/>
  <c r="C950" i="3" a="1"/>
  <c r="C950" i="3" s="1"/>
  <c r="D950" i="3" a="1"/>
  <c r="D950" i="3" s="1"/>
  <c r="E950" i="3" a="1"/>
  <c r="E950" i="3" s="1"/>
  <c r="F950" i="3" a="1"/>
  <c r="F950" i="3" s="1"/>
  <c r="G950" i="3" a="1"/>
  <c r="G950" i="3" s="1"/>
  <c r="J950" i="3" a="1"/>
  <c r="J950" i="3" s="1"/>
  <c r="B951" i="3" a="1"/>
  <c r="B951" i="3" s="1"/>
  <c r="C951" i="3" a="1"/>
  <c r="C951" i="3" s="1"/>
  <c r="D951" i="3" a="1"/>
  <c r="D951" i="3" s="1"/>
  <c r="E951" i="3" a="1"/>
  <c r="E951" i="3" s="1"/>
  <c r="F951" i="3" a="1"/>
  <c r="F951" i="3" s="1"/>
  <c r="G951" i="3" a="1"/>
  <c r="G951" i="3" s="1"/>
  <c r="J951" i="3" a="1"/>
  <c r="J951" i="3" s="1"/>
  <c r="B952" i="3" a="1"/>
  <c r="B952" i="3" s="1"/>
  <c r="C952" i="3" a="1"/>
  <c r="C952" i="3" s="1"/>
  <c r="D952" i="3" a="1"/>
  <c r="D952" i="3" s="1"/>
  <c r="E952" i="3" a="1"/>
  <c r="E952" i="3" s="1"/>
  <c r="F952" i="3" a="1"/>
  <c r="F952" i="3" s="1"/>
  <c r="G952" i="3" a="1"/>
  <c r="G952" i="3" s="1"/>
  <c r="J952" i="3" a="1"/>
  <c r="J952" i="3" s="1"/>
  <c r="B953" i="3" a="1"/>
  <c r="B953" i="3" s="1"/>
  <c r="C953" i="3" a="1"/>
  <c r="C953" i="3" s="1"/>
  <c r="D953" i="3" a="1"/>
  <c r="D953" i="3" s="1"/>
  <c r="E953" i="3" a="1"/>
  <c r="E953" i="3" s="1"/>
  <c r="F953" i="3" a="1"/>
  <c r="F953" i="3" s="1"/>
  <c r="G953" i="3" a="1"/>
  <c r="G953" i="3" s="1"/>
  <c r="J953" i="3" a="1"/>
  <c r="J953" i="3" s="1"/>
  <c r="B954" i="3" a="1"/>
  <c r="B954" i="3" s="1"/>
  <c r="C954" i="3" a="1"/>
  <c r="C954" i="3" s="1"/>
  <c r="D954" i="3" a="1"/>
  <c r="D954" i="3" s="1"/>
  <c r="E954" i="3" a="1"/>
  <c r="E954" i="3" s="1"/>
  <c r="F954" i="3" a="1"/>
  <c r="F954" i="3" s="1"/>
  <c r="G954" i="3" a="1"/>
  <c r="G954" i="3" s="1"/>
  <c r="J954" i="3" a="1"/>
  <c r="J954" i="3" s="1"/>
  <c r="B955" i="3" a="1"/>
  <c r="B955" i="3" s="1"/>
  <c r="C955" i="3" a="1"/>
  <c r="C955" i="3" s="1"/>
  <c r="D955" i="3" a="1"/>
  <c r="D955" i="3" s="1"/>
  <c r="E955" i="3" a="1"/>
  <c r="E955" i="3" s="1"/>
  <c r="F955" i="3" a="1"/>
  <c r="F955" i="3" s="1"/>
  <c r="G955" i="3" a="1"/>
  <c r="G955" i="3" s="1"/>
  <c r="J955" i="3" a="1"/>
  <c r="J955" i="3" s="1"/>
  <c r="B956" i="3" a="1"/>
  <c r="B956" i="3" s="1"/>
  <c r="C956" i="3" a="1"/>
  <c r="C956" i="3" s="1"/>
  <c r="D956" i="3" a="1"/>
  <c r="D956" i="3" s="1"/>
  <c r="E956" i="3" a="1"/>
  <c r="E956" i="3" s="1"/>
  <c r="F956" i="3" a="1"/>
  <c r="F956" i="3" s="1"/>
  <c r="G956" i="3" a="1"/>
  <c r="G956" i="3" s="1"/>
  <c r="J956" i="3" a="1"/>
  <c r="J956" i="3" s="1"/>
  <c r="B957" i="3" a="1"/>
  <c r="B957" i="3" s="1"/>
  <c r="C957" i="3" a="1"/>
  <c r="C957" i="3" s="1"/>
  <c r="D957" i="3" a="1"/>
  <c r="D957" i="3" s="1"/>
  <c r="E957" i="3" a="1"/>
  <c r="E957" i="3" s="1"/>
  <c r="F957" i="3" a="1"/>
  <c r="F957" i="3" s="1"/>
  <c r="G957" i="3" a="1"/>
  <c r="G957" i="3" s="1"/>
  <c r="J957" i="3" a="1"/>
  <c r="J957" i="3" s="1"/>
  <c r="B958" i="3" a="1"/>
  <c r="B958" i="3" s="1"/>
  <c r="C958" i="3" a="1"/>
  <c r="C958" i="3" s="1"/>
  <c r="D958" i="3" a="1"/>
  <c r="D958" i="3" s="1"/>
  <c r="E958" i="3" a="1"/>
  <c r="E958" i="3" s="1"/>
  <c r="F958" i="3" a="1"/>
  <c r="F958" i="3" s="1"/>
  <c r="G958" i="3" a="1"/>
  <c r="G958" i="3" s="1"/>
  <c r="J958" i="3" a="1"/>
  <c r="J958" i="3" s="1"/>
  <c r="B959" i="3" a="1"/>
  <c r="B959" i="3" s="1"/>
  <c r="C959" i="3" a="1"/>
  <c r="C959" i="3" s="1"/>
  <c r="D959" i="3" a="1"/>
  <c r="D959" i="3" s="1"/>
  <c r="E959" i="3" a="1"/>
  <c r="E959" i="3" s="1"/>
  <c r="F959" i="3" a="1"/>
  <c r="F959" i="3" s="1"/>
  <c r="G959" i="3" a="1"/>
  <c r="G959" i="3" s="1"/>
  <c r="J959" i="3" a="1"/>
  <c r="J959" i="3" s="1"/>
  <c r="B960" i="3" a="1"/>
  <c r="B960" i="3" s="1"/>
  <c r="C960" i="3" a="1"/>
  <c r="C960" i="3" s="1"/>
  <c r="D960" i="3" a="1"/>
  <c r="D960" i="3" s="1"/>
  <c r="E960" i="3" a="1"/>
  <c r="E960" i="3" s="1"/>
  <c r="F960" i="3" a="1"/>
  <c r="F960" i="3" s="1"/>
  <c r="G960" i="3" a="1"/>
  <c r="G960" i="3" s="1"/>
  <c r="J960" i="3" a="1"/>
  <c r="J960" i="3" s="1"/>
  <c r="B961" i="3" a="1"/>
  <c r="B961" i="3" s="1"/>
  <c r="C961" i="3" a="1"/>
  <c r="C961" i="3" s="1"/>
  <c r="D961" i="3" a="1"/>
  <c r="D961" i="3" s="1"/>
  <c r="E961" i="3" a="1"/>
  <c r="E961" i="3" s="1"/>
  <c r="F961" i="3" a="1"/>
  <c r="F961" i="3" s="1"/>
  <c r="G961" i="3" a="1"/>
  <c r="G961" i="3" s="1"/>
  <c r="J961" i="3" a="1"/>
  <c r="J961" i="3" s="1"/>
  <c r="B962" i="3" a="1"/>
  <c r="B962" i="3" s="1"/>
  <c r="C962" i="3" a="1"/>
  <c r="C962" i="3" s="1"/>
  <c r="D962" i="3" a="1"/>
  <c r="D962" i="3" s="1"/>
  <c r="E962" i="3" a="1"/>
  <c r="E962" i="3" s="1"/>
  <c r="F962" i="3" a="1"/>
  <c r="F962" i="3" s="1"/>
  <c r="G962" i="3" a="1"/>
  <c r="G962" i="3" s="1"/>
  <c r="J962" i="3" a="1"/>
  <c r="J962" i="3" s="1"/>
  <c r="B963" i="3" a="1"/>
  <c r="B963" i="3" s="1"/>
  <c r="C963" i="3" a="1"/>
  <c r="C963" i="3" s="1"/>
  <c r="D963" i="3" a="1"/>
  <c r="D963" i="3" s="1"/>
  <c r="E963" i="3" a="1"/>
  <c r="E963" i="3" s="1"/>
  <c r="F963" i="3" a="1"/>
  <c r="F963" i="3" s="1"/>
  <c r="G963" i="3" a="1"/>
  <c r="G963" i="3" s="1"/>
  <c r="J963" i="3" a="1"/>
  <c r="J963" i="3" s="1"/>
  <c r="B964" i="3" a="1"/>
  <c r="B964" i="3" s="1"/>
  <c r="C964" i="3" a="1"/>
  <c r="C964" i="3" s="1"/>
  <c r="D964" i="3" a="1"/>
  <c r="D964" i="3" s="1"/>
  <c r="E964" i="3" a="1"/>
  <c r="E964" i="3" s="1"/>
  <c r="F964" i="3" a="1"/>
  <c r="F964" i="3" s="1"/>
  <c r="G964" i="3" a="1"/>
  <c r="G964" i="3" s="1"/>
  <c r="J964" i="3" a="1"/>
  <c r="J964" i="3" s="1"/>
  <c r="B965" i="3" a="1"/>
  <c r="B965" i="3" s="1"/>
  <c r="C965" i="3" a="1"/>
  <c r="C965" i="3" s="1"/>
  <c r="D965" i="3" a="1"/>
  <c r="D965" i="3" s="1"/>
  <c r="E965" i="3" a="1"/>
  <c r="E965" i="3" s="1"/>
  <c r="F965" i="3" a="1"/>
  <c r="F965" i="3" s="1"/>
  <c r="G965" i="3" a="1"/>
  <c r="G965" i="3" s="1"/>
  <c r="J965" i="3" a="1"/>
  <c r="J965" i="3" s="1"/>
  <c r="B966" i="3" a="1"/>
  <c r="B966" i="3" s="1"/>
  <c r="C966" i="3" a="1"/>
  <c r="C966" i="3" s="1"/>
  <c r="D966" i="3" a="1"/>
  <c r="D966" i="3" s="1"/>
  <c r="E966" i="3" a="1"/>
  <c r="E966" i="3" s="1"/>
  <c r="F966" i="3" a="1"/>
  <c r="F966" i="3" s="1"/>
  <c r="G966" i="3" a="1"/>
  <c r="G966" i="3" s="1"/>
  <c r="J966" i="3" a="1"/>
  <c r="J966" i="3" s="1"/>
  <c r="B967" i="3" a="1"/>
  <c r="B967" i="3" s="1"/>
  <c r="C967" i="3" a="1"/>
  <c r="C967" i="3" s="1"/>
  <c r="D967" i="3" a="1"/>
  <c r="D967" i="3" s="1"/>
  <c r="E967" i="3" a="1"/>
  <c r="E967" i="3" s="1"/>
  <c r="F967" i="3" a="1"/>
  <c r="F967" i="3" s="1"/>
  <c r="G967" i="3" a="1"/>
  <c r="G967" i="3" s="1"/>
  <c r="J967" i="3" a="1"/>
  <c r="J967" i="3" s="1"/>
  <c r="B968" i="3" a="1"/>
  <c r="B968" i="3" s="1"/>
  <c r="C968" i="3" a="1"/>
  <c r="C968" i="3" s="1"/>
  <c r="D968" i="3" a="1"/>
  <c r="D968" i="3" s="1"/>
  <c r="E968" i="3" a="1"/>
  <c r="E968" i="3" s="1"/>
  <c r="F968" i="3" a="1"/>
  <c r="F968" i="3" s="1"/>
  <c r="G968" i="3" a="1"/>
  <c r="G968" i="3" s="1"/>
  <c r="J968" i="3" a="1"/>
  <c r="J968" i="3" s="1"/>
  <c r="B969" i="3" a="1"/>
  <c r="B969" i="3" s="1"/>
  <c r="C969" i="3" a="1"/>
  <c r="C969" i="3" s="1"/>
  <c r="D969" i="3" a="1"/>
  <c r="D969" i="3" s="1"/>
  <c r="E969" i="3" a="1"/>
  <c r="E969" i="3" s="1"/>
  <c r="F969" i="3" a="1"/>
  <c r="F969" i="3" s="1"/>
  <c r="G969" i="3" a="1"/>
  <c r="G969" i="3" s="1"/>
  <c r="J969" i="3" a="1"/>
  <c r="J969" i="3" s="1"/>
  <c r="B970" i="3" a="1"/>
  <c r="B970" i="3" s="1"/>
  <c r="C970" i="3" a="1"/>
  <c r="C970" i="3" s="1"/>
  <c r="D970" i="3" a="1"/>
  <c r="D970" i="3" s="1"/>
  <c r="E970" i="3" a="1"/>
  <c r="E970" i="3" s="1"/>
  <c r="F970" i="3" a="1"/>
  <c r="F970" i="3" s="1"/>
  <c r="G970" i="3" a="1"/>
  <c r="G970" i="3" s="1"/>
  <c r="J970" i="3" a="1"/>
  <c r="J970" i="3" s="1"/>
  <c r="B971" i="3" a="1"/>
  <c r="B971" i="3" s="1"/>
  <c r="C971" i="3" a="1"/>
  <c r="C971" i="3" s="1"/>
  <c r="D971" i="3" a="1"/>
  <c r="D971" i="3" s="1"/>
  <c r="E971" i="3" a="1"/>
  <c r="E971" i="3" s="1"/>
  <c r="F971" i="3" a="1"/>
  <c r="F971" i="3" s="1"/>
  <c r="G971" i="3" a="1"/>
  <c r="G971" i="3" s="1"/>
  <c r="J971" i="3" a="1"/>
  <c r="J971" i="3" s="1"/>
  <c r="B972" i="3" a="1"/>
  <c r="B972" i="3" s="1"/>
  <c r="C972" i="3" a="1"/>
  <c r="C972" i="3" s="1"/>
  <c r="D972" i="3" a="1"/>
  <c r="D972" i="3" s="1"/>
  <c r="E972" i="3" a="1"/>
  <c r="E972" i="3" s="1"/>
  <c r="F972" i="3" a="1"/>
  <c r="F972" i="3" s="1"/>
  <c r="G972" i="3" a="1"/>
  <c r="G972" i="3" s="1"/>
  <c r="J972" i="3" a="1"/>
  <c r="J972" i="3" s="1"/>
  <c r="B973" i="3" a="1"/>
  <c r="B973" i="3" s="1"/>
  <c r="C973" i="3" a="1"/>
  <c r="C973" i="3" s="1"/>
  <c r="D973" i="3" a="1"/>
  <c r="D973" i="3" s="1"/>
  <c r="E973" i="3" a="1"/>
  <c r="E973" i="3" s="1"/>
  <c r="F973" i="3" a="1"/>
  <c r="F973" i="3" s="1"/>
  <c r="G973" i="3" a="1"/>
  <c r="G973" i="3" s="1"/>
  <c r="J973" i="3" a="1"/>
  <c r="J973" i="3" s="1"/>
  <c r="B974" i="3" a="1"/>
  <c r="B974" i="3" s="1"/>
  <c r="C974" i="3" a="1"/>
  <c r="C974" i="3" s="1"/>
  <c r="D974" i="3" a="1"/>
  <c r="D974" i="3" s="1"/>
  <c r="E974" i="3" a="1"/>
  <c r="E974" i="3" s="1"/>
  <c r="F974" i="3" a="1"/>
  <c r="F974" i="3" s="1"/>
  <c r="G974" i="3" a="1"/>
  <c r="G974" i="3" s="1"/>
  <c r="J974" i="3" a="1"/>
  <c r="J974" i="3" s="1"/>
  <c r="B975" i="3" a="1"/>
  <c r="B975" i="3" s="1"/>
  <c r="C975" i="3" a="1"/>
  <c r="C975" i="3" s="1"/>
  <c r="D975" i="3" a="1"/>
  <c r="D975" i="3" s="1"/>
  <c r="E975" i="3" a="1"/>
  <c r="E975" i="3" s="1"/>
  <c r="F975" i="3" a="1"/>
  <c r="F975" i="3" s="1"/>
  <c r="G975" i="3" a="1"/>
  <c r="G975" i="3" s="1"/>
  <c r="J975" i="3" a="1"/>
  <c r="J975" i="3" s="1"/>
  <c r="B976" i="3" a="1"/>
  <c r="B976" i="3" s="1"/>
  <c r="C976" i="3" a="1"/>
  <c r="C976" i="3" s="1"/>
  <c r="D976" i="3" a="1"/>
  <c r="D976" i="3" s="1"/>
  <c r="E976" i="3" a="1"/>
  <c r="E976" i="3" s="1"/>
  <c r="F976" i="3" a="1"/>
  <c r="F976" i="3" s="1"/>
  <c r="G976" i="3" a="1"/>
  <c r="G976" i="3" s="1"/>
  <c r="J976" i="3" a="1"/>
  <c r="J976" i="3" s="1"/>
  <c r="B977" i="3" a="1"/>
  <c r="B977" i="3" s="1"/>
  <c r="C977" i="3" a="1"/>
  <c r="C977" i="3" s="1"/>
  <c r="D977" i="3" a="1"/>
  <c r="D977" i="3" s="1"/>
  <c r="E977" i="3" a="1"/>
  <c r="E977" i="3" s="1"/>
  <c r="F977" i="3" a="1"/>
  <c r="F977" i="3" s="1"/>
  <c r="G977" i="3" a="1"/>
  <c r="G977" i="3" s="1"/>
  <c r="J977" i="3" a="1"/>
  <c r="J977" i="3" s="1"/>
  <c r="B978" i="3" a="1"/>
  <c r="B978" i="3" s="1"/>
  <c r="C978" i="3" a="1"/>
  <c r="C978" i="3" s="1"/>
  <c r="D978" i="3" a="1"/>
  <c r="D978" i="3" s="1"/>
  <c r="E978" i="3" a="1"/>
  <c r="E978" i="3" s="1"/>
  <c r="F978" i="3" a="1"/>
  <c r="F978" i="3" s="1"/>
  <c r="G978" i="3" a="1"/>
  <c r="G978" i="3" s="1"/>
  <c r="J978" i="3" a="1"/>
  <c r="J978" i="3" s="1"/>
  <c r="B979" i="3" a="1"/>
  <c r="B979" i="3" s="1"/>
  <c r="C979" i="3" a="1"/>
  <c r="C979" i="3" s="1"/>
  <c r="D979" i="3" a="1"/>
  <c r="D979" i="3" s="1"/>
  <c r="E979" i="3" a="1"/>
  <c r="E979" i="3" s="1"/>
  <c r="F979" i="3" a="1"/>
  <c r="F979" i="3" s="1"/>
  <c r="G979" i="3" a="1"/>
  <c r="G979" i="3" s="1"/>
  <c r="J979" i="3" a="1"/>
  <c r="J979" i="3" s="1"/>
  <c r="B980" i="3" a="1"/>
  <c r="B980" i="3" s="1"/>
  <c r="C980" i="3" a="1"/>
  <c r="C980" i="3" s="1"/>
  <c r="D980" i="3" a="1"/>
  <c r="D980" i="3" s="1"/>
  <c r="E980" i="3" a="1"/>
  <c r="E980" i="3" s="1"/>
  <c r="F980" i="3" a="1"/>
  <c r="F980" i="3" s="1"/>
  <c r="G980" i="3" a="1"/>
  <c r="G980" i="3" s="1"/>
  <c r="J980" i="3" a="1"/>
  <c r="J980" i="3" s="1"/>
  <c r="B981" i="3" a="1"/>
  <c r="B981" i="3" s="1"/>
  <c r="C981" i="3" a="1"/>
  <c r="C981" i="3" s="1"/>
  <c r="D981" i="3" a="1"/>
  <c r="D981" i="3" s="1"/>
  <c r="E981" i="3" a="1"/>
  <c r="E981" i="3" s="1"/>
  <c r="F981" i="3" a="1"/>
  <c r="F981" i="3" s="1"/>
  <c r="G981" i="3" a="1"/>
  <c r="G981" i="3" s="1"/>
  <c r="J981" i="3" a="1"/>
  <c r="J981" i="3" s="1"/>
  <c r="B982" i="3" a="1"/>
  <c r="B982" i="3" s="1"/>
  <c r="C982" i="3" a="1"/>
  <c r="C982" i="3" s="1"/>
  <c r="D982" i="3" a="1"/>
  <c r="D982" i="3" s="1"/>
  <c r="E982" i="3" a="1"/>
  <c r="E982" i="3" s="1"/>
  <c r="F982" i="3" a="1"/>
  <c r="F982" i="3" s="1"/>
  <c r="G982" i="3" a="1"/>
  <c r="G982" i="3" s="1"/>
  <c r="J982" i="3" a="1"/>
  <c r="J982" i="3" s="1"/>
  <c r="B983" i="3" a="1"/>
  <c r="B983" i="3" s="1"/>
  <c r="C983" i="3" a="1"/>
  <c r="C983" i="3" s="1"/>
  <c r="D983" i="3" a="1"/>
  <c r="D983" i="3" s="1"/>
  <c r="E983" i="3" a="1"/>
  <c r="E983" i="3" s="1"/>
  <c r="F983" i="3" a="1"/>
  <c r="F983" i="3" s="1"/>
  <c r="G983" i="3" a="1"/>
  <c r="G983" i="3" s="1"/>
  <c r="J983" i="3" a="1"/>
  <c r="J983" i="3" s="1"/>
  <c r="B984" i="3" a="1"/>
  <c r="B984" i="3" s="1"/>
  <c r="C984" i="3" a="1"/>
  <c r="C984" i="3" s="1"/>
  <c r="D984" i="3" a="1"/>
  <c r="D984" i="3" s="1"/>
  <c r="E984" i="3" a="1"/>
  <c r="E984" i="3" s="1"/>
  <c r="F984" i="3" a="1"/>
  <c r="F984" i="3" s="1"/>
  <c r="G984" i="3" a="1"/>
  <c r="G984" i="3" s="1"/>
  <c r="J984" i="3" a="1"/>
  <c r="J984" i="3" s="1"/>
  <c r="B985" i="3" a="1"/>
  <c r="B985" i="3" s="1"/>
  <c r="C985" i="3" a="1"/>
  <c r="C985" i="3" s="1"/>
  <c r="D985" i="3" a="1"/>
  <c r="D985" i="3" s="1"/>
  <c r="E985" i="3" a="1"/>
  <c r="E985" i="3" s="1"/>
  <c r="F985" i="3" a="1"/>
  <c r="F985" i="3" s="1"/>
  <c r="G985" i="3" a="1"/>
  <c r="G985" i="3" s="1"/>
  <c r="J985" i="3" a="1"/>
  <c r="J985" i="3" s="1"/>
  <c r="B986" i="3" a="1"/>
  <c r="B986" i="3" s="1"/>
  <c r="C986" i="3" a="1"/>
  <c r="C986" i="3" s="1"/>
  <c r="D986" i="3" a="1"/>
  <c r="D986" i="3" s="1"/>
  <c r="E986" i="3" a="1"/>
  <c r="E986" i="3" s="1"/>
  <c r="F986" i="3" a="1"/>
  <c r="F986" i="3" s="1"/>
  <c r="G986" i="3" a="1"/>
  <c r="G986" i="3" s="1"/>
  <c r="J986" i="3" a="1"/>
  <c r="J986" i="3" s="1"/>
  <c r="B987" i="3" a="1"/>
  <c r="B987" i="3" s="1"/>
  <c r="C987" i="3" a="1"/>
  <c r="C987" i="3" s="1"/>
  <c r="D987" i="3" a="1"/>
  <c r="D987" i="3" s="1"/>
  <c r="E987" i="3" a="1"/>
  <c r="E987" i="3" s="1"/>
  <c r="F987" i="3" a="1"/>
  <c r="F987" i="3" s="1"/>
  <c r="G987" i="3" a="1"/>
  <c r="G987" i="3" s="1"/>
  <c r="J987" i="3" a="1"/>
  <c r="J987" i="3" s="1"/>
  <c r="B988" i="3" a="1"/>
  <c r="B988" i="3" s="1"/>
  <c r="C988" i="3" a="1"/>
  <c r="C988" i="3" s="1"/>
  <c r="D988" i="3" a="1"/>
  <c r="D988" i="3" s="1"/>
  <c r="E988" i="3" a="1"/>
  <c r="E988" i="3" s="1"/>
  <c r="F988" i="3" a="1"/>
  <c r="F988" i="3" s="1"/>
  <c r="G988" i="3" a="1"/>
  <c r="G988" i="3" s="1"/>
  <c r="J988" i="3" a="1"/>
  <c r="J988" i="3" s="1"/>
  <c r="B989" i="3" a="1"/>
  <c r="B989" i="3" s="1"/>
  <c r="C989" i="3" a="1"/>
  <c r="C989" i="3" s="1"/>
  <c r="D989" i="3" a="1"/>
  <c r="D989" i="3" s="1"/>
  <c r="E989" i="3" a="1"/>
  <c r="E989" i="3" s="1"/>
  <c r="F989" i="3" a="1"/>
  <c r="F989" i="3" s="1"/>
  <c r="G989" i="3" a="1"/>
  <c r="G989" i="3" s="1"/>
  <c r="J989" i="3" a="1"/>
  <c r="J989" i="3" s="1"/>
  <c r="B990" i="3" a="1"/>
  <c r="B990" i="3" s="1"/>
  <c r="C990" i="3" a="1"/>
  <c r="C990" i="3" s="1"/>
  <c r="D990" i="3" a="1"/>
  <c r="D990" i="3" s="1"/>
  <c r="E990" i="3" a="1"/>
  <c r="E990" i="3" s="1"/>
  <c r="F990" i="3" a="1"/>
  <c r="F990" i="3" s="1"/>
  <c r="G990" i="3" a="1"/>
  <c r="G990" i="3" s="1"/>
  <c r="J990" i="3" a="1"/>
  <c r="J990" i="3" s="1"/>
  <c r="B991" i="3" a="1"/>
  <c r="B991" i="3" s="1"/>
  <c r="C991" i="3" a="1"/>
  <c r="C991" i="3" s="1"/>
  <c r="D991" i="3" a="1"/>
  <c r="D991" i="3" s="1"/>
  <c r="E991" i="3" a="1"/>
  <c r="E991" i="3" s="1"/>
  <c r="F991" i="3" a="1"/>
  <c r="F991" i="3" s="1"/>
  <c r="G991" i="3" a="1"/>
  <c r="G991" i="3" s="1"/>
  <c r="J991" i="3" a="1"/>
  <c r="J991" i="3" s="1"/>
  <c r="B992" i="3" a="1"/>
  <c r="B992" i="3" s="1"/>
  <c r="C992" i="3" a="1"/>
  <c r="C992" i="3" s="1"/>
  <c r="D992" i="3" a="1"/>
  <c r="D992" i="3" s="1"/>
  <c r="E992" i="3" a="1"/>
  <c r="E992" i="3" s="1"/>
  <c r="F992" i="3" a="1"/>
  <c r="F992" i="3" s="1"/>
  <c r="G992" i="3" a="1"/>
  <c r="G992" i="3" s="1"/>
  <c r="J992" i="3" a="1"/>
  <c r="J992" i="3" s="1"/>
  <c r="B993" i="3" a="1"/>
  <c r="B993" i="3" s="1"/>
  <c r="C993" i="3" a="1"/>
  <c r="C993" i="3" s="1"/>
  <c r="D993" i="3" a="1"/>
  <c r="D993" i="3" s="1"/>
  <c r="E993" i="3" a="1"/>
  <c r="E993" i="3" s="1"/>
  <c r="F993" i="3" a="1"/>
  <c r="F993" i="3" s="1"/>
  <c r="G993" i="3" a="1"/>
  <c r="G993" i="3" s="1"/>
  <c r="J993" i="3" a="1"/>
  <c r="J993" i="3" s="1"/>
  <c r="B994" i="3" a="1"/>
  <c r="B994" i="3" s="1"/>
  <c r="C994" i="3" a="1"/>
  <c r="C994" i="3" s="1"/>
  <c r="D994" i="3" a="1"/>
  <c r="D994" i="3" s="1"/>
  <c r="E994" i="3" a="1"/>
  <c r="E994" i="3" s="1"/>
  <c r="F994" i="3" a="1"/>
  <c r="F994" i="3" s="1"/>
  <c r="G994" i="3" a="1"/>
  <c r="G994" i="3" s="1"/>
  <c r="J994" i="3" a="1"/>
  <c r="J994" i="3" s="1"/>
  <c r="B995" i="3" a="1"/>
  <c r="B995" i="3" s="1"/>
  <c r="C995" i="3" a="1"/>
  <c r="C995" i="3" s="1"/>
  <c r="D995" i="3" a="1"/>
  <c r="D995" i="3" s="1"/>
  <c r="E995" i="3" a="1"/>
  <c r="E995" i="3" s="1"/>
  <c r="F995" i="3" a="1"/>
  <c r="F995" i="3" s="1"/>
  <c r="G995" i="3" a="1"/>
  <c r="G995" i="3" s="1"/>
  <c r="J995" i="3" a="1"/>
  <c r="J995" i="3" s="1"/>
  <c r="B996" i="3" a="1"/>
  <c r="B996" i="3" s="1"/>
  <c r="C996" i="3" a="1"/>
  <c r="C996" i="3" s="1"/>
  <c r="D996" i="3" a="1"/>
  <c r="D996" i="3" s="1"/>
  <c r="E996" i="3" a="1"/>
  <c r="E996" i="3" s="1"/>
  <c r="F996" i="3" a="1"/>
  <c r="F996" i="3" s="1"/>
  <c r="G996" i="3" a="1"/>
  <c r="G996" i="3" s="1"/>
  <c r="J996" i="3" a="1"/>
  <c r="J996" i="3" s="1"/>
  <c r="B997" i="3" a="1"/>
  <c r="B997" i="3" s="1"/>
  <c r="C997" i="3" a="1"/>
  <c r="C997" i="3" s="1"/>
  <c r="D997" i="3" a="1"/>
  <c r="D997" i="3" s="1"/>
  <c r="E997" i="3" a="1"/>
  <c r="E997" i="3" s="1"/>
  <c r="F997" i="3" a="1"/>
  <c r="F997" i="3" s="1"/>
  <c r="G997" i="3" a="1"/>
  <c r="G997" i="3" s="1"/>
  <c r="J997" i="3" a="1"/>
  <c r="J997" i="3" s="1"/>
  <c r="B998" i="3" a="1"/>
  <c r="B998" i="3" s="1"/>
  <c r="C998" i="3" a="1"/>
  <c r="C998" i="3" s="1"/>
  <c r="D998" i="3" a="1"/>
  <c r="D998" i="3" s="1"/>
  <c r="E998" i="3" a="1"/>
  <c r="E998" i="3" s="1"/>
  <c r="F998" i="3" a="1"/>
  <c r="F998" i="3" s="1"/>
  <c r="G998" i="3" a="1"/>
  <c r="G998" i="3" s="1"/>
  <c r="J998" i="3" a="1"/>
  <c r="J998" i="3" s="1"/>
  <c r="B999" i="3" a="1"/>
  <c r="B999" i="3" s="1"/>
  <c r="C999" i="3" a="1"/>
  <c r="C999" i="3" s="1"/>
  <c r="D999" i="3" a="1"/>
  <c r="D999" i="3" s="1"/>
  <c r="E999" i="3" a="1"/>
  <c r="E999" i="3" s="1"/>
  <c r="F999" i="3" a="1"/>
  <c r="F999" i="3" s="1"/>
  <c r="G999" i="3" a="1"/>
  <c r="G999" i="3" s="1"/>
  <c r="J999" i="3" a="1"/>
  <c r="J999" i="3" s="1"/>
  <c r="B1000" i="3" a="1"/>
  <c r="B1000" i="3" s="1"/>
  <c r="C1000" i="3" a="1"/>
  <c r="C1000" i="3" s="1"/>
  <c r="D1000" i="3" a="1"/>
  <c r="D1000" i="3" s="1"/>
  <c r="E1000" i="3" a="1"/>
  <c r="E1000" i="3" s="1"/>
  <c r="F1000" i="3" a="1"/>
  <c r="F1000" i="3" s="1"/>
  <c r="G1000" i="3" a="1"/>
  <c r="G1000" i="3" s="1"/>
  <c r="J1000" i="3" a="1"/>
  <c r="J1000" i="3" s="1"/>
  <c r="B1001" i="3" a="1"/>
  <c r="B1001" i="3" s="1"/>
  <c r="C1001" i="3" a="1"/>
  <c r="C1001" i="3" s="1"/>
  <c r="D1001" i="3" a="1"/>
  <c r="D1001" i="3" s="1"/>
  <c r="E1001" i="3" a="1"/>
  <c r="E1001" i="3" s="1"/>
  <c r="F1001" i="3" a="1"/>
  <c r="F1001" i="3" s="1"/>
  <c r="G1001" i="3" a="1"/>
  <c r="G1001" i="3" s="1"/>
  <c r="J1001" i="3" a="1"/>
  <c r="J1001" i="3" s="1"/>
  <c r="B1002" i="3" a="1"/>
  <c r="B1002" i="3" s="1"/>
  <c r="C1002" i="3" a="1"/>
  <c r="C1002" i="3" s="1"/>
  <c r="D1002" i="3" a="1"/>
  <c r="D1002" i="3" s="1"/>
  <c r="E1002" i="3" a="1"/>
  <c r="E1002" i="3" s="1"/>
  <c r="F1002" i="3" a="1"/>
  <c r="F1002" i="3" s="1"/>
  <c r="G1002" i="3" a="1"/>
  <c r="G1002" i="3" s="1"/>
  <c r="J1002" i="3" a="1"/>
  <c r="J1002" i="3" s="1"/>
  <c r="B1003" i="3" a="1"/>
  <c r="B1003" i="3" s="1"/>
  <c r="C1003" i="3" a="1"/>
  <c r="C1003" i="3" s="1"/>
  <c r="D1003" i="3" a="1"/>
  <c r="D1003" i="3" s="1"/>
  <c r="E1003" i="3" a="1"/>
  <c r="E1003" i="3" s="1"/>
  <c r="F1003" i="3" a="1"/>
  <c r="F1003" i="3" s="1"/>
  <c r="G1003" i="3" a="1"/>
  <c r="G1003" i="3" s="1"/>
  <c r="J1003" i="3" a="1"/>
  <c r="J1003" i="3" s="1"/>
  <c r="B1004" i="3" a="1"/>
  <c r="B1004" i="3" s="1"/>
  <c r="C1004" i="3" a="1"/>
  <c r="C1004" i="3" s="1"/>
  <c r="D1004" i="3" a="1"/>
  <c r="D1004" i="3" s="1"/>
  <c r="E1004" i="3" a="1"/>
  <c r="E1004" i="3" s="1"/>
  <c r="F1004" i="3" a="1"/>
  <c r="F1004" i="3" s="1"/>
  <c r="G1004" i="3" a="1"/>
  <c r="G1004" i="3" s="1"/>
  <c r="J1004" i="3" a="1"/>
  <c r="J1004" i="3" s="1"/>
  <c r="B1005" i="3" a="1"/>
  <c r="B1005" i="3" s="1"/>
  <c r="C1005" i="3" a="1"/>
  <c r="C1005" i="3" s="1"/>
  <c r="D1005" i="3" a="1"/>
  <c r="D1005" i="3" s="1"/>
  <c r="E1005" i="3" a="1"/>
  <c r="E1005" i="3" s="1"/>
  <c r="F1005" i="3" a="1"/>
  <c r="F1005" i="3" s="1"/>
  <c r="G1005" i="3" a="1"/>
  <c r="G1005" i="3" s="1"/>
  <c r="J1005" i="3" a="1"/>
  <c r="J1005" i="3" s="1"/>
  <c r="B1006" i="3" a="1"/>
  <c r="B1006" i="3" s="1"/>
  <c r="C1006" i="3" a="1"/>
  <c r="C1006" i="3" s="1"/>
  <c r="D1006" i="3" a="1"/>
  <c r="D1006" i="3" s="1"/>
  <c r="E1006" i="3" a="1"/>
  <c r="E1006" i="3" s="1"/>
  <c r="F1006" i="3" a="1"/>
  <c r="F1006" i="3" s="1"/>
  <c r="G1006" i="3" a="1"/>
  <c r="G1006" i="3" s="1"/>
  <c r="J1006" i="3" a="1"/>
  <c r="J1006" i="3" s="1"/>
  <c r="B1007" i="3" a="1"/>
  <c r="B1007" i="3" s="1"/>
  <c r="C1007" i="3" a="1"/>
  <c r="C1007" i="3" s="1"/>
  <c r="D1007" i="3" a="1"/>
  <c r="D1007" i="3" s="1"/>
  <c r="E1007" i="3" a="1"/>
  <c r="E1007" i="3" s="1"/>
  <c r="F1007" i="3" a="1"/>
  <c r="F1007" i="3" s="1"/>
  <c r="G1007" i="3" a="1"/>
  <c r="G1007" i="3" s="1"/>
  <c r="J1007" i="3" a="1"/>
  <c r="J1007" i="3" s="1"/>
  <c r="B1008" i="3" a="1"/>
  <c r="B1008" i="3" s="1"/>
  <c r="C1008" i="3" a="1"/>
  <c r="C1008" i="3" s="1"/>
  <c r="D1008" i="3" a="1"/>
  <c r="D1008" i="3" s="1"/>
  <c r="E1008" i="3" a="1"/>
  <c r="E1008" i="3" s="1"/>
  <c r="F1008" i="3" a="1"/>
  <c r="F1008" i="3" s="1"/>
  <c r="G1008" i="3" a="1"/>
  <c r="G1008" i="3" s="1"/>
  <c r="J1008" i="3" a="1"/>
  <c r="J1008" i="3" s="1"/>
  <c r="B1009" i="3" a="1"/>
  <c r="B1009" i="3" s="1"/>
  <c r="C1009" i="3" a="1"/>
  <c r="C1009" i="3" s="1"/>
  <c r="D1009" i="3" a="1"/>
  <c r="D1009" i="3" s="1"/>
  <c r="E1009" i="3" a="1"/>
  <c r="E1009" i="3" s="1"/>
  <c r="F1009" i="3" a="1"/>
  <c r="F1009" i="3" s="1"/>
  <c r="G1009" i="3" a="1"/>
  <c r="G1009" i="3" s="1"/>
  <c r="J1009" i="3" a="1"/>
  <c r="J1009" i="3" s="1"/>
  <c r="B1010" i="3" a="1"/>
  <c r="B1010" i="3" s="1"/>
  <c r="C1010" i="3" a="1"/>
  <c r="C1010" i="3" s="1"/>
  <c r="D1010" i="3" a="1"/>
  <c r="D1010" i="3" s="1"/>
  <c r="E1010" i="3" a="1"/>
  <c r="E1010" i="3" s="1"/>
  <c r="F1010" i="3" a="1"/>
  <c r="F1010" i="3" s="1"/>
  <c r="G1010" i="3" a="1"/>
  <c r="G1010" i="3" s="1"/>
  <c r="J1010" i="3" a="1"/>
  <c r="J1010" i="3" s="1"/>
  <c r="B1011" i="3" a="1"/>
  <c r="B1011" i="3" s="1"/>
  <c r="C1011" i="3" a="1"/>
  <c r="C1011" i="3" s="1"/>
  <c r="D1011" i="3" a="1"/>
  <c r="D1011" i="3" s="1"/>
  <c r="E1011" i="3" a="1"/>
  <c r="E1011" i="3" s="1"/>
  <c r="F1011" i="3" a="1"/>
  <c r="F1011" i="3" s="1"/>
  <c r="G1011" i="3" a="1"/>
  <c r="G1011" i="3" s="1"/>
  <c r="J1011" i="3" a="1"/>
  <c r="J1011" i="3" s="1"/>
  <c r="B1012" i="3" a="1"/>
  <c r="B1012" i="3" s="1"/>
  <c r="C1012" i="3" a="1"/>
  <c r="C1012" i="3" s="1"/>
  <c r="D1012" i="3" a="1"/>
  <c r="D1012" i="3" s="1"/>
  <c r="E1012" i="3" a="1"/>
  <c r="E1012" i="3" s="1"/>
  <c r="F1012" i="3" a="1"/>
  <c r="F1012" i="3" s="1"/>
  <c r="G1012" i="3" a="1"/>
  <c r="G1012" i="3" s="1"/>
  <c r="J1012" i="3" a="1"/>
  <c r="J1012" i="3" s="1"/>
  <c r="B1013" i="3" a="1"/>
  <c r="B1013" i="3" s="1"/>
  <c r="C1013" i="3" a="1"/>
  <c r="C1013" i="3" s="1"/>
  <c r="D1013" i="3" a="1"/>
  <c r="D1013" i="3" s="1"/>
  <c r="E1013" i="3" a="1"/>
  <c r="E1013" i="3" s="1"/>
  <c r="F1013" i="3" a="1"/>
  <c r="F1013" i="3" s="1"/>
  <c r="G1013" i="3" a="1"/>
  <c r="G1013" i="3" s="1"/>
  <c r="J1013" i="3" a="1"/>
  <c r="J1013" i="3" s="1"/>
  <c r="B1014" i="3" a="1"/>
  <c r="B1014" i="3" s="1"/>
  <c r="C1014" i="3" a="1"/>
  <c r="C1014" i="3" s="1"/>
  <c r="D1014" i="3" a="1"/>
  <c r="D1014" i="3" s="1"/>
  <c r="E1014" i="3" a="1"/>
  <c r="E1014" i="3" s="1"/>
  <c r="F1014" i="3" a="1"/>
  <c r="F1014" i="3" s="1"/>
  <c r="G1014" i="3" a="1"/>
  <c r="G1014" i="3" s="1"/>
  <c r="J1014" i="3" a="1"/>
  <c r="J1014" i="3" s="1"/>
  <c r="B1015" i="3" a="1"/>
  <c r="B1015" i="3" s="1"/>
  <c r="C1015" i="3" a="1"/>
  <c r="C1015" i="3" s="1"/>
  <c r="D1015" i="3" a="1"/>
  <c r="D1015" i="3" s="1"/>
  <c r="E1015" i="3" a="1"/>
  <c r="E1015" i="3" s="1"/>
  <c r="F1015" i="3" a="1"/>
  <c r="F1015" i="3" s="1"/>
  <c r="G1015" i="3" a="1"/>
  <c r="G1015" i="3" s="1"/>
  <c r="J1015" i="3" a="1"/>
  <c r="J1015" i="3" s="1"/>
  <c r="B1016" i="3" a="1"/>
  <c r="B1016" i="3" s="1"/>
  <c r="C1016" i="3" a="1"/>
  <c r="C1016" i="3" s="1"/>
  <c r="D1016" i="3" a="1"/>
  <c r="D1016" i="3" s="1"/>
  <c r="E1016" i="3" a="1"/>
  <c r="E1016" i="3" s="1"/>
  <c r="F1016" i="3" a="1"/>
  <c r="F1016" i="3" s="1"/>
  <c r="G1016" i="3" a="1"/>
  <c r="G1016" i="3" s="1"/>
  <c r="J1016" i="3" a="1"/>
  <c r="J1016" i="3" s="1"/>
  <c r="B1017" i="3" a="1"/>
  <c r="B1017" i="3" s="1"/>
  <c r="C1017" i="3" a="1"/>
  <c r="C1017" i="3" s="1"/>
  <c r="D1017" i="3" a="1"/>
  <c r="D1017" i="3" s="1"/>
  <c r="E1017" i="3" a="1"/>
  <c r="E1017" i="3" s="1"/>
  <c r="F1017" i="3" a="1"/>
  <c r="F1017" i="3" s="1"/>
  <c r="G1017" i="3" a="1"/>
  <c r="G1017" i="3" s="1"/>
  <c r="J1017" i="3" a="1"/>
  <c r="J1017" i="3" s="1"/>
  <c r="B1018" i="3" a="1"/>
  <c r="B1018" i="3" s="1"/>
  <c r="C1018" i="3" a="1"/>
  <c r="C1018" i="3" s="1"/>
  <c r="D1018" i="3" a="1"/>
  <c r="D1018" i="3" s="1"/>
  <c r="E1018" i="3" a="1"/>
  <c r="E1018" i="3" s="1"/>
  <c r="F1018" i="3" a="1"/>
  <c r="F1018" i="3" s="1"/>
  <c r="G1018" i="3" a="1"/>
  <c r="G1018" i="3" s="1"/>
  <c r="J1018" i="3" a="1"/>
  <c r="J1018" i="3" s="1"/>
  <c r="B1019" i="3" a="1"/>
  <c r="B1019" i="3" s="1"/>
  <c r="C1019" i="3" a="1"/>
  <c r="C1019" i="3" s="1"/>
  <c r="D1019" i="3" a="1"/>
  <c r="D1019" i="3" s="1"/>
  <c r="E1019" i="3" a="1"/>
  <c r="E1019" i="3" s="1"/>
  <c r="F1019" i="3" a="1"/>
  <c r="F1019" i="3" s="1"/>
  <c r="G1019" i="3" a="1"/>
  <c r="G1019" i="3" s="1"/>
  <c r="J1019" i="3" a="1"/>
  <c r="J1019" i="3" s="1"/>
  <c r="B1020" i="3" a="1"/>
  <c r="B1020" i="3" s="1"/>
  <c r="C1020" i="3" a="1"/>
  <c r="C1020" i="3" s="1"/>
  <c r="D1020" i="3" a="1"/>
  <c r="D1020" i="3" s="1"/>
  <c r="E1020" i="3" a="1"/>
  <c r="E1020" i="3" s="1"/>
  <c r="F1020" i="3" a="1"/>
  <c r="F1020" i="3" s="1"/>
  <c r="G1020" i="3" a="1"/>
  <c r="G1020" i="3" s="1"/>
  <c r="J1020" i="3" a="1"/>
  <c r="J1020" i="3" s="1"/>
  <c r="B1021" i="3" a="1"/>
  <c r="B1021" i="3" s="1"/>
  <c r="C1021" i="3" a="1"/>
  <c r="C1021" i="3" s="1"/>
  <c r="D1021" i="3" a="1"/>
  <c r="D1021" i="3" s="1"/>
  <c r="E1021" i="3" a="1"/>
  <c r="E1021" i="3" s="1"/>
  <c r="F1021" i="3" a="1"/>
  <c r="F1021" i="3" s="1"/>
  <c r="G1021" i="3" a="1"/>
  <c r="G1021" i="3" s="1"/>
  <c r="J1021" i="3" a="1"/>
  <c r="J1021" i="3" s="1"/>
  <c r="B1022" i="3" a="1"/>
  <c r="B1022" i="3" s="1"/>
  <c r="C1022" i="3" a="1"/>
  <c r="C1022" i="3" s="1"/>
  <c r="D1022" i="3" a="1"/>
  <c r="D1022" i="3" s="1"/>
  <c r="E1022" i="3" a="1"/>
  <c r="E1022" i="3" s="1"/>
  <c r="F1022" i="3" a="1"/>
  <c r="F1022" i="3" s="1"/>
  <c r="G1022" i="3" a="1"/>
  <c r="G1022" i="3" s="1"/>
  <c r="J1022" i="3" a="1"/>
  <c r="J1022" i="3" s="1"/>
  <c r="B1023" i="3" a="1"/>
  <c r="B1023" i="3" s="1"/>
  <c r="C1023" i="3" a="1"/>
  <c r="C1023" i="3" s="1"/>
  <c r="D1023" i="3" a="1"/>
  <c r="D1023" i="3" s="1"/>
  <c r="E1023" i="3" a="1"/>
  <c r="E1023" i="3" s="1"/>
  <c r="F1023" i="3" a="1"/>
  <c r="F1023" i="3" s="1"/>
  <c r="G1023" i="3" a="1"/>
  <c r="G1023" i="3" s="1"/>
  <c r="J1023" i="3" a="1"/>
  <c r="J1023" i="3" s="1"/>
  <c r="B1024" i="3" a="1"/>
  <c r="B1024" i="3" s="1"/>
  <c r="C1024" i="3" a="1"/>
  <c r="C1024" i="3" s="1"/>
  <c r="D1024" i="3" a="1"/>
  <c r="D1024" i="3" s="1"/>
  <c r="E1024" i="3" a="1"/>
  <c r="E1024" i="3" s="1"/>
  <c r="F1024" i="3" a="1"/>
  <c r="F1024" i="3" s="1"/>
  <c r="G1024" i="3" a="1"/>
  <c r="G1024" i="3" s="1"/>
  <c r="J1024" i="3" a="1"/>
  <c r="J1024" i="3" s="1"/>
  <c r="B1025" i="3" a="1"/>
  <c r="B1025" i="3" s="1"/>
  <c r="C1025" i="3" a="1"/>
  <c r="C1025" i="3" s="1"/>
  <c r="D1025" i="3" a="1"/>
  <c r="D1025" i="3" s="1"/>
  <c r="E1025" i="3" a="1"/>
  <c r="E1025" i="3" s="1"/>
  <c r="F1025" i="3" a="1"/>
  <c r="F1025" i="3" s="1"/>
  <c r="G1025" i="3" a="1"/>
  <c r="G1025" i="3" s="1"/>
  <c r="J1025" i="3" a="1"/>
  <c r="J1025" i="3" s="1"/>
  <c r="B1026" i="3" a="1"/>
  <c r="B1026" i="3" s="1"/>
  <c r="C1026" i="3" a="1"/>
  <c r="C1026" i="3" s="1"/>
  <c r="D1026" i="3" a="1"/>
  <c r="D1026" i="3" s="1"/>
  <c r="E1026" i="3" a="1"/>
  <c r="E1026" i="3" s="1"/>
  <c r="F1026" i="3" a="1"/>
  <c r="F1026" i="3" s="1"/>
  <c r="G1026" i="3" a="1"/>
  <c r="G1026" i="3" s="1"/>
  <c r="J1026" i="3" a="1"/>
  <c r="J1026" i="3" s="1"/>
  <c r="B1027" i="3" a="1"/>
  <c r="B1027" i="3" s="1"/>
  <c r="C1027" i="3" a="1"/>
  <c r="C1027" i="3" s="1"/>
  <c r="D1027" i="3" a="1"/>
  <c r="D1027" i="3" s="1"/>
  <c r="E1027" i="3" a="1"/>
  <c r="E1027" i="3" s="1"/>
  <c r="F1027" i="3" a="1"/>
  <c r="F1027" i="3" s="1"/>
  <c r="G1027" i="3" a="1"/>
  <c r="G1027" i="3" s="1"/>
  <c r="J1027" i="3" a="1"/>
  <c r="J1027" i="3" s="1"/>
  <c r="B1028" i="3" a="1"/>
  <c r="B1028" i="3" s="1"/>
  <c r="C1028" i="3" a="1"/>
  <c r="C1028" i="3" s="1"/>
  <c r="D1028" i="3" a="1"/>
  <c r="D1028" i="3" s="1"/>
  <c r="E1028" i="3" a="1"/>
  <c r="E1028" i="3" s="1"/>
  <c r="F1028" i="3" a="1"/>
  <c r="F1028" i="3" s="1"/>
  <c r="G1028" i="3" a="1"/>
  <c r="G1028" i="3" s="1"/>
  <c r="J1028" i="3" a="1"/>
  <c r="J1028" i="3" s="1"/>
  <c r="B1029" i="3" a="1"/>
  <c r="B1029" i="3" s="1"/>
  <c r="C1029" i="3" a="1"/>
  <c r="C1029" i="3" s="1"/>
  <c r="D1029" i="3" a="1"/>
  <c r="D1029" i="3" s="1"/>
  <c r="E1029" i="3" a="1"/>
  <c r="E1029" i="3" s="1"/>
  <c r="F1029" i="3" a="1"/>
  <c r="F1029" i="3" s="1"/>
  <c r="G1029" i="3" a="1"/>
  <c r="G1029" i="3" s="1"/>
  <c r="J1029" i="3" a="1"/>
  <c r="J1029" i="3" s="1"/>
  <c r="B1030" i="3" a="1"/>
  <c r="B1030" i="3" s="1"/>
  <c r="C1030" i="3" a="1"/>
  <c r="C1030" i="3" s="1"/>
  <c r="D1030" i="3" a="1"/>
  <c r="D1030" i="3" s="1"/>
  <c r="E1030" i="3" a="1"/>
  <c r="E1030" i="3" s="1"/>
  <c r="F1030" i="3" a="1"/>
  <c r="F1030" i="3" s="1"/>
  <c r="G1030" i="3" a="1"/>
  <c r="G1030" i="3" s="1"/>
  <c r="J1030" i="3" a="1"/>
  <c r="J1030" i="3" s="1"/>
  <c r="B1031" i="3" a="1"/>
  <c r="B1031" i="3" s="1"/>
  <c r="C1031" i="3" a="1"/>
  <c r="C1031" i="3" s="1"/>
  <c r="D1031" i="3" a="1"/>
  <c r="D1031" i="3" s="1"/>
  <c r="E1031" i="3" a="1"/>
  <c r="E1031" i="3" s="1"/>
  <c r="F1031" i="3" a="1"/>
  <c r="F1031" i="3" s="1"/>
  <c r="G1031" i="3" a="1"/>
  <c r="G1031" i="3" s="1"/>
  <c r="J1031" i="3" a="1"/>
  <c r="J1031" i="3" s="1"/>
  <c r="B1032" i="3" a="1"/>
  <c r="B1032" i="3" s="1"/>
  <c r="C1032" i="3" a="1"/>
  <c r="C1032" i="3" s="1"/>
  <c r="D1032" i="3" a="1"/>
  <c r="D1032" i="3" s="1"/>
  <c r="E1032" i="3" a="1"/>
  <c r="E1032" i="3" s="1"/>
  <c r="F1032" i="3" a="1"/>
  <c r="F1032" i="3" s="1"/>
  <c r="G1032" i="3" a="1"/>
  <c r="G1032" i="3" s="1"/>
  <c r="J1032" i="3" a="1"/>
  <c r="J1032" i="3" s="1"/>
  <c r="B1033" i="3" a="1"/>
  <c r="B1033" i="3" s="1"/>
  <c r="C1033" i="3" a="1"/>
  <c r="C1033" i="3" s="1"/>
  <c r="D1033" i="3" a="1"/>
  <c r="D1033" i="3" s="1"/>
  <c r="E1033" i="3" a="1"/>
  <c r="E1033" i="3" s="1"/>
  <c r="F1033" i="3" a="1"/>
  <c r="F1033" i="3" s="1"/>
  <c r="G1033" i="3" a="1"/>
  <c r="G1033" i="3" s="1"/>
  <c r="J1033" i="3" a="1"/>
  <c r="J1033" i="3" s="1"/>
  <c r="B1034" i="3" a="1"/>
  <c r="B1034" i="3" s="1"/>
  <c r="C1034" i="3" a="1"/>
  <c r="C1034" i="3" s="1"/>
  <c r="D1034" i="3" a="1"/>
  <c r="D1034" i="3" s="1"/>
  <c r="E1034" i="3" a="1"/>
  <c r="E1034" i="3" s="1"/>
  <c r="F1034" i="3" a="1"/>
  <c r="F1034" i="3" s="1"/>
  <c r="G1034" i="3" a="1"/>
  <c r="G1034" i="3" s="1"/>
  <c r="J1034" i="3" a="1"/>
  <c r="J1034" i="3" s="1"/>
  <c r="B1035" i="3" a="1"/>
  <c r="B1035" i="3" s="1"/>
  <c r="C1035" i="3" a="1"/>
  <c r="C1035" i="3" s="1"/>
  <c r="D1035" i="3" a="1"/>
  <c r="D1035" i="3" s="1"/>
  <c r="E1035" i="3" a="1"/>
  <c r="E1035" i="3" s="1"/>
  <c r="F1035" i="3" a="1"/>
  <c r="F1035" i="3" s="1"/>
  <c r="G1035" i="3" a="1"/>
  <c r="G1035" i="3" s="1"/>
  <c r="J1035" i="3" a="1"/>
  <c r="J1035" i="3" s="1"/>
  <c r="B1036" i="3" a="1"/>
  <c r="B1036" i="3" s="1"/>
  <c r="C1036" i="3" a="1"/>
  <c r="C1036" i="3" s="1"/>
  <c r="D1036" i="3" a="1"/>
  <c r="D1036" i="3" s="1"/>
  <c r="E1036" i="3" a="1"/>
  <c r="E1036" i="3" s="1"/>
  <c r="F1036" i="3" a="1"/>
  <c r="F1036" i="3" s="1"/>
  <c r="G1036" i="3" a="1"/>
  <c r="G1036" i="3" s="1"/>
  <c r="J1036" i="3" a="1"/>
  <c r="J1036" i="3" s="1"/>
  <c r="B1037" i="3" a="1"/>
  <c r="B1037" i="3" s="1"/>
  <c r="C1037" i="3" a="1"/>
  <c r="C1037" i="3" s="1"/>
  <c r="D1037" i="3" a="1"/>
  <c r="D1037" i="3" s="1"/>
  <c r="E1037" i="3" a="1"/>
  <c r="E1037" i="3" s="1"/>
  <c r="F1037" i="3" a="1"/>
  <c r="F1037" i="3" s="1"/>
  <c r="G1037" i="3" a="1"/>
  <c r="G1037" i="3" s="1"/>
  <c r="J1037" i="3" a="1"/>
  <c r="J1037" i="3" s="1"/>
  <c r="B1038" i="3" a="1"/>
  <c r="B1038" i="3" s="1"/>
  <c r="C1038" i="3" a="1"/>
  <c r="C1038" i="3" s="1"/>
  <c r="D1038" i="3" a="1"/>
  <c r="D1038" i="3" s="1"/>
  <c r="E1038" i="3" a="1"/>
  <c r="E1038" i="3" s="1"/>
  <c r="F1038" i="3" a="1"/>
  <c r="F1038" i="3" s="1"/>
  <c r="G1038" i="3" a="1"/>
  <c r="G1038" i="3" s="1"/>
  <c r="J1038" i="3" a="1"/>
  <c r="J1038" i="3" s="1"/>
  <c r="B1039" i="3" a="1"/>
  <c r="B1039" i="3" s="1"/>
  <c r="C1039" i="3" a="1"/>
  <c r="C1039" i="3" s="1"/>
  <c r="D1039" i="3" a="1"/>
  <c r="D1039" i="3" s="1"/>
  <c r="E1039" i="3" a="1"/>
  <c r="E1039" i="3" s="1"/>
  <c r="F1039" i="3" a="1"/>
  <c r="F1039" i="3" s="1"/>
  <c r="G1039" i="3" a="1"/>
  <c r="G1039" i="3" s="1"/>
  <c r="J1039" i="3" a="1"/>
  <c r="J1039" i="3" s="1"/>
  <c r="B1040" i="3" a="1"/>
  <c r="B1040" i="3" s="1"/>
  <c r="C1040" i="3" a="1"/>
  <c r="C1040" i="3" s="1"/>
  <c r="D1040" i="3" a="1"/>
  <c r="D1040" i="3" s="1"/>
  <c r="E1040" i="3" a="1"/>
  <c r="E1040" i="3" s="1"/>
  <c r="F1040" i="3" a="1"/>
  <c r="F1040" i="3" s="1"/>
  <c r="G1040" i="3" a="1"/>
  <c r="G1040" i="3" s="1"/>
  <c r="J1040" i="3" a="1"/>
  <c r="J1040" i="3" s="1"/>
  <c r="B1041" i="3" a="1"/>
  <c r="B1041" i="3" s="1"/>
  <c r="C1041" i="3" a="1"/>
  <c r="C1041" i="3" s="1"/>
  <c r="D1041" i="3" a="1"/>
  <c r="D1041" i="3" s="1"/>
  <c r="E1041" i="3" a="1"/>
  <c r="E1041" i="3" s="1"/>
  <c r="F1041" i="3" a="1"/>
  <c r="F1041" i="3" s="1"/>
  <c r="G1041" i="3" a="1"/>
  <c r="G1041" i="3" s="1"/>
  <c r="J1041" i="3" a="1"/>
  <c r="J1041" i="3" s="1"/>
  <c r="B1042" i="3" a="1"/>
  <c r="B1042" i="3" s="1"/>
  <c r="C1042" i="3" a="1"/>
  <c r="C1042" i="3" s="1"/>
  <c r="D1042" i="3" a="1"/>
  <c r="D1042" i="3" s="1"/>
  <c r="E1042" i="3" a="1"/>
  <c r="E1042" i="3" s="1"/>
  <c r="F1042" i="3" a="1"/>
  <c r="F1042" i="3" s="1"/>
  <c r="G1042" i="3" a="1"/>
  <c r="G1042" i="3" s="1"/>
  <c r="J1042" i="3" a="1"/>
  <c r="J1042" i="3" s="1"/>
  <c r="B1043" i="3" a="1"/>
  <c r="B1043" i="3" s="1"/>
  <c r="C1043" i="3" a="1"/>
  <c r="C1043" i="3" s="1"/>
  <c r="D1043" i="3" a="1"/>
  <c r="D1043" i="3" s="1"/>
  <c r="E1043" i="3" a="1"/>
  <c r="E1043" i="3" s="1"/>
  <c r="F1043" i="3" a="1"/>
  <c r="F1043" i="3" s="1"/>
  <c r="G1043" i="3" a="1"/>
  <c r="G1043" i="3" s="1"/>
  <c r="J1043" i="3" a="1"/>
  <c r="J1043" i="3" s="1"/>
  <c r="B1044" i="3" a="1"/>
  <c r="B1044" i="3" s="1"/>
  <c r="C1044" i="3" a="1"/>
  <c r="C1044" i="3" s="1"/>
  <c r="D1044" i="3" a="1"/>
  <c r="D1044" i="3" s="1"/>
  <c r="E1044" i="3" a="1"/>
  <c r="E1044" i="3" s="1"/>
  <c r="F1044" i="3" a="1"/>
  <c r="F1044" i="3" s="1"/>
  <c r="G1044" i="3" a="1"/>
  <c r="G1044" i="3" s="1"/>
  <c r="J1044" i="3" a="1"/>
  <c r="J1044" i="3" s="1"/>
  <c r="B1045" i="3" a="1"/>
  <c r="B1045" i="3" s="1"/>
  <c r="C1045" i="3" a="1"/>
  <c r="C1045" i="3" s="1"/>
  <c r="D1045" i="3" a="1"/>
  <c r="D1045" i="3" s="1"/>
  <c r="E1045" i="3" a="1"/>
  <c r="E1045" i="3" s="1"/>
  <c r="F1045" i="3" a="1"/>
  <c r="F1045" i="3" s="1"/>
  <c r="G1045" i="3" a="1"/>
  <c r="G1045" i="3" s="1"/>
  <c r="J1045" i="3" a="1"/>
  <c r="J1045" i="3" s="1"/>
  <c r="B1046" i="3" a="1"/>
  <c r="B1046" i="3" s="1"/>
  <c r="C1046" i="3" a="1"/>
  <c r="C1046" i="3" s="1"/>
  <c r="D1046" i="3" a="1"/>
  <c r="D1046" i="3" s="1"/>
  <c r="E1046" i="3" a="1"/>
  <c r="E1046" i="3" s="1"/>
  <c r="F1046" i="3" a="1"/>
  <c r="F1046" i="3" s="1"/>
  <c r="G1046" i="3" a="1"/>
  <c r="G1046" i="3" s="1"/>
  <c r="J1046" i="3" a="1"/>
  <c r="J1046" i="3" s="1"/>
  <c r="B1047" i="3" a="1"/>
  <c r="B1047" i="3" s="1"/>
  <c r="C1047" i="3" a="1"/>
  <c r="C1047" i="3" s="1"/>
  <c r="D1047" i="3" a="1"/>
  <c r="D1047" i="3" s="1"/>
  <c r="E1047" i="3" a="1"/>
  <c r="E1047" i="3" s="1"/>
  <c r="F1047" i="3" a="1"/>
  <c r="F1047" i="3" s="1"/>
  <c r="G1047" i="3" a="1"/>
  <c r="G1047" i="3" s="1"/>
  <c r="J1047" i="3" a="1"/>
  <c r="J1047" i="3" s="1"/>
  <c r="B1048" i="3" a="1"/>
  <c r="B1048" i="3" s="1"/>
  <c r="C1048" i="3" a="1"/>
  <c r="C1048" i="3" s="1"/>
  <c r="D1048" i="3" a="1"/>
  <c r="D1048" i="3" s="1"/>
  <c r="E1048" i="3" a="1"/>
  <c r="E1048" i="3" s="1"/>
  <c r="F1048" i="3" a="1"/>
  <c r="F1048" i="3" s="1"/>
  <c r="G1048" i="3" a="1"/>
  <c r="G1048" i="3" s="1"/>
  <c r="J1048" i="3" a="1"/>
  <c r="J1048" i="3" s="1"/>
  <c r="B1049" i="3" a="1"/>
  <c r="B1049" i="3" s="1"/>
  <c r="C1049" i="3" a="1"/>
  <c r="C1049" i="3" s="1"/>
  <c r="D1049" i="3" a="1"/>
  <c r="D1049" i="3" s="1"/>
  <c r="E1049" i="3" a="1"/>
  <c r="E1049" i="3" s="1"/>
  <c r="F1049" i="3" a="1"/>
  <c r="F1049" i="3" s="1"/>
  <c r="G1049" i="3" a="1"/>
  <c r="G1049" i="3" s="1"/>
  <c r="J1049" i="3" a="1"/>
  <c r="J1049" i="3" s="1"/>
  <c r="B1050" i="3" a="1"/>
  <c r="B1050" i="3" s="1"/>
  <c r="C1050" i="3" a="1"/>
  <c r="C1050" i="3" s="1"/>
  <c r="D1050" i="3" a="1"/>
  <c r="D1050" i="3" s="1"/>
  <c r="E1050" i="3" a="1"/>
  <c r="E1050" i="3" s="1"/>
  <c r="F1050" i="3" a="1"/>
  <c r="F1050" i="3" s="1"/>
  <c r="G1050" i="3" a="1"/>
  <c r="G1050" i="3" s="1"/>
  <c r="J1050" i="3" a="1"/>
  <c r="J1050" i="3" s="1"/>
  <c r="B1051" i="3" a="1"/>
  <c r="B1051" i="3" s="1"/>
  <c r="C1051" i="3" a="1"/>
  <c r="C1051" i="3" s="1"/>
  <c r="D1051" i="3" a="1"/>
  <c r="D1051" i="3" s="1"/>
  <c r="E1051" i="3" a="1"/>
  <c r="E1051" i="3" s="1"/>
  <c r="F1051" i="3" a="1"/>
  <c r="F1051" i="3" s="1"/>
  <c r="G1051" i="3" a="1"/>
  <c r="G1051" i="3" s="1"/>
  <c r="J1051" i="3" a="1"/>
  <c r="J1051" i="3" s="1"/>
  <c r="B1052" i="3" a="1"/>
  <c r="B1052" i="3" s="1"/>
  <c r="C1052" i="3" a="1"/>
  <c r="C1052" i="3" s="1"/>
  <c r="D1052" i="3" a="1"/>
  <c r="D1052" i="3" s="1"/>
  <c r="E1052" i="3" a="1"/>
  <c r="E1052" i="3" s="1"/>
  <c r="F1052" i="3" a="1"/>
  <c r="F1052" i="3" s="1"/>
  <c r="G1052" i="3" a="1"/>
  <c r="G1052" i="3" s="1"/>
  <c r="J1052" i="3" a="1"/>
  <c r="J1052" i="3" s="1"/>
  <c r="B1053" i="3" a="1"/>
  <c r="B1053" i="3" s="1"/>
  <c r="C1053" i="3" a="1"/>
  <c r="C1053" i="3" s="1"/>
  <c r="D1053" i="3" a="1"/>
  <c r="D1053" i="3" s="1"/>
  <c r="E1053" i="3" a="1"/>
  <c r="E1053" i="3" s="1"/>
  <c r="F1053" i="3" a="1"/>
  <c r="F1053" i="3" s="1"/>
  <c r="G1053" i="3" a="1"/>
  <c r="G1053" i="3" s="1"/>
  <c r="J1053" i="3" a="1"/>
  <c r="J1053" i="3" s="1"/>
  <c r="B1054" i="3" a="1"/>
  <c r="B1054" i="3" s="1"/>
  <c r="C1054" i="3" a="1"/>
  <c r="C1054" i="3" s="1"/>
  <c r="D1054" i="3" a="1"/>
  <c r="D1054" i="3" s="1"/>
  <c r="E1054" i="3" a="1"/>
  <c r="E1054" i="3" s="1"/>
  <c r="F1054" i="3" a="1"/>
  <c r="F1054" i="3" s="1"/>
  <c r="G1054" i="3" a="1"/>
  <c r="G1054" i="3" s="1"/>
  <c r="J1054" i="3" a="1"/>
  <c r="J1054" i="3" s="1"/>
  <c r="B1055" i="3" a="1"/>
  <c r="B1055" i="3" s="1"/>
  <c r="C1055" i="3" a="1"/>
  <c r="C1055" i="3" s="1"/>
  <c r="D1055" i="3" a="1"/>
  <c r="D1055" i="3" s="1"/>
  <c r="E1055" i="3" a="1"/>
  <c r="E1055" i="3" s="1"/>
  <c r="F1055" i="3" a="1"/>
  <c r="F1055" i="3" s="1"/>
  <c r="G1055" i="3" a="1"/>
  <c r="G1055" i="3" s="1"/>
  <c r="J1055" i="3" a="1"/>
  <c r="J1055" i="3" s="1"/>
  <c r="B1056" i="3" a="1"/>
  <c r="B1056" i="3" s="1"/>
  <c r="C1056" i="3" a="1"/>
  <c r="C1056" i="3" s="1"/>
  <c r="D1056" i="3" a="1"/>
  <c r="D1056" i="3" s="1"/>
  <c r="E1056" i="3" a="1"/>
  <c r="E1056" i="3" s="1"/>
  <c r="F1056" i="3" a="1"/>
  <c r="F1056" i="3" s="1"/>
  <c r="G1056" i="3" a="1"/>
  <c r="G1056" i="3" s="1"/>
  <c r="J1056" i="3" a="1"/>
  <c r="J1056" i="3" s="1"/>
  <c r="B1057" i="3" a="1"/>
  <c r="B1057" i="3" s="1"/>
  <c r="C1057" i="3" a="1"/>
  <c r="C1057" i="3" s="1"/>
  <c r="D1057" i="3" a="1"/>
  <c r="D1057" i="3" s="1"/>
  <c r="E1057" i="3" a="1"/>
  <c r="E1057" i="3" s="1"/>
  <c r="F1057" i="3" a="1"/>
  <c r="F1057" i="3" s="1"/>
  <c r="G1057" i="3" a="1"/>
  <c r="G1057" i="3" s="1"/>
  <c r="J1057" i="3" a="1"/>
  <c r="J1057" i="3" s="1"/>
  <c r="B1058" i="3" a="1"/>
  <c r="B1058" i="3" s="1"/>
  <c r="C1058" i="3" a="1"/>
  <c r="C1058" i="3" s="1"/>
  <c r="D1058" i="3" a="1"/>
  <c r="D1058" i="3" s="1"/>
  <c r="E1058" i="3" a="1"/>
  <c r="E1058" i="3" s="1"/>
  <c r="F1058" i="3" a="1"/>
  <c r="F1058" i="3" s="1"/>
  <c r="G1058" i="3" a="1"/>
  <c r="G1058" i="3" s="1"/>
  <c r="J1058" i="3" a="1"/>
  <c r="J1058" i="3" s="1"/>
  <c r="B1059" i="3" a="1"/>
  <c r="B1059" i="3" s="1"/>
  <c r="C1059" i="3" a="1"/>
  <c r="C1059" i="3" s="1"/>
  <c r="D1059" i="3" a="1"/>
  <c r="D1059" i="3" s="1"/>
  <c r="E1059" i="3" a="1"/>
  <c r="E1059" i="3" s="1"/>
  <c r="F1059" i="3" a="1"/>
  <c r="F1059" i="3" s="1"/>
  <c r="G1059" i="3" a="1"/>
  <c r="G1059" i="3" s="1"/>
  <c r="J1059" i="3" a="1"/>
  <c r="J1059" i="3" s="1"/>
  <c r="B1060" i="3" a="1"/>
  <c r="B1060" i="3" s="1"/>
  <c r="C1060" i="3" a="1"/>
  <c r="C1060" i="3" s="1"/>
  <c r="D1060" i="3" a="1"/>
  <c r="D1060" i="3" s="1"/>
  <c r="E1060" i="3" a="1"/>
  <c r="E1060" i="3" s="1"/>
  <c r="F1060" i="3" a="1"/>
  <c r="F1060" i="3" s="1"/>
  <c r="G1060" i="3" a="1"/>
  <c r="G1060" i="3" s="1"/>
  <c r="J1060" i="3" a="1"/>
  <c r="J1060" i="3" s="1"/>
  <c r="B1061" i="3" a="1"/>
  <c r="B1061" i="3" s="1"/>
  <c r="C1061" i="3" a="1"/>
  <c r="C1061" i="3" s="1"/>
  <c r="D1061" i="3" a="1"/>
  <c r="D1061" i="3" s="1"/>
  <c r="E1061" i="3" a="1"/>
  <c r="E1061" i="3" s="1"/>
  <c r="F1061" i="3" a="1"/>
  <c r="F1061" i="3" s="1"/>
  <c r="G1061" i="3" a="1"/>
  <c r="G1061" i="3" s="1"/>
  <c r="J1061" i="3" a="1"/>
  <c r="J1061" i="3" s="1"/>
  <c r="B1062" i="3" a="1"/>
  <c r="B1062" i="3" s="1"/>
  <c r="C1062" i="3" a="1"/>
  <c r="C1062" i="3" s="1"/>
  <c r="D1062" i="3" a="1"/>
  <c r="D1062" i="3" s="1"/>
  <c r="E1062" i="3" a="1"/>
  <c r="E1062" i="3" s="1"/>
  <c r="F1062" i="3" a="1"/>
  <c r="F1062" i="3" s="1"/>
  <c r="G1062" i="3" a="1"/>
  <c r="G1062" i="3" s="1"/>
  <c r="J1062" i="3" a="1"/>
  <c r="J1062" i="3" s="1"/>
  <c r="B1063" i="3" a="1"/>
  <c r="B1063" i="3" s="1"/>
  <c r="C1063" i="3" a="1"/>
  <c r="C1063" i="3" s="1"/>
  <c r="D1063" i="3" a="1"/>
  <c r="D1063" i="3" s="1"/>
  <c r="E1063" i="3" a="1"/>
  <c r="E1063" i="3" s="1"/>
  <c r="F1063" i="3" a="1"/>
  <c r="F1063" i="3" s="1"/>
  <c r="G1063" i="3" a="1"/>
  <c r="G1063" i="3" s="1"/>
  <c r="J1063" i="3" a="1"/>
  <c r="J1063" i="3" s="1"/>
  <c r="B1064" i="3" a="1"/>
  <c r="B1064" i="3" s="1"/>
  <c r="C1064" i="3" a="1"/>
  <c r="C1064" i="3" s="1"/>
  <c r="D1064" i="3" a="1"/>
  <c r="D1064" i="3" s="1"/>
  <c r="E1064" i="3" a="1"/>
  <c r="E1064" i="3" s="1"/>
  <c r="F1064" i="3" a="1"/>
  <c r="F1064" i="3" s="1"/>
  <c r="G1064" i="3" a="1"/>
  <c r="G1064" i="3" s="1"/>
  <c r="J1064" i="3" a="1"/>
  <c r="J1064" i="3" s="1"/>
  <c r="B1065" i="3" a="1"/>
  <c r="B1065" i="3" s="1"/>
  <c r="C1065" i="3" a="1"/>
  <c r="C1065" i="3" s="1"/>
  <c r="D1065" i="3" a="1"/>
  <c r="D1065" i="3" s="1"/>
  <c r="E1065" i="3" a="1"/>
  <c r="E1065" i="3" s="1"/>
  <c r="F1065" i="3" a="1"/>
  <c r="F1065" i="3" s="1"/>
  <c r="G1065" i="3" a="1"/>
  <c r="G1065" i="3" s="1"/>
  <c r="J1065" i="3" a="1"/>
  <c r="J1065" i="3" s="1"/>
  <c r="B1066" i="3" a="1"/>
  <c r="B1066" i="3" s="1"/>
  <c r="C1066" i="3" a="1"/>
  <c r="C1066" i="3" s="1"/>
  <c r="D1066" i="3" a="1"/>
  <c r="D1066" i="3" s="1"/>
  <c r="E1066" i="3" a="1"/>
  <c r="E1066" i="3" s="1"/>
  <c r="F1066" i="3" a="1"/>
  <c r="F1066" i="3" s="1"/>
  <c r="G1066" i="3" a="1"/>
  <c r="G1066" i="3" s="1"/>
  <c r="J1066" i="3" a="1"/>
  <c r="J1066" i="3" s="1"/>
  <c r="B1067" i="3" a="1"/>
  <c r="B1067" i="3" s="1"/>
  <c r="C1067" i="3" a="1"/>
  <c r="C1067" i="3" s="1"/>
  <c r="D1067" i="3" a="1"/>
  <c r="D1067" i="3" s="1"/>
  <c r="E1067" i="3" a="1"/>
  <c r="E1067" i="3" s="1"/>
  <c r="F1067" i="3" a="1"/>
  <c r="F1067" i="3" s="1"/>
  <c r="G1067" i="3" a="1"/>
  <c r="G1067" i="3" s="1"/>
  <c r="J1067" i="3" a="1"/>
  <c r="J1067" i="3" s="1"/>
  <c r="B1068" i="3" a="1"/>
  <c r="B1068" i="3" s="1"/>
  <c r="C1068" i="3" a="1"/>
  <c r="C1068" i="3" s="1"/>
  <c r="D1068" i="3" a="1"/>
  <c r="D1068" i="3" s="1"/>
  <c r="E1068" i="3" a="1"/>
  <c r="E1068" i="3" s="1"/>
  <c r="F1068" i="3" a="1"/>
  <c r="F1068" i="3" s="1"/>
  <c r="G1068" i="3" a="1"/>
  <c r="G1068" i="3" s="1"/>
  <c r="J1068" i="3" a="1"/>
  <c r="J1068" i="3" s="1"/>
  <c r="B1069" i="3" a="1"/>
  <c r="B1069" i="3" s="1"/>
  <c r="C1069" i="3" a="1"/>
  <c r="C1069" i="3" s="1"/>
  <c r="D1069" i="3" a="1"/>
  <c r="D1069" i="3" s="1"/>
  <c r="E1069" i="3" a="1"/>
  <c r="E1069" i="3" s="1"/>
  <c r="F1069" i="3" a="1"/>
  <c r="F1069" i="3" s="1"/>
  <c r="G1069" i="3" a="1"/>
  <c r="G1069" i="3" s="1"/>
  <c r="J1069" i="3" a="1"/>
  <c r="J1069" i="3" s="1"/>
  <c r="B1070" i="3" a="1"/>
  <c r="B1070" i="3" s="1"/>
  <c r="C1070" i="3" a="1"/>
  <c r="C1070" i="3" s="1"/>
  <c r="D1070" i="3" a="1"/>
  <c r="D1070" i="3" s="1"/>
  <c r="E1070" i="3" a="1"/>
  <c r="E1070" i="3" s="1"/>
  <c r="F1070" i="3" a="1"/>
  <c r="F1070" i="3" s="1"/>
  <c r="G1070" i="3" a="1"/>
  <c r="G1070" i="3" s="1"/>
  <c r="J1070" i="3" a="1"/>
  <c r="J1070" i="3" s="1"/>
  <c r="B1071" i="3" a="1"/>
  <c r="B1071" i="3" s="1"/>
  <c r="C1071" i="3" a="1"/>
  <c r="C1071" i="3" s="1"/>
  <c r="D1071" i="3" a="1"/>
  <c r="D1071" i="3" s="1"/>
  <c r="E1071" i="3" a="1"/>
  <c r="E1071" i="3" s="1"/>
  <c r="F1071" i="3" a="1"/>
  <c r="F1071" i="3" s="1"/>
  <c r="G1071" i="3" a="1"/>
  <c r="G1071" i="3" s="1"/>
  <c r="J1071" i="3" a="1"/>
  <c r="J1071" i="3" s="1"/>
  <c r="B1072" i="3" a="1"/>
  <c r="B1072" i="3" s="1"/>
  <c r="C1072" i="3" a="1"/>
  <c r="C1072" i="3" s="1"/>
  <c r="D1072" i="3" a="1"/>
  <c r="D1072" i="3" s="1"/>
  <c r="E1072" i="3" a="1"/>
  <c r="E1072" i="3" s="1"/>
  <c r="F1072" i="3" a="1"/>
  <c r="F1072" i="3" s="1"/>
  <c r="G1072" i="3" a="1"/>
  <c r="G1072" i="3" s="1"/>
  <c r="J1072" i="3" a="1"/>
  <c r="J1072" i="3" s="1"/>
  <c r="B1073" i="3" a="1"/>
  <c r="B1073" i="3" s="1"/>
  <c r="C1073" i="3" a="1"/>
  <c r="C1073" i="3" s="1"/>
  <c r="D1073" i="3" a="1"/>
  <c r="D1073" i="3" s="1"/>
  <c r="E1073" i="3" a="1"/>
  <c r="E1073" i="3" s="1"/>
  <c r="F1073" i="3" a="1"/>
  <c r="F1073" i="3" s="1"/>
  <c r="G1073" i="3" a="1"/>
  <c r="G1073" i="3" s="1"/>
  <c r="J1073" i="3" a="1"/>
  <c r="J1073" i="3" s="1"/>
  <c r="B1074" i="3" a="1"/>
  <c r="B1074" i="3" s="1"/>
  <c r="C1074" i="3" a="1"/>
  <c r="C1074" i="3" s="1"/>
  <c r="D1074" i="3" a="1"/>
  <c r="D1074" i="3" s="1"/>
  <c r="E1074" i="3" a="1"/>
  <c r="E1074" i="3" s="1"/>
  <c r="F1074" i="3" a="1"/>
  <c r="F1074" i="3" s="1"/>
  <c r="G1074" i="3" a="1"/>
  <c r="G1074" i="3" s="1"/>
  <c r="J1074" i="3" a="1"/>
  <c r="J1074" i="3" s="1"/>
  <c r="B1075" i="3" a="1"/>
  <c r="B1075" i="3" s="1"/>
  <c r="C1075" i="3" a="1"/>
  <c r="C1075" i="3" s="1"/>
  <c r="D1075" i="3" a="1"/>
  <c r="D1075" i="3" s="1"/>
  <c r="E1075" i="3" a="1"/>
  <c r="E1075" i="3" s="1"/>
  <c r="F1075" i="3" a="1"/>
  <c r="F1075" i="3" s="1"/>
  <c r="G1075" i="3" a="1"/>
  <c r="G1075" i="3" s="1"/>
  <c r="J1075" i="3" a="1"/>
  <c r="J1075" i="3" s="1"/>
  <c r="B1076" i="3" a="1"/>
  <c r="B1076" i="3" s="1"/>
  <c r="C1076" i="3" a="1"/>
  <c r="C1076" i="3" s="1"/>
  <c r="D1076" i="3" a="1"/>
  <c r="D1076" i="3" s="1"/>
  <c r="E1076" i="3" a="1"/>
  <c r="E1076" i="3" s="1"/>
  <c r="F1076" i="3" a="1"/>
  <c r="F1076" i="3" s="1"/>
  <c r="G1076" i="3" a="1"/>
  <c r="G1076" i="3" s="1"/>
  <c r="J1076" i="3" a="1"/>
  <c r="J1076" i="3" s="1"/>
  <c r="B1077" i="3" a="1"/>
  <c r="B1077" i="3" s="1"/>
  <c r="C1077" i="3" a="1"/>
  <c r="C1077" i="3" s="1"/>
  <c r="D1077" i="3" a="1"/>
  <c r="D1077" i="3" s="1"/>
  <c r="E1077" i="3" a="1"/>
  <c r="E1077" i="3" s="1"/>
  <c r="F1077" i="3" a="1"/>
  <c r="F1077" i="3" s="1"/>
  <c r="G1077" i="3" a="1"/>
  <c r="G1077" i="3" s="1"/>
  <c r="J1077" i="3" a="1"/>
  <c r="J1077" i="3" s="1"/>
  <c r="B1078" i="3" a="1"/>
  <c r="B1078" i="3" s="1"/>
  <c r="C1078" i="3" a="1"/>
  <c r="C1078" i="3" s="1"/>
  <c r="D1078" i="3" a="1"/>
  <c r="D1078" i="3" s="1"/>
  <c r="E1078" i="3" a="1"/>
  <c r="E1078" i="3" s="1"/>
  <c r="F1078" i="3" a="1"/>
  <c r="F1078" i="3" s="1"/>
  <c r="G1078" i="3" a="1"/>
  <c r="G1078" i="3" s="1"/>
  <c r="J1078" i="3" a="1"/>
  <c r="J1078" i="3" s="1"/>
  <c r="B1079" i="3" a="1"/>
  <c r="B1079" i="3" s="1"/>
  <c r="C1079" i="3" a="1"/>
  <c r="C1079" i="3" s="1"/>
  <c r="D1079" i="3" a="1"/>
  <c r="D1079" i="3" s="1"/>
  <c r="E1079" i="3" a="1"/>
  <c r="E1079" i="3" s="1"/>
  <c r="F1079" i="3" a="1"/>
  <c r="F1079" i="3" s="1"/>
  <c r="G1079" i="3" a="1"/>
  <c r="G1079" i="3" s="1"/>
  <c r="J1079" i="3" a="1"/>
  <c r="J1079" i="3" s="1"/>
  <c r="B1080" i="3" a="1"/>
  <c r="B1080" i="3" s="1"/>
  <c r="C1080" i="3" a="1"/>
  <c r="C1080" i="3" s="1"/>
  <c r="D1080" i="3" a="1"/>
  <c r="D1080" i="3" s="1"/>
  <c r="E1080" i="3" a="1"/>
  <c r="E1080" i="3" s="1"/>
  <c r="F1080" i="3" a="1"/>
  <c r="F1080" i="3" s="1"/>
  <c r="G1080" i="3" a="1"/>
  <c r="G1080" i="3" s="1"/>
  <c r="J1080" i="3" a="1"/>
  <c r="J1080" i="3" s="1"/>
  <c r="B1081" i="3" a="1"/>
  <c r="B1081" i="3" s="1"/>
  <c r="C1081" i="3" a="1"/>
  <c r="C1081" i="3" s="1"/>
  <c r="D1081" i="3" a="1"/>
  <c r="D1081" i="3" s="1"/>
  <c r="E1081" i="3" a="1"/>
  <c r="E1081" i="3" s="1"/>
  <c r="F1081" i="3" a="1"/>
  <c r="F1081" i="3" s="1"/>
  <c r="G1081" i="3" a="1"/>
  <c r="G1081" i="3" s="1"/>
  <c r="J1081" i="3" a="1"/>
  <c r="J1081" i="3" s="1"/>
  <c r="B1082" i="3" a="1"/>
  <c r="B1082" i="3" s="1"/>
  <c r="C1082" i="3" a="1"/>
  <c r="C1082" i="3" s="1"/>
  <c r="D1082" i="3" a="1"/>
  <c r="D1082" i="3" s="1"/>
  <c r="E1082" i="3" a="1"/>
  <c r="E1082" i="3" s="1"/>
  <c r="F1082" i="3" a="1"/>
  <c r="F1082" i="3" s="1"/>
  <c r="G1082" i="3" a="1"/>
  <c r="G1082" i="3" s="1"/>
  <c r="J1082" i="3" a="1"/>
  <c r="J1082" i="3" s="1"/>
  <c r="B1083" i="3" a="1"/>
  <c r="B1083" i="3" s="1"/>
  <c r="C1083" i="3" a="1"/>
  <c r="C1083" i="3" s="1"/>
  <c r="D1083" i="3" a="1"/>
  <c r="D1083" i="3" s="1"/>
  <c r="E1083" i="3" a="1"/>
  <c r="E1083" i="3" s="1"/>
  <c r="F1083" i="3" a="1"/>
  <c r="F1083" i="3" s="1"/>
  <c r="G1083" i="3" a="1"/>
  <c r="G1083" i="3" s="1"/>
  <c r="J1083" i="3" a="1"/>
  <c r="J1083" i="3" s="1"/>
  <c r="B1084" i="3" a="1"/>
  <c r="B1084" i="3" s="1"/>
  <c r="C1084" i="3" a="1"/>
  <c r="C1084" i="3" s="1"/>
  <c r="D1084" i="3" a="1"/>
  <c r="D1084" i="3" s="1"/>
  <c r="E1084" i="3" a="1"/>
  <c r="E1084" i="3" s="1"/>
  <c r="F1084" i="3" a="1"/>
  <c r="F1084" i="3" s="1"/>
  <c r="G1084" i="3" a="1"/>
  <c r="G1084" i="3" s="1"/>
  <c r="J1084" i="3" a="1"/>
  <c r="J1084" i="3" s="1"/>
  <c r="B1085" i="3" a="1"/>
  <c r="B1085" i="3" s="1"/>
  <c r="C1085" i="3" a="1"/>
  <c r="C1085" i="3" s="1"/>
  <c r="D1085" i="3" a="1"/>
  <c r="D1085" i="3" s="1"/>
  <c r="E1085" i="3" a="1"/>
  <c r="E1085" i="3" s="1"/>
  <c r="F1085" i="3" a="1"/>
  <c r="F1085" i="3" s="1"/>
  <c r="G1085" i="3" a="1"/>
  <c r="G1085" i="3" s="1"/>
  <c r="J1085" i="3" a="1"/>
  <c r="J1085" i="3" s="1"/>
  <c r="B1086" i="3" a="1"/>
  <c r="B1086" i="3" s="1"/>
  <c r="C1086" i="3" a="1"/>
  <c r="C1086" i="3" s="1"/>
  <c r="D1086" i="3" a="1"/>
  <c r="D1086" i="3" s="1"/>
  <c r="E1086" i="3" a="1"/>
  <c r="E1086" i="3" s="1"/>
  <c r="F1086" i="3" a="1"/>
  <c r="F1086" i="3" s="1"/>
  <c r="G1086" i="3" a="1"/>
  <c r="G1086" i="3" s="1"/>
  <c r="J1086" i="3" a="1"/>
  <c r="J1086" i="3" s="1"/>
  <c r="B1087" i="3" a="1"/>
  <c r="B1087" i="3" s="1"/>
  <c r="C1087" i="3" a="1"/>
  <c r="C1087" i="3" s="1"/>
  <c r="D1087" i="3" a="1"/>
  <c r="D1087" i="3" s="1"/>
  <c r="E1087" i="3" a="1"/>
  <c r="E1087" i="3" s="1"/>
  <c r="F1087" i="3" a="1"/>
  <c r="F1087" i="3" s="1"/>
  <c r="G1087" i="3" a="1"/>
  <c r="G1087" i="3" s="1"/>
  <c r="J1087" i="3" a="1"/>
  <c r="J1087" i="3" s="1"/>
  <c r="B1088" i="3" a="1"/>
  <c r="B1088" i="3" s="1"/>
  <c r="C1088" i="3" a="1"/>
  <c r="C1088" i="3" s="1"/>
  <c r="D1088" i="3" a="1"/>
  <c r="D1088" i="3" s="1"/>
  <c r="E1088" i="3" a="1"/>
  <c r="E1088" i="3" s="1"/>
  <c r="F1088" i="3" a="1"/>
  <c r="F1088" i="3" s="1"/>
  <c r="G1088" i="3" a="1"/>
  <c r="G1088" i="3" s="1"/>
  <c r="J1088" i="3" a="1"/>
  <c r="J1088" i="3" s="1"/>
  <c r="B1089" i="3" a="1"/>
  <c r="B1089" i="3" s="1"/>
  <c r="C1089" i="3" a="1"/>
  <c r="C1089" i="3" s="1"/>
  <c r="D1089" i="3" a="1"/>
  <c r="D1089" i="3" s="1"/>
  <c r="E1089" i="3" a="1"/>
  <c r="E1089" i="3" s="1"/>
  <c r="F1089" i="3" a="1"/>
  <c r="F1089" i="3" s="1"/>
  <c r="G1089" i="3" a="1"/>
  <c r="G1089" i="3" s="1"/>
  <c r="J1089" i="3" a="1"/>
  <c r="J1089" i="3" s="1"/>
  <c r="B1090" i="3" a="1"/>
  <c r="B1090" i="3" s="1"/>
  <c r="C1090" i="3" a="1"/>
  <c r="C1090" i="3" s="1"/>
  <c r="D1090" i="3" a="1"/>
  <c r="D1090" i="3" s="1"/>
  <c r="E1090" i="3" a="1"/>
  <c r="E1090" i="3" s="1"/>
  <c r="F1090" i="3" a="1"/>
  <c r="F1090" i="3" s="1"/>
  <c r="G1090" i="3" a="1"/>
  <c r="G1090" i="3" s="1"/>
  <c r="J1090" i="3" a="1"/>
  <c r="J1090" i="3" s="1"/>
  <c r="B1091" i="3" a="1"/>
  <c r="B1091" i="3" s="1"/>
  <c r="C1091" i="3" a="1"/>
  <c r="C1091" i="3" s="1"/>
  <c r="D1091" i="3" a="1"/>
  <c r="D1091" i="3" s="1"/>
  <c r="E1091" i="3" a="1"/>
  <c r="E1091" i="3" s="1"/>
  <c r="F1091" i="3" a="1"/>
  <c r="F1091" i="3" s="1"/>
  <c r="G1091" i="3" a="1"/>
  <c r="G1091" i="3" s="1"/>
  <c r="J1091" i="3" a="1"/>
  <c r="J1091" i="3" s="1"/>
  <c r="B1092" i="3" a="1"/>
  <c r="B1092" i="3" s="1"/>
  <c r="C1092" i="3" a="1"/>
  <c r="C1092" i="3" s="1"/>
  <c r="D1092" i="3" a="1"/>
  <c r="D1092" i="3" s="1"/>
  <c r="E1092" i="3" a="1"/>
  <c r="E1092" i="3" s="1"/>
  <c r="F1092" i="3" a="1"/>
  <c r="F1092" i="3" s="1"/>
  <c r="G1092" i="3" a="1"/>
  <c r="G1092" i="3" s="1"/>
  <c r="J1092" i="3" a="1"/>
  <c r="J1092" i="3" s="1"/>
  <c r="B1093" i="3" a="1"/>
  <c r="B1093" i="3" s="1"/>
  <c r="C1093" i="3" a="1"/>
  <c r="C1093" i="3" s="1"/>
  <c r="D1093" i="3" a="1"/>
  <c r="D1093" i="3" s="1"/>
  <c r="E1093" i="3" a="1"/>
  <c r="E1093" i="3" s="1"/>
  <c r="F1093" i="3" a="1"/>
  <c r="F1093" i="3" s="1"/>
  <c r="G1093" i="3" a="1"/>
  <c r="G1093" i="3" s="1"/>
  <c r="J1093" i="3" a="1"/>
  <c r="J1093" i="3" s="1"/>
  <c r="B1094" i="3" a="1"/>
  <c r="B1094" i="3" s="1"/>
  <c r="C1094" i="3" a="1"/>
  <c r="C1094" i="3" s="1"/>
  <c r="D1094" i="3" a="1"/>
  <c r="D1094" i="3" s="1"/>
  <c r="E1094" i="3" a="1"/>
  <c r="E1094" i="3" s="1"/>
  <c r="F1094" i="3" a="1"/>
  <c r="F1094" i="3" s="1"/>
  <c r="G1094" i="3" a="1"/>
  <c r="G1094" i="3" s="1"/>
  <c r="J1094" i="3" a="1"/>
  <c r="J1094" i="3" s="1"/>
  <c r="B1095" i="3" a="1"/>
  <c r="B1095" i="3" s="1"/>
  <c r="C1095" i="3" a="1"/>
  <c r="C1095" i="3" s="1"/>
  <c r="D1095" i="3" a="1"/>
  <c r="D1095" i="3" s="1"/>
  <c r="E1095" i="3" a="1"/>
  <c r="E1095" i="3" s="1"/>
  <c r="F1095" i="3" a="1"/>
  <c r="F1095" i="3" s="1"/>
  <c r="G1095" i="3" a="1"/>
  <c r="G1095" i="3" s="1"/>
  <c r="J1095" i="3" a="1"/>
  <c r="J1095" i="3" s="1"/>
  <c r="B1096" i="3" a="1"/>
  <c r="B1096" i="3" s="1"/>
  <c r="C1096" i="3" a="1"/>
  <c r="C1096" i="3" s="1"/>
  <c r="D1096" i="3" a="1"/>
  <c r="D1096" i="3" s="1"/>
  <c r="E1096" i="3" a="1"/>
  <c r="E1096" i="3" s="1"/>
  <c r="F1096" i="3" a="1"/>
  <c r="F1096" i="3" s="1"/>
  <c r="G1096" i="3" a="1"/>
  <c r="G1096" i="3" s="1"/>
  <c r="J1096" i="3" a="1"/>
  <c r="J1096" i="3" s="1"/>
  <c r="B1097" i="3" a="1"/>
  <c r="B1097" i="3" s="1"/>
  <c r="C1097" i="3" a="1"/>
  <c r="C1097" i="3" s="1"/>
  <c r="D1097" i="3" a="1"/>
  <c r="D1097" i="3" s="1"/>
  <c r="E1097" i="3" a="1"/>
  <c r="E1097" i="3" s="1"/>
  <c r="F1097" i="3" a="1"/>
  <c r="F1097" i="3" s="1"/>
  <c r="G1097" i="3" a="1"/>
  <c r="G1097" i="3" s="1"/>
  <c r="J1097" i="3" a="1"/>
  <c r="J1097" i="3" s="1"/>
  <c r="B1098" i="3" a="1"/>
  <c r="B1098" i="3" s="1"/>
  <c r="C1098" i="3" a="1"/>
  <c r="C1098" i="3" s="1"/>
  <c r="D1098" i="3" a="1"/>
  <c r="D1098" i="3" s="1"/>
  <c r="E1098" i="3" a="1"/>
  <c r="E1098" i="3" s="1"/>
  <c r="F1098" i="3" a="1"/>
  <c r="F1098" i="3" s="1"/>
  <c r="G1098" i="3" a="1"/>
  <c r="G1098" i="3" s="1"/>
  <c r="J1098" i="3" a="1"/>
  <c r="J1098" i="3" s="1"/>
  <c r="B1099" i="3" a="1"/>
  <c r="B1099" i="3" s="1"/>
  <c r="C1099" i="3" a="1"/>
  <c r="C1099" i="3" s="1"/>
  <c r="D1099" i="3" a="1"/>
  <c r="D1099" i="3" s="1"/>
  <c r="E1099" i="3" a="1"/>
  <c r="E1099" i="3" s="1"/>
  <c r="F1099" i="3" a="1"/>
  <c r="F1099" i="3" s="1"/>
  <c r="G1099" i="3" a="1"/>
  <c r="G1099" i="3" s="1"/>
  <c r="J1099" i="3" a="1"/>
  <c r="J1099" i="3" s="1"/>
  <c r="B1100" i="3" a="1"/>
  <c r="B1100" i="3" s="1"/>
  <c r="C1100" i="3" a="1"/>
  <c r="C1100" i="3" s="1"/>
  <c r="D1100" i="3" a="1"/>
  <c r="D1100" i="3" s="1"/>
  <c r="E1100" i="3" a="1"/>
  <c r="E1100" i="3" s="1"/>
  <c r="F1100" i="3" a="1"/>
  <c r="F1100" i="3" s="1"/>
  <c r="G1100" i="3" a="1"/>
  <c r="G1100" i="3" s="1"/>
  <c r="J1100" i="3" a="1"/>
  <c r="J1100" i="3" s="1"/>
  <c r="B1101" i="3" a="1"/>
  <c r="B1101" i="3" s="1"/>
  <c r="C1101" i="3" a="1"/>
  <c r="C1101" i="3" s="1"/>
  <c r="D1101" i="3" a="1"/>
  <c r="D1101" i="3" s="1"/>
  <c r="E1101" i="3" a="1"/>
  <c r="E1101" i="3" s="1"/>
  <c r="F1101" i="3" a="1"/>
  <c r="F1101" i="3" s="1"/>
  <c r="G1101" i="3" a="1"/>
  <c r="G1101" i="3" s="1"/>
  <c r="J1101" i="3" a="1"/>
  <c r="J1101" i="3" s="1"/>
  <c r="B1102" i="3" a="1"/>
  <c r="B1102" i="3" s="1"/>
  <c r="C1102" i="3" a="1"/>
  <c r="C1102" i="3" s="1"/>
  <c r="D1102" i="3" a="1"/>
  <c r="D1102" i="3" s="1"/>
  <c r="E1102" i="3" a="1"/>
  <c r="E1102" i="3" s="1"/>
  <c r="F1102" i="3" a="1"/>
  <c r="F1102" i="3" s="1"/>
  <c r="G1102" i="3" a="1"/>
  <c r="G1102" i="3" s="1"/>
  <c r="J1102" i="3" a="1"/>
  <c r="J1102" i="3" s="1"/>
  <c r="B1103" i="3" a="1"/>
  <c r="B1103" i="3" s="1"/>
  <c r="C1103" i="3" a="1"/>
  <c r="C1103" i="3" s="1"/>
  <c r="D1103" i="3" a="1"/>
  <c r="D1103" i="3" s="1"/>
  <c r="E1103" i="3" a="1"/>
  <c r="E1103" i="3" s="1"/>
  <c r="F1103" i="3" a="1"/>
  <c r="F1103" i="3" s="1"/>
  <c r="G1103" i="3" a="1"/>
  <c r="G1103" i="3" s="1"/>
  <c r="J1103" i="3" a="1"/>
  <c r="J1103" i="3" s="1"/>
  <c r="B1104" i="3" a="1"/>
  <c r="B1104" i="3" s="1"/>
  <c r="C1104" i="3" a="1"/>
  <c r="C1104" i="3" s="1"/>
  <c r="D1104" i="3" a="1"/>
  <c r="D1104" i="3" s="1"/>
  <c r="E1104" i="3" a="1"/>
  <c r="E1104" i="3" s="1"/>
  <c r="F1104" i="3" a="1"/>
  <c r="F1104" i="3" s="1"/>
  <c r="G1104" i="3" a="1"/>
  <c r="G1104" i="3" s="1"/>
  <c r="J1104" i="3" a="1"/>
  <c r="J1104" i="3" s="1"/>
  <c r="B1105" i="3" a="1"/>
  <c r="B1105" i="3" s="1"/>
  <c r="C1105" i="3" a="1"/>
  <c r="C1105" i="3" s="1"/>
  <c r="D1105" i="3" a="1"/>
  <c r="D1105" i="3" s="1"/>
  <c r="E1105" i="3" a="1"/>
  <c r="E1105" i="3" s="1"/>
  <c r="F1105" i="3" a="1"/>
  <c r="F1105" i="3" s="1"/>
  <c r="G1105" i="3" a="1"/>
  <c r="G1105" i="3" s="1"/>
  <c r="J1105" i="3" a="1"/>
  <c r="J1105" i="3" s="1"/>
  <c r="B1106" i="3" a="1"/>
  <c r="B1106" i="3" s="1"/>
  <c r="C1106" i="3" a="1"/>
  <c r="C1106" i="3" s="1"/>
  <c r="D1106" i="3" a="1"/>
  <c r="D1106" i="3" s="1"/>
  <c r="E1106" i="3" a="1"/>
  <c r="E1106" i="3" s="1"/>
  <c r="F1106" i="3" a="1"/>
  <c r="F1106" i="3" s="1"/>
  <c r="G1106" i="3" a="1"/>
  <c r="G1106" i="3" s="1"/>
  <c r="J1106" i="3" a="1"/>
  <c r="J1106" i="3" s="1"/>
  <c r="B1107" i="3" a="1"/>
  <c r="B1107" i="3" s="1"/>
  <c r="C1107" i="3" a="1"/>
  <c r="C1107" i="3" s="1"/>
  <c r="D1107" i="3" a="1"/>
  <c r="D1107" i="3" s="1"/>
  <c r="E1107" i="3" a="1"/>
  <c r="E1107" i="3" s="1"/>
  <c r="F1107" i="3" a="1"/>
  <c r="F1107" i="3" s="1"/>
  <c r="G1107" i="3" a="1"/>
  <c r="G1107" i="3" s="1"/>
  <c r="J1107" i="3" a="1"/>
  <c r="J1107" i="3" s="1"/>
  <c r="B1108" i="3" a="1"/>
  <c r="B1108" i="3" s="1"/>
  <c r="C1108" i="3" a="1"/>
  <c r="C1108" i="3" s="1"/>
  <c r="D1108" i="3" a="1"/>
  <c r="D1108" i="3" s="1"/>
  <c r="E1108" i="3" a="1"/>
  <c r="E1108" i="3" s="1"/>
  <c r="F1108" i="3" a="1"/>
  <c r="F1108" i="3" s="1"/>
  <c r="G1108" i="3" a="1"/>
  <c r="G1108" i="3" s="1"/>
  <c r="J1108" i="3" a="1"/>
  <c r="J1108" i="3" s="1"/>
  <c r="B1109" i="3" a="1"/>
  <c r="B1109" i="3" s="1"/>
  <c r="C1109" i="3" a="1"/>
  <c r="C1109" i="3" s="1"/>
  <c r="D1109" i="3" a="1"/>
  <c r="D1109" i="3" s="1"/>
  <c r="E1109" i="3" a="1"/>
  <c r="E1109" i="3" s="1"/>
  <c r="F1109" i="3" a="1"/>
  <c r="F1109" i="3" s="1"/>
  <c r="G1109" i="3" a="1"/>
  <c r="G1109" i="3" s="1"/>
  <c r="J1109" i="3" a="1"/>
  <c r="J1109" i="3" s="1"/>
  <c r="B1110" i="3" a="1"/>
  <c r="B1110" i="3" s="1"/>
  <c r="C1110" i="3" a="1"/>
  <c r="C1110" i="3" s="1"/>
  <c r="D1110" i="3" a="1"/>
  <c r="D1110" i="3" s="1"/>
  <c r="E1110" i="3" a="1"/>
  <c r="E1110" i="3" s="1"/>
  <c r="F1110" i="3" a="1"/>
  <c r="F1110" i="3" s="1"/>
  <c r="G1110" i="3" a="1"/>
  <c r="G1110" i="3" s="1"/>
  <c r="J1110" i="3" a="1"/>
  <c r="J1110" i="3" s="1"/>
  <c r="B1111" i="3" a="1"/>
  <c r="B1111" i="3" s="1"/>
  <c r="C1111" i="3" a="1"/>
  <c r="C1111" i="3" s="1"/>
  <c r="D1111" i="3" a="1"/>
  <c r="D1111" i="3" s="1"/>
  <c r="E1111" i="3" a="1"/>
  <c r="E1111" i="3" s="1"/>
  <c r="F1111" i="3" a="1"/>
  <c r="F1111" i="3" s="1"/>
  <c r="G1111" i="3" a="1"/>
  <c r="G1111" i="3" s="1"/>
  <c r="J1111" i="3" a="1"/>
  <c r="J1111" i="3" s="1"/>
  <c r="B1112" i="3" a="1"/>
  <c r="B1112" i="3" s="1"/>
  <c r="C1112" i="3" a="1"/>
  <c r="C1112" i="3" s="1"/>
  <c r="D1112" i="3" a="1"/>
  <c r="D1112" i="3" s="1"/>
  <c r="E1112" i="3" a="1"/>
  <c r="E1112" i="3" s="1"/>
  <c r="F1112" i="3" a="1"/>
  <c r="F1112" i="3" s="1"/>
  <c r="G1112" i="3" a="1"/>
  <c r="G1112" i="3" s="1"/>
  <c r="J1112" i="3" a="1"/>
  <c r="J1112" i="3" s="1"/>
  <c r="B1113" i="3" a="1"/>
  <c r="B1113" i="3" s="1"/>
  <c r="C1113" i="3" a="1"/>
  <c r="C1113" i="3" s="1"/>
  <c r="D1113" i="3" a="1"/>
  <c r="D1113" i="3" s="1"/>
  <c r="E1113" i="3" a="1"/>
  <c r="E1113" i="3" s="1"/>
  <c r="F1113" i="3" a="1"/>
  <c r="F1113" i="3" s="1"/>
  <c r="G1113" i="3" a="1"/>
  <c r="G1113" i="3" s="1"/>
  <c r="J1113" i="3" a="1"/>
  <c r="J1113" i="3" s="1"/>
  <c r="B1114" i="3" a="1"/>
  <c r="B1114" i="3" s="1"/>
  <c r="C1114" i="3" a="1"/>
  <c r="C1114" i="3" s="1"/>
  <c r="D1114" i="3" a="1"/>
  <c r="D1114" i="3" s="1"/>
  <c r="E1114" i="3" a="1"/>
  <c r="E1114" i="3" s="1"/>
  <c r="F1114" i="3" a="1"/>
  <c r="F1114" i="3" s="1"/>
  <c r="G1114" i="3" a="1"/>
  <c r="G1114" i="3" s="1"/>
  <c r="J1114" i="3" a="1"/>
  <c r="J1114" i="3" s="1"/>
  <c r="B1115" i="3" a="1"/>
  <c r="B1115" i="3" s="1"/>
  <c r="C1115" i="3" a="1"/>
  <c r="C1115" i="3" s="1"/>
  <c r="D1115" i="3" a="1"/>
  <c r="D1115" i="3" s="1"/>
  <c r="E1115" i="3" a="1"/>
  <c r="E1115" i="3" s="1"/>
  <c r="F1115" i="3" a="1"/>
  <c r="F1115" i="3" s="1"/>
  <c r="G1115" i="3" a="1"/>
  <c r="G1115" i="3" s="1"/>
  <c r="J1115" i="3" a="1"/>
  <c r="J1115" i="3" s="1"/>
  <c r="B1116" i="3" a="1"/>
  <c r="B1116" i="3" s="1"/>
  <c r="C1116" i="3" a="1"/>
  <c r="C1116" i="3" s="1"/>
  <c r="D1116" i="3" a="1"/>
  <c r="D1116" i="3" s="1"/>
  <c r="E1116" i="3" a="1"/>
  <c r="E1116" i="3" s="1"/>
  <c r="F1116" i="3" a="1"/>
  <c r="F1116" i="3" s="1"/>
  <c r="G1116" i="3" a="1"/>
  <c r="G1116" i="3" s="1"/>
  <c r="J1116" i="3" a="1"/>
  <c r="J1116" i="3" s="1"/>
  <c r="B1117" i="3" a="1"/>
  <c r="B1117" i="3" s="1"/>
  <c r="C1117" i="3" a="1"/>
  <c r="C1117" i="3" s="1"/>
  <c r="D1117" i="3" a="1"/>
  <c r="D1117" i="3" s="1"/>
  <c r="E1117" i="3" a="1"/>
  <c r="E1117" i="3" s="1"/>
  <c r="F1117" i="3" a="1"/>
  <c r="F1117" i="3" s="1"/>
  <c r="G1117" i="3" a="1"/>
  <c r="G1117" i="3" s="1"/>
  <c r="J1117" i="3" a="1"/>
  <c r="J1117" i="3" s="1"/>
  <c r="B1118" i="3" a="1"/>
  <c r="B1118" i="3" s="1"/>
  <c r="C1118" i="3" a="1"/>
  <c r="C1118" i="3" s="1"/>
  <c r="D1118" i="3" a="1"/>
  <c r="D1118" i="3" s="1"/>
  <c r="E1118" i="3" a="1"/>
  <c r="E1118" i="3" s="1"/>
  <c r="F1118" i="3" a="1"/>
  <c r="F1118" i="3" s="1"/>
  <c r="G1118" i="3" a="1"/>
  <c r="G1118" i="3" s="1"/>
  <c r="J1118" i="3" a="1"/>
  <c r="J1118" i="3" s="1"/>
  <c r="B1119" i="3" a="1"/>
  <c r="B1119" i="3" s="1"/>
  <c r="C1119" i="3" a="1"/>
  <c r="C1119" i="3" s="1"/>
  <c r="D1119" i="3" a="1"/>
  <c r="D1119" i="3" s="1"/>
  <c r="E1119" i="3" a="1"/>
  <c r="E1119" i="3" s="1"/>
  <c r="F1119" i="3" a="1"/>
  <c r="F1119" i="3" s="1"/>
  <c r="G1119" i="3" a="1"/>
  <c r="G1119" i="3" s="1"/>
  <c r="J1119" i="3" a="1"/>
  <c r="J1119" i="3" s="1"/>
  <c r="B1120" i="3" a="1"/>
  <c r="B1120" i="3" s="1"/>
  <c r="C1120" i="3" a="1"/>
  <c r="C1120" i="3" s="1"/>
  <c r="D1120" i="3" a="1"/>
  <c r="D1120" i="3" s="1"/>
  <c r="E1120" i="3" a="1"/>
  <c r="E1120" i="3" s="1"/>
  <c r="F1120" i="3" a="1"/>
  <c r="F1120" i="3" s="1"/>
  <c r="G1120" i="3" a="1"/>
  <c r="G1120" i="3" s="1"/>
  <c r="J1120" i="3" a="1"/>
  <c r="J1120" i="3" s="1"/>
  <c r="B1121" i="3" a="1"/>
  <c r="B1121" i="3" s="1"/>
  <c r="C1121" i="3" a="1"/>
  <c r="C1121" i="3" s="1"/>
  <c r="D1121" i="3" a="1"/>
  <c r="D1121" i="3" s="1"/>
  <c r="E1121" i="3" a="1"/>
  <c r="E1121" i="3" s="1"/>
  <c r="F1121" i="3" a="1"/>
  <c r="F1121" i="3" s="1"/>
  <c r="G1121" i="3" a="1"/>
  <c r="G1121" i="3" s="1"/>
  <c r="J1121" i="3" a="1"/>
  <c r="J1121" i="3" s="1"/>
  <c r="B1122" i="3" a="1"/>
  <c r="B1122" i="3" s="1"/>
  <c r="C1122" i="3" a="1"/>
  <c r="C1122" i="3" s="1"/>
  <c r="D1122" i="3" a="1"/>
  <c r="D1122" i="3" s="1"/>
  <c r="E1122" i="3" a="1"/>
  <c r="E1122" i="3" s="1"/>
  <c r="F1122" i="3" a="1"/>
  <c r="F1122" i="3" s="1"/>
  <c r="G1122" i="3" a="1"/>
  <c r="G1122" i="3" s="1"/>
  <c r="J1122" i="3" a="1"/>
  <c r="J1122" i="3" s="1"/>
  <c r="B1123" i="3" a="1"/>
  <c r="B1123" i="3" s="1"/>
  <c r="C1123" i="3" a="1"/>
  <c r="C1123" i="3" s="1"/>
  <c r="D1123" i="3" a="1"/>
  <c r="D1123" i="3" s="1"/>
  <c r="E1123" i="3" a="1"/>
  <c r="E1123" i="3" s="1"/>
  <c r="F1123" i="3" a="1"/>
  <c r="F1123" i="3" s="1"/>
  <c r="G1123" i="3" a="1"/>
  <c r="G1123" i="3" s="1"/>
  <c r="J1123" i="3" a="1"/>
  <c r="J1123" i="3" s="1"/>
  <c r="B1124" i="3" a="1"/>
  <c r="B1124" i="3" s="1"/>
  <c r="C1124" i="3" a="1"/>
  <c r="C1124" i="3" s="1"/>
  <c r="D1124" i="3" a="1"/>
  <c r="D1124" i="3" s="1"/>
  <c r="E1124" i="3" a="1"/>
  <c r="E1124" i="3" s="1"/>
  <c r="F1124" i="3" a="1"/>
  <c r="F1124" i="3" s="1"/>
  <c r="G1124" i="3" a="1"/>
  <c r="G1124" i="3" s="1"/>
  <c r="J1124" i="3" a="1"/>
  <c r="J1124" i="3" s="1"/>
  <c r="B1125" i="3" a="1"/>
  <c r="B1125" i="3" s="1"/>
  <c r="C1125" i="3" a="1"/>
  <c r="C1125" i="3" s="1"/>
  <c r="D1125" i="3" a="1"/>
  <c r="D1125" i="3" s="1"/>
  <c r="E1125" i="3" a="1"/>
  <c r="E1125" i="3" s="1"/>
  <c r="F1125" i="3" a="1"/>
  <c r="F1125" i="3" s="1"/>
  <c r="G1125" i="3" a="1"/>
  <c r="G1125" i="3" s="1"/>
  <c r="J1125" i="3" a="1"/>
  <c r="J1125" i="3" s="1"/>
  <c r="B1126" i="3" a="1"/>
  <c r="B1126" i="3" s="1"/>
  <c r="C1126" i="3" a="1"/>
  <c r="C1126" i="3" s="1"/>
  <c r="D1126" i="3" a="1"/>
  <c r="D1126" i="3" s="1"/>
  <c r="E1126" i="3" a="1"/>
  <c r="E1126" i="3" s="1"/>
  <c r="F1126" i="3" a="1"/>
  <c r="F1126" i="3" s="1"/>
  <c r="G1126" i="3" a="1"/>
  <c r="G1126" i="3" s="1"/>
  <c r="J1126" i="3" a="1"/>
  <c r="J1126" i="3" s="1"/>
  <c r="B1127" i="3" a="1"/>
  <c r="B1127" i="3" s="1"/>
  <c r="C1127" i="3" a="1"/>
  <c r="C1127" i="3" s="1"/>
  <c r="D1127" i="3" a="1"/>
  <c r="D1127" i="3" s="1"/>
  <c r="E1127" i="3" a="1"/>
  <c r="E1127" i="3" s="1"/>
  <c r="F1127" i="3" a="1"/>
  <c r="F1127" i="3" s="1"/>
  <c r="G1127" i="3" a="1"/>
  <c r="G1127" i="3" s="1"/>
  <c r="J1127" i="3" a="1"/>
  <c r="J1127" i="3" s="1"/>
  <c r="B1128" i="3" a="1"/>
  <c r="B1128" i="3" s="1"/>
  <c r="C1128" i="3" a="1"/>
  <c r="C1128" i="3" s="1"/>
  <c r="D1128" i="3" a="1"/>
  <c r="D1128" i="3" s="1"/>
  <c r="E1128" i="3" a="1"/>
  <c r="E1128" i="3" s="1"/>
  <c r="F1128" i="3" a="1"/>
  <c r="F1128" i="3" s="1"/>
  <c r="G1128" i="3" a="1"/>
  <c r="G1128" i="3" s="1"/>
  <c r="J1128" i="3" a="1"/>
  <c r="J1128" i="3" s="1"/>
  <c r="B1129" i="3" a="1"/>
  <c r="B1129" i="3" s="1"/>
  <c r="C1129" i="3" a="1"/>
  <c r="C1129" i="3" s="1"/>
  <c r="D1129" i="3" a="1"/>
  <c r="D1129" i="3" s="1"/>
  <c r="E1129" i="3" a="1"/>
  <c r="E1129" i="3" s="1"/>
  <c r="F1129" i="3" a="1"/>
  <c r="F1129" i="3" s="1"/>
  <c r="G1129" i="3" a="1"/>
  <c r="G1129" i="3" s="1"/>
  <c r="J1129" i="3" a="1"/>
  <c r="J1129" i="3" s="1"/>
  <c r="B1130" i="3" a="1"/>
  <c r="B1130" i="3" s="1"/>
  <c r="C1130" i="3" a="1"/>
  <c r="C1130" i="3" s="1"/>
  <c r="D1130" i="3" a="1"/>
  <c r="D1130" i="3" s="1"/>
  <c r="E1130" i="3" a="1"/>
  <c r="E1130" i="3" s="1"/>
  <c r="F1130" i="3" a="1"/>
  <c r="F1130" i="3" s="1"/>
  <c r="G1130" i="3" a="1"/>
  <c r="G1130" i="3" s="1"/>
  <c r="J1130" i="3" a="1"/>
  <c r="J1130" i="3" s="1"/>
  <c r="B1131" i="3" a="1"/>
  <c r="B1131" i="3" s="1"/>
  <c r="C1131" i="3" a="1"/>
  <c r="C1131" i="3" s="1"/>
  <c r="D1131" i="3" a="1"/>
  <c r="D1131" i="3" s="1"/>
  <c r="E1131" i="3" a="1"/>
  <c r="E1131" i="3" s="1"/>
  <c r="F1131" i="3" a="1"/>
  <c r="F1131" i="3" s="1"/>
  <c r="G1131" i="3" a="1"/>
  <c r="G1131" i="3" s="1"/>
  <c r="J1131" i="3" a="1"/>
  <c r="J1131" i="3" s="1"/>
  <c r="B1132" i="3" a="1"/>
  <c r="B1132" i="3" s="1"/>
  <c r="C1132" i="3" a="1"/>
  <c r="C1132" i="3" s="1"/>
  <c r="D1132" i="3" a="1"/>
  <c r="D1132" i="3" s="1"/>
  <c r="E1132" i="3" a="1"/>
  <c r="E1132" i="3" s="1"/>
  <c r="F1132" i="3" a="1"/>
  <c r="F1132" i="3" s="1"/>
  <c r="G1132" i="3" a="1"/>
  <c r="G1132" i="3" s="1"/>
  <c r="J1132" i="3" a="1"/>
  <c r="J1132" i="3" s="1"/>
  <c r="B1133" i="3" a="1"/>
  <c r="B1133" i="3" s="1"/>
  <c r="C1133" i="3" a="1"/>
  <c r="C1133" i="3" s="1"/>
  <c r="D1133" i="3" a="1"/>
  <c r="D1133" i="3" s="1"/>
  <c r="E1133" i="3" a="1"/>
  <c r="E1133" i="3" s="1"/>
  <c r="F1133" i="3" a="1"/>
  <c r="F1133" i="3" s="1"/>
  <c r="G1133" i="3" a="1"/>
  <c r="G1133" i="3" s="1"/>
  <c r="J1133" i="3" a="1"/>
  <c r="J1133" i="3" s="1"/>
  <c r="B1134" i="3" a="1"/>
  <c r="B1134" i="3" s="1"/>
  <c r="C1134" i="3" a="1"/>
  <c r="C1134" i="3" s="1"/>
  <c r="D1134" i="3" a="1"/>
  <c r="D1134" i="3" s="1"/>
  <c r="E1134" i="3" a="1"/>
  <c r="E1134" i="3" s="1"/>
  <c r="F1134" i="3" a="1"/>
  <c r="F1134" i="3" s="1"/>
  <c r="G1134" i="3" a="1"/>
  <c r="G1134" i="3" s="1"/>
  <c r="J1134" i="3" a="1"/>
  <c r="J1134" i="3" s="1"/>
  <c r="B1135" i="3" a="1"/>
  <c r="B1135" i="3" s="1"/>
  <c r="C1135" i="3" a="1"/>
  <c r="C1135" i="3" s="1"/>
  <c r="D1135" i="3" a="1"/>
  <c r="D1135" i="3" s="1"/>
  <c r="E1135" i="3" a="1"/>
  <c r="E1135" i="3" s="1"/>
  <c r="F1135" i="3" a="1"/>
  <c r="F1135" i="3" s="1"/>
  <c r="G1135" i="3" a="1"/>
  <c r="G1135" i="3" s="1"/>
  <c r="J1135" i="3" a="1"/>
  <c r="J1135" i="3" s="1"/>
  <c r="B1136" i="3" a="1"/>
  <c r="B1136" i="3" s="1"/>
  <c r="C1136" i="3" a="1"/>
  <c r="C1136" i="3" s="1"/>
  <c r="D1136" i="3" a="1"/>
  <c r="D1136" i="3" s="1"/>
  <c r="E1136" i="3" a="1"/>
  <c r="E1136" i="3" s="1"/>
  <c r="F1136" i="3" a="1"/>
  <c r="F1136" i="3" s="1"/>
  <c r="G1136" i="3" a="1"/>
  <c r="G1136" i="3" s="1"/>
  <c r="J1136" i="3" a="1"/>
  <c r="J1136" i="3" s="1"/>
  <c r="B1137" i="3" a="1"/>
  <c r="B1137" i="3" s="1"/>
  <c r="C1137" i="3" a="1"/>
  <c r="C1137" i="3" s="1"/>
  <c r="D1137" i="3" a="1"/>
  <c r="D1137" i="3" s="1"/>
  <c r="E1137" i="3" a="1"/>
  <c r="E1137" i="3" s="1"/>
  <c r="F1137" i="3" a="1"/>
  <c r="F1137" i="3" s="1"/>
  <c r="G1137" i="3" a="1"/>
  <c r="G1137" i="3" s="1"/>
  <c r="J1137" i="3" a="1"/>
  <c r="J1137" i="3" s="1"/>
  <c r="B1138" i="3" a="1"/>
  <c r="B1138" i="3" s="1"/>
  <c r="C1138" i="3" a="1"/>
  <c r="C1138" i="3" s="1"/>
  <c r="D1138" i="3" a="1"/>
  <c r="D1138" i="3" s="1"/>
  <c r="E1138" i="3" a="1"/>
  <c r="E1138" i="3" s="1"/>
  <c r="F1138" i="3" a="1"/>
  <c r="F1138" i="3" s="1"/>
  <c r="G1138" i="3" a="1"/>
  <c r="G1138" i="3" s="1"/>
  <c r="J1138" i="3" a="1"/>
  <c r="J1138" i="3" s="1"/>
  <c r="B1139" i="3" a="1"/>
  <c r="B1139" i="3" s="1"/>
  <c r="C1139" i="3" a="1"/>
  <c r="C1139" i="3" s="1"/>
  <c r="D1139" i="3" a="1"/>
  <c r="D1139" i="3" s="1"/>
  <c r="E1139" i="3" a="1"/>
  <c r="E1139" i="3" s="1"/>
  <c r="F1139" i="3" a="1"/>
  <c r="F1139" i="3" s="1"/>
  <c r="G1139" i="3" a="1"/>
  <c r="G1139" i="3" s="1"/>
  <c r="J1139" i="3" a="1"/>
  <c r="J1139" i="3" s="1"/>
  <c r="B1140" i="3" a="1"/>
  <c r="B1140" i="3" s="1"/>
  <c r="C1140" i="3" a="1"/>
  <c r="C1140" i="3" s="1"/>
  <c r="D1140" i="3" a="1"/>
  <c r="D1140" i="3" s="1"/>
  <c r="E1140" i="3" a="1"/>
  <c r="E1140" i="3" s="1"/>
  <c r="F1140" i="3" a="1"/>
  <c r="F1140" i="3" s="1"/>
  <c r="G1140" i="3" a="1"/>
  <c r="G1140" i="3" s="1"/>
  <c r="J1140" i="3" a="1"/>
  <c r="J1140" i="3" s="1"/>
  <c r="B1141" i="3" a="1"/>
  <c r="B1141" i="3" s="1"/>
  <c r="C1141" i="3" a="1"/>
  <c r="C1141" i="3" s="1"/>
  <c r="D1141" i="3" a="1"/>
  <c r="D1141" i="3" s="1"/>
  <c r="E1141" i="3" a="1"/>
  <c r="E1141" i="3" s="1"/>
  <c r="F1141" i="3" a="1"/>
  <c r="F1141" i="3" s="1"/>
  <c r="G1141" i="3" a="1"/>
  <c r="G1141" i="3" s="1"/>
  <c r="J1141" i="3" a="1"/>
  <c r="J1141" i="3" s="1"/>
  <c r="B1142" i="3" a="1"/>
  <c r="B1142" i="3" s="1"/>
  <c r="C1142" i="3" a="1"/>
  <c r="C1142" i="3" s="1"/>
  <c r="D1142" i="3" a="1"/>
  <c r="D1142" i="3" s="1"/>
  <c r="E1142" i="3" a="1"/>
  <c r="E1142" i="3" s="1"/>
  <c r="F1142" i="3" a="1"/>
  <c r="F1142" i="3" s="1"/>
  <c r="G1142" i="3" a="1"/>
  <c r="G1142" i="3" s="1"/>
  <c r="J1142" i="3" a="1"/>
  <c r="J1142" i="3" s="1"/>
  <c r="B1143" i="3" a="1"/>
  <c r="B1143" i="3" s="1"/>
  <c r="C1143" i="3" a="1"/>
  <c r="C1143" i="3" s="1"/>
  <c r="D1143" i="3" a="1"/>
  <c r="D1143" i="3" s="1"/>
  <c r="E1143" i="3" a="1"/>
  <c r="E1143" i="3" s="1"/>
  <c r="F1143" i="3" a="1"/>
  <c r="F1143" i="3" s="1"/>
  <c r="G1143" i="3" a="1"/>
  <c r="G1143" i="3" s="1"/>
  <c r="J1143" i="3" a="1"/>
  <c r="J1143" i="3" s="1"/>
  <c r="B1144" i="3" a="1"/>
  <c r="B1144" i="3" s="1"/>
  <c r="C1144" i="3" a="1"/>
  <c r="C1144" i="3" s="1"/>
  <c r="D1144" i="3" a="1"/>
  <c r="D1144" i="3" s="1"/>
  <c r="E1144" i="3" a="1"/>
  <c r="E1144" i="3" s="1"/>
  <c r="F1144" i="3" a="1"/>
  <c r="F1144" i="3" s="1"/>
  <c r="G1144" i="3" a="1"/>
  <c r="G1144" i="3" s="1"/>
  <c r="J1144" i="3" a="1"/>
  <c r="J1144" i="3" s="1"/>
  <c r="B1145" i="3" a="1"/>
  <c r="B1145" i="3" s="1"/>
  <c r="C1145" i="3" a="1"/>
  <c r="C1145" i="3" s="1"/>
  <c r="D1145" i="3" a="1"/>
  <c r="D1145" i="3" s="1"/>
  <c r="E1145" i="3" a="1"/>
  <c r="E1145" i="3" s="1"/>
  <c r="F1145" i="3" a="1"/>
  <c r="F1145" i="3" s="1"/>
  <c r="G1145" i="3" a="1"/>
  <c r="G1145" i="3" s="1"/>
  <c r="J1145" i="3" a="1"/>
  <c r="J1145" i="3" s="1"/>
  <c r="B1146" i="3" a="1"/>
  <c r="B1146" i="3" s="1"/>
  <c r="C1146" i="3" a="1"/>
  <c r="C1146" i="3" s="1"/>
  <c r="D1146" i="3" a="1"/>
  <c r="D1146" i="3" s="1"/>
  <c r="E1146" i="3" a="1"/>
  <c r="E1146" i="3" s="1"/>
  <c r="F1146" i="3" a="1"/>
  <c r="F1146" i="3" s="1"/>
  <c r="G1146" i="3" a="1"/>
  <c r="G1146" i="3" s="1"/>
  <c r="J1146" i="3" a="1"/>
  <c r="J1146" i="3" s="1"/>
  <c r="B1147" i="3" a="1"/>
  <c r="B1147" i="3" s="1"/>
  <c r="C1147" i="3" a="1"/>
  <c r="C1147" i="3" s="1"/>
  <c r="D1147" i="3" a="1"/>
  <c r="D1147" i="3" s="1"/>
  <c r="E1147" i="3" a="1"/>
  <c r="E1147" i="3" s="1"/>
  <c r="F1147" i="3" a="1"/>
  <c r="F1147" i="3" s="1"/>
  <c r="G1147" i="3" a="1"/>
  <c r="G1147" i="3" s="1"/>
  <c r="J1147" i="3" a="1"/>
  <c r="J1147" i="3" s="1"/>
  <c r="B1148" i="3" a="1"/>
  <c r="B1148" i="3" s="1"/>
  <c r="C1148" i="3" a="1"/>
  <c r="C1148" i="3" s="1"/>
  <c r="D1148" i="3" a="1"/>
  <c r="D1148" i="3" s="1"/>
  <c r="E1148" i="3" a="1"/>
  <c r="E1148" i="3" s="1"/>
  <c r="F1148" i="3" a="1"/>
  <c r="F1148" i="3" s="1"/>
  <c r="G1148" i="3" a="1"/>
  <c r="G1148" i="3" s="1"/>
  <c r="J1148" i="3" a="1"/>
  <c r="J1148" i="3" s="1"/>
  <c r="B1149" i="3" a="1"/>
  <c r="B1149" i="3" s="1"/>
  <c r="C1149" i="3" a="1"/>
  <c r="C1149" i="3" s="1"/>
  <c r="D1149" i="3" a="1"/>
  <c r="D1149" i="3" s="1"/>
  <c r="E1149" i="3" a="1"/>
  <c r="E1149" i="3" s="1"/>
  <c r="F1149" i="3" a="1"/>
  <c r="F1149" i="3" s="1"/>
  <c r="G1149" i="3" a="1"/>
  <c r="G1149" i="3" s="1"/>
  <c r="J1149" i="3" a="1"/>
  <c r="J1149" i="3" s="1"/>
  <c r="B1150" i="3" a="1"/>
  <c r="B1150" i="3" s="1"/>
  <c r="C1150" i="3" a="1"/>
  <c r="C1150" i="3" s="1"/>
  <c r="D1150" i="3" a="1"/>
  <c r="D1150" i="3" s="1"/>
  <c r="E1150" i="3" a="1"/>
  <c r="E1150" i="3" s="1"/>
  <c r="F1150" i="3" a="1"/>
  <c r="F1150" i="3" s="1"/>
  <c r="G1150" i="3" a="1"/>
  <c r="G1150" i="3" s="1"/>
  <c r="J1150" i="3" a="1"/>
  <c r="J1150" i="3" s="1"/>
  <c r="B1151" i="3" a="1"/>
  <c r="B1151" i="3" s="1"/>
  <c r="C1151" i="3" a="1"/>
  <c r="C1151" i="3" s="1"/>
  <c r="D1151" i="3" a="1"/>
  <c r="D1151" i="3" s="1"/>
  <c r="E1151" i="3" a="1"/>
  <c r="E1151" i="3" s="1"/>
  <c r="F1151" i="3" a="1"/>
  <c r="F1151" i="3" s="1"/>
  <c r="G1151" i="3" a="1"/>
  <c r="G1151" i="3" s="1"/>
  <c r="J1151" i="3" a="1"/>
  <c r="J1151" i="3" s="1"/>
  <c r="B1152" i="3" a="1"/>
  <c r="B1152" i="3" s="1"/>
  <c r="C1152" i="3" a="1"/>
  <c r="C1152" i="3" s="1"/>
  <c r="D1152" i="3" a="1"/>
  <c r="D1152" i="3" s="1"/>
  <c r="E1152" i="3" a="1"/>
  <c r="E1152" i="3" s="1"/>
  <c r="F1152" i="3" a="1"/>
  <c r="F1152" i="3" s="1"/>
  <c r="G1152" i="3" a="1"/>
  <c r="G1152" i="3" s="1"/>
  <c r="J1152" i="3" a="1"/>
  <c r="J1152" i="3" s="1"/>
  <c r="B1153" i="3" a="1"/>
  <c r="B1153" i="3" s="1"/>
  <c r="C1153" i="3" a="1"/>
  <c r="C1153" i="3" s="1"/>
  <c r="D1153" i="3" a="1"/>
  <c r="D1153" i="3" s="1"/>
  <c r="E1153" i="3" a="1"/>
  <c r="E1153" i="3" s="1"/>
  <c r="F1153" i="3" a="1"/>
  <c r="F1153" i="3" s="1"/>
  <c r="G1153" i="3" a="1"/>
  <c r="G1153" i="3" s="1"/>
  <c r="J1153" i="3" a="1"/>
  <c r="J1153" i="3" s="1"/>
  <c r="B1154" i="3" a="1"/>
  <c r="B1154" i="3" s="1"/>
  <c r="C1154" i="3" a="1"/>
  <c r="C1154" i="3" s="1"/>
  <c r="D1154" i="3" a="1"/>
  <c r="D1154" i="3" s="1"/>
  <c r="E1154" i="3" a="1"/>
  <c r="E1154" i="3" s="1"/>
  <c r="F1154" i="3" a="1"/>
  <c r="F1154" i="3" s="1"/>
  <c r="G1154" i="3" a="1"/>
  <c r="G1154" i="3" s="1"/>
  <c r="J1154" i="3" a="1"/>
  <c r="J1154" i="3" s="1"/>
  <c r="B1155" i="3" a="1"/>
  <c r="B1155" i="3" s="1"/>
  <c r="C1155" i="3" a="1"/>
  <c r="C1155" i="3" s="1"/>
  <c r="D1155" i="3" a="1"/>
  <c r="D1155" i="3" s="1"/>
  <c r="E1155" i="3" a="1"/>
  <c r="E1155" i="3" s="1"/>
  <c r="F1155" i="3" a="1"/>
  <c r="F1155" i="3" s="1"/>
  <c r="G1155" i="3" a="1"/>
  <c r="G1155" i="3" s="1"/>
  <c r="J1155" i="3" a="1"/>
  <c r="J1155" i="3" s="1"/>
  <c r="B1156" i="3" a="1"/>
  <c r="B1156" i="3" s="1"/>
  <c r="C1156" i="3" a="1"/>
  <c r="C1156" i="3" s="1"/>
  <c r="D1156" i="3" a="1"/>
  <c r="D1156" i="3" s="1"/>
  <c r="E1156" i="3" a="1"/>
  <c r="E1156" i="3" s="1"/>
  <c r="F1156" i="3" a="1"/>
  <c r="F1156" i="3" s="1"/>
  <c r="G1156" i="3" a="1"/>
  <c r="G1156" i="3" s="1"/>
  <c r="J1156" i="3" a="1"/>
  <c r="J1156" i="3" s="1"/>
  <c r="B1157" i="3" a="1"/>
  <c r="B1157" i="3" s="1"/>
  <c r="C1157" i="3" a="1"/>
  <c r="C1157" i="3" s="1"/>
  <c r="D1157" i="3" a="1"/>
  <c r="D1157" i="3" s="1"/>
  <c r="E1157" i="3" a="1"/>
  <c r="E1157" i="3" s="1"/>
  <c r="F1157" i="3" a="1"/>
  <c r="F1157" i="3" s="1"/>
  <c r="G1157" i="3" a="1"/>
  <c r="G1157" i="3" s="1"/>
  <c r="J1157" i="3" a="1"/>
  <c r="J1157" i="3" s="1"/>
  <c r="B1158" i="3" a="1"/>
  <c r="B1158" i="3" s="1"/>
  <c r="C1158" i="3" a="1"/>
  <c r="C1158" i="3" s="1"/>
  <c r="D1158" i="3" a="1"/>
  <c r="D1158" i="3" s="1"/>
  <c r="E1158" i="3" a="1"/>
  <c r="E1158" i="3" s="1"/>
  <c r="F1158" i="3" a="1"/>
  <c r="F1158" i="3" s="1"/>
  <c r="G1158" i="3" a="1"/>
  <c r="G1158" i="3" s="1"/>
  <c r="J1158" i="3" a="1"/>
  <c r="J1158" i="3" s="1"/>
  <c r="B1159" i="3" a="1"/>
  <c r="B1159" i="3" s="1"/>
  <c r="C1159" i="3" a="1"/>
  <c r="C1159" i="3" s="1"/>
  <c r="D1159" i="3" a="1"/>
  <c r="D1159" i="3" s="1"/>
  <c r="E1159" i="3" a="1"/>
  <c r="E1159" i="3" s="1"/>
  <c r="F1159" i="3" a="1"/>
  <c r="F1159" i="3" s="1"/>
  <c r="G1159" i="3" a="1"/>
  <c r="G1159" i="3" s="1"/>
  <c r="J1159" i="3" a="1"/>
  <c r="J1159" i="3" s="1"/>
  <c r="B1160" i="3" a="1"/>
  <c r="B1160" i="3" s="1"/>
  <c r="C1160" i="3" a="1"/>
  <c r="C1160" i="3" s="1"/>
  <c r="D1160" i="3" a="1"/>
  <c r="D1160" i="3" s="1"/>
  <c r="E1160" i="3" a="1"/>
  <c r="E1160" i="3" s="1"/>
  <c r="F1160" i="3" a="1"/>
  <c r="F1160" i="3" s="1"/>
  <c r="G1160" i="3" a="1"/>
  <c r="G1160" i="3" s="1"/>
  <c r="J1160" i="3" a="1"/>
  <c r="J1160" i="3" s="1"/>
  <c r="B1161" i="3" a="1"/>
  <c r="B1161" i="3" s="1"/>
  <c r="C1161" i="3" a="1"/>
  <c r="C1161" i="3" s="1"/>
  <c r="D1161" i="3" a="1"/>
  <c r="D1161" i="3" s="1"/>
  <c r="E1161" i="3" a="1"/>
  <c r="E1161" i="3" s="1"/>
  <c r="F1161" i="3" a="1"/>
  <c r="F1161" i="3" s="1"/>
  <c r="G1161" i="3" a="1"/>
  <c r="G1161" i="3" s="1"/>
  <c r="J1161" i="3" a="1"/>
  <c r="J1161" i="3" s="1"/>
  <c r="B1162" i="3" a="1"/>
  <c r="B1162" i="3" s="1"/>
  <c r="C1162" i="3" a="1"/>
  <c r="C1162" i="3" s="1"/>
  <c r="D1162" i="3" a="1"/>
  <c r="D1162" i="3" s="1"/>
  <c r="E1162" i="3" a="1"/>
  <c r="E1162" i="3" s="1"/>
  <c r="F1162" i="3" a="1"/>
  <c r="F1162" i="3" s="1"/>
  <c r="G1162" i="3" a="1"/>
  <c r="G1162" i="3" s="1"/>
  <c r="J1162" i="3" a="1"/>
  <c r="J1162" i="3" s="1"/>
  <c r="B1163" i="3" a="1"/>
  <c r="B1163" i="3" s="1"/>
  <c r="C1163" i="3" a="1"/>
  <c r="C1163" i="3" s="1"/>
  <c r="D1163" i="3" a="1"/>
  <c r="D1163" i="3" s="1"/>
  <c r="E1163" i="3" a="1"/>
  <c r="E1163" i="3" s="1"/>
  <c r="F1163" i="3" a="1"/>
  <c r="F1163" i="3" s="1"/>
  <c r="G1163" i="3" a="1"/>
  <c r="G1163" i="3" s="1"/>
  <c r="J1163" i="3" a="1"/>
  <c r="J1163" i="3" s="1"/>
  <c r="B1164" i="3" a="1"/>
  <c r="B1164" i="3" s="1"/>
  <c r="C1164" i="3" a="1"/>
  <c r="C1164" i="3" s="1"/>
  <c r="D1164" i="3" a="1"/>
  <c r="D1164" i="3" s="1"/>
  <c r="E1164" i="3" a="1"/>
  <c r="E1164" i="3" s="1"/>
  <c r="F1164" i="3" a="1"/>
  <c r="F1164" i="3" s="1"/>
  <c r="G1164" i="3" a="1"/>
  <c r="G1164" i="3" s="1"/>
  <c r="J1164" i="3" a="1"/>
  <c r="J1164" i="3" s="1"/>
  <c r="B1165" i="3" a="1"/>
  <c r="B1165" i="3" s="1"/>
  <c r="C1165" i="3" a="1"/>
  <c r="C1165" i="3" s="1"/>
  <c r="D1165" i="3" a="1"/>
  <c r="D1165" i="3" s="1"/>
  <c r="E1165" i="3" a="1"/>
  <c r="E1165" i="3" s="1"/>
  <c r="F1165" i="3" a="1"/>
  <c r="F1165" i="3" s="1"/>
  <c r="G1165" i="3" a="1"/>
  <c r="G1165" i="3" s="1"/>
  <c r="J1165" i="3" a="1"/>
  <c r="J1165" i="3" s="1"/>
  <c r="B1166" i="3" a="1"/>
  <c r="B1166" i="3" s="1"/>
  <c r="C1166" i="3" a="1"/>
  <c r="C1166" i="3" s="1"/>
  <c r="D1166" i="3" a="1"/>
  <c r="D1166" i="3" s="1"/>
  <c r="E1166" i="3" a="1"/>
  <c r="E1166" i="3" s="1"/>
  <c r="F1166" i="3" a="1"/>
  <c r="F1166" i="3" s="1"/>
  <c r="G1166" i="3" a="1"/>
  <c r="G1166" i="3" s="1"/>
  <c r="J1166" i="3" a="1"/>
  <c r="J1166" i="3" s="1"/>
  <c r="B1167" i="3" a="1"/>
  <c r="B1167" i="3" s="1"/>
  <c r="C1167" i="3" a="1"/>
  <c r="C1167" i="3" s="1"/>
  <c r="D1167" i="3" a="1"/>
  <c r="D1167" i="3" s="1"/>
  <c r="E1167" i="3" a="1"/>
  <c r="E1167" i="3" s="1"/>
  <c r="F1167" i="3" a="1"/>
  <c r="F1167" i="3" s="1"/>
  <c r="G1167" i="3" a="1"/>
  <c r="G1167" i="3" s="1"/>
  <c r="J1167" i="3" a="1"/>
  <c r="J1167" i="3" s="1"/>
  <c r="B1168" i="3" a="1"/>
  <c r="B1168" i="3" s="1"/>
  <c r="C1168" i="3" a="1"/>
  <c r="C1168" i="3" s="1"/>
  <c r="D1168" i="3" a="1"/>
  <c r="D1168" i="3" s="1"/>
  <c r="E1168" i="3" a="1"/>
  <c r="E1168" i="3" s="1"/>
  <c r="F1168" i="3" a="1"/>
  <c r="F1168" i="3" s="1"/>
  <c r="G1168" i="3" a="1"/>
  <c r="G1168" i="3" s="1"/>
  <c r="J1168" i="3" a="1"/>
  <c r="J1168" i="3" s="1"/>
  <c r="B1169" i="3" a="1"/>
  <c r="B1169" i="3" s="1"/>
  <c r="C1169" i="3" a="1"/>
  <c r="C1169" i="3" s="1"/>
  <c r="D1169" i="3" a="1"/>
  <c r="D1169" i="3" s="1"/>
  <c r="E1169" i="3" a="1"/>
  <c r="E1169" i="3" s="1"/>
  <c r="F1169" i="3" a="1"/>
  <c r="F1169" i="3" s="1"/>
  <c r="G1169" i="3" a="1"/>
  <c r="G1169" i="3" s="1"/>
  <c r="J1169" i="3" a="1"/>
  <c r="J1169" i="3" s="1"/>
  <c r="B1170" i="3" a="1"/>
  <c r="B1170" i="3" s="1"/>
  <c r="C1170" i="3" a="1"/>
  <c r="C1170" i="3" s="1"/>
  <c r="D1170" i="3" a="1"/>
  <c r="D1170" i="3" s="1"/>
  <c r="E1170" i="3" a="1"/>
  <c r="E1170" i="3" s="1"/>
  <c r="F1170" i="3" a="1"/>
  <c r="F1170" i="3" s="1"/>
  <c r="G1170" i="3" a="1"/>
  <c r="G1170" i="3" s="1"/>
  <c r="J1170" i="3" a="1"/>
  <c r="J1170" i="3" s="1"/>
  <c r="B1171" i="3" a="1"/>
  <c r="B1171" i="3" s="1"/>
  <c r="C1171" i="3" a="1"/>
  <c r="C1171" i="3" s="1"/>
  <c r="D1171" i="3" a="1"/>
  <c r="D1171" i="3" s="1"/>
  <c r="E1171" i="3" a="1"/>
  <c r="E1171" i="3" s="1"/>
  <c r="F1171" i="3" a="1"/>
  <c r="F1171" i="3" s="1"/>
  <c r="G1171" i="3" a="1"/>
  <c r="G1171" i="3" s="1"/>
  <c r="J1171" i="3" a="1"/>
  <c r="J1171" i="3" s="1"/>
  <c r="B1172" i="3" a="1"/>
  <c r="B1172" i="3" s="1"/>
  <c r="C1172" i="3" a="1"/>
  <c r="C1172" i="3" s="1"/>
  <c r="D1172" i="3" a="1"/>
  <c r="D1172" i="3" s="1"/>
  <c r="E1172" i="3" a="1"/>
  <c r="E1172" i="3" s="1"/>
  <c r="F1172" i="3" a="1"/>
  <c r="F1172" i="3" s="1"/>
  <c r="G1172" i="3" a="1"/>
  <c r="G1172" i="3" s="1"/>
  <c r="J1172" i="3" a="1"/>
  <c r="J1172" i="3" s="1"/>
  <c r="B1173" i="3" a="1"/>
  <c r="B1173" i="3" s="1"/>
  <c r="C1173" i="3" a="1"/>
  <c r="C1173" i="3" s="1"/>
  <c r="D1173" i="3" a="1"/>
  <c r="D1173" i="3" s="1"/>
  <c r="E1173" i="3" a="1"/>
  <c r="E1173" i="3" s="1"/>
  <c r="F1173" i="3" a="1"/>
  <c r="F1173" i="3" s="1"/>
  <c r="G1173" i="3" a="1"/>
  <c r="G1173" i="3" s="1"/>
  <c r="J1173" i="3" a="1"/>
  <c r="J1173" i="3" s="1"/>
  <c r="B1174" i="3" a="1"/>
  <c r="B1174" i="3" s="1"/>
  <c r="C1174" i="3" a="1"/>
  <c r="C1174" i="3" s="1"/>
  <c r="D1174" i="3" a="1"/>
  <c r="D1174" i="3" s="1"/>
  <c r="E1174" i="3" a="1"/>
  <c r="E1174" i="3" s="1"/>
  <c r="F1174" i="3" a="1"/>
  <c r="F1174" i="3" s="1"/>
  <c r="G1174" i="3" a="1"/>
  <c r="G1174" i="3" s="1"/>
  <c r="J1174" i="3" a="1"/>
  <c r="J1174" i="3" s="1"/>
  <c r="B1175" i="3" a="1"/>
  <c r="B1175" i="3" s="1"/>
  <c r="C1175" i="3" a="1"/>
  <c r="C1175" i="3" s="1"/>
  <c r="D1175" i="3" a="1"/>
  <c r="D1175" i="3" s="1"/>
  <c r="E1175" i="3" a="1"/>
  <c r="E1175" i="3" s="1"/>
  <c r="F1175" i="3" a="1"/>
  <c r="F1175" i="3" s="1"/>
  <c r="G1175" i="3" a="1"/>
  <c r="G1175" i="3" s="1"/>
  <c r="J1175" i="3" a="1"/>
  <c r="J1175" i="3" s="1"/>
  <c r="B1176" i="3" a="1"/>
  <c r="B1176" i="3" s="1"/>
  <c r="C1176" i="3" a="1"/>
  <c r="C1176" i="3" s="1"/>
  <c r="D1176" i="3" a="1"/>
  <c r="D1176" i="3" s="1"/>
  <c r="E1176" i="3" a="1"/>
  <c r="E1176" i="3" s="1"/>
  <c r="F1176" i="3" a="1"/>
  <c r="F1176" i="3" s="1"/>
  <c r="G1176" i="3" a="1"/>
  <c r="G1176" i="3" s="1"/>
  <c r="J1176" i="3" a="1"/>
  <c r="J1176" i="3" s="1"/>
  <c r="B1177" i="3" a="1"/>
  <c r="B1177" i="3" s="1"/>
  <c r="C1177" i="3" a="1"/>
  <c r="C1177" i="3" s="1"/>
  <c r="D1177" i="3" a="1"/>
  <c r="D1177" i="3" s="1"/>
  <c r="E1177" i="3" a="1"/>
  <c r="E1177" i="3" s="1"/>
  <c r="F1177" i="3" a="1"/>
  <c r="F1177" i="3" s="1"/>
  <c r="G1177" i="3" a="1"/>
  <c r="G1177" i="3" s="1"/>
  <c r="J1177" i="3" a="1"/>
  <c r="J1177" i="3" s="1"/>
  <c r="B1178" i="3" a="1"/>
  <c r="B1178" i="3" s="1"/>
  <c r="C1178" i="3" a="1"/>
  <c r="C1178" i="3" s="1"/>
  <c r="D1178" i="3" a="1"/>
  <c r="D1178" i="3" s="1"/>
  <c r="E1178" i="3" a="1"/>
  <c r="E1178" i="3" s="1"/>
  <c r="F1178" i="3" a="1"/>
  <c r="F1178" i="3" s="1"/>
  <c r="G1178" i="3" a="1"/>
  <c r="G1178" i="3" s="1"/>
  <c r="J1178" i="3" a="1"/>
  <c r="J1178" i="3" s="1"/>
  <c r="B1179" i="3" a="1"/>
  <c r="B1179" i="3" s="1"/>
  <c r="C1179" i="3" a="1"/>
  <c r="C1179" i="3" s="1"/>
  <c r="D1179" i="3" a="1"/>
  <c r="D1179" i="3" s="1"/>
  <c r="E1179" i="3" a="1"/>
  <c r="E1179" i="3" s="1"/>
  <c r="F1179" i="3" a="1"/>
  <c r="F1179" i="3" s="1"/>
  <c r="G1179" i="3" a="1"/>
  <c r="G1179" i="3" s="1"/>
  <c r="J1179" i="3" a="1"/>
  <c r="J1179" i="3" s="1"/>
  <c r="B1180" i="3" a="1"/>
  <c r="B1180" i="3" s="1"/>
  <c r="C1180" i="3" a="1"/>
  <c r="C1180" i="3" s="1"/>
  <c r="D1180" i="3" a="1"/>
  <c r="D1180" i="3" s="1"/>
  <c r="E1180" i="3" a="1"/>
  <c r="E1180" i="3" s="1"/>
  <c r="F1180" i="3" a="1"/>
  <c r="F1180" i="3" s="1"/>
  <c r="G1180" i="3" a="1"/>
  <c r="G1180" i="3" s="1"/>
  <c r="J1180" i="3" a="1"/>
  <c r="J1180" i="3" s="1"/>
  <c r="B1181" i="3" a="1"/>
  <c r="B1181" i="3" s="1"/>
  <c r="C1181" i="3" a="1"/>
  <c r="C1181" i="3" s="1"/>
  <c r="D1181" i="3" a="1"/>
  <c r="D1181" i="3" s="1"/>
  <c r="E1181" i="3" a="1"/>
  <c r="E1181" i="3" s="1"/>
  <c r="F1181" i="3" a="1"/>
  <c r="F1181" i="3" s="1"/>
  <c r="G1181" i="3" a="1"/>
  <c r="G1181" i="3" s="1"/>
  <c r="J1181" i="3" a="1"/>
  <c r="J1181" i="3" s="1"/>
  <c r="B1182" i="3" a="1"/>
  <c r="B1182" i="3" s="1"/>
  <c r="C1182" i="3" a="1"/>
  <c r="C1182" i="3" s="1"/>
  <c r="D1182" i="3" a="1"/>
  <c r="D1182" i="3" s="1"/>
  <c r="E1182" i="3" a="1"/>
  <c r="E1182" i="3" s="1"/>
  <c r="F1182" i="3" a="1"/>
  <c r="F1182" i="3" s="1"/>
  <c r="G1182" i="3" a="1"/>
  <c r="G1182" i="3" s="1"/>
  <c r="J1182" i="3" a="1"/>
  <c r="J1182" i="3" s="1"/>
  <c r="B1183" i="3" a="1"/>
  <c r="B1183" i="3" s="1"/>
  <c r="C1183" i="3" a="1"/>
  <c r="C1183" i="3" s="1"/>
  <c r="D1183" i="3" a="1"/>
  <c r="D1183" i="3" s="1"/>
  <c r="E1183" i="3" a="1"/>
  <c r="E1183" i="3" s="1"/>
  <c r="F1183" i="3" a="1"/>
  <c r="F1183" i="3" s="1"/>
  <c r="G1183" i="3" a="1"/>
  <c r="G1183" i="3" s="1"/>
  <c r="J1183" i="3" a="1"/>
  <c r="J1183" i="3" s="1"/>
  <c r="B1184" i="3" a="1"/>
  <c r="B1184" i="3" s="1"/>
  <c r="C1184" i="3" a="1"/>
  <c r="C1184" i="3" s="1"/>
  <c r="D1184" i="3" a="1"/>
  <c r="D1184" i="3" s="1"/>
  <c r="E1184" i="3" a="1"/>
  <c r="E1184" i="3" s="1"/>
  <c r="F1184" i="3" a="1"/>
  <c r="F1184" i="3" s="1"/>
  <c r="G1184" i="3" a="1"/>
  <c r="G1184" i="3" s="1"/>
  <c r="J1184" i="3" a="1"/>
  <c r="J1184" i="3" s="1"/>
  <c r="B1185" i="3" a="1"/>
  <c r="B1185" i="3" s="1"/>
  <c r="C1185" i="3" a="1"/>
  <c r="C1185" i="3" s="1"/>
  <c r="D1185" i="3" a="1"/>
  <c r="D1185" i="3" s="1"/>
  <c r="E1185" i="3" a="1"/>
  <c r="E1185" i="3" s="1"/>
  <c r="F1185" i="3" a="1"/>
  <c r="F1185" i="3" s="1"/>
  <c r="G1185" i="3" a="1"/>
  <c r="G1185" i="3" s="1"/>
  <c r="J1185" i="3" a="1"/>
  <c r="J1185" i="3" s="1"/>
  <c r="B1186" i="3" a="1"/>
  <c r="B1186" i="3" s="1"/>
  <c r="C1186" i="3" a="1"/>
  <c r="C1186" i="3" s="1"/>
  <c r="D1186" i="3" a="1"/>
  <c r="D1186" i="3" s="1"/>
  <c r="E1186" i="3" a="1"/>
  <c r="E1186" i="3" s="1"/>
  <c r="F1186" i="3" a="1"/>
  <c r="F1186" i="3" s="1"/>
  <c r="G1186" i="3" a="1"/>
  <c r="G1186" i="3" s="1"/>
  <c r="J1186" i="3" a="1"/>
  <c r="J1186" i="3" s="1"/>
  <c r="B1187" i="3" a="1"/>
  <c r="B1187" i="3" s="1"/>
  <c r="C1187" i="3" a="1"/>
  <c r="C1187" i="3" s="1"/>
  <c r="D1187" i="3" a="1"/>
  <c r="D1187" i="3" s="1"/>
  <c r="E1187" i="3" a="1"/>
  <c r="E1187" i="3" s="1"/>
  <c r="F1187" i="3" a="1"/>
  <c r="F1187" i="3" s="1"/>
  <c r="G1187" i="3" a="1"/>
  <c r="G1187" i="3" s="1"/>
  <c r="J1187" i="3" a="1"/>
  <c r="J1187" i="3" s="1"/>
  <c r="B1188" i="3" a="1"/>
  <c r="B1188" i="3" s="1"/>
  <c r="C1188" i="3" a="1"/>
  <c r="C1188" i="3" s="1"/>
  <c r="D1188" i="3" a="1"/>
  <c r="D1188" i="3" s="1"/>
  <c r="E1188" i="3" a="1"/>
  <c r="E1188" i="3" s="1"/>
  <c r="F1188" i="3" a="1"/>
  <c r="F1188" i="3" s="1"/>
  <c r="G1188" i="3" a="1"/>
  <c r="G1188" i="3" s="1"/>
  <c r="J1188" i="3" a="1"/>
  <c r="J1188" i="3" s="1"/>
  <c r="B1189" i="3" a="1"/>
  <c r="B1189" i="3" s="1"/>
  <c r="C1189" i="3" a="1"/>
  <c r="C1189" i="3" s="1"/>
  <c r="D1189" i="3" a="1"/>
  <c r="D1189" i="3" s="1"/>
  <c r="E1189" i="3" a="1"/>
  <c r="E1189" i="3" s="1"/>
  <c r="F1189" i="3" a="1"/>
  <c r="F1189" i="3" s="1"/>
  <c r="G1189" i="3" a="1"/>
  <c r="G1189" i="3" s="1"/>
  <c r="J1189" i="3" a="1"/>
  <c r="J1189" i="3" s="1"/>
  <c r="B1190" i="3" a="1"/>
  <c r="B1190" i="3" s="1"/>
  <c r="C1190" i="3" a="1"/>
  <c r="C1190" i="3" s="1"/>
  <c r="D1190" i="3" a="1"/>
  <c r="D1190" i="3" s="1"/>
  <c r="E1190" i="3" a="1"/>
  <c r="E1190" i="3" s="1"/>
  <c r="F1190" i="3" a="1"/>
  <c r="F1190" i="3" s="1"/>
  <c r="G1190" i="3" a="1"/>
  <c r="G1190" i="3" s="1"/>
  <c r="J1190" i="3" a="1"/>
  <c r="J1190" i="3" s="1"/>
  <c r="B1191" i="3" a="1"/>
  <c r="B1191" i="3" s="1"/>
  <c r="C1191" i="3" a="1"/>
  <c r="C1191" i="3" s="1"/>
  <c r="D1191" i="3" a="1"/>
  <c r="D1191" i="3" s="1"/>
  <c r="E1191" i="3" a="1"/>
  <c r="E1191" i="3" s="1"/>
  <c r="F1191" i="3" a="1"/>
  <c r="F1191" i="3" s="1"/>
  <c r="G1191" i="3" a="1"/>
  <c r="G1191" i="3" s="1"/>
  <c r="J1191" i="3" a="1"/>
  <c r="J1191" i="3" s="1"/>
  <c r="B1192" i="3" a="1"/>
  <c r="B1192" i="3" s="1"/>
  <c r="C1192" i="3" a="1"/>
  <c r="C1192" i="3" s="1"/>
  <c r="D1192" i="3" a="1"/>
  <c r="D1192" i="3" s="1"/>
  <c r="E1192" i="3" a="1"/>
  <c r="E1192" i="3" s="1"/>
  <c r="F1192" i="3" a="1"/>
  <c r="F1192" i="3" s="1"/>
  <c r="G1192" i="3" a="1"/>
  <c r="G1192" i="3" s="1"/>
  <c r="J1192" i="3" a="1"/>
  <c r="J1192" i="3" s="1"/>
  <c r="B1193" i="3" a="1"/>
  <c r="B1193" i="3" s="1"/>
  <c r="C1193" i="3" a="1"/>
  <c r="C1193" i="3" s="1"/>
  <c r="D1193" i="3" a="1"/>
  <c r="D1193" i="3" s="1"/>
  <c r="E1193" i="3" a="1"/>
  <c r="E1193" i="3" s="1"/>
  <c r="F1193" i="3" a="1"/>
  <c r="F1193" i="3" s="1"/>
  <c r="G1193" i="3" a="1"/>
  <c r="G1193" i="3" s="1"/>
  <c r="J1193" i="3" a="1"/>
  <c r="J1193" i="3" s="1"/>
  <c r="B1194" i="3" a="1"/>
  <c r="B1194" i="3" s="1"/>
  <c r="C1194" i="3" a="1"/>
  <c r="C1194" i="3" s="1"/>
  <c r="D1194" i="3" a="1"/>
  <c r="D1194" i="3" s="1"/>
  <c r="E1194" i="3" a="1"/>
  <c r="E1194" i="3" s="1"/>
  <c r="F1194" i="3" a="1"/>
  <c r="F1194" i="3" s="1"/>
  <c r="G1194" i="3" a="1"/>
  <c r="G1194" i="3" s="1"/>
  <c r="J1194" i="3" a="1"/>
  <c r="J1194" i="3" s="1"/>
  <c r="B1195" i="3" a="1"/>
  <c r="B1195" i="3" s="1"/>
  <c r="C1195" i="3" a="1"/>
  <c r="C1195" i="3" s="1"/>
  <c r="D1195" i="3" a="1"/>
  <c r="D1195" i="3" s="1"/>
  <c r="E1195" i="3" a="1"/>
  <c r="E1195" i="3" s="1"/>
  <c r="F1195" i="3" a="1"/>
  <c r="F1195" i="3" s="1"/>
  <c r="G1195" i="3" a="1"/>
  <c r="G1195" i="3" s="1"/>
  <c r="J1195" i="3" a="1"/>
  <c r="J1195" i="3" s="1"/>
  <c r="B1196" i="3" a="1"/>
  <c r="B1196" i="3" s="1"/>
  <c r="C1196" i="3" a="1"/>
  <c r="C1196" i="3" s="1"/>
  <c r="D1196" i="3" a="1"/>
  <c r="D1196" i="3" s="1"/>
  <c r="E1196" i="3" a="1"/>
  <c r="E1196" i="3" s="1"/>
  <c r="F1196" i="3" a="1"/>
  <c r="F1196" i="3" s="1"/>
  <c r="G1196" i="3" a="1"/>
  <c r="G1196" i="3" s="1"/>
  <c r="J1196" i="3" a="1"/>
  <c r="J1196" i="3" s="1"/>
  <c r="B1197" i="3" a="1"/>
  <c r="B1197" i="3" s="1"/>
  <c r="C1197" i="3" a="1"/>
  <c r="C1197" i="3" s="1"/>
  <c r="D1197" i="3" a="1"/>
  <c r="D1197" i="3" s="1"/>
  <c r="E1197" i="3" a="1"/>
  <c r="E1197" i="3" s="1"/>
  <c r="F1197" i="3" a="1"/>
  <c r="F1197" i="3" s="1"/>
  <c r="G1197" i="3" a="1"/>
  <c r="G1197" i="3" s="1"/>
  <c r="J1197" i="3" a="1"/>
  <c r="J1197" i="3" s="1"/>
  <c r="B1198" i="3" a="1"/>
  <c r="B1198" i="3" s="1"/>
  <c r="C1198" i="3" a="1"/>
  <c r="C1198" i="3" s="1"/>
  <c r="D1198" i="3" a="1"/>
  <c r="D1198" i="3" s="1"/>
  <c r="E1198" i="3" a="1"/>
  <c r="E1198" i="3" s="1"/>
  <c r="F1198" i="3" a="1"/>
  <c r="F1198" i="3" s="1"/>
  <c r="G1198" i="3" a="1"/>
  <c r="G1198" i="3" s="1"/>
  <c r="J1198" i="3" a="1"/>
  <c r="J1198" i="3" s="1"/>
  <c r="B1199" i="3" a="1"/>
  <c r="B1199" i="3" s="1"/>
  <c r="C1199" i="3" a="1"/>
  <c r="C1199" i="3" s="1"/>
  <c r="D1199" i="3" a="1"/>
  <c r="D1199" i="3" s="1"/>
  <c r="E1199" i="3" a="1"/>
  <c r="E1199" i="3" s="1"/>
  <c r="F1199" i="3" a="1"/>
  <c r="F1199" i="3" s="1"/>
  <c r="G1199" i="3" a="1"/>
  <c r="G1199" i="3" s="1"/>
  <c r="J1199" i="3" a="1"/>
  <c r="J1199" i="3" s="1"/>
  <c r="B1200" i="3" a="1"/>
  <c r="B1200" i="3" s="1"/>
  <c r="C1200" i="3" a="1"/>
  <c r="C1200" i="3" s="1"/>
  <c r="D1200" i="3" a="1"/>
  <c r="D1200" i="3" s="1"/>
  <c r="E1200" i="3" a="1"/>
  <c r="E1200" i="3" s="1"/>
  <c r="F1200" i="3" a="1"/>
  <c r="F1200" i="3" s="1"/>
  <c r="G1200" i="3" a="1"/>
  <c r="G1200" i="3" s="1"/>
  <c r="J1200" i="3" a="1"/>
  <c r="J1200" i="3" s="1"/>
  <c r="B1201" i="3" a="1"/>
  <c r="B1201" i="3" s="1"/>
  <c r="C1201" i="3" a="1"/>
  <c r="C1201" i="3" s="1"/>
  <c r="D1201" i="3" a="1"/>
  <c r="D1201" i="3" s="1"/>
  <c r="E1201" i="3" a="1"/>
  <c r="E1201" i="3" s="1"/>
  <c r="F1201" i="3" a="1"/>
  <c r="F1201" i="3" s="1"/>
  <c r="G1201" i="3" a="1"/>
  <c r="G1201" i="3" s="1"/>
  <c r="J1201" i="3" a="1"/>
  <c r="J1201" i="3" s="1"/>
  <c r="B1202" i="3" a="1"/>
  <c r="B1202" i="3" s="1"/>
  <c r="C1202" i="3" a="1"/>
  <c r="C1202" i="3" s="1"/>
  <c r="D1202" i="3" a="1"/>
  <c r="D1202" i="3" s="1"/>
  <c r="E1202" i="3" a="1"/>
  <c r="E1202" i="3" s="1"/>
  <c r="F1202" i="3" a="1"/>
  <c r="F1202" i="3" s="1"/>
  <c r="G1202" i="3" a="1"/>
  <c r="G1202" i="3" s="1"/>
  <c r="J1202" i="3" a="1"/>
  <c r="J1202" i="3" s="1"/>
  <c r="B1203" i="3" a="1"/>
  <c r="B1203" i="3" s="1"/>
  <c r="C1203" i="3" a="1"/>
  <c r="C1203" i="3" s="1"/>
  <c r="D1203" i="3" a="1"/>
  <c r="D1203" i="3" s="1"/>
  <c r="E1203" i="3" a="1"/>
  <c r="E1203" i="3" s="1"/>
  <c r="F1203" i="3" a="1"/>
  <c r="F1203" i="3" s="1"/>
  <c r="G1203" i="3" a="1"/>
  <c r="G1203" i="3" s="1"/>
  <c r="J1203" i="3" a="1"/>
  <c r="J1203" i="3" s="1"/>
  <c r="B1204" i="3" a="1"/>
  <c r="B1204" i="3" s="1"/>
  <c r="C1204" i="3" a="1"/>
  <c r="C1204" i="3" s="1"/>
  <c r="D1204" i="3" a="1"/>
  <c r="D1204" i="3" s="1"/>
  <c r="E1204" i="3" a="1"/>
  <c r="E1204" i="3" s="1"/>
  <c r="F1204" i="3" a="1"/>
  <c r="F1204" i="3" s="1"/>
  <c r="G1204" i="3" a="1"/>
  <c r="G1204" i="3" s="1"/>
  <c r="J1204" i="3" a="1"/>
  <c r="J1204" i="3" s="1"/>
  <c r="B1205" i="3" a="1"/>
  <c r="B1205" i="3" s="1"/>
  <c r="C1205" i="3" a="1"/>
  <c r="C1205" i="3" s="1"/>
  <c r="D1205" i="3" a="1"/>
  <c r="D1205" i="3" s="1"/>
  <c r="E1205" i="3" a="1"/>
  <c r="E1205" i="3" s="1"/>
  <c r="F1205" i="3" a="1"/>
  <c r="F1205" i="3" s="1"/>
  <c r="G1205" i="3" a="1"/>
  <c r="G1205" i="3" s="1"/>
  <c r="J1205" i="3" a="1"/>
  <c r="J1205" i="3" s="1"/>
  <c r="B1206" i="3" a="1"/>
  <c r="B1206" i="3" s="1"/>
  <c r="C1206" i="3" a="1"/>
  <c r="C1206" i="3" s="1"/>
  <c r="D1206" i="3" a="1"/>
  <c r="D1206" i="3" s="1"/>
  <c r="E1206" i="3" a="1"/>
  <c r="E1206" i="3" s="1"/>
  <c r="F1206" i="3" a="1"/>
  <c r="F1206" i="3" s="1"/>
  <c r="G1206" i="3" a="1"/>
  <c r="G1206" i="3" s="1"/>
  <c r="J1206" i="3" a="1"/>
  <c r="J1206" i="3" s="1"/>
  <c r="B1207" i="3" a="1"/>
  <c r="B1207" i="3" s="1"/>
  <c r="C1207" i="3" a="1"/>
  <c r="C1207" i="3" s="1"/>
  <c r="D1207" i="3" a="1"/>
  <c r="D1207" i="3" s="1"/>
  <c r="E1207" i="3" a="1"/>
  <c r="E1207" i="3" s="1"/>
  <c r="F1207" i="3" a="1"/>
  <c r="F1207" i="3" s="1"/>
  <c r="G1207" i="3" a="1"/>
  <c r="G1207" i="3" s="1"/>
  <c r="J1207" i="3" a="1"/>
  <c r="J1207" i="3" s="1"/>
  <c r="B1208" i="3" a="1"/>
  <c r="B1208" i="3" s="1"/>
  <c r="C1208" i="3" a="1"/>
  <c r="C1208" i="3" s="1"/>
  <c r="D1208" i="3" a="1"/>
  <c r="D1208" i="3" s="1"/>
  <c r="E1208" i="3" a="1"/>
  <c r="E1208" i="3" s="1"/>
  <c r="F1208" i="3" a="1"/>
  <c r="F1208" i="3" s="1"/>
  <c r="G1208" i="3" a="1"/>
  <c r="G1208" i="3" s="1"/>
  <c r="J1208" i="3" a="1"/>
  <c r="J1208" i="3" s="1"/>
  <c r="B1209" i="3" a="1"/>
  <c r="B1209" i="3" s="1"/>
  <c r="C1209" i="3" a="1"/>
  <c r="C1209" i="3" s="1"/>
  <c r="D1209" i="3" a="1"/>
  <c r="D1209" i="3" s="1"/>
  <c r="E1209" i="3" a="1"/>
  <c r="E1209" i="3" s="1"/>
  <c r="F1209" i="3" a="1"/>
  <c r="F1209" i="3" s="1"/>
  <c r="G1209" i="3" a="1"/>
  <c r="G1209" i="3" s="1"/>
  <c r="J1209" i="3" a="1"/>
  <c r="J1209" i="3" s="1"/>
  <c r="B1210" i="3" a="1"/>
  <c r="B1210" i="3" s="1"/>
  <c r="C1210" i="3" a="1"/>
  <c r="C1210" i="3" s="1"/>
  <c r="D1210" i="3" a="1"/>
  <c r="D1210" i="3" s="1"/>
  <c r="E1210" i="3" a="1"/>
  <c r="E1210" i="3" s="1"/>
  <c r="F1210" i="3" a="1"/>
  <c r="F1210" i="3" s="1"/>
  <c r="G1210" i="3" a="1"/>
  <c r="G1210" i="3" s="1"/>
  <c r="J1210" i="3" a="1"/>
  <c r="J1210" i="3" s="1"/>
  <c r="B1211" i="3" a="1"/>
  <c r="B1211" i="3" s="1"/>
  <c r="C1211" i="3" a="1"/>
  <c r="C1211" i="3" s="1"/>
  <c r="D1211" i="3" a="1"/>
  <c r="D1211" i="3" s="1"/>
  <c r="E1211" i="3" a="1"/>
  <c r="E1211" i="3" s="1"/>
  <c r="F1211" i="3" a="1"/>
  <c r="F1211" i="3" s="1"/>
  <c r="G1211" i="3" a="1"/>
  <c r="G1211" i="3" s="1"/>
  <c r="J1211" i="3" a="1"/>
  <c r="J1211" i="3" s="1"/>
  <c r="B1212" i="3" a="1"/>
  <c r="B1212" i="3" s="1"/>
  <c r="C1212" i="3" a="1"/>
  <c r="C1212" i="3" s="1"/>
  <c r="D1212" i="3" a="1"/>
  <c r="D1212" i="3" s="1"/>
  <c r="E1212" i="3" a="1"/>
  <c r="E1212" i="3" s="1"/>
  <c r="F1212" i="3" a="1"/>
  <c r="F1212" i="3" s="1"/>
  <c r="G1212" i="3" a="1"/>
  <c r="G1212" i="3" s="1"/>
  <c r="J1212" i="3" a="1"/>
  <c r="J1212" i="3" s="1"/>
  <c r="B1213" i="3" a="1"/>
  <c r="B1213" i="3" s="1"/>
  <c r="C1213" i="3" a="1"/>
  <c r="C1213" i="3" s="1"/>
  <c r="D1213" i="3" a="1"/>
  <c r="D1213" i="3" s="1"/>
  <c r="E1213" i="3" a="1"/>
  <c r="E1213" i="3" s="1"/>
  <c r="F1213" i="3" a="1"/>
  <c r="F1213" i="3" s="1"/>
  <c r="G1213" i="3" a="1"/>
  <c r="G1213" i="3" s="1"/>
  <c r="J1213" i="3" a="1"/>
  <c r="J1213" i="3" s="1"/>
  <c r="B1214" i="3" a="1"/>
  <c r="B1214" i="3" s="1"/>
  <c r="C1214" i="3" a="1"/>
  <c r="C1214" i="3" s="1"/>
  <c r="D1214" i="3" a="1"/>
  <c r="D1214" i="3" s="1"/>
  <c r="E1214" i="3" a="1"/>
  <c r="E1214" i="3" s="1"/>
  <c r="F1214" i="3" a="1"/>
  <c r="F1214" i="3" s="1"/>
  <c r="G1214" i="3" a="1"/>
  <c r="G1214" i="3" s="1"/>
  <c r="J1214" i="3" a="1"/>
  <c r="J1214" i="3" s="1"/>
  <c r="B1215" i="3" a="1"/>
  <c r="B1215" i="3" s="1"/>
  <c r="C1215" i="3" a="1"/>
  <c r="C1215" i="3" s="1"/>
  <c r="D1215" i="3" a="1"/>
  <c r="D1215" i="3" s="1"/>
  <c r="E1215" i="3" a="1"/>
  <c r="E1215" i="3" s="1"/>
  <c r="F1215" i="3" a="1"/>
  <c r="F1215" i="3" s="1"/>
  <c r="G1215" i="3" a="1"/>
  <c r="G1215" i="3" s="1"/>
  <c r="J1215" i="3" a="1"/>
  <c r="J1215" i="3" s="1"/>
  <c r="B1216" i="3" a="1"/>
  <c r="B1216" i="3" s="1"/>
  <c r="C1216" i="3" a="1"/>
  <c r="C1216" i="3" s="1"/>
  <c r="D1216" i="3" a="1"/>
  <c r="D1216" i="3" s="1"/>
  <c r="E1216" i="3" a="1"/>
  <c r="E1216" i="3" s="1"/>
  <c r="F1216" i="3" a="1"/>
  <c r="F1216" i="3" s="1"/>
  <c r="G1216" i="3" a="1"/>
  <c r="G1216" i="3" s="1"/>
  <c r="J1216" i="3" a="1"/>
  <c r="J1216" i="3" s="1"/>
  <c r="B1217" i="3" a="1"/>
  <c r="B1217" i="3" s="1"/>
  <c r="C1217" i="3" a="1"/>
  <c r="C1217" i="3" s="1"/>
  <c r="D1217" i="3" a="1"/>
  <c r="D1217" i="3" s="1"/>
  <c r="E1217" i="3" a="1"/>
  <c r="E1217" i="3" s="1"/>
  <c r="F1217" i="3" a="1"/>
  <c r="F1217" i="3" s="1"/>
  <c r="G1217" i="3" a="1"/>
  <c r="G1217" i="3" s="1"/>
  <c r="J1217" i="3" a="1"/>
  <c r="J1217" i="3" s="1"/>
  <c r="B1218" i="3" a="1"/>
  <c r="B1218" i="3" s="1"/>
  <c r="C1218" i="3" a="1"/>
  <c r="C1218" i="3" s="1"/>
  <c r="D1218" i="3" a="1"/>
  <c r="D1218" i="3" s="1"/>
  <c r="E1218" i="3" a="1"/>
  <c r="E1218" i="3" s="1"/>
  <c r="F1218" i="3" a="1"/>
  <c r="F1218" i="3" s="1"/>
  <c r="G1218" i="3" a="1"/>
  <c r="G1218" i="3" s="1"/>
  <c r="J1218" i="3" a="1"/>
  <c r="J1218" i="3" s="1"/>
  <c r="B1219" i="3" a="1"/>
  <c r="B1219" i="3" s="1"/>
  <c r="C1219" i="3" a="1"/>
  <c r="C1219" i="3" s="1"/>
  <c r="D1219" i="3" a="1"/>
  <c r="D1219" i="3" s="1"/>
  <c r="E1219" i="3" a="1"/>
  <c r="E1219" i="3" s="1"/>
  <c r="F1219" i="3" a="1"/>
  <c r="F1219" i="3" s="1"/>
  <c r="G1219" i="3" a="1"/>
  <c r="G1219" i="3" s="1"/>
  <c r="J1219" i="3" a="1"/>
  <c r="J1219" i="3" s="1"/>
  <c r="B1220" i="3" a="1"/>
  <c r="B1220" i="3" s="1"/>
  <c r="C1220" i="3" a="1"/>
  <c r="C1220" i="3" s="1"/>
  <c r="D1220" i="3" a="1"/>
  <c r="D1220" i="3" s="1"/>
  <c r="E1220" i="3" a="1"/>
  <c r="E1220" i="3" s="1"/>
  <c r="F1220" i="3" a="1"/>
  <c r="F1220" i="3" s="1"/>
  <c r="G1220" i="3" a="1"/>
  <c r="G1220" i="3" s="1"/>
  <c r="J1220" i="3" a="1"/>
  <c r="J1220" i="3" s="1"/>
  <c r="B1221" i="3" a="1"/>
  <c r="B1221" i="3" s="1"/>
  <c r="C1221" i="3" a="1"/>
  <c r="C1221" i="3" s="1"/>
  <c r="D1221" i="3" a="1"/>
  <c r="D1221" i="3" s="1"/>
  <c r="E1221" i="3" a="1"/>
  <c r="E1221" i="3" s="1"/>
  <c r="F1221" i="3" a="1"/>
  <c r="F1221" i="3" s="1"/>
  <c r="G1221" i="3" a="1"/>
  <c r="G1221" i="3" s="1"/>
  <c r="J1221" i="3" a="1"/>
  <c r="J1221" i="3" s="1"/>
  <c r="B1222" i="3" a="1"/>
  <c r="B1222" i="3" s="1"/>
  <c r="C1222" i="3" a="1"/>
  <c r="C1222" i="3" s="1"/>
  <c r="D1222" i="3" a="1"/>
  <c r="D1222" i="3" s="1"/>
  <c r="E1222" i="3" a="1"/>
  <c r="E1222" i="3" s="1"/>
  <c r="F1222" i="3" a="1"/>
  <c r="F1222" i="3" s="1"/>
  <c r="G1222" i="3" a="1"/>
  <c r="G1222" i="3" s="1"/>
  <c r="J1222" i="3" a="1"/>
  <c r="J1222" i="3" s="1"/>
  <c r="B1223" i="3" a="1"/>
  <c r="B1223" i="3" s="1"/>
  <c r="C1223" i="3" a="1"/>
  <c r="C1223" i="3" s="1"/>
  <c r="D1223" i="3" a="1"/>
  <c r="D1223" i="3" s="1"/>
  <c r="E1223" i="3" a="1"/>
  <c r="E1223" i="3" s="1"/>
  <c r="F1223" i="3" a="1"/>
  <c r="F1223" i="3" s="1"/>
  <c r="G1223" i="3" a="1"/>
  <c r="G1223" i="3" s="1"/>
  <c r="J1223" i="3" a="1"/>
  <c r="J1223" i="3" s="1"/>
  <c r="B1224" i="3" a="1"/>
  <c r="B1224" i="3" s="1"/>
  <c r="C1224" i="3" a="1"/>
  <c r="C1224" i="3" s="1"/>
  <c r="D1224" i="3" a="1"/>
  <c r="D1224" i="3" s="1"/>
  <c r="E1224" i="3" a="1"/>
  <c r="E1224" i="3" s="1"/>
  <c r="F1224" i="3" a="1"/>
  <c r="F1224" i="3" s="1"/>
  <c r="G1224" i="3" a="1"/>
  <c r="G1224" i="3" s="1"/>
  <c r="J1224" i="3" a="1"/>
  <c r="J1224" i="3" s="1"/>
  <c r="B1225" i="3" a="1"/>
  <c r="B1225" i="3" s="1"/>
  <c r="C1225" i="3" a="1"/>
  <c r="C1225" i="3" s="1"/>
  <c r="D1225" i="3" a="1"/>
  <c r="D1225" i="3" s="1"/>
  <c r="E1225" i="3" a="1"/>
  <c r="E1225" i="3" s="1"/>
  <c r="F1225" i="3" a="1"/>
  <c r="F1225" i="3" s="1"/>
  <c r="G1225" i="3" a="1"/>
  <c r="G1225" i="3" s="1"/>
  <c r="J1225" i="3" a="1"/>
  <c r="J1225" i="3" s="1"/>
  <c r="B1226" i="3" a="1"/>
  <c r="B1226" i="3" s="1"/>
  <c r="C1226" i="3" a="1"/>
  <c r="C1226" i="3" s="1"/>
  <c r="D1226" i="3" a="1"/>
  <c r="D1226" i="3" s="1"/>
  <c r="E1226" i="3" a="1"/>
  <c r="E1226" i="3" s="1"/>
  <c r="F1226" i="3" a="1"/>
  <c r="F1226" i="3" s="1"/>
  <c r="G1226" i="3" a="1"/>
  <c r="G1226" i="3" s="1"/>
  <c r="J1226" i="3" a="1"/>
  <c r="J1226" i="3" s="1"/>
  <c r="B1227" i="3" a="1"/>
  <c r="B1227" i="3" s="1"/>
  <c r="C1227" i="3" a="1"/>
  <c r="C1227" i="3" s="1"/>
  <c r="D1227" i="3" a="1"/>
  <c r="D1227" i="3" s="1"/>
  <c r="E1227" i="3" a="1"/>
  <c r="E1227" i="3" s="1"/>
  <c r="F1227" i="3" a="1"/>
  <c r="F1227" i="3" s="1"/>
  <c r="G1227" i="3" a="1"/>
  <c r="G1227" i="3" s="1"/>
  <c r="J1227" i="3" a="1"/>
  <c r="J1227" i="3" s="1"/>
  <c r="B1228" i="3" a="1"/>
  <c r="B1228" i="3" s="1"/>
  <c r="C1228" i="3" a="1"/>
  <c r="C1228" i="3" s="1"/>
  <c r="D1228" i="3" a="1"/>
  <c r="D1228" i="3" s="1"/>
  <c r="E1228" i="3" a="1"/>
  <c r="E1228" i="3" s="1"/>
  <c r="F1228" i="3" a="1"/>
  <c r="F1228" i="3" s="1"/>
  <c r="G1228" i="3" a="1"/>
  <c r="G1228" i="3" s="1"/>
  <c r="J1228" i="3" a="1"/>
  <c r="J1228" i="3" s="1"/>
  <c r="B1229" i="3" a="1"/>
  <c r="B1229" i="3" s="1"/>
  <c r="C1229" i="3" a="1"/>
  <c r="C1229" i="3" s="1"/>
  <c r="D1229" i="3" a="1"/>
  <c r="D1229" i="3" s="1"/>
  <c r="E1229" i="3" a="1"/>
  <c r="E1229" i="3" s="1"/>
  <c r="F1229" i="3" a="1"/>
  <c r="F1229" i="3" s="1"/>
  <c r="G1229" i="3" a="1"/>
  <c r="G1229" i="3" s="1"/>
  <c r="J1229" i="3" a="1"/>
  <c r="J1229" i="3" s="1"/>
  <c r="B1230" i="3" a="1"/>
  <c r="B1230" i="3" s="1"/>
  <c r="C1230" i="3" a="1"/>
  <c r="C1230" i="3" s="1"/>
  <c r="D1230" i="3" a="1"/>
  <c r="D1230" i="3" s="1"/>
  <c r="E1230" i="3" a="1"/>
  <c r="E1230" i="3" s="1"/>
  <c r="F1230" i="3" a="1"/>
  <c r="F1230" i="3" s="1"/>
  <c r="G1230" i="3" a="1"/>
  <c r="G1230" i="3" s="1"/>
  <c r="J1230" i="3" a="1"/>
  <c r="J1230" i="3" s="1"/>
  <c r="B1231" i="3" a="1"/>
  <c r="B1231" i="3" s="1"/>
  <c r="C1231" i="3" a="1"/>
  <c r="C1231" i="3" s="1"/>
  <c r="D1231" i="3" a="1"/>
  <c r="D1231" i="3" s="1"/>
  <c r="E1231" i="3" a="1"/>
  <c r="E1231" i="3" s="1"/>
  <c r="F1231" i="3" a="1"/>
  <c r="F1231" i="3" s="1"/>
  <c r="G1231" i="3" a="1"/>
  <c r="G1231" i="3" s="1"/>
  <c r="J1231" i="3" a="1"/>
  <c r="J1231" i="3" s="1"/>
  <c r="B1232" i="3" a="1"/>
  <c r="B1232" i="3" s="1"/>
  <c r="C1232" i="3" a="1"/>
  <c r="C1232" i="3" s="1"/>
  <c r="D1232" i="3" a="1"/>
  <c r="D1232" i="3" s="1"/>
  <c r="E1232" i="3" a="1"/>
  <c r="E1232" i="3" s="1"/>
  <c r="F1232" i="3" a="1"/>
  <c r="F1232" i="3" s="1"/>
  <c r="G1232" i="3" a="1"/>
  <c r="G1232" i="3" s="1"/>
  <c r="J1232" i="3" a="1"/>
  <c r="J1232" i="3" s="1"/>
  <c r="B1233" i="3" a="1"/>
  <c r="B1233" i="3" s="1"/>
  <c r="C1233" i="3" a="1"/>
  <c r="C1233" i="3" s="1"/>
  <c r="D1233" i="3" a="1"/>
  <c r="D1233" i="3" s="1"/>
  <c r="E1233" i="3" a="1"/>
  <c r="E1233" i="3" s="1"/>
  <c r="F1233" i="3" a="1"/>
  <c r="F1233" i="3" s="1"/>
  <c r="G1233" i="3" a="1"/>
  <c r="G1233" i="3" s="1"/>
  <c r="J1233" i="3" a="1"/>
  <c r="J1233" i="3" s="1"/>
  <c r="B1234" i="3" a="1"/>
  <c r="B1234" i="3" s="1"/>
  <c r="C1234" i="3" a="1"/>
  <c r="C1234" i="3" s="1"/>
  <c r="D1234" i="3" a="1"/>
  <c r="D1234" i="3" s="1"/>
  <c r="E1234" i="3" a="1"/>
  <c r="E1234" i="3" s="1"/>
  <c r="F1234" i="3" a="1"/>
  <c r="F1234" i="3" s="1"/>
  <c r="G1234" i="3" a="1"/>
  <c r="G1234" i="3" s="1"/>
  <c r="J1234" i="3" a="1"/>
  <c r="J1234" i="3" s="1"/>
  <c r="B1235" i="3" a="1"/>
  <c r="B1235" i="3" s="1"/>
  <c r="C1235" i="3" a="1"/>
  <c r="C1235" i="3" s="1"/>
  <c r="D1235" i="3" a="1"/>
  <c r="D1235" i="3" s="1"/>
  <c r="E1235" i="3" a="1"/>
  <c r="E1235" i="3" s="1"/>
  <c r="F1235" i="3" a="1"/>
  <c r="F1235" i="3" s="1"/>
  <c r="G1235" i="3" a="1"/>
  <c r="G1235" i="3" s="1"/>
  <c r="J1235" i="3" a="1"/>
  <c r="J1235" i="3" s="1"/>
  <c r="B1236" i="3" a="1"/>
  <c r="B1236" i="3" s="1"/>
  <c r="C1236" i="3" a="1"/>
  <c r="C1236" i="3" s="1"/>
  <c r="D1236" i="3" a="1"/>
  <c r="D1236" i="3" s="1"/>
  <c r="E1236" i="3" a="1"/>
  <c r="E1236" i="3" s="1"/>
  <c r="F1236" i="3" a="1"/>
  <c r="F1236" i="3" s="1"/>
  <c r="G1236" i="3" a="1"/>
  <c r="G1236" i="3" s="1"/>
  <c r="J1236" i="3" a="1"/>
  <c r="J1236" i="3" s="1"/>
  <c r="B1237" i="3" a="1"/>
  <c r="B1237" i="3" s="1"/>
  <c r="C1237" i="3" a="1"/>
  <c r="C1237" i="3" s="1"/>
  <c r="D1237" i="3" a="1"/>
  <c r="D1237" i="3" s="1"/>
  <c r="E1237" i="3" a="1"/>
  <c r="E1237" i="3" s="1"/>
  <c r="F1237" i="3" a="1"/>
  <c r="F1237" i="3" s="1"/>
  <c r="G1237" i="3" a="1"/>
  <c r="G1237" i="3" s="1"/>
  <c r="J1237" i="3" a="1"/>
  <c r="J1237" i="3" s="1"/>
  <c r="B1238" i="3" a="1"/>
  <c r="B1238" i="3" s="1"/>
  <c r="C1238" i="3" a="1"/>
  <c r="C1238" i="3" s="1"/>
  <c r="D1238" i="3" a="1"/>
  <c r="D1238" i="3" s="1"/>
  <c r="E1238" i="3" a="1"/>
  <c r="E1238" i="3" s="1"/>
  <c r="F1238" i="3" a="1"/>
  <c r="F1238" i="3" s="1"/>
  <c r="G1238" i="3" a="1"/>
  <c r="G1238" i="3" s="1"/>
  <c r="J1238" i="3" a="1"/>
  <c r="J1238" i="3" s="1"/>
  <c r="B1239" i="3" a="1"/>
  <c r="B1239" i="3" s="1"/>
  <c r="C1239" i="3" a="1"/>
  <c r="C1239" i="3" s="1"/>
  <c r="D1239" i="3" a="1"/>
  <c r="D1239" i="3" s="1"/>
  <c r="E1239" i="3" a="1"/>
  <c r="E1239" i="3" s="1"/>
  <c r="F1239" i="3" a="1"/>
  <c r="F1239" i="3" s="1"/>
  <c r="G1239" i="3" a="1"/>
  <c r="G1239" i="3" s="1"/>
  <c r="J1239" i="3" a="1"/>
  <c r="J1239" i="3" s="1"/>
  <c r="B1240" i="3" a="1"/>
  <c r="B1240" i="3" s="1"/>
  <c r="C1240" i="3" a="1"/>
  <c r="C1240" i="3" s="1"/>
  <c r="D1240" i="3" a="1"/>
  <c r="D1240" i="3" s="1"/>
  <c r="E1240" i="3" a="1"/>
  <c r="E1240" i="3" s="1"/>
  <c r="F1240" i="3" a="1"/>
  <c r="F1240" i="3" s="1"/>
  <c r="G1240" i="3" a="1"/>
  <c r="G1240" i="3" s="1"/>
  <c r="J1240" i="3" a="1"/>
  <c r="J1240" i="3" s="1"/>
  <c r="B1241" i="3" a="1"/>
  <c r="B1241" i="3" s="1"/>
  <c r="C1241" i="3" a="1"/>
  <c r="C1241" i="3" s="1"/>
  <c r="D1241" i="3" a="1"/>
  <c r="D1241" i="3" s="1"/>
  <c r="E1241" i="3" a="1"/>
  <c r="E1241" i="3" s="1"/>
  <c r="F1241" i="3" a="1"/>
  <c r="F1241" i="3" s="1"/>
  <c r="G1241" i="3" a="1"/>
  <c r="G1241" i="3" s="1"/>
  <c r="J1241" i="3" a="1"/>
  <c r="J1241" i="3" s="1"/>
  <c r="B1242" i="3" a="1"/>
  <c r="B1242" i="3" s="1"/>
  <c r="C1242" i="3" a="1"/>
  <c r="C1242" i="3" s="1"/>
  <c r="D1242" i="3" a="1"/>
  <c r="D1242" i="3" s="1"/>
  <c r="E1242" i="3" a="1"/>
  <c r="E1242" i="3" s="1"/>
  <c r="F1242" i="3" a="1"/>
  <c r="F1242" i="3" s="1"/>
  <c r="G1242" i="3" a="1"/>
  <c r="G1242" i="3" s="1"/>
  <c r="J1242" i="3" a="1"/>
  <c r="J1242" i="3" s="1"/>
  <c r="B1243" i="3" a="1"/>
  <c r="B1243" i="3" s="1"/>
  <c r="C1243" i="3" a="1"/>
  <c r="C1243" i="3" s="1"/>
  <c r="D1243" i="3" a="1"/>
  <c r="D1243" i="3" s="1"/>
  <c r="E1243" i="3" a="1"/>
  <c r="E1243" i="3" s="1"/>
  <c r="F1243" i="3" a="1"/>
  <c r="F1243" i="3" s="1"/>
  <c r="G1243" i="3" a="1"/>
  <c r="G1243" i="3" s="1"/>
  <c r="J1243" i="3" a="1"/>
  <c r="J1243" i="3" s="1"/>
  <c r="B1244" i="3" a="1"/>
  <c r="B1244" i="3" s="1"/>
  <c r="C1244" i="3" a="1"/>
  <c r="C1244" i="3" s="1"/>
  <c r="D1244" i="3" a="1"/>
  <c r="D1244" i="3" s="1"/>
  <c r="E1244" i="3" a="1"/>
  <c r="E1244" i="3" s="1"/>
  <c r="F1244" i="3" a="1"/>
  <c r="F1244" i="3" s="1"/>
  <c r="G1244" i="3" a="1"/>
  <c r="G1244" i="3" s="1"/>
  <c r="J1244" i="3" a="1"/>
  <c r="J1244" i="3" s="1"/>
  <c r="B1245" i="3" a="1"/>
  <c r="B1245" i="3" s="1"/>
  <c r="C1245" i="3" a="1"/>
  <c r="C1245" i="3" s="1"/>
  <c r="D1245" i="3" a="1"/>
  <c r="D1245" i="3" s="1"/>
  <c r="E1245" i="3" a="1"/>
  <c r="E1245" i="3" s="1"/>
  <c r="F1245" i="3" a="1"/>
  <c r="F1245" i="3" s="1"/>
  <c r="G1245" i="3" a="1"/>
  <c r="G1245" i="3" s="1"/>
  <c r="J1245" i="3" a="1"/>
  <c r="J1245" i="3" s="1"/>
  <c r="B1246" i="3" a="1"/>
  <c r="B1246" i="3" s="1"/>
  <c r="C1246" i="3" a="1"/>
  <c r="C1246" i="3" s="1"/>
  <c r="D1246" i="3" a="1"/>
  <c r="D1246" i="3" s="1"/>
  <c r="E1246" i="3" a="1"/>
  <c r="E1246" i="3" s="1"/>
  <c r="F1246" i="3" a="1"/>
  <c r="F1246" i="3" s="1"/>
  <c r="G1246" i="3" a="1"/>
  <c r="G1246" i="3" s="1"/>
  <c r="J1246" i="3" a="1"/>
  <c r="J1246" i="3" s="1"/>
  <c r="B1247" i="3" a="1"/>
  <c r="B1247" i="3" s="1"/>
  <c r="C1247" i="3" a="1"/>
  <c r="C1247" i="3" s="1"/>
  <c r="D1247" i="3" a="1"/>
  <c r="D1247" i="3" s="1"/>
  <c r="E1247" i="3" a="1"/>
  <c r="E1247" i="3" s="1"/>
  <c r="F1247" i="3" a="1"/>
  <c r="F1247" i="3" s="1"/>
  <c r="G1247" i="3" a="1"/>
  <c r="G1247" i="3" s="1"/>
  <c r="J1247" i="3" a="1"/>
  <c r="J1247" i="3" s="1"/>
  <c r="B1248" i="3" a="1"/>
  <c r="B1248" i="3" s="1"/>
  <c r="C1248" i="3" a="1"/>
  <c r="C1248" i="3" s="1"/>
  <c r="D1248" i="3" a="1"/>
  <c r="D1248" i="3" s="1"/>
  <c r="E1248" i="3" a="1"/>
  <c r="E1248" i="3" s="1"/>
  <c r="F1248" i="3" a="1"/>
  <c r="F1248" i="3" s="1"/>
  <c r="G1248" i="3" a="1"/>
  <c r="G1248" i="3" s="1"/>
  <c r="J1248" i="3" a="1"/>
  <c r="J1248" i="3" s="1"/>
  <c r="B1249" i="3" a="1"/>
  <c r="B1249" i="3" s="1"/>
  <c r="C1249" i="3" a="1"/>
  <c r="C1249" i="3" s="1"/>
  <c r="D1249" i="3" a="1"/>
  <c r="D1249" i="3" s="1"/>
  <c r="E1249" i="3" a="1"/>
  <c r="E1249" i="3" s="1"/>
  <c r="F1249" i="3" a="1"/>
  <c r="F1249" i="3" s="1"/>
  <c r="G1249" i="3" a="1"/>
  <c r="G1249" i="3" s="1"/>
  <c r="J1249" i="3" a="1"/>
  <c r="J1249" i="3" s="1"/>
  <c r="B1250" i="3" a="1"/>
  <c r="B1250" i="3" s="1"/>
  <c r="C1250" i="3" a="1"/>
  <c r="C1250" i="3" s="1"/>
  <c r="D1250" i="3" a="1"/>
  <c r="D1250" i="3" s="1"/>
  <c r="E1250" i="3" a="1"/>
  <c r="E1250" i="3" s="1"/>
  <c r="F1250" i="3" a="1"/>
  <c r="F1250" i="3" s="1"/>
  <c r="G1250" i="3" a="1"/>
  <c r="G1250" i="3" s="1"/>
  <c r="J1250" i="3" a="1"/>
  <c r="J1250" i="3" s="1"/>
  <c r="B1251" i="3" a="1"/>
  <c r="B1251" i="3" s="1"/>
  <c r="C1251" i="3" a="1"/>
  <c r="C1251" i="3" s="1"/>
  <c r="D1251" i="3" a="1"/>
  <c r="D1251" i="3" s="1"/>
  <c r="E1251" i="3" a="1"/>
  <c r="E1251" i="3" s="1"/>
  <c r="F1251" i="3" a="1"/>
  <c r="F1251" i="3" s="1"/>
  <c r="G1251" i="3" a="1"/>
  <c r="G1251" i="3" s="1"/>
  <c r="J1251" i="3" a="1"/>
  <c r="J1251" i="3" s="1"/>
  <c r="B1252" i="3" a="1"/>
  <c r="B1252" i="3" s="1"/>
  <c r="C1252" i="3" a="1"/>
  <c r="C1252" i="3" s="1"/>
  <c r="D1252" i="3" a="1"/>
  <c r="D1252" i="3" s="1"/>
  <c r="E1252" i="3" a="1"/>
  <c r="E1252" i="3" s="1"/>
  <c r="F1252" i="3" a="1"/>
  <c r="F1252" i="3" s="1"/>
  <c r="G1252" i="3" a="1"/>
  <c r="G1252" i="3" s="1"/>
  <c r="J1252" i="3" a="1"/>
  <c r="J1252" i="3" s="1"/>
  <c r="B1253" i="3" a="1"/>
  <c r="B1253" i="3" s="1"/>
  <c r="C1253" i="3" a="1"/>
  <c r="C1253" i="3" s="1"/>
  <c r="D1253" i="3" a="1"/>
  <c r="D1253" i="3" s="1"/>
  <c r="E1253" i="3" a="1"/>
  <c r="E1253" i="3" s="1"/>
  <c r="F1253" i="3" a="1"/>
  <c r="F1253" i="3" s="1"/>
  <c r="G1253" i="3" a="1"/>
  <c r="G1253" i="3" s="1"/>
  <c r="J1253" i="3" a="1"/>
  <c r="J1253" i="3" s="1"/>
  <c r="B1254" i="3" a="1"/>
  <c r="B1254" i="3" s="1"/>
  <c r="C1254" i="3" a="1"/>
  <c r="C1254" i="3" s="1"/>
  <c r="D1254" i="3" a="1"/>
  <c r="D1254" i="3" s="1"/>
  <c r="E1254" i="3" a="1"/>
  <c r="E1254" i="3" s="1"/>
  <c r="F1254" i="3" a="1"/>
  <c r="F1254" i="3" s="1"/>
  <c r="G1254" i="3" a="1"/>
  <c r="G1254" i="3" s="1"/>
  <c r="J1254" i="3" a="1"/>
  <c r="J1254" i="3" s="1"/>
  <c r="B1255" i="3" a="1"/>
  <c r="B1255" i="3" s="1"/>
  <c r="C1255" i="3" a="1"/>
  <c r="C1255" i="3" s="1"/>
  <c r="D1255" i="3" a="1"/>
  <c r="D1255" i="3" s="1"/>
  <c r="E1255" i="3" a="1"/>
  <c r="E1255" i="3" s="1"/>
  <c r="F1255" i="3" a="1"/>
  <c r="F1255" i="3" s="1"/>
  <c r="G1255" i="3" a="1"/>
  <c r="G1255" i="3" s="1"/>
  <c r="J1255" i="3" a="1"/>
  <c r="J1255" i="3" s="1"/>
  <c r="B1256" i="3" a="1"/>
  <c r="B1256" i="3" s="1"/>
  <c r="C1256" i="3" a="1"/>
  <c r="C1256" i="3" s="1"/>
  <c r="D1256" i="3" a="1"/>
  <c r="D1256" i="3" s="1"/>
  <c r="E1256" i="3" a="1"/>
  <c r="E1256" i="3" s="1"/>
  <c r="F1256" i="3" a="1"/>
  <c r="F1256" i="3" s="1"/>
  <c r="G1256" i="3" a="1"/>
  <c r="G1256" i="3" s="1"/>
  <c r="J1256" i="3" a="1"/>
  <c r="J1256" i="3" s="1"/>
  <c r="B1257" i="3" a="1"/>
  <c r="B1257" i="3" s="1"/>
  <c r="C1257" i="3" a="1"/>
  <c r="C1257" i="3" s="1"/>
  <c r="D1257" i="3" a="1"/>
  <c r="D1257" i="3" s="1"/>
  <c r="E1257" i="3" a="1"/>
  <c r="E1257" i="3" s="1"/>
  <c r="F1257" i="3" a="1"/>
  <c r="F1257" i="3" s="1"/>
  <c r="G1257" i="3" a="1"/>
  <c r="G1257" i="3" s="1"/>
  <c r="J1257" i="3" a="1"/>
  <c r="J1257" i="3" s="1"/>
  <c r="B1258" i="3" a="1"/>
  <c r="B1258" i="3" s="1"/>
  <c r="C1258" i="3" a="1"/>
  <c r="C1258" i="3" s="1"/>
  <c r="D1258" i="3" a="1"/>
  <c r="D1258" i="3" s="1"/>
  <c r="E1258" i="3" a="1"/>
  <c r="E1258" i="3" s="1"/>
  <c r="F1258" i="3" a="1"/>
  <c r="F1258" i="3" s="1"/>
  <c r="G1258" i="3" a="1"/>
  <c r="G1258" i="3" s="1"/>
  <c r="J1258" i="3" a="1"/>
  <c r="J1258" i="3" s="1"/>
  <c r="B1259" i="3" a="1"/>
  <c r="B1259" i="3" s="1"/>
  <c r="C1259" i="3" a="1"/>
  <c r="C1259" i="3" s="1"/>
  <c r="D1259" i="3" a="1"/>
  <c r="D1259" i="3" s="1"/>
  <c r="E1259" i="3" a="1"/>
  <c r="E1259" i="3" s="1"/>
  <c r="F1259" i="3" a="1"/>
  <c r="F1259" i="3" s="1"/>
  <c r="G1259" i="3" a="1"/>
  <c r="G1259" i="3" s="1"/>
  <c r="J1259" i="3" a="1"/>
  <c r="J1259" i="3" s="1"/>
  <c r="B1260" i="3" a="1"/>
  <c r="B1260" i="3" s="1"/>
  <c r="C1260" i="3" a="1"/>
  <c r="C1260" i="3" s="1"/>
  <c r="D1260" i="3" a="1"/>
  <c r="D1260" i="3" s="1"/>
  <c r="E1260" i="3" a="1"/>
  <c r="E1260" i="3" s="1"/>
  <c r="F1260" i="3" a="1"/>
  <c r="F1260" i="3" s="1"/>
  <c r="G1260" i="3" a="1"/>
  <c r="G1260" i="3" s="1"/>
  <c r="J1260" i="3" a="1"/>
  <c r="J1260" i="3" s="1"/>
  <c r="B1261" i="3" a="1"/>
  <c r="B1261" i="3" s="1"/>
  <c r="C1261" i="3" a="1"/>
  <c r="C1261" i="3" s="1"/>
  <c r="D1261" i="3" a="1"/>
  <c r="D1261" i="3" s="1"/>
  <c r="E1261" i="3" a="1"/>
  <c r="E1261" i="3" s="1"/>
  <c r="F1261" i="3" a="1"/>
  <c r="F1261" i="3" s="1"/>
  <c r="G1261" i="3" a="1"/>
  <c r="G1261" i="3" s="1"/>
  <c r="J1261" i="3" a="1"/>
  <c r="J1261" i="3" s="1"/>
  <c r="B1262" i="3" a="1"/>
  <c r="B1262" i="3" s="1"/>
  <c r="C1262" i="3" a="1"/>
  <c r="C1262" i="3" s="1"/>
  <c r="D1262" i="3" a="1"/>
  <c r="D1262" i="3" s="1"/>
  <c r="E1262" i="3" a="1"/>
  <c r="E1262" i="3" s="1"/>
  <c r="F1262" i="3" a="1"/>
  <c r="F1262" i="3" s="1"/>
  <c r="G1262" i="3" a="1"/>
  <c r="G1262" i="3" s="1"/>
  <c r="J1262" i="3" a="1"/>
  <c r="J1262" i="3" s="1"/>
  <c r="B1263" i="3" a="1"/>
  <c r="B1263" i="3" s="1"/>
  <c r="C1263" i="3" a="1"/>
  <c r="C1263" i="3" s="1"/>
  <c r="D1263" i="3" a="1"/>
  <c r="D1263" i="3" s="1"/>
  <c r="E1263" i="3" a="1"/>
  <c r="E1263" i="3" s="1"/>
  <c r="F1263" i="3" a="1"/>
  <c r="F1263" i="3" s="1"/>
  <c r="G1263" i="3" a="1"/>
  <c r="G1263" i="3" s="1"/>
  <c r="J1263" i="3" a="1"/>
  <c r="J1263" i="3" s="1"/>
  <c r="B1264" i="3" a="1"/>
  <c r="B1264" i="3" s="1"/>
  <c r="C1264" i="3" a="1"/>
  <c r="C1264" i="3" s="1"/>
  <c r="D1264" i="3" a="1"/>
  <c r="D1264" i="3" s="1"/>
  <c r="E1264" i="3" a="1"/>
  <c r="E1264" i="3" s="1"/>
  <c r="F1264" i="3" a="1"/>
  <c r="F1264" i="3" s="1"/>
  <c r="G1264" i="3" a="1"/>
  <c r="G1264" i="3" s="1"/>
  <c r="J1264" i="3" a="1"/>
  <c r="J1264" i="3" s="1"/>
  <c r="B1265" i="3" a="1"/>
  <c r="B1265" i="3" s="1"/>
  <c r="C1265" i="3" a="1"/>
  <c r="C1265" i="3" s="1"/>
  <c r="D1265" i="3" a="1"/>
  <c r="D1265" i="3" s="1"/>
  <c r="E1265" i="3" a="1"/>
  <c r="E1265" i="3" s="1"/>
  <c r="F1265" i="3" a="1"/>
  <c r="F1265" i="3" s="1"/>
  <c r="G1265" i="3" a="1"/>
  <c r="G1265" i="3" s="1"/>
  <c r="J1265" i="3" a="1"/>
  <c r="J1265" i="3" s="1"/>
  <c r="B1266" i="3" a="1"/>
  <c r="B1266" i="3" s="1"/>
  <c r="C1266" i="3" a="1"/>
  <c r="C1266" i="3" s="1"/>
  <c r="D1266" i="3" a="1"/>
  <c r="D1266" i="3" s="1"/>
  <c r="E1266" i="3" a="1"/>
  <c r="E1266" i="3" s="1"/>
  <c r="F1266" i="3" a="1"/>
  <c r="F1266" i="3" s="1"/>
  <c r="G1266" i="3" a="1"/>
  <c r="G1266" i="3" s="1"/>
  <c r="J1266" i="3" a="1"/>
  <c r="J1266" i="3" s="1"/>
  <c r="B1267" i="3" a="1"/>
  <c r="B1267" i="3" s="1"/>
  <c r="C1267" i="3" a="1"/>
  <c r="C1267" i="3" s="1"/>
  <c r="D1267" i="3" a="1"/>
  <c r="D1267" i="3" s="1"/>
  <c r="E1267" i="3" a="1"/>
  <c r="E1267" i="3" s="1"/>
  <c r="F1267" i="3" a="1"/>
  <c r="F1267" i="3" s="1"/>
  <c r="G1267" i="3" a="1"/>
  <c r="G1267" i="3" s="1"/>
  <c r="J1267" i="3" a="1"/>
  <c r="J1267" i="3" s="1"/>
  <c r="B1268" i="3" a="1"/>
  <c r="B1268" i="3" s="1"/>
  <c r="C1268" i="3" a="1"/>
  <c r="C1268" i="3" s="1"/>
  <c r="D1268" i="3" a="1"/>
  <c r="D1268" i="3" s="1"/>
  <c r="E1268" i="3" a="1"/>
  <c r="E1268" i="3" s="1"/>
  <c r="F1268" i="3" a="1"/>
  <c r="F1268" i="3" s="1"/>
  <c r="G1268" i="3" a="1"/>
  <c r="G1268" i="3" s="1"/>
  <c r="J1268" i="3" a="1"/>
  <c r="J1268" i="3" s="1"/>
  <c r="B1269" i="3" a="1"/>
  <c r="B1269" i="3" s="1"/>
  <c r="C1269" i="3" a="1"/>
  <c r="C1269" i="3" s="1"/>
  <c r="D1269" i="3" a="1"/>
  <c r="D1269" i="3" s="1"/>
  <c r="E1269" i="3" a="1"/>
  <c r="E1269" i="3" s="1"/>
  <c r="F1269" i="3" a="1"/>
  <c r="F1269" i="3" s="1"/>
  <c r="G1269" i="3" a="1"/>
  <c r="G1269" i="3" s="1"/>
  <c r="J1269" i="3" a="1"/>
  <c r="J1269" i="3" s="1"/>
  <c r="B1270" i="3" a="1"/>
  <c r="B1270" i="3" s="1"/>
  <c r="C1270" i="3" a="1"/>
  <c r="C1270" i="3" s="1"/>
  <c r="D1270" i="3" a="1"/>
  <c r="D1270" i="3" s="1"/>
  <c r="E1270" i="3" a="1"/>
  <c r="E1270" i="3" s="1"/>
  <c r="F1270" i="3" a="1"/>
  <c r="F1270" i="3" s="1"/>
  <c r="G1270" i="3" a="1"/>
  <c r="G1270" i="3" s="1"/>
  <c r="J1270" i="3" a="1"/>
  <c r="J1270" i="3" s="1"/>
  <c r="B1271" i="3" a="1"/>
  <c r="B1271" i="3" s="1"/>
  <c r="C1271" i="3" a="1"/>
  <c r="C1271" i="3" s="1"/>
  <c r="D1271" i="3" a="1"/>
  <c r="D1271" i="3" s="1"/>
  <c r="E1271" i="3" a="1"/>
  <c r="E1271" i="3" s="1"/>
  <c r="F1271" i="3" a="1"/>
  <c r="F1271" i="3" s="1"/>
  <c r="G1271" i="3" a="1"/>
  <c r="G1271" i="3" s="1"/>
  <c r="J1271" i="3" a="1"/>
  <c r="J1271" i="3" s="1"/>
  <c r="B1272" i="3" a="1"/>
  <c r="B1272" i="3" s="1"/>
  <c r="C1272" i="3" a="1"/>
  <c r="C1272" i="3" s="1"/>
  <c r="D1272" i="3" a="1"/>
  <c r="D1272" i="3" s="1"/>
  <c r="E1272" i="3" a="1"/>
  <c r="E1272" i="3" s="1"/>
  <c r="F1272" i="3" a="1"/>
  <c r="F1272" i="3" s="1"/>
  <c r="G1272" i="3" a="1"/>
  <c r="G1272" i="3" s="1"/>
  <c r="J1272" i="3" a="1"/>
  <c r="J1272" i="3" s="1"/>
  <c r="B1273" i="3" a="1"/>
  <c r="B1273" i="3" s="1"/>
  <c r="C1273" i="3" a="1"/>
  <c r="C1273" i="3" s="1"/>
  <c r="D1273" i="3" a="1"/>
  <c r="D1273" i="3" s="1"/>
  <c r="E1273" i="3" a="1"/>
  <c r="E1273" i="3" s="1"/>
  <c r="F1273" i="3" a="1"/>
  <c r="F1273" i="3" s="1"/>
  <c r="G1273" i="3" a="1"/>
  <c r="G1273" i="3" s="1"/>
  <c r="J1273" i="3" a="1"/>
  <c r="J1273" i="3" s="1"/>
  <c r="B1274" i="3" a="1"/>
  <c r="B1274" i="3" s="1"/>
  <c r="C1274" i="3" a="1"/>
  <c r="C1274" i="3" s="1"/>
  <c r="D1274" i="3" a="1"/>
  <c r="D1274" i="3" s="1"/>
  <c r="E1274" i="3" a="1"/>
  <c r="E1274" i="3" s="1"/>
  <c r="F1274" i="3" a="1"/>
  <c r="F1274" i="3" s="1"/>
  <c r="G1274" i="3" a="1"/>
  <c r="G1274" i="3" s="1"/>
  <c r="J1274" i="3" a="1"/>
  <c r="J1274" i="3" s="1"/>
  <c r="B1275" i="3" a="1"/>
  <c r="B1275" i="3" s="1"/>
  <c r="C1275" i="3" a="1"/>
  <c r="C1275" i="3" s="1"/>
  <c r="D1275" i="3" a="1"/>
  <c r="D1275" i="3" s="1"/>
  <c r="E1275" i="3" a="1"/>
  <c r="E1275" i="3" s="1"/>
  <c r="F1275" i="3" a="1"/>
  <c r="F1275" i="3" s="1"/>
  <c r="G1275" i="3" a="1"/>
  <c r="G1275" i="3" s="1"/>
  <c r="J1275" i="3" a="1"/>
  <c r="J1275" i="3" s="1"/>
  <c r="B1276" i="3" a="1"/>
  <c r="B1276" i="3" s="1"/>
  <c r="C1276" i="3" a="1"/>
  <c r="C1276" i="3" s="1"/>
  <c r="D1276" i="3" a="1"/>
  <c r="D1276" i="3" s="1"/>
  <c r="E1276" i="3" a="1"/>
  <c r="E1276" i="3" s="1"/>
  <c r="F1276" i="3" a="1"/>
  <c r="F1276" i="3" s="1"/>
  <c r="G1276" i="3" a="1"/>
  <c r="G1276" i="3" s="1"/>
  <c r="J1276" i="3" a="1"/>
  <c r="J1276" i="3" s="1"/>
  <c r="B1277" i="3" a="1"/>
  <c r="B1277" i="3" s="1"/>
  <c r="C1277" i="3" a="1"/>
  <c r="C1277" i="3" s="1"/>
  <c r="D1277" i="3" a="1"/>
  <c r="D1277" i="3" s="1"/>
  <c r="E1277" i="3" a="1"/>
  <c r="E1277" i="3" s="1"/>
  <c r="F1277" i="3" a="1"/>
  <c r="F1277" i="3" s="1"/>
  <c r="G1277" i="3" a="1"/>
  <c r="G1277" i="3" s="1"/>
  <c r="J1277" i="3" a="1"/>
  <c r="J1277" i="3" s="1"/>
  <c r="B1278" i="3" a="1"/>
  <c r="B1278" i="3" s="1"/>
  <c r="C1278" i="3" a="1"/>
  <c r="C1278" i="3" s="1"/>
  <c r="D1278" i="3" a="1"/>
  <c r="D1278" i="3" s="1"/>
  <c r="E1278" i="3" a="1"/>
  <c r="E1278" i="3" s="1"/>
  <c r="F1278" i="3" a="1"/>
  <c r="F1278" i="3" s="1"/>
  <c r="G1278" i="3" a="1"/>
  <c r="G1278" i="3" s="1"/>
  <c r="J1278" i="3" a="1"/>
  <c r="J1278" i="3" s="1"/>
  <c r="B1279" i="3" a="1"/>
  <c r="B1279" i="3" s="1"/>
  <c r="C1279" i="3" a="1"/>
  <c r="C1279" i="3" s="1"/>
  <c r="D1279" i="3" a="1"/>
  <c r="D1279" i="3" s="1"/>
  <c r="E1279" i="3" a="1"/>
  <c r="E1279" i="3" s="1"/>
  <c r="F1279" i="3" a="1"/>
  <c r="F1279" i="3" s="1"/>
  <c r="G1279" i="3" a="1"/>
  <c r="G1279" i="3" s="1"/>
  <c r="J1279" i="3" a="1"/>
  <c r="J1279" i="3" s="1"/>
  <c r="B1280" i="3" a="1"/>
  <c r="B1280" i="3" s="1"/>
  <c r="C1280" i="3" a="1"/>
  <c r="C1280" i="3" s="1"/>
  <c r="D1280" i="3" a="1"/>
  <c r="D1280" i="3" s="1"/>
  <c r="E1280" i="3" a="1"/>
  <c r="E1280" i="3" s="1"/>
  <c r="F1280" i="3" a="1"/>
  <c r="F1280" i="3" s="1"/>
  <c r="G1280" i="3" a="1"/>
  <c r="G1280" i="3" s="1"/>
  <c r="J1280" i="3" a="1"/>
  <c r="J1280" i="3" s="1"/>
  <c r="B1281" i="3" a="1"/>
  <c r="B1281" i="3" s="1"/>
  <c r="C1281" i="3" a="1"/>
  <c r="C1281" i="3" s="1"/>
  <c r="D1281" i="3" a="1"/>
  <c r="D1281" i="3" s="1"/>
  <c r="E1281" i="3" a="1"/>
  <c r="E1281" i="3" s="1"/>
  <c r="F1281" i="3" a="1"/>
  <c r="F1281" i="3" s="1"/>
  <c r="G1281" i="3" a="1"/>
  <c r="G1281" i="3" s="1"/>
  <c r="J1281" i="3" a="1"/>
  <c r="J1281" i="3" s="1"/>
  <c r="B1282" i="3" a="1"/>
  <c r="B1282" i="3" s="1"/>
  <c r="C1282" i="3" a="1"/>
  <c r="C1282" i="3" s="1"/>
  <c r="D1282" i="3" a="1"/>
  <c r="D1282" i="3" s="1"/>
  <c r="E1282" i="3" a="1"/>
  <c r="E1282" i="3" s="1"/>
  <c r="F1282" i="3" a="1"/>
  <c r="F1282" i="3" s="1"/>
  <c r="G1282" i="3" a="1"/>
  <c r="G1282" i="3" s="1"/>
  <c r="J1282" i="3" a="1"/>
  <c r="J1282" i="3" s="1"/>
  <c r="B1283" i="3" a="1"/>
  <c r="B1283" i="3" s="1"/>
  <c r="C1283" i="3" a="1"/>
  <c r="C1283" i="3" s="1"/>
  <c r="D1283" i="3" a="1"/>
  <c r="D1283" i="3" s="1"/>
  <c r="E1283" i="3" a="1"/>
  <c r="E1283" i="3" s="1"/>
  <c r="F1283" i="3" a="1"/>
  <c r="F1283" i="3" s="1"/>
  <c r="G1283" i="3" a="1"/>
  <c r="G1283" i="3" s="1"/>
  <c r="J1283" i="3" a="1"/>
  <c r="J1283" i="3" s="1"/>
  <c r="B1284" i="3" a="1"/>
  <c r="B1284" i="3" s="1"/>
  <c r="C1284" i="3" a="1"/>
  <c r="C1284" i="3" s="1"/>
  <c r="D1284" i="3" a="1"/>
  <c r="D1284" i="3" s="1"/>
  <c r="E1284" i="3" a="1"/>
  <c r="E1284" i="3" s="1"/>
  <c r="F1284" i="3" a="1"/>
  <c r="F1284" i="3" s="1"/>
  <c r="G1284" i="3" a="1"/>
  <c r="G1284" i="3" s="1"/>
  <c r="J1284" i="3" a="1"/>
  <c r="J1284" i="3" s="1"/>
  <c r="B1285" i="3" a="1"/>
  <c r="B1285" i="3" s="1"/>
  <c r="C1285" i="3" a="1"/>
  <c r="C1285" i="3" s="1"/>
  <c r="D1285" i="3" a="1"/>
  <c r="D1285" i="3" s="1"/>
  <c r="E1285" i="3" a="1"/>
  <c r="E1285" i="3" s="1"/>
  <c r="F1285" i="3" a="1"/>
  <c r="F1285" i="3" s="1"/>
  <c r="G1285" i="3" a="1"/>
  <c r="G1285" i="3" s="1"/>
  <c r="J1285" i="3" a="1"/>
  <c r="J1285" i="3" s="1"/>
  <c r="B1286" i="3" a="1"/>
  <c r="B1286" i="3" s="1"/>
  <c r="C1286" i="3" a="1"/>
  <c r="C1286" i="3" s="1"/>
  <c r="D1286" i="3" a="1"/>
  <c r="D1286" i="3" s="1"/>
  <c r="E1286" i="3" a="1"/>
  <c r="E1286" i="3" s="1"/>
  <c r="F1286" i="3" a="1"/>
  <c r="F1286" i="3" s="1"/>
  <c r="G1286" i="3" a="1"/>
  <c r="G1286" i="3" s="1"/>
  <c r="J1286" i="3" a="1"/>
  <c r="J1286" i="3" s="1"/>
  <c r="B1287" i="3" a="1"/>
  <c r="B1287" i="3" s="1"/>
  <c r="C1287" i="3" a="1"/>
  <c r="C1287" i="3" s="1"/>
  <c r="D1287" i="3" a="1"/>
  <c r="D1287" i="3" s="1"/>
  <c r="E1287" i="3" a="1"/>
  <c r="E1287" i="3" s="1"/>
  <c r="F1287" i="3" a="1"/>
  <c r="F1287" i="3" s="1"/>
  <c r="G1287" i="3" a="1"/>
  <c r="G1287" i="3" s="1"/>
  <c r="J1287" i="3" a="1"/>
  <c r="J1287" i="3" s="1"/>
  <c r="B1288" i="3" a="1"/>
  <c r="B1288" i="3" s="1"/>
  <c r="C1288" i="3" a="1"/>
  <c r="C1288" i="3" s="1"/>
  <c r="D1288" i="3" a="1"/>
  <c r="D1288" i="3" s="1"/>
  <c r="E1288" i="3" a="1"/>
  <c r="E1288" i="3" s="1"/>
  <c r="F1288" i="3" a="1"/>
  <c r="F1288" i="3" s="1"/>
  <c r="G1288" i="3" a="1"/>
  <c r="G1288" i="3" s="1"/>
  <c r="J1288" i="3" a="1"/>
  <c r="J1288" i="3" s="1"/>
  <c r="B1289" i="3" a="1"/>
  <c r="B1289" i="3" s="1"/>
  <c r="C1289" i="3" a="1"/>
  <c r="C1289" i="3" s="1"/>
  <c r="D1289" i="3" a="1"/>
  <c r="D1289" i="3" s="1"/>
  <c r="E1289" i="3" a="1"/>
  <c r="E1289" i="3" s="1"/>
  <c r="F1289" i="3" a="1"/>
  <c r="F1289" i="3" s="1"/>
  <c r="G1289" i="3" a="1"/>
  <c r="G1289" i="3" s="1"/>
  <c r="J1289" i="3" a="1"/>
  <c r="J1289" i="3" s="1"/>
  <c r="B1290" i="3" a="1"/>
  <c r="B1290" i="3" s="1"/>
  <c r="C1290" i="3" a="1"/>
  <c r="C1290" i="3" s="1"/>
  <c r="D1290" i="3" a="1"/>
  <c r="D1290" i="3" s="1"/>
  <c r="E1290" i="3" a="1"/>
  <c r="E1290" i="3" s="1"/>
  <c r="F1290" i="3" a="1"/>
  <c r="F1290" i="3" s="1"/>
  <c r="G1290" i="3" a="1"/>
  <c r="G1290" i="3" s="1"/>
  <c r="J1290" i="3" a="1"/>
  <c r="J1290" i="3" s="1"/>
  <c r="B1291" i="3" a="1"/>
  <c r="B1291" i="3" s="1"/>
  <c r="C1291" i="3" a="1"/>
  <c r="C1291" i="3" s="1"/>
  <c r="D1291" i="3" a="1"/>
  <c r="D1291" i="3" s="1"/>
  <c r="E1291" i="3" a="1"/>
  <c r="E1291" i="3" s="1"/>
  <c r="F1291" i="3" a="1"/>
  <c r="F1291" i="3" s="1"/>
  <c r="G1291" i="3" a="1"/>
  <c r="G1291" i="3" s="1"/>
  <c r="J1291" i="3" a="1"/>
  <c r="J1291" i="3" s="1"/>
  <c r="B1292" i="3" a="1"/>
  <c r="B1292" i="3" s="1"/>
  <c r="C1292" i="3" a="1"/>
  <c r="C1292" i="3" s="1"/>
  <c r="D1292" i="3" a="1"/>
  <c r="D1292" i="3" s="1"/>
  <c r="E1292" i="3" a="1"/>
  <c r="E1292" i="3" s="1"/>
  <c r="F1292" i="3" a="1"/>
  <c r="F1292" i="3" s="1"/>
  <c r="G1292" i="3" a="1"/>
  <c r="G1292" i="3" s="1"/>
  <c r="J1292" i="3" a="1"/>
  <c r="J1292" i="3" s="1"/>
  <c r="B1293" i="3" a="1"/>
  <c r="B1293" i="3" s="1"/>
  <c r="C1293" i="3" a="1"/>
  <c r="C1293" i="3" s="1"/>
  <c r="D1293" i="3" a="1"/>
  <c r="D1293" i="3" s="1"/>
  <c r="E1293" i="3" a="1"/>
  <c r="E1293" i="3" s="1"/>
  <c r="F1293" i="3" a="1"/>
  <c r="F1293" i="3" s="1"/>
  <c r="G1293" i="3" a="1"/>
  <c r="G1293" i="3" s="1"/>
  <c r="J1293" i="3" a="1"/>
  <c r="J1293" i="3" s="1"/>
  <c r="B1294" i="3" a="1"/>
  <c r="B1294" i="3" s="1"/>
  <c r="C1294" i="3" a="1"/>
  <c r="C1294" i="3" s="1"/>
  <c r="D1294" i="3" a="1"/>
  <c r="D1294" i="3" s="1"/>
  <c r="E1294" i="3" a="1"/>
  <c r="E1294" i="3" s="1"/>
  <c r="F1294" i="3" a="1"/>
  <c r="F1294" i="3" s="1"/>
  <c r="G1294" i="3" a="1"/>
  <c r="G1294" i="3" s="1"/>
  <c r="J1294" i="3" a="1"/>
  <c r="J1294" i="3" s="1"/>
  <c r="B1295" i="3" a="1"/>
  <c r="B1295" i="3" s="1"/>
  <c r="C1295" i="3" a="1"/>
  <c r="C1295" i="3" s="1"/>
  <c r="D1295" i="3" a="1"/>
  <c r="D1295" i="3" s="1"/>
  <c r="E1295" i="3" a="1"/>
  <c r="E1295" i="3" s="1"/>
  <c r="F1295" i="3" a="1"/>
  <c r="F1295" i="3" s="1"/>
  <c r="G1295" i="3" a="1"/>
  <c r="G1295" i="3" s="1"/>
  <c r="J1295" i="3" a="1"/>
  <c r="J1295" i="3" s="1"/>
  <c r="B1296" i="3" a="1"/>
  <c r="B1296" i="3" s="1"/>
  <c r="C1296" i="3" a="1"/>
  <c r="C1296" i="3" s="1"/>
  <c r="D1296" i="3" a="1"/>
  <c r="D1296" i="3" s="1"/>
  <c r="E1296" i="3" a="1"/>
  <c r="E1296" i="3" s="1"/>
  <c r="F1296" i="3" a="1"/>
  <c r="F1296" i="3" s="1"/>
  <c r="G1296" i="3" a="1"/>
  <c r="G1296" i="3" s="1"/>
  <c r="J1296" i="3" a="1"/>
  <c r="J1296" i="3" s="1"/>
  <c r="B1297" i="3" a="1"/>
  <c r="B1297" i="3" s="1"/>
  <c r="C1297" i="3" a="1"/>
  <c r="C1297" i="3" s="1"/>
  <c r="D1297" i="3" a="1"/>
  <c r="D1297" i="3" s="1"/>
  <c r="E1297" i="3" a="1"/>
  <c r="E1297" i="3" s="1"/>
  <c r="F1297" i="3" a="1"/>
  <c r="F1297" i="3" s="1"/>
  <c r="G1297" i="3" a="1"/>
  <c r="G1297" i="3" s="1"/>
  <c r="J1297" i="3" a="1"/>
  <c r="J1297" i="3" s="1"/>
  <c r="B1298" i="3" a="1"/>
  <c r="B1298" i="3" s="1"/>
  <c r="C1298" i="3" a="1"/>
  <c r="C1298" i="3" s="1"/>
  <c r="D1298" i="3" a="1"/>
  <c r="D1298" i="3" s="1"/>
  <c r="E1298" i="3" a="1"/>
  <c r="E1298" i="3" s="1"/>
  <c r="F1298" i="3" a="1"/>
  <c r="F1298" i="3" s="1"/>
  <c r="G1298" i="3" a="1"/>
  <c r="G1298" i="3" s="1"/>
  <c r="J1298" i="3" a="1"/>
  <c r="J1298" i="3" s="1"/>
  <c r="B1299" i="3" a="1"/>
  <c r="B1299" i="3" s="1"/>
  <c r="C1299" i="3" a="1"/>
  <c r="C1299" i="3" s="1"/>
  <c r="D1299" i="3" a="1"/>
  <c r="D1299" i="3" s="1"/>
  <c r="E1299" i="3" a="1"/>
  <c r="E1299" i="3" s="1"/>
  <c r="F1299" i="3" a="1"/>
  <c r="F1299" i="3" s="1"/>
  <c r="G1299" i="3" a="1"/>
  <c r="G1299" i="3" s="1"/>
  <c r="J1299" i="3" a="1"/>
  <c r="J1299" i="3" s="1"/>
  <c r="B1300" i="3" a="1"/>
  <c r="B1300" i="3" s="1"/>
  <c r="C1300" i="3" a="1"/>
  <c r="C1300" i="3" s="1"/>
  <c r="D1300" i="3" a="1"/>
  <c r="D1300" i="3" s="1"/>
  <c r="E1300" i="3" a="1"/>
  <c r="E1300" i="3" s="1"/>
  <c r="F1300" i="3" a="1"/>
  <c r="F1300" i="3" s="1"/>
  <c r="G1300" i="3" a="1"/>
  <c r="G1300" i="3" s="1"/>
  <c r="J1300" i="3" a="1"/>
  <c r="J1300" i="3" s="1"/>
  <c r="B1301" i="3" a="1"/>
  <c r="B1301" i="3" s="1"/>
  <c r="C1301" i="3" a="1"/>
  <c r="C1301" i="3" s="1"/>
  <c r="D1301" i="3" a="1"/>
  <c r="D1301" i="3" s="1"/>
  <c r="E1301" i="3" a="1"/>
  <c r="E1301" i="3" s="1"/>
  <c r="F1301" i="3" a="1"/>
  <c r="F1301" i="3" s="1"/>
  <c r="G1301" i="3" a="1"/>
  <c r="G1301" i="3" s="1"/>
  <c r="J1301" i="3" a="1"/>
  <c r="J1301" i="3" s="1"/>
  <c r="B1302" i="3" a="1"/>
  <c r="B1302" i="3" s="1"/>
  <c r="C1302" i="3" a="1"/>
  <c r="C1302" i="3" s="1"/>
  <c r="D1302" i="3" a="1"/>
  <c r="D1302" i="3" s="1"/>
  <c r="E1302" i="3" a="1"/>
  <c r="E1302" i="3" s="1"/>
  <c r="F1302" i="3" a="1"/>
  <c r="F1302" i="3" s="1"/>
  <c r="G1302" i="3" a="1"/>
  <c r="G1302" i="3" s="1"/>
  <c r="J1302" i="3" a="1"/>
  <c r="J1302" i="3" s="1"/>
  <c r="B1303" i="3" a="1"/>
  <c r="B1303" i="3" s="1"/>
  <c r="C1303" i="3" a="1"/>
  <c r="C1303" i="3" s="1"/>
  <c r="D1303" i="3" a="1"/>
  <c r="D1303" i="3" s="1"/>
  <c r="E1303" i="3" a="1"/>
  <c r="E1303" i="3" s="1"/>
  <c r="F1303" i="3" a="1"/>
  <c r="F1303" i="3" s="1"/>
  <c r="G1303" i="3" a="1"/>
  <c r="G1303" i="3" s="1"/>
  <c r="J1303" i="3" a="1"/>
  <c r="J1303" i="3" s="1"/>
  <c r="B1304" i="3" a="1"/>
  <c r="B1304" i="3" s="1"/>
  <c r="C1304" i="3" a="1"/>
  <c r="C1304" i="3" s="1"/>
  <c r="D1304" i="3" a="1"/>
  <c r="D1304" i="3" s="1"/>
  <c r="E1304" i="3" a="1"/>
  <c r="E1304" i="3" s="1"/>
  <c r="F1304" i="3" a="1"/>
  <c r="F1304" i="3" s="1"/>
  <c r="G1304" i="3" a="1"/>
  <c r="G1304" i="3" s="1"/>
  <c r="J1304" i="3" a="1"/>
  <c r="J1304" i="3" s="1"/>
  <c r="B1305" i="3" a="1"/>
  <c r="B1305" i="3" s="1"/>
  <c r="C1305" i="3" a="1"/>
  <c r="C1305" i="3" s="1"/>
  <c r="D1305" i="3" a="1"/>
  <c r="D1305" i="3" s="1"/>
  <c r="E1305" i="3" a="1"/>
  <c r="E1305" i="3" s="1"/>
  <c r="F1305" i="3" a="1"/>
  <c r="F1305" i="3" s="1"/>
  <c r="G1305" i="3" a="1"/>
  <c r="G1305" i="3" s="1"/>
  <c r="J1305" i="3" a="1"/>
  <c r="J1305" i="3" s="1"/>
  <c r="B1306" i="3" a="1"/>
  <c r="B1306" i="3" s="1"/>
  <c r="C1306" i="3" a="1"/>
  <c r="C1306" i="3" s="1"/>
  <c r="D1306" i="3" a="1"/>
  <c r="D1306" i="3" s="1"/>
  <c r="E1306" i="3" a="1"/>
  <c r="E1306" i="3" s="1"/>
  <c r="F1306" i="3" a="1"/>
  <c r="F1306" i="3" s="1"/>
  <c r="G1306" i="3" a="1"/>
  <c r="G1306" i="3" s="1"/>
  <c r="J1306" i="3" a="1"/>
  <c r="J1306" i="3" s="1"/>
  <c r="B1307" i="3" a="1"/>
  <c r="B1307" i="3" s="1"/>
  <c r="C1307" i="3" a="1"/>
  <c r="C1307" i="3" s="1"/>
  <c r="D1307" i="3" a="1"/>
  <c r="D1307" i="3" s="1"/>
  <c r="E1307" i="3" a="1"/>
  <c r="E1307" i="3" s="1"/>
  <c r="F1307" i="3" a="1"/>
  <c r="F1307" i="3" s="1"/>
  <c r="G1307" i="3" a="1"/>
  <c r="G1307" i="3" s="1"/>
  <c r="J1307" i="3" a="1"/>
  <c r="J1307" i="3" s="1"/>
  <c r="B1308" i="3" a="1"/>
  <c r="B1308" i="3" s="1"/>
  <c r="C1308" i="3" a="1"/>
  <c r="C1308" i="3" s="1"/>
  <c r="D1308" i="3" a="1"/>
  <c r="D1308" i="3" s="1"/>
  <c r="E1308" i="3" a="1"/>
  <c r="E1308" i="3" s="1"/>
  <c r="F1308" i="3" a="1"/>
  <c r="F1308" i="3" s="1"/>
  <c r="G1308" i="3" a="1"/>
  <c r="G1308" i="3" s="1"/>
  <c r="J1308" i="3" a="1"/>
  <c r="J1308" i="3" s="1"/>
  <c r="B1309" i="3" a="1"/>
  <c r="B1309" i="3" s="1"/>
  <c r="C1309" i="3" a="1"/>
  <c r="C1309" i="3" s="1"/>
  <c r="D1309" i="3" a="1"/>
  <c r="D1309" i="3" s="1"/>
  <c r="E1309" i="3" a="1"/>
  <c r="E1309" i="3" s="1"/>
  <c r="F1309" i="3" a="1"/>
  <c r="F1309" i="3" s="1"/>
  <c r="G1309" i="3" a="1"/>
  <c r="G1309" i="3" s="1"/>
  <c r="J1309" i="3" a="1"/>
  <c r="J1309" i="3" s="1"/>
  <c r="B1310" i="3" a="1"/>
  <c r="B1310" i="3" s="1"/>
  <c r="C1310" i="3" a="1"/>
  <c r="C1310" i="3" s="1"/>
  <c r="D1310" i="3" a="1"/>
  <c r="D1310" i="3" s="1"/>
  <c r="E1310" i="3" a="1"/>
  <c r="E1310" i="3" s="1"/>
  <c r="F1310" i="3" a="1"/>
  <c r="F1310" i="3" s="1"/>
  <c r="G1310" i="3" a="1"/>
  <c r="G1310" i="3" s="1"/>
  <c r="J1310" i="3" a="1"/>
  <c r="J1310" i="3" s="1"/>
  <c r="B1311" i="3" a="1"/>
  <c r="B1311" i="3" s="1"/>
  <c r="C1311" i="3" a="1"/>
  <c r="C1311" i="3" s="1"/>
  <c r="D1311" i="3" a="1"/>
  <c r="D1311" i="3" s="1"/>
  <c r="E1311" i="3" a="1"/>
  <c r="E1311" i="3" s="1"/>
  <c r="F1311" i="3" a="1"/>
  <c r="F1311" i="3" s="1"/>
  <c r="G1311" i="3" a="1"/>
  <c r="G1311" i="3" s="1"/>
  <c r="J1311" i="3" a="1"/>
  <c r="J1311" i="3" s="1"/>
  <c r="B1312" i="3" a="1"/>
  <c r="B1312" i="3" s="1"/>
  <c r="C1312" i="3" a="1"/>
  <c r="C1312" i="3" s="1"/>
  <c r="D1312" i="3" a="1"/>
  <c r="D1312" i="3" s="1"/>
  <c r="E1312" i="3" a="1"/>
  <c r="E1312" i="3" s="1"/>
  <c r="F1312" i="3" a="1"/>
  <c r="F1312" i="3" s="1"/>
  <c r="G1312" i="3" a="1"/>
  <c r="G1312" i="3" s="1"/>
  <c r="J1312" i="3" a="1"/>
  <c r="J1312" i="3" s="1"/>
  <c r="B1313" i="3" a="1"/>
  <c r="B1313" i="3" s="1"/>
  <c r="C1313" i="3" a="1"/>
  <c r="C1313" i="3" s="1"/>
  <c r="D1313" i="3" a="1"/>
  <c r="D1313" i="3" s="1"/>
  <c r="E1313" i="3" a="1"/>
  <c r="E1313" i="3" s="1"/>
  <c r="F1313" i="3" a="1"/>
  <c r="F1313" i="3" s="1"/>
  <c r="G1313" i="3" a="1"/>
  <c r="G1313" i="3" s="1"/>
  <c r="J1313" i="3" a="1"/>
  <c r="J1313" i="3" s="1"/>
  <c r="B1314" i="3" a="1"/>
  <c r="B1314" i="3" s="1"/>
  <c r="C1314" i="3" a="1"/>
  <c r="C1314" i="3" s="1"/>
  <c r="D1314" i="3" a="1"/>
  <c r="D1314" i="3" s="1"/>
  <c r="E1314" i="3" a="1"/>
  <c r="E1314" i="3" s="1"/>
  <c r="F1314" i="3" a="1"/>
  <c r="F1314" i="3" s="1"/>
  <c r="G1314" i="3" a="1"/>
  <c r="G1314" i="3" s="1"/>
  <c r="J1314" i="3" a="1"/>
  <c r="J1314" i="3" s="1"/>
  <c r="B1315" i="3" a="1"/>
  <c r="B1315" i="3" s="1"/>
  <c r="C1315" i="3" a="1"/>
  <c r="C1315" i="3" s="1"/>
  <c r="D1315" i="3" a="1"/>
  <c r="D1315" i="3" s="1"/>
  <c r="E1315" i="3" a="1"/>
  <c r="E1315" i="3" s="1"/>
  <c r="F1315" i="3" a="1"/>
  <c r="F1315" i="3" s="1"/>
  <c r="G1315" i="3" a="1"/>
  <c r="G1315" i="3" s="1"/>
  <c r="J1315" i="3" a="1"/>
  <c r="J1315" i="3" s="1"/>
  <c r="B1316" i="3" a="1"/>
  <c r="B1316" i="3" s="1"/>
  <c r="C1316" i="3" a="1"/>
  <c r="C1316" i="3" s="1"/>
  <c r="D1316" i="3" a="1"/>
  <c r="D1316" i="3" s="1"/>
  <c r="E1316" i="3" a="1"/>
  <c r="E1316" i="3" s="1"/>
  <c r="F1316" i="3" a="1"/>
  <c r="F1316" i="3" s="1"/>
  <c r="G1316" i="3" a="1"/>
  <c r="G1316" i="3" s="1"/>
  <c r="J1316" i="3" a="1"/>
  <c r="J1316" i="3" s="1"/>
  <c r="B1317" i="3" a="1"/>
  <c r="B1317" i="3" s="1"/>
  <c r="C1317" i="3" a="1"/>
  <c r="C1317" i="3" s="1"/>
  <c r="D1317" i="3" a="1"/>
  <c r="D1317" i="3" s="1"/>
  <c r="E1317" i="3" a="1"/>
  <c r="E1317" i="3" s="1"/>
  <c r="F1317" i="3" a="1"/>
  <c r="F1317" i="3" s="1"/>
  <c r="G1317" i="3" a="1"/>
  <c r="G1317" i="3" s="1"/>
  <c r="J1317" i="3" a="1"/>
  <c r="J1317" i="3" s="1"/>
  <c r="B1318" i="3" a="1"/>
  <c r="B1318" i="3" s="1"/>
  <c r="C1318" i="3" a="1"/>
  <c r="C1318" i="3" s="1"/>
  <c r="D1318" i="3" a="1"/>
  <c r="D1318" i="3" s="1"/>
  <c r="E1318" i="3" a="1"/>
  <c r="E1318" i="3" s="1"/>
  <c r="F1318" i="3" a="1"/>
  <c r="F1318" i="3" s="1"/>
  <c r="G1318" i="3" a="1"/>
  <c r="G1318" i="3" s="1"/>
  <c r="J1318" i="3" a="1"/>
  <c r="J1318" i="3" s="1"/>
  <c r="B1319" i="3" a="1"/>
  <c r="B1319" i="3" s="1"/>
  <c r="C1319" i="3" a="1"/>
  <c r="C1319" i="3" s="1"/>
  <c r="D1319" i="3" a="1"/>
  <c r="D1319" i="3" s="1"/>
  <c r="E1319" i="3" a="1"/>
  <c r="E1319" i="3" s="1"/>
  <c r="F1319" i="3" a="1"/>
  <c r="F1319" i="3" s="1"/>
  <c r="G1319" i="3" a="1"/>
  <c r="G1319" i="3" s="1"/>
  <c r="J1319" i="3" a="1"/>
  <c r="J1319" i="3" s="1"/>
  <c r="B1320" i="3" a="1"/>
  <c r="B1320" i="3" s="1"/>
  <c r="C1320" i="3" a="1"/>
  <c r="C1320" i="3" s="1"/>
  <c r="D1320" i="3" a="1"/>
  <c r="D1320" i="3" s="1"/>
  <c r="E1320" i="3" a="1"/>
  <c r="E1320" i="3" s="1"/>
  <c r="F1320" i="3" a="1"/>
  <c r="F1320" i="3" s="1"/>
  <c r="G1320" i="3" a="1"/>
  <c r="G1320" i="3" s="1"/>
  <c r="J1320" i="3" a="1"/>
  <c r="J1320" i="3" s="1"/>
  <c r="B1321" i="3" a="1"/>
  <c r="B1321" i="3" s="1"/>
  <c r="C1321" i="3" a="1"/>
  <c r="C1321" i="3" s="1"/>
  <c r="D1321" i="3" a="1"/>
  <c r="D1321" i="3" s="1"/>
  <c r="E1321" i="3" a="1"/>
  <c r="E1321" i="3" s="1"/>
  <c r="F1321" i="3" a="1"/>
  <c r="F1321" i="3" s="1"/>
  <c r="G1321" i="3" a="1"/>
  <c r="G1321" i="3" s="1"/>
  <c r="J1321" i="3" a="1"/>
  <c r="J1321" i="3" s="1"/>
  <c r="B1322" i="3" a="1"/>
  <c r="B1322" i="3" s="1"/>
  <c r="C1322" i="3" a="1"/>
  <c r="C1322" i="3" s="1"/>
  <c r="D1322" i="3" a="1"/>
  <c r="D1322" i="3" s="1"/>
  <c r="E1322" i="3" a="1"/>
  <c r="E1322" i="3" s="1"/>
  <c r="F1322" i="3" a="1"/>
  <c r="F1322" i="3" s="1"/>
  <c r="G1322" i="3" a="1"/>
  <c r="G1322" i="3" s="1"/>
  <c r="J1322" i="3" a="1"/>
  <c r="J1322" i="3" s="1"/>
  <c r="B1323" i="3" a="1"/>
  <c r="B1323" i="3" s="1"/>
  <c r="C1323" i="3" a="1"/>
  <c r="C1323" i="3" s="1"/>
  <c r="D1323" i="3" a="1"/>
  <c r="D1323" i="3" s="1"/>
  <c r="E1323" i="3" a="1"/>
  <c r="E1323" i="3" s="1"/>
  <c r="F1323" i="3" a="1"/>
  <c r="F1323" i="3" s="1"/>
  <c r="G1323" i="3" a="1"/>
  <c r="G1323" i="3" s="1"/>
  <c r="J1323" i="3" a="1"/>
  <c r="J1323" i="3" s="1"/>
  <c r="B1324" i="3" a="1"/>
  <c r="B1324" i="3" s="1"/>
  <c r="C1324" i="3" a="1"/>
  <c r="C1324" i="3" s="1"/>
  <c r="D1324" i="3" a="1"/>
  <c r="D1324" i="3" s="1"/>
  <c r="E1324" i="3" a="1"/>
  <c r="E1324" i="3" s="1"/>
  <c r="F1324" i="3" a="1"/>
  <c r="F1324" i="3" s="1"/>
  <c r="G1324" i="3" a="1"/>
  <c r="G1324" i="3" s="1"/>
  <c r="J1324" i="3" a="1"/>
  <c r="J1324" i="3" s="1"/>
  <c r="B1325" i="3" a="1"/>
  <c r="B1325" i="3" s="1"/>
  <c r="C1325" i="3" a="1"/>
  <c r="C1325" i="3" s="1"/>
  <c r="D1325" i="3" a="1"/>
  <c r="D1325" i="3" s="1"/>
  <c r="E1325" i="3" a="1"/>
  <c r="E1325" i="3" s="1"/>
  <c r="F1325" i="3" a="1"/>
  <c r="F1325" i="3" s="1"/>
  <c r="G1325" i="3" a="1"/>
  <c r="G1325" i="3" s="1"/>
  <c r="J1325" i="3" a="1"/>
  <c r="J1325" i="3" s="1"/>
  <c r="B1326" i="3" a="1"/>
  <c r="B1326" i="3" s="1"/>
  <c r="C1326" i="3" a="1"/>
  <c r="C1326" i="3" s="1"/>
  <c r="D1326" i="3" a="1"/>
  <c r="D1326" i="3" s="1"/>
  <c r="E1326" i="3" a="1"/>
  <c r="E1326" i="3" s="1"/>
  <c r="F1326" i="3" a="1"/>
  <c r="F1326" i="3" s="1"/>
  <c r="G1326" i="3" a="1"/>
  <c r="G1326" i="3" s="1"/>
  <c r="J1326" i="3" a="1"/>
  <c r="J1326" i="3" s="1"/>
  <c r="B1327" i="3" a="1"/>
  <c r="B1327" i="3" s="1"/>
  <c r="C1327" i="3" a="1"/>
  <c r="C1327" i="3" s="1"/>
  <c r="D1327" i="3" a="1"/>
  <c r="D1327" i="3" s="1"/>
  <c r="E1327" i="3" a="1"/>
  <c r="E1327" i="3" s="1"/>
  <c r="F1327" i="3" a="1"/>
  <c r="F1327" i="3" s="1"/>
  <c r="G1327" i="3" a="1"/>
  <c r="G1327" i="3" s="1"/>
  <c r="J1327" i="3" a="1"/>
  <c r="J1327" i="3" s="1"/>
  <c r="B1328" i="3" a="1"/>
  <c r="B1328" i="3" s="1"/>
  <c r="C1328" i="3" a="1"/>
  <c r="C1328" i="3" s="1"/>
  <c r="D1328" i="3" a="1"/>
  <c r="D1328" i="3" s="1"/>
  <c r="E1328" i="3" a="1"/>
  <c r="E1328" i="3" s="1"/>
  <c r="F1328" i="3" a="1"/>
  <c r="F1328" i="3" s="1"/>
  <c r="G1328" i="3" a="1"/>
  <c r="G1328" i="3" s="1"/>
  <c r="J1328" i="3" a="1"/>
  <c r="J1328" i="3" s="1"/>
  <c r="B1329" i="3" a="1"/>
  <c r="B1329" i="3" s="1"/>
  <c r="C1329" i="3" a="1"/>
  <c r="C1329" i="3" s="1"/>
  <c r="D1329" i="3" a="1"/>
  <c r="D1329" i="3" s="1"/>
  <c r="E1329" i="3" a="1"/>
  <c r="E1329" i="3" s="1"/>
  <c r="F1329" i="3" a="1"/>
  <c r="F1329" i="3" s="1"/>
  <c r="G1329" i="3" a="1"/>
  <c r="G1329" i="3" s="1"/>
  <c r="J1329" i="3" a="1"/>
  <c r="J1329" i="3" s="1"/>
  <c r="B1330" i="3" a="1"/>
  <c r="B1330" i="3" s="1"/>
  <c r="C1330" i="3" a="1"/>
  <c r="C1330" i="3" s="1"/>
  <c r="D1330" i="3" a="1"/>
  <c r="D1330" i="3" s="1"/>
  <c r="E1330" i="3" a="1"/>
  <c r="E1330" i="3" s="1"/>
  <c r="F1330" i="3" a="1"/>
  <c r="F1330" i="3" s="1"/>
  <c r="G1330" i="3" a="1"/>
  <c r="G1330" i="3" s="1"/>
  <c r="J1330" i="3" a="1"/>
  <c r="J1330" i="3" s="1"/>
  <c r="B1331" i="3" a="1"/>
  <c r="B1331" i="3" s="1"/>
  <c r="C1331" i="3" a="1"/>
  <c r="C1331" i="3" s="1"/>
  <c r="D1331" i="3" a="1"/>
  <c r="D1331" i="3" s="1"/>
  <c r="E1331" i="3" a="1"/>
  <c r="E1331" i="3" s="1"/>
  <c r="F1331" i="3" a="1"/>
  <c r="F1331" i="3" s="1"/>
  <c r="G1331" i="3" a="1"/>
  <c r="G1331" i="3" s="1"/>
  <c r="J1331" i="3" a="1"/>
  <c r="J1331" i="3" s="1"/>
  <c r="B1332" i="3" a="1"/>
  <c r="B1332" i="3" s="1"/>
  <c r="C1332" i="3" a="1"/>
  <c r="C1332" i="3" s="1"/>
  <c r="D1332" i="3" a="1"/>
  <c r="D1332" i="3" s="1"/>
  <c r="E1332" i="3" a="1"/>
  <c r="E1332" i="3" s="1"/>
  <c r="F1332" i="3" a="1"/>
  <c r="F1332" i="3" s="1"/>
  <c r="G1332" i="3" a="1"/>
  <c r="G1332" i="3" s="1"/>
  <c r="J1332" i="3" a="1"/>
  <c r="J1332" i="3" s="1"/>
  <c r="B1333" i="3" a="1"/>
  <c r="B1333" i="3" s="1"/>
  <c r="C1333" i="3" a="1"/>
  <c r="C1333" i="3" s="1"/>
  <c r="D1333" i="3" a="1"/>
  <c r="D1333" i="3" s="1"/>
  <c r="E1333" i="3" a="1"/>
  <c r="E1333" i="3" s="1"/>
  <c r="F1333" i="3" a="1"/>
  <c r="F1333" i="3" s="1"/>
  <c r="G1333" i="3" a="1"/>
  <c r="G1333" i="3" s="1"/>
  <c r="J1333" i="3" a="1"/>
  <c r="J1333" i="3" s="1"/>
  <c r="B1334" i="3" a="1"/>
  <c r="B1334" i="3" s="1"/>
  <c r="C1334" i="3" a="1"/>
  <c r="C1334" i="3" s="1"/>
  <c r="D1334" i="3" a="1"/>
  <c r="D1334" i="3" s="1"/>
  <c r="E1334" i="3" a="1"/>
  <c r="E1334" i="3" s="1"/>
  <c r="F1334" i="3" a="1"/>
  <c r="F1334" i="3" s="1"/>
  <c r="G1334" i="3" a="1"/>
  <c r="G1334" i="3" s="1"/>
  <c r="J1334" i="3" a="1"/>
  <c r="J1334" i="3" s="1"/>
  <c r="B1335" i="3" a="1"/>
  <c r="B1335" i="3" s="1"/>
  <c r="C1335" i="3" a="1"/>
  <c r="C1335" i="3" s="1"/>
  <c r="D1335" i="3" a="1"/>
  <c r="D1335" i="3" s="1"/>
  <c r="E1335" i="3" a="1"/>
  <c r="E1335" i="3" s="1"/>
  <c r="F1335" i="3" a="1"/>
  <c r="F1335" i="3" s="1"/>
  <c r="G1335" i="3" a="1"/>
  <c r="G1335" i="3" s="1"/>
  <c r="J1335" i="3" a="1"/>
  <c r="J1335" i="3" s="1"/>
  <c r="B1336" i="3" a="1"/>
  <c r="B1336" i="3" s="1"/>
  <c r="C1336" i="3" a="1"/>
  <c r="C1336" i="3" s="1"/>
  <c r="D1336" i="3" a="1"/>
  <c r="D1336" i="3" s="1"/>
  <c r="E1336" i="3" a="1"/>
  <c r="E1336" i="3" s="1"/>
  <c r="F1336" i="3" a="1"/>
  <c r="F1336" i="3" s="1"/>
  <c r="G1336" i="3" a="1"/>
  <c r="G1336" i="3" s="1"/>
  <c r="J1336" i="3" a="1"/>
  <c r="J1336" i="3" s="1"/>
  <c r="B1337" i="3" a="1"/>
  <c r="B1337" i="3" s="1"/>
  <c r="C1337" i="3" a="1"/>
  <c r="C1337" i="3" s="1"/>
  <c r="D1337" i="3" a="1"/>
  <c r="D1337" i="3" s="1"/>
  <c r="E1337" i="3" a="1"/>
  <c r="E1337" i="3" s="1"/>
  <c r="F1337" i="3" a="1"/>
  <c r="F1337" i="3" s="1"/>
  <c r="G1337" i="3" a="1"/>
  <c r="G1337" i="3" s="1"/>
  <c r="J1337" i="3" a="1"/>
  <c r="J1337" i="3" s="1"/>
  <c r="B1338" i="3" a="1"/>
  <c r="B1338" i="3" s="1"/>
  <c r="C1338" i="3" a="1"/>
  <c r="C1338" i="3" s="1"/>
  <c r="D1338" i="3" a="1"/>
  <c r="D1338" i="3" s="1"/>
  <c r="E1338" i="3" a="1"/>
  <c r="E1338" i="3" s="1"/>
  <c r="F1338" i="3" a="1"/>
  <c r="F1338" i="3" s="1"/>
  <c r="G1338" i="3" a="1"/>
  <c r="G1338" i="3" s="1"/>
  <c r="J1338" i="3" a="1"/>
  <c r="J1338" i="3" s="1"/>
  <c r="B1339" i="3" a="1"/>
  <c r="B1339" i="3" s="1"/>
  <c r="C1339" i="3" a="1"/>
  <c r="C1339" i="3" s="1"/>
  <c r="D1339" i="3" a="1"/>
  <c r="D1339" i="3" s="1"/>
  <c r="E1339" i="3" a="1"/>
  <c r="E1339" i="3" s="1"/>
  <c r="F1339" i="3" a="1"/>
  <c r="F1339" i="3" s="1"/>
  <c r="G1339" i="3" a="1"/>
  <c r="G1339" i="3" s="1"/>
  <c r="J1339" i="3" a="1"/>
  <c r="J1339" i="3" s="1"/>
  <c r="B1340" i="3" a="1"/>
  <c r="B1340" i="3" s="1"/>
  <c r="C1340" i="3" a="1"/>
  <c r="C1340" i="3" s="1"/>
  <c r="D1340" i="3" a="1"/>
  <c r="D1340" i="3" s="1"/>
  <c r="E1340" i="3" a="1"/>
  <c r="E1340" i="3" s="1"/>
  <c r="F1340" i="3" a="1"/>
  <c r="F1340" i="3" s="1"/>
  <c r="G1340" i="3" a="1"/>
  <c r="G1340" i="3" s="1"/>
  <c r="J1340" i="3" a="1"/>
  <c r="J1340" i="3" s="1"/>
  <c r="B1341" i="3" a="1"/>
  <c r="B1341" i="3" s="1"/>
  <c r="C1341" i="3" a="1"/>
  <c r="C1341" i="3" s="1"/>
  <c r="D1341" i="3" a="1"/>
  <c r="D1341" i="3" s="1"/>
  <c r="E1341" i="3" a="1"/>
  <c r="E1341" i="3" s="1"/>
  <c r="F1341" i="3" a="1"/>
  <c r="F1341" i="3" s="1"/>
  <c r="G1341" i="3" a="1"/>
  <c r="G1341" i="3" s="1"/>
  <c r="J1341" i="3" a="1"/>
  <c r="J1341" i="3" s="1"/>
  <c r="B1342" i="3" a="1"/>
  <c r="B1342" i="3" s="1"/>
  <c r="C1342" i="3" a="1"/>
  <c r="C1342" i="3" s="1"/>
  <c r="D1342" i="3" a="1"/>
  <c r="D1342" i="3" s="1"/>
  <c r="E1342" i="3" a="1"/>
  <c r="E1342" i="3" s="1"/>
  <c r="F1342" i="3" a="1"/>
  <c r="F1342" i="3" s="1"/>
  <c r="G1342" i="3" a="1"/>
  <c r="G1342" i="3" s="1"/>
  <c r="J1342" i="3" a="1"/>
  <c r="J1342" i="3" s="1"/>
  <c r="B1343" i="3" a="1"/>
  <c r="B1343" i="3" s="1"/>
  <c r="C1343" i="3" a="1"/>
  <c r="C1343" i="3" s="1"/>
  <c r="D1343" i="3" a="1"/>
  <c r="D1343" i="3" s="1"/>
  <c r="E1343" i="3" a="1"/>
  <c r="E1343" i="3" s="1"/>
  <c r="F1343" i="3" a="1"/>
  <c r="F1343" i="3" s="1"/>
  <c r="G1343" i="3" a="1"/>
  <c r="G1343" i="3" s="1"/>
  <c r="J1343" i="3" a="1"/>
  <c r="J1343" i="3" s="1"/>
  <c r="B1344" i="3" a="1"/>
  <c r="B1344" i="3" s="1"/>
  <c r="C1344" i="3" a="1"/>
  <c r="C1344" i="3" s="1"/>
  <c r="D1344" i="3" a="1"/>
  <c r="D1344" i="3" s="1"/>
  <c r="E1344" i="3" a="1"/>
  <c r="E1344" i="3" s="1"/>
  <c r="F1344" i="3" a="1"/>
  <c r="F1344" i="3" s="1"/>
  <c r="G1344" i="3" a="1"/>
  <c r="G1344" i="3" s="1"/>
  <c r="J1344" i="3" a="1"/>
  <c r="J1344" i="3" s="1"/>
  <c r="B1345" i="3" a="1"/>
  <c r="B1345" i="3" s="1"/>
  <c r="C1345" i="3" a="1"/>
  <c r="C1345" i="3" s="1"/>
  <c r="D1345" i="3" a="1"/>
  <c r="D1345" i="3" s="1"/>
  <c r="E1345" i="3" a="1"/>
  <c r="E1345" i="3" s="1"/>
  <c r="F1345" i="3" a="1"/>
  <c r="F1345" i="3" s="1"/>
  <c r="G1345" i="3" a="1"/>
  <c r="G1345" i="3" s="1"/>
  <c r="J1345" i="3" a="1"/>
  <c r="J1345" i="3" s="1"/>
  <c r="B1346" i="3" a="1"/>
  <c r="B1346" i="3" s="1"/>
  <c r="C1346" i="3" a="1"/>
  <c r="C1346" i="3" s="1"/>
  <c r="D1346" i="3" a="1"/>
  <c r="D1346" i="3" s="1"/>
  <c r="E1346" i="3" a="1"/>
  <c r="E1346" i="3" s="1"/>
  <c r="F1346" i="3" a="1"/>
  <c r="F1346" i="3" s="1"/>
  <c r="G1346" i="3" a="1"/>
  <c r="G1346" i="3" s="1"/>
  <c r="J1346" i="3" a="1"/>
  <c r="J1346" i="3" s="1"/>
  <c r="B1347" i="3" a="1"/>
  <c r="B1347" i="3" s="1"/>
  <c r="C1347" i="3" a="1"/>
  <c r="C1347" i="3" s="1"/>
  <c r="D1347" i="3" a="1"/>
  <c r="D1347" i="3" s="1"/>
  <c r="E1347" i="3" a="1"/>
  <c r="E1347" i="3" s="1"/>
  <c r="F1347" i="3" a="1"/>
  <c r="F1347" i="3" s="1"/>
  <c r="G1347" i="3" a="1"/>
  <c r="G1347" i="3" s="1"/>
  <c r="J1347" i="3" a="1"/>
  <c r="J1347" i="3" s="1"/>
  <c r="B1348" i="3" a="1"/>
  <c r="B1348" i="3" s="1"/>
  <c r="C1348" i="3" a="1"/>
  <c r="C1348" i="3" s="1"/>
  <c r="D1348" i="3" a="1"/>
  <c r="D1348" i="3" s="1"/>
  <c r="E1348" i="3" a="1"/>
  <c r="E1348" i="3" s="1"/>
  <c r="F1348" i="3" a="1"/>
  <c r="F1348" i="3" s="1"/>
  <c r="G1348" i="3" a="1"/>
  <c r="G1348" i="3" s="1"/>
  <c r="J1348" i="3" a="1"/>
  <c r="J1348" i="3" s="1"/>
  <c r="B1349" i="3" a="1"/>
  <c r="B1349" i="3" s="1"/>
  <c r="C1349" i="3" a="1"/>
  <c r="C1349" i="3" s="1"/>
  <c r="D1349" i="3" a="1"/>
  <c r="D1349" i="3" s="1"/>
  <c r="E1349" i="3" a="1"/>
  <c r="E1349" i="3" s="1"/>
  <c r="F1349" i="3" a="1"/>
  <c r="F1349" i="3" s="1"/>
  <c r="G1349" i="3" a="1"/>
  <c r="G1349" i="3" s="1"/>
  <c r="J1349" i="3" a="1"/>
  <c r="J1349" i="3" s="1"/>
  <c r="B1350" i="3" a="1"/>
  <c r="B1350" i="3" s="1"/>
  <c r="C1350" i="3" a="1"/>
  <c r="C1350" i="3" s="1"/>
  <c r="D1350" i="3" a="1"/>
  <c r="D1350" i="3" s="1"/>
  <c r="E1350" i="3" a="1"/>
  <c r="E1350" i="3" s="1"/>
  <c r="F1350" i="3" a="1"/>
  <c r="F1350" i="3" s="1"/>
  <c r="G1350" i="3" a="1"/>
  <c r="G1350" i="3" s="1"/>
  <c r="J1350" i="3" a="1"/>
  <c r="J1350" i="3" s="1"/>
  <c r="B1351" i="3" a="1"/>
  <c r="B1351" i="3" s="1"/>
  <c r="C1351" i="3" a="1"/>
  <c r="C1351" i="3" s="1"/>
  <c r="D1351" i="3" a="1"/>
  <c r="D1351" i="3" s="1"/>
  <c r="E1351" i="3" a="1"/>
  <c r="E1351" i="3" s="1"/>
  <c r="F1351" i="3" a="1"/>
  <c r="F1351" i="3" s="1"/>
  <c r="G1351" i="3" a="1"/>
  <c r="G1351" i="3" s="1"/>
  <c r="J1351" i="3" a="1"/>
  <c r="J1351" i="3" s="1"/>
  <c r="B1352" i="3" a="1"/>
  <c r="B1352" i="3" s="1"/>
  <c r="C1352" i="3" a="1"/>
  <c r="C1352" i="3" s="1"/>
  <c r="D1352" i="3" a="1"/>
  <c r="D1352" i="3" s="1"/>
  <c r="E1352" i="3" a="1"/>
  <c r="E1352" i="3" s="1"/>
  <c r="F1352" i="3" a="1"/>
  <c r="F1352" i="3" s="1"/>
  <c r="G1352" i="3" a="1"/>
  <c r="G1352" i="3" s="1"/>
  <c r="J1352" i="3" a="1"/>
  <c r="J1352" i="3" s="1"/>
  <c r="B1353" i="3" a="1"/>
  <c r="B1353" i="3" s="1"/>
  <c r="C1353" i="3" a="1"/>
  <c r="C1353" i="3" s="1"/>
  <c r="D1353" i="3" a="1"/>
  <c r="D1353" i="3" s="1"/>
  <c r="E1353" i="3" a="1"/>
  <c r="E1353" i="3" s="1"/>
  <c r="F1353" i="3" a="1"/>
  <c r="F1353" i="3" s="1"/>
  <c r="G1353" i="3" a="1"/>
  <c r="G1353" i="3" s="1"/>
  <c r="J1353" i="3" a="1"/>
  <c r="J1353" i="3" s="1"/>
  <c r="B1354" i="3" a="1"/>
  <c r="B1354" i="3" s="1"/>
  <c r="C1354" i="3" a="1"/>
  <c r="C1354" i="3" s="1"/>
  <c r="D1354" i="3" a="1"/>
  <c r="D1354" i="3" s="1"/>
  <c r="E1354" i="3" a="1"/>
  <c r="E1354" i="3" s="1"/>
  <c r="F1354" i="3" a="1"/>
  <c r="F1354" i="3" s="1"/>
  <c r="G1354" i="3" a="1"/>
  <c r="G1354" i="3" s="1"/>
  <c r="J1354" i="3" a="1"/>
  <c r="J1354" i="3" s="1"/>
  <c r="B1355" i="3" a="1"/>
  <c r="B1355" i="3" s="1"/>
  <c r="C1355" i="3" a="1"/>
  <c r="C1355" i="3" s="1"/>
  <c r="D1355" i="3" a="1"/>
  <c r="D1355" i="3" s="1"/>
  <c r="E1355" i="3" a="1"/>
  <c r="E1355" i="3" s="1"/>
  <c r="F1355" i="3" a="1"/>
  <c r="F1355" i="3" s="1"/>
  <c r="G1355" i="3" a="1"/>
  <c r="G1355" i="3" s="1"/>
  <c r="J1355" i="3" a="1"/>
  <c r="J1355" i="3" s="1"/>
  <c r="B1356" i="3" a="1"/>
  <c r="B1356" i="3" s="1"/>
  <c r="C1356" i="3" a="1"/>
  <c r="C1356" i="3" s="1"/>
  <c r="D1356" i="3" a="1"/>
  <c r="D1356" i="3" s="1"/>
  <c r="E1356" i="3" a="1"/>
  <c r="E1356" i="3" s="1"/>
  <c r="F1356" i="3" a="1"/>
  <c r="F1356" i="3" s="1"/>
  <c r="G1356" i="3" a="1"/>
  <c r="G1356" i="3" s="1"/>
  <c r="J1356" i="3" a="1"/>
  <c r="J1356" i="3" s="1"/>
  <c r="B1357" i="3" a="1"/>
  <c r="B1357" i="3" s="1"/>
  <c r="C1357" i="3" a="1"/>
  <c r="C1357" i="3" s="1"/>
  <c r="D1357" i="3" a="1"/>
  <c r="D1357" i="3" s="1"/>
  <c r="E1357" i="3" a="1"/>
  <c r="E1357" i="3" s="1"/>
  <c r="F1357" i="3" a="1"/>
  <c r="F1357" i="3" s="1"/>
  <c r="G1357" i="3" a="1"/>
  <c r="G1357" i="3" s="1"/>
  <c r="J1357" i="3" a="1"/>
  <c r="J1357" i="3" s="1"/>
  <c r="B1358" i="3" a="1"/>
  <c r="B1358" i="3" s="1"/>
  <c r="C1358" i="3" a="1"/>
  <c r="C1358" i="3" s="1"/>
  <c r="D1358" i="3" a="1"/>
  <c r="D1358" i="3" s="1"/>
  <c r="E1358" i="3" a="1"/>
  <c r="E1358" i="3" s="1"/>
  <c r="F1358" i="3" a="1"/>
  <c r="F1358" i="3" s="1"/>
  <c r="G1358" i="3" a="1"/>
  <c r="G1358" i="3" s="1"/>
  <c r="J1358" i="3" a="1"/>
  <c r="J1358" i="3" s="1"/>
  <c r="B1359" i="3" a="1"/>
  <c r="B1359" i="3" s="1"/>
  <c r="C1359" i="3" a="1"/>
  <c r="C1359" i="3" s="1"/>
  <c r="D1359" i="3" a="1"/>
  <c r="D1359" i="3" s="1"/>
  <c r="E1359" i="3" a="1"/>
  <c r="E1359" i="3" s="1"/>
  <c r="F1359" i="3" a="1"/>
  <c r="F1359" i="3" s="1"/>
  <c r="G1359" i="3" a="1"/>
  <c r="G1359" i="3" s="1"/>
  <c r="J1359" i="3" a="1"/>
  <c r="J1359" i="3" s="1"/>
  <c r="B1360" i="3" a="1"/>
  <c r="B1360" i="3" s="1"/>
  <c r="C1360" i="3" a="1"/>
  <c r="C1360" i="3" s="1"/>
  <c r="D1360" i="3" a="1"/>
  <c r="D1360" i="3" s="1"/>
  <c r="E1360" i="3" a="1"/>
  <c r="E1360" i="3" s="1"/>
  <c r="F1360" i="3" a="1"/>
  <c r="F1360" i="3" s="1"/>
  <c r="G1360" i="3" a="1"/>
  <c r="G1360" i="3" s="1"/>
  <c r="J1360" i="3" a="1"/>
  <c r="J1360" i="3" s="1"/>
  <c r="B1361" i="3" a="1"/>
  <c r="B1361" i="3" s="1"/>
  <c r="C1361" i="3" a="1"/>
  <c r="C1361" i="3" s="1"/>
  <c r="D1361" i="3" a="1"/>
  <c r="D1361" i="3" s="1"/>
  <c r="E1361" i="3" a="1"/>
  <c r="E1361" i="3" s="1"/>
  <c r="F1361" i="3" a="1"/>
  <c r="F1361" i="3" s="1"/>
  <c r="G1361" i="3" a="1"/>
  <c r="G1361" i="3" s="1"/>
  <c r="J1361" i="3" a="1"/>
  <c r="J1361" i="3" s="1"/>
  <c r="B1362" i="3" a="1"/>
  <c r="B1362" i="3" s="1"/>
  <c r="C1362" i="3" a="1"/>
  <c r="C1362" i="3" s="1"/>
  <c r="D1362" i="3" a="1"/>
  <c r="D1362" i="3" s="1"/>
  <c r="E1362" i="3" a="1"/>
  <c r="E1362" i="3" s="1"/>
  <c r="F1362" i="3" a="1"/>
  <c r="F1362" i="3" s="1"/>
  <c r="G1362" i="3" a="1"/>
  <c r="G1362" i="3" s="1"/>
  <c r="J1362" i="3" a="1"/>
  <c r="J1362" i="3" s="1"/>
  <c r="B1363" i="3" a="1"/>
  <c r="B1363" i="3" s="1"/>
  <c r="C1363" i="3" a="1"/>
  <c r="C1363" i="3" s="1"/>
  <c r="D1363" i="3" a="1"/>
  <c r="D1363" i="3" s="1"/>
  <c r="E1363" i="3" a="1"/>
  <c r="E1363" i="3" s="1"/>
  <c r="F1363" i="3" a="1"/>
  <c r="F1363" i="3" s="1"/>
  <c r="G1363" i="3" a="1"/>
  <c r="G1363" i="3" s="1"/>
  <c r="J1363" i="3" a="1"/>
  <c r="J1363" i="3" s="1"/>
  <c r="B1364" i="3" a="1"/>
  <c r="B1364" i="3" s="1"/>
  <c r="C1364" i="3" a="1"/>
  <c r="C1364" i="3" s="1"/>
  <c r="D1364" i="3" a="1"/>
  <c r="D1364" i="3" s="1"/>
  <c r="E1364" i="3" a="1"/>
  <c r="E1364" i="3" s="1"/>
  <c r="F1364" i="3" a="1"/>
  <c r="F1364" i="3" s="1"/>
  <c r="G1364" i="3" a="1"/>
  <c r="G1364" i="3" s="1"/>
  <c r="J1364" i="3" a="1"/>
  <c r="J1364" i="3" s="1"/>
  <c r="B1365" i="3" a="1"/>
  <c r="B1365" i="3" s="1"/>
  <c r="C1365" i="3" a="1"/>
  <c r="C1365" i="3" s="1"/>
  <c r="D1365" i="3" a="1"/>
  <c r="D1365" i="3" s="1"/>
  <c r="E1365" i="3" a="1"/>
  <c r="E1365" i="3" s="1"/>
  <c r="F1365" i="3" a="1"/>
  <c r="F1365" i="3" s="1"/>
  <c r="G1365" i="3" a="1"/>
  <c r="G1365" i="3" s="1"/>
  <c r="J1365" i="3" a="1"/>
  <c r="J1365" i="3" s="1"/>
  <c r="B1366" i="3" a="1"/>
  <c r="B1366" i="3" s="1"/>
  <c r="C1366" i="3" a="1"/>
  <c r="C1366" i="3" s="1"/>
  <c r="D1366" i="3" a="1"/>
  <c r="D1366" i="3" s="1"/>
  <c r="E1366" i="3" a="1"/>
  <c r="E1366" i="3" s="1"/>
  <c r="F1366" i="3" a="1"/>
  <c r="F1366" i="3" s="1"/>
  <c r="G1366" i="3" a="1"/>
  <c r="G1366" i="3" s="1"/>
  <c r="J1366" i="3" a="1"/>
  <c r="J1366" i="3" s="1"/>
  <c r="B1367" i="3" a="1"/>
  <c r="B1367" i="3" s="1"/>
  <c r="C1367" i="3" a="1"/>
  <c r="C1367" i="3" s="1"/>
  <c r="D1367" i="3" a="1"/>
  <c r="D1367" i="3" s="1"/>
  <c r="E1367" i="3" a="1"/>
  <c r="E1367" i="3" s="1"/>
  <c r="F1367" i="3" a="1"/>
  <c r="F1367" i="3" s="1"/>
  <c r="G1367" i="3" a="1"/>
  <c r="G1367" i="3" s="1"/>
  <c r="J1367" i="3" a="1"/>
  <c r="J1367" i="3" s="1"/>
  <c r="B1368" i="3" a="1"/>
  <c r="B1368" i="3" s="1"/>
  <c r="C1368" i="3" a="1"/>
  <c r="C1368" i="3" s="1"/>
  <c r="D1368" i="3" a="1"/>
  <c r="D1368" i="3" s="1"/>
  <c r="E1368" i="3" a="1"/>
  <c r="E1368" i="3" s="1"/>
  <c r="F1368" i="3" a="1"/>
  <c r="F1368" i="3" s="1"/>
  <c r="G1368" i="3" a="1"/>
  <c r="G1368" i="3" s="1"/>
  <c r="J1368" i="3" a="1"/>
  <c r="J1368" i="3" s="1"/>
  <c r="B1369" i="3" a="1"/>
  <c r="B1369" i="3" s="1"/>
  <c r="C1369" i="3" a="1"/>
  <c r="C1369" i="3" s="1"/>
  <c r="D1369" i="3" a="1"/>
  <c r="D1369" i="3" s="1"/>
  <c r="E1369" i="3" a="1"/>
  <c r="E1369" i="3" s="1"/>
  <c r="F1369" i="3" a="1"/>
  <c r="F1369" i="3" s="1"/>
  <c r="G1369" i="3" a="1"/>
  <c r="G1369" i="3" s="1"/>
  <c r="J1369" i="3" a="1"/>
  <c r="J1369" i="3" s="1"/>
  <c r="B1370" i="3" a="1"/>
  <c r="B1370" i="3" s="1"/>
  <c r="C1370" i="3" a="1"/>
  <c r="C1370" i="3" s="1"/>
  <c r="D1370" i="3" a="1"/>
  <c r="D1370" i="3" s="1"/>
  <c r="E1370" i="3" a="1"/>
  <c r="E1370" i="3" s="1"/>
  <c r="F1370" i="3" a="1"/>
  <c r="F1370" i="3" s="1"/>
  <c r="G1370" i="3" a="1"/>
  <c r="G1370" i="3" s="1"/>
  <c r="J1370" i="3" a="1"/>
  <c r="J1370" i="3" s="1"/>
  <c r="B1371" i="3" a="1"/>
  <c r="B1371" i="3" s="1"/>
  <c r="C1371" i="3" a="1"/>
  <c r="C1371" i="3" s="1"/>
  <c r="D1371" i="3" a="1"/>
  <c r="D1371" i="3" s="1"/>
  <c r="E1371" i="3" a="1"/>
  <c r="E1371" i="3" s="1"/>
  <c r="F1371" i="3" a="1"/>
  <c r="F1371" i="3" s="1"/>
  <c r="G1371" i="3" a="1"/>
  <c r="G1371" i="3" s="1"/>
  <c r="J1371" i="3" a="1"/>
  <c r="J1371" i="3" s="1"/>
  <c r="B1372" i="3" a="1"/>
  <c r="B1372" i="3" s="1"/>
  <c r="C1372" i="3" a="1"/>
  <c r="C1372" i="3" s="1"/>
  <c r="D1372" i="3" a="1"/>
  <c r="D1372" i="3" s="1"/>
  <c r="E1372" i="3" a="1"/>
  <c r="E1372" i="3" s="1"/>
  <c r="F1372" i="3" a="1"/>
  <c r="F1372" i="3" s="1"/>
  <c r="G1372" i="3" a="1"/>
  <c r="G1372" i="3" s="1"/>
  <c r="J1372" i="3" a="1"/>
  <c r="J1372" i="3" s="1"/>
  <c r="B1373" i="3" a="1"/>
  <c r="B1373" i="3" s="1"/>
  <c r="C1373" i="3" a="1"/>
  <c r="C1373" i="3" s="1"/>
  <c r="D1373" i="3" a="1"/>
  <c r="D1373" i="3" s="1"/>
  <c r="E1373" i="3" a="1"/>
  <c r="E1373" i="3" s="1"/>
  <c r="F1373" i="3" a="1"/>
  <c r="F1373" i="3" s="1"/>
  <c r="G1373" i="3" a="1"/>
  <c r="G1373" i="3" s="1"/>
  <c r="J1373" i="3" a="1"/>
  <c r="J1373" i="3" s="1"/>
  <c r="B1374" i="3" a="1"/>
  <c r="B1374" i="3" s="1"/>
  <c r="C1374" i="3" a="1"/>
  <c r="C1374" i="3" s="1"/>
  <c r="D1374" i="3" a="1"/>
  <c r="D1374" i="3" s="1"/>
  <c r="E1374" i="3" a="1"/>
  <c r="E1374" i="3" s="1"/>
  <c r="F1374" i="3" a="1"/>
  <c r="F1374" i="3" s="1"/>
  <c r="G1374" i="3" a="1"/>
  <c r="G1374" i="3" s="1"/>
  <c r="J1374" i="3" a="1"/>
  <c r="J1374" i="3" s="1"/>
  <c r="B1375" i="3" a="1"/>
  <c r="B1375" i="3" s="1"/>
  <c r="C1375" i="3" a="1"/>
  <c r="C1375" i="3" s="1"/>
  <c r="D1375" i="3" a="1"/>
  <c r="D1375" i="3" s="1"/>
  <c r="E1375" i="3" a="1"/>
  <c r="E1375" i="3" s="1"/>
  <c r="F1375" i="3" a="1"/>
  <c r="F1375" i="3" s="1"/>
  <c r="G1375" i="3" a="1"/>
  <c r="G1375" i="3" s="1"/>
  <c r="J1375" i="3" a="1"/>
  <c r="J1375" i="3" s="1"/>
  <c r="B1376" i="3" a="1"/>
  <c r="B1376" i="3" s="1"/>
  <c r="C1376" i="3" a="1"/>
  <c r="C1376" i="3" s="1"/>
  <c r="D1376" i="3" a="1"/>
  <c r="D1376" i="3" s="1"/>
  <c r="E1376" i="3" a="1"/>
  <c r="E1376" i="3" s="1"/>
  <c r="F1376" i="3" a="1"/>
  <c r="F1376" i="3" s="1"/>
  <c r="G1376" i="3" a="1"/>
  <c r="G1376" i="3" s="1"/>
  <c r="J1376" i="3" a="1"/>
  <c r="J1376" i="3" s="1"/>
  <c r="B1377" i="3" a="1"/>
  <c r="B1377" i="3" s="1"/>
  <c r="C1377" i="3" a="1"/>
  <c r="C1377" i="3" s="1"/>
  <c r="D1377" i="3" a="1"/>
  <c r="D1377" i="3" s="1"/>
  <c r="E1377" i="3" a="1"/>
  <c r="E1377" i="3" s="1"/>
  <c r="F1377" i="3" a="1"/>
  <c r="F1377" i="3" s="1"/>
  <c r="G1377" i="3" a="1"/>
  <c r="G1377" i="3" s="1"/>
  <c r="J1377" i="3" a="1"/>
  <c r="J1377" i="3" s="1"/>
  <c r="B1378" i="3" a="1"/>
  <c r="B1378" i="3" s="1"/>
  <c r="C1378" i="3" a="1"/>
  <c r="C1378" i="3" s="1"/>
  <c r="D1378" i="3" a="1"/>
  <c r="D1378" i="3" s="1"/>
  <c r="E1378" i="3" a="1"/>
  <c r="E1378" i="3" s="1"/>
  <c r="F1378" i="3" a="1"/>
  <c r="F1378" i="3" s="1"/>
  <c r="G1378" i="3" a="1"/>
  <c r="G1378" i="3" s="1"/>
  <c r="J1378" i="3" a="1"/>
  <c r="J1378" i="3" s="1"/>
  <c r="B1379" i="3" a="1"/>
  <c r="B1379" i="3" s="1"/>
  <c r="C1379" i="3" a="1"/>
  <c r="C1379" i="3" s="1"/>
  <c r="D1379" i="3" a="1"/>
  <c r="D1379" i="3" s="1"/>
  <c r="E1379" i="3" a="1"/>
  <c r="E1379" i="3" s="1"/>
  <c r="F1379" i="3" a="1"/>
  <c r="F1379" i="3" s="1"/>
  <c r="G1379" i="3" a="1"/>
  <c r="G1379" i="3" s="1"/>
  <c r="J1379" i="3" a="1"/>
  <c r="J1379" i="3" s="1"/>
  <c r="B1380" i="3" a="1"/>
  <c r="B1380" i="3" s="1"/>
  <c r="C1380" i="3" a="1"/>
  <c r="C1380" i="3" s="1"/>
  <c r="D1380" i="3" a="1"/>
  <c r="D1380" i="3" s="1"/>
  <c r="E1380" i="3" a="1"/>
  <c r="E1380" i="3" s="1"/>
  <c r="F1380" i="3" a="1"/>
  <c r="F1380" i="3" s="1"/>
  <c r="G1380" i="3" a="1"/>
  <c r="G1380" i="3" s="1"/>
  <c r="J1380" i="3" a="1"/>
  <c r="J1380" i="3" s="1"/>
  <c r="B1381" i="3" a="1"/>
  <c r="B1381" i="3" s="1"/>
  <c r="C1381" i="3" a="1"/>
  <c r="C1381" i="3" s="1"/>
  <c r="D1381" i="3" a="1"/>
  <c r="D1381" i="3" s="1"/>
  <c r="E1381" i="3" a="1"/>
  <c r="E1381" i="3" s="1"/>
  <c r="F1381" i="3" a="1"/>
  <c r="F1381" i="3" s="1"/>
  <c r="G1381" i="3" a="1"/>
  <c r="G1381" i="3" s="1"/>
  <c r="J1381" i="3" a="1"/>
  <c r="J1381" i="3" s="1"/>
  <c r="B1382" i="3" a="1"/>
  <c r="B1382" i="3" s="1"/>
  <c r="C1382" i="3" a="1"/>
  <c r="C1382" i="3" s="1"/>
  <c r="D1382" i="3" a="1"/>
  <c r="D1382" i="3" s="1"/>
  <c r="E1382" i="3" a="1"/>
  <c r="E1382" i="3" s="1"/>
  <c r="F1382" i="3" a="1"/>
  <c r="F1382" i="3" s="1"/>
  <c r="G1382" i="3" a="1"/>
  <c r="G1382" i="3" s="1"/>
  <c r="J1382" i="3" a="1"/>
  <c r="J1382" i="3" s="1"/>
  <c r="B1383" i="3" a="1"/>
  <c r="B1383" i="3" s="1"/>
  <c r="C1383" i="3" a="1"/>
  <c r="C1383" i="3" s="1"/>
  <c r="D1383" i="3" a="1"/>
  <c r="D1383" i="3" s="1"/>
  <c r="E1383" i="3" a="1"/>
  <c r="E1383" i="3" s="1"/>
  <c r="F1383" i="3" a="1"/>
  <c r="F1383" i="3" s="1"/>
  <c r="G1383" i="3" a="1"/>
  <c r="G1383" i="3" s="1"/>
  <c r="J1383" i="3" a="1"/>
  <c r="J1383" i="3" s="1"/>
  <c r="B1384" i="3" a="1"/>
  <c r="B1384" i="3" s="1"/>
  <c r="C1384" i="3" a="1"/>
  <c r="C1384" i="3" s="1"/>
  <c r="D1384" i="3" a="1"/>
  <c r="D1384" i="3" s="1"/>
  <c r="E1384" i="3" a="1"/>
  <c r="E1384" i="3" s="1"/>
  <c r="F1384" i="3" a="1"/>
  <c r="F1384" i="3" s="1"/>
  <c r="G1384" i="3" a="1"/>
  <c r="G1384" i="3" s="1"/>
  <c r="J1384" i="3" a="1"/>
  <c r="J1384" i="3" s="1"/>
  <c r="B1385" i="3" a="1"/>
  <c r="B1385" i="3" s="1"/>
  <c r="C1385" i="3" a="1"/>
  <c r="C1385" i="3" s="1"/>
  <c r="D1385" i="3" a="1"/>
  <c r="D1385" i="3" s="1"/>
  <c r="E1385" i="3" a="1"/>
  <c r="E1385" i="3" s="1"/>
  <c r="F1385" i="3" a="1"/>
  <c r="F1385" i="3" s="1"/>
  <c r="G1385" i="3" a="1"/>
  <c r="G1385" i="3" s="1"/>
  <c r="J1385" i="3" a="1"/>
  <c r="J1385" i="3" s="1"/>
  <c r="B1386" i="3" a="1"/>
  <c r="B1386" i="3" s="1"/>
  <c r="C1386" i="3" a="1"/>
  <c r="C1386" i="3" s="1"/>
  <c r="D1386" i="3" a="1"/>
  <c r="D1386" i="3" s="1"/>
  <c r="E1386" i="3" a="1"/>
  <c r="E1386" i="3" s="1"/>
  <c r="F1386" i="3" a="1"/>
  <c r="F1386" i="3" s="1"/>
  <c r="G1386" i="3" a="1"/>
  <c r="G1386" i="3" s="1"/>
  <c r="J1386" i="3" a="1"/>
  <c r="J1386" i="3" s="1"/>
  <c r="B1387" i="3" a="1"/>
  <c r="B1387" i="3" s="1"/>
  <c r="C1387" i="3" a="1"/>
  <c r="C1387" i="3" s="1"/>
  <c r="D1387" i="3" a="1"/>
  <c r="D1387" i="3" s="1"/>
  <c r="E1387" i="3" a="1"/>
  <c r="E1387" i="3" s="1"/>
  <c r="F1387" i="3" a="1"/>
  <c r="F1387" i="3" s="1"/>
  <c r="G1387" i="3" a="1"/>
  <c r="G1387" i="3" s="1"/>
  <c r="J1387" i="3" a="1"/>
  <c r="J1387" i="3" s="1"/>
  <c r="B1388" i="3" a="1"/>
  <c r="B1388" i="3" s="1"/>
  <c r="C1388" i="3" a="1"/>
  <c r="C1388" i="3" s="1"/>
  <c r="D1388" i="3" a="1"/>
  <c r="D1388" i="3" s="1"/>
  <c r="E1388" i="3" a="1"/>
  <c r="E1388" i="3" s="1"/>
  <c r="F1388" i="3" a="1"/>
  <c r="F1388" i="3" s="1"/>
  <c r="G1388" i="3" a="1"/>
  <c r="G1388" i="3" s="1"/>
  <c r="J1388" i="3" a="1"/>
  <c r="J1388" i="3" s="1"/>
  <c r="B1389" i="3" a="1"/>
  <c r="B1389" i="3" s="1"/>
  <c r="C1389" i="3" a="1"/>
  <c r="C1389" i="3" s="1"/>
  <c r="D1389" i="3" a="1"/>
  <c r="D1389" i="3" s="1"/>
  <c r="E1389" i="3" a="1"/>
  <c r="E1389" i="3" s="1"/>
  <c r="F1389" i="3" a="1"/>
  <c r="F1389" i="3" s="1"/>
  <c r="G1389" i="3" a="1"/>
  <c r="G1389" i="3" s="1"/>
  <c r="J1389" i="3" a="1"/>
  <c r="J1389" i="3" s="1"/>
  <c r="B1390" i="3" a="1"/>
  <c r="B1390" i="3" s="1"/>
  <c r="C1390" i="3" a="1"/>
  <c r="C1390" i="3" s="1"/>
  <c r="D1390" i="3" a="1"/>
  <c r="D1390" i="3" s="1"/>
  <c r="E1390" i="3" a="1"/>
  <c r="E1390" i="3" s="1"/>
  <c r="F1390" i="3" a="1"/>
  <c r="F1390" i="3" s="1"/>
  <c r="G1390" i="3" a="1"/>
  <c r="G1390" i="3" s="1"/>
  <c r="J1390" i="3" a="1"/>
  <c r="J1390" i="3" s="1"/>
  <c r="B1391" i="3" a="1"/>
  <c r="B1391" i="3" s="1"/>
  <c r="C1391" i="3" a="1"/>
  <c r="C1391" i="3" s="1"/>
  <c r="D1391" i="3" a="1"/>
  <c r="D1391" i="3" s="1"/>
  <c r="E1391" i="3" a="1"/>
  <c r="E1391" i="3" s="1"/>
  <c r="F1391" i="3" a="1"/>
  <c r="F1391" i="3" s="1"/>
  <c r="G1391" i="3" a="1"/>
  <c r="G1391" i="3" s="1"/>
  <c r="J1391" i="3" a="1"/>
  <c r="J1391" i="3" s="1"/>
  <c r="B1392" i="3" a="1"/>
  <c r="B1392" i="3" s="1"/>
  <c r="C1392" i="3" a="1"/>
  <c r="C1392" i="3" s="1"/>
  <c r="D1392" i="3" a="1"/>
  <c r="D1392" i="3" s="1"/>
  <c r="E1392" i="3" a="1"/>
  <c r="E1392" i="3" s="1"/>
  <c r="F1392" i="3" a="1"/>
  <c r="F1392" i="3" s="1"/>
  <c r="G1392" i="3" a="1"/>
  <c r="G1392" i="3" s="1"/>
  <c r="J1392" i="3" a="1"/>
  <c r="J1392" i="3" s="1"/>
  <c r="B1393" i="3" a="1"/>
  <c r="B1393" i="3" s="1"/>
  <c r="C1393" i="3" a="1"/>
  <c r="C1393" i="3" s="1"/>
  <c r="D1393" i="3" a="1"/>
  <c r="D1393" i="3" s="1"/>
  <c r="E1393" i="3" a="1"/>
  <c r="E1393" i="3" s="1"/>
  <c r="F1393" i="3" a="1"/>
  <c r="F1393" i="3" s="1"/>
  <c r="G1393" i="3" a="1"/>
  <c r="G1393" i="3" s="1"/>
  <c r="J1393" i="3" a="1"/>
  <c r="J1393" i="3" s="1"/>
  <c r="B1394" i="3" a="1"/>
  <c r="B1394" i="3" s="1"/>
  <c r="C1394" i="3" a="1"/>
  <c r="C1394" i="3" s="1"/>
  <c r="D1394" i="3" a="1"/>
  <c r="D1394" i="3" s="1"/>
  <c r="E1394" i="3" a="1"/>
  <c r="E1394" i="3" s="1"/>
  <c r="F1394" i="3" a="1"/>
  <c r="F1394" i="3" s="1"/>
  <c r="G1394" i="3" a="1"/>
  <c r="G1394" i="3" s="1"/>
  <c r="J1394" i="3" a="1"/>
  <c r="J1394" i="3" s="1"/>
  <c r="B1395" i="3" a="1"/>
  <c r="B1395" i="3" s="1"/>
  <c r="C1395" i="3" a="1"/>
  <c r="C1395" i="3" s="1"/>
  <c r="D1395" i="3" a="1"/>
  <c r="D1395" i="3" s="1"/>
  <c r="E1395" i="3" a="1"/>
  <c r="E1395" i="3" s="1"/>
  <c r="F1395" i="3" a="1"/>
  <c r="F1395" i="3" s="1"/>
  <c r="G1395" i="3" a="1"/>
  <c r="G1395" i="3" s="1"/>
  <c r="J1395" i="3" a="1"/>
  <c r="J1395" i="3" s="1"/>
  <c r="B1396" i="3" a="1"/>
  <c r="B1396" i="3" s="1"/>
  <c r="C1396" i="3" a="1"/>
  <c r="C1396" i="3" s="1"/>
  <c r="D1396" i="3" a="1"/>
  <c r="D1396" i="3" s="1"/>
  <c r="E1396" i="3" a="1"/>
  <c r="E1396" i="3" s="1"/>
  <c r="F1396" i="3" a="1"/>
  <c r="F1396" i="3" s="1"/>
  <c r="G1396" i="3" a="1"/>
  <c r="G1396" i="3" s="1"/>
  <c r="J1396" i="3" a="1"/>
  <c r="J1396" i="3" s="1"/>
  <c r="B1397" i="3" a="1"/>
  <c r="B1397" i="3" s="1"/>
  <c r="C1397" i="3" a="1"/>
  <c r="C1397" i="3" s="1"/>
  <c r="D1397" i="3" a="1"/>
  <c r="D1397" i="3" s="1"/>
  <c r="E1397" i="3" a="1"/>
  <c r="E1397" i="3" s="1"/>
  <c r="F1397" i="3" a="1"/>
  <c r="F1397" i="3" s="1"/>
  <c r="G1397" i="3" a="1"/>
  <c r="G1397" i="3" s="1"/>
  <c r="J1397" i="3" a="1"/>
  <c r="J1397" i="3" s="1"/>
  <c r="B1398" i="3" a="1"/>
  <c r="B1398" i="3" s="1"/>
  <c r="C1398" i="3" a="1"/>
  <c r="C1398" i="3" s="1"/>
  <c r="D1398" i="3" a="1"/>
  <c r="D1398" i="3" s="1"/>
  <c r="E1398" i="3" a="1"/>
  <c r="E1398" i="3" s="1"/>
  <c r="F1398" i="3" a="1"/>
  <c r="F1398" i="3" s="1"/>
  <c r="G1398" i="3" a="1"/>
  <c r="G1398" i="3" s="1"/>
  <c r="J1398" i="3" a="1"/>
  <c r="J1398" i="3" s="1"/>
  <c r="B1399" i="3" a="1"/>
  <c r="B1399" i="3" s="1"/>
  <c r="C1399" i="3" a="1"/>
  <c r="C1399" i="3" s="1"/>
  <c r="D1399" i="3" a="1"/>
  <c r="D1399" i="3" s="1"/>
  <c r="E1399" i="3" a="1"/>
  <c r="E1399" i="3" s="1"/>
  <c r="F1399" i="3" a="1"/>
  <c r="F1399" i="3" s="1"/>
  <c r="G1399" i="3" a="1"/>
  <c r="G1399" i="3" s="1"/>
  <c r="J1399" i="3" a="1"/>
  <c r="J1399" i="3" s="1"/>
  <c r="B1400" i="3" a="1"/>
  <c r="B1400" i="3" s="1"/>
  <c r="C1400" i="3" a="1"/>
  <c r="C1400" i="3" s="1"/>
  <c r="D1400" i="3" a="1"/>
  <c r="D1400" i="3" s="1"/>
  <c r="E1400" i="3" a="1"/>
  <c r="E1400" i="3" s="1"/>
  <c r="F1400" i="3" a="1"/>
  <c r="F1400" i="3" s="1"/>
  <c r="G1400" i="3" a="1"/>
  <c r="G1400" i="3" s="1"/>
  <c r="J1400" i="3" a="1"/>
  <c r="J1400" i="3" s="1"/>
  <c r="B1401" i="3" a="1"/>
  <c r="B1401" i="3" s="1"/>
  <c r="C1401" i="3" a="1"/>
  <c r="C1401" i="3" s="1"/>
  <c r="D1401" i="3" a="1"/>
  <c r="D1401" i="3" s="1"/>
  <c r="E1401" i="3" a="1"/>
  <c r="E1401" i="3" s="1"/>
  <c r="F1401" i="3" a="1"/>
  <c r="F1401" i="3" s="1"/>
  <c r="G1401" i="3" a="1"/>
  <c r="G1401" i="3" s="1"/>
  <c r="J1401" i="3" a="1"/>
  <c r="J1401" i="3" s="1"/>
  <c r="B1402" i="3" a="1"/>
  <c r="B1402" i="3" s="1"/>
  <c r="C1402" i="3" a="1"/>
  <c r="C1402" i="3" s="1"/>
  <c r="D1402" i="3" a="1"/>
  <c r="D1402" i="3" s="1"/>
  <c r="E1402" i="3" a="1"/>
  <c r="E1402" i="3" s="1"/>
  <c r="F1402" i="3" a="1"/>
  <c r="F1402" i="3" s="1"/>
  <c r="G1402" i="3" a="1"/>
  <c r="G1402" i="3" s="1"/>
  <c r="J1402" i="3" a="1"/>
  <c r="J1402" i="3" s="1"/>
  <c r="B1403" i="3" a="1"/>
  <c r="B1403" i="3" s="1"/>
  <c r="C1403" i="3" a="1"/>
  <c r="C1403" i="3" s="1"/>
  <c r="D1403" i="3" a="1"/>
  <c r="D1403" i="3" s="1"/>
  <c r="E1403" i="3" a="1"/>
  <c r="E1403" i="3" s="1"/>
  <c r="F1403" i="3" a="1"/>
  <c r="F1403" i="3" s="1"/>
  <c r="G1403" i="3" a="1"/>
  <c r="G1403" i="3" s="1"/>
  <c r="J1403" i="3" a="1"/>
  <c r="J1403" i="3" s="1"/>
  <c r="B1404" i="3" a="1"/>
  <c r="B1404" i="3" s="1"/>
  <c r="C1404" i="3" a="1"/>
  <c r="C1404" i="3" s="1"/>
  <c r="D1404" i="3" a="1"/>
  <c r="D1404" i="3" s="1"/>
  <c r="E1404" i="3" a="1"/>
  <c r="E1404" i="3" s="1"/>
  <c r="F1404" i="3" a="1"/>
  <c r="F1404" i="3" s="1"/>
  <c r="G1404" i="3" a="1"/>
  <c r="G1404" i="3" s="1"/>
  <c r="J1404" i="3" a="1"/>
  <c r="J1404" i="3" s="1"/>
  <c r="B1405" i="3" a="1"/>
  <c r="B1405" i="3" s="1"/>
  <c r="C1405" i="3" a="1"/>
  <c r="C1405" i="3" s="1"/>
  <c r="D1405" i="3" a="1"/>
  <c r="D1405" i="3" s="1"/>
  <c r="E1405" i="3" a="1"/>
  <c r="E1405" i="3" s="1"/>
  <c r="F1405" i="3" a="1"/>
  <c r="F1405" i="3" s="1"/>
  <c r="G1405" i="3" a="1"/>
  <c r="G1405" i="3" s="1"/>
  <c r="J1405" i="3" a="1"/>
  <c r="J1405" i="3" s="1"/>
  <c r="B1406" i="3" a="1"/>
  <c r="B1406" i="3" s="1"/>
  <c r="C1406" i="3" a="1"/>
  <c r="C1406" i="3" s="1"/>
  <c r="D1406" i="3" a="1"/>
  <c r="D1406" i="3" s="1"/>
  <c r="E1406" i="3" a="1"/>
  <c r="E1406" i="3" s="1"/>
  <c r="F1406" i="3" a="1"/>
  <c r="F1406" i="3" s="1"/>
  <c r="G1406" i="3" a="1"/>
  <c r="G1406" i="3" s="1"/>
  <c r="J1406" i="3" a="1"/>
  <c r="J1406" i="3" s="1"/>
  <c r="B1407" i="3" a="1"/>
  <c r="B1407" i="3" s="1"/>
  <c r="C1407" i="3" a="1"/>
  <c r="C1407" i="3" s="1"/>
  <c r="D1407" i="3" a="1"/>
  <c r="D1407" i="3" s="1"/>
  <c r="E1407" i="3" a="1"/>
  <c r="E1407" i="3" s="1"/>
  <c r="F1407" i="3" a="1"/>
  <c r="F1407" i="3" s="1"/>
  <c r="G1407" i="3" a="1"/>
  <c r="G1407" i="3" s="1"/>
  <c r="J1407" i="3" a="1"/>
  <c r="J1407" i="3" s="1"/>
  <c r="B1408" i="3" a="1"/>
  <c r="B1408" i="3" s="1"/>
  <c r="C1408" i="3" a="1"/>
  <c r="C1408" i="3" s="1"/>
  <c r="D1408" i="3" a="1"/>
  <c r="D1408" i="3" s="1"/>
  <c r="E1408" i="3" a="1"/>
  <c r="E1408" i="3" s="1"/>
  <c r="F1408" i="3" a="1"/>
  <c r="F1408" i="3" s="1"/>
  <c r="G1408" i="3" a="1"/>
  <c r="G1408" i="3" s="1"/>
  <c r="J1408" i="3" a="1"/>
  <c r="J1408" i="3" s="1"/>
  <c r="B1409" i="3" a="1"/>
  <c r="B1409" i="3" s="1"/>
  <c r="C1409" i="3" a="1"/>
  <c r="C1409" i="3" s="1"/>
  <c r="D1409" i="3" a="1"/>
  <c r="D1409" i="3" s="1"/>
  <c r="E1409" i="3" a="1"/>
  <c r="E1409" i="3" s="1"/>
  <c r="F1409" i="3" a="1"/>
  <c r="F1409" i="3" s="1"/>
  <c r="G1409" i="3" a="1"/>
  <c r="G1409" i="3" s="1"/>
  <c r="J1409" i="3" a="1"/>
  <c r="J1409" i="3" s="1"/>
  <c r="B1410" i="3" a="1"/>
  <c r="B1410" i="3" s="1"/>
  <c r="C1410" i="3" a="1"/>
  <c r="C1410" i="3" s="1"/>
  <c r="D1410" i="3" a="1"/>
  <c r="D1410" i="3" s="1"/>
  <c r="E1410" i="3" a="1"/>
  <c r="E1410" i="3" s="1"/>
  <c r="F1410" i="3" a="1"/>
  <c r="F1410" i="3" s="1"/>
  <c r="G1410" i="3" a="1"/>
  <c r="G1410" i="3" s="1"/>
  <c r="J1410" i="3" a="1"/>
  <c r="J1410" i="3" s="1"/>
  <c r="B1411" i="3" a="1"/>
  <c r="B1411" i="3" s="1"/>
  <c r="C1411" i="3" a="1"/>
  <c r="C1411" i="3" s="1"/>
  <c r="D1411" i="3" a="1"/>
  <c r="D1411" i="3" s="1"/>
  <c r="E1411" i="3" a="1"/>
  <c r="E1411" i="3" s="1"/>
  <c r="F1411" i="3" a="1"/>
  <c r="F1411" i="3" s="1"/>
  <c r="G1411" i="3" a="1"/>
  <c r="G1411" i="3" s="1"/>
  <c r="J1411" i="3" a="1"/>
  <c r="J1411" i="3" s="1"/>
  <c r="B1412" i="3" a="1"/>
  <c r="B1412" i="3" s="1"/>
  <c r="C1412" i="3" a="1"/>
  <c r="C1412" i="3" s="1"/>
  <c r="D1412" i="3" a="1"/>
  <c r="D1412" i="3" s="1"/>
  <c r="E1412" i="3" a="1"/>
  <c r="E1412" i="3" s="1"/>
  <c r="F1412" i="3" a="1"/>
  <c r="F1412" i="3" s="1"/>
  <c r="G1412" i="3" a="1"/>
  <c r="G1412" i="3" s="1"/>
  <c r="J1412" i="3" a="1"/>
  <c r="J1412" i="3" s="1"/>
  <c r="B1413" i="3" a="1"/>
  <c r="B1413" i="3" s="1"/>
  <c r="C1413" i="3" a="1"/>
  <c r="C1413" i="3" s="1"/>
  <c r="D1413" i="3" a="1"/>
  <c r="D1413" i="3" s="1"/>
  <c r="E1413" i="3" a="1"/>
  <c r="E1413" i="3" s="1"/>
  <c r="F1413" i="3" a="1"/>
  <c r="F1413" i="3" s="1"/>
  <c r="G1413" i="3" a="1"/>
  <c r="G1413" i="3" s="1"/>
  <c r="J1413" i="3" a="1"/>
  <c r="J1413" i="3" s="1"/>
  <c r="B1414" i="3" a="1"/>
  <c r="B1414" i="3" s="1"/>
  <c r="C1414" i="3" a="1"/>
  <c r="C1414" i="3" s="1"/>
  <c r="D1414" i="3" a="1"/>
  <c r="D1414" i="3" s="1"/>
  <c r="E1414" i="3" a="1"/>
  <c r="E1414" i="3" s="1"/>
  <c r="F1414" i="3" a="1"/>
  <c r="F1414" i="3" s="1"/>
  <c r="G1414" i="3" a="1"/>
  <c r="G1414" i="3" s="1"/>
  <c r="J1414" i="3" a="1"/>
  <c r="J1414" i="3" s="1"/>
  <c r="B1415" i="3" a="1"/>
  <c r="B1415" i="3" s="1"/>
  <c r="C1415" i="3" a="1"/>
  <c r="C1415" i="3" s="1"/>
  <c r="D1415" i="3" a="1"/>
  <c r="D1415" i="3" s="1"/>
  <c r="E1415" i="3" a="1"/>
  <c r="E1415" i="3" s="1"/>
  <c r="F1415" i="3" a="1"/>
  <c r="F1415" i="3" s="1"/>
  <c r="G1415" i="3" a="1"/>
  <c r="G1415" i="3" s="1"/>
  <c r="J1415" i="3" a="1"/>
  <c r="J1415" i="3" s="1"/>
  <c r="B1416" i="3" a="1"/>
  <c r="B1416" i="3" s="1"/>
  <c r="C1416" i="3" a="1"/>
  <c r="C1416" i="3" s="1"/>
  <c r="D1416" i="3" a="1"/>
  <c r="D1416" i="3" s="1"/>
  <c r="E1416" i="3" a="1"/>
  <c r="E1416" i="3" s="1"/>
  <c r="F1416" i="3" a="1"/>
  <c r="F1416" i="3" s="1"/>
  <c r="G1416" i="3" a="1"/>
  <c r="G1416" i="3" s="1"/>
  <c r="J1416" i="3" a="1"/>
  <c r="J1416" i="3" s="1"/>
  <c r="B1417" i="3" a="1"/>
  <c r="B1417" i="3" s="1"/>
  <c r="C1417" i="3" a="1"/>
  <c r="C1417" i="3" s="1"/>
  <c r="D1417" i="3" a="1"/>
  <c r="D1417" i="3" s="1"/>
  <c r="E1417" i="3" a="1"/>
  <c r="E1417" i="3" s="1"/>
  <c r="F1417" i="3" a="1"/>
  <c r="F1417" i="3" s="1"/>
  <c r="G1417" i="3" a="1"/>
  <c r="G1417" i="3" s="1"/>
  <c r="J1417" i="3" a="1"/>
  <c r="J1417" i="3" s="1"/>
  <c r="B1418" i="3" a="1"/>
  <c r="B1418" i="3" s="1"/>
  <c r="C1418" i="3" a="1"/>
  <c r="C1418" i="3" s="1"/>
  <c r="D1418" i="3" a="1"/>
  <c r="D1418" i="3" s="1"/>
  <c r="E1418" i="3" a="1"/>
  <c r="E1418" i="3" s="1"/>
  <c r="F1418" i="3" a="1"/>
  <c r="F1418" i="3" s="1"/>
  <c r="G1418" i="3" a="1"/>
  <c r="G1418" i="3" s="1"/>
  <c r="J1418" i="3" a="1"/>
  <c r="J1418" i="3" s="1"/>
  <c r="B1419" i="3" a="1"/>
  <c r="B1419" i="3" s="1"/>
  <c r="C1419" i="3" a="1"/>
  <c r="C1419" i="3" s="1"/>
  <c r="D1419" i="3" a="1"/>
  <c r="D1419" i="3" s="1"/>
  <c r="E1419" i="3" a="1"/>
  <c r="E1419" i="3" s="1"/>
  <c r="F1419" i="3" a="1"/>
  <c r="F1419" i="3" s="1"/>
  <c r="G1419" i="3" a="1"/>
  <c r="G1419" i="3" s="1"/>
  <c r="J1419" i="3" a="1"/>
  <c r="J1419" i="3" s="1"/>
  <c r="B1420" i="3" a="1"/>
  <c r="B1420" i="3" s="1"/>
  <c r="C1420" i="3" a="1"/>
  <c r="C1420" i="3" s="1"/>
  <c r="D1420" i="3" a="1"/>
  <c r="D1420" i="3" s="1"/>
  <c r="E1420" i="3" a="1"/>
  <c r="E1420" i="3" s="1"/>
  <c r="F1420" i="3" a="1"/>
  <c r="F1420" i="3" s="1"/>
  <c r="G1420" i="3" a="1"/>
  <c r="G1420" i="3" s="1"/>
  <c r="J1420" i="3" a="1"/>
  <c r="J1420" i="3" s="1"/>
  <c r="B1421" i="3" a="1"/>
  <c r="B1421" i="3" s="1"/>
  <c r="C1421" i="3" a="1"/>
  <c r="C1421" i="3" s="1"/>
  <c r="D1421" i="3" a="1"/>
  <c r="D1421" i="3" s="1"/>
  <c r="E1421" i="3" a="1"/>
  <c r="E1421" i="3" s="1"/>
  <c r="F1421" i="3" a="1"/>
  <c r="F1421" i="3" s="1"/>
  <c r="G1421" i="3" a="1"/>
  <c r="G1421" i="3" s="1"/>
  <c r="J1421" i="3" a="1"/>
  <c r="J1421" i="3" s="1"/>
  <c r="B1422" i="3" a="1"/>
  <c r="B1422" i="3" s="1"/>
  <c r="C1422" i="3" a="1"/>
  <c r="C1422" i="3" s="1"/>
  <c r="D1422" i="3" a="1"/>
  <c r="D1422" i="3" s="1"/>
  <c r="E1422" i="3" a="1"/>
  <c r="E1422" i="3" s="1"/>
  <c r="F1422" i="3" a="1"/>
  <c r="F1422" i="3" s="1"/>
  <c r="G1422" i="3" a="1"/>
  <c r="G1422" i="3" s="1"/>
  <c r="J1422" i="3" a="1"/>
  <c r="J1422" i="3" s="1"/>
  <c r="B1423" i="3" a="1"/>
  <c r="B1423" i="3" s="1"/>
  <c r="C1423" i="3" a="1"/>
  <c r="C1423" i="3" s="1"/>
  <c r="D1423" i="3" a="1"/>
  <c r="D1423" i="3" s="1"/>
  <c r="E1423" i="3" a="1"/>
  <c r="E1423" i="3" s="1"/>
  <c r="F1423" i="3" a="1"/>
  <c r="F1423" i="3" s="1"/>
  <c r="G1423" i="3" a="1"/>
  <c r="G1423" i="3" s="1"/>
  <c r="J1423" i="3" a="1"/>
  <c r="J1423" i="3" s="1"/>
  <c r="B1424" i="3" a="1"/>
  <c r="B1424" i="3" s="1"/>
  <c r="C1424" i="3" a="1"/>
  <c r="C1424" i="3" s="1"/>
  <c r="D1424" i="3" a="1"/>
  <c r="D1424" i="3" s="1"/>
  <c r="E1424" i="3" a="1"/>
  <c r="E1424" i="3" s="1"/>
  <c r="F1424" i="3" a="1"/>
  <c r="F1424" i="3" s="1"/>
  <c r="G1424" i="3" a="1"/>
  <c r="G1424" i="3" s="1"/>
  <c r="J1424" i="3" a="1"/>
  <c r="J1424" i="3" s="1"/>
  <c r="B1425" i="3" a="1"/>
  <c r="B1425" i="3" s="1"/>
  <c r="C1425" i="3" a="1"/>
  <c r="C1425" i="3" s="1"/>
  <c r="D1425" i="3" a="1"/>
  <c r="D1425" i="3" s="1"/>
  <c r="E1425" i="3" a="1"/>
  <c r="E1425" i="3" s="1"/>
  <c r="F1425" i="3" a="1"/>
  <c r="F1425" i="3" s="1"/>
  <c r="G1425" i="3" a="1"/>
  <c r="G1425" i="3" s="1"/>
  <c r="J1425" i="3" a="1"/>
  <c r="J1425" i="3" s="1"/>
  <c r="B1426" i="3" a="1"/>
  <c r="B1426" i="3" s="1"/>
  <c r="C1426" i="3" a="1"/>
  <c r="C1426" i="3" s="1"/>
  <c r="D1426" i="3" a="1"/>
  <c r="D1426" i="3" s="1"/>
  <c r="E1426" i="3" a="1"/>
  <c r="E1426" i="3" s="1"/>
  <c r="F1426" i="3" a="1"/>
  <c r="F1426" i="3" s="1"/>
  <c r="G1426" i="3" a="1"/>
  <c r="G1426" i="3" s="1"/>
  <c r="J1426" i="3" a="1"/>
  <c r="J1426" i="3" s="1"/>
  <c r="B1427" i="3" a="1"/>
  <c r="B1427" i="3" s="1"/>
  <c r="C1427" i="3" a="1"/>
  <c r="C1427" i="3" s="1"/>
  <c r="D1427" i="3" a="1"/>
  <c r="D1427" i="3" s="1"/>
  <c r="E1427" i="3" a="1"/>
  <c r="E1427" i="3" s="1"/>
  <c r="F1427" i="3" a="1"/>
  <c r="F1427" i="3" s="1"/>
  <c r="G1427" i="3" a="1"/>
  <c r="G1427" i="3" s="1"/>
  <c r="J1427" i="3" a="1"/>
  <c r="J1427" i="3" s="1"/>
  <c r="B1428" i="3" a="1"/>
  <c r="B1428" i="3" s="1"/>
  <c r="C1428" i="3" a="1"/>
  <c r="C1428" i="3" s="1"/>
  <c r="D1428" i="3" a="1"/>
  <c r="D1428" i="3" s="1"/>
  <c r="E1428" i="3" a="1"/>
  <c r="E1428" i="3" s="1"/>
  <c r="F1428" i="3" a="1"/>
  <c r="F1428" i="3" s="1"/>
  <c r="G1428" i="3" a="1"/>
  <c r="G1428" i="3" s="1"/>
  <c r="J1428" i="3" a="1"/>
  <c r="J1428" i="3" s="1"/>
  <c r="B1429" i="3" a="1"/>
  <c r="B1429" i="3" s="1"/>
  <c r="C1429" i="3" a="1"/>
  <c r="C1429" i="3" s="1"/>
  <c r="D1429" i="3" a="1"/>
  <c r="D1429" i="3" s="1"/>
  <c r="E1429" i="3" a="1"/>
  <c r="E1429" i="3" s="1"/>
  <c r="F1429" i="3" a="1"/>
  <c r="F1429" i="3" s="1"/>
  <c r="G1429" i="3" a="1"/>
  <c r="G1429" i="3" s="1"/>
  <c r="J1429" i="3" a="1"/>
  <c r="J1429" i="3" s="1"/>
  <c r="B1430" i="3" a="1"/>
  <c r="B1430" i="3" s="1"/>
  <c r="C1430" i="3" a="1"/>
  <c r="C1430" i="3" s="1"/>
  <c r="D1430" i="3" a="1"/>
  <c r="D1430" i="3" s="1"/>
  <c r="E1430" i="3" a="1"/>
  <c r="E1430" i="3" s="1"/>
  <c r="F1430" i="3" a="1"/>
  <c r="F1430" i="3" s="1"/>
  <c r="G1430" i="3" a="1"/>
  <c r="G1430" i="3" s="1"/>
  <c r="J1430" i="3" a="1"/>
  <c r="J1430" i="3" s="1"/>
  <c r="B1431" i="3" a="1"/>
  <c r="B1431" i="3" s="1"/>
  <c r="C1431" i="3" a="1"/>
  <c r="C1431" i="3" s="1"/>
  <c r="D1431" i="3" a="1"/>
  <c r="D1431" i="3" s="1"/>
  <c r="E1431" i="3" a="1"/>
  <c r="E1431" i="3" s="1"/>
  <c r="F1431" i="3" a="1"/>
  <c r="F1431" i="3" s="1"/>
  <c r="G1431" i="3" a="1"/>
  <c r="G1431" i="3" s="1"/>
  <c r="J1431" i="3" a="1"/>
  <c r="J1431" i="3" s="1"/>
  <c r="B1432" i="3" a="1"/>
  <c r="B1432" i="3" s="1"/>
  <c r="C1432" i="3" a="1"/>
  <c r="C1432" i="3" s="1"/>
  <c r="D1432" i="3" a="1"/>
  <c r="D1432" i="3" s="1"/>
  <c r="E1432" i="3" a="1"/>
  <c r="E1432" i="3" s="1"/>
  <c r="F1432" i="3" a="1"/>
  <c r="F1432" i="3" s="1"/>
  <c r="G1432" i="3" a="1"/>
  <c r="G1432" i="3" s="1"/>
  <c r="J1432" i="3" a="1"/>
  <c r="J1432" i="3" s="1"/>
  <c r="B1433" i="3" a="1"/>
  <c r="B1433" i="3" s="1"/>
  <c r="C1433" i="3" a="1"/>
  <c r="C1433" i="3" s="1"/>
  <c r="D1433" i="3" a="1"/>
  <c r="D1433" i="3" s="1"/>
  <c r="E1433" i="3" a="1"/>
  <c r="E1433" i="3" s="1"/>
  <c r="F1433" i="3" a="1"/>
  <c r="F1433" i="3" s="1"/>
  <c r="G1433" i="3" a="1"/>
  <c r="G1433" i="3" s="1"/>
  <c r="J1433" i="3" a="1"/>
  <c r="J1433" i="3" s="1"/>
  <c r="B1434" i="3" a="1"/>
  <c r="B1434" i="3" s="1"/>
  <c r="C1434" i="3" a="1"/>
  <c r="C1434" i="3" s="1"/>
  <c r="D1434" i="3" a="1"/>
  <c r="D1434" i="3" s="1"/>
  <c r="E1434" i="3" a="1"/>
  <c r="E1434" i="3" s="1"/>
  <c r="F1434" i="3" a="1"/>
  <c r="F1434" i="3" s="1"/>
  <c r="G1434" i="3" a="1"/>
  <c r="G1434" i="3" s="1"/>
  <c r="J1434" i="3" a="1"/>
  <c r="J1434" i="3" s="1"/>
  <c r="B1435" i="3" a="1"/>
  <c r="B1435" i="3" s="1"/>
  <c r="C1435" i="3" a="1"/>
  <c r="C1435" i="3" s="1"/>
  <c r="D1435" i="3" a="1"/>
  <c r="D1435" i="3" s="1"/>
  <c r="E1435" i="3" a="1"/>
  <c r="E1435" i="3" s="1"/>
  <c r="F1435" i="3" a="1"/>
  <c r="F1435" i="3" s="1"/>
  <c r="G1435" i="3" a="1"/>
  <c r="G1435" i="3" s="1"/>
  <c r="J1435" i="3" a="1"/>
  <c r="J1435" i="3" s="1"/>
  <c r="B1436" i="3" a="1"/>
  <c r="B1436" i="3" s="1"/>
  <c r="C1436" i="3" a="1"/>
  <c r="C1436" i="3" s="1"/>
  <c r="D1436" i="3" a="1"/>
  <c r="D1436" i="3" s="1"/>
  <c r="E1436" i="3" a="1"/>
  <c r="E1436" i="3" s="1"/>
  <c r="F1436" i="3" a="1"/>
  <c r="F1436" i="3" s="1"/>
  <c r="G1436" i="3" a="1"/>
  <c r="G1436" i="3" s="1"/>
  <c r="J1436" i="3" a="1"/>
  <c r="J1436" i="3" s="1"/>
  <c r="B1437" i="3" a="1"/>
  <c r="B1437" i="3" s="1"/>
  <c r="C1437" i="3" a="1"/>
  <c r="C1437" i="3" s="1"/>
  <c r="D1437" i="3" a="1"/>
  <c r="D1437" i="3" s="1"/>
  <c r="E1437" i="3" a="1"/>
  <c r="E1437" i="3" s="1"/>
  <c r="F1437" i="3" a="1"/>
  <c r="F1437" i="3" s="1"/>
  <c r="G1437" i="3" a="1"/>
  <c r="G1437" i="3" s="1"/>
  <c r="J1437" i="3" a="1"/>
  <c r="J1437" i="3" s="1"/>
  <c r="B1438" i="3" a="1"/>
  <c r="B1438" i="3" s="1"/>
  <c r="C1438" i="3" a="1"/>
  <c r="C1438" i="3" s="1"/>
  <c r="D1438" i="3" a="1"/>
  <c r="D1438" i="3" s="1"/>
  <c r="E1438" i="3" a="1"/>
  <c r="E1438" i="3" s="1"/>
  <c r="F1438" i="3" a="1"/>
  <c r="F1438" i="3" s="1"/>
  <c r="G1438" i="3" a="1"/>
  <c r="G1438" i="3" s="1"/>
  <c r="J1438" i="3" a="1"/>
  <c r="J1438" i="3" s="1"/>
  <c r="B1439" i="3" a="1"/>
  <c r="B1439" i="3" s="1"/>
  <c r="C1439" i="3" a="1"/>
  <c r="C1439" i="3" s="1"/>
  <c r="D1439" i="3" a="1"/>
  <c r="D1439" i="3" s="1"/>
  <c r="E1439" i="3" a="1"/>
  <c r="E1439" i="3" s="1"/>
  <c r="F1439" i="3" a="1"/>
  <c r="F1439" i="3" s="1"/>
  <c r="G1439" i="3" a="1"/>
  <c r="G1439" i="3" s="1"/>
  <c r="J1439" i="3" a="1"/>
  <c r="J1439" i="3" s="1"/>
  <c r="B1440" i="3" a="1"/>
  <c r="B1440" i="3" s="1"/>
  <c r="C1440" i="3" a="1"/>
  <c r="C1440" i="3" s="1"/>
  <c r="D1440" i="3" a="1"/>
  <c r="D1440" i="3" s="1"/>
  <c r="E1440" i="3" a="1"/>
  <c r="E1440" i="3" s="1"/>
  <c r="F1440" i="3" a="1"/>
  <c r="F1440" i="3" s="1"/>
  <c r="G1440" i="3" a="1"/>
  <c r="G1440" i="3" s="1"/>
  <c r="J1440" i="3" a="1"/>
  <c r="J1440" i="3" s="1"/>
  <c r="B1441" i="3" a="1"/>
  <c r="B1441" i="3" s="1"/>
  <c r="C1441" i="3" a="1"/>
  <c r="C1441" i="3" s="1"/>
  <c r="D1441" i="3" a="1"/>
  <c r="D1441" i="3" s="1"/>
  <c r="E1441" i="3" a="1"/>
  <c r="E1441" i="3" s="1"/>
  <c r="F1441" i="3" a="1"/>
  <c r="F1441" i="3" s="1"/>
  <c r="G1441" i="3" a="1"/>
  <c r="G1441" i="3" s="1"/>
  <c r="J1441" i="3" a="1"/>
  <c r="J1441" i="3" s="1"/>
  <c r="B1442" i="3" a="1"/>
  <c r="B1442" i="3" s="1"/>
  <c r="C1442" i="3" a="1"/>
  <c r="C1442" i="3" s="1"/>
  <c r="D1442" i="3" a="1"/>
  <c r="D1442" i="3" s="1"/>
  <c r="E1442" i="3" a="1"/>
  <c r="E1442" i="3" s="1"/>
  <c r="F1442" i="3" a="1"/>
  <c r="F1442" i="3" s="1"/>
  <c r="G1442" i="3" a="1"/>
  <c r="G1442" i="3" s="1"/>
  <c r="J1442" i="3" a="1"/>
  <c r="J1442" i="3" s="1"/>
  <c r="B1443" i="3" a="1"/>
  <c r="B1443" i="3" s="1"/>
  <c r="C1443" i="3" a="1"/>
  <c r="C1443" i="3" s="1"/>
  <c r="D1443" i="3" a="1"/>
  <c r="D1443" i="3" s="1"/>
  <c r="E1443" i="3" a="1"/>
  <c r="E1443" i="3" s="1"/>
  <c r="F1443" i="3" a="1"/>
  <c r="F1443" i="3" s="1"/>
  <c r="G1443" i="3" a="1"/>
  <c r="G1443" i="3" s="1"/>
  <c r="J1443" i="3" a="1"/>
  <c r="J1443" i="3" s="1"/>
  <c r="B1444" i="3" a="1"/>
  <c r="B1444" i="3" s="1"/>
  <c r="C1444" i="3" a="1"/>
  <c r="C1444" i="3" s="1"/>
  <c r="D1444" i="3" a="1"/>
  <c r="D1444" i="3" s="1"/>
  <c r="E1444" i="3" a="1"/>
  <c r="E1444" i="3" s="1"/>
  <c r="F1444" i="3" a="1"/>
  <c r="F1444" i="3" s="1"/>
  <c r="G1444" i="3" a="1"/>
  <c r="G1444" i="3" s="1"/>
  <c r="J1444" i="3" a="1"/>
  <c r="J1444" i="3" s="1"/>
  <c r="B1445" i="3" a="1"/>
  <c r="B1445" i="3" s="1"/>
  <c r="C1445" i="3" a="1"/>
  <c r="C1445" i="3" s="1"/>
  <c r="D1445" i="3" a="1"/>
  <c r="D1445" i="3" s="1"/>
  <c r="E1445" i="3" a="1"/>
  <c r="E1445" i="3" s="1"/>
  <c r="F1445" i="3" a="1"/>
  <c r="F1445" i="3" s="1"/>
  <c r="G1445" i="3" a="1"/>
  <c r="G1445" i="3" s="1"/>
  <c r="J1445" i="3" a="1"/>
  <c r="J1445" i="3" s="1"/>
  <c r="B1446" i="3" a="1"/>
  <c r="B1446" i="3" s="1"/>
  <c r="C1446" i="3" a="1"/>
  <c r="C1446" i="3" s="1"/>
  <c r="D1446" i="3" a="1"/>
  <c r="D1446" i="3" s="1"/>
  <c r="E1446" i="3" a="1"/>
  <c r="E1446" i="3" s="1"/>
  <c r="F1446" i="3" a="1"/>
  <c r="F1446" i="3" s="1"/>
  <c r="G1446" i="3" a="1"/>
  <c r="G1446" i="3" s="1"/>
  <c r="J1446" i="3" a="1"/>
  <c r="J1446" i="3" s="1"/>
  <c r="B1447" i="3" a="1"/>
  <c r="B1447" i="3" s="1"/>
  <c r="C1447" i="3" a="1"/>
  <c r="C1447" i="3" s="1"/>
  <c r="D1447" i="3" a="1"/>
  <c r="D1447" i="3" s="1"/>
  <c r="E1447" i="3" a="1"/>
  <c r="E1447" i="3" s="1"/>
  <c r="F1447" i="3" a="1"/>
  <c r="F1447" i="3" s="1"/>
  <c r="G1447" i="3" a="1"/>
  <c r="G1447" i="3" s="1"/>
  <c r="J1447" i="3" a="1"/>
  <c r="J1447" i="3" s="1"/>
  <c r="B1448" i="3" a="1"/>
  <c r="B1448" i="3" s="1"/>
  <c r="C1448" i="3" a="1"/>
  <c r="C1448" i="3" s="1"/>
  <c r="D1448" i="3" a="1"/>
  <c r="D1448" i="3" s="1"/>
  <c r="E1448" i="3" a="1"/>
  <c r="E1448" i="3" s="1"/>
  <c r="F1448" i="3" a="1"/>
  <c r="F1448" i="3" s="1"/>
  <c r="G1448" i="3" a="1"/>
  <c r="G1448" i="3" s="1"/>
  <c r="J1448" i="3" a="1"/>
  <c r="J1448" i="3" s="1"/>
  <c r="B1449" i="3" a="1"/>
  <c r="B1449" i="3" s="1"/>
  <c r="C1449" i="3" a="1"/>
  <c r="C1449" i="3" s="1"/>
  <c r="D1449" i="3" a="1"/>
  <c r="D1449" i="3" s="1"/>
  <c r="E1449" i="3" a="1"/>
  <c r="E1449" i="3" s="1"/>
  <c r="F1449" i="3" a="1"/>
  <c r="F1449" i="3" s="1"/>
  <c r="G1449" i="3" a="1"/>
  <c r="G1449" i="3" s="1"/>
  <c r="J1449" i="3" a="1"/>
  <c r="J1449" i="3" s="1"/>
  <c r="B1450" i="3" a="1"/>
  <c r="B1450" i="3" s="1"/>
  <c r="C1450" i="3" a="1"/>
  <c r="C1450" i="3" s="1"/>
  <c r="D1450" i="3" a="1"/>
  <c r="D1450" i="3" s="1"/>
  <c r="E1450" i="3" a="1"/>
  <c r="E1450" i="3" s="1"/>
  <c r="F1450" i="3" a="1"/>
  <c r="F1450" i="3" s="1"/>
  <c r="G1450" i="3" a="1"/>
  <c r="G1450" i="3" s="1"/>
  <c r="J1450" i="3" a="1"/>
  <c r="J1450" i="3" s="1"/>
  <c r="B1451" i="3" a="1"/>
  <c r="B1451" i="3" s="1"/>
  <c r="C1451" i="3" a="1"/>
  <c r="C1451" i="3" s="1"/>
  <c r="D1451" i="3" a="1"/>
  <c r="D1451" i="3" s="1"/>
  <c r="E1451" i="3" a="1"/>
  <c r="E1451" i="3" s="1"/>
  <c r="F1451" i="3" a="1"/>
  <c r="F1451" i="3" s="1"/>
  <c r="G1451" i="3" a="1"/>
  <c r="G1451" i="3" s="1"/>
  <c r="J1451" i="3" a="1"/>
  <c r="J1451" i="3" s="1"/>
  <c r="B1452" i="3" a="1"/>
  <c r="B1452" i="3" s="1"/>
  <c r="C1452" i="3" a="1"/>
  <c r="C1452" i="3" s="1"/>
  <c r="D1452" i="3" a="1"/>
  <c r="D1452" i="3" s="1"/>
  <c r="E1452" i="3" a="1"/>
  <c r="E1452" i="3" s="1"/>
  <c r="F1452" i="3" a="1"/>
  <c r="F1452" i="3" s="1"/>
  <c r="G1452" i="3" a="1"/>
  <c r="G1452" i="3" s="1"/>
  <c r="J1452" i="3" a="1"/>
  <c r="J1452" i="3" s="1"/>
  <c r="B1453" i="3" a="1"/>
  <c r="B1453" i="3" s="1"/>
  <c r="C1453" i="3" a="1"/>
  <c r="C1453" i="3" s="1"/>
  <c r="D1453" i="3" a="1"/>
  <c r="D1453" i="3" s="1"/>
  <c r="E1453" i="3" a="1"/>
  <c r="E1453" i="3" s="1"/>
  <c r="F1453" i="3" a="1"/>
  <c r="F1453" i="3" s="1"/>
  <c r="G1453" i="3" a="1"/>
  <c r="G1453" i="3" s="1"/>
  <c r="J1453" i="3" a="1"/>
  <c r="J1453" i="3" s="1"/>
  <c r="B1454" i="3" a="1"/>
  <c r="B1454" i="3" s="1"/>
  <c r="C1454" i="3" a="1"/>
  <c r="C1454" i="3" s="1"/>
  <c r="D1454" i="3" a="1"/>
  <c r="D1454" i="3" s="1"/>
  <c r="E1454" i="3" a="1"/>
  <c r="E1454" i="3" s="1"/>
  <c r="F1454" i="3" a="1"/>
  <c r="F1454" i="3" s="1"/>
  <c r="G1454" i="3" a="1"/>
  <c r="G1454" i="3" s="1"/>
  <c r="J1454" i="3" a="1"/>
  <c r="J1454" i="3" s="1"/>
  <c r="B1455" i="3" a="1"/>
  <c r="B1455" i="3" s="1"/>
  <c r="C1455" i="3" a="1"/>
  <c r="C1455" i="3" s="1"/>
  <c r="D1455" i="3" a="1"/>
  <c r="D1455" i="3" s="1"/>
  <c r="E1455" i="3" a="1"/>
  <c r="E1455" i="3" s="1"/>
  <c r="F1455" i="3" a="1"/>
  <c r="F1455" i="3" s="1"/>
  <c r="G1455" i="3" a="1"/>
  <c r="G1455" i="3" s="1"/>
  <c r="J1455" i="3" a="1"/>
  <c r="J1455" i="3" s="1"/>
  <c r="B1456" i="3" a="1"/>
  <c r="B1456" i="3" s="1"/>
  <c r="C1456" i="3" a="1"/>
  <c r="C1456" i="3" s="1"/>
  <c r="D1456" i="3" a="1"/>
  <c r="D1456" i="3" s="1"/>
  <c r="E1456" i="3" a="1"/>
  <c r="E1456" i="3" s="1"/>
  <c r="F1456" i="3" a="1"/>
  <c r="F1456" i="3" s="1"/>
  <c r="G1456" i="3" a="1"/>
  <c r="G1456" i="3" s="1"/>
  <c r="J1456" i="3" a="1"/>
  <c r="J1456" i="3" s="1"/>
  <c r="B1457" i="3" a="1"/>
  <c r="B1457" i="3" s="1"/>
  <c r="C1457" i="3" a="1"/>
  <c r="C1457" i="3" s="1"/>
  <c r="D1457" i="3" a="1"/>
  <c r="D1457" i="3" s="1"/>
  <c r="E1457" i="3" a="1"/>
  <c r="E1457" i="3" s="1"/>
  <c r="F1457" i="3" a="1"/>
  <c r="F1457" i="3" s="1"/>
  <c r="G1457" i="3" a="1"/>
  <c r="G1457" i="3" s="1"/>
  <c r="J1457" i="3" a="1"/>
  <c r="J1457" i="3" s="1"/>
  <c r="B1458" i="3" a="1"/>
  <c r="B1458" i="3" s="1"/>
  <c r="C1458" i="3" a="1"/>
  <c r="C1458" i="3" s="1"/>
  <c r="D1458" i="3" a="1"/>
  <c r="D1458" i="3" s="1"/>
  <c r="E1458" i="3" a="1"/>
  <c r="E1458" i="3" s="1"/>
  <c r="F1458" i="3" a="1"/>
  <c r="F1458" i="3" s="1"/>
  <c r="G1458" i="3" a="1"/>
  <c r="G1458" i="3" s="1"/>
  <c r="J1458" i="3" a="1"/>
  <c r="J1458" i="3" s="1"/>
  <c r="B1459" i="3" a="1"/>
  <c r="B1459" i="3" s="1"/>
  <c r="C1459" i="3" a="1"/>
  <c r="C1459" i="3" s="1"/>
  <c r="D1459" i="3" a="1"/>
  <c r="D1459" i="3" s="1"/>
  <c r="E1459" i="3" a="1"/>
  <c r="E1459" i="3" s="1"/>
  <c r="F1459" i="3" a="1"/>
  <c r="F1459" i="3" s="1"/>
  <c r="G1459" i="3" a="1"/>
  <c r="G1459" i="3" s="1"/>
  <c r="J1459" i="3" a="1"/>
  <c r="J1459" i="3" s="1"/>
  <c r="B1460" i="3" a="1"/>
  <c r="B1460" i="3" s="1"/>
  <c r="C1460" i="3" a="1"/>
  <c r="C1460" i="3" s="1"/>
  <c r="D1460" i="3" a="1"/>
  <c r="D1460" i="3" s="1"/>
  <c r="E1460" i="3" a="1"/>
  <c r="E1460" i="3" s="1"/>
  <c r="F1460" i="3" a="1"/>
  <c r="F1460" i="3" s="1"/>
  <c r="G1460" i="3" a="1"/>
  <c r="G1460" i="3" s="1"/>
  <c r="J1460" i="3" a="1"/>
  <c r="J1460" i="3" s="1"/>
  <c r="B1461" i="3" a="1"/>
  <c r="B1461" i="3" s="1"/>
  <c r="C1461" i="3" a="1"/>
  <c r="C1461" i="3" s="1"/>
  <c r="D1461" i="3" a="1"/>
  <c r="D1461" i="3" s="1"/>
  <c r="E1461" i="3" a="1"/>
  <c r="E1461" i="3" s="1"/>
  <c r="F1461" i="3" a="1"/>
  <c r="F1461" i="3" s="1"/>
  <c r="G1461" i="3" a="1"/>
  <c r="G1461" i="3" s="1"/>
  <c r="J1461" i="3" a="1"/>
  <c r="J1461" i="3" s="1"/>
  <c r="B1462" i="3" a="1"/>
  <c r="B1462" i="3" s="1"/>
  <c r="C1462" i="3" a="1"/>
  <c r="C1462" i="3" s="1"/>
  <c r="D1462" i="3" a="1"/>
  <c r="D1462" i="3" s="1"/>
  <c r="E1462" i="3" a="1"/>
  <c r="E1462" i="3" s="1"/>
  <c r="F1462" i="3" a="1"/>
  <c r="F1462" i="3" s="1"/>
  <c r="G1462" i="3" a="1"/>
  <c r="G1462" i="3" s="1"/>
  <c r="J1462" i="3" a="1"/>
  <c r="J1462" i="3" s="1"/>
  <c r="B1463" i="3" a="1"/>
  <c r="B1463" i="3" s="1"/>
  <c r="C1463" i="3" a="1"/>
  <c r="C1463" i="3" s="1"/>
  <c r="D1463" i="3" a="1"/>
  <c r="D1463" i="3" s="1"/>
  <c r="E1463" i="3" a="1"/>
  <c r="E1463" i="3" s="1"/>
  <c r="F1463" i="3" a="1"/>
  <c r="F1463" i="3" s="1"/>
  <c r="G1463" i="3" a="1"/>
  <c r="G1463" i="3" s="1"/>
  <c r="J1463" i="3" a="1"/>
  <c r="J1463" i="3" s="1"/>
  <c r="B1464" i="3" a="1"/>
  <c r="B1464" i="3" s="1"/>
  <c r="C1464" i="3" a="1"/>
  <c r="C1464" i="3" s="1"/>
  <c r="D1464" i="3" a="1"/>
  <c r="D1464" i="3" s="1"/>
  <c r="E1464" i="3" a="1"/>
  <c r="E1464" i="3" s="1"/>
  <c r="F1464" i="3" a="1"/>
  <c r="F1464" i="3" s="1"/>
  <c r="G1464" i="3" a="1"/>
  <c r="G1464" i="3" s="1"/>
  <c r="J1464" i="3" a="1"/>
  <c r="J1464" i="3" s="1"/>
  <c r="B1465" i="3" a="1"/>
  <c r="B1465" i="3" s="1"/>
  <c r="C1465" i="3" a="1"/>
  <c r="C1465" i="3" s="1"/>
  <c r="D1465" i="3" a="1"/>
  <c r="D1465" i="3" s="1"/>
  <c r="E1465" i="3" a="1"/>
  <c r="E1465" i="3" s="1"/>
  <c r="F1465" i="3" a="1"/>
  <c r="F1465" i="3" s="1"/>
  <c r="G1465" i="3" a="1"/>
  <c r="G1465" i="3" s="1"/>
  <c r="J1465" i="3" a="1"/>
  <c r="J1465" i="3" s="1"/>
  <c r="B1466" i="3" a="1"/>
  <c r="B1466" i="3" s="1"/>
  <c r="C1466" i="3" a="1"/>
  <c r="C1466" i="3" s="1"/>
  <c r="D1466" i="3" a="1"/>
  <c r="D1466" i="3" s="1"/>
  <c r="E1466" i="3" a="1"/>
  <c r="E1466" i="3" s="1"/>
  <c r="F1466" i="3" a="1"/>
  <c r="F1466" i="3" s="1"/>
  <c r="G1466" i="3" a="1"/>
  <c r="G1466" i="3" s="1"/>
  <c r="J1466" i="3" a="1"/>
  <c r="J1466" i="3" s="1"/>
  <c r="B1467" i="3" a="1"/>
  <c r="B1467" i="3" s="1"/>
  <c r="C1467" i="3" a="1"/>
  <c r="C1467" i="3" s="1"/>
  <c r="D1467" i="3" a="1"/>
  <c r="D1467" i="3" s="1"/>
  <c r="E1467" i="3" a="1"/>
  <c r="E1467" i="3" s="1"/>
  <c r="F1467" i="3" a="1"/>
  <c r="F1467" i="3" s="1"/>
  <c r="G1467" i="3" a="1"/>
  <c r="G1467" i="3" s="1"/>
  <c r="J1467" i="3" a="1"/>
  <c r="J1467" i="3" s="1"/>
  <c r="B1468" i="3" a="1"/>
  <c r="B1468" i="3" s="1"/>
  <c r="C1468" i="3" a="1"/>
  <c r="C1468" i="3" s="1"/>
  <c r="D1468" i="3" a="1"/>
  <c r="D1468" i="3" s="1"/>
  <c r="E1468" i="3" a="1"/>
  <c r="E1468" i="3" s="1"/>
  <c r="F1468" i="3" a="1"/>
  <c r="F1468" i="3" s="1"/>
  <c r="G1468" i="3" a="1"/>
  <c r="G1468" i="3" s="1"/>
  <c r="J1468" i="3" a="1"/>
  <c r="J1468" i="3" s="1"/>
  <c r="B1469" i="3" a="1"/>
  <c r="B1469" i="3" s="1"/>
  <c r="C1469" i="3" a="1"/>
  <c r="C1469" i="3" s="1"/>
  <c r="D1469" i="3" a="1"/>
  <c r="D1469" i="3" s="1"/>
  <c r="E1469" i="3" a="1"/>
  <c r="E1469" i="3" s="1"/>
  <c r="F1469" i="3" a="1"/>
  <c r="F1469" i="3" s="1"/>
  <c r="G1469" i="3" a="1"/>
  <c r="G1469" i="3" s="1"/>
  <c r="J1469" i="3" a="1"/>
  <c r="J1469" i="3" s="1"/>
  <c r="B1470" i="3" a="1"/>
  <c r="B1470" i="3" s="1"/>
  <c r="C1470" i="3" a="1"/>
  <c r="C1470" i="3" s="1"/>
  <c r="D1470" i="3" a="1"/>
  <c r="D1470" i="3" s="1"/>
  <c r="E1470" i="3" a="1"/>
  <c r="E1470" i="3" s="1"/>
  <c r="F1470" i="3" a="1"/>
  <c r="F1470" i="3" s="1"/>
  <c r="G1470" i="3" a="1"/>
  <c r="G1470" i="3" s="1"/>
  <c r="J1470" i="3" a="1"/>
  <c r="J1470" i="3" s="1"/>
  <c r="B1471" i="3" a="1"/>
  <c r="B1471" i="3" s="1"/>
  <c r="C1471" i="3" a="1"/>
  <c r="C1471" i="3" s="1"/>
  <c r="D1471" i="3" a="1"/>
  <c r="D1471" i="3" s="1"/>
  <c r="E1471" i="3" a="1"/>
  <c r="E1471" i="3" s="1"/>
  <c r="F1471" i="3" a="1"/>
  <c r="F1471" i="3" s="1"/>
  <c r="G1471" i="3" a="1"/>
  <c r="G1471" i="3" s="1"/>
  <c r="J1471" i="3" a="1"/>
  <c r="J1471" i="3" s="1"/>
  <c r="B1472" i="3" a="1"/>
  <c r="B1472" i="3" s="1"/>
  <c r="C1472" i="3" a="1"/>
  <c r="C1472" i="3" s="1"/>
  <c r="D1472" i="3" a="1"/>
  <c r="D1472" i="3" s="1"/>
  <c r="E1472" i="3" a="1"/>
  <c r="E1472" i="3" s="1"/>
  <c r="F1472" i="3" a="1"/>
  <c r="F1472" i="3" s="1"/>
  <c r="G1472" i="3" a="1"/>
  <c r="G1472" i="3" s="1"/>
  <c r="J1472" i="3" a="1"/>
  <c r="J1472" i="3" s="1"/>
  <c r="B1473" i="3" a="1"/>
  <c r="B1473" i="3" s="1"/>
  <c r="C1473" i="3" a="1"/>
  <c r="C1473" i="3" s="1"/>
  <c r="D1473" i="3" a="1"/>
  <c r="D1473" i="3" s="1"/>
  <c r="E1473" i="3" a="1"/>
  <c r="E1473" i="3" s="1"/>
  <c r="F1473" i="3" a="1"/>
  <c r="F1473" i="3" s="1"/>
  <c r="G1473" i="3" a="1"/>
  <c r="G1473" i="3" s="1"/>
  <c r="J1473" i="3" a="1"/>
  <c r="J1473" i="3" s="1"/>
  <c r="B1474" i="3" a="1"/>
  <c r="B1474" i="3" s="1"/>
  <c r="C1474" i="3" a="1"/>
  <c r="C1474" i="3" s="1"/>
  <c r="D1474" i="3" a="1"/>
  <c r="D1474" i="3" s="1"/>
  <c r="E1474" i="3" a="1"/>
  <c r="E1474" i="3" s="1"/>
  <c r="F1474" i="3" a="1"/>
  <c r="F1474" i="3" s="1"/>
  <c r="G1474" i="3" a="1"/>
  <c r="G1474" i="3" s="1"/>
  <c r="J1474" i="3" a="1"/>
  <c r="J1474" i="3" s="1"/>
  <c r="B1475" i="3" a="1"/>
  <c r="B1475" i="3" s="1"/>
  <c r="C1475" i="3" a="1"/>
  <c r="C1475" i="3" s="1"/>
  <c r="D1475" i="3" a="1"/>
  <c r="D1475" i="3" s="1"/>
  <c r="E1475" i="3" a="1"/>
  <c r="E1475" i="3" s="1"/>
  <c r="F1475" i="3" a="1"/>
  <c r="F1475" i="3" s="1"/>
  <c r="G1475" i="3" a="1"/>
  <c r="G1475" i="3" s="1"/>
  <c r="J1475" i="3" a="1"/>
  <c r="J1475" i="3" s="1"/>
  <c r="B1476" i="3" a="1"/>
  <c r="B1476" i="3" s="1"/>
  <c r="C1476" i="3" a="1"/>
  <c r="C1476" i="3" s="1"/>
  <c r="D1476" i="3" a="1"/>
  <c r="D1476" i="3" s="1"/>
  <c r="E1476" i="3" a="1"/>
  <c r="E1476" i="3" s="1"/>
  <c r="F1476" i="3" a="1"/>
  <c r="F1476" i="3" s="1"/>
  <c r="G1476" i="3" a="1"/>
  <c r="G1476" i="3" s="1"/>
  <c r="J1476" i="3" a="1"/>
  <c r="J1476" i="3" s="1"/>
  <c r="B1477" i="3" a="1"/>
  <c r="B1477" i="3" s="1"/>
  <c r="C1477" i="3" a="1"/>
  <c r="C1477" i="3" s="1"/>
  <c r="D1477" i="3" a="1"/>
  <c r="D1477" i="3" s="1"/>
  <c r="E1477" i="3" a="1"/>
  <c r="E1477" i="3" s="1"/>
  <c r="F1477" i="3" a="1"/>
  <c r="F1477" i="3" s="1"/>
  <c r="G1477" i="3" a="1"/>
  <c r="G1477" i="3" s="1"/>
  <c r="J1477" i="3" a="1"/>
  <c r="J1477" i="3" s="1"/>
  <c r="B1478" i="3" a="1"/>
  <c r="B1478" i="3" s="1"/>
  <c r="C1478" i="3" a="1"/>
  <c r="C1478" i="3" s="1"/>
  <c r="D1478" i="3" a="1"/>
  <c r="D1478" i="3" s="1"/>
  <c r="E1478" i="3" a="1"/>
  <c r="E1478" i="3" s="1"/>
  <c r="F1478" i="3" a="1"/>
  <c r="F1478" i="3" s="1"/>
  <c r="G1478" i="3" a="1"/>
  <c r="G1478" i="3" s="1"/>
  <c r="J1478" i="3" a="1"/>
  <c r="J1478" i="3" s="1"/>
  <c r="B1479" i="3" a="1"/>
  <c r="B1479" i="3" s="1"/>
  <c r="C1479" i="3" a="1"/>
  <c r="C1479" i="3" s="1"/>
  <c r="D1479" i="3" a="1"/>
  <c r="D1479" i="3" s="1"/>
  <c r="E1479" i="3" a="1"/>
  <c r="E1479" i="3" s="1"/>
  <c r="F1479" i="3" a="1"/>
  <c r="F1479" i="3" s="1"/>
  <c r="G1479" i="3" a="1"/>
  <c r="G1479" i="3" s="1"/>
  <c r="J1479" i="3" a="1"/>
  <c r="J1479" i="3" s="1"/>
  <c r="B1480" i="3" a="1"/>
  <c r="B1480" i="3" s="1"/>
  <c r="C1480" i="3" a="1"/>
  <c r="C1480" i="3" s="1"/>
  <c r="D1480" i="3" a="1"/>
  <c r="D1480" i="3" s="1"/>
  <c r="E1480" i="3" a="1"/>
  <c r="E1480" i="3" s="1"/>
  <c r="F1480" i="3" a="1"/>
  <c r="F1480" i="3" s="1"/>
  <c r="G1480" i="3" a="1"/>
  <c r="G1480" i="3" s="1"/>
  <c r="J1480" i="3" a="1"/>
  <c r="J1480" i="3" s="1"/>
  <c r="B1481" i="3" a="1"/>
  <c r="B1481" i="3" s="1"/>
  <c r="C1481" i="3" a="1"/>
  <c r="C1481" i="3" s="1"/>
  <c r="D1481" i="3" a="1"/>
  <c r="D1481" i="3" s="1"/>
  <c r="E1481" i="3" a="1"/>
  <c r="E1481" i="3" s="1"/>
  <c r="F1481" i="3" a="1"/>
  <c r="F1481" i="3" s="1"/>
  <c r="G1481" i="3" a="1"/>
  <c r="G1481" i="3" s="1"/>
  <c r="J1481" i="3" a="1"/>
  <c r="J1481" i="3" s="1"/>
  <c r="B1482" i="3" a="1"/>
  <c r="B1482" i="3" s="1"/>
  <c r="C1482" i="3" a="1"/>
  <c r="C1482" i="3" s="1"/>
  <c r="D1482" i="3" a="1"/>
  <c r="D1482" i="3" s="1"/>
  <c r="E1482" i="3" a="1"/>
  <c r="E1482" i="3" s="1"/>
  <c r="F1482" i="3" a="1"/>
  <c r="F1482" i="3" s="1"/>
  <c r="G1482" i="3" a="1"/>
  <c r="G1482" i="3" s="1"/>
  <c r="J1482" i="3" a="1"/>
  <c r="J1482" i="3" s="1"/>
  <c r="B1483" i="3" a="1"/>
  <c r="B1483" i="3" s="1"/>
  <c r="C1483" i="3" a="1"/>
  <c r="C1483" i="3" s="1"/>
  <c r="D1483" i="3" a="1"/>
  <c r="D1483" i="3" s="1"/>
  <c r="E1483" i="3" a="1"/>
  <c r="E1483" i="3" s="1"/>
  <c r="F1483" i="3" a="1"/>
  <c r="F1483" i="3" s="1"/>
  <c r="G1483" i="3" a="1"/>
  <c r="G1483" i="3" s="1"/>
  <c r="J1483" i="3" a="1"/>
  <c r="J1483" i="3" s="1"/>
  <c r="B1484" i="3" a="1"/>
  <c r="B1484" i="3" s="1"/>
  <c r="C1484" i="3" a="1"/>
  <c r="C1484" i="3" s="1"/>
  <c r="D1484" i="3" a="1"/>
  <c r="D1484" i="3" s="1"/>
  <c r="E1484" i="3" a="1"/>
  <c r="E1484" i="3" s="1"/>
  <c r="F1484" i="3" a="1"/>
  <c r="F1484" i="3" s="1"/>
  <c r="G1484" i="3" a="1"/>
  <c r="G1484" i="3" s="1"/>
  <c r="J1484" i="3" a="1"/>
  <c r="J1484" i="3" s="1"/>
  <c r="B1485" i="3" a="1"/>
  <c r="B1485" i="3" s="1"/>
  <c r="C1485" i="3" a="1"/>
  <c r="C1485" i="3" s="1"/>
  <c r="D1485" i="3" a="1"/>
  <c r="D1485" i="3" s="1"/>
  <c r="E1485" i="3" a="1"/>
  <c r="E1485" i="3" s="1"/>
  <c r="F1485" i="3" a="1"/>
  <c r="F1485" i="3" s="1"/>
  <c r="G1485" i="3" a="1"/>
  <c r="G1485" i="3" s="1"/>
  <c r="J1485" i="3" a="1"/>
  <c r="J1485" i="3" s="1"/>
  <c r="B1486" i="3" a="1"/>
  <c r="B1486" i="3" s="1"/>
  <c r="C1486" i="3" a="1"/>
  <c r="C1486" i="3" s="1"/>
  <c r="D1486" i="3" a="1"/>
  <c r="D1486" i="3" s="1"/>
  <c r="E1486" i="3" a="1"/>
  <c r="E1486" i="3" s="1"/>
  <c r="F1486" i="3" a="1"/>
  <c r="F1486" i="3" s="1"/>
  <c r="G1486" i="3" a="1"/>
  <c r="G1486" i="3" s="1"/>
  <c r="J1486" i="3" a="1"/>
  <c r="J1486" i="3" s="1"/>
  <c r="B1487" i="3" a="1"/>
  <c r="B1487" i="3" s="1"/>
  <c r="C1487" i="3" a="1"/>
  <c r="C1487" i="3" s="1"/>
  <c r="D1487" i="3" a="1"/>
  <c r="D1487" i="3" s="1"/>
  <c r="E1487" i="3" a="1"/>
  <c r="E1487" i="3" s="1"/>
  <c r="F1487" i="3" a="1"/>
  <c r="F1487" i="3" s="1"/>
  <c r="G1487" i="3" a="1"/>
  <c r="G1487" i="3" s="1"/>
  <c r="J1487" i="3" a="1"/>
  <c r="J1487" i="3" s="1"/>
  <c r="B1488" i="3" a="1"/>
  <c r="B1488" i="3" s="1"/>
  <c r="C1488" i="3" a="1"/>
  <c r="C1488" i="3" s="1"/>
  <c r="D1488" i="3" a="1"/>
  <c r="D1488" i="3" s="1"/>
  <c r="E1488" i="3" a="1"/>
  <c r="E1488" i="3" s="1"/>
  <c r="F1488" i="3" a="1"/>
  <c r="F1488" i="3" s="1"/>
  <c r="G1488" i="3" a="1"/>
  <c r="G1488" i="3" s="1"/>
  <c r="J1488" i="3" a="1"/>
  <c r="J1488" i="3" s="1"/>
  <c r="B1489" i="3" a="1"/>
  <c r="B1489" i="3" s="1"/>
  <c r="C1489" i="3" a="1"/>
  <c r="C1489" i="3" s="1"/>
  <c r="D1489" i="3" a="1"/>
  <c r="D1489" i="3" s="1"/>
  <c r="E1489" i="3" a="1"/>
  <c r="E1489" i="3" s="1"/>
  <c r="F1489" i="3" a="1"/>
  <c r="F1489" i="3" s="1"/>
  <c r="G1489" i="3" a="1"/>
  <c r="G1489" i="3" s="1"/>
  <c r="J1489" i="3" a="1"/>
  <c r="J1489" i="3" s="1"/>
  <c r="B1490" i="3" a="1"/>
  <c r="B1490" i="3" s="1"/>
  <c r="C1490" i="3" a="1"/>
  <c r="C1490" i="3" s="1"/>
  <c r="D1490" i="3" a="1"/>
  <c r="D1490" i="3" s="1"/>
  <c r="E1490" i="3" a="1"/>
  <c r="E1490" i="3" s="1"/>
  <c r="F1490" i="3" a="1"/>
  <c r="F1490" i="3" s="1"/>
  <c r="G1490" i="3" a="1"/>
  <c r="G1490" i="3" s="1"/>
  <c r="J1490" i="3" a="1"/>
  <c r="J1490" i="3" s="1"/>
  <c r="B1491" i="3" a="1"/>
  <c r="B1491" i="3" s="1"/>
  <c r="C1491" i="3" a="1"/>
  <c r="C1491" i="3" s="1"/>
  <c r="D1491" i="3" a="1"/>
  <c r="D1491" i="3" s="1"/>
  <c r="E1491" i="3" a="1"/>
  <c r="E1491" i="3" s="1"/>
  <c r="F1491" i="3" a="1"/>
  <c r="F1491" i="3" s="1"/>
  <c r="G1491" i="3" a="1"/>
  <c r="G1491" i="3" s="1"/>
  <c r="J1491" i="3" a="1"/>
  <c r="J1491" i="3" s="1"/>
  <c r="B1492" i="3" a="1"/>
  <c r="B1492" i="3" s="1"/>
  <c r="C1492" i="3" a="1"/>
  <c r="C1492" i="3" s="1"/>
  <c r="D1492" i="3" a="1"/>
  <c r="D1492" i="3" s="1"/>
  <c r="E1492" i="3" a="1"/>
  <c r="E1492" i="3" s="1"/>
  <c r="F1492" i="3" a="1"/>
  <c r="F1492" i="3" s="1"/>
  <c r="G1492" i="3" a="1"/>
  <c r="G1492" i="3" s="1"/>
  <c r="J1492" i="3" a="1"/>
  <c r="J1492" i="3" s="1"/>
  <c r="B1493" i="3" a="1"/>
  <c r="B1493" i="3" s="1"/>
  <c r="C1493" i="3" a="1"/>
  <c r="C1493" i="3" s="1"/>
  <c r="D1493" i="3" a="1"/>
  <c r="D1493" i="3" s="1"/>
  <c r="E1493" i="3" a="1"/>
  <c r="E1493" i="3" s="1"/>
  <c r="F1493" i="3" a="1"/>
  <c r="F1493" i="3" s="1"/>
  <c r="G1493" i="3" a="1"/>
  <c r="G1493" i="3" s="1"/>
  <c r="J1493" i="3" a="1"/>
  <c r="J1493" i="3" s="1"/>
  <c r="B1494" i="3" a="1"/>
  <c r="B1494" i="3" s="1"/>
  <c r="C1494" i="3" a="1"/>
  <c r="C1494" i="3" s="1"/>
  <c r="D1494" i="3" a="1"/>
  <c r="D1494" i="3" s="1"/>
  <c r="E1494" i="3" a="1"/>
  <c r="E1494" i="3" s="1"/>
  <c r="F1494" i="3" a="1"/>
  <c r="F1494" i="3" s="1"/>
  <c r="G1494" i="3" a="1"/>
  <c r="G1494" i="3" s="1"/>
  <c r="J1494" i="3" a="1"/>
  <c r="J1494" i="3" s="1"/>
  <c r="B1495" i="3" a="1"/>
  <c r="B1495" i="3" s="1"/>
  <c r="C1495" i="3" a="1"/>
  <c r="C1495" i="3" s="1"/>
  <c r="D1495" i="3" a="1"/>
  <c r="D1495" i="3" s="1"/>
  <c r="E1495" i="3" a="1"/>
  <c r="E1495" i="3" s="1"/>
  <c r="F1495" i="3" a="1"/>
  <c r="F1495" i="3" s="1"/>
  <c r="G1495" i="3" a="1"/>
  <c r="G1495" i="3" s="1"/>
  <c r="J1495" i="3" a="1"/>
  <c r="J1495" i="3" s="1"/>
  <c r="B1496" i="3" a="1"/>
  <c r="B1496" i="3" s="1"/>
  <c r="C1496" i="3" a="1"/>
  <c r="C1496" i="3" s="1"/>
  <c r="D1496" i="3" a="1"/>
  <c r="D1496" i="3" s="1"/>
  <c r="E1496" i="3" a="1"/>
  <c r="E1496" i="3" s="1"/>
  <c r="F1496" i="3" a="1"/>
  <c r="F1496" i="3" s="1"/>
  <c r="G1496" i="3" a="1"/>
  <c r="G1496" i="3" s="1"/>
  <c r="J1496" i="3" a="1"/>
  <c r="J1496" i="3" s="1"/>
  <c r="B1497" i="3" a="1"/>
  <c r="B1497" i="3" s="1"/>
  <c r="C1497" i="3" a="1"/>
  <c r="C1497" i="3" s="1"/>
  <c r="D1497" i="3" a="1"/>
  <c r="D1497" i="3" s="1"/>
  <c r="E1497" i="3" a="1"/>
  <c r="E1497" i="3" s="1"/>
  <c r="F1497" i="3" a="1"/>
  <c r="F1497" i="3" s="1"/>
  <c r="G1497" i="3" a="1"/>
  <c r="G1497" i="3" s="1"/>
  <c r="J1497" i="3" a="1"/>
  <c r="J1497" i="3" s="1"/>
  <c r="B1498" i="3" a="1"/>
  <c r="B1498" i="3" s="1"/>
  <c r="C1498" i="3" a="1"/>
  <c r="C1498" i="3" s="1"/>
  <c r="D1498" i="3" a="1"/>
  <c r="D1498" i="3" s="1"/>
  <c r="E1498" i="3" a="1"/>
  <c r="E1498" i="3" s="1"/>
  <c r="F1498" i="3" a="1"/>
  <c r="F1498" i="3" s="1"/>
  <c r="G1498" i="3" a="1"/>
  <c r="G1498" i="3" s="1"/>
  <c r="J1498" i="3" a="1"/>
  <c r="J1498" i="3" s="1"/>
  <c r="B1499" i="3" a="1"/>
  <c r="B1499" i="3" s="1"/>
  <c r="C1499" i="3" a="1"/>
  <c r="C1499" i="3" s="1"/>
  <c r="D1499" i="3" a="1"/>
  <c r="D1499" i="3" s="1"/>
  <c r="E1499" i="3" a="1"/>
  <c r="E1499" i="3" s="1"/>
  <c r="F1499" i="3" a="1"/>
  <c r="F1499" i="3" s="1"/>
  <c r="G1499" i="3" a="1"/>
  <c r="G1499" i="3" s="1"/>
  <c r="J1499" i="3" a="1"/>
  <c r="J1499" i="3" s="1"/>
  <c r="B1500" i="3" a="1"/>
  <c r="B1500" i="3" s="1"/>
  <c r="C1500" i="3" a="1"/>
  <c r="C1500" i="3" s="1"/>
  <c r="D1500" i="3" a="1"/>
  <c r="D1500" i="3" s="1"/>
  <c r="E1500" i="3" a="1"/>
  <c r="E1500" i="3" s="1"/>
  <c r="F1500" i="3" a="1"/>
  <c r="F1500" i="3" s="1"/>
  <c r="G1500" i="3" a="1"/>
  <c r="G1500" i="3" s="1"/>
  <c r="J1500" i="3" a="1"/>
  <c r="J1500" i="3" s="1"/>
  <c r="B1501" i="3" a="1"/>
  <c r="B1501" i="3" s="1"/>
  <c r="C1501" i="3" a="1"/>
  <c r="C1501" i="3" s="1"/>
  <c r="D1501" i="3" a="1"/>
  <c r="D1501" i="3" s="1"/>
  <c r="E1501" i="3" a="1"/>
  <c r="E1501" i="3" s="1"/>
  <c r="F1501" i="3" a="1"/>
  <c r="F1501" i="3" s="1"/>
  <c r="G1501" i="3" a="1"/>
  <c r="G1501" i="3" s="1"/>
  <c r="J1501" i="3" a="1"/>
  <c r="J1501" i="3" s="1"/>
  <c r="B1502" i="3" a="1"/>
  <c r="B1502" i="3" s="1"/>
  <c r="C1502" i="3" a="1"/>
  <c r="C1502" i="3" s="1"/>
  <c r="D1502" i="3" a="1"/>
  <c r="D1502" i="3" s="1"/>
  <c r="E1502" i="3" a="1"/>
  <c r="E1502" i="3" s="1"/>
  <c r="F1502" i="3" a="1"/>
  <c r="F1502" i="3" s="1"/>
  <c r="G1502" i="3" a="1"/>
  <c r="G1502" i="3" s="1"/>
  <c r="J1502" i="3" a="1"/>
  <c r="J1502" i="3" s="1"/>
  <c r="B1503" i="3" a="1"/>
  <c r="B1503" i="3" s="1"/>
  <c r="C1503" i="3" a="1"/>
  <c r="C1503" i="3" s="1"/>
  <c r="D1503" i="3" a="1"/>
  <c r="D1503" i="3" s="1"/>
  <c r="E1503" i="3" a="1"/>
  <c r="E1503" i="3" s="1"/>
  <c r="F1503" i="3" a="1"/>
  <c r="F1503" i="3" s="1"/>
  <c r="G1503" i="3" a="1"/>
  <c r="G1503" i="3" s="1"/>
  <c r="J1503" i="3" a="1"/>
  <c r="J1503" i="3" s="1"/>
  <c r="B1504" i="3" a="1"/>
  <c r="B1504" i="3" s="1"/>
  <c r="C1504" i="3" a="1"/>
  <c r="C1504" i="3" s="1"/>
  <c r="D1504" i="3" a="1"/>
  <c r="D1504" i="3" s="1"/>
  <c r="E1504" i="3" a="1"/>
  <c r="E1504" i="3" s="1"/>
  <c r="F1504" i="3" a="1"/>
  <c r="F1504" i="3" s="1"/>
  <c r="G1504" i="3" a="1"/>
  <c r="G1504" i="3" s="1"/>
  <c r="J1504" i="3" a="1"/>
  <c r="J1504" i="3" s="1"/>
  <c r="B1505" i="3" a="1"/>
  <c r="B1505" i="3" s="1"/>
  <c r="C1505" i="3" a="1"/>
  <c r="C1505" i="3" s="1"/>
  <c r="D1505" i="3" a="1"/>
  <c r="D1505" i="3" s="1"/>
  <c r="E1505" i="3" a="1"/>
  <c r="E1505" i="3" s="1"/>
  <c r="F1505" i="3" a="1"/>
  <c r="F1505" i="3" s="1"/>
  <c r="G1505" i="3" a="1"/>
  <c r="G1505" i="3" s="1"/>
  <c r="J1505" i="3" a="1"/>
  <c r="J1505" i="3" s="1"/>
  <c r="B1506" i="3" a="1"/>
  <c r="B1506" i="3" s="1"/>
  <c r="C1506" i="3" a="1"/>
  <c r="C1506" i="3" s="1"/>
  <c r="D1506" i="3" a="1"/>
  <c r="D1506" i="3" s="1"/>
  <c r="E1506" i="3" a="1"/>
  <c r="E1506" i="3" s="1"/>
  <c r="F1506" i="3" a="1"/>
  <c r="F1506" i="3" s="1"/>
  <c r="G1506" i="3" a="1"/>
  <c r="G1506" i="3" s="1"/>
  <c r="J1506" i="3" a="1"/>
  <c r="J1506" i="3" s="1"/>
  <c r="B1507" i="3" a="1"/>
  <c r="B1507" i="3" s="1"/>
  <c r="C1507" i="3" a="1"/>
  <c r="C1507" i="3" s="1"/>
  <c r="D1507" i="3" a="1"/>
  <c r="D1507" i="3" s="1"/>
  <c r="E1507" i="3" a="1"/>
  <c r="E1507" i="3" s="1"/>
  <c r="F1507" i="3" a="1"/>
  <c r="F1507" i="3" s="1"/>
  <c r="G1507" i="3" a="1"/>
  <c r="G1507" i="3" s="1"/>
  <c r="J1507" i="3" a="1"/>
  <c r="J1507" i="3" s="1"/>
  <c r="B1508" i="3" a="1"/>
  <c r="B1508" i="3" s="1"/>
  <c r="C1508" i="3" a="1"/>
  <c r="C1508" i="3" s="1"/>
  <c r="D1508" i="3" a="1"/>
  <c r="D1508" i="3" s="1"/>
  <c r="E1508" i="3" a="1"/>
  <c r="E1508" i="3" s="1"/>
  <c r="F1508" i="3" a="1"/>
  <c r="F1508" i="3" s="1"/>
  <c r="G1508" i="3" a="1"/>
  <c r="G1508" i="3" s="1"/>
  <c r="J1508" i="3" a="1"/>
  <c r="J1508" i="3" s="1"/>
  <c r="B1509" i="3" a="1"/>
  <c r="B1509" i="3" s="1"/>
  <c r="C1509" i="3" a="1"/>
  <c r="C1509" i="3" s="1"/>
  <c r="D1509" i="3" a="1"/>
  <c r="D1509" i="3" s="1"/>
  <c r="E1509" i="3" a="1"/>
  <c r="E1509" i="3" s="1"/>
  <c r="F1509" i="3" a="1"/>
  <c r="F1509" i="3" s="1"/>
  <c r="G1509" i="3" a="1"/>
  <c r="G1509" i="3" s="1"/>
  <c r="J1509" i="3" a="1"/>
  <c r="J1509" i="3" s="1"/>
  <c r="B1510" i="3" a="1"/>
  <c r="B1510" i="3" s="1"/>
  <c r="C1510" i="3" a="1"/>
  <c r="C1510" i="3" s="1"/>
  <c r="D1510" i="3" a="1"/>
  <c r="D1510" i="3" s="1"/>
  <c r="E1510" i="3" a="1"/>
  <c r="E1510" i="3" s="1"/>
  <c r="F1510" i="3" a="1"/>
  <c r="F1510" i="3" s="1"/>
  <c r="G1510" i="3" a="1"/>
  <c r="G1510" i="3" s="1"/>
  <c r="J1510" i="3" a="1"/>
  <c r="J1510" i="3" s="1"/>
  <c r="B1511" i="3" a="1"/>
  <c r="B1511" i="3" s="1"/>
  <c r="C1511" i="3" a="1"/>
  <c r="C1511" i="3" s="1"/>
  <c r="D1511" i="3" a="1"/>
  <c r="D1511" i="3" s="1"/>
  <c r="E1511" i="3" a="1"/>
  <c r="E1511" i="3" s="1"/>
  <c r="F1511" i="3" a="1"/>
  <c r="F1511" i="3" s="1"/>
  <c r="G1511" i="3" a="1"/>
  <c r="G1511" i="3" s="1"/>
  <c r="J1511" i="3" a="1"/>
  <c r="J1511" i="3" s="1"/>
  <c r="B1512" i="3" a="1"/>
  <c r="B1512" i="3" s="1"/>
  <c r="C1512" i="3" a="1"/>
  <c r="C1512" i="3" s="1"/>
  <c r="D1512" i="3" a="1"/>
  <c r="D1512" i="3" s="1"/>
  <c r="E1512" i="3" a="1"/>
  <c r="E1512" i="3" s="1"/>
  <c r="F1512" i="3" a="1"/>
  <c r="F1512" i="3" s="1"/>
  <c r="G1512" i="3" a="1"/>
  <c r="G1512" i="3" s="1"/>
  <c r="J1512" i="3" a="1"/>
  <c r="J1512" i="3" s="1"/>
  <c r="B1513" i="3" a="1"/>
  <c r="B1513" i="3" s="1"/>
  <c r="C1513" i="3" a="1"/>
  <c r="C1513" i="3" s="1"/>
  <c r="D1513" i="3" a="1"/>
  <c r="D1513" i="3" s="1"/>
  <c r="E1513" i="3" a="1"/>
  <c r="E1513" i="3" s="1"/>
  <c r="F1513" i="3" a="1"/>
  <c r="F1513" i="3" s="1"/>
  <c r="G1513" i="3" a="1"/>
  <c r="G1513" i="3" s="1"/>
  <c r="J1513" i="3" a="1"/>
  <c r="J1513" i="3" s="1"/>
  <c r="B1514" i="3" a="1"/>
  <c r="B1514" i="3" s="1"/>
  <c r="C1514" i="3" a="1"/>
  <c r="C1514" i="3" s="1"/>
  <c r="D1514" i="3" a="1"/>
  <c r="D1514" i="3" s="1"/>
  <c r="E1514" i="3" a="1"/>
  <c r="E1514" i="3" s="1"/>
  <c r="F1514" i="3" a="1"/>
  <c r="F1514" i="3" s="1"/>
  <c r="G1514" i="3" a="1"/>
  <c r="G1514" i="3" s="1"/>
  <c r="J1514" i="3" a="1"/>
  <c r="J1514" i="3" s="1"/>
  <c r="B1515" i="3" a="1"/>
  <c r="B1515" i="3" s="1"/>
  <c r="C1515" i="3" a="1"/>
  <c r="C1515" i="3" s="1"/>
  <c r="D1515" i="3" a="1"/>
  <c r="D1515" i="3" s="1"/>
  <c r="E1515" i="3" a="1"/>
  <c r="E1515" i="3" s="1"/>
  <c r="F1515" i="3" a="1"/>
  <c r="F1515" i="3" s="1"/>
  <c r="G1515" i="3" a="1"/>
  <c r="G1515" i="3" s="1"/>
  <c r="J1515" i="3" a="1"/>
  <c r="J1515" i="3" s="1"/>
  <c r="B1516" i="3" a="1"/>
  <c r="B1516" i="3" s="1"/>
  <c r="C1516" i="3" a="1"/>
  <c r="C1516" i="3" s="1"/>
  <c r="D1516" i="3" a="1"/>
  <c r="D1516" i="3" s="1"/>
  <c r="E1516" i="3" a="1"/>
  <c r="E1516" i="3" s="1"/>
  <c r="F1516" i="3" a="1"/>
  <c r="F1516" i="3" s="1"/>
  <c r="G1516" i="3" a="1"/>
  <c r="G1516" i="3" s="1"/>
  <c r="J1516" i="3" a="1"/>
  <c r="J1516" i="3" s="1"/>
  <c r="B1517" i="3" a="1"/>
  <c r="B1517" i="3" s="1"/>
  <c r="C1517" i="3" a="1"/>
  <c r="C1517" i="3" s="1"/>
  <c r="D1517" i="3" a="1"/>
  <c r="D1517" i="3" s="1"/>
  <c r="E1517" i="3" a="1"/>
  <c r="E1517" i="3" s="1"/>
  <c r="F1517" i="3" a="1"/>
  <c r="F1517" i="3" s="1"/>
  <c r="G1517" i="3" a="1"/>
  <c r="G1517" i="3" s="1"/>
  <c r="J1517" i="3" a="1"/>
  <c r="J1517" i="3" s="1"/>
  <c r="B1518" i="3" a="1"/>
  <c r="B1518" i="3" s="1"/>
  <c r="C1518" i="3" a="1"/>
  <c r="C1518" i="3" s="1"/>
  <c r="D1518" i="3" a="1"/>
  <c r="D1518" i="3" s="1"/>
  <c r="E1518" i="3" a="1"/>
  <c r="E1518" i="3" s="1"/>
  <c r="F1518" i="3" a="1"/>
  <c r="F1518" i="3" s="1"/>
  <c r="G1518" i="3" a="1"/>
  <c r="G1518" i="3" s="1"/>
  <c r="J1518" i="3" a="1"/>
  <c r="J1518" i="3" s="1"/>
  <c r="B1519" i="3" a="1"/>
  <c r="B1519" i="3" s="1"/>
  <c r="C1519" i="3" a="1"/>
  <c r="C1519" i="3" s="1"/>
  <c r="D1519" i="3" a="1"/>
  <c r="D1519" i="3" s="1"/>
  <c r="E1519" i="3" a="1"/>
  <c r="E1519" i="3" s="1"/>
  <c r="F1519" i="3" a="1"/>
  <c r="F1519" i="3" s="1"/>
  <c r="G1519" i="3" a="1"/>
  <c r="G1519" i="3" s="1"/>
  <c r="J1519" i="3" a="1"/>
  <c r="J1519" i="3" s="1"/>
  <c r="B1520" i="3" a="1"/>
  <c r="B1520" i="3" s="1"/>
  <c r="C1520" i="3" a="1"/>
  <c r="C1520" i="3" s="1"/>
  <c r="D1520" i="3" a="1"/>
  <c r="D1520" i="3" s="1"/>
  <c r="E1520" i="3" a="1"/>
  <c r="E1520" i="3" s="1"/>
  <c r="F1520" i="3" a="1"/>
  <c r="F1520" i="3" s="1"/>
  <c r="G1520" i="3" a="1"/>
  <c r="G1520" i="3" s="1"/>
  <c r="J1520" i="3" a="1"/>
  <c r="J1520" i="3" s="1"/>
  <c r="B1521" i="3" a="1"/>
  <c r="B1521" i="3" s="1"/>
  <c r="C1521" i="3" a="1"/>
  <c r="C1521" i="3" s="1"/>
  <c r="D1521" i="3" a="1"/>
  <c r="D1521" i="3" s="1"/>
  <c r="E1521" i="3" a="1"/>
  <c r="E1521" i="3" s="1"/>
  <c r="F1521" i="3" a="1"/>
  <c r="F1521" i="3" s="1"/>
  <c r="G1521" i="3" a="1"/>
  <c r="G1521" i="3" s="1"/>
  <c r="J1521" i="3" a="1"/>
  <c r="J1521" i="3" s="1"/>
  <c r="B1522" i="3" a="1"/>
  <c r="B1522" i="3" s="1"/>
  <c r="C1522" i="3" a="1"/>
  <c r="C1522" i="3" s="1"/>
  <c r="D1522" i="3" a="1"/>
  <c r="D1522" i="3" s="1"/>
  <c r="E1522" i="3" a="1"/>
  <c r="E1522" i="3" s="1"/>
  <c r="F1522" i="3" a="1"/>
  <c r="F1522" i="3" s="1"/>
  <c r="G1522" i="3" a="1"/>
  <c r="G1522" i="3" s="1"/>
  <c r="J1522" i="3" a="1"/>
  <c r="J1522" i="3" s="1"/>
  <c r="B1523" i="3" a="1"/>
  <c r="B1523" i="3" s="1"/>
  <c r="C1523" i="3" a="1"/>
  <c r="C1523" i="3" s="1"/>
  <c r="D1523" i="3" a="1"/>
  <c r="D1523" i="3" s="1"/>
  <c r="E1523" i="3" a="1"/>
  <c r="E1523" i="3" s="1"/>
  <c r="F1523" i="3" a="1"/>
  <c r="F1523" i="3" s="1"/>
  <c r="G1523" i="3" a="1"/>
  <c r="G1523" i="3" s="1"/>
  <c r="J1523" i="3" a="1"/>
  <c r="J1523" i="3" s="1"/>
  <c r="B1524" i="3" a="1"/>
  <c r="B1524" i="3" s="1"/>
  <c r="C1524" i="3" a="1"/>
  <c r="C1524" i="3" s="1"/>
  <c r="D1524" i="3" a="1"/>
  <c r="D1524" i="3" s="1"/>
  <c r="E1524" i="3" a="1"/>
  <c r="E1524" i="3" s="1"/>
  <c r="F1524" i="3" a="1"/>
  <c r="F1524" i="3" s="1"/>
  <c r="G1524" i="3" a="1"/>
  <c r="G1524" i="3" s="1"/>
  <c r="J1524" i="3" a="1"/>
  <c r="J1524" i="3" s="1"/>
  <c r="B1525" i="3" a="1"/>
  <c r="B1525" i="3" s="1"/>
  <c r="C1525" i="3" a="1"/>
  <c r="C1525" i="3" s="1"/>
  <c r="D1525" i="3" a="1"/>
  <c r="D1525" i="3" s="1"/>
  <c r="E1525" i="3" a="1"/>
  <c r="E1525" i="3" s="1"/>
  <c r="F1525" i="3" a="1"/>
  <c r="F1525" i="3" s="1"/>
  <c r="G1525" i="3" a="1"/>
  <c r="G1525" i="3" s="1"/>
  <c r="J1525" i="3" a="1"/>
  <c r="J1525" i="3" s="1"/>
  <c r="B1526" i="3" a="1"/>
  <c r="B1526" i="3" s="1"/>
  <c r="C1526" i="3" a="1"/>
  <c r="C1526" i="3" s="1"/>
  <c r="D1526" i="3" a="1"/>
  <c r="D1526" i="3" s="1"/>
  <c r="E1526" i="3" a="1"/>
  <c r="E1526" i="3" s="1"/>
  <c r="F1526" i="3" a="1"/>
  <c r="F1526" i="3" s="1"/>
  <c r="G1526" i="3" a="1"/>
  <c r="G1526" i="3" s="1"/>
  <c r="J1526" i="3" a="1"/>
  <c r="J1526" i="3" s="1"/>
  <c r="B1527" i="3" a="1"/>
  <c r="B1527" i="3" s="1"/>
  <c r="C1527" i="3" a="1"/>
  <c r="C1527" i="3" s="1"/>
  <c r="D1527" i="3" a="1"/>
  <c r="D1527" i="3" s="1"/>
  <c r="E1527" i="3" a="1"/>
  <c r="E1527" i="3" s="1"/>
  <c r="F1527" i="3" a="1"/>
  <c r="F1527" i="3" s="1"/>
  <c r="G1527" i="3" a="1"/>
  <c r="G1527" i="3" s="1"/>
  <c r="J1527" i="3" a="1"/>
  <c r="J1527" i="3" s="1"/>
  <c r="B1528" i="3" a="1"/>
  <c r="B1528" i="3" s="1"/>
  <c r="C1528" i="3" a="1"/>
  <c r="C1528" i="3" s="1"/>
  <c r="D1528" i="3" a="1"/>
  <c r="D1528" i="3" s="1"/>
  <c r="E1528" i="3" a="1"/>
  <c r="E1528" i="3" s="1"/>
  <c r="F1528" i="3" a="1"/>
  <c r="F1528" i="3" s="1"/>
  <c r="G1528" i="3" a="1"/>
  <c r="G1528" i="3" s="1"/>
  <c r="J1528" i="3" a="1"/>
  <c r="J1528" i="3" s="1"/>
  <c r="B1529" i="3" a="1"/>
  <c r="B1529" i="3" s="1"/>
  <c r="C1529" i="3" a="1"/>
  <c r="C1529" i="3" s="1"/>
  <c r="D1529" i="3" a="1"/>
  <c r="D1529" i="3" s="1"/>
  <c r="E1529" i="3" a="1"/>
  <c r="E1529" i="3" s="1"/>
  <c r="F1529" i="3" a="1"/>
  <c r="F1529" i="3" s="1"/>
  <c r="G1529" i="3" a="1"/>
  <c r="G1529" i="3" s="1"/>
  <c r="J1529" i="3" a="1"/>
  <c r="J1529" i="3" s="1"/>
  <c r="B1530" i="3" a="1"/>
  <c r="B1530" i="3" s="1"/>
  <c r="C1530" i="3" a="1"/>
  <c r="C1530" i="3" s="1"/>
  <c r="D1530" i="3" a="1"/>
  <c r="D1530" i="3" s="1"/>
  <c r="E1530" i="3" a="1"/>
  <c r="E1530" i="3" s="1"/>
  <c r="F1530" i="3" a="1"/>
  <c r="F1530" i="3" s="1"/>
  <c r="G1530" i="3" a="1"/>
  <c r="G1530" i="3" s="1"/>
  <c r="J1530" i="3" a="1"/>
  <c r="J1530" i="3" s="1"/>
  <c r="B1531" i="3" a="1"/>
  <c r="B1531" i="3" s="1"/>
  <c r="C1531" i="3" a="1"/>
  <c r="C1531" i="3" s="1"/>
  <c r="D1531" i="3" a="1"/>
  <c r="D1531" i="3" s="1"/>
  <c r="E1531" i="3" a="1"/>
  <c r="E1531" i="3" s="1"/>
  <c r="F1531" i="3" a="1"/>
  <c r="F1531" i="3" s="1"/>
  <c r="G1531" i="3" a="1"/>
  <c r="G1531" i="3" s="1"/>
  <c r="J1531" i="3" a="1"/>
  <c r="J1531" i="3" s="1"/>
  <c r="B1532" i="3" a="1"/>
  <c r="B1532" i="3" s="1"/>
  <c r="C1532" i="3" a="1"/>
  <c r="C1532" i="3" s="1"/>
  <c r="D1532" i="3" a="1"/>
  <c r="D1532" i="3" s="1"/>
  <c r="E1532" i="3" a="1"/>
  <c r="E1532" i="3" s="1"/>
  <c r="F1532" i="3" a="1"/>
  <c r="F1532" i="3" s="1"/>
  <c r="G1532" i="3" a="1"/>
  <c r="G1532" i="3" s="1"/>
  <c r="J1532" i="3" a="1"/>
  <c r="J1532" i="3" s="1"/>
  <c r="B1533" i="3" a="1"/>
  <c r="B1533" i="3" s="1"/>
  <c r="C1533" i="3" a="1"/>
  <c r="C1533" i="3" s="1"/>
  <c r="D1533" i="3" a="1"/>
  <c r="D1533" i="3" s="1"/>
  <c r="E1533" i="3" a="1"/>
  <c r="E1533" i="3" s="1"/>
  <c r="F1533" i="3" a="1"/>
  <c r="F1533" i="3" s="1"/>
  <c r="G1533" i="3" a="1"/>
  <c r="G1533" i="3" s="1"/>
  <c r="J1533" i="3" a="1"/>
  <c r="J1533" i="3" s="1"/>
  <c r="B1534" i="3" a="1"/>
  <c r="B1534" i="3" s="1"/>
  <c r="C1534" i="3" a="1"/>
  <c r="C1534" i="3" s="1"/>
  <c r="D1534" i="3" a="1"/>
  <c r="D1534" i="3" s="1"/>
  <c r="E1534" i="3" a="1"/>
  <c r="E1534" i="3" s="1"/>
  <c r="F1534" i="3" a="1"/>
  <c r="F1534" i="3" s="1"/>
  <c r="G1534" i="3" a="1"/>
  <c r="G1534" i="3" s="1"/>
  <c r="J1534" i="3" a="1"/>
  <c r="J1534" i="3" s="1"/>
  <c r="B1535" i="3" a="1"/>
  <c r="B1535" i="3" s="1"/>
  <c r="C1535" i="3" a="1"/>
  <c r="C1535" i="3" s="1"/>
  <c r="D1535" i="3" a="1"/>
  <c r="D1535" i="3" s="1"/>
  <c r="E1535" i="3" a="1"/>
  <c r="E1535" i="3" s="1"/>
  <c r="F1535" i="3" a="1"/>
  <c r="F1535" i="3" s="1"/>
  <c r="G1535" i="3" a="1"/>
  <c r="G1535" i="3" s="1"/>
  <c r="J1535" i="3" a="1"/>
  <c r="J1535" i="3" s="1"/>
  <c r="B1536" i="3" a="1"/>
  <c r="B1536" i="3" s="1"/>
  <c r="C1536" i="3" a="1"/>
  <c r="C1536" i="3" s="1"/>
  <c r="D1536" i="3" a="1"/>
  <c r="D1536" i="3" s="1"/>
  <c r="E1536" i="3" a="1"/>
  <c r="E1536" i="3" s="1"/>
  <c r="F1536" i="3" a="1"/>
  <c r="F1536" i="3" s="1"/>
  <c r="G1536" i="3" a="1"/>
  <c r="G1536" i="3" s="1"/>
  <c r="J1536" i="3" a="1"/>
  <c r="J1536" i="3" s="1"/>
  <c r="B1537" i="3" a="1"/>
  <c r="B1537" i="3" s="1"/>
  <c r="C1537" i="3" a="1"/>
  <c r="C1537" i="3" s="1"/>
  <c r="D1537" i="3" a="1"/>
  <c r="D1537" i="3" s="1"/>
  <c r="E1537" i="3" a="1"/>
  <c r="E1537" i="3" s="1"/>
  <c r="F1537" i="3" a="1"/>
  <c r="F1537" i="3" s="1"/>
  <c r="G1537" i="3" a="1"/>
  <c r="G1537" i="3" s="1"/>
  <c r="J1537" i="3" a="1"/>
  <c r="J1537" i="3" s="1"/>
  <c r="B1538" i="3" a="1"/>
  <c r="B1538" i="3" s="1"/>
  <c r="C1538" i="3" a="1"/>
  <c r="C1538" i="3" s="1"/>
  <c r="D1538" i="3" a="1"/>
  <c r="D1538" i="3" s="1"/>
  <c r="E1538" i="3" a="1"/>
  <c r="E1538" i="3" s="1"/>
  <c r="F1538" i="3" a="1"/>
  <c r="F1538" i="3" s="1"/>
  <c r="G1538" i="3" a="1"/>
  <c r="G1538" i="3" s="1"/>
  <c r="J1538" i="3" a="1"/>
  <c r="J1538" i="3" s="1"/>
  <c r="B1539" i="3" a="1"/>
  <c r="B1539" i="3" s="1"/>
  <c r="C1539" i="3" a="1"/>
  <c r="C1539" i="3" s="1"/>
  <c r="D1539" i="3" a="1"/>
  <c r="D1539" i="3" s="1"/>
  <c r="E1539" i="3" a="1"/>
  <c r="E1539" i="3" s="1"/>
  <c r="F1539" i="3" a="1"/>
  <c r="F1539" i="3" s="1"/>
  <c r="G1539" i="3" a="1"/>
  <c r="G1539" i="3" s="1"/>
  <c r="J1539" i="3" a="1"/>
  <c r="J1539" i="3" s="1"/>
  <c r="B1540" i="3" a="1"/>
  <c r="B1540" i="3" s="1"/>
  <c r="C1540" i="3" a="1"/>
  <c r="C1540" i="3" s="1"/>
  <c r="D1540" i="3" a="1"/>
  <c r="D1540" i="3" s="1"/>
  <c r="E1540" i="3" a="1"/>
  <c r="E1540" i="3" s="1"/>
  <c r="F1540" i="3" a="1"/>
  <c r="F1540" i="3" s="1"/>
  <c r="G1540" i="3" a="1"/>
  <c r="G1540" i="3" s="1"/>
  <c r="J1540" i="3" a="1"/>
  <c r="J1540" i="3" s="1"/>
  <c r="B1541" i="3" a="1"/>
  <c r="B1541" i="3" s="1"/>
  <c r="C1541" i="3" a="1"/>
  <c r="C1541" i="3" s="1"/>
  <c r="D1541" i="3" a="1"/>
  <c r="D1541" i="3" s="1"/>
  <c r="E1541" i="3" a="1"/>
  <c r="E1541" i="3" s="1"/>
  <c r="F1541" i="3" a="1"/>
  <c r="F1541" i="3" s="1"/>
  <c r="G1541" i="3" a="1"/>
  <c r="G1541" i="3" s="1"/>
  <c r="J1541" i="3" a="1"/>
  <c r="J1541" i="3" s="1"/>
  <c r="B1542" i="3" a="1"/>
  <c r="B1542" i="3" s="1"/>
  <c r="C1542" i="3" a="1"/>
  <c r="C1542" i="3" s="1"/>
  <c r="D1542" i="3" a="1"/>
  <c r="D1542" i="3" s="1"/>
  <c r="E1542" i="3" a="1"/>
  <c r="E1542" i="3" s="1"/>
  <c r="F1542" i="3" a="1"/>
  <c r="F1542" i="3" s="1"/>
  <c r="G1542" i="3" a="1"/>
  <c r="G1542" i="3" s="1"/>
  <c r="J1542" i="3" a="1"/>
  <c r="J1542" i="3" s="1"/>
  <c r="B1543" i="3" a="1"/>
  <c r="B1543" i="3" s="1"/>
  <c r="C1543" i="3" a="1"/>
  <c r="C1543" i="3" s="1"/>
  <c r="D1543" i="3" a="1"/>
  <c r="D1543" i="3" s="1"/>
  <c r="E1543" i="3" a="1"/>
  <c r="E1543" i="3" s="1"/>
  <c r="F1543" i="3" a="1"/>
  <c r="F1543" i="3" s="1"/>
  <c r="G1543" i="3" a="1"/>
  <c r="G1543" i="3" s="1"/>
  <c r="J1543" i="3" a="1"/>
  <c r="J1543" i="3" s="1"/>
  <c r="B1544" i="3" a="1"/>
  <c r="B1544" i="3" s="1"/>
  <c r="C1544" i="3" a="1"/>
  <c r="C1544" i="3" s="1"/>
  <c r="D1544" i="3" a="1"/>
  <c r="D1544" i="3" s="1"/>
  <c r="E1544" i="3" a="1"/>
  <c r="E1544" i="3" s="1"/>
  <c r="F1544" i="3" a="1"/>
  <c r="F1544" i="3" s="1"/>
  <c r="G1544" i="3" a="1"/>
  <c r="G1544" i="3" s="1"/>
  <c r="J1544" i="3" a="1"/>
  <c r="J1544" i="3" s="1"/>
  <c r="B1545" i="3" a="1"/>
  <c r="B1545" i="3" s="1"/>
  <c r="C1545" i="3" a="1"/>
  <c r="C1545" i="3" s="1"/>
  <c r="D1545" i="3" a="1"/>
  <c r="D1545" i="3" s="1"/>
  <c r="E1545" i="3" a="1"/>
  <c r="E1545" i="3" s="1"/>
  <c r="F1545" i="3" a="1"/>
  <c r="F1545" i="3" s="1"/>
  <c r="G1545" i="3" a="1"/>
  <c r="G1545" i="3" s="1"/>
  <c r="J1545" i="3" a="1"/>
  <c r="J1545" i="3" s="1"/>
  <c r="B1546" i="3" a="1"/>
  <c r="B1546" i="3" s="1"/>
  <c r="C1546" i="3" a="1"/>
  <c r="C1546" i="3" s="1"/>
  <c r="D1546" i="3" a="1"/>
  <c r="D1546" i="3" s="1"/>
  <c r="E1546" i="3" a="1"/>
  <c r="E1546" i="3" s="1"/>
  <c r="F1546" i="3" a="1"/>
  <c r="F1546" i="3" s="1"/>
  <c r="G1546" i="3" a="1"/>
  <c r="G1546" i="3" s="1"/>
  <c r="J1546" i="3" a="1"/>
  <c r="J1546" i="3" s="1"/>
  <c r="B1547" i="3" a="1"/>
  <c r="B1547" i="3" s="1"/>
  <c r="C1547" i="3" a="1"/>
  <c r="C1547" i="3" s="1"/>
  <c r="D1547" i="3" a="1"/>
  <c r="D1547" i="3" s="1"/>
  <c r="E1547" i="3" a="1"/>
  <c r="E1547" i="3" s="1"/>
  <c r="F1547" i="3" a="1"/>
  <c r="F1547" i="3" s="1"/>
  <c r="G1547" i="3" a="1"/>
  <c r="G1547" i="3" s="1"/>
  <c r="J1547" i="3" a="1"/>
  <c r="J1547" i="3" s="1"/>
  <c r="B1548" i="3" a="1"/>
  <c r="B1548" i="3" s="1"/>
  <c r="C1548" i="3" a="1"/>
  <c r="C1548" i="3" s="1"/>
  <c r="D1548" i="3" a="1"/>
  <c r="D1548" i="3" s="1"/>
  <c r="E1548" i="3" a="1"/>
  <c r="E1548" i="3" s="1"/>
  <c r="F1548" i="3" a="1"/>
  <c r="F1548" i="3" s="1"/>
  <c r="G1548" i="3" a="1"/>
  <c r="G1548" i="3" s="1"/>
  <c r="J1548" i="3" a="1"/>
  <c r="J1548" i="3" s="1"/>
  <c r="B1549" i="3" a="1"/>
  <c r="B1549" i="3" s="1"/>
  <c r="C1549" i="3" a="1"/>
  <c r="C1549" i="3" s="1"/>
  <c r="D1549" i="3" a="1"/>
  <c r="D1549" i="3" s="1"/>
  <c r="E1549" i="3" a="1"/>
  <c r="E1549" i="3" s="1"/>
  <c r="F1549" i="3" a="1"/>
  <c r="F1549" i="3" s="1"/>
  <c r="G1549" i="3" a="1"/>
  <c r="G1549" i="3" s="1"/>
  <c r="J1549" i="3" a="1"/>
  <c r="J1549" i="3" s="1"/>
  <c r="B1550" i="3" a="1"/>
  <c r="B1550" i="3" s="1"/>
  <c r="C1550" i="3" a="1"/>
  <c r="C1550" i="3" s="1"/>
  <c r="D1550" i="3" a="1"/>
  <c r="D1550" i="3" s="1"/>
  <c r="E1550" i="3" a="1"/>
  <c r="E1550" i="3" s="1"/>
  <c r="F1550" i="3" a="1"/>
  <c r="F1550" i="3" s="1"/>
  <c r="G1550" i="3" a="1"/>
  <c r="G1550" i="3" s="1"/>
  <c r="J1550" i="3" a="1"/>
  <c r="J1550" i="3" s="1"/>
  <c r="B1551" i="3" a="1"/>
  <c r="B1551" i="3" s="1"/>
  <c r="C1551" i="3" a="1"/>
  <c r="C1551" i="3" s="1"/>
  <c r="D1551" i="3" a="1"/>
  <c r="D1551" i="3" s="1"/>
  <c r="E1551" i="3" a="1"/>
  <c r="E1551" i="3" s="1"/>
  <c r="F1551" i="3" a="1"/>
  <c r="F1551" i="3" s="1"/>
  <c r="G1551" i="3" a="1"/>
  <c r="G1551" i="3" s="1"/>
  <c r="J1551" i="3" a="1"/>
  <c r="J1551" i="3" s="1"/>
  <c r="B1552" i="3" a="1"/>
  <c r="B1552" i="3" s="1"/>
  <c r="C1552" i="3" a="1"/>
  <c r="C1552" i="3" s="1"/>
  <c r="D1552" i="3" a="1"/>
  <c r="D1552" i="3" s="1"/>
  <c r="E1552" i="3" a="1"/>
  <c r="E1552" i="3" s="1"/>
  <c r="F1552" i="3" a="1"/>
  <c r="F1552" i="3" s="1"/>
  <c r="G1552" i="3" a="1"/>
  <c r="G1552" i="3" s="1"/>
  <c r="J1552" i="3" a="1"/>
  <c r="J1552" i="3" s="1"/>
  <c r="B1553" i="3" a="1"/>
  <c r="B1553" i="3" s="1"/>
  <c r="C1553" i="3" a="1"/>
  <c r="C1553" i="3" s="1"/>
  <c r="D1553" i="3" a="1"/>
  <c r="D1553" i="3" s="1"/>
  <c r="E1553" i="3" a="1"/>
  <c r="E1553" i="3" s="1"/>
  <c r="F1553" i="3" a="1"/>
  <c r="F1553" i="3" s="1"/>
  <c r="G1553" i="3" a="1"/>
  <c r="G1553" i="3" s="1"/>
  <c r="J1553" i="3" a="1"/>
  <c r="J1553" i="3" s="1"/>
  <c r="B1554" i="3" a="1"/>
  <c r="B1554" i="3" s="1"/>
  <c r="C1554" i="3" a="1"/>
  <c r="C1554" i="3" s="1"/>
  <c r="D1554" i="3" a="1"/>
  <c r="D1554" i="3" s="1"/>
  <c r="E1554" i="3" a="1"/>
  <c r="E1554" i="3" s="1"/>
  <c r="F1554" i="3" a="1"/>
  <c r="F1554" i="3" s="1"/>
  <c r="G1554" i="3" a="1"/>
  <c r="G1554" i="3" s="1"/>
  <c r="J1554" i="3" a="1"/>
  <c r="J1554" i="3" s="1"/>
  <c r="B1555" i="3" a="1"/>
  <c r="B1555" i="3" s="1"/>
  <c r="C1555" i="3" a="1"/>
  <c r="C1555" i="3" s="1"/>
  <c r="D1555" i="3" a="1"/>
  <c r="D1555" i="3" s="1"/>
  <c r="E1555" i="3" a="1"/>
  <c r="E1555" i="3" s="1"/>
  <c r="F1555" i="3" a="1"/>
  <c r="F1555" i="3" s="1"/>
  <c r="G1555" i="3" a="1"/>
  <c r="G1555" i="3" s="1"/>
  <c r="J1555" i="3" a="1"/>
  <c r="J1555" i="3" s="1"/>
  <c r="B1556" i="3" a="1"/>
  <c r="B1556" i="3" s="1"/>
  <c r="C1556" i="3" a="1"/>
  <c r="C1556" i="3" s="1"/>
  <c r="D1556" i="3" a="1"/>
  <c r="D1556" i="3" s="1"/>
  <c r="E1556" i="3" a="1"/>
  <c r="E1556" i="3" s="1"/>
  <c r="F1556" i="3" a="1"/>
  <c r="F1556" i="3" s="1"/>
  <c r="G1556" i="3" a="1"/>
  <c r="G1556" i="3" s="1"/>
  <c r="J1556" i="3" a="1"/>
  <c r="J1556" i="3" s="1"/>
  <c r="B1557" i="3" a="1"/>
  <c r="B1557" i="3" s="1"/>
  <c r="C1557" i="3" a="1"/>
  <c r="C1557" i="3" s="1"/>
  <c r="D1557" i="3" a="1"/>
  <c r="D1557" i="3" s="1"/>
  <c r="E1557" i="3" a="1"/>
  <c r="E1557" i="3" s="1"/>
  <c r="F1557" i="3" a="1"/>
  <c r="F1557" i="3" s="1"/>
  <c r="G1557" i="3" a="1"/>
  <c r="G1557" i="3" s="1"/>
  <c r="J1557" i="3" a="1"/>
  <c r="J1557" i="3" s="1"/>
  <c r="B1558" i="3" a="1"/>
  <c r="B1558" i="3" s="1"/>
  <c r="C1558" i="3" a="1"/>
  <c r="C1558" i="3" s="1"/>
  <c r="D1558" i="3" a="1"/>
  <c r="D1558" i="3" s="1"/>
  <c r="E1558" i="3" a="1"/>
  <c r="E1558" i="3" s="1"/>
  <c r="F1558" i="3" a="1"/>
  <c r="F1558" i="3" s="1"/>
  <c r="G1558" i="3" a="1"/>
  <c r="G1558" i="3" s="1"/>
  <c r="J1558" i="3" a="1"/>
  <c r="J1558" i="3" s="1"/>
  <c r="B1559" i="3" a="1"/>
  <c r="B1559" i="3" s="1"/>
  <c r="C1559" i="3" a="1"/>
  <c r="C1559" i="3" s="1"/>
  <c r="D1559" i="3" a="1"/>
  <c r="D1559" i="3" s="1"/>
  <c r="E1559" i="3" a="1"/>
  <c r="E1559" i="3" s="1"/>
  <c r="F1559" i="3" a="1"/>
  <c r="F1559" i="3" s="1"/>
  <c r="G1559" i="3" a="1"/>
  <c r="G1559" i="3" s="1"/>
  <c r="J1559" i="3" a="1"/>
  <c r="J1559" i="3" s="1"/>
  <c r="B1560" i="3" a="1"/>
  <c r="B1560" i="3" s="1"/>
  <c r="C1560" i="3" a="1"/>
  <c r="C1560" i="3" s="1"/>
  <c r="D1560" i="3" a="1"/>
  <c r="D1560" i="3" s="1"/>
  <c r="E1560" i="3" a="1"/>
  <c r="E1560" i="3" s="1"/>
  <c r="F1560" i="3" a="1"/>
  <c r="F1560" i="3" s="1"/>
  <c r="G1560" i="3" a="1"/>
  <c r="G1560" i="3" s="1"/>
  <c r="J1560" i="3" a="1"/>
  <c r="J1560" i="3" s="1"/>
  <c r="B1561" i="3" a="1"/>
  <c r="B1561" i="3" s="1"/>
  <c r="C1561" i="3" a="1"/>
  <c r="C1561" i="3" s="1"/>
  <c r="D1561" i="3" a="1"/>
  <c r="D1561" i="3" s="1"/>
  <c r="E1561" i="3" a="1"/>
  <c r="E1561" i="3" s="1"/>
  <c r="F1561" i="3" a="1"/>
  <c r="F1561" i="3" s="1"/>
  <c r="G1561" i="3" a="1"/>
  <c r="G1561" i="3" s="1"/>
  <c r="J1561" i="3" a="1"/>
  <c r="J1561" i="3" s="1"/>
  <c r="B1562" i="3" a="1"/>
  <c r="B1562" i="3" s="1"/>
  <c r="C1562" i="3" a="1"/>
  <c r="C1562" i="3" s="1"/>
  <c r="D1562" i="3" a="1"/>
  <c r="D1562" i="3" s="1"/>
  <c r="E1562" i="3" a="1"/>
  <c r="E1562" i="3" s="1"/>
  <c r="F1562" i="3" a="1"/>
  <c r="F1562" i="3" s="1"/>
  <c r="G1562" i="3" a="1"/>
  <c r="G1562" i="3" s="1"/>
  <c r="J1562" i="3" a="1"/>
  <c r="J1562" i="3" s="1"/>
  <c r="B1563" i="3" a="1"/>
  <c r="B1563" i="3" s="1"/>
  <c r="C1563" i="3" a="1"/>
  <c r="C1563" i="3" s="1"/>
  <c r="D1563" i="3" a="1"/>
  <c r="D1563" i="3" s="1"/>
  <c r="E1563" i="3" a="1"/>
  <c r="E1563" i="3" s="1"/>
  <c r="F1563" i="3" a="1"/>
  <c r="F1563" i="3" s="1"/>
  <c r="G1563" i="3" a="1"/>
  <c r="G1563" i="3" s="1"/>
  <c r="J1563" i="3" a="1"/>
  <c r="J1563" i="3" s="1"/>
  <c r="B1564" i="3" a="1"/>
  <c r="B1564" i="3" s="1"/>
  <c r="C1564" i="3" a="1"/>
  <c r="C1564" i="3" s="1"/>
  <c r="D1564" i="3" a="1"/>
  <c r="D1564" i="3" s="1"/>
  <c r="E1564" i="3" a="1"/>
  <c r="E1564" i="3" s="1"/>
  <c r="F1564" i="3" a="1"/>
  <c r="F1564" i="3" s="1"/>
  <c r="G1564" i="3" a="1"/>
  <c r="G1564" i="3" s="1"/>
  <c r="J1564" i="3" a="1"/>
  <c r="J1564" i="3" s="1"/>
  <c r="B1565" i="3" a="1"/>
  <c r="B1565" i="3" s="1"/>
  <c r="C1565" i="3" a="1"/>
  <c r="C1565" i="3" s="1"/>
  <c r="D1565" i="3" a="1"/>
  <c r="D1565" i="3" s="1"/>
  <c r="E1565" i="3" a="1"/>
  <c r="E1565" i="3" s="1"/>
  <c r="F1565" i="3" a="1"/>
  <c r="F1565" i="3" s="1"/>
  <c r="G1565" i="3" a="1"/>
  <c r="G1565" i="3" s="1"/>
  <c r="J1565" i="3" a="1"/>
  <c r="J1565" i="3" s="1"/>
  <c r="B1566" i="3" a="1"/>
  <c r="B1566" i="3" s="1"/>
  <c r="C1566" i="3" a="1"/>
  <c r="C1566" i="3" s="1"/>
  <c r="D1566" i="3" a="1"/>
  <c r="D1566" i="3" s="1"/>
  <c r="E1566" i="3" a="1"/>
  <c r="E1566" i="3" s="1"/>
  <c r="F1566" i="3" a="1"/>
  <c r="F1566" i="3" s="1"/>
  <c r="G1566" i="3" a="1"/>
  <c r="G1566" i="3" s="1"/>
  <c r="J1566" i="3" a="1"/>
  <c r="J1566" i="3" s="1"/>
  <c r="B1567" i="3" a="1"/>
  <c r="B1567" i="3" s="1"/>
  <c r="C1567" i="3" a="1"/>
  <c r="C1567" i="3" s="1"/>
  <c r="D1567" i="3" a="1"/>
  <c r="D1567" i="3" s="1"/>
  <c r="E1567" i="3" a="1"/>
  <c r="E1567" i="3" s="1"/>
  <c r="F1567" i="3" a="1"/>
  <c r="F1567" i="3" s="1"/>
  <c r="G1567" i="3" a="1"/>
  <c r="G1567" i="3" s="1"/>
  <c r="J1567" i="3" a="1"/>
  <c r="J1567" i="3" s="1"/>
  <c r="B1568" i="3" a="1"/>
  <c r="B1568" i="3" s="1"/>
  <c r="C1568" i="3" a="1"/>
  <c r="C1568" i="3" s="1"/>
  <c r="D1568" i="3" a="1"/>
  <c r="D1568" i="3" s="1"/>
  <c r="E1568" i="3" a="1"/>
  <c r="E1568" i="3" s="1"/>
  <c r="F1568" i="3" a="1"/>
  <c r="F1568" i="3" s="1"/>
  <c r="G1568" i="3" a="1"/>
  <c r="G1568" i="3" s="1"/>
  <c r="J1568" i="3" a="1"/>
  <c r="J1568" i="3" s="1"/>
  <c r="B1569" i="3" a="1"/>
  <c r="B1569" i="3" s="1"/>
  <c r="C1569" i="3" a="1"/>
  <c r="C1569" i="3" s="1"/>
  <c r="D1569" i="3" a="1"/>
  <c r="D1569" i="3" s="1"/>
  <c r="E1569" i="3" a="1"/>
  <c r="E1569" i="3" s="1"/>
  <c r="F1569" i="3" a="1"/>
  <c r="F1569" i="3" s="1"/>
  <c r="G1569" i="3" a="1"/>
  <c r="G1569" i="3" s="1"/>
  <c r="J1569" i="3" a="1"/>
  <c r="J1569" i="3" s="1"/>
  <c r="B1570" i="3" a="1"/>
  <c r="B1570" i="3" s="1"/>
  <c r="C1570" i="3" a="1"/>
  <c r="C1570" i="3" s="1"/>
  <c r="D1570" i="3" a="1"/>
  <c r="D1570" i="3" s="1"/>
  <c r="E1570" i="3" a="1"/>
  <c r="E1570" i="3" s="1"/>
  <c r="F1570" i="3" a="1"/>
  <c r="F1570" i="3" s="1"/>
  <c r="G1570" i="3" a="1"/>
  <c r="G1570" i="3" s="1"/>
  <c r="J1570" i="3" a="1"/>
  <c r="J1570" i="3" s="1"/>
  <c r="B1571" i="3" a="1"/>
  <c r="B1571" i="3" s="1"/>
  <c r="C1571" i="3" a="1"/>
  <c r="C1571" i="3" s="1"/>
  <c r="D1571" i="3" a="1"/>
  <c r="D1571" i="3" s="1"/>
  <c r="E1571" i="3" a="1"/>
  <c r="E1571" i="3" s="1"/>
  <c r="F1571" i="3" a="1"/>
  <c r="F1571" i="3" s="1"/>
  <c r="G1571" i="3" a="1"/>
  <c r="G1571" i="3" s="1"/>
  <c r="J1571" i="3" a="1"/>
  <c r="J1571" i="3" s="1"/>
  <c r="B1572" i="3" a="1"/>
  <c r="B1572" i="3" s="1"/>
  <c r="C1572" i="3" a="1"/>
  <c r="C1572" i="3" s="1"/>
  <c r="D1572" i="3" a="1"/>
  <c r="D1572" i="3" s="1"/>
  <c r="E1572" i="3" a="1"/>
  <c r="E1572" i="3" s="1"/>
  <c r="F1572" i="3" a="1"/>
  <c r="F1572" i="3" s="1"/>
  <c r="G1572" i="3" a="1"/>
  <c r="G1572" i="3" s="1"/>
  <c r="J1572" i="3" a="1"/>
  <c r="J1572" i="3" s="1"/>
  <c r="B1573" i="3" a="1"/>
  <c r="B1573" i="3" s="1"/>
  <c r="C1573" i="3" a="1"/>
  <c r="C1573" i="3" s="1"/>
  <c r="D1573" i="3" a="1"/>
  <c r="D1573" i="3" s="1"/>
  <c r="E1573" i="3" a="1"/>
  <c r="E1573" i="3" s="1"/>
  <c r="F1573" i="3" a="1"/>
  <c r="F1573" i="3" s="1"/>
  <c r="G1573" i="3" a="1"/>
  <c r="G1573" i="3" s="1"/>
  <c r="J1573" i="3" a="1"/>
  <c r="J1573" i="3" s="1"/>
  <c r="B1574" i="3" a="1"/>
  <c r="B1574" i="3" s="1"/>
  <c r="C1574" i="3" a="1"/>
  <c r="C1574" i="3" s="1"/>
  <c r="D1574" i="3" a="1"/>
  <c r="D1574" i="3" s="1"/>
  <c r="E1574" i="3" a="1"/>
  <c r="E1574" i="3" s="1"/>
  <c r="F1574" i="3" a="1"/>
  <c r="F1574" i="3" s="1"/>
  <c r="G1574" i="3" a="1"/>
  <c r="G1574" i="3" s="1"/>
  <c r="J1574" i="3" a="1"/>
  <c r="J1574" i="3" s="1"/>
  <c r="B1575" i="3" a="1"/>
  <c r="B1575" i="3" s="1"/>
  <c r="C1575" i="3" a="1"/>
  <c r="C1575" i="3" s="1"/>
  <c r="D1575" i="3" a="1"/>
  <c r="D1575" i="3" s="1"/>
  <c r="E1575" i="3" a="1"/>
  <c r="E1575" i="3" s="1"/>
  <c r="F1575" i="3" a="1"/>
  <c r="F1575" i="3" s="1"/>
  <c r="G1575" i="3" a="1"/>
  <c r="G1575" i="3" s="1"/>
  <c r="J1575" i="3" a="1"/>
  <c r="J1575" i="3" s="1"/>
  <c r="B1576" i="3" a="1"/>
  <c r="B1576" i="3" s="1"/>
  <c r="C1576" i="3" a="1"/>
  <c r="C1576" i="3" s="1"/>
  <c r="D1576" i="3" a="1"/>
  <c r="D1576" i="3" s="1"/>
  <c r="E1576" i="3" a="1"/>
  <c r="E1576" i="3" s="1"/>
  <c r="F1576" i="3" a="1"/>
  <c r="F1576" i="3" s="1"/>
  <c r="G1576" i="3" a="1"/>
  <c r="G1576" i="3" s="1"/>
  <c r="J1576" i="3" a="1"/>
  <c r="J1576" i="3" s="1"/>
  <c r="B1577" i="3" a="1"/>
  <c r="B1577" i="3" s="1"/>
  <c r="C1577" i="3" a="1"/>
  <c r="C1577" i="3" s="1"/>
  <c r="D1577" i="3" a="1"/>
  <c r="D1577" i="3" s="1"/>
  <c r="E1577" i="3" a="1"/>
  <c r="E1577" i="3" s="1"/>
  <c r="F1577" i="3" a="1"/>
  <c r="F1577" i="3" s="1"/>
  <c r="G1577" i="3" a="1"/>
  <c r="G1577" i="3" s="1"/>
  <c r="J1577" i="3" a="1"/>
  <c r="J1577" i="3" s="1"/>
  <c r="B1578" i="3" a="1"/>
  <c r="B1578" i="3" s="1"/>
  <c r="C1578" i="3" a="1"/>
  <c r="C1578" i="3" s="1"/>
  <c r="D1578" i="3" a="1"/>
  <c r="D1578" i="3" s="1"/>
  <c r="E1578" i="3" a="1"/>
  <c r="E1578" i="3" s="1"/>
  <c r="F1578" i="3" a="1"/>
  <c r="F1578" i="3" s="1"/>
  <c r="G1578" i="3" a="1"/>
  <c r="G1578" i="3" s="1"/>
  <c r="J1578" i="3" a="1"/>
  <c r="J1578" i="3" s="1"/>
  <c r="B1579" i="3" a="1"/>
  <c r="B1579" i="3" s="1"/>
  <c r="C1579" i="3" a="1"/>
  <c r="C1579" i="3" s="1"/>
  <c r="D1579" i="3" a="1"/>
  <c r="D1579" i="3" s="1"/>
  <c r="E1579" i="3" a="1"/>
  <c r="E1579" i="3" s="1"/>
  <c r="F1579" i="3" a="1"/>
  <c r="F1579" i="3" s="1"/>
  <c r="G1579" i="3" a="1"/>
  <c r="G1579" i="3" s="1"/>
  <c r="J1579" i="3" a="1"/>
  <c r="J1579" i="3" s="1"/>
  <c r="B1580" i="3" a="1"/>
  <c r="B1580" i="3" s="1"/>
  <c r="C1580" i="3" a="1"/>
  <c r="C1580" i="3" s="1"/>
  <c r="D1580" i="3" a="1"/>
  <c r="D1580" i="3" s="1"/>
  <c r="E1580" i="3" a="1"/>
  <c r="E1580" i="3" s="1"/>
  <c r="F1580" i="3" a="1"/>
  <c r="F1580" i="3" s="1"/>
  <c r="G1580" i="3" a="1"/>
  <c r="G1580" i="3" s="1"/>
  <c r="J1580" i="3" a="1"/>
  <c r="J1580" i="3" s="1"/>
  <c r="B1581" i="3" a="1"/>
  <c r="B1581" i="3" s="1"/>
  <c r="C1581" i="3" a="1"/>
  <c r="C1581" i="3" s="1"/>
  <c r="D1581" i="3" a="1"/>
  <c r="D1581" i="3" s="1"/>
  <c r="E1581" i="3" a="1"/>
  <c r="E1581" i="3" s="1"/>
  <c r="F1581" i="3" a="1"/>
  <c r="F1581" i="3" s="1"/>
  <c r="G1581" i="3" a="1"/>
  <c r="G1581" i="3" s="1"/>
  <c r="J1581" i="3" a="1"/>
  <c r="J1581" i="3" s="1"/>
  <c r="B1582" i="3" a="1"/>
  <c r="B1582" i="3" s="1"/>
  <c r="C1582" i="3" a="1"/>
  <c r="C1582" i="3" s="1"/>
  <c r="D1582" i="3" a="1"/>
  <c r="D1582" i="3" s="1"/>
  <c r="E1582" i="3" a="1"/>
  <c r="E1582" i="3" s="1"/>
  <c r="F1582" i="3" a="1"/>
  <c r="F1582" i="3" s="1"/>
  <c r="G1582" i="3" a="1"/>
  <c r="G1582" i="3" s="1"/>
  <c r="J1582" i="3" a="1"/>
  <c r="J1582" i="3" s="1"/>
  <c r="B1583" i="3" a="1"/>
  <c r="B1583" i="3" s="1"/>
  <c r="C1583" i="3" a="1"/>
  <c r="C1583" i="3" s="1"/>
  <c r="D1583" i="3" a="1"/>
  <c r="D1583" i="3" s="1"/>
  <c r="E1583" i="3" a="1"/>
  <c r="E1583" i="3" s="1"/>
  <c r="F1583" i="3" a="1"/>
  <c r="F1583" i="3" s="1"/>
  <c r="G1583" i="3" a="1"/>
  <c r="G1583" i="3" s="1"/>
  <c r="J1583" i="3" a="1"/>
  <c r="J1583" i="3" s="1"/>
  <c r="B1584" i="3" a="1"/>
  <c r="B1584" i="3" s="1"/>
  <c r="C1584" i="3" a="1"/>
  <c r="C1584" i="3" s="1"/>
  <c r="D1584" i="3" a="1"/>
  <c r="D1584" i="3" s="1"/>
  <c r="E1584" i="3" a="1"/>
  <c r="E1584" i="3" s="1"/>
  <c r="F1584" i="3" a="1"/>
  <c r="F1584" i="3" s="1"/>
  <c r="G1584" i="3" a="1"/>
  <c r="G1584" i="3" s="1"/>
  <c r="J1584" i="3" a="1"/>
  <c r="J1584" i="3" s="1"/>
  <c r="B1585" i="3" a="1"/>
  <c r="B1585" i="3" s="1"/>
  <c r="C1585" i="3" a="1"/>
  <c r="C1585" i="3" s="1"/>
  <c r="D1585" i="3" a="1"/>
  <c r="D1585" i="3" s="1"/>
  <c r="E1585" i="3" a="1"/>
  <c r="E1585" i="3" s="1"/>
  <c r="F1585" i="3" a="1"/>
  <c r="F1585" i="3" s="1"/>
  <c r="G1585" i="3" a="1"/>
  <c r="G1585" i="3" s="1"/>
  <c r="J1585" i="3" a="1"/>
  <c r="J1585" i="3" s="1"/>
  <c r="B1586" i="3" a="1"/>
  <c r="B1586" i="3" s="1"/>
  <c r="C1586" i="3" a="1"/>
  <c r="C1586" i="3" s="1"/>
  <c r="D1586" i="3" a="1"/>
  <c r="D1586" i="3" s="1"/>
  <c r="E1586" i="3" a="1"/>
  <c r="E1586" i="3" s="1"/>
  <c r="F1586" i="3" a="1"/>
  <c r="F1586" i="3" s="1"/>
  <c r="G1586" i="3" a="1"/>
  <c r="G1586" i="3" s="1"/>
  <c r="J1586" i="3" a="1"/>
  <c r="J1586" i="3" s="1"/>
  <c r="B1587" i="3" a="1"/>
  <c r="B1587" i="3" s="1"/>
  <c r="C1587" i="3" a="1"/>
  <c r="C1587" i="3" s="1"/>
  <c r="D1587" i="3" a="1"/>
  <c r="D1587" i="3" s="1"/>
  <c r="E1587" i="3" a="1"/>
  <c r="E1587" i="3" s="1"/>
  <c r="F1587" i="3" a="1"/>
  <c r="F1587" i="3" s="1"/>
  <c r="G1587" i="3" a="1"/>
  <c r="G1587" i="3" s="1"/>
  <c r="J1587" i="3" a="1"/>
  <c r="J1587" i="3" s="1"/>
  <c r="B1588" i="3" a="1"/>
  <c r="B1588" i="3" s="1"/>
  <c r="C1588" i="3" a="1"/>
  <c r="C1588" i="3" s="1"/>
  <c r="D1588" i="3" a="1"/>
  <c r="D1588" i="3" s="1"/>
  <c r="E1588" i="3" a="1"/>
  <c r="E1588" i="3" s="1"/>
  <c r="F1588" i="3" a="1"/>
  <c r="F1588" i="3" s="1"/>
  <c r="G1588" i="3" a="1"/>
  <c r="G1588" i="3" s="1"/>
  <c r="J1588" i="3" a="1"/>
  <c r="J1588" i="3" s="1"/>
  <c r="B1589" i="3" a="1"/>
  <c r="B1589" i="3" s="1"/>
  <c r="C1589" i="3" a="1"/>
  <c r="C1589" i="3" s="1"/>
  <c r="D1589" i="3" a="1"/>
  <c r="D1589" i="3" s="1"/>
  <c r="E1589" i="3" a="1"/>
  <c r="E1589" i="3" s="1"/>
  <c r="F1589" i="3" a="1"/>
  <c r="F1589" i="3" s="1"/>
  <c r="G1589" i="3" a="1"/>
  <c r="G1589" i="3" s="1"/>
  <c r="J1589" i="3" a="1"/>
  <c r="J1589" i="3" s="1"/>
  <c r="B1590" i="3" a="1"/>
  <c r="B1590" i="3" s="1"/>
  <c r="C1590" i="3" a="1"/>
  <c r="C1590" i="3" s="1"/>
  <c r="D1590" i="3" a="1"/>
  <c r="D1590" i="3" s="1"/>
  <c r="E1590" i="3" a="1"/>
  <c r="E1590" i="3" s="1"/>
  <c r="F1590" i="3" a="1"/>
  <c r="F1590" i="3" s="1"/>
  <c r="G1590" i="3" a="1"/>
  <c r="G1590" i="3" s="1"/>
  <c r="J1590" i="3" a="1"/>
  <c r="J1590" i="3" s="1"/>
  <c r="B1591" i="3" a="1"/>
  <c r="B1591" i="3" s="1"/>
  <c r="C1591" i="3" a="1"/>
  <c r="C1591" i="3" s="1"/>
  <c r="D1591" i="3" a="1"/>
  <c r="D1591" i="3" s="1"/>
  <c r="E1591" i="3" a="1"/>
  <c r="E1591" i="3" s="1"/>
  <c r="F1591" i="3" a="1"/>
  <c r="F1591" i="3" s="1"/>
  <c r="G1591" i="3" a="1"/>
  <c r="G1591" i="3" s="1"/>
  <c r="J1591" i="3" a="1"/>
  <c r="J1591" i="3" s="1"/>
  <c r="B1592" i="3" a="1"/>
  <c r="B1592" i="3" s="1"/>
  <c r="C1592" i="3" a="1"/>
  <c r="C1592" i="3" s="1"/>
  <c r="D1592" i="3" a="1"/>
  <c r="D1592" i="3" s="1"/>
  <c r="E1592" i="3" a="1"/>
  <c r="E1592" i="3" s="1"/>
  <c r="F1592" i="3" a="1"/>
  <c r="F1592" i="3" s="1"/>
  <c r="G1592" i="3" a="1"/>
  <c r="G1592" i="3" s="1"/>
  <c r="J1592" i="3" a="1"/>
  <c r="J1592" i="3" s="1"/>
  <c r="B1593" i="3" a="1"/>
  <c r="B1593" i="3" s="1"/>
  <c r="C1593" i="3" a="1"/>
  <c r="C1593" i="3" s="1"/>
  <c r="D1593" i="3" a="1"/>
  <c r="D1593" i="3" s="1"/>
  <c r="E1593" i="3" a="1"/>
  <c r="E1593" i="3" s="1"/>
  <c r="F1593" i="3" a="1"/>
  <c r="F1593" i="3" s="1"/>
  <c r="G1593" i="3" a="1"/>
  <c r="G1593" i="3" s="1"/>
  <c r="J1593" i="3" a="1"/>
  <c r="J1593" i="3" s="1"/>
  <c r="B1594" i="3" a="1"/>
  <c r="B1594" i="3" s="1"/>
  <c r="C1594" i="3" a="1"/>
  <c r="C1594" i="3" s="1"/>
  <c r="D1594" i="3" a="1"/>
  <c r="D1594" i="3" s="1"/>
  <c r="E1594" i="3" a="1"/>
  <c r="E1594" i="3" s="1"/>
  <c r="F1594" i="3" a="1"/>
  <c r="F1594" i="3" s="1"/>
  <c r="G1594" i="3" a="1"/>
  <c r="G1594" i="3" s="1"/>
  <c r="J1594" i="3" a="1"/>
  <c r="J1594" i="3" s="1"/>
  <c r="B1595" i="3" a="1"/>
  <c r="B1595" i="3" s="1"/>
  <c r="C1595" i="3" a="1"/>
  <c r="C1595" i="3" s="1"/>
  <c r="D1595" i="3" a="1"/>
  <c r="D1595" i="3" s="1"/>
  <c r="E1595" i="3" a="1"/>
  <c r="E1595" i="3" s="1"/>
  <c r="F1595" i="3" a="1"/>
  <c r="F1595" i="3" s="1"/>
  <c r="G1595" i="3" a="1"/>
  <c r="G1595" i="3" s="1"/>
  <c r="J1595" i="3" a="1"/>
  <c r="J1595" i="3" s="1"/>
  <c r="B1596" i="3" a="1"/>
  <c r="B1596" i="3" s="1"/>
  <c r="C1596" i="3" a="1"/>
  <c r="C1596" i="3" s="1"/>
  <c r="D1596" i="3" a="1"/>
  <c r="D1596" i="3" s="1"/>
  <c r="E1596" i="3" a="1"/>
  <c r="E1596" i="3" s="1"/>
  <c r="F1596" i="3" a="1"/>
  <c r="F1596" i="3" s="1"/>
  <c r="G1596" i="3" a="1"/>
  <c r="G1596" i="3" s="1"/>
  <c r="J1596" i="3" a="1"/>
  <c r="J1596" i="3" s="1"/>
  <c r="B1597" i="3" a="1"/>
  <c r="B1597" i="3" s="1"/>
  <c r="C1597" i="3" a="1"/>
  <c r="C1597" i="3" s="1"/>
  <c r="D1597" i="3" a="1"/>
  <c r="D1597" i="3" s="1"/>
  <c r="E1597" i="3" a="1"/>
  <c r="E1597" i="3" s="1"/>
  <c r="F1597" i="3" a="1"/>
  <c r="F1597" i="3" s="1"/>
  <c r="G1597" i="3" a="1"/>
  <c r="G1597" i="3" s="1"/>
  <c r="J1597" i="3" a="1"/>
  <c r="J1597" i="3" s="1"/>
  <c r="B1598" i="3" a="1"/>
  <c r="B1598" i="3" s="1"/>
  <c r="C1598" i="3" a="1"/>
  <c r="C1598" i="3" s="1"/>
  <c r="D1598" i="3" a="1"/>
  <c r="D1598" i="3" s="1"/>
  <c r="E1598" i="3" a="1"/>
  <c r="E1598" i="3" s="1"/>
  <c r="F1598" i="3" a="1"/>
  <c r="F1598" i="3" s="1"/>
  <c r="G1598" i="3" a="1"/>
  <c r="G1598" i="3" s="1"/>
  <c r="J1598" i="3" a="1"/>
  <c r="J1598" i="3" s="1"/>
  <c r="B1599" i="3" a="1"/>
  <c r="B1599" i="3" s="1"/>
  <c r="C1599" i="3" a="1"/>
  <c r="C1599" i="3" s="1"/>
  <c r="D1599" i="3" a="1"/>
  <c r="D1599" i="3" s="1"/>
  <c r="E1599" i="3" a="1"/>
  <c r="E1599" i="3" s="1"/>
  <c r="F1599" i="3" a="1"/>
  <c r="F1599" i="3" s="1"/>
  <c r="G1599" i="3" a="1"/>
  <c r="G1599" i="3" s="1"/>
  <c r="J1599" i="3" a="1"/>
  <c r="J1599" i="3" s="1"/>
  <c r="B1600" i="3" a="1"/>
  <c r="B1600" i="3" s="1"/>
  <c r="C1600" i="3" a="1"/>
  <c r="C1600" i="3" s="1"/>
  <c r="D1600" i="3" a="1"/>
  <c r="D1600" i="3" s="1"/>
  <c r="E1600" i="3" a="1"/>
  <c r="E1600" i="3" s="1"/>
  <c r="F1600" i="3" a="1"/>
  <c r="F1600" i="3" s="1"/>
  <c r="G1600" i="3" a="1"/>
  <c r="G1600" i="3" s="1"/>
  <c r="J1600" i="3" a="1"/>
  <c r="J1600" i="3" s="1"/>
  <c r="B1601" i="3" a="1"/>
  <c r="B1601" i="3" s="1"/>
  <c r="C1601" i="3" a="1"/>
  <c r="C1601" i="3" s="1"/>
  <c r="D1601" i="3" a="1"/>
  <c r="D1601" i="3" s="1"/>
  <c r="E1601" i="3" a="1"/>
  <c r="E1601" i="3" s="1"/>
  <c r="F1601" i="3" a="1"/>
  <c r="F1601" i="3" s="1"/>
  <c r="G1601" i="3" a="1"/>
  <c r="G1601" i="3" s="1"/>
  <c r="J1601" i="3" a="1"/>
  <c r="J1601" i="3" s="1"/>
  <c r="B1602" i="3" a="1"/>
  <c r="B1602" i="3" s="1"/>
  <c r="C1602" i="3" a="1"/>
  <c r="C1602" i="3" s="1"/>
  <c r="D1602" i="3" a="1"/>
  <c r="D1602" i="3" s="1"/>
  <c r="E1602" i="3" a="1"/>
  <c r="E1602" i="3" s="1"/>
  <c r="F1602" i="3" a="1"/>
  <c r="F1602" i="3" s="1"/>
  <c r="G1602" i="3" a="1"/>
  <c r="G1602" i="3" s="1"/>
  <c r="J1602" i="3" a="1"/>
  <c r="J1602" i="3" s="1"/>
  <c r="B1603" i="3" a="1"/>
  <c r="B1603" i="3" s="1"/>
  <c r="C1603" i="3" a="1"/>
  <c r="C1603" i="3" s="1"/>
  <c r="D1603" i="3" a="1"/>
  <c r="D1603" i="3" s="1"/>
  <c r="E1603" i="3" a="1"/>
  <c r="E1603" i="3" s="1"/>
  <c r="F1603" i="3" a="1"/>
  <c r="F1603" i="3" s="1"/>
  <c r="G1603" i="3" a="1"/>
  <c r="G1603" i="3" s="1"/>
  <c r="J1603" i="3" a="1"/>
  <c r="J1603" i="3" s="1"/>
  <c r="B1604" i="3" a="1"/>
  <c r="B1604" i="3" s="1"/>
  <c r="C1604" i="3" a="1"/>
  <c r="C1604" i="3" s="1"/>
  <c r="D1604" i="3" a="1"/>
  <c r="D1604" i="3" s="1"/>
  <c r="E1604" i="3" a="1"/>
  <c r="E1604" i="3" s="1"/>
  <c r="F1604" i="3" a="1"/>
  <c r="F1604" i="3" s="1"/>
  <c r="G1604" i="3" a="1"/>
  <c r="G1604" i="3" s="1"/>
  <c r="J1604" i="3" a="1"/>
  <c r="J1604" i="3" s="1"/>
  <c r="B1605" i="3" a="1"/>
  <c r="B1605" i="3" s="1"/>
  <c r="C1605" i="3" a="1"/>
  <c r="C1605" i="3" s="1"/>
  <c r="D1605" i="3" a="1"/>
  <c r="D1605" i="3" s="1"/>
  <c r="E1605" i="3" a="1"/>
  <c r="E1605" i="3" s="1"/>
  <c r="F1605" i="3" a="1"/>
  <c r="F1605" i="3" s="1"/>
  <c r="G1605" i="3" a="1"/>
  <c r="G1605" i="3" s="1"/>
  <c r="J1605" i="3" a="1"/>
  <c r="J1605" i="3" s="1"/>
  <c r="B1606" i="3" a="1"/>
  <c r="B1606" i="3" s="1"/>
  <c r="C1606" i="3" a="1"/>
  <c r="C1606" i="3" s="1"/>
  <c r="D1606" i="3" a="1"/>
  <c r="D1606" i="3" s="1"/>
  <c r="E1606" i="3" a="1"/>
  <c r="E1606" i="3" s="1"/>
  <c r="F1606" i="3" a="1"/>
  <c r="F1606" i="3" s="1"/>
  <c r="G1606" i="3" a="1"/>
  <c r="G1606" i="3" s="1"/>
  <c r="J1606" i="3" a="1"/>
  <c r="J1606" i="3" s="1"/>
  <c r="B1607" i="3" a="1"/>
  <c r="B1607" i="3" s="1"/>
  <c r="C1607" i="3" a="1"/>
  <c r="C1607" i="3" s="1"/>
  <c r="D1607" i="3" a="1"/>
  <c r="D1607" i="3" s="1"/>
  <c r="E1607" i="3" a="1"/>
  <c r="E1607" i="3" s="1"/>
  <c r="F1607" i="3" a="1"/>
  <c r="F1607" i="3" s="1"/>
  <c r="G1607" i="3" a="1"/>
  <c r="G1607" i="3" s="1"/>
  <c r="J1607" i="3" a="1"/>
  <c r="J1607" i="3" s="1"/>
  <c r="B1608" i="3" a="1"/>
  <c r="B1608" i="3" s="1"/>
  <c r="C1608" i="3" a="1"/>
  <c r="C1608" i="3" s="1"/>
  <c r="D1608" i="3" a="1"/>
  <c r="D1608" i="3" s="1"/>
  <c r="E1608" i="3" a="1"/>
  <c r="E1608" i="3" s="1"/>
  <c r="F1608" i="3" a="1"/>
  <c r="F1608" i="3" s="1"/>
  <c r="G1608" i="3" a="1"/>
  <c r="G1608" i="3" s="1"/>
  <c r="J1608" i="3" a="1"/>
  <c r="J1608" i="3" s="1"/>
  <c r="B1609" i="3" a="1"/>
  <c r="B1609" i="3" s="1"/>
  <c r="C1609" i="3" a="1"/>
  <c r="C1609" i="3" s="1"/>
  <c r="D1609" i="3" a="1"/>
  <c r="D1609" i="3" s="1"/>
  <c r="E1609" i="3" a="1"/>
  <c r="E1609" i="3" s="1"/>
  <c r="F1609" i="3" a="1"/>
  <c r="F1609" i="3" s="1"/>
  <c r="G1609" i="3" a="1"/>
  <c r="G1609" i="3" s="1"/>
  <c r="J1609" i="3" a="1"/>
  <c r="J1609" i="3" s="1"/>
  <c r="B1610" i="3" a="1"/>
  <c r="B1610" i="3" s="1"/>
  <c r="C1610" i="3" a="1"/>
  <c r="C1610" i="3" s="1"/>
  <c r="D1610" i="3" a="1"/>
  <c r="D1610" i="3" s="1"/>
  <c r="E1610" i="3" a="1"/>
  <c r="E1610" i="3" s="1"/>
  <c r="F1610" i="3" a="1"/>
  <c r="F1610" i="3" s="1"/>
  <c r="G1610" i="3" a="1"/>
  <c r="G1610" i="3" s="1"/>
  <c r="J1610" i="3" a="1"/>
  <c r="J1610" i="3" s="1"/>
  <c r="B1611" i="3" a="1"/>
  <c r="B1611" i="3" s="1"/>
  <c r="C1611" i="3" a="1"/>
  <c r="C1611" i="3" s="1"/>
  <c r="D1611" i="3" a="1"/>
  <c r="D1611" i="3" s="1"/>
  <c r="E1611" i="3" a="1"/>
  <c r="E1611" i="3" s="1"/>
  <c r="F1611" i="3" a="1"/>
  <c r="F1611" i="3" s="1"/>
  <c r="G1611" i="3" a="1"/>
  <c r="G1611" i="3" s="1"/>
  <c r="J1611" i="3" a="1"/>
  <c r="J1611" i="3" s="1"/>
  <c r="B1612" i="3" a="1"/>
  <c r="B1612" i="3" s="1"/>
  <c r="C1612" i="3" a="1"/>
  <c r="C1612" i="3" s="1"/>
  <c r="D1612" i="3" a="1"/>
  <c r="D1612" i="3" s="1"/>
  <c r="E1612" i="3" a="1"/>
  <c r="E1612" i="3" s="1"/>
  <c r="F1612" i="3" a="1"/>
  <c r="F1612" i="3" s="1"/>
  <c r="G1612" i="3" a="1"/>
  <c r="G1612" i="3" s="1"/>
  <c r="J1612" i="3" a="1"/>
  <c r="J1612" i="3" s="1"/>
  <c r="B1613" i="3" a="1"/>
  <c r="B1613" i="3" s="1"/>
  <c r="C1613" i="3" a="1"/>
  <c r="C1613" i="3" s="1"/>
  <c r="D1613" i="3" a="1"/>
  <c r="D1613" i="3" s="1"/>
  <c r="E1613" i="3" a="1"/>
  <c r="E1613" i="3" s="1"/>
  <c r="F1613" i="3" a="1"/>
  <c r="F1613" i="3" s="1"/>
  <c r="G1613" i="3" a="1"/>
  <c r="G1613" i="3" s="1"/>
  <c r="J1613" i="3" a="1"/>
  <c r="J1613" i="3" s="1"/>
  <c r="B1614" i="3" a="1"/>
  <c r="B1614" i="3" s="1"/>
  <c r="C1614" i="3" a="1"/>
  <c r="C1614" i="3" s="1"/>
  <c r="D1614" i="3" a="1"/>
  <c r="D1614" i="3" s="1"/>
  <c r="E1614" i="3" a="1"/>
  <c r="E1614" i="3" s="1"/>
  <c r="F1614" i="3" a="1"/>
  <c r="F1614" i="3" s="1"/>
  <c r="G1614" i="3" a="1"/>
  <c r="G1614" i="3" s="1"/>
  <c r="J1614" i="3" a="1"/>
  <c r="J1614" i="3" s="1"/>
  <c r="B1615" i="3" a="1"/>
  <c r="B1615" i="3" s="1"/>
  <c r="C1615" i="3" a="1"/>
  <c r="C1615" i="3" s="1"/>
  <c r="D1615" i="3" a="1"/>
  <c r="D1615" i="3" s="1"/>
  <c r="E1615" i="3" a="1"/>
  <c r="E1615" i="3" s="1"/>
  <c r="F1615" i="3" a="1"/>
  <c r="F1615" i="3" s="1"/>
  <c r="G1615" i="3" a="1"/>
  <c r="G1615" i="3" s="1"/>
  <c r="J1615" i="3" a="1"/>
  <c r="J1615" i="3" s="1"/>
  <c r="B1616" i="3" a="1"/>
  <c r="B1616" i="3" s="1"/>
  <c r="C1616" i="3" a="1"/>
  <c r="C1616" i="3" s="1"/>
  <c r="D1616" i="3" a="1"/>
  <c r="D1616" i="3" s="1"/>
  <c r="E1616" i="3" a="1"/>
  <c r="E1616" i="3" s="1"/>
  <c r="F1616" i="3" a="1"/>
  <c r="F1616" i="3" s="1"/>
  <c r="G1616" i="3" a="1"/>
  <c r="G1616" i="3" s="1"/>
  <c r="J1616" i="3" a="1"/>
  <c r="J1616" i="3" s="1"/>
  <c r="B1617" i="3" a="1"/>
  <c r="B1617" i="3" s="1"/>
  <c r="C1617" i="3" a="1"/>
  <c r="C1617" i="3" s="1"/>
  <c r="D1617" i="3" a="1"/>
  <c r="D1617" i="3" s="1"/>
  <c r="E1617" i="3" a="1"/>
  <c r="E1617" i="3" s="1"/>
  <c r="F1617" i="3" a="1"/>
  <c r="F1617" i="3" s="1"/>
  <c r="G1617" i="3" a="1"/>
  <c r="G1617" i="3" s="1"/>
  <c r="J1617" i="3" a="1"/>
  <c r="J1617" i="3" s="1"/>
  <c r="B1618" i="3" a="1"/>
  <c r="B1618" i="3" s="1"/>
  <c r="C1618" i="3" a="1"/>
  <c r="C1618" i="3" s="1"/>
  <c r="D1618" i="3" a="1"/>
  <c r="D1618" i="3" s="1"/>
  <c r="E1618" i="3" a="1"/>
  <c r="E1618" i="3" s="1"/>
  <c r="F1618" i="3" a="1"/>
  <c r="F1618" i="3" s="1"/>
  <c r="G1618" i="3" a="1"/>
  <c r="G1618" i="3" s="1"/>
  <c r="J1618" i="3" a="1"/>
  <c r="J1618" i="3" s="1"/>
  <c r="B1619" i="3" a="1"/>
  <c r="B1619" i="3" s="1"/>
  <c r="C1619" i="3" a="1"/>
  <c r="C1619" i="3" s="1"/>
  <c r="D1619" i="3" a="1"/>
  <c r="D1619" i="3" s="1"/>
  <c r="E1619" i="3" a="1"/>
  <c r="E1619" i="3" s="1"/>
  <c r="F1619" i="3" a="1"/>
  <c r="F1619" i="3" s="1"/>
  <c r="G1619" i="3" a="1"/>
  <c r="G1619" i="3" s="1"/>
  <c r="J1619" i="3" a="1"/>
  <c r="J1619" i="3" s="1"/>
  <c r="B1620" i="3" a="1"/>
  <c r="B1620" i="3" s="1"/>
  <c r="C1620" i="3" a="1"/>
  <c r="C1620" i="3" s="1"/>
  <c r="D1620" i="3" a="1"/>
  <c r="D1620" i="3" s="1"/>
  <c r="E1620" i="3" a="1"/>
  <c r="E1620" i="3" s="1"/>
  <c r="F1620" i="3" a="1"/>
  <c r="F1620" i="3" s="1"/>
  <c r="G1620" i="3" a="1"/>
  <c r="G1620" i="3" s="1"/>
  <c r="J1620" i="3" a="1"/>
  <c r="J1620" i="3" s="1"/>
  <c r="B1621" i="3" a="1"/>
  <c r="B1621" i="3" s="1"/>
  <c r="C1621" i="3" a="1"/>
  <c r="C1621" i="3" s="1"/>
  <c r="D1621" i="3" a="1"/>
  <c r="D1621" i="3" s="1"/>
  <c r="E1621" i="3" a="1"/>
  <c r="E1621" i="3" s="1"/>
  <c r="F1621" i="3" a="1"/>
  <c r="F1621" i="3" s="1"/>
  <c r="G1621" i="3" a="1"/>
  <c r="G1621" i="3" s="1"/>
  <c r="J1621" i="3" a="1"/>
  <c r="J1621" i="3" s="1"/>
  <c r="B1622" i="3" a="1"/>
  <c r="B1622" i="3" s="1"/>
  <c r="C1622" i="3" a="1"/>
  <c r="C1622" i="3" s="1"/>
  <c r="D1622" i="3" a="1"/>
  <c r="D1622" i="3" s="1"/>
  <c r="E1622" i="3" a="1"/>
  <c r="E1622" i="3" s="1"/>
  <c r="F1622" i="3" a="1"/>
  <c r="F1622" i="3" s="1"/>
  <c r="G1622" i="3" a="1"/>
  <c r="G1622" i="3" s="1"/>
  <c r="J1622" i="3" a="1"/>
  <c r="J1622" i="3" s="1"/>
  <c r="B1623" i="3" a="1"/>
  <c r="B1623" i="3" s="1"/>
  <c r="C1623" i="3" a="1"/>
  <c r="C1623" i="3" s="1"/>
  <c r="D1623" i="3" a="1"/>
  <c r="D1623" i="3" s="1"/>
  <c r="E1623" i="3" a="1"/>
  <c r="E1623" i="3" s="1"/>
  <c r="F1623" i="3" a="1"/>
  <c r="F1623" i="3" s="1"/>
  <c r="G1623" i="3" a="1"/>
  <c r="G1623" i="3" s="1"/>
  <c r="J1623" i="3" a="1"/>
  <c r="J1623" i="3" s="1"/>
  <c r="B1624" i="3" a="1"/>
  <c r="B1624" i="3" s="1"/>
  <c r="C1624" i="3" a="1"/>
  <c r="C1624" i="3" s="1"/>
  <c r="D1624" i="3" a="1"/>
  <c r="D1624" i="3" s="1"/>
  <c r="E1624" i="3" a="1"/>
  <c r="E1624" i="3" s="1"/>
  <c r="F1624" i="3" a="1"/>
  <c r="F1624" i="3" s="1"/>
  <c r="G1624" i="3" a="1"/>
  <c r="G1624" i="3" s="1"/>
  <c r="J1624" i="3" a="1"/>
  <c r="J1624" i="3" s="1"/>
  <c r="B1625" i="3" a="1"/>
  <c r="B1625" i="3" s="1"/>
  <c r="C1625" i="3" a="1"/>
  <c r="C1625" i="3" s="1"/>
  <c r="D1625" i="3" a="1"/>
  <c r="D1625" i="3" s="1"/>
  <c r="E1625" i="3" a="1"/>
  <c r="E1625" i="3" s="1"/>
  <c r="F1625" i="3" a="1"/>
  <c r="F1625" i="3" s="1"/>
  <c r="G1625" i="3" a="1"/>
  <c r="G1625" i="3" s="1"/>
  <c r="J1625" i="3" a="1"/>
  <c r="J1625" i="3" s="1"/>
  <c r="B1626" i="3" a="1"/>
  <c r="B1626" i="3" s="1"/>
  <c r="C1626" i="3" a="1"/>
  <c r="C1626" i="3" s="1"/>
  <c r="D1626" i="3" a="1"/>
  <c r="D1626" i="3" s="1"/>
  <c r="E1626" i="3" a="1"/>
  <c r="E1626" i="3" s="1"/>
  <c r="F1626" i="3" a="1"/>
  <c r="F1626" i="3" s="1"/>
  <c r="G1626" i="3" a="1"/>
  <c r="G1626" i="3" s="1"/>
  <c r="J1626" i="3" a="1"/>
  <c r="J1626" i="3" s="1"/>
  <c r="B1627" i="3" a="1"/>
  <c r="B1627" i="3" s="1"/>
  <c r="C1627" i="3" a="1"/>
  <c r="C1627" i="3" s="1"/>
  <c r="D1627" i="3" a="1"/>
  <c r="D1627" i="3" s="1"/>
  <c r="E1627" i="3" a="1"/>
  <c r="E1627" i="3" s="1"/>
  <c r="F1627" i="3" a="1"/>
  <c r="F1627" i="3" s="1"/>
  <c r="G1627" i="3" a="1"/>
  <c r="G1627" i="3" s="1"/>
  <c r="J1627" i="3" a="1"/>
  <c r="J1627" i="3" s="1"/>
  <c r="B1628" i="3" a="1"/>
  <c r="B1628" i="3" s="1"/>
  <c r="C1628" i="3" a="1"/>
  <c r="C1628" i="3" s="1"/>
  <c r="D1628" i="3" a="1"/>
  <c r="D1628" i="3" s="1"/>
  <c r="E1628" i="3" a="1"/>
  <c r="E1628" i="3" s="1"/>
  <c r="F1628" i="3" a="1"/>
  <c r="F1628" i="3" s="1"/>
  <c r="G1628" i="3" a="1"/>
  <c r="G1628" i="3" s="1"/>
  <c r="J1628" i="3" a="1"/>
  <c r="J1628" i="3" s="1"/>
  <c r="B1629" i="3" a="1"/>
  <c r="B1629" i="3" s="1"/>
  <c r="C1629" i="3" a="1"/>
  <c r="C1629" i="3" s="1"/>
  <c r="D1629" i="3" a="1"/>
  <c r="D1629" i="3" s="1"/>
  <c r="E1629" i="3" a="1"/>
  <c r="E1629" i="3" s="1"/>
  <c r="F1629" i="3" a="1"/>
  <c r="F1629" i="3" s="1"/>
  <c r="G1629" i="3" a="1"/>
  <c r="G1629" i="3" s="1"/>
  <c r="J1629" i="3" a="1"/>
  <c r="J1629" i="3" s="1"/>
  <c r="B1630" i="3" a="1"/>
  <c r="B1630" i="3" s="1"/>
  <c r="C1630" i="3" a="1"/>
  <c r="C1630" i="3" s="1"/>
  <c r="D1630" i="3" a="1"/>
  <c r="D1630" i="3" s="1"/>
  <c r="E1630" i="3" a="1"/>
  <c r="E1630" i="3" s="1"/>
  <c r="F1630" i="3" a="1"/>
  <c r="F1630" i="3" s="1"/>
  <c r="G1630" i="3" a="1"/>
  <c r="G1630" i="3" s="1"/>
  <c r="J1630" i="3" a="1"/>
  <c r="J1630" i="3" s="1"/>
  <c r="B1631" i="3" a="1"/>
  <c r="B1631" i="3" s="1"/>
  <c r="C1631" i="3" a="1"/>
  <c r="C1631" i="3" s="1"/>
  <c r="D1631" i="3" a="1"/>
  <c r="D1631" i="3" s="1"/>
  <c r="E1631" i="3" a="1"/>
  <c r="E1631" i="3" s="1"/>
  <c r="F1631" i="3" a="1"/>
  <c r="F1631" i="3" s="1"/>
  <c r="G1631" i="3" a="1"/>
  <c r="G1631" i="3" s="1"/>
  <c r="J1631" i="3" a="1"/>
  <c r="J1631" i="3" s="1"/>
  <c r="B1632" i="3" a="1"/>
  <c r="B1632" i="3" s="1"/>
  <c r="C1632" i="3" a="1"/>
  <c r="C1632" i="3" s="1"/>
  <c r="D1632" i="3" a="1"/>
  <c r="D1632" i="3" s="1"/>
  <c r="E1632" i="3" a="1"/>
  <c r="E1632" i="3" s="1"/>
  <c r="F1632" i="3" a="1"/>
  <c r="F1632" i="3" s="1"/>
  <c r="G1632" i="3" a="1"/>
  <c r="G1632" i="3" s="1"/>
  <c r="J1632" i="3" a="1"/>
  <c r="J1632" i="3" s="1"/>
  <c r="B1633" i="3" a="1"/>
  <c r="B1633" i="3" s="1"/>
  <c r="C1633" i="3" a="1"/>
  <c r="C1633" i="3" s="1"/>
  <c r="D1633" i="3" a="1"/>
  <c r="D1633" i="3" s="1"/>
  <c r="E1633" i="3" a="1"/>
  <c r="E1633" i="3" s="1"/>
  <c r="F1633" i="3" a="1"/>
  <c r="F1633" i="3" s="1"/>
  <c r="G1633" i="3" a="1"/>
  <c r="G1633" i="3" s="1"/>
  <c r="J1633" i="3" a="1"/>
  <c r="J1633" i="3" s="1"/>
  <c r="B1634" i="3" a="1"/>
  <c r="B1634" i="3" s="1"/>
  <c r="C1634" i="3" a="1"/>
  <c r="C1634" i="3" s="1"/>
  <c r="D1634" i="3" a="1"/>
  <c r="D1634" i="3" s="1"/>
  <c r="E1634" i="3" a="1"/>
  <c r="E1634" i="3" s="1"/>
  <c r="F1634" i="3" a="1"/>
  <c r="F1634" i="3" s="1"/>
  <c r="G1634" i="3" a="1"/>
  <c r="G1634" i="3" s="1"/>
  <c r="J1634" i="3" a="1"/>
  <c r="J1634" i="3" s="1"/>
  <c r="B1635" i="3" a="1"/>
  <c r="B1635" i="3" s="1"/>
  <c r="C1635" i="3" a="1"/>
  <c r="C1635" i="3" s="1"/>
  <c r="D1635" i="3" a="1"/>
  <c r="D1635" i="3" s="1"/>
  <c r="E1635" i="3" a="1"/>
  <c r="E1635" i="3" s="1"/>
  <c r="F1635" i="3" a="1"/>
  <c r="F1635" i="3" s="1"/>
  <c r="G1635" i="3" a="1"/>
  <c r="G1635" i="3" s="1"/>
  <c r="J1635" i="3" a="1"/>
  <c r="J1635" i="3" s="1"/>
  <c r="B1636" i="3" a="1"/>
  <c r="B1636" i="3" s="1"/>
  <c r="C1636" i="3" a="1"/>
  <c r="C1636" i="3" s="1"/>
  <c r="D1636" i="3" a="1"/>
  <c r="D1636" i="3" s="1"/>
  <c r="E1636" i="3" a="1"/>
  <c r="E1636" i="3" s="1"/>
  <c r="F1636" i="3" a="1"/>
  <c r="F1636" i="3" s="1"/>
  <c r="G1636" i="3" a="1"/>
  <c r="G1636" i="3" s="1"/>
  <c r="J1636" i="3" a="1"/>
  <c r="J1636" i="3" s="1"/>
  <c r="B1637" i="3" a="1"/>
  <c r="B1637" i="3" s="1"/>
  <c r="C1637" i="3" a="1"/>
  <c r="C1637" i="3" s="1"/>
  <c r="D1637" i="3" a="1"/>
  <c r="D1637" i="3" s="1"/>
  <c r="E1637" i="3" a="1"/>
  <c r="E1637" i="3" s="1"/>
  <c r="F1637" i="3" a="1"/>
  <c r="F1637" i="3" s="1"/>
  <c r="G1637" i="3" a="1"/>
  <c r="G1637" i="3" s="1"/>
  <c r="J1637" i="3" a="1"/>
  <c r="J1637" i="3" s="1"/>
  <c r="B1638" i="3" a="1"/>
  <c r="B1638" i="3" s="1"/>
  <c r="C1638" i="3" a="1"/>
  <c r="C1638" i="3" s="1"/>
  <c r="D1638" i="3" a="1"/>
  <c r="D1638" i="3" s="1"/>
  <c r="E1638" i="3" a="1"/>
  <c r="E1638" i="3" s="1"/>
  <c r="F1638" i="3" a="1"/>
  <c r="F1638" i="3" s="1"/>
  <c r="G1638" i="3" a="1"/>
  <c r="G1638" i="3" s="1"/>
  <c r="J1638" i="3" a="1"/>
  <c r="J1638" i="3" s="1"/>
  <c r="B1639" i="3" a="1"/>
  <c r="B1639" i="3" s="1"/>
  <c r="C1639" i="3" a="1"/>
  <c r="C1639" i="3" s="1"/>
  <c r="D1639" i="3" a="1"/>
  <c r="D1639" i="3" s="1"/>
  <c r="E1639" i="3" a="1"/>
  <c r="E1639" i="3" s="1"/>
  <c r="F1639" i="3" a="1"/>
  <c r="F1639" i="3" s="1"/>
  <c r="G1639" i="3" a="1"/>
  <c r="G1639" i="3" s="1"/>
  <c r="J1639" i="3" a="1"/>
  <c r="J1639" i="3" s="1"/>
  <c r="B1640" i="3" a="1"/>
  <c r="B1640" i="3" s="1"/>
  <c r="C1640" i="3" a="1"/>
  <c r="C1640" i="3" s="1"/>
  <c r="D1640" i="3" a="1"/>
  <c r="D1640" i="3" s="1"/>
  <c r="E1640" i="3" a="1"/>
  <c r="E1640" i="3" s="1"/>
  <c r="F1640" i="3" a="1"/>
  <c r="F1640" i="3" s="1"/>
  <c r="G1640" i="3" a="1"/>
  <c r="G1640" i="3" s="1"/>
  <c r="J1640" i="3" a="1"/>
  <c r="J1640" i="3" s="1"/>
  <c r="B1641" i="3" a="1"/>
  <c r="B1641" i="3" s="1"/>
  <c r="C1641" i="3" a="1"/>
  <c r="C1641" i="3" s="1"/>
  <c r="D1641" i="3" a="1"/>
  <c r="D1641" i="3" s="1"/>
  <c r="E1641" i="3" a="1"/>
  <c r="E1641" i="3" s="1"/>
  <c r="F1641" i="3" a="1"/>
  <c r="F1641" i="3" s="1"/>
  <c r="G1641" i="3" a="1"/>
  <c r="G1641" i="3" s="1"/>
  <c r="J1641" i="3" a="1"/>
  <c r="J1641" i="3" s="1"/>
  <c r="B1642" i="3" a="1"/>
  <c r="B1642" i="3" s="1"/>
  <c r="C1642" i="3" a="1"/>
  <c r="C1642" i="3" s="1"/>
  <c r="D1642" i="3" a="1"/>
  <c r="D1642" i="3" s="1"/>
  <c r="E1642" i="3" a="1"/>
  <c r="E1642" i="3" s="1"/>
  <c r="F1642" i="3" a="1"/>
  <c r="F1642" i="3" s="1"/>
  <c r="G1642" i="3" a="1"/>
  <c r="G1642" i="3" s="1"/>
  <c r="J1642" i="3" a="1"/>
  <c r="J1642" i="3" s="1"/>
  <c r="B1643" i="3" a="1"/>
  <c r="B1643" i="3" s="1"/>
  <c r="C1643" i="3" a="1"/>
  <c r="C1643" i="3" s="1"/>
  <c r="D1643" i="3" a="1"/>
  <c r="D1643" i="3" s="1"/>
  <c r="E1643" i="3" a="1"/>
  <c r="E1643" i="3" s="1"/>
  <c r="F1643" i="3" a="1"/>
  <c r="F1643" i="3" s="1"/>
  <c r="G1643" i="3" a="1"/>
  <c r="G1643" i="3" s="1"/>
  <c r="J1643" i="3" a="1"/>
  <c r="J1643" i="3" s="1"/>
  <c r="B1644" i="3" a="1"/>
  <c r="B1644" i="3" s="1"/>
  <c r="C1644" i="3" a="1"/>
  <c r="C1644" i="3" s="1"/>
  <c r="D1644" i="3" a="1"/>
  <c r="D1644" i="3" s="1"/>
  <c r="E1644" i="3" a="1"/>
  <c r="E1644" i="3" s="1"/>
  <c r="F1644" i="3" a="1"/>
  <c r="F1644" i="3" s="1"/>
  <c r="G1644" i="3" a="1"/>
  <c r="G1644" i="3" s="1"/>
  <c r="J1644" i="3" a="1"/>
  <c r="J1644" i="3" s="1"/>
  <c r="B1645" i="3" a="1"/>
  <c r="B1645" i="3" s="1"/>
  <c r="C1645" i="3" a="1"/>
  <c r="C1645" i="3" s="1"/>
  <c r="D1645" i="3" a="1"/>
  <c r="D1645" i="3" s="1"/>
  <c r="E1645" i="3" a="1"/>
  <c r="E1645" i="3" s="1"/>
  <c r="F1645" i="3" a="1"/>
  <c r="F1645" i="3" s="1"/>
  <c r="G1645" i="3" a="1"/>
  <c r="G1645" i="3" s="1"/>
  <c r="J1645" i="3" a="1"/>
  <c r="J1645" i="3" s="1"/>
  <c r="B1646" i="3" a="1"/>
  <c r="B1646" i="3" s="1"/>
  <c r="C1646" i="3" a="1"/>
  <c r="C1646" i="3" s="1"/>
  <c r="D1646" i="3" a="1"/>
  <c r="D1646" i="3" s="1"/>
  <c r="E1646" i="3" a="1"/>
  <c r="E1646" i="3" s="1"/>
  <c r="F1646" i="3" a="1"/>
  <c r="F1646" i="3" s="1"/>
  <c r="G1646" i="3" a="1"/>
  <c r="G1646" i="3" s="1"/>
  <c r="J1646" i="3" a="1"/>
  <c r="J1646" i="3" s="1"/>
  <c r="B1647" i="3" a="1"/>
  <c r="B1647" i="3" s="1"/>
  <c r="C1647" i="3" a="1"/>
  <c r="C1647" i="3" s="1"/>
  <c r="D1647" i="3" a="1"/>
  <c r="D1647" i="3" s="1"/>
  <c r="E1647" i="3" a="1"/>
  <c r="E1647" i="3" s="1"/>
  <c r="F1647" i="3" a="1"/>
  <c r="F1647" i="3" s="1"/>
  <c r="G1647" i="3" a="1"/>
  <c r="G1647" i="3" s="1"/>
  <c r="J1647" i="3" a="1"/>
  <c r="J1647" i="3" s="1"/>
  <c r="B1648" i="3" a="1"/>
  <c r="B1648" i="3" s="1"/>
  <c r="C1648" i="3" a="1"/>
  <c r="C1648" i="3" s="1"/>
  <c r="D1648" i="3" a="1"/>
  <c r="D1648" i="3" s="1"/>
  <c r="E1648" i="3" a="1"/>
  <c r="E1648" i="3" s="1"/>
  <c r="F1648" i="3" a="1"/>
  <c r="F1648" i="3" s="1"/>
  <c r="G1648" i="3" a="1"/>
  <c r="G1648" i="3" s="1"/>
  <c r="J1648" i="3" a="1"/>
  <c r="J1648" i="3" s="1"/>
  <c r="B1649" i="3" a="1"/>
  <c r="B1649" i="3" s="1"/>
  <c r="C1649" i="3" a="1"/>
  <c r="C1649" i="3" s="1"/>
  <c r="D1649" i="3" a="1"/>
  <c r="D1649" i="3" s="1"/>
  <c r="E1649" i="3" a="1"/>
  <c r="E1649" i="3" s="1"/>
  <c r="F1649" i="3" a="1"/>
  <c r="F1649" i="3" s="1"/>
  <c r="G1649" i="3" a="1"/>
  <c r="G1649" i="3" s="1"/>
  <c r="J1649" i="3" a="1"/>
  <c r="J1649" i="3" s="1"/>
  <c r="B1650" i="3" a="1"/>
  <c r="B1650" i="3" s="1"/>
  <c r="C1650" i="3" a="1"/>
  <c r="C1650" i="3" s="1"/>
  <c r="D1650" i="3" a="1"/>
  <c r="D1650" i="3" s="1"/>
  <c r="E1650" i="3" a="1"/>
  <c r="E1650" i="3" s="1"/>
  <c r="F1650" i="3" a="1"/>
  <c r="F1650" i="3" s="1"/>
  <c r="G1650" i="3" a="1"/>
  <c r="G1650" i="3" s="1"/>
  <c r="J1650" i="3" a="1"/>
  <c r="J1650" i="3" s="1"/>
  <c r="B1651" i="3" a="1"/>
  <c r="B1651" i="3" s="1"/>
  <c r="C1651" i="3" a="1"/>
  <c r="C1651" i="3" s="1"/>
  <c r="D1651" i="3" a="1"/>
  <c r="D1651" i="3" s="1"/>
  <c r="E1651" i="3" a="1"/>
  <c r="E1651" i="3" s="1"/>
  <c r="F1651" i="3" a="1"/>
  <c r="F1651" i="3" s="1"/>
  <c r="G1651" i="3" a="1"/>
  <c r="G1651" i="3" s="1"/>
  <c r="J1651" i="3" a="1"/>
  <c r="J1651" i="3" s="1"/>
  <c r="B1652" i="3" a="1"/>
  <c r="B1652" i="3" s="1"/>
  <c r="C1652" i="3" a="1"/>
  <c r="C1652" i="3" s="1"/>
  <c r="D1652" i="3" a="1"/>
  <c r="D1652" i="3" s="1"/>
  <c r="E1652" i="3" a="1"/>
  <c r="E1652" i="3" s="1"/>
  <c r="F1652" i="3" a="1"/>
  <c r="F1652" i="3" s="1"/>
  <c r="G1652" i="3" a="1"/>
  <c r="G1652" i="3" s="1"/>
  <c r="J1652" i="3" a="1"/>
  <c r="J1652" i="3" s="1"/>
  <c r="B1653" i="3" a="1"/>
  <c r="B1653" i="3" s="1"/>
  <c r="C1653" i="3" a="1"/>
  <c r="C1653" i="3" s="1"/>
  <c r="D1653" i="3" a="1"/>
  <c r="D1653" i="3" s="1"/>
  <c r="E1653" i="3" a="1"/>
  <c r="E1653" i="3" s="1"/>
  <c r="F1653" i="3" a="1"/>
  <c r="F1653" i="3" s="1"/>
  <c r="G1653" i="3" a="1"/>
  <c r="G1653" i="3" s="1"/>
  <c r="J1653" i="3" a="1"/>
  <c r="J1653" i="3" s="1"/>
  <c r="B1654" i="3" a="1"/>
  <c r="B1654" i="3" s="1"/>
  <c r="C1654" i="3" a="1"/>
  <c r="C1654" i="3" s="1"/>
  <c r="D1654" i="3" a="1"/>
  <c r="D1654" i="3" s="1"/>
  <c r="E1654" i="3" a="1"/>
  <c r="E1654" i="3" s="1"/>
  <c r="F1654" i="3" a="1"/>
  <c r="F1654" i="3" s="1"/>
  <c r="G1654" i="3" a="1"/>
  <c r="G1654" i="3" s="1"/>
  <c r="J1654" i="3" a="1"/>
  <c r="J1654" i="3" s="1"/>
  <c r="B1655" i="3" a="1"/>
  <c r="B1655" i="3" s="1"/>
  <c r="C1655" i="3" a="1"/>
  <c r="C1655" i="3" s="1"/>
  <c r="D1655" i="3" a="1"/>
  <c r="D1655" i="3" s="1"/>
  <c r="E1655" i="3" a="1"/>
  <c r="E1655" i="3" s="1"/>
  <c r="F1655" i="3" a="1"/>
  <c r="F1655" i="3" s="1"/>
  <c r="G1655" i="3" a="1"/>
  <c r="G1655" i="3" s="1"/>
  <c r="J1655" i="3" a="1"/>
  <c r="J1655" i="3" s="1"/>
  <c r="B1656" i="3" a="1"/>
  <c r="B1656" i="3" s="1"/>
  <c r="C1656" i="3" a="1"/>
  <c r="C1656" i="3" s="1"/>
  <c r="D1656" i="3" a="1"/>
  <c r="D1656" i="3" s="1"/>
  <c r="E1656" i="3" a="1"/>
  <c r="E1656" i="3" s="1"/>
  <c r="F1656" i="3" a="1"/>
  <c r="F1656" i="3" s="1"/>
  <c r="G1656" i="3" a="1"/>
  <c r="G1656" i="3" s="1"/>
  <c r="J1656" i="3" a="1"/>
  <c r="J1656" i="3" s="1"/>
  <c r="B1657" i="3" a="1"/>
  <c r="B1657" i="3" s="1"/>
  <c r="C1657" i="3" a="1"/>
  <c r="C1657" i="3" s="1"/>
  <c r="D1657" i="3" a="1"/>
  <c r="D1657" i="3" s="1"/>
  <c r="E1657" i="3" a="1"/>
  <c r="E1657" i="3" s="1"/>
  <c r="F1657" i="3" a="1"/>
  <c r="F1657" i="3" s="1"/>
  <c r="G1657" i="3" a="1"/>
  <c r="G1657" i="3" s="1"/>
  <c r="J1657" i="3" a="1"/>
  <c r="J1657" i="3" s="1"/>
  <c r="B1658" i="3" a="1"/>
  <c r="B1658" i="3" s="1"/>
  <c r="C1658" i="3" a="1"/>
  <c r="C1658" i="3" s="1"/>
  <c r="D1658" i="3" a="1"/>
  <c r="D1658" i="3" s="1"/>
  <c r="E1658" i="3" a="1"/>
  <c r="E1658" i="3" s="1"/>
  <c r="F1658" i="3" a="1"/>
  <c r="F1658" i="3" s="1"/>
  <c r="G1658" i="3" a="1"/>
  <c r="G1658" i="3" s="1"/>
  <c r="J1658" i="3" a="1"/>
  <c r="J1658" i="3" s="1"/>
  <c r="B1659" i="3" a="1"/>
  <c r="B1659" i="3" s="1"/>
  <c r="C1659" i="3" a="1"/>
  <c r="C1659" i="3" s="1"/>
  <c r="D1659" i="3" a="1"/>
  <c r="D1659" i="3" s="1"/>
  <c r="E1659" i="3" a="1"/>
  <c r="E1659" i="3" s="1"/>
  <c r="F1659" i="3" a="1"/>
  <c r="F1659" i="3" s="1"/>
  <c r="G1659" i="3" a="1"/>
  <c r="G1659" i="3" s="1"/>
  <c r="J1659" i="3" a="1"/>
  <c r="J1659" i="3" s="1"/>
  <c r="B1660" i="3" a="1"/>
  <c r="B1660" i="3" s="1"/>
  <c r="C1660" i="3" a="1"/>
  <c r="C1660" i="3" s="1"/>
  <c r="D1660" i="3" a="1"/>
  <c r="D1660" i="3" s="1"/>
  <c r="E1660" i="3" a="1"/>
  <c r="E1660" i="3" s="1"/>
  <c r="F1660" i="3" a="1"/>
  <c r="F1660" i="3" s="1"/>
  <c r="G1660" i="3" a="1"/>
  <c r="G1660" i="3" s="1"/>
  <c r="J1660" i="3" a="1"/>
  <c r="J1660" i="3" s="1"/>
  <c r="B1661" i="3" a="1"/>
  <c r="B1661" i="3" s="1"/>
  <c r="C1661" i="3" a="1"/>
  <c r="C1661" i="3" s="1"/>
  <c r="D1661" i="3" a="1"/>
  <c r="D1661" i="3" s="1"/>
  <c r="E1661" i="3" a="1"/>
  <c r="E1661" i="3" s="1"/>
  <c r="F1661" i="3" a="1"/>
  <c r="F1661" i="3" s="1"/>
  <c r="G1661" i="3" a="1"/>
  <c r="G1661" i="3" s="1"/>
  <c r="J1661" i="3" a="1"/>
  <c r="J1661" i="3" s="1"/>
  <c r="B1662" i="3" a="1"/>
  <c r="B1662" i="3" s="1"/>
  <c r="C1662" i="3" a="1"/>
  <c r="C1662" i="3" s="1"/>
  <c r="D1662" i="3" a="1"/>
  <c r="D1662" i="3" s="1"/>
  <c r="E1662" i="3" a="1"/>
  <c r="E1662" i="3" s="1"/>
  <c r="F1662" i="3" a="1"/>
  <c r="F1662" i="3" s="1"/>
  <c r="G1662" i="3" a="1"/>
  <c r="G1662" i="3" s="1"/>
  <c r="J1662" i="3" a="1"/>
  <c r="J1662" i="3" s="1"/>
  <c r="B1663" i="3" a="1"/>
  <c r="B1663" i="3" s="1"/>
  <c r="C1663" i="3" a="1"/>
  <c r="C1663" i="3" s="1"/>
  <c r="D1663" i="3" a="1"/>
  <c r="D1663" i="3" s="1"/>
  <c r="E1663" i="3" a="1"/>
  <c r="E1663" i="3" s="1"/>
  <c r="F1663" i="3" a="1"/>
  <c r="F1663" i="3" s="1"/>
  <c r="G1663" i="3" a="1"/>
  <c r="G1663" i="3" s="1"/>
  <c r="J1663" i="3" a="1"/>
  <c r="J1663" i="3" s="1"/>
  <c r="B1664" i="3" a="1"/>
  <c r="B1664" i="3" s="1"/>
  <c r="C1664" i="3" a="1"/>
  <c r="C1664" i="3" s="1"/>
  <c r="D1664" i="3" a="1"/>
  <c r="D1664" i="3" s="1"/>
  <c r="E1664" i="3" a="1"/>
  <c r="E1664" i="3" s="1"/>
  <c r="F1664" i="3" a="1"/>
  <c r="F1664" i="3" s="1"/>
  <c r="G1664" i="3" a="1"/>
  <c r="G1664" i="3" s="1"/>
  <c r="J1664" i="3" a="1"/>
  <c r="J1664" i="3" s="1"/>
  <c r="B1665" i="3" a="1"/>
  <c r="B1665" i="3" s="1"/>
  <c r="C1665" i="3" a="1"/>
  <c r="C1665" i="3" s="1"/>
  <c r="D1665" i="3" a="1"/>
  <c r="D1665" i="3" s="1"/>
  <c r="E1665" i="3" a="1"/>
  <c r="E1665" i="3" s="1"/>
  <c r="F1665" i="3" a="1"/>
  <c r="F1665" i="3" s="1"/>
  <c r="G1665" i="3" a="1"/>
  <c r="G1665" i="3" s="1"/>
  <c r="J1665" i="3" a="1"/>
  <c r="J1665" i="3" s="1"/>
  <c r="B1666" i="3" a="1"/>
  <c r="B1666" i="3" s="1"/>
  <c r="C1666" i="3" a="1"/>
  <c r="C1666" i="3" s="1"/>
  <c r="D1666" i="3" a="1"/>
  <c r="D1666" i="3" s="1"/>
  <c r="E1666" i="3" a="1"/>
  <c r="E1666" i="3" s="1"/>
  <c r="F1666" i="3" a="1"/>
  <c r="F1666" i="3" s="1"/>
  <c r="G1666" i="3" a="1"/>
  <c r="G1666" i="3" s="1"/>
  <c r="J1666" i="3" a="1"/>
  <c r="J1666" i="3" s="1"/>
  <c r="B1667" i="3" a="1"/>
  <c r="B1667" i="3" s="1"/>
  <c r="C1667" i="3" a="1"/>
  <c r="C1667" i="3" s="1"/>
  <c r="D1667" i="3" a="1"/>
  <c r="D1667" i="3" s="1"/>
  <c r="E1667" i="3" a="1"/>
  <c r="E1667" i="3" s="1"/>
  <c r="F1667" i="3" a="1"/>
  <c r="F1667" i="3" s="1"/>
  <c r="G1667" i="3" a="1"/>
  <c r="G1667" i="3" s="1"/>
  <c r="J1667" i="3" a="1"/>
  <c r="J1667" i="3" s="1"/>
  <c r="B1668" i="3" a="1"/>
  <c r="B1668" i="3" s="1"/>
  <c r="C1668" i="3" a="1"/>
  <c r="C1668" i="3" s="1"/>
  <c r="D1668" i="3" a="1"/>
  <c r="D1668" i="3" s="1"/>
  <c r="E1668" i="3" a="1"/>
  <c r="E1668" i="3" s="1"/>
  <c r="F1668" i="3" a="1"/>
  <c r="F1668" i="3" s="1"/>
  <c r="G1668" i="3" a="1"/>
  <c r="G1668" i="3" s="1"/>
  <c r="J1668" i="3" a="1"/>
  <c r="J1668" i="3" s="1"/>
  <c r="B1669" i="3" a="1"/>
  <c r="B1669" i="3" s="1"/>
  <c r="C1669" i="3" a="1"/>
  <c r="C1669" i="3" s="1"/>
  <c r="D1669" i="3" a="1"/>
  <c r="D1669" i="3" s="1"/>
  <c r="E1669" i="3" a="1"/>
  <c r="E1669" i="3" s="1"/>
  <c r="F1669" i="3" a="1"/>
  <c r="F1669" i="3" s="1"/>
  <c r="G1669" i="3" a="1"/>
  <c r="G1669" i="3" s="1"/>
  <c r="J1669" i="3" a="1"/>
  <c r="J1669" i="3" s="1"/>
  <c r="B1670" i="3" a="1"/>
  <c r="B1670" i="3" s="1"/>
  <c r="C1670" i="3" a="1"/>
  <c r="C1670" i="3" s="1"/>
  <c r="D1670" i="3" a="1"/>
  <c r="D1670" i="3" s="1"/>
  <c r="E1670" i="3" a="1"/>
  <c r="E1670" i="3" s="1"/>
  <c r="F1670" i="3" a="1"/>
  <c r="F1670" i="3" s="1"/>
  <c r="G1670" i="3" a="1"/>
  <c r="G1670" i="3" s="1"/>
  <c r="J1670" i="3" a="1"/>
  <c r="J1670" i="3" s="1"/>
  <c r="B1671" i="3" a="1"/>
  <c r="B1671" i="3" s="1"/>
  <c r="C1671" i="3" a="1"/>
  <c r="C1671" i="3" s="1"/>
  <c r="D1671" i="3" a="1"/>
  <c r="D1671" i="3" s="1"/>
  <c r="E1671" i="3" a="1"/>
  <c r="E1671" i="3" s="1"/>
  <c r="F1671" i="3" a="1"/>
  <c r="F1671" i="3" s="1"/>
  <c r="G1671" i="3" a="1"/>
  <c r="G1671" i="3" s="1"/>
  <c r="J1671" i="3" a="1"/>
  <c r="J1671" i="3" s="1"/>
  <c r="B1672" i="3" a="1"/>
  <c r="B1672" i="3" s="1"/>
  <c r="C1672" i="3" a="1"/>
  <c r="C1672" i="3" s="1"/>
  <c r="D1672" i="3" a="1"/>
  <c r="D1672" i="3" s="1"/>
  <c r="E1672" i="3" a="1"/>
  <c r="E1672" i="3" s="1"/>
  <c r="F1672" i="3" a="1"/>
  <c r="F1672" i="3" s="1"/>
  <c r="G1672" i="3" a="1"/>
  <c r="G1672" i="3" s="1"/>
  <c r="J1672" i="3" a="1"/>
  <c r="J1672" i="3" s="1"/>
  <c r="B1673" i="3" a="1"/>
  <c r="B1673" i="3" s="1"/>
  <c r="C1673" i="3" a="1"/>
  <c r="C1673" i="3" s="1"/>
  <c r="D1673" i="3" a="1"/>
  <c r="D1673" i="3" s="1"/>
  <c r="E1673" i="3" a="1"/>
  <c r="E1673" i="3" s="1"/>
  <c r="F1673" i="3" a="1"/>
  <c r="F1673" i="3" s="1"/>
  <c r="G1673" i="3" a="1"/>
  <c r="G1673" i="3" s="1"/>
  <c r="J1673" i="3" a="1"/>
  <c r="J1673" i="3" s="1"/>
  <c r="B1674" i="3" a="1"/>
  <c r="B1674" i="3" s="1"/>
  <c r="C1674" i="3" a="1"/>
  <c r="C1674" i="3" s="1"/>
  <c r="D1674" i="3" a="1"/>
  <c r="D1674" i="3" s="1"/>
  <c r="E1674" i="3" a="1"/>
  <c r="E1674" i="3" s="1"/>
  <c r="F1674" i="3" a="1"/>
  <c r="F1674" i="3" s="1"/>
  <c r="G1674" i="3" a="1"/>
  <c r="G1674" i="3" s="1"/>
  <c r="J1674" i="3" a="1"/>
  <c r="J1674" i="3" s="1"/>
  <c r="B1675" i="3" a="1"/>
  <c r="B1675" i="3" s="1"/>
  <c r="C1675" i="3" a="1"/>
  <c r="C1675" i="3" s="1"/>
  <c r="D1675" i="3" a="1"/>
  <c r="D1675" i="3" s="1"/>
  <c r="E1675" i="3" a="1"/>
  <c r="E1675" i="3" s="1"/>
  <c r="F1675" i="3" a="1"/>
  <c r="F1675" i="3" s="1"/>
  <c r="G1675" i="3" a="1"/>
  <c r="G1675" i="3" s="1"/>
  <c r="J1675" i="3" a="1"/>
  <c r="J1675" i="3" s="1"/>
  <c r="B1676" i="3" a="1"/>
  <c r="B1676" i="3" s="1"/>
  <c r="C1676" i="3" a="1"/>
  <c r="C1676" i="3" s="1"/>
  <c r="D1676" i="3" a="1"/>
  <c r="D1676" i="3" s="1"/>
  <c r="E1676" i="3" a="1"/>
  <c r="E1676" i="3" s="1"/>
  <c r="F1676" i="3" a="1"/>
  <c r="F1676" i="3" s="1"/>
  <c r="G1676" i="3" a="1"/>
  <c r="G1676" i="3" s="1"/>
  <c r="J1676" i="3" a="1"/>
  <c r="J1676" i="3" s="1"/>
  <c r="B1677" i="3" a="1"/>
  <c r="B1677" i="3" s="1"/>
  <c r="C1677" i="3" a="1"/>
  <c r="C1677" i="3" s="1"/>
  <c r="D1677" i="3" a="1"/>
  <c r="D1677" i="3" s="1"/>
  <c r="E1677" i="3" a="1"/>
  <c r="E1677" i="3" s="1"/>
  <c r="F1677" i="3" a="1"/>
  <c r="F1677" i="3" s="1"/>
  <c r="G1677" i="3" a="1"/>
  <c r="G1677" i="3" s="1"/>
  <c r="J1677" i="3" a="1"/>
  <c r="J1677" i="3" s="1"/>
  <c r="B1678" i="3" a="1"/>
  <c r="B1678" i="3" s="1"/>
  <c r="C1678" i="3" a="1"/>
  <c r="C1678" i="3" s="1"/>
  <c r="D1678" i="3" a="1"/>
  <c r="D1678" i="3" s="1"/>
  <c r="E1678" i="3" a="1"/>
  <c r="E1678" i="3" s="1"/>
  <c r="F1678" i="3" a="1"/>
  <c r="F1678" i="3" s="1"/>
  <c r="G1678" i="3" a="1"/>
  <c r="G1678" i="3" s="1"/>
  <c r="J1678" i="3" a="1"/>
  <c r="J1678" i="3" s="1"/>
  <c r="B1679" i="3" a="1"/>
  <c r="B1679" i="3" s="1"/>
  <c r="C1679" i="3" a="1"/>
  <c r="C1679" i="3" s="1"/>
  <c r="D1679" i="3" a="1"/>
  <c r="D1679" i="3" s="1"/>
  <c r="E1679" i="3" a="1"/>
  <c r="E1679" i="3" s="1"/>
  <c r="F1679" i="3" a="1"/>
  <c r="F1679" i="3" s="1"/>
  <c r="G1679" i="3" a="1"/>
  <c r="G1679" i="3" s="1"/>
  <c r="J1679" i="3" a="1"/>
  <c r="J1679" i="3" s="1"/>
  <c r="B1680" i="3" a="1"/>
  <c r="B1680" i="3" s="1"/>
  <c r="C1680" i="3" a="1"/>
  <c r="C1680" i="3" s="1"/>
  <c r="D1680" i="3" a="1"/>
  <c r="D1680" i="3" s="1"/>
  <c r="E1680" i="3" a="1"/>
  <c r="E1680" i="3" s="1"/>
  <c r="F1680" i="3" a="1"/>
  <c r="F1680" i="3" s="1"/>
  <c r="G1680" i="3" a="1"/>
  <c r="G1680" i="3" s="1"/>
  <c r="J1680" i="3" a="1"/>
  <c r="J1680" i="3" s="1"/>
  <c r="B1681" i="3" a="1"/>
  <c r="B1681" i="3" s="1"/>
  <c r="C1681" i="3" a="1"/>
  <c r="C1681" i="3" s="1"/>
  <c r="D1681" i="3" a="1"/>
  <c r="D1681" i="3" s="1"/>
  <c r="E1681" i="3" a="1"/>
  <c r="E1681" i="3" s="1"/>
  <c r="F1681" i="3" a="1"/>
  <c r="F1681" i="3" s="1"/>
  <c r="G1681" i="3" a="1"/>
  <c r="G1681" i="3" s="1"/>
  <c r="J1681" i="3" a="1"/>
  <c r="J1681" i="3" s="1"/>
  <c r="B1682" i="3" a="1"/>
  <c r="B1682" i="3" s="1"/>
  <c r="C1682" i="3" a="1"/>
  <c r="C1682" i="3" s="1"/>
  <c r="D1682" i="3" a="1"/>
  <c r="D1682" i="3" s="1"/>
  <c r="E1682" i="3" a="1"/>
  <c r="E1682" i="3" s="1"/>
  <c r="F1682" i="3" a="1"/>
  <c r="F1682" i="3" s="1"/>
  <c r="G1682" i="3" a="1"/>
  <c r="G1682" i="3" s="1"/>
  <c r="J1682" i="3" a="1"/>
  <c r="J1682" i="3" s="1"/>
  <c r="B1683" i="3" a="1"/>
  <c r="B1683" i="3" s="1"/>
  <c r="C1683" i="3" a="1"/>
  <c r="C1683" i="3" s="1"/>
  <c r="D1683" i="3" a="1"/>
  <c r="D1683" i="3" s="1"/>
  <c r="E1683" i="3" a="1"/>
  <c r="E1683" i="3" s="1"/>
  <c r="F1683" i="3" a="1"/>
  <c r="F1683" i="3" s="1"/>
  <c r="G1683" i="3" a="1"/>
  <c r="G1683" i="3" s="1"/>
  <c r="J1683" i="3" a="1"/>
  <c r="J1683" i="3" s="1"/>
  <c r="B1684" i="3" a="1"/>
  <c r="B1684" i="3" s="1"/>
  <c r="C1684" i="3" a="1"/>
  <c r="C1684" i="3" s="1"/>
  <c r="D1684" i="3" a="1"/>
  <c r="D1684" i="3" s="1"/>
  <c r="E1684" i="3" a="1"/>
  <c r="E1684" i="3" s="1"/>
  <c r="F1684" i="3" a="1"/>
  <c r="F1684" i="3" s="1"/>
  <c r="G1684" i="3" a="1"/>
  <c r="G1684" i="3" s="1"/>
  <c r="J1684" i="3" a="1"/>
  <c r="J1684" i="3" s="1"/>
  <c r="B1685" i="3" a="1"/>
  <c r="B1685" i="3" s="1"/>
  <c r="C1685" i="3" a="1"/>
  <c r="C1685" i="3" s="1"/>
  <c r="D1685" i="3" a="1"/>
  <c r="D1685" i="3" s="1"/>
  <c r="E1685" i="3" a="1"/>
  <c r="E1685" i="3" s="1"/>
  <c r="F1685" i="3" a="1"/>
  <c r="F1685" i="3" s="1"/>
  <c r="G1685" i="3" a="1"/>
  <c r="G1685" i="3" s="1"/>
  <c r="J1685" i="3" a="1"/>
  <c r="J1685" i="3" s="1"/>
  <c r="B1686" i="3" a="1"/>
  <c r="B1686" i="3" s="1"/>
  <c r="C1686" i="3" a="1"/>
  <c r="C1686" i="3" s="1"/>
  <c r="D1686" i="3" a="1"/>
  <c r="D1686" i="3" s="1"/>
  <c r="E1686" i="3" a="1"/>
  <c r="E1686" i="3" s="1"/>
  <c r="F1686" i="3" a="1"/>
  <c r="F1686" i="3" s="1"/>
  <c r="G1686" i="3" a="1"/>
  <c r="G1686" i="3" s="1"/>
  <c r="J1686" i="3" a="1"/>
  <c r="J1686" i="3" s="1"/>
  <c r="B1687" i="3" a="1"/>
  <c r="B1687" i="3" s="1"/>
  <c r="C1687" i="3" a="1"/>
  <c r="C1687" i="3" s="1"/>
  <c r="D1687" i="3" a="1"/>
  <c r="D1687" i="3" s="1"/>
  <c r="E1687" i="3" a="1"/>
  <c r="E1687" i="3" s="1"/>
  <c r="F1687" i="3" a="1"/>
  <c r="F1687" i="3" s="1"/>
  <c r="G1687" i="3" a="1"/>
  <c r="G1687" i="3" s="1"/>
  <c r="J1687" i="3" a="1"/>
  <c r="J1687" i="3" s="1"/>
  <c r="B1688" i="3" a="1"/>
  <c r="B1688" i="3" s="1"/>
  <c r="C1688" i="3" a="1"/>
  <c r="C1688" i="3" s="1"/>
  <c r="D1688" i="3" a="1"/>
  <c r="D1688" i="3" s="1"/>
  <c r="E1688" i="3" a="1"/>
  <c r="E1688" i="3" s="1"/>
  <c r="F1688" i="3" a="1"/>
  <c r="F1688" i="3" s="1"/>
  <c r="G1688" i="3" a="1"/>
  <c r="G1688" i="3" s="1"/>
  <c r="J1688" i="3" a="1"/>
  <c r="J1688" i="3" s="1"/>
  <c r="B1689" i="3" a="1"/>
  <c r="B1689" i="3" s="1"/>
  <c r="C1689" i="3" a="1"/>
  <c r="C1689" i="3" s="1"/>
  <c r="D1689" i="3" a="1"/>
  <c r="D1689" i="3" s="1"/>
  <c r="E1689" i="3" a="1"/>
  <c r="E1689" i="3" s="1"/>
  <c r="F1689" i="3" a="1"/>
  <c r="F1689" i="3" s="1"/>
  <c r="G1689" i="3" a="1"/>
  <c r="G1689" i="3" s="1"/>
  <c r="J1689" i="3" a="1"/>
  <c r="J1689" i="3" s="1"/>
  <c r="B1690" i="3" a="1"/>
  <c r="B1690" i="3" s="1"/>
  <c r="C1690" i="3" a="1"/>
  <c r="C1690" i="3" s="1"/>
  <c r="D1690" i="3" a="1"/>
  <c r="D1690" i="3" s="1"/>
  <c r="E1690" i="3" a="1"/>
  <c r="E1690" i="3" s="1"/>
  <c r="F1690" i="3" a="1"/>
  <c r="F1690" i="3" s="1"/>
  <c r="G1690" i="3" a="1"/>
  <c r="G1690" i="3" s="1"/>
  <c r="J1690" i="3" a="1"/>
  <c r="J1690" i="3" s="1"/>
  <c r="B1691" i="3" a="1"/>
  <c r="B1691" i="3" s="1"/>
  <c r="C1691" i="3" a="1"/>
  <c r="C1691" i="3" s="1"/>
  <c r="D1691" i="3" a="1"/>
  <c r="D1691" i="3" s="1"/>
  <c r="E1691" i="3" a="1"/>
  <c r="E1691" i="3" s="1"/>
  <c r="F1691" i="3" a="1"/>
  <c r="F1691" i="3" s="1"/>
  <c r="G1691" i="3" a="1"/>
  <c r="G1691" i="3" s="1"/>
  <c r="J1691" i="3" a="1"/>
  <c r="J1691" i="3" s="1"/>
  <c r="B1692" i="3" a="1"/>
  <c r="B1692" i="3" s="1"/>
  <c r="C1692" i="3" a="1"/>
  <c r="C1692" i="3" s="1"/>
  <c r="D1692" i="3" a="1"/>
  <c r="D1692" i="3" s="1"/>
  <c r="E1692" i="3" a="1"/>
  <c r="E1692" i="3" s="1"/>
  <c r="F1692" i="3" a="1"/>
  <c r="F1692" i="3" s="1"/>
  <c r="G1692" i="3" a="1"/>
  <c r="G1692" i="3" s="1"/>
  <c r="J1692" i="3" a="1"/>
  <c r="J1692" i="3" s="1"/>
  <c r="B1693" i="3" a="1"/>
  <c r="B1693" i="3" s="1"/>
  <c r="C1693" i="3" a="1"/>
  <c r="C1693" i="3" s="1"/>
  <c r="D1693" i="3" a="1"/>
  <c r="D1693" i="3" s="1"/>
  <c r="E1693" i="3" a="1"/>
  <c r="E1693" i="3" s="1"/>
  <c r="F1693" i="3" a="1"/>
  <c r="F1693" i="3" s="1"/>
  <c r="G1693" i="3" a="1"/>
  <c r="G1693" i="3" s="1"/>
  <c r="J1693" i="3" a="1"/>
  <c r="J1693" i="3" s="1"/>
  <c r="B1694" i="3" a="1"/>
  <c r="B1694" i="3" s="1"/>
  <c r="C1694" i="3" a="1"/>
  <c r="C1694" i="3" s="1"/>
  <c r="D1694" i="3" a="1"/>
  <c r="D1694" i="3" s="1"/>
  <c r="E1694" i="3" a="1"/>
  <c r="E1694" i="3" s="1"/>
  <c r="F1694" i="3" a="1"/>
  <c r="F1694" i="3" s="1"/>
  <c r="G1694" i="3" a="1"/>
  <c r="G1694" i="3" s="1"/>
  <c r="J1694" i="3" a="1"/>
  <c r="J1694" i="3" s="1"/>
  <c r="B1695" i="3" a="1"/>
  <c r="B1695" i="3" s="1"/>
  <c r="C1695" i="3" a="1"/>
  <c r="C1695" i="3" s="1"/>
  <c r="D1695" i="3" a="1"/>
  <c r="D1695" i="3" s="1"/>
  <c r="E1695" i="3" a="1"/>
  <c r="E1695" i="3" s="1"/>
  <c r="F1695" i="3" a="1"/>
  <c r="F1695" i="3" s="1"/>
  <c r="G1695" i="3" a="1"/>
  <c r="G1695" i="3" s="1"/>
  <c r="J1695" i="3" a="1"/>
  <c r="J1695" i="3" s="1"/>
  <c r="B1696" i="3" a="1"/>
  <c r="B1696" i="3" s="1"/>
  <c r="C1696" i="3" a="1"/>
  <c r="C1696" i="3" s="1"/>
  <c r="D1696" i="3" a="1"/>
  <c r="D1696" i="3" s="1"/>
  <c r="E1696" i="3" a="1"/>
  <c r="E1696" i="3" s="1"/>
  <c r="F1696" i="3" a="1"/>
  <c r="F1696" i="3" s="1"/>
  <c r="G1696" i="3" a="1"/>
  <c r="G1696" i="3" s="1"/>
  <c r="J1696" i="3" a="1"/>
  <c r="J1696" i="3" s="1"/>
  <c r="B1697" i="3" a="1"/>
  <c r="B1697" i="3" s="1"/>
  <c r="C1697" i="3" a="1"/>
  <c r="C1697" i="3" s="1"/>
  <c r="D1697" i="3" a="1"/>
  <c r="D1697" i="3" s="1"/>
  <c r="E1697" i="3" a="1"/>
  <c r="E1697" i="3" s="1"/>
  <c r="F1697" i="3" a="1"/>
  <c r="F1697" i="3" s="1"/>
  <c r="G1697" i="3" a="1"/>
  <c r="G1697" i="3" s="1"/>
  <c r="J1697" i="3" a="1"/>
  <c r="J1697" i="3" s="1"/>
  <c r="B1698" i="3" a="1"/>
  <c r="B1698" i="3" s="1"/>
  <c r="C1698" i="3" a="1"/>
  <c r="C1698" i="3" s="1"/>
  <c r="D1698" i="3" a="1"/>
  <c r="D1698" i="3" s="1"/>
  <c r="E1698" i="3" a="1"/>
  <c r="E1698" i="3" s="1"/>
  <c r="F1698" i="3" a="1"/>
  <c r="F1698" i="3" s="1"/>
  <c r="G1698" i="3" a="1"/>
  <c r="G1698" i="3" s="1"/>
  <c r="J1698" i="3" a="1"/>
  <c r="J1698" i="3" s="1"/>
  <c r="B1699" i="3" a="1"/>
  <c r="B1699" i="3" s="1"/>
  <c r="C1699" i="3" a="1"/>
  <c r="C1699" i="3" s="1"/>
  <c r="D1699" i="3" a="1"/>
  <c r="D1699" i="3" s="1"/>
  <c r="E1699" i="3" a="1"/>
  <c r="E1699" i="3" s="1"/>
  <c r="F1699" i="3" a="1"/>
  <c r="F1699" i="3" s="1"/>
  <c r="G1699" i="3" a="1"/>
  <c r="G1699" i="3" s="1"/>
  <c r="J1699" i="3" a="1"/>
  <c r="J1699" i="3" s="1"/>
  <c r="B1700" i="3" a="1"/>
  <c r="B1700" i="3" s="1"/>
  <c r="C1700" i="3" a="1"/>
  <c r="C1700" i="3" s="1"/>
  <c r="D1700" i="3" a="1"/>
  <c r="D1700" i="3" s="1"/>
  <c r="E1700" i="3" a="1"/>
  <c r="E1700" i="3" s="1"/>
  <c r="F1700" i="3" a="1"/>
  <c r="F1700" i="3" s="1"/>
  <c r="G1700" i="3" a="1"/>
  <c r="G1700" i="3" s="1"/>
  <c r="J1700" i="3" a="1"/>
  <c r="J1700" i="3" s="1"/>
  <c r="B1701" i="3" a="1"/>
  <c r="B1701" i="3" s="1"/>
  <c r="C1701" i="3" a="1"/>
  <c r="C1701" i="3" s="1"/>
  <c r="D1701" i="3" a="1"/>
  <c r="D1701" i="3" s="1"/>
  <c r="E1701" i="3" a="1"/>
  <c r="E1701" i="3" s="1"/>
  <c r="F1701" i="3" a="1"/>
  <c r="F1701" i="3" s="1"/>
  <c r="G1701" i="3" a="1"/>
  <c r="G1701" i="3" s="1"/>
  <c r="J1701" i="3" a="1"/>
  <c r="J1701" i="3" s="1"/>
  <c r="B1702" i="3" a="1"/>
  <c r="B1702" i="3" s="1"/>
  <c r="C1702" i="3" a="1"/>
  <c r="C1702" i="3" s="1"/>
  <c r="D1702" i="3" a="1"/>
  <c r="D1702" i="3" s="1"/>
  <c r="E1702" i="3" a="1"/>
  <c r="E1702" i="3" s="1"/>
  <c r="F1702" i="3" a="1"/>
  <c r="F1702" i="3" s="1"/>
  <c r="G1702" i="3" a="1"/>
  <c r="G1702" i="3" s="1"/>
  <c r="J1702" i="3" a="1"/>
  <c r="J1702" i="3" s="1"/>
  <c r="B1703" i="3" a="1"/>
  <c r="B1703" i="3" s="1"/>
  <c r="C1703" i="3" a="1"/>
  <c r="C1703" i="3" s="1"/>
  <c r="D1703" i="3" a="1"/>
  <c r="D1703" i="3" s="1"/>
  <c r="E1703" i="3" a="1"/>
  <c r="E1703" i="3" s="1"/>
  <c r="F1703" i="3" a="1"/>
  <c r="F1703" i="3" s="1"/>
  <c r="G1703" i="3" a="1"/>
  <c r="G1703" i="3" s="1"/>
  <c r="J1703" i="3" a="1"/>
  <c r="J1703" i="3" s="1"/>
  <c r="B1704" i="3" a="1"/>
  <c r="B1704" i="3" s="1"/>
  <c r="C1704" i="3" a="1"/>
  <c r="C1704" i="3" s="1"/>
  <c r="D1704" i="3" a="1"/>
  <c r="D1704" i="3" s="1"/>
  <c r="E1704" i="3" a="1"/>
  <c r="E1704" i="3" s="1"/>
  <c r="F1704" i="3" a="1"/>
  <c r="F1704" i="3" s="1"/>
  <c r="G1704" i="3" a="1"/>
  <c r="G1704" i="3" s="1"/>
  <c r="J1704" i="3" a="1"/>
  <c r="J1704" i="3" s="1"/>
  <c r="B1705" i="3" a="1"/>
  <c r="B1705" i="3" s="1"/>
  <c r="C1705" i="3" a="1"/>
  <c r="C1705" i="3" s="1"/>
  <c r="D1705" i="3" a="1"/>
  <c r="D1705" i="3" s="1"/>
  <c r="E1705" i="3" a="1"/>
  <c r="E1705" i="3" s="1"/>
  <c r="F1705" i="3" a="1"/>
  <c r="F1705" i="3" s="1"/>
  <c r="G1705" i="3" a="1"/>
  <c r="G1705" i="3" s="1"/>
  <c r="J1705" i="3" a="1"/>
  <c r="J1705" i="3" s="1"/>
  <c r="B1706" i="3" a="1"/>
  <c r="B1706" i="3" s="1"/>
  <c r="C1706" i="3" a="1"/>
  <c r="C1706" i="3" s="1"/>
  <c r="D1706" i="3" a="1"/>
  <c r="D1706" i="3" s="1"/>
  <c r="E1706" i="3" a="1"/>
  <c r="E1706" i="3" s="1"/>
  <c r="F1706" i="3" a="1"/>
  <c r="F1706" i="3" s="1"/>
  <c r="G1706" i="3" a="1"/>
  <c r="G1706" i="3" s="1"/>
  <c r="J1706" i="3" a="1"/>
  <c r="J1706" i="3" s="1"/>
  <c r="B1707" i="3" a="1"/>
  <c r="B1707" i="3" s="1"/>
  <c r="C1707" i="3" a="1"/>
  <c r="C1707" i="3" s="1"/>
  <c r="D1707" i="3" a="1"/>
  <c r="D1707" i="3" s="1"/>
  <c r="E1707" i="3" a="1"/>
  <c r="E1707" i="3" s="1"/>
  <c r="F1707" i="3" a="1"/>
  <c r="F1707" i="3" s="1"/>
  <c r="G1707" i="3" a="1"/>
  <c r="G1707" i="3" s="1"/>
  <c r="J1707" i="3" a="1"/>
  <c r="J1707" i="3" s="1"/>
  <c r="B1708" i="3" a="1"/>
  <c r="B1708" i="3" s="1"/>
  <c r="C1708" i="3" a="1"/>
  <c r="C1708" i="3" s="1"/>
  <c r="D1708" i="3" a="1"/>
  <c r="D1708" i="3" s="1"/>
  <c r="E1708" i="3" a="1"/>
  <c r="E1708" i="3" s="1"/>
  <c r="F1708" i="3" a="1"/>
  <c r="F1708" i="3" s="1"/>
  <c r="G1708" i="3" a="1"/>
  <c r="G1708" i="3" s="1"/>
  <c r="J1708" i="3" a="1"/>
  <c r="J1708" i="3" s="1"/>
  <c r="B1709" i="3" a="1"/>
  <c r="B1709" i="3" s="1"/>
  <c r="C1709" i="3" a="1"/>
  <c r="C1709" i="3" s="1"/>
  <c r="D1709" i="3" a="1"/>
  <c r="D1709" i="3" s="1"/>
  <c r="E1709" i="3" a="1"/>
  <c r="E1709" i="3" s="1"/>
  <c r="F1709" i="3" a="1"/>
  <c r="F1709" i="3" s="1"/>
  <c r="G1709" i="3" a="1"/>
  <c r="G1709" i="3" s="1"/>
  <c r="J1709" i="3" a="1"/>
  <c r="J1709" i="3" s="1"/>
  <c r="B1710" i="3" a="1"/>
  <c r="B1710" i="3" s="1"/>
  <c r="C1710" i="3" a="1"/>
  <c r="C1710" i="3" s="1"/>
  <c r="D1710" i="3" a="1"/>
  <c r="D1710" i="3" s="1"/>
  <c r="E1710" i="3" a="1"/>
  <c r="E1710" i="3" s="1"/>
  <c r="F1710" i="3" a="1"/>
  <c r="F1710" i="3" s="1"/>
  <c r="G1710" i="3" a="1"/>
  <c r="G1710" i="3" s="1"/>
  <c r="J1710" i="3" a="1"/>
  <c r="J1710" i="3" s="1"/>
  <c r="B1711" i="3" a="1"/>
  <c r="B1711" i="3" s="1"/>
  <c r="C1711" i="3" a="1"/>
  <c r="C1711" i="3" s="1"/>
  <c r="D1711" i="3" a="1"/>
  <c r="D1711" i="3" s="1"/>
  <c r="E1711" i="3" a="1"/>
  <c r="E1711" i="3" s="1"/>
  <c r="F1711" i="3" a="1"/>
  <c r="F1711" i="3" s="1"/>
  <c r="G1711" i="3" a="1"/>
  <c r="G1711" i="3" s="1"/>
  <c r="J1711" i="3" a="1"/>
  <c r="J1711" i="3" s="1"/>
  <c r="B1712" i="3" a="1"/>
  <c r="B1712" i="3" s="1"/>
  <c r="C1712" i="3" a="1"/>
  <c r="C1712" i="3" s="1"/>
  <c r="D1712" i="3" a="1"/>
  <c r="D1712" i="3" s="1"/>
  <c r="E1712" i="3" a="1"/>
  <c r="E1712" i="3" s="1"/>
  <c r="F1712" i="3" a="1"/>
  <c r="F1712" i="3" s="1"/>
  <c r="G1712" i="3" a="1"/>
  <c r="G1712" i="3" s="1"/>
  <c r="J1712" i="3" a="1"/>
  <c r="J1712" i="3" s="1"/>
  <c r="B1713" i="3" a="1"/>
  <c r="B1713" i="3" s="1"/>
  <c r="C1713" i="3" a="1"/>
  <c r="C1713" i="3" s="1"/>
  <c r="D1713" i="3" a="1"/>
  <c r="D1713" i="3" s="1"/>
  <c r="E1713" i="3" a="1"/>
  <c r="E1713" i="3" s="1"/>
  <c r="F1713" i="3" a="1"/>
  <c r="F1713" i="3" s="1"/>
  <c r="G1713" i="3" a="1"/>
  <c r="G1713" i="3" s="1"/>
  <c r="J1713" i="3" a="1"/>
  <c r="J1713" i="3" s="1"/>
  <c r="B1714" i="3" a="1"/>
  <c r="B1714" i="3" s="1"/>
  <c r="C1714" i="3" a="1"/>
  <c r="C1714" i="3" s="1"/>
  <c r="D1714" i="3" a="1"/>
  <c r="D1714" i="3" s="1"/>
  <c r="E1714" i="3" a="1"/>
  <c r="E1714" i="3" s="1"/>
  <c r="F1714" i="3" a="1"/>
  <c r="F1714" i="3" s="1"/>
  <c r="G1714" i="3" a="1"/>
  <c r="G1714" i="3" s="1"/>
  <c r="J1714" i="3" a="1"/>
  <c r="J1714" i="3" s="1"/>
  <c r="B1715" i="3" a="1"/>
  <c r="B1715" i="3" s="1"/>
  <c r="C1715" i="3" a="1"/>
  <c r="C1715" i="3" s="1"/>
  <c r="D1715" i="3" a="1"/>
  <c r="D1715" i="3" s="1"/>
  <c r="E1715" i="3" a="1"/>
  <c r="E1715" i="3" s="1"/>
  <c r="F1715" i="3" a="1"/>
  <c r="F1715" i="3" s="1"/>
  <c r="G1715" i="3" a="1"/>
  <c r="G1715" i="3" s="1"/>
  <c r="J1715" i="3" a="1"/>
  <c r="J1715" i="3" s="1"/>
  <c r="B1716" i="3" a="1"/>
  <c r="B1716" i="3" s="1"/>
  <c r="C1716" i="3" a="1"/>
  <c r="C1716" i="3" s="1"/>
  <c r="D1716" i="3" a="1"/>
  <c r="D1716" i="3" s="1"/>
  <c r="E1716" i="3" a="1"/>
  <c r="E1716" i="3" s="1"/>
  <c r="F1716" i="3" a="1"/>
  <c r="F1716" i="3" s="1"/>
  <c r="G1716" i="3" a="1"/>
  <c r="G1716" i="3" s="1"/>
  <c r="J1716" i="3" a="1"/>
  <c r="J1716" i="3" s="1"/>
  <c r="B1717" i="3" a="1"/>
  <c r="B1717" i="3" s="1"/>
  <c r="C1717" i="3" a="1"/>
  <c r="C1717" i="3" s="1"/>
  <c r="D1717" i="3" a="1"/>
  <c r="D1717" i="3" s="1"/>
  <c r="E1717" i="3" a="1"/>
  <c r="E1717" i="3" s="1"/>
  <c r="F1717" i="3" a="1"/>
  <c r="F1717" i="3" s="1"/>
  <c r="G1717" i="3" a="1"/>
  <c r="G1717" i="3" s="1"/>
  <c r="J1717" i="3" a="1"/>
  <c r="J1717" i="3" s="1"/>
  <c r="B1718" i="3" a="1"/>
  <c r="B1718" i="3" s="1"/>
  <c r="C1718" i="3" a="1"/>
  <c r="C1718" i="3" s="1"/>
  <c r="D1718" i="3" a="1"/>
  <c r="D1718" i="3" s="1"/>
  <c r="E1718" i="3" a="1"/>
  <c r="E1718" i="3" s="1"/>
  <c r="F1718" i="3" a="1"/>
  <c r="F1718" i="3" s="1"/>
  <c r="G1718" i="3" a="1"/>
  <c r="G1718" i="3" s="1"/>
  <c r="J1718" i="3" a="1"/>
  <c r="J1718" i="3" s="1"/>
  <c r="B1719" i="3" a="1"/>
  <c r="B1719" i="3" s="1"/>
  <c r="C1719" i="3" a="1"/>
  <c r="C1719" i="3" s="1"/>
  <c r="D1719" i="3" a="1"/>
  <c r="D1719" i="3" s="1"/>
  <c r="E1719" i="3" a="1"/>
  <c r="E1719" i="3" s="1"/>
  <c r="F1719" i="3" a="1"/>
  <c r="F1719" i="3" s="1"/>
  <c r="G1719" i="3" a="1"/>
  <c r="G1719" i="3" s="1"/>
  <c r="J1719" i="3" a="1"/>
  <c r="J1719" i="3" s="1"/>
  <c r="B1720" i="3" a="1"/>
  <c r="B1720" i="3" s="1"/>
  <c r="C1720" i="3" a="1"/>
  <c r="C1720" i="3" s="1"/>
  <c r="D1720" i="3" a="1"/>
  <c r="D1720" i="3" s="1"/>
  <c r="E1720" i="3" a="1"/>
  <c r="E1720" i="3" s="1"/>
  <c r="F1720" i="3" a="1"/>
  <c r="F1720" i="3" s="1"/>
  <c r="G1720" i="3" a="1"/>
  <c r="G1720" i="3" s="1"/>
  <c r="J1720" i="3" a="1"/>
  <c r="J1720" i="3" s="1"/>
  <c r="B1721" i="3" a="1"/>
  <c r="B1721" i="3" s="1"/>
  <c r="C1721" i="3" a="1"/>
  <c r="C1721" i="3" s="1"/>
  <c r="D1721" i="3" a="1"/>
  <c r="D1721" i="3" s="1"/>
  <c r="E1721" i="3" a="1"/>
  <c r="E1721" i="3" s="1"/>
  <c r="F1721" i="3" a="1"/>
  <c r="F1721" i="3" s="1"/>
  <c r="G1721" i="3" a="1"/>
  <c r="G1721" i="3" s="1"/>
  <c r="J1721" i="3" a="1"/>
  <c r="J1721" i="3" s="1"/>
  <c r="B1722" i="3" a="1"/>
  <c r="B1722" i="3" s="1"/>
  <c r="C1722" i="3" a="1"/>
  <c r="C1722" i="3" s="1"/>
  <c r="D1722" i="3" a="1"/>
  <c r="D1722" i="3" s="1"/>
  <c r="E1722" i="3" a="1"/>
  <c r="E1722" i="3" s="1"/>
  <c r="F1722" i="3" a="1"/>
  <c r="F1722" i="3" s="1"/>
  <c r="G1722" i="3" a="1"/>
  <c r="G1722" i="3" s="1"/>
  <c r="J1722" i="3" a="1"/>
  <c r="J1722" i="3" s="1"/>
  <c r="B1723" i="3" a="1"/>
  <c r="B1723" i="3" s="1"/>
  <c r="C1723" i="3" a="1"/>
  <c r="C1723" i="3" s="1"/>
  <c r="D1723" i="3" a="1"/>
  <c r="D1723" i="3" s="1"/>
  <c r="E1723" i="3" a="1"/>
  <c r="E1723" i="3" s="1"/>
  <c r="F1723" i="3" a="1"/>
  <c r="F1723" i="3" s="1"/>
  <c r="G1723" i="3" a="1"/>
  <c r="G1723" i="3" s="1"/>
  <c r="J1723" i="3" a="1"/>
  <c r="J1723" i="3" s="1"/>
  <c r="B1724" i="3" a="1"/>
  <c r="B1724" i="3" s="1"/>
  <c r="C1724" i="3" a="1"/>
  <c r="C1724" i="3" s="1"/>
  <c r="D1724" i="3" a="1"/>
  <c r="D1724" i="3" s="1"/>
  <c r="E1724" i="3" a="1"/>
  <c r="E1724" i="3" s="1"/>
  <c r="F1724" i="3" a="1"/>
  <c r="F1724" i="3" s="1"/>
  <c r="G1724" i="3" a="1"/>
  <c r="G1724" i="3" s="1"/>
  <c r="J1724" i="3" a="1"/>
  <c r="J1724" i="3" s="1"/>
  <c r="B1725" i="3" a="1"/>
  <c r="B1725" i="3" s="1"/>
  <c r="C1725" i="3" a="1"/>
  <c r="C1725" i="3" s="1"/>
  <c r="D1725" i="3" a="1"/>
  <c r="D1725" i="3" s="1"/>
  <c r="E1725" i="3" a="1"/>
  <c r="E1725" i="3" s="1"/>
  <c r="F1725" i="3" a="1"/>
  <c r="F1725" i="3" s="1"/>
  <c r="G1725" i="3" a="1"/>
  <c r="G1725" i="3" s="1"/>
  <c r="J1725" i="3" a="1"/>
  <c r="J1725" i="3" s="1"/>
  <c r="B1726" i="3" a="1"/>
  <c r="B1726" i="3" s="1"/>
  <c r="C1726" i="3" a="1"/>
  <c r="C1726" i="3" s="1"/>
  <c r="D1726" i="3" a="1"/>
  <c r="D1726" i="3" s="1"/>
  <c r="E1726" i="3" a="1"/>
  <c r="E1726" i="3" s="1"/>
  <c r="F1726" i="3" a="1"/>
  <c r="F1726" i="3" s="1"/>
  <c r="G1726" i="3" a="1"/>
  <c r="G1726" i="3" s="1"/>
  <c r="J1726" i="3" a="1"/>
  <c r="J1726" i="3" s="1"/>
  <c r="B1727" i="3" a="1"/>
  <c r="B1727" i="3" s="1"/>
  <c r="C1727" i="3" a="1"/>
  <c r="C1727" i="3" s="1"/>
  <c r="D1727" i="3" a="1"/>
  <c r="D1727" i="3" s="1"/>
  <c r="E1727" i="3" a="1"/>
  <c r="E1727" i="3" s="1"/>
  <c r="F1727" i="3" a="1"/>
  <c r="F1727" i="3" s="1"/>
  <c r="G1727" i="3" a="1"/>
  <c r="G1727" i="3" s="1"/>
  <c r="J1727" i="3" a="1"/>
  <c r="J1727" i="3" s="1"/>
  <c r="B1728" i="3" a="1"/>
  <c r="B1728" i="3" s="1"/>
  <c r="C1728" i="3" a="1"/>
  <c r="C1728" i="3" s="1"/>
  <c r="D1728" i="3" a="1"/>
  <c r="D1728" i="3" s="1"/>
  <c r="E1728" i="3" a="1"/>
  <c r="E1728" i="3" s="1"/>
  <c r="F1728" i="3" a="1"/>
  <c r="F1728" i="3" s="1"/>
  <c r="G1728" i="3" a="1"/>
  <c r="G1728" i="3" s="1"/>
  <c r="J1728" i="3" a="1"/>
  <c r="J1728" i="3" s="1"/>
  <c r="B1729" i="3" a="1"/>
  <c r="B1729" i="3" s="1"/>
  <c r="C1729" i="3" a="1"/>
  <c r="C1729" i="3" s="1"/>
  <c r="D1729" i="3" a="1"/>
  <c r="D1729" i="3" s="1"/>
  <c r="E1729" i="3" a="1"/>
  <c r="E1729" i="3" s="1"/>
  <c r="F1729" i="3" a="1"/>
  <c r="F1729" i="3" s="1"/>
  <c r="G1729" i="3" a="1"/>
  <c r="G1729" i="3" s="1"/>
  <c r="J1729" i="3" a="1"/>
  <c r="J1729" i="3" s="1"/>
  <c r="B1730" i="3" a="1"/>
  <c r="B1730" i="3" s="1"/>
  <c r="C1730" i="3" a="1"/>
  <c r="C1730" i="3" s="1"/>
  <c r="D1730" i="3" a="1"/>
  <c r="D1730" i="3" s="1"/>
  <c r="E1730" i="3" a="1"/>
  <c r="E1730" i="3" s="1"/>
  <c r="F1730" i="3" a="1"/>
  <c r="F1730" i="3" s="1"/>
  <c r="G1730" i="3" a="1"/>
  <c r="G1730" i="3" s="1"/>
  <c r="J1730" i="3" a="1"/>
  <c r="J1730" i="3" s="1"/>
  <c r="B1731" i="3" a="1"/>
  <c r="B1731" i="3" s="1"/>
  <c r="C1731" i="3" a="1"/>
  <c r="C1731" i="3" s="1"/>
  <c r="D1731" i="3" a="1"/>
  <c r="D1731" i="3" s="1"/>
  <c r="E1731" i="3" a="1"/>
  <c r="E1731" i="3" s="1"/>
  <c r="F1731" i="3" a="1"/>
  <c r="F1731" i="3" s="1"/>
  <c r="G1731" i="3" a="1"/>
  <c r="G1731" i="3" s="1"/>
  <c r="J1731" i="3" a="1"/>
  <c r="J1731" i="3" s="1"/>
  <c r="B1732" i="3" a="1"/>
  <c r="B1732" i="3" s="1"/>
  <c r="C1732" i="3" a="1"/>
  <c r="C1732" i="3" s="1"/>
  <c r="D1732" i="3" a="1"/>
  <c r="D1732" i="3" s="1"/>
  <c r="E1732" i="3" a="1"/>
  <c r="E1732" i="3" s="1"/>
  <c r="F1732" i="3" a="1"/>
  <c r="F1732" i="3" s="1"/>
  <c r="G1732" i="3" a="1"/>
  <c r="G1732" i="3" s="1"/>
  <c r="J1732" i="3" a="1"/>
  <c r="J1732" i="3" s="1"/>
  <c r="B1733" i="3" a="1"/>
  <c r="B1733" i="3" s="1"/>
  <c r="C1733" i="3" a="1"/>
  <c r="C1733" i="3" s="1"/>
  <c r="D1733" i="3" a="1"/>
  <c r="D1733" i="3" s="1"/>
  <c r="E1733" i="3" a="1"/>
  <c r="E1733" i="3" s="1"/>
  <c r="F1733" i="3" a="1"/>
  <c r="F1733" i="3" s="1"/>
  <c r="G1733" i="3" a="1"/>
  <c r="G1733" i="3" s="1"/>
  <c r="J1733" i="3" a="1"/>
  <c r="J1733" i="3" s="1"/>
  <c r="B1734" i="3" a="1"/>
  <c r="B1734" i="3" s="1"/>
  <c r="C1734" i="3" a="1"/>
  <c r="C1734" i="3" s="1"/>
  <c r="D1734" i="3" a="1"/>
  <c r="D1734" i="3" s="1"/>
  <c r="E1734" i="3" a="1"/>
  <c r="E1734" i="3" s="1"/>
  <c r="F1734" i="3" a="1"/>
  <c r="F1734" i="3" s="1"/>
  <c r="G1734" i="3" a="1"/>
  <c r="G1734" i="3" s="1"/>
  <c r="J1734" i="3" a="1"/>
  <c r="J1734" i="3" s="1"/>
  <c r="B1735" i="3" a="1"/>
  <c r="B1735" i="3" s="1"/>
  <c r="C1735" i="3" a="1"/>
  <c r="C1735" i="3" s="1"/>
  <c r="D1735" i="3" a="1"/>
  <c r="D1735" i="3" s="1"/>
  <c r="E1735" i="3" a="1"/>
  <c r="E1735" i="3" s="1"/>
  <c r="F1735" i="3" a="1"/>
  <c r="F1735" i="3" s="1"/>
  <c r="G1735" i="3" a="1"/>
  <c r="G1735" i="3" s="1"/>
  <c r="J1735" i="3" a="1"/>
  <c r="J1735" i="3" s="1"/>
  <c r="B1736" i="3" a="1"/>
  <c r="B1736" i="3" s="1"/>
  <c r="C1736" i="3" a="1"/>
  <c r="C1736" i="3" s="1"/>
  <c r="D1736" i="3" a="1"/>
  <c r="D1736" i="3" s="1"/>
  <c r="E1736" i="3" a="1"/>
  <c r="E1736" i="3" s="1"/>
  <c r="F1736" i="3" a="1"/>
  <c r="F1736" i="3" s="1"/>
  <c r="G1736" i="3" a="1"/>
  <c r="G1736" i="3" s="1"/>
  <c r="J1736" i="3" a="1"/>
  <c r="J1736" i="3" s="1"/>
  <c r="B1737" i="3" a="1"/>
  <c r="B1737" i="3" s="1"/>
  <c r="C1737" i="3" a="1"/>
  <c r="C1737" i="3" s="1"/>
  <c r="D1737" i="3" a="1"/>
  <c r="D1737" i="3" s="1"/>
  <c r="E1737" i="3" a="1"/>
  <c r="E1737" i="3" s="1"/>
  <c r="F1737" i="3" a="1"/>
  <c r="F1737" i="3" s="1"/>
  <c r="G1737" i="3" a="1"/>
  <c r="G1737" i="3" s="1"/>
  <c r="J1737" i="3" a="1"/>
  <c r="J1737" i="3" s="1"/>
  <c r="B1738" i="3" a="1"/>
  <c r="B1738" i="3" s="1"/>
  <c r="C1738" i="3" a="1"/>
  <c r="C1738" i="3" s="1"/>
  <c r="D1738" i="3" a="1"/>
  <c r="D1738" i="3" s="1"/>
  <c r="E1738" i="3" a="1"/>
  <c r="E1738" i="3" s="1"/>
  <c r="F1738" i="3" a="1"/>
  <c r="F1738" i="3" s="1"/>
  <c r="G1738" i="3" a="1"/>
  <c r="G1738" i="3" s="1"/>
  <c r="J1738" i="3" a="1"/>
  <c r="J1738" i="3" s="1"/>
  <c r="B1739" i="3" a="1"/>
  <c r="B1739" i="3" s="1"/>
  <c r="C1739" i="3" a="1"/>
  <c r="C1739" i="3" s="1"/>
  <c r="D1739" i="3" a="1"/>
  <c r="D1739" i="3" s="1"/>
  <c r="E1739" i="3" a="1"/>
  <c r="E1739" i="3" s="1"/>
  <c r="F1739" i="3" a="1"/>
  <c r="F1739" i="3" s="1"/>
  <c r="G1739" i="3" a="1"/>
  <c r="G1739" i="3" s="1"/>
  <c r="J1739" i="3" a="1"/>
  <c r="J1739" i="3" s="1"/>
  <c r="B1740" i="3" a="1"/>
  <c r="B1740" i="3" s="1"/>
  <c r="C1740" i="3" a="1"/>
  <c r="C1740" i="3" s="1"/>
  <c r="D1740" i="3" a="1"/>
  <c r="D1740" i="3" s="1"/>
  <c r="E1740" i="3" a="1"/>
  <c r="E1740" i="3" s="1"/>
  <c r="F1740" i="3" a="1"/>
  <c r="F1740" i="3" s="1"/>
  <c r="G1740" i="3" a="1"/>
  <c r="G1740" i="3" s="1"/>
  <c r="J1740" i="3" a="1"/>
  <c r="J1740" i="3" s="1"/>
  <c r="B1741" i="3" a="1"/>
  <c r="B1741" i="3" s="1"/>
  <c r="C1741" i="3" a="1"/>
  <c r="C1741" i="3" s="1"/>
  <c r="D1741" i="3" a="1"/>
  <c r="D1741" i="3" s="1"/>
  <c r="E1741" i="3" a="1"/>
  <c r="E1741" i="3" s="1"/>
  <c r="F1741" i="3" a="1"/>
  <c r="F1741" i="3" s="1"/>
  <c r="G1741" i="3" a="1"/>
  <c r="G1741" i="3" s="1"/>
  <c r="J1741" i="3" a="1"/>
  <c r="J1741" i="3" s="1"/>
  <c r="B1742" i="3" a="1"/>
  <c r="B1742" i="3" s="1"/>
  <c r="C1742" i="3" a="1"/>
  <c r="C1742" i="3" s="1"/>
  <c r="D1742" i="3" a="1"/>
  <c r="D1742" i="3" s="1"/>
  <c r="E1742" i="3" a="1"/>
  <c r="E1742" i="3" s="1"/>
  <c r="F1742" i="3" a="1"/>
  <c r="F1742" i="3" s="1"/>
  <c r="G1742" i="3" a="1"/>
  <c r="G1742" i="3" s="1"/>
  <c r="J1742" i="3" a="1"/>
  <c r="J1742" i="3" s="1"/>
  <c r="B1743" i="3" a="1"/>
  <c r="B1743" i="3" s="1"/>
  <c r="C1743" i="3" a="1"/>
  <c r="C1743" i="3" s="1"/>
  <c r="D1743" i="3" a="1"/>
  <c r="D1743" i="3" s="1"/>
  <c r="E1743" i="3" a="1"/>
  <c r="E1743" i="3" s="1"/>
  <c r="F1743" i="3" a="1"/>
  <c r="F1743" i="3" s="1"/>
  <c r="G1743" i="3" a="1"/>
  <c r="G1743" i="3" s="1"/>
  <c r="J1743" i="3" a="1"/>
  <c r="J1743" i="3" s="1"/>
  <c r="B1744" i="3" a="1"/>
  <c r="B1744" i="3" s="1"/>
  <c r="C1744" i="3" a="1"/>
  <c r="C1744" i="3" s="1"/>
  <c r="D1744" i="3" a="1"/>
  <c r="D1744" i="3" s="1"/>
  <c r="E1744" i="3" a="1"/>
  <c r="E1744" i="3" s="1"/>
  <c r="F1744" i="3" a="1"/>
  <c r="F1744" i="3" s="1"/>
  <c r="G1744" i="3" a="1"/>
  <c r="G1744" i="3" s="1"/>
  <c r="J1744" i="3" a="1"/>
  <c r="J1744" i="3" s="1"/>
  <c r="B1745" i="3" a="1"/>
  <c r="B1745" i="3" s="1"/>
  <c r="C1745" i="3" a="1"/>
  <c r="C1745" i="3" s="1"/>
  <c r="D1745" i="3" a="1"/>
  <c r="D1745" i="3" s="1"/>
  <c r="E1745" i="3" a="1"/>
  <c r="E1745" i="3" s="1"/>
  <c r="F1745" i="3" a="1"/>
  <c r="F1745" i="3" s="1"/>
  <c r="G1745" i="3" a="1"/>
  <c r="G1745" i="3" s="1"/>
  <c r="J1745" i="3" a="1"/>
  <c r="J1745" i="3" s="1"/>
  <c r="B1746" i="3" a="1"/>
  <c r="B1746" i="3" s="1"/>
  <c r="C1746" i="3" a="1"/>
  <c r="C1746" i="3" s="1"/>
  <c r="D1746" i="3" a="1"/>
  <c r="D1746" i="3" s="1"/>
  <c r="E1746" i="3" a="1"/>
  <c r="E1746" i="3" s="1"/>
  <c r="F1746" i="3" a="1"/>
  <c r="F1746" i="3" s="1"/>
  <c r="G1746" i="3" a="1"/>
  <c r="G1746" i="3" s="1"/>
  <c r="J1746" i="3" a="1"/>
  <c r="J1746" i="3" s="1"/>
  <c r="B1747" i="3" a="1"/>
  <c r="B1747" i="3" s="1"/>
  <c r="C1747" i="3" a="1"/>
  <c r="C1747" i="3" s="1"/>
  <c r="D1747" i="3" a="1"/>
  <c r="D1747" i="3" s="1"/>
  <c r="E1747" i="3" a="1"/>
  <c r="E1747" i="3" s="1"/>
  <c r="F1747" i="3" a="1"/>
  <c r="F1747" i="3" s="1"/>
  <c r="G1747" i="3" a="1"/>
  <c r="G1747" i="3" s="1"/>
  <c r="J1747" i="3" a="1"/>
  <c r="J1747" i="3" s="1"/>
  <c r="B1748" i="3" a="1"/>
  <c r="B1748" i="3" s="1"/>
  <c r="C1748" i="3" a="1"/>
  <c r="C1748" i="3" s="1"/>
  <c r="D1748" i="3" a="1"/>
  <c r="D1748" i="3" s="1"/>
  <c r="E1748" i="3" a="1"/>
  <c r="E1748" i="3" s="1"/>
  <c r="F1748" i="3" a="1"/>
  <c r="F1748" i="3" s="1"/>
  <c r="G1748" i="3" a="1"/>
  <c r="G1748" i="3" s="1"/>
  <c r="J1748" i="3" a="1"/>
  <c r="J1748" i="3" s="1"/>
  <c r="B1749" i="3" a="1"/>
  <c r="B1749" i="3" s="1"/>
  <c r="C1749" i="3" a="1"/>
  <c r="C1749" i="3" s="1"/>
  <c r="D1749" i="3" a="1"/>
  <c r="D1749" i="3" s="1"/>
  <c r="E1749" i="3" a="1"/>
  <c r="E1749" i="3" s="1"/>
  <c r="F1749" i="3" a="1"/>
  <c r="F1749" i="3" s="1"/>
  <c r="G1749" i="3" a="1"/>
  <c r="G1749" i="3" s="1"/>
  <c r="J1749" i="3" a="1"/>
  <c r="J1749" i="3" s="1"/>
  <c r="B1750" i="3" a="1"/>
  <c r="B1750" i="3" s="1"/>
  <c r="C1750" i="3" a="1"/>
  <c r="C1750" i="3" s="1"/>
  <c r="D1750" i="3" a="1"/>
  <c r="D1750" i="3" s="1"/>
  <c r="E1750" i="3" a="1"/>
  <c r="E1750" i="3" s="1"/>
  <c r="F1750" i="3" a="1"/>
  <c r="F1750" i="3" s="1"/>
  <c r="G1750" i="3" a="1"/>
  <c r="G1750" i="3" s="1"/>
  <c r="J1750" i="3" a="1"/>
  <c r="J1750" i="3" s="1"/>
  <c r="B1751" i="3" a="1"/>
  <c r="B1751" i="3" s="1"/>
  <c r="C1751" i="3" a="1"/>
  <c r="C1751" i="3" s="1"/>
  <c r="D1751" i="3" a="1"/>
  <c r="D1751" i="3" s="1"/>
  <c r="E1751" i="3" a="1"/>
  <c r="E1751" i="3" s="1"/>
  <c r="F1751" i="3" a="1"/>
  <c r="F1751" i="3" s="1"/>
  <c r="G1751" i="3" a="1"/>
  <c r="G1751" i="3" s="1"/>
  <c r="J1751" i="3" a="1"/>
  <c r="J1751" i="3" s="1"/>
  <c r="B1752" i="3" a="1"/>
  <c r="B1752" i="3" s="1"/>
  <c r="C1752" i="3" a="1"/>
  <c r="C1752" i="3" s="1"/>
  <c r="D1752" i="3" a="1"/>
  <c r="D1752" i="3" s="1"/>
  <c r="E1752" i="3" a="1"/>
  <c r="E1752" i="3" s="1"/>
  <c r="F1752" i="3" a="1"/>
  <c r="F1752" i="3" s="1"/>
  <c r="G1752" i="3" a="1"/>
  <c r="G1752" i="3" s="1"/>
  <c r="J1752" i="3" a="1"/>
  <c r="J1752" i="3" s="1"/>
  <c r="B1753" i="3" a="1"/>
  <c r="B1753" i="3" s="1"/>
  <c r="C1753" i="3" a="1"/>
  <c r="C1753" i="3" s="1"/>
  <c r="D1753" i="3" a="1"/>
  <c r="D1753" i="3" s="1"/>
  <c r="E1753" i="3" a="1"/>
  <c r="E1753" i="3" s="1"/>
  <c r="F1753" i="3" a="1"/>
  <c r="F1753" i="3" s="1"/>
  <c r="G1753" i="3" a="1"/>
  <c r="G1753" i="3" s="1"/>
  <c r="J1753" i="3" a="1"/>
  <c r="J1753" i="3" s="1"/>
  <c r="B1754" i="3" a="1"/>
  <c r="B1754" i="3" s="1"/>
  <c r="C1754" i="3" a="1"/>
  <c r="C1754" i="3" s="1"/>
  <c r="D1754" i="3" a="1"/>
  <c r="D1754" i="3" s="1"/>
  <c r="E1754" i="3" a="1"/>
  <c r="E1754" i="3" s="1"/>
  <c r="F1754" i="3" a="1"/>
  <c r="F1754" i="3" s="1"/>
  <c r="G1754" i="3" a="1"/>
  <c r="G1754" i="3" s="1"/>
  <c r="J1754" i="3" a="1"/>
  <c r="J1754" i="3" s="1"/>
  <c r="B1755" i="3" a="1"/>
  <c r="B1755" i="3" s="1"/>
  <c r="C1755" i="3" a="1"/>
  <c r="C1755" i="3" s="1"/>
  <c r="D1755" i="3" a="1"/>
  <c r="D1755" i="3" s="1"/>
  <c r="E1755" i="3" a="1"/>
  <c r="E1755" i="3" s="1"/>
  <c r="F1755" i="3" a="1"/>
  <c r="F1755" i="3" s="1"/>
  <c r="G1755" i="3" a="1"/>
  <c r="G1755" i="3" s="1"/>
  <c r="J1755" i="3" a="1"/>
  <c r="J1755" i="3" s="1"/>
  <c r="B1756" i="3" a="1"/>
  <c r="B1756" i="3" s="1"/>
  <c r="C1756" i="3" a="1"/>
  <c r="C1756" i="3" s="1"/>
  <c r="D1756" i="3" a="1"/>
  <c r="D1756" i="3" s="1"/>
  <c r="E1756" i="3" a="1"/>
  <c r="E1756" i="3" s="1"/>
  <c r="F1756" i="3" a="1"/>
  <c r="F1756" i="3" s="1"/>
  <c r="G1756" i="3" a="1"/>
  <c r="G1756" i="3" s="1"/>
  <c r="J1756" i="3" a="1"/>
  <c r="J1756" i="3" s="1"/>
  <c r="B1757" i="3" a="1"/>
  <c r="B1757" i="3" s="1"/>
  <c r="C1757" i="3" a="1"/>
  <c r="C1757" i="3" s="1"/>
  <c r="D1757" i="3" a="1"/>
  <c r="D1757" i="3" s="1"/>
  <c r="E1757" i="3" a="1"/>
  <c r="E1757" i="3" s="1"/>
  <c r="F1757" i="3" a="1"/>
  <c r="F1757" i="3" s="1"/>
  <c r="G1757" i="3" a="1"/>
  <c r="G1757" i="3" s="1"/>
  <c r="J1757" i="3" a="1"/>
  <c r="J1757" i="3" s="1"/>
  <c r="B1758" i="3" a="1"/>
  <c r="B1758" i="3" s="1"/>
  <c r="C1758" i="3" a="1"/>
  <c r="C1758" i="3" s="1"/>
  <c r="D1758" i="3" a="1"/>
  <c r="D1758" i="3" s="1"/>
  <c r="E1758" i="3" a="1"/>
  <c r="E1758" i="3" s="1"/>
  <c r="F1758" i="3" a="1"/>
  <c r="F1758" i="3" s="1"/>
  <c r="G1758" i="3" a="1"/>
  <c r="G1758" i="3" s="1"/>
  <c r="J1758" i="3" a="1"/>
  <c r="J1758" i="3" s="1"/>
  <c r="B1759" i="3" a="1"/>
  <c r="B1759" i="3" s="1"/>
  <c r="C1759" i="3" a="1"/>
  <c r="C1759" i="3" s="1"/>
  <c r="D1759" i="3" a="1"/>
  <c r="D1759" i="3" s="1"/>
  <c r="E1759" i="3" a="1"/>
  <c r="E1759" i="3" s="1"/>
  <c r="F1759" i="3" a="1"/>
  <c r="F1759" i="3" s="1"/>
  <c r="G1759" i="3" a="1"/>
  <c r="G1759" i="3" s="1"/>
  <c r="J1759" i="3" a="1"/>
  <c r="J1759" i="3" s="1"/>
  <c r="B1760" i="3" a="1"/>
  <c r="B1760" i="3" s="1"/>
  <c r="C1760" i="3" a="1"/>
  <c r="C1760" i="3" s="1"/>
  <c r="D1760" i="3" a="1"/>
  <c r="D1760" i="3" s="1"/>
  <c r="E1760" i="3" a="1"/>
  <c r="E1760" i="3" s="1"/>
  <c r="F1760" i="3" a="1"/>
  <c r="F1760" i="3" s="1"/>
  <c r="G1760" i="3" a="1"/>
  <c r="G1760" i="3" s="1"/>
  <c r="J1760" i="3" a="1"/>
  <c r="J1760" i="3" s="1"/>
  <c r="B1761" i="3" a="1"/>
  <c r="B1761" i="3" s="1"/>
  <c r="C1761" i="3" a="1"/>
  <c r="C1761" i="3" s="1"/>
  <c r="D1761" i="3" a="1"/>
  <c r="D1761" i="3" s="1"/>
  <c r="E1761" i="3" a="1"/>
  <c r="E1761" i="3" s="1"/>
  <c r="F1761" i="3" a="1"/>
  <c r="F1761" i="3" s="1"/>
  <c r="G1761" i="3" a="1"/>
  <c r="G1761" i="3" s="1"/>
  <c r="J1761" i="3" a="1"/>
  <c r="J1761" i="3" s="1"/>
  <c r="B1762" i="3" a="1"/>
  <c r="B1762" i="3" s="1"/>
  <c r="C1762" i="3" a="1"/>
  <c r="C1762" i="3" s="1"/>
  <c r="D1762" i="3" a="1"/>
  <c r="D1762" i="3" s="1"/>
  <c r="E1762" i="3" a="1"/>
  <c r="E1762" i="3" s="1"/>
  <c r="F1762" i="3" a="1"/>
  <c r="F1762" i="3" s="1"/>
  <c r="G1762" i="3" a="1"/>
  <c r="G1762" i="3" s="1"/>
  <c r="J1762" i="3" a="1"/>
  <c r="J1762" i="3" s="1"/>
  <c r="B1763" i="3" a="1"/>
  <c r="B1763" i="3" s="1"/>
  <c r="C1763" i="3" a="1"/>
  <c r="C1763" i="3" s="1"/>
  <c r="D1763" i="3" a="1"/>
  <c r="D1763" i="3" s="1"/>
  <c r="E1763" i="3" a="1"/>
  <c r="E1763" i="3" s="1"/>
  <c r="F1763" i="3" a="1"/>
  <c r="F1763" i="3" s="1"/>
  <c r="G1763" i="3" a="1"/>
  <c r="G1763" i="3" s="1"/>
  <c r="J1763" i="3" a="1"/>
  <c r="J1763" i="3" s="1"/>
  <c r="B1764" i="3" a="1"/>
  <c r="B1764" i="3" s="1"/>
  <c r="C1764" i="3" a="1"/>
  <c r="C1764" i="3" s="1"/>
  <c r="D1764" i="3" a="1"/>
  <c r="D1764" i="3" s="1"/>
  <c r="E1764" i="3" a="1"/>
  <c r="E1764" i="3" s="1"/>
  <c r="F1764" i="3" a="1"/>
  <c r="F1764" i="3" s="1"/>
  <c r="G1764" i="3" a="1"/>
  <c r="G1764" i="3" s="1"/>
  <c r="J1764" i="3" a="1"/>
  <c r="J1764" i="3" s="1"/>
  <c r="B1765" i="3" a="1"/>
  <c r="B1765" i="3" s="1"/>
  <c r="C1765" i="3" a="1"/>
  <c r="C1765" i="3" s="1"/>
  <c r="D1765" i="3" a="1"/>
  <c r="D1765" i="3" s="1"/>
  <c r="E1765" i="3" a="1"/>
  <c r="E1765" i="3" s="1"/>
  <c r="F1765" i="3" a="1"/>
  <c r="F1765" i="3" s="1"/>
  <c r="G1765" i="3" a="1"/>
  <c r="G1765" i="3" s="1"/>
  <c r="J1765" i="3" a="1"/>
  <c r="J1765" i="3" s="1"/>
  <c r="B1766" i="3" a="1"/>
  <c r="B1766" i="3" s="1"/>
  <c r="C1766" i="3" a="1"/>
  <c r="C1766" i="3" s="1"/>
  <c r="D1766" i="3" a="1"/>
  <c r="D1766" i="3" s="1"/>
  <c r="E1766" i="3" a="1"/>
  <c r="E1766" i="3" s="1"/>
  <c r="F1766" i="3" a="1"/>
  <c r="F1766" i="3" s="1"/>
  <c r="G1766" i="3" a="1"/>
  <c r="G1766" i="3" s="1"/>
  <c r="J1766" i="3" a="1"/>
  <c r="J1766" i="3" s="1"/>
  <c r="B1767" i="3" a="1"/>
  <c r="B1767" i="3" s="1"/>
  <c r="C1767" i="3" a="1"/>
  <c r="C1767" i="3" s="1"/>
  <c r="D1767" i="3" a="1"/>
  <c r="D1767" i="3" s="1"/>
  <c r="E1767" i="3" a="1"/>
  <c r="E1767" i="3" s="1"/>
  <c r="F1767" i="3" a="1"/>
  <c r="F1767" i="3" s="1"/>
  <c r="G1767" i="3" a="1"/>
  <c r="G1767" i="3" s="1"/>
  <c r="J1767" i="3" a="1"/>
  <c r="J1767" i="3" s="1"/>
  <c r="B1768" i="3" a="1"/>
  <c r="B1768" i="3" s="1"/>
  <c r="C1768" i="3" a="1"/>
  <c r="C1768" i="3" s="1"/>
  <c r="D1768" i="3" a="1"/>
  <c r="D1768" i="3" s="1"/>
  <c r="E1768" i="3" a="1"/>
  <c r="E1768" i="3" s="1"/>
  <c r="F1768" i="3" a="1"/>
  <c r="F1768" i="3" s="1"/>
  <c r="G1768" i="3" a="1"/>
  <c r="G1768" i="3" s="1"/>
  <c r="J1768" i="3" a="1"/>
  <c r="J1768" i="3" s="1"/>
  <c r="B1769" i="3" a="1"/>
  <c r="B1769" i="3" s="1"/>
  <c r="C1769" i="3" a="1"/>
  <c r="C1769" i="3" s="1"/>
  <c r="D1769" i="3" a="1"/>
  <c r="D1769" i="3" s="1"/>
  <c r="E1769" i="3" a="1"/>
  <c r="E1769" i="3" s="1"/>
  <c r="F1769" i="3" a="1"/>
  <c r="F1769" i="3" s="1"/>
  <c r="G1769" i="3" a="1"/>
  <c r="G1769" i="3" s="1"/>
  <c r="J1769" i="3" a="1"/>
  <c r="J1769" i="3" s="1"/>
  <c r="B1770" i="3" a="1"/>
  <c r="B1770" i="3" s="1"/>
  <c r="C1770" i="3" a="1"/>
  <c r="C1770" i="3" s="1"/>
  <c r="D1770" i="3" a="1"/>
  <c r="D1770" i="3" s="1"/>
  <c r="E1770" i="3" a="1"/>
  <c r="E1770" i="3" s="1"/>
  <c r="F1770" i="3" a="1"/>
  <c r="F1770" i="3" s="1"/>
  <c r="G1770" i="3" a="1"/>
  <c r="G1770" i="3" s="1"/>
  <c r="J1770" i="3" a="1"/>
  <c r="J1770" i="3" s="1"/>
  <c r="B1771" i="3" a="1"/>
  <c r="B1771" i="3" s="1"/>
  <c r="C1771" i="3" a="1"/>
  <c r="C1771" i="3" s="1"/>
  <c r="D1771" i="3" a="1"/>
  <c r="D1771" i="3" s="1"/>
  <c r="E1771" i="3" a="1"/>
  <c r="E1771" i="3" s="1"/>
  <c r="F1771" i="3" a="1"/>
  <c r="F1771" i="3" s="1"/>
  <c r="G1771" i="3" a="1"/>
  <c r="G1771" i="3" s="1"/>
  <c r="J1771" i="3" a="1"/>
  <c r="J1771" i="3" s="1"/>
  <c r="B1772" i="3" a="1"/>
  <c r="B1772" i="3" s="1"/>
  <c r="C1772" i="3" a="1"/>
  <c r="C1772" i="3" s="1"/>
  <c r="D1772" i="3" a="1"/>
  <c r="D1772" i="3" s="1"/>
  <c r="E1772" i="3" a="1"/>
  <c r="E1772" i="3" s="1"/>
  <c r="F1772" i="3" a="1"/>
  <c r="F1772" i="3" s="1"/>
  <c r="G1772" i="3" a="1"/>
  <c r="G1772" i="3" s="1"/>
  <c r="J1772" i="3" a="1"/>
  <c r="J1772" i="3" s="1"/>
  <c r="B1773" i="3" a="1"/>
  <c r="B1773" i="3" s="1"/>
  <c r="C1773" i="3" a="1"/>
  <c r="C1773" i="3" s="1"/>
  <c r="D1773" i="3" a="1"/>
  <c r="D1773" i="3" s="1"/>
  <c r="E1773" i="3" a="1"/>
  <c r="E1773" i="3" s="1"/>
  <c r="F1773" i="3" a="1"/>
  <c r="F1773" i="3" s="1"/>
  <c r="G1773" i="3" a="1"/>
  <c r="G1773" i="3" s="1"/>
  <c r="J1773" i="3" a="1"/>
  <c r="J1773" i="3" s="1"/>
  <c r="B1774" i="3" a="1"/>
  <c r="B1774" i="3" s="1"/>
  <c r="C1774" i="3" a="1"/>
  <c r="C1774" i="3" s="1"/>
  <c r="D1774" i="3" a="1"/>
  <c r="D1774" i="3" s="1"/>
  <c r="E1774" i="3" a="1"/>
  <c r="E1774" i="3" s="1"/>
  <c r="F1774" i="3" a="1"/>
  <c r="F1774" i="3" s="1"/>
  <c r="G1774" i="3" a="1"/>
  <c r="G1774" i="3" s="1"/>
  <c r="J1774" i="3" a="1"/>
  <c r="J1774" i="3" s="1"/>
  <c r="B1775" i="3" a="1"/>
  <c r="B1775" i="3" s="1"/>
  <c r="C1775" i="3" a="1"/>
  <c r="C1775" i="3" s="1"/>
  <c r="D1775" i="3" a="1"/>
  <c r="D1775" i="3" s="1"/>
  <c r="E1775" i="3" a="1"/>
  <c r="E1775" i="3" s="1"/>
  <c r="F1775" i="3" a="1"/>
  <c r="F1775" i="3" s="1"/>
  <c r="G1775" i="3" a="1"/>
  <c r="G1775" i="3" s="1"/>
  <c r="J1775" i="3" a="1"/>
  <c r="J1775" i="3" s="1"/>
  <c r="B1776" i="3" a="1"/>
  <c r="B1776" i="3" s="1"/>
  <c r="C1776" i="3" a="1"/>
  <c r="C1776" i="3" s="1"/>
  <c r="D1776" i="3" a="1"/>
  <c r="D1776" i="3" s="1"/>
  <c r="E1776" i="3" a="1"/>
  <c r="E1776" i="3" s="1"/>
  <c r="F1776" i="3" a="1"/>
  <c r="F1776" i="3" s="1"/>
  <c r="G1776" i="3" a="1"/>
  <c r="G1776" i="3" s="1"/>
  <c r="J1776" i="3" a="1"/>
  <c r="J1776" i="3" s="1"/>
  <c r="B1777" i="3" a="1"/>
  <c r="B1777" i="3" s="1"/>
  <c r="C1777" i="3" a="1"/>
  <c r="C1777" i="3" s="1"/>
  <c r="D1777" i="3" a="1"/>
  <c r="D1777" i="3" s="1"/>
  <c r="E1777" i="3" a="1"/>
  <c r="E1777" i="3" s="1"/>
  <c r="F1777" i="3" a="1"/>
  <c r="F1777" i="3" s="1"/>
  <c r="G1777" i="3" a="1"/>
  <c r="G1777" i="3" s="1"/>
  <c r="J1777" i="3" a="1"/>
  <c r="J1777" i="3" s="1"/>
  <c r="B1778" i="3" a="1"/>
  <c r="B1778" i="3" s="1"/>
  <c r="C1778" i="3" a="1"/>
  <c r="C1778" i="3" s="1"/>
  <c r="D1778" i="3" a="1"/>
  <c r="D1778" i="3" s="1"/>
  <c r="E1778" i="3" a="1"/>
  <c r="E1778" i="3" s="1"/>
  <c r="F1778" i="3" a="1"/>
  <c r="F1778" i="3" s="1"/>
  <c r="G1778" i="3" a="1"/>
  <c r="G1778" i="3" s="1"/>
  <c r="J1778" i="3" a="1"/>
  <c r="J1778" i="3" s="1"/>
  <c r="B1779" i="3" a="1"/>
  <c r="B1779" i="3" s="1"/>
  <c r="C1779" i="3" a="1"/>
  <c r="C1779" i="3" s="1"/>
  <c r="D1779" i="3" a="1"/>
  <c r="D1779" i="3" s="1"/>
  <c r="E1779" i="3" a="1"/>
  <c r="E1779" i="3" s="1"/>
  <c r="F1779" i="3" a="1"/>
  <c r="F1779" i="3" s="1"/>
  <c r="G1779" i="3" a="1"/>
  <c r="G1779" i="3" s="1"/>
  <c r="J1779" i="3" a="1"/>
  <c r="J1779" i="3" s="1"/>
  <c r="B1780" i="3" a="1"/>
  <c r="B1780" i="3" s="1"/>
  <c r="C1780" i="3" a="1"/>
  <c r="C1780" i="3" s="1"/>
  <c r="D1780" i="3" a="1"/>
  <c r="D1780" i="3" s="1"/>
  <c r="E1780" i="3" a="1"/>
  <c r="E1780" i="3" s="1"/>
  <c r="F1780" i="3" a="1"/>
  <c r="F1780" i="3" s="1"/>
  <c r="G1780" i="3" a="1"/>
  <c r="G1780" i="3" s="1"/>
  <c r="J1780" i="3" a="1"/>
  <c r="J1780" i="3" s="1"/>
  <c r="B1781" i="3" a="1"/>
  <c r="B1781" i="3" s="1"/>
  <c r="C1781" i="3" a="1"/>
  <c r="C1781" i="3" s="1"/>
  <c r="D1781" i="3" a="1"/>
  <c r="D1781" i="3" s="1"/>
  <c r="E1781" i="3" a="1"/>
  <c r="E1781" i="3" s="1"/>
  <c r="F1781" i="3" a="1"/>
  <c r="F1781" i="3" s="1"/>
  <c r="G1781" i="3" a="1"/>
  <c r="G1781" i="3" s="1"/>
  <c r="J1781" i="3" a="1"/>
  <c r="J1781" i="3" s="1"/>
  <c r="B1782" i="3" a="1"/>
  <c r="B1782" i="3" s="1"/>
  <c r="C1782" i="3" a="1"/>
  <c r="C1782" i="3" s="1"/>
  <c r="D1782" i="3" a="1"/>
  <c r="D1782" i="3" s="1"/>
  <c r="E1782" i="3" a="1"/>
  <c r="E1782" i="3" s="1"/>
  <c r="F1782" i="3" a="1"/>
  <c r="F1782" i="3" s="1"/>
  <c r="G1782" i="3" a="1"/>
  <c r="G1782" i="3" s="1"/>
  <c r="J1782" i="3" a="1"/>
  <c r="J1782" i="3" s="1"/>
  <c r="B1783" i="3" a="1"/>
  <c r="B1783" i="3" s="1"/>
  <c r="C1783" i="3" a="1"/>
  <c r="C1783" i="3" s="1"/>
  <c r="D1783" i="3" a="1"/>
  <c r="D1783" i="3" s="1"/>
  <c r="E1783" i="3" a="1"/>
  <c r="E1783" i="3" s="1"/>
  <c r="F1783" i="3" a="1"/>
  <c r="F1783" i="3" s="1"/>
  <c r="G1783" i="3" a="1"/>
  <c r="G1783" i="3" s="1"/>
  <c r="J1783" i="3" a="1"/>
  <c r="J1783" i="3" s="1"/>
  <c r="B1784" i="3" a="1"/>
  <c r="B1784" i="3" s="1"/>
  <c r="C1784" i="3" a="1"/>
  <c r="C1784" i="3" s="1"/>
  <c r="D1784" i="3" a="1"/>
  <c r="D1784" i="3" s="1"/>
  <c r="E1784" i="3" a="1"/>
  <c r="E1784" i="3" s="1"/>
  <c r="F1784" i="3" a="1"/>
  <c r="F1784" i="3" s="1"/>
  <c r="G1784" i="3" a="1"/>
  <c r="G1784" i="3" s="1"/>
  <c r="J1784" i="3" a="1"/>
  <c r="J1784" i="3" s="1"/>
  <c r="B1785" i="3" a="1"/>
  <c r="B1785" i="3" s="1"/>
  <c r="C1785" i="3" a="1"/>
  <c r="C1785" i="3" s="1"/>
  <c r="D1785" i="3" a="1"/>
  <c r="D1785" i="3" s="1"/>
  <c r="E1785" i="3" a="1"/>
  <c r="E1785" i="3" s="1"/>
  <c r="F1785" i="3" a="1"/>
  <c r="F1785" i="3" s="1"/>
  <c r="G1785" i="3" a="1"/>
  <c r="G1785" i="3" s="1"/>
  <c r="J1785" i="3" a="1"/>
  <c r="J1785" i="3" s="1"/>
  <c r="B1786" i="3" a="1"/>
  <c r="B1786" i="3" s="1"/>
  <c r="C1786" i="3" a="1"/>
  <c r="C1786" i="3" s="1"/>
  <c r="D1786" i="3" a="1"/>
  <c r="D1786" i="3" s="1"/>
  <c r="E1786" i="3" a="1"/>
  <c r="E1786" i="3" s="1"/>
  <c r="F1786" i="3" a="1"/>
  <c r="F1786" i="3" s="1"/>
  <c r="G1786" i="3" a="1"/>
  <c r="G1786" i="3" s="1"/>
  <c r="J1786" i="3" a="1"/>
  <c r="J1786" i="3" s="1"/>
  <c r="B1787" i="3" a="1"/>
  <c r="B1787" i="3" s="1"/>
  <c r="C1787" i="3" a="1"/>
  <c r="C1787" i="3" s="1"/>
  <c r="D1787" i="3" a="1"/>
  <c r="D1787" i="3" s="1"/>
  <c r="E1787" i="3" a="1"/>
  <c r="E1787" i="3" s="1"/>
  <c r="F1787" i="3" a="1"/>
  <c r="F1787" i="3" s="1"/>
  <c r="G1787" i="3" a="1"/>
  <c r="G1787" i="3" s="1"/>
  <c r="J1787" i="3" a="1"/>
  <c r="J1787" i="3" s="1"/>
  <c r="B1788" i="3" a="1"/>
  <c r="B1788" i="3" s="1"/>
  <c r="C1788" i="3" a="1"/>
  <c r="C1788" i="3" s="1"/>
  <c r="D1788" i="3" a="1"/>
  <c r="D1788" i="3" s="1"/>
  <c r="E1788" i="3" a="1"/>
  <c r="E1788" i="3" s="1"/>
  <c r="F1788" i="3" a="1"/>
  <c r="F1788" i="3" s="1"/>
  <c r="G1788" i="3" a="1"/>
  <c r="G1788" i="3" s="1"/>
  <c r="J1788" i="3" a="1"/>
  <c r="J1788" i="3" s="1"/>
  <c r="B1789" i="3" a="1"/>
  <c r="B1789" i="3" s="1"/>
  <c r="C1789" i="3" a="1"/>
  <c r="C1789" i="3" s="1"/>
  <c r="D1789" i="3" a="1"/>
  <c r="D1789" i="3" s="1"/>
  <c r="E1789" i="3" a="1"/>
  <c r="E1789" i="3" s="1"/>
  <c r="F1789" i="3" a="1"/>
  <c r="F1789" i="3" s="1"/>
  <c r="G1789" i="3" a="1"/>
  <c r="G1789" i="3" s="1"/>
  <c r="J1789" i="3" a="1"/>
  <c r="J1789" i="3" s="1"/>
  <c r="B1790" i="3" a="1"/>
  <c r="B1790" i="3" s="1"/>
  <c r="C1790" i="3" a="1"/>
  <c r="C1790" i="3" s="1"/>
  <c r="D1790" i="3" a="1"/>
  <c r="D1790" i="3" s="1"/>
  <c r="E1790" i="3" a="1"/>
  <c r="E1790" i="3" s="1"/>
  <c r="F1790" i="3" a="1"/>
  <c r="F1790" i="3" s="1"/>
  <c r="G1790" i="3" a="1"/>
  <c r="G1790" i="3" s="1"/>
  <c r="J1790" i="3" a="1"/>
  <c r="J1790" i="3" s="1"/>
  <c r="B1791" i="3" a="1"/>
  <c r="B1791" i="3" s="1"/>
  <c r="C1791" i="3" a="1"/>
  <c r="C1791" i="3" s="1"/>
  <c r="D1791" i="3" a="1"/>
  <c r="D1791" i="3" s="1"/>
  <c r="E1791" i="3" a="1"/>
  <c r="E1791" i="3" s="1"/>
  <c r="F1791" i="3" a="1"/>
  <c r="F1791" i="3" s="1"/>
  <c r="G1791" i="3" a="1"/>
  <c r="G1791" i="3" s="1"/>
  <c r="J1791" i="3" a="1"/>
  <c r="J1791" i="3" s="1"/>
  <c r="B1792" i="3" a="1"/>
  <c r="B1792" i="3" s="1"/>
  <c r="C1792" i="3" a="1"/>
  <c r="C1792" i="3" s="1"/>
  <c r="D1792" i="3" a="1"/>
  <c r="D1792" i="3" s="1"/>
  <c r="E1792" i="3" a="1"/>
  <c r="E1792" i="3" s="1"/>
  <c r="F1792" i="3" a="1"/>
  <c r="F1792" i="3" s="1"/>
  <c r="G1792" i="3" a="1"/>
  <c r="G1792" i="3" s="1"/>
  <c r="J1792" i="3" a="1"/>
  <c r="J1792" i="3" s="1"/>
  <c r="B1793" i="3" a="1"/>
  <c r="B1793" i="3" s="1"/>
  <c r="C1793" i="3" a="1"/>
  <c r="C1793" i="3" s="1"/>
  <c r="D1793" i="3" a="1"/>
  <c r="D1793" i="3" s="1"/>
  <c r="E1793" i="3" a="1"/>
  <c r="E1793" i="3" s="1"/>
  <c r="F1793" i="3" a="1"/>
  <c r="F1793" i="3" s="1"/>
  <c r="G1793" i="3" a="1"/>
  <c r="G1793" i="3" s="1"/>
  <c r="J1793" i="3" a="1"/>
  <c r="J1793" i="3" s="1"/>
  <c r="B1794" i="3" a="1"/>
  <c r="B1794" i="3" s="1"/>
  <c r="C1794" i="3" a="1"/>
  <c r="C1794" i="3" s="1"/>
  <c r="D1794" i="3" a="1"/>
  <c r="D1794" i="3" s="1"/>
  <c r="E1794" i="3" a="1"/>
  <c r="E1794" i="3" s="1"/>
  <c r="F1794" i="3" a="1"/>
  <c r="F1794" i="3" s="1"/>
  <c r="G1794" i="3" a="1"/>
  <c r="G1794" i="3" s="1"/>
  <c r="J1794" i="3" a="1"/>
  <c r="J1794" i="3" s="1"/>
  <c r="B1795" i="3" a="1"/>
  <c r="B1795" i="3" s="1"/>
  <c r="C1795" i="3" a="1"/>
  <c r="C1795" i="3" s="1"/>
  <c r="D1795" i="3" a="1"/>
  <c r="D1795" i="3" s="1"/>
  <c r="E1795" i="3" a="1"/>
  <c r="E1795" i="3" s="1"/>
  <c r="F1795" i="3" a="1"/>
  <c r="F1795" i="3" s="1"/>
  <c r="G1795" i="3" a="1"/>
  <c r="G1795" i="3" s="1"/>
  <c r="J1795" i="3" a="1"/>
  <c r="J1795" i="3" s="1"/>
  <c r="B1796" i="3" a="1"/>
  <c r="B1796" i="3" s="1"/>
  <c r="C1796" i="3" a="1"/>
  <c r="C1796" i="3" s="1"/>
  <c r="D1796" i="3" a="1"/>
  <c r="D1796" i="3" s="1"/>
  <c r="E1796" i="3" a="1"/>
  <c r="E1796" i="3" s="1"/>
  <c r="F1796" i="3" a="1"/>
  <c r="F1796" i="3" s="1"/>
  <c r="G1796" i="3" a="1"/>
  <c r="G1796" i="3" s="1"/>
  <c r="J1796" i="3" a="1"/>
  <c r="J1796" i="3" s="1"/>
  <c r="B1797" i="3" a="1"/>
  <c r="B1797" i="3" s="1"/>
  <c r="C1797" i="3" a="1"/>
  <c r="C1797" i="3" s="1"/>
  <c r="D1797" i="3" a="1"/>
  <c r="D1797" i="3" s="1"/>
  <c r="E1797" i="3" a="1"/>
  <c r="E1797" i="3" s="1"/>
  <c r="F1797" i="3" a="1"/>
  <c r="F1797" i="3" s="1"/>
  <c r="G1797" i="3" a="1"/>
  <c r="G1797" i="3" s="1"/>
  <c r="J1797" i="3" a="1"/>
  <c r="J1797" i="3" s="1"/>
  <c r="B1798" i="3" a="1"/>
  <c r="B1798" i="3" s="1"/>
  <c r="C1798" i="3" a="1"/>
  <c r="C1798" i="3" s="1"/>
  <c r="D1798" i="3" a="1"/>
  <c r="D1798" i="3" s="1"/>
  <c r="E1798" i="3" a="1"/>
  <c r="E1798" i="3" s="1"/>
  <c r="F1798" i="3" a="1"/>
  <c r="F1798" i="3" s="1"/>
  <c r="G1798" i="3" a="1"/>
  <c r="G1798" i="3" s="1"/>
  <c r="J1798" i="3" a="1"/>
  <c r="J1798" i="3" s="1"/>
  <c r="B1799" i="3" a="1"/>
  <c r="B1799" i="3" s="1"/>
  <c r="C1799" i="3" a="1"/>
  <c r="C1799" i="3" s="1"/>
  <c r="D1799" i="3" a="1"/>
  <c r="D1799" i="3" s="1"/>
  <c r="E1799" i="3" a="1"/>
  <c r="E1799" i="3" s="1"/>
  <c r="F1799" i="3" a="1"/>
  <c r="F1799" i="3" s="1"/>
  <c r="G1799" i="3" a="1"/>
  <c r="G1799" i="3" s="1"/>
  <c r="J1799" i="3" a="1"/>
  <c r="J1799" i="3" s="1"/>
  <c r="B1800" i="3" a="1"/>
  <c r="B1800" i="3" s="1"/>
  <c r="C1800" i="3" a="1"/>
  <c r="C1800" i="3" s="1"/>
  <c r="D1800" i="3" a="1"/>
  <c r="D1800" i="3" s="1"/>
  <c r="E1800" i="3" a="1"/>
  <c r="E1800" i="3" s="1"/>
  <c r="F1800" i="3" a="1"/>
  <c r="F1800" i="3" s="1"/>
  <c r="G1800" i="3" a="1"/>
  <c r="G1800" i="3" s="1"/>
  <c r="J1800" i="3" a="1"/>
  <c r="J1800" i="3" s="1"/>
  <c r="B1801" i="3" a="1"/>
  <c r="B1801" i="3" s="1"/>
  <c r="C1801" i="3" a="1"/>
  <c r="C1801" i="3" s="1"/>
  <c r="D1801" i="3" a="1"/>
  <c r="D1801" i="3" s="1"/>
  <c r="E1801" i="3" a="1"/>
  <c r="E1801" i="3" s="1"/>
  <c r="F1801" i="3" a="1"/>
  <c r="F1801" i="3" s="1"/>
  <c r="G1801" i="3" a="1"/>
  <c r="G1801" i="3" s="1"/>
  <c r="J1801" i="3" a="1"/>
  <c r="J1801" i="3" s="1"/>
  <c r="B1802" i="3" a="1"/>
  <c r="B1802" i="3" s="1"/>
  <c r="C1802" i="3" a="1"/>
  <c r="C1802" i="3" s="1"/>
  <c r="D1802" i="3" a="1"/>
  <c r="D1802" i="3" s="1"/>
  <c r="E1802" i="3" a="1"/>
  <c r="E1802" i="3" s="1"/>
  <c r="F1802" i="3" a="1"/>
  <c r="F1802" i="3" s="1"/>
  <c r="G1802" i="3" a="1"/>
  <c r="G1802" i="3" s="1"/>
  <c r="J1802" i="3" a="1"/>
  <c r="J1802" i="3" s="1"/>
  <c r="B1803" i="3" a="1"/>
  <c r="B1803" i="3" s="1"/>
  <c r="C1803" i="3" a="1"/>
  <c r="C1803" i="3" s="1"/>
  <c r="D1803" i="3" a="1"/>
  <c r="D1803" i="3" s="1"/>
  <c r="E1803" i="3" a="1"/>
  <c r="E1803" i="3" s="1"/>
  <c r="F1803" i="3" a="1"/>
  <c r="F1803" i="3" s="1"/>
  <c r="G1803" i="3" a="1"/>
  <c r="G1803" i="3" s="1"/>
  <c r="J1803" i="3" a="1"/>
  <c r="J1803" i="3" s="1"/>
  <c r="B1804" i="3" a="1"/>
  <c r="B1804" i="3" s="1"/>
  <c r="C1804" i="3" a="1"/>
  <c r="C1804" i="3" s="1"/>
  <c r="D1804" i="3" a="1"/>
  <c r="D1804" i="3" s="1"/>
  <c r="E1804" i="3" a="1"/>
  <c r="E1804" i="3" s="1"/>
  <c r="F1804" i="3" a="1"/>
  <c r="F1804" i="3" s="1"/>
  <c r="G1804" i="3" a="1"/>
  <c r="G1804" i="3" s="1"/>
  <c r="J1804" i="3" a="1"/>
  <c r="J1804" i="3" s="1"/>
  <c r="B1805" i="3" a="1"/>
  <c r="B1805" i="3" s="1"/>
  <c r="C1805" i="3" a="1"/>
  <c r="C1805" i="3" s="1"/>
  <c r="D1805" i="3" a="1"/>
  <c r="D1805" i="3" s="1"/>
  <c r="E1805" i="3" a="1"/>
  <c r="E1805" i="3" s="1"/>
  <c r="F1805" i="3" a="1"/>
  <c r="F1805" i="3" s="1"/>
  <c r="G1805" i="3" a="1"/>
  <c r="G1805" i="3" s="1"/>
  <c r="J1805" i="3" a="1"/>
  <c r="J1805" i="3" s="1"/>
  <c r="B1806" i="3" a="1"/>
  <c r="B1806" i="3" s="1"/>
  <c r="C1806" i="3" a="1"/>
  <c r="C1806" i="3" s="1"/>
  <c r="D1806" i="3" a="1"/>
  <c r="D1806" i="3" s="1"/>
  <c r="E1806" i="3" a="1"/>
  <c r="E1806" i="3" s="1"/>
  <c r="F1806" i="3" a="1"/>
  <c r="F1806" i="3" s="1"/>
  <c r="G1806" i="3" a="1"/>
  <c r="G1806" i="3" s="1"/>
  <c r="J1806" i="3" a="1"/>
  <c r="J1806" i="3" s="1"/>
  <c r="B1807" i="3" a="1"/>
  <c r="B1807" i="3" s="1"/>
  <c r="C1807" i="3" a="1"/>
  <c r="C1807" i="3" s="1"/>
  <c r="D1807" i="3" a="1"/>
  <c r="D1807" i="3" s="1"/>
  <c r="E1807" i="3" a="1"/>
  <c r="E1807" i="3" s="1"/>
  <c r="F1807" i="3" a="1"/>
  <c r="F1807" i="3" s="1"/>
  <c r="G1807" i="3" a="1"/>
  <c r="G1807" i="3" s="1"/>
  <c r="J1807" i="3" a="1"/>
  <c r="J1807" i="3" s="1"/>
  <c r="B1808" i="3" a="1"/>
  <c r="B1808" i="3" s="1"/>
  <c r="C1808" i="3" a="1"/>
  <c r="C1808" i="3" s="1"/>
  <c r="D1808" i="3" a="1"/>
  <c r="D1808" i="3" s="1"/>
  <c r="E1808" i="3" a="1"/>
  <c r="E1808" i="3" s="1"/>
  <c r="F1808" i="3" a="1"/>
  <c r="F1808" i="3" s="1"/>
  <c r="G1808" i="3" a="1"/>
  <c r="G1808" i="3" s="1"/>
  <c r="J1808" i="3" a="1"/>
  <c r="J1808" i="3" s="1"/>
  <c r="B1809" i="3" a="1"/>
  <c r="B1809" i="3" s="1"/>
  <c r="C1809" i="3" a="1"/>
  <c r="C1809" i="3" s="1"/>
  <c r="D1809" i="3" a="1"/>
  <c r="D1809" i="3" s="1"/>
  <c r="E1809" i="3" a="1"/>
  <c r="E1809" i="3" s="1"/>
  <c r="F1809" i="3" a="1"/>
  <c r="F1809" i="3" s="1"/>
  <c r="G1809" i="3" a="1"/>
  <c r="G1809" i="3" s="1"/>
  <c r="J1809" i="3" a="1"/>
  <c r="J1809" i="3" s="1"/>
  <c r="B1810" i="3" a="1"/>
  <c r="B1810" i="3" s="1"/>
  <c r="C1810" i="3" a="1"/>
  <c r="C1810" i="3" s="1"/>
  <c r="D1810" i="3" a="1"/>
  <c r="D1810" i="3" s="1"/>
  <c r="E1810" i="3" a="1"/>
  <c r="E1810" i="3" s="1"/>
  <c r="F1810" i="3" a="1"/>
  <c r="F1810" i="3" s="1"/>
  <c r="G1810" i="3" a="1"/>
  <c r="G1810" i="3" s="1"/>
  <c r="J1810" i="3" a="1"/>
  <c r="J1810" i="3" s="1"/>
  <c r="B1811" i="3" a="1"/>
  <c r="B1811" i="3" s="1"/>
  <c r="C1811" i="3" a="1"/>
  <c r="C1811" i="3" s="1"/>
  <c r="D1811" i="3" a="1"/>
  <c r="D1811" i="3" s="1"/>
  <c r="E1811" i="3" a="1"/>
  <c r="E1811" i="3" s="1"/>
  <c r="F1811" i="3" a="1"/>
  <c r="F1811" i="3" s="1"/>
  <c r="G1811" i="3" a="1"/>
  <c r="G1811" i="3" s="1"/>
  <c r="J1811" i="3" a="1"/>
  <c r="J1811" i="3" s="1"/>
  <c r="B1812" i="3" a="1"/>
  <c r="B1812" i="3" s="1"/>
  <c r="C1812" i="3" a="1"/>
  <c r="C1812" i="3" s="1"/>
  <c r="D1812" i="3" a="1"/>
  <c r="D1812" i="3" s="1"/>
  <c r="E1812" i="3" a="1"/>
  <c r="E1812" i="3" s="1"/>
  <c r="F1812" i="3" a="1"/>
  <c r="F1812" i="3" s="1"/>
  <c r="G1812" i="3" a="1"/>
  <c r="G1812" i="3" s="1"/>
  <c r="J1812" i="3" a="1"/>
  <c r="J1812" i="3" s="1"/>
  <c r="B1813" i="3" a="1"/>
  <c r="B1813" i="3" s="1"/>
  <c r="C1813" i="3" a="1"/>
  <c r="C1813" i="3" s="1"/>
  <c r="D1813" i="3" a="1"/>
  <c r="D1813" i="3" s="1"/>
  <c r="E1813" i="3" a="1"/>
  <c r="E1813" i="3" s="1"/>
  <c r="F1813" i="3" a="1"/>
  <c r="F1813" i="3" s="1"/>
  <c r="G1813" i="3" a="1"/>
  <c r="G1813" i="3" s="1"/>
  <c r="J1813" i="3" a="1"/>
  <c r="J1813" i="3" s="1"/>
  <c r="B1814" i="3" a="1"/>
  <c r="B1814" i="3" s="1"/>
  <c r="C1814" i="3" a="1"/>
  <c r="C1814" i="3" s="1"/>
  <c r="D1814" i="3" a="1"/>
  <c r="D1814" i="3" s="1"/>
  <c r="E1814" i="3" a="1"/>
  <c r="E1814" i="3" s="1"/>
  <c r="F1814" i="3" a="1"/>
  <c r="F1814" i="3" s="1"/>
  <c r="G1814" i="3" a="1"/>
  <c r="G1814" i="3" s="1"/>
  <c r="J1814" i="3" a="1"/>
  <c r="J1814" i="3" s="1"/>
  <c r="B1815" i="3" a="1"/>
  <c r="B1815" i="3" s="1"/>
  <c r="C1815" i="3" a="1"/>
  <c r="C1815" i="3" s="1"/>
  <c r="D1815" i="3" a="1"/>
  <c r="D1815" i="3" s="1"/>
  <c r="E1815" i="3" a="1"/>
  <c r="E1815" i="3" s="1"/>
  <c r="F1815" i="3" a="1"/>
  <c r="F1815" i="3" s="1"/>
  <c r="G1815" i="3" a="1"/>
  <c r="G1815" i="3" s="1"/>
  <c r="J1815" i="3" a="1"/>
  <c r="J1815" i="3" s="1"/>
  <c r="B1816" i="3" a="1"/>
  <c r="B1816" i="3" s="1"/>
  <c r="C1816" i="3" a="1"/>
  <c r="C1816" i="3" s="1"/>
  <c r="D1816" i="3" a="1"/>
  <c r="D1816" i="3" s="1"/>
  <c r="E1816" i="3" a="1"/>
  <c r="E1816" i="3" s="1"/>
  <c r="F1816" i="3" a="1"/>
  <c r="F1816" i="3" s="1"/>
  <c r="G1816" i="3" a="1"/>
  <c r="G1816" i="3" s="1"/>
  <c r="J1816" i="3" a="1"/>
  <c r="J1816" i="3" s="1"/>
  <c r="B1817" i="3" a="1"/>
  <c r="B1817" i="3" s="1"/>
  <c r="C1817" i="3" a="1"/>
  <c r="C1817" i="3" s="1"/>
  <c r="D1817" i="3" a="1"/>
  <c r="D1817" i="3" s="1"/>
  <c r="E1817" i="3" a="1"/>
  <c r="E1817" i="3" s="1"/>
  <c r="F1817" i="3" a="1"/>
  <c r="F1817" i="3" s="1"/>
  <c r="G1817" i="3" a="1"/>
  <c r="G1817" i="3" s="1"/>
  <c r="J1817" i="3" a="1"/>
  <c r="J1817" i="3" s="1"/>
  <c r="B1818" i="3" a="1"/>
  <c r="B1818" i="3" s="1"/>
  <c r="C1818" i="3" a="1"/>
  <c r="C1818" i="3" s="1"/>
  <c r="D1818" i="3" a="1"/>
  <c r="D1818" i="3" s="1"/>
  <c r="E1818" i="3" a="1"/>
  <c r="E1818" i="3" s="1"/>
  <c r="F1818" i="3" a="1"/>
  <c r="F1818" i="3" s="1"/>
  <c r="G1818" i="3" a="1"/>
  <c r="G1818" i="3" s="1"/>
  <c r="J1818" i="3" a="1"/>
  <c r="J1818" i="3" s="1"/>
  <c r="B1819" i="3" a="1"/>
  <c r="B1819" i="3" s="1"/>
  <c r="C1819" i="3" a="1"/>
  <c r="C1819" i="3" s="1"/>
  <c r="D1819" i="3" a="1"/>
  <c r="D1819" i="3" s="1"/>
  <c r="E1819" i="3" a="1"/>
  <c r="E1819" i="3" s="1"/>
  <c r="F1819" i="3" a="1"/>
  <c r="F1819" i="3" s="1"/>
  <c r="G1819" i="3" a="1"/>
  <c r="G1819" i="3" s="1"/>
  <c r="J1819" i="3" a="1"/>
  <c r="J1819" i="3" s="1"/>
  <c r="B1820" i="3" a="1"/>
  <c r="B1820" i="3" s="1"/>
  <c r="C1820" i="3" a="1"/>
  <c r="C1820" i="3" s="1"/>
  <c r="D1820" i="3" a="1"/>
  <c r="D1820" i="3" s="1"/>
  <c r="E1820" i="3" a="1"/>
  <c r="E1820" i="3" s="1"/>
  <c r="F1820" i="3" a="1"/>
  <c r="F1820" i="3" s="1"/>
  <c r="G1820" i="3" a="1"/>
  <c r="G1820" i="3" s="1"/>
  <c r="J1820" i="3" a="1"/>
  <c r="J1820" i="3" s="1"/>
  <c r="B1821" i="3" a="1"/>
  <c r="B1821" i="3" s="1"/>
  <c r="C1821" i="3" a="1"/>
  <c r="C1821" i="3" s="1"/>
  <c r="D1821" i="3" a="1"/>
  <c r="D1821" i="3" s="1"/>
  <c r="E1821" i="3" a="1"/>
  <c r="E1821" i="3" s="1"/>
  <c r="F1821" i="3" a="1"/>
  <c r="F1821" i="3" s="1"/>
  <c r="G1821" i="3" a="1"/>
  <c r="G1821" i="3" s="1"/>
  <c r="J1821" i="3" a="1"/>
  <c r="J1821" i="3" s="1"/>
  <c r="B1822" i="3" a="1"/>
  <c r="B1822" i="3" s="1"/>
  <c r="C1822" i="3" a="1"/>
  <c r="C1822" i="3" s="1"/>
  <c r="D1822" i="3" a="1"/>
  <c r="D1822" i="3" s="1"/>
  <c r="E1822" i="3" a="1"/>
  <c r="E1822" i="3" s="1"/>
  <c r="F1822" i="3" a="1"/>
  <c r="F1822" i="3" s="1"/>
  <c r="G1822" i="3" a="1"/>
  <c r="G1822" i="3" s="1"/>
  <c r="J1822" i="3" a="1"/>
  <c r="J1822" i="3" s="1"/>
  <c r="B1823" i="3" a="1"/>
  <c r="B1823" i="3" s="1"/>
  <c r="C1823" i="3" a="1"/>
  <c r="C1823" i="3" s="1"/>
  <c r="D1823" i="3" a="1"/>
  <c r="D1823" i="3" s="1"/>
  <c r="E1823" i="3" a="1"/>
  <c r="E1823" i="3" s="1"/>
  <c r="F1823" i="3" a="1"/>
  <c r="F1823" i="3" s="1"/>
  <c r="G1823" i="3" a="1"/>
  <c r="G1823" i="3" s="1"/>
  <c r="J1823" i="3" a="1"/>
  <c r="J1823" i="3" s="1"/>
  <c r="B1824" i="3" a="1"/>
  <c r="B1824" i="3" s="1"/>
  <c r="C1824" i="3" a="1"/>
  <c r="C1824" i="3" s="1"/>
  <c r="D1824" i="3" a="1"/>
  <c r="D1824" i="3" s="1"/>
  <c r="E1824" i="3" a="1"/>
  <c r="E1824" i="3" s="1"/>
  <c r="F1824" i="3" a="1"/>
  <c r="F1824" i="3" s="1"/>
  <c r="G1824" i="3" a="1"/>
  <c r="G1824" i="3" s="1"/>
  <c r="J1824" i="3" a="1"/>
  <c r="J1824" i="3" s="1"/>
  <c r="B1825" i="3" a="1"/>
  <c r="B1825" i="3" s="1"/>
  <c r="C1825" i="3" a="1"/>
  <c r="C1825" i="3" s="1"/>
  <c r="D1825" i="3" a="1"/>
  <c r="D1825" i="3" s="1"/>
  <c r="E1825" i="3" a="1"/>
  <c r="E1825" i="3" s="1"/>
  <c r="F1825" i="3" a="1"/>
  <c r="F1825" i="3" s="1"/>
  <c r="G1825" i="3" a="1"/>
  <c r="G1825" i="3" s="1"/>
  <c r="J1825" i="3" a="1"/>
  <c r="J1825" i="3" s="1"/>
  <c r="B1826" i="3" a="1"/>
  <c r="B1826" i="3" s="1"/>
  <c r="C1826" i="3" a="1"/>
  <c r="C1826" i="3" s="1"/>
  <c r="D1826" i="3" a="1"/>
  <c r="D1826" i="3" s="1"/>
  <c r="E1826" i="3" a="1"/>
  <c r="E1826" i="3" s="1"/>
  <c r="F1826" i="3" a="1"/>
  <c r="F1826" i="3" s="1"/>
  <c r="G1826" i="3" a="1"/>
  <c r="G1826" i="3" s="1"/>
  <c r="J1826" i="3" a="1"/>
  <c r="J1826" i="3" s="1"/>
  <c r="B1827" i="3" a="1"/>
  <c r="B1827" i="3" s="1"/>
  <c r="C1827" i="3" a="1"/>
  <c r="C1827" i="3" s="1"/>
  <c r="D1827" i="3" a="1"/>
  <c r="D1827" i="3" s="1"/>
  <c r="E1827" i="3" a="1"/>
  <c r="E1827" i="3" s="1"/>
  <c r="F1827" i="3" a="1"/>
  <c r="F1827" i="3" s="1"/>
  <c r="G1827" i="3" a="1"/>
  <c r="G1827" i="3" s="1"/>
  <c r="J1827" i="3" a="1"/>
  <c r="J1827" i="3" s="1"/>
  <c r="B1828" i="3" a="1"/>
  <c r="B1828" i="3" s="1"/>
  <c r="C1828" i="3" a="1"/>
  <c r="C1828" i="3" s="1"/>
  <c r="D1828" i="3" a="1"/>
  <c r="D1828" i="3" s="1"/>
  <c r="E1828" i="3" a="1"/>
  <c r="E1828" i="3" s="1"/>
  <c r="F1828" i="3" a="1"/>
  <c r="F1828" i="3" s="1"/>
  <c r="G1828" i="3" a="1"/>
  <c r="G1828" i="3" s="1"/>
  <c r="J1828" i="3" a="1"/>
  <c r="J1828" i="3" s="1"/>
  <c r="B1829" i="3" a="1"/>
  <c r="B1829" i="3" s="1"/>
  <c r="C1829" i="3" a="1"/>
  <c r="C1829" i="3" s="1"/>
  <c r="D1829" i="3" a="1"/>
  <c r="D1829" i="3" s="1"/>
  <c r="E1829" i="3" a="1"/>
  <c r="E1829" i="3" s="1"/>
  <c r="F1829" i="3" a="1"/>
  <c r="F1829" i="3" s="1"/>
  <c r="G1829" i="3" a="1"/>
  <c r="G1829" i="3" s="1"/>
  <c r="J1829" i="3" a="1"/>
  <c r="J1829" i="3" s="1"/>
  <c r="B1830" i="3" a="1"/>
  <c r="B1830" i="3" s="1"/>
  <c r="C1830" i="3" a="1"/>
  <c r="C1830" i="3" s="1"/>
  <c r="D1830" i="3" a="1"/>
  <c r="D1830" i="3" s="1"/>
  <c r="E1830" i="3" a="1"/>
  <c r="E1830" i="3" s="1"/>
  <c r="F1830" i="3" a="1"/>
  <c r="F1830" i="3" s="1"/>
  <c r="G1830" i="3" a="1"/>
  <c r="G1830" i="3" s="1"/>
  <c r="J1830" i="3" a="1"/>
  <c r="J1830" i="3" s="1"/>
  <c r="B1831" i="3" a="1"/>
  <c r="B1831" i="3" s="1"/>
  <c r="C1831" i="3" a="1"/>
  <c r="C1831" i="3" s="1"/>
  <c r="D1831" i="3" a="1"/>
  <c r="D1831" i="3" s="1"/>
  <c r="E1831" i="3" a="1"/>
  <c r="E1831" i="3" s="1"/>
  <c r="F1831" i="3" a="1"/>
  <c r="F1831" i="3" s="1"/>
  <c r="G1831" i="3" a="1"/>
  <c r="G1831" i="3" s="1"/>
  <c r="J1831" i="3" a="1"/>
  <c r="J1831" i="3" s="1"/>
  <c r="B1832" i="3" a="1"/>
  <c r="B1832" i="3" s="1"/>
  <c r="C1832" i="3" a="1"/>
  <c r="C1832" i="3" s="1"/>
  <c r="D1832" i="3" a="1"/>
  <c r="D1832" i="3" s="1"/>
  <c r="E1832" i="3" a="1"/>
  <c r="E1832" i="3" s="1"/>
  <c r="F1832" i="3" a="1"/>
  <c r="F1832" i="3" s="1"/>
  <c r="G1832" i="3" a="1"/>
  <c r="G1832" i="3" s="1"/>
  <c r="J1832" i="3" a="1"/>
  <c r="J1832" i="3" s="1"/>
  <c r="B1833" i="3" a="1"/>
  <c r="B1833" i="3" s="1"/>
  <c r="C1833" i="3" a="1"/>
  <c r="C1833" i="3" s="1"/>
  <c r="D1833" i="3" a="1"/>
  <c r="D1833" i="3" s="1"/>
  <c r="E1833" i="3" a="1"/>
  <c r="E1833" i="3" s="1"/>
  <c r="F1833" i="3" a="1"/>
  <c r="F1833" i="3" s="1"/>
  <c r="G1833" i="3" a="1"/>
  <c r="G1833" i="3" s="1"/>
  <c r="J1833" i="3" a="1"/>
  <c r="J1833" i="3" s="1"/>
  <c r="B1834" i="3" a="1"/>
  <c r="B1834" i="3" s="1"/>
  <c r="C1834" i="3" a="1"/>
  <c r="C1834" i="3" s="1"/>
  <c r="D1834" i="3" a="1"/>
  <c r="D1834" i="3" s="1"/>
  <c r="E1834" i="3" a="1"/>
  <c r="E1834" i="3" s="1"/>
  <c r="F1834" i="3" a="1"/>
  <c r="F1834" i="3" s="1"/>
  <c r="G1834" i="3" a="1"/>
  <c r="G1834" i="3" s="1"/>
  <c r="J1834" i="3" a="1"/>
  <c r="J1834" i="3" s="1"/>
  <c r="B1835" i="3" a="1"/>
  <c r="B1835" i="3" s="1"/>
  <c r="C1835" i="3" a="1"/>
  <c r="C1835" i="3" s="1"/>
  <c r="D1835" i="3" a="1"/>
  <c r="D1835" i="3" s="1"/>
  <c r="E1835" i="3" a="1"/>
  <c r="E1835" i="3" s="1"/>
  <c r="F1835" i="3" a="1"/>
  <c r="F1835" i="3" s="1"/>
  <c r="G1835" i="3" a="1"/>
  <c r="G1835" i="3" s="1"/>
  <c r="J1835" i="3" a="1"/>
  <c r="J1835" i="3" s="1"/>
  <c r="B1836" i="3" a="1"/>
  <c r="B1836" i="3" s="1"/>
  <c r="C1836" i="3" a="1"/>
  <c r="C1836" i="3" s="1"/>
  <c r="D1836" i="3" a="1"/>
  <c r="D1836" i="3" s="1"/>
  <c r="E1836" i="3" a="1"/>
  <c r="E1836" i="3" s="1"/>
  <c r="F1836" i="3" a="1"/>
  <c r="F1836" i="3" s="1"/>
  <c r="G1836" i="3" a="1"/>
  <c r="G1836" i="3" s="1"/>
  <c r="J1836" i="3" a="1"/>
  <c r="J1836" i="3" s="1"/>
  <c r="B1837" i="3" a="1"/>
  <c r="B1837" i="3" s="1"/>
  <c r="C1837" i="3" a="1"/>
  <c r="C1837" i="3" s="1"/>
  <c r="D1837" i="3" a="1"/>
  <c r="D1837" i="3" s="1"/>
  <c r="E1837" i="3" a="1"/>
  <c r="E1837" i="3" s="1"/>
  <c r="F1837" i="3" a="1"/>
  <c r="F1837" i="3" s="1"/>
  <c r="G1837" i="3" a="1"/>
  <c r="G1837" i="3" s="1"/>
  <c r="J1837" i="3" a="1"/>
  <c r="J1837" i="3" s="1"/>
  <c r="B1838" i="3" a="1"/>
  <c r="B1838" i="3" s="1"/>
  <c r="C1838" i="3" a="1"/>
  <c r="C1838" i="3" s="1"/>
  <c r="D1838" i="3" a="1"/>
  <c r="D1838" i="3" s="1"/>
  <c r="E1838" i="3" a="1"/>
  <c r="E1838" i="3" s="1"/>
  <c r="F1838" i="3" a="1"/>
  <c r="F1838" i="3" s="1"/>
  <c r="G1838" i="3" a="1"/>
  <c r="G1838" i="3" s="1"/>
  <c r="J1838" i="3" a="1"/>
  <c r="J1838" i="3" s="1"/>
  <c r="B1839" i="3" a="1"/>
  <c r="B1839" i="3" s="1"/>
  <c r="C1839" i="3" a="1"/>
  <c r="C1839" i="3" s="1"/>
  <c r="D1839" i="3" a="1"/>
  <c r="D1839" i="3" s="1"/>
  <c r="E1839" i="3" a="1"/>
  <c r="E1839" i="3" s="1"/>
  <c r="F1839" i="3" a="1"/>
  <c r="F1839" i="3" s="1"/>
  <c r="G1839" i="3" a="1"/>
  <c r="G1839" i="3" s="1"/>
  <c r="J1839" i="3" a="1"/>
  <c r="J1839" i="3" s="1"/>
  <c r="B1840" i="3" a="1"/>
  <c r="B1840" i="3" s="1"/>
  <c r="C1840" i="3" a="1"/>
  <c r="C1840" i="3" s="1"/>
  <c r="D1840" i="3" a="1"/>
  <c r="D1840" i="3" s="1"/>
  <c r="E1840" i="3" a="1"/>
  <c r="E1840" i="3" s="1"/>
  <c r="F1840" i="3" a="1"/>
  <c r="F1840" i="3" s="1"/>
  <c r="G1840" i="3" a="1"/>
  <c r="G1840" i="3" s="1"/>
  <c r="J1840" i="3" a="1"/>
  <c r="J1840" i="3" s="1"/>
  <c r="B1841" i="3" a="1"/>
  <c r="B1841" i="3" s="1"/>
  <c r="C1841" i="3" a="1"/>
  <c r="C1841" i="3" s="1"/>
  <c r="D1841" i="3" a="1"/>
  <c r="D1841" i="3" s="1"/>
  <c r="E1841" i="3" a="1"/>
  <c r="E1841" i="3" s="1"/>
  <c r="F1841" i="3" a="1"/>
  <c r="F1841" i="3" s="1"/>
  <c r="G1841" i="3" a="1"/>
  <c r="G1841" i="3" s="1"/>
  <c r="J1841" i="3" a="1"/>
  <c r="J1841" i="3" s="1"/>
  <c r="B1842" i="3" a="1"/>
  <c r="B1842" i="3" s="1"/>
  <c r="C1842" i="3" a="1"/>
  <c r="C1842" i="3" s="1"/>
  <c r="D1842" i="3" a="1"/>
  <c r="D1842" i="3" s="1"/>
  <c r="E1842" i="3" a="1"/>
  <c r="E1842" i="3" s="1"/>
  <c r="F1842" i="3" a="1"/>
  <c r="F1842" i="3" s="1"/>
  <c r="G1842" i="3" a="1"/>
  <c r="G1842" i="3" s="1"/>
  <c r="J1842" i="3" a="1"/>
  <c r="J1842" i="3" s="1"/>
  <c r="B1843" i="3" a="1"/>
  <c r="B1843" i="3" s="1"/>
  <c r="C1843" i="3" a="1"/>
  <c r="C1843" i="3" s="1"/>
  <c r="D1843" i="3" a="1"/>
  <c r="D1843" i="3" s="1"/>
  <c r="E1843" i="3" a="1"/>
  <c r="E1843" i="3" s="1"/>
  <c r="F1843" i="3" a="1"/>
  <c r="F1843" i="3" s="1"/>
  <c r="G1843" i="3" a="1"/>
  <c r="G1843" i="3" s="1"/>
  <c r="J1843" i="3" a="1"/>
  <c r="J1843" i="3" s="1"/>
  <c r="B1844" i="3" a="1"/>
  <c r="B1844" i="3" s="1"/>
  <c r="C1844" i="3" a="1"/>
  <c r="C1844" i="3" s="1"/>
  <c r="D1844" i="3" a="1"/>
  <c r="D1844" i="3" s="1"/>
  <c r="E1844" i="3" a="1"/>
  <c r="E1844" i="3" s="1"/>
  <c r="F1844" i="3" a="1"/>
  <c r="F1844" i="3" s="1"/>
  <c r="G1844" i="3" a="1"/>
  <c r="G1844" i="3" s="1"/>
  <c r="J1844" i="3" a="1"/>
  <c r="J1844" i="3" s="1"/>
  <c r="B1845" i="3" a="1"/>
  <c r="B1845" i="3" s="1"/>
  <c r="C1845" i="3" a="1"/>
  <c r="C1845" i="3" s="1"/>
  <c r="D1845" i="3" a="1"/>
  <c r="D1845" i="3" s="1"/>
  <c r="E1845" i="3" a="1"/>
  <c r="E1845" i="3" s="1"/>
  <c r="F1845" i="3" a="1"/>
  <c r="F1845" i="3" s="1"/>
  <c r="G1845" i="3" a="1"/>
  <c r="G1845" i="3" s="1"/>
  <c r="J1845" i="3" a="1"/>
  <c r="J1845" i="3" s="1"/>
  <c r="B1846" i="3" a="1"/>
  <c r="B1846" i="3" s="1"/>
  <c r="C1846" i="3" a="1"/>
  <c r="C1846" i="3" s="1"/>
  <c r="D1846" i="3" a="1"/>
  <c r="D1846" i="3" s="1"/>
  <c r="E1846" i="3" a="1"/>
  <c r="E1846" i="3" s="1"/>
  <c r="F1846" i="3" a="1"/>
  <c r="F1846" i="3" s="1"/>
  <c r="G1846" i="3" a="1"/>
  <c r="G1846" i="3" s="1"/>
  <c r="J1846" i="3" a="1"/>
  <c r="J1846" i="3" s="1"/>
  <c r="B1847" i="3" a="1"/>
  <c r="B1847" i="3" s="1"/>
  <c r="C1847" i="3" a="1"/>
  <c r="C1847" i="3" s="1"/>
  <c r="D1847" i="3" a="1"/>
  <c r="D1847" i="3" s="1"/>
  <c r="E1847" i="3" a="1"/>
  <c r="E1847" i="3" s="1"/>
  <c r="F1847" i="3" a="1"/>
  <c r="F1847" i="3" s="1"/>
  <c r="G1847" i="3" a="1"/>
  <c r="G1847" i="3" s="1"/>
  <c r="J1847" i="3" a="1"/>
  <c r="J1847" i="3" s="1"/>
  <c r="B1848" i="3" a="1"/>
  <c r="B1848" i="3" s="1"/>
  <c r="C1848" i="3" a="1"/>
  <c r="C1848" i="3" s="1"/>
  <c r="D1848" i="3" a="1"/>
  <c r="D1848" i="3" s="1"/>
  <c r="E1848" i="3" a="1"/>
  <c r="E1848" i="3" s="1"/>
  <c r="F1848" i="3" a="1"/>
  <c r="F1848" i="3" s="1"/>
  <c r="G1848" i="3" a="1"/>
  <c r="G1848" i="3" s="1"/>
  <c r="J1848" i="3" a="1"/>
  <c r="J1848" i="3" s="1"/>
  <c r="B1849" i="3" a="1"/>
  <c r="B1849" i="3" s="1"/>
  <c r="C1849" i="3" a="1"/>
  <c r="C1849" i="3" s="1"/>
  <c r="D1849" i="3" a="1"/>
  <c r="D1849" i="3" s="1"/>
  <c r="E1849" i="3" a="1"/>
  <c r="E1849" i="3" s="1"/>
  <c r="F1849" i="3" a="1"/>
  <c r="F1849" i="3" s="1"/>
  <c r="G1849" i="3" a="1"/>
  <c r="G1849" i="3" s="1"/>
  <c r="J1849" i="3" a="1"/>
  <c r="J1849" i="3" s="1"/>
  <c r="B1850" i="3" a="1"/>
  <c r="B1850" i="3" s="1"/>
  <c r="C1850" i="3" a="1"/>
  <c r="C1850" i="3" s="1"/>
  <c r="D1850" i="3" a="1"/>
  <c r="D1850" i="3" s="1"/>
  <c r="E1850" i="3" a="1"/>
  <c r="E1850" i="3" s="1"/>
  <c r="F1850" i="3" a="1"/>
  <c r="F1850" i="3" s="1"/>
  <c r="G1850" i="3" a="1"/>
  <c r="G1850" i="3" s="1"/>
  <c r="J1850" i="3" a="1"/>
  <c r="J1850" i="3" s="1"/>
  <c r="B1851" i="3" a="1"/>
  <c r="B1851" i="3" s="1"/>
  <c r="C1851" i="3" a="1"/>
  <c r="C1851" i="3" s="1"/>
  <c r="D1851" i="3" a="1"/>
  <c r="D1851" i="3" s="1"/>
  <c r="E1851" i="3" a="1"/>
  <c r="E1851" i="3" s="1"/>
  <c r="F1851" i="3" a="1"/>
  <c r="F1851" i="3" s="1"/>
  <c r="G1851" i="3" a="1"/>
  <c r="G1851" i="3" s="1"/>
  <c r="J1851" i="3" a="1"/>
  <c r="J1851" i="3" s="1"/>
  <c r="B1852" i="3" a="1"/>
  <c r="B1852" i="3" s="1"/>
  <c r="C1852" i="3" a="1"/>
  <c r="C1852" i="3" s="1"/>
  <c r="D1852" i="3" a="1"/>
  <c r="D1852" i="3" s="1"/>
  <c r="E1852" i="3" a="1"/>
  <c r="E1852" i="3" s="1"/>
  <c r="F1852" i="3" a="1"/>
  <c r="F1852" i="3" s="1"/>
  <c r="G1852" i="3" a="1"/>
  <c r="G1852" i="3" s="1"/>
  <c r="J1852" i="3" a="1"/>
  <c r="J1852" i="3" s="1"/>
  <c r="B1853" i="3" a="1"/>
  <c r="B1853" i="3" s="1"/>
  <c r="C1853" i="3" a="1"/>
  <c r="C1853" i="3" s="1"/>
  <c r="D1853" i="3" a="1"/>
  <c r="D1853" i="3" s="1"/>
  <c r="E1853" i="3" a="1"/>
  <c r="E1853" i="3" s="1"/>
  <c r="F1853" i="3" a="1"/>
  <c r="F1853" i="3" s="1"/>
  <c r="G1853" i="3" a="1"/>
  <c r="G1853" i="3" s="1"/>
  <c r="J1853" i="3" a="1"/>
  <c r="J1853" i="3" s="1"/>
  <c r="B1854" i="3" a="1"/>
  <c r="B1854" i="3" s="1"/>
  <c r="C1854" i="3" a="1"/>
  <c r="C1854" i="3" s="1"/>
  <c r="D1854" i="3" a="1"/>
  <c r="D1854" i="3" s="1"/>
  <c r="E1854" i="3" a="1"/>
  <c r="E1854" i="3" s="1"/>
  <c r="F1854" i="3" a="1"/>
  <c r="F1854" i="3" s="1"/>
  <c r="G1854" i="3" a="1"/>
  <c r="G1854" i="3" s="1"/>
  <c r="J1854" i="3" a="1"/>
  <c r="J1854" i="3" s="1"/>
  <c r="B1855" i="3" a="1"/>
  <c r="B1855" i="3" s="1"/>
  <c r="C1855" i="3" a="1"/>
  <c r="C1855" i="3" s="1"/>
  <c r="D1855" i="3" a="1"/>
  <c r="D1855" i="3" s="1"/>
  <c r="E1855" i="3" a="1"/>
  <c r="E1855" i="3" s="1"/>
  <c r="F1855" i="3" a="1"/>
  <c r="F1855" i="3" s="1"/>
  <c r="G1855" i="3" a="1"/>
  <c r="G1855" i="3" s="1"/>
  <c r="J1855" i="3" a="1"/>
  <c r="J1855" i="3" s="1"/>
  <c r="B1856" i="3" a="1"/>
  <c r="B1856" i="3" s="1"/>
  <c r="C1856" i="3" a="1"/>
  <c r="C1856" i="3" s="1"/>
  <c r="D1856" i="3" a="1"/>
  <c r="D1856" i="3" s="1"/>
  <c r="E1856" i="3" a="1"/>
  <c r="E1856" i="3" s="1"/>
  <c r="F1856" i="3" a="1"/>
  <c r="F1856" i="3" s="1"/>
  <c r="G1856" i="3" a="1"/>
  <c r="G1856" i="3" s="1"/>
  <c r="J1856" i="3" a="1"/>
  <c r="J1856" i="3" s="1"/>
  <c r="B1857" i="3" a="1"/>
  <c r="B1857" i="3" s="1"/>
  <c r="C1857" i="3" a="1"/>
  <c r="C1857" i="3" s="1"/>
  <c r="D1857" i="3" a="1"/>
  <c r="D1857" i="3" s="1"/>
  <c r="E1857" i="3" a="1"/>
  <c r="E1857" i="3" s="1"/>
  <c r="F1857" i="3" a="1"/>
  <c r="F1857" i="3" s="1"/>
  <c r="G1857" i="3" a="1"/>
  <c r="G1857" i="3" s="1"/>
  <c r="J1857" i="3" a="1"/>
  <c r="J1857" i="3" s="1"/>
  <c r="B1858" i="3" a="1"/>
  <c r="B1858" i="3" s="1"/>
  <c r="C1858" i="3" a="1"/>
  <c r="C1858" i="3" s="1"/>
  <c r="D1858" i="3" a="1"/>
  <c r="D1858" i="3" s="1"/>
  <c r="E1858" i="3" a="1"/>
  <c r="E1858" i="3" s="1"/>
  <c r="F1858" i="3" a="1"/>
  <c r="F1858" i="3" s="1"/>
  <c r="G1858" i="3" a="1"/>
  <c r="G1858" i="3" s="1"/>
  <c r="J1858" i="3" a="1"/>
  <c r="J1858" i="3" s="1"/>
  <c r="B1859" i="3" a="1"/>
  <c r="B1859" i="3" s="1"/>
  <c r="C1859" i="3" a="1"/>
  <c r="C1859" i="3" s="1"/>
  <c r="D1859" i="3" a="1"/>
  <c r="D1859" i="3" s="1"/>
  <c r="E1859" i="3" a="1"/>
  <c r="E1859" i="3" s="1"/>
  <c r="F1859" i="3" a="1"/>
  <c r="F1859" i="3" s="1"/>
  <c r="G1859" i="3" a="1"/>
  <c r="G1859" i="3" s="1"/>
  <c r="J1859" i="3" a="1"/>
  <c r="J1859" i="3" s="1"/>
  <c r="B1860" i="3" a="1"/>
  <c r="B1860" i="3" s="1"/>
  <c r="C1860" i="3" a="1"/>
  <c r="C1860" i="3" s="1"/>
  <c r="D1860" i="3" a="1"/>
  <c r="D1860" i="3" s="1"/>
  <c r="E1860" i="3" a="1"/>
  <c r="E1860" i="3" s="1"/>
  <c r="F1860" i="3" a="1"/>
  <c r="F1860" i="3" s="1"/>
  <c r="G1860" i="3" a="1"/>
  <c r="G1860" i="3" s="1"/>
  <c r="J1860" i="3" a="1"/>
  <c r="J1860" i="3" s="1"/>
  <c r="B1861" i="3" a="1"/>
  <c r="B1861" i="3" s="1"/>
  <c r="C1861" i="3" a="1"/>
  <c r="C1861" i="3" s="1"/>
  <c r="D1861" i="3" a="1"/>
  <c r="D1861" i="3" s="1"/>
  <c r="E1861" i="3" a="1"/>
  <c r="E1861" i="3" s="1"/>
  <c r="F1861" i="3" a="1"/>
  <c r="F1861" i="3" s="1"/>
  <c r="G1861" i="3" a="1"/>
  <c r="G1861" i="3" s="1"/>
  <c r="J1861" i="3" a="1"/>
  <c r="J1861" i="3" s="1"/>
  <c r="B1862" i="3" a="1"/>
  <c r="B1862" i="3" s="1"/>
  <c r="C1862" i="3" a="1"/>
  <c r="C1862" i="3" s="1"/>
  <c r="D1862" i="3" a="1"/>
  <c r="D1862" i="3" s="1"/>
  <c r="E1862" i="3" a="1"/>
  <c r="E1862" i="3" s="1"/>
  <c r="F1862" i="3" a="1"/>
  <c r="F1862" i="3" s="1"/>
  <c r="G1862" i="3" a="1"/>
  <c r="G1862" i="3" s="1"/>
  <c r="J1862" i="3" a="1"/>
  <c r="J1862" i="3" s="1"/>
  <c r="B1863" i="3" a="1"/>
  <c r="B1863" i="3" s="1"/>
  <c r="C1863" i="3" a="1"/>
  <c r="C1863" i="3" s="1"/>
  <c r="D1863" i="3" a="1"/>
  <c r="D1863" i="3" s="1"/>
  <c r="E1863" i="3" a="1"/>
  <c r="E1863" i="3" s="1"/>
  <c r="F1863" i="3" a="1"/>
  <c r="F1863" i="3" s="1"/>
  <c r="G1863" i="3" a="1"/>
  <c r="G1863" i="3" s="1"/>
  <c r="J1863" i="3" a="1"/>
  <c r="J1863" i="3" s="1"/>
  <c r="B1864" i="3" a="1"/>
  <c r="B1864" i="3" s="1"/>
  <c r="C1864" i="3" a="1"/>
  <c r="C1864" i="3" s="1"/>
  <c r="D1864" i="3" a="1"/>
  <c r="D1864" i="3" s="1"/>
  <c r="E1864" i="3" a="1"/>
  <c r="E1864" i="3" s="1"/>
  <c r="F1864" i="3" a="1"/>
  <c r="F1864" i="3" s="1"/>
  <c r="G1864" i="3" a="1"/>
  <c r="G1864" i="3" s="1"/>
  <c r="J1864" i="3" a="1"/>
  <c r="J1864" i="3" s="1"/>
  <c r="B1865" i="3" a="1"/>
  <c r="B1865" i="3" s="1"/>
  <c r="C1865" i="3" a="1"/>
  <c r="C1865" i="3" s="1"/>
  <c r="D1865" i="3" a="1"/>
  <c r="D1865" i="3" s="1"/>
  <c r="E1865" i="3" a="1"/>
  <c r="E1865" i="3" s="1"/>
  <c r="F1865" i="3" a="1"/>
  <c r="F1865" i="3" s="1"/>
  <c r="G1865" i="3" a="1"/>
  <c r="G1865" i="3" s="1"/>
  <c r="J1865" i="3" a="1"/>
  <c r="J1865" i="3" s="1"/>
  <c r="B1866" i="3" a="1"/>
  <c r="B1866" i="3" s="1"/>
  <c r="C1866" i="3" a="1"/>
  <c r="C1866" i="3" s="1"/>
  <c r="D1866" i="3" a="1"/>
  <c r="D1866" i="3" s="1"/>
  <c r="E1866" i="3" a="1"/>
  <c r="E1866" i="3" s="1"/>
  <c r="F1866" i="3" a="1"/>
  <c r="F1866" i="3" s="1"/>
  <c r="G1866" i="3" a="1"/>
  <c r="G1866" i="3" s="1"/>
  <c r="J1866" i="3" a="1"/>
  <c r="J1866" i="3" s="1"/>
  <c r="B1867" i="3" a="1"/>
  <c r="B1867" i="3" s="1"/>
  <c r="C1867" i="3" a="1"/>
  <c r="C1867" i="3" s="1"/>
  <c r="D1867" i="3" a="1"/>
  <c r="D1867" i="3" s="1"/>
  <c r="E1867" i="3" a="1"/>
  <c r="E1867" i="3" s="1"/>
  <c r="F1867" i="3" a="1"/>
  <c r="F1867" i="3" s="1"/>
  <c r="G1867" i="3" a="1"/>
  <c r="G1867" i="3" s="1"/>
  <c r="J1867" i="3" a="1"/>
  <c r="J1867" i="3" s="1"/>
  <c r="B1868" i="3" a="1"/>
  <c r="B1868" i="3" s="1"/>
  <c r="C1868" i="3" a="1"/>
  <c r="C1868" i="3" s="1"/>
  <c r="D1868" i="3" a="1"/>
  <c r="D1868" i="3" s="1"/>
  <c r="E1868" i="3" a="1"/>
  <c r="E1868" i="3" s="1"/>
  <c r="F1868" i="3" a="1"/>
  <c r="F1868" i="3" s="1"/>
  <c r="G1868" i="3" a="1"/>
  <c r="G1868" i="3" s="1"/>
  <c r="J1868" i="3" a="1"/>
  <c r="J1868" i="3" s="1"/>
  <c r="B1869" i="3" a="1"/>
  <c r="B1869" i="3" s="1"/>
  <c r="C1869" i="3" a="1"/>
  <c r="C1869" i="3" s="1"/>
  <c r="D1869" i="3" a="1"/>
  <c r="D1869" i="3" s="1"/>
  <c r="E1869" i="3" a="1"/>
  <c r="E1869" i="3" s="1"/>
  <c r="F1869" i="3" a="1"/>
  <c r="F1869" i="3" s="1"/>
  <c r="G1869" i="3" a="1"/>
  <c r="G1869" i="3" s="1"/>
  <c r="J1869" i="3" a="1"/>
  <c r="J1869" i="3" s="1"/>
  <c r="B1870" i="3" a="1"/>
  <c r="B1870" i="3" s="1"/>
  <c r="C1870" i="3" a="1"/>
  <c r="C1870" i="3" s="1"/>
  <c r="D1870" i="3" a="1"/>
  <c r="D1870" i="3" s="1"/>
  <c r="E1870" i="3" a="1"/>
  <c r="E1870" i="3" s="1"/>
  <c r="F1870" i="3" a="1"/>
  <c r="F1870" i="3" s="1"/>
  <c r="G1870" i="3" a="1"/>
  <c r="G1870" i="3" s="1"/>
  <c r="J1870" i="3" a="1"/>
  <c r="J1870" i="3" s="1"/>
  <c r="B1871" i="3" a="1"/>
  <c r="B1871" i="3" s="1"/>
  <c r="C1871" i="3" a="1"/>
  <c r="C1871" i="3" s="1"/>
  <c r="D1871" i="3" a="1"/>
  <c r="D1871" i="3" s="1"/>
  <c r="E1871" i="3" a="1"/>
  <c r="E1871" i="3" s="1"/>
  <c r="F1871" i="3" a="1"/>
  <c r="F1871" i="3" s="1"/>
  <c r="G1871" i="3" a="1"/>
  <c r="G1871" i="3" s="1"/>
  <c r="J1871" i="3" a="1"/>
  <c r="J1871" i="3" s="1"/>
  <c r="B1872" i="3" a="1"/>
  <c r="B1872" i="3" s="1"/>
  <c r="C1872" i="3" a="1"/>
  <c r="C1872" i="3" s="1"/>
  <c r="D1872" i="3" a="1"/>
  <c r="D1872" i="3" s="1"/>
  <c r="E1872" i="3" a="1"/>
  <c r="E1872" i="3" s="1"/>
  <c r="F1872" i="3" a="1"/>
  <c r="F1872" i="3" s="1"/>
  <c r="G1872" i="3" a="1"/>
  <c r="G1872" i="3" s="1"/>
  <c r="J1872" i="3" a="1"/>
  <c r="J1872" i="3" s="1"/>
  <c r="B1873" i="3" a="1"/>
  <c r="B1873" i="3" s="1"/>
  <c r="C1873" i="3" a="1"/>
  <c r="C1873" i="3" s="1"/>
  <c r="D1873" i="3" a="1"/>
  <c r="D1873" i="3" s="1"/>
  <c r="E1873" i="3" a="1"/>
  <c r="E1873" i="3" s="1"/>
  <c r="F1873" i="3" a="1"/>
  <c r="F1873" i="3" s="1"/>
  <c r="G1873" i="3" a="1"/>
  <c r="G1873" i="3" s="1"/>
  <c r="J1873" i="3" a="1"/>
  <c r="J1873" i="3" s="1"/>
  <c r="B1874" i="3" a="1"/>
  <c r="B1874" i="3" s="1"/>
  <c r="C1874" i="3" a="1"/>
  <c r="C1874" i="3" s="1"/>
  <c r="D1874" i="3" a="1"/>
  <c r="D1874" i="3" s="1"/>
  <c r="E1874" i="3" a="1"/>
  <c r="E1874" i="3" s="1"/>
  <c r="F1874" i="3" a="1"/>
  <c r="F1874" i="3" s="1"/>
  <c r="G1874" i="3" a="1"/>
  <c r="G1874" i="3" s="1"/>
  <c r="J1874" i="3" a="1"/>
  <c r="J1874" i="3" s="1"/>
  <c r="B1875" i="3" a="1"/>
  <c r="B1875" i="3" s="1"/>
  <c r="C1875" i="3" a="1"/>
  <c r="C1875" i="3" s="1"/>
  <c r="D1875" i="3" a="1"/>
  <c r="D1875" i="3" s="1"/>
  <c r="E1875" i="3" a="1"/>
  <c r="E1875" i="3" s="1"/>
  <c r="F1875" i="3" a="1"/>
  <c r="F1875" i="3" s="1"/>
  <c r="G1875" i="3" a="1"/>
  <c r="G1875" i="3" s="1"/>
  <c r="J1875" i="3" a="1"/>
  <c r="J1875" i="3" s="1"/>
  <c r="B1876" i="3" a="1"/>
  <c r="B1876" i="3" s="1"/>
  <c r="C1876" i="3" a="1"/>
  <c r="C1876" i="3" s="1"/>
  <c r="D1876" i="3" a="1"/>
  <c r="D1876" i="3" s="1"/>
  <c r="E1876" i="3" a="1"/>
  <c r="E1876" i="3" s="1"/>
  <c r="F1876" i="3" a="1"/>
  <c r="F1876" i="3" s="1"/>
  <c r="G1876" i="3" a="1"/>
  <c r="G1876" i="3" s="1"/>
  <c r="J1876" i="3" a="1"/>
  <c r="J1876" i="3" s="1"/>
  <c r="B1877" i="3" a="1"/>
  <c r="B1877" i="3" s="1"/>
  <c r="C1877" i="3" a="1"/>
  <c r="C1877" i="3" s="1"/>
  <c r="D1877" i="3" a="1"/>
  <c r="D1877" i="3" s="1"/>
  <c r="E1877" i="3" a="1"/>
  <c r="E1877" i="3" s="1"/>
  <c r="F1877" i="3" a="1"/>
  <c r="F1877" i="3" s="1"/>
  <c r="G1877" i="3" a="1"/>
  <c r="G1877" i="3" s="1"/>
  <c r="J1877" i="3" a="1"/>
  <c r="J1877" i="3" s="1"/>
  <c r="B1878" i="3" a="1"/>
  <c r="B1878" i="3" s="1"/>
  <c r="C1878" i="3" a="1"/>
  <c r="C1878" i="3" s="1"/>
  <c r="D1878" i="3" a="1"/>
  <c r="D1878" i="3" s="1"/>
  <c r="E1878" i="3" a="1"/>
  <c r="E1878" i="3" s="1"/>
  <c r="F1878" i="3" a="1"/>
  <c r="F1878" i="3" s="1"/>
  <c r="G1878" i="3" a="1"/>
  <c r="G1878" i="3" s="1"/>
  <c r="J1878" i="3" a="1"/>
  <c r="J1878" i="3" s="1"/>
  <c r="B1879" i="3" a="1"/>
  <c r="B1879" i="3" s="1"/>
  <c r="C1879" i="3" a="1"/>
  <c r="C1879" i="3" s="1"/>
  <c r="D1879" i="3" a="1"/>
  <c r="D1879" i="3" s="1"/>
  <c r="E1879" i="3" a="1"/>
  <c r="E1879" i="3" s="1"/>
  <c r="F1879" i="3" a="1"/>
  <c r="F1879" i="3" s="1"/>
  <c r="G1879" i="3" a="1"/>
  <c r="G1879" i="3" s="1"/>
  <c r="J1879" i="3" a="1"/>
  <c r="J1879" i="3" s="1"/>
  <c r="B1880" i="3" a="1"/>
  <c r="B1880" i="3" s="1"/>
  <c r="C1880" i="3" a="1"/>
  <c r="C1880" i="3" s="1"/>
  <c r="D1880" i="3" a="1"/>
  <c r="D1880" i="3" s="1"/>
  <c r="E1880" i="3" a="1"/>
  <c r="E1880" i="3" s="1"/>
  <c r="F1880" i="3" a="1"/>
  <c r="F1880" i="3" s="1"/>
  <c r="G1880" i="3" a="1"/>
  <c r="G1880" i="3" s="1"/>
  <c r="J1880" i="3" a="1"/>
  <c r="J1880" i="3" s="1"/>
  <c r="B1881" i="3" a="1"/>
  <c r="B1881" i="3" s="1"/>
  <c r="C1881" i="3" a="1"/>
  <c r="C1881" i="3" s="1"/>
  <c r="D1881" i="3" a="1"/>
  <c r="D1881" i="3" s="1"/>
  <c r="E1881" i="3" a="1"/>
  <c r="E1881" i="3" s="1"/>
  <c r="F1881" i="3" a="1"/>
  <c r="F1881" i="3" s="1"/>
  <c r="G1881" i="3" a="1"/>
  <c r="G1881" i="3" s="1"/>
  <c r="J1881" i="3" a="1"/>
  <c r="J1881" i="3" s="1"/>
  <c r="B1882" i="3" a="1"/>
  <c r="B1882" i="3" s="1"/>
  <c r="C1882" i="3" a="1"/>
  <c r="C1882" i="3" s="1"/>
  <c r="D1882" i="3" a="1"/>
  <c r="D1882" i="3" s="1"/>
  <c r="E1882" i="3" a="1"/>
  <c r="E1882" i="3" s="1"/>
  <c r="F1882" i="3" a="1"/>
  <c r="F1882" i="3" s="1"/>
  <c r="G1882" i="3" a="1"/>
  <c r="G1882" i="3" s="1"/>
  <c r="J1882" i="3" a="1"/>
  <c r="J1882" i="3" s="1"/>
  <c r="B1883" i="3" a="1"/>
  <c r="B1883" i="3" s="1"/>
  <c r="C1883" i="3" a="1"/>
  <c r="C1883" i="3" s="1"/>
  <c r="D1883" i="3" a="1"/>
  <c r="D1883" i="3" s="1"/>
  <c r="E1883" i="3" a="1"/>
  <c r="E1883" i="3" s="1"/>
  <c r="F1883" i="3" a="1"/>
  <c r="F1883" i="3" s="1"/>
  <c r="G1883" i="3" a="1"/>
  <c r="G1883" i="3" s="1"/>
  <c r="J1883" i="3" a="1"/>
  <c r="J1883" i="3" s="1"/>
  <c r="B1884" i="3" a="1"/>
  <c r="B1884" i="3" s="1"/>
  <c r="C1884" i="3" a="1"/>
  <c r="C1884" i="3" s="1"/>
  <c r="D1884" i="3" a="1"/>
  <c r="D1884" i="3" s="1"/>
  <c r="E1884" i="3" a="1"/>
  <c r="E1884" i="3" s="1"/>
  <c r="F1884" i="3" a="1"/>
  <c r="F1884" i="3" s="1"/>
  <c r="G1884" i="3" a="1"/>
  <c r="G1884" i="3" s="1"/>
  <c r="J1884" i="3" a="1"/>
  <c r="J1884" i="3" s="1"/>
  <c r="B1885" i="3" a="1"/>
  <c r="B1885" i="3" s="1"/>
  <c r="C1885" i="3" a="1"/>
  <c r="C1885" i="3" s="1"/>
  <c r="D1885" i="3" a="1"/>
  <c r="D1885" i="3" s="1"/>
  <c r="E1885" i="3" a="1"/>
  <c r="E1885" i="3" s="1"/>
  <c r="F1885" i="3" a="1"/>
  <c r="F1885" i="3" s="1"/>
  <c r="G1885" i="3" a="1"/>
  <c r="G1885" i="3" s="1"/>
  <c r="J1885" i="3" a="1"/>
  <c r="J1885" i="3" s="1"/>
  <c r="B1886" i="3" a="1"/>
  <c r="B1886" i="3" s="1"/>
  <c r="C1886" i="3" a="1"/>
  <c r="C1886" i="3" s="1"/>
  <c r="D1886" i="3" a="1"/>
  <c r="D1886" i="3" s="1"/>
  <c r="E1886" i="3" a="1"/>
  <c r="E1886" i="3" s="1"/>
  <c r="F1886" i="3" a="1"/>
  <c r="F1886" i="3" s="1"/>
  <c r="G1886" i="3" a="1"/>
  <c r="G1886" i="3" s="1"/>
  <c r="J1886" i="3" a="1"/>
  <c r="J1886" i="3" s="1"/>
  <c r="B1887" i="3" a="1"/>
  <c r="B1887" i="3" s="1"/>
  <c r="C1887" i="3" a="1"/>
  <c r="C1887" i="3" s="1"/>
  <c r="D1887" i="3" a="1"/>
  <c r="D1887" i="3" s="1"/>
  <c r="E1887" i="3" a="1"/>
  <c r="E1887" i="3" s="1"/>
  <c r="F1887" i="3" a="1"/>
  <c r="F1887" i="3" s="1"/>
  <c r="G1887" i="3" a="1"/>
  <c r="G1887" i="3" s="1"/>
  <c r="J1887" i="3" a="1"/>
  <c r="J1887" i="3" s="1"/>
  <c r="B1888" i="3" a="1"/>
  <c r="B1888" i="3" s="1"/>
  <c r="C1888" i="3" a="1"/>
  <c r="C1888" i="3" s="1"/>
  <c r="D1888" i="3" a="1"/>
  <c r="D1888" i="3" s="1"/>
  <c r="E1888" i="3" a="1"/>
  <c r="E1888" i="3" s="1"/>
  <c r="F1888" i="3" a="1"/>
  <c r="F1888" i="3" s="1"/>
  <c r="G1888" i="3" a="1"/>
  <c r="G1888" i="3" s="1"/>
  <c r="J1888" i="3" a="1"/>
  <c r="J1888" i="3" s="1"/>
  <c r="B1889" i="3" a="1"/>
  <c r="B1889" i="3" s="1"/>
  <c r="C1889" i="3" a="1"/>
  <c r="C1889" i="3" s="1"/>
  <c r="D1889" i="3" a="1"/>
  <c r="D1889" i="3" s="1"/>
  <c r="E1889" i="3" a="1"/>
  <c r="E1889" i="3" s="1"/>
  <c r="F1889" i="3" a="1"/>
  <c r="F1889" i="3" s="1"/>
  <c r="G1889" i="3" a="1"/>
  <c r="G1889" i="3" s="1"/>
  <c r="J1889" i="3" a="1"/>
  <c r="J1889" i="3" s="1"/>
  <c r="B1890" i="3" a="1"/>
  <c r="B1890" i="3" s="1"/>
  <c r="C1890" i="3" a="1"/>
  <c r="C1890" i="3" s="1"/>
  <c r="D1890" i="3" a="1"/>
  <c r="D1890" i="3" s="1"/>
  <c r="E1890" i="3" a="1"/>
  <c r="E1890" i="3" s="1"/>
  <c r="F1890" i="3" a="1"/>
  <c r="F1890" i="3" s="1"/>
  <c r="G1890" i="3" a="1"/>
  <c r="G1890" i="3" s="1"/>
  <c r="J1890" i="3" a="1"/>
  <c r="J1890" i="3" s="1"/>
  <c r="B1891" i="3" a="1"/>
  <c r="B1891" i="3" s="1"/>
  <c r="C1891" i="3" a="1"/>
  <c r="C1891" i="3" s="1"/>
  <c r="D1891" i="3" a="1"/>
  <c r="D1891" i="3" s="1"/>
  <c r="E1891" i="3" a="1"/>
  <c r="E1891" i="3" s="1"/>
  <c r="F1891" i="3" a="1"/>
  <c r="F1891" i="3" s="1"/>
  <c r="G1891" i="3" a="1"/>
  <c r="G1891" i="3" s="1"/>
  <c r="J1891" i="3" a="1"/>
  <c r="J1891" i="3" s="1"/>
  <c r="B1892" i="3" a="1"/>
  <c r="B1892" i="3" s="1"/>
  <c r="C1892" i="3" a="1"/>
  <c r="C1892" i="3" s="1"/>
  <c r="D1892" i="3" a="1"/>
  <c r="D1892" i="3" s="1"/>
  <c r="E1892" i="3" a="1"/>
  <c r="E1892" i="3" s="1"/>
  <c r="F1892" i="3" a="1"/>
  <c r="F1892" i="3" s="1"/>
  <c r="G1892" i="3" a="1"/>
  <c r="G1892" i="3" s="1"/>
  <c r="J1892" i="3" a="1"/>
  <c r="J1892" i="3" s="1"/>
  <c r="B1893" i="3" a="1"/>
  <c r="B1893" i="3" s="1"/>
  <c r="C1893" i="3" a="1"/>
  <c r="C1893" i="3" s="1"/>
  <c r="D1893" i="3" a="1"/>
  <c r="D1893" i="3" s="1"/>
  <c r="E1893" i="3" a="1"/>
  <c r="E1893" i="3" s="1"/>
  <c r="F1893" i="3" a="1"/>
  <c r="F1893" i="3" s="1"/>
  <c r="G1893" i="3" a="1"/>
  <c r="G1893" i="3" s="1"/>
  <c r="J1893" i="3" a="1"/>
  <c r="J1893" i="3" s="1"/>
  <c r="B1894" i="3" a="1"/>
  <c r="B1894" i="3" s="1"/>
  <c r="C1894" i="3" a="1"/>
  <c r="C1894" i="3" s="1"/>
  <c r="D1894" i="3" a="1"/>
  <c r="D1894" i="3" s="1"/>
  <c r="E1894" i="3" a="1"/>
  <c r="E1894" i="3" s="1"/>
  <c r="F1894" i="3" a="1"/>
  <c r="F1894" i="3" s="1"/>
  <c r="G1894" i="3" a="1"/>
  <c r="G1894" i="3" s="1"/>
  <c r="J1894" i="3" a="1"/>
  <c r="J1894" i="3" s="1"/>
  <c r="B1895" i="3" a="1"/>
  <c r="B1895" i="3" s="1"/>
  <c r="C1895" i="3" a="1"/>
  <c r="C1895" i="3" s="1"/>
  <c r="D1895" i="3" a="1"/>
  <c r="D1895" i="3" s="1"/>
  <c r="E1895" i="3" a="1"/>
  <c r="E1895" i="3" s="1"/>
  <c r="F1895" i="3" a="1"/>
  <c r="F1895" i="3" s="1"/>
  <c r="G1895" i="3" a="1"/>
  <c r="G1895" i="3" s="1"/>
  <c r="J1895" i="3" a="1"/>
  <c r="J1895" i="3" s="1"/>
  <c r="B1896" i="3" a="1"/>
  <c r="B1896" i="3" s="1"/>
  <c r="C1896" i="3" a="1"/>
  <c r="C1896" i="3" s="1"/>
  <c r="D1896" i="3" a="1"/>
  <c r="D1896" i="3" s="1"/>
  <c r="E1896" i="3" a="1"/>
  <c r="E1896" i="3" s="1"/>
  <c r="F1896" i="3" a="1"/>
  <c r="F1896" i="3" s="1"/>
  <c r="G1896" i="3" a="1"/>
  <c r="G1896" i="3" s="1"/>
  <c r="J1896" i="3" a="1"/>
  <c r="J1896" i="3" s="1"/>
  <c r="B1897" i="3" a="1"/>
  <c r="B1897" i="3" s="1"/>
  <c r="C1897" i="3" a="1"/>
  <c r="C1897" i="3" s="1"/>
  <c r="D1897" i="3" a="1"/>
  <c r="D1897" i="3" s="1"/>
  <c r="E1897" i="3" a="1"/>
  <c r="E1897" i="3" s="1"/>
  <c r="F1897" i="3" a="1"/>
  <c r="F1897" i="3" s="1"/>
  <c r="G1897" i="3" a="1"/>
  <c r="G1897" i="3" s="1"/>
  <c r="J1897" i="3" a="1"/>
  <c r="J1897" i="3" s="1"/>
  <c r="B1898" i="3" a="1"/>
  <c r="B1898" i="3" s="1"/>
  <c r="C1898" i="3" a="1"/>
  <c r="C1898" i="3" s="1"/>
  <c r="D1898" i="3" a="1"/>
  <c r="D1898" i="3" s="1"/>
  <c r="E1898" i="3" a="1"/>
  <c r="E1898" i="3" s="1"/>
  <c r="F1898" i="3" a="1"/>
  <c r="F1898" i="3" s="1"/>
  <c r="G1898" i="3" a="1"/>
  <c r="G1898" i="3" s="1"/>
  <c r="J1898" i="3" a="1"/>
  <c r="J1898" i="3" s="1"/>
  <c r="B1899" i="3" a="1"/>
  <c r="B1899" i="3" s="1"/>
  <c r="C1899" i="3" a="1"/>
  <c r="C1899" i="3" s="1"/>
  <c r="D1899" i="3" a="1"/>
  <c r="D1899" i="3" s="1"/>
  <c r="E1899" i="3" a="1"/>
  <c r="E1899" i="3" s="1"/>
  <c r="F1899" i="3" a="1"/>
  <c r="F1899" i="3" s="1"/>
  <c r="G1899" i="3" a="1"/>
  <c r="G1899" i="3" s="1"/>
  <c r="J1899" i="3" a="1"/>
  <c r="J1899" i="3" s="1"/>
  <c r="B1900" i="3" a="1"/>
  <c r="B1900" i="3" s="1"/>
  <c r="C1900" i="3" a="1"/>
  <c r="C1900" i="3" s="1"/>
  <c r="D1900" i="3" a="1"/>
  <c r="D1900" i="3" s="1"/>
  <c r="E1900" i="3" a="1"/>
  <c r="E1900" i="3" s="1"/>
  <c r="F1900" i="3" a="1"/>
  <c r="F1900" i="3" s="1"/>
  <c r="G1900" i="3" a="1"/>
  <c r="G1900" i="3" s="1"/>
  <c r="J1900" i="3" a="1"/>
  <c r="J1900" i="3" s="1"/>
  <c r="B1901" i="3" a="1"/>
  <c r="B1901" i="3" s="1"/>
  <c r="C1901" i="3" a="1"/>
  <c r="C1901" i="3" s="1"/>
  <c r="D1901" i="3" a="1"/>
  <c r="D1901" i="3" s="1"/>
  <c r="E1901" i="3" a="1"/>
  <c r="E1901" i="3" s="1"/>
  <c r="F1901" i="3" a="1"/>
  <c r="F1901" i="3" s="1"/>
  <c r="G1901" i="3" a="1"/>
  <c r="G1901" i="3" s="1"/>
  <c r="J1901" i="3" a="1"/>
  <c r="J1901" i="3" s="1"/>
  <c r="B1902" i="3" a="1"/>
  <c r="B1902" i="3" s="1"/>
  <c r="C1902" i="3" a="1"/>
  <c r="C1902" i="3" s="1"/>
  <c r="D1902" i="3" a="1"/>
  <c r="D1902" i="3" s="1"/>
  <c r="E1902" i="3" a="1"/>
  <c r="E1902" i="3" s="1"/>
  <c r="F1902" i="3" a="1"/>
  <c r="F1902" i="3" s="1"/>
  <c r="G1902" i="3" a="1"/>
  <c r="G1902" i="3" s="1"/>
  <c r="J1902" i="3" a="1"/>
  <c r="J1902" i="3" s="1"/>
  <c r="B1903" i="3" a="1"/>
  <c r="B1903" i="3" s="1"/>
  <c r="C1903" i="3" a="1"/>
  <c r="C1903" i="3" s="1"/>
  <c r="D1903" i="3" a="1"/>
  <c r="D1903" i="3" s="1"/>
  <c r="E1903" i="3" a="1"/>
  <c r="E1903" i="3" s="1"/>
  <c r="F1903" i="3" a="1"/>
  <c r="F1903" i="3" s="1"/>
  <c r="G1903" i="3" a="1"/>
  <c r="G1903" i="3" s="1"/>
  <c r="J1903" i="3" a="1"/>
  <c r="J1903" i="3" s="1"/>
  <c r="B1904" i="3" a="1"/>
  <c r="B1904" i="3" s="1"/>
  <c r="C1904" i="3" a="1"/>
  <c r="C1904" i="3" s="1"/>
  <c r="D1904" i="3" a="1"/>
  <c r="D1904" i="3" s="1"/>
  <c r="E1904" i="3" a="1"/>
  <c r="E1904" i="3" s="1"/>
  <c r="F1904" i="3" a="1"/>
  <c r="F1904" i="3" s="1"/>
  <c r="G1904" i="3" a="1"/>
  <c r="G1904" i="3" s="1"/>
  <c r="J1904" i="3" a="1"/>
  <c r="J1904" i="3" s="1"/>
  <c r="B1905" i="3" a="1"/>
  <c r="B1905" i="3" s="1"/>
  <c r="C1905" i="3" a="1"/>
  <c r="C1905" i="3" s="1"/>
  <c r="D1905" i="3" a="1"/>
  <c r="D1905" i="3" s="1"/>
  <c r="E1905" i="3" a="1"/>
  <c r="E1905" i="3" s="1"/>
  <c r="F1905" i="3" a="1"/>
  <c r="F1905" i="3" s="1"/>
  <c r="G1905" i="3" a="1"/>
  <c r="G1905" i="3" s="1"/>
  <c r="J1905" i="3" a="1"/>
  <c r="J1905" i="3" s="1"/>
  <c r="B1906" i="3" a="1"/>
  <c r="B1906" i="3" s="1"/>
  <c r="C1906" i="3" a="1"/>
  <c r="C1906" i="3" s="1"/>
  <c r="D1906" i="3" a="1"/>
  <c r="D1906" i="3" s="1"/>
  <c r="E1906" i="3" a="1"/>
  <c r="E1906" i="3" s="1"/>
  <c r="F1906" i="3" a="1"/>
  <c r="F1906" i="3" s="1"/>
  <c r="G1906" i="3" a="1"/>
  <c r="G1906" i="3" s="1"/>
  <c r="J1906" i="3" a="1"/>
  <c r="J1906" i="3" s="1"/>
  <c r="B1907" i="3" a="1"/>
  <c r="B1907" i="3" s="1"/>
  <c r="C1907" i="3" a="1"/>
  <c r="C1907" i="3" s="1"/>
  <c r="D1907" i="3" a="1"/>
  <c r="D1907" i="3" s="1"/>
  <c r="E1907" i="3" a="1"/>
  <c r="E1907" i="3" s="1"/>
  <c r="F1907" i="3" a="1"/>
  <c r="F1907" i="3" s="1"/>
  <c r="G1907" i="3" a="1"/>
  <c r="G1907" i="3" s="1"/>
  <c r="J1907" i="3" a="1"/>
  <c r="J1907" i="3" s="1"/>
  <c r="B1908" i="3" a="1"/>
  <c r="B1908" i="3" s="1"/>
  <c r="C1908" i="3" a="1"/>
  <c r="C1908" i="3" s="1"/>
  <c r="D1908" i="3" a="1"/>
  <c r="D1908" i="3" s="1"/>
  <c r="E1908" i="3" a="1"/>
  <c r="E1908" i="3" s="1"/>
  <c r="F1908" i="3" a="1"/>
  <c r="F1908" i="3" s="1"/>
  <c r="G1908" i="3" a="1"/>
  <c r="G1908" i="3" s="1"/>
  <c r="J1908" i="3" a="1"/>
  <c r="J1908" i="3" s="1"/>
  <c r="B1909" i="3" a="1"/>
  <c r="B1909" i="3" s="1"/>
  <c r="C1909" i="3" a="1"/>
  <c r="C1909" i="3" s="1"/>
  <c r="D1909" i="3" a="1"/>
  <c r="D1909" i="3" s="1"/>
  <c r="E1909" i="3" a="1"/>
  <c r="E1909" i="3" s="1"/>
  <c r="F1909" i="3" a="1"/>
  <c r="F1909" i="3" s="1"/>
  <c r="G1909" i="3" a="1"/>
  <c r="G1909" i="3" s="1"/>
  <c r="J1909" i="3" a="1"/>
  <c r="J1909" i="3" s="1"/>
  <c r="B1910" i="3" a="1"/>
  <c r="B1910" i="3" s="1"/>
  <c r="C1910" i="3" a="1"/>
  <c r="C1910" i="3" s="1"/>
  <c r="D1910" i="3" a="1"/>
  <c r="D1910" i="3" s="1"/>
  <c r="E1910" i="3" a="1"/>
  <c r="E1910" i="3" s="1"/>
  <c r="F1910" i="3" a="1"/>
  <c r="F1910" i="3" s="1"/>
  <c r="G1910" i="3" a="1"/>
  <c r="G1910" i="3" s="1"/>
  <c r="J1910" i="3" a="1"/>
  <c r="J1910" i="3" s="1"/>
  <c r="B1911" i="3" a="1"/>
  <c r="B1911" i="3" s="1"/>
  <c r="C1911" i="3" a="1"/>
  <c r="C1911" i="3" s="1"/>
  <c r="D1911" i="3" a="1"/>
  <c r="D1911" i="3" s="1"/>
  <c r="E1911" i="3" a="1"/>
  <c r="E1911" i="3" s="1"/>
  <c r="F1911" i="3" a="1"/>
  <c r="F1911" i="3" s="1"/>
  <c r="G1911" i="3" a="1"/>
  <c r="G1911" i="3" s="1"/>
  <c r="J1911" i="3" a="1"/>
  <c r="J1911" i="3" s="1"/>
  <c r="B1912" i="3" a="1"/>
  <c r="B1912" i="3" s="1"/>
  <c r="C1912" i="3" a="1"/>
  <c r="C1912" i="3" s="1"/>
  <c r="D1912" i="3" a="1"/>
  <c r="D1912" i="3" s="1"/>
  <c r="E1912" i="3" a="1"/>
  <c r="E1912" i="3" s="1"/>
  <c r="F1912" i="3" a="1"/>
  <c r="F1912" i="3" s="1"/>
  <c r="G1912" i="3" a="1"/>
  <c r="G1912" i="3" s="1"/>
  <c r="J1912" i="3" a="1"/>
  <c r="J1912" i="3" s="1"/>
  <c r="B1913" i="3" a="1"/>
  <c r="B1913" i="3" s="1"/>
  <c r="C1913" i="3" a="1"/>
  <c r="C1913" i="3" s="1"/>
  <c r="D1913" i="3" a="1"/>
  <c r="D1913" i="3" s="1"/>
  <c r="E1913" i="3" a="1"/>
  <c r="E1913" i="3" s="1"/>
  <c r="F1913" i="3" a="1"/>
  <c r="F1913" i="3" s="1"/>
  <c r="G1913" i="3" a="1"/>
  <c r="G1913" i="3" s="1"/>
  <c r="J1913" i="3" a="1"/>
  <c r="J1913" i="3" s="1"/>
  <c r="B1914" i="3" a="1"/>
  <c r="B1914" i="3" s="1"/>
  <c r="C1914" i="3" a="1"/>
  <c r="C1914" i="3" s="1"/>
  <c r="D1914" i="3" a="1"/>
  <c r="D1914" i="3" s="1"/>
  <c r="E1914" i="3" a="1"/>
  <c r="E1914" i="3" s="1"/>
  <c r="F1914" i="3" a="1"/>
  <c r="F1914" i="3" s="1"/>
  <c r="G1914" i="3" a="1"/>
  <c r="G1914" i="3" s="1"/>
  <c r="J1914" i="3" a="1"/>
  <c r="J1914" i="3" s="1"/>
  <c r="B1915" i="3" a="1"/>
  <c r="B1915" i="3" s="1"/>
  <c r="C1915" i="3" a="1"/>
  <c r="C1915" i="3" s="1"/>
  <c r="D1915" i="3" a="1"/>
  <c r="D1915" i="3" s="1"/>
  <c r="E1915" i="3" a="1"/>
  <c r="E1915" i="3" s="1"/>
  <c r="F1915" i="3" a="1"/>
  <c r="F1915" i="3" s="1"/>
  <c r="G1915" i="3" a="1"/>
  <c r="G1915" i="3" s="1"/>
  <c r="J1915" i="3" a="1"/>
  <c r="J1915" i="3" s="1"/>
  <c r="B1916" i="3" a="1"/>
  <c r="B1916" i="3" s="1"/>
  <c r="C1916" i="3" a="1"/>
  <c r="C1916" i="3" s="1"/>
  <c r="D1916" i="3" a="1"/>
  <c r="D1916" i="3" s="1"/>
  <c r="E1916" i="3" a="1"/>
  <c r="E1916" i="3" s="1"/>
  <c r="F1916" i="3" a="1"/>
  <c r="F1916" i="3" s="1"/>
  <c r="G1916" i="3" a="1"/>
  <c r="G1916" i="3" s="1"/>
  <c r="J1916" i="3" a="1"/>
  <c r="J1916" i="3" s="1"/>
  <c r="B1917" i="3" a="1"/>
  <c r="B1917" i="3" s="1"/>
  <c r="C1917" i="3" a="1"/>
  <c r="C1917" i="3" s="1"/>
  <c r="D1917" i="3" a="1"/>
  <c r="D1917" i="3" s="1"/>
  <c r="E1917" i="3" a="1"/>
  <c r="E1917" i="3" s="1"/>
  <c r="F1917" i="3" a="1"/>
  <c r="F1917" i="3" s="1"/>
  <c r="G1917" i="3" a="1"/>
  <c r="G1917" i="3" s="1"/>
  <c r="J1917" i="3" a="1"/>
  <c r="J1917" i="3" s="1"/>
  <c r="B1918" i="3" a="1"/>
  <c r="B1918" i="3" s="1"/>
  <c r="C1918" i="3" a="1"/>
  <c r="C1918" i="3" s="1"/>
  <c r="D1918" i="3" a="1"/>
  <c r="D1918" i="3" s="1"/>
  <c r="E1918" i="3" a="1"/>
  <c r="E1918" i="3" s="1"/>
  <c r="F1918" i="3" a="1"/>
  <c r="F1918" i="3" s="1"/>
  <c r="G1918" i="3" a="1"/>
  <c r="G1918" i="3" s="1"/>
  <c r="J1918" i="3" a="1"/>
  <c r="J1918" i="3" s="1"/>
  <c r="B1919" i="3" a="1"/>
  <c r="B1919" i="3" s="1"/>
  <c r="C1919" i="3" a="1"/>
  <c r="C1919" i="3" s="1"/>
  <c r="D1919" i="3" a="1"/>
  <c r="D1919" i="3" s="1"/>
  <c r="E1919" i="3" a="1"/>
  <c r="E1919" i="3" s="1"/>
  <c r="F1919" i="3" a="1"/>
  <c r="F1919" i="3" s="1"/>
  <c r="G1919" i="3" a="1"/>
  <c r="G1919" i="3" s="1"/>
  <c r="J1919" i="3" a="1"/>
  <c r="J1919" i="3" s="1"/>
  <c r="B1920" i="3" a="1"/>
  <c r="B1920" i="3" s="1"/>
  <c r="C1920" i="3" a="1"/>
  <c r="C1920" i="3" s="1"/>
  <c r="D1920" i="3" a="1"/>
  <c r="D1920" i="3" s="1"/>
  <c r="E1920" i="3" a="1"/>
  <c r="E1920" i="3" s="1"/>
  <c r="F1920" i="3" a="1"/>
  <c r="F1920" i="3" s="1"/>
  <c r="G1920" i="3" a="1"/>
  <c r="G1920" i="3" s="1"/>
  <c r="J1920" i="3" a="1"/>
  <c r="J1920" i="3" s="1"/>
  <c r="B1921" i="3" a="1"/>
  <c r="B1921" i="3" s="1"/>
  <c r="C1921" i="3" a="1"/>
  <c r="C1921" i="3" s="1"/>
  <c r="D1921" i="3" a="1"/>
  <c r="D1921" i="3" s="1"/>
  <c r="E1921" i="3" a="1"/>
  <c r="E1921" i="3" s="1"/>
  <c r="F1921" i="3" a="1"/>
  <c r="F1921" i="3" s="1"/>
  <c r="G1921" i="3" a="1"/>
  <c r="G1921" i="3" s="1"/>
  <c r="J1921" i="3" a="1"/>
  <c r="J1921" i="3" s="1"/>
  <c r="B1922" i="3" a="1"/>
  <c r="B1922" i="3" s="1"/>
  <c r="C1922" i="3" a="1"/>
  <c r="C1922" i="3" s="1"/>
  <c r="D1922" i="3" a="1"/>
  <c r="D1922" i="3" s="1"/>
  <c r="E1922" i="3" a="1"/>
  <c r="E1922" i="3" s="1"/>
  <c r="F1922" i="3" a="1"/>
  <c r="F1922" i="3" s="1"/>
  <c r="G1922" i="3" a="1"/>
  <c r="G1922" i="3" s="1"/>
  <c r="J1922" i="3" a="1"/>
  <c r="J1922" i="3" s="1"/>
  <c r="B1923" i="3" a="1"/>
  <c r="B1923" i="3" s="1"/>
  <c r="C1923" i="3" a="1"/>
  <c r="C1923" i="3" s="1"/>
  <c r="D1923" i="3" a="1"/>
  <c r="D1923" i="3" s="1"/>
  <c r="E1923" i="3" a="1"/>
  <c r="E1923" i="3" s="1"/>
  <c r="F1923" i="3" a="1"/>
  <c r="F1923" i="3" s="1"/>
  <c r="G1923" i="3" a="1"/>
  <c r="G1923" i="3" s="1"/>
  <c r="J1923" i="3" a="1"/>
  <c r="J1923" i="3" s="1"/>
  <c r="B1924" i="3" a="1"/>
  <c r="B1924" i="3" s="1"/>
  <c r="C1924" i="3" a="1"/>
  <c r="C1924" i="3" s="1"/>
  <c r="D1924" i="3" a="1"/>
  <c r="D1924" i="3" s="1"/>
  <c r="E1924" i="3" a="1"/>
  <c r="E1924" i="3" s="1"/>
  <c r="F1924" i="3" a="1"/>
  <c r="F1924" i="3" s="1"/>
  <c r="G1924" i="3" a="1"/>
  <c r="G1924" i="3" s="1"/>
  <c r="J1924" i="3" a="1"/>
  <c r="J1924" i="3" s="1"/>
  <c r="B1925" i="3" a="1"/>
  <c r="B1925" i="3" s="1"/>
  <c r="C1925" i="3" a="1"/>
  <c r="C1925" i="3" s="1"/>
  <c r="D1925" i="3" a="1"/>
  <c r="D1925" i="3" s="1"/>
  <c r="E1925" i="3" a="1"/>
  <c r="E1925" i="3" s="1"/>
  <c r="F1925" i="3" a="1"/>
  <c r="F1925" i="3" s="1"/>
  <c r="G1925" i="3" a="1"/>
  <c r="G1925" i="3" s="1"/>
  <c r="J1925" i="3" a="1"/>
  <c r="J1925" i="3" s="1"/>
  <c r="B1926" i="3" a="1"/>
  <c r="B1926" i="3" s="1"/>
  <c r="C1926" i="3" a="1"/>
  <c r="C1926" i="3" s="1"/>
  <c r="D1926" i="3" a="1"/>
  <c r="D1926" i="3" s="1"/>
  <c r="E1926" i="3" a="1"/>
  <c r="E1926" i="3" s="1"/>
  <c r="F1926" i="3" a="1"/>
  <c r="F1926" i="3" s="1"/>
  <c r="G1926" i="3" a="1"/>
  <c r="G1926" i="3" s="1"/>
  <c r="J1926" i="3" a="1"/>
  <c r="J1926" i="3" s="1"/>
  <c r="B1927" i="3" a="1"/>
  <c r="B1927" i="3" s="1"/>
  <c r="C1927" i="3" a="1"/>
  <c r="C1927" i="3" s="1"/>
  <c r="D1927" i="3" a="1"/>
  <c r="D1927" i="3" s="1"/>
  <c r="E1927" i="3" a="1"/>
  <c r="E1927" i="3" s="1"/>
  <c r="F1927" i="3" a="1"/>
  <c r="F1927" i="3" s="1"/>
  <c r="G1927" i="3" a="1"/>
  <c r="G1927" i="3" s="1"/>
  <c r="J1927" i="3" a="1"/>
  <c r="J1927" i="3" s="1"/>
  <c r="B1928" i="3" a="1"/>
  <c r="B1928" i="3" s="1"/>
  <c r="C1928" i="3" a="1"/>
  <c r="C1928" i="3" s="1"/>
  <c r="D1928" i="3" a="1"/>
  <c r="D1928" i="3" s="1"/>
  <c r="E1928" i="3" a="1"/>
  <c r="E1928" i="3" s="1"/>
  <c r="F1928" i="3" a="1"/>
  <c r="F1928" i="3" s="1"/>
  <c r="G1928" i="3" a="1"/>
  <c r="G1928" i="3" s="1"/>
  <c r="J1928" i="3" a="1"/>
  <c r="J1928" i="3" s="1"/>
  <c r="B1929" i="3" a="1"/>
  <c r="B1929" i="3" s="1"/>
  <c r="C1929" i="3" a="1"/>
  <c r="C1929" i="3" s="1"/>
  <c r="D1929" i="3" a="1"/>
  <c r="D1929" i="3" s="1"/>
  <c r="E1929" i="3" a="1"/>
  <c r="E1929" i="3" s="1"/>
  <c r="F1929" i="3" a="1"/>
  <c r="F1929" i="3" s="1"/>
  <c r="G1929" i="3" a="1"/>
  <c r="G1929" i="3" s="1"/>
  <c r="J1929" i="3" a="1"/>
  <c r="J1929" i="3" s="1"/>
  <c r="B1930" i="3" a="1"/>
  <c r="B1930" i="3" s="1"/>
  <c r="C1930" i="3" a="1"/>
  <c r="C1930" i="3" s="1"/>
  <c r="D1930" i="3" a="1"/>
  <c r="D1930" i="3" s="1"/>
  <c r="E1930" i="3" a="1"/>
  <c r="E1930" i="3" s="1"/>
  <c r="F1930" i="3" a="1"/>
  <c r="F1930" i="3" s="1"/>
  <c r="G1930" i="3" a="1"/>
  <c r="G1930" i="3" s="1"/>
  <c r="J1930" i="3" a="1"/>
  <c r="J1930" i="3" s="1"/>
  <c r="B1931" i="3" a="1"/>
  <c r="B1931" i="3" s="1"/>
  <c r="C1931" i="3" a="1"/>
  <c r="C1931" i="3" s="1"/>
  <c r="D1931" i="3" a="1"/>
  <c r="D1931" i="3" s="1"/>
  <c r="E1931" i="3" a="1"/>
  <c r="E1931" i="3" s="1"/>
  <c r="F1931" i="3" a="1"/>
  <c r="F1931" i="3" s="1"/>
  <c r="G1931" i="3" a="1"/>
  <c r="G1931" i="3" s="1"/>
  <c r="J1931" i="3" a="1"/>
  <c r="J1931" i="3" s="1"/>
  <c r="B1932" i="3" a="1"/>
  <c r="B1932" i="3" s="1"/>
  <c r="C1932" i="3" a="1"/>
  <c r="C1932" i="3" s="1"/>
  <c r="D1932" i="3" a="1"/>
  <c r="D1932" i="3" s="1"/>
  <c r="E1932" i="3" a="1"/>
  <c r="E1932" i="3" s="1"/>
  <c r="F1932" i="3" a="1"/>
  <c r="F1932" i="3" s="1"/>
  <c r="G1932" i="3" a="1"/>
  <c r="G1932" i="3" s="1"/>
  <c r="J1932" i="3" a="1"/>
  <c r="J1932" i="3" s="1"/>
  <c r="B1933" i="3" a="1"/>
  <c r="B1933" i="3" s="1"/>
  <c r="C1933" i="3" a="1"/>
  <c r="C1933" i="3" s="1"/>
  <c r="D1933" i="3" a="1"/>
  <c r="D1933" i="3" s="1"/>
  <c r="E1933" i="3" a="1"/>
  <c r="E1933" i="3" s="1"/>
  <c r="F1933" i="3" a="1"/>
  <c r="F1933" i="3" s="1"/>
  <c r="G1933" i="3" a="1"/>
  <c r="G1933" i="3" s="1"/>
  <c r="J1933" i="3" a="1"/>
  <c r="J1933" i="3" s="1"/>
  <c r="B1934" i="3" a="1"/>
  <c r="B1934" i="3" s="1"/>
  <c r="C1934" i="3" a="1"/>
  <c r="C1934" i="3" s="1"/>
  <c r="D1934" i="3" a="1"/>
  <c r="D1934" i="3" s="1"/>
  <c r="E1934" i="3" a="1"/>
  <c r="E1934" i="3" s="1"/>
  <c r="F1934" i="3" a="1"/>
  <c r="F1934" i="3" s="1"/>
  <c r="G1934" i="3" a="1"/>
  <c r="G1934" i="3" s="1"/>
  <c r="J1934" i="3" a="1"/>
  <c r="J1934" i="3" s="1"/>
  <c r="B1935" i="3" a="1"/>
  <c r="B1935" i="3" s="1"/>
  <c r="C1935" i="3" a="1"/>
  <c r="C1935" i="3" s="1"/>
  <c r="D1935" i="3" a="1"/>
  <c r="D1935" i="3" s="1"/>
  <c r="E1935" i="3" a="1"/>
  <c r="E1935" i="3" s="1"/>
  <c r="F1935" i="3" a="1"/>
  <c r="F1935" i="3" s="1"/>
  <c r="G1935" i="3" a="1"/>
  <c r="G1935" i="3" s="1"/>
  <c r="J1935" i="3" a="1"/>
  <c r="J1935" i="3" s="1"/>
  <c r="B1936" i="3" a="1"/>
  <c r="B1936" i="3" s="1"/>
  <c r="C1936" i="3" a="1"/>
  <c r="C1936" i="3" s="1"/>
  <c r="D1936" i="3" a="1"/>
  <c r="D1936" i="3" s="1"/>
  <c r="E1936" i="3" a="1"/>
  <c r="E1936" i="3" s="1"/>
  <c r="F1936" i="3" a="1"/>
  <c r="F1936" i="3" s="1"/>
  <c r="G1936" i="3" a="1"/>
  <c r="G1936" i="3" s="1"/>
  <c r="J1936" i="3" a="1"/>
  <c r="J1936" i="3" s="1"/>
  <c r="B1937" i="3" a="1"/>
  <c r="B1937" i="3" s="1"/>
  <c r="C1937" i="3" a="1"/>
  <c r="C1937" i="3" s="1"/>
  <c r="D1937" i="3" a="1"/>
  <c r="D1937" i="3" s="1"/>
  <c r="E1937" i="3" a="1"/>
  <c r="E1937" i="3" s="1"/>
  <c r="F1937" i="3" a="1"/>
  <c r="F1937" i="3" s="1"/>
  <c r="G1937" i="3" a="1"/>
  <c r="G1937" i="3" s="1"/>
  <c r="J1937" i="3" a="1"/>
  <c r="J1937" i="3" s="1"/>
  <c r="B1938" i="3" a="1"/>
  <c r="B1938" i="3" s="1"/>
  <c r="C1938" i="3" a="1"/>
  <c r="C1938" i="3" s="1"/>
  <c r="D1938" i="3" a="1"/>
  <c r="D1938" i="3" s="1"/>
  <c r="E1938" i="3" a="1"/>
  <c r="E1938" i="3" s="1"/>
  <c r="F1938" i="3" a="1"/>
  <c r="F1938" i="3" s="1"/>
  <c r="G1938" i="3" a="1"/>
  <c r="G1938" i="3" s="1"/>
  <c r="J1938" i="3" a="1"/>
  <c r="J1938" i="3" s="1"/>
  <c r="B1939" i="3" a="1"/>
  <c r="B1939" i="3" s="1"/>
  <c r="C1939" i="3" a="1"/>
  <c r="C1939" i="3" s="1"/>
  <c r="D1939" i="3" a="1"/>
  <c r="D1939" i="3" s="1"/>
  <c r="E1939" i="3" a="1"/>
  <c r="E1939" i="3" s="1"/>
  <c r="F1939" i="3" a="1"/>
  <c r="F1939" i="3" s="1"/>
  <c r="G1939" i="3" a="1"/>
  <c r="G1939" i="3" s="1"/>
  <c r="J1939" i="3" a="1"/>
  <c r="J1939" i="3" s="1"/>
  <c r="B1940" i="3" a="1"/>
  <c r="B1940" i="3" s="1"/>
  <c r="C1940" i="3" a="1"/>
  <c r="C1940" i="3" s="1"/>
  <c r="D1940" i="3" a="1"/>
  <c r="D1940" i="3" s="1"/>
  <c r="E1940" i="3" a="1"/>
  <c r="E1940" i="3" s="1"/>
  <c r="F1940" i="3" a="1"/>
  <c r="F1940" i="3" s="1"/>
  <c r="G1940" i="3" a="1"/>
  <c r="G1940" i="3" s="1"/>
  <c r="J1940" i="3" a="1"/>
  <c r="J1940" i="3" s="1"/>
  <c r="B1941" i="3" a="1"/>
  <c r="B1941" i="3" s="1"/>
  <c r="C1941" i="3" a="1"/>
  <c r="C1941" i="3" s="1"/>
  <c r="D1941" i="3" a="1"/>
  <c r="D1941" i="3" s="1"/>
  <c r="E1941" i="3" a="1"/>
  <c r="E1941" i="3" s="1"/>
  <c r="F1941" i="3" a="1"/>
  <c r="F1941" i="3" s="1"/>
  <c r="G1941" i="3" a="1"/>
  <c r="G1941" i="3" s="1"/>
  <c r="J1941" i="3" a="1"/>
  <c r="J1941" i="3" s="1"/>
  <c r="B1942" i="3" a="1"/>
  <c r="B1942" i="3" s="1"/>
  <c r="C1942" i="3" a="1"/>
  <c r="C1942" i="3" s="1"/>
  <c r="D1942" i="3" a="1"/>
  <c r="D1942" i="3" s="1"/>
  <c r="E1942" i="3" a="1"/>
  <c r="E1942" i="3" s="1"/>
  <c r="F1942" i="3" a="1"/>
  <c r="F1942" i="3" s="1"/>
  <c r="G1942" i="3" a="1"/>
  <c r="G1942" i="3" s="1"/>
  <c r="J1942" i="3" a="1"/>
  <c r="J1942" i="3" s="1"/>
  <c r="B1943" i="3" a="1"/>
  <c r="B1943" i="3" s="1"/>
  <c r="C1943" i="3" a="1"/>
  <c r="C1943" i="3" s="1"/>
  <c r="D1943" i="3" a="1"/>
  <c r="D1943" i="3" s="1"/>
  <c r="E1943" i="3" a="1"/>
  <c r="E1943" i="3" s="1"/>
  <c r="F1943" i="3" a="1"/>
  <c r="F1943" i="3" s="1"/>
  <c r="G1943" i="3" a="1"/>
  <c r="G1943" i="3" s="1"/>
  <c r="J1943" i="3" a="1"/>
  <c r="J1943" i="3" s="1"/>
  <c r="B1944" i="3" a="1"/>
  <c r="B1944" i="3" s="1"/>
  <c r="C1944" i="3" a="1"/>
  <c r="C1944" i="3" s="1"/>
  <c r="D1944" i="3" a="1"/>
  <c r="D1944" i="3" s="1"/>
  <c r="E1944" i="3" a="1"/>
  <c r="E1944" i="3" s="1"/>
  <c r="F1944" i="3" a="1"/>
  <c r="F1944" i="3" s="1"/>
  <c r="G1944" i="3" a="1"/>
  <c r="G1944" i="3" s="1"/>
  <c r="J1944" i="3" a="1"/>
  <c r="J1944" i="3" s="1"/>
  <c r="B1945" i="3" a="1"/>
  <c r="B1945" i="3" s="1"/>
  <c r="C1945" i="3" a="1"/>
  <c r="C1945" i="3" s="1"/>
  <c r="D1945" i="3" a="1"/>
  <c r="D1945" i="3" s="1"/>
  <c r="E1945" i="3" a="1"/>
  <c r="E1945" i="3" s="1"/>
  <c r="F1945" i="3" a="1"/>
  <c r="F1945" i="3" s="1"/>
  <c r="G1945" i="3" a="1"/>
  <c r="G1945" i="3" s="1"/>
  <c r="J1945" i="3" a="1"/>
  <c r="J1945" i="3" s="1"/>
  <c r="B1946" i="3" a="1"/>
  <c r="B1946" i="3" s="1"/>
  <c r="C1946" i="3" a="1"/>
  <c r="C1946" i="3" s="1"/>
  <c r="D1946" i="3" a="1"/>
  <c r="D1946" i="3" s="1"/>
  <c r="E1946" i="3" a="1"/>
  <c r="E1946" i="3" s="1"/>
  <c r="F1946" i="3" a="1"/>
  <c r="F1946" i="3" s="1"/>
  <c r="G1946" i="3" a="1"/>
  <c r="G1946" i="3" s="1"/>
  <c r="J1946" i="3" a="1"/>
  <c r="J1946" i="3" s="1"/>
  <c r="B1947" i="3" a="1"/>
  <c r="B1947" i="3" s="1"/>
  <c r="C1947" i="3" a="1"/>
  <c r="C1947" i="3" s="1"/>
  <c r="D1947" i="3" a="1"/>
  <c r="D1947" i="3" s="1"/>
  <c r="E1947" i="3" a="1"/>
  <c r="E1947" i="3" s="1"/>
  <c r="F1947" i="3" a="1"/>
  <c r="F1947" i="3" s="1"/>
  <c r="G1947" i="3" a="1"/>
  <c r="G1947" i="3" s="1"/>
  <c r="J1947" i="3" a="1"/>
  <c r="J1947" i="3" s="1"/>
  <c r="B1948" i="3" a="1"/>
  <c r="B1948" i="3" s="1"/>
  <c r="C1948" i="3" a="1"/>
  <c r="C1948" i="3" s="1"/>
  <c r="D1948" i="3" a="1"/>
  <c r="D1948" i="3" s="1"/>
  <c r="E1948" i="3" a="1"/>
  <c r="E1948" i="3" s="1"/>
  <c r="F1948" i="3" a="1"/>
  <c r="F1948" i="3" s="1"/>
  <c r="G1948" i="3" a="1"/>
  <c r="G1948" i="3" s="1"/>
  <c r="J1948" i="3" a="1"/>
  <c r="J1948" i="3" s="1"/>
  <c r="B1949" i="3" a="1"/>
  <c r="B1949" i="3" s="1"/>
  <c r="C1949" i="3" a="1"/>
  <c r="C1949" i="3" s="1"/>
  <c r="D1949" i="3" a="1"/>
  <c r="D1949" i="3" s="1"/>
  <c r="E1949" i="3" a="1"/>
  <c r="E1949" i="3" s="1"/>
  <c r="F1949" i="3" a="1"/>
  <c r="F1949" i="3" s="1"/>
  <c r="G1949" i="3" a="1"/>
  <c r="G1949" i="3" s="1"/>
  <c r="J1949" i="3" a="1"/>
  <c r="J1949" i="3" s="1"/>
  <c r="B1950" i="3" a="1"/>
  <c r="B1950" i="3" s="1"/>
  <c r="C1950" i="3" a="1"/>
  <c r="C1950" i="3" s="1"/>
  <c r="D1950" i="3" a="1"/>
  <c r="D1950" i="3" s="1"/>
  <c r="E1950" i="3" a="1"/>
  <c r="E1950" i="3" s="1"/>
  <c r="F1950" i="3" a="1"/>
  <c r="F1950" i="3" s="1"/>
  <c r="G1950" i="3" a="1"/>
  <c r="G1950" i="3" s="1"/>
  <c r="J1950" i="3" a="1"/>
  <c r="J1950" i="3" s="1"/>
  <c r="B1951" i="3" a="1"/>
  <c r="B1951" i="3" s="1"/>
  <c r="C1951" i="3" a="1"/>
  <c r="C1951" i="3" s="1"/>
  <c r="D1951" i="3" a="1"/>
  <c r="D1951" i="3" s="1"/>
  <c r="E1951" i="3" a="1"/>
  <c r="E1951" i="3" s="1"/>
  <c r="F1951" i="3" a="1"/>
  <c r="F1951" i="3" s="1"/>
  <c r="G1951" i="3" a="1"/>
  <c r="G1951" i="3" s="1"/>
  <c r="J1951" i="3" a="1"/>
  <c r="J1951" i="3" s="1"/>
  <c r="B1952" i="3" a="1"/>
  <c r="B1952" i="3" s="1"/>
  <c r="C1952" i="3" a="1"/>
  <c r="C1952" i="3" s="1"/>
  <c r="D1952" i="3" a="1"/>
  <c r="D1952" i="3" s="1"/>
  <c r="E1952" i="3" a="1"/>
  <c r="E1952" i="3" s="1"/>
  <c r="F1952" i="3" a="1"/>
  <c r="F1952" i="3" s="1"/>
  <c r="G1952" i="3" a="1"/>
  <c r="G1952" i="3" s="1"/>
  <c r="J1952" i="3" a="1"/>
  <c r="J1952" i="3" s="1"/>
  <c r="B1953" i="3" a="1"/>
  <c r="B1953" i="3" s="1"/>
  <c r="C1953" i="3" a="1"/>
  <c r="C1953" i="3" s="1"/>
  <c r="D1953" i="3" a="1"/>
  <c r="D1953" i="3" s="1"/>
  <c r="E1953" i="3" a="1"/>
  <c r="E1953" i="3" s="1"/>
  <c r="F1953" i="3" a="1"/>
  <c r="F1953" i="3" s="1"/>
  <c r="G1953" i="3" a="1"/>
  <c r="G1953" i="3" s="1"/>
  <c r="J1953" i="3" a="1"/>
  <c r="J1953" i="3" s="1"/>
  <c r="B1954" i="3" a="1"/>
  <c r="B1954" i="3" s="1"/>
  <c r="C1954" i="3" a="1"/>
  <c r="C1954" i="3" s="1"/>
  <c r="D1954" i="3" a="1"/>
  <c r="D1954" i="3" s="1"/>
  <c r="E1954" i="3" a="1"/>
  <c r="E1954" i="3" s="1"/>
  <c r="F1954" i="3" a="1"/>
  <c r="F1954" i="3" s="1"/>
  <c r="G1954" i="3" a="1"/>
  <c r="G1954" i="3" s="1"/>
  <c r="J1954" i="3" a="1"/>
  <c r="J1954" i="3" s="1"/>
  <c r="B1955" i="3" a="1"/>
  <c r="B1955" i="3" s="1"/>
  <c r="C1955" i="3" a="1"/>
  <c r="C1955" i="3" s="1"/>
  <c r="D1955" i="3" a="1"/>
  <c r="D1955" i="3" s="1"/>
  <c r="E1955" i="3" a="1"/>
  <c r="E1955" i="3" s="1"/>
  <c r="F1955" i="3" a="1"/>
  <c r="F1955" i="3" s="1"/>
  <c r="G1955" i="3" a="1"/>
  <c r="G1955" i="3" s="1"/>
  <c r="J1955" i="3" a="1"/>
  <c r="J1955" i="3" s="1"/>
  <c r="B1956" i="3" a="1"/>
  <c r="B1956" i="3" s="1"/>
  <c r="C1956" i="3" a="1"/>
  <c r="C1956" i="3" s="1"/>
  <c r="D1956" i="3" a="1"/>
  <c r="D1956" i="3" s="1"/>
  <c r="E1956" i="3" a="1"/>
  <c r="E1956" i="3" s="1"/>
  <c r="F1956" i="3" a="1"/>
  <c r="F1956" i="3" s="1"/>
  <c r="G1956" i="3" a="1"/>
  <c r="G1956" i="3" s="1"/>
  <c r="J1956" i="3" a="1"/>
  <c r="J1956" i="3" s="1"/>
  <c r="B1957" i="3" a="1"/>
  <c r="B1957" i="3" s="1"/>
  <c r="C1957" i="3" a="1"/>
  <c r="C1957" i="3" s="1"/>
  <c r="D1957" i="3" a="1"/>
  <c r="D1957" i="3" s="1"/>
  <c r="E1957" i="3" a="1"/>
  <c r="E1957" i="3" s="1"/>
  <c r="F1957" i="3" a="1"/>
  <c r="F1957" i="3" s="1"/>
  <c r="G1957" i="3" a="1"/>
  <c r="G1957" i="3" s="1"/>
  <c r="J1957" i="3" a="1"/>
  <c r="J1957" i="3" s="1"/>
  <c r="B1958" i="3" a="1"/>
  <c r="B1958" i="3" s="1"/>
  <c r="C1958" i="3" a="1"/>
  <c r="C1958" i="3" s="1"/>
  <c r="D1958" i="3" a="1"/>
  <c r="D1958" i="3" s="1"/>
  <c r="E1958" i="3" a="1"/>
  <c r="E1958" i="3" s="1"/>
  <c r="F1958" i="3" a="1"/>
  <c r="F1958" i="3" s="1"/>
  <c r="G1958" i="3" a="1"/>
  <c r="G1958" i="3" s="1"/>
  <c r="J1958" i="3" a="1"/>
  <c r="J1958" i="3" s="1"/>
  <c r="B1959" i="3" a="1"/>
  <c r="B1959" i="3" s="1"/>
  <c r="C1959" i="3" a="1"/>
  <c r="C1959" i="3" s="1"/>
  <c r="D1959" i="3" a="1"/>
  <c r="D1959" i="3" s="1"/>
  <c r="E1959" i="3" a="1"/>
  <c r="E1959" i="3" s="1"/>
  <c r="F1959" i="3" a="1"/>
  <c r="F1959" i="3" s="1"/>
  <c r="G1959" i="3" a="1"/>
  <c r="G1959" i="3" s="1"/>
  <c r="J1959" i="3" a="1"/>
  <c r="J1959" i="3" s="1"/>
  <c r="B1960" i="3" a="1"/>
  <c r="B1960" i="3" s="1"/>
  <c r="C1960" i="3" a="1"/>
  <c r="C1960" i="3" s="1"/>
  <c r="D1960" i="3" a="1"/>
  <c r="D1960" i="3" s="1"/>
  <c r="E1960" i="3" a="1"/>
  <c r="E1960" i="3" s="1"/>
  <c r="F1960" i="3" a="1"/>
  <c r="F1960" i="3" s="1"/>
  <c r="G1960" i="3" a="1"/>
  <c r="G1960" i="3" s="1"/>
  <c r="J1960" i="3" a="1"/>
  <c r="J1960" i="3" s="1"/>
  <c r="B1961" i="3" a="1"/>
  <c r="B1961" i="3" s="1"/>
  <c r="C1961" i="3" a="1"/>
  <c r="C1961" i="3" s="1"/>
  <c r="D1961" i="3" a="1"/>
  <c r="D1961" i="3" s="1"/>
  <c r="E1961" i="3" a="1"/>
  <c r="E1961" i="3" s="1"/>
  <c r="F1961" i="3" a="1"/>
  <c r="F1961" i="3" s="1"/>
  <c r="G1961" i="3" a="1"/>
  <c r="G1961" i="3" s="1"/>
  <c r="J1961" i="3" a="1"/>
  <c r="J1961" i="3" s="1"/>
  <c r="B1962" i="3" a="1"/>
  <c r="B1962" i="3" s="1"/>
  <c r="C1962" i="3" a="1"/>
  <c r="C1962" i="3" s="1"/>
  <c r="D1962" i="3" a="1"/>
  <c r="D1962" i="3" s="1"/>
  <c r="E1962" i="3" a="1"/>
  <c r="E1962" i="3" s="1"/>
  <c r="F1962" i="3" a="1"/>
  <c r="F1962" i="3" s="1"/>
  <c r="G1962" i="3" a="1"/>
  <c r="G1962" i="3" s="1"/>
  <c r="J1962" i="3" a="1"/>
  <c r="J1962" i="3" s="1"/>
  <c r="B1963" i="3" a="1"/>
  <c r="B1963" i="3" s="1"/>
  <c r="C1963" i="3" a="1"/>
  <c r="C1963" i="3" s="1"/>
  <c r="D1963" i="3" a="1"/>
  <c r="D1963" i="3" s="1"/>
  <c r="E1963" i="3" a="1"/>
  <c r="E1963" i="3" s="1"/>
  <c r="F1963" i="3" a="1"/>
  <c r="F1963" i="3" s="1"/>
  <c r="G1963" i="3" a="1"/>
  <c r="G1963" i="3" s="1"/>
  <c r="J1963" i="3" a="1"/>
  <c r="J1963" i="3" s="1"/>
  <c r="B1964" i="3" a="1"/>
  <c r="B1964" i="3" s="1"/>
  <c r="C1964" i="3" a="1"/>
  <c r="C1964" i="3" s="1"/>
  <c r="D1964" i="3" a="1"/>
  <c r="D1964" i="3" s="1"/>
  <c r="E1964" i="3" a="1"/>
  <c r="E1964" i="3" s="1"/>
  <c r="F1964" i="3" a="1"/>
  <c r="F1964" i="3" s="1"/>
  <c r="G1964" i="3" a="1"/>
  <c r="G1964" i="3" s="1"/>
  <c r="J1964" i="3" a="1"/>
  <c r="J1964" i="3" s="1"/>
  <c r="B1965" i="3" a="1"/>
  <c r="B1965" i="3" s="1"/>
  <c r="C1965" i="3" a="1"/>
  <c r="C1965" i="3" s="1"/>
  <c r="D1965" i="3" a="1"/>
  <c r="D1965" i="3" s="1"/>
  <c r="E1965" i="3" a="1"/>
  <c r="E1965" i="3" s="1"/>
  <c r="F1965" i="3" a="1"/>
  <c r="F1965" i="3" s="1"/>
  <c r="G1965" i="3" a="1"/>
  <c r="G1965" i="3" s="1"/>
  <c r="J1965" i="3" a="1"/>
  <c r="J1965" i="3" s="1"/>
  <c r="B1966" i="3" a="1"/>
  <c r="B1966" i="3" s="1"/>
  <c r="C1966" i="3" a="1"/>
  <c r="C1966" i="3" s="1"/>
  <c r="D1966" i="3" a="1"/>
  <c r="D1966" i="3" s="1"/>
  <c r="E1966" i="3" a="1"/>
  <c r="E1966" i="3" s="1"/>
  <c r="F1966" i="3" a="1"/>
  <c r="F1966" i="3" s="1"/>
  <c r="G1966" i="3" a="1"/>
  <c r="G1966" i="3" s="1"/>
  <c r="J1966" i="3" a="1"/>
  <c r="J1966" i="3" s="1"/>
  <c r="B1967" i="3" a="1"/>
  <c r="B1967" i="3" s="1"/>
  <c r="C1967" i="3" a="1"/>
  <c r="C1967" i="3" s="1"/>
  <c r="D1967" i="3" a="1"/>
  <c r="D1967" i="3" s="1"/>
  <c r="E1967" i="3" a="1"/>
  <c r="E1967" i="3" s="1"/>
  <c r="F1967" i="3" a="1"/>
  <c r="F1967" i="3" s="1"/>
  <c r="G1967" i="3" a="1"/>
  <c r="G1967" i="3" s="1"/>
  <c r="J1967" i="3" a="1"/>
  <c r="J1967" i="3" s="1"/>
  <c r="B1968" i="3" a="1"/>
  <c r="B1968" i="3" s="1"/>
  <c r="C1968" i="3" a="1"/>
  <c r="C1968" i="3" s="1"/>
  <c r="D1968" i="3" a="1"/>
  <c r="D1968" i="3" s="1"/>
  <c r="E1968" i="3" a="1"/>
  <c r="E1968" i="3" s="1"/>
  <c r="F1968" i="3" a="1"/>
  <c r="F1968" i="3" s="1"/>
  <c r="G1968" i="3" a="1"/>
  <c r="G1968" i="3" s="1"/>
  <c r="J1968" i="3" a="1"/>
  <c r="J1968" i="3" s="1"/>
  <c r="B1969" i="3" a="1"/>
  <c r="B1969" i="3" s="1"/>
  <c r="C1969" i="3" a="1"/>
  <c r="C1969" i="3" s="1"/>
  <c r="D1969" i="3" a="1"/>
  <c r="D1969" i="3" s="1"/>
  <c r="E1969" i="3" a="1"/>
  <c r="E1969" i="3" s="1"/>
  <c r="F1969" i="3" a="1"/>
  <c r="F1969" i="3" s="1"/>
  <c r="G1969" i="3" a="1"/>
  <c r="G1969" i="3" s="1"/>
  <c r="J1969" i="3" a="1"/>
  <c r="J1969" i="3" s="1"/>
  <c r="B1970" i="3" a="1"/>
  <c r="B1970" i="3" s="1"/>
  <c r="C1970" i="3" a="1"/>
  <c r="C1970" i="3" s="1"/>
  <c r="D1970" i="3" a="1"/>
  <c r="D1970" i="3" s="1"/>
  <c r="E1970" i="3" a="1"/>
  <c r="E1970" i="3" s="1"/>
  <c r="F1970" i="3" a="1"/>
  <c r="F1970" i="3" s="1"/>
  <c r="G1970" i="3" a="1"/>
  <c r="G1970" i="3" s="1"/>
  <c r="J1970" i="3" a="1"/>
  <c r="J1970" i="3" s="1"/>
  <c r="B1971" i="3" a="1"/>
  <c r="B1971" i="3" s="1"/>
  <c r="C1971" i="3" a="1"/>
  <c r="C1971" i="3" s="1"/>
  <c r="D1971" i="3" a="1"/>
  <c r="D1971" i="3" s="1"/>
  <c r="E1971" i="3" a="1"/>
  <c r="E1971" i="3" s="1"/>
  <c r="F1971" i="3" a="1"/>
  <c r="F1971" i="3" s="1"/>
  <c r="G1971" i="3" a="1"/>
  <c r="G1971" i="3" s="1"/>
  <c r="J1971" i="3" a="1"/>
  <c r="J1971" i="3" s="1"/>
  <c r="B1972" i="3" a="1"/>
  <c r="B1972" i="3" s="1"/>
  <c r="C1972" i="3" a="1"/>
  <c r="C1972" i="3" s="1"/>
  <c r="D1972" i="3" a="1"/>
  <c r="D1972" i="3" s="1"/>
  <c r="E1972" i="3" a="1"/>
  <c r="E1972" i="3" s="1"/>
  <c r="F1972" i="3" a="1"/>
  <c r="F1972" i="3" s="1"/>
  <c r="G1972" i="3" a="1"/>
  <c r="G1972" i="3" s="1"/>
  <c r="J1972" i="3" a="1"/>
  <c r="J1972" i="3" s="1"/>
  <c r="B1973" i="3" a="1"/>
  <c r="B1973" i="3" s="1"/>
  <c r="C1973" i="3" a="1"/>
  <c r="C1973" i="3" s="1"/>
  <c r="D1973" i="3" a="1"/>
  <c r="D1973" i="3" s="1"/>
  <c r="E1973" i="3" a="1"/>
  <c r="E1973" i="3" s="1"/>
  <c r="F1973" i="3" a="1"/>
  <c r="F1973" i="3" s="1"/>
  <c r="G1973" i="3" a="1"/>
  <c r="G1973" i="3" s="1"/>
  <c r="J1973" i="3" a="1"/>
  <c r="J1973" i="3" s="1"/>
  <c r="B1974" i="3" a="1"/>
  <c r="B1974" i="3" s="1"/>
  <c r="C1974" i="3" a="1"/>
  <c r="C1974" i="3" s="1"/>
  <c r="D1974" i="3" a="1"/>
  <c r="D1974" i="3" s="1"/>
  <c r="E1974" i="3" a="1"/>
  <c r="E1974" i="3" s="1"/>
  <c r="F1974" i="3" a="1"/>
  <c r="F1974" i="3" s="1"/>
  <c r="G1974" i="3" a="1"/>
  <c r="G1974" i="3" s="1"/>
  <c r="J1974" i="3" a="1"/>
  <c r="J1974" i="3" s="1"/>
  <c r="B1975" i="3" a="1"/>
  <c r="B1975" i="3" s="1"/>
  <c r="C1975" i="3" a="1"/>
  <c r="C1975" i="3" s="1"/>
  <c r="D1975" i="3" a="1"/>
  <c r="D1975" i="3" s="1"/>
  <c r="E1975" i="3" a="1"/>
  <c r="E1975" i="3" s="1"/>
  <c r="F1975" i="3" a="1"/>
  <c r="F1975" i="3" s="1"/>
  <c r="G1975" i="3" a="1"/>
  <c r="G1975" i="3" s="1"/>
  <c r="J1975" i="3" a="1"/>
  <c r="J1975" i="3" s="1"/>
  <c r="B1976" i="3" a="1"/>
  <c r="B1976" i="3" s="1"/>
  <c r="C1976" i="3" a="1"/>
  <c r="C1976" i="3" s="1"/>
  <c r="D1976" i="3" a="1"/>
  <c r="D1976" i="3" s="1"/>
  <c r="E1976" i="3" a="1"/>
  <c r="E1976" i="3" s="1"/>
  <c r="F1976" i="3" a="1"/>
  <c r="F1976" i="3" s="1"/>
  <c r="G1976" i="3" a="1"/>
  <c r="G1976" i="3" s="1"/>
  <c r="J1976" i="3" a="1"/>
  <c r="J1976" i="3" s="1"/>
  <c r="B1977" i="3" a="1"/>
  <c r="B1977" i="3" s="1"/>
  <c r="C1977" i="3" a="1"/>
  <c r="C1977" i="3" s="1"/>
  <c r="D1977" i="3" a="1"/>
  <c r="D1977" i="3" s="1"/>
  <c r="E1977" i="3" a="1"/>
  <c r="E1977" i="3" s="1"/>
  <c r="F1977" i="3" a="1"/>
  <c r="F1977" i="3" s="1"/>
  <c r="G1977" i="3" a="1"/>
  <c r="G1977" i="3" s="1"/>
  <c r="J1977" i="3" a="1"/>
  <c r="J1977" i="3" s="1"/>
  <c r="B1978" i="3" a="1"/>
  <c r="B1978" i="3" s="1"/>
  <c r="C1978" i="3" a="1"/>
  <c r="C1978" i="3" s="1"/>
  <c r="D1978" i="3" a="1"/>
  <c r="D1978" i="3" s="1"/>
  <c r="E1978" i="3" a="1"/>
  <c r="E1978" i="3" s="1"/>
  <c r="F1978" i="3" a="1"/>
  <c r="F1978" i="3" s="1"/>
  <c r="G1978" i="3" a="1"/>
  <c r="G1978" i="3" s="1"/>
  <c r="J1978" i="3" a="1"/>
  <c r="J1978" i="3" s="1"/>
  <c r="B1979" i="3" a="1"/>
  <c r="B1979" i="3" s="1"/>
  <c r="C1979" i="3" a="1"/>
  <c r="C1979" i="3" s="1"/>
  <c r="D1979" i="3" a="1"/>
  <c r="D1979" i="3" s="1"/>
  <c r="E1979" i="3" a="1"/>
  <c r="E1979" i="3" s="1"/>
  <c r="F1979" i="3" a="1"/>
  <c r="F1979" i="3" s="1"/>
  <c r="G1979" i="3" a="1"/>
  <c r="G1979" i="3" s="1"/>
  <c r="J1979" i="3" a="1"/>
  <c r="J1979" i="3" s="1"/>
  <c r="B1980" i="3" a="1"/>
  <c r="B1980" i="3" s="1"/>
  <c r="C1980" i="3" a="1"/>
  <c r="C1980" i="3" s="1"/>
  <c r="D1980" i="3" a="1"/>
  <c r="D1980" i="3" s="1"/>
  <c r="E1980" i="3" a="1"/>
  <c r="E1980" i="3" s="1"/>
  <c r="F1980" i="3" a="1"/>
  <c r="F1980" i="3" s="1"/>
  <c r="G1980" i="3" a="1"/>
  <c r="G1980" i="3" s="1"/>
  <c r="J1980" i="3" a="1"/>
  <c r="J1980" i="3" s="1"/>
  <c r="B1981" i="3" a="1"/>
  <c r="B1981" i="3" s="1"/>
  <c r="C1981" i="3" a="1"/>
  <c r="C1981" i="3" s="1"/>
  <c r="D1981" i="3" a="1"/>
  <c r="D1981" i="3" s="1"/>
  <c r="E1981" i="3" a="1"/>
  <c r="E1981" i="3" s="1"/>
  <c r="F1981" i="3" a="1"/>
  <c r="F1981" i="3" s="1"/>
  <c r="G1981" i="3" a="1"/>
  <c r="G1981" i="3" s="1"/>
  <c r="J1981" i="3" a="1"/>
  <c r="J1981" i="3" s="1"/>
  <c r="B1982" i="3" a="1"/>
  <c r="B1982" i="3" s="1"/>
  <c r="C1982" i="3" a="1"/>
  <c r="C1982" i="3" s="1"/>
  <c r="D1982" i="3" a="1"/>
  <c r="D1982" i="3" s="1"/>
  <c r="E1982" i="3" a="1"/>
  <c r="E1982" i="3" s="1"/>
  <c r="F1982" i="3" a="1"/>
  <c r="F1982" i="3" s="1"/>
  <c r="G1982" i="3" a="1"/>
  <c r="G1982" i="3" s="1"/>
  <c r="J1982" i="3" a="1"/>
  <c r="J1982" i="3" s="1"/>
  <c r="B1983" i="3" a="1"/>
  <c r="B1983" i="3" s="1"/>
  <c r="C1983" i="3" a="1"/>
  <c r="C1983" i="3" s="1"/>
  <c r="D1983" i="3" a="1"/>
  <c r="D1983" i="3" s="1"/>
  <c r="E1983" i="3" a="1"/>
  <c r="E1983" i="3" s="1"/>
  <c r="F1983" i="3" a="1"/>
  <c r="F1983" i="3" s="1"/>
  <c r="G1983" i="3" a="1"/>
  <c r="G1983" i="3" s="1"/>
  <c r="J1983" i="3" a="1"/>
  <c r="J1983" i="3" s="1"/>
  <c r="B1984" i="3" a="1"/>
  <c r="B1984" i="3" s="1"/>
  <c r="C1984" i="3" a="1"/>
  <c r="C1984" i="3" s="1"/>
  <c r="D1984" i="3" a="1"/>
  <c r="D1984" i="3" s="1"/>
  <c r="E1984" i="3" a="1"/>
  <c r="E1984" i="3" s="1"/>
  <c r="F1984" i="3" a="1"/>
  <c r="F1984" i="3" s="1"/>
  <c r="G1984" i="3" a="1"/>
  <c r="G1984" i="3" s="1"/>
  <c r="J1984" i="3" a="1"/>
  <c r="J1984" i="3" s="1"/>
  <c r="B1985" i="3" a="1"/>
  <c r="B1985" i="3" s="1"/>
  <c r="C1985" i="3" a="1"/>
  <c r="C1985" i="3" s="1"/>
  <c r="D1985" i="3" a="1"/>
  <c r="D1985" i="3" s="1"/>
  <c r="E1985" i="3" a="1"/>
  <c r="E1985" i="3" s="1"/>
  <c r="F1985" i="3" a="1"/>
  <c r="F1985" i="3" s="1"/>
  <c r="G1985" i="3" a="1"/>
  <c r="G1985" i="3" s="1"/>
  <c r="J1985" i="3" a="1"/>
  <c r="J1985" i="3" s="1"/>
  <c r="B1986" i="3" a="1"/>
  <c r="B1986" i="3" s="1"/>
  <c r="C1986" i="3" a="1"/>
  <c r="C1986" i="3" s="1"/>
  <c r="D1986" i="3" a="1"/>
  <c r="D1986" i="3" s="1"/>
  <c r="E1986" i="3" a="1"/>
  <c r="E1986" i="3" s="1"/>
  <c r="F1986" i="3" a="1"/>
  <c r="F1986" i="3" s="1"/>
  <c r="G1986" i="3" a="1"/>
  <c r="G1986" i="3" s="1"/>
  <c r="J1986" i="3" a="1"/>
  <c r="J1986" i="3" s="1"/>
  <c r="B1987" i="3" a="1"/>
  <c r="B1987" i="3" s="1"/>
  <c r="C1987" i="3" a="1"/>
  <c r="C1987" i="3" s="1"/>
  <c r="D1987" i="3" a="1"/>
  <c r="D1987" i="3" s="1"/>
  <c r="E1987" i="3" a="1"/>
  <c r="E1987" i="3" s="1"/>
  <c r="F1987" i="3" a="1"/>
  <c r="F1987" i="3" s="1"/>
  <c r="G1987" i="3" a="1"/>
  <c r="G1987" i="3" s="1"/>
  <c r="J1987" i="3" a="1"/>
  <c r="J1987" i="3" s="1"/>
  <c r="B1988" i="3" a="1"/>
  <c r="B1988" i="3" s="1"/>
  <c r="C1988" i="3" a="1"/>
  <c r="C1988" i="3" s="1"/>
  <c r="D1988" i="3" a="1"/>
  <c r="D1988" i="3" s="1"/>
  <c r="E1988" i="3" a="1"/>
  <c r="E1988" i="3" s="1"/>
  <c r="F1988" i="3" a="1"/>
  <c r="F1988" i="3" s="1"/>
  <c r="G1988" i="3" a="1"/>
  <c r="G1988" i="3" s="1"/>
  <c r="J1988" i="3" a="1"/>
  <c r="J1988" i="3" s="1"/>
  <c r="B1989" i="3" a="1"/>
  <c r="B1989" i="3" s="1"/>
  <c r="C1989" i="3" a="1"/>
  <c r="C1989" i="3" s="1"/>
  <c r="D1989" i="3" a="1"/>
  <c r="D1989" i="3" s="1"/>
  <c r="E1989" i="3" a="1"/>
  <c r="E1989" i="3" s="1"/>
  <c r="F1989" i="3" a="1"/>
  <c r="F1989" i="3" s="1"/>
  <c r="G1989" i="3" a="1"/>
  <c r="G1989" i="3" s="1"/>
  <c r="J1989" i="3" a="1"/>
  <c r="J1989" i="3" s="1"/>
  <c r="B1990" i="3" a="1"/>
  <c r="B1990" i="3" s="1"/>
  <c r="C1990" i="3" a="1"/>
  <c r="C1990" i="3" s="1"/>
  <c r="D1990" i="3" a="1"/>
  <c r="D1990" i="3" s="1"/>
  <c r="E1990" i="3" a="1"/>
  <c r="E1990" i="3" s="1"/>
  <c r="F1990" i="3" a="1"/>
  <c r="F1990" i="3" s="1"/>
  <c r="G1990" i="3" a="1"/>
  <c r="G1990" i="3" s="1"/>
  <c r="J1990" i="3" a="1"/>
  <c r="J1990" i="3" s="1"/>
  <c r="B1991" i="3" a="1"/>
  <c r="B1991" i="3" s="1"/>
  <c r="C1991" i="3" a="1"/>
  <c r="C1991" i="3" s="1"/>
  <c r="D1991" i="3" a="1"/>
  <c r="D1991" i="3" s="1"/>
  <c r="E1991" i="3" a="1"/>
  <c r="E1991" i="3" s="1"/>
  <c r="F1991" i="3" a="1"/>
  <c r="F1991" i="3" s="1"/>
  <c r="G1991" i="3" a="1"/>
  <c r="G1991" i="3" s="1"/>
  <c r="J1991" i="3" a="1"/>
  <c r="J1991" i="3" s="1"/>
  <c r="B1992" i="3" a="1"/>
  <c r="B1992" i="3" s="1"/>
  <c r="C1992" i="3" a="1"/>
  <c r="C1992" i="3" s="1"/>
  <c r="D1992" i="3" a="1"/>
  <c r="D1992" i="3" s="1"/>
  <c r="E1992" i="3" a="1"/>
  <c r="E1992" i="3" s="1"/>
  <c r="F1992" i="3" a="1"/>
  <c r="F1992" i="3" s="1"/>
  <c r="G1992" i="3" a="1"/>
  <c r="G1992" i="3" s="1"/>
  <c r="J1992" i="3" a="1"/>
  <c r="J1992" i="3" s="1"/>
  <c r="B1993" i="3" a="1"/>
  <c r="B1993" i="3" s="1"/>
  <c r="C1993" i="3" a="1"/>
  <c r="C1993" i="3" s="1"/>
  <c r="D1993" i="3" a="1"/>
  <c r="D1993" i="3" s="1"/>
  <c r="E1993" i="3" a="1"/>
  <c r="E1993" i="3" s="1"/>
  <c r="F1993" i="3" a="1"/>
  <c r="F1993" i="3" s="1"/>
  <c r="G1993" i="3" a="1"/>
  <c r="G1993" i="3" s="1"/>
  <c r="J1993" i="3" a="1"/>
  <c r="J1993" i="3" s="1"/>
  <c r="B1994" i="3" a="1"/>
  <c r="B1994" i="3" s="1"/>
  <c r="C1994" i="3" a="1"/>
  <c r="C1994" i="3" s="1"/>
  <c r="D1994" i="3" a="1"/>
  <c r="D1994" i="3" s="1"/>
  <c r="E1994" i="3" a="1"/>
  <c r="E1994" i="3" s="1"/>
  <c r="F1994" i="3" a="1"/>
  <c r="F1994" i="3" s="1"/>
  <c r="G1994" i="3" a="1"/>
  <c r="G1994" i="3" s="1"/>
  <c r="J1994" i="3" a="1"/>
  <c r="J1994" i="3" s="1"/>
  <c r="B1995" i="3" a="1"/>
  <c r="B1995" i="3" s="1"/>
  <c r="C1995" i="3" a="1"/>
  <c r="C1995" i="3" s="1"/>
  <c r="D1995" i="3" a="1"/>
  <c r="D1995" i="3" s="1"/>
  <c r="E1995" i="3" a="1"/>
  <c r="E1995" i="3" s="1"/>
  <c r="F1995" i="3" a="1"/>
  <c r="F1995" i="3" s="1"/>
  <c r="G1995" i="3" a="1"/>
  <c r="G1995" i="3" s="1"/>
  <c r="J1995" i="3" a="1"/>
  <c r="J1995" i="3" s="1"/>
  <c r="B1996" i="3" a="1"/>
  <c r="B1996" i="3" s="1"/>
  <c r="C1996" i="3" a="1"/>
  <c r="C1996" i="3" s="1"/>
  <c r="D1996" i="3" a="1"/>
  <c r="D1996" i="3" s="1"/>
  <c r="E1996" i="3" a="1"/>
  <c r="E1996" i="3" s="1"/>
  <c r="F1996" i="3" a="1"/>
  <c r="F1996" i="3" s="1"/>
  <c r="G1996" i="3" a="1"/>
  <c r="G1996" i="3" s="1"/>
  <c r="J1996" i="3" a="1"/>
  <c r="J1996" i="3" s="1"/>
  <c r="B1997" i="3" a="1"/>
  <c r="B1997" i="3" s="1"/>
  <c r="C1997" i="3" a="1"/>
  <c r="C1997" i="3" s="1"/>
  <c r="D1997" i="3" a="1"/>
  <c r="D1997" i="3" s="1"/>
  <c r="E1997" i="3" a="1"/>
  <c r="E1997" i="3" s="1"/>
  <c r="F1997" i="3" a="1"/>
  <c r="F1997" i="3" s="1"/>
  <c r="G1997" i="3" a="1"/>
  <c r="G1997" i="3" s="1"/>
  <c r="J1997" i="3" a="1"/>
  <c r="J1997" i="3" s="1"/>
  <c r="B1998" i="3" a="1"/>
  <c r="B1998" i="3" s="1"/>
  <c r="C1998" i="3" a="1"/>
  <c r="C1998" i="3" s="1"/>
  <c r="D1998" i="3" a="1"/>
  <c r="D1998" i="3" s="1"/>
  <c r="E1998" i="3" a="1"/>
  <c r="E1998" i="3" s="1"/>
  <c r="F1998" i="3" a="1"/>
  <c r="F1998" i="3" s="1"/>
  <c r="G1998" i="3" a="1"/>
  <c r="G1998" i="3" s="1"/>
  <c r="J1998" i="3" a="1"/>
  <c r="J1998" i="3" s="1"/>
  <c r="B1999" i="3" a="1"/>
  <c r="B1999" i="3" s="1"/>
  <c r="C1999" i="3" a="1"/>
  <c r="C1999" i="3" s="1"/>
  <c r="D1999" i="3" a="1"/>
  <c r="D1999" i="3" s="1"/>
  <c r="E1999" i="3" a="1"/>
  <c r="E1999" i="3" s="1"/>
  <c r="F1999" i="3" a="1"/>
  <c r="F1999" i="3" s="1"/>
  <c r="G1999" i="3" a="1"/>
  <c r="G1999" i="3" s="1"/>
  <c r="J1999" i="3" a="1"/>
  <c r="J1999" i="3" s="1"/>
  <c r="B2000" i="3" a="1"/>
  <c r="B2000" i="3" s="1"/>
  <c r="C2000" i="3" a="1"/>
  <c r="C2000" i="3" s="1"/>
  <c r="D2000" i="3" a="1"/>
  <c r="D2000" i="3" s="1"/>
  <c r="E2000" i="3" a="1"/>
  <c r="E2000" i="3" s="1"/>
  <c r="F2000" i="3" a="1"/>
  <c r="F2000" i="3" s="1"/>
  <c r="G2000" i="3" a="1"/>
  <c r="G2000" i="3" s="1"/>
  <c r="J2000" i="3" a="1"/>
  <c r="J2000" i="3" s="1"/>
  <c r="B2001" i="3" a="1"/>
  <c r="B2001" i="3" s="1"/>
  <c r="C2001" i="3" a="1"/>
  <c r="C2001" i="3" s="1"/>
  <c r="D2001" i="3" a="1"/>
  <c r="D2001" i="3" s="1"/>
  <c r="E2001" i="3" a="1"/>
  <c r="E2001" i="3" s="1"/>
  <c r="F2001" i="3" a="1"/>
  <c r="F2001" i="3" s="1"/>
  <c r="G2001" i="3" a="1"/>
  <c r="G2001" i="3" s="1"/>
  <c r="J2001" i="3" a="1"/>
  <c r="J2001" i="3" s="1"/>
  <c r="B2002" i="3" a="1"/>
  <c r="B2002" i="3" s="1"/>
  <c r="C2002" i="3" a="1"/>
  <c r="C2002" i="3" s="1"/>
  <c r="D2002" i="3" a="1"/>
  <c r="D2002" i="3" s="1"/>
  <c r="E2002" i="3" a="1"/>
  <c r="E2002" i="3" s="1"/>
  <c r="F2002" i="3" a="1"/>
  <c r="F2002" i="3" s="1"/>
  <c r="G2002" i="3" a="1"/>
  <c r="G2002" i="3" s="1"/>
  <c r="J2002" i="3" a="1"/>
  <c r="J2002" i="3" s="1"/>
  <c r="B2003" i="3" a="1"/>
  <c r="B2003" i="3" s="1"/>
  <c r="C2003" i="3" a="1"/>
  <c r="C2003" i="3" s="1"/>
  <c r="D2003" i="3" a="1"/>
  <c r="D2003" i="3" s="1"/>
  <c r="E2003" i="3" a="1"/>
  <c r="E2003" i="3" s="1"/>
  <c r="F2003" i="3" a="1"/>
  <c r="F2003" i="3" s="1"/>
  <c r="G2003" i="3" a="1"/>
  <c r="G2003" i="3" s="1"/>
  <c r="J2003" i="3" a="1"/>
  <c r="J2003" i="3" s="1"/>
  <c r="B2004" i="3" a="1"/>
  <c r="B2004" i="3" s="1"/>
  <c r="C2004" i="3" a="1"/>
  <c r="C2004" i="3" s="1"/>
  <c r="D2004" i="3" a="1"/>
  <c r="D2004" i="3" s="1"/>
  <c r="E2004" i="3" a="1"/>
  <c r="E2004" i="3" s="1"/>
  <c r="F2004" i="3" a="1"/>
  <c r="F2004" i="3" s="1"/>
  <c r="G2004" i="3" a="1"/>
  <c r="G2004" i="3" s="1"/>
  <c r="J2004" i="3" a="1"/>
  <c r="J2004" i="3" s="1"/>
  <c r="B2005" i="3" a="1"/>
  <c r="B2005" i="3" s="1"/>
  <c r="C2005" i="3" a="1"/>
  <c r="C2005" i="3" s="1"/>
  <c r="D2005" i="3" a="1"/>
  <c r="D2005" i="3" s="1"/>
  <c r="E2005" i="3" a="1"/>
  <c r="E2005" i="3" s="1"/>
  <c r="F2005" i="3" a="1"/>
  <c r="F2005" i="3" s="1"/>
  <c r="G2005" i="3" a="1"/>
  <c r="G2005" i="3" s="1"/>
  <c r="J2005" i="3" a="1"/>
  <c r="J2005" i="3" s="1"/>
  <c r="B2006" i="3" a="1"/>
  <c r="B2006" i="3" s="1"/>
  <c r="C2006" i="3" a="1"/>
  <c r="C2006" i="3" s="1"/>
  <c r="D2006" i="3" a="1"/>
  <c r="D2006" i="3" s="1"/>
  <c r="E2006" i="3" a="1"/>
  <c r="E2006" i="3" s="1"/>
  <c r="F2006" i="3" a="1"/>
  <c r="F2006" i="3" s="1"/>
  <c r="G2006" i="3" a="1"/>
  <c r="G2006" i="3" s="1"/>
  <c r="J2006" i="3" a="1"/>
  <c r="J2006" i="3" s="1"/>
  <c r="B2007" i="3" a="1"/>
  <c r="B2007" i="3" s="1"/>
  <c r="C2007" i="3" a="1"/>
  <c r="C2007" i="3" s="1"/>
  <c r="D2007" i="3" a="1"/>
  <c r="D2007" i="3" s="1"/>
  <c r="E2007" i="3" a="1"/>
  <c r="E2007" i="3" s="1"/>
  <c r="F2007" i="3" a="1"/>
  <c r="F2007" i="3" s="1"/>
  <c r="G2007" i="3" a="1"/>
  <c r="G2007" i="3" s="1"/>
  <c r="J2007" i="3" a="1"/>
  <c r="J2007" i="3" s="1"/>
  <c r="B2008" i="3" a="1"/>
  <c r="B2008" i="3" s="1"/>
  <c r="C2008" i="3" a="1"/>
  <c r="C2008" i="3" s="1"/>
  <c r="D2008" i="3" a="1"/>
  <c r="D2008" i="3" s="1"/>
  <c r="E2008" i="3" a="1"/>
  <c r="E2008" i="3" s="1"/>
  <c r="F2008" i="3" a="1"/>
  <c r="F2008" i="3" s="1"/>
  <c r="G2008" i="3" a="1"/>
  <c r="G2008" i="3" s="1"/>
  <c r="J2008" i="3" a="1"/>
  <c r="J2008" i="3" s="1"/>
  <c r="B2009" i="3" a="1"/>
  <c r="B2009" i="3" s="1"/>
  <c r="C2009" i="3" a="1"/>
  <c r="C2009" i="3" s="1"/>
  <c r="D2009" i="3" a="1"/>
  <c r="D2009" i="3" s="1"/>
  <c r="E2009" i="3" a="1"/>
  <c r="E2009" i="3" s="1"/>
  <c r="F2009" i="3" a="1"/>
  <c r="F2009" i="3" s="1"/>
  <c r="G2009" i="3" a="1"/>
  <c r="G2009" i="3" s="1"/>
  <c r="J2009" i="3" a="1"/>
  <c r="J2009" i="3" s="1"/>
  <c r="B2010" i="3" a="1"/>
  <c r="B2010" i="3" s="1"/>
  <c r="C2010" i="3" a="1"/>
  <c r="C2010" i="3" s="1"/>
  <c r="D2010" i="3" a="1"/>
  <c r="D2010" i="3" s="1"/>
  <c r="E2010" i="3" a="1"/>
  <c r="E2010" i="3" s="1"/>
  <c r="F2010" i="3" a="1"/>
  <c r="F2010" i="3" s="1"/>
  <c r="G2010" i="3" a="1"/>
  <c r="G2010" i="3" s="1"/>
  <c r="J2010" i="3" a="1"/>
  <c r="J2010" i="3" s="1"/>
  <c r="B2011" i="3" a="1"/>
  <c r="B2011" i="3" s="1"/>
  <c r="C2011" i="3" a="1"/>
  <c r="C2011" i="3" s="1"/>
  <c r="D2011" i="3" a="1"/>
  <c r="D2011" i="3" s="1"/>
  <c r="E2011" i="3" a="1"/>
  <c r="E2011" i="3" s="1"/>
  <c r="F2011" i="3" a="1"/>
  <c r="F2011" i="3" s="1"/>
  <c r="G2011" i="3" a="1"/>
  <c r="G2011" i="3" s="1"/>
  <c r="J2011" i="3" a="1"/>
  <c r="J2011" i="3" s="1"/>
  <c r="B2012" i="3" a="1"/>
  <c r="B2012" i="3" s="1"/>
  <c r="C2012" i="3" a="1"/>
  <c r="C2012" i="3" s="1"/>
  <c r="D2012" i="3" a="1"/>
  <c r="D2012" i="3" s="1"/>
  <c r="E2012" i="3" a="1"/>
  <c r="E2012" i="3" s="1"/>
  <c r="F2012" i="3" a="1"/>
  <c r="F2012" i="3" s="1"/>
  <c r="G2012" i="3" a="1"/>
  <c r="G2012" i="3" s="1"/>
  <c r="J2012" i="3" a="1"/>
  <c r="J2012" i="3" s="1"/>
  <c r="B2013" i="3" a="1"/>
  <c r="B2013" i="3" s="1"/>
  <c r="C2013" i="3" a="1"/>
  <c r="C2013" i="3" s="1"/>
  <c r="D2013" i="3" a="1"/>
  <c r="D2013" i="3" s="1"/>
  <c r="E2013" i="3" a="1"/>
  <c r="E2013" i="3" s="1"/>
  <c r="F2013" i="3" a="1"/>
  <c r="F2013" i="3" s="1"/>
  <c r="G2013" i="3" a="1"/>
  <c r="G2013" i="3" s="1"/>
  <c r="J2013" i="3" a="1"/>
  <c r="J2013" i="3" s="1"/>
  <c r="B2014" i="3" a="1"/>
  <c r="B2014" i="3" s="1"/>
  <c r="C2014" i="3" a="1"/>
  <c r="C2014" i="3" s="1"/>
  <c r="D2014" i="3" a="1"/>
  <c r="D2014" i="3" s="1"/>
  <c r="E2014" i="3" a="1"/>
  <c r="E2014" i="3" s="1"/>
  <c r="F2014" i="3" a="1"/>
  <c r="F2014" i="3" s="1"/>
  <c r="G2014" i="3" a="1"/>
  <c r="G2014" i="3" s="1"/>
  <c r="J2014" i="3" a="1"/>
  <c r="J2014" i="3" s="1"/>
  <c r="B2015" i="3" a="1"/>
  <c r="B2015" i="3" s="1"/>
  <c r="C2015" i="3" a="1"/>
  <c r="C2015" i="3" s="1"/>
  <c r="D2015" i="3" a="1"/>
  <c r="D2015" i="3" s="1"/>
  <c r="E2015" i="3" a="1"/>
  <c r="E2015" i="3" s="1"/>
  <c r="F2015" i="3" a="1"/>
  <c r="F2015" i="3" s="1"/>
  <c r="G2015" i="3" a="1"/>
  <c r="G2015" i="3" s="1"/>
  <c r="J2015" i="3" a="1"/>
  <c r="J2015" i="3" s="1"/>
  <c r="B2016" i="3" a="1"/>
  <c r="B2016" i="3" s="1"/>
  <c r="C2016" i="3" a="1"/>
  <c r="C2016" i="3" s="1"/>
  <c r="D2016" i="3" a="1"/>
  <c r="D2016" i="3" s="1"/>
  <c r="E2016" i="3" a="1"/>
  <c r="E2016" i="3" s="1"/>
  <c r="F2016" i="3" a="1"/>
  <c r="F2016" i="3" s="1"/>
  <c r="G2016" i="3" a="1"/>
  <c r="G2016" i="3" s="1"/>
  <c r="J2016" i="3" a="1"/>
  <c r="J2016" i="3" s="1"/>
  <c r="B2017" i="3" a="1"/>
  <c r="B2017" i="3" s="1"/>
  <c r="C2017" i="3" a="1"/>
  <c r="C2017" i="3" s="1"/>
  <c r="D2017" i="3" a="1"/>
  <c r="D2017" i="3" s="1"/>
  <c r="E2017" i="3" a="1"/>
  <c r="E2017" i="3" s="1"/>
  <c r="F2017" i="3" a="1"/>
  <c r="F2017" i="3" s="1"/>
  <c r="G2017" i="3" a="1"/>
  <c r="G2017" i="3" s="1"/>
  <c r="J2017" i="3" a="1"/>
  <c r="J2017" i="3" s="1"/>
  <c r="B2018" i="3" a="1"/>
  <c r="B2018" i="3" s="1"/>
  <c r="C2018" i="3" a="1"/>
  <c r="C2018" i="3" s="1"/>
  <c r="D2018" i="3" a="1"/>
  <c r="D2018" i="3" s="1"/>
  <c r="E2018" i="3" a="1"/>
  <c r="E2018" i="3" s="1"/>
  <c r="F2018" i="3" a="1"/>
  <c r="F2018" i="3" s="1"/>
  <c r="G2018" i="3" a="1"/>
  <c r="G2018" i="3" s="1"/>
  <c r="J2018" i="3" a="1"/>
  <c r="J2018" i="3" s="1"/>
  <c r="B2019" i="3" a="1"/>
  <c r="B2019" i="3" s="1"/>
  <c r="C2019" i="3" a="1"/>
  <c r="C2019" i="3" s="1"/>
  <c r="D2019" i="3" a="1"/>
  <c r="D2019" i="3" s="1"/>
  <c r="E2019" i="3" a="1"/>
  <c r="E2019" i="3" s="1"/>
  <c r="F2019" i="3" a="1"/>
  <c r="F2019" i="3" s="1"/>
  <c r="G2019" i="3" a="1"/>
  <c r="G2019" i="3" s="1"/>
  <c r="J2019" i="3" a="1"/>
  <c r="J2019" i="3" s="1"/>
  <c r="B2020" i="3" a="1"/>
  <c r="B2020" i="3" s="1"/>
  <c r="C2020" i="3" a="1"/>
  <c r="C2020" i="3" s="1"/>
  <c r="D2020" i="3" a="1"/>
  <c r="D2020" i="3" s="1"/>
  <c r="E2020" i="3" a="1"/>
  <c r="E2020" i="3" s="1"/>
  <c r="F2020" i="3" a="1"/>
  <c r="F2020" i="3" s="1"/>
  <c r="G2020" i="3" a="1"/>
  <c r="G2020" i="3" s="1"/>
  <c r="J2020" i="3" a="1"/>
  <c r="J2020" i="3" s="1"/>
  <c r="B2021" i="3" a="1"/>
  <c r="B2021" i="3" s="1"/>
  <c r="C2021" i="3" a="1"/>
  <c r="C2021" i="3" s="1"/>
  <c r="D2021" i="3" a="1"/>
  <c r="D2021" i="3" s="1"/>
  <c r="E2021" i="3" a="1"/>
  <c r="E2021" i="3" s="1"/>
  <c r="F2021" i="3" a="1"/>
  <c r="F2021" i="3" s="1"/>
  <c r="G2021" i="3" a="1"/>
  <c r="G2021" i="3" s="1"/>
  <c r="J2021" i="3" a="1"/>
  <c r="J2021" i="3" s="1"/>
  <c r="B2022" i="3" a="1"/>
  <c r="B2022" i="3" s="1"/>
  <c r="C2022" i="3" a="1"/>
  <c r="C2022" i="3" s="1"/>
  <c r="D2022" i="3" a="1"/>
  <c r="D2022" i="3" s="1"/>
  <c r="E2022" i="3" a="1"/>
  <c r="E2022" i="3" s="1"/>
  <c r="F2022" i="3" a="1"/>
  <c r="F2022" i="3" s="1"/>
  <c r="G2022" i="3" a="1"/>
  <c r="G2022" i="3" s="1"/>
  <c r="J2022" i="3" a="1"/>
  <c r="J2022" i="3" s="1"/>
  <c r="B2023" i="3" a="1"/>
  <c r="B2023" i="3" s="1"/>
  <c r="C2023" i="3" a="1"/>
  <c r="C2023" i="3" s="1"/>
  <c r="D2023" i="3" a="1"/>
  <c r="D2023" i="3" s="1"/>
  <c r="E2023" i="3" a="1"/>
  <c r="E2023" i="3" s="1"/>
  <c r="F2023" i="3" a="1"/>
  <c r="F2023" i="3" s="1"/>
  <c r="G2023" i="3" a="1"/>
  <c r="G2023" i="3" s="1"/>
  <c r="J2023" i="3" a="1"/>
  <c r="J2023" i="3" s="1"/>
  <c r="B2024" i="3" a="1"/>
  <c r="B2024" i="3" s="1"/>
  <c r="C2024" i="3" a="1"/>
  <c r="C2024" i="3" s="1"/>
  <c r="D2024" i="3" a="1"/>
  <c r="D2024" i="3" s="1"/>
  <c r="E2024" i="3" a="1"/>
  <c r="E2024" i="3" s="1"/>
  <c r="F2024" i="3" a="1"/>
  <c r="F2024" i="3" s="1"/>
  <c r="G2024" i="3" a="1"/>
  <c r="G2024" i="3" s="1"/>
  <c r="J2024" i="3" a="1"/>
  <c r="J2024" i="3" s="1"/>
  <c r="B2025" i="3" a="1"/>
  <c r="B2025" i="3" s="1"/>
  <c r="C2025" i="3" a="1"/>
  <c r="C2025" i="3" s="1"/>
  <c r="D2025" i="3" a="1"/>
  <c r="D2025" i="3" s="1"/>
  <c r="E2025" i="3" a="1"/>
  <c r="E2025" i="3" s="1"/>
  <c r="F2025" i="3" a="1"/>
  <c r="F2025" i="3" s="1"/>
  <c r="G2025" i="3" a="1"/>
  <c r="G2025" i="3" s="1"/>
  <c r="J2025" i="3" a="1"/>
  <c r="J2025" i="3" s="1"/>
  <c r="B2026" i="3" a="1"/>
  <c r="B2026" i="3" s="1"/>
  <c r="C2026" i="3" a="1"/>
  <c r="C2026" i="3" s="1"/>
  <c r="D2026" i="3" a="1"/>
  <c r="D2026" i="3" s="1"/>
  <c r="E2026" i="3" a="1"/>
  <c r="E2026" i="3" s="1"/>
  <c r="F2026" i="3" a="1"/>
  <c r="F2026" i="3" s="1"/>
  <c r="G2026" i="3" a="1"/>
  <c r="G2026" i="3" s="1"/>
  <c r="J2026" i="3" a="1"/>
  <c r="J2026" i="3" s="1"/>
  <c r="B2027" i="3" a="1"/>
  <c r="B2027" i="3" s="1"/>
  <c r="C2027" i="3" a="1"/>
  <c r="C2027" i="3" s="1"/>
  <c r="D2027" i="3" a="1"/>
  <c r="D2027" i="3" s="1"/>
  <c r="E2027" i="3" a="1"/>
  <c r="E2027" i="3" s="1"/>
  <c r="F2027" i="3" a="1"/>
  <c r="F2027" i="3" s="1"/>
  <c r="G2027" i="3" a="1"/>
  <c r="G2027" i="3" s="1"/>
  <c r="J2027" i="3" a="1"/>
  <c r="J2027" i="3" s="1"/>
  <c r="B2028" i="3" a="1"/>
  <c r="B2028" i="3" s="1"/>
  <c r="C2028" i="3" a="1"/>
  <c r="C2028" i="3" s="1"/>
  <c r="D2028" i="3" a="1"/>
  <c r="D2028" i="3" s="1"/>
  <c r="E2028" i="3" a="1"/>
  <c r="E2028" i="3" s="1"/>
  <c r="F2028" i="3" a="1"/>
  <c r="F2028" i="3" s="1"/>
  <c r="G2028" i="3" a="1"/>
  <c r="G2028" i="3" s="1"/>
  <c r="J2028" i="3" a="1"/>
  <c r="J2028" i="3" s="1"/>
  <c r="B2029" i="3" a="1"/>
  <c r="B2029" i="3" s="1"/>
  <c r="C2029" i="3" a="1"/>
  <c r="C2029" i="3" s="1"/>
  <c r="D2029" i="3" a="1"/>
  <c r="D2029" i="3" s="1"/>
  <c r="E2029" i="3" a="1"/>
  <c r="E2029" i="3" s="1"/>
  <c r="F2029" i="3" a="1"/>
  <c r="F2029" i="3" s="1"/>
  <c r="G2029" i="3" a="1"/>
  <c r="G2029" i="3" s="1"/>
  <c r="J2029" i="3" a="1"/>
  <c r="J2029" i="3" s="1"/>
  <c r="B2030" i="3" a="1"/>
  <c r="B2030" i="3" s="1"/>
  <c r="C2030" i="3" a="1"/>
  <c r="C2030" i="3" s="1"/>
  <c r="D2030" i="3" a="1"/>
  <c r="D2030" i="3" s="1"/>
  <c r="E2030" i="3" a="1"/>
  <c r="E2030" i="3" s="1"/>
  <c r="F2030" i="3" a="1"/>
  <c r="F2030" i="3" s="1"/>
  <c r="G2030" i="3" a="1"/>
  <c r="G2030" i="3" s="1"/>
  <c r="J2030" i="3" a="1"/>
  <c r="J2030" i="3" s="1"/>
  <c r="B2031" i="3" a="1"/>
  <c r="B2031" i="3" s="1"/>
  <c r="C2031" i="3" a="1"/>
  <c r="C2031" i="3" s="1"/>
  <c r="D2031" i="3" a="1"/>
  <c r="D2031" i="3" s="1"/>
  <c r="E2031" i="3" a="1"/>
  <c r="E2031" i="3" s="1"/>
  <c r="F2031" i="3" a="1"/>
  <c r="F2031" i="3" s="1"/>
  <c r="G2031" i="3" a="1"/>
  <c r="G2031" i="3" s="1"/>
  <c r="J2031" i="3" a="1"/>
  <c r="J2031" i="3" s="1"/>
  <c r="B2032" i="3" a="1"/>
  <c r="B2032" i="3" s="1"/>
  <c r="C2032" i="3" a="1"/>
  <c r="C2032" i="3" s="1"/>
  <c r="D2032" i="3" a="1"/>
  <c r="D2032" i="3" s="1"/>
  <c r="E2032" i="3" a="1"/>
  <c r="E2032" i="3" s="1"/>
  <c r="F2032" i="3" a="1"/>
  <c r="F2032" i="3" s="1"/>
  <c r="G2032" i="3" a="1"/>
  <c r="G2032" i="3" s="1"/>
  <c r="J2032" i="3" a="1"/>
  <c r="J2032" i="3" s="1"/>
  <c r="B2033" i="3" a="1"/>
  <c r="B2033" i="3" s="1"/>
  <c r="C2033" i="3" a="1"/>
  <c r="C2033" i="3" s="1"/>
  <c r="D2033" i="3" a="1"/>
  <c r="D2033" i="3" s="1"/>
  <c r="E2033" i="3" a="1"/>
  <c r="E2033" i="3" s="1"/>
  <c r="F2033" i="3" a="1"/>
  <c r="F2033" i="3" s="1"/>
  <c r="G2033" i="3" a="1"/>
  <c r="G2033" i="3" s="1"/>
  <c r="J2033" i="3" a="1"/>
  <c r="J2033" i="3" s="1"/>
  <c r="B2034" i="3" a="1"/>
  <c r="B2034" i="3" s="1"/>
  <c r="C2034" i="3" a="1"/>
  <c r="C2034" i="3" s="1"/>
  <c r="D2034" i="3" a="1"/>
  <c r="D2034" i="3" s="1"/>
  <c r="E2034" i="3" a="1"/>
  <c r="E2034" i="3" s="1"/>
  <c r="F2034" i="3" a="1"/>
  <c r="F2034" i="3" s="1"/>
  <c r="G2034" i="3" a="1"/>
  <c r="G2034" i="3" s="1"/>
  <c r="J2034" i="3" a="1"/>
  <c r="J2034" i="3" s="1"/>
  <c r="B2035" i="3" a="1"/>
  <c r="B2035" i="3" s="1"/>
  <c r="C2035" i="3" a="1"/>
  <c r="C2035" i="3" s="1"/>
  <c r="D2035" i="3" a="1"/>
  <c r="D2035" i="3" s="1"/>
  <c r="E2035" i="3" a="1"/>
  <c r="E2035" i="3" s="1"/>
  <c r="F2035" i="3" a="1"/>
  <c r="F2035" i="3" s="1"/>
  <c r="G2035" i="3" a="1"/>
  <c r="G2035" i="3" s="1"/>
  <c r="J2035" i="3" a="1"/>
  <c r="J2035" i="3" s="1"/>
  <c r="B2036" i="3" a="1"/>
  <c r="B2036" i="3" s="1"/>
  <c r="C2036" i="3" a="1"/>
  <c r="C2036" i="3" s="1"/>
  <c r="D2036" i="3" a="1"/>
  <c r="D2036" i="3" s="1"/>
  <c r="E2036" i="3" a="1"/>
  <c r="E2036" i="3" s="1"/>
  <c r="F2036" i="3" a="1"/>
  <c r="F2036" i="3" s="1"/>
  <c r="G2036" i="3" a="1"/>
  <c r="G2036" i="3" s="1"/>
  <c r="J2036" i="3" a="1"/>
  <c r="J2036" i="3" s="1"/>
  <c r="B2037" i="3" a="1"/>
  <c r="B2037" i="3" s="1"/>
  <c r="C2037" i="3" a="1"/>
  <c r="C2037" i="3" s="1"/>
  <c r="D2037" i="3" a="1"/>
  <c r="D2037" i="3" s="1"/>
  <c r="E2037" i="3" a="1"/>
  <c r="E2037" i="3" s="1"/>
  <c r="F2037" i="3" a="1"/>
  <c r="F2037" i="3" s="1"/>
  <c r="G2037" i="3" a="1"/>
  <c r="G2037" i="3" s="1"/>
  <c r="J2037" i="3" a="1"/>
  <c r="J2037" i="3" s="1"/>
  <c r="B2038" i="3" a="1"/>
  <c r="B2038" i="3" s="1"/>
  <c r="C2038" i="3" a="1"/>
  <c r="C2038" i="3" s="1"/>
  <c r="D2038" i="3" a="1"/>
  <c r="D2038" i="3" s="1"/>
  <c r="E2038" i="3" a="1"/>
  <c r="E2038" i="3" s="1"/>
  <c r="F2038" i="3" a="1"/>
  <c r="F2038" i="3" s="1"/>
  <c r="G2038" i="3" a="1"/>
  <c r="G2038" i="3" s="1"/>
  <c r="J2038" i="3" a="1"/>
  <c r="J2038" i="3" s="1"/>
  <c r="B2039" i="3" a="1"/>
  <c r="B2039" i="3" s="1"/>
  <c r="C2039" i="3" a="1"/>
  <c r="C2039" i="3" s="1"/>
  <c r="D2039" i="3" a="1"/>
  <c r="D2039" i="3" s="1"/>
  <c r="E2039" i="3" a="1"/>
  <c r="E2039" i="3" s="1"/>
  <c r="F2039" i="3" a="1"/>
  <c r="F2039" i="3" s="1"/>
  <c r="G2039" i="3" a="1"/>
  <c r="G2039" i="3" s="1"/>
  <c r="J2039" i="3" a="1"/>
  <c r="J2039" i="3" s="1"/>
  <c r="B2040" i="3" a="1"/>
  <c r="B2040" i="3" s="1"/>
  <c r="C2040" i="3" a="1"/>
  <c r="C2040" i="3" s="1"/>
  <c r="D2040" i="3" a="1"/>
  <c r="D2040" i="3" s="1"/>
  <c r="E2040" i="3" a="1"/>
  <c r="E2040" i="3" s="1"/>
  <c r="F2040" i="3" a="1"/>
  <c r="F2040" i="3" s="1"/>
  <c r="G2040" i="3" a="1"/>
  <c r="G2040" i="3" s="1"/>
  <c r="J2040" i="3" a="1"/>
  <c r="J2040" i="3" s="1"/>
  <c r="B2041" i="3" a="1"/>
  <c r="B2041" i="3" s="1"/>
  <c r="C2041" i="3" a="1"/>
  <c r="C2041" i="3" s="1"/>
  <c r="D2041" i="3" a="1"/>
  <c r="D2041" i="3" s="1"/>
  <c r="E2041" i="3" a="1"/>
  <c r="E2041" i="3" s="1"/>
  <c r="F2041" i="3" a="1"/>
  <c r="F2041" i="3" s="1"/>
  <c r="G2041" i="3" a="1"/>
  <c r="G2041" i="3" s="1"/>
  <c r="J2041" i="3" a="1"/>
  <c r="J2041" i="3" s="1"/>
  <c r="B2042" i="3" a="1"/>
  <c r="B2042" i="3" s="1"/>
  <c r="C2042" i="3" a="1"/>
  <c r="C2042" i="3" s="1"/>
  <c r="D2042" i="3" a="1"/>
  <c r="D2042" i="3" s="1"/>
  <c r="E2042" i="3" a="1"/>
  <c r="E2042" i="3" s="1"/>
  <c r="F2042" i="3" a="1"/>
  <c r="F2042" i="3" s="1"/>
  <c r="G2042" i="3" a="1"/>
  <c r="G2042" i="3" s="1"/>
  <c r="J2042" i="3" a="1"/>
  <c r="J2042" i="3" s="1"/>
  <c r="B2043" i="3" a="1"/>
  <c r="B2043" i="3" s="1"/>
  <c r="C2043" i="3" a="1"/>
  <c r="C2043" i="3" s="1"/>
  <c r="D2043" i="3" a="1"/>
  <c r="D2043" i="3" s="1"/>
  <c r="E2043" i="3" a="1"/>
  <c r="E2043" i="3" s="1"/>
  <c r="F2043" i="3" a="1"/>
  <c r="F2043" i="3" s="1"/>
  <c r="G2043" i="3" a="1"/>
  <c r="G2043" i="3" s="1"/>
  <c r="J2043" i="3" a="1"/>
  <c r="J2043" i="3" s="1"/>
  <c r="B2044" i="3" a="1"/>
  <c r="B2044" i="3" s="1"/>
  <c r="C2044" i="3" a="1"/>
  <c r="C2044" i="3" s="1"/>
  <c r="D2044" i="3" a="1"/>
  <c r="D2044" i="3" s="1"/>
  <c r="E2044" i="3" a="1"/>
  <c r="E2044" i="3" s="1"/>
  <c r="F2044" i="3" a="1"/>
  <c r="F2044" i="3" s="1"/>
  <c r="G2044" i="3" a="1"/>
  <c r="G2044" i="3" s="1"/>
  <c r="J2044" i="3" a="1"/>
  <c r="J2044" i="3" s="1"/>
  <c r="B2045" i="3" a="1"/>
  <c r="B2045" i="3" s="1"/>
  <c r="C2045" i="3" a="1"/>
  <c r="C2045" i="3" s="1"/>
  <c r="D2045" i="3" a="1"/>
  <c r="D2045" i="3" s="1"/>
  <c r="E2045" i="3" a="1"/>
  <c r="E2045" i="3" s="1"/>
  <c r="F2045" i="3" a="1"/>
  <c r="F2045" i="3" s="1"/>
  <c r="G2045" i="3" a="1"/>
  <c r="G2045" i="3" s="1"/>
  <c r="J2045" i="3" a="1"/>
  <c r="J2045" i="3" s="1"/>
  <c r="B2046" i="3" a="1"/>
  <c r="B2046" i="3" s="1"/>
  <c r="C2046" i="3" a="1"/>
  <c r="C2046" i="3" s="1"/>
  <c r="D2046" i="3" a="1"/>
  <c r="D2046" i="3" s="1"/>
  <c r="E2046" i="3" a="1"/>
  <c r="E2046" i="3" s="1"/>
  <c r="F2046" i="3" a="1"/>
  <c r="F2046" i="3" s="1"/>
  <c r="G2046" i="3" a="1"/>
  <c r="G2046" i="3" s="1"/>
  <c r="J2046" i="3" a="1"/>
  <c r="J2046" i="3" s="1"/>
  <c r="B2047" i="3" a="1"/>
  <c r="B2047" i="3" s="1"/>
  <c r="C2047" i="3" a="1"/>
  <c r="C2047" i="3" s="1"/>
  <c r="D2047" i="3" a="1"/>
  <c r="D2047" i="3" s="1"/>
  <c r="E2047" i="3" a="1"/>
  <c r="E2047" i="3" s="1"/>
  <c r="F2047" i="3" a="1"/>
  <c r="F2047" i="3" s="1"/>
  <c r="G2047" i="3" a="1"/>
  <c r="G2047" i="3" s="1"/>
  <c r="J2047" i="3" a="1"/>
  <c r="J2047" i="3" s="1"/>
  <c r="B2048" i="3" a="1"/>
  <c r="B2048" i="3" s="1"/>
  <c r="C2048" i="3" a="1"/>
  <c r="C2048" i="3" s="1"/>
  <c r="D2048" i="3" a="1"/>
  <c r="D2048" i="3" s="1"/>
  <c r="E2048" i="3" a="1"/>
  <c r="E2048" i="3" s="1"/>
  <c r="F2048" i="3" a="1"/>
  <c r="F2048" i="3" s="1"/>
  <c r="G2048" i="3" a="1"/>
  <c r="G2048" i="3" s="1"/>
  <c r="J2048" i="3" a="1"/>
  <c r="J2048" i="3" s="1"/>
  <c r="B2049" i="3" a="1"/>
  <c r="B2049" i="3" s="1"/>
  <c r="C2049" i="3" a="1"/>
  <c r="C2049" i="3" s="1"/>
  <c r="D2049" i="3" a="1"/>
  <c r="D2049" i="3" s="1"/>
  <c r="E2049" i="3" a="1"/>
  <c r="E2049" i="3" s="1"/>
  <c r="F2049" i="3" a="1"/>
  <c r="F2049" i="3" s="1"/>
  <c r="G2049" i="3" a="1"/>
  <c r="G2049" i="3" s="1"/>
  <c r="J2049" i="3" a="1"/>
  <c r="J2049" i="3" s="1"/>
  <c r="B2050" i="3" a="1"/>
  <c r="B2050" i="3" s="1"/>
  <c r="C2050" i="3" a="1"/>
  <c r="C2050" i="3" s="1"/>
  <c r="D2050" i="3" a="1"/>
  <c r="D2050" i="3" s="1"/>
  <c r="E2050" i="3" a="1"/>
  <c r="E2050" i="3" s="1"/>
  <c r="F2050" i="3" a="1"/>
  <c r="F2050" i="3" s="1"/>
  <c r="G2050" i="3" a="1"/>
  <c r="G2050" i="3" s="1"/>
  <c r="J2050" i="3" a="1"/>
  <c r="J2050" i="3" s="1"/>
  <c r="B2051" i="3" a="1"/>
  <c r="B2051" i="3" s="1"/>
  <c r="C2051" i="3" a="1"/>
  <c r="C2051" i="3" s="1"/>
  <c r="D2051" i="3" a="1"/>
  <c r="D2051" i="3" s="1"/>
  <c r="E2051" i="3" a="1"/>
  <c r="E2051" i="3" s="1"/>
  <c r="F2051" i="3" a="1"/>
  <c r="F2051" i="3" s="1"/>
  <c r="G2051" i="3" a="1"/>
  <c r="G2051" i="3" s="1"/>
  <c r="J2051" i="3" a="1"/>
  <c r="J2051" i="3" s="1"/>
  <c r="B2052" i="3" a="1"/>
  <c r="B2052" i="3" s="1"/>
  <c r="C2052" i="3" a="1"/>
  <c r="C2052" i="3" s="1"/>
  <c r="D2052" i="3" a="1"/>
  <c r="D2052" i="3" s="1"/>
  <c r="E2052" i="3" a="1"/>
  <c r="E2052" i="3" s="1"/>
  <c r="F2052" i="3" a="1"/>
  <c r="F2052" i="3" s="1"/>
  <c r="G2052" i="3" a="1"/>
  <c r="G2052" i="3" s="1"/>
  <c r="J2052" i="3" a="1"/>
  <c r="J2052" i="3" s="1"/>
  <c r="B2053" i="3" a="1"/>
  <c r="B2053" i="3" s="1"/>
  <c r="C2053" i="3" a="1"/>
  <c r="C2053" i="3" s="1"/>
  <c r="D2053" i="3" a="1"/>
  <c r="D2053" i="3" s="1"/>
  <c r="E2053" i="3" a="1"/>
  <c r="E2053" i="3" s="1"/>
  <c r="F2053" i="3" a="1"/>
  <c r="F2053" i="3" s="1"/>
  <c r="G2053" i="3" a="1"/>
  <c r="G2053" i="3" s="1"/>
  <c r="J2053" i="3" a="1"/>
  <c r="J2053" i="3" s="1"/>
  <c r="B2054" i="3" a="1"/>
  <c r="B2054" i="3" s="1"/>
  <c r="C2054" i="3" a="1"/>
  <c r="C2054" i="3" s="1"/>
  <c r="D2054" i="3" a="1"/>
  <c r="D2054" i="3" s="1"/>
  <c r="E2054" i="3" a="1"/>
  <c r="E2054" i="3" s="1"/>
  <c r="F2054" i="3" a="1"/>
  <c r="F2054" i="3" s="1"/>
  <c r="G2054" i="3" a="1"/>
  <c r="G2054" i="3" s="1"/>
  <c r="J2054" i="3" a="1"/>
  <c r="J2054" i="3" s="1"/>
  <c r="B2055" i="3" a="1"/>
  <c r="B2055" i="3" s="1"/>
  <c r="C2055" i="3" a="1"/>
  <c r="C2055" i="3" s="1"/>
  <c r="D2055" i="3" a="1"/>
  <c r="D2055" i="3" s="1"/>
  <c r="E2055" i="3" a="1"/>
  <c r="E2055" i="3" s="1"/>
  <c r="F2055" i="3" a="1"/>
  <c r="F2055" i="3" s="1"/>
  <c r="G2055" i="3" a="1"/>
  <c r="G2055" i="3" s="1"/>
  <c r="J2055" i="3" a="1"/>
  <c r="J2055" i="3" s="1"/>
  <c r="B2056" i="3" a="1"/>
  <c r="B2056" i="3" s="1"/>
  <c r="C2056" i="3" a="1"/>
  <c r="C2056" i="3" s="1"/>
  <c r="D2056" i="3" a="1"/>
  <c r="D2056" i="3" s="1"/>
  <c r="E2056" i="3" a="1"/>
  <c r="E2056" i="3" s="1"/>
  <c r="F2056" i="3" a="1"/>
  <c r="F2056" i="3" s="1"/>
  <c r="G2056" i="3" a="1"/>
  <c r="G2056" i="3" s="1"/>
  <c r="J2056" i="3" a="1"/>
  <c r="J2056" i="3" s="1"/>
  <c r="B2057" i="3" a="1"/>
  <c r="B2057" i="3" s="1"/>
  <c r="C2057" i="3" a="1"/>
  <c r="C2057" i="3" s="1"/>
  <c r="D2057" i="3" a="1"/>
  <c r="D2057" i="3" s="1"/>
  <c r="E2057" i="3" a="1"/>
  <c r="E2057" i="3" s="1"/>
  <c r="F2057" i="3" a="1"/>
  <c r="F2057" i="3" s="1"/>
  <c r="G2057" i="3" a="1"/>
  <c r="G2057" i="3" s="1"/>
  <c r="J2057" i="3" a="1"/>
  <c r="J2057" i="3" s="1"/>
  <c r="B2058" i="3" a="1"/>
  <c r="B2058" i="3" s="1"/>
  <c r="C2058" i="3" a="1"/>
  <c r="C2058" i="3" s="1"/>
  <c r="D2058" i="3" a="1"/>
  <c r="D2058" i="3" s="1"/>
  <c r="E2058" i="3" a="1"/>
  <c r="E2058" i="3" s="1"/>
  <c r="F2058" i="3" a="1"/>
  <c r="F2058" i="3" s="1"/>
  <c r="G2058" i="3" a="1"/>
  <c r="G2058" i="3" s="1"/>
  <c r="J2058" i="3" a="1"/>
  <c r="J2058" i="3" s="1"/>
  <c r="B2059" i="3" a="1"/>
  <c r="B2059" i="3" s="1"/>
  <c r="C2059" i="3" a="1"/>
  <c r="C2059" i="3" s="1"/>
  <c r="D2059" i="3" a="1"/>
  <c r="D2059" i="3" s="1"/>
  <c r="E2059" i="3" a="1"/>
  <c r="E2059" i="3" s="1"/>
  <c r="F2059" i="3" a="1"/>
  <c r="F2059" i="3" s="1"/>
  <c r="G2059" i="3" a="1"/>
  <c r="G2059" i="3" s="1"/>
  <c r="J2059" i="3" a="1"/>
  <c r="J2059" i="3" s="1"/>
  <c r="B2060" i="3" a="1"/>
  <c r="B2060" i="3" s="1"/>
  <c r="C2060" i="3" a="1"/>
  <c r="C2060" i="3" s="1"/>
  <c r="D2060" i="3" a="1"/>
  <c r="D2060" i="3" s="1"/>
  <c r="E2060" i="3" a="1"/>
  <c r="E2060" i="3" s="1"/>
  <c r="F2060" i="3" a="1"/>
  <c r="F2060" i="3" s="1"/>
  <c r="G2060" i="3" a="1"/>
  <c r="G2060" i="3" s="1"/>
  <c r="J2060" i="3" a="1"/>
  <c r="J2060" i="3" s="1"/>
  <c r="B2061" i="3" a="1"/>
  <c r="B2061" i="3" s="1"/>
  <c r="C2061" i="3" a="1"/>
  <c r="C2061" i="3" s="1"/>
  <c r="D2061" i="3" a="1"/>
  <c r="D2061" i="3" s="1"/>
  <c r="E2061" i="3" a="1"/>
  <c r="E2061" i="3" s="1"/>
  <c r="F2061" i="3" a="1"/>
  <c r="F2061" i="3" s="1"/>
  <c r="G2061" i="3" a="1"/>
  <c r="G2061" i="3" s="1"/>
  <c r="J2061" i="3" a="1"/>
  <c r="J2061" i="3" s="1"/>
  <c r="B2062" i="3" a="1"/>
  <c r="B2062" i="3" s="1"/>
  <c r="C2062" i="3" a="1"/>
  <c r="C2062" i="3" s="1"/>
  <c r="D2062" i="3" a="1"/>
  <c r="D2062" i="3" s="1"/>
  <c r="E2062" i="3" a="1"/>
  <c r="E2062" i="3" s="1"/>
  <c r="F2062" i="3" a="1"/>
  <c r="F2062" i="3" s="1"/>
  <c r="G2062" i="3" a="1"/>
  <c r="G2062" i="3" s="1"/>
  <c r="J2062" i="3" a="1"/>
  <c r="J2062" i="3" s="1"/>
  <c r="B2063" i="3" a="1"/>
  <c r="B2063" i="3" s="1"/>
  <c r="C2063" i="3" a="1"/>
  <c r="C2063" i="3" s="1"/>
  <c r="D2063" i="3" a="1"/>
  <c r="D2063" i="3" s="1"/>
  <c r="E2063" i="3" a="1"/>
  <c r="E2063" i="3" s="1"/>
  <c r="F2063" i="3" a="1"/>
  <c r="F2063" i="3" s="1"/>
  <c r="G2063" i="3" a="1"/>
  <c r="G2063" i="3" s="1"/>
  <c r="J2063" i="3" a="1"/>
  <c r="J2063" i="3" s="1"/>
  <c r="B2064" i="3" a="1"/>
  <c r="B2064" i="3" s="1"/>
  <c r="C2064" i="3" a="1"/>
  <c r="C2064" i="3" s="1"/>
  <c r="D2064" i="3" a="1"/>
  <c r="D2064" i="3" s="1"/>
  <c r="E2064" i="3" a="1"/>
  <c r="E2064" i="3" s="1"/>
  <c r="F2064" i="3" a="1"/>
  <c r="F2064" i="3" s="1"/>
  <c r="G2064" i="3" a="1"/>
  <c r="G2064" i="3" s="1"/>
  <c r="J2064" i="3" a="1"/>
  <c r="J2064" i="3" s="1"/>
  <c r="B2065" i="3" a="1"/>
  <c r="B2065" i="3" s="1"/>
  <c r="C2065" i="3" a="1"/>
  <c r="C2065" i="3" s="1"/>
  <c r="D2065" i="3" a="1"/>
  <c r="D2065" i="3" s="1"/>
  <c r="E2065" i="3" a="1"/>
  <c r="E2065" i="3" s="1"/>
  <c r="F2065" i="3" a="1"/>
  <c r="F2065" i="3" s="1"/>
  <c r="G2065" i="3" a="1"/>
  <c r="G2065" i="3" s="1"/>
  <c r="J2065" i="3" a="1"/>
  <c r="J2065" i="3" s="1"/>
  <c r="B2066" i="3" a="1"/>
  <c r="B2066" i="3" s="1"/>
  <c r="C2066" i="3" a="1"/>
  <c r="C2066" i="3" s="1"/>
  <c r="D2066" i="3" a="1"/>
  <c r="D2066" i="3" s="1"/>
  <c r="E2066" i="3" a="1"/>
  <c r="E2066" i="3" s="1"/>
  <c r="F2066" i="3" a="1"/>
  <c r="F2066" i="3" s="1"/>
  <c r="G2066" i="3" a="1"/>
  <c r="G2066" i="3" s="1"/>
  <c r="J2066" i="3" a="1"/>
  <c r="J2066" i="3" s="1"/>
  <c r="B2067" i="3" a="1"/>
  <c r="B2067" i="3" s="1"/>
  <c r="C2067" i="3" a="1"/>
  <c r="C2067" i="3" s="1"/>
  <c r="D2067" i="3" a="1"/>
  <c r="D2067" i="3" s="1"/>
  <c r="E2067" i="3" a="1"/>
  <c r="E2067" i="3" s="1"/>
  <c r="F2067" i="3" a="1"/>
  <c r="F2067" i="3" s="1"/>
  <c r="G2067" i="3" a="1"/>
  <c r="G2067" i="3" s="1"/>
  <c r="J2067" i="3" a="1"/>
  <c r="J2067" i="3" s="1"/>
  <c r="B2068" i="3" a="1"/>
  <c r="B2068" i="3" s="1"/>
  <c r="C2068" i="3" a="1"/>
  <c r="C2068" i="3" s="1"/>
  <c r="D2068" i="3" a="1"/>
  <c r="D2068" i="3" s="1"/>
  <c r="E2068" i="3" a="1"/>
  <c r="E2068" i="3" s="1"/>
  <c r="F2068" i="3" a="1"/>
  <c r="F2068" i="3" s="1"/>
  <c r="G2068" i="3" a="1"/>
  <c r="G2068" i="3" s="1"/>
  <c r="J2068" i="3" a="1"/>
  <c r="J2068" i="3" s="1"/>
  <c r="B2069" i="3" a="1"/>
  <c r="B2069" i="3" s="1"/>
  <c r="C2069" i="3" a="1"/>
  <c r="C2069" i="3" s="1"/>
  <c r="D2069" i="3" a="1"/>
  <c r="D2069" i="3" s="1"/>
  <c r="E2069" i="3" a="1"/>
  <c r="E2069" i="3" s="1"/>
  <c r="F2069" i="3" a="1"/>
  <c r="F2069" i="3" s="1"/>
  <c r="G2069" i="3" a="1"/>
  <c r="G2069" i="3" s="1"/>
  <c r="J2069" i="3" a="1"/>
  <c r="J2069" i="3" s="1"/>
  <c r="B2070" i="3" a="1"/>
  <c r="B2070" i="3" s="1"/>
  <c r="C2070" i="3" a="1"/>
  <c r="C2070" i="3" s="1"/>
  <c r="D2070" i="3" a="1"/>
  <c r="D2070" i="3" s="1"/>
  <c r="E2070" i="3" a="1"/>
  <c r="E2070" i="3" s="1"/>
  <c r="F2070" i="3" a="1"/>
  <c r="F2070" i="3" s="1"/>
  <c r="G2070" i="3" a="1"/>
  <c r="G2070" i="3" s="1"/>
  <c r="J2070" i="3" a="1"/>
  <c r="J2070" i="3" s="1"/>
  <c r="B2071" i="3" a="1"/>
  <c r="B2071" i="3" s="1"/>
  <c r="C2071" i="3" a="1"/>
  <c r="C2071" i="3" s="1"/>
  <c r="D2071" i="3" a="1"/>
  <c r="D2071" i="3" s="1"/>
  <c r="E2071" i="3" a="1"/>
  <c r="E2071" i="3" s="1"/>
  <c r="F2071" i="3" a="1"/>
  <c r="F2071" i="3" s="1"/>
  <c r="G2071" i="3" a="1"/>
  <c r="G2071" i="3" s="1"/>
  <c r="J2071" i="3" a="1"/>
  <c r="J2071" i="3" s="1"/>
  <c r="B2072" i="3" a="1"/>
  <c r="B2072" i="3" s="1"/>
  <c r="C2072" i="3" a="1"/>
  <c r="C2072" i="3" s="1"/>
  <c r="D2072" i="3" a="1"/>
  <c r="D2072" i="3" s="1"/>
  <c r="E2072" i="3" a="1"/>
  <c r="E2072" i="3" s="1"/>
  <c r="F2072" i="3" a="1"/>
  <c r="F2072" i="3" s="1"/>
  <c r="G2072" i="3" a="1"/>
  <c r="G2072" i="3" s="1"/>
  <c r="J2072" i="3" a="1"/>
  <c r="J2072" i="3" s="1"/>
  <c r="B2073" i="3" a="1"/>
  <c r="B2073" i="3" s="1"/>
  <c r="C2073" i="3" a="1"/>
  <c r="C2073" i="3" s="1"/>
  <c r="D2073" i="3" a="1"/>
  <c r="D2073" i="3" s="1"/>
  <c r="E2073" i="3" a="1"/>
  <c r="E2073" i="3" s="1"/>
  <c r="F2073" i="3" a="1"/>
  <c r="F2073" i="3" s="1"/>
  <c r="G2073" i="3" a="1"/>
  <c r="G2073" i="3" s="1"/>
  <c r="J2073" i="3" a="1"/>
  <c r="J2073" i="3" s="1"/>
  <c r="B2074" i="3" a="1"/>
  <c r="B2074" i="3" s="1"/>
  <c r="C2074" i="3" a="1"/>
  <c r="C2074" i="3" s="1"/>
  <c r="D2074" i="3" a="1"/>
  <c r="D2074" i="3" s="1"/>
  <c r="E2074" i="3" a="1"/>
  <c r="E2074" i="3" s="1"/>
  <c r="F2074" i="3" a="1"/>
  <c r="F2074" i="3" s="1"/>
  <c r="G2074" i="3" a="1"/>
  <c r="G2074" i="3" s="1"/>
  <c r="J2074" i="3" a="1"/>
  <c r="J2074" i="3" s="1"/>
  <c r="B2075" i="3" a="1"/>
  <c r="B2075" i="3" s="1"/>
  <c r="C2075" i="3" a="1"/>
  <c r="C2075" i="3" s="1"/>
  <c r="D2075" i="3" a="1"/>
  <c r="D2075" i="3" s="1"/>
  <c r="E2075" i="3" a="1"/>
  <c r="E2075" i="3" s="1"/>
  <c r="F2075" i="3" a="1"/>
  <c r="F2075" i="3" s="1"/>
  <c r="G2075" i="3" a="1"/>
  <c r="G2075" i="3" s="1"/>
  <c r="J2075" i="3" a="1"/>
  <c r="J2075" i="3" s="1"/>
  <c r="B2076" i="3" a="1"/>
  <c r="B2076" i="3" s="1"/>
  <c r="C2076" i="3" a="1"/>
  <c r="C2076" i="3" s="1"/>
  <c r="D2076" i="3" a="1"/>
  <c r="D2076" i="3" s="1"/>
  <c r="E2076" i="3" a="1"/>
  <c r="E2076" i="3" s="1"/>
  <c r="F2076" i="3" a="1"/>
  <c r="F2076" i="3" s="1"/>
  <c r="G2076" i="3" a="1"/>
  <c r="G2076" i="3" s="1"/>
  <c r="J2076" i="3" a="1"/>
  <c r="J2076" i="3" s="1"/>
  <c r="B2077" i="3" a="1"/>
  <c r="B2077" i="3" s="1"/>
  <c r="C2077" i="3" a="1"/>
  <c r="C2077" i="3" s="1"/>
  <c r="D2077" i="3" a="1"/>
  <c r="D2077" i="3" s="1"/>
  <c r="E2077" i="3" a="1"/>
  <c r="E2077" i="3" s="1"/>
  <c r="F2077" i="3" a="1"/>
  <c r="F2077" i="3" s="1"/>
  <c r="G2077" i="3" a="1"/>
  <c r="G2077" i="3" s="1"/>
  <c r="J2077" i="3" a="1"/>
  <c r="J2077" i="3" s="1"/>
  <c r="B2078" i="3" a="1"/>
  <c r="B2078" i="3" s="1"/>
  <c r="C2078" i="3" a="1"/>
  <c r="C2078" i="3" s="1"/>
  <c r="D2078" i="3" a="1"/>
  <c r="D2078" i="3" s="1"/>
  <c r="E2078" i="3" a="1"/>
  <c r="E2078" i="3" s="1"/>
  <c r="F2078" i="3" a="1"/>
  <c r="F2078" i="3" s="1"/>
  <c r="G2078" i="3" a="1"/>
  <c r="G2078" i="3" s="1"/>
  <c r="J2078" i="3" a="1"/>
  <c r="J2078" i="3" s="1"/>
  <c r="B2079" i="3" a="1"/>
  <c r="B2079" i="3" s="1"/>
  <c r="C2079" i="3" a="1"/>
  <c r="C2079" i="3" s="1"/>
  <c r="D2079" i="3" a="1"/>
  <c r="D2079" i="3" s="1"/>
  <c r="E2079" i="3" a="1"/>
  <c r="E2079" i="3" s="1"/>
  <c r="F2079" i="3" a="1"/>
  <c r="F2079" i="3" s="1"/>
  <c r="G2079" i="3" a="1"/>
  <c r="G2079" i="3" s="1"/>
  <c r="J2079" i="3" a="1"/>
  <c r="J2079" i="3" s="1"/>
  <c r="B2080" i="3" a="1"/>
  <c r="B2080" i="3" s="1"/>
  <c r="C2080" i="3" a="1"/>
  <c r="C2080" i="3" s="1"/>
  <c r="D2080" i="3" a="1"/>
  <c r="D2080" i="3" s="1"/>
  <c r="E2080" i="3" a="1"/>
  <c r="E2080" i="3" s="1"/>
  <c r="F2080" i="3" a="1"/>
  <c r="F2080" i="3" s="1"/>
  <c r="G2080" i="3" a="1"/>
  <c r="G2080" i="3" s="1"/>
  <c r="J2080" i="3" a="1"/>
  <c r="J2080" i="3" s="1"/>
  <c r="B2081" i="3" a="1"/>
  <c r="B2081" i="3" s="1"/>
  <c r="C2081" i="3" a="1"/>
  <c r="C2081" i="3" s="1"/>
  <c r="D2081" i="3" a="1"/>
  <c r="D2081" i="3" s="1"/>
  <c r="E2081" i="3" a="1"/>
  <c r="E2081" i="3" s="1"/>
  <c r="F2081" i="3" a="1"/>
  <c r="F2081" i="3" s="1"/>
  <c r="G2081" i="3" a="1"/>
  <c r="G2081" i="3" s="1"/>
  <c r="J2081" i="3" a="1"/>
  <c r="J2081" i="3" s="1"/>
  <c r="B2082" i="3" a="1"/>
  <c r="B2082" i="3" s="1"/>
  <c r="C2082" i="3" a="1"/>
  <c r="C2082" i="3" s="1"/>
  <c r="D2082" i="3" a="1"/>
  <c r="D2082" i="3" s="1"/>
  <c r="E2082" i="3" a="1"/>
  <c r="E2082" i="3" s="1"/>
  <c r="F2082" i="3" a="1"/>
  <c r="F2082" i="3" s="1"/>
  <c r="G2082" i="3" a="1"/>
  <c r="G2082" i="3" s="1"/>
  <c r="J2082" i="3" a="1"/>
  <c r="J2082" i="3" s="1"/>
  <c r="B2083" i="3" a="1"/>
  <c r="B2083" i="3" s="1"/>
  <c r="C2083" i="3" a="1"/>
  <c r="C2083" i="3" s="1"/>
  <c r="D2083" i="3" a="1"/>
  <c r="D2083" i="3" s="1"/>
  <c r="E2083" i="3" a="1"/>
  <c r="E2083" i="3" s="1"/>
  <c r="F2083" i="3" a="1"/>
  <c r="F2083" i="3" s="1"/>
  <c r="G2083" i="3" a="1"/>
  <c r="G2083" i="3" s="1"/>
  <c r="J2083" i="3" a="1"/>
  <c r="J2083" i="3" s="1"/>
  <c r="B2084" i="3" a="1"/>
  <c r="B2084" i="3" s="1"/>
  <c r="C2084" i="3" a="1"/>
  <c r="C2084" i="3" s="1"/>
  <c r="D2084" i="3" a="1"/>
  <c r="D2084" i="3" s="1"/>
  <c r="E2084" i="3" a="1"/>
  <c r="E2084" i="3" s="1"/>
  <c r="F2084" i="3" a="1"/>
  <c r="F2084" i="3" s="1"/>
  <c r="G2084" i="3" a="1"/>
  <c r="G2084" i="3" s="1"/>
  <c r="J2084" i="3" a="1"/>
  <c r="J2084" i="3" s="1"/>
  <c r="B2085" i="3" a="1"/>
  <c r="B2085" i="3" s="1"/>
  <c r="C2085" i="3" a="1"/>
  <c r="C2085" i="3" s="1"/>
  <c r="D2085" i="3" a="1"/>
  <c r="D2085" i="3" s="1"/>
  <c r="E2085" i="3" a="1"/>
  <c r="E2085" i="3" s="1"/>
  <c r="F2085" i="3" a="1"/>
  <c r="F2085" i="3" s="1"/>
  <c r="G2085" i="3" a="1"/>
  <c r="G2085" i="3" s="1"/>
  <c r="J2085" i="3" a="1"/>
  <c r="J2085" i="3" s="1"/>
  <c r="B2086" i="3" a="1"/>
  <c r="B2086" i="3" s="1"/>
  <c r="C2086" i="3" a="1"/>
  <c r="C2086" i="3" s="1"/>
  <c r="D2086" i="3" a="1"/>
  <c r="D2086" i="3" s="1"/>
  <c r="E2086" i="3" a="1"/>
  <c r="E2086" i="3" s="1"/>
  <c r="F2086" i="3" a="1"/>
  <c r="F2086" i="3" s="1"/>
  <c r="G2086" i="3" a="1"/>
  <c r="G2086" i="3" s="1"/>
  <c r="J2086" i="3" a="1"/>
  <c r="J2086" i="3" s="1"/>
  <c r="B2087" i="3" a="1"/>
  <c r="B2087" i="3" s="1"/>
  <c r="C2087" i="3" a="1"/>
  <c r="C2087" i="3" s="1"/>
  <c r="D2087" i="3" a="1"/>
  <c r="D2087" i="3" s="1"/>
  <c r="E2087" i="3" a="1"/>
  <c r="E2087" i="3" s="1"/>
  <c r="F2087" i="3" a="1"/>
  <c r="F2087" i="3" s="1"/>
  <c r="G2087" i="3" a="1"/>
  <c r="G2087" i="3" s="1"/>
  <c r="J2087" i="3" a="1"/>
  <c r="J2087" i="3" s="1"/>
  <c r="B2088" i="3" a="1"/>
  <c r="B2088" i="3" s="1"/>
  <c r="C2088" i="3" a="1"/>
  <c r="C2088" i="3" s="1"/>
  <c r="D2088" i="3" a="1"/>
  <c r="D2088" i="3" s="1"/>
  <c r="E2088" i="3" a="1"/>
  <c r="E2088" i="3" s="1"/>
  <c r="F2088" i="3" a="1"/>
  <c r="F2088" i="3" s="1"/>
  <c r="G2088" i="3" a="1"/>
  <c r="G2088" i="3" s="1"/>
  <c r="J2088" i="3" a="1"/>
  <c r="J2088" i="3" s="1"/>
  <c r="B2089" i="3" a="1"/>
  <c r="B2089" i="3" s="1"/>
  <c r="C2089" i="3" a="1"/>
  <c r="C2089" i="3" s="1"/>
  <c r="D2089" i="3" a="1"/>
  <c r="D2089" i="3" s="1"/>
  <c r="E2089" i="3" a="1"/>
  <c r="E2089" i="3" s="1"/>
  <c r="F2089" i="3" a="1"/>
  <c r="F2089" i="3" s="1"/>
  <c r="G2089" i="3" a="1"/>
  <c r="G2089" i="3" s="1"/>
  <c r="J2089" i="3" a="1"/>
  <c r="J2089" i="3" s="1"/>
  <c r="B2090" i="3" a="1"/>
  <c r="B2090" i="3" s="1"/>
  <c r="C2090" i="3" a="1"/>
  <c r="C2090" i="3" s="1"/>
  <c r="D2090" i="3" a="1"/>
  <c r="D2090" i="3" s="1"/>
  <c r="E2090" i="3" a="1"/>
  <c r="E2090" i="3" s="1"/>
  <c r="F2090" i="3" a="1"/>
  <c r="F2090" i="3" s="1"/>
  <c r="G2090" i="3" a="1"/>
  <c r="G2090" i="3" s="1"/>
  <c r="J2090" i="3" a="1"/>
  <c r="J2090" i="3" s="1"/>
  <c r="B2091" i="3" a="1"/>
  <c r="B2091" i="3" s="1"/>
  <c r="C2091" i="3" a="1"/>
  <c r="C2091" i="3" s="1"/>
  <c r="D2091" i="3" a="1"/>
  <c r="D2091" i="3" s="1"/>
  <c r="E2091" i="3" a="1"/>
  <c r="E2091" i="3" s="1"/>
  <c r="F2091" i="3" a="1"/>
  <c r="F2091" i="3" s="1"/>
  <c r="G2091" i="3" a="1"/>
  <c r="G2091" i="3" s="1"/>
  <c r="J2091" i="3" a="1"/>
  <c r="J2091" i="3" s="1"/>
  <c r="B2092" i="3" a="1"/>
  <c r="B2092" i="3" s="1"/>
  <c r="C2092" i="3" a="1"/>
  <c r="C2092" i="3" s="1"/>
  <c r="D2092" i="3" a="1"/>
  <c r="D2092" i="3" s="1"/>
  <c r="E2092" i="3" a="1"/>
  <c r="E2092" i="3" s="1"/>
  <c r="F2092" i="3" a="1"/>
  <c r="F2092" i="3" s="1"/>
  <c r="G2092" i="3" a="1"/>
  <c r="G2092" i="3" s="1"/>
  <c r="J2092" i="3" a="1"/>
  <c r="J2092" i="3" s="1"/>
  <c r="B2093" i="3" a="1"/>
  <c r="B2093" i="3" s="1"/>
  <c r="C2093" i="3" a="1"/>
  <c r="C2093" i="3" s="1"/>
  <c r="D2093" i="3" a="1"/>
  <c r="D2093" i="3" s="1"/>
  <c r="E2093" i="3" a="1"/>
  <c r="E2093" i="3" s="1"/>
  <c r="F2093" i="3" a="1"/>
  <c r="F2093" i="3" s="1"/>
  <c r="G2093" i="3" a="1"/>
  <c r="G2093" i="3" s="1"/>
  <c r="J2093" i="3" a="1"/>
  <c r="J2093" i="3" s="1"/>
  <c r="B2094" i="3" a="1"/>
  <c r="B2094" i="3" s="1"/>
  <c r="C2094" i="3" a="1"/>
  <c r="C2094" i="3" s="1"/>
  <c r="D2094" i="3" a="1"/>
  <c r="D2094" i="3" s="1"/>
  <c r="E2094" i="3" a="1"/>
  <c r="E2094" i="3" s="1"/>
  <c r="F2094" i="3" a="1"/>
  <c r="F2094" i="3" s="1"/>
  <c r="G2094" i="3" a="1"/>
  <c r="G2094" i="3" s="1"/>
  <c r="J2094" i="3" a="1"/>
  <c r="J2094" i="3" s="1"/>
  <c r="B2095" i="3" a="1"/>
  <c r="B2095" i="3" s="1"/>
  <c r="C2095" i="3" a="1"/>
  <c r="C2095" i="3" s="1"/>
  <c r="D2095" i="3" a="1"/>
  <c r="D2095" i="3" s="1"/>
  <c r="E2095" i="3" a="1"/>
  <c r="E2095" i="3" s="1"/>
  <c r="F2095" i="3" a="1"/>
  <c r="F2095" i="3" s="1"/>
  <c r="G2095" i="3" a="1"/>
  <c r="G2095" i="3" s="1"/>
  <c r="J2095" i="3" a="1"/>
  <c r="J2095" i="3" s="1"/>
  <c r="B2096" i="3" a="1"/>
  <c r="B2096" i="3" s="1"/>
  <c r="C2096" i="3" a="1"/>
  <c r="C2096" i="3" s="1"/>
  <c r="D2096" i="3" a="1"/>
  <c r="D2096" i="3" s="1"/>
  <c r="E2096" i="3" a="1"/>
  <c r="E2096" i="3" s="1"/>
  <c r="F2096" i="3" a="1"/>
  <c r="F2096" i="3" s="1"/>
  <c r="G2096" i="3" a="1"/>
  <c r="G2096" i="3" s="1"/>
  <c r="J2096" i="3" a="1"/>
  <c r="J2096" i="3" s="1"/>
  <c r="B2097" i="3" a="1"/>
  <c r="B2097" i="3" s="1"/>
  <c r="C2097" i="3" a="1"/>
  <c r="C2097" i="3" s="1"/>
  <c r="D2097" i="3" a="1"/>
  <c r="D2097" i="3" s="1"/>
  <c r="E2097" i="3" a="1"/>
  <c r="E2097" i="3" s="1"/>
  <c r="F2097" i="3" a="1"/>
  <c r="F2097" i="3" s="1"/>
  <c r="G2097" i="3" a="1"/>
  <c r="G2097" i="3" s="1"/>
  <c r="J2097" i="3" a="1"/>
  <c r="J2097" i="3" s="1"/>
  <c r="B2098" i="3" a="1"/>
  <c r="B2098" i="3" s="1"/>
  <c r="C2098" i="3" a="1"/>
  <c r="C2098" i="3" s="1"/>
  <c r="D2098" i="3" a="1"/>
  <c r="D2098" i="3" s="1"/>
  <c r="E2098" i="3" a="1"/>
  <c r="E2098" i="3" s="1"/>
  <c r="F2098" i="3" a="1"/>
  <c r="F2098" i="3" s="1"/>
  <c r="G2098" i="3" a="1"/>
  <c r="G2098" i="3" s="1"/>
  <c r="J2098" i="3" a="1"/>
  <c r="J2098" i="3" s="1"/>
  <c r="B2099" i="3" a="1"/>
  <c r="B2099" i="3" s="1"/>
  <c r="C2099" i="3" a="1"/>
  <c r="C2099" i="3" s="1"/>
  <c r="D2099" i="3" a="1"/>
  <c r="D2099" i="3" s="1"/>
  <c r="E2099" i="3" a="1"/>
  <c r="E2099" i="3" s="1"/>
  <c r="F2099" i="3" a="1"/>
  <c r="F2099" i="3" s="1"/>
  <c r="G2099" i="3" a="1"/>
  <c r="G2099" i="3" s="1"/>
  <c r="J2099" i="3" a="1"/>
  <c r="J2099" i="3" s="1"/>
  <c r="B2100" i="3" a="1"/>
  <c r="B2100" i="3" s="1"/>
  <c r="C2100" i="3" a="1"/>
  <c r="C2100" i="3" s="1"/>
  <c r="D2100" i="3" a="1"/>
  <c r="D2100" i="3" s="1"/>
  <c r="E2100" i="3" a="1"/>
  <c r="E2100" i="3" s="1"/>
  <c r="F2100" i="3" a="1"/>
  <c r="F2100" i="3" s="1"/>
  <c r="G2100" i="3" a="1"/>
  <c r="G2100" i="3" s="1"/>
  <c r="J2100" i="3" a="1"/>
  <c r="J2100" i="3" s="1"/>
  <c r="B2101" i="3" a="1"/>
  <c r="B2101" i="3" s="1"/>
  <c r="C2101" i="3" a="1"/>
  <c r="C2101" i="3" s="1"/>
  <c r="D2101" i="3" a="1"/>
  <c r="D2101" i="3" s="1"/>
  <c r="E2101" i="3" a="1"/>
  <c r="E2101" i="3" s="1"/>
  <c r="F2101" i="3" a="1"/>
  <c r="F2101" i="3" s="1"/>
  <c r="G2101" i="3" a="1"/>
  <c r="G2101" i="3" s="1"/>
  <c r="J2101" i="3" a="1"/>
  <c r="J2101" i="3" s="1"/>
  <c r="B2102" i="3" a="1"/>
  <c r="B2102" i="3" s="1"/>
  <c r="C2102" i="3" a="1"/>
  <c r="C2102" i="3" s="1"/>
  <c r="D2102" i="3" a="1"/>
  <c r="D2102" i="3" s="1"/>
  <c r="E2102" i="3" a="1"/>
  <c r="E2102" i="3" s="1"/>
  <c r="F2102" i="3" a="1"/>
  <c r="F2102" i="3" s="1"/>
  <c r="G2102" i="3" a="1"/>
  <c r="G2102" i="3" s="1"/>
  <c r="J2102" i="3" a="1"/>
  <c r="J2102" i="3" s="1"/>
  <c r="B2103" i="3" a="1"/>
  <c r="B2103" i="3" s="1"/>
  <c r="C2103" i="3" a="1"/>
  <c r="C2103" i="3" s="1"/>
  <c r="D2103" i="3" a="1"/>
  <c r="D2103" i="3" s="1"/>
  <c r="E2103" i="3" a="1"/>
  <c r="E2103" i="3" s="1"/>
  <c r="F2103" i="3" a="1"/>
  <c r="F2103" i="3" s="1"/>
  <c r="G2103" i="3" a="1"/>
  <c r="G2103" i="3" s="1"/>
  <c r="J2103" i="3" a="1"/>
  <c r="J2103" i="3" s="1"/>
  <c r="B2104" i="3" a="1"/>
  <c r="B2104" i="3" s="1"/>
  <c r="C2104" i="3" a="1"/>
  <c r="C2104" i="3" s="1"/>
  <c r="D2104" i="3" a="1"/>
  <c r="D2104" i="3" s="1"/>
  <c r="E2104" i="3" a="1"/>
  <c r="E2104" i="3" s="1"/>
  <c r="F2104" i="3" a="1"/>
  <c r="F2104" i="3" s="1"/>
  <c r="G2104" i="3" a="1"/>
  <c r="G2104" i="3" s="1"/>
  <c r="J2104" i="3" a="1"/>
  <c r="J2104" i="3" s="1"/>
  <c r="B2105" i="3" a="1"/>
  <c r="B2105" i="3" s="1"/>
  <c r="C2105" i="3" a="1"/>
  <c r="C2105" i="3" s="1"/>
  <c r="D2105" i="3" a="1"/>
  <c r="D2105" i="3" s="1"/>
  <c r="E2105" i="3" a="1"/>
  <c r="E2105" i="3" s="1"/>
  <c r="F2105" i="3" a="1"/>
  <c r="F2105" i="3" s="1"/>
  <c r="G2105" i="3" a="1"/>
  <c r="G2105" i="3" s="1"/>
  <c r="J2105" i="3" a="1"/>
  <c r="J2105" i="3" s="1"/>
  <c r="B2106" i="3" a="1"/>
  <c r="B2106" i="3" s="1"/>
  <c r="C2106" i="3" a="1"/>
  <c r="C2106" i="3" s="1"/>
  <c r="D2106" i="3" a="1"/>
  <c r="D2106" i="3" s="1"/>
  <c r="E2106" i="3" a="1"/>
  <c r="E2106" i="3" s="1"/>
  <c r="F2106" i="3" a="1"/>
  <c r="F2106" i="3" s="1"/>
  <c r="G2106" i="3" a="1"/>
  <c r="G2106" i="3" s="1"/>
  <c r="J2106" i="3" a="1"/>
  <c r="J2106" i="3" s="1"/>
  <c r="B2107" i="3" a="1"/>
  <c r="B2107" i="3" s="1"/>
  <c r="C2107" i="3" a="1"/>
  <c r="C2107" i="3" s="1"/>
  <c r="D2107" i="3" a="1"/>
  <c r="D2107" i="3" s="1"/>
  <c r="E2107" i="3" a="1"/>
  <c r="E2107" i="3" s="1"/>
  <c r="F2107" i="3" a="1"/>
  <c r="F2107" i="3" s="1"/>
  <c r="G2107" i="3" a="1"/>
  <c r="G2107" i="3" s="1"/>
  <c r="J2107" i="3" a="1"/>
  <c r="J2107" i="3" s="1"/>
  <c r="B2108" i="3" a="1"/>
  <c r="B2108" i="3" s="1"/>
  <c r="C2108" i="3" a="1"/>
  <c r="C2108" i="3" s="1"/>
  <c r="D2108" i="3" a="1"/>
  <c r="D2108" i="3" s="1"/>
  <c r="E2108" i="3" a="1"/>
  <c r="E2108" i="3" s="1"/>
  <c r="F2108" i="3" a="1"/>
  <c r="F2108" i="3" s="1"/>
  <c r="G2108" i="3" a="1"/>
  <c r="G2108" i="3" s="1"/>
  <c r="J2108" i="3" a="1"/>
  <c r="J2108" i="3" s="1"/>
  <c r="B2109" i="3" a="1"/>
  <c r="B2109" i="3" s="1"/>
  <c r="C2109" i="3" a="1"/>
  <c r="C2109" i="3" s="1"/>
  <c r="D2109" i="3" a="1"/>
  <c r="D2109" i="3" s="1"/>
  <c r="E2109" i="3" a="1"/>
  <c r="E2109" i="3" s="1"/>
  <c r="F2109" i="3" a="1"/>
  <c r="F2109" i="3" s="1"/>
  <c r="G2109" i="3" a="1"/>
  <c r="G2109" i="3" s="1"/>
  <c r="J2109" i="3" a="1"/>
  <c r="J2109" i="3" s="1"/>
  <c r="B2110" i="3" a="1"/>
  <c r="B2110" i="3" s="1"/>
  <c r="C2110" i="3" a="1"/>
  <c r="C2110" i="3" s="1"/>
  <c r="D2110" i="3" a="1"/>
  <c r="D2110" i="3" s="1"/>
  <c r="E2110" i="3" a="1"/>
  <c r="E2110" i="3" s="1"/>
  <c r="F2110" i="3" a="1"/>
  <c r="F2110" i="3" s="1"/>
  <c r="G2110" i="3" a="1"/>
  <c r="G2110" i="3" s="1"/>
  <c r="J2110" i="3" a="1"/>
  <c r="J2110" i="3" s="1"/>
  <c r="B2111" i="3" a="1"/>
  <c r="B2111" i="3" s="1"/>
  <c r="C2111" i="3" a="1"/>
  <c r="C2111" i="3" s="1"/>
  <c r="D2111" i="3" a="1"/>
  <c r="D2111" i="3" s="1"/>
  <c r="E2111" i="3" a="1"/>
  <c r="E2111" i="3" s="1"/>
  <c r="F2111" i="3" a="1"/>
  <c r="F2111" i="3" s="1"/>
  <c r="G2111" i="3" a="1"/>
  <c r="G2111" i="3" s="1"/>
  <c r="J2111" i="3" a="1"/>
  <c r="J2111" i="3" s="1"/>
  <c r="B2112" i="3" a="1"/>
  <c r="B2112" i="3" s="1"/>
  <c r="C2112" i="3" a="1"/>
  <c r="C2112" i="3" s="1"/>
  <c r="D2112" i="3" a="1"/>
  <c r="D2112" i="3" s="1"/>
  <c r="E2112" i="3" a="1"/>
  <c r="E2112" i="3" s="1"/>
  <c r="F2112" i="3" a="1"/>
  <c r="F2112" i="3" s="1"/>
  <c r="G2112" i="3" a="1"/>
  <c r="G2112" i="3" s="1"/>
  <c r="J2112" i="3" a="1"/>
  <c r="J2112" i="3" s="1"/>
  <c r="B2113" i="3" a="1"/>
  <c r="B2113" i="3" s="1"/>
  <c r="C2113" i="3" a="1"/>
  <c r="C2113" i="3" s="1"/>
  <c r="D2113" i="3" a="1"/>
  <c r="D2113" i="3" s="1"/>
  <c r="E2113" i="3" a="1"/>
  <c r="E2113" i="3" s="1"/>
  <c r="F2113" i="3" a="1"/>
  <c r="F2113" i="3" s="1"/>
  <c r="G2113" i="3" a="1"/>
  <c r="G2113" i="3" s="1"/>
  <c r="J2113" i="3" a="1"/>
  <c r="J2113" i="3" s="1"/>
  <c r="B2114" i="3" a="1"/>
  <c r="B2114" i="3" s="1"/>
  <c r="C2114" i="3" a="1"/>
  <c r="C2114" i="3" s="1"/>
  <c r="D2114" i="3" a="1"/>
  <c r="D2114" i="3" s="1"/>
  <c r="E2114" i="3" a="1"/>
  <c r="E2114" i="3" s="1"/>
  <c r="F2114" i="3" a="1"/>
  <c r="F2114" i="3" s="1"/>
  <c r="G2114" i="3" a="1"/>
  <c r="G2114" i="3" s="1"/>
  <c r="J2114" i="3" a="1"/>
  <c r="J2114" i="3" s="1"/>
  <c r="B2115" i="3" a="1"/>
  <c r="B2115" i="3" s="1"/>
  <c r="C2115" i="3" a="1"/>
  <c r="C2115" i="3" s="1"/>
  <c r="D2115" i="3" a="1"/>
  <c r="D2115" i="3" s="1"/>
  <c r="E2115" i="3" a="1"/>
  <c r="E2115" i="3" s="1"/>
  <c r="F2115" i="3" a="1"/>
  <c r="F2115" i="3" s="1"/>
  <c r="G2115" i="3" a="1"/>
  <c r="G2115" i="3" s="1"/>
  <c r="J2115" i="3" a="1"/>
  <c r="J2115" i="3" s="1"/>
  <c r="B2116" i="3" a="1"/>
  <c r="B2116" i="3" s="1"/>
  <c r="C2116" i="3" a="1"/>
  <c r="C2116" i="3" s="1"/>
  <c r="D2116" i="3" a="1"/>
  <c r="D2116" i="3" s="1"/>
  <c r="E2116" i="3" a="1"/>
  <c r="E2116" i="3" s="1"/>
  <c r="F2116" i="3" a="1"/>
  <c r="F2116" i="3" s="1"/>
  <c r="G2116" i="3" a="1"/>
  <c r="G2116" i="3" s="1"/>
  <c r="J2116" i="3" a="1"/>
  <c r="J2116" i="3" s="1"/>
  <c r="B2117" i="3" a="1"/>
  <c r="B2117" i="3" s="1"/>
  <c r="C2117" i="3" a="1"/>
  <c r="C2117" i="3" s="1"/>
  <c r="D2117" i="3" a="1"/>
  <c r="D2117" i="3" s="1"/>
  <c r="E2117" i="3" a="1"/>
  <c r="E2117" i="3" s="1"/>
  <c r="F2117" i="3" a="1"/>
  <c r="F2117" i="3" s="1"/>
  <c r="G2117" i="3" a="1"/>
  <c r="G2117" i="3" s="1"/>
  <c r="J2117" i="3" a="1"/>
  <c r="J2117" i="3" s="1"/>
  <c r="B2118" i="3" a="1"/>
  <c r="B2118" i="3" s="1"/>
  <c r="C2118" i="3" a="1"/>
  <c r="C2118" i="3" s="1"/>
  <c r="D2118" i="3" a="1"/>
  <c r="D2118" i="3" s="1"/>
  <c r="E2118" i="3" a="1"/>
  <c r="E2118" i="3" s="1"/>
  <c r="F2118" i="3" a="1"/>
  <c r="F2118" i="3" s="1"/>
  <c r="G2118" i="3" a="1"/>
  <c r="G2118" i="3" s="1"/>
  <c r="J2118" i="3" a="1"/>
  <c r="J2118" i="3" s="1"/>
  <c r="B2119" i="3" a="1"/>
  <c r="B2119" i="3" s="1"/>
  <c r="C2119" i="3" a="1"/>
  <c r="C2119" i="3" s="1"/>
  <c r="D2119" i="3" a="1"/>
  <c r="D2119" i="3" s="1"/>
  <c r="E2119" i="3" a="1"/>
  <c r="E2119" i="3" s="1"/>
  <c r="F2119" i="3" a="1"/>
  <c r="F2119" i="3" s="1"/>
  <c r="G2119" i="3" a="1"/>
  <c r="G2119" i="3" s="1"/>
  <c r="J2119" i="3" a="1"/>
  <c r="J2119" i="3" s="1"/>
  <c r="B2120" i="3" a="1"/>
  <c r="B2120" i="3" s="1"/>
  <c r="C2120" i="3" a="1"/>
  <c r="C2120" i="3" s="1"/>
  <c r="D2120" i="3" a="1"/>
  <c r="D2120" i="3" s="1"/>
  <c r="E2120" i="3" a="1"/>
  <c r="E2120" i="3" s="1"/>
  <c r="F2120" i="3" a="1"/>
  <c r="F2120" i="3" s="1"/>
  <c r="G2120" i="3" a="1"/>
  <c r="G2120" i="3" s="1"/>
  <c r="J2120" i="3" a="1"/>
  <c r="J2120" i="3" s="1"/>
  <c r="B2121" i="3" a="1"/>
  <c r="B2121" i="3" s="1"/>
  <c r="C2121" i="3" a="1"/>
  <c r="C2121" i="3" s="1"/>
  <c r="D2121" i="3" a="1"/>
  <c r="D2121" i="3" s="1"/>
  <c r="E2121" i="3" a="1"/>
  <c r="E2121" i="3" s="1"/>
  <c r="F2121" i="3" a="1"/>
  <c r="F2121" i="3" s="1"/>
  <c r="G2121" i="3" a="1"/>
  <c r="G2121" i="3" s="1"/>
  <c r="J2121" i="3" a="1"/>
  <c r="J2121" i="3" s="1"/>
  <c r="B2122" i="3" a="1"/>
  <c r="B2122" i="3" s="1"/>
  <c r="C2122" i="3" a="1"/>
  <c r="C2122" i="3" s="1"/>
  <c r="D2122" i="3" a="1"/>
  <c r="D2122" i="3" s="1"/>
  <c r="E2122" i="3" a="1"/>
  <c r="E2122" i="3" s="1"/>
  <c r="F2122" i="3" a="1"/>
  <c r="F2122" i="3" s="1"/>
  <c r="G2122" i="3" a="1"/>
  <c r="G2122" i="3" s="1"/>
  <c r="J2122" i="3" a="1"/>
  <c r="J2122" i="3" s="1"/>
  <c r="B2123" i="3" a="1"/>
  <c r="B2123" i="3" s="1"/>
  <c r="C2123" i="3" a="1"/>
  <c r="C2123" i="3" s="1"/>
  <c r="D2123" i="3" a="1"/>
  <c r="D2123" i="3" s="1"/>
  <c r="E2123" i="3" a="1"/>
  <c r="E2123" i="3" s="1"/>
  <c r="F2123" i="3" a="1"/>
  <c r="F2123" i="3" s="1"/>
  <c r="G2123" i="3" a="1"/>
  <c r="G2123" i="3" s="1"/>
  <c r="J2123" i="3" a="1"/>
  <c r="J2123" i="3" s="1"/>
  <c r="B2124" i="3" a="1"/>
  <c r="B2124" i="3" s="1"/>
  <c r="C2124" i="3" a="1"/>
  <c r="C2124" i="3" s="1"/>
  <c r="D2124" i="3" a="1"/>
  <c r="D2124" i="3" s="1"/>
  <c r="E2124" i="3" a="1"/>
  <c r="E2124" i="3" s="1"/>
  <c r="F2124" i="3" a="1"/>
  <c r="F2124" i="3" s="1"/>
  <c r="G2124" i="3" a="1"/>
  <c r="G2124" i="3" s="1"/>
  <c r="J2124" i="3" a="1"/>
  <c r="J2124" i="3" s="1"/>
  <c r="B2125" i="3" a="1"/>
  <c r="B2125" i="3" s="1"/>
  <c r="C2125" i="3" a="1"/>
  <c r="C2125" i="3" s="1"/>
  <c r="D2125" i="3" a="1"/>
  <c r="D2125" i="3" s="1"/>
  <c r="E2125" i="3" a="1"/>
  <c r="E2125" i="3" s="1"/>
  <c r="F2125" i="3" a="1"/>
  <c r="F2125" i="3" s="1"/>
  <c r="G2125" i="3" a="1"/>
  <c r="G2125" i="3" s="1"/>
  <c r="J2125" i="3" a="1"/>
  <c r="J2125" i="3" s="1"/>
  <c r="B2126" i="3" a="1"/>
  <c r="B2126" i="3" s="1"/>
  <c r="C2126" i="3" a="1"/>
  <c r="C2126" i="3" s="1"/>
  <c r="D2126" i="3" a="1"/>
  <c r="D2126" i="3" s="1"/>
  <c r="E2126" i="3" a="1"/>
  <c r="E2126" i="3" s="1"/>
  <c r="F2126" i="3" a="1"/>
  <c r="F2126" i="3" s="1"/>
  <c r="G2126" i="3" a="1"/>
  <c r="G2126" i="3" s="1"/>
  <c r="J2126" i="3" a="1"/>
  <c r="J2126" i="3" s="1"/>
  <c r="B2127" i="3" a="1"/>
  <c r="B2127" i="3" s="1"/>
  <c r="C2127" i="3" a="1"/>
  <c r="C2127" i="3" s="1"/>
  <c r="D2127" i="3" a="1"/>
  <c r="D2127" i="3" s="1"/>
  <c r="E2127" i="3" a="1"/>
  <c r="E2127" i="3" s="1"/>
  <c r="F2127" i="3" a="1"/>
  <c r="F2127" i="3" s="1"/>
  <c r="G2127" i="3" a="1"/>
  <c r="G2127" i="3" s="1"/>
  <c r="J2127" i="3" a="1"/>
  <c r="J2127" i="3" s="1"/>
  <c r="B2128" i="3" a="1"/>
  <c r="B2128" i="3" s="1"/>
  <c r="C2128" i="3" a="1"/>
  <c r="C2128" i="3" s="1"/>
  <c r="D2128" i="3" a="1"/>
  <c r="D2128" i="3" s="1"/>
  <c r="E2128" i="3" a="1"/>
  <c r="E2128" i="3" s="1"/>
  <c r="F2128" i="3" a="1"/>
  <c r="F2128" i="3" s="1"/>
  <c r="G2128" i="3" a="1"/>
  <c r="G2128" i="3" s="1"/>
  <c r="J2128" i="3" a="1"/>
  <c r="J2128" i="3" s="1"/>
  <c r="B2129" i="3" a="1"/>
  <c r="B2129" i="3" s="1"/>
  <c r="C2129" i="3" a="1"/>
  <c r="C2129" i="3" s="1"/>
  <c r="D2129" i="3" a="1"/>
  <c r="D2129" i="3" s="1"/>
  <c r="E2129" i="3" a="1"/>
  <c r="E2129" i="3" s="1"/>
  <c r="F2129" i="3" a="1"/>
  <c r="F2129" i="3" s="1"/>
  <c r="G2129" i="3" a="1"/>
  <c r="G2129" i="3" s="1"/>
  <c r="J2129" i="3" a="1"/>
  <c r="J2129" i="3" s="1"/>
  <c r="B2130" i="3" a="1"/>
  <c r="B2130" i="3" s="1"/>
  <c r="C2130" i="3" a="1"/>
  <c r="C2130" i="3" s="1"/>
  <c r="D2130" i="3" a="1"/>
  <c r="D2130" i="3" s="1"/>
  <c r="E2130" i="3" a="1"/>
  <c r="E2130" i="3" s="1"/>
  <c r="F2130" i="3" a="1"/>
  <c r="F2130" i="3" s="1"/>
  <c r="G2130" i="3" a="1"/>
  <c r="G2130" i="3" s="1"/>
  <c r="J2130" i="3" a="1"/>
  <c r="J2130" i="3" s="1"/>
  <c r="B2131" i="3" a="1"/>
  <c r="B2131" i="3" s="1"/>
  <c r="C2131" i="3" a="1"/>
  <c r="C2131" i="3" s="1"/>
  <c r="D2131" i="3" a="1"/>
  <c r="D2131" i="3" s="1"/>
  <c r="E2131" i="3" a="1"/>
  <c r="E2131" i="3" s="1"/>
  <c r="F2131" i="3" a="1"/>
  <c r="F2131" i="3" s="1"/>
  <c r="G2131" i="3" a="1"/>
  <c r="G2131" i="3" s="1"/>
  <c r="J2131" i="3" a="1"/>
  <c r="J2131" i="3" s="1"/>
  <c r="B2132" i="3" a="1"/>
  <c r="B2132" i="3" s="1"/>
  <c r="C2132" i="3" a="1"/>
  <c r="C2132" i="3" s="1"/>
  <c r="D2132" i="3" a="1"/>
  <c r="D2132" i="3" s="1"/>
  <c r="E2132" i="3" a="1"/>
  <c r="E2132" i="3" s="1"/>
  <c r="F2132" i="3" a="1"/>
  <c r="F2132" i="3" s="1"/>
  <c r="G2132" i="3" a="1"/>
  <c r="G2132" i="3" s="1"/>
  <c r="J2132" i="3" a="1"/>
  <c r="J2132" i="3" s="1"/>
  <c r="B2133" i="3" a="1"/>
  <c r="B2133" i="3" s="1"/>
  <c r="C2133" i="3" a="1"/>
  <c r="C2133" i="3" s="1"/>
  <c r="D2133" i="3" a="1"/>
  <c r="D2133" i="3" s="1"/>
  <c r="E2133" i="3" a="1"/>
  <c r="E2133" i="3" s="1"/>
  <c r="F2133" i="3" a="1"/>
  <c r="F2133" i="3" s="1"/>
  <c r="G2133" i="3" a="1"/>
  <c r="G2133" i="3" s="1"/>
  <c r="J2133" i="3" a="1"/>
  <c r="J2133" i="3" s="1"/>
  <c r="B2134" i="3" a="1"/>
  <c r="B2134" i="3" s="1"/>
  <c r="C2134" i="3" a="1"/>
  <c r="C2134" i="3" s="1"/>
  <c r="D2134" i="3" a="1"/>
  <c r="D2134" i="3" s="1"/>
  <c r="E2134" i="3" a="1"/>
  <c r="E2134" i="3" s="1"/>
  <c r="F2134" i="3" a="1"/>
  <c r="F2134" i="3" s="1"/>
  <c r="G2134" i="3" a="1"/>
  <c r="G2134" i="3" s="1"/>
  <c r="J2134" i="3" a="1"/>
  <c r="J2134" i="3" s="1"/>
  <c r="B2135" i="3" a="1"/>
  <c r="B2135" i="3" s="1"/>
  <c r="C2135" i="3" a="1"/>
  <c r="C2135" i="3" s="1"/>
  <c r="D2135" i="3" a="1"/>
  <c r="D2135" i="3" s="1"/>
  <c r="E2135" i="3" a="1"/>
  <c r="E2135" i="3" s="1"/>
  <c r="F2135" i="3" a="1"/>
  <c r="F2135" i="3" s="1"/>
  <c r="G2135" i="3" a="1"/>
  <c r="G2135" i="3" s="1"/>
  <c r="J2135" i="3" a="1"/>
  <c r="J2135" i="3" s="1"/>
  <c r="B2136" i="3" a="1"/>
  <c r="B2136" i="3" s="1"/>
  <c r="C2136" i="3" a="1"/>
  <c r="C2136" i="3" s="1"/>
  <c r="D2136" i="3" a="1"/>
  <c r="D2136" i="3" s="1"/>
  <c r="E2136" i="3" a="1"/>
  <c r="E2136" i="3" s="1"/>
  <c r="F2136" i="3" a="1"/>
  <c r="F2136" i="3" s="1"/>
  <c r="G2136" i="3" a="1"/>
  <c r="G2136" i="3" s="1"/>
  <c r="J2136" i="3" a="1"/>
  <c r="J2136" i="3" s="1"/>
  <c r="B2137" i="3" a="1"/>
  <c r="B2137" i="3" s="1"/>
  <c r="C2137" i="3" a="1"/>
  <c r="C2137" i="3" s="1"/>
  <c r="D2137" i="3" a="1"/>
  <c r="D2137" i="3" s="1"/>
  <c r="E2137" i="3" a="1"/>
  <c r="E2137" i="3" s="1"/>
  <c r="F2137" i="3" a="1"/>
  <c r="F2137" i="3" s="1"/>
  <c r="G2137" i="3" a="1"/>
  <c r="G2137" i="3" s="1"/>
  <c r="J2137" i="3" a="1"/>
  <c r="J2137" i="3" s="1"/>
  <c r="B2138" i="3" a="1"/>
  <c r="B2138" i="3" s="1"/>
  <c r="C2138" i="3" a="1"/>
  <c r="C2138" i="3" s="1"/>
  <c r="D2138" i="3" a="1"/>
  <c r="D2138" i="3" s="1"/>
  <c r="E2138" i="3" a="1"/>
  <c r="E2138" i="3" s="1"/>
  <c r="F2138" i="3" a="1"/>
  <c r="F2138" i="3" s="1"/>
  <c r="G2138" i="3" a="1"/>
  <c r="G2138" i="3" s="1"/>
  <c r="J2138" i="3" a="1"/>
  <c r="J2138" i="3" s="1"/>
  <c r="B2139" i="3" a="1"/>
  <c r="B2139" i="3" s="1"/>
  <c r="C2139" i="3" a="1"/>
  <c r="C2139" i="3" s="1"/>
  <c r="D2139" i="3" a="1"/>
  <c r="D2139" i="3" s="1"/>
  <c r="E2139" i="3" a="1"/>
  <c r="E2139" i="3" s="1"/>
  <c r="F2139" i="3" a="1"/>
  <c r="F2139" i="3" s="1"/>
  <c r="G2139" i="3" a="1"/>
  <c r="G2139" i="3" s="1"/>
  <c r="J2139" i="3" a="1"/>
  <c r="J2139" i="3" s="1"/>
  <c r="B2140" i="3" a="1"/>
  <c r="B2140" i="3" s="1"/>
  <c r="C2140" i="3" a="1"/>
  <c r="C2140" i="3" s="1"/>
  <c r="D2140" i="3" a="1"/>
  <c r="D2140" i="3" s="1"/>
  <c r="E2140" i="3" a="1"/>
  <c r="E2140" i="3" s="1"/>
  <c r="F2140" i="3" a="1"/>
  <c r="F2140" i="3" s="1"/>
  <c r="G2140" i="3" a="1"/>
  <c r="G2140" i="3" s="1"/>
  <c r="J2140" i="3" a="1"/>
  <c r="J2140" i="3" s="1"/>
  <c r="B2141" i="3" a="1"/>
  <c r="B2141" i="3" s="1"/>
  <c r="C2141" i="3" a="1"/>
  <c r="C2141" i="3" s="1"/>
  <c r="D2141" i="3" a="1"/>
  <c r="D2141" i="3" s="1"/>
  <c r="E2141" i="3" a="1"/>
  <c r="E2141" i="3" s="1"/>
  <c r="F2141" i="3" a="1"/>
  <c r="F2141" i="3" s="1"/>
  <c r="G2141" i="3" a="1"/>
  <c r="G2141" i="3" s="1"/>
  <c r="J2141" i="3" a="1"/>
  <c r="J2141" i="3" s="1"/>
  <c r="B2142" i="3" a="1"/>
  <c r="B2142" i="3" s="1"/>
  <c r="C2142" i="3" a="1"/>
  <c r="C2142" i="3" s="1"/>
  <c r="D2142" i="3" a="1"/>
  <c r="D2142" i="3" s="1"/>
  <c r="E2142" i="3" a="1"/>
  <c r="E2142" i="3" s="1"/>
  <c r="F2142" i="3" a="1"/>
  <c r="F2142" i="3" s="1"/>
  <c r="G2142" i="3" a="1"/>
  <c r="G2142" i="3" s="1"/>
  <c r="J2142" i="3" a="1"/>
  <c r="J2142" i="3" s="1"/>
  <c r="B2143" i="3" a="1"/>
  <c r="B2143" i="3" s="1"/>
  <c r="C2143" i="3" a="1"/>
  <c r="C2143" i="3" s="1"/>
  <c r="D2143" i="3" a="1"/>
  <c r="D2143" i="3" s="1"/>
  <c r="E2143" i="3" a="1"/>
  <c r="E2143" i="3" s="1"/>
  <c r="F2143" i="3" a="1"/>
  <c r="F2143" i="3" s="1"/>
  <c r="G2143" i="3" a="1"/>
  <c r="G2143" i="3" s="1"/>
  <c r="J2143" i="3" a="1"/>
  <c r="J2143" i="3" s="1"/>
  <c r="B2144" i="3" a="1"/>
  <c r="B2144" i="3" s="1"/>
  <c r="C2144" i="3" a="1"/>
  <c r="C2144" i="3" s="1"/>
  <c r="D2144" i="3" a="1"/>
  <c r="D2144" i="3" s="1"/>
  <c r="E2144" i="3" a="1"/>
  <c r="E2144" i="3" s="1"/>
  <c r="F2144" i="3" a="1"/>
  <c r="F2144" i="3" s="1"/>
  <c r="G2144" i="3" a="1"/>
  <c r="G2144" i="3" s="1"/>
  <c r="J2144" i="3" a="1"/>
  <c r="J2144" i="3" s="1"/>
  <c r="B2145" i="3" a="1"/>
  <c r="B2145" i="3" s="1"/>
  <c r="C2145" i="3" a="1"/>
  <c r="C2145" i="3" s="1"/>
  <c r="D2145" i="3" a="1"/>
  <c r="D2145" i="3" s="1"/>
  <c r="E2145" i="3" a="1"/>
  <c r="E2145" i="3" s="1"/>
  <c r="F2145" i="3" a="1"/>
  <c r="F2145" i="3" s="1"/>
  <c r="G2145" i="3" a="1"/>
  <c r="G2145" i="3" s="1"/>
  <c r="J2145" i="3" a="1"/>
  <c r="J2145" i="3" s="1"/>
  <c r="B2146" i="3" a="1"/>
  <c r="B2146" i="3" s="1"/>
  <c r="C2146" i="3" a="1"/>
  <c r="C2146" i="3" s="1"/>
  <c r="D2146" i="3" a="1"/>
  <c r="D2146" i="3" s="1"/>
  <c r="E2146" i="3" a="1"/>
  <c r="E2146" i="3" s="1"/>
  <c r="F2146" i="3" a="1"/>
  <c r="F2146" i="3" s="1"/>
  <c r="G2146" i="3" a="1"/>
  <c r="G2146" i="3" s="1"/>
  <c r="J2146" i="3" a="1"/>
  <c r="J2146" i="3" s="1"/>
  <c r="B2147" i="3" a="1"/>
  <c r="B2147" i="3" s="1"/>
  <c r="C2147" i="3" a="1"/>
  <c r="C2147" i="3" s="1"/>
  <c r="D2147" i="3" a="1"/>
  <c r="D2147" i="3" s="1"/>
  <c r="E2147" i="3" a="1"/>
  <c r="E2147" i="3" s="1"/>
  <c r="F2147" i="3" a="1"/>
  <c r="F2147" i="3" s="1"/>
  <c r="G2147" i="3" a="1"/>
  <c r="G2147" i="3" s="1"/>
  <c r="J2147" i="3" a="1"/>
  <c r="J2147" i="3" s="1"/>
  <c r="B2148" i="3" a="1"/>
  <c r="B2148" i="3" s="1"/>
  <c r="C2148" i="3" a="1"/>
  <c r="C2148" i="3" s="1"/>
  <c r="D2148" i="3" a="1"/>
  <c r="D2148" i="3" s="1"/>
  <c r="E2148" i="3" a="1"/>
  <c r="E2148" i="3" s="1"/>
  <c r="F2148" i="3" a="1"/>
  <c r="F2148" i="3" s="1"/>
  <c r="G2148" i="3" a="1"/>
  <c r="G2148" i="3" s="1"/>
  <c r="J2148" i="3" a="1"/>
  <c r="J2148" i="3" s="1"/>
  <c r="B2149" i="3" a="1"/>
  <c r="B2149" i="3" s="1"/>
  <c r="C2149" i="3" a="1"/>
  <c r="C2149" i="3" s="1"/>
  <c r="D2149" i="3" a="1"/>
  <c r="D2149" i="3" s="1"/>
  <c r="E2149" i="3" a="1"/>
  <c r="E2149" i="3" s="1"/>
  <c r="F2149" i="3" a="1"/>
  <c r="F2149" i="3" s="1"/>
  <c r="G2149" i="3" a="1"/>
  <c r="G2149" i="3" s="1"/>
  <c r="J2149" i="3" a="1"/>
  <c r="J2149" i="3" s="1"/>
  <c r="B2150" i="3" a="1"/>
  <c r="B2150" i="3" s="1"/>
  <c r="C2150" i="3" a="1"/>
  <c r="C2150" i="3" s="1"/>
  <c r="D2150" i="3" a="1"/>
  <c r="D2150" i="3" s="1"/>
  <c r="E2150" i="3" a="1"/>
  <c r="E2150" i="3" s="1"/>
  <c r="F2150" i="3" a="1"/>
  <c r="F2150" i="3" s="1"/>
  <c r="G2150" i="3" a="1"/>
  <c r="G2150" i="3" s="1"/>
  <c r="J2150" i="3" a="1"/>
  <c r="J2150" i="3" s="1"/>
  <c r="B2151" i="3" a="1"/>
  <c r="B2151" i="3" s="1"/>
  <c r="C2151" i="3" a="1"/>
  <c r="C2151" i="3" s="1"/>
  <c r="D2151" i="3" a="1"/>
  <c r="D2151" i="3" s="1"/>
  <c r="E2151" i="3" a="1"/>
  <c r="E2151" i="3" s="1"/>
  <c r="F2151" i="3" a="1"/>
  <c r="F2151" i="3" s="1"/>
  <c r="G2151" i="3" a="1"/>
  <c r="G2151" i="3" s="1"/>
  <c r="J2151" i="3" a="1"/>
  <c r="J2151" i="3" s="1"/>
  <c r="B2152" i="3" a="1"/>
  <c r="B2152" i="3" s="1"/>
  <c r="C2152" i="3" a="1"/>
  <c r="C2152" i="3" s="1"/>
  <c r="D2152" i="3" a="1"/>
  <c r="D2152" i="3" s="1"/>
  <c r="E2152" i="3" a="1"/>
  <c r="E2152" i="3" s="1"/>
  <c r="F2152" i="3" a="1"/>
  <c r="F2152" i="3" s="1"/>
  <c r="G2152" i="3" a="1"/>
  <c r="G2152" i="3" s="1"/>
  <c r="J2152" i="3" a="1"/>
  <c r="J2152" i="3" s="1"/>
  <c r="B2153" i="3" a="1"/>
  <c r="B2153" i="3" s="1"/>
  <c r="C2153" i="3" a="1"/>
  <c r="C2153" i="3" s="1"/>
  <c r="D2153" i="3" a="1"/>
  <c r="D2153" i="3" s="1"/>
  <c r="E2153" i="3" a="1"/>
  <c r="E2153" i="3" s="1"/>
  <c r="F2153" i="3" a="1"/>
  <c r="F2153" i="3" s="1"/>
  <c r="G2153" i="3" a="1"/>
  <c r="G2153" i="3" s="1"/>
  <c r="J2153" i="3" a="1"/>
  <c r="J2153" i="3" s="1"/>
  <c r="B2154" i="3" a="1"/>
  <c r="B2154" i="3" s="1"/>
  <c r="C2154" i="3" a="1"/>
  <c r="C2154" i="3" s="1"/>
  <c r="D2154" i="3" a="1"/>
  <c r="D2154" i="3" s="1"/>
  <c r="E2154" i="3" a="1"/>
  <c r="E2154" i="3" s="1"/>
  <c r="F2154" i="3" a="1"/>
  <c r="F2154" i="3" s="1"/>
  <c r="G2154" i="3" a="1"/>
  <c r="G2154" i="3" s="1"/>
  <c r="J2154" i="3" a="1"/>
  <c r="J2154" i="3" s="1"/>
  <c r="B2155" i="3" a="1"/>
  <c r="B2155" i="3" s="1"/>
  <c r="C2155" i="3" a="1"/>
  <c r="C2155" i="3" s="1"/>
  <c r="D2155" i="3" a="1"/>
  <c r="D2155" i="3" s="1"/>
  <c r="E2155" i="3" a="1"/>
  <c r="E2155" i="3" s="1"/>
  <c r="F2155" i="3" a="1"/>
  <c r="F2155" i="3" s="1"/>
  <c r="G2155" i="3" a="1"/>
  <c r="G2155" i="3" s="1"/>
  <c r="J2155" i="3" a="1"/>
  <c r="J2155" i="3" s="1"/>
  <c r="B2156" i="3" a="1"/>
  <c r="B2156" i="3" s="1"/>
  <c r="C2156" i="3" a="1"/>
  <c r="C2156" i="3" s="1"/>
  <c r="D2156" i="3" a="1"/>
  <c r="D2156" i="3" s="1"/>
  <c r="E2156" i="3" a="1"/>
  <c r="E2156" i="3" s="1"/>
  <c r="F2156" i="3" a="1"/>
  <c r="F2156" i="3" s="1"/>
  <c r="G2156" i="3" a="1"/>
  <c r="G2156" i="3" s="1"/>
  <c r="J2156" i="3" a="1"/>
  <c r="J2156" i="3" s="1"/>
  <c r="B2157" i="3" a="1"/>
  <c r="B2157" i="3" s="1"/>
  <c r="C2157" i="3" a="1"/>
  <c r="C2157" i="3" s="1"/>
  <c r="D2157" i="3" a="1"/>
  <c r="D2157" i="3" s="1"/>
  <c r="E2157" i="3" a="1"/>
  <c r="E2157" i="3" s="1"/>
  <c r="F2157" i="3" a="1"/>
  <c r="F2157" i="3" s="1"/>
  <c r="G2157" i="3" a="1"/>
  <c r="G2157" i="3" s="1"/>
  <c r="J2157" i="3" a="1"/>
  <c r="J2157" i="3" s="1"/>
  <c r="B2158" i="3" a="1"/>
  <c r="B2158" i="3" s="1"/>
  <c r="C2158" i="3" a="1"/>
  <c r="C2158" i="3" s="1"/>
  <c r="D2158" i="3" a="1"/>
  <c r="D2158" i="3" s="1"/>
  <c r="E2158" i="3" a="1"/>
  <c r="E2158" i="3" s="1"/>
  <c r="F2158" i="3" a="1"/>
  <c r="F2158" i="3" s="1"/>
  <c r="G2158" i="3" a="1"/>
  <c r="G2158" i="3" s="1"/>
  <c r="J2158" i="3" a="1"/>
  <c r="J2158" i="3" s="1"/>
  <c r="B2159" i="3" a="1"/>
  <c r="B2159" i="3" s="1"/>
  <c r="C2159" i="3" a="1"/>
  <c r="C2159" i="3" s="1"/>
  <c r="D2159" i="3" a="1"/>
  <c r="D2159" i="3" s="1"/>
  <c r="E2159" i="3" a="1"/>
  <c r="E2159" i="3" s="1"/>
  <c r="F2159" i="3" a="1"/>
  <c r="F2159" i="3" s="1"/>
  <c r="G2159" i="3" a="1"/>
  <c r="G2159" i="3" s="1"/>
  <c r="J2159" i="3" a="1"/>
  <c r="J2159" i="3" s="1"/>
  <c r="B2160" i="3" a="1"/>
  <c r="B2160" i="3" s="1"/>
  <c r="C2160" i="3" a="1"/>
  <c r="C2160" i="3" s="1"/>
  <c r="D2160" i="3" a="1"/>
  <c r="D2160" i="3" s="1"/>
  <c r="E2160" i="3" a="1"/>
  <c r="E2160" i="3" s="1"/>
  <c r="F2160" i="3" a="1"/>
  <c r="F2160" i="3" s="1"/>
  <c r="G2160" i="3" a="1"/>
  <c r="G2160" i="3" s="1"/>
  <c r="J2160" i="3" a="1"/>
  <c r="J2160" i="3" s="1"/>
  <c r="B2161" i="3" a="1"/>
  <c r="B2161" i="3" s="1"/>
  <c r="C2161" i="3" a="1"/>
  <c r="C2161" i="3" s="1"/>
  <c r="D2161" i="3" a="1"/>
  <c r="D2161" i="3" s="1"/>
  <c r="E2161" i="3" a="1"/>
  <c r="E2161" i="3" s="1"/>
  <c r="F2161" i="3" a="1"/>
  <c r="F2161" i="3" s="1"/>
  <c r="G2161" i="3" a="1"/>
  <c r="G2161" i="3" s="1"/>
  <c r="J2161" i="3" a="1"/>
  <c r="J2161" i="3" s="1"/>
  <c r="B2162" i="3" a="1"/>
  <c r="B2162" i="3" s="1"/>
  <c r="C2162" i="3" a="1"/>
  <c r="C2162" i="3" s="1"/>
  <c r="D2162" i="3" a="1"/>
  <c r="D2162" i="3" s="1"/>
  <c r="E2162" i="3" a="1"/>
  <c r="E2162" i="3" s="1"/>
  <c r="F2162" i="3" a="1"/>
  <c r="F2162" i="3" s="1"/>
  <c r="G2162" i="3" a="1"/>
  <c r="G2162" i="3" s="1"/>
  <c r="J2162" i="3" a="1"/>
  <c r="J2162" i="3" s="1"/>
  <c r="B2163" i="3" a="1"/>
  <c r="B2163" i="3" s="1"/>
  <c r="C2163" i="3" a="1"/>
  <c r="C2163" i="3" s="1"/>
  <c r="D2163" i="3" a="1"/>
  <c r="D2163" i="3" s="1"/>
  <c r="E2163" i="3" a="1"/>
  <c r="E2163" i="3" s="1"/>
  <c r="F2163" i="3" a="1"/>
  <c r="F2163" i="3" s="1"/>
  <c r="G2163" i="3" a="1"/>
  <c r="G2163" i="3" s="1"/>
  <c r="J2163" i="3" a="1"/>
  <c r="J2163" i="3" s="1"/>
  <c r="B2164" i="3" a="1"/>
  <c r="B2164" i="3" s="1"/>
  <c r="C2164" i="3" a="1"/>
  <c r="C2164" i="3" s="1"/>
  <c r="D2164" i="3" a="1"/>
  <c r="D2164" i="3" s="1"/>
  <c r="E2164" i="3" a="1"/>
  <c r="E2164" i="3" s="1"/>
  <c r="F2164" i="3" a="1"/>
  <c r="F2164" i="3" s="1"/>
  <c r="G2164" i="3" a="1"/>
  <c r="G2164" i="3" s="1"/>
  <c r="J2164" i="3" a="1"/>
  <c r="J2164" i="3" s="1"/>
  <c r="B2165" i="3" a="1"/>
  <c r="B2165" i="3" s="1"/>
  <c r="C2165" i="3" a="1"/>
  <c r="C2165" i="3" s="1"/>
  <c r="D2165" i="3" a="1"/>
  <c r="D2165" i="3" s="1"/>
  <c r="E2165" i="3" a="1"/>
  <c r="E2165" i="3" s="1"/>
  <c r="F2165" i="3" a="1"/>
  <c r="F2165" i="3" s="1"/>
  <c r="G2165" i="3" a="1"/>
  <c r="G2165" i="3" s="1"/>
  <c r="J2165" i="3" a="1"/>
  <c r="J2165" i="3" s="1"/>
  <c r="B2166" i="3" a="1"/>
  <c r="B2166" i="3" s="1"/>
  <c r="C2166" i="3" a="1"/>
  <c r="C2166" i="3" s="1"/>
  <c r="D2166" i="3" a="1"/>
  <c r="D2166" i="3" s="1"/>
  <c r="E2166" i="3" a="1"/>
  <c r="E2166" i="3" s="1"/>
  <c r="F2166" i="3" a="1"/>
  <c r="F2166" i="3" s="1"/>
  <c r="G2166" i="3" a="1"/>
  <c r="G2166" i="3" s="1"/>
  <c r="J2166" i="3" a="1"/>
  <c r="J2166" i="3" s="1"/>
  <c r="B2167" i="3" a="1"/>
  <c r="B2167" i="3" s="1"/>
  <c r="C2167" i="3" a="1"/>
  <c r="C2167" i="3" s="1"/>
  <c r="D2167" i="3" a="1"/>
  <c r="D2167" i="3" s="1"/>
  <c r="E2167" i="3" a="1"/>
  <c r="E2167" i="3" s="1"/>
  <c r="F2167" i="3" a="1"/>
  <c r="F2167" i="3" s="1"/>
  <c r="G2167" i="3" a="1"/>
  <c r="G2167" i="3" s="1"/>
  <c r="J2167" i="3" a="1"/>
  <c r="J2167" i="3" s="1"/>
  <c r="B2168" i="3" a="1"/>
  <c r="B2168" i="3" s="1"/>
  <c r="C2168" i="3" a="1"/>
  <c r="C2168" i="3" s="1"/>
  <c r="D2168" i="3" a="1"/>
  <c r="D2168" i="3" s="1"/>
  <c r="E2168" i="3" a="1"/>
  <c r="E2168" i="3" s="1"/>
  <c r="F2168" i="3" a="1"/>
  <c r="F2168" i="3" s="1"/>
  <c r="G2168" i="3" a="1"/>
  <c r="G2168" i="3" s="1"/>
  <c r="J2168" i="3" a="1"/>
  <c r="J2168" i="3" s="1"/>
  <c r="B2169" i="3" a="1"/>
  <c r="B2169" i="3" s="1"/>
  <c r="C2169" i="3" a="1"/>
  <c r="C2169" i="3" s="1"/>
  <c r="D2169" i="3" a="1"/>
  <c r="D2169" i="3" s="1"/>
  <c r="E2169" i="3" a="1"/>
  <c r="E2169" i="3" s="1"/>
  <c r="F2169" i="3" a="1"/>
  <c r="F2169" i="3" s="1"/>
  <c r="G2169" i="3" a="1"/>
  <c r="G2169" i="3" s="1"/>
  <c r="J2169" i="3" a="1"/>
  <c r="J2169" i="3" s="1"/>
  <c r="B2170" i="3" a="1"/>
  <c r="B2170" i="3" s="1"/>
  <c r="C2170" i="3" a="1"/>
  <c r="C2170" i="3" s="1"/>
  <c r="D2170" i="3" a="1"/>
  <c r="D2170" i="3" s="1"/>
  <c r="E2170" i="3" a="1"/>
  <c r="E2170" i="3" s="1"/>
  <c r="F2170" i="3" a="1"/>
  <c r="F2170" i="3" s="1"/>
  <c r="G2170" i="3" a="1"/>
  <c r="G2170" i="3" s="1"/>
  <c r="J2170" i="3" a="1"/>
  <c r="J2170" i="3" s="1"/>
  <c r="B2171" i="3" a="1"/>
  <c r="B2171" i="3" s="1"/>
  <c r="C2171" i="3" a="1"/>
  <c r="C2171" i="3" s="1"/>
  <c r="D2171" i="3" a="1"/>
  <c r="D2171" i="3" s="1"/>
  <c r="E2171" i="3" a="1"/>
  <c r="E2171" i="3" s="1"/>
  <c r="F2171" i="3" a="1"/>
  <c r="F2171" i="3" s="1"/>
  <c r="G2171" i="3" a="1"/>
  <c r="G2171" i="3" s="1"/>
  <c r="J2171" i="3" a="1"/>
  <c r="J2171" i="3" s="1"/>
  <c r="B2172" i="3" a="1"/>
  <c r="B2172" i="3" s="1"/>
  <c r="C2172" i="3" a="1"/>
  <c r="C2172" i="3" s="1"/>
  <c r="D2172" i="3" a="1"/>
  <c r="D2172" i="3" s="1"/>
  <c r="E2172" i="3" a="1"/>
  <c r="E2172" i="3" s="1"/>
  <c r="F2172" i="3" a="1"/>
  <c r="F2172" i="3" s="1"/>
  <c r="G2172" i="3" a="1"/>
  <c r="G2172" i="3" s="1"/>
  <c r="J2172" i="3" a="1"/>
  <c r="J2172" i="3" s="1"/>
  <c r="B2173" i="3" a="1"/>
  <c r="B2173" i="3" s="1"/>
  <c r="C2173" i="3" a="1"/>
  <c r="C2173" i="3" s="1"/>
  <c r="D2173" i="3" a="1"/>
  <c r="D2173" i="3" s="1"/>
  <c r="E2173" i="3" a="1"/>
  <c r="E2173" i="3" s="1"/>
  <c r="F2173" i="3" a="1"/>
  <c r="F2173" i="3" s="1"/>
  <c r="G2173" i="3" a="1"/>
  <c r="G2173" i="3" s="1"/>
  <c r="J2173" i="3" a="1"/>
  <c r="J2173" i="3" s="1"/>
  <c r="B2174" i="3" a="1"/>
  <c r="B2174" i="3" s="1"/>
  <c r="C2174" i="3" a="1"/>
  <c r="C2174" i="3" s="1"/>
  <c r="D2174" i="3" a="1"/>
  <c r="D2174" i="3" s="1"/>
  <c r="E2174" i="3" a="1"/>
  <c r="E2174" i="3" s="1"/>
  <c r="F2174" i="3" a="1"/>
  <c r="F2174" i="3" s="1"/>
  <c r="G2174" i="3" a="1"/>
  <c r="G2174" i="3" s="1"/>
  <c r="J2174" i="3" a="1"/>
  <c r="J2174" i="3" s="1"/>
  <c r="B2175" i="3" a="1"/>
  <c r="B2175" i="3" s="1"/>
  <c r="C2175" i="3" a="1"/>
  <c r="C2175" i="3" s="1"/>
  <c r="D2175" i="3" a="1"/>
  <c r="D2175" i="3" s="1"/>
  <c r="E2175" i="3" a="1"/>
  <c r="E2175" i="3" s="1"/>
  <c r="F2175" i="3" a="1"/>
  <c r="F2175" i="3" s="1"/>
  <c r="G2175" i="3" a="1"/>
  <c r="G2175" i="3" s="1"/>
  <c r="J2175" i="3" a="1"/>
  <c r="J2175" i="3" s="1"/>
  <c r="B2176" i="3" a="1"/>
  <c r="B2176" i="3" s="1"/>
  <c r="C2176" i="3" a="1"/>
  <c r="C2176" i="3" s="1"/>
  <c r="D2176" i="3" a="1"/>
  <c r="D2176" i="3" s="1"/>
  <c r="E2176" i="3" a="1"/>
  <c r="E2176" i="3" s="1"/>
  <c r="F2176" i="3" a="1"/>
  <c r="F2176" i="3" s="1"/>
  <c r="G2176" i="3" a="1"/>
  <c r="G2176" i="3" s="1"/>
  <c r="J2176" i="3" a="1"/>
  <c r="J2176" i="3" s="1"/>
  <c r="B2177" i="3" a="1"/>
  <c r="B2177" i="3" s="1"/>
  <c r="C2177" i="3" a="1"/>
  <c r="C2177" i="3" s="1"/>
  <c r="D2177" i="3" a="1"/>
  <c r="D2177" i="3" s="1"/>
  <c r="E2177" i="3" a="1"/>
  <c r="E2177" i="3" s="1"/>
  <c r="F2177" i="3" a="1"/>
  <c r="F2177" i="3" s="1"/>
  <c r="G2177" i="3" a="1"/>
  <c r="G2177" i="3" s="1"/>
  <c r="J2177" i="3" a="1"/>
  <c r="J2177" i="3" s="1"/>
  <c r="B2178" i="3" a="1"/>
  <c r="B2178" i="3" s="1"/>
  <c r="C2178" i="3" a="1"/>
  <c r="C2178" i="3" s="1"/>
  <c r="D2178" i="3" a="1"/>
  <c r="D2178" i="3" s="1"/>
  <c r="E2178" i="3" a="1"/>
  <c r="E2178" i="3" s="1"/>
  <c r="F2178" i="3" a="1"/>
  <c r="F2178" i="3" s="1"/>
  <c r="G2178" i="3" a="1"/>
  <c r="G2178" i="3" s="1"/>
  <c r="J2178" i="3" a="1"/>
  <c r="J2178" i="3" s="1"/>
  <c r="B2179" i="3" a="1"/>
  <c r="B2179" i="3" s="1"/>
  <c r="C2179" i="3" a="1"/>
  <c r="C2179" i="3" s="1"/>
  <c r="D2179" i="3" a="1"/>
  <c r="D2179" i="3" s="1"/>
  <c r="E2179" i="3" a="1"/>
  <c r="E2179" i="3" s="1"/>
  <c r="F2179" i="3" a="1"/>
  <c r="F2179" i="3" s="1"/>
  <c r="G2179" i="3" a="1"/>
  <c r="G2179" i="3" s="1"/>
  <c r="J2179" i="3" a="1"/>
  <c r="J2179" i="3" s="1"/>
  <c r="B2180" i="3" a="1"/>
  <c r="B2180" i="3" s="1"/>
  <c r="C2180" i="3" a="1"/>
  <c r="C2180" i="3" s="1"/>
  <c r="D2180" i="3" a="1"/>
  <c r="D2180" i="3" s="1"/>
  <c r="E2180" i="3" a="1"/>
  <c r="E2180" i="3" s="1"/>
  <c r="F2180" i="3" a="1"/>
  <c r="F2180" i="3" s="1"/>
  <c r="G2180" i="3" a="1"/>
  <c r="G2180" i="3" s="1"/>
  <c r="J2180" i="3" a="1"/>
  <c r="J2180" i="3" s="1"/>
  <c r="B2181" i="3" a="1"/>
  <c r="B2181" i="3" s="1"/>
  <c r="C2181" i="3" a="1"/>
  <c r="C2181" i="3" s="1"/>
  <c r="D2181" i="3" a="1"/>
  <c r="D2181" i="3" s="1"/>
  <c r="E2181" i="3" a="1"/>
  <c r="E2181" i="3" s="1"/>
  <c r="F2181" i="3" a="1"/>
  <c r="F2181" i="3" s="1"/>
  <c r="G2181" i="3" a="1"/>
  <c r="G2181" i="3" s="1"/>
  <c r="J2181" i="3" a="1"/>
  <c r="J2181" i="3" s="1"/>
  <c r="B2182" i="3" a="1"/>
  <c r="B2182" i="3" s="1"/>
  <c r="C2182" i="3" a="1"/>
  <c r="C2182" i="3" s="1"/>
  <c r="D2182" i="3" a="1"/>
  <c r="D2182" i="3" s="1"/>
  <c r="E2182" i="3" a="1"/>
  <c r="E2182" i="3" s="1"/>
  <c r="F2182" i="3" a="1"/>
  <c r="F2182" i="3" s="1"/>
  <c r="G2182" i="3" a="1"/>
  <c r="G2182" i="3" s="1"/>
  <c r="J2182" i="3" a="1"/>
  <c r="J2182" i="3" s="1"/>
  <c r="B2183" i="3" a="1"/>
  <c r="B2183" i="3" s="1"/>
  <c r="C2183" i="3" a="1"/>
  <c r="C2183" i="3" s="1"/>
  <c r="D2183" i="3" a="1"/>
  <c r="D2183" i="3" s="1"/>
  <c r="E2183" i="3" a="1"/>
  <c r="E2183" i="3" s="1"/>
  <c r="F2183" i="3" a="1"/>
  <c r="F2183" i="3" s="1"/>
  <c r="G2183" i="3" a="1"/>
  <c r="G2183" i="3" s="1"/>
  <c r="J2183" i="3" a="1"/>
  <c r="J2183" i="3" s="1"/>
  <c r="B2184" i="3" a="1"/>
  <c r="B2184" i="3" s="1"/>
  <c r="C2184" i="3" a="1"/>
  <c r="C2184" i="3" s="1"/>
  <c r="D2184" i="3" a="1"/>
  <c r="D2184" i="3" s="1"/>
  <c r="E2184" i="3" a="1"/>
  <c r="E2184" i="3" s="1"/>
  <c r="F2184" i="3" a="1"/>
  <c r="F2184" i="3" s="1"/>
  <c r="G2184" i="3" a="1"/>
  <c r="G2184" i="3" s="1"/>
  <c r="J2184" i="3" a="1"/>
  <c r="J2184" i="3" s="1"/>
  <c r="B2185" i="3" a="1"/>
  <c r="B2185" i="3" s="1"/>
  <c r="C2185" i="3" a="1"/>
  <c r="C2185" i="3" s="1"/>
  <c r="D2185" i="3" a="1"/>
  <c r="D2185" i="3" s="1"/>
  <c r="E2185" i="3" a="1"/>
  <c r="E2185" i="3" s="1"/>
  <c r="F2185" i="3" a="1"/>
  <c r="F2185" i="3" s="1"/>
  <c r="G2185" i="3" a="1"/>
  <c r="G2185" i="3" s="1"/>
  <c r="J2185" i="3" a="1"/>
  <c r="J2185" i="3" s="1"/>
  <c r="B2186" i="3" a="1"/>
  <c r="B2186" i="3" s="1"/>
  <c r="C2186" i="3" a="1"/>
  <c r="C2186" i="3" s="1"/>
  <c r="D2186" i="3" a="1"/>
  <c r="D2186" i="3" s="1"/>
  <c r="E2186" i="3" a="1"/>
  <c r="E2186" i="3" s="1"/>
  <c r="F2186" i="3" a="1"/>
  <c r="F2186" i="3" s="1"/>
  <c r="G2186" i="3" a="1"/>
  <c r="G2186" i="3" s="1"/>
  <c r="J2186" i="3" a="1"/>
  <c r="J2186" i="3" s="1"/>
  <c r="B2187" i="3" a="1"/>
  <c r="B2187" i="3" s="1"/>
  <c r="C2187" i="3" a="1"/>
  <c r="C2187" i="3" s="1"/>
  <c r="D2187" i="3" a="1"/>
  <c r="D2187" i="3" s="1"/>
  <c r="E2187" i="3" a="1"/>
  <c r="E2187" i="3" s="1"/>
  <c r="F2187" i="3" a="1"/>
  <c r="F2187" i="3" s="1"/>
  <c r="G2187" i="3" a="1"/>
  <c r="G2187" i="3" s="1"/>
  <c r="J2187" i="3" a="1"/>
  <c r="J2187" i="3" s="1"/>
  <c r="B2188" i="3" a="1"/>
  <c r="B2188" i="3" s="1"/>
  <c r="C2188" i="3" a="1"/>
  <c r="C2188" i="3" s="1"/>
  <c r="D2188" i="3" a="1"/>
  <c r="D2188" i="3" s="1"/>
  <c r="E2188" i="3" a="1"/>
  <c r="E2188" i="3" s="1"/>
  <c r="F2188" i="3" a="1"/>
  <c r="F2188" i="3" s="1"/>
  <c r="G2188" i="3" a="1"/>
  <c r="G2188" i="3" s="1"/>
  <c r="J2188" i="3" a="1"/>
  <c r="J2188" i="3" s="1"/>
  <c r="B2189" i="3" a="1"/>
  <c r="B2189" i="3" s="1"/>
  <c r="C2189" i="3" a="1"/>
  <c r="C2189" i="3" s="1"/>
  <c r="D2189" i="3" a="1"/>
  <c r="D2189" i="3" s="1"/>
  <c r="E2189" i="3" a="1"/>
  <c r="E2189" i="3" s="1"/>
  <c r="F2189" i="3" a="1"/>
  <c r="F2189" i="3" s="1"/>
  <c r="G2189" i="3" a="1"/>
  <c r="G2189" i="3" s="1"/>
  <c r="J2189" i="3" a="1"/>
  <c r="J2189" i="3" s="1"/>
  <c r="B2190" i="3" a="1"/>
  <c r="B2190" i="3" s="1"/>
  <c r="C2190" i="3" a="1"/>
  <c r="C2190" i="3" s="1"/>
  <c r="D2190" i="3" a="1"/>
  <c r="D2190" i="3" s="1"/>
  <c r="E2190" i="3" a="1"/>
  <c r="E2190" i="3" s="1"/>
  <c r="F2190" i="3" a="1"/>
  <c r="F2190" i="3" s="1"/>
  <c r="G2190" i="3" a="1"/>
  <c r="G2190" i="3" s="1"/>
  <c r="J2190" i="3" a="1"/>
  <c r="J2190" i="3" s="1"/>
  <c r="B2191" i="3" a="1"/>
  <c r="B2191" i="3" s="1"/>
  <c r="C2191" i="3" a="1"/>
  <c r="C2191" i="3" s="1"/>
  <c r="D2191" i="3" a="1"/>
  <c r="D2191" i="3" s="1"/>
  <c r="E2191" i="3" a="1"/>
  <c r="E2191" i="3" s="1"/>
  <c r="F2191" i="3" a="1"/>
  <c r="F2191" i="3" s="1"/>
  <c r="G2191" i="3" a="1"/>
  <c r="G2191" i="3" s="1"/>
  <c r="J2191" i="3" a="1"/>
  <c r="J2191" i="3" s="1"/>
  <c r="B2192" i="3" a="1"/>
  <c r="B2192" i="3" s="1"/>
  <c r="C2192" i="3" a="1"/>
  <c r="C2192" i="3" s="1"/>
  <c r="D2192" i="3" a="1"/>
  <c r="D2192" i="3" s="1"/>
  <c r="E2192" i="3" a="1"/>
  <c r="E2192" i="3" s="1"/>
  <c r="F2192" i="3" a="1"/>
  <c r="F2192" i="3" s="1"/>
  <c r="G2192" i="3" a="1"/>
  <c r="G2192" i="3" s="1"/>
  <c r="J2192" i="3" a="1"/>
  <c r="J2192" i="3" s="1"/>
  <c r="B2193" i="3" a="1"/>
  <c r="B2193" i="3" s="1"/>
  <c r="C2193" i="3" a="1"/>
  <c r="C2193" i="3" s="1"/>
  <c r="D2193" i="3" a="1"/>
  <c r="D2193" i="3" s="1"/>
  <c r="E2193" i="3" a="1"/>
  <c r="E2193" i="3" s="1"/>
  <c r="F2193" i="3" a="1"/>
  <c r="F2193" i="3" s="1"/>
  <c r="G2193" i="3" a="1"/>
  <c r="G2193" i="3" s="1"/>
  <c r="J2193" i="3" a="1"/>
  <c r="J2193" i="3" s="1"/>
  <c r="B2194" i="3" a="1"/>
  <c r="B2194" i="3" s="1"/>
  <c r="C2194" i="3" a="1"/>
  <c r="C2194" i="3" s="1"/>
  <c r="D2194" i="3" a="1"/>
  <c r="D2194" i="3" s="1"/>
  <c r="E2194" i="3" a="1"/>
  <c r="E2194" i="3" s="1"/>
  <c r="F2194" i="3" a="1"/>
  <c r="F2194" i="3" s="1"/>
  <c r="G2194" i="3" a="1"/>
  <c r="G2194" i="3" s="1"/>
  <c r="J2194" i="3" a="1"/>
  <c r="J2194" i="3" s="1"/>
  <c r="B2195" i="3" a="1"/>
  <c r="B2195" i="3" s="1"/>
  <c r="C2195" i="3" a="1"/>
  <c r="C2195" i="3" s="1"/>
  <c r="D2195" i="3" a="1"/>
  <c r="D2195" i="3" s="1"/>
  <c r="E2195" i="3" a="1"/>
  <c r="E2195" i="3" s="1"/>
  <c r="F2195" i="3" a="1"/>
  <c r="F2195" i="3" s="1"/>
  <c r="G2195" i="3" a="1"/>
  <c r="G2195" i="3" s="1"/>
  <c r="J2195" i="3" a="1"/>
  <c r="J2195" i="3" s="1"/>
  <c r="B2196" i="3" a="1"/>
  <c r="B2196" i="3" s="1"/>
  <c r="C2196" i="3" a="1"/>
  <c r="C2196" i="3" s="1"/>
  <c r="D2196" i="3" a="1"/>
  <c r="D2196" i="3" s="1"/>
  <c r="E2196" i="3" a="1"/>
  <c r="E2196" i="3" s="1"/>
  <c r="F2196" i="3" a="1"/>
  <c r="F2196" i="3" s="1"/>
  <c r="G2196" i="3" a="1"/>
  <c r="G2196" i="3" s="1"/>
  <c r="J2196" i="3" a="1"/>
  <c r="J2196" i="3" s="1"/>
  <c r="B2197" i="3" a="1"/>
  <c r="B2197" i="3" s="1"/>
  <c r="C2197" i="3" a="1"/>
  <c r="C2197" i="3" s="1"/>
  <c r="D2197" i="3" a="1"/>
  <c r="D2197" i="3" s="1"/>
  <c r="E2197" i="3" a="1"/>
  <c r="E2197" i="3" s="1"/>
  <c r="F2197" i="3" a="1"/>
  <c r="F2197" i="3" s="1"/>
  <c r="G2197" i="3" a="1"/>
  <c r="G2197" i="3" s="1"/>
  <c r="J2197" i="3" a="1"/>
  <c r="J2197" i="3" s="1"/>
  <c r="B2198" i="3" a="1"/>
  <c r="B2198" i="3" s="1"/>
  <c r="C2198" i="3" a="1"/>
  <c r="C2198" i="3" s="1"/>
  <c r="D2198" i="3" a="1"/>
  <c r="D2198" i="3" s="1"/>
  <c r="E2198" i="3" a="1"/>
  <c r="E2198" i="3" s="1"/>
  <c r="F2198" i="3" a="1"/>
  <c r="F2198" i="3" s="1"/>
  <c r="G2198" i="3" a="1"/>
  <c r="G2198" i="3" s="1"/>
  <c r="J2198" i="3" a="1"/>
  <c r="J2198" i="3" s="1"/>
  <c r="B2199" i="3" a="1"/>
  <c r="B2199" i="3" s="1"/>
  <c r="C2199" i="3" a="1"/>
  <c r="C2199" i="3" s="1"/>
  <c r="D2199" i="3" a="1"/>
  <c r="D2199" i="3" s="1"/>
  <c r="E2199" i="3" a="1"/>
  <c r="E2199" i="3" s="1"/>
  <c r="F2199" i="3" a="1"/>
  <c r="F2199" i="3" s="1"/>
  <c r="G2199" i="3" a="1"/>
  <c r="G2199" i="3" s="1"/>
  <c r="J2199" i="3" a="1"/>
  <c r="J2199" i="3" s="1"/>
  <c r="B2200" i="3" a="1"/>
  <c r="B2200" i="3" s="1"/>
  <c r="C2200" i="3" a="1"/>
  <c r="C2200" i="3" s="1"/>
  <c r="D2200" i="3" a="1"/>
  <c r="D2200" i="3" s="1"/>
  <c r="E2200" i="3" a="1"/>
  <c r="E2200" i="3" s="1"/>
  <c r="F2200" i="3" a="1"/>
  <c r="F2200" i="3" s="1"/>
  <c r="G2200" i="3" a="1"/>
  <c r="G2200" i="3" s="1"/>
  <c r="J2200" i="3" a="1"/>
  <c r="J2200" i="3" s="1"/>
  <c r="B2201" i="3" a="1"/>
  <c r="B2201" i="3" s="1"/>
  <c r="C2201" i="3" a="1"/>
  <c r="C2201" i="3" s="1"/>
  <c r="D2201" i="3" a="1"/>
  <c r="D2201" i="3" s="1"/>
  <c r="E2201" i="3" a="1"/>
  <c r="E2201" i="3" s="1"/>
  <c r="F2201" i="3" a="1"/>
  <c r="F2201" i="3" s="1"/>
  <c r="G2201" i="3" a="1"/>
  <c r="G2201" i="3" s="1"/>
  <c r="J2201" i="3" a="1"/>
  <c r="J2201" i="3" s="1"/>
  <c r="B2202" i="3" a="1"/>
  <c r="B2202" i="3" s="1"/>
  <c r="C2202" i="3" a="1"/>
  <c r="C2202" i="3" s="1"/>
  <c r="D2202" i="3" a="1"/>
  <c r="D2202" i="3" s="1"/>
  <c r="E2202" i="3" a="1"/>
  <c r="E2202" i="3" s="1"/>
  <c r="F2202" i="3" a="1"/>
  <c r="F2202" i="3" s="1"/>
  <c r="G2202" i="3" a="1"/>
  <c r="G2202" i="3" s="1"/>
  <c r="J2202" i="3" a="1"/>
  <c r="J2202" i="3" s="1"/>
  <c r="B2203" i="3" a="1"/>
  <c r="B2203" i="3" s="1"/>
  <c r="C2203" i="3" a="1"/>
  <c r="C2203" i="3" s="1"/>
  <c r="D2203" i="3" a="1"/>
  <c r="D2203" i="3" s="1"/>
  <c r="E2203" i="3" a="1"/>
  <c r="E2203" i="3" s="1"/>
  <c r="F2203" i="3" a="1"/>
  <c r="F2203" i="3" s="1"/>
  <c r="G2203" i="3" a="1"/>
  <c r="G2203" i="3" s="1"/>
  <c r="J2203" i="3" a="1"/>
  <c r="J2203" i="3" s="1"/>
  <c r="B2204" i="3" a="1"/>
  <c r="B2204" i="3" s="1"/>
  <c r="C2204" i="3" a="1"/>
  <c r="C2204" i="3" s="1"/>
  <c r="D2204" i="3" a="1"/>
  <c r="D2204" i="3" s="1"/>
  <c r="E2204" i="3" a="1"/>
  <c r="E2204" i="3" s="1"/>
  <c r="F2204" i="3" a="1"/>
  <c r="F2204" i="3" s="1"/>
  <c r="G2204" i="3" a="1"/>
  <c r="G2204" i="3" s="1"/>
  <c r="J2204" i="3" a="1"/>
  <c r="J2204" i="3" s="1"/>
  <c r="B2205" i="3" a="1"/>
  <c r="B2205" i="3" s="1"/>
  <c r="C2205" i="3" a="1"/>
  <c r="C2205" i="3" s="1"/>
  <c r="D2205" i="3" a="1"/>
  <c r="D2205" i="3" s="1"/>
  <c r="E2205" i="3" a="1"/>
  <c r="E2205" i="3" s="1"/>
  <c r="F2205" i="3" a="1"/>
  <c r="F2205" i="3" s="1"/>
  <c r="G2205" i="3" a="1"/>
  <c r="G2205" i="3" s="1"/>
  <c r="J2205" i="3" a="1"/>
  <c r="J2205" i="3" s="1"/>
  <c r="B2206" i="3" a="1"/>
  <c r="B2206" i="3" s="1"/>
  <c r="C2206" i="3" a="1"/>
  <c r="C2206" i="3" s="1"/>
  <c r="D2206" i="3" a="1"/>
  <c r="D2206" i="3" s="1"/>
  <c r="E2206" i="3" a="1"/>
  <c r="E2206" i="3" s="1"/>
  <c r="F2206" i="3" a="1"/>
  <c r="F2206" i="3" s="1"/>
  <c r="G2206" i="3" a="1"/>
  <c r="G2206" i="3" s="1"/>
  <c r="J2206" i="3" a="1"/>
  <c r="J2206" i="3" s="1"/>
  <c r="B2207" i="3" a="1"/>
  <c r="B2207" i="3" s="1"/>
  <c r="C2207" i="3" a="1"/>
  <c r="C2207" i="3" s="1"/>
  <c r="D2207" i="3" a="1"/>
  <c r="D2207" i="3" s="1"/>
  <c r="E2207" i="3" a="1"/>
  <c r="E2207" i="3" s="1"/>
  <c r="F2207" i="3" a="1"/>
  <c r="F2207" i="3" s="1"/>
  <c r="G2207" i="3" a="1"/>
  <c r="G2207" i="3" s="1"/>
  <c r="J2207" i="3" a="1"/>
  <c r="J2207" i="3" s="1"/>
  <c r="B2208" i="3" a="1"/>
  <c r="B2208" i="3" s="1"/>
  <c r="C2208" i="3" a="1"/>
  <c r="C2208" i="3" s="1"/>
  <c r="D2208" i="3" a="1"/>
  <c r="D2208" i="3" s="1"/>
  <c r="E2208" i="3" a="1"/>
  <c r="E2208" i="3" s="1"/>
  <c r="F2208" i="3" a="1"/>
  <c r="F2208" i="3" s="1"/>
  <c r="G2208" i="3" a="1"/>
  <c r="G2208" i="3" s="1"/>
  <c r="J2208" i="3" a="1"/>
  <c r="J2208" i="3" s="1"/>
  <c r="B2209" i="3" a="1"/>
  <c r="B2209" i="3" s="1"/>
  <c r="C2209" i="3" a="1"/>
  <c r="C2209" i="3" s="1"/>
  <c r="D2209" i="3" a="1"/>
  <c r="D2209" i="3" s="1"/>
  <c r="E2209" i="3" a="1"/>
  <c r="E2209" i="3" s="1"/>
  <c r="F2209" i="3" a="1"/>
  <c r="F2209" i="3" s="1"/>
  <c r="G2209" i="3" a="1"/>
  <c r="G2209" i="3" s="1"/>
  <c r="J2209" i="3" a="1"/>
  <c r="J2209" i="3" s="1"/>
  <c r="B2210" i="3" a="1"/>
  <c r="B2210" i="3" s="1"/>
  <c r="C2210" i="3" a="1"/>
  <c r="C2210" i="3" s="1"/>
  <c r="D2210" i="3" a="1"/>
  <c r="D2210" i="3" s="1"/>
  <c r="E2210" i="3" a="1"/>
  <c r="E2210" i="3" s="1"/>
  <c r="F2210" i="3" a="1"/>
  <c r="F2210" i="3" s="1"/>
  <c r="G2210" i="3" a="1"/>
  <c r="G2210" i="3" s="1"/>
  <c r="J2210" i="3" a="1"/>
  <c r="J2210" i="3" s="1"/>
  <c r="B2211" i="3" a="1"/>
  <c r="B2211" i="3" s="1"/>
  <c r="C2211" i="3" a="1"/>
  <c r="C2211" i="3" s="1"/>
  <c r="D2211" i="3" a="1"/>
  <c r="D2211" i="3" s="1"/>
  <c r="E2211" i="3" a="1"/>
  <c r="E2211" i="3" s="1"/>
  <c r="F2211" i="3" a="1"/>
  <c r="F2211" i="3" s="1"/>
  <c r="G2211" i="3" a="1"/>
  <c r="G2211" i="3" s="1"/>
  <c r="J2211" i="3" a="1"/>
  <c r="J2211" i="3" s="1"/>
  <c r="B2212" i="3" a="1"/>
  <c r="B2212" i="3" s="1"/>
  <c r="C2212" i="3" a="1"/>
  <c r="C2212" i="3" s="1"/>
  <c r="D2212" i="3" a="1"/>
  <c r="D2212" i="3" s="1"/>
  <c r="E2212" i="3" a="1"/>
  <c r="E2212" i="3" s="1"/>
  <c r="F2212" i="3" a="1"/>
  <c r="F2212" i="3" s="1"/>
  <c r="G2212" i="3" a="1"/>
  <c r="G2212" i="3" s="1"/>
  <c r="J2212" i="3" a="1"/>
  <c r="J2212" i="3" s="1"/>
  <c r="B2213" i="3" a="1"/>
  <c r="B2213" i="3" s="1"/>
  <c r="C2213" i="3" a="1"/>
  <c r="C2213" i="3" s="1"/>
  <c r="D2213" i="3" a="1"/>
  <c r="D2213" i="3" s="1"/>
  <c r="E2213" i="3" a="1"/>
  <c r="E2213" i="3" s="1"/>
  <c r="F2213" i="3" a="1"/>
  <c r="F2213" i="3" s="1"/>
  <c r="G2213" i="3" a="1"/>
  <c r="G2213" i="3" s="1"/>
  <c r="J2213" i="3" a="1"/>
  <c r="J2213" i="3" s="1"/>
  <c r="B2214" i="3" a="1"/>
  <c r="B2214" i="3" s="1"/>
  <c r="C2214" i="3" a="1"/>
  <c r="C2214" i="3" s="1"/>
  <c r="D2214" i="3" a="1"/>
  <c r="D2214" i="3" s="1"/>
  <c r="E2214" i="3" a="1"/>
  <c r="E2214" i="3" s="1"/>
  <c r="F2214" i="3" a="1"/>
  <c r="F2214" i="3" s="1"/>
  <c r="G2214" i="3" a="1"/>
  <c r="G2214" i="3" s="1"/>
  <c r="J2214" i="3" a="1"/>
  <c r="J2214" i="3" s="1"/>
  <c r="B2215" i="3" a="1"/>
  <c r="B2215" i="3" s="1"/>
  <c r="C2215" i="3" a="1"/>
  <c r="C2215" i="3" s="1"/>
  <c r="D2215" i="3" a="1"/>
  <c r="D2215" i="3" s="1"/>
  <c r="E2215" i="3" a="1"/>
  <c r="E2215" i="3" s="1"/>
  <c r="F2215" i="3" a="1"/>
  <c r="F2215" i="3" s="1"/>
  <c r="G2215" i="3" a="1"/>
  <c r="G2215" i="3" s="1"/>
  <c r="J2215" i="3" a="1"/>
  <c r="J2215" i="3" s="1"/>
  <c r="B2216" i="3" a="1"/>
  <c r="B2216" i="3" s="1"/>
  <c r="C2216" i="3" a="1"/>
  <c r="C2216" i="3" s="1"/>
  <c r="D2216" i="3" a="1"/>
  <c r="D2216" i="3" s="1"/>
  <c r="E2216" i="3" a="1"/>
  <c r="E2216" i="3" s="1"/>
  <c r="F2216" i="3" a="1"/>
  <c r="F2216" i="3" s="1"/>
  <c r="G2216" i="3" a="1"/>
  <c r="G2216" i="3" s="1"/>
  <c r="J2216" i="3" a="1"/>
  <c r="J2216" i="3" s="1"/>
  <c r="B2217" i="3" a="1"/>
  <c r="B2217" i="3" s="1"/>
  <c r="C2217" i="3" a="1"/>
  <c r="C2217" i="3" s="1"/>
  <c r="D2217" i="3" a="1"/>
  <c r="D2217" i="3" s="1"/>
  <c r="E2217" i="3" a="1"/>
  <c r="E2217" i="3" s="1"/>
  <c r="F2217" i="3" a="1"/>
  <c r="F2217" i="3" s="1"/>
  <c r="G2217" i="3" a="1"/>
  <c r="G2217" i="3" s="1"/>
  <c r="J2217" i="3" a="1"/>
  <c r="J2217" i="3" s="1"/>
  <c r="B2218" i="3" a="1"/>
  <c r="B2218" i="3" s="1"/>
  <c r="C2218" i="3" a="1"/>
  <c r="C2218" i="3" s="1"/>
  <c r="D2218" i="3" a="1"/>
  <c r="D2218" i="3" s="1"/>
  <c r="E2218" i="3" a="1"/>
  <c r="E2218" i="3" s="1"/>
  <c r="F2218" i="3" a="1"/>
  <c r="F2218" i="3" s="1"/>
  <c r="G2218" i="3" a="1"/>
  <c r="G2218" i="3" s="1"/>
  <c r="J2218" i="3" a="1"/>
  <c r="J2218" i="3" s="1"/>
  <c r="B2219" i="3" a="1"/>
  <c r="B2219" i="3" s="1"/>
  <c r="C2219" i="3" a="1"/>
  <c r="C2219" i="3" s="1"/>
  <c r="D2219" i="3" a="1"/>
  <c r="D2219" i="3" s="1"/>
  <c r="E2219" i="3" a="1"/>
  <c r="E2219" i="3" s="1"/>
  <c r="F2219" i="3" a="1"/>
  <c r="F2219" i="3" s="1"/>
  <c r="G2219" i="3" a="1"/>
  <c r="G2219" i="3" s="1"/>
  <c r="J2219" i="3" a="1"/>
  <c r="J2219" i="3" s="1"/>
  <c r="B2220" i="3" a="1"/>
  <c r="B2220" i="3" s="1"/>
  <c r="C2220" i="3" a="1"/>
  <c r="C2220" i="3" s="1"/>
  <c r="D2220" i="3" a="1"/>
  <c r="D2220" i="3" s="1"/>
  <c r="E2220" i="3" a="1"/>
  <c r="E2220" i="3" s="1"/>
  <c r="F2220" i="3" a="1"/>
  <c r="F2220" i="3" s="1"/>
  <c r="G2220" i="3" a="1"/>
  <c r="G2220" i="3" s="1"/>
  <c r="J2220" i="3" a="1"/>
  <c r="J2220" i="3" s="1"/>
  <c r="B2221" i="3" a="1"/>
  <c r="B2221" i="3" s="1"/>
  <c r="C2221" i="3" a="1"/>
  <c r="C2221" i="3" s="1"/>
  <c r="D2221" i="3" a="1"/>
  <c r="D2221" i="3" s="1"/>
  <c r="E2221" i="3" a="1"/>
  <c r="E2221" i="3" s="1"/>
  <c r="F2221" i="3" a="1"/>
  <c r="F2221" i="3" s="1"/>
  <c r="G2221" i="3" a="1"/>
  <c r="G2221" i="3" s="1"/>
  <c r="J2221" i="3" a="1"/>
  <c r="J2221" i="3" s="1"/>
  <c r="B2222" i="3" a="1"/>
  <c r="B2222" i="3" s="1"/>
  <c r="C2222" i="3" a="1"/>
  <c r="C2222" i="3" s="1"/>
  <c r="D2222" i="3" a="1"/>
  <c r="D2222" i="3" s="1"/>
  <c r="E2222" i="3" a="1"/>
  <c r="E2222" i="3" s="1"/>
  <c r="F2222" i="3" a="1"/>
  <c r="F2222" i="3" s="1"/>
  <c r="G2222" i="3" a="1"/>
  <c r="G2222" i="3" s="1"/>
  <c r="J2222" i="3" a="1"/>
  <c r="J2222" i="3" s="1"/>
  <c r="B2223" i="3" a="1"/>
  <c r="B2223" i="3" s="1"/>
  <c r="C2223" i="3" a="1"/>
  <c r="C2223" i="3" s="1"/>
  <c r="D2223" i="3" a="1"/>
  <c r="D2223" i="3" s="1"/>
  <c r="E2223" i="3" a="1"/>
  <c r="E2223" i="3" s="1"/>
  <c r="F2223" i="3" a="1"/>
  <c r="F2223" i="3" s="1"/>
  <c r="G2223" i="3" a="1"/>
  <c r="G2223" i="3" s="1"/>
  <c r="J2223" i="3" a="1"/>
  <c r="J2223" i="3" s="1"/>
  <c r="B2224" i="3" a="1"/>
  <c r="B2224" i="3" s="1"/>
  <c r="C2224" i="3" a="1"/>
  <c r="C2224" i="3" s="1"/>
  <c r="D2224" i="3" a="1"/>
  <c r="D2224" i="3" s="1"/>
  <c r="E2224" i="3" a="1"/>
  <c r="E2224" i="3" s="1"/>
  <c r="F2224" i="3" a="1"/>
  <c r="F2224" i="3" s="1"/>
  <c r="G2224" i="3" a="1"/>
  <c r="G2224" i="3" s="1"/>
  <c r="J2224" i="3" a="1"/>
  <c r="J2224" i="3" s="1"/>
  <c r="B2225" i="3" a="1"/>
  <c r="B2225" i="3" s="1"/>
  <c r="C2225" i="3" a="1"/>
  <c r="C2225" i="3" s="1"/>
  <c r="D2225" i="3" a="1"/>
  <c r="D2225" i="3" s="1"/>
  <c r="E2225" i="3" a="1"/>
  <c r="E2225" i="3" s="1"/>
  <c r="F2225" i="3" a="1"/>
  <c r="F2225" i="3" s="1"/>
  <c r="G2225" i="3" a="1"/>
  <c r="G2225" i="3" s="1"/>
  <c r="J2225" i="3" a="1"/>
  <c r="J2225" i="3" s="1"/>
  <c r="B2226" i="3" a="1"/>
  <c r="B2226" i="3" s="1"/>
  <c r="C2226" i="3" a="1"/>
  <c r="C2226" i="3" s="1"/>
  <c r="D2226" i="3" a="1"/>
  <c r="D2226" i="3" s="1"/>
  <c r="E2226" i="3" a="1"/>
  <c r="E2226" i="3" s="1"/>
  <c r="F2226" i="3" a="1"/>
  <c r="F2226" i="3" s="1"/>
  <c r="G2226" i="3" a="1"/>
  <c r="G2226" i="3" s="1"/>
  <c r="J2226" i="3" a="1"/>
  <c r="J2226" i="3" s="1"/>
  <c r="B2227" i="3" a="1"/>
  <c r="B2227" i="3" s="1"/>
  <c r="C2227" i="3" a="1"/>
  <c r="C2227" i="3" s="1"/>
  <c r="D2227" i="3" a="1"/>
  <c r="D2227" i="3" s="1"/>
  <c r="E2227" i="3" a="1"/>
  <c r="E2227" i="3" s="1"/>
  <c r="F2227" i="3" a="1"/>
  <c r="F2227" i="3" s="1"/>
  <c r="G2227" i="3" a="1"/>
  <c r="G2227" i="3" s="1"/>
  <c r="J2227" i="3" a="1"/>
  <c r="J2227" i="3" s="1"/>
  <c r="B2228" i="3" a="1"/>
  <c r="B2228" i="3" s="1"/>
  <c r="C2228" i="3" a="1"/>
  <c r="C2228" i="3" s="1"/>
  <c r="D2228" i="3" a="1"/>
  <c r="D2228" i="3" s="1"/>
  <c r="E2228" i="3" a="1"/>
  <c r="E2228" i="3" s="1"/>
  <c r="F2228" i="3" a="1"/>
  <c r="F2228" i="3" s="1"/>
  <c r="G2228" i="3" a="1"/>
  <c r="G2228" i="3" s="1"/>
  <c r="J2228" i="3" a="1"/>
  <c r="J2228" i="3" s="1"/>
  <c r="B2229" i="3" a="1"/>
  <c r="B2229" i="3" s="1"/>
  <c r="C2229" i="3" a="1"/>
  <c r="C2229" i="3" s="1"/>
  <c r="D2229" i="3" a="1"/>
  <c r="D2229" i="3" s="1"/>
  <c r="E2229" i="3" a="1"/>
  <c r="E2229" i="3" s="1"/>
  <c r="F2229" i="3" a="1"/>
  <c r="F2229" i="3" s="1"/>
  <c r="G2229" i="3" a="1"/>
  <c r="G2229" i="3" s="1"/>
  <c r="J2229" i="3" a="1"/>
  <c r="J2229" i="3" s="1"/>
  <c r="B2230" i="3" a="1"/>
  <c r="B2230" i="3" s="1"/>
  <c r="C2230" i="3" a="1"/>
  <c r="C2230" i="3" s="1"/>
  <c r="D2230" i="3" a="1"/>
  <c r="D2230" i="3" s="1"/>
  <c r="E2230" i="3" a="1"/>
  <c r="E2230" i="3" s="1"/>
  <c r="F2230" i="3" a="1"/>
  <c r="F2230" i="3" s="1"/>
  <c r="G2230" i="3" a="1"/>
  <c r="G2230" i="3" s="1"/>
  <c r="J2230" i="3" a="1"/>
  <c r="J2230" i="3" s="1"/>
  <c r="B2231" i="3" a="1"/>
  <c r="B2231" i="3" s="1"/>
  <c r="C2231" i="3" a="1"/>
  <c r="C2231" i="3" s="1"/>
  <c r="D2231" i="3" a="1"/>
  <c r="D2231" i="3" s="1"/>
  <c r="E2231" i="3" a="1"/>
  <c r="E2231" i="3" s="1"/>
  <c r="F2231" i="3" a="1"/>
  <c r="F2231" i="3" s="1"/>
  <c r="G2231" i="3" a="1"/>
  <c r="G2231" i="3" s="1"/>
  <c r="J2231" i="3" a="1"/>
  <c r="J2231" i="3" s="1"/>
  <c r="B2232" i="3" a="1"/>
  <c r="B2232" i="3" s="1"/>
  <c r="C2232" i="3" a="1"/>
  <c r="C2232" i="3" s="1"/>
  <c r="D2232" i="3" a="1"/>
  <c r="D2232" i="3" s="1"/>
  <c r="E2232" i="3" a="1"/>
  <c r="E2232" i="3" s="1"/>
  <c r="F2232" i="3" a="1"/>
  <c r="F2232" i="3" s="1"/>
  <c r="G2232" i="3" a="1"/>
  <c r="G2232" i="3" s="1"/>
  <c r="J2232" i="3" a="1"/>
  <c r="J2232" i="3" s="1"/>
  <c r="B2233" i="3" a="1"/>
  <c r="B2233" i="3" s="1"/>
  <c r="C2233" i="3" a="1"/>
  <c r="C2233" i="3" s="1"/>
  <c r="D2233" i="3" a="1"/>
  <c r="D2233" i="3" s="1"/>
  <c r="E2233" i="3" a="1"/>
  <c r="E2233" i="3" s="1"/>
  <c r="F2233" i="3" a="1"/>
  <c r="F2233" i="3" s="1"/>
  <c r="G2233" i="3" a="1"/>
  <c r="G2233" i="3" s="1"/>
  <c r="J2233" i="3" a="1"/>
  <c r="J2233" i="3" s="1"/>
  <c r="B2234" i="3" a="1"/>
  <c r="B2234" i="3" s="1"/>
  <c r="C2234" i="3" a="1"/>
  <c r="C2234" i="3" s="1"/>
  <c r="D2234" i="3" a="1"/>
  <c r="D2234" i="3" s="1"/>
  <c r="E2234" i="3" a="1"/>
  <c r="E2234" i="3" s="1"/>
  <c r="F2234" i="3" a="1"/>
  <c r="F2234" i="3" s="1"/>
  <c r="G2234" i="3" a="1"/>
  <c r="G2234" i="3" s="1"/>
  <c r="J2234" i="3" a="1"/>
  <c r="J2234" i="3" s="1"/>
  <c r="B2235" i="3" a="1"/>
  <c r="B2235" i="3" s="1"/>
  <c r="C2235" i="3" a="1"/>
  <c r="C2235" i="3" s="1"/>
  <c r="D2235" i="3" a="1"/>
  <c r="D2235" i="3" s="1"/>
  <c r="E2235" i="3" a="1"/>
  <c r="E2235" i="3" s="1"/>
  <c r="F2235" i="3" a="1"/>
  <c r="F2235" i="3" s="1"/>
  <c r="G2235" i="3" a="1"/>
  <c r="G2235" i="3" s="1"/>
  <c r="J2235" i="3" a="1"/>
  <c r="J2235" i="3" s="1"/>
  <c r="B2236" i="3" a="1"/>
  <c r="B2236" i="3" s="1"/>
  <c r="C2236" i="3" a="1"/>
  <c r="C2236" i="3" s="1"/>
  <c r="D2236" i="3" a="1"/>
  <c r="D2236" i="3" s="1"/>
  <c r="E2236" i="3" a="1"/>
  <c r="E2236" i="3" s="1"/>
  <c r="F2236" i="3" a="1"/>
  <c r="F2236" i="3" s="1"/>
  <c r="G2236" i="3" a="1"/>
  <c r="G2236" i="3" s="1"/>
  <c r="J2236" i="3" a="1"/>
  <c r="J2236" i="3" s="1"/>
  <c r="B2237" i="3" a="1"/>
  <c r="B2237" i="3" s="1"/>
  <c r="C2237" i="3" a="1"/>
  <c r="C2237" i="3" s="1"/>
  <c r="D2237" i="3" a="1"/>
  <c r="D2237" i="3" s="1"/>
  <c r="E2237" i="3" a="1"/>
  <c r="E2237" i="3" s="1"/>
  <c r="F2237" i="3" a="1"/>
  <c r="F2237" i="3" s="1"/>
  <c r="G2237" i="3" a="1"/>
  <c r="G2237" i="3" s="1"/>
  <c r="J2237" i="3" a="1"/>
  <c r="J2237" i="3" s="1"/>
  <c r="B2238" i="3" a="1"/>
  <c r="B2238" i="3" s="1"/>
  <c r="C2238" i="3" a="1"/>
  <c r="C2238" i="3" s="1"/>
  <c r="D2238" i="3" a="1"/>
  <c r="D2238" i="3" s="1"/>
  <c r="E2238" i="3" a="1"/>
  <c r="E2238" i="3" s="1"/>
  <c r="F2238" i="3" a="1"/>
  <c r="F2238" i="3" s="1"/>
  <c r="G2238" i="3" a="1"/>
  <c r="G2238" i="3" s="1"/>
  <c r="J2238" i="3" a="1"/>
  <c r="J2238" i="3" s="1"/>
  <c r="B2239" i="3" a="1"/>
  <c r="B2239" i="3" s="1"/>
  <c r="C2239" i="3" a="1"/>
  <c r="C2239" i="3" s="1"/>
  <c r="D2239" i="3" a="1"/>
  <c r="D2239" i="3" s="1"/>
  <c r="E2239" i="3" a="1"/>
  <c r="E2239" i="3" s="1"/>
  <c r="F2239" i="3" a="1"/>
  <c r="F2239" i="3" s="1"/>
  <c r="G2239" i="3" a="1"/>
  <c r="G2239" i="3" s="1"/>
  <c r="J2239" i="3" a="1"/>
  <c r="J2239" i="3" s="1"/>
  <c r="B2240" i="3" a="1"/>
  <c r="B2240" i="3" s="1"/>
  <c r="C2240" i="3" a="1"/>
  <c r="C2240" i="3" s="1"/>
  <c r="D2240" i="3" a="1"/>
  <c r="D2240" i="3" s="1"/>
  <c r="E2240" i="3" a="1"/>
  <c r="E2240" i="3" s="1"/>
  <c r="F2240" i="3" a="1"/>
  <c r="F2240" i="3" s="1"/>
  <c r="G2240" i="3" a="1"/>
  <c r="G2240" i="3" s="1"/>
  <c r="J2240" i="3" a="1"/>
  <c r="J2240" i="3" s="1"/>
  <c r="B2241" i="3" a="1"/>
  <c r="B2241" i="3" s="1"/>
  <c r="C2241" i="3" a="1"/>
  <c r="C2241" i="3" s="1"/>
  <c r="D2241" i="3" a="1"/>
  <c r="D2241" i="3" s="1"/>
  <c r="E2241" i="3" a="1"/>
  <c r="E2241" i="3" s="1"/>
  <c r="F2241" i="3" a="1"/>
  <c r="F2241" i="3" s="1"/>
  <c r="G2241" i="3" a="1"/>
  <c r="G2241" i="3" s="1"/>
  <c r="J2241" i="3" a="1"/>
  <c r="J2241" i="3" s="1"/>
  <c r="B2242" i="3" a="1"/>
  <c r="B2242" i="3" s="1"/>
  <c r="C2242" i="3" a="1"/>
  <c r="C2242" i="3" s="1"/>
  <c r="D2242" i="3" a="1"/>
  <c r="D2242" i="3" s="1"/>
  <c r="E2242" i="3" a="1"/>
  <c r="E2242" i="3" s="1"/>
  <c r="F2242" i="3" a="1"/>
  <c r="F2242" i="3" s="1"/>
  <c r="G2242" i="3" a="1"/>
  <c r="G2242" i="3" s="1"/>
  <c r="J2242" i="3" a="1"/>
  <c r="J2242" i="3" s="1"/>
  <c r="B2243" i="3" a="1"/>
  <c r="B2243" i="3" s="1"/>
  <c r="C2243" i="3" a="1"/>
  <c r="C2243" i="3" s="1"/>
  <c r="D2243" i="3" a="1"/>
  <c r="D2243" i="3" s="1"/>
  <c r="E2243" i="3" a="1"/>
  <c r="E2243" i="3" s="1"/>
  <c r="F2243" i="3" a="1"/>
  <c r="F2243" i="3" s="1"/>
  <c r="G2243" i="3" a="1"/>
  <c r="G2243" i="3" s="1"/>
  <c r="J2243" i="3" a="1"/>
  <c r="J2243" i="3" s="1"/>
  <c r="B2244" i="3" a="1"/>
  <c r="B2244" i="3" s="1"/>
  <c r="C2244" i="3" a="1"/>
  <c r="C2244" i="3" s="1"/>
  <c r="D2244" i="3" a="1"/>
  <c r="D2244" i="3" s="1"/>
  <c r="E2244" i="3" a="1"/>
  <c r="E2244" i="3" s="1"/>
  <c r="F2244" i="3" a="1"/>
  <c r="F2244" i="3" s="1"/>
  <c r="G2244" i="3" a="1"/>
  <c r="G2244" i="3" s="1"/>
  <c r="J2244" i="3" a="1"/>
  <c r="J2244" i="3" s="1"/>
  <c r="B2245" i="3" a="1"/>
  <c r="B2245" i="3" s="1"/>
  <c r="C2245" i="3" a="1"/>
  <c r="C2245" i="3" s="1"/>
  <c r="D2245" i="3" a="1"/>
  <c r="D2245" i="3" s="1"/>
  <c r="E2245" i="3" a="1"/>
  <c r="E2245" i="3" s="1"/>
  <c r="F2245" i="3" a="1"/>
  <c r="F2245" i="3" s="1"/>
  <c r="G2245" i="3" a="1"/>
  <c r="G2245" i="3" s="1"/>
  <c r="J2245" i="3" a="1"/>
  <c r="J2245" i="3" s="1"/>
  <c r="B2246" i="3" a="1"/>
  <c r="B2246" i="3" s="1"/>
  <c r="C2246" i="3" a="1"/>
  <c r="C2246" i="3" s="1"/>
  <c r="D2246" i="3" a="1"/>
  <c r="D2246" i="3" s="1"/>
  <c r="E2246" i="3" a="1"/>
  <c r="E2246" i="3" s="1"/>
  <c r="F2246" i="3" a="1"/>
  <c r="F2246" i="3" s="1"/>
  <c r="G2246" i="3" a="1"/>
  <c r="G2246" i="3" s="1"/>
  <c r="J2246" i="3" a="1"/>
  <c r="J2246" i="3" s="1"/>
  <c r="B2247" i="3" a="1"/>
  <c r="B2247" i="3" s="1"/>
  <c r="C2247" i="3" a="1"/>
  <c r="C2247" i="3" s="1"/>
  <c r="D2247" i="3" a="1"/>
  <c r="D2247" i="3" s="1"/>
  <c r="E2247" i="3" a="1"/>
  <c r="E2247" i="3" s="1"/>
  <c r="F2247" i="3" a="1"/>
  <c r="F2247" i="3" s="1"/>
  <c r="G2247" i="3" a="1"/>
  <c r="G2247" i="3" s="1"/>
  <c r="J2247" i="3" a="1"/>
  <c r="J2247" i="3" s="1"/>
  <c r="B2248" i="3" a="1"/>
  <c r="B2248" i="3" s="1"/>
  <c r="C2248" i="3" a="1"/>
  <c r="C2248" i="3" s="1"/>
  <c r="D2248" i="3" a="1"/>
  <c r="D2248" i="3" s="1"/>
  <c r="E2248" i="3" a="1"/>
  <c r="E2248" i="3" s="1"/>
  <c r="F2248" i="3" a="1"/>
  <c r="F2248" i="3" s="1"/>
  <c r="G2248" i="3" a="1"/>
  <c r="G2248" i="3" s="1"/>
  <c r="J2248" i="3" a="1"/>
  <c r="J2248" i="3" s="1"/>
  <c r="B2249" i="3" a="1"/>
  <c r="B2249" i="3" s="1"/>
  <c r="C2249" i="3" a="1"/>
  <c r="C2249" i="3" s="1"/>
  <c r="D2249" i="3" a="1"/>
  <c r="D2249" i="3" s="1"/>
  <c r="E2249" i="3" a="1"/>
  <c r="E2249" i="3" s="1"/>
  <c r="F2249" i="3" a="1"/>
  <c r="F2249" i="3" s="1"/>
  <c r="G2249" i="3" a="1"/>
  <c r="G2249" i="3" s="1"/>
  <c r="J2249" i="3" a="1"/>
  <c r="J2249" i="3" s="1"/>
  <c r="B2250" i="3" a="1"/>
  <c r="B2250" i="3" s="1"/>
  <c r="C2250" i="3" a="1"/>
  <c r="C2250" i="3" s="1"/>
  <c r="D2250" i="3" a="1"/>
  <c r="D2250" i="3" s="1"/>
  <c r="E2250" i="3" a="1"/>
  <c r="E2250" i="3" s="1"/>
  <c r="F2250" i="3" a="1"/>
  <c r="F2250" i="3" s="1"/>
  <c r="G2250" i="3" a="1"/>
  <c r="G2250" i="3" s="1"/>
  <c r="J2250" i="3" a="1"/>
  <c r="J2250" i="3" s="1"/>
  <c r="B2251" i="3" a="1"/>
  <c r="B2251" i="3" s="1"/>
  <c r="C2251" i="3" a="1"/>
  <c r="C2251" i="3" s="1"/>
  <c r="D2251" i="3" a="1"/>
  <c r="D2251" i="3" s="1"/>
  <c r="E2251" i="3" a="1"/>
  <c r="E2251" i="3" s="1"/>
  <c r="F2251" i="3" a="1"/>
  <c r="F2251" i="3" s="1"/>
  <c r="G2251" i="3" a="1"/>
  <c r="G2251" i="3" s="1"/>
  <c r="J2251" i="3" a="1"/>
  <c r="J2251" i="3" s="1"/>
  <c r="B2252" i="3" a="1"/>
  <c r="B2252" i="3" s="1"/>
  <c r="C2252" i="3" a="1"/>
  <c r="C2252" i="3" s="1"/>
  <c r="D2252" i="3" a="1"/>
  <c r="D2252" i="3" s="1"/>
  <c r="E2252" i="3" a="1"/>
  <c r="E2252" i="3" s="1"/>
  <c r="F2252" i="3" a="1"/>
  <c r="F2252" i="3" s="1"/>
  <c r="G2252" i="3" a="1"/>
  <c r="G2252" i="3" s="1"/>
  <c r="J2252" i="3" a="1"/>
  <c r="J2252" i="3" s="1"/>
  <c r="B2253" i="3" a="1"/>
  <c r="B2253" i="3" s="1"/>
  <c r="C2253" i="3" a="1"/>
  <c r="C2253" i="3" s="1"/>
  <c r="D2253" i="3" a="1"/>
  <c r="D2253" i="3" s="1"/>
  <c r="E2253" i="3" a="1"/>
  <c r="E2253" i="3" s="1"/>
  <c r="F2253" i="3" a="1"/>
  <c r="F2253" i="3" s="1"/>
  <c r="G2253" i="3" a="1"/>
  <c r="G2253" i="3" s="1"/>
  <c r="J2253" i="3" a="1"/>
  <c r="J2253" i="3" s="1"/>
  <c r="B2254" i="3" a="1"/>
  <c r="B2254" i="3" s="1"/>
  <c r="C2254" i="3" a="1"/>
  <c r="C2254" i="3" s="1"/>
  <c r="D2254" i="3" a="1"/>
  <c r="D2254" i="3" s="1"/>
  <c r="E2254" i="3" a="1"/>
  <c r="E2254" i="3" s="1"/>
  <c r="F2254" i="3" a="1"/>
  <c r="F2254" i="3" s="1"/>
  <c r="G2254" i="3" a="1"/>
  <c r="G2254" i="3" s="1"/>
  <c r="J2254" i="3" a="1"/>
  <c r="J2254" i="3" s="1"/>
  <c r="B2255" i="3" a="1"/>
  <c r="B2255" i="3" s="1"/>
  <c r="C2255" i="3" a="1"/>
  <c r="C2255" i="3" s="1"/>
  <c r="D2255" i="3" a="1"/>
  <c r="D2255" i="3" s="1"/>
  <c r="E2255" i="3" a="1"/>
  <c r="E2255" i="3" s="1"/>
  <c r="F2255" i="3" a="1"/>
  <c r="F2255" i="3" s="1"/>
  <c r="G2255" i="3" a="1"/>
  <c r="G2255" i="3" s="1"/>
  <c r="J2255" i="3" a="1"/>
  <c r="J2255" i="3" s="1"/>
  <c r="B2256" i="3" a="1"/>
  <c r="B2256" i="3" s="1"/>
  <c r="C2256" i="3" a="1"/>
  <c r="C2256" i="3" s="1"/>
  <c r="D2256" i="3" a="1"/>
  <c r="D2256" i="3" s="1"/>
  <c r="E2256" i="3" a="1"/>
  <c r="E2256" i="3" s="1"/>
  <c r="F2256" i="3" a="1"/>
  <c r="F2256" i="3" s="1"/>
  <c r="G2256" i="3" a="1"/>
  <c r="G2256" i="3" s="1"/>
  <c r="J2256" i="3" a="1"/>
  <c r="J2256" i="3" s="1"/>
  <c r="B2257" i="3" a="1"/>
  <c r="B2257" i="3" s="1"/>
  <c r="C2257" i="3" a="1"/>
  <c r="C2257" i="3" s="1"/>
  <c r="D2257" i="3" a="1"/>
  <c r="D2257" i="3" s="1"/>
  <c r="E2257" i="3" a="1"/>
  <c r="E2257" i="3" s="1"/>
  <c r="F2257" i="3" a="1"/>
  <c r="F2257" i="3" s="1"/>
  <c r="G2257" i="3" a="1"/>
  <c r="G2257" i="3" s="1"/>
  <c r="J2257" i="3" a="1"/>
  <c r="J2257" i="3" s="1"/>
  <c r="B2258" i="3" a="1"/>
  <c r="B2258" i="3" s="1"/>
  <c r="C2258" i="3" a="1"/>
  <c r="C2258" i="3" s="1"/>
  <c r="D2258" i="3" a="1"/>
  <c r="D2258" i="3" s="1"/>
  <c r="E2258" i="3" a="1"/>
  <c r="E2258" i="3" s="1"/>
  <c r="F2258" i="3" a="1"/>
  <c r="F2258" i="3" s="1"/>
  <c r="G2258" i="3" a="1"/>
  <c r="G2258" i="3" s="1"/>
  <c r="J2258" i="3" a="1"/>
  <c r="J2258" i="3" s="1"/>
  <c r="B2259" i="3" a="1"/>
  <c r="B2259" i="3" s="1"/>
  <c r="C2259" i="3" a="1"/>
  <c r="C2259" i="3" s="1"/>
  <c r="D2259" i="3" a="1"/>
  <c r="D2259" i="3" s="1"/>
  <c r="E2259" i="3" a="1"/>
  <c r="E2259" i="3" s="1"/>
  <c r="F2259" i="3" a="1"/>
  <c r="F2259" i="3" s="1"/>
  <c r="G2259" i="3" a="1"/>
  <c r="G2259" i="3" s="1"/>
  <c r="J2259" i="3" a="1"/>
  <c r="J2259" i="3" s="1"/>
  <c r="B2260" i="3" a="1"/>
  <c r="B2260" i="3" s="1"/>
  <c r="C2260" i="3" a="1"/>
  <c r="C2260" i="3" s="1"/>
  <c r="D2260" i="3" a="1"/>
  <c r="D2260" i="3" s="1"/>
  <c r="E2260" i="3" a="1"/>
  <c r="E2260" i="3" s="1"/>
  <c r="F2260" i="3" a="1"/>
  <c r="F2260" i="3" s="1"/>
  <c r="G2260" i="3" a="1"/>
  <c r="G2260" i="3" s="1"/>
  <c r="J2260" i="3" a="1"/>
  <c r="J2260" i="3" s="1"/>
  <c r="B2261" i="3" a="1"/>
  <c r="B2261" i="3" s="1"/>
  <c r="C2261" i="3" a="1"/>
  <c r="C2261" i="3" s="1"/>
  <c r="D2261" i="3" a="1"/>
  <c r="D2261" i="3" s="1"/>
  <c r="E2261" i="3" a="1"/>
  <c r="E2261" i="3" s="1"/>
  <c r="F2261" i="3" a="1"/>
  <c r="F2261" i="3" s="1"/>
  <c r="G2261" i="3" a="1"/>
  <c r="G2261" i="3" s="1"/>
  <c r="J2261" i="3" a="1"/>
  <c r="J2261" i="3" s="1"/>
  <c r="B2262" i="3" a="1"/>
  <c r="B2262" i="3" s="1"/>
  <c r="C2262" i="3" a="1"/>
  <c r="C2262" i="3" s="1"/>
  <c r="D2262" i="3" a="1"/>
  <c r="D2262" i="3" s="1"/>
  <c r="E2262" i="3" a="1"/>
  <c r="E2262" i="3" s="1"/>
  <c r="F2262" i="3" a="1"/>
  <c r="F2262" i="3" s="1"/>
  <c r="G2262" i="3" a="1"/>
  <c r="G2262" i="3" s="1"/>
  <c r="J2262" i="3" a="1"/>
  <c r="J2262" i="3" s="1"/>
  <c r="B2263" i="3" a="1"/>
  <c r="B2263" i="3" s="1"/>
  <c r="C2263" i="3" a="1"/>
  <c r="C2263" i="3" s="1"/>
  <c r="D2263" i="3" a="1"/>
  <c r="D2263" i="3" s="1"/>
  <c r="E2263" i="3" a="1"/>
  <c r="E2263" i="3" s="1"/>
  <c r="F2263" i="3" a="1"/>
  <c r="F2263" i="3" s="1"/>
  <c r="G2263" i="3" a="1"/>
  <c r="G2263" i="3" s="1"/>
  <c r="J2263" i="3" a="1"/>
  <c r="J2263" i="3" s="1"/>
  <c r="B2264" i="3" a="1"/>
  <c r="B2264" i="3" s="1"/>
  <c r="C2264" i="3" a="1"/>
  <c r="C2264" i="3" s="1"/>
  <c r="D2264" i="3" a="1"/>
  <c r="D2264" i="3" s="1"/>
  <c r="E2264" i="3" a="1"/>
  <c r="E2264" i="3" s="1"/>
  <c r="F2264" i="3" a="1"/>
  <c r="F2264" i="3" s="1"/>
  <c r="G2264" i="3" a="1"/>
  <c r="G2264" i="3" s="1"/>
  <c r="J2264" i="3" a="1"/>
  <c r="J2264" i="3" s="1"/>
  <c r="B2265" i="3" a="1"/>
  <c r="B2265" i="3" s="1"/>
  <c r="C2265" i="3" a="1"/>
  <c r="C2265" i="3" s="1"/>
  <c r="D2265" i="3" a="1"/>
  <c r="D2265" i="3" s="1"/>
  <c r="E2265" i="3" a="1"/>
  <c r="E2265" i="3" s="1"/>
  <c r="F2265" i="3" a="1"/>
  <c r="F2265" i="3" s="1"/>
  <c r="G2265" i="3" a="1"/>
  <c r="G2265" i="3" s="1"/>
  <c r="J2265" i="3" a="1"/>
  <c r="J2265" i="3" s="1"/>
  <c r="B2266" i="3" a="1"/>
  <c r="B2266" i="3" s="1"/>
  <c r="C2266" i="3" a="1"/>
  <c r="C2266" i="3" s="1"/>
  <c r="D2266" i="3" a="1"/>
  <c r="D2266" i="3" s="1"/>
  <c r="E2266" i="3" a="1"/>
  <c r="E2266" i="3" s="1"/>
  <c r="F2266" i="3" a="1"/>
  <c r="F2266" i="3" s="1"/>
  <c r="G2266" i="3" a="1"/>
  <c r="G2266" i="3" s="1"/>
  <c r="J2266" i="3" a="1"/>
  <c r="J2266" i="3" s="1"/>
  <c r="B2267" i="3" a="1"/>
  <c r="B2267" i="3" s="1"/>
  <c r="C2267" i="3" a="1"/>
  <c r="C2267" i="3" s="1"/>
  <c r="D2267" i="3" a="1"/>
  <c r="D2267" i="3" s="1"/>
  <c r="E2267" i="3" a="1"/>
  <c r="E2267" i="3" s="1"/>
  <c r="F2267" i="3" a="1"/>
  <c r="F2267" i="3" s="1"/>
  <c r="G2267" i="3" a="1"/>
  <c r="G2267" i="3" s="1"/>
  <c r="J2267" i="3" a="1"/>
  <c r="J2267" i="3" s="1"/>
  <c r="B2268" i="3" a="1"/>
  <c r="B2268" i="3" s="1"/>
  <c r="C2268" i="3" a="1"/>
  <c r="C2268" i="3" s="1"/>
  <c r="D2268" i="3" a="1"/>
  <c r="D2268" i="3" s="1"/>
  <c r="E2268" i="3" a="1"/>
  <c r="E2268" i="3" s="1"/>
  <c r="F2268" i="3" a="1"/>
  <c r="F2268" i="3" s="1"/>
  <c r="G2268" i="3" a="1"/>
  <c r="G2268" i="3" s="1"/>
  <c r="J2268" i="3" a="1"/>
  <c r="J2268" i="3" s="1"/>
  <c r="B2269" i="3" a="1"/>
  <c r="B2269" i="3" s="1"/>
  <c r="C2269" i="3" a="1"/>
  <c r="C2269" i="3" s="1"/>
  <c r="D2269" i="3" a="1"/>
  <c r="D2269" i="3" s="1"/>
  <c r="E2269" i="3" a="1"/>
  <c r="E2269" i="3" s="1"/>
  <c r="F2269" i="3" a="1"/>
  <c r="F2269" i="3" s="1"/>
  <c r="G2269" i="3" a="1"/>
  <c r="G2269" i="3" s="1"/>
  <c r="J2269" i="3" a="1"/>
  <c r="J2269" i="3" s="1"/>
  <c r="B2270" i="3" a="1"/>
  <c r="B2270" i="3" s="1"/>
  <c r="C2270" i="3" a="1"/>
  <c r="C2270" i="3" s="1"/>
  <c r="D2270" i="3" a="1"/>
  <c r="D2270" i="3" s="1"/>
  <c r="E2270" i="3" a="1"/>
  <c r="E2270" i="3" s="1"/>
  <c r="F2270" i="3" a="1"/>
  <c r="F2270" i="3" s="1"/>
  <c r="G2270" i="3" a="1"/>
  <c r="G2270" i="3" s="1"/>
  <c r="J2270" i="3" a="1"/>
  <c r="J2270" i="3" s="1"/>
  <c r="B2271" i="3" a="1"/>
  <c r="B2271" i="3" s="1"/>
  <c r="C2271" i="3" a="1"/>
  <c r="C2271" i="3" s="1"/>
  <c r="D2271" i="3" a="1"/>
  <c r="D2271" i="3" s="1"/>
  <c r="E2271" i="3" a="1"/>
  <c r="E2271" i="3" s="1"/>
  <c r="F2271" i="3" a="1"/>
  <c r="F2271" i="3" s="1"/>
  <c r="G2271" i="3" a="1"/>
  <c r="G2271" i="3" s="1"/>
  <c r="J2271" i="3" a="1"/>
  <c r="J2271" i="3" s="1"/>
  <c r="B2272" i="3" a="1"/>
  <c r="B2272" i="3" s="1"/>
  <c r="C2272" i="3" a="1"/>
  <c r="C2272" i="3" s="1"/>
  <c r="D2272" i="3" a="1"/>
  <c r="D2272" i="3" s="1"/>
  <c r="E2272" i="3" a="1"/>
  <c r="E2272" i="3" s="1"/>
  <c r="F2272" i="3" a="1"/>
  <c r="F2272" i="3" s="1"/>
  <c r="G2272" i="3" a="1"/>
  <c r="G2272" i="3" s="1"/>
  <c r="J2272" i="3" a="1"/>
  <c r="J2272" i="3" s="1"/>
  <c r="B2273" i="3" a="1"/>
  <c r="B2273" i="3" s="1"/>
  <c r="C2273" i="3" a="1"/>
  <c r="C2273" i="3" s="1"/>
  <c r="D2273" i="3" a="1"/>
  <c r="D2273" i="3" s="1"/>
  <c r="E2273" i="3" a="1"/>
  <c r="E2273" i="3" s="1"/>
  <c r="F2273" i="3" a="1"/>
  <c r="F2273" i="3" s="1"/>
  <c r="G2273" i="3" a="1"/>
  <c r="G2273" i="3" s="1"/>
  <c r="J2273" i="3" a="1"/>
  <c r="J2273" i="3" s="1"/>
  <c r="B2274" i="3" a="1"/>
  <c r="B2274" i="3" s="1"/>
  <c r="C2274" i="3" a="1"/>
  <c r="C2274" i="3" s="1"/>
  <c r="D2274" i="3" a="1"/>
  <c r="D2274" i="3" s="1"/>
  <c r="E2274" i="3" a="1"/>
  <c r="E2274" i="3" s="1"/>
  <c r="F2274" i="3" a="1"/>
  <c r="F2274" i="3" s="1"/>
  <c r="G2274" i="3" a="1"/>
  <c r="G2274" i="3" s="1"/>
  <c r="J2274" i="3" a="1"/>
  <c r="J2274" i="3" s="1"/>
  <c r="B2275" i="3" a="1"/>
  <c r="B2275" i="3" s="1"/>
  <c r="C2275" i="3" a="1"/>
  <c r="C2275" i="3" s="1"/>
  <c r="D2275" i="3" a="1"/>
  <c r="D2275" i="3" s="1"/>
  <c r="E2275" i="3" a="1"/>
  <c r="E2275" i="3" s="1"/>
  <c r="F2275" i="3" a="1"/>
  <c r="F2275" i="3" s="1"/>
  <c r="G2275" i="3" a="1"/>
  <c r="G2275" i="3" s="1"/>
  <c r="J2275" i="3" a="1"/>
  <c r="J2275" i="3" s="1"/>
  <c r="B2276" i="3" a="1"/>
  <c r="B2276" i="3" s="1"/>
  <c r="C2276" i="3" a="1"/>
  <c r="C2276" i="3" s="1"/>
  <c r="D2276" i="3" a="1"/>
  <c r="D2276" i="3" s="1"/>
  <c r="E2276" i="3" a="1"/>
  <c r="E2276" i="3" s="1"/>
  <c r="F2276" i="3" a="1"/>
  <c r="F2276" i="3" s="1"/>
  <c r="G2276" i="3" a="1"/>
  <c r="G2276" i="3" s="1"/>
  <c r="J2276" i="3" a="1"/>
  <c r="J2276" i="3" s="1"/>
  <c r="B2277" i="3" a="1"/>
  <c r="B2277" i="3" s="1"/>
  <c r="C2277" i="3" a="1"/>
  <c r="C2277" i="3" s="1"/>
  <c r="D2277" i="3" a="1"/>
  <c r="D2277" i="3" s="1"/>
  <c r="E2277" i="3" a="1"/>
  <c r="E2277" i="3" s="1"/>
  <c r="F2277" i="3" a="1"/>
  <c r="F2277" i="3" s="1"/>
  <c r="G2277" i="3" a="1"/>
  <c r="G2277" i="3" s="1"/>
  <c r="J2277" i="3" a="1"/>
  <c r="J2277" i="3" s="1"/>
  <c r="B2278" i="3" a="1"/>
  <c r="B2278" i="3" s="1"/>
  <c r="C2278" i="3" a="1"/>
  <c r="C2278" i="3" s="1"/>
  <c r="D2278" i="3" a="1"/>
  <c r="D2278" i="3" s="1"/>
  <c r="E2278" i="3" a="1"/>
  <c r="E2278" i="3" s="1"/>
  <c r="F2278" i="3" a="1"/>
  <c r="F2278" i="3" s="1"/>
  <c r="G2278" i="3" a="1"/>
  <c r="G2278" i="3" s="1"/>
  <c r="J2278" i="3" a="1"/>
  <c r="J2278" i="3" s="1"/>
  <c r="B2279" i="3" a="1"/>
  <c r="B2279" i="3" s="1"/>
  <c r="C2279" i="3" a="1"/>
  <c r="C2279" i="3" s="1"/>
  <c r="D2279" i="3" a="1"/>
  <c r="D2279" i="3" s="1"/>
  <c r="E2279" i="3" a="1"/>
  <c r="E2279" i="3" s="1"/>
  <c r="F2279" i="3" a="1"/>
  <c r="F2279" i="3" s="1"/>
  <c r="G2279" i="3" a="1"/>
  <c r="G2279" i="3" s="1"/>
  <c r="J2279" i="3" a="1"/>
  <c r="J2279" i="3" s="1"/>
  <c r="B2280" i="3" a="1"/>
  <c r="B2280" i="3" s="1"/>
  <c r="C2280" i="3" a="1"/>
  <c r="C2280" i="3" s="1"/>
  <c r="D2280" i="3" a="1"/>
  <c r="D2280" i="3" s="1"/>
  <c r="E2280" i="3" a="1"/>
  <c r="E2280" i="3" s="1"/>
  <c r="F2280" i="3" a="1"/>
  <c r="F2280" i="3" s="1"/>
  <c r="G2280" i="3" a="1"/>
  <c r="G2280" i="3" s="1"/>
  <c r="J2280" i="3" a="1"/>
  <c r="J2280" i="3" s="1"/>
  <c r="B2281" i="3" a="1"/>
  <c r="B2281" i="3" s="1"/>
  <c r="C2281" i="3" a="1"/>
  <c r="C2281" i="3" s="1"/>
  <c r="D2281" i="3" a="1"/>
  <c r="D2281" i="3" s="1"/>
  <c r="E2281" i="3" a="1"/>
  <c r="E2281" i="3" s="1"/>
  <c r="F2281" i="3" a="1"/>
  <c r="F2281" i="3" s="1"/>
  <c r="G2281" i="3" a="1"/>
  <c r="G2281" i="3" s="1"/>
  <c r="J2281" i="3" a="1"/>
  <c r="J2281" i="3" s="1"/>
  <c r="B2282" i="3" a="1"/>
  <c r="B2282" i="3" s="1"/>
  <c r="C2282" i="3" a="1"/>
  <c r="C2282" i="3" s="1"/>
  <c r="D2282" i="3" a="1"/>
  <c r="D2282" i="3" s="1"/>
  <c r="E2282" i="3" a="1"/>
  <c r="E2282" i="3" s="1"/>
  <c r="F2282" i="3" a="1"/>
  <c r="F2282" i="3" s="1"/>
  <c r="G2282" i="3" a="1"/>
  <c r="G2282" i="3" s="1"/>
  <c r="J2282" i="3" a="1"/>
  <c r="J2282" i="3" s="1"/>
  <c r="B2283" i="3" a="1"/>
  <c r="B2283" i="3" s="1"/>
  <c r="C2283" i="3" a="1"/>
  <c r="C2283" i="3" s="1"/>
  <c r="D2283" i="3" a="1"/>
  <c r="D2283" i="3" s="1"/>
  <c r="E2283" i="3" a="1"/>
  <c r="E2283" i="3" s="1"/>
  <c r="F2283" i="3" a="1"/>
  <c r="F2283" i="3" s="1"/>
  <c r="G2283" i="3" a="1"/>
  <c r="G2283" i="3" s="1"/>
  <c r="J2283" i="3" a="1"/>
  <c r="J2283" i="3" s="1"/>
  <c r="B2284" i="3" a="1"/>
  <c r="B2284" i="3" s="1"/>
  <c r="C2284" i="3" a="1"/>
  <c r="C2284" i="3" s="1"/>
  <c r="D2284" i="3" a="1"/>
  <c r="D2284" i="3" s="1"/>
  <c r="E2284" i="3" a="1"/>
  <c r="E2284" i="3" s="1"/>
  <c r="F2284" i="3" a="1"/>
  <c r="F2284" i="3" s="1"/>
  <c r="G2284" i="3" a="1"/>
  <c r="G2284" i="3" s="1"/>
  <c r="J2284" i="3" a="1"/>
  <c r="J2284" i="3" s="1"/>
  <c r="B2285" i="3" a="1"/>
  <c r="B2285" i="3" s="1"/>
  <c r="C2285" i="3" a="1"/>
  <c r="C2285" i="3" s="1"/>
  <c r="D2285" i="3" a="1"/>
  <c r="D2285" i="3" s="1"/>
  <c r="E2285" i="3" a="1"/>
  <c r="E2285" i="3" s="1"/>
  <c r="F2285" i="3" a="1"/>
  <c r="F2285" i="3" s="1"/>
  <c r="G2285" i="3" a="1"/>
  <c r="G2285" i="3" s="1"/>
  <c r="J2285" i="3" a="1"/>
  <c r="J2285" i="3" s="1"/>
  <c r="B2286" i="3" a="1"/>
  <c r="B2286" i="3" s="1"/>
  <c r="C2286" i="3" a="1"/>
  <c r="C2286" i="3" s="1"/>
  <c r="D2286" i="3" a="1"/>
  <c r="D2286" i="3" s="1"/>
  <c r="E2286" i="3" a="1"/>
  <c r="E2286" i="3" s="1"/>
  <c r="F2286" i="3" a="1"/>
  <c r="F2286" i="3" s="1"/>
  <c r="G2286" i="3" a="1"/>
  <c r="G2286" i="3" s="1"/>
  <c r="J2286" i="3" a="1"/>
  <c r="J2286" i="3" s="1"/>
  <c r="B2287" i="3" a="1"/>
  <c r="B2287" i="3" s="1"/>
  <c r="C2287" i="3" a="1"/>
  <c r="C2287" i="3" s="1"/>
  <c r="D2287" i="3" a="1"/>
  <c r="D2287" i="3" s="1"/>
  <c r="E2287" i="3" a="1"/>
  <c r="E2287" i="3" s="1"/>
  <c r="F2287" i="3" a="1"/>
  <c r="F2287" i="3" s="1"/>
  <c r="G2287" i="3" a="1"/>
  <c r="G2287" i="3" s="1"/>
  <c r="J2287" i="3" a="1"/>
  <c r="J2287" i="3" s="1"/>
  <c r="B2288" i="3" a="1"/>
  <c r="B2288" i="3" s="1"/>
  <c r="C2288" i="3" a="1"/>
  <c r="C2288" i="3" s="1"/>
  <c r="D2288" i="3" a="1"/>
  <c r="D2288" i="3" s="1"/>
  <c r="E2288" i="3" a="1"/>
  <c r="E2288" i="3" s="1"/>
  <c r="F2288" i="3" a="1"/>
  <c r="F2288" i="3" s="1"/>
  <c r="G2288" i="3" a="1"/>
  <c r="G2288" i="3" s="1"/>
  <c r="J2288" i="3" a="1"/>
  <c r="J2288" i="3" s="1"/>
  <c r="B2289" i="3" a="1"/>
  <c r="B2289" i="3" s="1"/>
  <c r="C2289" i="3" a="1"/>
  <c r="C2289" i="3" s="1"/>
  <c r="D2289" i="3" a="1"/>
  <c r="D2289" i="3" s="1"/>
  <c r="E2289" i="3" a="1"/>
  <c r="E2289" i="3" s="1"/>
  <c r="F2289" i="3" a="1"/>
  <c r="F2289" i="3" s="1"/>
  <c r="G2289" i="3" a="1"/>
  <c r="G2289" i="3" s="1"/>
  <c r="J2289" i="3" a="1"/>
  <c r="J2289" i="3" s="1"/>
  <c r="B2290" i="3" a="1"/>
  <c r="B2290" i="3" s="1"/>
  <c r="C2290" i="3" a="1"/>
  <c r="C2290" i="3" s="1"/>
  <c r="D2290" i="3" a="1"/>
  <c r="D2290" i="3" s="1"/>
  <c r="E2290" i="3" a="1"/>
  <c r="E2290" i="3" s="1"/>
  <c r="F2290" i="3" a="1"/>
  <c r="F2290" i="3" s="1"/>
  <c r="G2290" i="3" a="1"/>
  <c r="G2290" i="3" s="1"/>
  <c r="J2290" i="3" a="1"/>
  <c r="J2290" i="3" s="1"/>
  <c r="B2291" i="3" a="1"/>
  <c r="B2291" i="3" s="1"/>
  <c r="C2291" i="3" a="1"/>
  <c r="C2291" i="3" s="1"/>
  <c r="D2291" i="3" a="1"/>
  <c r="D2291" i="3" s="1"/>
  <c r="E2291" i="3" a="1"/>
  <c r="E2291" i="3" s="1"/>
  <c r="F2291" i="3" a="1"/>
  <c r="F2291" i="3" s="1"/>
  <c r="G2291" i="3" a="1"/>
  <c r="G2291" i="3" s="1"/>
  <c r="J2291" i="3" a="1"/>
  <c r="J2291" i="3" s="1"/>
  <c r="B2292" i="3" a="1"/>
  <c r="B2292" i="3" s="1"/>
  <c r="C2292" i="3" a="1"/>
  <c r="C2292" i="3" s="1"/>
  <c r="D2292" i="3" a="1"/>
  <c r="D2292" i="3" s="1"/>
  <c r="E2292" i="3" a="1"/>
  <c r="E2292" i="3" s="1"/>
  <c r="F2292" i="3" a="1"/>
  <c r="F2292" i="3" s="1"/>
  <c r="G2292" i="3" a="1"/>
  <c r="G2292" i="3" s="1"/>
  <c r="J2292" i="3" a="1"/>
  <c r="J2292" i="3" s="1"/>
  <c r="B2293" i="3" a="1"/>
  <c r="B2293" i="3" s="1"/>
  <c r="C2293" i="3" a="1"/>
  <c r="C2293" i="3" s="1"/>
  <c r="D2293" i="3" a="1"/>
  <c r="D2293" i="3" s="1"/>
  <c r="E2293" i="3" a="1"/>
  <c r="E2293" i="3" s="1"/>
  <c r="F2293" i="3" a="1"/>
  <c r="F2293" i="3" s="1"/>
  <c r="G2293" i="3" a="1"/>
  <c r="G2293" i="3" s="1"/>
  <c r="J2293" i="3" a="1"/>
  <c r="J2293" i="3" s="1"/>
  <c r="B2294" i="3" a="1"/>
  <c r="B2294" i="3" s="1"/>
  <c r="C2294" i="3" a="1"/>
  <c r="C2294" i="3" s="1"/>
  <c r="D2294" i="3" a="1"/>
  <c r="D2294" i="3" s="1"/>
  <c r="E2294" i="3" a="1"/>
  <c r="E2294" i="3" s="1"/>
  <c r="F2294" i="3" a="1"/>
  <c r="F2294" i="3" s="1"/>
  <c r="G2294" i="3" a="1"/>
  <c r="G2294" i="3" s="1"/>
  <c r="J2294" i="3" a="1"/>
  <c r="J2294" i="3" s="1"/>
  <c r="B2295" i="3" a="1"/>
  <c r="B2295" i="3" s="1"/>
  <c r="C2295" i="3" a="1"/>
  <c r="C2295" i="3" s="1"/>
  <c r="D2295" i="3" a="1"/>
  <c r="D2295" i="3" s="1"/>
  <c r="E2295" i="3" a="1"/>
  <c r="E2295" i="3" s="1"/>
  <c r="F2295" i="3" a="1"/>
  <c r="F2295" i="3" s="1"/>
  <c r="G2295" i="3" a="1"/>
  <c r="G2295" i="3" s="1"/>
  <c r="J2295" i="3" a="1"/>
  <c r="J2295" i="3" s="1"/>
  <c r="B2296" i="3" a="1"/>
  <c r="B2296" i="3" s="1"/>
  <c r="C2296" i="3" a="1"/>
  <c r="C2296" i="3" s="1"/>
  <c r="D2296" i="3" a="1"/>
  <c r="D2296" i="3" s="1"/>
  <c r="E2296" i="3" a="1"/>
  <c r="E2296" i="3" s="1"/>
  <c r="F2296" i="3" a="1"/>
  <c r="F2296" i="3" s="1"/>
  <c r="G2296" i="3" a="1"/>
  <c r="G2296" i="3" s="1"/>
  <c r="J2296" i="3" a="1"/>
  <c r="J2296" i="3" s="1"/>
  <c r="B2297" i="3" a="1"/>
  <c r="B2297" i="3" s="1"/>
  <c r="C2297" i="3" a="1"/>
  <c r="C2297" i="3" s="1"/>
  <c r="D2297" i="3" a="1"/>
  <c r="D2297" i="3" s="1"/>
  <c r="E2297" i="3" a="1"/>
  <c r="E2297" i="3" s="1"/>
  <c r="F2297" i="3" a="1"/>
  <c r="F2297" i="3" s="1"/>
  <c r="G2297" i="3" a="1"/>
  <c r="G2297" i="3" s="1"/>
  <c r="J2297" i="3" a="1"/>
  <c r="J2297" i="3" s="1"/>
  <c r="B2298" i="3" a="1"/>
  <c r="B2298" i="3" s="1"/>
  <c r="C2298" i="3" a="1"/>
  <c r="C2298" i="3" s="1"/>
  <c r="D2298" i="3" a="1"/>
  <c r="D2298" i="3" s="1"/>
  <c r="E2298" i="3" a="1"/>
  <c r="E2298" i="3" s="1"/>
  <c r="F2298" i="3" a="1"/>
  <c r="F2298" i="3" s="1"/>
  <c r="G2298" i="3" a="1"/>
  <c r="G2298" i="3" s="1"/>
  <c r="J2298" i="3" a="1"/>
  <c r="J2298" i="3" s="1"/>
  <c r="B2299" i="3" a="1"/>
  <c r="B2299" i="3" s="1"/>
  <c r="C2299" i="3" a="1"/>
  <c r="C2299" i="3" s="1"/>
  <c r="D2299" i="3" a="1"/>
  <c r="D2299" i="3" s="1"/>
  <c r="E2299" i="3" a="1"/>
  <c r="E2299" i="3" s="1"/>
  <c r="F2299" i="3" a="1"/>
  <c r="F2299" i="3" s="1"/>
  <c r="G2299" i="3" a="1"/>
  <c r="G2299" i="3" s="1"/>
  <c r="J2299" i="3" a="1"/>
  <c r="J2299" i="3" s="1"/>
  <c r="B2300" i="3" a="1"/>
  <c r="B2300" i="3" s="1"/>
  <c r="C2300" i="3" a="1"/>
  <c r="C2300" i="3" s="1"/>
  <c r="D2300" i="3" a="1"/>
  <c r="D2300" i="3" s="1"/>
  <c r="E2300" i="3" a="1"/>
  <c r="E2300" i="3" s="1"/>
  <c r="F2300" i="3" a="1"/>
  <c r="F2300" i="3" s="1"/>
  <c r="G2300" i="3" a="1"/>
  <c r="G2300" i="3" s="1"/>
  <c r="J2300" i="3" a="1"/>
  <c r="J2300" i="3" s="1"/>
  <c r="B2301" i="3" a="1"/>
  <c r="B2301" i="3" s="1"/>
  <c r="C2301" i="3" a="1"/>
  <c r="C2301" i="3" s="1"/>
  <c r="D2301" i="3" a="1"/>
  <c r="D2301" i="3" s="1"/>
  <c r="E2301" i="3" a="1"/>
  <c r="E2301" i="3" s="1"/>
  <c r="F2301" i="3" a="1"/>
  <c r="F2301" i="3" s="1"/>
  <c r="G2301" i="3" a="1"/>
  <c r="G2301" i="3" s="1"/>
  <c r="J2301" i="3" a="1"/>
  <c r="J2301" i="3" s="1"/>
  <c r="B2302" i="3" a="1"/>
  <c r="B2302" i="3" s="1"/>
  <c r="C2302" i="3" a="1"/>
  <c r="C2302" i="3" s="1"/>
  <c r="D2302" i="3" a="1"/>
  <c r="D2302" i="3" s="1"/>
  <c r="E2302" i="3" a="1"/>
  <c r="E2302" i="3" s="1"/>
  <c r="F2302" i="3" a="1"/>
  <c r="F2302" i="3" s="1"/>
  <c r="G2302" i="3" a="1"/>
  <c r="G2302" i="3" s="1"/>
  <c r="J2302" i="3" a="1"/>
  <c r="J2302" i="3" s="1"/>
  <c r="B2303" i="3" a="1"/>
  <c r="B2303" i="3" s="1"/>
  <c r="C2303" i="3" a="1"/>
  <c r="C2303" i="3" s="1"/>
  <c r="D2303" i="3" a="1"/>
  <c r="D2303" i="3" s="1"/>
  <c r="E2303" i="3" a="1"/>
  <c r="E2303" i="3" s="1"/>
  <c r="F2303" i="3" a="1"/>
  <c r="F2303" i="3" s="1"/>
  <c r="G2303" i="3" a="1"/>
  <c r="G2303" i="3" s="1"/>
  <c r="J2303" i="3" a="1"/>
  <c r="J2303" i="3" s="1"/>
  <c r="B2304" i="3" a="1"/>
  <c r="B2304" i="3" s="1"/>
  <c r="C2304" i="3" a="1"/>
  <c r="C2304" i="3" s="1"/>
  <c r="D2304" i="3" a="1"/>
  <c r="D2304" i="3" s="1"/>
  <c r="E2304" i="3" a="1"/>
  <c r="E2304" i="3" s="1"/>
  <c r="F2304" i="3" a="1"/>
  <c r="F2304" i="3" s="1"/>
  <c r="G2304" i="3" a="1"/>
  <c r="G2304" i="3" s="1"/>
  <c r="J2304" i="3" a="1"/>
  <c r="J2304" i="3" s="1"/>
  <c r="B2305" i="3" a="1"/>
  <c r="B2305" i="3" s="1"/>
  <c r="C2305" i="3" a="1"/>
  <c r="C2305" i="3" s="1"/>
  <c r="D2305" i="3" a="1"/>
  <c r="D2305" i="3" s="1"/>
  <c r="E2305" i="3" a="1"/>
  <c r="E2305" i="3" s="1"/>
  <c r="F2305" i="3" a="1"/>
  <c r="F2305" i="3" s="1"/>
  <c r="G2305" i="3" a="1"/>
  <c r="G2305" i="3" s="1"/>
  <c r="J2305" i="3" a="1"/>
  <c r="J2305" i="3" s="1"/>
  <c r="B2306" i="3" a="1"/>
  <c r="B2306" i="3" s="1"/>
  <c r="C2306" i="3" a="1"/>
  <c r="C2306" i="3" s="1"/>
  <c r="D2306" i="3" a="1"/>
  <c r="D2306" i="3" s="1"/>
  <c r="E2306" i="3" a="1"/>
  <c r="E2306" i="3" s="1"/>
  <c r="F2306" i="3" a="1"/>
  <c r="F2306" i="3" s="1"/>
  <c r="G2306" i="3" a="1"/>
  <c r="G2306" i="3" s="1"/>
  <c r="J2306" i="3" a="1"/>
  <c r="J2306" i="3" s="1"/>
  <c r="B2307" i="3" a="1"/>
  <c r="B2307" i="3" s="1"/>
  <c r="C2307" i="3" a="1"/>
  <c r="C2307" i="3" s="1"/>
  <c r="D2307" i="3" a="1"/>
  <c r="D2307" i="3" s="1"/>
  <c r="E2307" i="3" a="1"/>
  <c r="E2307" i="3" s="1"/>
  <c r="F2307" i="3" a="1"/>
  <c r="F2307" i="3" s="1"/>
  <c r="G2307" i="3" a="1"/>
  <c r="G2307" i="3" s="1"/>
  <c r="J2307" i="3" a="1"/>
  <c r="J2307" i="3" s="1"/>
  <c r="B2308" i="3" a="1"/>
  <c r="B2308" i="3" s="1"/>
  <c r="C2308" i="3" a="1"/>
  <c r="C2308" i="3" s="1"/>
  <c r="D2308" i="3" a="1"/>
  <c r="D2308" i="3" s="1"/>
  <c r="E2308" i="3" a="1"/>
  <c r="E2308" i="3" s="1"/>
  <c r="F2308" i="3" a="1"/>
  <c r="F2308" i="3" s="1"/>
  <c r="G2308" i="3" a="1"/>
  <c r="G2308" i="3" s="1"/>
  <c r="J2308" i="3" a="1"/>
  <c r="J2308" i="3" s="1"/>
  <c r="B2309" i="3" a="1"/>
  <c r="B2309" i="3" s="1"/>
  <c r="C2309" i="3" a="1"/>
  <c r="C2309" i="3" s="1"/>
  <c r="D2309" i="3" a="1"/>
  <c r="D2309" i="3" s="1"/>
  <c r="E2309" i="3" a="1"/>
  <c r="E2309" i="3" s="1"/>
  <c r="F2309" i="3" a="1"/>
  <c r="F2309" i="3" s="1"/>
  <c r="G2309" i="3" a="1"/>
  <c r="G2309" i="3" s="1"/>
  <c r="J2309" i="3" a="1"/>
  <c r="J2309" i="3" s="1"/>
  <c r="B2310" i="3" a="1"/>
  <c r="B2310" i="3" s="1"/>
  <c r="C2310" i="3" a="1"/>
  <c r="C2310" i="3" s="1"/>
  <c r="D2310" i="3" a="1"/>
  <c r="D2310" i="3" s="1"/>
  <c r="E2310" i="3" a="1"/>
  <c r="E2310" i="3" s="1"/>
  <c r="F2310" i="3" a="1"/>
  <c r="F2310" i="3" s="1"/>
  <c r="G2310" i="3" a="1"/>
  <c r="G2310" i="3" s="1"/>
  <c r="J2310" i="3" a="1"/>
  <c r="J2310" i="3" s="1"/>
  <c r="B2311" i="3" a="1"/>
  <c r="B2311" i="3" s="1"/>
  <c r="C2311" i="3" a="1"/>
  <c r="C2311" i="3" s="1"/>
  <c r="D2311" i="3" a="1"/>
  <c r="D2311" i="3" s="1"/>
  <c r="E2311" i="3" a="1"/>
  <c r="E2311" i="3" s="1"/>
  <c r="F2311" i="3" a="1"/>
  <c r="F2311" i="3" s="1"/>
  <c r="G2311" i="3" a="1"/>
  <c r="G2311" i="3" s="1"/>
  <c r="J2311" i="3" a="1"/>
  <c r="J2311" i="3" s="1"/>
  <c r="B2312" i="3" a="1"/>
  <c r="B2312" i="3" s="1"/>
  <c r="C2312" i="3" a="1"/>
  <c r="C2312" i="3" s="1"/>
  <c r="D2312" i="3" a="1"/>
  <c r="D2312" i="3" s="1"/>
  <c r="E2312" i="3" a="1"/>
  <c r="E2312" i="3" s="1"/>
  <c r="F2312" i="3" a="1"/>
  <c r="F2312" i="3" s="1"/>
  <c r="G2312" i="3" a="1"/>
  <c r="G2312" i="3" s="1"/>
  <c r="J2312" i="3" a="1"/>
  <c r="J2312" i="3" s="1"/>
  <c r="B2313" i="3" a="1"/>
  <c r="B2313" i="3" s="1"/>
  <c r="C2313" i="3" a="1"/>
  <c r="C2313" i="3" s="1"/>
  <c r="D2313" i="3" a="1"/>
  <c r="D2313" i="3" s="1"/>
  <c r="E2313" i="3" a="1"/>
  <c r="E2313" i="3" s="1"/>
  <c r="F2313" i="3" a="1"/>
  <c r="F2313" i="3" s="1"/>
  <c r="G2313" i="3" a="1"/>
  <c r="G2313" i="3" s="1"/>
  <c r="J2313" i="3" a="1"/>
  <c r="J2313" i="3" s="1"/>
  <c r="B2314" i="3" a="1"/>
  <c r="B2314" i="3" s="1"/>
  <c r="C2314" i="3" a="1"/>
  <c r="C2314" i="3" s="1"/>
  <c r="D2314" i="3" a="1"/>
  <c r="D2314" i="3" s="1"/>
  <c r="E2314" i="3" a="1"/>
  <c r="E2314" i="3" s="1"/>
  <c r="F2314" i="3" a="1"/>
  <c r="F2314" i="3" s="1"/>
  <c r="G2314" i="3" a="1"/>
  <c r="G2314" i="3" s="1"/>
  <c r="J2314" i="3" a="1"/>
  <c r="J2314" i="3" s="1"/>
  <c r="B2315" i="3" a="1"/>
  <c r="B2315" i="3" s="1"/>
  <c r="C2315" i="3" a="1"/>
  <c r="C2315" i="3" s="1"/>
  <c r="D2315" i="3" a="1"/>
  <c r="D2315" i="3" s="1"/>
  <c r="E2315" i="3" a="1"/>
  <c r="E2315" i="3" s="1"/>
  <c r="F2315" i="3" a="1"/>
  <c r="F2315" i="3" s="1"/>
  <c r="G2315" i="3" a="1"/>
  <c r="G2315" i="3" s="1"/>
  <c r="J2315" i="3" a="1"/>
  <c r="J2315" i="3" s="1"/>
  <c r="B2316" i="3" a="1"/>
  <c r="B2316" i="3" s="1"/>
  <c r="C2316" i="3" a="1"/>
  <c r="C2316" i="3" s="1"/>
  <c r="D2316" i="3" a="1"/>
  <c r="D2316" i="3" s="1"/>
  <c r="E2316" i="3" a="1"/>
  <c r="E2316" i="3" s="1"/>
  <c r="F2316" i="3" a="1"/>
  <c r="F2316" i="3" s="1"/>
  <c r="G2316" i="3" a="1"/>
  <c r="G2316" i="3" s="1"/>
  <c r="J2316" i="3" a="1"/>
  <c r="J2316" i="3" s="1"/>
  <c r="B2317" i="3" a="1"/>
  <c r="B2317" i="3" s="1"/>
  <c r="C2317" i="3" a="1"/>
  <c r="C2317" i="3" s="1"/>
  <c r="D2317" i="3" a="1"/>
  <c r="D2317" i="3" s="1"/>
  <c r="E2317" i="3" a="1"/>
  <c r="E2317" i="3" s="1"/>
  <c r="F2317" i="3" a="1"/>
  <c r="F2317" i="3" s="1"/>
  <c r="G2317" i="3" a="1"/>
  <c r="G2317" i="3" s="1"/>
  <c r="J2317" i="3" a="1"/>
  <c r="J2317" i="3" s="1"/>
  <c r="B2318" i="3" a="1"/>
  <c r="B2318" i="3" s="1"/>
  <c r="C2318" i="3" a="1"/>
  <c r="C2318" i="3" s="1"/>
  <c r="D2318" i="3" a="1"/>
  <c r="D2318" i="3" s="1"/>
  <c r="E2318" i="3" a="1"/>
  <c r="E2318" i="3" s="1"/>
  <c r="F2318" i="3" a="1"/>
  <c r="F2318" i="3" s="1"/>
  <c r="G2318" i="3" a="1"/>
  <c r="G2318" i="3" s="1"/>
  <c r="J2318" i="3" a="1"/>
  <c r="J2318" i="3" s="1"/>
  <c r="B2319" i="3" a="1"/>
  <c r="B2319" i="3" s="1"/>
  <c r="C2319" i="3" a="1"/>
  <c r="C2319" i="3" s="1"/>
  <c r="D2319" i="3" a="1"/>
  <c r="D2319" i="3" s="1"/>
  <c r="E2319" i="3" a="1"/>
  <c r="E2319" i="3" s="1"/>
  <c r="F2319" i="3" a="1"/>
  <c r="F2319" i="3" s="1"/>
  <c r="G2319" i="3" a="1"/>
  <c r="G2319" i="3" s="1"/>
  <c r="J2319" i="3" a="1"/>
  <c r="J2319" i="3" s="1"/>
  <c r="B2320" i="3" a="1"/>
  <c r="B2320" i="3" s="1"/>
  <c r="C2320" i="3" a="1"/>
  <c r="C2320" i="3" s="1"/>
  <c r="D2320" i="3" a="1"/>
  <c r="D2320" i="3" s="1"/>
  <c r="E2320" i="3" a="1"/>
  <c r="E2320" i="3" s="1"/>
  <c r="F2320" i="3" a="1"/>
  <c r="F2320" i="3" s="1"/>
  <c r="G2320" i="3" a="1"/>
  <c r="G2320" i="3" s="1"/>
  <c r="J2320" i="3" a="1"/>
  <c r="J2320" i="3" s="1"/>
  <c r="B2321" i="3" a="1"/>
  <c r="B2321" i="3" s="1"/>
  <c r="C2321" i="3" a="1"/>
  <c r="C2321" i="3" s="1"/>
  <c r="D2321" i="3" a="1"/>
  <c r="D2321" i="3" s="1"/>
  <c r="E2321" i="3" a="1"/>
  <c r="E2321" i="3" s="1"/>
  <c r="F2321" i="3" a="1"/>
  <c r="F2321" i="3" s="1"/>
  <c r="G2321" i="3" a="1"/>
  <c r="G2321" i="3" s="1"/>
  <c r="J2321" i="3" a="1"/>
  <c r="J2321" i="3" s="1"/>
  <c r="B2322" i="3" a="1"/>
  <c r="B2322" i="3" s="1"/>
  <c r="C2322" i="3" a="1"/>
  <c r="C2322" i="3" s="1"/>
  <c r="D2322" i="3" a="1"/>
  <c r="D2322" i="3" s="1"/>
  <c r="E2322" i="3" a="1"/>
  <c r="E2322" i="3" s="1"/>
  <c r="F2322" i="3" a="1"/>
  <c r="F2322" i="3" s="1"/>
  <c r="G2322" i="3" a="1"/>
  <c r="G2322" i="3" s="1"/>
  <c r="J2322" i="3" a="1"/>
  <c r="J2322" i="3" s="1"/>
  <c r="B2323" i="3" a="1"/>
  <c r="B2323" i="3" s="1"/>
  <c r="C2323" i="3" a="1"/>
  <c r="C2323" i="3" s="1"/>
  <c r="D2323" i="3" a="1"/>
  <c r="D2323" i="3" s="1"/>
  <c r="E2323" i="3" a="1"/>
  <c r="E2323" i="3" s="1"/>
  <c r="F2323" i="3" a="1"/>
  <c r="F2323" i="3" s="1"/>
  <c r="G2323" i="3" a="1"/>
  <c r="G2323" i="3" s="1"/>
  <c r="J2323" i="3" a="1"/>
  <c r="J2323" i="3" s="1"/>
  <c r="B2324" i="3" a="1"/>
  <c r="B2324" i="3" s="1"/>
  <c r="C2324" i="3" a="1"/>
  <c r="C2324" i="3" s="1"/>
  <c r="D2324" i="3" a="1"/>
  <c r="D2324" i="3" s="1"/>
  <c r="E2324" i="3" a="1"/>
  <c r="E2324" i="3" s="1"/>
  <c r="F2324" i="3" a="1"/>
  <c r="F2324" i="3" s="1"/>
  <c r="G2324" i="3" a="1"/>
  <c r="G2324" i="3" s="1"/>
  <c r="J2324" i="3" a="1"/>
  <c r="J2324" i="3" s="1"/>
  <c r="B2325" i="3" a="1"/>
  <c r="B2325" i="3" s="1"/>
  <c r="C2325" i="3" a="1"/>
  <c r="C2325" i="3" s="1"/>
  <c r="D2325" i="3" a="1"/>
  <c r="D2325" i="3" s="1"/>
  <c r="E2325" i="3" a="1"/>
  <c r="E2325" i="3" s="1"/>
  <c r="F2325" i="3" a="1"/>
  <c r="F2325" i="3" s="1"/>
  <c r="G2325" i="3" a="1"/>
  <c r="G2325" i="3" s="1"/>
  <c r="J2325" i="3" a="1"/>
  <c r="J2325" i="3" s="1"/>
  <c r="B2326" i="3" a="1"/>
  <c r="B2326" i="3" s="1"/>
  <c r="C2326" i="3" a="1"/>
  <c r="C2326" i="3" s="1"/>
  <c r="D2326" i="3" a="1"/>
  <c r="D2326" i="3" s="1"/>
  <c r="E2326" i="3" a="1"/>
  <c r="E2326" i="3" s="1"/>
  <c r="F2326" i="3" a="1"/>
  <c r="F2326" i="3" s="1"/>
  <c r="G2326" i="3" a="1"/>
  <c r="G2326" i="3" s="1"/>
  <c r="J2326" i="3" a="1"/>
  <c r="J2326" i="3" s="1"/>
  <c r="B2327" i="3" a="1"/>
  <c r="B2327" i="3" s="1"/>
  <c r="C2327" i="3" a="1"/>
  <c r="C2327" i="3" s="1"/>
  <c r="D2327" i="3" a="1"/>
  <c r="D2327" i="3" s="1"/>
  <c r="E2327" i="3" a="1"/>
  <c r="E2327" i="3" s="1"/>
  <c r="F2327" i="3" a="1"/>
  <c r="F2327" i="3" s="1"/>
  <c r="G2327" i="3" a="1"/>
  <c r="G2327" i="3" s="1"/>
  <c r="J2327" i="3" a="1"/>
  <c r="J2327" i="3" s="1"/>
  <c r="B2328" i="3" a="1"/>
  <c r="B2328" i="3" s="1"/>
  <c r="C2328" i="3" a="1"/>
  <c r="C2328" i="3" s="1"/>
  <c r="D2328" i="3" a="1"/>
  <c r="D2328" i="3" s="1"/>
  <c r="E2328" i="3" a="1"/>
  <c r="E2328" i="3" s="1"/>
  <c r="F2328" i="3" a="1"/>
  <c r="F2328" i="3" s="1"/>
  <c r="G2328" i="3" a="1"/>
  <c r="G2328" i="3" s="1"/>
  <c r="J2328" i="3" a="1"/>
  <c r="J2328" i="3" s="1"/>
  <c r="B2329" i="3" a="1"/>
  <c r="B2329" i="3" s="1"/>
  <c r="C2329" i="3" a="1"/>
  <c r="C2329" i="3" s="1"/>
  <c r="D2329" i="3" a="1"/>
  <c r="D2329" i="3" s="1"/>
  <c r="E2329" i="3" a="1"/>
  <c r="E2329" i="3" s="1"/>
  <c r="F2329" i="3" a="1"/>
  <c r="F2329" i="3" s="1"/>
  <c r="G2329" i="3" a="1"/>
  <c r="G2329" i="3" s="1"/>
  <c r="J2329" i="3" a="1"/>
  <c r="J2329" i="3" s="1"/>
  <c r="B2330" i="3" a="1"/>
  <c r="B2330" i="3" s="1"/>
  <c r="C2330" i="3" a="1"/>
  <c r="C2330" i="3" s="1"/>
  <c r="D2330" i="3" a="1"/>
  <c r="D2330" i="3" s="1"/>
  <c r="E2330" i="3" a="1"/>
  <c r="E2330" i="3" s="1"/>
  <c r="F2330" i="3" a="1"/>
  <c r="F2330" i="3" s="1"/>
  <c r="G2330" i="3" a="1"/>
  <c r="G2330" i="3" s="1"/>
  <c r="J2330" i="3" a="1"/>
  <c r="J2330" i="3" s="1"/>
  <c r="B2331" i="3" a="1"/>
  <c r="B2331" i="3" s="1"/>
  <c r="C2331" i="3" a="1"/>
  <c r="C2331" i="3" s="1"/>
  <c r="D2331" i="3" a="1"/>
  <c r="D2331" i="3" s="1"/>
  <c r="E2331" i="3" a="1"/>
  <c r="E2331" i="3" s="1"/>
  <c r="F2331" i="3" a="1"/>
  <c r="F2331" i="3" s="1"/>
  <c r="G2331" i="3" a="1"/>
  <c r="G2331" i="3" s="1"/>
  <c r="J2331" i="3" a="1"/>
  <c r="J2331" i="3" s="1"/>
  <c r="B2332" i="3" a="1"/>
  <c r="B2332" i="3" s="1"/>
  <c r="C2332" i="3" a="1"/>
  <c r="C2332" i="3" s="1"/>
  <c r="D2332" i="3" a="1"/>
  <c r="D2332" i="3" s="1"/>
  <c r="E2332" i="3" a="1"/>
  <c r="E2332" i="3" s="1"/>
  <c r="F2332" i="3" a="1"/>
  <c r="F2332" i="3" s="1"/>
  <c r="G2332" i="3" a="1"/>
  <c r="G2332" i="3" s="1"/>
  <c r="J2332" i="3" a="1"/>
  <c r="J2332" i="3" s="1"/>
  <c r="B2333" i="3" a="1"/>
  <c r="B2333" i="3" s="1"/>
  <c r="C2333" i="3" a="1"/>
  <c r="C2333" i="3" s="1"/>
  <c r="D2333" i="3" a="1"/>
  <c r="D2333" i="3" s="1"/>
  <c r="E2333" i="3" a="1"/>
  <c r="E2333" i="3" s="1"/>
  <c r="F2333" i="3" a="1"/>
  <c r="F2333" i="3" s="1"/>
  <c r="G2333" i="3" a="1"/>
  <c r="G2333" i="3" s="1"/>
  <c r="J2333" i="3" a="1"/>
  <c r="J2333" i="3" s="1"/>
  <c r="B2334" i="3" a="1"/>
  <c r="B2334" i="3" s="1"/>
  <c r="C2334" i="3" a="1"/>
  <c r="C2334" i="3" s="1"/>
  <c r="D2334" i="3" a="1"/>
  <c r="D2334" i="3" s="1"/>
  <c r="E2334" i="3" a="1"/>
  <c r="E2334" i="3" s="1"/>
  <c r="F2334" i="3" a="1"/>
  <c r="F2334" i="3" s="1"/>
  <c r="G2334" i="3" a="1"/>
  <c r="G2334" i="3" s="1"/>
  <c r="J2334" i="3" a="1"/>
  <c r="J2334" i="3" s="1"/>
  <c r="B2335" i="3" a="1"/>
  <c r="B2335" i="3" s="1"/>
  <c r="C2335" i="3" a="1"/>
  <c r="C2335" i="3" s="1"/>
  <c r="D2335" i="3" a="1"/>
  <c r="D2335" i="3" s="1"/>
  <c r="E2335" i="3" a="1"/>
  <c r="E2335" i="3" s="1"/>
  <c r="F2335" i="3" a="1"/>
  <c r="F2335" i="3" s="1"/>
  <c r="G2335" i="3" a="1"/>
  <c r="G2335" i="3" s="1"/>
  <c r="J2335" i="3" a="1"/>
  <c r="J2335" i="3" s="1"/>
  <c r="B2336" i="3" a="1"/>
  <c r="B2336" i="3" s="1"/>
  <c r="C2336" i="3" a="1"/>
  <c r="C2336" i="3" s="1"/>
  <c r="D2336" i="3" a="1"/>
  <c r="D2336" i="3" s="1"/>
  <c r="E2336" i="3" a="1"/>
  <c r="E2336" i="3" s="1"/>
  <c r="F2336" i="3" a="1"/>
  <c r="F2336" i="3" s="1"/>
  <c r="G2336" i="3" a="1"/>
  <c r="G2336" i="3" s="1"/>
  <c r="J2336" i="3" a="1"/>
  <c r="J2336" i="3" s="1"/>
  <c r="B2337" i="3" a="1"/>
  <c r="B2337" i="3" s="1"/>
  <c r="C2337" i="3" a="1"/>
  <c r="C2337" i="3" s="1"/>
  <c r="D2337" i="3" a="1"/>
  <c r="D2337" i="3" s="1"/>
  <c r="E2337" i="3" a="1"/>
  <c r="E2337" i="3" s="1"/>
  <c r="F2337" i="3" a="1"/>
  <c r="F2337" i="3" s="1"/>
  <c r="G2337" i="3" a="1"/>
  <c r="G2337" i="3" s="1"/>
  <c r="J2337" i="3" a="1"/>
  <c r="J2337" i="3" s="1"/>
  <c r="B2338" i="3" a="1"/>
  <c r="B2338" i="3" s="1"/>
  <c r="C2338" i="3" a="1"/>
  <c r="C2338" i="3" s="1"/>
  <c r="D2338" i="3" a="1"/>
  <c r="D2338" i="3" s="1"/>
  <c r="E2338" i="3" a="1"/>
  <c r="E2338" i="3" s="1"/>
  <c r="F2338" i="3" a="1"/>
  <c r="F2338" i="3" s="1"/>
  <c r="G2338" i="3" a="1"/>
  <c r="G2338" i="3" s="1"/>
  <c r="J2338" i="3" a="1"/>
  <c r="J2338" i="3" s="1"/>
  <c r="B2339" i="3" a="1"/>
  <c r="B2339" i="3" s="1"/>
  <c r="C2339" i="3" a="1"/>
  <c r="C2339" i="3" s="1"/>
  <c r="D2339" i="3" a="1"/>
  <c r="D2339" i="3" s="1"/>
  <c r="E2339" i="3" a="1"/>
  <c r="E2339" i="3" s="1"/>
  <c r="F2339" i="3" a="1"/>
  <c r="F2339" i="3" s="1"/>
  <c r="G2339" i="3" a="1"/>
  <c r="G2339" i="3" s="1"/>
  <c r="J2339" i="3" a="1"/>
  <c r="J2339" i="3" s="1"/>
  <c r="B2340" i="3" a="1"/>
  <c r="B2340" i="3" s="1"/>
  <c r="C2340" i="3" a="1"/>
  <c r="C2340" i="3" s="1"/>
  <c r="D2340" i="3" a="1"/>
  <c r="D2340" i="3" s="1"/>
  <c r="E2340" i="3" a="1"/>
  <c r="E2340" i="3" s="1"/>
  <c r="F2340" i="3" a="1"/>
  <c r="F2340" i="3" s="1"/>
  <c r="G2340" i="3" a="1"/>
  <c r="G2340" i="3" s="1"/>
  <c r="J2340" i="3" a="1"/>
  <c r="J2340" i="3" s="1"/>
  <c r="B2341" i="3" a="1"/>
  <c r="B2341" i="3" s="1"/>
  <c r="C2341" i="3" a="1"/>
  <c r="C2341" i="3" s="1"/>
  <c r="D2341" i="3" a="1"/>
  <c r="D2341" i="3" s="1"/>
  <c r="E2341" i="3" a="1"/>
  <c r="E2341" i="3" s="1"/>
  <c r="F2341" i="3" a="1"/>
  <c r="F2341" i="3" s="1"/>
  <c r="G2341" i="3" a="1"/>
  <c r="G2341" i="3" s="1"/>
  <c r="J2341" i="3" a="1"/>
  <c r="J2341" i="3" s="1"/>
  <c r="B2342" i="3" a="1"/>
  <c r="B2342" i="3" s="1"/>
  <c r="C2342" i="3" a="1"/>
  <c r="C2342" i="3" s="1"/>
  <c r="D2342" i="3" a="1"/>
  <c r="D2342" i="3" s="1"/>
  <c r="E2342" i="3" a="1"/>
  <c r="E2342" i="3" s="1"/>
  <c r="F2342" i="3" a="1"/>
  <c r="F2342" i="3" s="1"/>
  <c r="G2342" i="3" a="1"/>
  <c r="G2342" i="3" s="1"/>
  <c r="J2342" i="3" a="1"/>
  <c r="J2342" i="3" s="1"/>
  <c r="B2343" i="3" a="1"/>
  <c r="B2343" i="3" s="1"/>
  <c r="C2343" i="3" a="1"/>
  <c r="C2343" i="3" s="1"/>
  <c r="D2343" i="3" a="1"/>
  <c r="D2343" i="3" s="1"/>
  <c r="E2343" i="3" a="1"/>
  <c r="E2343" i="3" s="1"/>
  <c r="F2343" i="3" a="1"/>
  <c r="F2343" i="3" s="1"/>
  <c r="G2343" i="3" a="1"/>
  <c r="G2343" i="3" s="1"/>
  <c r="J2343" i="3" a="1"/>
  <c r="J2343" i="3" s="1"/>
  <c r="B2344" i="3" a="1"/>
  <c r="B2344" i="3" s="1"/>
  <c r="C2344" i="3" a="1"/>
  <c r="C2344" i="3" s="1"/>
  <c r="D2344" i="3" a="1"/>
  <c r="D2344" i="3" s="1"/>
  <c r="E2344" i="3" a="1"/>
  <c r="E2344" i="3" s="1"/>
  <c r="F2344" i="3" a="1"/>
  <c r="F2344" i="3" s="1"/>
  <c r="G2344" i="3" a="1"/>
  <c r="G2344" i="3" s="1"/>
  <c r="J2344" i="3" a="1"/>
  <c r="J2344" i="3" s="1"/>
  <c r="B2345" i="3" a="1"/>
  <c r="B2345" i="3" s="1"/>
  <c r="C2345" i="3" a="1"/>
  <c r="C2345" i="3" s="1"/>
  <c r="D2345" i="3" a="1"/>
  <c r="D2345" i="3" s="1"/>
  <c r="E2345" i="3" a="1"/>
  <c r="E2345" i="3" s="1"/>
  <c r="F2345" i="3" a="1"/>
  <c r="F2345" i="3" s="1"/>
  <c r="G2345" i="3" a="1"/>
  <c r="G2345" i="3" s="1"/>
  <c r="J2345" i="3" a="1"/>
  <c r="J2345" i="3" s="1"/>
  <c r="B2346" i="3" a="1"/>
  <c r="B2346" i="3" s="1"/>
  <c r="C2346" i="3" a="1"/>
  <c r="C2346" i="3" s="1"/>
  <c r="D2346" i="3" a="1"/>
  <c r="D2346" i="3" s="1"/>
  <c r="E2346" i="3" a="1"/>
  <c r="E2346" i="3" s="1"/>
  <c r="F2346" i="3" a="1"/>
  <c r="F2346" i="3" s="1"/>
  <c r="G2346" i="3" a="1"/>
  <c r="G2346" i="3" s="1"/>
  <c r="J2346" i="3" a="1"/>
  <c r="J2346" i="3" s="1"/>
  <c r="B2347" i="3" a="1"/>
  <c r="B2347" i="3" s="1"/>
  <c r="C2347" i="3" a="1"/>
  <c r="C2347" i="3" s="1"/>
  <c r="D2347" i="3" a="1"/>
  <c r="D2347" i="3" s="1"/>
  <c r="E2347" i="3" a="1"/>
  <c r="E2347" i="3" s="1"/>
  <c r="F2347" i="3" a="1"/>
  <c r="F2347" i="3" s="1"/>
  <c r="G2347" i="3" a="1"/>
  <c r="G2347" i="3" s="1"/>
  <c r="J2347" i="3" a="1"/>
  <c r="J2347" i="3" s="1"/>
  <c r="B2348" i="3" a="1"/>
  <c r="B2348" i="3" s="1"/>
  <c r="C2348" i="3" a="1"/>
  <c r="C2348" i="3" s="1"/>
  <c r="D2348" i="3" a="1"/>
  <c r="D2348" i="3" s="1"/>
  <c r="E2348" i="3" a="1"/>
  <c r="E2348" i="3" s="1"/>
  <c r="F2348" i="3" a="1"/>
  <c r="F2348" i="3" s="1"/>
  <c r="G2348" i="3" a="1"/>
  <c r="G2348" i="3" s="1"/>
  <c r="J2348" i="3" a="1"/>
  <c r="J2348" i="3" s="1"/>
  <c r="B2349" i="3" a="1"/>
  <c r="B2349" i="3" s="1"/>
  <c r="C2349" i="3" a="1"/>
  <c r="C2349" i="3" s="1"/>
  <c r="D2349" i="3" a="1"/>
  <c r="D2349" i="3" s="1"/>
  <c r="E2349" i="3" a="1"/>
  <c r="E2349" i="3" s="1"/>
  <c r="F2349" i="3" a="1"/>
  <c r="F2349" i="3" s="1"/>
  <c r="G2349" i="3" a="1"/>
  <c r="G2349" i="3" s="1"/>
  <c r="J2349" i="3" a="1"/>
  <c r="J2349" i="3" s="1"/>
  <c r="B2350" i="3" a="1"/>
  <c r="B2350" i="3" s="1"/>
  <c r="C2350" i="3" a="1"/>
  <c r="C2350" i="3" s="1"/>
  <c r="D2350" i="3" a="1"/>
  <c r="D2350" i="3" s="1"/>
  <c r="E2350" i="3" a="1"/>
  <c r="E2350" i="3" s="1"/>
  <c r="F2350" i="3" a="1"/>
  <c r="F2350" i="3" s="1"/>
  <c r="G2350" i="3" a="1"/>
  <c r="G2350" i="3" s="1"/>
  <c r="J2350" i="3" a="1"/>
  <c r="J2350" i="3" s="1"/>
  <c r="B2351" i="3" a="1"/>
  <c r="B2351" i="3" s="1"/>
  <c r="C2351" i="3" a="1"/>
  <c r="C2351" i="3" s="1"/>
  <c r="D2351" i="3" a="1"/>
  <c r="D2351" i="3" s="1"/>
  <c r="E2351" i="3" a="1"/>
  <c r="E2351" i="3" s="1"/>
  <c r="F2351" i="3" a="1"/>
  <c r="F2351" i="3" s="1"/>
  <c r="G2351" i="3" a="1"/>
  <c r="G2351" i="3" s="1"/>
  <c r="J2351" i="3" a="1"/>
  <c r="J2351" i="3" s="1"/>
  <c r="B2352" i="3" a="1"/>
  <c r="B2352" i="3" s="1"/>
  <c r="C2352" i="3" a="1"/>
  <c r="C2352" i="3" s="1"/>
  <c r="D2352" i="3" a="1"/>
  <c r="D2352" i="3" s="1"/>
  <c r="E2352" i="3" a="1"/>
  <c r="E2352" i="3" s="1"/>
  <c r="F2352" i="3" a="1"/>
  <c r="F2352" i="3" s="1"/>
  <c r="G2352" i="3" a="1"/>
  <c r="G2352" i="3" s="1"/>
  <c r="J2352" i="3" a="1"/>
  <c r="J2352" i="3" s="1"/>
  <c r="B2353" i="3" a="1"/>
  <c r="B2353" i="3" s="1"/>
  <c r="C2353" i="3" a="1"/>
  <c r="C2353" i="3" s="1"/>
  <c r="D2353" i="3" a="1"/>
  <c r="D2353" i="3" s="1"/>
  <c r="E2353" i="3" a="1"/>
  <c r="E2353" i="3" s="1"/>
  <c r="F2353" i="3" a="1"/>
  <c r="F2353" i="3" s="1"/>
  <c r="G2353" i="3" a="1"/>
  <c r="G2353" i="3" s="1"/>
  <c r="J2353" i="3" a="1"/>
  <c r="J2353" i="3" s="1"/>
  <c r="B2354" i="3" a="1"/>
  <c r="B2354" i="3" s="1"/>
  <c r="C2354" i="3" a="1"/>
  <c r="C2354" i="3" s="1"/>
  <c r="D2354" i="3" a="1"/>
  <c r="D2354" i="3" s="1"/>
  <c r="E2354" i="3" a="1"/>
  <c r="E2354" i="3" s="1"/>
  <c r="F2354" i="3" a="1"/>
  <c r="F2354" i="3" s="1"/>
  <c r="G2354" i="3" a="1"/>
  <c r="G2354" i="3" s="1"/>
  <c r="J2354" i="3" a="1"/>
  <c r="J2354" i="3" s="1"/>
  <c r="B2355" i="3" a="1"/>
  <c r="B2355" i="3" s="1"/>
  <c r="C2355" i="3" a="1"/>
  <c r="C2355" i="3" s="1"/>
  <c r="D2355" i="3" a="1"/>
  <c r="D2355" i="3" s="1"/>
  <c r="E2355" i="3" a="1"/>
  <c r="E2355" i="3" s="1"/>
  <c r="F2355" i="3" a="1"/>
  <c r="F2355" i="3" s="1"/>
  <c r="G2355" i="3" a="1"/>
  <c r="G2355" i="3" s="1"/>
  <c r="J2355" i="3" a="1"/>
  <c r="J2355" i="3" s="1"/>
  <c r="B2356" i="3" a="1"/>
  <c r="B2356" i="3" s="1"/>
  <c r="C2356" i="3" a="1"/>
  <c r="C2356" i="3" s="1"/>
  <c r="D2356" i="3" a="1"/>
  <c r="D2356" i="3" s="1"/>
  <c r="E2356" i="3" a="1"/>
  <c r="E2356" i="3" s="1"/>
  <c r="F2356" i="3" a="1"/>
  <c r="F2356" i="3" s="1"/>
  <c r="G2356" i="3" a="1"/>
  <c r="G2356" i="3" s="1"/>
  <c r="J2356" i="3" a="1"/>
  <c r="J2356" i="3" s="1"/>
  <c r="B2357" i="3" a="1"/>
  <c r="B2357" i="3" s="1"/>
  <c r="C2357" i="3" a="1"/>
  <c r="C2357" i="3" s="1"/>
  <c r="D2357" i="3" a="1"/>
  <c r="D2357" i="3" s="1"/>
  <c r="E2357" i="3" a="1"/>
  <c r="E2357" i="3" s="1"/>
  <c r="F2357" i="3" a="1"/>
  <c r="F2357" i="3" s="1"/>
  <c r="G2357" i="3" a="1"/>
  <c r="G2357" i="3" s="1"/>
  <c r="J2357" i="3" a="1"/>
  <c r="J2357" i="3" s="1"/>
  <c r="B2358" i="3" a="1"/>
  <c r="B2358" i="3" s="1"/>
  <c r="C2358" i="3" a="1"/>
  <c r="C2358" i="3" s="1"/>
  <c r="D2358" i="3" a="1"/>
  <c r="D2358" i="3" s="1"/>
  <c r="E2358" i="3" a="1"/>
  <c r="E2358" i="3" s="1"/>
  <c r="F2358" i="3" a="1"/>
  <c r="F2358" i="3" s="1"/>
  <c r="G2358" i="3" a="1"/>
  <c r="G2358" i="3" s="1"/>
  <c r="J2358" i="3" a="1"/>
  <c r="J2358" i="3" s="1"/>
  <c r="B2359" i="3" a="1"/>
  <c r="B2359" i="3" s="1"/>
  <c r="C2359" i="3" a="1"/>
  <c r="C2359" i="3" s="1"/>
  <c r="D2359" i="3" a="1"/>
  <c r="D2359" i="3" s="1"/>
  <c r="E2359" i="3" a="1"/>
  <c r="E2359" i="3" s="1"/>
  <c r="F2359" i="3" a="1"/>
  <c r="F2359" i="3" s="1"/>
  <c r="G2359" i="3" a="1"/>
  <c r="G2359" i="3" s="1"/>
  <c r="J2359" i="3" a="1"/>
  <c r="J2359" i="3" s="1"/>
  <c r="B2360" i="3" a="1"/>
  <c r="B2360" i="3" s="1"/>
  <c r="C2360" i="3" a="1"/>
  <c r="C2360" i="3" s="1"/>
  <c r="D2360" i="3" a="1"/>
  <c r="D2360" i="3" s="1"/>
  <c r="E2360" i="3" a="1"/>
  <c r="E2360" i="3" s="1"/>
  <c r="F2360" i="3" a="1"/>
  <c r="F2360" i="3" s="1"/>
  <c r="G2360" i="3" a="1"/>
  <c r="G2360" i="3" s="1"/>
  <c r="J2360" i="3" a="1"/>
  <c r="J2360" i="3" s="1"/>
  <c r="B2361" i="3" a="1"/>
  <c r="B2361" i="3" s="1"/>
  <c r="C2361" i="3" a="1"/>
  <c r="C2361" i="3" s="1"/>
  <c r="D2361" i="3" a="1"/>
  <c r="D2361" i="3" s="1"/>
  <c r="E2361" i="3" a="1"/>
  <c r="E2361" i="3" s="1"/>
  <c r="F2361" i="3" a="1"/>
  <c r="F2361" i="3" s="1"/>
  <c r="G2361" i="3" a="1"/>
  <c r="G2361" i="3" s="1"/>
  <c r="J2361" i="3" a="1"/>
  <c r="J2361" i="3" s="1"/>
  <c r="B2362" i="3" a="1"/>
  <c r="B2362" i="3" s="1"/>
  <c r="C2362" i="3" a="1"/>
  <c r="C2362" i="3" s="1"/>
  <c r="D2362" i="3" a="1"/>
  <c r="D2362" i="3" s="1"/>
  <c r="E2362" i="3" a="1"/>
  <c r="E2362" i="3" s="1"/>
  <c r="F2362" i="3" a="1"/>
  <c r="F2362" i="3" s="1"/>
  <c r="G2362" i="3" a="1"/>
  <c r="G2362" i="3" s="1"/>
  <c r="J2362" i="3" a="1"/>
  <c r="J2362" i="3" s="1"/>
  <c r="B2363" i="3" a="1"/>
  <c r="B2363" i="3" s="1"/>
  <c r="C2363" i="3" a="1"/>
  <c r="C2363" i="3" s="1"/>
  <c r="D2363" i="3" a="1"/>
  <c r="D2363" i="3" s="1"/>
  <c r="E2363" i="3" a="1"/>
  <c r="E2363" i="3" s="1"/>
  <c r="F2363" i="3" a="1"/>
  <c r="F2363" i="3" s="1"/>
  <c r="G2363" i="3" a="1"/>
  <c r="G2363" i="3" s="1"/>
  <c r="J2363" i="3" a="1"/>
  <c r="J2363" i="3" s="1"/>
  <c r="B2364" i="3" a="1"/>
  <c r="B2364" i="3" s="1"/>
  <c r="C2364" i="3" a="1"/>
  <c r="C2364" i="3" s="1"/>
  <c r="D2364" i="3" a="1"/>
  <c r="D2364" i="3" s="1"/>
  <c r="E2364" i="3" a="1"/>
  <c r="E2364" i="3" s="1"/>
  <c r="F2364" i="3" a="1"/>
  <c r="F2364" i="3" s="1"/>
  <c r="G2364" i="3" a="1"/>
  <c r="G2364" i="3" s="1"/>
  <c r="J2364" i="3" a="1"/>
  <c r="J2364" i="3" s="1"/>
  <c r="B2365" i="3" a="1"/>
  <c r="B2365" i="3" s="1"/>
  <c r="C2365" i="3" a="1"/>
  <c r="C2365" i="3" s="1"/>
  <c r="D2365" i="3" a="1"/>
  <c r="D2365" i="3" s="1"/>
  <c r="E2365" i="3" a="1"/>
  <c r="E2365" i="3" s="1"/>
  <c r="F2365" i="3" a="1"/>
  <c r="F2365" i="3" s="1"/>
  <c r="G2365" i="3" a="1"/>
  <c r="G2365" i="3" s="1"/>
  <c r="J2365" i="3" a="1"/>
  <c r="J2365" i="3" s="1"/>
  <c r="B2366" i="3" a="1"/>
  <c r="B2366" i="3" s="1"/>
  <c r="C2366" i="3" a="1"/>
  <c r="C2366" i="3" s="1"/>
  <c r="D2366" i="3" a="1"/>
  <c r="D2366" i="3" s="1"/>
  <c r="E2366" i="3" a="1"/>
  <c r="E2366" i="3" s="1"/>
  <c r="F2366" i="3" a="1"/>
  <c r="F2366" i="3" s="1"/>
  <c r="G2366" i="3" a="1"/>
  <c r="G2366" i="3" s="1"/>
  <c r="J2366" i="3" a="1"/>
  <c r="J2366" i="3" s="1"/>
  <c r="B2367" i="3" a="1"/>
  <c r="B2367" i="3" s="1"/>
  <c r="C2367" i="3" a="1"/>
  <c r="C2367" i="3" s="1"/>
  <c r="D2367" i="3" a="1"/>
  <c r="D2367" i="3" s="1"/>
  <c r="E2367" i="3" a="1"/>
  <c r="E2367" i="3" s="1"/>
  <c r="F2367" i="3" a="1"/>
  <c r="F2367" i="3" s="1"/>
  <c r="G2367" i="3" a="1"/>
  <c r="G2367" i="3" s="1"/>
  <c r="J2367" i="3" a="1"/>
  <c r="J2367" i="3" s="1"/>
  <c r="B2368" i="3" a="1"/>
  <c r="B2368" i="3" s="1"/>
  <c r="C2368" i="3" a="1"/>
  <c r="C2368" i="3" s="1"/>
  <c r="D2368" i="3" a="1"/>
  <c r="D2368" i="3" s="1"/>
  <c r="E2368" i="3" a="1"/>
  <c r="E2368" i="3" s="1"/>
  <c r="F2368" i="3" a="1"/>
  <c r="F2368" i="3" s="1"/>
  <c r="G2368" i="3" a="1"/>
  <c r="G2368" i="3" s="1"/>
  <c r="J2368" i="3" a="1"/>
  <c r="J2368" i="3" s="1"/>
  <c r="B2369" i="3" a="1"/>
  <c r="B2369" i="3" s="1"/>
  <c r="C2369" i="3" a="1"/>
  <c r="C2369" i="3" s="1"/>
  <c r="D2369" i="3" a="1"/>
  <c r="D2369" i="3" s="1"/>
  <c r="E2369" i="3" a="1"/>
  <c r="E2369" i="3" s="1"/>
  <c r="F2369" i="3" a="1"/>
  <c r="F2369" i="3" s="1"/>
  <c r="G2369" i="3" a="1"/>
  <c r="G2369" i="3" s="1"/>
  <c r="J2369" i="3" a="1"/>
  <c r="J2369" i="3" s="1"/>
  <c r="B2370" i="3" a="1"/>
  <c r="B2370" i="3" s="1"/>
  <c r="C2370" i="3" a="1"/>
  <c r="C2370" i="3" s="1"/>
  <c r="D2370" i="3" a="1"/>
  <c r="D2370" i="3" s="1"/>
  <c r="E2370" i="3" a="1"/>
  <c r="E2370" i="3" s="1"/>
  <c r="F2370" i="3" a="1"/>
  <c r="F2370" i="3" s="1"/>
  <c r="G2370" i="3" a="1"/>
  <c r="G2370" i="3" s="1"/>
  <c r="J2370" i="3" a="1"/>
  <c r="J2370" i="3" s="1"/>
  <c r="B2371" i="3" a="1"/>
  <c r="B2371" i="3" s="1"/>
  <c r="C2371" i="3" a="1"/>
  <c r="C2371" i="3" s="1"/>
  <c r="D2371" i="3" a="1"/>
  <c r="D2371" i="3" s="1"/>
  <c r="E2371" i="3" a="1"/>
  <c r="E2371" i="3" s="1"/>
  <c r="F2371" i="3" a="1"/>
  <c r="F2371" i="3" s="1"/>
  <c r="G2371" i="3" a="1"/>
  <c r="G2371" i="3" s="1"/>
  <c r="J2371" i="3" a="1"/>
  <c r="J2371" i="3" s="1"/>
  <c r="B2372" i="3" a="1"/>
  <c r="B2372" i="3" s="1"/>
  <c r="C2372" i="3" a="1"/>
  <c r="C2372" i="3" s="1"/>
  <c r="D2372" i="3" a="1"/>
  <c r="D2372" i="3" s="1"/>
  <c r="E2372" i="3" a="1"/>
  <c r="E2372" i="3" s="1"/>
  <c r="F2372" i="3" a="1"/>
  <c r="F2372" i="3" s="1"/>
  <c r="G2372" i="3" a="1"/>
  <c r="G2372" i="3" s="1"/>
  <c r="J2372" i="3" a="1"/>
  <c r="J2372" i="3" s="1"/>
  <c r="B2373" i="3" a="1"/>
  <c r="B2373" i="3" s="1"/>
  <c r="C2373" i="3" a="1"/>
  <c r="C2373" i="3" s="1"/>
  <c r="D2373" i="3" a="1"/>
  <c r="D2373" i="3" s="1"/>
  <c r="E2373" i="3" a="1"/>
  <c r="E2373" i="3" s="1"/>
  <c r="F2373" i="3" a="1"/>
  <c r="F2373" i="3" s="1"/>
  <c r="G2373" i="3" a="1"/>
  <c r="G2373" i="3" s="1"/>
  <c r="J2373" i="3" a="1"/>
  <c r="J2373" i="3" s="1"/>
  <c r="B2374" i="3" a="1"/>
  <c r="B2374" i="3" s="1"/>
  <c r="C2374" i="3" a="1"/>
  <c r="C2374" i="3" s="1"/>
  <c r="D2374" i="3" a="1"/>
  <c r="D2374" i="3" s="1"/>
  <c r="E2374" i="3" a="1"/>
  <c r="E2374" i="3" s="1"/>
  <c r="F2374" i="3" a="1"/>
  <c r="F2374" i="3" s="1"/>
  <c r="G2374" i="3" a="1"/>
  <c r="G2374" i="3" s="1"/>
  <c r="J2374" i="3" a="1"/>
  <c r="J2374" i="3" s="1"/>
  <c r="B2375" i="3" a="1"/>
  <c r="B2375" i="3" s="1"/>
  <c r="C2375" i="3" a="1"/>
  <c r="C2375" i="3" s="1"/>
  <c r="D2375" i="3" a="1"/>
  <c r="D2375" i="3" s="1"/>
  <c r="E2375" i="3" a="1"/>
  <c r="E2375" i="3" s="1"/>
  <c r="F2375" i="3" a="1"/>
  <c r="F2375" i="3" s="1"/>
  <c r="G2375" i="3" a="1"/>
  <c r="G2375" i="3" s="1"/>
  <c r="J2375" i="3" a="1"/>
  <c r="J2375" i="3" s="1"/>
  <c r="B2376" i="3" a="1"/>
  <c r="B2376" i="3" s="1"/>
  <c r="C2376" i="3" a="1"/>
  <c r="C2376" i="3" s="1"/>
  <c r="D2376" i="3" a="1"/>
  <c r="D2376" i="3" s="1"/>
  <c r="E2376" i="3" a="1"/>
  <c r="E2376" i="3" s="1"/>
  <c r="F2376" i="3" a="1"/>
  <c r="F2376" i="3" s="1"/>
  <c r="G2376" i="3" a="1"/>
  <c r="G2376" i="3" s="1"/>
  <c r="J2376" i="3" a="1"/>
  <c r="J2376" i="3" s="1"/>
  <c r="B2377" i="3" a="1"/>
  <c r="B2377" i="3" s="1"/>
  <c r="C2377" i="3" a="1"/>
  <c r="C2377" i="3" s="1"/>
  <c r="D2377" i="3" a="1"/>
  <c r="D2377" i="3" s="1"/>
  <c r="E2377" i="3" a="1"/>
  <c r="E2377" i="3" s="1"/>
  <c r="F2377" i="3" a="1"/>
  <c r="F2377" i="3" s="1"/>
  <c r="G2377" i="3" a="1"/>
  <c r="G2377" i="3" s="1"/>
  <c r="J2377" i="3" a="1"/>
  <c r="J2377" i="3" s="1"/>
  <c r="B2378" i="3" a="1"/>
  <c r="B2378" i="3" s="1"/>
  <c r="C2378" i="3" a="1"/>
  <c r="C2378" i="3" s="1"/>
  <c r="D2378" i="3" a="1"/>
  <c r="D2378" i="3" s="1"/>
  <c r="E2378" i="3" a="1"/>
  <c r="E2378" i="3" s="1"/>
  <c r="F2378" i="3" a="1"/>
  <c r="F2378" i="3" s="1"/>
  <c r="G2378" i="3" a="1"/>
  <c r="G2378" i="3" s="1"/>
  <c r="J2378" i="3" a="1"/>
  <c r="J2378" i="3" s="1"/>
  <c r="B2379" i="3" a="1"/>
  <c r="B2379" i="3" s="1"/>
  <c r="C2379" i="3" a="1"/>
  <c r="C2379" i="3" s="1"/>
  <c r="D2379" i="3" a="1"/>
  <c r="D2379" i="3" s="1"/>
  <c r="E2379" i="3" a="1"/>
  <c r="E2379" i="3" s="1"/>
  <c r="F2379" i="3" a="1"/>
  <c r="F2379" i="3" s="1"/>
  <c r="G2379" i="3" a="1"/>
  <c r="G2379" i="3" s="1"/>
  <c r="J2379" i="3" a="1"/>
  <c r="J2379" i="3" s="1"/>
  <c r="B2380" i="3" a="1"/>
  <c r="B2380" i="3" s="1"/>
  <c r="C2380" i="3" a="1"/>
  <c r="C2380" i="3" s="1"/>
  <c r="D2380" i="3" a="1"/>
  <c r="D2380" i="3" s="1"/>
  <c r="E2380" i="3" a="1"/>
  <c r="E2380" i="3" s="1"/>
  <c r="F2380" i="3" a="1"/>
  <c r="F2380" i="3" s="1"/>
  <c r="G2380" i="3" a="1"/>
  <c r="G2380" i="3" s="1"/>
  <c r="J2380" i="3" a="1"/>
  <c r="J2380" i="3" s="1"/>
  <c r="B2381" i="3" a="1"/>
  <c r="B2381" i="3" s="1"/>
  <c r="C2381" i="3" a="1"/>
  <c r="C2381" i="3" s="1"/>
  <c r="D2381" i="3" a="1"/>
  <c r="D2381" i="3" s="1"/>
  <c r="E2381" i="3" a="1"/>
  <c r="E2381" i="3" s="1"/>
  <c r="F2381" i="3" a="1"/>
  <c r="F2381" i="3" s="1"/>
  <c r="G2381" i="3" a="1"/>
  <c r="G2381" i="3" s="1"/>
  <c r="J2381" i="3" a="1"/>
  <c r="J2381" i="3" s="1"/>
  <c r="B2382" i="3" a="1"/>
  <c r="B2382" i="3" s="1"/>
  <c r="C2382" i="3" a="1"/>
  <c r="C2382" i="3" s="1"/>
  <c r="D2382" i="3" a="1"/>
  <c r="D2382" i="3" s="1"/>
  <c r="E2382" i="3" a="1"/>
  <c r="E2382" i="3" s="1"/>
  <c r="F2382" i="3" a="1"/>
  <c r="F2382" i="3" s="1"/>
  <c r="G2382" i="3" a="1"/>
  <c r="G2382" i="3" s="1"/>
  <c r="J2382" i="3" a="1"/>
  <c r="J2382" i="3" s="1"/>
  <c r="B2383" i="3" a="1"/>
  <c r="B2383" i="3" s="1"/>
  <c r="C2383" i="3" a="1"/>
  <c r="C2383" i="3" s="1"/>
  <c r="D2383" i="3" a="1"/>
  <c r="D2383" i="3" s="1"/>
  <c r="E2383" i="3" a="1"/>
  <c r="E2383" i="3" s="1"/>
  <c r="F2383" i="3" a="1"/>
  <c r="F2383" i="3" s="1"/>
  <c r="G2383" i="3" a="1"/>
  <c r="G2383" i="3" s="1"/>
  <c r="J2383" i="3" a="1"/>
  <c r="J2383" i="3" s="1"/>
  <c r="B2384" i="3" a="1"/>
  <c r="B2384" i="3" s="1"/>
  <c r="C2384" i="3" a="1"/>
  <c r="C2384" i="3" s="1"/>
  <c r="D2384" i="3" a="1"/>
  <c r="D2384" i="3" s="1"/>
  <c r="E2384" i="3" a="1"/>
  <c r="E2384" i="3" s="1"/>
  <c r="F2384" i="3" a="1"/>
  <c r="F2384" i="3" s="1"/>
  <c r="G2384" i="3" a="1"/>
  <c r="G2384" i="3" s="1"/>
  <c r="J2384" i="3" a="1"/>
  <c r="J2384" i="3" s="1"/>
  <c r="B2385" i="3" a="1"/>
  <c r="B2385" i="3" s="1"/>
  <c r="C2385" i="3" a="1"/>
  <c r="C2385" i="3" s="1"/>
  <c r="D2385" i="3" a="1"/>
  <c r="D2385" i="3" s="1"/>
  <c r="E2385" i="3" a="1"/>
  <c r="E2385" i="3" s="1"/>
  <c r="F2385" i="3" a="1"/>
  <c r="F2385" i="3" s="1"/>
  <c r="G2385" i="3" a="1"/>
  <c r="G2385" i="3" s="1"/>
  <c r="J2385" i="3" a="1"/>
  <c r="J2385" i="3" s="1"/>
  <c r="B2386" i="3" a="1"/>
  <c r="B2386" i="3" s="1"/>
  <c r="C2386" i="3" a="1"/>
  <c r="C2386" i="3" s="1"/>
  <c r="D2386" i="3" a="1"/>
  <c r="D2386" i="3" s="1"/>
  <c r="E2386" i="3" a="1"/>
  <c r="E2386" i="3" s="1"/>
  <c r="F2386" i="3" a="1"/>
  <c r="F2386" i="3" s="1"/>
  <c r="G2386" i="3" a="1"/>
  <c r="G2386" i="3" s="1"/>
  <c r="J2386" i="3" a="1"/>
  <c r="J2386" i="3" s="1"/>
  <c r="B2387" i="3" a="1"/>
  <c r="B2387" i="3" s="1"/>
  <c r="C2387" i="3" a="1"/>
  <c r="C2387" i="3" s="1"/>
  <c r="D2387" i="3" a="1"/>
  <c r="D2387" i="3" s="1"/>
  <c r="E2387" i="3" a="1"/>
  <c r="E2387" i="3" s="1"/>
  <c r="F2387" i="3" a="1"/>
  <c r="F2387" i="3" s="1"/>
  <c r="G2387" i="3" a="1"/>
  <c r="G2387" i="3" s="1"/>
  <c r="J2387" i="3" a="1"/>
  <c r="J2387" i="3" s="1"/>
  <c r="B2388" i="3" a="1"/>
  <c r="B2388" i="3" s="1"/>
  <c r="C2388" i="3" a="1"/>
  <c r="C2388" i="3" s="1"/>
  <c r="D2388" i="3" a="1"/>
  <c r="D2388" i="3" s="1"/>
  <c r="E2388" i="3" a="1"/>
  <c r="E2388" i="3" s="1"/>
  <c r="F2388" i="3" a="1"/>
  <c r="F2388" i="3" s="1"/>
  <c r="G2388" i="3" a="1"/>
  <c r="G2388" i="3" s="1"/>
  <c r="J2388" i="3" a="1"/>
  <c r="J2388" i="3" s="1"/>
  <c r="B2389" i="3" a="1"/>
  <c r="B2389" i="3" s="1"/>
  <c r="C2389" i="3" a="1"/>
  <c r="C2389" i="3" s="1"/>
  <c r="D2389" i="3" a="1"/>
  <c r="D2389" i="3" s="1"/>
  <c r="E2389" i="3" a="1"/>
  <c r="E2389" i="3" s="1"/>
  <c r="F2389" i="3" a="1"/>
  <c r="F2389" i="3" s="1"/>
  <c r="G2389" i="3" a="1"/>
  <c r="G2389" i="3" s="1"/>
  <c r="J2389" i="3" a="1"/>
  <c r="J2389" i="3" s="1"/>
  <c r="B2390" i="3" a="1"/>
  <c r="B2390" i="3" s="1"/>
  <c r="C2390" i="3" a="1"/>
  <c r="C2390" i="3" s="1"/>
  <c r="D2390" i="3" a="1"/>
  <c r="D2390" i="3" s="1"/>
  <c r="E2390" i="3" a="1"/>
  <c r="E2390" i="3" s="1"/>
  <c r="F2390" i="3" a="1"/>
  <c r="F2390" i="3" s="1"/>
  <c r="G2390" i="3" a="1"/>
  <c r="G2390" i="3" s="1"/>
  <c r="J2390" i="3" a="1"/>
  <c r="J2390" i="3" s="1"/>
  <c r="B2391" i="3" a="1"/>
  <c r="B2391" i="3" s="1"/>
  <c r="C2391" i="3" a="1"/>
  <c r="C2391" i="3" s="1"/>
  <c r="D2391" i="3" a="1"/>
  <c r="D2391" i="3" s="1"/>
  <c r="E2391" i="3" a="1"/>
  <c r="E2391" i="3" s="1"/>
  <c r="F2391" i="3" a="1"/>
  <c r="F2391" i="3" s="1"/>
  <c r="G2391" i="3" a="1"/>
  <c r="G2391" i="3" s="1"/>
  <c r="J2391" i="3" a="1"/>
  <c r="J2391" i="3" s="1"/>
  <c r="B2392" i="3" a="1"/>
  <c r="B2392" i="3" s="1"/>
  <c r="C2392" i="3" a="1"/>
  <c r="C2392" i="3" s="1"/>
  <c r="D2392" i="3" a="1"/>
  <c r="D2392" i="3" s="1"/>
  <c r="E2392" i="3" a="1"/>
  <c r="E2392" i="3" s="1"/>
  <c r="F2392" i="3" a="1"/>
  <c r="F2392" i="3" s="1"/>
  <c r="G2392" i="3" a="1"/>
  <c r="G2392" i="3" s="1"/>
  <c r="J2392" i="3" a="1"/>
  <c r="J2392" i="3" s="1"/>
  <c r="B2393" i="3" a="1"/>
  <c r="B2393" i="3" s="1"/>
  <c r="C2393" i="3" a="1"/>
  <c r="C2393" i="3" s="1"/>
  <c r="D2393" i="3" a="1"/>
  <c r="D2393" i="3" s="1"/>
  <c r="E2393" i="3" a="1"/>
  <c r="E2393" i="3" s="1"/>
  <c r="F2393" i="3" a="1"/>
  <c r="F2393" i="3" s="1"/>
  <c r="G2393" i="3" a="1"/>
  <c r="G2393" i="3" s="1"/>
  <c r="J2393" i="3" a="1"/>
  <c r="J2393" i="3" s="1"/>
  <c r="B2394" i="3" a="1"/>
  <c r="B2394" i="3" s="1"/>
  <c r="C2394" i="3" a="1"/>
  <c r="C2394" i="3" s="1"/>
  <c r="D2394" i="3" a="1"/>
  <c r="D2394" i="3" s="1"/>
  <c r="E2394" i="3" a="1"/>
  <c r="E2394" i="3" s="1"/>
  <c r="F2394" i="3" a="1"/>
  <c r="F2394" i="3" s="1"/>
  <c r="G2394" i="3" a="1"/>
  <c r="G2394" i="3" s="1"/>
  <c r="J2394" i="3" a="1"/>
  <c r="J2394" i="3" s="1"/>
  <c r="B2395" i="3" a="1"/>
  <c r="B2395" i="3" s="1"/>
  <c r="C2395" i="3" a="1"/>
  <c r="C2395" i="3" s="1"/>
  <c r="D2395" i="3" a="1"/>
  <c r="D2395" i="3" s="1"/>
  <c r="E2395" i="3" a="1"/>
  <c r="E2395" i="3" s="1"/>
  <c r="F2395" i="3" a="1"/>
  <c r="F2395" i="3" s="1"/>
  <c r="G2395" i="3" a="1"/>
  <c r="G2395" i="3" s="1"/>
  <c r="J2395" i="3" a="1"/>
  <c r="J2395" i="3" s="1"/>
  <c r="B2396" i="3" a="1"/>
  <c r="B2396" i="3" s="1"/>
  <c r="C2396" i="3" a="1"/>
  <c r="C2396" i="3" s="1"/>
  <c r="D2396" i="3" a="1"/>
  <c r="D2396" i="3" s="1"/>
  <c r="E2396" i="3" a="1"/>
  <c r="E2396" i="3" s="1"/>
  <c r="F2396" i="3" a="1"/>
  <c r="F2396" i="3" s="1"/>
  <c r="G2396" i="3" a="1"/>
  <c r="G2396" i="3" s="1"/>
  <c r="J2396" i="3" a="1"/>
  <c r="J2396" i="3" s="1"/>
  <c r="B2397" i="3" a="1"/>
  <c r="B2397" i="3" s="1"/>
  <c r="C2397" i="3" a="1"/>
  <c r="C2397" i="3" s="1"/>
  <c r="D2397" i="3" a="1"/>
  <c r="D2397" i="3" s="1"/>
  <c r="E2397" i="3" a="1"/>
  <c r="E2397" i="3" s="1"/>
  <c r="F2397" i="3" a="1"/>
  <c r="F2397" i="3" s="1"/>
  <c r="G2397" i="3" a="1"/>
  <c r="G2397" i="3" s="1"/>
  <c r="J2397" i="3" a="1"/>
  <c r="J2397" i="3" s="1"/>
  <c r="B2398" i="3" a="1"/>
  <c r="B2398" i="3" s="1"/>
  <c r="C2398" i="3" a="1"/>
  <c r="C2398" i="3" s="1"/>
  <c r="D2398" i="3" a="1"/>
  <c r="D2398" i="3" s="1"/>
  <c r="E2398" i="3" a="1"/>
  <c r="E2398" i="3" s="1"/>
  <c r="F2398" i="3" a="1"/>
  <c r="F2398" i="3" s="1"/>
  <c r="G2398" i="3" a="1"/>
  <c r="G2398" i="3" s="1"/>
  <c r="J2398" i="3" a="1"/>
  <c r="J2398" i="3" s="1"/>
  <c r="B2399" i="3" a="1"/>
  <c r="B2399" i="3" s="1"/>
  <c r="C2399" i="3" a="1"/>
  <c r="C2399" i="3" s="1"/>
  <c r="D2399" i="3" a="1"/>
  <c r="D2399" i="3" s="1"/>
  <c r="E2399" i="3" a="1"/>
  <c r="E2399" i="3" s="1"/>
  <c r="F2399" i="3" a="1"/>
  <c r="F2399" i="3" s="1"/>
  <c r="G2399" i="3" a="1"/>
  <c r="G2399" i="3" s="1"/>
  <c r="J2399" i="3" a="1"/>
  <c r="J2399" i="3" s="1"/>
  <c r="B2400" i="3" a="1"/>
  <c r="B2400" i="3" s="1"/>
  <c r="C2400" i="3" a="1"/>
  <c r="C2400" i="3" s="1"/>
  <c r="D2400" i="3" a="1"/>
  <c r="D2400" i="3" s="1"/>
  <c r="E2400" i="3" a="1"/>
  <c r="E2400" i="3" s="1"/>
  <c r="F2400" i="3" a="1"/>
  <c r="F2400" i="3" s="1"/>
  <c r="G2400" i="3" a="1"/>
  <c r="G2400" i="3" s="1"/>
  <c r="J2400" i="3" a="1"/>
  <c r="J2400" i="3" s="1"/>
  <c r="B2401" i="3" a="1"/>
  <c r="B2401" i="3" s="1"/>
  <c r="C2401" i="3" a="1"/>
  <c r="C2401" i="3" s="1"/>
  <c r="D2401" i="3" a="1"/>
  <c r="D2401" i="3" s="1"/>
  <c r="E2401" i="3" a="1"/>
  <c r="E2401" i="3" s="1"/>
  <c r="F2401" i="3" a="1"/>
  <c r="F2401" i="3" s="1"/>
  <c r="G2401" i="3" a="1"/>
  <c r="G2401" i="3" s="1"/>
  <c r="J2401" i="3" a="1"/>
  <c r="J2401" i="3" s="1"/>
  <c r="B2402" i="3" a="1"/>
  <c r="B2402" i="3" s="1"/>
  <c r="C2402" i="3" a="1"/>
  <c r="C2402" i="3" s="1"/>
  <c r="D2402" i="3" a="1"/>
  <c r="D2402" i="3" s="1"/>
  <c r="E2402" i="3" a="1"/>
  <c r="E2402" i="3" s="1"/>
  <c r="F2402" i="3" a="1"/>
  <c r="F2402" i="3" s="1"/>
  <c r="G2402" i="3" a="1"/>
  <c r="G2402" i="3" s="1"/>
  <c r="J2402" i="3" a="1"/>
  <c r="J2402" i="3" s="1"/>
  <c r="B2403" i="3" a="1"/>
  <c r="B2403" i="3" s="1"/>
  <c r="C2403" i="3" a="1"/>
  <c r="C2403" i="3" s="1"/>
  <c r="D2403" i="3" a="1"/>
  <c r="D2403" i="3" s="1"/>
  <c r="E2403" i="3" a="1"/>
  <c r="E2403" i="3" s="1"/>
  <c r="F2403" i="3" a="1"/>
  <c r="F2403" i="3" s="1"/>
  <c r="G2403" i="3" a="1"/>
  <c r="G2403" i="3" s="1"/>
  <c r="J2403" i="3" a="1"/>
  <c r="J2403" i="3" s="1"/>
  <c r="B2404" i="3" a="1"/>
  <c r="B2404" i="3" s="1"/>
  <c r="C2404" i="3" a="1"/>
  <c r="C2404" i="3" s="1"/>
  <c r="D2404" i="3" a="1"/>
  <c r="D2404" i="3" s="1"/>
  <c r="E2404" i="3" a="1"/>
  <c r="E2404" i="3" s="1"/>
  <c r="F2404" i="3" a="1"/>
  <c r="F2404" i="3" s="1"/>
  <c r="G2404" i="3" a="1"/>
  <c r="G2404" i="3" s="1"/>
  <c r="J2404" i="3" a="1"/>
  <c r="J2404" i="3" s="1"/>
  <c r="B2405" i="3" a="1"/>
  <c r="B2405" i="3" s="1"/>
  <c r="C2405" i="3" a="1"/>
  <c r="C2405" i="3" s="1"/>
  <c r="D2405" i="3" a="1"/>
  <c r="D2405" i="3" s="1"/>
  <c r="E2405" i="3" a="1"/>
  <c r="E2405" i="3" s="1"/>
  <c r="F2405" i="3" a="1"/>
  <c r="F2405" i="3" s="1"/>
  <c r="G2405" i="3" a="1"/>
  <c r="G2405" i="3" s="1"/>
  <c r="J2405" i="3" a="1"/>
  <c r="J2405" i="3" s="1"/>
  <c r="B2406" i="3" a="1"/>
  <c r="B2406" i="3" s="1"/>
  <c r="C2406" i="3" a="1"/>
  <c r="C2406" i="3" s="1"/>
  <c r="D2406" i="3" a="1"/>
  <c r="D2406" i="3" s="1"/>
  <c r="E2406" i="3" a="1"/>
  <c r="E2406" i="3" s="1"/>
  <c r="F2406" i="3" a="1"/>
  <c r="F2406" i="3" s="1"/>
  <c r="G2406" i="3" a="1"/>
  <c r="G2406" i="3" s="1"/>
  <c r="J2406" i="3" a="1"/>
  <c r="J2406" i="3" s="1"/>
  <c r="B2407" i="3" a="1"/>
  <c r="B2407" i="3" s="1"/>
  <c r="C2407" i="3" a="1"/>
  <c r="C2407" i="3" s="1"/>
  <c r="D2407" i="3" a="1"/>
  <c r="D2407" i="3" s="1"/>
  <c r="E2407" i="3" a="1"/>
  <c r="E2407" i="3" s="1"/>
  <c r="F2407" i="3" a="1"/>
  <c r="F2407" i="3" s="1"/>
  <c r="G2407" i="3" a="1"/>
  <c r="G2407" i="3" s="1"/>
  <c r="J2407" i="3" a="1"/>
  <c r="J2407" i="3" s="1"/>
  <c r="B2408" i="3" a="1"/>
  <c r="B2408" i="3" s="1"/>
  <c r="C2408" i="3" a="1"/>
  <c r="C2408" i="3" s="1"/>
  <c r="D2408" i="3" a="1"/>
  <c r="D2408" i="3" s="1"/>
  <c r="E2408" i="3" a="1"/>
  <c r="E2408" i="3" s="1"/>
  <c r="F2408" i="3" a="1"/>
  <c r="F2408" i="3" s="1"/>
  <c r="G2408" i="3" a="1"/>
  <c r="G2408" i="3" s="1"/>
  <c r="J2408" i="3" a="1"/>
  <c r="J2408" i="3" s="1"/>
  <c r="B2409" i="3" a="1"/>
  <c r="B2409" i="3" s="1"/>
  <c r="C2409" i="3" a="1"/>
  <c r="C2409" i="3" s="1"/>
  <c r="D2409" i="3" a="1"/>
  <c r="D2409" i="3" s="1"/>
  <c r="E2409" i="3" a="1"/>
  <c r="E2409" i="3" s="1"/>
  <c r="F2409" i="3" a="1"/>
  <c r="F2409" i="3" s="1"/>
  <c r="G2409" i="3" a="1"/>
  <c r="G2409" i="3" s="1"/>
  <c r="J2409" i="3" a="1"/>
  <c r="J2409" i="3" s="1"/>
  <c r="B2410" i="3" a="1"/>
  <c r="B2410" i="3" s="1"/>
  <c r="C2410" i="3" a="1"/>
  <c r="C2410" i="3" s="1"/>
  <c r="D2410" i="3" a="1"/>
  <c r="D2410" i="3" s="1"/>
  <c r="E2410" i="3" a="1"/>
  <c r="E2410" i="3" s="1"/>
  <c r="F2410" i="3" a="1"/>
  <c r="F2410" i="3" s="1"/>
  <c r="G2410" i="3" a="1"/>
  <c r="G2410" i="3" s="1"/>
  <c r="J2410" i="3" a="1"/>
  <c r="J2410" i="3" s="1"/>
  <c r="B2411" i="3" a="1"/>
  <c r="B2411" i="3" s="1"/>
  <c r="C2411" i="3" a="1"/>
  <c r="C2411" i="3" s="1"/>
  <c r="D2411" i="3" a="1"/>
  <c r="D2411" i="3" s="1"/>
  <c r="E2411" i="3" a="1"/>
  <c r="E2411" i="3" s="1"/>
  <c r="F2411" i="3" a="1"/>
  <c r="F2411" i="3" s="1"/>
  <c r="G2411" i="3" a="1"/>
  <c r="G2411" i="3" s="1"/>
  <c r="J2411" i="3" a="1"/>
  <c r="J2411" i="3" s="1"/>
  <c r="B2412" i="3" a="1"/>
  <c r="B2412" i="3" s="1"/>
  <c r="C2412" i="3" a="1"/>
  <c r="C2412" i="3" s="1"/>
  <c r="D2412" i="3" a="1"/>
  <c r="D2412" i="3" s="1"/>
  <c r="E2412" i="3" a="1"/>
  <c r="E2412" i="3" s="1"/>
  <c r="F2412" i="3" a="1"/>
  <c r="F2412" i="3" s="1"/>
  <c r="G2412" i="3" a="1"/>
  <c r="G2412" i="3" s="1"/>
  <c r="J2412" i="3" a="1"/>
  <c r="J2412" i="3" s="1"/>
  <c r="B2413" i="3" a="1"/>
  <c r="B2413" i="3" s="1"/>
  <c r="C2413" i="3" a="1"/>
  <c r="C2413" i="3" s="1"/>
  <c r="D2413" i="3" a="1"/>
  <c r="D2413" i="3" s="1"/>
  <c r="E2413" i="3" a="1"/>
  <c r="E2413" i="3" s="1"/>
  <c r="F2413" i="3" a="1"/>
  <c r="F2413" i="3" s="1"/>
  <c r="G2413" i="3" a="1"/>
  <c r="G2413" i="3" s="1"/>
  <c r="J2413" i="3" a="1"/>
  <c r="J2413" i="3" s="1"/>
  <c r="B2414" i="3" a="1"/>
  <c r="B2414" i="3" s="1"/>
  <c r="C2414" i="3" a="1"/>
  <c r="C2414" i="3" s="1"/>
  <c r="D2414" i="3" a="1"/>
  <c r="D2414" i="3" s="1"/>
  <c r="E2414" i="3" a="1"/>
  <c r="E2414" i="3" s="1"/>
  <c r="F2414" i="3" a="1"/>
  <c r="F2414" i="3" s="1"/>
  <c r="G2414" i="3" a="1"/>
  <c r="G2414" i="3" s="1"/>
  <c r="J2414" i="3" a="1"/>
  <c r="J2414" i="3" s="1"/>
  <c r="B2415" i="3" a="1"/>
  <c r="B2415" i="3" s="1"/>
  <c r="C2415" i="3" a="1"/>
  <c r="C2415" i="3" s="1"/>
  <c r="D2415" i="3" a="1"/>
  <c r="D2415" i="3" s="1"/>
  <c r="E2415" i="3" a="1"/>
  <c r="E2415" i="3" s="1"/>
  <c r="F2415" i="3" a="1"/>
  <c r="F2415" i="3" s="1"/>
  <c r="G2415" i="3" a="1"/>
  <c r="G2415" i="3" s="1"/>
  <c r="J2415" i="3" a="1"/>
  <c r="J2415" i="3" s="1"/>
  <c r="B2416" i="3" a="1"/>
  <c r="B2416" i="3" s="1"/>
  <c r="C2416" i="3" a="1"/>
  <c r="C2416" i="3" s="1"/>
  <c r="D2416" i="3" a="1"/>
  <c r="D2416" i="3" s="1"/>
  <c r="E2416" i="3" a="1"/>
  <c r="E2416" i="3" s="1"/>
  <c r="F2416" i="3" a="1"/>
  <c r="F2416" i="3" s="1"/>
  <c r="G2416" i="3" a="1"/>
  <c r="G2416" i="3" s="1"/>
  <c r="J2416" i="3" a="1"/>
  <c r="J2416" i="3" s="1"/>
  <c r="B2417" i="3" a="1"/>
  <c r="B2417" i="3" s="1"/>
  <c r="C2417" i="3" a="1"/>
  <c r="C2417" i="3" s="1"/>
  <c r="D2417" i="3" a="1"/>
  <c r="D2417" i="3" s="1"/>
  <c r="E2417" i="3" a="1"/>
  <c r="E2417" i="3" s="1"/>
  <c r="F2417" i="3" a="1"/>
  <c r="F2417" i="3" s="1"/>
  <c r="G2417" i="3" a="1"/>
  <c r="G2417" i="3" s="1"/>
  <c r="J2417" i="3" a="1"/>
  <c r="J2417" i="3" s="1"/>
  <c r="B2418" i="3" a="1"/>
  <c r="B2418" i="3" s="1"/>
  <c r="C2418" i="3" a="1"/>
  <c r="C2418" i="3" s="1"/>
  <c r="D2418" i="3" a="1"/>
  <c r="D2418" i="3" s="1"/>
  <c r="E2418" i="3" a="1"/>
  <c r="E2418" i="3" s="1"/>
  <c r="F2418" i="3" a="1"/>
  <c r="F2418" i="3" s="1"/>
  <c r="G2418" i="3" a="1"/>
  <c r="G2418" i="3" s="1"/>
  <c r="J2418" i="3" a="1"/>
  <c r="J2418" i="3" s="1"/>
  <c r="B2419" i="3" a="1"/>
  <c r="B2419" i="3" s="1"/>
  <c r="C2419" i="3" a="1"/>
  <c r="C2419" i="3" s="1"/>
  <c r="D2419" i="3" a="1"/>
  <c r="D2419" i="3" s="1"/>
  <c r="E2419" i="3" a="1"/>
  <c r="E2419" i="3" s="1"/>
  <c r="F2419" i="3" a="1"/>
  <c r="F2419" i="3" s="1"/>
  <c r="G2419" i="3" a="1"/>
  <c r="G2419" i="3" s="1"/>
  <c r="J2419" i="3" a="1"/>
  <c r="J2419" i="3" s="1"/>
  <c r="B2420" i="3" a="1"/>
  <c r="B2420" i="3" s="1"/>
  <c r="C2420" i="3" a="1"/>
  <c r="C2420" i="3" s="1"/>
  <c r="D2420" i="3" a="1"/>
  <c r="D2420" i="3" s="1"/>
  <c r="E2420" i="3" a="1"/>
  <c r="E2420" i="3" s="1"/>
  <c r="F2420" i="3" a="1"/>
  <c r="F2420" i="3" s="1"/>
  <c r="G2420" i="3" a="1"/>
  <c r="G2420" i="3" s="1"/>
  <c r="J2420" i="3" a="1"/>
  <c r="J2420" i="3" s="1"/>
  <c r="B2421" i="3" a="1"/>
  <c r="B2421" i="3" s="1"/>
  <c r="C2421" i="3" a="1"/>
  <c r="C2421" i="3" s="1"/>
  <c r="D2421" i="3" a="1"/>
  <c r="D2421" i="3" s="1"/>
  <c r="E2421" i="3" a="1"/>
  <c r="E2421" i="3" s="1"/>
  <c r="F2421" i="3" a="1"/>
  <c r="F2421" i="3" s="1"/>
  <c r="G2421" i="3" a="1"/>
  <c r="G2421" i="3" s="1"/>
  <c r="J2421" i="3" a="1"/>
  <c r="J2421" i="3" s="1"/>
  <c r="B2422" i="3" a="1"/>
  <c r="B2422" i="3" s="1"/>
  <c r="C2422" i="3" a="1"/>
  <c r="C2422" i="3" s="1"/>
  <c r="D2422" i="3" a="1"/>
  <c r="D2422" i="3" s="1"/>
  <c r="E2422" i="3" a="1"/>
  <c r="E2422" i="3" s="1"/>
  <c r="F2422" i="3" a="1"/>
  <c r="F2422" i="3" s="1"/>
  <c r="G2422" i="3" a="1"/>
  <c r="G2422" i="3" s="1"/>
  <c r="J2422" i="3" a="1"/>
  <c r="J2422" i="3" s="1"/>
  <c r="B2423" i="3" a="1"/>
  <c r="B2423" i="3" s="1"/>
  <c r="C2423" i="3" a="1"/>
  <c r="C2423" i="3" s="1"/>
  <c r="D2423" i="3" a="1"/>
  <c r="D2423" i="3" s="1"/>
  <c r="E2423" i="3" a="1"/>
  <c r="E2423" i="3" s="1"/>
  <c r="F2423" i="3" a="1"/>
  <c r="F2423" i="3" s="1"/>
  <c r="G2423" i="3" a="1"/>
  <c r="G2423" i="3" s="1"/>
  <c r="J2423" i="3" a="1"/>
  <c r="J2423" i="3" s="1"/>
  <c r="B2424" i="3" a="1"/>
  <c r="B2424" i="3" s="1"/>
  <c r="C2424" i="3" a="1"/>
  <c r="C2424" i="3" s="1"/>
  <c r="D2424" i="3" a="1"/>
  <c r="D2424" i="3" s="1"/>
  <c r="E2424" i="3" a="1"/>
  <c r="E2424" i="3" s="1"/>
  <c r="F2424" i="3" a="1"/>
  <c r="F2424" i="3" s="1"/>
  <c r="G2424" i="3" a="1"/>
  <c r="G2424" i="3" s="1"/>
  <c r="J2424" i="3" a="1"/>
  <c r="J2424" i="3" s="1"/>
  <c r="B2425" i="3" a="1"/>
  <c r="B2425" i="3" s="1"/>
  <c r="C2425" i="3" a="1"/>
  <c r="C2425" i="3" s="1"/>
  <c r="D2425" i="3" a="1"/>
  <c r="D2425" i="3" s="1"/>
  <c r="E2425" i="3" a="1"/>
  <c r="E2425" i="3" s="1"/>
  <c r="F2425" i="3" a="1"/>
  <c r="F2425" i="3" s="1"/>
  <c r="G2425" i="3" a="1"/>
  <c r="G2425" i="3" s="1"/>
  <c r="J2425" i="3" a="1"/>
  <c r="J2425" i="3" s="1"/>
  <c r="B2426" i="3" a="1"/>
  <c r="B2426" i="3" s="1"/>
  <c r="C2426" i="3" a="1"/>
  <c r="C2426" i="3" s="1"/>
  <c r="D2426" i="3" a="1"/>
  <c r="D2426" i="3" s="1"/>
  <c r="E2426" i="3" a="1"/>
  <c r="E2426" i="3" s="1"/>
  <c r="F2426" i="3" a="1"/>
  <c r="F2426" i="3" s="1"/>
  <c r="G2426" i="3" a="1"/>
  <c r="G2426" i="3" s="1"/>
  <c r="J2426" i="3" a="1"/>
  <c r="J2426" i="3" s="1"/>
  <c r="B2427" i="3" a="1"/>
  <c r="B2427" i="3" s="1"/>
  <c r="C2427" i="3" a="1"/>
  <c r="C2427" i="3" s="1"/>
  <c r="D2427" i="3" a="1"/>
  <c r="D2427" i="3" s="1"/>
  <c r="E2427" i="3" a="1"/>
  <c r="E2427" i="3" s="1"/>
  <c r="F2427" i="3" a="1"/>
  <c r="F2427" i="3" s="1"/>
  <c r="G2427" i="3" a="1"/>
  <c r="G2427" i="3" s="1"/>
  <c r="J2427" i="3" a="1"/>
  <c r="J2427" i="3" s="1"/>
  <c r="B2428" i="3" a="1"/>
  <c r="B2428" i="3" s="1"/>
  <c r="C2428" i="3" a="1"/>
  <c r="C2428" i="3" s="1"/>
  <c r="D2428" i="3" a="1"/>
  <c r="D2428" i="3" s="1"/>
  <c r="E2428" i="3" a="1"/>
  <c r="E2428" i="3" s="1"/>
  <c r="F2428" i="3" a="1"/>
  <c r="F2428" i="3" s="1"/>
  <c r="G2428" i="3" a="1"/>
  <c r="G2428" i="3" s="1"/>
  <c r="J2428" i="3" a="1"/>
  <c r="J2428" i="3" s="1"/>
  <c r="B2429" i="3" a="1"/>
  <c r="B2429" i="3" s="1"/>
  <c r="C2429" i="3" a="1"/>
  <c r="C2429" i="3" s="1"/>
  <c r="D2429" i="3" a="1"/>
  <c r="D2429" i="3" s="1"/>
  <c r="E2429" i="3" a="1"/>
  <c r="E2429" i="3" s="1"/>
  <c r="F2429" i="3" a="1"/>
  <c r="F2429" i="3" s="1"/>
  <c r="G2429" i="3" a="1"/>
  <c r="G2429" i="3" s="1"/>
  <c r="J2429" i="3" a="1"/>
  <c r="J2429" i="3" s="1"/>
  <c r="B2430" i="3" a="1"/>
  <c r="B2430" i="3" s="1"/>
  <c r="C2430" i="3" a="1"/>
  <c r="C2430" i="3" s="1"/>
  <c r="D2430" i="3" a="1"/>
  <c r="D2430" i="3" s="1"/>
  <c r="E2430" i="3" a="1"/>
  <c r="E2430" i="3" s="1"/>
  <c r="F2430" i="3" a="1"/>
  <c r="F2430" i="3" s="1"/>
  <c r="G2430" i="3" a="1"/>
  <c r="G2430" i="3" s="1"/>
  <c r="J2430" i="3" a="1"/>
  <c r="J2430" i="3" s="1"/>
  <c r="B2431" i="3" a="1"/>
  <c r="B2431" i="3" s="1"/>
  <c r="C2431" i="3" a="1"/>
  <c r="C2431" i="3" s="1"/>
  <c r="D2431" i="3" a="1"/>
  <c r="D2431" i="3" s="1"/>
  <c r="E2431" i="3" a="1"/>
  <c r="E2431" i="3" s="1"/>
  <c r="F2431" i="3" a="1"/>
  <c r="F2431" i="3" s="1"/>
  <c r="G2431" i="3" a="1"/>
  <c r="G2431" i="3" s="1"/>
  <c r="J2431" i="3" a="1"/>
  <c r="J2431" i="3" s="1"/>
  <c r="B2432" i="3" a="1"/>
  <c r="B2432" i="3" s="1"/>
  <c r="C2432" i="3" a="1"/>
  <c r="C2432" i="3" s="1"/>
  <c r="D2432" i="3" a="1"/>
  <c r="D2432" i="3" s="1"/>
  <c r="E2432" i="3" a="1"/>
  <c r="E2432" i="3" s="1"/>
  <c r="F2432" i="3" a="1"/>
  <c r="F2432" i="3" s="1"/>
  <c r="G2432" i="3" a="1"/>
  <c r="G2432" i="3" s="1"/>
  <c r="J2432" i="3" a="1"/>
  <c r="J2432" i="3" s="1"/>
  <c r="B2433" i="3" a="1"/>
  <c r="B2433" i="3" s="1"/>
  <c r="C2433" i="3" a="1"/>
  <c r="C2433" i="3" s="1"/>
  <c r="D2433" i="3" a="1"/>
  <c r="D2433" i="3" s="1"/>
  <c r="E2433" i="3" a="1"/>
  <c r="E2433" i="3" s="1"/>
  <c r="F2433" i="3" a="1"/>
  <c r="F2433" i="3" s="1"/>
  <c r="G2433" i="3" a="1"/>
  <c r="G2433" i="3" s="1"/>
  <c r="J2433" i="3" a="1"/>
  <c r="J2433" i="3" s="1"/>
  <c r="B2434" i="3" a="1"/>
  <c r="B2434" i="3" s="1"/>
  <c r="C2434" i="3" a="1"/>
  <c r="C2434" i="3" s="1"/>
  <c r="D2434" i="3" a="1"/>
  <c r="D2434" i="3" s="1"/>
  <c r="E2434" i="3" a="1"/>
  <c r="E2434" i="3" s="1"/>
  <c r="F2434" i="3" a="1"/>
  <c r="F2434" i="3" s="1"/>
  <c r="G2434" i="3" a="1"/>
  <c r="G2434" i="3" s="1"/>
  <c r="J2434" i="3" a="1"/>
  <c r="J2434" i="3" s="1"/>
  <c r="B2435" i="3" a="1"/>
  <c r="B2435" i="3" s="1"/>
  <c r="C2435" i="3" a="1"/>
  <c r="C2435" i="3" s="1"/>
  <c r="D2435" i="3" a="1"/>
  <c r="D2435" i="3" s="1"/>
  <c r="E2435" i="3" a="1"/>
  <c r="E2435" i="3" s="1"/>
  <c r="F2435" i="3" a="1"/>
  <c r="F2435" i="3" s="1"/>
  <c r="G2435" i="3" a="1"/>
  <c r="G2435" i="3" s="1"/>
  <c r="J2435" i="3" a="1"/>
  <c r="J2435" i="3" s="1"/>
  <c r="B2436" i="3" a="1"/>
  <c r="B2436" i="3" s="1"/>
  <c r="C2436" i="3" a="1"/>
  <c r="C2436" i="3" s="1"/>
  <c r="D2436" i="3" a="1"/>
  <c r="D2436" i="3" s="1"/>
  <c r="E2436" i="3" a="1"/>
  <c r="E2436" i="3" s="1"/>
  <c r="F2436" i="3" a="1"/>
  <c r="F2436" i="3" s="1"/>
  <c r="G2436" i="3" a="1"/>
  <c r="G2436" i="3" s="1"/>
  <c r="J2436" i="3" a="1"/>
  <c r="J2436" i="3" s="1"/>
  <c r="B2437" i="3" a="1"/>
  <c r="B2437" i="3" s="1"/>
  <c r="C2437" i="3" a="1"/>
  <c r="C2437" i="3" s="1"/>
  <c r="D2437" i="3" a="1"/>
  <c r="D2437" i="3" s="1"/>
  <c r="E2437" i="3" a="1"/>
  <c r="E2437" i="3" s="1"/>
  <c r="F2437" i="3" a="1"/>
  <c r="F2437" i="3" s="1"/>
  <c r="G2437" i="3" a="1"/>
  <c r="G2437" i="3" s="1"/>
  <c r="J2437" i="3" a="1"/>
  <c r="J2437" i="3" s="1"/>
  <c r="B2438" i="3" a="1"/>
  <c r="B2438" i="3" s="1"/>
  <c r="C2438" i="3" a="1"/>
  <c r="C2438" i="3" s="1"/>
  <c r="D2438" i="3" a="1"/>
  <c r="D2438" i="3" s="1"/>
  <c r="E2438" i="3" a="1"/>
  <c r="E2438" i="3" s="1"/>
  <c r="F2438" i="3" a="1"/>
  <c r="F2438" i="3" s="1"/>
  <c r="G2438" i="3" a="1"/>
  <c r="G2438" i="3" s="1"/>
  <c r="J2438" i="3" a="1"/>
  <c r="J2438" i="3" s="1"/>
  <c r="B2439" i="3" a="1"/>
  <c r="B2439" i="3" s="1"/>
  <c r="C2439" i="3" a="1"/>
  <c r="C2439" i="3" s="1"/>
  <c r="D2439" i="3" a="1"/>
  <c r="D2439" i="3" s="1"/>
  <c r="E2439" i="3" a="1"/>
  <c r="E2439" i="3" s="1"/>
  <c r="F2439" i="3" a="1"/>
  <c r="F2439" i="3" s="1"/>
  <c r="G2439" i="3" a="1"/>
  <c r="G2439" i="3" s="1"/>
  <c r="J2439" i="3" a="1"/>
  <c r="J2439" i="3" s="1"/>
  <c r="B2440" i="3" a="1"/>
  <c r="B2440" i="3" s="1"/>
  <c r="C2440" i="3" a="1"/>
  <c r="C2440" i="3" s="1"/>
  <c r="D2440" i="3" a="1"/>
  <c r="D2440" i="3" s="1"/>
  <c r="E2440" i="3" a="1"/>
  <c r="E2440" i="3" s="1"/>
  <c r="F2440" i="3" a="1"/>
  <c r="F2440" i="3" s="1"/>
  <c r="G2440" i="3" a="1"/>
  <c r="G2440" i="3" s="1"/>
  <c r="J2440" i="3" a="1"/>
  <c r="J2440" i="3" s="1"/>
  <c r="B2441" i="3" a="1"/>
  <c r="B2441" i="3" s="1"/>
  <c r="C2441" i="3" a="1"/>
  <c r="C2441" i="3" s="1"/>
  <c r="D2441" i="3" a="1"/>
  <c r="D2441" i="3" s="1"/>
  <c r="E2441" i="3" a="1"/>
  <c r="E2441" i="3" s="1"/>
  <c r="F2441" i="3" a="1"/>
  <c r="F2441" i="3" s="1"/>
  <c r="G2441" i="3" a="1"/>
  <c r="G2441" i="3" s="1"/>
  <c r="J2441" i="3" a="1"/>
  <c r="J2441" i="3" s="1"/>
  <c r="B2442" i="3" a="1"/>
  <c r="B2442" i="3" s="1"/>
  <c r="C2442" i="3" a="1"/>
  <c r="C2442" i="3" s="1"/>
  <c r="D2442" i="3" a="1"/>
  <c r="D2442" i="3" s="1"/>
  <c r="E2442" i="3" a="1"/>
  <c r="E2442" i="3" s="1"/>
  <c r="F2442" i="3" a="1"/>
  <c r="F2442" i="3" s="1"/>
  <c r="G2442" i="3" a="1"/>
  <c r="G2442" i="3" s="1"/>
  <c r="J2442" i="3" a="1"/>
  <c r="J2442" i="3" s="1"/>
  <c r="B2443" i="3" a="1"/>
  <c r="B2443" i="3" s="1"/>
  <c r="C2443" i="3" a="1"/>
  <c r="C2443" i="3" s="1"/>
  <c r="D2443" i="3" a="1"/>
  <c r="D2443" i="3" s="1"/>
  <c r="E2443" i="3" a="1"/>
  <c r="E2443" i="3" s="1"/>
  <c r="F2443" i="3" a="1"/>
  <c r="F2443" i="3" s="1"/>
  <c r="G2443" i="3" a="1"/>
  <c r="G2443" i="3" s="1"/>
  <c r="J2443" i="3" a="1"/>
  <c r="J2443" i="3" s="1"/>
  <c r="B2444" i="3" a="1"/>
  <c r="B2444" i="3" s="1"/>
  <c r="C2444" i="3" a="1"/>
  <c r="C2444" i="3" s="1"/>
  <c r="D2444" i="3" a="1"/>
  <c r="D2444" i="3" s="1"/>
  <c r="E2444" i="3" a="1"/>
  <c r="E2444" i="3" s="1"/>
  <c r="F2444" i="3" a="1"/>
  <c r="F2444" i="3" s="1"/>
  <c r="G2444" i="3" a="1"/>
  <c r="G2444" i="3" s="1"/>
  <c r="J2444" i="3" a="1"/>
  <c r="J2444" i="3" s="1"/>
  <c r="B2445" i="3" a="1"/>
  <c r="B2445" i="3" s="1"/>
  <c r="C2445" i="3" a="1"/>
  <c r="C2445" i="3" s="1"/>
  <c r="D2445" i="3" a="1"/>
  <c r="D2445" i="3" s="1"/>
  <c r="E2445" i="3" a="1"/>
  <c r="E2445" i="3" s="1"/>
  <c r="F2445" i="3" a="1"/>
  <c r="F2445" i="3" s="1"/>
  <c r="G2445" i="3" a="1"/>
  <c r="G2445" i="3" s="1"/>
  <c r="J2445" i="3" a="1"/>
  <c r="J2445" i="3" s="1"/>
  <c r="B2446" i="3" a="1"/>
  <c r="B2446" i="3" s="1"/>
  <c r="C2446" i="3" a="1"/>
  <c r="C2446" i="3" s="1"/>
  <c r="D2446" i="3" a="1"/>
  <c r="D2446" i="3" s="1"/>
  <c r="E2446" i="3" a="1"/>
  <c r="E2446" i="3" s="1"/>
  <c r="F2446" i="3" a="1"/>
  <c r="F2446" i="3" s="1"/>
  <c r="G2446" i="3" a="1"/>
  <c r="G2446" i="3" s="1"/>
  <c r="J2446" i="3" a="1"/>
  <c r="J2446" i="3" s="1"/>
  <c r="B2447" i="3" a="1"/>
  <c r="B2447" i="3" s="1"/>
  <c r="C2447" i="3" a="1"/>
  <c r="C2447" i="3" s="1"/>
  <c r="D2447" i="3" a="1"/>
  <c r="D2447" i="3" s="1"/>
  <c r="E2447" i="3" a="1"/>
  <c r="E2447" i="3" s="1"/>
  <c r="F2447" i="3" a="1"/>
  <c r="F2447" i="3" s="1"/>
  <c r="G2447" i="3" a="1"/>
  <c r="G2447" i="3" s="1"/>
  <c r="J2447" i="3" a="1"/>
  <c r="J2447" i="3" s="1"/>
  <c r="B2448" i="3" a="1"/>
  <c r="B2448" i="3" s="1"/>
  <c r="C2448" i="3" a="1"/>
  <c r="C2448" i="3" s="1"/>
  <c r="D2448" i="3" a="1"/>
  <c r="D2448" i="3" s="1"/>
  <c r="E2448" i="3" a="1"/>
  <c r="E2448" i="3" s="1"/>
  <c r="F2448" i="3" a="1"/>
  <c r="F2448" i="3" s="1"/>
  <c r="G2448" i="3" a="1"/>
  <c r="G2448" i="3" s="1"/>
  <c r="J2448" i="3" a="1"/>
  <c r="J2448" i="3" s="1"/>
  <c r="B2449" i="3" a="1"/>
  <c r="B2449" i="3" s="1"/>
  <c r="C2449" i="3" a="1"/>
  <c r="C2449" i="3" s="1"/>
  <c r="D2449" i="3" a="1"/>
  <c r="D2449" i="3" s="1"/>
  <c r="E2449" i="3" a="1"/>
  <c r="E2449" i="3" s="1"/>
  <c r="F2449" i="3" a="1"/>
  <c r="F2449" i="3" s="1"/>
  <c r="G2449" i="3" a="1"/>
  <c r="G2449" i="3" s="1"/>
  <c r="J2449" i="3" a="1"/>
  <c r="J2449" i="3" s="1"/>
  <c r="B2450" i="3" a="1"/>
  <c r="B2450" i="3" s="1"/>
  <c r="C2450" i="3" a="1"/>
  <c r="C2450" i="3" s="1"/>
  <c r="D2450" i="3" a="1"/>
  <c r="D2450" i="3" s="1"/>
  <c r="E2450" i="3" a="1"/>
  <c r="E2450" i="3" s="1"/>
  <c r="F2450" i="3" a="1"/>
  <c r="F2450" i="3" s="1"/>
  <c r="G2450" i="3" a="1"/>
  <c r="G2450" i="3" s="1"/>
  <c r="J2450" i="3" a="1"/>
  <c r="J2450" i="3" s="1"/>
  <c r="B2451" i="3" a="1"/>
  <c r="B2451" i="3" s="1"/>
  <c r="C2451" i="3" a="1"/>
  <c r="C2451" i="3" s="1"/>
  <c r="D2451" i="3" a="1"/>
  <c r="D2451" i="3" s="1"/>
  <c r="E2451" i="3" a="1"/>
  <c r="E2451" i="3" s="1"/>
  <c r="F2451" i="3" a="1"/>
  <c r="F2451" i="3" s="1"/>
  <c r="G2451" i="3" a="1"/>
  <c r="G2451" i="3" s="1"/>
  <c r="J2451" i="3" a="1"/>
  <c r="J2451" i="3" s="1"/>
  <c r="B2452" i="3" a="1"/>
  <c r="B2452" i="3" s="1"/>
  <c r="C2452" i="3" a="1"/>
  <c r="C2452" i="3" s="1"/>
  <c r="D2452" i="3" a="1"/>
  <c r="D2452" i="3" s="1"/>
  <c r="E2452" i="3" a="1"/>
  <c r="E2452" i="3" s="1"/>
  <c r="F2452" i="3" a="1"/>
  <c r="F2452" i="3" s="1"/>
  <c r="G2452" i="3" a="1"/>
  <c r="G2452" i="3" s="1"/>
  <c r="J2452" i="3" a="1"/>
  <c r="J2452" i="3" s="1"/>
  <c r="B2453" i="3" a="1"/>
  <c r="B2453" i="3" s="1"/>
  <c r="C2453" i="3" a="1"/>
  <c r="C2453" i="3" s="1"/>
  <c r="D2453" i="3" a="1"/>
  <c r="D2453" i="3" s="1"/>
  <c r="E2453" i="3" a="1"/>
  <c r="E2453" i="3" s="1"/>
  <c r="F2453" i="3" a="1"/>
  <c r="F2453" i="3" s="1"/>
  <c r="G2453" i="3" a="1"/>
  <c r="G2453" i="3" s="1"/>
  <c r="J2453" i="3" a="1"/>
  <c r="J2453" i="3" s="1"/>
  <c r="B2454" i="3" a="1"/>
  <c r="B2454" i="3" s="1"/>
  <c r="C2454" i="3" a="1"/>
  <c r="C2454" i="3" s="1"/>
  <c r="D2454" i="3" a="1"/>
  <c r="D2454" i="3" s="1"/>
  <c r="E2454" i="3" a="1"/>
  <c r="E2454" i="3" s="1"/>
  <c r="F2454" i="3" a="1"/>
  <c r="F2454" i="3" s="1"/>
  <c r="G2454" i="3" a="1"/>
  <c r="G2454" i="3" s="1"/>
  <c r="J2454" i="3" a="1"/>
  <c r="J2454" i="3" s="1"/>
  <c r="B2455" i="3" a="1"/>
  <c r="B2455" i="3" s="1"/>
  <c r="C2455" i="3" a="1"/>
  <c r="C2455" i="3" s="1"/>
  <c r="D2455" i="3" a="1"/>
  <c r="D2455" i="3" s="1"/>
  <c r="E2455" i="3" a="1"/>
  <c r="E2455" i="3" s="1"/>
  <c r="F2455" i="3" a="1"/>
  <c r="F2455" i="3" s="1"/>
  <c r="G2455" i="3" a="1"/>
  <c r="G2455" i="3" s="1"/>
  <c r="J2455" i="3" a="1"/>
  <c r="J2455" i="3" s="1"/>
  <c r="B2456" i="3" a="1"/>
  <c r="B2456" i="3" s="1"/>
  <c r="C2456" i="3" a="1"/>
  <c r="C2456" i="3" s="1"/>
  <c r="D2456" i="3" a="1"/>
  <c r="D2456" i="3" s="1"/>
  <c r="E2456" i="3" a="1"/>
  <c r="E2456" i="3" s="1"/>
  <c r="F2456" i="3" a="1"/>
  <c r="F2456" i="3" s="1"/>
  <c r="G2456" i="3" a="1"/>
  <c r="G2456" i="3" s="1"/>
  <c r="J2456" i="3" a="1"/>
  <c r="J2456" i="3" s="1"/>
  <c r="B2457" i="3" a="1"/>
  <c r="B2457" i="3" s="1"/>
  <c r="C2457" i="3" a="1"/>
  <c r="C2457" i="3" s="1"/>
  <c r="D2457" i="3" a="1"/>
  <c r="D2457" i="3" s="1"/>
  <c r="E2457" i="3" a="1"/>
  <c r="E2457" i="3" s="1"/>
  <c r="F2457" i="3" a="1"/>
  <c r="F2457" i="3" s="1"/>
  <c r="G2457" i="3" a="1"/>
  <c r="G2457" i="3" s="1"/>
  <c r="J2457" i="3" a="1"/>
  <c r="J2457" i="3" s="1"/>
  <c r="B2458" i="3" a="1"/>
  <c r="B2458" i="3" s="1"/>
  <c r="C2458" i="3" a="1"/>
  <c r="C2458" i="3" s="1"/>
  <c r="D2458" i="3" a="1"/>
  <c r="D2458" i="3" s="1"/>
  <c r="E2458" i="3" a="1"/>
  <c r="E2458" i="3" s="1"/>
  <c r="F2458" i="3" a="1"/>
  <c r="F2458" i="3" s="1"/>
  <c r="G2458" i="3" a="1"/>
  <c r="G2458" i="3" s="1"/>
  <c r="J2458" i="3" a="1"/>
  <c r="J2458" i="3" s="1"/>
  <c r="B2459" i="3" a="1"/>
  <c r="B2459" i="3" s="1"/>
  <c r="C2459" i="3" a="1"/>
  <c r="C2459" i="3" s="1"/>
  <c r="D2459" i="3" a="1"/>
  <c r="D2459" i="3" s="1"/>
  <c r="E2459" i="3" a="1"/>
  <c r="E2459" i="3" s="1"/>
  <c r="F2459" i="3" a="1"/>
  <c r="F2459" i="3" s="1"/>
  <c r="G2459" i="3" a="1"/>
  <c r="G2459" i="3" s="1"/>
  <c r="J2459" i="3" a="1"/>
  <c r="J2459" i="3" s="1"/>
  <c r="B2460" i="3" a="1"/>
  <c r="B2460" i="3" s="1"/>
  <c r="C2460" i="3" a="1"/>
  <c r="C2460" i="3" s="1"/>
  <c r="D2460" i="3" a="1"/>
  <c r="D2460" i="3" s="1"/>
  <c r="E2460" i="3" a="1"/>
  <c r="E2460" i="3" s="1"/>
  <c r="F2460" i="3" a="1"/>
  <c r="F2460" i="3" s="1"/>
  <c r="G2460" i="3" a="1"/>
  <c r="G2460" i="3" s="1"/>
  <c r="J2460" i="3" a="1"/>
  <c r="J2460" i="3" s="1"/>
  <c r="B2461" i="3" a="1"/>
  <c r="B2461" i="3" s="1"/>
  <c r="C2461" i="3" a="1"/>
  <c r="C2461" i="3" s="1"/>
  <c r="D2461" i="3" a="1"/>
  <c r="D2461" i="3" s="1"/>
  <c r="E2461" i="3" a="1"/>
  <c r="E2461" i="3" s="1"/>
  <c r="F2461" i="3" a="1"/>
  <c r="F2461" i="3" s="1"/>
  <c r="G2461" i="3" a="1"/>
  <c r="G2461" i="3" s="1"/>
  <c r="J2461" i="3" a="1"/>
  <c r="J2461" i="3" s="1"/>
  <c r="B2462" i="3" a="1"/>
  <c r="B2462" i="3" s="1"/>
  <c r="C2462" i="3" a="1"/>
  <c r="C2462" i="3" s="1"/>
  <c r="D2462" i="3" a="1"/>
  <c r="D2462" i="3" s="1"/>
  <c r="E2462" i="3" a="1"/>
  <c r="E2462" i="3" s="1"/>
  <c r="F2462" i="3" a="1"/>
  <c r="F2462" i="3" s="1"/>
  <c r="G2462" i="3" a="1"/>
  <c r="G2462" i="3" s="1"/>
  <c r="J2462" i="3" a="1"/>
  <c r="J2462" i="3" s="1"/>
  <c r="B2463" i="3" a="1"/>
  <c r="B2463" i="3" s="1"/>
  <c r="C2463" i="3" a="1"/>
  <c r="C2463" i="3" s="1"/>
  <c r="D2463" i="3" a="1"/>
  <c r="D2463" i="3" s="1"/>
  <c r="E2463" i="3" a="1"/>
  <c r="E2463" i="3" s="1"/>
  <c r="F2463" i="3" a="1"/>
  <c r="F2463" i="3" s="1"/>
  <c r="G2463" i="3" a="1"/>
  <c r="G2463" i="3" s="1"/>
  <c r="J2463" i="3" a="1"/>
  <c r="J2463" i="3" s="1"/>
  <c r="B2464" i="3" a="1"/>
  <c r="B2464" i="3" s="1"/>
  <c r="C2464" i="3" a="1"/>
  <c r="C2464" i="3" s="1"/>
  <c r="D2464" i="3" a="1"/>
  <c r="D2464" i="3" s="1"/>
  <c r="E2464" i="3" a="1"/>
  <c r="E2464" i="3" s="1"/>
  <c r="F2464" i="3" a="1"/>
  <c r="F2464" i="3" s="1"/>
  <c r="G2464" i="3" a="1"/>
  <c r="G2464" i="3" s="1"/>
  <c r="J2464" i="3" a="1"/>
  <c r="J2464" i="3" s="1"/>
  <c r="B2465" i="3" a="1"/>
  <c r="B2465" i="3" s="1"/>
  <c r="C2465" i="3" a="1"/>
  <c r="C2465" i="3" s="1"/>
  <c r="D2465" i="3" a="1"/>
  <c r="D2465" i="3" s="1"/>
  <c r="E2465" i="3" a="1"/>
  <c r="E2465" i="3" s="1"/>
  <c r="F2465" i="3" a="1"/>
  <c r="F2465" i="3" s="1"/>
  <c r="G2465" i="3" a="1"/>
  <c r="G2465" i="3" s="1"/>
  <c r="J2465" i="3" a="1"/>
  <c r="J2465" i="3" s="1"/>
  <c r="B2466" i="3" a="1"/>
  <c r="B2466" i="3" s="1"/>
  <c r="C2466" i="3" a="1"/>
  <c r="C2466" i="3" s="1"/>
  <c r="D2466" i="3" a="1"/>
  <c r="D2466" i="3" s="1"/>
  <c r="E2466" i="3" a="1"/>
  <c r="E2466" i="3" s="1"/>
  <c r="F2466" i="3" a="1"/>
  <c r="F2466" i="3" s="1"/>
  <c r="G2466" i="3" a="1"/>
  <c r="G2466" i="3" s="1"/>
  <c r="J2466" i="3" a="1"/>
  <c r="J2466" i="3" s="1"/>
  <c r="B2467" i="3" a="1"/>
  <c r="B2467" i="3" s="1"/>
  <c r="C2467" i="3" a="1"/>
  <c r="C2467" i="3" s="1"/>
  <c r="D2467" i="3" a="1"/>
  <c r="D2467" i="3" s="1"/>
  <c r="E2467" i="3" a="1"/>
  <c r="E2467" i="3" s="1"/>
  <c r="F2467" i="3" a="1"/>
  <c r="F2467" i="3" s="1"/>
  <c r="G2467" i="3" a="1"/>
  <c r="G2467" i="3" s="1"/>
  <c r="J2467" i="3" a="1"/>
  <c r="J2467" i="3" s="1"/>
  <c r="B2468" i="3" a="1"/>
  <c r="B2468" i="3" s="1"/>
  <c r="C2468" i="3" a="1"/>
  <c r="C2468" i="3" s="1"/>
  <c r="D2468" i="3" a="1"/>
  <c r="D2468" i="3" s="1"/>
  <c r="E2468" i="3" a="1"/>
  <c r="E2468" i="3" s="1"/>
  <c r="F2468" i="3" a="1"/>
  <c r="F2468" i="3" s="1"/>
  <c r="G2468" i="3" a="1"/>
  <c r="G2468" i="3" s="1"/>
  <c r="J2468" i="3" a="1"/>
  <c r="J2468" i="3" s="1"/>
  <c r="B2469" i="3" a="1"/>
  <c r="B2469" i="3" s="1"/>
  <c r="C2469" i="3" a="1"/>
  <c r="C2469" i="3" s="1"/>
  <c r="D2469" i="3" a="1"/>
  <c r="D2469" i="3" s="1"/>
  <c r="E2469" i="3" a="1"/>
  <c r="E2469" i="3" s="1"/>
  <c r="F2469" i="3" a="1"/>
  <c r="F2469" i="3" s="1"/>
  <c r="G2469" i="3" a="1"/>
  <c r="G2469" i="3" s="1"/>
  <c r="J2469" i="3" a="1"/>
  <c r="J2469" i="3" s="1"/>
  <c r="B2470" i="3" a="1"/>
  <c r="B2470" i="3" s="1"/>
  <c r="C2470" i="3" a="1"/>
  <c r="C2470" i="3" s="1"/>
  <c r="D2470" i="3" a="1"/>
  <c r="D2470" i="3" s="1"/>
  <c r="E2470" i="3" a="1"/>
  <c r="E2470" i="3" s="1"/>
  <c r="F2470" i="3" a="1"/>
  <c r="F2470" i="3" s="1"/>
  <c r="G2470" i="3" a="1"/>
  <c r="G2470" i="3" s="1"/>
  <c r="J2470" i="3" a="1"/>
  <c r="J2470" i="3" s="1"/>
  <c r="B2471" i="3" a="1"/>
  <c r="B2471" i="3" s="1"/>
  <c r="C2471" i="3" a="1"/>
  <c r="C2471" i="3" s="1"/>
  <c r="D2471" i="3" a="1"/>
  <c r="D2471" i="3" s="1"/>
  <c r="E2471" i="3" a="1"/>
  <c r="E2471" i="3" s="1"/>
  <c r="F2471" i="3" a="1"/>
  <c r="F2471" i="3" s="1"/>
  <c r="G2471" i="3" a="1"/>
  <c r="G2471" i="3" s="1"/>
  <c r="J2471" i="3" a="1"/>
  <c r="J2471" i="3" s="1"/>
  <c r="B2472" i="3" a="1"/>
  <c r="B2472" i="3" s="1"/>
  <c r="C2472" i="3" a="1"/>
  <c r="C2472" i="3" s="1"/>
  <c r="D2472" i="3" a="1"/>
  <c r="D2472" i="3" s="1"/>
  <c r="E2472" i="3" a="1"/>
  <c r="E2472" i="3" s="1"/>
  <c r="F2472" i="3" a="1"/>
  <c r="F2472" i="3" s="1"/>
  <c r="G2472" i="3" a="1"/>
  <c r="G2472" i="3" s="1"/>
  <c r="J2472" i="3" a="1"/>
  <c r="J2472" i="3" s="1"/>
  <c r="B2473" i="3" a="1"/>
  <c r="B2473" i="3" s="1"/>
  <c r="C2473" i="3" a="1"/>
  <c r="C2473" i="3" s="1"/>
  <c r="D2473" i="3" a="1"/>
  <c r="D2473" i="3" s="1"/>
  <c r="E2473" i="3" a="1"/>
  <c r="E2473" i="3" s="1"/>
  <c r="F2473" i="3" a="1"/>
  <c r="F2473" i="3" s="1"/>
  <c r="G2473" i="3" a="1"/>
  <c r="G2473" i="3" s="1"/>
  <c r="J2473" i="3" a="1"/>
  <c r="J2473" i="3" s="1"/>
  <c r="B2474" i="3" a="1"/>
  <c r="B2474" i="3" s="1"/>
  <c r="C2474" i="3" a="1"/>
  <c r="C2474" i="3" s="1"/>
  <c r="D2474" i="3" a="1"/>
  <c r="D2474" i="3" s="1"/>
  <c r="E2474" i="3" a="1"/>
  <c r="E2474" i="3" s="1"/>
  <c r="F2474" i="3" a="1"/>
  <c r="F2474" i="3" s="1"/>
  <c r="G2474" i="3" a="1"/>
  <c r="G2474" i="3" s="1"/>
  <c r="J2474" i="3" a="1"/>
  <c r="J2474" i="3" s="1"/>
  <c r="B2475" i="3" a="1"/>
  <c r="B2475" i="3" s="1"/>
  <c r="C2475" i="3" a="1"/>
  <c r="C2475" i="3" s="1"/>
  <c r="D2475" i="3" a="1"/>
  <c r="D2475" i="3" s="1"/>
  <c r="E2475" i="3" a="1"/>
  <c r="E2475" i="3" s="1"/>
  <c r="F2475" i="3" a="1"/>
  <c r="F2475" i="3" s="1"/>
  <c r="G2475" i="3" a="1"/>
  <c r="G2475" i="3" s="1"/>
  <c r="J2475" i="3" a="1"/>
  <c r="J2475" i="3" s="1"/>
  <c r="B2476" i="3" a="1"/>
  <c r="B2476" i="3" s="1"/>
  <c r="C2476" i="3" a="1"/>
  <c r="C2476" i="3" s="1"/>
  <c r="D2476" i="3" a="1"/>
  <c r="D2476" i="3" s="1"/>
  <c r="E2476" i="3" a="1"/>
  <c r="E2476" i="3" s="1"/>
  <c r="F2476" i="3" a="1"/>
  <c r="F2476" i="3" s="1"/>
  <c r="G2476" i="3" a="1"/>
  <c r="G2476" i="3" s="1"/>
  <c r="J2476" i="3" a="1"/>
  <c r="J2476" i="3" s="1"/>
  <c r="B2477" i="3" a="1"/>
  <c r="B2477" i="3" s="1"/>
  <c r="C2477" i="3" a="1"/>
  <c r="C2477" i="3" s="1"/>
  <c r="D2477" i="3" a="1"/>
  <c r="D2477" i="3" s="1"/>
  <c r="E2477" i="3" a="1"/>
  <c r="E2477" i="3" s="1"/>
  <c r="F2477" i="3" a="1"/>
  <c r="F2477" i="3" s="1"/>
  <c r="G2477" i="3" a="1"/>
  <c r="G2477" i="3" s="1"/>
  <c r="J2477" i="3" a="1"/>
  <c r="J2477" i="3" s="1"/>
  <c r="B2478" i="3" a="1"/>
  <c r="B2478" i="3" s="1"/>
  <c r="C2478" i="3" a="1"/>
  <c r="C2478" i="3" s="1"/>
  <c r="D2478" i="3" a="1"/>
  <c r="D2478" i="3" s="1"/>
  <c r="E2478" i="3" a="1"/>
  <c r="E2478" i="3" s="1"/>
  <c r="F2478" i="3" a="1"/>
  <c r="F2478" i="3" s="1"/>
  <c r="G2478" i="3" a="1"/>
  <c r="G2478" i="3" s="1"/>
  <c r="J2478" i="3" a="1"/>
  <c r="J2478" i="3" s="1"/>
  <c r="B2479" i="3" a="1"/>
  <c r="B2479" i="3" s="1"/>
  <c r="C2479" i="3" a="1"/>
  <c r="C2479" i="3" s="1"/>
  <c r="D2479" i="3" a="1"/>
  <c r="D2479" i="3" s="1"/>
  <c r="E2479" i="3" a="1"/>
  <c r="E2479" i="3" s="1"/>
  <c r="F2479" i="3" a="1"/>
  <c r="F2479" i="3" s="1"/>
  <c r="G2479" i="3" a="1"/>
  <c r="G2479" i="3" s="1"/>
  <c r="J2479" i="3" a="1"/>
  <c r="J2479" i="3" s="1"/>
  <c r="B2480" i="3" a="1"/>
  <c r="B2480" i="3" s="1"/>
  <c r="C2480" i="3" a="1"/>
  <c r="C2480" i="3" s="1"/>
  <c r="D2480" i="3" a="1"/>
  <c r="D2480" i="3" s="1"/>
  <c r="E2480" i="3" a="1"/>
  <c r="E2480" i="3" s="1"/>
  <c r="F2480" i="3" a="1"/>
  <c r="F2480" i="3" s="1"/>
  <c r="G2480" i="3" a="1"/>
  <c r="G2480" i="3" s="1"/>
  <c r="J2480" i="3" a="1"/>
  <c r="J2480" i="3" s="1"/>
  <c r="B2481" i="3" a="1"/>
  <c r="B2481" i="3" s="1"/>
  <c r="C2481" i="3" a="1"/>
  <c r="C2481" i="3" s="1"/>
  <c r="D2481" i="3" a="1"/>
  <c r="D2481" i="3" s="1"/>
  <c r="E2481" i="3" a="1"/>
  <c r="E2481" i="3" s="1"/>
  <c r="F2481" i="3" a="1"/>
  <c r="F2481" i="3" s="1"/>
  <c r="G2481" i="3" a="1"/>
  <c r="G2481" i="3" s="1"/>
  <c r="J2481" i="3" a="1"/>
  <c r="J2481" i="3" s="1"/>
  <c r="B2482" i="3" a="1"/>
  <c r="B2482" i="3" s="1"/>
  <c r="C2482" i="3" a="1"/>
  <c r="C2482" i="3" s="1"/>
  <c r="D2482" i="3" a="1"/>
  <c r="D2482" i="3" s="1"/>
  <c r="E2482" i="3" a="1"/>
  <c r="E2482" i="3" s="1"/>
  <c r="F2482" i="3" a="1"/>
  <c r="F2482" i="3" s="1"/>
  <c r="G2482" i="3" a="1"/>
  <c r="G2482" i="3" s="1"/>
  <c r="J2482" i="3" a="1"/>
  <c r="J2482" i="3" s="1"/>
  <c r="B2483" i="3" a="1"/>
  <c r="B2483" i="3" s="1"/>
  <c r="C2483" i="3" a="1"/>
  <c r="C2483" i="3" s="1"/>
  <c r="D2483" i="3" a="1"/>
  <c r="D2483" i="3" s="1"/>
  <c r="E2483" i="3" a="1"/>
  <c r="E2483" i="3" s="1"/>
  <c r="F2483" i="3" a="1"/>
  <c r="F2483" i="3" s="1"/>
  <c r="G2483" i="3" a="1"/>
  <c r="G2483" i="3" s="1"/>
  <c r="J2483" i="3" a="1"/>
  <c r="J2483" i="3" s="1"/>
  <c r="B2484" i="3" a="1"/>
  <c r="B2484" i="3" s="1"/>
  <c r="C2484" i="3" a="1"/>
  <c r="C2484" i="3" s="1"/>
  <c r="D2484" i="3" a="1"/>
  <c r="D2484" i="3" s="1"/>
  <c r="E2484" i="3" a="1"/>
  <c r="E2484" i="3" s="1"/>
  <c r="F2484" i="3" a="1"/>
  <c r="F2484" i="3" s="1"/>
  <c r="G2484" i="3" a="1"/>
  <c r="G2484" i="3" s="1"/>
  <c r="J2484" i="3" a="1"/>
  <c r="J2484" i="3" s="1"/>
  <c r="B2485" i="3" a="1"/>
  <c r="B2485" i="3" s="1"/>
  <c r="C2485" i="3" a="1"/>
  <c r="C2485" i="3" s="1"/>
  <c r="D2485" i="3" a="1"/>
  <c r="D2485" i="3" s="1"/>
  <c r="E2485" i="3" a="1"/>
  <c r="E2485" i="3" s="1"/>
  <c r="F2485" i="3" a="1"/>
  <c r="F2485" i="3" s="1"/>
  <c r="G2485" i="3" a="1"/>
  <c r="G2485" i="3" s="1"/>
  <c r="J2485" i="3" a="1"/>
  <c r="J2485" i="3" s="1"/>
  <c r="B2486" i="3" a="1"/>
  <c r="B2486" i="3" s="1"/>
  <c r="C2486" i="3" a="1"/>
  <c r="C2486" i="3" s="1"/>
  <c r="D2486" i="3" a="1"/>
  <c r="D2486" i="3" s="1"/>
  <c r="E2486" i="3" a="1"/>
  <c r="E2486" i="3" s="1"/>
  <c r="F2486" i="3" a="1"/>
  <c r="F2486" i="3" s="1"/>
  <c r="G2486" i="3" a="1"/>
  <c r="G2486" i="3" s="1"/>
  <c r="J2486" i="3" a="1"/>
  <c r="J2486" i="3" s="1"/>
  <c r="B2487" i="3" a="1"/>
  <c r="B2487" i="3" s="1"/>
  <c r="C2487" i="3" a="1"/>
  <c r="C2487" i="3" s="1"/>
  <c r="D2487" i="3" a="1"/>
  <c r="D2487" i="3" s="1"/>
  <c r="E2487" i="3" a="1"/>
  <c r="E2487" i="3" s="1"/>
  <c r="F2487" i="3" a="1"/>
  <c r="F2487" i="3" s="1"/>
  <c r="G2487" i="3" a="1"/>
  <c r="G2487" i="3" s="1"/>
  <c r="J2487" i="3" a="1"/>
  <c r="J2487" i="3" s="1"/>
  <c r="B2488" i="3" a="1"/>
  <c r="B2488" i="3" s="1"/>
  <c r="C2488" i="3" a="1"/>
  <c r="C2488" i="3" s="1"/>
  <c r="D2488" i="3" a="1"/>
  <c r="D2488" i="3" s="1"/>
  <c r="E2488" i="3" a="1"/>
  <c r="E2488" i="3" s="1"/>
  <c r="F2488" i="3" a="1"/>
  <c r="F2488" i="3" s="1"/>
  <c r="G2488" i="3" a="1"/>
  <c r="G2488" i="3" s="1"/>
  <c r="J2488" i="3" a="1"/>
  <c r="J2488" i="3" s="1"/>
  <c r="B2489" i="3" a="1"/>
  <c r="B2489" i="3" s="1"/>
  <c r="C2489" i="3" a="1"/>
  <c r="C2489" i="3" s="1"/>
  <c r="D2489" i="3" a="1"/>
  <c r="D2489" i="3" s="1"/>
  <c r="E2489" i="3" a="1"/>
  <c r="E2489" i="3" s="1"/>
  <c r="F2489" i="3" a="1"/>
  <c r="F2489" i="3" s="1"/>
  <c r="G2489" i="3" a="1"/>
  <c r="G2489" i="3" s="1"/>
  <c r="J2489" i="3" a="1"/>
  <c r="J2489" i="3" s="1"/>
  <c r="B2490" i="3" a="1"/>
  <c r="B2490" i="3" s="1"/>
  <c r="C2490" i="3" a="1"/>
  <c r="C2490" i="3" s="1"/>
  <c r="D2490" i="3" a="1"/>
  <c r="D2490" i="3" s="1"/>
  <c r="E2490" i="3" a="1"/>
  <c r="E2490" i="3" s="1"/>
  <c r="F2490" i="3" a="1"/>
  <c r="F2490" i="3" s="1"/>
  <c r="G2490" i="3" a="1"/>
  <c r="G2490" i="3" s="1"/>
  <c r="J2490" i="3" a="1"/>
  <c r="J2490" i="3" s="1"/>
  <c r="B2491" i="3" a="1"/>
  <c r="B2491" i="3" s="1"/>
  <c r="C2491" i="3" a="1"/>
  <c r="C2491" i="3" s="1"/>
  <c r="D2491" i="3" a="1"/>
  <c r="D2491" i="3" s="1"/>
  <c r="E2491" i="3" a="1"/>
  <c r="E2491" i="3" s="1"/>
  <c r="F2491" i="3" a="1"/>
  <c r="F2491" i="3" s="1"/>
  <c r="G2491" i="3" a="1"/>
  <c r="G2491" i="3" s="1"/>
  <c r="J2491" i="3" a="1"/>
  <c r="J2491" i="3" s="1"/>
  <c r="B2492" i="3" a="1"/>
  <c r="B2492" i="3" s="1"/>
  <c r="C2492" i="3" a="1"/>
  <c r="C2492" i="3" s="1"/>
  <c r="D2492" i="3" a="1"/>
  <c r="D2492" i="3" s="1"/>
  <c r="E2492" i="3" a="1"/>
  <c r="E2492" i="3" s="1"/>
  <c r="F2492" i="3" a="1"/>
  <c r="F2492" i="3" s="1"/>
  <c r="G2492" i="3" a="1"/>
  <c r="G2492" i="3" s="1"/>
  <c r="J2492" i="3" a="1"/>
  <c r="J2492" i="3" s="1"/>
  <c r="B2493" i="3" a="1"/>
  <c r="B2493" i="3" s="1"/>
  <c r="C2493" i="3" a="1"/>
  <c r="C2493" i="3" s="1"/>
  <c r="D2493" i="3" a="1"/>
  <c r="D2493" i="3" s="1"/>
  <c r="E2493" i="3" a="1"/>
  <c r="E2493" i="3" s="1"/>
  <c r="F2493" i="3" a="1"/>
  <c r="F2493" i="3" s="1"/>
  <c r="G2493" i="3" a="1"/>
  <c r="G2493" i="3" s="1"/>
  <c r="J2493" i="3" a="1"/>
  <c r="J2493" i="3" s="1"/>
  <c r="B2494" i="3" a="1"/>
  <c r="B2494" i="3" s="1"/>
  <c r="C2494" i="3" a="1"/>
  <c r="C2494" i="3" s="1"/>
  <c r="D2494" i="3" a="1"/>
  <c r="D2494" i="3" s="1"/>
  <c r="E2494" i="3" a="1"/>
  <c r="E2494" i="3" s="1"/>
  <c r="F2494" i="3" a="1"/>
  <c r="F2494" i="3" s="1"/>
  <c r="G2494" i="3" a="1"/>
  <c r="G2494" i="3" s="1"/>
  <c r="J2494" i="3" a="1"/>
  <c r="J2494" i="3" s="1"/>
  <c r="B2495" i="3" a="1"/>
  <c r="B2495" i="3" s="1"/>
  <c r="C2495" i="3" a="1"/>
  <c r="C2495" i="3" s="1"/>
  <c r="D2495" i="3" a="1"/>
  <c r="D2495" i="3" s="1"/>
  <c r="E2495" i="3" a="1"/>
  <c r="E2495" i="3" s="1"/>
  <c r="F2495" i="3" a="1"/>
  <c r="F2495" i="3" s="1"/>
  <c r="G2495" i="3" a="1"/>
  <c r="G2495" i="3" s="1"/>
  <c r="J2495" i="3" a="1"/>
  <c r="J2495" i="3" s="1"/>
  <c r="B2496" i="3" a="1"/>
  <c r="B2496" i="3" s="1"/>
  <c r="C2496" i="3" a="1"/>
  <c r="C2496" i="3" s="1"/>
  <c r="D2496" i="3" a="1"/>
  <c r="D2496" i="3" s="1"/>
  <c r="E2496" i="3" a="1"/>
  <c r="E2496" i="3" s="1"/>
  <c r="F2496" i="3" a="1"/>
  <c r="F2496" i="3" s="1"/>
  <c r="G2496" i="3" a="1"/>
  <c r="G2496" i="3" s="1"/>
  <c r="J2496" i="3" a="1"/>
  <c r="J2496" i="3" s="1"/>
  <c r="B2497" i="3" a="1"/>
  <c r="B2497" i="3" s="1"/>
  <c r="C2497" i="3" a="1"/>
  <c r="C2497" i="3" s="1"/>
  <c r="D2497" i="3" a="1"/>
  <c r="D2497" i="3" s="1"/>
  <c r="E2497" i="3" a="1"/>
  <c r="E2497" i="3" s="1"/>
  <c r="F2497" i="3" a="1"/>
  <c r="F2497" i="3" s="1"/>
  <c r="G2497" i="3" a="1"/>
  <c r="G2497" i="3" s="1"/>
  <c r="J2497" i="3" a="1"/>
  <c r="J2497" i="3" s="1"/>
  <c r="B2498" i="3" a="1"/>
  <c r="B2498" i="3" s="1"/>
  <c r="C2498" i="3" a="1"/>
  <c r="C2498" i="3" s="1"/>
  <c r="D2498" i="3" a="1"/>
  <c r="D2498" i="3" s="1"/>
  <c r="E2498" i="3" a="1"/>
  <c r="E2498" i="3" s="1"/>
  <c r="F2498" i="3" a="1"/>
  <c r="F2498" i="3" s="1"/>
  <c r="G2498" i="3" a="1"/>
  <c r="G2498" i="3" s="1"/>
  <c r="J2498" i="3" a="1"/>
  <c r="J2498" i="3" s="1"/>
  <c r="B2499" i="3" a="1"/>
  <c r="B2499" i="3" s="1"/>
  <c r="C2499" i="3" a="1"/>
  <c r="C2499" i="3" s="1"/>
  <c r="D2499" i="3" a="1"/>
  <c r="D2499" i="3" s="1"/>
  <c r="E2499" i="3" a="1"/>
  <c r="E2499" i="3" s="1"/>
  <c r="F2499" i="3" a="1"/>
  <c r="F2499" i="3" s="1"/>
  <c r="G2499" i="3" a="1"/>
  <c r="G2499" i="3" s="1"/>
  <c r="J2499" i="3" a="1"/>
  <c r="J2499" i="3" s="1"/>
  <c r="B2500" i="3" a="1"/>
  <c r="B2500" i="3" s="1"/>
  <c r="C2500" i="3" a="1"/>
  <c r="C2500" i="3" s="1"/>
  <c r="D2500" i="3" a="1"/>
  <c r="D2500" i="3" s="1"/>
  <c r="E2500" i="3" a="1"/>
  <c r="E2500" i="3" s="1"/>
  <c r="F2500" i="3" a="1"/>
  <c r="F2500" i="3" s="1"/>
  <c r="G2500" i="3" a="1"/>
  <c r="G2500" i="3" s="1"/>
  <c r="J2500" i="3" a="1"/>
  <c r="J2500" i="3" s="1"/>
  <c r="B2501" i="3" a="1"/>
  <c r="B2501" i="3" s="1"/>
  <c r="C2501" i="3" a="1"/>
  <c r="C2501" i="3" s="1"/>
  <c r="D2501" i="3" a="1"/>
  <c r="D2501" i="3" s="1"/>
  <c r="E2501" i="3" a="1"/>
  <c r="E2501" i="3" s="1"/>
  <c r="F2501" i="3" a="1"/>
  <c r="F2501" i="3" s="1"/>
  <c r="G2501" i="3" a="1"/>
  <c r="G2501" i="3" s="1"/>
  <c r="J2501" i="3" a="1"/>
  <c r="J2501" i="3" s="1"/>
  <c r="B2502" i="3" a="1"/>
  <c r="B2502" i="3" s="1"/>
  <c r="C2502" i="3" a="1"/>
  <c r="C2502" i="3" s="1"/>
  <c r="D2502" i="3" a="1"/>
  <c r="D2502" i="3" s="1"/>
  <c r="E2502" i="3" a="1"/>
  <c r="E2502" i="3" s="1"/>
  <c r="F2502" i="3" a="1"/>
  <c r="F2502" i="3" s="1"/>
  <c r="G2502" i="3" a="1"/>
  <c r="G2502" i="3" s="1"/>
  <c r="J2502" i="3" a="1"/>
  <c r="J2502" i="3" s="1"/>
  <c r="B2503" i="3" a="1"/>
  <c r="B2503" i="3" s="1"/>
  <c r="C2503" i="3" a="1"/>
  <c r="C2503" i="3" s="1"/>
  <c r="D2503" i="3" a="1"/>
  <c r="D2503" i="3" s="1"/>
  <c r="E2503" i="3" a="1"/>
  <c r="E2503" i="3" s="1"/>
  <c r="F2503" i="3" a="1"/>
  <c r="F2503" i="3" s="1"/>
  <c r="G2503" i="3" a="1"/>
  <c r="G2503" i="3" s="1"/>
  <c r="J2503" i="3" a="1"/>
  <c r="J2503" i="3" s="1"/>
  <c r="B2504" i="3" a="1"/>
  <c r="B2504" i="3" s="1"/>
  <c r="C2504" i="3" a="1"/>
  <c r="C2504" i="3" s="1"/>
  <c r="D2504" i="3" a="1"/>
  <c r="D2504" i="3" s="1"/>
  <c r="E2504" i="3" a="1"/>
  <c r="E2504" i="3" s="1"/>
  <c r="F2504" i="3" a="1"/>
  <c r="F2504" i="3" s="1"/>
  <c r="G2504" i="3" a="1"/>
  <c r="G2504" i="3" s="1"/>
  <c r="J2504" i="3" a="1"/>
  <c r="J2504" i="3" s="1"/>
  <c r="B2505" i="3" a="1"/>
  <c r="B2505" i="3" s="1"/>
  <c r="C2505" i="3" a="1"/>
  <c r="C2505" i="3" s="1"/>
  <c r="D2505" i="3" a="1"/>
  <c r="D2505" i="3" s="1"/>
  <c r="E2505" i="3" a="1"/>
  <c r="E2505" i="3" s="1"/>
  <c r="F2505" i="3" a="1"/>
  <c r="F2505" i="3" s="1"/>
  <c r="G2505" i="3" a="1"/>
  <c r="G2505" i="3" s="1"/>
  <c r="J2505" i="3" a="1"/>
  <c r="J2505" i="3" s="1"/>
  <c r="B2506" i="3" a="1"/>
  <c r="B2506" i="3" s="1"/>
  <c r="C2506" i="3" a="1"/>
  <c r="C2506" i="3" s="1"/>
  <c r="D2506" i="3" a="1"/>
  <c r="D2506" i="3" s="1"/>
  <c r="E2506" i="3" a="1"/>
  <c r="E2506" i="3" s="1"/>
  <c r="F2506" i="3" a="1"/>
  <c r="F2506" i="3" s="1"/>
  <c r="G2506" i="3" a="1"/>
  <c r="G2506" i="3" s="1"/>
  <c r="J2506" i="3" a="1"/>
  <c r="J2506" i="3" s="1"/>
  <c r="B2507" i="3" a="1"/>
  <c r="B2507" i="3" s="1"/>
  <c r="C2507" i="3" a="1"/>
  <c r="C2507" i="3" s="1"/>
  <c r="D2507" i="3" a="1"/>
  <c r="D2507" i="3" s="1"/>
  <c r="E2507" i="3" a="1"/>
  <c r="E2507" i="3" s="1"/>
  <c r="F2507" i="3" a="1"/>
  <c r="F2507" i="3" s="1"/>
  <c r="G2507" i="3" a="1"/>
  <c r="G2507" i="3" s="1"/>
  <c r="J2507" i="3" a="1"/>
  <c r="J2507" i="3" s="1"/>
  <c r="B2508" i="3" a="1"/>
  <c r="B2508" i="3" s="1"/>
  <c r="C2508" i="3" a="1"/>
  <c r="C2508" i="3" s="1"/>
  <c r="D2508" i="3" a="1"/>
  <c r="D2508" i="3" s="1"/>
  <c r="E2508" i="3" a="1"/>
  <c r="E2508" i="3" s="1"/>
  <c r="F2508" i="3" a="1"/>
  <c r="F2508" i="3" s="1"/>
  <c r="G2508" i="3" a="1"/>
  <c r="G2508" i="3" s="1"/>
  <c r="J2508" i="3" a="1"/>
  <c r="J2508" i="3" s="1"/>
  <c r="B2509" i="3" a="1"/>
  <c r="B2509" i="3" s="1"/>
  <c r="C2509" i="3" a="1"/>
  <c r="C2509" i="3" s="1"/>
  <c r="D2509" i="3" a="1"/>
  <c r="D2509" i="3" s="1"/>
  <c r="E2509" i="3" a="1"/>
  <c r="E2509" i="3" s="1"/>
  <c r="F2509" i="3" a="1"/>
  <c r="F2509" i="3" s="1"/>
  <c r="G2509" i="3" a="1"/>
  <c r="G2509" i="3" s="1"/>
  <c r="J2509" i="3" a="1"/>
  <c r="J2509" i="3" s="1"/>
  <c r="B2510" i="3" a="1"/>
  <c r="B2510" i="3" s="1"/>
  <c r="C2510" i="3" a="1"/>
  <c r="C2510" i="3" s="1"/>
  <c r="D2510" i="3" a="1"/>
  <c r="D2510" i="3" s="1"/>
  <c r="E2510" i="3" a="1"/>
  <c r="E2510" i="3" s="1"/>
  <c r="F2510" i="3" a="1"/>
  <c r="F2510" i="3" s="1"/>
  <c r="G2510" i="3" a="1"/>
  <c r="G2510" i="3" s="1"/>
  <c r="J2510" i="3" a="1"/>
  <c r="J2510" i="3" s="1"/>
  <c r="B2511" i="3" a="1"/>
  <c r="B2511" i="3" s="1"/>
  <c r="C2511" i="3" a="1"/>
  <c r="C2511" i="3" s="1"/>
  <c r="D2511" i="3" a="1"/>
  <c r="D2511" i="3" s="1"/>
  <c r="E2511" i="3" a="1"/>
  <c r="E2511" i="3" s="1"/>
  <c r="F2511" i="3" a="1"/>
  <c r="F2511" i="3" s="1"/>
  <c r="G2511" i="3" a="1"/>
  <c r="G2511" i="3" s="1"/>
  <c r="J2511" i="3" a="1"/>
  <c r="J2511" i="3" s="1"/>
  <c r="B2512" i="3" a="1"/>
  <c r="B2512" i="3" s="1"/>
  <c r="C2512" i="3" a="1"/>
  <c r="C2512" i="3" s="1"/>
  <c r="D2512" i="3" a="1"/>
  <c r="D2512" i="3" s="1"/>
  <c r="E2512" i="3" a="1"/>
  <c r="E2512" i="3" s="1"/>
  <c r="F2512" i="3" a="1"/>
  <c r="F2512" i="3" s="1"/>
  <c r="G2512" i="3" a="1"/>
  <c r="G2512" i="3" s="1"/>
  <c r="J2512" i="3" a="1"/>
  <c r="J2512" i="3" s="1"/>
  <c r="B2513" i="3" a="1"/>
  <c r="B2513" i="3" s="1"/>
  <c r="C2513" i="3" a="1"/>
  <c r="C2513" i="3" s="1"/>
  <c r="D2513" i="3" a="1"/>
  <c r="D2513" i="3" s="1"/>
  <c r="E2513" i="3" a="1"/>
  <c r="E2513" i="3" s="1"/>
  <c r="F2513" i="3" a="1"/>
  <c r="F2513" i="3" s="1"/>
  <c r="G2513" i="3" a="1"/>
  <c r="G2513" i="3" s="1"/>
  <c r="J2513" i="3" a="1"/>
  <c r="J2513" i="3" s="1"/>
  <c r="B2514" i="3" a="1"/>
  <c r="B2514" i="3" s="1"/>
  <c r="C2514" i="3" a="1"/>
  <c r="C2514" i="3" s="1"/>
  <c r="D2514" i="3" a="1"/>
  <c r="D2514" i="3" s="1"/>
  <c r="E2514" i="3" a="1"/>
  <c r="E2514" i="3" s="1"/>
  <c r="F2514" i="3" a="1"/>
  <c r="F2514" i="3" s="1"/>
  <c r="G2514" i="3" a="1"/>
  <c r="G2514" i="3" s="1"/>
  <c r="J2514" i="3" a="1"/>
  <c r="J2514" i="3" s="1"/>
  <c r="B2515" i="3" a="1"/>
  <c r="B2515" i="3" s="1"/>
  <c r="C2515" i="3" a="1"/>
  <c r="C2515" i="3" s="1"/>
  <c r="D2515" i="3" a="1"/>
  <c r="D2515" i="3" s="1"/>
  <c r="E2515" i="3" a="1"/>
  <c r="E2515" i="3" s="1"/>
  <c r="F2515" i="3" a="1"/>
  <c r="F2515" i="3" s="1"/>
  <c r="G2515" i="3" a="1"/>
  <c r="G2515" i="3" s="1"/>
  <c r="J2515" i="3" a="1"/>
  <c r="J2515" i="3" s="1"/>
  <c r="B2516" i="3" a="1"/>
  <c r="B2516" i="3" s="1"/>
  <c r="C2516" i="3" a="1"/>
  <c r="C2516" i="3" s="1"/>
  <c r="D2516" i="3" a="1"/>
  <c r="D2516" i="3" s="1"/>
  <c r="E2516" i="3" a="1"/>
  <c r="E2516" i="3" s="1"/>
  <c r="F2516" i="3" a="1"/>
  <c r="F2516" i="3" s="1"/>
  <c r="G2516" i="3" a="1"/>
  <c r="G2516" i="3" s="1"/>
  <c r="J2516" i="3" a="1"/>
  <c r="J2516" i="3" s="1"/>
  <c r="B2517" i="3" a="1"/>
  <c r="B2517" i="3" s="1"/>
  <c r="C2517" i="3" a="1"/>
  <c r="C2517" i="3" s="1"/>
  <c r="D2517" i="3" a="1"/>
  <c r="D2517" i="3" s="1"/>
  <c r="E2517" i="3" a="1"/>
  <c r="E2517" i="3" s="1"/>
  <c r="F2517" i="3" a="1"/>
  <c r="F2517" i="3" s="1"/>
  <c r="G2517" i="3" a="1"/>
  <c r="G2517" i="3" s="1"/>
  <c r="J2517" i="3" a="1"/>
  <c r="J2517" i="3" s="1"/>
  <c r="B2518" i="3" a="1"/>
  <c r="B2518" i="3" s="1"/>
  <c r="C2518" i="3" a="1"/>
  <c r="C2518" i="3" s="1"/>
  <c r="D2518" i="3" a="1"/>
  <c r="D2518" i="3" s="1"/>
  <c r="E2518" i="3" a="1"/>
  <c r="E2518" i="3" s="1"/>
  <c r="F2518" i="3" a="1"/>
  <c r="F2518" i="3" s="1"/>
  <c r="G2518" i="3" a="1"/>
  <c r="G2518" i="3" s="1"/>
  <c r="J2518" i="3" a="1"/>
  <c r="J2518" i="3" s="1"/>
  <c r="B2519" i="3" a="1"/>
  <c r="B2519" i="3" s="1"/>
  <c r="C2519" i="3" a="1"/>
  <c r="C2519" i="3" s="1"/>
  <c r="D2519" i="3" a="1"/>
  <c r="D2519" i="3" s="1"/>
  <c r="E2519" i="3" a="1"/>
  <c r="E2519" i="3" s="1"/>
  <c r="F2519" i="3" a="1"/>
  <c r="F2519" i="3" s="1"/>
  <c r="G2519" i="3" a="1"/>
  <c r="G2519" i="3" s="1"/>
  <c r="J2519" i="3" a="1"/>
  <c r="J2519" i="3" s="1"/>
  <c r="B2520" i="3" a="1"/>
  <c r="B2520" i="3" s="1"/>
  <c r="C2520" i="3" a="1"/>
  <c r="C2520" i="3" s="1"/>
  <c r="D2520" i="3" a="1"/>
  <c r="D2520" i="3" s="1"/>
  <c r="E2520" i="3" a="1"/>
  <c r="E2520" i="3" s="1"/>
  <c r="F2520" i="3" a="1"/>
  <c r="F2520" i="3" s="1"/>
  <c r="G2520" i="3" a="1"/>
  <c r="G2520" i="3" s="1"/>
  <c r="J2520" i="3" a="1"/>
  <c r="J2520" i="3" s="1"/>
  <c r="B2521" i="3" a="1"/>
  <c r="B2521" i="3" s="1"/>
  <c r="C2521" i="3" a="1"/>
  <c r="C2521" i="3" s="1"/>
  <c r="D2521" i="3" a="1"/>
  <c r="D2521" i="3" s="1"/>
  <c r="E2521" i="3" a="1"/>
  <c r="E2521" i="3" s="1"/>
  <c r="F2521" i="3" a="1"/>
  <c r="F2521" i="3" s="1"/>
  <c r="G2521" i="3" a="1"/>
  <c r="G2521" i="3" s="1"/>
  <c r="J2521" i="3" a="1"/>
  <c r="J2521" i="3" s="1"/>
  <c r="B2522" i="3" a="1"/>
  <c r="B2522" i="3" s="1"/>
  <c r="C2522" i="3" a="1"/>
  <c r="C2522" i="3" s="1"/>
  <c r="D2522" i="3" a="1"/>
  <c r="D2522" i="3" s="1"/>
  <c r="E2522" i="3" a="1"/>
  <c r="E2522" i="3" s="1"/>
  <c r="F2522" i="3" a="1"/>
  <c r="F2522" i="3" s="1"/>
  <c r="G2522" i="3" a="1"/>
  <c r="G2522" i="3" s="1"/>
  <c r="J2522" i="3" a="1"/>
  <c r="J2522" i="3" s="1"/>
  <c r="B2523" i="3" a="1"/>
  <c r="B2523" i="3" s="1"/>
  <c r="C2523" i="3" a="1"/>
  <c r="C2523" i="3" s="1"/>
  <c r="D2523" i="3" a="1"/>
  <c r="D2523" i="3" s="1"/>
  <c r="E2523" i="3" a="1"/>
  <c r="E2523" i="3" s="1"/>
  <c r="F2523" i="3" a="1"/>
  <c r="F2523" i="3" s="1"/>
  <c r="G2523" i="3" a="1"/>
  <c r="G2523" i="3" s="1"/>
  <c r="J2523" i="3" a="1"/>
  <c r="J2523" i="3" s="1"/>
  <c r="B2524" i="3" a="1"/>
  <c r="B2524" i="3" s="1"/>
  <c r="C2524" i="3" a="1"/>
  <c r="C2524" i="3" s="1"/>
  <c r="D2524" i="3" a="1"/>
  <c r="D2524" i="3" s="1"/>
  <c r="E2524" i="3" a="1"/>
  <c r="E2524" i="3" s="1"/>
  <c r="F2524" i="3" a="1"/>
  <c r="F2524" i="3" s="1"/>
  <c r="G2524" i="3" a="1"/>
  <c r="G2524" i="3" s="1"/>
  <c r="J2524" i="3" a="1"/>
  <c r="J2524" i="3" s="1"/>
  <c r="B2525" i="3" a="1"/>
  <c r="B2525" i="3" s="1"/>
  <c r="C2525" i="3" a="1"/>
  <c r="C2525" i="3" s="1"/>
  <c r="D2525" i="3" a="1"/>
  <c r="D2525" i="3" s="1"/>
  <c r="E2525" i="3" a="1"/>
  <c r="E2525" i="3" s="1"/>
  <c r="F2525" i="3" a="1"/>
  <c r="F2525" i="3" s="1"/>
  <c r="G2525" i="3" a="1"/>
  <c r="G2525" i="3" s="1"/>
  <c r="J2525" i="3" a="1"/>
  <c r="J2525" i="3" s="1"/>
  <c r="B2526" i="3" a="1"/>
  <c r="B2526" i="3" s="1"/>
  <c r="C2526" i="3" a="1"/>
  <c r="C2526" i="3" s="1"/>
  <c r="D2526" i="3" a="1"/>
  <c r="D2526" i="3" s="1"/>
  <c r="E2526" i="3" a="1"/>
  <c r="E2526" i="3" s="1"/>
  <c r="F2526" i="3" a="1"/>
  <c r="F2526" i="3" s="1"/>
  <c r="G2526" i="3" a="1"/>
  <c r="G2526" i="3" s="1"/>
  <c r="J2526" i="3" a="1"/>
  <c r="J2526" i="3" s="1"/>
  <c r="B2527" i="3" a="1"/>
  <c r="B2527" i="3" s="1"/>
  <c r="C2527" i="3" a="1"/>
  <c r="C2527" i="3" s="1"/>
  <c r="D2527" i="3" a="1"/>
  <c r="D2527" i="3" s="1"/>
  <c r="E2527" i="3" a="1"/>
  <c r="E2527" i="3" s="1"/>
  <c r="F2527" i="3" a="1"/>
  <c r="F2527" i="3" s="1"/>
  <c r="G2527" i="3" a="1"/>
  <c r="G2527" i="3" s="1"/>
  <c r="J2527" i="3" a="1"/>
  <c r="J2527" i="3" s="1"/>
  <c r="B2528" i="3" a="1"/>
  <c r="B2528" i="3" s="1"/>
  <c r="C2528" i="3" a="1"/>
  <c r="C2528" i="3" s="1"/>
  <c r="D2528" i="3" a="1"/>
  <c r="D2528" i="3" s="1"/>
  <c r="E2528" i="3" a="1"/>
  <c r="E2528" i="3" s="1"/>
  <c r="F2528" i="3" a="1"/>
  <c r="F2528" i="3" s="1"/>
  <c r="G2528" i="3" a="1"/>
  <c r="G2528" i="3" s="1"/>
  <c r="J2528" i="3" a="1"/>
  <c r="J2528" i="3" s="1"/>
  <c r="B2529" i="3" a="1"/>
  <c r="B2529" i="3" s="1"/>
  <c r="C2529" i="3" a="1"/>
  <c r="C2529" i="3" s="1"/>
  <c r="D2529" i="3" a="1"/>
  <c r="D2529" i="3" s="1"/>
  <c r="E2529" i="3" a="1"/>
  <c r="E2529" i="3" s="1"/>
  <c r="F2529" i="3" a="1"/>
  <c r="F2529" i="3" s="1"/>
  <c r="G2529" i="3" a="1"/>
  <c r="G2529" i="3" s="1"/>
  <c r="J2529" i="3" a="1"/>
  <c r="J2529" i="3" s="1"/>
  <c r="B2530" i="3" a="1"/>
  <c r="B2530" i="3" s="1"/>
  <c r="C2530" i="3" a="1"/>
  <c r="C2530" i="3" s="1"/>
  <c r="D2530" i="3" a="1"/>
  <c r="D2530" i="3" s="1"/>
  <c r="E2530" i="3" a="1"/>
  <c r="E2530" i="3" s="1"/>
  <c r="F2530" i="3" a="1"/>
  <c r="F2530" i="3" s="1"/>
  <c r="G2530" i="3" a="1"/>
  <c r="G2530" i="3" s="1"/>
  <c r="J2530" i="3" a="1"/>
  <c r="J2530" i="3" s="1"/>
  <c r="B2531" i="3" a="1"/>
  <c r="B2531" i="3" s="1"/>
  <c r="C2531" i="3" a="1"/>
  <c r="C2531" i="3" s="1"/>
  <c r="D2531" i="3" a="1"/>
  <c r="D2531" i="3" s="1"/>
  <c r="E2531" i="3" a="1"/>
  <c r="E2531" i="3" s="1"/>
  <c r="F2531" i="3" a="1"/>
  <c r="F2531" i="3" s="1"/>
  <c r="G2531" i="3" a="1"/>
  <c r="G2531" i="3" s="1"/>
  <c r="J2531" i="3" a="1"/>
  <c r="J2531" i="3" s="1"/>
  <c r="B2532" i="3" a="1"/>
  <c r="B2532" i="3" s="1"/>
  <c r="C2532" i="3" a="1"/>
  <c r="C2532" i="3" s="1"/>
  <c r="D2532" i="3" a="1"/>
  <c r="D2532" i="3" s="1"/>
  <c r="E2532" i="3" a="1"/>
  <c r="E2532" i="3" s="1"/>
  <c r="F2532" i="3" a="1"/>
  <c r="F2532" i="3" s="1"/>
  <c r="G2532" i="3" a="1"/>
  <c r="G2532" i="3" s="1"/>
  <c r="J2532" i="3" a="1"/>
  <c r="J2532" i="3" s="1"/>
  <c r="B2533" i="3" a="1"/>
  <c r="B2533" i="3" s="1"/>
  <c r="C2533" i="3" a="1"/>
  <c r="C2533" i="3" s="1"/>
  <c r="D2533" i="3" a="1"/>
  <c r="D2533" i="3" s="1"/>
  <c r="E2533" i="3" a="1"/>
  <c r="E2533" i="3" s="1"/>
  <c r="F2533" i="3" a="1"/>
  <c r="F2533" i="3" s="1"/>
  <c r="G2533" i="3" a="1"/>
  <c r="G2533" i="3" s="1"/>
  <c r="J2533" i="3" a="1"/>
  <c r="J2533" i="3" s="1"/>
  <c r="B2534" i="3" a="1"/>
  <c r="B2534" i="3" s="1"/>
  <c r="C2534" i="3" a="1"/>
  <c r="C2534" i="3" s="1"/>
  <c r="D2534" i="3" a="1"/>
  <c r="D2534" i="3" s="1"/>
  <c r="E2534" i="3" a="1"/>
  <c r="E2534" i="3" s="1"/>
  <c r="F2534" i="3" a="1"/>
  <c r="F2534" i="3" s="1"/>
  <c r="G2534" i="3" a="1"/>
  <c r="G2534" i="3" s="1"/>
  <c r="J2534" i="3" a="1"/>
  <c r="J2534" i="3" s="1"/>
  <c r="B2535" i="3" a="1"/>
  <c r="B2535" i="3" s="1"/>
  <c r="C2535" i="3" a="1"/>
  <c r="C2535" i="3" s="1"/>
  <c r="D2535" i="3" a="1"/>
  <c r="D2535" i="3" s="1"/>
  <c r="E2535" i="3" a="1"/>
  <c r="E2535" i="3" s="1"/>
  <c r="F2535" i="3" a="1"/>
  <c r="F2535" i="3" s="1"/>
  <c r="G2535" i="3" a="1"/>
  <c r="G2535" i="3" s="1"/>
  <c r="J2535" i="3" a="1"/>
  <c r="J2535" i="3" s="1"/>
  <c r="B2536" i="3" a="1"/>
  <c r="B2536" i="3" s="1"/>
  <c r="C2536" i="3" a="1"/>
  <c r="C2536" i="3" s="1"/>
  <c r="D2536" i="3" a="1"/>
  <c r="D2536" i="3" s="1"/>
  <c r="E2536" i="3" a="1"/>
  <c r="E2536" i="3" s="1"/>
  <c r="F2536" i="3" a="1"/>
  <c r="F2536" i="3" s="1"/>
  <c r="G2536" i="3" a="1"/>
  <c r="G2536" i="3" s="1"/>
  <c r="J2536" i="3" a="1"/>
  <c r="J2536" i="3" s="1"/>
  <c r="B2537" i="3" a="1"/>
  <c r="B2537" i="3" s="1"/>
  <c r="C2537" i="3" a="1"/>
  <c r="C2537" i="3" s="1"/>
  <c r="D2537" i="3" a="1"/>
  <c r="D2537" i="3" s="1"/>
  <c r="E2537" i="3" a="1"/>
  <c r="E2537" i="3" s="1"/>
  <c r="F2537" i="3" a="1"/>
  <c r="F2537" i="3" s="1"/>
  <c r="G2537" i="3" a="1"/>
  <c r="G2537" i="3" s="1"/>
  <c r="J2537" i="3" a="1"/>
  <c r="J2537" i="3" s="1"/>
  <c r="B2538" i="3" a="1"/>
  <c r="B2538" i="3" s="1"/>
  <c r="C2538" i="3" a="1"/>
  <c r="C2538" i="3" s="1"/>
  <c r="D2538" i="3" a="1"/>
  <c r="D2538" i="3" s="1"/>
  <c r="E2538" i="3" a="1"/>
  <c r="E2538" i="3" s="1"/>
  <c r="F2538" i="3" a="1"/>
  <c r="F2538" i="3" s="1"/>
  <c r="G2538" i="3" a="1"/>
  <c r="G2538" i="3" s="1"/>
  <c r="J2538" i="3" a="1"/>
  <c r="J2538" i="3" s="1"/>
  <c r="B2539" i="3" a="1"/>
  <c r="B2539" i="3" s="1"/>
  <c r="C2539" i="3" a="1"/>
  <c r="C2539" i="3" s="1"/>
  <c r="D2539" i="3" a="1"/>
  <c r="D2539" i="3" s="1"/>
  <c r="E2539" i="3" a="1"/>
  <c r="E2539" i="3" s="1"/>
  <c r="F2539" i="3" a="1"/>
  <c r="F2539" i="3" s="1"/>
  <c r="G2539" i="3" a="1"/>
  <c r="G2539" i="3" s="1"/>
  <c r="J2539" i="3" a="1"/>
  <c r="J2539" i="3" s="1"/>
  <c r="B2540" i="3" a="1"/>
  <c r="B2540" i="3" s="1"/>
  <c r="C2540" i="3" a="1"/>
  <c r="C2540" i="3" s="1"/>
  <c r="D2540" i="3" a="1"/>
  <c r="D2540" i="3" s="1"/>
  <c r="E2540" i="3" a="1"/>
  <c r="E2540" i="3" s="1"/>
  <c r="F2540" i="3" a="1"/>
  <c r="F2540" i="3" s="1"/>
  <c r="G2540" i="3" a="1"/>
  <c r="G2540" i="3" s="1"/>
  <c r="J2540" i="3" a="1"/>
  <c r="J2540" i="3" s="1"/>
  <c r="B2541" i="3" a="1"/>
  <c r="B2541" i="3" s="1"/>
  <c r="C2541" i="3" a="1"/>
  <c r="C2541" i="3" s="1"/>
  <c r="D2541" i="3" a="1"/>
  <c r="D2541" i="3" s="1"/>
  <c r="E2541" i="3" a="1"/>
  <c r="E2541" i="3" s="1"/>
  <c r="F2541" i="3" a="1"/>
  <c r="F2541" i="3" s="1"/>
  <c r="G2541" i="3" a="1"/>
  <c r="G2541" i="3" s="1"/>
  <c r="J2541" i="3" a="1"/>
  <c r="J2541" i="3" s="1"/>
  <c r="B2542" i="3" a="1"/>
  <c r="B2542" i="3" s="1"/>
  <c r="C2542" i="3" a="1"/>
  <c r="C2542" i="3" s="1"/>
  <c r="D2542" i="3" a="1"/>
  <c r="D2542" i="3" s="1"/>
  <c r="E2542" i="3" a="1"/>
  <c r="E2542" i="3" s="1"/>
  <c r="F2542" i="3" a="1"/>
  <c r="F2542" i="3" s="1"/>
  <c r="G2542" i="3" a="1"/>
  <c r="G2542" i="3" s="1"/>
  <c r="J2542" i="3" a="1"/>
  <c r="J2542" i="3" s="1"/>
  <c r="B2543" i="3" a="1"/>
  <c r="B2543" i="3" s="1"/>
  <c r="C2543" i="3" a="1"/>
  <c r="C2543" i="3" s="1"/>
  <c r="D2543" i="3" a="1"/>
  <c r="D2543" i="3" s="1"/>
  <c r="E2543" i="3" a="1"/>
  <c r="E2543" i="3" s="1"/>
  <c r="F2543" i="3" a="1"/>
  <c r="F2543" i="3" s="1"/>
  <c r="G2543" i="3" a="1"/>
  <c r="G2543" i="3" s="1"/>
  <c r="J2543" i="3" a="1"/>
  <c r="J2543" i="3" s="1"/>
  <c r="B2544" i="3" a="1"/>
  <c r="B2544" i="3" s="1"/>
  <c r="C2544" i="3" a="1"/>
  <c r="C2544" i="3" s="1"/>
  <c r="D2544" i="3" a="1"/>
  <c r="D2544" i="3" s="1"/>
  <c r="E2544" i="3" a="1"/>
  <c r="E2544" i="3" s="1"/>
  <c r="F2544" i="3" a="1"/>
  <c r="F2544" i="3" s="1"/>
  <c r="G2544" i="3" a="1"/>
  <c r="G2544" i="3" s="1"/>
  <c r="J2544" i="3" a="1"/>
  <c r="J2544" i="3" s="1"/>
  <c r="B2545" i="3" a="1"/>
  <c r="B2545" i="3" s="1"/>
  <c r="C2545" i="3" a="1"/>
  <c r="C2545" i="3" s="1"/>
  <c r="D2545" i="3" a="1"/>
  <c r="D2545" i="3" s="1"/>
  <c r="E2545" i="3" a="1"/>
  <c r="E2545" i="3" s="1"/>
  <c r="F2545" i="3" a="1"/>
  <c r="F2545" i="3" s="1"/>
  <c r="G2545" i="3" a="1"/>
  <c r="G2545" i="3" s="1"/>
  <c r="J2545" i="3" a="1"/>
  <c r="J2545" i="3" s="1"/>
  <c r="B2546" i="3" a="1"/>
  <c r="B2546" i="3" s="1"/>
  <c r="C2546" i="3" a="1"/>
  <c r="C2546" i="3" s="1"/>
  <c r="D2546" i="3" a="1"/>
  <c r="D2546" i="3" s="1"/>
  <c r="E2546" i="3" a="1"/>
  <c r="E2546" i="3" s="1"/>
  <c r="F2546" i="3" a="1"/>
  <c r="F2546" i="3" s="1"/>
  <c r="G2546" i="3" a="1"/>
  <c r="G2546" i="3" s="1"/>
  <c r="J2546" i="3" a="1"/>
  <c r="J2546" i="3" s="1"/>
  <c r="B2547" i="3" a="1"/>
  <c r="B2547" i="3" s="1"/>
  <c r="C2547" i="3" a="1"/>
  <c r="C2547" i="3" s="1"/>
  <c r="D2547" i="3" a="1"/>
  <c r="D2547" i="3" s="1"/>
  <c r="E2547" i="3" a="1"/>
  <c r="E2547" i="3" s="1"/>
  <c r="F2547" i="3" a="1"/>
  <c r="F2547" i="3" s="1"/>
  <c r="G2547" i="3" a="1"/>
  <c r="G2547" i="3" s="1"/>
  <c r="J2547" i="3" a="1"/>
  <c r="J2547" i="3" s="1"/>
  <c r="B2548" i="3" a="1"/>
  <c r="B2548" i="3" s="1"/>
  <c r="C2548" i="3" a="1"/>
  <c r="C2548" i="3" s="1"/>
  <c r="D2548" i="3" a="1"/>
  <c r="D2548" i="3" s="1"/>
  <c r="E2548" i="3" a="1"/>
  <c r="E2548" i="3" s="1"/>
  <c r="F2548" i="3" a="1"/>
  <c r="F2548" i="3" s="1"/>
  <c r="G2548" i="3" a="1"/>
  <c r="G2548" i="3" s="1"/>
  <c r="J2548" i="3" a="1"/>
  <c r="J2548" i="3" s="1"/>
  <c r="B2549" i="3" a="1"/>
  <c r="B2549" i="3" s="1"/>
  <c r="C2549" i="3" a="1"/>
  <c r="C2549" i="3" s="1"/>
  <c r="D2549" i="3" a="1"/>
  <c r="D2549" i="3" s="1"/>
  <c r="E2549" i="3" a="1"/>
  <c r="E2549" i="3" s="1"/>
  <c r="F2549" i="3" a="1"/>
  <c r="F2549" i="3" s="1"/>
  <c r="G2549" i="3" a="1"/>
  <c r="G2549" i="3" s="1"/>
  <c r="J2549" i="3" a="1"/>
  <c r="J2549" i="3" s="1"/>
  <c r="B2550" i="3" a="1"/>
  <c r="B2550" i="3" s="1"/>
  <c r="C2550" i="3" a="1"/>
  <c r="C2550" i="3" s="1"/>
  <c r="D2550" i="3" a="1"/>
  <c r="D2550" i="3" s="1"/>
  <c r="E2550" i="3" a="1"/>
  <c r="E2550" i="3" s="1"/>
  <c r="F2550" i="3" a="1"/>
  <c r="F2550" i="3" s="1"/>
  <c r="G2550" i="3" a="1"/>
  <c r="G2550" i="3" s="1"/>
  <c r="J2550" i="3" a="1"/>
  <c r="J2550" i="3" s="1"/>
  <c r="B2551" i="3" a="1"/>
  <c r="B2551" i="3" s="1"/>
  <c r="C2551" i="3" a="1"/>
  <c r="C2551" i="3" s="1"/>
  <c r="D2551" i="3" a="1"/>
  <c r="D2551" i="3" s="1"/>
  <c r="E2551" i="3" a="1"/>
  <c r="E2551" i="3" s="1"/>
  <c r="F2551" i="3" a="1"/>
  <c r="F2551" i="3" s="1"/>
  <c r="G2551" i="3" a="1"/>
  <c r="G2551" i="3" s="1"/>
  <c r="J2551" i="3" a="1"/>
  <c r="J2551" i="3" s="1"/>
  <c r="B2552" i="3" a="1"/>
  <c r="B2552" i="3" s="1"/>
  <c r="C2552" i="3" a="1"/>
  <c r="C2552" i="3" s="1"/>
  <c r="D2552" i="3" a="1"/>
  <c r="D2552" i="3" s="1"/>
  <c r="E2552" i="3" a="1"/>
  <c r="E2552" i="3" s="1"/>
  <c r="F2552" i="3" a="1"/>
  <c r="F2552" i="3" s="1"/>
  <c r="G2552" i="3" a="1"/>
  <c r="G2552" i="3" s="1"/>
  <c r="J2552" i="3" a="1"/>
  <c r="J2552" i="3" s="1"/>
  <c r="B2553" i="3" a="1"/>
  <c r="B2553" i="3" s="1"/>
  <c r="C2553" i="3" a="1"/>
  <c r="C2553" i="3" s="1"/>
  <c r="D2553" i="3" a="1"/>
  <c r="D2553" i="3" s="1"/>
  <c r="E2553" i="3" a="1"/>
  <c r="E2553" i="3" s="1"/>
  <c r="F2553" i="3" a="1"/>
  <c r="F2553" i="3" s="1"/>
  <c r="G2553" i="3" a="1"/>
  <c r="G2553" i="3" s="1"/>
  <c r="J2553" i="3" a="1"/>
  <c r="J2553" i="3" s="1"/>
  <c r="B2554" i="3" a="1"/>
  <c r="B2554" i="3" s="1"/>
  <c r="C2554" i="3" a="1"/>
  <c r="C2554" i="3" s="1"/>
  <c r="D2554" i="3" a="1"/>
  <c r="D2554" i="3" s="1"/>
  <c r="E2554" i="3" a="1"/>
  <c r="E2554" i="3" s="1"/>
  <c r="F2554" i="3" a="1"/>
  <c r="F2554" i="3" s="1"/>
  <c r="G2554" i="3" a="1"/>
  <c r="G2554" i="3" s="1"/>
  <c r="J2554" i="3" a="1"/>
  <c r="J2554" i="3" s="1"/>
  <c r="B2555" i="3" a="1"/>
  <c r="B2555" i="3" s="1"/>
  <c r="C2555" i="3" a="1"/>
  <c r="C2555" i="3" s="1"/>
  <c r="D2555" i="3" a="1"/>
  <c r="D2555" i="3" s="1"/>
  <c r="E2555" i="3" a="1"/>
  <c r="E2555" i="3" s="1"/>
  <c r="F2555" i="3" a="1"/>
  <c r="F2555" i="3" s="1"/>
  <c r="G2555" i="3" a="1"/>
  <c r="G2555" i="3" s="1"/>
  <c r="J2555" i="3" a="1"/>
  <c r="J2555" i="3" s="1"/>
  <c r="B2556" i="3" a="1"/>
  <c r="B2556" i="3" s="1"/>
  <c r="C2556" i="3" a="1"/>
  <c r="C2556" i="3" s="1"/>
  <c r="D2556" i="3" a="1"/>
  <c r="D2556" i="3" s="1"/>
  <c r="E2556" i="3" a="1"/>
  <c r="E2556" i="3" s="1"/>
  <c r="F2556" i="3" a="1"/>
  <c r="F2556" i="3" s="1"/>
  <c r="G2556" i="3" a="1"/>
  <c r="G2556" i="3" s="1"/>
  <c r="J2556" i="3" a="1"/>
  <c r="J2556" i="3" s="1"/>
  <c r="B2557" i="3" a="1"/>
  <c r="B2557" i="3" s="1"/>
  <c r="C2557" i="3" a="1"/>
  <c r="C2557" i="3" s="1"/>
  <c r="D2557" i="3" a="1"/>
  <c r="D2557" i="3" s="1"/>
  <c r="E2557" i="3" a="1"/>
  <c r="E2557" i="3" s="1"/>
  <c r="F2557" i="3" a="1"/>
  <c r="F2557" i="3" s="1"/>
  <c r="G2557" i="3" a="1"/>
  <c r="G2557" i="3" s="1"/>
  <c r="J2557" i="3" a="1"/>
  <c r="J2557" i="3" s="1"/>
  <c r="B2558" i="3" a="1"/>
  <c r="B2558" i="3" s="1"/>
  <c r="C2558" i="3" a="1"/>
  <c r="C2558" i="3" s="1"/>
  <c r="D2558" i="3" a="1"/>
  <c r="D2558" i="3" s="1"/>
  <c r="E2558" i="3" a="1"/>
  <c r="E2558" i="3" s="1"/>
  <c r="F2558" i="3" a="1"/>
  <c r="F2558" i="3" s="1"/>
  <c r="G2558" i="3" a="1"/>
  <c r="G2558" i="3" s="1"/>
  <c r="J2558" i="3" a="1"/>
  <c r="J2558" i="3" s="1"/>
  <c r="B2559" i="3" a="1"/>
  <c r="B2559" i="3" s="1"/>
  <c r="C2559" i="3" a="1"/>
  <c r="C2559" i="3" s="1"/>
  <c r="D2559" i="3" a="1"/>
  <c r="D2559" i="3" s="1"/>
  <c r="E2559" i="3" a="1"/>
  <c r="E2559" i="3" s="1"/>
  <c r="F2559" i="3" a="1"/>
  <c r="F2559" i="3" s="1"/>
  <c r="G2559" i="3" a="1"/>
  <c r="G2559" i="3" s="1"/>
  <c r="J2559" i="3" a="1"/>
  <c r="J2559" i="3" s="1"/>
  <c r="B2560" i="3" a="1"/>
  <c r="B2560" i="3" s="1"/>
  <c r="C2560" i="3" a="1"/>
  <c r="C2560" i="3" s="1"/>
  <c r="D2560" i="3" a="1"/>
  <c r="D2560" i="3" s="1"/>
  <c r="E2560" i="3" a="1"/>
  <c r="E2560" i="3" s="1"/>
  <c r="F2560" i="3" a="1"/>
  <c r="F2560" i="3" s="1"/>
  <c r="G2560" i="3" a="1"/>
  <c r="G2560" i="3" s="1"/>
  <c r="J2560" i="3" a="1"/>
  <c r="J2560" i="3" s="1"/>
  <c r="B2561" i="3" a="1"/>
  <c r="B2561" i="3" s="1"/>
  <c r="C2561" i="3" a="1"/>
  <c r="C2561" i="3" s="1"/>
  <c r="D2561" i="3" a="1"/>
  <c r="D2561" i="3" s="1"/>
  <c r="E2561" i="3" a="1"/>
  <c r="E2561" i="3" s="1"/>
  <c r="F2561" i="3" a="1"/>
  <c r="F2561" i="3" s="1"/>
  <c r="G2561" i="3" a="1"/>
  <c r="G2561" i="3" s="1"/>
  <c r="J2561" i="3" a="1"/>
  <c r="J2561" i="3" s="1"/>
  <c r="B2562" i="3" a="1"/>
  <c r="B2562" i="3" s="1"/>
  <c r="C2562" i="3" a="1"/>
  <c r="C2562" i="3" s="1"/>
  <c r="D2562" i="3" a="1"/>
  <c r="D2562" i="3" s="1"/>
  <c r="E2562" i="3" a="1"/>
  <c r="E2562" i="3" s="1"/>
  <c r="F2562" i="3" a="1"/>
  <c r="F2562" i="3" s="1"/>
  <c r="G2562" i="3" a="1"/>
  <c r="G2562" i="3" s="1"/>
  <c r="J2562" i="3" a="1"/>
  <c r="J2562" i="3" s="1"/>
  <c r="B2563" i="3" a="1"/>
  <c r="B2563" i="3" s="1"/>
  <c r="C2563" i="3" a="1"/>
  <c r="C2563" i="3" s="1"/>
  <c r="D2563" i="3" a="1"/>
  <c r="D2563" i="3" s="1"/>
  <c r="E2563" i="3" a="1"/>
  <c r="E2563" i="3" s="1"/>
  <c r="F2563" i="3" a="1"/>
  <c r="F2563" i="3" s="1"/>
  <c r="G2563" i="3" a="1"/>
  <c r="G2563" i="3" s="1"/>
  <c r="J2563" i="3" a="1"/>
  <c r="J2563" i="3" s="1"/>
  <c r="B2564" i="3" a="1"/>
  <c r="B2564" i="3" s="1"/>
  <c r="C2564" i="3" a="1"/>
  <c r="C2564" i="3" s="1"/>
  <c r="D2564" i="3" a="1"/>
  <c r="D2564" i="3" s="1"/>
  <c r="E2564" i="3" a="1"/>
  <c r="E2564" i="3" s="1"/>
  <c r="F2564" i="3" a="1"/>
  <c r="F2564" i="3" s="1"/>
  <c r="G2564" i="3" a="1"/>
  <c r="G2564" i="3" s="1"/>
  <c r="J2564" i="3" a="1"/>
  <c r="J2564" i="3" s="1"/>
  <c r="B2565" i="3" a="1"/>
  <c r="B2565" i="3" s="1"/>
  <c r="C2565" i="3" a="1"/>
  <c r="C2565" i="3" s="1"/>
  <c r="D2565" i="3" a="1"/>
  <c r="D2565" i="3" s="1"/>
  <c r="E2565" i="3" a="1"/>
  <c r="E2565" i="3" s="1"/>
  <c r="F2565" i="3" a="1"/>
  <c r="F2565" i="3" s="1"/>
  <c r="G2565" i="3" a="1"/>
  <c r="G2565" i="3" s="1"/>
  <c r="J2565" i="3" a="1"/>
  <c r="J2565" i="3" s="1"/>
  <c r="B2566" i="3" a="1"/>
  <c r="B2566" i="3" s="1"/>
  <c r="C2566" i="3" a="1"/>
  <c r="C2566" i="3" s="1"/>
  <c r="D2566" i="3" a="1"/>
  <c r="D2566" i="3" s="1"/>
  <c r="E2566" i="3" a="1"/>
  <c r="E2566" i="3" s="1"/>
  <c r="F2566" i="3" a="1"/>
  <c r="F2566" i="3" s="1"/>
  <c r="G2566" i="3" a="1"/>
  <c r="G2566" i="3" s="1"/>
  <c r="J2566" i="3" a="1"/>
  <c r="J2566" i="3" s="1"/>
  <c r="B2567" i="3" a="1"/>
  <c r="B2567" i="3" s="1"/>
  <c r="C2567" i="3" a="1"/>
  <c r="C2567" i="3" s="1"/>
  <c r="D2567" i="3" a="1"/>
  <c r="D2567" i="3" s="1"/>
  <c r="E2567" i="3" a="1"/>
  <c r="E2567" i="3" s="1"/>
  <c r="F2567" i="3" a="1"/>
  <c r="F2567" i="3" s="1"/>
  <c r="G2567" i="3" a="1"/>
  <c r="G2567" i="3" s="1"/>
  <c r="J2567" i="3" a="1"/>
  <c r="J2567" i="3" s="1"/>
  <c r="B2568" i="3" a="1"/>
  <c r="B2568" i="3" s="1"/>
  <c r="C2568" i="3" a="1"/>
  <c r="C2568" i="3" s="1"/>
  <c r="D2568" i="3" a="1"/>
  <c r="D2568" i="3" s="1"/>
  <c r="E2568" i="3" a="1"/>
  <c r="E2568" i="3" s="1"/>
  <c r="F2568" i="3" a="1"/>
  <c r="F2568" i="3" s="1"/>
  <c r="G2568" i="3" a="1"/>
  <c r="G2568" i="3" s="1"/>
  <c r="J2568" i="3" a="1"/>
  <c r="J2568" i="3" s="1"/>
  <c r="B2569" i="3" a="1"/>
  <c r="B2569" i="3" s="1"/>
  <c r="C2569" i="3" a="1"/>
  <c r="C2569" i="3" s="1"/>
  <c r="D2569" i="3" a="1"/>
  <c r="D2569" i="3" s="1"/>
  <c r="E2569" i="3" a="1"/>
  <c r="E2569" i="3" s="1"/>
  <c r="F2569" i="3" a="1"/>
  <c r="F2569" i="3" s="1"/>
  <c r="G2569" i="3" a="1"/>
  <c r="G2569" i="3" s="1"/>
  <c r="J2569" i="3" a="1"/>
  <c r="J2569" i="3" s="1"/>
  <c r="B2570" i="3" a="1"/>
  <c r="B2570" i="3" s="1"/>
  <c r="C2570" i="3" a="1"/>
  <c r="C2570" i="3" s="1"/>
  <c r="D2570" i="3" a="1"/>
  <c r="D2570" i="3" s="1"/>
  <c r="E2570" i="3" a="1"/>
  <c r="E2570" i="3" s="1"/>
  <c r="F2570" i="3" a="1"/>
  <c r="F2570" i="3" s="1"/>
  <c r="G2570" i="3" a="1"/>
  <c r="G2570" i="3" s="1"/>
  <c r="J2570" i="3" a="1"/>
  <c r="J2570" i="3" s="1"/>
  <c r="B2571" i="3" a="1"/>
  <c r="B2571" i="3" s="1"/>
  <c r="C2571" i="3" a="1"/>
  <c r="C2571" i="3" s="1"/>
  <c r="D2571" i="3" a="1"/>
  <c r="D2571" i="3" s="1"/>
  <c r="E2571" i="3" a="1"/>
  <c r="E2571" i="3" s="1"/>
  <c r="F2571" i="3" a="1"/>
  <c r="F2571" i="3" s="1"/>
  <c r="G2571" i="3" a="1"/>
  <c r="G2571" i="3" s="1"/>
  <c r="J2571" i="3" a="1"/>
  <c r="J2571" i="3" s="1"/>
  <c r="B2572" i="3" a="1"/>
  <c r="B2572" i="3" s="1"/>
  <c r="C2572" i="3" a="1"/>
  <c r="C2572" i="3" s="1"/>
  <c r="D2572" i="3" a="1"/>
  <c r="D2572" i="3" s="1"/>
  <c r="E2572" i="3" a="1"/>
  <c r="E2572" i="3" s="1"/>
  <c r="F2572" i="3" a="1"/>
  <c r="F2572" i="3" s="1"/>
  <c r="G2572" i="3" a="1"/>
  <c r="G2572" i="3" s="1"/>
  <c r="J2572" i="3" a="1"/>
  <c r="J2572" i="3" s="1"/>
  <c r="B2573" i="3" a="1"/>
  <c r="B2573" i="3" s="1"/>
  <c r="C2573" i="3" a="1"/>
  <c r="C2573" i="3" s="1"/>
  <c r="D2573" i="3" a="1"/>
  <c r="D2573" i="3" s="1"/>
  <c r="E2573" i="3" a="1"/>
  <c r="E2573" i="3" s="1"/>
  <c r="F2573" i="3" a="1"/>
  <c r="F2573" i="3" s="1"/>
  <c r="G2573" i="3" a="1"/>
  <c r="G2573" i="3" s="1"/>
  <c r="J2573" i="3" a="1"/>
  <c r="J2573" i="3" s="1"/>
  <c r="B2574" i="3" a="1"/>
  <c r="B2574" i="3" s="1"/>
  <c r="C2574" i="3" a="1"/>
  <c r="C2574" i="3" s="1"/>
  <c r="D2574" i="3" a="1"/>
  <c r="D2574" i="3" s="1"/>
  <c r="E2574" i="3" a="1"/>
  <c r="E2574" i="3" s="1"/>
  <c r="F2574" i="3" a="1"/>
  <c r="F2574" i="3" s="1"/>
  <c r="G2574" i="3" a="1"/>
  <c r="G2574" i="3" s="1"/>
  <c r="J2574" i="3" a="1"/>
  <c r="J2574" i="3" s="1"/>
  <c r="B2575" i="3" a="1"/>
  <c r="B2575" i="3" s="1"/>
  <c r="C2575" i="3" a="1"/>
  <c r="C2575" i="3" s="1"/>
  <c r="D2575" i="3" a="1"/>
  <c r="D2575" i="3" s="1"/>
  <c r="E2575" i="3" a="1"/>
  <c r="E2575" i="3" s="1"/>
  <c r="F2575" i="3" a="1"/>
  <c r="F2575" i="3" s="1"/>
  <c r="G2575" i="3" a="1"/>
  <c r="G2575" i="3" s="1"/>
  <c r="J2575" i="3" a="1"/>
  <c r="J2575" i="3" s="1"/>
  <c r="B2576" i="3" a="1"/>
  <c r="B2576" i="3" s="1"/>
  <c r="C2576" i="3" a="1"/>
  <c r="C2576" i="3" s="1"/>
  <c r="D2576" i="3" a="1"/>
  <c r="D2576" i="3" s="1"/>
  <c r="E2576" i="3" a="1"/>
  <c r="E2576" i="3" s="1"/>
  <c r="F2576" i="3" a="1"/>
  <c r="F2576" i="3" s="1"/>
  <c r="G2576" i="3" a="1"/>
  <c r="G2576" i="3" s="1"/>
  <c r="J2576" i="3" a="1"/>
  <c r="J2576" i="3" s="1"/>
  <c r="B2577" i="3" a="1"/>
  <c r="B2577" i="3" s="1"/>
  <c r="C2577" i="3" a="1"/>
  <c r="C2577" i="3" s="1"/>
  <c r="D2577" i="3" a="1"/>
  <c r="D2577" i="3" s="1"/>
  <c r="E2577" i="3" a="1"/>
  <c r="E2577" i="3" s="1"/>
  <c r="F2577" i="3" a="1"/>
  <c r="F2577" i="3" s="1"/>
  <c r="G2577" i="3" a="1"/>
  <c r="G2577" i="3" s="1"/>
  <c r="J2577" i="3" a="1"/>
  <c r="J2577" i="3" s="1"/>
  <c r="B2578" i="3" a="1"/>
  <c r="B2578" i="3" s="1"/>
  <c r="C2578" i="3" a="1"/>
  <c r="C2578" i="3" s="1"/>
  <c r="D2578" i="3" a="1"/>
  <c r="D2578" i="3" s="1"/>
  <c r="E2578" i="3" a="1"/>
  <c r="E2578" i="3" s="1"/>
  <c r="F2578" i="3" a="1"/>
  <c r="F2578" i="3" s="1"/>
  <c r="G2578" i="3" a="1"/>
  <c r="G2578" i="3" s="1"/>
  <c r="J2578" i="3" a="1"/>
  <c r="J2578" i="3" s="1"/>
  <c r="B2579" i="3" a="1"/>
  <c r="B2579" i="3" s="1"/>
  <c r="C2579" i="3" a="1"/>
  <c r="C2579" i="3" s="1"/>
  <c r="D2579" i="3" a="1"/>
  <c r="D2579" i="3" s="1"/>
  <c r="E2579" i="3" a="1"/>
  <c r="E2579" i="3" s="1"/>
  <c r="F2579" i="3" a="1"/>
  <c r="F2579" i="3" s="1"/>
  <c r="G2579" i="3" a="1"/>
  <c r="G2579" i="3" s="1"/>
  <c r="J2579" i="3" a="1"/>
  <c r="J2579" i="3" s="1"/>
  <c r="B2580" i="3" a="1"/>
  <c r="B2580" i="3" s="1"/>
  <c r="C2580" i="3" a="1"/>
  <c r="C2580" i="3" s="1"/>
  <c r="D2580" i="3" a="1"/>
  <c r="D2580" i="3" s="1"/>
  <c r="E2580" i="3" a="1"/>
  <c r="E2580" i="3" s="1"/>
  <c r="F2580" i="3" a="1"/>
  <c r="F2580" i="3" s="1"/>
  <c r="G2580" i="3" a="1"/>
  <c r="G2580" i="3" s="1"/>
  <c r="J2580" i="3" a="1"/>
  <c r="J2580" i="3" s="1"/>
  <c r="B2581" i="3" a="1"/>
  <c r="B2581" i="3" s="1"/>
  <c r="C2581" i="3" a="1"/>
  <c r="C2581" i="3" s="1"/>
  <c r="D2581" i="3" a="1"/>
  <c r="D2581" i="3" s="1"/>
  <c r="E2581" i="3" a="1"/>
  <c r="E2581" i="3" s="1"/>
  <c r="F2581" i="3" a="1"/>
  <c r="F2581" i="3" s="1"/>
  <c r="G2581" i="3" a="1"/>
  <c r="G2581" i="3" s="1"/>
  <c r="J2581" i="3" a="1"/>
  <c r="J2581" i="3" s="1"/>
  <c r="B2582" i="3" a="1"/>
  <c r="B2582" i="3" s="1"/>
  <c r="C2582" i="3" a="1"/>
  <c r="C2582" i="3" s="1"/>
  <c r="D2582" i="3" a="1"/>
  <c r="D2582" i="3" s="1"/>
  <c r="E2582" i="3" a="1"/>
  <c r="E2582" i="3" s="1"/>
  <c r="F2582" i="3" a="1"/>
  <c r="F2582" i="3" s="1"/>
  <c r="G2582" i="3" a="1"/>
  <c r="G2582" i="3" s="1"/>
  <c r="J2582" i="3" a="1"/>
  <c r="J2582" i="3" s="1"/>
  <c r="B2583" i="3" a="1"/>
  <c r="B2583" i="3" s="1"/>
  <c r="C2583" i="3" a="1"/>
  <c r="C2583" i="3" s="1"/>
  <c r="D2583" i="3" a="1"/>
  <c r="D2583" i="3" s="1"/>
  <c r="E2583" i="3" a="1"/>
  <c r="E2583" i="3" s="1"/>
  <c r="F2583" i="3" a="1"/>
  <c r="F2583" i="3" s="1"/>
  <c r="G2583" i="3" a="1"/>
  <c r="G2583" i="3" s="1"/>
  <c r="J2583" i="3" a="1"/>
  <c r="J2583" i="3" s="1"/>
  <c r="B2584" i="3" a="1"/>
  <c r="B2584" i="3" s="1"/>
  <c r="C2584" i="3" a="1"/>
  <c r="C2584" i="3" s="1"/>
  <c r="D2584" i="3" a="1"/>
  <c r="D2584" i="3" s="1"/>
  <c r="E2584" i="3" a="1"/>
  <c r="E2584" i="3" s="1"/>
  <c r="F2584" i="3" a="1"/>
  <c r="F2584" i="3" s="1"/>
  <c r="G2584" i="3" a="1"/>
  <c r="G2584" i="3" s="1"/>
  <c r="J2584" i="3" a="1"/>
  <c r="J2584" i="3" s="1"/>
  <c r="B2585" i="3" a="1"/>
  <c r="B2585" i="3" s="1"/>
  <c r="C2585" i="3" a="1"/>
  <c r="C2585" i="3" s="1"/>
  <c r="D2585" i="3" a="1"/>
  <c r="D2585" i="3" s="1"/>
  <c r="E2585" i="3" a="1"/>
  <c r="E2585" i="3" s="1"/>
  <c r="F2585" i="3" a="1"/>
  <c r="F2585" i="3" s="1"/>
  <c r="G2585" i="3" a="1"/>
  <c r="G2585" i="3" s="1"/>
  <c r="J2585" i="3" a="1"/>
  <c r="J2585" i="3" s="1"/>
  <c r="B2586" i="3" a="1"/>
  <c r="B2586" i="3" s="1"/>
  <c r="C2586" i="3" a="1"/>
  <c r="C2586" i="3" s="1"/>
  <c r="D2586" i="3" a="1"/>
  <c r="D2586" i="3" s="1"/>
  <c r="E2586" i="3" a="1"/>
  <c r="E2586" i="3" s="1"/>
  <c r="F2586" i="3" a="1"/>
  <c r="F2586" i="3" s="1"/>
  <c r="G2586" i="3" a="1"/>
  <c r="G2586" i="3" s="1"/>
  <c r="J2586" i="3" a="1"/>
  <c r="J2586" i="3" s="1"/>
  <c r="B2587" i="3" a="1"/>
  <c r="B2587" i="3" s="1"/>
  <c r="C2587" i="3" a="1"/>
  <c r="C2587" i="3" s="1"/>
  <c r="D2587" i="3" a="1"/>
  <c r="D2587" i="3" s="1"/>
  <c r="E2587" i="3" a="1"/>
  <c r="E2587" i="3" s="1"/>
  <c r="F2587" i="3" a="1"/>
  <c r="F2587" i="3" s="1"/>
  <c r="G2587" i="3" a="1"/>
  <c r="G2587" i="3" s="1"/>
  <c r="J2587" i="3" a="1"/>
  <c r="J2587" i="3" s="1"/>
  <c r="B2588" i="3" a="1"/>
  <c r="B2588" i="3" s="1"/>
  <c r="C2588" i="3" a="1"/>
  <c r="C2588" i="3" s="1"/>
  <c r="D2588" i="3" a="1"/>
  <c r="D2588" i="3" s="1"/>
  <c r="E2588" i="3" a="1"/>
  <c r="E2588" i="3" s="1"/>
  <c r="F2588" i="3" a="1"/>
  <c r="F2588" i="3" s="1"/>
  <c r="G2588" i="3" a="1"/>
  <c r="G2588" i="3" s="1"/>
  <c r="J2588" i="3" a="1"/>
  <c r="J2588" i="3" s="1"/>
  <c r="B2589" i="3" a="1"/>
  <c r="B2589" i="3" s="1"/>
  <c r="C2589" i="3" a="1"/>
  <c r="C2589" i="3" s="1"/>
  <c r="D2589" i="3" a="1"/>
  <c r="D2589" i="3" s="1"/>
  <c r="E2589" i="3" a="1"/>
  <c r="E2589" i="3" s="1"/>
  <c r="F2589" i="3" a="1"/>
  <c r="F2589" i="3" s="1"/>
  <c r="G2589" i="3" a="1"/>
  <c r="G2589" i="3" s="1"/>
  <c r="J2589" i="3" a="1"/>
  <c r="J2589" i="3" s="1"/>
  <c r="B2590" i="3" a="1"/>
  <c r="B2590" i="3" s="1"/>
  <c r="C2590" i="3" a="1"/>
  <c r="C2590" i="3" s="1"/>
  <c r="D2590" i="3" a="1"/>
  <c r="D2590" i="3" s="1"/>
  <c r="E2590" i="3" a="1"/>
  <c r="E2590" i="3" s="1"/>
  <c r="F2590" i="3" a="1"/>
  <c r="F2590" i="3" s="1"/>
  <c r="G2590" i="3" a="1"/>
  <c r="G2590" i="3" s="1"/>
  <c r="J2590" i="3" a="1"/>
  <c r="J2590" i="3" s="1"/>
  <c r="B2591" i="3" a="1"/>
  <c r="B2591" i="3" s="1"/>
  <c r="C2591" i="3" a="1"/>
  <c r="C2591" i="3" s="1"/>
  <c r="D2591" i="3" a="1"/>
  <c r="D2591" i="3" s="1"/>
  <c r="E2591" i="3" a="1"/>
  <c r="E2591" i="3" s="1"/>
  <c r="F2591" i="3" a="1"/>
  <c r="F2591" i="3" s="1"/>
  <c r="G2591" i="3" a="1"/>
  <c r="G2591" i="3" s="1"/>
  <c r="J2591" i="3" a="1"/>
  <c r="J2591" i="3" s="1"/>
  <c r="B2592" i="3" a="1"/>
  <c r="B2592" i="3" s="1"/>
  <c r="C2592" i="3" a="1"/>
  <c r="C2592" i="3" s="1"/>
  <c r="D2592" i="3" a="1"/>
  <c r="D2592" i="3" s="1"/>
  <c r="E2592" i="3" a="1"/>
  <c r="E2592" i="3" s="1"/>
  <c r="F2592" i="3" a="1"/>
  <c r="F2592" i="3" s="1"/>
  <c r="G2592" i="3" a="1"/>
  <c r="G2592" i="3" s="1"/>
  <c r="J2592" i="3" a="1"/>
  <c r="J2592" i="3" s="1"/>
  <c r="B2593" i="3" a="1"/>
  <c r="B2593" i="3" s="1"/>
  <c r="C2593" i="3" a="1"/>
  <c r="C2593" i="3" s="1"/>
  <c r="D2593" i="3" a="1"/>
  <c r="D2593" i="3" s="1"/>
  <c r="E2593" i="3" a="1"/>
  <c r="E2593" i="3" s="1"/>
  <c r="F2593" i="3" a="1"/>
  <c r="F2593" i="3" s="1"/>
  <c r="G2593" i="3" a="1"/>
  <c r="G2593" i="3" s="1"/>
  <c r="J2593" i="3" a="1"/>
  <c r="J2593" i="3" s="1"/>
  <c r="B2594" i="3" a="1"/>
  <c r="B2594" i="3" s="1"/>
  <c r="C2594" i="3" a="1"/>
  <c r="C2594" i="3" s="1"/>
  <c r="D2594" i="3" a="1"/>
  <c r="D2594" i="3" s="1"/>
  <c r="E2594" i="3" a="1"/>
  <c r="E2594" i="3" s="1"/>
  <c r="F2594" i="3" a="1"/>
  <c r="F2594" i="3" s="1"/>
  <c r="G2594" i="3" a="1"/>
  <c r="G2594" i="3" s="1"/>
  <c r="J2594" i="3" a="1"/>
  <c r="J2594" i="3" s="1"/>
  <c r="B2595" i="3" a="1"/>
  <c r="B2595" i="3" s="1"/>
  <c r="C2595" i="3" a="1"/>
  <c r="C2595" i="3" s="1"/>
  <c r="D2595" i="3" a="1"/>
  <c r="D2595" i="3" s="1"/>
  <c r="E2595" i="3" a="1"/>
  <c r="E2595" i="3" s="1"/>
  <c r="F2595" i="3" a="1"/>
  <c r="F2595" i="3" s="1"/>
  <c r="G2595" i="3" a="1"/>
  <c r="G2595" i="3" s="1"/>
  <c r="J2595" i="3" a="1"/>
  <c r="J2595" i="3" s="1"/>
  <c r="B2596" i="3" a="1"/>
  <c r="B2596" i="3" s="1"/>
  <c r="C2596" i="3" a="1"/>
  <c r="C2596" i="3" s="1"/>
  <c r="D2596" i="3" a="1"/>
  <c r="D2596" i="3" s="1"/>
  <c r="E2596" i="3" a="1"/>
  <c r="E2596" i="3" s="1"/>
  <c r="F2596" i="3" a="1"/>
  <c r="F2596" i="3" s="1"/>
  <c r="G2596" i="3" a="1"/>
  <c r="G2596" i="3" s="1"/>
  <c r="J2596" i="3" a="1"/>
  <c r="J2596" i="3" s="1"/>
  <c r="B2597" i="3" a="1"/>
  <c r="B2597" i="3" s="1"/>
  <c r="C2597" i="3" a="1"/>
  <c r="C2597" i="3" s="1"/>
  <c r="D2597" i="3" a="1"/>
  <c r="D2597" i="3" s="1"/>
  <c r="E2597" i="3" a="1"/>
  <c r="E2597" i="3" s="1"/>
  <c r="F2597" i="3" a="1"/>
  <c r="F2597" i="3" s="1"/>
  <c r="G2597" i="3" a="1"/>
  <c r="G2597" i="3" s="1"/>
  <c r="J2597" i="3" a="1"/>
  <c r="J2597" i="3" s="1"/>
  <c r="B2598" i="3" a="1"/>
  <c r="B2598" i="3" s="1"/>
  <c r="C2598" i="3" a="1"/>
  <c r="C2598" i="3" s="1"/>
  <c r="D2598" i="3" a="1"/>
  <c r="D2598" i="3" s="1"/>
  <c r="E2598" i="3" a="1"/>
  <c r="E2598" i="3" s="1"/>
  <c r="F2598" i="3" a="1"/>
  <c r="F2598" i="3" s="1"/>
  <c r="G2598" i="3" a="1"/>
  <c r="G2598" i="3" s="1"/>
  <c r="J2598" i="3" a="1"/>
  <c r="J2598" i="3" s="1"/>
  <c r="B2599" i="3" a="1"/>
  <c r="B2599" i="3" s="1"/>
  <c r="C2599" i="3" a="1"/>
  <c r="C2599" i="3" s="1"/>
  <c r="D2599" i="3" a="1"/>
  <c r="D2599" i="3" s="1"/>
  <c r="E2599" i="3" a="1"/>
  <c r="E2599" i="3" s="1"/>
  <c r="F2599" i="3" a="1"/>
  <c r="F2599" i="3" s="1"/>
  <c r="G2599" i="3" a="1"/>
  <c r="G2599" i="3" s="1"/>
  <c r="J2599" i="3" a="1"/>
  <c r="J2599" i="3" s="1"/>
  <c r="B2600" i="3" a="1"/>
  <c r="B2600" i="3" s="1"/>
  <c r="C2600" i="3" a="1"/>
  <c r="C2600" i="3" s="1"/>
  <c r="D2600" i="3" a="1"/>
  <c r="D2600" i="3" s="1"/>
  <c r="E2600" i="3" a="1"/>
  <c r="E2600" i="3" s="1"/>
  <c r="F2600" i="3" a="1"/>
  <c r="F2600" i="3" s="1"/>
  <c r="G2600" i="3" a="1"/>
  <c r="G2600" i="3" s="1"/>
  <c r="J2600" i="3" a="1"/>
  <c r="J2600" i="3" s="1"/>
  <c r="B2601" i="3" a="1"/>
  <c r="B2601" i="3" s="1"/>
  <c r="C2601" i="3" a="1"/>
  <c r="C2601" i="3" s="1"/>
  <c r="D2601" i="3" a="1"/>
  <c r="D2601" i="3" s="1"/>
  <c r="E2601" i="3" a="1"/>
  <c r="E2601" i="3" s="1"/>
  <c r="F2601" i="3" a="1"/>
  <c r="F2601" i="3" s="1"/>
  <c r="G2601" i="3" a="1"/>
  <c r="G2601" i="3" s="1"/>
  <c r="J2601" i="3" a="1"/>
  <c r="J2601" i="3" s="1"/>
  <c r="B2602" i="3" a="1"/>
  <c r="B2602" i="3" s="1"/>
  <c r="C2602" i="3" a="1"/>
  <c r="C2602" i="3" s="1"/>
  <c r="D2602" i="3" a="1"/>
  <c r="D2602" i="3" s="1"/>
  <c r="E2602" i="3" a="1"/>
  <c r="E2602" i="3" s="1"/>
  <c r="F2602" i="3" a="1"/>
  <c r="F2602" i="3" s="1"/>
  <c r="G2602" i="3" a="1"/>
  <c r="G2602" i="3" s="1"/>
  <c r="J2602" i="3" a="1"/>
  <c r="J2602" i="3" s="1"/>
  <c r="B2603" i="3" a="1"/>
  <c r="B2603" i="3" s="1"/>
  <c r="C2603" i="3" a="1"/>
  <c r="C2603" i="3" s="1"/>
  <c r="D2603" i="3" a="1"/>
  <c r="D2603" i="3" s="1"/>
  <c r="E2603" i="3" a="1"/>
  <c r="E2603" i="3" s="1"/>
  <c r="F2603" i="3" a="1"/>
  <c r="F2603" i="3" s="1"/>
  <c r="G2603" i="3" a="1"/>
  <c r="G2603" i="3" s="1"/>
  <c r="J2603" i="3" a="1"/>
  <c r="J2603" i="3" s="1"/>
  <c r="B2604" i="3" a="1"/>
  <c r="B2604" i="3" s="1"/>
  <c r="C2604" i="3" a="1"/>
  <c r="C2604" i="3" s="1"/>
  <c r="D2604" i="3" a="1"/>
  <c r="D2604" i="3" s="1"/>
  <c r="E2604" i="3" a="1"/>
  <c r="E2604" i="3" s="1"/>
  <c r="F2604" i="3" a="1"/>
  <c r="F2604" i="3" s="1"/>
  <c r="G2604" i="3" a="1"/>
  <c r="G2604" i="3" s="1"/>
  <c r="J2604" i="3" a="1"/>
  <c r="J2604" i="3" s="1"/>
  <c r="B2605" i="3" a="1"/>
  <c r="B2605" i="3" s="1"/>
  <c r="C2605" i="3" a="1"/>
  <c r="C2605" i="3" s="1"/>
  <c r="D2605" i="3" a="1"/>
  <c r="D2605" i="3" s="1"/>
  <c r="E2605" i="3" a="1"/>
  <c r="E2605" i="3" s="1"/>
  <c r="F2605" i="3" a="1"/>
  <c r="F2605" i="3" s="1"/>
  <c r="G2605" i="3" a="1"/>
  <c r="G2605" i="3" s="1"/>
  <c r="J2605" i="3" a="1"/>
  <c r="J2605" i="3" s="1"/>
  <c r="B2606" i="3" a="1"/>
  <c r="B2606" i="3" s="1"/>
  <c r="C2606" i="3" a="1"/>
  <c r="C2606" i="3" s="1"/>
  <c r="D2606" i="3" a="1"/>
  <c r="D2606" i="3" s="1"/>
  <c r="E2606" i="3" a="1"/>
  <c r="E2606" i="3" s="1"/>
  <c r="F2606" i="3" a="1"/>
  <c r="F2606" i="3" s="1"/>
  <c r="G2606" i="3" a="1"/>
  <c r="G2606" i="3" s="1"/>
  <c r="J2606" i="3" a="1"/>
  <c r="J2606" i="3" s="1"/>
  <c r="B2607" i="3" a="1"/>
  <c r="B2607" i="3" s="1"/>
  <c r="C2607" i="3" a="1"/>
  <c r="C2607" i="3" s="1"/>
  <c r="D2607" i="3" a="1"/>
  <c r="D2607" i="3" s="1"/>
  <c r="E2607" i="3" a="1"/>
  <c r="E2607" i="3" s="1"/>
  <c r="F2607" i="3" a="1"/>
  <c r="F2607" i="3" s="1"/>
  <c r="G2607" i="3" a="1"/>
  <c r="G2607" i="3" s="1"/>
  <c r="J2607" i="3" a="1"/>
  <c r="J2607" i="3" s="1"/>
  <c r="B2608" i="3" a="1"/>
  <c r="B2608" i="3" s="1"/>
  <c r="C2608" i="3" a="1"/>
  <c r="C2608" i="3" s="1"/>
  <c r="D2608" i="3" a="1"/>
  <c r="D2608" i="3" s="1"/>
  <c r="E2608" i="3" a="1"/>
  <c r="E2608" i="3" s="1"/>
  <c r="F2608" i="3" a="1"/>
  <c r="F2608" i="3" s="1"/>
  <c r="G2608" i="3" a="1"/>
  <c r="G2608" i="3" s="1"/>
  <c r="J2608" i="3" a="1"/>
  <c r="J2608" i="3" s="1"/>
  <c r="B2609" i="3" a="1"/>
  <c r="B2609" i="3" s="1"/>
  <c r="C2609" i="3" a="1"/>
  <c r="C2609" i="3" s="1"/>
  <c r="D2609" i="3" a="1"/>
  <c r="D2609" i="3" s="1"/>
  <c r="E2609" i="3" a="1"/>
  <c r="E2609" i="3" s="1"/>
  <c r="F2609" i="3" a="1"/>
  <c r="F2609" i="3" s="1"/>
  <c r="G2609" i="3" a="1"/>
  <c r="G2609" i="3" s="1"/>
  <c r="J2609" i="3" a="1"/>
  <c r="J2609" i="3" s="1"/>
  <c r="B2610" i="3" a="1"/>
  <c r="B2610" i="3" s="1"/>
  <c r="C2610" i="3" a="1"/>
  <c r="C2610" i="3" s="1"/>
  <c r="D2610" i="3" a="1"/>
  <c r="D2610" i="3" s="1"/>
  <c r="E2610" i="3" a="1"/>
  <c r="E2610" i="3" s="1"/>
  <c r="F2610" i="3" a="1"/>
  <c r="F2610" i="3" s="1"/>
  <c r="G2610" i="3" a="1"/>
  <c r="G2610" i="3" s="1"/>
  <c r="J2610" i="3" a="1"/>
  <c r="J2610" i="3" s="1"/>
  <c r="B2611" i="3" a="1"/>
  <c r="B2611" i="3" s="1"/>
  <c r="C2611" i="3" a="1"/>
  <c r="C2611" i="3" s="1"/>
  <c r="D2611" i="3" a="1"/>
  <c r="D2611" i="3" s="1"/>
  <c r="E2611" i="3" a="1"/>
  <c r="E2611" i="3" s="1"/>
  <c r="F2611" i="3" a="1"/>
  <c r="F2611" i="3" s="1"/>
  <c r="G2611" i="3" a="1"/>
  <c r="G2611" i="3" s="1"/>
  <c r="J2611" i="3" a="1"/>
  <c r="J2611" i="3" s="1"/>
  <c r="B2612" i="3" a="1"/>
  <c r="B2612" i="3" s="1"/>
  <c r="C2612" i="3" a="1"/>
  <c r="C2612" i="3" s="1"/>
  <c r="D2612" i="3" a="1"/>
  <c r="D2612" i="3" s="1"/>
  <c r="E2612" i="3" a="1"/>
  <c r="E2612" i="3" s="1"/>
  <c r="F2612" i="3" a="1"/>
  <c r="F2612" i="3" s="1"/>
  <c r="G2612" i="3" a="1"/>
  <c r="G2612" i="3" s="1"/>
  <c r="J2612" i="3" a="1"/>
  <c r="J2612" i="3" s="1"/>
  <c r="B2613" i="3" a="1"/>
  <c r="B2613" i="3" s="1"/>
  <c r="C2613" i="3" a="1"/>
  <c r="C2613" i="3" s="1"/>
  <c r="D2613" i="3" a="1"/>
  <c r="D2613" i="3" s="1"/>
  <c r="E2613" i="3" a="1"/>
  <c r="E2613" i="3" s="1"/>
  <c r="F2613" i="3" a="1"/>
  <c r="F2613" i="3" s="1"/>
  <c r="G2613" i="3" a="1"/>
  <c r="G2613" i="3" s="1"/>
  <c r="J2613" i="3" a="1"/>
  <c r="J2613" i="3" s="1"/>
  <c r="B2614" i="3" a="1"/>
  <c r="B2614" i="3" s="1"/>
  <c r="C2614" i="3" a="1"/>
  <c r="C2614" i="3" s="1"/>
  <c r="D2614" i="3" a="1"/>
  <c r="D2614" i="3" s="1"/>
  <c r="E2614" i="3" a="1"/>
  <c r="E2614" i="3" s="1"/>
  <c r="F2614" i="3" a="1"/>
  <c r="F2614" i="3" s="1"/>
  <c r="G2614" i="3" a="1"/>
  <c r="G2614" i="3" s="1"/>
  <c r="J2614" i="3" a="1"/>
  <c r="J2614" i="3" s="1"/>
  <c r="B2615" i="3" a="1"/>
  <c r="B2615" i="3" s="1"/>
  <c r="C2615" i="3" a="1"/>
  <c r="C2615" i="3" s="1"/>
  <c r="D2615" i="3" a="1"/>
  <c r="D2615" i="3" s="1"/>
  <c r="E2615" i="3" a="1"/>
  <c r="E2615" i="3" s="1"/>
  <c r="F2615" i="3" a="1"/>
  <c r="F2615" i="3" s="1"/>
  <c r="G2615" i="3" a="1"/>
  <c r="G2615" i="3" s="1"/>
  <c r="J2615" i="3" a="1"/>
  <c r="J2615" i="3" s="1"/>
  <c r="B2616" i="3" a="1"/>
  <c r="B2616" i="3" s="1"/>
  <c r="C2616" i="3" a="1"/>
  <c r="C2616" i="3" s="1"/>
  <c r="D2616" i="3" a="1"/>
  <c r="D2616" i="3" s="1"/>
  <c r="E2616" i="3" a="1"/>
  <c r="E2616" i="3" s="1"/>
  <c r="F2616" i="3" a="1"/>
  <c r="F2616" i="3" s="1"/>
  <c r="G2616" i="3" a="1"/>
  <c r="G2616" i="3" s="1"/>
  <c r="J2616" i="3" a="1"/>
  <c r="J2616" i="3" s="1"/>
  <c r="B2617" i="3" a="1"/>
  <c r="B2617" i="3" s="1"/>
  <c r="C2617" i="3" a="1"/>
  <c r="C2617" i="3" s="1"/>
  <c r="D2617" i="3" a="1"/>
  <c r="D2617" i="3" s="1"/>
  <c r="E2617" i="3" a="1"/>
  <c r="E2617" i="3" s="1"/>
  <c r="F2617" i="3" a="1"/>
  <c r="F2617" i="3" s="1"/>
  <c r="G2617" i="3" a="1"/>
  <c r="G2617" i="3" s="1"/>
  <c r="J2617" i="3" a="1"/>
  <c r="J2617" i="3" s="1"/>
  <c r="B2618" i="3" a="1"/>
  <c r="B2618" i="3" s="1"/>
  <c r="C2618" i="3" a="1"/>
  <c r="C2618" i="3" s="1"/>
  <c r="D2618" i="3" a="1"/>
  <c r="D2618" i="3" s="1"/>
  <c r="E2618" i="3" a="1"/>
  <c r="E2618" i="3" s="1"/>
  <c r="F2618" i="3" a="1"/>
  <c r="F2618" i="3" s="1"/>
  <c r="G2618" i="3" a="1"/>
  <c r="G2618" i="3" s="1"/>
  <c r="J2618" i="3" a="1"/>
  <c r="J2618" i="3" s="1"/>
  <c r="B2619" i="3" a="1"/>
  <c r="B2619" i="3" s="1"/>
  <c r="C2619" i="3" a="1"/>
  <c r="C2619" i="3" s="1"/>
  <c r="D2619" i="3" a="1"/>
  <c r="D2619" i="3" s="1"/>
  <c r="E2619" i="3" a="1"/>
  <c r="E2619" i="3" s="1"/>
  <c r="F2619" i="3" a="1"/>
  <c r="F2619" i="3" s="1"/>
  <c r="G2619" i="3" a="1"/>
  <c r="G2619" i="3" s="1"/>
  <c r="J2619" i="3" a="1"/>
  <c r="J2619" i="3" s="1"/>
  <c r="B2620" i="3" a="1"/>
  <c r="B2620" i="3" s="1"/>
  <c r="C2620" i="3" a="1"/>
  <c r="C2620" i="3" s="1"/>
  <c r="D2620" i="3" a="1"/>
  <c r="D2620" i="3" s="1"/>
  <c r="E2620" i="3" a="1"/>
  <c r="E2620" i="3" s="1"/>
  <c r="F2620" i="3" a="1"/>
  <c r="F2620" i="3" s="1"/>
  <c r="G2620" i="3" a="1"/>
  <c r="G2620" i="3" s="1"/>
  <c r="J2620" i="3" a="1"/>
  <c r="J2620" i="3" s="1"/>
  <c r="B2621" i="3" a="1"/>
  <c r="B2621" i="3" s="1"/>
  <c r="C2621" i="3" a="1"/>
  <c r="C2621" i="3" s="1"/>
  <c r="D2621" i="3" a="1"/>
  <c r="D2621" i="3" s="1"/>
  <c r="E2621" i="3" a="1"/>
  <c r="E2621" i="3" s="1"/>
  <c r="F2621" i="3" a="1"/>
  <c r="F2621" i="3" s="1"/>
  <c r="G2621" i="3" a="1"/>
  <c r="G2621" i="3" s="1"/>
  <c r="J2621" i="3" a="1"/>
  <c r="J2621" i="3" s="1"/>
  <c r="B2622" i="3" a="1"/>
  <c r="B2622" i="3" s="1"/>
  <c r="C2622" i="3" a="1"/>
  <c r="C2622" i="3" s="1"/>
  <c r="D2622" i="3" a="1"/>
  <c r="D2622" i="3" s="1"/>
  <c r="E2622" i="3" a="1"/>
  <c r="E2622" i="3" s="1"/>
  <c r="F2622" i="3" a="1"/>
  <c r="F2622" i="3" s="1"/>
  <c r="G2622" i="3" a="1"/>
  <c r="G2622" i="3" s="1"/>
  <c r="J2622" i="3" a="1"/>
  <c r="J2622" i="3" s="1"/>
  <c r="B2623" i="3" a="1"/>
  <c r="B2623" i="3" s="1"/>
  <c r="C2623" i="3" a="1"/>
  <c r="C2623" i="3" s="1"/>
  <c r="D2623" i="3" a="1"/>
  <c r="D2623" i="3" s="1"/>
  <c r="E2623" i="3" a="1"/>
  <c r="E2623" i="3" s="1"/>
  <c r="F2623" i="3" a="1"/>
  <c r="F2623" i="3" s="1"/>
  <c r="G2623" i="3" a="1"/>
  <c r="G2623" i="3" s="1"/>
  <c r="J2623" i="3" a="1"/>
  <c r="J2623" i="3" s="1"/>
  <c r="B2624" i="3" a="1"/>
  <c r="B2624" i="3" s="1"/>
  <c r="C2624" i="3" a="1"/>
  <c r="C2624" i="3" s="1"/>
  <c r="D2624" i="3" a="1"/>
  <c r="D2624" i="3" s="1"/>
  <c r="E2624" i="3" a="1"/>
  <c r="E2624" i="3" s="1"/>
  <c r="F2624" i="3" a="1"/>
  <c r="F2624" i="3" s="1"/>
  <c r="G2624" i="3" a="1"/>
  <c r="G2624" i="3" s="1"/>
  <c r="J2624" i="3" a="1"/>
  <c r="J2624" i="3" s="1"/>
  <c r="B2625" i="3" a="1"/>
  <c r="B2625" i="3" s="1"/>
  <c r="C2625" i="3" a="1"/>
  <c r="C2625" i="3" s="1"/>
  <c r="D2625" i="3" a="1"/>
  <c r="D2625" i="3" s="1"/>
  <c r="E2625" i="3" a="1"/>
  <c r="E2625" i="3" s="1"/>
  <c r="F2625" i="3" a="1"/>
  <c r="F2625" i="3" s="1"/>
  <c r="G2625" i="3" a="1"/>
  <c r="G2625" i="3" s="1"/>
  <c r="J2625" i="3" a="1"/>
  <c r="J2625" i="3" s="1"/>
  <c r="B2626" i="3" a="1"/>
  <c r="B2626" i="3" s="1"/>
  <c r="C2626" i="3" a="1"/>
  <c r="C2626" i="3" s="1"/>
  <c r="D2626" i="3" a="1"/>
  <c r="D2626" i="3" s="1"/>
  <c r="E2626" i="3" a="1"/>
  <c r="E2626" i="3" s="1"/>
  <c r="F2626" i="3" a="1"/>
  <c r="F2626" i="3" s="1"/>
  <c r="G2626" i="3" a="1"/>
  <c r="G2626" i="3" s="1"/>
  <c r="J2626" i="3" a="1"/>
  <c r="J2626" i="3" s="1"/>
  <c r="B2627" i="3" a="1"/>
  <c r="B2627" i="3" s="1"/>
  <c r="C2627" i="3" a="1"/>
  <c r="C2627" i="3" s="1"/>
  <c r="D2627" i="3" a="1"/>
  <c r="D2627" i="3" s="1"/>
  <c r="E2627" i="3" a="1"/>
  <c r="E2627" i="3" s="1"/>
  <c r="F2627" i="3" a="1"/>
  <c r="F2627" i="3" s="1"/>
  <c r="G2627" i="3" a="1"/>
  <c r="G2627" i="3" s="1"/>
  <c r="J2627" i="3" a="1"/>
  <c r="J2627" i="3" s="1"/>
  <c r="B2628" i="3" a="1"/>
  <c r="B2628" i="3" s="1"/>
  <c r="C2628" i="3" a="1"/>
  <c r="C2628" i="3" s="1"/>
  <c r="D2628" i="3" a="1"/>
  <c r="D2628" i="3" s="1"/>
  <c r="E2628" i="3" a="1"/>
  <c r="E2628" i="3" s="1"/>
  <c r="F2628" i="3" a="1"/>
  <c r="F2628" i="3" s="1"/>
  <c r="G2628" i="3" a="1"/>
  <c r="G2628" i="3" s="1"/>
  <c r="J2628" i="3" a="1"/>
  <c r="J2628" i="3" s="1"/>
  <c r="B2629" i="3" a="1"/>
  <c r="B2629" i="3" s="1"/>
  <c r="C2629" i="3" a="1"/>
  <c r="C2629" i="3" s="1"/>
  <c r="D2629" i="3" a="1"/>
  <c r="D2629" i="3" s="1"/>
  <c r="E2629" i="3" a="1"/>
  <c r="E2629" i="3" s="1"/>
  <c r="F2629" i="3" a="1"/>
  <c r="F2629" i="3" s="1"/>
  <c r="G2629" i="3" a="1"/>
  <c r="G2629" i="3" s="1"/>
  <c r="J2629" i="3" a="1"/>
  <c r="J2629" i="3" s="1"/>
  <c r="B2630" i="3" a="1"/>
  <c r="B2630" i="3" s="1"/>
  <c r="C2630" i="3" a="1"/>
  <c r="C2630" i="3" s="1"/>
  <c r="D2630" i="3" a="1"/>
  <c r="D2630" i="3" s="1"/>
  <c r="E2630" i="3" a="1"/>
  <c r="E2630" i="3" s="1"/>
  <c r="F2630" i="3" a="1"/>
  <c r="F2630" i="3" s="1"/>
  <c r="G2630" i="3" a="1"/>
  <c r="G2630" i="3" s="1"/>
  <c r="J2630" i="3" a="1"/>
  <c r="J2630" i="3" s="1"/>
  <c r="B2631" i="3" a="1"/>
  <c r="B2631" i="3" s="1"/>
  <c r="C2631" i="3" a="1"/>
  <c r="C2631" i="3" s="1"/>
  <c r="D2631" i="3" a="1"/>
  <c r="D2631" i="3" s="1"/>
  <c r="E2631" i="3" a="1"/>
  <c r="E2631" i="3" s="1"/>
  <c r="F2631" i="3" a="1"/>
  <c r="F2631" i="3" s="1"/>
  <c r="G2631" i="3" a="1"/>
  <c r="G2631" i="3" s="1"/>
  <c r="J2631" i="3" a="1"/>
  <c r="J2631" i="3" s="1"/>
  <c r="B2632" i="3" a="1"/>
  <c r="B2632" i="3" s="1"/>
  <c r="C2632" i="3" a="1"/>
  <c r="C2632" i="3" s="1"/>
  <c r="D2632" i="3" a="1"/>
  <c r="D2632" i="3" s="1"/>
  <c r="E2632" i="3" a="1"/>
  <c r="E2632" i="3" s="1"/>
  <c r="F2632" i="3" a="1"/>
  <c r="F2632" i="3" s="1"/>
  <c r="G2632" i="3" a="1"/>
  <c r="G2632" i="3" s="1"/>
  <c r="J2632" i="3" a="1"/>
  <c r="J2632" i="3" s="1"/>
  <c r="B2633" i="3" a="1"/>
  <c r="B2633" i="3" s="1"/>
  <c r="C2633" i="3" a="1"/>
  <c r="C2633" i="3" s="1"/>
  <c r="D2633" i="3" a="1"/>
  <c r="D2633" i="3" s="1"/>
  <c r="E2633" i="3" a="1"/>
  <c r="E2633" i="3" s="1"/>
  <c r="F2633" i="3" a="1"/>
  <c r="F2633" i="3" s="1"/>
  <c r="G2633" i="3" a="1"/>
  <c r="G2633" i="3" s="1"/>
  <c r="J2633" i="3" a="1"/>
  <c r="J2633" i="3" s="1"/>
  <c r="B2634" i="3" a="1"/>
  <c r="B2634" i="3" s="1"/>
  <c r="C2634" i="3" a="1"/>
  <c r="C2634" i="3" s="1"/>
  <c r="D2634" i="3" a="1"/>
  <c r="D2634" i="3" s="1"/>
  <c r="E2634" i="3" a="1"/>
  <c r="E2634" i="3" s="1"/>
  <c r="F2634" i="3" a="1"/>
  <c r="F2634" i="3" s="1"/>
  <c r="G2634" i="3" a="1"/>
  <c r="G2634" i="3" s="1"/>
  <c r="J2634" i="3" a="1"/>
  <c r="J2634" i="3" s="1"/>
  <c r="B2635" i="3" a="1"/>
  <c r="B2635" i="3" s="1"/>
  <c r="C2635" i="3" a="1"/>
  <c r="C2635" i="3" s="1"/>
  <c r="D2635" i="3" a="1"/>
  <c r="D2635" i="3" s="1"/>
  <c r="E2635" i="3" a="1"/>
  <c r="E2635" i="3" s="1"/>
  <c r="F2635" i="3" a="1"/>
  <c r="F2635" i="3" s="1"/>
  <c r="G2635" i="3" a="1"/>
  <c r="G2635" i="3" s="1"/>
  <c r="J2635" i="3" a="1"/>
  <c r="J2635" i="3" s="1"/>
  <c r="B2636" i="3" a="1"/>
  <c r="B2636" i="3" s="1"/>
  <c r="C2636" i="3" a="1"/>
  <c r="C2636" i="3" s="1"/>
  <c r="D2636" i="3" a="1"/>
  <c r="D2636" i="3" s="1"/>
  <c r="E2636" i="3" a="1"/>
  <c r="E2636" i="3" s="1"/>
  <c r="F2636" i="3" a="1"/>
  <c r="F2636" i="3" s="1"/>
  <c r="G2636" i="3" a="1"/>
  <c r="G2636" i="3" s="1"/>
  <c r="J2636" i="3" a="1"/>
  <c r="J2636" i="3" s="1"/>
  <c r="B2637" i="3" a="1"/>
  <c r="B2637" i="3" s="1"/>
  <c r="C2637" i="3" a="1"/>
  <c r="C2637" i="3" s="1"/>
  <c r="D2637" i="3" a="1"/>
  <c r="D2637" i="3" s="1"/>
  <c r="E2637" i="3" a="1"/>
  <c r="E2637" i="3" s="1"/>
  <c r="F2637" i="3" a="1"/>
  <c r="F2637" i="3" s="1"/>
  <c r="G2637" i="3" a="1"/>
  <c r="G2637" i="3" s="1"/>
  <c r="J2637" i="3" a="1"/>
  <c r="J2637" i="3" s="1"/>
  <c r="B2638" i="3" a="1"/>
  <c r="B2638" i="3" s="1"/>
  <c r="C2638" i="3" a="1"/>
  <c r="C2638" i="3" s="1"/>
  <c r="D2638" i="3" a="1"/>
  <c r="D2638" i="3" s="1"/>
  <c r="E2638" i="3" a="1"/>
  <c r="E2638" i="3" s="1"/>
  <c r="F2638" i="3" a="1"/>
  <c r="F2638" i="3" s="1"/>
  <c r="G2638" i="3" a="1"/>
  <c r="G2638" i="3" s="1"/>
  <c r="J2638" i="3" a="1"/>
  <c r="J2638" i="3" s="1"/>
  <c r="B2639" i="3" a="1"/>
  <c r="B2639" i="3" s="1"/>
  <c r="C2639" i="3" a="1"/>
  <c r="C2639" i="3" s="1"/>
  <c r="D2639" i="3" a="1"/>
  <c r="D2639" i="3" s="1"/>
  <c r="E2639" i="3" a="1"/>
  <c r="E2639" i="3" s="1"/>
  <c r="F2639" i="3" a="1"/>
  <c r="F2639" i="3" s="1"/>
  <c r="G2639" i="3" a="1"/>
  <c r="G2639" i="3" s="1"/>
  <c r="J2639" i="3" a="1"/>
  <c r="J2639" i="3" s="1"/>
  <c r="B2640" i="3" a="1"/>
  <c r="B2640" i="3" s="1"/>
  <c r="C2640" i="3" a="1"/>
  <c r="C2640" i="3" s="1"/>
  <c r="D2640" i="3" a="1"/>
  <c r="D2640" i="3" s="1"/>
  <c r="E2640" i="3" a="1"/>
  <c r="E2640" i="3" s="1"/>
  <c r="F2640" i="3" a="1"/>
  <c r="F2640" i="3" s="1"/>
  <c r="G2640" i="3" a="1"/>
  <c r="G2640" i="3" s="1"/>
  <c r="J2640" i="3" a="1"/>
  <c r="J2640" i="3" s="1"/>
  <c r="B2641" i="3" a="1"/>
  <c r="B2641" i="3" s="1"/>
  <c r="C2641" i="3" a="1"/>
  <c r="C2641" i="3" s="1"/>
  <c r="D2641" i="3" a="1"/>
  <c r="D2641" i="3" s="1"/>
  <c r="E2641" i="3" a="1"/>
  <c r="E2641" i="3" s="1"/>
  <c r="F2641" i="3" a="1"/>
  <c r="F2641" i="3" s="1"/>
  <c r="G2641" i="3" a="1"/>
  <c r="G2641" i="3" s="1"/>
  <c r="J2641" i="3" a="1"/>
  <c r="J2641" i="3" s="1"/>
  <c r="B2642" i="3" a="1"/>
  <c r="B2642" i="3" s="1"/>
  <c r="C2642" i="3" a="1"/>
  <c r="C2642" i="3" s="1"/>
  <c r="D2642" i="3" a="1"/>
  <c r="D2642" i="3" s="1"/>
  <c r="E2642" i="3" a="1"/>
  <c r="E2642" i="3" s="1"/>
  <c r="F2642" i="3" a="1"/>
  <c r="F2642" i="3" s="1"/>
  <c r="G2642" i="3" a="1"/>
  <c r="G2642" i="3" s="1"/>
  <c r="J2642" i="3" a="1"/>
  <c r="J2642" i="3" s="1"/>
  <c r="B2643" i="3" a="1"/>
  <c r="B2643" i="3" s="1"/>
  <c r="C2643" i="3" a="1"/>
  <c r="C2643" i="3" s="1"/>
  <c r="D2643" i="3" a="1"/>
  <c r="D2643" i="3" s="1"/>
  <c r="E2643" i="3" a="1"/>
  <c r="E2643" i="3" s="1"/>
  <c r="F2643" i="3" a="1"/>
  <c r="F2643" i="3" s="1"/>
  <c r="G2643" i="3" a="1"/>
  <c r="G2643" i="3" s="1"/>
  <c r="J2643" i="3" a="1"/>
  <c r="J2643" i="3" s="1"/>
  <c r="B2644" i="3" a="1"/>
  <c r="B2644" i="3" s="1"/>
  <c r="C2644" i="3" a="1"/>
  <c r="C2644" i="3" s="1"/>
  <c r="D2644" i="3" a="1"/>
  <c r="D2644" i="3" s="1"/>
  <c r="E2644" i="3" a="1"/>
  <c r="E2644" i="3" s="1"/>
  <c r="F2644" i="3" a="1"/>
  <c r="F2644" i="3" s="1"/>
  <c r="G2644" i="3" a="1"/>
  <c r="G2644" i="3" s="1"/>
  <c r="J2644" i="3" a="1"/>
  <c r="J2644" i="3" s="1"/>
  <c r="B2645" i="3" a="1"/>
  <c r="B2645" i="3" s="1"/>
  <c r="C2645" i="3" a="1"/>
  <c r="C2645" i="3" s="1"/>
  <c r="D2645" i="3" a="1"/>
  <c r="D2645" i="3" s="1"/>
  <c r="E2645" i="3" a="1"/>
  <c r="E2645" i="3" s="1"/>
  <c r="F2645" i="3" a="1"/>
  <c r="F2645" i="3" s="1"/>
  <c r="G2645" i="3" a="1"/>
  <c r="G2645" i="3" s="1"/>
  <c r="J2645" i="3" a="1"/>
  <c r="J2645" i="3" s="1"/>
  <c r="B2646" i="3" a="1"/>
  <c r="B2646" i="3" s="1"/>
  <c r="C2646" i="3" a="1"/>
  <c r="C2646" i="3" s="1"/>
  <c r="D2646" i="3" a="1"/>
  <c r="D2646" i="3" s="1"/>
  <c r="E2646" i="3" a="1"/>
  <c r="E2646" i="3" s="1"/>
  <c r="F2646" i="3" a="1"/>
  <c r="F2646" i="3" s="1"/>
  <c r="G2646" i="3" a="1"/>
  <c r="G2646" i="3" s="1"/>
  <c r="J2646" i="3" a="1"/>
  <c r="J2646" i="3" s="1"/>
  <c r="B2647" i="3" a="1"/>
  <c r="B2647" i="3" s="1"/>
  <c r="C2647" i="3" a="1"/>
  <c r="C2647" i="3" s="1"/>
  <c r="D2647" i="3" a="1"/>
  <c r="D2647" i="3" s="1"/>
  <c r="E2647" i="3" a="1"/>
  <c r="E2647" i="3" s="1"/>
  <c r="F2647" i="3" a="1"/>
  <c r="F2647" i="3" s="1"/>
  <c r="G2647" i="3" a="1"/>
  <c r="G2647" i="3" s="1"/>
  <c r="J2647" i="3" a="1"/>
  <c r="J2647" i="3" s="1"/>
  <c r="B2648" i="3" a="1"/>
  <c r="B2648" i="3" s="1"/>
  <c r="C2648" i="3" a="1"/>
  <c r="C2648" i="3" s="1"/>
  <c r="D2648" i="3" a="1"/>
  <c r="D2648" i="3" s="1"/>
  <c r="E2648" i="3" a="1"/>
  <c r="E2648" i="3" s="1"/>
  <c r="F2648" i="3" a="1"/>
  <c r="F2648" i="3" s="1"/>
  <c r="G2648" i="3" a="1"/>
  <c r="G2648" i="3" s="1"/>
  <c r="J2648" i="3" a="1"/>
  <c r="J2648" i="3" s="1"/>
  <c r="B2649" i="3" a="1"/>
  <c r="B2649" i="3" s="1"/>
  <c r="C2649" i="3" a="1"/>
  <c r="C2649" i="3" s="1"/>
  <c r="D2649" i="3" a="1"/>
  <c r="D2649" i="3" s="1"/>
  <c r="E2649" i="3" a="1"/>
  <c r="E2649" i="3" s="1"/>
  <c r="F2649" i="3" a="1"/>
  <c r="F2649" i="3" s="1"/>
  <c r="G2649" i="3" a="1"/>
  <c r="G2649" i="3" s="1"/>
  <c r="J2649" i="3" a="1"/>
  <c r="J2649" i="3" s="1"/>
  <c r="B2650" i="3" a="1"/>
  <c r="B2650" i="3" s="1"/>
  <c r="C2650" i="3" a="1"/>
  <c r="C2650" i="3" s="1"/>
  <c r="D2650" i="3" a="1"/>
  <c r="D2650" i="3" s="1"/>
  <c r="E2650" i="3" a="1"/>
  <c r="E2650" i="3" s="1"/>
  <c r="F2650" i="3" a="1"/>
  <c r="F2650" i="3" s="1"/>
  <c r="G2650" i="3" a="1"/>
  <c r="G2650" i="3" s="1"/>
  <c r="J2650" i="3" a="1"/>
  <c r="J2650" i="3" s="1"/>
  <c r="B2651" i="3" a="1"/>
  <c r="B2651" i="3" s="1"/>
  <c r="C2651" i="3" a="1"/>
  <c r="C2651" i="3" s="1"/>
  <c r="D2651" i="3" a="1"/>
  <c r="D2651" i="3" s="1"/>
  <c r="E2651" i="3" a="1"/>
  <c r="E2651" i="3" s="1"/>
  <c r="F2651" i="3" a="1"/>
  <c r="F2651" i="3" s="1"/>
  <c r="G2651" i="3" a="1"/>
  <c r="G2651" i="3" s="1"/>
  <c r="J2651" i="3" a="1"/>
  <c r="J2651" i="3" s="1"/>
  <c r="B2652" i="3" a="1"/>
  <c r="B2652" i="3" s="1"/>
  <c r="C2652" i="3" a="1"/>
  <c r="C2652" i="3" s="1"/>
  <c r="D2652" i="3" a="1"/>
  <c r="D2652" i="3" s="1"/>
  <c r="E2652" i="3" a="1"/>
  <c r="E2652" i="3" s="1"/>
  <c r="F2652" i="3" a="1"/>
  <c r="F2652" i="3" s="1"/>
  <c r="G2652" i="3" a="1"/>
  <c r="G2652" i="3" s="1"/>
  <c r="J2652" i="3" a="1"/>
  <c r="J2652" i="3" s="1"/>
  <c r="B2653" i="3" a="1"/>
  <c r="B2653" i="3" s="1"/>
  <c r="C2653" i="3" a="1"/>
  <c r="C2653" i="3" s="1"/>
  <c r="D2653" i="3" a="1"/>
  <c r="D2653" i="3" s="1"/>
  <c r="E2653" i="3" a="1"/>
  <c r="E2653" i="3" s="1"/>
  <c r="F2653" i="3" a="1"/>
  <c r="F2653" i="3" s="1"/>
  <c r="G2653" i="3" a="1"/>
  <c r="G2653" i="3" s="1"/>
  <c r="J2653" i="3" a="1"/>
  <c r="J2653" i="3" s="1"/>
  <c r="B2654" i="3" a="1"/>
  <c r="B2654" i="3" s="1"/>
  <c r="C2654" i="3" a="1"/>
  <c r="C2654" i="3" s="1"/>
  <c r="D2654" i="3" a="1"/>
  <c r="D2654" i="3" s="1"/>
  <c r="E2654" i="3" a="1"/>
  <c r="E2654" i="3" s="1"/>
  <c r="F2654" i="3" a="1"/>
  <c r="F2654" i="3" s="1"/>
  <c r="G2654" i="3" a="1"/>
  <c r="G2654" i="3" s="1"/>
  <c r="J2654" i="3" a="1"/>
  <c r="J2654" i="3" s="1"/>
  <c r="B2655" i="3" a="1"/>
  <c r="B2655" i="3" s="1"/>
  <c r="C2655" i="3" a="1"/>
  <c r="C2655" i="3" s="1"/>
  <c r="D2655" i="3" a="1"/>
  <c r="D2655" i="3" s="1"/>
  <c r="E2655" i="3" a="1"/>
  <c r="E2655" i="3" s="1"/>
  <c r="F2655" i="3" a="1"/>
  <c r="F2655" i="3" s="1"/>
  <c r="G2655" i="3" a="1"/>
  <c r="G2655" i="3" s="1"/>
  <c r="J2655" i="3" a="1"/>
  <c r="J2655" i="3" s="1"/>
  <c r="B2656" i="3" a="1"/>
  <c r="B2656" i="3" s="1"/>
  <c r="C2656" i="3" a="1"/>
  <c r="C2656" i="3" s="1"/>
  <c r="D2656" i="3" a="1"/>
  <c r="D2656" i="3" s="1"/>
  <c r="E2656" i="3" a="1"/>
  <c r="E2656" i="3" s="1"/>
  <c r="F2656" i="3" a="1"/>
  <c r="F2656" i="3" s="1"/>
  <c r="G2656" i="3" a="1"/>
  <c r="G2656" i="3" s="1"/>
  <c r="J2656" i="3" a="1"/>
  <c r="J2656" i="3" s="1"/>
  <c r="B2657" i="3" a="1"/>
  <c r="B2657" i="3" s="1"/>
  <c r="C2657" i="3" a="1"/>
  <c r="C2657" i="3" s="1"/>
  <c r="D2657" i="3" a="1"/>
  <c r="D2657" i="3" s="1"/>
  <c r="E2657" i="3" a="1"/>
  <c r="E2657" i="3" s="1"/>
  <c r="F2657" i="3" a="1"/>
  <c r="F2657" i="3" s="1"/>
  <c r="G2657" i="3" a="1"/>
  <c r="G2657" i="3" s="1"/>
  <c r="J2657" i="3" a="1"/>
  <c r="J2657" i="3" s="1"/>
  <c r="B2658" i="3" a="1"/>
  <c r="B2658" i="3" s="1"/>
  <c r="C2658" i="3" a="1"/>
  <c r="C2658" i="3" s="1"/>
  <c r="D2658" i="3" a="1"/>
  <c r="D2658" i="3" s="1"/>
  <c r="E2658" i="3" a="1"/>
  <c r="E2658" i="3" s="1"/>
  <c r="F2658" i="3" a="1"/>
  <c r="F2658" i="3" s="1"/>
  <c r="G2658" i="3" a="1"/>
  <c r="G2658" i="3" s="1"/>
  <c r="J2658" i="3" a="1"/>
  <c r="J2658" i="3" s="1"/>
  <c r="B2659" i="3" a="1"/>
  <c r="B2659" i="3" s="1"/>
  <c r="C2659" i="3" a="1"/>
  <c r="C2659" i="3" s="1"/>
  <c r="D2659" i="3" a="1"/>
  <c r="D2659" i="3" s="1"/>
  <c r="E2659" i="3" a="1"/>
  <c r="E2659" i="3" s="1"/>
  <c r="F2659" i="3" a="1"/>
  <c r="F2659" i="3" s="1"/>
  <c r="G2659" i="3" a="1"/>
  <c r="G2659" i="3" s="1"/>
  <c r="J2659" i="3" a="1"/>
  <c r="J2659" i="3" s="1"/>
  <c r="B2660" i="3" a="1"/>
  <c r="B2660" i="3" s="1"/>
  <c r="C2660" i="3" a="1"/>
  <c r="C2660" i="3" s="1"/>
  <c r="D2660" i="3" a="1"/>
  <c r="D2660" i="3" s="1"/>
  <c r="E2660" i="3" a="1"/>
  <c r="E2660" i="3" s="1"/>
  <c r="F2660" i="3" a="1"/>
  <c r="F2660" i="3" s="1"/>
  <c r="G2660" i="3" a="1"/>
  <c r="G2660" i="3" s="1"/>
  <c r="J2660" i="3" a="1"/>
  <c r="J2660" i="3" s="1"/>
  <c r="B2661" i="3" a="1"/>
  <c r="B2661" i="3" s="1"/>
  <c r="C2661" i="3" a="1"/>
  <c r="C2661" i="3" s="1"/>
  <c r="D2661" i="3" a="1"/>
  <c r="D2661" i="3" s="1"/>
  <c r="E2661" i="3" a="1"/>
  <c r="E2661" i="3" s="1"/>
  <c r="F2661" i="3" a="1"/>
  <c r="F2661" i="3" s="1"/>
  <c r="G2661" i="3" a="1"/>
  <c r="G2661" i="3" s="1"/>
  <c r="J2661" i="3" a="1"/>
  <c r="J2661" i="3" s="1"/>
  <c r="B2662" i="3" a="1"/>
  <c r="B2662" i="3" s="1"/>
  <c r="C2662" i="3" a="1"/>
  <c r="C2662" i="3" s="1"/>
  <c r="D2662" i="3" a="1"/>
  <c r="D2662" i="3" s="1"/>
  <c r="E2662" i="3" a="1"/>
  <c r="E2662" i="3" s="1"/>
  <c r="F2662" i="3" a="1"/>
  <c r="F2662" i="3" s="1"/>
  <c r="G2662" i="3" a="1"/>
  <c r="G2662" i="3" s="1"/>
  <c r="J2662" i="3" a="1"/>
  <c r="J2662" i="3" s="1"/>
  <c r="B2663" i="3" a="1"/>
  <c r="B2663" i="3" s="1"/>
  <c r="C2663" i="3" a="1"/>
  <c r="C2663" i="3" s="1"/>
  <c r="D2663" i="3" a="1"/>
  <c r="D2663" i="3" s="1"/>
  <c r="E2663" i="3" a="1"/>
  <c r="E2663" i="3" s="1"/>
  <c r="F2663" i="3" a="1"/>
  <c r="F2663" i="3" s="1"/>
  <c r="G2663" i="3" a="1"/>
  <c r="G2663" i="3" s="1"/>
  <c r="J2663" i="3" a="1"/>
  <c r="J2663" i="3" s="1"/>
  <c r="B2664" i="3" a="1"/>
  <c r="B2664" i="3" s="1"/>
  <c r="C2664" i="3" a="1"/>
  <c r="C2664" i="3" s="1"/>
  <c r="D2664" i="3" a="1"/>
  <c r="D2664" i="3" s="1"/>
  <c r="E2664" i="3" a="1"/>
  <c r="E2664" i="3" s="1"/>
  <c r="F2664" i="3" a="1"/>
  <c r="F2664" i="3" s="1"/>
  <c r="G2664" i="3" a="1"/>
  <c r="G2664" i="3" s="1"/>
  <c r="J2664" i="3" a="1"/>
  <c r="J2664" i="3" s="1"/>
  <c r="B2665" i="3" a="1"/>
  <c r="B2665" i="3" s="1"/>
  <c r="C2665" i="3" a="1"/>
  <c r="C2665" i="3" s="1"/>
  <c r="D2665" i="3" a="1"/>
  <c r="D2665" i="3" s="1"/>
  <c r="E2665" i="3" a="1"/>
  <c r="E2665" i="3" s="1"/>
  <c r="F2665" i="3" a="1"/>
  <c r="F2665" i="3" s="1"/>
  <c r="G2665" i="3" a="1"/>
  <c r="G2665" i="3" s="1"/>
  <c r="J2665" i="3" a="1"/>
  <c r="J2665" i="3" s="1"/>
  <c r="B2666" i="3" a="1"/>
  <c r="B2666" i="3" s="1"/>
  <c r="C2666" i="3" a="1"/>
  <c r="C2666" i="3" s="1"/>
  <c r="D2666" i="3" a="1"/>
  <c r="D2666" i="3" s="1"/>
  <c r="E2666" i="3" a="1"/>
  <c r="E2666" i="3" s="1"/>
  <c r="F2666" i="3" a="1"/>
  <c r="F2666" i="3" s="1"/>
  <c r="G2666" i="3" a="1"/>
  <c r="G2666" i="3" s="1"/>
  <c r="J2666" i="3" a="1"/>
  <c r="J2666" i="3" s="1"/>
  <c r="B2667" i="3" a="1"/>
  <c r="B2667" i="3" s="1"/>
  <c r="C2667" i="3" a="1"/>
  <c r="C2667" i="3" s="1"/>
  <c r="D2667" i="3" a="1"/>
  <c r="D2667" i="3" s="1"/>
  <c r="E2667" i="3" a="1"/>
  <c r="E2667" i="3" s="1"/>
  <c r="F2667" i="3" a="1"/>
  <c r="F2667" i="3" s="1"/>
  <c r="G2667" i="3" a="1"/>
  <c r="G2667" i="3" s="1"/>
  <c r="J2667" i="3" a="1"/>
  <c r="J2667" i="3" s="1"/>
  <c r="B2668" i="3" a="1"/>
  <c r="B2668" i="3" s="1"/>
  <c r="C2668" i="3" a="1"/>
  <c r="C2668" i="3" s="1"/>
  <c r="D2668" i="3" a="1"/>
  <c r="D2668" i="3" s="1"/>
  <c r="E2668" i="3" a="1"/>
  <c r="E2668" i="3" s="1"/>
  <c r="F2668" i="3" a="1"/>
  <c r="F2668" i="3" s="1"/>
  <c r="G2668" i="3" a="1"/>
  <c r="G2668" i="3" s="1"/>
  <c r="J2668" i="3" a="1"/>
  <c r="J2668" i="3" s="1"/>
  <c r="B2669" i="3" a="1"/>
  <c r="B2669" i="3" s="1"/>
  <c r="C2669" i="3" a="1"/>
  <c r="C2669" i="3" s="1"/>
  <c r="D2669" i="3" a="1"/>
  <c r="D2669" i="3" s="1"/>
  <c r="E2669" i="3" a="1"/>
  <c r="E2669" i="3" s="1"/>
  <c r="F2669" i="3" a="1"/>
  <c r="F2669" i="3" s="1"/>
  <c r="G2669" i="3" a="1"/>
  <c r="G2669" i="3" s="1"/>
  <c r="J2669" i="3" a="1"/>
  <c r="J2669" i="3" s="1"/>
  <c r="B2670" i="3" a="1"/>
  <c r="B2670" i="3" s="1"/>
  <c r="C2670" i="3" a="1"/>
  <c r="C2670" i="3" s="1"/>
  <c r="D2670" i="3" a="1"/>
  <c r="D2670" i="3" s="1"/>
  <c r="E2670" i="3" a="1"/>
  <c r="E2670" i="3" s="1"/>
  <c r="F2670" i="3" a="1"/>
  <c r="F2670" i="3" s="1"/>
  <c r="G2670" i="3" a="1"/>
  <c r="G2670" i="3" s="1"/>
  <c r="J2670" i="3" a="1"/>
  <c r="J2670" i="3" s="1"/>
  <c r="B2671" i="3" a="1"/>
  <c r="B2671" i="3" s="1"/>
  <c r="C2671" i="3" a="1"/>
  <c r="C2671" i="3" s="1"/>
  <c r="D2671" i="3" a="1"/>
  <c r="D2671" i="3" s="1"/>
  <c r="E2671" i="3" a="1"/>
  <c r="E2671" i="3" s="1"/>
  <c r="F2671" i="3" a="1"/>
  <c r="F2671" i="3" s="1"/>
  <c r="G2671" i="3" a="1"/>
  <c r="G2671" i="3" s="1"/>
  <c r="J2671" i="3" a="1"/>
  <c r="J2671" i="3" s="1"/>
  <c r="B2672" i="3" a="1"/>
  <c r="B2672" i="3" s="1"/>
  <c r="C2672" i="3" a="1"/>
  <c r="C2672" i="3" s="1"/>
  <c r="D2672" i="3" a="1"/>
  <c r="D2672" i="3" s="1"/>
  <c r="E2672" i="3" a="1"/>
  <c r="E2672" i="3" s="1"/>
  <c r="F2672" i="3" a="1"/>
  <c r="F2672" i="3" s="1"/>
  <c r="G2672" i="3" a="1"/>
  <c r="G2672" i="3" s="1"/>
  <c r="J2672" i="3" a="1"/>
  <c r="J2672" i="3" s="1"/>
  <c r="B2673" i="3" a="1"/>
  <c r="B2673" i="3" s="1"/>
  <c r="C2673" i="3" a="1"/>
  <c r="C2673" i="3" s="1"/>
  <c r="D2673" i="3" a="1"/>
  <c r="D2673" i="3" s="1"/>
  <c r="E2673" i="3" a="1"/>
  <c r="E2673" i="3" s="1"/>
  <c r="F2673" i="3" a="1"/>
  <c r="F2673" i="3" s="1"/>
  <c r="G2673" i="3" a="1"/>
  <c r="G2673" i="3" s="1"/>
  <c r="J2673" i="3" a="1"/>
  <c r="J2673" i="3" s="1"/>
  <c r="B2674" i="3" a="1"/>
  <c r="B2674" i="3" s="1"/>
  <c r="C2674" i="3" a="1"/>
  <c r="C2674" i="3" s="1"/>
  <c r="D2674" i="3" a="1"/>
  <c r="D2674" i="3" s="1"/>
  <c r="E2674" i="3" a="1"/>
  <c r="E2674" i="3" s="1"/>
  <c r="F2674" i="3" a="1"/>
  <c r="F2674" i="3" s="1"/>
  <c r="G2674" i="3" a="1"/>
  <c r="G2674" i="3" s="1"/>
  <c r="J2674" i="3" a="1"/>
  <c r="J2674" i="3" s="1"/>
  <c r="B2675" i="3" a="1"/>
  <c r="B2675" i="3" s="1"/>
  <c r="C2675" i="3" a="1"/>
  <c r="C2675" i="3" s="1"/>
  <c r="D2675" i="3" a="1"/>
  <c r="D2675" i="3" s="1"/>
  <c r="E2675" i="3" a="1"/>
  <c r="E2675" i="3" s="1"/>
  <c r="F2675" i="3" a="1"/>
  <c r="F2675" i="3" s="1"/>
  <c r="G2675" i="3" a="1"/>
  <c r="G2675" i="3" s="1"/>
  <c r="J2675" i="3" a="1"/>
  <c r="J2675" i="3" s="1"/>
  <c r="B2676" i="3" a="1"/>
  <c r="B2676" i="3" s="1"/>
  <c r="C2676" i="3" a="1"/>
  <c r="C2676" i="3" s="1"/>
  <c r="D2676" i="3" a="1"/>
  <c r="D2676" i="3" s="1"/>
  <c r="E2676" i="3" a="1"/>
  <c r="E2676" i="3" s="1"/>
  <c r="F2676" i="3" a="1"/>
  <c r="F2676" i="3" s="1"/>
  <c r="G2676" i="3" a="1"/>
  <c r="G2676" i="3" s="1"/>
  <c r="J2676" i="3" a="1"/>
  <c r="J2676" i="3" s="1"/>
  <c r="B2677" i="3" a="1"/>
  <c r="B2677" i="3" s="1"/>
  <c r="C2677" i="3" a="1"/>
  <c r="C2677" i="3" s="1"/>
  <c r="D2677" i="3" a="1"/>
  <c r="D2677" i="3" s="1"/>
  <c r="E2677" i="3" a="1"/>
  <c r="E2677" i="3" s="1"/>
  <c r="F2677" i="3" a="1"/>
  <c r="F2677" i="3" s="1"/>
  <c r="G2677" i="3" a="1"/>
  <c r="G2677" i="3" s="1"/>
  <c r="J2677" i="3" a="1"/>
  <c r="J2677" i="3" s="1"/>
  <c r="B2678" i="3" a="1"/>
  <c r="B2678" i="3" s="1"/>
  <c r="C2678" i="3" a="1"/>
  <c r="C2678" i="3" s="1"/>
  <c r="D2678" i="3" a="1"/>
  <c r="D2678" i="3" s="1"/>
  <c r="E2678" i="3" a="1"/>
  <c r="E2678" i="3" s="1"/>
  <c r="F2678" i="3" a="1"/>
  <c r="F2678" i="3" s="1"/>
  <c r="G2678" i="3" a="1"/>
  <c r="G2678" i="3" s="1"/>
  <c r="J2678" i="3" a="1"/>
  <c r="J2678" i="3" s="1"/>
  <c r="B2679" i="3" a="1"/>
  <c r="B2679" i="3" s="1"/>
  <c r="C2679" i="3" a="1"/>
  <c r="C2679" i="3" s="1"/>
  <c r="D2679" i="3" a="1"/>
  <c r="D2679" i="3" s="1"/>
  <c r="E2679" i="3" a="1"/>
  <c r="E2679" i="3" s="1"/>
  <c r="F2679" i="3" a="1"/>
  <c r="F2679" i="3" s="1"/>
  <c r="G2679" i="3" a="1"/>
  <c r="G2679" i="3" s="1"/>
  <c r="J2679" i="3" a="1"/>
  <c r="J2679" i="3" s="1"/>
  <c r="B2680" i="3" a="1"/>
  <c r="B2680" i="3" s="1"/>
  <c r="C2680" i="3" a="1"/>
  <c r="C2680" i="3" s="1"/>
  <c r="D2680" i="3" a="1"/>
  <c r="D2680" i="3" s="1"/>
  <c r="E2680" i="3" a="1"/>
  <c r="E2680" i="3" s="1"/>
  <c r="F2680" i="3" a="1"/>
  <c r="F2680" i="3" s="1"/>
  <c r="G2680" i="3" a="1"/>
  <c r="G2680" i="3" s="1"/>
  <c r="J2680" i="3" a="1"/>
  <c r="J2680" i="3" s="1"/>
  <c r="B2681" i="3" a="1"/>
  <c r="B2681" i="3" s="1"/>
  <c r="C2681" i="3" a="1"/>
  <c r="C2681" i="3" s="1"/>
  <c r="D2681" i="3" a="1"/>
  <c r="D2681" i="3" s="1"/>
  <c r="E2681" i="3" a="1"/>
  <c r="E2681" i="3" s="1"/>
  <c r="F2681" i="3" a="1"/>
  <c r="F2681" i="3" s="1"/>
  <c r="G2681" i="3" a="1"/>
  <c r="G2681" i="3" s="1"/>
  <c r="J2681" i="3" a="1"/>
  <c r="J2681" i="3" s="1"/>
  <c r="B2682" i="3" a="1"/>
  <c r="B2682" i="3" s="1"/>
  <c r="C2682" i="3" a="1"/>
  <c r="C2682" i="3" s="1"/>
  <c r="D2682" i="3" a="1"/>
  <c r="D2682" i="3" s="1"/>
  <c r="E2682" i="3" a="1"/>
  <c r="E2682" i="3" s="1"/>
  <c r="F2682" i="3" a="1"/>
  <c r="F2682" i="3" s="1"/>
  <c r="G2682" i="3" a="1"/>
  <c r="G2682" i="3" s="1"/>
  <c r="J2682" i="3" a="1"/>
  <c r="J2682" i="3" s="1"/>
  <c r="B2683" i="3" a="1"/>
  <c r="B2683" i="3" s="1"/>
  <c r="C2683" i="3" a="1"/>
  <c r="C2683" i="3" s="1"/>
  <c r="D2683" i="3" a="1"/>
  <c r="D2683" i="3" s="1"/>
  <c r="E2683" i="3" a="1"/>
  <c r="E2683" i="3" s="1"/>
  <c r="F2683" i="3" a="1"/>
  <c r="F2683" i="3" s="1"/>
  <c r="G2683" i="3" a="1"/>
  <c r="G2683" i="3" s="1"/>
  <c r="J2683" i="3" a="1"/>
  <c r="J2683" i="3" s="1"/>
  <c r="B2684" i="3" a="1"/>
  <c r="B2684" i="3" s="1"/>
  <c r="C2684" i="3" a="1"/>
  <c r="C2684" i="3" s="1"/>
  <c r="D2684" i="3" a="1"/>
  <c r="D2684" i="3" s="1"/>
  <c r="E2684" i="3" a="1"/>
  <c r="E2684" i="3" s="1"/>
  <c r="F2684" i="3" a="1"/>
  <c r="F2684" i="3" s="1"/>
  <c r="G2684" i="3" a="1"/>
  <c r="G2684" i="3" s="1"/>
  <c r="J2684" i="3" a="1"/>
  <c r="J2684" i="3" s="1"/>
  <c r="B2685" i="3" a="1"/>
  <c r="B2685" i="3" s="1"/>
  <c r="C2685" i="3" a="1"/>
  <c r="C2685" i="3" s="1"/>
  <c r="D2685" i="3" a="1"/>
  <c r="D2685" i="3" s="1"/>
  <c r="E2685" i="3" a="1"/>
  <c r="E2685" i="3" s="1"/>
  <c r="F2685" i="3" a="1"/>
  <c r="F2685" i="3" s="1"/>
  <c r="G2685" i="3" a="1"/>
  <c r="G2685" i="3" s="1"/>
  <c r="J2685" i="3" a="1"/>
  <c r="J2685" i="3" s="1"/>
  <c r="B2686" i="3" a="1"/>
  <c r="B2686" i="3" s="1"/>
  <c r="C2686" i="3" a="1"/>
  <c r="C2686" i="3" s="1"/>
  <c r="D2686" i="3" a="1"/>
  <c r="D2686" i="3" s="1"/>
  <c r="E2686" i="3" a="1"/>
  <c r="E2686" i="3" s="1"/>
  <c r="F2686" i="3" a="1"/>
  <c r="F2686" i="3" s="1"/>
  <c r="G2686" i="3" a="1"/>
  <c r="G2686" i="3" s="1"/>
  <c r="J2686" i="3" a="1"/>
  <c r="J2686" i="3" s="1"/>
  <c r="B2687" i="3" a="1"/>
  <c r="B2687" i="3" s="1"/>
  <c r="C2687" i="3" a="1"/>
  <c r="C2687" i="3" s="1"/>
  <c r="D2687" i="3" a="1"/>
  <c r="D2687" i="3" s="1"/>
  <c r="E2687" i="3" a="1"/>
  <c r="E2687" i="3" s="1"/>
  <c r="F2687" i="3" a="1"/>
  <c r="F2687" i="3" s="1"/>
  <c r="G2687" i="3" a="1"/>
  <c r="G2687" i="3" s="1"/>
  <c r="J2687" i="3" a="1"/>
  <c r="J2687" i="3" s="1"/>
  <c r="B2688" i="3" a="1"/>
  <c r="B2688" i="3" s="1"/>
  <c r="C2688" i="3" a="1"/>
  <c r="C2688" i="3" s="1"/>
  <c r="D2688" i="3" a="1"/>
  <c r="D2688" i="3" s="1"/>
  <c r="E2688" i="3" a="1"/>
  <c r="E2688" i="3" s="1"/>
  <c r="F2688" i="3" a="1"/>
  <c r="F2688" i="3" s="1"/>
  <c r="G2688" i="3" a="1"/>
  <c r="G2688" i="3" s="1"/>
  <c r="J2688" i="3" a="1"/>
  <c r="J2688" i="3" s="1"/>
  <c r="B2689" i="3" a="1"/>
  <c r="B2689" i="3" s="1"/>
  <c r="C2689" i="3" a="1"/>
  <c r="C2689" i="3" s="1"/>
  <c r="D2689" i="3" a="1"/>
  <c r="D2689" i="3" s="1"/>
  <c r="E2689" i="3" a="1"/>
  <c r="E2689" i="3" s="1"/>
  <c r="F2689" i="3" a="1"/>
  <c r="F2689" i="3" s="1"/>
  <c r="G2689" i="3" a="1"/>
  <c r="G2689" i="3" s="1"/>
  <c r="J2689" i="3" a="1"/>
  <c r="J2689" i="3" s="1"/>
  <c r="B2690" i="3" a="1"/>
  <c r="B2690" i="3" s="1"/>
  <c r="C2690" i="3" a="1"/>
  <c r="C2690" i="3" s="1"/>
  <c r="D2690" i="3" a="1"/>
  <c r="D2690" i="3" s="1"/>
  <c r="E2690" i="3" a="1"/>
  <c r="E2690" i="3" s="1"/>
  <c r="F2690" i="3" a="1"/>
  <c r="F2690" i="3" s="1"/>
  <c r="G2690" i="3" a="1"/>
  <c r="G2690" i="3" s="1"/>
  <c r="J2690" i="3" a="1"/>
  <c r="J2690" i="3" s="1"/>
  <c r="B2691" i="3" a="1"/>
  <c r="B2691" i="3" s="1"/>
  <c r="C2691" i="3" a="1"/>
  <c r="C2691" i="3" s="1"/>
  <c r="D2691" i="3" a="1"/>
  <c r="D2691" i="3" s="1"/>
  <c r="E2691" i="3" a="1"/>
  <c r="E2691" i="3" s="1"/>
  <c r="F2691" i="3" a="1"/>
  <c r="F2691" i="3" s="1"/>
  <c r="G2691" i="3" a="1"/>
  <c r="G2691" i="3" s="1"/>
  <c r="J2691" i="3" a="1"/>
  <c r="J2691" i="3" s="1"/>
  <c r="B2692" i="3" a="1"/>
  <c r="B2692" i="3" s="1"/>
  <c r="C2692" i="3" a="1"/>
  <c r="C2692" i="3" s="1"/>
  <c r="D2692" i="3" a="1"/>
  <c r="D2692" i="3" s="1"/>
  <c r="E2692" i="3" a="1"/>
  <c r="E2692" i="3" s="1"/>
  <c r="F2692" i="3" a="1"/>
  <c r="F2692" i="3" s="1"/>
  <c r="G2692" i="3" a="1"/>
  <c r="G2692" i="3" s="1"/>
  <c r="J2692" i="3" a="1"/>
  <c r="J2692" i="3" s="1"/>
  <c r="B2693" i="3" a="1"/>
  <c r="B2693" i="3" s="1"/>
  <c r="C2693" i="3" a="1"/>
  <c r="C2693" i="3" s="1"/>
  <c r="D2693" i="3" a="1"/>
  <c r="D2693" i="3" s="1"/>
  <c r="E2693" i="3" a="1"/>
  <c r="E2693" i="3" s="1"/>
  <c r="F2693" i="3" a="1"/>
  <c r="F2693" i="3" s="1"/>
  <c r="G2693" i="3" a="1"/>
  <c r="G2693" i="3" s="1"/>
  <c r="J2693" i="3" a="1"/>
  <c r="J2693" i="3" s="1"/>
  <c r="B2694" i="3" a="1"/>
  <c r="B2694" i="3" s="1"/>
  <c r="C2694" i="3" a="1"/>
  <c r="C2694" i="3" s="1"/>
  <c r="D2694" i="3" a="1"/>
  <c r="D2694" i="3" s="1"/>
  <c r="E2694" i="3" a="1"/>
  <c r="E2694" i="3" s="1"/>
  <c r="F2694" i="3" a="1"/>
  <c r="F2694" i="3" s="1"/>
  <c r="G2694" i="3" a="1"/>
  <c r="G2694" i="3" s="1"/>
  <c r="J2694" i="3" a="1"/>
  <c r="J2694" i="3" s="1"/>
  <c r="B2695" i="3" a="1"/>
  <c r="B2695" i="3" s="1"/>
  <c r="C2695" i="3" a="1"/>
  <c r="C2695" i="3" s="1"/>
  <c r="D2695" i="3" a="1"/>
  <c r="D2695" i="3" s="1"/>
  <c r="E2695" i="3" a="1"/>
  <c r="E2695" i="3" s="1"/>
  <c r="F2695" i="3" a="1"/>
  <c r="F2695" i="3" s="1"/>
  <c r="G2695" i="3" a="1"/>
  <c r="G2695" i="3" s="1"/>
  <c r="J2695" i="3" a="1"/>
  <c r="J2695" i="3" s="1"/>
  <c r="B2696" i="3" a="1"/>
  <c r="B2696" i="3" s="1"/>
  <c r="C2696" i="3" a="1"/>
  <c r="C2696" i="3" s="1"/>
  <c r="D2696" i="3" a="1"/>
  <c r="D2696" i="3" s="1"/>
  <c r="E2696" i="3" a="1"/>
  <c r="E2696" i="3" s="1"/>
  <c r="F2696" i="3" a="1"/>
  <c r="F2696" i="3" s="1"/>
  <c r="G2696" i="3" a="1"/>
  <c r="G2696" i="3" s="1"/>
  <c r="J2696" i="3" a="1"/>
  <c r="J2696" i="3" s="1"/>
  <c r="B2697" i="3" a="1"/>
  <c r="B2697" i="3" s="1"/>
  <c r="C2697" i="3" a="1"/>
  <c r="C2697" i="3" s="1"/>
  <c r="D2697" i="3" a="1"/>
  <c r="D2697" i="3" s="1"/>
  <c r="E2697" i="3" a="1"/>
  <c r="E2697" i="3" s="1"/>
  <c r="F2697" i="3" a="1"/>
  <c r="F2697" i="3" s="1"/>
  <c r="G2697" i="3" a="1"/>
  <c r="G2697" i="3" s="1"/>
  <c r="J2697" i="3" a="1"/>
  <c r="J2697" i="3" s="1"/>
  <c r="B2698" i="3" a="1"/>
  <c r="B2698" i="3" s="1"/>
  <c r="C2698" i="3" a="1"/>
  <c r="C2698" i="3" s="1"/>
  <c r="D2698" i="3" a="1"/>
  <c r="D2698" i="3" s="1"/>
  <c r="E2698" i="3" a="1"/>
  <c r="E2698" i="3" s="1"/>
  <c r="F2698" i="3" a="1"/>
  <c r="F2698" i="3" s="1"/>
  <c r="G2698" i="3" a="1"/>
  <c r="G2698" i="3" s="1"/>
  <c r="J2698" i="3" a="1"/>
  <c r="J2698" i="3" s="1"/>
  <c r="B2699" i="3" a="1"/>
  <c r="B2699" i="3" s="1"/>
  <c r="C2699" i="3" a="1"/>
  <c r="C2699" i="3" s="1"/>
  <c r="D2699" i="3" a="1"/>
  <c r="D2699" i="3" s="1"/>
  <c r="E2699" i="3" a="1"/>
  <c r="E2699" i="3" s="1"/>
  <c r="F2699" i="3" a="1"/>
  <c r="F2699" i="3" s="1"/>
  <c r="G2699" i="3" a="1"/>
  <c r="G2699" i="3" s="1"/>
  <c r="J2699" i="3" a="1"/>
  <c r="J2699" i="3" s="1"/>
  <c r="B2700" i="3" a="1"/>
  <c r="B2700" i="3" s="1"/>
  <c r="C2700" i="3" a="1"/>
  <c r="C2700" i="3" s="1"/>
  <c r="D2700" i="3" a="1"/>
  <c r="D2700" i="3" s="1"/>
  <c r="E2700" i="3" a="1"/>
  <c r="E2700" i="3" s="1"/>
  <c r="F2700" i="3" a="1"/>
  <c r="F2700" i="3" s="1"/>
  <c r="G2700" i="3" a="1"/>
  <c r="G2700" i="3" s="1"/>
  <c r="J2700" i="3" a="1"/>
  <c r="J2700" i="3" s="1"/>
  <c r="B2701" i="3" a="1"/>
  <c r="B2701" i="3" s="1"/>
  <c r="C2701" i="3" a="1"/>
  <c r="C2701" i="3" s="1"/>
  <c r="D2701" i="3" a="1"/>
  <c r="D2701" i="3" s="1"/>
  <c r="E2701" i="3" a="1"/>
  <c r="E2701" i="3" s="1"/>
  <c r="F2701" i="3" a="1"/>
  <c r="F2701" i="3" s="1"/>
  <c r="G2701" i="3" a="1"/>
  <c r="G2701" i="3" s="1"/>
  <c r="J2701" i="3" a="1"/>
  <c r="J2701" i="3" s="1"/>
  <c r="B2702" i="3" a="1"/>
  <c r="B2702" i="3" s="1"/>
  <c r="C2702" i="3" a="1"/>
  <c r="C2702" i="3" s="1"/>
  <c r="D2702" i="3" a="1"/>
  <c r="D2702" i="3" s="1"/>
  <c r="E2702" i="3" a="1"/>
  <c r="E2702" i="3" s="1"/>
  <c r="F2702" i="3" a="1"/>
  <c r="F2702" i="3" s="1"/>
  <c r="G2702" i="3" a="1"/>
  <c r="G2702" i="3" s="1"/>
  <c r="J2702" i="3" a="1"/>
  <c r="J2702" i="3" s="1"/>
  <c r="B2703" i="3" a="1"/>
  <c r="B2703" i="3" s="1"/>
  <c r="C2703" i="3" a="1"/>
  <c r="C2703" i="3" s="1"/>
  <c r="D2703" i="3" a="1"/>
  <c r="D2703" i="3" s="1"/>
  <c r="E2703" i="3" a="1"/>
  <c r="E2703" i="3" s="1"/>
  <c r="F2703" i="3" a="1"/>
  <c r="F2703" i="3" s="1"/>
  <c r="G2703" i="3" a="1"/>
  <c r="G2703" i="3" s="1"/>
  <c r="J2703" i="3" a="1"/>
  <c r="J2703" i="3" s="1"/>
  <c r="B2704" i="3" a="1"/>
  <c r="B2704" i="3" s="1"/>
  <c r="C2704" i="3" a="1"/>
  <c r="C2704" i="3" s="1"/>
  <c r="D2704" i="3" a="1"/>
  <c r="D2704" i="3" s="1"/>
  <c r="E2704" i="3" a="1"/>
  <c r="E2704" i="3" s="1"/>
  <c r="F2704" i="3" a="1"/>
  <c r="F2704" i="3" s="1"/>
  <c r="G2704" i="3" a="1"/>
  <c r="G2704" i="3" s="1"/>
  <c r="J2704" i="3" a="1"/>
  <c r="J2704" i="3" s="1"/>
  <c r="B2705" i="3" a="1"/>
  <c r="B2705" i="3" s="1"/>
  <c r="C2705" i="3" a="1"/>
  <c r="C2705" i="3" s="1"/>
  <c r="D2705" i="3" a="1"/>
  <c r="D2705" i="3" s="1"/>
  <c r="E2705" i="3" a="1"/>
  <c r="E2705" i="3" s="1"/>
  <c r="F2705" i="3" a="1"/>
  <c r="F2705" i="3" s="1"/>
  <c r="G2705" i="3" a="1"/>
  <c r="G2705" i="3" s="1"/>
  <c r="J2705" i="3" a="1"/>
  <c r="J2705" i="3" s="1"/>
  <c r="B2706" i="3" a="1"/>
  <c r="B2706" i="3" s="1"/>
  <c r="C2706" i="3" a="1"/>
  <c r="C2706" i="3" s="1"/>
  <c r="D2706" i="3" a="1"/>
  <c r="D2706" i="3" s="1"/>
  <c r="E2706" i="3" a="1"/>
  <c r="E2706" i="3" s="1"/>
  <c r="F2706" i="3" a="1"/>
  <c r="F2706" i="3" s="1"/>
  <c r="G2706" i="3" a="1"/>
  <c r="G2706" i="3" s="1"/>
  <c r="J2706" i="3" a="1"/>
  <c r="J2706" i="3" s="1"/>
  <c r="B2707" i="3" a="1"/>
  <c r="B2707" i="3" s="1"/>
  <c r="C2707" i="3" a="1"/>
  <c r="C2707" i="3" s="1"/>
  <c r="D2707" i="3" a="1"/>
  <c r="D2707" i="3" s="1"/>
  <c r="E2707" i="3" a="1"/>
  <c r="E2707" i="3" s="1"/>
  <c r="F2707" i="3" a="1"/>
  <c r="F2707" i="3" s="1"/>
  <c r="G2707" i="3" a="1"/>
  <c r="G2707" i="3" s="1"/>
  <c r="J2707" i="3" a="1"/>
  <c r="J2707" i="3" s="1"/>
  <c r="B2708" i="3" a="1"/>
  <c r="B2708" i="3" s="1"/>
  <c r="C2708" i="3" a="1"/>
  <c r="C2708" i="3" s="1"/>
  <c r="D2708" i="3" a="1"/>
  <c r="D2708" i="3" s="1"/>
  <c r="E2708" i="3" a="1"/>
  <c r="E2708" i="3" s="1"/>
  <c r="F2708" i="3" a="1"/>
  <c r="F2708" i="3" s="1"/>
  <c r="G2708" i="3" a="1"/>
  <c r="G2708" i="3" s="1"/>
  <c r="J2708" i="3" a="1"/>
  <c r="J2708" i="3" s="1"/>
  <c r="B2709" i="3" a="1"/>
  <c r="B2709" i="3" s="1"/>
  <c r="C2709" i="3" a="1"/>
  <c r="C2709" i="3" s="1"/>
  <c r="D2709" i="3" a="1"/>
  <c r="D2709" i="3" s="1"/>
  <c r="E2709" i="3" a="1"/>
  <c r="E2709" i="3" s="1"/>
  <c r="F2709" i="3" a="1"/>
  <c r="F2709" i="3" s="1"/>
  <c r="G2709" i="3" a="1"/>
  <c r="G2709" i="3" s="1"/>
  <c r="J2709" i="3" a="1"/>
  <c r="J2709" i="3" s="1"/>
  <c r="B2710" i="3" a="1"/>
  <c r="B2710" i="3" s="1"/>
  <c r="C2710" i="3" a="1"/>
  <c r="C2710" i="3" s="1"/>
  <c r="D2710" i="3" a="1"/>
  <c r="D2710" i="3" s="1"/>
  <c r="E2710" i="3" a="1"/>
  <c r="E2710" i="3" s="1"/>
  <c r="F2710" i="3" a="1"/>
  <c r="F2710" i="3" s="1"/>
  <c r="G2710" i="3" a="1"/>
  <c r="G2710" i="3" s="1"/>
  <c r="J2710" i="3" a="1"/>
  <c r="J2710" i="3" s="1"/>
  <c r="B2711" i="3" a="1"/>
  <c r="B2711" i="3" s="1"/>
  <c r="C2711" i="3" a="1"/>
  <c r="C2711" i="3" s="1"/>
  <c r="D2711" i="3" a="1"/>
  <c r="D2711" i="3" s="1"/>
  <c r="E2711" i="3" a="1"/>
  <c r="E2711" i="3" s="1"/>
  <c r="F2711" i="3" a="1"/>
  <c r="F2711" i="3" s="1"/>
  <c r="G2711" i="3" a="1"/>
  <c r="G2711" i="3" s="1"/>
  <c r="J2711" i="3" a="1"/>
  <c r="J2711" i="3" s="1"/>
  <c r="B2712" i="3" a="1"/>
  <c r="B2712" i="3" s="1"/>
  <c r="C2712" i="3" a="1"/>
  <c r="C2712" i="3" s="1"/>
  <c r="D2712" i="3" a="1"/>
  <c r="D2712" i="3" s="1"/>
  <c r="E2712" i="3" a="1"/>
  <c r="E2712" i="3" s="1"/>
  <c r="F2712" i="3" a="1"/>
  <c r="F2712" i="3" s="1"/>
  <c r="G2712" i="3" a="1"/>
  <c r="G2712" i="3" s="1"/>
  <c r="J2712" i="3" a="1"/>
  <c r="J2712" i="3" s="1"/>
  <c r="B2713" i="3" a="1"/>
  <c r="B2713" i="3" s="1"/>
  <c r="C2713" i="3" a="1"/>
  <c r="C2713" i="3" s="1"/>
  <c r="D2713" i="3" a="1"/>
  <c r="D2713" i="3" s="1"/>
  <c r="E2713" i="3" a="1"/>
  <c r="E2713" i="3" s="1"/>
  <c r="F2713" i="3" a="1"/>
  <c r="F2713" i="3" s="1"/>
  <c r="G2713" i="3" a="1"/>
  <c r="G2713" i="3" s="1"/>
  <c r="J2713" i="3" a="1"/>
  <c r="J2713" i="3" s="1"/>
  <c r="B2714" i="3" a="1"/>
  <c r="B2714" i="3" s="1"/>
  <c r="C2714" i="3" a="1"/>
  <c r="C2714" i="3" s="1"/>
  <c r="D2714" i="3" a="1"/>
  <c r="D2714" i="3" s="1"/>
  <c r="E2714" i="3" a="1"/>
  <c r="E2714" i="3" s="1"/>
  <c r="F2714" i="3" a="1"/>
  <c r="F2714" i="3" s="1"/>
  <c r="G2714" i="3" a="1"/>
  <c r="G2714" i="3" s="1"/>
  <c r="J2714" i="3" a="1"/>
  <c r="J2714" i="3" s="1"/>
  <c r="B2715" i="3" a="1"/>
  <c r="B2715" i="3" s="1"/>
  <c r="C2715" i="3" a="1"/>
  <c r="C2715" i="3" s="1"/>
  <c r="D2715" i="3" a="1"/>
  <c r="D2715" i="3" s="1"/>
  <c r="E2715" i="3" a="1"/>
  <c r="E2715" i="3" s="1"/>
  <c r="F2715" i="3" a="1"/>
  <c r="F2715" i="3" s="1"/>
  <c r="G2715" i="3" a="1"/>
  <c r="G2715" i="3" s="1"/>
  <c r="J2715" i="3" a="1"/>
  <c r="J2715" i="3" s="1"/>
  <c r="B2716" i="3" a="1"/>
  <c r="B2716" i="3" s="1"/>
  <c r="C2716" i="3" a="1"/>
  <c r="C2716" i="3" s="1"/>
  <c r="D2716" i="3" a="1"/>
  <c r="D2716" i="3" s="1"/>
  <c r="E2716" i="3" a="1"/>
  <c r="E2716" i="3" s="1"/>
  <c r="F2716" i="3" a="1"/>
  <c r="F2716" i="3" s="1"/>
  <c r="G2716" i="3" a="1"/>
  <c r="G2716" i="3" s="1"/>
  <c r="J2716" i="3" a="1"/>
  <c r="J2716" i="3" s="1"/>
  <c r="B2717" i="3" a="1"/>
  <c r="B2717" i="3" s="1"/>
  <c r="C2717" i="3" a="1"/>
  <c r="C2717" i="3" s="1"/>
  <c r="D2717" i="3" a="1"/>
  <c r="D2717" i="3" s="1"/>
  <c r="E2717" i="3" a="1"/>
  <c r="E2717" i="3" s="1"/>
  <c r="F2717" i="3" a="1"/>
  <c r="F2717" i="3" s="1"/>
  <c r="G2717" i="3" a="1"/>
  <c r="G2717" i="3" s="1"/>
  <c r="J2717" i="3" a="1"/>
  <c r="J2717" i="3" s="1"/>
  <c r="B2718" i="3" a="1"/>
  <c r="B2718" i="3" s="1"/>
  <c r="C2718" i="3" a="1"/>
  <c r="C2718" i="3" s="1"/>
  <c r="D2718" i="3" a="1"/>
  <c r="D2718" i="3" s="1"/>
  <c r="E2718" i="3" a="1"/>
  <c r="E2718" i="3" s="1"/>
  <c r="F2718" i="3" a="1"/>
  <c r="F2718" i="3" s="1"/>
  <c r="G2718" i="3" a="1"/>
  <c r="G2718" i="3" s="1"/>
  <c r="J2718" i="3" a="1"/>
  <c r="J2718" i="3" s="1"/>
  <c r="B2719" i="3" a="1"/>
  <c r="B2719" i="3" s="1"/>
  <c r="C2719" i="3" a="1"/>
  <c r="C2719" i="3" s="1"/>
  <c r="D2719" i="3" a="1"/>
  <c r="D2719" i="3" s="1"/>
  <c r="E2719" i="3" a="1"/>
  <c r="E2719" i="3" s="1"/>
  <c r="F2719" i="3" a="1"/>
  <c r="F2719" i="3" s="1"/>
  <c r="G2719" i="3" a="1"/>
  <c r="G2719" i="3" s="1"/>
  <c r="J2719" i="3" a="1"/>
  <c r="J2719" i="3" s="1"/>
  <c r="B2720" i="3" a="1"/>
  <c r="B2720" i="3" s="1"/>
  <c r="C2720" i="3" a="1"/>
  <c r="C2720" i="3" s="1"/>
  <c r="D2720" i="3" a="1"/>
  <c r="D2720" i="3" s="1"/>
  <c r="E2720" i="3" a="1"/>
  <c r="E2720" i="3" s="1"/>
  <c r="F2720" i="3" a="1"/>
  <c r="F2720" i="3" s="1"/>
  <c r="G2720" i="3" a="1"/>
  <c r="G2720" i="3" s="1"/>
  <c r="J2720" i="3" a="1"/>
  <c r="J2720" i="3" s="1"/>
  <c r="B2721" i="3" a="1"/>
  <c r="B2721" i="3" s="1"/>
  <c r="C2721" i="3" a="1"/>
  <c r="C2721" i="3" s="1"/>
  <c r="D2721" i="3" a="1"/>
  <c r="D2721" i="3" s="1"/>
  <c r="E2721" i="3" a="1"/>
  <c r="E2721" i="3" s="1"/>
  <c r="F2721" i="3" a="1"/>
  <c r="F2721" i="3" s="1"/>
  <c r="G2721" i="3" a="1"/>
  <c r="G2721" i="3" s="1"/>
  <c r="J2721" i="3" a="1"/>
  <c r="J2721" i="3" s="1"/>
  <c r="B2722" i="3" a="1"/>
  <c r="B2722" i="3" s="1"/>
  <c r="C2722" i="3" a="1"/>
  <c r="C2722" i="3" s="1"/>
  <c r="D2722" i="3" a="1"/>
  <c r="D2722" i="3" s="1"/>
  <c r="E2722" i="3" a="1"/>
  <c r="E2722" i="3" s="1"/>
  <c r="F2722" i="3" a="1"/>
  <c r="F2722" i="3" s="1"/>
  <c r="G2722" i="3" a="1"/>
  <c r="G2722" i="3" s="1"/>
  <c r="J2722" i="3" a="1"/>
  <c r="J2722" i="3" s="1"/>
  <c r="B2723" i="3" a="1"/>
  <c r="B2723" i="3" s="1"/>
  <c r="C2723" i="3" a="1"/>
  <c r="C2723" i="3" s="1"/>
  <c r="D2723" i="3" a="1"/>
  <c r="D2723" i="3" s="1"/>
  <c r="E2723" i="3" a="1"/>
  <c r="E2723" i="3" s="1"/>
  <c r="F2723" i="3" a="1"/>
  <c r="F2723" i="3" s="1"/>
  <c r="G2723" i="3" a="1"/>
  <c r="G2723" i="3" s="1"/>
  <c r="J2723" i="3" a="1"/>
  <c r="J2723" i="3" s="1"/>
  <c r="B2724" i="3" a="1"/>
  <c r="B2724" i="3" s="1"/>
  <c r="C2724" i="3" a="1"/>
  <c r="C2724" i="3" s="1"/>
  <c r="D2724" i="3" a="1"/>
  <c r="D2724" i="3" s="1"/>
  <c r="E2724" i="3" a="1"/>
  <c r="E2724" i="3" s="1"/>
  <c r="F2724" i="3" a="1"/>
  <c r="F2724" i="3" s="1"/>
  <c r="G2724" i="3" a="1"/>
  <c r="G2724" i="3" s="1"/>
  <c r="J2724" i="3" a="1"/>
  <c r="J2724" i="3" s="1"/>
  <c r="B2725" i="3" a="1"/>
  <c r="B2725" i="3" s="1"/>
  <c r="C2725" i="3" a="1"/>
  <c r="C2725" i="3" s="1"/>
  <c r="D2725" i="3" a="1"/>
  <c r="D2725" i="3" s="1"/>
  <c r="E2725" i="3" a="1"/>
  <c r="E2725" i="3" s="1"/>
  <c r="F2725" i="3" a="1"/>
  <c r="F2725" i="3" s="1"/>
  <c r="G2725" i="3" a="1"/>
  <c r="G2725" i="3" s="1"/>
  <c r="J2725" i="3" a="1"/>
  <c r="J2725" i="3" s="1"/>
  <c r="B2726" i="3" a="1"/>
  <c r="B2726" i="3" s="1"/>
  <c r="C2726" i="3" a="1"/>
  <c r="C2726" i="3" s="1"/>
  <c r="D2726" i="3" a="1"/>
  <c r="D2726" i="3" s="1"/>
  <c r="E2726" i="3" a="1"/>
  <c r="E2726" i="3" s="1"/>
  <c r="F2726" i="3" a="1"/>
  <c r="F2726" i="3" s="1"/>
  <c r="G2726" i="3" a="1"/>
  <c r="G2726" i="3" s="1"/>
  <c r="J2726" i="3" a="1"/>
  <c r="J2726" i="3" s="1"/>
  <c r="B2727" i="3" a="1"/>
  <c r="B2727" i="3" s="1"/>
  <c r="C2727" i="3" a="1"/>
  <c r="C2727" i="3" s="1"/>
  <c r="D2727" i="3" a="1"/>
  <c r="D2727" i="3" s="1"/>
  <c r="E2727" i="3" a="1"/>
  <c r="E2727" i="3" s="1"/>
  <c r="F2727" i="3" a="1"/>
  <c r="F2727" i="3" s="1"/>
  <c r="G2727" i="3" a="1"/>
  <c r="G2727" i="3" s="1"/>
  <c r="J2727" i="3" a="1"/>
  <c r="J2727" i="3" s="1"/>
  <c r="B2728" i="3" a="1"/>
  <c r="B2728" i="3" s="1"/>
  <c r="C2728" i="3" a="1"/>
  <c r="C2728" i="3" s="1"/>
  <c r="D2728" i="3" a="1"/>
  <c r="D2728" i="3" s="1"/>
  <c r="E2728" i="3" a="1"/>
  <c r="E2728" i="3" s="1"/>
  <c r="F2728" i="3" a="1"/>
  <c r="F2728" i="3" s="1"/>
  <c r="G2728" i="3" a="1"/>
  <c r="G2728" i="3" s="1"/>
  <c r="J2728" i="3" a="1"/>
  <c r="J2728" i="3" s="1"/>
  <c r="B2729" i="3" a="1"/>
  <c r="B2729" i="3" s="1"/>
  <c r="C2729" i="3" a="1"/>
  <c r="C2729" i="3" s="1"/>
  <c r="D2729" i="3" a="1"/>
  <c r="D2729" i="3" s="1"/>
  <c r="E2729" i="3" a="1"/>
  <c r="E2729" i="3" s="1"/>
  <c r="F2729" i="3" a="1"/>
  <c r="F2729" i="3" s="1"/>
  <c r="G2729" i="3" a="1"/>
  <c r="G2729" i="3" s="1"/>
  <c r="J2729" i="3" a="1"/>
  <c r="J2729" i="3" s="1"/>
  <c r="B2730" i="3" a="1"/>
  <c r="B2730" i="3" s="1"/>
  <c r="C2730" i="3" a="1"/>
  <c r="C2730" i="3" s="1"/>
  <c r="D2730" i="3" a="1"/>
  <c r="D2730" i="3" s="1"/>
  <c r="E2730" i="3" a="1"/>
  <c r="E2730" i="3" s="1"/>
  <c r="F2730" i="3" a="1"/>
  <c r="F2730" i="3" s="1"/>
  <c r="G2730" i="3" a="1"/>
  <c r="G2730" i="3" s="1"/>
  <c r="J2730" i="3" a="1"/>
  <c r="J2730" i="3" s="1"/>
  <c r="B2731" i="3" a="1"/>
  <c r="B2731" i="3" s="1"/>
  <c r="C2731" i="3" a="1"/>
  <c r="C2731" i="3" s="1"/>
  <c r="D2731" i="3" a="1"/>
  <c r="D2731" i="3" s="1"/>
  <c r="E2731" i="3" a="1"/>
  <c r="E2731" i="3" s="1"/>
  <c r="F2731" i="3" a="1"/>
  <c r="F2731" i="3" s="1"/>
  <c r="G2731" i="3" a="1"/>
  <c r="G2731" i="3" s="1"/>
  <c r="J2731" i="3" a="1"/>
  <c r="J2731" i="3" s="1"/>
  <c r="B2732" i="3" a="1"/>
  <c r="B2732" i="3" s="1"/>
  <c r="C2732" i="3" a="1"/>
  <c r="C2732" i="3" s="1"/>
  <c r="D2732" i="3" a="1"/>
  <c r="D2732" i="3" s="1"/>
  <c r="E2732" i="3" a="1"/>
  <c r="E2732" i="3" s="1"/>
  <c r="F2732" i="3" a="1"/>
  <c r="F2732" i="3" s="1"/>
  <c r="G2732" i="3" a="1"/>
  <c r="G2732" i="3" s="1"/>
  <c r="J2732" i="3" a="1"/>
  <c r="J2732" i="3" s="1"/>
  <c r="B2733" i="3" a="1"/>
  <c r="B2733" i="3" s="1"/>
  <c r="C2733" i="3" a="1"/>
  <c r="C2733" i="3" s="1"/>
  <c r="D2733" i="3" a="1"/>
  <c r="D2733" i="3" s="1"/>
  <c r="E2733" i="3" a="1"/>
  <c r="E2733" i="3" s="1"/>
  <c r="F2733" i="3" a="1"/>
  <c r="F2733" i="3" s="1"/>
  <c r="G2733" i="3" a="1"/>
  <c r="G2733" i="3" s="1"/>
  <c r="J2733" i="3" a="1"/>
  <c r="J2733" i="3" s="1"/>
  <c r="B2734" i="3" a="1"/>
  <c r="B2734" i="3" s="1"/>
  <c r="C2734" i="3" a="1"/>
  <c r="C2734" i="3" s="1"/>
  <c r="D2734" i="3" a="1"/>
  <c r="D2734" i="3" s="1"/>
  <c r="E2734" i="3" a="1"/>
  <c r="E2734" i="3" s="1"/>
  <c r="F2734" i="3" a="1"/>
  <c r="F2734" i="3" s="1"/>
  <c r="G2734" i="3" a="1"/>
  <c r="G2734" i="3" s="1"/>
  <c r="J2734" i="3" a="1"/>
  <c r="J2734" i="3" s="1"/>
  <c r="B2735" i="3" a="1"/>
  <c r="B2735" i="3" s="1"/>
  <c r="C2735" i="3" a="1"/>
  <c r="C2735" i="3" s="1"/>
  <c r="D2735" i="3" a="1"/>
  <c r="D2735" i="3" s="1"/>
  <c r="E2735" i="3" a="1"/>
  <c r="E2735" i="3" s="1"/>
  <c r="F2735" i="3" a="1"/>
  <c r="F2735" i="3" s="1"/>
  <c r="G2735" i="3" a="1"/>
  <c r="G2735" i="3" s="1"/>
  <c r="J2735" i="3" a="1"/>
  <c r="J2735" i="3" s="1"/>
  <c r="B2736" i="3" a="1"/>
  <c r="B2736" i="3" s="1"/>
  <c r="C2736" i="3" a="1"/>
  <c r="C2736" i="3" s="1"/>
  <c r="D2736" i="3" a="1"/>
  <c r="D2736" i="3" s="1"/>
  <c r="E2736" i="3" a="1"/>
  <c r="E2736" i="3" s="1"/>
  <c r="F2736" i="3" a="1"/>
  <c r="F2736" i="3" s="1"/>
  <c r="G2736" i="3" a="1"/>
  <c r="G2736" i="3" s="1"/>
  <c r="J2736" i="3" a="1"/>
  <c r="J2736" i="3" s="1"/>
  <c r="B2737" i="3" a="1"/>
  <c r="B2737" i="3" s="1"/>
  <c r="C2737" i="3" a="1"/>
  <c r="C2737" i="3" s="1"/>
  <c r="D2737" i="3" a="1"/>
  <c r="D2737" i="3" s="1"/>
  <c r="E2737" i="3" a="1"/>
  <c r="E2737" i="3" s="1"/>
  <c r="F2737" i="3" a="1"/>
  <c r="F2737" i="3" s="1"/>
  <c r="G2737" i="3" a="1"/>
  <c r="G2737" i="3" s="1"/>
  <c r="J2737" i="3" a="1"/>
  <c r="J2737" i="3" s="1"/>
  <c r="B2738" i="3" a="1"/>
  <c r="B2738" i="3" s="1"/>
  <c r="C2738" i="3" a="1"/>
  <c r="C2738" i="3" s="1"/>
  <c r="D2738" i="3" a="1"/>
  <c r="D2738" i="3" s="1"/>
  <c r="E2738" i="3" a="1"/>
  <c r="E2738" i="3" s="1"/>
  <c r="F2738" i="3" a="1"/>
  <c r="F2738" i="3" s="1"/>
  <c r="G2738" i="3" a="1"/>
  <c r="G2738" i="3" s="1"/>
  <c r="J2738" i="3" a="1"/>
  <c r="J2738" i="3" s="1"/>
  <c r="B2739" i="3" a="1"/>
  <c r="B2739" i="3" s="1"/>
  <c r="C2739" i="3" a="1"/>
  <c r="C2739" i="3" s="1"/>
  <c r="D2739" i="3" a="1"/>
  <c r="D2739" i="3" s="1"/>
  <c r="E2739" i="3" a="1"/>
  <c r="E2739" i="3" s="1"/>
  <c r="F2739" i="3" a="1"/>
  <c r="F2739" i="3" s="1"/>
  <c r="G2739" i="3" a="1"/>
  <c r="G2739" i="3" s="1"/>
  <c r="J2739" i="3" a="1"/>
  <c r="J2739" i="3" s="1"/>
  <c r="B2740" i="3" a="1"/>
  <c r="B2740" i="3" s="1"/>
  <c r="C2740" i="3" a="1"/>
  <c r="C2740" i="3" s="1"/>
  <c r="D2740" i="3" a="1"/>
  <c r="D2740" i="3" s="1"/>
  <c r="E2740" i="3" a="1"/>
  <c r="E2740" i="3" s="1"/>
  <c r="F2740" i="3" a="1"/>
  <c r="F2740" i="3" s="1"/>
  <c r="G2740" i="3" a="1"/>
  <c r="G2740" i="3" s="1"/>
  <c r="J2740" i="3" a="1"/>
  <c r="J2740" i="3" s="1"/>
  <c r="B2741" i="3" a="1"/>
  <c r="B2741" i="3" s="1"/>
  <c r="C2741" i="3" a="1"/>
  <c r="C2741" i="3" s="1"/>
  <c r="D2741" i="3" a="1"/>
  <c r="D2741" i="3" s="1"/>
  <c r="E2741" i="3" a="1"/>
  <c r="E2741" i="3" s="1"/>
  <c r="F2741" i="3" a="1"/>
  <c r="F2741" i="3" s="1"/>
  <c r="G2741" i="3" a="1"/>
  <c r="G2741" i="3" s="1"/>
  <c r="J2741" i="3" a="1"/>
  <c r="J2741" i="3" s="1"/>
  <c r="B2742" i="3" a="1"/>
  <c r="B2742" i="3" s="1"/>
  <c r="C2742" i="3" a="1"/>
  <c r="C2742" i="3" s="1"/>
  <c r="D2742" i="3" a="1"/>
  <c r="D2742" i="3" s="1"/>
  <c r="E2742" i="3" a="1"/>
  <c r="E2742" i="3" s="1"/>
  <c r="F2742" i="3" a="1"/>
  <c r="F2742" i="3" s="1"/>
  <c r="G2742" i="3" a="1"/>
  <c r="G2742" i="3" s="1"/>
  <c r="J2742" i="3" a="1"/>
  <c r="J2742" i="3" s="1"/>
  <c r="B2743" i="3" a="1"/>
  <c r="B2743" i="3" s="1"/>
  <c r="C2743" i="3" a="1"/>
  <c r="C2743" i="3" s="1"/>
  <c r="D2743" i="3" a="1"/>
  <c r="D2743" i="3" s="1"/>
  <c r="E2743" i="3" a="1"/>
  <c r="E2743" i="3" s="1"/>
  <c r="F2743" i="3" a="1"/>
  <c r="F2743" i="3" s="1"/>
  <c r="G2743" i="3" a="1"/>
  <c r="G2743" i="3" s="1"/>
  <c r="J2743" i="3" a="1"/>
  <c r="J2743" i="3" s="1"/>
  <c r="B2744" i="3" a="1"/>
  <c r="B2744" i="3" s="1"/>
  <c r="C2744" i="3" a="1"/>
  <c r="C2744" i="3" s="1"/>
  <c r="D2744" i="3" a="1"/>
  <c r="D2744" i="3" s="1"/>
  <c r="E2744" i="3" a="1"/>
  <c r="E2744" i="3" s="1"/>
  <c r="F2744" i="3" a="1"/>
  <c r="F2744" i="3" s="1"/>
  <c r="G2744" i="3" a="1"/>
  <c r="G2744" i="3" s="1"/>
  <c r="J2744" i="3" a="1"/>
  <c r="J2744" i="3" s="1"/>
  <c r="B2745" i="3" a="1"/>
  <c r="B2745" i="3" s="1"/>
  <c r="C2745" i="3" a="1"/>
  <c r="C2745" i="3" s="1"/>
  <c r="D2745" i="3" a="1"/>
  <c r="D2745" i="3" s="1"/>
  <c r="E2745" i="3" a="1"/>
  <c r="E2745" i="3" s="1"/>
  <c r="F2745" i="3" a="1"/>
  <c r="F2745" i="3" s="1"/>
  <c r="G2745" i="3" a="1"/>
  <c r="G2745" i="3" s="1"/>
  <c r="J2745" i="3" a="1"/>
  <c r="J2745" i="3" s="1"/>
  <c r="B2746" i="3" a="1"/>
  <c r="B2746" i="3" s="1"/>
  <c r="C2746" i="3" a="1"/>
  <c r="C2746" i="3" s="1"/>
  <c r="D2746" i="3" a="1"/>
  <c r="D2746" i="3" s="1"/>
  <c r="E2746" i="3" a="1"/>
  <c r="E2746" i="3" s="1"/>
  <c r="F2746" i="3" a="1"/>
  <c r="F2746" i="3" s="1"/>
  <c r="G2746" i="3" a="1"/>
  <c r="G2746" i="3" s="1"/>
  <c r="J2746" i="3" a="1"/>
  <c r="J2746" i="3" s="1"/>
  <c r="B2747" i="3" a="1"/>
  <c r="B2747" i="3" s="1"/>
  <c r="C2747" i="3" a="1"/>
  <c r="C2747" i="3" s="1"/>
  <c r="D2747" i="3" a="1"/>
  <c r="D2747" i="3" s="1"/>
  <c r="E2747" i="3" a="1"/>
  <c r="E2747" i="3" s="1"/>
  <c r="F2747" i="3" a="1"/>
  <c r="F2747" i="3" s="1"/>
  <c r="G2747" i="3" a="1"/>
  <c r="G2747" i="3" s="1"/>
  <c r="J2747" i="3" a="1"/>
  <c r="J2747" i="3" s="1"/>
  <c r="B2748" i="3" a="1"/>
  <c r="B2748" i="3" s="1"/>
  <c r="C2748" i="3" a="1"/>
  <c r="C2748" i="3" s="1"/>
  <c r="D2748" i="3" a="1"/>
  <c r="D2748" i="3" s="1"/>
  <c r="E2748" i="3" a="1"/>
  <c r="E2748" i="3" s="1"/>
  <c r="F2748" i="3" a="1"/>
  <c r="F2748" i="3" s="1"/>
  <c r="G2748" i="3" a="1"/>
  <c r="G2748" i="3" s="1"/>
  <c r="J2748" i="3" a="1"/>
  <c r="J2748" i="3" s="1"/>
  <c r="B2749" i="3" a="1"/>
  <c r="B2749" i="3" s="1"/>
  <c r="C2749" i="3" a="1"/>
  <c r="C2749" i="3" s="1"/>
  <c r="D2749" i="3" a="1"/>
  <c r="D2749" i="3" s="1"/>
  <c r="E2749" i="3" a="1"/>
  <c r="E2749" i="3" s="1"/>
  <c r="F2749" i="3" a="1"/>
  <c r="F2749" i="3" s="1"/>
  <c r="G2749" i="3" a="1"/>
  <c r="G2749" i="3" s="1"/>
  <c r="J2749" i="3" a="1"/>
  <c r="J2749" i="3" s="1"/>
  <c r="B2750" i="3" a="1"/>
  <c r="B2750" i="3" s="1"/>
  <c r="C2750" i="3" a="1"/>
  <c r="C2750" i="3" s="1"/>
  <c r="D2750" i="3" a="1"/>
  <c r="D2750" i="3" s="1"/>
  <c r="E2750" i="3" a="1"/>
  <c r="E2750" i="3" s="1"/>
  <c r="F2750" i="3" a="1"/>
  <c r="F2750" i="3" s="1"/>
  <c r="G2750" i="3" a="1"/>
  <c r="G2750" i="3" s="1"/>
  <c r="J2750" i="3" a="1"/>
  <c r="J2750" i="3" s="1"/>
  <c r="B2751" i="3" a="1"/>
  <c r="B2751" i="3" s="1"/>
  <c r="C2751" i="3" a="1"/>
  <c r="C2751" i="3" s="1"/>
  <c r="D2751" i="3" a="1"/>
  <c r="D2751" i="3" s="1"/>
  <c r="E2751" i="3" a="1"/>
  <c r="E2751" i="3" s="1"/>
  <c r="F2751" i="3" a="1"/>
  <c r="F2751" i="3" s="1"/>
  <c r="G2751" i="3" a="1"/>
  <c r="G2751" i="3" s="1"/>
  <c r="J2751" i="3" a="1"/>
  <c r="J2751" i="3" s="1"/>
  <c r="B2752" i="3" a="1"/>
  <c r="B2752" i="3" s="1"/>
  <c r="C2752" i="3" a="1"/>
  <c r="C2752" i="3" s="1"/>
  <c r="D2752" i="3" a="1"/>
  <c r="D2752" i="3" s="1"/>
  <c r="E2752" i="3" a="1"/>
  <c r="E2752" i="3" s="1"/>
  <c r="F2752" i="3" a="1"/>
  <c r="F2752" i="3" s="1"/>
  <c r="G2752" i="3" a="1"/>
  <c r="G2752" i="3" s="1"/>
  <c r="J2752" i="3" a="1"/>
  <c r="J2752" i="3" s="1"/>
  <c r="B2753" i="3" a="1"/>
  <c r="B2753" i="3" s="1"/>
  <c r="C2753" i="3" a="1"/>
  <c r="C2753" i="3" s="1"/>
  <c r="D2753" i="3" a="1"/>
  <c r="D2753" i="3" s="1"/>
  <c r="E2753" i="3" a="1"/>
  <c r="E2753" i="3" s="1"/>
  <c r="F2753" i="3" a="1"/>
  <c r="F2753" i="3" s="1"/>
  <c r="G2753" i="3" a="1"/>
  <c r="G2753" i="3" s="1"/>
  <c r="J2753" i="3" a="1"/>
  <c r="J2753" i="3" s="1"/>
  <c r="B2754" i="3" a="1"/>
  <c r="B2754" i="3" s="1"/>
  <c r="C2754" i="3" a="1"/>
  <c r="C2754" i="3" s="1"/>
  <c r="D2754" i="3" a="1"/>
  <c r="D2754" i="3" s="1"/>
  <c r="E2754" i="3" a="1"/>
  <c r="E2754" i="3" s="1"/>
  <c r="F2754" i="3" a="1"/>
  <c r="F2754" i="3" s="1"/>
  <c r="G2754" i="3" a="1"/>
  <c r="G2754" i="3" s="1"/>
  <c r="J2754" i="3" a="1"/>
  <c r="J2754" i="3" s="1"/>
  <c r="B2755" i="3" a="1"/>
  <c r="B2755" i="3" s="1"/>
  <c r="C2755" i="3" a="1"/>
  <c r="C2755" i="3" s="1"/>
  <c r="D2755" i="3" a="1"/>
  <c r="D2755" i="3" s="1"/>
  <c r="E2755" i="3" a="1"/>
  <c r="E2755" i="3" s="1"/>
  <c r="F2755" i="3" a="1"/>
  <c r="F2755" i="3" s="1"/>
  <c r="G2755" i="3" a="1"/>
  <c r="G2755" i="3" s="1"/>
  <c r="J2755" i="3" a="1"/>
  <c r="J2755" i="3" s="1"/>
  <c r="B2756" i="3" a="1"/>
  <c r="B2756" i="3" s="1"/>
  <c r="C2756" i="3" a="1"/>
  <c r="C2756" i="3" s="1"/>
  <c r="D2756" i="3" a="1"/>
  <c r="D2756" i="3" s="1"/>
  <c r="E2756" i="3" a="1"/>
  <c r="E2756" i="3" s="1"/>
  <c r="F2756" i="3" a="1"/>
  <c r="F2756" i="3" s="1"/>
  <c r="G2756" i="3" a="1"/>
  <c r="G2756" i="3" s="1"/>
  <c r="J2756" i="3" a="1"/>
  <c r="J2756" i="3" s="1"/>
  <c r="B2757" i="3" a="1"/>
  <c r="B2757" i="3" s="1"/>
  <c r="C2757" i="3" a="1"/>
  <c r="C2757" i="3" s="1"/>
  <c r="D2757" i="3" a="1"/>
  <c r="D2757" i="3" s="1"/>
  <c r="E2757" i="3" a="1"/>
  <c r="E2757" i="3" s="1"/>
  <c r="F2757" i="3" a="1"/>
  <c r="F2757" i="3" s="1"/>
  <c r="G2757" i="3" a="1"/>
  <c r="G2757" i="3" s="1"/>
  <c r="J2757" i="3" a="1"/>
  <c r="J2757" i="3" s="1"/>
  <c r="B2758" i="3" a="1"/>
  <c r="B2758" i="3" s="1"/>
  <c r="C2758" i="3" a="1"/>
  <c r="C2758" i="3" s="1"/>
  <c r="D2758" i="3" a="1"/>
  <c r="D2758" i="3" s="1"/>
  <c r="E2758" i="3" a="1"/>
  <c r="E2758" i="3" s="1"/>
  <c r="F2758" i="3" a="1"/>
  <c r="F2758" i="3" s="1"/>
  <c r="G2758" i="3" a="1"/>
  <c r="G2758" i="3" s="1"/>
  <c r="J2758" i="3" a="1"/>
  <c r="J2758" i="3" s="1"/>
  <c r="B2759" i="3" a="1"/>
  <c r="B2759" i="3" s="1"/>
  <c r="C2759" i="3" a="1"/>
  <c r="C2759" i="3" s="1"/>
  <c r="D2759" i="3" a="1"/>
  <c r="D2759" i="3" s="1"/>
  <c r="E2759" i="3" a="1"/>
  <c r="E2759" i="3" s="1"/>
  <c r="F2759" i="3" a="1"/>
  <c r="F2759" i="3" s="1"/>
  <c r="G2759" i="3" a="1"/>
  <c r="G2759" i="3" s="1"/>
  <c r="J2759" i="3" a="1"/>
  <c r="J2759" i="3" s="1"/>
  <c r="B2760" i="3" a="1"/>
  <c r="B2760" i="3" s="1"/>
  <c r="C2760" i="3" a="1"/>
  <c r="C2760" i="3" s="1"/>
  <c r="D2760" i="3" a="1"/>
  <c r="D2760" i="3" s="1"/>
  <c r="E2760" i="3" a="1"/>
  <c r="E2760" i="3" s="1"/>
  <c r="F2760" i="3" a="1"/>
  <c r="F2760" i="3" s="1"/>
  <c r="G2760" i="3" a="1"/>
  <c r="G2760" i="3" s="1"/>
  <c r="J2760" i="3" a="1"/>
  <c r="J2760" i="3" s="1"/>
  <c r="B2761" i="3" a="1"/>
  <c r="B2761" i="3" s="1"/>
  <c r="C2761" i="3" a="1"/>
  <c r="C2761" i="3" s="1"/>
  <c r="D2761" i="3" a="1"/>
  <c r="D2761" i="3" s="1"/>
  <c r="E2761" i="3" a="1"/>
  <c r="E2761" i="3" s="1"/>
  <c r="F2761" i="3" a="1"/>
  <c r="F2761" i="3" s="1"/>
  <c r="G2761" i="3" a="1"/>
  <c r="G2761" i="3" s="1"/>
  <c r="J2761" i="3" a="1"/>
  <c r="J2761" i="3" s="1"/>
  <c r="B2762" i="3" a="1"/>
  <c r="B2762" i="3" s="1"/>
  <c r="C2762" i="3" a="1"/>
  <c r="C2762" i="3" s="1"/>
  <c r="D2762" i="3" a="1"/>
  <c r="D2762" i="3" s="1"/>
  <c r="E2762" i="3" a="1"/>
  <c r="E2762" i="3" s="1"/>
  <c r="F2762" i="3" a="1"/>
  <c r="F2762" i="3" s="1"/>
  <c r="G2762" i="3" a="1"/>
  <c r="G2762" i="3" s="1"/>
  <c r="J2762" i="3" a="1"/>
  <c r="J2762" i="3" s="1"/>
  <c r="B2763" i="3" a="1"/>
  <c r="B2763" i="3" s="1"/>
  <c r="C2763" i="3" a="1"/>
  <c r="C2763" i="3" s="1"/>
  <c r="D2763" i="3" a="1"/>
  <c r="D2763" i="3" s="1"/>
  <c r="E2763" i="3" a="1"/>
  <c r="E2763" i="3" s="1"/>
  <c r="F2763" i="3" a="1"/>
  <c r="F2763" i="3" s="1"/>
  <c r="G2763" i="3" a="1"/>
  <c r="G2763" i="3" s="1"/>
  <c r="J2763" i="3" a="1"/>
  <c r="J2763" i="3" s="1"/>
  <c r="B2764" i="3" a="1"/>
  <c r="B2764" i="3" s="1"/>
  <c r="C2764" i="3" a="1"/>
  <c r="C2764" i="3" s="1"/>
  <c r="D2764" i="3" a="1"/>
  <c r="D2764" i="3" s="1"/>
  <c r="E2764" i="3" a="1"/>
  <c r="E2764" i="3" s="1"/>
  <c r="F2764" i="3" a="1"/>
  <c r="F2764" i="3" s="1"/>
  <c r="G2764" i="3" a="1"/>
  <c r="G2764" i="3" s="1"/>
  <c r="J2764" i="3" a="1"/>
  <c r="J2764" i="3" s="1"/>
  <c r="B2765" i="3" a="1"/>
  <c r="B2765" i="3" s="1"/>
  <c r="C2765" i="3" a="1"/>
  <c r="C2765" i="3" s="1"/>
  <c r="D2765" i="3" a="1"/>
  <c r="D2765" i="3" s="1"/>
  <c r="E2765" i="3" a="1"/>
  <c r="E2765" i="3" s="1"/>
  <c r="F2765" i="3" a="1"/>
  <c r="F2765" i="3" s="1"/>
  <c r="G2765" i="3" a="1"/>
  <c r="G2765" i="3" s="1"/>
  <c r="J2765" i="3" a="1"/>
  <c r="J2765" i="3" s="1"/>
  <c r="B2766" i="3" a="1"/>
  <c r="B2766" i="3" s="1"/>
  <c r="C2766" i="3" a="1"/>
  <c r="C2766" i="3" s="1"/>
  <c r="D2766" i="3" a="1"/>
  <c r="D2766" i="3" s="1"/>
  <c r="E2766" i="3" a="1"/>
  <c r="E2766" i="3" s="1"/>
  <c r="F2766" i="3" a="1"/>
  <c r="F2766" i="3" s="1"/>
  <c r="G2766" i="3" a="1"/>
  <c r="G2766" i="3" s="1"/>
  <c r="J2766" i="3" a="1"/>
  <c r="J2766" i="3" s="1"/>
  <c r="B2767" i="3" a="1"/>
  <c r="B2767" i="3" s="1"/>
  <c r="C2767" i="3" a="1"/>
  <c r="C2767" i="3" s="1"/>
  <c r="D2767" i="3" a="1"/>
  <c r="D2767" i="3" s="1"/>
  <c r="E2767" i="3" a="1"/>
  <c r="E2767" i="3" s="1"/>
  <c r="F2767" i="3" a="1"/>
  <c r="F2767" i="3" s="1"/>
  <c r="G2767" i="3" a="1"/>
  <c r="G2767" i="3" s="1"/>
  <c r="J2767" i="3" a="1"/>
  <c r="J2767" i="3" s="1"/>
  <c r="B2768" i="3" a="1"/>
  <c r="B2768" i="3" s="1"/>
  <c r="C2768" i="3" a="1"/>
  <c r="C2768" i="3" s="1"/>
  <c r="D2768" i="3" a="1"/>
  <c r="D2768" i="3" s="1"/>
  <c r="E2768" i="3" a="1"/>
  <c r="E2768" i="3" s="1"/>
  <c r="F2768" i="3" a="1"/>
  <c r="F2768" i="3" s="1"/>
  <c r="G2768" i="3" a="1"/>
  <c r="G2768" i="3" s="1"/>
  <c r="J2768" i="3" a="1"/>
  <c r="J2768" i="3" s="1"/>
  <c r="B2769" i="3" a="1"/>
  <c r="B2769" i="3" s="1"/>
  <c r="C2769" i="3" a="1"/>
  <c r="C2769" i="3" s="1"/>
  <c r="D2769" i="3" a="1"/>
  <c r="D2769" i="3" s="1"/>
  <c r="E2769" i="3" a="1"/>
  <c r="E2769" i="3" s="1"/>
  <c r="F2769" i="3" a="1"/>
  <c r="F2769" i="3" s="1"/>
  <c r="G2769" i="3" a="1"/>
  <c r="G2769" i="3" s="1"/>
  <c r="J2769" i="3" a="1"/>
  <c r="J2769" i="3" s="1"/>
  <c r="B2770" i="3" a="1"/>
  <c r="B2770" i="3" s="1"/>
  <c r="C2770" i="3" a="1"/>
  <c r="C2770" i="3" s="1"/>
  <c r="D2770" i="3" a="1"/>
  <c r="D2770" i="3" s="1"/>
  <c r="E2770" i="3" a="1"/>
  <c r="E2770" i="3" s="1"/>
  <c r="F2770" i="3" a="1"/>
  <c r="F2770" i="3" s="1"/>
  <c r="G2770" i="3" a="1"/>
  <c r="G2770" i="3" s="1"/>
  <c r="J2770" i="3" a="1"/>
  <c r="J2770" i="3" s="1"/>
  <c r="B2771" i="3" a="1"/>
  <c r="B2771" i="3" s="1"/>
  <c r="C2771" i="3" a="1"/>
  <c r="C2771" i="3" s="1"/>
  <c r="D2771" i="3" a="1"/>
  <c r="D2771" i="3" s="1"/>
  <c r="E2771" i="3" a="1"/>
  <c r="E2771" i="3" s="1"/>
  <c r="F2771" i="3" a="1"/>
  <c r="F2771" i="3" s="1"/>
  <c r="G2771" i="3" a="1"/>
  <c r="G2771" i="3" s="1"/>
  <c r="J2771" i="3" a="1"/>
  <c r="J2771" i="3" s="1"/>
  <c r="B2772" i="3" a="1"/>
  <c r="B2772" i="3" s="1"/>
  <c r="C2772" i="3" a="1"/>
  <c r="C2772" i="3" s="1"/>
  <c r="D2772" i="3" a="1"/>
  <c r="D2772" i="3" s="1"/>
  <c r="E2772" i="3" a="1"/>
  <c r="E2772" i="3" s="1"/>
  <c r="F2772" i="3" a="1"/>
  <c r="F2772" i="3" s="1"/>
  <c r="G2772" i="3" a="1"/>
  <c r="G2772" i="3" s="1"/>
  <c r="J2772" i="3" a="1"/>
  <c r="J2772" i="3" s="1"/>
  <c r="B2773" i="3" a="1"/>
  <c r="B2773" i="3" s="1"/>
  <c r="C2773" i="3" a="1"/>
  <c r="C2773" i="3" s="1"/>
  <c r="D2773" i="3" a="1"/>
  <c r="D2773" i="3" s="1"/>
  <c r="E2773" i="3" a="1"/>
  <c r="E2773" i="3" s="1"/>
  <c r="F2773" i="3" a="1"/>
  <c r="F2773" i="3" s="1"/>
  <c r="G2773" i="3" a="1"/>
  <c r="G2773" i="3" s="1"/>
  <c r="J2773" i="3" a="1"/>
  <c r="J2773" i="3" s="1"/>
  <c r="B2774" i="3" a="1"/>
  <c r="B2774" i="3" s="1"/>
  <c r="C2774" i="3" a="1"/>
  <c r="C2774" i="3" s="1"/>
  <c r="D2774" i="3" a="1"/>
  <c r="D2774" i="3" s="1"/>
  <c r="E2774" i="3" a="1"/>
  <c r="E2774" i="3" s="1"/>
  <c r="F2774" i="3" a="1"/>
  <c r="F2774" i="3" s="1"/>
  <c r="G2774" i="3" a="1"/>
  <c r="G2774" i="3" s="1"/>
  <c r="J2774" i="3" a="1"/>
  <c r="J2774" i="3" s="1"/>
  <c r="B2775" i="3" a="1"/>
  <c r="B2775" i="3" s="1"/>
  <c r="C2775" i="3" a="1"/>
  <c r="C2775" i="3" s="1"/>
  <c r="D2775" i="3" a="1"/>
  <c r="D2775" i="3" s="1"/>
  <c r="E2775" i="3" a="1"/>
  <c r="E2775" i="3" s="1"/>
  <c r="F2775" i="3" a="1"/>
  <c r="F2775" i="3" s="1"/>
  <c r="G2775" i="3" a="1"/>
  <c r="G2775" i="3" s="1"/>
  <c r="J2775" i="3" a="1"/>
  <c r="J2775" i="3" s="1"/>
  <c r="B2776" i="3" a="1"/>
  <c r="B2776" i="3" s="1"/>
  <c r="C2776" i="3" a="1"/>
  <c r="C2776" i="3" s="1"/>
  <c r="D2776" i="3" a="1"/>
  <c r="D2776" i="3" s="1"/>
  <c r="E2776" i="3" a="1"/>
  <c r="E2776" i="3" s="1"/>
  <c r="F2776" i="3" a="1"/>
  <c r="F2776" i="3" s="1"/>
  <c r="G2776" i="3" a="1"/>
  <c r="G2776" i="3" s="1"/>
  <c r="J2776" i="3" a="1"/>
  <c r="J2776" i="3" s="1"/>
  <c r="B2777" i="3" a="1"/>
  <c r="B2777" i="3" s="1"/>
  <c r="C2777" i="3" a="1"/>
  <c r="C2777" i="3" s="1"/>
  <c r="D2777" i="3" a="1"/>
  <c r="D2777" i="3" s="1"/>
  <c r="E2777" i="3" a="1"/>
  <c r="E2777" i="3" s="1"/>
  <c r="F2777" i="3" a="1"/>
  <c r="F2777" i="3" s="1"/>
  <c r="G2777" i="3" a="1"/>
  <c r="G2777" i="3" s="1"/>
  <c r="J2777" i="3" a="1"/>
  <c r="J2777" i="3" s="1"/>
  <c r="B2778" i="3" a="1"/>
  <c r="B2778" i="3" s="1"/>
  <c r="C2778" i="3" a="1"/>
  <c r="C2778" i="3" s="1"/>
  <c r="D2778" i="3" a="1"/>
  <c r="D2778" i="3" s="1"/>
  <c r="E2778" i="3" a="1"/>
  <c r="E2778" i="3" s="1"/>
  <c r="F2778" i="3" a="1"/>
  <c r="F2778" i="3" s="1"/>
  <c r="G2778" i="3" a="1"/>
  <c r="G2778" i="3" s="1"/>
  <c r="J2778" i="3" a="1"/>
  <c r="J2778" i="3" s="1"/>
  <c r="B2779" i="3" a="1"/>
  <c r="B2779" i="3" s="1"/>
  <c r="C2779" i="3" a="1"/>
  <c r="C2779" i="3" s="1"/>
  <c r="D2779" i="3" a="1"/>
  <c r="D2779" i="3" s="1"/>
  <c r="E2779" i="3" a="1"/>
  <c r="E2779" i="3" s="1"/>
  <c r="F2779" i="3" a="1"/>
  <c r="F2779" i="3" s="1"/>
  <c r="G2779" i="3" a="1"/>
  <c r="G2779" i="3" s="1"/>
  <c r="J2779" i="3" a="1"/>
  <c r="J2779" i="3" s="1"/>
  <c r="B2780" i="3" a="1"/>
  <c r="B2780" i="3" s="1"/>
  <c r="C2780" i="3" a="1"/>
  <c r="C2780" i="3" s="1"/>
  <c r="D2780" i="3" a="1"/>
  <c r="D2780" i="3" s="1"/>
  <c r="E2780" i="3" a="1"/>
  <c r="E2780" i="3" s="1"/>
  <c r="F2780" i="3" a="1"/>
  <c r="F2780" i="3" s="1"/>
  <c r="G2780" i="3" a="1"/>
  <c r="G2780" i="3" s="1"/>
  <c r="J2780" i="3" a="1"/>
  <c r="J2780" i="3" s="1"/>
  <c r="B2781" i="3" a="1"/>
  <c r="B2781" i="3" s="1"/>
  <c r="C2781" i="3" a="1"/>
  <c r="C2781" i="3" s="1"/>
  <c r="D2781" i="3" a="1"/>
  <c r="D2781" i="3" s="1"/>
  <c r="E2781" i="3" a="1"/>
  <c r="E2781" i="3" s="1"/>
  <c r="F2781" i="3" a="1"/>
  <c r="F2781" i="3" s="1"/>
  <c r="G2781" i="3" a="1"/>
  <c r="G2781" i="3" s="1"/>
  <c r="J2781" i="3" a="1"/>
  <c r="J2781" i="3" s="1"/>
  <c r="B2782" i="3" a="1"/>
  <c r="B2782" i="3" s="1"/>
  <c r="C2782" i="3" a="1"/>
  <c r="C2782" i="3" s="1"/>
  <c r="D2782" i="3" a="1"/>
  <c r="D2782" i="3" s="1"/>
  <c r="E2782" i="3" a="1"/>
  <c r="E2782" i="3" s="1"/>
  <c r="F2782" i="3" a="1"/>
  <c r="F2782" i="3" s="1"/>
  <c r="G2782" i="3" a="1"/>
  <c r="G2782" i="3" s="1"/>
  <c r="J2782" i="3" a="1"/>
  <c r="J2782" i="3" s="1"/>
  <c r="B2783" i="3" a="1"/>
  <c r="B2783" i="3" s="1"/>
  <c r="C2783" i="3" a="1"/>
  <c r="C2783" i="3" s="1"/>
  <c r="D2783" i="3" a="1"/>
  <c r="D2783" i="3" s="1"/>
  <c r="E2783" i="3" a="1"/>
  <c r="E2783" i="3" s="1"/>
  <c r="F2783" i="3" a="1"/>
  <c r="F2783" i="3" s="1"/>
  <c r="G2783" i="3" a="1"/>
  <c r="G2783" i="3" s="1"/>
  <c r="J2783" i="3" a="1"/>
  <c r="J2783" i="3" s="1"/>
  <c r="B2784" i="3" a="1"/>
  <c r="B2784" i="3" s="1"/>
  <c r="C2784" i="3" a="1"/>
  <c r="C2784" i="3" s="1"/>
  <c r="D2784" i="3" a="1"/>
  <c r="D2784" i="3" s="1"/>
  <c r="E2784" i="3" a="1"/>
  <c r="E2784" i="3" s="1"/>
  <c r="F2784" i="3" a="1"/>
  <c r="F2784" i="3" s="1"/>
  <c r="G2784" i="3" a="1"/>
  <c r="G2784" i="3" s="1"/>
  <c r="J2784" i="3" a="1"/>
  <c r="J2784" i="3" s="1"/>
  <c r="B2785" i="3" a="1"/>
  <c r="B2785" i="3" s="1"/>
  <c r="C2785" i="3" a="1"/>
  <c r="C2785" i="3" s="1"/>
  <c r="D2785" i="3" a="1"/>
  <c r="D2785" i="3" s="1"/>
  <c r="E2785" i="3" a="1"/>
  <c r="E2785" i="3" s="1"/>
  <c r="F2785" i="3" a="1"/>
  <c r="F2785" i="3" s="1"/>
  <c r="G2785" i="3" a="1"/>
  <c r="G2785" i="3" s="1"/>
  <c r="J2785" i="3" a="1"/>
  <c r="J2785" i="3" s="1"/>
  <c r="B2786" i="3" a="1"/>
  <c r="B2786" i="3" s="1"/>
  <c r="C2786" i="3" a="1"/>
  <c r="C2786" i="3" s="1"/>
  <c r="D2786" i="3" a="1"/>
  <c r="D2786" i="3" s="1"/>
  <c r="E2786" i="3" a="1"/>
  <c r="E2786" i="3" s="1"/>
  <c r="F2786" i="3" a="1"/>
  <c r="F2786" i="3" s="1"/>
  <c r="G2786" i="3" a="1"/>
  <c r="G2786" i="3" s="1"/>
  <c r="J2786" i="3" a="1"/>
  <c r="J2786" i="3" s="1"/>
  <c r="B2787" i="3" a="1"/>
  <c r="B2787" i="3" s="1"/>
  <c r="C2787" i="3" a="1"/>
  <c r="C2787" i="3" s="1"/>
  <c r="D2787" i="3" a="1"/>
  <c r="D2787" i="3" s="1"/>
  <c r="E2787" i="3" a="1"/>
  <c r="E2787" i="3" s="1"/>
  <c r="F2787" i="3" a="1"/>
  <c r="F2787" i="3" s="1"/>
  <c r="G2787" i="3" a="1"/>
  <c r="G2787" i="3" s="1"/>
  <c r="J2787" i="3" a="1"/>
  <c r="J2787" i="3" s="1"/>
  <c r="B2788" i="3" a="1"/>
  <c r="B2788" i="3" s="1"/>
  <c r="C2788" i="3" a="1"/>
  <c r="C2788" i="3" s="1"/>
  <c r="D2788" i="3" a="1"/>
  <c r="D2788" i="3" s="1"/>
  <c r="E2788" i="3" a="1"/>
  <c r="E2788" i="3" s="1"/>
  <c r="F2788" i="3" a="1"/>
  <c r="F2788" i="3" s="1"/>
  <c r="G2788" i="3" a="1"/>
  <c r="G2788" i="3" s="1"/>
  <c r="J2788" i="3" a="1"/>
  <c r="J2788" i="3" s="1"/>
  <c r="B2789" i="3" a="1"/>
  <c r="B2789" i="3" s="1"/>
  <c r="C2789" i="3" a="1"/>
  <c r="C2789" i="3" s="1"/>
  <c r="D2789" i="3" a="1"/>
  <c r="D2789" i="3" s="1"/>
  <c r="E2789" i="3" a="1"/>
  <c r="E2789" i="3" s="1"/>
  <c r="F2789" i="3" a="1"/>
  <c r="F2789" i="3" s="1"/>
  <c r="G2789" i="3" a="1"/>
  <c r="G2789" i="3" s="1"/>
  <c r="J2789" i="3" a="1"/>
  <c r="J2789" i="3" s="1"/>
  <c r="B2790" i="3" a="1"/>
  <c r="B2790" i="3" s="1"/>
  <c r="C2790" i="3" a="1"/>
  <c r="C2790" i="3" s="1"/>
  <c r="D2790" i="3" a="1"/>
  <c r="D2790" i="3" s="1"/>
  <c r="E2790" i="3" a="1"/>
  <c r="E2790" i="3" s="1"/>
  <c r="F2790" i="3" a="1"/>
  <c r="F2790" i="3" s="1"/>
  <c r="G2790" i="3" a="1"/>
  <c r="G2790" i="3" s="1"/>
  <c r="J2790" i="3" a="1"/>
  <c r="J2790" i="3" s="1"/>
  <c r="B2791" i="3" a="1"/>
  <c r="B2791" i="3" s="1"/>
  <c r="C2791" i="3" a="1"/>
  <c r="C2791" i="3" s="1"/>
  <c r="D2791" i="3" a="1"/>
  <c r="D2791" i="3" s="1"/>
  <c r="E2791" i="3" a="1"/>
  <c r="E2791" i="3" s="1"/>
  <c r="F2791" i="3" a="1"/>
  <c r="F2791" i="3" s="1"/>
  <c r="G2791" i="3" a="1"/>
  <c r="G2791" i="3" s="1"/>
  <c r="J2791" i="3" a="1"/>
  <c r="J2791" i="3" s="1"/>
  <c r="B2792" i="3" a="1"/>
  <c r="B2792" i="3" s="1"/>
  <c r="C2792" i="3" a="1"/>
  <c r="C2792" i="3" s="1"/>
  <c r="D2792" i="3" a="1"/>
  <c r="D2792" i="3" s="1"/>
  <c r="E2792" i="3" a="1"/>
  <c r="E2792" i="3" s="1"/>
  <c r="F2792" i="3" a="1"/>
  <c r="F2792" i="3" s="1"/>
  <c r="G2792" i="3" a="1"/>
  <c r="G2792" i="3" s="1"/>
  <c r="J2792" i="3" a="1"/>
  <c r="J2792" i="3" s="1"/>
  <c r="B2793" i="3" a="1"/>
  <c r="B2793" i="3" s="1"/>
  <c r="C2793" i="3" a="1"/>
  <c r="C2793" i="3" s="1"/>
  <c r="D2793" i="3" a="1"/>
  <c r="D2793" i="3" s="1"/>
  <c r="E2793" i="3" a="1"/>
  <c r="E2793" i="3" s="1"/>
  <c r="F2793" i="3" a="1"/>
  <c r="F2793" i="3" s="1"/>
  <c r="G2793" i="3" a="1"/>
  <c r="G2793" i="3" s="1"/>
  <c r="J2793" i="3" a="1"/>
  <c r="J2793" i="3" s="1"/>
  <c r="B2794" i="3" a="1"/>
  <c r="B2794" i="3" s="1"/>
  <c r="C2794" i="3" a="1"/>
  <c r="C2794" i="3" s="1"/>
  <c r="D2794" i="3" a="1"/>
  <c r="D2794" i="3" s="1"/>
  <c r="E2794" i="3" a="1"/>
  <c r="E2794" i="3" s="1"/>
  <c r="F2794" i="3" a="1"/>
  <c r="F2794" i="3" s="1"/>
  <c r="G2794" i="3" a="1"/>
  <c r="G2794" i="3" s="1"/>
  <c r="J2794" i="3" a="1"/>
  <c r="J2794" i="3" s="1"/>
  <c r="B2795" i="3" a="1"/>
  <c r="B2795" i="3" s="1"/>
  <c r="C2795" i="3" a="1"/>
  <c r="C2795" i="3" s="1"/>
  <c r="D2795" i="3" a="1"/>
  <c r="D2795" i="3" s="1"/>
  <c r="E2795" i="3" a="1"/>
  <c r="E2795" i="3" s="1"/>
  <c r="F2795" i="3" a="1"/>
  <c r="F2795" i="3" s="1"/>
  <c r="G2795" i="3" a="1"/>
  <c r="G2795" i="3" s="1"/>
  <c r="J2795" i="3" a="1"/>
  <c r="J2795" i="3" s="1"/>
  <c r="B2796" i="3" a="1"/>
  <c r="B2796" i="3" s="1"/>
  <c r="C2796" i="3" a="1"/>
  <c r="C2796" i="3" s="1"/>
  <c r="D2796" i="3" a="1"/>
  <c r="D2796" i="3" s="1"/>
  <c r="E2796" i="3" a="1"/>
  <c r="E2796" i="3" s="1"/>
  <c r="F2796" i="3" a="1"/>
  <c r="F2796" i="3" s="1"/>
  <c r="G2796" i="3" a="1"/>
  <c r="G2796" i="3" s="1"/>
  <c r="J2796" i="3" a="1"/>
  <c r="J2796" i="3" s="1"/>
  <c r="B2797" i="3" a="1"/>
  <c r="B2797" i="3" s="1"/>
  <c r="C2797" i="3" a="1"/>
  <c r="C2797" i="3" s="1"/>
  <c r="D2797" i="3" a="1"/>
  <c r="D2797" i="3" s="1"/>
  <c r="E2797" i="3" a="1"/>
  <c r="E2797" i="3" s="1"/>
  <c r="F2797" i="3" a="1"/>
  <c r="F2797" i="3" s="1"/>
  <c r="G2797" i="3" a="1"/>
  <c r="G2797" i="3" s="1"/>
  <c r="J2797" i="3" a="1"/>
  <c r="J2797" i="3" s="1"/>
  <c r="B2798" i="3" a="1"/>
  <c r="B2798" i="3" s="1"/>
  <c r="C2798" i="3" a="1"/>
  <c r="C2798" i="3" s="1"/>
  <c r="D2798" i="3" a="1"/>
  <c r="D2798" i="3" s="1"/>
  <c r="E2798" i="3" a="1"/>
  <c r="E2798" i="3" s="1"/>
  <c r="F2798" i="3" a="1"/>
  <c r="F2798" i="3" s="1"/>
  <c r="G2798" i="3" a="1"/>
  <c r="G2798" i="3" s="1"/>
  <c r="J2798" i="3" a="1"/>
  <c r="J2798" i="3" s="1"/>
  <c r="B2799" i="3" a="1"/>
  <c r="B2799" i="3" s="1"/>
  <c r="C2799" i="3" a="1"/>
  <c r="C2799" i="3" s="1"/>
  <c r="D2799" i="3" a="1"/>
  <c r="D2799" i="3" s="1"/>
  <c r="E2799" i="3" a="1"/>
  <c r="E2799" i="3" s="1"/>
  <c r="F2799" i="3" a="1"/>
  <c r="F2799" i="3" s="1"/>
  <c r="G2799" i="3" a="1"/>
  <c r="G2799" i="3" s="1"/>
  <c r="J2799" i="3" a="1"/>
  <c r="J2799" i="3" s="1"/>
  <c r="B2800" i="3" a="1"/>
  <c r="B2800" i="3" s="1"/>
  <c r="C2800" i="3" a="1"/>
  <c r="C2800" i="3" s="1"/>
  <c r="D2800" i="3" a="1"/>
  <c r="D2800" i="3" s="1"/>
  <c r="E2800" i="3" a="1"/>
  <c r="E2800" i="3" s="1"/>
  <c r="F2800" i="3" a="1"/>
  <c r="F2800" i="3" s="1"/>
  <c r="G2800" i="3" a="1"/>
  <c r="G2800" i="3" s="1"/>
  <c r="J2800" i="3" a="1"/>
  <c r="J2800" i="3" s="1"/>
  <c r="B2801" i="3" a="1"/>
  <c r="B2801" i="3" s="1"/>
  <c r="C2801" i="3" a="1"/>
  <c r="C2801" i="3" s="1"/>
  <c r="D2801" i="3" a="1"/>
  <c r="D2801" i="3" s="1"/>
  <c r="E2801" i="3" a="1"/>
  <c r="E2801" i="3" s="1"/>
  <c r="F2801" i="3" a="1"/>
  <c r="F2801" i="3" s="1"/>
  <c r="G2801" i="3" a="1"/>
  <c r="G2801" i="3" s="1"/>
  <c r="J2801" i="3" a="1"/>
  <c r="J2801" i="3" s="1"/>
  <c r="B2802" i="3" a="1"/>
  <c r="B2802" i="3" s="1"/>
  <c r="C2802" i="3" a="1"/>
  <c r="C2802" i="3" s="1"/>
  <c r="D2802" i="3" a="1"/>
  <c r="D2802" i="3" s="1"/>
  <c r="E2802" i="3" a="1"/>
  <c r="E2802" i="3" s="1"/>
  <c r="F2802" i="3" a="1"/>
  <c r="F2802" i="3" s="1"/>
  <c r="G2802" i="3" a="1"/>
  <c r="G2802" i="3" s="1"/>
  <c r="J2802" i="3" a="1"/>
  <c r="J2802" i="3" s="1"/>
  <c r="B2803" i="3" a="1"/>
  <c r="B2803" i="3" s="1"/>
  <c r="C2803" i="3" a="1"/>
  <c r="C2803" i="3" s="1"/>
  <c r="D2803" i="3" a="1"/>
  <c r="D2803" i="3" s="1"/>
  <c r="E2803" i="3" a="1"/>
  <c r="E2803" i="3" s="1"/>
  <c r="F2803" i="3" a="1"/>
  <c r="F2803" i="3" s="1"/>
  <c r="G2803" i="3" a="1"/>
  <c r="G2803" i="3" s="1"/>
  <c r="J2803" i="3" a="1"/>
  <c r="J2803" i="3" s="1"/>
  <c r="B2804" i="3" a="1"/>
  <c r="B2804" i="3" s="1"/>
  <c r="C2804" i="3" a="1"/>
  <c r="C2804" i="3" s="1"/>
  <c r="D2804" i="3" a="1"/>
  <c r="D2804" i="3" s="1"/>
  <c r="E2804" i="3" a="1"/>
  <c r="E2804" i="3" s="1"/>
  <c r="F2804" i="3" a="1"/>
  <c r="F2804" i="3" s="1"/>
  <c r="G2804" i="3" a="1"/>
  <c r="G2804" i="3" s="1"/>
  <c r="J2804" i="3" a="1"/>
  <c r="J2804" i="3" s="1"/>
  <c r="B2805" i="3" a="1"/>
  <c r="B2805" i="3" s="1"/>
  <c r="C2805" i="3" a="1"/>
  <c r="C2805" i="3" s="1"/>
  <c r="D2805" i="3" a="1"/>
  <c r="D2805" i="3" s="1"/>
  <c r="E2805" i="3" a="1"/>
  <c r="E2805" i="3" s="1"/>
  <c r="F2805" i="3" a="1"/>
  <c r="F2805" i="3" s="1"/>
  <c r="G2805" i="3" a="1"/>
  <c r="G2805" i="3" s="1"/>
  <c r="J2805" i="3" a="1"/>
  <c r="J2805" i="3" s="1"/>
  <c r="B2806" i="3" a="1"/>
  <c r="B2806" i="3" s="1"/>
  <c r="C2806" i="3" a="1"/>
  <c r="C2806" i="3" s="1"/>
  <c r="D2806" i="3" a="1"/>
  <c r="D2806" i="3" s="1"/>
  <c r="E2806" i="3" a="1"/>
  <c r="E2806" i="3" s="1"/>
  <c r="F2806" i="3" a="1"/>
  <c r="F2806" i="3" s="1"/>
  <c r="G2806" i="3" a="1"/>
  <c r="G2806" i="3" s="1"/>
  <c r="J2806" i="3" a="1"/>
  <c r="J2806" i="3" s="1"/>
  <c r="B2807" i="3" a="1"/>
  <c r="B2807" i="3" s="1"/>
  <c r="C2807" i="3" a="1"/>
  <c r="C2807" i="3" s="1"/>
  <c r="D2807" i="3" a="1"/>
  <c r="D2807" i="3" s="1"/>
  <c r="E2807" i="3" a="1"/>
  <c r="E2807" i="3" s="1"/>
  <c r="F2807" i="3" a="1"/>
  <c r="F2807" i="3" s="1"/>
  <c r="G2807" i="3" a="1"/>
  <c r="G2807" i="3" s="1"/>
  <c r="J2807" i="3" a="1"/>
  <c r="J2807" i="3" s="1"/>
  <c r="B2808" i="3" a="1"/>
  <c r="B2808" i="3" s="1"/>
  <c r="C2808" i="3" a="1"/>
  <c r="C2808" i="3" s="1"/>
  <c r="D2808" i="3" a="1"/>
  <c r="D2808" i="3" s="1"/>
  <c r="E2808" i="3" a="1"/>
  <c r="E2808" i="3" s="1"/>
  <c r="F2808" i="3" a="1"/>
  <c r="F2808" i="3" s="1"/>
  <c r="G2808" i="3" a="1"/>
  <c r="G2808" i="3" s="1"/>
  <c r="J2808" i="3" a="1"/>
  <c r="J2808" i="3" s="1"/>
  <c r="B2809" i="3" a="1"/>
  <c r="B2809" i="3" s="1"/>
  <c r="C2809" i="3" a="1"/>
  <c r="C2809" i="3" s="1"/>
  <c r="D2809" i="3" a="1"/>
  <c r="D2809" i="3" s="1"/>
  <c r="E2809" i="3" a="1"/>
  <c r="E2809" i="3" s="1"/>
  <c r="F2809" i="3" a="1"/>
  <c r="F2809" i="3" s="1"/>
  <c r="G2809" i="3" a="1"/>
  <c r="G2809" i="3" s="1"/>
  <c r="J2809" i="3" a="1"/>
  <c r="J2809" i="3" s="1"/>
  <c r="B2810" i="3" a="1"/>
  <c r="B2810" i="3" s="1"/>
  <c r="C2810" i="3" a="1"/>
  <c r="C2810" i="3" s="1"/>
  <c r="D2810" i="3" a="1"/>
  <c r="D2810" i="3" s="1"/>
  <c r="E2810" i="3" a="1"/>
  <c r="E2810" i="3" s="1"/>
  <c r="F2810" i="3" a="1"/>
  <c r="F2810" i="3" s="1"/>
  <c r="G2810" i="3" a="1"/>
  <c r="G2810" i="3" s="1"/>
  <c r="J2810" i="3" a="1"/>
  <c r="J2810" i="3" s="1"/>
  <c r="B2811" i="3" a="1"/>
  <c r="B2811" i="3" s="1"/>
  <c r="C2811" i="3" a="1"/>
  <c r="C2811" i="3" s="1"/>
  <c r="D2811" i="3" a="1"/>
  <c r="D2811" i="3" s="1"/>
  <c r="E2811" i="3" a="1"/>
  <c r="E2811" i="3" s="1"/>
  <c r="F2811" i="3" a="1"/>
  <c r="F2811" i="3" s="1"/>
  <c r="G2811" i="3" a="1"/>
  <c r="G2811" i="3" s="1"/>
  <c r="J2811" i="3" a="1"/>
  <c r="J2811" i="3" s="1"/>
  <c r="B2812" i="3" a="1"/>
  <c r="B2812" i="3" s="1"/>
  <c r="C2812" i="3" a="1"/>
  <c r="C2812" i="3" s="1"/>
  <c r="D2812" i="3" a="1"/>
  <c r="D2812" i="3" s="1"/>
  <c r="E2812" i="3" a="1"/>
  <c r="E2812" i="3" s="1"/>
  <c r="F2812" i="3" a="1"/>
  <c r="F2812" i="3" s="1"/>
  <c r="G2812" i="3" a="1"/>
  <c r="G2812" i="3" s="1"/>
  <c r="J2812" i="3" a="1"/>
  <c r="J2812" i="3" s="1"/>
  <c r="B2813" i="3" a="1"/>
  <c r="B2813" i="3" s="1"/>
  <c r="C2813" i="3" a="1"/>
  <c r="C2813" i="3" s="1"/>
  <c r="D2813" i="3" a="1"/>
  <c r="D2813" i="3" s="1"/>
  <c r="E2813" i="3" a="1"/>
  <c r="E2813" i="3" s="1"/>
  <c r="F2813" i="3" a="1"/>
  <c r="F2813" i="3" s="1"/>
  <c r="G2813" i="3" a="1"/>
  <c r="G2813" i="3" s="1"/>
  <c r="J2813" i="3" a="1"/>
  <c r="J2813" i="3" s="1"/>
  <c r="B2814" i="3" a="1"/>
  <c r="B2814" i="3" s="1"/>
  <c r="C2814" i="3" a="1"/>
  <c r="C2814" i="3" s="1"/>
  <c r="D2814" i="3" a="1"/>
  <c r="D2814" i="3" s="1"/>
  <c r="E2814" i="3" a="1"/>
  <c r="E2814" i="3" s="1"/>
  <c r="F2814" i="3" a="1"/>
  <c r="F2814" i="3" s="1"/>
  <c r="G2814" i="3" a="1"/>
  <c r="G2814" i="3" s="1"/>
  <c r="J2814" i="3" a="1"/>
  <c r="J2814" i="3" s="1"/>
  <c r="B2815" i="3" a="1"/>
  <c r="B2815" i="3" s="1"/>
  <c r="C2815" i="3" a="1"/>
  <c r="C2815" i="3" s="1"/>
  <c r="D2815" i="3" a="1"/>
  <c r="D2815" i="3" s="1"/>
  <c r="E2815" i="3" a="1"/>
  <c r="E2815" i="3" s="1"/>
  <c r="F2815" i="3" a="1"/>
  <c r="F2815" i="3" s="1"/>
  <c r="G2815" i="3" a="1"/>
  <c r="G2815" i="3" s="1"/>
  <c r="J2815" i="3" a="1"/>
  <c r="J2815" i="3" s="1"/>
  <c r="B2816" i="3" a="1"/>
  <c r="B2816" i="3" s="1"/>
  <c r="C2816" i="3" a="1"/>
  <c r="C2816" i="3" s="1"/>
  <c r="D2816" i="3" a="1"/>
  <c r="D2816" i="3" s="1"/>
  <c r="E2816" i="3" a="1"/>
  <c r="E2816" i="3" s="1"/>
  <c r="F2816" i="3" a="1"/>
  <c r="F2816" i="3" s="1"/>
  <c r="G2816" i="3" a="1"/>
  <c r="G2816" i="3" s="1"/>
  <c r="J2816" i="3" a="1"/>
  <c r="J2816" i="3" s="1"/>
  <c r="B2817" i="3" a="1"/>
  <c r="B2817" i="3" s="1"/>
  <c r="C2817" i="3" a="1"/>
  <c r="C2817" i="3" s="1"/>
  <c r="D2817" i="3" a="1"/>
  <c r="D2817" i="3" s="1"/>
  <c r="E2817" i="3" a="1"/>
  <c r="E2817" i="3" s="1"/>
  <c r="F2817" i="3" a="1"/>
  <c r="F2817" i="3" s="1"/>
  <c r="G2817" i="3" a="1"/>
  <c r="G2817" i="3" s="1"/>
  <c r="J2817" i="3" a="1"/>
  <c r="J2817" i="3" s="1"/>
  <c r="B2818" i="3" a="1"/>
  <c r="B2818" i="3" s="1"/>
  <c r="C2818" i="3" a="1"/>
  <c r="C2818" i="3" s="1"/>
  <c r="D2818" i="3" a="1"/>
  <c r="D2818" i="3" s="1"/>
  <c r="E2818" i="3" a="1"/>
  <c r="E2818" i="3" s="1"/>
  <c r="F2818" i="3" a="1"/>
  <c r="F2818" i="3" s="1"/>
  <c r="G2818" i="3" a="1"/>
  <c r="G2818" i="3" s="1"/>
  <c r="J2818" i="3" a="1"/>
  <c r="J2818" i="3" s="1"/>
  <c r="B2819" i="3" a="1"/>
  <c r="B2819" i="3" s="1"/>
  <c r="C2819" i="3" a="1"/>
  <c r="C2819" i="3" s="1"/>
  <c r="D2819" i="3" a="1"/>
  <c r="D2819" i="3" s="1"/>
  <c r="E2819" i="3" a="1"/>
  <c r="E2819" i="3" s="1"/>
  <c r="F2819" i="3" a="1"/>
  <c r="F2819" i="3" s="1"/>
  <c r="G2819" i="3" a="1"/>
  <c r="G2819" i="3" s="1"/>
  <c r="J2819" i="3" a="1"/>
  <c r="J2819" i="3" s="1"/>
  <c r="B2820" i="3" a="1"/>
  <c r="B2820" i="3" s="1"/>
  <c r="C2820" i="3" a="1"/>
  <c r="C2820" i="3" s="1"/>
  <c r="D2820" i="3" a="1"/>
  <c r="D2820" i="3" s="1"/>
  <c r="E2820" i="3" a="1"/>
  <c r="E2820" i="3" s="1"/>
  <c r="F2820" i="3" a="1"/>
  <c r="F2820" i="3" s="1"/>
  <c r="G2820" i="3" a="1"/>
  <c r="G2820" i="3" s="1"/>
  <c r="J2820" i="3" a="1"/>
  <c r="J2820" i="3" s="1"/>
  <c r="B2821" i="3" a="1"/>
  <c r="B2821" i="3" s="1"/>
  <c r="C2821" i="3" a="1"/>
  <c r="C2821" i="3" s="1"/>
  <c r="D2821" i="3" a="1"/>
  <c r="D2821" i="3" s="1"/>
  <c r="E2821" i="3" a="1"/>
  <c r="E2821" i="3" s="1"/>
  <c r="F2821" i="3" a="1"/>
  <c r="F2821" i="3" s="1"/>
  <c r="G2821" i="3" a="1"/>
  <c r="G2821" i="3" s="1"/>
  <c r="J2821" i="3" a="1"/>
  <c r="J2821" i="3" s="1"/>
  <c r="B2822" i="3" a="1"/>
  <c r="B2822" i="3" s="1"/>
  <c r="C2822" i="3" a="1"/>
  <c r="C2822" i="3" s="1"/>
  <c r="D2822" i="3" a="1"/>
  <c r="D2822" i="3" s="1"/>
  <c r="E2822" i="3" a="1"/>
  <c r="E2822" i="3" s="1"/>
  <c r="F2822" i="3" a="1"/>
  <c r="F2822" i="3" s="1"/>
  <c r="G2822" i="3" a="1"/>
  <c r="G2822" i="3" s="1"/>
  <c r="J2822" i="3" a="1"/>
  <c r="J2822" i="3" s="1"/>
  <c r="B2823" i="3" a="1"/>
  <c r="B2823" i="3" s="1"/>
  <c r="C2823" i="3" a="1"/>
  <c r="C2823" i="3" s="1"/>
  <c r="D2823" i="3" a="1"/>
  <c r="D2823" i="3" s="1"/>
  <c r="E2823" i="3" a="1"/>
  <c r="E2823" i="3" s="1"/>
  <c r="F2823" i="3" a="1"/>
  <c r="F2823" i="3" s="1"/>
  <c r="G2823" i="3" a="1"/>
  <c r="G2823" i="3" s="1"/>
  <c r="J2823" i="3" a="1"/>
  <c r="J2823" i="3" s="1"/>
  <c r="B2824" i="3" a="1"/>
  <c r="B2824" i="3" s="1"/>
  <c r="C2824" i="3" a="1"/>
  <c r="C2824" i="3" s="1"/>
  <c r="D2824" i="3" a="1"/>
  <c r="D2824" i="3" s="1"/>
  <c r="E2824" i="3" a="1"/>
  <c r="E2824" i="3" s="1"/>
  <c r="F2824" i="3" a="1"/>
  <c r="F2824" i="3" s="1"/>
  <c r="G2824" i="3" a="1"/>
  <c r="G2824" i="3" s="1"/>
  <c r="J2824" i="3" a="1"/>
  <c r="J2824" i="3" s="1"/>
  <c r="B2825" i="3" a="1"/>
  <c r="B2825" i="3" s="1"/>
  <c r="C2825" i="3" a="1"/>
  <c r="C2825" i="3" s="1"/>
  <c r="D2825" i="3" a="1"/>
  <c r="D2825" i="3" s="1"/>
  <c r="E2825" i="3" a="1"/>
  <c r="E2825" i="3" s="1"/>
  <c r="F2825" i="3" a="1"/>
  <c r="F2825" i="3" s="1"/>
  <c r="G2825" i="3" a="1"/>
  <c r="G2825" i="3" s="1"/>
  <c r="J2825" i="3" a="1"/>
  <c r="J2825" i="3" s="1"/>
  <c r="B2826" i="3" a="1"/>
  <c r="B2826" i="3" s="1"/>
  <c r="C2826" i="3" a="1"/>
  <c r="C2826" i="3" s="1"/>
  <c r="D2826" i="3" a="1"/>
  <c r="D2826" i="3" s="1"/>
  <c r="E2826" i="3" a="1"/>
  <c r="E2826" i="3" s="1"/>
  <c r="F2826" i="3" a="1"/>
  <c r="F2826" i="3" s="1"/>
  <c r="G2826" i="3" a="1"/>
  <c r="G2826" i="3" s="1"/>
  <c r="J2826" i="3" a="1"/>
  <c r="J2826" i="3" s="1"/>
  <c r="B2827" i="3" a="1"/>
  <c r="B2827" i="3" s="1"/>
  <c r="C2827" i="3" a="1"/>
  <c r="C2827" i="3" s="1"/>
  <c r="D2827" i="3" a="1"/>
  <c r="D2827" i="3" s="1"/>
  <c r="E2827" i="3" a="1"/>
  <c r="E2827" i="3" s="1"/>
  <c r="F2827" i="3" a="1"/>
  <c r="F2827" i="3" s="1"/>
  <c r="G2827" i="3" a="1"/>
  <c r="G2827" i="3" s="1"/>
  <c r="J2827" i="3" a="1"/>
  <c r="J2827" i="3" s="1"/>
  <c r="B2828" i="3" a="1"/>
  <c r="B2828" i="3" s="1"/>
  <c r="C2828" i="3" a="1"/>
  <c r="C2828" i="3" s="1"/>
  <c r="D2828" i="3" a="1"/>
  <c r="D2828" i="3" s="1"/>
  <c r="E2828" i="3" a="1"/>
  <c r="E2828" i="3" s="1"/>
  <c r="F2828" i="3" a="1"/>
  <c r="F2828" i="3" s="1"/>
  <c r="G2828" i="3" a="1"/>
  <c r="G2828" i="3" s="1"/>
  <c r="J2828" i="3" a="1"/>
  <c r="J2828" i="3" s="1"/>
  <c r="B2829" i="3" a="1"/>
  <c r="B2829" i="3" s="1"/>
  <c r="C2829" i="3" a="1"/>
  <c r="C2829" i="3" s="1"/>
  <c r="D2829" i="3" a="1"/>
  <c r="D2829" i="3" s="1"/>
  <c r="E2829" i="3" a="1"/>
  <c r="E2829" i="3" s="1"/>
  <c r="F2829" i="3" a="1"/>
  <c r="F2829" i="3" s="1"/>
  <c r="G2829" i="3" a="1"/>
  <c r="G2829" i="3" s="1"/>
  <c r="J2829" i="3" a="1"/>
  <c r="J2829" i="3" s="1"/>
  <c r="B2830" i="3" a="1"/>
  <c r="B2830" i="3" s="1"/>
  <c r="C2830" i="3" a="1"/>
  <c r="C2830" i="3" s="1"/>
  <c r="D2830" i="3" a="1"/>
  <c r="D2830" i="3" s="1"/>
  <c r="E2830" i="3" a="1"/>
  <c r="E2830" i="3" s="1"/>
  <c r="F2830" i="3" a="1"/>
  <c r="F2830" i="3" s="1"/>
  <c r="G2830" i="3" a="1"/>
  <c r="G2830" i="3" s="1"/>
  <c r="J2830" i="3" a="1"/>
  <c r="J2830" i="3" s="1"/>
  <c r="B2831" i="3" a="1"/>
  <c r="B2831" i="3" s="1"/>
  <c r="C2831" i="3" a="1"/>
  <c r="C2831" i="3" s="1"/>
  <c r="D2831" i="3" a="1"/>
  <c r="D2831" i="3" s="1"/>
  <c r="E2831" i="3" a="1"/>
  <c r="E2831" i="3" s="1"/>
  <c r="F2831" i="3" a="1"/>
  <c r="F2831" i="3" s="1"/>
  <c r="G2831" i="3" a="1"/>
  <c r="G2831" i="3" s="1"/>
  <c r="J2831" i="3" a="1"/>
  <c r="J2831" i="3" s="1"/>
  <c r="B2832" i="3" a="1"/>
  <c r="B2832" i="3" s="1"/>
  <c r="C2832" i="3" a="1"/>
  <c r="C2832" i="3" s="1"/>
  <c r="D2832" i="3" a="1"/>
  <c r="D2832" i="3" s="1"/>
  <c r="E2832" i="3" a="1"/>
  <c r="E2832" i="3" s="1"/>
  <c r="F2832" i="3" a="1"/>
  <c r="F2832" i="3" s="1"/>
  <c r="G2832" i="3" a="1"/>
  <c r="G2832" i="3" s="1"/>
  <c r="J2832" i="3" a="1"/>
  <c r="J2832" i="3" s="1"/>
  <c r="B2833" i="3" a="1"/>
  <c r="B2833" i="3" s="1"/>
  <c r="C2833" i="3" a="1"/>
  <c r="C2833" i="3" s="1"/>
  <c r="D2833" i="3" a="1"/>
  <c r="D2833" i="3" s="1"/>
  <c r="E2833" i="3" a="1"/>
  <c r="E2833" i="3" s="1"/>
  <c r="F2833" i="3" a="1"/>
  <c r="F2833" i="3" s="1"/>
  <c r="G2833" i="3" a="1"/>
  <c r="G2833" i="3" s="1"/>
  <c r="J2833" i="3" a="1"/>
  <c r="J2833" i="3" s="1"/>
  <c r="B2834" i="3" a="1"/>
  <c r="B2834" i="3" s="1"/>
  <c r="C2834" i="3" a="1"/>
  <c r="C2834" i="3" s="1"/>
  <c r="D2834" i="3" a="1"/>
  <c r="D2834" i="3" s="1"/>
  <c r="E2834" i="3" a="1"/>
  <c r="E2834" i="3" s="1"/>
  <c r="F2834" i="3" a="1"/>
  <c r="F2834" i="3" s="1"/>
  <c r="G2834" i="3" a="1"/>
  <c r="G2834" i="3" s="1"/>
  <c r="J2834" i="3" a="1"/>
  <c r="J2834" i="3" s="1"/>
  <c r="B2835" i="3" a="1"/>
  <c r="B2835" i="3" s="1"/>
  <c r="C2835" i="3" a="1"/>
  <c r="C2835" i="3" s="1"/>
  <c r="D2835" i="3" a="1"/>
  <c r="D2835" i="3" s="1"/>
  <c r="E2835" i="3" a="1"/>
  <c r="E2835" i="3" s="1"/>
  <c r="F2835" i="3" a="1"/>
  <c r="F2835" i="3" s="1"/>
  <c r="G2835" i="3" a="1"/>
  <c r="G2835" i="3" s="1"/>
  <c r="J2835" i="3" a="1"/>
  <c r="J2835" i="3" s="1"/>
  <c r="B2836" i="3" a="1"/>
  <c r="B2836" i="3" s="1"/>
  <c r="C2836" i="3" a="1"/>
  <c r="C2836" i="3" s="1"/>
  <c r="D2836" i="3" a="1"/>
  <c r="D2836" i="3" s="1"/>
  <c r="E2836" i="3" a="1"/>
  <c r="E2836" i="3" s="1"/>
  <c r="F2836" i="3" a="1"/>
  <c r="F2836" i="3" s="1"/>
  <c r="G2836" i="3" a="1"/>
  <c r="G2836" i="3" s="1"/>
  <c r="J2836" i="3" a="1"/>
  <c r="J2836" i="3" s="1"/>
  <c r="B2837" i="3" a="1"/>
  <c r="B2837" i="3" s="1"/>
  <c r="C2837" i="3" a="1"/>
  <c r="C2837" i="3" s="1"/>
  <c r="D2837" i="3" a="1"/>
  <c r="D2837" i="3" s="1"/>
  <c r="E2837" i="3" a="1"/>
  <c r="E2837" i="3" s="1"/>
  <c r="F2837" i="3" a="1"/>
  <c r="F2837" i="3" s="1"/>
  <c r="G2837" i="3" a="1"/>
  <c r="G2837" i="3" s="1"/>
  <c r="J2837" i="3" a="1"/>
  <c r="J2837" i="3" s="1"/>
  <c r="B2838" i="3" a="1"/>
  <c r="B2838" i="3" s="1"/>
  <c r="C2838" i="3" a="1"/>
  <c r="C2838" i="3" s="1"/>
  <c r="D2838" i="3" a="1"/>
  <c r="D2838" i="3" s="1"/>
  <c r="E2838" i="3" a="1"/>
  <c r="E2838" i="3" s="1"/>
  <c r="F2838" i="3" a="1"/>
  <c r="F2838" i="3" s="1"/>
  <c r="G2838" i="3" a="1"/>
  <c r="G2838" i="3" s="1"/>
  <c r="J2838" i="3" a="1"/>
  <c r="J2838" i="3" s="1"/>
  <c r="B2839" i="3" a="1"/>
  <c r="B2839" i="3" s="1"/>
  <c r="C2839" i="3" a="1"/>
  <c r="C2839" i="3" s="1"/>
  <c r="D2839" i="3" a="1"/>
  <c r="D2839" i="3" s="1"/>
  <c r="E2839" i="3" a="1"/>
  <c r="E2839" i="3" s="1"/>
  <c r="F2839" i="3" a="1"/>
  <c r="F2839" i="3" s="1"/>
  <c r="G2839" i="3" a="1"/>
  <c r="G2839" i="3" s="1"/>
  <c r="J2839" i="3" a="1"/>
  <c r="J2839" i="3" s="1"/>
  <c r="B2840" i="3" a="1"/>
  <c r="B2840" i="3" s="1"/>
  <c r="C2840" i="3" a="1"/>
  <c r="C2840" i="3" s="1"/>
  <c r="D2840" i="3" a="1"/>
  <c r="D2840" i="3" s="1"/>
  <c r="E2840" i="3" a="1"/>
  <c r="E2840" i="3" s="1"/>
  <c r="F2840" i="3" a="1"/>
  <c r="F2840" i="3" s="1"/>
  <c r="G2840" i="3" a="1"/>
  <c r="G2840" i="3" s="1"/>
  <c r="J2840" i="3" a="1"/>
  <c r="J2840" i="3" s="1"/>
  <c r="B2841" i="3" a="1"/>
  <c r="B2841" i="3" s="1"/>
  <c r="C2841" i="3" a="1"/>
  <c r="C2841" i="3" s="1"/>
  <c r="D2841" i="3" a="1"/>
  <c r="D2841" i="3" s="1"/>
  <c r="E2841" i="3" a="1"/>
  <c r="E2841" i="3" s="1"/>
  <c r="F2841" i="3" a="1"/>
  <c r="F2841" i="3" s="1"/>
  <c r="G2841" i="3" a="1"/>
  <c r="G2841" i="3" s="1"/>
  <c r="J2841" i="3" a="1"/>
  <c r="J2841" i="3" s="1"/>
  <c r="B2842" i="3" a="1"/>
  <c r="B2842" i="3" s="1"/>
  <c r="C2842" i="3" a="1"/>
  <c r="C2842" i="3" s="1"/>
  <c r="D2842" i="3" a="1"/>
  <c r="D2842" i="3" s="1"/>
  <c r="E2842" i="3" a="1"/>
  <c r="E2842" i="3" s="1"/>
  <c r="F2842" i="3" a="1"/>
  <c r="F2842" i="3" s="1"/>
  <c r="G2842" i="3" a="1"/>
  <c r="G2842" i="3" s="1"/>
  <c r="J2842" i="3" a="1"/>
  <c r="J2842" i="3" s="1"/>
  <c r="B2843" i="3" a="1"/>
  <c r="B2843" i="3" s="1"/>
  <c r="C2843" i="3" a="1"/>
  <c r="C2843" i="3" s="1"/>
  <c r="D2843" i="3" a="1"/>
  <c r="D2843" i="3" s="1"/>
  <c r="E2843" i="3" a="1"/>
  <c r="E2843" i="3" s="1"/>
  <c r="F2843" i="3" a="1"/>
  <c r="F2843" i="3" s="1"/>
  <c r="G2843" i="3" a="1"/>
  <c r="G2843" i="3" s="1"/>
  <c r="J2843" i="3" a="1"/>
  <c r="J2843" i="3" s="1"/>
  <c r="B2844" i="3" a="1"/>
  <c r="B2844" i="3" s="1"/>
  <c r="C2844" i="3" a="1"/>
  <c r="C2844" i="3" s="1"/>
  <c r="D2844" i="3" a="1"/>
  <c r="D2844" i="3" s="1"/>
  <c r="E2844" i="3" a="1"/>
  <c r="E2844" i="3" s="1"/>
  <c r="F2844" i="3" a="1"/>
  <c r="F2844" i="3" s="1"/>
  <c r="G2844" i="3" a="1"/>
  <c r="G2844" i="3" s="1"/>
  <c r="J2844" i="3" a="1"/>
  <c r="J2844" i="3" s="1"/>
  <c r="B2845" i="3" a="1"/>
  <c r="B2845" i="3" s="1"/>
  <c r="C2845" i="3" a="1"/>
  <c r="C2845" i="3" s="1"/>
  <c r="D2845" i="3" a="1"/>
  <c r="D2845" i="3" s="1"/>
  <c r="E2845" i="3" a="1"/>
  <c r="E2845" i="3" s="1"/>
  <c r="F2845" i="3" a="1"/>
  <c r="F2845" i="3" s="1"/>
  <c r="G2845" i="3" a="1"/>
  <c r="G2845" i="3" s="1"/>
  <c r="J2845" i="3" a="1"/>
  <c r="J2845" i="3" s="1"/>
  <c r="B2846" i="3" a="1"/>
  <c r="B2846" i="3" s="1"/>
  <c r="C2846" i="3" a="1"/>
  <c r="C2846" i="3" s="1"/>
  <c r="D2846" i="3" a="1"/>
  <c r="D2846" i="3" s="1"/>
  <c r="E2846" i="3" a="1"/>
  <c r="E2846" i="3" s="1"/>
  <c r="F2846" i="3" a="1"/>
  <c r="F2846" i="3" s="1"/>
  <c r="G2846" i="3" a="1"/>
  <c r="G2846" i="3" s="1"/>
  <c r="J2846" i="3" a="1"/>
  <c r="J2846" i="3" s="1"/>
  <c r="B2847" i="3" a="1"/>
  <c r="B2847" i="3" s="1"/>
  <c r="C2847" i="3" a="1"/>
  <c r="C2847" i="3" s="1"/>
  <c r="D2847" i="3" a="1"/>
  <c r="D2847" i="3" s="1"/>
  <c r="E2847" i="3" a="1"/>
  <c r="E2847" i="3" s="1"/>
  <c r="F2847" i="3" a="1"/>
  <c r="F2847" i="3" s="1"/>
  <c r="G2847" i="3" a="1"/>
  <c r="G2847" i="3" s="1"/>
  <c r="J2847" i="3" a="1"/>
  <c r="J2847" i="3" s="1"/>
  <c r="B2848" i="3" a="1"/>
  <c r="B2848" i="3" s="1"/>
  <c r="C2848" i="3" a="1"/>
  <c r="C2848" i="3" s="1"/>
  <c r="D2848" i="3" a="1"/>
  <c r="D2848" i="3" s="1"/>
  <c r="E2848" i="3" a="1"/>
  <c r="E2848" i="3" s="1"/>
  <c r="F2848" i="3" a="1"/>
  <c r="F2848" i="3" s="1"/>
  <c r="G2848" i="3" a="1"/>
  <c r="G2848" i="3" s="1"/>
  <c r="J2848" i="3" a="1"/>
  <c r="J2848" i="3" s="1"/>
  <c r="B2849" i="3" a="1"/>
  <c r="B2849" i="3" s="1"/>
  <c r="C2849" i="3" a="1"/>
  <c r="C2849" i="3" s="1"/>
  <c r="D2849" i="3" a="1"/>
  <c r="D2849" i="3" s="1"/>
  <c r="E2849" i="3" a="1"/>
  <c r="E2849" i="3" s="1"/>
  <c r="F2849" i="3" a="1"/>
  <c r="F2849" i="3" s="1"/>
  <c r="G2849" i="3" a="1"/>
  <c r="G2849" i="3" s="1"/>
  <c r="J2849" i="3" a="1"/>
  <c r="J2849" i="3" s="1"/>
  <c r="B2850" i="3" a="1"/>
  <c r="B2850" i="3" s="1"/>
  <c r="C2850" i="3" a="1"/>
  <c r="C2850" i="3" s="1"/>
  <c r="D2850" i="3" a="1"/>
  <c r="D2850" i="3" s="1"/>
  <c r="E2850" i="3" a="1"/>
  <c r="E2850" i="3" s="1"/>
  <c r="F2850" i="3" a="1"/>
  <c r="F2850" i="3" s="1"/>
  <c r="G2850" i="3" a="1"/>
  <c r="G2850" i="3" s="1"/>
  <c r="J2850" i="3" a="1"/>
  <c r="J2850" i="3" s="1"/>
  <c r="B2851" i="3" a="1"/>
  <c r="B2851" i="3" s="1"/>
  <c r="C2851" i="3" a="1"/>
  <c r="C2851" i="3" s="1"/>
  <c r="D2851" i="3" a="1"/>
  <c r="D2851" i="3" s="1"/>
  <c r="E2851" i="3" a="1"/>
  <c r="E2851" i="3" s="1"/>
  <c r="F2851" i="3" a="1"/>
  <c r="F2851" i="3" s="1"/>
  <c r="G2851" i="3" a="1"/>
  <c r="G2851" i="3" s="1"/>
  <c r="J2851" i="3" a="1"/>
  <c r="J2851" i="3" s="1"/>
  <c r="B2852" i="3" a="1"/>
  <c r="B2852" i="3" s="1"/>
  <c r="C2852" i="3" a="1"/>
  <c r="C2852" i="3" s="1"/>
  <c r="D2852" i="3" a="1"/>
  <c r="D2852" i="3" s="1"/>
  <c r="E2852" i="3" a="1"/>
  <c r="E2852" i="3" s="1"/>
  <c r="F2852" i="3" a="1"/>
  <c r="F2852" i="3" s="1"/>
  <c r="G2852" i="3" a="1"/>
  <c r="G2852" i="3" s="1"/>
  <c r="J2852" i="3" a="1"/>
  <c r="J2852" i="3" s="1"/>
  <c r="B2853" i="3" a="1"/>
  <c r="B2853" i="3" s="1"/>
  <c r="C2853" i="3" a="1"/>
  <c r="C2853" i="3" s="1"/>
  <c r="D2853" i="3" a="1"/>
  <c r="D2853" i="3" s="1"/>
  <c r="E2853" i="3" a="1"/>
  <c r="E2853" i="3" s="1"/>
  <c r="F2853" i="3" a="1"/>
  <c r="F2853" i="3" s="1"/>
  <c r="G2853" i="3" a="1"/>
  <c r="G2853" i="3" s="1"/>
  <c r="J2853" i="3" a="1"/>
  <c r="J2853" i="3" s="1"/>
  <c r="B2854" i="3" a="1"/>
  <c r="B2854" i="3" s="1"/>
  <c r="C2854" i="3" a="1"/>
  <c r="C2854" i="3" s="1"/>
  <c r="D2854" i="3" a="1"/>
  <c r="D2854" i="3" s="1"/>
  <c r="E2854" i="3" a="1"/>
  <c r="E2854" i="3" s="1"/>
  <c r="F2854" i="3" a="1"/>
  <c r="F2854" i="3" s="1"/>
  <c r="G2854" i="3" a="1"/>
  <c r="G2854" i="3" s="1"/>
  <c r="J2854" i="3" a="1"/>
  <c r="J2854" i="3" s="1"/>
  <c r="B2855" i="3" a="1"/>
  <c r="B2855" i="3" s="1"/>
  <c r="C2855" i="3" a="1"/>
  <c r="C2855" i="3" s="1"/>
  <c r="D2855" i="3" a="1"/>
  <c r="D2855" i="3" s="1"/>
  <c r="E2855" i="3" a="1"/>
  <c r="E2855" i="3" s="1"/>
  <c r="F2855" i="3" a="1"/>
  <c r="F2855" i="3" s="1"/>
  <c r="G2855" i="3" a="1"/>
  <c r="G2855" i="3" s="1"/>
  <c r="J2855" i="3" a="1"/>
  <c r="J2855" i="3" s="1"/>
  <c r="B2856" i="3" a="1"/>
  <c r="B2856" i="3" s="1"/>
  <c r="C2856" i="3" a="1"/>
  <c r="C2856" i="3" s="1"/>
  <c r="D2856" i="3" a="1"/>
  <c r="D2856" i="3" s="1"/>
  <c r="E2856" i="3" a="1"/>
  <c r="E2856" i="3" s="1"/>
  <c r="F2856" i="3" a="1"/>
  <c r="F2856" i="3" s="1"/>
  <c r="G2856" i="3" a="1"/>
  <c r="G2856" i="3" s="1"/>
  <c r="J2856" i="3" a="1"/>
  <c r="J2856" i="3" s="1"/>
  <c r="B2857" i="3" a="1"/>
  <c r="B2857" i="3" s="1"/>
  <c r="C2857" i="3" a="1"/>
  <c r="C2857" i="3" s="1"/>
  <c r="D2857" i="3" a="1"/>
  <c r="D2857" i="3" s="1"/>
  <c r="E2857" i="3" a="1"/>
  <c r="E2857" i="3" s="1"/>
  <c r="F2857" i="3" a="1"/>
  <c r="F2857" i="3" s="1"/>
  <c r="G2857" i="3" a="1"/>
  <c r="G2857" i="3" s="1"/>
  <c r="J2857" i="3" a="1"/>
  <c r="J2857" i="3" s="1"/>
  <c r="B2858" i="3" a="1"/>
  <c r="B2858" i="3" s="1"/>
  <c r="C2858" i="3" a="1"/>
  <c r="C2858" i="3" s="1"/>
  <c r="D2858" i="3" a="1"/>
  <c r="D2858" i="3" s="1"/>
  <c r="E2858" i="3" a="1"/>
  <c r="E2858" i="3" s="1"/>
  <c r="F2858" i="3" a="1"/>
  <c r="F2858" i="3" s="1"/>
  <c r="G2858" i="3" a="1"/>
  <c r="G2858" i="3" s="1"/>
  <c r="J2858" i="3" a="1"/>
  <c r="J2858" i="3" s="1"/>
  <c r="B2859" i="3" a="1"/>
  <c r="B2859" i="3" s="1"/>
  <c r="C2859" i="3" a="1"/>
  <c r="C2859" i="3" s="1"/>
  <c r="D2859" i="3" a="1"/>
  <c r="D2859" i="3" s="1"/>
  <c r="E2859" i="3" a="1"/>
  <c r="E2859" i="3" s="1"/>
  <c r="F2859" i="3" a="1"/>
  <c r="F2859" i="3" s="1"/>
  <c r="G2859" i="3" a="1"/>
  <c r="G2859" i="3" s="1"/>
  <c r="J2859" i="3" a="1"/>
  <c r="J2859" i="3" s="1"/>
  <c r="B2860" i="3" a="1"/>
  <c r="B2860" i="3" s="1"/>
  <c r="C2860" i="3" a="1"/>
  <c r="C2860" i="3" s="1"/>
  <c r="D2860" i="3" a="1"/>
  <c r="D2860" i="3" s="1"/>
  <c r="E2860" i="3" a="1"/>
  <c r="E2860" i="3" s="1"/>
  <c r="F2860" i="3" a="1"/>
  <c r="F2860" i="3" s="1"/>
  <c r="G2860" i="3" a="1"/>
  <c r="G2860" i="3" s="1"/>
  <c r="J2860" i="3" a="1"/>
  <c r="J2860" i="3" s="1"/>
  <c r="B2861" i="3" a="1"/>
  <c r="B2861" i="3" s="1"/>
  <c r="C2861" i="3" a="1"/>
  <c r="C2861" i="3" s="1"/>
  <c r="D2861" i="3" a="1"/>
  <c r="D2861" i="3" s="1"/>
  <c r="E2861" i="3" a="1"/>
  <c r="E2861" i="3" s="1"/>
  <c r="F2861" i="3" a="1"/>
  <c r="F2861" i="3" s="1"/>
  <c r="G2861" i="3" a="1"/>
  <c r="G2861" i="3" s="1"/>
  <c r="J2861" i="3" a="1"/>
  <c r="J2861" i="3" s="1"/>
  <c r="B2862" i="3" a="1"/>
  <c r="B2862" i="3" s="1"/>
  <c r="C2862" i="3" a="1"/>
  <c r="C2862" i="3" s="1"/>
  <c r="D2862" i="3" a="1"/>
  <c r="D2862" i="3" s="1"/>
  <c r="E2862" i="3" a="1"/>
  <c r="E2862" i="3" s="1"/>
  <c r="F2862" i="3" a="1"/>
  <c r="F2862" i="3" s="1"/>
  <c r="G2862" i="3" a="1"/>
  <c r="G2862" i="3" s="1"/>
  <c r="J2862" i="3" a="1"/>
  <c r="J2862" i="3" s="1"/>
  <c r="B2863" i="3" a="1"/>
  <c r="B2863" i="3" s="1"/>
  <c r="C2863" i="3" a="1"/>
  <c r="C2863" i="3" s="1"/>
  <c r="D2863" i="3" a="1"/>
  <c r="D2863" i="3" s="1"/>
  <c r="E2863" i="3" a="1"/>
  <c r="E2863" i="3" s="1"/>
  <c r="F2863" i="3" a="1"/>
  <c r="F2863" i="3" s="1"/>
  <c r="G2863" i="3" a="1"/>
  <c r="G2863" i="3" s="1"/>
  <c r="J2863" i="3" a="1"/>
  <c r="J2863" i="3" s="1"/>
  <c r="B2864" i="3" a="1"/>
  <c r="B2864" i="3" s="1"/>
  <c r="C2864" i="3" a="1"/>
  <c r="C2864" i="3" s="1"/>
  <c r="D2864" i="3" a="1"/>
  <c r="D2864" i="3" s="1"/>
  <c r="E2864" i="3" a="1"/>
  <c r="E2864" i="3" s="1"/>
  <c r="F2864" i="3" a="1"/>
  <c r="F2864" i="3" s="1"/>
  <c r="G2864" i="3" a="1"/>
  <c r="G2864" i="3" s="1"/>
  <c r="J2864" i="3" a="1"/>
  <c r="J2864" i="3" s="1"/>
  <c r="B2865" i="3" a="1"/>
  <c r="B2865" i="3" s="1"/>
  <c r="C2865" i="3" a="1"/>
  <c r="C2865" i="3" s="1"/>
  <c r="D2865" i="3" a="1"/>
  <c r="D2865" i="3" s="1"/>
  <c r="E2865" i="3" a="1"/>
  <c r="E2865" i="3" s="1"/>
  <c r="F2865" i="3" a="1"/>
  <c r="F2865" i="3" s="1"/>
  <c r="G2865" i="3" a="1"/>
  <c r="G2865" i="3" s="1"/>
  <c r="J2865" i="3" a="1"/>
  <c r="J2865" i="3" s="1"/>
  <c r="B2866" i="3" a="1"/>
  <c r="B2866" i="3" s="1"/>
  <c r="C2866" i="3" a="1"/>
  <c r="C2866" i="3" s="1"/>
  <c r="D2866" i="3" a="1"/>
  <c r="D2866" i="3" s="1"/>
  <c r="E2866" i="3" a="1"/>
  <c r="E2866" i="3" s="1"/>
  <c r="F2866" i="3" a="1"/>
  <c r="F2866" i="3" s="1"/>
  <c r="G2866" i="3" a="1"/>
  <c r="G2866" i="3" s="1"/>
  <c r="J2866" i="3" a="1"/>
  <c r="J2866" i="3" s="1"/>
  <c r="B2867" i="3" a="1"/>
  <c r="B2867" i="3" s="1"/>
  <c r="C2867" i="3" a="1"/>
  <c r="C2867" i="3" s="1"/>
  <c r="D2867" i="3" a="1"/>
  <c r="D2867" i="3" s="1"/>
  <c r="E2867" i="3" a="1"/>
  <c r="E2867" i="3" s="1"/>
  <c r="F2867" i="3" a="1"/>
  <c r="F2867" i="3" s="1"/>
  <c r="G2867" i="3" a="1"/>
  <c r="G2867" i="3" s="1"/>
  <c r="J2867" i="3" a="1"/>
  <c r="J2867" i="3" s="1"/>
  <c r="B2868" i="3" a="1"/>
  <c r="B2868" i="3" s="1"/>
  <c r="C2868" i="3" a="1"/>
  <c r="C2868" i="3" s="1"/>
  <c r="D2868" i="3" a="1"/>
  <c r="D2868" i="3" s="1"/>
  <c r="E2868" i="3" a="1"/>
  <c r="E2868" i="3" s="1"/>
  <c r="F2868" i="3" a="1"/>
  <c r="F2868" i="3" s="1"/>
  <c r="G2868" i="3" a="1"/>
  <c r="G2868" i="3" s="1"/>
  <c r="J2868" i="3" a="1"/>
  <c r="J2868" i="3" s="1"/>
  <c r="B2869" i="3" a="1"/>
  <c r="B2869" i="3" s="1"/>
  <c r="C2869" i="3" a="1"/>
  <c r="C2869" i="3" s="1"/>
  <c r="D2869" i="3" a="1"/>
  <c r="D2869" i="3" s="1"/>
  <c r="E2869" i="3" a="1"/>
  <c r="E2869" i="3" s="1"/>
  <c r="F2869" i="3" a="1"/>
  <c r="F2869" i="3" s="1"/>
  <c r="G2869" i="3" a="1"/>
  <c r="G2869" i="3" s="1"/>
  <c r="J2869" i="3" a="1"/>
  <c r="J2869" i="3" s="1"/>
  <c r="B2870" i="3" a="1"/>
  <c r="B2870" i="3" s="1"/>
  <c r="C2870" i="3" a="1"/>
  <c r="C2870" i="3" s="1"/>
  <c r="D2870" i="3" a="1"/>
  <c r="D2870" i="3" s="1"/>
  <c r="E2870" i="3" a="1"/>
  <c r="E2870" i="3" s="1"/>
  <c r="F2870" i="3" a="1"/>
  <c r="F2870" i="3" s="1"/>
  <c r="G2870" i="3" a="1"/>
  <c r="G2870" i="3" s="1"/>
  <c r="J2870" i="3" a="1"/>
  <c r="J2870" i="3" s="1"/>
  <c r="B2871" i="3" a="1"/>
  <c r="B2871" i="3" s="1"/>
  <c r="C2871" i="3" a="1"/>
  <c r="C2871" i="3" s="1"/>
  <c r="D2871" i="3" a="1"/>
  <c r="D2871" i="3" s="1"/>
  <c r="E2871" i="3" a="1"/>
  <c r="E2871" i="3" s="1"/>
  <c r="F2871" i="3" a="1"/>
  <c r="F2871" i="3" s="1"/>
  <c r="G2871" i="3" a="1"/>
  <c r="G2871" i="3" s="1"/>
  <c r="J2871" i="3" a="1"/>
  <c r="J2871" i="3" s="1"/>
  <c r="B2872" i="3" a="1"/>
  <c r="B2872" i="3" s="1"/>
  <c r="C2872" i="3" a="1"/>
  <c r="C2872" i="3" s="1"/>
  <c r="D2872" i="3" a="1"/>
  <c r="D2872" i="3" s="1"/>
  <c r="E2872" i="3" a="1"/>
  <c r="E2872" i="3" s="1"/>
  <c r="F2872" i="3" a="1"/>
  <c r="F2872" i="3" s="1"/>
  <c r="G2872" i="3" a="1"/>
  <c r="G2872" i="3" s="1"/>
  <c r="J2872" i="3" a="1"/>
  <c r="J2872" i="3" s="1"/>
  <c r="B2873" i="3" a="1"/>
  <c r="B2873" i="3" s="1"/>
  <c r="C2873" i="3" a="1"/>
  <c r="C2873" i="3" s="1"/>
  <c r="D2873" i="3" a="1"/>
  <c r="D2873" i="3" s="1"/>
  <c r="E2873" i="3" a="1"/>
  <c r="E2873" i="3" s="1"/>
  <c r="F2873" i="3" a="1"/>
  <c r="F2873" i="3" s="1"/>
  <c r="G2873" i="3" a="1"/>
  <c r="G2873" i="3" s="1"/>
  <c r="J2873" i="3" a="1"/>
  <c r="J2873" i="3" s="1"/>
  <c r="B2874" i="3" a="1"/>
  <c r="B2874" i="3" s="1"/>
  <c r="C2874" i="3" a="1"/>
  <c r="C2874" i="3" s="1"/>
  <c r="D2874" i="3" a="1"/>
  <c r="D2874" i="3" s="1"/>
  <c r="E2874" i="3" a="1"/>
  <c r="E2874" i="3" s="1"/>
  <c r="F2874" i="3" a="1"/>
  <c r="F2874" i="3" s="1"/>
  <c r="G2874" i="3" a="1"/>
  <c r="G2874" i="3" s="1"/>
  <c r="J2874" i="3" a="1"/>
  <c r="J2874" i="3" s="1"/>
  <c r="B2875" i="3" a="1"/>
  <c r="B2875" i="3" s="1"/>
  <c r="C2875" i="3" a="1"/>
  <c r="C2875" i="3" s="1"/>
  <c r="D2875" i="3" a="1"/>
  <c r="D2875" i="3" s="1"/>
  <c r="E2875" i="3" a="1"/>
  <c r="E2875" i="3" s="1"/>
  <c r="F2875" i="3" a="1"/>
  <c r="F2875" i="3" s="1"/>
  <c r="G2875" i="3" a="1"/>
  <c r="G2875" i="3" s="1"/>
  <c r="J2875" i="3" a="1"/>
  <c r="J2875" i="3" s="1"/>
  <c r="B2876" i="3" a="1"/>
  <c r="B2876" i="3" s="1"/>
  <c r="C2876" i="3" a="1"/>
  <c r="C2876" i="3" s="1"/>
  <c r="D2876" i="3" a="1"/>
  <c r="D2876" i="3" s="1"/>
  <c r="E2876" i="3" a="1"/>
  <c r="E2876" i="3" s="1"/>
  <c r="F2876" i="3" a="1"/>
  <c r="F2876" i="3" s="1"/>
  <c r="G2876" i="3" a="1"/>
  <c r="G2876" i="3" s="1"/>
  <c r="J2876" i="3" a="1"/>
  <c r="J2876" i="3" s="1"/>
  <c r="B2877" i="3" a="1"/>
  <c r="B2877" i="3" s="1"/>
  <c r="C2877" i="3" a="1"/>
  <c r="C2877" i="3" s="1"/>
  <c r="D2877" i="3" a="1"/>
  <c r="D2877" i="3" s="1"/>
  <c r="E2877" i="3" a="1"/>
  <c r="E2877" i="3" s="1"/>
  <c r="F2877" i="3" a="1"/>
  <c r="F2877" i="3" s="1"/>
  <c r="G2877" i="3" a="1"/>
  <c r="G2877" i="3" s="1"/>
  <c r="J2877" i="3" a="1"/>
  <c r="J2877" i="3" s="1"/>
  <c r="B2878" i="3" a="1"/>
  <c r="B2878" i="3" s="1"/>
  <c r="C2878" i="3" a="1"/>
  <c r="C2878" i="3" s="1"/>
  <c r="D2878" i="3" a="1"/>
  <c r="D2878" i="3" s="1"/>
  <c r="E2878" i="3" a="1"/>
  <c r="E2878" i="3" s="1"/>
  <c r="F2878" i="3" a="1"/>
  <c r="F2878" i="3" s="1"/>
  <c r="G2878" i="3" a="1"/>
  <c r="G2878" i="3" s="1"/>
  <c r="J2878" i="3" a="1"/>
  <c r="J2878" i="3" s="1"/>
  <c r="B2879" i="3" a="1"/>
  <c r="B2879" i="3" s="1"/>
  <c r="C2879" i="3" a="1"/>
  <c r="C2879" i="3" s="1"/>
  <c r="D2879" i="3" a="1"/>
  <c r="D2879" i="3" s="1"/>
  <c r="E2879" i="3" a="1"/>
  <c r="E2879" i="3" s="1"/>
  <c r="F2879" i="3" a="1"/>
  <c r="F2879" i="3" s="1"/>
  <c r="G2879" i="3" a="1"/>
  <c r="G2879" i="3" s="1"/>
  <c r="J2879" i="3" a="1"/>
  <c r="J2879" i="3" s="1"/>
  <c r="B2880" i="3" a="1"/>
  <c r="B2880" i="3" s="1"/>
  <c r="C2880" i="3" a="1"/>
  <c r="C2880" i="3" s="1"/>
  <c r="D2880" i="3" a="1"/>
  <c r="D2880" i="3" s="1"/>
  <c r="E2880" i="3" a="1"/>
  <c r="E2880" i="3" s="1"/>
  <c r="F2880" i="3" a="1"/>
  <c r="F2880" i="3" s="1"/>
  <c r="G2880" i="3" a="1"/>
  <c r="G2880" i="3" s="1"/>
  <c r="J2880" i="3" a="1"/>
  <c r="J2880" i="3" s="1"/>
  <c r="B2881" i="3" a="1"/>
  <c r="B2881" i="3" s="1"/>
  <c r="C2881" i="3" a="1"/>
  <c r="C2881" i="3" s="1"/>
  <c r="D2881" i="3" a="1"/>
  <c r="D2881" i="3" s="1"/>
  <c r="E2881" i="3" a="1"/>
  <c r="E2881" i="3" s="1"/>
  <c r="F2881" i="3" a="1"/>
  <c r="F2881" i="3" s="1"/>
  <c r="G2881" i="3" a="1"/>
  <c r="G2881" i="3" s="1"/>
  <c r="J2881" i="3" a="1"/>
  <c r="J2881" i="3" s="1"/>
  <c r="B2882" i="3" a="1"/>
  <c r="B2882" i="3" s="1"/>
  <c r="C2882" i="3" a="1"/>
  <c r="C2882" i="3" s="1"/>
  <c r="D2882" i="3" a="1"/>
  <c r="D2882" i="3" s="1"/>
  <c r="E2882" i="3" a="1"/>
  <c r="E2882" i="3" s="1"/>
  <c r="F2882" i="3" a="1"/>
  <c r="F2882" i="3" s="1"/>
  <c r="G2882" i="3" a="1"/>
  <c r="G2882" i="3" s="1"/>
  <c r="J2882" i="3" a="1"/>
  <c r="J2882" i="3" s="1"/>
  <c r="B2883" i="3" a="1"/>
  <c r="B2883" i="3" s="1"/>
  <c r="C2883" i="3" a="1"/>
  <c r="C2883" i="3" s="1"/>
  <c r="D2883" i="3" a="1"/>
  <c r="D2883" i="3" s="1"/>
  <c r="E2883" i="3" a="1"/>
  <c r="E2883" i="3" s="1"/>
  <c r="F2883" i="3" a="1"/>
  <c r="F2883" i="3" s="1"/>
  <c r="G2883" i="3" a="1"/>
  <c r="G2883" i="3" s="1"/>
  <c r="J2883" i="3" a="1"/>
  <c r="J2883" i="3" s="1"/>
  <c r="B2884" i="3" a="1"/>
  <c r="B2884" i="3" s="1"/>
  <c r="C2884" i="3" a="1"/>
  <c r="C2884" i="3" s="1"/>
  <c r="D2884" i="3" a="1"/>
  <c r="D2884" i="3" s="1"/>
  <c r="E2884" i="3" a="1"/>
  <c r="E2884" i="3" s="1"/>
  <c r="F2884" i="3" a="1"/>
  <c r="F2884" i="3" s="1"/>
  <c r="G2884" i="3" a="1"/>
  <c r="G2884" i="3" s="1"/>
  <c r="J2884" i="3" a="1"/>
  <c r="J2884" i="3" s="1"/>
  <c r="B2885" i="3" a="1"/>
  <c r="B2885" i="3" s="1"/>
  <c r="C2885" i="3" a="1"/>
  <c r="C2885" i="3" s="1"/>
  <c r="D2885" i="3" a="1"/>
  <c r="D2885" i="3" s="1"/>
  <c r="E2885" i="3" a="1"/>
  <c r="E2885" i="3" s="1"/>
  <c r="F2885" i="3" a="1"/>
  <c r="F2885" i="3" s="1"/>
  <c r="G2885" i="3" a="1"/>
  <c r="G2885" i="3" s="1"/>
  <c r="J2885" i="3" a="1"/>
  <c r="J2885" i="3" s="1"/>
  <c r="B2886" i="3" a="1"/>
  <c r="B2886" i="3" s="1"/>
  <c r="C2886" i="3" a="1"/>
  <c r="C2886" i="3" s="1"/>
  <c r="D2886" i="3" a="1"/>
  <c r="D2886" i="3" s="1"/>
  <c r="E2886" i="3" a="1"/>
  <c r="E2886" i="3" s="1"/>
  <c r="F2886" i="3" a="1"/>
  <c r="F2886" i="3" s="1"/>
  <c r="G2886" i="3" a="1"/>
  <c r="G2886" i="3" s="1"/>
  <c r="J2886" i="3" a="1"/>
  <c r="J2886" i="3" s="1"/>
  <c r="B2887" i="3" a="1"/>
  <c r="B2887" i="3" s="1"/>
  <c r="C2887" i="3" a="1"/>
  <c r="C2887" i="3" s="1"/>
  <c r="D2887" i="3" a="1"/>
  <c r="D2887" i="3" s="1"/>
  <c r="E2887" i="3" a="1"/>
  <c r="E2887" i="3" s="1"/>
  <c r="F2887" i="3" a="1"/>
  <c r="F2887" i="3" s="1"/>
  <c r="G2887" i="3" a="1"/>
  <c r="G2887" i="3" s="1"/>
  <c r="J2887" i="3" a="1"/>
  <c r="J2887" i="3" s="1"/>
  <c r="B2888" i="3" a="1"/>
  <c r="B2888" i="3" s="1"/>
  <c r="C2888" i="3" a="1"/>
  <c r="C2888" i="3" s="1"/>
  <c r="D2888" i="3" a="1"/>
  <c r="D2888" i="3" s="1"/>
  <c r="E2888" i="3" a="1"/>
  <c r="E2888" i="3" s="1"/>
  <c r="F2888" i="3" a="1"/>
  <c r="F2888" i="3" s="1"/>
  <c r="G2888" i="3" a="1"/>
  <c r="G2888" i="3" s="1"/>
  <c r="J2888" i="3" a="1"/>
  <c r="J2888" i="3" s="1"/>
  <c r="B2889" i="3" a="1"/>
  <c r="B2889" i="3" s="1"/>
  <c r="C2889" i="3" a="1"/>
  <c r="C2889" i="3" s="1"/>
  <c r="D2889" i="3" a="1"/>
  <c r="D2889" i="3" s="1"/>
  <c r="E2889" i="3" a="1"/>
  <c r="E2889" i="3" s="1"/>
  <c r="F2889" i="3" a="1"/>
  <c r="F2889" i="3" s="1"/>
  <c r="G2889" i="3" a="1"/>
  <c r="G2889" i="3" s="1"/>
  <c r="J2889" i="3" a="1"/>
  <c r="J2889" i="3" s="1"/>
  <c r="B2890" i="3" a="1"/>
  <c r="B2890" i="3" s="1"/>
  <c r="C2890" i="3" a="1"/>
  <c r="C2890" i="3" s="1"/>
  <c r="D2890" i="3" a="1"/>
  <c r="D2890" i="3" s="1"/>
  <c r="E2890" i="3" a="1"/>
  <c r="E2890" i="3" s="1"/>
  <c r="F2890" i="3" a="1"/>
  <c r="F2890" i="3" s="1"/>
  <c r="G2890" i="3" a="1"/>
  <c r="G2890" i="3" s="1"/>
  <c r="J2890" i="3" a="1"/>
  <c r="J2890" i="3" s="1"/>
  <c r="B2891" i="3" a="1"/>
  <c r="B2891" i="3" s="1"/>
  <c r="C2891" i="3" a="1"/>
  <c r="C2891" i="3" s="1"/>
  <c r="D2891" i="3" a="1"/>
  <c r="D2891" i="3" s="1"/>
  <c r="E2891" i="3" a="1"/>
  <c r="E2891" i="3" s="1"/>
  <c r="F2891" i="3" a="1"/>
  <c r="F2891" i="3" s="1"/>
  <c r="G2891" i="3" a="1"/>
  <c r="G2891" i="3" s="1"/>
  <c r="J2891" i="3" a="1"/>
  <c r="J2891" i="3" s="1"/>
  <c r="B2892" i="3" a="1"/>
  <c r="B2892" i="3" s="1"/>
  <c r="C2892" i="3" a="1"/>
  <c r="C2892" i="3" s="1"/>
  <c r="D2892" i="3" a="1"/>
  <c r="D2892" i="3" s="1"/>
  <c r="E2892" i="3" a="1"/>
  <c r="E2892" i="3" s="1"/>
  <c r="F2892" i="3" a="1"/>
  <c r="F2892" i="3" s="1"/>
  <c r="G2892" i="3" a="1"/>
  <c r="G2892" i="3" s="1"/>
  <c r="J2892" i="3" a="1"/>
  <c r="J2892" i="3" s="1"/>
  <c r="B2893" i="3" a="1"/>
  <c r="B2893" i="3" s="1"/>
  <c r="C2893" i="3" a="1"/>
  <c r="C2893" i="3" s="1"/>
  <c r="D2893" i="3" a="1"/>
  <c r="D2893" i="3" s="1"/>
  <c r="E2893" i="3" a="1"/>
  <c r="E2893" i="3" s="1"/>
  <c r="F2893" i="3" a="1"/>
  <c r="F2893" i="3" s="1"/>
  <c r="G2893" i="3" a="1"/>
  <c r="G2893" i="3" s="1"/>
  <c r="J2893" i="3" a="1"/>
  <c r="J2893" i="3" s="1"/>
  <c r="B2894" i="3" a="1"/>
  <c r="B2894" i="3" s="1"/>
  <c r="C2894" i="3" a="1"/>
  <c r="C2894" i="3" s="1"/>
  <c r="D2894" i="3" a="1"/>
  <c r="D2894" i="3" s="1"/>
  <c r="E2894" i="3" a="1"/>
  <c r="E2894" i="3" s="1"/>
  <c r="F2894" i="3" a="1"/>
  <c r="F2894" i="3" s="1"/>
  <c r="G2894" i="3" a="1"/>
  <c r="G2894" i="3" s="1"/>
  <c r="J2894" i="3" a="1"/>
  <c r="J2894" i="3" s="1"/>
  <c r="B2895" i="3" a="1"/>
  <c r="B2895" i="3" s="1"/>
  <c r="C2895" i="3" a="1"/>
  <c r="C2895" i="3" s="1"/>
  <c r="D2895" i="3" a="1"/>
  <c r="D2895" i="3" s="1"/>
  <c r="E2895" i="3" a="1"/>
  <c r="E2895" i="3" s="1"/>
  <c r="F2895" i="3" a="1"/>
  <c r="F2895" i="3" s="1"/>
  <c r="G2895" i="3" a="1"/>
  <c r="G2895" i="3" s="1"/>
  <c r="J2895" i="3" a="1"/>
  <c r="J2895" i="3" s="1"/>
  <c r="B2896" i="3" a="1"/>
  <c r="B2896" i="3" s="1"/>
  <c r="C2896" i="3" a="1"/>
  <c r="C2896" i="3" s="1"/>
  <c r="D2896" i="3" a="1"/>
  <c r="D2896" i="3" s="1"/>
  <c r="E2896" i="3" a="1"/>
  <c r="E2896" i="3" s="1"/>
  <c r="F2896" i="3" a="1"/>
  <c r="F2896" i="3" s="1"/>
  <c r="G2896" i="3" a="1"/>
  <c r="G2896" i="3" s="1"/>
  <c r="J2896" i="3" a="1"/>
  <c r="J2896" i="3" s="1"/>
  <c r="B2897" i="3" a="1"/>
  <c r="B2897" i="3" s="1"/>
  <c r="C2897" i="3" a="1"/>
  <c r="C2897" i="3" s="1"/>
  <c r="D2897" i="3" a="1"/>
  <c r="D2897" i="3" s="1"/>
  <c r="E2897" i="3" a="1"/>
  <c r="E2897" i="3" s="1"/>
  <c r="F2897" i="3" a="1"/>
  <c r="F2897" i="3" s="1"/>
  <c r="G2897" i="3" a="1"/>
  <c r="G2897" i="3" s="1"/>
  <c r="J2897" i="3" a="1"/>
  <c r="J2897" i="3" s="1"/>
  <c r="B2898" i="3" a="1"/>
  <c r="B2898" i="3" s="1"/>
  <c r="C2898" i="3" a="1"/>
  <c r="C2898" i="3" s="1"/>
  <c r="D2898" i="3" a="1"/>
  <c r="D2898" i="3" s="1"/>
  <c r="E2898" i="3" a="1"/>
  <c r="E2898" i="3" s="1"/>
  <c r="F2898" i="3" a="1"/>
  <c r="F2898" i="3" s="1"/>
  <c r="G2898" i="3" a="1"/>
  <c r="G2898" i="3" s="1"/>
  <c r="J2898" i="3" a="1"/>
  <c r="J2898" i="3" s="1"/>
  <c r="B2899" i="3" a="1"/>
  <c r="B2899" i="3" s="1"/>
  <c r="C2899" i="3" a="1"/>
  <c r="C2899" i="3" s="1"/>
  <c r="D2899" i="3" a="1"/>
  <c r="D2899" i="3" s="1"/>
  <c r="E2899" i="3" a="1"/>
  <c r="E2899" i="3" s="1"/>
  <c r="F2899" i="3" a="1"/>
  <c r="F2899" i="3" s="1"/>
  <c r="G2899" i="3" a="1"/>
  <c r="G2899" i="3" s="1"/>
  <c r="J2899" i="3" a="1"/>
  <c r="J2899" i="3" s="1"/>
  <c r="B2900" i="3" a="1"/>
  <c r="B2900" i="3" s="1"/>
  <c r="C2900" i="3" a="1"/>
  <c r="C2900" i="3" s="1"/>
  <c r="D2900" i="3" a="1"/>
  <c r="D2900" i="3" s="1"/>
  <c r="E2900" i="3" a="1"/>
  <c r="E2900" i="3" s="1"/>
  <c r="F2900" i="3" a="1"/>
  <c r="F2900" i="3" s="1"/>
  <c r="G2900" i="3" a="1"/>
  <c r="G2900" i="3" s="1"/>
  <c r="J2900" i="3" a="1"/>
  <c r="J2900" i="3" s="1"/>
  <c r="B2901" i="3" a="1"/>
  <c r="B2901" i="3" s="1"/>
  <c r="C2901" i="3" a="1"/>
  <c r="C2901" i="3" s="1"/>
  <c r="D2901" i="3" a="1"/>
  <c r="D2901" i="3" s="1"/>
  <c r="E2901" i="3" a="1"/>
  <c r="E2901" i="3" s="1"/>
  <c r="F2901" i="3" a="1"/>
  <c r="F2901" i="3" s="1"/>
  <c r="G2901" i="3" a="1"/>
  <c r="G2901" i="3" s="1"/>
  <c r="J2901" i="3" a="1"/>
  <c r="J2901" i="3" s="1"/>
  <c r="B2902" i="3" a="1"/>
  <c r="B2902" i="3" s="1"/>
  <c r="C2902" i="3" a="1"/>
  <c r="C2902" i="3" s="1"/>
  <c r="D2902" i="3" a="1"/>
  <c r="D2902" i="3" s="1"/>
  <c r="E2902" i="3" a="1"/>
  <c r="E2902" i="3" s="1"/>
  <c r="F2902" i="3" a="1"/>
  <c r="F2902" i="3" s="1"/>
  <c r="G2902" i="3" a="1"/>
  <c r="G2902" i="3" s="1"/>
  <c r="J2902" i="3" a="1"/>
  <c r="J2902" i="3" s="1"/>
  <c r="B2903" i="3" a="1"/>
  <c r="B2903" i="3" s="1"/>
  <c r="C2903" i="3" a="1"/>
  <c r="C2903" i="3" s="1"/>
  <c r="D2903" i="3" a="1"/>
  <c r="D2903" i="3" s="1"/>
  <c r="E2903" i="3" a="1"/>
  <c r="E2903" i="3" s="1"/>
  <c r="F2903" i="3" a="1"/>
  <c r="F2903" i="3" s="1"/>
  <c r="G2903" i="3" a="1"/>
  <c r="G2903" i="3" s="1"/>
  <c r="J2903" i="3" a="1"/>
  <c r="J2903" i="3" s="1"/>
  <c r="B2904" i="3" a="1"/>
  <c r="B2904" i="3" s="1"/>
  <c r="C2904" i="3" a="1"/>
  <c r="C2904" i="3" s="1"/>
  <c r="D2904" i="3" a="1"/>
  <c r="D2904" i="3" s="1"/>
  <c r="E2904" i="3" a="1"/>
  <c r="E2904" i="3" s="1"/>
  <c r="F2904" i="3" a="1"/>
  <c r="F2904" i="3" s="1"/>
  <c r="G2904" i="3" a="1"/>
  <c r="G2904" i="3" s="1"/>
  <c r="J2904" i="3" a="1"/>
  <c r="J2904" i="3" s="1"/>
  <c r="B2905" i="3" a="1"/>
  <c r="B2905" i="3" s="1"/>
  <c r="C2905" i="3" a="1"/>
  <c r="C2905" i="3" s="1"/>
  <c r="D2905" i="3" a="1"/>
  <c r="D2905" i="3" s="1"/>
  <c r="E2905" i="3" a="1"/>
  <c r="E2905" i="3" s="1"/>
  <c r="F2905" i="3" a="1"/>
  <c r="F2905" i="3" s="1"/>
  <c r="G2905" i="3" a="1"/>
  <c r="G2905" i="3" s="1"/>
  <c r="J2905" i="3" a="1"/>
  <c r="J2905" i="3" s="1"/>
  <c r="B2906" i="3" a="1"/>
  <c r="B2906" i="3" s="1"/>
  <c r="C2906" i="3" a="1"/>
  <c r="C2906" i="3" s="1"/>
  <c r="D2906" i="3" a="1"/>
  <c r="D2906" i="3" s="1"/>
  <c r="E2906" i="3" a="1"/>
  <c r="E2906" i="3" s="1"/>
  <c r="F2906" i="3" a="1"/>
  <c r="F2906" i="3" s="1"/>
  <c r="G2906" i="3" a="1"/>
  <c r="G2906" i="3" s="1"/>
  <c r="J2906" i="3" a="1"/>
  <c r="J2906" i="3" s="1"/>
  <c r="B2907" i="3" a="1"/>
  <c r="B2907" i="3" s="1"/>
  <c r="C2907" i="3" a="1"/>
  <c r="C2907" i="3" s="1"/>
  <c r="D2907" i="3" a="1"/>
  <c r="D2907" i="3" s="1"/>
  <c r="E2907" i="3" a="1"/>
  <c r="E2907" i="3" s="1"/>
  <c r="F2907" i="3" a="1"/>
  <c r="F2907" i="3" s="1"/>
  <c r="G2907" i="3" a="1"/>
  <c r="G2907" i="3" s="1"/>
  <c r="J2907" i="3" a="1"/>
  <c r="J2907" i="3" s="1"/>
  <c r="B2908" i="3" a="1"/>
  <c r="B2908" i="3" s="1"/>
  <c r="C2908" i="3" a="1"/>
  <c r="C2908" i="3" s="1"/>
  <c r="D2908" i="3" a="1"/>
  <c r="D2908" i="3" s="1"/>
  <c r="E2908" i="3" a="1"/>
  <c r="E2908" i="3" s="1"/>
  <c r="F2908" i="3" a="1"/>
  <c r="F2908" i="3" s="1"/>
  <c r="G2908" i="3" a="1"/>
  <c r="G2908" i="3" s="1"/>
  <c r="J2908" i="3" a="1"/>
  <c r="J2908" i="3" s="1"/>
  <c r="B2909" i="3" a="1"/>
  <c r="B2909" i="3" s="1"/>
  <c r="C2909" i="3" a="1"/>
  <c r="C2909" i="3" s="1"/>
  <c r="D2909" i="3" a="1"/>
  <c r="D2909" i="3" s="1"/>
  <c r="E2909" i="3" a="1"/>
  <c r="E2909" i="3" s="1"/>
  <c r="F2909" i="3" a="1"/>
  <c r="F2909" i="3" s="1"/>
  <c r="G2909" i="3" a="1"/>
  <c r="G2909" i="3" s="1"/>
  <c r="J2909" i="3" a="1"/>
  <c r="J2909" i="3" s="1"/>
  <c r="B2910" i="3" a="1"/>
  <c r="B2910" i="3" s="1"/>
  <c r="C2910" i="3" a="1"/>
  <c r="C2910" i="3" s="1"/>
  <c r="D2910" i="3" a="1"/>
  <c r="D2910" i="3" s="1"/>
  <c r="E2910" i="3" a="1"/>
  <c r="E2910" i="3" s="1"/>
  <c r="F2910" i="3" a="1"/>
  <c r="F2910" i="3" s="1"/>
  <c r="G2910" i="3" a="1"/>
  <c r="G2910" i="3" s="1"/>
  <c r="J2910" i="3" a="1"/>
  <c r="J2910" i="3" s="1"/>
  <c r="B2911" i="3" a="1"/>
  <c r="B2911" i="3" s="1"/>
  <c r="C2911" i="3" a="1"/>
  <c r="C2911" i="3" s="1"/>
  <c r="D2911" i="3" a="1"/>
  <c r="D2911" i="3" s="1"/>
  <c r="E2911" i="3" a="1"/>
  <c r="E2911" i="3" s="1"/>
  <c r="F2911" i="3" a="1"/>
  <c r="F2911" i="3" s="1"/>
  <c r="G2911" i="3" a="1"/>
  <c r="G2911" i="3" s="1"/>
  <c r="J2911" i="3" a="1"/>
  <c r="J2911" i="3" s="1"/>
  <c r="B2912" i="3" a="1"/>
  <c r="B2912" i="3" s="1"/>
  <c r="C2912" i="3" a="1"/>
  <c r="C2912" i="3" s="1"/>
  <c r="D2912" i="3" a="1"/>
  <c r="D2912" i="3" s="1"/>
  <c r="E2912" i="3" a="1"/>
  <c r="E2912" i="3" s="1"/>
  <c r="F2912" i="3" a="1"/>
  <c r="F2912" i="3" s="1"/>
  <c r="G2912" i="3" a="1"/>
  <c r="G2912" i="3" s="1"/>
  <c r="J2912" i="3" a="1"/>
  <c r="J2912" i="3" s="1"/>
  <c r="B2913" i="3" a="1"/>
  <c r="B2913" i="3" s="1"/>
  <c r="C2913" i="3" a="1"/>
  <c r="C2913" i="3" s="1"/>
  <c r="D2913" i="3" a="1"/>
  <c r="D2913" i="3" s="1"/>
  <c r="E2913" i="3" a="1"/>
  <c r="E2913" i="3" s="1"/>
  <c r="F2913" i="3" a="1"/>
  <c r="F2913" i="3" s="1"/>
  <c r="G2913" i="3" a="1"/>
  <c r="G2913" i="3" s="1"/>
  <c r="J2913" i="3" a="1"/>
  <c r="J2913" i="3" s="1"/>
  <c r="B2914" i="3" a="1"/>
  <c r="B2914" i="3" s="1"/>
  <c r="C2914" i="3" a="1"/>
  <c r="C2914" i="3" s="1"/>
  <c r="D2914" i="3" a="1"/>
  <c r="D2914" i="3" s="1"/>
  <c r="E2914" i="3" a="1"/>
  <c r="E2914" i="3" s="1"/>
  <c r="F2914" i="3" a="1"/>
  <c r="F2914" i="3" s="1"/>
  <c r="G2914" i="3" a="1"/>
  <c r="G2914" i="3" s="1"/>
  <c r="J2914" i="3" a="1"/>
  <c r="J2914" i="3" s="1"/>
  <c r="B2915" i="3" a="1"/>
  <c r="B2915" i="3" s="1"/>
  <c r="C2915" i="3" a="1"/>
  <c r="C2915" i="3" s="1"/>
  <c r="D2915" i="3" a="1"/>
  <c r="D2915" i="3" s="1"/>
  <c r="E2915" i="3" a="1"/>
  <c r="E2915" i="3" s="1"/>
  <c r="F2915" i="3" a="1"/>
  <c r="F2915" i="3" s="1"/>
  <c r="G2915" i="3" a="1"/>
  <c r="G2915" i="3" s="1"/>
  <c r="J2915" i="3" a="1"/>
  <c r="J2915" i="3" s="1"/>
  <c r="B2916" i="3" a="1"/>
  <c r="B2916" i="3" s="1"/>
  <c r="C2916" i="3" a="1"/>
  <c r="C2916" i="3" s="1"/>
  <c r="D2916" i="3" a="1"/>
  <c r="D2916" i="3" s="1"/>
  <c r="E2916" i="3" a="1"/>
  <c r="E2916" i="3" s="1"/>
  <c r="F2916" i="3" a="1"/>
  <c r="F2916" i="3" s="1"/>
  <c r="G2916" i="3" a="1"/>
  <c r="G2916" i="3" s="1"/>
  <c r="J2916" i="3" a="1"/>
  <c r="J2916" i="3" s="1"/>
  <c r="B2917" i="3" a="1"/>
  <c r="B2917" i="3" s="1"/>
  <c r="C2917" i="3" a="1"/>
  <c r="C2917" i="3" s="1"/>
  <c r="D2917" i="3" a="1"/>
  <c r="D2917" i="3" s="1"/>
  <c r="E2917" i="3" a="1"/>
  <c r="E2917" i="3" s="1"/>
  <c r="F2917" i="3" a="1"/>
  <c r="F2917" i="3" s="1"/>
  <c r="G2917" i="3" a="1"/>
  <c r="G2917" i="3" s="1"/>
  <c r="J2917" i="3" a="1"/>
  <c r="J2917" i="3" s="1"/>
  <c r="B2918" i="3" a="1"/>
  <c r="B2918" i="3" s="1"/>
  <c r="C2918" i="3" a="1"/>
  <c r="C2918" i="3" s="1"/>
  <c r="D2918" i="3" a="1"/>
  <c r="D2918" i="3" s="1"/>
  <c r="E2918" i="3" a="1"/>
  <c r="E2918" i="3" s="1"/>
  <c r="F2918" i="3" a="1"/>
  <c r="F2918" i="3" s="1"/>
  <c r="G2918" i="3" a="1"/>
  <c r="G2918" i="3" s="1"/>
  <c r="J2918" i="3" a="1"/>
  <c r="J2918" i="3" s="1"/>
  <c r="B2919" i="3" a="1"/>
  <c r="B2919" i="3" s="1"/>
  <c r="C2919" i="3" a="1"/>
  <c r="C2919" i="3" s="1"/>
  <c r="D2919" i="3" a="1"/>
  <c r="D2919" i="3" s="1"/>
  <c r="E2919" i="3" a="1"/>
  <c r="E2919" i="3" s="1"/>
  <c r="F2919" i="3" a="1"/>
  <c r="F2919" i="3" s="1"/>
  <c r="G2919" i="3" a="1"/>
  <c r="G2919" i="3" s="1"/>
  <c r="J2919" i="3" a="1"/>
  <c r="J2919" i="3" s="1"/>
  <c r="B2920" i="3" a="1"/>
  <c r="B2920" i="3" s="1"/>
  <c r="C2920" i="3" a="1"/>
  <c r="C2920" i="3" s="1"/>
  <c r="D2920" i="3" a="1"/>
  <c r="D2920" i="3" s="1"/>
  <c r="E2920" i="3" a="1"/>
  <c r="E2920" i="3" s="1"/>
  <c r="F2920" i="3" a="1"/>
  <c r="F2920" i="3" s="1"/>
  <c r="G2920" i="3" a="1"/>
  <c r="G2920" i="3" s="1"/>
  <c r="J2920" i="3" a="1"/>
  <c r="J2920" i="3" s="1"/>
  <c r="B2921" i="3" a="1"/>
  <c r="B2921" i="3" s="1"/>
  <c r="C2921" i="3" a="1"/>
  <c r="C2921" i="3" s="1"/>
  <c r="D2921" i="3" a="1"/>
  <c r="D2921" i="3" s="1"/>
  <c r="E2921" i="3" a="1"/>
  <c r="E2921" i="3" s="1"/>
  <c r="F2921" i="3" a="1"/>
  <c r="F2921" i="3" s="1"/>
  <c r="G2921" i="3" a="1"/>
  <c r="G2921" i="3" s="1"/>
  <c r="J2921" i="3" a="1"/>
  <c r="J2921" i="3" s="1"/>
  <c r="B2922" i="3" a="1"/>
  <c r="B2922" i="3" s="1"/>
  <c r="C2922" i="3" a="1"/>
  <c r="C2922" i="3" s="1"/>
  <c r="D2922" i="3" a="1"/>
  <c r="D2922" i="3" s="1"/>
  <c r="E2922" i="3" a="1"/>
  <c r="E2922" i="3" s="1"/>
  <c r="F2922" i="3" a="1"/>
  <c r="F2922" i="3" s="1"/>
  <c r="G2922" i="3" a="1"/>
  <c r="G2922" i="3" s="1"/>
  <c r="J2922" i="3" a="1"/>
  <c r="J2922" i="3" s="1"/>
  <c r="B2923" i="3" a="1"/>
  <c r="B2923" i="3" s="1"/>
  <c r="C2923" i="3" a="1"/>
  <c r="C2923" i="3" s="1"/>
  <c r="D2923" i="3" a="1"/>
  <c r="D2923" i="3" s="1"/>
  <c r="E2923" i="3" a="1"/>
  <c r="E2923" i="3" s="1"/>
  <c r="F2923" i="3" a="1"/>
  <c r="F2923" i="3" s="1"/>
  <c r="G2923" i="3" a="1"/>
  <c r="G2923" i="3" s="1"/>
  <c r="J2923" i="3" a="1"/>
  <c r="J2923" i="3" s="1"/>
  <c r="B2924" i="3" a="1"/>
  <c r="B2924" i="3" s="1"/>
  <c r="C2924" i="3" a="1"/>
  <c r="C2924" i="3" s="1"/>
  <c r="D2924" i="3" a="1"/>
  <c r="D2924" i="3" s="1"/>
  <c r="E2924" i="3" a="1"/>
  <c r="E2924" i="3" s="1"/>
  <c r="F2924" i="3" a="1"/>
  <c r="F2924" i="3" s="1"/>
  <c r="G2924" i="3" a="1"/>
  <c r="G2924" i="3" s="1"/>
  <c r="J2924" i="3" a="1"/>
  <c r="J2924" i="3" s="1"/>
  <c r="B2925" i="3" a="1"/>
  <c r="B2925" i="3" s="1"/>
  <c r="C2925" i="3" a="1"/>
  <c r="C2925" i="3" s="1"/>
  <c r="D2925" i="3" a="1"/>
  <c r="D2925" i="3" s="1"/>
  <c r="E2925" i="3" a="1"/>
  <c r="E2925" i="3" s="1"/>
  <c r="F2925" i="3" a="1"/>
  <c r="F2925" i="3" s="1"/>
  <c r="G2925" i="3" a="1"/>
  <c r="G2925" i="3" s="1"/>
  <c r="J2925" i="3" a="1"/>
  <c r="J2925" i="3" s="1"/>
  <c r="B2926" i="3" a="1"/>
  <c r="B2926" i="3" s="1"/>
  <c r="C2926" i="3" a="1"/>
  <c r="C2926" i="3" s="1"/>
  <c r="D2926" i="3" a="1"/>
  <c r="D2926" i="3" s="1"/>
  <c r="E2926" i="3" a="1"/>
  <c r="E2926" i="3" s="1"/>
  <c r="F2926" i="3" a="1"/>
  <c r="F2926" i="3" s="1"/>
  <c r="G2926" i="3" a="1"/>
  <c r="G2926" i="3" s="1"/>
  <c r="J2926" i="3" a="1"/>
  <c r="J2926" i="3" s="1"/>
  <c r="B2927" i="3" a="1"/>
  <c r="B2927" i="3" s="1"/>
  <c r="C2927" i="3" a="1"/>
  <c r="C2927" i="3" s="1"/>
  <c r="D2927" i="3" a="1"/>
  <c r="D2927" i="3" s="1"/>
  <c r="E2927" i="3" a="1"/>
  <c r="E2927" i="3" s="1"/>
  <c r="F2927" i="3" a="1"/>
  <c r="F2927" i="3" s="1"/>
  <c r="G2927" i="3" a="1"/>
  <c r="G2927" i="3" s="1"/>
  <c r="J2927" i="3" a="1"/>
  <c r="J2927" i="3" s="1"/>
  <c r="B2928" i="3" a="1"/>
  <c r="B2928" i="3" s="1"/>
  <c r="C2928" i="3" a="1"/>
  <c r="C2928" i="3" s="1"/>
  <c r="D2928" i="3" a="1"/>
  <c r="D2928" i="3" s="1"/>
  <c r="E2928" i="3" a="1"/>
  <c r="E2928" i="3" s="1"/>
  <c r="F2928" i="3" a="1"/>
  <c r="F2928" i="3" s="1"/>
  <c r="G2928" i="3" a="1"/>
  <c r="G2928" i="3" s="1"/>
  <c r="J2928" i="3" a="1"/>
  <c r="J2928" i="3" s="1"/>
  <c r="B2929" i="3" a="1"/>
  <c r="B2929" i="3" s="1"/>
  <c r="C2929" i="3" a="1"/>
  <c r="C2929" i="3" s="1"/>
  <c r="D2929" i="3" a="1"/>
  <c r="D2929" i="3" s="1"/>
  <c r="E2929" i="3" a="1"/>
  <c r="E2929" i="3" s="1"/>
  <c r="F2929" i="3" a="1"/>
  <c r="F2929" i="3" s="1"/>
  <c r="G2929" i="3" a="1"/>
  <c r="G2929" i="3" s="1"/>
  <c r="J2929" i="3" a="1"/>
  <c r="J2929" i="3" s="1"/>
  <c r="B2930" i="3" a="1"/>
  <c r="B2930" i="3" s="1"/>
  <c r="C2930" i="3" a="1"/>
  <c r="C2930" i="3" s="1"/>
  <c r="D2930" i="3" a="1"/>
  <c r="D2930" i="3" s="1"/>
  <c r="E2930" i="3" a="1"/>
  <c r="E2930" i="3" s="1"/>
  <c r="F2930" i="3" a="1"/>
  <c r="F2930" i="3" s="1"/>
  <c r="G2930" i="3" a="1"/>
  <c r="G2930" i="3" s="1"/>
  <c r="J2930" i="3" a="1"/>
  <c r="J2930" i="3" s="1"/>
  <c r="B2931" i="3" a="1"/>
  <c r="B2931" i="3" s="1"/>
  <c r="C2931" i="3" a="1"/>
  <c r="C2931" i="3" s="1"/>
  <c r="D2931" i="3" a="1"/>
  <c r="D2931" i="3" s="1"/>
  <c r="E2931" i="3" a="1"/>
  <c r="E2931" i="3" s="1"/>
  <c r="F2931" i="3" a="1"/>
  <c r="F2931" i="3" s="1"/>
  <c r="G2931" i="3" a="1"/>
  <c r="G2931" i="3" s="1"/>
  <c r="J2931" i="3" a="1"/>
  <c r="J2931" i="3" s="1"/>
  <c r="B2932" i="3" a="1"/>
  <c r="B2932" i="3" s="1"/>
  <c r="C2932" i="3" a="1"/>
  <c r="C2932" i="3" s="1"/>
  <c r="D2932" i="3" a="1"/>
  <c r="D2932" i="3" s="1"/>
  <c r="E2932" i="3" a="1"/>
  <c r="E2932" i="3" s="1"/>
  <c r="F2932" i="3" a="1"/>
  <c r="F2932" i="3" s="1"/>
  <c r="G2932" i="3" a="1"/>
  <c r="G2932" i="3" s="1"/>
  <c r="J2932" i="3" a="1"/>
  <c r="J2932" i="3" s="1"/>
  <c r="B2933" i="3" a="1"/>
  <c r="B2933" i="3" s="1"/>
  <c r="C2933" i="3" a="1"/>
  <c r="C2933" i="3" s="1"/>
  <c r="D2933" i="3" a="1"/>
  <c r="D2933" i="3" s="1"/>
  <c r="E2933" i="3" a="1"/>
  <c r="E2933" i="3" s="1"/>
  <c r="F2933" i="3" a="1"/>
  <c r="F2933" i="3" s="1"/>
  <c r="G2933" i="3" a="1"/>
  <c r="G2933" i="3" s="1"/>
  <c r="J2933" i="3" a="1"/>
  <c r="J2933" i="3" s="1"/>
  <c r="B2934" i="3" a="1"/>
  <c r="B2934" i="3" s="1"/>
  <c r="C2934" i="3" a="1"/>
  <c r="C2934" i="3" s="1"/>
  <c r="D2934" i="3" a="1"/>
  <c r="D2934" i="3" s="1"/>
  <c r="E2934" i="3" a="1"/>
  <c r="E2934" i="3" s="1"/>
  <c r="F2934" i="3" a="1"/>
  <c r="F2934" i="3" s="1"/>
  <c r="G2934" i="3" a="1"/>
  <c r="G2934" i="3" s="1"/>
  <c r="J2934" i="3" a="1"/>
  <c r="J2934" i="3" s="1"/>
  <c r="B2935" i="3" a="1"/>
  <c r="B2935" i="3" s="1"/>
  <c r="C2935" i="3" a="1"/>
  <c r="C2935" i="3" s="1"/>
  <c r="D2935" i="3" a="1"/>
  <c r="D2935" i="3" s="1"/>
  <c r="E2935" i="3" a="1"/>
  <c r="E2935" i="3" s="1"/>
  <c r="F2935" i="3" a="1"/>
  <c r="F2935" i="3" s="1"/>
  <c r="G2935" i="3" a="1"/>
  <c r="G2935" i="3" s="1"/>
  <c r="J2935" i="3" a="1"/>
  <c r="J2935" i="3" s="1"/>
  <c r="B2936" i="3" a="1"/>
  <c r="B2936" i="3" s="1"/>
  <c r="C2936" i="3" a="1"/>
  <c r="C2936" i="3" s="1"/>
  <c r="D2936" i="3" a="1"/>
  <c r="D2936" i="3" s="1"/>
  <c r="E2936" i="3" a="1"/>
  <c r="E2936" i="3" s="1"/>
  <c r="F2936" i="3" a="1"/>
  <c r="F2936" i="3" s="1"/>
  <c r="G2936" i="3" a="1"/>
  <c r="G2936" i="3" s="1"/>
  <c r="J2936" i="3" a="1"/>
  <c r="J2936" i="3" s="1"/>
  <c r="B2937" i="3" a="1"/>
  <c r="B2937" i="3" s="1"/>
  <c r="C2937" i="3" a="1"/>
  <c r="C2937" i="3" s="1"/>
  <c r="D2937" i="3" a="1"/>
  <c r="D2937" i="3" s="1"/>
  <c r="E2937" i="3" a="1"/>
  <c r="E2937" i="3" s="1"/>
  <c r="F2937" i="3" a="1"/>
  <c r="F2937" i="3" s="1"/>
  <c r="G2937" i="3" a="1"/>
  <c r="G2937" i="3" s="1"/>
  <c r="J2937" i="3" a="1"/>
  <c r="J2937" i="3" s="1"/>
  <c r="B2938" i="3" a="1"/>
  <c r="B2938" i="3" s="1"/>
  <c r="C2938" i="3" a="1"/>
  <c r="C2938" i="3" s="1"/>
  <c r="D2938" i="3" a="1"/>
  <c r="D2938" i="3" s="1"/>
  <c r="E2938" i="3" a="1"/>
  <c r="E2938" i="3" s="1"/>
  <c r="F2938" i="3" a="1"/>
  <c r="F2938" i="3" s="1"/>
  <c r="G2938" i="3" a="1"/>
  <c r="G2938" i="3" s="1"/>
  <c r="J2938" i="3" a="1"/>
  <c r="J2938" i="3" s="1"/>
  <c r="B2939" i="3" a="1"/>
  <c r="B2939" i="3" s="1"/>
  <c r="C2939" i="3" a="1"/>
  <c r="C2939" i="3" s="1"/>
  <c r="D2939" i="3" a="1"/>
  <c r="D2939" i="3" s="1"/>
  <c r="E2939" i="3" a="1"/>
  <c r="E2939" i="3" s="1"/>
  <c r="F2939" i="3" a="1"/>
  <c r="F2939" i="3" s="1"/>
  <c r="G2939" i="3" a="1"/>
  <c r="G2939" i="3" s="1"/>
  <c r="J2939" i="3" a="1"/>
  <c r="J2939" i="3" s="1"/>
  <c r="B2940" i="3" a="1"/>
  <c r="B2940" i="3" s="1"/>
  <c r="C2940" i="3" a="1"/>
  <c r="C2940" i="3" s="1"/>
  <c r="D2940" i="3" a="1"/>
  <c r="D2940" i="3" s="1"/>
  <c r="E2940" i="3" a="1"/>
  <c r="E2940" i="3" s="1"/>
  <c r="F2940" i="3" a="1"/>
  <c r="F2940" i="3" s="1"/>
  <c r="G2940" i="3" a="1"/>
  <c r="G2940" i="3" s="1"/>
  <c r="J2940" i="3" a="1"/>
  <c r="J2940" i="3" s="1"/>
  <c r="B2941" i="3" a="1"/>
  <c r="B2941" i="3" s="1"/>
  <c r="C2941" i="3" a="1"/>
  <c r="C2941" i="3" s="1"/>
  <c r="D2941" i="3" a="1"/>
  <c r="D2941" i="3" s="1"/>
  <c r="E2941" i="3" a="1"/>
  <c r="E2941" i="3" s="1"/>
  <c r="F2941" i="3" a="1"/>
  <c r="F2941" i="3" s="1"/>
  <c r="G2941" i="3" a="1"/>
  <c r="G2941" i="3" s="1"/>
  <c r="J2941" i="3" a="1"/>
  <c r="J2941" i="3" s="1"/>
  <c r="B2942" i="3" a="1"/>
  <c r="B2942" i="3" s="1"/>
  <c r="C2942" i="3" a="1"/>
  <c r="C2942" i="3" s="1"/>
  <c r="D2942" i="3" a="1"/>
  <c r="D2942" i="3" s="1"/>
  <c r="E2942" i="3" a="1"/>
  <c r="E2942" i="3" s="1"/>
  <c r="F2942" i="3" a="1"/>
  <c r="F2942" i="3" s="1"/>
  <c r="G2942" i="3" a="1"/>
  <c r="G2942" i="3" s="1"/>
  <c r="J2942" i="3" a="1"/>
  <c r="J2942" i="3" s="1"/>
  <c r="B2943" i="3" a="1"/>
  <c r="B2943" i="3" s="1"/>
  <c r="C2943" i="3" a="1"/>
  <c r="C2943" i="3" s="1"/>
  <c r="D2943" i="3" a="1"/>
  <c r="D2943" i="3" s="1"/>
  <c r="E2943" i="3" a="1"/>
  <c r="E2943" i="3" s="1"/>
  <c r="F2943" i="3" a="1"/>
  <c r="F2943" i="3" s="1"/>
  <c r="G2943" i="3" a="1"/>
  <c r="G2943" i="3" s="1"/>
  <c r="J2943" i="3" a="1"/>
  <c r="J2943" i="3" s="1"/>
  <c r="B2944" i="3" a="1"/>
  <c r="B2944" i="3" s="1"/>
  <c r="C2944" i="3" a="1"/>
  <c r="C2944" i="3" s="1"/>
  <c r="D2944" i="3" a="1"/>
  <c r="D2944" i="3" s="1"/>
  <c r="E2944" i="3" a="1"/>
  <c r="E2944" i="3" s="1"/>
  <c r="F2944" i="3" a="1"/>
  <c r="F2944" i="3" s="1"/>
  <c r="G2944" i="3" a="1"/>
  <c r="G2944" i="3" s="1"/>
  <c r="J2944" i="3" a="1"/>
  <c r="J2944" i="3" s="1"/>
  <c r="B2945" i="3" a="1"/>
  <c r="B2945" i="3" s="1"/>
  <c r="C2945" i="3" a="1"/>
  <c r="C2945" i="3" s="1"/>
  <c r="D2945" i="3" a="1"/>
  <c r="D2945" i="3" s="1"/>
  <c r="E2945" i="3" a="1"/>
  <c r="E2945" i="3" s="1"/>
  <c r="F2945" i="3" a="1"/>
  <c r="F2945" i="3" s="1"/>
  <c r="G2945" i="3" a="1"/>
  <c r="G2945" i="3" s="1"/>
  <c r="J2945" i="3" a="1"/>
  <c r="J2945" i="3" s="1"/>
  <c r="B2946" i="3" a="1"/>
  <c r="B2946" i="3" s="1"/>
  <c r="C2946" i="3" a="1"/>
  <c r="C2946" i="3" s="1"/>
  <c r="D2946" i="3" a="1"/>
  <c r="D2946" i="3" s="1"/>
  <c r="E2946" i="3" a="1"/>
  <c r="E2946" i="3" s="1"/>
  <c r="F2946" i="3" a="1"/>
  <c r="F2946" i="3" s="1"/>
  <c r="G2946" i="3" a="1"/>
  <c r="G2946" i="3" s="1"/>
  <c r="J2946" i="3" a="1"/>
  <c r="J2946" i="3" s="1"/>
  <c r="B2947" i="3" a="1"/>
  <c r="B2947" i="3" s="1"/>
  <c r="C2947" i="3" a="1"/>
  <c r="C2947" i="3" s="1"/>
  <c r="D2947" i="3" a="1"/>
  <c r="D2947" i="3" s="1"/>
  <c r="E2947" i="3" a="1"/>
  <c r="E2947" i="3" s="1"/>
  <c r="F2947" i="3" a="1"/>
  <c r="F2947" i="3" s="1"/>
  <c r="G2947" i="3" a="1"/>
  <c r="G2947" i="3" s="1"/>
  <c r="J2947" i="3" a="1"/>
  <c r="J2947" i="3" s="1"/>
  <c r="B2948" i="3" a="1"/>
  <c r="B2948" i="3" s="1"/>
  <c r="C2948" i="3" a="1"/>
  <c r="C2948" i="3" s="1"/>
  <c r="D2948" i="3" a="1"/>
  <c r="D2948" i="3" s="1"/>
  <c r="E2948" i="3" a="1"/>
  <c r="E2948" i="3" s="1"/>
  <c r="F2948" i="3" a="1"/>
  <c r="F2948" i="3" s="1"/>
  <c r="G2948" i="3" a="1"/>
  <c r="G2948" i="3" s="1"/>
  <c r="J2948" i="3" a="1"/>
  <c r="J2948" i="3" s="1"/>
  <c r="B2949" i="3" a="1"/>
  <c r="B2949" i="3" s="1"/>
  <c r="C2949" i="3" a="1"/>
  <c r="C2949" i="3" s="1"/>
  <c r="D2949" i="3" a="1"/>
  <c r="D2949" i="3" s="1"/>
  <c r="E2949" i="3" a="1"/>
  <c r="E2949" i="3" s="1"/>
  <c r="F2949" i="3" a="1"/>
  <c r="F2949" i="3" s="1"/>
  <c r="G2949" i="3" a="1"/>
  <c r="G2949" i="3" s="1"/>
  <c r="J2949" i="3" a="1"/>
  <c r="J2949" i="3" s="1"/>
  <c r="B2950" i="3" a="1"/>
  <c r="B2950" i="3" s="1"/>
  <c r="C2950" i="3" a="1"/>
  <c r="C2950" i="3" s="1"/>
  <c r="D2950" i="3" a="1"/>
  <c r="D2950" i="3" s="1"/>
  <c r="E2950" i="3" a="1"/>
  <c r="E2950" i="3" s="1"/>
  <c r="F2950" i="3" a="1"/>
  <c r="F2950" i="3" s="1"/>
  <c r="G2950" i="3" a="1"/>
  <c r="G2950" i="3" s="1"/>
  <c r="J2950" i="3" a="1"/>
  <c r="J2950" i="3" s="1"/>
  <c r="B2951" i="3" a="1"/>
  <c r="B2951" i="3" s="1"/>
  <c r="C2951" i="3" a="1"/>
  <c r="C2951" i="3" s="1"/>
  <c r="D2951" i="3" a="1"/>
  <c r="D2951" i="3" s="1"/>
  <c r="E2951" i="3" a="1"/>
  <c r="E2951" i="3" s="1"/>
  <c r="F2951" i="3" a="1"/>
  <c r="F2951" i="3" s="1"/>
  <c r="G2951" i="3" a="1"/>
  <c r="G2951" i="3" s="1"/>
  <c r="J2951" i="3" a="1"/>
  <c r="J2951" i="3" s="1"/>
  <c r="B2952" i="3" a="1"/>
  <c r="B2952" i="3" s="1"/>
  <c r="C2952" i="3" a="1"/>
  <c r="C2952" i="3" s="1"/>
  <c r="D2952" i="3" a="1"/>
  <c r="D2952" i="3" s="1"/>
  <c r="E2952" i="3" a="1"/>
  <c r="E2952" i="3" s="1"/>
  <c r="F2952" i="3" a="1"/>
  <c r="F2952" i="3" s="1"/>
  <c r="G2952" i="3" a="1"/>
  <c r="G2952" i="3" s="1"/>
  <c r="J2952" i="3" a="1"/>
  <c r="J2952" i="3" s="1"/>
  <c r="B2953" i="3" a="1"/>
  <c r="B2953" i="3" s="1"/>
  <c r="C2953" i="3" a="1"/>
  <c r="C2953" i="3" s="1"/>
  <c r="D2953" i="3" a="1"/>
  <c r="D2953" i="3" s="1"/>
  <c r="E2953" i="3" a="1"/>
  <c r="E2953" i="3" s="1"/>
  <c r="F2953" i="3" a="1"/>
  <c r="F2953" i="3" s="1"/>
  <c r="G2953" i="3" a="1"/>
  <c r="G2953" i="3" s="1"/>
  <c r="J2953" i="3" a="1"/>
  <c r="J2953" i="3" s="1"/>
  <c r="B2954" i="3" a="1"/>
  <c r="B2954" i="3" s="1"/>
  <c r="C2954" i="3" a="1"/>
  <c r="C2954" i="3" s="1"/>
  <c r="D2954" i="3" a="1"/>
  <c r="D2954" i="3" s="1"/>
  <c r="E2954" i="3" a="1"/>
  <c r="E2954" i="3" s="1"/>
  <c r="F2954" i="3" a="1"/>
  <c r="F2954" i="3" s="1"/>
  <c r="G2954" i="3" a="1"/>
  <c r="G2954" i="3" s="1"/>
  <c r="J2954" i="3" a="1"/>
  <c r="J2954" i="3" s="1"/>
  <c r="B2955" i="3" a="1"/>
  <c r="B2955" i="3" s="1"/>
  <c r="C2955" i="3" a="1"/>
  <c r="C2955" i="3" s="1"/>
  <c r="D2955" i="3" a="1"/>
  <c r="D2955" i="3" s="1"/>
  <c r="E2955" i="3" a="1"/>
  <c r="E2955" i="3" s="1"/>
  <c r="F2955" i="3" a="1"/>
  <c r="F2955" i="3" s="1"/>
  <c r="G2955" i="3" a="1"/>
  <c r="G2955" i="3" s="1"/>
  <c r="J2955" i="3" a="1"/>
  <c r="J2955" i="3" s="1"/>
  <c r="B2956" i="3" a="1"/>
  <c r="B2956" i="3" s="1"/>
  <c r="C2956" i="3" a="1"/>
  <c r="C2956" i="3" s="1"/>
  <c r="D2956" i="3" a="1"/>
  <c r="D2956" i="3" s="1"/>
  <c r="E2956" i="3" a="1"/>
  <c r="E2956" i="3" s="1"/>
  <c r="F2956" i="3" a="1"/>
  <c r="F2956" i="3" s="1"/>
  <c r="G2956" i="3" a="1"/>
  <c r="G2956" i="3" s="1"/>
  <c r="J2956" i="3" a="1"/>
  <c r="J2956" i="3" s="1"/>
  <c r="B2957" i="3" a="1"/>
  <c r="B2957" i="3" s="1"/>
  <c r="C2957" i="3" a="1"/>
  <c r="C2957" i="3" s="1"/>
  <c r="D2957" i="3" a="1"/>
  <c r="D2957" i="3" s="1"/>
  <c r="E2957" i="3" a="1"/>
  <c r="E2957" i="3" s="1"/>
  <c r="F2957" i="3" a="1"/>
  <c r="F2957" i="3" s="1"/>
  <c r="G2957" i="3" a="1"/>
  <c r="G2957" i="3" s="1"/>
  <c r="J2957" i="3" a="1"/>
  <c r="J2957" i="3" s="1"/>
  <c r="B2958" i="3" a="1"/>
  <c r="B2958" i="3" s="1"/>
  <c r="C2958" i="3" a="1"/>
  <c r="C2958" i="3" s="1"/>
  <c r="D2958" i="3" a="1"/>
  <c r="D2958" i="3" s="1"/>
  <c r="E2958" i="3" a="1"/>
  <c r="E2958" i="3" s="1"/>
  <c r="F2958" i="3" a="1"/>
  <c r="F2958" i="3" s="1"/>
  <c r="G2958" i="3" a="1"/>
  <c r="G2958" i="3" s="1"/>
  <c r="J2958" i="3" a="1"/>
  <c r="J2958" i="3" s="1"/>
  <c r="B2959" i="3" a="1"/>
  <c r="B2959" i="3" s="1"/>
  <c r="C2959" i="3" a="1"/>
  <c r="C2959" i="3" s="1"/>
  <c r="D2959" i="3" a="1"/>
  <c r="D2959" i="3" s="1"/>
  <c r="E2959" i="3" a="1"/>
  <c r="E2959" i="3" s="1"/>
  <c r="F2959" i="3" a="1"/>
  <c r="F2959" i="3" s="1"/>
  <c r="G2959" i="3" a="1"/>
  <c r="G2959" i="3" s="1"/>
  <c r="J2959" i="3" a="1"/>
  <c r="J2959" i="3" s="1"/>
  <c r="B2960" i="3" a="1"/>
  <c r="B2960" i="3" s="1"/>
  <c r="C2960" i="3" a="1"/>
  <c r="C2960" i="3" s="1"/>
  <c r="D2960" i="3" a="1"/>
  <c r="D2960" i="3" s="1"/>
  <c r="E2960" i="3" a="1"/>
  <c r="E2960" i="3" s="1"/>
  <c r="F2960" i="3" a="1"/>
  <c r="F2960" i="3" s="1"/>
  <c r="G2960" i="3" a="1"/>
  <c r="G2960" i="3" s="1"/>
  <c r="J2960" i="3" a="1"/>
  <c r="J2960" i="3" s="1"/>
  <c r="B2961" i="3" a="1"/>
  <c r="B2961" i="3" s="1"/>
  <c r="C2961" i="3" a="1"/>
  <c r="C2961" i="3" s="1"/>
  <c r="D2961" i="3" a="1"/>
  <c r="D2961" i="3" s="1"/>
  <c r="E2961" i="3" a="1"/>
  <c r="E2961" i="3" s="1"/>
  <c r="F2961" i="3" a="1"/>
  <c r="F2961" i="3" s="1"/>
  <c r="G2961" i="3" a="1"/>
  <c r="G2961" i="3" s="1"/>
  <c r="J2961" i="3" a="1"/>
  <c r="J2961" i="3" s="1"/>
  <c r="B2962" i="3" a="1"/>
  <c r="B2962" i="3" s="1"/>
  <c r="C2962" i="3" a="1"/>
  <c r="C2962" i="3" s="1"/>
  <c r="D2962" i="3" a="1"/>
  <c r="D2962" i="3" s="1"/>
  <c r="E2962" i="3" a="1"/>
  <c r="E2962" i="3" s="1"/>
  <c r="F2962" i="3" a="1"/>
  <c r="F2962" i="3" s="1"/>
  <c r="G2962" i="3" a="1"/>
  <c r="G2962" i="3" s="1"/>
  <c r="J2962" i="3" a="1"/>
  <c r="J2962" i="3" s="1"/>
  <c r="B2963" i="3" a="1"/>
  <c r="B2963" i="3" s="1"/>
  <c r="C2963" i="3" a="1"/>
  <c r="C2963" i="3" s="1"/>
  <c r="D2963" i="3" a="1"/>
  <c r="D2963" i="3" s="1"/>
  <c r="E2963" i="3" a="1"/>
  <c r="E2963" i="3" s="1"/>
  <c r="F2963" i="3" a="1"/>
  <c r="F2963" i="3" s="1"/>
  <c r="G2963" i="3" a="1"/>
  <c r="G2963" i="3" s="1"/>
  <c r="J2963" i="3" a="1"/>
  <c r="J2963" i="3" s="1"/>
  <c r="B2964" i="3" a="1"/>
  <c r="B2964" i="3" s="1"/>
  <c r="C2964" i="3" a="1"/>
  <c r="C2964" i="3" s="1"/>
  <c r="D2964" i="3" a="1"/>
  <c r="D2964" i="3" s="1"/>
  <c r="E2964" i="3" a="1"/>
  <c r="E2964" i="3" s="1"/>
  <c r="F2964" i="3" a="1"/>
  <c r="F2964" i="3" s="1"/>
  <c r="G2964" i="3" a="1"/>
  <c r="G2964" i="3" s="1"/>
  <c r="J2964" i="3" a="1"/>
  <c r="J2964" i="3" s="1"/>
  <c r="B2965" i="3" a="1"/>
  <c r="B2965" i="3" s="1"/>
  <c r="C2965" i="3" a="1"/>
  <c r="C2965" i="3" s="1"/>
  <c r="D2965" i="3" a="1"/>
  <c r="D2965" i="3" s="1"/>
  <c r="E2965" i="3" a="1"/>
  <c r="E2965" i="3" s="1"/>
  <c r="F2965" i="3" a="1"/>
  <c r="F2965" i="3" s="1"/>
  <c r="G2965" i="3" a="1"/>
  <c r="G2965" i="3" s="1"/>
  <c r="J2965" i="3" a="1"/>
  <c r="J2965" i="3" s="1"/>
  <c r="B2966" i="3" a="1"/>
  <c r="B2966" i="3" s="1"/>
  <c r="C2966" i="3" a="1"/>
  <c r="C2966" i="3" s="1"/>
  <c r="D2966" i="3" a="1"/>
  <c r="D2966" i="3" s="1"/>
  <c r="E2966" i="3" a="1"/>
  <c r="E2966" i="3" s="1"/>
  <c r="F2966" i="3" a="1"/>
  <c r="F2966" i="3" s="1"/>
  <c r="G2966" i="3" a="1"/>
  <c r="G2966" i="3" s="1"/>
  <c r="J2966" i="3" a="1"/>
  <c r="J2966" i="3" s="1"/>
  <c r="B2967" i="3" a="1"/>
  <c r="B2967" i="3" s="1"/>
  <c r="C2967" i="3" a="1"/>
  <c r="C2967" i="3" s="1"/>
  <c r="D2967" i="3" a="1"/>
  <c r="D2967" i="3" s="1"/>
  <c r="E2967" i="3" a="1"/>
  <c r="E2967" i="3" s="1"/>
  <c r="F2967" i="3" a="1"/>
  <c r="F2967" i="3" s="1"/>
  <c r="G2967" i="3" a="1"/>
  <c r="G2967" i="3" s="1"/>
  <c r="J2967" i="3" a="1"/>
  <c r="J2967" i="3" s="1"/>
  <c r="B2968" i="3" a="1"/>
  <c r="B2968" i="3" s="1"/>
  <c r="C2968" i="3" a="1"/>
  <c r="C2968" i="3" s="1"/>
  <c r="D2968" i="3" a="1"/>
  <c r="D2968" i="3" s="1"/>
  <c r="E2968" i="3" a="1"/>
  <c r="E2968" i="3" s="1"/>
  <c r="F2968" i="3" a="1"/>
  <c r="F2968" i="3" s="1"/>
  <c r="G2968" i="3" a="1"/>
  <c r="G2968" i="3" s="1"/>
  <c r="J2968" i="3" a="1"/>
  <c r="J2968" i="3" s="1"/>
  <c r="B2969" i="3" a="1"/>
  <c r="B2969" i="3" s="1"/>
  <c r="C2969" i="3" a="1"/>
  <c r="C2969" i="3" s="1"/>
  <c r="D2969" i="3" a="1"/>
  <c r="D2969" i="3" s="1"/>
  <c r="E2969" i="3" a="1"/>
  <c r="E2969" i="3" s="1"/>
  <c r="F2969" i="3" a="1"/>
  <c r="F2969" i="3" s="1"/>
  <c r="G2969" i="3" a="1"/>
  <c r="G2969" i="3" s="1"/>
  <c r="J2969" i="3" a="1"/>
  <c r="J2969" i="3" s="1"/>
  <c r="B2970" i="3" a="1"/>
  <c r="B2970" i="3" s="1"/>
  <c r="C2970" i="3" a="1"/>
  <c r="C2970" i="3" s="1"/>
  <c r="D2970" i="3" a="1"/>
  <c r="D2970" i="3" s="1"/>
  <c r="E2970" i="3" a="1"/>
  <c r="E2970" i="3" s="1"/>
  <c r="F2970" i="3" a="1"/>
  <c r="F2970" i="3" s="1"/>
  <c r="G2970" i="3" a="1"/>
  <c r="G2970" i="3" s="1"/>
  <c r="J2970" i="3" a="1"/>
  <c r="J2970" i="3" s="1"/>
  <c r="B2971" i="3" a="1"/>
  <c r="B2971" i="3" s="1"/>
  <c r="C2971" i="3" a="1"/>
  <c r="C2971" i="3" s="1"/>
  <c r="D2971" i="3" a="1"/>
  <c r="D2971" i="3" s="1"/>
  <c r="E2971" i="3" a="1"/>
  <c r="E2971" i="3" s="1"/>
  <c r="F2971" i="3" a="1"/>
  <c r="F2971" i="3" s="1"/>
  <c r="G2971" i="3" a="1"/>
  <c r="G2971" i="3" s="1"/>
  <c r="J2971" i="3" a="1"/>
  <c r="J2971" i="3" s="1"/>
  <c r="B2972" i="3" a="1"/>
  <c r="B2972" i="3" s="1"/>
  <c r="C2972" i="3" a="1"/>
  <c r="C2972" i="3" s="1"/>
  <c r="D2972" i="3" a="1"/>
  <c r="D2972" i="3" s="1"/>
  <c r="E2972" i="3" a="1"/>
  <c r="E2972" i="3" s="1"/>
  <c r="F2972" i="3" a="1"/>
  <c r="F2972" i="3" s="1"/>
  <c r="G2972" i="3" a="1"/>
  <c r="G2972" i="3" s="1"/>
  <c r="J2972" i="3" a="1"/>
  <c r="J2972" i="3" s="1"/>
  <c r="B2973" i="3" a="1"/>
  <c r="B2973" i="3" s="1"/>
  <c r="C2973" i="3" a="1"/>
  <c r="C2973" i="3" s="1"/>
  <c r="D2973" i="3" a="1"/>
  <c r="D2973" i="3" s="1"/>
  <c r="E2973" i="3" a="1"/>
  <c r="E2973" i="3" s="1"/>
  <c r="F2973" i="3" a="1"/>
  <c r="F2973" i="3" s="1"/>
  <c r="G2973" i="3" a="1"/>
  <c r="G2973" i="3" s="1"/>
  <c r="J2973" i="3" a="1"/>
  <c r="J2973" i="3" s="1"/>
  <c r="B2974" i="3" a="1"/>
  <c r="B2974" i="3" s="1"/>
  <c r="C2974" i="3" a="1"/>
  <c r="C2974" i="3" s="1"/>
  <c r="D2974" i="3" a="1"/>
  <c r="D2974" i="3" s="1"/>
  <c r="E2974" i="3" a="1"/>
  <c r="E2974" i="3" s="1"/>
  <c r="F2974" i="3" a="1"/>
  <c r="F2974" i="3" s="1"/>
  <c r="G2974" i="3" a="1"/>
  <c r="G2974" i="3" s="1"/>
  <c r="J2974" i="3" a="1"/>
  <c r="J2974" i="3" s="1"/>
  <c r="B2975" i="3" a="1"/>
  <c r="B2975" i="3" s="1"/>
  <c r="C2975" i="3" a="1"/>
  <c r="C2975" i="3" s="1"/>
  <c r="D2975" i="3" a="1"/>
  <c r="D2975" i="3" s="1"/>
  <c r="E2975" i="3" a="1"/>
  <c r="E2975" i="3" s="1"/>
  <c r="F2975" i="3" a="1"/>
  <c r="F2975" i="3" s="1"/>
  <c r="G2975" i="3" a="1"/>
  <c r="G2975" i="3" s="1"/>
  <c r="J2975" i="3" a="1"/>
  <c r="J2975" i="3" s="1"/>
  <c r="B2976" i="3" a="1"/>
  <c r="B2976" i="3" s="1"/>
  <c r="C2976" i="3" a="1"/>
  <c r="C2976" i="3" s="1"/>
  <c r="D2976" i="3" a="1"/>
  <c r="D2976" i="3" s="1"/>
  <c r="E2976" i="3" a="1"/>
  <c r="E2976" i="3" s="1"/>
  <c r="F2976" i="3" a="1"/>
  <c r="F2976" i="3" s="1"/>
  <c r="G2976" i="3" a="1"/>
  <c r="G2976" i="3" s="1"/>
  <c r="J2976" i="3" a="1"/>
  <c r="J2976" i="3" s="1"/>
  <c r="B2977" i="3" a="1"/>
  <c r="B2977" i="3" s="1"/>
  <c r="C2977" i="3" a="1"/>
  <c r="C2977" i="3" s="1"/>
  <c r="D2977" i="3" a="1"/>
  <c r="D2977" i="3" s="1"/>
  <c r="E2977" i="3" a="1"/>
  <c r="E2977" i="3" s="1"/>
  <c r="F2977" i="3" a="1"/>
  <c r="F2977" i="3" s="1"/>
  <c r="G2977" i="3" a="1"/>
  <c r="G2977" i="3" s="1"/>
  <c r="J2977" i="3" a="1"/>
  <c r="J2977" i="3" s="1"/>
  <c r="B2978" i="3" a="1"/>
  <c r="B2978" i="3" s="1"/>
  <c r="C2978" i="3" a="1"/>
  <c r="C2978" i="3" s="1"/>
  <c r="D2978" i="3" a="1"/>
  <c r="D2978" i="3" s="1"/>
  <c r="E2978" i="3" a="1"/>
  <c r="E2978" i="3" s="1"/>
  <c r="F2978" i="3" a="1"/>
  <c r="F2978" i="3" s="1"/>
  <c r="G2978" i="3" a="1"/>
  <c r="G2978" i="3" s="1"/>
  <c r="J2978" i="3" a="1"/>
  <c r="J2978" i="3" s="1"/>
  <c r="B2979" i="3" a="1"/>
  <c r="B2979" i="3" s="1"/>
  <c r="C2979" i="3" a="1"/>
  <c r="C2979" i="3" s="1"/>
  <c r="D2979" i="3" a="1"/>
  <c r="D2979" i="3" s="1"/>
  <c r="E2979" i="3" a="1"/>
  <c r="E2979" i="3" s="1"/>
  <c r="F2979" i="3" a="1"/>
  <c r="F2979" i="3" s="1"/>
  <c r="G2979" i="3" a="1"/>
  <c r="G2979" i="3" s="1"/>
  <c r="J2979" i="3" a="1"/>
  <c r="J2979" i="3" s="1"/>
  <c r="B2980" i="3" a="1"/>
  <c r="B2980" i="3" s="1"/>
  <c r="C2980" i="3" a="1"/>
  <c r="C2980" i="3" s="1"/>
  <c r="D2980" i="3" a="1"/>
  <c r="D2980" i="3" s="1"/>
  <c r="E2980" i="3" a="1"/>
  <c r="E2980" i="3" s="1"/>
  <c r="F2980" i="3" a="1"/>
  <c r="F2980" i="3" s="1"/>
  <c r="G2980" i="3" a="1"/>
  <c r="G2980" i="3" s="1"/>
  <c r="J2980" i="3" a="1"/>
  <c r="J2980" i="3" s="1"/>
  <c r="B2981" i="3" a="1"/>
  <c r="B2981" i="3" s="1"/>
  <c r="C2981" i="3" a="1"/>
  <c r="C2981" i="3" s="1"/>
  <c r="D2981" i="3" a="1"/>
  <c r="D2981" i="3" s="1"/>
  <c r="E2981" i="3" a="1"/>
  <c r="E2981" i="3" s="1"/>
  <c r="F2981" i="3" a="1"/>
  <c r="F2981" i="3" s="1"/>
  <c r="G2981" i="3" a="1"/>
  <c r="G2981" i="3" s="1"/>
  <c r="J2981" i="3" a="1"/>
  <c r="J2981" i="3" s="1"/>
  <c r="B2982" i="3" a="1"/>
  <c r="B2982" i="3" s="1"/>
  <c r="C2982" i="3" a="1"/>
  <c r="C2982" i="3" s="1"/>
  <c r="D2982" i="3" a="1"/>
  <c r="D2982" i="3" s="1"/>
  <c r="E2982" i="3" a="1"/>
  <c r="E2982" i="3" s="1"/>
  <c r="F2982" i="3" a="1"/>
  <c r="F2982" i="3" s="1"/>
  <c r="G2982" i="3" a="1"/>
  <c r="G2982" i="3" s="1"/>
  <c r="J2982" i="3" a="1"/>
  <c r="J2982" i="3" s="1"/>
  <c r="B2983" i="3" a="1"/>
  <c r="B2983" i="3" s="1"/>
  <c r="C2983" i="3" a="1"/>
  <c r="C2983" i="3" s="1"/>
  <c r="D2983" i="3" a="1"/>
  <c r="D2983" i="3" s="1"/>
  <c r="E2983" i="3" a="1"/>
  <c r="E2983" i="3" s="1"/>
  <c r="F2983" i="3" a="1"/>
  <c r="F2983" i="3" s="1"/>
  <c r="G2983" i="3" a="1"/>
  <c r="G2983" i="3" s="1"/>
  <c r="J2983" i="3" a="1"/>
  <c r="J2983" i="3" s="1"/>
  <c r="B2984" i="3" a="1"/>
  <c r="B2984" i="3" s="1"/>
  <c r="C2984" i="3" a="1"/>
  <c r="C2984" i="3" s="1"/>
  <c r="D2984" i="3" a="1"/>
  <c r="D2984" i="3" s="1"/>
  <c r="E2984" i="3" a="1"/>
  <c r="E2984" i="3" s="1"/>
  <c r="F2984" i="3" a="1"/>
  <c r="F2984" i="3" s="1"/>
  <c r="G2984" i="3" a="1"/>
  <c r="G2984" i="3" s="1"/>
  <c r="J2984" i="3" a="1"/>
  <c r="J2984" i="3" s="1"/>
  <c r="B2985" i="3" a="1"/>
  <c r="B2985" i="3" s="1"/>
  <c r="C2985" i="3" a="1"/>
  <c r="C2985" i="3" s="1"/>
  <c r="D2985" i="3" a="1"/>
  <c r="D2985" i="3" s="1"/>
  <c r="E2985" i="3" a="1"/>
  <c r="E2985" i="3" s="1"/>
  <c r="F2985" i="3" a="1"/>
  <c r="F2985" i="3" s="1"/>
  <c r="G2985" i="3" a="1"/>
  <c r="G2985" i="3" s="1"/>
  <c r="J2985" i="3" a="1"/>
  <c r="J2985" i="3" s="1"/>
  <c r="B2986" i="3" a="1"/>
  <c r="B2986" i="3" s="1"/>
  <c r="C2986" i="3" a="1"/>
  <c r="C2986" i="3" s="1"/>
  <c r="D2986" i="3" a="1"/>
  <c r="D2986" i="3" s="1"/>
  <c r="E2986" i="3" a="1"/>
  <c r="E2986" i="3" s="1"/>
  <c r="F2986" i="3" a="1"/>
  <c r="F2986" i="3" s="1"/>
  <c r="G2986" i="3" a="1"/>
  <c r="G2986" i="3" s="1"/>
  <c r="J2986" i="3" a="1"/>
  <c r="J2986" i="3" s="1"/>
  <c r="B2987" i="3" a="1"/>
  <c r="B2987" i="3" s="1"/>
  <c r="C2987" i="3" a="1"/>
  <c r="C2987" i="3" s="1"/>
  <c r="D2987" i="3" a="1"/>
  <c r="D2987" i="3" s="1"/>
  <c r="E2987" i="3" a="1"/>
  <c r="E2987" i="3" s="1"/>
  <c r="F2987" i="3" a="1"/>
  <c r="F2987" i="3" s="1"/>
  <c r="G2987" i="3" a="1"/>
  <c r="G2987" i="3" s="1"/>
  <c r="J2987" i="3" a="1"/>
  <c r="J2987" i="3" s="1"/>
  <c r="B2988" i="3" a="1"/>
  <c r="B2988" i="3" s="1"/>
  <c r="C2988" i="3" a="1"/>
  <c r="C2988" i="3" s="1"/>
  <c r="D2988" i="3" a="1"/>
  <c r="D2988" i="3" s="1"/>
  <c r="E2988" i="3" a="1"/>
  <c r="E2988" i="3" s="1"/>
  <c r="F2988" i="3" a="1"/>
  <c r="F2988" i="3" s="1"/>
  <c r="G2988" i="3" a="1"/>
  <c r="G2988" i="3" s="1"/>
  <c r="J2988" i="3" a="1"/>
  <c r="J2988" i="3" s="1"/>
  <c r="B2989" i="3" a="1"/>
  <c r="B2989" i="3" s="1"/>
  <c r="C2989" i="3" a="1"/>
  <c r="C2989" i="3" s="1"/>
  <c r="D2989" i="3" a="1"/>
  <c r="D2989" i="3" s="1"/>
  <c r="E2989" i="3" a="1"/>
  <c r="E2989" i="3" s="1"/>
  <c r="F2989" i="3" a="1"/>
  <c r="F2989" i="3" s="1"/>
  <c r="G2989" i="3" a="1"/>
  <c r="G2989" i="3" s="1"/>
  <c r="J2989" i="3" a="1"/>
  <c r="J2989" i="3" s="1"/>
  <c r="B2990" i="3" a="1"/>
  <c r="B2990" i="3" s="1"/>
  <c r="C2990" i="3" a="1"/>
  <c r="C2990" i="3" s="1"/>
  <c r="D2990" i="3" a="1"/>
  <c r="D2990" i="3" s="1"/>
  <c r="E2990" i="3" a="1"/>
  <c r="E2990" i="3" s="1"/>
  <c r="F2990" i="3" a="1"/>
  <c r="F2990" i="3" s="1"/>
  <c r="G2990" i="3" a="1"/>
  <c r="G2990" i="3" s="1"/>
  <c r="J2990" i="3" a="1"/>
  <c r="J2990" i="3" s="1"/>
  <c r="B2991" i="3" a="1"/>
  <c r="B2991" i="3" s="1"/>
  <c r="C2991" i="3" a="1"/>
  <c r="C2991" i="3" s="1"/>
  <c r="D2991" i="3" a="1"/>
  <c r="D2991" i="3" s="1"/>
  <c r="E2991" i="3" a="1"/>
  <c r="E2991" i="3" s="1"/>
  <c r="F2991" i="3" a="1"/>
  <c r="F2991" i="3" s="1"/>
  <c r="G2991" i="3" a="1"/>
  <c r="G2991" i="3" s="1"/>
  <c r="J2991" i="3" a="1"/>
  <c r="J2991" i="3" s="1"/>
  <c r="B2992" i="3" a="1"/>
  <c r="B2992" i="3" s="1"/>
  <c r="C2992" i="3" a="1"/>
  <c r="C2992" i="3" s="1"/>
  <c r="D2992" i="3" a="1"/>
  <c r="D2992" i="3" s="1"/>
  <c r="E2992" i="3" a="1"/>
  <c r="E2992" i="3" s="1"/>
  <c r="F2992" i="3" a="1"/>
  <c r="F2992" i="3" s="1"/>
  <c r="G2992" i="3" a="1"/>
  <c r="G2992" i="3" s="1"/>
  <c r="J2992" i="3" a="1"/>
  <c r="J2992" i="3" s="1"/>
  <c r="B2993" i="3" a="1"/>
  <c r="B2993" i="3" s="1"/>
  <c r="C2993" i="3" a="1"/>
  <c r="C2993" i="3" s="1"/>
  <c r="D2993" i="3" a="1"/>
  <c r="D2993" i="3" s="1"/>
  <c r="E2993" i="3" a="1"/>
  <c r="E2993" i="3" s="1"/>
  <c r="F2993" i="3" a="1"/>
  <c r="F2993" i="3" s="1"/>
  <c r="G2993" i="3" a="1"/>
  <c r="G2993" i="3" s="1"/>
  <c r="J2993" i="3" a="1"/>
  <c r="J2993" i="3" s="1"/>
  <c r="B2994" i="3" a="1"/>
  <c r="B2994" i="3" s="1"/>
  <c r="C2994" i="3" a="1"/>
  <c r="C2994" i="3" s="1"/>
  <c r="D2994" i="3" a="1"/>
  <c r="D2994" i="3" s="1"/>
  <c r="E2994" i="3" a="1"/>
  <c r="E2994" i="3" s="1"/>
  <c r="F2994" i="3" a="1"/>
  <c r="F2994" i="3" s="1"/>
  <c r="G2994" i="3" a="1"/>
  <c r="G2994" i="3" s="1"/>
  <c r="J2994" i="3" a="1"/>
  <c r="J2994" i="3" s="1"/>
  <c r="B2995" i="3" a="1"/>
  <c r="B2995" i="3" s="1"/>
  <c r="C2995" i="3" a="1"/>
  <c r="C2995" i="3" s="1"/>
  <c r="D2995" i="3" a="1"/>
  <c r="D2995" i="3" s="1"/>
  <c r="E2995" i="3" a="1"/>
  <c r="E2995" i="3" s="1"/>
  <c r="F2995" i="3" a="1"/>
  <c r="F2995" i="3" s="1"/>
  <c r="G2995" i="3" a="1"/>
  <c r="G2995" i="3" s="1"/>
  <c r="J2995" i="3" a="1"/>
  <c r="J2995" i="3" s="1"/>
  <c r="B2996" i="3" a="1"/>
  <c r="B2996" i="3" s="1"/>
  <c r="C2996" i="3" a="1"/>
  <c r="C2996" i="3" s="1"/>
  <c r="D2996" i="3" a="1"/>
  <c r="D2996" i="3" s="1"/>
  <c r="E2996" i="3" a="1"/>
  <c r="E2996" i="3" s="1"/>
  <c r="F2996" i="3" a="1"/>
  <c r="F2996" i="3" s="1"/>
  <c r="G2996" i="3" a="1"/>
  <c r="G2996" i="3" s="1"/>
  <c r="J2996" i="3" a="1"/>
  <c r="J2996" i="3" s="1"/>
  <c r="B2997" i="3" a="1"/>
  <c r="B2997" i="3" s="1"/>
  <c r="C2997" i="3" a="1"/>
  <c r="C2997" i="3" s="1"/>
  <c r="D2997" i="3" a="1"/>
  <c r="D2997" i="3" s="1"/>
  <c r="E2997" i="3" a="1"/>
  <c r="E2997" i="3" s="1"/>
  <c r="F2997" i="3" a="1"/>
  <c r="F2997" i="3" s="1"/>
  <c r="G2997" i="3" a="1"/>
  <c r="G2997" i="3" s="1"/>
  <c r="J2997" i="3" a="1"/>
  <c r="J2997" i="3" s="1"/>
  <c r="B2998" i="3" a="1"/>
  <c r="B2998" i="3" s="1"/>
  <c r="C2998" i="3" a="1"/>
  <c r="C2998" i="3" s="1"/>
  <c r="D2998" i="3" a="1"/>
  <c r="D2998" i="3" s="1"/>
  <c r="E2998" i="3" a="1"/>
  <c r="E2998" i="3" s="1"/>
  <c r="F2998" i="3" a="1"/>
  <c r="F2998" i="3" s="1"/>
  <c r="G2998" i="3" a="1"/>
  <c r="G2998" i="3" s="1"/>
  <c r="J2998" i="3" a="1"/>
  <c r="J2998" i="3" s="1"/>
  <c r="B2999" i="3" a="1"/>
  <c r="B2999" i="3" s="1"/>
  <c r="C2999" i="3" a="1"/>
  <c r="C2999" i="3" s="1"/>
  <c r="D2999" i="3" a="1"/>
  <c r="D2999" i="3" s="1"/>
  <c r="E2999" i="3" a="1"/>
  <c r="E2999" i="3" s="1"/>
  <c r="F2999" i="3" a="1"/>
  <c r="F2999" i="3" s="1"/>
  <c r="G2999" i="3" a="1"/>
  <c r="G2999" i="3" s="1"/>
  <c r="J2999" i="3" a="1"/>
  <c r="J2999" i="3" s="1"/>
  <c r="B3000" i="3" a="1"/>
  <c r="B3000" i="3" s="1"/>
  <c r="C3000" i="3" a="1"/>
  <c r="C3000" i="3" s="1"/>
  <c r="D3000" i="3" a="1"/>
  <c r="D3000" i="3" s="1"/>
  <c r="E3000" i="3" a="1"/>
  <c r="E3000" i="3" s="1"/>
  <c r="F3000" i="3" a="1"/>
  <c r="F3000" i="3" s="1"/>
  <c r="G3000" i="3" a="1"/>
  <c r="G3000" i="3" s="1"/>
  <c r="J3000" i="3" a="1"/>
  <c r="J3000" i="3" s="1"/>
  <c r="B3001" i="3" a="1"/>
  <c r="B3001" i="3" s="1"/>
  <c r="C3001" i="3" a="1"/>
  <c r="C3001" i="3" s="1"/>
  <c r="D3001" i="3" a="1"/>
  <c r="D3001" i="3" s="1"/>
  <c r="E3001" i="3" a="1"/>
  <c r="E3001" i="3" s="1"/>
  <c r="F3001" i="3" a="1"/>
  <c r="F3001" i="3" s="1"/>
  <c r="G3001" i="3" a="1"/>
  <c r="G3001" i="3" s="1"/>
  <c r="J3001" i="3" a="1"/>
  <c r="J3001" i="3" s="1"/>
  <c r="B3002" i="3" a="1"/>
  <c r="B3002" i="3" s="1"/>
  <c r="C3002" i="3" a="1"/>
  <c r="C3002" i="3" s="1"/>
  <c r="D3002" i="3" a="1"/>
  <c r="D3002" i="3" s="1"/>
  <c r="E3002" i="3" a="1"/>
  <c r="E3002" i="3" s="1"/>
  <c r="F3002" i="3" a="1"/>
  <c r="F3002" i="3" s="1"/>
  <c r="G3002" i="3" a="1"/>
  <c r="G3002" i="3" s="1"/>
  <c r="J3002" i="3" a="1"/>
  <c r="J3002" i="3" s="1"/>
  <c r="B3003" i="3" a="1"/>
  <c r="B3003" i="3" s="1"/>
  <c r="C3003" i="3" a="1"/>
  <c r="C3003" i="3" s="1"/>
  <c r="D3003" i="3" a="1"/>
  <c r="D3003" i="3" s="1"/>
  <c r="E3003" i="3" a="1"/>
  <c r="E3003" i="3" s="1"/>
  <c r="F3003" i="3" a="1"/>
  <c r="F3003" i="3" s="1"/>
  <c r="G3003" i="3" a="1"/>
  <c r="G3003" i="3" s="1"/>
  <c r="J3003" i="3" a="1"/>
  <c r="J3003" i="3" s="1"/>
  <c r="B3004" i="3" a="1"/>
  <c r="B3004" i="3" s="1"/>
  <c r="C3004" i="3" a="1"/>
  <c r="C3004" i="3" s="1"/>
  <c r="D3004" i="3" a="1"/>
  <c r="D3004" i="3" s="1"/>
  <c r="E3004" i="3" a="1"/>
  <c r="E3004" i="3" s="1"/>
  <c r="F3004" i="3" a="1"/>
  <c r="F3004" i="3" s="1"/>
  <c r="G3004" i="3" a="1"/>
  <c r="G3004" i="3" s="1"/>
  <c r="J3004" i="3" a="1"/>
  <c r="J3004" i="3" s="1"/>
  <c r="B3005" i="3" a="1"/>
  <c r="B3005" i="3" s="1"/>
  <c r="C3005" i="3" a="1"/>
  <c r="C3005" i="3" s="1"/>
  <c r="D3005" i="3" a="1"/>
  <c r="D3005" i="3" s="1"/>
  <c r="E3005" i="3" a="1"/>
  <c r="E3005" i="3" s="1"/>
  <c r="F3005" i="3" a="1"/>
  <c r="F3005" i="3" s="1"/>
  <c r="G3005" i="3" a="1"/>
  <c r="G3005" i="3" s="1"/>
  <c r="J3005" i="3" a="1"/>
  <c r="J3005" i="3" s="1"/>
  <c r="B3006" i="3" a="1"/>
  <c r="B3006" i="3" s="1"/>
  <c r="C3006" i="3" a="1"/>
  <c r="C3006" i="3" s="1"/>
  <c r="D3006" i="3" a="1"/>
  <c r="D3006" i="3" s="1"/>
  <c r="E3006" i="3" a="1"/>
  <c r="E3006" i="3" s="1"/>
  <c r="F3006" i="3" a="1"/>
  <c r="F3006" i="3" s="1"/>
  <c r="G3006" i="3" a="1"/>
  <c r="G3006" i="3" s="1"/>
  <c r="J3006" i="3" a="1"/>
  <c r="J3006" i="3" s="1"/>
  <c r="B3007" i="3" a="1"/>
  <c r="B3007" i="3" s="1"/>
  <c r="C3007" i="3" a="1"/>
  <c r="C3007" i="3" s="1"/>
  <c r="D3007" i="3" a="1"/>
  <c r="D3007" i="3" s="1"/>
  <c r="E3007" i="3" a="1"/>
  <c r="E3007" i="3" s="1"/>
  <c r="F3007" i="3" a="1"/>
  <c r="F3007" i="3" s="1"/>
  <c r="G3007" i="3" a="1"/>
  <c r="G3007" i="3" s="1"/>
  <c r="J3007" i="3" a="1"/>
  <c r="J3007" i="3" s="1"/>
  <c r="B3008" i="3" a="1"/>
  <c r="B3008" i="3" s="1"/>
  <c r="C3008" i="3" a="1"/>
  <c r="C3008" i="3" s="1"/>
  <c r="D3008" i="3" a="1"/>
  <c r="D3008" i="3" s="1"/>
  <c r="E3008" i="3" a="1"/>
  <c r="E3008" i="3" s="1"/>
  <c r="F3008" i="3" a="1"/>
  <c r="F3008" i="3" s="1"/>
  <c r="G3008" i="3" a="1"/>
  <c r="G3008" i="3" s="1"/>
  <c r="J3008" i="3" a="1"/>
  <c r="J3008" i="3" s="1"/>
  <c r="B3009" i="3" a="1"/>
  <c r="B3009" i="3" s="1"/>
  <c r="C3009" i="3" a="1"/>
  <c r="C3009" i="3" s="1"/>
  <c r="D3009" i="3" a="1"/>
  <c r="D3009" i="3" s="1"/>
  <c r="E3009" i="3" a="1"/>
  <c r="E3009" i="3" s="1"/>
  <c r="F3009" i="3" a="1"/>
  <c r="F3009" i="3" s="1"/>
  <c r="G3009" i="3" a="1"/>
  <c r="G3009" i="3" s="1"/>
  <c r="J3009" i="3" a="1"/>
  <c r="J3009" i="3" s="1"/>
  <c r="B3010" i="3" a="1"/>
  <c r="B3010" i="3" s="1"/>
  <c r="C3010" i="3" a="1"/>
  <c r="C3010" i="3" s="1"/>
  <c r="D3010" i="3" a="1"/>
  <c r="D3010" i="3" s="1"/>
  <c r="E3010" i="3" a="1"/>
  <c r="E3010" i="3" s="1"/>
  <c r="F3010" i="3" a="1"/>
  <c r="F3010" i="3" s="1"/>
  <c r="G3010" i="3" a="1"/>
  <c r="G3010" i="3" s="1"/>
  <c r="J3010" i="3" a="1"/>
  <c r="J3010" i="3" s="1"/>
  <c r="B3011" i="3" a="1"/>
  <c r="B3011" i="3" s="1"/>
  <c r="C3011" i="3" a="1"/>
  <c r="C3011" i="3" s="1"/>
  <c r="D3011" i="3" a="1"/>
  <c r="D3011" i="3" s="1"/>
  <c r="E3011" i="3" a="1"/>
  <c r="E3011" i="3" s="1"/>
  <c r="F3011" i="3" a="1"/>
  <c r="F3011" i="3" s="1"/>
  <c r="G3011" i="3" a="1"/>
  <c r="G3011" i="3" s="1"/>
  <c r="J3011" i="3" a="1"/>
  <c r="J3011" i="3" s="1"/>
  <c r="B3012" i="3" a="1"/>
  <c r="B3012" i="3" s="1"/>
  <c r="C3012" i="3" a="1"/>
  <c r="C3012" i="3" s="1"/>
  <c r="D3012" i="3" a="1"/>
  <c r="D3012" i="3" s="1"/>
  <c r="E3012" i="3" a="1"/>
  <c r="E3012" i="3" s="1"/>
  <c r="F3012" i="3" a="1"/>
  <c r="F3012" i="3" s="1"/>
  <c r="G3012" i="3" a="1"/>
  <c r="G3012" i="3" s="1"/>
  <c r="J3012" i="3" a="1"/>
  <c r="J3012" i="3" s="1"/>
  <c r="B3013" i="3" a="1"/>
  <c r="B3013" i="3" s="1"/>
  <c r="C3013" i="3" a="1"/>
  <c r="C3013" i="3" s="1"/>
  <c r="D3013" i="3" a="1"/>
  <c r="D3013" i="3" s="1"/>
  <c r="E3013" i="3" a="1"/>
  <c r="E3013" i="3" s="1"/>
  <c r="F3013" i="3" a="1"/>
  <c r="F3013" i="3" s="1"/>
  <c r="G3013" i="3" a="1"/>
  <c r="G3013" i="3" s="1"/>
  <c r="J3013" i="3" a="1"/>
  <c r="J3013" i="3" s="1"/>
  <c r="B3014" i="3" a="1"/>
  <c r="B3014" i="3" s="1"/>
  <c r="C3014" i="3" a="1"/>
  <c r="C3014" i="3" s="1"/>
  <c r="D3014" i="3" a="1"/>
  <c r="D3014" i="3" s="1"/>
  <c r="E3014" i="3" a="1"/>
  <c r="E3014" i="3" s="1"/>
  <c r="F3014" i="3" a="1"/>
  <c r="F3014" i="3" s="1"/>
  <c r="G3014" i="3" a="1"/>
  <c r="G3014" i="3" s="1"/>
  <c r="J3014" i="3" a="1"/>
  <c r="J3014" i="3" s="1"/>
  <c r="B3015" i="3" a="1"/>
  <c r="B3015" i="3" s="1"/>
  <c r="C3015" i="3" a="1"/>
  <c r="C3015" i="3" s="1"/>
  <c r="D3015" i="3" a="1"/>
  <c r="D3015" i="3" s="1"/>
  <c r="E3015" i="3" a="1"/>
  <c r="E3015" i="3" s="1"/>
  <c r="F3015" i="3" a="1"/>
  <c r="F3015" i="3" s="1"/>
  <c r="G3015" i="3" a="1"/>
  <c r="G3015" i="3" s="1"/>
  <c r="J3015" i="3" a="1"/>
  <c r="J3015" i="3" s="1"/>
  <c r="B3016" i="3" a="1"/>
  <c r="B3016" i="3" s="1"/>
  <c r="C3016" i="3" a="1"/>
  <c r="C3016" i="3" s="1"/>
  <c r="D3016" i="3" a="1"/>
  <c r="D3016" i="3" s="1"/>
  <c r="E3016" i="3" a="1"/>
  <c r="E3016" i="3" s="1"/>
  <c r="F3016" i="3" a="1"/>
  <c r="F3016" i="3" s="1"/>
  <c r="G3016" i="3" a="1"/>
  <c r="G3016" i="3" s="1"/>
  <c r="J3016" i="3" a="1"/>
  <c r="J3016" i="3" s="1"/>
  <c r="B3017" i="3" a="1"/>
  <c r="B3017" i="3" s="1"/>
  <c r="C3017" i="3" a="1"/>
  <c r="C3017" i="3" s="1"/>
  <c r="D3017" i="3" a="1"/>
  <c r="D3017" i="3" s="1"/>
  <c r="E3017" i="3" a="1"/>
  <c r="E3017" i="3" s="1"/>
  <c r="F3017" i="3" a="1"/>
  <c r="F3017" i="3" s="1"/>
  <c r="G3017" i="3" a="1"/>
  <c r="G3017" i="3" s="1"/>
  <c r="J3017" i="3" a="1"/>
  <c r="J3017" i="3" s="1"/>
  <c r="B3018" i="3" a="1"/>
  <c r="B3018" i="3" s="1"/>
  <c r="C3018" i="3" a="1"/>
  <c r="C3018" i="3" s="1"/>
  <c r="D3018" i="3" a="1"/>
  <c r="D3018" i="3" s="1"/>
  <c r="E3018" i="3" a="1"/>
  <c r="E3018" i="3" s="1"/>
  <c r="F3018" i="3" a="1"/>
  <c r="F3018" i="3" s="1"/>
  <c r="G3018" i="3" a="1"/>
  <c r="G3018" i="3" s="1"/>
  <c r="J3018" i="3" a="1"/>
  <c r="J3018" i="3" s="1"/>
  <c r="B3019" i="3" a="1"/>
  <c r="B3019" i="3" s="1"/>
  <c r="C3019" i="3" a="1"/>
  <c r="C3019" i="3" s="1"/>
  <c r="D3019" i="3" a="1"/>
  <c r="D3019" i="3" s="1"/>
  <c r="E3019" i="3" a="1"/>
  <c r="E3019" i="3" s="1"/>
  <c r="F3019" i="3" a="1"/>
  <c r="F3019" i="3" s="1"/>
  <c r="G3019" i="3" a="1"/>
  <c r="G3019" i="3" s="1"/>
  <c r="J3019" i="3" a="1"/>
  <c r="J3019" i="3" s="1"/>
  <c r="B3020" i="3" a="1"/>
  <c r="B3020" i="3" s="1"/>
  <c r="C3020" i="3" a="1"/>
  <c r="C3020" i="3" s="1"/>
  <c r="D3020" i="3" a="1"/>
  <c r="D3020" i="3" s="1"/>
  <c r="E3020" i="3" a="1"/>
  <c r="E3020" i="3" s="1"/>
  <c r="F3020" i="3" a="1"/>
  <c r="F3020" i="3" s="1"/>
  <c r="G3020" i="3" a="1"/>
  <c r="G3020" i="3" s="1"/>
  <c r="J3020" i="3" a="1"/>
  <c r="J3020" i="3" s="1"/>
  <c r="B3021" i="3" a="1"/>
  <c r="B3021" i="3" s="1"/>
  <c r="C3021" i="3" a="1"/>
  <c r="C3021" i="3" s="1"/>
  <c r="D3021" i="3" a="1"/>
  <c r="D3021" i="3" s="1"/>
  <c r="E3021" i="3" a="1"/>
  <c r="E3021" i="3" s="1"/>
  <c r="F3021" i="3" a="1"/>
  <c r="F3021" i="3" s="1"/>
  <c r="G3021" i="3" a="1"/>
  <c r="G3021" i="3" s="1"/>
  <c r="J3021" i="3" a="1"/>
  <c r="J3021" i="3" s="1"/>
  <c r="B3022" i="3" a="1"/>
  <c r="B3022" i="3" s="1"/>
  <c r="C3022" i="3" a="1"/>
  <c r="C3022" i="3" s="1"/>
  <c r="D3022" i="3" a="1"/>
  <c r="D3022" i="3" s="1"/>
  <c r="E3022" i="3" a="1"/>
  <c r="E3022" i="3" s="1"/>
  <c r="F3022" i="3" a="1"/>
  <c r="F3022" i="3" s="1"/>
  <c r="G3022" i="3" a="1"/>
  <c r="G3022" i="3" s="1"/>
  <c r="J3022" i="3" a="1"/>
  <c r="J3022" i="3" s="1"/>
  <c r="B3023" i="3" a="1"/>
  <c r="B3023" i="3" s="1"/>
  <c r="C3023" i="3" a="1"/>
  <c r="C3023" i="3" s="1"/>
  <c r="D3023" i="3" a="1"/>
  <c r="D3023" i="3" s="1"/>
  <c r="E3023" i="3" a="1"/>
  <c r="E3023" i="3" s="1"/>
  <c r="F3023" i="3" a="1"/>
  <c r="F3023" i="3" s="1"/>
  <c r="G3023" i="3" a="1"/>
  <c r="G3023" i="3" s="1"/>
  <c r="J3023" i="3" a="1"/>
  <c r="J3023" i="3" s="1"/>
  <c r="B3024" i="3" a="1"/>
  <c r="B3024" i="3" s="1"/>
  <c r="C3024" i="3" a="1"/>
  <c r="C3024" i="3" s="1"/>
  <c r="D3024" i="3" a="1"/>
  <c r="D3024" i="3" s="1"/>
  <c r="E3024" i="3" a="1"/>
  <c r="E3024" i="3" s="1"/>
  <c r="F3024" i="3" a="1"/>
  <c r="F3024" i="3" s="1"/>
  <c r="G3024" i="3" a="1"/>
  <c r="G3024" i="3" s="1"/>
  <c r="J3024" i="3" a="1"/>
  <c r="J3024" i="3" s="1"/>
  <c r="B3025" i="3" a="1"/>
  <c r="B3025" i="3" s="1"/>
  <c r="C3025" i="3" a="1"/>
  <c r="C3025" i="3" s="1"/>
  <c r="D3025" i="3" a="1"/>
  <c r="D3025" i="3" s="1"/>
  <c r="E3025" i="3" a="1"/>
  <c r="E3025" i="3" s="1"/>
  <c r="F3025" i="3" a="1"/>
  <c r="F3025" i="3" s="1"/>
  <c r="G3025" i="3" a="1"/>
  <c r="G3025" i="3" s="1"/>
  <c r="J3025" i="3" a="1"/>
  <c r="J3025" i="3" s="1"/>
  <c r="B3026" i="3" a="1"/>
  <c r="B3026" i="3" s="1"/>
  <c r="C3026" i="3" a="1"/>
  <c r="C3026" i="3" s="1"/>
  <c r="D3026" i="3" a="1"/>
  <c r="D3026" i="3" s="1"/>
  <c r="E3026" i="3" a="1"/>
  <c r="E3026" i="3" s="1"/>
  <c r="F3026" i="3" a="1"/>
  <c r="F3026" i="3" s="1"/>
  <c r="G3026" i="3" a="1"/>
  <c r="G3026" i="3" s="1"/>
  <c r="J3026" i="3" a="1"/>
  <c r="J3026" i="3" s="1"/>
  <c r="B3027" i="3" a="1"/>
  <c r="B3027" i="3" s="1"/>
  <c r="C3027" i="3" a="1"/>
  <c r="C3027" i="3" s="1"/>
  <c r="D3027" i="3" a="1"/>
  <c r="D3027" i="3" s="1"/>
  <c r="E3027" i="3" a="1"/>
  <c r="E3027" i="3" s="1"/>
  <c r="F3027" i="3" a="1"/>
  <c r="F3027" i="3" s="1"/>
  <c r="G3027" i="3" a="1"/>
  <c r="G3027" i="3" s="1"/>
  <c r="J3027" i="3" a="1"/>
  <c r="J3027" i="3" s="1"/>
  <c r="B3028" i="3" a="1"/>
  <c r="B3028" i="3" s="1"/>
  <c r="C3028" i="3" a="1"/>
  <c r="C3028" i="3" s="1"/>
  <c r="D3028" i="3" a="1"/>
  <c r="D3028" i="3" s="1"/>
  <c r="E3028" i="3" a="1"/>
  <c r="E3028" i="3" s="1"/>
  <c r="F3028" i="3" a="1"/>
  <c r="F3028" i="3" s="1"/>
  <c r="G3028" i="3" a="1"/>
  <c r="G3028" i="3" s="1"/>
  <c r="J3028" i="3" a="1"/>
  <c r="J3028" i="3" s="1"/>
  <c r="B3029" i="3" a="1"/>
  <c r="B3029" i="3" s="1"/>
  <c r="C3029" i="3" a="1"/>
  <c r="C3029" i="3" s="1"/>
  <c r="D3029" i="3" a="1"/>
  <c r="D3029" i="3" s="1"/>
  <c r="E3029" i="3" a="1"/>
  <c r="E3029" i="3" s="1"/>
  <c r="F3029" i="3" a="1"/>
  <c r="F3029" i="3" s="1"/>
  <c r="G3029" i="3" a="1"/>
  <c r="G3029" i="3" s="1"/>
  <c r="J3029" i="3" a="1"/>
  <c r="J3029" i="3" s="1"/>
  <c r="B3030" i="3" a="1"/>
  <c r="B3030" i="3" s="1"/>
  <c r="C3030" i="3" a="1"/>
  <c r="C3030" i="3" s="1"/>
  <c r="D3030" i="3" a="1"/>
  <c r="D3030" i="3" s="1"/>
  <c r="E3030" i="3" a="1"/>
  <c r="E3030" i="3" s="1"/>
  <c r="F3030" i="3" a="1"/>
  <c r="F3030" i="3" s="1"/>
  <c r="G3030" i="3" a="1"/>
  <c r="G3030" i="3" s="1"/>
  <c r="J3030" i="3" a="1"/>
  <c r="J3030" i="3" s="1"/>
  <c r="B3031" i="3" a="1"/>
  <c r="B3031" i="3" s="1"/>
  <c r="C3031" i="3" a="1"/>
  <c r="C3031" i="3" s="1"/>
  <c r="D3031" i="3" a="1"/>
  <c r="D3031" i="3" s="1"/>
  <c r="E3031" i="3" a="1"/>
  <c r="E3031" i="3" s="1"/>
  <c r="F3031" i="3" a="1"/>
  <c r="F3031" i="3" s="1"/>
  <c r="G3031" i="3" a="1"/>
  <c r="G3031" i="3" s="1"/>
  <c r="J3031" i="3" a="1"/>
  <c r="J3031" i="3" s="1"/>
  <c r="B3032" i="3" a="1"/>
  <c r="B3032" i="3" s="1"/>
  <c r="C3032" i="3" a="1"/>
  <c r="C3032" i="3" s="1"/>
  <c r="D3032" i="3" a="1"/>
  <c r="D3032" i="3" s="1"/>
  <c r="E3032" i="3" a="1"/>
  <c r="E3032" i="3" s="1"/>
  <c r="F3032" i="3" a="1"/>
  <c r="F3032" i="3" s="1"/>
  <c r="G3032" i="3" a="1"/>
  <c r="G3032" i="3" s="1"/>
  <c r="J3032" i="3" a="1"/>
  <c r="J3032" i="3" s="1"/>
  <c r="B3033" i="3" a="1"/>
  <c r="B3033" i="3" s="1"/>
  <c r="C3033" i="3" a="1"/>
  <c r="C3033" i="3" s="1"/>
  <c r="D3033" i="3" a="1"/>
  <c r="D3033" i="3" s="1"/>
  <c r="E3033" i="3" a="1"/>
  <c r="E3033" i="3" s="1"/>
  <c r="F3033" i="3" a="1"/>
  <c r="F3033" i="3" s="1"/>
  <c r="G3033" i="3" a="1"/>
  <c r="G3033" i="3" s="1"/>
  <c r="J3033" i="3" a="1"/>
  <c r="J3033" i="3" s="1"/>
  <c r="B3034" i="3" a="1"/>
  <c r="B3034" i="3" s="1"/>
  <c r="C3034" i="3" a="1"/>
  <c r="C3034" i="3" s="1"/>
  <c r="D3034" i="3" a="1"/>
  <c r="D3034" i="3" s="1"/>
  <c r="E3034" i="3" a="1"/>
  <c r="E3034" i="3" s="1"/>
  <c r="F3034" i="3" a="1"/>
  <c r="F3034" i="3" s="1"/>
  <c r="G3034" i="3" a="1"/>
  <c r="G3034" i="3" s="1"/>
  <c r="J3034" i="3" a="1"/>
  <c r="J3034" i="3" s="1"/>
  <c r="B3035" i="3" a="1"/>
  <c r="B3035" i="3" s="1"/>
  <c r="C3035" i="3" a="1"/>
  <c r="C3035" i="3" s="1"/>
  <c r="D3035" i="3" a="1"/>
  <c r="D3035" i="3" s="1"/>
  <c r="E3035" i="3" a="1"/>
  <c r="E3035" i="3" s="1"/>
  <c r="F3035" i="3" a="1"/>
  <c r="F3035" i="3" s="1"/>
  <c r="G3035" i="3" a="1"/>
  <c r="G3035" i="3" s="1"/>
  <c r="J3035" i="3" a="1"/>
  <c r="J3035" i="3" s="1"/>
  <c r="B3036" i="3" a="1"/>
  <c r="B3036" i="3" s="1"/>
  <c r="C3036" i="3" a="1"/>
  <c r="C3036" i="3" s="1"/>
  <c r="D3036" i="3" a="1"/>
  <c r="D3036" i="3" s="1"/>
  <c r="E3036" i="3" a="1"/>
  <c r="E3036" i="3" s="1"/>
  <c r="F3036" i="3" a="1"/>
  <c r="F3036" i="3" s="1"/>
  <c r="G3036" i="3" a="1"/>
  <c r="G3036" i="3" s="1"/>
  <c r="J3036" i="3" a="1"/>
  <c r="J3036" i="3" s="1"/>
  <c r="B3037" i="3" a="1"/>
  <c r="B3037" i="3" s="1"/>
  <c r="C3037" i="3" a="1"/>
  <c r="C3037" i="3" s="1"/>
  <c r="D3037" i="3" a="1"/>
  <c r="D3037" i="3" s="1"/>
  <c r="E3037" i="3" a="1"/>
  <c r="E3037" i="3" s="1"/>
  <c r="F3037" i="3" a="1"/>
  <c r="F3037" i="3" s="1"/>
  <c r="G3037" i="3" a="1"/>
  <c r="G3037" i="3" s="1"/>
  <c r="J3037" i="3" a="1"/>
  <c r="J3037" i="3" s="1"/>
  <c r="B3038" i="3" a="1"/>
  <c r="B3038" i="3" s="1"/>
  <c r="C3038" i="3" a="1"/>
  <c r="C3038" i="3" s="1"/>
  <c r="D3038" i="3" a="1"/>
  <c r="D3038" i="3" s="1"/>
  <c r="E3038" i="3" a="1"/>
  <c r="E3038" i="3" s="1"/>
  <c r="F3038" i="3" a="1"/>
  <c r="F3038" i="3" s="1"/>
  <c r="G3038" i="3" a="1"/>
  <c r="G3038" i="3" s="1"/>
  <c r="J3038" i="3" a="1"/>
  <c r="J3038" i="3" s="1"/>
  <c r="B3039" i="3" a="1"/>
  <c r="B3039" i="3" s="1"/>
  <c r="C3039" i="3" a="1"/>
  <c r="C3039" i="3" s="1"/>
  <c r="D3039" i="3" a="1"/>
  <c r="D3039" i="3" s="1"/>
  <c r="E3039" i="3" a="1"/>
  <c r="E3039" i="3" s="1"/>
  <c r="F3039" i="3" a="1"/>
  <c r="F3039" i="3" s="1"/>
  <c r="G3039" i="3" a="1"/>
  <c r="G3039" i="3" s="1"/>
  <c r="J3039" i="3" a="1"/>
  <c r="J3039" i="3" s="1"/>
  <c r="B3040" i="3" a="1"/>
  <c r="B3040" i="3" s="1"/>
  <c r="C3040" i="3" a="1"/>
  <c r="C3040" i="3" s="1"/>
  <c r="D3040" i="3" a="1"/>
  <c r="D3040" i="3" s="1"/>
  <c r="E3040" i="3" a="1"/>
  <c r="E3040" i="3" s="1"/>
  <c r="F3040" i="3" a="1"/>
  <c r="F3040" i="3" s="1"/>
  <c r="G3040" i="3" a="1"/>
  <c r="G3040" i="3" s="1"/>
  <c r="J3040" i="3" a="1"/>
  <c r="J3040" i="3" s="1"/>
  <c r="B3041" i="3" a="1"/>
  <c r="B3041" i="3" s="1"/>
  <c r="C3041" i="3" a="1"/>
  <c r="C3041" i="3" s="1"/>
  <c r="D3041" i="3" a="1"/>
  <c r="D3041" i="3" s="1"/>
  <c r="E3041" i="3" a="1"/>
  <c r="E3041" i="3" s="1"/>
  <c r="F3041" i="3" a="1"/>
  <c r="F3041" i="3" s="1"/>
  <c r="G3041" i="3" a="1"/>
  <c r="G3041" i="3" s="1"/>
  <c r="J3041" i="3" a="1"/>
  <c r="J3041" i="3" s="1"/>
  <c r="B3042" i="3" a="1"/>
  <c r="B3042" i="3" s="1"/>
  <c r="C3042" i="3" a="1"/>
  <c r="C3042" i="3" s="1"/>
  <c r="D3042" i="3" a="1"/>
  <c r="D3042" i="3" s="1"/>
  <c r="E3042" i="3" a="1"/>
  <c r="E3042" i="3" s="1"/>
  <c r="F3042" i="3" a="1"/>
  <c r="F3042" i="3" s="1"/>
  <c r="G3042" i="3" a="1"/>
  <c r="G3042" i="3" s="1"/>
  <c r="J3042" i="3" a="1"/>
  <c r="J3042" i="3" s="1"/>
  <c r="B3043" i="3" a="1"/>
  <c r="B3043" i="3" s="1"/>
  <c r="C3043" i="3" a="1"/>
  <c r="C3043" i="3" s="1"/>
  <c r="D3043" i="3" a="1"/>
  <c r="D3043" i="3" s="1"/>
  <c r="E3043" i="3" a="1"/>
  <c r="E3043" i="3" s="1"/>
  <c r="F3043" i="3" a="1"/>
  <c r="F3043" i="3" s="1"/>
  <c r="G3043" i="3" a="1"/>
  <c r="G3043" i="3" s="1"/>
  <c r="J3043" i="3" a="1"/>
  <c r="J3043" i="3" s="1"/>
  <c r="B3044" i="3" a="1"/>
  <c r="B3044" i="3" s="1"/>
  <c r="C3044" i="3" a="1"/>
  <c r="C3044" i="3" s="1"/>
  <c r="D3044" i="3" a="1"/>
  <c r="D3044" i="3" s="1"/>
  <c r="E3044" i="3" a="1"/>
  <c r="E3044" i="3" s="1"/>
  <c r="F3044" i="3" a="1"/>
  <c r="F3044" i="3" s="1"/>
  <c r="G3044" i="3" a="1"/>
  <c r="G3044" i="3" s="1"/>
  <c r="J3044" i="3" a="1"/>
  <c r="J3044" i="3" s="1"/>
  <c r="B3045" i="3" a="1"/>
  <c r="B3045" i="3" s="1"/>
  <c r="C3045" i="3" a="1"/>
  <c r="C3045" i="3" s="1"/>
  <c r="D3045" i="3" a="1"/>
  <c r="D3045" i="3" s="1"/>
  <c r="E3045" i="3" a="1"/>
  <c r="E3045" i="3" s="1"/>
  <c r="F3045" i="3" a="1"/>
  <c r="F3045" i="3" s="1"/>
  <c r="G3045" i="3" a="1"/>
  <c r="G3045" i="3" s="1"/>
  <c r="J3045" i="3" a="1"/>
  <c r="J3045" i="3" s="1"/>
  <c r="B3046" i="3" a="1"/>
  <c r="B3046" i="3" s="1"/>
  <c r="C3046" i="3" a="1"/>
  <c r="C3046" i="3" s="1"/>
  <c r="D3046" i="3" a="1"/>
  <c r="D3046" i="3" s="1"/>
  <c r="E3046" i="3" a="1"/>
  <c r="E3046" i="3" s="1"/>
  <c r="F3046" i="3" a="1"/>
  <c r="F3046" i="3" s="1"/>
  <c r="G3046" i="3" a="1"/>
  <c r="G3046" i="3" s="1"/>
  <c r="J3046" i="3" a="1"/>
  <c r="J3046" i="3" s="1"/>
  <c r="B3047" i="3" a="1"/>
  <c r="B3047" i="3" s="1"/>
  <c r="C3047" i="3" a="1"/>
  <c r="C3047" i="3" s="1"/>
  <c r="D3047" i="3" a="1"/>
  <c r="D3047" i="3" s="1"/>
  <c r="E3047" i="3" a="1"/>
  <c r="E3047" i="3" s="1"/>
  <c r="F3047" i="3" a="1"/>
  <c r="F3047" i="3" s="1"/>
  <c r="G3047" i="3" a="1"/>
  <c r="G3047" i="3" s="1"/>
  <c r="J3047" i="3" a="1"/>
  <c r="J3047" i="3" s="1"/>
  <c r="B3048" i="3" a="1"/>
  <c r="B3048" i="3" s="1"/>
  <c r="C3048" i="3" a="1"/>
  <c r="C3048" i="3" s="1"/>
  <c r="D3048" i="3" a="1"/>
  <c r="D3048" i="3" s="1"/>
  <c r="E3048" i="3" a="1"/>
  <c r="E3048" i="3" s="1"/>
  <c r="F3048" i="3" a="1"/>
  <c r="F3048" i="3" s="1"/>
  <c r="G3048" i="3" a="1"/>
  <c r="G3048" i="3" s="1"/>
  <c r="J3048" i="3" a="1"/>
  <c r="J3048" i="3" s="1"/>
  <c r="B3049" i="3" a="1"/>
  <c r="B3049" i="3" s="1"/>
  <c r="C3049" i="3" a="1"/>
  <c r="C3049" i="3" s="1"/>
  <c r="D3049" i="3" a="1"/>
  <c r="D3049" i="3" s="1"/>
  <c r="E3049" i="3" a="1"/>
  <c r="E3049" i="3" s="1"/>
  <c r="F3049" i="3" a="1"/>
  <c r="F3049" i="3" s="1"/>
  <c r="G3049" i="3" a="1"/>
  <c r="G3049" i="3" s="1"/>
  <c r="J3049" i="3" a="1"/>
  <c r="J3049" i="3" s="1"/>
  <c r="B3050" i="3" a="1"/>
  <c r="B3050" i="3" s="1"/>
  <c r="C3050" i="3" a="1"/>
  <c r="C3050" i="3" s="1"/>
  <c r="D3050" i="3" a="1"/>
  <c r="D3050" i="3" s="1"/>
  <c r="E3050" i="3" a="1"/>
  <c r="E3050" i="3" s="1"/>
  <c r="F3050" i="3" a="1"/>
  <c r="F3050" i="3" s="1"/>
  <c r="G3050" i="3" a="1"/>
  <c r="G3050" i="3" s="1"/>
  <c r="J3050" i="3" a="1"/>
  <c r="J3050" i="3" s="1"/>
  <c r="B3051" i="3" a="1"/>
  <c r="B3051" i="3" s="1"/>
  <c r="C3051" i="3" a="1"/>
  <c r="C3051" i="3" s="1"/>
  <c r="D3051" i="3" a="1"/>
  <c r="D3051" i="3" s="1"/>
  <c r="E3051" i="3" a="1"/>
  <c r="E3051" i="3" s="1"/>
  <c r="F3051" i="3" a="1"/>
  <c r="F3051" i="3" s="1"/>
  <c r="G3051" i="3" a="1"/>
  <c r="G3051" i="3" s="1"/>
  <c r="J3051" i="3" a="1"/>
  <c r="J3051" i="3" s="1"/>
  <c r="B3052" i="3" a="1"/>
  <c r="B3052" i="3" s="1"/>
  <c r="C3052" i="3" a="1"/>
  <c r="C3052" i="3" s="1"/>
  <c r="D3052" i="3" a="1"/>
  <c r="D3052" i="3" s="1"/>
  <c r="E3052" i="3" a="1"/>
  <c r="E3052" i="3" s="1"/>
  <c r="F3052" i="3" a="1"/>
  <c r="F3052" i="3" s="1"/>
  <c r="G3052" i="3" a="1"/>
  <c r="G3052" i="3" s="1"/>
  <c r="J3052" i="3" a="1"/>
  <c r="J3052" i="3" s="1"/>
  <c r="B3053" i="3" a="1"/>
  <c r="B3053" i="3" s="1"/>
  <c r="C3053" i="3" a="1"/>
  <c r="C3053" i="3" s="1"/>
  <c r="D3053" i="3" a="1"/>
  <c r="D3053" i="3" s="1"/>
  <c r="E3053" i="3" a="1"/>
  <c r="E3053" i="3" s="1"/>
  <c r="F3053" i="3" a="1"/>
  <c r="F3053" i="3" s="1"/>
  <c r="G3053" i="3" a="1"/>
  <c r="G3053" i="3" s="1"/>
  <c r="J3053" i="3" a="1"/>
  <c r="J3053" i="3" s="1"/>
  <c r="B3054" i="3" a="1"/>
  <c r="B3054" i="3" s="1"/>
  <c r="C3054" i="3" a="1"/>
  <c r="C3054" i="3" s="1"/>
  <c r="D3054" i="3" a="1"/>
  <c r="D3054" i="3" s="1"/>
  <c r="E3054" i="3" a="1"/>
  <c r="E3054" i="3" s="1"/>
  <c r="F3054" i="3" a="1"/>
  <c r="F3054" i="3" s="1"/>
  <c r="G3054" i="3" a="1"/>
  <c r="G3054" i="3" s="1"/>
  <c r="J3054" i="3" a="1"/>
  <c r="J3054" i="3" s="1"/>
  <c r="B3055" i="3" a="1"/>
  <c r="B3055" i="3" s="1"/>
  <c r="C3055" i="3" a="1"/>
  <c r="C3055" i="3" s="1"/>
  <c r="D3055" i="3" a="1"/>
  <c r="D3055" i="3" s="1"/>
  <c r="E3055" i="3" a="1"/>
  <c r="E3055" i="3" s="1"/>
  <c r="F3055" i="3" a="1"/>
  <c r="F3055" i="3" s="1"/>
  <c r="G3055" i="3" a="1"/>
  <c r="G3055" i="3" s="1"/>
  <c r="J3055" i="3" a="1"/>
  <c r="J3055" i="3" s="1"/>
  <c r="B3056" i="3" a="1"/>
  <c r="B3056" i="3" s="1"/>
  <c r="C3056" i="3" a="1"/>
  <c r="C3056" i="3" s="1"/>
  <c r="D3056" i="3" a="1"/>
  <c r="D3056" i="3" s="1"/>
  <c r="E3056" i="3" a="1"/>
  <c r="E3056" i="3" s="1"/>
  <c r="F3056" i="3" a="1"/>
  <c r="F3056" i="3" s="1"/>
  <c r="G3056" i="3" a="1"/>
  <c r="G3056" i="3" s="1"/>
  <c r="J3056" i="3" a="1"/>
  <c r="J3056" i="3" s="1"/>
  <c r="B3057" i="3" a="1"/>
  <c r="B3057" i="3" s="1"/>
  <c r="C3057" i="3" a="1"/>
  <c r="C3057" i="3" s="1"/>
  <c r="D3057" i="3" a="1"/>
  <c r="D3057" i="3" s="1"/>
  <c r="E3057" i="3" a="1"/>
  <c r="E3057" i="3" s="1"/>
  <c r="F3057" i="3" a="1"/>
  <c r="F3057" i="3" s="1"/>
  <c r="G3057" i="3" a="1"/>
  <c r="G3057" i="3" s="1"/>
  <c r="J3057" i="3" a="1"/>
  <c r="J3057" i="3" s="1"/>
  <c r="B3058" i="3" a="1"/>
  <c r="B3058" i="3" s="1"/>
  <c r="C3058" i="3" a="1"/>
  <c r="C3058" i="3" s="1"/>
  <c r="D3058" i="3" a="1"/>
  <c r="D3058" i="3" s="1"/>
  <c r="E3058" i="3" a="1"/>
  <c r="E3058" i="3" s="1"/>
  <c r="F3058" i="3" a="1"/>
  <c r="F3058" i="3" s="1"/>
  <c r="G3058" i="3" a="1"/>
  <c r="G3058" i="3" s="1"/>
  <c r="J3058" i="3" a="1"/>
  <c r="J3058" i="3" s="1"/>
  <c r="B3059" i="3" a="1"/>
  <c r="B3059" i="3" s="1"/>
  <c r="C3059" i="3" a="1"/>
  <c r="C3059" i="3" s="1"/>
  <c r="D3059" i="3" a="1"/>
  <c r="D3059" i="3" s="1"/>
  <c r="E3059" i="3" a="1"/>
  <c r="E3059" i="3" s="1"/>
  <c r="F3059" i="3" a="1"/>
  <c r="F3059" i="3" s="1"/>
  <c r="G3059" i="3" a="1"/>
  <c r="G3059" i="3" s="1"/>
  <c r="J3059" i="3" a="1"/>
  <c r="J3059" i="3" s="1"/>
  <c r="B3060" i="3" a="1"/>
  <c r="B3060" i="3" s="1"/>
  <c r="C3060" i="3" a="1"/>
  <c r="C3060" i="3" s="1"/>
  <c r="D3060" i="3" a="1"/>
  <c r="D3060" i="3" s="1"/>
  <c r="E3060" i="3" a="1"/>
  <c r="E3060" i="3" s="1"/>
  <c r="F3060" i="3" a="1"/>
  <c r="F3060" i="3" s="1"/>
  <c r="G3060" i="3" a="1"/>
  <c r="G3060" i="3" s="1"/>
  <c r="J3060" i="3" a="1"/>
  <c r="J3060" i="3" s="1"/>
  <c r="B3061" i="3" a="1"/>
  <c r="B3061" i="3" s="1"/>
  <c r="C3061" i="3" a="1"/>
  <c r="C3061" i="3" s="1"/>
  <c r="D3061" i="3" a="1"/>
  <c r="D3061" i="3" s="1"/>
  <c r="E3061" i="3" a="1"/>
  <c r="E3061" i="3" s="1"/>
  <c r="F3061" i="3" a="1"/>
  <c r="F3061" i="3" s="1"/>
  <c r="G3061" i="3" a="1"/>
  <c r="G3061" i="3" s="1"/>
  <c r="J3061" i="3" a="1"/>
  <c r="J3061" i="3" s="1"/>
  <c r="B3062" i="3" a="1"/>
  <c r="B3062" i="3" s="1"/>
  <c r="C3062" i="3" a="1"/>
  <c r="C3062" i="3" s="1"/>
  <c r="D3062" i="3" a="1"/>
  <c r="D3062" i="3" s="1"/>
  <c r="E3062" i="3" a="1"/>
  <c r="E3062" i="3" s="1"/>
  <c r="F3062" i="3" a="1"/>
  <c r="F3062" i="3" s="1"/>
  <c r="G3062" i="3" a="1"/>
  <c r="G3062" i="3" s="1"/>
  <c r="J3062" i="3" a="1"/>
  <c r="J3062" i="3" s="1"/>
  <c r="B3063" i="3" a="1"/>
  <c r="B3063" i="3" s="1"/>
  <c r="C3063" i="3" a="1"/>
  <c r="C3063" i="3" s="1"/>
  <c r="D3063" i="3" a="1"/>
  <c r="D3063" i="3" s="1"/>
  <c r="E3063" i="3" a="1"/>
  <c r="E3063" i="3" s="1"/>
  <c r="F3063" i="3" a="1"/>
  <c r="F3063" i="3" s="1"/>
  <c r="G3063" i="3" a="1"/>
  <c r="G3063" i="3" s="1"/>
  <c r="J3063" i="3" a="1"/>
  <c r="J3063" i="3" s="1"/>
  <c r="B3064" i="3" a="1"/>
  <c r="B3064" i="3" s="1"/>
  <c r="C3064" i="3" a="1"/>
  <c r="C3064" i="3" s="1"/>
  <c r="D3064" i="3" a="1"/>
  <c r="D3064" i="3" s="1"/>
  <c r="E3064" i="3" a="1"/>
  <c r="E3064" i="3" s="1"/>
  <c r="F3064" i="3" a="1"/>
  <c r="F3064" i="3" s="1"/>
  <c r="G3064" i="3" a="1"/>
  <c r="G3064" i="3" s="1"/>
  <c r="J3064" i="3" a="1"/>
  <c r="J3064" i="3" s="1"/>
  <c r="B3065" i="3" a="1"/>
  <c r="B3065" i="3" s="1"/>
  <c r="C3065" i="3" a="1"/>
  <c r="C3065" i="3" s="1"/>
  <c r="D3065" i="3" a="1"/>
  <c r="D3065" i="3" s="1"/>
  <c r="E3065" i="3" a="1"/>
  <c r="E3065" i="3" s="1"/>
  <c r="F3065" i="3" a="1"/>
  <c r="F3065" i="3" s="1"/>
  <c r="G3065" i="3" a="1"/>
  <c r="G3065" i="3" s="1"/>
  <c r="J3065" i="3" a="1"/>
  <c r="J3065" i="3" s="1"/>
  <c r="B3066" i="3" a="1"/>
  <c r="B3066" i="3" s="1"/>
  <c r="C3066" i="3" a="1"/>
  <c r="C3066" i="3" s="1"/>
  <c r="D3066" i="3" a="1"/>
  <c r="D3066" i="3" s="1"/>
  <c r="E3066" i="3" a="1"/>
  <c r="E3066" i="3" s="1"/>
  <c r="F3066" i="3" a="1"/>
  <c r="F3066" i="3" s="1"/>
  <c r="G3066" i="3" a="1"/>
  <c r="G3066" i="3" s="1"/>
  <c r="J3066" i="3" a="1"/>
  <c r="J3066" i="3" s="1"/>
  <c r="B3067" i="3" a="1"/>
  <c r="B3067" i="3" s="1"/>
  <c r="C3067" i="3" a="1"/>
  <c r="C3067" i="3" s="1"/>
  <c r="D3067" i="3" a="1"/>
  <c r="D3067" i="3" s="1"/>
  <c r="E3067" i="3" a="1"/>
  <c r="E3067" i="3" s="1"/>
  <c r="F3067" i="3" a="1"/>
  <c r="F3067" i="3" s="1"/>
  <c r="G3067" i="3" a="1"/>
  <c r="G3067" i="3" s="1"/>
  <c r="J3067" i="3" a="1"/>
  <c r="J3067" i="3" s="1"/>
  <c r="B3068" i="3" a="1"/>
  <c r="B3068" i="3" s="1"/>
  <c r="C3068" i="3" a="1"/>
  <c r="C3068" i="3" s="1"/>
  <c r="D3068" i="3" a="1"/>
  <c r="D3068" i="3" s="1"/>
  <c r="E3068" i="3" a="1"/>
  <c r="E3068" i="3" s="1"/>
  <c r="F3068" i="3" a="1"/>
  <c r="F3068" i="3" s="1"/>
  <c r="G3068" i="3" a="1"/>
  <c r="G3068" i="3" s="1"/>
  <c r="J3068" i="3" a="1"/>
  <c r="J3068" i="3" s="1"/>
  <c r="B3069" i="3" a="1"/>
  <c r="B3069" i="3" s="1"/>
  <c r="C3069" i="3" a="1"/>
  <c r="C3069" i="3" s="1"/>
  <c r="D3069" i="3" a="1"/>
  <c r="D3069" i="3" s="1"/>
  <c r="E3069" i="3" a="1"/>
  <c r="E3069" i="3" s="1"/>
  <c r="F3069" i="3" a="1"/>
  <c r="F3069" i="3" s="1"/>
  <c r="G3069" i="3" a="1"/>
  <c r="G3069" i="3" s="1"/>
  <c r="J3069" i="3" a="1"/>
  <c r="J3069" i="3" s="1"/>
  <c r="B3070" i="3" a="1"/>
  <c r="B3070" i="3" s="1"/>
  <c r="C3070" i="3" a="1"/>
  <c r="C3070" i="3" s="1"/>
  <c r="D3070" i="3" a="1"/>
  <c r="D3070" i="3" s="1"/>
  <c r="E3070" i="3" a="1"/>
  <c r="E3070" i="3" s="1"/>
  <c r="F3070" i="3" a="1"/>
  <c r="F3070" i="3" s="1"/>
  <c r="G3070" i="3" a="1"/>
  <c r="G3070" i="3" s="1"/>
  <c r="J3070" i="3" a="1"/>
  <c r="J3070" i="3" s="1"/>
  <c r="B3071" i="3" a="1"/>
  <c r="B3071" i="3" s="1"/>
  <c r="C3071" i="3" a="1"/>
  <c r="C3071" i="3" s="1"/>
  <c r="D3071" i="3" a="1"/>
  <c r="D3071" i="3" s="1"/>
  <c r="E3071" i="3" a="1"/>
  <c r="E3071" i="3" s="1"/>
  <c r="F3071" i="3" a="1"/>
  <c r="F3071" i="3" s="1"/>
  <c r="G3071" i="3" a="1"/>
  <c r="G3071" i="3" s="1"/>
  <c r="J3071" i="3" a="1"/>
  <c r="J3071" i="3" s="1"/>
  <c r="B3072" i="3" a="1"/>
  <c r="B3072" i="3" s="1"/>
  <c r="C3072" i="3" a="1"/>
  <c r="C3072" i="3" s="1"/>
  <c r="D3072" i="3" a="1"/>
  <c r="D3072" i="3" s="1"/>
  <c r="E3072" i="3" a="1"/>
  <c r="E3072" i="3" s="1"/>
  <c r="F3072" i="3" a="1"/>
  <c r="F3072" i="3" s="1"/>
  <c r="G3072" i="3" a="1"/>
  <c r="G3072" i="3" s="1"/>
  <c r="J3072" i="3" a="1"/>
  <c r="J3072" i="3" s="1"/>
  <c r="B3073" i="3" a="1"/>
  <c r="B3073" i="3" s="1"/>
  <c r="C3073" i="3" a="1"/>
  <c r="C3073" i="3" s="1"/>
  <c r="D3073" i="3" a="1"/>
  <c r="D3073" i="3" s="1"/>
  <c r="E3073" i="3" a="1"/>
  <c r="E3073" i="3" s="1"/>
  <c r="F3073" i="3" a="1"/>
  <c r="F3073" i="3" s="1"/>
  <c r="G3073" i="3" a="1"/>
  <c r="G3073" i="3" s="1"/>
  <c r="J3073" i="3" a="1"/>
  <c r="J3073" i="3" s="1"/>
  <c r="B3074" i="3" a="1"/>
  <c r="B3074" i="3" s="1"/>
  <c r="C3074" i="3" a="1"/>
  <c r="C3074" i="3" s="1"/>
  <c r="D3074" i="3" a="1"/>
  <c r="D3074" i="3" s="1"/>
  <c r="E3074" i="3" a="1"/>
  <c r="E3074" i="3" s="1"/>
  <c r="F3074" i="3" a="1"/>
  <c r="F3074" i="3" s="1"/>
  <c r="G3074" i="3" a="1"/>
  <c r="G3074" i="3" s="1"/>
  <c r="J3074" i="3" a="1"/>
  <c r="J3074" i="3" s="1"/>
  <c r="B3075" i="3" a="1"/>
  <c r="B3075" i="3" s="1"/>
  <c r="C3075" i="3" a="1"/>
  <c r="C3075" i="3" s="1"/>
  <c r="D3075" i="3" a="1"/>
  <c r="D3075" i="3" s="1"/>
  <c r="E3075" i="3" a="1"/>
  <c r="E3075" i="3" s="1"/>
  <c r="F3075" i="3" a="1"/>
  <c r="F3075" i="3" s="1"/>
  <c r="G3075" i="3" a="1"/>
  <c r="G3075" i="3" s="1"/>
  <c r="J3075" i="3" a="1"/>
  <c r="J3075" i="3" s="1"/>
  <c r="B3076" i="3" a="1"/>
  <c r="B3076" i="3" s="1"/>
  <c r="C3076" i="3" a="1"/>
  <c r="C3076" i="3" s="1"/>
  <c r="D3076" i="3" a="1"/>
  <c r="D3076" i="3" s="1"/>
  <c r="E3076" i="3" a="1"/>
  <c r="E3076" i="3" s="1"/>
  <c r="F3076" i="3" a="1"/>
  <c r="F3076" i="3" s="1"/>
  <c r="G3076" i="3" a="1"/>
  <c r="G3076" i="3" s="1"/>
  <c r="J3076" i="3" a="1"/>
  <c r="J3076" i="3" s="1"/>
  <c r="B3077" i="3" a="1"/>
  <c r="B3077" i="3" s="1"/>
  <c r="C3077" i="3" a="1"/>
  <c r="C3077" i="3" s="1"/>
  <c r="D3077" i="3" a="1"/>
  <c r="D3077" i="3" s="1"/>
  <c r="E3077" i="3" a="1"/>
  <c r="E3077" i="3" s="1"/>
  <c r="F3077" i="3" a="1"/>
  <c r="F3077" i="3" s="1"/>
  <c r="G3077" i="3" a="1"/>
  <c r="G3077" i="3" s="1"/>
  <c r="J3077" i="3" a="1"/>
  <c r="J3077" i="3" s="1"/>
  <c r="B3078" i="3" a="1"/>
  <c r="B3078" i="3" s="1"/>
  <c r="C3078" i="3" a="1"/>
  <c r="C3078" i="3" s="1"/>
  <c r="D3078" i="3" a="1"/>
  <c r="D3078" i="3" s="1"/>
  <c r="E3078" i="3" a="1"/>
  <c r="E3078" i="3" s="1"/>
  <c r="F3078" i="3" a="1"/>
  <c r="F3078" i="3" s="1"/>
  <c r="G3078" i="3" a="1"/>
  <c r="G3078" i="3" s="1"/>
  <c r="J3078" i="3" a="1"/>
  <c r="J3078" i="3" s="1"/>
  <c r="B3079" i="3" a="1"/>
  <c r="B3079" i="3" s="1"/>
  <c r="C3079" i="3" a="1"/>
  <c r="C3079" i="3" s="1"/>
  <c r="D3079" i="3" a="1"/>
  <c r="D3079" i="3" s="1"/>
  <c r="E3079" i="3" a="1"/>
  <c r="E3079" i="3" s="1"/>
  <c r="F3079" i="3" a="1"/>
  <c r="F3079" i="3" s="1"/>
  <c r="G3079" i="3" a="1"/>
  <c r="G3079" i="3" s="1"/>
  <c r="J3079" i="3" a="1"/>
  <c r="J3079" i="3" s="1"/>
  <c r="B3080" i="3" a="1"/>
  <c r="B3080" i="3" s="1"/>
  <c r="C3080" i="3" a="1"/>
  <c r="C3080" i="3" s="1"/>
  <c r="D3080" i="3" a="1"/>
  <c r="D3080" i="3" s="1"/>
  <c r="E3080" i="3" a="1"/>
  <c r="E3080" i="3" s="1"/>
  <c r="F3080" i="3" a="1"/>
  <c r="F3080" i="3" s="1"/>
  <c r="G3080" i="3" a="1"/>
  <c r="G3080" i="3" s="1"/>
  <c r="J3080" i="3" a="1"/>
  <c r="J3080" i="3" s="1"/>
  <c r="B3081" i="3" a="1"/>
  <c r="B3081" i="3" s="1"/>
  <c r="C3081" i="3" a="1"/>
  <c r="C3081" i="3" s="1"/>
  <c r="D3081" i="3" a="1"/>
  <c r="D3081" i="3" s="1"/>
  <c r="E3081" i="3" a="1"/>
  <c r="E3081" i="3" s="1"/>
  <c r="F3081" i="3" a="1"/>
  <c r="F3081" i="3" s="1"/>
  <c r="G3081" i="3" a="1"/>
  <c r="G3081" i="3" s="1"/>
  <c r="J3081" i="3" a="1"/>
  <c r="J3081" i="3" s="1"/>
  <c r="B3082" i="3" a="1"/>
  <c r="B3082" i="3" s="1"/>
  <c r="C3082" i="3" a="1"/>
  <c r="C3082" i="3" s="1"/>
  <c r="D3082" i="3" a="1"/>
  <c r="D3082" i="3" s="1"/>
  <c r="E3082" i="3" a="1"/>
  <c r="E3082" i="3" s="1"/>
  <c r="F3082" i="3" a="1"/>
  <c r="F3082" i="3" s="1"/>
  <c r="G3082" i="3" a="1"/>
  <c r="G3082" i="3" s="1"/>
  <c r="J3082" i="3" a="1"/>
  <c r="J3082" i="3" s="1"/>
  <c r="B3083" i="3" a="1"/>
  <c r="B3083" i="3" s="1"/>
  <c r="C3083" i="3" a="1"/>
  <c r="C3083" i="3" s="1"/>
  <c r="D3083" i="3" a="1"/>
  <c r="D3083" i="3" s="1"/>
  <c r="E3083" i="3" a="1"/>
  <c r="E3083" i="3" s="1"/>
  <c r="F3083" i="3" a="1"/>
  <c r="F3083" i="3" s="1"/>
  <c r="G3083" i="3" a="1"/>
  <c r="G3083" i="3" s="1"/>
  <c r="J3083" i="3" a="1"/>
  <c r="J3083" i="3" s="1"/>
  <c r="B3084" i="3" a="1"/>
  <c r="B3084" i="3" s="1"/>
  <c r="C3084" i="3" a="1"/>
  <c r="C3084" i="3" s="1"/>
  <c r="D3084" i="3" a="1"/>
  <c r="D3084" i="3" s="1"/>
  <c r="E3084" i="3" a="1"/>
  <c r="E3084" i="3" s="1"/>
  <c r="F3084" i="3" a="1"/>
  <c r="F3084" i="3" s="1"/>
  <c r="G3084" i="3" a="1"/>
  <c r="G3084" i="3" s="1"/>
  <c r="J3084" i="3" a="1"/>
  <c r="J3084" i="3" s="1"/>
  <c r="B3085" i="3" a="1"/>
  <c r="B3085" i="3" s="1"/>
  <c r="C3085" i="3" a="1"/>
  <c r="C3085" i="3" s="1"/>
  <c r="D3085" i="3" a="1"/>
  <c r="D3085" i="3" s="1"/>
  <c r="E3085" i="3" a="1"/>
  <c r="E3085" i="3" s="1"/>
  <c r="F3085" i="3" a="1"/>
  <c r="F3085" i="3" s="1"/>
  <c r="G3085" i="3" a="1"/>
  <c r="G3085" i="3" s="1"/>
  <c r="J3085" i="3" a="1"/>
  <c r="J3085" i="3" s="1"/>
  <c r="B3086" i="3" a="1"/>
  <c r="B3086" i="3" s="1"/>
  <c r="C3086" i="3" a="1"/>
  <c r="C3086" i="3" s="1"/>
  <c r="D3086" i="3" a="1"/>
  <c r="D3086" i="3" s="1"/>
  <c r="E3086" i="3" a="1"/>
  <c r="E3086" i="3" s="1"/>
  <c r="F3086" i="3" a="1"/>
  <c r="F3086" i="3" s="1"/>
  <c r="G3086" i="3" a="1"/>
  <c r="G3086" i="3" s="1"/>
  <c r="J3086" i="3" a="1"/>
  <c r="J3086" i="3" s="1"/>
  <c r="B3087" i="3" a="1"/>
  <c r="B3087" i="3" s="1"/>
  <c r="C3087" i="3" a="1"/>
  <c r="C3087" i="3" s="1"/>
  <c r="D3087" i="3" a="1"/>
  <c r="D3087" i="3" s="1"/>
  <c r="E3087" i="3" a="1"/>
  <c r="E3087" i="3" s="1"/>
  <c r="F3087" i="3" a="1"/>
  <c r="F3087" i="3" s="1"/>
  <c r="G3087" i="3" a="1"/>
  <c r="G3087" i="3" s="1"/>
  <c r="J3087" i="3" a="1"/>
  <c r="J3087" i="3" s="1"/>
  <c r="B3088" i="3" a="1"/>
  <c r="B3088" i="3" s="1"/>
  <c r="C3088" i="3" a="1"/>
  <c r="C3088" i="3" s="1"/>
  <c r="D3088" i="3" a="1"/>
  <c r="D3088" i="3" s="1"/>
  <c r="E3088" i="3" a="1"/>
  <c r="E3088" i="3" s="1"/>
  <c r="F3088" i="3" a="1"/>
  <c r="F3088" i="3" s="1"/>
  <c r="G3088" i="3" a="1"/>
  <c r="G3088" i="3" s="1"/>
  <c r="J3088" i="3" a="1"/>
  <c r="J3088" i="3" s="1"/>
  <c r="B3089" i="3" a="1"/>
  <c r="B3089" i="3" s="1"/>
  <c r="C3089" i="3" a="1"/>
  <c r="C3089" i="3" s="1"/>
  <c r="D3089" i="3" a="1"/>
  <c r="D3089" i="3" s="1"/>
  <c r="E3089" i="3" a="1"/>
  <c r="E3089" i="3" s="1"/>
  <c r="F3089" i="3" a="1"/>
  <c r="F3089" i="3" s="1"/>
  <c r="G3089" i="3" a="1"/>
  <c r="G3089" i="3" s="1"/>
  <c r="J3089" i="3" a="1"/>
  <c r="J3089" i="3" s="1"/>
  <c r="B3090" i="3" a="1"/>
  <c r="B3090" i="3" s="1"/>
  <c r="C3090" i="3" a="1"/>
  <c r="C3090" i="3" s="1"/>
  <c r="D3090" i="3" a="1"/>
  <c r="D3090" i="3" s="1"/>
  <c r="E3090" i="3" a="1"/>
  <c r="E3090" i="3" s="1"/>
  <c r="F3090" i="3" a="1"/>
  <c r="F3090" i="3" s="1"/>
  <c r="G3090" i="3" a="1"/>
  <c r="G3090" i="3" s="1"/>
  <c r="J3090" i="3" a="1"/>
  <c r="J3090" i="3" s="1"/>
  <c r="B3091" i="3" a="1"/>
  <c r="B3091" i="3" s="1"/>
  <c r="C3091" i="3" a="1"/>
  <c r="C3091" i="3" s="1"/>
  <c r="D3091" i="3" a="1"/>
  <c r="D3091" i="3" s="1"/>
  <c r="E3091" i="3" a="1"/>
  <c r="E3091" i="3" s="1"/>
  <c r="F3091" i="3" a="1"/>
  <c r="F3091" i="3" s="1"/>
  <c r="G3091" i="3" a="1"/>
  <c r="G3091" i="3" s="1"/>
  <c r="J3091" i="3" a="1"/>
  <c r="J3091" i="3" s="1"/>
  <c r="B3092" i="3" a="1"/>
  <c r="B3092" i="3" s="1"/>
  <c r="C3092" i="3" a="1"/>
  <c r="C3092" i="3" s="1"/>
  <c r="D3092" i="3" a="1"/>
  <c r="D3092" i="3" s="1"/>
  <c r="E3092" i="3" a="1"/>
  <c r="E3092" i="3" s="1"/>
  <c r="F3092" i="3" a="1"/>
  <c r="F3092" i="3" s="1"/>
  <c r="G3092" i="3" a="1"/>
  <c r="G3092" i="3" s="1"/>
  <c r="J3092" i="3" a="1"/>
  <c r="J3092" i="3" s="1"/>
  <c r="B3093" i="3" a="1"/>
  <c r="B3093" i="3" s="1"/>
  <c r="C3093" i="3" a="1"/>
  <c r="C3093" i="3" s="1"/>
  <c r="D3093" i="3" a="1"/>
  <c r="D3093" i="3" s="1"/>
  <c r="E3093" i="3" a="1"/>
  <c r="E3093" i="3" s="1"/>
  <c r="F3093" i="3" a="1"/>
  <c r="F3093" i="3" s="1"/>
  <c r="G3093" i="3" a="1"/>
  <c r="G3093" i="3" s="1"/>
  <c r="J3093" i="3" a="1"/>
  <c r="J3093" i="3" s="1"/>
  <c r="B3094" i="3" a="1"/>
  <c r="B3094" i="3" s="1"/>
  <c r="C3094" i="3" a="1"/>
  <c r="C3094" i="3" s="1"/>
  <c r="D3094" i="3" a="1"/>
  <c r="D3094" i="3" s="1"/>
  <c r="E3094" i="3" a="1"/>
  <c r="E3094" i="3" s="1"/>
  <c r="F3094" i="3" a="1"/>
  <c r="F3094" i="3" s="1"/>
  <c r="G3094" i="3" a="1"/>
  <c r="G3094" i="3" s="1"/>
  <c r="J3094" i="3" a="1"/>
  <c r="J3094" i="3" s="1"/>
  <c r="B3095" i="3" a="1"/>
  <c r="B3095" i="3" s="1"/>
  <c r="C3095" i="3" a="1"/>
  <c r="C3095" i="3" s="1"/>
  <c r="D3095" i="3" a="1"/>
  <c r="D3095" i="3" s="1"/>
  <c r="E3095" i="3" a="1"/>
  <c r="E3095" i="3" s="1"/>
  <c r="F3095" i="3" a="1"/>
  <c r="F3095" i="3" s="1"/>
  <c r="G3095" i="3" a="1"/>
  <c r="G3095" i="3" s="1"/>
  <c r="J3095" i="3" a="1"/>
  <c r="J3095" i="3" s="1"/>
  <c r="B3096" i="3" a="1"/>
  <c r="B3096" i="3" s="1"/>
  <c r="C3096" i="3" a="1"/>
  <c r="C3096" i="3" s="1"/>
  <c r="D3096" i="3" a="1"/>
  <c r="D3096" i="3" s="1"/>
  <c r="E3096" i="3" a="1"/>
  <c r="E3096" i="3" s="1"/>
  <c r="F3096" i="3" a="1"/>
  <c r="F3096" i="3" s="1"/>
  <c r="G3096" i="3" a="1"/>
  <c r="G3096" i="3" s="1"/>
  <c r="J3096" i="3" a="1"/>
  <c r="J3096" i="3" s="1"/>
  <c r="B3097" i="3" a="1"/>
  <c r="B3097" i="3" s="1"/>
  <c r="C3097" i="3" a="1"/>
  <c r="C3097" i="3" s="1"/>
  <c r="D3097" i="3" a="1"/>
  <c r="D3097" i="3" s="1"/>
  <c r="E3097" i="3" a="1"/>
  <c r="E3097" i="3" s="1"/>
  <c r="F3097" i="3" a="1"/>
  <c r="F3097" i="3" s="1"/>
  <c r="G3097" i="3" a="1"/>
  <c r="G3097" i="3" s="1"/>
  <c r="J3097" i="3" a="1"/>
  <c r="J3097" i="3" s="1"/>
  <c r="B3098" i="3" a="1"/>
  <c r="B3098" i="3" s="1"/>
  <c r="C3098" i="3" a="1"/>
  <c r="C3098" i="3" s="1"/>
  <c r="D3098" i="3" a="1"/>
  <c r="D3098" i="3" s="1"/>
  <c r="E3098" i="3" a="1"/>
  <c r="E3098" i="3" s="1"/>
  <c r="F3098" i="3" a="1"/>
  <c r="F3098" i="3" s="1"/>
  <c r="G3098" i="3" a="1"/>
  <c r="G3098" i="3" s="1"/>
  <c r="J3098" i="3" a="1"/>
  <c r="J3098" i="3" s="1"/>
  <c r="B3099" i="3" a="1"/>
  <c r="B3099" i="3" s="1"/>
  <c r="C3099" i="3" a="1"/>
  <c r="C3099" i="3" s="1"/>
  <c r="D3099" i="3" a="1"/>
  <c r="D3099" i="3" s="1"/>
  <c r="E3099" i="3" a="1"/>
  <c r="E3099" i="3" s="1"/>
  <c r="F3099" i="3" a="1"/>
  <c r="F3099" i="3" s="1"/>
  <c r="G3099" i="3" a="1"/>
  <c r="G3099" i="3" s="1"/>
  <c r="J3099" i="3" a="1"/>
  <c r="J3099" i="3" s="1"/>
  <c r="B3100" i="3" a="1"/>
  <c r="B3100" i="3" s="1"/>
  <c r="C3100" i="3" a="1"/>
  <c r="C3100" i="3" s="1"/>
  <c r="D3100" i="3" a="1"/>
  <c r="D3100" i="3" s="1"/>
  <c r="E3100" i="3" a="1"/>
  <c r="E3100" i="3" s="1"/>
  <c r="F3100" i="3" a="1"/>
  <c r="F3100" i="3" s="1"/>
  <c r="G3100" i="3" a="1"/>
  <c r="G3100" i="3" s="1"/>
  <c r="J3100" i="3" a="1"/>
  <c r="J3100" i="3" s="1"/>
  <c r="B3101" i="3" a="1"/>
  <c r="B3101" i="3" s="1"/>
  <c r="C3101" i="3" a="1"/>
  <c r="C3101" i="3" s="1"/>
  <c r="D3101" i="3" a="1"/>
  <c r="D3101" i="3" s="1"/>
  <c r="E3101" i="3" a="1"/>
  <c r="E3101" i="3" s="1"/>
  <c r="F3101" i="3" a="1"/>
  <c r="F3101" i="3" s="1"/>
  <c r="G3101" i="3" a="1"/>
  <c r="G3101" i="3" s="1"/>
  <c r="J3101" i="3" a="1"/>
  <c r="J3101" i="3" s="1"/>
  <c r="B3102" i="3" a="1"/>
  <c r="B3102" i="3" s="1"/>
  <c r="C3102" i="3" a="1"/>
  <c r="C3102" i="3" s="1"/>
  <c r="D3102" i="3" a="1"/>
  <c r="D3102" i="3" s="1"/>
  <c r="E3102" i="3" a="1"/>
  <c r="E3102" i="3" s="1"/>
  <c r="F3102" i="3" a="1"/>
  <c r="F3102" i="3" s="1"/>
  <c r="G3102" i="3" a="1"/>
  <c r="G3102" i="3" s="1"/>
  <c r="J3102" i="3" a="1"/>
  <c r="J3102" i="3" s="1"/>
  <c r="B3103" i="3" a="1"/>
  <c r="B3103" i="3" s="1"/>
  <c r="C3103" i="3" a="1"/>
  <c r="C3103" i="3" s="1"/>
  <c r="D3103" i="3" a="1"/>
  <c r="D3103" i="3" s="1"/>
  <c r="E3103" i="3" a="1"/>
  <c r="E3103" i="3" s="1"/>
  <c r="F3103" i="3" a="1"/>
  <c r="F3103" i="3" s="1"/>
  <c r="G3103" i="3" a="1"/>
  <c r="G3103" i="3" s="1"/>
  <c r="J3103" i="3" a="1"/>
  <c r="J3103" i="3" s="1"/>
  <c r="B3104" i="3" a="1"/>
  <c r="B3104" i="3" s="1"/>
  <c r="C3104" i="3" a="1"/>
  <c r="C3104" i="3" s="1"/>
  <c r="D3104" i="3" a="1"/>
  <c r="D3104" i="3" s="1"/>
  <c r="E3104" i="3" a="1"/>
  <c r="E3104" i="3" s="1"/>
  <c r="F3104" i="3" a="1"/>
  <c r="F3104" i="3" s="1"/>
  <c r="G3104" i="3" a="1"/>
  <c r="G3104" i="3" s="1"/>
  <c r="J3104" i="3" a="1"/>
  <c r="J3104" i="3" s="1"/>
  <c r="B3105" i="3" a="1"/>
  <c r="B3105" i="3" s="1"/>
  <c r="C3105" i="3" a="1"/>
  <c r="C3105" i="3" s="1"/>
  <c r="D3105" i="3" a="1"/>
  <c r="D3105" i="3" s="1"/>
  <c r="E3105" i="3" a="1"/>
  <c r="E3105" i="3" s="1"/>
  <c r="F3105" i="3" a="1"/>
  <c r="F3105" i="3" s="1"/>
  <c r="G3105" i="3" a="1"/>
  <c r="G3105" i="3" s="1"/>
  <c r="J3105" i="3" a="1"/>
  <c r="J3105" i="3" s="1"/>
  <c r="B3106" i="3" a="1"/>
  <c r="B3106" i="3" s="1"/>
  <c r="C3106" i="3" a="1"/>
  <c r="C3106" i="3" s="1"/>
  <c r="D3106" i="3" a="1"/>
  <c r="D3106" i="3" s="1"/>
  <c r="E3106" i="3" a="1"/>
  <c r="E3106" i="3" s="1"/>
  <c r="F3106" i="3" a="1"/>
  <c r="F3106" i="3" s="1"/>
  <c r="G3106" i="3" a="1"/>
  <c r="G3106" i="3" s="1"/>
  <c r="J3106" i="3" a="1"/>
  <c r="J3106" i="3" s="1"/>
  <c r="B3107" i="3" a="1"/>
  <c r="B3107" i="3" s="1"/>
  <c r="C3107" i="3" a="1"/>
  <c r="C3107" i="3" s="1"/>
  <c r="D3107" i="3" a="1"/>
  <c r="D3107" i="3" s="1"/>
  <c r="E3107" i="3" a="1"/>
  <c r="E3107" i="3" s="1"/>
  <c r="F3107" i="3" a="1"/>
  <c r="F3107" i="3" s="1"/>
  <c r="G3107" i="3" a="1"/>
  <c r="G3107" i="3" s="1"/>
  <c r="J3107" i="3" a="1"/>
  <c r="J3107" i="3" s="1"/>
  <c r="B3108" i="3" a="1"/>
  <c r="B3108" i="3" s="1"/>
  <c r="C3108" i="3" a="1"/>
  <c r="C3108" i="3" s="1"/>
  <c r="D3108" i="3" a="1"/>
  <c r="D3108" i="3" s="1"/>
  <c r="E3108" i="3" a="1"/>
  <c r="E3108" i="3" s="1"/>
  <c r="F3108" i="3" a="1"/>
  <c r="F3108" i="3" s="1"/>
  <c r="G3108" i="3" a="1"/>
  <c r="G3108" i="3" s="1"/>
  <c r="J3108" i="3" a="1"/>
  <c r="J3108" i="3" s="1"/>
  <c r="B3109" i="3" a="1"/>
  <c r="B3109" i="3" s="1"/>
  <c r="C3109" i="3" a="1"/>
  <c r="C3109" i="3" s="1"/>
  <c r="D3109" i="3" a="1"/>
  <c r="D3109" i="3" s="1"/>
  <c r="E3109" i="3" a="1"/>
  <c r="E3109" i="3" s="1"/>
  <c r="F3109" i="3" a="1"/>
  <c r="F3109" i="3" s="1"/>
  <c r="G3109" i="3" a="1"/>
  <c r="G3109" i="3" s="1"/>
  <c r="J3109" i="3" a="1"/>
  <c r="J3109" i="3" s="1"/>
  <c r="B3110" i="3" a="1"/>
  <c r="B3110" i="3" s="1"/>
  <c r="C3110" i="3" a="1"/>
  <c r="C3110" i="3" s="1"/>
  <c r="D3110" i="3" a="1"/>
  <c r="D3110" i="3" s="1"/>
  <c r="E3110" i="3" a="1"/>
  <c r="E3110" i="3" s="1"/>
  <c r="F3110" i="3" a="1"/>
  <c r="F3110" i="3" s="1"/>
  <c r="G3110" i="3" a="1"/>
  <c r="G3110" i="3" s="1"/>
  <c r="J3110" i="3" a="1"/>
  <c r="J3110" i="3" s="1"/>
  <c r="B3111" i="3" a="1"/>
  <c r="B3111" i="3" s="1"/>
  <c r="C3111" i="3" a="1"/>
  <c r="C3111" i="3" s="1"/>
  <c r="D3111" i="3" a="1"/>
  <c r="D3111" i="3" s="1"/>
  <c r="E3111" i="3" a="1"/>
  <c r="E3111" i="3" s="1"/>
  <c r="F3111" i="3" a="1"/>
  <c r="F3111" i="3" s="1"/>
  <c r="G3111" i="3" a="1"/>
  <c r="G3111" i="3" s="1"/>
  <c r="J3111" i="3" a="1"/>
  <c r="J3111" i="3" s="1"/>
  <c r="B3112" i="3" a="1"/>
  <c r="B3112" i="3" s="1"/>
  <c r="C3112" i="3" a="1"/>
  <c r="C3112" i="3" s="1"/>
  <c r="D3112" i="3" a="1"/>
  <c r="D3112" i="3" s="1"/>
  <c r="E3112" i="3" a="1"/>
  <c r="E3112" i="3" s="1"/>
  <c r="F3112" i="3" a="1"/>
  <c r="F3112" i="3" s="1"/>
  <c r="G3112" i="3" a="1"/>
  <c r="G3112" i="3" s="1"/>
  <c r="J3112" i="3" a="1"/>
  <c r="J3112" i="3" s="1"/>
  <c r="B3113" i="3" a="1"/>
  <c r="B3113" i="3" s="1"/>
  <c r="C3113" i="3" a="1"/>
  <c r="C3113" i="3" s="1"/>
  <c r="D3113" i="3" a="1"/>
  <c r="D3113" i="3" s="1"/>
  <c r="E3113" i="3" a="1"/>
  <c r="E3113" i="3" s="1"/>
  <c r="F3113" i="3" a="1"/>
  <c r="F3113" i="3" s="1"/>
  <c r="G3113" i="3" a="1"/>
  <c r="G3113" i="3" s="1"/>
  <c r="J3113" i="3" a="1"/>
  <c r="J3113" i="3" s="1"/>
  <c r="B3114" i="3" a="1"/>
  <c r="B3114" i="3" s="1"/>
  <c r="C3114" i="3" a="1"/>
  <c r="C3114" i="3" s="1"/>
  <c r="D3114" i="3" a="1"/>
  <c r="D3114" i="3" s="1"/>
  <c r="E3114" i="3" a="1"/>
  <c r="E3114" i="3" s="1"/>
  <c r="F3114" i="3" a="1"/>
  <c r="F3114" i="3" s="1"/>
  <c r="G3114" i="3" a="1"/>
  <c r="G3114" i="3" s="1"/>
  <c r="J3114" i="3" a="1"/>
  <c r="J3114" i="3" s="1"/>
  <c r="B3115" i="3" a="1"/>
  <c r="B3115" i="3" s="1"/>
  <c r="C3115" i="3" a="1"/>
  <c r="C3115" i="3" s="1"/>
  <c r="D3115" i="3" a="1"/>
  <c r="D3115" i="3" s="1"/>
  <c r="E3115" i="3" a="1"/>
  <c r="E3115" i="3" s="1"/>
  <c r="F3115" i="3" a="1"/>
  <c r="F3115" i="3" s="1"/>
  <c r="G3115" i="3" a="1"/>
  <c r="G3115" i="3" s="1"/>
  <c r="J3115" i="3" a="1"/>
  <c r="J3115" i="3" s="1"/>
  <c r="B3116" i="3" a="1"/>
  <c r="B3116" i="3" s="1"/>
  <c r="C3116" i="3" a="1"/>
  <c r="C3116" i="3" s="1"/>
  <c r="D3116" i="3" a="1"/>
  <c r="D3116" i="3" s="1"/>
  <c r="E3116" i="3" a="1"/>
  <c r="E3116" i="3" s="1"/>
  <c r="F3116" i="3" a="1"/>
  <c r="F3116" i="3" s="1"/>
  <c r="G3116" i="3" a="1"/>
  <c r="G3116" i="3" s="1"/>
  <c r="J3116" i="3" a="1"/>
  <c r="J3116" i="3" s="1"/>
  <c r="B3117" i="3" a="1"/>
  <c r="B3117" i="3" s="1"/>
  <c r="C3117" i="3" a="1"/>
  <c r="C3117" i="3" s="1"/>
  <c r="D3117" i="3" a="1"/>
  <c r="D3117" i="3" s="1"/>
  <c r="E3117" i="3" a="1"/>
  <c r="E3117" i="3" s="1"/>
  <c r="F3117" i="3" a="1"/>
  <c r="F3117" i="3" s="1"/>
  <c r="G3117" i="3" a="1"/>
  <c r="G3117" i="3" s="1"/>
  <c r="J3117" i="3" a="1"/>
  <c r="J3117" i="3" s="1"/>
  <c r="B3118" i="3" a="1"/>
  <c r="B3118" i="3" s="1"/>
  <c r="C3118" i="3" a="1"/>
  <c r="C3118" i="3" s="1"/>
  <c r="D3118" i="3" a="1"/>
  <c r="D3118" i="3" s="1"/>
  <c r="E3118" i="3" a="1"/>
  <c r="E3118" i="3" s="1"/>
  <c r="F3118" i="3" a="1"/>
  <c r="F3118" i="3" s="1"/>
  <c r="G3118" i="3" a="1"/>
  <c r="G3118" i="3" s="1"/>
  <c r="J3118" i="3" a="1"/>
  <c r="J3118" i="3" s="1"/>
  <c r="B3119" i="3" a="1"/>
  <c r="B3119" i="3" s="1"/>
  <c r="C3119" i="3" a="1"/>
  <c r="C3119" i="3" s="1"/>
  <c r="D3119" i="3" a="1"/>
  <c r="D3119" i="3" s="1"/>
  <c r="E3119" i="3" a="1"/>
  <c r="E3119" i="3" s="1"/>
  <c r="F3119" i="3" a="1"/>
  <c r="F3119" i="3" s="1"/>
  <c r="G3119" i="3" a="1"/>
  <c r="G3119" i="3" s="1"/>
  <c r="J3119" i="3" a="1"/>
  <c r="J3119" i="3" s="1"/>
  <c r="B3120" i="3" a="1"/>
  <c r="B3120" i="3" s="1"/>
  <c r="C3120" i="3" a="1"/>
  <c r="C3120" i="3" s="1"/>
  <c r="D3120" i="3" a="1"/>
  <c r="D3120" i="3" s="1"/>
  <c r="E3120" i="3" a="1"/>
  <c r="E3120" i="3" s="1"/>
  <c r="F3120" i="3" a="1"/>
  <c r="F3120" i="3" s="1"/>
  <c r="G3120" i="3" a="1"/>
  <c r="G3120" i="3" s="1"/>
  <c r="J3120" i="3" a="1"/>
  <c r="J3120" i="3" s="1"/>
  <c r="B3121" i="3" a="1"/>
  <c r="B3121" i="3" s="1"/>
  <c r="C3121" i="3" a="1"/>
  <c r="C3121" i="3" s="1"/>
  <c r="D3121" i="3" a="1"/>
  <c r="D3121" i="3" s="1"/>
  <c r="E3121" i="3" a="1"/>
  <c r="E3121" i="3" s="1"/>
  <c r="F3121" i="3" a="1"/>
  <c r="F3121" i="3" s="1"/>
  <c r="G3121" i="3" a="1"/>
  <c r="G3121" i="3" s="1"/>
  <c r="J3121" i="3" a="1"/>
  <c r="J3121" i="3" s="1"/>
  <c r="B3122" i="3" a="1"/>
  <c r="B3122" i="3" s="1"/>
  <c r="C3122" i="3" a="1"/>
  <c r="C3122" i="3" s="1"/>
  <c r="D3122" i="3" a="1"/>
  <c r="D3122" i="3" s="1"/>
  <c r="E3122" i="3" a="1"/>
  <c r="E3122" i="3" s="1"/>
  <c r="F3122" i="3" a="1"/>
  <c r="F3122" i="3" s="1"/>
  <c r="G3122" i="3" a="1"/>
  <c r="G3122" i="3" s="1"/>
  <c r="J3122" i="3" a="1"/>
  <c r="J3122" i="3" s="1"/>
  <c r="B3123" i="3" a="1"/>
  <c r="B3123" i="3" s="1"/>
  <c r="C3123" i="3" a="1"/>
  <c r="C3123" i="3" s="1"/>
  <c r="D3123" i="3" a="1"/>
  <c r="D3123" i="3" s="1"/>
  <c r="E3123" i="3" a="1"/>
  <c r="E3123" i="3" s="1"/>
  <c r="F3123" i="3" a="1"/>
  <c r="F3123" i="3" s="1"/>
  <c r="G3123" i="3" a="1"/>
  <c r="G3123" i="3" s="1"/>
  <c r="J3123" i="3" a="1"/>
  <c r="J3123" i="3" s="1"/>
  <c r="B3124" i="3" a="1"/>
  <c r="B3124" i="3" s="1"/>
  <c r="C3124" i="3" a="1"/>
  <c r="C3124" i="3" s="1"/>
  <c r="D3124" i="3" a="1"/>
  <c r="D3124" i="3" s="1"/>
  <c r="E3124" i="3" a="1"/>
  <c r="E3124" i="3" s="1"/>
  <c r="F3124" i="3" a="1"/>
  <c r="F3124" i="3" s="1"/>
  <c r="G3124" i="3" a="1"/>
  <c r="G3124" i="3" s="1"/>
  <c r="J3124" i="3" a="1"/>
  <c r="J3124" i="3" s="1"/>
  <c r="B3125" i="3" a="1"/>
  <c r="B3125" i="3" s="1"/>
  <c r="C3125" i="3" a="1"/>
  <c r="C3125" i="3" s="1"/>
  <c r="D3125" i="3" a="1"/>
  <c r="D3125" i="3" s="1"/>
  <c r="E3125" i="3" a="1"/>
  <c r="E3125" i="3" s="1"/>
  <c r="F3125" i="3" a="1"/>
  <c r="F3125" i="3" s="1"/>
  <c r="G3125" i="3" a="1"/>
  <c r="G3125" i="3" s="1"/>
  <c r="J3125" i="3" a="1"/>
  <c r="J3125" i="3" s="1"/>
  <c r="B3126" i="3" a="1"/>
  <c r="B3126" i="3" s="1"/>
  <c r="C3126" i="3" a="1"/>
  <c r="C3126" i="3" s="1"/>
  <c r="D3126" i="3" a="1"/>
  <c r="D3126" i="3" s="1"/>
  <c r="E3126" i="3" a="1"/>
  <c r="E3126" i="3" s="1"/>
  <c r="F3126" i="3" a="1"/>
  <c r="F3126" i="3" s="1"/>
  <c r="G3126" i="3" a="1"/>
  <c r="G3126" i="3" s="1"/>
  <c r="J3126" i="3" a="1"/>
  <c r="J3126" i="3" s="1"/>
  <c r="B3127" i="3" a="1"/>
  <c r="B3127" i="3" s="1"/>
  <c r="C3127" i="3" a="1"/>
  <c r="C3127" i="3" s="1"/>
  <c r="D3127" i="3" a="1"/>
  <c r="D3127" i="3" s="1"/>
  <c r="E3127" i="3" a="1"/>
  <c r="E3127" i="3" s="1"/>
  <c r="F3127" i="3" a="1"/>
  <c r="F3127" i="3" s="1"/>
  <c r="G3127" i="3" a="1"/>
  <c r="G3127" i="3" s="1"/>
  <c r="J3127" i="3" a="1"/>
  <c r="J3127" i="3" s="1"/>
  <c r="B3128" i="3" a="1"/>
  <c r="B3128" i="3" s="1"/>
  <c r="C3128" i="3" a="1"/>
  <c r="C3128" i="3" s="1"/>
  <c r="D3128" i="3" a="1"/>
  <c r="D3128" i="3" s="1"/>
  <c r="E3128" i="3" a="1"/>
  <c r="E3128" i="3" s="1"/>
  <c r="F3128" i="3" a="1"/>
  <c r="F3128" i="3" s="1"/>
  <c r="G3128" i="3" a="1"/>
  <c r="G3128" i="3" s="1"/>
  <c r="J3128" i="3" a="1"/>
  <c r="J3128" i="3" s="1"/>
  <c r="B3129" i="3" a="1"/>
  <c r="B3129" i="3" s="1"/>
  <c r="C3129" i="3" a="1"/>
  <c r="C3129" i="3" s="1"/>
  <c r="D3129" i="3" a="1"/>
  <c r="D3129" i="3" s="1"/>
  <c r="E3129" i="3" a="1"/>
  <c r="E3129" i="3" s="1"/>
  <c r="F3129" i="3" a="1"/>
  <c r="F3129" i="3" s="1"/>
  <c r="G3129" i="3" a="1"/>
  <c r="G3129" i="3" s="1"/>
  <c r="J3129" i="3" a="1"/>
  <c r="J3129" i="3" s="1"/>
  <c r="B3130" i="3" a="1"/>
  <c r="B3130" i="3" s="1"/>
  <c r="C3130" i="3" a="1"/>
  <c r="C3130" i="3" s="1"/>
  <c r="D3130" i="3" a="1"/>
  <c r="D3130" i="3" s="1"/>
  <c r="E3130" i="3" a="1"/>
  <c r="E3130" i="3" s="1"/>
  <c r="F3130" i="3" a="1"/>
  <c r="F3130" i="3" s="1"/>
  <c r="G3130" i="3" a="1"/>
  <c r="G3130" i="3" s="1"/>
  <c r="J3130" i="3" a="1"/>
  <c r="J3130" i="3" s="1"/>
  <c r="B3131" i="3" a="1"/>
  <c r="B3131" i="3" s="1"/>
  <c r="C3131" i="3" a="1"/>
  <c r="C3131" i="3" s="1"/>
  <c r="D3131" i="3" a="1"/>
  <c r="D3131" i="3" s="1"/>
  <c r="E3131" i="3" a="1"/>
  <c r="E3131" i="3" s="1"/>
  <c r="F3131" i="3" a="1"/>
  <c r="F3131" i="3" s="1"/>
  <c r="G3131" i="3" a="1"/>
  <c r="G3131" i="3" s="1"/>
  <c r="J3131" i="3" a="1"/>
  <c r="J3131" i="3" s="1"/>
  <c r="B3132" i="3" a="1"/>
  <c r="B3132" i="3" s="1"/>
  <c r="C3132" i="3" a="1"/>
  <c r="C3132" i="3" s="1"/>
  <c r="D3132" i="3" a="1"/>
  <c r="D3132" i="3" s="1"/>
  <c r="E3132" i="3" a="1"/>
  <c r="E3132" i="3" s="1"/>
  <c r="F3132" i="3" a="1"/>
  <c r="F3132" i="3" s="1"/>
  <c r="G3132" i="3" a="1"/>
  <c r="G3132" i="3" s="1"/>
  <c r="J3132" i="3" a="1"/>
  <c r="J3132" i="3" s="1"/>
  <c r="B3133" i="3" a="1"/>
  <c r="B3133" i="3" s="1"/>
  <c r="C3133" i="3" a="1"/>
  <c r="C3133" i="3" s="1"/>
  <c r="D3133" i="3" a="1"/>
  <c r="D3133" i="3" s="1"/>
  <c r="E3133" i="3" a="1"/>
  <c r="E3133" i="3" s="1"/>
  <c r="F3133" i="3" a="1"/>
  <c r="F3133" i="3" s="1"/>
  <c r="G3133" i="3" a="1"/>
  <c r="G3133" i="3" s="1"/>
  <c r="J3133" i="3" a="1"/>
  <c r="J3133" i="3" s="1"/>
  <c r="B3134" i="3" a="1"/>
  <c r="B3134" i="3" s="1"/>
  <c r="C3134" i="3" a="1"/>
  <c r="C3134" i="3" s="1"/>
  <c r="D3134" i="3" a="1"/>
  <c r="D3134" i="3" s="1"/>
  <c r="E3134" i="3" a="1"/>
  <c r="E3134" i="3" s="1"/>
  <c r="F3134" i="3" a="1"/>
  <c r="F3134" i="3" s="1"/>
  <c r="G3134" i="3" a="1"/>
  <c r="G3134" i="3" s="1"/>
  <c r="J3134" i="3" a="1"/>
  <c r="J3134" i="3" s="1"/>
  <c r="B3135" i="3" a="1"/>
  <c r="B3135" i="3" s="1"/>
  <c r="C3135" i="3" a="1"/>
  <c r="C3135" i="3" s="1"/>
  <c r="D3135" i="3" a="1"/>
  <c r="D3135" i="3" s="1"/>
  <c r="E3135" i="3" a="1"/>
  <c r="E3135" i="3" s="1"/>
  <c r="F3135" i="3" a="1"/>
  <c r="F3135" i="3" s="1"/>
  <c r="G3135" i="3" a="1"/>
  <c r="G3135" i="3" s="1"/>
  <c r="J3135" i="3" a="1"/>
  <c r="J3135" i="3" s="1"/>
  <c r="B3136" i="3" a="1"/>
  <c r="B3136" i="3" s="1"/>
  <c r="C3136" i="3" a="1"/>
  <c r="C3136" i="3" s="1"/>
  <c r="D3136" i="3" a="1"/>
  <c r="D3136" i="3" s="1"/>
  <c r="E3136" i="3" a="1"/>
  <c r="E3136" i="3" s="1"/>
  <c r="F3136" i="3" a="1"/>
  <c r="F3136" i="3" s="1"/>
  <c r="G3136" i="3" a="1"/>
  <c r="G3136" i="3" s="1"/>
  <c r="J3136" i="3" a="1"/>
  <c r="J3136" i="3" s="1"/>
  <c r="B3137" i="3" a="1"/>
  <c r="B3137" i="3" s="1"/>
  <c r="C3137" i="3" a="1"/>
  <c r="C3137" i="3" s="1"/>
  <c r="D3137" i="3" a="1"/>
  <c r="D3137" i="3" s="1"/>
  <c r="E3137" i="3" a="1"/>
  <c r="E3137" i="3" s="1"/>
  <c r="F3137" i="3" a="1"/>
  <c r="F3137" i="3" s="1"/>
  <c r="G3137" i="3" a="1"/>
  <c r="G3137" i="3" s="1"/>
  <c r="J3137" i="3" a="1"/>
  <c r="J3137" i="3" s="1"/>
  <c r="B3138" i="3" a="1"/>
  <c r="B3138" i="3" s="1"/>
  <c r="C3138" i="3" a="1"/>
  <c r="C3138" i="3" s="1"/>
  <c r="D3138" i="3" a="1"/>
  <c r="D3138" i="3" s="1"/>
  <c r="E3138" i="3" a="1"/>
  <c r="E3138" i="3" s="1"/>
  <c r="F3138" i="3" a="1"/>
  <c r="F3138" i="3" s="1"/>
  <c r="G3138" i="3" a="1"/>
  <c r="G3138" i="3" s="1"/>
  <c r="J3138" i="3" a="1"/>
  <c r="J3138" i="3" s="1"/>
  <c r="B3139" i="3" a="1"/>
  <c r="B3139" i="3" s="1"/>
  <c r="C3139" i="3" a="1"/>
  <c r="C3139" i="3" s="1"/>
  <c r="D3139" i="3" a="1"/>
  <c r="D3139" i="3" s="1"/>
  <c r="E3139" i="3" a="1"/>
  <c r="E3139" i="3" s="1"/>
  <c r="F3139" i="3" a="1"/>
  <c r="F3139" i="3" s="1"/>
  <c r="G3139" i="3" a="1"/>
  <c r="G3139" i="3" s="1"/>
  <c r="J3139" i="3" a="1"/>
  <c r="J3139" i="3" s="1"/>
  <c r="B3140" i="3" a="1"/>
  <c r="B3140" i="3" s="1"/>
  <c r="C3140" i="3" a="1"/>
  <c r="C3140" i="3" s="1"/>
  <c r="D3140" i="3" a="1"/>
  <c r="D3140" i="3" s="1"/>
  <c r="E3140" i="3" a="1"/>
  <c r="E3140" i="3" s="1"/>
  <c r="F3140" i="3" a="1"/>
  <c r="F3140" i="3" s="1"/>
  <c r="G3140" i="3" a="1"/>
  <c r="G3140" i="3" s="1"/>
  <c r="J3140" i="3" a="1"/>
  <c r="J3140" i="3" s="1"/>
  <c r="B3141" i="3" a="1"/>
  <c r="B3141" i="3" s="1"/>
  <c r="C3141" i="3" a="1"/>
  <c r="C3141" i="3" s="1"/>
  <c r="D3141" i="3" a="1"/>
  <c r="D3141" i="3" s="1"/>
  <c r="E3141" i="3" a="1"/>
  <c r="E3141" i="3" s="1"/>
  <c r="F3141" i="3" a="1"/>
  <c r="F3141" i="3" s="1"/>
  <c r="G3141" i="3" a="1"/>
  <c r="G3141" i="3" s="1"/>
  <c r="J3141" i="3" a="1"/>
  <c r="J3141" i="3" s="1"/>
  <c r="B3142" i="3" a="1"/>
  <c r="B3142" i="3" s="1"/>
  <c r="C3142" i="3" a="1"/>
  <c r="C3142" i="3" s="1"/>
  <c r="D3142" i="3" a="1"/>
  <c r="D3142" i="3" s="1"/>
  <c r="E3142" i="3" a="1"/>
  <c r="E3142" i="3" s="1"/>
  <c r="F3142" i="3" a="1"/>
  <c r="F3142" i="3" s="1"/>
  <c r="G3142" i="3" a="1"/>
  <c r="G3142" i="3" s="1"/>
  <c r="J3142" i="3" a="1"/>
  <c r="J3142" i="3" s="1"/>
  <c r="B3143" i="3" a="1"/>
  <c r="B3143" i="3" s="1"/>
  <c r="C3143" i="3" a="1"/>
  <c r="C3143" i="3" s="1"/>
  <c r="D3143" i="3" a="1"/>
  <c r="D3143" i="3" s="1"/>
  <c r="E3143" i="3" a="1"/>
  <c r="E3143" i="3" s="1"/>
  <c r="F3143" i="3" a="1"/>
  <c r="F3143" i="3" s="1"/>
  <c r="G3143" i="3" a="1"/>
  <c r="G3143" i="3" s="1"/>
  <c r="J3143" i="3" a="1"/>
  <c r="J3143" i="3" s="1"/>
  <c r="B3144" i="3" a="1"/>
  <c r="B3144" i="3" s="1"/>
  <c r="C3144" i="3" a="1"/>
  <c r="C3144" i="3" s="1"/>
  <c r="D3144" i="3" a="1"/>
  <c r="D3144" i="3" s="1"/>
  <c r="E3144" i="3" a="1"/>
  <c r="E3144" i="3" s="1"/>
  <c r="F3144" i="3" a="1"/>
  <c r="F3144" i="3" s="1"/>
  <c r="G3144" i="3" a="1"/>
  <c r="G3144" i="3" s="1"/>
  <c r="J3144" i="3" a="1"/>
  <c r="J3144" i="3" s="1"/>
  <c r="B3145" i="3" a="1"/>
  <c r="B3145" i="3" s="1"/>
  <c r="C3145" i="3" a="1"/>
  <c r="C3145" i="3" s="1"/>
  <c r="D3145" i="3" a="1"/>
  <c r="D3145" i="3" s="1"/>
  <c r="E3145" i="3" a="1"/>
  <c r="E3145" i="3" s="1"/>
  <c r="F3145" i="3" a="1"/>
  <c r="F3145" i="3" s="1"/>
  <c r="G3145" i="3" a="1"/>
  <c r="G3145" i="3" s="1"/>
  <c r="J3145" i="3" a="1"/>
  <c r="J3145" i="3" s="1"/>
  <c r="B3146" i="3" a="1"/>
  <c r="B3146" i="3" s="1"/>
  <c r="C3146" i="3" a="1"/>
  <c r="C3146" i="3" s="1"/>
  <c r="D3146" i="3" a="1"/>
  <c r="D3146" i="3" s="1"/>
  <c r="E3146" i="3" a="1"/>
  <c r="E3146" i="3" s="1"/>
  <c r="F3146" i="3" a="1"/>
  <c r="F3146" i="3" s="1"/>
  <c r="G3146" i="3" a="1"/>
  <c r="G3146" i="3" s="1"/>
  <c r="J3146" i="3" a="1"/>
  <c r="J3146" i="3" s="1"/>
  <c r="B3147" i="3" a="1"/>
  <c r="B3147" i="3" s="1"/>
  <c r="C3147" i="3" a="1"/>
  <c r="C3147" i="3" s="1"/>
  <c r="D3147" i="3" a="1"/>
  <c r="D3147" i="3" s="1"/>
  <c r="E3147" i="3" a="1"/>
  <c r="E3147" i="3" s="1"/>
  <c r="F3147" i="3" a="1"/>
  <c r="F3147" i="3" s="1"/>
  <c r="G3147" i="3" a="1"/>
  <c r="G3147" i="3" s="1"/>
  <c r="J3147" i="3" a="1"/>
  <c r="J3147" i="3" s="1"/>
  <c r="B3148" i="3" a="1"/>
  <c r="B3148" i="3" s="1"/>
  <c r="C3148" i="3" a="1"/>
  <c r="C3148" i="3" s="1"/>
  <c r="D3148" i="3" a="1"/>
  <c r="D3148" i="3" s="1"/>
  <c r="E3148" i="3" a="1"/>
  <c r="E3148" i="3" s="1"/>
  <c r="F3148" i="3" a="1"/>
  <c r="F3148" i="3" s="1"/>
  <c r="G3148" i="3" a="1"/>
  <c r="G3148" i="3" s="1"/>
  <c r="J3148" i="3" a="1"/>
  <c r="J3148" i="3" s="1"/>
  <c r="B3149" i="3" a="1"/>
  <c r="B3149" i="3" s="1"/>
  <c r="C3149" i="3" a="1"/>
  <c r="C3149" i="3" s="1"/>
  <c r="D3149" i="3" a="1"/>
  <c r="D3149" i="3" s="1"/>
  <c r="E3149" i="3" a="1"/>
  <c r="E3149" i="3" s="1"/>
  <c r="F3149" i="3" a="1"/>
  <c r="F3149" i="3" s="1"/>
  <c r="G3149" i="3" a="1"/>
  <c r="G3149" i="3" s="1"/>
  <c r="J3149" i="3" a="1"/>
  <c r="J3149" i="3" s="1"/>
  <c r="B3150" i="3" a="1"/>
  <c r="B3150" i="3" s="1"/>
  <c r="C3150" i="3" a="1"/>
  <c r="C3150" i="3" s="1"/>
  <c r="D3150" i="3" a="1"/>
  <c r="D3150" i="3" s="1"/>
  <c r="E3150" i="3" a="1"/>
  <c r="E3150" i="3" s="1"/>
  <c r="F3150" i="3" a="1"/>
  <c r="F3150" i="3" s="1"/>
  <c r="G3150" i="3" a="1"/>
  <c r="G3150" i="3" s="1"/>
  <c r="J3150" i="3" a="1"/>
  <c r="J3150" i="3" s="1"/>
  <c r="B3151" i="3" a="1"/>
  <c r="B3151" i="3" s="1"/>
  <c r="C3151" i="3" a="1"/>
  <c r="C3151" i="3" s="1"/>
  <c r="D3151" i="3" a="1"/>
  <c r="D3151" i="3" s="1"/>
  <c r="E3151" i="3" a="1"/>
  <c r="E3151" i="3" s="1"/>
  <c r="F3151" i="3" a="1"/>
  <c r="F3151" i="3" s="1"/>
  <c r="G3151" i="3" a="1"/>
  <c r="G3151" i="3" s="1"/>
  <c r="J3151" i="3" a="1"/>
  <c r="J3151" i="3" s="1"/>
  <c r="B3152" i="3" a="1"/>
  <c r="B3152" i="3" s="1"/>
  <c r="C3152" i="3" a="1"/>
  <c r="C3152" i="3" s="1"/>
  <c r="D3152" i="3" a="1"/>
  <c r="D3152" i="3" s="1"/>
  <c r="E3152" i="3" a="1"/>
  <c r="E3152" i="3" s="1"/>
  <c r="F3152" i="3" a="1"/>
  <c r="F3152" i="3" s="1"/>
  <c r="G3152" i="3" a="1"/>
  <c r="G3152" i="3" s="1"/>
  <c r="J3152" i="3" a="1"/>
  <c r="J3152" i="3" s="1"/>
  <c r="B3153" i="3" a="1"/>
  <c r="B3153" i="3" s="1"/>
  <c r="C3153" i="3" a="1"/>
  <c r="C3153" i="3" s="1"/>
  <c r="D3153" i="3" a="1"/>
  <c r="D3153" i="3" s="1"/>
  <c r="E3153" i="3" a="1"/>
  <c r="E3153" i="3" s="1"/>
  <c r="F3153" i="3" a="1"/>
  <c r="F3153" i="3" s="1"/>
  <c r="G3153" i="3" a="1"/>
  <c r="G3153" i="3" s="1"/>
  <c r="J3153" i="3" a="1"/>
  <c r="J3153" i="3" s="1"/>
  <c r="B3154" i="3" a="1"/>
  <c r="B3154" i="3" s="1"/>
  <c r="C3154" i="3" a="1"/>
  <c r="C3154" i="3" s="1"/>
  <c r="D3154" i="3" a="1"/>
  <c r="D3154" i="3" s="1"/>
  <c r="E3154" i="3" a="1"/>
  <c r="E3154" i="3" s="1"/>
  <c r="F3154" i="3" a="1"/>
  <c r="F3154" i="3" s="1"/>
  <c r="G3154" i="3" a="1"/>
  <c r="G3154" i="3" s="1"/>
  <c r="J3154" i="3" a="1"/>
  <c r="J3154" i="3" s="1"/>
  <c r="B3155" i="3" a="1"/>
  <c r="B3155" i="3" s="1"/>
  <c r="C3155" i="3" a="1"/>
  <c r="C3155" i="3" s="1"/>
  <c r="D3155" i="3" a="1"/>
  <c r="D3155" i="3" s="1"/>
  <c r="E3155" i="3" a="1"/>
  <c r="E3155" i="3" s="1"/>
  <c r="F3155" i="3" a="1"/>
  <c r="F3155" i="3" s="1"/>
  <c r="G3155" i="3" a="1"/>
  <c r="G3155" i="3" s="1"/>
  <c r="J3155" i="3" a="1"/>
  <c r="J3155" i="3" s="1"/>
  <c r="B3156" i="3" a="1"/>
  <c r="B3156" i="3" s="1"/>
  <c r="C3156" i="3" a="1"/>
  <c r="C3156" i="3" s="1"/>
  <c r="D3156" i="3" a="1"/>
  <c r="D3156" i="3" s="1"/>
  <c r="E3156" i="3" a="1"/>
  <c r="E3156" i="3" s="1"/>
  <c r="F3156" i="3" a="1"/>
  <c r="F3156" i="3" s="1"/>
  <c r="G3156" i="3" a="1"/>
  <c r="G3156" i="3" s="1"/>
  <c r="J3156" i="3" a="1"/>
  <c r="J3156" i="3" s="1"/>
  <c r="B3157" i="3" a="1"/>
  <c r="B3157" i="3" s="1"/>
  <c r="C3157" i="3" a="1"/>
  <c r="C3157" i="3" s="1"/>
  <c r="D3157" i="3" a="1"/>
  <c r="D3157" i="3" s="1"/>
  <c r="E3157" i="3" a="1"/>
  <c r="E3157" i="3" s="1"/>
  <c r="F3157" i="3" a="1"/>
  <c r="F3157" i="3" s="1"/>
  <c r="G3157" i="3" a="1"/>
  <c r="G3157" i="3" s="1"/>
  <c r="J3157" i="3" a="1"/>
  <c r="J3157" i="3" s="1"/>
  <c r="B3158" i="3" a="1"/>
  <c r="B3158" i="3" s="1"/>
  <c r="C3158" i="3" a="1"/>
  <c r="C3158" i="3" s="1"/>
  <c r="D3158" i="3" a="1"/>
  <c r="D3158" i="3" s="1"/>
  <c r="E3158" i="3" a="1"/>
  <c r="E3158" i="3" s="1"/>
  <c r="F3158" i="3" a="1"/>
  <c r="F3158" i="3" s="1"/>
  <c r="G3158" i="3" a="1"/>
  <c r="G3158" i="3" s="1"/>
  <c r="J3158" i="3" a="1"/>
  <c r="J3158" i="3" s="1"/>
  <c r="B3159" i="3" a="1"/>
  <c r="B3159" i="3" s="1"/>
  <c r="C3159" i="3" a="1"/>
  <c r="C3159" i="3" s="1"/>
  <c r="D3159" i="3" a="1"/>
  <c r="D3159" i="3" s="1"/>
  <c r="E3159" i="3" a="1"/>
  <c r="E3159" i="3" s="1"/>
  <c r="F3159" i="3" a="1"/>
  <c r="F3159" i="3" s="1"/>
  <c r="G3159" i="3" a="1"/>
  <c r="G3159" i="3" s="1"/>
  <c r="J3159" i="3" a="1"/>
  <c r="J3159" i="3" s="1"/>
  <c r="B3160" i="3" a="1"/>
  <c r="B3160" i="3" s="1"/>
  <c r="C3160" i="3" a="1"/>
  <c r="C3160" i="3" s="1"/>
  <c r="D3160" i="3" a="1"/>
  <c r="D3160" i="3" s="1"/>
  <c r="E3160" i="3" a="1"/>
  <c r="E3160" i="3" s="1"/>
  <c r="F3160" i="3" a="1"/>
  <c r="F3160" i="3" s="1"/>
  <c r="G3160" i="3" a="1"/>
  <c r="G3160" i="3" s="1"/>
  <c r="J3160" i="3" a="1"/>
  <c r="J3160" i="3" s="1"/>
  <c r="B3161" i="3" a="1"/>
  <c r="B3161" i="3" s="1"/>
  <c r="C3161" i="3" a="1"/>
  <c r="C3161" i="3" s="1"/>
  <c r="D3161" i="3" a="1"/>
  <c r="D3161" i="3" s="1"/>
  <c r="E3161" i="3" a="1"/>
  <c r="E3161" i="3" s="1"/>
  <c r="F3161" i="3" a="1"/>
  <c r="F3161" i="3" s="1"/>
  <c r="G3161" i="3" a="1"/>
  <c r="G3161" i="3" s="1"/>
  <c r="J3161" i="3" a="1"/>
  <c r="J3161" i="3" s="1"/>
  <c r="B3162" i="3" a="1"/>
  <c r="B3162" i="3" s="1"/>
  <c r="C3162" i="3" a="1"/>
  <c r="C3162" i="3" s="1"/>
  <c r="D3162" i="3" a="1"/>
  <c r="D3162" i="3" s="1"/>
  <c r="E3162" i="3" a="1"/>
  <c r="E3162" i="3" s="1"/>
  <c r="F3162" i="3" a="1"/>
  <c r="F3162" i="3" s="1"/>
  <c r="G3162" i="3" a="1"/>
  <c r="G3162" i="3" s="1"/>
  <c r="J3162" i="3" a="1"/>
  <c r="J3162" i="3" s="1"/>
  <c r="B3163" i="3" a="1"/>
  <c r="B3163" i="3" s="1"/>
  <c r="C3163" i="3" a="1"/>
  <c r="C3163" i="3" s="1"/>
  <c r="D3163" i="3" a="1"/>
  <c r="D3163" i="3" s="1"/>
  <c r="E3163" i="3" a="1"/>
  <c r="E3163" i="3" s="1"/>
  <c r="F3163" i="3" a="1"/>
  <c r="F3163" i="3" s="1"/>
  <c r="G3163" i="3" a="1"/>
  <c r="G3163" i="3" s="1"/>
  <c r="J3163" i="3" a="1"/>
  <c r="J3163" i="3" s="1"/>
  <c r="B3164" i="3" a="1"/>
  <c r="B3164" i="3" s="1"/>
  <c r="C3164" i="3" a="1"/>
  <c r="C3164" i="3" s="1"/>
  <c r="D3164" i="3" a="1"/>
  <c r="D3164" i="3" s="1"/>
  <c r="E3164" i="3" a="1"/>
  <c r="E3164" i="3" s="1"/>
  <c r="F3164" i="3" a="1"/>
  <c r="F3164" i="3" s="1"/>
  <c r="G3164" i="3" a="1"/>
  <c r="G3164" i="3" s="1"/>
  <c r="J3164" i="3" a="1"/>
  <c r="J3164" i="3" s="1"/>
  <c r="B3165" i="3" a="1"/>
  <c r="B3165" i="3" s="1"/>
  <c r="C3165" i="3" a="1"/>
  <c r="C3165" i="3" s="1"/>
  <c r="D3165" i="3" a="1"/>
  <c r="D3165" i="3" s="1"/>
  <c r="E3165" i="3" a="1"/>
  <c r="E3165" i="3" s="1"/>
  <c r="F3165" i="3" a="1"/>
  <c r="F3165" i="3" s="1"/>
  <c r="G3165" i="3" a="1"/>
  <c r="G3165" i="3" s="1"/>
  <c r="J3165" i="3" a="1"/>
  <c r="J3165" i="3" s="1"/>
  <c r="B3166" i="3" a="1"/>
  <c r="B3166" i="3" s="1"/>
  <c r="C3166" i="3" a="1"/>
  <c r="C3166" i="3" s="1"/>
  <c r="D3166" i="3" a="1"/>
  <c r="D3166" i="3" s="1"/>
  <c r="E3166" i="3" a="1"/>
  <c r="E3166" i="3" s="1"/>
  <c r="F3166" i="3" a="1"/>
  <c r="F3166" i="3" s="1"/>
  <c r="G3166" i="3" a="1"/>
  <c r="G3166" i="3" s="1"/>
  <c r="J3166" i="3" a="1"/>
  <c r="J3166" i="3" s="1"/>
  <c r="B3167" i="3" a="1"/>
  <c r="B3167" i="3" s="1"/>
  <c r="C3167" i="3" a="1"/>
  <c r="C3167" i="3" s="1"/>
  <c r="D3167" i="3" a="1"/>
  <c r="D3167" i="3" s="1"/>
  <c r="E3167" i="3" a="1"/>
  <c r="E3167" i="3" s="1"/>
  <c r="F3167" i="3" a="1"/>
  <c r="F3167" i="3" s="1"/>
  <c r="G3167" i="3" a="1"/>
  <c r="G3167" i="3" s="1"/>
  <c r="J3167" i="3" a="1"/>
  <c r="J3167" i="3" s="1"/>
  <c r="B3168" i="3" a="1"/>
  <c r="B3168" i="3" s="1"/>
  <c r="C3168" i="3" a="1"/>
  <c r="C3168" i="3" s="1"/>
  <c r="D3168" i="3" a="1"/>
  <c r="D3168" i="3" s="1"/>
  <c r="E3168" i="3" a="1"/>
  <c r="E3168" i="3" s="1"/>
  <c r="F3168" i="3" a="1"/>
  <c r="F3168" i="3" s="1"/>
  <c r="G3168" i="3" a="1"/>
  <c r="G3168" i="3" s="1"/>
  <c r="J3168" i="3" a="1"/>
  <c r="J3168" i="3" s="1"/>
  <c r="B3169" i="3" a="1"/>
  <c r="B3169" i="3" s="1"/>
  <c r="C3169" i="3" a="1"/>
  <c r="C3169" i="3" s="1"/>
  <c r="D3169" i="3" a="1"/>
  <c r="D3169" i="3" s="1"/>
  <c r="E3169" i="3" a="1"/>
  <c r="E3169" i="3" s="1"/>
  <c r="F3169" i="3" a="1"/>
  <c r="F3169" i="3" s="1"/>
  <c r="G3169" i="3" a="1"/>
  <c r="G3169" i="3" s="1"/>
  <c r="J3169" i="3" a="1"/>
  <c r="J3169" i="3" s="1"/>
  <c r="B3170" i="3" a="1"/>
  <c r="B3170" i="3" s="1"/>
  <c r="C3170" i="3" a="1"/>
  <c r="C3170" i="3" s="1"/>
  <c r="D3170" i="3" a="1"/>
  <c r="D3170" i="3" s="1"/>
  <c r="E3170" i="3" a="1"/>
  <c r="E3170" i="3" s="1"/>
  <c r="F3170" i="3" a="1"/>
  <c r="F3170" i="3" s="1"/>
  <c r="G3170" i="3" a="1"/>
  <c r="G3170" i="3" s="1"/>
  <c r="J3170" i="3" a="1"/>
  <c r="J3170" i="3" s="1"/>
  <c r="B3171" i="3" a="1"/>
  <c r="B3171" i="3" s="1"/>
  <c r="C3171" i="3" a="1"/>
  <c r="C3171" i="3" s="1"/>
  <c r="D3171" i="3" a="1"/>
  <c r="D3171" i="3" s="1"/>
  <c r="E3171" i="3" a="1"/>
  <c r="E3171" i="3" s="1"/>
  <c r="F3171" i="3" a="1"/>
  <c r="F3171" i="3" s="1"/>
  <c r="G3171" i="3" a="1"/>
  <c r="G3171" i="3" s="1"/>
  <c r="J3171" i="3" a="1"/>
  <c r="J3171" i="3" s="1"/>
  <c r="B3172" i="3" a="1"/>
  <c r="B3172" i="3" s="1"/>
  <c r="C3172" i="3" a="1"/>
  <c r="C3172" i="3" s="1"/>
  <c r="D3172" i="3" a="1"/>
  <c r="D3172" i="3" s="1"/>
  <c r="E3172" i="3" a="1"/>
  <c r="E3172" i="3" s="1"/>
  <c r="F3172" i="3" a="1"/>
  <c r="F3172" i="3" s="1"/>
  <c r="G3172" i="3" a="1"/>
  <c r="G3172" i="3" s="1"/>
  <c r="J3172" i="3" a="1"/>
  <c r="J3172" i="3" s="1"/>
  <c r="B3173" i="3" a="1"/>
  <c r="B3173" i="3" s="1"/>
  <c r="C3173" i="3" a="1"/>
  <c r="C3173" i="3" s="1"/>
  <c r="D3173" i="3" a="1"/>
  <c r="D3173" i="3" s="1"/>
  <c r="E3173" i="3" a="1"/>
  <c r="E3173" i="3" s="1"/>
  <c r="F3173" i="3" a="1"/>
  <c r="F3173" i="3" s="1"/>
  <c r="G3173" i="3" a="1"/>
  <c r="G3173" i="3" s="1"/>
  <c r="J3173" i="3" a="1"/>
  <c r="J3173" i="3" s="1"/>
  <c r="B3174" i="3" a="1"/>
  <c r="B3174" i="3" s="1"/>
  <c r="C3174" i="3" a="1"/>
  <c r="C3174" i="3" s="1"/>
  <c r="D3174" i="3" a="1"/>
  <c r="D3174" i="3" s="1"/>
  <c r="E3174" i="3" a="1"/>
  <c r="E3174" i="3" s="1"/>
  <c r="F3174" i="3" a="1"/>
  <c r="F3174" i="3" s="1"/>
  <c r="G3174" i="3" a="1"/>
  <c r="G3174" i="3" s="1"/>
  <c r="J3174" i="3" a="1"/>
  <c r="J3174" i="3" s="1"/>
  <c r="B3175" i="3" a="1"/>
  <c r="B3175" i="3" s="1"/>
  <c r="C3175" i="3" a="1"/>
  <c r="C3175" i="3" s="1"/>
  <c r="D3175" i="3" a="1"/>
  <c r="D3175" i="3" s="1"/>
  <c r="E3175" i="3" a="1"/>
  <c r="E3175" i="3" s="1"/>
  <c r="F3175" i="3" a="1"/>
  <c r="F3175" i="3" s="1"/>
  <c r="G3175" i="3" a="1"/>
  <c r="G3175" i="3" s="1"/>
  <c r="J3175" i="3" a="1"/>
  <c r="J3175" i="3" s="1"/>
  <c r="B3176" i="3" a="1"/>
  <c r="B3176" i="3" s="1"/>
  <c r="C3176" i="3" a="1"/>
  <c r="C3176" i="3" s="1"/>
  <c r="D3176" i="3" a="1"/>
  <c r="D3176" i="3" s="1"/>
  <c r="E3176" i="3" a="1"/>
  <c r="E3176" i="3" s="1"/>
  <c r="F3176" i="3" a="1"/>
  <c r="F3176" i="3" s="1"/>
  <c r="G3176" i="3" a="1"/>
  <c r="G3176" i="3" s="1"/>
  <c r="J3176" i="3" a="1"/>
  <c r="J3176" i="3" s="1"/>
  <c r="B3177" i="3" a="1"/>
  <c r="B3177" i="3" s="1"/>
  <c r="C3177" i="3" a="1"/>
  <c r="C3177" i="3" s="1"/>
  <c r="D3177" i="3" a="1"/>
  <c r="D3177" i="3" s="1"/>
  <c r="E3177" i="3" a="1"/>
  <c r="E3177" i="3" s="1"/>
  <c r="F3177" i="3" a="1"/>
  <c r="F3177" i="3" s="1"/>
  <c r="G3177" i="3" a="1"/>
  <c r="G3177" i="3" s="1"/>
  <c r="J3177" i="3" a="1"/>
  <c r="J3177" i="3" s="1"/>
  <c r="B3178" i="3" a="1"/>
  <c r="B3178" i="3" s="1"/>
  <c r="C3178" i="3" a="1"/>
  <c r="C3178" i="3" s="1"/>
  <c r="D3178" i="3" a="1"/>
  <c r="D3178" i="3" s="1"/>
  <c r="E3178" i="3" a="1"/>
  <c r="E3178" i="3" s="1"/>
  <c r="F3178" i="3" a="1"/>
  <c r="F3178" i="3" s="1"/>
  <c r="G3178" i="3" a="1"/>
  <c r="G3178" i="3" s="1"/>
  <c r="J3178" i="3" a="1"/>
  <c r="J3178" i="3" s="1"/>
  <c r="B3179" i="3" a="1"/>
  <c r="B3179" i="3" s="1"/>
  <c r="C3179" i="3" a="1"/>
  <c r="C3179" i="3" s="1"/>
  <c r="D3179" i="3" a="1"/>
  <c r="D3179" i="3" s="1"/>
  <c r="E3179" i="3" a="1"/>
  <c r="E3179" i="3" s="1"/>
  <c r="F3179" i="3" a="1"/>
  <c r="F3179" i="3" s="1"/>
  <c r="G3179" i="3" a="1"/>
  <c r="G3179" i="3" s="1"/>
  <c r="J3179" i="3" a="1"/>
  <c r="J3179" i="3" s="1"/>
  <c r="B3180" i="3" a="1"/>
  <c r="B3180" i="3" s="1"/>
  <c r="C3180" i="3" a="1"/>
  <c r="C3180" i="3" s="1"/>
  <c r="D3180" i="3" a="1"/>
  <c r="D3180" i="3" s="1"/>
  <c r="E3180" i="3" a="1"/>
  <c r="E3180" i="3" s="1"/>
  <c r="F3180" i="3" a="1"/>
  <c r="F3180" i="3" s="1"/>
  <c r="G3180" i="3" a="1"/>
  <c r="G3180" i="3" s="1"/>
  <c r="J3180" i="3" a="1"/>
  <c r="J3180" i="3" s="1"/>
  <c r="B3181" i="3" a="1"/>
  <c r="B3181" i="3" s="1"/>
  <c r="C3181" i="3" a="1"/>
  <c r="C3181" i="3" s="1"/>
  <c r="D3181" i="3" a="1"/>
  <c r="D3181" i="3" s="1"/>
  <c r="E3181" i="3" a="1"/>
  <c r="E3181" i="3" s="1"/>
  <c r="F3181" i="3" a="1"/>
  <c r="F3181" i="3" s="1"/>
  <c r="G3181" i="3" a="1"/>
  <c r="G3181" i="3" s="1"/>
  <c r="J3181" i="3" a="1"/>
  <c r="J3181" i="3" s="1"/>
  <c r="B3182" i="3" a="1"/>
  <c r="B3182" i="3" s="1"/>
  <c r="C3182" i="3" a="1"/>
  <c r="C3182" i="3" s="1"/>
  <c r="D3182" i="3" a="1"/>
  <c r="D3182" i="3" s="1"/>
  <c r="E3182" i="3" a="1"/>
  <c r="E3182" i="3" s="1"/>
  <c r="F3182" i="3" a="1"/>
  <c r="F3182" i="3" s="1"/>
  <c r="G3182" i="3" a="1"/>
  <c r="G3182" i="3" s="1"/>
  <c r="J3182" i="3" a="1"/>
  <c r="J3182" i="3" s="1"/>
  <c r="B3183" i="3" a="1"/>
  <c r="B3183" i="3" s="1"/>
  <c r="C3183" i="3" a="1"/>
  <c r="C3183" i="3" s="1"/>
  <c r="D3183" i="3" a="1"/>
  <c r="D3183" i="3" s="1"/>
  <c r="E3183" i="3" a="1"/>
  <c r="E3183" i="3" s="1"/>
  <c r="F3183" i="3" a="1"/>
  <c r="F3183" i="3" s="1"/>
  <c r="G3183" i="3" a="1"/>
  <c r="G3183" i="3" s="1"/>
  <c r="J3183" i="3" a="1"/>
  <c r="J3183" i="3" s="1"/>
  <c r="B3184" i="3" a="1"/>
  <c r="B3184" i="3" s="1"/>
  <c r="C3184" i="3" a="1"/>
  <c r="C3184" i="3" s="1"/>
  <c r="D3184" i="3" a="1"/>
  <c r="D3184" i="3" s="1"/>
  <c r="E3184" i="3" a="1"/>
  <c r="E3184" i="3" s="1"/>
  <c r="F3184" i="3" a="1"/>
  <c r="F3184" i="3" s="1"/>
  <c r="G3184" i="3" a="1"/>
  <c r="G3184" i="3" s="1"/>
  <c r="J3184" i="3" a="1"/>
  <c r="J3184" i="3" s="1"/>
  <c r="B3185" i="3" a="1"/>
  <c r="B3185" i="3" s="1"/>
  <c r="C3185" i="3" a="1"/>
  <c r="C3185" i="3" s="1"/>
  <c r="D3185" i="3" a="1"/>
  <c r="D3185" i="3" s="1"/>
  <c r="E3185" i="3" a="1"/>
  <c r="E3185" i="3" s="1"/>
  <c r="F3185" i="3" a="1"/>
  <c r="F3185" i="3" s="1"/>
  <c r="G3185" i="3" a="1"/>
  <c r="G3185" i="3" s="1"/>
  <c r="J3185" i="3" a="1"/>
  <c r="J3185" i="3" s="1"/>
  <c r="B3186" i="3" a="1"/>
  <c r="B3186" i="3" s="1"/>
  <c r="C3186" i="3" a="1"/>
  <c r="C3186" i="3" s="1"/>
  <c r="D3186" i="3" a="1"/>
  <c r="D3186" i="3" s="1"/>
  <c r="E3186" i="3" a="1"/>
  <c r="E3186" i="3" s="1"/>
  <c r="F3186" i="3" a="1"/>
  <c r="F3186" i="3" s="1"/>
  <c r="G3186" i="3" a="1"/>
  <c r="G3186" i="3" s="1"/>
  <c r="J3186" i="3" a="1"/>
  <c r="J3186" i="3" s="1"/>
  <c r="B3187" i="3" a="1"/>
  <c r="B3187" i="3" s="1"/>
  <c r="C3187" i="3" a="1"/>
  <c r="C3187" i="3" s="1"/>
  <c r="D3187" i="3" a="1"/>
  <c r="D3187" i="3" s="1"/>
  <c r="E3187" i="3" a="1"/>
  <c r="E3187" i="3" s="1"/>
  <c r="F3187" i="3" a="1"/>
  <c r="F3187" i="3" s="1"/>
  <c r="G3187" i="3" a="1"/>
  <c r="G3187" i="3" s="1"/>
  <c r="J3187" i="3" a="1"/>
  <c r="J3187" i="3" s="1"/>
  <c r="B3188" i="3" a="1"/>
  <c r="B3188" i="3" s="1"/>
  <c r="C3188" i="3" a="1"/>
  <c r="C3188" i="3" s="1"/>
  <c r="D3188" i="3" a="1"/>
  <c r="D3188" i="3" s="1"/>
  <c r="E3188" i="3" a="1"/>
  <c r="E3188" i="3" s="1"/>
  <c r="F3188" i="3" a="1"/>
  <c r="F3188" i="3" s="1"/>
  <c r="G3188" i="3" a="1"/>
  <c r="G3188" i="3" s="1"/>
  <c r="J3188" i="3" a="1"/>
  <c r="J3188" i="3" s="1"/>
  <c r="B3189" i="3" a="1"/>
  <c r="B3189" i="3" s="1"/>
  <c r="C3189" i="3" a="1"/>
  <c r="C3189" i="3" s="1"/>
  <c r="D3189" i="3" a="1"/>
  <c r="D3189" i="3" s="1"/>
  <c r="E3189" i="3" a="1"/>
  <c r="E3189" i="3" s="1"/>
  <c r="F3189" i="3" a="1"/>
  <c r="F3189" i="3" s="1"/>
  <c r="G3189" i="3" a="1"/>
  <c r="G3189" i="3" s="1"/>
  <c r="J3189" i="3" a="1"/>
  <c r="J3189" i="3" s="1"/>
  <c r="B3190" i="3" a="1"/>
  <c r="B3190" i="3" s="1"/>
  <c r="C3190" i="3" a="1"/>
  <c r="C3190" i="3" s="1"/>
  <c r="D3190" i="3" a="1"/>
  <c r="D3190" i="3" s="1"/>
  <c r="E3190" i="3" a="1"/>
  <c r="E3190" i="3" s="1"/>
  <c r="F3190" i="3" a="1"/>
  <c r="F3190" i="3" s="1"/>
  <c r="G3190" i="3" a="1"/>
  <c r="G3190" i="3" s="1"/>
  <c r="J3190" i="3" a="1"/>
  <c r="J3190" i="3" s="1"/>
  <c r="B3191" i="3" a="1"/>
  <c r="B3191" i="3" s="1"/>
  <c r="C3191" i="3" a="1"/>
  <c r="C3191" i="3" s="1"/>
  <c r="D3191" i="3" a="1"/>
  <c r="D3191" i="3" s="1"/>
  <c r="E3191" i="3" a="1"/>
  <c r="E3191" i="3" s="1"/>
  <c r="F3191" i="3" a="1"/>
  <c r="F3191" i="3" s="1"/>
  <c r="G3191" i="3" a="1"/>
  <c r="G3191" i="3" s="1"/>
  <c r="J3191" i="3" a="1"/>
  <c r="J3191" i="3" s="1"/>
  <c r="B3192" i="3" a="1"/>
  <c r="B3192" i="3" s="1"/>
  <c r="C3192" i="3" a="1"/>
  <c r="C3192" i="3" s="1"/>
  <c r="D3192" i="3" a="1"/>
  <c r="D3192" i="3" s="1"/>
  <c r="E3192" i="3" a="1"/>
  <c r="E3192" i="3" s="1"/>
  <c r="F3192" i="3" a="1"/>
  <c r="F3192" i="3" s="1"/>
  <c r="G3192" i="3" a="1"/>
  <c r="G3192" i="3" s="1"/>
  <c r="J3192" i="3" a="1"/>
  <c r="J3192" i="3" s="1"/>
  <c r="B3193" i="3" a="1"/>
  <c r="B3193" i="3" s="1"/>
  <c r="C3193" i="3" a="1"/>
  <c r="C3193" i="3" s="1"/>
  <c r="D3193" i="3" a="1"/>
  <c r="D3193" i="3" s="1"/>
  <c r="E3193" i="3" a="1"/>
  <c r="E3193" i="3" s="1"/>
  <c r="F3193" i="3" a="1"/>
  <c r="F3193" i="3" s="1"/>
  <c r="G3193" i="3" a="1"/>
  <c r="G3193" i="3" s="1"/>
  <c r="J3193" i="3" a="1"/>
  <c r="J3193" i="3" s="1"/>
  <c r="B3194" i="3" a="1"/>
  <c r="B3194" i="3" s="1"/>
  <c r="C3194" i="3" a="1"/>
  <c r="C3194" i="3" s="1"/>
  <c r="D3194" i="3" a="1"/>
  <c r="D3194" i="3" s="1"/>
  <c r="E3194" i="3" a="1"/>
  <c r="E3194" i="3" s="1"/>
  <c r="F3194" i="3" a="1"/>
  <c r="F3194" i="3" s="1"/>
  <c r="G3194" i="3" a="1"/>
  <c r="G3194" i="3" s="1"/>
  <c r="J3194" i="3" a="1"/>
  <c r="J3194" i="3" s="1"/>
  <c r="B3195" i="3" a="1"/>
  <c r="B3195" i="3" s="1"/>
  <c r="C3195" i="3" a="1"/>
  <c r="C3195" i="3" s="1"/>
  <c r="D3195" i="3" a="1"/>
  <c r="D3195" i="3" s="1"/>
  <c r="E3195" i="3" a="1"/>
  <c r="E3195" i="3" s="1"/>
  <c r="F3195" i="3" a="1"/>
  <c r="F3195" i="3" s="1"/>
  <c r="G3195" i="3" a="1"/>
  <c r="G3195" i="3" s="1"/>
  <c r="J3195" i="3" a="1"/>
  <c r="J3195" i="3" s="1"/>
  <c r="B3196" i="3" a="1"/>
  <c r="B3196" i="3" s="1"/>
  <c r="C3196" i="3" a="1"/>
  <c r="C3196" i="3" s="1"/>
  <c r="D3196" i="3" a="1"/>
  <c r="D3196" i="3" s="1"/>
  <c r="E3196" i="3" a="1"/>
  <c r="E3196" i="3" s="1"/>
  <c r="F3196" i="3" a="1"/>
  <c r="F3196" i="3" s="1"/>
  <c r="G3196" i="3" a="1"/>
  <c r="G3196" i="3" s="1"/>
  <c r="J3196" i="3" a="1"/>
  <c r="J3196" i="3" s="1"/>
  <c r="B3197" i="3" a="1"/>
  <c r="B3197" i="3" s="1"/>
  <c r="C3197" i="3" a="1"/>
  <c r="C3197" i="3" s="1"/>
  <c r="D3197" i="3" a="1"/>
  <c r="D3197" i="3" s="1"/>
  <c r="E3197" i="3" a="1"/>
  <c r="E3197" i="3" s="1"/>
  <c r="F3197" i="3" a="1"/>
  <c r="F3197" i="3" s="1"/>
  <c r="G3197" i="3" a="1"/>
  <c r="G3197" i="3" s="1"/>
  <c r="J3197" i="3" a="1"/>
  <c r="J3197" i="3" s="1"/>
  <c r="B3198" i="3" a="1"/>
  <c r="B3198" i="3" s="1"/>
  <c r="C3198" i="3" a="1"/>
  <c r="C3198" i="3" s="1"/>
  <c r="D3198" i="3" a="1"/>
  <c r="D3198" i="3" s="1"/>
  <c r="E3198" i="3" a="1"/>
  <c r="E3198" i="3" s="1"/>
  <c r="F3198" i="3" a="1"/>
  <c r="F3198" i="3" s="1"/>
  <c r="G3198" i="3" a="1"/>
  <c r="G3198" i="3" s="1"/>
  <c r="J3198" i="3" a="1"/>
  <c r="J3198" i="3" s="1"/>
  <c r="B3199" i="3" a="1"/>
  <c r="B3199" i="3" s="1"/>
  <c r="C3199" i="3" a="1"/>
  <c r="C3199" i="3" s="1"/>
  <c r="D3199" i="3" a="1"/>
  <c r="D3199" i="3" s="1"/>
  <c r="E3199" i="3" a="1"/>
  <c r="E3199" i="3" s="1"/>
  <c r="F3199" i="3" a="1"/>
  <c r="F3199" i="3" s="1"/>
  <c r="G3199" i="3" a="1"/>
  <c r="G3199" i="3" s="1"/>
  <c r="J3199" i="3" a="1"/>
  <c r="J3199" i="3" s="1"/>
  <c r="B3200" i="3" a="1"/>
  <c r="B3200" i="3" s="1"/>
  <c r="C3200" i="3" a="1"/>
  <c r="C3200" i="3" s="1"/>
  <c r="D3200" i="3" a="1"/>
  <c r="D3200" i="3" s="1"/>
  <c r="E3200" i="3" a="1"/>
  <c r="E3200" i="3" s="1"/>
  <c r="F3200" i="3" a="1"/>
  <c r="F3200" i="3" s="1"/>
  <c r="G3200" i="3" a="1"/>
  <c r="G3200" i="3" s="1"/>
  <c r="J3200" i="3" a="1"/>
  <c r="J3200" i="3" s="1"/>
  <c r="B3201" i="3" a="1"/>
  <c r="B3201" i="3" s="1"/>
  <c r="C3201" i="3" a="1"/>
  <c r="C3201" i="3" s="1"/>
  <c r="D3201" i="3" a="1"/>
  <c r="D3201" i="3" s="1"/>
  <c r="E3201" i="3" a="1"/>
  <c r="E3201" i="3" s="1"/>
  <c r="F3201" i="3" a="1"/>
  <c r="F3201" i="3" s="1"/>
  <c r="G3201" i="3" a="1"/>
  <c r="G3201" i="3" s="1"/>
  <c r="J3201" i="3" a="1"/>
  <c r="J3201" i="3" s="1"/>
  <c r="B3202" i="3" a="1"/>
  <c r="B3202" i="3" s="1"/>
  <c r="C3202" i="3" a="1"/>
  <c r="C3202" i="3" s="1"/>
  <c r="D3202" i="3" a="1"/>
  <c r="D3202" i="3" s="1"/>
  <c r="E3202" i="3" a="1"/>
  <c r="E3202" i="3" s="1"/>
  <c r="F3202" i="3" a="1"/>
  <c r="F3202" i="3" s="1"/>
  <c r="G3202" i="3" a="1"/>
  <c r="G3202" i="3" s="1"/>
  <c r="J3202" i="3" a="1"/>
  <c r="J3202" i="3" s="1"/>
  <c r="B3203" i="3" a="1"/>
  <c r="B3203" i="3" s="1"/>
  <c r="C3203" i="3" a="1"/>
  <c r="C3203" i="3" s="1"/>
  <c r="D3203" i="3" a="1"/>
  <c r="D3203" i="3" s="1"/>
  <c r="E3203" i="3" a="1"/>
  <c r="E3203" i="3" s="1"/>
  <c r="F3203" i="3" a="1"/>
  <c r="F3203" i="3" s="1"/>
  <c r="G3203" i="3" a="1"/>
  <c r="G3203" i="3" s="1"/>
  <c r="J3203" i="3" a="1"/>
  <c r="J3203" i="3" s="1"/>
  <c r="B3204" i="3" a="1"/>
  <c r="B3204" i="3" s="1"/>
  <c r="C3204" i="3" a="1"/>
  <c r="C3204" i="3" s="1"/>
  <c r="D3204" i="3" a="1"/>
  <c r="D3204" i="3" s="1"/>
  <c r="E3204" i="3" a="1"/>
  <c r="E3204" i="3" s="1"/>
  <c r="F3204" i="3" a="1"/>
  <c r="F3204" i="3" s="1"/>
  <c r="G3204" i="3" a="1"/>
  <c r="G3204" i="3" s="1"/>
  <c r="J3204" i="3" a="1"/>
  <c r="J3204" i="3" s="1"/>
  <c r="B3205" i="3" a="1"/>
  <c r="B3205" i="3" s="1"/>
  <c r="C3205" i="3" a="1"/>
  <c r="C3205" i="3" s="1"/>
  <c r="D3205" i="3" a="1"/>
  <c r="D3205" i="3" s="1"/>
  <c r="E3205" i="3" a="1"/>
  <c r="E3205" i="3" s="1"/>
  <c r="F3205" i="3" a="1"/>
  <c r="F3205" i="3" s="1"/>
  <c r="G3205" i="3" a="1"/>
  <c r="G3205" i="3" s="1"/>
  <c r="J3205" i="3" a="1"/>
  <c r="J3205" i="3" s="1"/>
  <c r="B3206" i="3" a="1"/>
  <c r="B3206" i="3" s="1"/>
  <c r="C3206" i="3" a="1"/>
  <c r="C3206" i="3" s="1"/>
  <c r="D3206" i="3" a="1"/>
  <c r="D3206" i="3" s="1"/>
  <c r="E3206" i="3" a="1"/>
  <c r="E3206" i="3" s="1"/>
  <c r="F3206" i="3" a="1"/>
  <c r="F3206" i="3" s="1"/>
  <c r="G3206" i="3" a="1"/>
  <c r="G3206" i="3" s="1"/>
  <c r="J3206" i="3" a="1"/>
  <c r="J3206" i="3" s="1"/>
  <c r="B3207" i="3" a="1"/>
  <c r="B3207" i="3" s="1"/>
  <c r="C3207" i="3" a="1"/>
  <c r="C3207" i="3" s="1"/>
  <c r="D3207" i="3" a="1"/>
  <c r="D3207" i="3" s="1"/>
  <c r="E3207" i="3" a="1"/>
  <c r="E3207" i="3" s="1"/>
  <c r="F3207" i="3" a="1"/>
  <c r="F3207" i="3" s="1"/>
  <c r="G3207" i="3" a="1"/>
  <c r="G3207" i="3" s="1"/>
  <c r="J3207" i="3" a="1"/>
  <c r="J3207" i="3" s="1"/>
  <c r="B3208" i="3" a="1"/>
  <c r="B3208" i="3" s="1"/>
  <c r="C3208" i="3" a="1"/>
  <c r="C3208" i="3" s="1"/>
  <c r="D3208" i="3" a="1"/>
  <c r="D3208" i="3" s="1"/>
  <c r="E3208" i="3" a="1"/>
  <c r="E3208" i="3" s="1"/>
  <c r="F3208" i="3" a="1"/>
  <c r="F3208" i="3" s="1"/>
  <c r="G3208" i="3" a="1"/>
  <c r="G3208" i="3" s="1"/>
  <c r="J3208" i="3" a="1"/>
  <c r="J3208" i="3" s="1"/>
  <c r="B3209" i="3" a="1"/>
  <c r="B3209" i="3" s="1"/>
  <c r="C3209" i="3" a="1"/>
  <c r="C3209" i="3" s="1"/>
  <c r="D3209" i="3" a="1"/>
  <c r="D3209" i="3" s="1"/>
  <c r="E3209" i="3" a="1"/>
  <c r="E3209" i="3" s="1"/>
  <c r="F3209" i="3" a="1"/>
  <c r="F3209" i="3" s="1"/>
  <c r="G3209" i="3" a="1"/>
  <c r="G3209" i="3" s="1"/>
  <c r="J3209" i="3" a="1"/>
  <c r="J3209" i="3" s="1"/>
  <c r="B3210" i="3" a="1"/>
  <c r="B3210" i="3" s="1"/>
  <c r="C3210" i="3" a="1"/>
  <c r="C3210" i="3" s="1"/>
  <c r="D3210" i="3" a="1"/>
  <c r="D3210" i="3" s="1"/>
  <c r="E3210" i="3" a="1"/>
  <c r="E3210" i="3" s="1"/>
  <c r="F3210" i="3" a="1"/>
  <c r="F3210" i="3" s="1"/>
  <c r="G3210" i="3" a="1"/>
  <c r="G3210" i="3" s="1"/>
  <c r="J3210" i="3" a="1"/>
  <c r="J3210" i="3" s="1"/>
  <c r="B3211" i="3" a="1"/>
  <c r="B3211" i="3" s="1"/>
  <c r="C3211" i="3" a="1"/>
  <c r="C3211" i="3" s="1"/>
  <c r="D3211" i="3" a="1"/>
  <c r="D3211" i="3" s="1"/>
  <c r="E3211" i="3" a="1"/>
  <c r="E3211" i="3" s="1"/>
  <c r="F3211" i="3" a="1"/>
  <c r="F3211" i="3" s="1"/>
  <c r="G3211" i="3" a="1"/>
  <c r="G3211" i="3" s="1"/>
  <c r="J3211" i="3" a="1"/>
  <c r="J3211" i="3" s="1"/>
  <c r="B3212" i="3" a="1"/>
  <c r="B3212" i="3" s="1"/>
  <c r="C3212" i="3" a="1"/>
  <c r="C3212" i="3" s="1"/>
  <c r="D3212" i="3" a="1"/>
  <c r="D3212" i="3" s="1"/>
  <c r="E3212" i="3" a="1"/>
  <c r="E3212" i="3" s="1"/>
  <c r="F3212" i="3" a="1"/>
  <c r="F3212" i="3" s="1"/>
  <c r="G3212" i="3" a="1"/>
  <c r="G3212" i="3" s="1"/>
  <c r="J3212" i="3" a="1"/>
  <c r="J3212" i="3" s="1"/>
  <c r="B3213" i="3" a="1"/>
  <c r="B3213" i="3" s="1"/>
  <c r="C3213" i="3" a="1"/>
  <c r="C3213" i="3" s="1"/>
  <c r="D3213" i="3" a="1"/>
  <c r="D3213" i="3" s="1"/>
  <c r="E3213" i="3" a="1"/>
  <c r="E3213" i="3" s="1"/>
  <c r="F3213" i="3" a="1"/>
  <c r="F3213" i="3" s="1"/>
  <c r="G3213" i="3" a="1"/>
  <c r="G3213" i="3" s="1"/>
  <c r="J3213" i="3" a="1"/>
  <c r="J3213" i="3" s="1"/>
  <c r="B3214" i="3" a="1"/>
  <c r="B3214" i="3" s="1"/>
  <c r="C3214" i="3" a="1"/>
  <c r="C3214" i="3" s="1"/>
  <c r="D3214" i="3" a="1"/>
  <c r="D3214" i="3" s="1"/>
  <c r="E3214" i="3" a="1"/>
  <c r="E3214" i="3" s="1"/>
  <c r="F3214" i="3" a="1"/>
  <c r="F3214" i="3" s="1"/>
  <c r="G3214" i="3" a="1"/>
  <c r="G3214" i="3" s="1"/>
  <c r="J3214" i="3" a="1"/>
  <c r="J3214" i="3" s="1"/>
  <c r="B3215" i="3" a="1"/>
  <c r="B3215" i="3" s="1"/>
  <c r="C3215" i="3" a="1"/>
  <c r="C3215" i="3" s="1"/>
  <c r="D3215" i="3" a="1"/>
  <c r="D3215" i="3" s="1"/>
  <c r="E3215" i="3" a="1"/>
  <c r="E3215" i="3" s="1"/>
  <c r="F3215" i="3" a="1"/>
  <c r="F3215" i="3" s="1"/>
  <c r="G3215" i="3" a="1"/>
  <c r="G3215" i="3" s="1"/>
  <c r="J3215" i="3" a="1"/>
  <c r="J3215" i="3" s="1"/>
  <c r="B3216" i="3" a="1"/>
  <c r="B3216" i="3" s="1"/>
  <c r="C3216" i="3" a="1"/>
  <c r="C3216" i="3" s="1"/>
  <c r="D3216" i="3" a="1"/>
  <c r="D3216" i="3" s="1"/>
  <c r="E3216" i="3" a="1"/>
  <c r="E3216" i="3" s="1"/>
  <c r="F3216" i="3" a="1"/>
  <c r="F3216" i="3" s="1"/>
  <c r="G3216" i="3" a="1"/>
  <c r="G3216" i="3" s="1"/>
  <c r="J3216" i="3" a="1"/>
  <c r="J3216" i="3" s="1"/>
  <c r="B3217" i="3" a="1"/>
  <c r="B3217" i="3" s="1"/>
  <c r="C3217" i="3" a="1"/>
  <c r="C3217" i="3" s="1"/>
  <c r="D3217" i="3" a="1"/>
  <c r="D3217" i="3" s="1"/>
  <c r="E3217" i="3" a="1"/>
  <c r="E3217" i="3" s="1"/>
  <c r="F3217" i="3" a="1"/>
  <c r="F3217" i="3" s="1"/>
  <c r="G3217" i="3" a="1"/>
  <c r="G3217" i="3" s="1"/>
  <c r="J3217" i="3" a="1"/>
  <c r="J3217" i="3" s="1"/>
  <c r="B3218" i="3" a="1"/>
  <c r="B3218" i="3" s="1"/>
  <c r="C3218" i="3" a="1"/>
  <c r="C3218" i="3" s="1"/>
  <c r="D3218" i="3" a="1"/>
  <c r="D3218" i="3" s="1"/>
  <c r="E3218" i="3" a="1"/>
  <c r="E3218" i="3" s="1"/>
  <c r="F3218" i="3" a="1"/>
  <c r="F3218" i="3" s="1"/>
  <c r="G3218" i="3" a="1"/>
  <c r="G3218" i="3" s="1"/>
  <c r="J3218" i="3" a="1"/>
  <c r="J3218" i="3" s="1"/>
  <c r="B3219" i="3" a="1"/>
  <c r="B3219" i="3" s="1"/>
  <c r="C3219" i="3" a="1"/>
  <c r="C3219" i="3" s="1"/>
  <c r="D3219" i="3" a="1"/>
  <c r="D3219" i="3" s="1"/>
  <c r="E3219" i="3" a="1"/>
  <c r="E3219" i="3" s="1"/>
  <c r="F3219" i="3" a="1"/>
  <c r="F3219" i="3" s="1"/>
  <c r="G3219" i="3" a="1"/>
  <c r="G3219" i="3" s="1"/>
  <c r="J3219" i="3" a="1"/>
  <c r="J3219" i="3" s="1"/>
  <c r="B3220" i="3" a="1"/>
  <c r="B3220" i="3" s="1"/>
  <c r="C3220" i="3" a="1"/>
  <c r="C3220" i="3" s="1"/>
  <c r="D3220" i="3" a="1"/>
  <c r="D3220" i="3" s="1"/>
  <c r="E3220" i="3" a="1"/>
  <c r="E3220" i="3" s="1"/>
  <c r="F3220" i="3" a="1"/>
  <c r="F3220" i="3" s="1"/>
  <c r="G3220" i="3" a="1"/>
  <c r="G3220" i="3" s="1"/>
  <c r="J3220" i="3" a="1"/>
  <c r="J3220" i="3" s="1"/>
  <c r="B3221" i="3" a="1"/>
  <c r="B3221" i="3" s="1"/>
  <c r="C3221" i="3" a="1"/>
  <c r="C3221" i="3" s="1"/>
  <c r="D3221" i="3" a="1"/>
  <c r="D3221" i="3" s="1"/>
  <c r="E3221" i="3" a="1"/>
  <c r="E3221" i="3" s="1"/>
  <c r="F3221" i="3" a="1"/>
  <c r="F3221" i="3" s="1"/>
  <c r="G3221" i="3" a="1"/>
  <c r="G3221" i="3" s="1"/>
  <c r="J3221" i="3" a="1"/>
  <c r="J3221" i="3" s="1"/>
  <c r="B3222" i="3" a="1"/>
  <c r="B3222" i="3" s="1"/>
  <c r="C3222" i="3" a="1"/>
  <c r="C3222" i="3" s="1"/>
  <c r="D3222" i="3" a="1"/>
  <c r="D3222" i="3" s="1"/>
  <c r="E3222" i="3" a="1"/>
  <c r="E3222" i="3" s="1"/>
  <c r="F3222" i="3" a="1"/>
  <c r="F3222" i="3" s="1"/>
  <c r="G3222" i="3" a="1"/>
  <c r="G3222" i="3" s="1"/>
  <c r="J3222" i="3" a="1"/>
  <c r="J3222" i="3" s="1"/>
  <c r="B3223" i="3" a="1"/>
  <c r="B3223" i="3" s="1"/>
  <c r="C3223" i="3" a="1"/>
  <c r="C3223" i="3" s="1"/>
  <c r="D3223" i="3" a="1"/>
  <c r="D3223" i="3" s="1"/>
  <c r="E3223" i="3" a="1"/>
  <c r="E3223" i="3" s="1"/>
  <c r="F3223" i="3" a="1"/>
  <c r="F3223" i="3" s="1"/>
  <c r="G3223" i="3" a="1"/>
  <c r="G3223" i="3" s="1"/>
  <c r="J3223" i="3" a="1"/>
  <c r="J3223" i="3" s="1"/>
  <c r="B3224" i="3" a="1"/>
  <c r="B3224" i="3" s="1"/>
  <c r="C3224" i="3" a="1"/>
  <c r="C3224" i="3" s="1"/>
  <c r="D3224" i="3" a="1"/>
  <c r="D3224" i="3" s="1"/>
  <c r="E3224" i="3" a="1"/>
  <c r="E3224" i="3" s="1"/>
  <c r="F3224" i="3" a="1"/>
  <c r="F3224" i="3" s="1"/>
  <c r="G3224" i="3" a="1"/>
  <c r="G3224" i="3" s="1"/>
  <c r="J3224" i="3" a="1"/>
  <c r="J3224" i="3" s="1"/>
  <c r="B3225" i="3" a="1"/>
  <c r="B3225" i="3" s="1"/>
  <c r="C3225" i="3" a="1"/>
  <c r="C3225" i="3" s="1"/>
  <c r="D3225" i="3" a="1"/>
  <c r="D3225" i="3" s="1"/>
  <c r="E3225" i="3" a="1"/>
  <c r="E3225" i="3" s="1"/>
  <c r="F3225" i="3" a="1"/>
  <c r="F3225" i="3" s="1"/>
  <c r="G3225" i="3" a="1"/>
  <c r="G3225" i="3" s="1"/>
  <c r="J3225" i="3" a="1"/>
  <c r="J3225" i="3" s="1"/>
  <c r="B3226" i="3" a="1"/>
  <c r="B3226" i="3" s="1"/>
  <c r="C3226" i="3" a="1"/>
  <c r="C3226" i="3" s="1"/>
  <c r="D3226" i="3" a="1"/>
  <c r="D3226" i="3" s="1"/>
  <c r="E3226" i="3" a="1"/>
  <c r="E3226" i="3" s="1"/>
  <c r="F3226" i="3" a="1"/>
  <c r="F3226" i="3" s="1"/>
  <c r="G3226" i="3" a="1"/>
  <c r="G3226" i="3" s="1"/>
  <c r="J3226" i="3" a="1"/>
  <c r="J3226" i="3" s="1"/>
  <c r="B3227" i="3" a="1"/>
  <c r="B3227" i="3" s="1"/>
  <c r="C3227" i="3" a="1"/>
  <c r="C3227" i="3" s="1"/>
  <c r="D3227" i="3" a="1"/>
  <c r="D3227" i="3" s="1"/>
  <c r="E3227" i="3" a="1"/>
  <c r="E3227" i="3" s="1"/>
  <c r="F3227" i="3" a="1"/>
  <c r="F3227" i="3" s="1"/>
  <c r="G3227" i="3" a="1"/>
  <c r="G3227" i="3" s="1"/>
  <c r="J3227" i="3" a="1"/>
  <c r="J3227" i="3" s="1"/>
  <c r="B3228" i="3" a="1"/>
  <c r="B3228" i="3" s="1"/>
  <c r="C3228" i="3" a="1"/>
  <c r="C3228" i="3" s="1"/>
  <c r="D3228" i="3" a="1"/>
  <c r="D3228" i="3" s="1"/>
  <c r="E3228" i="3" a="1"/>
  <c r="E3228" i="3" s="1"/>
  <c r="F3228" i="3" a="1"/>
  <c r="F3228" i="3" s="1"/>
  <c r="G3228" i="3" a="1"/>
  <c r="G3228" i="3" s="1"/>
  <c r="J3228" i="3" a="1"/>
  <c r="J3228" i="3" s="1"/>
  <c r="B3229" i="3" a="1"/>
  <c r="B3229" i="3" s="1"/>
  <c r="C3229" i="3" a="1"/>
  <c r="C3229" i="3" s="1"/>
  <c r="D3229" i="3" a="1"/>
  <c r="D3229" i="3" s="1"/>
  <c r="E3229" i="3" a="1"/>
  <c r="E3229" i="3" s="1"/>
  <c r="F3229" i="3" a="1"/>
  <c r="F3229" i="3" s="1"/>
  <c r="G3229" i="3" a="1"/>
  <c r="G3229" i="3" s="1"/>
  <c r="J3229" i="3" a="1"/>
  <c r="J3229" i="3" s="1"/>
  <c r="B3230" i="3" a="1"/>
  <c r="B3230" i="3" s="1"/>
  <c r="C3230" i="3" a="1"/>
  <c r="C3230" i="3" s="1"/>
  <c r="D3230" i="3" a="1"/>
  <c r="D3230" i="3" s="1"/>
  <c r="E3230" i="3" a="1"/>
  <c r="E3230" i="3" s="1"/>
  <c r="F3230" i="3" a="1"/>
  <c r="F3230" i="3" s="1"/>
  <c r="G3230" i="3" a="1"/>
  <c r="G3230" i="3" s="1"/>
  <c r="J3230" i="3" a="1"/>
  <c r="J3230" i="3" s="1"/>
  <c r="B3231" i="3" a="1"/>
  <c r="B3231" i="3" s="1"/>
  <c r="C3231" i="3" a="1"/>
  <c r="C3231" i="3" s="1"/>
  <c r="D3231" i="3" a="1"/>
  <c r="D3231" i="3" s="1"/>
  <c r="E3231" i="3" a="1"/>
  <c r="E3231" i="3" s="1"/>
  <c r="F3231" i="3" a="1"/>
  <c r="F3231" i="3" s="1"/>
  <c r="G3231" i="3" a="1"/>
  <c r="G3231" i="3" s="1"/>
  <c r="J3231" i="3" a="1"/>
  <c r="J3231" i="3" s="1"/>
  <c r="B3232" i="3" a="1"/>
  <c r="B3232" i="3" s="1"/>
  <c r="C3232" i="3" a="1"/>
  <c r="C3232" i="3" s="1"/>
  <c r="D3232" i="3" a="1"/>
  <c r="D3232" i="3" s="1"/>
  <c r="E3232" i="3" a="1"/>
  <c r="E3232" i="3" s="1"/>
  <c r="F3232" i="3" a="1"/>
  <c r="F3232" i="3" s="1"/>
  <c r="G3232" i="3" a="1"/>
  <c r="G3232" i="3" s="1"/>
  <c r="J3232" i="3" a="1"/>
  <c r="J3232" i="3" s="1"/>
  <c r="B3233" i="3" a="1"/>
  <c r="B3233" i="3" s="1"/>
  <c r="C3233" i="3" a="1"/>
  <c r="C3233" i="3" s="1"/>
  <c r="D3233" i="3" a="1"/>
  <c r="D3233" i="3" s="1"/>
  <c r="E3233" i="3" a="1"/>
  <c r="E3233" i="3" s="1"/>
  <c r="F3233" i="3" a="1"/>
  <c r="F3233" i="3" s="1"/>
  <c r="G3233" i="3" a="1"/>
  <c r="G3233" i="3" s="1"/>
  <c r="J3233" i="3" a="1"/>
  <c r="J3233" i="3" s="1"/>
  <c r="B3234" i="3" a="1"/>
  <c r="B3234" i="3" s="1"/>
  <c r="C3234" i="3" a="1"/>
  <c r="C3234" i="3" s="1"/>
  <c r="D3234" i="3" a="1"/>
  <c r="D3234" i="3" s="1"/>
  <c r="E3234" i="3" a="1"/>
  <c r="E3234" i="3" s="1"/>
  <c r="F3234" i="3" a="1"/>
  <c r="F3234" i="3" s="1"/>
  <c r="G3234" i="3" a="1"/>
  <c r="G3234" i="3" s="1"/>
  <c r="J3234" i="3" a="1"/>
  <c r="J3234" i="3" s="1"/>
  <c r="B3235" i="3" a="1"/>
  <c r="B3235" i="3" s="1"/>
  <c r="C3235" i="3" a="1"/>
  <c r="C3235" i="3" s="1"/>
  <c r="D3235" i="3" a="1"/>
  <c r="D3235" i="3" s="1"/>
  <c r="E3235" i="3" a="1"/>
  <c r="E3235" i="3" s="1"/>
  <c r="F3235" i="3" a="1"/>
  <c r="F3235" i="3" s="1"/>
  <c r="G3235" i="3" a="1"/>
  <c r="G3235" i="3" s="1"/>
  <c r="J3235" i="3" a="1"/>
  <c r="J3235" i="3" s="1"/>
  <c r="B3236" i="3" a="1"/>
  <c r="B3236" i="3" s="1"/>
  <c r="C3236" i="3" a="1"/>
  <c r="C3236" i="3" s="1"/>
  <c r="D3236" i="3" a="1"/>
  <c r="D3236" i="3" s="1"/>
  <c r="E3236" i="3" a="1"/>
  <c r="E3236" i="3" s="1"/>
  <c r="F3236" i="3" a="1"/>
  <c r="F3236" i="3" s="1"/>
  <c r="G3236" i="3" a="1"/>
  <c r="G3236" i="3" s="1"/>
  <c r="J3236" i="3" a="1"/>
  <c r="J3236" i="3" s="1"/>
  <c r="B3237" i="3" a="1"/>
  <c r="B3237" i="3" s="1"/>
  <c r="C3237" i="3" a="1"/>
  <c r="C3237" i="3" s="1"/>
  <c r="D3237" i="3" a="1"/>
  <c r="D3237" i="3" s="1"/>
  <c r="E3237" i="3" a="1"/>
  <c r="E3237" i="3" s="1"/>
  <c r="F3237" i="3" a="1"/>
  <c r="F3237" i="3" s="1"/>
  <c r="G3237" i="3" a="1"/>
  <c r="G3237" i="3" s="1"/>
  <c r="J3237" i="3" a="1"/>
  <c r="J3237" i="3" s="1"/>
  <c r="B3238" i="3" a="1"/>
  <c r="B3238" i="3" s="1"/>
  <c r="C3238" i="3" a="1"/>
  <c r="C3238" i="3" s="1"/>
  <c r="D3238" i="3" a="1"/>
  <c r="D3238" i="3" s="1"/>
  <c r="E3238" i="3" a="1"/>
  <c r="E3238" i="3" s="1"/>
  <c r="F3238" i="3" a="1"/>
  <c r="F3238" i="3" s="1"/>
  <c r="G3238" i="3" a="1"/>
  <c r="G3238" i="3" s="1"/>
  <c r="J3238" i="3" a="1"/>
  <c r="J3238" i="3" s="1"/>
  <c r="B3239" i="3" a="1"/>
  <c r="B3239" i="3" s="1"/>
  <c r="C3239" i="3" a="1"/>
  <c r="C3239" i="3" s="1"/>
  <c r="D3239" i="3" a="1"/>
  <c r="D3239" i="3" s="1"/>
  <c r="E3239" i="3" a="1"/>
  <c r="E3239" i="3" s="1"/>
  <c r="F3239" i="3" a="1"/>
  <c r="F3239" i="3" s="1"/>
  <c r="G3239" i="3" a="1"/>
  <c r="G3239" i="3" s="1"/>
  <c r="J3239" i="3" a="1"/>
  <c r="J3239" i="3" s="1"/>
  <c r="B3240" i="3" a="1"/>
  <c r="B3240" i="3" s="1"/>
  <c r="C3240" i="3" a="1"/>
  <c r="C3240" i="3" s="1"/>
  <c r="D3240" i="3" a="1"/>
  <c r="D3240" i="3" s="1"/>
  <c r="E3240" i="3" a="1"/>
  <c r="E3240" i="3" s="1"/>
  <c r="F3240" i="3" a="1"/>
  <c r="F3240" i="3" s="1"/>
  <c r="G3240" i="3" a="1"/>
  <c r="G3240" i="3" s="1"/>
  <c r="J3240" i="3" a="1"/>
  <c r="J3240" i="3" s="1"/>
  <c r="B3241" i="3" a="1"/>
  <c r="B3241" i="3" s="1"/>
  <c r="C3241" i="3" a="1"/>
  <c r="C3241" i="3" s="1"/>
  <c r="D3241" i="3" a="1"/>
  <c r="D3241" i="3" s="1"/>
  <c r="E3241" i="3" a="1"/>
  <c r="E3241" i="3" s="1"/>
  <c r="F3241" i="3" a="1"/>
  <c r="F3241" i="3" s="1"/>
  <c r="G3241" i="3" a="1"/>
  <c r="G3241" i="3" s="1"/>
  <c r="J3241" i="3" a="1"/>
  <c r="J3241" i="3" s="1"/>
  <c r="B3242" i="3" a="1"/>
  <c r="B3242" i="3" s="1"/>
  <c r="C3242" i="3" a="1"/>
  <c r="C3242" i="3" s="1"/>
  <c r="D3242" i="3" a="1"/>
  <c r="D3242" i="3" s="1"/>
  <c r="E3242" i="3" a="1"/>
  <c r="E3242" i="3" s="1"/>
  <c r="F3242" i="3" a="1"/>
  <c r="F3242" i="3" s="1"/>
  <c r="G3242" i="3" a="1"/>
  <c r="G3242" i="3" s="1"/>
  <c r="J3242" i="3" a="1"/>
  <c r="J3242" i="3" s="1"/>
  <c r="B3243" i="3" a="1"/>
  <c r="B3243" i="3" s="1"/>
  <c r="C3243" i="3" a="1"/>
  <c r="C3243" i="3" s="1"/>
  <c r="D3243" i="3" a="1"/>
  <c r="D3243" i="3" s="1"/>
  <c r="E3243" i="3" a="1"/>
  <c r="E3243" i="3" s="1"/>
  <c r="F3243" i="3" a="1"/>
  <c r="F3243" i="3" s="1"/>
  <c r="G3243" i="3" a="1"/>
  <c r="G3243" i="3" s="1"/>
  <c r="J3243" i="3" a="1"/>
  <c r="J3243" i="3" s="1"/>
  <c r="B3244" i="3" a="1"/>
  <c r="B3244" i="3" s="1"/>
  <c r="C3244" i="3" a="1"/>
  <c r="C3244" i="3" s="1"/>
  <c r="D3244" i="3" a="1"/>
  <c r="D3244" i="3" s="1"/>
  <c r="E3244" i="3" a="1"/>
  <c r="E3244" i="3" s="1"/>
  <c r="F3244" i="3" a="1"/>
  <c r="F3244" i="3" s="1"/>
  <c r="G3244" i="3" a="1"/>
  <c r="G3244" i="3" s="1"/>
  <c r="J3244" i="3" a="1"/>
  <c r="J3244" i="3" s="1"/>
  <c r="B3245" i="3" a="1"/>
  <c r="B3245" i="3" s="1"/>
  <c r="C3245" i="3" a="1"/>
  <c r="C3245" i="3" s="1"/>
  <c r="D3245" i="3" a="1"/>
  <c r="D3245" i="3" s="1"/>
  <c r="E3245" i="3" a="1"/>
  <c r="E3245" i="3" s="1"/>
  <c r="F3245" i="3" a="1"/>
  <c r="F3245" i="3" s="1"/>
  <c r="G3245" i="3" a="1"/>
  <c r="G3245" i="3" s="1"/>
  <c r="J3245" i="3" a="1"/>
  <c r="J3245" i="3" s="1"/>
  <c r="B3246" i="3" a="1"/>
  <c r="B3246" i="3" s="1"/>
  <c r="C3246" i="3" a="1"/>
  <c r="C3246" i="3" s="1"/>
  <c r="D3246" i="3" a="1"/>
  <c r="D3246" i="3" s="1"/>
  <c r="E3246" i="3" a="1"/>
  <c r="E3246" i="3" s="1"/>
  <c r="F3246" i="3" a="1"/>
  <c r="F3246" i="3" s="1"/>
  <c r="G3246" i="3" a="1"/>
  <c r="G3246" i="3" s="1"/>
  <c r="J3246" i="3" a="1"/>
  <c r="J3246" i="3" s="1"/>
  <c r="B3247" i="3" a="1"/>
  <c r="B3247" i="3" s="1"/>
  <c r="C3247" i="3" a="1"/>
  <c r="C3247" i="3" s="1"/>
  <c r="D3247" i="3" a="1"/>
  <c r="D3247" i="3" s="1"/>
  <c r="E3247" i="3" a="1"/>
  <c r="E3247" i="3" s="1"/>
  <c r="F3247" i="3" a="1"/>
  <c r="F3247" i="3" s="1"/>
  <c r="G3247" i="3" a="1"/>
  <c r="G3247" i="3" s="1"/>
  <c r="J3247" i="3" a="1"/>
  <c r="J3247" i="3" s="1"/>
  <c r="B3248" i="3" a="1"/>
  <c r="B3248" i="3" s="1"/>
  <c r="C3248" i="3" a="1"/>
  <c r="C3248" i="3" s="1"/>
  <c r="D3248" i="3" a="1"/>
  <c r="D3248" i="3" s="1"/>
  <c r="E3248" i="3" a="1"/>
  <c r="E3248" i="3" s="1"/>
  <c r="F3248" i="3" a="1"/>
  <c r="F3248" i="3" s="1"/>
  <c r="G3248" i="3" a="1"/>
  <c r="G3248" i="3" s="1"/>
  <c r="J3248" i="3" a="1"/>
  <c r="J3248" i="3" s="1"/>
  <c r="B3249" i="3" a="1"/>
  <c r="B3249" i="3" s="1"/>
  <c r="C3249" i="3" a="1"/>
  <c r="C3249" i="3" s="1"/>
  <c r="D3249" i="3" a="1"/>
  <c r="D3249" i="3" s="1"/>
  <c r="E3249" i="3" a="1"/>
  <c r="E3249" i="3" s="1"/>
  <c r="F3249" i="3" a="1"/>
  <c r="F3249" i="3" s="1"/>
  <c r="G3249" i="3" a="1"/>
  <c r="G3249" i="3" s="1"/>
  <c r="J3249" i="3" a="1"/>
  <c r="J3249" i="3" s="1"/>
  <c r="B3250" i="3" a="1"/>
  <c r="B3250" i="3" s="1"/>
  <c r="C3250" i="3" a="1"/>
  <c r="C3250" i="3" s="1"/>
  <c r="D3250" i="3" a="1"/>
  <c r="D3250" i="3" s="1"/>
  <c r="E3250" i="3" a="1"/>
  <c r="E3250" i="3" s="1"/>
  <c r="F3250" i="3" a="1"/>
  <c r="F3250" i="3" s="1"/>
  <c r="G3250" i="3" a="1"/>
  <c r="G3250" i="3" s="1"/>
  <c r="J3250" i="3" a="1"/>
  <c r="J3250" i="3" s="1"/>
  <c r="B3251" i="3" a="1"/>
  <c r="B3251" i="3" s="1"/>
  <c r="C3251" i="3" a="1"/>
  <c r="C3251" i="3" s="1"/>
  <c r="D3251" i="3" a="1"/>
  <c r="D3251" i="3" s="1"/>
  <c r="E3251" i="3" a="1"/>
  <c r="E3251" i="3" s="1"/>
  <c r="F3251" i="3" a="1"/>
  <c r="F3251" i="3" s="1"/>
  <c r="G3251" i="3" a="1"/>
  <c r="G3251" i="3" s="1"/>
  <c r="J3251" i="3" a="1"/>
  <c r="J3251" i="3" s="1"/>
  <c r="B3252" i="3" a="1"/>
  <c r="B3252" i="3" s="1"/>
  <c r="C3252" i="3" a="1"/>
  <c r="C3252" i="3" s="1"/>
  <c r="D3252" i="3" a="1"/>
  <c r="D3252" i="3" s="1"/>
  <c r="E3252" i="3" a="1"/>
  <c r="E3252" i="3" s="1"/>
  <c r="F3252" i="3" a="1"/>
  <c r="F3252" i="3" s="1"/>
  <c r="G3252" i="3" a="1"/>
  <c r="G3252" i="3" s="1"/>
  <c r="J3252" i="3" a="1"/>
  <c r="J3252" i="3" s="1"/>
  <c r="B3253" i="3" a="1"/>
  <c r="B3253" i="3" s="1"/>
  <c r="C3253" i="3" a="1"/>
  <c r="C3253" i="3" s="1"/>
  <c r="D3253" i="3" a="1"/>
  <c r="D3253" i="3" s="1"/>
  <c r="E3253" i="3" a="1"/>
  <c r="E3253" i="3" s="1"/>
  <c r="F3253" i="3" a="1"/>
  <c r="F3253" i="3" s="1"/>
  <c r="G3253" i="3" a="1"/>
  <c r="G3253" i="3" s="1"/>
  <c r="J3253" i="3" a="1"/>
  <c r="J3253" i="3" s="1"/>
  <c r="B3254" i="3" a="1"/>
  <c r="B3254" i="3" s="1"/>
  <c r="C3254" i="3" a="1"/>
  <c r="C3254" i="3" s="1"/>
  <c r="D3254" i="3" a="1"/>
  <c r="D3254" i="3" s="1"/>
  <c r="E3254" i="3" a="1"/>
  <c r="E3254" i="3" s="1"/>
  <c r="F3254" i="3" a="1"/>
  <c r="F3254" i="3" s="1"/>
  <c r="G3254" i="3" a="1"/>
  <c r="G3254" i="3" s="1"/>
  <c r="J3254" i="3" a="1"/>
  <c r="J3254" i="3" s="1"/>
  <c r="B3255" i="3" a="1"/>
  <c r="B3255" i="3" s="1"/>
  <c r="C3255" i="3" a="1"/>
  <c r="C3255" i="3" s="1"/>
  <c r="D3255" i="3" a="1"/>
  <c r="D3255" i="3" s="1"/>
  <c r="E3255" i="3" a="1"/>
  <c r="E3255" i="3" s="1"/>
  <c r="F3255" i="3" a="1"/>
  <c r="F3255" i="3" s="1"/>
  <c r="G3255" i="3" a="1"/>
  <c r="G3255" i="3" s="1"/>
  <c r="J3255" i="3" a="1"/>
  <c r="J3255" i="3" s="1"/>
  <c r="B3256" i="3" a="1"/>
  <c r="B3256" i="3" s="1"/>
  <c r="C3256" i="3" a="1"/>
  <c r="C3256" i="3" s="1"/>
  <c r="D3256" i="3" a="1"/>
  <c r="D3256" i="3" s="1"/>
  <c r="E3256" i="3" a="1"/>
  <c r="E3256" i="3" s="1"/>
  <c r="F3256" i="3" a="1"/>
  <c r="F3256" i="3" s="1"/>
  <c r="G3256" i="3" a="1"/>
  <c r="G3256" i="3" s="1"/>
  <c r="J3256" i="3" a="1"/>
  <c r="J3256" i="3" s="1"/>
  <c r="B3257" i="3" a="1"/>
  <c r="B3257" i="3" s="1"/>
  <c r="C3257" i="3" a="1"/>
  <c r="C3257" i="3" s="1"/>
  <c r="D3257" i="3" a="1"/>
  <c r="D3257" i="3" s="1"/>
  <c r="E3257" i="3" a="1"/>
  <c r="E3257" i="3" s="1"/>
  <c r="F3257" i="3" a="1"/>
  <c r="F3257" i="3" s="1"/>
  <c r="G3257" i="3" a="1"/>
  <c r="G3257" i="3" s="1"/>
  <c r="J3257" i="3" a="1"/>
  <c r="J3257" i="3" s="1"/>
  <c r="B3258" i="3" a="1"/>
  <c r="B3258" i="3" s="1"/>
  <c r="C3258" i="3" a="1"/>
  <c r="C3258" i="3" s="1"/>
  <c r="D3258" i="3" a="1"/>
  <c r="D3258" i="3" s="1"/>
  <c r="E3258" i="3" a="1"/>
  <c r="E3258" i="3" s="1"/>
  <c r="F3258" i="3" a="1"/>
  <c r="F3258" i="3" s="1"/>
  <c r="G3258" i="3" a="1"/>
  <c r="G3258" i="3" s="1"/>
  <c r="J3258" i="3" a="1"/>
  <c r="J3258" i="3" s="1"/>
  <c r="B3259" i="3" a="1"/>
  <c r="B3259" i="3" s="1"/>
  <c r="C3259" i="3" a="1"/>
  <c r="C3259" i="3" s="1"/>
  <c r="D3259" i="3" a="1"/>
  <c r="D3259" i="3" s="1"/>
  <c r="E3259" i="3" a="1"/>
  <c r="E3259" i="3" s="1"/>
  <c r="F3259" i="3" a="1"/>
  <c r="F3259" i="3" s="1"/>
  <c r="G3259" i="3" a="1"/>
  <c r="G3259" i="3" s="1"/>
  <c r="J3259" i="3" a="1"/>
  <c r="J3259" i="3" s="1"/>
  <c r="B3260" i="3" a="1"/>
  <c r="B3260" i="3" s="1"/>
  <c r="C3260" i="3" a="1"/>
  <c r="C3260" i="3" s="1"/>
  <c r="D3260" i="3" a="1"/>
  <c r="D3260" i="3" s="1"/>
  <c r="E3260" i="3" a="1"/>
  <c r="E3260" i="3" s="1"/>
  <c r="F3260" i="3" a="1"/>
  <c r="F3260" i="3" s="1"/>
  <c r="G3260" i="3" a="1"/>
  <c r="G3260" i="3" s="1"/>
  <c r="J3260" i="3" a="1"/>
  <c r="J3260" i="3" s="1"/>
  <c r="B3261" i="3" a="1"/>
  <c r="B3261" i="3" s="1"/>
  <c r="C3261" i="3" a="1"/>
  <c r="C3261" i="3" s="1"/>
  <c r="D3261" i="3" a="1"/>
  <c r="D3261" i="3" s="1"/>
  <c r="E3261" i="3" a="1"/>
  <c r="E3261" i="3" s="1"/>
  <c r="F3261" i="3" a="1"/>
  <c r="F3261" i="3" s="1"/>
  <c r="G3261" i="3" a="1"/>
  <c r="G3261" i="3" s="1"/>
  <c r="J3261" i="3" a="1"/>
  <c r="J3261" i="3" s="1"/>
  <c r="B3262" i="3" a="1"/>
  <c r="B3262" i="3" s="1"/>
  <c r="C3262" i="3" a="1"/>
  <c r="C3262" i="3" s="1"/>
  <c r="D3262" i="3" a="1"/>
  <c r="D3262" i="3" s="1"/>
  <c r="E3262" i="3" a="1"/>
  <c r="E3262" i="3" s="1"/>
  <c r="F3262" i="3" a="1"/>
  <c r="F3262" i="3" s="1"/>
  <c r="G3262" i="3" a="1"/>
  <c r="G3262" i="3" s="1"/>
  <c r="J3262" i="3" a="1"/>
  <c r="J3262" i="3" s="1"/>
  <c r="B3263" i="3" a="1"/>
  <c r="B3263" i="3" s="1"/>
  <c r="C3263" i="3" a="1"/>
  <c r="C3263" i="3" s="1"/>
  <c r="D3263" i="3" a="1"/>
  <c r="D3263" i="3" s="1"/>
  <c r="E3263" i="3" a="1"/>
  <c r="E3263" i="3" s="1"/>
  <c r="F3263" i="3" a="1"/>
  <c r="F3263" i="3" s="1"/>
  <c r="G3263" i="3" a="1"/>
  <c r="G3263" i="3" s="1"/>
  <c r="J3263" i="3" a="1"/>
  <c r="J3263" i="3" s="1"/>
  <c r="B3264" i="3" a="1"/>
  <c r="B3264" i="3" s="1"/>
  <c r="C3264" i="3" a="1"/>
  <c r="C3264" i="3" s="1"/>
  <c r="D3264" i="3" a="1"/>
  <c r="D3264" i="3" s="1"/>
  <c r="E3264" i="3" a="1"/>
  <c r="E3264" i="3" s="1"/>
  <c r="F3264" i="3" a="1"/>
  <c r="F3264" i="3" s="1"/>
  <c r="G3264" i="3" a="1"/>
  <c r="G3264" i="3" s="1"/>
  <c r="J3264" i="3" a="1"/>
  <c r="J3264" i="3" s="1"/>
  <c r="B3265" i="3" a="1"/>
  <c r="B3265" i="3" s="1"/>
  <c r="C3265" i="3" a="1"/>
  <c r="C3265" i="3" s="1"/>
  <c r="D3265" i="3" a="1"/>
  <c r="D3265" i="3" s="1"/>
  <c r="E3265" i="3" a="1"/>
  <c r="E3265" i="3" s="1"/>
  <c r="F3265" i="3" a="1"/>
  <c r="F3265" i="3" s="1"/>
  <c r="G3265" i="3" a="1"/>
  <c r="G3265" i="3" s="1"/>
  <c r="J3265" i="3" a="1"/>
  <c r="J3265" i="3" s="1"/>
  <c r="B3266" i="3" a="1"/>
  <c r="B3266" i="3" s="1"/>
  <c r="C3266" i="3" a="1"/>
  <c r="C3266" i="3" s="1"/>
  <c r="D3266" i="3" a="1"/>
  <c r="D3266" i="3" s="1"/>
  <c r="E3266" i="3" a="1"/>
  <c r="E3266" i="3" s="1"/>
  <c r="F3266" i="3" a="1"/>
  <c r="F3266" i="3" s="1"/>
  <c r="G3266" i="3" a="1"/>
  <c r="G3266" i="3" s="1"/>
  <c r="J3266" i="3" a="1"/>
  <c r="J3266" i="3" s="1"/>
  <c r="B3267" i="3" a="1"/>
  <c r="B3267" i="3" s="1"/>
  <c r="C3267" i="3" a="1"/>
  <c r="C3267" i="3" s="1"/>
  <c r="D3267" i="3" a="1"/>
  <c r="D3267" i="3" s="1"/>
  <c r="E3267" i="3" a="1"/>
  <c r="E3267" i="3" s="1"/>
  <c r="F3267" i="3" a="1"/>
  <c r="F3267" i="3" s="1"/>
  <c r="G3267" i="3" a="1"/>
  <c r="G3267" i="3" s="1"/>
  <c r="J3267" i="3" a="1"/>
  <c r="J3267" i="3" s="1"/>
  <c r="B3268" i="3" a="1"/>
  <c r="B3268" i="3" s="1"/>
  <c r="C3268" i="3" a="1"/>
  <c r="C3268" i="3" s="1"/>
  <c r="D3268" i="3" a="1"/>
  <c r="D3268" i="3" s="1"/>
  <c r="E3268" i="3" a="1"/>
  <c r="E3268" i="3" s="1"/>
  <c r="F3268" i="3" a="1"/>
  <c r="F3268" i="3" s="1"/>
  <c r="G3268" i="3" a="1"/>
  <c r="G3268" i="3" s="1"/>
  <c r="J3268" i="3" a="1"/>
  <c r="J3268" i="3" s="1"/>
  <c r="B3269" i="3" a="1"/>
  <c r="B3269" i="3" s="1"/>
  <c r="C3269" i="3" a="1"/>
  <c r="C3269" i="3" s="1"/>
  <c r="D3269" i="3" a="1"/>
  <c r="D3269" i="3" s="1"/>
  <c r="E3269" i="3" a="1"/>
  <c r="E3269" i="3" s="1"/>
  <c r="F3269" i="3" a="1"/>
  <c r="F3269" i="3" s="1"/>
  <c r="G3269" i="3" a="1"/>
  <c r="G3269" i="3" s="1"/>
  <c r="J3269" i="3" a="1"/>
  <c r="J3269" i="3" s="1"/>
  <c r="B3270" i="3" a="1"/>
  <c r="B3270" i="3" s="1"/>
  <c r="C3270" i="3" a="1"/>
  <c r="C3270" i="3" s="1"/>
  <c r="D3270" i="3" a="1"/>
  <c r="D3270" i="3" s="1"/>
  <c r="E3270" i="3" a="1"/>
  <c r="E3270" i="3" s="1"/>
  <c r="F3270" i="3" a="1"/>
  <c r="F3270" i="3" s="1"/>
  <c r="G3270" i="3" a="1"/>
  <c r="G3270" i="3" s="1"/>
  <c r="J3270" i="3" a="1"/>
  <c r="J3270" i="3" s="1"/>
  <c r="B3271" i="3" a="1"/>
  <c r="B3271" i="3" s="1"/>
  <c r="C3271" i="3" a="1"/>
  <c r="C3271" i="3" s="1"/>
  <c r="D3271" i="3" a="1"/>
  <c r="D3271" i="3" s="1"/>
  <c r="E3271" i="3" a="1"/>
  <c r="E3271" i="3" s="1"/>
  <c r="F3271" i="3" a="1"/>
  <c r="F3271" i="3" s="1"/>
  <c r="G3271" i="3" a="1"/>
  <c r="G3271" i="3" s="1"/>
  <c r="J3271" i="3" a="1"/>
  <c r="J3271" i="3" s="1"/>
  <c r="B3272" i="3" a="1"/>
  <c r="B3272" i="3" s="1"/>
  <c r="C3272" i="3" a="1"/>
  <c r="C3272" i="3" s="1"/>
  <c r="D3272" i="3" a="1"/>
  <c r="D3272" i="3" s="1"/>
  <c r="E3272" i="3" a="1"/>
  <c r="E3272" i="3" s="1"/>
  <c r="F3272" i="3" a="1"/>
  <c r="F3272" i="3" s="1"/>
  <c r="G3272" i="3" a="1"/>
  <c r="G3272" i="3" s="1"/>
  <c r="J3272" i="3" a="1"/>
  <c r="J3272" i="3" s="1"/>
  <c r="B3273" i="3" a="1"/>
  <c r="B3273" i="3" s="1"/>
  <c r="C3273" i="3" a="1"/>
  <c r="C3273" i="3" s="1"/>
  <c r="D3273" i="3" a="1"/>
  <c r="D3273" i="3" s="1"/>
  <c r="E3273" i="3" a="1"/>
  <c r="E3273" i="3" s="1"/>
  <c r="F3273" i="3" a="1"/>
  <c r="F3273" i="3" s="1"/>
  <c r="G3273" i="3" a="1"/>
  <c r="G3273" i="3" s="1"/>
  <c r="J3273" i="3" a="1"/>
  <c r="J3273" i="3" s="1"/>
  <c r="B3274" i="3" a="1"/>
  <c r="B3274" i="3" s="1"/>
  <c r="C3274" i="3" a="1"/>
  <c r="C3274" i="3" s="1"/>
  <c r="D3274" i="3" a="1"/>
  <c r="D3274" i="3" s="1"/>
  <c r="E3274" i="3" a="1"/>
  <c r="E3274" i="3" s="1"/>
  <c r="F3274" i="3" a="1"/>
  <c r="F3274" i="3" s="1"/>
  <c r="G3274" i="3" a="1"/>
  <c r="G3274" i="3" s="1"/>
  <c r="J3274" i="3" a="1"/>
  <c r="J3274" i="3" s="1"/>
  <c r="B3275" i="3" a="1"/>
  <c r="B3275" i="3" s="1"/>
  <c r="C3275" i="3" a="1"/>
  <c r="C3275" i="3" s="1"/>
  <c r="D3275" i="3" a="1"/>
  <c r="D3275" i="3" s="1"/>
  <c r="E3275" i="3" a="1"/>
  <c r="E3275" i="3" s="1"/>
  <c r="F3275" i="3" a="1"/>
  <c r="F3275" i="3" s="1"/>
  <c r="G3275" i="3" a="1"/>
  <c r="G3275" i="3" s="1"/>
  <c r="J3275" i="3" a="1"/>
  <c r="J3275" i="3" s="1"/>
  <c r="B3276" i="3" a="1"/>
  <c r="B3276" i="3" s="1"/>
  <c r="C3276" i="3" a="1"/>
  <c r="C3276" i="3" s="1"/>
  <c r="D3276" i="3" a="1"/>
  <c r="D3276" i="3" s="1"/>
  <c r="E3276" i="3" a="1"/>
  <c r="E3276" i="3" s="1"/>
  <c r="F3276" i="3" a="1"/>
  <c r="F3276" i="3" s="1"/>
  <c r="G3276" i="3" a="1"/>
  <c r="G3276" i="3" s="1"/>
  <c r="J3276" i="3" a="1"/>
  <c r="J3276" i="3" s="1"/>
  <c r="B3277" i="3" a="1"/>
  <c r="B3277" i="3" s="1"/>
  <c r="C3277" i="3" a="1"/>
  <c r="C3277" i="3" s="1"/>
  <c r="D3277" i="3" a="1"/>
  <c r="D3277" i="3" s="1"/>
  <c r="E3277" i="3" a="1"/>
  <c r="E3277" i="3" s="1"/>
  <c r="F3277" i="3" a="1"/>
  <c r="F3277" i="3" s="1"/>
  <c r="G3277" i="3" a="1"/>
  <c r="G3277" i="3" s="1"/>
  <c r="J3277" i="3" a="1"/>
  <c r="J3277" i="3" s="1"/>
  <c r="B3278" i="3" a="1"/>
  <c r="B3278" i="3" s="1"/>
  <c r="C3278" i="3" a="1"/>
  <c r="C3278" i="3" s="1"/>
  <c r="D3278" i="3" a="1"/>
  <c r="D3278" i="3" s="1"/>
  <c r="E3278" i="3" a="1"/>
  <c r="E3278" i="3" s="1"/>
  <c r="F3278" i="3" a="1"/>
  <c r="F3278" i="3" s="1"/>
  <c r="G3278" i="3" a="1"/>
  <c r="G3278" i="3" s="1"/>
  <c r="J3278" i="3" a="1"/>
  <c r="J3278" i="3" s="1"/>
  <c r="B3279" i="3" a="1"/>
  <c r="B3279" i="3" s="1"/>
  <c r="C3279" i="3" a="1"/>
  <c r="C3279" i="3" s="1"/>
  <c r="D3279" i="3" a="1"/>
  <c r="D3279" i="3" s="1"/>
  <c r="E3279" i="3" a="1"/>
  <c r="E3279" i="3" s="1"/>
  <c r="F3279" i="3" a="1"/>
  <c r="F3279" i="3" s="1"/>
  <c r="G3279" i="3" a="1"/>
  <c r="G3279" i="3" s="1"/>
  <c r="J3279" i="3" a="1"/>
  <c r="J3279" i="3" s="1"/>
  <c r="B3280" i="3" a="1"/>
  <c r="B3280" i="3" s="1"/>
  <c r="C3280" i="3" a="1"/>
  <c r="C3280" i="3" s="1"/>
  <c r="D3280" i="3" a="1"/>
  <c r="D3280" i="3" s="1"/>
  <c r="E3280" i="3" a="1"/>
  <c r="E3280" i="3" s="1"/>
  <c r="F3280" i="3" a="1"/>
  <c r="F3280" i="3" s="1"/>
  <c r="G3280" i="3" a="1"/>
  <c r="G3280" i="3" s="1"/>
  <c r="J3280" i="3" a="1"/>
  <c r="J3280" i="3" s="1"/>
  <c r="B3281" i="3" a="1"/>
  <c r="B3281" i="3" s="1"/>
  <c r="C3281" i="3" a="1"/>
  <c r="C3281" i="3" s="1"/>
  <c r="D3281" i="3" a="1"/>
  <c r="D3281" i="3" s="1"/>
  <c r="E3281" i="3" a="1"/>
  <c r="E3281" i="3" s="1"/>
  <c r="F3281" i="3" a="1"/>
  <c r="F3281" i="3" s="1"/>
  <c r="G3281" i="3" a="1"/>
  <c r="G3281" i="3" s="1"/>
  <c r="J3281" i="3" a="1"/>
  <c r="J3281" i="3" s="1"/>
  <c r="B3282" i="3" a="1"/>
  <c r="B3282" i="3" s="1"/>
  <c r="C3282" i="3" a="1"/>
  <c r="C3282" i="3" s="1"/>
  <c r="D3282" i="3" a="1"/>
  <c r="D3282" i="3" s="1"/>
  <c r="E3282" i="3" a="1"/>
  <c r="E3282" i="3" s="1"/>
  <c r="F3282" i="3" a="1"/>
  <c r="F3282" i="3" s="1"/>
  <c r="G3282" i="3" a="1"/>
  <c r="G3282" i="3" s="1"/>
  <c r="J3282" i="3" a="1"/>
  <c r="J3282" i="3" s="1"/>
  <c r="B3283" i="3" a="1"/>
  <c r="B3283" i="3" s="1"/>
  <c r="C3283" i="3" a="1"/>
  <c r="C3283" i="3" s="1"/>
  <c r="D3283" i="3" a="1"/>
  <c r="D3283" i="3" s="1"/>
  <c r="E3283" i="3" a="1"/>
  <c r="E3283" i="3" s="1"/>
  <c r="F3283" i="3" a="1"/>
  <c r="F3283" i="3" s="1"/>
  <c r="G3283" i="3" a="1"/>
  <c r="G3283" i="3" s="1"/>
  <c r="J3283" i="3" a="1"/>
  <c r="J3283" i="3" s="1"/>
  <c r="B3284" i="3" a="1"/>
  <c r="B3284" i="3" s="1"/>
  <c r="C3284" i="3" a="1"/>
  <c r="C3284" i="3" s="1"/>
  <c r="D3284" i="3" a="1"/>
  <c r="D3284" i="3" s="1"/>
  <c r="E3284" i="3" a="1"/>
  <c r="E3284" i="3" s="1"/>
  <c r="F3284" i="3" a="1"/>
  <c r="F3284" i="3" s="1"/>
  <c r="G3284" i="3" a="1"/>
  <c r="G3284" i="3" s="1"/>
  <c r="J3284" i="3" a="1"/>
  <c r="J3284" i="3" s="1"/>
  <c r="B3285" i="3" a="1"/>
  <c r="B3285" i="3" s="1"/>
  <c r="C3285" i="3" a="1"/>
  <c r="C3285" i="3" s="1"/>
  <c r="D3285" i="3" a="1"/>
  <c r="D3285" i="3" s="1"/>
  <c r="E3285" i="3" a="1"/>
  <c r="E3285" i="3" s="1"/>
  <c r="F3285" i="3" a="1"/>
  <c r="F3285" i="3" s="1"/>
  <c r="G3285" i="3" a="1"/>
  <c r="G3285" i="3" s="1"/>
  <c r="J3285" i="3" a="1"/>
  <c r="J3285" i="3" s="1"/>
  <c r="B3286" i="3" a="1"/>
  <c r="B3286" i="3" s="1"/>
  <c r="C3286" i="3" a="1"/>
  <c r="C3286" i="3" s="1"/>
  <c r="D3286" i="3" a="1"/>
  <c r="D3286" i="3" s="1"/>
  <c r="E3286" i="3" a="1"/>
  <c r="E3286" i="3" s="1"/>
  <c r="F3286" i="3" a="1"/>
  <c r="F3286" i="3" s="1"/>
  <c r="G3286" i="3" a="1"/>
  <c r="G3286" i="3" s="1"/>
  <c r="J3286" i="3" a="1"/>
  <c r="J3286" i="3" s="1"/>
  <c r="B3287" i="3" a="1"/>
  <c r="B3287" i="3" s="1"/>
  <c r="C3287" i="3" a="1"/>
  <c r="C3287" i="3" s="1"/>
  <c r="D3287" i="3" a="1"/>
  <c r="D3287" i="3" s="1"/>
  <c r="E3287" i="3" a="1"/>
  <c r="E3287" i="3" s="1"/>
  <c r="F3287" i="3" a="1"/>
  <c r="F3287" i="3" s="1"/>
  <c r="G3287" i="3" a="1"/>
  <c r="G3287" i="3" s="1"/>
  <c r="J3287" i="3" a="1"/>
  <c r="J3287" i="3" s="1"/>
  <c r="B3288" i="3" a="1"/>
  <c r="B3288" i="3" s="1"/>
  <c r="C3288" i="3" a="1"/>
  <c r="C3288" i="3" s="1"/>
  <c r="D3288" i="3" a="1"/>
  <c r="D3288" i="3" s="1"/>
  <c r="E3288" i="3" a="1"/>
  <c r="E3288" i="3" s="1"/>
  <c r="F3288" i="3" a="1"/>
  <c r="F3288" i="3" s="1"/>
  <c r="G3288" i="3" a="1"/>
  <c r="G3288" i="3" s="1"/>
  <c r="J3288" i="3" a="1"/>
  <c r="J3288" i="3" s="1"/>
  <c r="B3289" i="3" a="1"/>
  <c r="B3289" i="3" s="1"/>
  <c r="C3289" i="3" a="1"/>
  <c r="C3289" i="3" s="1"/>
  <c r="D3289" i="3" a="1"/>
  <c r="D3289" i="3" s="1"/>
  <c r="E3289" i="3" a="1"/>
  <c r="E3289" i="3" s="1"/>
  <c r="F3289" i="3" a="1"/>
  <c r="F3289" i="3" s="1"/>
  <c r="G3289" i="3" a="1"/>
  <c r="G3289" i="3" s="1"/>
  <c r="J3289" i="3" a="1"/>
  <c r="J3289" i="3" s="1"/>
  <c r="B3290" i="3" a="1"/>
  <c r="B3290" i="3" s="1"/>
  <c r="C3290" i="3" a="1"/>
  <c r="C3290" i="3" s="1"/>
  <c r="D3290" i="3" a="1"/>
  <c r="D3290" i="3" s="1"/>
  <c r="E3290" i="3" a="1"/>
  <c r="E3290" i="3" s="1"/>
  <c r="F3290" i="3" a="1"/>
  <c r="F3290" i="3" s="1"/>
  <c r="G3290" i="3" a="1"/>
  <c r="G3290" i="3" s="1"/>
  <c r="J3290" i="3" a="1"/>
  <c r="J3290" i="3" s="1"/>
  <c r="B3291" i="3" a="1"/>
  <c r="B3291" i="3" s="1"/>
  <c r="C3291" i="3" a="1"/>
  <c r="C3291" i="3" s="1"/>
  <c r="D3291" i="3" a="1"/>
  <c r="D3291" i="3" s="1"/>
  <c r="E3291" i="3" a="1"/>
  <c r="E3291" i="3" s="1"/>
  <c r="F3291" i="3" a="1"/>
  <c r="F3291" i="3" s="1"/>
  <c r="G3291" i="3" a="1"/>
  <c r="G3291" i="3" s="1"/>
  <c r="J3291" i="3" a="1"/>
  <c r="J3291" i="3" s="1"/>
  <c r="B3292" i="3" a="1"/>
  <c r="B3292" i="3" s="1"/>
  <c r="C3292" i="3" a="1"/>
  <c r="C3292" i="3" s="1"/>
  <c r="D3292" i="3" a="1"/>
  <c r="D3292" i="3" s="1"/>
  <c r="E3292" i="3" a="1"/>
  <c r="E3292" i="3" s="1"/>
  <c r="F3292" i="3" a="1"/>
  <c r="F3292" i="3" s="1"/>
  <c r="G3292" i="3" a="1"/>
  <c r="G3292" i="3" s="1"/>
  <c r="J3292" i="3" a="1"/>
  <c r="J3292" i="3" s="1"/>
  <c r="B3293" i="3" a="1"/>
  <c r="B3293" i="3" s="1"/>
  <c r="C3293" i="3" a="1"/>
  <c r="C3293" i="3" s="1"/>
  <c r="D3293" i="3" a="1"/>
  <c r="D3293" i="3" s="1"/>
  <c r="E3293" i="3" a="1"/>
  <c r="E3293" i="3" s="1"/>
  <c r="F3293" i="3" a="1"/>
  <c r="F3293" i="3" s="1"/>
  <c r="G3293" i="3" a="1"/>
  <c r="G3293" i="3" s="1"/>
  <c r="J3293" i="3" a="1"/>
  <c r="J3293" i="3" s="1"/>
  <c r="B3294" i="3" a="1"/>
  <c r="B3294" i="3" s="1"/>
  <c r="C3294" i="3" a="1"/>
  <c r="C3294" i="3" s="1"/>
  <c r="D3294" i="3" a="1"/>
  <c r="D3294" i="3" s="1"/>
  <c r="E3294" i="3" a="1"/>
  <c r="E3294" i="3" s="1"/>
  <c r="F3294" i="3" a="1"/>
  <c r="F3294" i="3" s="1"/>
  <c r="G3294" i="3" a="1"/>
  <c r="G3294" i="3" s="1"/>
  <c r="J3294" i="3" a="1"/>
  <c r="J3294" i="3" s="1"/>
  <c r="B3295" i="3" a="1"/>
  <c r="B3295" i="3" s="1"/>
  <c r="C3295" i="3" a="1"/>
  <c r="C3295" i="3" s="1"/>
  <c r="D3295" i="3" a="1"/>
  <c r="D3295" i="3" s="1"/>
  <c r="E3295" i="3" a="1"/>
  <c r="E3295" i="3" s="1"/>
  <c r="F3295" i="3" a="1"/>
  <c r="F3295" i="3" s="1"/>
  <c r="G3295" i="3" a="1"/>
  <c r="G3295" i="3" s="1"/>
  <c r="J3295" i="3" a="1"/>
  <c r="J3295" i="3" s="1"/>
  <c r="B3296" i="3" a="1"/>
  <c r="B3296" i="3" s="1"/>
  <c r="C3296" i="3" a="1"/>
  <c r="C3296" i="3" s="1"/>
  <c r="D3296" i="3" a="1"/>
  <c r="D3296" i="3" s="1"/>
  <c r="E3296" i="3" a="1"/>
  <c r="E3296" i="3" s="1"/>
  <c r="F3296" i="3" a="1"/>
  <c r="F3296" i="3" s="1"/>
  <c r="G3296" i="3" a="1"/>
  <c r="G3296" i="3" s="1"/>
  <c r="J3296" i="3" a="1"/>
  <c r="J3296" i="3" s="1"/>
  <c r="B3297" i="3" a="1"/>
  <c r="B3297" i="3" s="1"/>
  <c r="C3297" i="3" a="1"/>
  <c r="C3297" i="3" s="1"/>
  <c r="D3297" i="3" a="1"/>
  <c r="D3297" i="3" s="1"/>
  <c r="E3297" i="3" a="1"/>
  <c r="E3297" i="3" s="1"/>
  <c r="F3297" i="3" a="1"/>
  <c r="F3297" i="3" s="1"/>
  <c r="G3297" i="3" a="1"/>
  <c r="G3297" i="3" s="1"/>
  <c r="J3297" i="3" a="1"/>
  <c r="J3297" i="3" s="1"/>
  <c r="B3298" i="3" a="1"/>
  <c r="B3298" i="3" s="1"/>
  <c r="C3298" i="3" a="1"/>
  <c r="C3298" i="3" s="1"/>
  <c r="D3298" i="3" a="1"/>
  <c r="D3298" i="3" s="1"/>
  <c r="E3298" i="3" a="1"/>
  <c r="E3298" i="3" s="1"/>
  <c r="F3298" i="3" a="1"/>
  <c r="F3298" i="3" s="1"/>
  <c r="G3298" i="3" a="1"/>
  <c r="G3298" i="3" s="1"/>
  <c r="J3298" i="3" a="1"/>
  <c r="J3298" i="3" s="1"/>
  <c r="B3299" i="3" a="1"/>
  <c r="B3299" i="3" s="1"/>
  <c r="C3299" i="3" a="1"/>
  <c r="C3299" i="3" s="1"/>
  <c r="D3299" i="3" a="1"/>
  <c r="D3299" i="3" s="1"/>
  <c r="E3299" i="3" a="1"/>
  <c r="E3299" i="3" s="1"/>
  <c r="F3299" i="3" a="1"/>
  <c r="F3299" i="3" s="1"/>
  <c r="G3299" i="3" a="1"/>
  <c r="G3299" i="3" s="1"/>
  <c r="J3299" i="3" a="1"/>
  <c r="J3299" i="3" s="1"/>
  <c r="B3300" i="3" a="1"/>
  <c r="B3300" i="3" s="1"/>
  <c r="C3300" i="3" a="1"/>
  <c r="C3300" i="3" s="1"/>
  <c r="D3300" i="3" a="1"/>
  <c r="D3300" i="3" s="1"/>
  <c r="E3300" i="3" a="1"/>
  <c r="E3300" i="3" s="1"/>
  <c r="F3300" i="3" a="1"/>
  <c r="F3300" i="3" s="1"/>
  <c r="G3300" i="3" a="1"/>
  <c r="G3300" i="3" s="1"/>
  <c r="J3300" i="3" a="1"/>
  <c r="J3300" i="3" s="1"/>
  <c r="B3301" i="3" a="1"/>
  <c r="B3301" i="3" s="1"/>
  <c r="C3301" i="3" a="1"/>
  <c r="C3301" i="3" s="1"/>
  <c r="D3301" i="3" a="1"/>
  <c r="D3301" i="3" s="1"/>
  <c r="E3301" i="3" a="1"/>
  <c r="E3301" i="3" s="1"/>
  <c r="F3301" i="3" a="1"/>
  <c r="F3301" i="3" s="1"/>
  <c r="G3301" i="3" a="1"/>
  <c r="G3301" i="3" s="1"/>
  <c r="J3301" i="3" a="1"/>
  <c r="J3301" i="3" s="1"/>
  <c r="B3302" i="3" a="1"/>
  <c r="B3302" i="3" s="1"/>
  <c r="C3302" i="3" a="1"/>
  <c r="C3302" i="3" s="1"/>
  <c r="D3302" i="3" a="1"/>
  <c r="D3302" i="3" s="1"/>
  <c r="E3302" i="3" a="1"/>
  <c r="E3302" i="3" s="1"/>
  <c r="F3302" i="3" a="1"/>
  <c r="F3302" i="3" s="1"/>
  <c r="G3302" i="3" a="1"/>
  <c r="G3302" i="3" s="1"/>
  <c r="J3302" i="3" a="1"/>
  <c r="J3302" i="3" s="1"/>
  <c r="B3303" i="3" a="1"/>
  <c r="B3303" i="3" s="1"/>
  <c r="C3303" i="3" a="1"/>
  <c r="C3303" i="3" s="1"/>
  <c r="D3303" i="3" a="1"/>
  <c r="D3303" i="3" s="1"/>
  <c r="E3303" i="3" a="1"/>
  <c r="E3303" i="3" s="1"/>
  <c r="F3303" i="3" a="1"/>
  <c r="F3303" i="3" s="1"/>
  <c r="G3303" i="3" a="1"/>
  <c r="G3303" i="3" s="1"/>
  <c r="J3303" i="3" a="1"/>
  <c r="J3303" i="3" s="1"/>
  <c r="B3304" i="3" a="1"/>
  <c r="B3304" i="3" s="1"/>
  <c r="C3304" i="3" a="1"/>
  <c r="C3304" i="3" s="1"/>
  <c r="D3304" i="3" a="1"/>
  <c r="D3304" i="3" s="1"/>
  <c r="E3304" i="3" a="1"/>
  <c r="E3304" i="3" s="1"/>
  <c r="F3304" i="3" a="1"/>
  <c r="F3304" i="3" s="1"/>
  <c r="G3304" i="3" a="1"/>
  <c r="G3304" i="3" s="1"/>
  <c r="J3304" i="3" a="1"/>
  <c r="J3304" i="3" s="1"/>
  <c r="B3305" i="3" a="1"/>
  <c r="B3305" i="3" s="1"/>
  <c r="C3305" i="3" a="1"/>
  <c r="C3305" i="3" s="1"/>
  <c r="D3305" i="3" a="1"/>
  <c r="D3305" i="3" s="1"/>
  <c r="E3305" i="3" a="1"/>
  <c r="E3305" i="3" s="1"/>
  <c r="F3305" i="3" a="1"/>
  <c r="F3305" i="3" s="1"/>
  <c r="G3305" i="3" a="1"/>
  <c r="G3305" i="3" s="1"/>
  <c r="J3305" i="3" a="1"/>
  <c r="J3305" i="3" s="1"/>
  <c r="B3306" i="3" a="1"/>
  <c r="B3306" i="3" s="1"/>
  <c r="C3306" i="3" a="1"/>
  <c r="C3306" i="3" s="1"/>
  <c r="D3306" i="3" a="1"/>
  <c r="D3306" i="3" s="1"/>
  <c r="E3306" i="3" a="1"/>
  <c r="E3306" i="3" s="1"/>
  <c r="F3306" i="3" a="1"/>
  <c r="F3306" i="3" s="1"/>
  <c r="G3306" i="3" a="1"/>
  <c r="G3306" i="3" s="1"/>
  <c r="J3306" i="3" a="1"/>
  <c r="J3306" i="3" s="1"/>
  <c r="B3307" i="3" a="1"/>
  <c r="B3307" i="3" s="1"/>
  <c r="C3307" i="3" a="1"/>
  <c r="C3307" i="3" s="1"/>
  <c r="D3307" i="3" a="1"/>
  <c r="D3307" i="3" s="1"/>
  <c r="E3307" i="3" a="1"/>
  <c r="E3307" i="3" s="1"/>
  <c r="F3307" i="3" a="1"/>
  <c r="F3307" i="3" s="1"/>
  <c r="G3307" i="3" a="1"/>
  <c r="G3307" i="3" s="1"/>
  <c r="J3307" i="3" a="1"/>
  <c r="J3307" i="3" s="1"/>
  <c r="B3308" i="3" a="1"/>
  <c r="B3308" i="3" s="1"/>
  <c r="C3308" i="3" a="1"/>
  <c r="C3308" i="3" s="1"/>
  <c r="D3308" i="3" a="1"/>
  <c r="D3308" i="3" s="1"/>
  <c r="E3308" i="3" a="1"/>
  <c r="E3308" i="3" s="1"/>
  <c r="F3308" i="3" a="1"/>
  <c r="F3308" i="3" s="1"/>
  <c r="G3308" i="3" a="1"/>
  <c r="G3308" i="3" s="1"/>
  <c r="J3308" i="3" a="1"/>
  <c r="J3308" i="3" s="1"/>
  <c r="B3309" i="3" a="1"/>
  <c r="B3309" i="3" s="1"/>
  <c r="C3309" i="3" a="1"/>
  <c r="C3309" i="3" s="1"/>
  <c r="D3309" i="3" a="1"/>
  <c r="D3309" i="3" s="1"/>
  <c r="E3309" i="3" a="1"/>
  <c r="E3309" i="3" s="1"/>
  <c r="F3309" i="3" a="1"/>
  <c r="F3309" i="3" s="1"/>
  <c r="G3309" i="3" a="1"/>
  <c r="G3309" i="3" s="1"/>
  <c r="J3309" i="3" a="1"/>
  <c r="J3309" i="3" s="1"/>
  <c r="B3310" i="3" a="1"/>
  <c r="B3310" i="3" s="1"/>
  <c r="C3310" i="3" a="1"/>
  <c r="C3310" i="3" s="1"/>
  <c r="D3310" i="3" a="1"/>
  <c r="D3310" i="3" s="1"/>
  <c r="E3310" i="3" a="1"/>
  <c r="E3310" i="3" s="1"/>
  <c r="F3310" i="3" a="1"/>
  <c r="F3310" i="3" s="1"/>
  <c r="G3310" i="3" a="1"/>
  <c r="G3310" i="3" s="1"/>
  <c r="J3310" i="3" a="1"/>
  <c r="J3310" i="3" s="1"/>
  <c r="B3311" i="3" a="1"/>
  <c r="B3311" i="3" s="1"/>
  <c r="C3311" i="3" a="1"/>
  <c r="C3311" i="3" s="1"/>
  <c r="D3311" i="3" a="1"/>
  <c r="D3311" i="3" s="1"/>
  <c r="E3311" i="3" a="1"/>
  <c r="E3311" i="3" s="1"/>
  <c r="F3311" i="3" a="1"/>
  <c r="F3311" i="3" s="1"/>
  <c r="G3311" i="3" a="1"/>
  <c r="G3311" i="3" s="1"/>
  <c r="J3311" i="3" a="1"/>
  <c r="J3311" i="3" s="1"/>
  <c r="B3312" i="3" a="1"/>
  <c r="B3312" i="3" s="1"/>
  <c r="C3312" i="3" a="1"/>
  <c r="C3312" i="3" s="1"/>
  <c r="D3312" i="3" a="1"/>
  <c r="D3312" i="3" s="1"/>
  <c r="E3312" i="3" a="1"/>
  <c r="E3312" i="3" s="1"/>
  <c r="F3312" i="3" a="1"/>
  <c r="F3312" i="3" s="1"/>
  <c r="G3312" i="3" a="1"/>
  <c r="G3312" i="3" s="1"/>
  <c r="J3312" i="3" a="1"/>
  <c r="J3312" i="3" s="1"/>
  <c r="B3313" i="3" a="1"/>
  <c r="B3313" i="3" s="1"/>
  <c r="C3313" i="3" a="1"/>
  <c r="C3313" i="3" s="1"/>
  <c r="D3313" i="3" a="1"/>
  <c r="D3313" i="3" s="1"/>
  <c r="E3313" i="3" a="1"/>
  <c r="E3313" i="3" s="1"/>
  <c r="F3313" i="3" a="1"/>
  <c r="F3313" i="3" s="1"/>
  <c r="G3313" i="3" a="1"/>
  <c r="G3313" i="3" s="1"/>
  <c r="J3313" i="3" a="1"/>
  <c r="J3313" i="3" s="1"/>
  <c r="B3314" i="3" a="1"/>
  <c r="B3314" i="3" s="1"/>
  <c r="C3314" i="3" a="1"/>
  <c r="C3314" i="3" s="1"/>
  <c r="D3314" i="3" a="1"/>
  <c r="D3314" i="3" s="1"/>
  <c r="E3314" i="3" a="1"/>
  <c r="E3314" i="3" s="1"/>
  <c r="F3314" i="3" a="1"/>
  <c r="F3314" i="3" s="1"/>
  <c r="G3314" i="3" a="1"/>
  <c r="G3314" i="3" s="1"/>
  <c r="J3314" i="3" a="1"/>
  <c r="J3314" i="3" s="1"/>
  <c r="B3315" i="3" a="1"/>
  <c r="B3315" i="3" s="1"/>
  <c r="C3315" i="3" a="1"/>
  <c r="C3315" i="3" s="1"/>
  <c r="D3315" i="3" a="1"/>
  <c r="D3315" i="3" s="1"/>
  <c r="E3315" i="3" a="1"/>
  <c r="E3315" i="3" s="1"/>
  <c r="F3315" i="3" a="1"/>
  <c r="F3315" i="3" s="1"/>
  <c r="G3315" i="3" a="1"/>
  <c r="G3315" i="3" s="1"/>
  <c r="J3315" i="3" a="1"/>
  <c r="J3315" i="3" s="1"/>
  <c r="B3316" i="3" a="1"/>
  <c r="B3316" i="3" s="1"/>
  <c r="C3316" i="3" a="1"/>
  <c r="C3316" i="3" s="1"/>
  <c r="D3316" i="3" a="1"/>
  <c r="D3316" i="3" s="1"/>
  <c r="E3316" i="3" a="1"/>
  <c r="E3316" i="3" s="1"/>
  <c r="F3316" i="3" a="1"/>
  <c r="F3316" i="3" s="1"/>
  <c r="G3316" i="3" a="1"/>
  <c r="G3316" i="3" s="1"/>
  <c r="J3316" i="3" a="1"/>
  <c r="J3316" i="3" s="1"/>
  <c r="B3317" i="3" a="1"/>
  <c r="B3317" i="3" s="1"/>
  <c r="C3317" i="3" a="1"/>
  <c r="C3317" i="3" s="1"/>
  <c r="D3317" i="3" a="1"/>
  <c r="D3317" i="3" s="1"/>
  <c r="E3317" i="3" a="1"/>
  <c r="E3317" i="3" s="1"/>
  <c r="F3317" i="3" a="1"/>
  <c r="F3317" i="3" s="1"/>
  <c r="G3317" i="3" a="1"/>
  <c r="G3317" i="3" s="1"/>
  <c r="J3317" i="3" a="1"/>
  <c r="J3317" i="3" s="1"/>
  <c r="B3318" i="3" a="1"/>
  <c r="B3318" i="3" s="1"/>
  <c r="C3318" i="3" a="1"/>
  <c r="C3318" i="3" s="1"/>
  <c r="D3318" i="3" a="1"/>
  <c r="D3318" i="3" s="1"/>
  <c r="E3318" i="3" a="1"/>
  <c r="E3318" i="3" s="1"/>
  <c r="F3318" i="3" a="1"/>
  <c r="F3318" i="3" s="1"/>
  <c r="G3318" i="3" a="1"/>
  <c r="G3318" i="3" s="1"/>
  <c r="J3318" i="3" a="1"/>
  <c r="J3318" i="3" s="1"/>
  <c r="B3319" i="3" a="1"/>
  <c r="B3319" i="3" s="1"/>
  <c r="C3319" i="3" a="1"/>
  <c r="C3319" i="3" s="1"/>
  <c r="D3319" i="3" a="1"/>
  <c r="D3319" i="3" s="1"/>
  <c r="E3319" i="3" a="1"/>
  <c r="E3319" i="3" s="1"/>
  <c r="F3319" i="3" a="1"/>
  <c r="F3319" i="3" s="1"/>
  <c r="G3319" i="3" a="1"/>
  <c r="G3319" i="3" s="1"/>
  <c r="J3319" i="3" a="1"/>
  <c r="J3319" i="3" s="1"/>
  <c r="B3320" i="3" a="1"/>
  <c r="B3320" i="3" s="1"/>
  <c r="C3320" i="3" a="1"/>
  <c r="C3320" i="3" s="1"/>
  <c r="D3320" i="3" a="1"/>
  <c r="D3320" i="3" s="1"/>
  <c r="E3320" i="3" a="1"/>
  <c r="E3320" i="3" s="1"/>
  <c r="F3320" i="3" a="1"/>
  <c r="F3320" i="3" s="1"/>
  <c r="G3320" i="3" a="1"/>
  <c r="G3320" i="3" s="1"/>
  <c r="J3320" i="3" a="1"/>
  <c r="J3320" i="3" s="1"/>
  <c r="B3321" i="3" a="1"/>
  <c r="B3321" i="3" s="1"/>
  <c r="C3321" i="3" a="1"/>
  <c r="C3321" i="3" s="1"/>
  <c r="D3321" i="3" a="1"/>
  <c r="D3321" i="3" s="1"/>
  <c r="E3321" i="3" a="1"/>
  <c r="E3321" i="3" s="1"/>
  <c r="F3321" i="3" a="1"/>
  <c r="F3321" i="3" s="1"/>
  <c r="G3321" i="3" a="1"/>
  <c r="G3321" i="3" s="1"/>
  <c r="J3321" i="3" a="1"/>
  <c r="J3321" i="3" s="1"/>
  <c r="B3322" i="3" a="1"/>
  <c r="B3322" i="3" s="1"/>
  <c r="C3322" i="3" a="1"/>
  <c r="C3322" i="3" s="1"/>
  <c r="D3322" i="3" a="1"/>
  <c r="D3322" i="3" s="1"/>
  <c r="E3322" i="3" a="1"/>
  <c r="E3322" i="3" s="1"/>
  <c r="F3322" i="3" a="1"/>
  <c r="F3322" i="3" s="1"/>
  <c r="G3322" i="3" a="1"/>
  <c r="G3322" i="3" s="1"/>
  <c r="J3322" i="3" a="1"/>
  <c r="J3322" i="3" s="1"/>
  <c r="B3323" i="3" a="1"/>
  <c r="B3323" i="3" s="1"/>
  <c r="C3323" i="3" a="1"/>
  <c r="C3323" i="3" s="1"/>
  <c r="D3323" i="3" a="1"/>
  <c r="D3323" i="3" s="1"/>
  <c r="E3323" i="3" a="1"/>
  <c r="E3323" i="3" s="1"/>
  <c r="F3323" i="3" a="1"/>
  <c r="F3323" i="3" s="1"/>
  <c r="G3323" i="3" a="1"/>
  <c r="G3323" i="3" s="1"/>
  <c r="J3323" i="3" a="1"/>
  <c r="J3323" i="3" s="1"/>
  <c r="B3324" i="3" a="1"/>
  <c r="B3324" i="3" s="1"/>
  <c r="C3324" i="3" a="1"/>
  <c r="C3324" i="3" s="1"/>
  <c r="D3324" i="3" a="1"/>
  <c r="D3324" i="3" s="1"/>
  <c r="E3324" i="3" a="1"/>
  <c r="E3324" i="3" s="1"/>
  <c r="F3324" i="3" a="1"/>
  <c r="F3324" i="3" s="1"/>
  <c r="G3324" i="3" a="1"/>
  <c r="G3324" i="3" s="1"/>
  <c r="J3324" i="3" a="1"/>
  <c r="J3324" i="3" s="1"/>
  <c r="B3325" i="3" a="1"/>
  <c r="B3325" i="3" s="1"/>
  <c r="C3325" i="3" a="1"/>
  <c r="C3325" i="3" s="1"/>
  <c r="D3325" i="3" a="1"/>
  <c r="D3325" i="3" s="1"/>
  <c r="E3325" i="3" a="1"/>
  <c r="E3325" i="3" s="1"/>
  <c r="F3325" i="3" a="1"/>
  <c r="F3325" i="3" s="1"/>
  <c r="G3325" i="3" a="1"/>
  <c r="G3325" i="3" s="1"/>
  <c r="J3325" i="3" a="1"/>
  <c r="J3325" i="3" s="1"/>
  <c r="B3326" i="3" a="1"/>
  <c r="B3326" i="3" s="1"/>
  <c r="C3326" i="3" a="1"/>
  <c r="C3326" i="3" s="1"/>
  <c r="D3326" i="3" a="1"/>
  <c r="D3326" i="3" s="1"/>
  <c r="E3326" i="3" a="1"/>
  <c r="E3326" i="3" s="1"/>
  <c r="F3326" i="3" a="1"/>
  <c r="F3326" i="3" s="1"/>
  <c r="G3326" i="3" a="1"/>
  <c r="G3326" i="3" s="1"/>
  <c r="J3326" i="3" a="1"/>
  <c r="J3326" i="3" s="1"/>
  <c r="B3327" i="3" a="1"/>
  <c r="B3327" i="3" s="1"/>
  <c r="C3327" i="3" a="1"/>
  <c r="C3327" i="3" s="1"/>
  <c r="D3327" i="3" a="1"/>
  <c r="D3327" i="3" s="1"/>
  <c r="E3327" i="3" a="1"/>
  <c r="E3327" i="3" s="1"/>
  <c r="F3327" i="3" a="1"/>
  <c r="F3327" i="3" s="1"/>
  <c r="G3327" i="3" a="1"/>
  <c r="G3327" i="3" s="1"/>
  <c r="J3327" i="3" a="1"/>
  <c r="J3327" i="3" s="1"/>
  <c r="B3328" i="3" a="1"/>
  <c r="B3328" i="3" s="1"/>
  <c r="C3328" i="3" a="1"/>
  <c r="C3328" i="3" s="1"/>
  <c r="D3328" i="3" a="1"/>
  <c r="D3328" i="3" s="1"/>
  <c r="E3328" i="3" a="1"/>
  <c r="E3328" i="3" s="1"/>
  <c r="F3328" i="3" a="1"/>
  <c r="F3328" i="3" s="1"/>
  <c r="G3328" i="3" a="1"/>
  <c r="G3328" i="3" s="1"/>
  <c r="J3328" i="3" a="1"/>
  <c r="J3328" i="3" s="1"/>
  <c r="B3329" i="3" a="1"/>
  <c r="B3329" i="3" s="1"/>
  <c r="C3329" i="3" a="1"/>
  <c r="C3329" i="3" s="1"/>
  <c r="D3329" i="3" a="1"/>
  <c r="D3329" i="3" s="1"/>
  <c r="E3329" i="3" a="1"/>
  <c r="E3329" i="3" s="1"/>
  <c r="F3329" i="3" a="1"/>
  <c r="F3329" i="3" s="1"/>
  <c r="G3329" i="3" a="1"/>
  <c r="G3329" i="3" s="1"/>
  <c r="J3329" i="3" a="1"/>
  <c r="J3329" i="3" s="1"/>
  <c r="B3330" i="3" a="1"/>
  <c r="B3330" i="3" s="1"/>
  <c r="C3330" i="3" a="1"/>
  <c r="C3330" i="3" s="1"/>
  <c r="D3330" i="3" a="1"/>
  <c r="D3330" i="3" s="1"/>
  <c r="E3330" i="3" a="1"/>
  <c r="E3330" i="3" s="1"/>
  <c r="F3330" i="3" a="1"/>
  <c r="F3330" i="3" s="1"/>
  <c r="G3330" i="3" a="1"/>
  <c r="G3330" i="3" s="1"/>
  <c r="J3330" i="3" a="1"/>
  <c r="J3330" i="3" s="1"/>
  <c r="B3331" i="3" a="1"/>
  <c r="B3331" i="3" s="1"/>
  <c r="C3331" i="3" a="1"/>
  <c r="C3331" i="3" s="1"/>
  <c r="D3331" i="3" a="1"/>
  <c r="D3331" i="3" s="1"/>
  <c r="E3331" i="3" a="1"/>
  <c r="E3331" i="3" s="1"/>
  <c r="F3331" i="3" a="1"/>
  <c r="F3331" i="3" s="1"/>
  <c r="G3331" i="3" a="1"/>
  <c r="G3331" i="3" s="1"/>
  <c r="J3331" i="3" a="1"/>
  <c r="J3331" i="3" s="1"/>
  <c r="B3332" i="3" a="1"/>
  <c r="B3332" i="3" s="1"/>
  <c r="C3332" i="3" a="1"/>
  <c r="C3332" i="3" s="1"/>
  <c r="D3332" i="3" a="1"/>
  <c r="D3332" i="3" s="1"/>
  <c r="E3332" i="3" a="1"/>
  <c r="E3332" i="3" s="1"/>
  <c r="F3332" i="3" a="1"/>
  <c r="F3332" i="3" s="1"/>
  <c r="G3332" i="3" a="1"/>
  <c r="G3332" i="3" s="1"/>
  <c r="J3332" i="3" a="1"/>
  <c r="J3332" i="3" s="1"/>
  <c r="B3333" i="3" a="1"/>
  <c r="B3333" i="3" s="1"/>
  <c r="C3333" i="3" a="1"/>
  <c r="C3333" i="3" s="1"/>
  <c r="D3333" i="3" a="1"/>
  <c r="D3333" i="3" s="1"/>
  <c r="E3333" i="3" a="1"/>
  <c r="E3333" i="3" s="1"/>
  <c r="F3333" i="3" a="1"/>
  <c r="F3333" i="3" s="1"/>
  <c r="G3333" i="3" a="1"/>
  <c r="G3333" i="3" s="1"/>
  <c r="J3333" i="3" a="1"/>
  <c r="J3333" i="3" s="1"/>
  <c r="B3334" i="3" a="1"/>
  <c r="B3334" i="3" s="1"/>
  <c r="C3334" i="3" a="1"/>
  <c r="C3334" i="3" s="1"/>
  <c r="D3334" i="3" a="1"/>
  <c r="D3334" i="3" s="1"/>
  <c r="E3334" i="3" a="1"/>
  <c r="E3334" i="3" s="1"/>
  <c r="F3334" i="3" a="1"/>
  <c r="F3334" i="3" s="1"/>
  <c r="G3334" i="3" a="1"/>
  <c r="G3334" i="3" s="1"/>
  <c r="J3334" i="3" a="1"/>
  <c r="J3334" i="3" s="1"/>
  <c r="B3335" i="3" a="1"/>
  <c r="B3335" i="3" s="1"/>
  <c r="C3335" i="3" a="1"/>
  <c r="C3335" i="3" s="1"/>
  <c r="D3335" i="3" a="1"/>
  <c r="D3335" i="3" s="1"/>
  <c r="E3335" i="3" a="1"/>
  <c r="E3335" i="3" s="1"/>
  <c r="F3335" i="3" a="1"/>
  <c r="F3335" i="3" s="1"/>
  <c r="G3335" i="3" a="1"/>
  <c r="G3335" i="3" s="1"/>
  <c r="J3335" i="3" a="1"/>
  <c r="J3335" i="3" s="1"/>
  <c r="B3336" i="3" a="1"/>
  <c r="B3336" i="3" s="1"/>
  <c r="C3336" i="3" a="1"/>
  <c r="C3336" i="3" s="1"/>
  <c r="D3336" i="3" a="1"/>
  <c r="D3336" i="3" s="1"/>
  <c r="E3336" i="3" a="1"/>
  <c r="E3336" i="3" s="1"/>
  <c r="F3336" i="3" a="1"/>
  <c r="F3336" i="3" s="1"/>
  <c r="G3336" i="3" a="1"/>
  <c r="G3336" i="3" s="1"/>
  <c r="J3336" i="3" a="1"/>
  <c r="J3336" i="3" s="1"/>
  <c r="B3337" i="3" a="1"/>
  <c r="B3337" i="3" s="1"/>
  <c r="C3337" i="3" a="1"/>
  <c r="C3337" i="3" s="1"/>
  <c r="D3337" i="3" a="1"/>
  <c r="D3337" i="3" s="1"/>
  <c r="E3337" i="3" a="1"/>
  <c r="E3337" i="3" s="1"/>
  <c r="F3337" i="3" a="1"/>
  <c r="F3337" i="3" s="1"/>
  <c r="G3337" i="3" a="1"/>
  <c r="G3337" i="3" s="1"/>
  <c r="J3337" i="3" a="1"/>
  <c r="J3337" i="3" s="1"/>
  <c r="B3338" i="3" a="1"/>
  <c r="B3338" i="3" s="1"/>
  <c r="C3338" i="3" a="1"/>
  <c r="C3338" i="3" s="1"/>
  <c r="D3338" i="3" a="1"/>
  <c r="D3338" i="3" s="1"/>
  <c r="E3338" i="3" a="1"/>
  <c r="E3338" i="3" s="1"/>
  <c r="F3338" i="3" a="1"/>
  <c r="F3338" i="3" s="1"/>
  <c r="G3338" i="3" a="1"/>
  <c r="G3338" i="3" s="1"/>
  <c r="J3338" i="3" a="1"/>
  <c r="J3338" i="3" s="1"/>
  <c r="B3339" i="3" a="1"/>
  <c r="B3339" i="3" s="1"/>
  <c r="C3339" i="3" a="1"/>
  <c r="C3339" i="3" s="1"/>
  <c r="D3339" i="3" a="1"/>
  <c r="D3339" i="3" s="1"/>
  <c r="E3339" i="3" a="1"/>
  <c r="E3339" i="3" s="1"/>
  <c r="F3339" i="3" a="1"/>
  <c r="F3339" i="3" s="1"/>
  <c r="G3339" i="3" a="1"/>
  <c r="G3339" i="3" s="1"/>
  <c r="J3339" i="3" a="1"/>
  <c r="J3339" i="3" s="1"/>
  <c r="B3340" i="3" a="1"/>
  <c r="B3340" i="3" s="1"/>
  <c r="C3340" i="3" a="1"/>
  <c r="C3340" i="3" s="1"/>
  <c r="D3340" i="3" a="1"/>
  <c r="D3340" i="3" s="1"/>
  <c r="E3340" i="3" a="1"/>
  <c r="E3340" i="3" s="1"/>
  <c r="F3340" i="3" a="1"/>
  <c r="F3340" i="3" s="1"/>
  <c r="G3340" i="3" a="1"/>
  <c r="G3340" i="3" s="1"/>
  <c r="J3340" i="3" a="1"/>
  <c r="J3340" i="3" s="1"/>
  <c r="B3341" i="3" a="1"/>
  <c r="B3341" i="3" s="1"/>
  <c r="C3341" i="3" a="1"/>
  <c r="C3341" i="3" s="1"/>
  <c r="D3341" i="3" a="1"/>
  <c r="D3341" i="3" s="1"/>
  <c r="E3341" i="3" a="1"/>
  <c r="E3341" i="3" s="1"/>
  <c r="F3341" i="3" a="1"/>
  <c r="F3341" i="3" s="1"/>
  <c r="G3341" i="3" a="1"/>
  <c r="G3341" i="3" s="1"/>
  <c r="J3341" i="3" a="1"/>
  <c r="J3341" i="3" s="1"/>
  <c r="B3342" i="3" a="1"/>
  <c r="B3342" i="3" s="1"/>
  <c r="C3342" i="3" a="1"/>
  <c r="C3342" i="3" s="1"/>
  <c r="D3342" i="3" a="1"/>
  <c r="D3342" i="3" s="1"/>
  <c r="E3342" i="3" a="1"/>
  <c r="E3342" i="3" s="1"/>
  <c r="F3342" i="3" a="1"/>
  <c r="F3342" i="3" s="1"/>
  <c r="G3342" i="3" a="1"/>
  <c r="G3342" i="3" s="1"/>
  <c r="J3342" i="3" a="1"/>
  <c r="J3342" i="3" s="1"/>
  <c r="B3343" i="3" a="1"/>
  <c r="B3343" i="3" s="1"/>
  <c r="C3343" i="3" a="1"/>
  <c r="C3343" i="3" s="1"/>
  <c r="D3343" i="3" a="1"/>
  <c r="D3343" i="3" s="1"/>
  <c r="E3343" i="3" a="1"/>
  <c r="E3343" i="3" s="1"/>
  <c r="F3343" i="3" a="1"/>
  <c r="F3343" i="3" s="1"/>
  <c r="G3343" i="3" a="1"/>
  <c r="G3343" i="3" s="1"/>
  <c r="J3343" i="3" a="1"/>
  <c r="J3343" i="3" s="1"/>
  <c r="B3344" i="3" a="1"/>
  <c r="B3344" i="3" s="1"/>
  <c r="C3344" i="3" a="1"/>
  <c r="C3344" i="3" s="1"/>
  <c r="D3344" i="3" a="1"/>
  <c r="D3344" i="3" s="1"/>
  <c r="E3344" i="3" a="1"/>
  <c r="E3344" i="3" s="1"/>
  <c r="F3344" i="3" a="1"/>
  <c r="F3344" i="3" s="1"/>
  <c r="G3344" i="3" a="1"/>
  <c r="G3344" i="3" s="1"/>
  <c r="J3344" i="3" a="1"/>
  <c r="J3344" i="3" s="1"/>
  <c r="B3345" i="3" a="1"/>
  <c r="B3345" i="3" s="1"/>
  <c r="C3345" i="3" a="1"/>
  <c r="C3345" i="3" s="1"/>
  <c r="D3345" i="3" a="1"/>
  <c r="D3345" i="3" s="1"/>
  <c r="E3345" i="3" a="1"/>
  <c r="E3345" i="3" s="1"/>
  <c r="F3345" i="3" a="1"/>
  <c r="F3345" i="3" s="1"/>
  <c r="G3345" i="3" a="1"/>
  <c r="G3345" i="3" s="1"/>
  <c r="J3345" i="3" a="1"/>
  <c r="J3345" i="3" s="1"/>
  <c r="B3346" i="3" a="1"/>
  <c r="B3346" i="3" s="1"/>
  <c r="C3346" i="3" a="1"/>
  <c r="C3346" i="3" s="1"/>
  <c r="D3346" i="3" a="1"/>
  <c r="D3346" i="3" s="1"/>
  <c r="E3346" i="3" a="1"/>
  <c r="E3346" i="3" s="1"/>
  <c r="F3346" i="3" a="1"/>
  <c r="F3346" i="3" s="1"/>
  <c r="G3346" i="3" a="1"/>
  <c r="G3346" i="3" s="1"/>
  <c r="J3346" i="3" a="1"/>
  <c r="J3346" i="3" s="1"/>
  <c r="B3347" i="3" a="1"/>
  <c r="B3347" i="3" s="1"/>
  <c r="C3347" i="3" a="1"/>
  <c r="C3347" i="3" s="1"/>
  <c r="D3347" i="3" a="1"/>
  <c r="D3347" i="3" s="1"/>
  <c r="E3347" i="3" a="1"/>
  <c r="E3347" i="3" s="1"/>
  <c r="F3347" i="3" a="1"/>
  <c r="F3347" i="3" s="1"/>
  <c r="G3347" i="3" a="1"/>
  <c r="G3347" i="3" s="1"/>
  <c r="J3347" i="3" a="1"/>
  <c r="J3347" i="3" s="1"/>
  <c r="B3348" i="3" a="1"/>
  <c r="B3348" i="3" s="1"/>
  <c r="C3348" i="3" a="1"/>
  <c r="C3348" i="3" s="1"/>
  <c r="D3348" i="3" a="1"/>
  <c r="D3348" i="3" s="1"/>
  <c r="E3348" i="3" a="1"/>
  <c r="E3348" i="3" s="1"/>
  <c r="F3348" i="3" a="1"/>
  <c r="F3348" i="3" s="1"/>
  <c r="G3348" i="3" a="1"/>
  <c r="G3348" i="3" s="1"/>
  <c r="J3348" i="3" a="1"/>
  <c r="J3348" i="3" s="1"/>
  <c r="B3349" i="3" a="1"/>
  <c r="B3349" i="3" s="1"/>
  <c r="C3349" i="3" a="1"/>
  <c r="C3349" i="3" s="1"/>
  <c r="D3349" i="3" a="1"/>
  <c r="D3349" i="3" s="1"/>
  <c r="E3349" i="3" a="1"/>
  <c r="E3349" i="3" s="1"/>
  <c r="F3349" i="3" a="1"/>
  <c r="F3349" i="3" s="1"/>
  <c r="G3349" i="3" a="1"/>
  <c r="G3349" i="3" s="1"/>
  <c r="J3349" i="3" a="1"/>
  <c r="J3349" i="3" s="1"/>
  <c r="B3350" i="3" a="1"/>
  <c r="B3350" i="3" s="1"/>
  <c r="C3350" i="3" a="1"/>
  <c r="C3350" i="3" s="1"/>
  <c r="D3350" i="3" a="1"/>
  <c r="D3350" i="3" s="1"/>
  <c r="E3350" i="3" a="1"/>
  <c r="E3350" i="3" s="1"/>
  <c r="F3350" i="3" a="1"/>
  <c r="F3350" i="3" s="1"/>
  <c r="G3350" i="3" a="1"/>
  <c r="G3350" i="3" s="1"/>
  <c r="J3350" i="3" a="1"/>
  <c r="J3350" i="3" s="1"/>
  <c r="B3351" i="3" a="1"/>
  <c r="B3351" i="3" s="1"/>
  <c r="C3351" i="3" a="1"/>
  <c r="C3351" i="3" s="1"/>
  <c r="D3351" i="3" a="1"/>
  <c r="D3351" i="3" s="1"/>
  <c r="E3351" i="3" a="1"/>
  <c r="E3351" i="3" s="1"/>
  <c r="F3351" i="3" a="1"/>
  <c r="F3351" i="3" s="1"/>
  <c r="G3351" i="3" a="1"/>
  <c r="G3351" i="3" s="1"/>
  <c r="J3351" i="3" a="1"/>
  <c r="J3351" i="3" s="1"/>
  <c r="B3352" i="3" a="1"/>
  <c r="B3352" i="3" s="1"/>
  <c r="C3352" i="3" a="1"/>
  <c r="C3352" i="3" s="1"/>
  <c r="D3352" i="3" a="1"/>
  <c r="D3352" i="3" s="1"/>
  <c r="E3352" i="3" a="1"/>
  <c r="E3352" i="3" s="1"/>
  <c r="F3352" i="3" a="1"/>
  <c r="F3352" i="3" s="1"/>
  <c r="G3352" i="3" a="1"/>
  <c r="G3352" i="3" s="1"/>
  <c r="J3352" i="3" a="1"/>
  <c r="J3352" i="3" s="1"/>
  <c r="B3353" i="3" a="1"/>
  <c r="B3353" i="3" s="1"/>
  <c r="C3353" i="3" a="1"/>
  <c r="C3353" i="3" s="1"/>
  <c r="D3353" i="3" a="1"/>
  <c r="D3353" i="3" s="1"/>
  <c r="E3353" i="3" a="1"/>
  <c r="E3353" i="3" s="1"/>
  <c r="F3353" i="3" a="1"/>
  <c r="F3353" i="3" s="1"/>
  <c r="G3353" i="3" a="1"/>
  <c r="G3353" i="3" s="1"/>
  <c r="J3353" i="3" a="1"/>
  <c r="J3353" i="3" s="1"/>
  <c r="B3354" i="3" a="1"/>
  <c r="B3354" i="3" s="1"/>
  <c r="C3354" i="3" a="1"/>
  <c r="C3354" i="3" s="1"/>
  <c r="D3354" i="3" a="1"/>
  <c r="D3354" i="3" s="1"/>
  <c r="E3354" i="3" a="1"/>
  <c r="E3354" i="3" s="1"/>
  <c r="F3354" i="3" a="1"/>
  <c r="F3354" i="3" s="1"/>
  <c r="G3354" i="3" a="1"/>
  <c r="G3354" i="3" s="1"/>
  <c r="J3354" i="3" a="1"/>
  <c r="J3354" i="3" s="1"/>
  <c r="B3355" i="3" a="1"/>
  <c r="B3355" i="3" s="1"/>
  <c r="C3355" i="3" a="1"/>
  <c r="C3355" i="3" s="1"/>
  <c r="D3355" i="3" a="1"/>
  <c r="D3355" i="3" s="1"/>
  <c r="E3355" i="3" a="1"/>
  <c r="E3355" i="3" s="1"/>
  <c r="F3355" i="3" a="1"/>
  <c r="F3355" i="3" s="1"/>
  <c r="G3355" i="3" a="1"/>
  <c r="G3355" i="3" s="1"/>
  <c r="J3355" i="3" a="1"/>
  <c r="J3355" i="3" s="1"/>
  <c r="B3356" i="3" a="1"/>
  <c r="B3356" i="3" s="1"/>
  <c r="C3356" i="3" a="1"/>
  <c r="C3356" i="3" s="1"/>
  <c r="D3356" i="3" a="1"/>
  <c r="D3356" i="3" s="1"/>
  <c r="E3356" i="3" a="1"/>
  <c r="E3356" i="3" s="1"/>
  <c r="F3356" i="3" a="1"/>
  <c r="F3356" i="3" s="1"/>
  <c r="G3356" i="3" a="1"/>
  <c r="G3356" i="3" s="1"/>
  <c r="J3356" i="3" a="1"/>
  <c r="J3356" i="3" s="1"/>
  <c r="B3357" i="3" a="1"/>
  <c r="B3357" i="3" s="1"/>
  <c r="C3357" i="3" a="1"/>
  <c r="C3357" i="3" s="1"/>
  <c r="D3357" i="3" a="1"/>
  <c r="D3357" i="3" s="1"/>
  <c r="E3357" i="3" a="1"/>
  <c r="E3357" i="3" s="1"/>
  <c r="F3357" i="3" a="1"/>
  <c r="F3357" i="3" s="1"/>
  <c r="G3357" i="3" a="1"/>
  <c r="G3357" i="3" s="1"/>
  <c r="J3357" i="3" a="1"/>
  <c r="J3357" i="3" s="1"/>
  <c r="B3358" i="3" a="1"/>
  <c r="B3358" i="3" s="1"/>
  <c r="C3358" i="3" a="1"/>
  <c r="C3358" i="3" s="1"/>
  <c r="D3358" i="3" a="1"/>
  <c r="D3358" i="3" s="1"/>
  <c r="E3358" i="3" a="1"/>
  <c r="E3358" i="3" s="1"/>
  <c r="F3358" i="3" a="1"/>
  <c r="F3358" i="3" s="1"/>
  <c r="G3358" i="3" a="1"/>
  <c r="G3358" i="3" s="1"/>
  <c r="J3358" i="3" a="1"/>
  <c r="J3358" i="3" s="1"/>
  <c r="B3359" i="3" a="1"/>
  <c r="B3359" i="3" s="1"/>
  <c r="C3359" i="3" a="1"/>
  <c r="C3359" i="3" s="1"/>
  <c r="D3359" i="3" a="1"/>
  <c r="D3359" i="3" s="1"/>
  <c r="E3359" i="3" a="1"/>
  <c r="E3359" i="3" s="1"/>
  <c r="F3359" i="3" a="1"/>
  <c r="F3359" i="3" s="1"/>
  <c r="G3359" i="3" a="1"/>
  <c r="G3359" i="3" s="1"/>
  <c r="J3359" i="3" a="1"/>
  <c r="J3359" i="3" s="1"/>
  <c r="B3360" i="3" a="1"/>
  <c r="B3360" i="3" s="1"/>
  <c r="C3360" i="3" a="1"/>
  <c r="C3360" i="3" s="1"/>
  <c r="D3360" i="3" a="1"/>
  <c r="D3360" i="3" s="1"/>
  <c r="E3360" i="3" a="1"/>
  <c r="E3360" i="3" s="1"/>
  <c r="F3360" i="3" a="1"/>
  <c r="F3360" i="3" s="1"/>
  <c r="G3360" i="3" a="1"/>
  <c r="G3360" i="3" s="1"/>
  <c r="J3360" i="3" a="1"/>
  <c r="J3360" i="3" s="1"/>
  <c r="B3361" i="3" a="1"/>
  <c r="B3361" i="3" s="1"/>
  <c r="C3361" i="3" a="1"/>
  <c r="C3361" i="3" s="1"/>
  <c r="D3361" i="3" a="1"/>
  <c r="D3361" i="3" s="1"/>
  <c r="E3361" i="3" a="1"/>
  <c r="E3361" i="3" s="1"/>
  <c r="F3361" i="3" a="1"/>
  <c r="F3361" i="3" s="1"/>
  <c r="G3361" i="3" a="1"/>
  <c r="G3361" i="3" s="1"/>
  <c r="J3361" i="3" a="1"/>
  <c r="J3361" i="3" s="1"/>
  <c r="B3362" i="3" a="1"/>
  <c r="B3362" i="3" s="1"/>
  <c r="C3362" i="3" a="1"/>
  <c r="C3362" i="3" s="1"/>
  <c r="D3362" i="3" a="1"/>
  <c r="D3362" i="3" s="1"/>
  <c r="E3362" i="3" a="1"/>
  <c r="E3362" i="3" s="1"/>
  <c r="F3362" i="3" a="1"/>
  <c r="F3362" i="3" s="1"/>
  <c r="G3362" i="3" a="1"/>
  <c r="G3362" i="3" s="1"/>
  <c r="J3362" i="3" a="1"/>
  <c r="J3362" i="3" s="1"/>
  <c r="B3363" i="3" a="1"/>
  <c r="B3363" i="3" s="1"/>
  <c r="C3363" i="3" a="1"/>
  <c r="C3363" i="3" s="1"/>
  <c r="D3363" i="3" a="1"/>
  <c r="D3363" i="3" s="1"/>
  <c r="E3363" i="3" a="1"/>
  <c r="E3363" i="3" s="1"/>
  <c r="F3363" i="3" a="1"/>
  <c r="F3363" i="3" s="1"/>
  <c r="G3363" i="3" a="1"/>
  <c r="G3363" i="3" s="1"/>
  <c r="J3363" i="3" a="1"/>
  <c r="J3363" i="3" s="1"/>
  <c r="B3364" i="3" a="1"/>
  <c r="B3364" i="3" s="1"/>
  <c r="C3364" i="3" a="1"/>
  <c r="C3364" i="3" s="1"/>
  <c r="D3364" i="3" a="1"/>
  <c r="D3364" i="3" s="1"/>
  <c r="E3364" i="3" a="1"/>
  <c r="E3364" i="3" s="1"/>
  <c r="F3364" i="3" a="1"/>
  <c r="F3364" i="3" s="1"/>
  <c r="G3364" i="3" a="1"/>
  <c r="G3364" i="3" s="1"/>
  <c r="J3364" i="3" a="1"/>
  <c r="J3364" i="3" s="1"/>
  <c r="B3365" i="3" a="1"/>
  <c r="B3365" i="3" s="1"/>
  <c r="C3365" i="3" a="1"/>
  <c r="C3365" i="3" s="1"/>
  <c r="D3365" i="3" a="1"/>
  <c r="D3365" i="3" s="1"/>
  <c r="E3365" i="3" a="1"/>
  <c r="E3365" i="3" s="1"/>
  <c r="F3365" i="3" a="1"/>
  <c r="F3365" i="3" s="1"/>
  <c r="G3365" i="3" a="1"/>
  <c r="G3365" i="3" s="1"/>
  <c r="J3365" i="3" a="1"/>
  <c r="J3365" i="3" s="1"/>
  <c r="B3366" i="3" a="1"/>
  <c r="B3366" i="3" s="1"/>
  <c r="C3366" i="3" a="1"/>
  <c r="C3366" i="3" s="1"/>
  <c r="D3366" i="3" a="1"/>
  <c r="D3366" i="3" s="1"/>
  <c r="E3366" i="3" a="1"/>
  <c r="E3366" i="3" s="1"/>
  <c r="F3366" i="3" a="1"/>
  <c r="F3366" i="3" s="1"/>
  <c r="G3366" i="3" a="1"/>
  <c r="G3366" i="3" s="1"/>
  <c r="J3366" i="3" a="1"/>
  <c r="J3366" i="3" s="1"/>
  <c r="B3367" i="3" a="1"/>
  <c r="B3367" i="3" s="1"/>
  <c r="C3367" i="3" a="1"/>
  <c r="C3367" i="3" s="1"/>
  <c r="D3367" i="3" a="1"/>
  <c r="D3367" i="3" s="1"/>
  <c r="E3367" i="3" a="1"/>
  <c r="E3367" i="3" s="1"/>
  <c r="F3367" i="3" a="1"/>
  <c r="F3367" i="3" s="1"/>
  <c r="G3367" i="3" a="1"/>
  <c r="G3367" i="3" s="1"/>
  <c r="J3367" i="3" a="1"/>
  <c r="J3367" i="3" s="1"/>
  <c r="B3368" i="3" a="1"/>
  <c r="B3368" i="3" s="1"/>
  <c r="C3368" i="3" a="1"/>
  <c r="C3368" i="3" s="1"/>
  <c r="D3368" i="3" a="1"/>
  <c r="D3368" i="3" s="1"/>
  <c r="E3368" i="3" a="1"/>
  <c r="E3368" i="3" s="1"/>
  <c r="F3368" i="3" a="1"/>
  <c r="F3368" i="3" s="1"/>
  <c r="G3368" i="3" a="1"/>
  <c r="G3368" i="3" s="1"/>
  <c r="J3368" i="3" a="1"/>
  <c r="J3368" i="3" s="1"/>
  <c r="B3369" i="3" a="1"/>
  <c r="B3369" i="3" s="1"/>
  <c r="C3369" i="3" a="1"/>
  <c r="C3369" i="3" s="1"/>
  <c r="D3369" i="3" a="1"/>
  <c r="D3369" i="3" s="1"/>
  <c r="E3369" i="3" a="1"/>
  <c r="E3369" i="3" s="1"/>
  <c r="F3369" i="3" a="1"/>
  <c r="F3369" i="3" s="1"/>
  <c r="G3369" i="3" a="1"/>
  <c r="G3369" i="3" s="1"/>
  <c r="J3369" i="3" a="1"/>
  <c r="J3369" i="3" s="1"/>
  <c r="B3370" i="3" a="1"/>
  <c r="B3370" i="3" s="1"/>
  <c r="C3370" i="3" a="1"/>
  <c r="C3370" i="3" s="1"/>
  <c r="D3370" i="3" a="1"/>
  <c r="D3370" i="3" s="1"/>
  <c r="E3370" i="3" a="1"/>
  <c r="E3370" i="3" s="1"/>
  <c r="F3370" i="3" a="1"/>
  <c r="F3370" i="3" s="1"/>
  <c r="G3370" i="3" a="1"/>
  <c r="G3370" i="3" s="1"/>
  <c r="J3370" i="3" a="1"/>
  <c r="J3370" i="3" s="1"/>
  <c r="B3371" i="3" a="1"/>
  <c r="B3371" i="3" s="1"/>
  <c r="C3371" i="3" a="1"/>
  <c r="C3371" i="3" s="1"/>
  <c r="D3371" i="3" a="1"/>
  <c r="D3371" i="3" s="1"/>
  <c r="E3371" i="3" a="1"/>
  <c r="E3371" i="3" s="1"/>
  <c r="F3371" i="3" a="1"/>
  <c r="F3371" i="3" s="1"/>
  <c r="G3371" i="3" a="1"/>
  <c r="G3371" i="3" s="1"/>
  <c r="J3371" i="3" a="1"/>
  <c r="J3371" i="3" s="1"/>
  <c r="B3372" i="3" a="1"/>
  <c r="B3372" i="3" s="1"/>
  <c r="C3372" i="3" a="1"/>
  <c r="C3372" i="3" s="1"/>
  <c r="D3372" i="3" a="1"/>
  <c r="D3372" i="3" s="1"/>
  <c r="E3372" i="3" a="1"/>
  <c r="E3372" i="3" s="1"/>
  <c r="F3372" i="3" a="1"/>
  <c r="F3372" i="3" s="1"/>
  <c r="G3372" i="3" a="1"/>
  <c r="G3372" i="3" s="1"/>
  <c r="J3372" i="3" a="1"/>
  <c r="J3372" i="3" s="1"/>
  <c r="B3373" i="3" a="1"/>
  <c r="B3373" i="3" s="1"/>
  <c r="C3373" i="3" a="1"/>
  <c r="C3373" i="3" s="1"/>
  <c r="D3373" i="3" a="1"/>
  <c r="D3373" i="3" s="1"/>
  <c r="E3373" i="3" a="1"/>
  <c r="E3373" i="3" s="1"/>
  <c r="F3373" i="3" a="1"/>
  <c r="F3373" i="3" s="1"/>
  <c r="G3373" i="3" a="1"/>
  <c r="G3373" i="3" s="1"/>
  <c r="J3373" i="3" a="1"/>
  <c r="J3373" i="3" s="1"/>
  <c r="B3374" i="3" a="1"/>
  <c r="B3374" i="3" s="1"/>
  <c r="C3374" i="3" a="1"/>
  <c r="C3374" i="3" s="1"/>
  <c r="D3374" i="3" a="1"/>
  <c r="D3374" i="3" s="1"/>
  <c r="E3374" i="3" a="1"/>
  <c r="E3374" i="3" s="1"/>
  <c r="F3374" i="3" a="1"/>
  <c r="F3374" i="3" s="1"/>
  <c r="G3374" i="3" a="1"/>
  <c r="G3374" i="3" s="1"/>
  <c r="J3374" i="3" a="1"/>
  <c r="J3374" i="3" s="1"/>
  <c r="B3375" i="3" a="1"/>
  <c r="B3375" i="3" s="1"/>
  <c r="C3375" i="3" a="1"/>
  <c r="C3375" i="3" s="1"/>
  <c r="D3375" i="3" a="1"/>
  <c r="D3375" i="3" s="1"/>
  <c r="E3375" i="3" a="1"/>
  <c r="E3375" i="3" s="1"/>
  <c r="F3375" i="3" a="1"/>
  <c r="F3375" i="3" s="1"/>
  <c r="G3375" i="3" a="1"/>
  <c r="G3375" i="3" s="1"/>
  <c r="J3375" i="3" a="1"/>
  <c r="J3375" i="3" s="1"/>
  <c r="B3376" i="3" a="1"/>
  <c r="B3376" i="3" s="1"/>
  <c r="C3376" i="3" a="1"/>
  <c r="C3376" i="3" s="1"/>
  <c r="D3376" i="3" a="1"/>
  <c r="D3376" i="3" s="1"/>
  <c r="E3376" i="3" a="1"/>
  <c r="E3376" i="3" s="1"/>
  <c r="F3376" i="3" a="1"/>
  <c r="F3376" i="3" s="1"/>
  <c r="G3376" i="3" a="1"/>
  <c r="G3376" i="3" s="1"/>
  <c r="J3376" i="3" a="1"/>
  <c r="J3376" i="3" s="1"/>
  <c r="B3377" i="3" a="1"/>
  <c r="B3377" i="3" s="1"/>
  <c r="C3377" i="3" a="1"/>
  <c r="C3377" i="3" s="1"/>
  <c r="D3377" i="3" a="1"/>
  <c r="D3377" i="3" s="1"/>
  <c r="E3377" i="3" a="1"/>
  <c r="E3377" i="3" s="1"/>
  <c r="F3377" i="3" a="1"/>
  <c r="F3377" i="3" s="1"/>
  <c r="G3377" i="3" a="1"/>
  <c r="G3377" i="3" s="1"/>
  <c r="J3377" i="3" a="1"/>
  <c r="J3377" i="3" s="1"/>
  <c r="B3378" i="3" a="1"/>
  <c r="B3378" i="3" s="1"/>
  <c r="C3378" i="3" a="1"/>
  <c r="C3378" i="3" s="1"/>
  <c r="D3378" i="3" a="1"/>
  <c r="D3378" i="3" s="1"/>
  <c r="E3378" i="3" a="1"/>
  <c r="E3378" i="3" s="1"/>
  <c r="F3378" i="3" a="1"/>
  <c r="F3378" i="3" s="1"/>
  <c r="G3378" i="3" a="1"/>
  <c r="G3378" i="3" s="1"/>
  <c r="J3378" i="3" a="1"/>
  <c r="J3378" i="3" s="1"/>
  <c r="B3379" i="3" a="1"/>
  <c r="B3379" i="3" s="1"/>
  <c r="C3379" i="3" a="1"/>
  <c r="C3379" i="3" s="1"/>
  <c r="D3379" i="3" a="1"/>
  <c r="D3379" i="3" s="1"/>
  <c r="E3379" i="3" a="1"/>
  <c r="E3379" i="3" s="1"/>
  <c r="F3379" i="3" a="1"/>
  <c r="F3379" i="3" s="1"/>
  <c r="G3379" i="3" a="1"/>
  <c r="G3379" i="3" s="1"/>
  <c r="J3379" i="3" a="1"/>
  <c r="J3379" i="3" s="1"/>
  <c r="B3380" i="3" a="1"/>
  <c r="B3380" i="3" s="1"/>
  <c r="C3380" i="3" a="1"/>
  <c r="C3380" i="3" s="1"/>
  <c r="D3380" i="3" a="1"/>
  <c r="D3380" i="3" s="1"/>
  <c r="E3380" i="3" a="1"/>
  <c r="E3380" i="3" s="1"/>
  <c r="F3380" i="3" a="1"/>
  <c r="F3380" i="3" s="1"/>
  <c r="G3380" i="3" a="1"/>
  <c r="G3380" i="3" s="1"/>
  <c r="J3380" i="3" a="1"/>
  <c r="J3380" i="3" s="1"/>
  <c r="B3381" i="3" a="1"/>
  <c r="B3381" i="3" s="1"/>
  <c r="C3381" i="3" a="1"/>
  <c r="C3381" i="3" s="1"/>
  <c r="D3381" i="3" a="1"/>
  <c r="D3381" i="3" s="1"/>
  <c r="E3381" i="3" a="1"/>
  <c r="E3381" i="3" s="1"/>
  <c r="F3381" i="3" a="1"/>
  <c r="F3381" i="3" s="1"/>
  <c r="G3381" i="3" a="1"/>
  <c r="G3381" i="3" s="1"/>
  <c r="J3381" i="3" a="1"/>
  <c r="J3381" i="3" s="1"/>
  <c r="B3382" i="3" a="1"/>
  <c r="B3382" i="3" s="1"/>
  <c r="C3382" i="3" a="1"/>
  <c r="C3382" i="3" s="1"/>
  <c r="D3382" i="3" a="1"/>
  <c r="D3382" i="3" s="1"/>
  <c r="E3382" i="3" a="1"/>
  <c r="E3382" i="3" s="1"/>
  <c r="F3382" i="3" a="1"/>
  <c r="F3382" i="3" s="1"/>
  <c r="G3382" i="3" a="1"/>
  <c r="G3382" i="3" s="1"/>
  <c r="J3382" i="3" a="1"/>
  <c r="J3382" i="3" s="1"/>
  <c r="B3383" i="3" a="1"/>
  <c r="B3383" i="3" s="1"/>
  <c r="C3383" i="3" a="1"/>
  <c r="C3383" i="3" s="1"/>
  <c r="D3383" i="3" a="1"/>
  <c r="D3383" i="3" s="1"/>
  <c r="E3383" i="3" a="1"/>
  <c r="E3383" i="3" s="1"/>
  <c r="F3383" i="3" a="1"/>
  <c r="F3383" i="3" s="1"/>
  <c r="G3383" i="3" a="1"/>
  <c r="G3383" i="3" s="1"/>
  <c r="J3383" i="3" a="1"/>
  <c r="J3383" i="3" s="1"/>
  <c r="B3384" i="3" a="1"/>
  <c r="B3384" i="3" s="1"/>
  <c r="C3384" i="3" a="1"/>
  <c r="C3384" i="3" s="1"/>
  <c r="D3384" i="3" a="1"/>
  <c r="D3384" i="3" s="1"/>
  <c r="E3384" i="3" a="1"/>
  <c r="E3384" i="3" s="1"/>
  <c r="F3384" i="3" a="1"/>
  <c r="F3384" i="3" s="1"/>
  <c r="G3384" i="3" a="1"/>
  <c r="G3384" i="3" s="1"/>
  <c r="J3384" i="3" a="1"/>
  <c r="J3384" i="3" s="1"/>
  <c r="B3385" i="3" a="1"/>
  <c r="B3385" i="3" s="1"/>
  <c r="C3385" i="3" a="1"/>
  <c r="C3385" i="3" s="1"/>
  <c r="D3385" i="3" a="1"/>
  <c r="D3385" i="3" s="1"/>
  <c r="E3385" i="3" a="1"/>
  <c r="E3385" i="3" s="1"/>
  <c r="F3385" i="3" a="1"/>
  <c r="F3385" i="3" s="1"/>
  <c r="G3385" i="3" a="1"/>
  <c r="G3385" i="3" s="1"/>
  <c r="J3385" i="3" a="1"/>
  <c r="J3385" i="3" s="1"/>
  <c r="B3386" i="3" a="1"/>
  <c r="B3386" i="3" s="1"/>
  <c r="C3386" i="3" a="1"/>
  <c r="C3386" i="3" s="1"/>
  <c r="D3386" i="3" a="1"/>
  <c r="D3386" i="3" s="1"/>
  <c r="E3386" i="3" a="1"/>
  <c r="E3386" i="3" s="1"/>
  <c r="F3386" i="3" a="1"/>
  <c r="F3386" i="3" s="1"/>
  <c r="G3386" i="3" a="1"/>
  <c r="G3386" i="3" s="1"/>
  <c r="J3386" i="3" a="1"/>
  <c r="J3386" i="3" s="1"/>
  <c r="B3387" i="3" a="1"/>
  <c r="B3387" i="3" s="1"/>
  <c r="C3387" i="3" a="1"/>
  <c r="C3387" i="3" s="1"/>
  <c r="D3387" i="3" a="1"/>
  <c r="D3387" i="3" s="1"/>
  <c r="E3387" i="3" a="1"/>
  <c r="E3387" i="3" s="1"/>
  <c r="F3387" i="3" a="1"/>
  <c r="F3387" i="3" s="1"/>
  <c r="G3387" i="3" a="1"/>
  <c r="G3387" i="3" s="1"/>
  <c r="J3387" i="3" a="1"/>
  <c r="J3387" i="3" s="1"/>
  <c r="B3388" i="3" a="1"/>
  <c r="B3388" i="3" s="1"/>
  <c r="C3388" i="3" a="1"/>
  <c r="C3388" i="3" s="1"/>
  <c r="D3388" i="3" a="1"/>
  <c r="D3388" i="3" s="1"/>
  <c r="E3388" i="3" a="1"/>
  <c r="E3388" i="3" s="1"/>
  <c r="F3388" i="3" a="1"/>
  <c r="F3388" i="3" s="1"/>
  <c r="G3388" i="3" a="1"/>
  <c r="G3388" i="3" s="1"/>
  <c r="J3388" i="3" a="1"/>
  <c r="J3388" i="3" s="1"/>
  <c r="B3389" i="3" a="1"/>
  <c r="B3389" i="3" s="1"/>
  <c r="C3389" i="3" a="1"/>
  <c r="C3389" i="3" s="1"/>
  <c r="D3389" i="3" a="1"/>
  <c r="D3389" i="3" s="1"/>
  <c r="E3389" i="3" a="1"/>
  <c r="E3389" i="3" s="1"/>
  <c r="F3389" i="3" a="1"/>
  <c r="F3389" i="3" s="1"/>
  <c r="G3389" i="3" a="1"/>
  <c r="G3389" i="3" s="1"/>
  <c r="J3389" i="3" a="1"/>
  <c r="J3389" i="3" s="1"/>
  <c r="B3390" i="3" a="1"/>
  <c r="B3390" i="3" s="1"/>
  <c r="C3390" i="3" a="1"/>
  <c r="C3390" i="3" s="1"/>
  <c r="D3390" i="3" a="1"/>
  <c r="D3390" i="3" s="1"/>
  <c r="E3390" i="3" a="1"/>
  <c r="E3390" i="3" s="1"/>
  <c r="F3390" i="3" a="1"/>
  <c r="F3390" i="3" s="1"/>
  <c r="G3390" i="3" a="1"/>
  <c r="G3390" i="3" s="1"/>
  <c r="J3390" i="3" a="1"/>
  <c r="J3390" i="3" s="1"/>
  <c r="B3391" i="3" a="1"/>
  <c r="B3391" i="3" s="1"/>
  <c r="C3391" i="3" a="1"/>
  <c r="C3391" i="3" s="1"/>
  <c r="D3391" i="3" a="1"/>
  <c r="D3391" i="3" s="1"/>
  <c r="E3391" i="3" a="1"/>
  <c r="E3391" i="3" s="1"/>
  <c r="F3391" i="3" a="1"/>
  <c r="F3391" i="3" s="1"/>
  <c r="G3391" i="3" a="1"/>
  <c r="G3391" i="3" s="1"/>
  <c r="J3391" i="3" a="1"/>
  <c r="J3391" i="3" s="1"/>
  <c r="B3392" i="3" a="1"/>
  <c r="B3392" i="3" s="1"/>
  <c r="C3392" i="3" a="1"/>
  <c r="C3392" i="3" s="1"/>
  <c r="D3392" i="3" a="1"/>
  <c r="D3392" i="3" s="1"/>
  <c r="E3392" i="3" a="1"/>
  <c r="E3392" i="3" s="1"/>
  <c r="F3392" i="3" a="1"/>
  <c r="F3392" i="3" s="1"/>
  <c r="G3392" i="3" a="1"/>
  <c r="G3392" i="3" s="1"/>
  <c r="J3392" i="3" a="1"/>
  <c r="J3392" i="3" s="1"/>
  <c r="B3393" i="3" a="1"/>
  <c r="B3393" i="3" s="1"/>
  <c r="C3393" i="3" a="1"/>
  <c r="C3393" i="3" s="1"/>
  <c r="D3393" i="3" a="1"/>
  <c r="D3393" i="3" s="1"/>
  <c r="E3393" i="3" a="1"/>
  <c r="E3393" i="3" s="1"/>
  <c r="F3393" i="3" a="1"/>
  <c r="F3393" i="3" s="1"/>
  <c r="G3393" i="3" a="1"/>
  <c r="G3393" i="3" s="1"/>
  <c r="J3393" i="3" a="1"/>
  <c r="J3393" i="3" s="1"/>
  <c r="B3394" i="3" a="1"/>
  <c r="B3394" i="3" s="1"/>
  <c r="C3394" i="3" a="1"/>
  <c r="C3394" i="3" s="1"/>
  <c r="D3394" i="3" a="1"/>
  <c r="D3394" i="3" s="1"/>
  <c r="E3394" i="3" a="1"/>
  <c r="E3394" i="3" s="1"/>
  <c r="F3394" i="3" a="1"/>
  <c r="F3394" i="3" s="1"/>
  <c r="G3394" i="3" a="1"/>
  <c r="G3394" i="3" s="1"/>
  <c r="J3394" i="3" a="1"/>
  <c r="J3394" i="3" s="1"/>
  <c r="B3395" i="3" a="1"/>
  <c r="B3395" i="3" s="1"/>
  <c r="C3395" i="3" a="1"/>
  <c r="C3395" i="3" s="1"/>
  <c r="D3395" i="3" a="1"/>
  <c r="D3395" i="3" s="1"/>
  <c r="E3395" i="3" a="1"/>
  <c r="E3395" i="3" s="1"/>
  <c r="F3395" i="3" a="1"/>
  <c r="F3395" i="3" s="1"/>
  <c r="G3395" i="3" a="1"/>
  <c r="G3395" i="3" s="1"/>
  <c r="J3395" i="3" a="1"/>
  <c r="J3395" i="3" s="1"/>
  <c r="B3396" i="3" a="1"/>
  <c r="B3396" i="3" s="1"/>
  <c r="C3396" i="3" a="1"/>
  <c r="C3396" i="3" s="1"/>
  <c r="D3396" i="3" a="1"/>
  <c r="D3396" i="3" s="1"/>
  <c r="E3396" i="3" a="1"/>
  <c r="E3396" i="3" s="1"/>
  <c r="F3396" i="3" a="1"/>
  <c r="F3396" i="3" s="1"/>
  <c r="G3396" i="3" a="1"/>
  <c r="G3396" i="3" s="1"/>
  <c r="J3396" i="3" a="1"/>
  <c r="J3396" i="3" s="1"/>
  <c r="B3397" i="3" a="1"/>
  <c r="B3397" i="3" s="1"/>
  <c r="C3397" i="3" a="1"/>
  <c r="C3397" i="3" s="1"/>
  <c r="D3397" i="3" a="1"/>
  <c r="D3397" i="3" s="1"/>
  <c r="E3397" i="3" a="1"/>
  <c r="E3397" i="3" s="1"/>
  <c r="F3397" i="3" a="1"/>
  <c r="F3397" i="3" s="1"/>
  <c r="G3397" i="3" a="1"/>
  <c r="G3397" i="3" s="1"/>
  <c r="J3397" i="3" a="1"/>
  <c r="J3397" i="3" s="1"/>
  <c r="B3398" i="3" a="1"/>
  <c r="B3398" i="3" s="1"/>
  <c r="C3398" i="3" a="1"/>
  <c r="C3398" i="3" s="1"/>
  <c r="D3398" i="3" a="1"/>
  <c r="D3398" i="3" s="1"/>
  <c r="E3398" i="3" a="1"/>
  <c r="E3398" i="3" s="1"/>
  <c r="F3398" i="3" a="1"/>
  <c r="F3398" i="3" s="1"/>
  <c r="G3398" i="3" a="1"/>
  <c r="G3398" i="3" s="1"/>
  <c r="J3398" i="3" a="1"/>
  <c r="J3398" i="3" s="1"/>
  <c r="B3399" i="3" a="1"/>
  <c r="B3399" i="3" s="1"/>
  <c r="C3399" i="3" a="1"/>
  <c r="C3399" i="3" s="1"/>
  <c r="D3399" i="3" a="1"/>
  <c r="D3399" i="3" s="1"/>
  <c r="E3399" i="3" a="1"/>
  <c r="E3399" i="3" s="1"/>
  <c r="F3399" i="3" a="1"/>
  <c r="F3399" i="3" s="1"/>
  <c r="G3399" i="3" a="1"/>
  <c r="G3399" i="3" s="1"/>
  <c r="J3399" i="3" a="1"/>
  <c r="J3399" i="3" s="1"/>
  <c r="B3400" i="3" a="1"/>
  <c r="B3400" i="3" s="1"/>
  <c r="C3400" i="3" a="1"/>
  <c r="C3400" i="3" s="1"/>
  <c r="D3400" i="3" a="1"/>
  <c r="D3400" i="3" s="1"/>
  <c r="E3400" i="3" a="1"/>
  <c r="E3400" i="3" s="1"/>
  <c r="F3400" i="3" a="1"/>
  <c r="F3400" i="3" s="1"/>
  <c r="G3400" i="3" a="1"/>
  <c r="G3400" i="3" s="1"/>
  <c r="J3400" i="3" a="1"/>
  <c r="J3400" i="3" s="1"/>
  <c r="B3401" i="3" a="1"/>
  <c r="B3401" i="3" s="1"/>
  <c r="C3401" i="3" a="1"/>
  <c r="C3401" i="3" s="1"/>
  <c r="D3401" i="3" a="1"/>
  <c r="D3401" i="3" s="1"/>
  <c r="E3401" i="3" a="1"/>
  <c r="E3401" i="3" s="1"/>
  <c r="F3401" i="3" a="1"/>
  <c r="F3401" i="3" s="1"/>
  <c r="G3401" i="3" a="1"/>
  <c r="G3401" i="3" s="1"/>
  <c r="J3401" i="3" a="1"/>
  <c r="J3401" i="3" s="1"/>
  <c r="B3402" i="3" a="1"/>
  <c r="B3402" i="3" s="1"/>
  <c r="C3402" i="3" a="1"/>
  <c r="C3402" i="3" s="1"/>
  <c r="D3402" i="3" a="1"/>
  <c r="D3402" i="3" s="1"/>
  <c r="E3402" i="3" a="1"/>
  <c r="E3402" i="3" s="1"/>
  <c r="F3402" i="3" a="1"/>
  <c r="F3402" i="3" s="1"/>
  <c r="G3402" i="3" a="1"/>
  <c r="G3402" i="3" s="1"/>
  <c r="J3402" i="3" a="1"/>
  <c r="J3402" i="3" s="1"/>
  <c r="B3403" i="3" a="1"/>
  <c r="B3403" i="3" s="1"/>
  <c r="C3403" i="3" a="1"/>
  <c r="C3403" i="3" s="1"/>
  <c r="D3403" i="3" a="1"/>
  <c r="D3403" i="3" s="1"/>
  <c r="E3403" i="3" a="1"/>
  <c r="E3403" i="3" s="1"/>
  <c r="F3403" i="3" a="1"/>
  <c r="F3403" i="3" s="1"/>
  <c r="G3403" i="3" a="1"/>
  <c r="G3403" i="3" s="1"/>
  <c r="J3403" i="3" a="1"/>
  <c r="J3403" i="3" s="1"/>
  <c r="B3404" i="3" a="1"/>
  <c r="B3404" i="3" s="1"/>
  <c r="C3404" i="3" a="1"/>
  <c r="C3404" i="3" s="1"/>
  <c r="D3404" i="3" a="1"/>
  <c r="D3404" i="3" s="1"/>
  <c r="E3404" i="3" a="1"/>
  <c r="E3404" i="3" s="1"/>
  <c r="F3404" i="3" a="1"/>
  <c r="F3404" i="3" s="1"/>
  <c r="G3404" i="3" a="1"/>
  <c r="G3404" i="3" s="1"/>
  <c r="J3404" i="3" a="1"/>
  <c r="J3404" i="3" s="1"/>
  <c r="B3405" i="3" a="1"/>
  <c r="B3405" i="3" s="1"/>
  <c r="C3405" i="3" a="1"/>
  <c r="C3405" i="3" s="1"/>
  <c r="D3405" i="3" a="1"/>
  <c r="D3405" i="3" s="1"/>
  <c r="E3405" i="3" a="1"/>
  <c r="E3405" i="3" s="1"/>
  <c r="F3405" i="3" a="1"/>
  <c r="F3405" i="3" s="1"/>
  <c r="G3405" i="3" a="1"/>
  <c r="G3405" i="3" s="1"/>
  <c r="J3405" i="3" a="1"/>
  <c r="J3405" i="3" s="1"/>
  <c r="B3406" i="3" a="1"/>
  <c r="B3406" i="3" s="1"/>
  <c r="C3406" i="3" a="1"/>
  <c r="C3406" i="3" s="1"/>
  <c r="D3406" i="3" a="1"/>
  <c r="D3406" i="3" s="1"/>
  <c r="E3406" i="3" a="1"/>
  <c r="E3406" i="3" s="1"/>
  <c r="F3406" i="3" a="1"/>
  <c r="F3406" i="3" s="1"/>
  <c r="G3406" i="3" a="1"/>
  <c r="G3406" i="3" s="1"/>
  <c r="J3406" i="3" a="1"/>
  <c r="J3406" i="3" s="1"/>
  <c r="B3407" i="3" a="1"/>
  <c r="B3407" i="3" s="1"/>
  <c r="C3407" i="3" a="1"/>
  <c r="C3407" i="3" s="1"/>
  <c r="D3407" i="3" a="1"/>
  <c r="D3407" i="3" s="1"/>
  <c r="E3407" i="3" a="1"/>
  <c r="E3407" i="3" s="1"/>
  <c r="F3407" i="3" a="1"/>
  <c r="F3407" i="3" s="1"/>
  <c r="G3407" i="3" a="1"/>
  <c r="G3407" i="3" s="1"/>
  <c r="J3407" i="3" a="1"/>
  <c r="J3407" i="3" s="1"/>
  <c r="B3408" i="3" a="1"/>
  <c r="B3408" i="3" s="1"/>
  <c r="C3408" i="3" a="1"/>
  <c r="C3408" i="3" s="1"/>
  <c r="D3408" i="3" a="1"/>
  <c r="D3408" i="3" s="1"/>
  <c r="E3408" i="3" a="1"/>
  <c r="E3408" i="3" s="1"/>
  <c r="F3408" i="3" a="1"/>
  <c r="F3408" i="3" s="1"/>
  <c r="G3408" i="3" a="1"/>
  <c r="G3408" i="3" s="1"/>
  <c r="J3408" i="3" a="1"/>
  <c r="J3408" i="3" s="1"/>
  <c r="B3409" i="3" a="1"/>
  <c r="B3409" i="3" s="1"/>
  <c r="C3409" i="3" a="1"/>
  <c r="C3409" i="3" s="1"/>
  <c r="D3409" i="3" a="1"/>
  <c r="D3409" i="3" s="1"/>
  <c r="E3409" i="3" a="1"/>
  <c r="E3409" i="3" s="1"/>
  <c r="F3409" i="3" a="1"/>
  <c r="F3409" i="3" s="1"/>
  <c r="G3409" i="3" a="1"/>
  <c r="G3409" i="3" s="1"/>
  <c r="J3409" i="3" a="1"/>
  <c r="J3409" i="3" s="1"/>
  <c r="B3410" i="3" a="1"/>
  <c r="B3410" i="3" s="1"/>
  <c r="C3410" i="3" a="1"/>
  <c r="C3410" i="3" s="1"/>
  <c r="D3410" i="3" a="1"/>
  <c r="D3410" i="3" s="1"/>
  <c r="E3410" i="3" a="1"/>
  <c r="E3410" i="3" s="1"/>
  <c r="F3410" i="3" a="1"/>
  <c r="F3410" i="3" s="1"/>
  <c r="G3410" i="3" a="1"/>
  <c r="G3410" i="3" s="1"/>
  <c r="J3410" i="3" a="1"/>
  <c r="J3410" i="3" s="1"/>
  <c r="B3411" i="3" a="1"/>
  <c r="B3411" i="3" s="1"/>
  <c r="C3411" i="3" a="1"/>
  <c r="C3411" i="3" s="1"/>
  <c r="D3411" i="3" a="1"/>
  <c r="D3411" i="3" s="1"/>
  <c r="E3411" i="3" a="1"/>
  <c r="E3411" i="3" s="1"/>
  <c r="F3411" i="3" a="1"/>
  <c r="F3411" i="3" s="1"/>
  <c r="G3411" i="3" a="1"/>
  <c r="G3411" i="3" s="1"/>
  <c r="J3411" i="3" a="1"/>
  <c r="J3411" i="3" s="1"/>
  <c r="B3412" i="3" a="1"/>
  <c r="B3412" i="3" s="1"/>
  <c r="C3412" i="3" a="1"/>
  <c r="C3412" i="3" s="1"/>
  <c r="D3412" i="3" a="1"/>
  <c r="D3412" i="3" s="1"/>
  <c r="E3412" i="3" a="1"/>
  <c r="E3412" i="3" s="1"/>
  <c r="F3412" i="3" a="1"/>
  <c r="F3412" i="3" s="1"/>
  <c r="G3412" i="3" a="1"/>
  <c r="G3412" i="3" s="1"/>
  <c r="J3412" i="3" a="1"/>
  <c r="J3412" i="3" s="1"/>
  <c r="B3413" i="3" a="1"/>
  <c r="B3413" i="3" s="1"/>
  <c r="C3413" i="3" a="1"/>
  <c r="C3413" i="3" s="1"/>
  <c r="D3413" i="3" a="1"/>
  <c r="D3413" i="3" s="1"/>
  <c r="E3413" i="3" a="1"/>
  <c r="E3413" i="3" s="1"/>
  <c r="F3413" i="3" a="1"/>
  <c r="F3413" i="3" s="1"/>
  <c r="G3413" i="3" a="1"/>
  <c r="G3413" i="3" s="1"/>
  <c r="J3413" i="3" a="1"/>
  <c r="J3413" i="3" s="1"/>
  <c r="B3414" i="3" a="1"/>
  <c r="B3414" i="3" s="1"/>
  <c r="C3414" i="3" a="1"/>
  <c r="C3414" i="3" s="1"/>
  <c r="D3414" i="3" a="1"/>
  <c r="D3414" i="3" s="1"/>
  <c r="E3414" i="3" a="1"/>
  <c r="E3414" i="3" s="1"/>
  <c r="F3414" i="3" a="1"/>
  <c r="F3414" i="3" s="1"/>
  <c r="G3414" i="3" a="1"/>
  <c r="G3414" i="3" s="1"/>
  <c r="J3414" i="3" a="1"/>
  <c r="J3414" i="3" s="1"/>
  <c r="B3415" i="3" a="1"/>
  <c r="B3415" i="3" s="1"/>
  <c r="C3415" i="3" a="1"/>
  <c r="C3415" i="3" s="1"/>
  <c r="D3415" i="3" a="1"/>
  <c r="D3415" i="3" s="1"/>
  <c r="E3415" i="3" a="1"/>
  <c r="E3415" i="3" s="1"/>
  <c r="F3415" i="3" a="1"/>
  <c r="F3415" i="3" s="1"/>
  <c r="G3415" i="3" a="1"/>
  <c r="G3415" i="3" s="1"/>
  <c r="J3415" i="3" a="1"/>
  <c r="J3415" i="3" s="1"/>
  <c r="B3416" i="3" a="1"/>
  <c r="B3416" i="3" s="1"/>
  <c r="C3416" i="3" a="1"/>
  <c r="C3416" i="3" s="1"/>
  <c r="D3416" i="3" a="1"/>
  <c r="D3416" i="3" s="1"/>
  <c r="E3416" i="3" a="1"/>
  <c r="E3416" i="3" s="1"/>
  <c r="F3416" i="3" a="1"/>
  <c r="F3416" i="3" s="1"/>
  <c r="G3416" i="3" a="1"/>
  <c r="G3416" i="3" s="1"/>
  <c r="J3416" i="3" a="1"/>
  <c r="J3416" i="3" s="1"/>
  <c r="B3417" i="3" a="1"/>
  <c r="B3417" i="3" s="1"/>
  <c r="C3417" i="3" a="1"/>
  <c r="C3417" i="3" s="1"/>
  <c r="D3417" i="3" a="1"/>
  <c r="D3417" i="3" s="1"/>
  <c r="E3417" i="3" a="1"/>
  <c r="E3417" i="3" s="1"/>
  <c r="F3417" i="3" a="1"/>
  <c r="F3417" i="3" s="1"/>
  <c r="G3417" i="3" a="1"/>
  <c r="G3417" i="3" s="1"/>
  <c r="J3417" i="3" a="1"/>
  <c r="J3417" i="3" s="1"/>
  <c r="B3418" i="3" a="1"/>
  <c r="B3418" i="3" s="1"/>
  <c r="C3418" i="3" a="1"/>
  <c r="C3418" i="3" s="1"/>
  <c r="D3418" i="3" a="1"/>
  <c r="D3418" i="3" s="1"/>
  <c r="E3418" i="3" a="1"/>
  <c r="E3418" i="3" s="1"/>
  <c r="F3418" i="3" a="1"/>
  <c r="F3418" i="3" s="1"/>
  <c r="G3418" i="3" a="1"/>
  <c r="G3418" i="3" s="1"/>
  <c r="J3418" i="3" a="1"/>
  <c r="J3418" i="3" s="1"/>
  <c r="B3419" i="3" a="1"/>
  <c r="B3419" i="3" s="1"/>
  <c r="C3419" i="3" a="1"/>
  <c r="C3419" i="3" s="1"/>
  <c r="D3419" i="3" a="1"/>
  <c r="D3419" i="3" s="1"/>
  <c r="E3419" i="3" a="1"/>
  <c r="E3419" i="3" s="1"/>
  <c r="F3419" i="3" a="1"/>
  <c r="F3419" i="3" s="1"/>
  <c r="G3419" i="3" a="1"/>
  <c r="G3419" i="3" s="1"/>
  <c r="J3419" i="3" a="1"/>
  <c r="J3419" i="3" s="1"/>
  <c r="B3420" i="3" a="1"/>
  <c r="B3420" i="3" s="1"/>
  <c r="C3420" i="3" a="1"/>
  <c r="C3420" i="3" s="1"/>
  <c r="D3420" i="3" a="1"/>
  <c r="D3420" i="3" s="1"/>
  <c r="E3420" i="3" a="1"/>
  <c r="E3420" i="3" s="1"/>
  <c r="F3420" i="3" a="1"/>
  <c r="F3420" i="3" s="1"/>
  <c r="G3420" i="3" a="1"/>
  <c r="G3420" i="3" s="1"/>
  <c r="J3420" i="3" a="1"/>
  <c r="J3420" i="3" s="1"/>
  <c r="B3421" i="3" a="1"/>
  <c r="B3421" i="3" s="1"/>
  <c r="C3421" i="3" a="1"/>
  <c r="C3421" i="3" s="1"/>
  <c r="D3421" i="3" a="1"/>
  <c r="D3421" i="3" s="1"/>
  <c r="E3421" i="3" a="1"/>
  <c r="E3421" i="3" s="1"/>
  <c r="F3421" i="3" a="1"/>
  <c r="F3421" i="3" s="1"/>
  <c r="G3421" i="3" a="1"/>
  <c r="G3421" i="3" s="1"/>
  <c r="J3421" i="3" a="1"/>
  <c r="J3421" i="3" s="1"/>
  <c r="B3422" i="3" a="1"/>
  <c r="B3422" i="3" s="1"/>
  <c r="C3422" i="3" a="1"/>
  <c r="C3422" i="3" s="1"/>
  <c r="D3422" i="3" a="1"/>
  <c r="D3422" i="3" s="1"/>
  <c r="E3422" i="3" a="1"/>
  <c r="E3422" i="3" s="1"/>
  <c r="F3422" i="3" a="1"/>
  <c r="F3422" i="3" s="1"/>
  <c r="G3422" i="3" a="1"/>
  <c r="G3422" i="3" s="1"/>
  <c r="J3422" i="3" a="1"/>
  <c r="J3422" i="3" s="1"/>
  <c r="B3423" i="3" a="1"/>
  <c r="B3423" i="3" s="1"/>
  <c r="C3423" i="3" a="1"/>
  <c r="C3423" i="3" s="1"/>
  <c r="D3423" i="3" a="1"/>
  <c r="D3423" i="3" s="1"/>
  <c r="E3423" i="3" a="1"/>
  <c r="E3423" i="3" s="1"/>
  <c r="F3423" i="3" a="1"/>
  <c r="F3423" i="3" s="1"/>
  <c r="G3423" i="3" a="1"/>
  <c r="G3423" i="3" s="1"/>
  <c r="J3423" i="3" a="1"/>
  <c r="J3423" i="3" s="1"/>
  <c r="B3424" i="3" a="1"/>
  <c r="B3424" i="3" s="1"/>
  <c r="C3424" i="3" a="1"/>
  <c r="C3424" i="3" s="1"/>
  <c r="D3424" i="3" a="1"/>
  <c r="D3424" i="3" s="1"/>
  <c r="E3424" i="3" a="1"/>
  <c r="E3424" i="3" s="1"/>
  <c r="F3424" i="3" a="1"/>
  <c r="F3424" i="3" s="1"/>
  <c r="G3424" i="3" a="1"/>
  <c r="G3424" i="3" s="1"/>
  <c r="J3424" i="3" a="1"/>
  <c r="J3424" i="3" s="1"/>
  <c r="B3425" i="3" a="1"/>
  <c r="B3425" i="3" s="1"/>
  <c r="C3425" i="3" a="1"/>
  <c r="C3425" i="3" s="1"/>
  <c r="D3425" i="3" a="1"/>
  <c r="D3425" i="3" s="1"/>
  <c r="E3425" i="3" a="1"/>
  <c r="E3425" i="3" s="1"/>
  <c r="F3425" i="3" a="1"/>
  <c r="F3425" i="3" s="1"/>
  <c r="G3425" i="3" a="1"/>
  <c r="G3425" i="3" s="1"/>
  <c r="J3425" i="3" a="1"/>
  <c r="J3425" i="3" s="1"/>
  <c r="B3426" i="3" a="1"/>
  <c r="B3426" i="3" s="1"/>
  <c r="C3426" i="3" a="1"/>
  <c r="C3426" i="3" s="1"/>
  <c r="D3426" i="3" a="1"/>
  <c r="D3426" i="3" s="1"/>
  <c r="E3426" i="3" a="1"/>
  <c r="E3426" i="3" s="1"/>
  <c r="F3426" i="3" a="1"/>
  <c r="F3426" i="3" s="1"/>
  <c r="G3426" i="3" a="1"/>
  <c r="G3426" i="3" s="1"/>
  <c r="J3426" i="3" a="1"/>
  <c r="J3426" i="3" s="1"/>
  <c r="B3427" i="3" a="1"/>
  <c r="B3427" i="3" s="1"/>
  <c r="C3427" i="3" a="1"/>
  <c r="C3427" i="3" s="1"/>
  <c r="D3427" i="3" a="1"/>
  <c r="D3427" i="3" s="1"/>
  <c r="E3427" i="3" a="1"/>
  <c r="E3427" i="3" s="1"/>
  <c r="F3427" i="3" a="1"/>
  <c r="F3427" i="3" s="1"/>
  <c r="G3427" i="3" a="1"/>
  <c r="G3427" i="3" s="1"/>
  <c r="J3427" i="3" a="1"/>
  <c r="J3427" i="3" s="1"/>
  <c r="B3428" i="3" a="1"/>
  <c r="B3428" i="3" s="1"/>
  <c r="C3428" i="3" a="1"/>
  <c r="C3428" i="3" s="1"/>
  <c r="D3428" i="3" a="1"/>
  <c r="D3428" i="3" s="1"/>
  <c r="E3428" i="3" a="1"/>
  <c r="E3428" i="3" s="1"/>
  <c r="F3428" i="3" a="1"/>
  <c r="F3428" i="3" s="1"/>
  <c r="G3428" i="3" a="1"/>
  <c r="G3428" i="3" s="1"/>
  <c r="J3428" i="3" a="1"/>
  <c r="J3428" i="3" s="1"/>
  <c r="B3429" i="3" a="1"/>
  <c r="B3429" i="3" s="1"/>
  <c r="C3429" i="3" a="1"/>
  <c r="C3429" i="3" s="1"/>
  <c r="D3429" i="3" a="1"/>
  <c r="D3429" i="3" s="1"/>
  <c r="E3429" i="3" a="1"/>
  <c r="E3429" i="3" s="1"/>
  <c r="F3429" i="3" a="1"/>
  <c r="F3429" i="3" s="1"/>
  <c r="G3429" i="3" a="1"/>
  <c r="G3429" i="3" s="1"/>
  <c r="J3429" i="3" a="1"/>
  <c r="J3429" i="3" s="1"/>
  <c r="B3430" i="3" a="1"/>
  <c r="B3430" i="3" s="1"/>
  <c r="C3430" i="3" a="1"/>
  <c r="C3430" i="3" s="1"/>
  <c r="D3430" i="3" a="1"/>
  <c r="D3430" i="3" s="1"/>
  <c r="E3430" i="3" a="1"/>
  <c r="E3430" i="3" s="1"/>
  <c r="F3430" i="3" a="1"/>
  <c r="F3430" i="3" s="1"/>
  <c r="G3430" i="3" a="1"/>
  <c r="G3430" i="3" s="1"/>
  <c r="J3430" i="3" a="1"/>
  <c r="J3430" i="3" s="1"/>
  <c r="B3431" i="3" a="1"/>
  <c r="B3431" i="3" s="1"/>
  <c r="C3431" i="3" a="1"/>
  <c r="C3431" i="3" s="1"/>
  <c r="D3431" i="3" a="1"/>
  <c r="D3431" i="3" s="1"/>
  <c r="E3431" i="3" a="1"/>
  <c r="E3431" i="3" s="1"/>
  <c r="F3431" i="3" a="1"/>
  <c r="F3431" i="3" s="1"/>
  <c r="G3431" i="3" a="1"/>
  <c r="G3431" i="3" s="1"/>
  <c r="J3431" i="3" a="1"/>
  <c r="J3431" i="3" s="1"/>
  <c r="B3432" i="3" a="1"/>
  <c r="B3432" i="3" s="1"/>
  <c r="C3432" i="3" a="1"/>
  <c r="C3432" i="3" s="1"/>
  <c r="D3432" i="3" a="1"/>
  <c r="D3432" i="3" s="1"/>
  <c r="E3432" i="3" a="1"/>
  <c r="E3432" i="3" s="1"/>
  <c r="F3432" i="3" a="1"/>
  <c r="F3432" i="3" s="1"/>
  <c r="G3432" i="3" a="1"/>
  <c r="G3432" i="3" s="1"/>
  <c r="J3432" i="3" a="1"/>
  <c r="J3432" i="3" s="1"/>
  <c r="B3433" i="3" a="1"/>
  <c r="B3433" i="3" s="1"/>
  <c r="C3433" i="3" a="1"/>
  <c r="C3433" i="3" s="1"/>
  <c r="D3433" i="3" a="1"/>
  <c r="D3433" i="3" s="1"/>
  <c r="E3433" i="3" a="1"/>
  <c r="E3433" i="3" s="1"/>
  <c r="F3433" i="3" a="1"/>
  <c r="F3433" i="3" s="1"/>
  <c r="G3433" i="3" a="1"/>
  <c r="G3433" i="3" s="1"/>
  <c r="J3433" i="3" a="1"/>
  <c r="J3433" i="3" s="1"/>
  <c r="B3434" i="3" a="1"/>
  <c r="B3434" i="3" s="1"/>
  <c r="C3434" i="3" a="1"/>
  <c r="C3434" i="3" s="1"/>
  <c r="D3434" i="3" a="1"/>
  <c r="D3434" i="3" s="1"/>
  <c r="E3434" i="3" a="1"/>
  <c r="E3434" i="3" s="1"/>
  <c r="F3434" i="3" a="1"/>
  <c r="F3434" i="3" s="1"/>
  <c r="G3434" i="3" a="1"/>
  <c r="G3434" i="3" s="1"/>
  <c r="J3434" i="3" a="1"/>
  <c r="J3434" i="3" s="1"/>
  <c r="B3435" i="3" a="1"/>
  <c r="B3435" i="3" s="1"/>
  <c r="C3435" i="3" a="1"/>
  <c r="C3435" i="3" s="1"/>
  <c r="D3435" i="3" a="1"/>
  <c r="D3435" i="3" s="1"/>
  <c r="E3435" i="3" a="1"/>
  <c r="E3435" i="3" s="1"/>
  <c r="F3435" i="3" a="1"/>
  <c r="F3435" i="3" s="1"/>
  <c r="G3435" i="3" a="1"/>
  <c r="G3435" i="3" s="1"/>
  <c r="J3435" i="3" a="1"/>
  <c r="J3435" i="3" s="1"/>
  <c r="B3436" i="3" a="1"/>
  <c r="B3436" i="3" s="1"/>
  <c r="C3436" i="3" a="1"/>
  <c r="C3436" i="3" s="1"/>
  <c r="D3436" i="3" a="1"/>
  <c r="D3436" i="3" s="1"/>
  <c r="E3436" i="3" a="1"/>
  <c r="E3436" i="3" s="1"/>
  <c r="F3436" i="3" a="1"/>
  <c r="F3436" i="3" s="1"/>
  <c r="G3436" i="3" a="1"/>
  <c r="G3436" i="3" s="1"/>
  <c r="J3436" i="3" a="1"/>
  <c r="J3436" i="3" s="1"/>
  <c r="B3437" i="3" a="1"/>
  <c r="B3437" i="3" s="1"/>
  <c r="C3437" i="3" a="1"/>
  <c r="C3437" i="3" s="1"/>
  <c r="D3437" i="3" a="1"/>
  <c r="D3437" i="3" s="1"/>
  <c r="E3437" i="3" a="1"/>
  <c r="E3437" i="3" s="1"/>
  <c r="F3437" i="3" a="1"/>
  <c r="F3437" i="3" s="1"/>
  <c r="G3437" i="3" a="1"/>
  <c r="G3437" i="3" s="1"/>
  <c r="J3437" i="3" a="1"/>
  <c r="J3437" i="3" s="1"/>
  <c r="B3438" i="3" a="1"/>
  <c r="B3438" i="3" s="1"/>
  <c r="C3438" i="3" a="1"/>
  <c r="C3438" i="3" s="1"/>
  <c r="D3438" i="3" a="1"/>
  <c r="D3438" i="3" s="1"/>
  <c r="E3438" i="3" a="1"/>
  <c r="E3438" i="3" s="1"/>
  <c r="F3438" i="3" a="1"/>
  <c r="F3438" i="3" s="1"/>
  <c r="G3438" i="3" a="1"/>
  <c r="G3438" i="3" s="1"/>
  <c r="J3438" i="3" a="1"/>
  <c r="J3438" i="3" s="1"/>
  <c r="B3439" i="3" a="1"/>
  <c r="B3439" i="3" s="1"/>
  <c r="C3439" i="3" a="1"/>
  <c r="C3439" i="3" s="1"/>
  <c r="D3439" i="3" a="1"/>
  <c r="D3439" i="3" s="1"/>
  <c r="E3439" i="3" a="1"/>
  <c r="E3439" i="3" s="1"/>
  <c r="F3439" i="3" a="1"/>
  <c r="F3439" i="3" s="1"/>
  <c r="G3439" i="3" a="1"/>
  <c r="G3439" i="3" s="1"/>
  <c r="J3439" i="3" a="1"/>
  <c r="J3439" i="3" s="1"/>
  <c r="B3440" i="3" a="1"/>
  <c r="B3440" i="3" s="1"/>
  <c r="C3440" i="3" a="1"/>
  <c r="C3440" i="3" s="1"/>
  <c r="D3440" i="3" a="1"/>
  <c r="D3440" i="3" s="1"/>
  <c r="E3440" i="3" a="1"/>
  <c r="E3440" i="3" s="1"/>
  <c r="F3440" i="3" a="1"/>
  <c r="F3440" i="3" s="1"/>
  <c r="G3440" i="3" a="1"/>
  <c r="G3440" i="3" s="1"/>
  <c r="J3440" i="3" a="1"/>
  <c r="J3440" i="3" s="1"/>
  <c r="B3441" i="3" a="1"/>
  <c r="B3441" i="3" s="1"/>
  <c r="C3441" i="3" a="1"/>
  <c r="C3441" i="3" s="1"/>
  <c r="D3441" i="3" a="1"/>
  <c r="D3441" i="3" s="1"/>
  <c r="E3441" i="3" a="1"/>
  <c r="E3441" i="3" s="1"/>
  <c r="F3441" i="3" a="1"/>
  <c r="F3441" i="3" s="1"/>
  <c r="G3441" i="3" a="1"/>
  <c r="G3441" i="3" s="1"/>
  <c r="J3441" i="3" a="1"/>
  <c r="J3441" i="3" s="1"/>
  <c r="B3442" i="3" a="1"/>
  <c r="B3442" i="3" s="1"/>
  <c r="C3442" i="3" a="1"/>
  <c r="C3442" i="3" s="1"/>
  <c r="D3442" i="3" a="1"/>
  <c r="D3442" i="3" s="1"/>
  <c r="E3442" i="3" a="1"/>
  <c r="E3442" i="3" s="1"/>
  <c r="F3442" i="3" a="1"/>
  <c r="F3442" i="3" s="1"/>
  <c r="G3442" i="3" a="1"/>
  <c r="G3442" i="3" s="1"/>
  <c r="J3442" i="3" a="1"/>
  <c r="J3442" i="3" s="1"/>
  <c r="B3443" i="3" a="1"/>
  <c r="B3443" i="3" s="1"/>
  <c r="C3443" i="3" a="1"/>
  <c r="C3443" i="3" s="1"/>
  <c r="D3443" i="3" a="1"/>
  <c r="D3443" i="3" s="1"/>
  <c r="E3443" i="3" a="1"/>
  <c r="E3443" i="3" s="1"/>
  <c r="F3443" i="3" a="1"/>
  <c r="F3443" i="3" s="1"/>
  <c r="G3443" i="3" a="1"/>
  <c r="G3443" i="3" s="1"/>
  <c r="J3443" i="3" a="1"/>
  <c r="J3443" i="3" s="1"/>
  <c r="B3444" i="3" a="1"/>
  <c r="B3444" i="3" s="1"/>
  <c r="C3444" i="3" a="1"/>
  <c r="C3444" i="3" s="1"/>
  <c r="D3444" i="3" a="1"/>
  <c r="D3444" i="3" s="1"/>
  <c r="E3444" i="3" a="1"/>
  <c r="E3444" i="3" s="1"/>
  <c r="F3444" i="3" a="1"/>
  <c r="F3444" i="3" s="1"/>
  <c r="G3444" i="3" a="1"/>
  <c r="G3444" i="3" s="1"/>
  <c r="J3444" i="3" a="1"/>
  <c r="J3444" i="3" s="1"/>
  <c r="B3445" i="3" a="1"/>
  <c r="B3445" i="3" s="1"/>
  <c r="C3445" i="3" a="1"/>
  <c r="C3445" i="3" s="1"/>
  <c r="D3445" i="3" a="1"/>
  <c r="D3445" i="3" s="1"/>
  <c r="E3445" i="3" a="1"/>
  <c r="E3445" i="3" s="1"/>
  <c r="F3445" i="3" a="1"/>
  <c r="F3445" i="3" s="1"/>
  <c r="G3445" i="3" a="1"/>
  <c r="G3445" i="3" s="1"/>
  <c r="J3445" i="3" a="1"/>
  <c r="J3445" i="3" s="1"/>
  <c r="B3446" i="3" a="1"/>
  <c r="B3446" i="3" s="1"/>
  <c r="C3446" i="3" a="1"/>
  <c r="C3446" i="3" s="1"/>
  <c r="D3446" i="3" a="1"/>
  <c r="D3446" i="3" s="1"/>
  <c r="E3446" i="3" a="1"/>
  <c r="E3446" i="3" s="1"/>
  <c r="F3446" i="3" a="1"/>
  <c r="F3446" i="3" s="1"/>
  <c r="G3446" i="3" a="1"/>
  <c r="G3446" i="3" s="1"/>
  <c r="J3446" i="3" a="1"/>
  <c r="J3446" i="3" s="1"/>
  <c r="B3447" i="3" a="1"/>
  <c r="B3447" i="3" s="1"/>
  <c r="C3447" i="3" a="1"/>
  <c r="C3447" i="3" s="1"/>
  <c r="D3447" i="3" a="1"/>
  <c r="D3447" i="3" s="1"/>
  <c r="E3447" i="3" a="1"/>
  <c r="E3447" i="3" s="1"/>
  <c r="F3447" i="3" a="1"/>
  <c r="F3447" i="3" s="1"/>
  <c r="G3447" i="3" a="1"/>
  <c r="G3447" i="3" s="1"/>
  <c r="J3447" i="3" a="1"/>
  <c r="J3447" i="3" s="1"/>
  <c r="B3448" i="3" a="1"/>
  <c r="B3448" i="3" s="1"/>
  <c r="C3448" i="3" a="1"/>
  <c r="C3448" i="3" s="1"/>
  <c r="D3448" i="3" a="1"/>
  <c r="D3448" i="3" s="1"/>
  <c r="E3448" i="3" a="1"/>
  <c r="E3448" i="3" s="1"/>
  <c r="F3448" i="3" a="1"/>
  <c r="F3448" i="3" s="1"/>
  <c r="G3448" i="3" a="1"/>
  <c r="G3448" i="3" s="1"/>
  <c r="J3448" i="3" a="1"/>
  <c r="J3448" i="3" s="1"/>
  <c r="B3449" i="3" a="1"/>
  <c r="B3449" i="3" s="1"/>
  <c r="C3449" i="3" a="1"/>
  <c r="C3449" i="3" s="1"/>
  <c r="D3449" i="3" a="1"/>
  <c r="D3449" i="3" s="1"/>
  <c r="E3449" i="3" a="1"/>
  <c r="E3449" i="3" s="1"/>
  <c r="F3449" i="3" a="1"/>
  <c r="F3449" i="3" s="1"/>
  <c r="G3449" i="3" a="1"/>
  <c r="G3449" i="3" s="1"/>
  <c r="J3449" i="3" a="1"/>
  <c r="J3449" i="3" s="1"/>
  <c r="B3450" i="3" a="1"/>
  <c r="B3450" i="3" s="1"/>
  <c r="C3450" i="3" a="1"/>
  <c r="C3450" i="3" s="1"/>
  <c r="D3450" i="3" a="1"/>
  <c r="D3450" i="3" s="1"/>
  <c r="E3450" i="3" a="1"/>
  <c r="E3450" i="3" s="1"/>
  <c r="F3450" i="3" a="1"/>
  <c r="F3450" i="3" s="1"/>
  <c r="G3450" i="3" a="1"/>
  <c r="G3450" i="3" s="1"/>
  <c r="J3450" i="3" a="1"/>
  <c r="J3450" i="3" s="1"/>
  <c r="B3451" i="3" a="1"/>
  <c r="B3451" i="3" s="1"/>
  <c r="C3451" i="3" a="1"/>
  <c r="C3451" i="3" s="1"/>
  <c r="D3451" i="3" a="1"/>
  <c r="D3451" i="3" s="1"/>
  <c r="E3451" i="3" a="1"/>
  <c r="E3451" i="3" s="1"/>
  <c r="F3451" i="3" a="1"/>
  <c r="F3451" i="3" s="1"/>
  <c r="G3451" i="3" a="1"/>
  <c r="G3451" i="3" s="1"/>
  <c r="J3451" i="3" a="1"/>
  <c r="J3451" i="3" s="1"/>
  <c r="B3452" i="3" a="1"/>
  <c r="B3452" i="3" s="1"/>
  <c r="C3452" i="3" a="1"/>
  <c r="C3452" i="3" s="1"/>
  <c r="D3452" i="3" a="1"/>
  <c r="D3452" i="3" s="1"/>
  <c r="E3452" i="3" a="1"/>
  <c r="E3452" i="3" s="1"/>
  <c r="F3452" i="3" a="1"/>
  <c r="F3452" i="3" s="1"/>
  <c r="G3452" i="3" a="1"/>
  <c r="G3452" i="3" s="1"/>
  <c r="J3452" i="3" a="1"/>
  <c r="J3452" i="3" s="1"/>
  <c r="B3453" i="3" a="1"/>
  <c r="B3453" i="3" s="1"/>
  <c r="C3453" i="3" a="1"/>
  <c r="C3453" i="3" s="1"/>
  <c r="D3453" i="3" a="1"/>
  <c r="D3453" i="3" s="1"/>
  <c r="E3453" i="3" a="1"/>
  <c r="E3453" i="3" s="1"/>
  <c r="F3453" i="3" a="1"/>
  <c r="F3453" i="3" s="1"/>
  <c r="G3453" i="3" a="1"/>
  <c r="G3453" i="3" s="1"/>
  <c r="J3453" i="3" a="1"/>
  <c r="J3453" i="3" s="1"/>
  <c r="B3454" i="3" a="1"/>
  <c r="B3454" i="3" s="1"/>
  <c r="C3454" i="3" a="1"/>
  <c r="C3454" i="3" s="1"/>
  <c r="D3454" i="3" a="1"/>
  <c r="D3454" i="3" s="1"/>
  <c r="E3454" i="3" a="1"/>
  <c r="E3454" i="3" s="1"/>
  <c r="F3454" i="3" a="1"/>
  <c r="F3454" i="3" s="1"/>
  <c r="G3454" i="3" a="1"/>
  <c r="G3454" i="3" s="1"/>
  <c r="J3454" i="3" a="1"/>
  <c r="J3454" i="3" s="1"/>
  <c r="B3455" i="3" a="1"/>
  <c r="B3455" i="3" s="1"/>
  <c r="C3455" i="3" a="1"/>
  <c r="C3455" i="3" s="1"/>
  <c r="D3455" i="3" a="1"/>
  <c r="D3455" i="3" s="1"/>
  <c r="E3455" i="3" a="1"/>
  <c r="E3455" i="3" s="1"/>
  <c r="F3455" i="3" a="1"/>
  <c r="F3455" i="3" s="1"/>
  <c r="G3455" i="3" a="1"/>
  <c r="G3455" i="3" s="1"/>
  <c r="J3455" i="3" a="1"/>
  <c r="J3455" i="3" s="1"/>
  <c r="B3456" i="3" a="1"/>
  <c r="B3456" i="3" s="1"/>
  <c r="C3456" i="3" a="1"/>
  <c r="C3456" i="3" s="1"/>
  <c r="D3456" i="3" a="1"/>
  <c r="D3456" i="3" s="1"/>
  <c r="E3456" i="3" a="1"/>
  <c r="E3456" i="3" s="1"/>
  <c r="F3456" i="3" a="1"/>
  <c r="F3456" i="3" s="1"/>
  <c r="G3456" i="3" a="1"/>
  <c r="G3456" i="3" s="1"/>
  <c r="J3456" i="3" a="1"/>
  <c r="J3456" i="3" s="1"/>
  <c r="B3457" i="3" a="1"/>
  <c r="B3457" i="3" s="1"/>
  <c r="C3457" i="3" a="1"/>
  <c r="C3457" i="3" s="1"/>
  <c r="D3457" i="3" a="1"/>
  <c r="D3457" i="3" s="1"/>
  <c r="E3457" i="3" a="1"/>
  <c r="E3457" i="3" s="1"/>
  <c r="F3457" i="3" a="1"/>
  <c r="F3457" i="3" s="1"/>
  <c r="G3457" i="3" a="1"/>
  <c r="G3457" i="3" s="1"/>
  <c r="J3457" i="3" a="1"/>
  <c r="J3457" i="3" s="1"/>
  <c r="B3458" i="3" a="1"/>
  <c r="B3458" i="3" s="1"/>
  <c r="C3458" i="3" a="1"/>
  <c r="C3458" i="3" s="1"/>
  <c r="D3458" i="3" a="1"/>
  <c r="D3458" i="3" s="1"/>
  <c r="E3458" i="3" a="1"/>
  <c r="E3458" i="3" s="1"/>
  <c r="F3458" i="3" a="1"/>
  <c r="F3458" i="3" s="1"/>
  <c r="G3458" i="3" a="1"/>
  <c r="G3458" i="3" s="1"/>
  <c r="J3458" i="3" a="1"/>
  <c r="J3458" i="3" s="1"/>
  <c r="B3459" i="3" a="1"/>
  <c r="B3459" i="3" s="1"/>
  <c r="C3459" i="3" a="1"/>
  <c r="C3459" i="3" s="1"/>
  <c r="D3459" i="3" a="1"/>
  <c r="D3459" i="3" s="1"/>
  <c r="E3459" i="3" a="1"/>
  <c r="E3459" i="3" s="1"/>
  <c r="F3459" i="3" a="1"/>
  <c r="F3459" i="3" s="1"/>
  <c r="G3459" i="3" a="1"/>
  <c r="G3459" i="3" s="1"/>
  <c r="J3459" i="3" a="1"/>
  <c r="J3459" i="3" s="1"/>
  <c r="B3460" i="3" a="1"/>
  <c r="B3460" i="3" s="1"/>
  <c r="C3460" i="3" a="1"/>
  <c r="C3460" i="3" s="1"/>
  <c r="D3460" i="3" a="1"/>
  <c r="D3460" i="3" s="1"/>
  <c r="E3460" i="3" a="1"/>
  <c r="E3460" i="3" s="1"/>
  <c r="F3460" i="3" a="1"/>
  <c r="F3460" i="3" s="1"/>
  <c r="G3460" i="3" a="1"/>
  <c r="G3460" i="3" s="1"/>
  <c r="J3460" i="3" a="1"/>
  <c r="J3460" i="3" s="1"/>
  <c r="B3461" i="3" a="1"/>
  <c r="B3461" i="3" s="1"/>
  <c r="C3461" i="3" a="1"/>
  <c r="C3461" i="3" s="1"/>
  <c r="D3461" i="3" a="1"/>
  <c r="D3461" i="3" s="1"/>
  <c r="E3461" i="3" a="1"/>
  <c r="E3461" i="3" s="1"/>
  <c r="F3461" i="3" a="1"/>
  <c r="F3461" i="3" s="1"/>
  <c r="G3461" i="3" a="1"/>
  <c r="G3461" i="3" s="1"/>
  <c r="J3461" i="3" a="1"/>
  <c r="J3461" i="3" s="1"/>
  <c r="B3462" i="3" a="1"/>
  <c r="B3462" i="3" s="1"/>
  <c r="C3462" i="3" a="1"/>
  <c r="C3462" i="3" s="1"/>
  <c r="D3462" i="3" a="1"/>
  <c r="D3462" i="3" s="1"/>
  <c r="E3462" i="3" a="1"/>
  <c r="E3462" i="3" s="1"/>
  <c r="F3462" i="3" a="1"/>
  <c r="F3462" i="3" s="1"/>
  <c r="G3462" i="3" a="1"/>
  <c r="G3462" i="3" s="1"/>
  <c r="J3462" i="3" a="1"/>
  <c r="J3462" i="3" s="1"/>
  <c r="B3463" i="3" a="1"/>
  <c r="B3463" i="3" s="1"/>
  <c r="C3463" i="3" a="1"/>
  <c r="C3463" i="3" s="1"/>
  <c r="D3463" i="3" a="1"/>
  <c r="D3463" i="3" s="1"/>
  <c r="E3463" i="3" a="1"/>
  <c r="E3463" i="3" s="1"/>
  <c r="F3463" i="3" a="1"/>
  <c r="F3463" i="3" s="1"/>
  <c r="G3463" i="3" a="1"/>
  <c r="G3463" i="3" s="1"/>
  <c r="J3463" i="3" a="1"/>
  <c r="J3463" i="3" s="1"/>
  <c r="B3464" i="3" a="1"/>
  <c r="B3464" i="3" s="1"/>
  <c r="C3464" i="3" a="1"/>
  <c r="C3464" i="3" s="1"/>
  <c r="D3464" i="3" a="1"/>
  <c r="D3464" i="3" s="1"/>
  <c r="E3464" i="3" a="1"/>
  <c r="E3464" i="3" s="1"/>
  <c r="F3464" i="3" a="1"/>
  <c r="F3464" i="3" s="1"/>
  <c r="G3464" i="3" a="1"/>
  <c r="G3464" i="3" s="1"/>
  <c r="J3464" i="3" a="1"/>
  <c r="J3464" i="3" s="1"/>
  <c r="B3465" i="3" a="1"/>
  <c r="B3465" i="3" s="1"/>
  <c r="C3465" i="3" a="1"/>
  <c r="C3465" i="3" s="1"/>
  <c r="D3465" i="3" a="1"/>
  <c r="D3465" i="3" s="1"/>
  <c r="E3465" i="3" a="1"/>
  <c r="E3465" i="3" s="1"/>
  <c r="F3465" i="3" a="1"/>
  <c r="F3465" i="3" s="1"/>
  <c r="G3465" i="3" a="1"/>
  <c r="G3465" i="3" s="1"/>
  <c r="J3465" i="3" a="1"/>
  <c r="J3465" i="3" s="1"/>
  <c r="B3466" i="3" a="1"/>
  <c r="B3466" i="3" s="1"/>
  <c r="C3466" i="3" a="1"/>
  <c r="C3466" i="3" s="1"/>
  <c r="D3466" i="3" a="1"/>
  <c r="D3466" i="3" s="1"/>
  <c r="E3466" i="3" a="1"/>
  <c r="E3466" i="3" s="1"/>
  <c r="F3466" i="3" a="1"/>
  <c r="F3466" i="3" s="1"/>
  <c r="G3466" i="3" a="1"/>
  <c r="G3466" i="3" s="1"/>
  <c r="J3466" i="3" a="1"/>
  <c r="J3466" i="3" s="1"/>
  <c r="B3467" i="3" a="1"/>
  <c r="B3467" i="3" s="1"/>
  <c r="C3467" i="3" a="1"/>
  <c r="C3467" i="3" s="1"/>
  <c r="D3467" i="3" a="1"/>
  <c r="D3467" i="3" s="1"/>
  <c r="E3467" i="3" a="1"/>
  <c r="E3467" i="3" s="1"/>
  <c r="F3467" i="3" a="1"/>
  <c r="F3467" i="3" s="1"/>
  <c r="G3467" i="3" a="1"/>
  <c r="G3467" i="3" s="1"/>
  <c r="J3467" i="3" a="1"/>
  <c r="J3467" i="3" s="1"/>
  <c r="B3468" i="3" a="1"/>
  <c r="B3468" i="3" s="1"/>
  <c r="C3468" i="3" a="1"/>
  <c r="C3468" i="3" s="1"/>
  <c r="D3468" i="3" a="1"/>
  <c r="D3468" i="3" s="1"/>
  <c r="E3468" i="3" a="1"/>
  <c r="E3468" i="3" s="1"/>
  <c r="F3468" i="3" a="1"/>
  <c r="F3468" i="3" s="1"/>
  <c r="G3468" i="3" a="1"/>
  <c r="G3468" i="3" s="1"/>
  <c r="J3468" i="3" a="1"/>
  <c r="J3468" i="3" s="1"/>
  <c r="B3469" i="3" a="1"/>
  <c r="B3469" i="3" s="1"/>
  <c r="C3469" i="3" a="1"/>
  <c r="C3469" i="3" s="1"/>
  <c r="D3469" i="3" a="1"/>
  <c r="D3469" i="3" s="1"/>
  <c r="E3469" i="3" a="1"/>
  <c r="E3469" i="3" s="1"/>
  <c r="F3469" i="3" a="1"/>
  <c r="F3469" i="3" s="1"/>
  <c r="G3469" i="3" a="1"/>
  <c r="G3469" i="3" s="1"/>
  <c r="J3469" i="3" a="1"/>
  <c r="J3469" i="3" s="1"/>
  <c r="B3470" i="3" a="1"/>
  <c r="B3470" i="3" s="1"/>
  <c r="C3470" i="3" a="1"/>
  <c r="C3470" i="3" s="1"/>
  <c r="D3470" i="3" a="1"/>
  <c r="D3470" i="3" s="1"/>
  <c r="E3470" i="3" a="1"/>
  <c r="E3470" i="3" s="1"/>
  <c r="F3470" i="3" a="1"/>
  <c r="F3470" i="3" s="1"/>
  <c r="G3470" i="3" a="1"/>
  <c r="G3470" i="3" s="1"/>
  <c r="J3470" i="3" a="1"/>
  <c r="J3470" i="3" s="1"/>
  <c r="B3471" i="3" a="1"/>
  <c r="B3471" i="3" s="1"/>
  <c r="C3471" i="3" a="1"/>
  <c r="C3471" i="3" s="1"/>
  <c r="D3471" i="3" a="1"/>
  <c r="D3471" i="3" s="1"/>
  <c r="E3471" i="3" a="1"/>
  <c r="E3471" i="3" s="1"/>
  <c r="F3471" i="3" a="1"/>
  <c r="F3471" i="3" s="1"/>
  <c r="G3471" i="3" a="1"/>
  <c r="G3471" i="3" s="1"/>
  <c r="J3471" i="3" a="1"/>
  <c r="J3471" i="3" s="1"/>
  <c r="B3472" i="3" a="1"/>
  <c r="B3472" i="3" s="1"/>
  <c r="C3472" i="3" a="1"/>
  <c r="C3472" i="3" s="1"/>
  <c r="D3472" i="3" a="1"/>
  <c r="D3472" i="3" s="1"/>
  <c r="E3472" i="3" a="1"/>
  <c r="E3472" i="3" s="1"/>
  <c r="F3472" i="3" a="1"/>
  <c r="F3472" i="3" s="1"/>
  <c r="G3472" i="3" a="1"/>
  <c r="G3472" i="3" s="1"/>
  <c r="J3472" i="3" a="1"/>
  <c r="J3472" i="3" s="1"/>
  <c r="B3473" i="3" a="1"/>
  <c r="B3473" i="3" s="1"/>
  <c r="C3473" i="3" a="1"/>
  <c r="C3473" i="3" s="1"/>
  <c r="D3473" i="3" a="1"/>
  <c r="D3473" i="3" s="1"/>
  <c r="E3473" i="3" a="1"/>
  <c r="E3473" i="3" s="1"/>
  <c r="F3473" i="3" a="1"/>
  <c r="F3473" i="3" s="1"/>
  <c r="G3473" i="3" a="1"/>
  <c r="G3473" i="3" s="1"/>
  <c r="J3473" i="3" a="1"/>
  <c r="J3473" i="3" s="1"/>
  <c r="B3474" i="3" a="1"/>
  <c r="B3474" i="3" s="1"/>
  <c r="C3474" i="3" a="1"/>
  <c r="C3474" i="3" s="1"/>
  <c r="D3474" i="3" a="1"/>
  <c r="D3474" i="3" s="1"/>
  <c r="E3474" i="3" a="1"/>
  <c r="E3474" i="3" s="1"/>
  <c r="F3474" i="3" a="1"/>
  <c r="F3474" i="3" s="1"/>
  <c r="G3474" i="3" a="1"/>
  <c r="G3474" i="3" s="1"/>
  <c r="J3474" i="3" a="1"/>
  <c r="J3474" i="3" s="1"/>
  <c r="B3475" i="3" a="1"/>
  <c r="B3475" i="3" s="1"/>
  <c r="C3475" i="3" a="1"/>
  <c r="C3475" i="3" s="1"/>
  <c r="D3475" i="3" a="1"/>
  <c r="D3475" i="3" s="1"/>
  <c r="E3475" i="3" a="1"/>
  <c r="E3475" i="3" s="1"/>
  <c r="F3475" i="3" a="1"/>
  <c r="F3475" i="3" s="1"/>
  <c r="G3475" i="3" a="1"/>
  <c r="G3475" i="3" s="1"/>
  <c r="J3475" i="3" a="1"/>
  <c r="J3475" i="3" s="1"/>
  <c r="B3476" i="3" a="1"/>
  <c r="B3476" i="3" s="1"/>
  <c r="C3476" i="3" a="1"/>
  <c r="C3476" i="3" s="1"/>
  <c r="D3476" i="3" a="1"/>
  <c r="D3476" i="3" s="1"/>
  <c r="E3476" i="3" a="1"/>
  <c r="E3476" i="3" s="1"/>
  <c r="F3476" i="3" a="1"/>
  <c r="F3476" i="3" s="1"/>
  <c r="G3476" i="3" a="1"/>
  <c r="G3476" i="3" s="1"/>
  <c r="J3476" i="3" a="1"/>
  <c r="J3476" i="3" s="1"/>
  <c r="B3477" i="3" a="1"/>
  <c r="B3477" i="3" s="1"/>
  <c r="C3477" i="3" a="1"/>
  <c r="C3477" i="3" s="1"/>
  <c r="D3477" i="3" a="1"/>
  <c r="D3477" i="3" s="1"/>
  <c r="E3477" i="3" a="1"/>
  <c r="E3477" i="3" s="1"/>
  <c r="F3477" i="3" a="1"/>
  <c r="F3477" i="3" s="1"/>
  <c r="G3477" i="3" a="1"/>
  <c r="G3477" i="3" s="1"/>
  <c r="J3477" i="3" a="1"/>
  <c r="J3477" i="3" s="1"/>
  <c r="B3478" i="3" a="1"/>
  <c r="B3478" i="3" s="1"/>
  <c r="C3478" i="3" a="1"/>
  <c r="C3478" i="3" s="1"/>
  <c r="D3478" i="3" a="1"/>
  <c r="D3478" i="3" s="1"/>
  <c r="E3478" i="3" a="1"/>
  <c r="E3478" i="3" s="1"/>
  <c r="F3478" i="3" a="1"/>
  <c r="F3478" i="3" s="1"/>
  <c r="G3478" i="3" a="1"/>
  <c r="G3478" i="3" s="1"/>
  <c r="J3478" i="3" a="1"/>
  <c r="J3478" i="3" s="1"/>
  <c r="B3479" i="3" a="1"/>
  <c r="B3479" i="3" s="1"/>
  <c r="C3479" i="3" a="1"/>
  <c r="C3479" i="3" s="1"/>
  <c r="D3479" i="3" a="1"/>
  <c r="D3479" i="3" s="1"/>
  <c r="E3479" i="3" a="1"/>
  <c r="E3479" i="3" s="1"/>
  <c r="F3479" i="3" a="1"/>
  <c r="F3479" i="3" s="1"/>
  <c r="G3479" i="3" a="1"/>
  <c r="G3479" i="3" s="1"/>
  <c r="J3479" i="3" a="1"/>
  <c r="J3479" i="3" s="1"/>
  <c r="B3480" i="3" a="1"/>
  <c r="B3480" i="3" s="1"/>
  <c r="C3480" i="3" a="1"/>
  <c r="C3480" i="3" s="1"/>
  <c r="D3480" i="3" a="1"/>
  <c r="D3480" i="3" s="1"/>
  <c r="E3480" i="3" a="1"/>
  <c r="E3480" i="3" s="1"/>
  <c r="F3480" i="3" a="1"/>
  <c r="F3480" i="3" s="1"/>
  <c r="G3480" i="3" a="1"/>
  <c r="G3480" i="3" s="1"/>
  <c r="J3480" i="3" a="1"/>
  <c r="J3480" i="3" s="1"/>
  <c r="B3481" i="3" a="1"/>
  <c r="B3481" i="3" s="1"/>
  <c r="C3481" i="3" a="1"/>
  <c r="C3481" i="3" s="1"/>
  <c r="D3481" i="3" a="1"/>
  <c r="D3481" i="3" s="1"/>
  <c r="E3481" i="3" a="1"/>
  <c r="E3481" i="3" s="1"/>
  <c r="F3481" i="3" a="1"/>
  <c r="F3481" i="3" s="1"/>
  <c r="G3481" i="3" a="1"/>
  <c r="G3481" i="3" s="1"/>
  <c r="J3481" i="3" a="1"/>
  <c r="J3481" i="3" s="1"/>
  <c r="B3482" i="3" a="1"/>
  <c r="B3482" i="3" s="1"/>
  <c r="C3482" i="3" a="1"/>
  <c r="C3482" i="3" s="1"/>
  <c r="D3482" i="3" a="1"/>
  <c r="D3482" i="3" s="1"/>
  <c r="E3482" i="3" a="1"/>
  <c r="E3482" i="3" s="1"/>
  <c r="F3482" i="3" a="1"/>
  <c r="F3482" i="3" s="1"/>
  <c r="G3482" i="3" a="1"/>
  <c r="G3482" i="3" s="1"/>
  <c r="J3482" i="3" a="1"/>
  <c r="J3482" i="3" s="1"/>
  <c r="B3483" i="3" a="1"/>
  <c r="B3483" i="3" s="1"/>
  <c r="C3483" i="3" a="1"/>
  <c r="C3483" i="3" s="1"/>
  <c r="D3483" i="3" a="1"/>
  <c r="D3483" i="3" s="1"/>
  <c r="E3483" i="3" a="1"/>
  <c r="E3483" i="3" s="1"/>
  <c r="F3483" i="3" a="1"/>
  <c r="F3483" i="3" s="1"/>
  <c r="G3483" i="3" a="1"/>
  <c r="G3483" i="3" s="1"/>
  <c r="J3483" i="3" a="1"/>
  <c r="J3483" i="3" s="1"/>
  <c r="B3484" i="3" a="1"/>
  <c r="B3484" i="3" s="1"/>
  <c r="C3484" i="3" a="1"/>
  <c r="C3484" i="3" s="1"/>
  <c r="D3484" i="3" a="1"/>
  <c r="D3484" i="3" s="1"/>
  <c r="E3484" i="3" a="1"/>
  <c r="E3484" i="3" s="1"/>
  <c r="F3484" i="3" a="1"/>
  <c r="F3484" i="3" s="1"/>
  <c r="G3484" i="3" a="1"/>
  <c r="G3484" i="3" s="1"/>
  <c r="J3484" i="3" a="1"/>
  <c r="J3484" i="3" s="1"/>
  <c r="B3485" i="3" a="1"/>
  <c r="B3485" i="3" s="1"/>
  <c r="C3485" i="3" a="1"/>
  <c r="C3485" i="3" s="1"/>
  <c r="D3485" i="3" a="1"/>
  <c r="D3485" i="3" s="1"/>
  <c r="E3485" i="3" a="1"/>
  <c r="E3485" i="3" s="1"/>
  <c r="F3485" i="3" a="1"/>
  <c r="F3485" i="3" s="1"/>
  <c r="G3485" i="3" a="1"/>
  <c r="G3485" i="3" s="1"/>
  <c r="J3485" i="3" a="1"/>
  <c r="J3485" i="3" s="1"/>
  <c r="B3486" i="3" a="1"/>
  <c r="B3486" i="3" s="1"/>
  <c r="C3486" i="3" a="1"/>
  <c r="C3486" i="3" s="1"/>
  <c r="D3486" i="3" a="1"/>
  <c r="D3486" i="3" s="1"/>
  <c r="E3486" i="3" a="1"/>
  <c r="E3486" i="3" s="1"/>
  <c r="F3486" i="3" a="1"/>
  <c r="F3486" i="3" s="1"/>
  <c r="G3486" i="3" a="1"/>
  <c r="G3486" i="3" s="1"/>
  <c r="J3486" i="3" a="1"/>
  <c r="J3486" i="3" s="1"/>
  <c r="B3487" i="3" a="1"/>
  <c r="B3487" i="3" s="1"/>
  <c r="C3487" i="3" a="1"/>
  <c r="C3487" i="3" s="1"/>
  <c r="D3487" i="3" a="1"/>
  <c r="D3487" i="3" s="1"/>
  <c r="E3487" i="3" a="1"/>
  <c r="E3487" i="3" s="1"/>
  <c r="F3487" i="3" a="1"/>
  <c r="F3487" i="3" s="1"/>
  <c r="G3487" i="3" a="1"/>
  <c r="G3487" i="3" s="1"/>
  <c r="J3487" i="3" a="1"/>
  <c r="J3487" i="3" s="1"/>
  <c r="B3488" i="3" a="1"/>
  <c r="B3488" i="3" s="1"/>
  <c r="C3488" i="3" a="1"/>
  <c r="C3488" i="3" s="1"/>
  <c r="D3488" i="3" a="1"/>
  <c r="D3488" i="3" s="1"/>
  <c r="E3488" i="3" a="1"/>
  <c r="E3488" i="3" s="1"/>
  <c r="F3488" i="3" a="1"/>
  <c r="F3488" i="3" s="1"/>
  <c r="G3488" i="3" a="1"/>
  <c r="G3488" i="3" s="1"/>
  <c r="J3488" i="3" a="1"/>
  <c r="J3488" i="3" s="1"/>
  <c r="B3489" i="3" a="1"/>
  <c r="B3489" i="3" s="1"/>
  <c r="C3489" i="3" a="1"/>
  <c r="C3489" i="3" s="1"/>
  <c r="D3489" i="3" a="1"/>
  <c r="D3489" i="3" s="1"/>
  <c r="E3489" i="3" a="1"/>
  <c r="E3489" i="3" s="1"/>
  <c r="F3489" i="3" a="1"/>
  <c r="F3489" i="3" s="1"/>
  <c r="G3489" i="3" a="1"/>
  <c r="G3489" i="3" s="1"/>
  <c r="J3489" i="3" a="1"/>
  <c r="J3489" i="3" s="1"/>
  <c r="B3490" i="3" a="1"/>
  <c r="B3490" i="3" s="1"/>
  <c r="C3490" i="3" a="1"/>
  <c r="C3490" i="3" s="1"/>
  <c r="D3490" i="3" a="1"/>
  <c r="D3490" i="3" s="1"/>
  <c r="E3490" i="3" a="1"/>
  <c r="E3490" i="3" s="1"/>
  <c r="F3490" i="3" a="1"/>
  <c r="F3490" i="3" s="1"/>
  <c r="G3490" i="3" a="1"/>
  <c r="G3490" i="3" s="1"/>
  <c r="J3490" i="3" a="1"/>
  <c r="J3490" i="3" s="1"/>
  <c r="B3491" i="3" a="1"/>
  <c r="B3491" i="3" s="1"/>
  <c r="C3491" i="3" a="1"/>
  <c r="C3491" i="3" s="1"/>
  <c r="D3491" i="3" a="1"/>
  <c r="D3491" i="3" s="1"/>
  <c r="E3491" i="3" a="1"/>
  <c r="E3491" i="3" s="1"/>
  <c r="F3491" i="3" a="1"/>
  <c r="F3491" i="3" s="1"/>
  <c r="G3491" i="3" a="1"/>
  <c r="G3491" i="3" s="1"/>
  <c r="J3491" i="3" a="1"/>
  <c r="J3491" i="3" s="1"/>
  <c r="B3492" i="3" a="1"/>
  <c r="B3492" i="3" s="1"/>
  <c r="C3492" i="3" a="1"/>
  <c r="C3492" i="3" s="1"/>
  <c r="D3492" i="3" a="1"/>
  <c r="D3492" i="3" s="1"/>
  <c r="E3492" i="3" a="1"/>
  <c r="E3492" i="3" s="1"/>
  <c r="F3492" i="3" a="1"/>
  <c r="F3492" i="3" s="1"/>
  <c r="G3492" i="3" a="1"/>
  <c r="G3492" i="3" s="1"/>
  <c r="J3492" i="3" a="1"/>
  <c r="J3492" i="3" s="1"/>
  <c r="B3493" i="3" a="1"/>
  <c r="B3493" i="3" s="1"/>
  <c r="C3493" i="3" a="1"/>
  <c r="C3493" i="3" s="1"/>
  <c r="D3493" i="3" a="1"/>
  <c r="D3493" i="3" s="1"/>
  <c r="E3493" i="3" a="1"/>
  <c r="E3493" i="3" s="1"/>
  <c r="F3493" i="3" a="1"/>
  <c r="F3493" i="3" s="1"/>
  <c r="G3493" i="3" a="1"/>
  <c r="G3493" i="3" s="1"/>
  <c r="J3493" i="3" a="1"/>
  <c r="J3493" i="3" s="1"/>
  <c r="B3494" i="3" a="1"/>
  <c r="B3494" i="3" s="1"/>
  <c r="C3494" i="3" a="1"/>
  <c r="C3494" i="3" s="1"/>
  <c r="D3494" i="3" a="1"/>
  <c r="D3494" i="3" s="1"/>
  <c r="E3494" i="3" a="1"/>
  <c r="E3494" i="3" s="1"/>
  <c r="F3494" i="3" a="1"/>
  <c r="F3494" i="3" s="1"/>
  <c r="G3494" i="3" a="1"/>
  <c r="G3494" i="3" s="1"/>
  <c r="J3494" i="3" a="1"/>
  <c r="J3494" i="3" s="1"/>
  <c r="B3495" i="3" a="1"/>
  <c r="B3495" i="3" s="1"/>
  <c r="C3495" i="3" a="1"/>
  <c r="C3495" i="3" s="1"/>
  <c r="D3495" i="3" a="1"/>
  <c r="D3495" i="3" s="1"/>
  <c r="E3495" i="3" a="1"/>
  <c r="E3495" i="3" s="1"/>
  <c r="F3495" i="3" a="1"/>
  <c r="F3495" i="3" s="1"/>
  <c r="G3495" i="3" a="1"/>
  <c r="G3495" i="3" s="1"/>
  <c r="J3495" i="3" a="1"/>
  <c r="J3495" i="3" s="1"/>
  <c r="B3496" i="3" a="1"/>
  <c r="B3496" i="3" s="1"/>
  <c r="C3496" i="3" a="1"/>
  <c r="C3496" i="3" s="1"/>
  <c r="D3496" i="3" a="1"/>
  <c r="D3496" i="3" s="1"/>
  <c r="E3496" i="3" a="1"/>
  <c r="E3496" i="3" s="1"/>
  <c r="F3496" i="3" a="1"/>
  <c r="F3496" i="3" s="1"/>
  <c r="G3496" i="3" a="1"/>
  <c r="G3496" i="3" s="1"/>
  <c r="J3496" i="3" a="1"/>
  <c r="J3496" i="3" s="1"/>
  <c r="B3497" i="3" a="1"/>
  <c r="B3497" i="3" s="1"/>
  <c r="C3497" i="3" a="1"/>
  <c r="C3497" i="3" s="1"/>
  <c r="D3497" i="3" a="1"/>
  <c r="D3497" i="3" s="1"/>
  <c r="E3497" i="3" a="1"/>
  <c r="E3497" i="3" s="1"/>
  <c r="F3497" i="3" a="1"/>
  <c r="F3497" i="3" s="1"/>
  <c r="G3497" i="3" a="1"/>
  <c r="G3497" i="3" s="1"/>
  <c r="J3497" i="3" a="1"/>
  <c r="J3497" i="3" s="1"/>
  <c r="B3498" i="3" a="1"/>
  <c r="B3498" i="3" s="1"/>
  <c r="C3498" i="3" a="1"/>
  <c r="C3498" i="3" s="1"/>
  <c r="D3498" i="3" a="1"/>
  <c r="D3498" i="3" s="1"/>
  <c r="E3498" i="3" a="1"/>
  <c r="E3498" i="3" s="1"/>
  <c r="F3498" i="3" a="1"/>
  <c r="F3498" i="3" s="1"/>
  <c r="G3498" i="3" a="1"/>
  <c r="G3498" i="3" s="1"/>
  <c r="J3498" i="3" a="1"/>
  <c r="J3498" i="3" s="1"/>
  <c r="B3499" i="3" a="1"/>
  <c r="B3499" i="3" s="1"/>
  <c r="C3499" i="3" a="1"/>
  <c r="C3499" i="3" s="1"/>
  <c r="D3499" i="3" a="1"/>
  <c r="D3499" i="3" s="1"/>
  <c r="E3499" i="3" a="1"/>
  <c r="E3499" i="3" s="1"/>
  <c r="F3499" i="3" a="1"/>
  <c r="F3499" i="3" s="1"/>
  <c r="G3499" i="3" a="1"/>
  <c r="G3499" i="3" s="1"/>
  <c r="J3499" i="3" a="1"/>
  <c r="J3499" i="3" s="1"/>
  <c r="B3500" i="3" a="1"/>
  <c r="B3500" i="3" s="1"/>
  <c r="C3500" i="3" a="1"/>
  <c r="C3500" i="3" s="1"/>
  <c r="D3500" i="3" a="1"/>
  <c r="D3500" i="3" s="1"/>
  <c r="E3500" i="3" a="1"/>
  <c r="E3500" i="3" s="1"/>
  <c r="F3500" i="3" a="1"/>
  <c r="F3500" i="3" s="1"/>
  <c r="G3500" i="3" a="1"/>
  <c r="G3500" i="3" s="1"/>
  <c r="J3500" i="3" a="1"/>
  <c r="J3500" i="3" s="1"/>
  <c r="B3501" i="3" a="1"/>
  <c r="B3501" i="3" s="1"/>
  <c r="C3501" i="3" a="1"/>
  <c r="C3501" i="3" s="1"/>
  <c r="D3501" i="3" a="1"/>
  <c r="D3501" i="3" s="1"/>
  <c r="E3501" i="3" a="1"/>
  <c r="E3501" i="3" s="1"/>
  <c r="F3501" i="3" a="1"/>
  <c r="F3501" i="3" s="1"/>
  <c r="G3501" i="3" a="1"/>
  <c r="G3501" i="3" s="1"/>
  <c r="J3501" i="3" a="1"/>
  <c r="J3501" i="3" s="1"/>
  <c r="B3502" i="3" a="1"/>
  <c r="B3502" i="3" s="1"/>
  <c r="C3502" i="3" a="1"/>
  <c r="C3502" i="3" s="1"/>
  <c r="D3502" i="3" a="1"/>
  <c r="D3502" i="3" s="1"/>
  <c r="E3502" i="3" a="1"/>
  <c r="E3502" i="3" s="1"/>
  <c r="F3502" i="3" a="1"/>
  <c r="F3502" i="3" s="1"/>
  <c r="G3502" i="3" a="1"/>
  <c r="G3502" i="3" s="1"/>
  <c r="J3502" i="3" a="1"/>
  <c r="J3502" i="3" s="1"/>
  <c r="B3503" i="3" a="1"/>
  <c r="B3503" i="3" s="1"/>
  <c r="C3503" i="3" a="1"/>
  <c r="C3503" i="3" s="1"/>
  <c r="D3503" i="3" a="1"/>
  <c r="D3503" i="3" s="1"/>
  <c r="E3503" i="3" a="1"/>
  <c r="E3503" i="3" s="1"/>
  <c r="F3503" i="3" a="1"/>
  <c r="F3503" i="3" s="1"/>
  <c r="G3503" i="3" a="1"/>
  <c r="G3503" i="3" s="1"/>
  <c r="J3503" i="3" a="1"/>
  <c r="J3503" i="3" s="1"/>
  <c r="B3504" i="3" a="1"/>
  <c r="B3504" i="3" s="1"/>
  <c r="C3504" i="3" a="1"/>
  <c r="C3504" i="3" s="1"/>
  <c r="D3504" i="3" a="1"/>
  <c r="D3504" i="3" s="1"/>
  <c r="E3504" i="3" a="1"/>
  <c r="E3504" i="3" s="1"/>
  <c r="F3504" i="3" a="1"/>
  <c r="F3504" i="3" s="1"/>
  <c r="G3504" i="3" a="1"/>
  <c r="G3504" i="3" s="1"/>
  <c r="J3504" i="3" a="1"/>
  <c r="J3504" i="3" s="1"/>
  <c r="B3505" i="3" a="1"/>
  <c r="B3505" i="3" s="1"/>
  <c r="C3505" i="3" a="1"/>
  <c r="C3505" i="3" s="1"/>
  <c r="D3505" i="3" a="1"/>
  <c r="D3505" i="3" s="1"/>
  <c r="E3505" i="3" a="1"/>
  <c r="E3505" i="3" s="1"/>
  <c r="F3505" i="3" a="1"/>
  <c r="F3505" i="3" s="1"/>
  <c r="G3505" i="3" a="1"/>
  <c r="G3505" i="3" s="1"/>
  <c r="J3505" i="3" a="1"/>
  <c r="J3505" i="3" s="1"/>
  <c r="B3506" i="3" a="1"/>
  <c r="B3506" i="3" s="1"/>
  <c r="C3506" i="3" a="1"/>
  <c r="C3506" i="3" s="1"/>
  <c r="D3506" i="3" a="1"/>
  <c r="D3506" i="3" s="1"/>
  <c r="E3506" i="3" a="1"/>
  <c r="E3506" i="3" s="1"/>
  <c r="F3506" i="3" a="1"/>
  <c r="F3506" i="3" s="1"/>
  <c r="G3506" i="3" a="1"/>
  <c r="G3506" i="3" s="1"/>
  <c r="J3506" i="3" a="1"/>
  <c r="J3506" i="3" s="1"/>
  <c r="B3507" i="3" a="1"/>
  <c r="B3507" i="3" s="1"/>
  <c r="C3507" i="3" a="1"/>
  <c r="C3507" i="3" s="1"/>
  <c r="D3507" i="3" a="1"/>
  <c r="D3507" i="3" s="1"/>
  <c r="E3507" i="3" a="1"/>
  <c r="E3507" i="3" s="1"/>
  <c r="F3507" i="3" a="1"/>
  <c r="F3507" i="3" s="1"/>
  <c r="G3507" i="3" a="1"/>
  <c r="G3507" i="3" s="1"/>
  <c r="J3507" i="3" a="1"/>
  <c r="J3507" i="3" s="1"/>
  <c r="B3508" i="3" a="1"/>
  <c r="B3508" i="3" s="1"/>
  <c r="C3508" i="3" a="1"/>
  <c r="C3508" i="3" s="1"/>
  <c r="D3508" i="3" a="1"/>
  <c r="D3508" i="3" s="1"/>
  <c r="E3508" i="3" a="1"/>
  <c r="E3508" i="3" s="1"/>
  <c r="F3508" i="3" a="1"/>
  <c r="F3508" i="3" s="1"/>
  <c r="G3508" i="3" a="1"/>
  <c r="G3508" i="3" s="1"/>
  <c r="J3508" i="3" a="1"/>
  <c r="J3508" i="3" s="1"/>
  <c r="B3509" i="3" a="1"/>
  <c r="B3509" i="3" s="1"/>
  <c r="C3509" i="3" a="1"/>
  <c r="C3509" i="3" s="1"/>
  <c r="D3509" i="3" a="1"/>
  <c r="D3509" i="3" s="1"/>
  <c r="E3509" i="3" a="1"/>
  <c r="E3509" i="3" s="1"/>
  <c r="F3509" i="3" a="1"/>
  <c r="F3509" i="3" s="1"/>
  <c r="G3509" i="3" a="1"/>
  <c r="G3509" i="3" s="1"/>
  <c r="J3509" i="3" a="1"/>
  <c r="J3509" i="3" s="1"/>
  <c r="B3510" i="3" a="1"/>
  <c r="B3510" i="3" s="1"/>
  <c r="C3510" i="3" a="1"/>
  <c r="C3510" i="3" s="1"/>
  <c r="D3510" i="3" a="1"/>
  <c r="D3510" i="3" s="1"/>
  <c r="E3510" i="3" a="1"/>
  <c r="E3510" i="3" s="1"/>
  <c r="F3510" i="3" a="1"/>
  <c r="F3510" i="3" s="1"/>
  <c r="G3510" i="3" a="1"/>
  <c r="G3510" i="3" s="1"/>
  <c r="J3510" i="3" a="1"/>
  <c r="J3510" i="3" s="1"/>
  <c r="B3511" i="3" a="1"/>
  <c r="B3511" i="3" s="1"/>
  <c r="C3511" i="3" a="1"/>
  <c r="C3511" i="3" s="1"/>
  <c r="D3511" i="3" a="1"/>
  <c r="D3511" i="3" s="1"/>
  <c r="E3511" i="3" a="1"/>
  <c r="E3511" i="3" s="1"/>
  <c r="F3511" i="3" a="1"/>
  <c r="F3511" i="3" s="1"/>
  <c r="G3511" i="3" a="1"/>
  <c r="G3511" i="3" s="1"/>
  <c r="J3511" i="3" a="1"/>
  <c r="J3511" i="3" s="1"/>
  <c r="B3512" i="3" a="1"/>
  <c r="B3512" i="3" s="1"/>
  <c r="C3512" i="3" a="1"/>
  <c r="C3512" i="3" s="1"/>
  <c r="D3512" i="3" a="1"/>
  <c r="D3512" i="3" s="1"/>
  <c r="E3512" i="3" a="1"/>
  <c r="E3512" i="3" s="1"/>
  <c r="F3512" i="3" a="1"/>
  <c r="F3512" i="3" s="1"/>
  <c r="G3512" i="3" a="1"/>
  <c r="G3512" i="3" s="1"/>
  <c r="J3512" i="3" a="1"/>
  <c r="J3512" i="3" s="1"/>
  <c r="B3513" i="3" a="1"/>
  <c r="B3513" i="3" s="1"/>
  <c r="C3513" i="3" a="1"/>
  <c r="C3513" i="3" s="1"/>
  <c r="D3513" i="3" a="1"/>
  <c r="D3513" i="3" s="1"/>
  <c r="E3513" i="3" a="1"/>
  <c r="E3513" i="3" s="1"/>
  <c r="F3513" i="3" a="1"/>
  <c r="F3513" i="3" s="1"/>
  <c r="G3513" i="3" a="1"/>
  <c r="G3513" i="3" s="1"/>
  <c r="J3513" i="3" a="1"/>
  <c r="J3513" i="3" s="1"/>
  <c r="B3514" i="3" a="1"/>
  <c r="B3514" i="3" s="1"/>
  <c r="C3514" i="3" a="1"/>
  <c r="C3514" i="3" s="1"/>
  <c r="D3514" i="3" a="1"/>
  <c r="D3514" i="3" s="1"/>
  <c r="E3514" i="3" a="1"/>
  <c r="E3514" i="3" s="1"/>
  <c r="F3514" i="3" a="1"/>
  <c r="F3514" i="3" s="1"/>
  <c r="G3514" i="3" a="1"/>
  <c r="G3514" i="3" s="1"/>
  <c r="J3514" i="3" a="1"/>
  <c r="J3514" i="3" s="1"/>
  <c r="B3515" i="3" a="1"/>
  <c r="B3515" i="3" s="1"/>
  <c r="C3515" i="3" a="1"/>
  <c r="C3515" i="3" s="1"/>
  <c r="D3515" i="3" a="1"/>
  <c r="D3515" i="3" s="1"/>
  <c r="E3515" i="3" a="1"/>
  <c r="E3515" i="3" s="1"/>
  <c r="F3515" i="3" a="1"/>
  <c r="F3515" i="3" s="1"/>
  <c r="G3515" i="3" a="1"/>
  <c r="G3515" i="3" s="1"/>
  <c r="J3515" i="3" a="1"/>
  <c r="J3515" i="3" s="1"/>
  <c r="B3516" i="3" a="1"/>
  <c r="B3516" i="3" s="1"/>
  <c r="C3516" i="3" a="1"/>
  <c r="C3516" i="3" s="1"/>
  <c r="D3516" i="3" a="1"/>
  <c r="D3516" i="3" s="1"/>
  <c r="E3516" i="3" a="1"/>
  <c r="E3516" i="3" s="1"/>
  <c r="F3516" i="3" a="1"/>
  <c r="F3516" i="3" s="1"/>
  <c r="G3516" i="3" a="1"/>
  <c r="G3516" i="3" s="1"/>
  <c r="J3516" i="3" a="1"/>
  <c r="J3516" i="3" s="1"/>
  <c r="B3517" i="3" a="1"/>
  <c r="B3517" i="3" s="1"/>
  <c r="C3517" i="3" a="1"/>
  <c r="C3517" i="3" s="1"/>
  <c r="D3517" i="3" a="1"/>
  <c r="D3517" i="3" s="1"/>
  <c r="E3517" i="3" a="1"/>
  <c r="E3517" i="3" s="1"/>
  <c r="F3517" i="3" a="1"/>
  <c r="F3517" i="3" s="1"/>
  <c r="G3517" i="3" a="1"/>
  <c r="G3517" i="3" s="1"/>
  <c r="J3517" i="3" a="1"/>
  <c r="J3517" i="3" s="1"/>
  <c r="B3518" i="3" a="1"/>
  <c r="B3518" i="3" s="1"/>
  <c r="C3518" i="3" a="1"/>
  <c r="C3518" i="3" s="1"/>
  <c r="D3518" i="3" a="1"/>
  <c r="D3518" i="3" s="1"/>
  <c r="E3518" i="3" a="1"/>
  <c r="E3518" i="3" s="1"/>
  <c r="F3518" i="3" a="1"/>
  <c r="F3518" i="3" s="1"/>
  <c r="G3518" i="3" a="1"/>
  <c r="G3518" i="3" s="1"/>
  <c r="J3518" i="3" a="1"/>
  <c r="J3518" i="3" s="1"/>
  <c r="B3519" i="3" a="1"/>
  <c r="B3519" i="3" s="1"/>
  <c r="C3519" i="3" a="1"/>
  <c r="C3519" i="3" s="1"/>
  <c r="D3519" i="3" a="1"/>
  <c r="D3519" i="3" s="1"/>
  <c r="E3519" i="3" a="1"/>
  <c r="E3519" i="3" s="1"/>
  <c r="F3519" i="3" a="1"/>
  <c r="F3519" i="3" s="1"/>
  <c r="G3519" i="3" a="1"/>
  <c r="G3519" i="3" s="1"/>
  <c r="J3519" i="3" a="1"/>
  <c r="J3519" i="3" s="1"/>
  <c r="B3520" i="3" a="1"/>
  <c r="B3520" i="3" s="1"/>
  <c r="C3520" i="3" a="1"/>
  <c r="C3520" i="3" s="1"/>
  <c r="D3520" i="3" a="1"/>
  <c r="D3520" i="3" s="1"/>
  <c r="E3520" i="3" a="1"/>
  <c r="E3520" i="3" s="1"/>
  <c r="F3520" i="3" a="1"/>
  <c r="F3520" i="3" s="1"/>
  <c r="G3520" i="3" a="1"/>
  <c r="G3520" i="3" s="1"/>
  <c r="J3520" i="3" a="1"/>
  <c r="J3520" i="3" s="1"/>
  <c r="B3521" i="3" a="1"/>
  <c r="B3521" i="3" s="1"/>
  <c r="C3521" i="3" a="1"/>
  <c r="C3521" i="3" s="1"/>
  <c r="D3521" i="3" a="1"/>
  <c r="D3521" i="3" s="1"/>
  <c r="E3521" i="3" a="1"/>
  <c r="E3521" i="3" s="1"/>
  <c r="F3521" i="3" a="1"/>
  <c r="F3521" i="3" s="1"/>
  <c r="G3521" i="3" a="1"/>
  <c r="G3521" i="3" s="1"/>
  <c r="J3521" i="3" a="1"/>
  <c r="J3521" i="3" s="1"/>
  <c r="B3522" i="3" a="1"/>
  <c r="B3522" i="3" s="1"/>
  <c r="C3522" i="3" a="1"/>
  <c r="C3522" i="3" s="1"/>
  <c r="D3522" i="3" a="1"/>
  <c r="D3522" i="3" s="1"/>
  <c r="E3522" i="3" a="1"/>
  <c r="E3522" i="3" s="1"/>
  <c r="F3522" i="3" a="1"/>
  <c r="F3522" i="3" s="1"/>
  <c r="G3522" i="3" a="1"/>
  <c r="G3522" i="3" s="1"/>
  <c r="J3522" i="3" a="1"/>
  <c r="J3522" i="3" s="1"/>
  <c r="B3523" i="3" a="1"/>
  <c r="B3523" i="3" s="1"/>
  <c r="C3523" i="3" a="1"/>
  <c r="C3523" i="3" s="1"/>
  <c r="D3523" i="3" a="1"/>
  <c r="D3523" i="3" s="1"/>
  <c r="E3523" i="3" a="1"/>
  <c r="E3523" i="3" s="1"/>
  <c r="F3523" i="3" a="1"/>
  <c r="F3523" i="3" s="1"/>
  <c r="G3523" i="3" a="1"/>
  <c r="G3523" i="3" s="1"/>
  <c r="J3523" i="3" a="1"/>
  <c r="J3523" i="3" s="1"/>
  <c r="B3524" i="3" a="1"/>
  <c r="B3524" i="3" s="1"/>
  <c r="C3524" i="3" a="1"/>
  <c r="C3524" i="3" s="1"/>
  <c r="D3524" i="3" a="1"/>
  <c r="D3524" i="3" s="1"/>
  <c r="E3524" i="3" a="1"/>
  <c r="E3524" i="3" s="1"/>
  <c r="F3524" i="3" a="1"/>
  <c r="F3524" i="3" s="1"/>
  <c r="G3524" i="3" a="1"/>
  <c r="G3524" i="3" s="1"/>
  <c r="J3524" i="3" a="1"/>
  <c r="J3524" i="3" s="1"/>
  <c r="B3525" i="3" a="1"/>
  <c r="B3525" i="3" s="1"/>
  <c r="C3525" i="3" a="1"/>
  <c r="C3525" i="3" s="1"/>
  <c r="D3525" i="3" a="1"/>
  <c r="D3525" i="3" s="1"/>
  <c r="E3525" i="3" a="1"/>
  <c r="E3525" i="3" s="1"/>
  <c r="F3525" i="3" a="1"/>
  <c r="F3525" i="3" s="1"/>
  <c r="G3525" i="3" a="1"/>
  <c r="G3525" i="3" s="1"/>
  <c r="J3525" i="3" a="1"/>
  <c r="J3525" i="3" s="1"/>
  <c r="B3526" i="3" a="1"/>
  <c r="B3526" i="3" s="1"/>
  <c r="C3526" i="3" a="1"/>
  <c r="C3526" i="3" s="1"/>
  <c r="D3526" i="3" a="1"/>
  <c r="D3526" i="3" s="1"/>
  <c r="E3526" i="3" a="1"/>
  <c r="E3526" i="3" s="1"/>
  <c r="F3526" i="3" a="1"/>
  <c r="F3526" i="3" s="1"/>
  <c r="G3526" i="3" a="1"/>
  <c r="G3526" i="3" s="1"/>
  <c r="J3526" i="3" a="1"/>
  <c r="J3526" i="3" s="1"/>
  <c r="B3527" i="3" a="1"/>
  <c r="B3527" i="3" s="1"/>
  <c r="C3527" i="3" a="1"/>
  <c r="C3527" i="3" s="1"/>
  <c r="D3527" i="3" a="1"/>
  <c r="D3527" i="3" s="1"/>
  <c r="E3527" i="3" a="1"/>
  <c r="E3527" i="3" s="1"/>
  <c r="F3527" i="3" a="1"/>
  <c r="F3527" i="3" s="1"/>
  <c r="G3527" i="3" a="1"/>
  <c r="G3527" i="3" s="1"/>
  <c r="J3527" i="3" a="1"/>
  <c r="J3527" i="3" s="1"/>
  <c r="B3528" i="3" a="1"/>
  <c r="B3528" i="3" s="1"/>
  <c r="C3528" i="3" a="1"/>
  <c r="C3528" i="3" s="1"/>
  <c r="D3528" i="3" a="1"/>
  <c r="D3528" i="3" s="1"/>
  <c r="E3528" i="3" a="1"/>
  <c r="E3528" i="3" s="1"/>
  <c r="F3528" i="3" a="1"/>
  <c r="F3528" i="3" s="1"/>
  <c r="G3528" i="3" a="1"/>
  <c r="G3528" i="3" s="1"/>
  <c r="J3528" i="3" a="1"/>
  <c r="J3528" i="3" s="1"/>
  <c r="B3529" i="3" a="1"/>
  <c r="B3529" i="3" s="1"/>
  <c r="C3529" i="3" a="1"/>
  <c r="C3529" i="3" s="1"/>
  <c r="D3529" i="3" a="1"/>
  <c r="D3529" i="3" s="1"/>
  <c r="E3529" i="3" a="1"/>
  <c r="E3529" i="3" s="1"/>
  <c r="F3529" i="3" a="1"/>
  <c r="F3529" i="3" s="1"/>
  <c r="G3529" i="3" a="1"/>
  <c r="G3529" i="3" s="1"/>
  <c r="J3529" i="3" a="1"/>
  <c r="J3529" i="3" s="1"/>
  <c r="B3530" i="3" a="1"/>
  <c r="B3530" i="3" s="1"/>
  <c r="C3530" i="3" a="1"/>
  <c r="C3530" i="3" s="1"/>
  <c r="D3530" i="3" a="1"/>
  <c r="D3530" i="3" s="1"/>
  <c r="E3530" i="3" a="1"/>
  <c r="E3530" i="3" s="1"/>
  <c r="F3530" i="3" a="1"/>
  <c r="F3530" i="3" s="1"/>
  <c r="G3530" i="3" a="1"/>
  <c r="G3530" i="3" s="1"/>
  <c r="J3530" i="3" a="1"/>
  <c r="J3530" i="3" s="1"/>
  <c r="B3531" i="3" a="1"/>
  <c r="B3531" i="3" s="1"/>
  <c r="C3531" i="3" a="1"/>
  <c r="C3531" i="3" s="1"/>
  <c r="D3531" i="3" a="1"/>
  <c r="D3531" i="3" s="1"/>
  <c r="E3531" i="3" a="1"/>
  <c r="E3531" i="3" s="1"/>
  <c r="F3531" i="3" a="1"/>
  <c r="F3531" i="3" s="1"/>
  <c r="G3531" i="3" a="1"/>
  <c r="G3531" i="3" s="1"/>
  <c r="J3531" i="3" a="1"/>
  <c r="J3531" i="3" s="1"/>
  <c r="B3532" i="3" a="1"/>
  <c r="B3532" i="3" s="1"/>
  <c r="C3532" i="3" a="1"/>
  <c r="C3532" i="3" s="1"/>
  <c r="D3532" i="3" a="1"/>
  <c r="D3532" i="3" s="1"/>
  <c r="E3532" i="3" a="1"/>
  <c r="E3532" i="3" s="1"/>
  <c r="F3532" i="3" a="1"/>
  <c r="F3532" i="3" s="1"/>
  <c r="G3532" i="3" a="1"/>
  <c r="G3532" i="3" s="1"/>
  <c r="J3532" i="3" a="1"/>
  <c r="J3532" i="3" s="1"/>
  <c r="B3533" i="3" a="1"/>
  <c r="B3533" i="3" s="1"/>
  <c r="C3533" i="3" a="1"/>
  <c r="C3533" i="3" s="1"/>
  <c r="D3533" i="3" a="1"/>
  <c r="D3533" i="3" s="1"/>
  <c r="E3533" i="3" a="1"/>
  <c r="E3533" i="3" s="1"/>
  <c r="F3533" i="3" a="1"/>
  <c r="F3533" i="3" s="1"/>
  <c r="G3533" i="3" a="1"/>
  <c r="G3533" i="3" s="1"/>
  <c r="J3533" i="3" a="1"/>
  <c r="J3533" i="3" s="1"/>
  <c r="B3534" i="3" a="1"/>
  <c r="B3534" i="3" s="1"/>
  <c r="C3534" i="3" a="1"/>
  <c r="C3534" i="3" s="1"/>
  <c r="D3534" i="3" a="1"/>
  <c r="D3534" i="3" s="1"/>
  <c r="E3534" i="3" a="1"/>
  <c r="E3534" i="3" s="1"/>
  <c r="F3534" i="3" a="1"/>
  <c r="F3534" i="3" s="1"/>
  <c r="G3534" i="3" a="1"/>
  <c r="G3534" i="3" s="1"/>
  <c r="J3534" i="3" a="1"/>
  <c r="J3534" i="3" s="1"/>
  <c r="B3535" i="3" a="1"/>
  <c r="B3535" i="3" s="1"/>
  <c r="C3535" i="3" a="1"/>
  <c r="C3535" i="3" s="1"/>
  <c r="D3535" i="3" a="1"/>
  <c r="D3535" i="3" s="1"/>
  <c r="E3535" i="3" a="1"/>
  <c r="E3535" i="3" s="1"/>
  <c r="F3535" i="3" a="1"/>
  <c r="F3535" i="3" s="1"/>
  <c r="G3535" i="3" a="1"/>
  <c r="G3535" i="3" s="1"/>
  <c r="J3535" i="3" a="1"/>
  <c r="J3535" i="3" s="1"/>
  <c r="B3536" i="3" a="1"/>
  <c r="B3536" i="3" s="1"/>
  <c r="C3536" i="3" a="1"/>
  <c r="C3536" i="3" s="1"/>
  <c r="D3536" i="3" a="1"/>
  <c r="D3536" i="3" s="1"/>
  <c r="E3536" i="3" a="1"/>
  <c r="E3536" i="3" s="1"/>
  <c r="F3536" i="3" a="1"/>
  <c r="F3536" i="3" s="1"/>
  <c r="G3536" i="3" a="1"/>
  <c r="G3536" i="3" s="1"/>
  <c r="J3536" i="3" a="1"/>
  <c r="J3536" i="3" s="1"/>
  <c r="B3537" i="3" a="1"/>
  <c r="B3537" i="3" s="1"/>
  <c r="C3537" i="3" a="1"/>
  <c r="C3537" i="3" s="1"/>
  <c r="D3537" i="3" a="1"/>
  <c r="D3537" i="3" s="1"/>
  <c r="E3537" i="3" a="1"/>
  <c r="E3537" i="3" s="1"/>
  <c r="F3537" i="3" a="1"/>
  <c r="F3537" i="3" s="1"/>
  <c r="G3537" i="3" a="1"/>
  <c r="G3537" i="3" s="1"/>
  <c r="J3537" i="3" a="1"/>
  <c r="J3537" i="3" s="1"/>
  <c r="B3538" i="3" a="1"/>
  <c r="B3538" i="3" s="1"/>
  <c r="C3538" i="3" a="1"/>
  <c r="C3538" i="3" s="1"/>
  <c r="D3538" i="3" a="1"/>
  <c r="D3538" i="3" s="1"/>
  <c r="E3538" i="3" a="1"/>
  <c r="E3538" i="3" s="1"/>
  <c r="F3538" i="3" a="1"/>
  <c r="F3538" i="3" s="1"/>
  <c r="G3538" i="3" a="1"/>
  <c r="G3538" i="3" s="1"/>
  <c r="J3538" i="3" a="1"/>
  <c r="J3538" i="3" s="1"/>
  <c r="B3539" i="3" a="1"/>
  <c r="B3539" i="3" s="1"/>
  <c r="C3539" i="3" a="1"/>
  <c r="C3539" i="3" s="1"/>
  <c r="D3539" i="3" a="1"/>
  <c r="D3539" i="3" s="1"/>
  <c r="E3539" i="3" a="1"/>
  <c r="E3539" i="3" s="1"/>
  <c r="F3539" i="3" a="1"/>
  <c r="F3539" i="3" s="1"/>
  <c r="G3539" i="3" a="1"/>
  <c r="G3539" i="3" s="1"/>
  <c r="J3539" i="3" a="1"/>
  <c r="J3539" i="3" s="1"/>
  <c r="B3540" i="3" a="1"/>
  <c r="B3540" i="3" s="1"/>
  <c r="C3540" i="3" a="1"/>
  <c r="C3540" i="3" s="1"/>
  <c r="D3540" i="3" a="1"/>
  <c r="D3540" i="3" s="1"/>
  <c r="E3540" i="3" a="1"/>
  <c r="E3540" i="3" s="1"/>
  <c r="F3540" i="3" a="1"/>
  <c r="F3540" i="3" s="1"/>
  <c r="G3540" i="3" a="1"/>
  <c r="G3540" i="3" s="1"/>
  <c r="J3540" i="3" a="1"/>
  <c r="J3540" i="3" s="1"/>
  <c r="B3541" i="3" a="1"/>
  <c r="B3541" i="3" s="1"/>
  <c r="C3541" i="3" a="1"/>
  <c r="C3541" i="3" s="1"/>
  <c r="D3541" i="3" a="1"/>
  <c r="D3541" i="3" s="1"/>
  <c r="E3541" i="3" a="1"/>
  <c r="E3541" i="3" s="1"/>
  <c r="F3541" i="3" a="1"/>
  <c r="F3541" i="3" s="1"/>
  <c r="G3541" i="3" a="1"/>
  <c r="G3541" i="3" s="1"/>
  <c r="J3541" i="3" a="1"/>
  <c r="J3541" i="3" s="1"/>
  <c r="B3542" i="3" a="1"/>
  <c r="B3542" i="3" s="1"/>
  <c r="C3542" i="3" a="1"/>
  <c r="C3542" i="3" s="1"/>
  <c r="D3542" i="3" a="1"/>
  <c r="D3542" i="3" s="1"/>
  <c r="E3542" i="3" a="1"/>
  <c r="E3542" i="3" s="1"/>
  <c r="F3542" i="3" a="1"/>
  <c r="F3542" i="3" s="1"/>
  <c r="G3542" i="3" a="1"/>
  <c r="G3542" i="3" s="1"/>
  <c r="J3542" i="3" a="1"/>
  <c r="J3542" i="3" s="1"/>
  <c r="B3543" i="3" a="1"/>
  <c r="B3543" i="3" s="1"/>
  <c r="C3543" i="3" a="1"/>
  <c r="C3543" i="3" s="1"/>
  <c r="D3543" i="3" a="1"/>
  <c r="D3543" i="3" s="1"/>
  <c r="E3543" i="3" a="1"/>
  <c r="E3543" i="3" s="1"/>
  <c r="F3543" i="3" a="1"/>
  <c r="F3543" i="3" s="1"/>
  <c r="G3543" i="3" a="1"/>
  <c r="G3543" i="3" s="1"/>
  <c r="J3543" i="3" a="1"/>
  <c r="J3543" i="3" s="1"/>
  <c r="B3544" i="3" a="1"/>
  <c r="B3544" i="3" s="1"/>
  <c r="C3544" i="3" a="1"/>
  <c r="C3544" i="3" s="1"/>
  <c r="D3544" i="3" a="1"/>
  <c r="D3544" i="3" s="1"/>
  <c r="E3544" i="3" a="1"/>
  <c r="E3544" i="3" s="1"/>
  <c r="F3544" i="3" a="1"/>
  <c r="F3544" i="3" s="1"/>
  <c r="G3544" i="3" a="1"/>
  <c r="G3544" i="3" s="1"/>
  <c r="J3544" i="3" a="1"/>
  <c r="J3544" i="3" s="1"/>
  <c r="B3545" i="3" a="1"/>
  <c r="B3545" i="3" s="1"/>
  <c r="C3545" i="3" a="1"/>
  <c r="C3545" i="3" s="1"/>
  <c r="D3545" i="3" a="1"/>
  <c r="D3545" i="3" s="1"/>
  <c r="E3545" i="3" a="1"/>
  <c r="E3545" i="3" s="1"/>
  <c r="F3545" i="3" a="1"/>
  <c r="F3545" i="3" s="1"/>
  <c r="G3545" i="3" a="1"/>
  <c r="G3545" i="3" s="1"/>
  <c r="J3545" i="3" a="1"/>
  <c r="J3545" i="3" s="1"/>
  <c r="B3546" i="3" a="1"/>
  <c r="B3546" i="3" s="1"/>
  <c r="C3546" i="3" a="1"/>
  <c r="C3546" i="3" s="1"/>
  <c r="D3546" i="3" a="1"/>
  <c r="D3546" i="3" s="1"/>
  <c r="E3546" i="3" a="1"/>
  <c r="E3546" i="3" s="1"/>
  <c r="F3546" i="3" a="1"/>
  <c r="F3546" i="3" s="1"/>
  <c r="G3546" i="3" a="1"/>
  <c r="G3546" i="3" s="1"/>
  <c r="J3546" i="3" a="1"/>
  <c r="J3546" i="3" s="1"/>
  <c r="B3547" i="3" a="1"/>
  <c r="B3547" i="3" s="1"/>
  <c r="C3547" i="3" a="1"/>
  <c r="C3547" i="3" s="1"/>
  <c r="D3547" i="3" a="1"/>
  <c r="D3547" i="3" s="1"/>
  <c r="E3547" i="3" a="1"/>
  <c r="E3547" i="3" s="1"/>
  <c r="F3547" i="3" a="1"/>
  <c r="F3547" i="3" s="1"/>
  <c r="G3547" i="3" a="1"/>
  <c r="G3547" i="3" s="1"/>
  <c r="J3547" i="3" a="1"/>
  <c r="J3547" i="3" s="1"/>
  <c r="B3548" i="3" a="1"/>
  <c r="B3548" i="3" s="1"/>
  <c r="C3548" i="3" a="1"/>
  <c r="C3548" i="3" s="1"/>
  <c r="D3548" i="3" a="1"/>
  <c r="D3548" i="3" s="1"/>
  <c r="E3548" i="3" a="1"/>
  <c r="E3548" i="3" s="1"/>
  <c r="F3548" i="3" a="1"/>
  <c r="F3548" i="3" s="1"/>
  <c r="G3548" i="3" a="1"/>
  <c r="G3548" i="3" s="1"/>
  <c r="J3548" i="3" a="1"/>
  <c r="J3548" i="3" s="1"/>
  <c r="B3549" i="3" a="1"/>
  <c r="B3549" i="3" s="1"/>
  <c r="C3549" i="3" a="1"/>
  <c r="C3549" i="3" s="1"/>
  <c r="D3549" i="3" a="1"/>
  <c r="D3549" i="3" s="1"/>
  <c r="E3549" i="3" a="1"/>
  <c r="E3549" i="3" s="1"/>
  <c r="F3549" i="3" a="1"/>
  <c r="F3549" i="3" s="1"/>
  <c r="G3549" i="3" a="1"/>
  <c r="G3549" i="3" s="1"/>
  <c r="J3549" i="3" a="1"/>
  <c r="J3549" i="3" s="1"/>
  <c r="B3550" i="3" a="1"/>
  <c r="B3550" i="3" s="1"/>
  <c r="C3550" i="3" a="1"/>
  <c r="C3550" i="3" s="1"/>
  <c r="D3550" i="3" a="1"/>
  <c r="D3550" i="3" s="1"/>
  <c r="E3550" i="3" a="1"/>
  <c r="E3550" i="3" s="1"/>
  <c r="F3550" i="3" a="1"/>
  <c r="F3550" i="3" s="1"/>
  <c r="G3550" i="3" a="1"/>
  <c r="G3550" i="3" s="1"/>
  <c r="J3550" i="3" a="1"/>
  <c r="J3550" i="3" s="1"/>
  <c r="B3551" i="3" a="1"/>
  <c r="B3551" i="3" s="1"/>
  <c r="C3551" i="3" a="1"/>
  <c r="C3551" i="3" s="1"/>
  <c r="D3551" i="3" a="1"/>
  <c r="D3551" i="3" s="1"/>
  <c r="E3551" i="3" a="1"/>
  <c r="E3551" i="3" s="1"/>
  <c r="F3551" i="3" a="1"/>
  <c r="F3551" i="3" s="1"/>
  <c r="G3551" i="3" a="1"/>
  <c r="G3551" i="3" s="1"/>
  <c r="J3551" i="3" a="1"/>
  <c r="J3551" i="3" s="1"/>
  <c r="B3552" i="3" a="1"/>
  <c r="B3552" i="3" s="1"/>
  <c r="C3552" i="3" a="1"/>
  <c r="C3552" i="3" s="1"/>
  <c r="D3552" i="3" a="1"/>
  <c r="D3552" i="3" s="1"/>
  <c r="E3552" i="3" a="1"/>
  <c r="E3552" i="3" s="1"/>
  <c r="F3552" i="3" a="1"/>
  <c r="F3552" i="3" s="1"/>
  <c r="G3552" i="3" a="1"/>
  <c r="G3552" i="3" s="1"/>
  <c r="J3552" i="3" a="1"/>
  <c r="J3552" i="3" s="1"/>
  <c r="B3553" i="3" a="1"/>
  <c r="B3553" i="3" s="1"/>
  <c r="C3553" i="3" a="1"/>
  <c r="C3553" i="3" s="1"/>
  <c r="D3553" i="3" a="1"/>
  <c r="D3553" i="3" s="1"/>
  <c r="E3553" i="3" a="1"/>
  <c r="E3553" i="3" s="1"/>
  <c r="F3553" i="3" a="1"/>
  <c r="F3553" i="3" s="1"/>
  <c r="G3553" i="3" a="1"/>
  <c r="G3553" i="3" s="1"/>
  <c r="J3553" i="3" a="1"/>
  <c r="J3553" i="3" s="1"/>
  <c r="B3554" i="3" a="1"/>
  <c r="B3554" i="3" s="1"/>
  <c r="C3554" i="3" a="1"/>
  <c r="C3554" i="3" s="1"/>
  <c r="D3554" i="3" a="1"/>
  <c r="D3554" i="3" s="1"/>
  <c r="E3554" i="3" a="1"/>
  <c r="E3554" i="3" s="1"/>
  <c r="F3554" i="3" a="1"/>
  <c r="F3554" i="3" s="1"/>
  <c r="G3554" i="3" a="1"/>
  <c r="G3554" i="3" s="1"/>
  <c r="J3554" i="3" a="1"/>
  <c r="J3554" i="3" s="1"/>
  <c r="B3555" i="3" a="1"/>
  <c r="B3555" i="3" s="1"/>
  <c r="C3555" i="3" a="1"/>
  <c r="C3555" i="3" s="1"/>
  <c r="D3555" i="3" a="1"/>
  <c r="D3555" i="3" s="1"/>
  <c r="E3555" i="3" a="1"/>
  <c r="E3555" i="3" s="1"/>
  <c r="F3555" i="3" a="1"/>
  <c r="F3555" i="3" s="1"/>
  <c r="G3555" i="3" a="1"/>
  <c r="G3555" i="3" s="1"/>
  <c r="J3555" i="3" a="1"/>
  <c r="J3555" i="3" s="1"/>
  <c r="B3556" i="3" a="1"/>
  <c r="B3556" i="3" s="1"/>
  <c r="C3556" i="3" a="1"/>
  <c r="C3556" i="3" s="1"/>
  <c r="D3556" i="3" a="1"/>
  <c r="D3556" i="3" s="1"/>
  <c r="E3556" i="3" a="1"/>
  <c r="E3556" i="3" s="1"/>
  <c r="F3556" i="3" a="1"/>
  <c r="F3556" i="3" s="1"/>
  <c r="G3556" i="3" a="1"/>
  <c r="G3556" i="3" s="1"/>
  <c r="J3556" i="3" a="1"/>
  <c r="J3556" i="3" s="1"/>
  <c r="B3557" i="3" a="1"/>
  <c r="B3557" i="3" s="1"/>
  <c r="C3557" i="3" a="1"/>
  <c r="C3557" i="3" s="1"/>
  <c r="D3557" i="3" a="1"/>
  <c r="D3557" i="3" s="1"/>
  <c r="E3557" i="3" a="1"/>
  <c r="E3557" i="3" s="1"/>
  <c r="F3557" i="3" a="1"/>
  <c r="F3557" i="3" s="1"/>
  <c r="G3557" i="3" a="1"/>
  <c r="G3557" i="3" s="1"/>
  <c r="J3557" i="3" a="1"/>
  <c r="J3557" i="3" s="1"/>
  <c r="B3558" i="3" a="1"/>
  <c r="B3558" i="3" s="1"/>
  <c r="C3558" i="3" a="1"/>
  <c r="C3558" i="3" s="1"/>
  <c r="D3558" i="3" a="1"/>
  <c r="D3558" i="3" s="1"/>
  <c r="E3558" i="3" a="1"/>
  <c r="E3558" i="3" s="1"/>
  <c r="F3558" i="3" a="1"/>
  <c r="F3558" i="3" s="1"/>
  <c r="G3558" i="3" a="1"/>
  <c r="G3558" i="3" s="1"/>
  <c r="J3558" i="3" a="1"/>
  <c r="J3558" i="3" s="1"/>
  <c r="B3559" i="3" a="1"/>
  <c r="B3559" i="3" s="1"/>
  <c r="C3559" i="3" a="1"/>
  <c r="C3559" i="3" s="1"/>
  <c r="D3559" i="3" a="1"/>
  <c r="D3559" i="3" s="1"/>
  <c r="E3559" i="3" a="1"/>
  <c r="E3559" i="3" s="1"/>
  <c r="F3559" i="3" a="1"/>
  <c r="F3559" i="3" s="1"/>
  <c r="G3559" i="3" a="1"/>
  <c r="G3559" i="3" s="1"/>
  <c r="J3559" i="3" a="1"/>
  <c r="J3559" i="3" s="1"/>
  <c r="B3560" i="3" a="1"/>
  <c r="B3560" i="3" s="1"/>
  <c r="C3560" i="3" a="1"/>
  <c r="C3560" i="3" s="1"/>
  <c r="D3560" i="3" a="1"/>
  <c r="D3560" i="3" s="1"/>
  <c r="E3560" i="3" a="1"/>
  <c r="E3560" i="3" s="1"/>
  <c r="F3560" i="3" a="1"/>
  <c r="F3560" i="3" s="1"/>
  <c r="G3560" i="3" a="1"/>
  <c r="G3560" i="3" s="1"/>
  <c r="J3560" i="3" a="1"/>
  <c r="J3560" i="3" s="1"/>
  <c r="B3561" i="3" a="1"/>
  <c r="B3561" i="3" s="1"/>
  <c r="C3561" i="3" a="1"/>
  <c r="C3561" i="3" s="1"/>
  <c r="D3561" i="3" a="1"/>
  <c r="D3561" i="3" s="1"/>
  <c r="E3561" i="3" a="1"/>
  <c r="E3561" i="3" s="1"/>
  <c r="F3561" i="3" a="1"/>
  <c r="F3561" i="3" s="1"/>
  <c r="G3561" i="3" a="1"/>
  <c r="G3561" i="3" s="1"/>
  <c r="J3561" i="3" a="1"/>
  <c r="J3561" i="3" s="1"/>
  <c r="B3562" i="3" a="1"/>
  <c r="B3562" i="3" s="1"/>
  <c r="C3562" i="3" a="1"/>
  <c r="C3562" i="3" s="1"/>
  <c r="D3562" i="3" a="1"/>
  <c r="D3562" i="3" s="1"/>
  <c r="E3562" i="3" a="1"/>
  <c r="E3562" i="3" s="1"/>
  <c r="F3562" i="3" a="1"/>
  <c r="F3562" i="3" s="1"/>
  <c r="G3562" i="3" a="1"/>
  <c r="G3562" i="3" s="1"/>
  <c r="J3562" i="3" a="1"/>
  <c r="J3562" i="3" s="1"/>
  <c r="B3563" i="3" a="1"/>
  <c r="B3563" i="3" s="1"/>
  <c r="C3563" i="3" a="1"/>
  <c r="C3563" i="3" s="1"/>
  <c r="D3563" i="3" a="1"/>
  <c r="D3563" i="3" s="1"/>
  <c r="E3563" i="3" a="1"/>
  <c r="E3563" i="3" s="1"/>
  <c r="F3563" i="3" a="1"/>
  <c r="F3563" i="3" s="1"/>
  <c r="G3563" i="3" a="1"/>
  <c r="G3563" i="3" s="1"/>
  <c r="J3563" i="3" a="1"/>
  <c r="J3563" i="3" s="1"/>
  <c r="B3564" i="3" a="1"/>
  <c r="B3564" i="3" s="1"/>
  <c r="C3564" i="3" a="1"/>
  <c r="C3564" i="3" s="1"/>
  <c r="D3564" i="3" a="1"/>
  <c r="D3564" i="3" s="1"/>
  <c r="E3564" i="3" a="1"/>
  <c r="E3564" i="3" s="1"/>
  <c r="F3564" i="3" a="1"/>
  <c r="F3564" i="3" s="1"/>
  <c r="G3564" i="3" a="1"/>
  <c r="G3564" i="3" s="1"/>
  <c r="J3564" i="3" a="1"/>
  <c r="J3564" i="3" s="1"/>
  <c r="B3565" i="3" a="1"/>
  <c r="B3565" i="3" s="1"/>
  <c r="C3565" i="3" a="1"/>
  <c r="C3565" i="3" s="1"/>
  <c r="D3565" i="3" a="1"/>
  <c r="D3565" i="3" s="1"/>
  <c r="E3565" i="3" a="1"/>
  <c r="E3565" i="3" s="1"/>
  <c r="F3565" i="3" a="1"/>
  <c r="F3565" i="3" s="1"/>
  <c r="G3565" i="3" a="1"/>
  <c r="G3565" i="3" s="1"/>
  <c r="J3565" i="3" a="1"/>
  <c r="J3565" i="3" s="1"/>
  <c r="B3566" i="3" a="1"/>
  <c r="B3566" i="3" s="1"/>
  <c r="C3566" i="3" a="1"/>
  <c r="C3566" i="3" s="1"/>
  <c r="D3566" i="3" a="1"/>
  <c r="D3566" i="3" s="1"/>
  <c r="E3566" i="3" a="1"/>
  <c r="E3566" i="3" s="1"/>
  <c r="F3566" i="3" a="1"/>
  <c r="F3566" i="3" s="1"/>
  <c r="G3566" i="3" a="1"/>
  <c r="G3566" i="3" s="1"/>
  <c r="J3566" i="3" a="1"/>
  <c r="J3566" i="3" s="1"/>
  <c r="B3567" i="3" a="1"/>
  <c r="B3567" i="3" s="1"/>
  <c r="C3567" i="3" a="1"/>
  <c r="C3567" i="3" s="1"/>
  <c r="D3567" i="3" a="1"/>
  <c r="D3567" i="3" s="1"/>
  <c r="E3567" i="3" a="1"/>
  <c r="E3567" i="3" s="1"/>
  <c r="F3567" i="3" a="1"/>
  <c r="F3567" i="3" s="1"/>
  <c r="G3567" i="3" a="1"/>
  <c r="G3567" i="3" s="1"/>
  <c r="J3567" i="3" a="1"/>
  <c r="J3567" i="3" s="1"/>
  <c r="B3568" i="3" a="1"/>
  <c r="B3568" i="3" s="1"/>
  <c r="C3568" i="3" a="1"/>
  <c r="C3568" i="3" s="1"/>
  <c r="D3568" i="3" a="1"/>
  <c r="D3568" i="3" s="1"/>
  <c r="E3568" i="3" a="1"/>
  <c r="E3568" i="3" s="1"/>
  <c r="F3568" i="3" a="1"/>
  <c r="F3568" i="3" s="1"/>
  <c r="G3568" i="3" a="1"/>
  <c r="G3568" i="3" s="1"/>
  <c r="J3568" i="3" a="1"/>
  <c r="J3568" i="3" s="1"/>
  <c r="B3569" i="3" a="1"/>
  <c r="B3569" i="3" s="1"/>
  <c r="C3569" i="3" a="1"/>
  <c r="C3569" i="3" s="1"/>
  <c r="D3569" i="3" a="1"/>
  <c r="D3569" i="3" s="1"/>
  <c r="E3569" i="3" a="1"/>
  <c r="E3569" i="3" s="1"/>
  <c r="F3569" i="3" a="1"/>
  <c r="F3569" i="3" s="1"/>
  <c r="G3569" i="3" a="1"/>
  <c r="G3569" i="3" s="1"/>
  <c r="J3569" i="3" a="1"/>
  <c r="J3569" i="3" s="1"/>
  <c r="B3570" i="3" a="1"/>
  <c r="B3570" i="3" s="1"/>
  <c r="C3570" i="3" a="1"/>
  <c r="C3570" i="3" s="1"/>
  <c r="D3570" i="3" a="1"/>
  <c r="D3570" i="3" s="1"/>
  <c r="E3570" i="3" a="1"/>
  <c r="E3570" i="3" s="1"/>
  <c r="F3570" i="3" a="1"/>
  <c r="F3570" i="3" s="1"/>
  <c r="G3570" i="3" a="1"/>
  <c r="G3570" i="3" s="1"/>
  <c r="J3570" i="3" a="1"/>
  <c r="J3570" i="3" s="1"/>
  <c r="B3571" i="3" a="1"/>
  <c r="B3571" i="3" s="1"/>
  <c r="C3571" i="3" a="1"/>
  <c r="C3571" i="3" s="1"/>
  <c r="D3571" i="3" a="1"/>
  <c r="D3571" i="3" s="1"/>
  <c r="E3571" i="3" a="1"/>
  <c r="E3571" i="3" s="1"/>
  <c r="F3571" i="3" a="1"/>
  <c r="F3571" i="3" s="1"/>
  <c r="G3571" i="3" a="1"/>
  <c r="G3571" i="3" s="1"/>
  <c r="J3571" i="3" a="1"/>
  <c r="J3571" i="3" s="1"/>
  <c r="B3572" i="3" a="1"/>
  <c r="B3572" i="3" s="1"/>
  <c r="C3572" i="3" a="1"/>
  <c r="C3572" i="3" s="1"/>
  <c r="D3572" i="3" a="1"/>
  <c r="D3572" i="3" s="1"/>
  <c r="E3572" i="3" a="1"/>
  <c r="E3572" i="3" s="1"/>
  <c r="F3572" i="3" a="1"/>
  <c r="F3572" i="3" s="1"/>
  <c r="G3572" i="3" a="1"/>
  <c r="G3572" i="3" s="1"/>
  <c r="J3572" i="3" a="1"/>
  <c r="J3572" i="3" s="1"/>
  <c r="B3573" i="3" a="1"/>
  <c r="B3573" i="3" s="1"/>
  <c r="C3573" i="3" a="1"/>
  <c r="C3573" i="3" s="1"/>
  <c r="D3573" i="3" a="1"/>
  <c r="D3573" i="3" s="1"/>
  <c r="E3573" i="3" a="1"/>
  <c r="E3573" i="3" s="1"/>
  <c r="F3573" i="3" a="1"/>
  <c r="F3573" i="3" s="1"/>
  <c r="G3573" i="3" a="1"/>
  <c r="G3573" i="3" s="1"/>
  <c r="J3573" i="3" a="1"/>
  <c r="J3573" i="3" s="1"/>
  <c r="B3574" i="3" a="1"/>
  <c r="B3574" i="3" s="1"/>
  <c r="C3574" i="3" a="1"/>
  <c r="C3574" i="3" s="1"/>
  <c r="D3574" i="3" a="1"/>
  <c r="D3574" i="3" s="1"/>
  <c r="E3574" i="3" a="1"/>
  <c r="E3574" i="3" s="1"/>
  <c r="F3574" i="3" a="1"/>
  <c r="F3574" i="3" s="1"/>
  <c r="G3574" i="3" a="1"/>
  <c r="G3574" i="3" s="1"/>
  <c r="J3574" i="3" a="1"/>
  <c r="J3574" i="3" s="1"/>
  <c r="B3575" i="3" a="1"/>
  <c r="B3575" i="3" s="1"/>
  <c r="C3575" i="3" a="1"/>
  <c r="C3575" i="3" s="1"/>
  <c r="D3575" i="3" a="1"/>
  <c r="D3575" i="3" s="1"/>
  <c r="E3575" i="3" a="1"/>
  <c r="E3575" i="3" s="1"/>
  <c r="F3575" i="3" a="1"/>
  <c r="F3575" i="3" s="1"/>
  <c r="G3575" i="3" a="1"/>
  <c r="G3575" i="3" s="1"/>
  <c r="J3575" i="3" a="1"/>
  <c r="J3575" i="3" s="1"/>
  <c r="B3576" i="3" a="1"/>
  <c r="B3576" i="3" s="1"/>
  <c r="C3576" i="3" a="1"/>
  <c r="C3576" i="3" s="1"/>
  <c r="D3576" i="3" a="1"/>
  <c r="D3576" i="3" s="1"/>
  <c r="E3576" i="3" a="1"/>
  <c r="E3576" i="3" s="1"/>
  <c r="F3576" i="3" a="1"/>
  <c r="F3576" i="3" s="1"/>
  <c r="G3576" i="3" a="1"/>
  <c r="G3576" i="3" s="1"/>
  <c r="J3576" i="3" a="1"/>
  <c r="J3576" i="3" s="1"/>
  <c r="B3577" i="3" a="1"/>
  <c r="B3577" i="3" s="1"/>
  <c r="C3577" i="3" a="1"/>
  <c r="C3577" i="3" s="1"/>
  <c r="D3577" i="3" a="1"/>
  <c r="D3577" i="3" s="1"/>
  <c r="E3577" i="3" a="1"/>
  <c r="E3577" i="3" s="1"/>
  <c r="F3577" i="3" a="1"/>
  <c r="F3577" i="3" s="1"/>
  <c r="G3577" i="3" a="1"/>
  <c r="G3577" i="3" s="1"/>
  <c r="J3577" i="3" a="1"/>
  <c r="J3577" i="3" s="1"/>
  <c r="B3578" i="3" a="1"/>
  <c r="B3578" i="3" s="1"/>
  <c r="C3578" i="3" a="1"/>
  <c r="C3578" i="3" s="1"/>
  <c r="D3578" i="3" a="1"/>
  <c r="D3578" i="3" s="1"/>
  <c r="E3578" i="3" a="1"/>
  <c r="E3578" i="3" s="1"/>
  <c r="F3578" i="3" a="1"/>
  <c r="F3578" i="3" s="1"/>
  <c r="G3578" i="3" a="1"/>
  <c r="G3578" i="3" s="1"/>
  <c r="J3578" i="3" a="1"/>
  <c r="J3578" i="3" s="1"/>
  <c r="B3579" i="3" a="1"/>
  <c r="B3579" i="3" s="1"/>
  <c r="C3579" i="3" a="1"/>
  <c r="C3579" i="3" s="1"/>
  <c r="D3579" i="3" a="1"/>
  <c r="D3579" i="3" s="1"/>
  <c r="E3579" i="3" a="1"/>
  <c r="E3579" i="3" s="1"/>
  <c r="F3579" i="3" a="1"/>
  <c r="F3579" i="3" s="1"/>
  <c r="G3579" i="3" a="1"/>
  <c r="G3579" i="3" s="1"/>
  <c r="J3579" i="3" a="1"/>
  <c r="J3579" i="3" s="1"/>
  <c r="B3580" i="3" a="1"/>
  <c r="B3580" i="3" s="1"/>
  <c r="C3580" i="3" a="1"/>
  <c r="C3580" i="3" s="1"/>
  <c r="D3580" i="3" a="1"/>
  <c r="D3580" i="3" s="1"/>
  <c r="E3580" i="3" a="1"/>
  <c r="E3580" i="3" s="1"/>
  <c r="F3580" i="3" a="1"/>
  <c r="F3580" i="3" s="1"/>
  <c r="G3580" i="3" a="1"/>
  <c r="G3580" i="3" s="1"/>
  <c r="J3580" i="3" a="1"/>
  <c r="J3580" i="3" s="1"/>
  <c r="B3581" i="3" a="1"/>
  <c r="B3581" i="3" s="1"/>
  <c r="C3581" i="3" a="1"/>
  <c r="C3581" i="3" s="1"/>
  <c r="D3581" i="3" a="1"/>
  <c r="D3581" i="3" s="1"/>
  <c r="E3581" i="3" a="1"/>
  <c r="E3581" i="3" s="1"/>
  <c r="F3581" i="3" a="1"/>
  <c r="F3581" i="3" s="1"/>
  <c r="G3581" i="3" a="1"/>
  <c r="G3581" i="3" s="1"/>
  <c r="J3581" i="3" a="1"/>
  <c r="J3581" i="3" s="1"/>
  <c r="B3582" i="3" a="1"/>
  <c r="B3582" i="3" s="1"/>
  <c r="C3582" i="3" a="1"/>
  <c r="C3582" i="3" s="1"/>
  <c r="D3582" i="3" a="1"/>
  <c r="D3582" i="3" s="1"/>
  <c r="E3582" i="3" a="1"/>
  <c r="E3582" i="3" s="1"/>
  <c r="F3582" i="3" a="1"/>
  <c r="F3582" i="3" s="1"/>
  <c r="G3582" i="3" a="1"/>
  <c r="G3582" i="3" s="1"/>
  <c r="J3582" i="3" a="1"/>
  <c r="J3582" i="3" s="1"/>
  <c r="B3583" i="3" a="1"/>
  <c r="B3583" i="3" s="1"/>
  <c r="C3583" i="3" a="1"/>
  <c r="C3583" i="3" s="1"/>
  <c r="D3583" i="3" a="1"/>
  <c r="D3583" i="3" s="1"/>
  <c r="E3583" i="3" a="1"/>
  <c r="E3583" i="3" s="1"/>
  <c r="F3583" i="3" a="1"/>
  <c r="F3583" i="3" s="1"/>
  <c r="G3583" i="3" a="1"/>
  <c r="G3583" i="3" s="1"/>
  <c r="J3583" i="3" a="1"/>
  <c r="J3583" i="3" s="1"/>
  <c r="B3584" i="3" a="1"/>
  <c r="B3584" i="3" s="1"/>
  <c r="C3584" i="3" a="1"/>
  <c r="C3584" i="3" s="1"/>
  <c r="D3584" i="3" a="1"/>
  <c r="D3584" i="3" s="1"/>
  <c r="E3584" i="3" a="1"/>
  <c r="E3584" i="3" s="1"/>
  <c r="F3584" i="3" a="1"/>
  <c r="F3584" i="3" s="1"/>
  <c r="G3584" i="3" a="1"/>
  <c r="G3584" i="3" s="1"/>
  <c r="J3584" i="3" a="1"/>
  <c r="J3584" i="3" s="1"/>
  <c r="B3585" i="3" a="1"/>
  <c r="B3585" i="3" s="1"/>
  <c r="C3585" i="3" a="1"/>
  <c r="C3585" i="3" s="1"/>
  <c r="D3585" i="3" a="1"/>
  <c r="D3585" i="3" s="1"/>
  <c r="E3585" i="3" a="1"/>
  <c r="E3585" i="3" s="1"/>
  <c r="F3585" i="3" a="1"/>
  <c r="F3585" i="3" s="1"/>
  <c r="G3585" i="3" a="1"/>
  <c r="G3585" i="3" s="1"/>
  <c r="J3585" i="3" a="1"/>
  <c r="J3585" i="3" s="1"/>
  <c r="B3586" i="3" a="1"/>
  <c r="B3586" i="3" s="1"/>
  <c r="C3586" i="3" a="1"/>
  <c r="C3586" i="3" s="1"/>
  <c r="D3586" i="3" a="1"/>
  <c r="D3586" i="3" s="1"/>
  <c r="E3586" i="3" a="1"/>
  <c r="E3586" i="3" s="1"/>
  <c r="F3586" i="3" a="1"/>
  <c r="F3586" i="3" s="1"/>
  <c r="G3586" i="3" a="1"/>
  <c r="G3586" i="3" s="1"/>
  <c r="J3586" i="3" a="1"/>
  <c r="J3586" i="3" s="1"/>
  <c r="B3587" i="3" a="1"/>
  <c r="B3587" i="3" s="1"/>
  <c r="C3587" i="3" a="1"/>
  <c r="C3587" i="3" s="1"/>
  <c r="D3587" i="3" a="1"/>
  <c r="D3587" i="3" s="1"/>
  <c r="E3587" i="3" a="1"/>
  <c r="E3587" i="3" s="1"/>
  <c r="F3587" i="3" a="1"/>
  <c r="F3587" i="3" s="1"/>
  <c r="G3587" i="3" a="1"/>
  <c r="G3587" i="3" s="1"/>
  <c r="J3587" i="3" a="1"/>
  <c r="J3587" i="3" s="1"/>
  <c r="B3588" i="3" a="1"/>
  <c r="B3588" i="3" s="1"/>
  <c r="C3588" i="3" a="1"/>
  <c r="C3588" i="3" s="1"/>
  <c r="D3588" i="3" a="1"/>
  <c r="D3588" i="3" s="1"/>
  <c r="E3588" i="3" a="1"/>
  <c r="E3588" i="3" s="1"/>
  <c r="F3588" i="3" a="1"/>
  <c r="F3588" i="3" s="1"/>
  <c r="G3588" i="3" a="1"/>
  <c r="G3588" i="3" s="1"/>
  <c r="J3588" i="3" a="1"/>
  <c r="J3588" i="3" s="1"/>
  <c r="B3589" i="3" a="1"/>
  <c r="B3589" i="3" s="1"/>
  <c r="C3589" i="3" a="1"/>
  <c r="C3589" i="3" s="1"/>
  <c r="D3589" i="3" a="1"/>
  <c r="D3589" i="3" s="1"/>
  <c r="E3589" i="3" a="1"/>
  <c r="E3589" i="3" s="1"/>
  <c r="F3589" i="3" a="1"/>
  <c r="F3589" i="3" s="1"/>
  <c r="G3589" i="3" a="1"/>
  <c r="G3589" i="3" s="1"/>
  <c r="J3589" i="3" a="1"/>
  <c r="J3589" i="3" s="1"/>
  <c r="B3590" i="3" a="1"/>
  <c r="B3590" i="3" s="1"/>
  <c r="C3590" i="3" a="1"/>
  <c r="C3590" i="3" s="1"/>
  <c r="D3590" i="3" a="1"/>
  <c r="D3590" i="3" s="1"/>
  <c r="E3590" i="3" a="1"/>
  <c r="E3590" i="3" s="1"/>
  <c r="F3590" i="3" a="1"/>
  <c r="F3590" i="3" s="1"/>
  <c r="G3590" i="3" a="1"/>
  <c r="G3590" i="3" s="1"/>
  <c r="J3590" i="3" a="1"/>
  <c r="J3590" i="3" s="1"/>
  <c r="B3591" i="3" a="1"/>
  <c r="B3591" i="3" s="1"/>
  <c r="C3591" i="3" a="1"/>
  <c r="C3591" i="3" s="1"/>
  <c r="D3591" i="3" a="1"/>
  <c r="D3591" i="3" s="1"/>
  <c r="E3591" i="3" a="1"/>
  <c r="E3591" i="3" s="1"/>
  <c r="F3591" i="3" a="1"/>
  <c r="F3591" i="3" s="1"/>
  <c r="G3591" i="3" a="1"/>
  <c r="G3591" i="3" s="1"/>
  <c r="J3591" i="3" a="1"/>
  <c r="J3591" i="3" s="1"/>
  <c r="B3592" i="3" a="1"/>
  <c r="B3592" i="3" s="1"/>
  <c r="C3592" i="3" a="1"/>
  <c r="C3592" i="3" s="1"/>
  <c r="D3592" i="3" a="1"/>
  <c r="D3592" i="3" s="1"/>
  <c r="E3592" i="3" a="1"/>
  <c r="E3592" i="3" s="1"/>
  <c r="F3592" i="3" a="1"/>
  <c r="F3592" i="3" s="1"/>
  <c r="G3592" i="3" a="1"/>
  <c r="G3592" i="3" s="1"/>
  <c r="J3592" i="3" a="1"/>
  <c r="J3592" i="3" s="1"/>
  <c r="B3593" i="3" a="1"/>
  <c r="B3593" i="3" s="1"/>
  <c r="C3593" i="3" a="1"/>
  <c r="C3593" i="3" s="1"/>
  <c r="D3593" i="3" a="1"/>
  <c r="D3593" i="3" s="1"/>
  <c r="E3593" i="3" a="1"/>
  <c r="E3593" i="3" s="1"/>
  <c r="F3593" i="3" a="1"/>
  <c r="F3593" i="3" s="1"/>
  <c r="G3593" i="3" a="1"/>
  <c r="G3593" i="3" s="1"/>
  <c r="J3593" i="3" a="1"/>
  <c r="J3593" i="3" s="1"/>
  <c r="B3594" i="3" a="1"/>
  <c r="B3594" i="3" s="1"/>
  <c r="C3594" i="3" a="1"/>
  <c r="C3594" i="3" s="1"/>
  <c r="D3594" i="3" a="1"/>
  <c r="D3594" i="3" s="1"/>
  <c r="E3594" i="3" a="1"/>
  <c r="E3594" i="3" s="1"/>
  <c r="F3594" i="3" a="1"/>
  <c r="F3594" i="3" s="1"/>
  <c r="G3594" i="3" a="1"/>
  <c r="G3594" i="3" s="1"/>
  <c r="J3594" i="3" a="1"/>
  <c r="J3594" i="3" s="1"/>
  <c r="B3595" i="3" a="1"/>
  <c r="B3595" i="3" s="1"/>
  <c r="C3595" i="3" a="1"/>
  <c r="C3595" i="3" s="1"/>
  <c r="D3595" i="3" a="1"/>
  <c r="D3595" i="3" s="1"/>
  <c r="E3595" i="3" a="1"/>
  <c r="E3595" i="3" s="1"/>
  <c r="F3595" i="3" a="1"/>
  <c r="F3595" i="3" s="1"/>
  <c r="G3595" i="3" a="1"/>
  <c r="G3595" i="3" s="1"/>
  <c r="J3595" i="3" a="1"/>
  <c r="J3595" i="3" s="1"/>
  <c r="B3596" i="3" a="1"/>
  <c r="B3596" i="3" s="1"/>
  <c r="C3596" i="3" a="1"/>
  <c r="C3596" i="3" s="1"/>
  <c r="D3596" i="3" a="1"/>
  <c r="D3596" i="3" s="1"/>
  <c r="E3596" i="3" a="1"/>
  <c r="E3596" i="3" s="1"/>
  <c r="F3596" i="3" a="1"/>
  <c r="F3596" i="3" s="1"/>
  <c r="G3596" i="3" a="1"/>
  <c r="G3596" i="3" s="1"/>
  <c r="J3596" i="3" a="1"/>
  <c r="J3596" i="3" s="1"/>
  <c r="B3597" i="3" a="1"/>
  <c r="B3597" i="3" s="1"/>
  <c r="C3597" i="3" a="1"/>
  <c r="C3597" i="3" s="1"/>
  <c r="D3597" i="3" a="1"/>
  <c r="D3597" i="3" s="1"/>
  <c r="E3597" i="3" a="1"/>
  <c r="E3597" i="3" s="1"/>
  <c r="F3597" i="3" a="1"/>
  <c r="F3597" i="3" s="1"/>
  <c r="G3597" i="3" a="1"/>
  <c r="G3597" i="3" s="1"/>
  <c r="J3597" i="3" a="1"/>
  <c r="J3597" i="3" s="1"/>
  <c r="B3598" i="3" a="1"/>
  <c r="B3598" i="3" s="1"/>
  <c r="C3598" i="3" a="1"/>
  <c r="C3598" i="3" s="1"/>
  <c r="D3598" i="3" a="1"/>
  <c r="D3598" i="3" s="1"/>
  <c r="E3598" i="3" a="1"/>
  <c r="E3598" i="3" s="1"/>
  <c r="F3598" i="3" a="1"/>
  <c r="F3598" i="3" s="1"/>
  <c r="G3598" i="3" a="1"/>
  <c r="G3598" i="3" s="1"/>
  <c r="J3598" i="3" a="1"/>
  <c r="J3598" i="3" s="1"/>
  <c r="B3599" i="3" a="1"/>
  <c r="B3599" i="3" s="1"/>
  <c r="C3599" i="3" a="1"/>
  <c r="C3599" i="3" s="1"/>
  <c r="D3599" i="3" a="1"/>
  <c r="D3599" i="3" s="1"/>
  <c r="E3599" i="3" a="1"/>
  <c r="E3599" i="3" s="1"/>
  <c r="F3599" i="3" a="1"/>
  <c r="F3599" i="3" s="1"/>
  <c r="G3599" i="3" a="1"/>
  <c r="G3599" i="3" s="1"/>
  <c r="J3599" i="3" a="1"/>
  <c r="J3599" i="3" s="1"/>
  <c r="B3600" i="3" a="1"/>
  <c r="B3600" i="3" s="1"/>
  <c r="C3600" i="3" a="1"/>
  <c r="C3600" i="3" s="1"/>
  <c r="D3600" i="3" a="1"/>
  <c r="D3600" i="3" s="1"/>
  <c r="E3600" i="3" a="1"/>
  <c r="E3600" i="3" s="1"/>
  <c r="F3600" i="3" a="1"/>
  <c r="F3600" i="3" s="1"/>
  <c r="G3600" i="3" a="1"/>
  <c r="G3600" i="3" s="1"/>
  <c r="J3600" i="3" a="1"/>
  <c r="J3600" i="3" s="1"/>
  <c r="B3601" i="3" a="1"/>
  <c r="B3601" i="3" s="1"/>
  <c r="C3601" i="3" a="1"/>
  <c r="C3601" i="3" s="1"/>
  <c r="D3601" i="3" a="1"/>
  <c r="D3601" i="3" s="1"/>
  <c r="E3601" i="3" a="1"/>
  <c r="E3601" i="3" s="1"/>
  <c r="F3601" i="3" a="1"/>
  <c r="F3601" i="3" s="1"/>
  <c r="G3601" i="3" a="1"/>
  <c r="G3601" i="3" s="1"/>
  <c r="J3601" i="3" a="1"/>
  <c r="J3601" i="3" s="1"/>
  <c r="B3602" i="3" a="1"/>
  <c r="B3602" i="3" s="1"/>
  <c r="C3602" i="3" a="1"/>
  <c r="C3602" i="3" s="1"/>
  <c r="D3602" i="3" a="1"/>
  <c r="D3602" i="3" s="1"/>
  <c r="E3602" i="3" a="1"/>
  <c r="E3602" i="3" s="1"/>
  <c r="F3602" i="3" a="1"/>
  <c r="F3602" i="3" s="1"/>
  <c r="G3602" i="3" a="1"/>
  <c r="G3602" i="3" s="1"/>
  <c r="J3602" i="3" a="1"/>
  <c r="J3602" i="3" s="1"/>
  <c r="B3603" i="3" a="1"/>
  <c r="B3603" i="3" s="1"/>
  <c r="C3603" i="3" a="1"/>
  <c r="C3603" i="3" s="1"/>
  <c r="D3603" i="3" a="1"/>
  <c r="D3603" i="3" s="1"/>
  <c r="E3603" i="3" a="1"/>
  <c r="E3603" i="3" s="1"/>
  <c r="F3603" i="3" a="1"/>
  <c r="F3603" i="3" s="1"/>
  <c r="G3603" i="3" a="1"/>
  <c r="G3603" i="3" s="1"/>
  <c r="J3603" i="3" a="1"/>
  <c r="J3603" i="3" s="1"/>
  <c r="B3604" i="3" a="1"/>
  <c r="B3604" i="3" s="1"/>
  <c r="C3604" i="3" a="1"/>
  <c r="C3604" i="3" s="1"/>
  <c r="D3604" i="3" a="1"/>
  <c r="D3604" i="3" s="1"/>
  <c r="E3604" i="3" a="1"/>
  <c r="E3604" i="3" s="1"/>
  <c r="F3604" i="3" a="1"/>
  <c r="F3604" i="3" s="1"/>
  <c r="G3604" i="3" a="1"/>
  <c r="G3604" i="3" s="1"/>
  <c r="J3604" i="3" a="1"/>
  <c r="J3604" i="3" s="1"/>
  <c r="B3605" i="3" a="1"/>
  <c r="B3605" i="3" s="1"/>
  <c r="C3605" i="3" a="1"/>
  <c r="C3605" i="3" s="1"/>
  <c r="D3605" i="3" a="1"/>
  <c r="D3605" i="3" s="1"/>
  <c r="E3605" i="3" a="1"/>
  <c r="E3605" i="3" s="1"/>
  <c r="F3605" i="3" a="1"/>
  <c r="F3605" i="3" s="1"/>
  <c r="G3605" i="3" a="1"/>
  <c r="G3605" i="3" s="1"/>
  <c r="J3605" i="3" a="1"/>
  <c r="J3605" i="3" s="1"/>
  <c r="B3606" i="3" a="1"/>
  <c r="B3606" i="3" s="1"/>
  <c r="C3606" i="3" a="1"/>
  <c r="C3606" i="3" s="1"/>
  <c r="D3606" i="3" a="1"/>
  <c r="D3606" i="3" s="1"/>
  <c r="E3606" i="3" a="1"/>
  <c r="E3606" i="3" s="1"/>
  <c r="F3606" i="3" a="1"/>
  <c r="F3606" i="3" s="1"/>
  <c r="G3606" i="3" a="1"/>
  <c r="G3606" i="3" s="1"/>
  <c r="J3606" i="3" a="1"/>
  <c r="J3606" i="3" s="1"/>
  <c r="B3607" i="3" a="1"/>
  <c r="B3607" i="3" s="1"/>
  <c r="C3607" i="3" a="1"/>
  <c r="C3607" i="3" s="1"/>
  <c r="D3607" i="3" a="1"/>
  <c r="D3607" i="3" s="1"/>
  <c r="E3607" i="3" a="1"/>
  <c r="E3607" i="3" s="1"/>
  <c r="F3607" i="3" a="1"/>
  <c r="F3607" i="3" s="1"/>
  <c r="G3607" i="3" a="1"/>
  <c r="G3607" i="3" s="1"/>
  <c r="J3607" i="3" a="1"/>
  <c r="J3607" i="3" s="1"/>
  <c r="B3608" i="3" a="1"/>
  <c r="B3608" i="3" s="1"/>
  <c r="C3608" i="3" a="1"/>
  <c r="C3608" i="3" s="1"/>
  <c r="D3608" i="3" a="1"/>
  <c r="D3608" i="3" s="1"/>
  <c r="E3608" i="3" a="1"/>
  <c r="E3608" i="3" s="1"/>
  <c r="F3608" i="3" a="1"/>
  <c r="F3608" i="3" s="1"/>
  <c r="G3608" i="3" a="1"/>
  <c r="G3608" i="3" s="1"/>
  <c r="J3608" i="3" a="1"/>
  <c r="J3608" i="3" s="1"/>
  <c r="B3609" i="3" a="1"/>
  <c r="B3609" i="3" s="1"/>
  <c r="C3609" i="3" a="1"/>
  <c r="C3609" i="3" s="1"/>
  <c r="D3609" i="3" a="1"/>
  <c r="D3609" i="3" s="1"/>
  <c r="E3609" i="3" a="1"/>
  <c r="E3609" i="3" s="1"/>
  <c r="F3609" i="3" a="1"/>
  <c r="F3609" i="3" s="1"/>
  <c r="G3609" i="3" a="1"/>
  <c r="G3609" i="3" s="1"/>
  <c r="J3609" i="3" a="1"/>
  <c r="J3609" i="3" s="1"/>
  <c r="B3610" i="3" a="1"/>
  <c r="B3610" i="3" s="1"/>
  <c r="C3610" i="3" a="1"/>
  <c r="C3610" i="3" s="1"/>
  <c r="D3610" i="3" a="1"/>
  <c r="D3610" i="3" s="1"/>
  <c r="E3610" i="3" a="1"/>
  <c r="E3610" i="3" s="1"/>
  <c r="F3610" i="3" a="1"/>
  <c r="F3610" i="3" s="1"/>
  <c r="G3610" i="3" a="1"/>
  <c r="G3610" i="3" s="1"/>
  <c r="J3610" i="3" a="1"/>
  <c r="J3610" i="3" s="1"/>
  <c r="B3611" i="3" a="1"/>
  <c r="B3611" i="3" s="1"/>
  <c r="C3611" i="3" a="1"/>
  <c r="C3611" i="3" s="1"/>
  <c r="D3611" i="3" a="1"/>
  <c r="D3611" i="3" s="1"/>
  <c r="E3611" i="3" a="1"/>
  <c r="E3611" i="3" s="1"/>
  <c r="F3611" i="3" a="1"/>
  <c r="F3611" i="3" s="1"/>
  <c r="G3611" i="3" a="1"/>
  <c r="G3611" i="3" s="1"/>
  <c r="J3611" i="3" a="1"/>
  <c r="J3611" i="3" s="1"/>
  <c r="B3612" i="3" a="1"/>
  <c r="B3612" i="3" s="1"/>
  <c r="C3612" i="3" a="1"/>
  <c r="C3612" i="3" s="1"/>
  <c r="D3612" i="3" a="1"/>
  <c r="D3612" i="3" s="1"/>
  <c r="E3612" i="3" a="1"/>
  <c r="E3612" i="3" s="1"/>
  <c r="F3612" i="3" a="1"/>
  <c r="F3612" i="3" s="1"/>
  <c r="G3612" i="3" a="1"/>
  <c r="G3612" i="3" s="1"/>
  <c r="J3612" i="3" a="1"/>
  <c r="J3612" i="3" s="1"/>
  <c r="B3613" i="3" a="1"/>
  <c r="B3613" i="3" s="1"/>
  <c r="C3613" i="3" a="1"/>
  <c r="C3613" i="3" s="1"/>
  <c r="D3613" i="3" a="1"/>
  <c r="D3613" i="3" s="1"/>
  <c r="E3613" i="3" a="1"/>
  <c r="E3613" i="3" s="1"/>
  <c r="F3613" i="3" a="1"/>
  <c r="F3613" i="3" s="1"/>
  <c r="G3613" i="3" a="1"/>
  <c r="G3613" i="3" s="1"/>
  <c r="J3613" i="3" a="1"/>
  <c r="J3613" i="3" s="1"/>
  <c r="B3614" i="3" a="1"/>
  <c r="B3614" i="3" s="1"/>
  <c r="C3614" i="3" a="1"/>
  <c r="C3614" i="3" s="1"/>
  <c r="D3614" i="3" a="1"/>
  <c r="D3614" i="3" s="1"/>
  <c r="E3614" i="3" a="1"/>
  <c r="E3614" i="3" s="1"/>
  <c r="F3614" i="3" a="1"/>
  <c r="F3614" i="3" s="1"/>
  <c r="G3614" i="3" a="1"/>
  <c r="G3614" i="3" s="1"/>
  <c r="J3614" i="3" a="1"/>
  <c r="J3614" i="3" s="1"/>
  <c r="B3615" i="3" a="1"/>
  <c r="B3615" i="3" s="1"/>
  <c r="C3615" i="3" a="1"/>
  <c r="C3615" i="3" s="1"/>
  <c r="D3615" i="3" a="1"/>
  <c r="D3615" i="3" s="1"/>
  <c r="E3615" i="3" a="1"/>
  <c r="E3615" i="3" s="1"/>
  <c r="F3615" i="3" a="1"/>
  <c r="F3615" i="3" s="1"/>
  <c r="G3615" i="3" a="1"/>
  <c r="G3615" i="3" s="1"/>
  <c r="J3615" i="3" a="1"/>
  <c r="J3615" i="3" s="1"/>
  <c r="B3616" i="3" a="1"/>
  <c r="B3616" i="3" s="1"/>
  <c r="C3616" i="3" a="1"/>
  <c r="C3616" i="3" s="1"/>
  <c r="D3616" i="3" a="1"/>
  <c r="D3616" i="3" s="1"/>
  <c r="E3616" i="3" a="1"/>
  <c r="E3616" i="3" s="1"/>
  <c r="F3616" i="3" a="1"/>
  <c r="F3616" i="3" s="1"/>
  <c r="G3616" i="3" a="1"/>
  <c r="G3616" i="3" s="1"/>
  <c r="J3616" i="3" a="1"/>
  <c r="J3616" i="3" s="1"/>
  <c r="B3617" i="3" a="1"/>
  <c r="B3617" i="3" s="1"/>
  <c r="C3617" i="3" a="1"/>
  <c r="C3617" i="3" s="1"/>
  <c r="D3617" i="3" a="1"/>
  <c r="D3617" i="3" s="1"/>
  <c r="E3617" i="3" a="1"/>
  <c r="E3617" i="3" s="1"/>
  <c r="F3617" i="3" a="1"/>
  <c r="F3617" i="3" s="1"/>
  <c r="G3617" i="3" a="1"/>
  <c r="G3617" i="3" s="1"/>
  <c r="J3617" i="3" a="1"/>
  <c r="J3617" i="3" s="1"/>
  <c r="B3618" i="3" a="1"/>
  <c r="B3618" i="3" s="1"/>
  <c r="C3618" i="3" a="1"/>
  <c r="C3618" i="3" s="1"/>
  <c r="D3618" i="3" a="1"/>
  <c r="D3618" i="3" s="1"/>
  <c r="E3618" i="3" a="1"/>
  <c r="E3618" i="3" s="1"/>
  <c r="F3618" i="3" a="1"/>
  <c r="F3618" i="3" s="1"/>
  <c r="G3618" i="3" a="1"/>
  <c r="G3618" i="3" s="1"/>
  <c r="J3618" i="3" a="1"/>
  <c r="J3618" i="3" s="1"/>
  <c r="B3619" i="3" a="1"/>
  <c r="B3619" i="3" s="1"/>
  <c r="C3619" i="3" a="1"/>
  <c r="C3619" i="3" s="1"/>
  <c r="D3619" i="3" a="1"/>
  <c r="D3619" i="3" s="1"/>
  <c r="E3619" i="3" a="1"/>
  <c r="E3619" i="3" s="1"/>
  <c r="F3619" i="3" a="1"/>
  <c r="F3619" i="3" s="1"/>
  <c r="G3619" i="3" a="1"/>
  <c r="G3619" i="3" s="1"/>
  <c r="J3619" i="3" a="1"/>
  <c r="J3619" i="3" s="1"/>
  <c r="B3620" i="3" a="1"/>
  <c r="B3620" i="3" s="1"/>
  <c r="C3620" i="3" a="1"/>
  <c r="C3620" i="3" s="1"/>
  <c r="D3620" i="3" a="1"/>
  <c r="D3620" i="3" s="1"/>
  <c r="E3620" i="3" a="1"/>
  <c r="E3620" i="3" s="1"/>
  <c r="F3620" i="3" a="1"/>
  <c r="F3620" i="3" s="1"/>
  <c r="G3620" i="3" a="1"/>
  <c r="G3620" i="3" s="1"/>
  <c r="J3620" i="3" a="1"/>
  <c r="J3620" i="3" s="1"/>
  <c r="B3621" i="3" a="1"/>
  <c r="B3621" i="3" s="1"/>
  <c r="C3621" i="3" a="1"/>
  <c r="C3621" i="3" s="1"/>
  <c r="D3621" i="3" a="1"/>
  <c r="D3621" i="3" s="1"/>
  <c r="E3621" i="3" a="1"/>
  <c r="E3621" i="3" s="1"/>
  <c r="F3621" i="3" a="1"/>
  <c r="F3621" i="3" s="1"/>
  <c r="G3621" i="3" a="1"/>
  <c r="G3621" i="3" s="1"/>
  <c r="J3621" i="3" a="1"/>
  <c r="J3621" i="3" s="1"/>
  <c r="B3622" i="3" a="1"/>
  <c r="B3622" i="3" s="1"/>
  <c r="C3622" i="3" a="1"/>
  <c r="C3622" i="3" s="1"/>
  <c r="D3622" i="3" a="1"/>
  <c r="D3622" i="3" s="1"/>
  <c r="E3622" i="3" a="1"/>
  <c r="E3622" i="3" s="1"/>
  <c r="F3622" i="3" a="1"/>
  <c r="F3622" i="3" s="1"/>
  <c r="G3622" i="3" a="1"/>
  <c r="G3622" i="3" s="1"/>
  <c r="J3622" i="3" a="1"/>
  <c r="J3622" i="3" s="1"/>
  <c r="B3623" i="3" a="1"/>
  <c r="B3623" i="3" s="1"/>
  <c r="C3623" i="3" a="1"/>
  <c r="C3623" i="3" s="1"/>
  <c r="D3623" i="3" a="1"/>
  <c r="D3623" i="3" s="1"/>
  <c r="E3623" i="3" a="1"/>
  <c r="E3623" i="3" s="1"/>
  <c r="F3623" i="3" a="1"/>
  <c r="F3623" i="3" s="1"/>
  <c r="G3623" i="3" a="1"/>
  <c r="G3623" i="3" s="1"/>
  <c r="J3623" i="3" a="1"/>
  <c r="J3623" i="3" s="1"/>
  <c r="B3624" i="3" a="1"/>
  <c r="B3624" i="3" s="1"/>
  <c r="C3624" i="3" a="1"/>
  <c r="C3624" i="3" s="1"/>
  <c r="D3624" i="3" a="1"/>
  <c r="D3624" i="3" s="1"/>
  <c r="E3624" i="3" a="1"/>
  <c r="E3624" i="3" s="1"/>
  <c r="F3624" i="3" a="1"/>
  <c r="F3624" i="3" s="1"/>
  <c r="G3624" i="3" a="1"/>
  <c r="G3624" i="3" s="1"/>
  <c r="J3624" i="3" a="1"/>
  <c r="J3624" i="3" s="1"/>
  <c r="B3625" i="3" a="1"/>
  <c r="B3625" i="3" s="1"/>
  <c r="C3625" i="3" a="1"/>
  <c r="C3625" i="3" s="1"/>
  <c r="D3625" i="3" a="1"/>
  <c r="D3625" i="3" s="1"/>
  <c r="E3625" i="3" a="1"/>
  <c r="E3625" i="3" s="1"/>
  <c r="F3625" i="3" a="1"/>
  <c r="F3625" i="3" s="1"/>
  <c r="G3625" i="3" a="1"/>
  <c r="G3625" i="3" s="1"/>
  <c r="J3625" i="3" a="1"/>
  <c r="J3625" i="3" s="1"/>
  <c r="B3626" i="3" a="1"/>
  <c r="B3626" i="3" s="1"/>
  <c r="C3626" i="3" a="1"/>
  <c r="C3626" i="3" s="1"/>
  <c r="D3626" i="3" a="1"/>
  <c r="D3626" i="3" s="1"/>
  <c r="E3626" i="3" a="1"/>
  <c r="E3626" i="3" s="1"/>
  <c r="F3626" i="3" a="1"/>
  <c r="F3626" i="3" s="1"/>
  <c r="G3626" i="3" a="1"/>
  <c r="G3626" i="3" s="1"/>
  <c r="J3626" i="3" a="1"/>
  <c r="J3626" i="3" s="1"/>
  <c r="B3627" i="3" a="1"/>
  <c r="B3627" i="3" s="1"/>
  <c r="C3627" i="3" a="1"/>
  <c r="C3627" i="3" s="1"/>
  <c r="D3627" i="3" a="1"/>
  <c r="D3627" i="3" s="1"/>
  <c r="E3627" i="3" a="1"/>
  <c r="E3627" i="3" s="1"/>
  <c r="F3627" i="3" a="1"/>
  <c r="F3627" i="3" s="1"/>
  <c r="G3627" i="3" a="1"/>
  <c r="G3627" i="3" s="1"/>
  <c r="J3627" i="3" a="1"/>
  <c r="J3627" i="3" s="1"/>
  <c r="B3628" i="3" a="1"/>
  <c r="B3628" i="3" s="1"/>
  <c r="C3628" i="3" a="1"/>
  <c r="C3628" i="3" s="1"/>
  <c r="D3628" i="3" a="1"/>
  <c r="D3628" i="3" s="1"/>
  <c r="E3628" i="3" a="1"/>
  <c r="E3628" i="3" s="1"/>
  <c r="F3628" i="3" a="1"/>
  <c r="F3628" i="3" s="1"/>
  <c r="G3628" i="3" a="1"/>
  <c r="G3628" i="3" s="1"/>
  <c r="J3628" i="3" a="1"/>
  <c r="J3628" i="3" s="1"/>
  <c r="B3629" i="3" a="1"/>
  <c r="B3629" i="3" s="1"/>
  <c r="C3629" i="3" a="1"/>
  <c r="C3629" i="3" s="1"/>
  <c r="D3629" i="3" a="1"/>
  <c r="D3629" i="3" s="1"/>
  <c r="E3629" i="3" a="1"/>
  <c r="E3629" i="3" s="1"/>
  <c r="F3629" i="3" a="1"/>
  <c r="F3629" i="3" s="1"/>
  <c r="G3629" i="3" a="1"/>
  <c r="G3629" i="3" s="1"/>
  <c r="J3629" i="3" a="1"/>
  <c r="J3629" i="3" s="1"/>
  <c r="B3630" i="3" a="1"/>
  <c r="B3630" i="3" s="1"/>
  <c r="C3630" i="3" a="1"/>
  <c r="C3630" i="3" s="1"/>
  <c r="D3630" i="3" a="1"/>
  <c r="D3630" i="3" s="1"/>
  <c r="E3630" i="3" a="1"/>
  <c r="E3630" i="3" s="1"/>
  <c r="F3630" i="3" a="1"/>
  <c r="F3630" i="3" s="1"/>
  <c r="G3630" i="3" a="1"/>
  <c r="G3630" i="3" s="1"/>
  <c r="J3630" i="3" a="1"/>
  <c r="J3630" i="3" s="1"/>
  <c r="B3631" i="3" a="1"/>
  <c r="B3631" i="3" s="1"/>
  <c r="C3631" i="3" a="1"/>
  <c r="C3631" i="3" s="1"/>
  <c r="D3631" i="3" a="1"/>
  <c r="D3631" i="3" s="1"/>
  <c r="E3631" i="3" a="1"/>
  <c r="E3631" i="3" s="1"/>
  <c r="F3631" i="3" a="1"/>
  <c r="F3631" i="3" s="1"/>
  <c r="G3631" i="3" a="1"/>
  <c r="G3631" i="3" s="1"/>
  <c r="J3631" i="3" a="1"/>
  <c r="J3631" i="3" s="1"/>
  <c r="B3632" i="3" a="1"/>
  <c r="B3632" i="3" s="1"/>
  <c r="C3632" i="3" a="1"/>
  <c r="C3632" i="3" s="1"/>
  <c r="D3632" i="3" a="1"/>
  <c r="D3632" i="3" s="1"/>
  <c r="E3632" i="3" a="1"/>
  <c r="E3632" i="3" s="1"/>
  <c r="F3632" i="3" a="1"/>
  <c r="F3632" i="3" s="1"/>
  <c r="G3632" i="3" a="1"/>
  <c r="G3632" i="3" s="1"/>
  <c r="J3632" i="3" a="1"/>
  <c r="J3632" i="3" s="1"/>
  <c r="B3633" i="3" a="1"/>
  <c r="B3633" i="3" s="1"/>
  <c r="C3633" i="3" a="1"/>
  <c r="C3633" i="3" s="1"/>
  <c r="D3633" i="3" a="1"/>
  <c r="D3633" i="3" s="1"/>
  <c r="E3633" i="3" a="1"/>
  <c r="E3633" i="3" s="1"/>
  <c r="F3633" i="3" a="1"/>
  <c r="F3633" i="3" s="1"/>
  <c r="G3633" i="3" a="1"/>
  <c r="G3633" i="3" s="1"/>
  <c r="J3633" i="3" a="1"/>
  <c r="J3633" i="3" s="1"/>
  <c r="B3634" i="3" a="1"/>
  <c r="B3634" i="3" s="1"/>
  <c r="C3634" i="3" a="1"/>
  <c r="C3634" i="3" s="1"/>
  <c r="D3634" i="3" a="1"/>
  <c r="D3634" i="3" s="1"/>
  <c r="E3634" i="3" a="1"/>
  <c r="E3634" i="3" s="1"/>
  <c r="F3634" i="3" a="1"/>
  <c r="F3634" i="3" s="1"/>
  <c r="G3634" i="3" a="1"/>
  <c r="G3634" i="3" s="1"/>
  <c r="J3634" i="3" a="1"/>
  <c r="J3634" i="3" s="1"/>
  <c r="B3635" i="3" a="1"/>
  <c r="B3635" i="3" s="1"/>
  <c r="C3635" i="3" a="1"/>
  <c r="C3635" i="3" s="1"/>
  <c r="D3635" i="3" a="1"/>
  <c r="D3635" i="3" s="1"/>
  <c r="E3635" i="3" a="1"/>
  <c r="E3635" i="3" s="1"/>
  <c r="F3635" i="3" a="1"/>
  <c r="F3635" i="3" s="1"/>
  <c r="G3635" i="3" a="1"/>
  <c r="G3635" i="3" s="1"/>
  <c r="J3635" i="3" a="1"/>
  <c r="J3635" i="3" s="1"/>
  <c r="B3636" i="3" a="1"/>
  <c r="B3636" i="3" s="1"/>
  <c r="C3636" i="3" a="1"/>
  <c r="C3636" i="3" s="1"/>
  <c r="D3636" i="3" a="1"/>
  <c r="D3636" i="3" s="1"/>
  <c r="E3636" i="3" a="1"/>
  <c r="E3636" i="3" s="1"/>
  <c r="F3636" i="3" a="1"/>
  <c r="F3636" i="3" s="1"/>
  <c r="G3636" i="3" a="1"/>
  <c r="G3636" i="3" s="1"/>
  <c r="J3636" i="3" a="1"/>
  <c r="J3636" i="3" s="1"/>
  <c r="B3637" i="3" a="1"/>
  <c r="B3637" i="3" s="1"/>
  <c r="C3637" i="3" a="1"/>
  <c r="C3637" i="3" s="1"/>
  <c r="D3637" i="3" a="1"/>
  <c r="D3637" i="3" s="1"/>
  <c r="E3637" i="3" a="1"/>
  <c r="E3637" i="3" s="1"/>
  <c r="F3637" i="3" a="1"/>
  <c r="F3637" i="3" s="1"/>
  <c r="G3637" i="3" a="1"/>
  <c r="G3637" i="3" s="1"/>
  <c r="J3637" i="3" a="1"/>
  <c r="J3637" i="3" s="1"/>
  <c r="B3638" i="3" a="1"/>
  <c r="B3638" i="3" s="1"/>
  <c r="C3638" i="3" a="1"/>
  <c r="C3638" i="3" s="1"/>
  <c r="D3638" i="3" a="1"/>
  <c r="D3638" i="3" s="1"/>
  <c r="E3638" i="3" a="1"/>
  <c r="E3638" i="3" s="1"/>
  <c r="F3638" i="3" a="1"/>
  <c r="F3638" i="3" s="1"/>
  <c r="G3638" i="3" a="1"/>
  <c r="G3638" i="3" s="1"/>
  <c r="J3638" i="3" a="1"/>
  <c r="J3638" i="3" s="1"/>
  <c r="B3639" i="3" a="1"/>
  <c r="B3639" i="3" s="1"/>
  <c r="C3639" i="3" a="1"/>
  <c r="C3639" i="3" s="1"/>
  <c r="D3639" i="3" a="1"/>
  <c r="D3639" i="3" s="1"/>
  <c r="E3639" i="3" a="1"/>
  <c r="E3639" i="3" s="1"/>
  <c r="F3639" i="3" a="1"/>
  <c r="F3639" i="3" s="1"/>
  <c r="G3639" i="3" a="1"/>
  <c r="G3639" i="3" s="1"/>
  <c r="J3639" i="3" a="1"/>
  <c r="J3639" i="3" s="1"/>
  <c r="B3640" i="3" a="1"/>
  <c r="B3640" i="3" s="1"/>
  <c r="C3640" i="3" a="1"/>
  <c r="C3640" i="3" s="1"/>
  <c r="D3640" i="3" a="1"/>
  <c r="D3640" i="3" s="1"/>
  <c r="E3640" i="3" a="1"/>
  <c r="E3640" i="3" s="1"/>
  <c r="F3640" i="3" a="1"/>
  <c r="F3640" i="3" s="1"/>
  <c r="G3640" i="3" a="1"/>
  <c r="G3640" i="3" s="1"/>
  <c r="J3640" i="3" a="1"/>
  <c r="J3640" i="3" s="1"/>
  <c r="B3641" i="3" a="1"/>
  <c r="B3641" i="3" s="1"/>
  <c r="C3641" i="3" a="1"/>
  <c r="C3641" i="3" s="1"/>
  <c r="D3641" i="3" a="1"/>
  <c r="D3641" i="3" s="1"/>
  <c r="E3641" i="3" a="1"/>
  <c r="E3641" i="3" s="1"/>
  <c r="F3641" i="3" a="1"/>
  <c r="F3641" i="3" s="1"/>
  <c r="G3641" i="3" a="1"/>
  <c r="G3641" i="3" s="1"/>
  <c r="J3641" i="3" a="1"/>
  <c r="J3641" i="3" s="1"/>
  <c r="B3642" i="3" a="1"/>
  <c r="B3642" i="3" s="1"/>
  <c r="C3642" i="3" a="1"/>
  <c r="C3642" i="3" s="1"/>
  <c r="D3642" i="3" a="1"/>
  <c r="D3642" i="3" s="1"/>
  <c r="E3642" i="3" a="1"/>
  <c r="E3642" i="3" s="1"/>
  <c r="F3642" i="3" a="1"/>
  <c r="F3642" i="3" s="1"/>
  <c r="G3642" i="3" a="1"/>
  <c r="G3642" i="3" s="1"/>
  <c r="J3642" i="3" a="1"/>
  <c r="J3642" i="3" s="1"/>
  <c r="B3643" i="3" a="1"/>
  <c r="B3643" i="3" s="1"/>
  <c r="C3643" i="3" a="1"/>
  <c r="C3643" i="3" s="1"/>
  <c r="D3643" i="3" a="1"/>
  <c r="D3643" i="3" s="1"/>
  <c r="E3643" i="3" a="1"/>
  <c r="E3643" i="3" s="1"/>
  <c r="F3643" i="3" a="1"/>
  <c r="F3643" i="3" s="1"/>
  <c r="G3643" i="3" a="1"/>
  <c r="G3643" i="3" s="1"/>
  <c r="J3643" i="3" a="1"/>
  <c r="J3643" i="3" s="1"/>
  <c r="B3644" i="3" a="1"/>
  <c r="B3644" i="3" s="1"/>
  <c r="C3644" i="3" a="1"/>
  <c r="C3644" i="3" s="1"/>
  <c r="D3644" i="3" a="1"/>
  <c r="D3644" i="3" s="1"/>
  <c r="E3644" i="3" a="1"/>
  <c r="E3644" i="3" s="1"/>
  <c r="F3644" i="3" a="1"/>
  <c r="F3644" i="3" s="1"/>
  <c r="G3644" i="3" a="1"/>
  <c r="G3644" i="3" s="1"/>
  <c r="J3644" i="3" a="1"/>
  <c r="J3644" i="3" s="1"/>
  <c r="B3645" i="3" a="1"/>
  <c r="B3645" i="3" s="1"/>
  <c r="C3645" i="3" a="1"/>
  <c r="C3645" i="3" s="1"/>
  <c r="D3645" i="3" a="1"/>
  <c r="D3645" i="3" s="1"/>
  <c r="E3645" i="3" a="1"/>
  <c r="E3645" i="3" s="1"/>
  <c r="F3645" i="3" a="1"/>
  <c r="F3645" i="3" s="1"/>
  <c r="G3645" i="3" a="1"/>
  <c r="G3645" i="3" s="1"/>
  <c r="J3645" i="3" a="1"/>
  <c r="J3645" i="3" s="1"/>
  <c r="B3646" i="3" a="1"/>
  <c r="B3646" i="3" s="1"/>
  <c r="C3646" i="3" a="1"/>
  <c r="C3646" i="3" s="1"/>
  <c r="D3646" i="3" a="1"/>
  <c r="D3646" i="3" s="1"/>
  <c r="E3646" i="3" a="1"/>
  <c r="E3646" i="3" s="1"/>
  <c r="F3646" i="3" a="1"/>
  <c r="F3646" i="3" s="1"/>
  <c r="G3646" i="3" a="1"/>
  <c r="G3646" i="3" s="1"/>
  <c r="J3646" i="3" a="1"/>
  <c r="J3646" i="3" s="1"/>
  <c r="B3647" i="3" a="1"/>
  <c r="B3647" i="3" s="1"/>
  <c r="C3647" i="3" a="1"/>
  <c r="C3647" i="3" s="1"/>
  <c r="D3647" i="3" a="1"/>
  <c r="D3647" i="3" s="1"/>
  <c r="E3647" i="3" a="1"/>
  <c r="E3647" i="3" s="1"/>
  <c r="F3647" i="3" a="1"/>
  <c r="F3647" i="3" s="1"/>
  <c r="G3647" i="3" a="1"/>
  <c r="G3647" i="3" s="1"/>
  <c r="J3647" i="3" a="1"/>
  <c r="J3647" i="3" s="1"/>
  <c r="B3648" i="3" a="1"/>
  <c r="B3648" i="3" s="1"/>
  <c r="C3648" i="3" a="1"/>
  <c r="C3648" i="3" s="1"/>
  <c r="D3648" i="3" a="1"/>
  <c r="D3648" i="3" s="1"/>
  <c r="E3648" i="3" a="1"/>
  <c r="E3648" i="3" s="1"/>
  <c r="F3648" i="3" a="1"/>
  <c r="F3648" i="3" s="1"/>
  <c r="G3648" i="3" a="1"/>
  <c r="G3648" i="3" s="1"/>
  <c r="J3648" i="3" a="1"/>
  <c r="J3648" i="3" s="1"/>
  <c r="B3649" i="3" a="1"/>
  <c r="B3649" i="3" s="1"/>
  <c r="C3649" i="3" a="1"/>
  <c r="C3649" i="3" s="1"/>
  <c r="D3649" i="3" a="1"/>
  <c r="D3649" i="3" s="1"/>
  <c r="E3649" i="3" a="1"/>
  <c r="E3649" i="3" s="1"/>
  <c r="F3649" i="3" a="1"/>
  <c r="F3649" i="3" s="1"/>
  <c r="G3649" i="3" a="1"/>
  <c r="G3649" i="3" s="1"/>
  <c r="J3649" i="3" a="1"/>
  <c r="J3649" i="3" s="1"/>
  <c r="B3650" i="3" a="1"/>
  <c r="B3650" i="3" s="1"/>
  <c r="C3650" i="3" a="1"/>
  <c r="C3650" i="3" s="1"/>
  <c r="D3650" i="3" a="1"/>
  <c r="D3650" i="3" s="1"/>
  <c r="E3650" i="3" a="1"/>
  <c r="E3650" i="3" s="1"/>
  <c r="F3650" i="3" a="1"/>
  <c r="F3650" i="3" s="1"/>
  <c r="G3650" i="3" a="1"/>
  <c r="G3650" i="3" s="1"/>
  <c r="J3650" i="3" a="1"/>
  <c r="J3650" i="3" s="1"/>
  <c r="B3651" i="3" a="1"/>
  <c r="B3651" i="3" s="1"/>
  <c r="C3651" i="3" a="1"/>
  <c r="C3651" i="3" s="1"/>
  <c r="D3651" i="3" a="1"/>
  <c r="D3651" i="3" s="1"/>
  <c r="E3651" i="3" a="1"/>
  <c r="E3651" i="3" s="1"/>
  <c r="F3651" i="3" a="1"/>
  <c r="F3651" i="3" s="1"/>
  <c r="G3651" i="3" a="1"/>
  <c r="G3651" i="3" s="1"/>
  <c r="J3651" i="3" a="1"/>
  <c r="J3651" i="3" s="1"/>
  <c r="B3652" i="3" a="1"/>
  <c r="B3652" i="3" s="1"/>
  <c r="C3652" i="3" a="1"/>
  <c r="C3652" i="3" s="1"/>
  <c r="D3652" i="3" a="1"/>
  <c r="D3652" i="3" s="1"/>
  <c r="E3652" i="3" a="1"/>
  <c r="E3652" i="3" s="1"/>
  <c r="F3652" i="3" a="1"/>
  <c r="F3652" i="3" s="1"/>
  <c r="G3652" i="3" a="1"/>
  <c r="G3652" i="3" s="1"/>
  <c r="J3652" i="3" a="1"/>
  <c r="J3652" i="3" s="1"/>
  <c r="B3653" i="3" a="1"/>
  <c r="B3653" i="3" s="1"/>
  <c r="C3653" i="3" a="1"/>
  <c r="C3653" i="3" s="1"/>
  <c r="D3653" i="3" a="1"/>
  <c r="D3653" i="3" s="1"/>
  <c r="E3653" i="3" a="1"/>
  <c r="E3653" i="3" s="1"/>
  <c r="F3653" i="3" a="1"/>
  <c r="F3653" i="3" s="1"/>
  <c r="G3653" i="3" a="1"/>
  <c r="G3653" i="3" s="1"/>
  <c r="J3653" i="3" a="1"/>
  <c r="J3653" i="3" s="1"/>
  <c r="B3654" i="3" a="1"/>
  <c r="B3654" i="3" s="1"/>
  <c r="C3654" i="3" a="1"/>
  <c r="C3654" i="3" s="1"/>
  <c r="D3654" i="3" a="1"/>
  <c r="D3654" i="3" s="1"/>
  <c r="E3654" i="3" a="1"/>
  <c r="E3654" i="3" s="1"/>
  <c r="F3654" i="3" a="1"/>
  <c r="F3654" i="3" s="1"/>
  <c r="G3654" i="3" a="1"/>
  <c r="G3654" i="3" s="1"/>
  <c r="J3654" i="3" a="1"/>
  <c r="J3654" i="3" s="1"/>
  <c r="B3655" i="3" a="1"/>
  <c r="B3655" i="3" s="1"/>
  <c r="C3655" i="3" a="1"/>
  <c r="C3655" i="3" s="1"/>
  <c r="D3655" i="3" a="1"/>
  <c r="D3655" i="3" s="1"/>
  <c r="E3655" i="3" a="1"/>
  <c r="E3655" i="3" s="1"/>
  <c r="F3655" i="3" a="1"/>
  <c r="F3655" i="3" s="1"/>
  <c r="G3655" i="3" a="1"/>
  <c r="G3655" i="3" s="1"/>
  <c r="J3655" i="3" a="1"/>
  <c r="J3655" i="3" s="1"/>
  <c r="B3656" i="3" a="1"/>
  <c r="B3656" i="3" s="1"/>
  <c r="C3656" i="3" a="1"/>
  <c r="C3656" i="3" s="1"/>
  <c r="D3656" i="3" a="1"/>
  <c r="D3656" i="3" s="1"/>
  <c r="E3656" i="3" a="1"/>
  <c r="E3656" i="3" s="1"/>
  <c r="F3656" i="3" a="1"/>
  <c r="F3656" i="3" s="1"/>
  <c r="G3656" i="3" a="1"/>
  <c r="G3656" i="3" s="1"/>
  <c r="J3656" i="3" a="1"/>
  <c r="J3656" i="3" s="1"/>
  <c r="B3657" i="3" a="1"/>
  <c r="B3657" i="3" s="1"/>
  <c r="C3657" i="3" a="1"/>
  <c r="C3657" i="3" s="1"/>
  <c r="D3657" i="3" a="1"/>
  <c r="D3657" i="3" s="1"/>
  <c r="E3657" i="3" a="1"/>
  <c r="E3657" i="3" s="1"/>
  <c r="F3657" i="3" a="1"/>
  <c r="F3657" i="3" s="1"/>
  <c r="G3657" i="3" a="1"/>
  <c r="G3657" i="3" s="1"/>
  <c r="J3657" i="3" a="1"/>
  <c r="J3657" i="3" s="1"/>
  <c r="B3658" i="3" a="1"/>
  <c r="B3658" i="3" s="1"/>
  <c r="C3658" i="3" a="1"/>
  <c r="C3658" i="3" s="1"/>
  <c r="D3658" i="3" a="1"/>
  <c r="D3658" i="3" s="1"/>
  <c r="E3658" i="3" a="1"/>
  <c r="E3658" i="3" s="1"/>
  <c r="F3658" i="3" a="1"/>
  <c r="F3658" i="3" s="1"/>
  <c r="G3658" i="3" a="1"/>
  <c r="G3658" i="3" s="1"/>
  <c r="J3658" i="3" a="1"/>
  <c r="J3658" i="3" s="1"/>
  <c r="B3659" i="3" a="1"/>
  <c r="B3659" i="3" s="1"/>
  <c r="C3659" i="3" a="1"/>
  <c r="C3659" i="3" s="1"/>
  <c r="D3659" i="3" a="1"/>
  <c r="D3659" i="3" s="1"/>
  <c r="E3659" i="3" a="1"/>
  <c r="E3659" i="3" s="1"/>
  <c r="F3659" i="3" a="1"/>
  <c r="F3659" i="3" s="1"/>
  <c r="G3659" i="3" a="1"/>
  <c r="G3659" i="3" s="1"/>
  <c r="J3659" i="3" a="1"/>
  <c r="J3659" i="3" s="1"/>
  <c r="B3660" i="3" a="1"/>
  <c r="B3660" i="3" s="1"/>
  <c r="C3660" i="3" a="1"/>
  <c r="C3660" i="3" s="1"/>
  <c r="D3660" i="3" a="1"/>
  <c r="D3660" i="3" s="1"/>
  <c r="E3660" i="3" a="1"/>
  <c r="E3660" i="3" s="1"/>
  <c r="F3660" i="3" a="1"/>
  <c r="F3660" i="3" s="1"/>
  <c r="G3660" i="3" a="1"/>
  <c r="G3660" i="3" s="1"/>
  <c r="J3660" i="3" a="1"/>
  <c r="J3660" i="3" s="1"/>
  <c r="B3661" i="3" a="1"/>
  <c r="B3661" i="3" s="1"/>
  <c r="C3661" i="3" a="1"/>
  <c r="C3661" i="3" s="1"/>
  <c r="D3661" i="3" a="1"/>
  <c r="D3661" i="3" s="1"/>
  <c r="E3661" i="3" a="1"/>
  <c r="E3661" i="3" s="1"/>
  <c r="F3661" i="3" a="1"/>
  <c r="F3661" i="3" s="1"/>
  <c r="G3661" i="3" a="1"/>
  <c r="G3661" i="3" s="1"/>
  <c r="J3661" i="3" a="1"/>
  <c r="J3661" i="3" s="1"/>
  <c r="B3662" i="3" a="1"/>
  <c r="B3662" i="3" s="1"/>
  <c r="C3662" i="3" a="1"/>
  <c r="C3662" i="3" s="1"/>
  <c r="D3662" i="3" a="1"/>
  <c r="D3662" i="3" s="1"/>
  <c r="E3662" i="3" a="1"/>
  <c r="E3662" i="3" s="1"/>
  <c r="F3662" i="3" a="1"/>
  <c r="F3662" i="3" s="1"/>
  <c r="G3662" i="3" a="1"/>
  <c r="G3662" i="3" s="1"/>
  <c r="J3662" i="3" a="1"/>
  <c r="J3662" i="3" s="1"/>
  <c r="B3663" i="3" a="1"/>
  <c r="B3663" i="3" s="1"/>
  <c r="C3663" i="3" a="1"/>
  <c r="C3663" i="3" s="1"/>
  <c r="D3663" i="3" a="1"/>
  <c r="D3663" i="3" s="1"/>
  <c r="E3663" i="3" a="1"/>
  <c r="E3663" i="3" s="1"/>
  <c r="F3663" i="3" a="1"/>
  <c r="F3663" i="3" s="1"/>
  <c r="G3663" i="3" a="1"/>
  <c r="G3663" i="3" s="1"/>
  <c r="J3663" i="3" a="1"/>
  <c r="J3663" i="3" s="1"/>
  <c r="B3664" i="3" a="1"/>
  <c r="B3664" i="3" s="1"/>
  <c r="C3664" i="3" a="1"/>
  <c r="C3664" i="3" s="1"/>
  <c r="D3664" i="3" a="1"/>
  <c r="D3664" i="3" s="1"/>
  <c r="E3664" i="3" a="1"/>
  <c r="E3664" i="3" s="1"/>
  <c r="F3664" i="3" a="1"/>
  <c r="F3664" i="3" s="1"/>
  <c r="G3664" i="3" a="1"/>
  <c r="G3664" i="3" s="1"/>
  <c r="J3664" i="3" a="1"/>
  <c r="J3664" i="3" s="1"/>
  <c r="B3665" i="3" a="1"/>
  <c r="B3665" i="3" s="1"/>
  <c r="C3665" i="3" a="1"/>
  <c r="C3665" i="3" s="1"/>
  <c r="D3665" i="3" a="1"/>
  <c r="D3665" i="3" s="1"/>
  <c r="E3665" i="3" a="1"/>
  <c r="E3665" i="3" s="1"/>
  <c r="F3665" i="3" a="1"/>
  <c r="F3665" i="3" s="1"/>
  <c r="G3665" i="3" a="1"/>
  <c r="G3665" i="3" s="1"/>
  <c r="J3665" i="3" a="1"/>
  <c r="J3665" i="3" s="1"/>
  <c r="B3666" i="3" a="1"/>
  <c r="B3666" i="3" s="1"/>
  <c r="C3666" i="3" a="1"/>
  <c r="C3666" i="3" s="1"/>
  <c r="D3666" i="3" a="1"/>
  <c r="D3666" i="3" s="1"/>
  <c r="E3666" i="3" a="1"/>
  <c r="E3666" i="3" s="1"/>
  <c r="F3666" i="3" a="1"/>
  <c r="F3666" i="3" s="1"/>
  <c r="G3666" i="3" a="1"/>
  <c r="G3666" i="3" s="1"/>
  <c r="J3666" i="3" a="1"/>
  <c r="J3666" i="3" s="1"/>
  <c r="B3667" i="3" a="1"/>
  <c r="B3667" i="3" s="1"/>
  <c r="C3667" i="3" a="1"/>
  <c r="C3667" i="3" s="1"/>
  <c r="D3667" i="3" a="1"/>
  <c r="D3667" i="3" s="1"/>
  <c r="E3667" i="3" a="1"/>
  <c r="E3667" i="3" s="1"/>
  <c r="F3667" i="3" a="1"/>
  <c r="F3667" i="3" s="1"/>
  <c r="G3667" i="3" a="1"/>
  <c r="G3667" i="3" s="1"/>
  <c r="J3667" i="3" a="1"/>
  <c r="J3667" i="3" s="1"/>
  <c r="B3668" i="3" a="1"/>
  <c r="B3668" i="3" s="1"/>
  <c r="C3668" i="3" a="1"/>
  <c r="C3668" i="3" s="1"/>
  <c r="D3668" i="3" a="1"/>
  <c r="D3668" i="3" s="1"/>
  <c r="E3668" i="3" a="1"/>
  <c r="E3668" i="3" s="1"/>
  <c r="F3668" i="3" a="1"/>
  <c r="F3668" i="3" s="1"/>
  <c r="G3668" i="3" a="1"/>
  <c r="G3668" i="3" s="1"/>
  <c r="J3668" i="3" a="1"/>
  <c r="J3668" i="3" s="1"/>
  <c r="B3669" i="3" a="1"/>
  <c r="B3669" i="3" s="1"/>
  <c r="C3669" i="3" a="1"/>
  <c r="C3669" i="3" s="1"/>
  <c r="D3669" i="3" a="1"/>
  <c r="D3669" i="3" s="1"/>
  <c r="E3669" i="3" a="1"/>
  <c r="E3669" i="3" s="1"/>
  <c r="F3669" i="3" a="1"/>
  <c r="F3669" i="3" s="1"/>
  <c r="G3669" i="3" a="1"/>
  <c r="G3669" i="3" s="1"/>
  <c r="J3669" i="3" a="1"/>
  <c r="J3669" i="3" s="1"/>
  <c r="B3670" i="3" a="1"/>
  <c r="B3670" i="3" s="1"/>
  <c r="C3670" i="3" a="1"/>
  <c r="C3670" i="3" s="1"/>
  <c r="D3670" i="3" a="1"/>
  <c r="D3670" i="3" s="1"/>
  <c r="E3670" i="3" a="1"/>
  <c r="E3670" i="3" s="1"/>
  <c r="F3670" i="3" a="1"/>
  <c r="F3670" i="3" s="1"/>
  <c r="G3670" i="3" a="1"/>
  <c r="G3670" i="3" s="1"/>
  <c r="J3670" i="3" a="1"/>
  <c r="J3670" i="3" s="1"/>
  <c r="B3671" i="3" a="1"/>
  <c r="B3671" i="3" s="1"/>
  <c r="C3671" i="3" a="1"/>
  <c r="C3671" i="3" s="1"/>
  <c r="D3671" i="3" a="1"/>
  <c r="D3671" i="3" s="1"/>
  <c r="E3671" i="3" a="1"/>
  <c r="E3671" i="3" s="1"/>
  <c r="F3671" i="3" a="1"/>
  <c r="F3671" i="3" s="1"/>
  <c r="G3671" i="3" a="1"/>
  <c r="G3671" i="3" s="1"/>
  <c r="J3671" i="3" a="1"/>
  <c r="J3671" i="3" s="1"/>
  <c r="B3672" i="3" a="1"/>
  <c r="B3672" i="3" s="1"/>
  <c r="C3672" i="3" a="1"/>
  <c r="C3672" i="3" s="1"/>
  <c r="D3672" i="3" a="1"/>
  <c r="D3672" i="3" s="1"/>
  <c r="E3672" i="3" a="1"/>
  <c r="E3672" i="3" s="1"/>
  <c r="F3672" i="3" a="1"/>
  <c r="F3672" i="3" s="1"/>
  <c r="G3672" i="3" a="1"/>
  <c r="G3672" i="3" s="1"/>
  <c r="J3672" i="3" a="1"/>
  <c r="J3672" i="3" s="1"/>
  <c r="B3673" i="3" a="1"/>
  <c r="B3673" i="3" s="1"/>
  <c r="C3673" i="3" a="1"/>
  <c r="C3673" i="3" s="1"/>
  <c r="D3673" i="3" a="1"/>
  <c r="D3673" i="3" s="1"/>
  <c r="E3673" i="3" a="1"/>
  <c r="E3673" i="3" s="1"/>
  <c r="F3673" i="3" a="1"/>
  <c r="F3673" i="3" s="1"/>
  <c r="G3673" i="3" a="1"/>
  <c r="G3673" i="3" s="1"/>
  <c r="J3673" i="3" a="1"/>
  <c r="J3673" i="3" s="1"/>
  <c r="B3674" i="3" a="1"/>
  <c r="B3674" i="3" s="1"/>
  <c r="C3674" i="3" a="1"/>
  <c r="C3674" i="3" s="1"/>
  <c r="D3674" i="3" a="1"/>
  <c r="D3674" i="3" s="1"/>
  <c r="E3674" i="3" a="1"/>
  <c r="E3674" i="3" s="1"/>
  <c r="F3674" i="3" a="1"/>
  <c r="F3674" i="3" s="1"/>
  <c r="G3674" i="3" a="1"/>
  <c r="G3674" i="3" s="1"/>
  <c r="J3674" i="3" a="1"/>
  <c r="J3674" i="3" s="1"/>
  <c r="B3675" i="3" a="1"/>
  <c r="B3675" i="3" s="1"/>
  <c r="C3675" i="3" a="1"/>
  <c r="C3675" i="3" s="1"/>
  <c r="D3675" i="3" a="1"/>
  <c r="D3675" i="3" s="1"/>
  <c r="E3675" i="3" a="1"/>
  <c r="E3675" i="3" s="1"/>
  <c r="F3675" i="3" a="1"/>
  <c r="F3675" i="3" s="1"/>
  <c r="G3675" i="3" a="1"/>
  <c r="G3675" i="3" s="1"/>
  <c r="J3675" i="3" a="1"/>
  <c r="J3675" i="3" s="1"/>
  <c r="B3676" i="3" a="1"/>
  <c r="B3676" i="3" s="1"/>
  <c r="C3676" i="3" a="1"/>
  <c r="C3676" i="3" s="1"/>
  <c r="D3676" i="3" a="1"/>
  <c r="D3676" i="3" s="1"/>
  <c r="E3676" i="3" a="1"/>
  <c r="E3676" i="3" s="1"/>
  <c r="F3676" i="3" a="1"/>
  <c r="F3676" i="3" s="1"/>
  <c r="G3676" i="3" a="1"/>
  <c r="G3676" i="3" s="1"/>
  <c r="J3676" i="3" a="1"/>
  <c r="J3676" i="3" s="1"/>
  <c r="B3677" i="3" a="1"/>
  <c r="B3677" i="3" s="1"/>
  <c r="C3677" i="3" a="1"/>
  <c r="C3677" i="3" s="1"/>
  <c r="D3677" i="3" a="1"/>
  <c r="D3677" i="3" s="1"/>
  <c r="E3677" i="3" a="1"/>
  <c r="E3677" i="3" s="1"/>
  <c r="F3677" i="3" a="1"/>
  <c r="F3677" i="3" s="1"/>
  <c r="G3677" i="3" a="1"/>
  <c r="G3677" i="3" s="1"/>
  <c r="J3677" i="3" a="1"/>
  <c r="J3677" i="3" s="1"/>
  <c r="B3678" i="3" a="1"/>
  <c r="B3678" i="3" s="1"/>
  <c r="C3678" i="3" a="1"/>
  <c r="C3678" i="3" s="1"/>
  <c r="D3678" i="3" a="1"/>
  <c r="D3678" i="3" s="1"/>
  <c r="E3678" i="3" a="1"/>
  <c r="E3678" i="3" s="1"/>
  <c r="F3678" i="3" a="1"/>
  <c r="F3678" i="3" s="1"/>
  <c r="G3678" i="3" a="1"/>
  <c r="G3678" i="3" s="1"/>
  <c r="J3678" i="3" a="1"/>
  <c r="J3678" i="3" s="1"/>
  <c r="B3679" i="3" a="1"/>
  <c r="B3679" i="3" s="1"/>
  <c r="C3679" i="3" a="1"/>
  <c r="C3679" i="3" s="1"/>
  <c r="D3679" i="3" a="1"/>
  <c r="D3679" i="3" s="1"/>
  <c r="E3679" i="3" a="1"/>
  <c r="E3679" i="3" s="1"/>
  <c r="F3679" i="3" a="1"/>
  <c r="F3679" i="3" s="1"/>
  <c r="G3679" i="3" a="1"/>
  <c r="G3679" i="3" s="1"/>
  <c r="J3679" i="3" a="1"/>
  <c r="J3679" i="3" s="1"/>
  <c r="B3680" i="3" a="1"/>
  <c r="B3680" i="3" s="1"/>
  <c r="C3680" i="3" a="1"/>
  <c r="C3680" i="3" s="1"/>
  <c r="D3680" i="3" a="1"/>
  <c r="D3680" i="3" s="1"/>
  <c r="E3680" i="3" a="1"/>
  <c r="E3680" i="3" s="1"/>
  <c r="F3680" i="3" a="1"/>
  <c r="F3680" i="3" s="1"/>
  <c r="G3680" i="3" a="1"/>
  <c r="G3680" i="3" s="1"/>
  <c r="J3680" i="3" a="1"/>
  <c r="J3680" i="3" s="1"/>
  <c r="B3681" i="3" a="1"/>
  <c r="B3681" i="3" s="1"/>
  <c r="C3681" i="3" a="1"/>
  <c r="C3681" i="3" s="1"/>
  <c r="D3681" i="3" a="1"/>
  <c r="D3681" i="3" s="1"/>
  <c r="E3681" i="3" a="1"/>
  <c r="E3681" i="3" s="1"/>
  <c r="F3681" i="3" a="1"/>
  <c r="F3681" i="3" s="1"/>
  <c r="G3681" i="3" a="1"/>
  <c r="G3681" i="3" s="1"/>
  <c r="J3681" i="3" a="1"/>
  <c r="J3681" i="3" s="1"/>
  <c r="B3682" i="3" a="1"/>
  <c r="B3682" i="3" s="1"/>
  <c r="C3682" i="3" a="1"/>
  <c r="C3682" i="3" s="1"/>
  <c r="D3682" i="3" a="1"/>
  <c r="D3682" i="3" s="1"/>
  <c r="E3682" i="3" a="1"/>
  <c r="E3682" i="3" s="1"/>
  <c r="F3682" i="3" a="1"/>
  <c r="F3682" i="3" s="1"/>
  <c r="G3682" i="3" a="1"/>
  <c r="G3682" i="3" s="1"/>
  <c r="J3682" i="3" a="1"/>
  <c r="J3682" i="3" s="1"/>
  <c r="B3683" i="3" a="1"/>
  <c r="B3683" i="3" s="1"/>
  <c r="C3683" i="3" a="1"/>
  <c r="C3683" i="3" s="1"/>
  <c r="D3683" i="3" a="1"/>
  <c r="D3683" i="3" s="1"/>
  <c r="E3683" i="3" a="1"/>
  <c r="E3683" i="3" s="1"/>
  <c r="F3683" i="3" a="1"/>
  <c r="F3683" i="3" s="1"/>
  <c r="G3683" i="3" a="1"/>
  <c r="G3683" i="3" s="1"/>
  <c r="J3683" i="3" a="1"/>
  <c r="J3683" i="3" s="1"/>
  <c r="B3684" i="3" a="1"/>
  <c r="B3684" i="3" s="1"/>
  <c r="C3684" i="3" a="1"/>
  <c r="C3684" i="3" s="1"/>
  <c r="D3684" i="3" a="1"/>
  <c r="D3684" i="3" s="1"/>
  <c r="E3684" i="3" a="1"/>
  <c r="E3684" i="3" s="1"/>
  <c r="F3684" i="3" a="1"/>
  <c r="F3684" i="3" s="1"/>
  <c r="G3684" i="3" a="1"/>
  <c r="G3684" i="3" s="1"/>
  <c r="J3684" i="3" a="1"/>
  <c r="J3684" i="3" s="1"/>
  <c r="B3685" i="3" a="1"/>
  <c r="B3685" i="3" s="1"/>
  <c r="C3685" i="3" a="1"/>
  <c r="C3685" i="3" s="1"/>
  <c r="D3685" i="3" a="1"/>
  <c r="D3685" i="3" s="1"/>
  <c r="E3685" i="3" a="1"/>
  <c r="E3685" i="3" s="1"/>
  <c r="F3685" i="3" a="1"/>
  <c r="F3685" i="3" s="1"/>
  <c r="G3685" i="3" a="1"/>
  <c r="G3685" i="3" s="1"/>
  <c r="J3685" i="3" a="1"/>
  <c r="J3685" i="3" s="1"/>
  <c r="B3686" i="3" a="1"/>
  <c r="B3686" i="3" s="1"/>
  <c r="C3686" i="3" a="1"/>
  <c r="C3686" i="3" s="1"/>
  <c r="D3686" i="3" a="1"/>
  <c r="D3686" i="3" s="1"/>
  <c r="E3686" i="3" a="1"/>
  <c r="E3686" i="3" s="1"/>
  <c r="F3686" i="3" a="1"/>
  <c r="F3686" i="3" s="1"/>
  <c r="G3686" i="3" a="1"/>
  <c r="G3686" i="3" s="1"/>
  <c r="J3686" i="3" a="1"/>
  <c r="J3686" i="3" s="1"/>
  <c r="B3687" i="3" a="1"/>
  <c r="B3687" i="3" s="1"/>
  <c r="C3687" i="3" a="1"/>
  <c r="C3687" i="3" s="1"/>
  <c r="D3687" i="3" a="1"/>
  <c r="D3687" i="3" s="1"/>
  <c r="E3687" i="3" a="1"/>
  <c r="E3687" i="3" s="1"/>
  <c r="F3687" i="3" a="1"/>
  <c r="F3687" i="3" s="1"/>
  <c r="G3687" i="3" a="1"/>
  <c r="G3687" i="3" s="1"/>
  <c r="J3687" i="3" a="1"/>
  <c r="J3687" i="3" s="1"/>
  <c r="B3688" i="3" a="1"/>
  <c r="B3688" i="3" s="1"/>
  <c r="C3688" i="3" a="1"/>
  <c r="C3688" i="3" s="1"/>
  <c r="D3688" i="3" a="1"/>
  <c r="D3688" i="3" s="1"/>
  <c r="E3688" i="3" a="1"/>
  <c r="E3688" i="3" s="1"/>
  <c r="F3688" i="3" a="1"/>
  <c r="F3688" i="3" s="1"/>
  <c r="G3688" i="3" a="1"/>
  <c r="G3688" i="3" s="1"/>
  <c r="J3688" i="3" a="1"/>
  <c r="J3688" i="3" s="1"/>
  <c r="B3689" i="3" a="1"/>
  <c r="B3689" i="3" s="1"/>
  <c r="C3689" i="3" a="1"/>
  <c r="C3689" i="3" s="1"/>
  <c r="D3689" i="3" a="1"/>
  <c r="D3689" i="3" s="1"/>
  <c r="E3689" i="3" a="1"/>
  <c r="E3689" i="3" s="1"/>
  <c r="F3689" i="3" a="1"/>
  <c r="F3689" i="3" s="1"/>
  <c r="G3689" i="3" a="1"/>
  <c r="G3689" i="3" s="1"/>
  <c r="J3689" i="3" a="1"/>
  <c r="J3689" i="3" s="1"/>
  <c r="B3690" i="3" a="1"/>
  <c r="B3690" i="3" s="1"/>
  <c r="C3690" i="3" a="1"/>
  <c r="C3690" i="3" s="1"/>
  <c r="D3690" i="3" a="1"/>
  <c r="D3690" i="3" s="1"/>
  <c r="E3690" i="3" a="1"/>
  <c r="E3690" i="3" s="1"/>
  <c r="F3690" i="3" a="1"/>
  <c r="F3690" i="3" s="1"/>
  <c r="G3690" i="3" a="1"/>
  <c r="G3690" i="3" s="1"/>
  <c r="J3690" i="3" a="1"/>
  <c r="J3690" i="3" s="1"/>
  <c r="B3691" i="3" a="1"/>
  <c r="B3691" i="3" s="1"/>
  <c r="C3691" i="3" a="1"/>
  <c r="C3691" i="3" s="1"/>
  <c r="D3691" i="3" a="1"/>
  <c r="D3691" i="3" s="1"/>
  <c r="E3691" i="3" a="1"/>
  <c r="E3691" i="3" s="1"/>
  <c r="F3691" i="3" a="1"/>
  <c r="F3691" i="3" s="1"/>
  <c r="G3691" i="3" a="1"/>
  <c r="G3691" i="3" s="1"/>
  <c r="J3691" i="3" a="1"/>
  <c r="J3691" i="3" s="1"/>
  <c r="B3692" i="3" a="1"/>
  <c r="B3692" i="3" s="1"/>
  <c r="C3692" i="3" a="1"/>
  <c r="C3692" i="3" s="1"/>
  <c r="D3692" i="3" a="1"/>
  <c r="D3692" i="3" s="1"/>
  <c r="E3692" i="3" a="1"/>
  <c r="E3692" i="3" s="1"/>
  <c r="F3692" i="3" a="1"/>
  <c r="F3692" i="3" s="1"/>
  <c r="G3692" i="3" a="1"/>
  <c r="G3692" i="3" s="1"/>
  <c r="J3692" i="3" a="1"/>
  <c r="J3692" i="3" s="1"/>
  <c r="B3693" i="3" a="1"/>
  <c r="B3693" i="3" s="1"/>
  <c r="C3693" i="3" a="1"/>
  <c r="C3693" i="3" s="1"/>
  <c r="D3693" i="3" a="1"/>
  <c r="D3693" i="3" s="1"/>
  <c r="E3693" i="3" a="1"/>
  <c r="E3693" i="3" s="1"/>
  <c r="F3693" i="3" a="1"/>
  <c r="F3693" i="3" s="1"/>
  <c r="G3693" i="3" a="1"/>
  <c r="G3693" i="3" s="1"/>
  <c r="J3693" i="3" a="1"/>
  <c r="J3693" i="3" s="1"/>
  <c r="B3694" i="3" a="1"/>
  <c r="B3694" i="3" s="1"/>
  <c r="C3694" i="3" a="1"/>
  <c r="C3694" i="3" s="1"/>
  <c r="D3694" i="3" a="1"/>
  <c r="D3694" i="3" s="1"/>
  <c r="E3694" i="3" a="1"/>
  <c r="E3694" i="3" s="1"/>
  <c r="F3694" i="3" a="1"/>
  <c r="F3694" i="3" s="1"/>
  <c r="G3694" i="3" a="1"/>
  <c r="G3694" i="3" s="1"/>
  <c r="J3694" i="3" a="1"/>
  <c r="J3694" i="3" s="1"/>
  <c r="B3695" i="3" a="1"/>
  <c r="B3695" i="3" s="1"/>
  <c r="C3695" i="3" a="1"/>
  <c r="C3695" i="3" s="1"/>
  <c r="D3695" i="3" a="1"/>
  <c r="D3695" i="3" s="1"/>
  <c r="E3695" i="3" a="1"/>
  <c r="E3695" i="3" s="1"/>
  <c r="F3695" i="3" a="1"/>
  <c r="F3695" i="3" s="1"/>
  <c r="G3695" i="3" a="1"/>
  <c r="G3695" i="3" s="1"/>
  <c r="J3695" i="3" a="1"/>
  <c r="J3695" i="3" s="1"/>
  <c r="B3696" i="3" a="1"/>
  <c r="B3696" i="3" s="1"/>
  <c r="C3696" i="3" a="1"/>
  <c r="C3696" i="3" s="1"/>
  <c r="D3696" i="3" a="1"/>
  <c r="D3696" i="3" s="1"/>
  <c r="E3696" i="3" a="1"/>
  <c r="E3696" i="3" s="1"/>
  <c r="F3696" i="3" a="1"/>
  <c r="F3696" i="3" s="1"/>
  <c r="G3696" i="3" a="1"/>
  <c r="G3696" i="3" s="1"/>
  <c r="J3696" i="3" a="1"/>
  <c r="J3696" i="3" s="1"/>
  <c r="B3697" i="3" a="1"/>
  <c r="B3697" i="3" s="1"/>
  <c r="C3697" i="3" a="1"/>
  <c r="C3697" i="3" s="1"/>
  <c r="D3697" i="3" a="1"/>
  <c r="D3697" i="3" s="1"/>
  <c r="E3697" i="3" a="1"/>
  <c r="E3697" i="3" s="1"/>
  <c r="F3697" i="3" a="1"/>
  <c r="F3697" i="3" s="1"/>
  <c r="G3697" i="3" a="1"/>
  <c r="G3697" i="3" s="1"/>
  <c r="J3697" i="3" a="1"/>
  <c r="J3697" i="3" s="1"/>
  <c r="B3698" i="3" a="1"/>
  <c r="B3698" i="3" s="1"/>
  <c r="C3698" i="3" a="1"/>
  <c r="C3698" i="3" s="1"/>
  <c r="D3698" i="3" a="1"/>
  <c r="D3698" i="3" s="1"/>
  <c r="E3698" i="3" a="1"/>
  <c r="E3698" i="3" s="1"/>
  <c r="F3698" i="3" a="1"/>
  <c r="F3698" i="3" s="1"/>
  <c r="G3698" i="3" a="1"/>
  <c r="G3698" i="3" s="1"/>
  <c r="J3698" i="3" a="1"/>
  <c r="J3698" i="3" s="1"/>
  <c r="B3699" i="3" a="1"/>
  <c r="B3699" i="3" s="1"/>
  <c r="C3699" i="3" a="1"/>
  <c r="C3699" i="3" s="1"/>
  <c r="D3699" i="3" a="1"/>
  <c r="D3699" i="3" s="1"/>
  <c r="E3699" i="3" a="1"/>
  <c r="E3699" i="3" s="1"/>
  <c r="F3699" i="3" a="1"/>
  <c r="F3699" i="3" s="1"/>
  <c r="G3699" i="3" a="1"/>
  <c r="G3699" i="3" s="1"/>
  <c r="J3699" i="3" a="1"/>
  <c r="J3699" i="3" s="1"/>
  <c r="B3700" i="3" a="1"/>
  <c r="B3700" i="3" s="1"/>
  <c r="C3700" i="3" a="1"/>
  <c r="C3700" i="3" s="1"/>
  <c r="D3700" i="3" a="1"/>
  <c r="D3700" i="3" s="1"/>
  <c r="E3700" i="3" a="1"/>
  <c r="E3700" i="3" s="1"/>
  <c r="F3700" i="3" a="1"/>
  <c r="F3700" i="3" s="1"/>
  <c r="G3700" i="3" a="1"/>
  <c r="G3700" i="3" s="1"/>
  <c r="J3700" i="3" a="1"/>
  <c r="J3700" i="3" s="1"/>
  <c r="B3701" i="3" a="1"/>
  <c r="B3701" i="3" s="1"/>
  <c r="C3701" i="3" a="1"/>
  <c r="C3701" i="3" s="1"/>
  <c r="D3701" i="3" a="1"/>
  <c r="D3701" i="3" s="1"/>
  <c r="E3701" i="3" a="1"/>
  <c r="E3701" i="3" s="1"/>
  <c r="F3701" i="3" a="1"/>
  <c r="F3701" i="3" s="1"/>
  <c r="G3701" i="3" a="1"/>
  <c r="G3701" i="3" s="1"/>
  <c r="J3701" i="3" a="1"/>
  <c r="J3701" i="3" s="1"/>
  <c r="B3702" i="3" a="1"/>
  <c r="B3702" i="3" s="1"/>
  <c r="C3702" i="3" a="1"/>
  <c r="C3702" i="3" s="1"/>
  <c r="D3702" i="3" a="1"/>
  <c r="D3702" i="3" s="1"/>
  <c r="E3702" i="3" a="1"/>
  <c r="E3702" i="3" s="1"/>
  <c r="F3702" i="3" a="1"/>
  <c r="F3702" i="3" s="1"/>
  <c r="G3702" i="3" a="1"/>
  <c r="G3702" i="3" s="1"/>
  <c r="J3702" i="3" a="1"/>
  <c r="J3702" i="3" s="1"/>
  <c r="B3703" i="3" a="1"/>
  <c r="B3703" i="3" s="1"/>
  <c r="C3703" i="3" a="1"/>
  <c r="C3703" i="3" s="1"/>
  <c r="D3703" i="3" a="1"/>
  <c r="D3703" i="3" s="1"/>
  <c r="E3703" i="3" a="1"/>
  <c r="E3703" i="3" s="1"/>
  <c r="F3703" i="3" a="1"/>
  <c r="F3703" i="3" s="1"/>
  <c r="G3703" i="3" a="1"/>
  <c r="G3703" i="3" s="1"/>
  <c r="J3703" i="3" a="1"/>
  <c r="J3703" i="3" s="1"/>
  <c r="B3704" i="3" a="1"/>
  <c r="B3704" i="3" s="1"/>
  <c r="C3704" i="3" a="1"/>
  <c r="C3704" i="3" s="1"/>
  <c r="D3704" i="3" a="1"/>
  <c r="D3704" i="3" s="1"/>
  <c r="E3704" i="3" a="1"/>
  <c r="E3704" i="3" s="1"/>
  <c r="F3704" i="3" a="1"/>
  <c r="F3704" i="3" s="1"/>
  <c r="G3704" i="3" a="1"/>
  <c r="G3704" i="3" s="1"/>
  <c r="J3704" i="3" a="1"/>
  <c r="J3704" i="3" s="1"/>
  <c r="B3705" i="3" a="1"/>
  <c r="B3705" i="3" s="1"/>
  <c r="C3705" i="3" a="1"/>
  <c r="C3705" i="3" s="1"/>
  <c r="D3705" i="3" a="1"/>
  <c r="D3705" i="3" s="1"/>
  <c r="E3705" i="3" a="1"/>
  <c r="E3705" i="3" s="1"/>
  <c r="F3705" i="3" a="1"/>
  <c r="F3705" i="3" s="1"/>
  <c r="G3705" i="3" a="1"/>
  <c r="G3705" i="3" s="1"/>
  <c r="J3705" i="3" a="1"/>
  <c r="J3705" i="3" s="1"/>
  <c r="B3706" i="3" a="1"/>
  <c r="B3706" i="3" s="1"/>
  <c r="C3706" i="3" a="1"/>
  <c r="C3706" i="3" s="1"/>
  <c r="D3706" i="3" a="1"/>
  <c r="D3706" i="3" s="1"/>
  <c r="E3706" i="3" a="1"/>
  <c r="E3706" i="3" s="1"/>
  <c r="F3706" i="3" a="1"/>
  <c r="F3706" i="3" s="1"/>
  <c r="G3706" i="3" a="1"/>
  <c r="G3706" i="3" s="1"/>
  <c r="J3706" i="3" a="1"/>
  <c r="J3706" i="3" s="1"/>
  <c r="B3707" i="3" a="1"/>
  <c r="B3707" i="3" s="1"/>
  <c r="C3707" i="3" a="1"/>
  <c r="C3707" i="3" s="1"/>
  <c r="D3707" i="3" a="1"/>
  <c r="D3707" i="3" s="1"/>
  <c r="E3707" i="3" a="1"/>
  <c r="E3707" i="3" s="1"/>
  <c r="F3707" i="3" a="1"/>
  <c r="F3707" i="3" s="1"/>
  <c r="G3707" i="3" a="1"/>
  <c r="G3707" i="3" s="1"/>
  <c r="J3707" i="3" a="1"/>
  <c r="J3707" i="3" s="1"/>
  <c r="B3708" i="3" a="1"/>
  <c r="B3708" i="3" s="1"/>
  <c r="C3708" i="3" a="1"/>
  <c r="C3708" i="3" s="1"/>
  <c r="D3708" i="3" a="1"/>
  <c r="D3708" i="3" s="1"/>
  <c r="E3708" i="3" a="1"/>
  <c r="E3708" i="3" s="1"/>
  <c r="F3708" i="3" a="1"/>
  <c r="F3708" i="3" s="1"/>
  <c r="G3708" i="3" a="1"/>
  <c r="G3708" i="3" s="1"/>
  <c r="J3708" i="3" a="1"/>
  <c r="J3708" i="3" s="1"/>
  <c r="B3709" i="3" a="1"/>
  <c r="B3709" i="3" s="1"/>
  <c r="C3709" i="3" a="1"/>
  <c r="C3709" i="3" s="1"/>
  <c r="D3709" i="3" a="1"/>
  <c r="D3709" i="3" s="1"/>
  <c r="E3709" i="3" a="1"/>
  <c r="E3709" i="3" s="1"/>
  <c r="F3709" i="3" a="1"/>
  <c r="F3709" i="3" s="1"/>
  <c r="G3709" i="3" a="1"/>
  <c r="G3709" i="3" s="1"/>
  <c r="J3709" i="3" a="1"/>
  <c r="J3709" i="3" s="1"/>
  <c r="B3710" i="3" a="1"/>
  <c r="B3710" i="3" s="1"/>
  <c r="C3710" i="3" a="1"/>
  <c r="C3710" i="3" s="1"/>
  <c r="D3710" i="3" a="1"/>
  <c r="D3710" i="3" s="1"/>
  <c r="E3710" i="3" a="1"/>
  <c r="E3710" i="3" s="1"/>
  <c r="F3710" i="3" a="1"/>
  <c r="F3710" i="3" s="1"/>
  <c r="G3710" i="3" a="1"/>
  <c r="G3710" i="3" s="1"/>
  <c r="J3710" i="3" a="1"/>
  <c r="J3710" i="3" s="1"/>
  <c r="B3711" i="3" a="1"/>
  <c r="B3711" i="3" s="1"/>
  <c r="C3711" i="3" a="1"/>
  <c r="C3711" i="3" s="1"/>
  <c r="D3711" i="3" a="1"/>
  <c r="D3711" i="3" s="1"/>
  <c r="E3711" i="3" a="1"/>
  <c r="E3711" i="3" s="1"/>
  <c r="F3711" i="3" a="1"/>
  <c r="F3711" i="3" s="1"/>
  <c r="G3711" i="3" a="1"/>
  <c r="G3711" i="3" s="1"/>
  <c r="J3711" i="3" a="1"/>
  <c r="J3711" i="3" s="1"/>
  <c r="B3712" i="3" a="1"/>
  <c r="B3712" i="3" s="1"/>
  <c r="C3712" i="3" a="1"/>
  <c r="C3712" i="3" s="1"/>
  <c r="D3712" i="3" a="1"/>
  <c r="D3712" i="3" s="1"/>
  <c r="E3712" i="3" a="1"/>
  <c r="E3712" i="3" s="1"/>
  <c r="F3712" i="3" a="1"/>
  <c r="F3712" i="3" s="1"/>
  <c r="G3712" i="3" a="1"/>
  <c r="G3712" i="3" s="1"/>
  <c r="J3712" i="3" a="1"/>
  <c r="J3712" i="3" s="1"/>
  <c r="B3713" i="3" a="1"/>
  <c r="B3713" i="3" s="1"/>
  <c r="C3713" i="3" a="1"/>
  <c r="C3713" i="3" s="1"/>
  <c r="D3713" i="3" a="1"/>
  <c r="D3713" i="3" s="1"/>
  <c r="E3713" i="3" a="1"/>
  <c r="E3713" i="3" s="1"/>
  <c r="F3713" i="3" a="1"/>
  <c r="F3713" i="3" s="1"/>
  <c r="G3713" i="3" a="1"/>
  <c r="G3713" i="3" s="1"/>
  <c r="J3713" i="3" a="1"/>
  <c r="J3713" i="3" s="1"/>
  <c r="B3714" i="3" a="1"/>
  <c r="B3714" i="3" s="1"/>
  <c r="C3714" i="3" a="1"/>
  <c r="C3714" i="3" s="1"/>
  <c r="D3714" i="3" a="1"/>
  <c r="D3714" i="3" s="1"/>
  <c r="E3714" i="3" a="1"/>
  <c r="E3714" i="3" s="1"/>
  <c r="F3714" i="3" a="1"/>
  <c r="F3714" i="3" s="1"/>
  <c r="G3714" i="3" a="1"/>
  <c r="G3714" i="3" s="1"/>
  <c r="J3714" i="3" a="1"/>
  <c r="J3714" i="3" s="1"/>
  <c r="B3715" i="3" a="1"/>
  <c r="B3715" i="3" s="1"/>
  <c r="C3715" i="3" a="1"/>
  <c r="C3715" i="3" s="1"/>
  <c r="D3715" i="3" a="1"/>
  <c r="D3715" i="3" s="1"/>
  <c r="E3715" i="3" a="1"/>
  <c r="E3715" i="3" s="1"/>
  <c r="F3715" i="3" a="1"/>
  <c r="F3715" i="3" s="1"/>
  <c r="G3715" i="3" a="1"/>
  <c r="G3715" i="3" s="1"/>
  <c r="J3715" i="3" a="1"/>
  <c r="J3715" i="3" s="1"/>
  <c r="B3716" i="3" a="1"/>
  <c r="B3716" i="3" s="1"/>
  <c r="C3716" i="3" a="1"/>
  <c r="C3716" i="3" s="1"/>
  <c r="D3716" i="3" a="1"/>
  <c r="D3716" i="3" s="1"/>
  <c r="E3716" i="3" a="1"/>
  <c r="E3716" i="3" s="1"/>
  <c r="F3716" i="3" a="1"/>
  <c r="F3716" i="3" s="1"/>
  <c r="G3716" i="3" a="1"/>
  <c r="G3716" i="3" s="1"/>
  <c r="J3716" i="3" a="1"/>
  <c r="J3716" i="3" s="1"/>
  <c r="B3717" i="3" a="1"/>
  <c r="B3717" i="3" s="1"/>
  <c r="C3717" i="3" a="1"/>
  <c r="C3717" i="3" s="1"/>
  <c r="D3717" i="3" a="1"/>
  <c r="D3717" i="3" s="1"/>
  <c r="E3717" i="3" a="1"/>
  <c r="E3717" i="3" s="1"/>
  <c r="F3717" i="3" a="1"/>
  <c r="F3717" i="3" s="1"/>
  <c r="G3717" i="3" a="1"/>
  <c r="G3717" i="3" s="1"/>
  <c r="J3717" i="3" a="1"/>
  <c r="J3717" i="3" s="1"/>
  <c r="B3718" i="3" a="1"/>
  <c r="B3718" i="3" s="1"/>
  <c r="C3718" i="3" a="1"/>
  <c r="C3718" i="3" s="1"/>
  <c r="D3718" i="3" a="1"/>
  <c r="D3718" i="3" s="1"/>
  <c r="E3718" i="3" a="1"/>
  <c r="E3718" i="3" s="1"/>
  <c r="F3718" i="3" a="1"/>
  <c r="F3718" i="3" s="1"/>
  <c r="G3718" i="3" a="1"/>
  <c r="G3718" i="3" s="1"/>
  <c r="J3718" i="3" a="1"/>
  <c r="J3718" i="3" s="1"/>
  <c r="B3719" i="3" a="1"/>
  <c r="B3719" i="3" s="1"/>
  <c r="C3719" i="3" a="1"/>
  <c r="C3719" i="3" s="1"/>
  <c r="D3719" i="3" a="1"/>
  <c r="D3719" i="3" s="1"/>
  <c r="E3719" i="3" a="1"/>
  <c r="E3719" i="3" s="1"/>
  <c r="F3719" i="3" a="1"/>
  <c r="F3719" i="3" s="1"/>
  <c r="G3719" i="3" a="1"/>
  <c r="G3719" i="3" s="1"/>
  <c r="J3719" i="3" a="1"/>
  <c r="J3719" i="3" s="1"/>
  <c r="B3720" i="3" a="1"/>
  <c r="B3720" i="3" s="1"/>
  <c r="C3720" i="3" a="1"/>
  <c r="C3720" i="3" s="1"/>
  <c r="D3720" i="3" a="1"/>
  <c r="D3720" i="3" s="1"/>
  <c r="E3720" i="3" a="1"/>
  <c r="E3720" i="3" s="1"/>
  <c r="F3720" i="3" a="1"/>
  <c r="F3720" i="3" s="1"/>
  <c r="G3720" i="3" a="1"/>
  <c r="G3720" i="3" s="1"/>
  <c r="J3720" i="3" a="1"/>
  <c r="J3720" i="3" s="1"/>
  <c r="B3721" i="3" a="1"/>
  <c r="B3721" i="3" s="1"/>
  <c r="C3721" i="3" a="1"/>
  <c r="C3721" i="3" s="1"/>
  <c r="D3721" i="3" a="1"/>
  <c r="D3721" i="3" s="1"/>
  <c r="E3721" i="3" a="1"/>
  <c r="E3721" i="3" s="1"/>
  <c r="F3721" i="3" a="1"/>
  <c r="F3721" i="3" s="1"/>
  <c r="G3721" i="3" a="1"/>
  <c r="G3721" i="3" s="1"/>
  <c r="J3721" i="3" a="1"/>
  <c r="J3721" i="3" s="1"/>
  <c r="B3722" i="3" a="1"/>
  <c r="B3722" i="3" s="1"/>
  <c r="C3722" i="3" a="1"/>
  <c r="C3722" i="3" s="1"/>
  <c r="D3722" i="3" a="1"/>
  <c r="D3722" i="3" s="1"/>
  <c r="E3722" i="3" a="1"/>
  <c r="E3722" i="3" s="1"/>
  <c r="F3722" i="3" a="1"/>
  <c r="F3722" i="3" s="1"/>
  <c r="G3722" i="3" a="1"/>
  <c r="G3722" i="3" s="1"/>
  <c r="J3722" i="3" a="1"/>
  <c r="J3722" i="3" s="1"/>
  <c r="B3723" i="3" a="1"/>
  <c r="B3723" i="3" s="1"/>
  <c r="C3723" i="3" a="1"/>
  <c r="C3723" i="3" s="1"/>
  <c r="D3723" i="3" a="1"/>
  <c r="D3723" i="3" s="1"/>
  <c r="E3723" i="3" a="1"/>
  <c r="E3723" i="3" s="1"/>
  <c r="F3723" i="3" a="1"/>
  <c r="F3723" i="3" s="1"/>
  <c r="G3723" i="3" a="1"/>
  <c r="G3723" i="3" s="1"/>
  <c r="J3723" i="3" a="1"/>
  <c r="J3723" i="3" s="1"/>
  <c r="B3724" i="3" a="1"/>
  <c r="B3724" i="3" s="1"/>
  <c r="C3724" i="3" a="1"/>
  <c r="C3724" i="3" s="1"/>
  <c r="D3724" i="3" a="1"/>
  <c r="D3724" i="3" s="1"/>
  <c r="E3724" i="3" a="1"/>
  <c r="E3724" i="3" s="1"/>
  <c r="F3724" i="3" a="1"/>
  <c r="F3724" i="3" s="1"/>
  <c r="G3724" i="3" a="1"/>
  <c r="G3724" i="3" s="1"/>
  <c r="J3724" i="3" a="1"/>
  <c r="J3724" i="3" s="1"/>
  <c r="B3725" i="3" a="1"/>
  <c r="B3725" i="3" s="1"/>
  <c r="C3725" i="3" a="1"/>
  <c r="C3725" i="3" s="1"/>
  <c r="D3725" i="3" a="1"/>
  <c r="D3725" i="3" s="1"/>
  <c r="E3725" i="3" a="1"/>
  <c r="E3725" i="3" s="1"/>
  <c r="F3725" i="3" a="1"/>
  <c r="F3725" i="3" s="1"/>
  <c r="G3725" i="3" a="1"/>
  <c r="G3725" i="3" s="1"/>
  <c r="J3725" i="3" a="1"/>
  <c r="J3725" i="3" s="1"/>
  <c r="B3726" i="3" a="1"/>
  <c r="B3726" i="3" s="1"/>
  <c r="C3726" i="3" a="1"/>
  <c r="C3726" i="3" s="1"/>
  <c r="D3726" i="3" a="1"/>
  <c r="D3726" i="3" s="1"/>
  <c r="E3726" i="3" a="1"/>
  <c r="E3726" i="3" s="1"/>
  <c r="F3726" i="3" a="1"/>
  <c r="F3726" i="3" s="1"/>
  <c r="G3726" i="3" a="1"/>
  <c r="G3726" i="3" s="1"/>
  <c r="J3726" i="3" a="1"/>
  <c r="J3726" i="3" s="1"/>
  <c r="B3727" i="3" a="1"/>
  <c r="B3727" i="3" s="1"/>
  <c r="C3727" i="3" a="1"/>
  <c r="C3727" i="3" s="1"/>
  <c r="D3727" i="3" a="1"/>
  <c r="D3727" i="3" s="1"/>
  <c r="E3727" i="3" a="1"/>
  <c r="E3727" i="3" s="1"/>
  <c r="F3727" i="3" a="1"/>
  <c r="F3727" i="3" s="1"/>
  <c r="G3727" i="3" a="1"/>
  <c r="G3727" i="3" s="1"/>
  <c r="J3727" i="3" a="1"/>
  <c r="J3727" i="3" s="1"/>
  <c r="B3728" i="3" a="1"/>
  <c r="B3728" i="3" s="1"/>
  <c r="C3728" i="3" a="1"/>
  <c r="C3728" i="3" s="1"/>
  <c r="D3728" i="3" a="1"/>
  <c r="D3728" i="3" s="1"/>
  <c r="E3728" i="3" a="1"/>
  <c r="E3728" i="3" s="1"/>
  <c r="F3728" i="3" a="1"/>
  <c r="F3728" i="3" s="1"/>
  <c r="G3728" i="3" a="1"/>
  <c r="G3728" i="3" s="1"/>
  <c r="J3728" i="3" a="1"/>
  <c r="J3728" i="3" s="1"/>
  <c r="B3729" i="3" a="1"/>
  <c r="B3729" i="3" s="1"/>
  <c r="C3729" i="3" a="1"/>
  <c r="C3729" i="3" s="1"/>
  <c r="D3729" i="3" a="1"/>
  <c r="D3729" i="3" s="1"/>
  <c r="E3729" i="3" a="1"/>
  <c r="E3729" i="3" s="1"/>
  <c r="F3729" i="3" a="1"/>
  <c r="F3729" i="3" s="1"/>
  <c r="G3729" i="3" a="1"/>
  <c r="G3729" i="3" s="1"/>
  <c r="J3729" i="3" a="1"/>
  <c r="J3729" i="3" s="1"/>
  <c r="B3730" i="3" a="1"/>
  <c r="B3730" i="3" s="1"/>
  <c r="C3730" i="3" a="1"/>
  <c r="C3730" i="3" s="1"/>
  <c r="D3730" i="3" a="1"/>
  <c r="D3730" i="3" s="1"/>
  <c r="E3730" i="3" a="1"/>
  <c r="E3730" i="3" s="1"/>
  <c r="F3730" i="3" a="1"/>
  <c r="F3730" i="3" s="1"/>
  <c r="G3730" i="3" a="1"/>
  <c r="G3730" i="3" s="1"/>
  <c r="J3730" i="3" a="1"/>
  <c r="J3730" i="3" s="1"/>
  <c r="B3731" i="3" a="1"/>
  <c r="B3731" i="3" s="1"/>
  <c r="C3731" i="3" a="1"/>
  <c r="C3731" i="3" s="1"/>
  <c r="D3731" i="3" a="1"/>
  <c r="D3731" i="3" s="1"/>
  <c r="E3731" i="3" a="1"/>
  <c r="E3731" i="3" s="1"/>
  <c r="F3731" i="3" a="1"/>
  <c r="F3731" i="3" s="1"/>
  <c r="G3731" i="3" a="1"/>
  <c r="G3731" i="3" s="1"/>
  <c r="J3731" i="3" a="1"/>
  <c r="J3731" i="3" s="1"/>
  <c r="B3732" i="3" a="1"/>
  <c r="B3732" i="3" s="1"/>
  <c r="C3732" i="3" a="1"/>
  <c r="C3732" i="3" s="1"/>
  <c r="D3732" i="3" a="1"/>
  <c r="D3732" i="3" s="1"/>
  <c r="E3732" i="3" a="1"/>
  <c r="E3732" i="3" s="1"/>
  <c r="F3732" i="3" a="1"/>
  <c r="F3732" i="3" s="1"/>
  <c r="G3732" i="3" a="1"/>
  <c r="G3732" i="3" s="1"/>
  <c r="J3732" i="3" a="1"/>
  <c r="J3732" i="3" s="1"/>
  <c r="B3733" i="3" a="1"/>
  <c r="B3733" i="3" s="1"/>
  <c r="C3733" i="3" a="1"/>
  <c r="C3733" i="3" s="1"/>
  <c r="D3733" i="3" a="1"/>
  <c r="D3733" i="3" s="1"/>
  <c r="E3733" i="3" a="1"/>
  <c r="E3733" i="3" s="1"/>
  <c r="F3733" i="3" a="1"/>
  <c r="F3733" i="3" s="1"/>
  <c r="G3733" i="3" a="1"/>
  <c r="G3733" i="3" s="1"/>
  <c r="J3733" i="3" a="1"/>
  <c r="J3733" i="3" s="1"/>
  <c r="B3734" i="3" a="1"/>
  <c r="B3734" i="3" s="1"/>
  <c r="C3734" i="3" a="1"/>
  <c r="C3734" i="3" s="1"/>
  <c r="D3734" i="3" a="1"/>
  <c r="D3734" i="3" s="1"/>
  <c r="E3734" i="3" a="1"/>
  <c r="E3734" i="3" s="1"/>
  <c r="F3734" i="3" a="1"/>
  <c r="F3734" i="3" s="1"/>
  <c r="G3734" i="3" a="1"/>
  <c r="G3734" i="3" s="1"/>
  <c r="J3734" i="3" a="1"/>
  <c r="J3734" i="3" s="1"/>
  <c r="B3735" i="3" a="1"/>
  <c r="B3735" i="3" s="1"/>
  <c r="C3735" i="3" a="1"/>
  <c r="C3735" i="3" s="1"/>
  <c r="D3735" i="3" a="1"/>
  <c r="D3735" i="3" s="1"/>
  <c r="E3735" i="3" a="1"/>
  <c r="E3735" i="3" s="1"/>
  <c r="F3735" i="3" a="1"/>
  <c r="F3735" i="3" s="1"/>
  <c r="G3735" i="3" a="1"/>
  <c r="G3735" i="3" s="1"/>
  <c r="J3735" i="3" a="1"/>
  <c r="J3735" i="3" s="1"/>
  <c r="B3736" i="3" a="1"/>
  <c r="B3736" i="3" s="1"/>
  <c r="C3736" i="3" a="1"/>
  <c r="C3736" i="3" s="1"/>
  <c r="D3736" i="3" a="1"/>
  <c r="D3736" i="3" s="1"/>
  <c r="E3736" i="3" a="1"/>
  <c r="E3736" i="3" s="1"/>
  <c r="F3736" i="3" a="1"/>
  <c r="F3736" i="3" s="1"/>
  <c r="G3736" i="3" a="1"/>
  <c r="G3736" i="3" s="1"/>
  <c r="J3736" i="3" a="1"/>
  <c r="J3736" i="3" s="1"/>
  <c r="B3737" i="3" a="1"/>
  <c r="B3737" i="3" s="1"/>
  <c r="C3737" i="3" a="1"/>
  <c r="C3737" i="3" s="1"/>
  <c r="D3737" i="3" a="1"/>
  <c r="D3737" i="3" s="1"/>
  <c r="E3737" i="3" a="1"/>
  <c r="E3737" i="3" s="1"/>
  <c r="F3737" i="3" a="1"/>
  <c r="F3737" i="3" s="1"/>
  <c r="G3737" i="3" a="1"/>
  <c r="G3737" i="3" s="1"/>
  <c r="J3737" i="3" a="1"/>
  <c r="J3737" i="3" s="1"/>
  <c r="B3738" i="3" a="1"/>
  <c r="B3738" i="3" s="1"/>
  <c r="C3738" i="3" a="1"/>
  <c r="C3738" i="3" s="1"/>
  <c r="D3738" i="3" a="1"/>
  <c r="D3738" i="3" s="1"/>
  <c r="E3738" i="3" a="1"/>
  <c r="E3738" i="3" s="1"/>
  <c r="F3738" i="3" a="1"/>
  <c r="F3738" i="3" s="1"/>
  <c r="G3738" i="3" a="1"/>
  <c r="G3738" i="3" s="1"/>
  <c r="J3738" i="3" a="1"/>
  <c r="J3738" i="3" s="1"/>
  <c r="B3739" i="3" a="1"/>
  <c r="B3739" i="3" s="1"/>
  <c r="C3739" i="3" a="1"/>
  <c r="C3739" i="3" s="1"/>
  <c r="D3739" i="3" a="1"/>
  <c r="D3739" i="3" s="1"/>
  <c r="E3739" i="3" a="1"/>
  <c r="E3739" i="3" s="1"/>
  <c r="F3739" i="3" a="1"/>
  <c r="F3739" i="3" s="1"/>
  <c r="G3739" i="3" a="1"/>
  <c r="G3739" i="3" s="1"/>
  <c r="J3739" i="3" a="1"/>
  <c r="J3739" i="3" s="1"/>
  <c r="B3740" i="3" a="1"/>
  <c r="B3740" i="3" s="1"/>
  <c r="C3740" i="3" a="1"/>
  <c r="C3740" i="3" s="1"/>
  <c r="D3740" i="3" a="1"/>
  <c r="D3740" i="3" s="1"/>
  <c r="E3740" i="3" a="1"/>
  <c r="E3740" i="3" s="1"/>
  <c r="F3740" i="3" a="1"/>
  <c r="F3740" i="3" s="1"/>
  <c r="G3740" i="3" a="1"/>
  <c r="G3740" i="3" s="1"/>
  <c r="J3740" i="3" a="1"/>
  <c r="J3740" i="3" s="1"/>
  <c r="B3741" i="3" a="1"/>
  <c r="B3741" i="3" s="1"/>
  <c r="C3741" i="3" a="1"/>
  <c r="C3741" i="3" s="1"/>
  <c r="D3741" i="3" a="1"/>
  <c r="D3741" i="3" s="1"/>
  <c r="E3741" i="3" a="1"/>
  <c r="E3741" i="3" s="1"/>
  <c r="F3741" i="3" a="1"/>
  <c r="F3741" i="3" s="1"/>
  <c r="G3741" i="3" a="1"/>
  <c r="G3741" i="3" s="1"/>
  <c r="J3741" i="3" a="1"/>
  <c r="J3741" i="3" s="1"/>
  <c r="B3742" i="3" a="1"/>
  <c r="B3742" i="3" s="1"/>
  <c r="C3742" i="3" a="1"/>
  <c r="C3742" i="3" s="1"/>
  <c r="D3742" i="3" a="1"/>
  <c r="D3742" i="3" s="1"/>
  <c r="E3742" i="3" a="1"/>
  <c r="E3742" i="3" s="1"/>
  <c r="F3742" i="3" a="1"/>
  <c r="F3742" i="3" s="1"/>
  <c r="G3742" i="3" a="1"/>
  <c r="G3742" i="3" s="1"/>
  <c r="J3742" i="3" a="1"/>
  <c r="J3742" i="3" s="1"/>
  <c r="B3743" i="3" a="1"/>
  <c r="B3743" i="3" s="1"/>
  <c r="C3743" i="3" a="1"/>
  <c r="C3743" i="3" s="1"/>
  <c r="D3743" i="3" a="1"/>
  <c r="D3743" i="3" s="1"/>
  <c r="E3743" i="3" a="1"/>
  <c r="E3743" i="3" s="1"/>
  <c r="F3743" i="3" a="1"/>
  <c r="F3743" i="3" s="1"/>
  <c r="G3743" i="3" a="1"/>
  <c r="G3743" i="3" s="1"/>
  <c r="J3743" i="3" a="1"/>
  <c r="J3743" i="3" s="1"/>
  <c r="B3744" i="3" a="1"/>
  <c r="B3744" i="3" s="1"/>
  <c r="C3744" i="3" a="1"/>
  <c r="C3744" i="3" s="1"/>
  <c r="D3744" i="3" a="1"/>
  <c r="D3744" i="3" s="1"/>
  <c r="E3744" i="3" a="1"/>
  <c r="E3744" i="3" s="1"/>
  <c r="F3744" i="3" a="1"/>
  <c r="F3744" i="3" s="1"/>
  <c r="G3744" i="3" a="1"/>
  <c r="G3744" i="3" s="1"/>
  <c r="J3744" i="3" a="1"/>
  <c r="J3744" i="3" s="1"/>
  <c r="B3745" i="3" a="1"/>
  <c r="B3745" i="3" s="1"/>
  <c r="C3745" i="3" a="1"/>
  <c r="C3745" i="3" s="1"/>
  <c r="D3745" i="3" a="1"/>
  <c r="D3745" i="3" s="1"/>
  <c r="E3745" i="3" a="1"/>
  <c r="E3745" i="3" s="1"/>
  <c r="F3745" i="3" a="1"/>
  <c r="F3745" i="3" s="1"/>
  <c r="G3745" i="3" a="1"/>
  <c r="G3745" i="3" s="1"/>
  <c r="J3745" i="3" a="1"/>
  <c r="J3745" i="3" s="1"/>
  <c r="B3746" i="3" a="1"/>
  <c r="B3746" i="3" s="1"/>
  <c r="C3746" i="3" a="1"/>
  <c r="C3746" i="3" s="1"/>
  <c r="D3746" i="3" a="1"/>
  <c r="D3746" i="3" s="1"/>
  <c r="E3746" i="3" a="1"/>
  <c r="E3746" i="3" s="1"/>
  <c r="F3746" i="3" a="1"/>
  <c r="F3746" i="3" s="1"/>
  <c r="G3746" i="3" a="1"/>
  <c r="G3746" i="3" s="1"/>
  <c r="J3746" i="3" a="1"/>
  <c r="J3746" i="3" s="1"/>
  <c r="B3747" i="3" a="1"/>
  <c r="B3747" i="3" s="1"/>
  <c r="C3747" i="3" a="1"/>
  <c r="C3747" i="3" s="1"/>
  <c r="D3747" i="3" a="1"/>
  <c r="D3747" i="3" s="1"/>
  <c r="E3747" i="3" a="1"/>
  <c r="E3747" i="3" s="1"/>
  <c r="F3747" i="3" a="1"/>
  <c r="F3747" i="3" s="1"/>
  <c r="G3747" i="3" a="1"/>
  <c r="G3747" i="3" s="1"/>
  <c r="J3747" i="3" a="1"/>
  <c r="J3747" i="3" s="1"/>
  <c r="B3748" i="3" a="1"/>
  <c r="B3748" i="3" s="1"/>
  <c r="C3748" i="3" a="1"/>
  <c r="C3748" i="3" s="1"/>
  <c r="D3748" i="3" a="1"/>
  <c r="D3748" i="3" s="1"/>
  <c r="E3748" i="3" a="1"/>
  <c r="E3748" i="3" s="1"/>
  <c r="F3748" i="3" a="1"/>
  <c r="F3748" i="3" s="1"/>
  <c r="G3748" i="3" a="1"/>
  <c r="G3748" i="3" s="1"/>
  <c r="J3748" i="3" a="1"/>
  <c r="J3748" i="3" s="1"/>
  <c r="B3749" i="3" a="1"/>
  <c r="B3749" i="3" s="1"/>
  <c r="C3749" i="3" a="1"/>
  <c r="C3749" i="3" s="1"/>
  <c r="D3749" i="3" a="1"/>
  <c r="D3749" i="3" s="1"/>
  <c r="E3749" i="3" a="1"/>
  <c r="E3749" i="3" s="1"/>
  <c r="F3749" i="3" a="1"/>
  <c r="F3749" i="3" s="1"/>
  <c r="G3749" i="3" a="1"/>
  <c r="G3749" i="3" s="1"/>
  <c r="J3749" i="3" a="1"/>
  <c r="J3749" i="3" s="1"/>
  <c r="B3750" i="3" a="1"/>
  <c r="B3750" i="3" s="1"/>
  <c r="C3750" i="3" a="1"/>
  <c r="C3750" i="3" s="1"/>
  <c r="D3750" i="3" a="1"/>
  <c r="D3750" i="3" s="1"/>
  <c r="E3750" i="3" a="1"/>
  <c r="E3750" i="3" s="1"/>
  <c r="F3750" i="3" a="1"/>
  <c r="F3750" i="3" s="1"/>
  <c r="G3750" i="3" a="1"/>
  <c r="G3750" i="3" s="1"/>
  <c r="J3750" i="3" a="1"/>
  <c r="J3750" i="3" s="1"/>
  <c r="B3751" i="3" a="1"/>
  <c r="B3751" i="3" s="1"/>
  <c r="C3751" i="3" a="1"/>
  <c r="C3751" i="3" s="1"/>
  <c r="D3751" i="3" a="1"/>
  <c r="D3751" i="3" s="1"/>
  <c r="E3751" i="3" a="1"/>
  <c r="E3751" i="3" s="1"/>
  <c r="F3751" i="3" a="1"/>
  <c r="F3751" i="3" s="1"/>
  <c r="G3751" i="3" a="1"/>
  <c r="G3751" i="3" s="1"/>
  <c r="J3751" i="3" a="1"/>
  <c r="J3751" i="3" s="1"/>
  <c r="B3752" i="3" a="1"/>
  <c r="B3752" i="3" s="1"/>
  <c r="C3752" i="3" a="1"/>
  <c r="C3752" i="3" s="1"/>
  <c r="D3752" i="3" a="1"/>
  <c r="D3752" i="3" s="1"/>
  <c r="E3752" i="3" a="1"/>
  <c r="E3752" i="3" s="1"/>
  <c r="F3752" i="3" a="1"/>
  <c r="F3752" i="3" s="1"/>
  <c r="G3752" i="3" a="1"/>
  <c r="G3752" i="3" s="1"/>
  <c r="J3752" i="3" a="1"/>
  <c r="J3752" i="3" s="1"/>
  <c r="B3753" i="3" a="1"/>
  <c r="B3753" i="3" s="1"/>
  <c r="C3753" i="3" a="1"/>
  <c r="C3753" i="3" s="1"/>
  <c r="D3753" i="3" a="1"/>
  <c r="D3753" i="3" s="1"/>
  <c r="E3753" i="3" a="1"/>
  <c r="E3753" i="3" s="1"/>
  <c r="F3753" i="3" a="1"/>
  <c r="F3753" i="3" s="1"/>
  <c r="G3753" i="3" a="1"/>
  <c r="G3753" i="3" s="1"/>
  <c r="J3753" i="3" a="1"/>
  <c r="J3753" i="3" s="1"/>
  <c r="B3754" i="3" a="1"/>
  <c r="B3754" i="3" s="1"/>
  <c r="C3754" i="3" a="1"/>
  <c r="C3754" i="3" s="1"/>
  <c r="D3754" i="3" a="1"/>
  <c r="D3754" i="3" s="1"/>
  <c r="E3754" i="3" a="1"/>
  <c r="E3754" i="3" s="1"/>
  <c r="F3754" i="3" a="1"/>
  <c r="F3754" i="3" s="1"/>
  <c r="G3754" i="3" a="1"/>
  <c r="G3754" i="3" s="1"/>
  <c r="J3754" i="3" a="1"/>
  <c r="J3754" i="3" s="1"/>
  <c r="B3755" i="3" a="1"/>
  <c r="B3755" i="3" s="1"/>
  <c r="C3755" i="3" a="1"/>
  <c r="C3755" i="3" s="1"/>
  <c r="D3755" i="3" a="1"/>
  <c r="D3755" i="3" s="1"/>
  <c r="E3755" i="3" a="1"/>
  <c r="E3755" i="3" s="1"/>
  <c r="F3755" i="3" a="1"/>
  <c r="F3755" i="3" s="1"/>
  <c r="G3755" i="3" a="1"/>
  <c r="G3755" i="3" s="1"/>
  <c r="J3755" i="3" a="1"/>
  <c r="J3755" i="3" s="1"/>
  <c r="B3756" i="3" a="1"/>
  <c r="B3756" i="3" s="1"/>
  <c r="C3756" i="3" a="1"/>
  <c r="C3756" i="3" s="1"/>
  <c r="D3756" i="3" a="1"/>
  <c r="D3756" i="3" s="1"/>
  <c r="E3756" i="3" a="1"/>
  <c r="E3756" i="3" s="1"/>
  <c r="F3756" i="3" a="1"/>
  <c r="F3756" i="3" s="1"/>
  <c r="G3756" i="3" a="1"/>
  <c r="G3756" i="3" s="1"/>
  <c r="J3756" i="3" a="1"/>
  <c r="J3756" i="3" s="1"/>
  <c r="B3757" i="3" a="1"/>
  <c r="B3757" i="3" s="1"/>
  <c r="C3757" i="3" a="1"/>
  <c r="C3757" i="3" s="1"/>
  <c r="D3757" i="3" a="1"/>
  <c r="D3757" i="3" s="1"/>
  <c r="E3757" i="3" a="1"/>
  <c r="E3757" i="3" s="1"/>
  <c r="F3757" i="3" a="1"/>
  <c r="F3757" i="3" s="1"/>
  <c r="G3757" i="3" a="1"/>
  <c r="G3757" i="3" s="1"/>
  <c r="J3757" i="3" a="1"/>
  <c r="J3757" i="3" s="1"/>
  <c r="B3758" i="3" a="1"/>
  <c r="B3758" i="3" s="1"/>
  <c r="C3758" i="3" a="1"/>
  <c r="C3758" i="3" s="1"/>
  <c r="D3758" i="3" a="1"/>
  <c r="D3758" i="3" s="1"/>
  <c r="E3758" i="3" a="1"/>
  <c r="E3758" i="3" s="1"/>
  <c r="F3758" i="3" a="1"/>
  <c r="F3758" i="3" s="1"/>
  <c r="G3758" i="3" a="1"/>
  <c r="G3758" i="3" s="1"/>
  <c r="J3758" i="3" a="1"/>
  <c r="J3758" i="3" s="1"/>
  <c r="B3759" i="3" a="1"/>
  <c r="B3759" i="3" s="1"/>
  <c r="C3759" i="3" a="1"/>
  <c r="C3759" i="3" s="1"/>
  <c r="D3759" i="3" a="1"/>
  <c r="D3759" i="3" s="1"/>
  <c r="E3759" i="3" a="1"/>
  <c r="E3759" i="3" s="1"/>
  <c r="F3759" i="3" a="1"/>
  <c r="F3759" i="3" s="1"/>
  <c r="G3759" i="3" a="1"/>
  <c r="G3759" i="3" s="1"/>
  <c r="J3759" i="3" a="1"/>
  <c r="J3759" i="3" s="1"/>
  <c r="B3760" i="3" a="1"/>
  <c r="B3760" i="3" s="1"/>
  <c r="C3760" i="3" a="1"/>
  <c r="C3760" i="3" s="1"/>
  <c r="D3760" i="3" a="1"/>
  <c r="D3760" i="3" s="1"/>
  <c r="E3760" i="3" a="1"/>
  <c r="E3760" i="3" s="1"/>
  <c r="F3760" i="3" a="1"/>
  <c r="F3760" i="3" s="1"/>
  <c r="G3760" i="3" a="1"/>
  <c r="G3760" i="3" s="1"/>
  <c r="J3760" i="3" a="1"/>
  <c r="J3760" i="3" s="1"/>
  <c r="B3761" i="3" a="1"/>
  <c r="B3761" i="3" s="1"/>
  <c r="C3761" i="3" a="1"/>
  <c r="C3761" i="3" s="1"/>
  <c r="D3761" i="3" a="1"/>
  <c r="D3761" i="3" s="1"/>
  <c r="E3761" i="3" a="1"/>
  <c r="E3761" i="3" s="1"/>
  <c r="F3761" i="3" a="1"/>
  <c r="F3761" i="3" s="1"/>
  <c r="G3761" i="3" a="1"/>
  <c r="G3761" i="3" s="1"/>
  <c r="J3761" i="3" a="1"/>
  <c r="J3761" i="3" s="1"/>
  <c r="B3762" i="3" a="1"/>
  <c r="B3762" i="3" s="1"/>
  <c r="C3762" i="3" a="1"/>
  <c r="C3762" i="3" s="1"/>
  <c r="D3762" i="3" a="1"/>
  <c r="D3762" i="3" s="1"/>
  <c r="E3762" i="3" a="1"/>
  <c r="E3762" i="3" s="1"/>
  <c r="F3762" i="3" a="1"/>
  <c r="F3762" i="3" s="1"/>
  <c r="G3762" i="3" a="1"/>
  <c r="G3762" i="3" s="1"/>
  <c r="J3762" i="3" a="1"/>
  <c r="J3762" i="3" s="1"/>
  <c r="B3763" i="3" a="1"/>
  <c r="B3763" i="3" s="1"/>
  <c r="C3763" i="3" a="1"/>
  <c r="C3763" i="3" s="1"/>
  <c r="D3763" i="3" a="1"/>
  <c r="D3763" i="3" s="1"/>
  <c r="E3763" i="3" a="1"/>
  <c r="E3763" i="3" s="1"/>
  <c r="F3763" i="3" a="1"/>
  <c r="F3763" i="3" s="1"/>
  <c r="G3763" i="3" a="1"/>
  <c r="G3763" i="3" s="1"/>
  <c r="J3763" i="3" a="1"/>
  <c r="J3763" i="3" s="1"/>
  <c r="B3764" i="3" a="1"/>
  <c r="B3764" i="3" s="1"/>
  <c r="C3764" i="3" a="1"/>
  <c r="C3764" i="3" s="1"/>
  <c r="D3764" i="3" a="1"/>
  <c r="D3764" i="3" s="1"/>
  <c r="E3764" i="3" a="1"/>
  <c r="E3764" i="3" s="1"/>
  <c r="F3764" i="3" a="1"/>
  <c r="F3764" i="3" s="1"/>
  <c r="G3764" i="3" a="1"/>
  <c r="G3764" i="3" s="1"/>
  <c r="J3764" i="3" a="1"/>
  <c r="J3764" i="3" s="1"/>
  <c r="B3765" i="3" a="1"/>
  <c r="B3765" i="3" s="1"/>
  <c r="C3765" i="3" a="1"/>
  <c r="C3765" i="3" s="1"/>
  <c r="D3765" i="3" a="1"/>
  <c r="D3765" i="3" s="1"/>
  <c r="E3765" i="3" a="1"/>
  <c r="E3765" i="3" s="1"/>
  <c r="F3765" i="3" a="1"/>
  <c r="F3765" i="3" s="1"/>
  <c r="G3765" i="3" a="1"/>
  <c r="G3765" i="3" s="1"/>
  <c r="J3765" i="3" a="1"/>
  <c r="J3765" i="3" s="1"/>
  <c r="B3766" i="3" a="1"/>
  <c r="B3766" i="3" s="1"/>
  <c r="C3766" i="3" a="1"/>
  <c r="C3766" i="3" s="1"/>
  <c r="D3766" i="3" a="1"/>
  <c r="D3766" i="3" s="1"/>
  <c r="E3766" i="3" a="1"/>
  <c r="E3766" i="3" s="1"/>
  <c r="F3766" i="3" a="1"/>
  <c r="F3766" i="3" s="1"/>
  <c r="G3766" i="3" a="1"/>
  <c r="G3766" i="3" s="1"/>
  <c r="J3766" i="3" a="1"/>
  <c r="J3766" i="3" s="1"/>
  <c r="B3767" i="3" a="1"/>
  <c r="B3767" i="3" s="1"/>
  <c r="C3767" i="3" a="1"/>
  <c r="C3767" i="3" s="1"/>
  <c r="D3767" i="3" a="1"/>
  <c r="D3767" i="3" s="1"/>
  <c r="E3767" i="3" a="1"/>
  <c r="E3767" i="3" s="1"/>
  <c r="F3767" i="3" a="1"/>
  <c r="F3767" i="3" s="1"/>
  <c r="G3767" i="3" a="1"/>
  <c r="G3767" i="3" s="1"/>
  <c r="J3767" i="3" a="1"/>
  <c r="J3767" i="3" s="1"/>
  <c r="B3768" i="3" a="1"/>
  <c r="B3768" i="3" s="1"/>
  <c r="C3768" i="3" a="1"/>
  <c r="C3768" i="3" s="1"/>
  <c r="D3768" i="3" a="1"/>
  <c r="D3768" i="3" s="1"/>
  <c r="E3768" i="3" a="1"/>
  <c r="E3768" i="3" s="1"/>
  <c r="F3768" i="3" a="1"/>
  <c r="F3768" i="3" s="1"/>
  <c r="G3768" i="3" a="1"/>
  <c r="G3768" i="3" s="1"/>
  <c r="J3768" i="3" a="1"/>
  <c r="J3768" i="3" s="1"/>
  <c r="B3769" i="3" a="1"/>
  <c r="B3769" i="3" s="1"/>
  <c r="C3769" i="3" a="1"/>
  <c r="C3769" i="3" s="1"/>
  <c r="D3769" i="3" a="1"/>
  <c r="D3769" i="3" s="1"/>
  <c r="E3769" i="3" a="1"/>
  <c r="E3769" i="3" s="1"/>
  <c r="F3769" i="3" a="1"/>
  <c r="F3769" i="3" s="1"/>
  <c r="G3769" i="3" a="1"/>
  <c r="G3769" i="3" s="1"/>
  <c r="J3769" i="3" a="1"/>
  <c r="J3769" i="3" s="1"/>
  <c r="B3770" i="3" a="1"/>
  <c r="B3770" i="3" s="1"/>
  <c r="C3770" i="3" a="1"/>
  <c r="C3770" i="3" s="1"/>
  <c r="D3770" i="3" a="1"/>
  <c r="D3770" i="3" s="1"/>
  <c r="E3770" i="3" a="1"/>
  <c r="E3770" i="3" s="1"/>
  <c r="F3770" i="3" a="1"/>
  <c r="F3770" i="3" s="1"/>
  <c r="G3770" i="3" a="1"/>
  <c r="G3770" i="3" s="1"/>
  <c r="J3770" i="3" a="1"/>
  <c r="J3770" i="3" s="1"/>
  <c r="B3771" i="3" a="1"/>
  <c r="B3771" i="3" s="1"/>
  <c r="C3771" i="3" a="1"/>
  <c r="C3771" i="3" s="1"/>
  <c r="D3771" i="3" a="1"/>
  <c r="D3771" i="3" s="1"/>
  <c r="E3771" i="3" a="1"/>
  <c r="E3771" i="3" s="1"/>
  <c r="F3771" i="3" a="1"/>
  <c r="F3771" i="3" s="1"/>
  <c r="G3771" i="3" a="1"/>
  <c r="G3771" i="3" s="1"/>
  <c r="J3771" i="3" a="1"/>
  <c r="J3771" i="3" s="1"/>
  <c r="B3772" i="3" a="1"/>
  <c r="B3772" i="3" s="1"/>
  <c r="C3772" i="3" a="1"/>
  <c r="C3772" i="3" s="1"/>
  <c r="D3772" i="3" a="1"/>
  <c r="D3772" i="3" s="1"/>
  <c r="E3772" i="3" a="1"/>
  <c r="E3772" i="3" s="1"/>
  <c r="F3772" i="3" a="1"/>
  <c r="F3772" i="3" s="1"/>
  <c r="G3772" i="3" a="1"/>
  <c r="G3772" i="3" s="1"/>
  <c r="J3772" i="3" a="1"/>
  <c r="J3772" i="3" s="1"/>
  <c r="B3773" i="3" a="1"/>
  <c r="B3773" i="3" s="1"/>
  <c r="C3773" i="3" a="1"/>
  <c r="C3773" i="3" s="1"/>
  <c r="D3773" i="3" a="1"/>
  <c r="D3773" i="3" s="1"/>
  <c r="E3773" i="3" a="1"/>
  <c r="E3773" i="3" s="1"/>
  <c r="F3773" i="3" a="1"/>
  <c r="F3773" i="3" s="1"/>
  <c r="G3773" i="3" a="1"/>
  <c r="G3773" i="3" s="1"/>
  <c r="J3773" i="3" a="1"/>
  <c r="J3773" i="3" s="1"/>
  <c r="B3774" i="3" a="1"/>
  <c r="B3774" i="3" s="1"/>
  <c r="C3774" i="3" a="1"/>
  <c r="C3774" i="3" s="1"/>
  <c r="D3774" i="3" a="1"/>
  <c r="D3774" i="3" s="1"/>
  <c r="E3774" i="3" a="1"/>
  <c r="E3774" i="3" s="1"/>
  <c r="F3774" i="3" a="1"/>
  <c r="F3774" i="3" s="1"/>
  <c r="G3774" i="3" a="1"/>
  <c r="G3774" i="3" s="1"/>
  <c r="J3774" i="3" a="1"/>
  <c r="J3774" i="3" s="1"/>
  <c r="B3775" i="3" a="1"/>
  <c r="B3775" i="3" s="1"/>
  <c r="C3775" i="3" a="1"/>
  <c r="C3775" i="3" s="1"/>
  <c r="D3775" i="3" a="1"/>
  <c r="D3775" i="3" s="1"/>
  <c r="E3775" i="3" a="1"/>
  <c r="E3775" i="3" s="1"/>
  <c r="F3775" i="3" a="1"/>
  <c r="F3775" i="3" s="1"/>
  <c r="G3775" i="3" a="1"/>
  <c r="G3775" i="3" s="1"/>
  <c r="J3775" i="3" a="1"/>
  <c r="J3775" i="3" s="1"/>
  <c r="B3776" i="3" a="1"/>
  <c r="B3776" i="3" s="1"/>
  <c r="C3776" i="3" a="1"/>
  <c r="C3776" i="3" s="1"/>
  <c r="D3776" i="3" a="1"/>
  <c r="D3776" i="3" s="1"/>
  <c r="E3776" i="3" a="1"/>
  <c r="E3776" i="3" s="1"/>
  <c r="F3776" i="3" a="1"/>
  <c r="F3776" i="3" s="1"/>
  <c r="G3776" i="3" a="1"/>
  <c r="G3776" i="3" s="1"/>
  <c r="J3776" i="3" a="1"/>
  <c r="J3776" i="3" s="1"/>
  <c r="B3777" i="3" a="1"/>
  <c r="B3777" i="3" s="1"/>
  <c r="C3777" i="3" a="1"/>
  <c r="C3777" i="3" s="1"/>
  <c r="D3777" i="3" a="1"/>
  <c r="D3777" i="3" s="1"/>
  <c r="E3777" i="3" a="1"/>
  <c r="E3777" i="3" s="1"/>
  <c r="F3777" i="3" a="1"/>
  <c r="F3777" i="3" s="1"/>
  <c r="G3777" i="3" a="1"/>
  <c r="G3777" i="3" s="1"/>
  <c r="J3777" i="3" a="1"/>
  <c r="J3777" i="3" s="1"/>
  <c r="B3778" i="3" a="1"/>
  <c r="B3778" i="3" s="1"/>
  <c r="C3778" i="3" a="1"/>
  <c r="C3778" i="3" s="1"/>
  <c r="D3778" i="3" a="1"/>
  <c r="D3778" i="3" s="1"/>
  <c r="E3778" i="3" a="1"/>
  <c r="E3778" i="3" s="1"/>
  <c r="F3778" i="3" a="1"/>
  <c r="F3778" i="3" s="1"/>
  <c r="G3778" i="3" a="1"/>
  <c r="G3778" i="3" s="1"/>
  <c r="J3778" i="3" a="1"/>
  <c r="J3778" i="3" s="1"/>
  <c r="B3779" i="3" a="1"/>
  <c r="B3779" i="3" s="1"/>
  <c r="C3779" i="3" a="1"/>
  <c r="C3779" i="3" s="1"/>
  <c r="D3779" i="3" a="1"/>
  <c r="D3779" i="3" s="1"/>
  <c r="E3779" i="3" a="1"/>
  <c r="E3779" i="3" s="1"/>
  <c r="F3779" i="3" a="1"/>
  <c r="F3779" i="3" s="1"/>
  <c r="G3779" i="3" a="1"/>
  <c r="G3779" i="3" s="1"/>
  <c r="J3779" i="3" a="1"/>
  <c r="J3779" i="3" s="1"/>
  <c r="B3780" i="3" a="1"/>
  <c r="B3780" i="3" s="1"/>
  <c r="C3780" i="3" a="1"/>
  <c r="C3780" i="3" s="1"/>
  <c r="D3780" i="3" a="1"/>
  <c r="D3780" i="3" s="1"/>
  <c r="E3780" i="3" a="1"/>
  <c r="E3780" i="3" s="1"/>
  <c r="F3780" i="3" a="1"/>
  <c r="F3780" i="3" s="1"/>
  <c r="G3780" i="3" a="1"/>
  <c r="G3780" i="3" s="1"/>
  <c r="J3780" i="3" a="1"/>
  <c r="J3780" i="3" s="1"/>
  <c r="B3781" i="3" a="1"/>
  <c r="B3781" i="3" s="1"/>
  <c r="C3781" i="3" a="1"/>
  <c r="C3781" i="3" s="1"/>
  <c r="D3781" i="3" a="1"/>
  <c r="D3781" i="3" s="1"/>
  <c r="E3781" i="3" a="1"/>
  <c r="E3781" i="3" s="1"/>
  <c r="F3781" i="3" a="1"/>
  <c r="F3781" i="3" s="1"/>
  <c r="G3781" i="3" a="1"/>
  <c r="G3781" i="3" s="1"/>
  <c r="J3781" i="3" a="1"/>
  <c r="J3781" i="3" s="1"/>
  <c r="B3782" i="3" a="1"/>
  <c r="B3782" i="3" s="1"/>
  <c r="C3782" i="3" a="1"/>
  <c r="C3782" i="3" s="1"/>
  <c r="D3782" i="3" a="1"/>
  <c r="D3782" i="3" s="1"/>
  <c r="E3782" i="3" a="1"/>
  <c r="E3782" i="3" s="1"/>
  <c r="F3782" i="3" a="1"/>
  <c r="F3782" i="3" s="1"/>
  <c r="G3782" i="3" a="1"/>
  <c r="G3782" i="3" s="1"/>
  <c r="J3782" i="3" a="1"/>
  <c r="J3782" i="3" s="1"/>
  <c r="B3783" i="3" a="1"/>
  <c r="B3783" i="3" s="1"/>
  <c r="C3783" i="3" a="1"/>
  <c r="C3783" i="3" s="1"/>
  <c r="D3783" i="3" a="1"/>
  <c r="D3783" i="3" s="1"/>
  <c r="E3783" i="3" a="1"/>
  <c r="E3783" i="3" s="1"/>
  <c r="F3783" i="3" a="1"/>
  <c r="F3783" i="3" s="1"/>
  <c r="G3783" i="3" a="1"/>
  <c r="G3783" i="3" s="1"/>
  <c r="J3783" i="3" a="1"/>
  <c r="J3783" i="3" s="1"/>
  <c r="B3784" i="3" a="1"/>
  <c r="B3784" i="3" s="1"/>
  <c r="C3784" i="3" a="1"/>
  <c r="C3784" i="3" s="1"/>
  <c r="D3784" i="3" a="1"/>
  <c r="D3784" i="3" s="1"/>
  <c r="E3784" i="3" a="1"/>
  <c r="E3784" i="3" s="1"/>
  <c r="F3784" i="3" a="1"/>
  <c r="F3784" i="3" s="1"/>
  <c r="G3784" i="3" a="1"/>
  <c r="G3784" i="3" s="1"/>
  <c r="J3784" i="3" a="1"/>
  <c r="J3784" i="3" s="1"/>
  <c r="B3785" i="3" a="1"/>
  <c r="B3785" i="3" s="1"/>
  <c r="C3785" i="3" a="1"/>
  <c r="C3785" i="3" s="1"/>
  <c r="D3785" i="3" a="1"/>
  <c r="D3785" i="3" s="1"/>
  <c r="E3785" i="3" a="1"/>
  <c r="E3785" i="3" s="1"/>
  <c r="F3785" i="3" a="1"/>
  <c r="F3785" i="3" s="1"/>
  <c r="G3785" i="3" a="1"/>
  <c r="G3785" i="3" s="1"/>
  <c r="J3785" i="3" a="1"/>
  <c r="J3785" i="3" s="1"/>
  <c r="B3786" i="3" a="1"/>
  <c r="B3786" i="3" s="1"/>
  <c r="C3786" i="3" a="1"/>
  <c r="C3786" i="3" s="1"/>
  <c r="D3786" i="3" a="1"/>
  <c r="D3786" i="3" s="1"/>
  <c r="E3786" i="3" a="1"/>
  <c r="E3786" i="3" s="1"/>
  <c r="F3786" i="3" a="1"/>
  <c r="F3786" i="3" s="1"/>
  <c r="G3786" i="3" a="1"/>
  <c r="G3786" i="3" s="1"/>
  <c r="J3786" i="3" a="1"/>
  <c r="J3786" i="3" s="1"/>
  <c r="B3787" i="3" a="1"/>
  <c r="B3787" i="3" s="1"/>
  <c r="C3787" i="3" a="1"/>
  <c r="C3787" i="3" s="1"/>
  <c r="D3787" i="3" a="1"/>
  <c r="D3787" i="3" s="1"/>
  <c r="E3787" i="3" a="1"/>
  <c r="E3787" i="3" s="1"/>
  <c r="F3787" i="3" a="1"/>
  <c r="F3787" i="3" s="1"/>
  <c r="G3787" i="3" a="1"/>
  <c r="G3787" i="3" s="1"/>
  <c r="J3787" i="3" a="1"/>
  <c r="J3787" i="3" s="1"/>
  <c r="B3788" i="3" a="1"/>
  <c r="B3788" i="3" s="1"/>
  <c r="C3788" i="3" a="1"/>
  <c r="C3788" i="3" s="1"/>
  <c r="D3788" i="3" a="1"/>
  <c r="D3788" i="3" s="1"/>
  <c r="E3788" i="3" a="1"/>
  <c r="E3788" i="3" s="1"/>
  <c r="F3788" i="3" a="1"/>
  <c r="F3788" i="3" s="1"/>
  <c r="G3788" i="3" a="1"/>
  <c r="G3788" i="3" s="1"/>
  <c r="J3788" i="3" a="1"/>
  <c r="J3788" i="3" s="1"/>
  <c r="B3789" i="3" a="1"/>
  <c r="B3789" i="3" s="1"/>
  <c r="C3789" i="3" a="1"/>
  <c r="C3789" i="3" s="1"/>
  <c r="D3789" i="3" a="1"/>
  <c r="D3789" i="3" s="1"/>
  <c r="E3789" i="3" a="1"/>
  <c r="E3789" i="3" s="1"/>
  <c r="F3789" i="3" a="1"/>
  <c r="F3789" i="3" s="1"/>
  <c r="G3789" i="3" a="1"/>
  <c r="G3789" i="3" s="1"/>
  <c r="J3789" i="3" a="1"/>
  <c r="J3789" i="3" s="1"/>
  <c r="B3790" i="3" a="1"/>
  <c r="B3790" i="3" s="1"/>
  <c r="C3790" i="3" a="1"/>
  <c r="C3790" i="3" s="1"/>
  <c r="D3790" i="3" a="1"/>
  <c r="D3790" i="3" s="1"/>
  <c r="E3790" i="3" a="1"/>
  <c r="E3790" i="3" s="1"/>
  <c r="F3790" i="3" a="1"/>
  <c r="F3790" i="3" s="1"/>
  <c r="G3790" i="3" a="1"/>
  <c r="G3790" i="3" s="1"/>
  <c r="J3790" i="3" a="1"/>
  <c r="J3790" i="3" s="1"/>
  <c r="B3791" i="3" a="1"/>
  <c r="B3791" i="3" s="1"/>
  <c r="C3791" i="3" a="1"/>
  <c r="C3791" i="3" s="1"/>
  <c r="D3791" i="3" a="1"/>
  <c r="D3791" i="3" s="1"/>
  <c r="E3791" i="3" a="1"/>
  <c r="E3791" i="3" s="1"/>
  <c r="F3791" i="3" a="1"/>
  <c r="F3791" i="3" s="1"/>
  <c r="G3791" i="3" a="1"/>
  <c r="G3791" i="3" s="1"/>
  <c r="J3791" i="3" a="1"/>
  <c r="J3791" i="3" s="1"/>
  <c r="B3792" i="3" a="1"/>
  <c r="B3792" i="3" s="1"/>
  <c r="C3792" i="3" a="1"/>
  <c r="C3792" i="3" s="1"/>
  <c r="D3792" i="3" a="1"/>
  <c r="D3792" i="3" s="1"/>
  <c r="E3792" i="3" a="1"/>
  <c r="E3792" i="3" s="1"/>
  <c r="F3792" i="3" a="1"/>
  <c r="F3792" i="3" s="1"/>
  <c r="G3792" i="3" a="1"/>
  <c r="G3792" i="3" s="1"/>
  <c r="J3792" i="3" a="1"/>
  <c r="J3792" i="3" s="1"/>
  <c r="B3793" i="3" a="1"/>
  <c r="B3793" i="3" s="1"/>
  <c r="C3793" i="3" a="1"/>
  <c r="C3793" i="3" s="1"/>
  <c r="D3793" i="3" a="1"/>
  <c r="D3793" i="3" s="1"/>
  <c r="E3793" i="3" a="1"/>
  <c r="E3793" i="3" s="1"/>
  <c r="F3793" i="3" a="1"/>
  <c r="F3793" i="3" s="1"/>
  <c r="G3793" i="3" a="1"/>
  <c r="G3793" i="3" s="1"/>
  <c r="J3793" i="3" a="1"/>
  <c r="J3793" i="3" s="1"/>
  <c r="B3794" i="3" a="1"/>
  <c r="B3794" i="3" s="1"/>
  <c r="C3794" i="3" a="1"/>
  <c r="C3794" i="3" s="1"/>
  <c r="D3794" i="3" a="1"/>
  <c r="D3794" i="3" s="1"/>
  <c r="E3794" i="3" a="1"/>
  <c r="E3794" i="3" s="1"/>
  <c r="F3794" i="3" a="1"/>
  <c r="F3794" i="3" s="1"/>
  <c r="G3794" i="3" a="1"/>
  <c r="G3794" i="3" s="1"/>
  <c r="J3794" i="3" a="1"/>
  <c r="J3794" i="3" s="1"/>
  <c r="B3795" i="3" a="1"/>
  <c r="B3795" i="3" s="1"/>
  <c r="C3795" i="3" a="1"/>
  <c r="C3795" i="3" s="1"/>
  <c r="D3795" i="3" a="1"/>
  <c r="D3795" i="3" s="1"/>
  <c r="E3795" i="3" a="1"/>
  <c r="E3795" i="3" s="1"/>
  <c r="F3795" i="3" a="1"/>
  <c r="F3795" i="3" s="1"/>
  <c r="G3795" i="3" a="1"/>
  <c r="G3795" i="3" s="1"/>
  <c r="J3795" i="3" a="1"/>
  <c r="J3795" i="3" s="1"/>
  <c r="B3796" i="3" a="1"/>
  <c r="B3796" i="3" s="1"/>
  <c r="C3796" i="3" a="1"/>
  <c r="C3796" i="3" s="1"/>
  <c r="D3796" i="3" a="1"/>
  <c r="D3796" i="3" s="1"/>
  <c r="E3796" i="3" a="1"/>
  <c r="E3796" i="3" s="1"/>
  <c r="F3796" i="3" a="1"/>
  <c r="F3796" i="3" s="1"/>
  <c r="G3796" i="3" a="1"/>
  <c r="G3796" i="3" s="1"/>
  <c r="J3796" i="3" a="1"/>
  <c r="J3796" i="3" s="1"/>
  <c r="B3797" i="3" a="1"/>
  <c r="B3797" i="3" s="1"/>
  <c r="C3797" i="3" a="1"/>
  <c r="C3797" i="3" s="1"/>
  <c r="D3797" i="3" a="1"/>
  <c r="D3797" i="3" s="1"/>
  <c r="E3797" i="3" a="1"/>
  <c r="E3797" i="3" s="1"/>
  <c r="F3797" i="3" a="1"/>
  <c r="F3797" i="3" s="1"/>
  <c r="G3797" i="3" a="1"/>
  <c r="G3797" i="3" s="1"/>
  <c r="J3797" i="3" a="1"/>
  <c r="J3797" i="3" s="1"/>
  <c r="B3798" i="3" a="1"/>
  <c r="B3798" i="3" s="1"/>
  <c r="C3798" i="3" a="1"/>
  <c r="C3798" i="3" s="1"/>
  <c r="D3798" i="3" a="1"/>
  <c r="D3798" i="3" s="1"/>
  <c r="E3798" i="3" a="1"/>
  <c r="E3798" i="3" s="1"/>
  <c r="F3798" i="3" a="1"/>
  <c r="F3798" i="3" s="1"/>
  <c r="G3798" i="3" a="1"/>
  <c r="G3798" i="3" s="1"/>
  <c r="J3798" i="3" a="1"/>
  <c r="J3798" i="3" s="1"/>
  <c r="B3799" i="3" a="1"/>
  <c r="B3799" i="3" s="1"/>
  <c r="C3799" i="3" a="1"/>
  <c r="C3799" i="3" s="1"/>
  <c r="D3799" i="3" a="1"/>
  <c r="D3799" i="3" s="1"/>
  <c r="E3799" i="3" a="1"/>
  <c r="E3799" i="3" s="1"/>
  <c r="F3799" i="3" a="1"/>
  <c r="F3799" i="3" s="1"/>
  <c r="G3799" i="3" a="1"/>
  <c r="G3799" i="3" s="1"/>
  <c r="J3799" i="3" a="1"/>
  <c r="J3799" i="3" s="1"/>
  <c r="B3800" i="3" a="1"/>
  <c r="B3800" i="3" s="1"/>
  <c r="C3800" i="3" a="1"/>
  <c r="C3800" i="3" s="1"/>
  <c r="D3800" i="3" a="1"/>
  <c r="D3800" i="3" s="1"/>
  <c r="E3800" i="3" a="1"/>
  <c r="E3800" i="3" s="1"/>
  <c r="F3800" i="3" a="1"/>
  <c r="F3800" i="3" s="1"/>
  <c r="G3800" i="3" a="1"/>
  <c r="G3800" i="3" s="1"/>
  <c r="J3800" i="3" a="1"/>
  <c r="J3800" i="3" s="1"/>
  <c r="B3801" i="3" a="1"/>
  <c r="B3801" i="3" s="1"/>
  <c r="C3801" i="3" a="1"/>
  <c r="C3801" i="3" s="1"/>
  <c r="D3801" i="3" a="1"/>
  <c r="D3801" i="3" s="1"/>
  <c r="E3801" i="3" a="1"/>
  <c r="E3801" i="3" s="1"/>
  <c r="F3801" i="3" a="1"/>
  <c r="F3801" i="3" s="1"/>
  <c r="G3801" i="3" a="1"/>
  <c r="G3801" i="3" s="1"/>
  <c r="J3801" i="3" a="1"/>
  <c r="J3801" i="3" s="1"/>
  <c r="B3802" i="3" a="1"/>
  <c r="B3802" i="3" s="1"/>
  <c r="C3802" i="3" a="1"/>
  <c r="C3802" i="3" s="1"/>
  <c r="D3802" i="3" a="1"/>
  <c r="D3802" i="3" s="1"/>
  <c r="E3802" i="3" a="1"/>
  <c r="E3802" i="3" s="1"/>
  <c r="F3802" i="3" a="1"/>
  <c r="F3802" i="3" s="1"/>
  <c r="G3802" i="3" a="1"/>
  <c r="G3802" i="3" s="1"/>
  <c r="J3802" i="3" a="1"/>
  <c r="J3802" i="3" s="1"/>
  <c r="B3803" i="3" a="1"/>
  <c r="B3803" i="3" s="1"/>
  <c r="C3803" i="3" a="1"/>
  <c r="C3803" i="3" s="1"/>
  <c r="D3803" i="3" a="1"/>
  <c r="D3803" i="3" s="1"/>
  <c r="E3803" i="3" a="1"/>
  <c r="E3803" i="3" s="1"/>
  <c r="F3803" i="3" a="1"/>
  <c r="F3803" i="3" s="1"/>
  <c r="G3803" i="3" a="1"/>
  <c r="G3803" i="3" s="1"/>
  <c r="J3803" i="3" a="1"/>
  <c r="J3803" i="3" s="1"/>
  <c r="B3804" i="3" a="1"/>
  <c r="B3804" i="3" s="1"/>
  <c r="C3804" i="3" a="1"/>
  <c r="C3804" i="3" s="1"/>
  <c r="D3804" i="3" a="1"/>
  <c r="D3804" i="3" s="1"/>
  <c r="E3804" i="3" a="1"/>
  <c r="E3804" i="3" s="1"/>
  <c r="F3804" i="3" a="1"/>
  <c r="F3804" i="3" s="1"/>
  <c r="G3804" i="3" a="1"/>
  <c r="G3804" i="3" s="1"/>
  <c r="J3804" i="3" a="1"/>
  <c r="J3804" i="3" s="1"/>
  <c r="B3805" i="3" a="1"/>
  <c r="B3805" i="3" s="1"/>
  <c r="C3805" i="3" a="1"/>
  <c r="C3805" i="3" s="1"/>
  <c r="D3805" i="3" a="1"/>
  <c r="D3805" i="3" s="1"/>
  <c r="E3805" i="3" a="1"/>
  <c r="E3805" i="3" s="1"/>
  <c r="F3805" i="3" a="1"/>
  <c r="F3805" i="3" s="1"/>
  <c r="G3805" i="3" a="1"/>
  <c r="G3805" i="3" s="1"/>
  <c r="J3805" i="3" a="1"/>
  <c r="J3805" i="3" s="1"/>
  <c r="B3806" i="3" a="1"/>
  <c r="B3806" i="3" s="1"/>
  <c r="C3806" i="3" a="1"/>
  <c r="C3806" i="3" s="1"/>
  <c r="D3806" i="3" a="1"/>
  <c r="D3806" i="3" s="1"/>
  <c r="E3806" i="3" a="1"/>
  <c r="E3806" i="3" s="1"/>
  <c r="F3806" i="3" a="1"/>
  <c r="F3806" i="3" s="1"/>
  <c r="G3806" i="3" a="1"/>
  <c r="G3806" i="3" s="1"/>
  <c r="J3806" i="3" a="1"/>
  <c r="J3806" i="3" s="1"/>
  <c r="B3807" i="3" a="1"/>
  <c r="B3807" i="3" s="1"/>
  <c r="C3807" i="3" a="1"/>
  <c r="C3807" i="3" s="1"/>
  <c r="D3807" i="3" a="1"/>
  <c r="D3807" i="3" s="1"/>
  <c r="E3807" i="3" a="1"/>
  <c r="E3807" i="3" s="1"/>
  <c r="F3807" i="3" a="1"/>
  <c r="F3807" i="3" s="1"/>
  <c r="G3807" i="3" a="1"/>
  <c r="G3807" i="3" s="1"/>
  <c r="J3807" i="3" a="1"/>
  <c r="J3807" i="3" s="1"/>
  <c r="B3808" i="3" a="1"/>
  <c r="B3808" i="3" s="1"/>
  <c r="C3808" i="3" a="1"/>
  <c r="C3808" i="3" s="1"/>
  <c r="D3808" i="3" a="1"/>
  <c r="D3808" i="3" s="1"/>
  <c r="E3808" i="3" a="1"/>
  <c r="E3808" i="3" s="1"/>
  <c r="F3808" i="3" a="1"/>
  <c r="F3808" i="3" s="1"/>
  <c r="G3808" i="3" a="1"/>
  <c r="G3808" i="3" s="1"/>
  <c r="J3808" i="3" a="1"/>
  <c r="J3808" i="3" s="1"/>
  <c r="B3809" i="3" a="1"/>
  <c r="B3809" i="3" s="1"/>
  <c r="C3809" i="3" a="1"/>
  <c r="C3809" i="3" s="1"/>
  <c r="D3809" i="3" a="1"/>
  <c r="D3809" i="3" s="1"/>
  <c r="E3809" i="3" a="1"/>
  <c r="E3809" i="3" s="1"/>
  <c r="F3809" i="3" a="1"/>
  <c r="F3809" i="3" s="1"/>
  <c r="G3809" i="3" a="1"/>
  <c r="G3809" i="3" s="1"/>
  <c r="J3809" i="3" a="1"/>
  <c r="J3809" i="3" s="1"/>
  <c r="B3810" i="3" a="1"/>
  <c r="B3810" i="3" s="1"/>
  <c r="C3810" i="3" a="1"/>
  <c r="C3810" i="3" s="1"/>
  <c r="D3810" i="3" a="1"/>
  <c r="D3810" i="3" s="1"/>
  <c r="E3810" i="3" a="1"/>
  <c r="E3810" i="3" s="1"/>
  <c r="F3810" i="3" a="1"/>
  <c r="F3810" i="3" s="1"/>
  <c r="G3810" i="3" a="1"/>
  <c r="G3810" i="3" s="1"/>
  <c r="J3810" i="3" a="1"/>
  <c r="J3810" i="3" s="1"/>
  <c r="B3811" i="3" a="1"/>
  <c r="B3811" i="3" s="1"/>
  <c r="C3811" i="3" a="1"/>
  <c r="C3811" i="3" s="1"/>
  <c r="D3811" i="3" a="1"/>
  <c r="D3811" i="3" s="1"/>
  <c r="E3811" i="3" a="1"/>
  <c r="E3811" i="3" s="1"/>
  <c r="F3811" i="3" a="1"/>
  <c r="F3811" i="3" s="1"/>
  <c r="G3811" i="3" a="1"/>
  <c r="G3811" i="3" s="1"/>
  <c r="J3811" i="3" a="1"/>
  <c r="J3811" i="3" s="1"/>
  <c r="B3812" i="3" a="1"/>
  <c r="B3812" i="3" s="1"/>
  <c r="C3812" i="3" a="1"/>
  <c r="C3812" i="3" s="1"/>
  <c r="D3812" i="3" a="1"/>
  <c r="D3812" i="3" s="1"/>
  <c r="E3812" i="3" a="1"/>
  <c r="E3812" i="3" s="1"/>
  <c r="F3812" i="3" a="1"/>
  <c r="F3812" i="3" s="1"/>
  <c r="G3812" i="3" a="1"/>
  <c r="G3812" i="3" s="1"/>
  <c r="J3812" i="3" a="1"/>
  <c r="J3812" i="3" s="1"/>
  <c r="B3813" i="3" a="1"/>
  <c r="B3813" i="3" s="1"/>
  <c r="C3813" i="3" a="1"/>
  <c r="C3813" i="3" s="1"/>
  <c r="D3813" i="3" a="1"/>
  <c r="D3813" i="3" s="1"/>
  <c r="E3813" i="3" a="1"/>
  <c r="E3813" i="3" s="1"/>
  <c r="F3813" i="3" a="1"/>
  <c r="F3813" i="3" s="1"/>
  <c r="G3813" i="3" a="1"/>
  <c r="G3813" i="3" s="1"/>
  <c r="J3813" i="3" a="1"/>
  <c r="J3813" i="3" s="1"/>
  <c r="B3814" i="3" a="1"/>
  <c r="B3814" i="3" s="1"/>
  <c r="C3814" i="3" a="1"/>
  <c r="C3814" i="3" s="1"/>
  <c r="D3814" i="3" a="1"/>
  <c r="D3814" i="3" s="1"/>
  <c r="E3814" i="3" a="1"/>
  <c r="E3814" i="3" s="1"/>
  <c r="F3814" i="3" a="1"/>
  <c r="F3814" i="3" s="1"/>
  <c r="G3814" i="3" a="1"/>
  <c r="G3814" i="3" s="1"/>
  <c r="J3814" i="3" a="1"/>
  <c r="J3814" i="3" s="1"/>
  <c r="B3815" i="3" a="1"/>
  <c r="B3815" i="3" s="1"/>
  <c r="C3815" i="3" a="1"/>
  <c r="C3815" i="3" s="1"/>
  <c r="D3815" i="3" a="1"/>
  <c r="D3815" i="3" s="1"/>
  <c r="E3815" i="3" a="1"/>
  <c r="E3815" i="3" s="1"/>
  <c r="F3815" i="3" a="1"/>
  <c r="F3815" i="3" s="1"/>
  <c r="G3815" i="3" a="1"/>
  <c r="G3815" i="3" s="1"/>
  <c r="J3815" i="3" a="1"/>
  <c r="J3815" i="3" s="1"/>
  <c r="B3816" i="3" a="1"/>
  <c r="B3816" i="3" s="1"/>
  <c r="C3816" i="3" a="1"/>
  <c r="C3816" i="3" s="1"/>
  <c r="D3816" i="3" a="1"/>
  <c r="D3816" i="3" s="1"/>
  <c r="E3816" i="3" a="1"/>
  <c r="E3816" i="3" s="1"/>
  <c r="F3816" i="3" a="1"/>
  <c r="F3816" i="3" s="1"/>
  <c r="G3816" i="3" a="1"/>
  <c r="G3816" i="3" s="1"/>
  <c r="J3816" i="3" a="1"/>
  <c r="J3816" i="3" s="1"/>
  <c r="B3817" i="3" a="1"/>
  <c r="B3817" i="3" s="1"/>
  <c r="C3817" i="3" a="1"/>
  <c r="C3817" i="3" s="1"/>
  <c r="D3817" i="3" a="1"/>
  <c r="D3817" i="3" s="1"/>
  <c r="E3817" i="3" a="1"/>
  <c r="E3817" i="3" s="1"/>
  <c r="F3817" i="3" a="1"/>
  <c r="F3817" i="3" s="1"/>
  <c r="G3817" i="3" a="1"/>
  <c r="G3817" i="3" s="1"/>
  <c r="J3817" i="3" a="1"/>
  <c r="J3817" i="3" s="1"/>
  <c r="B3818" i="3" a="1"/>
  <c r="B3818" i="3" s="1"/>
  <c r="C3818" i="3" a="1"/>
  <c r="C3818" i="3" s="1"/>
  <c r="D3818" i="3" a="1"/>
  <c r="D3818" i="3" s="1"/>
  <c r="E3818" i="3" a="1"/>
  <c r="E3818" i="3" s="1"/>
  <c r="F3818" i="3" a="1"/>
  <c r="F3818" i="3" s="1"/>
  <c r="G3818" i="3" a="1"/>
  <c r="G3818" i="3" s="1"/>
  <c r="J3818" i="3" a="1"/>
  <c r="J3818" i="3" s="1"/>
  <c r="B3819" i="3" a="1"/>
  <c r="B3819" i="3" s="1"/>
  <c r="C3819" i="3" a="1"/>
  <c r="C3819" i="3" s="1"/>
  <c r="D3819" i="3" a="1"/>
  <c r="D3819" i="3" s="1"/>
  <c r="E3819" i="3" a="1"/>
  <c r="E3819" i="3" s="1"/>
  <c r="F3819" i="3" a="1"/>
  <c r="F3819" i="3" s="1"/>
  <c r="G3819" i="3" a="1"/>
  <c r="G3819" i="3" s="1"/>
  <c r="J3819" i="3" a="1"/>
  <c r="J3819" i="3" s="1"/>
  <c r="B3820" i="3" a="1"/>
  <c r="B3820" i="3" s="1"/>
  <c r="C3820" i="3" a="1"/>
  <c r="C3820" i="3" s="1"/>
  <c r="D3820" i="3" a="1"/>
  <c r="D3820" i="3" s="1"/>
  <c r="E3820" i="3" a="1"/>
  <c r="E3820" i="3" s="1"/>
  <c r="F3820" i="3" a="1"/>
  <c r="F3820" i="3" s="1"/>
  <c r="G3820" i="3" a="1"/>
  <c r="G3820" i="3" s="1"/>
  <c r="J3820" i="3" a="1"/>
  <c r="J3820" i="3" s="1"/>
  <c r="B3821" i="3" a="1"/>
  <c r="B3821" i="3" s="1"/>
  <c r="C3821" i="3" a="1"/>
  <c r="C3821" i="3" s="1"/>
  <c r="D3821" i="3" a="1"/>
  <c r="D3821" i="3" s="1"/>
  <c r="E3821" i="3" a="1"/>
  <c r="E3821" i="3" s="1"/>
  <c r="F3821" i="3" a="1"/>
  <c r="F3821" i="3" s="1"/>
  <c r="G3821" i="3" a="1"/>
  <c r="G3821" i="3" s="1"/>
  <c r="J3821" i="3" a="1"/>
  <c r="J3821" i="3" s="1"/>
  <c r="B3822" i="3" a="1"/>
  <c r="B3822" i="3" s="1"/>
  <c r="C3822" i="3" a="1"/>
  <c r="C3822" i="3" s="1"/>
  <c r="D3822" i="3" a="1"/>
  <c r="D3822" i="3" s="1"/>
  <c r="E3822" i="3" a="1"/>
  <c r="E3822" i="3" s="1"/>
  <c r="F3822" i="3" a="1"/>
  <c r="F3822" i="3" s="1"/>
  <c r="G3822" i="3" a="1"/>
  <c r="G3822" i="3" s="1"/>
  <c r="J3822" i="3" a="1"/>
  <c r="J3822" i="3" s="1"/>
  <c r="B3823" i="3" a="1"/>
  <c r="B3823" i="3" s="1"/>
  <c r="C3823" i="3" a="1"/>
  <c r="C3823" i="3" s="1"/>
  <c r="D3823" i="3" a="1"/>
  <c r="D3823" i="3" s="1"/>
  <c r="E3823" i="3" a="1"/>
  <c r="E3823" i="3" s="1"/>
  <c r="F3823" i="3" a="1"/>
  <c r="F3823" i="3" s="1"/>
  <c r="G3823" i="3" a="1"/>
  <c r="G3823" i="3" s="1"/>
  <c r="J3823" i="3" a="1"/>
  <c r="J3823" i="3" s="1"/>
  <c r="B3824" i="3" a="1"/>
  <c r="B3824" i="3" s="1"/>
  <c r="C3824" i="3" a="1"/>
  <c r="C3824" i="3" s="1"/>
  <c r="D3824" i="3" a="1"/>
  <c r="D3824" i="3" s="1"/>
  <c r="E3824" i="3" a="1"/>
  <c r="E3824" i="3" s="1"/>
  <c r="F3824" i="3" a="1"/>
  <c r="F3824" i="3" s="1"/>
  <c r="G3824" i="3" a="1"/>
  <c r="G3824" i="3" s="1"/>
  <c r="J3824" i="3" a="1"/>
  <c r="J3824" i="3" s="1"/>
  <c r="B3825" i="3" a="1"/>
  <c r="B3825" i="3" s="1"/>
  <c r="C3825" i="3" a="1"/>
  <c r="C3825" i="3" s="1"/>
  <c r="D3825" i="3" a="1"/>
  <c r="D3825" i="3" s="1"/>
  <c r="E3825" i="3" a="1"/>
  <c r="E3825" i="3" s="1"/>
  <c r="F3825" i="3" a="1"/>
  <c r="F3825" i="3" s="1"/>
  <c r="G3825" i="3" a="1"/>
  <c r="G3825" i="3" s="1"/>
  <c r="J3825" i="3" a="1"/>
  <c r="J3825" i="3" s="1"/>
  <c r="B3826" i="3" a="1"/>
  <c r="B3826" i="3" s="1"/>
  <c r="C3826" i="3" a="1"/>
  <c r="C3826" i="3" s="1"/>
  <c r="D3826" i="3" a="1"/>
  <c r="D3826" i="3" s="1"/>
  <c r="E3826" i="3" a="1"/>
  <c r="E3826" i="3" s="1"/>
  <c r="F3826" i="3" a="1"/>
  <c r="F3826" i="3" s="1"/>
  <c r="G3826" i="3" a="1"/>
  <c r="G3826" i="3" s="1"/>
  <c r="J3826" i="3" a="1"/>
  <c r="J3826" i="3" s="1"/>
  <c r="B3827" i="3" a="1"/>
  <c r="B3827" i="3" s="1"/>
  <c r="C3827" i="3" a="1"/>
  <c r="C3827" i="3" s="1"/>
  <c r="D3827" i="3" a="1"/>
  <c r="D3827" i="3" s="1"/>
  <c r="E3827" i="3" a="1"/>
  <c r="E3827" i="3" s="1"/>
  <c r="F3827" i="3" a="1"/>
  <c r="F3827" i="3" s="1"/>
  <c r="G3827" i="3" a="1"/>
  <c r="G3827" i="3" s="1"/>
  <c r="J3827" i="3" a="1"/>
  <c r="J3827" i="3" s="1"/>
  <c r="B3828" i="3" a="1"/>
  <c r="B3828" i="3" s="1"/>
  <c r="C3828" i="3" a="1"/>
  <c r="C3828" i="3" s="1"/>
  <c r="D3828" i="3" a="1"/>
  <c r="D3828" i="3" s="1"/>
  <c r="E3828" i="3" a="1"/>
  <c r="E3828" i="3" s="1"/>
  <c r="F3828" i="3" a="1"/>
  <c r="F3828" i="3" s="1"/>
  <c r="G3828" i="3" a="1"/>
  <c r="G3828" i="3" s="1"/>
  <c r="J3828" i="3" a="1"/>
  <c r="J3828" i="3" s="1"/>
  <c r="B3829" i="3" a="1"/>
  <c r="B3829" i="3" s="1"/>
  <c r="C3829" i="3" a="1"/>
  <c r="C3829" i="3" s="1"/>
  <c r="D3829" i="3" a="1"/>
  <c r="D3829" i="3" s="1"/>
  <c r="E3829" i="3" a="1"/>
  <c r="E3829" i="3" s="1"/>
  <c r="F3829" i="3" a="1"/>
  <c r="F3829" i="3" s="1"/>
  <c r="G3829" i="3" a="1"/>
  <c r="G3829" i="3" s="1"/>
  <c r="J3829" i="3" a="1"/>
  <c r="J3829" i="3" s="1"/>
  <c r="B3830" i="3" a="1"/>
  <c r="B3830" i="3" s="1"/>
  <c r="C3830" i="3" a="1"/>
  <c r="C3830" i="3" s="1"/>
  <c r="D3830" i="3" a="1"/>
  <c r="D3830" i="3" s="1"/>
  <c r="E3830" i="3" a="1"/>
  <c r="E3830" i="3" s="1"/>
  <c r="F3830" i="3" a="1"/>
  <c r="F3830" i="3" s="1"/>
  <c r="G3830" i="3" a="1"/>
  <c r="G3830" i="3" s="1"/>
  <c r="J3830" i="3" a="1"/>
  <c r="J3830" i="3" s="1"/>
  <c r="B3831" i="3" a="1"/>
  <c r="B3831" i="3" s="1"/>
  <c r="C3831" i="3" a="1"/>
  <c r="C3831" i="3" s="1"/>
  <c r="D3831" i="3" a="1"/>
  <c r="D3831" i="3" s="1"/>
  <c r="E3831" i="3" a="1"/>
  <c r="E3831" i="3" s="1"/>
  <c r="F3831" i="3" a="1"/>
  <c r="F3831" i="3" s="1"/>
  <c r="G3831" i="3" a="1"/>
  <c r="G3831" i="3" s="1"/>
  <c r="J3831" i="3" a="1"/>
  <c r="J3831" i="3" s="1"/>
  <c r="B3832" i="3" a="1"/>
  <c r="B3832" i="3" s="1"/>
  <c r="C3832" i="3" a="1"/>
  <c r="C3832" i="3" s="1"/>
  <c r="D3832" i="3" a="1"/>
  <c r="D3832" i="3" s="1"/>
  <c r="E3832" i="3" a="1"/>
  <c r="E3832" i="3" s="1"/>
  <c r="F3832" i="3" a="1"/>
  <c r="F3832" i="3" s="1"/>
  <c r="G3832" i="3" a="1"/>
  <c r="G3832" i="3" s="1"/>
  <c r="J3832" i="3" a="1"/>
  <c r="J3832" i="3" s="1"/>
  <c r="B3833" i="3" a="1"/>
  <c r="B3833" i="3" s="1"/>
  <c r="C3833" i="3" a="1"/>
  <c r="C3833" i="3" s="1"/>
  <c r="D3833" i="3" a="1"/>
  <c r="D3833" i="3" s="1"/>
  <c r="E3833" i="3" a="1"/>
  <c r="E3833" i="3" s="1"/>
  <c r="F3833" i="3" a="1"/>
  <c r="F3833" i="3" s="1"/>
  <c r="G3833" i="3" a="1"/>
  <c r="G3833" i="3" s="1"/>
  <c r="J3833" i="3" a="1"/>
  <c r="J3833" i="3" s="1"/>
  <c r="B3834" i="3" a="1"/>
  <c r="B3834" i="3" s="1"/>
  <c r="C3834" i="3" a="1"/>
  <c r="C3834" i="3" s="1"/>
  <c r="D3834" i="3" a="1"/>
  <c r="D3834" i="3" s="1"/>
  <c r="E3834" i="3" a="1"/>
  <c r="E3834" i="3" s="1"/>
  <c r="F3834" i="3" a="1"/>
  <c r="F3834" i="3" s="1"/>
  <c r="G3834" i="3" a="1"/>
  <c r="G3834" i="3" s="1"/>
  <c r="J3834" i="3" a="1"/>
  <c r="J3834" i="3" s="1"/>
  <c r="B3835" i="3" a="1"/>
  <c r="B3835" i="3" s="1"/>
  <c r="C3835" i="3" a="1"/>
  <c r="C3835" i="3" s="1"/>
  <c r="D3835" i="3" a="1"/>
  <c r="D3835" i="3" s="1"/>
  <c r="E3835" i="3" a="1"/>
  <c r="E3835" i="3" s="1"/>
  <c r="F3835" i="3" a="1"/>
  <c r="F3835" i="3" s="1"/>
  <c r="G3835" i="3" a="1"/>
  <c r="G3835" i="3" s="1"/>
  <c r="J3835" i="3" a="1"/>
  <c r="J3835" i="3" s="1"/>
  <c r="B3836" i="3" a="1"/>
  <c r="B3836" i="3" s="1"/>
  <c r="C3836" i="3" a="1"/>
  <c r="C3836" i="3" s="1"/>
  <c r="D3836" i="3" a="1"/>
  <c r="D3836" i="3" s="1"/>
  <c r="E3836" i="3" a="1"/>
  <c r="E3836" i="3" s="1"/>
  <c r="F3836" i="3" a="1"/>
  <c r="F3836" i="3" s="1"/>
  <c r="G3836" i="3" a="1"/>
  <c r="G3836" i="3" s="1"/>
  <c r="J3836" i="3" a="1"/>
  <c r="J3836" i="3" s="1"/>
  <c r="B3837" i="3" a="1"/>
  <c r="B3837" i="3" s="1"/>
  <c r="C3837" i="3" a="1"/>
  <c r="C3837" i="3" s="1"/>
  <c r="D3837" i="3" a="1"/>
  <c r="D3837" i="3" s="1"/>
  <c r="E3837" i="3" a="1"/>
  <c r="E3837" i="3" s="1"/>
  <c r="F3837" i="3" a="1"/>
  <c r="F3837" i="3" s="1"/>
  <c r="G3837" i="3" a="1"/>
  <c r="G3837" i="3" s="1"/>
  <c r="J3837" i="3" a="1"/>
  <c r="J3837" i="3" s="1"/>
  <c r="B3838" i="3" a="1"/>
  <c r="B3838" i="3" s="1"/>
  <c r="C3838" i="3" a="1"/>
  <c r="C3838" i="3" s="1"/>
  <c r="D3838" i="3" a="1"/>
  <c r="D3838" i="3" s="1"/>
  <c r="E3838" i="3" a="1"/>
  <c r="E3838" i="3" s="1"/>
  <c r="F3838" i="3" a="1"/>
  <c r="F3838" i="3" s="1"/>
  <c r="G3838" i="3" a="1"/>
  <c r="G3838" i="3" s="1"/>
  <c r="J3838" i="3" a="1"/>
  <c r="J3838" i="3" s="1"/>
  <c r="B3839" i="3" a="1"/>
  <c r="B3839" i="3" s="1"/>
  <c r="C3839" i="3" a="1"/>
  <c r="C3839" i="3" s="1"/>
  <c r="D3839" i="3" a="1"/>
  <c r="D3839" i="3" s="1"/>
  <c r="E3839" i="3" a="1"/>
  <c r="E3839" i="3" s="1"/>
  <c r="F3839" i="3" a="1"/>
  <c r="F3839" i="3" s="1"/>
  <c r="G3839" i="3" a="1"/>
  <c r="G3839" i="3" s="1"/>
  <c r="J3839" i="3" a="1"/>
  <c r="J3839" i="3" s="1"/>
  <c r="B3840" i="3" a="1"/>
  <c r="B3840" i="3" s="1"/>
  <c r="C3840" i="3" a="1"/>
  <c r="C3840" i="3" s="1"/>
  <c r="D3840" i="3" a="1"/>
  <c r="D3840" i="3" s="1"/>
  <c r="E3840" i="3" a="1"/>
  <c r="E3840" i="3" s="1"/>
  <c r="F3840" i="3" a="1"/>
  <c r="F3840" i="3" s="1"/>
  <c r="G3840" i="3" a="1"/>
  <c r="G3840" i="3" s="1"/>
  <c r="J3840" i="3" a="1"/>
  <c r="J3840" i="3" s="1"/>
  <c r="B3841" i="3" a="1"/>
  <c r="B3841" i="3" s="1"/>
  <c r="C3841" i="3" a="1"/>
  <c r="C3841" i="3" s="1"/>
  <c r="D3841" i="3" a="1"/>
  <c r="D3841" i="3" s="1"/>
  <c r="E3841" i="3" a="1"/>
  <c r="E3841" i="3" s="1"/>
  <c r="F3841" i="3" a="1"/>
  <c r="F3841" i="3" s="1"/>
  <c r="G3841" i="3" a="1"/>
  <c r="G3841" i="3" s="1"/>
  <c r="J3841" i="3" a="1"/>
  <c r="J3841" i="3" s="1"/>
  <c r="B3842" i="3" a="1"/>
  <c r="B3842" i="3" s="1"/>
  <c r="C3842" i="3" a="1"/>
  <c r="C3842" i="3" s="1"/>
  <c r="D3842" i="3" a="1"/>
  <c r="D3842" i="3" s="1"/>
  <c r="E3842" i="3" a="1"/>
  <c r="E3842" i="3" s="1"/>
  <c r="F3842" i="3" a="1"/>
  <c r="F3842" i="3" s="1"/>
  <c r="G3842" i="3" a="1"/>
  <c r="G3842" i="3" s="1"/>
  <c r="J3842" i="3" a="1"/>
  <c r="J3842" i="3" s="1"/>
  <c r="B3843" i="3" a="1"/>
  <c r="B3843" i="3" s="1"/>
  <c r="C3843" i="3" a="1"/>
  <c r="C3843" i="3" s="1"/>
  <c r="D3843" i="3" a="1"/>
  <c r="D3843" i="3" s="1"/>
  <c r="E3843" i="3" a="1"/>
  <c r="E3843" i="3" s="1"/>
  <c r="F3843" i="3" a="1"/>
  <c r="F3843" i="3" s="1"/>
  <c r="G3843" i="3" a="1"/>
  <c r="G3843" i="3" s="1"/>
  <c r="J3843" i="3" a="1"/>
  <c r="J3843" i="3" s="1"/>
  <c r="B3844" i="3" a="1"/>
  <c r="B3844" i="3" s="1"/>
  <c r="C3844" i="3" a="1"/>
  <c r="C3844" i="3" s="1"/>
  <c r="D3844" i="3" a="1"/>
  <c r="D3844" i="3" s="1"/>
  <c r="E3844" i="3" a="1"/>
  <c r="E3844" i="3" s="1"/>
  <c r="F3844" i="3" a="1"/>
  <c r="F3844" i="3" s="1"/>
  <c r="G3844" i="3" a="1"/>
  <c r="G3844" i="3" s="1"/>
  <c r="J3844" i="3" a="1"/>
  <c r="J3844" i="3" s="1"/>
  <c r="B3845" i="3" a="1"/>
  <c r="B3845" i="3" s="1"/>
  <c r="C3845" i="3" a="1"/>
  <c r="C3845" i="3" s="1"/>
  <c r="D3845" i="3" a="1"/>
  <c r="D3845" i="3" s="1"/>
  <c r="E3845" i="3" a="1"/>
  <c r="E3845" i="3" s="1"/>
  <c r="F3845" i="3" a="1"/>
  <c r="F3845" i="3" s="1"/>
  <c r="G3845" i="3" a="1"/>
  <c r="G3845" i="3" s="1"/>
  <c r="J3845" i="3" a="1"/>
  <c r="J3845" i="3" s="1"/>
  <c r="B3846" i="3" a="1"/>
  <c r="B3846" i="3" s="1"/>
  <c r="C3846" i="3" a="1"/>
  <c r="C3846" i="3" s="1"/>
  <c r="D3846" i="3" a="1"/>
  <c r="D3846" i="3" s="1"/>
  <c r="E3846" i="3" a="1"/>
  <c r="E3846" i="3" s="1"/>
  <c r="F3846" i="3" a="1"/>
  <c r="F3846" i="3" s="1"/>
  <c r="G3846" i="3" a="1"/>
  <c r="G3846" i="3" s="1"/>
  <c r="J3846" i="3" a="1"/>
  <c r="J3846" i="3" s="1"/>
  <c r="B3847" i="3" a="1"/>
  <c r="B3847" i="3" s="1"/>
  <c r="C3847" i="3" a="1"/>
  <c r="C3847" i="3" s="1"/>
  <c r="D3847" i="3" a="1"/>
  <c r="D3847" i="3" s="1"/>
  <c r="E3847" i="3" a="1"/>
  <c r="E3847" i="3" s="1"/>
  <c r="F3847" i="3" a="1"/>
  <c r="F3847" i="3" s="1"/>
  <c r="G3847" i="3" a="1"/>
  <c r="G3847" i="3" s="1"/>
  <c r="J3847" i="3" a="1"/>
  <c r="J3847" i="3" s="1"/>
  <c r="B3848" i="3" a="1"/>
  <c r="B3848" i="3" s="1"/>
  <c r="C3848" i="3" a="1"/>
  <c r="C3848" i="3" s="1"/>
  <c r="D3848" i="3" a="1"/>
  <c r="D3848" i="3" s="1"/>
  <c r="E3848" i="3" a="1"/>
  <c r="E3848" i="3" s="1"/>
  <c r="F3848" i="3" a="1"/>
  <c r="F3848" i="3" s="1"/>
  <c r="G3848" i="3" a="1"/>
  <c r="G3848" i="3" s="1"/>
  <c r="J3848" i="3" a="1"/>
  <c r="J3848" i="3" s="1"/>
  <c r="B3849" i="3" a="1"/>
  <c r="B3849" i="3" s="1"/>
  <c r="C3849" i="3" a="1"/>
  <c r="C3849" i="3" s="1"/>
  <c r="D3849" i="3" a="1"/>
  <c r="D3849" i="3" s="1"/>
  <c r="E3849" i="3" a="1"/>
  <c r="E3849" i="3" s="1"/>
  <c r="F3849" i="3" a="1"/>
  <c r="F3849" i="3" s="1"/>
  <c r="G3849" i="3" a="1"/>
  <c r="G3849" i="3" s="1"/>
  <c r="J3849" i="3" a="1"/>
  <c r="J3849" i="3" s="1"/>
  <c r="B3850" i="3" a="1"/>
  <c r="B3850" i="3" s="1"/>
  <c r="C3850" i="3" a="1"/>
  <c r="C3850" i="3" s="1"/>
  <c r="D3850" i="3" a="1"/>
  <c r="D3850" i="3" s="1"/>
  <c r="E3850" i="3" a="1"/>
  <c r="E3850" i="3" s="1"/>
  <c r="F3850" i="3" a="1"/>
  <c r="F3850" i="3" s="1"/>
  <c r="G3850" i="3" a="1"/>
  <c r="G3850" i="3" s="1"/>
  <c r="J3850" i="3" a="1"/>
  <c r="J3850" i="3" s="1"/>
  <c r="B3851" i="3" a="1"/>
  <c r="B3851" i="3" s="1"/>
  <c r="C3851" i="3" a="1"/>
  <c r="C3851" i="3" s="1"/>
  <c r="D3851" i="3" a="1"/>
  <c r="D3851" i="3" s="1"/>
  <c r="E3851" i="3" a="1"/>
  <c r="E3851" i="3" s="1"/>
  <c r="F3851" i="3" a="1"/>
  <c r="F3851" i="3" s="1"/>
  <c r="G3851" i="3" a="1"/>
  <c r="G3851" i="3" s="1"/>
  <c r="J3851" i="3" a="1"/>
  <c r="J3851" i="3" s="1"/>
  <c r="B3852" i="3" a="1"/>
  <c r="B3852" i="3" s="1"/>
  <c r="C3852" i="3" a="1"/>
  <c r="C3852" i="3" s="1"/>
  <c r="D3852" i="3" a="1"/>
  <c r="D3852" i="3" s="1"/>
  <c r="E3852" i="3" a="1"/>
  <c r="E3852" i="3" s="1"/>
  <c r="F3852" i="3" a="1"/>
  <c r="F3852" i="3" s="1"/>
  <c r="G3852" i="3" a="1"/>
  <c r="G3852" i="3" s="1"/>
  <c r="J3852" i="3" a="1"/>
  <c r="J3852" i="3" s="1"/>
  <c r="B3853" i="3" a="1"/>
  <c r="B3853" i="3" s="1"/>
  <c r="C3853" i="3" a="1"/>
  <c r="C3853" i="3" s="1"/>
  <c r="D3853" i="3" a="1"/>
  <c r="D3853" i="3" s="1"/>
  <c r="E3853" i="3" a="1"/>
  <c r="E3853" i="3" s="1"/>
  <c r="F3853" i="3" a="1"/>
  <c r="F3853" i="3" s="1"/>
  <c r="G3853" i="3" a="1"/>
  <c r="G3853" i="3" s="1"/>
  <c r="J3853" i="3" a="1"/>
  <c r="J3853" i="3" s="1"/>
  <c r="B3854" i="3" a="1"/>
  <c r="B3854" i="3" s="1"/>
  <c r="C3854" i="3" a="1"/>
  <c r="C3854" i="3" s="1"/>
  <c r="D3854" i="3" a="1"/>
  <c r="D3854" i="3" s="1"/>
  <c r="E3854" i="3" a="1"/>
  <c r="E3854" i="3" s="1"/>
  <c r="F3854" i="3" a="1"/>
  <c r="F3854" i="3" s="1"/>
  <c r="G3854" i="3" a="1"/>
  <c r="G3854" i="3" s="1"/>
  <c r="J3854" i="3" a="1"/>
  <c r="J3854" i="3" s="1"/>
  <c r="B3855" i="3" a="1"/>
  <c r="B3855" i="3" s="1"/>
  <c r="C3855" i="3" a="1"/>
  <c r="C3855" i="3" s="1"/>
  <c r="D3855" i="3" a="1"/>
  <c r="D3855" i="3" s="1"/>
  <c r="E3855" i="3" a="1"/>
  <c r="E3855" i="3" s="1"/>
  <c r="F3855" i="3" a="1"/>
  <c r="F3855" i="3" s="1"/>
  <c r="G3855" i="3" a="1"/>
  <c r="G3855" i="3" s="1"/>
  <c r="J3855" i="3" a="1"/>
  <c r="J3855" i="3" s="1"/>
  <c r="B3856" i="3" a="1"/>
  <c r="B3856" i="3" s="1"/>
  <c r="C3856" i="3" a="1"/>
  <c r="C3856" i="3" s="1"/>
  <c r="D3856" i="3" a="1"/>
  <c r="D3856" i="3" s="1"/>
  <c r="E3856" i="3" a="1"/>
  <c r="E3856" i="3" s="1"/>
  <c r="F3856" i="3" a="1"/>
  <c r="F3856" i="3" s="1"/>
  <c r="G3856" i="3" a="1"/>
  <c r="G3856" i="3" s="1"/>
  <c r="J3856" i="3" a="1"/>
  <c r="J3856" i="3" s="1"/>
  <c r="B3857" i="3" a="1"/>
  <c r="B3857" i="3" s="1"/>
  <c r="C3857" i="3" a="1"/>
  <c r="C3857" i="3" s="1"/>
  <c r="D3857" i="3" a="1"/>
  <c r="D3857" i="3" s="1"/>
  <c r="E3857" i="3" a="1"/>
  <c r="E3857" i="3" s="1"/>
  <c r="F3857" i="3" a="1"/>
  <c r="F3857" i="3" s="1"/>
  <c r="G3857" i="3" a="1"/>
  <c r="G3857" i="3" s="1"/>
  <c r="J3857" i="3" a="1"/>
  <c r="J3857" i="3" s="1"/>
  <c r="B3858" i="3" a="1"/>
  <c r="B3858" i="3" s="1"/>
  <c r="C3858" i="3" a="1"/>
  <c r="C3858" i="3" s="1"/>
  <c r="D3858" i="3" a="1"/>
  <c r="D3858" i="3" s="1"/>
  <c r="E3858" i="3" a="1"/>
  <c r="E3858" i="3" s="1"/>
  <c r="F3858" i="3" a="1"/>
  <c r="F3858" i="3" s="1"/>
  <c r="G3858" i="3" a="1"/>
  <c r="G3858" i="3" s="1"/>
  <c r="J3858" i="3" a="1"/>
  <c r="J3858" i="3" s="1"/>
  <c r="B3859" i="3" a="1"/>
  <c r="B3859" i="3" s="1"/>
  <c r="C3859" i="3" a="1"/>
  <c r="C3859" i="3" s="1"/>
  <c r="D3859" i="3" a="1"/>
  <c r="D3859" i="3" s="1"/>
  <c r="E3859" i="3" a="1"/>
  <c r="E3859" i="3" s="1"/>
  <c r="F3859" i="3" a="1"/>
  <c r="F3859" i="3" s="1"/>
  <c r="G3859" i="3" a="1"/>
  <c r="G3859" i="3" s="1"/>
  <c r="J3859" i="3" a="1"/>
  <c r="J3859" i="3" s="1"/>
  <c r="B3860" i="3" a="1"/>
  <c r="B3860" i="3" s="1"/>
  <c r="C3860" i="3" a="1"/>
  <c r="C3860" i="3" s="1"/>
  <c r="D3860" i="3" a="1"/>
  <c r="D3860" i="3" s="1"/>
  <c r="E3860" i="3" a="1"/>
  <c r="E3860" i="3" s="1"/>
  <c r="F3860" i="3" a="1"/>
  <c r="F3860" i="3" s="1"/>
  <c r="G3860" i="3" a="1"/>
  <c r="G3860" i="3" s="1"/>
  <c r="J3860" i="3" a="1"/>
  <c r="J3860" i="3" s="1"/>
  <c r="B3861" i="3" a="1"/>
  <c r="B3861" i="3" s="1"/>
  <c r="C3861" i="3" a="1"/>
  <c r="C3861" i="3" s="1"/>
  <c r="D3861" i="3" a="1"/>
  <c r="D3861" i="3" s="1"/>
  <c r="E3861" i="3" a="1"/>
  <c r="E3861" i="3" s="1"/>
  <c r="F3861" i="3" a="1"/>
  <c r="F3861" i="3" s="1"/>
  <c r="G3861" i="3" a="1"/>
  <c r="G3861" i="3" s="1"/>
  <c r="J3861" i="3" a="1"/>
  <c r="J3861" i="3" s="1"/>
  <c r="B3862" i="3" a="1"/>
  <c r="B3862" i="3" s="1"/>
  <c r="C3862" i="3" a="1"/>
  <c r="C3862" i="3" s="1"/>
  <c r="D3862" i="3" a="1"/>
  <c r="D3862" i="3" s="1"/>
  <c r="E3862" i="3" a="1"/>
  <c r="E3862" i="3" s="1"/>
  <c r="F3862" i="3" a="1"/>
  <c r="F3862" i="3" s="1"/>
  <c r="G3862" i="3" a="1"/>
  <c r="G3862" i="3" s="1"/>
  <c r="J3862" i="3" a="1"/>
  <c r="J3862" i="3" s="1"/>
  <c r="B3863" i="3" a="1"/>
  <c r="B3863" i="3" s="1"/>
  <c r="C3863" i="3" a="1"/>
  <c r="C3863" i="3" s="1"/>
  <c r="D3863" i="3" a="1"/>
  <c r="D3863" i="3" s="1"/>
  <c r="E3863" i="3" a="1"/>
  <c r="E3863" i="3" s="1"/>
  <c r="F3863" i="3" a="1"/>
  <c r="F3863" i="3" s="1"/>
  <c r="G3863" i="3" a="1"/>
  <c r="G3863" i="3" s="1"/>
  <c r="J3863" i="3" a="1"/>
  <c r="J3863" i="3" s="1"/>
  <c r="B3864" i="3" a="1"/>
  <c r="B3864" i="3" s="1"/>
  <c r="C3864" i="3" a="1"/>
  <c r="C3864" i="3" s="1"/>
  <c r="D3864" i="3" a="1"/>
  <c r="D3864" i="3" s="1"/>
  <c r="E3864" i="3" a="1"/>
  <c r="E3864" i="3" s="1"/>
  <c r="F3864" i="3" a="1"/>
  <c r="F3864" i="3" s="1"/>
  <c r="G3864" i="3" a="1"/>
  <c r="G3864" i="3" s="1"/>
  <c r="J3864" i="3" a="1"/>
  <c r="J3864" i="3" s="1"/>
  <c r="B3865" i="3" a="1"/>
  <c r="B3865" i="3" s="1"/>
  <c r="C3865" i="3" a="1"/>
  <c r="C3865" i="3" s="1"/>
  <c r="D3865" i="3" a="1"/>
  <c r="D3865" i="3" s="1"/>
  <c r="E3865" i="3" a="1"/>
  <c r="E3865" i="3" s="1"/>
  <c r="F3865" i="3" a="1"/>
  <c r="F3865" i="3" s="1"/>
  <c r="G3865" i="3" a="1"/>
  <c r="G3865" i="3" s="1"/>
  <c r="J3865" i="3" a="1"/>
  <c r="J3865" i="3" s="1"/>
  <c r="B3866" i="3" a="1"/>
  <c r="B3866" i="3" s="1"/>
  <c r="C3866" i="3" a="1"/>
  <c r="C3866" i="3" s="1"/>
  <c r="D3866" i="3" a="1"/>
  <c r="D3866" i="3" s="1"/>
  <c r="E3866" i="3" a="1"/>
  <c r="E3866" i="3" s="1"/>
  <c r="F3866" i="3" a="1"/>
  <c r="F3866" i="3" s="1"/>
  <c r="G3866" i="3" a="1"/>
  <c r="G3866" i="3" s="1"/>
  <c r="J3866" i="3" a="1"/>
  <c r="J3866" i="3" s="1"/>
  <c r="B3867" i="3" a="1"/>
  <c r="B3867" i="3" s="1"/>
  <c r="C3867" i="3" a="1"/>
  <c r="C3867" i="3" s="1"/>
  <c r="D3867" i="3" a="1"/>
  <c r="D3867" i="3" s="1"/>
  <c r="E3867" i="3" a="1"/>
  <c r="E3867" i="3" s="1"/>
  <c r="F3867" i="3" a="1"/>
  <c r="F3867" i="3" s="1"/>
  <c r="G3867" i="3" a="1"/>
  <c r="G3867" i="3" s="1"/>
  <c r="J3867" i="3" a="1"/>
  <c r="J3867" i="3" s="1"/>
  <c r="B3868" i="3" a="1"/>
  <c r="B3868" i="3" s="1"/>
  <c r="C3868" i="3" a="1"/>
  <c r="C3868" i="3" s="1"/>
  <c r="D3868" i="3" a="1"/>
  <c r="D3868" i="3" s="1"/>
  <c r="E3868" i="3" a="1"/>
  <c r="E3868" i="3" s="1"/>
  <c r="F3868" i="3" a="1"/>
  <c r="F3868" i="3" s="1"/>
  <c r="G3868" i="3" a="1"/>
  <c r="G3868" i="3" s="1"/>
  <c r="J3868" i="3" a="1"/>
  <c r="J3868" i="3" s="1"/>
  <c r="B3869" i="3" a="1"/>
  <c r="B3869" i="3" s="1"/>
  <c r="C3869" i="3" a="1"/>
  <c r="C3869" i="3" s="1"/>
  <c r="D3869" i="3" a="1"/>
  <c r="D3869" i="3" s="1"/>
  <c r="E3869" i="3" a="1"/>
  <c r="E3869" i="3" s="1"/>
  <c r="F3869" i="3" a="1"/>
  <c r="F3869" i="3" s="1"/>
  <c r="G3869" i="3" a="1"/>
  <c r="G3869" i="3" s="1"/>
  <c r="J3869" i="3" a="1"/>
  <c r="J3869" i="3" s="1"/>
  <c r="B3870" i="3" a="1"/>
  <c r="B3870" i="3" s="1"/>
  <c r="C3870" i="3" a="1"/>
  <c r="C3870" i="3" s="1"/>
  <c r="D3870" i="3" a="1"/>
  <c r="D3870" i="3" s="1"/>
  <c r="E3870" i="3" a="1"/>
  <c r="E3870" i="3" s="1"/>
  <c r="F3870" i="3" a="1"/>
  <c r="F3870" i="3" s="1"/>
  <c r="G3870" i="3" a="1"/>
  <c r="G3870" i="3" s="1"/>
  <c r="J3870" i="3" a="1"/>
  <c r="J3870" i="3" s="1"/>
  <c r="B3871" i="3" a="1"/>
  <c r="B3871" i="3" s="1"/>
  <c r="C3871" i="3" a="1"/>
  <c r="C3871" i="3" s="1"/>
  <c r="D3871" i="3" a="1"/>
  <c r="D3871" i="3" s="1"/>
  <c r="E3871" i="3" a="1"/>
  <c r="E3871" i="3" s="1"/>
  <c r="F3871" i="3" a="1"/>
  <c r="F3871" i="3" s="1"/>
  <c r="G3871" i="3" a="1"/>
  <c r="G3871" i="3" s="1"/>
  <c r="J3871" i="3" a="1"/>
  <c r="J3871" i="3" s="1"/>
  <c r="B3872" i="3" a="1"/>
  <c r="B3872" i="3" s="1"/>
  <c r="C3872" i="3" a="1"/>
  <c r="C3872" i="3" s="1"/>
  <c r="D3872" i="3" a="1"/>
  <c r="D3872" i="3" s="1"/>
  <c r="E3872" i="3" a="1"/>
  <c r="E3872" i="3" s="1"/>
  <c r="F3872" i="3" a="1"/>
  <c r="F3872" i="3" s="1"/>
  <c r="G3872" i="3" a="1"/>
  <c r="G3872" i="3" s="1"/>
  <c r="J3872" i="3" a="1"/>
  <c r="J3872" i="3" s="1"/>
  <c r="B3873" i="3" a="1"/>
  <c r="B3873" i="3" s="1"/>
  <c r="C3873" i="3" a="1"/>
  <c r="C3873" i="3" s="1"/>
  <c r="D3873" i="3" a="1"/>
  <c r="D3873" i="3" s="1"/>
  <c r="E3873" i="3" a="1"/>
  <c r="E3873" i="3" s="1"/>
  <c r="F3873" i="3" a="1"/>
  <c r="F3873" i="3" s="1"/>
  <c r="G3873" i="3" a="1"/>
  <c r="G3873" i="3" s="1"/>
  <c r="J3873" i="3" a="1"/>
  <c r="J3873" i="3" s="1"/>
  <c r="B3874" i="3" a="1"/>
  <c r="B3874" i="3" s="1"/>
  <c r="C3874" i="3" a="1"/>
  <c r="C3874" i="3" s="1"/>
  <c r="D3874" i="3" a="1"/>
  <c r="D3874" i="3" s="1"/>
  <c r="E3874" i="3" a="1"/>
  <c r="E3874" i="3" s="1"/>
  <c r="F3874" i="3" a="1"/>
  <c r="F3874" i="3" s="1"/>
  <c r="G3874" i="3" a="1"/>
  <c r="G3874" i="3" s="1"/>
  <c r="J3874" i="3" a="1"/>
  <c r="J3874" i="3" s="1"/>
  <c r="B3875" i="3" a="1"/>
  <c r="B3875" i="3" s="1"/>
  <c r="C3875" i="3" a="1"/>
  <c r="C3875" i="3" s="1"/>
  <c r="D3875" i="3" a="1"/>
  <c r="D3875" i="3" s="1"/>
  <c r="E3875" i="3" a="1"/>
  <c r="E3875" i="3" s="1"/>
  <c r="F3875" i="3" a="1"/>
  <c r="F3875" i="3" s="1"/>
  <c r="G3875" i="3" a="1"/>
  <c r="G3875" i="3" s="1"/>
  <c r="J3875" i="3" a="1"/>
  <c r="J3875" i="3" s="1"/>
  <c r="B3876" i="3" a="1"/>
  <c r="B3876" i="3" s="1"/>
  <c r="C3876" i="3" a="1"/>
  <c r="C3876" i="3" s="1"/>
  <c r="D3876" i="3" a="1"/>
  <c r="D3876" i="3" s="1"/>
  <c r="E3876" i="3" a="1"/>
  <c r="E3876" i="3" s="1"/>
  <c r="F3876" i="3" a="1"/>
  <c r="F3876" i="3" s="1"/>
  <c r="G3876" i="3" a="1"/>
  <c r="G3876" i="3" s="1"/>
  <c r="J3876" i="3" a="1"/>
  <c r="J3876" i="3" s="1"/>
  <c r="B3877" i="3" a="1"/>
  <c r="B3877" i="3" s="1"/>
  <c r="C3877" i="3" a="1"/>
  <c r="C3877" i="3" s="1"/>
  <c r="D3877" i="3" a="1"/>
  <c r="D3877" i="3" s="1"/>
  <c r="E3877" i="3" a="1"/>
  <c r="E3877" i="3" s="1"/>
  <c r="F3877" i="3" a="1"/>
  <c r="F3877" i="3" s="1"/>
  <c r="G3877" i="3" a="1"/>
  <c r="G3877" i="3" s="1"/>
  <c r="J3877" i="3" a="1"/>
  <c r="J3877" i="3" s="1"/>
  <c r="B3878" i="3" a="1"/>
  <c r="B3878" i="3" s="1"/>
  <c r="C3878" i="3" a="1"/>
  <c r="C3878" i="3" s="1"/>
  <c r="D3878" i="3" a="1"/>
  <c r="D3878" i="3" s="1"/>
  <c r="E3878" i="3" a="1"/>
  <c r="E3878" i="3" s="1"/>
  <c r="F3878" i="3" a="1"/>
  <c r="F3878" i="3" s="1"/>
  <c r="G3878" i="3" a="1"/>
  <c r="G3878" i="3" s="1"/>
  <c r="J3878" i="3" a="1"/>
  <c r="J3878" i="3" s="1"/>
  <c r="B3879" i="3" a="1"/>
  <c r="B3879" i="3" s="1"/>
  <c r="C3879" i="3" a="1"/>
  <c r="C3879" i="3" s="1"/>
  <c r="D3879" i="3" a="1"/>
  <c r="D3879" i="3" s="1"/>
  <c r="E3879" i="3" a="1"/>
  <c r="E3879" i="3" s="1"/>
  <c r="F3879" i="3" a="1"/>
  <c r="F3879" i="3" s="1"/>
  <c r="G3879" i="3" a="1"/>
  <c r="G3879" i="3" s="1"/>
  <c r="J3879" i="3" a="1"/>
  <c r="J3879" i="3" s="1"/>
  <c r="B3880" i="3" a="1"/>
  <c r="B3880" i="3" s="1"/>
  <c r="C3880" i="3" a="1"/>
  <c r="C3880" i="3" s="1"/>
  <c r="D3880" i="3" a="1"/>
  <c r="D3880" i="3" s="1"/>
  <c r="E3880" i="3" a="1"/>
  <c r="E3880" i="3" s="1"/>
  <c r="F3880" i="3" a="1"/>
  <c r="F3880" i="3" s="1"/>
  <c r="G3880" i="3" a="1"/>
  <c r="G3880" i="3" s="1"/>
  <c r="J3880" i="3" a="1"/>
  <c r="J3880" i="3" s="1"/>
  <c r="B3881" i="3" a="1"/>
  <c r="B3881" i="3" s="1"/>
  <c r="C3881" i="3" a="1"/>
  <c r="C3881" i="3" s="1"/>
  <c r="D3881" i="3" a="1"/>
  <c r="D3881" i="3" s="1"/>
  <c r="E3881" i="3" a="1"/>
  <c r="E3881" i="3" s="1"/>
  <c r="F3881" i="3" a="1"/>
  <c r="F3881" i="3" s="1"/>
  <c r="G3881" i="3" a="1"/>
  <c r="G3881" i="3" s="1"/>
  <c r="J3881" i="3" a="1"/>
  <c r="J3881" i="3" s="1"/>
  <c r="B3882" i="3" a="1"/>
  <c r="B3882" i="3" s="1"/>
  <c r="C3882" i="3" a="1"/>
  <c r="C3882" i="3" s="1"/>
  <c r="D3882" i="3" a="1"/>
  <c r="D3882" i="3" s="1"/>
  <c r="E3882" i="3" a="1"/>
  <c r="E3882" i="3" s="1"/>
  <c r="F3882" i="3" a="1"/>
  <c r="F3882" i="3" s="1"/>
  <c r="G3882" i="3" a="1"/>
  <c r="G3882" i="3" s="1"/>
  <c r="J3882" i="3" a="1"/>
  <c r="J3882" i="3" s="1"/>
  <c r="B3883" i="3" a="1"/>
  <c r="B3883" i="3" s="1"/>
  <c r="C3883" i="3" a="1"/>
  <c r="C3883" i="3" s="1"/>
  <c r="D3883" i="3" a="1"/>
  <c r="D3883" i="3" s="1"/>
  <c r="E3883" i="3" a="1"/>
  <c r="E3883" i="3" s="1"/>
  <c r="F3883" i="3" a="1"/>
  <c r="F3883" i="3" s="1"/>
  <c r="G3883" i="3" a="1"/>
  <c r="G3883" i="3" s="1"/>
  <c r="J3883" i="3" a="1"/>
  <c r="J3883" i="3" s="1"/>
  <c r="B3884" i="3" a="1"/>
  <c r="B3884" i="3" s="1"/>
  <c r="C3884" i="3" a="1"/>
  <c r="C3884" i="3" s="1"/>
  <c r="D3884" i="3" a="1"/>
  <c r="D3884" i="3" s="1"/>
  <c r="E3884" i="3" a="1"/>
  <c r="E3884" i="3" s="1"/>
  <c r="F3884" i="3" a="1"/>
  <c r="F3884" i="3" s="1"/>
  <c r="G3884" i="3" a="1"/>
  <c r="G3884" i="3" s="1"/>
  <c r="J3884" i="3" a="1"/>
  <c r="J3884" i="3" s="1"/>
  <c r="B3885" i="3" a="1"/>
  <c r="B3885" i="3" s="1"/>
  <c r="C3885" i="3" a="1"/>
  <c r="C3885" i="3" s="1"/>
  <c r="D3885" i="3" a="1"/>
  <c r="D3885" i="3" s="1"/>
  <c r="E3885" i="3" a="1"/>
  <c r="E3885" i="3" s="1"/>
  <c r="F3885" i="3" a="1"/>
  <c r="F3885" i="3" s="1"/>
  <c r="G3885" i="3" a="1"/>
  <c r="G3885" i="3" s="1"/>
  <c r="J3885" i="3" a="1"/>
  <c r="J3885" i="3" s="1"/>
  <c r="B3886" i="3" a="1"/>
  <c r="B3886" i="3" s="1"/>
  <c r="C3886" i="3" a="1"/>
  <c r="C3886" i="3" s="1"/>
  <c r="D3886" i="3" a="1"/>
  <c r="D3886" i="3" s="1"/>
  <c r="E3886" i="3" a="1"/>
  <c r="E3886" i="3" s="1"/>
  <c r="F3886" i="3" a="1"/>
  <c r="F3886" i="3" s="1"/>
  <c r="G3886" i="3" a="1"/>
  <c r="G3886" i="3" s="1"/>
  <c r="J3886" i="3" a="1"/>
  <c r="J3886" i="3" s="1"/>
  <c r="B3887" i="3" a="1"/>
  <c r="B3887" i="3" s="1"/>
  <c r="C3887" i="3" a="1"/>
  <c r="C3887" i="3" s="1"/>
  <c r="D3887" i="3" a="1"/>
  <c r="D3887" i="3" s="1"/>
  <c r="E3887" i="3" a="1"/>
  <c r="E3887" i="3" s="1"/>
  <c r="F3887" i="3" a="1"/>
  <c r="F3887" i="3" s="1"/>
  <c r="G3887" i="3" a="1"/>
  <c r="G3887" i="3" s="1"/>
  <c r="J3887" i="3" a="1"/>
  <c r="J3887" i="3" s="1"/>
  <c r="B3888" i="3" a="1"/>
  <c r="B3888" i="3" s="1"/>
  <c r="C3888" i="3" a="1"/>
  <c r="C3888" i="3" s="1"/>
  <c r="D3888" i="3" a="1"/>
  <c r="D3888" i="3" s="1"/>
  <c r="E3888" i="3" a="1"/>
  <c r="E3888" i="3" s="1"/>
  <c r="F3888" i="3" a="1"/>
  <c r="F3888" i="3" s="1"/>
  <c r="G3888" i="3" a="1"/>
  <c r="G3888" i="3" s="1"/>
  <c r="J3888" i="3" a="1"/>
  <c r="J3888" i="3" s="1"/>
  <c r="B3889" i="3" a="1"/>
  <c r="B3889" i="3" s="1"/>
  <c r="C3889" i="3" a="1"/>
  <c r="C3889" i="3" s="1"/>
  <c r="D3889" i="3" a="1"/>
  <c r="D3889" i="3" s="1"/>
  <c r="E3889" i="3" a="1"/>
  <c r="E3889" i="3" s="1"/>
  <c r="F3889" i="3" a="1"/>
  <c r="F3889" i="3" s="1"/>
  <c r="G3889" i="3" a="1"/>
  <c r="G3889" i="3" s="1"/>
  <c r="J3889" i="3" a="1"/>
  <c r="J3889" i="3" s="1"/>
  <c r="B3890" i="3" a="1"/>
  <c r="B3890" i="3" s="1"/>
  <c r="C3890" i="3" a="1"/>
  <c r="C3890" i="3" s="1"/>
  <c r="D3890" i="3" a="1"/>
  <c r="D3890" i="3" s="1"/>
  <c r="E3890" i="3" a="1"/>
  <c r="E3890" i="3" s="1"/>
  <c r="F3890" i="3" a="1"/>
  <c r="F3890" i="3" s="1"/>
  <c r="G3890" i="3" a="1"/>
  <c r="G3890" i="3" s="1"/>
  <c r="J3890" i="3" a="1"/>
  <c r="J3890" i="3" s="1"/>
  <c r="B3891" i="3" a="1"/>
  <c r="B3891" i="3" s="1"/>
  <c r="C3891" i="3" a="1"/>
  <c r="C3891" i="3" s="1"/>
  <c r="D3891" i="3" a="1"/>
  <c r="D3891" i="3" s="1"/>
  <c r="E3891" i="3" a="1"/>
  <c r="E3891" i="3" s="1"/>
  <c r="F3891" i="3" a="1"/>
  <c r="F3891" i="3" s="1"/>
  <c r="G3891" i="3" a="1"/>
  <c r="G3891" i="3" s="1"/>
  <c r="J3891" i="3" a="1"/>
  <c r="J3891" i="3" s="1"/>
  <c r="B3892" i="3" a="1"/>
  <c r="B3892" i="3" s="1"/>
  <c r="C3892" i="3" a="1"/>
  <c r="C3892" i="3" s="1"/>
  <c r="D3892" i="3" a="1"/>
  <c r="D3892" i="3" s="1"/>
  <c r="E3892" i="3" a="1"/>
  <c r="E3892" i="3" s="1"/>
  <c r="F3892" i="3" a="1"/>
  <c r="F3892" i="3" s="1"/>
  <c r="G3892" i="3" a="1"/>
  <c r="G3892" i="3" s="1"/>
  <c r="J3892" i="3" a="1"/>
  <c r="J3892" i="3" s="1"/>
  <c r="B3893" i="3" a="1"/>
  <c r="B3893" i="3" s="1"/>
  <c r="C3893" i="3" a="1"/>
  <c r="C3893" i="3" s="1"/>
  <c r="D3893" i="3" a="1"/>
  <c r="D3893" i="3" s="1"/>
  <c r="E3893" i="3" a="1"/>
  <c r="E3893" i="3" s="1"/>
  <c r="F3893" i="3" a="1"/>
  <c r="F3893" i="3" s="1"/>
  <c r="G3893" i="3" a="1"/>
  <c r="G3893" i="3" s="1"/>
  <c r="J3893" i="3" a="1"/>
  <c r="J3893" i="3" s="1"/>
  <c r="B3894" i="3" a="1"/>
  <c r="B3894" i="3" s="1"/>
  <c r="C3894" i="3" a="1"/>
  <c r="C3894" i="3" s="1"/>
  <c r="D3894" i="3" a="1"/>
  <c r="D3894" i="3" s="1"/>
  <c r="E3894" i="3" a="1"/>
  <c r="E3894" i="3" s="1"/>
  <c r="F3894" i="3" a="1"/>
  <c r="F3894" i="3" s="1"/>
  <c r="G3894" i="3" a="1"/>
  <c r="G3894" i="3" s="1"/>
  <c r="J3894" i="3" a="1"/>
  <c r="J3894" i="3" s="1"/>
  <c r="B3895" i="3" a="1"/>
  <c r="B3895" i="3" s="1"/>
  <c r="C3895" i="3" a="1"/>
  <c r="C3895" i="3" s="1"/>
  <c r="D3895" i="3" a="1"/>
  <c r="D3895" i="3" s="1"/>
  <c r="E3895" i="3" a="1"/>
  <c r="E3895" i="3" s="1"/>
  <c r="F3895" i="3" a="1"/>
  <c r="F3895" i="3" s="1"/>
  <c r="G3895" i="3" a="1"/>
  <c r="G3895" i="3" s="1"/>
  <c r="J3895" i="3" a="1"/>
  <c r="J3895" i="3" s="1"/>
  <c r="B3896" i="3" a="1"/>
  <c r="B3896" i="3" s="1"/>
  <c r="C3896" i="3" a="1"/>
  <c r="C3896" i="3" s="1"/>
  <c r="D3896" i="3" a="1"/>
  <c r="D3896" i="3" s="1"/>
  <c r="E3896" i="3" a="1"/>
  <c r="E3896" i="3" s="1"/>
  <c r="F3896" i="3" a="1"/>
  <c r="F3896" i="3" s="1"/>
  <c r="G3896" i="3" a="1"/>
  <c r="G3896" i="3" s="1"/>
  <c r="J3896" i="3" a="1"/>
  <c r="J3896" i="3" s="1"/>
  <c r="B3897" i="3" a="1"/>
  <c r="B3897" i="3" s="1"/>
  <c r="C3897" i="3" a="1"/>
  <c r="C3897" i="3" s="1"/>
  <c r="D3897" i="3" a="1"/>
  <c r="D3897" i="3" s="1"/>
  <c r="E3897" i="3" a="1"/>
  <c r="E3897" i="3" s="1"/>
  <c r="F3897" i="3" a="1"/>
  <c r="F3897" i="3" s="1"/>
  <c r="G3897" i="3" a="1"/>
  <c r="G3897" i="3" s="1"/>
  <c r="J3897" i="3" a="1"/>
  <c r="J3897" i="3" s="1"/>
  <c r="B3898" i="3" a="1"/>
  <c r="B3898" i="3" s="1"/>
  <c r="C3898" i="3" a="1"/>
  <c r="C3898" i="3" s="1"/>
  <c r="D3898" i="3" a="1"/>
  <c r="D3898" i="3" s="1"/>
  <c r="E3898" i="3" a="1"/>
  <c r="E3898" i="3" s="1"/>
  <c r="F3898" i="3" a="1"/>
  <c r="F3898" i="3" s="1"/>
  <c r="G3898" i="3" a="1"/>
  <c r="G3898" i="3" s="1"/>
  <c r="J3898" i="3" a="1"/>
  <c r="J3898" i="3" s="1"/>
  <c r="B3899" i="3" a="1"/>
  <c r="B3899" i="3" s="1"/>
  <c r="C3899" i="3" a="1"/>
  <c r="C3899" i="3" s="1"/>
  <c r="D3899" i="3" a="1"/>
  <c r="D3899" i="3" s="1"/>
  <c r="E3899" i="3" a="1"/>
  <c r="E3899" i="3" s="1"/>
  <c r="F3899" i="3" a="1"/>
  <c r="F3899" i="3" s="1"/>
  <c r="G3899" i="3" a="1"/>
  <c r="G3899" i="3" s="1"/>
  <c r="J3899" i="3" a="1"/>
  <c r="J3899" i="3" s="1"/>
  <c r="B3900" i="3" a="1"/>
  <c r="B3900" i="3" s="1"/>
  <c r="C3900" i="3" a="1"/>
  <c r="C3900" i="3" s="1"/>
  <c r="D3900" i="3" a="1"/>
  <c r="D3900" i="3" s="1"/>
  <c r="E3900" i="3" a="1"/>
  <c r="E3900" i="3" s="1"/>
  <c r="F3900" i="3" a="1"/>
  <c r="F3900" i="3" s="1"/>
  <c r="G3900" i="3" a="1"/>
  <c r="G3900" i="3" s="1"/>
  <c r="J3900" i="3" a="1"/>
  <c r="J3900" i="3" s="1"/>
  <c r="B3901" i="3" a="1"/>
  <c r="B3901" i="3" s="1"/>
  <c r="C3901" i="3" a="1"/>
  <c r="C3901" i="3" s="1"/>
  <c r="D3901" i="3" a="1"/>
  <c r="D3901" i="3" s="1"/>
  <c r="E3901" i="3" a="1"/>
  <c r="E3901" i="3" s="1"/>
  <c r="F3901" i="3" a="1"/>
  <c r="F3901" i="3" s="1"/>
  <c r="G3901" i="3" a="1"/>
  <c r="G3901" i="3" s="1"/>
  <c r="J3901" i="3" a="1"/>
  <c r="J3901" i="3" s="1"/>
  <c r="B3902" i="3" a="1"/>
  <c r="B3902" i="3" s="1"/>
  <c r="C3902" i="3" a="1"/>
  <c r="C3902" i="3" s="1"/>
  <c r="D3902" i="3" a="1"/>
  <c r="D3902" i="3" s="1"/>
  <c r="E3902" i="3" a="1"/>
  <c r="E3902" i="3" s="1"/>
  <c r="F3902" i="3" a="1"/>
  <c r="F3902" i="3" s="1"/>
  <c r="G3902" i="3" a="1"/>
  <c r="G3902" i="3" s="1"/>
  <c r="J3902" i="3" a="1"/>
  <c r="J3902" i="3" s="1"/>
  <c r="B3903" i="3" a="1"/>
  <c r="B3903" i="3" s="1"/>
  <c r="C3903" i="3" a="1"/>
  <c r="C3903" i="3" s="1"/>
  <c r="D3903" i="3" a="1"/>
  <c r="D3903" i="3" s="1"/>
  <c r="E3903" i="3" a="1"/>
  <c r="E3903" i="3" s="1"/>
  <c r="F3903" i="3" a="1"/>
  <c r="F3903" i="3" s="1"/>
  <c r="G3903" i="3" a="1"/>
  <c r="G3903" i="3" s="1"/>
  <c r="J3903" i="3" a="1"/>
  <c r="J3903" i="3" s="1"/>
  <c r="B3904" i="3" a="1"/>
  <c r="B3904" i="3" s="1"/>
  <c r="C3904" i="3" a="1"/>
  <c r="C3904" i="3" s="1"/>
  <c r="D3904" i="3" a="1"/>
  <c r="D3904" i="3" s="1"/>
  <c r="E3904" i="3" a="1"/>
  <c r="E3904" i="3" s="1"/>
  <c r="F3904" i="3" a="1"/>
  <c r="F3904" i="3" s="1"/>
  <c r="G3904" i="3" a="1"/>
  <c r="G3904" i="3" s="1"/>
  <c r="J3904" i="3" a="1"/>
  <c r="J3904" i="3" s="1"/>
  <c r="B3905" i="3" a="1"/>
  <c r="B3905" i="3" s="1"/>
  <c r="C3905" i="3" a="1"/>
  <c r="C3905" i="3" s="1"/>
  <c r="D3905" i="3" a="1"/>
  <c r="D3905" i="3" s="1"/>
  <c r="E3905" i="3" a="1"/>
  <c r="E3905" i="3" s="1"/>
  <c r="F3905" i="3" a="1"/>
  <c r="F3905" i="3" s="1"/>
  <c r="G3905" i="3" a="1"/>
  <c r="G3905" i="3" s="1"/>
  <c r="J3905" i="3" a="1"/>
  <c r="J3905" i="3" s="1"/>
  <c r="B3906" i="3" a="1"/>
  <c r="B3906" i="3" s="1"/>
  <c r="C3906" i="3" a="1"/>
  <c r="C3906" i="3" s="1"/>
  <c r="D3906" i="3" a="1"/>
  <c r="D3906" i="3" s="1"/>
  <c r="E3906" i="3" a="1"/>
  <c r="E3906" i="3" s="1"/>
  <c r="F3906" i="3" a="1"/>
  <c r="F3906" i="3" s="1"/>
  <c r="G3906" i="3" a="1"/>
  <c r="G3906" i="3" s="1"/>
  <c r="J3906" i="3" a="1"/>
  <c r="J3906" i="3" s="1"/>
  <c r="B3907" i="3" a="1"/>
  <c r="B3907" i="3" s="1"/>
  <c r="C3907" i="3" a="1"/>
  <c r="C3907" i="3" s="1"/>
  <c r="D3907" i="3" a="1"/>
  <c r="D3907" i="3" s="1"/>
  <c r="E3907" i="3" a="1"/>
  <c r="E3907" i="3" s="1"/>
  <c r="F3907" i="3" a="1"/>
  <c r="F3907" i="3" s="1"/>
  <c r="G3907" i="3" a="1"/>
  <c r="G3907" i="3" s="1"/>
  <c r="J3907" i="3" a="1"/>
  <c r="J3907" i="3" s="1"/>
  <c r="B3908" i="3" a="1"/>
  <c r="B3908" i="3" s="1"/>
  <c r="C3908" i="3" a="1"/>
  <c r="C3908" i="3" s="1"/>
  <c r="D3908" i="3" a="1"/>
  <c r="D3908" i="3" s="1"/>
  <c r="E3908" i="3" a="1"/>
  <c r="E3908" i="3" s="1"/>
  <c r="F3908" i="3" a="1"/>
  <c r="F3908" i="3" s="1"/>
  <c r="G3908" i="3" a="1"/>
  <c r="G3908" i="3" s="1"/>
  <c r="J3908" i="3" a="1"/>
  <c r="J3908" i="3" s="1"/>
  <c r="B3909" i="3" a="1"/>
  <c r="B3909" i="3" s="1"/>
  <c r="C3909" i="3" a="1"/>
  <c r="C3909" i="3" s="1"/>
  <c r="D3909" i="3" a="1"/>
  <c r="D3909" i="3" s="1"/>
  <c r="E3909" i="3" a="1"/>
  <c r="E3909" i="3" s="1"/>
  <c r="F3909" i="3" a="1"/>
  <c r="F3909" i="3" s="1"/>
  <c r="G3909" i="3" a="1"/>
  <c r="G3909" i="3" s="1"/>
  <c r="J3909" i="3" a="1"/>
  <c r="J3909" i="3" s="1"/>
  <c r="B3910" i="3" a="1"/>
  <c r="B3910" i="3" s="1"/>
  <c r="C3910" i="3" a="1"/>
  <c r="C3910" i="3" s="1"/>
  <c r="D3910" i="3" a="1"/>
  <c r="D3910" i="3" s="1"/>
  <c r="E3910" i="3" a="1"/>
  <c r="E3910" i="3" s="1"/>
  <c r="F3910" i="3" a="1"/>
  <c r="F3910" i="3" s="1"/>
  <c r="G3910" i="3" a="1"/>
  <c r="G3910" i="3" s="1"/>
  <c r="J3910" i="3" a="1"/>
  <c r="J3910" i="3" s="1"/>
  <c r="B3911" i="3" a="1"/>
  <c r="B3911" i="3" s="1"/>
  <c r="C3911" i="3" a="1"/>
  <c r="C3911" i="3" s="1"/>
  <c r="D3911" i="3" a="1"/>
  <c r="D3911" i="3" s="1"/>
  <c r="E3911" i="3" a="1"/>
  <c r="E3911" i="3" s="1"/>
  <c r="F3911" i="3" a="1"/>
  <c r="F3911" i="3" s="1"/>
  <c r="G3911" i="3" a="1"/>
  <c r="G3911" i="3" s="1"/>
  <c r="J3911" i="3" a="1"/>
  <c r="J3911" i="3" s="1"/>
  <c r="B3912" i="3" a="1"/>
  <c r="B3912" i="3" s="1"/>
  <c r="C3912" i="3" a="1"/>
  <c r="C3912" i="3" s="1"/>
  <c r="D3912" i="3" a="1"/>
  <c r="D3912" i="3" s="1"/>
  <c r="E3912" i="3" a="1"/>
  <c r="E3912" i="3" s="1"/>
  <c r="F3912" i="3" a="1"/>
  <c r="F3912" i="3" s="1"/>
  <c r="G3912" i="3" a="1"/>
  <c r="G3912" i="3" s="1"/>
  <c r="J3912" i="3" a="1"/>
  <c r="J3912" i="3" s="1"/>
  <c r="B3913" i="3" a="1"/>
  <c r="B3913" i="3" s="1"/>
  <c r="C3913" i="3" a="1"/>
  <c r="C3913" i="3" s="1"/>
  <c r="D3913" i="3" a="1"/>
  <c r="D3913" i="3" s="1"/>
  <c r="E3913" i="3" a="1"/>
  <c r="E3913" i="3" s="1"/>
  <c r="F3913" i="3" a="1"/>
  <c r="F3913" i="3" s="1"/>
  <c r="G3913" i="3" a="1"/>
  <c r="G3913" i="3" s="1"/>
  <c r="J3913" i="3" a="1"/>
  <c r="J3913" i="3" s="1"/>
  <c r="B3914" i="3" a="1"/>
  <c r="B3914" i="3" s="1"/>
  <c r="C3914" i="3" a="1"/>
  <c r="C3914" i="3" s="1"/>
  <c r="D3914" i="3" a="1"/>
  <c r="D3914" i="3" s="1"/>
  <c r="E3914" i="3" a="1"/>
  <c r="E3914" i="3" s="1"/>
  <c r="F3914" i="3" a="1"/>
  <c r="F3914" i="3" s="1"/>
  <c r="G3914" i="3" a="1"/>
  <c r="G3914" i="3" s="1"/>
  <c r="J3914" i="3" a="1"/>
  <c r="J3914" i="3" s="1"/>
  <c r="B3915" i="3" a="1"/>
  <c r="B3915" i="3" s="1"/>
  <c r="C3915" i="3" a="1"/>
  <c r="C3915" i="3" s="1"/>
  <c r="D3915" i="3" a="1"/>
  <c r="D3915" i="3" s="1"/>
  <c r="E3915" i="3" a="1"/>
  <c r="E3915" i="3" s="1"/>
  <c r="F3915" i="3" a="1"/>
  <c r="F3915" i="3" s="1"/>
  <c r="G3915" i="3" a="1"/>
  <c r="G3915" i="3" s="1"/>
  <c r="J3915" i="3" a="1"/>
  <c r="J3915" i="3" s="1"/>
  <c r="B3916" i="3" a="1"/>
  <c r="B3916" i="3" s="1"/>
  <c r="C3916" i="3" a="1"/>
  <c r="C3916" i="3" s="1"/>
  <c r="D3916" i="3" a="1"/>
  <c r="D3916" i="3" s="1"/>
  <c r="E3916" i="3" a="1"/>
  <c r="E3916" i="3" s="1"/>
  <c r="F3916" i="3" a="1"/>
  <c r="F3916" i="3" s="1"/>
  <c r="G3916" i="3" a="1"/>
  <c r="G3916" i="3" s="1"/>
  <c r="J3916" i="3" a="1"/>
  <c r="J3916" i="3" s="1"/>
  <c r="B3917" i="3" a="1"/>
  <c r="B3917" i="3" s="1"/>
  <c r="C3917" i="3" a="1"/>
  <c r="C3917" i="3" s="1"/>
  <c r="D3917" i="3" a="1"/>
  <c r="D3917" i="3" s="1"/>
  <c r="E3917" i="3" a="1"/>
  <c r="E3917" i="3" s="1"/>
  <c r="F3917" i="3" a="1"/>
  <c r="F3917" i="3" s="1"/>
  <c r="G3917" i="3" a="1"/>
  <c r="G3917" i="3" s="1"/>
  <c r="J3917" i="3" a="1"/>
  <c r="J3917" i="3" s="1"/>
  <c r="B3918" i="3" a="1"/>
  <c r="B3918" i="3" s="1"/>
  <c r="C3918" i="3" a="1"/>
  <c r="C3918" i="3" s="1"/>
  <c r="D3918" i="3" a="1"/>
  <c r="D3918" i="3" s="1"/>
  <c r="E3918" i="3" a="1"/>
  <c r="E3918" i="3" s="1"/>
  <c r="F3918" i="3" a="1"/>
  <c r="F3918" i="3" s="1"/>
  <c r="G3918" i="3" a="1"/>
  <c r="G3918" i="3" s="1"/>
  <c r="J3918" i="3" a="1"/>
  <c r="J3918" i="3" s="1"/>
  <c r="B3919" i="3" a="1"/>
  <c r="B3919" i="3" s="1"/>
  <c r="C3919" i="3" a="1"/>
  <c r="C3919" i="3" s="1"/>
  <c r="D3919" i="3" a="1"/>
  <c r="D3919" i="3" s="1"/>
  <c r="E3919" i="3" a="1"/>
  <c r="E3919" i="3" s="1"/>
  <c r="F3919" i="3" a="1"/>
  <c r="F3919" i="3" s="1"/>
  <c r="G3919" i="3" a="1"/>
  <c r="G3919" i="3" s="1"/>
  <c r="J3919" i="3" a="1"/>
  <c r="J3919" i="3" s="1"/>
  <c r="B3920" i="3" a="1"/>
  <c r="B3920" i="3" s="1"/>
  <c r="C3920" i="3" a="1"/>
  <c r="C3920" i="3" s="1"/>
  <c r="D3920" i="3" a="1"/>
  <c r="D3920" i="3" s="1"/>
  <c r="E3920" i="3" a="1"/>
  <c r="E3920" i="3" s="1"/>
  <c r="F3920" i="3" a="1"/>
  <c r="F3920" i="3" s="1"/>
  <c r="G3920" i="3" a="1"/>
  <c r="G3920" i="3" s="1"/>
  <c r="J3920" i="3" a="1"/>
  <c r="J3920" i="3" s="1"/>
  <c r="B3921" i="3" a="1"/>
  <c r="B3921" i="3" s="1"/>
  <c r="C3921" i="3" a="1"/>
  <c r="C3921" i="3" s="1"/>
  <c r="D3921" i="3" a="1"/>
  <c r="D3921" i="3" s="1"/>
  <c r="E3921" i="3" a="1"/>
  <c r="E3921" i="3" s="1"/>
  <c r="F3921" i="3" a="1"/>
  <c r="F3921" i="3" s="1"/>
  <c r="G3921" i="3" a="1"/>
  <c r="G3921" i="3" s="1"/>
  <c r="J3921" i="3" a="1"/>
  <c r="J3921" i="3" s="1"/>
  <c r="B3922" i="3" a="1"/>
  <c r="B3922" i="3" s="1"/>
  <c r="C3922" i="3" a="1"/>
  <c r="C3922" i="3" s="1"/>
  <c r="D3922" i="3" a="1"/>
  <c r="D3922" i="3" s="1"/>
  <c r="E3922" i="3" a="1"/>
  <c r="E3922" i="3" s="1"/>
  <c r="F3922" i="3" a="1"/>
  <c r="F3922" i="3" s="1"/>
  <c r="G3922" i="3" a="1"/>
  <c r="G3922" i="3" s="1"/>
  <c r="J3922" i="3" a="1"/>
  <c r="J3922" i="3" s="1"/>
  <c r="B3923" i="3" a="1"/>
  <c r="B3923" i="3" s="1"/>
  <c r="C3923" i="3" a="1"/>
  <c r="C3923" i="3" s="1"/>
  <c r="D3923" i="3" a="1"/>
  <c r="D3923" i="3" s="1"/>
  <c r="E3923" i="3" a="1"/>
  <c r="E3923" i="3" s="1"/>
  <c r="F3923" i="3" a="1"/>
  <c r="F3923" i="3" s="1"/>
  <c r="G3923" i="3" a="1"/>
  <c r="G3923" i="3" s="1"/>
  <c r="J3923" i="3" a="1"/>
  <c r="J3923" i="3" s="1"/>
  <c r="B3924" i="3" a="1"/>
  <c r="B3924" i="3" s="1"/>
  <c r="C3924" i="3" a="1"/>
  <c r="C3924" i="3" s="1"/>
  <c r="D3924" i="3" a="1"/>
  <c r="D3924" i="3" s="1"/>
  <c r="E3924" i="3" a="1"/>
  <c r="E3924" i="3" s="1"/>
  <c r="F3924" i="3" a="1"/>
  <c r="F3924" i="3" s="1"/>
  <c r="G3924" i="3" a="1"/>
  <c r="G3924" i="3" s="1"/>
  <c r="J3924" i="3" a="1"/>
  <c r="J3924" i="3" s="1"/>
  <c r="B3925" i="3" a="1"/>
  <c r="B3925" i="3" s="1"/>
  <c r="C3925" i="3" a="1"/>
  <c r="C3925" i="3" s="1"/>
  <c r="D3925" i="3" a="1"/>
  <c r="D3925" i="3" s="1"/>
  <c r="E3925" i="3" a="1"/>
  <c r="E3925" i="3" s="1"/>
  <c r="F3925" i="3" a="1"/>
  <c r="F3925" i="3" s="1"/>
  <c r="G3925" i="3" a="1"/>
  <c r="G3925" i="3" s="1"/>
  <c r="J3925" i="3" a="1"/>
  <c r="J3925" i="3" s="1"/>
  <c r="B3926" i="3" a="1"/>
  <c r="B3926" i="3" s="1"/>
  <c r="C3926" i="3" a="1"/>
  <c r="C3926" i="3" s="1"/>
  <c r="D3926" i="3" a="1"/>
  <c r="D3926" i="3" s="1"/>
  <c r="E3926" i="3" a="1"/>
  <c r="E3926" i="3" s="1"/>
  <c r="F3926" i="3" a="1"/>
  <c r="F3926" i="3" s="1"/>
  <c r="G3926" i="3" a="1"/>
  <c r="G3926" i="3" s="1"/>
  <c r="J3926" i="3" a="1"/>
  <c r="J3926" i="3" s="1"/>
  <c r="B3927" i="3" a="1"/>
  <c r="B3927" i="3" s="1"/>
  <c r="C3927" i="3" a="1"/>
  <c r="C3927" i="3" s="1"/>
  <c r="D3927" i="3" a="1"/>
  <c r="D3927" i="3" s="1"/>
  <c r="E3927" i="3" a="1"/>
  <c r="E3927" i="3" s="1"/>
  <c r="F3927" i="3" a="1"/>
  <c r="F3927" i="3" s="1"/>
  <c r="G3927" i="3" a="1"/>
  <c r="G3927" i="3" s="1"/>
  <c r="J3927" i="3" a="1"/>
  <c r="J3927" i="3" s="1"/>
  <c r="B3928" i="3" a="1"/>
  <c r="B3928" i="3" s="1"/>
  <c r="C3928" i="3" a="1"/>
  <c r="C3928" i="3" s="1"/>
  <c r="D3928" i="3" a="1"/>
  <c r="D3928" i="3" s="1"/>
  <c r="E3928" i="3" a="1"/>
  <c r="E3928" i="3" s="1"/>
  <c r="F3928" i="3" a="1"/>
  <c r="F3928" i="3" s="1"/>
  <c r="G3928" i="3" a="1"/>
  <c r="G3928" i="3" s="1"/>
  <c r="J3928" i="3" a="1"/>
  <c r="J3928" i="3" s="1"/>
  <c r="B3929" i="3" a="1"/>
  <c r="B3929" i="3" s="1"/>
  <c r="C3929" i="3" a="1"/>
  <c r="C3929" i="3" s="1"/>
  <c r="D3929" i="3" a="1"/>
  <c r="D3929" i="3" s="1"/>
  <c r="E3929" i="3" a="1"/>
  <c r="E3929" i="3" s="1"/>
  <c r="F3929" i="3" a="1"/>
  <c r="F3929" i="3" s="1"/>
  <c r="G3929" i="3" a="1"/>
  <c r="G3929" i="3" s="1"/>
  <c r="J3929" i="3" a="1"/>
  <c r="J3929" i="3" s="1"/>
  <c r="B3930" i="3" a="1"/>
  <c r="B3930" i="3" s="1"/>
  <c r="C3930" i="3" a="1"/>
  <c r="C3930" i="3" s="1"/>
  <c r="D3930" i="3" a="1"/>
  <c r="D3930" i="3" s="1"/>
  <c r="E3930" i="3" a="1"/>
  <c r="E3930" i="3" s="1"/>
  <c r="F3930" i="3" a="1"/>
  <c r="F3930" i="3" s="1"/>
  <c r="G3930" i="3" a="1"/>
  <c r="G3930" i="3" s="1"/>
  <c r="J3930" i="3" a="1"/>
  <c r="J3930" i="3" s="1"/>
  <c r="B3931" i="3" a="1"/>
  <c r="B3931" i="3" s="1"/>
  <c r="C3931" i="3" a="1"/>
  <c r="C3931" i="3" s="1"/>
  <c r="D3931" i="3" a="1"/>
  <c r="D3931" i="3" s="1"/>
  <c r="E3931" i="3" a="1"/>
  <c r="E3931" i="3" s="1"/>
  <c r="F3931" i="3" a="1"/>
  <c r="F3931" i="3" s="1"/>
  <c r="G3931" i="3" a="1"/>
  <c r="G3931" i="3" s="1"/>
  <c r="J3931" i="3" a="1"/>
  <c r="J3931" i="3" s="1"/>
  <c r="B3932" i="3" a="1"/>
  <c r="B3932" i="3" s="1"/>
  <c r="C3932" i="3" a="1"/>
  <c r="C3932" i="3" s="1"/>
  <c r="D3932" i="3" a="1"/>
  <c r="D3932" i="3" s="1"/>
  <c r="E3932" i="3" a="1"/>
  <c r="E3932" i="3" s="1"/>
  <c r="F3932" i="3" a="1"/>
  <c r="F3932" i="3" s="1"/>
  <c r="G3932" i="3" a="1"/>
  <c r="G3932" i="3" s="1"/>
  <c r="J3932" i="3" a="1"/>
  <c r="J3932" i="3" s="1"/>
  <c r="B3933" i="3" a="1"/>
  <c r="B3933" i="3" s="1"/>
  <c r="C3933" i="3" a="1"/>
  <c r="C3933" i="3" s="1"/>
  <c r="D3933" i="3" a="1"/>
  <c r="D3933" i="3" s="1"/>
  <c r="E3933" i="3" a="1"/>
  <c r="E3933" i="3" s="1"/>
  <c r="F3933" i="3" a="1"/>
  <c r="F3933" i="3" s="1"/>
  <c r="G3933" i="3" a="1"/>
  <c r="G3933" i="3" s="1"/>
  <c r="J3933" i="3" a="1"/>
  <c r="J3933" i="3" s="1"/>
  <c r="B3934" i="3" a="1"/>
  <c r="B3934" i="3" s="1"/>
  <c r="C3934" i="3" a="1"/>
  <c r="C3934" i="3" s="1"/>
  <c r="D3934" i="3" a="1"/>
  <c r="D3934" i="3" s="1"/>
  <c r="E3934" i="3" a="1"/>
  <c r="E3934" i="3" s="1"/>
  <c r="F3934" i="3" a="1"/>
  <c r="F3934" i="3" s="1"/>
  <c r="G3934" i="3" a="1"/>
  <c r="G3934" i="3" s="1"/>
  <c r="J3934" i="3" a="1"/>
  <c r="J3934" i="3" s="1"/>
  <c r="B3935" i="3" a="1"/>
  <c r="B3935" i="3" s="1"/>
  <c r="C3935" i="3" a="1"/>
  <c r="C3935" i="3" s="1"/>
  <c r="D3935" i="3" a="1"/>
  <c r="D3935" i="3" s="1"/>
  <c r="E3935" i="3" a="1"/>
  <c r="E3935" i="3" s="1"/>
  <c r="F3935" i="3" a="1"/>
  <c r="F3935" i="3" s="1"/>
  <c r="G3935" i="3" a="1"/>
  <c r="G3935" i="3" s="1"/>
  <c r="J3935" i="3" a="1"/>
  <c r="J3935" i="3" s="1"/>
  <c r="B3936" i="3" a="1"/>
  <c r="B3936" i="3" s="1"/>
  <c r="C3936" i="3" a="1"/>
  <c r="C3936" i="3" s="1"/>
  <c r="D3936" i="3" a="1"/>
  <c r="D3936" i="3" s="1"/>
  <c r="E3936" i="3" a="1"/>
  <c r="E3936" i="3" s="1"/>
  <c r="F3936" i="3" a="1"/>
  <c r="F3936" i="3" s="1"/>
  <c r="G3936" i="3" a="1"/>
  <c r="G3936" i="3" s="1"/>
  <c r="J3936" i="3" a="1"/>
  <c r="J3936" i="3" s="1"/>
  <c r="B3937" i="3" a="1"/>
  <c r="B3937" i="3" s="1"/>
  <c r="C3937" i="3" a="1"/>
  <c r="C3937" i="3" s="1"/>
  <c r="D3937" i="3" a="1"/>
  <c r="D3937" i="3" s="1"/>
  <c r="E3937" i="3" a="1"/>
  <c r="E3937" i="3" s="1"/>
  <c r="F3937" i="3" a="1"/>
  <c r="F3937" i="3" s="1"/>
  <c r="G3937" i="3" a="1"/>
  <c r="G3937" i="3" s="1"/>
  <c r="J3937" i="3" a="1"/>
  <c r="J3937" i="3" s="1"/>
  <c r="B3938" i="3" a="1"/>
  <c r="B3938" i="3" s="1"/>
  <c r="C3938" i="3" a="1"/>
  <c r="C3938" i="3" s="1"/>
  <c r="D3938" i="3" a="1"/>
  <c r="D3938" i="3" s="1"/>
  <c r="E3938" i="3" a="1"/>
  <c r="E3938" i="3" s="1"/>
  <c r="F3938" i="3" a="1"/>
  <c r="F3938" i="3" s="1"/>
  <c r="G3938" i="3" a="1"/>
  <c r="G3938" i="3" s="1"/>
  <c r="J3938" i="3" a="1"/>
  <c r="J3938" i="3" s="1"/>
  <c r="B3939" i="3" a="1"/>
  <c r="B3939" i="3" s="1"/>
  <c r="C3939" i="3" a="1"/>
  <c r="C3939" i="3" s="1"/>
  <c r="D3939" i="3" a="1"/>
  <c r="D3939" i="3" s="1"/>
  <c r="E3939" i="3" a="1"/>
  <c r="E3939" i="3" s="1"/>
  <c r="F3939" i="3" a="1"/>
  <c r="F3939" i="3" s="1"/>
  <c r="G3939" i="3" a="1"/>
  <c r="G3939" i="3" s="1"/>
  <c r="J3939" i="3" a="1"/>
  <c r="J3939" i="3" s="1"/>
  <c r="B3940" i="3" a="1"/>
  <c r="B3940" i="3" s="1"/>
  <c r="C3940" i="3" a="1"/>
  <c r="C3940" i="3" s="1"/>
  <c r="D3940" i="3" a="1"/>
  <c r="D3940" i="3" s="1"/>
  <c r="E3940" i="3" a="1"/>
  <c r="E3940" i="3" s="1"/>
  <c r="F3940" i="3" a="1"/>
  <c r="F3940" i="3" s="1"/>
  <c r="G3940" i="3" a="1"/>
  <c r="G3940" i="3" s="1"/>
  <c r="J3940" i="3" a="1"/>
  <c r="J3940" i="3" s="1"/>
  <c r="B3941" i="3" a="1"/>
  <c r="B3941" i="3" s="1"/>
  <c r="C3941" i="3" a="1"/>
  <c r="C3941" i="3" s="1"/>
  <c r="D3941" i="3" a="1"/>
  <c r="D3941" i="3" s="1"/>
  <c r="E3941" i="3" a="1"/>
  <c r="E3941" i="3" s="1"/>
  <c r="F3941" i="3" a="1"/>
  <c r="F3941" i="3" s="1"/>
  <c r="G3941" i="3" a="1"/>
  <c r="G3941" i="3" s="1"/>
  <c r="J3941" i="3" a="1"/>
  <c r="J3941" i="3" s="1"/>
  <c r="B3942" i="3" a="1"/>
  <c r="B3942" i="3" s="1"/>
  <c r="C3942" i="3" a="1"/>
  <c r="C3942" i="3" s="1"/>
  <c r="D3942" i="3" a="1"/>
  <c r="D3942" i="3" s="1"/>
  <c r="E3942" i="3" a="1"/>
  <c r="E3942" i="3" s="1"/>
  <c r="F3942" i="3" a="1"/>
  <c r="F3942" i="3" s="1"/>
  <c r="G3942" i="3" a="1"/>
  <c r="G3942" i="3" s="1"/>
  <c r="J3942" i="3" a="1"/>
  <c r="J3942" i="3" s="1"/>
  <c r="B3943" i="3" a="1"/>
  <c r="B3943" i="3" s="1"/>
  <c r="C3943" i="3" a="1"/>
  <c r="C3943" i="3" s="1"/>
  <c r="D3943" i="3" a="1"/>
  <c r="D3943" i="3" s="1"/>
  <c r="E3943" i="3" a="1"/>
  <c r="E3943" i="3" s="1"/>
  <c r="F3943" i="3" a="1"/>
  <c r="F3943" i="3" s="1"/>
  <c r="G3943" i="3" a="1"/>
  <c r="G3943" i="3" s="1"/>
  <c r="J3943" i="3" a="1"/>
  <c r="J3943" i="3" s="1"/>
  <c r="B3944" i="3" a="1"/>
  <c r="B3944" i="3" s="1"/>
  <c r="C3944" i="3" a="1"/>
  <c r="C3944" i="3" s="1"/>
  <c r="D3944" i="3" a="1"/>
  <c r="D3944" i="3" s="1"/>
  <c r="E3944" i="3" a="1"/>
  <c r="E3944" i="3" s="1"/>
  <c r="F3944" i="3" a="1"/>
  <c r="F3944" i="3" s="1"/>
  <c r="G3944" i="3" a="1"/>
  <c r="G3944" i="3" s="1"/>
  <c r="J3944" i="3" a="1"/>
  <c r="J3944" i="3" s="1"/>
  <c r="B3945" i="3" a="1"/>
  <c r="B3945" i="3" s="1"/>
  <c r="C3945" i="3" a="1"/>
  <c r="C3945" i="3" s="1"/>
  <c r="D3945" i="3" a="1"/>
  <c r="D3945" i="3" s="1"/>
  <c r="E3945" i="3" a="1"/>
  <c r="E3945" i="3" s="1"/>
  <c r="F3945" i="3" a="1"/>
  <c r="F3945" i="3" s="1"/>
  <c r="G3945" i="3" a="1"/>
  <c r="G3945" i="3" s="1"/>
  <c r="J3945" i="3" a="1"/>
  <c r="J3945" i="3" s="1"/>
  <c r="B3946" i="3" a="1"/>
  <c r="B3946" i="3" s="1"/>
  <c r="C3946" i="3" a="1"/>
  <c r="C3946" i="3" s="1"/>
  <c r="D3946" i="3" a="1"/>
  <c r="D3946" i="3" s="1"/>
  <c r="E3946" i="3" a="1"/>
  <c r="E3946" i="3" s="1"/>
  <c r="F3946" i="3" a="1"/>
  <c r="F3946" i="3" s="1"/>
  <c r="G3946" i="3" a="1"/>
  <c r="G3946" i="3" s="1"/>
  <c r="J3946" i="3" a="1"/>
  <c r="J3946" i="3" s="1"/>
  <c r="B3947" i="3" a="1"/>
  <c r="B3947" i="3" s="1"/>
  <c r="C3947" i="3" a="1"/>
  <c r="C3947" i="3" s="1"/>
  <c r="D3947" i="3" a="1"/>
  <c r="D3947" i="3" s="1"/>
  <c r="E3947" i="3" a="1"/>
  <c r="E3947" i="3" s="1"/>
  <c r="F3947" i="3" a="1"/>
  <c r="F3947" i="3" s="1"/>
  <c r="G3947" i="3" a="1"/>
  <c r="G3947" i="3" s="1"/>
  <c r="J3947" i="3" a="1"/>
  <c r="J3947" i="3" s="1"/>
  <c r="B3948" i="3" a="1"/>
  <c r="B3948" i="3" s="1"/>
  <c r="C3948" i="3" a="1"/>
  <c r="C3948" i="3" s="1"/>
  <c r="D3948" i="3" a="1"/>
  <c r="D3948" i="3" s="1"/>
  <c r="E3948" i="3" a="1"/>
  <c r="E3948" i="3" s="1"/>
  <c r="F3948" i="3" a="1"/>
  <c r="F3948" i="3" s="1"/>
  <c r="G3948" i="3" a="1"/>
  <c r="G3948" i="3" s="1"/>
  <c r="J3948" i="3" a="1"/>
  <c r="J3948" i="3" s="1"/>
  <c r="B3949" i="3" a="1"/>
  <c r="B3949" i="3" s="1"/>
  <c r="C3949" i="3" a="1"/>
  <c r="C3949" i="3" s="1"/>
  <c r="D3949" i="3" a="1"/>
  <c r="D3949" i="3" s="1"/>
  <c r="E3949" i="3" a="1"/>
  <c r="E3949" i="3" s="1"/>
  <c r="F3949" i="3" a="1"/>
  <c r="F3949" i="3" s="1"/>
  <c r="G3949" i="3" a="1"/>
  <c r="G3949" i="3" s="1"/>
  <c r="J3949" i="3" a="1"/>
  <c r="J3949" i="3" s="1"/>
  <c r="B3950" i="3" a="1"/>
  <c r="B3950" i="3" s="1"/>
  <c r="C3950" i="3" a="1"/>
  <c r="C3950" i="3" s="1"/>
  <c r="D3950" i="3" a="1"/>
  <c r="D3950" i="3" s="1"/>
  <c r="E3950" i="3" a="1"/>
  <c r="E3950" i="3" s="1"/>
  <c r="F3950" i="3" a="1"/>
  <c r="F3950" i="3" s="1"/>
  <c r="G3950" i="3" a="1"/>
  <c r="G3950" i="3" s="1"/>
  <c r="J3950" i="3" a="1"/>
  <c r="J3950" i="3" s="1"/>
  <c r="B3951" i="3" a="1"/>
  <c r="B3951" i="3" s="1"/>
  <c r="C3951" i="3" a="1"/>
  <c r="C3951" i="3" s="1"/>
  <c r="D3951" i="3" a="1"/>
  <c r="D3951" i="3" s="1"/>
  <c r="E3951" i="3" a="1"/>
  <c r="E3951" i="3" s="1"/>
  <c r="F3951" i="3" a="1"/>
  <c r="F3951" i="3" s="1"/>
  <c r="G3951" i="3" a="1"/>
  <c r="G3951" i="3" s="1"/>
  <c r="J3951" i="3" a="1"/>
  <c r="J3951" i="3" s="1"/>
  <c r="B3952" i="3" a="1"/>
  <c r="B3952" i="3" s="1"/>
  <c r="C3952" i="3" a="1"/>
  <c r="C3952" i="3" s="1"/>
  <c r="D3952" i="3" a="1"/>
  <c r="D3952" i="3" s="1"/>
  <c r="E3952" i="3" a="1"/>
  <c r="E3952" i="3" s="1"/>
  <c r="F3952" i="3" a="1"/>
  <c r="F3952" i="3" s="1"/>
  <c r="G3952" i="3" a="1"/>
  <c r="G3952" i="3" s="1"/>
  <c r="J3952" i="3" a="1"/>
  <c r="J3952" i="3" s="1"/>
  <c r="B3953" i="3" a="1"/>
  <c r="B3953" i="3" s="1"/>
  <c r="C3953" i="3" a="1"/>
  <c r="C3953" i="3" s="1"/>
  <c r="D3953" i="3" a="1"/>
  <c r="D3953" i="3" s="1"/>
  <c r="E3953" i="3" a="1"/>
  <c r="E3953" i="3" s="1"/>
  <c r="F3953" i="3" a="1"/>
  <c r="F3953" i="3" s="1"/>
  <c r="G3953" i="3" a="1"/>
  <c r="G3953" i="3" s="1"/>
  <c r="J3953" i="3" a="1"/>
  <c r="J3953" i="3" s="1"/>
  <c r="B3954" i="3" a="1"/>
  <c r="B3954" i="3" s="1"/>
  <c r="C3954" i="3" a="1"/>
  <c r="C3954" i="3" s="1"/>
  <c r="D3954" i="3" a="1"/>
  <c r="D3954" i="3" s="1"/>
  <c r="E3954" i="3" a="1"/>
  <c r="E3954" i="3" s="1"/>
  <c r="F3954" i="3" a="1"/>
  <c r="F3954" i="3" s="1"/>
  <c r="G3954" i="3" a="1"/>
  <c r="G3954" i="3" s="1"/>
  <c r="J3954" i="3" a="1"/>
  <c r="J3954" i="3" s="1"/>
  <c r="B3955" i="3" a="1"/>
  <c r="B3955" i="3" s="1"/>
  <c r="C3955" i="3" a="1"/>
  <c r="C3955" i="3" s="1"/>
  <c r="D3955" i="3" a="1"/>
  <c r="D3955" i="3" s="1"/>
  <c r="E3955" i="3" a="1"/>
  <c r="E3955" i="3" s="1"/>
  <c r="F3955" i="3" a="1"/>
  <c r="F3955" i="3" s="1"/>
  <c r="G3955" i="3" a="1"/>
  <c r="G3955" i="3" s="1"/>
  <c r="J3955" i="3" a="1"/>
  <c r="J3955" i="3" s="1"/>
  <c r="B3956" i="3" a="1"/>
  <c r="B3956" i="3" s="1"/>
  <c r="C3956" i="3" a="1"/>
  <c r="C3956" i="3" s="1"/>
  <c r="D3956" i="3" a="1"/>
  <c r="D3956" i="3" s="1"/>
  <c r="E3956" i="3" a="1"/>
  <c r="E3956" i="3" s="1"/>
  <c r="F3956" i="3" a="1"/>
  <c r="F3956" i="3" s="1"/>
  <c r="G3956" i="3" a="1"/>
  <c r="G3956" i="3" s="1"/>
  <c r="J3956" i="3" a="1"/>
  <c r="J3956" i="3" s="1"/>
  <c r="B3957" i="3" a="1"/>
  <c r="B3957" i="3" s="1"/>
  <c r="C3957" i="3" a="1"/>
  <c r="C3957" i="3" s="1"/>
  <c r="D3957" i="3" a="1"/>
  <c r="D3957" i="3" s="1"/>
  <c r="E3957" i="3" a="1"/>
  <c r="E3957" i="3" s="1"/>
  <c r="F3957" i="3" a="1"/>
  <c r="F3957" i="3" s="1"/>
  <c r="G3957" i="3" a="1"/>
  <c r="G3957" i="3" s="1"/>
  <c r="J3957" i="3" a="1"/>
  <c r="J3957" i="3" s="1"/>
  <c r="B3958" i="3" a="1"/>
  <c r="B3958" i="3" s="1"/>
  <c r="C3958" i="3" a="1"/>
  <c r="C3958" i="3" s="1"/>
  <c r="D3958" i="3" a="1"/>
  <c r="D3958" i="3" s="1"/>
  <c r="E3958" i="3" a="1"/>
  <c r="E3958" i="3" s="1"/>
  <c r="F3958" i="3" a="1"/>
  <c r="F3958" i="3" s="1"/>
  <c r="G3958" i="3" a="1"/>
  <c r="G3958" i="3" s="1"/>
  <c r="J3958" i="3" a="1"/>
  <c r="J3958" i="3" s="1"/>
  <c r="B3959" i="3" a="1"/>
  <c r="B3959" i="3" s="1"/>
  <c r="C3959" i="3" a="1"/>
  <c r="C3959" i="3" s="1"/>
  <c r="D3959" i="3" a="1"/>
  <c r="D3959" i="3" s="1"/>
  <c r="E3959" i="3" a="1"/>
  <c r="E3959" i="3" s="1"/>
  <c r="F3959" i="3" a="1"/>
  <c r="F3959" i="3" s="1"/>
  <c r="G3959" i="3" a="1"/>
  <c r="G3959" i="3" s="1"/>
  <c r="J3959" i="3" a="1"/>
  <c r="J3959" i="3" s="1"/>
  <c r="B3960" i="3" a="1"/>
  <c r="B3960" i="3" s="1"/>
  <c r="C3960" i="3" a="1"/>
  <c r="C3960" i="3" s="1"/>
  <c r="D3960" i="3" a="1"/>
  <c r="D3960" i="3" s="1"/>
  <c r="E3960" i="3" a="1"/>
  <c r="E3960" i="3" s="1"/>
  <c r="F3960" i="3" a="1"/>
  <c r="F3960" i="3" s="1"/>
  <c r="G3960" i="3" a="1"/>
  <c r="G3960" i="3" s="1"/>
  <c r="J3960" i="3" a="1"/>
  <c r="J3960" i="3" s="1"/>
  <c r="B3961" i="3" a="1"/>
  <c r="B3961" i="3" s="1"/>
  <c r="C3961" i="3" a="1"/>
  <c r="C3961" i="3" s="1"/>
  <c r="D3961" i="3" a="1"/>
  <c r="D3961" i="3" s="1"/>
  <c r="E3961" i="3" a="1"/>
  <c r="E3961" i="3" s="1"/>
  <c r="F3961" i="3" a="1"/>
  <c r="F3961" i="3" s="1"/>
  <c r="G3961" i="3" a="1"/>
  <c r="G3961" i="3" s="1"/>
  <c r="J3961" i="3" a="1"/>
  <c r="J3961" i="3" s="1"/>
  <c r="B3962" i="3" a="1"/>
  <c r="B3962" i="3" s="1"/>
  <c r="C3962" i="3" a="1"/>
  <c r="C3962" i="3" s="1"/>
  <c r="D3962" i="3" a="1"/>
  <c r="D3962" i="3" s="1"/>
  <c r="E3962" i="3" a="1"/>
  <c r="E3962" i="3" s="1"/>
  <c r="F3962" i="3" a="1"/>
  <c r="F3962" i="3" s="1"/>
  <c r="G3962" i="3" a="1"/>
  <c r="G3962" i="3" s="1"/>
  <c r="J3962" i="3" a="1"/>
  <c r="J3962" i="3" s="1"/>
  <c r="B3963" i="3" a="1"/>
  <c r="B3963" i="3" s="1"/>
  <c r="C3963" i="3" a="1"/>
  <c r="C3963" i="3" s="1"/>
  <c r="D3963" i="3" a="1"/>
  <c r="D3963" i="3" s="1"/>
  <c r="E3963" i="3" a="1"/>
  <c r="E3963" i="3" s="1"/>
  <c r="F3963" i="3" a="1"/>
  <c r="F3963" i="3" s="1"/>
  <c r="G3963" i="3" a="1"/>
  <c r="G3963" i="3" s="1"/>
  <c r="J3963" i="3" a="1"/>
  <c r="J3963" i="3" s="1"/>
  <c r="B3964" i="3" a="1"/>
  <c r="B3964" i="3" s="1"/>
  <c r="C3964" i="3" a="1"/>
  <c r="C3964" i="3" s="1"/>
  <c r="D3964" i="3" a="1"/>
  <c r="D3964" i="3" s="1"/>
  <c r="E3964" i="3" a="1"/>
  <c r="E3964" i="3" s="1"/>
  <c r="F3964" i="3" a="1"/>
  <c r="F3964" i="3" s="1"/>
  <c r="G3964" i="3" a="1"/>
  <c r="G3964" i="3" s="1"/>
  <c r="J3964" i="3" a="1"/>
  <c r="J3964" i="3" s="1"/>
  <c r="B3965" i="3" a="1"/>
  <c r="B3965" i="3" s="1"/>
  <c r="C3965" i="3" a="1"/>
  <c r="C3965" i="3" s="1"/>
  <c r="D3965" i="3" a="1"/>
  <c r="D3965" i="3" s="1"/>
  <c r="E3965" i="3" a="1"/>
  <c r="E3965" i="3" s="1"/>
  <c r="F3965" i="3" a="1"/>
  <c r="F3965" i="3" s="1"/>
  <c r="G3965" i="3" a="1"/>
  <c r="G3965" i="3" s="1"/>
  <c r="J3965" i="3" a="1"/>
  <c r="J3965" i="3" s="1"/>
  <c r="B3966" i="3" a="1"/>
  <c r="B3966" i="3" s="1"/>
  <c r="C3966" i="3" a="1"/>
  <c r="C3966" i="3" s="1"/>
  <c r="D3966" i="3" a="1"/>
  <c r="D3966" i="3" s="1"/>
  <c r="E3966" i="3" a="1"/>
  <c r="E3966" i="3" s="1"/>
  <c r="F3966" i="3" a="1"/>
  <c r="F3966" i="3" s="1"/>
  <c r="G3966" i="3" a="1"/>
  <c r="G3966" i="3" s="1"/>
  <c r="J3966" i="3" a="1"/>
  <c r="J3966" i="3" s="1"/>
  <c r="B3967" i="3" a="1"/>
  <c r="B3967" i="3" s="1"/>
  <c r="C3967" i="3" a="1"/>
  <c r="C3967" i="3" s="1"/>
  <c r="D3967" i="3" a="1"/>
  <c r="D3967" i="3" s="1"/>
  <c r="E3967" i="3" a="1"/>
  <c r="E3967" i="3" s="1"/>
  <c r="F3967" i="3" a="1"/>
  <c r="F3967" i="3" s="1"/>
  <c r="G3967" i="3" a="1"/>
  <c r="G3967" i="3" s="1"/>
  <c r="J3967" i="3" a="1"/>
  <c r="J3967" i="3" s="1"/>
  <c r="B3968" i="3" a="1"/>
  <c r="B3968" i="3" s="1"/>
  <c r="C3968" i="3" a="1"/>
  <c r="C3968" i="3" s="1"/>
  <c r="D3968" i="3" a="1"/>
  <c r="D3968" i="3" s="1"/>
  <c r="E3968" i="3" a="1"/>
  <c r="E3968" i="3" s="1"/>
  <c r="F3968" i="3" a="1"/>
  <c r="F3968" i="3" s="1"/>
  <c r="G3968" i="3" a="1"/>
  <c r="G3968" i="3" s="1"/>
  <c r="J3968" i="3" a="1"/>
  <c r="J3968" i="3" s="1"/>
  <c r="B3969" i="3" a="1"/>
  <c r="B3969" i="3" s="1"/>
  <c r="C3969" i="3" a="1"/>
  <c r="C3969" i="3" s="1"/>
  <c r="D3969" i="3" a="1"/>
  <c r="D3969" i="3" s="1"/>
  <c r="E3969" i="3" a="1"/>
  <c r="E3969" i="3" s="1"/>
  <c r="F3969" i="3" a="1"/>
  <c r="F3969" i="3" s="1"/>
  <c r="G3969" i="3" a="1"/>
  <c r="G3969" i="3" s="1"/>
  <c r="J3969" i="3" a="1"/>
  <c r="J3969" i="3" s="1"/>
  <c r="B3970" i="3" a="1"/>
  <c r="B3970" i="3" s="1"/>
  <c r="C3970" i="3" a="1"/>
  <c r="C3970" i="3" s="1"/>
  <c r="D3970" i="3" a="1"/>
  <c r="D3970" i="3" s="1"/>
  <c r="E3970" i="3" a="1"/>
  <c r="E3970" i="3" s="1"/>
  <c r="F3970" i="3" a="1"/>
  <c r="F3970" i="3" s="1"/>
  <c r="G3970" i="3" a="1"/>
  <c r="G3970" i="3" s="1"/>
  <c r="J3970" i="3" a="1"/>
  <c r="J3970" i="3" s="1"/>
  <c r="B3971" i="3" a="1"/>
  <c r="B3971" i="3" s="1"/>
  <c r="C3971" i="3" a="1"/>
  <c r="C3971" i="3" s="1"/>
  <c r="D3971" i="3" a="1"/>
  <c r="D3971" i="3" s="1"/>
  <c r="E3971" i="3" a="1"/>
  <c r="E3971" i="3" s="1"/>
  <c r="F3971" i="3" a="1"/>
  <c r="F3971" i="3" s="1"/>
  <c r="G3971" i="3" a="1"/>
  <c r="G3971" i="3" s="1"/>
  <c r="J3971" i="3" a="1"/>
  <c r="J3971" i="3" s="1"/>
  <c r="B3972" i="3" a="1"/>
  <c r="B3972" i="3" s="1"/>
  <c r="C3972" i="3" a="1"/>
  <c r="C3972" i="3" s="1"/>
  <c r="D3972" i="3" a="1"/>
  <c r="D3972" i="3" s="1"/>
  <c r="E3972" i="3" a="1"/>
  <c r="E3972" i="3" s="1"/>
  <c r="F3972" i="3" a="1"/>
  <c r="F3972" i="3" s="1"/>
  <c r="G3972" i="3" a="1"/>
  <c r="G3972" i="3" s="1"/>
  <c r="J3972" i="3" a="1"/>
  <c r="J3972" i="3" s="1"/>
  <c r="B3973" i="3" a="1"/>
  <c r="B3973" i="3" s="1"/>
  <c r="C3973" i="3" a="1"/>
  <c r="C3973" i="3" s="1"/>
  <c r="D3973" i="3" a="1"/>
  <c r="D3973" i="3" s="1"/>
  <c r="E3973" i="3" a="1"/>
  <c r="E3973" i="3" s="1"/>
  <c r="F3973" i="3" a="1"/>
  <c r="F3973" i="3" s="1"/>
  <c r="G3973" i="3" a="1"/>
  <c r="G3973" i="3" s="1"/>
  <c r="J3973" i="3" a="1"/>
  <c r="J3973" i="3" s="1"/>
  <c r="B3974" i="3" a="1"/>
  <c r="B3974" i="3" s="1"/>
  <c r="C3974" i="3" a="1"/>
  <c r="C3974" i="3" s="1"/>
  <c r="D3974" i="3" a="1"/>
  <c r="D3974" i="3" s="1"/>
  <c r="E3974" i="3" a="1"/>
  <c r="E3974" i="3" s="1"/>
  <c r="F3974" i="3" a="1"/>
  <c r="F3974" i="3" s="1"/>
  <c r="G3974" i="3" a="1"/>
  <c r="G3974" i="3" s="1"/>
  <c r="J3974" i="3" a="1"/>
  <c r="J3974" i="3" s="1"/>
  <c r="B3975" i="3" a="1"/>
  <c r="B3975" i="3" s="1"/>
  <c r="C3975" i="3" a="1"/>
  <c r="C3975" i="3" s="1"/>
  <c r="D3975" i="3" a="1"/>
  <c r="D3975" i="3" s="1"/>
  <c r="E3975" i="3" a="1"/>
  <c r="E3975" i="3" s="1"/>
  <c r="F3975" i="3" a="1"/>
  <c r="F3975" i="3" s="1"/>
  <c r="G3975" i="3" a="1"/>
  <c r="G3975" i="3" s="1"/>
  <c r="J3975" i="3" a="1"/>
  <c r="J3975" i="3" s="1"/>
  <c r="B3976" i="3" a="1"/>
  <c r="B3976" i="3" s="1"/>
  <c r="C3976" i="3" a="1"/>
  <c r="C3976" i="3" s="1"/>
  <c r="D3976" i="3" a="1"/>
  <c r="D3976" i="3" s="1"/>
  <c r="E3976" i="3" a="1"/>
  <c r="E3976" i="3" s="1"/>
  <c r="F3976" i="3" a="1"/>
  <c r="F3976" i="3" s="1"/>
  <c r="G3976" i="3" a="1"/>
  <c r="G3976" i="3" s="1"/>
  <c r="J3976" i="3" a="1"/>
  <c r="J3976" i="3" s="1"/>
  <c r="B3977" i="3" a="1"/>
  <c r="B3977" i="3" s="1"/>
  <c r="C3977" i="3" a="1"/>
  <c r="C3977" i="3" s="1"/>
  <c r="D3977" i="3" a="1"/>
  <c r="D3977" i="3" s="1"/>
  <c r="E3977" i="3" a="1"/>
  <c r="E3977" i="3" s="1"/>
  <c r="F3977" i="3" a="1"/>
  <c r="F3977" i="3" s="1"/>
  <c r="G3977" i="3" a="1"/>
  <c r="G3977" i="3" s="1"/>
  <c r="J3977" i="3" a="1"/>
  <c r="J3977" i="3" s="1"/>
  <c r="B3978" i="3" a="1"/>
  <c r="B3978" i="3" s="1"/>
  <c r="C3978" i="3" a="1"/>
  <c r="C3978" i="3" s="1"/>
  <c r="D3978" i="3" a="1"/>
  <c r="D3978" i="3" s="1"/>
  <c r="E3978" i="3" a="1"/>
  <c r="E3978" i="3" s="1"/>
  <c r="F3978" i="3" a="1"/>
  <c r="F3978" i="3" s="1"/>
  <c r="G3978" i="3" a="1"/>
  <c r="G3978" i="3" s="1"/>
  <c r="J3978" i="3" a="1"/>
  <c r="J3978" i="3" s="1"/>
  <c r="B3979" i="3" a="1"/>
  <c r="B3979" i="3" s="1"/>
  <c r="C3979" i="3" a="1"/>
  <c r="C3979" i="3" s="1"/>
  <c r="D3979" i="3" a="1"/>
  <c r="D3979" i="3" s="1"/>
  <c r="E3979" i="3" a="1"/>
  <c r="E3979" i="3" s="1"/>
  <c r="F3979" i="3" a="1"/>
  <c r="F3979" i="3" s="1"/>
  <c r="G3979" i="3" a="1"/>
  <c r="G3979" i="3" s="1"/>
  <c r="J3979" i="3" a="1"/>
  <c r="J3979" i="3" s="1"/>
  <c r="B3980" i="3" a="1"/>
  <c r="B3980" i="3" s="1"/>
  <c r="C3980" i="3" a="1"/>
  <c r="C3980" i="3" s="1"/>
  <c r="D3980" i="3" a="1"/>
  <c r="D3980" i="3" s="1"/>
  <c r="E3980" i="3" a="1"/>
  <c r="E3980" i="3" s="1"/>
  <c r="F3980" i="3" a="1"/>
  <c r="F3980" i="3" s="1"/>
  <c r="G3980" i="3" a="1"/>
  <c r="G3980" i="3" s="1"/>
  <c r="J3980" i="3" a="1"/>
  <c r="J3980" i="3" s="1"/>
  <c r="B3981" i="3" a="1"/>
  <c r="B3981" i="3" s="1"/>
  <c r="C3981" i="3" a="1"/>
  <c r="C3981" i="3" s="1"/>
  <c r="D3981" i="3" a="1"/>
  <c r="D3981" i="3" s="1"/>
  <c r="E3981" i="3" a="1"/>
  <c r="E3981" i="3" s="1"/>
  <c r="F3981" i="3" a="1"/>
  <c r="F3981" i="3" s="1"/>
  <c r="G3981" i="3" a="1"/>
  <c r="G3981" i="3" s="1"/>
  <c r="J3981" i="3" a="1"/>
  <c r="J3981" i="3" s="1"/>
  <c r="B3982" i="3" a="1"/>
  <c r="B3982" i="3" s="1"/>
  <c r="C3982" i="3" a="1"/>
  <c r="C3982" i="3" s="1"/>
  <c r="D3982" i="3" a="1"/>
  <c r="D3982" i="3" s="1"/>
  <c r="E3982" i="3" a="1"/>
  <c r="E3982" i="3" s="1"/>
  <c r="F3982" i="3" a="1"/>
  <c r="F3982" i="3" s="1"/>
  <c r="G3982" i="3" a="1"/>
  <c r="G3982" i="3" s="1"/>
  <c r="J3982" i="3" a="1"/>
  <c r="J3982" i="3" s="1"/>
  <c r="B3983" i="3" a="1"/>
  <c r="B3983" i="3" s="1"/>
  <c r="C3983" i="3" a="1"/>
  <c r="C3983" i="3" s="1"/>
  <c r="D3983" i="3" a="1"/>
  <c r="D3983" i="3" s="1"/>
  <c r="E3983" i="3" a="1"/>
  <c r="E3983" i="3" s="1"/>
  <c r="F3983" i="3" a="1"/>
  <c r="F3983" i="3" s="1"/>
  <c r="G3983" i="3" a="1"/>
  <c r="G3983" i="3" s="1"/>
  <c r="J3983" i="3" a="1"/>
  <c r="J3983" i="3" s="1"/>
  <c r="B3984" i="3" a="1"/>
  <c r="B3984" i="3" s="1"/>
  <c r="C3984" i="3" a="1"/>
  <c r="C3984" i="3" s="1"/>
  <c r="D3984" i="3" a="1"/>
  <c r="D3984" i="3" s="1"/>
  <c r="E3984" i="3" a="1"/>
  <c r="E3984" i="3" s="1"/>
  <c r="F3984" i="3" a="1"/>
  <c r="F3984" i="3" s="1"/>
  <c r="G3984" i="3" a="1"/>
  <c r="G3984" i="3" s="1"/>
  <c r="J3984" i="3" a="1"/>
  <c r="J3984" i="3" s="1"/>
  <c r="B3985" i="3" a="1"/>
  <c r="B3985" i="3" s="1"/>
  <c r="C3985" i="3" a="1"/>
  <c r="C3985" i="3" s="1"/>
  <c r="D3985" i="3" a="1"/>
  <c r="D3985" i="3" s="1"/>
  <c r="E3985" i="3" a="1"/>
  <c r="E3985" i="3" s="1"/>
  <c r="F3985" i="3" a="1"/>
  <c r="F3985" i="3" s="1"/>
  <c r="G3985" i="3" a="1"/>
  <c r="G3985" i="3" s="1"/>
  <c r="J3985" i="3" a="1"/>
  <c r="J3985" i="3" s="1"/>
  <c r="B3986" i="3" a="1"/>
  <c r="B3986" i="3" s="1"/>
  <c r="C3986" i="3" a="1"/>
  <c r="C3986" i="3" s="1"/>
  <c r="D3986" i="3" a="1"/>
  <c r="D3986" i="3" s="1"/>
  <c r="E3986" i="3" a="1"/>
  <c r="E3986" i="3" s="1"/>
  <c r="F3986" i="3" a="1"/>
  <c r="F3986" i="3" s="1"/>
  <c r="G3986" i="3" a="1"/>
  <c r="G3986" i="3" s="1"/>
  <c r="J3986" i="3" a="1"/>
  <c r="J3986" i="3" s="1"/>
  <c r="B3987" i="3" a="1"/>
  <c r="B3987" i="3" s="1"/>
  <c r="C3987" i="3" a="1"/>
  <c r="C3987" i="3" s="1"/>
  <c r="D3987" i="3" a="1"/>
  <c r="D3987" i="3" s="1"/>
  <c r="E3987" i="3" a="1"/>
  <c r="E3987" i="3" s="1"/>
  <c r="F3987" i="3" a="1"/>
  <c r="F3987" i="3" s="1"/>
  <c r="G3987" i="3" a="1"/>
  <c r="G3987" i="3" s="1"/>
  <c r="J3987" i="3" a="1"/>
  <c r="J3987" i="3" s="1"/>
  <c r="B3988" i="3" a="1"/>
  <c r="B3988" i="3" s="1"/>
  <c r="C3988" i="3" a="1"/>
  <c r="C3988" i="3" s="1"/>
  <c r="D3988" i="3" a="1"/>
  <c r="D3988" i="3" s="1"/>
  <c r="E3988" i="3" a="1"/>
  <c r="E3988" i="3" s="1"/>
  <c r="F3988" i="3" a="1"/>
  <c r="F3988" i="3" s="1"/>
  <c r="G3988" i="3" a="1"/>
  <c r="G3988" i="3" s="1"/>
  <c r="J3988" i="3" a="1"/>
  <c r="J3988" i="3" s="1"/>
  <c r="B3989" i="3" a="1"/>
  <c r="B3989" i="3" s="1"/>
  <c r="C3989" i="3" a="1"/>
  <c r="C3989" i="3" s="1"/>
  <c r="D3989" i="3" a="1"/>
  <c r="D3989" i="3" s="1"/>
  <c r="E3989" i="3" a="1"/>
  <c r="E3989" i="3" s="1"/>
  <c r="F3989" i="3" a="1"/>
  <c r="F3989" i="3" s="1"/>
  <c r="G3989" i="3" a="1"/>
  <c r="G3989" i="3" s="1"/>
  <c r="J3989" i="3" a="1"/>
  <c r="J3989" i="3" s="1"/>
  <c r="B3990" i="3" a="1"/>
  <c r="B3990" i="3" s="1"/>
  <c r="C3990" i="3" a="1"/>
  <c r="C3990" i="3" s="1"/>
  <c r="D3990" i="3" a="1"/>
  <c r="D3990" i="3" s="1"/>
  <c r="E3990" i="3" a="1"/>
  <c r="E3990" i="3" s="1"/>
  <c r="F3990" i="3" a="1"/>
  <c r="F3990" i="3" s="1"/>
  <c r="G3990" i="3" a="1"/>
  <c r="G3990" i="3" s="1"/>
  <c r="J3990" i="3" a="1"/>
  <c r="J3990" i="3" s="1"/>
  <c r="B3991" i="3" a="1"/>
  <c r="B3991" i="3" s="1"/>
  <c r="C3991" i="3" a="1"/>
  <c r="C3991" i="3" s="1"/>
  <c r="D3991" i="3" a="1"/>
  <c r="D3991" i="3" s="1"/>
  <c r="E3991" i="3" a="1"/>
  <c r="E3991" i="3" s="1"/>
  <c r="F3991" i="3" a="1"/>
  <c r="F3991" i="3" s="1"/>
  <c r="G3991" i="3" a="1"/>
  <c r="G3991" i="3" s="1"/>
  <c r="J3991" i="3" a="1"/>
  <c r="J3991" i="3" s="1"/>
  <c r="B3992" i="3" a="1"/>
  <c r="B3992" i="3" s="1"/>
  <c r="C3992" i="3" a="1"/>
  <c r="C3992" i="3" s="1"/>
  <c r="D3992" i="3" a="1"/>
  <c r="D3992" i="3" s="1"/>
  <c r="E3992" i="3" a="1"/>
  <c r="E3992" i="3" s="1"/>
  <c r="F3992" i="3" a="1"/>
  <c r="F3992" i="3" s="1"/>
  <c r="G3992" i="3" a="1"/>
  <c r="G3992" i="3" s="1"/>
  <c r="J3992" i="3" a="1"/>
  <c r="J3992" i="3" s="1"/>
  <c r="B3993" i="3" a="1"/>
  <c r="B3993" i="3" s="1"/>
  <c r="C3993" i="3" a="1"/>
  <c r="C3993" i="3" s="1"/>
  <c r="D3993" i="3" a="1"/>
  <c r="D3993" i="3" s="1"/>
  <c r="E3993" i="3" a="1"/>
  <c r="E3993" i="3" s="1"/>
  <c r="F3993" i="3" a="1"/>
  <c r="F3993" i="3" s="1"/>
  <c r="G3993" i="3" a="1"/>
  <c r="G3993" i="3" s="1"/>
  <c r="J3993" i="3" a="1"/>
  <c r="J3993" i="3" s="1"/>
  <c r="B3994" i="3" a="1"/>
  <c r="B3994" i="3" s="1"/>
  <c r="C3994" i="3" a="1"/>
  <c r="C3994" i="3" s="1"/>
  <c r="D3994" i="3" a="1"/>
  <c r="D3994" i="3" s="1"/>
  <c r="E3994" i="3" a="1"/>
  <c r="E3994" i="3" s="1"/>
  <c r="F3994" i="3" a="1"/>
  <c r="F3994" i="3" s="1"/>
  <c r="G3994" i="3" a="1"/>
  <c r="G3994" i="3" s="1"/>
  <c r="J3994" i="3" a="1"/>
  <c r="J3994" i="3" s="1"/>
  <c r="B3995" i="3" a="1"/>
  <c r="B3995" i="3" s="1"/>
  <c r="C3995" i="3" a="1"/>
  <c r="C3995" i="3" s="1"/>
  <c r="D3995" i="3" a="1"/>
  <c r="D3995" i="3" s="1"/>
  <c r="E3995" i="3" a="1"/>
  <c r="E3995" i="3" s="1"/>
  <c r="F3995" i="3" a="1"/>
  <c r="F3995" i="3" s="1"/>
  <c r="G3995" i="3" a="1"/>
  <c r="G3995" i="3" s="1"/>
  <c r="J3995" i="3" a="1"/>
  <c r="J3995" i="3" s="1"/>
  <c r="B3996" i="3" a="1"/>
  <c r="B3996" i="3" s="1"/>
  <c r="C3996" i="3" a="1"/>
  <c r="C3996" i="3" s="1"/>
  <c r="D3996" i="3" a="1"/>
  <c r="D3996" i="3" s="1"/>
  <c r="E3996" i="3" a="1"/>
  <c r="E3996" i="3" s="1"/>
  <c r="F3996" i="3" a="1"/>
  <c r="F3996" i="3" s="1"/>
  <c r="G3996" i="3" a="1"/>
  <c r="G3996" i="3" s="1"/>
  <c r="J3996" i="3" a="1"/>
  <c r="J3996" i="3" s="1"/>
  <c r="B3997" i="3" a="1"/>
  <c r="B3997" i="3" s="1"/>
  <c r="C3997" i="3" a="1"/>
  <c r="C3997" i="3" s="1"/>
  <c r="D3997" i="3" a="1"/>
  <c r="D3997" i="3" s="1"/>
  <c r="E3997" i="3" a="1"/>
  <c r="E3997" i="3" s="1"/>
  <c r="F3997" i="3" a="1"/>
  <c r="F3997" i="3" s="1"/>
  <c r="G3997" i="3" a="1"/>
  <c r="G3997" i="3" s="1"/>
  <c r="J3997" i="3" a="1"/>
  <c r="J3997" i="3" s="1"/>
  <c r="B3998" i="3" a="1"/>
  <c r="B3998" i="3" s="1"/>
  <c r="C3998" i="3" a="1"/>
  <c r="C3998" i="3" s="1"/>
  <c r="D3998" i="3" a="1"/>
  <c r="D3998" i="3" s="1"/>
  <c r="E3998" i="3" a="1"/>
  <c r="E3998" i="3" s="1"/>
  <c r="F3998" i="3" a="1"/>
  <c r="F3998" i="3" s="1"/>
  <c r="G3998" i="3" a="1"/>
  <c r="G3998" i="3" s="1"/>
  <c r="J3998" i="3" a="1"/>
  <c r="J3998" i="3" s="1"/>
  <c r="B3999" i="3" a="1"/>
  <c r="B3999" i="3" s="1"/>
  <c r="C3999" i="3" a="1"/>
  <c r="C3999" i="3" s="1"/>
  <c r="D3999" i="3" a="1"/>
  <c r="D3999" i="3" s="1"/>
  <c r="E3999" i="3" a="1"/>
  <c r="E3999" i="3" s="1"/>
  <c r="F3999" i="3" a="1"/>
  <c r="F3999" i="3" s="1"/>
  <c r="G3999" i="3" a="1"/>
  <c r="G3999" i="3" s="1"/>
  <c r="J3999" i="3" a="1"/>
  <c r="J3999" i="3" s="1"/>
  <c r="B4000" i="3" a="1"/>
  <c r="B4000" i="3" s="1"/>
  <c r="C4000" i="3" a="1"/>
  <c r="C4000" i="3" s="1"/>
  <c r="D4000" i="3" a="1"/>
  <c r="D4000" i="3" s="1"/>
  <c r="E4000" i="3" a="1"/>
  <c r="E4000" i="3" s="1"/>
  <c r="F4000" i="3" a="1"/>
  <c r="F4000" i="3" s="1"/>
  <c r="G4000" i="3" a="1"/>
  <c r="G4000" i="3" s="1"/>
  <c r="J4000" i="3" a="1"/>
  <c r="J4000" i="3" s="1"/>
  <c r="B4001" i="3" a="1"/>
  <c r="B4001" i="3" s="1"/>
  <c r="C4001" i="3" a="1"/>
  <c r="C4001" i="3" s="1"/>
  <c r="D4001" i="3" a="1"/>
  <c r="D4001" i="3" s="1"/>
  <c r="E4001" i="3" a="1"/>
  <c r="E4001" i="3" s="1"/>
  <c r="F4001" i="3" a="1"/>
  <c r="F4001" i="3" s="1"/>
  <c r="G4001" i="3" a="1"/>
  <c r="G4001" i="3" s="1"/>
  <c r="J4001" i="3" a="1"/>
  <c r="J4001" i="3" s="1"/>
  <c r="B4002" i="3" a="1"/>
  <c r="B4002" i="3" s="1"/>
  <c r="C4002" i="3" a="1"/>
  <c r="C4002" i="3" s="1"/>
  <c r="D4002" i="3" a="1"/>
  <c r="D4002" i="3" s="1"/>
  <c r="E4002" i="3" a="1"/>
  <c r="E4002" i="3" s="1"/>
  <c r="F4002" i="3" a="1"/>
  <c r="F4002" i="3" s="1"/>
  <c r="G4002" i="3" a="1"/>
  <c r="G4002" i="3" s="1"/>
  <c r="J4002" i="3" a="1"/>
  <c r="J4002" i="3" s="1"/>
  <c r="B4003" i="3" a="1"/>
  <c r="B4003" i="3" s="1"/>
  <c r="C4003" i="3" a="1"/>
  <c r="C4003" i="3" s="1"/>
  <c r="D4003" i="3" a="1"/>
  <c r="D4003" i="3" s="1"/>
  <c r="E4003" i="3" a="1"/>
  <c r="E4003" i="3" s="1"/>
  <c r="F4003" i="3" a="1"/>
  <c r="F4003" i="3" s="1"/>
  <c r="G4003" i="3" a="1"/>
  <c r="G4003" i="3" s="1"/>
  <c r="J4003" i="3" a="1"/>
  <c r="J4003" i="3" s="1"/>
  <c r="B4004" i="3" a="1"/>
  <c r="B4004" i="3" s="1"/>
  <c r="C4004" i="3" a="1"/>
  <c r="C4004" i="3" s="1"/>
  <c r="D4004" i="3" a="1"/>
  <c r="D4004" i="3" s="1"/>
  <c r="E4004" i="3" a="1"/>
  <c r="E4004" i="3" s="1"/>
  <c r="F4004" i="3" a="1"/>
  <c r="F4004" i="3" s="1"/>
  <c r="G4004" i="3" a="1"/>
  <c r="G4004" i="3" s="1"/>
  <c r="J4004" i="3" a="1"/>
  <c r="J4004" i="3" s="1"/>
  <c r="B4005" i="3" a="1"/>
  <c r="B4005" i="3" s="1"/>
  <c r="C4005" i="3" a="1"/>
  <c r="C4005" i="3" s="1"/>
  <c r="D4005" i="3" a="1"/>
  <c r="D4005" i="3" s="1"/>
  <c r="E4005" i="3" a="1"/>
  <c r="E4005" i="3" s="1"/>
  <c r="F4005" i="3" a="1"/>
  <c r="F4005" i="3" s="1"/>
  <c r="G4005" i="3" a="1"/>
  <c r="G4005" i="3" s="1"/>
  <c r="J4005" i="3" a="1"/>
  <c r="J4005" i="3" s="1"/>
  <c r="B4006" i="3" a="1"/>
  <c r="B4006" i="3" s="1"/>
  <c r="C4006" i="3" a="1"/>
  <c r="C4006" i="3" s="1"/>
  <c r="D4006" i="3" a="1"/>
  <c r="D4006" i="3" s="1"/>
  <c r="E4006" i="3" a="1"/>
  <c r="E4006" i="3" s="1"/>
  <c r="F4006" i="3" a="1"/>
  <c r="F4006" i="3" s="1"/>
  <c r="G4006" i="3" a="1"/>
  <c r="G4006" i="3" s="1"/>
  <c r="J4006" i="3" a="1"/>
  <c r="J4006" i="3" s="1"/>
  <c r="B4007" i="3" a="1"/>
  <c r="B4007" i="3" s="1"/>
  <c r="C4007" i="3" a="1"/>
  <c r="C4007" i="3" s="1"/>
  <c r="D4007" i="3" a="1"/>
  <c r="D4007" i="3" s="1"/>
  <c r="E4007" i="3" a="1"/>
  <c r="E4007" i="3" s="1"/>
  <c r="F4007" i="3" a="1"/>
  <c r="F4007" i="3" s="1"/>
  <c r="G4007" i="3" a="1"/>
  <c r="G4007" i="3" s="1"/>
  <c r="J4007" i="3" a="1"/>
  <c r="J4007" i="3" s="1"/>
  <c r="B4008" i="3" a="1"/>
  <c r="B4008" i="3" s="1"/>
  <c r="C4008" i="3" a="1"/>
  <c r="C4008" i="3" s="1"/>
  <c r="D4008" i="3" a="1"/>
  <c r="D4008" i="3" s="1"/>
  <c r="E4008" i="3" a="1"/>
  <c r="E4008" i="3" s="1"/>
  <c r="F4008" i="3" a="1"/>
  <c r="F4008" i="3" s="1"/>
  <c r="G4008" i="3" a="1"/>
  <c r="G4008" i="3" s="1"/>
  <c r="J4008" i="3" a="1"/>
  <c r="J4008" i="3" s="1"/>
  <c r="B4009" i="3" a="1"/>
  <c r="B4009" i="3" s="1"/>
  <c r="C4009" i="3" a="1"/>
  <c r="C4009" i="3" s="1"/>
  <c r="D4009" i="3" a="1"/>
  <c r="D4009" i="3" s="1"/>
  <c r="E4009" i="3" a="1"/>
  <c r="E4009" i="3" s="1"/>
  <c r="F4009" i="3" a="1"/>
  <c r="F4009" i="3" s="1"/>
  <c r="G4009" i="3" a="1"/>
  <c r="G4009" i="3" s="1"/>
  <c r="J4009" i="3" a="1"/>
  <c r="J4009" i="3" s="1"/>
  <c r="B4010" i="3" a="1"/>
  <c r="B4010" i="3" s="1"/>
  <c r="C4010" i="3" a="1"/>
  <c r="C4010" i="3" s="1"/>
  <c r="D4010" i="3" a="1"/>
  <c r="D4010" i="3" s="1"/>
  <c r="E4010" i="3" a="1"/>
  <c r="E4010" i="3" s="1"/>
  <c r="F4010" i="3" a="1"/>
  <c r="F4010" i="3" s="1"/>
  <c r="G4010" i="3" a="1"/>
  <c r="G4010" i="3" s="1"/>
  <c r="J4010" i="3" a="1"/>
  <c r="J4010" i="3" s="1"/>
  <c r="B4011" i="3" a="1"/>
  <c r="B4011" i="3" s="1"/>
  <c r="C4011" i="3" a="1"/>
  <c r="C4011" i="3" s="1"/>
  <c r="D4011" i="3" a="1"/>
  <c r="D4011" i="3" s="1"/>
  <c r="E4011" i="3" a="1"/>
  <c r="E4011" i="3" s="1"/>
  <c r="F4011" i="3" a="1"/>
  <c r="F4011" i="3" s="1"/>
  <c r="G4011" i="3" a="1"/>
  <c r="G4011" i="3" s="1"/>
  <c r="J4011" i="3" a="1"/>
  <c r="J4011" i="3" s="1"/>
  <c r="B4012" i="3" a="1"/>
  <c r="B4012" i="3" s="1"/>
  <c r="C4012" i="3" a="1"/>
  <c r="C4012" i="3" s="1"/>
  <c r="D4012" i="3" a="1"/>
  <c r="D4012" i="3" s="1"/>
  <c r="E4012" i="3" a="1"/>
  <c r="E4012" i="3" s="1"/>
  <c r="F4012" i="3" a="1"/>
  <c r="F4012" i="3" s="1"/>
  <c r="G4012" i="3" a="1"/>
  <c r="G4012" i="3" s="1"/>
  <c r="J4012" i="3" a="1"/>
  <c r="J4012" i="3" s="1"/>
  <c r="B4013" i="3" a="1"/>
  <c r="B4013" i="3" s="1"/>
  <c r="C4013" i="3" a="1"/>
  <c r="C4013" i="3" s="1"/>
  <c r="D4013" i="3" a="1"/>
  <c r="D4013" i="3" s="1"/>
  <c r="E4013" i="3" a="1"/>
  <c r="E4013" i="3" s="1"/>
  <c r="F4013" i="3" a="1"/>
  <c r="F4013" i="3" s="1"/>
  <c r="G4013" i="3" a="1"/>
  <c r="G4013" i="3" s="1"/>
  <c r="J4013" i="3" a="1"/>
  <c r="J4013" i="3" s="1"/>
  <c r="B4014" i="3" a="1"/>
  <c r="B4014" i="3" s="1"/>
  <c r="C4014" i="3" a="1"/>
  <c r="C4014" i="3" s="1"/>
  <c r="D4014" i="3" a="1"/>
  <c r="D4014" i="3" s="1"/>
  <c r="E4014" i="3" a="1"/>
  <c r="E4014" i="3" s="1"/>
  <c r="F4014" i="3" a="1"/>
  <c r="F4014" i="3" s="1"/>
  <c r="G4014" i="3" a="1"/>
  <c r="G4014" i="3" s="1"/>
  <c r="J4014" i="3" a="1"/>
  <c r="J4014" i="3" s="1"/>
  <c r="B4015" i="3" a="1"/>
  <c r="B4015" i="3" s="1"/>
  <c r="C4015" i="3" a="1"/>
  <c r="C4015" i="3" s="1"/>
  <c r="D4015" i="3" a="1"/>
  <c r="D4015" i="3" s="1"/>
  <c r="E4015" i="3" a="1"/>
  <c r="E4015" i="3" s="1"/>
  <c r="F4015" i="3" a="1"/>
  <c r="F4015" i="3" s="1"/>
  <c r="G4015" i="3" a="1"/>
  <c r="G4015" i="3" s="1"/>
  <c r="J4015" i="3" a="1"/>
  <c r="J4015" i="3" s="1"/>
  <c r="B4016" i="3" a="1"/>
  <c r="B4016" i="3" s="1"/>
  <c r="C4016" i="3" a="1"/>
  <c r="C4016" i="3" s="1"/>
  <c r="D4016" i="3" a="1"/>
  <c r="D4016" i="3" s="1"/>
  <c r="E4016" i="3" a="1"/>
  <c r="E4016" i="3" s="1"/>
  <c r="F4016" i="3" a="1"/>
  <c r="F4016" i="3" s="1"/>
  <c r="G4016" i="3" a="1"/>
  <c r="G4016" i="3" s="1"/>
  <c r="J4016" i="3" a="1"/>
  <c r="J4016" i="3" s="1"/>
  <c r="B4017" i="3" a="1"/>
  <c r="B4017" i="3" s="1"/>
  <c r="C4017" i="3" a="1"/>
  <c r="C4017" i="3" s="1"/>
  <c r="D4017" i="3" a="1"/>
  <c r="D4017" i="3" s="1"/>
  <c r="E4017" i="3" a="1"/>
  <c r="E4017" i="3" s="1"/>
  <c r="F4017" i="3" a="1"/>
  <c r="F4017" i="3" s="1"/>
  <c r="G4017" i="3" a="1"/>
  <c r="G4017" i="3" s="1"/>
  <c r="J4017" i="3" a="1"/>
  <c r="J4017" i="3" s="1"/>
  <c r="B4018" i="3" a="1"/>
  <c r="B4018" i="3" s="1"/>
  <c r="C4018" i="3" a="1"/>
  <c r="C4018" i="3" s="1"/>
  <c r="D4018" i="3" a="1"/>
  <c r="D4018" i="3" s="1"/>
  <c r="E4018" i="3" a="1"/>
  <c r="E4018" i="3" s="1"/>
  <c r="F4018" i="3" a="1"/>
  <c r="F4018" i="3" s="1"/>
  <c r="G4018" i="3" a="1"/>
  <c r="G4018" i="3" s="1"/>
  <c r="J4018" i="3" a="1"/>
  <c r="J4018" i="3" s="1"/>
  <c r="B4019" i="3" a="1"/>
  <c r="B4019" i="3" s="1"/>
  <c r="C4019" i="3" a="1"/>
  <c r="C4019" i="3" s="1"/>
  <c r="D4019" i="3" a="1"/>
  <c r="D4019" i="3" s="1"/>
  <c r="E4019" i="3" a="1"/>
  <c r="E4019" i="3" s="1"/>
  <c r="F4019" i="3" a="1"/>
  <c r="F4019" i="3" s="1"/>
  <c r="G4019" i="3" a="1"/>
  <c r="G4019" i="3" s="1"/>
  <c r="J4019" i="3" a="1"/>
  <c r="J4019" i="3" s="1"/>
  <c r="B4020" i="3" a="1"/>
  <c r="B4020" i="3" s="1"/>
  <c r="C4020" i="3" a="1"/>
  <c r="C4020" i="3" s="1"/>
  <c r="D4020" i="3" a="1"/>
  <c r="D4020" i="3" s="1"/>
  <c r="E4020" i="3" a="1"/>
  <c r="E4020" i="3" s="1"/>
  <c r="F4020" i="3" a="1"/>
  <c r="F4020" i="3" s="1"/>
  <c r="G4020" i="3" a="1"/>
  <c r="G4020" i="3" s="1"/>
  <c r="J4020" i="3" a="1"/>
  <c r="J4020" i="3" s="1"/>
  <c r="B4021" i="3" a="1"/>
  <c r="B4021" i="3" s="1"/>
  <c r="C4021" i="3" a="1"/>
  <c r="C4021" i="3" s="1"/>
  <c r="D4021" i="3" a="1"/>
  <c r="D4021" i="3" s="1"/>
  <c r="E4021" i="3" a="1"/>
  <c r="E4021" i="3" s="1"/>
  <c r="F4021" i="3" a="1"/>
  <c r="F4021" i="3" s="1"/>
  <c r="G4021" i="3" a="1"/>
  <c r="G4021" i="3" s="1"/>
  <c r="J4021" i="3" a="1"/>
  <c r="J4021" i="3" s="1"/>
  <c r="B4022" i="3" a="1"/>
  <c r="B4022" i="3" s="1"/>
  <c r="C4022" i="3" a="1"/>
  <c r="C4022" i="3" s="1"/>
  <c r="D4022" i="3" a="1"/>
  <c r="D4022" i="3" s="1"/>
  <c r="E4022" i="3" a="1"/>
  <c r="E4022" i="3" s="1"/>
  <c r="F4022" i="3" a="1"/>
  <c r="F4022" i="3" s="1"/>
  <c r="G4022" i="3" a="1"/>
  <c r="G4022" i="3" s="1"/>
  <c r="J4022" i="3" a="1"/>
  <c r="J4022" i="3" s="1"/>
  <c r="B4023" i="3" a="1"/>
  <c r="B4023" i="3" s="1"/>
  <c r="C4023" i="3" a="1"/>
  <c r="C4023" i="3" s="1"/>
  <c r="D4023" i="3" a="1"/>
  <c r="D4023" i="3" s="1"/>
  <c r="E4023" i="3" a="1"/>
  <c r="E4023" i="3" s="1"/>
  <c r="F4023" i="3" a="1"/>
  <c r="F4023" i="3" s="1"/>
  <c r="G4023" i="3" a="1"/>
  <c r="G4023" i="3" s="1"/>
  <c r="J4023" i="3" a="1"/>
  <c r="J4023" i="3" s="1"/>
  <c r="B4024" i="3" a="1"/>
  <c r="B4024" i="3" s="1"/>
  <c r="C4024" i="3" a="1"/>
  <c r="C4024" i="3" s="1"/>
  <c r="D4024" i="3" a="1"/>
  <c r="D4024" i="3" s="1"/>
  <c r="E4024" i="3" a="1"/>
  <c r="E4024" i="3" s="1"/>
  <c r="F4024" i="3" a="1"/>
  <c r="F4024" i="3" s="1"/>
  <c r="G4024" i="3" a="1"/>
  <c r="G4024" i="3" s="1"/>
  <c r="J4024" i="3" a="1"/>
  <c r="J4024" i="3" s="1"/>
  <c r="B4025" i="3" a="1"/>
  <c r="B4025" i="3" s="1"/>
  <c r="C4025" i="3" a="1"/>
  <c r="C4025" i="3" s="1"/>
  <c r="D4025" i="3" a="1"/>
  <c r="D4025" i="3" s="1"/>
  <c r="E4025" i="3" a="1"/>
  <c r="E4025" i="3" s="1"/>
  <c r="F4025" i="3" a="1"/>
  <c r="F4025" i="3" s="1"/>
  <c r="G4025" i="3" a="1"/>
  <c r="G4025" i="3" s="1"/>
  <c r="J4025" i="3" a="1"/>
  <c r="J4025" i="3" s="1"/>
  <c r="B4026" i="3" a="1"/>
  <c r="B4026" i="3" s="1"/>
  <c r="C4026" i="3" a="1"/>
  <c r="C4026" i="3" s="1"/>
  <c r="D4026" i="3" a="1"/>
  <c r="D4026" i="3" s="1"/>
  <c r="E4026" i="3" a="1"/>
  <c r="E4026" i="3" s="1"/>
  <c r="F4026" i="3" a="1"/>
  <c r="F4026" i="3" s="1"/>
  <c r="G4026" i="3" a="1"/>
  <c r="G4026" i="3" s="1"/>
  <c r="J4026" i="3" a="1"/>
  <c r="J4026" i="3" s="1"/>
  <c r="B4027" i="3" a="1"/>
  <c r="B4027" i="3" s="1"/>
  <c r="C4027" i="3" a="1"/>
  <c r="C4027" i="3" s="1"/>
  <c r="D4027" i="3" a="1"/>
  <c r="D4027" i="3" s="1"/>
  <c r="E4027" i="3" a="1"/>
  <c r="E4027" i="3" s="1"/>
  <c r="F4027" i="3" a="1"/>
  <c r="F4027" i="3" s="1"/>
  <c r="G4027" i="3" a="1"/>
  <c r="G4027" i="3" s="1"/>
  <c r="J4027" i="3" a="1"/>
  <c r="J4027" i="3" s="1"/>
  <c r="B4028" i="3" a="1"/>
  <c r="B4028" i="3" s="1"/>
  <c r="C4028" i="3" a="1"/>
  <c r="C4028" i="3" s="1"/>
  <c r="D4028" i="3" a="1"/>
  <c r="D4028" i="3" s="1"/>
  <c r="E4028" i="3" a="1"/>
  <c r="E4028" i="3" s="1"/>
  <c r="F4028" i="3" a="1"/>
  <c r="F4028" i="3" s="1"/>
  <c r="G4028" i="3" a="1"/>
  <c r="G4028" i="3" s="1"/>
  <c r="J4028" i="3" a="1"/>
  <c r="J4028" i="3" s="1"/>
  <c r="B4029" i="3" a="1"/>
  <c r="B4029" i="3" s="1"/>
  <c r="C4029" i="3" a="1"/>
  <c r="C4029" i="3" s="1"/>
  <c r="D4029" i="3" a="1"/>
  <c r="D4029" i="3" s="1"/>
  <c r="E4029" i="3" a="1"/>
  <c r="E4029" i="3" s="1"/>
  <c r="F4029" i="3" a="1"/>
  <c r="F4029" i="3" s="1"/>
  <c r="G4029" i="3" a="1"/>
  <c r="G4029" i="3" s="1"/>
  <c r="J4029" i="3" a="1"/>
  <c r="J4029" i="3" s="1"/>
  <c r="B4030" i="3" a="1"/>
  <c r="B4030" i="3" s="1"/>
  <c r="C4030" i="3" a="1"/>
  <c r="C4030" i="3" s="1"/>
  <c r="D4030" i="3" a="1"/>
  <c r="D4030" i="3" s="1"/>
  <c r="E4030" i="3" a="1"/>
  <c r="E4030" i="3" s="1"/>
  <c r="F4030" i="3" a="1"/>
  <c r="F4030" i="3" s="1"/>
  <c r="G4030" i="3" a="1"/>
  <c r="G4030" i="3" s="1"/>
  <c r="J4030" i="3" a="1"/>
  <c r="J4030" i="3" s="1"/>
  <c r="B4031" i="3" a="1"/>
  <c r="B4031" i="3" s="1"/>
  <c r="C4031" i="3" a="1"/>
  <c r="C4031" i="3" s="1"/>
  <c r="D4031" i="3" a="1"/>
  <c r="D4031" i="3" s="1"/>
  <c r="E4031" i="3" a="1"/>
  <c r="E4031" i="3" s="1"/>
  <c r="F4031" i="3" a="1"/>
  <c r="F4031" i="3" s="1"/>
  <c r="G4031" i="3" a="1"/>
  <c r="G4031" i="3" s="1"/>
  <c r="J4031" i="3" a="1"/>
  <c r="J4031" i="3" s="1"/>
  <c r="B4032" i="3" a="1"/>
  <c r="B4032" i="3" s="1"/>
  <c r="C4032" i="3" a="1"/>
  <c r="C4032" i="3" s="1"/>
  <c r="D4032" i="3" a="1"/>
  <c r="D4032" i="3" s="1"/>
  <c r="E4032" i="3" a="1"/>
  <c r="E4032" i="3" s="1"/>
  <c r="F4032" i="3" a="1"/>
  <c r="F4032" i="3" s="1"/>
  <c r="G4032" i="3" a="1"/>
  <c r="G4032" i="3" s="1"/>
  <c r="J4032" i="3" a="1"/>
  <c r="J4032" i="3" s="1"/>
  <c r="B4033" i="3" a="1"/>
  <c r="B4033" i="3" s="1"/>
  <c r="C4033" i="3" a="1"/>
  <c r="C4033" i="3" s="1"/>
  <c r="D4033" i="3" a="1"/>
  <c r="D4033" i="3" s="1"/>
  <c r="E4033" i="3" a="1"/>
  <c r="E4033" i="3" s="1"/>
  <c r="F4033" i="3" a="1"/>
  <c r="F4033" i="3" s="1"/>
  <c r="G4033" i="3" a="1"/>
  <c r="G4033" i="3" s="1"/>
  <c r="J4033" i="3" a="1"/>
  <c r="J4033" i="3" s="1"/>
  <c r="B4034" i="3" a="1"/>
  <c r="B4034" i="3" s="1"/>
  <c r="C4034" i="3" a="1"/>
  <c r="C4034" i="3" s="1"/>
  <c r="D4034" i="3" a="1"/>
  <c r="D4034" i="3" s="1"/>
  <c r="E4034" i="3" a="1"/>
  <c r="E4034" i="3" s="1"/>
  <c r="F4034" i="3" a="1"/>
  <c r="F4034" i="3" s="1"/>
  <c r="G4034" i="3" a="1"/>
  <c r="G4034" i="3" s="1"/>
  <c r="J4034" i="3" a="1"/>
  <c r="J4034" i="3" s="1"/>
  <c r="B4035" i="3" a="1"/>
  <c r="B4035" i="3" s="1"/>
  <c r="C4035" i="3" a="1"/>
  <c r="C4035" i="3" s="1"/>
  <c r="D4035" i="3" a="1"/>
  <c r="D4035" i="3" s="1"/>
  <c r="E4035" i="3" a="1"/>
  <c r="E4035" i="3" s="1"/>
  <c r="F4035" i="3" a="1"/>
  <c r="F4035" i="3" s="1"/>
  <c r="G4035" i="3" a="1"/>
  <c r="G4035" i="3" s="1"/>
  <c r="J4035" i="3" a="1"/>
  <c r="J4035" i="3" s="1"/>
  <c r="B4036" i="3" a="1"/>
  <c r="B4036" i="3" s="1"/>
  <c r="C4036" i="3" a="1"/>
  <c r="C4036" i="3" s="1"/>
  <c r="D4036" i="3" a="1"/>
  <c r="D4036" i="3" s="1"/>
  <c r="E4036" i="3" a="1"/>
  <c r="E4036" i="3" s="1"/>
  <c r="F4036" i="3" a="1"/>
  <c r="F4036" i="3" s="1"/>
  <c r="G4036" i="3" a="1"/>
  <c r="G4036" i="3" s="1"/>
  <c r="J4036" i="3" a="1"/>
  <c r="J4036" i="3" s="1"/>
  <c r="B4037" i="3" a="1"/>
  <c r="B4037" i="3" s="1"/>
  <c r="C4037" i="3" a="1"/>
  <c r="C4037" i="3" s="1"/>
  <c r="D4037" i="3" a="1"/>
  <c r="D4037" i="3" s="1"/>
  <c r="E4037" i="3" a="1"/>
  <c r="E4037" i="3" s="1"/>
  <c r="F4037" i="3" a="1"/>
  <c r="F4037" i="3" s="1"/>
  <c r="G4037" i="3" a="1"/>
  <c r="G4037" i="3" s="1"/>
  <c r="J4037" i="3" a="1"/>
  <c r="J4037" i="3" s="1"/>
  <c r="B4038" i="3" a="1"/>
  <c r="B4038" i="3" s="1"/>
  <c r="C4038" i="3" a="1"/>
  <c r="C4038" i="3" s="1"/>
  <c r="D4038" i="3" a="1"/>
  <c r="D4038" i="3" s="1"/>
  <c r="E4038" i="3" a="1"/>
  <c r="E4038" i="3" s="1"/>
  <c r="F4038" i="3" a="1"/>
  <c r="F4038" i="3" s="1"/>
  <c r="G4038" i="3" a="1"/>
  <c r="G4038" i="3" s="1"/>
  <c r="J4038" i="3" a="1"/>
  <c r="J4038" i="3" s="1"/>
  <c r="B4039" i="3" a="1"/>
  <c r="B4039" i="3" s="1"/>
  <c r="C4039" i="3" a="1"/>
  <c r="C4039" i="3" s="1"/>
  <c r="D4039" i="3" a="1"/>
  <c r="D4039" i="3" s="1"/>
  <c r="E4039" i="3" a="1"/>
  <c r="E4039" i="3" s="1"/>
  <c r="F4039" i="3" a="1"/>
  <c r="F4039" i="3" s="1"/>
  <c r="G4039" i="3" a="1"/>
  <c r="G4039" i="3" s="1"/>
  <c r="J4039" i="3" a="1"/>
  <c r="J4039" i="3" s="1"/>
  <c r="B4040" i="3" a="1"/>
  <c r="B4040" i="3" s="1"/>
  <c r="C4040" i="3" a="1"/>
  <c r="C4040" i="3" s="1"/>
  <c r="D4040" i="3" a="1"/>
  <c r="D4040" i="3" s="1"/>
  <c r="E4040" i="3" a="1"/>
  <c r="E4040" i="3" s="1"/>
  <c r="F4040" i="3" a="1"/>
  <c r="F4040" i="3" s="1"/>
  <c r="G4040" i="3" a="1"/>
  <c r="G4040" i="3" s="1"/>
  <c r="J4040" i="3" a="1"/>
  <c r="J4040" i="3" s="1"/>
  <c r="B4041" i="3" a="1"/>
  <c r="B4041" i="3" s="1"/>
  <c r="C4041" i="3" a="1"/>
  <c r="C4041" i="3" s="1"/>
  <c r="D4041" i="3" a="1"/>
  <c r="D4041" i="3" s="1"/>
  <c r="E4041" i="3" a="1"/>
  <c r="E4041" i="3" s="1"/>
  <c r="F4041" i="3" a="1"/>
  <c r="F4041" i="3" s="1"/>
  <c r="G4041" i="3" a="1"/>
  <c r="G4041" i="3" s="1"/>
  <c r="J4041" i="3" a="1"/>
  <c r="J4041" i="3" s="1"/>
  <c r="B4042" i="3" a="1"/>
  <c r="B4042" i="3" s="1"/>
  <c r="C4042" i="3" a="1"/>
  <c r="C4042" i="3" s="1"/>
  <c r="D4042" i="3" a="1"/>
  <c r="D4042" i="3" s="1"/>
  <c r="E4042" i="3" a="1"/>
  <c r="E4042" i="3" s="1"/>
  <c r="F4042" i="3" a="1"/>
  <c r="F4042" i="3" s="1"/>
  <c r="G4042" i="3" a="1"/>
  <c r="G4042" i="3" s="1"/>
  <c r="J4042" i="3" a="1"/>
  <c r="J4042" i="3" s="1"/>
  <c r="B4043" i="3" a="1"/>
  <c r="B4043" i="3" s="1"/>
  <c r="C4043" i="3" a="1"/>
  <c r="C4043" i="3" s="1"/>
  <c r="D4043" i="3" a="1"/>
  <c r="D4043" i="3" s="1"/>
  <c r="E4043" i="3" a="1"/>
  <c r="E4043" i="3" s="1"/>
  <c r="F4043" i="3" a="1"/>
  <c r="F4043" i="3" s="1"/>
  <c r="G4043" i="3" a="1"/>
  <c r="G4043" i="3" s="1"/>
  <c r="J4043" i="3" a="1"/>
  <c r="J4043" i="3" s="1"/>
  <c r="B4044" i="3" a="1"/>
  <c r="B4044" i="3" s="1"/>
  <c r="C4044" i="3" a="1"/>
  <c r="C4044" i="3" s="1"/>
  <c r="D4044" i="3" a="1"/>
  <c r="D4044" i="3" s="1"/>
  <c r="E4044" i="3" a="1"/>
  <c r="E4044" i="3" s="1"/>
  <c r="F4044" i="3" a="1"/>
  <c r="F4044" i="3" s="1"/>
  <c r="G4044" i="3" a="1"/>
  <c r="G4044" i="3" s="1"/>
  <c r="J4044" i="3" a="1"/>
  <c r="J4044" i="3" s="1"/>
  <c r="B4045" i="3" a="1"/>
  <c r="B4045" i="3" s="1"/>
  <c r="C4045" i="3" a="1"/>
  <c r="C4045" i="3" s="1"/>
  <c r="D4045" i="3" a="1"/>
  <c r="D4045" i="3" s="1"/>
  <c r="E4045" i="3" a="1"/>
  <c r="E4045" i="3" s="1"/>
  <c r="F4045" i="3" a="1"/>
  <c r="F4045" i="3" s="1"/>
  <c r="G4045" i="3" a="1"/>
  <c r="G4045" i="3" s="1"/>
  <c r="J4045" i="3" a="1"/>
  <c r="J4045" i="3" s="1"/>
  <c r="B4046" i="3" a="1"/>
  <c r="B4046" i="3" s="1"/>
  <c r="C4046" i="3" a="1"/>
  <c r="C4046" i="3" s="1"/>
  <c r="D4046" i="3" a="1"/>
  <c r="D4046" i="3" s="1"/>
  <c r="E4046" i="3" a="1"/>
  <c r="E4046" i="3" s="1"/>
  <c r="F4046" i="3" a="1"/>
  <c r="F4046" i="3" s="1"/>
  <c r="G4046" i="3" a="1"/>
  <c r="G4046" i="3" s="1"/>
  <c r="J4046" i="3" a="1"/>
  <c r="J4046" i="3" s="1"/>
  <c r="B4047" i="3" a="1"/>
  <c r="B4047" i="3" s="1"/>
  <c r="C4047" i="3" a="1"/>
  <c r="C4047" i="3" s="1"/>
  <c r="D4047" i="3" a="1"/>
  <c r="D4047" i="3" s="1"/>
  <c r="E4047" i="3" a="1"/>
  <c r="E4047" i="3" s="1"/>
  <c r="F4047" i="3" a="1"/>
  <c r="F4047" i="3" s="1"/>
  <c r="G4047" i="3" a="1"/>
  <c r="G4047" i="3" s="1"/>
  <c r="J4047" i="3" a="1"/>
  <c r="J4047" i="3" s="1"/>
  <c r="B4048" i="3" a="1"/>
  <c r="B4048" i="3" s="1"/>
  <c r="C4048" i="3" a="1"/>
  <c r="C4048" i="3" s="1"/>
  <c r="D4048" i="3" a="1"/>
  <c r="D4048" i="3" s="1"/>
  <c r="E4048" i="3" a="1"/>
  <c r="E4048" i="3" s="1"/>
  <c r="F4048" i="3" a="1"/>
  <c r="F4048" i="3" s="1"/>
  <c r="G4048" i="3" a="1"/>
  <c r="G4048" i="3" s="1"/>
  <c r="J4048" i="3" a="1"/>
  <c r="J4048" i="3" s="1"/>
  <c r="B4049" i="3" a="1"/>
  <c r="B4049" i="3" s="1"/>
  <c r="C4049" i="3" a="1"/>
  <c r="C4049" i="3" s="1"/>
  <c r="D4049" i="3" a="1"/>
  <c r="D4049" i="3" s="1"/>
  <c r="E4049" i="3" a="1"/>
  <c r="E4049" i="3" s="1"/>
  <c r="F4049" i="3" a="1"/>
  <c r="F4049" i="3" s="1"/>
  <c r="G4049" i="3" a="1"/>
  <c r="G4049" i="3" s="1"/>
  <c r="J4049" i="3" a="1"/>
  <c r="J4049" i="3" s="1"/>
  <c r="B4050" i="3" a="1"/>
  <c r="B4050" i="3" s="1"/>
  <c r="C4050" i="3" a="1"/>
  <c r="C4050" i="3" s="1"/>
  <c r="D4050" i="3" a="1"/>
  <c r="D4050" i="3" s="1"/>
  <c r="E4050" i="3" a="1"/>
  <c r="E4050" i="3" s="1"/>
  <c r="F4050" i="3" a="1"/>
  <c r="F4050" i="3" s="1"/>
  <c r="G4050" i="3" a="1"/>
  <c r="G4050" i="3" s="1"/>
  <c r="J4050" i="3" a="1"/>
  <c r="J4050" i="3" s="1"/>
  <c r="B4051" i="3" a="1"/>
  <c r="B4051" i="3" s="1"/>
  <c r="C4051" i="3" a="1"/>
  <c r="C4051" i="3" s="1"/>
  <c r="D4051" i="3" a="1"/>
  <c r="D4051" i="3" s="1"/>
  <c r="E4051" i="3" a="1"/>
  <c r="E4051" i="3" s="1"/>
  <c r="F4051" i="3" a="1"/>
  <c r="F4051" i="3" s="1"/>
  <c r="G4051" i="3" a="1"/>
  <c r="G4051" i="3" s="1"/>
  <c r="J4051" i="3" a="1"/>
  <c r="J4051" i="3" s="1"/>
  <c r="B4052" i="3" a="1"/>
  <c r="B4052" i="3" s="1"/>
  <c r="C4052" i="3" a="1"/>
  <c r="C4052" i="3" s="1"/>
  <c r="D4052" i="3" a="1"/>
  <c r="D4052" i="3" s="1"/>
  <c r="E4052" i="3" a="1"/>
  <c r="E4052" i="3" s="1"/>
  <c r="F4052" i="3" a="1"/>
  <c r="F4052" i="3" s="1"/>
  <c r="G4052" i="3" a="1"/>
  <c r="G4052" i="3" s="1"/>
  <c r="J4052" i="3" a="1"/>
  <c r="J4052" i="3" s="1"/>
  <c r="B4053" i="3" a="1"/>
  <c r="B4053" i="3" s="1"/>
  <c r="C4053" i="3" a="1"/>
  <c r="C4053" i="3" s="1"/>
  <c r="D4053" i="3" a="1"/>
  <c r="D4053" i="3" s="1"/>
  <c r="E4053" i="3" a="1"/>
  <c r="E4053" i="3" s="1"/>
  <c r="F4053" i="3" a="1"/>
  <c r="F4053" i="3" s="1"/>
  <c r="G4053" i="3" a="1"/>
  <c r="G4053" i="3" s="1"/>
  <c r="J4053" i="3" a="1"/>
  <c r="J4053" i="3" s="1"/>
  <c r="B4054" i="3" a="1"/>
  <c r="B4054" i="3" s="1"/>
  <c r="C4054" i="3" a="1"/>
  <c r="C4054" i="3" s="1"/>
  <c r="D4054" i="3" a="1"/>
  <c r="D4054" i="3" s="1"/>
  <c r="E4054" i="3" a="1"/>
  <c r="E4054" i="3" s="1"/>
  <c r="F4054" i="3" a="1"/>
  <c r="F4054" i="3" s="1"/>
  <c r="G4054" i="3" a="1"/>
  <c r="G4054" i="3" s="1"/>
  <c r="J4054" i="3" a="1"/>
  <c r="J4054" i="3" s="1"/>
  <c r="B4055" i="3" a="1"/>
  <c r="B4055" i="3" s="1"/>
  <c r="C4055" i="3" a="1"/>
  <c r="C4055" i="3" s="1"/>
  <c r="D4055" i="3" a="1"/>
  <c r="D4055" i="3" s="1"/>
  <c r="E4055" i="3" a="1"/>
  <c r="E4055" i="3" s="1"/>
  <c r="F4055" i="3" a="1"/>
  <c r="F4055" i="3" s="1"/>
  <c r="G4055" i="3" a="1"/>
  <c r="G4055" i="3" s="1"/>
  <c r="J4055" i="3" a="1"/>
  <c r="J4055" i="3" s="1"/>
  <c r="B4056" i="3" a="1"/>
  <c r="B4056" i="3" s="1"/>
  <c r="C4056" i="3" a="1"/>
  <c r="C4056" i="3" s="1"/>
  <c r="D4056" i="3" a="1"/>
  <c r="D4056" i="3" s="1"/>
  <c r="E4056" i="3" a="1"/>
  <c r="E4056" i="3" s="1"/>
  <c r="F4056" i="3" a="1"/>
  <c r="F4056" i="3" s="1"/>
  <c r="G4056" i="3" a="1"/>
  <c r="G4056" i="3" s="1"/>
  <c r="J4056" i="3" a="1"/>
  <c r="J4056" i="3" s="1"/>
  <c r="B4057" i="3" a="1"/>
  <c r="B4057" i="3" s="1"/>
  <c r="C4057" i="3" a="1"/>
  <c r="C4057" i="3" s="1"/>
  <c r="D4057" i="3" a="1"/>
  <c r="D4057" i="3" s="1"/>
  <c r="E4057" i="3" a="1"/>
  <c r="E4057" i="3" s="1"/>
  <c r="F4057" i="3" a="1"/>
  <c r="F4057" i="3" s="1"/>
  <c r="G4057" i="3" a="1"/>
  <c r="G4057" i="3" s="1"/>
  <c r="J4057" i="3" a="1"/>
  <c r="J4057" i="3" s="1"/>
  <c r="B4058" i="3" a="1"/>
  <c r="B4058" i="3" s="1"/>
  <c r="C4058" i="3" a="1"/>
  <c r="C4058" i="3" s="1"/>
  <c r="D4058" i="3" a="1"/>
  <c r="D4058" i="3" s="1"/>
  <c r="E4058" i="3" a="1"/>
  <c r="E4058" i="3" s="1"/>
  <c r="F4058" i="3" a="1"/>
  <c r="F4058" i="3" s="1"/>
  <c r="G4058" i="3" a="1"/>
  <c r="G4058" i="3" s="1"/>
  <c r="J4058" i="3" a="1"/>
  <c r="J4058" i="3" s="1"/>
  <c r="B4059" i="3" a="1"/>
  <c r="B4059" i="3" s="1"/>
  <c r="C4059" i="3" a="1"/>
  <c r="C4059" i="3" s="1"/>
  <c r="D4059" i="3" a="1"/>
  <c r="D4059" i="3" s="1"/>
  <c r="E4059" i="3" a="1"/>
  <c r="E4059" i="3" s="1"/>
  <c r="F4059" i="3" a="1"/>
  <c r="F4059" i="3" s="1"/>
  <c r="G4059" i="3" a="1"/>
  <c r="G4059" i="3" s="1"/>
  <c r="J4059" i="3" a="1"/>
  <c r="J4059" i="3" s="1"/>
  <c r="B4060" i="3" a="1"/>
  <c r="B4060" i="3" s="1"/>
  <c r="C4060" i="3" a="1"/>
  <c r="C4060" i="3" s="1"/>
  <c r="D4060" i="3" a="1"/>
  <c r="D4060" i="3" s="1"/>
  <c r="E4060" i="3" a="1"/>
  <c r="E4060" i="3" s="1"/>
  <c r="F4060" i="3" a="1"/>
  <c r="F4060" i="3" s="1"/>
  <c r="G4060" i="3" a="1"/>
  <c r="G4060" i="3" s="1"/>
  <c r="J4060" i="3" a="1"/>
  <c r="J4060" i="3" s="1"/>
  <c r="B4061" i="3" a="1"/>
  <c r="B4061" i="3" s="1"/>
  <c r="C4061" i="3" a="1"/>
  <c r="C4061" i="3" s="1"/>
  <c r="D4061" i="3" a="1"/>
  <c r="D4061" i="3" s="1"/>
  <c r="E4061" i="3" a="1"/>
  <c r="E4061" i="3" s="1"/>
  <c r="F4061" i="3" a="1"/>
  <c r="F4061" i="3" s="1"/>
  <c r="G4061" i="3" a="1"/>
  <c r="G4061" i="3" s="1"/>
  <c r="J4061" i="3" a="1"/>
  <c r="J4061" i="3" s="1"/>
  <c r="B4062" i="3" a="1"/>
  <c r="B4062" i="3" s="1"/>
  <c r="C4062" i="3" a="1"/>
  <c r="C4062" i="3" s="1"/>
  <c r="D4062" i="3" a="1"/>
  <c r="D4062" i="3" s="1"/>
  <c r="E4062" i="3" a="1"/>
  <c r="E4062" i="3" s="1"/>
  <c r="F4062" i="3" a="1"/>
  <c r="F4062" i="3" s="1"/>
  <c r="G4062" i="3" a="1"/>
  <c r="G4062" i="3" s="1"/>
  <c r="J4062" i="3" a="1"/>
  <c r="J4062" i="3" s="1"/>
  <c r="B4063" i="3" a="1"/>
  <c r="B4063" i="3" s="1"/>
  <c r="C4063" i="3" a="1"/>
  <c r="C4063" i="3" s="1"/>
  <c r="D4063" i="3" a="1"/>
  <c r="D4063" i="3" s="1"/>
  <c r="E4063" i="3" a="1"/>
  <c r="E4063" i="3" s="1"/>
  <c r="F4063" i="3" a="1"/>
  <c r="F4063" i="3" s="1"/>
  <c r="G4063" i="3" a="1"/>
  <c r="G4063" i="3" s="1"/>
  <c r="J4063" i="3" a="1"/>
  <c r="J4063" i="3" s="1"/>
  <c r="B4064" i="3" a="1"/>
  <c r="B4064" i="3" s="1"/>
  <c r="C4064" i="3" a="1"/>
  <c r="C4064" i="3" s="1"/>
  <c r="D4064" i="3" a="1"/>
  <c r="D4064" i="3" s="1"/>
  <c r="E4064" i="3" a="1"/>
  <c r="E4064" i="3" s="1"/>
  <c r="F4064" i="3" a="1"/>
  <c r="F4064" i="3" s="1"/>
  <c r="G4064" i="3" a="1"/>
  <c r="G4064" i="3" s="1"/>
  <c r="J4064" i="3" a="1"/>
  <c r="J4064" i="3" s="1"/>
  <c r="B4065" i="3" a="1"/>
  <c r="B4065" i="3" s="1"/>
  <c r="C4065" i="3" a="1"/>
  <c r="C4065" i="3" s="1"/>
  <c r="D4065" i="3" a="1"/>
  <c r="D4065" i="3" s="1"/>
  <c r="E4065" i="3" a="1"/>
  <c r="E4065" i="3" s="1"/>
  <c r="F4065" i="3" a="1"/>
  <c r="F4065" i="3" s="1"/>
  <c r="G4065" i="3" a="1"/>
  <c r="G4065" i="3" s="1"/>
  <c r="J4065" i="3" a="1"/>
  <c r="J4065" i="3" s="1"/>
  <c r="B4066" i="3" a="1"/>
  <c r="B4066" i="3" s="1"/>
  <c r="C4066" i="3" a="1"/>
  <c r="C4066" i="3" s="1"/>
  <c r="D4066" i="3" a="1"/>
  <c r="D4066" i="3" s="1"/>
  <c r="E4066" i="3" a="1"/>
  <c r="E4066" i="3" s="1"/>
  <c r="F4066" i="3" a="1"/>
  <c r="F4066" i="3" s="1"/>
  <c r="G4066" i="3" a="1"/>
  <c r="G4066" i="3" s="1"/>
  <c r="J4066" i="3" a="1"/>
  <c r="J4066" i="3" s="1"/>
  <c r="B4067" i="3" a="1"/>
  <c r="B4067" i="3" s="1"/>
  <c r="C4067" i="3" a="1"/>
  <c r="C4067" i="3" s="1"/>
  <c r="D4067" i="3" a="1"/>
  <c r="D4067" i="3" s="1"/>
  <c r="E4067" i="3" a="1"/>
  <c r="E4067" i="3" s="1"/>
  <c r="F4067" i="3" a="1"/>
  <c r="F4067" i="3" s="1"/>
  <c r="G4067" i="3" a="1"/>
  <c r="G4067" i="3" s="1"/>
  <c r="J4067" i="3" a="1"/>
  <c r="J4067" i="3" s="1"/>
  <c r="B4068" i="3" a="1"/>
  <c r="B4068" i="3" s="1"/>
  <c r="C4068" i="3" a="1"/>
  <c r="C4068" i="3" s="1"/>
  <c r="D4068" i="3" a="1"/>
  <c r="D4068" i="3" s="1"/>
  <c r="E4068" i="3" a="1"/>
  <c r="E4068" i="3" s="1"/>
  <c r="F4068" i="3" a="1"/>
  <c r="F4068" i="3" s="1"/>
  <c r="G4068" i="3" a="1"/>
  <c r="G4068" i="3" s="1"/>
  <c r="J4068" i="3" a="1"/>
  <c r="J4068" i="3" s="1"/>
  <c r="B4069" i="3" a="1"/>
  <c r="B4069" i="3" s="1"/>
  <c r="C4069" i="3" a="1"/>
  <c r="C4069" i="3" s="1"/>
  <c r="D4069" i="3" a="1"/>
  <c r="D4069" i="3" s="1"/>
  <c r="E4069" i="3" a="1"/>
  <c r="E4069" i="3" s="1"/>
  <c r="F4069" i="3" a="1"/>
  <c r="F4069" i="3" s="1"/>
  <c r="G4069" i="3" a="1"/>
  <c r="G4069" i="3" s="1"/>
  <c r="J4069" i="3" a="1"/>
  <c r="J4069" i="3" s="1"/>
  <c r="B4070" i="3" a="1"/>
  <c r="B4070" i="3" s="1"/>
  <c r="C4070" i="3" a="1"/>
  <c r="C4070" i="3" s="1"/>
  <c r="D4070" i="3" a="1"/>
  <c r="D4070" i="3" s="1"/>
  <c r="E4070" i="3" a="1"/>
  <c r="E4070" i="3" s="1"/>
  <c r="F4070" i="3" a="1"/>
  <c r="F4070" i="3" s="1"/>
  <c r="G4070" i="3" a="1"/>
  <c r="G4070" i="3" s="1"/>
  <c r="J4070" i="3" a="1"/>
  <c r="J4070" i="3" s="1"/>
  <c r="B4071" i="3" a="1"/>
  <c r="B4071" i="3" s="1"/>
  <c r="C4071" i="3" a="1"/>
  <c r="C4071" i="3" s="1"/>
  <c r="D4071" i="3" a="1"/>
  <c r="D4071" i="3" s="1"/>
  <c r="E4071" i="3" a="1"/>
  <c r="E4071" i="3" s="1"/>
  <c r="F4071" i="3" a="1"/>
  <c r="F4071" i="3" s="1"/>
  <c r="G4071" i="3" a="1"/>
  <c r="G4071" i="3" s="1"/>
  <c r="J4071" i="3" a="1"/>
  <c r="J4071" i="3" s="1"/>
  <c r="B4072" i="3" a="1"/>
  <c r="B4072" i="3" s="1"/>
  <c r="C4072" i="3" a="1"/>
  <c r="C4072" i="3" s="1"/>
  <c r="D4072" i="3" a="1"/>
  <c r="D4072" i="3" s="1"/>
  <c r="E4072" i="3" a="1"/>
  <c r="E4072" i="3" s="1"/>
  <c r="F4072" i="3" a="1"/>
  <c r="F4072" i="3" s="1"/>
  <c r="G4072" i="3" a="1"/>
  <c r="G4072" i="3" s="1"/>
  <c r="J4072" i="3" a="1"/>
  <c r="J4072" i="3" s="1"/>
  <c r="B4073" i="3" a="1"/>
  <c r="B4073" i="3" s="1"/>
  <c r="C4073" i="3" a="1"/>
  <c r="C4073" i="3" s="1"/>
  <c r="D4073" i="3" a="1"/>
  <c r="D4073" i="3" s="1"/>
  <c r="E4073" i="3" a="1"/>
  <c r="E4073" i="3" s="1"/>
  <c r="F4073" i="3" a="1"/>
  <c r="F4073" i="3" s="1"/>
  <c r="G4073" i="3" a="1"/>
  <c r="G4073" i="3" s="1"/>
  <c r="J4073" i="3" a="1"/>
  <c r="J4073" i="3" s="1"/>
  <c r="B4074" i="3" a="1"/>
  <c r="B4074" i="3" s="1"/>
  <c r="C4074" i="3" a="1"/>
  <c r="C4074" i="3" s="1"/>
  <c r="D4074" i="3" a="1"/>
  <c r="D4074" i="3" s="1"/>
  <c r="E4074" i="3" a="1"/>
  <c r="E4074" i="3" s="1"/>
  <c r="F4074" i="3" a="1"/>
  <c r="F4074" i="3" s="1"/>
  <c r="G4074" i="3" a="1"/>
  <c r="G4074" i="3" s="1"/>
  <c r="J4074" i="3" a="1"/>
  <c r="J4074" i="3" s="1"/>
  <c r="B4075" i="3" a="1"/>
  <c r="B4075" i="3" s="1"/>
  <c r="C4075" i="3" a="1"/>
  <c r="C4075" i="3" s="1"/>
  <c r="D4075" i="3" a="1"/>
  <c r="D4075" i="3" s="1"/>
  <c r="E4075" i="3" a="1"/>
  <c r="E4075" i="3" s="1"/>
  <c r="F4075" i="3" a="1"/>
  <c r="F4075" i="3" s="1"/>
  <c r="G4075" i="3" a="1"/>
  <c r="G4075" i="3" s="1"/>
  <c r="J4075" i="3" a="1"/>
  <c r="J4075" i="3" s="1"/>
  <c r="B4076" i="3" a="1"/>
  <c r="B4076" i="3" s="1"/>
  <c r="C4076" i="3" a="1"/>
  <c r="C4076" i="3" s="1"/>
  <c r="D4076" i="3" a="1"/>
  <c r="D4076" i="3" s="1"/>
  <c r="E4076" i="3" a="1"/>
  <c r="E4076" i="3" s="1"/>
  <c r="F4076" i="3" a="1"/>
  <c r="F4076" i="3" s="1"/>
  <c r="G4076" i="3" a="1"/>
  <c r="G4076" i="3" s="1"/>
  <c r="J4076" i="3" a="1"/>
  <c r="J4076" i="3" s="1"/>
  <c r="B4077" i="3" a="1"/>
  <c r="B4077" i="3" s="1"/>
  <c r="C4077" i="3" a="1"/>
  <c r="C4077" i="3" s="1"/>
  <c r="D4077" i="3" a="1"/>
  <c r="D4077" i="3" s="1"/>
  <c r="E4077" i="3" a="1"/>
  <c r="E4077" i="3" s="1"/>
  <c r="F4077" i="3" a="1"/>
  <c r="F4077" i="3" s="1"/>
  <c r="G4077" i="3" a="1"/>
  <c r="G4077" i="3" s="1"/>
  <c r="J4077" i="3" a="1"/>
  <c r="J4077" i="3" s="1"/>
  <c r="B4078" i="3" a="1"/>
  <c r="B4078" i="3" s="1"/>
  <c r="C4078" i="3" a="1"/>
  <c r="C4078" i="3" s="1"/>
  <c r="D4078" i="3" a="1"/>
  <c r="D4078" i="3" s="1"/>
  <c r="E4078" i="3" a="1"/>
  <c r="E4078" i="3" s="1"/>
  <c r="F4078" i="3" a="1"/>
  <c r="F4078" i="3" s="1"/>
  <c r="G4078" i="3" a="1"/>
  <c r="G4078" i="3" s="1"/>
  <c r="J4078" i="3" a="1"/>
  <c r="J4078" i="3" s="1"/>
  <c r="B4079" i="3" a="1"/>
  <c r="B4079" i="3" s="1"/>
  <c r="C4079" i="3" a="1"/>
  <c r="C4079" i="3" s="1"/>
  <c r="D4079" i="3" a="1"/>
  <c r="D4079" i="3" s="1"/>
  <c r="E4079" i="3" a="1"/>
  <c r="E4079" i="3" s="1"/>
  <c r="F4079" i="3" a="1"/>
  <c r="F4079" i="3" s="1"/>
  <c r="G4079" i="3" a="1"/>
  <c r="G4079" i="3" s="1"/>
  <c r="J4079" i="3" a="1"/>
  <c r="J4079" i="3" s="1"/>
  <c r="B4080" i="3" a="1"/>
  <c r="B4080" i="3" s="1"/>
  <c r="C4080" i="3" a="1"/>
  <c r="C4080" i="3" s="1"/>
  <c r="D4080" i="3" a="1"/>
  <c r="D4080" i="3" s="1"/>
  <c r="E4080" i="3" a="1"/>
  <c r="E4080" i="3" s="1"/>
  <c r="F4080" i="3" a="1"/>
  <c r="F4080" i="3" s="1"/>
  <c r="G4080" i="3" a="1"/>
  <c r="G4080" i="3" s="1"/>
  <c r="J4080" i="3" a="1"/>
  <c r="J4080" i="3" s="1"/>
  <c r="B4081" i="3" a="1"/>
  <c r="B4081" i="3" s="1"/>
  <c r="C4081" i="3" a="1"/>
  <c r="C4081" i="3" s="1"/>
  <c r="D4081" i="3" a="1"/>
  <c r="D4081" i="3" s="1"/>
  <c r="E4081" i="3" a="1"/>
  <c r="E4081" i="3" s="1"/>
  <c r="F4081" i="3" a="1"/>
  <c r="F4081" i="3" s="1"/>
  <c r="G4081" i="3" a="1"/>
  <c r="G4081" i="3" s="1"/>
  <c r="J4081" i="3" a="1"/>
  <c r="J4081" i="3" s="1"/>
  <c r="B4082" i="3" a="1"/>
  <c r="B4082" i="3" s="1"/>
  <c r="C4082" i="3" a="1"/>
  <c r="C4082" i="3" s="1"/>
  <c r="D4082" i="3" a="1"/>
  <c r="D4082" i="3" s="1"/>
  <c r="E4082" i="3" a="1"/>
  <c r="E4082" i="3" s="1"/>
  <c r="F4082" i="3" a="1"/>
  <c r="F4082" i="3" s="1"/>
  <c r="G4082" i="3" a="1"/>
  <c r="G4082" i="3" s="1"/>
  <c r="J4082" i="3" a="1"/>
  <c r="J4082" i="3" s="1"/>
  <c r="B4083" i="3" a="1"/>
  <c r="B4083" i="3" s="1"/>
  <c r="C4083" i="3" a="1"/>
  <c r="C4083" i="3" s="1"/>
  <c r="D4083" i="3" a="1"/>
  <c r="D4083" i="3" s="1"/>
  <c r="E4083" i="3" a="1"/>
  <c r="E4083" i="3" s="1"/>
  <c r="F4083" i="3" a="1"/>
  <c r="F4083" i="3" s="1"/>
  <c r="G4083" i="3" a="1"/>
  <c r="G4083" i="3" s="1"/>
  <c r="J4083" i="3" a="1"/>
  <c r="J4083" i="3" s="1"/>
  <c r="B4084" i="3" a="1"/>
  <c r="B4084" i="3" s="1"/>
  <c r="C4084" i="3" a="1"/>
  <c r="C4084" i="3" s="1"/>
  <c r="D4084" i="3" a="1"/>
  <c r="D4084" i="3" s="1"/>
  <c r="E4084" i="3" a="1"/>
  <c r="E4084" i="3" s="1"/>
  <c r="F4084" i="3" a="1"/>
  <c r="F4084" i="3" s="1"/>
  <c r="G4084" i="3" a="1"/>
  <c r="G4084" i="3" s="1"/>
  <c r="J4084" i="3" a="1"/>
  <c r="J4084" i="3" s="1"/>
  <c r="B4085" i="3" a="1"/>
  <c r="B4085" i="3" s="1"/>
  <c r="C4085" i="3" a="1"/>
  <c r="C4085" i="3" s="1"/>
  <c r="D4085" i="3" a="1"/>
  <c r="D4085" i="3" s="1"/>
  <c r="E4085" i="3" a="1"/>
  <c r="E4085" i="3" s="1"/>
  <c r="F4085" i="3" a="1"/>
  <c r="F4085" i="3" s="1"/>
  <c r="G4085" i="3" a="1"/>
  <c r="G4085" i="3" s="1"/>
  <c r="J4085" i="3" a="1"/>
  <c r="J4085" i="3" s="1"/>
  <c r="B4086" i="3" a="1"/>
  <c r="B4086" i="3" s="1"/>
  <c r="C4086" i="3" a="1"/>
  <c r="C4086" i="3" s="1"/>
  <c r="D4086" i="3" a="1"/>
  <c r="D4086" i="3" s="1"/>
  <c r="E4086" i="3" a="1"/>
  <c r="E4086" i="3" s="1"/>
  <c r="F4086" i="3" a="1"/>
  <c r="F4086" i="3" s="1"/>
  <c r="G4086" i="3" a="1"/>
  <c r="G4086" i="3" s="1"/>
  <c r="J4086" i="3" a="1"/>
  <c r="J4086" i="3" s="1"/>
  <c r="B4087" i="3" a="1"/>
  <c r="B4087" i="3" s="1"/>
  <c r="C4087" i="3" a="1"/>
  <c r="C4087" i="3" s="1"/>
  <c r="D4087" i="3" a="1"/>
  <c r="D4087" i="3" s="1"/>
  <c r="E4087" i="3" a="1"/>
  <c r="E4087" i="3" s="1"/>
  <c r="F4087" i="3" a="1"/>
  <c r="F4087" i="3" s="1"/>
  <c r="G4087" i="3" a="1"/>
  <c r="G4087" i="3" s="1"/>
  <c r="J4087" i="3" a="1"/>
  <c r="J4087" i="3" s="1"/>
  <c r="B4088" i="3" a="1"/>
  <c r="B4088" i="3" s="1"/>
  <c r="C4088" i="3" a="1"/>
  <c r="C4088" i="3" s="1"/>
  <c r="D4088" i="3" a="1"/>
  <c r="D4088" i="3" s="1"/>
  <c r="E4088" i="3" a="1"/>
  <c r="E4088" i="3" s="1"/>
  <c r="F4088" i="3" a="1"/>
  <c r="F4088" i="3" s="1"/>
  <c r="G4088" i="3" a="1"/>
  <c r="G4088" i="3" s="1"/>
  <c r="J4088" i="3" a="1"/>
  <c r="J4088" i="3" s="1"/>
  <c r="B4089" i="3" a="1"/>
  <c r="B4089" i="3" s="1"/>
  <c r="C4089" i="3" a="1"/>
  <c r="C4089" i="3" s="1"/>
  <c r="D4089" i="3" a="1"/>
  <c r="D4089" i="3" s="1"/>
  <c r="E4089" i="3" a="1"/>
  <c r="E4089" i="3" s="1"/>
  <c r="F4089" i="3" a="1"/>
  <c r="F4089" i="3" s="1"/>
  <c r="G4089" i="3" a="1"/>
  <c r="G4089" i="3" s="1"/>
  <c r="J4089" i="3" a="1"/>
  <c r="J4089" i="3" s="1"/>
  <c r="B4090" i="3" a="1"/>
  <c r="B4090" i="3" s="1"/>
  <c r="C4090" i="3" a="1"/>
  <c r="C4090" i="3" s="1"/>
  <c r="D4090" i="3" a="1"/>
  <c r="D4090" i="3" s="1"/>
  <c r="E4090" i="3" a="1"/>
  <c r="E4090" i="3" s="1"/>
  <c r="F4090" i="3" a="1"/>
  <c r="F4090" i="3" s="1"/>
  <c r="G4090" i="3" a="1"/>
  <c r="G4090" i="3" s="1"/>
  <c r="J4090" i="3" a="1"/>
  <c r="J4090" i="3" s="1"/>
  <c r="B4091" i="3" a="1"/>
  <c r="B4091" i="3" s="1"/>
  <c r="C4091" i="3" a="1"/>
  <c r="C4091" i="3" s="1"/>
  <c r="D4091" i="3" a="1"/>
  <c r="D4091" i="3" s="1"/>
  <c r="E4091" i="3" a="1"/>
  <c r="E4091" i="3" s="1"/>
  <c r="F4091" i="3" a="1"/>
  <c r="F4091" i="3" s="1"/>
  <c r="G4091" i="3" a="1"/>
  <c r="G4091" i="3" s="1"/>
  <c r="J4091" i="3" a="1"/>
  <c r="J4091" i="3" s="1"/>
  <c r="B4092" i="3" a="1"/>
  <c r="B4092" i="3" s="1"/>
  <c r="C4092" i="3" a="1"/>
  <c r="C4092" i="3" s="1"/>
  <c r="D4092" i="3" a="1"/>
  <c r="D4092" i="3" s="1"/>
  <c r="E4092" i="3" a="1"/>
  <c r="E4092" i="3" s="1"/>
  <c r="F4092" i="3" a="1"/>
  <c r="F4092" i="3" s="1"/>
  <c r="G4092" i="3" a="1"/>
  <c r="G4092" i="3" s="1"/>
  <c r="J4092" i="3" a="1"/>
  <c r="J4092" i="3" s="1"/>
  <c r="B4093" i="3" a="1"/>
  <c r="B4093" i="3" s="1"/>
  <c r="C4093" i="3" a="1"/>
  <c r="C4093" i="3" s="1"/>
  <c r="D4093" i="3" a="1"/>
  <c r="D4093" i="3" s="1"/>
  <c r="E4093" i="3" a="1"/>
  <c r="E4093" i="3" s="1"/>
  <c r="F4093" i="3" a="1"/>
  <c r="F4093" i="3" s="1"/>
  <c r="G4093" i="3" a="1"/>
  <c r="G4093" i="3" s="1"/>
  <c r="J4093" i="3" a="1"/>
  <c r="J4093" i="3" s="1"/>
  <c r="B4094" i="3" a="1"/>
  <c r="B4094" i="3" s="1"/>
  <c r="C4094" i="3" a="1"/>
  <c r="C4094" i="3" s="1"/>
  <c r="D4094" i="3" a="1"/>
  <c r="D4094" i="3" s="1"/>
  <c r="E4094" i="3" a="1"/>
  <c r="E4094" i="3" s="1"/>
  <c r="F4094" i="3" a="1"/>
  <c r="F4094" i="3" s="1"/>
  <c r="G4094" i="3" a="1"/>
  <c r="G4094" i="3" s="1"/>
  <c r="J4094" i="3" a="1"/>
  <c r="J4094" i="3" s="1"/>
  <c r="B4095" i="3" a="1"/>
  <c r="B4095" i="3" s="1"/>
  <c r="C4095" i="3" a="1"/>
  <c r="C4095" i="3" s="1"/>
  <c r="D4095" i="3" a="1"/>
  <c r="D4095" i="3" s="1"/>
  <c r="E4095" i="3" a="1"/>
  <c r="E4095" i="3" s="1"/>
  <c r="F4095" i="3" a="1"/>
  <c r="F4095" i="3" s="1"/>
  <c r="G4095" i="3" a="1"/>
  <c r="G4095" i="3" s="1"/>
  <c r="J4095" i="3" a="1"/>
  <c r="J4095" i="3" s="1"/>
  <c r="B4096" i="3" a="1"/>
  <c r="B4096" i="3" s="1"/>
  <c r="C4096" i="3" a="1"/>
  <c r="C4096" i="3" s="1"/>
  <c r="D4096" i="3" a="1"/>
  <c r="D4096" i="3" s="1"/>
  <c r="E4096" i="3" a="1"/>
  <c r="E4096" i="3" s="1"/>
  <c r="F4096" i="3" a="1"/>
  <c r="F4096" i="3" s="1"/>
  <c r="G4096" i="3" a="1"/>
  <c r="G4096" i="3" s="1"/>
  <c r="J4096" i="3" a="1"/>
  <c r="J4096" i="3" s="1"/>
  <c r="B4097" i="3" a="1"/>
  <c r="B4097" i="3" s="1"/>
  <c r="C4097" i="3" a="1"/>
  <c r="C4097" i="3" s="1"/>
  <c r="D4097" i="3" a="1"/>
  <c r="D4097" i="3" s="1"/>
  <c r="E4097" i="3" a="1"/>
  <c r="E4097" i="3" s="1"/>
  <c r="F4097" i="3" a="1"/>
  <c r="F4097" i="3" s="1"/>
  <c r="G4097" i="3" a="1"/>
  <c r="G4097" i="3" s="1"/>
  <c r="J4097" i="3" a="1"/>
  <c r="J4097" i="3" s="1"/>
  <c r="B4098" i="3" a="1"/>
  <c r="B4098" i="3" s="1"/>
  <c r="C4098" i="3" a="1"/>
  <c r="C4098" i="3" s="1"/>
  <c r="D4098" i="3" a="1"/>
  <c r="D4098" i="3" s="1"/>
  <c r="E4098" i="3" a="1"/>
  <c r="E4098" i="3" s="1"/>
  <c r="F4098" i="3" a="1"/>
  <c r="F4098" i="3" s="1"/>
  <c r="G4098" i="3" a="1"/>
  <c r="G4098" i="3" s="1"/>
  <c r="J4098" i="3" a="1"/>
  <c r="J4098" i="3" s="1"/>
  <c r="B4099" i="3" a="1"/>
  <c r="B4099" i="3" s="1"/>
  <c r="C4099" i="3" a="1"/>
  <c r="C4099" i="3" s="1"/>
  <c r="D4099" i="3" a="1"/>
  <c r="D4099" i="3" s="1"/>
  <c r="E4099" i="3" a="1"/>
  <c r="E4099" i="3" s="1"/>
  <c r="F4099" i="3" a="1"/>
  <c r="F4099" i="3" s="1"/>
  <c r="G4099" i="3" a="1"/>
  <c r="G4099" i="3" s="1"/>
  <c r="J4099" i="3" a="1"/>
  <c r="J4099" i="3" s="1"/>
  <c r="B4100" i="3" a="1"/>
  <c r="B4100" i="3" s="1"/>
  <c r="C4100" i="3" a="1"/>
  <c r="C4100" i="3" s="1"/>
  <c r="D4100" i="3" a="1"/>
  <c r="D4100" i="3" s="1"/>
  <c r="E4100" i="3" a="1"/>
  <c r="E4100" i="3" s="1"/>
  <c r="F4100" i="3" a="1"/>
  <c r="F4100" i="3" s="1"/>
  <c r="G4100" i="3" a="1"/>
  <c r="G4100" i="3" s="1"/>
  <c r="J4100" i="3" a="1"/>
  <c r="J4100" i="3" s="1"/>
  <c r="B4101" i="3" a="1"/>
  <c r="B4101" i="3" s="1"/>
  <c r="C4101" i="3" a="1"/>
  <c r="C4101" i="3" s="1"/>
  <c r="D4101" i="3" a="1"/>
  <c r="D4101" i="3" s="1"/>
  <c r="E4101" i="3" a="1"/>
  <c r="E4101" i="3" s="1"/>
  <c r="F4101" i="3" a="1"/>
  <c r="F4101" i="3" s="1"/>
  <c r="G4101" i="3" a="1"/>
  <c r="G4101" i="3" s="1"/>
  <c r="J4101" i="3" a="1"/>
  <c r="J4101" i="3" s="1"/>
  <c r="B4102" i="3" a="1"/>
  <c r="B4102" i="3" s="1"/>
  <c r="C4102" i="3" a="1"/>
  <c r="C4102" i="3" s="1"/>
  <c r="D4102" i="3" a="1"/>
  <c r="D4102" i="3" s="1"/>
  <c r="E4102" i="3" a="1"/>
  <c r="E4102" i="3" s="1"/>
  <c r="F4102" i="3" a="1"/>
  <c r="F4102" i="3" s="1"/>
  <c r="G4102" i="3" a="1"/>
  <c r="G4102" i="3" s="1"/>
  <c r="J4102" i="3" a="1"/>
  <c r="J4102" i="3" s="1"/>
  <c r="B4103" i="3" a="1"/>
  <c r="B4103" i="3" s="1"/>
  <c r="C4103" i="3" a="1"/>
  <c r="C4103" i="3" s="1"/>
  <c r="D4103" i="3" a="1"/>
  <c r="D4103" i="3" s="1"/>
  <c r="E4103" i="3" a="1"/>
  <c r="E4103" i="3" s="1"/>
  <c r="F4103" i="3" a="1"/>
  <c r="F4103" i="3" s="1"/>
  <c r="G4103" i="3" a="1"/>
  <c r="G4103" i="3" s="1"/>
  <c r="J4103" i="3" a="1"/>
  <c r="J4103" i="3" s="1"/>
  <c r="B4104" i="3" a="1"/>
  <c r="B4104" i="3" s="1"/>
  <c r="C4104" i="3" a="1"/>
  <c r="C4104" i="3" s="1"/>
  <c r="D4104" i="3" a="1"/>
  <c r="D4104" i="3" s="1"/>
  <c r="E4104" i="3" a="1"/>
  <c r="E4104" i="3" s="1"/>
  <c r="F4104" i="3" a="1"/>
  <c r="F4104" i="3" s="1"/>
  <c r="G4104" i="3" a="1"/>
  <c r="G4104" i="3" s="1"/>
  <c r="J4104" i="3" a="1"/>
  <c r="J4104" i="3" s="1"/>
  <c r="B4105" i="3" a="1"/>
  <c r="B4105" i="3" s="1"/>
  <c r="C4105" i="3" a="1"/>
  <c r="C4105" i="3" s="1"/>
  <c r="D4105" i="3" a="1"/>
  <c r="D4105" i="3" s="1"/>
  <c r="E4105" i="3" a="1"/>
  <c r="E4105" i="3" s="1"/>
  <c r="F4105" i="3" a="1"/>
  <c r="F4105" i="3" s="1"/>
  <c r="G4105" i="3" a="1"/>
  <c r="G4105" i="3" s="1"/>
  <c r="J4105" i="3" a="1"/>
  <c r="J4105" i="3" s="1"/>
  <c r="B4106" i="3" a="1"/>
  <c r="B4106" i="3" s="1"/>
  <c r="C4106" i="3" a="1"/>
  <c r="C4106" i="3" s="1"/>
  <c r="D4106" i="3" a="1"/>
  <c r="D4106" i="3" s="1"/>
  <c r="E4106" i="3" a="1"/>
  <c r="E4106" i="3" s="1"/>
  <c r="F4106" i="3" a="1"/>
  <c r="F4106" i="3" s="1"/>
  <c r="G4106" i="3" a="1"/>
  <c r="G4106" i="3" s="1"/>
  <c r="J4106" i="3" a="1"/>
  <c r="J4106" i="3" s="1"/>
  <c r="B4107" i="3" a="1"/>
  <c r="B4107" i="3" s="1"/>
  <c r="C4107" i="3" a="1"/>
  <c r="C4107" i="3" s="1"/>
  <c r="D4107" i="3" a="1"/>
  <c r="D4107" i="3" s="1"/>
  <c r="E4107" i="3" a="1"/>
  <c r="E4107" i="3" s="1"/>
  <c r="F4107" i="3" a="1"/>
  <c r="F4107" i="3" s="1"/>
  <c r="G4107" i="3" a="1"/>
  <c r="G4107" i="3" s="1"/>
  <c r="J4107" i="3" a="1"/>
  <c r="J4107" i="3" s="1"/>
  <c r="B4108" i="3" a="1"/>
  <c r="B4108" i="3" s="1"/>
  <c r="C4108" i="3" a="1"/>
  <c r="C4108" i="3" s="1"/>
  <c r="D4108" i="3" a="1"/>
  <c r="D4108" i="3" s="1"/>
  <c r="E4108" i="3" a="1"/>
  <c r="E4108" i="3" s="1"/>
  <c r="F4108" i="3" a="1"/>
  <c r="F4108" i="3" s="1"/>
  <c r="G4108" i="3" a="1"/>
  <c r="G4108" i="3" s="1"/>
  <c r="J4108" i="3" a="1"/>
  <c r="J4108" i="3" s="1"/>
  <c r="B4109" i="3" a="1"/>
  <c r="B4109" i="3" s="1"/>
  <c r="C4109" i="3" a="1"/>
  <c r="C4109" i="3" s="1"/>
  <c r="D4109" i="3" a="1"/>
  <c r="D4109" i="3" s="1"/>
  <c r="E4109" i="3" a="1"/>
  <c r="E4109" i="3" s="1"/>
  <c r="F4109" i="3" a="1"/>
  <c r="F4109" i="3" s="1"/>
  <c r="G4109" i="3" a="1"/>
  <c r="G4109" i="3" s="1"/>
  <c r="J4109" i="3" a="1"/>
  <c r="J4109" i="3" s="1"/>
  <c r="B4110" i="3" a="1"/>
  <c r="B4110" i="3" s="1"/>
  <c r="C4110" i="3" a="1"/>
  <c r="C4110" i="3" s="1"/>
  <c r="D4110" i="3" a="1"/>
  <c r="D4110" i="3" s="1"/>
  <c r="E4110" i="3" a="1"/>
  <c r="E4110" i="3" s="1"/>
  <c r="F4110" i="3" a="1"/>
  <c r="F4110" i="3" s="1"/>
  <c r="G4110" i="3" a="1"/>
  <c r="G4110" i="3" s="1"/>
  <c r="J4110" i="3" a="1"/>
  <c r="J4110" i="3" s="1"/>
  <c r="B4111" i="3" a="1"/>
  <c r="B4111" i="3" s="1"/>
  <c r="C4111" i="3" a="1"/>
  <c r="C4111" i="3" s="1"/>
  <c r="D4111" i="3" a="1"/>
  <c r="D4111" i="3" s="1"/>
  <c r="E4111" i="3" a="1"/>
  <c r="E4111" i="3" s="1"/>
  <c r="F4111" i="3" a="1"/>
  <c r="F4111" i="3" s="1"/>
  <c r="G4111" i="3" a="1"/>
  <c r="G4111" i="3" s="1"/>
  <c r="J4111" i="3" a="1"/>
  <c r="J4111" i="3" s="1"/>
  <c r="B4112" i="3" a="1"/>
  <c r="B4112" i="3" s="1"/>
  <c r="C4112" i="3" a="1"/>
  <c r="C4112" i="3" s="1"/>
  <c r="D4112" i="3" a="1"/>
  <c r="D4112" i="3" s="1"/>
  <c r="E4112" i="3" a="1"/>
  <c r="E4112" i="3" s="1"/>
  <c r="F4112" i="3" a="1"/>
  <c r="F4112" i="3" s="1"/>
  <c r="G4112" i="3" a="1"/>
  <c r="G4112" i="3" s="1"/>
  <c r="J4112" i="3" a="1"/>
  <c r="J4112" i="3" s="1"/>
  <c r="B4113" i="3" a="1"/>
  <c r="B4113" i="3" s="1"/>
  <c r="C4113" i="3" a="1"/>
  <c r="C4113" i="3" s="1"/>
  <c r="D4113" i="3" a="1"/>
  <c r="D4113" i="3" s="1"/>
  <c r="E4113" i="3" a="1"/>
  <c r="E4113" i="3" s="1"/>
  <c r="F4113" i="3" a="1"/>
  <c r="F4113" i="3" s="1"/>
  <c r="G4113" i="3" a="1"/>
  <c r="G4113" i="3" s="1"/>
  <c r="J4113" i="3" a="1"/>
  <c r="J4113" i="3" s="1"/>
  <c r="B4114" i="3" a="1"/>
  <c r="B4114" i="3" s="1"/>
  <c r="C4114" i="3" a="1"/>
  <c r="C4114" i="3" s="1"/>
  <c r="D4114" i="3" a="1"/>
  <c r="D4114" i="3" s="1"/>
  <c r="E4114" i="3" a="1"/>
  <c r="E4114" i="3" s="1"/>
  <c r="F4114" i="3" a="1"/>
  <c r="F4114" i="3" s="1"/>
  <c r="G4114" i="3" a="1"/>
  <c r="G4114" i="3" s="1"/>
  <c r="J4114" i="3" a="1"/>
  <c r="J4114" i="3" s="1"/>
  <c r="B4115" i="3" a="1"/>
  <c r="B4115" i="3" s="1"/>
  <c r="C4115" i="3" a="1"/>
  <c r="C4115" i="3" s="1"/>
  <c r="D4115" i="3" a="1"/>
  <c r="D4115" i="3" s="1"/>
  <c r="E4115" i="3" a="1"/>
  <c r="E4115" i="3" s="1"/>
  <c r="F4115" i="3" a="1"/>
  <c r="F4115" i="3" s="1"/>
  <c r="G4115" i="3" a="1"/>
  <c r="G4115" i="3" s="1"/>
  <c r="J4115" i="3" a="1"/>
  <c r="J4115" i="3" s="1"/>
  <c r="B4116" i="3" a="1"/>
  <c r="B4116" i="3" s="1"/>
  <c r="C4116" i="3" a="1"/>
  <c r="C4116" i="3" s="1"/>
  <c r="D4116" i="3" a="1"/>
  <c r="D4116" i="3" s="1"/>
  <c r="E4116" i="3" a="1"/>
  <c r="E4116" i="3" s="1"/>
  <c r="F4116" i="3" a="1"/>
  <c r="F4116" i="3" s="1"/>
  <c r="G4116" i="3" a="1"/>
  <c r="G4116" i="3" s="1"/>
  <c r="J4116" i="3" a="1"/>
  <c r="J4116" i="3" s="1"/>
  <c r="B4117" i="3" a="1"/>
  <c r="B4117" i="3" s="1"/>
  <c r="C4117" i="3" a="1"/>
  <c r="C4117" i="3" s="1"/>
  <c r="D4117" i="3" a="1"/>
  <c r="D4117" i="3" s="1"/>
  <c r="E4117" i="3" a="1"/>
  <c r="E4117" i="3" s="1"/>
  <c r="F4117" i="3" a="1"/>
  <c r="F4117" i="3" s="1"/>
  <c r="G4117" i="3" a="1"/>
  <c r="G4117" i="3" s="1"/>
  <c r="J4117" i="3" a="1"/>
  <c r="J4117" i="3" s="1"/>
  <c r="B4118" i="3" a="1"/>
  <c r="B4118" i="3" s="1"/>
  <c r="C4118" i="3" a="1"/>
  <c r="C4118" i="3" s="1"/>
  <c r="D4118" i="3" a="1"/>
  <c r="D4118" i="3" s="1"/>
  <c r="E4118" i="3" a="1"/>
  <c r="E4118" i="3" s="1"/>
  <c r="F4118" i="3" a="1"/>
  <c r="F4118" i="3" s="1"/>
  <c r="G4118" i="3" a="1"/>
  <c r="G4118" i="3" s="1"/>
  <c r="J4118" i="3" a="1"/>
  <c r="J4118" i="3" s="1"/>
  <c r="B4119" i="3" a="1"/>
  <c r="B4119" i="3" s="1"/>
  <c r="C4119" i="3" a="1"/>
  <c r="C4119" i="3" s="1"/>
  <c r="D4119" i="3" a="1"/>
  <c r="D4119" i="3" s="1"/>
  <c r="E4119" i="3" a="1"/>
  <c r="E4119" i="3" s="1"/>
  <c r="F4119" i="3" a="1"/>
  <c r="F4119" i="3" s="1"/>
  <c r="G4119" i="3" a="1"/>
  <c r="G4119" i="3" s="1"/>
  <c r="J4119" i="3" a="1"/>
  <c r="J4119" i="3" s="1"/>
  <c r="B4120" i="3" a="1"/>
  <c r="B4120" i="3" s="1"/>
  <c r="C4120" i="3" a="1"/>
  <c r="C4120" i="3" s="1"/>
  <c r="D4120" i="3" a="1"/>
  <c r="D4120" i="3" s="1"/>
  <c r="E4120" i="3" a="1"/>
  <c r="E4120" i="3" s="1"/>
  <c r="F4120" i="3" a="1"/>
  <c r="F4120" i="3" s="1"/>
  <c r="G4120" i="3" a="1"/>
  <c r="G4120" i="3" s="1"/>
  <c r="J4120" i="3" a="1"/>
  <c r="J4120" i="3" s="1"/>
  <c r="B4121" i="3" a="1"/>
  <c r="B4121" i="3" s="1"/>
  <c r="C4121" i="3" a="1"/>
  <c r="C4121" i="3" s="1"/>
  <c r="D4121" i="3" a="1"/>
  <c r="D4121" i="3" s="1"/>
  <c r="E4121" i="3" a="1"/>
  <c r="E4121" i="3" s="1"/>
  <c r="F4121" i="3" a="1"/>
  <c r="F4121" i="3" s="1"/>
  <c r="G4121" i="3" a="1"/>
  <c r="G4121" i="3" s="1"/>
  <c r="J4121" i="3" a="1"/>
  <c r="J4121" i="3" s="1"/>
  <c r="B4122" i="3" a="1"/>
  <c r="B4122" i="3" s="1"/>
  <c r="C4122" i="3" a="1"/>
  <c r="C4122" i="3" s="1"/>
  <c r="D4122" i="3" a="1"/>
  <c r="D4122" i="3" s="1"/>
  <c r="E4122" i="3" a="1"/>
  <c r="E4122" i="3" s="1"/>
  <c r="F4122" i="3" a="1"/>
  <c r="F4122" i="3" s="1"/>
  <c r="G4122" i="3" a="1"/>
  <c r="G4122" i="3" s="1"/>
  <c r="J4122" i="3" a="1"/>
  <c r="J4122" i="3" s="1"/>
  <c r="B4123" i="3" a="1"/>
  <c r="B4123" i="3" s="1"/>
  <c r="C4123" i="3" a="1"/>
  <c r="C4123" i="3" s="1"/>
  <c r="D4123" i="3" a="1"/>
  <c r="D4123" i="3" s="1"/>
  <c r="E4123" i="3" a="1"/>
  <c r="E4123" i="3" s="1"/>
  <c r="F4123" i="3" a="1"/>
  <c r="F4123" i="3" s="1"/>
  <c r="G4123" i="3" a="1"/>
  <c r="G4123" i="3" s="1"/>
  <c r="J4123" i="3" a="1"/>
  <c r="J4123" i="3" s="1"/>
  <c r="B4124" i="3" a="1"/>
  <c r="B4124" i="3" s="1"/>
  <c r="C4124" i="3" a="1"/>
  <c r="C4124" i="3" s="1"/>
  <c r="D4124" i="3" a="1"/>
  <c r="D4124" i="3" s="1"/>
  <c r="E4124" i="3" a="1"/>
  <c r="E4124" i="3" s="1"/>
  <c r="F4124" i="3" a="1"/>
  <c r="F4124" i="3" s="1"/>
  <c r="G4124" i="3" a="1"/>
  <c r="G4124" i="3" s="1"/>
  <c r="J4124" i="3" a="1"/>
  <c r="J4124" i="3" s="1"/>
  <c r="B4125" i="3" a="1"/>
  <c r="B4125" i="3" s="1"/>
  <c r="C4125" i="3" a="1"/>
  <c r="C4125" i="3" s="1"/>
  <c r="D4125" i="3" a="1"/>
  <c r="D4125" i="3" s="1"/>
  <c r="E4125" i="3" a="1"/>
  <c r="E4125" i="3" s="1"/>
  <c r="F4125" i="3" a="1"/>
  <c r="F4125" i="3" s="1"/>
  <c r="G4125" i="3" a="1"/>
  <c r="G4125" i="3" s="1"/>
  <c r="J4125" i="3" a="1"/>
  <c r="J4125" i="3" s="1"/>
  <c r="B4126" i="3" a="1"/>
  <c r="B4126" i="3" s="1"/>
  <c r="C4126" i="3" a="1"/>
  <c r="C4126" i="3" s="1"/>
  <c r="D4126" i="3" a="1"/>
  <c r="D4126" i="3" s="1"/>
  <c r="E4126" i="3" a="1"/>
  <c r="E4126" i="3" s="1"/>
  <c r="F4126" i="3" a="1"/>
  <c r="F4126" i="3" s="1"/>
  <c r="G4126" i="3" a="1"/>
  <c r="G4126" i="3" s="1"/>
  <c r="J4126" i="3" a="1"/>
  <c r="J4126" i="3" s="1"/>
  <c r="B4127" i="3" a="1"/>
  <c r="B4127" i="3" s="1"/>
  <c r="C4127" i="3" a="1"/>
  <c r="C4127" i="3" s="1"/>
  <c r="D4127" i="3" a="1"/>
  <c r="D4127" i="3" s="1"/>
  <c r="E4127" i="3" a="1"/>
  <c r="E4127" i="3" s="1"/>
  <c r="F4127" i="3" a="1"/>
  <c r="F4127" i="3" s="1"/>
  <c r="G4127" i="3" a="1"/>
  <c r="G4127" i="3" s="1"/>
  <c r="J4127" i="3" a="1"/>
  <c r="J4127" i="3" s="1"/>
  <c r="B4128" i="3" a="1"/>
  <c r="B4128" i="3" s="1"/>
  <c r="C4128" i="3" a="1"/>
  <c r="C4128" i="3" s="1"/>
  <c r="D4128" i="3" a="1"/>
  <c r="D4128" i="3" s="1"/>
  <c r="E4128" i="3" a="1"/>
  <c r="E4128" i="3" s="1"/>
  <c r="F4128" i="3" a="1"/>
  <c r="F4128" i="3" s="1"/>
  <c r="G4128" i="3" a="1"/>
  <c r="G4128" i="3" s="1"/>
  <c r="J4128" i="3" a="1"/>
  <c r="J4128" i="3" s="1"/>
  <c r="B4129" i="3" a="1"/>
  <c r="B4129" i="3" s="1"/>
  <c r="C4129" i="3" a="1"/>
  <c r="C4129" i="3" s="1"/>
  <c r="D4129" i="3" a="1"/>
  <c r="D4129" i="3" s="1"/>
  <c r="E4129" i="3" a="1"/>
  <c r="E4129" i="3" s="1"/>
  <c r="F4129" i="3" a="1"/>
  <c r="F4129" i="3" s="1"/>
  <c r="G4129" i="3" a="1"/>
  <c r="G4129" i="3" s="1"/>
  <c r="J4129" i="3" a="1"/>
  <c r="J4129" i="3" s="1"/>
  <c r="B4130" i="3" a="1"/>
  <c r="B4130" i="3" s="1"/>
  <c r="C4130" i="3" a="1"/>
  <c r="C4130" i="3" s="1"/>
  <c r="D4130" i="3" a="1"/>
  <c r="D4130" i="3" s="1"/>
  <c r="E4130" i="3" a="1"/>
  <c r="E4130" i="3" s="1"/>
  <c r="F4130" i="3" a="1"/>
  <c r="F4130" i="3" s="1"/>
  <c r="G4130" i="3" a="1"/>
  <c r="G4130" i="3" s="1"/>
  <c r="J4130" i="3" a="1"/>
  <c r="J4130" i="3" s="1"/>
  <c r="B4131" i="3" a="1"/>
  <c r="B4131" i="3" s="1"/>
  <c r="C4131" i="3" a="1"/>
  <c r="C4131" i="3" s="1"/>
  <c r="D4131" i="3" a="1"/>
  <c r="D4131" i="3" s="1"/>
  <c r="E4131" i="3" a="1"/>
  <c r="E4131" i="3" s="1"/>
  <c r="F4131" i="3" a="1"/>
  <c r="F4131" i="3" s="1"/>
  <c r="G4131" i="3" a="1"/>
  <c r="G4131" i="3" s="1"/>
  <c r="J4131" i="3" a="1"/>
  <c r="J4131" i="3" s="1"/>
  <c r="B4132" i="3" a="1"/>
  <c r="B4132" i="3" s="1"/>
  <c r="C4132" i="3" a="1"/>
  <c r="C4132" i="3" s="1"/>
  <c r="D4132" i="3" a="1"/>
  <c r="D4132" i="3" s="1"/>
  <c r="E4132" i="3" a="1"/>
  <c r="E4132" i="3" s="1"/>
  <c r="F4132" i="3" a="1"/>
  <c r="F4132" i="3" s="1"/>
  <c r="G4132" i="3" a="1"/>
  <c r="G4132" i="3" s="1"/>
  <c r="J4132" i="3" a="1"/>
  <c r="J4132" i="3" s="1"/>
  <c r="B4133" i="3" a="1"/>
  <c r="B4133" i="3" s="1"/>
  <c r="C4133" i="3" a="1"/>
  <c r="C4133" i="3" s="1"/>
  <c r="D4133" i="3" a="1"/>
  <c r="D4133" i="3" s="1"/>
  <c r="E4133" i="3" a="1"/>
  <c r="E4133" i="3" s="1"/>
  <c r="F4133" i="3" a="1"/>
  <c r="F4133" i="3" s="1"/>
  <c r="G4133" i="3" a="1"/>
  <c r="G4133" i="3" s="1"/>
  <c r="J4133" i="3" a="1"/>
  <c r="J4133" i="3" s="1"/>
  <c r="B4134" i="3" a="1"/>
  <c r="B4134" i="3" s="1"/>
  <c r="C4134" i="3" a="1"/>
  <c r="C4134" i="3" s="1"/>
  <c r="D4134" i="3" a="1"/>
  <c r="D4134" i="3" s="1"/>
  <c r="E4134" i="3" a="1"/>
  <c r="E4134" i="3" s="1"/>
  <c r="F4134" i="3" a="1"/>
  <c r="F4134" i="3" s="1"/>
  <c r="G4134" i="3" a="1"/>
  <c r="G4134" i="3" s="1"/>
  <c r="J4134" i="3" a="1"/>
  <c r="J4134" i="3" s="1"/>
  <c r="B4135" i="3" a="1"/>
  <c r="B4135" i="3" s="1"/>
  <c r="C4135" i="3" a="1"/>
  <c r="C4135" i="3" s="1"/>
  <c r="D4135" i="3" a="1"/>
  <c r="D4135" i="3" s="1"/>
  <c r="E4135" i="3" a="1"/>
  <c r="E4135" i="3" s="1"/>
  <c r="F4135" i="3" a="1"/>
  <c r="F4135" i="3" s="1"/>
  <c r="G4135" i="3" a="1"/>
  <c r="G4135" i="3" s="1"/>
  <c r="J4135" i="3" a="1"/>
  <c r="J4135" i="3" s="1"/>
  <c r="B4136" i="3" a="1"/>
  <c r="B4136" i="3" s="1"/>
  <c r="C4136" i="3" a="1"/>
  <c r="C4136" i="3" s="1"/>
  <c r="D4136" i="3" a="1"/>
  <c r="D4136" i="3" s="1"/>
  <c r="E4136" i="3" a="1"/>
  <c r="E4136" i="3" s="1"/>
  <c r="F4136" i="3" a="1"/>
  <c r="F4136" i="3" s="1"/>
  <c r="G4136" i="3" a="1"/>
  <c r="G4136" i="3" s="1"/>
  <c r="J4136" i="3" a="1"/>
  <c r="J4136" i="3" s="1"/>
  <c r="B4137" i="3" a="1"/>
  <c r="B4137" i="3" s="1"/>
  <c r="C4137" i="3" a="1"/>
  <c r="C4137" i="3" s="1"/>
  <c r="D4137" i="3" a="1"/>
  <c r="D4137" i="3" s="1"/>
  <c r="E4137" i="3" a="1"/>
  <c r="E4137" i="3" s="1"/>
  <c r="F4137" i="3" a="1"/>
  <c r="F4137" i="3" s="1"/>
  <c r="G4137" i="3" a="1"/>
  <c r="G4137" i="3" s="1"/>
  <c r="J4137" i="3" a="1"/>
  <c r="J4137" i="3" s="1"/>
  <c r="B4138" i="3" a="1"/>
  <c r="B4138" i="3" s="1"/>
  <c r="C4138" i="3" a="1"/>
  <c r="C4138" i="3" s="1"/>
  <c r="D4138" i="3" a="1"/>
  <c r="D4138" i="3" s="1"/>
  <c r="E4138" i="3" a="1"/>
  <c r="E4138" i="3" s="1"/>
  <c r="F4138" i="3" a="1"/>
  <c r="F4138" i="3" s="1"/>
  <c r="G4138" i="3" a="1"/>
  <c r="G4138" i="3" s="1"/>
  <c r="J4138" i="3" a="1"/>
  <c r="J4138" i="3" s="1"/>
  <c r="B4139" i="3" a="1"/>
  <c r="B4139" i="3" s="1"/>
  <c r="C4139" i="3" a="1"/>
  <c r="C4139" i="3" s="1"/>
  <c r="D4139" i="3" a="1"/>
  <c r="D4139" i="3" s="1"/>
  <c r="E4139" i="3" a="1"/>
  <c r="E4139" i="3" s="1"/>
  <c r="F4139" i="3" a="1"/>
  <c r="F4139" i="3" s="1"/>
  <c r="G4139" i="3" a="1"/>
  <c r="G4139" i="3" s="1"/>
  <c r="J4139" i="3" a="1"/>
  <c r="J4139" i="3" s="1"/>
  <c r="B4140" i="3" a="1"/>
  <c r="B4140" i="3" s="1"/>
  <c r="C4140" i="3" a="1"/>
  <c r="C4140" i="3" s="1"/>
  <c r="D4140" i="3" a="1"/>
  <c r="D4140" i="3" s="1"/>
  <c r="E4140" i="3" a="1"/>
  <c r="E4140" i="3" s="1"/>
  <c r="F4140" i="3" a="1"/>
  <c r="F4140" i="3" s="1"/>
  <c r="G4140" i="3" a="1"/>
  <c r="G4140" i="3" s="1"/>
  <c r="J4140" i="3" a="1"/>
  <c r="J4140" i="3" s="1"/>
  <c r="B4141" i="3" a="1"/>
  <c r="B4141" i="3" s="1"/>
  <c r="C4141" i="3" a="1"/>
  <c r="C4141" i="3" s="1"/>
  <c r="D4141" i="3" a="1"/>
  <c r="D4141" i="3" s="1"/>
  <c r="E4141" i="3" a="1"/>
  <c r="E4141" i="3" s="1"/>
  <c r="F4141" i="3" a="1"/>
  <c r="F4141" i="3" s="1"/>
  <c r="G4141" i="3" a="1"/>
  <c r="G4141" i="3" s="1"/>
  <c r="J4141" i="3" a="1"/>
  <c r="J4141" i="3" s="1"/>
  <c r="B4142" i="3" a="1"/>
  <c r="B4142" i="3" s="1"/>
  <c r="C4142" i="3" a="1"/>
  <c r="C4142" i="3" s="1"/>
  <c r="D4142" i="3" a="1"/>
  <c r="D4142" i="3" s="1"/>
  <c r="E4142" i="3" a="1"/>
  <c r="E4142" i="3" s="1"/>
  <c r="F4142" i="3" a="1"/>
  <c r="F4142" i="3" s="1"/>
  <c r="G4142" i="3" a="1"/>
  <c r="G4142" i="3" s="1"/>
  <c r="J4142" i="3" a="1"/>
  <c r="J4142" i="3" s="1"/>
  <c r="B4143" i="3" a="1"/>
  <c r="B4143" i="3" s="1"/>
  <c r="C4143" i="3" a="1"/>
  <c r="C4143" i="3" s="1"/>
  <c r="D4143" i="3" a="1"/>
  <c r="D4143" i="3" s="1"/>
  <c r="E4143" i="3" a="1"/>
  <c r="E4143" i="3" s="1"/>
  <c r="F4143" i="3" a="1"/>
  <c r="F4143" i="3" s="1"/>
  <c r="G4143" i="3" a="1"/>
  <c r="G4143" i="3" s="1"/>
  <c r="J4143" i="3" a="1"/>
  <c r="J4143" i="3" s="1"/>
  <c r="B4144" i="3" a="1"/>
  <c r="B4144" i="3" s="1"/>
  <c r="C4144" i="3" a="1"/>
  <c r="C4144" i="3" s="1"/>
  <c r="D4144" i="3" a="1"/>
  <c r="D4144" i="3" s="1"/>
  <c r="E4144" i="3" a="1"/>
  <c r="E4144" i="3" s="1"/>
  <c r="F4144" i="3" a="1"/>
  <c r="F4144" i="3" s="1"/>
  <c r="G4144" i="3" a="1"/>
  <c r="G4144" i="3" s="1"/>
  <c r="J4144" i="3" a="1"/>
  <c r="J4144" i="3" s="1"/>
  <c r="B4145" i="3" a="1"/>
  <c r="B4145" i="3" s="1"/>
  <c r="C4145" i="3" a="1"/>
  <c r="C4145" i="3" s="1"/>
  <c r="D4145" i="3" a="1"/>
  <c r="D4145" i="3" s="1"/>
  <c r="E4145" i="3" a="1"/>
  <c r="E4145" i="3" s="1"/>
  <c r="F4145" i="3" a="1"/>
  <c r="F4145" i="3" s="1"/>
  <c r="G4145" i="3" a="1"/>
  <c r="G4145" i="3" s="1"/>
  <c r="J4145" i="3" a="1"/>
  <c r="J4145" i="3" s="1"/>
  <c r="B4146" i="3" a="1"/>
  <c r="B4146" i="3" s="1"/>
  <c r="C4146" i="3" a="1"/>
  <c r="C4146" i="3" s="1"/>
  <c r="D4146" i="3" a="1"/>
  <c r="D4146" i="3" s="1"/>
  <c r="E4146" i="3" a="1"/>
  <c r="E4146" i="3" s="1"/>
  <c r="F4146" i="3" a="1"/>
  <c r="F4146" i="3" s="1"/>
  <c r="G4146" i="3" a="1"/>
  <c r="G4146" i="3" s="1"/>
  <c r="J4146" i="3" a="1"/>
  <c r="J4146" i="3" s="1"/>
  <c r="B4147" i="3" a="1"/>
  <c r="B4147" i="3" s="1"/>
  <c r="C4147" i="3" a="1"/>
  <c r="C4147" i="3" s="1"/>
  <c r="D4147" i="3" a="1"/>
  <c r="D4147" i="3" s="1"/>
  <c r="E4147" i="3" a="1"/>
  <c r="E4147" i="3" s="1"/>
  <c r="F4147" i="3" a="1"/>
  <c r="F4147" i="3" s="1"/>
  <c r="G4147" i="3" a="1"/>
  <c r="G4147" i="3" s="1"/>
  <c r="J4147" i="3" a="1"/>
  <c r="J4147" i="3" s="1"/>
  <c r="B4148" i="3" a="1"/>
  <c r="B4148" i="3" s="1"/>
  <c r="C4148" i="3" a="1"/>
  <c r="C4148" i="3" s="1"/>
  <c r="D4148" i="3" a="1"/>
  <c r="D4148" i="3" s="1"/>
  <c r="E4148" i="3" a="1"/>
  <c r="E4148" i="3" s="1"/>
  <c r="F4148" i="3" a="1"/>
  <c r="F4148" i="3" s="1"/>
  <c r="G4148" i="3" a="1"/>
  <c r="G4148" i="3" s="1"/>
  <c r="J4148" i="3" a="1"/>
  <c r="J4148" i="3" s="1"/>
  <c r="B4149" i="3" a="1"/>
  <c r="B4149" i="3" s="1"/>
  <c r="C4149" i="3" a="1"/>
  <c r="C4149" i="3" s="1"/>
  <c r="D4149" i="3" a="1"/>
  <c r="D4149" i="3" s="1"/>
  <c r="E4149" i="3" a="1"/>
  <c r="E4149" i="3" s="1"/>
  <c r="F4149" i="3" a="1"/>
  <c r="F4149" i="3" s="1"/>
  <c r="G4149" i="3" a="1"/>
  <c r="G4149" i="3" s="1"/>
  <c r="J4149" i="3" a="1"/>
  <c r="J4149" i="3" s="1"/>
  <c r="B4150" i="3" a="1"/>
  <c r="B4150" i="3" s="1"/>
  <c r="C4150" i="3" a="1"/>
  <c r="C4150" i="3" s="1"/>
  <c r="D4150" i="3" a="1"/>
  <c r="D4150" i="3" s="1"/>
  <c r="E4150" i="3" a="1"/>
  <c r="E4150" i="3" s="1"/>
  <c r="F4150" i="3" a="1"/>
  <c r="F4150" i="3" s="1"/>
  <c r="G4150" i="3" a="1"/>
  <c r="G4150" i="3" s="1"/>
  <c r="J4150" i="3" a="1"/>
  <c r="J4150" i="3" s="1"/>
  <c r="B4151" i="3" a="1"/>
  <c r="B4151" i="3" s="1"/>
  <c r="C4151" i="3" a="1"/>
  <c r="C4151" i="3" s="1"/>
  <c r="D4151" i="3" a="1"/>
  <c r="D4151" i="3" s="1"/>
  <c r="E4151" i="3" a="1"/>
  <c r="E4151" i="3" s="1"/>
  <c r="F4151" i="3" a="1"/>
  <c r="F4151" i="3" s="1"/>
  <c r="G4151" i="3" a="1"/>
  <c r="G4151" i="3" s="1"/>
  <c r="J4151" i="3" a="1"/>
  <c r="J4151" i="3" s="1"/>
  <c r="B4152" i="3" a="1"/>
  <c r="B4152" i="3" s="1"/>
  <c r="C4152" i="3" a="1"/>
  <c r="C4152" i="3" s="1"/>
  <c r="D4152" i="3" a="1"/>
  <c r="D4152" i="3" s="1"/>
  <c r="E4152" i="3" a="1"/>
  <c r="E4152" i="3" s="1"/>
  <c r="F4152" i="3" a="1"/>
  <c r="F4152" i="3" s="1"/>
  <c r="G4152" i="3" a="1"/>
  <c r="G4152" i="3" s="1"/>
  <c r="J4152" i="3" a="1"/>
  <c r="J4152" i="3" s="1"/>
  <c r="B4153" i="3" a="1"/>
  <c r="B4153" i="3" s="1"/>
  <c r="C4153" i="3" a="1"/>
  <c r="C4153" i="3" s="1"/>
  <c r="D4153" i="3" a="1"/>
  <c r="D4153" i="3" s="1"/>
  <c r="E4153" i="3" a="1"/>
  <c r="E4153" i="3" s="1"/>
  <c r="F4153" i="3" a="1"/>
  <c r="F4153" i="3" s="1"/>
  <c r="G4153" i="3" a="1"/>
  <c r="G4153" i="3" s="1"/>
  <c r="J4153" i="3" a="1"/>
  <c r="J4153" i="3" s="1"/>
  <c r="B4154" i="3" a="1"/>
  <c r="B4154" i="3" s="1"/>
  <c r="C4154" i="3" a="1"/>
  <c r="C4154" i="3" s="1"/>
  <c r="D4154" i="3" a="1"/>
  <c r="D4154" i="3" s="1"/>
  <c r="E4154" i="3" a="1"/>
  <c r="E4154" i="3" s="1"/>
  <c r="F4154" i="3" a="1"/>
  <c r="F4154" i="3" s="1"/>
  <c r="G4154" i="3" a="1"/>
  <c r="G4154" i="3" s="1"/>
  <c r="J4154" i="3" a="1"/>
  <c r="J4154" i="3" s="1"/>
  <c r="B4155" i="3" a="1"/>
  <c r="B4155" i="3" s="1"/>
  <c r="C4155" i="3" a="1"/>
  <c r="C4155" i="3" s="1"/>
  <c r="D4155" i="3" a="1"/>
  <c r="D4155" i="3" s="1"/>
  <c r="E4155" i="3" a="1"/>
  <c r="E4155" i="3" s="1"/>
  <c r="F4155" i="3" a="1"/>
  <c r="F4155" i="3" s="1"/>
  <c r="G4155" i="3" a="1"/>
  <c r="G4155" i="3" s="1"/>
  <c r="J4155" i="3" a="1"/>
  <c r="J4155" i="3" s="1"/>
  <c r="B4156" i="3" a="1"/>
  <c r="B4156" i="3" s="1"/>
  <c r="C4156" i="3" a="1"/>
  <c r="C4156" i="3" s="1"/>
  <c r="D4156" i="3" a="1"/>
  <c r="D4156" i="3" s="1"/>
  <c r="E4156" i="3" a="1"/>
  <c r="E4156" i="3" s="1"/>
  <c r="F4156" i="3" a="1"/>
  <c r="F4156" i="3" s="1"/>
  <c r="G4156" i="3" a="1"/>
  <c r="G4156" i="3" s="1"/>
  <c r="J4156" i="3" a="1"/>
  <c r="J4156" i="3" s="1"/>
  <c r="B4157" i="3" a="1"/>
  <c r="B4157" i="3" s="1"/>
  <c r="C4157" i="3" a="1"/>
  <c r="C4157" i="3" s="1"/>
  <c r="D4157" i="3" a="1"/>
  <c r="D4157" i="3" s="1"/>
  <c r="E4157" i="3" a="1"/>
  <c r="E4157" i="3" s="1"/>
  <c r="F4157" i="3" a="1"/>
  <c r="F4157" i="3" s="1"/>
  <c r="G4157" i="3" a="1"/>
  <c r="G4157" i="3" s="1"/>
  <c r="J4157" i="3" a="1"/>
  <c r="J4157" i="3" s="1"/>
  <c r="B4158" i="3" a="1"/>
  <c r="B4158" i="3" s="1"/>
  <c r="C4158" i="3" a="1"/>
  <c r="C4158" i="3" s="1"/>
  <c r="D4158" i="3" a="1"/>
  <c r="D4158" i="3" s="1"/>
  <c r="E4158" i="3" a="1"/>
  <c r="E4158" i="3" s="1"/>
  <c r="F4158" i="3" a="1"/>
  <c r="F4158" i="3" s="1"/>
  <c r="G4158" i="3" a="1"/>
  <c r="G4158" i="3" s="1"/>
  <c r="J4158" i="3" a="1"/>
  <c r="J4158" i="3" s="1"/>
  <c r="B4159" i="3" a="1"/>
  <c r="B4159" i="3" s="1"/>
  <c r="C4159" i="3" a="1"/>
  <c r="C4159" i="3" s="1"/>
  <c r="D4159" i="3" a="1"/>
  <c r="D4159" i="3" s="1"/>
  <c r="E4159" i="3" a="1"/>
  <c r="E4159" i="3" s="1"/>
  <c r="F4159" i="3" a="1"/>
  <c r="F4159" i="3" s="1"/>
  <c r="G4159" i="3" a="1"/>
  <c r="G4159" i="3" s="1"/>
  <c r="J4159" i="3" a="1"/>
  <c r="J4159" i="3" s="1"/>
  <c r="B4160" i="3" a="1"/>
  <c r="B4160" i="3" s="1"/>
  <c r="C4160" i="3" a="1"/>
  <c r="C4160" i="3" s="1"/>
  <c r="D4160" i="3" a="1"/>
  <c r="D4160" i="3" s="1"/>
  <c r="E4160" i="3" a="1"/>
  <c r="E4160" i="3" s="1"/>
  <c r="F4160" i="3" a="1"/>
  <c r="F4160" i="3" s="1"/>
  <c r="G4160" i="3" a="1"/>
  <c r="G4160" i="3" s="1"/>
  <c r="J4160" i="3" a="1"/>
  <c r="J4160" i="3" s="1"/>
  <c r="B4161" i="3" a="1"/>
  <c r="B4161" i="3" s="1"/>
  <c r="C4161" i="3" a="1"/>
  <c r="C4161" i="3" s="1"/>
  <c r="D4161" i="3" a="1"/>
  <c r="D4161" i="3" s="1"/>
  <c r="E4161" i="3" a="1"/>
  <c r="E4161" i="3" s="1"/>
  <c r="F4161" i="3" a="1"/>
  <c r="F4161" i="3" s="1"/>
  <c r="G4161" i="3" a="1"/>
  <c r="G4161" i="3" s="1"/>
  <c r="J4161" i="3" a="1"/>
  <c r="J4161" i="3" s="1"/>
  <c r="B4162" i="3" a="1"/>
  <c r="B4162" i="3" s="1"/>
  <c r="C4162" i="3" a="1"/>
  <c r="C4162" i="3" s="1"/>
  <c r="D4162" i="3" a="1"/>
  <c r="D4162" i="3" s="1"/>
  <c r="E4162" i="3" a="1"/>
  <c r="E4162" i="3" s="1"/>
  <c r="F4162" i="3" a="1"/>
  <c r="F4162" i="3" s="1"/>
  <c r="G4162" i="3" a="1"/>
  <c r="G4162" i="3" s="1"/>
  <c r="J4162" i="3" a="1"/>
  <c r="J4162" i="3" s="1"/>
  <c r="B4163" i="3" a="1"/>
  <c r="B4163" i="3" s="1"/>
  <c r="C4163" i="3" a="1"/>
  <c r="C4163" i="3" s="1"/>
  <c r="D4163" i="3" a="1"/>
  <c r="D4163" i="3" s="1"/>
  <c r="E4163" i="3" a="1"/>
  <c r="E4163" i="3" s="1"/>
  <c r="F4163" i="3" a="1"/>
  <c r="F4163" i="3" s="1"/>
  <c r="G4163" i="3" a="1"/>
  <c r="G4163" i="3" s="1"/>
  <c r="J4163" i="3" a="1"/>
  <c r="J4163" i="3" s="1"/>
  <c r="B4164" i="3" a="1"/>
  <c r="B4164" i="3" s="1"/>
  <c r="C4164" i="3" a="1"/>
  <c r="C4164" i="3" s="1"/>
  <c r="D4164" i="3" a="1"/>
  <c r="D4164" i="3" s="1"/>
  <c r="E4164" i="3" a="1"/>
  <c r="E4164" i="3" s="1"/>
  <c r="F4164" i="3" a="1"/>
  <c r="F4164" i="3" s="1"/>
  <c r="G4164" i="3" a="1"/>
  <c r="G4164" i="3" s="1"/>
  <c r="J4164" i="3" a="1"/>
  <c r="J4164" i="3" s="1"/>
  <c r="B4165" i="3" a="1"/>
  <c r="B4165" i="3" s="1"/>
  <c r="C4165" i="3" a="1"/>
  <c r="C4165" i="3" s="1"/>
  <c r="D4165" i="3" a="1"/>
  <c r="D4165" i="3" s="1"/>
  <c r="E4165" i="3" a="1"/>
  <c r="E4165" i="3" s="1"/>
  <c r="F4165" i="3" a="1"/>
  <c r="F4165" i="3" s="1"/>
  <c r="G4165" i="3" a="1"/>
  <c r="G4165" i="3" s="1"/>
  <c r="J4165" i="3" a="1"/>
  <c r="J4165" i="3" s="1"/>
  <c r="B4166" i="3" a="1"/>
  <c r="B4166" i="3" s="1"/>
  <c r="C4166" i="3" a="1"/>
  <c r="C4166" i="3" s="1"/>
  <c r="D4166" i="3" a="1"/>
  <c r="D4166" i="3" s="1"/>
  <c r="E4166" i="3" a="1"/>
  <c r="E4166" i="3" s="1"/>
  <c r="F4166" i="3" a="1"/>
  <c r="F4166" i="3" s="1"/>
  <c r="G4166" i="3" a="1"/>
  <c r="G4166" i="3" s="1"/>
  <c r="J4166" i="3" a="1"/>
  <c r="J4166" i="3" s="1"/>
  <c r="B4167" i="3" a="1"/>
  <c r="B4167" i="3" s="1"/>
  <c r="C4167" i="3" a="1"/>
  <c r="C4167" i="3" s="1"/>
  <c r="D4167" i="3" a="1"/>
  <c r="D4167" i="3" s="1"/>
  <c r="E4167" i="3" a="1"/>
  <c r="E4167" i="3" s="1"/>
  <c r="F4167" i="3" a="1"/>
  <c r="F4167" i="3" s="1"/>
  <c r="G4167" i="3" a="1"/>
  <c r="G4167" i="3" s="1"/>
  <c r="J4167" i="3" a="1"/>
  <c r="J4167" i="3" s="1"/>
  <c r="B4168" i="3" a="1"/>
  <c r="B4168" i="3" s="1"/>
  <c r="C4168" i="3" a="1"/>
  <c r="C4168" i="3" s="1"/>
  <c r="D4168" i="3" a="1"/>
  <c r="D4168" i="3" s="1"/>
  <c r="E4168" i="3" a="1"/>
  <c r="E4168" i="3" s="1"/>
  <c r="F4168" i="3" a="1"/>
  <c r="F4168" i="3" s="1"/>
  <c r="G4168" i="3" a="1"/>
  <c r="G4168" i="3" s="1"/>
  <c r="J4168" i="3" a="1"/>
  <c r="J4168" i="3" s="1"/>
  <c r="B4169" i="3" a="1"/>
  <c r="B4169" i="3" s="1"/>
  <c r="C4169" i="3" a="1"/>
  <c r="C4169" i="3" s="1"/>
  <c r="D4169" i="3" a="1"/>
  <c r="D4169" i="3" s="1"/>
  <c r="E4169" i="3" a="1"/>
  <c r="E4169" i="3" s="1"/>
  <c r="F4169" i="3" a="1"/>
  <c r="F4169" i="3" s="1"/>
  <c r="G4169" i="3" a="1"/>
  <c r="G4169" i="3" s="1"/>
  <c r="J4169" i="3" a="1"/>
  <c r="J4169" i="3" s="1"/>
  <c r="B4170" i="3" a="1"/>
  <c r="B4170" i="3" s="1"/>
  <c r="C4170" i="3" a="1"/>
  <c r="C4170" i="3" s="1"/>
  <c r="D4170" i="3" a="1"/>
  <c r="D4170" i="3" s="1"/>
  <c r="E4170" i="3" a="1"/>
  <c r="E4170" i="3" s="1"/>
  <c r="F4170" i="3" a="1"/>
  <c r="F4170" i="3" s="1"/>
  <c r="G4170" i="3" a="1"/>
  <c r="G4170" i="3" s="1"/>
  <c r="J4170" i="3" a="1"/>
  <c r="J4170" i="3" s="1"/>
  <c r="B4171" i="3" a="1"/>
  <c r="B4171" i="3" s="1"/>
  <c r="C4171" i="3" a="1"/>
  <c r="C4171" i="3" s="1"/>
  <c r="D4171" i="3" a="1"/>
  <c r="D4171" i="3" s="1"/>
  <c r="E4171" i="3" a="1"/>
  <c r="E4171" i="3" s="1"/>
  <c r="F4171" i="3" a="1"/>
  <c r="F4171" i="3" s="1"/>
  <c r="G4171" i="3" a="1"/>
  <c r="G4171" i="3" s="1"/>
  <c r="J4171" i="3" a="1"/>
  <c r="J4171" i="3" s="1"/>
  <c r="B4172" i="3" a="1"/>
  <c r="B4172" i="3" s="1"/>
  <c r="C4172" i="3" a="1"/>
  <c r="C4172" i="3" s="1"/>
  <c r="D4172" i="3" a="1"/>
  <c r="D4172" i="3" s="1"/>
  <c r="E4172" i="3" a="1"/>
  <c r="E4172" i="3" s="1"/>
  <c r="F4172" i="3" a="1"/>
  <c r="F4172" i="3" s="1"/>
  <c r="G4172" i="3" a="1"/>
  <c r="G4172" i="3" s="1"/>
  <c r="J4172" i="3" a="1"/>
  <c r="J4172" i="3" s="1"/>
  <c r="B4173" i="3" a="1"/>
  <c r="B4173" i="3" s="1"/>
  <c r="C4173" i="3" a="1"/>
  <c r="C4173" i="3" s="1"/>
  <c r="D4173" i="3" a="1"/>
  <c r="D4173" i="3" s="1"/>
  <c r="E4173" i="3" a="1"/>
  <c r="E4173" i="3" s="1"/>
  <c r="F4173" i="3" a="1"/>
  <c r="F4173" i="3" s="1"/>
  <c r="G4173" i="3" a="1"/>
  <c r="G4173" i="3" s="1"/>
  <c r="J4173" i="3" a="1"/>
  <c r="J4173" i="3" s="1"/>
  <c r="B4174" i="3" a="1"/>
  <c r="B4174" i="3" s="1"/>
  <c r="C4174" i="3" a="1"/>
  <c r="C4174" i="3" s="1"/>
  <c r="D4174" i="3" a="1"/>
  <c r="D4174" i="3" s="1"/>
  <c r="E4174" i="3" a="1"/>
  <c r="E4174" i="3" s="1"/>
  <c r="F4174" i="3" a="1"/>
  <c r="F4174" i="3" s="1"/>
  <c r="G4174" i="3" a="1"/>
  <c r="G4174" i="3" s="1"/>
  <c r="J4174" i="3" a="1"/>
  <c r="J4174" i="3" s="1"/>
  <c r="B4175" i="3" a="1"/>
  <c r="B4175" i="3" s="1"/>
  <c r="C4175" i="3" a="1"/>
  <c r="C4175" i="3" s="1"/>
  <c r="D4175" i="3" a="1"/>
  <c r="D4175" i="3" s="1"/>
  <c r="E4175" i="3" a="1"/>
  <c r="E4175" i="3" s="1"/>
  <c r="F4175" i="3" a="1"/>
  <c r="F4175" i="3" s="1"/>
  <c r="G4175" i="3" a="1"/>
  <c r="G4175" i="3" s="1"/>
  <c r="J4175" i="3" a="1"/>
  <c r="J4175" i="3" s="1"/>
  <c r="B4176" i="3" a="1"/>
  <c r="B4176" i="3" s="1"/>
  <c r="C4176" i="3" a="1"/>
  <c r="C4176" i="3" s="1"/>
  <c r="D4176" i="3" a="1"/>
  <c r="D4176" i="3" s="1"/>
  <c r="E4176" i="3" a="1"/>
  <c r="E4176" i="3" s="1"/>
  <c r="F4176" i="3" a="1"/>
  <c r="F4176" i="3" s="1"/>
  <c r="G4176" i="3" a="1"/>
  <c r="G4176" i="3" s="1"/>
  <c r="J4176" i="3" a="1"/>
  <c r="J4176" i="3" s="1"/>
  <c r="B4177" i="3" a="1"/>
  <c r="B4177" i="3" s="1"/>
  <c r="C4177" i="3" a="1"/>
  <c r="C4177" i="3" s="1"/>
  <c r="D4177" i="3" a="1"/>
  <c r="D4177" i="3" s="1"/>
  <c r="E4177" i="3" a="1"/>
  <c r="E4177" i="3" s="1"/>
  <c r="F4177" i="3" a="1"/>
  <c r="F4177" i="3" s="1"/>
  <c r="G4177" i="3" a="1"/>
  <c r="G4177" i="3" s="1"/>
  <c r="J4177" i="3" a="1"/>
  <c r="J4177" i="3" s="1"/>
  <c r="B4178" i="3" a="1"/>
  <c r="B4178" i="3" s="1"/>
  <c r="C4178" i="3" a="1"/>
  <c r="C4178" i="3" s="1"/>
  <c r="D4178" i="3" a="1"/>
  <c r="D4178" i="3" s="1"/>
  <c r="E4178" i="3" a="1"/>
  <c r="E4178" i="3" s="1"/>
  <c r="F4178" i="3" a="1"/>
  <c r="F4178" i="3" s="1"/>
  <c r="G4178" i="3" a="1"/>
  <c r="G4178" i="3" s="1"/>
  <c r="J4178" i="3" a="1"/>
  <c r="J4178" i="3" s="1"/>
  <c r="B4179" i="3" a="1"/>
  <c r="B4179" i="3" s="1"/>
  <c r="C4179" i="3" a="1"/>
  <c r="C4179" i="3" s="1"/>
  <c r="D4179" i="3" a="1"/>
  <c r="D4179" i="3" s="1"/>
  <c r="E4179" i="3" a="1"/>
  <c r="E4179" i="3" s="1"/>
  <c r="F4179" i="3" a="1"/>
  <c r="F4179" i="3" s="1"/>
  <c r="G4179" i="3" a="1"/>
  <c r="G4179" i="3" s="1"/>
  <c r="J4179" i="3" a="1"/>
  <c r="J4179" i="3" s="1"/>
  <c r="B4180" i="3" a="1"/>
  <c r="B4180" i="3" s="1"/>
  <c r="C4180" i="3" a="1"/>
  <c r="C4180" i="3" s="1"/>
  <c r="D4180" i="3" a="1"/>
  <c r="D4180" i="3" s="1"/>
  <c r="E4180" i="3" a="1"/>
  <c r="E4180" i="3" s="1"/>
  <c r="F4180" i="3" a="1"/>
  <c r="F4180" i="3" s="1"/>
  <c r="G4180" i="3" a="1"/>
  <c r="G4180" i="3" s="1"/>
  <c r="J4180" i="3" a="1"/>
  <c r="J4180" i="3" s="1"/>
  <c r="B4181" i="3" a="1"/>
  <c r="B4181" i="3" s="1"/>
  <c r="C4181" i="3" a="1"/>
  <c r="C4181" i="3" s="1"/>
  <c r="D4181" i="3" a="1"/>
  <c r="D4181" i="3" s="1"/>
  <c r="E4181" i="3" a="1"/>
  <c r="E4181" i="3" s="1"/>
  <c r="F4181" i="3" a="1"/>
  <c r="F4181" i="3" s="1"/>
  <c r="G4181" i="3" a="1"/>
  <c r="G4181" i="3" s="1"/>
  <c r="J4181" i="3" a="1"/>
  <c r="J4181" i="3" s="1"/>
  <c r="B4182" i="3" a="1"/>
  <c r="B4182" i="3" s="1"/>
  <c r="C4182" i="3" a="1"/>
  <c r="C4182" i="3" s="1"/>
  <c r="D4182" i="3" a="1"/>
  <c r="D4182" i="3" s="1"/>
  <c r="E4182" i="3" a="1"/>
  <c r="E4182" i="3" s="1"/>
  <c r="F4182" i="3" a="1"/>
  <c r="F4182" i="3" s="1"/>
  <c r="G4182" i="3" a="1"/>
  <c r="G4182" i="3" s="1"/>
  <c r="J4182" i="3" a="1"/>
  <c r="J4182" i="3" s="1"/>
  <c r="B4183" i="3" a="1"/>
  <c r="B4183" i="3" s="1"/>
  <c r="C4183" i="3" a="1"/>
  <c r="C4183" i="3" s="1"/>
  <c r="D4183" i="3" a="1"/>
  <c r="D4183" i="3" s="1"/>
  <c r="E4183" i="3" a="1"/>
  <c r="E4183" i="3" s="1"/>
  <c r="F4183" i="3" a="1"/>
  <c r="F4183" i="3" s="1"/>
  <c r="G4183" i="3" a="1"/>
  <c r="G4183" i="3" s="1"/>
  <c r="J4183" i="3" a="1"/>
  <c r="J4183" i="3" s="1"/>
  <c r="B4184" i="3" a="1"/>
  <c r="B4184" i="3" s="1"/>
  <c r="C4184" i="3" a="1"/>
  <c r="C4184" i="3" s="1"/>
  <c r="D4184" i="3" a="1"/>
  <c r="D4184" i="3" s="1"/>
  <c r="E4184" i="3" a="1"/>
  <c r="E4184" i="3" s="1"/>
  <c r="F4184" i="3" a="1"/>
  <c r="F4184" i="3" s="1"/>
  <c r="G4184" i="3" a="1"/>
  <c r="G4184" i="3" s="1"/>
  <c r="J4184" i="3" a="1"/>
  <c r="J4184" i="3" s="1"/>
  <c r="B4185" i="3" a="1"/>
  <c r="B4185" i="3" s="1"/>
  <c r="C4185" i="3" a="1"/>
  <c r="C4185" i="3" s="1"/>
  <c r="D4185" i="3" a="1"/>
  <c r="D4185" i="3" s="1"/>
  <c r="E4185" i="3" a="1"/>
  <c r="E4185" i="3" s="1"/>
  <c r="F4185" i="3" a="1"/>
  <c r="F4185" i="3" s="1"/>
  <c r="G4185" i="3" a="1"/>
  <c r="G4185" i="3" s="1"/>
  <c r="J4185" i="3" a="1"/>
  <c r="J4185" i="3" s="1"/>
  <c r="B4186" i="3" a="1"/>
  <c r="B4186" i="3" s="1"/>
  <c r="C4186" i="3" a="1"/>
  <c r="C4186" i="3" s="1"/>
  <c r="D4186" i="3" a="1"/>
  <c r="D4186" i="3" s="1"/>
  <c r="E4186" i="3" a="1"/>
  <c r="E4186" i="3" s="1"/>
  <c r="F4186" i="3" a="1"/>
  <c r="F4186" i="3" s="1"/>
  <c r="G4186" i="3" a="1"/>
  <c r="G4186" i="3" s="1"/>
  <c r="J4186" i="3" a="1"/>
  <c r="J4186" i="3" s="1"/>
  <c r="B4187" i="3" a="1"/>
  <c r="B4187" i="3" s="1"/>
  <c r="C4187" i="3" a="1"/>
  <c r="C4187" i="3" s="1"/>
  <c r="D4187" i="3" a="1"/>
  <c r="D4187" i="3" s="1"/>
  <c r="E4187" i="3" a="1"/>
  <c r="E4187" i="3" s="1"/>
  <c r="F4187" i="3" a="1"/>
  <c r="F4187" i="3" s="1"/>
  <c r="G4187" i="3" a="1"/>
  <c r="G4187" i="3" s="1"/>
  <c r="J4187" i="3" a="1"/>
  <c r="J4187" i="3" s="1"/>
  <c r="B4188" i="3" a="1"/>
  <c r="B4188" i="3" s="1"/>
  <c r="C4188" i="3" a="1"/>
  <c r="C4188" i="3" s="1"/>
  <c r="D4188" i="3" a="1"/>
  <c r="D4188" i="3" s="1"/>
  <c r="E4188" i="3" a="1"/>
  <c r="E4188" i="3" s="1"/>
  <c r="F4188" i="3" a="1"/>
  <c r="F4188" i="3" s="1"/>
  <c r="G4188" i="3" a="1"/>
  <c r="G4188" i="3" s="1"/>
  <c r="J4188" i="3" a="1"/>
  <c r="J4188" i="3" s="1"/>
  <c r="B4189" i="3" a="1"/>
  <c r="B4189" i="3" s="1"/>
  <c r="C4189" i="3" a="1"/>
  <c r="C4189" i="3" s="1"/>
  <c r="D4189" i="3" a="1"/>
  <c r="D4189" i="3" s="1"/>
  <c r="E4189" i="3" a="1"/>
  <c r="E4189" i="3" s="1"/>
  <c r="F4189" i="3" a="1"/>
  <c r="F4189" i="3" s="1"/>
  <c r="G4189" i="3" a="1"/>
  <c r="G4189" i="3" s="1"/>
  <c r="J4189" i="3" a="1"/>
  <c r="J4189" i="3" s="1"/>
  <c r="B4190" i="3" a="1"/>
  <c r="B4190" i="3" s="1"/>
  <c r="C4190" i="3" a="1"/>
  <c r="C4190" i="3" s="1"/>
  <c r="D4190" i="3" a="1"/>
  <c r="D4190" i="3" s="1"/>
  <c r="E4190" i="3" a="1"/>
  <c r="E4190" i="3" s="1"/>
  <c r="F4190" i="3" a="1"/>
  <c r="F4190" i="3" s="1"/>
  <c r="G4190" i="3" a="1"/>
  <c r="G4190" i="3" s="1"/>
  <c r="J4190" i="3" a="1"/>
  <c r="J4190" i="3" s="1"/>
  <c r="B4191" i="3" a="1"/>
  <c r="B4191" i="3" s="1"/>
  <c r="C4191" i="3" a="1"/>
  <c r="C4191" i="3" s="1"/>
  <c r="D4191" i="3" a="1"/>
  <c r="D4191" i="3" s="1"/>
  <c r="E4191" i="3" a="1"/>
  <c r="E4191" i="3" s="1"/>
  <c r="F4191" i="3" a="1"/>
  <c r="F4191" i="3" s="1"/>
  <c r="G4191" i="3" a="1"/>
  <c r="G4191" i="3" s="1"/>
  <c r="J4191" i="3" a="1"/>
  <c r="J4191" i="3" s="1"/>
  <c r="B4192" i="3" a="1"/>
  <c r="B4192" i="3" s="1"/>
  <c r="C4192" i="3" a="1"/>
  <c r="C4192" i="3" s="1"/>
  <c r="D4192" i="3" a="1"/>
  <c r="D4192" i="3" s="1"/>
  <c r="E4192" i="3" a="1"/>
  <c r="E4192" i="3" s="1"/>
  <c r="F4192" i="3" a="1"/>
  <c r="F4192" i="3" s="1"/>
  <c r="G4192" i="3" a="1"/>
  <c r="G4192" i="3" s="1"/>
  <c r="J4192" i="3" a="1"/>
  <c r="J4192" i="3" s="1"/>
  <c r="B4193" i="3" a="1"/>
  <c r="B4193" i="3" s="1"/>
  <c r="C4193" i="3" a="1"/>
  <c r="C4193" i="3" s="1"/>
  <c r="D4193" i="3" a="1"/>
  <c r="D4193" i="3" s="1"/>
  <c r="E4193" i="3" a="1"/>
  <c r="E4193" i="3" s="1"/>
  <c r="F4193" i="3" a="1"/>
  <c r="F4193" i="3" s="1"/>
  <c r="G4193" i="3" a="1"/>
  <c r="G4193" i="3" s="1"/>
  <c r="J4193" i="3" a="1"/>
  <c r="J4193" i="3" s="1"/>
  <c r="B4194" i="3" a="1"/>
  <c r="B4194" i="3" s="1"/>
  <c r="C4194" i="3" a="1"/>
  <c r="C4194" i="3" s="1"/>
  <c r="D4194" i="3" a="1"/>
  <c r="D4194" i="3" s="1"/>
  <c r="E4194" i="3" a="1"/>
  <c r="E4194" i="3" s="1"/>
  <c r="F4194" i="3" a="1"/>
  <c r="F4194" i="3" s="1"/>
  <c r="G4194" i="3" a="1"/>
  <c r="G4194" i="3" s="1"/>
  <c r="J4194" i="3" a="1"/>
  <c r="J4194" i="3" s="1"/>
  <c r="B4195" i="3" a="1"/>
  <c r="B4195" i="3" s="1"/>
  <c r="C4195" i="3" a="1"/>
  <c r="C4195" i="3" s="1"/>
  <c r="D4195" i="3" a="1"/>
  <c r="D4195" i="3" s="1"/>
  <c r="E4195" i="3" a="1"/>
  <c r="E4195" i="3" s="1"/>
  <c r="F4195" i="3" a="1"/>
  <c r="F4195" i="3" s="1"/>
  <c r="G4195" i="3" a="1"/>
  <c r="G4195" i="3" s="1"/>
  <c r="J4195" i="3" a="1"/>
  <c r="J4195" i="3" s="1"/>
  <c r="B4196" i="3" a="1"/>
  <c r="B4196" i="3" s="1"/>
  <c r="C4196" i="3" a="1"/>
  <c r="C4196" i="3" s="1"/>
  <c r="D4196" i="3" a="1"/>
  <c r="D4196" i="3" s="1"/>
  <c r="E4196" i="3" a="1"/>
  <c r="E4196" i="3" s="1"/>
  <c r="F4196" i="3" a="1"/>
  <c r="F4196" i="3" s="1"/>
  <c r="G4196" i="3" a="1"/>
  <c r="G4196" i="3" s="1"/>
  <c r="J4196" i="3" a="1"/>
  <c r="J4196" i="3" s="1"/>
  <c r="B4197" i="3" a="1"/>
  <c r="B4197" i="3" s="1"/>
  <c r="C4197" i="3" a="1"/>
  <c r="C4197" i="3" s="1"/>
  <c r="D4197" i="3" a="1"/>
  <c r="D4197" i="3" s="1"/>
  <c r="E4197" i="3" a="1"/>
  <c r="E4197" i="3" s="1"/>
  <c r="F4197" i="3" a="1"/>
  <c r="F4197" i="3" s="1"/>
  <c r="G4197" i="3" a="1"/>
  <c r="G4197" i="3" s="1"/>
  <c r="J4197" i="3" a="1"/>
  <c r="J4197" i="3" s="1"/>
  <c r="B4198" i="3" a="1"/>
  <c r="B4198" i="3" s="1"/>
  <c r="C4198" i="3" a="1"/>
  <c r="C4198" i="3" s="1"/>
  <c r="D4198" i="3" a="1"/>
  <c r="D4198" i="3" s="1"/>
  <c r="E4198" i="3" a="1"/>
  <c r="E4198" i="3" s="1"/>
  <c r="F4198" i="3" a="1"/>
  <c r="F4198" i="3" s="1"/>
  <c r="G4198" i="3" a="1"/>
  <c r="G4198" i="3" s="1"/>
  <c r="J4198" i="3" a="1"/>
  <c r="J4198" i="3" s="1"/>
  <c r="B4199" i="3" a="1"/>
  <c r="B4199" i="3" s="1"/>
  <c r="C4199" i="3" a="1"/>
  <c r="C4199" i="3" s="1"/>
  <c r="D4199" i="3" a="1"/>
  <c r="D4199" i="3" s="1"/>
  <c r="E4199" i="3" a="1"/>
  <c r="E4199" i="3" s="1"/>
  <c r="F4199" i="3" a="1"/>
  <c r="F4199" i="3" s="1"/>
  <c r="G4199" i="3" a="1"/>
  <c r="G4199" i="3" s="1"/>
  <c r="J4199" i="3" a="1"/>
  <c r="J4199" i="3" s="1"/>
  <c r="B4200" i="3" a="1"/>
  <c r="B4200" i="3" s="1"/>
  <c r="C4200" i="3" a="1"/>
  <c r="C4200" i="3" s="1"/>
  <c r="D4200" i="3" a="1"/>
  <c r="D4200" i="3" s="1"/>
  <c r="E4200" i="3" a="1"/>
  <c r="E4200" i="3" s="1"/>
  <c r="F4200" i="3" a="1"/>
  <c r="F4200" i="3" s="1"/>
  <c r="G4200" i="3" a="1"/>
  <c r="G4200" i="3" s="1"/>
  <c r="J4200" i="3" a="1"/>
  <c r="J4200" i="3" s="1"/>
  <c r="B4201" i="3" a="1"/>
  <c r="B4201" i="3" s="1"/>
  <c r="C4201" i="3" a="1"/>
  <c r="C4201" i="3" s="1"/>
  <c r="D4201" i="3" a="1"/>
  <c r="D4201" i="3" s="1"/>
  <c r="E4201" i="3" a="1"/>
  <c r="E4201" i="3" s="1"/>
  <c r="F4201" i="3" a="1"/>
  <c r="F4201" i="3" s="1"/>
  <c r="G4201" i="3" a="1"/>
  <c r="G4201" i="3" s="1"/>
  <c r="J4201" i="3" a="1"/>
  <c r="J4201" i="3" s="1"/>
  <c r="B4202" i="3" a="1"/>
  <c r="B4202" i="3" s="1"/>
  <c r="C4202" i="3" a="1"/>
  <c r="C4202" i="3" s="1"/>
  <c r="D4202" i="3" a="1"/>
  <c r="D4202" i="3" s="1"/>
  <c r="E4202" i="3" a="1"/>
  <c r="E4202" i="3" s="1"/>
  <c r="F4202" i="3" a="1"/>
  <c r="F4202" i="3" s="1"/>
  <c r="G4202" i="3" a="1"/>
  <c r="G4202" i="3" s="1"/>
  <c r="J4202" i="3" a="1"/>
  <c r="J4202" i="3" s="1"/>
  <c r="B4203" i="3" a="1"/>
  <c r="B4203" i="3" s="1"/>
  <c r="C4203" i="3" a="1"/>
  <c r="C4203" i="3" s="1"/>
  <c r="D4203" i="3" a="1"/>
  <c r="D4203" i="3" s="1"/>
  <c r="E4203" i="3" a="1"/>
  <c r="E4203" i="3" s="1"/>
  <c r="F4203" i="3" a="1"/>
  <c r="F4203" i="3" s="1"/>
  <c r="G4203" i="3" a="1"/>
  <c r="G4203" i="3" s="1"/>
  <c r="J4203" i="3" a="1"/>
  <c r="J4203" i="3" s="1"/>
  <c r="B4204" i="3" a="1"/>
  <c r="B4204" i="3" s="1"/>
  <c r="C4204" i="3" a="1"/>
  <c r="C4204" i="3" s="1"/>
  <c r="D4204" i="3" a="1"/>
  <c r="D4204" i="3" s="1"/>
  <c r="E4204" i="3" a="1"/>
  <c r="E4204" i="3" s="1"/>
  <c r="F4204" i="3" a="1"/>
  <c r="F4204" i="3" s="1"/>
  <c r="G4204" i="3" a="1"/>
  <c r="G4204" i="3" s="1"/>
  <c r="J4204" i="3" a="1"/>
  <c r="J4204" i="3" s="1"/>
  <c r="B4205" i="3" a="1"/>
  <c r="B4205" i="3" s="1"/>
  <c r="C4205" i="3" a="1"/>
  <c r="C4205" i="3" s="1"/>
  <c r="D4205" i="3" a="1"/>
  <c r="D4205" i="3" s="1"/>
  <c r="E4205" i="3" a="1"/>
  <c r="E4205" i="3" s="1"/>
  <c r="F4205" i="3" a="1"/>
  <c r="F4205" i="3" s="1"/>
  <c r="G4205" i="3" a="1"/>
  <c r="G4205" i="3" s="1"/>
  <c r="J4205" i="3" a="1"/>
  <c r="J4205" i="3" s="1"/>
  <c r="B4206" i="3" a="1"/>
  <c r="B4206" i="3" s="1"/>
  <c r="C4206" i="3" a="1"/>
  <c r="C4206" i="3" s="1"/>
  <c r="D4206" i="3" a="1"/>
  <c r="D4206" i="3" s="1"/>
  <c r="E4206" i="3" a="1"/>
  <c r="E4206" i="3" s="1"/>
  <c r="F4206" i="3" a="1"/>
  <c r="F4206" i="3" s="1"/>
  <c r="G4206" i="3" a="1"/>
  <c r="G4206" i="3" s="1"/>
  <c r="J4206" i="3" a="1"/>
  <c r="J4206" i="3" s="1"/>
  <c r="B4207" i="3" a="1"/>
  <c r="B4207" i="3" s="1"/>
  <c r="C4207" i="3" a="1"/>
  <c r="C4207" i="3" s="1"/>
  <c r="D4207" i="3" a="1"/>
  <c r="D4207" i="3" s="1"/>
  <c r="E4207" i="3" a="1"/>
  <c r="E4207" i="3" s="1"/>
  <c r="F4207" i="3" a="1"/>
  <c r="F4207" i="3" s="1"/>
  <c r="G4207" i="3" a="1"/>
  <c r="G4207" i="3" s="1"/>
  <c r="J4207" i="3" a="1"/>
  <c r="J4207" i="3" s="1"/>
  <c r="B4208" i="3" a="1"/>
  <c r="B4208" i="3" s="1"/>
  <c r="C4208" i="3" a="1"/>
  <c r="C4208" i="3" s="1"/>
  <c r="D4208" i="3" a="1"/>
  <c r="D4208" i="3" s="1"/>
  <c r="E4208" i="3" a="1"/>
  <c r="E4208" i="3" s="1"/>
  <c r="F4208" i="3" a="1"/>
  <c r="F4208" i="3" s="1"/>
  <c r="G4208" i="3" a="1"/>
  <c r="G4208" i="3" s="1"/>
  <c r="J4208" i="3" a="1"/>
  <c r="J4208" i="3" s="1"/>
  <c r="B4209" i="3" a="1"/>
  <c r="B4209" i="3" s="1"/>
  <c r="C4209" i="3" a="1"/>
  <c r="C4209" i="3" s="1"/>
  <c r="D4209" i="3" a="1"/>
  <c r="D4209" i="3" s="1"/>
  <c r="E4209" i="3" a="1"/>
  <c r="E4209" i="3" s="1"/>
  <c r="F4209" i="3" a="1"/>
  <c r="F4209" i="3" s="1"/>
  <c r="G4209" i="3" a="1"/>
  <c r="G4209" i="3" s="1"/>
  <c r="J4209" i="3" a="1"/>
  <c r="J4209" i="3" s="1"/>
  <c r="B4210" i="3" a="1"/>
  <c r="B4210" i="3" s="1"/>
  <c r="C4210" i="3" a="1"/>
  <c r="C4210" i="3" s="1"/>
  <c r="D4210" i="3" a="1"/>
  <c r="D4210" i="3" s="1"/>
  <c r="E4210" i="3" a="1"/>
  <c r="E4210" i="3" s="1"/>
  <c r="F4210" i="3" a="1"/>
  <c r="F4210" i="3" s="1"/>
  <c r="G4210" i="3" a="1"/>
  <c r="G4210" i="3" s="1"/>
  <c r="J4210" i="3" a="1"/>
  <c r="J4210" i="3" s="1"/>
  <c r="B4211" i="3" a="1"/>
  <c r="B4211" i="3" s="1"/>
  <c r="C4211" i="3" a="1"/>
  <c r="C4211" i="3" s="1"/>
  <c r="D4211" i="3" a="1"/>
  <c r="D4211" i="3" s="1"/>
  <c r="E4211" i="3" a="1"/>
  <c r="E4211" i="3" s="1"/>
  <c r="F4211" i="3" a="1"/>
  <c r="F4211" i="3" s="1"/>
  <c r="G4211" i="3" a="1"/>
  <c r="G4211" i="3" s="1"/>
  <c r="J4211" i="3" a="1"/>
  <c r="J4211" i="3" s="1"/>
  <c r="B4212" i="3" a="1"/>
  <c r="B4212" i="3" s="1"/>
  <c r="C4212" i="3" a="1"/>
  <c r="C4212" i="3" s="1"/>
  <c r="D4212" i="3" a="1"/>
  <c r="D4212" i="3" s="1"/>
  <c r="E4212" i="3" a="1"/>
  <c r="E4212" i="3" s="1"/>
  <c r="F4212" i="3" a="1"/>
  <c r="F4212" i="3" s="1"/>
  <c r="G4212" i="3" a="1"/>
  <c r="G4212" i="3" s="1"/>
  <c r="J4212" i="3" a="1"/>
  <c r="J4212" i="3" s="1"/>
  <c r="B4213" i="3" a="1"/>
  <c r="B4213" i="3" s="1"/>
  <c r="C4213" i="3" a="1"/>
  <c r="C4213" i="3" s="1"/>
  <c r="D4213" i="3" a="1"/>
  <c r="D4213" i="3" s="1"/>
  <c r="E4213" i="3" a="1"/>
  <c r="E4213" i="3" s="1"/>
  <c r="F4213" i="3" a="1"/>
  <c r="F4213" i="3" s="1"/>
  <c r="G4213" i="3" a="1"/>
  <c r="G4213" i="3" s="1"/>
  <c r="J4213" i="3" a="1"/>
  <c r="J4213" i="3" s="1"/>
  <c r="B4214" i="3" a="1"/>
  <c r="B4214" i="3" s="1"/>
  <c r="C4214" i="3" a="1"/>
  <c r="C4214" i="3" s="1"/>
  <c r="D4214" i="3" a="1"/>
  <c r="D4214" i="3" s="1"/>
  <c r="E4214" i="3" a="1"/>
  <c r="E4214" i="3" s="1"/>
  <c r="F4214" i="3" a="1"/>
  <c r="F4214" i="3" s="1"/>
  <c r="G4214" i="3" a="1"/>
  <c r="G4214" i="3" s="1"/>
  <c r="J4214" i="3" a="1"/>
  <c r="J4214" i="3" s="1"/>
  <c r="B4215" i="3" a="1"/>
  <c r="B4215" i="3" s="1"/>
  <c r="C4215" i="3" a="1"/>
  <c r="C4215" i="3" s="1"/>
  <c r="D4215" i="3" a="1"/>
  <c r="D4215" i="3" s="1"/>
  <c r="E4215" i="3" a="1"/>
  <c r="E4215" i="3" s="1"/>
  <c r="F4215" i="3" a="1"/>
  <c r="F4215" i="3" s="1"/>
  <c r="G4215" i="3" a="1"/>
  <c r="G4215" i="3" s="1"/>
  <c r="J4215" i="3" a="1"/>
  <c r="J4215" i="3" s="1"/>
  <c r="B4216" i="3" a="1"/>
  <c r="B4216" i="3" s="1"/>
  <c r="C4216" i="3" a="1"/>
  <c r="C4216" i="3" s="1"/>
  <c r="D4216" i="3" a="1"/>
  <c r="D4216" i="3" s="1"/>
  <c r="E4216" i="3" a="1"/>
  <c r="E4216" i="3" s="1"/>
  <c r="F4216" i="3" a="1"/>
  <c r="F4216" i="3" s="1"/>
  <c r="G4216" i="3" a="1"/>
  <c r="G4216" i="3" s="1"/>
  <c r="J4216" i="3" a="1"/>
  <c r="J4216" i="3" s="1"/>
  <c r="B4217" i="3" a="1"/>
  <c r="B4217" i="3" s="1"/>
  <c r="C4217" i="3" a="1"/>
  <c r="C4217" i="3" s="1"/>
  <c r="D4217" i="3" a="1"/>
  <c r="D4217" i="3" s="1"/>
  <c r="E4217" i="3" a="1"/>
  <c r="E4217" i="3" s="1"/>
  <c r="F4217" i="3" a="1"/>
  <c r="F4217" i="3" s="1"/>
  <c r="G4217" i="3" a="1"/>
  <c r="G4217" i="3" s="1"/>
  <c r="J4217" i="3" a="1"/>
  <c r="J4217" i="3" s="1"/>
  <c r="B4218" i="3" a="1"/>
  <c r="B4218" i="3" s="1"/>
  <c r="C4218" i="3" a="1"/>
  <c r="C4218" i="3" s="1"/>
  <c r="D4218" i="3" a="1"/>
  <c r="D4218" i="3" s="1"/>
  <c r="E4218" i="3" a="1"/>
  <c r="E4218" i="3" s="1"/>
  <c r="F4218" i="3" a="1"/>
  <c r="F4218" i="3" s="1"/>
  <c r="G4218" i="3" a="1"/>
  <c r="G4218" i="3" s="1"/>
  <c r="J4218" i="3" a="1"/>
  <c r="J4218" i="3" s="1"/>
  <c r="B4219" i="3" a="1"/>
  <c r="B4219" i="3" s="1"/>
  <c r="C4219" i="3" a="1"/>
  <c r="C4219" i="3" s="1"/>
  <c r="D4219" i="3" a="1"/>
  <c r="D4219" i="3" s="1"/>
  <c r="E4219" i="3" a="1"/>
  <c r="E4219" i="3" s="1"/>
  <c r="F4219" i="3" a="1"/>
  <c r="F4219" i="3" s="1"/>
  <c r="G4219" i="3" a="1"/>
  <c r="G4219" i="3" s="1"/>
  <c r="J4219" i="3" a="1"/>
  <c r="J4219" i="3" s="1"/>
  <c r="B4220" i="3" a="1"/>
  <c r="B4220" i="3" s="1"/>
  <c r="C4220" i="3" a="1"/>
  <c r="C4220" i="3" s="1"/>
  <c r="D4220" i="3" a="1"/>
  <c r="D4220" i="3" s="1"/>
  <c r="E4220" i="3" a="1"/>
  <c r="E4220" i="3" s="1"/>
  <c r="F4220" i="3" a="1"/>
  <c r="F4220" i="3" s="1"/>
  <c r="G4220" i="3" a="1"/>
  <c r="G4220" i="3" s="1"/>
  <c r="J4220" i="3" a="1"/>
  <c r="J4220" i="3" s="1"/>
  <c r="B4221" i="3" a="1"/>
  <c r="B4221" i="3" s="1"/>
  <c r="C4221" i="3" a="1"/>
  <c r="C4221" i="3" s="1"/>
  <c r="D4221" i="3" a="1"/>
  <c r="D4221" i="3" s="1"/>
  <c r="E4221" i="3" a="1"/>
  <c r="E4221" i="3" s="1"/>
  <c r="F4221" i="3" a="1"/>
  <c r="F4221" i="3" s="1"/>
  <c r="G4221" i="3" a="1"/>
  <c r="G4221" i="3" s="1"/>
  <c r="J4221" i="3" a="1"/>
  <c r="J4221" i="3" s="1"/>
  <c r="B4222" i="3" a="1"/>
  <c r="B4222" i="3" s="1"/>
  <c r="C4222" i="3" a="1"/>
  <c r="C4222" i="3" s="1"/>
  <c r="D4222" i="3" a="1"/>
  <c r="D4222" i="3" s="1"/>
  <c r="E4222" i="3" a="1"/>
  <c r="E4222" i="3" s="1"/>
  <c r="F4222" i="3" a="1"/>
  <c r="F4222" i="3" s="1"/>
  <c r="G4222" i="3" a="1"/>
  <c r="G4222" i="3" s="1"/>
  <c r="J4222" i="3" a="1"/>
  <c r="J4222" i="3" s="1"/>
  <c r="B4223" i="3" a="1"/>
  <c r="B4223" i="3" s="1"/>
  <c r="C4223" i="3" a="1"/>
  <c r="C4223" i="3" s="1"/>
  <c r="D4223" i="3" a="1"/>
  <c r="D4223" i="3" s="1"/>
  <c r="E4223" i="3" a="1"/>
  <c r="E4223" i="3" s="1"/>
  <c r="F4223" i="3" a="1"/>
  <c r="F4223" i="3" s="1"/>
  <c r="G4223" i="3" a="1"/>
  <c r="G4223" i="3" s="1"/>
  <c r="J4223" i="3" a="1"/>
  <c r="J4223" i="3" s="1"/>
  <c r="B4224" i="3" a="1"/>
  <c r="B4224" i="3" s="1"/>
  <c r="C4224" i="3" a="1"/>
  <c r="C4224" i="3" s="1"/>
  <c r="D4224" i="3" a="1"/>
  <c r="D4224" i="3" s="1"/>
  <c r="E4224" i="3" a="1"/>
  <c r="E4224" i="3" s="1"/>
  <c r="F4224" i="3" a="1"/>
  <c r="F4224" i="3" s="1"/>
  <c r="G4224" i="3" a="1"/>
  <c r="G4224" i="3" s="1"/>
  <c r="J4224" i="3" a="1"/>
  <c r="J4224" i="3" s="1"/>
  <c r="B4225" i="3" a="1"/>
  <c r="B4225" i="3" s="1"/>
  <c r="C4225" i="3" a="1"/>
  <c r="C4225" i="3" s="1"/>
  <c r="D4225" i="3" a="1"/>
  <c r="D4225" i="3" s="1"/>
  <c r="E4225" i="3" a="1"/>
  <c r="E4225" i="3" s="1"/>
  <c r="F4225" i="3" a="1"/>
  <c r="F4225" i="3" s="1"/>
  <c r="G4225" i="3" a="1"/>
  <c r="G4225" i="3" s="1"/>
  <c r="J4225" i="3" a="1"/>
  <c r="J4225" i="3" s="1"/>
  <c r="B4226" i="3" a="1"/>
  <c r="B4226" i="3" s="1"/>
  <c r="C4226" i="3" a="1"/>
  <c r="C4226" i="3" s="1"/>
  <c r="D4226" i="3" a="1"/>
  <c r="D4226" i="3" s="1"/>
  <c r="E4226" i="3" a="1"/>
  <c r="E4226" i="3" s="1"/>
  <c r="F4226" i="3" a="1"/>
  <c r="F4226" i="3" s="1"/>
  <c r="G4226" i="3" a="1"/>
  <c r="G4226" i="3" s="1"/>
  <c r="J4226" i="3" a="1"/>
  <c r="J4226" i="3" s="1"/>
  <c r="B4227" i="3" a="1"/>
  <c r="B4227" i="3" s="1"/>
  <c r="C4227" i="3" a="1"/>
  <c r="C4227" i="3" s="1"/>
  <c r="D4227" i="3" a="1"/>
  <c r="D4227" i="3" s="1"/>
  <c r="E4227" i="3" a="1"/>
  <c r="E4227" i="3" s="1"/>
  <c r="F4227" i="3" a="1"/>
  <c r="F4227" i="3" s="1"/>
  <c r="G4227" i="3" a="1"/>
  <c r="G4227" i="3" s="1"/>
  <c r="J4227" i="3" a="1"/>
  <c r="J4227" i="3" s="1"/>
  <c r="B4228" i="3" a="1"/>
  <c r="B4228" i="3" s="1"/>
  <c r="C4228" i="3" a="1"/>
  <c r="C4228" i="3" s="1"/>
  <c r="D4228" i="3" a="1"/>
  <c r="D4228" i="3" s="1"/>
  <c r="E4228" i="3" a="1"/>
  <c r="E4228" i="3" s="1"/>
  <c r="F4228" i="3" a="1"/>
  <c r="F4228" i="3" s="1"/>
  <c r="G4228" i="3" a="1"/>
  <c r="G4228" i="3" s="1"/>
  <c r="J4228" i="3" a="1"/>
  <c r="J4228" i="3" s="1"/>
  <c r="B4229" i="3" a="1"/>
  <c r="B4229" i="3" s="1"/>
  <c r="C4229" i="3" a="1"/>
  <c r="C4229" i="3" s="1"/>
  <c r="D4229" i="3" a="1"/>
  <c r="D4229" i="3" s="1"/>
  <c r="E4229" i="3" a="1"/>
  <c r="E4229" i="3" s="1"/>
  <c r="F4229" i="3" a="1"/>
  <c r="F4229" i="3" s="1"/>
  <c r="G4229" i="3" a="1"/>
  <c r="G4229" i="3" s="1"/>
  <c r="J4229" i="3" a="1"/>
  <c r="J4229" i="3" s="1"/>
  <c r="B4230" i="3" a="1"/>
  <c r="B4230" i="3" s="1"/>
  <c r="C4230" i="3" a="1"/>
  <c r="C4230" i="3" s="1"/>
  <c r="D4230" i="3" a="1"/>
  <c r="D4230" i="3" s="1"/>
  <c r="E4230" i="3" a="1"/>
  <c r="E4230" i="3" s="1"/>
  <c r="F4230" i="3" a="1"/>
  <c r="F4230" i="3" s="1"/>
  <c r="G4230" i="3" a="1"/>
  <c r="G4230" i="3" s="1"/>
  <c r="J4230" i="3" a="1"/>
  <c r="J4230" i="3" s="1"/>
  <c r="B4231" i="3" a="1"/>
  <c r="B4231" i="3" s="1"/>
  <c r="C4231" i="3" a="1"/>
  <c r="C4231" i="3" s="1"/>
  <c r="D4231" i="3" a="1"/>
  <c r="D4231" i="3" s="1"/>
  <c r="E4231" i="3" a="1"/>
  <c r="E4231" i="3" s="1"/>
  <c r="F4231" i="3" a="1"/>
  <c r="F4231" i="3" s="1"/>
  <c r="G4231" i="3" a="1"/>
  <c r="G4231" i="3" s="1"/>
  <c r="J4231" i="3" a="1"/>
  <c r="J4231" i="3" s="1"/>
  <c r="B4232" i="3" a="1"/>
  <c r="B4232" i="3" s="1"/>
  <c r="C4232" i="3" a="1"/>
  <c r="C4232" i="3" s="1"/>
  <c r="D4232" i="3" a="1"/>
  <c r="D4232" i="3" s="1"/>
  <c r="E4232" i="3" a="1"/>
  <c r="E4232" i="3" s="1"/>
  <c r="F4232" i="3" a="1"/>
  <c r="F4232" i="3" s="1"/>
  <c r="G4232" i="3" a="1"/>
  <c r="G4232" i="3" s="1"/>
  <c r="J4232" i="3" a="1"/>
  <c r="J4232" i="3" s="1"/>
  <c r="B4233" i="3" a="1"/>
  <c r="B4233" i="3" s="1"/>
  <c r="C4233" i="3" a="1"/>
  <c r="C4233" i="3" s="1"/>
  <c r="D4233" i="3" a="1"/>
  <c r="D4233" i="3" s="1"/>
  <c r="E4233" i="3" a="1"/>
  <c r="E4233" i="3" s="1"/>
  <c r="F4233" i="3" a="1"/>
  <c r="F4233" i="3" s="1"/>
  <c r="G4233" i="3" a="1"/>
  <c r="G4233" i="3" s="1"/>
  <c r="J4233" i="3" a="1"/>
  <c r="J4233" i="3" s="1"/>
  <c r="B4234" i="3" a="1"/>
  <c r="B4234" i="3" s="1"/>
  <c r="C4234" i="3" a="1"/>
  <c r="C4234" i="3" s="1"/>
  <c r="D4234" i="3" a="1"/>
  <c r="D4234" i="3" s="1"/>
  <c r="E4234" i="3" a="1"/>
  <c r="E4234" i="3" s="1"/>
  <c r="F4234" i="3" a="1"/>
  <c r="F4234" i="3" s="1"/>
  <c r="G4234" i="3" a="1"/>
  <c r="G4234" i="3" s="1"/>
  <c r="J4234" i="3" a="1"/>
  <c r="J4234" i="3" s="1"/>
  <c r="B4235" i="3" a="1"/>
  <c r="B4235" i="3" s="1"/>
  <c r="C4235" i="3" a="1"/>
  <c r="C4235" i="3" s="1"/>
  <c r="D4235" i="3" a="1"/>
  <c r="D4235" i="3" s="1"/>
  <c r="E4235" i="3" a="1"/>
  <c r="E4235" i="3" s="1"/>
  <c r="F4235" i="3" a="1"/>
  <c r="F4235" i="3" s="1"/>
  <c r="G4235" i="3" a="1"/>
  <c r="G4235" i="3" s="1"/>
  <c r="J4235" i="3" a="1"/>
  <c r="J4235" i="3" s="1"/>
  <c r="B4236" i="3" a="1"/>
  <c r="B4236" i="3" s="1"/>
  <c r="C4236" i="3" a="1"/>
  <c r="C4236" i="3" s="1"/>
  <c r="D4236" i="3" a="1"/>
  <c r="D4236" i="3" s="1"/>
  <c r="E4236" i="3" a="1"/>
  <c r="E4236" i="3" s="1"/>
  <c r="F4236" i="3" a="1"/>
  <c r="F4236" i="3" s="1"/>
  <c r="G4236" i="3" a="1"/>
  <c r="G4236" i="3" s="1"/>
  <c r="J4236" i="3" a="1"/>
  <c r="J4236" i="3" s="1"/>
  <c r="B4237" i="3" a="1"/>
  <c r="B4237" i="3" s="1"/>
  <c r="C4237" i="3" a="1"/>
  <c r="C4237" i="3" s="1"/>
  <c r="D4237" i="3" a="1"/>
  <c r="D4237" i="3" s="1"/>
  <c r="E4237" i="3" a="1"/>
  <c r="E4237" i="3" s="1"/>
  <c r="F4237" i="3" a="1"/>
  <c r="F4237" i="3" s="1"/>
  <c r="G4237" i="3" a="1"/>
  <c r="G4237" i="3" s="1"/>
  <c r="J4237" i="3" a="1"/>
  <c r="J4237" i="3" s="1"/>
  <c r="B4238" i="3" a="1"/>
  <c r="B4238" i="3" s="1"/>
  <c r="C4238" i="3" a="1"/>
  <c r="C4238" i="3" s="1"/>
  <c r="D4238" i="3" a="1"/>
  <c r="D4238" i="3" s="1"/>
  <c r="E4238" i="3" a="1"/>
  <c r="E4238" i="3" s="1"/>
  <c r="F4238" i="3" a="1"/>
  <c r="F4238" i="3" s="1"/>
  <c r="G4238" i="3" a="1"/>
  <c r="G4238" i="3" s="1"/>
  <c r="J4238" i="3" a="1"/>
  <c r="J4238" i="3" s="1"/>
  <c r="B4239" i="3" a="1"/>
  <c r="B4239" i="3" s="1"/>
  <c r="C4239" i="3" a="1"/>
  <c r="C4239" i="3" s="1"/>
  <c r="D4239" i="3" a="1"/>
  <c r="D4239" i="3" s="1"/>
  <c r="E4239" i="3" a="1"/>
  <c r="E4239" i="3" s="1"/>
  <c r="F4239" i="3" a="1"/>
  <c r="F4239" i="3" s="1"/>
  <c r="G4239" i="3" a="1"/>
  <c r="G4239" i="3" s="1"/>
  <c r="J4239" i="3" a="1"/>
  <c r="J4239" i="3" s="1"/>
  <c r="B4240" i="3" a="1"/>
  <c r="B4240" i="3" s="1"/>
  <c r="C4240" i="3" a="1"/>
  <c r="C4240" i="3" s="1"/>
  <c r="D4240" i="3" a="1"/>
  <c r="D4240" i="3" s="1"/>
  <c r="E4240" i="3" a="1"/>
  <c r="E4240" i="3" s="1"/>
  <c r="F4240" i="3" a="1"/>
  <c r="F4240" i="3" s="1"/>
  <c r="G4240" i="3" a="1"/>
  <c r="G4240" i="3" s="1"/>
  <c r="J4240" i="3" a="1"/>
  <c r="J4240" i="3" s="1"/>
  <c r="B4241" i="3" a="1"/>
  <c r="B4241" i="3" s="1"/>
  <c r="C4241" i="3" a="1"/>
  <c r="C4241" i="3" s="1"/>
  <c r="D4241" i="3" a="1"/>
  <c r="D4241" i="3" s="1"/>
  <c r="E4241" i="3" a="1"/>
  <c r="E4241" i="3" s="1"/>
  <c r="F4241" i="3" a="1"/>
  <c r="F4241" i="3" s="1"/>
  <c r="G4241" i="3" a="1"/>
  <c r="G4241" i="3" s="1"/>
  <c r="J4241" i="3" a="1"/>
  <c r="J4241" i="3" s="1"/>
  <c r="B4242" i="3" a="1"/>
  <c r="B4242" i="3" s="1"/>
  <c r="C4242" i="3" a="1"/>
  <c r="C4242" i="3" s="1"/>
  <c r="D4242" i="3" a="1"/>
  <c r="D4242" i="3" s="1"/>
  <c r="E4242" i="3" a="1"/>
  <c r="E4242" i="3" s="1"/>
  <c r="F4242" i="3" a="1"/>
  <c r="F4242" i="3" s="1"/>
  <c r="G4242" i="3" a="1"/>
  <c r="G4242" i="3" s="1"/>
  <c r="J4242" i="3" a="1"/>
  <c r="J4242" i="3" s="1"/>
  <c r="B4243" i="3" a="1"/>
  <c r="B4243" i="3" s="1"/>
  <c r="C4243" i="3" a="1"/>
  <c r="C4243" i="3" s="1"/>
  <c r="D4243" i="3" a="1"/>
  <c r="D4243" i="3" s="1"/>
  <c r="E4243" i="3" a="1"/>
  <c r="E4243" i="3" s="1"/>
  <c r="F4243" i="3" a="1"/>
  <c r="F4243" i="3" s="1"/>
  <c r="G4243" i="3" a="1"/>
  <c r="G4243" i="3" s="1"/>
  <c r="J4243" i="3" a="1"/>
  <c r="J4243" i="3" s="1"/>
  <c r="B4244" i="3" a="1"/>
  <c r="B4244" i="3" s="1"/>
  <c r="C4244" i="3" a="1"/>
  <c r="C4244" i="3" s="1"/>
  <c r="D4244" i="3" a="1"/>
  <c r="D4244" i="3" s="1"/>
  <c r="E4244" i="3" a="1"/>
  <c r="E4244" i="3" s="1"/>
  <c r="F4244" i="3" a="1"/>
  <c r="F4244" i="3" s="1"/>
  <c r="G4244" i="3" a="1"/>
  <c r="G4244" i="3" s="1"/>
  <c r="J4244" i="3" a="1"/>
  <c r="J4244" i="3" s="1"/>
  <c r="B4245" i="3" a="1"/>
  <c r="B4245" i="3" s="1"/>
  <c r="C4245" i="3" a="1"/>
  <c r="C4245" i="3" s="1"/>
  <c r="D4245" i="3" a="1"/>
  <c r="D4245" i="3" s="1"/>
  <c r="E4245" i="3" a="1"/>
  <c r="E4245" i="3" s="1"/>
  <c r="F4245" i="3" a="1"/>
  <c r="F4245" i="3" s="1"/>
  <c r="G4245" i="3" a="1"/>
  <c r="G4245" i="3" s="1"/>
  <c r="J4245" i="3" a="1"/>
  <c r="J4245" i="3" s="1"/>
  <c r="B4246" i="3" a="1"/>
  <c r="B4246" i="3" s="1"/>
  <c r="C4246" i="3" a="1"/>
  <c r="C4246" i="3" s="1"/>
  <c r="D4246" i="3" a="1"/>
  <c r="D4246" i="3" s="1"/>
  <c r="E4246" i="3" a="1"/>
  <c r="E4246" i="3" s="1"/>
  <c r="F4246" i="3" a="1"/>
  <c r="F4246" i="3" s="1"/>
  <c r="G4246" i="3" a="1"/>
  <c r="G4246" i="3" s="1"/>
  <c r="J4246" i="3" a="1"/>
  <c r="J4246" i="3" s="1"/>
  <c r="B4247" i="3" a="1"/>
  <c r="B4247" i="3" s="1"/>
  <c r="C4247" i="3" a="1"/>
  <c r="C4247" i="3" s="1"/>
  <c r="D4247" i="3" a="1"/>
  <c r="D4247" i="3" s="1"/>
  <c r="E4247" i="3" a="1"/>
  <c r="E4247" i="3" s="1"/>
  <c r="F4247" i="3" a="1"/>
  <c r="F4247" i="3" s="1"/>
  <c r="G4247" i="3" a="1"/>
  <c r="G4247" i="3" s="1"/>
  <c r="J4247" i="3" a="1"/>
  <c r="J4247" i="3" s="1"/>
  <c r="B4248" i="3" a="1"/>
  <c r="B4248" i="3" s="1"/>
  <c r="C4248" i="3" a="1"/>
  <c r="C4248" i="3" s="1"/>
  <c r="D4248" i="3" a="1"/>
  <c r="D4248" i="3" s="1"/>
  <c r="E4248" i="3" a="1"/>
  <c r="E4248" i="3" s="1"/>
  <c r="F4248" i="3" a="1"/>
  <c r="F4248" i="3" s="1"/>
  <c r="G4248" i="3" a="1"/>
  <c r="G4248" i="3" s="1"/>
  <c r="J4248" i="3" a="1"/>
  <c r="J4248" i="3" s="1"/>
  <c r="B4249" i="3" a="1"/>
  <c r="B4249" i="3" s="1"/>
  <c r="C4249" i="3" a="1"/>
  <c r="C4249" i="3" s="1"/>
  <c r="D4249" i="3" a="1"/>
  <c r="D4249" i="3" s="1"/>
  <c r="E4249" i="3" a="1"/>
  <c r="E4249" i="3" s="1"/>
  <c r="F4249" i="3" a="1"/>
  <c r="F4249" i="3" s="1"/>
  <c r="G4249" i="3" a="1"/>
  <c r="G4249" i="3" s="1"/>
  <c r="J4249" i="3" a="1"/>
  <c r="J4249" i="3" s="1"/>
  <c r="B4250" i="3" a="1"/>
  <c r="B4250" i="3" s="1"/>
  <c r="C4250" i="3" a="1"/>
  <c r="C4250" i="3" s="1"/>
  <c r="D4250" i="3" a="1"/>
  <c r="D4250" i="3" s="1"/>
  <c r="E4250" i="3" a="1"/>
  <c r="E4250" i="3" s="1"/>
  <c r="F4250" i="3" a="1"/>
  <c r="F4250" i="3" s="1"/>
  <c r="G4250" i="3" a="1"/>
  <c r="G4250" i="3" s="1"/>
  <c r="J4250" i="3" a="1"/>
  <c r="J4250" i="3" s="1"/>
  <c r="B4251" i="3" a="1"/>
  <c r="B4251" i="3" s="1"/>
  <c r="C4251" i="3" a="1"/>
  <c r="C4251" i="3" s="1"/>
  <c r="D4251" i="3" a="1"/>
  <c r="D4251" i="3" s="1"/>
  <c r="E4251" i="3" a="1"/>
  <c r="E4251" i="3" s="1"/>
  <c r="F4251" i="3" a="1"/>
  <c r="F4251" i="3" s="1"/>
  <c r="G4251" i="3" a="1"/>
  <c r="G4251" i="3" s="1"/>
  <c r="J4251" i="3" a="1"/>
  <c r="J4251" i="3" s="1"/>
  <c r="B4252" i="3" a="1"/>
  <c r="B4252" i="3" s="1"/>
  <c r="C4252" i="3" a="1"/>
  <c r="C4252" i="3" s="1"/>
  <c r="D4252" i="3" a="1"/>
  <c r="D4252" i="3" s="1"/>
  <c r="E4252" i="3" a="1"/>
  <c r="E4252" i="3" s="1"/>
  <c r="F4252" i="3" a="1"/>
  <c r="F4252" i="3" s="1"/>
  <c r="G4252" i="3" a="1"/>
  <c r="G4252" i="3" s="1"/>
  <c r="J4252" i="3" a="1"/>
  <c r="J4252" i="3" s="1"/>
  <c r="B4253" i="3" a="1"/>
  <c r="B4253" i="3" s="1"/>
  <c r="C4253" i="3" a="1"/>
  <c r="C4253" i="3" s="1"/>
  <c r="D4253" i="3" a="1"/>
  <c r="D4253" i="3" s="1"/>
  <c r="E4253" i="3" a="1"/>
  <c r="E4253" i="3" s="1"/>
  <c r="F4253" i="3" a="1"/>
  <c r="F4253" i="3" s="1"/>
  <c r="G4253" i="3" a="1"/>
  <c r="G4253" i="3" s="1"/>
  <c r="J4253" i="3" a="1"/>
  <c r="J4253" i="3" s="1"/>
  <c r="B4254" i="3" a="1"/>
  <c r="B4254" i="3" s="1"/>
  <c r="C4254" i="3" a="1"/>
  <c r="C4254" i="3" s="1"/>
  <c r="D4254" i="3" a="1"/>
  <c r="D4254" i="3" s="1"/>
  <c r="E4254" i="3" a="1"/>
  <c r="E4254" i="3" s="1"/>
  <c r="F4254" i="3" a="1"/>
  <c r="F4254" i="3" s="1"/>
  <c r="G4254" i="3" a="1"/>
  <c r="G4254" i="3" s="1"/>
  <c r="J4254" i="3" a="1"/>
  <c r="J4254" i="3" s="1"/>
  <c r="B4255" i="3" a="1"/>
  <c r="B4255" i="3" s="1"/>
  <c r="C4255" i="3" a="1"/>
  <c r="C4255" i="3" s="1"/>
  <c r="D4255" i="3" a="1"/>
  <c r="D4255" i="3" s="1"/>
  <c r="E4255" i="3" a="1"/>
  <c r="E4255" i="3" s="1"/>
  <c r="F4255" i="3" a="1"/>
  <c r="F4255" i="3" s="1"/>
  <c r="G4255" i="3" a="1"/>
  <c r="G4255" i="3" s="1"/>
  <c r="J4255" i="3" a="1"/>
  <c r="J4255" i="3" s="1"/>
  <c r="B4256" i="3" a="1"/>
  <c r="B4256" i="3" s="1"/>
  <c r="C4256" i="3" a="1"/>
  <c r="C4256" i="3" s="1"/>
  <c r="D4256" i="3" a="1"/>
  <c r="D4256" i="3" s="1"/>
  <c r="E4256" i="3" a="1"/>
  <c r="E4256" i="3" s="1"/>
  <c r="F4256" i="3" a="1"/>
  <c r="F4256" i="3" s="1"/>
  <c r="G4256" i="3" a="1"/>
  <c r="G4256" i="3" s="1"/>
  <c r="J4256" i="3" a="1"/>
  <c r="J4256" i="3" s="1"/>
  <c r="B4257" i="3" a="1"/>
  <c r="B4257" i="3" s="1"/>
  <c r="C4257" i="3" a="1"/>
  <c r="C4257" i="3" s="1"/>
  <c r="D4257" i="3" a="1"/>
  <c r="D4257" i="3" s="1"/>
  <c r="E4257" i="3" a="1"/>
  <c r="E4257" i="3" s="1"/>
  <c r="F4257" i="3" a="1"/>
  <c r="F4257" i="3" s="1"/>
  <c r="G4257" i="3" a="1"/>
  <c r="G4257" i="3" s="1"/>
  <c r="J4257" i="3" a="1"/>
  <c r="J4257" i="3" s="1"/>
  <c r="B4258" i="3" a="1"/>
  <c r="B4258" i="3" s="1"/>
  <c r="C4258" i="3" a="1"/>
  <c r="C4258" i="3" s="1"/>
  <c r="D4258" i="3" a="1"/>
  <c r="D4258" i="3" s="1"/>
  <c r="E4258" i="3" a="1"/>
  <c r="E4258" i="3" s="1"/>
  <c r="F4258" i="3" a="1"/>
  <c r="F4258" i="3" s="1"/>
  <c r="G4258" i="3" a="1"/>
  <c r="G4258" i="3" s="1"/>
  <c r="J4258" i="3" a="1"/>
  <c r="J4258" i="3" s="1"/>
  <c r="B4259" i="3" a="1"/>
  <c r="B4259" i="3" s="1"/>
  <c r="C4259" i="3" a="1"/>
  <c r="C4259" i="3" s="1"/>
  <c r="D4259" i="3" a="1"/>
  <c r="D4259" i="3" s="1"/>
  <c r="E4259" i="3" a="1"/>
  <c r="E4259" i="3" s="1"/>
  <c r="F4259" i="3" a="1"/>
  <c r="F4259" i="3" s="1"/>
  <c r="G4259" i="3" a="1"/>
  <c r="G4259" i="3" s="1"/>
  <c r="J4259" i="3" a="1"/>
  <c r="J4259" i="3" s="1"/>
  <c r="B4260" i="3" a="1"/>
  <c r="B4260" i="3" s="1"/>
  <c r="C4260" i="3" a="1"/>
  <c r="C4260" i="3" s="1"/>
  <c r="D4260" i="3" a="1"/>
  <c r="D4260" i="3" s="1"/>
  <c r="E4260" i="3" a="1"/>
  <c r="E4260" i="3" s="1"/>
  <c r="F4260" i="3" a="1"/>
  <c r="F4260" i="3" s="1"/>
  <c r="G4260" i="3" a="1"/>
  <c r="G4260" i="3" s="1"/>
  <c r="J4260" i="3" a="1"/>
  <c r="J4260" i="3" s="1"/>
  <c r="B4261" i="3" a="1"/>
  <c r="B4261" i="3" s="1"/>
  <c r="C4261" i="3" a="1"/>
  <c r="C4261" i="3" s="1"/>
  <c r="D4261" i="3" a="1"/>
  <c r="D4261" i="3" s="1"/>
  <c r="E4261" i="3" a="1"/>
  <c r="E4261" i="3" s="1"/>
  <c r="F4261" i="3" a="1"/>
  <c r="F4261" i="3" s="1"/>
  <c r="G4261" i="3" a="1"/>
  <c r="G4261" i="3" s="1"/>
  <c r="J4261" i="3" a="1"/>
  <c r="J4261" i="3" s="1"/>
  <c r="B4262" i="3" a="1"/>
  <c r="B4262" i="3" s="1"/>
  <c r="C4262" i="3" a="1"/>
  <c r="C4262" i="3" s="1"/>
  <c r="D4262" i="3" a="1"/>
  <c r="D4262" i="3" s="1"/>
  <c r="E4262" i="3" a="1"/>
  <c r="E4262" i="3" s="1"/>
  <c r="F4262" i="3" a="1"/>
  <c r="F4262" i="3" s="1"/>
  <c r="G4262" i="3" a="1"/>
  <c r="G4262" i="3" s="1"/>
  <c r="J4262" i="3" a="1"/>
  <c r="J4262" i="3" s="1"/>
  <c r="B4263" i="3" a="1"/>
  <c r="B4263" i="3" s="1"/>
  <c r="C4263" i="3" a="1"/>
  <c r="C4263" i="3" s="1"/>
  <c r="D4263" i="3" a="1"/>
  <c r="D4263" i="3" s="1"/>
  <c r="E4263" i="3" a="1"/>
  <c r="E4263" i="3" s="1"/>
  <c r="F4263" i="3" a="1"/>
  <c r="F4263" i="3" s="1"/>
  <c r="G4263" i="3" a="1"/>
  <c r="G4263" i="3" s="1"/>
  <c r="J4263" i="3" a="1"/>
  <c r="J4263" i="3" s="1"/>
  <c r="B4264" i="3" a="1"/>
  <c r="B4264" i="3" s="1"/>
  <c r="C4264" i="3" a="1"/>
  <c r="C4264" i="3" s="1"/>
  <c r="D4264" i="3" a="1"/>
  <c r="D4264" i="3" s="1"/>
  <c r="E4264" i="3" a="1"/>
  <c r="E4264" i="3" s="1"/>
  <c r="F4264" i="3" a="1"/>
  <c r="F4264" i="3" s="1"/>
  <c r="G4264" i="3" a="1"/>
  <c r="G4264" i="3" s="1"/>
  <c r="J4264" i="3" a="1"/>
  <c r="J4264" i="3" s="1"/>
  <c r="B4265" i="3" a="1"/>
  <c r="B4265" i="3" s="1"/>
  <c r="C4265" i="3" a="1"/>
  <c r="C4265" i="3" s="1"/>
  <c r="D4265" i="3" a="1"/>
  <c r="D4265" i="3" s="1"/>
  <c r="E4265" i="3" a="1"/>
  <c r="E4265" i="3" s="1"/>
  <c r="F4265" i="3" a="1"/>
  <c r="F4265" i="3" s="1"/>
  <c r="G4265" i="3" a="1"/>
  <c r="G4265" i="3" s="1"/>
  <c r="J4265" i="3" a="1"/>
  <c r="J4265" i="3" s="1"/>
  <c r="B4266" i="3" a="1"/>
  <c r="B4266" i="3" s="1"/>
  <c r="C4266" i="3" a="1"/>
  <c r="C4266" i="3" s="1"/>
  <c r="D4266" i="3" a="1"/>
  <c r="D4266" i="3" s="1"/>
  <c r="E4266" i="3" a="1"/>
  <c r="E4266" i="3" s="1"/>
  <c r="F4266" i="3" a="1"/>
  <c r="F4266" i="3" s="1"/>
  <c r="G4266" i="3" a="1"/>
  <c r="G4266" i="3" s="1"/>
  <c r="J4266" i="3" a="1"/>
  <c r="J4266" i="3" s="1"/>
  <c r="B4267" i="3" a="1"/>
  <c r="B4267" i="3" s="1"/>
  <c r="C4267" i="3" a="1"/>
  <c r="C4267" i="3" s="1"/>
  <c r="D4267" i="3" a="1"/>
  <c r="D4267" i="3" s="1"/>
  <c r="E4267" i="3" a="1"/>
  <c r="E4267" i="3" s="1"/>
  <c r="F4267" i="3" a="1"/>
  <c r="F4267" i="3" s="1"/>
  <c r="G4267" i="3" a="1"/>
  <c r="G4267" i="3" s="1"/>
  <c r="J4267" i="3" a="1"/>
  <c r="J4267" i="3" s="1"/>
  <c r="B4268" i="3" a="1"/>
  <c r="B4268" i="3" s="1"/>
  <c r="C4268" i="3" a="1"/>
  <c r="C4268" i="3" s="1"/>
  <c r="D4268" i="3" a="1"/>
  <c r="D4268" i="3" s="1"/>
  <c r="E4268" i="3" a="1"/>
  <c r="E4268" i="3" s="1"/>
  <c r="F4268" i="3" a="1"/>
  <c r="F4268" i="3" s="1"/>
  <c r="G4268" i="3" a="1"/>
  <c r="G4268" i="3" s="1"/>
  <c r="J4268" i="3" a="1"/>
  <c r="J4268" i="3" s="1"/>
  <c r="B4269" i="3" a="1"/>
  <c r="B4269" i="3" s="1"/>
  <c r="C4269" i="3" a="1"/>
  <c r="C4269" i="3" s="1"/>
  <c r="D4269" i="3" a="1"/>
  <c r="D4269" i="3" s="1"/>
  <c r="E4269" i="3" a="1"/>
  <c r="E4269" i="3" s="1"/>
  <c r="F4269" i="3" a="1"/>
  <c r="F4269" i="3" s="1"/>
  <c r="G4269" i="3" a="1"/>
  <c r="G4269" i="3" s="1"/>
  <c r="J4269" i="3" a="1"/>
  <c r="J4269" i="3" s="1"/>
  <c r="B4270" i="3" a="1"/>
  <c r="B4270" i="3" s="1"/>
  <c r="C4270" i="3" a="1"/>
  <c r="C4270" i="3" s="1"/>
  <c r="D4270" i="3" a="1"/>
  <c r="D4270" i="3" s="1"/>
  <c r="E4270" i="3" a="1"/>
  <c r="E4270" i="3" s="1"/>
  <c r="F4270" i="3" a="1"/>
  <c r="F4270" i="3" s="1"/>
  <c r="G4270" i="3" a="1"/>
  <c r="G4270" i="3" s="1"/>
  <c r="J4270" i="3" a="1"/>
  <c r="J4270" i="3" s="1"/>
  <c r="B4271" i="3" a="1"/>
  <c r="B4271" i="3" s="1"/>
  <c r="C4271" i="3" a="1"/>
  <c r="C4271" i="3" s="1"/>
  <c r="D4271" i="3" a="1"/>
  <c r="D4271" i="3" s="1"/>
  <c r="E4271" i="3" a="1"/>
  <c r="E4271" i="3" s="1"/>
  <c r="F4271" i="3" a="1"/>
  <c r="F4271" i="3" s="1"/>
  <c r="G4271" i="3" a="1"/>
  <c r="G4271" i="3" s="1"/>
  <c r="J4271" i="3" a="1"/>
  <c r="J4271" i="3" s="1"/>
  <c r="B4272" i="3" a="1"/>
  <c r="B4272" i="3" s="1"/>
  <c r="C4272" i="3" a="1"/>
  <c r="C4272" i="3" s="1"/>
  <c r="D4272" i="3" a="1"/>
  <c r="D4272" i="3" s="1"/>
  <c r="E4272" i="3" a="1"/>
  <c r="E4272" i="3" s="1"/>
  <c r="F4272" i="3" a="1"/>
  <c r="F4272" i="3" s="1"/>
  <c r="G4272" i="3" a="1"/>
  <c r="G4272" i="3" s="1"/>
  <c r="J4272" i="3" a="1"/>
  <c r="J4272" i="3" s="1"/>
  <c r="B4273" i="3" a="1"/>
  <c r="B4273" i="3" s="1"/>
  <c r="C4273" i="3" a="1"/>
  <c r="C4273" i="3" s="1"/>
  <c r="D4273" i="3" a="1"/>
  <c r="D4273" i="3" s="1"/>
  <c r="E4273" i="3" a="1"/>
  <c r="E4273" i="3" s="1"/>
  <c r="F4273" i="3" a="1"/>
  <c r="F4273" i="3" s="1"/>
  <c r="G4273" i="3" a="1"/>
  <c r="G4273" i="3" s="1"/>
  <c r="J4273" i="3" a="1"/>
  <c r="J4273" i="3" s="1"/>
  <c r="B4274" i="3" a="1"/>
  <c r="B4274" i="3" s="1"/>
  <c r="C4274" i="3" a="1"/>
  <c r="C4274" i="3" s="1"/>
  <c r="D4274" i="3" a="1"/>
  <c r="D4274" i="3" s="1"/>
  <c r="E4274" i="3" a="1"/>
  <c r="E4274" i="3" s="1"/>
  <c r="F4274" i="3" a="1"/>
  <c r="F4274" i="3" s="1"/>
  <c r="G4274" i="3" a="1"/>
  <c r="G4274" i="3" s="1"/>
  <c r="J4274" i="3" a="1"/>
  <c r="J4274" i="3" s="1"/>
  <c r="B4275" i="3" a="1"/>
  <c r="B4275" i="3" s="1"/>
  <c r="C4275" i="3" a="1"/>
  <c r="C4275" i="3" s="1"/>
  <c r="D4275" i="3" a="1"/>
  <c r="D4275" i="3" s="1"/>
  <c r="E4275" i="3" a="1"/>
  <c r="E4275" i="3" s="1"/>
  <c r="F4275" i="3" a="1"/>
  <c r="F4275" i="3" s="1"/>
  <c r="G4275" i="3" a="1"/>
  <c r="G4275" i="3" s="1"/>
  <c r="J4275" i="3" a="1"/>
  <c r="J4275" i="3" s="1"/>
  <c r="B4276" i="3" a="1"/>
  <c r="B4276" i="3" s="1"/>
  <c r="C4276" i="3" a="1"/>
  <c r="C4276" i="3" s="1"/>
  <c r="D4276" i="3" a="1"/>
  <c r="D4276" i="3" s="1"/>
  <c r="E4276" i="3" a="1"/>
  <c r="E4276" i="3" s="1"/>
  <c r="F4276" i="3" a="1"/>
  <c r="F4276" i="3" s="1"/>
  <c r="G4276" i="3" a="1"/>
  <c r="G4276" i="3" s="1"/>
  <c r="J4276" i="3" a="1"/>
  <c r="J4276" i="3" s="1"/>
  <c r="B4277" i="3" a="1"/>
  <c r="B4277" i="3" s="1"/>
  <c r="C4277" i="3" a="1"/>
  <c r="C4277" i="3" s="1"/>
  <c r="D4277" i="3" a="1"/>
  <c r="D4277" i="3" s="1"/>
  <c r="E4277" i="3" a="1"/>
  <c r="E4277" i="3" s="1"/>
  <c r="F4277" i="3" a="1"/>
  <c r="F4277" i="3" s="1"/>
  <c r="G4277" i="3" a="1"/>
  <c r="G4277" i="3" s="1"/>
  <c r="J4277" i="3" a="1"/>
  <c r="J4277" i="3" s="1"/>
  <c r="B4278" i="3" a="1"/>
  <c r="B4278" i="3" s="1"/>
  <c r="C4278" i="3" a="1"/>
  <c r="C4278" i="3" s="1"/>
  <c r="D4278" i="3" a="1"/>
  <c r="D4278" i="3" s="1"/>
  <c r="E4278" i="3" a="1"/>
  <c r="E4278" i="3" s="1"/>
  <c r="F4278" i="3" a="1"/>
  <c r="F4278" i="3" s="1"/>
  <c r="G4278" i="3" a="1"/>
  <c r="G4278" i="3" s="1"/>
  <c r="J4278" i="3" a="1"/>
  <c r="J4278" i="3" s="1"/>
  <c r="B4279" i="3" a="1"/>
  <c r="B4279" i="3" s="1"/>
  <c r="C4279" i="3" a="1"/>
  <c r="C4279" i="3" s="1"/>
  <c r="D4279" i="3" a="1"/>
  <c r="D4279" i="3" s="1"/>
  <c r="E4279" i="3" a="1"/>
  <c r="E4279" i="3" s="1"/>
  <c r="F4279" i="3" a="1"/>
  <c r="F4279" i="3" s="1"/>
  <c r="G4279" i="3" a="1"/>
  <c r="G4279" i="3" s="1"/>
  <c r="J4279" i="3" a="1"/>
  <c r="J4279" i="3" s="1"/>
  <c r="B4280" i="3" a="1"/>
  <c r="B4280" i="3" s="1"/>
  <c r="C4280" i="3" a="1"/>
  <c r="C4280" i="3" s="1"/>
  <c r="D4280" i="3" a="1"/>
  <c r="D4280" i="3" s="1"/>
  <c r="E4280" i="3" a="1"/>
  <c r="E4280" i="3" s="1"/>
  <c r="F4280" i="3" a="1"/>
  <c r="F4280" i="3" s="1"/>
  <c r="G4280" i="3" a="1"/>
  <c r="G4280" i="3" s="1"/>
  <c r="J4280" i="3" a="1"/>
  <c r="J4280" i="3" s="1"/>
  <c r="B4281" i="3" a="1"/>
  <c r="B4281" i="3" s="1"/>
  <c r="C4281" i="3" a="1"/>
  <c r="C4281" i="3" s="1"/>
  <c r="D4281" i="3" a="1"/>
  <c r="D4281" i="3" s="1"/>
  <c r="E4281" i="3" a="1"/>
  <c r="E4281" i="3" s="1"/>
  <c r="F4281" i="3" a="1"/>
  <c r="F4281" i="3" s="1"/>
  <c r="G4281" i="3" a="1"/>
  <c r="G4281" i="3" s="1"/>
  <c r="J4281" i="3" a="1"/>
  <c r="J4281" i="3" s="1"/>
  <c r="B4282" i="3" a="1"/>
  <c r="B4282" i="3" s="1"/>
  <c r="C4282" i="3" a="1"/>
  <c r="C4282" i="3" s="1"/>
  <c r="D4282" i="3" a="1"/>
  <c r="D4282" i="3" s="1"/>
  <c r="E4282" i="3" a="1"/>
  <c r="E4282" i="3" s="1"/>
  <c r="F4282" i="3" a="1"/>
  <c r="F4282" i="3" s="1"/>
  <c r="G4282" i="3" a="1"/>
  <c r="G4282" i="3" s="1"/>
  <c r="J4282" i="3" a="1"/>
  <c r="J4282" i="3" s="1"/>
  <c r="B4283" i="3" a="1"/>
  <c r="B4283" i="3" s="1"/>
  <c r="C4283" i="3" a="1"/>
  <c r="C4283" i="3" s="1"/>
  <c r="D4283" i="3" a="1"/>
  <c r="D4283" i="3" s="1"/>
  <c r="E4283" i="3" a="1"/>
  <c r="E4283" i="3" s="1"/>
  <c r="F4283" i="3" a="1"/>
  <c r="F4283" i="3" s="1"/>
  <c r="G4283" i="3" a="1"/>
  <c r="G4283" i="3" s="1"/>
  <c r="J4283" i="3" a="1"/>
  <c r="J4283" i="3" s="1"/>
  <c r="B4284" i="3" a="1"/>
  <c r="B4284" i="3" s="1"/>
  <c r="C4284" i="3" a="1"/>
  <c r="C4284" i="3" s="1"/>
  <c r="D4284" i="3" a="1"/>
  <c r="D4284" i="3" s="1"/>
  <c r="E4284" i="3" a="1"/>
  <c r="E4284" i="3" s="1"/>
  <c r="F4284" i="3" a="1"/>
  <c r="F4284" i="3" s="1"/>
  <c r="G4284" i="3" a="1"/>
  <c r="G4284" i="3" s="1"/>
  <c r="J4284" i="3" a="1"/>
  <c r="J4284" i="3" s="1"/>
  <c r="B4285" i="3" a="1"/>
  <c r="B4285" i="3" s="1"/>
  <c r="C4285" i="3" a="1"/>
  <c r="C4285" i="3" s="1"/>
  <c r="D4285" i="3" a="1"/>
  <c r="D4285" i="3" s="1"/>
  <c r="E4285" i="3" a="1"/>
  <c r="E4285" i="3" s="1"/>
  <c r="F4285" i="3" a="1"/>
  <c r="F4285" i="3" s="1"/>
  <c r="G4285" i="3" a="1"/>
  <c r="G4285" i="3" s="1"/>
  <c r="J4285" i="3" a="1"/>
  <c r="J4285" i="3" s="1"/>
  <c r="B4286" i="3" a="1"/>
  <c r="B4286" i="3" s="1"/>
  <c r="C4286" i="3" a="1"/>
  <c r="C4286" i="3" s="1"/>
  <c r="D4286" i="3" a="1"/>
  <c r="D4286" i="3" s="1"/>
  <c r="E4286" i="3" a="1"/>
  <c r="E4286" i="3" s="1"/>
  <c r="F4286" i="3" a="1"/>
  <c r="F4286" i="3" s="1"/>
  <c r="G4286" i="3" a="1"/>
  <c r="G4286" i="3" s="1"/>
  <c r="J4286" i="3" a="1"/>
  <c r="J4286" i="3" s="1"/>
  <c r="B4287" i="3" a="1"/>
  <c r="B4287" i="3" s="1"/>
  <c r="C4287" i="3" a="1"/>
  <c r="C4287" i="3" s="1"/>
  <c r="D4287" i="3" a="1"/>
  <c r="D4287" i="3" s="1"/>
  <c r="E4287" i="3" a="1"/>
  <c r="E4287" i="3" s="1"/>
  <c r="F4287" i="3" a="1"/>
  <c r="F4287" i="3" s="1"/>
  <c r="G4287" i="3" a="1"/>
  <c r="G4287" i="3" s="1"/>
  <c r="J4287" i="3" a="1"/>
  <c r="J4287" i="3" s="1"/>
  <c r="B4288" i="3" a="1"/>
  <c r="B4288" i="3" s="1"/>
  <c r="C4288" i="3" a="1"/>
  <c r="C4288" i="3" s="1"/>
  <c r="D4288" i="3" a="1"/>
  <c r="D4288" i="3" s="1"/>
  <c r="E4288" i="3" a="1"/>
  <c r="E4288" i="3" s="1"/>
  <c r="F4288" i="3" a="1"/>
  <c r="F4288" i="3" s="1"/>
  <c r="G4288" i="3" a="1"/>
  <c r="G4288" i="3" s="1"/>
  <c r="J4288" i="3" a="1"/>
  <c r="J4288" i="3" s="1"/>
  <c r="B4289" i="3" a="1"/>
  <c r="B4289" i="3" s="1"/>
  <c r="C4289" i="3" a="1"/>
  <c r="C4289" i="3" s="1"/>
  <c r="D4289" i="3" a="1"/>
  <c r="D4289" i="3" s="1"/>
  <c r="E4289" i="3" a="1"/>
  <c r="E4289" i="3" s="1"/>
  <c r="F4289" i="3" a="1"/>
  <c r="F4289" i="3" s="1"/>
  <c r="G4289" i="3" a="1"/>
  <c r="G4289" i="3" s="1"/>
  <c r="J4289" i="3" a="1"/>
  <c r="J4289" i="3" s="1"/>
  <c r="B4290" i="3" a="1"/>
  <c r="B4290" i="3" s="1"/>
  <c r="C4290" i="3" a="1"/>
  <c r="C4290" i="3" s="1"/>
  <c r="D4290" i="3" a="1"/>
  <c r="D4290" i="3" s="1"/>
  <c r="E4290" i="3" a="1"/>
  <c r="E4290" i="3" s="1"/>
  <c r="F4290" i="3" a="1"/>
  <c r="F4290" i="3" s="1"/>
  <c r="G4290" i="3" a="1"/>
  <c r="G4290" i="3" s="1"/>
  <c r="J4290" i="3" a="1"/>
  <c r="J4290" i="3" s="1"/>
  <c r="B4291" i="3" a="1"/>
  <c r="B4291" i="3" s="1"/>
  <c r="C4291" i="3" a="1"/>
  <c r="C4291" i="3" s="1"/>
  <c r="D4291" i="3" a="1"/>
  <c r="D4291" i="3" s="1"/>
  <c r="E4291" i="3" a="1"/>
  <c r="E4291" i="3" s="1"/>
  <c r="F4291" i="3" a="1"/>
  <c r="F4291" i="3" s="1"/>
  <c r="G4291" i="3" a="1"/>
  <c r="G4291" i="3" s="1"/>
  <c r="J4291" i="3" a="1"/>
  <c r="J4291" i="3" s="1"/>
  <c r="B4292" i="3" a="1"/>
  <c r="B4292" i="3" s="1"/>
  <c r="C4292" i="3" a="1"/>
  <c r="C4292" i="3" s="1"/>
  <c r="D4292" i="3" a="1"/>
  <c r="D4292" i="3" s="1"/>
  <c r="E4292" i="3" a="1"/>
  <c r="E4292" i="3" s="1"/>
  <c r="F4292" i="3" a="1"/>
  <c r="F4292" i="3" s="1"/>
  <c r="G4292" i="3" a="1"/>
  <c r="G4292" i="3" s="1"/>
  <c r="J4292" i="3" a="1"/>
  <c r="J4292" i="3" s="1"/>
  <c r="B4293" i="3" a="1"/>
  <c r="B4293" i="3" s="1"/>
  <c r="C4293" i="3" a="1"/>
  <c r="C4293" i="3" s="1"/>
  <c r="D4293" i="3" a="1"/>
  <c r="D4293" i="3" s="1"/>
  <c r="E4293" i="3" a="1"/>
  <c r="E4293" i="3" s="1"/>
  <c r="F4293" i="3" a="1"/>
  <c r="F4293" i="3" s="1"/>
  <c r="G4293" i="3" a="1"/>
  <c r="G4293" i="3" s="1"/>
  <c r="J4293" i="3" a="1"/>
  <c r="J4293" i="3" s="1"/>
  <c r="B4294" i="3" a="1"/>
  <c r="B4294" i="3" s="1"/>
  <c r="C4294" i="3" a="1"/>
  <c r="C4294" i="3" s="1"/>
  <c r="D4294" i="3" a="1"/>
  <c r="D4294" i="3" s="1"/>
  <c r="E4294" i="3" a="1"/>
  <c r="E4294" i="3" s="1"/>
  <c r="F4294" i="3" a="1"/>
  <c r="F4294" i="3" s="1"/>
  <c r="G4294" i="3" a="1"/>
  <c r="G4294" i="3" s="1"/>
  <c r="J4294" i="3" a="1"/>
  <c r="J4294" i="3" s="1"/>
  <c r="B4295" i="3" a="1"/>
  <c r="B4295" i="3" s="1"/>
  <c r="C4295" i="3" a="1"/>
  <c r="C4295" i="3" s="1"/>
  <c r="D4295" i="3" a="1"/>
  <c r="D4295" i="3" s="1"/>
  <c r="E4295" i="3" a="1"/>
  <c r="E4295" i="3" s="1"/>
  <c r="F4295" i="3" a="1"/>
  <c r="F4295" i="3" s="1"/>
  <c r="G4295" i="3" a="1"/>
  <c r="G4295" i="3" s="1"/>
  <c r="J4295" i="3" a="1"/>
  <c r="J4295" i="3" s="1"/>
  <c r="B4296" i="3" a="1"/>
  <c r="B4296" i="3" s="1"/>
  <c r="C4296" i="3" a="1"/>
  <c r="C4296" i="3" s="1"/>
  <c r="D4296" i="3" a="1"/>
  <c r="D4296" i="3" s="1"/>
  <c r="E4296" i="3" a="1"/>
  <c r="E4296" i="3" s="1"/>
  <c r="F4296" i="3" a="1"/>
  <c r="F4296" i="3" s="1"/>
  <c r="G4296" i="3" a="1"/>
  <c r="G4296" i="3" s="1"/>
  <c r="J4296" i="3" a="1"/>
  <c r="J4296" i="3" s="1"/>
  <c r="B4297" i="3" a="1"/>
  <c r="B4297" i="3" s="1"/>
  <c r="C4297" i="3" a="1"/>
  <c r="C4297" i="3" s="1"/>
  <c r="D4297" i="3" a="1"/>
  <c r="D4297" i="3" s="1"/>
  <c r="E4297" i="3" a="1"/>
  <c r="E4297" i="3" s="1"/>
  <c r="F4297" i="3" a="1"/>
  <c r="F4297" i="3" s="1"/>
  <c r="G4297" i="3" a="1"/>
  <c r="G4297" i="3" s="1"/>
  <c r="J4297" i="3" a="1"/>
  <c r="J4297" i="3" s="1"/>
  <c r="B4298" i="3" a="1"/>
  <c r="B4298" i="3" s="1"/>
  <c r="C4298" i="3" a="1"/>
  <c r="C4298" i="3" s="1"/>
  <c r="D4298" i="3" a="1"/>
  <c r="D4298" i="3" s="1"/>
  <c r="E4298" i="3" a="1"/>
  <c r="E4298" i="3" s="1"/>
  <c r="F4298" i="3" a="1"/>
  <c r="F4298" i="3" s="1"/>
  <c r="G4298" i="3" a="1"/>
  <c r="G4298" i="3" s="1"/>
  <c r="J4298" i="3" a="1"/>
  <c r="J4298" i="3" s="1"/>
  <c r="B4299" i="3" a="1"/>
  <c r="B4299" i="3" s="1"/>
  <c r="C4299" i="3" a="1"/>
  <c r="C4299" i="3" s="1"/>
  <c r="D4299" i="3" a="1"/>
  <c r="D4299" i="3" s="1"/>
  <c r="E4299" i="3" a="1"/>
  <c r="E4299" i="3" s="1"/>
  <c r="F4299" i="3" a="1"/>
  <c r="F4299" i="3" s="1"/>
  <c r="G4299" i="3" a="1"/>
  <c r="G4299" i="3" s="1"/>
  <c r="J4299" i="3" a="1"/>
  <c r="J4299" i="3" s="1"/>
  <c r="B4300" i="3" a="1"/>
  <c r="B4300" i="3" s="1"/>
  <c r="C4300" i="3" a="1"/>
  <c r="C4300" i="3" s="1"/>
  <c r="D4300" i="3" a="1"/>
  <c r="D4300" i="3" s="1"/>
  <c r="E4300" i="3" a="1"/>
  <c r="E4300" i="3" s="1"/>
  <c r="F4300" i="3" a="1"/>
  <c r="F4300" i="3" s="1"/>
  <c r="G4300" i="3" a="1"/>
  <c r="G4300" i="3" s="1"/>
  <c r="J4300" i="3" a="1"/>
  <c r="J4300" i="3" s="1"/>
  <c r="B4301" i="3" a="1"/>
  <c r="B4301" i="3" s="1"/>
  <c r="C4301" i="3" a="1"/>
  <c r="C4301" i="3" s="1"/>
  <c r="D4301" i="3" a="1"/>
  <c r="D4301" i="3" s="1"/>
  <c r="E4301" i="3" a="1"/>
  <c r="E4301" i="3" s="1"/>
  <c r="F4301" i="3" a="1"/>
  <c r="F4301" i="3" s="1"/>
  <c r="G4301" i="3" a="1"/>
  <c r="G4301" i="3" s="1"/>
  <c r="J4301" i="3" a="1"/>
  <c r="J4301" i="3" s="1"/>
  <c r="B4302" i="3" a="1"/>
  <c r="B4302" i="3" s="1"/>
  <c r="C4302" i="3" a="1"/>
  <c r="C4302" i="3" s="1"/>
  <c r="D4302" i="3" a="1"/>
  <c r="D4302" i="3" s="1"/>
  <c r="E4302" i="3" a="1"/>
  <c r="E4302" i="3" s="1"/>
  <c r="F4302" i="3" a="1"/>
  <c r="F4302" i="3" s="1"/>
  <c r="G4302" i="3" a="1"/>
  <c r="G4302" i="3" s="1"/>
  <c r="J4302" i="3" a="1"/>
  <c r="J4302" i="3" s="1"/>
  <c r="B4303" i="3" a="1"/>
  <c r="B4303" i="3" s="1"/>
  <c r="C4303" i="3" a="1"/>
  <c r="C4303" i="3" s="1"/>
  <c r="D4303" i="3" a="1"/>
  <c r="D4303" i="3" s="1"/>
  <c r="E4303" i="3" a="1"/>
  <c r="E4303" i="3" s="1"/>
  <c r="F4303" i="3" a="1"/>
  <c r="F4303" i="3" s="1"/>
  <c r="G4303" i="3" a="1"/>
  <c r="G4303" i="3" s="1"/>
  <c r="J4303" i="3" a="1"/>
  <c r="J4303" i="3" s="1"/>
  <c r="B4304" i="3" a="1"/>
  <c r="B4304" i="3" s="1"/>
  <c r="C4304" i="3" a="1"/>
  <c r="C4304" i="3" s="1"/>
  <c r="D4304" i="3" a="1"/>
  <c r="D4304" i="3" s="1"/>
  <c r="E4304" i="3" a="1"/>
  <c r="E4304" i="3" s="1"/>
  <c r="F4304" i="3" a="1"/>
  <c r="F4304" i="3" s="1"/>
  <c r="G4304" i="3" a="1"/>
  <c r="G4304" i="3" s="1"/>
  <c r="J4304" i="3" a="1"/>
  <c r="J4304" i="3" s="1"/>
  <c r="B4305" i="3" a="1"/>
  <c r="B4305" i="3" s="1"/>
  <c r="C4305" i="3" a="1"/>
  <c r="C4305" i="3" s="1"/>
  <c r="D4305" i="3" a="1"/>
  <c r="D4305" i="3" s="1"/>
  <c r="E4305" i="3" a="1"/>
  <c r="E4305" i="3" s="1"/>
  <c r="F4305" i="3" a="1"/>
  <c r="F4305" i="3" s="1"/>
  <c r="G4305" i="3" a="1"/>
  <c r="G4305" i="3" s="1"/>
  <c r="J4305" i="3" a="1"/>
  <c r="J4305" i="3" s="1"/>
  <c r="B4306" i="3" a="1"/>
  <c r="B4306" i="3" s="1"/>
  <c r="C4306" i="3" a="1"/>
  <c r="C4306" i="3" s="1"/>
  <c r="D4306" i="3" a="1"/>
  <c r="D4306" i="3" s="1"/>
  <c r="E4306" i="3" a="1"/>
  <c r="E4306" i="3" s="1"/>
  <c r="F4306" i="3" a="1"/>
  <c r="F4306" i="3" s="1"/>
  <c r="G4306" i="3" a="1"/>
  <c r="G4306" i="3" s="1"/>
  <c r="J4306" i="3" a="1"/>
  <c r="J4306" i="3" s="1"/>
  <c r="B4307" i="3" a="1"/>
  <c r="B4307" i="3" s="1"/>
  <c r="C4307" i="3" a="1"/>
  <c r="C4307" i="3" s="1"/>
  <c r="D4307" i="3" a="1"/>
  <c r="D4307" i="3" s="1"/>
  <c r="E4307" i="3" a="1"/>
  <c r="E4307" i="3" s="1"/>
  <c r="F4307" i="3" a="1"/>
  <c r="F4307" i="3" s="1"/>
  <c r="G4307" i="3" a="1"/>
  <c r="G4307" i="3" s="1"/>
  <c r="J4307" i="3" a="1"/>
  <c r="J4307" i="3" s="1"/>
  <c r="B4308" i="3" a="1"/>
  <c r="B4308" i="3" s="1"/>
  <c r="C4308" i="3" a="1"/>
  <c r="C4308" i="3" s="1"/>
  <c r="D4308" i="3" a="1"/>
  <c r="D4308" i="3" s="1"/>
  <c r="E4308" i="3" a="1"/>
  <c r="E4308" i="3" s="1"/>
  <c r="F4308" i="3" a="1"/>
  <c r="F4308" i="3" s="1"/>
  <c r="G4308" i="3" a="1"/>
  <c r="G4308" i="3" s="1"/>
  <c r="J4308" i="3" a="1"/>
  <c r="J4308" i="3" s="1"/>
  <c r="B4309" i="3" a="1"/>
  <c r="B4309" i="3" s="1"/>
  <c r="C4309" i="3" a="1"/>
  <c r="C4309" i="3" s="1"/>
  <c r="D4309" i="3" a="1"/>
  <c r="D4309" i="3" s="1"/>
  <c r="E4309" i="3" a="1"/>
  <c r="E4309" i="3" s="1"/>
  <c r="F4309" i="3" a="1"/>
  <c r="F4309" i="3" s="1"/>
  <c r="G4309" i="3" a="1"/>
  <c r="G4309" i="3" s="1"/>
  <c r="J4309" i="3" a="1"/>
  <c r="J4309" i="3" s="1"/>
  <c r="B4310" i="3" a="1"/>
  <c r="B4310" i="3" s="1"/>
  <c r="C4310" i="3" a="1"/>
  <c r="C4310" i="3" s="1"/>
  <c r="D4310" i="3" a="1"/>
  <c r="D4310" i="3" s="1"/>
  <c r="E4310" i="3" a="1"/>
  <c r="E4310" i="3" s="1"/>
  <c r="F4310" i="3" a="1"/>
  <c r="F4310" i="3" s="1"/>
  <c r="G4310" i="3" a="1"/>
  <c r="G4310" i="3" s="1"/>
  <c r="J4310" i="3" a="1"/>
  <c r="J4310" i="3" s="1"/>
  <c r="B4311" i="3" a="1"/>
  <c r="B4311" i="3" s="1"/>
  <c r="C4311" i="3" a="1"/>
  <c r="C4311" i="3" s="1"/>
  <c r="D4311" i="3" a="1"/>
  <c r="D4311" i="3" s="1"/>
  <c r="E4311" i="3" a="1"/>
  <c r="E4311" i="3" s="1"/>
  <c r="F4311" i="3" a="1"/>
  <c r="F4311" i="3" s="1"/>
  <c r="G4311" i="3" a="1"/>
  <c r="G4311" i="3" s="1"/>
  <c r="J4311" i="3" a="1"/>
  <c r="J4311" i="3" s="1"/>
  <c r="B4312" i="3" a="1"/>
  <c r="B4312" i="3" s="1"/>
  <c r="C4312" i="3" a="1"/>
  <c r="C4312" i="3" s="1"/>
  <c r="D4312" i="3" a="1"/>
  <c r="D4312" i="3" s="1"/>
  <c r="E4312" i="3" a="1"/>
  <c r="E4312" i="3" s="1"/>
  <c r="F4312" i="3" a="1"/>
  <c r="F4312" i="3" s="1"/>
  <c r="G4312" i="3" a="1"/>
  <c r="G4312" i="3" s="1"/>
  <c r="J4312" i="3" a="1"/>
  <c r="J4312" i="3" s="1"/>
  <c r="B4313" i="3" a="1"/>
  <c r="B4313" i="3" s="1"/>
  <c r="C4313" i="3" a="1"/>
  <c r="C4313" i="3" s="1"/>
  <c r="D4313" i="3" a="1"/>
  <c r="D4313" i="3" s="1"/>
  <c r="E4313" i="3" a="1"/>
  <c r="E4313" i="3" s="1"/>
  <c r="F4313" i="3" a="1"/>
  <c r="F4313" i="3" s="1"/>
  <c r="G4313" i="3" a="1"/>
  <c r="G4313" i="3" s="1"/>
  <c r="J4313" i="3" a="1"/>
  <c r="J4313" i="3" s="1"/>
  <c r="B4314" i="3" a="1"/>
  <c r="B4314" i="3" s="1"/>
  <c r="C4314" i="3" a="1"/>
  <c r="C4314" i="3" s="1"/>
  <c r="D4314" i="3" a="1"/>
  <c r="D4314" i="3" s="1"/>
  <c r="E4314" i="3" a="1"/>
  <c r="E4314" i="3" s="1"/>
  <c r="F4314" i="3" a="1"/>
  <c r="F4314" i="3" s="1"/>
  <c r="G4314" i="3" a="1"/>
  <c r="G4314" i="3" s="1"/>
  <c r="J4314" i="3" a="1"/>
  <c r="J4314" i="3" s="1"/>
  <c r="B4315" i="3" a="1"/>
  <c r="B4315" i="3" s="1"/>
  <c r="C4315" i="3" a="1"/>
  <c r="C4315" i="3" s="1"/>
  <c r="D4315" i="3" a="1"/>
  <c r="D4315" i="3" s="1"/>
  <c r="E4315" i="3" a="1"/>
  <c r="E4315" i="3" s="1"/>
  <c r="F4315" i="3" a="1"/>
  <c r="F4315" i="3" s="1"/>
  <c r="G4315" i="3" a="1"/>
  <c r="G4315" i="3" s="1"/>
  <c r="J4315" i="3" a="1"/>
  <c r="J4315" i="3" s="1"/>
  <c r="B4316" i="3" a="1"/>
  <c r="B4316" i="3" s="1"/>
  <c r="C4316" i="3" a="1"/>
  <c r="C4316" i="3" s="1"/>
  <c r="D4316" i="3" a="1"/>
  <c r="D4316" i="3" s="1"/>
  <c r="E4316" i="3" a="1"/>
  <c r="E4316" i="3" s="1"/>
  <c r="F4316" i="3" a="1"/>
  <c r="F4316" i="3" s="1"/>
  <c r="G4316" i="3" a="1"/>
  <c r="G4316" i="3" s="1"/>
  <c r="J4316" i="3" a="1"/>
  <c r="J4316" i="3" s="1"/>
  <c r="B4317" i="3" a="1"/>
  <c r="B4317" i="3" s="1"/>
  <c r="C4317" i="3" a="1"/>
  <c r="C4317" i="3" s="1"/>
  <c r="D4317" i="3" a="1"/>
  <c r="D4317" i="3" s="1"/>
  <c r="E4317" i="3" a="1"/>
  <c r="E4317" i="3" s="1"/>
  <c r="F4317" i="3" a="1"/>
  <c r="F4317" i="3" s="1"/>
  <c r="G4317" i="3" a="1"/>
  <c r="G4317" i="3" s="1"/>
  <c r="J4317" i="3" a="1"/>
  <c r="J4317" i="3" s="1"/>
  <c r="B4318" i="3" a="1"/>
  <c r="B4318" i="3" s="1"/>
  <c r="C4318" i="3" a="1"/>
  <c r="C4318" i="3" s="1"/>
  <c r="D4318" i="3" a="1"/>
  <c r="D4318" i="3" s="1"/>
  <c r="E4318" i="3" a="1"/>
  <c r="E4318" i="3" s="1"/>
  <c r="F4318" i="3" a="1"/>
  <c r="F4318" i="3" s="1"/>
  <c r="G4318" i="3" a="1"/>
  <c r="G4318" i="3" s="1"/>
  <c r="J4318" i="3" a="1"/>
  <c r="J4318" i="3" s="1"/>
  <c r="B4319" i="3" a="1"/>
  <c r="B4319" i="3" s="1"/>
  <c r="C4319" i="3" a="1"/>
  <c r="C4319" i="3" s="1"/>
  <c r="D4319" i="3" a="1"/>
  <c r="D4319" i="3" s="1"/>
  <c r="E4319" i="3" a="1"/>
  <c r="E4319" i="3" s="1"/>
  <c r="F4319" i="3" a="1"/>
  <c r="F4319" i="3" s="1"/>
  <c r="G4319" i="3" a="1"/>
  <c r="G4319" i="3" s="1"/>
  <c r="J4319" i="3" a="1"/>
  <c r="J4319" i="3" s="1"/>
  <c r="B4320" i="3" a="1"/>
  <c r="B4320" i="3" s="1"/>
  <c r="C4320" i="3" a="1"/>
  <c r="C4320" i="3" s="1"/>
  <c r="D4320" i="3" a="1"/>
  <c r="D4320" i="3" s="1"/>
  <c r="E4320" i="3" a="1"/>
  <c r="E4320" i="3" s="1"/>
  <c r="F4320" i="3" a="1"/>
  <c r="F4320" i="3" s="1"/>
  <c r="G4320" i="3" a="1"/>
  <c r="G4320" i="3" s="1"/>
  <c r="J4320" i="3" a="1"/>
  <c r="J4320" i="3" s="1"/>
  <c r="B4321" i="3" a="1"/>
  <c r="B4321" i="3" s="1"/>
  <c r="C4321" i="3" a="1"/>
  <c r="C4321" i="3" s="1"/>
  <c r="D4321" i="3" a="1"/>
  <c r="D4321" i="3" s="1"/>
  <c r="E4321" i="3" a="1"/>
  <c r="E4321" i="3" s="1"/>
  <c r="F4321" i="3" a="1"/>
  <c r="F4321" i="3" s="1"/>
  <c r="G4321" i="3" a="1"/>
  <c r="G4321" i="3" s="1"/>
  <c r="J4321" i="3" a="1"/>
  <c r="J4321" i="3" s="1"/>
  <c r="B4322" i="3" a="1"/>
  <c r="B4322" i="3" s="1"/>
  <c r="C4322" i="3" a="1"/>
  <c r="C4322" i="3" s="1"/>
  <c r="D4322" i="3" a="1"/>
  <c r="D4322" i="3" s="1"/>
  <c r="E4322" i="3" a="1"/>
  <c r="E4322" i="3" s="1"/>
  <c r="F4322" i="3" a="1"/>
  <c r="F4322" i="3" s="1"/>
  <c r="G4322" i="3" a="1"/>
  <c r="G4322" i="3" s="1"/>
  <c r="J4322" i="3" a="1"/>
  <c r="J4322" i="3" s="1"/>
  <c r="B4323" i="3" a="1"/>
  <c r="B4323" i="3" s="1"/>
  <c r="C4323" i="3" a="1"/>
  <c r="C4323" i="3" s="1"/>
  <c r="D4323" i="3" a="1"/>
  <c r="D4323" i="3" s="1"/>
  <c r="E4323" i="3" a="1"/>
  <c r="E4323" i="3" s="1"/>
  <c r="F4323" i="3" a="1"/>
  <c r="F4323" i="3" s="1"/>
  <c r="G4323" i="3" a="1"/>
  <c r="G4323" i="3" s="1"/>
  <c r="J4323" i="3" a="1"/>
  <c r="J4323" i="3" s="1"/>
  <c r="B4324" i="3" a="1"/>
  <c r="B4324" i="3" s="1"/>
  <c r="C4324" i="3" a="1"/>
  <c r="C4324" i="3" s="1"/>
  <c r="D4324" i="3" a="1"/>
  <c r="D4324" i="3" s="1"/>
  <c r="E4324" i="3" a="1"/>
  <c r="E4324" i="3" s="1"/>
  <c r="F4324" i="3" a="1"/>
  <c r="F4324" i="3" s="1"/>
  <c r="G4324" i="3" a="1"/>
  <c r="G4324" i="3" s="1"/>
  <c r="J4324" i="3" a="1"/>
  <c r="J4324" i="3" s="1"/>
  <c r="B4325" i="3" a="1"/>
  <c r="B4325" i="3" s="1"/>
  <c r="C4325" i="3" a="1"/>
  <c r="C4325" i="3" s="1"/>
  <c r="D4325" i="3" a="1"/>
  <c r="D4325" i="3" s="1"/>
  <c r="E4325" i="3" a="1"/>
  <c r="E4325" i="3" s="1"/>
  <c r="F4325" i="3" a="1"/>
  <c r="F4325" i="3" s="1"/>
  <c r="G4325" i="3" a="1"/>
  <c r="G4325" i="3" s="1"/>
  <c r="J4325" i="3" a="1"/>
  <c r="J4325" i="3" s="1"/>
  <c r="B4326" i="3" a="1"/>
  <c r="B4326" i="3" s="1"/>
  <c r="C4326" i="3" a="1"/>
  <c r="C4326" i="3" s="1"/>
  <c r="D4326" i="3" a="1"/>
  <c r="D4326" i="3" s="1"/>
  <c r="E4326" i="3" a="1"/>
  <c r="E4326" i="3" s="1"/>
  <c r="F4326" i="3" a="1"/>
  <c r="F4326" i="3" s="1"/>
  <c r="G4326" i="3" a="1"/>
  <c r="G4326" i="3" s="1"/>
  <c r="J4326" i="3" a="1"/>
  <c r="J4326" i="3" s="1"/>
  <c r="B4327" i="3" a="1"/>
  <c r="B4327" i="3" s="1"/>
  <c r="C4327" i="3" a="1"/>
  <c r="C4327" i="3" s="1"/>
  <c r="D4327" i="3" a="1"/>
  <c r="D4327" i="3" s="1"/>
  <c r="E4327" i="3" a="1"/>
  <c r="E4327" i="3" s="1"/>
  <c r="F4327" i="3" a="1"/>
  <c r="F4327" i="3" s="1"/>
  <c r="G4327" i="3" a="1"/>
  <c r="G4327" i="3" s="1"/>
  <c r="J4327" i="3" a="1"/>
  <c r="J4327" i="3" s="1"/>
  <c r="B4328" i="3" a="1"/>
  <c r="B4328" i="3" s="1"/>
  <c r="C4328" i="3" a="1"/>
  <c r="C4328" i="3" s="1"/>
  <c r="D4328" i="3" a="1"/>
  <c r="D4328" i="3" s="1"/>
  <c r="E4328" i="3" a="1"/>
  <c r="E4328" i="3" s="1"/>
  <c r="F4328" i="3" a="1"/>
  <c r="F4328" i="3" s="1"/>
  <c r="G4328" i="3" a="1"/>
  <c r="G4328" i="3" s="1"/>
  <c r="J4328" i="3" a="1"/>
  <c r="J4328" i="3" s="1"/>
  <c r="B4329" i="3" a="1"/>
  <c r="B4329" i="3" s="1"/>
  <c r="C4329" i="3" a="1"/>
  <c r="C4329" i="3" s="1"/>
  <c r="D4329" i="3" a="1"/>
  <c r="D4329" i="3" s="1"/>
  <c r="E4329" i="3" a="1"/>
  <c r="E4329" i="3" s="1"/>
  <c r="F4329" i="3" a="1"/>
  <c r="F4329" i="3" s="1"/>
  <c r="G4329" i="3" a="1"/>
  <c r="G4329" i="3" s="1"/>
  <c r="J4329" i="3" a="1"/>
  <c r="J4329" i="3" s="1"/>
  <c r="B4330" i="3" a="1"/>
  <c r="B4330" i="3" s="1"/>
  <c r="C4330" i="3" a="1"/>
  <c r="C4330" i="3" s="1"/>
  <c r="D4330" i="3" a="1"/>
  <c r="D4330" i="3" s="1"/>
  <c r="E4330" i="3" a="1"/>
  <c r="E4330" i="3" s="1"/>
  <c r="F4330" i="3" a="1"/>
  <c r="F4330" i="3" s="1"/>
  <c r="G4330" i="3" a="1"/>
  <c r="G4330" i="3" s="1"/>
  <c r="J4330" i="3" a="1"/>
  <c r="J4330" i="3" s="1"/>
  <c r="B4331" i="3" a="1"/>
  <c r="B4331" i="3" s="1"/>
  <c r="C4331" i="3" a="1"/>
  <c r="C4331" i="3" s="1"/>
  <c r="D4331" i="3" a="1"/>
  <c r="D4331" i="3" s="1"/>
  <c r="E4331" i="3" a="1"/>
  <c r="E4331" i="3" s="1"/>
  <c r="F4331" i="3" a="1"/>
  <c r="F4331" i="3" s="1"/>
  <c r="G4331" i="3" a="1"/>
  <c r="G4331" i="3" s="1"/>
  <c r="J4331" i="3" a="1"/>
  <c r="J4331" i="3" s="1"/>
  <c r="B4332" i="3" a="1"/>
  <c r="B4332" i="3" s="1"/>
  <c r="C4332" i="3" a="1"/>
  <c r="C4332" i="3" s="1"/>
  <c r="D4332" i="3" a="1"/>
  <c r="D4332" i="3" s="1"/>
  <c r="E4332" i="3" a="1"/>
  <c r="E4332" i="3" s="1"/>
  <c r="F4332" i="3" a="1"/>
  <c r="F4332" i="3" s="1"/>
  <c r="G4332" i="3" a="1"/>
  <c r="G4332" i="3" s="1"/>
  <c r="J4332" i="3" a="1"/>
  <c r="J4332" i="3" s="1"/>
  <c r="B4333" i="3" a="1"/>
  <c r="B4333" i="3" s="1"/>
  <c r="C4333" i="3" a="1"/>
  <c r="C4333" i="3" s="1"/>
  <c r="D4333" i="3" a="1"/>
  <c r="D4333" i="3" s="1"/>
  <c r="E4333" i="3" a="1"/>
  <c r="E4333" i="3" s="1"/>
  <c r="F4333" i="3" a="1"/>
  <c r="F4333" i="3" s="1"/>
  <c r="G4333" i="3" a="1"/>
  <c r="G4333" i="3" s="1"/>
  <c r="J4333" i="3" a="1"/>
  <c r="J4333" i="3" s="1"/>
  <c r="B4334" i="3" a="1"/>
  <c r="B4334" i="3" s="1"/>
  <c r="C4334" i="3" a="1"/>
  <c r="C4334" i="3" s="1"/>
  <c r="D4334" i="3" a="1"/>
  <c r="D4334" i="3" s="1"/>
  <c r="E4334" i="3" a="1"/>
  <c r="E4334" i="3" s="1"/>
  <c r="F4334" i="3" a="1"/>
  <c r="F4334" i="3" s="1"/>
  <c r="G4334" i="3" a="1"/>
  <c r="G4334" i="3" s="1"/>
  <c r="J4334" i="3" a="1"/>
  <c r="J4334" i="3" s="1"/>
  <c r="B4335" i="3" a="1"/>
  <c r="B4335" i="3" s="1"/>
  <c r="C4335" i="3" a="1"/>
  <c r="C4335" i="3" s="1"/>
  <c r="D4335" i="3" a="1"/>
  <c r="D4335" i="3" s="1"/>
  <c r="E4335" i="3" a="1"/>
  <c r="E4335" i="3" s="1"/>
  <c r="F4335" i="3" a="1"/>
  <c r="F4335" i="3" s="1"/>
  <c r="G4335" i="3" a="1"/>
  <c r="G4335" i="3" s="1"/>
  <c r="J4335" i="3" a="1"/>
  <c r="J4335" i="3" s="1"/>
  <c r="B4336" i="3" a="1"/>
  <c r="B4336" i="3" s="1"/>
  <c r="C4336" i="3" a="1"/>
  <c r="C4336" i="3" s="1"/>
  <c r="D4336" i="3" a="1"/>
  <c r="D4336" i="3" s="1"/>
  <c r="E4336" i="3" a="1"/>
  <c r="E4336" i="3" s="1"/>
  <c r="F4336" i="3" a="1"/>
  <c r="F4336" i="3" s="1"/>
  <c r="G4336" i="3" a="1"/>
  <c r="G4336" i="3" s="1"/>
  <c r="J4336" i="3" a="1"/>
  <c r="J4336" i="3" s="1"/>
  <c r="B4337" i="3" a="1"/>
  <c r="B4337" i="3" s="1"/>
  <c r="C4337" i="3" a="1"/>
  <c r="C4337" i="3" s="1"/>
  <c r="D4337" i="3" a="1"/>
  <c r="D4337" i="3" s="1"/>
  <c r="E4337" i="3" a="1"/>
  <c r="E4337" i="3" s="1"/>
  <c r="F4337" i="3" a="1"/>
  <c r="F4337" i="3" s="1"/>
  <c r="G4337" i="3" a="1"/>
  <c r="G4337" i="3" s="1"/>
  <c r="J4337" i="3" a="1"/>
  <c r="J4337" i="3" s="1"/>
  <c r="B4338" i="3" a="1"/>
  <c r="B4338" i="3" s="1"/>
  <c r="C4338" i="3" a="1"/>
  <c r="C4338" i="3" s="1"/>
  <c r="D4338" i="3" a="1"/>
  <c r="D4338" i="3" s="1"/>
  <c r="E4338" i="3" a="1"/>
  <c r="E4338" i="3" s="1"/>
  <c r="F4338" i="3" a="1"/>
  <c r="F4338" i="3" s="1"/>
  <c r="G4338" i="3" a="1"/>
  <c r="G4338" i="3" s="1"/>
  <c r="J4338" i="3" a="1"/>
  <c r="J4338" i="3" s="1"/>
  <c r="B4339" i="3" a="1"/>
  <c r="B4339" i="3" s="1"/>
  <c r="C4339" i="3" a="1"/>
  <c r="C4339" i="3" s="1"/>
  <c r="D4339" i="3" a="1"/>
  <c r="D4339" i="3" s="1"/>
  <c r="E4339" i="3" a="1"/>
  <c r="E4339" i="3" s="1"/>
  <c r="F4339" i="3" a="1"/>
  <c r="F4339" i="3" s="1"/>
  <c r="G4339" i="3" a="1"/>
  <c r="G4339" i="3" s="1"/>
  <c r="J4339" i="3" a="1"/>
  <c r="J4339" i="3" s="1"/>
  <c r="B4340" i="3" a="1"/>
  <c r="B4340" i="3" s="1"/>
  <c r="C4340" i="3" a="1"/>
  <c r="C4340" i="3" s="1"/>
  <c r="D4340" i="3" a="1"/>
  <c r="D4340" i="3" s="1"/>
  <c r="E4340" i="3" a="1"/>
  <c r="E4340" i="3" s="1"/>
  <c r="F4340" i="3" a="1"/>
  <c r="F4340" i="3" s="1"/>
  <c r="G4340" i="3" a="1"/>
  <c r="G4340" i="3" s="1"/>
  <c r="J4340" i="3" a="1"/>
  <c r="J4340" i="3" s="1"/>
  <c r="B4341" i="3" a="1"/>
  <c r="B4341" i="3" s="1"/>
  <c r="C4341" i="3" a="1"/>
  <c r="C4341" i="3" s="1"/>
  <c r="D4341" i="3" a="1"/>
  <c r="D4341" i="3" s="1"/>
  <c r="E4341" i="3" a="1"/>
  <c r="E4341" i="3" s="1"/>
  <c r="F4341" i="3" a="1"/>
  <c r="F4341" i="3" s="1"/>
  <c r="G4341" i="3" a="1"/>
  <c r="G4341" i="3" s="1"/>
  <c r="J4341" i="3" a="1"/>
  <c r="J4341" i="3" s="1"/>
  <c r="B4342" i="3" a="1"/>
  <c r="B4342" i="3" s="1"/>
  <c r="C4342" i="3" a="1"/>
  <c r="C4342" i="3" s="1"/>
  <c r="D4342" i="3" a="1"/>
  <c r="D4342" i="3" s="1"/>
  <c r="E4342" i="3" a="1"/>
  <c r="E4342" i="3" s="1"/>
  <c r="F4342" i="3" a="1"/>
  <c r="F4342" i="3" s="1"/>
  <c r="G4342" i="3" a="1"/>
  <c r="G4342" i="3" s="1"/>
  <c r="J4342" i="3" a="1"/>
  <c r="J4342" i="3" s="1"/>
  <c r="B4343" i="3" a="1"/>
  <c r="B4343" i="3" s="1"/>
  <c r="C4343" i="3" a="1"/>
  <c r="C4343" i="3" s="1"/>
  <c r="D4343" i="3" a="1"/>
  <c r="D4343" i="3" s="1"/>
  <c r="E4343" i="3" a="1"/>
  <c r="E4343" i="3" s="1"/>
  <c r="F4343" i="3" a="1"/>
  <c r="F4343" i="3" s="1"/>
  <c r="G4343" i="3" a="1"/>
  <c r="G4343" i="3" s="1"/>
  <c r="J4343" i="3" a="1"/>
  <c r="J4343" i="3" s="1"/>
  <c r="B4344" i="3" a="1"/>
  <c r="B4344" i="3" s="1"/>
  <c r="C4344" i="3" a="1"/>
  <c r="C4344" i="3" s="1"/>
  <c r="D4344" i="3" a="1"/>
  <c r="D4344" i="3" s="1"/>
  <c r="E4344" i="3" a="1"/>
  <c r="E4344" i="3" s="1"/>
  <c r="F4344" i="3" a="1"/>
  <c r="F4344" i="3" s="1"/>
  <c r="G4344" i="3" a="1"/>
  <c r="G4344" i="3" s="1"/>
  <c r="J4344" i="3" a="1"/>
  <c r="J4344" i="3" s="1"/>
  <c r="B4345" i="3" a="1"/>
  <c r="B4345" i="3" s="1"/>
  <c r="C4345" i="3" a="1"/>
  <c r="C4345" i="3" s="1"/>
  <c r="D4345" i="3" a="1"/>
  <c r="D4345" i="3" s="1"/>
  <c r="E4345" i="3" a="1"/>
  <c r="E4345" i="3" s="1"/>
  <c r="F4345" i="3" a="1"/>
  <c r="F4345" i="3" s="1"/>
  <c r="G4345" i="3" a="1"/>
  <c r="G4345" i="3" s="1"/>
  <c r="J4345" i="3" a="1"/>
  <c r="J4345" i="3" s="1"/>
  <c r="B4346" i="3" a="1"/>
  <c r="B4346" i="3" s="1"/>
  <c r="C4346" i="3" a="1"/>
  <c r="C4346" i="3" s="1"/>
  <c r="D4346" i="3" a="1"/>
  <c r="D4346" i="3" s="1"/>
  <c r="E4346" i="3" a="1"/>
  <c r="E4346" i="3" s="1"/>
  <c r="F4346" i="3" a="1"/>
  <c r="F4346" i="3" s="1"/>
  <c r="G4346" i="3" a="1"/>
  <c r="G4346" i="3" s="1"/>
  <c r="J4346" i="3" a="1"/>
  <c r="J4346" i="3" s="1"/>
  <c r="B4347" i="3" a="1"/>
  <c r="B4347" i="3" s="1"/>
  <c r="C4347" i="3" a="1"/>
  <c r="C4347" i="3" s="1"/>
  <c r="D4347" i="3" a="1"/>
  <c r="D4347" i="3" s="1"/>
  <c r="E4347" i="3" a="1"/>
  <c r="E4347" i="3" s="1"/>
  <c r="F4347" i="3" a="1"/>
  <c r="F4347" i="3" s="1"/>
  <c r="G4347" i="3" a="1"/>
  <c r="G4347" i="3" s="1"/>
  <c r="J4347" i="3" a="1"/>
  <c r="J4347" i="3" s="1"/>
  <c r="B4348" i="3" a="1"/>
  <c r="B4348" i="3" s="1"/>
  <c r="C4348" i="3" a="1"/>
  <c r="C4348" i="3" s="1"/>
  <c r="D4348" i="3" a="1"/>
  <c r="D4348" i="3" s="1"/>
  <c r="E4348" i="3" a="1"/>
  <c r="E4348" i="3" s="1"/>
  <c r="F4348" i="3" a="1"/>
  <c r="F4348" i="3" s="1"/>
  <c r="G4348" i="3" a="1"/>
  <c r="G4348" i="3" s="1"/>
  <c r="J4348" i="3" a="1"/>
  <c r="J4348" i="3" s="1"/>
  <c r="B4349" i="3" a="1"/>
  <c r="B4349" i="3" s="1"/>
  <c r="C4349" i="3" a="1"/>
  <c r="C4349" i="3" s="1"/>
  <c r="D4349" i="3" a="1"/>
  <c r="D4349" i="3" s="1"/>
  <c r="E4349" i="3" a="1"/>
  <c r="E4349" i="3" s="1"/>
  <c r="F4349" i="3" a="1"/>
  <c r="F4349" i="3" s="1"/>
  <c r="G4349" i="3" a="1"/>
  <c r="G4349" i="3" s="1"/>
  <c r="J4349" i="3" a="1"/>
  <c r="J4349" i="3" s="1"/>
  <c r="B4350" i="3" a="1"/>
  <c r="B4350" i="3" s="1"/>
  <c r="C4350" i="3" a="1"/>
  <c r="C4350" i="3" s="1"/>
  <c r="D4350" i="3" a="1"/>
  <c r="D4350" i="3" s="1"/>
  <c r="E4350" i="3" a="1"/>
  <c r="E4350" i="3" s="1"/>
  <c r="F4350" i="3" a="1"/>
  <c r="F4350" i="3" s="1"/>
  <c r="G4350" i="3" a="1"/>
  <c r="G4350" i="3" s="1"/>
  <c r="J4350" i="3" a="1"/>
  <c r="J4350" i="3" s="1"/>
  <c r="B4351" i="3" a="1"/>
  <c r="B4351" i="3" s="1"/>
  <c r="C4351" i="3" a="1"/>
  <c r="C4351" i="3" s="1"/>
  <c r="D4351" i="3" a="1"/>
  <c r="D4351" i="3" s="1"/>
  <c r="E4351" i="3" a="1"/>
  <c r="E4351" i="3" s="1"/>
  <c r="F4351" i="3" a="1"/>
  <c r="F4351" i="3" s="1"/>
  <c r="G4351" i="3" a="1"/>
  <c r="G4351" i="3" s="1"/>
  <c r="J4351" i="3" a="1"/>
  <c r="J4351" i="3" s="1"/>
  <c r="B4352" i="3" a="1"/>
  <c r="B4352" i="3" s="1"/>
  <c r="C4352" i="3" a="1"/>
  <c r="C4352" i="3" s="1"/>
  <c r="D4352" i="3" a="1"/>
  <c r="D4352" i="3" s="1"/>
  <c r="E4352" i="3" a="1"/>
  <c r="E4352" i="3" s="1"/>
  <c r="F4352" i="3" a="1"/>
  <c r="F4352" i="3" s="1"/>
  <c r="G4352" i="3" a="1"/>
  <c r="G4352" i="3" s="1"/>
  <c r="J4352" i="3" a="1"/>
  <c r="J4352" i="3" s="1"/>
  <c r="B4353" i="3" a="1"/>
  <c r="B4353" i="3" s="1"/>
  <c r="C4353" i="3" a="1"/>
  <c r="C4353" i="3" s="1"/>
  <c r="D4353" i="3" a="1"/>
  <c r="D4353" i="3" s="1"/>
  <c r="E4353" i="3" a="1"/>
  <c r="E4353" i="3" s="1"/>
  <c r="F4353" i="3" a="1"/>
  <c r="F4353" i="3" s="1"/>
  <c r="G4353" i="3" a="1"/>
  <c r="G4353" i="3" s="1"/>
  <c r="J4353" i="3" a="1"/>
  <c r="J4353" i="3" s="1"/>
  <c r="B4354" i="3" a="1"/>
  <c r="B4354" i="3" s="1"/>
  <c r="C4354" i="3" a="1"/>
  <c r="C4354" i="3" s="1"/>
  <c r="D4354" i="3" a="1"/>
  <c r="D4354" i="3" s="1"/>
  <c r="E4354" i="3" a="1"/>
  <c r="E4354" i="3" s="1"/>
  <c r="F4354" i="3" a="1"/>
  <c r="F4354" i="3" s="1"/>
  <c r="G4354" i="3" a="1"/>
  <c r="G4354" i="3" s="1"/>
  <c r="J4354" i="3" a="1"/>
  <c r="J4354" i="3" s="1"/>
  <c r="B4355" i="3" a="1"/>
  <c r="B4355" i="3" s="1"/>
  <c r="C4355" i="3" a="1"/>
  <c r="C4355" i="3" s="1"/>
  <c r="D4355" i="3" a="1"/>
  <c r="D4355" i="3" s="1"/>
  <c r="E4355" i="3" a="1"/>
  <c r="E4355" i="3" s="1"/>
  <c r="F4355" i="3" a="1"/>
  <c r="F4355" i="3" s="1"/>
  <c r="G4355" i="3" a="1"/>
  <c r="G4355" i="3" s="1"/>
  <c r="J4355" i="3" a="1"/>
  <c r="J4355" i="3" s="1"/>
  <c r="B4356" i="3" a="1"/>
  <c r="B4356" i="3" s="1"/>
  <c r="C4356" i="3" a="1"/>
  <c r="C4356" i="3" s="1"/>
  <c r="D4356" i="3" a="1"/>
  <c r="D4356" i="3" s="1"/>
  <c r="E4356" i="3" a="1"/>
  <c r="E4356" i="3" s="1"/>
  <c r="F4356" i="3" a="1"/>
  <c r="F4356" i="3" s="1"/>
  <c r="G4356" i="3" a="1"/>
  <c r="G4356" i="3" s="1"/>
  <c r="J4356" i="3" a="1"/>
  <c r="J4356" i="3" s="1"/>
  <c r="B4357" i="3" a="1"/>
  <c r="B4357" i="3" s="1"/>
  <c r="C4357" i="3" a="1"/>
  <c r="C4357" i="3" s="1"/>
  <c r="D4357" i="3" a="1"/>
  <c r="D4357" i="3" s="1"/>
  <c r="E4357" i="3" a="1"/>
  <c r="E4357" i="3" s="1"/>
  <c r="F4357" i="3" a="1"/>
  <c r="F4357" i="3" s="1"/>
  <c r="G4357" i="3" a="1"/>
  <c r="G4357" i="3" s="1"/>
  <c r="J4357" i="3" a="1"/>
  <c r="J4357" i="3" s="1"/>
  <c r="B4358" i="3" a="1"/>
  <c r="B4358" i="3" s="1"/>
  <c r="C4358" i="3" a="1"/>
  <c r="C4358" i="3" s="1"/>
  <c r="D4358" i="3" a="1"/>
  <c r="D4358" i="3" s="1"/>
  <c r="E4358" i="3" a="1"/>
  <c r="E4358" i="3" s="1"/>
  <c r="F4358" i="3" a="1"/>
  <c r="F4358" i="3" s="1"/>
  <c r="G4358" i="3" a="1"/>
  <c r="G4358" i="3" s="1"/>
  <c r="J4358" i="3" a="1"/>
  <c r="J4358" i="3" s="1"/>
  <c r="B4359" i="3" a="1"/>
  <c r="B4359" i="3" s="1"/>
  <c r="C4359" i="3" a="1"/>
  <c r="C4359" i="3" s="1"/>
  <c r="D4359" i="3" a="1"/>
  <c r="D4359" i="3" s="1"/>
  <c r="E4359" i="3" a="1"/>
  <c r="E4359" i="3" s="1"/>
  <c r="F4359" i="3" a="1"/>
  <c r="F4359" i="3" s="1"/>
  <c r="G4359" i="3" a="1"/>
  <c r="G4359" i="3" s="1"/>
  <c r="J4359" i="3" a="1"/>
  <c r="J4359" i="3" s="1"/>
  <c r="B4360" i="3" a="1"/>
  <c r="B4360" i="3" s="1"/>
  <c r="C4360" i="3" a="1"/>
  <c r="C4360" i="3" s="1"/>
  <c r="D4360" i="3" a="1"/>
  <c r="D4360" i="3" s="1"/>
  <c r="E4360" i="3" a="1"/>
  <c r="E4360" i="3" s="1"/>
  <c r="F4360" i="3" a="1"/>
  <c r="F4360" i="3" s="1"/>
  <c r="G4360" i="3" a="1"/>
  <c r="G4360" i="3" s="1"/>
  <c r="J4360" i="3" a="1"/>
  <c r="J4360" i="3" s="1"/>
  <c r="B4361" i="3" a="1"/>
  <c r="B4361" i="3" s="1"/>
  <c r="C4361" i="3" a="1"/>
  <c r="C4361" i="3" s="1"/>
  <c r="D4361" i="3" a="1"/>
  <c r="D4361" i="3" s="1"/>
  <c r="E4361" i="3" a="1"/>
  <c r="E4361" i="3" s="1"/>
  <c r="F4361" i="3" a="1"/>
  <c r="F4361" i="3" s="1"/>
  <c r="G4361" i="3" a="1"/>
  <c r="G4361" i="3" s="1"/>
  <c r="J4361" i="3" a="1"/>
  <c r="J4361" i="3" s="1"/>
  <c r="B4362" i="3" a="1"/>
  <c r="B4362" i="3" s="1"/>
  <c r="C4362" i="3" a="1"/>
  <c r="C4362" i="3" s="1"/>
  <c r="D4362" i="3" a="1"/>
  <c r="D4362" i="3" s="1"/>
  <c r="E4362" i="3" a="1"/>
  <c r="E4362" i="3" s="1"/>
  <c r="F4362" i="3" a="1"/>
  <c r="F4362" i="3" s="1"/>
  <c r="G4362" i="3" a="1"/>
  <c r="G4362" i="3" s="1"/>
  <c r="J4362" i="3" a="1"/>
  <c r="J4362" i="3" s="1"/>
  <c r="B4363" i="3" a="1"/>
  <c r="B4363" i="3" s="1"/>
  <c r="C4363" i="3" a="1"/>
  <c r="C4363" i="3" s="1"/>
  <c r="D4363" i="3" a="1"/>
  <c r="D4363" i="3" s="1"/>
  <c r="E4363" i="3" a="1"/>
  <c r="E4363" i="3" s="1"/>
  <c r="F4363" i="3" a="1"/>
  <c r="F4363" i="3" s="1"/>
  <c r="G4363" i="3" a="1"/>
  <c r="G4363" i="3" s="1"/>
  <c r="J4363" i="3" a="1"/>
  <c r="J4363" i="3" s="1"/>
  <c r="B4364" i="3" a="1"/>
  <c r="B4364" i="3" s="1"/>
  <c r="C4364" i="3" a="1"/>
  <c r="C4364" i="3" s="1"/>
  <c r="D4364" i="3" a="1"/>
  <c r="D4364" i="3" s="1"/>
  <c r="E4364" i="3" a="1"/>
  <c r="E4364" i="3" s="1"/>
  <c r="F4364" i="3" a="1"/>
  <c r="F4364" i="3" s="1"/>
  <c r="G4364" i="3" a="1"/>
  <c r="G4364" i="3" s="1"/>
  <c r="J4364" i="3" a="1"/>
  <c r="J4364" i="3" s="1"/>
  <c r="B4365" i="3" a="1"/>
  <c r="B4365" i="3" s="1"/>
  <c r="C4365" i="3" a="1"/>
  <c r="C4365" i="3" s="1"/>
  <c r="D4365" i="3" a="1"/>
  <c r="D4365" i="3" s="1"/>
  <c r="E4365" i="3" a="1"/>
  <c r="E4365" i="3" s="1"/>
  <c r="F4365" i="3" a="1"/>
  <c r="F4365" i="3" s="1"/>
  <c r="G4365" i="3" a="1"/>
  <c r="G4365" i="3" s="1"/>
  <c r="J4365" i="3" a="1"/>
  <c r="J4365" i="3" s="1"/>
  <c r="B4366" i="3" a="1"/>
  <c r="B4366" i="3" s="1"/>
  <c r="C4366" i="3" a="1"/>
  <c r="C4366" i="3" s="1"/>
  <c r="D4366" i="3" a="1"/>
  <c r="D4366" i="3" s="1"/>
  <c r="E4366" i="3" a="1"/>
  <c r="E4366" i="3" s="1"/>
  <c r="F4366" i="3" a="1"/>
  <c r="F4366" i="3" s="1"/>
  <c r="G4366" i="3" a="1"/>
  <c r="G4366" i="3" s="1"/>
  <c r="J4366" i="3" a="1"/>
  <c r="J4366" i="3" s="1"/>
  <c r="B4367" i="3" a="1"/>
  <c r="B4367" i="3" s="1"/>
  <c r="C4367" i="3" a="1"/>
  <c r="C4367" i="3" s="1"/>
  <c r="D4367" i="3" a="1"/>
  <c r="D4367" i="3" s="1"/>
  <c r="E4367" i="3" a="1"/>
  <c r="E4367" i="3" s="1"/>
  <c r="F4367" i="3" a="1"/>
  <c r="F4367" i="3" s="1"/>
  <c r="G4367" i="3" a="1"/>
  <c r="G4367" i="3" s="1"/>
  <c r="J4367" i="3" a="1"/>
  <c r="J4367" i="3" s="1"/>
  <c r="B4368" i="3" a="1"/>
  <c r="B4368" i="3" s="1"/>
  <c r="C4368" i="3" a="1"/>
  <c r="C4368" i="3" s="1"/>
  <c r="D4368" i="3" a="1"/>
  <c r="D4368" i="3" s="1"/>
  <c r="E4368" i="3" a="1"/>
  <c r="E4368" i="3" s="1"/>
  <c r="F4368" i="3" a="1"/>
  <c r="F4368" i="3" s="1"/>
  <c r="G4368" i="3" a="1"/>
  <c r="G4368" i="3" s="1"/>
  <c r="J4368" i="3" a="1"/>
  <c r="J4368" i="3" s="1"/>
  <c r="B4369" i="3" a="1"/>
  <c r="B4369" i="3" s="1"/>
  <c r="C4369" i="3" a="1"/>
  <c r="C4369" i="3" s="1"/>
  <c r="D4369" i="3" a="1"/>
  <c r="D4369" i="3" s="1"/>
  <c r="E4369" i="3" a="1"/>
  <c r="E4369" i="3" s="1"/>
  <c r="F4369" i="3" a="1"/>
  <c r="F4369" i="3" s="1"/>
  <c r="G4369" i="3" a="1"/>
  <c r="G4369" i="3" s="1"/>
  <c r="J4369" i="3" a="1"/>
  <c r="J4369" i="3" s="1"/>
  <c r="B4370" i="3" a="1"/>
  <c r="B4370" i="3" s="1"/>
  <c r="C4370" i="3" a="1"/>
  <c r="C4370" i="3" s="1"/>
  <c r="D4370" i="3" a="1"/>
  <c r="D4370" i="3" s="1"/>
  <c r="E4370" i="3" a="1"/>
  <c r="E4370" i="3" s="1"/>
  <c r="F4370" i="3" a="1"/>
  <c r="F4370" i="3" s="1"/>
  <c r="G4370" i="3" a="1"/>
  <c r="G4370" i="3" s="1"/>
  <c r="J4370" i="3" a="1"/>
  <c r="J4370" i="3" s="1"/>
  <c r="B4371" i="3" a="1"/>
  <c r="B4371" i="3" s="1"/>
  <c r="C4371" i="3" a="1"/>
  <c r="C4371" i="3" s="1"/>
  <c r="D4371" i="3" a="1"/>
  <c r="D4371" i="3" s="1"/>
  <c r="E4371" i="3" a="1"/>
  <c r="E4371" i="3" s="1"/>
  <c r="F4371" i="3" a="1"/>
  <c r="F4371" i="3" s="1"/>
  <c r="G4371" i="3" a="1"/>
  <c r="G4371" i="3" s="1"/>
  <c r="J4371" i="3" a="1"/>
  <c r="J4371" i="3" s="1"/>
  <c r="B4372" i="3" a="1"/>
  <c r="B4372" i="3" s="1"/>
  <c r="C4372" i="3" a="1"/>
  <c r="C4372" i="3" s="1"/>
  <c r="D4372" i="3" a="1"/>
  <c r="D4372" i="3" s="1"/>
  <c r="E4372" i="3" a="1"/>
  <c r="E4372" i="3" s="1"/>
  <c r="F4372" i="3" a="1"/>
  <c r="F4372" i="3" s="1"/>
  <c r="G4372" i="3" a="1"/>
  <c r="G4372" i="3" s="1"/>
  <c r="J4372" i="3" a="1"/>
  <c r="J4372" i="3" s="1"/>
  <c r="B4373" i="3" a="1"/>
  <c r="B4373" i="3" s="1"/>
  <c r="C4373" i="3" a="1"/>
  <c r="C4373" i="3" s="1"/>
  <c r="D4373" i="3" a="1"/>
  <c r="D4373" i="3" s="1"/>
  <c r="E4373" i="3" a="1"/>
  <c r="E4373" i="3" s="1"/>
  <c r="F4373" i="3" a="1"/>
  <c r="F4373" i="3" s="1"/>
  <c r="G4373" i="3" a="1"/>
  <c r="G4373" i="3" s="1"/>
  <c r="J4373" i="3" a="1"/>
  <c r="J4373" i="3" s="1"/>
  <c r="B4374" i="3" a="1"/>
  <c r="B4374" i="3" s="1"/>
  <c r="C4374" i="3" a="1"/>
  <c r="C4374" i="3" s="1"/>
  <c r="D4374" i="3" a="1"/>
  <c r="D4374" i="3" s="1"/>
  <c r="E4374" i="3" a="1"/>
  <c r="E4374" i="3" s="1"/>
  <c r="F4374" i="3" a="1"/>
  <c r="F4374" i="3" s="1"/>
  <c r="G4374" i="3" a="1"/>
  <c r="G4374" i="3" s="1"/>
  <c r="J4374" i="3" a="1"/>
  <c r="J4374" i="3" s="1"/>
  <c r="B4375" i="3" a="1"/>
  <c r="B4375" i="3" s="1"/>
  <c r="C4375" i="3" a="1"/>
  <c r="C4375" i="3" s="1"/>
  <c r="D4375" i="3" a="1"/>
  <c r="D4375" i="3" s="1"/>
  <c r="E4375" i="3" a="1"/>
  <c r="E4375" i="3" s="1"/>
  <c r="F4375" i="3" a="1"/>
  <c r="F4375" i="3" s="1"/>
  <c r="G4375" i="3" a="1"/>
  <c r="G4375" i="3" s="1"/>
  <c r="J4375" i="3" a="1"/>
  <c r="J4375" i="3" s="1"/>
  <c r="B4376" i="3" a="1"/>
  <c r="B4376" i="3" s="1"/>
  <c r="C4376" i="3" a="1"/>
  <c r="C4376" i="3" s="1"/>
  <c r="D4376" i="3" a="1"/>
  <c r="D4376" i="3" s="1"/>
  <c r="E4376" i="3" a="1"/>
  <c r="E4376" i="3" s="1"/>
  <c r="F4376" i="3" a="1"/>
  <c r="F4376" i="3" s="1"/>
  <c r="G4376" i="3" a="1"/>
  <c r="G4376" i="3" s="1"/>
  <c r="J4376" i="3" a="1"/>
  <c r="J4376" i="3" s="1"/>
  <c r="B4377" i="3" a="1"/>
  <c r="B4377" i="3" s="1"/>
  <c r="C4377" i="3" a="1"/>
  <c r="C4377" i="3" s="1"/>
  <c r="D4377" i="3" a="1"/>
  <c r="D4377" i="3" s="1"/>
  <c r="E4377" i="3" a="1"/>
  <c r="E4377" i="3" s="1"/>
  <c r="F4377" i="3" a="1"/>
  <c r="F4377" i="3" s="1"/>
  <c r="G4377" i="3" a="1"/>
  <c r="G4377" i="3" s="1"/>
  <c r="J4377" i="3" a="1"/>
  <c r="J4377" i="3" s="1"/>
  <c r="B4378" i="3" a="1"/>
  <c r="B4378" i="3" s="1"/>
  <c r="C4378" i="3" a="1"/>
  <c r="C4378" i="3" s="1"/>
  <c r="D4378" i="3" a="1"/>
  <c r="D4378" i="3" s="1"/>
  <c r="E4378" i="3" a="1"/>
  <c r="E4378" i="3" s="1"/>
  <c r="F4378" i="3" a="1"/>
  <c r="F4378" i="3" s="1"/>
  <c r="G4378" i="3" a="1"/>
  <c r="G4378" i="3" s="1"/>
  <c r="J4378" i="3" a="1"/>
  <c r="J4378" i="3" s="1"/>
  <c r="B4379" i="3" a="1"/>
  <c r="B4379" i="3" s="1"/>
  <c r="C4379" i="3" a="1"/>
  <c r="C4379" i="3" s="1"/>
  <c r="D4379" i="3" a="1"/>
  <c r="D4379" i="3" s="1"/>
  <c r="E4379" i="3" a="1"/>
  <c r="E4379" i="3" s="1"/>
  <c r="F4379" i="3" a="1"/>
  <c r="F4379" i="3" s="1"/>
  <c r="G4379" i="3" a="1"/>
  <c r="G4379" i="3" s="1"/>
  <c r="J4379" i="3" a="1"/>
  <c r="J4379" i="3" s="1"/>
  <c r="B4380" i="3" a="1"/>
  <c r="B4380" i="3" s="1"/>
  <c r="C4380" i="3" a="1"/>
  <c r="C4380" i="3" s="1"/>
  <c r="D4380" i="3" a="1"/>
  <c r="D4380" i="3" s="1"/>
  <c r="E4380" i="3" a="1"/>
  <c r="E4380" i="3" s="1"/>
  <c r="F4380" i="3" a="1"/>
  <c r="F4380" i="3" s="1"/>
  <c r="G4380" i="3" a="1"/>
  <c r="G4380" i="3" s="1"/>
  <c r="J4380" i="3" a="1"/>
  <c r="J4380" i="3" s="1"/>
  <c r="B4381" i="3" a="1"/>
  <c r="B4381" i="3" s="1"/>
  <c r="C4381" i="3" a="1"/>
  <c r="C4381" i="3" s="1"/>
  <c r="D4381" i="3" a="1"/>
  <c r="D4381" i="3" s="1"/>
  <c r="E4381" i="3" a="1"/>
  <c r="E4381" i="3" s="1"/>
  <c r="F4381" i="3" a="1"/>
  <c r="F4381" i="3" s="1"/>
  <c r="G4381" i="3" a="1"/>
  <c r="G4381" i="3" s="1"/>
  <c r="J4381" i="3" a="1"/>
  <c r="J4381" i="3" s="1"/>
  <c r="B4382" i="3" a="1"/>
  <c r="B4382" i="3" s="1"/>
  <c r="C4382" i="3" a="1"/>
  <c r="C4382" i="3" s="1"/>
  <c r="D4382" i="3" a="1"/>
  <c r="D4382" i="3" s="1"/>
  <c r="E4382" i="3" a="1"/>
  <c r="E4382" i="3" s="1"/>
  <c r="F4382" i="3" a="1"/>
  <c r="F4382" i="3" s="1"/>
  <c r="G4382" i="3" a="1"/>
  <c r="G4382" i="3" s="1"/>
  <c r="J4382" i="3" a="1"/>
  <c r="J4382" i="3" s="1"/>
  <c r="B4383" i="3" a="1"/>
  <c r="B4383" i="3" s="1"/>
  <c r="C4383" i="3" a="1"/>
  <c r="C4383" i="3" s="1"/>
  <c r="D4383" i="3" a="1"/>
  <c r="D4383" i="3" s="1"/>
  <c r="E4383" i="3" a="1"/>
  <c r="E4383" i="3" s="1"/>
  <c r="F4383" i="3" a="1"/>
  <c r="F4383" i="3" s="1"/>
  <c r="G4383" i="3" a="1"/>
  <c r="G4383" i="3" s="1"/>
  <c r="J4383" i="3" a="1"/>
  <c r="J4383" i="3" s="1"/>
  <c r="B4384" i="3" a="1"/>
  <c r="B4384" i="3" s="1"/>
  <c r="C4384" i="3" a="1"/>
  <c r="C4384" i="3" s="1"/>
  <c r="D4384" i="3" a="1"/>
  <c r="D4384" i="3" s="1"/>
  <c r="E4384" i="3" a="1"/>
  <c r="E4384" i="3" s="1"/>
  <c r="F4384" i="3" a="1"/>
  <c r="F4384" i="3" s="1"/>
  <c r="G4384" i="3" a="1"/>
  <c r="G4384" i="3" s="1"/>
  <c r="J4384" i="3" a="1"/>
  <c r="J4384" i="3" s="1"/>
  <c r="B4385" i="3" a="1"/>
  <c r="B4385" i="3" s="1"/>
  <c r="C4385" i="3" a="1"/>
  <c r="C4385" i="3" s="1"/>
  <c r="D4385" i="3" a="1"/>
  <c r="D4385" i="3" s="1"/>
  <c r="E4385" i="3" a="1"/>
  <c r="E4385" i="3" s="1"/>
  <c r="F4385" i="3" a="1"/>
  <c r="F4385" i="3" s="1"/>
  <c r="G4385" i="3" a="1"/>
  <c r="G4385" i="3" s="1"/>
  <c r="J4385" i="3" a="1"/>
  <c r="J4385" i="3" s="1"/>
  <c r="B4386" i="3" a="1"/>
  <c r="B4386" i="3" s="1"/>
  <c r="C4386" i="3" a="1"/>
  <c r="C4386" i="3" s="1"/>
  <c r="D4386" i="3" a="1"/>
  <c r="D4386" i="3" s="1"/>
  <c r="E4386" i="3" a="1"/>
  <c r="E4386" i="3" s="1"/>
  <c r="F4386" i="3" a="1"/>
  <c r="F4386" i="3" s="1"/>
  <c r="G4386" i="3" a="1"/>
  <c r="G4386" i="3" s="1"/>
  <c r="J4386" i="3" a="1"/>
  <c r="J4386" i="3" s="1"/>
  <c r="B4387" i="3" a="1"/>
  <c r="B4387" i="3" s="1"/>
  <c r="C4387" i="3" a="1"/>
  <c r="C4387" i="3" s="1"/>
  <c r="D4387" i="3" a="1"/>
  <c r="D4387" i="3" s="1"/>
  <c r="E4387" i="3" a="1"/>
  <c r="E4387" i="3" s="1"/>
  <c r="F4387" i="3" a="1"/>
  <c r="F4387" i="3" s="1"/>
  <c r="G4387" i="3" a="1"/>
  <c r="G4387" i="3" s="1"/>
  <c r="J4387" i="3" a="1"/>
  <c r="J4387" i="3" s="1"/>
  <c r="B4388" i="3" a="1"/>
  <c r="B4388" i="3" s="1"/>
  <c r="C4388" i="3" a="1"/>
  <c r="C4388" i="3" s="1"/>
  <c r="D4388" i="3" a="1"/>
  <c r="D4388" i="3" s="1"/>
  <c r="E4388" i="3" a="1"/>
  <c r="E4388" i="3" s="1"/>
  <c r="F4388" i="3" a="1"/>
  <c r="F4388" i="3" s="1"/>
  <c r="G4388" i="3" a="1"/>
  <c r="G4388" i="3" s="1"/>
  <c r="J4388" i="3" a="1"/>
  <c r="J4388" i="3" s="1"/>
  <c r="B4389" i="3" a="1"/>
  <c r="B4389" i="3" s="1"/>
  <c r="C4389" i="3" a="1"/>
  <c r="C4389" i="3" s="1"/>
  <c r="D4389" i="3" a="1"/>
  <c r="D4389" i="3" s="1"/>
  <c r="E4389" i="3" a="1"/>
  <c r="E4389" i="3" s="1"/>
  <c r="F4389" i="3" a="1"/>
  <c r="F4389" i="3" s="1"/>
  <c r="G4389" i="3" a="1"/>
  <c r="G4389" i="3" s="1"/>
  <c r="J4389" i="3" a="1"/>
  <c r="J4389" i="3" s="1"/>
  <c r="B4390" i="3" a="1"/>
  <c r="B4390" i="3" s="1"/>
  <c r="C4390" i="3" a="1"/>
  <c r="C4390" i="3" s="1"/>
  <c r="D4390" i="3" a="1"/>
  <c r="D4390" i="3" s="1"/>
  <c r="E4390" i="3" a="1"/>
  <c r="E4390" i="3" s="1"/>
  <c r="F4390" i="3" a="1"/>
  <c r="F4390" i="3" s="1"/>
  <c r="G4390" i="3" a="1"/>
  <c r="G4390" i="3" s="1"/>
  <c r="J4390" i="3" a="1"/>
  <c r="J4390" i="3" s="1"/>
  <c r="B4391" i="3" a="1"/>
  <c r="B4391" i="3" s="1"/>
  <c r="C4391" i="3" a="1"/>
  <c r="C4391" i="3" s="1"/>
  <c r="D4391" i="3" a="1"/>
  <c r="D4391" i="3" s="1"/>
  <c r="E4391" i="3" a="1"/>
  <c r="E4391" i="3" s="1"/>
  <c r="F4391" i="3" a="1"/>
  <c r="F4391" i="3" s="1"/>
  <c r="G4391" i="3" a="1"/>
  <c r="G4391" i="3" s="1"/>
  <c r="J4391" i="3" a="1"/>
  <c r="J4391" i="3" s="1"/>
  <c r="B4392" i="3" a="1"/>
  <c r="B4392" i="3" s="1"/>
  <c r="C4392" i="3" a="1"/>
  <c r="C4392" i="3" s="1"/>
  <c r="D4392" i="3" a="1"/>
  <c r="D4392" i="3" s="1"/>
  <c r="E4392" i="3" a="1"/>
  <c r="E4392" i="3" s="1"/>
  <c r="F4392" i="3" a="1"/>
  <c r="F4392" i="3" s="1"/>
  <c r="G4392" i="3" a="1"/>
  <c r="G4392" i="3" s="1"/>
  <c r="J4392" i="3" a="1"/>
  <c r="J4392" i="3" s="1"/>
  <c r="B4393" i="3" a="1"/>
  <c r="B4393" i="3" s="1"/>
  <c r="C4393" i="3" a="1"/>
  <c r="C4393" i="3" s="1"/>
  <c r="D4393" i="3" a="1"/>
  <c r="D4393" i="3" s="1"/>
  <c r="E4393" i="3" a="1"/>
  <c r="E4393" i="3" s="1"/>
  <c r="F4393" i="3" a="1"/>
  <c r="F4393" i="3" s="1"/>
  <c r="G4393" i="3" a="1"/>
  <c r="G4393" i="3" s="1"/>
  <c r="J4393" i="3" a="1"/>
  <c r="J4393" i="3" s="1"/>
  <c r="B4394" i="3" a="1"/>
  <c r="B4394" i="3" s="1"/>
  <c r="C4394" i="3" a="1"/>
  <c r="C4394" i="3" s="1"/>
  <c r="D4394" i="3" a="1"/>
  <c r="D4394" i="3" s="1"/>
  <c r="E4394" i="3" a="1"/>
  <c r="E4394" i="3" s="1"/>
  <c r="F4394" i="3" a="1"/>
  <c r="F4394" i="3" s="1"/>
  <c r="G4394" i="3" a="1"/>
  <c r="G4394" i="3" s="1"/>
  <c r="J4394" i="3" a="1"/>
  <c r="J4394" i="3" s="1"/>
  <c r="B4395" i="3" a="1"/>
  <c r="B4395" i="3" s="1"/>
  <c r="C4395" i="3" a="1"/>
  <c r="C4395" i="3" s="1"/>
  <c r="D4395" i="3" a="1"/>
  <c r="D4395" i="3" s="1"/>
  <c r="E4395" i="3" a="1"/>
  <c r="E4395" i="3" s="1"/>
  <c r="F4395" i="3" a="1"/>
  <c r="F4395" i="3" s="1"/>
  <c r="G4395" i="3" a="1"/>
  <c r="G4395" i="3" s="1"/>
  <c r="J4395" i="3" a="1"/>
  <c r="J4395" i="3" s="1"/>
  <c r="B4396" i="3" a="1"/>
  <c r="B4396" i="3" s="1"/>
  <c r="C4396" i="3" a="1"/>
  <c r="C4396" i="3" s="1"/>
  <c r="D4396" i="3" a="1"/>
  <c r="D4396" i="3" s="1"/>
  <c r="E4396" i="3" a="1"/>
  <c r="E4396" i="3" s="1"/>
  <c r="F4396" i="3" a="1"/>
  <c r="F4396" i="3" s="1"/>
  <c r="G4396" i="3" a="1"/>
  <c r="G4396" i="3" s="1"/>
  <c r="J4396" i="3" a="1"/>
  <c r="J4396" i="3" s="1"/>
  <c r="B4397" i="3" a="1"/>
  <c r="B4397" i="3" s="1"/>
  <c r="C4397" i="3" a="1"/>
  <c r="C4397" i="3" s="1"/>
  <c r="D4397" i="3" a="1"/>
  <c r="D4397" i="3" s="1"/>
  <c r="E4397" i="3" a="1"/>
  <c r="E4397" i="3" s="1"/>
  <c r="F4397" i="3" a="1"/>
  <c r="F4397" i="3" s="1"/>
  <c r="G4397" i="3" a="1"/>
  <c r="G4397" i="3" s="1"/>
  <c r="J4397" i="3" a="1"/>
  <c r="J4397" i="3" s="1"/>
  <c r="B4398" i="3" a="1"/>
  <c r="B4398" i="3" s="1"/>
  <c r="C4398" i="3" a="1"/>
  <c r="C4398" i="3" s="1"/>
  <c r="D4398" i="3" a="1"/>
  <c r="D4398" i="3" s="1"/>
  <c r="E4398" i="3" a="1"/>
  <c r="E4398" i="3" s="1"/>
  <c r="F4398" i="3" a="1"/>
  <c r="F4398" i="3" s="1"/>
  <c r="G4398" i="3" a="1"/>
  <c r="G4398" i="3" s="1"/>
  <c r="J4398" i="3" a="1"/>
  <c r="J4398" i="3" s="1"/>
  <c r="B4399" i="3" a="1"/>
  <c r="B4399" i="3" s="1"/>
  <c r="C4399" i="3" a="1"/>
  <c r="C4399" i="3" s="1"/>
  <c r="D4399" i="3" a="1"/>
  <c r="D4399" i="3" s="1"/>
  <c r="E4399" i="3" a="1"/>
  <c r="E4399" i="3" s="1"/>
  <c r="F4399" i="3" a="1"/>
  <c r="F4399" i="3" s="1"/>
  <c r="G4399" i="3" a="1"/>
  <c r="G4399" i="3" s="1"/>
  <c r="J4399" i="3" a="1"/>
  <c r="J4399" i="3" s="1"/>
  <c r="B4400" i="3" a="1"/>
  <c r="B4400" i="3" s="1"/>
  <c r="C4400" i="3" a="1"/>
  <c r="C4400" i="3" s="1"/>
  <c r="D4400" i="3" a="1"/>
  <c r="D4400" i="3" s="1"/>
  <c r="E4400" i="3" a="1"/>
  <c r="E4400" i="3" s="1"/>
  <c r="F4400" i="3" a="1"/>
  <c r="F4400" i="3" s="1"/>
  <c r="G4400" i="3" a="1"/>
  <c r="G4400" i="3" s="1"/>
  <c r="J4400" i="3" a="1"/>
  <c r="J4400" i="3" s="1"/>
  <c r="B4401" i="3" a="1"/>
  <c r="B4401" i="3" s="1"/>
  <c r="C4401" i="3" a="1"/>
  <c r="C4401" i="3" s="1"/>
  <c r="D4401" i="3" a="1"/>
  <c r="D4401" i="3" s="1"/>
  <c r="E4401" i="3" a="1"/>
  <c r="E4401" i="3" s="1"/>
  <c r="F4401" i="3" a="1"/>
  <c r="F4401" i="3" s="1"/>
  <c r="G4401" i="3" a="1"/>
  <c r="G4401" i="3" s="1"/>
  <c r="J4401" i="3" a="1"/>
  <c r="J4401" i="3" s="1"/>
  <c r="B4402" i="3" a="1"/>
  <c r="B4402" i="3" s="1"/>
  <c r="C4402" i="3" a="1"/>
  <c r="C4402" i="3" s="1"/>
  <c r="D4402" i="3" a="1"/>
  <c r="D4402" i="3" s="1"/>
  <c r="E4402" i="3" a="1"/>
  <c r="E4402" i="3" s="1"/>
  <c r="F4402" i="3" a="1"/>
  <c r="F4402" i="3" s="1"/>
  <c r="G4402" i="3" a="1"/>
  <c r="G4402" i="3" s="1"/>
  <c r="J4402" i="3" a="1"/>
  <c r="J4402" i="3" s="1"/>
  <c r="B4403" i="3" a="1"/>
  <c r="B4403" i="3" s="1"/>
  <c r="C4403" i="3" a="1"/>
  <c r="C4403" i="3" s="1"/>
  <c r="D4403" i="3" a="1"/>
  <c r="D4403" i="3" s="1"/>
  <c r="E4403" i="3" a="1"/>
  <c r="E4403" i="3" s="1"/>
  <c r="F4403" i="3" a="1"/>
  <c r="F4403" i="3" s="1"/>
  <c r="G4403" i="3" a="1"/>
  <c r="G4403" i="3" s="1"/>
  <c r="J4403" i="3" a="1"/>
  <c r="J4403" i="3" s="1"/>
  <c r="B4404" i="3" a="1"/>
  <c r="B4404" i="3" s="1"/>
  <c r="C4404" i="3" a="1"/>
  <c r="C4404" i="3" s="1"/>
  <c r="D4404" i="3" a="1"/>
  <c r="D4404" i="3" s="1"/>
  <c r="E4404" i="3" a="1"/>
  <c r="E4404" i="3" s="1"/>
  <c r="F4404" i="3" a="1"/>
  <c r="F4404" i="3" s="1"/>
  <c r="G4404" i="3" a="1"/>
  <c r="G4404" i="3" s="1"/>
  <c r="J4404" i="3" a="1"/>
  <c r="J4404" i="3" s="1"/>
  <c r="B4405" i="3" a="1"/>
  <c r="B4405" i="3" s="1"/>
  <c r="C4405" i="3" a="1"/>
  <c r="C4405" i="3" s="1"/>
  <c r="D4405" i="3" a="1"/>
  <c r="D4405" i="3" s="1"/>
  <c r="E4405" i="3" a="1"/>
  <c r="E4405" i="3" s="1"/>
  <c r="F4405" i="3" a="1"/>
  <c r="F4405" i="3" s="1"/>
  <c r="G4405" i="3" a="1"/>
  <c r="G4405" i="3" s="1"/>
  <c r="J4405" i="3" a="1"/>
  <c r="J4405" i="3" s="1"/>
  <c r="B4406" i="3" a="1"/>
  <c r="B4406" i="3" s="1"/>
  <c r="C4406" i="3" a="1"/>
  <c r="C4406" i="3" s="1"/>
  <c r="D4406" i="3" a="1"/>
  <c r="D4406" i="3" s="1"/>
  <c r="E4406" i="3" a="1"/>
  <c r="E4406" i="3" s="1"/>
  <c r="F4406" i="3" a="1"/>
  <c r="F4406" i="3" s="1"/>
  <c r="G4406" i="3" a="1"/>
  <c r="G4406" i="3" s="1"/>
  <c r="J4406" i="3" a="1"/>
  <c r="J4406" i="3" s="1"/>
  <c r="B4407" i="3" a="1"/>
  <c r="B4407" i="3" s="1"/>
  <c r="C4407" i="3" a="1"/>
  <c r="C4407" i="3" s="1"/>
  <c r="D4407" i="3" a="1"/>
  <c r="D4407" i="3" s="1"/>
  <c r="E4407" i="3" a="1"/>
  <c r="E4407" i="3" s="1"/>
  <c r="F4407" i="3" a="1"/>
  <c r="F4407" i="3" s="1"/>
  <c r="G4407" i="3" a="1"/>
  <c r="G4407" i="3" s="1"/>
  <c r="J4407" i="3" a="1"/>
  <c r="J4407" i="3" s="1"/>
  <c r="B4408" i="3" a="1"/>
  <c r="B4408" i="3" s="1"/>
  <c r="C4408" i="3" a="1"/>
  <c r="C4408" i="3" s="1"/>
  <c r="D4408" i="3" a="1"/>
  <c r="D4408" i="3" s="1"/>
  <c r="E4408" i="3" a="1"/>
  <c r="E4408" i="3" s="1"/>
  <c r="F4408" i="3" a="1"/>
  <c r="F4408" i="3" s="1"/>
  <c r="G4408" i="3" a="1"/>
  <c r="G4408" i="3" s="1"/>
  <c r="J4408" i="3" a="1"/>
  <c r="J4408" i="3" s="1"/>
  <c r="B4409" i="3" a="1"/>
  <c r="B4409" i="3" s="1"/>
  <c r="C4409" i="3" a="1"/>
  <c r="C4409" i="3" s="1"/>
  <c r="D4409" i="3" a="1"/>
  <c r="D4409" i="3" s="1"/>
  <c r="E4409" i="3" a="1"/>
  <c r="E4409" i="3" s="1"/>
  <c r="F4409" i="3" a="1"/>
  <c r="F4409" i="3" s="1"/>
  <c r="G4409" i="3" a="1"/>
  <c r="G4409" i="3" s="1"/>
  <c r="J4409" i="3" a="1"/>
  <c r="J4409" i="3" s="1"/>
  <c r="B4410" i="3" a="1"/>
  <c r="B4410" i="3" s="1"/>
  <c r="C4410" i="3" a="1"/>
  <c r="C4410" i="3" s="1"/>
  <c r="D4410" i="3" a="1"/>
  <c r="D4410" i="3" s="1"/>
  <c r="E4410" i="3" a="1"/>
  <c r="E4410" i="3" s="1"/>
  <c r="F4410" i="3" a="1"/>
  <c r="F4410" i="3" s="1"/>
  <c r="G4410" i="3" a="1"/>
  <c r="G4410" i="3" s="1"/>
  <c r="J4410" i="3" a="1"/>
  <c r="J4410" i="3" s="1"/>
  <c r="B4411" i="3" a="1"/>
  <c r="B4411" i="3" s="1"/>
  <c r="C4411" i="3" a="1"/>
  <c r="C4411" i="3" s="1"/>
  <c r="D4411" i="3" a="1"/>
  <c r="D4411" i="3" s="1"/>
  <c r="E4411" i="3" a="1"/>
  <c r="E4411" i="3" s="1"/>
  <c r="F4411" i="3" a="1"/>
  <c r="F4411" i="3" s="1"/>
  <c r="G4411" i="3" a="1"/>
  <c r="G4411" i="3" s="1"/>
  <c r="J4411" i="3" a="1"/>
  <c r="J4411" i="3" s="1"/>
  <c r="B4412" i="3" a="1"/>
  <c r="B4412" i="3" s="1"/>
  <c r="C4412" i="3" a="1"/>
  <c r="C4412" i="3" s="1"/>
  <c r="D4412" i="3" a="1"/>
  <c r="D4412" i="3" s="1"/>
  <c r="E4412" i="3" a="1"/>
  <c r="E4412" i="3" s="1"/>
  <c r="F4412" i="3" a="1"/>
  <c r="F4412" i="3" s="1"/>
  <c r="G4412" i="3" a="1"/>
  <c r="G4412" i="3" s="1"/>
  <c r="J4412" i="3" a="1"/>
  <c r="J4412" i="3" s="1"/>
  <c r="B4413" i="3" a="1"/>
  <c r="B4413" i="3" s="1"/>
  <c r="C4413" i="3" a="1"/>
  <c r="C4413" i="3" s="1"/>
  <c r="D4413" i="3" a="1"/>
  <c r="D4413" i="3" s="1"/>
  <c r="E4413" i="3" a="1"/>
  <c r="E4413" i="3" s="1"/>
  <c r="F4413" i="3" a="1"/>
  <c r="F4413" i="3" s="1"/>
  <c r="G4413" i="3" a="1"/>
  <c r="G4413" i="3" s="1"/>
  <c r="J4413" i="3" a="1"/>
  <c r="J4413" i="3" s="1"/>
  <c r="B4414" i="3" a="1"/>
  <c r="B4414" i="3" s="1"/>
  <c r="C4414" i="3" a="1"/>
  <c r="C4414" i="3" s="1"/>
  <c r="D4414" i="3" a="1"/>
  <c r="D4414" i="3" s="1"/>
  <c r="E4414" i="3" a="1"/>
  <c r="E4414" i="3" s="1"/>
  <c r="F4414" i="3" a="1"/>
  <c r="F4414" i="3" s="1"/>
  <c r="G4414" i="3" a="1"/>
  <c r="G4414" i="3" s="1"/>
  <c r="J4414" i="3" a="1"/>
  <c r="J4414" i="3" s="1"/>
  <c r="B4415" i="3" a="1"/>
  <c r="B4415" i="3" s="1"/>
  <c r="C4415" i="3" a="1"/>
  <c r="C4415" i="3" s="1"/>
  <c r="D4415" i="3" a="1"/>
  <c r="D4415" i="3" s="1"/>
  <c r="E4415" i="3" a="1"/>
  <c r="E4415" i="3" s="1"/>
  <c r="F4415" i="3" a="1"/>
  <c r="F4415" i="3" s="1"/>
  <c r="G4415" i="3" a="1"/>
  <c r="G4415" i="3" s="1"/>
  <c r="J4415" i="3" a="1"/>
  <c r="J4415" i="3" s="1"/>
  <c r="B4416" i="3" a="1"/>
  <c r="B4416" i="3" s="1"/>
  <c r="C4416" i="3" a="1"/>
  <c r="C4416" i="3" s="1"/>
  <c r="D4416" i="3" a="1"/>
  <c r="D4416" i="3" s="1"/>
  <c r="E4416" i="3" a="1"/>
  <c r="E4416" i="3" s="1"/>
  <c r="F4416" i="3" a="1"/>
  <c r="F4416" i="3" s="1"/>
  <c r="G4416" i="3" a="1"/>
  <c r="G4416" i="3" s="1"/>
  <c r="J4416" i="3" a="1"/>
  <c r="J4416" i="3" s="1"/>
  <c r="B4417" i="3" a="1"/>
  <c r="B4417" i="3" s="1"/>
  <c r="C4417" i="3" a="1"/>
  <c r="C4417" i="3" s="1"/>
  <c r="D4417" i="3" a="1"/>
  <c r="D4417" i="3" s="1"/>
  <c r="E4417" i="3" a="1"/>
  <c r="E4417" i="3" s="1"/>
  <c r="F4417" i="3" a="1"/>
  <c r="F4417" i="3" s="1"/>
  <c r="G4417" i="3" a="1"/>
  <c r="G4417" i="3" s="1"/>
  <c r="J4417" i="3" a="1"/>
  <c r="J4417" i="3" s="1"/>
  <c r="B4418" i="3" a="1"/>
  <c r="B4418" i="3" s="1"/>
  <c r="C4418" i="3" a="1"/>
  <c r="C4418" i="3" s="1"/>
  <c r="D4418" i="3" a="1"/>
  <c r="D4418" i="3" s="1"/>
  <c r="E4418" i="3" a="1"/>
  <c r="E4418" i="3" s="1"/>
  <c r="F4418" i="3" a="1"/>
  <c r="F4418" i="3" s="1"/>
  <c r="G4418" i="3" a="1"/>
  <c r="G4418" i="3" s="1"/>
  <c r="J4418" i="3" a="1"/>
  <c r="J4418" i="3" s="1"/>
  <c r="B4419" i="3" a="1"/>
  <c r="B4419" i="3" s="1"/>
  <c r="C4419" i="3" a="1"/>
  <c r="C4419" i="3" s="1"/>
  <c r="D4419" i="3" a="1"/>
  <c r="D4419" i="3" s="1"/>
  <c r="E4419" i="3" a="1"/>
  <c r="E4419" i="3" s="1"/>
  <c r="F4419" i="3" a="1"/>
  <c r="F4419" i="3" s="1"/>
  <c r="G4419" i="3" a="1"/>
  <c r="G4419" i="3" s="1"/>
  <c r="J4419" i="3" a="1"/>
  <c r="J4419" i="3" s="1"/>
  <c r="B4420" i="3" a="1"/>
  <c r="B4420" i="3" s="1"/>
  <c r="C4420" i="3" a="1"/>
  <c r="C4420" i="3" s="1"/>
  <c r="D4420" i="3" a="1"/>
  <c r="D4420" i="3" s="1"/>
  <c r="E4420" i="3" a="1"/>
  <c r="E4420" i="3" s="1"/>
  <c r="F4420" i="3" a="1"/>
  <c r="F4420" i="3" s="1"/>
  <c r="G4420" i="3" a="1"/>
  <c r="G4420" i="3" s="1"/>
  <c r="J4420" i="3" a="1"/>
  <c r="J4420" i="3" s="1"/>
  <c r="B4421" i="3" a="1"/>
  <c r="B4421" i="3" s="1"/>
  <c r="C4421" i="3" a="1"/>
  <c r="C4421" i="3" s="1"/>
  <c r="D4421" i="3" a="1"/>
  <c r="D4421" i="3" s="1"/>
  <c r="E4421" i="3" a="1"/>
  <c r="E4421" i="3" s="1"/>
  <c r="F4421" i="3" a="1"/>
  <c r="F4421" i="3" s="1"/>
  <c r="G4421" i="3" a="1"/>
  <c r="G4421" i="3" s="1"/>
  <c r="J4421" i="3" a="1"/>
  <c r="J4421" i="3" s="1"/>
  <c r="B4422" i="3" a="1"/>
  <c r="B4422" i="3" s="1"/>
  <c r="C4422" i="3" a="1"/>
  <c r="C4422" i="3" s="1"/>
  <c r="D4422" i="3" a="1"/>
  <c r="D4422" i="3" s="1"/>
  <c r="E4422" i="3" a="1"/>
  <c r="E4422" i="3" s="1"/>
  <c r="F4422" i="3" a="1"/>
  <c r="F4422" i="3" s="1"/>
  <c r="G4422" i="3" a="1"/>
  <c r="G4422" i="3" s="1"/>
  <c r="J4422" i="3" a="1"/>
  <c r="J4422" i="3" s="1"/>
  <c r="B4423" i="3" a="1"/>
  <c r="B4423" i="3" s="1"/>
  <c r="C4423" i="3" a="1"/>
  <c r="C4423" i="3" s="1"/>
  <c r="D4423" i="3" a="1"/>
  <c r="D4423" i="3" s="1"/>
  <c r="E4423" i="3" a="1"/>
  <c r="E4423" i="3" s="1"/>
  <c r="F4423" i="3" a="1"/>
  <c r="F4423" i="3" s="1"/>
  <c r="G4423" i="3" a="1"/>
  <c r="G4423" i="3" s="1"/>
  <c r="J4423" i="3" a="1"/>
  <c r="J4423" i="3" s="1"/>
  <c r="B4424" i="3" a="1"/>
  <c r="B4424" i="3" s="1"/>
  <c r="C4424" i="3" a="1"/>
  <c r="C4424" i="3" s="1"/>
  <c r="D4424" i="3" a="1"/>
  <c r="D4424" i="3" s="1"/>
  <c r="E4424" i="3" a="1"/>
  <c r="E4424" i="3" s="1"/>
  <c r="F4424" i="3" a="1"/>
  <c r="F4424" i="3" s="1"/>
  <c r="G4424" i="3" a="1"/>
  <c r="G4424" i="3" s="1"/>
  <c r="J4424" i="3" a="1"/>
  <c r="J4424" i="3" s="1"/>
  <c r="B4425" i="3" a="1"/>
  <c r="B4425" i="3" s="1"/>
  <c r="C4425" i="3" a="1"/>
  <c r="C4425" i="3" s="1"/>
  <c r="D4425" i="3" a="1"/>
  <c r="D4425" i="3" s="1"/>
  <c r="E4425" i="3" a="1"/>
  <c r="E4425" i="3" s="1"/>
  <c r="F4425" i="3" a="1"/>
  <c r="F4425" i="3" s="1"/>
  <c r="G4425" i="3" a="1"/>
  <c r="G4425" i="3" s="1"/>
  <c r="J4425" i="3" a="1"/>
  <c r="J4425" i="3" s="1"/>
  <c r="B4426" i="3" a="1"/>
  <c r="B4426" i="3" s="1"/>
  <c r="C4426" i="3" a="1"/>
  <c r="C4426" i="3" s="1"/>
  <c r="D4426" i="3" a="1"/>
  <c r="D4426" i="3" s="1"/>
  <c r="E4426" i="3" a="1"/>
  <c r="E4426" i="3" s="1"/>
  <c r="F4426" i="3" a="1"/>
  <c r="F4426" i="3" s="1"/>
  <c r="G4426" i="3" a="1"/>
  <c r="G4426" i="3" s="1"/>
  <c r="J4426" i="3" a="1"/>
  <c r="J4426" i="3" s="1"/>
  <c r="B4427" i="3" a="1"/>
  <c r="B4427" i="3" s="1"/>
  <c r="C4427" i="3" a="1"/>
  <c r="C4427" i="3" s="1"/>
  <c r="D4427" i="3" a="1"/>
  <c r="D4427" i="3" s="1"/>
  <c r="E4427" i="3" a="1"/>
  <c r="E4427" i="3" s="1"/>
  <c r="F4427" i="3" a="1"/>
  <c r="F4427" i="3" s="1"/>
  <c r="G4427" i="3" a="1"/>
  <c r="G4427" i="3" s="1"/>
  <c r="J4427" i="3" a="1"/>
  <c r="J4427" i="3" s="1"/>
  <c r="B4428" i="3" a="1"/>
  <c r="B4428" i="3" s="1"/>
  <c r="C4428" i="3" a="1"/>
  <c r="C4428" i="3" s="1"/>
  <c r="D4428" i="3" a="1"/>
  <c r="D4428" i="3" s="1"/>
  <c r="E4428" i="3" a="1"/>
  <c r="E4428" i="3" s="1"/>
  <c r="F4428" i="3" a="1"/>
  <c r="F4428" i="3" s="1"/>
  <c r="G4428" i="3" a="1"/>
  <c r="G4428" i="3" s="1"/>
  <c r="J4428" i="3" a="1"/>
  <c r="J4428" i="3" s="1"/>
  <c r="B4429" i="3" a="1"/>
  <c r="B4429" i="3" s="1"/>
  <c r="C4429" i="3" a="1"/>
  <c r="C4429" i="3" s="1"/>
  <c r="D4429" i="3" a="1"/>
  <c r="D4429" i="3" s="1"/>
  <c r="E4429" i="3" a="1"/>
  <c r="E4429" i="3" s="1"/>
  <c r="F4429" i="3" a="1"/>
  <c r="F4429" i="3" s="1"/>
  <c r="G4429" i="3" a="1"/>
  <c r="G4429" i="3" s="1"/>
  <c r="J4429" i="3" a="1"/>
  <c r="J4429" i="3" s="1"/>
  <c r="B4430" i="3" a="1"/>
  <c r="B4430" i="3" s="1"/>
  <c r="C4430" i="3" a="1"/>
  <c r="C4430" i="3" s="1"/>
  <c r="D4430" i="3" a="1"/>
  <c r="D4430" i="3" s="1"/>
  <c r="E4430" i="3" a="1"/>
  <c r="E4430" i="3" s="1"/>
  <c r="F4430" i="3" a="1"/>
  <c r="F4430" i="3" s="1"/>
  <c r="G4430" i="3" a="1"/>
  <c r="G4430" i="3" s="1"/>
  <c r="J4430" i="3" a="1"/>
  <c r="J4430" i="3" s="1"/>
  <c r="B4431" i="3" a="1"/>
  <c r="B4431" i="3" s="1"/>
  <c r="C4431" i="3" a="1"/>
  <c r="C4431" i="3" s="1"/>
  <c r="D4431" i="3" a="1"/>
  <c r="D4431" i="3" s="1"/>
  <c r="E4431" i="3" a="1"/>
  <c r="E4431" i="3" s="1"/>
  <c r="F4431" i="3" a="1"/>
  <c r="F4431" i="3" s="1"/>
  <c r="G4431" i="3" a="1"/>
  <c r="G4431" i="3" s="1"/>
  <c r="J4431" i="3" a="1"/>
  <c r="J4431" i="3" s="1"/>
  <c r="B4432" i="3" a="1"/>
  <c r="B4432" i="3" s="1"/>
  <c r="C4432" i="3" a="1"/>
  <c r="C4432" i="3" s="1"/>
  <c r="D4432" i="3" a="1"/>
  <c r="D4432" i="3" s="1"/>
  <c r="E4432" i="3" a="1"/>
  <c r="E4432" i="3" s="1"/>
  <c r="F4432" i="3" a="1"/>
  <c r="F4432" i="3" s="1"/>
  <c r="G4432" i="3" a="1"/>
  <c r="G4432" i="3" s="1"/>
  <c r="J4432" i="3" a="1"/>
  <c r="J4432" i="3" s="1"/>
  <c r="B4433" i="3" a="1"/>
  <c r="B4433" i="3" s="1"/>
  <c r="C4433" i="3" a="1"/>
  <c r="C4433" i="3" s="1"/>
  <c r="D4433" i="3" a="1"/>
  <c r="D4433" i="3" s="1"/>
  <c r="E4433" i="3" a="1"/>
  <c r="E4433" i="3" s="1"/>
  <c r="F4433" i="3" a="1"/>
  <c r="F4433" i="3" s="1"/>
  <c r="G4433" i="3" a="1"/>
  <c r="G4433" i="3" s="1"/>
  <c r="J4433" i="3" a="1"/>
  <c r="J4433" i="3" s="1"/>
  <c r="B4434" i="3" a="1"/>
  <c r="B4434" i="3" s="1"/>
  <c r="C4434" i="3" a="1"/>
  <c r="C4434" i="3" s="1"/>
  <c r="D4434" i="3" a="1"/>
  <c r="D4434" i="3" s="1"/>
  <c r="E4434" i="3" a="1"/>
  <c r="E4434" i="3" s="1"/>
  <c r="F4434" i="3" a="1"/>
  <c r="F4434" i="3" s="1"/>
  <c r="G4434" i="3" a="1"/>
  <c r="G4434" i="3" s="1"/>
  <c r="J4434" i="3" a="1"/>
  <c r="J4434" i="3" s="1"/>
  <c r="B4435" i="3" a="1"/>
  <c r="B4435" i="3" s="1"/>
  <c r="C4435" i="3" a="1"/>
  <c r="C4435" i="3" s="1"/>
  <c r="D4435" i="3" a="1"/>
  <c r="D4435" i="3" s="1"/>
  <c r="E4435" i="3" a="1"/>
  <c r="E4435" i="3" s="1"/>
  <c r="F4435" i="3" a="1"/>
  <c r="F4435" i="3" s="1"/>
  <c r="G4435" i="3" a="1"/>
  <c r="G4435" i="3" s="1"/>
  <c r="J4435" i="3" a="1"/>
  <c r="J4435" i="3" s="1"/>
  <c r="B4436" i="3" a="1"/>
  <c r="B4436" i="3" s="1"/>
  <c r="C4436" i="3" a="1"/>
  <c r="C4436" i="3" s="1"/>
  <c r="D4436" i="3" a="1"/>
  <c r="D4436" i="3" s="1"/>
  <c r="E4436" i="3" a="1"/>
  <c r="E4436" i="3" s="1"/>
  <c r="F4436" i="3" a="1"/>
  <c r="F4436" i="3" s="1"/>
  <c r="G4436" i="3" a="1"/>
  <c r="G4436" i="3" s="1"/>
  <c r="J4436" i="3" a="1"/>
  <c r="J4436" i="3" s="1"/>
  <c r="B4437" i="3" a="1"/>
  <c r="B4437" i="3" s="1"/>
  <c r="C4437" i="3" a="1"/>
  <c r="C4437" i="3" s="1"/>
  <c r="D4437" i="3" a="1"/>
  <c r="D4437" i="3" s="1"/>
  <c r="E4437" i="3" a="1"/>
  <c r="E4437" i="3" s="1"/>
  <c r="F4437" i="3" a="1"/>
  <c r="F4437" i="3" s="1"/>
  <c r="G4437" i="3" a="1"/>
  <c r="G4437" i="3" s="1"/>
  <c r="J4437" i="3" a="1"/>
  <c r="J4437" i="3" s="1"/>
  <c r="B4438" i="3" a="1"/>
  <c r="B4438" i="3" s="1"/>
  <c r="C4438" i="3" a="1"/>
  <c r="C4438" i="3" s="1"/>
  <c r="D4438" i="3" a="1"/>
  <c r="D4438" i="3" s="1"/>
  <c r="E4438" i="3" a="1"/>
  <c r="E4438" i="3" s="1"/>
  <c r="F4438" i="3" a="1"/>
  <c r="F4438" i="3" s="1"/>
  <c r="G4438" i="3" a="1"/>
  <c r="G4438" i="3" s="1"/>
  <c r="J4438" i="3" a="1"/>
  <c r="J4438" i="3" s="1"/>
  <c r="B4439" i="3" a="1"/>
  <c r="B4439" i="3" s="1"/>
  <c r="C4439" i="3" a="1"/>
  <c r="C4439" i="3" s="1"/>
  <c r="D4439" i="3" a="1"/>
  <c r="D4439" i="3" s="1"/>
  <c r="E4439" i="3" a="1"/>
  <c r="E4439" i="3" s="1"/>
  <c r="F4439" i="3" a="1"/>
  <c r="F4439" i="3" s="1"/>
  <c r="G4439" i="3" a="1"/>
  <c r="G4439" i="3" s="1"/>
  <c r="J4439" i="3" a="1"/>
  <c r="J4439" i="3" s="1"/>
  <c r="B4440" i="3" a="1"/>
  <c r="B4440" i="3" s="1"/>
  <c r="C4440" i="3" a="1"/>
  <c r="C4440" i="3" s="1"/>
  <c r="D4440" i="3" a="1"/>
  <c r="D4440" i="3" s="1"/>
  <c r="E4440" i="3" a="1"/>
  <c r="E4440" i="3" s="1"/>
  <c r="F4440" i="3" a="1"/>
  <c r="F4440" i="3" s="1"/>
  <c r="G4440" i="3" a="1"/>
  <c r="G4440" i="3" s="1"/>
  <c r="J4440" i="3" a="1"/>
  <c r="J4440" i="3" s="1"/>
  <c r="B4441" i="3" a="1"/>
  <c r="B4441" i="3" s="1"/>
  <c r="C4441" i="3" a="1"/>
  <c r="C4441" i="3" s="1"/>
  <c r="D4441" i="3" a="1"/>
  <c r="D4441" i="3" s="1"/>
  <c r="E4441" i="3" a="1"/>
  <c r="E4441" i="3" s="1"/>
  <c r="F4441" i="3" a="1"/>
  <c r="F4441" i="3" s="1"/>
  <c r="G4441" i="3" a="1"/>
  <c r="G4441" i="3" s="1"/>
  <c r="J4441" i="3" a="1"/>
  <c r="J4441" i="3" s="1"/>
  <c r="B4442" i="3" a="1"/>
  <c r="B4442" i="3" s="1"/>
  <c r="C4442" i="3" a="1"/>
  <c r="C4442" i="3" s="1"/>
  <c r="D4442" i="3" a="1"/>
  <c r="D4442" i="3" s="1"/>
  <c r="E4442" i="3" a="1"/>
  <c r="E4442" i="3" s="1"/>
  <c r="F4442" i="3" a="1"/>
  <c r="F4442" i="3" s="1"/>
  <c r="G4442" i="3" a="1"/>
  <c r="G4442" i="3" s="1"/>
  <c r="J4442" i="3" a="1"/>
  <c r="J4442" i="3" s="1"/>
  <c r="B4443" i="3" a="1"/>
  <c r="B4443" i="3" s="1"/>
  <c r="C4443" i="3" a="1"/>
  <c r="C4443" i="3" s="1"/>
  <c r="D4443" i="3" a="1"/>
  <c r="D4443" i="3" s="1"/>
  <c r="E4443" i="3" a="1"/>
  <c r="E4443" i="3" s="1"/>
  <c r="F4443" i="3" a="1"/>
  <c r="F4443" i="3" s="1"/>
  <c r="G4443" i="3" a="1"/>
  <c r="G4443" i="3" s="1"/>
  <c r="J4443" i="3" a="1"/>
  <c r="J4443" i="3" s="1"/>
  <c r="B4444" i="3" a="1"/>
  <c r="B4444" i="3" s="1"/>
  <c r="C4444" i="3" a="1"/>
  <c r="C4444" i="3" s="1"/>
  <c r="D4444" i="3" a="1"/>
  <c r="D4444" i="3" s="1"/>
  <c r="E4444" i="3" a="1"/>
  <c r="E4444" i="3" s="1"/>
  <c r="F4444" i="3" a="1"/>
  <c r="F4444" i="3" s="1"/>
  <c r="G4444" i="3" a="1"/>
  <c r="G4444" i="3" s="1"/>
  <c r="J4444" i="3" a="1"/>
  <c r="J4444" i="3" s="1"/>
  <c r="B4445" i="3" a="1"/>
  <c r="B4445" i="3" s="1"/>
  <c r="C4445" i="3" a="1"/>
  <c r="C4445" i="3" s="1"/>
  <c r="D4445" i="3" a="1"/>
  <c r="D4445" i="3" s="1"/>
  <c r="E4445" i="3" a="1"/>
  <c r="E4445" i="3" s="1"/>
  <c r="F4445" i="3" a="1"/>
  <c r="F4445" i="3" s="1"/>
  <c r="G4445" i="3" a="1"/>
  <c r="G4445" i="3" s="1"/>
  <c r="J4445" i="3" a="1"/>
  <c r="J4445" i="3" s="1"/>
  <c r="B4446" i="3" a="1"/>
  <c r="B4446" i="3" s="1"/>
  <c r="C4446" i="3" a="1"/>
  <c r="C4446" i="3" s="1"/>
  <c r="D4446" i="3" a="1"/>
  <c r="D4446" i="3" s="1"/>
  <c r="E4446" i="3" a="1"/>
  <c r="E4446" i="3" s="1"/>
  <c r="F4446" i="3" a="1"/>
  <c r="F4446" i="3" s="1"/>
  <c r="G4446" i="3" a="1"/>
  <c r="G4446" i="3" s="1"/>
  <c r="J4446" i="3" a="1"/>
  <c r="J4446" i="3" s="1"/>
  <c r="B4447" i="3" a="1"/>
  <c r="B4447" i="3" s="1"/>
  <c r="C4447" i="3" a="1"/>
  <c r="C4447" i="3" s="1"/>
  <c r="D4447" i="3" a="1"/>
  <c r="D4447" i="3" s="1"/>
  <c r="E4447" i="3" a="1"/>
  <c r="E4447" i="3" s="1"/>
  <c r="F4447" i="3" a="1"/>
  <c r="F4447" i="3" s="1"/>
  <c r="G4447" i="3" a="1"/>
  <c r="G4447" i="3" s="1"/>
  <c r="J4447" i="3" a="1"/>
  <c r="J4447" i="3" s="1"/>
  <c r="B4448" i="3" a="1"/>
  <c r="B4448" i="3" s="1"/>
  <c r="C4448" i="3" a="1"/>
  <c r="C4448" i="3" s="1"/>
  <c r="D4448" i="3" a="1"/>
  <c r="D4448" i="3" s="1"/>
  <c r="E4448" i="3" a="1"/>
  <c r="E4448" i="3" s="1"/>
  <c r="F4448" i="3" a="1"/>
  <c r="F4448" i="3" s="1"/>
  <c r="G4448" i="3" a="1"/>
  <c r="G4448" i="3" s="1"/>
  <c r="J4448" i="3" a="1"/>
  <c r="J4448" i="3" s="1"/>
  <c r="B4449" i="3" a="1"/>
  <c r="B4449" i="3" s="1"/>
  <c r="C4449" i="3" a="1"/>
  <c r="C4449" i="3" s="1"/>
  <c r="D4449" i="3" a="1"/>
  <c r="D4449" i="3" s="1"/>
  <c r="E4449" i="3" a="1"/>
  <c r="E4449" i="3" s="1"/>
  <c r="F4449" i="3" a="1"/>
  <c r="F4449" i="3" s="1"/>
  <c r="G4449" i="3" a="1"/>
  <c r="G4449" i="3" s="1"/>
  <c r="J4449" i="3" a="1"/>
  <c r="J4449" i="3" s="1"/>
  <c r="B4450" i="3" a="1"/>
  <c r="B4450" i="3" s="1"/>
  <c r="C4450" i="3" a="1"/>
  <c r="C4450" i="3" s="1"/>
  <c r="D4450" i="3" a="1"/>
  <c r="D4450" i="3" s="1"/>
  <c r="E4450" i="3" a="1"/>
  <c r="E4450" i="3" s="1"/>
  <c r="F4450" i="3" a="1"/>
  <c r="F4450" i="3" s="1"/>
  <c r="G4450" i="3" a="1"/>
  <c r="G4450" i="3" s="1"/>
  <c r="J4450" i="3" a="1"/>
  <c r="J4450" i="3" s="1"/>
  <c r="B4451" i="3" a="1"/>
  <c r="B4451" i="3" s="1"/>
  <c r="C4451" i="3" a="1"/>
  <c r="C4451" i="3" s="1"/>
  <c r="D4451" i="3" a="1"/>
  <c r="D4451" i="3" s="1"/>
  <c r="E4451" i="3" a="1"/>
  <c r="E4451" i="3" s="1"/>
  <c r="F4451" i="3" a="1"/>
  <c r="F4451" i="3" s="1"/>
  <c r="G4451" i="3" a="1"/>
  <c r="G4451" i="3" s="1"/>
  <c r="J4451" i="3" a="1"/>
  <c r="J4451" i="3" s="1"/>
  <c r="B4452" i="3" a="1"/>
  <c r="B4452" i="3" s="1"/>
  <c r="C4452" i="3" a="1"/>
  <c r="C4452" i="3" s="1"/>
  <c r="D4452" i="3" a="1"/>
  <c r="D4452" i="3" s="1"/>
  <c r="E4452" i="3" a="1"/>
  <c r="E4452" i="3" s="1"/>
  <c r="F4452" i="3" a="1"/>
  <c r="F4452" i="3" s="1"/>
  <c r="G4452" i="3" a="1"/>
  <c r="G4452" i="3" s="1"/>
  <c r="J4452" i="3" a="1"/>
  <c r="J4452" i="3" s="1"/>
  <c r="B4453" i="3" a="1"/>
  <c r="B4453" i="3" s="1"/>
  <c r="C4453" i="3" a="1"/>
  <c r="C4453" i="3" s="1"/>
  <c r="D4453" i="3" a="1"/>
  <c r="D4453" i="3" s="1"/>
  <c r="E4453" i="3" a="1"/>
  <c r="E4453" i="3" s="1"/>
  <c r="F4453" i="3" a="1"/>
  <c r="F4453" i="3" s="1"/>
  <c r="G4453" i="3" a="1"/>
  <c r="G4453" i="3" s="1"/>
  <c r="J4453" i="3" a="1"/>
  <c r="J4453" i="3" s="1"/>
  <c r="B4454" i="3" a="1"/>
  <c r="B4454" i="3" s="1"/>
  <c r="C4454" i="3" a="1"/>
  <c r="C4454" i="3" s="1"/>
  <c r="D4454" i="3" a="1"/>
  <c r="D4454" i="3" s="1"/>
  <c r="E4454" i="3" a="1"/>
  <c r="E4454" i="3" s="1"/>
  <c r="F4454" i="3" a="1"/>
  <c r="F4454" i="3" s="1"/>
  <c r="G4454" i="3" a="1"/>
  <c r="G4454" i="3" s="1"/>
  <c r="J4454" i="3" a="1"/>
  <c r="J4454" i="3" s="1"/>
  <c r="B4455" i="3" a="1"/>
  <c r="B4455" i="3" s="1"/>
  <c r="C4455" i="3" a="1"/>
  <c r="C4455" i="3" s="1"/>
  <c r="D4455" i="3" a="1"/>
  <c r="D4455" i="3" s="1"/>
  <c r="E4455" i="3" a="1"/>
  <c r="E4455" i="3" s="1"/>
  <c r="F4455" i="3" a="1"/>
  <c r="F4455" i="3" s="1"/>
  <c r="G4455" i="3" a="1"/>
  <c r="G4455" i="3" s="1"/>
  <c r="J4455" i="3" a="1"/>
  <c r="J4455" i="3" s="1"/>
  <c r="B4456" i="3" a="1"/>
  <c r="B4456" i="3" s="1"/>
  <c r="C4456" i="3" a="1"/>
  <c r="C4456" i="3" s="1"/>
  <c r="D4456" i="3" a="1"/>
  <c r="D4456" i="3" s="1"/>
  <c r="E4456" i="3" a="1"/>
  <c r="E4456" i="3" s="1"/>
  <c r="F4456" i="3" a="1"/>
  <c r="F4456" i="3" s="1"/>
  <c r="G4456" i="3" a="1"/>
  <c r="G4456" i="3" s="1"/>
  <c r="J4456" i="3" a="1"/>
  <c r="J4456" i="3" s="1"/>
  <c r="B4457" i="3" a="1"/>
  <c r="B4457" i="3" s="1"/>
  <c r="C4457" i="3" a="1"/>
  <c r="C4457" i="3" s="1"/>
  <c r="D4457" i="3" a="1"/>
  <c r="D4457" i="3" s="1"/>
  <c r="E4457" i="3" a="1"/>
  <c r="E4457" i="3" s="1"/>
  <c r="F4457" i="3" a="1"/>
  <c r="F4457" i="3" s="1"/>
  <c r="G4457" i="3" a="1"/>
  <c r="G4457" i="3" s="1"/>
  <c r="J4457" i="3" a="1"/>
  <c r="J4457" i="3" s="1"/>
  <c r="B4458" i="3" a="1"/>
  <c r="B4458" i="3" s="1"/>
  <c r="C4458" i="3" a="1"/>
  <c r="C4458" i="3" s="1"/>
  <c r="D4458" i="3" a="1"/>
  <c r="D4458" i="3" s="1"/>
  <c r="E4458" i="3" a="1"/>
  <c r="E4458" i="3" s="1"/>
  <c r="F4458" i="3" a="1"/>
  <c r="F4458" i="3" s="1"/>
  <c r="G4458" i="3" a="1"/>
  <c r="G4458" i="3" s="1"/>
  <c r="J4458" i="3" a="1"/>
  <c r="J4458" i="3" s="1"/>
  <c r="B4459" i="3" a="1"/>
  <c r="B4459" i="3" s="1"/>
  <c r="C4459" i="3" a="1"/>
  <c r="C4459" i="3" s="1"/>
  <c r="D4459" i="3" a="1"/>
  <c r="D4459" i="3" s="1"/>
  <c r="E4459" i="3" a="1"/>
  <c r="E4459" i="3" s="1"/>
  <c r="F4459" i="3" a="1"/>
  <c r="F4459" i="3" s="1"/>
  <c r="G4459" i="3" a="1"/>
  <c r="G4459" i="3" s="1"/>
  <c r="J4459" i="3" a="1"/>
  <c r="J4459" i="3" s="1"/>
  <c r="B4460" i="3" a="1"/>
  <c r="B4460" i="3" s="1"/>
  <c r="C4460" i="3" a="1"/>
  <c r="C4460" i="3" s="1"/>
  <c r="D4460" i="3" a="1"/>
  <c r="D4460" i="3" s="1"/>
  <c r="E4460" i="3" a="1"/>
  <c r="E4460" i="3" s="1"/>
  <c r="F4460" i="3" a="1"/>
  <c r="F4460" i="3" s="1"/>
  <c r="G4460" i="3" a="1"/>
  <c r="G4460" i="3" s="1"/>
  <c r="J4460" i="3" a="1"/>
  <c r="J4460" i="3" s="1"/>
  <c r="B4461" i="3" a="1"/>
  <c r="B4461" i="3" s="1"/>
  <c r="C4461" i="3" a="1"/>
  <c r="C4461" i="3" s="1"/>
  <c r="D4461" i="3" a="1"/>
  <c r="D4461" i="3" s="1"/>
  <c r="E4461" i="3" a="1"/>
  <c r="E4461" i="3" s="1"/>
  <c r="F4461" i="3" a="1"/>
  <c r="F4461" i="3" s="1"/>
  <c r="G4461" i="3" a="1"/>
  <c r="G4461" i="3" s="1"/>
  <c r="J4461" i="3" a="1"/>
  <c r="J4461" i="3" s="1"/>
  <c r="B4462" i="3" a="1"/>
  <c r="B4462" i="3" s="1"/>
  <c r="C4462" i="3" a="1"/>
  <c r="C4462" i="3" s="1"/>
  <c r="D4462" i="3" a="1"/>
  <c r="D4462" i="3" s="1"/>
  <c r="E4462" i="3" a="1"/>
  <c r="E4462" i="3" s="1"/>
  <c r="F4462" i="3" a="1"/>
  <c r="F4462" i="3" s="1"/>
  <c r="G4462" i="3" a="1"/>
  <c r="G4462" i="3" s="1"/>
  <c r="J4462" i="3" a="1"/>
  <c r="J4462" i="3" s="1"/>
  <c r="B4463" i="3" a="1"/>
  <c r="B4463" i="3" s="1"/>
  <c r="C4463" i="3" a="1"/>
  <c r="C4463" i="3" s="1"/>
  <c r="D4463" i="3" a="1"/>
  <c r="D4463" i="3" s="1"/>
  <c r="E4463" i="3" a="1"/>
  <c r="E4463" i="3" s="1"/>
  <c r="F4463" i="3" a="1"/>
  <c r="F4463" i="3" s="1"/>
  <c r="G4463" i="3" a="1"/>
  <c r="G4463" i="3" s="1"/>
  <c r="J4463" i="3" a="1"/>
  <c r="J4463" i="3" s="1"/>
  <c r="B4464" i="3" a="1"/>
  <c r="B4464" i="3" s="1"/>
  <c r="C4464" i="3" a="1"/>
  <c r="C4464" i="3" s="1"/>
  <c r="D4464" i="3" a="1"/>
  <c r="D4464" i="3" s="1"/>
  <c r="E4464" i="3" a="1"/>
  <c r="E4464" i="3" s="1"/>
  <c r="F4464" i="3" a="1"/>
  <c r="F4464" i="3" s="1"/>
  <c r="G4464" i="3" a="1"/>
  <c r="G4464" i="3" s="1"/>
  <c r="J4464" i="3" a="1"/>
  <c r="J4464" i="3" s="1"/>
  <c r="B4465" i="3" a="1"/>
  <c r="B4465" i="3" s="1"/>
  <c r="C4465" i="3" a="1"/>
  <c r="C4465" i="3" s="1"/>
  <c r="D4465" i="3" a="1"/>
  <c r="D4465" i="3" s="1"/>
  <c r="E4465" i="3" a="1"/>
  <c r="E4465" i="3" s="1"/>
  <c r="F4465" i="3" a="1"/>
  <c r="F4465" i="3" s="1"/>
  <c r="G4465" i="3" a="1"/>
  <c r="G4465" i="3" s="1"/>
  <c r="J4465" i="3" a="1"/>
  <c r="J4465" i="3" s="1"/>
  <c r="B4466" i="3" a="1"/>
  <c r="B4466" i="3" s="1"/>
  <c r="C4466" i="3" a="1"/>
  <c r="C4466" i="3" s="1"/>
  <c r="D4466" i="3" a="1"/>
  <c r="D4466" i="3" s="1"/>
  <c r="E4466" i="3" a="1"/>
  <c r="E4466" i="3" s="1"/>
  <c r="F4466" i="3" a="1"/>
  <c r="F4466" i="3" s="1"/>
  <c r="G4466" i="3" a="1"/>
  <c r="G4466" i="3" s="1"/>
  <c r="J4466" i="3" a="1"/>
  <c r="J4466" i="3" s="1"/>
  <c r="B4467" i="3" a="1"/>
  <c r="B4467" i="3" s="1"/>
  <c r="C4467" i="3" a="1"/>
  <c r="C4467" i="3" s="1"/>
  <c r="D4467" i="3" a="1"/>
  <c r="D4467" i="3" s="1"/>
  <c r="E4467" i="3" a="1"/>
  <c r="E4467" i="3" s="1"/>
  <c r="F4467" i="3" a="1"/>
  <c r="F4467" i="3" s="1"/>
  <c r="G4467" i="3" a="1"/>
  <c r="G4467" i="3" s="1"/>
  <c r="J4467" i="3" a="1"/>
  <c r="J4467" i="3" s="1"/>
  <c r="B4468" i="3" a="1"/>
  <c r="B4468" i="3" s="1"/>
  <c r="C4468" i="3" a="1"/>
  <c r="C4468" i="3" s="1"/>
  <c r="D4468" i="3" a="1"/>
  <c r="D4468" i="3" s="1"/>
  <c r="E4468" i="3" a="1"/>
  <c r="E4468" i="3" s="1"/>
  <c r="F4468" i="3" a="1"/>
  <c r="F4468" i="3" s="1"/>
  <c r="G4468" i="3" a="1"/>
  <c r="G4468" i="3" s="1"/>
  <c r="J4468" i="3" a="1"/>
  <c r="J4468" i="3" s="1"/>
  <c r="B4469" i="3" a="1"/>
  <c r="B4469" i="3" s="1"/>
  <c r="C4469" i="3" a="1"/>
  <c r="C4469" i="3" s="1"/>
  <c r="D4469" i="3" a="1"/>
  <c r="D4469" i="3" s="1"/>
  <c r="E4469" i="3" a="1"/>
  <c r="E4469" i="3" s="1"/>
  <c r="F4469" i="3" a="1"/>
  <c r="F4469" i="3" s="1"/>
  <c r="G4469" i="3" a="1"/>
  <c r="G4469" i="3" s="1"/>
  <c r="J4469" i="3" a="1"/>
  <c r="J4469" i="3" s="1"/>
  <c r="B4470" i="3" a="1"/>
  <c r="B4470" i="3" s="1"/>
  <c r="C4470" i="3" a="1"/>
  <c r="C4470" i="3" s="1"/>
  <c r="D4470" i="3" a="1"/>
  <c r="D4470" i="3" s="1"/>
  <c r="E4470" i="3" a="1"/>
  <c r="E4470" i="3" s="1"/>
  <c r="F4470" i="3" a="1"/>
  <c r="F4470" i="3" s="1"/>
  <c r="G4470" i="3" a="1"/>
  <c r="G4470" i="3" s="1"/>
  <c r="J4470" i="3" a="1"/>
  <c r="J4470" i="3" s="1"/>
  <c r="B4471" i="3" a="1"/>
  <c r="B4471" i="3" s="1"/>
  <c r="C4471" i="3" a="1"/>
  <c r="C4471" i="3" s="1"/>
  <c r="D4471" i="3" a="1"/>
  <c r="D4471" i="3" s="1"/>
  <c r="E4471" i="3" a="1"/>
  <c r="E4471" i="3" s="1"/>
  <c r="F4471" i="3" a="1"/>
  <c r="F4471" i="3" s="1"/>
  <c r="G4471" i="3" a="1"/>
  <c r="G4471" i="3" s="1"/>
  <c r="J4471" i="3" a="1"/>
  <c r="J4471" i="3" s="1"/>
  <c r="B4472" i="3" a="1"/>
  <c r="B4472" i="3" s="1"/>
  <c r="C4472" i="3" a="1"/>
  <c r="C4472" i="3" s="1"/>
  <c r="D4472" i="3" a="1"/>
  <c r="D4472" i="3" s="1"/>
  <c r="E4472" i="3" a="1"/>
  <c r="E4472" i="3" s="1"/>
  <c r="F4472" i="3" a="1"/>
  <c r="F4472" i="3" s="1"/>
  <c r="G4472" i="3" a="1"/>
  <c r="G4472" i="3" s="1"/>
  <c r="J4472" i="3" a="1"/>
  <c r="J4472" i="3" s="1"/>
  <c r="B4473" i="3" a="1"/>
  <c r="B4473" i="3" s="1"/>
  <c r="C4473" i="3" a="1"/>
  <c r="C4473" i="3" s="1"/>
  <c r="D4473" i="3" a="1"/>
  <c r="D4473" i="3" s="1"/>
  <c r="E4473" i="3" a="1"/>
  <c r="E4473" i="3" s="1"/>
  <c r="F4473" i="3" a="1"/>
  <c r="F4473" i="3" s="1"/>
  <c r="G4473" i="3" a="1"/>
  <c r="G4473" i="3" s="1"/>
  <c r="J4473" i="3" a="1"/>
  <c r="J4473" i="3" s="1"/>
  <c r="B4474" i="3" a="1"/>
  <c r="B4474" i="3" s="1"/>
  <c r="C4474" i="3" a="1"/>
  <c r="C4474" i="3" s="1"/>
  <c r="D4474" i="3" a="1"/>
  <c r="D4474" i="3" s="1"/>
  <c r="E4474" i="3" a="1"/>
  <c r="E4474" i="3" s="1"/>
  <c r="F4474" i="3" a="1"/>
  <c r="F4474" i="3" s="1"/>
  <c r="G4474" i="3" a="1"/>
  <c r="G4474" i="3" s="1"/>
  <c r="J4474" i="3" a="1"/>
  <c r="J4474" i="3" s="1"/>
  <c r="B4475" i="3" a="1"/>
  <c r="B4475" i="3" s="1"/>
  <c r="C4475" i="3" a="1"/>
  <c r="C4475" i="3" s="1"/>
  <c r="D4475" i="3" a="1"/>
  <c r="D4475" i="3" s="1"/>
  <c r="E4475" i="3" a="1"/>
  <c r="E4475" i="3" s="1"/>
  <c r="F4475" i="3" a="1"/>
  <c r="F4475" i="3" s="1"/>
  <c r="G4475" i="3" a="1"/>
  <c r="G4475" i="3" s="1"/>
  <c r="J4475" i="3" a="1"/>
  <c r="J4475" i="3" s="1"/>
  <c r="B4476" i="3" a="1"/>
  <c r="B4476" i="3" s="1"/>
  <c r="C4476" i="3" a="1"/>
  <c r="C4476" i="3" s="1"/>
  <c r="D4476" i="3" a="1"/>
  <c r="D4476" i="3" s="1"/>
  <c r="E4476" i="3" a="1"/>
  <c r="E4476" i="3" s="1"/>
  <c r="F4476" i="3" a="1"/>
  <c r="F4476" i="3" s="1"/>
  <c r="G4476" i="3" a="1"/>
  <c r="G4476" i="3" s="1"/>
  <c r="J4476" i="3" a="1"/>
  <c r="J4476" i="3" s="1"/>
  <c r="B4477" i="3" a="1"/>
  <c r="B4477" i="3" s="1"/>
  <c r="C4477" i="3" a="1"/>
  <c r="C4477" i="3" s="1"/>
  <c r="D4477" i="3" a="1"/>
  <c r="D4477" i="3" s="1"/>
  <c r="E4477" i="3" a="1"/>
  <c r="E4477" i="3" s="1"/>
  <c r="F4477" i="3" a="1"/>
  <c r="F4477" i="3" s="1"/>
  <c r="G4477" i="3" a="1"/>
  <c r="G4477" i="3" s="1"/>
  <c r="J4477" i="3" a="1"/>
  <c r="J4477" i="3" s="1"/>
  <c r="B4478" i="3" a="1"/>
  <c r="B4478" i="3" s="1"/>
  <c r="C4478" i="3" a="1"/>
  <c r="C4478" i="3" s="1"/>
  <c r="D4478" i="3" a="1"/>
  <c r="D4478" i="3" s="1"/>
  <c r="E4478" i="3" a="1"/>
  <c r="E4478" i="3" s="1"/>
  <c r="F4478" i="3" a="1"/>
  <c r="F4478" i="3" s="1"/>
  <c r="G4478" i="3" a="1"/>
  <c r="G4478" i="3" s="1"/>
  <c r="J4478" i="3" a="1"/>
  <c r="J4478" i="3" s="1"/>
  <c r="B4479" i="3" a="1"/>
  <c r="B4479" i="3" s="1"/>
  <c r="C4479" i="3" a="1"/>
  <c r="C4479" i="3" s="1"/>
  <c r="D4479" i="3" a="1"/>
  <c r="D4479" i="3" s="1"/>
  <c r="E4479" i="3" a="1"/>
  <c r="E4479" i="3" s="1"/>
  <c r="F4479" i="3" a="1"/>
  <c r="F4479" i="3" s="1"/>
  <c r="G4479" i="3" a="1"/>
  <c r="G4479" i="3" s="1"/>
  <c r="J4479" i="3" a="1"/>
  <c r="J4479" i="3" s="1"/>
  <c r="B4480" i="3" a="1"/>
  <c r="B4480" i="3" s="1"/>
  <c r="C4480" i="3" a="1"/>
  <c r="C4480" i="3" s="1"/>
  <c r="D4480" i="3" a="1"/>
  <c r="D4480" i="3" s="1"/>
  <c r="E4480" i="3" a="1"/>
  <c r="E4480" i="3" s="1"/>
  <c r="F4480" i="3" a="1"/>
  <c r="F4480" i="3" s="1"/>
  <c r="G4480" i="3" a="1"/>
  <c r="G4480" i="3" s="1"/>
  <c r="J4480" i="3" a="1"/>
  <c r="J4480" i="3" s="1"/>
  <c r="B4481" i="3" a="1"/>
  <c r="B4481" i="3" s="1"/>
  <c r="C4481" i="3" a="1"/>
  <c r="C4481" i="3" s="1"/>
  <c r="D4481" i="3" a="1"/>
  <c r="D4481" i="3" s="1"/>
  <c r="E4481" i="3" a="1"/>
  <c r="E4481" i="3" s="1"/>
  <c r="F4481" i="3" a="1"/>
  <c r="F4481" i="3" s="1"/>
  <c r="G4481" i="3" a="1"/>
  <c r="G4481" i="3" s="1"/>
  <c r="J4481" i="3" a="1"/>
  <c r="J4481" i="3" s="1"/>
  <c r="B4482" i="3" a="1"/>
  <c r="B4482" i="3" s="1"/>
  <c r="C4482" i="3" a="1"/>
  <c r="C4482" i="3" s="1"/>
  <c r="D4482" i="3" a="1"/>
  <c r="D4482" i="3" s="1"/>
  <c r="E4482" i="3" a="1"/>
  <c r="E4482" i="3" s="1"/>
  <c r="F4482" i="3" a="1"/>
  <c r="F4482" i="3" s="1"/>
  <c r="G4482" i="3" a="1"/>
  <c r="G4482" i="3" s="1"/>
  <c r="J4482" i="3" a="1"/>
  <c r="J4482" i="3" s="1"/>
  <c r="B4483" i="3" a="1"/>
  <c r="B4483" i="3" s="1"/>
  <c r="C4483" i="3" a="1"/>
  <c r="C4483" i="3" s="1"/>
  <c r="D4483" i="3" a="1"/>
  <c r="D4483" i="3" s="1"/>
  <c r="E4483" i="3" a="1"/>
  <c r="E4483" i="3" s="1"/>
  <c r="F4483" i="3" a="1"/>
  <c r="F4483" i="3" s="1"/>
  <c r="G4483" i="3" a="1"/>
  <c r="G4483" i="3" s="1"/>
  <c r="J4483" i="3" a="1"/>
  <c r="J4483" i="3" s="1"/>
  <c r="B4484" i="3" a="1"/>
  <c r="B4484" i="3" s="1"/>
  <c r="C4484" i="3" a="1"/>
  <c r="C4484" i="3" s="1"/>
  <c r="D4484" i="3" a="1"/>
  <c r="D4484" i="3" s="1"/>
  <c r="E4484" i="3" a="1"/>
  <c r="E4484" i="3" s="1"/>
  <c r="F4484" i="3" a="1"/>
  <c r="F4484" i="3" s="1"/>
  <c r="G4484" i="3" a="1"/>
  <c r="G4484" i="3" s="1"/>
  <c r="J4484" i="3" a="1"/>
  <c r="J4484" i="3" s="1"/>
  <c r="B4485" i="3" a="1"/>
  <c r="B4485" i="3" s="1"/>
  <c r="C4485" i="3" a="1"/>
  <c r="C4485" i="3" s="1"/>
  <c r="D4485" i="3" a="1"/>
  <c r="D4485" i="3" s="1"/>
  <c r="E4485" i="3" a="1"/>
  <c r="E4485" i="3" s="1"/>
  <c r="F4485" i="3" a="1"/>
  <c r="F4485" i="3" s="1"/>
  <c r="G4485" i="3" a="1"/>
  <c r="G4485" i="3" s="1"/>
  <c r="J4485" i="3" a="1"/>
  <c r="J4485" i="3" s="1"/>
  <c r="B4486" i="3" a="1"/>
  <c r="B4486" i="3" s="1"/>
  <c r="C4486" i="3" a="1"/>
  <c r="C4486" i="3" s="1"/>
  <c r="D4486" i="3" a="1"/>
  <c r="D4486" i="3" s="1"/>
  <c r="E4486" i="3" a="1"/>
  <c r="E4486" i="3" s="1"/>
  <c r="F4486" i="3" a="1"/>
  <c r="F4486" i="3" s="1"/>
  <c r="G4486" i="3" a="1"/>
  <c r="G4486" i="3" s="1"/>
  <c r="J4486" i="3" a="1"/>
  <c r="J4486" i="3" s="1"/>
  <c r="B4487" i="3" a="1"/>
  <c r="B4487" i="3" s="1"/>
  <c r="C4487" i="3" a="1"/>
  <c r="C4487" i="3" s="1"/>
  <c r="D4487" i="3" a="1"/>
  <c r="D4487" i="3" s="1"/>
  <c r="E4487" i="3" a="1"/>
  <c r="E4487" i="3" s="1"/>
  <c r="F4487" i="3" a="1"/>
  <c r="F4487" i="3" s="1"/>
  <c r="G4487" i="3" a="1"/>
  <c r="G4487" i="3" s="1"/>
  <c r="J4487" i="3" a="1"/>
  <c r="J4487" i="3" s="1"/>
  <c r="B4488" i="3" a="1"/>
  <c r="B4488" i="3" s="1"/>
  <c r="C4488" i="3" a="1"/>
  <c r="C4488" i="3" s="1"/>
  <c r="D4488" i="3" a="1"/>
  <c r="D4488" i="3" s="1"/>
  <c r="E4488" i="3" a="1"/>
  <c r="E4488" i="3" s="1"/>
  <c r="F4488" i="3" a="1"/>
  <c r="F4488" i="3" s="1"/>
  <c r="G4488" i="3" a="1"/>
  <c r="G4488" i="3" s="1"/>
  <c r="J4488" i="3" a="1"/>
  <c r="J4488" i="3" s="1"/>
  <c r="B4489" i="3" a="1"/>
  <c r="B4489" i="3" s="1"/>
  <c r="C4489" i="3" a="1"/>
  <c r="C4489" i="3" s="1"/>
  <c r="D4489" i="3" a="1"/>
  <c r="D4489" i="3" s="1"/>
  <c r="E4489" i="3" a="1"/>
  <c r="E4489" i="3" s="1"/>
  <c r="F4489" i="3" a="1"/>
  <c r="F4489" i="3" s="1"/>
  <c r="G4489" i="3" a="1"/>
  <c r="G4489" i="3" s="1"/>
  <c r="J4489" i="3" a="1"/>
  <c r="J4489" i="3" s="1"/>
  <c r="B4490" i="3" a="1"/>
  <c r="B4490" i="3" s="1"/>
  <c r="C4490" i="3" a="1"/>
  <c r="C4490" i="3" s="1"/>
  <c r="D4490" i="3" a="1"/>
  <c r="D4490" i="3" s="1"/>
  <c r="E4490" i="3" a="1"/>
  <c r="E4490" i="3" s="1"/>
  <c r="F4490" i="3" a="1"/>
  <c r="F4490" i="3" s="1"/>
  <c r="G4490" i="3" a="1"/>
  <c r="G4490" i="3" s="1"/>
  <c r="J4490" i="3" a="1"/>
  <c r="J4490" i="3" s="1"/>
  <c r="B4491" i="3" a="1"/>
  <c r="B4491" i="3" s="1"/>
  <c r="C4491" i="3" a="1"/>
  <c r="C4491" i="3" s="1"/>
  <c r="D4491" i="3" a="1"/>
  <c r="D4491" i="3" s="1"/>
  <c r="E4491" i="3" a="1"/>
  <c r="E4491" i="3" s="1"/>
  <c r="F4491" i="3" a="1"/>
  <c r="F4491" i="3" s="1"/>
  <c r="G4491" i="3" a="1"/>
  <c r="G4491" i="3" s="1"/>
  <c r="J4491" i="3" a="1"/>
  <c r="J4491" i="3" s="1"/>
  <c r="B4492" i="3" a="1"/>
  <c r="B4492" i="3" s="1"/>
  <c r="C4492" i="3" a="1"/>
  <c r="C4492" i="3" s="1"/>
  <c r="D4492" i="3" a="1"/>
  <c r="D4492" i="3" s="1"/>
  <c r="E4492" i="3" a="1"/>
  <c r="E4492" i="3" s="1"/>
  <c r="F4492" i="3" a="1"/>
  <c r="F4492" i="3" s="1"/>
  <c r="G4492" i="3" a="1"/>
  <c r="G4492" i="3" s="1"/>
  <c r="J4492" i="3" a="1"/>
  <c r="J4492" i="3" s="1"/>
  <c r="B4493" i="3" a="1"/>
  <c r="B4493" i="3" s="1"/>
  <c r="C4493" i="3" a="1"/>
  <c r="C4493" i="3" s="1"/>
  <c r="D4493" i="3" a="1"/>
  <c r="D4493" i="3" s="1"/>
  <c r="E4493" i="3" a="1"/>
  <c r="E4493" i="3" s="1"/>
  <c r="F4493" i="3" a="1"/>
  <c r="F4493" i="3" s="1"/>
  <c r="G4493" i="3" a="1"/>
  <c r="G4493" i="3" s="1"/>
  <c r="J4493" i="3" a="1"/>
  <c r="J4493" i="3" s="1"/>
  <c r="B4494" i="3" a="1"/>
  <c r="B4494" i="3" s="1"/>
  <c r="C4494" i="3" a="1"/>
  <c r="C4494" i="3" s="1"/>
  <c r="D4494" i="3" a="1"/>
  <c r="D4494" i="3" s="1"/>
  <c r="E4494" i="3" a="1"/>
  <c r="E4494" i="3" s="1"/>
  <c r="F4494" i="3" a="1"/>
  <c r="F4494" i="3" s="1"/>
  <c r="G4494" i="3" a="1"/>
  <c r="G4494" i="3" s="1"/>
  <c r="J4494" i="3" a="1"/>
  <c r="J4494" i="3" s="1"/>
  <c r="B4495" i="3" a="1"/>
  <c r="B4495" i="3" s="1"/>
  <c r="C4495" i="3" a="1"/>
  <c r="C4495" i="3" s="1"/>
  <c r="D4495" i="3" a="1"/>
  <c r="D4495" i="3" s="1"/>
  <c r="E4495" i="3" a="1"/>
  <c r="E4495" i="3" s="1"/>
  <c r="F4495" i="3" a="1"/>
  <c r="F4495" i="3" s="1"/>
  <c r="G4495" i="3" a="1"/>
  <c r="G4495" i="3" s="1"/>
  <c r="J4495" i="3" a="1"/>
  <c r="J4495" i="3" s="1"/>
  <c r="B4496" i="3" a="1"/>
  <c r="B4496" i="3" s="1"/>
  <c r="C4496" i="3" a="1"/>
  <c r="C4496" i="3" s="1"/>
  <c r="D4496" i="3" a="1"/>
  <c r="D4496" i="3" s="1"/>
  <c r="E4496" i="3" a="1"/>
  <c r="E4496" i="3" s="1"/>
  <c r="F4496" i="3" a="1"/>
  <c r="F4496" i="3" s="1"/>
  <c r="G4496" i="3" a="1"/>
  <c r="G4496" i="3" s="1"/>
  <c r="J4496" i="3" a="1"/>
  <c r="J4496" i="3" s="1"/>
  <c r="B4497" i="3" a="1"/>
  <c r="B4497" i="3" s="1"/>
  <c r="C4497" i="3" a="1"/>
  <c r="C4497" i="3" s="1"/>
  <c r="D4497" i="3" a="1"/>
  <c r="D4497" i="3" s="1"/>
  <c r="E4497" i="3" a="1"/>
  <c r="E4497" i="3" s="1"/>
  <c r="F4497" i="3" a="1"/>
  <c r="F4497" i="3" s="1"/>
  <c r="G4497" i="3" a="1"/>
  <c r="G4497" i="3" s="1"/>
  <c r="J4497" i="3" a="1"/>
  <c r="J4497" i="3" s="1"/>
  <c r="B4498" i="3" a="1"/>
  <c r="B4498" i="3" s="1"/>
  <c r="C4498" i="3" a="1"/>
  <c r="C4498" i="3" s="1"/>
  <c r="D4498" i="3" a="1"/>
  <c r="D4498" i="3" s="1"/>
  <c r="E4498" i="3" a="1"/>
  <c r="E4498" i="3" s="1"/>
  <c r="F4498" i="3" a="1"/>
  <c r="F4498" i="3" s="1"/>
  <c r="G4498" i="3" a="1"/>
  <c r="G4498" i="3" s="1"/>
  <c r="J4498" i="3" a="1"/>
  <c r="J4498" i="3" s="1"/>
  <c r="B4499" i="3" a="1"/>
  <c r="B4499" i="3" s="1"/>
  <c r="C4499" i="3" a="1"/>
  <c r="C4499" i="3" s="1"/>
  <c r="D4499" i="3" a="1"/>
  <c r="D4499" i="3" s="1"/>
  <c r="E4499" i="3" a="1"/>
  <c r="E4499" i="3" s="1"/>
  <c r="F4499" i="3" a="1"/>
  <c r="F4499" i="3" s="1"/>
  <c r="G4499" i="3" a="1"/>
  <c r="G4499" i="3" s="1"/>
  <c r="J4499" i="3" a="1"/>
  <c r="J4499" i="3" s="1"/>
  <c r="B4500" i="3" a="1"/>
  <c r="B4500" i="3" s="1"/>
  <c r="C4500" i="3" a="1"/>
  <c r="C4500" i="3" s="1"/>
  <c r="D4500" i="3" a="1"/>
  <c r="D4500" i="3" s="1"/>
  <c r="E4500" i="3" a="1"/>
  <c r="E4500" i="3" s="1"/>
  <c r="F4500" i="3" a="1"/>
  <c r="F4500" i="3" s="1"/>
  <c r="G4500" i="3" a="1"/>
  <c r="G4500" i="3" s="1"/>
  <c r="J4500" i="3" a="1"/>
  <c r="J4500" i="3" s="1"/>
  <c r="B4501" i="3" a="1"/>
  <c r="B4501" i="3" s="1"/>
  <c r="C4501" i="3" a="1"/>
  <c r="C4501" i="3" s="1"/>
  <c r="D4501" i="3" a="1"/>
  <c r="D4501" i="3" s="1"/>
  <c r="E4501" i="3" a="1"/>
  <c r="E4501" i="3" s="1"/>
  <c r="F4501" i="3" a="1"/>
  <c r="F4501" i="3" s="1"/>
  <c r="G4501" i="3" a="1"/>
  <c r="G4501" i="3" s="1"/>
  <c r="J4501" i="3" a="1"/>
  <c r="J4501" i="3" s="1"/>
  <c r="B4502" i="3" a="1"/>
  <c r="B4502" i="3" s="1"/>
  <c r="C4502" i="3" a="1"/>
  <c r="C4502" i="3" s="1"/>
  <c r="D4502" i="3" a="1"/>
  <c r="D4502" i="3" s="1"/>
  <c r="E4502" i="3" a="1"/>
  <c r="E4502" i="3" s="1"/>
  <c r="F4502" i="3" a="1"/>
  <c r="F4502" i="3" s="1"/>
  <c r="G4502" i="3" a="1"/>
  <c r="G4502" i="3" s="1"/>
  <c r="J4502" i="3" a="1"/>
  <c r="J4502" i="3" s="1"/>
  <c r="B4503" i="3" a="1"/>
  <c r="B4503" i="3" s="1"/>
  <c r="C4503" i="3" a="1"/>
  <c r="C4503" i="3" s="1"/>
  <c r="D4503" i="3" a="1"/>
  <c r="D4503" i="3" s="1"/>
  <c r="E4503" i="3" a="1"/>
  <c r="E4503" i="3" s="1"/>
  <c r="F4503" i="3" a="1"/>
  <c r="F4503" i="3" s="1"/>
  <c r="G4503" i="3" a="1"/>
  <c r="G4503" i="3" s="1"/>
  <c r="J4503" i="3" a="1"/>
  <c r="J4503" i="3" s="1"/>
  <c r="B4504" i="3" a="1"/>
  <c r="B4504" i="3" s="1"/>
  <c r="C4504" i="3" a="1"/>
  <c r="C4504" i="3" s="1"/>
  <c r="D4504" i="3" a="1"/>
  <c r="D4504" i="3" s="1"/>
  <c r="E4504" i="3" a="1"/>
  <c r="E4504" i="3" s="1"/>
  <c r="F4504" i="3" a="1"/>
  <c r="F4504" i="3" s="1"/>
  <c r="G4504" i="3" a="1"/>
  <c r="G4504" i="3" s="1"/>
  <c r="J4504" i="3" a="1"/>
  <c r="J4504" i="3" s="1"/>
  <c r="B4505" i="3" a="1"/>
  <c r="B4505" i="3" s="1"/>
  <c r="C4505" i="3" a="1"/>
  <c r="C4505" i="3" s="1"/>
  <c r="D4505" i="3" a="1"/>
  <c r="D4505" i="3" s="1"/>
  <c r="E4505" i="3" a="1"/>
  <c r="E4505" i="3" s="1"/>
  <c r="F4505" i="3" a="1"/>
  <c r="F4505" i="3" s="1"/>
  <c r="G4505" i="3" a="1"/>
  <c r="G4505" i="3" s="1"/>
  <c r="J4505" i="3" a="1"/>
  <c r="J4505" i="3" s="1"/>
  <c r="B4506" i="3" a="1"/>
  <c r="B4506" i="3" s="1"/>
  <c r="C4506" i="3" a="1"/>
  <c r="C4506" i="3" s="1"/>
  <c r="D4506" i="3" a="1"/>
  <c r="D4506" i="3" s="1"/>
  <c r="E4506" i="3" a="1"/>
  <c r="E4506" i="3" s="1"/>
  <c r="F4506" i="3" a="1"/>
  <c r="F4506" i="3" s="1"/>
  <c r="G4506" i="3" a="1"/>
  <c r="G4506" i="3" s="1"/>
  <c r="J4506" i="3" a="1"/>
  <c r="J4506" i="3" s="1"/>
  <c r="B4507" i="3" a="1"/>
  <c r="B4507" i="3" s="1"/>
  <c r="C4507" i="3" a="1"/>
  <c r="C4507" i="3" s="1"/>
  <c r="D4507" i="3" a="1"/>
  <c r="D4507" i="3" s="1"/>
  <c r="E4507" i="3" a="1"/>
  <c r="E4507" i="3" s="1"/>
  <c r="F4507" i="3" a="1"/>
  <c r="F4507" i="3" s="1"/>
  <c r="G4507" i="3" a="1"/>
  <c r="G4507" i="3" s="1"/>
  <c r="J4507" i="3" a="1"/>
  <c r="J4507" i="3" s="1"/>
  <c r="B4508" i="3" a="1"/>
  <c r="B4508" i="3" s="1"/>
  <c r="C4508" i="3" a="1"/>
  <c r="C4508" i="3" s="1"/>
  <c r="D4508" i="3" a="1"/>
  <c r="D4508" i="3" s="1"/>
  <c r="E4508" i="3" a="1"/>
  <c r="E4508" i="3" s="1"/>
  <c r="F4508" i="3" a="1"/>
  <c r="F4508" i="3" s="1"/>
  <c r="G4508" i="3" a="1"/>
  <c r="G4508" i="3" s="1"/>
  <c r="J4508" i="3" a="1"/>
  <c r="J4508" i="3" s="1"/>
  <c r="B4509" i="3" a="1"/>
  <c r="B4509" i="3" s="1"/>
  <c r="C4509" i="3" a="1"/>
  <c r="C4509" i="3" s="1"/>
  <c r="D4509" i="3" a="1"/>
  <c r="D4509" i="3" s="1"/>
  <c r="E4509" i="3" a="1"/>
  <c r="E4509" i="3" s="1"/>
  <c r="F4509" i="3" a="1"/>
  <c r="F4509" i="3" s="1"/>
  <c r="G4509" i="3" a="1"/>
  <c r="G4509" i="3" s="1"/>
  <c r="J4509" i="3" a="1"/>
  <c r="J4509" i="3" s="1"/>
  <c r="B4510" i="3" a="1"/>
  <c r="B4510" i="3" s="1"/>
  <c r="C4510" i="3" a="1"/>
  <c r="C4510" i="3" s="1"/>
  <c r="D4510" i="3" a="1"/>
  <c r="D4510" i="3" s="1"/>
  <c r="E4510" i="3" a="1"/>
  <c r="E4510" i="3" s="1"/>
  <c r="F4510" i="3" a="1"/>
  <c r="F4510" i="3" s="1"/>
  <c r="G4510" i="3" a="1"/>
  <c r="G4510" i="3" s="1"/>
  <c r="J4510" i="3" a="1"/>
  <c r="J4510" i="3" s="1"/>
  <c r="B4511" i="3" a="1"/>
  <c r="B4511" i="3" s="1"/>
  <c r="C4511" i="3" a="1"/>
  <c r="C4511" i="3" s="1"/>
  <c r="D4511" i="3" a="1"/>
  <c r="D4511" i="3" s="1"/>
  <c r="E4511" i="3" a="1"/>
  <c r="E4511" i="3" s="1"/>
  <c r="F4511" i="3" a="1"/>
  <c r="F4511" i="3" s="1"/>
  <c r="G4511" i="3" a="1"/>
  <c r="G4511" i="3" s="1"/>
  <c r="J4511" i="3" a="1"/>
  <c r="J4511" i="3" s="1"/>
  <c r="B4512" i="3" a="1"/>
  <c r="B4512" i="3" s="1"/>
  <c r="C4512" i="3" a="1"/>
  <c r="C4512" i="3" s="1"/>
  <c r="D4512" i="3" a="1"/>
  <c r="D4512" i="3" s="1"/>
  <c r="E4512" i="3" a="1"/>
  <c r="E4512" i="3" s="1"/>
  <c r="F4512" i="3" a="1"/>
  <c r="F4512" i="3" s="1"/>
  <c r="G4512" i="3" a="1"/>
  <c r="G4512" i="3" s="1"/>
  <c r="J4512" i="3" a="1"/>
  <c r="J4512" i="3" s="1"/>
  <c r="B4513" i="3" a="1"/>
  <c r="B4513" i="3" s="1"/>
  <c r="C4513" i="3" a="1"/>
  <c r="C4513" i="3" s="1"/>
  <c r="D4513" i="3" a="1"/>
  <c r="D4513" i="3" s="1"/>
  <c r="E4513" i="3" a="1"/>
  <c r="E4513" i="3" s="1"/>
  <c r="F4513" i="3" a="1"/>
  <c r="F4513" i="3" s="1"/>
  <c r="G4513" i="3" a="1"/>
  <c r="G4513" i="3" s="1"/>
  <c r="J4513" i="3" a="1"/>
  <c r="J4513" i="3" s="1"/>
  <c r="B4514" i="3" a="1"/>
  <c r="B4514" i="3" s="1"/>
  <c r="C4514" i="3" a="1"/>
  <c r="C4514" i="3" s="1"/>
  <c r="D4514" i="3" a="1"/>
  <c r="D4514" i="3" s="1"/>
  <c r="E4514" i="3" a="1"/>
  <c r="E4514" i="3" s="1"/>
  <c r="F4514" i="3" a="1"/>
  <c r="F4514" i="3" s="1"/>
  <c r="G4514" i="3" a="1"/>
  <c r="G4514" i="3" s="1"/>
  <c r="J4514" i="3" a="1"/>
  <c r="J4514" i="3" s="1"/>
  <c r="B4515" i="3" a="1"/>
  <c r="B4515" i="3" s="1"/>
  <c r="C4515" i="3" a="1"/>
  <c r="C4515" i="3" s="1"/>
  <c r="D4515" i="3" a="1"/>
  <c r="D4515" i="3" s="1"/>
  <c r="E4515" i="3" a="1"/>
  <c r="E4515" i="3" s="1"/>
  <c r="F4515" i="3" a="1"/>
  <c r="F4515" i="3" s="1"/>
  <c r="G4515" i="3" a="1"/>
  <c r="G4515" i="3" s="1"/>
  <c r="J4515" i="3" a="1"/>
  <c r="J4515" i="3" s="1"/>
  <c r="B4516" i="3" a="1"/>
  <c r="B4516" i="3" s="1"/>
  <c r="C4516" i="3" a="1"/>
  <c r="C4516" i="3" s="1"/>
  <c r="D4516" i="3" a="1"/>
  <c r="D4516" i="3" s="1"/>
  <c r="E4516" i="3" a="1"/>
  <c r="E4516" i="3" s="1"/>
  <c r="F4516" i="3" a="1"/>
  <c r="F4516" i="3" s="1"/>
  <c r="G4516" i="3" a="1"/>
  <c r="G4516" i="3" s="1"/>
  <c r="J4516" i="3" a="1"/>
  <c r="J4516" i="3" s="1"/>
  <c r="B4517" i="3" a="1"/>
  <c r="B4517" i="3" s="1"/>
  <c r="C4517" i="3" a="1"/>
  <c r="C4517" i="3" s="1"/>
  <c r="D4517" i="3" a="1"/>
  <c r="D4517" i="3" s="1"/>
  <c r="E4517" i="3" a="1"/>
  <c r="E4517" i="3" s="1"/>
  <c r="F4517" i="3" a="1"/>
  <c r="F4517" i="3" s="1"/>
  <c r="G4517" i="3" a="1"/>
  <c r="G4517" i="3" s="1"/>
  <c r="J4517" i="3" a="1"/>
  <c r="J4517" i="3" s="1"/>
  <c r="B4518" i="3" a="1"/>
  <c r="B4518" i="3" s="1"/>
  <c r="C4518" i="3" a="1"/>
  <c r="C4518" i="3" s="1"/>
  <c r="D4518" i="3" a="1"/>
  <c r="D4518" i="3" s="1"/>
  <c r="E4518" i="3" a="1"/>
  <c r="E4518" i="3" s="1"/>
  <c r="F4518" i="3" a="1"/>
  <c r="F4518" i="3" s="1"/>
  <c r="G4518" i="3" a="1"/>
  <c r="G4518" i="3" s="1"/>
  <c r="J4518" i="3" a="1"/>
  <c r="J4518" i="3" s="1"/>
  <c r="B4519" i="3" a="1"/>
  <c r="B4519" i="3" s="1"/>
  <c r="C4519" i="3" a="1"/>
  <c r="C4519" i="3" s="1"/>
  <c r="D4519" i="3" a="1"/>
  <c r="D4519" i="3" s="1"/>
  <c r="E4519" i="3" a="1"/>
  <c r="E4519" i="3" s="1"/>
  <c r="F4519" i="3" a="1"/>
  <c r="F4519" i="3" s="1"/>
  <c r="G4519" i="3" a="1"/>
  <c r="G4519" i="3" s="1"/>
  <c r="J4519" i="3" a="1"/>
  <c r="J4519" i="3" s="1"/>
  <c r="B4520" i="3" a="1"/>
  <c r="B4520" i="3" s="1"/>
  <c r="C4520" i="3" a="1"/>
  <c r="C4520" i="3" s="1"/>
  <c r="D4520" i="3" a="1"/>
  <c r="D4520" i="3" s="1"/>
  <c r="E4520" i="3" a="1"/>
  <c r="E4520" i="3" s="1"/>
  <c r="F4520" i="3" a="1"/>
  <c r="F4520" i="3" s="1"/>
  <c r="G4520" i="3" a="1"/>
  <c r="G4520" i="3" s="1"/>
  <c r="J4520" i="3" a="1"/>
  <c r="J4520" i="3" s="1"/>
  <c r="B4521" i="3" a="1"/>
  <c r="B4521" i="3" s="1"/>
  <c r="C4521" i="3" a="1"/>
  <c r="C4521" i="3" s="1"/>
  <c r="D4521" i="3" a="1"/>
  <c r="D4521" i="3" s="1"/>
  <c r="E4521" i="3" a="1"/>
  <c r="E4521" i="3" s="1"/>
  <c r="F4521" i="3" a="1"/>
  <c r="F4521" i="3" s="1"/>
  <c r="G4521" i="3" a="1"/>
  <c r="G4521" i="3" s="1"/>
  <c r="J4521" i="3" a="1"/>
  <c r="J4521" i="3" s="1"/>
  <c r="B4522" i="3" a="1"/>
  <c r="B4522" i="3" s="1"/>
  <c r="C4522" i="3" a="1"/>
  <c r="C4522" i="3" s="1"/>
  <c r="D4522" i="3" a="1"/>
  <c r="D4522" i="3" s="1"/>
  <c r="E4522" i="3" a="1"/>
  <c r="E4522" i="3" s="1"/>
  <c r="F4522" i="3" a="1"/>
  <c r="F4522" i="3" s="1"/>
  <c r="G4522" i="3" a="1"/>
  <c r="G4522" i="3" s="1"/>
  <c r="J4522" i="3" a="1"/>
  <c r="J4522" i="3" s="1"/>
  <c r="B4523" i="3" a="1"/>
  <c r="B4523" i="3" s="1"/>
  <c r="C4523" i="3" a="1"/>
  <c r="C4523" i="3" s="1"/>
  <c r="D4523" i="3" a="1"/>
  <c r="D4523" i="3" s="1"/>
  <c r="E4523" i="3" a="1"/>
  <c r="E4523" i="3" s="1"/>
  <c r="F4523" i="3" a="1"/>
  <c r="F4523" i="3" s="1"/>
  <c r="G4523" i="3" a="1"/>
  <c r="G4523" i="3" s="1"/>
  <c r="J4523" i="3" a="1"/>
  <c r="J4523" i="3" s="1"/>
  <c r="B4524" i="3" a="1"/>
  <c r="B4524" i="3" s="1"/>
  <c r="C4524" i="3" a="1"/>
  <c r="C4524" i="3" s="1"/>
  <c r="D4524" i="3" a="1"/>
  <c r="D4524" i="3" s="1"/>
  <c r="E4524" i="3" a="1"/>
  <c r="E4524" i="3" s="1"/>
  <c r="F4524" i="3" a="1"/>
  <c r="F4524" i="3" s="1"/>
  <c r="G4524" i="3" a="1"/>
  <c r="G4524" i="3" s="1"/>
  <c r="J4524" i="3" a="1"/>
  <c r="J4524" i="3" s="1"/>
  <c r="B4525" i="3" a="1"/>
  <c r="B4525" i="3" s="1"/>
  <c r="C4525" i="3" a="1"/>
  <c r="C4525" i="3" s="1"/>
  <c r="D4525" i="3" a="1"/>
  <c r="D4525" i="3" s="1"/>
  <c r="E4525" i="3" a="1"/>
  <c r="E4525" i="3" s="1"/>
  <c r="F4525" i="3" a="1"/>
  <c r="F4525" i="3" s="1"/>
  <c r="G4525" i="3" a="1"/>
  <c r="G4525" i="3" s="1"/>
  <c r="J4525" i="3" a="1"/>
  <c r="J4525" i="3" s="1"/>
  <c r="B4526" i="3" a="1"/>
  <c r="B4526" i="3" s="1"/>
  <c r="C4526" i="3" a="1"/>
  <c r="C4526" i="3" s="1"/>
  <c r="D4526" i="3" a="1"/>
  <c r="D4526" i="3" s="1"/>
  <c r="E4526" i="3" a="1"/>
  <c r="E4526" i="3" s="1"/>
  <c r="F4526" i="3" a="1"/>
  <c r="F4526" i="3" s="1"/>
  <c r="G4526" i="3" a="1"/>
  <c r="G4526" i="3" s="1"/>
  <c r="J4526" i="3" a="1"/>
  <c r="J4526" i="3" s="1"/>
  <c r="B4527" i="3" a="1"/>
  <c r="B4527" i="3" s="1"/>
  <c r="C4527" i="3" a="1"/>
  <c r="C4527" i="3" s="1"/>
  <c r="D4527" i="3" a="1"/>
  <c r="D4527" i="3" s="1"/>
  <c r="E4527" i="3" a="1"/>
  <c r="E4527" i="3" s="1"/>
  <c r="F4527" i="3" a="1"/>
  <c r="F4527" i="3" s="1"/>
  <c r="G4527" i="3" a="1"/>
  <c r="G4527" i="3" s="1"/>
  <c r="J4527" i="3" a="1"/>
  <c r="J4527" i="3" s="1"/>
  <c r="B4528" i="3" a="1"/>
  <c r="B4528" i="3" s="1"/>
  <c r="C4528" i="3" a="1"/>
  <c r="C4528" i="3" s="1"/>
  <c r="D4528" i="3" a="1"/>
  <c r="D4528" i="3" s="1"/>
  <c r="E4528" i="3" a="1"/>
  <c r="E4528" i="3" s="1"/>
  <c r="F4528" i="3" a="1"/>
  <c r="F4528" i="3" s="1"/>
  <c r="G4528" i="3" a="1"/>
  <c r="G4528" i="3" s="1"/>
  <c r="J4528" i="3" a="1"/>
  <c r="J4528" i="3" s="1"/>
  <c r="B4529" i="3" a="1"/>
  <c r="B4529" i="3" s="1"/>
  <c r="C4529" i="3" a="1"/>
  <c r="C4529" i="3" s="1"/>
  <c r="D4529" i="3" a="1"/>
  <c r="D4529" i="3" s="1"/>
  <c r="E4529" i="3" a="1"/>
  <c r="E4529" i="3" s="1"/>
  <c r="F4529" i="3" a="1"/>
  <c r="F4529" i="3" s="1"/>
  <c r="G4529" i="3" a="1"/>
  <c r="G4529" i="3" s="1"/>
  <c r="J4529" i="3" a="1"/>
  <c r="J4529" i="3" s="1"/>
  <c r="B4530" i="3" a="1"/>
  <c r="B4530" i="3" s="1"/>
  <c r="C4530" i="3" a="1"/>
  <c r="C4530" i="3" s="1"/>
  <c r="D4530" i="3" a="1"/>
  <c r="D4530" i="3" s="1"/>
  <c r="E4530" i="3" a="1"/>
  <c r="E4530" i="3" s="1"/>
  <c r="F4530" i="3" a="1"/>
  <c r="F4530" i="3" s="1"/>
  <c r="G4530" i="3" a="1"/>
  <c r="G4530" i="3" s="1"/>
  <c r="J4530" i="3" a="1"/>
  <c r="J4530" i="3" s="1"/>
  <c r="B4531" i="3" a="1"/>
  <c r="B4531" i="3" s="1"/>
  <c r="C4531" i="3" a="1"/>
  <c r="C4531" i="3" s="1"/>
  <c r="D4531" i="3" a="1"/>
  <c r="D4531" i="3" s="1"/>
  <c r="E4531" i="3" a="1"/>
  <c r="E4531" i="3" s="1"/>
  <c r="F4531" i="3" a="1"/>
  <c r="F4531" i="3" s="1"/>
  <c r="G4531" i="3" a="1"/>
  <c r="G4531" i="3" s="1"/>
  <c r="J4531" i="3" a="1"/>
  <c r="J4531" i="3" s="1"/>
  <c r="B4532" i="3" a="1"/>
  <c r="B4532" i="3" s="1"/>
  <c r="C4532" i="3" a="1"/>
  <c r="C4532" i="3" s="1"/>
  <c r="D4532" i="3" a="1"/>
  <c r="D4532" i="3" s="1"/>
  <c r="E4532" i="3" a="1"/>
  <c r="E4532" i="3" s="1"/>
  <c r="F4532" i="3" a="1"/>
  <c r="F4532" i="3" s="1"/>
  <c r="G4532" i="3" a="1"/>
  <c r="G4532" i="3" s="1"/>
  <c r="J4532" i="3" a="1"/>
  <c r="J4532" i="3" s="1"/>
  <c r="B4533" i="3" a="1"/>
  <c r="B4533" i="3" s="1"/>
  <c r="C4533" i="3" a="1"/>
  <c r="C4533" i="3" s="1"/>
  <c r="D4533" i="3" a="1"/>
  <c r="D4533" i="3" s="1"/>
  <c r="E4533" i="3" a="1"/>
  <c r="E4533" i="3" s="1"/>
  <c r="F4533" i="3" a="1"/>
  <c r="F4533" i="3" s="1"/>
  <c r="G4533" i="3" a="1"/>
  <c r="G4533" i="3" s="1"/>
  <c r="J4533" i="3" a="1"/>
  <c r="J4533" i="3" s="1"/>
  <c r="B4534" i="3" a="1"/>
  <c r="B4534" i="3" s="1"/>
  <c r="C4534" i="3" a="1"/>
  <c r="C4534" i="3" s="1"/>
  <c r="D4534" i="3" a="1"/>
  <c r="D4534" i="3" s="1"/>
  <c r="E4534" i="3" a="1"/>
  <c r="E4534" i="3" s="1"/>
  <c r="F4534" i="3" a="1"/>
  <c r="F4534" i="3" s="1"/>
  <c r="G4534" i="3" a="1"/>
  <c r="G4534" i="3" s="1"/>
  <c r="J4534" i="3" a="1"/>
  <c r="J4534" i="3" s="1"/>
  <c r="B4535" i="3" a="1"/>
  <c r="B4535" i="3" s="1"/>
  <c r="C4535" i="3" a="1"/>
  <c r="C4535" i="3" s="1"/>
  <c r="D4535" i="3" a="1"/>
  <c r="D4535" i="3" s="1"/>
  <c r="E4535" i="3" a="1"/>
  <c r="E4535" i="3" s="1"/>
  <c r="F4535" i="3" a="1"/>
  <c r="F4535" i="3" s="1"/>
  <c r="G4535" i="3" a="1"/>
  <c r="G4535" i="3" s="1"/>
  <c r="J4535" i="3" a="1"/>
  <c r="J4535" i="3" s="1"/>
  <c r="B4536" i="3" a="1"/>
  <c r="B4536" i="3" s="1"/>
  <c r="C4536" i="3" a="1"/>
  <c r="C4536" i="3" s="1"/>
  <c r="D4536" i="3" a="1"/>
  <c r="D4536" i="3" s="1"/>
  <c r="E4536" i="3" a="1"/>
  <c r="E4536" i="3" s="1"/>
  <c r="F4536" i="3" a="1"/>
  <c r="F4536" i="3" s="1"/>
  <c r="G4536" i="3" a="1"/>
  <c r="G4536" i="3" s="1"/>
  <c r="J4536" i="3" a="1"/>
  <c r="J4536" i="3" s="1"/>
  <c r="B4537" i="3" a="1"/>
  <c r="B4537" i="3" s="1"/>
  <c r="C4537" i="3" a="1"/>
  <c r="C4537" i="3" s="1"/>
  <c r="D4537" i="3" a="1"/>
  <c r="D4537" i="3" s="1"/>
  <c r="E4537" i="3" a="1"/>
  <c r="E4537" i="3" s="1"/>
  <c r="F4537" i="3" a="1"/>
  <c r="F4537" i="3" s="1"/>
  <c r="G4537" i="3" a="1"/>
  <c r="G4537" i="3" s="1"/>
  <c r="J4537" i="3" a="1"/>
  <c r="J4537" i="3" s="1"/>
  <c r="B4538" i="3" a="1"/>
  <c r="B4538" i="3" s="1"/>
  <c r="C4538" i="3" a="1"/>
  <c r="C4538" i="3" s="1"/>
  <c r="D4538" i="3" a="1"/>
  <c r="D4538" i="3" s="1"/>
  <c r="E4538" i="3" a="1"/>
  <c r="E4538" i="3" s="1"/>
  <c r="F4538" i="3" a="1"/>
  <c r="F4538" i="3" s="1"/>
  <c r="G4538" i="3" a="1"/>
  <c r="G4538" i="3" s="1"/>
  <c r="J4538" i="3" a="1"/>
  <c r="J4538" i="3" s="1"/>
  <c r="B4539" i="3" a="1"/>
  <c r="B4539" i="3" s="1"/>
  <c r="C4539" i="3" a="1"/>
  <c r="C4539" i="3" s="1"/>
  <c r="D4539" i="3" a="1"/>
  <c r="D4539" i="3" s="1"/>
  <c r="E4539" i="3" a="1"/>
  <c r="E4539" i="3" s="1"/>
  <c r="F4539" i="3" a="1"/>
  <c r="F4539" i="3" s="1"/>
  <c r="G4539" i="3" a="1"/>
  <c r="G4539" i="3" s="1"/>
  <c r="J4539" i="3" a="1"/>
  <c r="J4539" i="3" s="1"/>
  <c r="B4540" i="3" a="1"/>
  <c r="B4540" i="3" s="1"/>
  <c r="C4540" i="3" a="1"/>
  <c r="C4540" i="3" s="1"/>
  <c r="D4540" i="3" a="1"/>
  <c r="D4540" i="3" s="1"/>
  <c r="E4540" i="3" a="1"/>
  <c r="E4540" i="3" s="1"/>
  <c r="F4540" i="3" a="1"/>
  <c r="F4540" i="3" s="1"/>
  <c r="G4540" i="3" a="1"/>
  <c r="G4540" i="3" s="1"/>
  <c r="J4540" i="3" a="1"/>
  <c r="J4540" i="3" s="1"/>
  <c r="B4541" i="3" a="1"/>
  <c r="B4541" i="3" s="1"/>
  <c r="C4541" i="3" a="1"/>
  <c r="C4541" i="3" s="1"/>
  <c r="D4541" i="3" a="1"/>
  <c r="D4541" i="3" s="1"/>
  <c r="E4541" i="3" a="1"/>
  <c r="E4541" i="3" s="1"/>
  <c r="F4541" i="3" a="1"/>
  <c r="F4541" i="3" s="1"/>
  <c r="G4541" i="3" a="1"/>
  <c r="G4541" i="3" s="1"/>
  <c r="J4541" i="3" a="1"/>
  <c r="J4541" i="3" s="1"/>
  <c r="B4542" i="3" a="1"/>
  <c r="B4542" i="3" s="1"/>
  <c r="C4542" i="3" a="1"/>
  <c r="C4542" i="3" s="1"/>
  <c r="D4542" i="3" a="1"/>
  <c r="D4542" i="3" s="1"/>
  <c r="E4542" i="3" a="1"/>
  <c r="E4542" i="3" s="1"/>
  <c r="F4542" i="3" a="1"/>
  <c r="F4542" i="3" s="1"/>
  <c r="G4542" i="3" a="1"/>
  <c r="G4542" i="3" s="1"/>
  <c r="J4542" i="3" a="1"/>
  <c r="J4542" i="3" s="1"/>
  <c r="B4543" i="3" a="1"/>
  <c r="B4543" i="3" s="1"/>
  <c r="C4543" i="3" a="1"/>
  <c r="C4543" i="3" s="1"/>
  <c r="D4543" i="3" a="1"/>
  <c r="D4543" i="3" s="1"/>
  <c r="E4543" i="3" a="1"/>
  <c r="E4543" i="3" s="1"/>
  <c r="F4543" i="3" a="1"/>
  <c r="F4543" i="3" s="1"/>
  <c r="G4543" i="3" a="1"/>
  <c r="G4543" i="3" s="1"/>
  <c r="J4543" i="3" a="1"/>
  <c r="J4543" i="3" s="1"/>
  <c r="B4544" i="3" a="1"/>
  <c r="B4544" i="3" s="1"/>
  <c r="C4544" i="3" a="1"/>
  <c r="C4544" i="3" s="1"/>
  <c r="D4544" i="3" a="1"/>
  <c r="D4544" i="3" s="1"/>
  <c r="E4544" i="3" a="1"/>
  <c r="E4544" i="3" s="1"/>
  <c r="F4544" i="3" a="1"/>
  <c r="F4544" i="3" s="1"/>
  <c r="G4544" i="3" a="1"/>
  <c r="G4544" i="3" s="1"/>
  <c r="J4544" i="3" a="1"/>
  <c r="J4544" i="3" s="1"/>
  <c r="B4545" i="3" a="1"/>
  <c r="B4545" i="3" s="1"/>
  <c r="C4545" i="3" a="1"/>
  <c r="C4545" i="3" s="1"/>
  <c r="D4545" i="3" a="1"/>
  <c r="D4545" i="3" s="1"/>
  <c r="E4545" i="3" a="1"/>
  <c r="E4545" i="3" s="1"/>
  <c r="F4545" i="3" a="1"/>
  <c r="F4545" i="3" s="1"/>
  <c r="G4545" i="3" a="1"/>
  <c r="G4545" i="3" s="1"/>
  <c r="J4545" i="3" a="1"/>
  <c r="J4545" i="3" s="1"/>
  <c r="B4546" i="3" a="1"/>
  <c r="B4546" i="3" s="1"/>
  <c r="C4546" i="3" a="1"/>
  <c r="C4546" i="3" s="1"/>
  <c r="D4546" i="3" a="1"/>
  <c r="D4546" i="3" s="1"/>
  <c r="E4546" i="3" a="1"/>
  <c r="E4546" i="3" s="1"/>
  <c r="F4546" i="3" a="1"/>
  <c r="F4546" i="3" s="1"/>
  <c r="G4546" i="3" a="1"/>
  <c r="G4546" i="3" s="1"/>
  <c r="J4546" i="3" a="1"/>
  <c r="J4546" i="3" s="1"/>
  <c r="B4547" i="3" a="1"/>
  <c r="B4547" i="3" s="1"/>
  <c r="C4547" i="3" a="1"/>
  <c r="C4547" i="3" s="1"/>
  <c r="D4547" i="3" a="1"/>
  <c r="D4547" i="3" s="1"/>
  <c r="E4547" i="3" a="1"/>
  <c r="E4547" i="3" s="1"/>
  <c r="F4547" i="3" a="1"/>
  <c r="F4547" i="3" s="1"/>
  <c r="G4547" i="3" a="1"/>
  <c r="G4547" i="3" s="1"/>
  <c r="J4547" i="3" a="1"/>
  <c r="J4547" i="3" s="1"/>
  <c r="B4548" i="3" a="1"/>
  <c r="B4548" i="3" s="1"/>
  <c r="C4548" i="3" a="1"/>
  <c r="C4548" i="3" s="1"/>
  <c r="D4548" i="3" a="1"/>
  <c r="D4548" i="3" s="1"/>
  <c r="E4548" i="3" a="1"/>
  <c r="E4548" i="3" s="1"/>
  <c r="F4548" i="3" a="1"/>
  <c r="F4548" i="3" s="1"/>
  <c r="G4548" i="3" a="1"/>
  <c r="G4548" i="3" s="1"/>
  <c r="J4548" i="3" a="1"/>
  <c r="J4548" i="3" s="1"/>
  <c r="B4549" i="3" a="1"/>
  <c r="B4549" i="3" s="1"/>
  <c r="C4549" i="3" a="1"/>
  <c r="C4549" i="3" s="1"/>
  <c r="D4549" i="3" a="1"/>
  <c r="D4549" i="3" s="1"/>
  <c r="E4549" i="3" a="1"/>
  <c r="E4549" i="3" s="1"/>
  <c r="F4549" i="3" a="1"/>
  <c r="F4549" i="3" s="1"/>
  <c r="G4549" i="3" a="1"/>
  <c r="G4549" i="3" s="1"/>
  <c r="J4549" i="3" a="1"/>
  <c r="J4549" i="3" s="1"/>
  <c r="B4550" i="3" a="1"/>
  <c r="B4550" i="3" s="1"/>
  <c r="C4550" i="3" a="1"/>
  <c r="C4550" i="3" s="1"/>
  <c r="D4550" i="3" a="1"/>
  <c r="D4550" i="3" s="1"/>
  <c r="E4550" i="3" a="1"/>
  <c r="E4550" i="3" s="1"/>
  <c r="F4550" i="3" a="1"/>
  <c r="F4550" i="3" s="1"/>
  <c r="G4550" i="3" a="1"/>
  <c r="G4550" i="3" s="1"/>
  <c r="J4550" i="3" a="1"/>
  <c r="J4550" i="3" s="1"/>
  <c r="B4551" i="3" a="1"/>
  <c r="B4551" i="3" s="1"/>
  <c r="C4551" i="3" a="1"/>
  <c r="C4551" i="3" s="1"/>
  <c r="D4551" i="3" a="1"/>
  <c r="D4551" i="3" s="1"/>
  <c r="E4551" i="3" a="1"/>
  <c r="E4551" i="3" s="1"/>
  <c r="F4551" i="3" a="1"/>
  <c r="F4551" i="3" s="1"/>
  <c r="G4551" i="3" a="1"/>
  <c r="G4551" i="3" s="1"/>
  <c r="J4551" i="3" a="1"/>
  <c r="J4551" i="3" s="1"/>
  <c r="B4552" i="3" a="1"/>
  <c r="B4552" i="3" s="1"/>
  <c r="C4552" i="3" a="1"/>
  <c r="C4552" i="3" s="1"/>
  <c r="D4552" i="3" a="1"/>
  <c r="D4552" i="3" s="1"/>
  <c r="E4552" i="3" a="1"/>
  <c r="E4552" i="3" s="1"/>
  <c r="F4552" i="3" a="1"/>
  <c r="F4552" i="3" s="1"/>
  <c r="G4552" i="3" a="1"/>
  <c r="G4552" i="3" s="1"/>
  <c r="J4552" i="3" a="1"/>
  <c r="J4552" i="3" s="1"/>
  <c r="B4553" i="3" a="1"/>
  <c r="B4553" i="3" s="1"/>
  <c r="C4553" i="3" a="1"/>
  <c r="C4553" i="3" s="1"/>
  <c r="D4553" i="3" a="1"/>
  <c r="D4553" i="3" s="1"/>
  <c r="E4553" i="3" a="1"/>
  <c r="E4553" i="3" s="1"/>
  <c r="F4553" i="3" a="1"/>
  <c r="F4553" i="3" s="1"/>
  <c r="G4553" i="3" a="1"/>
  <c r="G4553" i="3" s="1"/>
  <c r="J4553" i="3" a="1"/>
  <c r="J4553" i="3" s="1"/>
  <c r="B4554" i="3" a="1"/>
  <c r="B4554" i="3" s="1"/>
  <c r="C4554" i="3" a="1"/>
  <c r="C4554" i="3" s="1"/>
  <c r="D4554" i="3" a="1"/>
  <c r="D4554" i="3" s="1"/>
  <c r="E4554" i="3" a="1"/>
  <c r="E4554" i="3" s="1"/>
  <c r="F4554" i="3" a="1"/>
  <c r="F4554" i="3" s="1"/>
  <c r="G4554" i="3" a="1"/>
  <c r="G4554" i="3" s="1"/>
  <c r="J4554" i="3" a="1"/>
  <c r="J4554" i="3" s="1"/>
  <c r="B4555" i="3" a="1"/>
  <c r="B4555" i="3" s="1"/>
  <c r="C4555" i="3" a="1"/>
  <c r="C4555" i="3" s="1"/>
  <c r="D4555" i="3" a="1"/>
  <c r="D4555" i="3" s="1"/>
  <c r="E4555" i="3" a="1"/>
  <c r="E4555" i="3" s="1"/>
  <c r="F4555" i="3" a="1"/>
  <c r="F4555" i="3" s="1"/>
  <c r="G4555" i="3" a="1"/>
  <c r="G4555" i="3" s="1"/>
  <c r="J4555" i="3" a="1"/>
  <c r="J4555" i="3" s="1"/>
  <c r="B4556" i="3" a="1"/>
  <c r="B4556" i="3" s="1"/>
  <c r="C4556" i="3" a="1"/>
  <c r="C4556" i="3" s="1"/>
  <c r="D4556" i="3" a="1"/>
  <c r="D4556" i="3" s="1"/>
  <c r="E4556" i="3" a="1"/>
  <c r="E4556" i="3" s="1"/>
  <c r="F4556" i="3" a="1"/>
  <c r="F4556" i="3" s="1"/>
  <c r="G4556" i="3" a="1"/>
  <c r="G4556" i="3" s="1"/>
  <c r="J4556" i="3" a="1"/>
  <c r="J4556" i="3" s="1"/>
  <c r="B4557" i="3" a="1"/>
  <c r="B4557" i="3" s="1"/>
  <c r="C4557" i="3" a="1"/>
  <c r="C4557" i="3" s="1"/>
  <c r="D4557" i="3" a="1"/>
  <c r="D4557" i="3" s="1"/>
  <c r="E4557" i="3" a="1"/>
  <c r="E4557" i="3" s="1"/>
  <c r="F4557" i="3" a="1"/>
  <c r="F4557" i="3" s="1"/>
  <c r="G4557" i="3" a="1"/>
  <c r="G4557" i="3" s="1"/>
  <c r="J4557" i="3" a="1"/>
  <c r="J4557" i="3" s="1"/>
  <c r="B4558" i="3" a="1"/>
  <c r="B4558" i="3" s="1"/>
  <c r="C4558" i="3" a="1"/>
  <c r="C4558" i="3" s="1"/>
  <c r="D4558" i="3" a="1"/>
  <c r="D4558" i="3" s="1"/>
  <c r="E4558" i="3" a="1"/>
  <c r="E4558" i="3" s="1"/>
  <c r="F4558" i="3" a="1"/>
  <c r="F4558" i="3" s="1"/>
  <c r="G4558" i="3" a="1"/>
  <c r="G4558" i="3" s="1"/>
  <c r="J4558" i="3" a="1"/>
  <c r="J4558" i="3" s="1"/>
  <c r="B4559" i="3" a="1"/>
  <c r="B4559" i="3" s="1"/>
  <c r="C4559" i="3" a="1"/>
  <c r="C4559" i="3" s="1"/>
  <c r="D4559" i="3" a="1"/>
  <c r="D4559" i="3" s="1"/>
  <c r="E4559" i="3" a="1"/>
  <c r="E4559" i="3" s="1"/>
  <c r="F4559" i="3" a="1"/>
  <c r="F4559" i="3" s="1"/>
  <c r="G4559" i="3" a="1"/>
  <c r="G4559" i="3" s="1"/>
  <c r="J4559" i="3" a="1"/>
  <c r="J4559" i="3" s="1"/>
  <c r="B4560" i="3" a="1"/>
  <c r="B4560" i="3" s="1"/>
  <c r="C4560" i="3" a="1"/>
  <c r="C4560" i="3" s="1"/>
  <c r="D4560" i="3" a="1"/>
  <c r="D4560" i="3" s="1"/>
  <c r="E4560" i="3" a="1"/>
  <c r="E4560" i="3" s="1"/>
  <c r="F4560" i="3" a="1"/>
  <c r="F4560" i="3" s="1"/>
  <c r="G4560" i="3" a="1"/>
  <c r="G4560" i="3" s="1"/>
  <c r="J4560" i="3" a="1"/>
  <c r="J4560" i="3" s="1"/>
  <c r="B4561" i="3" a="1"/>
  <c r="B4561" i="3" s="1"/>
  <c r="C4561" i="3" a="1"/>
  <c r="C4561" i="3" s="1"/>
  <c r="D4561" i="3" a="1"/>
  <c r="D4561" i="3" s="1"/>
  <c r="E4561" i="3" a="1"/>
  <c r="E4561" i="3" s="1"/>
  <c r="F4561" i="3" a="1"/>
  <c r="F4561" i="3" s="1"/>
  <c r="G4561" i="3" a="1"/>
  <c r="G4561" i="3" s="1"/>
  <c r="J4561" i="3" a="1"/>
  <c r="J4561" i="3" s="1"/>
  <c r="B4562" i="3" a="1"/>
  <c r="B4562" i="3" s="1"/>
  <c r="C4562" i="3" a="1"/>
  <c r="C4562" i="3" s="1"/>
  <c r="D4562" i="3" a="1"/>
  <c r="D4562" i="3" s="1"/>
  <c r="E4562" i="3" a="1"/>
  <c r="E4562" i="3" s="1"/>
  <c r="F4562" i="3" a="1"/>
  <c r="F4562" i="3" s="1"/>
  <c r="G4562" i="3" a="1"/>
  <c r="G4562" i="3" s="1"/>
  <c r="J4562" i="3" a="1"/>
  <c r="J4562" i="3" s="1"/>
  <c r="B4563" i="3" a="1"/>
  <c r="B4563" i="3" s="1"/>
  <c r="C4563" i="3" a="1"/>
  <c r="C4563" i="3" s="1"/>
  <c r="D4563" i="3" a="1"/>
  <c r="D4563" i="3" s="1"/>
  <c r="E4563" i="3" a="1"/>
  <c r="E4563" i="3" s="1"/>
  <c r="F4563" i="3" a="1"/>
  <c r="F4563" i="3" s="1"/>
  <c r="G4563" i="3" a="1"/>
  <c r="G4563" i="3" s="1"/>
  <c r="J4563" i="3" a="1"/>
  <c r="J4563" i="3" s="1"/>
  <c r="B4564" i="3" a="1"/>
  <c r="B4564" i="3" s="1"/>
  <c r="C4564" i="3" a="1"/>
  <c r="C4564" i="3" s="1"/>
  <c r="D4564" i="3" a="1"/>
  <c r="D4564" i="3" s="1"/>
  <c r="E4564" i="3" a="1"/>
  <c r="E4564" i="3" s="1"/>
  <c r="F4564" i="3" a="1"/>
  <c r="F4564" i="3" s="1"/>
  <c r="G4564" i="3" a="1"/>
  <c r="G4564" i="3" s="1"/>
  <c r="J4564" i="3" a="1"/>
  <c r="J4564" i="3" s="1"/>
  <c r="B4565" i="3" a="1"/>
  <c r="B4565" i="3" s="1"/>
  <c r="C4565" i="3" a="1"/>
  <c r="C4565" i="3" s="1"/>
  <c r="D4565" i="3" a="1"/>
  <c r="D4565" i="3" s="1"/>
  <c r="E4565" i="3" a="1"/>
  <c r="E4565" i="3" s="1"/>
  <c r="F4565" i="3" a="1"/>
  <c r="F4565" i="3" s="1"/>
  <c r="G4565" i="3" a="1"/>
  <c r="G4565" i="3" s="1"/>
  <c r="J4565" i="3" a="1"/>
  <c r="J4565" i="3" s="1"/>
  <c r="B4566" i="3" a="1"/>
  <c r="B4566" i="3" s="1"/>
  <c r="C4566" i="3" a="1"/>
  <c r="C4566" i="3" s="1"/>
  <c r="D4566" i="3" a="1"/>
  <c r="D4566" i="3" s="1"/>
  <c r="E4566" i="3" a="1"/>
  <c r="E4566" i="3" s="1"/>
  <c r="F4566" i="3" a="1"/>
  <c r="F4566" i="3" s="1"/>
  <c r="G4566" i="3" a="1"/>
  <c r="G4566" i="3" s="1"/>
  <c r="J4566" i="3" a="1"/>
  <c r="J4566" i="3" s="1"/>
  <c r="B4567" i="3" a="1"/>
  <c r="B4567" i="3" s="1"/>
  <c r="C4567" i="3" a="1"/>
  <c r="C4567" i="3" s="1"/>
  <c r="D4567" i="3" a="1"/>
  <c r="D4567" i="3" s="1"/>
  <c r="E4567" i="3" a="1"/>
  <c r="E4567" i="3" s="1"/>
  <c r="F4567" i="3" a="1"/>
  <c r="F4567" i="3" s="1"/>
  <c r="G4567" i="3" a="1"/>
  <c r="G4567" i="3" s="1"/>
  <c r="J4567" i="3" a="1"/>
  <c r="J4567" i="3" s="1"/>
  <c r="B4568" i="3" a="1"/>
  <c r="B4568" i="3" s="1"/>
  <c r="C4568" i="3" a="1"/>
  <c r="C4568" i="3" s="1"/>
  <c r="D4568" i="3" a="1"/>
  <c r="D4568" i="3" s="1"/>
  <c r="E4568" i="3" a="1"/>
  <c r="E4568" i="3" s="1"/>
  <c r="F4568" i="3" a="1"/>
  <c r="F4568" i="3" s="1"/>
  <c r="G4568" i="3" a="1"/>
  <c r="G4568" i="3" s="1"/>
  <c r="J4568" i="3" a="1"/>
  <c r="J4568" i="3" s="1"/>
  <c r="B4569" i="3" a="1"/>
  <c r="B4569" i="3" s="1"/>
  <c r="C4569" i="3" a="1"/>
  <c r="C4569" i="3" s="1"/>
  <c r="D4569" i="3" a="1"/>
  <c r="D4569" i="3" s="1"/>
  <c r="E4569" i="3" a="1"/>
  <c r="E4569" i="3" s="1"/>
  <c r="F4569" i="3" a="1"/>
  <c r="F4569" i="3" s="1"/>
  <c r="G4569" i="3" a="1"/>
  <c r="G4569" i="3" s="1"/>
  <c r="J4569" i="3" a="1"/>
  <c r="J4569" i="3" s="1"/>
  <c r="B4570" i="3" a="1"/>
  <c r="B4570" i="3" s="1"/>
  <c r="C4570" i="3" a="1"/>
  <c r="C4570" i="3" s="1"/>
  <c r="D4570" i="3" a="1"/>
  <c r="D4570" i="3" s="1"/>
  <c r="E4570" i="3" a="1"/>
  <c r="E4570" i="3" s="1"/>
  <c r="F4570" i="3" a="1"/>
  <c r="F4570" i="3" s="1"/>
  <c r="G4570" i="3" a="1"/>
  <c r="G4570" i="3" s="1"/>
  <c r="J4570" i="3" a="1"/>
  <c r="J4570" i="3" s="1"/>
  <c r="B4571" i="3" a="1"/>
  <c r="B4571" i="3" s="1"/>
  <c r="C4571" i="3" a="1"/>
  <c r="C4571" i="3" s="1"/>
  <c r="D4571" i="3" a="1"/>
  <c r="D4571" i="3" s="1"/>
  <c r="E4571" i="3" a="1"/>
  <c r="E4571" i="3" s="1"/>
  <c r="F4571" i="3" a="1"/>
  <c r="F4571" i="3" s="1"/>
  <c r="G4571" i="3" a="1"/>
  <c r="G4571" i="3" s="1"/>
  <c r="J4571" i="3" a="1"/>
  <c r="J4571" i="3" s="1"/>
  <c r="B4572" i="3" a="1"/>
  <c r="B4572" i="3" s="1"/>
  <c r="C4572" i="3" a="1"/>
  <c r="C4572" i="3" s="1"/>
  <c r="D4572" i="3" a="1"/>
  <c r="D4572" i="3" s="1"/>
  <c r="E4572" i="3" a="1"/>
  <c r="E4572" i="3" s="1"/>
  <c r="F4572" i="3" a="1"/>
  <c r="F4572" i="3" s="1"/>
  <c r="G4572" i="3" a="1"/>
  <c r="G4572" i="3" s="1"/>
  <c r="J4572" i="3" a="1"/>
  <c r="J4572" i="3" s="1"/>
  <c r="B4573" i="3" a="1"/>
  <c r="B4573" i="3" s="1"/>
  <c r="C4573" i="3" a="1"/>
  <c r="C4573" i="3" s="1"/>
  <c r="D4573" i="3" a="1"/>
  <c r="D4573" i="3" s="1"/>
  <c r="E4573" i="3" a="1"/>
  <c r="E4573" i="3" s="1"/>
  <c r="F4573" i="3" a="1"/>
  <c r="F4573" i="3" s="1"/>
  <c r="G4573" i="3" a="1"/>
  <c r="G4573" i="3" s="1"/>
  <c r="J4573" i="3" a="1"/>
  <c r="J4573" i="3" s="1"/>
  <c r="B4574" i="3" a="1"/>
  <c r="B4574" i="3" s="1"/>
  <c r="C4574" i="3" a="1"/>
  <c r="C4574" i="3" s="1"/>
  <c r="D4574" i="3" a="1"/>
  <c r="D4574" i="3" s="1"/>
  <c r="E4574" i="3" a="1"/>
  <c r="E4574" i="3" s="1"/>
  <c r="F4574" i="3" a="1"/>
  <c r="F4574" i="3" s="1"/>
  <c r="G4574" i="3" a="1"/>
  <c r="G4574" i="3" s="1"/>
  <c r="J4574" i="3" a="1"/>
  <c r="J4574" i="3" s="1"/>
  <c r="B4575" i="3" a="1"/>
  <c r="B4575" i="3" s="1"/>
  <c r="C4575" i="3" a="1"/>
  <c r="C4575" i="3" s="1"/>
  <c r="D4575" i="3" a="1"/>
  <c r="D4575" i="3" s="1"/>
  <c r="E4575" i="3" a="1"/>
  <c r="E4575" i="3" s="1"/>
  <c r="F4575" i="3" a="1"/>
  <c r="F4575" i="3" s="1"/>
  <c r="G4575" i="3" a="1"/>
  <c r="G4575" i="3" s="1"/>
  <c r="J4575" i="3" a="1"/>
  <c r="J4575" i="3" s="1"/>
  <c r="B4576" i="3" a="1"/>
  <c r="B4576" i="3" s="1"/>
  <c r="C4576" i="3" a="1"/>
  <c r="C4576" i="3" s="1"/>
  <c r="D4576" i="3" a="1"/>
  <c r="D4576" i="3" s="1"/>
  <c r="E4576" i="3" a="1"/>
  <c r="E4576" i="3" s="1"/>
  <c r="F4576" i="3" a="1"/>
  <c r="F4576" i="3" s="1"/>
  <c r="G4576" i="3" a="1"/>
  <c r="G4576" i="3" s="1"/>
  <c r="J4576" i="3" a="1"/>
  <c r="J4576" i="3" s="1"/>
  <c r="B4577" i="3" a="1"/>
  <c r="B4577" i="3" s="1"/>
  <c r="C4577" i="3" a="1"/>
  <c r="C4577" i="3" s="1"/>
  <c r="D4577" i="3" a="1"/>
  <c r="D4577" i="3" s="1"/>
  <c r="E4577" i="3" a="1"/>
  <c r="E4577" i="3" s="1"/>
  <c r="F4577" i="3" a="1"/>
  <c r="F4577" i="3" s="1"/>
  <c r="G4577" i="3" a="1"/>
  <c r="G4577" i="3" s="1"/>
  <c r="J4577" i="3" a="1"/>
  <c r="J4577" i="3" s="1"/>
  <c r="B4578" i="3" a="1"/>
  <c r="B4578" i="3" s="1"/>
  <c r="C4578" i="3" a="1"/>
  <c r="C4578" i="3" s="1"/>
  <c r="D4578" i="3" a="1"/>
  <c r="D4578" i="3" s="1"/>
  <c r="E4578" i="3" a="1"/>
  <c r="E4578" i="3" s="1"/>
  <c r="F4578" i="3" a="1"/>
  <c r="F4578" i="3" s="1"/>
  <c r="G4578" i="3" a="1"/>
  <c r="G4578" i="3" s="1"/>
  <c r="J4578" i="3" a="1"/>
  <c r="J4578" i="3" s="1"/>
  <c r="B4579" i="3" a="1"/>
  <c r="B4579" i="3" s="1"/>
  <c r="C4579" i="3" a="1"/>
  <c r="C4579" i="3" s="1"/>
  <c r="D4579" i="3" a="1"/>
  <c r="D4579" i="3" s="1"/>
  <c r="E4579" i="3" a="1"/>
  <c r="E4579" i="3" s="1"/>
  <c r="F4579" i="3" a="1"/>
  <c r="F4579" i="3" s="1"/>
  <c r="G4579" i="3" a="1"/>
  <c r="G4579" i="3" s="1"/>
  <c r="J4579" i="3" a="1"/>
  <c r="J4579" i="3" s="1"/>
  <c r="B4580" i="3" a="1"/>
  <c r="B4580" i="3" s="1"/>
  <c r="C4580" i="3" a="1"/>
  <c r="C4580" i="3" s="1"/>
  <c r="D4580" i="3" a="1"/>
  <c r="D4580" i="3" s="1"/>
  <c r="E4580" i="3" a="1"/>
  <c r="E4580" i="3" s="1"/>
  <c r="F4580" i="3" a="1"/>
  <c r="F4580" i="3" s="1"/>
  <c r="G4580" i="3" a="1"/>
  <c r="G4580" i="3" s="1"/>
  <c r="J4580" i="3" a="1"/>
  <c r="J4580" i="3" s="1"/>
  <c r="B4581" i="3" a="1"/>
  <c r="B4581" i="3" s="1"/>
  <c r="C4581" i="3" a="1"/>
  <c r="C4581" i="3" s="1"/>
  <c r="D4581" i="3" a="1"/>
  <c r="D4581" i="3" s="1"/>
  <c r="E4581" i="3" a="1"/>
  <c r="E4581" i="3" s="1"/>
  <c r="F4581" i="3" a="1"/>
  <c r="F4581" i="3" s="1"/>
  <c r="G4581" i="3" a="1"/>
  <c r="G4581" i="3" s="1"/>
  <c r="J4581" i="3" a="1"/>
  <c r="J4581" i="3" s="1"/>
  <c r="B4582" i="3" a="1"/>
  <c r="B4582" i="3" s="1"/>
  <c r="C4582" i="3" a="1"/>
  <c r="C4582" i="3" s="1"/>
  <c r="D4582" i="3" a="1"/>
  <c r="D4582" i="3" s="1"/>
  <c r="E4582" i="3" a="1"/>
  <c r="E4582" i="3" s="1"/>
  <c r="F4582" i="3" a="1"/>
  <c r="F4582" i="3" s="1"/>
  <c r="G4582" i="3" a="1"/>
  <c r="G4582" i="3" s="1"/>
  <c r="J4582" i="3" a="1"/>
  <c r="J4582" i="3" s="1"/>
  <c r="B4583" i="3" a="1"/>
  <c r="B4583" i="3" s="1"/>
  <c r="C4583" i="3" a="1"/>
  <c r="C4583" i="3" s="1"/>
  <c r="D4583" i="3" a="1"/>
  <c r="D4583" i="3" s="1"/>
  <c r="E4583" i="3" a="1"/>
  <c r="E4583" i="3" s="1"/>
  <c r="F4583" i="3" a="1"/>
  <c r="F4583" i="3" s="1"/>
  <c r="G4583" i="3" a="1"/>
  <c r="G4583" i="3" s="1"/>
  <c r="J4583" i="3" a="1"/>
  <c r="J4583" i="3" s="1"/>
  <c r="B4584" i="3" a="1"/>
  <c r="B4584" i="3" s="1"/>
  <c r="C4584" i="3" a="1"/>
  <c r="C4584" i="3" s="1"/>
  <c r="D4584" i="3" a="1"/>
  <c r="D4584" i="3" s="1"/>
  <c r="E4584" i="3" a="1"/>
  <c r="E4584" i="3" s="1"/>
  <c r="F4584" i="3" a="1"/>
  <c r="F4584" i="3" s="1"/>
  <c r="G4584" i="3" a="1"/>
  <c r="G4584" i="3" s="1"/>
  <c r="J4584" i="3" a="1"/>
  <c r="J4584" i="3" s="1"/>
  <c r="B4585" i="3" a="1"/>
  <c r="B4585" i="3" s="1"/>
  <c r="C4585" i="3" a="1"/>
  <c r="C4585" i="3" s="1"/>
  <c r="D4585" i="3" a="1"/>
  <c r="D4585" i="3" s="1"/>
  <c r="E4585" i="3" a="1"/>
  <c r="E4585" i="3" s="1"/>
  <c r="F4585" i="3" a="1"/>
  <c r="F4585" i="3" s="1"/>
  <c r="G4585" i="3" a="1"/>
  <c r="G4585" i="3" s="1"/>
  <c r="J4585" i="3" a="1"/>
  <c r="J4585" i="3" s="1"/>
  <c r="B4586" i="3" a="1"/>
  <c r="B4586" i="3" s="1"/>
  <c r="C4586" i="3" a="1"/>
  <c r="C4586" i="3" s="1"/>
  <c r="D4586" i="3" a="1"/>
  <c r="D4586" i="3" s="1"/>
  <c r="E4586" i="3" a="1"/>
  <c r="E4586" i="3" s="1"/>
  <c r="F4586" i="3" a="1"/>
  <c r="F4586" i="3" s="1"/>
  <c r="G4586" i="3" a="1"/>
  <c r="G4586" i="3" s="1"/>
  <c r="J4586" i="3" a="1"/>
  <c r="J4586" i="3" s="1"/>
  <c r="B4587" i="3" a="1"/>
  <c r="B4587" i="3" s="1"/>
  <c r="C4587" i="3" a="1"/>
  <c r="C4587" i="3" s="1"/>
  <c r="D4587" i="3" a="1"/>
  <c r="D4587" i="3" s="1"/>
  <c r="E4587" i="3" a="1"/>
  <c r="E4587" i="3" s="1"/>
  <c r="F4587" i="3" a="1"/>
  <c r="F4587" i="3" s="1"/>
  <c r="G4587" i="3" a="1"/>
  <c r="G4587" i="3" s="1"/>
  <c r="J4587" i="3" a="1"/>
  <c r="J4587" i="3" s="1"/>
  <c r="B4588" i="3" a="1"/>
  <c r="B4588" i="3" s="1"/>
  <c r="C4588" i="3" a="1"/>
  <c r="C4588" i="3" s="1"/>
  <c r="D4588" i="3" a="1"/>
  <c r="D4588" i="3" s="1"/>
  <c r="E4588" i="3" a="1"/>
  <c r="E4588" i="3" s="1"/>
  <c r="F4588" i="3" a="1"/>
  <c r="F4588" i="3" s="1"/>
  <c r="G4588" i="3" a="1"/>
  <c r="G4588" i="3" s="1"/>
  <c r="J4588" i="3" a="1"/>
  <c r="J4588" i="3" s="1"/>
  <c r="B4589" i="3" a="1"/>
  <c r="B4589" i="3" s="1"/>
  <c r="C4589" i="3" a="1"/>
  <c r="C4589" i="3" s="1"/>
  <c r="D4589" i="3" a="1"/>
  <c r="D4589" i="3" s="1"/>
  <c r="E4589" i="3" a="1"/>
  <c r="E4589" i="3" s="1"/>
  <c r="F4589" i="3" a="1"/>
  <c r="F4589" i="3" s="1"/>
  <c r="G4589" i="3" a="1"/>
  <c r="G4589" i="3" s="1"/>
  <c r="J4589" i="3" a="1"/>
  <c r="J4589" i="3" s="1"/>
  <c r="B4590" i="3" a="1"/>
  <c r="B4590" i="3" s="1"/>
  <c r="C4590" i="3" a="1"/>
  <c r="C4590" i="3" s="1"/>
  <c r="D4590" i="3" a="1"/>
  <c r="D4590" i="3" s="1"/>
  <c r="E4590" i="3" a="1"/>
  <c r="E4590" i="3" s="1"/>
  <c r="F4590" i="3" a="1"/>
  <c r="F4590" i="3" s="1"/>
  <c r="G4590" i="3" a="1"/>
  <c r="G4590" i="3" s="1"/>
  <c r="J4590" i="3" a="1"/>
  <c r="J4590" i="3" s="1"/>
  <c r="B4591" i="3" a="1"/>
  <c r="B4591" i="3" s="1"/>
  <c r="C4591" i="3" a="1"/>
  <c r="C4591" i="3" s="1"/>
  <c r="D4591" i="3" a="1"/>
  <c r="D4591" i="3" s="1"/>
  <c r="E4591" i="3" a="1"/>
  <c r="E4591" i="3" s="1"/>
  <c r="F4591" i="3" a="1"/>
  <c r="F4591" i="3" s="1"/>
  <c r="G4591" i="3" a="1"/>
  <c r="G4591" i="3" s="1"/>
  <c r="J4591" i="3" a="1"/>
  <c r="J4591" i="3" s="1"/>
  <c r="B4592" i="3" a="1"/>
  <c r="B4592" i="3" s="1"/>
  <c r="C4592" i="3" a="1"/>
  <c r="C4592" i="3" s="1"/>
  <c r="D4592" i="3" a="1"/>
  <c r="D4592" i="3" s="1"/>
  <c r="E4592" i="3" a="1"/>
  <c r="E4592" i="3" s="1"/>
  <c r="F4592" i="3" a="1"/>
  <c r="F4592" i="3" s="1"/>
  <c r="G4592" i="3" a="1"/>
  <c r="G4592" i="3" s="1"/>
  <c r="J4592" i="3" a="1"/>
  <c r="J4592" i="3" s="1"/>
  <c r="B4593" i="3" a="1"/>
  <c r="B4593" i="3" s="1"/>
  <c r="C4593" i="3" a="1"/>
  <c r="C4593" i="3" s="1"/>
  <c r="D4593" i="3" a="1"/>
  <c r="D4593" i="3" s="1"/>
  <c r="E4593" i="3" a="1"/>
  <c r="E4593" i="3" s="1"/>
  <c r="F4593" i="3" a="1"/>
  <c r="F4593" i="3" s="1"/>
  <c r="G4593" i="3" a="1"/>
  <c r="G4593" i="3" s="1"/>
  <c r="J4593" i="3" a="1"/>
  <c r="J4593" i="3" s="1"/>
  <c r="B4594" i="3" a="1"/>
  <c r="B4594" i="3" s="1"/>
  <c r="C4594" i="3" a="1"/>
  <c r="C4594" i="3" s="1"/>
  <c r="D4594" i="3" a="1"/>
  <c r="D4594" i="3" s="1"/>
  <c r="E4594" i="3" a="1"/>
  <c r="E4594" i="3" s="1"/>
  <c r="F4594" i="3" a="1"/>
  <c r="F4594" i="3" s="1"/>
  <c r="G4594" i="3" a="1"/>
  <c r="G4594" i="3" s="1"/>
  <c r="J4594" i="3" a="1"/>
  <c r="J4594" i="3" s="1"/>
  <c r="B4595" i="3" a="1"/>
  <c r="B4595" i="3" s="1"/>
  <c r="C4595" i="3" a="1"/>
  <c r="C4595" i="3" s="1"/>
  <c r="D4595" i="3" a="1"/>
  <c r="D4595" i="3" s="1"/>
  <c r="E4595" i="3" a="1"/>
  <c r="E4595" i="3" s="1"/>
  <c r="F4595" i="3" a="1"/>
  <c r="F4595" i="3" s="1"/>
  <c r="G4595" i="3" a="1"/>
  <c r="G4595" i="3" s="1"/>
  <c r="J4595" i="3" a="1"/>
  <c r="J4595" i="3" s="1"/>
  <c r="B4596" i="3" a="1"/>
  <c r="B4596" i="3" s="1"/>
  <c r="C4596" i="3" a="1"/>
  <c r="C4596" i="3" s="1"/>
  <c r="D4596" i="3" a="1"/>
  <c r="D4596" i="3" s="1"/>
  <c r="E4596" i="3" a="1"/>
  <c r="E4596" i="3" s="1"/>
  <c r="F4596" i="3" a="1"/>
  <c r="F4596" i="3" s="1"/>
  <c r="G4596" i="3" a="1"/>
  <c r="G4596" i="3" s="1"/>
  <c r="J4596" i="3" a="1"/>
  <c r="J4596" i="3" s="1"/>
  <c r="B4597" i="3" a="1"/>
  <c r="B4597" i="3" s="1"/>
  <c r="C4597" i="3" a="1"/>
  <c r="C4597" i="3" s="1"/>
  <c r="D4597" i="3" a="1"/>
  <c r="D4597" i="3" s="1"/>
  <c r="E4597" i="3" a="1"/>
  <c r="E4597" i="3" s="1"/>
  <c r="F4597" i="3" a="1"/>
  <c r="F4597" i="3" s="1"/>
  <c r="G4597" i="3" a="1"/>
  <c r="G4597" i="3" s="1"/>
  <c r="J4597" i="3" a="1"/>
  <c r="J4597" i="3" s="1"/>
  <c r="B4598" i="3" a="1"/>
  <c r="B4598" i="3" s="1"/>
  <c r="C4598" i="3" a="1"/>
  <c r="C4598" i="3" s="1"/>
  <c r="D4598" i="3" a="1"/>
  <c r="D4598" i="3" s="1"/>
  <c r="E4598" i="3" a="1"/>
  <c r="E4598" i="3" s="1"/>
  <c r="F4598" i="3" a="1"/>
  <c r="F4598" i="3" s="1"/>
  <c r="G4598" i="3" a="1"/>
  <c r="G4598" i="3" s="1"/>
  <c r="J4598" i="3" a="1"/>
  <c r="J4598" i="3" s="1"/>
  <c r="B4599" i="3" a="1"/>
  <c r="B4599" i="3" s="1"/>
  <c r="C4599" i="3" a="1"/>
  <c r="C4599" i="3" s="1"/>
  <c r="D4599" i="3" a="1"/>
  <c r="D4599" i="3" s="1"/>
  <c r="E4599" i="3" a="1"/>
  <c r="E4599" i="3" s="1"/>
  <c r="F4599" i="3" a="1"/>
  <c r="F4599" i="3" s="1"/>
  <c r="G4599" i="3" a="1"/>
  <c r="G4599" i="3" s="1"/>
  <c r="J4599" i="3" a="1"/>
  <c r="J4599" i="3" s="1"/>
  <c r="B4600" i="3" a="1"/>
  <c r="B4600" i="3" s="1"/>
  <c r="C4600" i="3" a="1"/>
  <c r="C4600" i="3" s="1"/>
  <c r="D4600" i="3" a="1"/>
  <c r="D4600" i="3" s="1"/>
  <c r="E4600" i="3" a="1"/>
  <c r="E4600" i="3" s="1"/>
  <c r="F4600" i="3" a="1"/>
  <c r="F4600" i="3" s="1"/>
  <c r="G4600" i="3" a="1"/>
  <c r="G4600" i="3" s="1"/>
  <c r="J4600" i="3" a="1"/>
  <c r="J4600" i="3" s="1"/>
  <c r="B4601" i="3" a="1"/>
  <c r="B4601" i="3" s="1"/>
  <c r="C4601" i="3" a="1"/>
  <c r="C4601" i="3" s="1"/>
  <c r="D4601" i="3" a="1"/>
  <c r="D4601" i="3" s="1"/>
  <c r="E4601" i="3" a="1"/>
  <c r="E4601" i="3" s="1"/>
  <c r="F4601" i="3" a="1"/>
  <c r="F4601" i="3" s="1"/>
  <c r="G4601" i="3" a="1"/>
  <c r="G4601" i="3" s="1"/>
  <c r="J4601" i="3" a="1"/>
  <c r="J4601" i="3" s="1"/>
  <c r="B4602" i="3" a="1"/>
  <c r="B4602" i="3" s="1"/>
  <c r="C4602" i="3" a="1"/>
  <c r="C4602" i="3" s="1"/>
  <c r="D4602" i="3" a="1"/>
  <c r="D4602" i="3" s="1"/>
  <c r="E4602" i="3" a="1"/>
  <c r="E4602" i="3" s="1"/>
  <c r="F4602" i="3" a="1"/>
  <c r="F4602" i="3" s="1"/>
  <c r="G4602" i="3" a="1"/>
  <c r="G4602" i="3" s="1"/>
  <c r="J4602" i="3" a="1"/>
  <c r="J4602" i="3" s="1"/>
  <c r="B4603" i="3" a="1"/>
  <c r="B4603" i="3" s="1"/>
  <c r="C4603" i="3" a="1"/>
  <c r="C4603" i="3" s="1"/>
  <c r="D4603" i="3" a="1"/>
  <c r="D4603" i="3" s="1"/>
  <c r="E4603" i="3" a="1"/>
  <c r="E4603" i="3" s="1"/>
  <c r="F4603" i="3" a="1"/>
  <c r="F4603" i="3" s="1"/>
  <c r="G4603" i="3" a="1"/>
  <c r="G4603" i="3" s="1"/>
  <c r="J4603" i="3" a="1"/>
  <c r="J4603" i="3" s="1"/>
  <c r="B4604" i="3" a="1"/>
  <c r="B4604" i="3" s="1"/>
  <c r="C4604" i="3" a="1"/>
  <c r="C4604" i="3" s="1"/>
  <c r="D4604" i="3" a="1"/>
  <c r="D4604" i="3" s="1"/>
  <c r="E4604" i="3" a="1"/>
  <c r="E4604" i="3" s="1"/>
  <c r="F4604" i="3" a="1"/>
  <c r="F4604" i="3" s="1"/>
  <c r="G4604" i="3" a="1"/>
  <c r="G4604" i="3" s="1"/>
  <c r="J4604" i="3" a="1"/>
  <c r="J4604" i="3" s="1"/>
  <c r="B4605" i="3" a="1"/>
  <c r="B4605" i="3" s="1"/>
  <c r="C4605" i="3" a="1"/>
  <c r="C4605" i="3" s="1"/>
  <c r="D4605" i="3" a="1"/>
  <c r="D4605" i="3" s="1"/>
  <c r="E4605" i="3" a="1"/>
  <c r="E4605" i="3" s="1"/>
  <c r="F4605" i="3" a="1"/>
  <c r="F4605" i="3" s="1"/>
  <c r="G4605" i="3" a="1"/>
  <c r="G4605" i="3" s="1"/>
  <c r="J4605" i="3" a="1"/>
  <c r="J4605" i="3" s="1"/>
  <c r="B4606" i="3" a="1"/>
  <c r="B4606" i="3" s="1"/>
  <c r="C4606" i="3" a="1"/>
  <c r="C4606" i="3" s="1"/>
  <c r="D4606" i="3" a="1"/>
  <c r="D4606" i="3" s="1"/>
  <c r="E4606" i="3" a="1"/>
  <c r="E4606" i="3" s="1"/>
  <c r="F4606" i="3" a="1"/>
  <c r="F4606" i="3" s="1"/>
  <c r="G4606" i="3" a="1"/>
  <c r="G4606" i="3" s="1"/>
  <c r="J4606" i="3" a="1"/>
  <c r="J4606" i="3" s="1"/>
  <c r="B4607" i="3" a="1"/>
  <c r="B4607" i="3" s="1"/>
  <c r="C4607" i="3" a="1"/>
  <c r="C4607" i="3" s="1"/>
  <c r="D4607" i="3" a="1"/>
  <c r="D4607" i="3" s="1"/>
  <c r="E4607" i="3" a="1"/>
  <c r="E4607" i="3" s="1"/>
  <c r="F4607" i="3" a="1"/>
  <c r="F4607" i="3" s="1"/>
  <c r="G4607" i="3" a="1"/>
  <c r="G4607" i="3" s="1"/>
  <c r="J4607" i="3" a="1"/>
  <c r="J4607" i="3" s="1"/>
  <c r="B4608" i="3" a="1"/>
  <c r="B4608" i="3" s="1"/>
  <c r="C4608" i="3" a="1"/>
  <c r="C4608" i="3" s="1"/>
  <c r="D4608" i="3" a="1"/>
  <c r="D4608" i="3" s="1"/>
  <c r="E4608" i="3" a="1"/>
  <c r="E4608" i="3" s="1"/>
  <c r="F4608" i="3" a="1"/>
  <c r="F4608" i="3" s="1"/>
  <c r="G4608" i="3" a="1"/>
  <c r="G4608" i="3" s="1"/>
  <c r="J4608" i="3" a="1"/>
  <c r="J4608" i="3" s="1"/>
  <c r="B4609" i="3" a="1"/>
  <c r="B4609" i="3" s="1"/>
  <c r="C4609" i="3" a="1"/>
  <c r="C4609" i="3" s="1"/>
  <c r="D4609" i="3" a="1"/>
  <c r="D4609" i="3" s="1"/>
  <c r="E4609" i="3" a="1"/>
  <c r="E4609" i="3" s="1"/>
  <c r="F4609" i="3" a="1"/>
  <c r="F4609" i="3" s="1"/>
  <c r="G4609" i="3" a="1"/>
  <c r="G4609" i="3" s="1"/>
  <c r="J4609" i="3" a="1"/>
  <c r="J4609" i="3" s="1"/>
  <c r="B4610" i="3" a="1"/>
  <c r="B4610" i="3" s="1"/>
  <c r="C4610" i="3" a="1"/>
  <c r="C4610" i="3" s="1"/>
  <c r="D4610" i="3" a="1"/>
  <c r="D4610" i="3" s="1"/>
  <c r="E4610" i="3" a="1"/>
  <c r="E4610" i="3" s="1"/>
  <c r="F4610" i="3" a="1"/>
  <c r="F4610" i="3" s="1"/>
  <c r="G4610" i="3" a="1"/>
  <c r="G4610" i="3" s="1"/>
  <c r="J4610" i="3" a="1"/>
  <c r="J4610" i="3" s="1"/>
  <c r="B4611" i="3" a="1"/>
  <c r="B4611" i="3" s="1"/>
  <c r="C4611" i="3" a="1"/>
  <c r="C4611" i="3" s="1"/>
  <c r="D4611" i="3" a="1"/>
  <c r="D4611" i="3" s="1"/>
  <c r="E4611" i="3" a="1"/>
  <c r="E4611" i="3" s="1"/>
  <c r="F4611" i="3" a="1"/>
  <c r="F4611" i="3" s="1"/>
  <c r="G4611" i="3" a="1"/>
  <c r="G4611" i="3" s="1"/>
  <c r="J4611" i="3" a="1"/>
  <c r="J4611" i="3" s="1"/>
  <c r="B4612" i="3" a="1"/>
  <c r="B4612" i="3" s="1"/>
  <c r="C4612" i="3" a="1"/>
  <c r="C4612" i="3" s="1"/>
  <c r="D4612" i="3" a="1"/>
  <c r="D4612" i="3" s="1"/>
  <c r="E4612" i="3" a="1"/>
  <c r="E4612" i="3" s="1"/>
  <c r="F4612" i="3" a="1"/>
  <c r="F4612" i="3" s="1"/>
  <c r="G4612" i="3" a="1"/>
  <c r="G4612" i="3" s="1"/>
  <c r="J4612" i="3" a="1"/>
  <c r="J4612" i="3" s="1"/>
  <c r="B4613" i="3" a="1"/>
  <c r="B4613" i="3" s="1"/>
  <c r="C4613" i="3" a="1"/>
  <c r="C4613" i="3" s="1"/>
  <c r="D4613" i="3" a="1"/>
  <c r="D4613" i="3" s="1"/>
  <c r="E4613" i="3" a="1"/>
  <c r="E4613" i="3" s="1"/>
  <c r="F4613" i="3" a="1"/>
  <c r="F4613" i="3" s="1"/>
  <c r="G4613" i="3" a="1"/>
  <c r="G4613" i="3" s="1"/>
  <c r="J4613" i="3" a="1"/>
  <c r="J4613" i="3" s="1"/>
  <c r="B4614" i="3" a="1"/>
  <c r="B4614" i="3" s="1"/>
  <c r="C4614" i="3" a="1"/>
  <c r="C4614" i="3" s="1"/>
  <c r="D4614" i="3" a="1"/>
  <c r="D4614" i="3" s="1"/>
  <c r="E4614" i="3" a="1"/>
  <c r="E4614" i="3" s="1"/>
  <c r="F4614" i="3" a="1"/>
  <c r="F4614" i="3" s="1"/>
  <c r="G4614" i="3" a="1"/>
  <c r="G4614" i="3" s="1"/>
  <c r="J4614" i="3" a="1"/>
  <c r="J4614" i="3" s="1"/>
  <c r="B4615" i="3" a="1"/>
  <c r="B4615" i="3" s="1"/>
  <c r="C4615" i="3" a="1"/>
  <c r="C4615" i="3" s="1"/>
  <c r="D4615" i="3" a="1"/>
  <c r="D4615" i="3" s="1"/>
  <c r="E4615" i="3" a="1"/>
  <c r="E4615" i="3" s="1"/>
  <c r="F4615" i="3" a="1"/>
  <c r="F4615" i="3" s="1"/>
  <c r="G4615" i="3" a="1"/>
  <c r="G4615" i="3" s="1"/>
  <c r="J4615" i="3" a="1"/>
  <c r="J4615" i="3" s="1"/>
  <c r="B4616" i="3" a="1"/>
  <c r="B4616" i="3" s="1"/>
  <c r="C4616" i="3" a="1"/>
  <c r="C4616" i="3" s="1"/>
  <c r="D4616" i="3" a="1"/>
  <c r="D4616" i="3" s="1"/>
  <c r="E4616" i="3" a="1"/>
  <c r="E4616" i="3" s="1"/>
  <c r="F4616" i="3" a="1"/>
  <c r="F4616" i="3" s="1"/>
  <c r="G4616" i="3" a="1"/>
  <c r="G4616" i="3" s="1"/>
  <c r="J4616" i="3" a="1"/>
  <c r="J4616" i="3" s="1"/>
  <c r="B4617" i="3" a="1"/>
  <c r="B4617" i="3" s="1"/>
  <c r="C4617" i="3" a="1"/>
  <c r="C4617" i="3" s="1"/>
  <c r="D4617" i="3" a="1"/>
  <c r="D4617" i="3" s="1"/>
  <c r="E4617" i="3" a="1"/>
  <c r="E4617" i="3" s="1"/>
  <c r="F4617" i="3" a="1"/>
  <c r="F4617" i="3" s="1"/>
  <c r="G4617" i="3" a="1"/>
  <c r="G4617" i="3" s="1"/>
  <c r="J4617" i="3" a="1"/>
  <c r="J4617" i="3" s="1"/>
  <c r="B4618" i="3" a="1"/>
  <c r="B4618" i="3" s="1"/>
  <c r="C4618" i="3" a="1"/>
  <c r="C4618" i="3" s="1"/>
  <c r="D4618" i="3" a="1"/>
  <c r="D4618" i="3" s="1"/>
  <c r="E4618" i="3" a="1"/>
  <c r="E4618" i="3" s="1"/>
  <c r="F4618" i="3" a="1"/>
  <c r="F4618" i="3" s="1"/>
  <c r="G4618" i="3" a="1"/>
  <c r="G4618" i="3" s="1"/>
  <c r="J4618" i="3" a="1"/>
  <c r="J4618" i="3" s="1"/>
  <c r="B4619" i="3" a="1"/>
  <c r="B4619" i="3" s="1"/>
  <c r="C4619" i="3" a="1"/>
  <c r="C4619" i="3" s="1"/>
  <c r="D4619" i="3" a="1"/>
  <c r="D4619" i="3" s="1"/>
  <c r="E4619" i="3" a="1"/>
  <c r="E4619" i="3" s="1"/>
  <c r="F4619" i="3" a="1"/>
  <c r="F4619" i="3" s="1"/>
  <c r="G4619" i="3" a="1"/>
  <c r="G4619" i="3" s="1"/>
  <c r="J4619" i="3" a="1"/>
  <c r="J4619" i="3" s="1"/>
  <c r="B4620" i="3" a="1"/>
  <c r="B4620" i="3" s="1"/>
  <c r="C4620" i="3" a="1"/>
  <c r="C4620" i="3" s="1"/>
  <c r="D4620" i="3" a="1"/>
  <c r="D4620" i="3" s="1"/>
  <c r="E4620" i="3" a="1"/>
  <c r="E4620" i="3" s="1"/>
  <c r="F4620" i="3" a="1"/>
  <c r="F4620" i="3" s="1"/>
  <c r="G4620" i="3" a="1"/>
  <c r="G4620" i="3" s="1"/>
  <c r="J4620" i="3" a="1"/>
  <c r="J4620" i="3" s="1"/>
  <c r="B4621" i="3" a="1"/>
  <c r="B4621" i="3" s="1"/>
  <c r="C4621" i="3" a="1"/>
  <c r="C4621" i="3" s="1"/>
  <c r="D4621" i="3" a="1"/>
  <c r="D4621" i="3" s="1"/>
  <c r="E4621" i="3" a="1"/>
  <c r="E4621" i="3" s="1"/>
  <c r="F4621" i="3" a="1"/>
  <c r="F4621" i="3" s="1"/>
  <c r="G4621" i="3" a="1"/>
  <c r="G4621" i="3" s="1"/>
  <c r="J4621" i="3" a="1"/>
  <c r="J4621" i="3" s="1"/>
  <c r="B4622" i="3" a="1"/>
  <c r="B4622" i="3" s="1"/>
  <c r="C4622" i="3" a="1"/>
  <c r="C4622" i="3" s="1"/>
  <c r="D4622" i="3" a="1"/>
  <c r="D4622" i="3" s="1"/>
  <c r="E4622" i="3" a="1"/>
  <c r="E4622" i="3" s="1"/>
  <c r="F4622" i="3" a="1"/>
  <c r="F4622" i="3" s="1"/>
  <c r="G4622" i="3" a="1"/>
  <c r="G4622" i="3" s="1"/>
  <c r="J4622" i="3" a="1"/>
  <c r="J4622" i="3" s="1"/>
  <c r="B4623" i="3" a="1"/>
  <c r="B4623" i="3" s="1"/>
  <c r="C4623" i="3" a="1"/>
  <c r="C4623" i="3" s="1"/>
  <c r="D4623" i="3" a="1"/>
  <c r="D4623" i="3" s="1"/>
  <c r="E4623" i="3" a="1"/>
  <c r="E4623" i="3" s="1"/>
  <c r="F4623" i="3" a="1"/>
  <c r="F4623" i="3" s="1"/>
  <c r="G4623" i="3" a="1"/>
  <c r="G4623" i="3" s="1"/>
  <c r="J4623" i="3" a="1"/>
  <c r="J4623" i="3" s="1"/>
  <c r="B4624" i="3" a="1"/>
  <c r="B4624" i="3" s="1"/>
  <c r="C4624" i="3" a="1"/>
  <c r="C4624" i="3" s="1"/>
  <c r="D4624" i="3" a="1"/>
  <c r="D4624" i="3" s="1"/>
  <c r="E4624" i="3" a="1"/>
  <c r="E4624" i="3" s="1"/>
  <c r="F4624" i="3" a="1"/>
  <c r="F4624" i="3" s="1"/>
  <c r="G4624" i="3" a="1"/>
  <c r="G4624" i="3" s="1"/>
  <c r="J4624" i="3" a="1"/>
  <c r="J4624" i="3" s="1"/>
  <c r="B4625" i="3" a="1"/>
  <c r="B4625" i="3" s="1"/>
  <c r="C4625" i="3" a="1"/>
  <c r="C4625" i="3" s="1"/>
  <c r="D4625" i="3" a="1"/>
  <c r="D4625" i="3" s="1"/>
  <c r="E4625" i="3" a="1"/>
  <c r="E4625" i="3" s="1"/>
  <c r="F4625" i="3" a="1"/>
  <c r="F4625" i="3" s="1"/>
  <c r="G4625" i="3" a="1"/>
  <c r="G4625" i="3" s="1"/>
  <c r="J4625" i="3" a="1"/>
  <c r="J4625" i="3" s="1"/>
  <c r="B4626" i="3" a="1"/>
  <c r="B4626" i="3" s="1"/>
  <c r="C4626" i="3" a="1"/>
  <c r="C4626" i="3" s="1"/>
  <c r="D4626" i="3" a="1"/>
  <c r="D4626" i="3" s="1"/>
  <c r="E4626" i="3" a="1"/>
  <c r="E4626" i="3" s="1"/>
  <c r="F4626" i="3" a="1"/>
  <c r="F4626" i="3" s="1"/>
  <c r="G4626" i="3" a="1"/>
  <c r="G4626" i="3" s="1"/>
  <c r="J4626" i="3" a="1"/>
  <c r="J4626" i="3" s="1"/>
  <c r="B4627" i="3" a="1"/>
  <c r="B4627" i="3" s="1"/>
  <c r="C4627" i="3" a="1"/>
  <c r="C4627" i="3" s="1"/>
  <c r="D4627" i="3" a="1"/>
  <c r="D4627" i="3" s="1"/>
  <c r="E4627" i="3" a="1"/>
  <c r="E4627" i="3" s="1"/>
  <c r="F4627" i="3" a="1"/>
  <c r="F4627" i="3" s="1"/>
  <c r="G4627" i="3" a="1"/>
  <c r="G4627" i="3" s="1"/>
  <c r="J4627" i="3" a="1"/>
  <c r="J4627" i="3" s="1"/>
  <c r="B4628" i="3" a="1"/>
  <c r="B4628" i="3" s="1"/>
  <c r="C4628" i="3" a="1"/>
  <c r="C4628" i="3" s="1"/>
  <c r="D4628" i="3" a="1"/>
  <c r="D4628" i="3" s="1"/>
  <c r="E4628" i="3" a="1"/>
  <c r="E4628" i="3" s="1"/>
  <c r="F4628" i="3" a="1"/>
  <c r="F4628" i="3" s="1"/>
  <c r="G4628" i="3" a="1"/>
  <c r="G4628" i="3" s="1"/>
  <c r="J4628" i="3" a="1"/>
  <c r="J4628" i="3" s="1"/>
  <c r="B4629" i="3" a="1"/>
  <c r="B4629" i="3" s="1"/>
  <c r="C4629" i="3" a="1"/>
  <c r="C4629" i="3" s="1"/>
  <c r="D4629" i="3" a="1"/>
  <c r="D4629" i="3" s="1"/>
  <c r="E4629" i="3" a="1"/>
  <c r="E4629" i="3" s="1"/>
  <c r="F4629" i="3" a="1"/>
  <c r="F4629" i="3" s="1"/>
  <c r="G4629" i="3" a="1"/>
  <c r="G4629" i="3" s="1"/>
  <c r="J4629" i="3" a="1"/>
  <c r="J4629" i="3" s="1"/>
  <c r="B4630" i="3" a="1"/>
  <c r="B4630" i="3" s="1"/>
  <c r="C4630" i="3" a="1"/>
  <c r="C4630" i="3" s="1"/>
  <c r="D4630" i="3" a="1"/>
  <c r="D4630" i="3" s="1"/>
  <c r="E4630" i="3" a="1"/>
  <c r="E4630" i="3" s="1"/>
  <c r="F4630" i="3" a="1"/>
  <c r="F4630" i="3" s="1"/>
  <c r="G4630" i="3" a="1"/>
  <c r="G4630" i="3" s="1"/>
  <c r="J4630" i="3" a="1"/>
  <c r="J4630" i="3" s="1"/>
  <c r="B4631" i="3" a="1"/>
  <c r="B4631" i="3" s="1"/>
  <c r="C4631" i="3" a="1"/>
  <c r="C4631" i="3" s="1"/>
  <c r="D4631" i="3" a="1"/>
  <c r="D4631" i="3" s="1"/>
  <c r="E4631" i="3" a="1"/>
  <c r="E4631" i="3" s="1"/>
  <c r="F4631" i="3" a="1"/>
  <c r="F4631" i="3" s="1"/>
  <c r="G4631" i="3" a="1"/>
  <c r="G4631" i="3" s="1"/>
  <c r="J4631" i="3" a="1"/>
  <c r="J4631" i="3" s="1"/>
  <c r="B4632" i="3" a="1"/>
  <c r="B4632" i="3" s="1"/>
  <c r="C4632" i="3" a="1"/>
  <c r="C4632" i="3" s="1"/>
  <c r="D4632" i="3" a="1"/>
  <c r="D4632" i="3" s="1"/>
  <c r="E4632" i="3" a="1"/>
  <c r="E4632" i="3" s="1"/>
  <c r="F4632" i="3" a="1"/>
  <c r="F4632" i="3" s="1"/>
  <c r="G4632" i="3" a="1"/>
  <c r="G4632" i="3" s="1"/>
  <c r="J4632" i="3" a="1"/>
  <c r="J4632" i="3" s="1"/>
  <c r="B4633" i="3" a="1"/>
  <c r="B4633" i="3" s="1"/>
  <c r="C4633" i="3" a="1"/>
  <c r="C4633" i="3" s="1"/>
  <c r="D4633" i="3" a="1"/>
  <c r="D4633" i="3" s="1"/>
  <c r="E4633" i="3" a="1"/>
  <c r="E4633" i="3" s="1"/>
  <c r="F4633" i="3" a="1"/>
  <c r="F4633" i="3" s="1"/>
  <c r="G4633" i="3" a="1"/>
  <c r="G4633" i="3" s="1"/>
  <c r="J4633" i="3" a="1"/>
  <c r="J4633" i="3" s="1"/>
  <c r="B4634" i="3" a="1"/>
  <c r="B4634" i="3" s="1"/>
  <c r="C4634" i="3" a="1"/>
  <c r="C4634" i="3" s="1"/>
  <c r="D4634" i="3" a="1"/>
  <c r="D4634" i="3" s="1"/>
  <c r="E4634" i="3" a="1"/>
  <c r="E4634" i="3" s="1"/>
  <c r="F4634" i="3" a="1"/>
  <c r="F4634" i="3" s="1"/>
  <c r="G4634" i="3" a="1"/>
  <c r="G4634" i="3" s="1"/>
  <c r="J4634" i="3" a="1"/>
  <c r="J4634" i="3" s="1"/>
  <c r="B4635" i="3" a="1"/>
  <c r="B4635" i="3" s="1"/>
  <c r="C4635" i="3" a="1"/>
  <c r="C4635" i="3" s="1"/>
  <c r="D4635" i="3" a="1"/>
  <c r="D4635" i="3" s="1"/>
  <c r="E4635" i="3" a="1"/>
  <c r="E4635" i="3" s="1"/>
  <c r="F4635" i="3" a="1"/>
  <c r="F4635" i="3" s="1"/>
  <c r="G4635" i="3" a="1"/>
  <c r="G4635" i="3" s="1"/>
  <c r="J4635" i="3" a="1"/>
  <c r="J4635" i="3" s="1"/>
  <c r="B4636" i="3" a="1"/>
  <c r="B4636" i="3" s="1"/>
  <c r="C4636" i="3" a="1"/>
  <c r="C4636" i="3" s="1"/>
  <c r="D4636" i="3" a="1"/>
  <c r="D4636" i="3" s="1"/>
  <c r="E4636" i="3" a="1"/>
  <c r="E4636" i="3" s="1"/>
  <c r="F4636" i="3" a="1"/>
  <c r="F4636" i="3" s="1"/>
  <c r="G4636" i="3" a="1"/>
  <c r="G4636" i="3" s="1"/>
  <c r="J4636" i="3" a="1"/>
  <c r="J4636" i="3" s="1"/>
  <c r="B4637" i="3" a="1"/>
  <c r="B4637" i="3" s="1"/>
  <c r="C4637" i="3" a="1"/>
  <c r="C4637" i="3" s="1"/>
  <c r="D4637" i="3" a="1"/>
  <c r="D4637" i="3" s="1"/>
  <c r="E4637" i="3" a="1"/>
  <c r="E4637" i="3" s="1"/>
  <c r="F4637" i="3" a="1"/>
  <c r="F4637" i="3" s="1"/>
  <c r="G4637" i="3" a="1"/>
  <c r="G4637" i="3" s="1"/>
  <c r="J4637" i="3" a="1"/>
  <c r="J4637" i="3" s="1"/>
  <c r="B4638" i="3" a="1"/>
  <c r="B4638" i="3" s="1"/>
  <c r="C4638" i="3" a="1"/>
  <c r="C4638" i="3" s="1"/>
  <c r="D4638" i="3" a="1"/>
  <c r="D4638" i="3" s="1"/>
  <c r="E4638" i="3" a="1"/>
  <c r="E4638" i="3" s="1"/>
  <c r="F4638" i="3" a="1"/>
  <c r="F4638" i="3" s="1"/>
  <c r="G4638" i="3" a="1"/>
  <c r="G4638" i="3" s="1"/>
  <c r="J4638" i="3" a="1"/>
  <c r="J4638" i="3" s="1"/>
  <c r="B4639" i="3" a="1"/>
  <c r="B4639" i="3" s="1"/>
  <c r="C4639" i="3" a="1"/>
  <c r="C4639" i="3" s="1"/>
  <c r="D4639" i="3" a="1"/>
  <c r="D4639" i="3" s="1"/>
  <c r="E4639" i="3" a="1"/>
  <c r="E4639" i="3" s="1"/>
  <c r="F4639" i="3" a="1"/>
  <c r="F4639" i="3" s="1"/>
  <c r="G4639" i="3" a="1"/>
  <c r="G4639" i="3" s="1"/>
  <c r="J4639" i="3" a="1"/>
  <c r="J4639" i="3" s="1"/>
  <c r="B4640" i="3" a="1"/>
  <c r="B4640" i="3" s="1"/>
  <c r="C4640" i="3" a="1"/>
  <c r="C4640" i="3" s="1"/>
  <c r="D4640" i="3" a="1"/>
  <c r="D4640" i="3" s="1"/>
  <c r="E4640" i="3" a="1"/>
  <c r="E4640" i="3" s="1"/>
  <c r="F4640" i="3" a="1"/>
  <c r="F4640" i="3" s="1"/>
  <c r="G4640" i="3" a="1"/>
  <c r="G4640" i="3" s="1"/>
  <c r="J4640" i="3" a="1"/>
  <c r="J4640" i="3" s="1"/>
  <c r="B4641" i="3" a="1"/>
  <c r="B4641" i="3" s="1"/>
  <c r="C4641" i="3" a="1"/>
  <c r="C4641" i="3" s="1"/>
  <c r="D4641" i="3" a="1"/>
  <c r="D4641" i="3" s="1"/>
  <c r="E4641" i="3" a="1"/>
  <c r="E4641" i="3" s="1"/>
  <c r="F4641" i="3" a="1"/>
  <c r="F4641" i="3" s="1"/>
  <c r="G4641" i="3" a="1"/>
  <c r="G4641" i="3" s="1"/>
  <c r="J4641" i="3" a="1"/>
  <c r="J4641" i="3" s="1"/>
  <c r="B4642" i="3" a="1"/>
  <c r="B4642" i="3" s="1"/>
  <c r="C4642" i="3" a="1"/>
  <c r="C4642" i="3" s="1"/>
  <c r="D4642" i="3" a="1"/>
  <c r="D4642" i="3" s="1"/>
  <c r="E4642" i="3" a="1"/>
  <c r="E4642" i="3" s="1"/>
  <c r="F4642" i="3" a="1"/>
  <c r="F4642" i="3" s="1"/>
  <c r="G4642" i="3" a="1"/>
  <c r="G4642" i="3" s="1"/>
  <c r="J4642" i="3" a="1"/>
  <c r="J4642" i="3" s="1"/>
  <c r="B4643" i="3" a="1"/>
  <c r="B4643" i="3" s="1"/>
  <c r="C4643" i="3" a="1"/>
  <c r="C4643" i="3" s="1"/>
  <c r="D4643" i="3" a="1"/>
  <c r="D4643" i="3" s="1"/>
  <c r="E4643" i="3" a="1"/>
  <c r="E4643" i="3" s="1"/>
  <c r="F4643" i="3" a="1"/>
  <c r="F4643" i="3" s="1"/>
  <c r="G4643" i="3" a="1"/>
  <c r="G4643" i="3" s="1"/>
  <c r="J4643" i="3" a="1"/>
  <c r="J4643" i="3" s="1"/>
  <c r="B4644" i="3" a="1"/>
  <c r="B4644" i="3" s="1"/>
  <c r="C4644" i="3" a="1"/>
  <c r="C4644" i="3" s="1"/>
  <c r="D4644" i="3" a="1"/>
  <c r="D4644" i="3" s="1"/>
  <c r="E4644" i="3" a="1"/>
  <c r="E4644" i="3" s="1"/>
  <c r="F4644" i="3" a="1"/>
  <c r="F4644" i="3" s="1"/>
  <c r="G4644" i="3" a="1"/>
  <c r="G4644" i="3" s="1"/>
  <c r="J4644" i="3" a="1"/>
  <c r="J4644" i="3" s="1"/>
  <c r="B4645" i="3" a="1"/>
  <c r="B4645" i="3" s="1"/>
  <c r="C4645" i="3" a="1"/>
  <c r="C4645" i="3" s="1"/>
  <c r="D4645" i="3" a="1"/>
  <c r="D4645" i="3" s="1"/>
  <c r="E4645" i="3" a="1"/>
  <c r="E4645" i="3" s="1"/>
  <c r="F4645" i="3" a="1"/>
  <c r="F4645" i="3" s="1"/>
  <c r="G4645" i="3" a="1"/>
  <c r="G4645" i="3" s="1"/>
  <c r="J4645" i="3" a="1"/>
  <c r="J4645" i="3" s="1"/>
  <c r="B4646" i="3" a="1"/>
  <c r="B4646" i="3" s="1"/>
  <c r="C4646" i="3" a="1"/>
  <c r="C4646" i="3" s="1"/>
  <c r="D4646" i="3" a="1"/>
  <c r="D4646" i="3" s="1"/>
  <c r="E4646" i="3" a="1"/>
  <c r="E4646" i="3" s="1"/>
  <c r="F4646" i="3" a="1"/>
  <c r="F4646" i="3" s="1"/>
  <c r="G4646" i="3" a="1"/>
  <c r="G4646" i="3" s="1"/>
  <c r="J4646" i="3" a="1"/>
  <c r="J4646" i="3" s="1"/>
  <c r="B4647" i="3" a="1"/>
  <c r="B4647" i="3" s="1"/>
  <c r="C4647" i="3" a="1"/>
  <c r="C4647" i="3" s="1"/>
  <c r="D4647" i="3" a="1"/>
  <c r="D4647" i="3" s="1"/>
  <c r="E4647" i="3" a="1"/>
  <c r="E4647" i="3" s="1"/>
  <c r="F4647" i="3" a="1"/>
  <c r="F4647" i="3" s="1"/>
  <c r="G4647" i="3" a="1"/>
  <c r="G4647" i="3" s="1"/>
  <c r="J4647" i="3" a="1"/>
  <c r="J4647" i="3" s="1"/>
  <c r="B4648" i="3" a="1"/>
  <c r="B4648" i="3" s="1"/>
  <c r="C4648" i="3" a="1"/>
  <c r="C4648" i="3" s="1"/>
  <c r="D4648" i="3" a="1"/>
  <c r="D4648" i="3" s="1"/>
  <c r="E4648" i="3" a="1"/>
  <c r="E4648" i="3" s="1"/>
  <c r="F4648" i="3" a="1"/>
  <c r="F4648" i="3" s="1"/>
  <c r="G4648" i="3" a="1"/>
  <c r="G4648" i="3" s="1"/>
  <c r="J4648" i="3" a="1"/>
  <c r="J4648" i="3" s="1"/>
  <c r="B4649" i="3" a="1"/>
  <c r="B4649" i="3" s="1"/>
  <c r="C4649" i="3" a="1"/>
  <c r="C4649" i="3" s="1"/>
  <c r="D4649" i="3" a="1"/>
  <c r="D4649" i="3" s="1"/>
  <c r="E4649" i="3" a="1"/>
  <c r="E4649" i="3" s="1"/>
  <c r="F4649" i="3" a="1"/>
  <c r="F4649" i="3" s="1"/>
  <c r="G4649" i="3" a="1"/>
  <c r="G4649" i="3" s="1"/>
  <c r="J4649" i="3" a="1"/>
  <c r="J4649" i="3" s="1"/>
  <c r="B4650" i="3" a="1"/>
  <c r="B4650" i="3" s="1"/>
  <c r="C4650" i="3" a="1"/>
  <c r="C4650" i="3" s="1"/>
  <c r="D4650" i="3" a="1"/>
  <c r="D4650" i="3" s="1"/>
  <c r="E4650" i="3" a="1"/>
  <c r="E4650" i="3" s="1"/>
  <c r="F4650" i="3" a="1"/>
  <c r="F4650" i="3" s="1"/>
  <c r="G4650" i="3" a="1"/>
  <c r="G4650" i="3" s="1"/>
  <c r="J4650" i="3" a="1"/>
  <c r="J4650" i="3" s="1"/>
  <c r="B4651" i="3" a="1"/>
  <c r="B4651" i="3" s="1"/>
  <c r="C4651" i="3" a="1"/>
  <c r="C4651" i="3" s="1"/>
  <c r="D4651" i="3" a="1"/>
  <c r="D4651" i="3" s="1"/>
  <c r="E4651" i="3" a="1"/>
  <c r="E4651" i="3" s="1"/>
  <c r="F4651" i="3" a="1"/>
  <c r="F4651" i="3" s="1"/>
  <c r="G4651" i="3" a="1"/>
  <c r="G4651" i="3" s="1"/>
  <c r="J4651" i="3" a="1"/>
  <c r="J4651" i="3" s="1"/>
  <c r="B4652" i="3" a="1"/>
  <c r="B4652" i="3" s="1"/>
  <c r="C4652" i="3" a="1"/>
  <c r="C4652" i="3" s="1"/>
  <c r="D4652" i="3" a="1"/>
  <c r="D4652" i="3" s="1"/>
  <c r="E4652" i="3" a="1"/>
  <c r="E4652" i="3" s="1"/>
  <c r="F4652" i="3" a="1"/>
  <c r="F4652" i="3" s="1"/>
  <c r="G4652" i="3" a="1"/>
  <c r="G4652" i="3" s="1"/>
  <c r="J4652" i="3" a="1"/>
  <c r="J4652" i="3" s="1"/>
  <c r="B4653" i="3" a="1"/>
  <c r="B4653" i="3" s="1"/>
  <c r="C4653" i="3" a="1"/>
  <c r="C4653" i="3" s="1"/>
  <c r="D4653" i="3" a="1"/>
  <c r="D4653" i="3" s="1"/>
  <c r="E4653" i="3" a="1"/>
  <c r="E4653" i="3" s="1"/>
  <c r="F4653" i="3" a="1"/>
  <c r="F4653" i="3" s="1"/>
  <c r="G4653" i="3" a="1"/>
  <c r="G4653" i="3" s="1"/>
  <c r="J4653" i="3" a="1"/>
  <c r="J4653" i="3" s="1"/>
  <c r="B4654" i="3" a="1"/>
  <c r="B4654" i="3" s="1"/>
  <c r="C4654" i="3" a="1"/>
  <c r="C4654" i="3" s="1"/>
  <c r="D4654" i="3" a="1"/>
  <c r="D4654" i="3" s="1"/>
  <c r="E4654" i="3" a="1"/>
  <c r="E4654" i="3" s="1"/>
  <c r="F4654" i="3" a="1"/>
  <c r="F4654" i="3" s="1"/>
  <c r="G4654" i="3" a="1"/>
  <c r="G4654" i="3" s="1"/>
  <c r="J4654" i="3" a="1"/>
  <c r="J4654" i="3" s="1"/>
  <c r="B4655" i="3" a="1"/>
  <c r="B4655" i="3" s="1"/>
  <c r="C4655" i="3" a="1"/>
  <c r="C4655" i="3" s="1"/>
  <c r="D4655" i="3" a="1"/>
  <c r="D4655" i="3" s="1"/>
  <c r="E4655" i="3" a="1"/>
  <c r="E4655" i="3" s="1"/>
  <c r="F4655" i="3" a="1"/>
  <c r="F4655" i="3" s="1"/>
  <c r="G4655" i="3" a="1"/>
  <c r="G4655" i="3" s="1"/>
  <c r="J4655" i="3" a="1"/>
  <c r="J4655" i="3" s="1"/>
  <c r="B4656" i="3" a="1"/>
  <c r="B4656" i="3" s="1"/>
  <c r="C4656" i="3" a="1"/>
  <c r="C4656" i="3" s="1"/>
  <c r="D4656" i="3" a="1"/>
  <c r="D4656" i="3" s="1"/>
  <c r="E4656" i="3" a="1"/>
  <c r="E4656" i="3" s="1"/>
  <c r="F4656" i="3" a="1"/>
  <c r="F4656" i="3" s="1"/>
  <c r="G4656" i="3" a="1"/>
  <c r="G4656" i="3" s="1"/>
  <c r="J4656" i="3" a="1"/>
  <c r="J4656" i="3" s="1"/>
  <c r="B4657" i="3" a="1"/>
  <c r="B4657" i="3" s="1"/>
  <c r="C4657" i="3" a="1"/>
  <c r="C4657" i="3" s="1"/>
  <c r="D4657" i="3" a="1"/>
  <c r="D4657" i="3" s="1"/>
  <c r="E4657" i="3" a="1"/>
  <c r="E4657" i="3" s="1"/>
  <c r="F4657" i="3" a="1"/>
  <c r="F4657" i="3" s="1"/>
  <c r="G4657" i="3" a="1"/>
  <c r="G4657" i="3" s="1"/>
  <c r="J4657" i="3" a="1"/>
  <c r="J4657" i="3" s="1"/>
  <c r="B4658" i="3" a="1"/>
  <c r="B4658" i="3" s="1"/>
  <c r="C4658" i="3" a="1"/>
  <c r="C4658" i="3" s="1"/>
  <c r="D4658" i="3" a="1"/>
  <c r="D4658" i="3" s="1"/>
  <c r="E4658" i="3" a="1"/>
  <c r="E4658" i="3" s="1"/>
  <c r="F4658" i="3" a="1"/>
  <c r="F4658" i="3" s="1"/>
  <c r="G4658" i="3" a="1"/>
  <c r="G4658" i="3" s="1"/>
  <c r="J4658" i="3" a="1"/>
  <c r="J4658" i="3" s="1"/>
  <c r="B4659" i="3" a="1"/>
  <c r="B4659" i="3" s="1"/>
  <c r="C4659" i="3" a="1"/>
  <c r="C4659" i="3" s="1"/>
  <c r="D4659" i="3" a="1"/>
  <c r="D4659" i="3" s="1"/>
  <c r="E4659" i="3" a="1"/>
  <c r="E4659" i="3" s="1"/>
  <c r="F4659" i="3" a="1"/>
  <c r="F4659" i="3" s="1"/>
  <c r="G4659" i="3" a="1"/>
  <c r="G4659" i="3" s="1"/>
  <c r="J4659" i="3" a="1"/>
  <c r="J4659" i="3" s="1"/>
  <c r="B4660" i="3" a="1"/>
  <c r="B4660" i="3" s="1"/>
  <c r="C4660" i="3" a="1"/>
  <c r="C4660" i="3" s="1"/>
  <c r="D4660" i="3" a="1"/>
  <c r="D4660" i="3" s="1"/>
  <c r="E4660" i="3" a="1"/>
  <c r="E4660" i="3" s="1"/>
  <c r="F4660" i="3" a="1"/>
  <c r="F4660" i="3" s="1"/>
  <c r="G4660" i="3" a="1"/>
  <c r="G4660" i="3" s="1"/>
  <c r="J4660" i="3" a="1"/>
  <c r="J4660" i="3" s="1"/>
  <c r="B4661" i="3" a="1"/>
  <c r="B4661" i="3" s="1"/>
  <c r="C4661" i="3" a="1"/>
  <c r="C4661" i="3" s="1"/>
  <c r="D4661" i="3" a="1"/>
  <c r="D4661" i="3" s="1"/>
  <c r="E4661" i="3" a="1"/>
  <c r="E4661" i="3" s="1"/>
  <c r="F4661" i="3" a="1"/>
  <c r="F4661" i="3" s="1"/>
  <c r="G4661" i="3" a="1"/>
  <c r="G4661" i="3" s="1"/>
  <c r="J4661" i="3" a="1"/>
  <c r="J4661" i="3" s="1"/>
  <c r="B4662" i="3" a="1"/>
  <c r="B4662" i="3" s="1"/>
  <c r="C4662" i="3" a="1"/>
  <c r="C4662" i="3" s="1"/>
  <c r="D4662" i="3" a="1"/>
  <c r="D4662" i="3" s="1"/>
  <c r="E4662" i="3" a="1"/>
  <c r="E4662" i="3" s="1"/>
  <c r="F4662" i="3" a="1"/>
  <c r="F4662" i="3" s="1"/>
  <c r="G4662" i="3" a="1"/>
  <c r="G4662" i="3" s="1"/>
  <c r="J4662" i="3" a="1"/>
  <c r="J4662" i="3" s="1"/>
  <c r="B4663" i="3" a="1"/>
  <c r="B4663" i="3" s="1"/>
  <c r="C4663" i="3" a="1"/>
  <c r="C4663" i="3" s="1"/>
  <c r="D4663" i="3" a="1"/>
  <c r="D4663" i="3" s="1"/>
  <c r="E4663" i="3" a="1"/>
  <c r="E4663" i="3" s="1"/>
  <c r="F4663" i="3" a="1"/>
  <c r="F4663" i="3" s="1"/>
  <c r="G4663" i="3" a="1"/>
  <c r="G4663" i="3" s="1"/>
  <c r="J4663" i="3" a="1"/>
  <c r="J4663" i="3" s="1"/>
  <c r="B4664" i="3" a="1"/>
  <c r="B4664" i="3" s="1"/>
  <c r="C4664" i="3" a="1"/>
  <c r="C4664" i="3" s="1"/>
  <c r="D4664" i="3" a="1"/>
  <c r="D4664" i="3" s="1"/>
  <c r="E4664" i="3" a="1"/>
  <c r="E4664" i="3" s="1"/>
  <c r="F4664" i="3" a="1"/>
  <c r="F4664" i="3" s="1"/>
  <c r="G4664" i="3" a="1"/>
  <c r="G4664" i="3" s="1"/>
  <c r="J4664" i="3" a="1"/>
  <c r="J4664" i="3" s="1"/>
  <c r="B4665" i="3" a="1"/>
  <c r="B4665" i="3" s="1"/>
  <c r="C4665" i="3" a="1"/>
  <c r="C4665" i="3" s="1"/>
  <c r="D4665" i="3" a="1"/>
  <c r="D4665" i="3" s="1"/>
  <c r="E4665" i="3" a="1"/>
  <c r="E4665" i="3" s="1"/>
  <c r="F4665" i="3" a="1"/>
  <c r="F4665" i="3" s="1"/>
  <c r="G4665" i="3" a="1"/>
  <c r="G4665" i="3" s="1"/>
  <c r="J4665" i="3" a="1"/>
  <c r="J4665" i="3" s="1"/>
  <c r="B4666" i="3" a="1"/>
  <c r="B4666" i="3" s="1"/>
  <c r="C4666" i="3" a="1"/>
  <c r="C4666" i="3" s="1"/>
  <c r="D4666" i="3" a="1"/>
  <c r="D4666" i="3" s="1"/>
  <c r="E4666" i="3" a="1"/>
  <c r="E4666" i="3" s="1"/>
  <c r="F4666" i="3" a="1"/>
  <c r="F4666" i="3" s="1"/>
  <c r="G4666" i="3" a="1"/>
  <c r="G4666" i="3" s="1"/>
  <c r="J4666" i="3" a="1"/>
  <c r="J4666" i="3" s="1"/>
  <c r="B4667" i="3" a="1"/>
  <c r="B4667" i="3" s="1"/>
  <c r="C4667" i="3" a="1"/>
  <c r="C4667" i="3" s="1"/>
  <c r="D4667" i="3" a="1"/>
  <c r="D4667" i="3" s="1"/>
  <c r="E4667" i="3" a="1"/>
  <c r="E4667" i="3" s="1"/>
  <c r="F4667" i="3" a="1"/>
  <c r="F4667" i="3" s="1"/>
  <c r="G4667" i="3" a="1"/>
  <c r="G4667" i="3" s="1"/>
  <c r="J4667" i="3" a="1"/>
  <c r="J4667" i="3" s="1"/>
  <c r="B4668" i="3" a="1"/>
  <c r="B4668" i="3" s="1"/>
  <c r="C4668" i="3" a="1"/>
  <c r="C4668" i="3" s="1"/>
  <c r="D4668" i="3" a="1"/>
  <c r="D4668" i="3" s="1"/>
  <c r="E4668" i="3" a="1"/>
  <c r="E4668" i="3" s="1"/>
  <c r="F4668" i="3" a="1"/>
  <c r="F4668" i="3" s="1"/>
  <c r="G4668" i="3" a="1"/>
  <c r="G4668" i="3" s="1"/>
  <c r="J4668" i="3" a="1"/>
  <c r="J4668" i="3" s="1"/>
  <c r="B4669" i="3" a="1"/>
  <c r="B4669" i="3" s="1"/>
  <c r="C4669" i="3" a="1"/>
  <c r="C4669" i="3" s="1"/>
  <c r="D4669" i="3" a="1"/>
  <c r="D4669" i="3" s="1"/>
  <c r="E4669" i="3" a="1"/>
  <c r="E4669" i="3" s="1"/>
  <c r="F4669" i="3" a="1"/>
  <c r="F4669" i="3" s="1"/>
  <c r="G4669" i="3" a="1"/>
  <c r="G4669" i="3" s="1"/>
  <c r="J4669" i="3" a="1"/>
  <c r="J4669" i="3" s="1"/>
  <c r="B4670" i="3" a="1"/>
  <c r="B4670" i="3" s="1"/>
  <c r="C4670" i="3" a="1"/>
  <c r="C4670" i="3" s="1"/>
  <c r="D4670" i="3" a="1"/>
  <c r="D4670" i="3" s="1"/>
  <c r="E4670" i="3" a="1"/>
  <c r="E4670" i="3" s="1"/>
  <c r="F4670" i="3" a="1"/>
  <c r="F4670" i="3" s="1"/>
  <c r="G4670" i="3" a="1"/>
  <c r="G4670" i="3" s="1"/>
  <c r="J4670" i="3" a="1"/>
  <c r="J4670" i="3" s="1"/>
  <c r="B4671" i="3" a="1"/>
  <c r="B4671" i="3" s="1"/>
  <c r="C4671" i="3" a="1"/>
  <c r="C4671" i="3" s="1"/>
  <c r="D4671" i="3" a="1"/>
  <c r="D4671" i="3" s="1"/>
  <c r="E4671" i="3" a="1"/>
  <c r="E4671" i="3" s="1"/>
  <c r="F4671" i="3" a="1"/>
  <c r="F4671" i="3" s="1"/>
  <c r="G4671" i="3" a="1"/>
  <c r="G4671" i="3" s="1"/>
  <c r="J4671" i="3" a="1"/>
  <c r="J4671" i="3" s="1"/>
  <c r="B4672" i="3" a="1"/>
  <c r="B4672" i="3" s="1"/>
  <c r="C4672" i="3" a="1"/>
  <c r="C4672" i="3" s="1"/>
  <c r="D4672" i="3" a="1"/>
  <c r="D4672" i="3" s="1"/>
  <c r="E4672" i="3" a="1"/>
  <c r="E4672" i="3" s="1"/>
  <c r="F4672" i="3" a="1"/>
  <c r="F4672" i="3" s="1"/>
  <c r="G4672" i="3" a="1"/>
  <c r="G4672" i="3" s="1"/>
  <c r="J4672" i="3" a="1"/>
  <c r="J4672" i="3" s="1"/>
  <c r="B4673" i="3" a="1"/>
  <c r="B4673" i="3" s="1"/>
  <c r="C4673" i="3" a="1"/>
  <c r="C4673" i="3" s="1"/>
  <c r="D4673" i="3" a="1"/>
  <c r="D4673" i="3" s="1"/>
  <c r="E4673" i="3" a="1"/>
  <c r="E4673" i="3" s="1"/>
  <c r="F4673" i="3" a="1"/>
  <c r="F4673" i="3" s="1"/>
  <c r="G4673" i="3" a="1"/>
  <c r="G4673" i="3" s="1"/>
  <c r="J4673" i="3" a="1"/>
  <c r="J4673" i="3" s="1"/>
  <c r="B4674" i="3" a="1"/>
  <c r="B4674" i="3" s="1"/>
  <c r="C4674" i="3" a="1"/>
  <c r="C4674" i="3" s="1"/>
  <c r="D4674" i="3" a="1"/>
  <c r="D4674" i="3" s="1"/>
  <c r="E4674" i="3" a="1"/>
  <c r="E4674" i="3" s="1"/>
  <c r="F4674" i="3" a="1"/>
  <c r="F4674" i="3" s="1"/>
  <c r="G4674" i="3" a="1"/>
  <c r="G4674" i="3" s="1"/>
  <c r="J4674" i="3" a="1"/>
  <c r="J4674" i="3" s="1"/>
  <c r="B4675" i="3" a="1"/>
  <c r="B4675" i="3" s="1"/>
  <c r="C4675" i="3" a="1"/>
  <c r="C4675" i="3" s="1"/>
  <c r="D4675" i="3" a="1"/>
  <c r="D4675" i="3" s="1"/>
  <c r="E4675" i="3" a="1"/>
  <c r="E4675" i="3" s="1"/>
  <c r="F4675" i="3" a="1"/>
  <c r="F4675" i="3" s="1"/>
  <c r="G4675" i="3" a="1"/>
  <c r="G4675" i="3" s="1"/>
  <c r="J4675" i="3" a="1"/>
  <c r="J4675" i="3" s="1"/>
  <c r="B4676" i="3" a="1"/>
  <c r="B4676" i="3" s="1"/>
  <c r="C4676" i="3" a="1"/>
  <c r="C4676" i="3" s="1"/>
  <c r="D4676" i="3" a="1"/>
  <c r="D4676" i="3" s="1"/>
  <c r="E4676" i="3" a="1"/>
  <c r="E4676" i="3" s="1"/>
  <c r="F4676" i="3" a="1"/>
  <c r="F4676" i="3" s="1"/>
  <c r="G4676" i="3" a="1"/>
  <c r="G4676" i="3" s="1"/>
  <c r="J4676" i="3" a="1"/>
  <c r="J4676" i="3" s="1"/>
  <c r="B4677" i="3" a="1"/>
  <c r="B4677" i="3" s="1"/>
  <c r="C4677" i="3" a="1"/>
  <c r="C4677" i="3" s="1"/>
  <c r="D4677" i="3" a="1"/>
  <c r="D4677" i="3" s="1"/>
  <c r="E4677" i="3" a="1"/>
  <c r="E4677" i="3" s="1"/>
  <c r="F4677" i="3" a="1"/>
  <c r="F4677" i="3" s="1"/>
  <c r="G4677" i="3" a="1"/>
  <c r="G4677" i="3" s="1"/>
  <c r="J4677" i="3" a="1"/>
  <c r="J4677" i="3" s="1"/>
  <c r="B4678" i="3" a="1"/>
  <c r="B4678" i="3" s="1"/>
  <c r="C4678" i="3" a="1"/>
  <c r="C4678" i="3" s="1"/>
  <c r="D4678" i="3" a="1"/>
  <c r="D4678" i="3" s="1"/>
  <c r="E4678" i="3" a="1"/>
  <c r="E4678" i="3" s="1"/>
  <c r="F4678" i="3" a="1"/>
  <c r="F4678" i="3" s="1"/>
  <c r="G4678" i="3" a="1"/>
  <c r="G4678" i="3" s="1"/>
  <c r="J4678" i="3" a="1"/>
  <c r="J4678" i="3" s="1"/>
  <c r="B4679" i="3" a="1"/>
  <c r="B4679" i="3" s="1"/>
  <c r="C4679" i="3" a="1"/>
  <c r="C4679" i="3" s="1"/>
  <c r="D4679" i="3" a="1"/>
  <c r="D4679" i="3" s="1"/>
  <c r="E4679" i="3" a="1"/>
  <c r="E4679" i="3" s="1"/>
  <c r="F4679" i="3" a="1"/>
  <c r="F4679" i="3" s="1"/>
  <c r="G4679" i="3" a="1"/>
  <c r="G4679" i="3" s="1"/>
  <c r="J4679" i="3" a="1"/>
  <c r="J4679" i="3" s="1"/>
  <c r="B4680" i="3" a="1"/>
  <c r="B4680" i="3" s="1"/>
  <c r="C4680" i="3" a="1"/>
  <c r="C4680" i="3" s="1"/>
  <c r="D4680" i="3" a="1"/>
  <c r="D4680" i="3" s="1"/>
  <c r="E4680" i="3" a="1"/>
  <c r="E4680" i="3" s="1"/>
  <c r="F4680" i="3" a="1"/>
  <c r="F4680" i="3" s="1"/>
  <c r="G4680" i="3" a="1"/>
  <c r="G4680" i="3" s="1"/>
  <c r="J4680" i="3" a="1"/>
  <c r="J4680" i="3" s="1"/>
  <c r="B4681" i="3" a="1"/>
  <c r="B4681" i="3" s="1"/>
  <c r="C4681" i="3" a="1"/>
  <c r="C4681" i="3" s="1"/>
  <c r="D4681" i="3" a="1"/>
  <c r="D4681" i="3" s="1"/>
  <c r="E4681" i="3" a="1"/>
  <c r="E4681" i="3" s="1"/>
  <c r="F4681" i="3" a="1"/>
  <c r="F4681" i="3" s="1"/>
  <c r="G4681" i="3" a="1"/>
  <c r="G4681" i="3" s="1"/>
  <c r="J4681" i="3" a="1"/>
  <c r="J4681" i="3" s="1"/>
  <c r="B4682" i="3" a="1"/>
  <c r="B4682" i="3" s="1"/>
  <c r="C4682" i="3" a="1"/>
  <c r="C4682" i="3" s="1"/>
  <c r="D4682" i="3" a="1"/>
  <c r="D4682" i="3" s="1"/>
  <c r="E4682" i="3" a="1"/>
  <c r="E4682" i="3" s="1"/>
  <c r="F4682" i="3" a="1"/>
  <c r="F4682" i="3" s="1"/>
  <c r="G4682" i="3" a="1"/>
  <c r="G4682" i="3" s="1"/>
  <c r="J4682" i="3" a="1"/>
  <c r="J4682" i="3" s="1"/>
  <c r="B4683" i="3" a="1"/>
  <c r="B4683" i="3" s="1"/>
  <c r="C4683" i="3" a="1"/>
  <c r="C4683" i="3" s="1"/>
  <c r="D4683" i="3" a="1"/>
  <c r="D4683" i="3" s="1"/>
  <c r="E4683" i="3" a="1"/>
  <c r="E4683" i="3" s="1"/>
  <c r="F4683" i="3" a="1"/>
  <c r="F4683" i="3" s="1"/>
  <c r="G4683" i="3" a="1"/>
  <c r="G4683" i="3" s="1"/>
  <c r="J4683" i="3" a="1"/>
  <c r="J4683" i="3" s="1"/>
  <c r="B4684" i="3" a="1"/>
  <c r="B4684" i="3" s="1"/>
  <c r="C4684" i="3" a="1"/>
  <c r="C4684" i="3" s="1"/>
  <c r="D4684" i="3" a="1"/>
  <c r="D4684" i="3" s="1"/>
  <c r="E4684" i="3" a="1"/>
  <c r="E4684" i="3" s="1"/>
  <c r="F4684" i="3" a="1"/>
  <c r="F4684" i="3" s="1"/>
  <c r="G4684" i="3" a="1"/>
  <c r="G4684" i="3" s="1"/>
  <c r="J4684" i="3" a="1"/>
  <c r="J4684" i="3" s="1"/>
  <c r="B4685" i="3" a="1"/>
  <c r="B4685" i="3" s="1"/>
  <c r="C4685" i="3" a="1"/>
  <c r="C4685" i="3" s="1"/>
  <c r="D4685" i="3" a="1"/>
  <c r="D4685" i="3" s="1"/>
  <c r="E4685" i="3" a="1"/>
  <c r="E4685" i="3" s="1"/>
  <c r="F4685" i="3" a="1"/>
  <c r="F4685" i="3" s="1"/>
  <c r="G4685" i="3" a="1"/>
  <c r="G4685" i="3" s="1"/>
  <c r="J4685" i="3" a="1"/>
  <c r="J4685" i="3" s="1"/>
  <c r="B4686" i="3" a="1"/>
  <c r="B4686" i="3" s="1"/>
  <c r="C4686" i="3" a="1"/>
  <c r="C4686" i="3" s="1"/>
  <c r="D4686" i="3" a="1"/>
  <c r="D4686" i="3" s="1"/>
  <c r="E4686" i="3" a="1"/>
  <c r="E4686" i="3" s="1"/>
  <c r="F4686" i="3" a="1"/>
  <c r="F4686" i="3" s="1"/>
  <c r="G4686" i="3" a="1"/>
  <c r="G4686" i="3" s="1"/>
  <c r="J4686" i="3" a="1"/>
  <c r="J4686" i="3" s="1"/>
  <c r="B4687" i="3" a="1"/>
  <c r="B4687" i="3" s="1"/>
  <c r="C4687" i="3" a="1"/>
  <c r="C4687" i="3" s="1"/>
  <c r="D4687" i="3" a="1"/>
  <c r="D4687" i="3" s="1"/>
  <c r="E4687" i="3" a="1"/>
  <c r="E4687" i="3" s="1"/>
  <c r="F4687" i="3" a="1"/>
  <c r="F4687" i="3" s="1"/>
  <c r="G4687" i="3" a="1"/>
  <c r="G4687" i="3" s="1"/>
  <c r="J4687" i="3" a="1"/>
  <c r="J4687" i="3" s="1"/>
  <c r="B4688" i="3" a="1"/>
  <c r="B4688" i="3" s="1"/>
  <c r="C4688" i="3" a="1"/>
  <c r="C4688" i="3" s="1"/>
  <c r="D4688" i="3" a="1"/>
  <c r="D4688" i="3" s="1"/>
  <c r="E4688" i="3" a="1"/>
  <c r="E4688" i="3" s="1"/>
  <c r="F4688" i="3" a="1"/>
  <c r="F4688" i="3" s="1"/>
  <c r="G4688" i="3" a="1"/>
  <c r="G4688" i="3" s="1"/>
  <c r="J4688" i="3" a="1"/>
  <c r="J4688" i="3" s="1"/>
  <c r="B4689" i="3" a="1"/>
  <c r="B4689" i="3" s="1"/>
  <c r="C4689" i="3" a="1"/>
  <c r="C4689" i="3" s="1"/>
  <c r="D4689" i="3" a="1"/>
  <c r="D4689" i="3" s="1"/>
  <c r="E4689" i="3" a="1"/>
  <c r="E4689" i="3" s="1"/>
  <c r="F4689" i="3" a="1"/>
  <c r="F4689" i="3" s="1"/>
  <c r="G4689" i="3" a="1"/>
  <c r="G4689" i="3" s="1"/>
  <c r="J4689" i="3" a="1"/>
  <c r="J4689" i="3" s="1"/>
  <c r="B4690" i="3" a="1"/>
  <c r="B4690" i="3" s="1"/>
  <c r="C4690" i="3" a="1"/>
  <c r="C4690" i="3" s="1"/>
  <c r="D4690" i="3" a="1"/>
  <c r="D4690" i="3" s="1"/>
  <c r="E4690" i="3" a="1"/>
  <c r="E4690" i="3" s="1"/>
  <c r="F4690" i="3" a="1"/>
  <c r="F4690" i="3" s="1"/>
  <c r="G4690" i="3" a="1"/>
  <c r="G4690" i="3" s="1"/>
  <c r="J4690" i="3" a="1"/>
  <c r="J4690" i="3" s="1"/>
  <c r="B4691" i="3" a="1"/>
  <c r="B4691" i="3" s="1"/>
  <c r="C4691" i="3" a="1"/>
  <c r="C4691" i="3" s="1"/>
  <c r="D4691" i="3" a="1"/>
  <c r="D4691" i="3" s="1"/>
  <c r="E4691" i="3" a="1"/>
  <c r="E4691" i="3" s="1"/>
  <c r="F4691" i="3" a="1"/>
  <c r="F4691" i="3" s="1"/>
  <c r="G4691" i="3" a="1"/>
  <c r="G4691" i="3" s="1"/>
  <c r="J4691" i="3" a="1"/>
  <c r="J4691" i="3" s="1"/>
  <c r="B4692" i="3" a="1"/>
  <c r="B4692" i="3" s="1"/>
  <c r="C4692" i="3" a="1"/>
  <c r="C4692" i="3" s="1"/>
  <c r="D4692" i="3" a="1"/>
  <c r="D4692" i="3" s="1"/>
  <c r="E4692" i="3" a="1"/>
  <c r="E4692" i="3" s="1"/>
  <c r="F4692" i="3" a="1"/>
  <c r="F4692" i="3" s="1"/>
  <c r="G4692" i="3" a="1"/>
  <c r="G4692" i="3" s="1"/>
  <c r="J4692" i="3" a="1"/>
  <c r="J4692" i="3" s="1"/>
  <c r="B4693" i="3" a="1"/>
  <c r="B4693" i="3" s="1"/>
  <c r="C4693" i="3" a="1"/>
  <c r="C4693" i="3" s="1"/>
  <c r="D4693" i="3" a="1"/>
  <c r="D4693" i="3" s="1"/>
  <c r="E4693" i="3" a="1"/>
  <c r="E4693" i="3" s="1"/>
  <c r="F4693" i="3" a="1"/>
  <c r="F4693" i="3" s="1"/>
  <c r="G4693" i="3" a="1"/>
  <c r="G4693" i="3" s="1"/>
  <c r="J4693" i="3" a="1"/>
  <c r="J4693" i="3" s="1"/>
  <c r="B4694" i="3" a="1"/>
  <c r="B4694" i="3" s="1"/>
  <c r="C4694" i="3" a="1"/>
  <c r="C4694" i="3" s="1"/>
  <c r="D4694" i="3" a="1"/>
  <c r="D4694" i="3" s="1"/>
  <c r="E4694" i="3" a="1"/>
  <c r="E4694" i="3" s="1"/>
  <c r="F4694" i="3" a="1"/>
  <c r="F4694" i="3" s="1"/>
  <c r="G4694" i="3" a="1"/>
  <c r="G4694" i="3" s="1"/>
  <c r="J4694" i="3" a="1"/>
  <c r="J4694" i="3" s="1"/>
  <c r="B4695" i="3" a="1"/>
  <c r="B4695" i="3" s="1"/>
  <c r="C4695" i="3" a="1"/>
  <c r="C4695" i="3" s="1"/>
  <c r="D4695" i="3" a="1"/>
  <c r="D4695" i="3" s="1"/>
  <c r="E4695" i="3" a="1"/>
  <c r="E4695" i="3" s="1"/>
  <c r="F4695" i="3" a="1"/>
  <c r="F4695" i="3" s="1"/>
  <c r="G4695" i="3" a="1"/>
  <c r="G4695" i="3" s="1"/>
  <c r="J4695" i="3" a="1"/>
  <c r="J4695" i="3" s="1"/>
  <c r="B4696" i="3" a="1"/>
  <c r="B4696" i="3" s="1"/>
  <c r="C4696" i="3" a="1"/>
  <c r="C4696" i="3" s="1"/>
  <c r="D4696" i="3" a="1"/>
  <c r="D4696" i="3" s="1"/>
  <c r="E4696" i="3" a="1"/>
  <c r="E4696" i="3" s="1"/>
  <c r="F4696" i="3" a="1"/>
  <c r="F4696" i="3" s="1"/>
  <c r="G4696" i="3" a="1"/>
  <c r="G4696" i="3" s="1"/>
  <c r="J4696" i="3" a="1"/>
  <c r="J4696" i="3" s="1"/>
  <c r="B4697" i="3" a="1"/>
  <c r="B4697" i="3" s="1"/>
  <c r="C4697" i="3" a="1"/>
  <c r="C4697" i="3" s="1"/>
  <c r="D4697" i="3" a="1"/>
  <c r="D4697" i="3" s="1"/>
  <c r="E4697" i="3" a="1"/>
  <c r="E4697" i="3" s="1"/>
  <c r="F4697" i="3" a="1"/>
  <c r="F4697" i="3" s="1"/>
  <c r="G4697" i="3" a="1"/>
  <c r="G4697" i="3" s="1"/>
  <c r="J4697" i="3" a="1"/>
  <c r="J4697" i="3" s="1"/>
  <c r="B4698" i="3" a="1"/>
  <c r="B4698" i="3" s="1"/>
  <c r="C4698" i="3" a="1"/>
  <c r="C4698" i="3" s="1"/>
  <c r="D4698" i="3" a="1"/>
  <c r="D4698" i="3" s="1"/>
  <c r="E4698" i="3" a="1"/>
  <c r="E4698" i="3" s="1"/>
  <c r="F4698" i="3" a="1"/>
  <c r="F4698" i="3" s="1"/>
  <c r="G4698" i="3" a="1"/>
  <c r="G4698" i="3" s="1"/>
  <c r="J4698" i="3" a="1"/>
  <c r="J4698" i="3" s="1"/>
  <c r="B4699" i="3" a="1"/>
  <c r="B4699" i="3" s="1"/>
  <c r="C4699" i="3" a="1"/>
  <c r="C4699" i="3" s="1"/>
  <c r="D4699" i="3" a="1"/>
  <c r="D4699" i="3" s="1"/>
  <c r="E4699" i="3" a="1"/>
  <c r="E4699" i="3" s="1"/>
  <c r="F4699" i="3" a="1"/>
  <c r="F4699" i="3" s="1"/>
  <c r="G4699" i="3" a="1"/>
  <c r="G4699" i="3" s="1"/>
  <c r="J4699" i="3" a="1"/>
  <c r="J4699" i="3" s="1"/>
  <c r="B4700" i="3" a="1"/>
  <c r="B4700" i="3" s="1"/>
  <c r="C4700" i="3" a="1"/>
  <c r="C4700" i="3" s="1"/>
  <c r="D4700" i="3" a="1"/>
  <c r="D4700" i="3" s="1"/>
  <c r="E4700" i="3" a="1"/>
  <c r="E4700" i="3" s="1"/>
  <c r="F4700" i="3" a="1"/>
  <c r="F4700" i="3" s="1"/>
  <c r="G4700" i="3" a="1"/>
  <c r="G4700" i="3" s="1"/>
  <c r="J4700" i="3" a="1"/>
  <c r="J4700" i="3" s="1"/>
  <c r="B4701" i="3" a="1"/>
  <c r="B4701" i="3" s="1"/>
  <c r="C4701" i="3" a="1"/>
  <c r="C4701" i="3" s="1"/>
  <c r="D4701" i="3" a="1"/>
  <c r="D4701" i="3" s="1"/>
  <c r="E4701" i="3" a="1"/>
  <c r="E4701" i="3" s="1"/>
  <c r="F4701" i="3" a="1"/>
  <c r="F4701" i="3" s="1"/>
  <c r="G4701" i="3" a="1"/>
  <c r="G4701" i="3" s="1"/>
  <c r="J4701" i="3" a="1"/>
  <c r="J4701" i="3" s="1"/>
  <c r="B4702" i="3" a="1"/>
  <c r="B4702" i="3" s="1"/>
  <c r="C4702" i="3" a="1"/>
  <c r="C4702" i="3" s="1"/>
  <c r="D4702" i="3" a="1"/>
  <c r="D4702" i="3" s="1"/>
  <c r="E4702" i="3" a="1"/>
  <c r="E4702" i="3" s="1"/>
  <c r="F4702" i="3" a="1"/>
  <c r="F4702" i="3" s="1"/>
  <c r="G4702" i="3" a="1"/>
  <c r="G4702" i="3" s="1"/>
  <c r="J4702" i="3" a="1"/>
  <c r="J4702" i="3" s="1"/>
  <c r="B4703" i="3" a="1"/>
  <c r="B4703" i="3" s="1"/>
  <c r="C4703" i="3" a="1"/>
  <c r="C4703" i="3" s="1"/>
  <c r="D4703" i="3" a="1"/>
  <c r="D4703" i="3" s="1"/>
  <c r="E4703" i="3" a="1"/>
  <c r="E4703" i="3" s="1"/>
  <c r="F4703" i="3" a="1"/>
  <c r="F4703" i="3" s="1"/>
  <c r="G4703" i="3" a="1"/>
  <c r="G4703" i="3" s="1"/>
  <c r="J4703" i="3" a="1"/>
  <c r="J4703" i="3" s="1"/>
  <c r="B4704" i="3" a="1"/>
  <c r="B4704" i="3" s="1"/>
  <c r="C4704" i="3" a="1"/>
  <c r="C4704" i="3" s="1"/>
  <c r="D4704" i="3" a="1"/>
  <c r="D4704" i="3" s="1"/>
  <c r="E4704" i="3" a="1"/>
  <c r="E4704" i="3" s="1"/>
  <c r="F4704" i="3" a="1"/>
  <c r="F4704" i="3" s="1"/>
  <c r="G4704" i="3" a="1"/>
  <c r="G4704" i="3" s="1"/>
  <c r="J4704" i="3" a="1"/>
  <c r="J4704" i="3" s="1"/>
  <c r="B4705" i="3" a="1"/>
  <c r="B4705" i="3" s="1"/>
  <c r="C4705" i="3" a="1"/>
  <c r="C4705" i="3" s="1"/>
  <c r="D4705" i="3" a="1"/>
  <c r="D4705" i="3" s="1"/>
  <c r="E4705" i="3" a="1"/>
  <c r="E4705" i="3" s="1"/>
  <c r="F4705" i="3" a="1"/>
  <c r="F4705" i="3" s="1"/>
  <c r="G4705" i="3" a="1"/>
  <c r="G4705" i="3" s="1"/>
  <c r="J4705" i="3" a="1"/>
  <c r="J4705" i="3" s="1"/>
  <c r="B4706" i="3" a="1"/>
  <c r="B4706" i="3" s="1"/>
  <c r="C4706" i="3" a="1"/>
  <c r="C4706" i="3" s="1"/>
  <c r="D4706" i="3" a="1"/>
  <c r="D4706" i="3" s="1"/>
  <c r="E4706" i="3" a="1"/>
  <c r="E4706" i="3" s="1"/>
  <c r="F4706" i="3" a="1"/>
  <c r="F4706" i="3" s="1"/>
  <c r="G4706" i="3" a="1"/>
  <c r="G4706" i="3" s="1"/>
  <c r="J4706" i="3" a="1"/>
  <c r="J4706" i="3" s="1"/>
  <c r="B4707" i="3" a="1"/>
  <c r="B4707" i="3" s="1"/>
  <c r="C4707" i="3" a="1"/>
  <c r="C4707" i="3" s="1"/>
  <c r="D4707" i="3" a="1"/>
  <c r="D4707" i="3" s="1"/>
  <c r="E4707" i="3" a="1"/>
  <c r="E4707" i="3" s="1"/>
  <c r="F4707" i="3" a="1"/>
  <c r="F4707" i="3" s="1"/>
  <c r="G4707" i="3" a="1"/>
  <c r="G4707" i="3" s="1"/>
  <c r="J4707" i="3" a="1"/>
  <c r="J4707" i="3" s="1"/>
  <c r="B4708" i="3" a="1"/>
  <c r="B4708" i="3" s="1"/>
  <c r="C4708" i="3" a="1"/>
  <c r="C4708" i="3" s="1"/>
  <c r="D4708" i="3" a="1"/>
  <c r="D4708" i="3" s="1"/>
  <c r="E4708" i="3" a="1"/>
  <c r="E4708" i="3" s="1"/>
  <c r="F4708" i="3" a="1"/>
  <c r="F4708" i="3" s="1"/>
  <c r="G4708" i="3" a="1"/>
  <c r="G4708" i="3" s="1"/>
  <c r="J4708" i="3" a="1"/>
  <c r="J4708" i="3" s="1"/>
  <c r="B4709" i="3" a="1"/>
  <c r="B4709" i="3" s="1"/>
  <c r="C4709" i="3" a="1"/>
  <c r="C4709" i="3" s="1"/>
  <c r="D4709" i="3" a="1"/>
  <c r="D4709" i="3" s="1"/>
  <c r="E4709" i="3" a="1"/>
  <c r="E4709" i="3" s="1"/>
  <c r="F4709" i="3" a="1"/>
  <c r="F4709" i="3" s="1"/>
  <c r="G4709" i="3" a="1"/>
  <c r="G4709" i="3" s="1"/>
  <c r="J4709" i="3" a="1"/>
  <c r="J4709" i="3" s="1"/>
  <c r="B4710" i="3" a="1"/>
  <c r="B4710" i="3" s="1"/>
  <c r="C4710" i="3" a="1"/>
  <c r="C4710" i="3" s="1"/>
  <c r="D4710" i="3" a="1"/>
  <c r="D4710" i="3" s="1"/>
  <c r="E4710" i="3" a="1"/>
  <c r="E4710" i="3" s="1"/>
  <c r="F4710" i="3" a="1"/>
  <c r="F4710" i="3" s="1"/>
  <c r="G4710" i="3" a="1"/>
  <c r="G4710" i="3" s="1"/>
  <c r="J4710" i="3" a="1"/>
  <c r="J4710" i="3" s="1"/>
  <c r="B4711" i="3" a="1"/>
  <c r="B4711" i="3" s="1"/>
  <c r="C4711" i="3" a="1"/>
  <c r="C4711" i="3" s="1"/>
  <c r="D4711" i="3" a="1"/>
  <c r="D4711" i="3" s="1"/>
  <c r="E4711" i="3" a="1"/>
  <c r="E4711" i="3" s="1"/>
  <c r="F4711" i="3" a="1"/>
  <c r="F4711" i="3" s="1"/>
  <c r="G4711" i="3" a="1"/>
  <c r="G4711" i="3" s="1"/>
  <c r="J4711" i="3" a="1"/>
  <c r="J4711" i="3" s="1"/>
  <c r="B4712" i="3" a="1"/>
  <c r="B4712" i="3" s="1"/>
  <c r="C4712" i="3" a="1"/>
  <c r="C4712" i="3" s="1"/>
  <c r="D4712" i="3" a="1"/>
  <c r="D4712" i="3" s="1"/>
  <c r="E4712" i="3" a="1"/>
  <c r="E4712" i="3" s="1"/>
  <c r="F4712" i="3" a="1"/>
  <c r="F4712" i="3" s="1"/>
  <c r="G4712" i="3" a="1"/>
  <c r="G4712" i="3" s="1"/>
  <c r="J4712" i="3" a="1"/>
  <c r="J4712" i="3" s="1"/>
  <c r="B4713" i="3" a="1"/>
  <c r="B4713" i="3" s="1"/>
  <c r="C4713" i="3" a="1"/>
  <c r="C4713" i="3" s="1"/>
  <c r="D4713" i="3" a="1"/>
  <c r="D4713" i="3" s="1"/>
  <c r="E4713" i="3" a="1"/>
  <c r="E4713" i="3" s="1"/>
  <c r="F4713" i="3" a="1"/>
  <c r="F4713" i="3" s="1"/>
  <c r="G4713" i="3" a="1"/>
  <c r="G4713" i="3" s="1"/>
  <c r="J4713" i="3" a="1"/>
  <c r="J4713" i="3" s="1"/>
  <c r="B4714" i="3" a="1"/>
  <c r="B4714" i="3" s="1"/>
  <c r="C4714" i="3" a="1"/>
  <c r="C4714" i="3" s="1"/>
  <c r="D4714" i="3" a="1"/>
  <c r="D4714" i="3" s="1"/>
  <c r="E4714" i="3" a="1"/>
  <c r="E4714" i="3" s="1"/>
  <c r="F4714" i="3" a="1"/>
  <c r="F4714" i="3" s="1"/>
  <c r="G4714" i="3" a="1"/>
  <c r="G4714" i="3" s="1"/>
  <c r="J4714" i="3" a="1"/>
  <c r="J4714" i="3" s="1"/>
  <c r="B4715" i="3" a="1"/>
  <c r="B4715" i="3" s="1"/>
  <c r="C4715" i="3" a="1"/>
  <c r="C4715" i="3" s="1"/>
  <c r="D4715" i="3" a="1"/>
  <c r="D4715" i="3" s="1"/>
  <c r="E4715" i="3" a="1"/>
  <c r="E4715" i="3" s="1"/>
  <c r="F4715" i="3" a="1"/>
  <c r="F4715" i="3" s="1"/>
  <c r="G4715" i="3" a="1"/>
  <c r="G4715" i="3" s="1"/>
  <c r="J4715" i="3" a="1"/>
  <c r="J4715" i="3" s="1"/>
  <c r="B4716" i="3" a="1"/>
  <c r="B4716" i="3" s="1"/>
  <c r="C4716" i="3" a="1"/>
  <c r="C4716" i="3" s="1"/>
  <c r="D4716" i="3" a="1"/>
  <c r="D4716" i="3" s="1"/>
  <c r="E4716" i="3" a="1"/>
  <c r="E4716" i="3" s="1"/>
  <c r="F4716" i="3" a="1"/>
  <c r="F4716" i="3" s="1"/>
  <c r="G4716" i="3" a="1"/>
  <c r="G4716" i="3" s="1"/>
  <c r="J4716" i="3" a="1"/>
  <c r="J4716" i="3" s="1"/>
  <c r="B4717" i="3" a="1"/>
  <c r="B4717" i="3" s="1"/>
  <c r="C4717" i="3" a="1"/>
  <c r="C4717" i="3" s="1"/>
  <c r="D4717" i="3" a="1"/>
  <c r="D4717" i="3" s="1"/>
  <c r="E4717" i="3" a="1"/>
  <c r="E4717" i="3" s="1"/>
  <c r="F4717" i="3" a="1"/>
  <c r="F4717" i="3" s="1"/>
  <c r="G4717" i="3" a="1"/>
  <c r="G4717" i="3" s="1"/>
  <c r="J4717" i="3" a="1"/>
  <c r="J4717" i="3" s="1"/>
  <c r="B4718" i="3" a="1"/>
  <c r="B4718" i="3" s="1"/>
  <c r="C4718" i="3" a="1"/>
  <c r="C4718" i="3" s="1"/>
  <c r="D4718" i="3" a="1"/>
  <c r="D4718" i="3" s="1"/>
  <c r="E4718" i="3" a="1"/>
  <c r="E4718" i="3" s="1"/>
  <c r="F4718" i="3" a="1"/>
  <c r="F4718" i="3" s="1"/>
  <c r="G4718" i="3" a="1"/>
  <c r="G4718" i="3" s="1"/>
  <c r="J4718" i="3" a="1"/>
  <c r="J4718" i="3" s="1"/>
  <c r="B4719" i="3" a="1"/>
  <c r="B4719" i="3" s="1"/>
  <c r="C4719" i="3" a="1"/>
  <c r="C4719" i="3" s="1"/>
  <c r="D4719" i="3" a="1"/>
  <c r="D4719" i="3" s="1"/>
  <c r="E4719" i="3" a="1"/>
  <c r="E4719" i="3" s="1"/>
  <c r="F4719" i="3" a="1"/>
  <c r="F4719" i="3" s="1"/>
  <c r="G4719" i="3" a="1"/>
  <c r="G4719" i="3" s="1"/>
  <c r="J4719" i="3" a="1"/>
  <c r="J4719" i="3" s="1"/>
  <c r="B4720" i="3" a="1"/>
  <c r="B4720" i="3" s="1"/>
  <c r="C4720" i="3" a="1"/>
  <c r="C4720" i="3" s="1"/>
  <c r="D4720" i="3" a="1"/>
  <c r="D4720" i="3" s="1"/>
  <c r="E4720" i="3" a="1"/>
  <c r="E4720" i="3" s="1"/>
  <c r="F4720" i="3" a="1"/>
  <c r="F4720" i="3" s="1"/>
  <c r="G4720" i="3" a="1"/>
  <c r="G4720" i="3" s="1"/>
  <c r="J4720" i="3" a="1"/>
  <c r="J4720" i="3" s="1"/>
  <c r="B4721" i="3" a="1"/>
  <c r="B4721" i="3" s="1"/>
  <c r="C4721" i="3" a="1"/>
  <c r="C4721" i="3" s="1"/>
  <c r="D4721" i="3" a="1"/>
  <c r="D4721" i="3" s="1"/>
  <c r="E4721" i="3" a="1"/>
  <c r="E4721" i="3" s="1"/>
  <c r="F4721" i="3" a="1"/>
  <c r="F4721" i="3" s="1"/>
  <c r="G4721" i="3" a="1"/>
  <c r="G4721" i="3" s="1"/>
  <c r="J4721" i="3" a="1"/>
  <c r="J4721" i="3" s="1"/>
  <c r="B4722" i="3" a="1"/>
  <c r="B4722" i="3" s="1"/>
  <c r="C4722" i="3" a="1"/>
  <c r="C4722" i="3" s="1"/>
  <c r="D4722" i="3" a="1"/>
  <c r="D4722" i="3" s="1"/>
  <c r="E4722" i="3" a="1"/>
  <c r="E4722" i="3" s="1"/>
  <c r="F4722" i="3" a="1"/>
  <c r="F4722" i="3" s="1"/>
  <c r="G4722" i="3" a="1"/>
  <c r="G4722" i="3" s="1"/>
  <c r="J4722" i="3" a="1"/>
  <c r="J4722" i="3" s="1"/>
  <c r="B4723" i="3" a="1"/>
  <c r="B4723" i="3" s="1"/>
  <c r="C4723" i="3" a="1"/>
  <c r="C4723" i="3" s="1"/>
  <c r="D4723" i="3" a="1"/>
  <c r="D4723" i="3" s="1"/>
  <c r="E4723" i="3" a="1"/>
  <c r="E4723" i="3" s="1"/>
  <c r="F4723" i="3" a="1"/>
  <c r="F4723" i="3" s="1"/>
  <c r="G4723" i="3" a="1"/>
  <c r="G4723" i="3" s="1"/>
  <c r="J4723" i="3" a="1"/>
  <c r="J4723" i="3" s="1"/>
  <c r="B4724" i="3" a="1"/>
  <c r="B4724" i="3" s="1"/>
  <c r="C4724" i="3" a="1"/>
  <c r="C4724" i="3" s="1"/>
  <c r="D4724" i="3" a="1"/>
  <c r="D4724" i="3" s="1"/>
  <c r="E4724" i="3" a="1"/>
  <c r="E4724" i="3" s="1"/>
  <c r="F4724" i="3" a="1"/>
  <c r="F4724" i="3" s="1"/>
  <c r="G4724" i="3" a="1"/>
  <c r="G4724" i="3" s="1"/>
  <c r="J4724" i="3" a="1"/>
  <c r="J4724" i="3" s="1"/>
  <c r="B4725" i="3" a="1"/>
  <c r="B4725" i="3" s="1"/>
  <c r="C4725" i="3" a="1"/>
  <c r="C4725" i="3" s="1"/>
  <c r="D4725" i="3" a="1"/>
  <c r="D4725" i="3" s="1"/>
  <c r="E4725" i="3" a="1"/>
  <c r="E4725" i="3" s="1"/>
  <c r="F4725" i="3" a="1"/>
  <c r="F4725" i="3" s="1"/>
  <c r="G4725" i="3" a="1"/>
  <c r="G4725" i="3" s="1"/>
  <c r="J4725" i="3" a="1"/>
  <c r="J4725" i="3" s="1"/>
  <c r="B4726" i="3" a="1"/>
  <c r="B4726" i="3" s="1"/>
  <c r="C4726" i="3" a="1"/>
  <c r="C4726" i="3" s="1"/>
  <c r="D4726" i="3" a="1"/>
  <c r="D4726" i="3" s="1"/>
  <c r="E4726" i="3" a="1"/>
  <c r="E4726" i="3" s="1"/>
  <c r="F4726" i="3" a="1"/>
  <c r="F4726" i="3" s="1"/>
  <c r="G4726" i="3" a="1"/>
  <c r="G4726" i="3" s="1"/>
  <c r="J4726" i="3" a="1"/>
  <c r="J4726" i="3" s="1"/>
  <c r="B4727" i="3" a="1"/>
  <c r="B4727" i="3" s="1"/>
  <c r="C4727" i="3" a="1"/>
  <c r="C4727" i="3" s="1"/>
  <c r="D4727" i="3" a="1"/>
  <c r="D4727" i="3" s="1"/>
  <c r="E4727" i="3" a="1"/>
  <c r="E4727" i="3" s="1"/>
  <c r="F4727" i="3" a="1"/>
  <c r="F4727" i="3" s="1"/>
  <c r="G4727" i="3" a="1"/>
  <c r="G4727" i="3" s="1"/>
  <c r="J4727" i="3" a="1"/>
  <c r="J4727" i="3" s="1"/>
  <c r="B4728" i="3" a="1"/>
  <c r="B4728" i="3" s="1"/>
  <c r="C4728" i="3" a="1"/>
  <c r="C4728" i="3" s="1"/>
  <c r="D4728" i="3" a="1"/>
  <c r="D4728" i="3" s="1"/>
  <c r="E4728" i="3" a="1"/>
  <c r="E4728" i="3" s="1"/>
  <c r="F4728" i="3" a="1"/>
  <c r="F4728" i="3" s="1"/>
  <c r="G4728" i="3" a="1"/>
  <c r="G4728" i="3" s="1"/>
  <c r="J4728" i="3" a="1"/>
  <c r="J4728" i="3" s="1"/>
  <c r="B4729" i="3" a="1"/>
  <c r="B4729" i="3" s="1"/>
  <c r="C4729" i="3" a="1"/>
  <c r="C4729" i="3" s="1"/>
  <c r="D4729" i="3" a="1"/>
  <c r="D4729" i="3" s="1"/>
  <c r="E4729" i="3" a="1"/>
  <c r="E4729" i="3" s="1"/>
  <c r="F4729" i="3" a="1"/>
  <c r="F4729" i="3" s="1"/>
  <c r="G4729" i="3" a="1"/>
  <c r="G4729" i="3" s="1"/>
  <c r="J4729" i="3" a="1"/>
  <c r="J4729" i="3" s="1"/>
  <c r="B4730" i="3" a="1"/>
  <c r="B4730" i="3" s="1"/>
  <c r="C4730" i="3" a="1"/>
  <c r="C4730" i="3" s="1"/>
  <c r="D4730" i="3" a="1"/>
  <c r="D4730" i="3" s="1"/>
  <c r="E4730" i="3" a="1"/>
  <c r="E4730" i="3" s="1"/>
  <c r="F4730" i="3" a="1"/>
  <c r="F4730" i="3" s="1"/>
  <c r="G4730" i="3" a="1"/>
  <c r="G4730" i="3" s="1"/>
  <c r="J4730" i="3" a="1"/>
  <c r="J4730" i="3" s="1"/>
  <c r="B4731" i="3" a="1"/>
  <c r="B4731" i="3" s="1"/>
  <c r="C4731" i="3" a="1"/>
  <c r="C4731" i="3" s="1"/>
  <c r="D4731" i="3" a="1"/>
  <c r="D4731" i="3" s="1"/>
  <c r="E4731" i="3" a="1"/>
  <c r="E4731" i="3" s="1"/>
  <c r="F4731" i="3" a="1"/>
  <c r="F4731" i="3" s="1"/>
  <c r="G4731" i="3" a="1"/>
  <c r="G4731" i="3" s="1"/>
  <c r="J4731" i="3" a="1"/>
  <c r="J4731" i="3" s="1"/>
  <c r="B4732" i="3" a="1"/>
  <c r="B4732" i="3" s="1"/>
  <c r="C4732" i="3" a="1"/>
  <c r="C4732" i="3" s="1"/>
  <c r="D4732" i="3" a="1"/>
  <c r="D4732" i="3" s="1"/>
  <c r="E4732" i="3" a="1"/>
  <c r="E4732" i="3" s="1"/>
  <c r="F4732" i="3" a="1"/>
  <c r="F4732" i="3" s="1"/>
  <c r="G4732" i="3" a="1"/>
  <c r="G4732" i="3" s="1"/>
  <c r="J4732" i="3" a="1"/>
  <c r="J4732" i="3" s="1"/>
  <c r="B4733" i="3" a="1"/>
  <c r="B4733" i="3" s="1"/>
  <c r="C4733" i="3" a="1"/>
  <c r="C4733" i="3" s="1"/>
  <c r="D4733" i="3" a="1"/>
  <c r="D4733" i="3" s="1"/>
  <c r="E4733" i="3" a="1"/>
  <c r="E4733" i="3" s="1"/>
  <c r="F4733" i="3" a="1"/>
  <c r="F4733" i="3" s="1"/>
  <c r="G4733" i="3" a="1"/>
  <c r="G4733" i="3" s="1"/>
  <c r="J4733" i="3" a="1"/>
  <c r="J4733" i="3" s="1"/>
  <c r="B4734" i="3" a="1"/>
  <c r="B4734" i="3" s="1"/>
  <c r="C4734" i="3" a="1"/>
  <c r="C4734" i="3" s="1"/>
  <c r="D4734" i="3" a="1"/>
  <c r="D4734" i="3" s="1"/>
  <c r="E4734" i="3" a="1"/>
  <c r="E4734" i="3" s="1"/>
  <c r="F4734" i="3" a="1"/>
  <c r="F4734" i="3" s="1"/>
  <c r="G4734" i="3" a="1"/>
  <c r="G4734" i="3" s="1"/>
  <c r="J4734" i="3" a="1"/>
  <c r="J4734" i="3" s="1"/>
  <c r="B4735" i="3" a="1"/>
  <c r="B4735" i="3" s="1"/>
  <c r="C4735" i="3" a="1"/>
  <c r="C4735" i="3" s="1"/>
  <c r="D4735" i="3" a="1"/>
  <c r="D4735" i="3" s="1"/>
  <c r="E4735" i="3" a="1"/>
  <c r="E4735" i="3" s="1"/>
  <c r="F4735" i="3" a="1"/>
  <c r="F4735" i="3" s="1"/>
  <c r="G4735" i="3" a="1"/>
  <c r="G4735" i="3" s="1"/>
  <c r="J4735" i="3" a="1"/>
  <c r="J4735" i="3" s="1"/>
  <c r="B4736" i="3" a="1"/>
  <c r="B4736" i="3" s="1"/>
  <c r="C4736" i="3" a="1"/>
  <c r="C4736" i="3" s="1"/>
  <c r="D4736" i="3" a="1"/>
  <c r="D4736" i="3" s="1"/>
  <c r="E4736" i="3" a="1"/>
  <c r="E4736" i="3" s="1"/>
  <c r="F4736" i="3" a="1"/>
  <c r="F4736" i="3" s="1"/>
  <c r="G4736" i="3" a="1"/>
  <c r="G4736" i="3" s="1"/>
  <c r="J4736" i="3" a="1"/>
  <c r="J4736" i="3" s="1"/>
  <c r="B4737" i="3" a="1"/>
  <c r="B4737" i="3" s="1"/>
  <c r="C4737" i="3" a="1"/>
  <c r="C4737" i="3" s="1"/>
  <c r="D4737" i="3" a="1"/>
  <c r="D4737" i="3" s="1"/>
  <c r="E4737" i="3" a="1"/>
  <c r="E4737" i="3" s="1"/>
  <c r="F4737" i="3" a="1"/>
  <c r="F4737" i="3" s="1"/>
  <c r="G4737" i="3" a="1"/>
  <c r="G4737" i="3" s="1"/>
  <c r="J4737" i="3" a="1"/>
  <c r="J4737" i="3" s="1"/>
  <c r="B4738" i="3" a="1"/>
  <c r="B4738" i="3" s="1"/>
  <c r="C4738" i="3" a="1"/>
  <c r="C4738" i="3" s="1"/>
  <c r="D4738" i="3" a="1"/>
  <c r="D4738" i="3" s="1"/>
  <c r="E4738" i="3" a="1"/>
  <c r="E4738" i="3" s="1"/>
  <c r="F4738" i="3" a="1"/>
  <c r="F4738" i="3" s="1"/>
  <c r="G4738" i="3" a="1"/>
  <c r="G4738" i="3" s="1"/>
  <c r="J4738" i="3" a="1"/>
  <c r="J4738" i="3" s="1"/>
  <c r="B4739" i="3" a="1"/>
  <c r="B4739" i="3" s="1"/>
  <c r="C4739" i="3" a="1"/>
  <c r="C4739" i="3" s="1"/>
  <c r="D4739" i="3" a="1"/>
  <c r="D4739" i="3" s="1"/>
  <c r="E4739" i="3" a="1"/>
  <c r="E4739" i="3" s="1"/>
  <c r="F4739" i="3" a="1"/>
  <c r="F4739" i="3" s="1"/>
  <c r="G4739" i="3" a="1"/>
  <c r="G4739" i="3" s="1"/>
  <c r="J4739" i="3" a="1"/>
  <c r="J4739" i="3" s="1"/>
  <c r="B4740" i="3" a="1"/>
  <c r="B4740" i="3" s="1"/>
  <c r="C4740" i="3" a="1"/>
  <c r="C4740" i="3" s="1"/>
  <c r="D4740" i="3" a="1"/>
  <c r="D4740" i="3" s="1"/>
  <c r="E4740" i="3" a="1"/>
  <c r="E4740" i="3" s="1"/>
  <c r="F4740" i="3" a="1"/>
  <c r="F4740" i="3" s="1"/>
  <c r="G4740" i="3" a="1"/>
  <c r="G4740" i="3" s="1"/>
  <c r="J4740" i="3" a="1"/>
  <c r="J4740" i="3" s="1"/>
  <c r="B4741" i="3" a="1"/>
  <c r="B4741" i="3" s="1"/>
  <c r="C4741" i="3" a="1"/>
  <c r="C4741" i="3" s="1"/>
  <c r="D4741" i="3" a="1"/>
  <c r="D4741" i="3" s="1"/>
  <c r="E4741" i="3" a="1"/>
  <c r="E4741" i="3" s="1"/>
  <c r="F4741" i="3" a="1"/>
  <c r="F4741" i="3" s="1"/>
  <c r="G4741" i="3" a="1"/>
  <c r="G4741" i="3" s="1"/>
  <c r="J4741" i="3" a="1"/>
  <c r="J4741" i="3" s="1"/>
  <c r="B4742" i="3" a="1"/>
  <c r="B4742" i="3" s="1"/>
  <c r="C4742" i="3" a="1"/>
  <c r="C4742" i="3" s="1"/>
  <c r="D4742" i="3" a="1"/>
  <c r="D4742" i="3" s="1"/>
  <c r="E4742" i="3" a="1"/>
  <c r="E4742" i="3" s="1"/>
  <c r="F4742" i="3" a="1"/>
  <c r="F4742" i="3" s="1"/>
  <c r="G4742" i="3" a="1"/>
  <c r="G4742" i="3" s="1"/>
  <c r="J4742" i="3" a="1"/>
  <c r="J4742" i="3" s="1"/>
  <c r="B4743" i="3" a="1"/>
  <c r="B4743" i="3" s="1"/>
  <c r="C4743" i="3" a="1"/>
  <c r="C4743" i="3" s="1"/>
  <c r="D4743" i="3" a="1"/>
  <c r="D4743" i="3" s="1"/>
  <c r="E4743" i="3" a="1"/>
  <c r="E4743" i="3" s="1"/>
  <c r="F4743" i="3" a="1"/>
  <c r="F4743" i="3" s="1"/>
  <c r="G4743" i="3" a="1"/>
  <c r="G4743" i="3" s="1"/>
  <c r="J4743" i="3" a="1"/>
  <c r="J4743" i="3" s="1"/>
  <c r="B4744" i="3" a="1"/>
  <c r="B4744" i="3" s="1"/>
  <c r="C4744" i="3" a="1"/>
  <c r="C4744" i="3" s="1"/>
  <c r="D4744" i="3" a="1"/>
  <c r="D4744" i="3" s="1"/>
  <c r="E4744" i="3" a="1"/>
  <c r="E4744" i="3" s="1"/>
  <c r="F4744" i="3" a="1"/>
  <c r="F4744" i="3" s="1"/>
  <c r="G4744" i="3" a="1"/>
  <c r="G4744" i="3" s="1"/>
  <c r="J4744" i="3" a="1"/>
  <c r="J4744" i="3" s="1"/>
  <c r="B4745" i="3" a="1"/>
  <c r="B4745" i="3" s="1"/>
  <c r="C4745" i="3" a="1"/>
  <c r="C4745" i="3" s="1"/>
  <c r="D4745" i="3" a="1"/>
  <c r="D4745" i="3" s="1"/>
  <c r="E4745" i="3" a="1"/>
  <c r="E4745" i="3" s="1"/>
  <c r="F4745" i="3" a="1"/>
  <c r="F4745" i="3" s="1"/>
  <c r="G4745" i="3" a="1"/>
  <c r="G4745" i="3" s="1"/>
  <c r="J4745" i="3" a="1"/>
  <c r="J4745" i="3" s="1"/>
  <c r="B4746" i="3" a="1"/>
  <c r="B4746" i="3" s="1"/>
  <c r="C4746" i="3" a="1"/>
  <c r="C4746" i="3" s="1"/>
  <c r="D4746" i="3" a="1"/>
  <c r="D4746" i="3" s="1"/>
  <c r="E4746" i="3" a="1"/>
  <c r="E4746" i="3" s="1"/>
  <c r="F4746" i="3" a="1"/>
  <c r="F4746" i="3" s="1"/>
  <c r="G4746" i="3" a="1"/>
  <c r="G4746" i="3" s="1"/>
  <c r="J4746" i="3" a="1"/>
  <c r="J4746" i="3" s="1"/>
  <c r="B4747" i="3" a="1"/>
  <c r="B4747" i="3" s="1"/>
  <c r="C4747" i="3" a="1"/>
  <c r="C4747" i="3" s="1"/>
  <c r="D4747" i="3" a="1"/>
  <c r="D4747" i="3" s="1"/>
  <c r="E4747" i="3" a="1"/>
  <c r="E4747" i="3" s="1"/>
  <c r="F4747" i="3" a="1"/>
  <c r="F4747" i="3" s="1"/>
  <c r="G4747" i="3" a="1"/>
  <c r="G4747" i="3" s="1"/>
  <c r="J4747" i="3" a="1"/>
  <c r="J4747" i="3" s="1"/>
  <c r="B4748" i="3" a="1"/>
  <c r="B4748" i="3" s="1"/>
  <c r="C4748" i="3" a="1"/>
  <c r="C4748" i="3" s="1"/>
  <c r="D4748" i="3" a="1"/>
  <c r="D4748" i="3" s="1"/>
  <c r="E4748" i="3" a="1"/>
  <c r="E4748" i="3" s="1"/>
  <c r="F4748" i="3" a="1"/>
  <c r="F4748" i="3" s="1"/>
  <c r="G4748" i="3" a="1"/>
  <c r="G4748" i="3" s="1"/>
  <c r="J4748" i="3" a="1"/>
  <c r="J4748" i="3" s="1"/>
  <c r="B4749" i="3" a="1"/>
  <c r="B4749" i="3" s="1"/>
  <c r="C4749" i="3" a="1"/>
  <c r="C4749" i="3" s="1"/>
  <c r="D4749" i="3" a="1"/>
  <c r="D4749" i="3" s="1"/>
  <c r="E4749" i="3" a="1"/>
  <c r="E4749" i="3" s="1"/>
  <c r="F4749" i="3" a="1"/>
  <c r="F4749" i="3" s="1"/>
  <c r="G4749" i="3" a="1"/>
  <c r="G4749" i="3" s="1"/>
  <c r="J4749" i="3" a="1"/>
  <c r="J4749" i="3" s="1"/>
  <c r="B4750" i="3" a="1"/>
  <c r="B4750" i="3" s="1"/>
  <c r="C4750" i="3" a="1"/>
  <c r="C4750" i="3" s="1"/>
  <c r="D4750" i="3" a="1"/>
  <c r="D4750" i="3" s="1"/>
  <c r="E4750" i="3" a="1"/>
  <c r="E4750" i="3" s="1"/>
  <c r="F4750" i="3" a="1"/>
  <c r="F4750" i="3" s="1"/>
  <c r="G4750" i="3" a="1"/>
  <c r="G4750" i="3" s="1"/>
  <c r="J4750" i="3" a="1"/>
  <c r="J4750" i="3" s="1"/>
  <c r="B4751" i="3" a="1"/>
  <c r="B4751" i="3" s="1"/>
  <c r="C4751" i="3" a="1"/>
  <c r="C4751" i="3" s="1"/>
  <c r="D4751" i="3" a="1"/>
  <c r="D4751" i="3" s="1"/>
  <c r="E4751" i="3" a="1"/>
  <c r="E4751" i="3" s="1"/>
  <c r="F4751" i="3" a="1"/>
  <c r="F4751" i="3" s="1"/>
  <c r="G4751" i="3" a="1"/>
  <c r="G4751" i="3" s="1"/>
  <c r="J4751" i="3" a="1"/>
  <c r="J4751" i="3" s="1"/>
  <c r="B4752" i="3" a="1"/>
  <c r="B4752" i="3" s="1"/>
  <c r="C4752" i="3" a="1"/>
  <c r="C4752" i="3" s="1"/>
  <c r="D4752" i="3" a="1"/>
  <c r="D4752" i="3" s="1"/>
  <c r="E4752" i="3" a="1"/>
  <c r="E4752" i="3" s="1"/>
  <c r="F4752" i="3" a="1"/>
  <c r="F4752" i="3" s="1"/>
  <c r="G4752" i="3" a="1"/>
  <c r="G4752" i="3" s="1"/>
  <c r="J4752" i="3" a="1"/>
  <c r="J4752" i="3" s="1"/>
  <c r="B4753" i="3" a="1"/>
  <c r="B4753" i="3" s="1"/>
  <c r="C4753" i="3" a="1"/>
  <c r="C4753" i="3" s="1"/>
  <c r="D4753" i="3" a="1"/>
  <c r="D4753" i="3" s="1"/>
  <c r="E4753" i="3" a="1"/>
  <c r="E4753" i="3" s="1"/>
  <c r="F4753" i="3" a="1"/>
  <c r="F4753" i="3" s="1"/>
  <c r="G4753" i="3" a="1"/>
  <c r="G4753" i="3" s="1"/>
  <c r="J4753" i="3" a="1"/>
  <c r="J4753" i="3" s="1"/>
  <c r="B4754" i="3" a="1"/>
  <c r="B4754" i="3" s="1"/>
  <c r="C4754" i="3" a="1"/>
  <c r="C4754" i="3" s="1"/>
  <c r="D4754" i="3" a="1"/>
  <c r="D4754" i="3" s="1"/>
  <c r="E4754" i="3" a="1"/>
  <c r="E4754" i="3" s="1"/>
  <c r="F4754" i="3" a="1"/>
  <c r="F4754" i="3" s="1"/>
  <c r="G4754" i="3" a="1"/>
  <c r="G4754" i="3" s="1"/>
  <c r="J4754" i="3" a="1"/>
  <c r="J4754" i="3" s="1"/>
  <c r="B4755" i="3" a="1"/>
  <c r="B4755" i="3" s="1"/>
  <c r="C4755" i="3" a="1"/>
  <c r="C4755" i="3" s="1"/>
  <c r="D4755" i="3" a="1"/>
  <c r="D4755" i="3" s="1"/>
  <c r="E4755" i="3" a="1"/>
  <c r="E4755" i="3" s="1"/>
  <c r="F4755" i="3" a="1"/>
  <c r="F4755" i="3" s="1"/>
  <c r="G4755" i="3" a="1"/>
  <c r="G4755" i="3" s="1"/>
  <c r="J4755" i="3" a="1"/>
  <c r="J4755" i="3" s="1"/>
  <c r="B4756" i="3" a="1"/>
  <c r="B4756" i="3" s="1"/>
  <c r="C4756" i="3" a="1"/>
  <c r="C4756" i="3" s="1"/>
  <c r="D4756" i="3" a="1"/>
  <c r="D4756" i="3" s="1"/>
  <c r="E4756" i="3" a="1"/>
  <c r="E4756" i="3" s="1"/>
  <c r="F4756" i="3" a="1"/>
  <c r="F4756" i="3" s="1"/>
  <c r="G4756" i="3" a="1"/>
  <c r="G4756" i="3" s="1"/>
  <c r="J4756" i="3" a="1"/>
  <c r="J4756" i="3" s="1"/>
  <c r="B4757" i="3" a="1"/>
  <c r="B4757" i="3" s="1"/>
  <c r="C4757" i="3" a="1"/>
  <c r="C4757" i="3" s="1"/>
  <c r="D4757" i="3" a="1"/>
  <c r="D4757" i="3" s="1"/>
  <c r="E4757" i="3" a="1"/>
  <c r="E4757" i="3" s="1"/>
  <c r="F4757" i="3" a="1"/>
  <c r="F4757" i="3" s="1"/>
  <c r="G4757" i="3" a="1"/>
  <c r="G4757" i="3" s="1"/>
  <c r="J4757" i="3" a="1"/>
  <c r="J4757" i="3" s="1"/>
  <c r="B4758" i="3" a="1"/>
  <c r="B4758" i="3" s="1"/>
  <c r="C4758" i="3" a="1"/>
  <c r="C4758" i="3" s="1"/>
  <c r="D4758" i="3" a="1"/>
  <c r="D4758" i="3" s="1"/>
  <c r="E4758" i="3" a="1"/>
  <c r="E4758" i="3" s="1"/>
  <c r="F4758" i="3" a="1"/>
  <c r="F4758" i="3" s="1"/>
  <c r="G4758" i="3" a="1"/>
  <c r="G4758" i="3" s="1"/>
  <c r="J4758" i="3" a="1"/>
  <c r="J4758" i="3" s="1"/>
  <c r="B4759" i="3" a="1"/>
  <c r="B4759" i="3" s="1"/>
  <c r="C4759" i="3" a="1"/>
  <c r="C4759" i="3" s="1"/>
  <c r="D4759" i="3" a="1"/>
  <c r="D4759" i="3" s="1"/>
  <c r="E4759" i="3" a="1"/>
  <c r="E4759" i="3" s="1"/>
  <c r="F4759" i="3" a="1"/>
  <c r="F4759" i="3" s="1"/>
  <c r="G4759" i="3" a="1"/>
  <c r="G4759" i="3" s="1"/>
  <c r="J4759" i="3" a="1"/>
  <c r="J4759" i="3" s="1"/>
  <c r="B4760" i="3" a="1"/>
  <c r="B4760" i="3" s="1"/>
  <c r="C4760" i="3" a="1"/>
  <c r="C4760" i="3" s="1"/>
  <c r="D4760" i="3" a="1"/>
  <c r="D4760" i="3" s="1"/>
  <c r="E4760" i="3" a="1"/>
  <c r="E4760" i="3" s="1"/>
  <c r="F4760" i="3" a="1"/>
  <c r="F4760" i="3" s="1"/>
  <c r="G4760" i="3" a="1"/>
  <c r="G4760" i="3" s="1"/>
  <c r="J4760" i="3" a="1"/>
  <c r="J4760" i="3" s="1"/>
  <c r="B4761" i="3" a="1"/>
  <c r="B4761" i="3" s="1"/>
  <c r="C4761" i="3" a="1"/>
  <c r="C4761" i="3" s="1"/>
  <c r="D4761" i="3" a="1"/>
  <c r="D4761" i="3" s="1"/>
  <c r="E4761" i="3" a="1"/>
  <c r="E4761" i="3" s="1"/>
  <c r="F4761" i="3" a="1"/>
  <c r="F4761" i="3" s="1"/>
  <c r="G4761" i="3" a="1"/>
  <c r="G4761" i="3" s="1"/>
  <c r="J4761" i="3" a="1"/>
  <c r="J4761" i="3" s="1"/>
  <c r="B4762" i="3" a="1"/>
  <c r="B4762" i="3" s="1"/>
  <c r="C4762" i="3" a="1"/>
  <c r="C4762" i="3" s="1"/>
  <c r="D4762" i="3" a="1"/>
  <c r="D4762" i="3" s="1"/>
  <c r="E4762" i="3" a="1"/>
  <c r="E4762" i="3" s="1"/>
  <c r="F4762" i="3" a="1"/>
  <c r="F4762" i="3" s="1"/>
  <c r="G4762" i="3" a="1"/>
  <c r="G4762" i="3" s="1"/>
  <c r="J4762" i="3" a="1"/>
  <c r="J4762" i="3" s="1"/>
  <c r="B4763" i="3" a="1"/>
  <c r="B4763" i="3" s="1"/>
  <c r="C4763" i="3" a="1"/>
  <c r="C4763" i="3" s="1"/>
  <c r="D4763" i="3" a="1"/>
  <c r="D4763" i="3" s="1"/>
  <c r="E4763" i="3" a="1"/>
  <c r="E4763" i="3" s="1"/>
  <c r="F4763" i="3" a="1"/>
  <c r="F4763" i="3" s="1"/>
  <c r="G4763" i="3" a="1"/>
  <c r="G4763" i="3" s="1"/>
  <c r="J4763" i="3" a="1"/>
  <c r="J4763" i="3" s="1"/>
  <c r="B4764" i="3" a="1"/>
  <c r="B4764" i="3" s="1"/>
  <c r="C4764" i="3" a="1"/>
  <c r="C4764" i="3" s="1"/>
  <c r="D4764" i="3" a="1"/>
  <c r="D4764" i="3" s="1"/>
  <c r="E4764" i="3" a="1"/>
  <c r="E4764" i="3" s="1"/>
  <c r="F4764" i="3" a="1"/>
  <c r="F4764" i="3" s="1"/>
  <c r="G4764" i="3" a="1"/>
  <c r="G4764" i="3" s="1"/>
  <c r="J4764" i="3" a="1"/>
  <c r="J4764" i="3" s="1"/>
  <c r="B4765" i="3" a="1"/>
  <c r="B4765" i="3" s="1"/>
  <c r="C4765" i="3" a="1"/>
  <c r="C4765" i="3" s="1"/>
  <c r="D4765" i="3" a="1"/>
  <c r="D4765" i="3" s="1"/>
  <c r="E4765" i="3" a="1"/>
  <c r="E4765" i="3" s="1"/>
  <c r="F4765" i="3" a="1"/>
  <c r="F4765" i="3" s="1"/>
  <c r="G4765" i="3" a="1"/>
  <c r="G4765" i="3" s="1"/>
  <c r="J4765" i="3" a="1"/>
  <c r="J4765" i="3" s="1"/>
  <c r="B4766" i="3" a="1"/>
  <c r="B4766" i="3" s="1"/>
  <c r="C4766" i="3" a="1"/>
  <c r="C4766" i="3" s="1"/>
  <c r="D4766" i="3" a="1"/>
  <c r="D4766" i="3" s="1"/>
  <c r="E4766" i="3" a="1"/>
  <c r="E4766" i="3" s="1"/>
  <c r="F4766" i="3" a="1"/>
  <c r="F4766" i="3" s="1"/>
  <c r="G4766" i="3" a="1"/>
  <c r="G4766" i="3" s="1"/>
  <c r="J4766" i="3" a="1"/>
  <c r="J4766" i="3" s="1"/>
  <c r="B4767" i="3" a="1"/>
  <c r="B4767" i="3" s="1"/>
  <c r="C4767" i="3" a="1"/>
  <c r="C4767" i="3" s="1"/>
  <c r="D4767" i="3" a="1"/>
  <c r="D4767" i="3" s="1"/>
  <c r="E4767" i="3" a="1"/>
  <c r="E4767" i="3" s="1"/>
  <c r="F4767" i="3" a="1"/>
  <c r="F4767" i="3" s="1"/>
  <c r="G4767" i="3" a="1"/>
  <c r="G4767" i="3" s="1"/>
  <c r="J4767" i="3" a="1"/>
  <c r="J4767" i="3" s="1"/>
  <c r="B4768" i="3" a="1"/>
  <c r="B4768" i="3" s="1"/>
  <c r="C4768" i="3" a="1"/>
  <c r="C4768" i="3" s="1"/>
  <c r="D4768" i="3" a="1"/>
  <c r="D4768" i="3" s="1"/>
  <c r="E4768" i="3" a="1"/>
  <c r="E4768" i="3" s="1"/>
  <c r="F4768" i="3" a="1"/>
  <c r="F4768" i="3" s="1"/>
  <c r="G4768" i="3" a="1"/>
  <c r="G4768" i="3" s="1"/>
  <c r="J4768" i="3" a="1"/>
  <c r="J4768" i="3" s="1"/>
  <c r="B4769" i="3" a="1"/>
  <c r="B4769" i="3" s="1"/>
  <c r="C4769" i="3" a="1"/>
  <c r="C4769" i="3" s="1"/>
  <c r="D4769" i="3" a="1"/>
  <c r="D4769" i="3" s="1"/>
  <c r="E4769" i="3" a="1"/>
  <c r="E4769" i="3" s="1"/>
  <c r="F4769" i="3" a="1"/>
  <c r="F4769" i="3" s="1"/>
  <c r="G4769" i="3" a="1"/>
  <c r="G4769" i="3" s="1"/>
  <c r="J4769" i="3" a="1"/>
  <c r="J4769" i="3" s="1"/>
  <c r="B4770" i="3" a="1"/>
  <c r="B4770" i="3" s="1"/>
  <c r="C4770" i="3" a="1"/>
  <c r="C4770" i="3" s="1"/>
  <c r="D4770" i="3" a="1"/>
  <c r="D4770" i="3" s="1"/>
  <c r="E4770" i="3" a="1"/>
  <c r="E4770" i="3" s="1"/>
  <c r="F4770" i="3" a="1"/>
  <c r="F4770" i="3" s="1"/>
  <c r="G4770" i="3" a="1"/>
  <c r="G4770" i="3" s="1"/>
  <c r="J4770" i="3" a="1"/>
  <c r="J4770" i="3" s="1"/>
  <c r="B4771" i="3" a="1"/>
  <c r="B4771" i="3" s="1"/>
  <c r="C4771" i="3" a="1"/>
  <c r="C4771" i="3" s="1"/>
  <c r="D4771" i="3" a="1"/>
  <c r="D4771" i="3" s="1"/>
  <c r="E4771" i="3" a="1"/>
  <c r="E4771" i="3" s="1"/>
  <c r="F4771" i="3" a="1"/>
  <c r="F4771" i="3" s="1"/>
  <c r="G4771" i="3" a="1"/>
  <c r="G4771" i="3" s="1"/>
  <c r="J4771" i="3" a="1"/>
  <c r="J4771" i="3" s="1"/>
  <c r="B4772" i="3" a="1"/>
  <c r="B4772" i="3" s="1"/>
  <c r="C4772" i="3" a="1"/>
  <c r="C4772" i="3" s="1"/>
  <c r="D4772" i="3" a="1"/>
  <c r="D4772" i="3" s="1"/>
  <c r="E4772" i="3" a="1"/>
  <c r="E4772" i="3" s="1"/>
  <c r="F4772" i="3" a="1"/>
  <c r="F4772" i="3" s="1"/>
  <c r="G4772" i="3" a="1"/>
  <c r="G4772" i="3" s="1"/>
  <c r="J4772" i="3" a="1"/>
  <c r="J4772" i="3" s="1"/>
  <c r="B4773" i="3" a="1"/>
  <c r="B4773" i="3" s="1"/>
  <c r="C4773" i="3" a="1"/>
  <c r="C4773" i="3" s="1"/>
  <c r="D4773" i="3" a="1"/>
  <c r="D4773" i="3" s="1"/>
  <c r="E4773" i="3" a="1"/>
  <c r="E4773" i="3" s="1"/>
  <c r="F4773" i="3" a="1"/>
  <c r="F4773" i="3" s="1"/>
  <c r="G4773" i="3" a="1"/>
  <c r="G4773" i="3" s="1"/>
  <c r="J4773" i="3" a="1"/>
  <c r="J4773" i="3" s="1"/>
  <c r="B4774" i="3" a="1"/>
  <c r="B4774" i="3" s="1"/>
  <c r="C4774" i="3" a="1"/>
  <c r="C4774" i="3" s="1"/>
  <c r="D4774" i="3" a="1"/>
  <c r="D4774" i="3" s="1"/>
  <c r="E4774" i="3" a="1"/>
  <c r="E4774" i="3" s="1"/>
  <c r="F4774" i="3" a="1"/>
  <c r="F4774" i="3" s="1"/>
  <c r="G4774" i="3" a="1"/>
  <c r="G4774" i="3" s="1"/>
  <c r="J4774" i="3" a="1"/>
  <c r="J4774" i="3" s="1"/>
  <c r="B4775" i="3" a="1"/>
  <c r="B4775" i="3" s="1"/>
  <c r="C4775" i="3" a="1"/>
  <c r="C4775" i="3" s="1"/>
  <c r="D4775" i="3" a="1"/>
  <c r="D4775" i="3" s="1"/>
  <c r="E4775" i="3" a="1"/>
  <c r="E4775" i="3" s="1"/>
  <c r="F4775" i="3" a="1"/>
  <c r="F4775" i="3" s="1"/>
  <c r="G4775" i="3" a="1"/>
  <c r="G4775" i="3" s="1"/>
  <c r="J4775" i="3" a="1"/>
  <c r="J4775" i="3" s="1"/>
  <c r="B4776" i="3" a="1"/>
  <c r="B4776" i="3" s="1"/>
  <c r="C4776" i="3" a="1"/>
  <c r="C4776" i="3" s="1"/>
  <c r="D4776" i="3" a="1"/>
  <c r="D4776" i="3" s="1"/>
  <c r="E4776" i="3" a="1"/>
  <c r="E4776" i="3" s="1"/>
  <c r="F4776" i="3" a="1"/>
  <c r="F4776" i="3" s="1"/>
  <c r="G4776" i="3" a="1"/>
  <c r="G4776" i="3" s="1"/>
  <c r="J4776" i="3" a="1"/>
  <c r="J4776" i="3" s="1"/>
  <c r="B4777" i="3" a="1"/>
  <c r="B4777" i="3" s="1"/>
  <c r="C4777" i="3" a="1"/>
  <c r="C4777" i="3" s="1"/>
  <c r="D4777" i="3" a="1"/>
  <c r="D4777" i="3" s="1"/>
  <c r="E4777" i="3" a="1"/>
  <c r="E4777" i="3" s="1"/>
  <c r="F4777" i="3" a="1"/>
  <c r="F4777" i="3" s="1"/>
  <c r="G4777" i="3" a="1"/>
  <c r="G4777" i="3" s="1"/>
  <c r="J4777" i="3" a="1"/>
  <c r="J4777" i="3" s="1"/>
  <c r="B4778" i="3" a="1"/>
  <c r="B4778" i="3" s="1"/>
  <c r="C4778" i="3" a="1"/>
  <c r="C4778" i="3" s="1"/>
  <c r="D4778" i="3" a="1"/>
  <c r="D4778" i="3" s="1"/>
  <c r="E4778" i="3" a="1"/>
  <c r="E4778" i="3" s="1"/>
  <c r="F4778" i="3" a="1"/>
  <c r="F4778" i="3" s="1"/>
  <c r="G4778" i="3" a="1"/>
  <c r="G4778" i="3" s="1"/>
  <c r="J4778" i="3" a="1"/>
  <c r="J4778" i="3" s="1"/>
  <c r="B4779" i="3" a="1"/>
  <c r="B4779" i="3" s="1"/>
  <c r="C4779" i="3" a="1"/>
  <c r="C4779" i="3" s="1"/>
  <c r="D4779" i="3" a="1"/>
  <c r="D4779" i="3" s="1"/>
  <c r="E4779" i="3" a="1"/>
  <c r="E4779" i="3" s="1"/>
  <c r="F4779" i="3" a="1"/>
  <c r="F4779" i="3" s="1"/>
  <c r="G4779" i="3" a="1"/>
  <c r="G4779" i="3" s="1"/>
  <c r="J4779" i="3" a="1"/>
  <c r="J4779" i="3" s="1"/>
  <c r="B4780" i="3" a="1"/>
  <c r="B4780" i="3" s="1"/>
  <c r="C4780" i="3" a="1"/>
  <c r="C4780" i="3" s="1"/>
  <c r="D4780" i="3" a="1"/>
  <c r="D4780" i="3" s="1"/>
  <c r="E4780" i="3" a="1"/>
  <c r="E4780" i="3" s="1"/>
  <c r="F4780" i="3" a="1"/>
  <c r="F4780" i="3" s="1"/>
  <c r="G4780" i="3" a="1"/>
  <c r="G4780" i="3" s="1"/>
  <c r="J4780" i="3" a="1"/>
  <c r="J4780" i="3" s="1"/>
  <c r="B4781" i="3" a="1"/>
  <c r="B4781" i="3" s="1"/>
  <c r="C4781" i="3" a="1"/>
  <c r="C4781" i="3" s="1"/>
  <c r="D4781" i="3" a="1"/>
  <c r="D4781" i="3" s="1"/>
  <c r="E4781" i="3" a="1"/>
  <c r="E4781" i="3" s="1"/>
  <c r="F4781" i="3" a="1"/>
  <c r="F4781" i="3" s="1"/>
  <c r="G4781" i="3" a="1"/>
  <c r="G4781" i="3" s="1"/>
  <c r="J4781" i="3" a="1"/>
  <c r="J4781" i="3" s="1"/>
  <c r="B4782" i="3" a="1"/>
  <c r="B4782" i="3" s="1"/>
  <c r="C4782" i="3" a="1"/>
  <c r="C4782" i="3" s="1"/>
  <c r="D4782" i="3" a="1"/>
  <c r="D4782" i="3" s="1"/>
  <c r="E4782" i="3" a="1"/>
  <c r="E4782" i="3" s="1"/>
  <c r="F4782" i="3" a="1"/>
  <c r="F4782" i="3" s="1"/>
  <c r="G4782" i="3" a="1"/>
  <c r="G4782" i="3" s="1"/>
  <c r="J4782" i="3" a="1"/>
  <c r="J4782" i="3" s="1"/>
  <c r="B4783" i="3" a="1"/>
  <c r="B4783" i="3" s="1"/>
  <c r="C4783" i="3" a="1"/>
  <c r="C4783" i="3" s="1"/>
  <c r="D4783" i="3" a="1"/>
  <c r="D4783" i="3" s="1"/>
  <c r="E4783" i="3" a="1"/>
  <c r="E4783" i="3" s="1"/>
  <c r="F4783" i="3" a="1"/>
  <c r="F4783" i="3" s="1"/>
  <c r="G4783" i="3" a="1"/>
  <c r="G4783" i="3" s="1"/>
  <c r="J4783" i="3" a="1"/>
  <c r="J4783" i="3" s="1"/>
  <c r="B4784" i="3" a="1"/>
  <c r="B4784" i="3" s="1"/>
  <c r="C4784" i="3" a="1"/>
  <c r="C4784" i="3" s="1"/>
  <c r="D4784" i="3" a="1"/>
  <c r="D4784" i="3" s="1"/>
  <c r="E4784" i="3" a="1"/>
  <c r="E4784" i="3" s="1"/>
  <c r="F4784" i="3" a="1"/>
  <c r="F4784" i="3" s="1"/>
  <c r="G4784" i="3" a="1"/>
  <c r="G4784" i="3" s="1"/>
  <c r="J4784" i="3" a="1"/>
  <c r="J4784" i="3" s="1"/>
  <c r="B4785" i="3" a="1"/>
  <c r="B4785" i="3" s="1"/>
  <c r="C4785" i="3" a="1"/>
  <c r="C4785" i="3" s="1"/>
  <c r="D4785" i="3" a="1"/>
  <c r="D4785" i="3" s="1"/>
  <c r="E4785" i="3" a="1"/>
  <c r="E4785" i="3" s="1"/>
  <c r="F4785" i="3" a="1"/>
  <c r="F4785" i="3" s="1"/>
  <c r="G4785" i="3" a="1"/>
  <c r="G4785" i="3" s="1"/>
  <c r="J4785" i="3" a="1"/>
  <c r="J4785" i="3" s="1"/>
  <c r="B4786" i="3" a="1"/>
  <c r="B4786" i="3" s="1"/>
  <c r="C4786" i="3" a="1"/>
  <c r="C4786" i="3" s="1"/>
  <c r="D4786" i="3" a="1"/>
  <c r="D4786" i="3" s="1"/>
  <c r="E4786" i="3" a="1"/>
  <c r="E4786" i="3" s="1"/>
  <c r="F4786" i="3" a="1"/>
  <c r="F4786" i="3" s="1"/>
  <c r="G4786" i="3" a="1"/>
  <c r="G4786" i="3" s="1"/>
  <c r="J4786" i="3" a="1"/>
  <c r="J4786" i="3" s="1"/>
  <c r="B4787" i="3" a="1"/>
  <c r="B4787" i="3" s="1"/>
  <c r="C4787" i="3" a="1"/>
  <c r="C4787" i="3" s="1"/>
  <c r="D4787" i="3" a="1"/>
  <c r="D4787" i="3" s="1"/>
  <c r="E4787" i="3" a="1"/>
  <c r="E4787" i="3" s="1"/>
  <c r="F4787" i="3" a="1"/>
  <c r="F4787" i="3" s="1"/>
  <c r="G4787" i="3" a="1"/>
  <c r="G4787" i="3" s="1"/>
  <c r="J4787" i="3" a="1"/>
  <c r="J4787" i="3" s="1"/>
  <c r="B4788" i="3" a="1"/>
  <c r="B4788" i="3" s="1"/>
  <c r="C4788" i="3" a="1"/>
  <c r="C4788" i="3" s="1"/>
  <c r="D4788" i="3" a="1"/>
  <c r="D4788" i="3" s="1"/>
  <c r="E4788" i="3" a="1"/>
  <c r="E4788" i="3" s="1"/>
  <c r="F4788" i="3" a="1"/>
  <c r="F4788" i="3" s="1"/>
  <c r="G4788" i="3" a="1"/>
  <c r="G4788" i="3" s="1"/>
  <c r="J4788" i="3" a="1"/>
  <c r="J4788" i="3" s="1"/>
  <c r="B4789" i="3" a="1"/>
  <c r="B4789" i="3" s="1"/>
  <c r="C4789" i="3" a="1"/>
  <c r="C4789" i="3" s="1"/>
  <c r="D4789" i="3" a="1"/>
  <c r="D4789" i="3" s="1"/>
  <c r="E4789" i="3" a="1"/>
  <c r="E4789" i="3" s="1"/>
  <c r="F4789" i="3" a="1"/>
  <c r="F4789" i="3" s="1"/>
  <c r="G4789" i="3" a="1"/>
  <c r="G4789" i="3" s="1"/>
  <c r="J4789" i="3" a="1"/>
  <c r="J4789" i="3" s="1"/>
  <c r="B4790" i="3" a="1"/>
  <c r="B4790" i="3" s="1"/>
  <c r="C4790" i="3" a="1"/>
  <c r="C4790" i="3" s="1"/>
  <c r="D4790" i="3" a="1"/>
  <c r="D4790" i="3" s="1"/>
  <c r="E4790" i="3" a="1"/>
  <c r="E4790" i="3" s="1"/>
  <c r="F4790" i="3" a="1"/>
  <c r="F4790" i="3" s="1"/>
  <c r="G4790" i="3" a="1"/>
  <c r="G4790" i="3" s="1"/>
  <c r="J4790" i="3" a="1"/>
  <c r="J4790" i="3" s="1"/>
  <c r="B4791" i="3" a="1"/>
  <c r="B4791" i="3" s="1"/>
  <c r="C4791" i="3" a="1"/>
  <c r="C4791" i="3" s="1"/>
  <c r="D4791" i="3" a="1"/>
  <c r="D4791" i="3" s="1"/>
  <c r="E4791" i="3" a="1"/>
  <c r="E4791" i="3" s="1"/>
  <c r="F4791" i="3" a="1"/>
  <c r="F4791" i="3" s="1"/>
  <c r="G4791" i="3" a="1"/>
  <c r="G4791" i="3" s="1"/>
  <c r="J4791" i="3" a="1"/>
  <c r="J4791" i="3" s="1"/>
  <c r="B4792" i="3" a="1"/>
  <c r="B4792" i="3" s="1"/>
  <c r="C4792" i="3" a="1"/>
  <c r="C4792" i="3" s="1"/>
  <c r="D4792" i="3" a="1"/>
  <c r="D4792" i="3" s="1"/>
  <c r="E4792" i="3" a="1"/>
  <c r="E4792" i="3" s="1"/>
  <c r="F4792" i="3" a="1"/>
  <c r="F4792" i="3" s="1"/>
  <c r="G4792" i="3" a="1"/>
  <c r="G4792" i="3" s="1"/>
  <c r="J4792" i="3" a="1"/>
  <c r="J4792" i="3" s="1"/>
  <c r="B4793" i="3" a="1"/>
  <c r="B4793" i="3" s="1"/>
  <c r="C4793" i="3" a="1"/>
  <c r="C4793" i="3" s="1"/>
  <c r="D4793" i="3" a="1"/>
  <c r="D4793" i="3" s="1"/>
  <c r="E4793" i="3" a="1"/>
  <c r="E4793" i="3" s="1"/>
  <c r="F4793" i="3" a="1"/>
  <c r="F4793" i="3" s="1"/>
  <c r="G4793" i="3" a="1"/>
  <c r="G4793" i="3" s="1"/>
  <c r="J4793" i="3" a="1"/>
  <c r="J4793" i="3" s="1"/>
  <c r="B4794" i="3" a="1"/>
  <c r="B4794" i="3" s="1"/>
  <c r="C4794" i="3" a="1"/>
  <c r="C4794" i="3" s="1"/>
  <c r="D4794" i="3" a="1"/>
  <c r="D4794" i="3" s="1"/>
  <c r="E4794" i="3" a="1"/>
  <c r="E4794" i="3" s="1"/>
  <c r="F4794" i="3" a="1"/>
  <c r="F4794" i="3" s="1"/>
  <c r="G4794" i="3" a="1"/>
  <c r="G4794" i="3" s="1"/>
  <c r="J4794" i="3" a="1"/>
  <c r="J4794" i="3" s="1"/>
  <c r="B4795" i="3" a="1"/>
  <c r="B4795" i="3" s="1"/>
  <c r="C4795" i="3" a="1"/>
  <c r="C4795" i="3" s="1"/>
  <c r="D4795" i="3" a="1"/>
  <c r="D4795" i="3" s="1"/>
  <c r="E4795" i="3" a="1"/>
  <c r="E4795" i="3" s="1"/>
  <c r="F4795" i="3" a="1"/>
  <c r="F4795" i="3" s="1"/>
  <c r="G4795" i="3" a="1"/>
  <c r="G4795" i="3" s="1"/>
  <c r="J4795" i="3" a="1"/>
  <c r="J4795" i="3" s="1"/>
  <c r="B4796" i="3" a="1"/>
  <c r="B4796" i="3" s="1"/>
  <c r="C4796" i="3" a="1"/>
  <c r="C4796" i="3" s="1"/>
  <c r="D4796" i="3" a="1"/>
  <c r="D4796" i="3" s="1"/>
  <c r="E4796" i="3" a="1"/>
  <c r="E4796" i="3" s="1"/>
  <c r="F4796" i="3" a="1"/>
  <c r="F4796" i="3" s="1"/>
  <c r="G4796" i="3" a="1"/>
  <c r="G4796" i="3" s="1"/>
  <c r="J4796" i="3" a="1"/>
  <c r="J4796" i="3" s="1"/>
  <c r="B4797" i="3" a="1"/>
  <c r="B4797" i="3" s="1"/>
  <c r="C4797" i="3" a="1"/>
  <c r="C4797" i="3" s="1"/>
  <c r="D4797" i="3" a="1"/>
  <c r="D4797" i="3" s="1"/>
  <c r="E4797" i="3" a="1"/>
  <c r="E4797" i="3" s="1"/>
  <c r="F4797" i="3" a="1"/>
  <c r="F4797" i="3" s="1"/>
  <c r="G4797" i="3" a="1"/>
  <c r="G4797" i="3" s="1"/>
  <c r="J4797" i="3" a="1"/>
  <c r="J4797" i="3" s="1"/>
  <c r="B4798" i="3" a="1"/>
  <c r="B4798" i="3" s="1"/>
  <c r="C4798" i="3" a="1"/>
  <c r="C4798" i="3" s="1"/>
  <c r="D4798" i="3" a="1"/>
  <c r="D4798" i="3" s="1"/>
  <c r="E4798" i="3" a="1"/>
  <c r="E4798" i="3" s="1"/>
  <c r="F4798" i="3" a="1"/>
  <c r="F4798" i="3" s="1"/>
  <c r="G4798" i="3" a="1"/>
  <c r="G4798" i="3" s="1"/>
  <c r="J4798" i="3" a="1"/>
  <c r="J4798" i="3" s="1"/>
  <c r="B4799" i="3" a="1"/>
  <c r="B4799" i="3" s="1"/>
  <c r="C4799" i="3" a="1"/>
  <c r="C4799" i="3" s="1"/>
  <c r="D4799" i="3" a="1"/>
  <c r="D4799" i="3" s="1"/>
  <c r="E4799" i="3" a="1"/>
  <c r="E4799" i="3" s="1"/>
  <c r="F4799" i="3" a="1"/>
  <c r="F4799" i="3" s="1"/>
  <c r="G4799" i="3" a="1"/>
  <c r="G4799" i="3" s="1"/>
  <c r="J4799" i="3" a="1"/>
  <c r="J4799" i="3" s="1"/>
  <c r="B4800" i="3" a="1"/>
  <c r="B4800" i="3" s="1"/>
  <c r="C4800" i="3" a="1"/>
  <c r="C4800" i="3" s="1"/>
  <c r="D4800" i="3" a="1"/>
  <c r="D4800" i="3" s="1"/>
  <c r="E4800" i="3" a="1"/>
  <c r="E4800" i="3" s="1"/>
  <c r="F4800" i="3" a="1"/>
  <c r="F4800" i="3" s="1"/>
  <c r="G4800" i="3" a="1"/>
  <c r="G4800" i="3" s="1"/>
  <c r="J4800" i="3" a="1"/>
  <c r="J4800" i="3" s="1"/>
  <c r="B4801" i="3" a="1"/>
  <c r="B4801" i="3" s="1"/>
  <c r="C4801" i="3" a="1"/>
  <c r="C4801" i="3" s="1"/>
  <c r="D4801" i="3" a="1"/>
  <c r="D4801" i="3" s="1"/>
  <c r="E4801" i="3" a="1"/>
  <c r="E4801" i="3" s="1"/>
  <c r="F4801" i="3" a="1"/>
  <c r="F4801" i="3" s="1"/>
  <c r="G4801" i="3" a="1"/>
  <c r="G4801" i="3" s="1"/>
  <c r="J4801" i="3" a="1"/>
  <c r="J4801" i="3" s="1"/>
  <c r="B4802" i="3" a="1"/>
  <c r="B4802" i="3" s="1"/>
  <c r="C4802" i="3" a="1"/>
  <c r="C4802" i="3" s="1"/>
  <c r="D4802" i="3" a="1"/>
  <c r="D4802" i="3" s="1"/>
  <c r="E4802" i="3" a="1"/>
  <c r="E4802" i="3" s="1"/>
  <c r="F4802" i="3" a="1"/>
  <c r="F4802" i="3" s="1"/>
  <c r="G4802" i="3" a="1"/>
  <c r="G4802" i="3" s="1"/>
  <c r="J4802" i="3" a="1"/>
  <c r="J4802" i="3" s="1"/>
  <c r="B4803" i="3" a="1"/>
  <c r="B4803" i="3" s="1"/>
  <c r="C4803" i="3" a="1"/>
  <c r="C4803" i="3" s="1"/>
  <c r="D4803" i="3" a="1"/>
  <c r="D4803" i="3" s="1"/>
  <c r="E4803" i="3" a="1"/>
  <c r="E4803" i="3" s="1"/>
  <c r="F4803" i="3" a="1"/>
  <c r="F4803" i="3" s="1"/>
  <c r="G4803" i="3" a="1"/>
  <c r="G4803" i="3" s="1"/>
  <c r="J4803" i="3" a="1"/>
  <c r="J4803" i="3" s="1"/>
  <c r="B4804" i="3" a="1"/>
  <c r="B4804" i="3" s="1"/>
  <c r="C4804" i="3" a="1"/>
  <c r="C4804" i="3" s="1"/>
  <c r="D4804" i="3" a="1"/>
  <c r="D4804" i="3" s="1"/>
  <c r="E4804" i="3" a="1"/>
  <c r="E4804" i="3" s="1"/>
  <c r="F4804" i="3" a="1"/>
  <c r="F4804" i="3" s="1"/>
  <c r="G4804" i="3" a="1"/>
  <c r="G4804" i="3" s="1"/>
  <c r="J4804" i="3" a="1"/>
  <c r="J4804" i="3" s="1"/>
  <c r="B4805" i="3" a="1"/>
  <c r="B4805" i="3" s="1"/>
  <c r="C4805" i="3" a="1"/>
  <c r="C4805" i="3" s="1"/>
  <c r="D4805" i="3" a="1"/>
  <c r="D4805" i="3" s="1"/>
  <c r="E4805" i="3" a="1"/>
  <c r="E4805" i="3" s="1"/>
  <c r="F4805" i="3" a="1"/>
  <c r="F4805" i="3" s="1"/>
  <c r="G4805" i="3" a="1"/>
  <c r="G4805" i="3" s="1"/>
  <c r="J4805" i="3" a="1"/>
  <c r="J4805" i="3" s="1"/>
  <c r="B4806" i="3" a="1"/>
  <c r="B4806" i="3" s="1"/>
  <c r="C4806" i="3" a="1"/>
  <c r="C4806" i="3" s="1"/>
  <c r="D4806" i="3" a="1"/>
  <c r="D4806" i="3" s="1"/>
  <c r="E4806" i="3" a="1"/>
  <c r="E4806" i="3" s="1"/>
  <c r="F4806" i="3" a="1"/>
  <c r="F4806" i="3" s="1"/>
  <c r="G4806" i="3" a="1"/>
  <c r="G4806" i="3" s="1"/>
  <c r="J4806" i="3" a="1"/>
  <c r="J4806" i="3" s="1"/>
  <c r="B4807" i="3" a="1"/>
  <c r="B4807" i="3" s="1"/>
  <c r="C4807" i="3" a="1"/>
  <c r="C4807" i="3" s="1"/>
  <c r="D4807" i="3" a="1"/>
  <c r="D4807" i="3" s="1"/>
  <c r="E4807" i="3" a="1"/>
  <c r="E4807" i="3" s="1"/>
  <c r="F4807" i="3" a="1"/>
  <c r="F4807" i="3" s="1"/>
  <c r="G4807" i="3" a="1"/>
  <c r="G4807" i="3" s="1"/>
  <c r="J4807" i="3" a="1"/>
  <c r="J4807" i="3" s="1"/>
  <c r="B4808" i="3" a="1"/>
  <c r="B4808" i="3" s="1"/>
  <c r="C4808" i="3" a="1"/>
  <c r="C4808" i="3" s="1"/>
  <c r="D4808" i="3" a="1"/>
  <c r="D4808" i="3" s="1"/>
  <c r="E4808" i="3" a="1"/>
  <c r="E4808" i="3" s="1"/>
  <c r="F4808" i="3" a="1"/>
  <c r="F4808" i="3" s="1"/>
  <c r="G4808" i="3" a="1"/>
  <c r="G4808" i="3" s="1"/>
  <c r="J4808" i="3" a="1"/>
  <c r="J4808" i="3" s="1"/>
  <c r="B4809" i="3" a="1"/>
  <c r="B4809" i="3" s="1"/>
  <c r="C4809" i="3" a="1"/>
  <c r="C4809" i="3" s="1"/>
  <c r="D4809" i="3" a="1"/>
  <c r="D4809" i="3" s="1"/>
  <c r="E4809" i="3" a="1"/>
  <c r="E4809" i="3" s="1"/>
  <c r="F4809" i="3" a="1"/>
  <c r="F4809" i="3" s="1"/>
  <c r="G4809" i="3" a="1"/>
  <c r="G4809" i="3" s="1"/>
  <c r="J4809" i="3" a="1"/>
  <c r="J4809" i="3" s="1"/>
  <c r="B4810" i="3" a="1"/>
  <c r="B4810" i="3" s="1"/>
  <c r="C4810" i="3" a="1"/>
  <c r="C4810" i="3" s="1"/>
  <c r="D4810" i="3" a="1"/>
  <c r="D4810" i="3" s="1"/>
  <c r="E4810" i="3" a="1"/>
  <c r="E4810" i="3" s="1"/>
  <c r="F4810" i="3" a="1"/>
  <c r="F4810" i="3" s="1"/>
  <c r="G4810" i="3" a="1"/>
  <c r="G4810" i="3" s="1"/>
  <c r="J4810" i="3" a="1"/>
  <c r="J4810" i="3" s="1"/>
  <c r="B4811" i="3" a="1"/>
  <c r="B4811" i="3" s="1"/>
  <c r="C4811" i="3" a="1"/>
  <c r="C4811" i="3" s="1"/>
  <c r="D4811" i="3" a="1"/>
  <c r="D4811" i="3" s="1"/>
  <c r="E4811" i="3" a="1"/>
  <c r="E4811" i="3" s="1"/>
  <c r="F4811" i="3" a="1"/>
  <c r="F4811" i="3" s="1"/>
  <c r="G4811" i="3" a="1"/>
  <c r="G4811" i="3" s="1"/>
  <c r="J4811" i="3" a="1"/>
  <c r="J4811" i="3" s="1"/>
  <c r="B4812" i="3" a="1"/>
  <c r="B4812" i="3" s="1"/>
  <c r="C4812" i="3" a="1"/>
  <c r="C4812" i="3" s="1"/>
  <c r="D4812" i="3" a="1"/>
  <c r="D4812" i="3" s="1"/>
  <c r="E4812" i="3" a="1"/>
  <c r="E4812" i="3" s="1"/>
  <c r="F4812" i="3" a="1"/>
  <c r="F4812" i="3" s="1"/>
  <c r="G4812" i="3" a="1"/>
  <c r="G4812" i="3" s="1"/>
  <c r="J4812" i="3" a="1"/>
  <c r="J4812" i="3" s="1"/>
  <c r="B4813" i="3" a="1"/>
  <c r="B4813" i="3" s="1"/>
  <c r="C4813" i="3" a="1"/>
  <c r="C4813" i="3" s="1"/>
  <c r="D4813" i="3" a="1"/>
  <c r="D4813" i="3" s="1"/>
  <c r="E4813" i="3" a="1"/>
  <c r="E4813" i="3" s="1"/>
  <c r="F4813" i="3" a="1"/>
  <c r="F4813" i="3" s="1"/>
  <c r="G4813" i="3" a="1"/>
  <c r="G4813" i="3" s="1"/>
  <c r="J4813" i="3" a="1"/>
  <c r="J4813" i="3" s="1"/>
  <c r="B4814" i="3" a="1"/>
  <c r="B4814" i="3" s="1"/>
  <c r="C4814" i="3" a="1"/>
  <c r="C4814" i="3" s="1"/>
  <c r="D4814" i="3" a="1"/>
  <c r="D4814" i="3" s="1"/>
  <c r="E4814" i="3" a="1"/>
  <c r="E4814" i="3" s="1"/>
  <c r="F4814" i="3" a="1"/>
  <c r="F4814" i="3" s="1"/>
  <c r="G4814" i="3" a="1"/>
  <c r="G4814" i="3" s="1"/>
  <c r="J4814" i="3" a="1"/>
  <c r="J4814" i="3" s="1"/>
  <c r="B4815" i="3" a="1"/>
  <c r="B4815" i="3" s="1"/>
  <c r="C4815" i="3" a="1"/>
  <c r="C4815" i="3" s="1"/>
  <c r="D4815" i="3" a="1"/>
  <c r="D4815" i="3" s="1"/>
  <c r="E4815" i="3" a="1"/>
  <c r="E4815" i="3" s="1"/>
  <c r="F4815" i="3" a="1"/>
  <c r="F4815" i="3" s="1"/>
  <c r="G4815" i="3" a="1"/>
  <c r="G4815" i="3" s="1"/>
  <c r="J4815" i="3" a="1"/>
  <c r="J4815" i="3" s="1"/>
  <c r="B4816" i="3" a="1"/>
  <c r="B4816" i="3" s="1"/>
  <c r="C4816" i="3" a="1"/>
  <c r="C4816" i="3" s="1"/>
  <c r="D4816" i="3" a="1"/>
  <c r="D4816" i="3" s="1"/>
  <c r="E4816" i="3" a="1"/>
  <c r="E4816" i="3" s="1"/>
  <c r="F4816" i="3" a="1"/>
  <c r="F4816" i="3" s="1"/>
  <c r="G4816" i="3" a="1"/>
  <c r="G4816" i="3" s="1"/>
  <c r="J4816" i="3" a="1"/>
  <c r="J4816" i="3" s="1"/>
  <c r="B4817" i="3" a="1"/>
  <c r="B4817" i="3" s="1"/>
  <c r="C4817" i="3" a="1"/>
  <c r="C4817" i="3" s="1"/>
  <c r="D4817" i="3" a="1"/>
  <c r="D4817" i="3" s="1"/>
  <c r="E4817" i="3" a="1"/>
  <c r="E4817" i="3" s="1"/>
  <c r="F4817" i="3" a="1"/>
  <c r="F4817" i="3" s="1"/>
  <c r="G4817" i="3" a="1"/>
  <c r="G4817" i="3" s="1"/>
  <c r="J4817" i="3" a="1"/>
  <c r="J4817" i="3" s="1"/>
  <c r="B4818" i="3" a="1"/>
  <c r="B4818" i="3" s="1"/>
  <c r="C4818" i="3" a="1"/>
  <c r="C4818" i="3" s="1"/>
  <c r="D4818" i="3" a="1"/>
  <c r="D4818" i="3" s="1"/>
  <c r="E4818" i="3" a="1"/>
  <c r="E4818" i="3" s="1"/>
  <c r="F4818" i="3" a="1"/>
  <c r="F4818" i="3" s="1"/>
  <c r="G4818" i="3" a="1"/>
  <c r="G4818" i="3" s="1"/>
  <c r="J4818" i="3" a="1"/>
  <c r="J4818" i="3" s="1"/>
  <c r="B4819" i="3" a="1"/>
  <c r="B4819" i="3" s="1"/>
  <c r="C4819" i="3" a="1"/>
  <c r="C4819" i="3" s="1"/>
  <c r="D4819" i="3" a="1"/>
  <c r="D4819" i="3" s="1"/>
  <c r="E4819" i="3" a="1"/>
  <c r="E4819" i="3" s="1"/>
  <c r="F4819" i="3" a="1"/>
  <c r="F4819" i="3" s="1"/>
  <c r="G4819" i="3" a="1"/>
  <c r="G4819" i="3" s="1"/>
  <c r="J4819" i="3" a="1"/>
  <c r="J4819" i="3" s="1"/>
  <c r="B4820" i="3" a="1"/>
  <c r="B4820" i="3" s="1"/>
  <c r="C4820" i="3" a="1"/>
  <c r="C4820" i="3" s="1"/>
  <c r="D4820" i="3" a="1"/>
  <c r="D4820" i="3" s="1"/>
  <c r="E4820" i="3" a="1"/>
  <c r="E4820" i="3" s="1"/>
  <c r="F4820" i="3" a="1"/>
  <c r="F4820" i="3" s="1"/>
  <c r="G4820" i="3" a="1"/>
  <c r="G4820" i="3" s="1"/>
  <c r="J4820" i="3" a="1"/>
  <c r="J4820" i="3" s="1"/>
  <c r="B4821" i="3" a="1"/>
  <c r="B4821" i="3" s="1"/>
  <c r="C4821" i="3" a="1"/>
  <c r="C4821" i="3" s="1"/>
  <c r="D4821" i="3" a="1"/>
  <c r="D4821" i="3" s="1"/>
  <c r="E4821" i="3" a="1"/>
  <c r="E4821" i="3" s="1"/>
  <c r="F4821" i="3" a="1"/>
  <c r="F4821" i="3" s="1"/>
  <c r="G4821" i="3" a="1"/>
  <c r="G4821" i="3" s="1"/>
  <c r="J4821" i="3" a="1"/>
  <c r="J4821" i="3" s="1"/>
  <c r="B4822" i="3" a="1"/>
  <c r="B4822" i="3" s="1"/>
  <c r="C4822" i="3" a="1"/>
  <c r="C4822" i="3" s="1"/>
  <c r="D4822" i="3" a="1"/>
  <c r="D4822" i="3" s="1"/>
  <c r="E4822" i="3" a="1"/>
  <c r="E4822" i="3" s="1"/>
  <c r="F4822" i="3" a="1"/>
  <c r="F4822" i="3" s="1"/>
  <c r="G4822" i="3" a="1"/>
  <c r="G4822" i="3" s="1"/>
  <c r="J4822" i="3" a="1"/>
  <c r="J4822" i="3" s="1"/>
  <c r="B4823" i="3" a="1"/>
  <c r="B4823" i="3" s="1"/>
  <c r="C4823" i="3" a="1"/>
  <c r="C4823" i="3" s="1"/>
  <c r="D4823" i="3" a="1"/>
  <c r="D4823" i="3" s="1"/>
  <c r="E4823" i="3" a="1"/>
  <c r="E4823" i="3" s="1"/>
  <c r="F4823" i="3" a="1"/>
  <c r="F4823" i="3" s="1"/>
  <c r="G4823" i="3" a="1"/>
  <c r="G4823" i="3" s="1"/>
  <c r="J4823" i="3" a="1"/>
  <c r="J4823" i="3" s="1"/>
  <c r="B4824" i="3" a="1"/>
  <c r="B4824" i="3" s="1"/>
  <c r="C4824" i="3" a="1"/>
  <c r="C4824" i="3" s="1"/>
  <c r="D4824" i="3" a="1"/>
  <c r="D4824" i="3" s="1"/>
  <c r="E4824" i="3" a="1"/>
  <c r="E4824" i="3" s="1"/>
  <c r="F4824" i="3" a="1"/>
  <c r="F4824" i="3" s="1"/>
  <c r="G4824" i="3" a="1"/>
  <c r="G4824" i="3" s="1"/>
  <c r="J4824" i="3" a="1"/>
  <c r="J4824" i="3" s="1"/>
  <c r="B4825" i="3" a="1"/>
  <c r="B4825" i="3" s="1"/>
  <c r="C4825" i="3" a="1"/>
  <c r="C4825" i="3" s="1"/>
  <c r="D4825" i="3" a="1"/>
  <c r="D4825" i="3" s="1"/>
  <c r="E4825" i="3" a="1"/>
  <c r="E4825" i="3" s="1"/>
  <c r="F4825" i="3" a="1"/>
  <c r="F4825" i="3" s="1"/>
  <c r="G4825" i="3" a="1"/>
  <c r="G4825" i="3" s="1"/>
  <c r="J4825" i="3" a="1"/>
  <c r="J4825" i="3" s="1"/>
  <c r="B4826" i="3" a="1"/>
  <c r="B4826" i="3" s="1"/>
  <c r="C4826" i="3" a="1"/>
  <c r="C4826" i="3" s="1"/>
  <c r="D4826" i="3" a="1"/>
  <c r="D4826" i="3" s="1"/>
  <c r="E4826" i="3" a="1"/>
  <c r="E4826" i="3" s="1"/>
  <c r="F4826" i="3" a="1"/>
  <c r="F4826" i="3" s="1"/>
  <c r="G4826" i="3" a="1"/>
  <c r="G4826" i="3" s="1"/>
  <c r="J4826" i="3" a="1"/>
  <c r="J4826" i="3" s="1"/>
  <c r="B4827" i="3" a="1"/>
  <c r="B4827" i="3" s="1"/>
  <c r="C4827" i="3" a="1"/>
  <c r="C4827" i="3" s="1"/>
  <c r="D4827" i="3" a="1"/>
  <c r="D4827" i="3" s="1"/>
  <c r="E4827" i="3" a="1"/>
  <c r="E4827" i="3" s="1"/>
  <c r="F4827" i="3" a="1"/>
  <c r="F4827" i="3" s="1"/>
  <c r="G4827" i="3" a="1"/>
  <c r="G4827" i="3" s="1"/>
  <c r="J4827" i="3" a="1"/>
  <c r="J4827" i="3" s="1"/>
  <c r="B4828" i="3" a="1"/>
  <c r="B4828" i="3" s="1"/>
  <c r="C4828" i="3" a="1"/>
  <c r="C4828" i="3" s="1"/>
  <c r="D4828" i="3" a="1"/>
  <c r="D4828" i="3" s="1"/>
  <c r="E4828" i="3" a="1"/>
  <c r="E4828" i="3" s="1"/>
  <c r="F4828" i="3" a="1"/>
  <c r="F4828" i="3" s="1"/>
  <c r="G4828" i="3" a="1"/>
  <c r="G4828" i="3" s="1"/>
  <c r="J4828" i="3" a="1"/>
  <c r="J4828" i="3" s="1"/>
  <c r="B4829" i="3" a="1"/>
  <c r="B4829" i="3" s="1"/>
  <c r="C4829" i="3" a="1"/>
  <c r="C4829" i="3" s="1"/>
  <c r="D4829" i="3" a="1"/>
  <c r="D4829" i="3" s="1"/>
  <c r="E4829" i="3" a="1"/>
  <c r="E4829" i="3" s="1"/>
  <c r="F4829" i="3" a="1"/>
  <c r="F4829" i="3" s="1"/>
  <c r="G4829" i="3" a="1"/>
  <c r="G4829" i="3" s="1"/>
  <c r="J4829" i="3" a="1"/>
  <c r="J4829" i="3" s="1"/>
  <c r="B4830" i="3" a="1"/>
  <c r="B4830" i="3" s="1"/>
  <c r="C4830" i="3" a="1"/>
  <c r="C4830" i="3" s="1"/>
  <c r="D4830" i="3" a="1"/>
  <c r="D4830" i="3" s="1"/>
  <c r="E4830" i="3" a="1"/>
  <c r="E4830" i="3" s="1"/>
  <c r="F4830" i="3" a="1"/>
  <c r="F4830" i="3" s="1"/>
  <c r="G4830" i="3" a="1"/>
  <c r="G4830" i="3" s="1"/>
  <c r="J4830" i="3" a="1"/>
  <c r="J4830" i="3" s="1"/>
  <c r="B4831" i="3" a="1"/>
  <c r="B4831" i="3" s="1"/>
  <c r="C4831" i="3" a="1"/>
  <c r="C4831" i="3" s="1"/>
  <c r="D4831" i="3" a="1"/>
  <c r="D4831" i="3" s="1"/>
  <c r="E4831" i="3" a="1"/>
  <c r="E4831" i="3" s="1"/>
  <c r="F4831" i="3" a="1"/>
  <c r="F4831" i="3" s="1"/>
  <c r="G4831" i="3" a="1"/>
  <c r="G4831" i="3" s="1"/>
  <c r="J4831" i="3" a="1"/>
  <c r="J4831" i="3" s="1"/>
  <c r="B4832" i="3" a="1"/>
  <c r="B4832" i="3" s="1"/>
  <c r="C4832" i="3" a="1"/>
  <c r="C4832" i="3" s="1"/>
  <c r="D4832" i="3" a="1"/>
  <c r="D4832" i="3" s="1"/>
  <c r="E4832" i="3" a="1"/>
  <c r="E4832" i="3" s="1"/>
  <c r="F4832" i="3" a="1"/>
  <c r="F4832" i="3" s="1"/>
  <c r="G4832" i="3" a="1"/>
  <c r="G4832" i="3" s="1"/>
  <c r="J4832" i="3" a="1"/>
  <c r="J4832" i="3" s="1"/>
  <c r="B4833" i="3" a="1"/>
  <c r="B4833" i="3" s="1"/>
  <c r="C4833" i="3" a="1"/>
  <c r="C4833" i="3" s="1"/>
  <c r="D4833" i="3" a="1"/>
  <c r="D4833" i="3" s="1"/>
  <c r="E4833" i="3" a="1"/>
  <c r="E4833" i="3" s="1"/>
  <c r="F4833" i="3" a="1"/>
  <c r="F4833" i="3" s="1"/>
  <c r="G4833" i="3" a="1"/>
  <c r="G4833" i="3" s="1"/>
  <c r="J4833" i="3" a="1"/>
  <c r="J4833" i="3" s="1"/>
  <c r="B4834" i="3" a="1"/>
  <c r="B4834" i="3" s="1"/>
  <c r="C4834" i="3" a="1"/>
  <c r="C4834" i="3" s="1"/>
  <c r="D4834" i="3" a="1"/>
  <c r="D4834" i="3" s="1"/>
  <c r="E4834" i="3" a="1"/>
  <c r="E4834" i="3" s="1"/>
  <c r="F4834" i="3" a="1"/>
  <c r="F4834" i="3" s="1"/>
  <c r="G4834" i="3" a="1"/>
  <c r="G4834" i="3" s="1"/>
  <c r="J4834" i="3" a="1"/>
  <c r="J4834" i="3" s="1"/>
  <c r="B4835" i="3" a="1"/>
  <c r="B4835" i="3" s="1"/>
  <c r="C4835" i="3" a="1"/>
  <c r="C4835" i="3" s="1"/>
  <c r="D4835" i="3" a="1"/>
  <c r="D4835" i="3" s="1"/>
  <c r="E4835" i="3" a="1"/>
  <c r="E4835" i="3" s="1"/>
  <c r="F4835" i="3" a="1"/>
  <c r="F4835" i="3" s="1"/>
  <c r="G4835" i="3" a="1"/>
  <c r="G4835" i="3" s="1"/>
  <c r="J4835" i="3" a="1"/>
  <c r="J4835" i="3" s="1"/>
  <c r="B4836" i="3" a="1"/>
  <c r="B4836" i="3" s="1"/>
  <c r="C4836" i="3" a="1"/>
  <c r="C4836" i="3" s="1"/>
  <c r="D4836" i="3" a="1"/>
  <c r="D4836" i="3" s="1"/>
  <c r="E4836" i="3" a="1"/>
  <c r="E4836" i="3" s="1"/>
  <c r="F4836" i="3" a="1"/>
  <c r="F4836" i="3" s="1"/>
  <c r="G4836" i="3" a="1"/>
  <c r="G4836" i="3" s="1"/>
  <c r="J4836" i="3" a="1"/>
  <c r="J4836" i="3" s="1"/>
  <c r="B4837" i="3" a="1"/>
  <c r="B4837" i="3" s="1"/>
  <c r="C4837" i="3" a="1"/>
  <c r="C4837" i="3" s="1"/>
  <c r="D4837" i="3" a="1"/>
  <c r="D4837" i="3" s="1"/>
  <c r="E4837" i="3" a="1"/>
  <c r="E4837" i="3" s="1"/>
  <c r="F4837" i="3" a="1"/>
  <c r="F4837" i="3" s="1"/>
  <c r="G4837" i="3" a="1"/>
  <c r="G4837" i="3" s="1"/>
  <c r="J4837" i="3" a="1"/>
  <c r="J4837" i="3" s="1"/>
  <c r="B4838" i="3" a="1"/>
  <c r="B4838" i="3" s="1"/>
  <c r="C4838" i="3" a="1"/>
  <c r="C4838" i="3" s="1"/>
  <c r="D4838" i="3" a="1"/>
  <c r="D4838" i="3" s="1"/>
  <c r="E4838" i="3" a="1"/>
  <c r="E4838" i="3" s="1"/>
  <c r="F4838" i="3" a="1"/>
  <c r="F4838" i="3" s="1"/>
  <c r="G4838" i="3" a="1"/>
  <c r="G4838" i="3" s="1"/>
  <c r="J4838" i="3" a="1"/>
  <c r="J4838" i="3" s="1"/>
  <c r="B4839" i="3" a="1"/>
  <c r="B4839" i="3" s="1"/>
  <c r="C4839" i="3" a="1"/>
  <c r="C4839" i="3" s="1"/>
  <c r="D4839" i="3" a="1"/>
  <c r="D4839" i="3" s="1"/>
  <c r="E4839" i="3" a="1"/>
  <c r="E4839" i="3" s="1"/>
  <c r="F4839" i="3" a="1"/>
  <c r="F4839" i="3" s="1"/>
  <c r="G4839" i="3" a="1"/>
  <c r="G4839" i="3" s="1"/>
  <c r="J4839" i="3" a="1"/>
  <c r="J4839" i="3" s="1"/>
  <c r="B4840" i="3" a="1"/>
  <c r="B4840" i="3" s="1"/>
  <c r="C4840" i="3" a="1"/>
  <c r="C4840" i="3" s="1"/>
  <c r="D4840" i="3" a="1"/>
  <c r="D4840" i="3" s="1"/>
  <c r="E4840" i="3" a="1"/>
  <c r="E4840" i="3" s="1"/>
  <c r="F4840" i="3" a="1"/>
  <c r="F4840" i="3" s="1"/>
  <c r="G4840" i="3" a="1"/>
  <c r="G4840" i="3" s="1"/>
  <c r="J4840" i="3" a="1"/>
  <c r="J4840" i="3" s="1"/>
  <c r="B4841" i="3" a="1"/>
  <c r="B4841" i="3" s="1"/>
  <c r="C4841" i="3" a="1"/>
  <c r="C4841" i="3" s="1"/>
  <c r="D4841" i="3" a="1"/>
  <c r="D4841" i="3" s="1"/>
  <c r="E4841" i="3" a="1"/>
  <c r="E4841" i="3" s="1"/>
  <c r="F4841" i="3" a="1"/>
  <c r="F4841" i="3" s="1"/>
  <c r="G4841" i="3" a="1"/>
  <c r="G4841" i="3" s="1"/>
  <c r="J4841" i="3" a="1"/>
  <c r="J4841" i="3" s="1"/>
  <c r="B4842" i="3" a="1"/>
  <c r="B4842" i="3" s="1"/>
  <c r="C4842" i="3" a="1"/>
  <c r="C4842" i="3" s="1"/>
  <c r="D4842" i="3" a="1"/>
  <c r="D4842" i="3" s="1"/>
  <c r="E4842" i="3" a="1"/>
  <c r="E4842" i="3" s="1"/>
  <c r="F4842" i="3" a="1"/>
  <c r="F4842" i="3" s="1"/>
  <c r="G4842" i="3" a="1"/>
  <c r="G4842" i="3" s="1"/>
  <c r="J4842" i="3" a="1"/>
  <c r="J4842" i="3" s="1"/>
  <c r="B4843" i="3" a="1"/>
  <c r="B4843" i="3" s="1"/>
  <c r="C4843" i="3" a="1"/>
  <c r="C4843" i="3" s="1"/>
  <c r="D4843" i="3" a="1"/>
  <c r="D4843" i="3" s="1"/>
  <c r="E4843" i="3" a="1"/>
  <c r="E4843" i="3" s="1"/>
  <c r="F4843" i="3" a="1"/>
  <c r="F4843" i="3" s="1"/>
  <c r="G4843" i="3" a="1"/>
  <c r="G4843" i="3" s="1"/>
  <c r="J4843" i="3" a="1"/>
  <c r="J4843" i="3" s="1"/>
  <c r="B4844" i="3" a="1"/>
  <c r="B4844" i="3" s="1"/>
  <c r="C4844" i="3" a="1"/>
  <c r="C4844" i="3" s="1"/>
  <c r="D4844" i="3" a="1"/>
  <c r="D4844" i="3" s="1"/>
  <c r="E4844" i="3" a="1"/>
  <c r="E4844" i="3" s="1"/>
  <c r="F4844" i="3" a="1"/>
  <c r="F4844" i="3" s="1"/>
  <c r="G4844" i="3" a="1"/>
  <c r="G4844" i="3" s="1"/>
  <c r="J4844" i="3" a="1"/>
  <c r="J4844" i="3" s="1"/>
  <c r="B4845" i="3" a="1"/>
  <c r="B4845" i="3" s="1"/>
  <c r="C4845" i="3" a="1"/>
  <c r="C4845" i="3" s="1"/>
  <c r="D4845" i="3" a="1"/>
  <c r="D4845" i="3" s="1"/>
  <c r="E4845" i="3" a="1"/>
  <c r="E4845" i="3" s="1"/>
  <c r="F4845" i="3" a="1"/>
  <c r="F4845" i="3" s="1"/>
  <c r="G4845" i="3" a="1"/>
  <c r="G4845" i="3" s="1"/>
  <c r="J4845" i="3" a="1"/>
  <c r="J4845" i="3" s="1"/>
  <c r="B4846" i="3" a="1"/>
  <c r="B4846" i="3" s="1"/>
  <c r="C4846" i="3" a="1"/>
  <c r="C4846" i="3" s="1"/>
  <c r="D4846" i="3" a="1"/>
  <c r="D4846" i="3" s="1"/>
  <c r="E4846" i="3" a="1"/>
  <c r="E4846" i="3" s="1"/>
  <c r="F4846" i="3" a="1"/>
  <c r="F4846" i="3" s="1"/>
  <c r="G4846" i="3" a="1"/>
  <c r="G4846" i="3" s="1"/>
  <c r="J4846" i="3" a="1"/>
  <c r="J4846" i="3" s="1"/>
  <c r="B4847" i="3" a="1"/>
  <c r="B4847" i="3" s="1"/>
  <c r="C4847" i="3" a="1"/>
  <c r="C4847" i="3" s="1"/>
  <c r="D4847" i="3" a="1"/>
  <c r="D4847" i="3" s="1"/>
  <c r="E4847" i="3" a="1"/>
  <c r="E4847" i="3" s="1"/>
  <c r="F4847" i="3" a="1"/>
  <c r="F4847" i="3" s="1"/>
  <c r="G4847" i="3" a="1"/>
  <c r="G4847" i="3" s="1"/>
  <c r="J4847" i="3" a="1"/>
  <c r="J4847" i="3" s="1"/>
  <c r="B4848" i="3" a="1"/>
  <c r="B4848" i="3" s="1"/>
  <c r="C4848" i="3" a="1"/>
  <c r="C4848" i="3" s="1"/>
  <c r="D4848" i="3" a="1"/>
  <c r="D4848" i="3" s="1"/>
  <c r="E4848" i="3" a="1"/>
  <c r="E4848" i="3" s="1"/>
  <c r="F4848" i="3" a="1"/>
  <c r="F4848" i="3" s="1"/>
  <c r="G4848" i="3" a="1"/>
  <c r="G4848" i="3" s="1"/>
  <c r="J4848" i="3" a="1"/>
  <c r="J4848" i="3" s="1"/>
  <c r="B4849" i="3" a="1"/>
  <c r="B4849" i="3" s="1"/>
  <c r="C4849" i="3" a="1"/>
  <c r="C4849" i="3" s="1"/>
  <c r="D4849" i="3" a="1"/>
  <c r="D4849" i="3" s="1"/>
  <c r="E4849" i="3" a="1"/>
  <c r="E4849" i="3" s="1"/>
  <c r="F4849" i="3" a="1"/>
  <c r="F4849" i="3" s="1"/>
  <c r="G4849" i="3" a="1"/>
  <c r="G4849" i="3" s="1"/>
  <c r="J4849" i="3" a="1"/>
  <c r="J4849" i="3" s="1"/>
  <c r="B4850" i="3" a="1"/>
  <c r="B4850" i="3" s="1"/>
  <c r="C4850" i="3" a="1"/>
  <c r="C4850" i="3" s="1"/>
  <c r="D4850" i="3" a="1"/>
  <c r="D4850" i="3" s="1"/>
  <c r="E4850" i="3" a="1"/>
  <c r="E4850" i="3" s="1"/>
  <c r="F4850" i="3" a="1"/>
  <c r="F4850" i="3" s="1"/>
  <c r="G4850" i="3" a="1"/>
  <c r="G4850" i="3" s="1"/>
  <c r="J4850" i="3" a="1"/>
  <c r="J4850" i="3" s="1"/>
  <c r="B4851" i="3" a="1"/>
  <c r="B4851" i="3" s="1"/>
  <c r="C4851" i="3" a="1"/>
  <c r="C4851" i="3" s="1"/>
  <c r="D4851" i="3" a="1"/>
  <c r="D4851" i="3" s="1"/>
  <c r="E4851" i="3" a="1"/>
  <c r="E4851" i="3" s="1"/>
  <c r="F4851" i="3" a="1"/>
  <c r="F4851" i="3" s="1"/>
  <c r="G4851" i="3" a="1"/>
  <c r="G4851" i="3" s="1"/>
  <c r="J4851" i="3" a="1"/>
  <c r="J4851" i="3" s="1"/>
  <c r="B4852" i="3" a="1"/>
  <c r="B4852" i="3" s="1"/>
  <c r="C4852" i="3" a="1"/>
  <c r="C4852" i="3" s="1"/>
  <c r="D4852" i="3" a="1"/>
  <c r="D4852" i="3" s="1"/>
  <c r="E4852" i="3" a="1"/>
  <c r="E4852" i="3" s="1"/>
  <c r="F4852" i="3" a="1"/>
  <c r="F4852" i="3" s="1"/>
  <c r="G4852" i="3" a="1"/>
  <c r="G4852" i="3" s="1"/>
  <c r="J4852" i="3" a="1"/>
  <c r="J4852" i="3" s="1"/>
  <c r="B4853" i="3" a="1"/>
  <c r="B4853" i="3" s="1"/>
  <c r="C4853" i="3" a="1"/>
  <c r="C4853" i="3" s="1"/>
  <c r="D4853" i="3" a="1"/>
  <c r="D4853" i="3" s="1"/>
  <c r="E4853" i="3" a="1"/>
  <c r="E4853" i="3" s="1"/>
  <c r="F4853" i="3" a="1"/>
  <c r="F4853" i="3" s="1"/>
  <c r="G4853" i="3" a="1"/>
  <c r="G4853" i="3" s="1"/>
  <c r="J4853" i="3" a="1"/>
  <c r="J4853" i="3" s="1"/>
  <c r="B4854" i="3" a="1"/>
  <c r="B4854" i="3" s="1"/>
  <c r="C4854" i="3" a="1"/>
  <c r="C4854" i="3" s="1"/>
  <c r="D4854" i="3" a="1"/>
  <c r="D4854" i="3" s="1"/>
  <c r="E4854" i="3" a="1"/>
  <c r="E4854" i="3" s="1"/>
  <c r="F4854" i="3" a="1"/>
  <c r="F4854" i="3" s="1"/>
  <c r="G4854" i="3" a="1"/>
  <c r="G4854" i="3" s="1"/>
  <c r="J4854" i="3" a="1"/>
  <c r="J4854" i="3" s="1"/>
  <c r="B4855" i="3" a="1"/>
  <c r="B4855" i="3" s="1"/>
  <c r="C4855" i="3" a="1"/>
  <c r="C4855" i="3" s="1"/>
  <c r="D4855" i="3" a="1"/>
  <c r="D4855" i="3" s="1"/>
  <c r="E4855" i="3" a="1"/>
  <c r="E4855" i="3" s="1"/>
  <c r="F4855" i="3" a="1"/>
  <c r="F4855" i="3" s="1"/>
  <c r="G4855" i="3" a="1"/>
  <c r="G4855" i="3" s="1"/>
  <c r="J4855" i="3" a="1"/>
  <c r="J4855" i="3" s="1"/>
  <c r="B4856" i="3" a="1"/>
  <c r="B4856" i="3" s="1"/>
  <c r="C4856" i="3" a="1"/>
  <c r="C4856" i="3" s="1"/>
  <c r="D4856" i="3" a="1"/>
  <c r="D4856" i="3" s="1"/>
  <c r="E4856" i="3" a="1"/>
  <c r="E4856" i="3" s="1"/>
  <c r="F4856" i="3" a="1"/>
  <c r="F4856" i="3" s="1"/>
  <c r="G4856" i="3" a="1"/>
  <c r="G4856" i="3" s="1"/>
  <c r="J4856" i="3" a="1"/>
  <c r="J4856" i="3" s="1"/>
  <c r="B4857" i="3" a="1"/>
  <c r="B4857" i="3" s="1"/>
  <c r="C4857" i="3" a="1"/>
  <c r="C4857" i="3" s="1"/>
  <c r="D4857" i="3" a="1"/>
  <c r="D4857" i="3" s="1"/>
  <c r="E4857" i="3" a="1"/>
  <c r="E4857" i="3" s="1"/>
  <c r="F4857" i="3" a="1"/>
  <c r="F4857" i="3" s="1"/>
  <c r="G4857" i="3" a="1"/>
  <c r="G4857" i="3" s="1"/>
  <c r="J4857" i="3" a="1"/>
  <c r="J4857" i="3" s="1"/>
  <c r="B4858" i="3" a="1"/>
  <c r="B4858" i="3" s="1"/>
  <c r="C4858" i="3" a="1"/>
  <c r="C4858" i="3" s="1"/>
  <c r="D4858" i="3" a="1"/>
  <c r="D4858" i="3" s="1"/>
  <c r="E4858" i="3" a="1"/>
  <c r="E4858" i="3" s="1"/>
  <c r="F4858" i="3" a="1"/>
  <c r="F4858" i="3" s="1"/>
  <c r="G4858" i="3" a="1"/>
  <c r="G4858" i="3" s="1"/>
  <c r="J4858" i="3" a="1"/>
  <c r="J4858" i="3" s="1"/>
  <c r="B4859" i="3" a="1"/>
  <c r="B4859" i="3" s="1"/>
  <c r="C4859" i="3" a="1"/>
  <c r="C4859" i="3" s="1"/>
  <c r="D4859" i="3" a="1"/>
  <c r="D4859" i="3" s="1"/>
  <c r="E4859" i="3" a="1"/>
  <c r="E4859" i="3" s="1"/>
  <c r="F4859" i="3" a="1"/>
  <c r="F4859" i="3" s="1"/>
  <c r="G4859" i="3" a="1"/>
  <c r="G4859" i="3" s="1"/>
  <c r="J4859" i="3" a="1"/>
  <c r="J4859" i="3" s="1"/>
  <c r="B4860" i="3" a="1"/>
  <c r="B4860" i="3" s="1"/>
  <c r="C4860" i="3" a="1"/>
  <c r="C4860" i="3" s="1"/>
  <c r="D4860" i="3" a="1"/>
  <c r="D4860" i="3" s="1"/>
  <c r="E4860" i="3" a="1"/>
  <c r="E4860" i="3" s="1"/>
  <c r="F4860" i="3" a="1"/>
  <c r="F4860" i="3" s="1"/>
  <c r="G4860" i="3" a="1"/>
  <c r="G4860" i="3" s="1"/>
  <c r="J4860" i="3" a="1"/>
  <c r="J4860" i="3" s="1"/>
  <c r="B4861" i="3" a="1"/>
  <c r="B4861" i="3" s="1"/>
  <c r="C4861" i="3" a="1"/>
  <c r="C4861" i="3" s="1"/>
  <c r="D4861" i="3" a="1"/>
  <c r="D4861" i="3" s="1"/>
  <c r="E4861" i="3" a="1"/>
  <c r="E4861" i="3" s="1"/>
  <c r="F4861" i="3" a="1"/>
  <c r="F4861" i="3" s="1"/>
  <c r="G4861" i="3" a="1"/>
  <c r="G4861" i="3" s="1"/>
  <c r="J4861" i="3" a="1"/>
  <c r="J4861" i="3" s="1"/>
  <c r="B4862" i="3" a="1"/>
  <c r="B4862" i="3" s="1"/>
  <c r="C4862" i="3" a="1"/>
  <c r="C4862" i="3" s="1"/>
  <c r="D4862" i="3" a="1"/>
  <c r="D4862" i="3" s="1"/>
  <c r="E4862" i="3" a="1"/>
  <c r="E4862" i="3" s="1"/>
  <c r="F4862" i="3" a="1"/>
  <c r="F4862" i="3" s="1"/>
  <c r="G4862" i="3" a="1"/>
  <c r="G4862" i="3" s="1"/>
  <c r="J4862" i="3" a="1"/>
  <c r="J4862" i="3" s="1"/>
  <c r="B4863" i="3" a="1"/>
  <c r="B4863" i="3" s="1"/>
  <c r="C4863" i="3" a="1"/>
  <c r="C4863" i="3" s="1"/>
  <c r="D4863" i="3" a="1"/>
  <c r="D4863" i="3" s="1"/>
  <c r="E4863" i="3" a="1"/>
  <c r="E4863" i="3" s="1"/>
  <c r="F4863" i="3" a="1"/>
  <c r="F4863" i="3" s="1"/>
  <c r="G4863" i="3" a="1"/>
  <c r="G4863" i="3" s="1"/>
  <c r="J4863" i="3" a="1"/>
  <c r="J4863" i="3" s="1"/>
  <c r="B4864" i="3" a="1"/>
  <c r="B4864" i="3" s="1"/>
  <c r="C4864" i="3" a="1"/>
  <c r="C4864" i="3" s="1"/>
  <c r="D4864" i="3" a="1"/>
  <c r="D4864" i="3" s="1"/>
  <c r="E4864" i="3" a="1"/>
  <c r="E4864" i="3" s="1"/>
  <c r="F4864" i="3" a="1"/>
  <c r="F4864" i="3" s="1"/>
  <c r="G4864" i="3" a="1"/>
  <c r="G4864" i="3" s="1"/>
  <c r="J4864" i="3" a="1"/>
  <c r="J4864" i="3" s="1"/>
  <c r="B4865" i="3" a="1"/>
  <c r="B4865" i="3" s="1"/>
  <c r="C4865" i="3" a="1"/>
  <c r="C4865" i="3" s="1"/>
  <c r="D4865" i="3" a="1"/>
  <c r="D4865" i="3" s="1"/>
  <c r="E4865" i="3" a="1"/>
  <c r="E4865" i="3" s="1"/>
  <c r="F4865" i="3" a="1"/>
  <c r="F4865" i="3" s="1"/>
  <c r="G4865" i="3" a="1"/>
  <c r="G4865" i="3" s="1"/>
  <c r="J4865" i="3" a="1"/>
  <c r="J4865" i="3" s="1"/>
  <c r="B4866" i="3" a="1"/>
  <c r="B4866" i="3" s="1"/>
  <c r="C4866" i="3" a="1"/>
  <c r="C4866" i="3" s="1"/>
  <c r="D4866" i="3" a="1"/>
  <c r="D4866" i="3" s="1"/>
  <c r="E4866" i="3" a="1"/>
  <c r="E4866" i="3" s="1"/>
  <c r="F4866" i="3" a="1"/>
  <c r="F4866" i="3" s="1"/>
  <c r="G4866" i="3" a="1"/>
  <c r="G4866" i="3" s="1"/>
  <c r="J4866" i="3" a="1"/>
  <c r="J4866" i="3" s="1"/>
  <c r="B4867" i="3" a="1"/>
  <c r="B4867" i="3" s="1"/>
  <c r="C4867" i="3" a="1"/>
  <c r="C4867" i="3" s="1"/>
  <c r="D4867" i="3" a="1"/>
  <c r="D4867" i="3" s="1"/>
  <c r="E4867" i="3" a="1"/>
  <c r="E4867" i="3" s="1"/>
  <c r="F4867" i="3" a="1"/>
  <c r="F4867" i="3" s="1"/>
  <c r="G4867" i="3" a="1"/>
  <c r="G4867" i="3" s="1"/>
  <c r="J4867" i="3" a="1"/>
  <c r="J4867" i="3" s="1"/>
  <c r="B4868" i="3" a="1"/>
  <c r="B4868" i="3" s="1"/>
  <c r="C4868" i="3" a="1"/>
  <c r="C4868" i="3" s="1"/>
  <c r="D4868" i="3" a="1"/>
  <c r="D4868" i="3" s="1"/>
  <c r="E4868" i="3" a="1"/>
  <c r="E4868" i="3" s="1"/>
  <c r="F4868" i="3" a="1"/>
  <c r="F4868" i="3" s="1"/>
  <c r="G4868" i="3" a="1"/>
  <c r="G4868" i="3" s="1"/>
  <c r="J4868" i="3" a="1"/>
  <c r="J4868" i="3" s="1"/>
  <c r="B4869" i="3" a="1"/>
  <c r="B4869" i="3" s="1"/>
  <c r="C4869" i="3" a="1"/>
  <c r="C4869" i="3" s="1"/>
  <c r="D4869" i="3" a="1"/>
  <c r="D4869" i="3" s="1"/>
  <c r="E4869" i="3" a="1"/>
  <c r="E4869" i="3" s="1"/>
  <c r="F4869" i="3" a="1"/>
  <c r="F4869" i="3" s="1"/>
  <c r="G4869" i="3" a="1"/>
  <c r="G4869" i="3" s="1"/>
  <c r="J4869" i="3" a="1"/>
  <c r="J4869" i="3" s="1"/>
  <c r="B4870" i="3" a="1"/>
  <c r="B4870" i="3" s="1"/>
  <c r="C4870" i="3" a="1"/>
  <c r="C4870" i="3" s="1"/>
  <c r="D4870" i="3" a="1"/>
  <c r="D4870" i="3" s="1"/>
  <c r="E4870" i="3" a="1"/>
  <c r="E4870" i="3" s="1"/>
  <c r="F4870" i="3" a="1"/>
  <c r="F4870" i="3" s="1"/>
  <c r="G4870" i="3" a="1"/>
  <c r="G4870" i="3" s="1"/>
  <c r="J4870" i="3" a="1"/>
  <c r="J4870" i="3" s="1"/>
  <c r="B4871" i="3" a="1"/>
  <c r="B4871" i="3" s="1"/>
  <c r="C4871" i="3" a="1"/>
  <c r="C4871" i="3" s="1"/>
  <c r="D4871" i="3" a="1"/>
  <c r="D4871" i="3" s="1"/>
  <c r="E4871" i="3" a="1"/>
  <c r="E4871" i="3" s="1"/>
  <c r="F4871" i="3" a="1"/>
  <c r="F4871" i="3" s="1"/>
  <c r="G4871" i="3" a="1"/>
  <c r="G4871" i="3" s="1"/>
  <c r="J4871" i="3" a="1"/>
  <c r="J4871" i="3" s="1"/>
  <c r="B4872" i="3" a="1"/>
  <c r="B4872" i="3" s="1"/>
  <c r="C4872" i="3" a="1"/>
  <c r="C4872" i="3" s="1"/>
  <c r="D4872" i="3" a="1"/>
  <c r="D4872" i="3" s="1"/>
  <c r="E4872" i="3" a="1"/>
  <c r="E4872" i="3" s="1"/>
  <c r="F4872" i="3" a="1"/>
  <c r="F4872" i="3" s="1"/>
  <c r="G4872" i="3" a="1"/>
  <c r="G4872" i="3" s="1"/>
  <c r="J4872" i="3" a="1"/>
  <c r="J4872" i="3" s="1"/>
  <c r="B4873" i="3" a="1"/>
  <c r="B4873" i="3" s="1"/>
  <c r="C4873" i="3" a="1"/>
  <c r="C4873" i="3" s="1"/>
  <c r="D4873" i="3" a="1"/>
  <c r="D4873" i="3" s="1"/>
  <c r="E4873" i="3" a="1"/>
  <c r="E4873" i="3" s="1"/>
  <c r="F4873" i="3" a="1"/>
  <c r="F4873" i="3" s="1"/>
  <c r="G4873" i="3" a="1"/>
  <c r="G4873" i="3" s="1"/>
  <c r="J4873" i="3" a="1"/>
  <c r="J4873" i="3" s="1"/>
  <c r="B4874" i="3" a="1"/>
  <c r="B4874" i="3" s="1"/>
  <c r="C4874" i="3" a="1"/>
  <c r="C4874" i="3" s="1"/>
  <c r="D4874" i="3" a="1"/>
  <c r="D4874" i="3" s="1"/>
  <c r="E4874" i="3" a="1"/>
  <c r="E4874" i="3" s="1"/>
  <c r="F4874" i="3" a="1"/>
  <c r="F4874" i="3" s="1"/>
  <c r="G4874" i="3" a="1"/>
  <c r="G4874" i="3" s="1"/>
  <c r="J4874" i="3" a="1"/>
  <c r="J4874" i="3" s="1"/>
  <c r="B4875" i="3" a="1"/>
  <c r="B4875" i="3" s="1"/>
  <c r="C4875" i="3" a="1"/>
  <c r="C4875" i="3" s="1"/>
  <c r="D4875" i="3" a="1"/>
  <c r="D4875" i="3" s="1"/>
  <c r="E4875" i="3" a="1"/>
  <c r="E4875" i="3" s="1"/>
  <c r="F4875" i="3" a="1"/>
  <c r="F4875" i="3" s="1"/>
  <c r="G4875" i="3" a="1"/>
  <c r="G4875" i="3" s="1"/>
  <c r="J4875" i="3" a="1"/>
  <c r="J4875" i="3" s="1"/>
  <c r="B4876" i="3" a="1"/>
  <c r="B4876" i="3" s="1"/>
  <c r="C4876" i="3" a="1"/>
  <c r="C4876" i="3" s="1"/>
  <c r="D4876" i="3" a="1"/>
  <c r="D4876" i="3" s="1"/>
  <c r="E4876" i="3" a="1"/>
  <c r="E4876" i="3" s="1"/>
  <c r="F4876" i="3" a="1"/>
  <c r="F4876" i="3" s="1"/>
  <c r="G4876" i="3" a="1"/>
  <c r="G4876" i="3" s="1"/>
  <c r="J4876" i="3" a="1"/>
  <c r="J4876" i="3" s="1"/>
  <c r="B4877" i="3" a="1"/>
  <c r="B4877" i="3" s="1"/>
  <c r="C4877" i="3" a="1"/>
  <c r="C4877" i="3" s="1"/>
  <c r="D4877" i="3" a="1"/>
  <c r="D4877" i="3" s="1"/>
  <c r="E4877" i="3" a="1"/>
  <c r="E4877" i="3" s="1"/>
  <c r="F4877" i="3" a="1"/>
  <c r="F4877" i="3" s="1"/>
  <c r="G4877" i="3" a="1"/>
  <c r="G4877" i="3" s="1"/>
  <c r="J4877" i="3" a="1"/>
  <c r="J4877" i="3" s="1"/>
  <c r="B4878" i="3" a="1"/>
  <c r="B4878" i="3" s="1"/>
  <c r="C4878" i="3" a="1"/>
  <c r="C4878" i="3" s="1"/>
  <c r="D4878" i="3" a="1"/>
  <c r="D4878" i="3" s="1"/>
  <c r="E4878" i="3" a="1"/>
  <c r="E4878" i="3" s="1"/>
  <c r="F4878" i="3" a="1"/>
  <c r="F4878" i="3" s="1"/>
  <c r="G4878" i="3" a="1"/>
  <c r="G4878" i="3" s="1"/>
  <c r="J4878" i="3" a="1"/>
  <c r="J4878" i="3" s="1"/>
  <c r="B4879" i="3" a="1"/>
  <c r="B4879" i="3" s="1"/>
  <c r="C4879" i="3" a="1"/>
  <c r="C4879" i="3" s="1"/>
  <c r="D4879" i="3" a="1"/>
  <c r="D4879" i="3" s="1"/>
  <c r="E4879" i="3" a="1"/>
  <c r="E4879" i="3" s="1"/>
  <c r="F4879" i="3" a="1"/>
  <c r="F4879" i="3" s="1"/>
  <c r="G4879" i="3" a="1"/>
  <c r="G4879" i="3" s="1"/>
  <c r="J4879" i="3" a="1"/>
  <c r="J4879" i="3" s="1"/>
  <c r="B4880" i="3" a="1"/>
  <c r="B4880" i="3" s="1"/>
  <c r="C4880" i="3" a="1"/>
  <c r="C4880" i="3" s="1"/>
  <c r="D4880" i="3" a="1"/>
  <c r="D4880" i="3" s="1"/>
  <c r="E4880" i="3" a="1"/>
  <c r="E4880" i="3" s="1"/>
  <c r="F4880" i="3" a="1"/>
  <c r="F4880" i="3" s="1"/>
  <c r="G4880" i="3" a="1"/>
  <c r="G4880" i="3" s="1"/>
  <c r="J4880" i="3" a="1"/>
  <c r="J4880" i="3" s="1"/>
  <c r="B4881" i="3" a="1"/>
  <c r="B4881" i="3" s="1"/>
  <c r="C4881" i="3" a="1"/>
  <c r="C4881" i="3" s="1"/>
  <c r="D4881" i="3" a="1"/>
  <c r="D4881" i="3" s="1"/>
  <c r="E4881" i="3" a="1"/>
  <c r="E4881" i="3" s="1"/>
  <c r="F4881" i="3" a="1"/>
  <c r="F4881" i="3" s="1"/>
  <c r="G4881" i="3" a="1"/>
  <c r="G4881" i="3" s="1"/>
  <c r="J4881" i="3" a="1"/>
  <c r="J4881" i="3" s="1"/>
  <c r="B4882" i="3" a="1"/>
  <c r="B4882" i="3" s="1"/>
  <c r="C4882" i="3" a="1"/>
  <c r="C4882" i="3" s="1"/>
  <c r="D4882" i="3" a="1"/>
  <c r="D4882" i="3" s="1"/>
  <c r="E4882" i="3" a="1"/>
  <c r="E4882" i="3" s="1"/>
  <c r="F4882" i="3" a="1"/>
  <c r="F4882" i="3" s="1"/>
  <c r="G4882" i="3" a="1"/>
  <c r="G4882" i="3" s="1"/>
  <c r="J4882" i="3" a="1"/>
  <c r="J4882" i="3" s="1"/>
  <c r="B4883" i="3" a="1"/>
  <c r="B4883" i="3" s="1"/>
  <c r="C4883" i="3" a="1"/>
  <c r="C4883" i="3" s="1"/>
  <c r="D4883" i="3" a="1"/>
  <c r="D4883" i="3" s="1"/>
  <c r="E4883" i="3" a="1"/>
  <c r="E4883" i="3" s="1"/>
  <c r="F4883" i="3" a="1"/>
  <c r="F4883" i="3" s="1"/>
  <c r="G4883" i="3" a="1"/>
  <c r="G4883" i="3" s="1"/>
  <c r="J4883" i="3" a="1"/>
  <c r="J4883" i="3" s="1"/>
  <c r="B4884" i="3" a="1"/>
  <c r="B4884" i="3" s="1"/>
  <c r="C4884" i="3" a="1"/>
  <c r="C4884" i="3" s="1"/>
  <c r="D4884" i="3" a="1"/>
  <c r="D4884" i="3" s="1"/>
  <c r="E4884" i="3" a="1"/>
  <c r="E4884" i="3" s="1"/>
  <c r="F4884" i="3" a="1"/>
  <c r="F4884" i="3" s="1"/>
  <c r="G4884" i="3" a="1"/>
  <c r="G4884" i="3" s="1"/>
  <c r="J4884" i="3" a="1"/>
  <c r="J4884" i="3" s="1"/>
  <c r="B4885" i="3" a="1"/>
  <c r="B4885" i="3" s="1"/>
  <c r="C4885" i="3" a="1"/>
  <c r="C4885" i="3" s="1"/>
  <c r="D4885" i="3" a="1"/>
  <c r="D4885" i="3" s="1"/>
  <c r="E4885" i="3" a="1"/>
  <c r="E4885" i="3" s="1"/>
  <c r="F4885" i="3" a="1"/>
  <c r="F4885" i="3" s="1"/>
  <c r="G4885" i="3" a="1"/>
  <c r="G4885" i="3" s="1"/>
  <c r="J4885" i="3" a="1"/>
  <c r="J4885" i="3" s="1"/>
  <c r="B4886" i="3" a="1"/>
  <c r="B4886" i="3" s="1"/>
  <c r="C4886" i="3" a="1"/>
  <c r="C4886" i="3" s="1"/>
  <c r="D4886" i="3" a="1"/>
  <c r="D4886" i="3" s="1"/>
  <c r="E4886" i="3" a="1"/>
  <c r="E4886" i="3" s="1"/>
  <c r="F4886" i="3" a="1"/>
  <c r="F4886" i="3" s="1"/>
  <c r="G4886" i="3" a="1"/>
  <c r="G4886" i="3" s="1"/>
  <c r="J4886" i="3" a="1"/>
  <c r="J4886" i="3" s="1"/>
  <c r="B4887" i="3" a="1"/>
  <c r="B4887" i="3" s="1"/>
  <c r="C4887" i="3" a="1"/>
  <c r="C4887" i="3" s="1"/>
  <c r="D4887" i="3" a="1"/>
  <c r="D4887" i="3" s="1"/>
  <c r="E4887" i="3" a="1"/>
  <c r="E4887" i="3" s="1"/>
  <c r="F4887" i="3" a="1"/>
  <c r="F4887" i="3" s="1"/>
  <c r="G4887" i="3" a="1"/>
  <c r="G4887" i="3" s="1"/>
  <c r="J4887" i="3" a="1"/>
  <c r="J4887" i="3" s="1"/>
  <c r="B4888" i="3" a="1"/>
  <c r="B4888" i="3" s="1"/>
  <c r="C4888" i="3" a="1"/>
  <c r="C4888" i="3" s="1"/>
  <c r="D4888" i="3" a="1"/>
  <c r="D4888" i="3" s="1"/>
  <c r="E4888" i="3" a="1"/>
  <c r="E4888" i="3" s="1"/>
  <c r="F4888" i="3" a="1"/>
  <c r="F4888" i="3" s="1"/>
  <c r="G4888" i="3" a="1"/>
  <c r="G4888" i="3" s="1"/>
  <c r="J4888" i="3" a="1"/>
  <c r="J4888" i="3" s="1"/>
  <c r="B4889" i="3" a="1"/>
  <c r="B4889" i="3" s="1"/>
  <c r="C4889" i="3" a="1"/>
  <c r="C4889" i="3" s="1"/>
  <c r="D4889" i="3" a="1"/>
  <c r="D4889" i="3" s="1"/>
  <c r="E4889" i="3" a="1"/>
  <c r="E4889" i="3" s="1"/>
  <c r="F4889" i="3" a="1"/>
  <c r="F4889" i="3" s="1"/>
  <c r="G4889" i="3" a="1"/>
  <c r="G4889" i="3" s="1"/>
  <c r="J4889" i="3" a="1"/>
  <c r="J4889" i="3" s="1"/>
  <c r="B4890" i="3" a="1"/>
  <c r="B4890" i="3" s="1"/>
  <c r="C4890" i="3" a="1"/>
  <c r="C4890" i="3" s="1"/>
  <c r="D4890" i="3" a="1"/>
  <c r="D4890" i="3" s="1"/>
  <c r="E4890" i="3" a="1"/>
  <c r="E4890" i="3" s="1"/>
  <c r="F4890" i="3" a="1"/>
  <c r="F4890" i="3" s="1"/>
  <c r="G4890" i="3" a="1"/>
  <c r="G4890" i="3" s="1"/>
  <c r="J4890" i="3" a="1"/>
  <c r="J4890" i="3" s="1"/>
  <c r="B4891" i="3" a="1"/>
  <c r="B4891" i="3" s="1"/>
  <c r="C4891" i="3" a="1"/>
  <c r="C4891" i="3" s="1"/>
  <c r="D4891" i="3" a="1"/>
  <c r="D4891" i="3" s="1"/>
  <c r="E4891" i="3" a="1"/>
  <c r="E4891" i="3" s="1"/>
  <c r="F4891" i="3" a="1"/>
  <c r="F4891" i="3" s="1"/>
  <c r="G4891" i="3" a="1"/>
  <c r="G4891" i="3" s="1"/>
  <c r="J4891" i="3" a="1"/>
  <c r="J4891" i="3" s="1"/>
  <c r="B4892" i="3" a="1"/>
  <c r="B4892" i="3" s="1"/>
  <c r="C4892" i="3" a="1"/>
  <c r="C4892" i="3" s="1"/>
  <c r="D4892" i="3" a="1"/>
  <c r="D4892" i="3" s="1"/>
  <c r="E4892" i="3" a="1"/>
  <c r="E4892" i="3" s="1"/>
  <c r="F4892" i="3" a="1"/>
  <c r="F4892" i="3" s="1"/>
  <c r="G4892" i="3" a="1"/>
  <c r="G4892" i="3" s="1"/>
  <c r="J4892" i="3" a="1"/>
  <c r="J4892" i="3" s="1"/>
  <c r="B4893" i="3" a="1"/>
  <c r="B4893" i="3" s="1"/>
  <c r="C4893" i="3" a="1"/>
  <c r="C4893" i="3" s="1"/>
  <c r="D4893" i="3" a="1"/>
  <c r="D4893" i="3" s="1"/>
  <c r="E4893" i="3" a="1"/>
  <c r="E4893" i="3" s="1"/>
  <c r="F4893" i="3" a="1"/>
  <c r="F4893" i="3" s="1"/>
  <c r="G4893" i="3" a="1"/>
  <c r="G4893" i="3" s="1"/>
  <c r="J4893" i="3" a="1"/>
  <c r="J4893" i="3" s="1"/>
  <c r="B4894" i="3" a="1"/>
  <c r="B4894" i="3" s="1"/>
  <c r="C4894" i="3" a="1"/>
  <c r="C4894" i="3" s="1"/>
  <c r="D4894" i="3" a="1"/>
  <c r="D4894" i="3" s="1"/>
  <c r="E4894" i="3" a="1"/>
  <c r="E4894" i="3" s="1"/>
  <c r="F4894" i="3" a="1"/>
  <c r="F4894" i="3" s="1"/>
  <c r="G4894" i="3" a="1"/>
  <c r="G4894" i="3" s="1"/>
  <c r="J4894" i="3" a="1"/>
  <c r="J4894" i="3" s="1"/>
  <c r="B4895" i="3" a="1"/>
  <c r="B4895" i="3" s="1"/>
  <c r="C4895" i="3" a="1"/>
  <c r="C4895" i="3" s="1"/>
  <c r="D4895" i="3" a="1"/>
  <c r="D4895" i="3" s="1"/>
  <c r="E4895" i="3" a="1"/>
  <c r="E4895" i="3" s="1"/>
  <c r="F4895" i="3" a="1"/>
  <c r="F4895" i="3" s="1"/>
  <c r="G4895" i="3" a="1"/>
  <c r="G4895" i="3" s="1"/>
  <c r="J4895" i="3" a="1"/>
  <c r="J4895" i="3" s="1"/>
  <c r="B4896" i="3" a="1"/>
  <c r="B4896" i="3" s="1"/>
  <c r="C4896" i="3" a="1"/>
  <c r="C4896" i="3" s="1"/>
  <c r="D4896" i="3" a="1"/>
  <c r="D4896" i="3" s="1"/>
  <c r="E4896" i="3" a="1"/>
  <c r="E4896" i="3" s="1"/>
  <c r="F4896" i="3" a="1"/>
  <c r="F4896" i="3" s="1"/>
  <c r="G4896" i="3" a="1"/>
  <c r="G4896" i="3" s="1"/>
  <c r="J4896" i="3" a="1"/>
  <c r="J4896" i="3" s="1"/>
  <c r="B4897" i="3" a="1"/>
  <c r="B4897" i="3" s="1"/>
  <c r="C4897" i="3" a="1"/>
  <c r="C4897" i="3" s="1"/>
  <c r="D4897" i="3" a="1"/>
  <c r="D4897" i="3" s="1"/>
  <c r="E4897" i="3" a="1"/>
  <c r="E4897" i="3" s="1"/>
  <c r="F4897" i="3" a="1"/>
  <c r="F4897" i="3" s="1"/>
  <c r="G4897" i="3" a="1"/>
  <c r="G4897" i="3" s="1"/>
  <c r="J4897" i="3" a="1"/>
  <c r="J4897" i="3" s="1"/>
  <c r="B4898" i="3" a="1"/>
  <c r="B4898" i="3" s="1"/>
  <c r="C4898" i="3" a="1"/>
  <c r="C4898" i="3" s="1"/>
  <c r="D4898" i="3" a="1"/>
  <c r="D4898" i="3" s="1"/>
  <c r="E4898" i="3" a="1"/>
  <c r="E4898" i="3" s="1"/>
  <c r="F4898" i="3" a="1"/>
  <c r="F4898" i="3" s="1"/>
  <c r="G4898" i="3" a="1"/>
  <c r="G4898" i="3" s="1"/>
  <c r="J4898" i="3" a="1"/>
  <c r="J4898" i="3" s="1"/>
  <c r="B4899" i="3" a="1"/>
  <c r="B4899" i="3" s="1"/>
  <c r="C4899" i="3" a="1"/>
  <c r="C4899" i="3" s="1"/>
  <c r="D4899" i="3" a="1"/>
  <c r="D4899" i="3" s="1"/>
  <c r="E4899" i="3" a="1"/>
  <c r="E4899" i="3" s="1"/>
  <c r="F4899" i="3" a="1"/>
  <c r="F4899" i="3" s="1"/>
  <c r="G4899" i="3" a="1"/>
  <c r="G4899" i="3" s="1"/>
  <c r="J4899" i="3" a="1"/>
  <c r="J4899" i="3" s="1"/>
  <c r="B4900" i="3" a="1"/>
  <c r="B4900" i="3" s="1"/>
  <c r="C4900" i="3" a="1"/>
  <c r="C4900" i="3" s="1"/>
  <c r="D4900" i="3" a="1"/>
  <c r="D4900" i="3" s="1"/>
  <c r="E4900" i="3" a="1"/>
  <c r="E4900" i="3" s="1"/>
  <c r="F4900" i="3" a="1"/>
  <c r="F4900" i="3" s="1"/>
  <c r="G4900" i="3" a="1"/>
  <c r="G4900" i="3" s="1"/>
  <c r="J4900" i="3" a="1"/>
  <c r="J4900" i="3" s="1"/>
  <c r="B4901" i="3" a="1"/>
  <c r="B4901" i="3" s="1"/>
  <c r="C4901" i="3" a="1"/>
  <c r="C4901" i="3" s="1"/>
  <c r="D4901" i="3" a="1"/>
  <c r="D4901" i="3" s="1"/>
  <c r="E4901" i="3" a="1"/>
  <c r="E4901" i="3" s="1"/>
  <c r="F4901" i="3" a="1"/>
  <c r="F4901" i="3" s="1"/>
  <c r="G4901" i="3" a="1"/>
  <c r="G4901" i="3" s="1"/>
  <c r="J4901" i="3" a="1"/>
  <c r="J4901" i="3" s="1"/>
  <c r="B4902" i="3" a="1"/>
  <c r="B4902" i="3" s="1"/>
  <c r="C4902" i="3" a="1"/>
  <c r="C4902" i="3" s="1"/>
  <c r="D4902" i="3" a="1"/>
  <c r="D4902" i="3" s="1"/>
  <c r="E4902" i="3" a="1"/>
  <c r="E4902" i="3" s="1"/>
  <c r="F4902" i="3" a="1"/>
  <c r="F4902" i="3" s="1"/>
  <c r="G4902" i="3" a="1"/>
  <c r="G4902" i="3" s="1"/>
  <c r="J4902" i="3" a="1"/>
  <c r="J4902" i="3" s="1"/>
  <c r="B4903" i="3" a="1"/>
  <c r="B4903" i="3" s="1"/>
  <c r="C4903" i="3" a="1"/>
  <c r="C4903" i="3" s="1"/>
  <c r="D4903" i="3" a="1"/>
  <c r="D4903" i="3" s="1"/>
  <c r="E4903" i="3" a="1"/>
  <c r="E4903" i="3" s="1"/>
  <c r="F4903" i="3" a="1"/>
  <c r="F4903" i="3" s="1"/>
  <c r="G4903" i="3" a="1"/>
  <c r="G4903" i="3" s="1"/>
  <c r="J4903" i="3" a="1"/>
  <c r="J4903" i="3" s="1"/>
  <c r="B4904" i="3" a="1"/>
  <c r="B4904" i="3" s="1"/>
  <c r="C4904" i="3" a="1"/>
  <c r="C4904" i="3" s="1"/>
  <c r="D4904" i="3" a="1"/>
  <c r="D4904" i="3" s="1"/>
  <c r="E4904" i="3" a="1"/>
  <c r="E4904" i="3" s="1"/>
  <c r="F4904" i="3" a="1"/>
  <c r="F4904" i="3" s="1"/>
  <c r="G4904" i="3" a="1"/>
  <c r="G4904" i="3" s="1"/>
  <c r="J4904" i="3" a="1"/>
  <c r="J4904" i="3" s="1"/>
  <c r="B4905" i="3" a="1"/>
  <c r="B4905" i="3" s="1"/>
  <c r="C4905" i="3" a="1"/>
  <c r="C4905" i="3" s="1"/>
  <c r="D4905" i="3" a="1"/>
  <c r="D4905" i="3" s="1"/>
  <c r="E4905" i="3" a="1"/>
  <c r="E4905" i="3" s="1"/>
  <c r="F4905" i="3" a="1"/>
  <c r="F4905" i="3" s="1"/>
  <c r="G4905" i="3" a="1"/>
  <c r="G4905" i="3" s="1"/>
  <c r="J4905" i="3" a="1"/>
  <c r="J4905" i="3" s="1"/>
  <c r="B4906" i="3" a="1"/>
  <c r="B4906" i="3" s="1"/>
  <c r="C4906" i="3" a="1"/>
  <c r="C4906" i="3" s="1"/>
  <c r="D4906" i="3" a="1"/>
  <c r="D4906" i="3" s="1"/>
  <c r="E4906" i="3" a="1"/>
  <c r="E4906" i="3" s="1"/>
  <c r="F4906" i="3" a="1"/>
  <c r="F4906" i="3" s="1"/>
  <c r="G4906" i="3" a="1"/>
  <c r="G4906" i="3" s="1"/>
  <c r="J4906" i="3" a="1"/>
  <c r="J4906" i="3" s="1"/>
  <c r="B4907" i="3" a="1"/>
  <c r="B4907" i="3" s="1"/>
  <c r="C4907" i="3" a="1"/>
  <c r="C4907" i="3" s="1"/>
  <c r="D4907" i="3" a="1"/>
  <c r="D4907" i="3" s="1"/>
  <c r="E4907" i="3" a="1"/>
  <c r="E4907" i="3" s="1"/>
  <c r="F4907" i="3" a="1"/>
  <c r="F4907" i="3" s="1"/>
  <c r="G4907" i="3" a="1"/>
  <c r="G4907" i="3" s="1"/>
  <c r="J4907" i="3" a="1"/>
  <c r="J4907" i="3" s="1"/>
  <c r="B4908" i="3" a="1"/>
  <c r="B4908" i="3" s="1"/>
  <c r="C4908" i="3" a="1"/>
  <c r="C4908" i="3" s="1"/>
  <c r="D4908" i="3" a="1"/>
  <c r="D4908" i="3" s="1"/>
  <c r="E4908" i="3" a="1"/>
  <c r="E4908" i="3" s="1"/>
  <c r="F4908" i="3" a="1"/>
  <c r="F4908" i="3" s="1"/>
  <c r="G4908" i="3" a="1"/>
  <c r="G4908" i="3" s="1"/>
  <c r="J4908" i="3" a="1"/>
  <c r="J4908" i="3" s="1"/>
  <c r="B4909" i="3" a="1"/>
  <c r="B4909" i="3" s="1"/>
  <c r="C4909" i="3" a="1"/>
  <c r="C4909" i="3" s="1"/>
  <c r="D4909" i="3" a="1"/>
  <c r="D4909" i="3" s="1"/>
  <c r="E4909" i="3" a="1"/>
  <c r="E4909" i="3" s="1"/>
  <c r="F4909" i="3" a="1"/>
  <c r="F4909" i="3" s="1"/>
  <c r="G4909" i="3" a="1"/>
  <c r="G4909" i="3" s="1"/>
  <c r="J4909" i="3" a="1"/>
  <c r="J4909" i="3" s="1"/>
  <c r="B4910" i="3" a="1"/>
  <c r="B4910" i="3" s="1"/>
  <c r="C4910" i="3" a="1"/>
  <c r="C4910" i="3" s="1"/>
  <c r="D4910" i="3" a="1"/>
  <c r="D4910" i="3" s="1"/>
  <c r="E4910" i="3" a="1"/>
  <c r="E4910" i="3" s="1"/>
  <c r="F4910" i="3" a="1"/>
  <c r="F4910" i="3" s="1"/>
  <c r="G4910" i="3" a="1"/>
  <c r="G4910" i="3" s="1"/>
  <c r="J4910" i="3" a="1"/>
  <c r="J4910" i="3" s="1"/>
  <c r="B4911" i="3" a="1"/>
  <c r="B4911" i="3" s="1"/>
  <c r="C4911" i="3" a="1"/>
  <c r="C4911" i="3" s="1"/>
  <c r="D4911" i="3" a="1"/>
  <c r="D4911" i="3" s="1"/>
  <c r="E4911" i="3" a="1"/>
  <c r="E4911" i="3" s="1"/>
  <c r="F4911" i="3" a="1"/>
  <c r="F4911" i="3" s="1"/>
  <c r="G4911" i="3" a="1"/>
  <c r="G4911" i="3" s="1"/>
  <c r="J4911" i="3" a="1"/>
  <c r="J4911" i="3" s="1"/>
  <c r="B4912" i="3" a="1"/>
  <c r="B4912" i="3" s="1"/>
  <c r="C4912" i="3" a="1"/>
  <c r="C4912" i="3" s="1"/>
  <c r="D4912" i="3" a="1"/>
  <c r="D4912" i="3" s="1"/>
  <c r="E4912" i="3" a="1"/>
  <c r="E4912" i="3" s="1"/>
  <c r="F4912" i="3" a="1"/>
  <c r="F4912" i="3" s="1"/>
  <c r="G4912" i="3" a="1"/>
  <c r="G4912" i="3" s="1"/>
  <c r="J4912" i="3" a="1"/>
  <c r="J4912" i="3" s="1"/>
  <c r="B4913" i="3" a="1"/>
  <c r="B4913" i="3" s="1"/>
  <c r="C4913" i="3" a="1"/>
  <c r="C4913" i="3" s="1"/>
  <c r="D4913" i="3" a="1"/>
  <c r="D4913" i="3" s="1"/>
  <c r="E4913" i="3" a="1"/>
  <c r="E4913" i="3" s="1"/>
  <c r="F4913" i="3" a="1"/>
  <c r="F4913" i="3" s="1"/>
  <c r="G4913" i="3" a="1"/>
  <c r="G4913" i="3" s="1"/>
  <c r="J4913" i="3" a="1"/>
  <c r="J4913" i="3" s="1"/>
  <c r="B4914" i="3" a="1"/>
  <c r="B4914" i="3" s="1"/>
  <c r="C4914" i="3" a="1"/>
  <c r="C4914" i="3" s="1"/>
  <c r="D4914" i="3" a="1"/>
  <c r="D4914" i="3" s="1"/>
  <c r="E4914" i="3" a="1"/>
  <c r="E4914" i="3" s="1"/>
  <c r="F4914" i="3" a="1"/>
  <c r="F4914" i="3" s="1"/>
  <c r="G4914" i="3" a="1"/>
  <c r="G4914" i="3" s="1"/>
  <c r="J4914" i="3" a="1"/>
  <c r="J4914" i="3" s="1"/>
  <c r="B4915" i="3" a="1"/>
  <c r="B4915" i="3" s="1"/>
  <c r="C4915" i="3" a="1"/>
  <c r="C4915" i="3" s="1"/>
  <c r="D4915" i="3" a="1"/>
  <c r="D4915" i="3" s="1"/>
  <c r="E4915" i="3" a="1"/>
  <c r="E4915" i="3" s="1"/>
  <c r="F4915" i="3" a="1"/>
  <c r="F4915" i="3" s="1"/>
  <c r="G4915" i="3" a="1"/>
  <c r="G4915" i="3" s="1"/>
  <c r="J4915" i="3" a="1"/>
  <c r="J4915" i="3" s="1"/>
  <c r="B4916" i="3" a="1"/>
  <c r="B4916" i="3" s="1"/>
  <c r="C4916" i="3" a="1"/>
  <c r="C4916" i="3" s="1"/>
  <c r="D4916" i="3" a="1"/>
  <c r="D4916" i="3" s="1"/>
  <c r="E4916" i="3" a="1"/>
  <c r="E4916" i="3" s="1"/>
  <c r="F4916" i="3" a="1"/>
  <c r="F4916" i="3" s="1"/>
  <c r="G4916" i="3" a="1"/>
  <c r="G4916" i="3" s="1"/>
  <c r="J4916" i="3" a="1"/>
  <c r="J4916" i="3" s="1"/>
  <c r="B4917" i="3" a="1"/>
  <c r="B4917" i="3" s="1"/>
  <c r="C4917" i="3" a="1"/>
  <c r="C4917" i="3" s="1"/>
  <c r="D4917" i="3" a="1"/>
  <c r="D4917" i="3" s="1"/>
  <c r="E4917" i="3" a="1"/>
  <c r="E4917" i="3" s="1"/>
  <c r="F4917" i="3" a="1"/>
  <c r="F4917" i="3" s="1"/>
  <c r="G4917" i="3" a="1"/>
  <c r="G4917" i="3" s="1"/>
  <c r="J4917" i="3" a="1"/>
  <c r="J4917" i="3" s="1"/>
  <c r="B4918" i="3" a="1"/>
  <c r="B4918" i="3" s="1"/>
  <c r="C4918" i="3" a="1"/>
  <c r="C4918" i="3" s="1"/>
  <c r="D4918" i="3" a="1"/>
  <c r="D4918" i="3" s="1"/>
  <c r="E4918" i="3" a="1"/>
  <c r="E4918" i="3" s="1"/>
  <c r="F4918" i="3" a="1"/>
  <c r="F4918" i="3" s="1"/>
  <c r="G4918" i="3" a="1"/>
  <c r="G4918" i="3" s="1"/>
  <c r="J4918" i="3" a="1"/>
  <c r="J4918" i="3" s="1"/>
  <c r="B4919" i="3" a="1"/>
  <c r="B4919" i="3" s="1"/>
  <c r="C4919" i="3" a="1"/>
  <c r="C4919" i="3" s="1"/>
  <c r="D4919" i="3" a="1"/>
  <c r="D4919" i="3" s="1"/>
  <c r="E4919" i="3" a="1"/>
  <c r="E4919" i="3" s="1"/>
  <c r="F4919" i="3" a="1"/>
  <c r="F4919" i="3" s="1"/>
  <c r="G4919" i="3" a="1"/>
  <c r="G4919" i="3" s="1"/>
  <c r="J4919" i="3" a="1"/>
  <c r="J4919" i="3" s="1"/>
  <c r="B4920" i="3" a="1"/>
  <c r="B4920" i="3" s="1"/>
  <c r="C4920" i="3" a="1"/>
  <c r="C4920" i="3" s="1"/>
  <c r="D4920" i="3" a="1"/>
  <c r="D4920" i="3" s="1"/>
  <c r="E4920" i="3" a="1"/>
  <c r="E4920" i="3" s="1"/>
  <c r="F4920" i="3" a="1"/>
  <c r="F4920" i="3" s="1"/>
  <c r="G4920" i="3" a="1"/>
  <c r="G4920" i="3" s="1"/>
  <c r="J4920" i="3" a="1"/>
  <c r="J4920" i="3" s="1"/>
  <c r="B4921" i="3" a="1"/>
  <c r="B4921" i="3" s="1"/>
  <c r="C4921" i="3" a="1"/>
  <c r="C4921" i="3" s="1"/>
  <c r="D4921" i="3" a="1"/>
  <c r="D4921" i="3" s="1"/>
  <c r="E4921" i="3" a="1"/>
  <c r="E4921" i="3" s="1"/>
  <c r="F4921" i="3" a="1"/>
  <c r="F4921" i="3" s="1"/>
  <c r="G4921" i="3" a="1"/>
  <c r="G4921" i="3" s="1"/>
  <c r="J4921" i="3" a="1"/>
  <c r="J4921" i="3" s="1"/>
  <c r="B4922" i="3" a="1"/>
  <c r="B4922" i="3" s="1"/>
  <c r="C4922" i="3" a="1"/>
  <c r="C4922" i="3" s="1"/>
  <c r="D4922" i="3" a="1"/>
  <c r="D4922" i="3" s="1"/>
  <c r="E4922" i="3" a="1"/>
  <c r="E4922" i="3" s="1"/>
  <c r="F4922" i="3" a="1"/>
  <c r="F4922" i="3" s="1"/>
  <c r="G4922" i="3" a="1"/>
  <c r="G4922" i="3" s="1"/>
  <c r="J4922" i="3" a="1"/>
  <c r="J4922" i="3" s="1"/>
  <c r="B4923" i="3" a="1"/>
  <c r="B4923" i="3" s="1"/>
  <c r="C4923" i="3" a="1"/>
  <c r="C4923" i="3" s="1"/>
  <c r="D4923" i="3" a="1"/>
  <c r="D4923" i="3" s="1"/>
  <c r="E4923" i="3" a="1"/>
  <c r="E4923" i="3" s="1"/>
  <c r="F4923" i="3" a="1"/>
  <c r="F4923" i="3" s="1"/>
  <c r="G4923" i="3" a="1"/>
  <c r="G4923" i="3" s="1"/>
  <c r="J4923" i="3" a="1"/>
  <c r="J4923" i="3" s="1"/>
  <c r="B4924" i="3" a="1"/>
  <c r="B4924" i="3" s="1"/>
  <c r="C4924" i="3" a="1"/>
  <c r="C4924" i="3" s="1"/>
  <c r="D4924" i="3" a="1"/>
  <c r="D4924" i="3" s="1"/>
  <c r="E4924" i="3" a="1"/>
  <c r="E4924" i="3" s="1"/>
  <c r="F4924" i="3" a="1"/>
  <c r="F4924" i="3" s="1"/>
  <c r="G4924" i="3" a="1"/>
  <c r="G4924" i="3" s="1"/>
  <c r="J4924" i="3" a="1"/>
  <c r="J4924" i="3" s="1"/>
  <c r="B4925" i="3" a="1"/>
  <c r="B4925" i="3" s="1"/>
  <c r="C4925" i="3" a="1"/>
  <c r="C4925" i="3" s="1"/>
  <c r="D4925" i="3" a="1"/>
  <c r="D4925" i="3" s="1"/>
  <c r="E4925" i="3" a="1"/>
  <c r="E4925" i="3" s="1"/>
  <c r="F4925" i="3" a="1"/>
  <c r="F4925" i="3" s="1"/>
  <c r="G4925" i="3" a="1"/>
  <c r="G4925" i="3" s="1"/>
  <c r="J4925" i="3" a="1"/>
  <c r="J4925" i="3" s="1"/>
  <c r="B4926" i="3" a="1"/>
  <c r="B4926" i="3" s="1"/>
  <c r="C4926" i="3" a="1"/>
  <c r="C4926" i="3" s="1"/>
  <c r="D4926" i="3" a="1"/>
  <c r="D4926" i="3" s="1"/>
  <c r="E4926" i="3" a="1"/>
  <c r="E4926" i="3" s="1"/>
  <c r="F4926" i="3" a="1"/>
  <c r="F4926" i="3" s="1"/>
  <c r="G4926" i="3" a="1"/>
  <c r="G4926" i="3" s="1"/>
  <c r="J4926" i="3" a="1"/>
  <c r="J4926" i="3" s="1"/>
  <c r="B4927" i="3" a="1"/>
  <c r="B4927" i="3" s="1"/>
  <c r="C4927" i="3" a="1"/>
  <c r="C4927" i="3" s="1"/>
  <c r="D4927" i="3" a="1"/>
  <c r="D4927" i="3" s="1"/>
  <c r="E4927" i="3" a="1"/>
  <c r="E4927" i="3" s="1"/>
  <c r="F4927" i="3" a="1"/>
  <c r="F4927" i="3" s="1"/>
  <c r="G4927" i="3" a="1"/>
  <c r="G4927" i="3" s="1"/>
  <c r="J4927" i="3" a="1"/>
  <c r="J4927" i="3" s="1"/>
  <c r="B4928" i="3" a="1"/>
  <c r="B4928" i="3" s="1"/>
  <c r="C4928" i="3" a="1"/>
  <c r="C4928" i="3" s="1"/>
  <c r="D4928" i="3" a="1"/>
  <c r="D4928" i="3" s="1"/>
  <c r="E4928" i="3" a="1"/>
  <c r="E4928" i="3" s="1"/>
  <c r="F4928" i="3" a="1"/>
  <c r="F4928" i="3" s="1"/>
  <c r="G4928" i="3" a="1"/>
  <c r="G4928" i="3" s="1"/>
  <c r="J4928" i="3" a="1"/>
  <c r="J4928" i="3" s="1"/>
  <c r="B4929" i="3" a="1"/>
  <c r="B4929" i="3" s="1"/>
  <c r="C4929" i="3" a="1"/>
  <c r="C4929" i="3" s="1"/>
  <c r="D4929" i="3" a="1"/>
  <c r="D4929" i="3" s="1"/>
  <c r="E4929" i="3" a="1"/>
  <c r="E4929" i="3" s="1"/>
  <c r="F4929" i="3" a="1"/>
  <c r="F4929" i="3" s="1"/>
  <c r="G4929" i="3" a="1"/>
  <c r="G4929" i="3" s="1"/>
  <c r="J4929" i="3" a="1"/>
  <c r="J4929" i="3" s="1"/>
  <c r="B4930" i="3" a="1"/>
  <c r="B4930" i="3" s="1"/>
  <c r="C4930" i="3" a="1"/>
  <c r="C4930" i="3" s="1"/>
  <c r="D4930" i="3" a="1"/>
  <c r="D4930" i="3" s="1"/>
  <c r="E4930" i="3" a="1"/>
  <c r="E4930" i="3" s="1"/>
  <c r="F4930" i="3" a="1"/>
  <c r="F4930" i="3" s="1"/>
  <c r="G4930" i="3" a="1"/>
  <c r="G4930" i="3" s="1"/>
  <c r="J4930" i="3" a="1"/>
  <c r="J4930" i="3" s="1"/>
  <c r="B4931" i="3" a="1"/>
  <c r="B4931" i="3" s="1"/>
  <c r="C4931" i="3" a="1"/>
  <c r="C4931" i="3" s="1"/>
  <c r="D4931" i="3" a="1"/>
  <c r="D4931" i="3" s="1"/>
  <c r="E4931" i="3" a="1"/>
  <c r="E4931" i="3" s="1"/>
  <c r="F4931" i="3" a="1"/>
  <c r="F4931" i="3" s="1"/>
  <c r="G4931" i="3" a="1"/>
  <c r="G4931" i="3" s="1"/>
  <c r="J4931" i="3" a="1"/>
  <c r="J4931" i="3" s="1"/>
  <c r="B4932" i="3" a="1"/>
  <c r="B4932" i="3" s="1"/>
  <c r="C4932" i="3" a="1"/>
  <c r="C4932" i="3" s="1"/>
  <c r="D4932" i="3" a="1"/>
  <c r="D4932" i="3" s="1"/>
  <c r="E4932" i="3" a="1"/>
  <c r="E4932" i="3" s="1"/>
  <c r="F4932" i="3" a="1"/>
  <c r="F4932" i="3" s="1"/>
  <c r="G4932" i="3" a="1"/>
  <c r="G4932" i="3" s="1"/>
  <c r="J4932" i="3" a="1"/>
  <c r="J4932" i="3" s="1"/>
  <c r="B4933" i="3" a="1"/>
  <c r="B4933" i="3" s="1"/>
  <c r="C4933" i="3" a="1"/>
  <c r="C4933" i="3" s="1"/>
  <c r="D4933" i="3" a="1"/>
  <c r="D4933" i="3" s="1"/>
  <c r="E4933" i="3" a="1"/>
  <c r="E4933" i="3" s="1"/>
  <c r="F4933" i="3" a="1"/>
  <c r="F4933" i="3" s="1"/>
  <c r="G4933" i="3" a="1"/>
  <c r="G4933" i="3" s="1"/>
  <c r="J4933" i="3" a="1"/>
  <c r="J4933" i="3" s="1"/>
  <c r="B4934" i="3" a="1"/>
  <c r="B4934" i="3" s="1"/>
  <c r="C4934" i="3" a="1"/>
  <c r="C4934" i="3" s="1"/>
  <c r="D4934" i="3" a="1"/>
  <c r="D4934" i="3" s="1"/>
  <c r="E4934" i="3" a="1"/>
  <c r="E4934" i="3" s="1"/>
  <c r="F4934" i="3" a="1"/>
  <c r="F4934" i="3" s="1"/>
  <c r="G4934" i="3" a="1"/>
  <c r="G4934" i="3" s="1"/>
  <c r="J4934" i="3" a="1"/>
  <c r="J4934" i="3" s="1"/>
  <c r="B4935" i="3" a="1"/>
  <c r="B4935" i="3" s="1"/>
  <c r="C4935" i="3" a="1"/>
  <c r="C4935" i="3" s="1"/>
  <c r="D4935" i="3" a="1"/>
  <c r="D4935" i="3" s="1"/>
  <c r="E4935" i="3" a="1"/>
  <c r="E4935" i="3" s="1"/>
  <c r="F4935" i="3" a="1"/>
  <c r="F4935" i="3" s="1"/>
  <c r="G4935" i="3" a="1"/>
  <c r="G4935" i="3" s="1"/>
  <c r="J4935" i="3" a="1"/>
  <c r="J4935" i="3" s="1"/>
  <c r="B4936" i="3" a="1"/>
  <c r="B4936" i="3" s="1"/>
  <c r="C4936" i="3" a="1"/>
  <c r="C4936" i="3" s="1"/>
  <c r="D4936" i="3" a="1"/>
  <c r="D4936" i="3" s="1"/>
  <c r="E4936" i="3" a="1"/>
  <c r="E4936" i="3" s="1"/>
  <c r="F4936" i="3" a="1"/>
  <c r="F4936" i="3" s="1"/>
  <c r="G4936" i="3" a="1"/>
  <c r="G4936" i="3" s="1"/>
  <c r="J4936" i="3" a="1"/>
  <c r="J4936" i="3" s="1"/>
  <c r="B4937" i="3" a="1"/>
  <c r="B4937" i="3" s="1"/>
  <c r="C4937" i="3" a="1"/>
  <c r="C4937" i="3" s="1"/>
  <c r="D4937" i="3" a="1"/>
  <c r="D4937" i="3" s="1"/>
  <c r="E4937" i="3" a="1"/>
  <c r="E4937" i="3" s="1"/>
  <c r="F4937" i="3" a="1"/>
  <c r="F4937" i="3" s="1"/>
  <c r="G4937" i="3" a="1"/>
  <c r="G4937" i="3" s="1"/>
  <c r="J4937" i="3" a="1"/>
  <c r="J4937" i="3" s="1"/>
  <c r="B4938" i="3" a="1"/>
  <c r="B4938" i="3" s="1"/>
  <c r="C4938" i="3" a="1"/>
  <c r="C4938" i="3" s="1"/>
  <c r="D4938" i="3" a="1"/>
  <c r="D4938" i="3" s="1"/>
  <c r="E4938" i="3" a="1"/>
  <c r="E4938" i="3" s="1"/>
  <c r="F4938" i="3" a="1"/>
  <c r="F4938" i="3" s="1"/>
  <c r="G4938" i="3" a="1"/>
  <c r="G4938" i="3" s="1"/>
  <c r="J4938" i="3" a="1"/>
  <c r="J4938" i="3" s="1"/>
  <c r="B4939" i="3" a="1"/>
  <c r="B4939" i="3" s="1"/>
  <c r="C4939" i="3" a="1"/>
  <c r="C4939" i="3" s="1"/>
  <c r="D4939" i="3" a="1"/>
  <c r="D4939" i="3" s="1"/>
  <c r="E4939" i="3" a="1"/>
  <c r="E4939" i="3" s="1"/>
  <c r="F4939" i="3" a="1"/>
  <c r="F4939" i="3" s="1"/>
  <c r="G4939" i="3" a="1"/>
  <c r="G4939" i="3" s="1"/>
  <c r="J4939" i="3" a="1"/>
  <c r="J4939" i="3" s="1"/>
  <c r="B4940" i="3" a="1"/>
  <c r="B4940" i="3" s="1"/>
  <c r="C4940" i="3" a="1"/>
  <c r="C4940" i="3" s="1"/>
  <c r="D4940" i="3" a="1"/>
  <c r="D4940" i="3" s="1"/>
  <c r="E4940" i="3" a="1"/>
  <c r="E4940" i="3" s="1"/>
  <c r="F4940" i="3" a="1"/>
  <c r="F4940" i="3" s="1"/>
  <c r="G4940" i="3" a="1"/>
  <c r="G4940" i="3" s="1"/>
  <c r="J4940" i="3" a="1"/>
  <c r="J4940" i="3" s="1"/>
  <c r="B4941" i="3" a="1"/>
  <c r="B4941" i="3" s="1"/>
  <c r="C4941" i="3" a="1"/>
  <c r="C4941" i="3" s="1"/>
  <c r="D4941" i="3" a="1"/>
  <c r="D4941" i="3" s="1"/>
  <c r="E4941" i="3" a="1"/>
  <c r="E4941" i="3" s="1"/>
  <c r="F4941" i="3" a="1"/>
  <c r="F4941" i="3" s="1"/>
  <c r="G4941" i="3" a="1"/>
  <c r="G4941" i="3" s="1"/>
  <c r="J4941" i="3" a="1"/>
  <c r="J4941" i="3" s="1"/>
  <c r="B4942" i="3" a="1"/>
  <c r="B4942" i="3" s="1"/>
  <c r="C4942" i="3" a="1"/>
  <c r="C4942" i="3" s="1"/>
  <c r="D4942" i="3" a="1"/>
  <c r="D4942" i="3" s="1"/>
  <c r="E4942" i="3" a="1"/>
  <c r="E4942" i="3" s="1"/>
  <c r="F4942" i="3" a="1"/>
  <c r="F4942" i="3" s="1"/>
  <c r="G4942" i="3" a="1"/>
  <c r="G4942" i="3" s="1"/>
  <c r="J4942" i="3" a="1"/>
  <c r="J4942" i="3" s="1"/>
  <c r="B4943" i="3" a="1"/>
  <c r="B4943" i="3" s="1"/>
  <c r="C4943" i="3" a="1"/>
  <c r="C4943" i="3" s="1"/>
  <c r="D4943" i="3" a="1"/>
  <c r="D4943" i="3" s="1"/>
  <c r="E4943" i="3" a="1"/>
  <c r="E4943" i="3" s="1"/>
  <c r="F4943" i="3" a="1"/>
  <c r="F4943" i="3" s="1"/>
  <c r="G4943" i="3" a="1"/>
  <c r="G4943" i="3" s="1"/>
  <c r="J4943" i="3" a="1"/>
  <c r="J4943" i="3" s="1"/>
  <c r="B4944" i="3" a="1"/>
  <c r="B4944" i="3" s="1"/>
  <c r="C4944" i="3" a="1"/>
  <c r="C4944" i="3" s="1"/>
  <c r="D4944" i="3" a="1"/>
  <c r="D4944" i="3" s="1"/>
  <c r="E4944" i="3" a="1"/>
  <c r="E4944" i="3" s="1"/>
  <c r="F4944" i="3" a="1"/>
  <c r="F4944" i="3" s="1"/>
  <c r="G4944" i="3" a="1"/>
  <c r="G4944" i="3" s="1"/>
  <c r="J4944" i="3" a="1"/>
  <c r="J4944" i="3" s="1"/>
  <c r="B4945" i="3" a="1"/>
  <c r="B4945" i="3" s="1"/>
  <c r="C4945" i="3" a="1"/>
  <c r="C4945" i="3" s="1"/>
  <c r="D4945" i="3" a="1"/>
  <c r="D4945" i="3" s="1"/>
  <c r="E4945" i="3" a="1"/>
  <c r="E4945" i="3" s="1"/>
  <c r="F4945" i="3" a="1"/>
  <c r="F4945" i="3" s="1"/>
  <c r="G4945" i="3" a="1"/>
  <c r="G4945" i="3" s="1"/>
  <c r="J4945" i="3" a="1"/>
  <c r="J4945" i="3" s="1"/>
  <c r="B4946" i="3" a="1"/>
  <c r="B4946" i="3" s="1"/>
  <c r="C4946" i="3" a="1"/>
  <c r="C4946" i="3" s="1"/>
  <c r="D4946" i="3" a="1"/>
  <c r="D4946" i="3" s="1"/>
  <c r="E4946" i="3" a="1"/>
  <c r="E4946" i="3" s="1"/>
  <c r="F4946" i="3" a="1"/>
  <c r="F4946" i="3" s="1"/>
  <c r="G4946" i="3" a="1"/>
  <c r="G4946" i="3" s="1"/>
  <c r="J4946" i="3" a="1"/>
  <c r="J4946" i="3" s="1"/>
  <c r="B4947" i="3" a="1"/>
  <c r="B4947" i="3" s="1"/>
  <c r="C4947" i="3" a="1"/>
  <c r="C4947" i="3" s="1"/>
  <c r="D4947" i="3" a="1"/>
  <c r="D4947" i="3" s="1"/>
  <c r="E4947" i="3" a="1"/>
  <c r="E4947" i="3" s="1"/>
  <c r="F4947" i="3" a="1"/>
  <c r="F4947" i="3" s="1"/>
  <c r="G4947" i="3" a="1"/>
  <c r="G4947" i="3" s="1"/>
  <c r="J4947" i="3" a="1"/>
  <c r="J4947" i="3" s="1"/>
  <c r="B4948" i="3" a="1"/>
  <c r="B4948" i="3" s="1"/>
  <c r="C4948" i="3" a="1"/>
  <c r="C4948" i="3" s="1"/>
  <c r="D4948" i="3" a="1"/>
  <c r="D4948" i="3" s="1"/>
  <c r="E4948" i="3" a="1"/>
  <c r="E4948" i="3" s="1"/>
  <c r="F4948" i="3" a="1"/>
  <c r="F4948" i="3" s="1"/>
  <c r="G4948" i="3" a="1"/>
  <c r="G4948" i="3" s="1"/>
  <c r="J4948" i="3" a="1"/>
  <c r="J4948" i="3" s="1"/>
  <c r="B4949" i="3" a="1"/>
  <c r="B4949" i="3" s="1"/>
  <c r="C4949" i="3" a="1"/>
  <c r="C4949" i="3" s="1"/>
  <c r="D4949" i="3" a="1"/>
  <c r="D4949" i="3" s="1"/>
  <c r="E4949" i="3" a="1"/>
  <c r="E4949" i="3" s="1"/>
  <c r="F4949" i="3" a="1"/>
  <c r="F4949" i="3" s="1"/>
  <c r="G4949" i="3" a="1"/>
  <c r="G4949" i="3" s="1"/>
  <c r="J4949" i="3" a="1"/>
  <c r="J4949" i="3" s="1"/>
  <c r="B4950" i="3" a="1"/>
  <c r="B4950" i="3" s="1"/>
  <c r="C4950" i="3" a="1"/>
  <c r="C4950" i="3" s="1"/>
  <c r="D4950" i="3" a="1"/>
  <c r="D4950" i="3" s="1"/>
  <c r="E4950" i="3" a="1"/>
  <c r="E4950" i="3" s="1"/>
  <c r="F4950" i="3" a="1"/>
  <c r="F4950" i="3" s="1"/>
  <c r="G4950" i="3" a="1"/>
  <c r="G4950" i="3" s="1"/>
  <c r="J4950" i="3" a="1"/>
  <c r="J4950" i="3" s="1"/>
  <c r="B4951" i="3" a="1"/>
  <c r="B4951" i="3" s="1"/>
  <c r="C4951" i="3" a="1"/>
  <c r="C4951" i="3" s="1"/>
  <c r="D4951" i="3" a="1"/>
  <c r="D4951" i="3" s="1"/>
  <c r="E4951" i="3" a="1"/>
  <c r="E4951" i="3" s="1"/>
  <c r="F4951" i="3" a="1"/>
  <c r="F4951" i="3" s="1"/>
  <c r="G4951" i="3" a="1"/>
  <c r="G4951" i="3" s="1"/>
  <c r="J4951" i="3" a="1"/>
  <c r="J4951" i="3" s="1"/>
  <c r="B4952" i="3" a="1"/>
  <c r="B4952" i="3" s="1"/>
  <c r="C4952" i="3" a="1"/>
  <c r="C4952" i="3" s="1"/>
  <c r="D4952" i="3" a="1"/>
  <c r="D4952" i="3" s="1"/>
  <c r="E4952" i="3" a="1"/>
  <c r="E4952" i="3" s="1"/>
  <c r="F4952" i="3" a="1"/>
  <c r="F4952" i="3" s="1"/>
  <c r="G4952" i="3" a="1"/>
  <c r="G4952" i="3" s="1"/>
  <c r="J4952" i="3" a="1"/>
  <c r="J4952" i="3" s="1"/>
  <c r="B4953" i="3" a="1"/>
  <c r="B4953" i="3" s="1"/>
  <c r="C4953" i="3" a="1"/>
  <c r="C4953" i="3" s="1"/>
  <c r="D4953" i="3" a="1"/>
  <c r="D4953" i="3" s="1"/>
  <c r="E4953" i="3" a="1"/>
  <c r="E4953" i="3" s="1"/>
  <c r="F4953" i="3" a="1"/>
  <c r="F4953" i="3" s="1"/>
  <c r="G4953" i="3" a="1"/>
  <c r="G4953" i="3" s="1"/>
  <c r="J4953" i="3" a="1"/>
  <c r="J4953" i="3" s="1"/>
  <c r="B4954" i="3" a="1"/>
  <c r="B4954" i="3" s="1"/>
  <c r="C4954" i="3" a="1"/>
  <c r="C4954" i="3" s="1"/>
  <c r="D4954" i="3" a="1"/>
  <c r="D4954" i="3" s="1"/>
  <c r="E4954" i="3" a="1"/>
  <c r="E4954" i="3" s="1"/>
  <c r="F4954" i="3" a="1"/>
  <c r="F4954" i="3" s="1"/>
  <c r="G4954" i="3" a="1"/>
  <c r="G4954" i="3" s="1"/>
  <c r="J4954" i="3" a="1"/>
  <c r="J4954" i="3" s="1"/>
  <c r="B4955" i="3" a="1"/>
  <c r="B4955" i="3" s="1"/>
  <c r="C4955" i="3" a="1"/>
  <c r="C4955" i="3" s="1"/>
  <c r="D4955" i="3" a="1"/>
  <c r="D4955" i="3" s="1"/>
  <c r="E4955" i="3" a="1"/>
  <c r="E4955" i="3" s="1"/>
  <c r="F4955" i="3" a="1"/>
  <c r="F4955" i="3" s="1"/>
  <c r="G4955" i="3" a="1"/>
  <c r="G4955" i="3" s="1"/>
  <c r="J4955" i="3" a="1"/>
  <c r="J4955" i="3" s="1"/>
  <c r="B4956" i="3" a="1"/>
  <c r="B4956" i="3" s="1"/>
  <c r="C4956" i="3" a="1"/>
  <c r="C4956" i="3" s="1"/>
  <c r="D4956" i="3" a="1"/>
  <c r="D4956" i="3" s="1"/>
  <c r="E4956" i="3" a="1"/>
  <c r="E4956" i="3" s="1"/>
  <c r="F4956" i="3" a="1"/>
  <c r="F4956" i="3" s="1"/>
  <c r="G4956" i="3" a="1"/>
  <c r="G4956" i="3" s="1"/>
  <c r="J4956" i="3" a="1"/>
  <c r="J4956" i="3" s="1"/>
  <c r="B4957" i="3" a="1"/>
  <c r="B4957" i="3" s="1"/>
  <c r="C4957" i="3" a="1"/>
  <c r="C4957" i="3" s="1"/>
  <c r="D4957" i="3" a="1"/>
  <c r="D4957" i="3" s="1"/>
  <c r="E4957" i="3" a="1"/>
  <c r="E4957" i="3" s="1"/>
  <c r="F4957" i="3" a="1"/>
  <c r="F4957" i="3" s="1"/>
  <c r="G4957" i="3" a="1"/>
  <c r="G4957" i="3" s="1"/>
  <c r="J4957" i="3" a="1"/>
  <c r="J4957" i="3" s="1"/>
  <c r="B4958" i="3" a="1"/>
  <c r="B4958" i="3" s="1"/>
  <c r="C4958" i="3" a="1"/>
  <c r="C4958" i="3" s="1"/>
  <c r="D4958" i="3" a="1"/>
  <c r="D4958" i="3" s="1"/>
  <c r="E4958" i="3" a="1"/>
  <c r="E4958" i="3" s="1"/>
  <c r="F4958" i="3" a="1"/>
  <c r="F4958" i="3" s="1"/>
  <c r="G4958" i="3" a="1"/>
  <c r="G4958" i="3" s="1"/>
  <c r="J4958" i="3" a="1"/>
  <c r="J4958" i="3" s="1"/>
  <c r="B4959" i="3" a="1"/>
  <c r="B4959" i="3" s="1"/>
  <c r="C4959" i="3" a="1"/>
  <c r="C4959" i="3" s="1"/>
  <c r="D4959" i="3" a="1"/>
  <c r="D4959" i="3" s="1"/>
  <c r="E4959" i="3" a="1"/>
  <c r="E4959" i="3" s="1"/>
  <c r="F4959" i="3" a="1"/>
  <c r="F4959" i="3" s="1"/>
  <c r="G4959" i="3" a="1"/>
  <c r="G4959" i="3" s="1"/>
  <c r="J4959" i="3" a="1"/>
  <c r="J4959" i="3" s="1"/>
  <c r="B4960" i="3" a="1"/>
  <c r="B4960" i="3" s="1"/>
  <c r="C4960" i="3" a="1"/>
  <c r="C4960" i="3" s="1"/>
  <c r="D4960" i="3" a="1"/>
  <c r="D4960" i="3" s="1"/>
  <c r="E4960" i="3" a="1"/>
  <c r="E4960" i="3" s="1"/>
  <c r="F4960" i="3" a="1"/>
  <c r="F4960" i="3" s="1"/>
  <c r="G4960" i="3" a="1"/>
  <c r="G4960" i="3" s="1"/>
  <c r="J4960" i="3" a="1"/>
  <c r="J4960" i="3" s="1"/>
  <c r="B4961" i="3" a="1"/>
  <c r="B4961" i="3" s="1"/>
  <c r="C4961" i="3" a="1"/>
  <c r="C4961" i="3" s="1"/>
  <c r="D4961" i="3" a="1"/>
  <c r="D4961" i="3" s="1"/>
  <c r="E4961" i="3" a="1"/>
  <c r="E4961" i="3" s="1"/>
  <c r="F4961" i="3" a="1"/>
  <c r="F4961" i="3" s="1"/>
  <c r="G4961" i="3" a="1"/>
  <c r="G4961" i="3" s="1"/>
  <c r="J4961" i="3" a="1"/>
  <c r="J4961" i="3" s="1"/>
  <c r="B4962" i="3" a="1"/>
  <c r="B4962" i="3" s="1"/>
  <c r="C4962" i="3" a="1"/>
  <c r="C4962" i="3" s="1"/>
  <c r="D4962" i="3" a="1"/>
  <c r="D4962" i="3" s="1"/>
  <c r="E4962" i="3" a="1"/>
  <c r="E4962" i="3" s="1"/>
  <c r="F4962" i="3" a="1"/>
  <c r="F4962" i="3" s="1"/>
  <c r="G4962" i="3" a="1"/>
  <c r="G4962" i="3" s="1"/>
  <c r="J4962" i="3" a="1"/>
  <c r="J4962" i="3" s="1"/>
  <c r="B4963" i="3" a="1"/>
  <c r="B4963" i="3" s="1"/>
  <c r="C4963" i="3" a="1"/>
  <c r="C4963" i="3" s="1"/>
  <c r="D4963" i="3" a="1"/>
  <c r="D4963" i="3" s="1"/>
  <c r="E4963" i="3" a="1"/>
  <c r="E4963" i="3" s="1"/>
  <c r="F4963" i="3" a="1"/>
  <c r="F4963" i="3" s="1"/>
  <c r="G4963" i="3" a="1"/>
  <c r="G4963" i="3" s="1"/>
  <c r="J4963" i="3" a="1"/>
  <c r="J4963" i="3" s="1"/>
  <c r="B4964" i="3" a="1"/>
  <c r="B4964" i="3" s="1"/>
  <c r="C4964" i="3" a="1"/>
  <c r="C4964" i="3" s="1"/>
  <c r="D4964" i="3" a="1"/>
  <c r="D4964" i="3" s="1"/>
  <c r="E4964" i="3" a="1"/>
  <c r="E4964" i="3" s="1"/>
  <c r="F4964" i="3" a="1"/>
  <c r="F4964" i="3" s="1"/>
  <c r="G4964" i="3" a="1"/>
  <c r="G4964" i="3" s="1"/>
  <c r="J4964" i="3" a="1"/>
  <c r="J4964" i="3" s="1"/>
  <c r="B4965" i="3" a="1"/>
  <c r="B4965" i="3" s="1"/>
  <c r="C4965" i="3" a="1"/>
  <c r="C4965" i="3" s="1"/>
  <c r="D4965" i="3" a="1"/>
  <c r="D4965" i="3" s="1"/>
  <c r="E4965" i="3" a="1"/>
  <c r="E4965" i="3" s="1"/>
  <c r="F4965" i="3" a="1"/>
  <c r="F4965" i="3" s="1"/>
  <c r="G4965" i="3" a="1"/>
  <c r="G4965" i="3" s="1"/>
  <c r="J4965" i="3" a="1"/>
  <c r="J4965" i="3" s="1"/>
  <c r="B4966" i="3" a="1"/>
  <c r="B4966" i="3" s="1"/>
  <c r="C4966" i="3" a="1"/>
  <c r="C4966" i="3" s="1"/>
  <c r="D4966" i="3" a="1"/>
  <c r="D4966" i="3" s="1"/>
  <c r="E4966" i="3" a="1"/>
  <c r="E4966" i="3" s="1"/>
  <c r="F4966" i="3" a="1"/>
  <c r="F4966" i="3" s="1"/>
  <c r="G4966" i="3" a="1"/>
  <c r="G4966" i="3" s="1"/>
  <c r="J4966" i="3" a="1"/>
  <c r="J4966" i="3" s="1"/>
  <c r="B4967" i="3" a="1"/>
  <c r="B4967" i="3" s="1"/>
  <c r="C4967" i="3" a="1"/>
  <c r="C4967" i="3" s="1"/>
  <c r="D4967" i="3" a="1"/>
  <c r="D4967" i="3" s="1"/>
  <c r="E4967" i="3" a="1"/>
  <c r="E4967" i="3" s="1"/>
  <c r="F4967" i="3" a="1"/>
  <c r="F4967" i="3" s="1"/>
  <c r="G4967" i="3" a="1"/>
  <c r="G4967" i="3" s="1"/>
  <c r="J4967" i="3" a="1"/>
  <c r="J4967" i="3" s="1"/>
  <c r="B4968" i="3" a="1"/>
  <c r="B4968" i="3" s="1"/>
  <c r="C4968" i="3" a="1"/>
  <c r="C4968" i="3" s="1"/>
  <c r="D4968" i="3" a="1"/>
  <c r="D4968" i="3" s="1"/>
  <c r="E4968" i="3" a="1"/>
  <c r="E4968" i="3" s="1"/>
  <c r="F4968" i="3" a="1"/>
  <c r="F4968" i="3" s="1"/>
  <c r="G4968" i="3" a="1"/>
  <c r="G4968" i="3" s="1"/>
  <c r="J4968" i="3" a="1"/>
  <c r="J4968" i="3" s="1"/>
  <c r="B4969" i="3" a="1"/>
  <c r="B4969" i="3" s="1"/>
  <c r="C4969" i="3" a="1"/>
  <c r="C4969" i="3" s="1"/>
  <c r="D4969" i="3" a="1"/>
  <c r="D4969" i="3" s="1"/>
  <c r="E4969" i="3" a="1"/>
  <c r="E4969" i="3" s="1"/>
  <c r="F4969" i="3" a="1"/>
  <c r="F4969" i="3" s="1"/>
  <c r="G4969" i="3" a="1"/>
  <c r="G4969" i="3" s="1"/>
  <c r="J4969" i="3" a="1"/>
  <c r="J4969" i="3" s="1"/>
  <c r="B4970" i="3" a="1"/>
  <c r="B4970" i="3" s="1"/>
  <c r="C4970" i="3" a="1"/>
  <c r="C4970" i="3" s="1"/>
  <c r="D4970" i="3" a="1"/>
  <c r="D4970" i="3" s="1"/>
  <c r="E4970" i="3" a="1"/>
  <c r="E4970" i="3" s="1"/>
  <c r="F4970" i="3" a="1"/>
  <c r="F4970" i="3" s="1"/>
  <c r="G4970" i="3" a="1"/>
  <c r="G4970" i="3" s="1"/>
  <c r="J4970" i="3" a="1"/>
  <c r="J4970" i="3" s="1"/>
  <c r="B4971" i="3" a="1"/>
  <c r="B4971" i="3" s="1"/>
  <c r="C4971" i="3" a="1"/>
  <c r="C4971" i="3" s="1"/>
  <c r="D4971" i="3" a="1"/>
  <c r="D4971" i="3" s="1"/>
  <c r="E4971" i="3" a="1"/>
  <c r="E4971" i="3" s="1"/>
  <c r="F4971" i="3" a="1"/>
  <c r="F4971" i="3" s="1"/>
  <c r="G4971" i="3" a="1"/>
  <c r="G4971" i="3" s="1"/>
  <c r="J4971" i="3" a="1"/>
  <c r="J4971" i="3" s="1"/>
  <c r="B4972" i="3" a="1"/>
  <c r="B4972" i="3" s="1"/>
  <c r="C4972" i="3" a="1"/>
  <c r="C4972" i="3" s="1"/>
  <c r="D4972" i="3" a="1"/>
  <c r="D4972" i="3" s="1"/>
  <c r="E4972" i="3" a="1"/>
  <c r="E4972" i="3" s="1"/>
  <c r="F4972" i="3" a="1"/>
  <c r="F4972" i="3" s="1"/>
  <c r="G4972" i="3" a="1"/>
  <c r="G4972" i="3" s="1"/>
  <c r="J4972" i="3" a="1"/>
  <c r="J4972" i="3" s="1"/>
  <c r="B4973" i="3" a="1"/>
  <c r="B4973" i="3" s="1"/>
  <c r="C4973" i="3" a="1"/>
  <c r="C4973" i="3" s="1"/>
  <c r="D4973" i="3" a="1"/>
  <c r="D4973" i="3" s="1"/>
  <c r="E4973" i="3" a="1"/>
  <c r="E4973" i="3" s="1"/>
  <c r="F4973" i="3" a="1"/>
  <c r="F4973" i="3" s="1"/>
  <c r="G4973" i="3" a="1"/>
  <c r="G4973" i="3" s="1"/>
  <c r="J4973" i="3" a="1"/>
  <c r="J4973" i="3" s="1"/>
  <c r="B4974" i="3" a="1"/>
  <c r="B4974" i="3" s="1"/>
  <c r="C4974" i="3" a="1"/>
  <c r="C4974" i="3" s="1"/>
  <c r="D4974" i="3" a="1"/>
  <c r="D4974" i="3" s="1"/>
  <c r="E4974" i="3" a="1"/>
  <c r="E4974" i="3" s="1"/>
  <c r="F4974" i="3" a="1"/>
  <c r="F4974" i="3" s="1"/>
  <c r="G4974" i="3" a="1"/>
  <c r="G4974" i="3" s="1"/>
  <c r="J4974" i="3" a="1"/>
  <c r="J4974" i="3" s="1"/>
  <c r="B4975" i="3" a="1"/>
  <c r="B4975" i="3" s="1"/>
  <c r="C4975" i="3" a="1"/>
  <c r="C4975" i="3" s="1"/>
  <c r="D4975" i="3" a="1"/>
  <c r="D4975" i="3" s="1"/>
  <c r="E4975" i="3" a="1"/>
  <c r="E4975" i="3" s="1"/>
  <c r="F4975" i="3" a="1"/>
  <c r="F4975" i="3" s="1"/>
  <c r="G4975" i="3" a="1"/>
  <c r="G4975" i="3" s="1"/>
  <c r="J4975" i="3" a="1"/>
  <c r="J4975" i="3" s="1"/>
  <c r="B4976" i="3" a="1"/>
  <c r="B4976" i="3" s="1"/>
  <c r="C4976" i="3" a="1"/>
  <c r="C4976" i="3" s="1"/>
  <c r="D4976" i="3" a="1"/>
  <c r="D4976" i="3" s="1"/>
  <c r="E4976" i="3" a="1"/>
  <c r="E4976" i="3" s="1"/>
  <c r="F4976" i="3" a="1"/>
  <c r="F4976" i="3" s="1"/>
  <c r="G4976" i="3" a="1"/>
  <c r="G4976" i="3" s="1"/>
  <c r="J4976" i="3" a="1"/>
  <c r="J4976" i="3" s="1"/>
  <c r="B4977" i="3" a="1"/>
  <c r="B4977" i="3" s="1"/>
  <c r="C4977" i="3" a="1"/>
  <c r="C4977" i="3" s="1"/>
  <c r="D4977" i="3" a="1"/>
  <c r="D4977" i="3" s="1"/>
  <c r="E4977" i="3" a="1"/>
  <c r="E4977" i="3" s="1"/>
  <c r="F4977" i="3" a="1"/>
  <c r="F4977" i="3" s="1"/>
  <c r="G4977" i="3" a="1"/>
  <c r="G4977" i="3" s="1"/>
  <c r="J4977" i="3" a="1"/>
  <c r="J4977" i="3" s="1"/>
  <c r="B4978" i="3" a="1"/>
  <c r="B4978" i="3" s="1"/>
  <c r="C4978" i="3" a="1"/>
  <c r="C4978" i="3" s="1"/>
  <c r="D4978" i="3" a="1"/>
  <c r="D4978" i="3" s="1"/>
  <c r="E4978" i="3" a="1"/>
  <c r="E4978" i="3" s="1"/>
  <c r="F4978" i="3" a="1"/>
  <c r="F4978" i="3" s="1"/>
  <c r="G4978" i="3" a="1"/>
  <c r="G4978" i="3" s="1"/>
  <c r="J4978" i="3" a="1"/>
  <c r="J4978" i="3" s="1"/>
  <c r="B4979" i="3" a="1"/>
  <c r="B4979" i="3" s="1"/>
  <c r="C4979" i="3" a="1"/>
  <c r="C4979" i="3" s="1"/>
  <c r="D4979" i="3" a="1"/>
  <c r="D4979" i="3" s="1"/>
  <c r="E4979" i="3" a="1"/>
  <c r="E4979" i="3" s="1"/>
  <c r="F4979" i="3" a="1"/>
  <c r="F4979" i="3" s="1"/>
  <c r="G4979" i="3" a="1"/>
  <c r="G4979" i="3" s="1"/>
  <c r="J4979" i="3" a="1"/>
  <c r="J4979" i="3" s="1"/>
  <c r="B4980" i="3" a="1"/>
  <c r="B4980" i="3" s="1"/>
  <c r="C4980" i="3" a="1"/>
  <c r="C4980" i="3" s="1"/>
  <c r="D4980" i="3" a="1"/>
  <c r="D4980" i="3" s="1"/>
  <c r="E4980" i="3" a="1"/>
  <c r="E4980" i="3" s="1"/>
  <c r="F4980" i="3" a="1"/>
  <c r="F4980" i="3" s="1"/>
  <c r="G4980" i="3" a="1"/>
  <c r="G4980" i="3" s="1"/>
  <c r="J4980" i="3" a="1"/>
  <c r="J4980" i="3" s="1"/>
  <c r="B4981" i="3" a="1"/>
  <c r="B4981" i="3" s="1"/>
  <c r="C4981" i="3" a="1"/>
  <c r="C4981" i="3" s="1"/>
  <c r="D4981" i="3" a="1"/>
  <c r="D4981" i="3" s="1"/>
  <c r="E4981" i="3" a="1"/>
  <c r="E4981" i="3" s="1"/>
  <c r="F4981" i="3" a="1"/>
  <c r="F4981" i="3" s="1"/>
  <c r="G4981" i="3" a="1"/>
  <c r="G4981" i="3" s="1"/>
  <c r="J4981" i="3" a="1"/>
  <c r="J4981" i="3" s="1"/>
  <c r="B4982" i="3" a="1"/>
  <c r="B4982" i="3" s="1"/>
  <c r="C4982" i="3" a="1"/>
  <c r="C4982" i="3" s="1"/>
  <c r="D4982" i="3" a="1"/>
  <c r="D4982" i="3" s="1"/>
  <c r="E4982" i="3" a="1"/>
  <c r="E4982" i="3" s="1"/>
  <c r="F4982" i="3" a="1"/>
  <c r="F4982" i="3" s="1"/>
  <c r="G4982" i="3" a="1"/>
  <c r="G4982" i="3" s="1"/>
  <c r="J4982" i="3" a="1"/>
  <c r="J4982" i="3" s="1"/>
  <c r="B4983" i="3" a="1"/>
  <c r="B4983" i="3" s="1"/>
  <c r="C4983" i="3" a="1"/>
  <c r="C4983" i="3" s="1"/>
  <c r="D4983" i="3" a="1"/>
  <c r="D4983" i="3" s="1"/>
  <c r="E4983" i="3" a="1"/>
  <c r="E4983" i="3" s="1"/>
  <c r="F4983" i="3" a="1"/>
  <c r="F4983" i="3" s="1"/>
  <c r="G4983" i="3" a="1"/>
  <c r="G4983" i="3" s="1"/>
  <c r="J4983" i="3" a="1"/>
  <c r="J4983" i="3" s="1"/>
  <c r="B4984" i="3" a="1"/>
  <c r="B4984" i="3" s="1"/>
  <c r="C4984" i="3" a="1"/>
  <c r="C4984" i="3" s="1"/>
  <c r="D4984" i="3" a="1"/>
  <c r="D4984" i="3" s="1"/>
  <c r="E4984" i="3" a="1"/>
  <c r="E4984" i="3" s="1"/>
  <c r="F4984" i="3" a="1"/>
  <c r="F4984" i="3" s="1"/>
  <c r="G4984" i="3" a="1"/>
  <c r="G4984" i="3" s="1"/>
  <c r="J4984" i="3" a="1"/>
  <c r="J4984" i="3" s="1"/>
  <c r="B4985" i="3" a="1"/>
  <c r="B4985" i="3" s="1"/>
  <c r="C4985" i="3" a="1"/>
  <c r="C4985" i="3" s="1"/>
  <c r="D4985" i="3" a="1"/>
  <c r="D4985" i="3" s="1"/>
  <c r="E4985" i="3" a="1"/>
  <c r="E4985" i="3" s="1"/>
  <c r="F4985" i="3" a="1"/>
  <c r="F4985" i="3" s="1"/>
  <c r="G4985" i="3" a="1"/>
  <c r="G4985" i="3" s="1"/>
  <c r="J4985" i="3" a="1"/>
  <c r="J4985" i="3" s="1"/>
  <c r="B4986" i="3" a="1"/>
  <c r="B4986" i="3" s="1"/>
  <c r="C4986" i="3" a="1"/>
  <c r="C4986" i="3" s="1"/>
  <c r="D4986" i="3" a="1"/>
  <c r="D4986" i="3" s="1"/>
  <c r="E4986" i="3" a="1"/>
  <c r="E4986" i="3" s="1"/>
  <c r="F4986" i="3" a="1"/>
  <c r="F4986" i="3" s="1"/>
  <c r="G4986" i="3" a="1"/>
  <c r="G4986" i="3" s="1"/>
  <c r="J4986" i="3" a="1"/>
  <c r="J4986" i="3" s="1"/>
  <c r="B4987" i="3" a="1"/>
  <c r="B4987" i="3" s="1"/>
  <c r="C4987" i="3" a="1"/>
  <c r="C4987" i="3" s="1"/>
  <c r="D4987" i="3" a="1"/>
  <c r="D4987" i="3" s="1"/>
  <c r="E4987" i="3" a="1"/>
  <c r="E4987" i="3" s="1"/>
  <c r="F4987" i="3" a="1"/>
  <c r="F4987" i="3" s="1"/>
  <c r="G4987" i="3" a="1"/>
  <c r="G4987" i="3" s="1"/>
  <c r="J4987" i="3" a="1"/>
  <c r="J4987" i="3" s="1"/>
  <c r="B4988" i="3" a="1"/>
  <c r="B4988" i="3" s="1"/>
  <c r="C4988" i="3" a="1"/>
  <c r="C4988" i="3" s="1"/>
  <c r="D4988" i="3" a="1"/>
  <c r="D4988" i="3" s="1"/>
  <c r="E4988" i="3" a="1"/>
  <c r="E4988" i="3" s="1"/>
  <c r="F4988" i="3" a="1"/>
  <c r="F4988" i="3" s="1"/>
  <c r="G4988" i="3" a="1"/>
  <c r="G4988" i="3" s="1"/>
  <c r="J4988" i="3" a="1"/>
  <c r="J4988" i="3" s="1"/>
  <c r="B4989" i="3" a="1"/>
  <c r="B4989" i="3" s="1"/>
  <c r="C4989" i="3" a="1"/>
  <c r="C4989" i="3" s="1"/>
  <c r="D4989" i="3" a="1"/>
  <c r="D4989" i="3" s="1"/>
  <c r="E4989" i="3" a="1"/>
  <c r="E4989" i="3" s="1"/>
  <c r="F4989" i="3" a="1"/>
  <c r="F4989" i="3" s="1"/>
  <c r="G4989" i="3" a="1"/>
  <c r="G4989" i="3" s="1"/>
  <c r="J4989" i="3" a="1"/>
  <c r="J4989" i="3" s="1"/>
  <c r="B4990" i="3" a="1"/>
  <c r="B4990" i="3" s="1"/>
  <c r="C4990" i="3" a="1"/>
  <c r="C4990" i="3" s="1"/>
  <c r="D4990" i="3" a="1"/>
  <c r="D4990" i="3" s="1"/>
  <c r="E4990" i="3" a="1"/>
  <c r="E4990" i="3" s="1"/>
  <c r="F4990" i="3" a="1"/>
  <c r="F4990" i="3" s="1"/>
  <c r="G4990" i="3" a="1"/>
  <c r="G4990" i="3" s="1"/>
  <c r="J4990" i="3" a="1"/>
  <c r="J4990" i="3" s="1"/>
  <c r="B4991" i="3" a="1"/>
  <c r="B4991" i="3" s="1"/>
  <c r="C4991" i="3" a="1"/>
  <c r="C4991" i="3" s="1"/>
  <c r="D4991" i="3" a="1"/>
  <c r="D4991" i="3" s="1"/>
  <c r="E4991" i="3" a="1"/>
  <c r="E4991" i="3" s="1"/>
  <c r="F4991" i="3" a="1"/>
  <c r="F4991" i="3" s="1"/>
  <c r="G4991" i="3" a="1"/>
  <c r="G4991" i="3" s="1"/>
  <c r="J4991" i="3" a="1"/>
  <c r="J4991" i="3" s="1"/>
  <c r="B4992" i="3" a="1"/>
  <c r="B4992" i="3" s="1"/>
  <c r="C4992" i="3" a="1"/>
  <c r="C4992" i="3" s="1"/>
  <c r="D4992" i="3" a="1"/>
  <c r="D4992" i="3" s="1"/>
  <c r="E4992" i="3" a="1"/>
  <c r="E4992" i="3" s="1"/>
  <c r="F4992" i="3" a="1"/>
  <c r="F4992" i="3" s="1"/>
  <c r="G4992" i="3" a="1"/>
  <c r="G4992" i="3" s="1"/>
  <c r="J4992" i="3" a="1"/>
  <c r="J4992" i="3" s="1"/>
  <c r="B4993" i="3" a="1"/>
  <c r="B4993" i="3" s="1"/>
  <c r="C4993" i="3" a="1"/>
  <c r="C4993" i="3" s="1"/>
  <c r="D4993" i="3" a="1"/>
  <c r="D4993" i="3" s="1"/>
  <c r="E4993" i="3" a="1"/>
  <c r="E4993" i="3" s="1"/>
  <c r="F4993" i="3" a="1"/>
  <c r="F4993" i="3" s="1"/>
  <c r="G4993" i="3" a="1"/>
  <c r="G4993" i="3" s="1"/>
  <c r="J4993" i="3" a="1"/>
  <c r="J4993" i="3" s="1"/>
  <c r="B4994" i="3" a="1"/>
  <c r="B4994" i="3" s="1"/>
  <c r="C4994" i="3" a="1"/>
  <c r="C4994" i="3" s="1"/>
  <c r="D4994" i="3" a="1"/>
  <c r="D4994" i="3" s="1"/>
  <c r="E4994" i="3" a="1"/>
  <c r="E4994" i="3" s="1"/>
  <c r="F4994" i="3" a="1"/>
  <c r="F4994" i="3" s="1"/>
  <c r="G4994" i="3" a="1"/>
  <c r="G4994" i="3" s="1"/>
  <c r="J4994" i="3" a="1"/>
  <c r="J4994" i="3" s="1"/>
  <c r="B4995" i="3" a="1"/>
  <c r="B4995" i="3" s="1"/>
  <c r="C4995" i="3" a="1"/>
  <c r="C4995" i="3" s="1"/>
  <c r="D4995" i="3" a="1"/>
  <c r="D4995" i="3" s="1"/>
  <c r="E4995" i="3" a="1"/>
  <c r="E4995" i="3" s="1"/>
  <c r="F4995" i="3" a="1"/>
  <c r="F4995" i="3" s="1"/>
  <c r="G4995" i="3" a="1"/>
  <c r="G4995" i="3" s="1"/>
  <c r="J4995" i="3" a="1"/>
  <c r="J4995" i="3" s="1"/>
  <c r="B4996" i="3" a="1"/>
  <c r="B4996" i="3" s="1"/>
  <c r="C4996" i="3" a="1"/>
  <c r="C4996" i="3" s="1"/>
  <c r="D4996" i="3" a="1"/>
  <c r="D4996" i="3" s="1"/>
  <c r="E4996" i="3" a="1"/>
  <c r="E4996" i="3" s="1"/>
  <c r="F4996" i="3" a="1"/>
  <c r="F4996" i="3" s="1"/>
  <c r="G4996" i="3" a="1"/>
  <c r="G4996" i="3" s="1"/>
  <c r="J4996" i="3" a="1"/>
  <c r="J4996" i="3" s="1"/>
  <c r="B4997" i="3" a="1"/>
  <c r="B4997" i="3" s="1"/>
  <c r="C4997" i="3" a="1"/>
  <c r="C4997" i="3" s="1"/>
  <c r="D4997" i="3" a="1"/>
  <c r="D4997" i="3" s="1"/>
  <c r="E4997" i="3" a="1"/>
  <c r="E4997" i="3" s="1"/>
  <c r="F4997" i="3" a="1"/>
  <c r="F4997" i="3" s="1"/>
  <c r="G4997" i="3" a="1"/>
  <c r="G4997" i="3" s="1"/>
  <c r="J4997" i="3" a="1"/>
  <c r="J4997" i="3" s="1"/>
  <c r="B4998" i="3" a="1"/>
  <c r="B4998" i="3" s="1"/>
  <c r="C4998" i="3" a="1"/>
  <c r="C4998" i="3" s="1"/>
  <c r="D4998" i="3" a="1"/>
  <c r="D4998" i="3" s="1"/>
  <c r="E4998" i="3" a="1"/>
  <c r="E4998" i="3" s="1"/>
  <c r="F4998" i="3" a="1"/>
  <c r="F4998" i="3" s="1"/>
  <c r="G4998" i="3" a="1"/>
  <c r="G4998" i="3" s="1"/>
  <c r="J4998" i="3" a="1"/>
  <c r="J4998" i="3" s="1"/>
  <c r="B4999" i="3" a="1"/>
  <c r="B4999" i="3" s="1"/>
  <c r="C4999" i="3" a="1"/>
  <c r="C4999" i="3" s="1"/>
  <c r="D4999" i="3" a="1"/>
  <c r="D4999" i="3" s="1"/>
  <c r="E4999" i="3" a="1"/>
  <c r="E4999" i="3" s="1"/>
  <c r="F4999" i="3" a="1"/>
  <c r="F4999" i="3" s="1"/>
  <c r="G4999" i="3" a="1"/>
  <c r="G4999" i="3" s="1"/>
  <c r="J4999" i="3" a="1"/>
  <c r="J4999" i="3" s="1"/>
  <c r="B5000" i="3" a="1"/>
  <c r="B5000" i="3" s="1"/>
  <c r="C5000" i="3" a="1"/>
  <c r="C5000" i="3" s="1"/>
  <c r="D5000" i="3" a="1"/>
  <c r="D5000" i="3" s="1"/>
  <c r="E5000" i="3" a="1"/>
  <c r="E5000" i="3" s="1"/>
  <c r="F5000" i="3" a="1"/>
  <c r="F5000" i="3" s="1"/>
  <c r="G5000" i="3" a="1"/>
  <c r="G5000" i="3" s="1"/>
  <c r="J5000" i="3" a="1"/>
  <c r="J5000" i="3" s="1"/>
  <c r="B5001" i="3" a="1"/>
  <c r="B5001" i="3" s="1"/>
  <c r="C5001" i="3" a="1"/>
  <c r="C5001" i="3" s="1"/>
  <c r="D5001" i="3" a="1"/>
  <c r="D5001" i="3" s="1"/>
  <c r="E5001" i="3" a="1"/>
  <c r="E5001" i="3" s="1"/>
  <c r="F5001" i="3" a="1"/>
  <c r="F5001" i="3" s="1"/>
  <c r="G5001" i="3" a="1"/>
  <c r="G5001" i="3" s="1"/>
  <c r="J5001" i="3" a="1"/>
  <c r="J5001" i="3" s="1"/>
  <c r="B5002" i="3" a="1"/>
  <c r="B5002" i="3" s="1"/>
  <c r="C5002" i="3" a="1"/>
  <c r="C5002" i="3" s="1"/>
  <c r="D5002" i="3" a="1"/>
  <c r="D5002" i="3" s="1"/>
  <c r="E5002" i="3" a="1"/>
  <c r="E5002" i="3" s="1"/>
  <c r="F5002" i="3" a="1"/>
  <c r="F5002" i="3" s="1"/>
  <c r="G5002" i="3" a="1"/>
  <c r="G5002" i="3" s="1"/>
  <c r="J5002" i="3" a="1"/>
  <c r="J5002" i="3" s="1"/>
  <c r="B5003" i="3" a="1"/>
  <c r="B5003" i="3" s="1"/>
  <c r="C5003" i="3" a="1"/>
  <c r="C5003" i="3" s="1"/>
  <c r="D5003" i="3" a="1"/>
  <c r="D5003" i="3" s="1"/>
  <c r="E5003" i="3" a="1"/>
  <c r="E5003" i="3" s="1"/>
  <c r="F5003" i="3" a="1"/>
  <c r="F5003" i="3" s="1"/>
  <c r="G5003" i="3" a="1"/>
  <c r="G5003" i="3" s="1"/>
  <c r="J5003" i="3" a="1"/>
  <c r="J5003" i="3" s="1"/>
  <c r="B5004" i="3" a="1"/>
  <c r="B5004" i="3" s="1"/>
  <c r="C5004" i="3" a="1"/>
  <c r="C5004" i="3" s="1"/>
  <c r="D5004" i="3" a="1"/>
  <c r="D5004" i="3" s="1"/>
  <c r="E5004" i="3" a="1"/>
  <c r="E5004" i="3" s="1"/>
  <c r="F5004" i="3" a="1"/>
  <c r="F5004" i="3" s="1"/>
  <c r="G5004" i="3" a="1"/>
  <c r="G5004" i="3" s="1"/>
  <c r="J5004" i="3" a="1"/>
  <c r="J5004" i="3" s="1"/>
  <c r="B5005" i="3" a="1"/>
  <c r="B5005" i="3" s="1"/>
  <c r="C5005" i="3" a="1"/>
  <c r="C5005" i="3" s="1"/>
  <c r="D5005" i="3" a="1"/>
  <c r="D5005" i="3" s="1"/>
  <c r="E5005" i="3" a="1"/>
  <c r="E5005" i="3" s="1"/>
  <c r="F5005" i="3" a="1"/>
  <c r="F5005" i="3" s="1"/>
  <c r="G5005" i="3" a="1"/>
  <c r="G5005" i="3" s="1"/>
  <c r="J5005" i="3" a="1"/>
  <c r="J5005" i="3" s="1"/>
  <c r="B5006" i="3" a="1"/>
  <c r="B5006" i="3" s="1"/>
  <c r="C5006" i="3" a="1"/>
  <c r="C5006" i="3" s="1"/>
  <c r="D5006" i="3" a="1"/>
  <c r="D5006" i="3" s="1"/>
  <c r="E5006" i="3" a="1"/>
  <c r="E5006" i="3" s="1"/>
  <c r="F5006" i="3" a="1"/>
  <c r="F5006" i="3" s="1"/>
  <c r="G5006" i="3" a="1"/>
  <c r="G5006" i="3" s="1"/>
  <c r="J5006" i="3" a="1"/>
  <c r="J5006" i="3" s="1"/>
  <c r="B5007" i="3" a="1"/>
  <c r="B5007" i="3" s="1"/>
  <c r="C5007" i="3" a="1"/>
  <c r="C5007" i="3" s="1"/>
  <c r="D5007" i="3" a="1"/>
  <c r="D5007" i="3" s="1"/>
  <c r="E5007" i="3" a="1"/>
  <c r="E5007" i="3" s="1"/>
  <c r="F5007" i="3" a="1"/>
  <c r="F5007" i="3" s="1"/>
  <c r="G5007" i="3" a="1"/>
  <c r="G5007" i="3" s="1"/>
  <c r="J5007" i="3" a="1"/>
  <c r="J5007" i="3" s="1"/>
  <c r="B5008" i="3" a="1"/>
  <c r="B5008" i="3" s="1"/>
  <c r="C5008" i="3" a="1"/>
  <c r="C5008" i="3" s="1"/>
  <c r="D5008" i="3" a="1"/>
  <c r="D5008" i="3" s="1"/>
  <c r="E5008" i="3" a="1"/>
  <c r="E5008" i="3" s="1"/>
  <c r="F5008" i="3" a="1"/>
  <c r="F5008" i="3" s="1"/>
  <c r="G5008" i="3" a="1"/>
  <c r="G5008" i="3" s="1"/>
  <c r="J5008" i="3" a="1"/>
  <c r="J5008" i="3" s="1"/>
  <c r="B5009" i="3" a="1"/>
  <c r="B5009" i="3" s="1"/>
  <c r="C5009" i="3" a="1"/>
  <c r="C5009" i="3" s="1"/>
  <c r="D5009" i="3" a="1"/>
  <c r="D5009" i="3" s="1"/>
  <c r="E5009" i="3" a="1"/>
  <c r="E5009" i="3" s="1"/>
  <c r="F5009" i="3" a="1"/>
  <c r="F5009" i="3" s="1"/>
  <c r="G5009" i="3" a="1"/>
  <c r="G5009" i="3" s="1"/>
  <c r="J5009" i="3" a="1"/>
  <c r="J5009" i="3" s="1"/>
  <c r="B5010" i="3" a="1"/>
  <c r="B5010" i="3" s="1"/>
  <c r="C5010" i="3" a="1"/>
  <c r="C5010" i="3" s="1"/>
  <c r="D5010" i="3" a="1"/>
  <c r="D5010" i="3" s="1"/>
  <c r="E5010" i="3" a="1"/>
  <c r="E5010" i="3" s="1"/>
  <c r="F5010" i="3" a="1"/>
  <c r="F5010" i="3" s="1"/>
  <c r="G5010" i="3" a="1"/>
  <c r="G5010" i="3" s="1"/>
  <c r="J5010" i="3" a="1"/>
  <c r="J5010" i="3" s="1"/>
  <c r="B5011" i="3" a="1"/>
  <c r="B5011" i="3" s="1"/>
  <c r="C5011" i="3" a="1"/>
  <c r="C5011" i="3" s="1"/>
  <c r="D5011" i="3" a="1"/>
  <c r="D5011" i="3" s="1"/>
  <c r="E5011" i="3" a="1"/>
  <c r="E5011" i="3" s="1"/>
  <c r="F5011" i="3" a="1"/>
  <c r="F5011" i="3" s="1"/>
  <c r="G5011" i="3" a="1"/>
  <c r="G5011" i="3" s="1"/>
  <c r="J5011" i="3" a="1"/>
  <c r="J5011" i="3" s="1"/>
  <c r="B5012" i="3" a="1"/>
  <c r="B5012" i="3" s="1"/>
  <c r="C5012" i="3" a="1"/>
  <c r="C5012" i="3" s="1"/>
  <c r="D5012" i="3" a="1"/>
  <c r="D5012" i="3" s="1"/>
  <c r="E5012" i="3" a="1"/>
  <c r="E5012" i="3" s="1"/>
  <c r="F5012" i="3" a="1"/>
  <c r="F5012" i="3" s="1"/>
  <c r="G5012" i="3" a="1"/>
  <c r="G5012" i="3" s="1"/>
  <c r="J5012" i="3" a="1"/>
  <c r="J5012" i="3" s="1"/>
  <c r="B5013" i="3" a="1"/>
  <c r="B5013" i="3" s="1"/>
  <c r="C5013" i="3" a="1"/>
  <c r="C5013" i="3" s="1"/>
  <c r="D5013" i="3" a="1"/>
  <c r="D5013" i="3" s="1"/>
  <c r="E5013" i="3" a="1"/>
  <c r="E5013" i="3" s="1"/>
  <c r="F5013" i="3" a="1"/>
  <c r="F5013" i="3" s="1"/>
  <c r="G5013" i="3" a="1"/>
  <c r="G5013" i="3" s="1"/>
  <c r="J5013" i="3" a="1"/>
  <c r="J5013" i="3" s="1"/>
  <c r="B5014" i="3" a="1"/>
  <c r="B5014" i="3" s="1"/>
  <c r="C5014" i="3" a="1"/>
  <c r="C5014" i="3" s="1"/>
  <c r="D5014" i="3" a="1"/>
  <c r="D5014" i="3" s="1"/>
  <c r="E5014" i="3" a="1"/>
  <c r="E5014" i="3" s="1"/>
  <c r="F5014" i="3" a="1"/>
  <c r="F5014" i="3" s="1"/>
  <c r="G5014" i="3" a="1"/>
  <c r="G5014" i="3" s="1"/>
  <c r="J5014" i="3" a="1"/>
  <c r="J5014" i="3" s="1"/>
  <c r="B5015" i="3" a="1"/>
  <c r="B5015" i="3" s="1"/>
  <c r="C5015" i="3" a="1"/>
  <c r="C5015" i="3" s="1"/>
  <c r="D5015" i="3" a="1"/>
  <c r="D5015" i="3" s="1"/>
  <c r="E5015" i="3" a="1"/>
  <c r="E5015" i="3" s="1"/>
  <c r="F5015" i="3" a="1"/>
  <c r="F5015" i="3" s="1"/>
  <c r="G5015" i="3" a="1"/>
  <c r="G5015" i="3" s="1"/>
  <c r="J5015" i="3" a="1"/>
  <c r="J5015" i="3" s="1"/>
  <c r="B5016" i="3" a="1"/>
  <c r="B5016" i="3" s="1"/>
  <c r="C5016" i="3" a="1"/>
  <c r="C5016" i="3" s="1"/>
  <c r="D5016" i="3" a="1"/>
  <c r="D5016" i="3" s="1"/>
  <c r="E5016" i="3" a="1"/>
  <c r="E5016" i="3" s="1"/>
  <c r="F5016" i="3" a="1"/>
  <c r="F5016" i="3" s="1"/>
  <c r="G5016" i="3" a="1"/>
  <c r="G5016" i="3" s="1"/>
  <c r="J5016" i="3" a="1"/>
  <c r="J5016" i="3" s="1"/>
  <c r="B5017" i="3" a="1"/>
  <c r="B5017" i="3" s="1"/>
  <c r="C5017" i="3" a="1"/>
  <c r="C5017" i="3" s="1"/>
  <c r="D5017" i="3" a="1"/>
  <c r="D5017" i="3" s="1"/>
  <c r="E5017" i="3" a="1"/>
  <c r="E5017" i="3" s="1"/>
  <c r="F5017" i="3" a="1"/>
  <c r="F5017" i="3" s="1"/>
  <c r="G5017" i="3" a="1"/>
  <c r="G5017" i="3" s="1"/>
  <c r="J5017" i="3" a="1"/>
  <c r="J5017" i="3" s="1"/>
  <c r="B5018" i="3" a="1"/>
  <c r="B5018" i="3" s="1"/>
  <c r="C5018" i="3" a="1"/>
  <c r="C5018" i="3" s="1"/>
  <c r="D5018" i="3" a="1"/>
  <c r="D5018" i="3" s="1"/>
  <c r="E5018" i="3" a="1"/>
  <c r="E5018" i="3" s="1"/>
  <c r="F5018" i="3" a="1"/>
  <c r="F5018" i="3" s="1"/>
  <c r="G5018" i="3" a="1"/>
  <c r="G5018" i="3" s="1"/>
  <c r="J5018" i="3" a="1"/>
  <c r="J5018" i="3" s="1"/>
  <c r="B5019" i="3" a="1"/>
  <c r="B5019" i="3" s="1"/>
  <c r="C5019" i="3" a="1"/>
  <c r="C5019" i="3" s="1"/>
  <c r="D5019" i="3" a="1"/>
  <c r="D5019" i="3" s="1"/>
  <c r="E5019" i="3" a="1"/>
  <c r="E5019" i="3" s="1"/>
  <c r="F5019" i="3" a="1"/>
  <c r="F5019" i="3" s="1"/>
  <c r="G5019" i="3" a="1"/>
  <c r="G5019" i="3" s="1"/>
  <c r="J5019" i="3" a="1"/>
  <c r="J5019" i="3" s="1"/>
  <c r="B5020" i="3" a="1"/>
  <c r="B5020" i="3" s="1"/>
  <c r="C5020" i="3" a="1"/>
  <c r="C5020" i="3" s="1"/>
  <c r="D5020" i="3" a="1"/>
  <c r="D5020" i="3" s="1"/>
  <c r="E5020" i="3" a="1"/>
  <c r="E5020" i="3" s="1"/>
  <c r="F5020" i="3" a="1"/>
  <c r="F5020" i="3" s="1"/>
  <c r="G5020" i="3" a="1"/>
  <c r="G5020" i="3" s="1"/>
  <c r="J5020" i="3" a="1"/>
  <c r="J5020" i="3" s="1"/>
  <c r="B5021" i="3" a="1"/>
  <c r="B5021" i="3" s="1"/>
  <c r="C5021" i="3" a="1"/>
  <c r="C5021" i="3" s="1"/>
  <c r="D5021" i="3" a="1"/>
  <c r="D5021" i="3" s="1"/>
  <c r="E5021" i="3" a="1"/>
  <c r="E5021" i="3" s="1"/>
  <c r="F5021" i="3" a="1"/>
  <c r="F5021" i="3" s="1"/>
  <c r="G5021" i="3" a="1"/>
  <c r="G5021" i="3" s="1"/>
  <c r="J5021" i="3" a="1"/>
  <c r="J5021" i="3" s="1"/>
  <c r="B5022" i="3" a="1"/>
  <c r="B5022" i="3" s="1"/>
  <c r="C5022" i="3" a="1"/>
  <c r="C5022" i="3" s="1"/>
  <c r="D5022" i="3" a="1"/>
  <c r="D5022" i="3" s="1"/>
  <c r="E5022" i="3" a="1"/>
  <c r="E5022" i="3" s="1"/>
  <c r="F5022" i="3" a="1"/>
  <c r="F5022" i="3" s="1"/>
  <c r="G5022" i="3" a="1"/>
  <c r="G5022" i="3" s="1"/>
  <c r="J5022" i="3" a="1"/>
  <c r="J5022" i="3" s="1"/>
  <c r="B5023" i="3" a="1"/>
  <c r="B5023" i="3" s="1"/>
  <c r="C5023" i="3" a="1"/>
  <c r="C5023" i="3" s="1"/>
  <c r="D5023" i="3" a="1"/>
  <c r="D5023" i="3" s="1"/>
  <c r="E5023" i="3" a="1"/>
  <c r="E5023" i="3" s="1"/>
  <c r="F5023" i="3" a="1"/>
  <c r="F5023" i="3" s="1"/>
  <c r="G5023" i="3" a="1"/>
  <c r="G5023" i="3" s="1"/>
  <c r="J5023" i="3" a="1"/>
  <c r="J5023" i="3" s="1"/>
  <c r="B5024" i="3" a="1"/>
  <c r="B5024" i="3" s="1"/>
  <c r="C5024" i="3" a="1"/>
  <c r="C5024" i="3" s="1"/>
  <c r="D5024" i="3" a="1"/>
  <c r="D5024" i="3" s="1"/>
  <c r="E5024" i="3" a="1"/>
  <c r="E5024" i="3" s="1"/>
  <c r="F5024" i="3" a="1"/>
  <c r="F5024" i="3" s="1"/>
  <c r="G5024" i="3" a="1"/>
  <c r="G5024" i="3" s="1"/>
  <c r="J5024" i="3" a="1"/>
  <c r="J5024" i="3" s="1"/>
  <c r="B5025" i="3" a="1"/>
  <c r="B5025" i="3" s="1"/>
  <c r="C5025" i="3" a="1"/>
  <c r="C5025" i="3" s="1"/>
  <c r="D5025" i="3" a="1"/>
  <c r="D5025" i="3" s="1"/>
  <c r="E5025" i="3" a="1"/>
  <c r="E5025" i="3" s="1"/>
  <c r="F5025" i="3" a="1"/>
  <c r="F5025" i="3" s="1"/>
  <c r="G5025" i="3" a="1"/>
  <c r="G5025" i="3" s="1"/>
  <c r="J5025" i="3" a="1"/>
  <c r="J5025" i="3" s="1"/>
  <c r="B5026" i="3" a="1"/>
  <c r="B5026" i="3" s="1"/>
  <c r="C5026" i="3" a="1"/>
  <c r="C5026" i="3" s="1"/>
  <c r="D5026" i="3" a="1"/>
  <c r="D5026" i="3" s="1"/>
  <c r="E5026" i="3" a="1"/>
  <c r="E5026" i="3" s="1"/>
  <c r="F5026" i="3" a="1"/>
  <c r="F5026" i="3" s="1"/>
  <c r="G5026" i="3" a="1"/>
  <c r="G5026" i="3" s="1"/>
  <c r="J5026" i="3" a="1"/>
  <c r="J5026" i="3" s="1"/>
  <c r="B5027" i="3" a="1"/>
  <c r="B5027" i="3" s="1"/>
  <c r="C5027" i="3" a="1"/>
  <c r="C5027" i="3" s="1"/>
  <c r="D5027" i="3" a="1"/>
  <c r="D5027" i="3" s="1"/>
  <c r="E5027" i="3" a="1"/>
  <c r="E5027" i="3" s="1"/>
  <c r="F5027" i="3" a="1"/>
  <c r="F5027" i="3" s="1"/>
  <c r="G5027" i="3" a="1"/>
  <c r="G5027" i="3" s="1"/>
  <c r="J5027" i="3" a="1"/>
  <c r="J5027" i="3" s="1"/>
  <c r="B5028" i="3" a="1"/>
  <c r="B5028" i="3" s="1"/>
  <c r="C5028" i="3" a="1"/>
  <c r="C5028" i="3" s="1"/>
  <c r="D5028" i="3" a="1"/>
  <c r="D5028" i="3" s="1"/>
  <c r="E5028" i="3" a="1"/>
  <c r="E5028" i="3" s="1"/>
  <c r="F5028" i="3" a="1"/>
  <c r="F5028" i="3" s="1"/>
  <c r="G5028" i="3" a="1"/>
  <c r="G5028" i="3" s="1"/>
  <c r="J5028" i="3" a="1"/>
  <c r="J5028" i="3" s="1"/>
  <c r="B5029" i="3" a="1"/>
  <c r="B5029" i="3" s="1"/>
  <c r="C5029" i="3" a="1"/>
  <c r="C5029" i="3" s="1"/>
  <c r="D5029" i="3" a="1"/>
  <c r="D5029" i="3" s="1"/>
  <c r="E5029" i="3" a="1"/>
  <c r="E5029" i="3" s="1"/>
  <c r="F5029" i="3" a="1"/>
  <c r="F5029" i="3" s="1"/>
  <c r="G5029" i="3" a="1"/>
  <c r="G5029" i="3" s="1"/>
  <c r="J5029" i="3" a="1"/>
  <c r="J5029" i="3" s="1"/>
  <c r="B5030" i="3" a="1"/>
  <c r="B5030" i="3" s="1"/>
  <c r="C5030" i="3" a="1"/>
  <c r="C5030" i="3" s="1"/>
  <c r="D5030" i="3" a="1"/>
  <c r="D5030" i="3" s="1"/>
  <c r="E5030" i="3" a="1"/>
  <c r="E5030" i="3" s="1"/>
  <c r="F5030" i="3" a="1"/>
  <c r="F5030" i="3" s="1"/>
  <c r="G5030" i="3" a="1"/>
  <c r="G5030" i="3" s="1"/>
  <c r="J5030" i="3" a="1"/>
  <c r="J5030" i="3" s="1"/>
  <c r="B5031" i="3" a="1"/>
  <c r="B5031" i="3" s="1"/>
  <c r="C5031" i="3" a="1"/>
  <c r="C5031" i="3" s="1"/>
  <c r="D5031" i="3" a="1"/>
  <c r="D5031" i="3" s="1"/>
  <c r="E5031" i="3" a="1"/>
  <c r="E5031" i="3" s="1"/>
  <c r="F5031" i="3" a="1"/>
  <c r="F5031" i="3" s="1"/>
  <c r="G5031" i="3" a="1"/>
  <c r="G5031" i="3" s="1"/>
  <c r="J5031" i="3" a="1"/>
  <c r="J5031" i="3" s="1"/>
  <c r="B5032" i="3" a="1"/>
  <c r="B5032" i="3" s="1"/>
  <c r="C5032" i="3" a="1"/>
  <c r="C5032" i="3" s="1"/>
  <c r="D5032" i="3" a="1"/>
  <c r="D5032" i="3" s="1"/>
  <c r="E5032" i="3" a="1"/>
  <c r="E5032" i="3" s="1"/>
  <c r="F5032" i="3" a="1"/>
  <c r="F5032" i="3" s="1"/>
  <c r="G5032" i="3" a="1"/>
  <c r="G5032" i="3" s="1"/>
  <c r="J5032" i="3" a="1"/>
  <c r="J5032" i="3" s="1"/>
  <c r="B5033" i="3" a="1"/>
  <c r="B5033" i="3" s="1"/>
  <c r="C5033" i="3" a="1"/>
  <c r="C5033" i="3" s="1"/>
  <c r="D5033" i="3" a="1"/>
  <c r="D5033" i="3" s="1"/>
  <c r="E5033" i="3" a="1"/>
  <c r="E5033" i="3" s="1"/>
  <c r="F5033" i="3" a="1"/>
  <c r="F5033" i="3" s="1"/>
  <c r="G5033" i="3" a="1"/>
  <c r="G5033" i="3" s="1"/>
  <c r="J5033" i="3" a="1"/>
  <c r="J5033" i="3" s="1"/>
  <c r="B5034" i="3" a="1"/>
  <c r="B5034" i="3" s="1"/>
  <c r="C5034" i="3" a="1"/>
  <c r="C5034" i="3" s="1"/>
  <c r="D5034" i="3" a="1"/>
  <c r="D5034" i="3" s="1"/>
  <c r="E5034" i="3" a="1"/>
  <c r="E5034" i="3" s="1"/>
  <c r="F5034" i="3" a="1"/>
  <c r="F5034" i="3" s="1"/>
  <c r="G5034" i="3" a="1"/>
  <c r="G5034" i="3" s="1"/>
  <c r="J5034" i="3" a="1"/>
  <c r="J5034" i="3" s="1"/>
  <c r="B5035" i="3" a="1"/>
  <c r="B5035" i="3" s="1"/>
  <c r="C5035" i="3" a="1"/>
  <c r="C5035" i="3" s="1"/>
  <c r="D5035" i="3" a="1"/>
  <c r="D5035" i="3" s="1"/>
  <c r="E5035" i="3" a="1"/>
  <c r="E5035" i="3" s="1"/>
  <c r="F5035" i="3" a="1"/>
  <c r="F5035" i="3" s="1"/>
  <c r="G5035" i="3" a="1"/>
  <c r="G5035" i="3" s="1"/>
  <c r="J5035" i="3" a="1"/>
  <c r="J5035" i="3" s="1"/>
  <c r="B5036" i="3" a="1"/>
  <c r="B5036" i="3" s="1"/>
  <c r="C5036" i="3" a="1"/>
  <c r="C5036" i="3" s="1"/>
  <c r="D5036" i="3" a="1"/>
  <c r="D5036" i="3" s="1"/>
  <c r="E5036" i="3" a="1"/>
  <c r="E5036" i="3" s="1"/>
  <c r="F5036" i="3" a="1"/>
  <c r="F5036" i="3" s="1"/>
  <c r="G5036" i="3" a="1"/>
  <c r="G5036" i="3" s="1"/>
  <c r="J5036" i="3" a="1"/>
  <c r="J5036" i="3" s="1"/>
  <c r="B5037" i="3" a="1"/>
  <c r="B5037" i="3" s="1"/>
  <c r="C5037" i="3" a="1"/>
  <c r="C5037" i="3" s="1"/>
  <c r="D5037" i="3" a="1"/>
  <c r="D5037" i="3" s="1"/>
  <c r="E5037" i="3" a="1"/>
  <c r="E5037" i="3" s="1"/>
  <c r="F5037" i="3" a="1"/>
  <c r="F5037" i="3" s="1"/>
  <c r="G5037" i="3" a="1"/>
  <c r="G5037" i="3" s="1"/>
  <c r="J5037" i="3" a="1"/>
  <c r="J5037" i="3" s="1"/>
  <c r="B5038" i="3" a="1"/>
  <c r="B5038" i="3" s="1"/>
  <c r="C5038" i="3" a="1"/>
  <c r="C5038" i="3" s="1"/>
  <c r="D5038" i="3" a="1"/>
  <c r="D5038" i="3" s="1"/>
  <c r="E5038" i="3" a="1"/>
  <c r="E5038" i="3" s="1"/>
  <c r="F5038" i="3" a="1"/>
  <c r="F5038" i="3" s="1"/>
  <c r="G5038" i="3" a="1"/>
  <c r="G5038" i="3" s="1"/>
  <c r="J5038" i="3" a="1"/>
  <c r="J5038" i="3" s="1"/>
  <c r="B38" i="3" a="1"/>
  <c r="B38" i="3" s="1"/>
  <c r="J38" i="3" a="1"/>
  <c r="J38" i="3" s="1"/>
  <c r="G38" i="3" a="1"/>
  <c r="G38" i="3" s="1"/>
  <c r="F38" i="3" a="1"/>
  <c r="F38" i="3" s="1"/>
  <c r="E38" i="3" a="1"/>
  <c r="E38" i="3" s="1"/>
  <c r="D38" i="3" a="1"/>
  <c r="D38" i="3" s="1"/>
  <c r="E16" i="5"/>
  <c r="C18" i="5"/>
  <c r="E15" i="5"/>
  <c r="C15" i="5"/>
  <c r="C16" i="5"/>
  <c r="C10" i="5"/>
  <c r="C9" i="5"/>
  <c r="C15" i="1"/>
  <c r="E19" i="5"/>
  <c r="B4" i="5"/>
  <c r="E18" i="5"/>
  <c r="AF10" i="1"/>
  <c r="C17" i="5"/>
  <c r="E17" i="5"/>
  <c r="AF9" i="1"/>
  <c r="F35" i="1" l="1"/>
  <c r="H35" i="1" s="1"/>
  <c r="G38" i="1"/>
  <c r="G37" i="1"/>
  <c r="G33" i="1"/>
  <c r="N5" i="5"/>
  <c r="F31" i="1"/>
  <c r="H31" i="1" s="1"/>
  <c r="F32" i="1"/>
  <c r="H32" i="1" s="1"/>
  <c r="F39" i="1"/>
  <c r="H39" i="1" s="1"/>
  <c r="F38" i="1"/>
  <c r="H38" i="1" s="1"/>
  <c r="F36" i="1"/>
  <c r="H36" i="1" s="1"/>
  <c r="F34" i="1"/>
  <c r="H34" i="1" s="1"/>
  <c r="F33" i="1"/>
  <c r="H33" i="1" s="1"/>
  <c r="G35" i="1"/>
  <c r="G36" i="1"/>
  <c r="Z6" i="1"/>
  <c r="Z20" i="1"/>
  <c r="Z32" i="1"/>
  <c r="AA7" i="1"/>
  <c r="AA17" i="1"/>
  <c r="AA33" i="1"/>
  <c r="AA10" i="1"/>
  <c r="AA22" i="1"/>
  <c r="AA12" i="1"/>
  <c r="AA24" i="1"/>
  <c r="AA14" i="1"/>
  <c r="AA35" i="1"/>
  <c r="AA16" i="1"/>
  <c r="AA28" i="1"/>
  <c r="Z27" i="1"/>
  <c r="AA30" i="1"/>
  <c r="Z16" i="1"/>
  <c r="Z28" i="1"/>
  <c r="Z37" i="1"/>
  <c r="AA8" i="1"/>
  <c r="Z5" i="1"/>
  <c r="Z17" i="1"/>
  <c r="Z29" i="1"/>
  <c r="Z38" i="1"/>
  <c r="Z8" i="1"/>
  <c r="Z18" i="1"/>
  <c r="Z30" i="1"/>
  <c r="Z7" i="1"/>
  <c r="AB7" i="1" s="1"/>
  <c r="Z19" i="1"/>
  <c r="Z31" i="1"/>
  <c r="AA36" i="1"/>
  <c r="AA31" i="1"/>
  <c r="AA9" i="1"/>
  <c r="AA21" i="1"/>
  <c r="AA18" i="1"/>
  <c r="Z15" i="1"/>
  <c r="AA11" i="1"/>
  <c r="AA23" i="1"/>
  <c r="AA13" i="1"/>
  <c r="AA25" i="1"/>
  <c r="AA6" i="1"/>
  <c r="AA37" i="1"/>
  <c r="AA15" i="1"/>
  <c r="AA27" i="1"/>
  <c r="Z9" i="1"/>
  <c r="AB9" i="1" s="1"/>
  <c r="Z21" i="1"/>
  <c r="AB21" i="1" s="1"/>
  <c r="Z33" i="1"/>
  <c r="AB33" i="1" s="1"/>
  <c r="AA32" i="1"/>
  <c r="Z10" i="1"/>
  <c r="Z22" i="1"/>
  <c r="AA34" i="1"/>
  <c r="Z11" i="1"/>
  <c r="Z23" i="1"/>
  <c r="Z35" i="1"/>
  <c r="Z12" i="1"/>
  <c r="Z24" i="1"/>
  <c r="Z36" i="1"/>
  <c r="AA29" i="1"/>
  <c r="Z13" i="1"/>
  <c r="Z26" i="1"/>
  <c r="Z14" i="1"/>
  <c r="Z25" i="1"/>
  <c r="AA38" i="1"/>
  <c r="AA26" i="1"/>
  <c r="AA19" i="1"/>
  <c r="D15" i="5"/>
  <c r="D16" i="5"/>
  <c r="D17" i="5"/>
  <c r="D18" i="5"/>
  <c r="AA20" i="1"/>
  <c r="Z34" i="1"/>
  <c r="AB15" i="1" l="1"/>
  <c r="L6" i="5"/>
  <c r="N6" i="5" s="1"/>
  <c r="O6" i="5" s="1"/>
  <c r="Q6" i="5" s="1"/>
  <c r="R6" i="5" s="1"/>
  <c r="O5" i="5"/>
  <c r="Q5" i="5" s="1"/>
  <c r="AB29" i="1"/>
  <c r="AB17" i="1"/>
  <c r="AB20" i="1"/>
  <c r="AB19" i="1"/>
  <c r="AB30" i="1"/>
  <c r="AB25" i="1"/>
  <c r="AB12" i="1"/>
  <c r="AB31" i="1"/>
  <c r="AB22" i="1"/>
  <c r="AB14" i="1"/>
  <c r="AB32" i="1"/>
  <c r="AB6" i="1"/>
  <c r="AB10" i="1"/>
  <c r="AB24" i="1"/>
  <c r="AB8" i="1"/>
  <c r="AB35" i="1"/>
  <c r="AB37" i="1"/>
  <c r="AB38" i="1"/>
  <c r="AB13" i="1"/>
  <c r="AB23" i="1"/>
  <c r="AB11" i="1"/>
  <c r="AB16" i="1"/>
  <c r="AB28" i="1"/>
  <c r="AB27" i="1"/>
  <c r="AB18" i="1"/>
  <c r="AB36" i="1"/>
  <c r="AB34" i="1"/>
  <c r="AB26" i="1"/>
  <c r="L7" i="5" l="1"/>
  <c r="N7" i="5" s="1"/>
  <c r="L8" i="5" s="1"/>
  <c r="N8" i="5" s="1"/>
  <c r="P6" i="5"/>
  <c r="P8" i="5" l="1"/>
  <c r="O8" i="5"/>
  <c r="Q8" i="5" s="1"/>
  <c r="P7" i="5"/>
  <c r="O7" i="5"/>
  <c r="Q7" i="5" s="1"/>
  <c r="R7" i="5" s="1"/>
  <c r="L9" i="5"/>
  <c r="N9" i="5" s="1"/>
  <c r="P9" i="5" l="1"/>
  <c r="O9" i="5"/>
  <c r="Q9" i="5" s="1"/>
  <c r="R9" i="5" s="1"/>
  <c r="R8" i="5"/>
  <c r="L10" i="5"/>
  <c r="N10" i="5" s="1"/>
  <c r="P10" i="5" l="1"/>
  <c r="O10" i="5"/>
  <c r="Q10" i="5" s="1"/>
  <c r="R10" i="5" s="1"/>
  <c r="L11" i="5"/>
  <c r="N11" i="5" s="1"/>
  <c r="P11" i="5" l="1"/>
  <c r="O11" i="5"/>
  <c r="Q11" i="5" s="1"/>
  <c r="R11" i="5" s="1"/>
  <c r="L12" i="5"/>
  <c r="N12" i="5" s="1"/>
  <c r="P12" i="5" l="1"/>
  <c r="O12" i="5"/>
  <c r="Q12" i="5" s="1"/>
  <c r="R12" i="5" s="1"/>
  <c r="L13" i="5"/>
  <c r="N13" i="5" s="1"/>
  <c r="P13" i="5" l="1"/>
  <c r="O13" i="5"/>
  <c r="Q13" i="5" s="1"/>
  <c r="R13"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<sst xmlns="http://schemas.openxmlformats.org/spreadsheetml/2006/main" count="5662" uniqueCount="1199">
  <si>
    <t>Employee ID</t>
  </si>
  <si>
    <t>Full Name</t>
  </si>
  <si>
    <t>Department</t>
  </si>
  <si>
    <t>Gender</t>
  </si>
  <si>
    <t>Age</t>
  </si>
  <si>
    <t>Join Date</t>
  </si>
  <si>
    <t>Exit Date</t>
  </si>
  <si>
    <t>Exit Reason</t>
  </si>
  <si>
    <t>Status</t>
  </si>
  <si>
    <t>Roberto Santos Guerrero</t>
  </si>
  <si>
    <t>IT</t>
  </si>
  <si>
    <t>Other</t>
  </si>
  <si>
    <t>Termination</t>
  </si>
  <si>
    <t>Exited</t>
  </si>
  <si>
    <t>Tess Ocampo</t>
  </si>
  <si>
    <t>Customer Support</t>
  </si>
  <si>
    <t>Female</t>
  </si>
  <si>
    <t/>
  </si>
  <si>
    <t>Active</t>
  </si>
  <si>
    <t>Lourdes Navarro San Pedro</t>
  </si>
  <si>
    <t>HR</t>
  </si>
  <si>
    <t>Contract End</t>
  </si>
  <si>
    <t>Timothy Zulueta</t>
  </si>
  <si>
    <t>Marketing</t>
  </si>
  <si>
    <t>Male</t>
  </si>
  <si>
    <t>Pilar Navarro Lazo</t>
  </si>
  <si>
    <t>Retirement</t>
  </si>
  <si>
    <t>Feliciano Domingo Vergara</t>
  </si>
  <si>
    <t>Relocation</t>
  </si>
  <si>
    <t>Lourdes Lopez</t>
  </si>
  <si>
    <t>Corazon Bayani</t>
  </si>
  <si>
    <t>Better Opportunity</t>
  </si>
  <si>
    <t>Manuel Villanueva</t>
  </si>
  <si>
    <t>Sales</t>
  </si>
  <si>
    <t>Personal Reasons</t>
  </si>
  <si>
    <t>Danilo Tan Tan</t>
  </si>
  <si>
    <t>Ofelia Tan</t>
  </si>
  <si>
    <t>Ronaldo Villanueva</t>
  </si>
  <si>
    <t>Sarah Pascual Co</t>
  </si>
  <si>
    <t>Pilar Castro</t>
  </si>
  <si>
    <t>Rosa Navarro Rivera</t>
  </si>
  <si>
    <t>Belinda Santiago Mangubat</t>
  </si>
  <si>
    <t>Jacqueline Ocampo</t>
  </si>
  <si>
    <t>Miguel Soriano Garcia</t>
  </si>
  <si>
    <t>Crisanto Delos Reyes</t>
  </si>
  <si>
    <t>Lourdes Aquino</t>
  </si>
  <si>
    <t>Finance</t>
  </si>
  <si>
    <t>Grace Macapagal</t>
  </si>
  <si>
    <t>Rodel Torres Chan</t>
  </si>
  <si>
    <t>Eduardo Soriano Lopez</t>
  </si>
  <si>
    <t>Isabel Lim Chua</t>
  </si>
  <si>
    <t>Jordan Reyes Dela Torre</t>
  </si>
  <si>
    <t>Resignation</t>
  </si>
  <si>
    <t>Elena Ong</t>
  </si>
  <si>
    <t>Manuel Mercado Diaz</t>
  </si>
  <si>
    <t>Severino Ang Natividad</t>
  </si>
  <si>
    <t>Lourdes Ramirez Sy</t>
  </si>
  <si>
    <t>Alex Estrada</t>
  </si>
  <si>
    <t>Celine Flores</t>
  </si>
  <si>
    <t>Taylor Santos Lacson</t>
  </si>
  <si>
    <t>Alex Aguilar Aquino</t>
  </si>
  <si>
    <t>Olive Go Diaz</t>
  </si>
  <si>
    <t>Cameron Chan Diaz</t>
  </si>
  <si>
    <t>Fe Perez</t>
  </si>
  <si>
    <t>Osvaldo Fernandez Camacho</t>
  </si>
  <si>
    <t>Health Issues</t>
  </si>
  <si>
    <t>Gregorio Pascual Macapagal</t>
  </si>
  <si>
    <t>Diosdado Flores Jimenez</t>
  </si>
  <si>
    <t>Leonora San Pedro</t>
  </si>
  <si>
    <t>Danilo Rivera Del Rosario</t>
  </si>
  <si>
    <t>Fernando Domingo</t>
  </si>
  <si>
    <t>Annaliza Flores</t>
  </si>
  <si>
    <t>Casey Rivera</t>
  </si>
  <si>
    <t>Antonio Macapagal</t>
  </si>
  <si>
    <t>Christian Diaz Natividad</t>
  </si>
  <si>
    <t>Renato Garcia Jimenez</t>
  </si>
  <si>
    <t>Larry Cruz Camacho</t>
  </si>
  <si>
    <t>Gerald Quiambao</t>
  </si>
  <si>
    <t>Elena Rivera</t>
  </si>
  <si>
    <t>Gloria Hilario</t>
  </si>
  <si>
    <t>Luisa Jacinto</t>
  </si>
  <si>
    <t>Rowena Rivera Ramirez</t>
  </si>
  <si>
    <t>Eddie Macapagal</t>
  </si>
  <si>
    <t>Celine Diaz Domingo</t>
  </si>
  <si>
    <t>Grace Ang Ignacio</t>
  </si>
  <si>
    <t>Rosa Bautista Bagtas</t>
  </si>
  <si>
    <t>Morgan Lopez</t>
  </si>
  <si>
    <t>Cardo Go Fernandez</t>
  </si>
  <si>
    <t>Taylor Narvasa</t>
  </si>
  <si>
    <t>Ernesto Lozano</t>
  </si>
  <si>
    <t>Annaliza Ang Camacho</t>
  </si>
  <si>
    <t>Gregorio Mendoza Ignacio</t>
  </si>
  <si>
    <t>Jose Aguilar Crisostomo</t>
  </si>
  <si>
    <t>Maria Panganiban</t>
  </si>
  <si>
    <t>Sarah Rivera Umali</t>
  </si>
  <si>
    <t>Mark Bautista Garcia</t>
  </si>
  <si>
    <t>Casey Macaraeg</t>
  </si>
  <si>
    <t>Casey Mendoza Cueto</t>
  </si>
  <si>
    <t>Rodel Tan Go</t>
  </si>
  <si>
    <t>Antonio Santos Bagtas</t>
  </si>
  <si>
    <t>Efren Santiago Fajardo</t>
  </si>
  <si>
    <t>Diana Mercado Camacho</t>
  </si>
  <si>
    <t>Olive Guevarra</t>
  </si>
  <si>
    <t>Harold Reyes Diaz</t>
  </si>
  <si>
    <t>Bryan Solis</t>
  </si>
  <si>
    <t>Eduardo Torres Dela Torre</t>
  </si>
  <si>
    <t>Teresita Tan Dalisay</t>
  </si>
  <si>
    <t>Antonio Pascual Umali</t>
  </si>
  <si>
    <t>Sam Ang Tolentino</t>
  </si>
  <si>
    <t>Teresita Chan Ignacio</t>
  </si>
  <si>
    <t>Gloria Natividad</t>
  </si>
  <si>
    <t>Natividad Ong</t>
  </si>
  <si>
    <t>Gregorio Bautista Gonzales</t>
  </si>
  <si>
    <t>Rosalinda Domingo San Pedro</t>
  </si>
  <si>
    <t>Iris Navarro Camacho</t>
  </si>
  <si>
    <t>Maria Ramos Estrada</t>
  </si>
  <si>
    <t>Rosa Mercado Navarro</t>
  </si>
  <si>
    <t>Manuel Figueroa</t>
  </si>
  <si>
    <t>Herminia Sy Ramirez</t>
  </si>
  <si>
    <t>Maria Jimenez</t>
  </si>
  <si>
    <t>Hernando Aguilar</t>
  </si>
  <si>
    <t>Pete Lopez Vergara</t>
  </si>
  <si>
    <t>Morgan Ocampo</t>
  </si>
  <si>
    <t>Carlos Co</t>
  </si>
  <si>
    <t>Tess Mendoza</t>
  </si>
  <si>
    <t>Taylor Go Zulueta</t>
  </si>
  <si>
    <t>Arnel Santos Hilario</t>
  </si>
  <si>
    <t>Morgan Ang</t>
  </si>
  <si>
    <t>Gerald Santiago Quiambao</t>
  </si>
  <si>
    <t>Joy Sia</t>
  </si>
  <si>
    <t>Hazel Lopez Umali</t>
  </si>
  <si>
    <t>Gani Buenaventura</t>
  </si>
  <si>
    <t>Eddie Fajardo</t>
  </si>
  <si>
    <t>Lourdes Guevarra</t>
  </si>
  <si>
    <t>Maria Mercado Villanueva</t>
  </si>
  <si>
    <t>Eddie Ramos Enriquez</t>
  </si>
  <si>
    <t>Kath Fajardo</t>
  </si>
  <si>
    <t>Patricia Flores</t>
  </si>
  <si>
    <t>Antonio Tan</t>
  </si>
  <si>
    <t>Antonio Vega Enriquez</t>
  </si>
  <si>
    <t>Antonio Go Bondoc</t>
  </si>
  <si>
    <t>Rafael Sy Manalo</t>
  </si>
  <si>
    <t>Jose Chan Guevarra</t>
  </si>
  <si>
    <t>Neil Santiago Chua</t>
  </si>
  <si>
    <t>Elmer Sy Ignacio</t>
  </si>
  <si>
    <t>Manuel Mercado Evangelista</t>
  </si>
  <si>
    <t>Cristina Tuazon</t>
  </si>
  <si>
    <t>Alvin Santos Garcia</t>
  </si>
  <si>
    <t>Ronaldo Ramirez Macaraeg</t>
  </si>
  <si>
    <t>Alvin Hernandez</t>
  </si>
  <si>
    <t>Lorenzo Chan Bondoc</t>
  </si>
  <si>
    <t>Juan Reyes Lazo</t>
  </si>
  <si>
    <t>Corazon Aguilar Crisostomo</t>
  </si>
  <si>
    <t>Paolo Quiambao</t>
  </si>
  <si>
    <t>Taylor Ramirez</t>
  </si>
  <si>
    <t>Kim Garcia</t>
  </si>
  <si>
    <t>Larry Co</t>
  </si>
  <si>
    <t>Fernando Mercado Narvasa</t>
  </si>
  <si>
    <t>Teresa Soriano Ramos</t>
  </si>
  <si>
    <t>Lourdes Pascual</t>
  </si>
  <si>
    <t>Paolo Soriano Del Rosario</t>
  </si>
  <si>
    <t>Carmen Lacson</t>
  </si>
  <si>
    <t>Maricel Cruz Santos</t>
  </si>
  <si>
    <t>Annaliza Dela Cruz</t>
  </si>
  <si>
    <t>Avery Reyes Evangelista</t>
  </si>
  <si>
    <t>Teresa Fajardo</t>
  </si>
  <si>
    <t>Joselito Pascual Chua</t>
  </si>
  <si>
    <t>Samuel Buenaventura</t>
  </si>
  <si>
    <t>Violeta Diaz Miranda</t>
  </si>
  <si>
    <t>Mae Lim Vega</t>
  </si>
  <si>
    <t>Renato Lim Bayani</t>
  </si>
  <si>
    <t>Celine Zulueta</t>
  </si>
  <si>
    <t>Abigail Ocampo Chan</t>
  </si>
  <si>
    <t>Cristina Tan Quiambao</t>
  </si>
  <si>
    <t>Vanessa Fernandez Viray</t>
  </si>
  <si>
    <t>Vanessa Go Obispo</t>
  </si>
  <si>
    <t>Sue Uy Perez</t>
  </si>
  <si>
    <t>Pilar Fernandez Macapagal</t>
  </si>
  <si>
    <t>Rowena Diaz Torres</t>
  </si>
  <si>
    <t>Taylor Guerrero</t>
  </si>
  <si>
    <t>Oliver Panganiban</t>
  </si>
  <si>
    <t>Annaliza Fernandez Navarro</t>
  </si>
  <si>
    <t>Florinda Fernandez Mangubat</t>
  </si>
  <si>
    <t>Gregorio Vega Santiago</t>
  </si>
  <si>
    <t>Eduardo Lopez Sia</t>
  </si>
  <si>
    <t>Alvin Ramos Ramos</t>
  </si>
  <si>
    <t>Feliciano Garcia Reyes</t>
  </si>
  <si>
    <t>Gloria Castro Roque</t>
  </si>
  <si>
    <t>Kevin Ang Soriano</t>
  </si>
  <si>
    <t>Morgan Navarro</t>
  </si>
  <si>
    <t>Teresita Tuazon</t>
  </si>
  <si>
    <t>Abigail Aguilar Pascual</t>
  </si>
  <si>
    <t>Riley Uy Aquino</t>
  </si>
  <si>
    <t>Rosa Domingo Lopez</t>
  </si>
  <si>
    <t>Teresa Bagtas</t>
  </si>
  <si>
    <t>Nina Soriano Ocampo</t>
  </si>
  <si>
    <t>Maricel Navarro Ocampo</t>
  </si>
  <si>
    <t>Patricio Valencia</t>
  </si>
  <si>
    <t>Arnel Chan Macaraeg</t>
  </si>
  <si>
    <t>Jordan Buenaventura</t>
  </si>
  <si>
    <t>Nathan Torres Ocampo</t>
  </si>
  <si>
    <t>Michael Vergara</t>
  </si>
  <si>
    <t>Hope Garcia Ramirez</t>
  </si>
  <si>
    <t>Ivan Vega Ong</t>
  </si>
  <si>
    <t>Dennis Natividad</t>
  </si>
  <si>
    <t>Juan Elegado</t>
  </si>
  <si>
    <t>Riley Gonzales Lopez</t>
  </si>
  <si>
    <t>Rosalinda Chan Pascual</t>
  </si>
  <si>
    <t>Mae Solis</t>
  </si>
  <si>
    <t>Pilar Solis</t>
  </si>
  <si>
    <t>Fernando Ramos Mercado</t>
  </si>
  <si>
    <t>Queenie Mendoza Cruz</t>
  </si>
  <si>
    <t>Manuel Viray</t>
  </si>
  <si>
    <t>Pacita Bautista Guevarra</t>
  </si>
  <si>
    <t>Kim Ramirez Mercado</t>
  </si>
  <si>
    <t>Mylene Go Dela Cruz</t>
  </si>
  <si>
    <t>Ofelia Dela Cruz</t>
  </si>
  <si>
    <t>Jose Uy Garcia</t>
  </si>
  <si>
    <t>Efren Tan</t>
  </si>
  <si>
    <t>Oliver Garcia Estrada</t>
  </si>
  <si>
    <t>Xander Obispo</t>
  </si>
  <si>
    <t>Sam Jimenez</t>
  </si>
  <si>
    <t>Isabel Gonzales Figueroa</t>
  </si>
  <si>
    <t>Luisa Perez</t>
  </si>
  <si>
    <t>Hope Navarro Macapagal</t>
  </si>
  <si>
    <t>Gerald Diaz Figueroa</t>
  </si>
  <si>
    <t>Jamie Navarro Trinidad</t>
  </si>
  <si>
    <t>Grace Aguilar Manalo</t>
  </si>
  <si>
    <t>Eddie Umali</t>
  </si>
  <si>
    <t>Kristoffer Chua</t>
  </si>
  <si>
    <t>Yvonne Ignacio</t>
  </si>
  <si>
    <t>Maria Obispo</t>
  </si>
  <si>
    <t>Cameron Chan Flores</t>
  </si>
  <si>
    <t>Pacita Figueroa</t>
  </si>
  <si>
    <t>Aldrin Soriano Lim</t>
  </si>
  <si>
    <t>Samuel Santos Ignacio</t>
  </si>
  <si>
    <t>Jerome Tuazon</t>
  </si>
  <si>
    <t>Maribel Go Ang</t>
  </si>
  <si>
    <t>Marcelo Lopez Cueto</t>
  </si>
  <si>
    <t>Bryan Diaz Ramos</t>
  </si>
  <si>
    <t>Larry Tolentino</t>
  </si>
  <si>
    <t>Estrella Garcia Bagtas</t>
  </si>
  <si>
    <t>Carmen Bayani</t>
  </si>
  <si>
    <t>Cameron Ramos Hernandez</t>
  </si>
  <si>
    <t>Miguel Santiago Miranda</t>
  </si>
  <si>
    <t>Renato Lopez</t>
  </si>
  <si>
    <t>Jose Navarro Camacho</t>
  </si>
  <si>
    <t>Cardo Delos Reyes</t>
  </si>
  <si>
    <t>Aldrin Ramos Guevarra</t>
  </si>
  <si>
    <t>Karen Sy Evangelista</t>
  </si>
  <si>
    <t>Rafael Manalo</t>
  </si>
  <si>
    <t>Roy Chan Navarro</t>
  </si>
  <si>
    <t>Arnel Cruz</t>
  </si>
  <si>
    <t>Hope Domingo Vega</t>
  </si>
  <si>
    <t>Jordan Macapagal</t>
  </si>
  <si>
    <t>Bryan Ang Ong</t>
  </si>
  <si>
    <t>Natividad Garcia Solis</t>
  </si>
  <si>
    <t>Harold Cruz Ocampo</t>
  </si>
  <si>
    <t>Avery Elegado</t>
  </si>
  <si>
    <t>Kevin Santos Valencia</t>
  </si>
  <si>
    <t>Leonora Uy Tuazon</t>
  </si>
  <si>
    <t>Francis Ang Co</t>
  </si>
  <si>
    <t>Yvonne Uy Umali</t>
  </si>
  <si>
    <t>Violeta Fajardo</t>
  </si>
  <si>
    <t>Marcelo Flores Mercado</t>
  </si>
  <si>
    <t>Luisa Uy Fajardo</t>
  </si>
  <si>
    <t>Ferdi Roque</t>
  </si>
  <si>
    <t>Tess Gonzales Roque</t>
  </si>
  <si>
    <t>Mylene Soriano Diaz</t>
  </si>
  <si>
    <t>Taylor Sy Mercado</t>
  </si>
  <si>
    <t>Jose Viray</t>
  </si>
  <si>
    <t>Pilar Crisostomo</t>
  </si>
  <si>
    <t>Bong Diaz Corpuz</t>
  </si>
  <si>
    <t>Sam Ramos Soriano</t>
  </si>
  <si>
    <t>Rodel Ramos Castro</t>
  </si>
  <si>
    <t>Pete Santos Lim</t>
  </si>
  <si>
    <t>Teresita Domingo</t>
  </si>
  <si>
    <t>Ivan Aquino</t>
  </si>
  <si>
    <t>Paz Rivera</t>
  </si>
  <si>
    <t>Carmen Ang Wong</t>
  </si>
  <si>
    <t>Violeta Torres Ignacio</t>
  </si>
  <si>
    <t>Josephine Rivera Aquino</t>
  </si>
  <si>
    <t>Severino Lopez</t>
  </si>
  <si>
    <t>Cameron Santiago Chua</t>
  </si>
  <si>
    <t>Leonora Sy Aquino</t>
  </si>
  <si>
    <t>Teodoro Buenaventura</t>
  </si>
  <si>
    <t>Ian Ang Guerrero</t>
  </si>
  <si>
    <t>Diana Hernandez</t>
  </si>
  <si>
    <t>Gani Go Hernandez</t>
  </si>
  <si>
    <t>Joselito Reyes Ang</t>
  </si>
  <si>
    <t>Lourdes Valencia</t>
  </si>
  <si>
    <t>Gina Del Rosario</t>
  </si>
  <si>
    <t>Neil Ramos</t>
  </si>
  <si>
    <t>Isabel Aguilar Quiambao</t>
  </si>
  <si>
    <t>Queenie Dela Cruz</t>
  </si>
  <si>
    <t>Marcelo Go Ong</t>
  </si>
  <si>
    <t>Sarah Rivera Delos Reyes</t>
  </si>
  <si>
    <t>Isabel Bayani</t>
  </si>
  <si>
    <t>Rowena Lacson</t>
  </si>
  <si>
    <t>Roberto Sy Ocampo</t>
  </si>
  <si>
    <t>Warren Reyes Bondoc</t>
  </si>
  <si>
    <t>Samuel Vega Del Rosario</t>
  </si>
  <si>
    <t>Diana Manalang</t>
  </si>
  <si>
    <t>Kath Tan Aguilar</t>
  </si>
  <si>
    <t>Luisa Sy Ramos</t>
  </si>
  <si>
    <t>Abigail Bautista Bagtas</t>
  </si>
  <si>
    <t>Gani Tuazon</t>
  </si>
  <si>
    <t>Yvonne Pascual Elegado</t>
  </si>
  <si>
    <t>Annaliza Ramos Natividad</t>
  </si>
  <si>
    <t>Maricel Camacho</t>
  </si>
  <si>
    <t>Ana Domingo Cueto</t>
  </si>
  <si>
    <t>Danilo Navarro Yap</t>
  </si>
  <si>
    <t>Erlinda Lozano</t>
  </si>
  <si>
    <t>Aldrin Camacho</t>
  </si>
  <si>
    <t>Fernando Go Ramirez</t>
  </si>
  <si>
    <t>Karen Santiago</t>
  </si>
  <si>
    <t>Mae Domingo Fajardo</t>
  </si>
  <si>
    <t>Patricio Pascual Aguilar</t>
  </si>
  <si>
    <t>Nina Quiambao</t>
  </si>
  <si>
    <t>Ronaldo Vega Fernandez</t>
  </si>
  <si>
    <t>Luisa Fernandez Enriquez</t>
  </si>
  <si>
    <t>Tess Lopez Manalang</t>
  </si>
  <si>
    <t>Cardo Cueto</t>
  </si>
  <si>
    <t>Zeus Flores Yap</t>
  </si>
  <si>
    <t>Pilar Soriano Enriquez</t>
  </si>
  <si>
    <t>Grace Go Ong</t>
  </si>
  <si>
    <t>Nathan Mangubat</t>
  </si>
  <si>
    <t>Ofelia Navarro</t>
  </si>
  <si>
    <t>Alvin Villanueva</t>
  </si>
  <si>
    <t>Tess Pascual Zulueta</t>
  </si>
  <si>
    <t>Elena Bautista</t>
  </si>
  <si>
    <t>Eva Sy Salazar</t>
  </si>
  <si>
    <t>Riley Bayani</t>
  </si>
  <si>
    <t>Elena Gonzales Elegado</t>
  </si>
  <si>
    <t>Alex Dela Cruz</t>
  </si>
  <si>
    <t>Gani Garcia Hilario</t>
  </si>
  <si>
    <t>Imelda Estrada</t>
  </si>
  <si>
    <t>Larry Roque</t>
  </si>
  <si>
    <t>Morgan Ramirez</t>
  </si>
  <si>
    <t>Ramon Ramos Delos Reyes</t>
  </si>
  <si>
    <t>Elena Fernandez Jacinto</t>
  </si>
  <si>
    <t>Ronaldo Gonzales Sia</t>
  </si>
  <si>
    <t>Aldrin Corpuz</t>
  </si>
  <si>
    <t>Fernando Lim Evangelista</t>
  </si>
  <si>
    <t>Manuel Quiambao</t>
  </si>
  <si>
    <t>Cristina Lazo</t>
  </si>
  <si>
    <t>Carlos Ong</t>
  </si>
  <si>
    <t>Victor Pascual Reyes</t>
  </si>
  <si>
    <t>Violeta Chan</t>
  </si>
  <si>
    <t>Aileen Perez</t>
  </si>
  <si>
    <t>Eduardo Buenaventura</t>
  </si>
  <si>
    <t>Teresa Jacinto</t>
  </si>
  <si>
    <t>Ernesto Tan Jimenez</t>
  </si>
  <si>
    <t>Carlos Uy Diaz</t>
  </si>
  <si>
    <t>Harold Ang Bondoc</t>
  </si>
  <si>
    <t>Morgan Mendoza Camacho</t>
  </si>
  <si>
    <t>Crisanto Castro</t>
  </si>
  <si>
    <t>Herminia Zulueta</t>
  </si>
  <si>
    <t>Vanessa Co</t>
  </si>
  <si>
    <t>Maricel Soriano Fernandez</t>
  </si>
  <si>
    <t>Sam Sy Sia</t>
  </si>
  <si>
    <t>Rosa Ramos</t>
  </si>
  <si>
    <t>Faith Ocampo Roque</t>
  </si>
  <si>
    <t>Ramon Torres Ang</t>
  </si>
  <si>
    <t>Willy Ramirez Corpuz</t>
  </si>
  <si>
    <t>Wendy Go Ang</t>
  </si>
  <si>
    <t>Pilar Ang Corpuz</t>
  </si>
  <si>
    <t>Joselito Crisostomo</t>
  </si>
  <si>
    <t>Morgan Lim</t>
  </si>
  <si>
    <t>Isabel Ocampo Mercado</t>
  </si>
  <si>
    <t>Rachel Ang Tan</t>
  </si>
  <si>
    <t>Ian Fajardo</t>
  </si>
  <si>
    <t>Yvonne Ramirez Quiambao</t>
  </si>
  <si>
    <t>Belinda Castro Ramirez</t>
  </si>
  <si>
    <t>Gani Dela Torre</t>
  </si>
  <si>
    <t>Teresita Sy Yap</t>
  </si>
  <si>
    <t>Christian Garcia Sy</t>
  </si>
  <si>
    <t>Grace Guevarra</t>
  </si>
  <si>
    <t>Paz Macapagal</t>
  </si>
  <si>
    <t>Ivy Elegado</t>
  </si>
  <si>
    <t>Ronaldo Navarro Flores</t>
  </si>
  <si>
    <t>Nathan Rivera San Pedro</t>
  </si>
  <si>
    <t>Daisy Panganiban</t>
  </si>
  <si>
    <t>Alvin Manalang</t>
  </si>
  <si>
    <t>Maribel Torres Viray</t>
  </si>
  <si>
    <t>Mae Go Evangelista</t>
  </si>
  <si>
    <t>Juan Miranda</t>
  </si>
  <si>
    <t>Danilo Umali</t>
  </si>
  <si>
    <t>Warren Soriano</t>
  </si>
  <si>
    <t>Rowena Bautista</t>
  </si>
  <si>
    <t>Jessa Go Narvasa</t>
  </si>
  <si>
    <t>Queenie Reyes Perez</t>
  </si>
  <si>
    <t>Danilo Reyes Dalisay</t>
  </si>
  <si>
    <t>Jerome Uy Cueto</t>
  </si>
  <si>
    <t>Fernando Ramos Natividad</t>
  </si>
  <si>
    <t>Maricel Soriano Lacson</t>
  </si>
  <si>
    <t>Cardo Jimenez</t>
  </si>
  <si>
    <t>Fernando Fernandez Hilario</t>
  </si>
  <si>
    <t>Gregorio Lopez Jimenez</t>
  </si>
  <si>
    <t>Annaliza Lim Fajardo</t>
  </si>
  <si>
    <t>Mae Zulueta</t>
  </si>
  <si>
    <t>Maricel Pascual Jacinto</t>
  </si>
  <si>
    <t>Carlos Diaz Crisostomo</t>
  </si>
  <si>
    <t>Wendy Santiago San Pedro</t>
  </si>
  <si>
    <t>Rosalinda Santiago Evangelista</t>
  </si>
  <si>
    <t>Vicente Lopez Narvasa</t>
  </si>
  <si>
    <t>Eduardo Lopez Soriano</t>
  </si>
  <si>
    <t>Antonio Dela Torre</t>
  </si>
  <si>
    <t>Cameron Fernandez Corpuz</t>
  </si>
  <si>
    <t>Ramon Aguilar</t>
  </si>
  <si>
    <t>Mark Castro Lozano</t>
  </si>
  <si>
    <t>Nathan Manalang</t>
  </si>
  <si>
    <t>Avery Dela Torre</t>
  </si>
  <si>
    <t>Efren Viray</t>
  </si>
  <si>
    <t>Violeta Umali</t>
  </si>
  <si>
    <t>Lea Sy Castro</t>
  </si>
  <si>
    <t>Florinda Ang Bondoc</t>
  </si>
  <si>
    <t>Karen Ramirez Lacson</t>
  </si>
  <si>
    <t>Teodoro Del Rosario</t>
  </si>
  <si>
    <t>Juan Sy Uy</t>
  </si>
  <si>
    <t>Cristina Estrada</t>
  </si>
  <si>
    <t>Avery Hernandez</t>
  </si>
  <si>
    <t>Carmen Garcia Natividad</t>
  </si>
  <si>
    <t>Jordan Bondoc</t>
  </si>
  <si>
    <t>Gani Miranda</t>
  </si>
  <si>
    <t>Rachel Macaraeg</t>
  </si>
  <si>
    <t>Timothy Diaz Aguilar</t>
  </si>
  <si>
    <t>Leonard Hilario</t>
  </si>
  <si>
    <t>Efren Delmendo</t>
  </si>
  <si>
    <t>Nina Santiago Mendoza</t>
  </si>
  <si>
    <t>Maria Santos Macapagal</t>
  </si>
  <si>
    <t>Eddie Viray</t>
  </si>
  <si>
    <t>Morgan Soriano Soriano</t>
  </si>
  <si>
    <t>Maricel Pascual Manalo</t>
  </si>
  <si>
    <t>Paolo Wong</t>
  </si>
  <si>
    <t>Jose Mendoza Sia</t>
  </si>
  <si>
    <t>Violeta Go Santiago</t>
  </si>
  <si>
    <t>Rosa Crisostomo</t>
  </si>
  <si>
    <t>Vicente Mercado Delmendo</t>
  </si>
  <si>
    <t>Jerome Soriano Bondoc</t>
  </si>
  <si>
    <t>Ian Ignacio</t>
  </si>
  <si>
    <t>Erlinda Del Rosario</t>
  </si>
  <si>
    <t>Gloria Ocampo Hernandez</t>
  </si>
  <si>
    <t>Teresa Chan Solis</t>
  </si>
  <si>
    <t>Diana Ocampo Aguilar</t>
  </si>
  <si>
    <t>Rowena Figueroa</t>
  </si>
  <si>
    <t>Luisa Ramirez Tuazon</t>
  </si>
  <si>
    <t>Herminia Tan Fernandez</t>
  </si>
  <si>
    <t>Samuel Bautista Yap</t>
  </si>
  <si>
    <t>Jose Gonzales Estrada</t>
  </si>
  <si>
    <t>Carmen Uy Dalisay</t>
  </si>
  <si>
    <t>Hope Mercado</t>
  </si>
  <si>
    <t>Hernando Sy</t>
  </si>
  <si>
    <t>Bong Guevarra</t>
  </si>
  <si>
    <t>Bea Castro Cruz</t>
  </si>
  <si>
    <t>Efren Co</t>
  </si>
  <si>
    <t>Warren Dalisay</t>
  </si>
  <si>
    <t>Sue Garcia Hilario</t>
  </si>
  <si>
    <t>Gregorio Cruz</t>
  </si>
  <si>
    <t>Morgan Flores</t>
  </si>
  <si>
    <t>Bea Camacho</t>
  </si>
  <si>
    <t>Rosalinda Bautista Rivera</t>
  </si>
  <si>
    <t>Carmen Garcia Hilario</t>
  </si>
  <si>
    <t>Juan Fernandez Mangubat</t>
  </si>
  <si>
    <t>Hazel Cueto</t>
  </si>
  <si>
    <t>Leonard Ang</t>
  </si>
  <si>
    <t>Patricia Lazo</t>
  </si>
  <si>
    <t>Ismael Ocampo Go</t>
  </si>
  <si>
    <t>Ismael Ignacio</t>
  </si>
  <si>
    <t>Eva Reyes</t>
  </si>
  <si>
    <t>Imelda Rivera</t>
  </si>
  <si>
    <t>Crisanto Rivera Vega</t>
  </si>
  <si>
    <t>Gloria Soriano Perez</t>
  </si>
  <si>
    <t>Gina Ocampo</t>
  </si>
  <si>
    <t>Danilo Flores Macapagal</t>
  </si>
  <si>
    <t>Belinda Delmendo</t>
  </si>
  <si>
    <t>Maria Soriano Ong</t>
  </si>
  <si>
    <t>Arnel Mendoza Flores</t>
  </si>
  <si>
    <t>Yvonne Ramirez Mercado</t>
  </si>
  <si>
    <t>Teresa Navarro Aquino</t>
  </si>
  <si>
    <t>Ronaldo Go Estrada</t>
  </si>
  <si>
    <t>Natividad Tan Santos</t>
  </si>
  <si>
    <t>Cherry San Pedro</t>
  </si>
  <si>
    <t>Dennis Ramos Natividad</t>
  </si>
  <si>
    <t>Sue Mendoza Sy</t>
  </si>
  <si>
    <t>Vince Aguilar</t>
  </si>
  <si>
    <t>Jaime Bautista Dalisay</t>
  </si>
  <si>
    <t>Maricel Manalo</t>
  </si>
  <si>
    <t>Antonio Go Tuazon</t>
  </si>
  <si>
    <t>Gina Fernandez Hernandez</t>
  </si>
  <si>
    <t>Efren Fernandez Santos</t>
  </si>
  <si>
    <t>Isabel Aguilar Enriquez</t>
  </si>
  <si>
    <t>Teodoro Aguilar</t>
  </si>
  <si>
    <t>Carmen Bautista Buenaventura</t>
  </si>
  <si>
    <t>Lorenzo Mendoza Narvasa</t>
  </si>
  <si>
    <t>Luisa Bautista Mendoza</t>
  </si>
  <si>
    <t>Gerald Go</t>
  </si>
  <si>
    <t>Annaliza Delmendo</t>
  </si>
  <si>
    <t>Severino Fajardo</t>
  </si>
  <si>
    <t>Nathan Umali</t>
  </si>
  <si>
    <t>Diosdado Mendoza Tan</t>
  </si>
  <si>
    <t>Cristina Bautista Go</t>
  </si>
  <si>
    <t>Queenie Fajardo</t>
  </si>
  <si>
    <t>Patricia Ang Dela Cruz</t>
  </si>
  <si>
    <t>Lourdes Ramirez Jimenez</t>
  </si>
  <si>
    <t>Crisanto Torres Umali</t>
  </si>
  <si>
    <t>Casey Delmendo</t>
  </si>
  <si>
    <t>Manuel Pascual Uy</t>
  </si>
  <si>
    <t>Jose Gonzales Diaz</t>
  </si>
  <si>
    <t>Teresa Torres Navarro</t>
  </si>
  <si>
    <t>Gloria Ramirez Delmendo</t>
  </si>
  <si>
    <t>Juan Lopez Natividad</t>
  </si>
  <si>
    <t>Cristina Domingo</t>
  </si>
  <si>
    <t>Lea Torres Ong</t>
  </si>
  <si>
    <t>Patricia Aguilar Trinidad</t>
  </si>
  <si>
    <t>Ana Cruz Del Rosario</t>
  </si>
  <si>
    <t>Teresita Gonzales Trinidad</t>
  </si>
  <si>
    <t>Maribel Wong</t>
  </si>
  <si>
    <t>Miguel Ocampo Hernandez</t>
  </si>
  <si>
    <t>Sue Vega Corpuz</t>
  </si>
  <si>
    <t>Yvonne Viray</t>
  </si>
  <si>
    <t>Sonny Solis</t>
  </si>
  <si>
    <t>Estrella Ang Dalisay</t>
  </si>
  <si>
    <t>Bong Ramos Santos</t>
  </si>
  <si>
    <t>Carmen Cruz Sy</t>
  </si>
  <si>
    <t>Eduardo Vega</t>
  </si>
  <si>
    <t>Rodel Wong</t>
  </si>
  <si>
    <t>Aldrin Mendoza Hilario</t>
  </si>
  <si>
    <t>Jaime Aguilar Narvasa</t>
  </si>
  <si>
    <t>Lea Ocampo</t>
  </si>
  <si>
    <t>Ismael Mercado Aquino</t>
  </si>
  <si>
    <t>Samuel Figueroa</t>
  </si>
  <si>
    <t>Ronaldo Sy Narvasa</t>
  </si>
  <si>
    <t>Rowena Diaz Yap</t>
  </si>
  <si>
    <t>Faith Diaz Tuazon</t>
  </si>
  <si>
    <t>Kevin Castro</t>
  </si>
  <si>
    <t>Celine Diaz</t>
  </si>
  <si>
    <t>Taylor Rivera Ocampo</t>
  </si>
  <si>
    <t>Diosdado Ocampo Perez</t>
  </si>
  <si>
    <t>Rodel Soriano</t>
  </si>
  <si>
    <t>Maribel Fajardo</t>
  </si>
  <si>
    <t>Roberto Go Sy</t>
  </si>
  <si>
    <t>Maricel Bautista San Pedro</t>
  </si>
  <si>
    <t>Grace Obispo</t>
  </si>
  <si>
    <t>Miguel Diaz</t>
  </si>
  <si>
    <t>Paolo Navarro Macapagal</t>
  </si>
  <si>
    <t>Gloria Chan</t>
  </si>
  <si>
    <t>Crisanto Bautista Cueto</t>
  </si>
  <si>
    <t>Elmer Mendoza Domingo</t>
  </si>
  <si>
    <t>Antonio Fernandez Villanueva</t>
  </si>
  <si>
    <t>Antonio Ramirez Chua</t>
  </si>
  <si>
    <t>Neil Co</t>
  </si>
  <si>
    <t>Arnel Dela Torre</t>
  </si>
  <si>
    <t>Riley Ocampo Tan</t>
  </si>
  <si>
    <t>Cameron Domingo Bautista</t>
  </si>
  <si>
    <t>Avery Panganiban</t>
  </si>
  <si>
    <t>Annaliza Cueto</t>
  </si>
  <si>
    <t>Elena Chua</t>
  </si>
  <si>
    <t>Imelda Trinidad</t>
  </si>
  <si>
    <t>Carlos Natividad</t>
  </si>
  <si>
    <t>Paolo Sy Ramos</t>
  </si>
  <si>
    <t>Imelda Soriano Lazo</t>
  </si>
  <si>
    <t>Jamie Tan</t>
  </si>
  <si>
    <t>Rodel Guevarra</t>
  </si>
  <si>
    <t>Paz Cruz Dela Cruz</t>
  </si>
  <si>
    <t>Wendy Pascual Rivera</t>
  </si>
  <si>
    <t>Morgan Santiago</t>
  </si>
  <si>
    <t>Carmen Ramos Perez</t>
  </si>
  <si>
    <t>Jaime Reyes Ramirez</t>
  </si>
  <si>
    <t>Daisy Dela Cruz</t>
  </si>
  <si>
    <t>Danilo Torres Bautista</t>
  </si>
  <si>
    <t>Efren Lacson</t>
  </si>
  <si>
    <t>Patricia Bautista Castro</t>
  </si>
  <si>
    <t>Annaliza San Pedro</t>
  </si>
  <si>
    <t>Maria Fernandez Mangubat</t>
  </si>
  <si>
    <t>Carlos Mendoza Enriquez</t>
  </si>
  <si>
    <t>Fernando Aquino</t>
  </si>
  <si>
    <t>Hope Ocampo Enriquez</t>
  </si>
  <si>
    <t>Casey Buenaventura</t>
  </si>
  <si>
    <t>Victor Manalang</t>
  </si>
  <si>
    <t>Ana Roque</t>
  </si>
  <si>
    <t>Danilo Manalang</t>
  </si>
  <si>
    <t>Kath Tan Camacho</t>
  </si>
  <si>
    <t>Lorenzo Domingo Natividad</t>
  </si>
  <si>
    <t>Hernando Diaz Bondoc</t>
  </si>
  <si>
    <t>Leonora Domingo Macapagal</t>
  </si>
  <si>
    <t>Teresita Ang Elegado</t>
  </si>
  <si>
    <t>Daisy Santos Sia</t>
  </si>
  <si>
    <t>Kristoffer Obispo</t>
  </si>
  <si>
    <t>Efren Tan Bautista</t>
  </si>
  <si>
    <t>Lea Garcia Bondoc</t>
  </si>
  <si>
    <t>Avery Corpuz</t>
  </si>
  <si>
    <t>Violeta Lopez Ramos</t>
  </si>
  <si>
    <t>Jose Mendoza Guerrero</t>
  </si>
  <si>
    <t>Jamie Go Vergara</t>
  </si>
  <si>
    <t>Rodel Navarro Soriano</t>
  </si>
  <si>
    <t>Danilo Mercado Chua</t>
  </si>
  <si>
    <t>Kristina Enriquez</t>
  </si>
  <si>
    <t>Nina Ramirez</t>
  </si>
  <si>
    <t>Carmen Santiago Bondoc</t>
  </si>
  <si>
    <t>Patricia Enriquez</t>
  </si>
  <si>
    <t>Belinda Torres Lazo</t>
  </si>
  <si>
    <t>Jacqueline Lim Ocampo</t>
  </si>
  <si>
    <t>Victor Uy Viray</t>
  </si>
  <si>
    <t>Ernesto Pascual Evangelista</t>
  </si>
  <si>
    <t>Maria Uy</t>
  </si>
  <si>
    <t>Casey Navarro Sy</t>
  </si>
  <si>
    <t>Avery Miranda</t>
  </si>
  <si>
    <t>Joselito Mendoza Mercado</t>
  </si>
  <si>
    <t>Jose Guevarra</t>
  </si>
  <si>
    <t>Jacqueline Santiago Vega</t>
  </si>
  <si>
    <t>Gani Sy Umali</t>
  </si>
  <si>
    <t>Cameron Uy Pascual</t>
  </si>
  <si>
    <t>Maricel Sy Flores</t>
  </si>
  <si>
    <t>Leonard Santiago Narvasa</t>
  </si>
  <si>
    <t>Kevin Cueto</t>
  </si>
  <si>
    <t>Danilo Vega</t>
  </si>
  <si>
    <t>Yvonne Uy</t>
  </si>
  <si>
    <t>Fe Sy Mendoza</t>
  </si>
  <si>
    <t>Riley Flores Bayani</t>
  </si>
  <si>
    <t>Casey Miranda</t>
  </si>
  <si>
    <t>Gina Sy Wong</t>
  </si>
  <si>
    <t>Sonny Bautista Perez</t>
  </si>
  <si>
    <t>Maricel Ang Cueto</t>
  </si>
  <si>
    <t>Eva Salazar</t>
  </si>
  <si>
    <t>Danilo Camacho</t>
  </si>
  <si>
    <t>Patricia Garcia Gonzales</t>
  </si>
  <si>
    <t>Iris Santos Elegado</t>
  </si>
  <si>
    <t>Ferdi Aguilar Aquino</t>
  </si>
  <si>
    <t>Sarah Aguilar Sy</t>
  </si>
  <si>
    <t>Herminia Cruz Dela Cruz</t>
  </si>
  <si>
    <t>Christian Vega Narvasa</t>
  </si>
  <si>
    <t>Maria Bautista Villanueva</t>
  </si>
  <si>
    <t>Gloria Wong</t>
  </si>
  <si>
    <t>Manuel Torres Macaraeg</t>
  </si>
  <si>
    <t>Maricel Go Co</t>
  </si>
  <si>
    <t>Teresita Torres Ocampo</t>
  </si>
  <si>
    <t>Lourdes Soriano Manalo</t>
  </si>
  <si>
    <t>Bong Tan Cueto</t>
  </si>
  <si>
    <t>Kristoffer Vega</t>
  </si>
  <si>
    <t>Maricel Tan Ramirez</t>
  </si>
  <si>
    <t>Eva Hilario</t>
  </si>
  <si>
    <t>Hernando Roque</t>
  </si>
  <si>
    <t>Hernando Ramos Castro</t>
  </si>
  <si>
    <t>Kath Jacinto</t>
  </si>
  <si>
    <t>Sue Manalang</t>
  </si>
  <si>
    <t>Manuel Gonzales Hernandez</t>
  </si>
  <si>
    <t>Queenie Lim</t>
  </si>
  <si>
    <t>Ivy Aguilar Macaraeg</t>
  </si>
  <si>
    <t>Natividad Castro Corpuz</t>
  </si>
  <si>
    <t>Aileen Lim Macapagal</t>
  </si>
  <si>
    <t>Efren Ramirez Guerrero</t>
  </si>
  <si>
    <t>Jerome Ocampo Macapagal</t>
  </si>
  <si>
    <t>Pete Rivera Flores</t>
  </si>
  <si>
    <t>Timothy Castro Tolentino</t>
  </si>
  <si>
    <t>Gina Ramos Delmendo</t>
  </si>
  <si>
    <t>Gloria Santos</t>
  </si>
  <si>
    <t>Isabel Ang Tolentino</t>
  </si>
  <si>
    <t>Danilo Estrada</t>
  </si>
  <si>
    <t>Ronaldo Soriano Cruz</t>
  </si>
  <si>
    <t>Rosa Garcia Perez</t>
  </si>
  <si>
    <t>Kevin Sy Narvasa</t>
  </si>
  <si>
    <t>Fernando Gonzales Torres</t>
  </si>
  <si>
    <t>Luisa Trinidad</t>
  </si>
  <si>
    <t>Antonio Evangelista</t>
  </si>
  <si>
    <t>Roberto Mercado Mangubat</t>
  </si>
  <si>
    <t>Aldrin San Pedro</t>
  </si>
  <si>
    <t>Taylor Torres Macaraeg</t>
  </si>
  <si>
    <t>Oscar Ramos Wong</t>
  </si>
  <si>
    <t>Gloria Tan Sia</t>
  </si>
  <si>
    <t>Lorenzo Rivera</t>
  </si>
  <si>
    <t>Jose Castro Castro</t>
  </si>
  <si>
    <t>Teodoro Mercado Solis</t>
  </si>
  <si>
    <t>Larry Lopez Castro</t>
  </si>
  <si>
    <t>Cameron Perez</t>
  </si>
  <si>
    <t>Warren Ramos</t>
  </si>
  <si>
    <t>Francis Bondoc</t>
  </si>
  <si>
    <t>Manuel Bayani</t>
  </si>
  <si>
    <t>Vicente Sy Del Rosario</t>
  </si>
  <si>
    <t>Bong Buenaventura</t>
  </si>
  <si>
    <t>Herminia Uy Bautista</t>
  </si>
  <si>
    <t>Cherry Cruz Trinidad</t>
  </si>
  <si>
    <t>Victor Pascual Tan</t>
  </si>
  <si>
    <t>Aileen Chan Vergara</t>
  </si>
  <si>
    <t>Diosdado Ramos Salazar</t>
  </si>
  <si>
    <t>Faith Navarro Macapagal</t>
  </si>
  <si>
    <t>Rowena Santiago</t>
  </si>
  <si>
    <t>Casey Fernandez Lopez</t>
  </si>
  <si>
    <t>Rodel Panganiban</t>
  </si>
  <si>
    <t>Gerald Ocampo Roque</t>
  </si>
  <si>
    <t>Isabel Uy Hernandez</t>
  </si>
  <si>
    <t>Rowena Soriano</t>
  </si>
  <si>
    <t>Mylene Jacinto</t>
  </si>
  <si>
    <t>Cardo Santiago Soriano</t>
  </si>
  <si>
    <t>Paz Reyes Manalo</t>
  </si>
  <si>
    <t>Taylor Castro Dela Torre</t>
  </si>
  <si>
    <t>Herminia Ramirez Lopez</t>
  </si>
  <si>
    <t>Joselito Obispo</t>
  </si>
  <si>
    <t>Aldrin Uy</t>
  </si>
  <si>
    <t>Morgan Chan Villanueva</t>
  </si>
  <si>
    <t>Estrella Santiago</t>
  </si>
  <si>
    <t>Rosa Santos Tolentino</t>
  </si>
  <si>
    <t>Lourdes Santiago Panganiban</t>
  </si>
  <si>
    <t>Ramon Castro Roque</t>
  </si>
  <si>
    <t>Rafael Bautista Uy</t>
  </si>
  <si>
    <t>Alvin Santos Bondoc</t>
  </si>
  <si>
    <t>Beatriz Ocampo Elegado</t>
  </si>
  <si>
    <t>Taylor Gonzales Santos</t>
  </si>
  <si>
    <t>Tina Sy Domingo</t>
  </si>
  <si>
    <t>Manuel Santos Cruz</t>
  </si>
  <si>
    <t>Pete Chua</t>
  </si>
  <si>
    <t>Danilo Santiago Wong</t>
  </si>
  <si>
    <t>Kath Wong</t>
  </si>
  <si>
    <t>Rowena Natividad</t>
  </si>
  <si>
    <t>Florinda Mendoza</t>
  </si>
  <si>
    <t>Miguel Lopez Miranda</t>
  </si>
  <si>
    <t>Annaliza Castro Tolentino</t>
  </si>
  <si>
    <t>Fernando Quiambao</t>
  </si>
  <si>
    <t>Ismael Lopez Fernandez</t>
  </si>
  <si>
    <t>Dennis Gonzales Wong</t>
  </si>
  <si>
    <t>Hope Pascual Wong</t>
  </si>
  <si>
    <t>Joy Vega Corpuz</t>
  </si>
  <si>
    <t>Rica Aguilar Rivera</t>
  </si>
  <si>
    <t>Efren Mangubat</t>
  </si>
  <si>
    <t>Victor Aguilar Valencia</t>
  </si>
  <si>
    <t>Antonio Tan Obispo</t>
  </si>
  <si>
    <t>Hazel Santos Mangubat</t>
  </si>
  <si>
    <t>Antonio Aquino</t>
  </si>
  <si>
    <t>Mylene Ang Umali</t>
  </si>
  <si>
    <t>Ivy Sia</t>
  </si>
  <si>
    <t>Joselito Flores</t>
  </si>
  <si>
    <t>Arnel Mendoza Macapagal</t>
  </si>
  <si>
    <t>Danilo Tan</t>
  </si>
  <si>
    <t>Leonora Elegado</t>
  </si>
  <si>
    <t>Teresa Soriano Hilario</t>
  </si>
  <si>
    <t>Isabel Guerrero</t>
  </si>
  <si>
    <t>Marcelo Mendoza Guevarra</t>
  </si>
  <si>
    <t>Zeus Ong</t>
  </si>
  <si>
    <t>Danilo Go Jacinto</t>
  </si>
  <si>
    <t>Mark Ramirez Del Rosario</t>
  </si>
  <si>
    <t>Danilo Tan San Pedro</t>
  </si>
  <si>
    <t>Nicanor Fernandez</t>
  </si>
  <si>
    <t>Erlinda Corpuz</t>
  </si>
  <si>
    <t>Cameron Jacinto</t>
  </si>
  <si>
    <t>Florinda Cruz Aguilar</t>
  </si>
  <si>
    <t>Carmen Gonzales Dela Cruz</t>
  </si>
  <si>
    <t>Rowena Ocampo Narvasa</t>
  </si>
  <si>
    <t>Diana Reyes Go</t>
  </si>
  <si>
    <t>Lorenzo Tan Domingo</t>
  </si>
  <si>
    <t>Carlos Dalisay</t>
  </si>
  <si>
    <t>Cameron Del Rosario</t>
  </si>
  <si>
    <t>Warren Pascual Ramos</t>
  </si>
  <si>
    <t>Ronaldo Rivera Jimenez</t>
  </si>
  <si>
    <t>Miguel Chan</t>
  </si>
  <si>
    <t>Ian Aguilar Miranda</t>
  </si>
  <si>
    <t>Ian Zamora</t>
  </si>
  <si>
    <t>Rodel Ang Torres</t>
  </si>
  <si>
    <t>Isabel Lopez</t>
  </si>
  <si>
    <t>Grace Cruz Pascual</t>
  </si>
  <si>
    <t>Bea Garcia</t>
  </si>
  <si>
    <t>Leonard Cruz Obispo</t>
  </si>
  <si>
    <t>Alex Wong</t>
  </si>
  <si>
    <t>Teresa Mendoza Umali</t>
  </si>
  <si>
    <t>Antonio Soriano Soriano</t>
  </si>
  <si>
    <t>Riley Zulueta</t>
  </si>
  <si>
    <t>Danilo Lopez Bayani</t>
  </si>
  <si>
    <t>Hernando Gonzales Crisostomo</t>
  </si>
  <si>
    <t>Pilar Lim Roque</t>
  </si>
  <si>
    <t>Crisanto Soriano Figueroa</t>
  </si>
  <si>
    <t>Tess Ang Miranda</t>
  </si>
  <si>
    <t>Ulysses Gonzales Macapagal</t>
  </si>
  <si>
    <t>Severino Go Panganiban</t>
  </si>
  <si>
    <t>Miguel Gonzales</t>
  </si>
  <si>
    <t>Rowena Hilario</t>
  </si>
  <si>
    <t>Rosalinda Fernandez Chua</t>
  </si>
  <si>
    <t>Elmer Diaz</t>
  </si>
  <si>
    <t>Ramon Chan Ang</t>
  </si>
  <si>
    <t>Rosa Mendoza</t>
  </si>
  <si>
    <t>Samuel Santiago Cueto</t>
  </si>
  <si>
    <t>Juan Diaz</t>
  </si>
  <si>
    <t>Lourdes Domingo</t>
  </si>
  <si>
    <t>Jacqueline Ang Bondoc</t>
  </si>
  <si>
    <t>Celine Aguilar Go</t>
  </si>
  <si>
    <t>Erlinda Narvasa</t>
  </si>
  <si>
    <t>Rowena Gonzales</t>
  </si>
  <si>
    <t>Kristina Manalo</t>
  </si>
  <si>
    <t>Lourdes Sy Hernandez</t>
  </si>
  <si>
    <t>Eva Ramirez Figueroa</t>
  </si>
  <si>
    <t>Teresita Guevarra</t>
  </si>
  <si>
    <t>Imelda Dalisay</t>
  </si>
  <si>
    <t>Joy Pascual Mercado</t>
  </si>
  <si>
    <t>Rosa Lopez Obispo</t>
  </si>
  <si>
    <t>Ian Mercado</t>
  </si>
  <si>
    <t>Carlos Gonzales Macapagal</t>
  </si>
  <si>
    <t>Mae Macapagal</t>
  </si>
  <si>
    <t>Eddie Ocampo Estrada</t>
  </si>
  <si>
    <t>Rosalinda Zamora</t>
  </si>
  <si>
    <t>Natividad Mendoza Pascual</t>
  </si>
  <si>
    <t>Marcelo Crisostomo</t>
  </si>
  <si>
    <t>Rowena Torres Viray</t>
  </si>
  <si>
    <t>Elena Domingo Navarro</t>
  </si>
  <si>
    <t>Leonard Santiago Pascual</t>
  </si>
  <si>
    <t>Oscar Go</t>
  </si>
  <si>
    <t>Lourdes Lozano</t>
  </si>
  <si>
    <t>Isabel Ramirez Fajardo</t>
  </si>
  <si>
    <t>Elena Macapagal</t>
  </si>
  <si>
    <t>Fernando Fernandez Sia</t>
  </si>
  <si>
    <t>Oscar Lopez Sy</t>
  </si>
  <si>
    <t>Rowena Wong</t>
  </si>
  <si>
    <t>Vicente Estrada</t>
  </si>
  <si>
    <t>Teresa Cruz Gonzales</t>
  </si>
  <si>
    <t>Tess Figueroa</t>
  </si>
  <si>
    <t>Elmer Cruz</t>
  </si>
  <si>
    <t>Rica Castro</t>
  </si>
  <si>
    <t>Daisy Guevarra</t>
  </si>
  <si>
    <t>Neil Sy Co</t>
  </si>
  <si>
    <t>Nicanor Torres Guevarra</t>
  </si>
  <si>
    <t>Hazel Aguilar Rivera</t>
  </si>
  <si>
    <t>Bryan Sy</t>
  </si>
  <si>
    <t>Crisanto Mendoza Narvasa</t>
  </si>
  <si>
    <t>Manuel Roque</t>
  </si>
  <si>
    <t>Antonio Go Natividad</t>
  </si>
  <si>
    <t>Belinda Fernandez Chan</t>
  </si>
  <si>
    <t>Celine Hernandez</t>
  </si>
  <si>
    <t>Isabel Aquino</t>
  </si>
  <si>
    <t>Timothy Bautista Aquino</t>
  </si>
  <si>
    <t>Diosdado Sia</t>
  </si>
  <si>
    <t>Miguel Buenaventura</t>
  </si>
  <si>
    <t>Xander Diaz</t>
  </si>
  <si>
    <t>Luisa Uy</t>
  </si>
  <si>
    <t>Efren Ocampo Santos</t>
  </si>
  <si>
    <t>Roberto Mendoza Soriano</t>
  </si>
  <si>
    <t>Celine Corpuz</t>
  </si>
  <si>
    <t>Nicanor Santiago Jimenez</t>
  </si>
  <si>
    <t>Fernando Solis</t>
  </si>
  <si>
    <t>Francis Aguilar Villanueva</t>
  </si>
  <si>
    <t>Teresita Ang Suarez</t>
  </si>
  <si>
    <t>Warren Rivera Viray</t>
  </si>
  <si>
    <t>Cameron Guevarra</t>
  </si>
  <si>
    <t>Bernardo Umali</t>
  </si>
  <si>
    <t>Cristina Cueto</t>
  </si>
  <si>
    <t>Manuel Domingo Fajardo</t>
  </si>
  <si>
    <t>Gloria Flores Suarez</t>
  </si>
  <si>
    <t>Aileen Mendoza Ignacio</t>
  </si>
  <si>
    <t>Arnel Cruz Suarez</t>
  </si>
  <si>
    <t>Cristina Santos Buenaventura</t>
  </si>
  <si>
    <t>Michael Castro Ignacio</t>
  </si>
  <si>
    <t>Antonio Quiambao</t>
  </si>
  <si>
    <t>Miguel Santiago Fajardo</t>
  </si>
  <si>
    <t>Oscar Vega Aguilar</t>
  </si>
  <si>
    <t>Karen Pascual</t>
  </si>
  <si>
    <t>Hazel Flores Del Rosario</t>
  </si>
  <si>
    <t>Gloria Solis</t>
  </si>
  <si>
    <t>Casey Tolentino</t>
  </si>
  <si>
    <t>Wilfredo Estrada</t>
  </si>
  <si>
    <t>Ferdi Lopez Flores</t>
  </si>
  <si>
    <t>Vince Flores Guerrero</t>
  </si>
  <si>
    <t>Jerome Ocampo Trinidad</t>
  </si>
  <si>
    <t>Erlinda Castro Estrada</t>
  </si>
  <si>
    <t>Miguel Ramirez Estrada</t>
  </si>
  <si>
    <t>Tess Fernandez</t>
  </si>
  <si>
    <t>Ana Tuazon</t>
  </si>
  <si>
    <t>Maricel Uy Co</t>
  </si>
  <si>
    <t>Elena Mendoza</t>
  </si>
  <si>
    <t>Maria Vergara</t>
  </si>
  <si>
    <t>Eduardo Flores Obispo</t>
  </si>
  <si>
    <t>Eduardo Go Cueto</t>
  </si>
  <si>
    <t>Mae Soriano Buenaventura</t>
  </si>
  <si>
    <t>Christian Santiago Manalo</t>
  </si>
  <si>
    <t>Manuel Ang Bayani</t>
  </si>
  <si>
    <t>Pilar Santiago</t>
  </si>
  <si>
    <t>Leonard Corpuz</t>
  </si>
  <si>
    <t>Yvonne Diaz Chua</t>
  </si>
  <si>
    <t>Josephine Vega Elegado</t>
  </si>
  <si>
    <t>Lilia Ang Lopez</t>
  </si>
  <si>
    <t>Nena Sy Chua</t>
  </si>
  <si>
    <t>Patricia Domingo Dalisay</t>
  </si>
  <si>
    <t>Diana Tan Bautista</t>
  </si>
  <si>
    <t>Elena Lozano</t>
  </si>
  <si>
    <t>Gregorio Lopez Cueto</t>
  </si>
  <si>
    <t>Sue Aguilar Narvasa</t>
  </si>
  <si>
    <t>Maricel Flores Miranda</t>
  </si>
  <si>
    <t>Victor Reyes Jimenez</t>
  </si>
  <si>
    <t>Willy Bautista Macapagal</t>
  </si>
  <si>
    <t>Jacqueline Flores Tuazon</t>
  </si>
  <si>
    <t>Ivan Mendoza Aquino</t>
  </si>
  <si>
    <t>Gloria Quiambao</t>
  </si>
  <si>
    <t>Hernando Garcia</t>
  </si>
  <si>
    <t>Maricel Fajardo</t>
  </si>
  <si>
    <t>Imelda Macapagal</t>
  </si>
  <si>
    <t>Erlinda Gonzales</t>
  </si>
  <si>
    <t>Leonard Salazar</t>
  </si>
  <si>
    <t>Carlos Soriano Rivera</t>
  </si>
  <si>
    <t>Bryan Ramos Corpuz</t>
  </si>
  <si>
    <t>Cameron Vega</t>
  </si>
  <si>
    <t>Antonio Santos Guerrero</t>
  </si>
  <si>
    <t>Vince Manalang</t>
  </si>
  <si>
    <t>Manuel Go Dalisay</t>
  </si>
  <si>
    <t>Hazel Fernandez Suarez</t>
  </si>
  <si>
    <t>Lourdes Mendoza Mangubat</t>
  </si>
  <si>
    <t>Jordan Del Rosario</t>
  </si>
  <si>
    <t>Rodel Rivera Dalisay</t>
  </si>
  <si>
    <t>Elena Lazo</t>
  </si>
  <si>
    <t>Jerome Macaraeg</t>
  </si>
  <si>
    <t>Cristina Natividad</t>
  </si>
  <si>
    <t>Cristina Reyes</t>
  </si>
  <si>
    <t>Dennis Diaz Santos</t>
  </si>
  <si>
    <t>Pacita Bautista Buenaventura</t>
  </si>
  <si>
    <t>Danilo Ang</t>
  </si>
  <si>
    <t>Pete Macaraeg</t>
  </si>
  <si>
    <t>Eduardo Fernandez Figueroa</t>
  </si>
  <si>
    <t>Juan Domingo Bagtas</t>
  </si>
  <si>
    <t>Feliciano Wong</t>
  </si>
  <si>
    <t>Maricel Ocampo</t>
  </si>
  <si>
    <t>Hernando Cruz Gonzales</t>
  </si>
  <si>
    <t>Lourdes Bautista Castro</t>
  </si>
  <si>
    <t>Antonio Pascual Torres</t>
  </si>
  <si>
    <t>Bea Guevarra</t>
  </si>
  <si>
    <t>Elmer Vega Lazo</t>
  </si>
  <si>
    <t>Rowena Tan</t>
  </si>
  <si>
    <t>Teodoro Fernandez Hilario</t>
  </si>
  <si>
    <t>Lorenzo Soriano Tuazon</t>
  </si>
  <si>
    <t>Paz Elegado</t>
  </si>
  <si>
    <t>Eduardo Diaz</t>
  </si>
  <si>
    <t>Leonard Lim Elegado</t>
  </si>
  <si>
    <t>Ana Tan Salazar</t>
  </si>
  <si>
    <t>Miguel Castro</t>
  </si>
  <si>
    <t>Gani Gonzales Cruz</t>
  </si>
  <si>
    <t>Gloria Gonzales Pascual</t>
  </si>
  <si>
    <t>Mark Aguilar Uy</t>
  </si>
  <si>
    <t>Pilar Soriano Suarez</t>
  </si>
  <si>
    <t>Maria Mangubat</t>
  </si>
  <si>
    <t>Cristina Soriano Cruz</t>
  </si>
  <si>
    <t>Ferdi Santos Delos Reyes</t>
  </si>
  <si>
    <t>Ivan Mercado Bondoc</t>
  </si>
  <si>
    <t>Rodel Ocampo Go</t>
  </si>
  <si>
    <t>Ronaldo Domingo Lacson</t>
  </si>
  <si>
    <t>Roy Lopez Solis</t>
  </si>
  <si>
    <t>Oliver Crisostomo</t>
  </si>
  <si>
    <t>Vanessa Vergara</t>
  </si>
  <si>
    <t>Estrella Ramos Delos Reyes</t>
  </si>
  <si>
    <t>Cristina Garcia Viray</t>
  </si>
  <si>
    <t>Jessa Torres Hilario</t>
  </si>
  <si>
    <t>Jamie Delos Reyes</t>
  </si>
  <si>
    <t>Bernardo Lopez Delos Reyes</t>
  </si>
  <si>
    <t>Josephine Pascual</t>
  </si>
  <si>
    <t>Cristina Mercado Lazo</t>
  </si>
  <si>
    <t>Ronaldo Lacson</t>
  </si>
  <si>
    <t>Yvonne Bayani</t>
  </si>
  <si>
    <t>Ramon Pascual Santiago</t>
  </si>
  <si>
    <t>Ivy Chan Domingo</t>
  </si>
  <si>
    <t>Manuel Dela Torre</t>
  </si>
  <si>
    <t>Severino Torres Manalang</t>
  </si>
  <si>
    <t>Ernesto Chan Quiambao</t>
  </si>
  <si>
    <t>Wilfredo Pascual Suarez</t>
  </si>
  <si>
    <t>Ana Santos Lim</t>
  </si>
  <si>
    <t>Eduardo Santos Fernandez</t>
  </si>
  <si>
    <t>Juan Garcia</t>
  </si>
  <si>
    <t>Sam Ramos Hernandez</t>
  </si>
  <si>
    <t>Francis Domingo</t>
  </si>
  <si>
    <t>Antonio Ang Perez</t>
  </si>
  <si>
    <t>Warren Go Garcia</t>
  </si>
  <si>
    <t>Cherry Tan</t>
  </si>
  <si>
    <t>Rachel Navarro Salazar</t>
  </si>
  <si>
    <t>Pilar Domingo</t>
  </si>
  <si>
    <t>Mae Bondoc</t>
  </si>
  <si>
    <t>Celine Cruz Guerrero</t>
  </si>
  <si>
    <t>Avery Salazar</t>
  </si>
  <si>
    <t>Harold Uy</t>
  </si>
  <si>
    <t>Aileen Ocampo Hernandez</t>
  </si>
  <si>
    <t>Juan Aguilar Del Rosario</t>
  </si>
  <si>
    <t>Mae Diaz</t>
  </si>
  <si>
    <t>Vicente Rivera Mendoza</t>
  </si>
  <si>
    <t>Kevin Gonzales</t>
  </si>
  <si>
    <t>Ronaldo Mendoza Ramirez</t>
  </si>
  <si>
    <t>Teodoro Lim Bagtas</t>
  </si>
  <si>
    <t>Elena Go Chan</t>
  </si>
  <si>
    <t>Xander Rivera</t>
  </si>
  <si>
    <t>Bong Ramirez</t>
  </si>
  <si>
    <t>Rafael Vega</t>
  </si>
  <si>
    <t>Ismael Viray</t>
  </si>
  <si>
    <t>Gloria Bautista Viray</t>
  </si>
  <si>
    <t>Beatriz Tan Del Rosario</t>
  </si>
  <si>
    <t>Rodel Go Natividad</t>
  </si>
  <si>
    <t>Christian Bautista Garcia</t>
  </si>
  <si>
    <t>Arnel Manalang</t>
  </si>
  <si>
    <t>Kath Salazar</t>
  </si>
  <si>
    <t>Paz Aguilar Camacho</t>
  </si>
  <si>
    <t>Josephine Lozano</t>
  </si>
  <si>
    <t>Avery Vega Gonzales</t>
  </si>
  <si>
    <t>Willy Yap</t>
  </si>
  <si>
    <t>Sue Ramos Bautista</t>
  </si>
  <si>
    <t>Corazon Bautista Bautista</t>
  </si>
  <si>
    <t>Ian Pascual Hilario</t>
  </si>
  <si>
    <t>Rowena Obispo</t>
  </si>
  <si>
    <t>Ivan Pascual</t>
  </si>
  <si>
    <t>Ana Mercado Viray</t>
  </si>
  <si>
    <t>Violeta Go Corpuz</t>
  </si>
  <si>
    <t>Rowena Ramirez Villanueva</t>
  </si>
  <si>
    <t>Neil Mangubat</t>
  </si>
  <si>
    <t>Bernardo Bagtas</t>
  </si>
  <si>
    <t>Ulysses Reyes Valencia</t>
  </si>
  <si>
    <t>Fe Mendoza Dela Torre</t>
  </si>
  <si>
    <t>Nicanor Bautista</t>
  </si>
  <si>
    <t>Timothy Rivera Tolentino</t>
  </si>
  <si>
    <t>Ian Rivera Panganiban</t>
  </si>
  <si>
    <t>Maricel Aguilar Vergara</t>
  </si>
  <si>
    <t>Carmen Natividad</t>
  </si>
  <si>
    <t>Cristina Castro Dalisay</t>
  </si>
  <si>
    <t>Queenie Mangubat</t>
  </si>
  <si>
    <t>Francis Tan</t>
  </si>
  <si>
    <t>Carlos Cruz Fernandez</t>
  </si>
  <si>
    <t>Danilo Bagtas</t>
  </si>
  <si>
    <t>Jordan Torres Chua</t>
  </si>
  <si>
    <t>Ronaldo Cruz Yap</t>
  </si>
  <si>
    <t>Kevin Ignacio</t>
  </si>
  <si>
    <t>Manuel Lacson</t>
  </si>
  <si>
    <t>Carlos Rivera Guerrero</t>
  </si>
  <si>
    <t>Pilar Rivera</t>
  </si>
  <si>
    <t>Miguel Reyes Dela Cruz</t>
  </si>
  <si>
    <t>Warren Soriano Lim</t>
  </si>
  <si>
    <t>Karen Castro Hilario</t>
  </si>
  <si>
    <t>Manuel Reyes</t>
  </si>
  <si>
    <t>Rafael Rivera Jacinto</t>
  </si>
  <si>
    <t>Jacqueline Bagtas</t>
  </si>
  <si>
    <t>Samuel Ramirez Ramirez</t>
  </si>
  <si>
    <t>Casey Navarro Zamora</t>
  </si>
  <si>
    <t>Arnel Figueroa</t>
  </si>
  <si>
    <t>Mark Sy Ramos</t>
  </si>
  <si>
    <t>Nicanor Cruz Aguilar</t>
  </si>
  <si>
    <t>Renato Ramos Fernandez</t>
  </si>
  <si>
    <t>Ramon Delmendo</t>
  </si>
  <si>
    <t>Jacqueline Torres Evangelista</t>
  </si>
  <si>
    <t>Pete Sia</t>
  </si>
  <si>
    <t>Gloria Lim Reyes</t>
  </si>
  <si>
    <t>Ivan Aguilar Suarez</t>
  </si>
  <si>
    <t>Ismael Bautista Flores</t>
  </si>
  <si>
    <t>Jaime Santiago Santos</t>
  </si>
  <si>
    <t>Hernando Figueroa</t>
  </si>
  <si>
    <t>Fe Buenaventura</t>
  </si>
  <si>
    <t>Juan Flores Ramos</t>
  </si>
  <si>
    <t>Casey Dela Torre</t>
  </si>
  <si>
    <t>Carlos Garcia</t>
  </si>
  <si>
    <t>Morgan Salazar</t>
  </si>
  <si>
    <t>Ramon Reyes Umali</t>
  </si>
  <si>
    <t>Larry Flores Navarro</t>
  </si>
  <si>
    <t>Jimmy Soriano Lopez</t>
  </si>
  <si>
    <t>Jose Pascual Panganiban</t>
  </si>
  <si>
    <t>Alex Sy Sia</t>
  </si>
  <si>
    <t>Nathan Bautista Ang</t>
  </si>
  <si>
    <t>Bernardo Manalang</t>
  </si>
  <si>
    <t>Jessa Torres Delmendo</t>
  </si>
  <si>
    <t>Pilar Vergara</t>
  </si>
  <si>
    <t>Patricia Mercado Soriano</t>
  </si>
  <si>
    <t>Nena Gonzales Bondoc</t>
  </si>
  <si>
    <t>Elena Cruz</t>
  </si>
  <si>
    <t>Belinda Bautista Reyes</t>
  </si>
  <si>
    <t>Teodoro Ramirez Aquino</t>
  </si>
  <si>
    <t>Eduardo Sy Torres</t>
  </si>
  <si>
    <t>Nathan Santiago Narvasa</t>
  </si>
  <si>
    <t>Arnel Camacho</t>
  </si>
  <si>
    <t>Dennis Torres Cruz</t>
  </si>
  <si>
    <t>Sam Santos Viray</t>
  </si>
  <si>
    <t>Lourdes Ang Lacson</t>
  </si>
  <si>
    <t>Gerald Navarro Suarez</t>
  </si>
  <si>
    <t>Juan Mercado Macapagal</t>
  </si>
  <si>
    <t>Cristina Castro Ramirez</t>
  </si>
  <si>
    <t>Hope Diaz Enriquez</t>
  </si>
  <si>
    <t>Teresa Go Salazar</t>
  </si>
  <si>
    <t>Gloria Domingo Castro</t>
  </si>
  <si>
    <t>Celine Uy Santiago</t>
  </si>
  <si>
    <t>Casey Lazo</t>
  </si>
  <si>
    <t>Rachel Flores Flores</t>
  </si>
  <si>
    <t>Mae Diaz Bayani</t>
  </si>
  <si>
    <t>Kristina Go Guerrero</t>
  </si>
  <si>
    <t>Samuel Villanueva</t>
  </si>
  <si>
    <t>Jimmy Chan Hilario</t>
  </si>
  <si>
    <t>Pacita Sia</t>
  </si>
  <si>
    <t>Leonora Rivera</t>
  </si>
  <si>
    <t>Patricio Soriano Go</t>
  </si>
  <si>
    <t>Carlos Lopez Yap</t>
  </si>
  <si>
    <t>Sonny Cueto</t>
  </si>
  <si>
    <t>Eduardo Castro Lopez</t>
  </si>
  <si>
    <t>Rosalinda Castro Figueroa</t>
  </si>
  <si>
    <t>Luisa Tan Salazar</t>
  </si>
  <si>
    <t>Rodel Vega Chan</t>
  </si>
  <si>
    <t>Teresa Navarro Cruz</t>
  </si>
  <si>
    <t>Neil Soriano</t>
  </si>
  <si>
    <t>Elena Garcia Flores</t>
  </si>
  <si>
    <t>Gerald Ramos</t>
  </si>
  <si>
    <t>Manuel Tan Umali</t>
  </si>
  <si>
    <t>Efren Ang Yap</t>
  </si>
  <si>
    <t>Elmer Buenaventura</t>
  </si>
  <si>
    <t>Samuel Pascual</t>
  </si>
  <si>
    <t>Rowena Santos Mercado</t>
  </si>
  <si>
    <t>Ivan Sia</t>
  </si>
  <si>
    <t>Florinda Flores Manalo</t>
  </si>
  <si>
    <t>Rowena Ramirez Camacho</t>
  </si>
  <si>
    <t>Jose Santos Macaraeg</t>
  </si>
  <si>
    <t>Grand Total</t>
  </si>
  <si>
    <t>Count of Employee</t>
  </si>
  <si>
    <t>Turnover Rate:</t>
  </si>
  <si>
    <t>TOTAL HEADCOUNT (2018 - 2025)</t>
  </si>
  <si>
    <t>TURNOVER RATE (Exited vs. Total Headcount)</t>
  </si>
  <si>
    <t>TOTAL HEADCOUNT KPI CARD</t>
  </si>
  <si>
    <t>STATUS KPI CARD</t>
  </si>
  <si>
    <t>Carlos Rivera</t>
  </si>
  <si>
    <t>TURNOVER PER DEPARTMENT</t>
  </si>
  <si>
    <t>Count of Exits per</t>
  </si>
  <si>
    <t>Employee Count</t>
  </si>
  <si>
    <t>EXIT REASON BREAKDOWN</t>
  </si>
  <si>
    <t>Reason</t>
  </si>
  <si>
    <t>Exit Count</t>
  </si>
  <si>
    <t>NEW HIRES VS. EXITS OVER TIME</t>
  </si>
  <si>
    <t>TENURE BEFORE EXIT</t>
  </si>
  <si>
    <t>Tenure (days)</t>
  </si>
  <si>
    <t>Tenure (yrs. mos. days)</t>
  </si>
  <si>
    <t>Age bracket</t>
  </si>
  <si>
    <t>Tenure (years)</t>
  </si>
  <si>
    <t>Average Tenure (Active)</t>
  </si>
  <si>
    <t>Average Tenure (days)</t>
  </si>
  <si>
    <t>Average Tenure (Exited)</t>
  </si>
  <si>
    <t>Exited Tenure</t>
  </si>
  <si>
    <t>Active Tenure</t>
  </si>
  <si>
    <t>2018</t>
  </si>
  <si>
    <t>2019</t>
  </si>
  <si>
    <t>2020</t>
  </si>
  <si>
    <t>2021</t>
  </si>
  <si>
    <t>2022</t>
  </si>
  <si>
    <t>2023</t>
  </si>
  <si>
    <t>2024</t>
  </si>
  <si>
    <t>2025</t>
  </si>
  <si>
    <t>Qtr1</t>
  </si>
  <si>
    <t>Qtr2</t>
  </si>
  <si>
    <t>Qtr3</t>
  </si>
  <si>
    <t>Qtr4</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</si>
  <si>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</si>
  <si>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</si>
  <si>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</si>
  <si>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</si>
  <si>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</si>
  <si>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</si>
  <si>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</si>
  <si>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</si>
  <si>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</si>
  <si>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</si>
  <si>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</si>
  <si>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</si>
  <si>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</si>
  <si>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</si>
  <si>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</si>
  <si>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</si>
  <si>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</si>
  <si>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</si>
  <si>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</si>
  <si>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</si>
  <si>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</si>
  <si>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</si>
  <si>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</si>
  <si>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</si>
  <si>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</si>
  <si>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</si>
  <si>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</si>
  <si>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</si>
  <si>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</si>
  <si>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</si>
  <si>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</si>
  <si>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</si>
  <si>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Cumulative Headcount-as-of-Quarter End</t>
  </si>
  <si>
    <t>Q1 2026</t>
  </si>
  <si>
    <t>Q2 2026</t>
  </si>
  <si>
    <t>🚩</t>
  </si>
  <si>
    <t>Exits per Quarter</t>
  </si>
  <si>
    <t>Average Headcount</t>
  </si>
  <si>
    <t>Turnover Rate %</t>
  </si>
  <si>
    <t>COMPANY TURNOVER RATE OVER TIME</t>
  </si>
  <si>
    <t>ACTIVE &amp; EXIT BY AGE BRACKET</t>
  </si>
  <si>
    <t>20s</t>
  </si>
  <si>
    <t>30s</t>
  </si>
  <si>
    <t>40s</t>
  </si>
  <si>
    <t>50s</t>
  </si>
  <si>
    <t>60s</t>
  </si>
  <si>
    <t>Age Bracket</t>
  </si>
  <si>
    <t>Active vs. Exited</t>
  </si>
  <si>
    <t>ACTIVE VS. EXITED COMPARISON CHART BY AGE BRACKET</t>
  </si>
  <si>
    <t>Quarter</t>
  </si>
  <si>
    <t>End Date</t>
  </si>
  <si>
    <t>Start Date</t>
  </si>
  <si>
    <t>EMPLOYEE HEADCOUNT YoY</t>
  </si>
  <si>
    <t>Year</t>
  </si>
  <si>
    <t>2026</t>
  </si>
  <si>
    <t>Total Exits</t>
  </si>
  <si>
    <t>Total Headcount</t>
  </si>
  <si>
    <t>Headcount YoY</t>
  </si>
  <si>
    <t>Headcount</t>
  </si>
  <si>
    <t>Turnover Rate</t>
  </si>
  <si>
    <t>Ave. Headcount</t>
  </si>
  <si>
    <t>New Hires per Year &amp; Quarter</t>
  </si>
  <si>
    <t>Exited per Year &amp;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</si>
</sst>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0.0%"/>
  </numFmts>
  <fonts count="4" x14ac:knownFonts="1">
    <font>
      <sz val="11"/>
      <color theme="1"/>
      <name val="Calibri"/>
      <family val="2"/>
      <scheme val="minor"/>
    </font>
    <font>
      <b/>
      <sz val="11"/>
      <color theme="1"/>
      <name val="Calibri"/>
      <family val="2"/>
      <scheme val="minor"/>
    </font>
    <font>
      <sz val="11"/>
      <color theme="0"/>
      <name val="Calibri"/>
      <family val="2"/>
      <scheme val="minor"/>
    </font>
    <font>
      <b/>
      <sz val="11"/>
      <color rgb="FF76549A"/>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DCDCDC"/>
        <bgColor indexed="64"/>
      </patternFill>
    </fill>
    <fill>
      <patternFill patternType="solid">
        <fgColor rgb="FFFDFDFD"/>
        <bgColor indexed="64"/>
      </patternFill>
    </fill>
    <fill>
      <patternFill patternType="solid">
        <fgColor theme="4"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86">
    <xf numFmtId="0" fontId="0" fillId="0" borderId="0" xfId="0"/>
    <xf numFmtId="0" fontId="0" fillId="2" borderId="0" xfId="0" applyFill="1"/>
    <xf numFmtId="0" fontId="0" fillId="3" borderId="0" xfId="0" applyFill="1"/>
    <xf numFmtId="0" fontId="0" fillId="4" borderId="0" xfId="0" applyFill="1"/>
    <xf numFmtId="0" fontId="0" fillId="5" borderId="0" xfId="0" applyFill="1" applyAlignment="1">
      <alignment horizontal="center" vertical="center"/>
    </xf>
    <xf numFmtId="164" fontId="0" fillId="0" borderId="0" xfId="0" applyNumberFormat="1"/>
    <xf numFmtId="164" fontId="0" fillId="5" borderId="0" xfId="0" applyNumberFormat="1" applyFill="1" applyAlignment="1">
      <alignment horizontal="center" vertical="center"/>
    </xf>
    <xf numFmtId="0" fontId="0" fillId="0" borderId="1" xfId="0" applyBorder="1"/>
    <xf numFmtId="0" fontId="1" fillId="0" borderId="0" xfId="0" applyFont="1"/>
    <xf numFmtId="0" fontId="0" fillId="0" borderId="2" xfId="0" applyBorder="1"/>
    <xf numFmtId="3" fontId="0" fillId="0" borderId="0" xfId="0" applyNumberFormat="1"/>
    <xf numFmtId="0" fontId="0" fillId="0" borderId="3" xfId="0" pivotButton="1" applyBorder="1"/>
    <xf numFmtId="0" fontId="0" fillId="0" borderId="5" xfId="0" applyBorder="1" applyAlignment="1">
      <alignment horizontal="left"/>
    </xf>
    <xf numFmtId="0" fontId="0" fillId="0" borderId="6" xfId="0" applyBorder="1" applyAlignment="1">
      <alignment horizontal="left"/>
    </xf>
    <xf numFmtId="0" fontId="1" fillId="6" borderId="10" xfId="0" applyFont="1" applyFill="1" applyBorder="1" applyAlignment="1">
      <alignment horizontal="left"/>
    </xf>
    <xf numFmtId="10" fontId="1" fillId="0" borderId="11" xfId="0" applyNumberFormat="1" applyFont="1" applyBorder="1"/>
    <xf numFmtId="0" fontId="0" fillId="0" borderId="1" xfId="0" pivotButton="1" applyBorder="1"/>
    <xf numFmtId="0" fontId="0" fillId="0" borderId="8" xfId="0" applyBorder="1" applyAlignment="1">
      <alignment horizontal="left"/>
    </xf>
    <xf numFmtId="0" fontId="0" fillId="0" borderId="9" xfId="0" applyBorder="1" applyAlignment="1">
      <alignment horizontal="left"/>
    </xf>
    <xf numFmtId="0" fontId="0" fillId="0" borderId="1" xfId="0" applyBorder="1" applyAlignment="1">
      <alignment horizontal="left"/>
    </xf>
    <xf numFmtId="0" fontId="0" fillId="0" borderId="12" xfId="0" applyBorder="1" applyAlignment="1">
      <alignment horizontal="left"/>
    </xf>
    <xf numFmtId="0" fontId="0" fillId="0" borderId="4" xfId="0" pivotButton="1" applyBorder="1"/>
    <xf numFmtId="0" fontId="0" fillId="0" borderId="5" xfId="0" pivotButton="1" applyBorder="1"/>
    <xf numFmtId="0" fontId="0" fillId="6" borderId="3" xfId="0" applyFill="1" applyBorder="1" applyAlignment="1">
      <alignment horizontal="left"/>
    </xf>
    <xf numFmtId="0" fontId="1" fillId="6" borderId="6" xfId="0" applyFont="1" applyFill="1" applyBorder="1" applyAlignment="1">
      <alignment horizontal="left"/>
    </xf>
    <xf numFmtId="0" fontId="0" fillId="0" borderId="8" xfId="0" applyBorder="1" applyAlignment="1">
      <alignment horizontal="right"/>
    </xf>
    <xf numFmtId="0" fontId="1" fillId="0" borderId="9" xfId="0" applyFont="1" applyBorder="1" applyAlignment="1">
      <alignment horizontal="right"/>
    </xf>
    <xf numFmtId="0" fontId="0" fillId="0" borderId="2" xfId="0" applyBorder="1" applyAlignment="1">
      <alignment horizontal="center" vertical="top"/>
    </xf>
    <xf numFmtId="0" fontId="0" fillId="0" borderId="4" xfId="0" applyBorder="1"/>
    <xf numFmtId="0" fontId="0" fillId="0" borderId="12" xfId="0" applyBorder="1"/>
    <xf numFmtId="0" fontId="0" fillId="0" borderId="14" xfId="0" applyBorder="1"/>
    <xf numFmtId="0" fontId="0" fillId="0" borderId="5" xfId="0" applyBorder="1" applyAlignment="1">
      <alignment horizontal="left" indent="1"/>
    </xf>
    <xf numFmtId="0" fontId="0" fillId="0" borderId="0" xfId="0" applyAlignment="1">
      <alignment horizontal="right"/>
    </xf>
    <xf numFmtId="0" fontId="0" fillId="0" borderId="5" xfId="0" applyBorder="1"/>
    <xf numFmtId="14" fontId="0" fillId="0" borderId="0" xfId="0" applyNumberFormat="1"/>
    <xf numFmtId="165" fontId="0" fillId="0" borderId="2" xfId="0" applyNumberFormat="1" applyBorder="1"/>
    <xf numFmtId="0" fontId="0" fillId="0" borderId="6" xfId="0" applyBorder="1"/>
    <xf numFmtId="14" fontId="0" fillId="0" borderId="14" xfId="0" applyNumberFormat="1" applyBorder="1"/>
    <xf numFmtId="165" fontId="0" fillId="0" borderId="7" xfId="0" applyNumberFormat="1" applyBorder="1"/>
    <xf numFmtId="0" fontId="0" fillId="0" borderId="0" xfId="0" applyAlignment="1">
      <alignment wrapText="1"/>
    </xf>
    <xf numFmtId="0" fontId="0" fillId="0" borderId="0" xfId="0" applyAlignment="1">
      <alignment horizontal="right" wrapText="1"/>
    </xf>
    <xf numFmtId="0" fontId="0" fillId="0" borderId="14" xfId="0" applyBorder="1" applyAlignment="1">
      <alignment wrapText="1"/>
    </xf>
    <xf numFmtId="0" fontId="1" fillId="6" borderId="13" xfId="0" applyFont="1" applyFill="1" applyBorder="1" applyAlignment="1">
      <alignment vertical="center"/>
    </xf>
    <xf numFmtId="0" fontId="1" fillId="6" borderId="13" xfId="0" applyFont="1" applyFill="1" applyBorder="1" applyAlignment="1">
      <alignment horizontal="right" vertical="center" wrapText="1"/>
    </xf>
    <xf numFmtId="0" fontId="1" fillId="6" borderId="4" xfId="0" applyFont="1" applyFill="1" applyBorder="1" applyAlignment="1">
      <alignment vertical="center"/>
    </xf>
    <xf numFmtId="0" fontId="0" fillId="0" borderId="8" xfId="0" applyBorder="1" applyAlignment="1">
      <alignment vertical="center"/>
    </xf>
    <xf numFmtId="0" fontId="0" fillId="0" borderId="0" xfId="0" applyAlignment="1">
      <alignment vertical="center"/>
    </xf>
    <xf numFmtId="0" fontId="0" fillId="0" borderId="1" xfId="0" pivotButton="1" applyBorder="1" applyAlignment="1">
      <alignment vertical="center"/>
    </xf>
    <xf numFmtId="0" fontId="0" fillId="0" borderId="1" xfId="0" applyBorder="1" applyAlignment="1">
      <alignment vertical="center"/>
    </xf>
    <xf numFmtId="0" fontId="0" fillId="0" borderId="3" xfId="0" pivotButton="1" applyBorder="1" applyAlignment="1">
      <alignment vertical="center"/>
    </xf>
    <xf numFmtId="0" fontId="1" fillId="6" borderId="3" xfId="0" applyFont="1" applyFill="1" applyBorder="1" applyAlignment="1">
      <alignment vertical="center"/>
    </xf>
    <xf numFmtId="0" fontId="0" fillId="0" borderId="10" xfId="0" applyBorder="1"/>
    <xf numFmtId="0" fontId="0" fillId="0" borderId="11" xfId="0" applyBorder="1"/>
    <xf numFmtId="0" fontId="0" fillId="0" borderId="2" xfId="0" applyBorder="1" applyAlignment="1">
      <alignment vertical="center"/>
    </xf>
    <xf numFmtId="0" fontId="0" fillId="0" borderId="2" xfId="0" pivotButton="1" applyBorder="1"/>
    <xf numFmtId="0" fontId="0" fillId="0" borderId="0" xfId="0" applyNumberFormat="1"/>
    <xf numFmtId="0" fontId="1" fillId="0" borderId="1" xfId="0" applyNumberFormat="1" applyFont="1" applyBorder="1"/>
    <xf numFmtId="0" fontId="0" fillId="0" borderId="2" xfId="0" applyNumberFormat="1" applyBorder="1"/>
    <xf numFmtId="0" fontId="0" fillId="0" borderId="7" xfId="0" applyNumberFormat="1" applyBorder="1"/>
    <xf numFmtId="0" fontId="0" fillId="0" borderId="8" xfId="0" applyNumberFormat="1" applyBorder="1"/>
    <xf numFmtId="0" fontId="0" fillId="0" borderId="12" xfId="0" applyNumberFormat="1" applyBorder="1"/>
    <xf numFmtId="0" fontId="0" fillId="0" borderId="9" xfId="0" applyNumberFormat="1" applyBorder="1"/>
    <xf numFmtId="0" fontId="0" fillId="0" borderId="0" xfId="0" applyNumberFormat="1" applyBorder="1"/>
    <xf numFmtId="0" fontId="0" fillId="0" borderId="4" xfId="0" applyNumberFormat="1" applyBorder="1"/>
    <xf numFmtId="0" fontId="0" fillId="0" borderId="0" xfId="0" applyBorder="1"/>
    <xf numFmtId="0" fontId="0" fillId="0" borderId="3" xfId="0" applyNumberFormat="1" applyBorder="1"/>
    <xf numFmtId="0" fontId="0" fillId="0" borderId="5" xfId="0" applyNumberFormat="1" applyBorder="1"/>
    <xf numFmtId="0" fontId="0" fillId="0" borderId="6" xfId="0" applyNumberFormat="1" applyBorder="1"/>
    <xf numFmtId="0" fontId="0" fillId="7" borderId="0" xfId="0" applyFill="1"/>
    <xf numFmtId="0" fontId="3" fillId="5" borderId="0" xfId="0" applyFont="1" applyFill="1" applyAlignment="1">
      <alignment horizontal="center" vertical="center"/>
    </xf>
    <xf numFmtId="0" fontId="1" fillId="0" borderId="0" xfId="0" applyFont="1" applyFill="1" applyBorder="1" applyAlignment="1">
      <alignment horizontal="left"/>
    </xf>
    <xf numFmtId="10" fontId="1" fillId="0" borderId="0" xfId="0" applyNumberFormat="1" applyFont="1" applyBorder="1"/>
    <xf numFmtId="0" fontId="0" fillId="0" borderId="0" xfId="0" pivotButton="1" applyBorder="1"/>
    <xf numFmtId="0" fontId="1" fillId="6" borderId="15" xfId="0" applyFont="1" applyFill="1" applyBorder="1"/>
    <xf numFmtId="0" fontId="1" fillId="6" borderId="11" xfId="0" applyFont="1" applyFill="1" applyBorder="1"/>
    <xf numFmtId="0" fontId="1" fillId="6" borderId="1" xfId="0" applyFont="1" applyFill="1" applyBorder="1"/>
    <xf numFmtId="0" fontId="0" fillId="0" borderId="0" xfId="0" applyFill="1" applyBorder="1"/>
    <xf numFmtId="0" fontId="0" fillId="0" borderId="9" xfId="0" applyFill="1" applyBorder="1"/>
    <xf numFmtId="165" fontId="0" fillId="0" borderId="0" xfId="0" applyNumberFormat="1"/>
    <xf numFmtId="165" fontId="0" fillId="0" borderId="0" xfId="0" applyNumberFormat="1" applyBorder="1"/>
    <xf numFmtId="165" fontId="0" fillId="0" borderId="14" xfId="0" applyNumberFormat="1" applyBorder="1"/>
    <xf numFmtId="0" fontId="2" fillId="0" borderId="0" xfId="0" applyFont="1"/>
    <xf numFmtId="165" fontId="2" fillId="0" borderId="0" xfId="0" applyNumberFormat="1" applyFont="1"/>
    <xf numFmtId="0" fontId="0" fillId="0" borderId="4" xfId="0" pivotButton="1" applyBorder="1" applyAlignment="1">
      <alignment vertical="center"/>
    </xf>
    <xf numFmtId="0" fontId="0" fillId="0" borderId="0" xfId="0" pivotButton="1" applyBorder="1" applyAlignment="1">
      <alignment vertical="center"/>
    </xf>
    <xf numFmtId="0" fontId="1" fillId="0" borderId="0" xfId="0" applyFont="1" applyFill="1"/>
  </cellXfs>
  <cellStyles count="1">
    <cellStyle name="Normal" xfId="0" builtinId="0"/>
  </cellStyles>
  <dxfs count="1560">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border>
        <left style="thin">
          <color indexed="64"/>
        </left>
        <right style="thin">
          <color indexed="64"/>
        </right>
        <top style="thin">
          <color indexed="64"/>
        </top>
        <bottom style="thin">
          <color indexed="64"/>
        </bottom>
      </bord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top"/>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font>
        <b/>
      </font>
    </dxf>
    <dxf>
      <alignment vertical="center"/>
    </dxf>
    <dxf>
      <font>
        <color rgb="FFFF0000"/>
      </font>
      <fill>
        <patternFill patternType="none">
          <bgColor auto="1"/>
        </patternFill>
      </fill>
    </dxf>
    <dxf>
      <font>
        <color theme="9"/>
      </font>
      <fill>
        <patternFill patternType="none">
          <bgColor auto="1"/>
        </patternFill>
      </fill>
    </dxf>
    <dxf>
      <font>
        <color rgb="FFFF0101"/>
      </font>
    </dxf>
    <dxf>
      <font>
        <color theme="9"/>
      </font>
    </dxf>
    <dxf>
      <font>
        <b/>
        <i val="0"/>
        <sz val="12"/>
        <color theme="0"/>
      </font>
      <fill>
        <patternFill>
          <bgColor rgb="FF76549A"/>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164" formatCode="mm/dd/yyyy"/>
    </dxf>
    <dxf>
      <numFmt numFmtId="164" formatCode="mm/dd/yyyy"/>
    </dxf>
    <dxf>
      <numFmt numFmtId="0" formatCode="General"/>
    </dxf>
    <dxf>
      <numFmt numFmtId="0" formatCode="General"/>
    </dxf>
    <dxf>
      <numFmt numFmtId="0" formatCode="General"/>
    </dxf>
    <dxf>
      <numFmt numFmtId="0" formatCode="General"/>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department-slicer" pivot="0" table="0" count="4" xr9:uid="{02DBE0D6-721C-46B6-88C9-5ACFBE495BA1}">
      <tableStyleElement type="wholeTable" dxfId="1545"/>
    </tableStyle>
  </tableStyles>
  <colors>
    <mruColors>
      <color rgb="FFFF7171"/>
      <color rgb="FFFFFFFF"/>
      <color rgb="FF76549A"/>
      <color rgb="FFA2CB8B"/>
      <color rgb="FF5B7E3C"/>
      <color rgb="FFC44545"/>
      <color rgb="FFD45079"/>
      <color rgb="FFFF1F5A"/>
      <color rgb="FFFBA834"/>
      <color rgb="FFFFA87B"/>
    </mruColors>
  </colors>
  <extLst>
    <ext xmlns:x14="http://schemas.microsoft.com/office/spreadsheetml/2009/9/main" uri="{46F421CA-312F-682f-3DD2-61675219B42D}">
      <x14:dxfs count="3">
        <dxf>
          <font>
            <b/>
            <i val="0"/>
            <sz val="12"/>
            <color theme="0"/>
          </font>
          <fill>
            <patternFill>
              <bgColor rgb="FF76549A"/>
            </patternFill>
          </fill>
          <border diagonalUp="0" diagonalDown="0">
            <left/>
            <right/>
            <top/>
            <bottom/>
            <vertical/>
            <horizontal/>
          </border>
        </dxf>
        <dxf>
          <border diagonalUp="0" diagonalDown="0">
            <left/>
            <right/>
            <top/>
            <bottom/>
            <vertical/>
            <horizontal/>
          </border>
        </dxf>
        <dxf>
          <font>
            <b val="0"/>
            <i val="0"/>
            <sz val="10"/>
          </font>
          <border diagonalUp="0" diagonalDown="0">
            <left/>
            <right/>
            <top/>
            <bottom/>
            <vertical/>
            <horizontal/>
          </border>
        </dxf>
      </x14:dxfs>
    </ext>
    <ext xmlns:x14="http://schemas.microsoft.com/office/spreadsheetml/2009/9/main" uri="{EB79DEF2-80B8-43e5-95BD-54CBDDF9020C}">
      <x14:slicerStyles defaultSlicerStyle="SlicerStyleLight1">
        <x14:slicerStyle name="department-slicer">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TABLES!DepartmentTurnover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Exits</a:t>
            </a:r>
            <a:r>
              <a:rPr lang="en-US" baseline="0"/>
              <a:t>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54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5921224132699"/>
          <c:y val="0.23504435994930292"/>
          <c:w val="0.75983738639812892"/>
          <c:h val="0.69524714828897338"/>
        </c:manualLayout>
      </c:layout>
      <c:barChart>
        <c:barDir val="bar"/>
        <c:grouping val="clustered"/>
        <c:varyColors val="0"/>
        <c:ser>
          <c:idx val="0"/>
          <c:order val="0"/>
          <c:tx>
            <c:strRef>
              <c:f>'PIVOT TABLES'!$C$19:$C$20</c:f>
              <c:strCache>
                <c:ptCount val="1"/>
                <c:pt idx="0">
                  <c:v>Exited</c:v>
                </c:pt>
              </c:strCache>
            </c:strRef>
          </c:tx>
          <c:spPr>
            <a:solidFill>
              <a:srgbClr val="7654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TABLES'!$B$21:$B$26</c:f>
              <c:strCache>
                <c:ptCount val="6"/>
                <c:pt idx="0">
                  <c:v>Customer Support</c:v>
                </c:pt>
                <c:pt idx="1">
                  <c:v>IT</c:v>
                </c:pt>
                <c:pt idx="2">
                  <c:v>Marketing</c:v>
                </c:pt>
                <c:pt idx="3">
                  <c:v>HR</c:v>
                </c:pt>
                <c:pt idx="4">
                  <c:v>Sales</c:v>
                </c:pt>
                <c:pt idx="5">
                  <c:v>Finance</c:v>
                </c:pt>
              </c:strCache>
            </c:strRef>
          </c:cat>
          <c:val>
            <c:numRef>
              <c:f>'PIVOT TABLES'!$C$21:$C$26</c:f>
              <c:numCache>
                <c:formatCode>General</c:formatCode>
                <c:ptCount val="6"/>
                <c:pt idx="0">
                  <c:v>100</c:v>
                </c:pt>
                <c:pt idx="1">
                  <c:v>96</c:v>
                </c:pt>
                <c:pt idx="2">
                  <c:v>71</c:v>
                </c:pt>
                <c:pt idx="3">
                  <c:v>58</c:v>
                </c:pt>
                <c:pt idx="4">
                  <c:v>46</c:v>
                </c:pt>
                <c:pt idx="5">
                  <c:v>43</c:v>
                </c:pt>
              </c:numCache>
            </c:numRef>
          </c:val>
          <c:extLst>
            <c:ext xmlns:c16="http://schemas.microsoft.com/office/drawing/2014/chart" uri="{C3380CC4-5D6E-409C-BE32-E72D297353CC}">
              <c16:uniqueId val="{00000000-558E-445E-B23F-0736DD95A839}"/>
            </c:ext>
          </c:extLst>
        </c:ser>
        <c:dLbls>
          <c:showLegendKey val="0"/>
          <c:showVal val="0"/>
          <c:showCatName val="0"/>
          <c:showSerName val="0"/>
          <c:showPercent val="0"/>
          <c:showBubbleSize val="0"/>
        </c:dLbls>
        <c:gapWidth val="70"/>
        <c:axId val="1720040848"/>
        <c:axId val="1720045168"/>
      </c:barChart>
      <c:catAx>
        <c:axId val="1720040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45168"/>
        <c:crosses val="autoZero"/>
        <c:auto val="1"/>
        <c:lblAlgn val="ctr"/>
        <c:lblOffset val="100"/>
        <c:noMultiLvlLbl val="0"/>
      </c:catAx>
      <c:valAx>
        <c:axId val="1720045168"/>
        <c:scaling>
          <c:orientation val="minMax"/>
        </c:scaling>
        <c:delete val="1"/>
        <c:axPos val="t"/>
        <c:numFmt formatCode="General" sourceLinked="1"/>
        <c:majorTickMark val="none"/>
        <c:minorTickMark val="none"/>
        <c:tickLblPos val="nextTo"/>
        <c:crossAx val="17200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TABLES!ExitBreakdown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Exit Reason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666666666666666"/>
              <c:y val="-7.407407407407407E-2"/>
            </c:manualLayout>
          </c:layout>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72222222222222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888888888888888"/>
              <c:y val="6.01851851851850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5833333333333333"/>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722222222222222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schemeClr>
          </a:solidFill>
          <a:ln w="19050">
            <a:solidFill>
              <a:schemeClr val="lt1"/>
            </a:solidFill>
          </a:ln>
          <a:effectLst/>
        </c:spPr>
        <c:dLbl>
          <c:idx val="0"/>
          <c:layout>
            <c:manualLayout>
              <c:x val="-0.20555555555555555"/>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60000"/>
            </a:schemeClr>
          </a:solidFill>
          <a:ln w="19050">
            <a:solidFill>
              <a:schemeClr val="lt1"/>
            </a:solidFill>
          </a:ln>
          <a:effectLst/>
        </c:spPr>
        <c:dLbl>
          <c:idx val="0"/>
          <c:layout>
            <c:manualLayout>
              <c:x val="-0.2305555555555555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66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72222222222222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888888888888888"/>
              <c:y val="6.01851851851850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833333333333333"/>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722222222222222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20555555555555555"/>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305555555555555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76549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6549A"/>
          </a:solidFill>
          <a:ln w="19050">
            <a:solidFill>
              <a:schemeClr val="lt1"/>
            </a:solidFill>
          </a:ln>
          <a:effectLst/>
        </c:spPr>
      </c:pivotFmt>
      <c:pivotFmt>
        <c:idx val="20"/>
        <c:spPr>
          <a:solidFill>
            <a:srgbClr val="76549A"/>
          </a:solidFill>
          <a:ln w="19050">
            <a:solidFill>
              <a:schemeClr val="lt1"/>
            </a:solidFill>
          </a:ln>
          <a:effectLst/>
        </c:spPr>
      </c:pivotFmt>
      <c:pivotFmt>
        <c:idx val="21"/>
        <c:spPr>
          <a:solidFill>
            <a:srgbClr val="76549A"/>
          </a:solidFill>
          <a:ln w="19050">
            <a:solidFill>
              <a:schemeClr val="lt1"/>
            </a:solidFill>
          </a:ln>
          <a:effectLst/>
        </c:spPr>
      </c:pivotFmt>
      <c:pivotFmt>
        <c:idx val="22"/>
        <c:spPr>
          <a:solidFill>
            <a:srgbClr val="76549A"/>
          </a:solidFill>
          <a:ln w="19050">
            <a:solidFill>
              <a:schemeClr val="lt1"/>
            </a:solidFill>
          </a:ln>
          <a:effectLst/>
        </c:spPr>
      </c:pivotFmt>
      <c:pivotFmt>
        <c:idx val="23"/>
        <c:spPr>
          <a:solidFill>
            <a:srgbClr val="76549A"/>
          </a:solidFill>
          <a:ln w="19050">
            <a:solidFill>
              <a:schemeClr val="lt1"/>
            </a:solidFill>
          </a:ln>
          <a:effectLst/>
        </c:spPr>
      </c:pivotFmt>
      <c:pivotFmt>
        <c:idx val="24"/>
        <c:spPr>
          <a:solidFill>
            <a:srgbClr val="76549A"/>
          </a:solidFill>
          <a:ln w="19050">
            <a:solidFill>
              <a:schemeClr val="lt1"/>
            </a:solidFill>
          </a:ln>
          <a:effectLst/>
        </c:spPr>
      </c:pivotFmt>
      <c:pivotFmt>
        <c:idx val="25"/>
        <c:spPr>
          <a:solidFill>
            <a:srgbClr val="76549A"/>
          </a:solidFill>
          <a:ln w="19050">
            <a:solidFill>
              <a:schemeClr val="lt1"/>
            </a:solidFill>
          </a:ln>
          <a:effectLst/>
        </c:spPr>
      </c:pivotFmt>
      <c:pivotFmt>
        <c:idx val="26"/>
        <c:spPr>
          <a:solidFill>
            <a:srgbClr val="76549A"/>
          </a:solidFill>
          <a:ln w="19050">
            <a:solidFill>
              <a:schemeClr val="lt1"/>
            </a:solidFill>
          </a:ln>
          <a:effectLst/>
        </c:spPr>
      </c:pivotFmt>
    </c:pivotFmts>
    <c:plotArea>
      <c:layout>
        <c:manualLayout>
          <c:layoutTarget val="inner"/>
          <c:xMode val="edge"/>
          <c:yMode val="edge"/>
          <c:x val="0.27511056507292625"/>
          <c:y val="0.23410993415203032"/>
          <c:w val="0.70867679867071698"/>
          <c:h val="0.69645870225475492"/>
        </c:manualLayout>
      </c:layout>
      <c:barChart>
        <c:barDir val="bar"/>
        <c:grouping val="clustered"/>
        <c:varyColors val="0"/>
        <c:ser>
          <c:idx val="0"/>
          <c:order val="0"/>
          <c:tx>
            <c:strRef>
              <c:f>'PIVOT TABLES'!$L$4</c:f>
              <c:strCache>
                <c:ptCount val="1"/>
                <c:pt idx="0">
                  <c:v>Total</c:v>
                </c:pt>
              </c:strCache>
            </c:strRef>
          </c:tx>
          <c:spPr>
            <a:solidFill>
              <a:srgbClr val="76549A"/>
            </a:solidFill>
            <a:ln w="19050">
              <a:solidFill>
                <a:schemeClr val="lt1"/>
              </a:solidFill>
            </a:ln>
            <a:effectLst/>
          </c:spPr>
          <c:invertIfNegative val="0"/>
          <c:dPt>
            <c:idx val="0"/>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1-4BCB-4D04-8DD2-8B3E3DD3D9E9}"/>
              </c:ext>
            </c:extLst>
          </c:dPt>
          <c:dPt>
            <c:idx val="1"/>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3-4BCB-4D04-8DD2-8B3E3DD3D9E9}"/>
              </c:ext>
            </c:extLst>
          </c:dPt>
          <c:dPt>
            <c:idx val="2"/>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5-4BCB-4D04-8DD2-8B3E3DD3D9E9}"/>
              </c:ext>
            </c:extLst>
          </c:dPt>
          <c:dPt>
            <c:idx val="3"/>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7-4BCB-4D04-8DD2-8B3E3DD3D9E9}"/>
              </c:ext>
            </c:extLst>
          </c:dPt>
          <c:dPt>
            <c:idx val="4"/>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9-4BCB-4D04-8DD2-8B3E3DD3D9E9}"/>
              </c:ext>
            </c:extLst>
          </c:dPt>
          <c:dPt>
            <c:idx val="5"/>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B-4BCB-4D04-8DD2-8B3E3DD3D9E9}"/>
              </c:ext>
            </c:extLst>
          </c:dPt>
          <c:dPt>
            <c:idx val="6"/>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D-4BCB-4D04-8DD2-8B3E3DD3D9E9}"/>
              </c:ext>
            </c:extLst>
          </c:dPt>
          <c:dPt>
            <c:idx val="7"/>
            <c:invertIfNegative val="0"/>
            <c:bubble3D val="0"/>
            <c:spPr>
              <a:solidFill>
                <a:srgbClr val="76549A"/>
              </a:solidFill>
              <a:ln w="19050">
                <a:solidFill>
                  <a:schemeClr val="lt1"/>
                </a:solidFill>
              </a:ln>
              <a:effectLst/>
            </c:spPr>
            <c:extLst>
              <c:ext xmlns:c16="http://schemas.microsoft.com/office/drawing/2014/chart" uri="{C3380CC4-5D6E-409C-BE32-E72D297353CC}">
                <c16:uniqueId val="{0000000F-4BCB-4D04-8DD2-8B3E3DD3D9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TABLES'!$K$5:$K$13</c:f>
              <c:strCache>
                <c:ptCount val="8"/>
                <c:pt idx="0">
                  <c:v>Better Opportunity</c:v>
                </c:pt>
                <c:pt idx="1">
                  <c:v>Termination</c:v>
                </c:pt>
                <c:pt idx="2">
                  <c:v>Resignation</c:v>
                </c:pt>
                <c:pt idx="3">
                  <c:v>Personal Reasons</c:v>
                </c:pt>
                <c:pt idx="4">
                  <c:v>Retirement</c:v>
                </c:pt>
                <c:pt idx="5">
                  <c:v>Health Issues</c:v>
                </c:pt>
                <c:pt idx="6">
                  <c:v>Contract End</c:v>
                </c:pt>
                <c:pt idx="7">
                  <c:v>Relocation</c:v>
                </c:pt>
              </c:strCache>
            </c:strRef>
          </c:cat>
          <c:val>
            <c:numRef>
              <c:f>'PIVOT TABLES'!$L$5:$L$13</c:f>
              <c:numCache>
                <c:formatCode>General</c:formatCode>
                <c:ptCount val="8"/>
                <c:pt idx="0">
                  <c:v>81</c:v>
                </c:pt>
                <c:pt idx="1">
                  <c:v>68</c:v>
                </c:pt>
                <c:pt idx="2">
                  <c:v>64</c:v>
                </c:pt>
                <c:pt idx="3">
                  <c:v>46</c:v>
                </c:pt>
                <c:pt idx="4">
                  <c:v>44</c:v>
                </c:pt>
                <c:pt idx="5">
                  <c:v>39</c:v>
                </c:pt>
                <c:pt idx="6">
                  <c:v>36</c:v>
                </c:pt>
                <c:pt idx="7">
                  <c:v>36</c:v>
                </c:pt>
              </c:numCache>
            </c:numRef>
          </c:val>
          <c:extLst>
            <c:ext xmlns:c16="http://schemas.microsoft.com/office/drawing/2014/chart" uri="{C3380CC4-5D6E-409C-BE32-E72D297353CC}">
              <c16:uniqueId val="{00000010-4BCB-4D04-8DD2-8B3E3DD3D9E9}"/>
            </c:ext>
          </c:extLst>
        </c:ser>
        <c:dLbls>
          <c:showLegendKey val="0"/>
          <c:showVal val="0"/>
          <c:showCatName val="0"/>
          <c:showSerName val="0"/>
          <c:showPercent val="0"/>
          <c:showBubbleSize val="0"/>
        </c:dLbls>
        <c:gapWidth val="60"/>
        <c:axId val="1607039583"/>
        <c:axId val="1607035743"/>
      </c:barChart>
      <c:valAx>
        <c:axId val="1607035743"/>
        <c:scaling>
          <c:orientation val="minMax"/>
        </c:scaling>
        <c:delete val="1"/>
        <c:axPos val="t"/>
        <c:numFmt formatCode="General" sourceLinked="1"/>
        <c:majorTickMark val="out"/>
        <c:minorTickMark val="none"/>
        <c:tickLblPos val="nextTo"/>
        <c:crossAx val="1607039583"/>
        <c:crosses val="autoZero"/>
        <c:crossBetween val="between"/>
      </c:valAx>
      <c:catAx>
        <c:axId val="16070395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0357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TABLES!ExitedByTenure</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749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749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749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78146611341634E-2"/>
          <c:y val="9.3896713615023469E-2"/>
          <c:w val="0.93084370677731676"/>
          <c:h val="0.63382314886695501"/>
        </c:manualLayout>
      </c:layout>
      <c:barChart>
        <c:barDir val="col"/>
        <c:grouping val="clustered"/>
        <c:varyColors val="0"/>
        <c:ser>
          <c:idx val="0"/>
          <c:order val="0"/>
          <c:tx>
            <c:strRef>
              <c:f>'PIVOT TABLES'!$AF$12:$AF$13</c:f>
              <c:strCache>
                <c:ptCount val="1"/>
                <c:pt idx="0">
                  <c:v>Exited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TABLES'!$AE$14:$AE$20</c:f>
              <c:strCache>
                <c:ptCount val="6"/>
                <c:pt idx="0">
                  <c:v>0</c:v>
                </c:pt>
                <c:pt idx="1">
                  <c:v>1</c:v>
                </c:pt>
                <c:pt idx="2">
                  <c:v>2</c:v>
                </c:pt>
                <c:pt idx="3">
                  <c:v>3</c:v>
                </c:pt>
                <c:pt idx="4">
                  <c:v>4</c:v>
                </c:pt>
                <c:pt idx="5">
                  <c:v>5</c:v>
                </c:pt>
              </c:strCache>
            </c:strRef>
          </c:cat>
          <c:val>
            <c:numRef>
              <c:f>'PIVOT TABLES'!$AF$14:$AF$20</c:f>
              <c:numCache>
                <c:formatCode>General</c:formatCode>
                <c:ptCount val="6"/>
                <c:pt idx="0">
                  <c:v>121</c:v>
                </c:pt>
                <c:pt idx="1">
                  <c:v>100</c:v>
                </c:pt>
                <c:pt idx="2">
                  <c:v>76</c:v>
                </c:pt>
                <c:pt idx="3">
                  <c:v>46</c:v>
                </c:pt>
                <c:pt idx="4">
                  <c:v>50</c:v>
                </c:pt>
                <c:pt idx="5">
                  <c:v>21</c:v>
                </c:pt>
              </c:numCache>
            </c:numRef>
          </c:val>
          <c:extLst>
            <c:ext xmlns:c16="http://schemas.microsoft.com/office/drawing/2014/chart" uri="{C3380CC4-5D6E-409C-BE32-E72D297353CC}">
              <c16:uniqueId val="{00000002-4252-4CE4-B6E4-115892AB3B42}"/>
            </c:ext>
          </c:extLst>
        </c:ser>
        <c:dLbls>
          <c:showLegendKey val="0"/>
          <c:showVal val="0"/>
          <c:showCatName val="0"/>
          <c:showSerName val="0"/>
          <c:showPercent val="0"/>
          <c:showBubbleSize val="0"/>
        </c:dLbls>
        <c:gapWidth val="6"/>
        <c:overlap val="-27"/>
        <c:axId val="805052528"/>
        <c:axId val="805042928"/>
      </c:barChart>
      <c:catAx>
        <c:axId val="80505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42928"/>
        <c:crosses val="autoZero"/>
        <c:auto val="1"/>
        <c:lblAlgn val="ctr"/>
        <c:lblOffset val="100"/>
        <c:noMultiLvlLbl val="0"/>
      </c:catAx>
      <c:valAx>
        <c:axId val="805042928"/>
        <c:scaling>
          <c:orientation val="minMax"/>
        </c:scaling>
        <c:delete val="1"/>
        <c:axPos val="l"/>
        <c:numFmt formatCode="General" sourceLinked="1"/>
        <c:majorTickMark val="none"/>
        <c:minorTickMark val="none"/>
        <c:tickLblPos val="nextTo"/>
        <c:crossAx val="805052528"/>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TABLES!ActiveByTenure</c:name>
    <c:fmtId val="3"/>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10973936899862E-2"/>
          <c:y val="5.7870370370370371E-2"/>
          <c:w val="0.90397805212620042"/>
          <c:h val="0.67363116068824724"/>
        </c:manualLayout>
      </c:layout>
      <c:barChart>
        <c:barDir val="col"/>
        <c:grouping val="clustered"/>
        <c:varyColors val="0"/>
        <c:ser>
          <c:idx val="0"/>
          <c:order val="0"/>
          <c:tx>
            <c:strRef>
              <c:f>'PIVOT TABLES'!$AI$12:$AI$13</c:f>
              <c:strCache>
                <c:ptCount val="1"/>
                <c:pt idx="0">
                  <c:v>Active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TABLES'!$AH$14:$AH$23</c:f>
              <c:strCache>
                <c:ptCount val="9"/>
                <c:pt idx="0">
                  <c:v>0</c:v>
                </c:pt>
                <c:pt idx="1">
                  <c:v>1</c:v>
                </c:pt>
                <c:pt idx="2">
                  <c:v>2</c:v>
                </c:pt>
                <c:pt idx="3">
                  <c:v>3</c:v>
                </c:pt>
                <c:pt idx="4">
                  <c:v>4</c:v>
                </c:pt>
                <c:pt idx="5">
                  <c:v>5</c:v>
                </c:pt>
                <c:pt idx="6">
                  <c:v>6</c:v>
                </c:pt>
                <c:pt idx="7">
                  <c:v>7</c:v>
                </c:pt>
                <c:pt idx="8">
                  <c:v>8</c:v>
                </c:pt>
              </c:strCache>
            </c:strRef>
          </c:cat>
          <c:val>
            <c:numRef>
              <c:f>'PIVOT TABLES'!$AI$14:$AI$23</c:f>
              <c:numCache>
                <c:formatCode>General</c:formatCode>
                <c:ptCount val="9"/>
                <c:pt idx="0">
                  <c:v>42</c:v>
                </c:pt>
                <c:pt idx="1">
                  <c:v>79</c:v>
                </c:pt>
                <c:pt idx="2">
                  <c:v>80</c:v>
                </c:pt>
                <c:pt idx="3">
                  <c:v>80</c:v>
                </c:pt>
                <c:pt idx="4">
                  <c:v>82</c:v>
                </c:pt>
                <c:pt idx="5">
                  <c:v>83</c:v>
                </c:pt>
                <c:pt idx="6">
                  <c:v>96</c:v>
                </c:pt>
                <c:pt idx="7">
                  <c:v>91</c:v>
                </c:pt>
                <c:pt idx="8">
                  <c:v>34</c:v>
                </c:pt>
              </c:numCache>
            </c:numRef>
          </c:val>
          <c:extLst>
            <c:ext xmlns:c16="http://schemas.microsoft.com/office/drawing/2014/chart" uri="{C3380CC4-5D6E-409C-BE32-E72D297353CC}">
              <c16:uniqueId val="{00000000-8D30-4080-98B8-D6B3D1123B9B}"/>
            </c:ext>
          </c:extLst>
        </c:ser>
        <c:dLbls>
          <c:showLegendKey val="0"/>
          <c:showVal val="0"/>
          <c:showCatName val="0"/>
          <c:showSerName val="0"/>
          <c:showPercent val="0"/>
          <c:showBubbleSize val="0"/>
        </c:dLbls>
        <c:gapWidth val="6"/>
        <c:overlap val="-27"/>
        <c:axId val="804961808"/>
        <c:axId val="804960848"/>
      </c:barChart>
      <c:catAx>
        <c:axId val="80496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960848"/>
        <c:crosses val="autoZero"/>
        <c:auto val="1"/>
        <c:lblAlgn val="ctr"/>
        <c:lblOffset val="100"/>
        <c:noMultiLvlLbl val="0"/>
      </c:catAx>
      <c:valAx>
        <c:axId val="804960848"/>
        <c:scaling>
          <c:orientation val="minMax"/>
        </c:scaling>
        <c:delete val="1"/>
        <c:axPos val="l"/>
        <c:numFmt formatCode="General" sourceLinked="1"/>
        <c:majorTickMark val="none"/>
        <c:minorTickMark val="none"/>
        <c:tickLblPos val="nextTo"/>
        <c:crossAx val="80496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Company Turnover Rate</a:t>
            </a:r>
            <a:r>
              <a:rPr lang="en-PH" baseline="0"/>
              <a:t> %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76549A"/>
              </a:solidFill>
              <a:round/>
            </a:ln>
            <a:effectLst/>
          </c:spPr>
          <c:marker>
            <c:symbol val="none"/>
          </c:marker>
          <c:trendline>
            <c:spPr>
              <a:ln w="19050" cap="rnd">
                <a:solidFill>
                  <a:srgbClr val="76549A"/>
                </a:solidFill>
                <a:prstDash val="sysDot"/>
              </a:ln>
              <a:effectLst/>
            </c:spPr>
            <c:trendlineType val="linear"/>
            <c:dispRSqr val="0"/>
            <c:dispEq val="0"/>
          </c:trendline>
          <c:cat>
            <c:strRef>
              <c:f>'PIVOT TABLES'!$V$5:$V$38</c:f>
              <c:strCache>
                <c:ptCount val="34"/>
                <c:pt idx="0">
                  <c:v>Q1 2018</c:v>
                </c:pt>
                <c:pt idx="1">
                  <c:v>Q2 2018</c:v>
                </c:pt>
                <c:pt idx="2">
                  <c:v>Q3 2018</c:v>
                </c:pt>
                <c:pt idx="3">
                  <c:v>Q4 2018</c:v>
                </c:pt>
                <c:pt idx="4">
                  <c:v>Q1 2019</c:v>
                </c:pt>
                <c:pt idx="5">
                  <c:v>Q2 2019</c:v>
                </c:pt>
                <c:pt idx="6">
                  <c:v>Q3 2019</c:v>
                </c:pt>
                <c:pt idx="7">
                  <c:v>Q4 2019</c:v>
                </c:pt>
                <c:pt idx="8">
                  <c:v>Q1 2020</c:v>
                </c:pt>
                <c:pt idx="9">
                  <c:v>Q2 2020</c:v>
                </c:pt>
                <c:pt idx="10">
                  <c:v>Q3 2020</c:v>
                </c:pt>
                <c:pt idx="11">
                  <c:v>Q4 2020</c:v>
                </c:pt>
                <c:pt idx="12">
                  <c:v>Q1 2021</c:v>
                </c:pt>
                <c:pt idx="13">
                  <c:v>Q2 2021</c:v>
                </c:pt>
                <c:pt idx="14">
                  <c:v>Q3 2021</c:v>
                </c:pt>
                <c:pt idx="15">
                  <c:v>Q4 2021</c:v>
                </c:pt>
                <c:pt idx="16">
                  <c:v>Q1 2022</c:v>
                </c:pt>
                <c:pt idx="17">
                  <c:v>Q2 2022</c:v>
                </c:pt>
                <c:pt idx="18">
                  <c:v>Q3 2022</c:v>
                </c:pt>
                <c:pt idx="19">
                  <c:v>Q4 2022</c:v>
                </c:pt>
                <c:pt idx="20">
                  <c:v>Q1 2023</c:v>
                </c:pt>
                <c:pt idx="21">
                  <c:v>Q2 2023</c:v>
                </c:pt>
                <c:pt idx="22">
                  <c:v>Q3 2023</c:v>
                </c:pt>
                <c:pt idx="23">
                  <c:v>Q4 2023</c:v>
                </c:pt>
                <c:pt idx="24">
                  <c:v>Q1 2024</c:v>
                </c:pt>
                <c:pt idx="25">
                  <c:v>Q2 2024</c:v>
                </c:pt>
                <c:pt idx="26">
                  <c:v>Q3 2024</c:v>
                </c:pt>
                <c:pt idx="27">
                  <c:v>Q4 2024</c:v>
                </c:pt>
                <c:pt idx="28">
                  <c:v>Q1 2025</c:v>
                </c:pt>
                <c:pt idx="29">
                  <c:v>Q2 2025</c:v>
                </c:pt>
                <c:pt idx="30">
                  <c:v>Q3 2025</c:v>
                </c:pt>
                <c:pt idx="31">
                  <c:v>Q4 2025</c:v>
                </c:pt>
                <c:pt idx="32">
                  <c:v>Q1 2026</c:v>
                </c:pt>
                <c:pt idx="33">
                  <c:v>Q2 2026</c:v>
                </c:pt>
              </c:strCache>
            </c:strRef>
          </c:cat>
          <c:val>
            <c:numRef>
              <c:f>'PIVOT TABLES'!$AB$5:$AB$38</c:f>
              <c:numCache>
                <c:formatCode>0.0%</c:formatCode>
                <c:ptCount val="34"/>
                <c:pt idx="0">
                  <c:v>0</c:v>
                </c:pt>
                <c:pt idx="1">
                  <c:v>2.3255813953488372E-2</c:v>
                </c:pt>
                <c:pt idx="2">
                  <c:v>2.564102564102564E-2</c:v>
                </c:pt>
                <c:pt idx="3">
                  <c:v>0</c:v>
                </c:pt>
                <c:pt idx="4">
                  <c:v>0</c:v>
                </c:pt>
                <c:pt idx="5">
                  <c:v>5.0125313283208017E-3</c:v>
                </c:pt>
                <c:pt idx="6">
                  <c:v>2.643171806167401E-2</c:v>
                </c:pt>
                <c:pt idx="7">
                  <c:v>1.5444015444015444E-2</c:v>
                </c:pt>
                <c:pt idx="8">
                  <c:v>3.1195840554592721E-2</c:v>
                </c:pt>
                <c:pt idx="9">
                  <c:v>2.247191011235955E-2</c:v>
                </c:pt>
                <c:pt idx="10">
                  <c:v>1.4727540500736377E-2</c:v>
                </c:pt>
                <c:pt idx="11">
                  <c:v>5.4200542005420054E-3</c:v>
                </c:pt>
                <c:pt idx="12">
                  <c:v>1.7632241813602016E-2</c:v>
                </c:pt>
                <c:pt idx="13">
                  <c:v>6.9767441860465115E-3</c:v>
                </c:pt>
                <c:pt idx="14">
                  <c:v>1.3057671381936888E-2</c:v>
                </c:pt>
                <c:pt idx="15">
                  <c:v>1.6614745586708203E-2</c:v>
                </c:pt>
                <c:pt idx="16">
                  <c:v>1.3847675568743818E-2</c:v>
                </c:pt>
                <c:pt idx="17">
                  <c:v>2.8301886792452831E-2</c:v>
                </c:pt>
                <c:pt idx="18">
                  <c:v>2.3593466424682397E-2</c:v>
                </c:pt>
                <c:pt idx="19">
                  <c:v>2.4475524475524476E-2</c:v>
                </c:pt>
                <c:pt idx="20">
                  <c:v>2.201524132091448E-2</c:v>
                </c:pt>
                <c:pt idx="21">
                  <c:v>1.8003273322422259E-2</c:v>
                </c:pt>
                <c:pt idx="22">
                  <c:v>2.3622047244094488E-2</c:v>
                </c:pt>
                <c:pt idx="23">
                  <c:v>3.0534351145038167E-2</c:v>
                </c:pt>
                <c:pt idx="24">
                  <c:v>2.6905829596412557E-2</c:v>
                </c:pt>
                <c:pt idx="25">
                  <c:v>2.3494860499265784E-2</c:v>
                </c:pt>
                <c:pt idx="26">
                  <c:v>2.3038156947444204E-2</c:v>
                </c:pt>
                <c:pt idx="27">
                  <c:v>2.9723991507430998E-2</c:v>
                </c:pt>
                <c:pt idx="28">
                  <c:v>4.360056258790436E-2</c:v>
                </c:pt>
                <c:pt idx="29">
                  <c:v>3.6363636363636362E-2</c:v>
                </c:pt>
                <c:pt idx="30">
                  <c:v>3.0240549828178694E-2</c:v>
                </c:pt>
                <c:pt idx="31">
                  <c:v>5.0684931506849315E-2</c:v>
                </c:pt>
                <c:pt idx="32">
                  <c:v>5.0919377652050922E-2</c:v>
                </c:pt>
                <c:pt idx="33">
                  <c:v>3.2448377581120944E-2</c:v>
                </c:pt>
              </c:numCache>
            </c:numRef>
          </c:val>
          <c:smooth val="0"/>
          <c:extLst>
            <c:ext xmlns:c16="http://schemas.microsoft.com/office/drawing/2014/chart" uri="{C3380CC4-5D6E-409C-BE32-E72D297353CC}">
              <c16:uniqueId val="{00000000-41E1-4BDC-B7B8-64CA57D6D316}"/>
            </c:ext>
          </c:extLst>
        </c:ser>
        <c:dLbls>
          <c:showLegendKey val="0"/>
          <c:showVal val="0"/>
          <c:showCatName val="0"/>
          <c:showSerName val="0"/>
          <c:showPercent val="0"/>
          <c:showBubbleSize val="0"/>
        </c:dLbls>
        <c:smooth val="0"/>
        <c:axId val="877841727"/>
        <c:axId val="877826847"/>
      </c:lineChart>
      <c:catAx>
        <c:axId val="87784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26847"/>
        <c:crosses val="autoZero"/>
        <c:auto val="1"/>
        <c:lblAlgn val="ctr"/>
        <c:lblOffset val="100"/>
        <c:noMultiLvlLbl val="0"/>
      </c:catAx>
      <c:valAx>
        <c:axId val="8778268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4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solidFill>
                  <a:srgbClr val="00B050"/>
                </a:solidFill>
              </a:rPr>
              <a:t>Active</a:t>
            </a:r>
            <a:r>
              <a:rPr lang="en-PH" baseline="0"/>
              <a:t> vs. </a:t>
            </a:r>
            <a:r>
              <a:rPr lang="en-PH" baseline="0">
                <a:solidFill>
                  <a:srgbClr val="FF0000"/>
                </a:solidFill>
              </a:rPr>
              <a:t>Exited</a:t>
            </a:r>
            <a:r>
              <a:rPr lang="en-PH" baseline="0"/>
              <a:t> by Age Bracket</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bar"/>
        <c:grouping val="clustered"/>
        <c:varyColors val="0"/>
        <c:ser>
          <c:idx val="0"/>
          <c:order val="0"/>
          <c:tx>
            <c:strRef>
              <c:f>helpers!$D$14</c:f>
              <c:strCache>
                <c:ptCount val="1"/>
                <c:pt idx="0">
                  <c:v>Active</c:v>
                </c:pt>
              </c:strCache>
            </c:strRef>
          </c:tx>
          <c:spPr>
            <a:solidFill>
              <a:srgbClr val="00B050"/>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helpers!$B$15:$B$19</c:f>
              <c:strCache>
                <c:ptCount val="5"/>
                <c:pt idx="0">
                  <c:v>20s</c:v>
                </c:pt>
                <c:pt idx="1">
                  <c:v>30s</c:v>
                </c:pt>
                <c:pt idx="2">
                  <c:v>40s</c:v>
                </c:pt>
                <c:pt idx="3">
                  <c:v>50s</c:v>
                </c:pt>
                <c:pt idx="4">
                  <c:v>60s</c:v>
                </c:pt>
              </c:strCache>
            </c:strRef>
          </c:cat>
          <c:val>
            <c:numRef>
              <c:f>helpers!$D$15:$D$19</c:f>
              <c:numCache>
                <c:formatCode>General</c:formatCode>
                <c:ptCount val="5"/>
                <c:pt idx="0">
                  <c:v>-153</c:v>
                </c:pt>
                <c:pt idx="1">
                  <c:v>-162</c:v>
                </c:pt>
                <c:pt idx="2">
                  <c:v>-198</c:v>
                </c:pt>
                <c:pt idx="3">
                  <c:v>-154</c:v>
                </c:pt>
              </c:numCache>
            </c:numRef>
          </c:val>
          <c:extLst>
            <c:ext xmlns:c16="http://schemas.microsoft.com/office/drawing/2014/chart" uri="{C3380CC4-5D6E-409C-BE32-E72D297353CC}">
              <c16:uniqueId val="{00000000-2CE9-4269-8421-255C790DA122}"/>
            </c:ext>
          </c:extLst>
        </c:ser>
        <c:ser>
          <c:idx val="1"/>
          <c:order val="1"/>
          <c:tx>
            <c:strRef>
              <c:f>helpers!$E$14</c:f>
              <c:strCache>
                <c:ptCount val="1"/>
                <c:pt idx="0">
                  <c:v>Exited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helpers!$B$15:$B$19</c:f>
              <c:strCache>
                <c:ptCount val="5"/>
                <c:pt idx="0">
                  <c:v>20s</c:v>
                </c:pt>
                <c:pt idx="1">
                  <c:v>30s</c:v>
                </c:pt>
                <c:pt idx="2">
                  <c:v>40s</c:v>
                </c:pt>
                <c:pt idx="3">
                  <c:v>50s</c:v>
                </c:pt>
                <c:pt idx="4">
                  <c:v>60s</c:v>
                </c:pt>
              </c:strCache>
            </c:strRef>
          </c:cat>
          <c:val>
            <c:numRef>
              <c:f>helpers!$E$15:$E$19</c:f>
              <c:numCache>
                <c:formatCode>General</c:formatCode>
                <c:ptCount val="5"/>
                <c:pt idx="0">
                  <c:v>92</c:v>
                </c:pt>
                <c:pt idx="1">
                  <c:v>83</c:v>
                </c:pt>
                <c:pt idx="2">
                  <c:v>101</c:v>
                </c:pt>
                <c:pt idx="3">
                  <c:v>119</c:v>
                </c:pt>
                <c:pt idx="4">
                  <c:v>19</c:v>
                </c:pt>
              </c:numCache>
            </c:numRef>
          </c:val>
          <c:extLst>
            <c:ext xmlns:c16="http://schemas.microsoft.com/office/drawing/2014/chart" uri="{C3380CC4-5D6E-409C-BE32-E72D297353CC}">
              <c16:uniqueId val="{00000001-2CE9-4269-8421-255C790DA122}"/>
            </c:ext>
          </c:extLst>
        </c:ser>
        <c:dLbls>
          <c:showLegendKey val="0"/>
          <c:showVal val="0"/>
          <c:showCatName val="0"/>
          <c:showSerName val="0"/>
          <c:showPercent val="0"/>
          <c:showBubbleSize val="0"/>
        </c:dLbls>
        <c:gapWidth val="15"/>
        <c:overlap val="100"/>
        <c:axId val="1792011935"/>
        <c:axId val="1791999935"/>
      </c:barChart>
      <c:catAx>
        <c:axId val="1792011935"/>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999935"/>
        <c:crosses val="autoZero"/>
        <c:auto val="1"/>
        <c:lblAlgn val="ctr"/>
        <c:lblOffset val="100"/>
        <c:noMultiLvlLbl val="0"/>
      </c:catAx>
      <c:valAx>
        <c:axId val="1791999935"/>
        <c:scaling>
          <c:orientation val="minMax"/>
        </c:scaling>
        <c:delete val="1"/>
        <c:axPos val="t"/>
        <c:numFmt formatCode="General" sourceLinked="1"/>
        <c:majorTickMark val="none"/>
        <c:minorTickMark val="none"/>
        <c:tickLblPos val="nextTo"/>
        <c:crossAx val="179201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TABLES!NewHiresVsExits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solidFill>
                  <a:srgbClr val="00B050"/>
                </a:solidFill>
              </a:rPr>
              <a:t>New</a:t>
            </a:r>
            <a:r>
              <a:rPr lang="en-PH" baseline="0">
                <a:solidFill>
                  <a:srgbClr val="00B050"/>
                </a:solidFill>
              </a:rPr>
              <a:t> Hires </a:t>
            </a:r>
            <a:r>
              <a:rPr lang="en-PH" baseline="0"/>
              <a:t>vs. </a:t>
            </a:r>
            <a:r>
              <a:rPr lang="en-PH" baseline="0">
                <a:solidFill>
                  <a:srgbClr val="C00000"/>
                </a:solidFill>
              </a:rPr>
              <a:t>Exits</a:t>
            </a:r>
            <a:r>
              <a:rPr lang="en-PH" baseline="0"/>
              <a:t> Over Time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85857011825275E-2"/>
          <c:y val="0.17383139752363791"/>
          <c:w val="0.94048590632489426"/>
          <c:h val="0.5292893457143597"/>
        </c:manualLayout>
      </c:layout>
      <c:lineChart>
        <c:grouping val="standard"/>
        <c:varyColors val="0"/>
        <c:ser>
          <c:idx val="0"/>
          <c:order val="0"/>
          <c:tx>
            <c:strRef>
              <c:f>'PIVOT TABLES'!$P$4:$P$5</c:f>
              <c:strCache>
                <c:ptCount val="1"/>
                <c:pt idx="0">
                  <c:v>Active</c:v>
                </c:pt>
              </c:strCache>
            </c:strRef>
          </c:tx>
          <c:spPr>
            <a:ln w="28575" cap="rnd">
              <a:solidFill>
                <a:srgbClr val="00B050"/>
              </a:solidFill>
              <a:round/>
            </a:ln>
            <a:effectLst/>
          </c:spPr>
          <c:marker>
            <c:symbol val="none"/>
          </c:marker>
          <c:cat>
            <c:multiLvlStrRef>
              <c:f>'PIVOT TABLES'!$O$6:$O$46</c:f>
              <c:multiLvlStrCache>
                <c:ptCount val="32"/>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lvl>
                <c:lvl>
                  <c:pt idx="0">
                    <c:v>2018</c:v>
                  </c:pt>
                  <c:pt idx="4">
                    <c:v>2019</c:v>
                  </c:pt>
                  <c:pt idx="8">
                    <c:v>2020</c:v>
                  </c:pt>
                  <c:pt idx="12">
                    <c:v>2021</c:v>
                  </c:pt>
                  <c:pt idx="16">
                    <c:v>2022</c:v>
                  </c:pt>
                  <c:pt idx="20">
                    <c:v>2023</c:v>
                  </c:pt>
                  <c:pt idx="24">
                    <c:v>2024</c:v>
                  </c:pt>
                  <c:pt idx="28">
                    <c:v>2025</c:v>
                  </c:pt>
                </c:lvl>
              </c:multiLvlStrCache>
            </c:multiLvlStrRef>
          </c:cat>
          <c:val>
            <c:numRef>
              <c:f>'PIVOT TABLES'!$P$6:$P$46</c:f>
              <c:numCache>
                <c:formatCode>General</c:formatCode>
                <c:ptCount val="32"/>
                <c:pt idx="0">
                  <c:v>18</c:v>
                </c:pt>
                <c:pt idx="1">
                  <c:v>21</c:v>
                </c:pt>
                <c:pt idx="2">
                  <c:v>19</c:v>
                </c:pt>
                <c:pt idx="3">
                  <c:v>24</c:v>
                </c:pt>
                <c:pt idx="4">
                  <c:v>30</c:v>
                </c:pt>
                <c:pt idx="5">
                  <c:v>14</c:v>
                </c:pt>
                <c:pt idx="6">
                  <c:v>25</c:v>
                </c:pt>
                <c:pt idx="7">
                  <c:v>27</c:v>
                </c:pt>
                <c:pt idx="8">
                  <c:v>21</c:v>
                </c:pt>
                <c:pt idx="9">
                  <c:v>24</c:v>
                </c:pt>
                <c:pt idx="10">
                  <c:v>22</c:v>
                </c:pt>
                <c:pt idx="11">
                  <c:v>13</c:v>
                </c:pt>
                <c:pt idx="12">
                  <c:v>24</c:v>
                </c:pt>
                <c:pt idx="13">
                  <c:v>27</c:v>
                </c:pt>
                <c:pt idx="14">
                  <c:v>17</c:v>
                </c:pt>
                <c:pt idx="15">
                  <c:v>19</c:v>
                </c:pt>
                <c:pt idx="16">
                  <c:v>26</c:v>
                </c:pt>
                <c:pt idx="17">
                  <c:v>16</c:v>
                </c:pt>
                <c:pt idx="18">
                  <c:v>18</c:v>
                </c:pt>
                <c:pt idx="19">
                  <c:v>23</c:v>
                </c:pt>
                <c:pt idx="20">
                  <c:v>18</c:v>
                </c:pt>
                <c:pt idx="21">
                  <c:v>22</c:v>
                </c:pt>
                <c:pt idx="22">
                  <c:v>22</c:v>
                </c:pt>
                <c:pt idx="23">
                  <c:v>22</c:v>
                </c:pt>
                <c:pt idx="24">
                  <c:v>16</c:v>
                </c:pt>
                <c:pt idx="25">
                  <c:v>20</c:v>
                </c:pt>
                <c:pt idx="26">
                  <c:v>18</c:v>
                </c:pt>
                <c:pt idx="27">
                  <c:v>17</c:v>
                </c:pt>
                <c:pt idx="28">
                  <c:v>21</c:v>
                </c:pt>
                <c:pt idx="29">
                  <c:v>22</c:v>
                </c:pt>
                <c:pt idx="30">
                  <c:v>23</c:v>
                </c:pt>
                <c:pt idx="31">
                  <c:v>18</c:v>
                </c:pt>
              </c:numCache>
            </c:numRef>
          </c:val>
          <c:smooth val="0"/>
          <c:extLst>
            <c:ext xmlns:c16="http://schemas.microsoft.com/office/drawing/2014/chart" uri="{C3380CC4-5D6E-409C-BE32-E72D297353CC}">
              <c16:uniqueId val="{00000000-ADA1-45AF-92BA-AA0EC5C8F1F7}"/>
            </c:ext>
          </c:extLst>
        </c:ser>
        <c:dLbls>
          <c:showLegendKey val="0"/>
          <c:showVal val="0"/>
          <c:showCatName val="0"/>
          <c:showSerName val="0"/>
          <c:showPercent val="0"/>
          <c:showBubbleSize val="0"/>
        </c:dLbls>
        <c:smooth val="0"/>
        <c:axId val="1792018175"/>
        <c:axId val="1792008095"/>
      </c:lineChart>
      <c:catAx>
        <c:axId val="1792018175"/>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792008095"/>
        <c:crosses val="autoZero"/>
        <c:auto val="1"/>
        <c:lblAlgn val="ctr"/>
        <c:lblOffset val="100"/>
        <c:noMultiLvlLbl val="0"/>
      </c:catAx>
      <c:valAx>
        <c:axId val="179200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79201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[employee-tracking.xlsx]PIVOT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63191077703614E-2"/>
          <c:y val="0.31281557377049185"/>
          <c:w val="0.94663171758793319"/>
          <c:h val="0.42299681238615677"/>
        </c:manualLayout>
      </c:layout>
      <c:lineChart>
        <c:grouping val="standard"/>
        <c:varyColors val="0"/>
        <c:ser>
          <c:idx val="0"/>
          <c:order val="0"/>
          <c:tx>
            <c:strRef>
              <c:f>'PIVOT TABLES'!$S$4:$S$5</c:f>
              <c:strCache>
                <c:ptCount val="1"/>
                <c:pt idx="0">
                  <c:v>Exited</c:v>
                </c:pt>
              </c:strCache>
            </c:strRef>
          </c:tx>
          <c:spPr>
            <a:ln w="28575" cap="rnd">
              <a:solidFill>
                <a:srgbClr val="FF0000"/>
              </a:solidFill>
              <a:round/>
            </a:ln>
            <a:effectLst/>
          </c:spPr>
          <c:marker>
            <c:symbol val="none"/>
          </c:marker>
          <c:cat>
            <c:multiLvlStrRef>
              <c:f>'PIVOT TABLES'!$R$6:$R$51</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2018</c:v>
                  </c:pt>
                  <c:pt idx="4">
                    <c:v>2019</c:v>
                  </c:pt>
                  <c:pt idx="8">
                    <c:v>2020</c:v>
                  </c:pt>
                  <c:pt idx="12">
                    <c:v>2021</c:v>
                  </c:pt>
                  <c:pt idx="16">
                    <c:v>2022</c:v>
                  </c:pt>
                  <c:pt idx="20">
                    <c:v>2023</c:v>
                  </c:pt>
                  <c:pt idx="24">
                    <c:v>2024</c:v>
                  </c:pt>
                  <c:pt idx="28">
                    <c:v>2025</c:v>
                  </c:pt>
                  <c:pt idx="32">
                    <c:v>2026</c:v>
                  </c:pt>
                </c:lvl>
              </c:multiLvlStrCache>
            </c:multiLvlStrRef>
          </c:cat>
          <c:val>
            <c:numRef>
              <c:f>'PIVOT TABLES'!$S$6:$S$51</c:f>
              <c:numCache>
                <c:formatCode>General</c:formatCode>
                <c:ptCount val="36"/>
                <c:pt idx="1">
                  <c:v>1</c:v>
                </c:pt>
                <c:pt idx="2">
                  <c:v>2</c:v>
                </c:pt>
                <c:pt idx="5">
                  <c:v>1</c:v>
                </c:pt>
                <c:pt idx="6">
                  <c:v>6</c:v>
                </c:pt>
                <c:pt idx="7">
                  <c:v>4</c:v>
                </c:pt>
                <c:pt idx="8">
                  <c:v>9</c:v>
                </c:pt>
                <c:pt idx="9">
                  <c:v>7</c:v>
                </c:pt>
                <c:pt idx="10">
                  <c:v>5</c:v>
                </c:pt>
                <c:pt idx="11">
                  <c:v>2</c:v>
                </c:pt>
                <c:pt idx="12">
                  <c:v>7</c:v>
                </c:pt>
                <c:pt idx="13">
                  <c:v>3</c:v>
                </c:pt>
                <c:pt idx="14">
                  <c:v>6</c:v>
                </c:pt>
                <c:pt idx="15">
                  <c:v>8</c:v>
                </c:pt>
                <c:pt idx="16">
                  <c:v>7</c:v>
                </c:pt>
                <c:pt idx="17">
                  <c:v>15</c:v>
                </c:pt>
                <c:pt idx="18">
                  <c:v>13</c:v>
                </c:pt>
                <c:pt idx="19">
                  <c:v>14</c:v>
                </c:pt>
                <c:pt idx="20">
                  <c:v>13</c:v>
                </c:pt>
                <c:pt idx="21">
                  <c:v>11</c:v>
                </c:pt>
                <c:pt idx="22">
                  <c:v>15</c:v>
                </c:pt>
                <c:pt idx="23">
                  <c:v>20</c:v>
                </c:pt>
                <c:pt idx="24">
                  <c:v>18</c:v>
                </c:pt>
                <c:pt idx="25">
                  <c:v>16</c:v>
                </c:pt>
                <c:pt idx="26">
                  <c:v>16</c:v>
                </c:pt>
                <c:pt idx="27">
                  <c:v>21</c:v>
                </c:pt>
                <c:pt idx="28">
                  <c:v>31</c:v>
                </c:pt>
                <c:pt idx="29">
                  <c:v>26</c:v>
                </c:pt>
                <c:pt idx="30">
                  <c:v>22</c:v>
                </c:pt>
                <c:pt idx="31">
                  <c:v>37</c:v>
                </c:pt>
                <c:pt idx="32">
                  <c:v>36</c:v>
                </c:pt>
                <c:pt idx="33">
                  <c:v>22</c:v>
                </c:pt>
              </c:numCache>
            </c:numRef>
          </c:val>
          <c:smooth val="0"/>
          <c:extLst>
            <c:ext xmlns:c16="http://schemas.microsoft.com/office/drawing/2014/chart" uri="{C3380CC4-5D6E-409C-BE32-E72D297353CC}">
              <c16:uniqueId val="{00000000-B3F2-4939-B552-90087AD4B11E}"/>
            </c:ext>
          </c:extLst>
        </c:ser>
        <c:dLbls>
          <c:showLegendKey val="0"/>
          <c:showVal val="0"/>
          <c:showCatName val="0"/>
          <c:showSerName val="0"/>
          <c:showPercent val="0"/>
          <c:showBubbleSize val="0"/>
        </c:dLbls>
        <c:smooth val="0"/>
        <c:axId val="372459296"/>
        <c:axId val="372458816"/>
      </c:lineChart>
      <c:catAx>
        <c:axId val="3724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58816"/>
        <c:crosses val="autoZero"/>
        <c:auto val="1"/>
        <c:lblAlgn val="ctr"/>
        <c:lblOffset val="100"/>
        <c:noMultiLvlLbl val="0"/>
      </c:catAx>
      <c:valAx>
        <c:axId val="37245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5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3.xml"/><Relationship Id="rId28" Type="http://schemas.openxmlformats.org/officeDocument/2006/relationships/chart" Target="../charts/chart8.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2.xml"/><Relationship Id="rId27" Type="http://schemas.openxmlformats.org/officeDocument/2006/relationships/chart" Target="../charts/chart7.xml"/><Relationship Id="rId30"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xdr:rowOff>
    </xdr:from>
    <xdr:to>
      <xdr:col>11</xdr:col>
      <xdr:colOff>0</xdr:colOff>
      <xdr:row>10</xdr:row>
      <xdr:rowOff>106680</xdr:rowOff>
    </xdr:to>
    <xdr:sp macro="" textlink="">
      <xdr:nvSpPr>
        <xdr:cNvPr id="2" name="Rectangle 1" hidden="1">
          <a:extLst>
            <a:ext uri="{FF2B5EF4-FFF2-40B4-BE49-F238E27FC236}">
              <a16:creationId xmlns:a16="http://schemas.microsoft.com/office/drawing/2014/main" id="{54349E57-3510-6C4D-710C-8EC4CDF5D9D9}"/>
            </a:ext>
          </a:extLst>
        </xdr:cNvPr>
        <xdr:cNvSpPr/>
      </xdr:nvSpPr>
      <xdr:spPr>
        <a:xfrm>
          <a:off x="0" y="556260"/>
          <a:ext cx="14462760" cy="137922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solidFill>
              <a:schemeClr val="bg1"/>
            </a:solidFill>
          </a:endParaRPr>
        </a:p>
      </xdr:txBody>
    </xdr:sp>
    <xdr:clientData/>
  </xdr:twoCellAnchor>
  <xdr:twoCellAnchor>
    <xdr:from>
      <xdr:col>0</xdr:col>
      <xdr:colOff>0</xdr:colOff>
      <xdr:row>0</xdr:row>
      <xdr:rowOff>0</xdr:rowOff>
    </xdr:from>
    <xdr:to>
      <xdr:col>11</xdr:col>
      <xdr:colOff>7619</xdr:colOff>
      <xdr:row>10</xdr:row>
      <xdr:rowOff>117564</xdr:rowOff>
    </xdr:to>
    <xdr:sp macro="" textlink="">
      <xdr:nvSpPr>
        <xdr:cNvPr id="39" name="Rectangle: Top Corners Rounded 38">
          <a:extLst>
            <a:ext uri="{FF2B5EF4-FFF2-40B4-BE49-F238E27FC236}">
              <a16:creationId xmlns:a16="http://schemas.microsoft.com/office/drawing/2014/main" id="{DC292516-F4EA-A5E3-B790-F142B3DE8782}"/>
            </a:ext>
          </a:extLst>
        </xdr:cNvPr>
        <xdr:cNvSpPr/>
      </xdr:nvSpPr>
      <xdr:spPr>
        <a:xfrm rot="10800000">
          <a:off x="0" y="0"/>
          <a:ext cx="14470379" cy="1946364"/>
        </a:xfrm>
        <a:prstGeom prst="round2SameRect">
          <a:avLst>
            <a:gd name="adj1" fmla="val 10715"/>
            <a:gd name="adj2" fmla="val 0"/>
          </a:avLst>
        </a:prstGeom>
        <a:solidFill>
          <a:srgbClr val="76549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PH" sz="1100">
            <a:solidFill>
              <a:schemeClr val="bg1"/>
            </a:solidFill>
            <a:latin typeface="+mn-lt"/>
            <a:ea typeface="+mn-ea"/>
            <a:cs typeface="+mn-cs"/>
          </a:endParaRPr>
        </a:p>
      </xdr:txBody>
    </xdr:sp>
    <xdr:clientData/>
  </xdr:twoCellAnchor>
  <xdr:twoCellAnchor>
    <xdr:from>
      <xdr:col>1</xdr:col>
      <xdr:colOff>655320</xdr:colOff>
      <xdr:row>0</xdr:row>
      <xdr:rowOff>106680</xdr:rowOff>
    </xdr:from>
    <xdr:to>
      <xdr:col>5</xdr:col>
      <xdr:colOff>129540</xdr:colOff>
      <xdr:row>2</xdr:row>
      <xdr:rowOff>114300</xdr:rowOff>
    </xdr:to>
    <xdr:sp macro="" textlink="">
      <xdr:nvSpPr>
        <xdr:cNvPr id="10" name="HR Dept">
          <a:extLst>
            <a:ext uri="{FF2B5EF4-FFF2-40B4-BE49-F238E27FC236}">
              <a16:creationId xmlns:a16="http://schemas.microsoft.com/office/drawing/2014/main" id="{35408FC6-86B4-2D74-14A8-A76E3377C007}"/>
            </a:ext>
          </a:extLst>
        </xdr:cNvPr>
        <xdr:cNvSpPr txBox="1"/>
      </xdr:nvSpPr>
      <xdr:spPr>
        <a:xfrm>
          <a:off x="769620" y="106680"/>
          <a:ext cx="57835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b="1">
              <a:solidFill>
                <a:schemeClr val="bg1"/>
              </a:solidFill>
            </a:rPr>
            <a:t>Human</a:t>
          </a:r>
          <a:r>
            <a:rPr lang="en-PH" sz="1600" b="1" baseline="0">
              <a:solidFill>
                <a:schemeClr val="bg1"/>
              </a:solidFill>
            </a:rPr>
            <a:t> Resource Department</a:t>
          </a:r>
          <a:endParaRPr lang="en-PH" sz="1600" b="1">
            <a:solidFill>
              <a:schemeClr val="bg1"/>
            </a:solidFill>
          </a:endParaRPr>
        </a:p>
      </xdr:txBody>
    </xdr:sp>
    <xdr:clientData/>
  </xdr:twoCellAnchor>
  <xdr:twoCellAnchor>
    <xdr:from>
      <xdr:col>0</xdr:col>
      <xdr:colOff>83820</xdr:colOff>
      <xdr:row>0</xdr:row>
      <xdr:rowOff>30480</xdr:rowOff>
    </xdr:from>
    <xdr:to>
      <xdr:col>1</xdr:col>
      <xdr:colOff>662940</xdr:colOff>
      <xdr:row>3</xdr:row>
      <xdr:rowOff>0</xdr:rowOff>
    </xdr:to>
    <xdr:sp macro="" textlink="">
      <xdr:nvSpPr>
        <xdr:cNvPr id="11" name="Logo" hidden="1">
          <a:extLst>
            <a:ext uri="{FF2B5EF4-FFF2-40B4-BE49-F238E27FC236}">
              <a16:creationId xmlns:a16="http://schemas.microsoft.com/office/drawing/2014/main" id="{DCF8F4DD-2F7A-1A52-0349-DEF0A61E3822}"/>
            </a:ext>
          </a:extLst>
        </xdr:cNvPr>
        <xdr:cNvSpPr txBox="1"/>
      </xdr:nvSpPr>
      <xdr:spPr>
        <a:xfrm>
          <a:off x="83820" y="30480"/>
          <a:ext cx="693420" cy="51816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900" b="1" i="1">
              <a:solidFill>
                <a:schemeClr val="bg1"/>
              </a:solidFill>
            </a:rPr>
            <a:t>[Your</a:t>
          </a:r>
          <a:r>
            <a:rPr lang="en-PH" sz="900" b="1" i="1" baseline="0">
              <a:solidFill>
                <a:schemeClr val="bg1"/>
              </a:solidFill>
            </a:rPr>
            <a:t> Company Logo]</a:t>
          </a:r>
          <a:endParaRPr lang="en-PH" sz="900" b="1" i="1">
            <a:solidFill>
              <a:schemeClr val="bg1"/>
            </a:solidFill>
          </a:endParaRPr>
        </a:p>
      </xdr:txBody>
    </xdr:sp>
    <xdr:clientData/>
  </xdr:twoCellAnchor>
  <xdr:twoCellAnchor>
    <xdr:from>
      <xdr:col>9</xdr:col>
      <xdr:colOff>167640</xdr:colOff>
      <xdr:row>0</xdr:row>
      <xdr:rowOff>38100</xdr:rowOff>
    </xdr:from>
    <xdr:to>
      <xdr:col>10</xdr:col>
      <xdr:colOff>137160</xdr:colOff>
      <xdr:row>3</xdr:row>
      <xdr:rowOff>106680</xdr:rowOff>
    </xdr:to>
    <xdr:sp macro="" textlink="">
      <xdr:nvSpPr>
        <xdr:cNvPr id="12" name="Made by">
          <a:extLst>
            <a:ext uri="{FF2B5EF4-FFF2-40B4-BE49-F238E27FC236}">
              <a16:creationId xmlns:a16="http://schemas.microsoft.com/office/drawing/2014/main" id="{647DF9B5-9C89-4BD5-800F-9E91A739071C}"/>
            </a:ext>
          </a:extLst>
        </xdr:cNvPr>
        <xdr:cNvSpPr txBox="1"/>
      </xdr:nvSpPr>
      <xdr:spPr>
        <a:xfrm>
          <a:off x="12900660" y="38100"/>
          <a:ext cx="15468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800" b="0" i="1">
              <a:solidFill>
                <a:schemeClr val="bg1"/>
              </a:solidFill>
            </a:rPr>
            <a:t>Made by:</a:t>
          </a:r>
          <a:br>
            <a:rPr lang="en-PH" sz="800" b="0" i="1">
              <a:solidFill>
                <a:schemeClr val="bg1"/>
              </a:solidFill>
            </a:rPr>
          </a:br>
          <a:r>
            <a:rPr lang="en-PH" sz="800" b="0" i="1">
              <a:solidFill>
                <a:schemeClr val="bg1"/>
              </a:solidFill>
            </a:rPr>
            <a:t>Villanueva,</a:t>
          </a:r>
          <a:r>
            <a:rPr lang="en-PH" sz="800" b="0" i="1" baseline="0">
              <a:solidFill>
                <a:schemeClr val="bg1"/>
              </a:solidFill>
            </a:rPr>
            <a:t> J.M.L.</a:t>
          </a:r>
        </a:p>
        <a:p>
          <a:pPr algn="r"/>
          <a:r>
            <a:rPr lang="en-PH" sz="800" b="0" i="1" baseline="0">
              <a:solidFill>
                <a:schemeClr val="bg1"/>
              </a:solidFill>
            </a:rPr>
            <a:t>Contact: jmateo.vill@gmail.com</a:t>
          </a:r>
          <a:endParaRPr lang="en-PH" sz="800" b="0" i="1">
            <a:solidFill>
              <a:schemeClr val="bg1"/>
            </a:solidFill>
          </a:endParaRPr>
        </a:p>
      </xdr:txBody>
    </xdr:sp>
    <xdr:clientData/>
  </xdr:twoCellAnchor>
  <xdr:twoCellAnchor>
    <xdr:from>
      <xdr:col>1</xdr:col>
      <xdr:colOff>80198</xdr:colOff>
      <xdr:row>6</xdr:row>
      <xdr:rowOff>175260</xdr:rowOff>
    </xdr:from>
    <xdr:to>
      <xdr:col>7</xdr:col>
      <xdr:colOff>485220</xdr:colOff>
      <xdr:row>10</xdr:row>
      <xdr:rowOff>101600</xdr:rowOff>
    </xdr:to>
    <xdr:grpSp>
      <xdr:nvGrpSpPr>
        <xdr:cNvPr id="71" name="Department Slicer">
          <a:extLst>
            <a:ext uri="{FF2B5EF4-FFF2-40B4-BE49-F238E27FC236}">
              <a16:creationId xmlns:a16="http://schemas.microsoft.com/office/drawing/2014/main" id="{B80FD596-2BAB-27FB-749F-9E4E77A1628D}"/>
            </a:ext>
          </a:extLst>
        </xdr:cNvPr>
        <xdr:cNvGrpSpPr/>
      </xdr:nvGrpSpPr>
      <xdr:grpSpPr>
        <a:xfrm>
          <a:off x="194498" y="1272540"/>
          <a:ext cx="9891922" cy="657860"/>
          <a:chOff x="194498" y="1272540"/>
          <a:chExt cx="9891922" cy="657860"/>
        </a:xfrm>
      </xdr:grpSpPr>
      <mc:AlternateContent xmlns:mc="http://schemas.openxmlformats.org/markup-compatibility/2006">
        <mc:Choice xmlns:a14="http://schemas.microsoft.com/office/drawing/2010/main" Requires="a14">
          <xdr:graphicFrame macro="">
            <xdr:nvGraphicFramePr>
              <xdr:cNvPr id="24" name="Slicer">
                <a:extLst>
                  <a:ext uri="{FF2B5EF4-FFF2-40B4-BE49-F238E27FC236}">
                    <a16:creationId xmlns:a16="http://schemas.microsoft.com/office/drawing/2014/main" id="{94351041-7EA3-43CF-9674-80E62707F0B0}"/>
                  </a:ext>
                </a:extLst>
              </xdr:cNvPr>
              <xdr:cNvGraphicFramePr/>
            </xdr:nvGraphicFramePr>
            <xdr:xfrm>
              <a:off x="312420" y="1272540"/>
              <a:ext cx="9774000" cy="657860"/>
            </xdr:xfrm>
            <a:graphic>
              <a:graphicData uri="http://schemas.microsoft.com/office/drawing/2010/slicer">
                <sle:slicer xmlns:sle="http://schemas.microsoft.com/office/drawing/2010/slicer" name="Slicer"/>
              </a:graphicData>
            </a:graphic>
          </xdr:graphicFrame>
        </mc:Choice>
        <mc:Fallback>
          <xdr:sp macro="" textlink="">
            <xdr:nvSpPr>
              <xdr:cNvPr id="0" name=""/>
              <xdr:cNvSpPr>
                <a:spLocks noTextEdit="1"/>
              </xdr:cNvSpPr>
            </xdr:nvSpPr>
            <xdr:spPr>
              <a:xfrm>
                <a:off x="312420" y="1272540"/>
                <a:ext cx="9774000" cy="6578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7" name="Sales Logo" descr="Bar chart with solid fill">
            <a:extLst>
              <a:ext uri="{FF2B5EF4-FFF2-40B4-BE49-F238E27FC236}">
                <a16:creationId xmlns:a16="http://schemas.microsoft.com/office/drawing/2014/main" id="{EB35D3E8-92FF-D52A-3F4E-757AFFB6A2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79708" y="1579880"/>
            <a:ext cx="255755" cy="257294"/>
          </a:xfrm>
          <a:prstGeom prst="rect">
            <a:avLst/>
          </a:prstGeom>
        </xdr:spPr>
      </xdr:pic>
      <xdr:pic>
        <xdr:nvPicPr>
          <xdr:cNvPr id="19" name="IT Logo" descr="Gears with solid fill">
            <a:extLst>
              <a:ext uri="{FF2B5EF4-FFF2-40B4-BE49-F238E27FC236}">
                <a16:creationId xmlns:a16="http://schemas.microsoft.com/office/drawing/2014/main" id="{4C76DB34-BC10-BE6A-E1DB-DFC070B9F8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80841" y="1576634"/>
            <a:ext cx="258636" cy="257294"/>
          </a:xfrm>
          <a:prstGeom prst="rect">
            <a:avLst/>
          </a:prstGeom>
        </xdr:spPr>
      </xdr:pic>
      <xdr:pic>
        <xdr:nvPicPr>
          <xdr:cNvPr id="21" name="Marketing Logo" descr="Lightbulb and gear with solid fill">
            <a:extLst>
              <a:ext uri="{FF2B5EF4-FFF2-40B4-BE49-F238E27FC236}">
                <a16:creationId xmlns:a16="http://schemas.microsoft.com/office/drawing/2014/main" id="{0DE10F4B-CC83-A5FB-C21F-A4C019661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98681" y="1572540"/>
            <a:ext cx="252963" cy="257294"/>
          </a:xfrm>
          <a:prstGeom prst="rect">
            <a:avLst/>
          </a:prstGeom>
        </xdr:spPr>
      </xdr:pic>
      <xdr:pic>
        <xdr:nvPicPr>
          <xdr:cNvPr id="23" name="HR Logo" descr="Target Audience with solid fill">
            <a:extLst>
              <a:ext uri="{FF2B5EF4-FFF2-40B4-BE49-F238E27FC236}">
                <a16:creationId xmlns:a16="http://schemas.microsoft.com/office/drawing/2014/main" id="{5A8CD993-08CE-7CB6-9332-6C94DD4204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74597" y="1584534"/>
            <a:ext cx="260750" cy="257294"/>
          </a:xfrm>
          <a:prstGeom prst="rect">
            <a:avLst/>
          </a:prstGeom>
        </xdr:spPr>
      </xdr:pic>
      <xdr:pic>
        <xdr:nvPicPr>
          <xdr:cNvPr id="25" name="Finance Logo" descr="Money with solid fill">
            <a:extLst>
              <a:ext uri="{FF2B5EF4-FFF2-40B4-BE49-F238E27FC236}">
                <a16:creationId xmlns:a16="http://schemas.microsoft.com/office/drawing/2014/main" id="{F23AE8CA-B35B-6384-6BA9-ECD717857C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84050" y="1578748"/>
            <a:ext cx="253303" cy="257294"/>
          </a:xfrm>
          <a:prstGeom prst="rect">
            <a:avLst/>
          </a:prstGeom>
        </xdr:spPr>
      </xdr:pic>
      <xdr:pic>
        <xdr:nvPicPr>
          <xdr:cNvPr id="27" name="CS Logo" descr="Call center with solid fill">
            <a:extLst>
              <a:ext uri="{FF2B5EF4-FFF2-40B4-BE49-F238E27FC236}">
                <a16:creationId xmlns:a16="http://schemas.microsoft.com/office/drawing/2014/main" id="{44DA6A54-F7C9-7078-85AA-22335441923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4498" y="1581573"/>
            <a:ext cx="256574" cy="256393"/>
          </a:xfrm>
          <a:prstGeom prst="rect">
            <a:avLst/>
          </a:prstGeom>
        </xdr:spPr>
      </xdr:pic>
    </xdr:grpSp>
    <xdr:clientData/>
  </xdr:twoCellAnchor>
  <xdr:twoCellAnchor>
    <xdr:from>
      <xdr:col>0</xdr:col>
      <xdr:colOff>76200</xdr:colOff>
      <xdr:row>3</xdr:row>
      <xdr:rowOff>7620</xdr:rowOff>
    </xdr:from>
    <xdr:to>
      <xdr:col>6</xdr:col>
      <xdr:colOff>274320</xdr:colOff>
      <xdr:row>8</xdr:row>
      <xdr:rowOff>137160</xdr:rowOff>
    </xdr:to>
    <xdr:grpSp>
      <xdr:nvGrpSpPr>
        <xdr:cNvPr id="15" name="Dashboard Description">
          <a:extLst>
            <a:ext uri="{FF2B5EF4-FFF2-40B4-BE49-F238E27FC236}">
              <a16:creationId xmlns:a16="http://schemas.microsoft.com/office/drawing/2014/main" id="{17A3AD90-CBA6-2088-8FE1-8FEC087941E3}"/>
            </a:ext>
          </a:extLst>
        </xdr:cNvPr>
        <xdr:cNvGrpSpPr/>
      </xdr:nvGrpSpPr>
      <xdr:grpSpPr>
        <a:xfrm>
          <a:off x="76200" y="556260"/>
          <a:ext cx="8221980" cy="1043940"/>
          <a:chOff x="76200" y="556260"/>
          <a:chExt cx="8221980" cy="1043940"/>
        </a:xfrm>
      </xdr:grpSpPr>
      <xdr:sp macro="" textlink="">
        <xdr:nvSpPr>
          <xdr:cNvPr id="13" name="TextBox 12">
            <a:extLst>
              <a:ext uri="{FF2B5EF4-FFF2-40B4-BE49-F238E27FC236}">
                <a16:creationId xmlns:a16="http://schemas.microsoft.com/office/drawing/2014/main" id="{2C8C982E-8CF9-4202-A812-49FCD3873546}"/>
              </a:ext>
            </a:extLst>
          </xdr:cNvPr>
          <xdr:cNvSpPr txBox="1"/>
        </xdr:nvSpPr>
        <xdr:spPr>
          <a:xfrm>
            <a:off x="76200" y="838200"/>
            <a:ext cx="822198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1300" b="0">
                <a:solidFill>
                  <a:schemeClr val="bg1"/>
                </a:solidFill>
              </a:rPr>
              <a:t>Analysis</a:t>
            </a:r>
            <a:r>
              <a:rPr lang="en-PH" sz="1300" b="0" baseline="0">
                <a:solidFill>
                  <a:schemeClr val="bg1"/>
                </a:solidFill>
              </a:rPr>
              <a:t> of the company's employee turnover, from overall down to granular scale of the total employee records. Identifying the employee turnover rate, exit pattern over time, reason for exits, exits over new hire, and average tenure.</a:t>
            </a:r>
            <a:endParaRPr lang="en-PH" sz="1300" b="0">
              <a:solidFill>
                <a:schemeClr val="bg1"/>
              </a:solidFill>
            </a:endParaRPr>
          </a:p>
        </xdr:txBody>
      </xdr:sp>
      <xdr:sp macro="" textlink="">
        <xdr:nvSpPr>
          <xdr:cNvPr id="9" name="TextBox 8">
            <a:extLst>
              <a:ext uri="{FF2B5EF4-FFF2-40B4-BE49-F238E27FC236}">
                <a16:creationId xmlns:a16="http://schemas.microsoft.com/office/drawing/2014/main" id="{DF4568F5-4A78-4989-867D-C3197F28BFC7}"/>
              </a:ext>
            </a:extLst>
          </xdr:cNvPr>
          <xdr:cNvSpPr txBox="1"/>
        </xdr:nvSpPr>
        <xdr:spPr>
          <a:xfrm>
            <a:off x="76200" y="556260"/>
            <a:ext cx="38481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500" b="1">
                <a:solidFill>
                  <a:schemeClr val="bg1"/>
                </a:solidFill>
              </a:rPr>
              <a:t>Employee Turnover</a:t>
            </a:r>
            <a:r>
              <a:rPr lang="en-PH" sz="1500" b="1" baseline="0">
                <a:solidFill>
                  <a:schemeClr val="bg1"/>
                </a:solidFill>
              </a:rPr>
              <a:t> Dashboard (2018 - 2026)</a:t>
            </a:r>
            <a:endParaRPr lang="en-PH" sz="1500" b="1">
              <a:solidFill>
                <a:schemeClr val="bg1"/>
              </a:solidFill>
            </a:endParaRPr>
          </a:p>
        </xdr:txBody>
      </xdr:sp>
    </xdr:grpSp>
    <xdr:clientData/>
  </xdr:twoCellAnchor>
  <xdr:twoCellAnchor>
    <xdr:from>
      <xdr:col>8</xdr:col>
      <xdr:colOff>1193996</xdr:colOff>
      <xdr:row>4</xdr:row>
      <xdr:rowOff>128956</xdr:rowOff>
    </xdr:from>
    <xdr:to>
      <xdr:col>9</xdr:col>
      <xdr:colOff>484750</xdr:colOff>
      <xdr:row>7</xdr:row>
      <xdr:rowOff>164124</xdr:rowOff>
    </xdr:to>
    <xdr:grpSp>
      <xdr:nvGrpSpPr>
        <xdr:cNvPr id="60" name="Turnover Icon">
          <a:extLst>
            <a:ext uri="{FF2B5EF4-FFF2-40B4-BE49-F238E27FC236}">
              <a16:creationId xmlns:a16="http://schemas.microsoft.com/office/drawing/2014/main" id="{43320F1D-8A57-EC6F-F350-49B5BCD39680}"/>
            </a:ext>
          </a:extLst>
        </xdr:cNvPr>
        <xdr:cNvGrpSpPr/>
      </xdr:nvGrpSpPr>
      <xdr:grpSpPr>
        <a:xfrm>
          <a:off x="12372536" y="860476"/>
          <a:ext cx="868094" cy="583808"/>
          <a:chOff x="15220016" y="2407741"/>
          <a:chExt cx="1767782" cy="1290781"/>
        </a:xfrm>
      </xdr:grpSpPr>
      <xdr:pic>
        <xdr:nvPicPr>
          <xdr:cNvPr id="45" name="Graphic 44" descr="Line arrow: Counter-clockwise curve with solid fill">
            <a:extLst>
              <a:ext uri="{FF2B5EF4-FFF2-40B4-BE49-F238E27FC236}">
                <a16:creationId xmlns:a16="http://schemas.microsoft.com/office/drawing/2014/main" id="{C7961823-D2A1-4E08-21C5-A0E5D2D0294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8105389">
            <a:off x="16047688" y="2409166"/>
            <a:ext cx="444391" cy="441542"/>
          </a:xfrm>
          <a:prstGeom prst="rect">
            <a:avLst/>
          </a:prstGeom>
        </xdr:spPr>
      </xdr:pic>
      <xdr:pic>
        <xdr:nvPicPr>
          <xdr:cNvPr id="47" name="Graphic 46" descr="Female Profile with solid fill">
            <a:extLst>
              <a:ext uri="{FF2B5EF4-FFF2-40B4-BE49-F238E27FC236}">
                <a16:creationId xmlns:a16="http://schemas.microsoft.com/office/drawing/2014/main" id="{22FB2B09-175E-1E09-20B6-0CBC7AC8F26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220016" y="2447723"/>
            <a:ext cx="914400" cy="908538"/>
          </a:xfrm>
          <a:prstGeom prst="rect">
            <a:avLst/>
          </a:prstGeom>
        </xdr:spPr>
      </xdr:pic>
      <xdr:pic>
        <xdr:nvPicPr>
          <xdr:cNvPr id="49" name="Graphic 48" descr="Male profile with solid fill">
            <a:extLst>
              <a:ext uri="{FF2B5EF4-FFF2-40B4-BE49-F238E27FC236}">
                <a16:creationId xmlns:a16="http://schemas.microsoft.com/office/drawing/2014/main" id="{22595017-D21D-798F-DB1C-892FAC460D1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073398" y="2789983"/>
            <a:ext cx="914400" cy="908539"/>
          </a:xfrm>
          <a:prstGeom prst="rect">
            <a:avLst/>
          </a:prstGeom>
        </xdr:spPr>
      </xdr:pic>
      <xdr:pic>
        <xdr:nvPicPr>
          <xdr:cNvPr id="59" name="Graphic 58" descr="Line arrow: Counter-clockwise curve with solid fill">
            <a:extLst>
              <a:ext uri="{FF2B5EF4-FFF2-40B4-BE49-F238E27FC236}">
                <a16:creationId xmlns:a16="http://schemas.microsoft.com/office/drawing/2014/main" id="{4B366A9C-C1AC-4960-A53A-11388A54B50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7314941">
            <a:off x="15574849" y="3211956"/>
            <a:ext cx="475716" cy="472665"/>
          </a:xfrm>
          <a:prstGeom prst="rect">
            <a:avLst/>
          </a:prstGeom>
        </xdr:spPr>
      </xdr:pic>
    </xdr:grpSp>
    <xdr:clientData/>
  </xdr:twoCellAnchor>
  <xdr:twoCellAnchor editAs="oneCell">
    <xdr:from>
      <xdr:col>7</xdr:col>
      <xdr:colOff>1303020</xdr:colOff>
      <xdr:row>3</xdr:row>
      <xdr:rowOff>121920</xdr:rowOff>
    </xdr:from>
    <xdr:to>
      <xdr:col>8</xdr:col>
      <xdr:colOff>640080</xdr:colOff>
      <xdr:row>8</xdr:row>
      <xdr:rowOff>121920</xdr:rowOff>
    </xdr:to>
    <xdr:pic>
      <xdr:nvPicPr>
        <xdr:cNvPr id="43" name="Headcount Icon" descr="Users with solid fill">
          <a:extLst>
            <a:ext uri="{FF2B5EF4-FFF2-40B4-BE49-F238E27FC236}">
              <a16:creationId xmlns:a16="http://schemas.microsoft.com/office/drawing/2014/main" id="{EF187F28-8260-96CB-C99F-8F15FDAF8C5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904220" y="670560"/>
          <a:ext cx="914400" cy="914400"/>
        </a:xfrm>
        <a:prstGeom prst="rect">
          <a:avLst/>
        </a:prstGeom>
      </xdr:spPr>
    </xdr:pic>
    <xdr:clientData/>
  </xdr:twoCellAnchor>
  <xdr:twoCellAnchor>
    <xdr:from>
      <xdr:col>7</xdr:col>
      <xdr:colOff>1082040</xdr:colOff>
      <xdr:row>7</xdr:row>
      <xdr:rowOff>129540</xdr:rowOff>
    </xdr:from>
    <xdr:to>
      <xdr:col>8</xdr:col>
      <xdr:colOff>861060</xdr:colOff>
      <xdr:row>10</xdr:row>
      <xdr:rowOff>106680</xdr:rowOff>
    </xdr:to>
    <xdr:sp macro="" textlink="">
      <xdr:nvSpPr>
        <xdr:cNvPr id="33" name="Headcount">
          <a:extLst>
            <a:ext uri="{FF2B5EF4-FFF2-40B4-BE49-F238E27FC236}">
              <a16:creationId xmlns:a16="http://schemas.microsoft.com/office/drawing/2014/main" id="{C87EF433-3988-481C-925E-94F0F5E2DA31}"/>
            </a:ext>
          </a:extLst>
        </xdr:cNvPr>
        <xdr:cNvSpPr txBox="1"/>
      </xdr:nvSpPr>
      <xdr:spPr>
        <a:xfrm>
          <a:off x="10683240" y="1409700"/>
          <a:ext cx="135636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Total Headcount</a:t>
          </a:r>
        </a:p>
      </xdr:txBody>
    </xdr:sp>
    <xdr:clientData/>
  </xdr:twoCellAnchor>
  <xdr:twoCellAnchor>
    <xdr:from>
      <xdr:col>8</xdr:col>
      <xdr:colOff>952500</xdr:colOff>
      <xdr:row>7</xdr:row>
      <xdr:rowOff>137160</xdr:rowOff>
    </xdr:from>
    <xdr:to>
      <xdr:col>9</xdr:col>
      <xdr:colOff>731520</xdr:colOff>
      <xdr:row>10</xdr:row>
      <xdr:rowOff>83820</xdr:rowOff>
    </xdr:to>
    <xdr:sp macro="" textlink="">
      <xdr:nvSpPr>
        <xdr:cNvPr id="34" name="Turnover rate">
          <a:extLst>
            <a:ext uri="{FF2B5EF4-FFF2-40B4-BE49-F238E27FC236}">
              <a16:creationId xmlns:a16="http://schemas.microsoft.com/office/drawing/2014/main" id="{1DD51324-C6A1-480C-A4C4-383A7E5CBAF7}"/>
            </a:ext>
          </a:extLst>
        </xdr:cNvPr>
        <xdr:cNvSpPr txBox="1"/>
      </xdr:nvSpPr>
      <xdr:spPr>
        <a:xfrm>
          <a:off x="12131040" y="1417320"/>
          <a:ext cx="13563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Overall</a:t>
          </a:r>
          <a:r>
            <a:rPr lang="en-PH" sz="1200" b="1" baseline="0">
              <a:solidFill>
                <a:schemeClr val="bg1"/>
              </a:solidFill>
            </a:rPr>
            <a:t> </a:t>
          </a:r>
          <a:r>
            <a:rPr lang="en-PH" sz="1200" b="1">
              <a:solidFill>
                <a:schemeClr val="bg1"/>
              </a:solidFill>
            </a:rPr>
            <a:t>Turnover Rate</a:t>
          </a:r>
        </a:p>
      </xdr:txBody>
    </xdr:sp>
    <xdr:clientData/>
  </xdr:twoCellAnchor>
  <xdr:twoCellAnchor>
    <xdr:from>
      <xdr:col>9</xdr:col>
      <xdr:colOff>647700</xdr:colOff>
      <xdr:row>5</xdr:row>
      <xdr:rowOff>91440</xdr:rowOff>
    </xdr:from>
    <xdr:to>
      <xdr:col>9</xdr:col>
      <xdr:colOff>1531620</xdr:colOff>
      <xdr:row>6</xdr:row>
      <xdr:rowOff>152400</xdr:rowOff>
    </xdr:to>
    <xdr:sp macro="" textlink="">
      <xdr:nvSpPr>
        <xdr:cNvPr id="35" name="Active">
          <a:extLst>
            <a:ext uri="{FF2B5EF4-FFF2-40B4-BE49-F238E27FC236}">
              <a16:creationId xmlns:a16="http://schemas.microsoft.com/office/drawing/2014/main" id="{55CCEF49-ABFE-47DE-9A03-479291240915}"/>
            </a:ext>
          </a:extLst>
        </xdr:cNvPr>
        <xdr:cNvSpPr txBox="1"/>
      </xdr:nvSpPr>
      <xdr:spPr>
        <a:xfrm>
          <a:off x="13403580" y="1005840"/>
          <a:ext cx="8839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solidFill>
                <a:schemeClr val="bg1"/>
              </a:solidFill>
            </a:rPr>
            <a:t>Active</a:t>
          </a:r>
        </a:p>
      </xdr:txBody>
    </xdr:sp>
    <xdr:clientData/>
  </xdr:twoCellAnchor>
  <xdr:twoCellAnchor>
    <xdr:from>
      <xdr:col>9</xdr:col>
      <xdr:colOff>648870</xdr:colOff>
      <xdr:row>8</xdr:row>
      <xdr:rowOff>96137</xdr:rowOff>
    </xdr:from>
    <xdr:to>
      <xdr:col>9</xdr:col>
      <xdr:colOff>1532790</xdr:colOff>
      <xdr:row>9</xdr:row>
      <xdr:rowOff>157098</xdr:rowOff>
    </xdr:to>
    <xdr:sp macro="" textlink="">
      <xdr:nvSpPr>
        <xdr:cNvPr id="36" name="Exited">
          <a:extLst>
            <a:ext uri="{FF2B5EF4-FFF2-40B4-BE49-F238E27FC236}">
              <a16:creationId xmlns:a16="http://schemas.microsoft.com/office/drawing/2014/main" id="{57EA6C67-603B-4F6E-B7CA-58A0287A54F4}"/>
            </a:ext>
          </a:extLst>
        </xdr:cNvPr>
        <xdr:cNvSpPr txBox="1"/>
      </xdr:nvSpPr>
      <xdr:spPr>
        <a:xfrm>
          <a:off x="13409439" y="1549799"/>
          <a:ext cx="883920" cy="242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solidFill>
                <a:schemeClr val="bg1"/>
              </a:solidFill>
            </a:rPr>
            <a:t>Exited</a:t>
          </a:r>
        </a:p>
      </xdr:txBody>
    </xdr:sp>
    <xdr:clientData/>
  </xdr:twoCellAnchor>
  <xdr:twoCellAnchor>
    <xdr:from>
      <xdr:col>7</xdr:col>
      <xdr:colOff>1021080</xdr:colOff>
      <xdr:row>3</xdr:row>
      <xdr:rowOff>53340</xdr:rowOff>
    </xdr:from>
    <xdr:to>
      <xdr:col>8</xdr:col>
      <xdr:colOff>914400</xdr:colOff>
      <xdr:row>9</xdr:row>
      <xdr:rowOff>30480</xdr:rowOff>
    </xdr:to>
    <xdr:sp macro="" textlink="helpers!B4">
      <xdr:nvSpPr>
        <xdr:cNvPr id="29" name="Total Headcount Textbox">
          <a:extLst>
            <a:ext uri="{FF2B5EF4-FFF2-40B4-BE49-F238E27FC236}">
              <a16:creationId xmlns:a16="http://schemas.microsoft.com/office/drawing/2014/main" id="{A6720562-9F36-227B-36CC-345CE067170C}"/>
            </a:ext>
          </a:extLst>
        </xdr:cNvPr>
        <xdr:cNvSpPr/>
      </xdr:nvSpPr>
      <xdr:spPr>
        <a:xfrm>
          <a:off x="10622280" y="601980"/>
          <a:ext cx="1470660" cy="1074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1685C2-D6AB-4B63-8B9D-E3217C68FAB1}" type="TxLink">
            <a:rPr lang="en-US" sz="2400" b="1" i="0" u="none" strike="noStrike">
              <a:ln>
                <a:noFill/>
              </a:ln>
              <a:solidFill>
                <a:schemeClr val="bg1"/>
              </a:solidFill>
              <a:effectLst>
                <a:outerShdw blurRad="50800" dist="38100" dir="2700000" algn="tl" rotWithShape="0">
                  <a:prstClr val="black">
                    <a:alpha val="40000"/>
                  </a:prstClr>
                </a:outerShdw>
              </a:effectLst>
              <a:latin typeface="Calibri"/>
              <a:ea typeface="Calibri"/>
              <a:cs typeface="Calibri"/>
            </a:rPr>
            <a:pPr algn="ctr"/>
            <a:t>1,081</a:t>
          </a:fld>
          <a:endParaRPr lang="en-PH" sz="2400" b="1">
            <a:ln>
              <a:no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8</xdr:col>
      <xdr:colOff>891540</xdr:colOff>
      <xdr:row>3</xdr:row>
      <xdr:rowOff>60960</xdr:rowOff>
    </xdr:from>
    <xdr:to>
      <xdr:col>9</xdr:col>
      <xdr:colOff>784860</xdr:colOff>
      <xdr:row>9</xdr:row>
      <xdr:rowOff>30480</xdr:rowOff>
    </xdr:to>
    <xdr:sp macro="" textlink="'PIVOT TABLES'!C15">
      <xdr:nvSpPr>
        <xdr:cNvPr id="30" name="Turnover Rate Textbox">
          <a:extLst>
            <a:ext uri="{FF2B5EF4-FFF2-40B4-BE49-F238E27FC236}">
              <a16:creationId xmlns:a16="http://schemas.microsoft.com/office/drawing/2014/main" id="{AF7CCC6B-32C6-438C-AFD5-A036470C5250}"/>
            </a:ext>
          </a:extLst>
        </xdr:cNvPr>
        <xdr:cNvSpPr/>
      </xdr:nvSpPr>
      <xdr:spPr>
        <a:xfrm>
          <a:off x="12070080" y="609600"/>
          <a:ext cx="1470660" cy="1066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093CD59-D8A9-40C5-B193-013C212BE09A}" type="TxLink">
            <a:rPr lang="en-US" sz="2400" b="1" i="0" u="none" strike="noStrike">
              <a:ln>
                <a:noFill/>
              </a:ln>
              <a:solidFill>
                <a:schemeClr val="bg1"/>
              </a:solidFill>
              <a:effectLst>
                <a:outerShdw blurRad="50800" dist="38100" dir="2700000" algn="tl" rotWithShape="0">
                  <a:prstClr val="black">
                    <a:alpha val="40000"/>
                  </a:prstClr>
                </a:outerShdw>
              </a:effectLst>
              <a:latin typeface="Calibri"/>
              <a:ea typeface="Calibri"/>
              <a:cs typeface="Calibri"/>
            </a:rPr>
            <a:pPr marL="0" indent="0" algn="ctr"/>
            <a:t>38.30%</a:t>
          </a:fld>
          <a:endParaRPr lang="en-PH" sz="2400" b="1" i="0" u="none" strike="noStrike">
            <a:ln>
              <a:noFill/>
            </a:ln>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9</xdr:col>
      <xdr:colOff>609600</xdr:colOff>
      <xdr:row>6</xdr:row>
      <xdr:rowOff>175260</xdr:rowOff>
    </xdr:from>
    <xdr:to>
      <xdr:col>10</xdr:col>
      <xdr:colOff>0</xdr:colOff>
      <xdr:row>9</xdr:row>
      <xdr:rowOff>130620</xdr:rowOff>
    </xdr:to>
    <xdr:sp macro="" textlink="helpers!C10">
      <xdr:nvSpPr>
        <xdr:cNvPr id="32" name="Exited Count Textbox">
          <a:extLst>
            <a:ext uri="{FF2B5EF4-FFF2-40B4-BE49-F238E27FC236}">
              <a16:creationId xmlns:a16="http://schemas.microsoft.com/office/drawing/2014/main" id="{7BDC58E7-1CF8-4994-912F-3CBEC6F65415}"/>
            </a:ext>
          </a:extLst>
        </xdr:cNvPr>
        <xdr:cNvSpPr/>
      </xdr:nvSpPr>
      <xdr:spPr>
        <a:xfrm>
          <a:off x="13365480" y="1272540"/>
          <a:ext cx="967740" cy="50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D5F458-2919-4148-8431-B709ADDFF281}" type="TxLink">
            <a:rPr lang="en-US" sz="1400" b="1" i="0" u="none" strike="noStrike">
              <a:ln>
                <a:noFill/>
              </a:ln>
              <a:solidFill>
                <a:srgbClr val="FF0000"/>
              </a:solidFill>
              <a:effectLst>
                <a:outerShdw blurRad="50800" dist="38100" dir="2700000" algn="tl" rotWithShape="0">
                  <a:prstClr val="black">
                    <a:alpha val="40000"/>
                  </a:prstClr>
                </a:outerShdw>
              </a:effectLst>
              <a:latin typeface="Calibri"/>
              <a:ea typeface="Calibri"/>
              <a:cs typeface="Calibri"/>
            </a:rPr>
            <a:pPr marL="0" indent="0" algn="ctr"/>
            <a:t>414</a:t>
          </a:fld>
          <a:endParaRPr lang="en-PH" sz="1400" b="1" i="0" u="none" strike="noStrike">
            <a:ln>
              <a:noFill/>
            </a:ln>
            <a:solidFill>
              <a:srgbClr val="FF0000"/>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9</xdr:col>
      <xdr:colOff>609600</xdr:colOff>
      <xdr:row>3</xdr:row>
      <xdr:rowOff>167640</xdr:rowOff>
    </xdr:from>
    <xdr:to>
      <xdr:col>10</xdr:col>
      <xdr:colOff>0</xdr:colOff>
      <xdr:row>6</xdr:row>
      <xdr:rowOff>123000</xdr:rowOff>
    </xdr:to>
    <xdr:sp macro="" textlink="helpers!C9">
      <xdr:nvSpPr>
        <xdr:cNvPr id="31" name="Active Count Textbox">
          <a:extLst>
            <a:ext uri="{FF2B5EF4-FFF2-40B4-BE49-F238E27FC236}">
              <a16:creationId xmlns:a16="http://schemas.microsoft.com/office/drawing/2014/main" id="{F719CABC-C3A8-4AFC-84F3-D87A1A1CE7B0}"/>
            </a:ext>
          </a:extLst>
        </xdr:cNvPr>
        <xdr:cNvSpPr/>
      </xdr:nvSpPr>
      <xdr:spPr>
        <a:xfrm>
          <a:off x="13365480" y="716280"/>
          <a:ext cx="967740" cy="50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86323AB-8145-4D47-8085-76C2702AE1BC}" type="TxLink">
            <a:rPr lang="en-US" sz="1400" b="1" i="0" u="none" strike="noStrike">
              <a:ln>
                <a:noFill/>
              </a:ln>
              <a:solidFill>
                <a:srgbClr val="A2CB8B"/>
              </a:solidFill>
              <a:effectLst>
                <a:outerShdw blurRad="50800" dist="38100" dir="2700000" algn="tl" rotWithShape="0">
                  <a:prstClr val="black">
                    <a:alpha val="40000"/>
                  </a:prstClr>
                </a:outerShdw>
              </a:effectLst>
              <a:latin typeface="Calibri"/>
              <a:ea typeface="Calibri"/>
              <a:cs typeface="Calibri"/>
            </a:rPr>
            <a:pPr marL="0" indent="0" algn="ctr"/>
            <a:t>667</a:t>
          </a:fld>
          <a:endParaRPr lang="en-PH" sz="1400" b="1" i="0" u="none" strike="noStrike">
            <a:ln>
              <a:noFill/>
            </a:ln>
            <a:solidFill>
              <a:srgbClr val="A2CB8B"/>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1</xdr:col>
      <xdr:colOff>0</xdr:colOff>
      <xdr:row>11</xdr:row>
      <xdr:rowOff>22860</xdr:rowOff>
    </xdr:from>
    <xdr:to>
      <xdr:col>3</xdr:col>
      <xdr:colOff>1211580</xdr:colOff>
      <xdr:row>22</xdr:row>
      <xdr:rowOff>99060</xdr:rowOff>
    </xdr:to>
    <xdr:grpSp>
      <xdr:nvGrpSpPr>
        <xdr:cNvPr id="61" name="Emp. Exit">
          <a:extLst>
            <a:ext uri="{FF2B5EF4-FFF2-40B4-BE49-F238E27FC236}">
              <a16:creationId xmlns:a16="http://schemas.microsoft.com/office/drawing/2014/main" id="{6C336C39-194A-89EF-4A88-3C8A9C1912E6}"/>
            </a:ext>
          </a:extLst>
        </xdr:cNvPr>
        <xdr:cNvGrpSpPr/>
      </xdr:nvGrpSpPr>
      <xdr:grpSpPr>
        <a:xfrm>
          <a:off x="114300" y="2034540"/>
          <a:ext cx="4389120" cy="2087880"/>
          <a:chOff x="117231" y="2029265"/>
          <a:chExt cx="4394395" cy="2067364"/>
        </a:xfrm>
      </xdr:grpSpPr>
      <xdr:sp macro="" textlink="">
        <xdr:nvSpPr>
          <xdr:cNvPr id="3" name="Emp. Exit Box">
            <a:extLst>
              <a:ext uri="{FF2B5EF4-FFF2-40B4-BE49-F238E27FC236}">
                <a16:creationId xmlns:a16="http://schemas.microsoft.com/office/drawing/2014/main" id="{72F0C9C5-7C7A-4460-9E4D-6677ED64C7AE}"/>
              </a:ext>
            </a:extLst>
          </xdr:cNvPr>
          <xdr:cNvSpPr/>
        </xdr:nvSpPr>
        <xdr:spPr>
          <a:xfrm>
            <a:off x="117231" y="2029265"/>
            <a:ext cx="4394395" cy="2067364"/>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0" name="Emp. Exit Chart">
            <a:extLst>
              <a:ext uri="{FF2B5EF4-FFF2-40B4-BE49-F238E27FC236}">
                <a16:creationId xmlns:a16="http://schemas.microsoft.com/office/drawing/2014/main" id="{5CBE63D1-8C8F-4DB2-AD7C-49B93CDD929F}"/>
              </a:ext>
            </a:extLst>
          </xdr:cNvPr>
          <xdr:cNvGraphicFramePr>
            <a:graphicFrameLocks/>
          </xdr:cNvGraphicFramePr>
        </xdr:nvGraphicFramePr>
        <xdr:xfrm>
          <a:off x="140677" y="2045676"/>
          <a:ext cx="4355123" cy="2039815"/>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7</xdr:col>
      <xdr:colOff>760830</xdr:colOff>
      <xdr:row>11</xdr:row>
      <xdr:rowOff>17586</xdr:rowOff>
    </xdr:from>
    <xdr:to>
      <xdr:col>10</xdr:col>
      <xdr:colOff>7036</xdr:colOff>
      <xdr:row>22</xdr:row>
      <xdr:rowOff>91440</xdr:rowOff>
    </xdr:to>
    <xdr:grpSp>
      <xdr:nvGrpSpPr>
        <xdr:cNvPr id="63" name="Exit Reason">
          <a:extLst>
            <a:ext uri="{FF2B5EF4-FFF2-40B4-BE49-F238E27FC236}">
              <a16:creationId xmlns:a16="http://schemas.microsoft.com/office/drawing/2014/main" id="{1E702FA1-14AA-37C1-FBB0-1C157546E6D4}"/>
            </a:ext>
          </a:extLst>
        </xdr:cNvPr>
        <xdr:cNvGrpSpPr/>
      </xdr:nvGrpSpPr>
      <xdr:grpSpPr>
        <a:xfrm>
          <a:off x="10362030" y="2029266"/>
          <a:ext cx="3978226" cy="2085534"/>
          <a:chOff x="10367892" y="2016371"/>
          <a:chExt cx="3976467" cy="2059744"/>
        </a:xfrm>
      </xdr:grpSpPr>
      <xdr:sp macro="" textlink="">
        <xdr:nvSpPr>
          <xdr:cNvPr id="4" name="Exit Reason Box">
            <a:extLst>
              <a:ext uri="{FF2B5EF4-FFF2-40B4-BE49-F238E27FC236}">
                <a16:creationId xmlns:a16="http://schemas.microsoft.com/office/drawing/2014/main" id="{30EB87DE-1689-4DCD-9CCD-4CD1EF70B40B}"/>
              </a:ext>
            </a:extLst>
          </xdr:cNvPr>
          <xdr:cNvSpPr/>
        </xdr:nvSpPr>
        <xdr:spPr>
          <a:xfrm>
            <a:off x="10367892" y="2016371"/>
            <a:ext cx="3976467" cy="2059744"/>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2" name="Exit Reason Chart">
            <a:extLst>
              <a:ext uri="{FF2B5EF4-FFF2-40B4-BE49-F238E27FC236}">
                <a16:creationId xmlns:a16="http://schemas.microsoft.com/office/drawing/2014/main" id="{BCDD9496-D1C2-4574-87EC-D0F43DF36DCF}"/>
              </a:ext>
            </a:extLst>
          </xdr:cNvPr>
          <xdr:cNvGraphicFramePr>
            <a:graphicFrameLocks/>
          </xdr:cNvGraphicFramePr>
        </xdr:nvGraphicFramePr>
        <xdr:xfrm>
          <a:off x="10398363" y="2039089"/>
          <a:ext cx="3915525" cy="1999163"/>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5</xdr:col>
      <xdr:colOff>861060</xdr:colOff>
      <xdr:row>23</xdr:row>
      <xdr:rowOff>30480</xdr:rowOff>
    </xdr:from>
    <xdr:to>
      <xdr:col>7</xdr:col>
      <xdr:colOff>1242060</xdr:colOff>
      <xdr:row>35</xdr:row>
      <xdr:rowOff>30480</xdr:rowOff>
    </xdr:to>
    <xdr:grpSp>
      <xdr:nvGrpSpPr>
        <xdr:cNvPr id="65" name="Ave. Exit vs Active Tenure">
          <a:extLst>
            <a:ext uri="{FF2B5EF4-FFF2-40B4-BE49-F238E27FC236}">
              <a16:creationId xmlns:a16="http://schemas.microsoft.com/office/drawing/2014/main" id="{8FE752AF-6757-AAA5-A6DA-42DEA1952C99}"/>
            </a:ext>
          </a:extLst>
        </xdr:cNvPr>
        <xdr:cNvGrpSpPr/>
      </xdr:nvGrpSpPr>
      <xdr:grpSpPr>
        <a:xfrm>
          <a:off x="7482840" y="4236720"/>
          <a:ext cx="3360420" cy="2194560"/>
          <a:chOff x="6918960" y="4217377"/>
          <a:chExt cx="3358662" cy="2165252"/>
        </a:xfrm>
      </xdr:grpSpPr>
      <xdr:sp macro="" textlink="">
        <xdr:nvSpPr>
          <xdr:cNvPr id="7" name="Ave. Exit vs Active Tenure Box">
            <a:extLst>
              <a:ext uri="{FF2B5EF4-FFF2-40B4-BE49-F238E27FC236}">
                <a16:creationId xmlns:a16="http://schemas.microsoft.com/office/drawing/2014/main" id="{55EEEF9E-1D3A-4720-A773-93D4564A78F9}"/>
              </a:ext>
            </a:extLst>
          </xdr:cNvPr>
          <xdr:cNvSpPr/>
        </xdr:nvSpPr>
        <xdr:spPr>
          <a:xfrm>
            <a:off x="6918960" y="4217377"/>
            <a:ext cx="3358662" cy="2165252"/>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H" sz="1100">
              <a:solidFill>
                <a:schemeClr val="lt1"/>
              </a:solidFill>
              <a:latin typeface="+mn-lt"/>
              <a:ea typeface="+mn-ea"/>
              <a:cs typeface="+mn-cs"/>
            </a:endParaRPr>
          </a:p>
        </xdr:txBody>
      </xdr:sp>
      <xdr:sp macro="" textlink="">
        <xdr:nvSpPr>
          <xdr:cNvPr id="14" name="Ave. Exit Tenure Title">
            <a:extLst>
              <a:ext uri="{FF2B5EF4-FFF2-40B4-BE49-F238E27FC236}">
                <a16:creationId xmlns:a16="http://schemas.microsoft.com/office/drawing/2014/main" id="{B688C430-6D14-7AF9-1B57-1577F9819661}"/>
              </a:ext>
            </a:extLst>
          </xdr:cNvPr>
          <xdr:cNvSpPr txBox="1"/>
        </xdr:nvSpPr>
        <xdr:spPr>
          <a:xfrm>
            <a:off x="7002780" y="4414325"/>
            <a:ext cx="1179928" cy="62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200"/>
              <a:t>Average </a:t>
            </a:r>
            <a:r>
              <a:rPr lang="en-PH" sz="1200">
                <a:solidFill>
                  <a:srgbClr val="D74949"/>
                </a:solidFill>
              </a:rPr>
              <a:t>Exited</a:t>
            </a:r>
            <a:r>
              <a:rPr lang="en-PH" sz="1200" baseline="0">
                <a:solidFill>
                  <a:srgbClr val="D74949"/>
                </a:solidFill>
              </a:rPr>
              <a:t> </a:t>
            </a:r>
            <a:r>
              <a:rPr lang="en-PH" sz="1200" baseline="0">
                <a:solidFill>
                  <a:sysClr val="windowText" lastClr="000000"/>
                </a:solidFill>
              </a:rPr>
              <a:t>Tenure</a:t>
            </a:r>
            <a:endParaRPr lang="en-PH" sz="1200">
              <a:solidFill>
                <a:sysClr val="windowText" lastClr="000000"/>
              </a:solidFill>
            </a:endParaRPr>
          </a:p>
        </xdr:txBody>
      </xdr:sp>
      <xdr:sp macro="" textlink="'PIVOT TABLES'!AF10">
        <xdr:nvSpPr>
          <xdr:cNvPr id="16" name="Ave. Exit Tenure">
            <a:extLst>
              <a:ext uri="{FF2B5EF4-FFF2-40B4-BE49-F238E27FC236}">
                <a16:creationId xmlns:a16="http://schemas.microsoft.com/office/drawing/2014/main" id="{AC7F699E-A41D-4AFF-A49B-F7008BBA538F}"/>
              </a:ext>
            </a:extLst>
          </xdr:cNvPr>
          <xdr:cNvSpPr txBox="1"/>
        </xdr:nvSpPr>
        <xdr:spPr>
          <a:xfrm>
            <a:off x="7002780" y="4906108"/>
            <a:ext cx="1477108" cy="33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BD8DB8A-27DC-4F78-9FA3-0BA9DA7C0F92}" type="TxLink">
              <a:rPr lang="en-US" sz="1300" b="1" i="0" u="none" strike="noStrike">
                <a:solidFill>
                  <a:srgbClr val="D74949"/>
                </a:solidFill>
                <a:latin typeface="Calibri"/>
                <a:ea typeface="Calibri"/>
                <a:cs typeface="Calibri"/>
              </a:rPr>
              <a:pPr algn="l"/>
              <a:t>2 years 2 months</a:t>
            </a:fld>
            <a:endParaRPr lang="en-PH" sz="1300" b="1">
              <a:solidFill>
                <a:srgbClr val="D74949"/>
              </a:solidFill>
            </a:endParaRPr>
          </a:p>
        </xdr:txBody>
      </xdr:sp>
      <xdr:sp macro="" textlink="">
        <xdr:nvSpPr>
          <xdr:cNvPr id="18" name="Ave. Active Tenure">
            <a:extLst>
              <a:ext uri="{FF2B5EF4-FFF2-40B4-BE49-F238E27FC236}">
                <a16:creationId xmlns:a16="http://schemas.microsoft.com/office/drawing/2014/main" id="{792F02B7-4C82-4FC8-9E56-1F2CE5F8D735}"/>
              </a:ext>
            </a:extLst>
          </xdr:cNvPr>
          <xdr:cNvSpPr txBox="1"/>
        </xdr:nvSpPr>
        <xdr:spPr>
          <a:xfrm>
            <a:off x="6995160" y="5345723"/>
            <a:ext cx="1179928" cy="62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200"/>
              <a:t>Average </a:t>
            </a:r>
            <a:r>
              <a:rPr lang="en-PH" sz="1200">
                <a:solidFill>
                  <a:srgbClr val="00B050"/>
                </a:solidFill>
              </a:rPr>
              <a:t>Active </a:t>
            </a:r>
            <a:r>
              <a:rPr lang="en-PH" sz="1200">
                <a:solidFill>
                  <a:sysClr val="windowText" lastClr="000000"/>
                </a:solidFill>
              </a:rPr>
              <a:t>Tenure</a:t>
            </a:r>
          </a:p>
        </xdr:txBody>
      </xdr:sp>
      <xdr:sp macro="" textlink="'PIVOT TABLES'!AF9">
        <xdr:nvSpPr>
          <xdr:cNvPr id="26" name="Ave. Active Tenure">
            <a:extLst>
              <a:ext uri="{FF2B5EF4-FFF2-40B4-BE49-F238E27FC236}">
                <a16:creationId xmlns:a16="http://schemas.microsoft.com/office/drawing/2014/main" id="{057D8D07-1854-4F40-A9EB-83226133F68A}"/>
              </a:ext>
            </a:extLst>
          </xdr:cNvPr>
          <xdr:cNvSpPr txBox="1"/>
        </xdr:nvSpPr>
        <xdr:spPr>
          <a:xfrm>
            <a:off x="6995160" y="5837506"/>
            <a:ext cx="1492348" cy="33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48577B-BAAC-4CF8-B65A-6B62522027EB}" type="TxLink">
              <a:rPr lang="en-US" sz="1300" b="1" i="0" u="none" strike="noStrike">
                <a:solidFill>
                  <a:srgbClr val="00B050"/>
                </a:solidFill>
                <a:latin typeface="Calibri"/>
                <a:ea typeface="Calibri"/>
                <a:cs typeface="Calibri"/>
              </a:rPr>
              <a:pPr algn="l"/>
              <a:t>4 years 6 months</a:t>
            </a:fld>
            <a:endParaRPr lang="en-PH" sz="1300" b="1">
              <a:solidFill>
                <a:srgbClr val="00B050"/>
              </a:solidFill>
            </a:endParaRPr>
          </a:p>
        </xdr:txBody>
      </xdr:sp>
      <xdr:graphicFrame macro="">
        <xdr:nvGraphicFramePr>
          <xdr:cNvPr id="28" name="Ave. Exit Tenure Stacked">
            <a:extLst>
              <a:ext uri="{FF2B5EF4-FFF2-40B4-BE49-F238E27FC236}">
                <a16:creationId xmlns:a16="http://schemas.microsoft.com/office/drawing/2014/main" id="{2F68AFA9-C633-4BC4-AB4E-A1AFD3062368}"/>
              </a:ext>
            </a:extLst>
          </xdr:cNvPr>
          <xdr:cNvGraphicFramePr>
            <a:graphicFrameLocks/>
          </xdr:cNvGraphicFramePr>
        </xdr:nvGraphicFramePr>
        <xdr:xfrm>
          <a:off x="8411308" y="4278337"/>
          <a:ext cx="1835834" cy="1075006"/>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38" name="Ave. Active Tenure Stacked">
            <a:extLst>
              <a:ext uri="{FF2B5EF4-FFF2-40B4-BE49-F238E27FC236}">
                <a16:creationId xmlns:a16="http://schemas.microsoft.com/office/drawing/2014/main" id="{9B237F7F-3A49-4A50-A44C-485DDE15A9FB}"/>
              </a:ext>
            </a:extLst>
          </xdr:cNvPr>
          <xdr:cNvGraphicFramePr>
            <a:graphicFrameLocks/>
          </xdr:cNvGraphicFramePr>
        </xdr:nvGraphicFramePr>
        <xdr:xfrm>
          <a:off x="8403688" y="5284763"/>
          <a:ext cx="1843454" cy="1090246"/>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3</xdr:col>
      <xdr:colOff>1303020</xdr:colOff>
      <xdr:row>11</xdr:row>
      <xdr:rowOff>22860</xdr:rowOff>
    </xdr:from>
    <xdr:to>
      <xdr:col>7</xdr:col>
      <xdr:colOff>678180</xdr:colOff>
      <xdr:row>22</xdr:row>
      <xdr:rowOff>91440</xdr:rowOff>
    </xdr:to>
    <xdr:grpSp>
      <xdr:nvGrpSpPr>
        <xdr:cNvPr id="62" name="Comp. Turnover">
          <a:extLst>
            <a:ext uri="{FF2B5EF4-FFF2-40B4-BE49-F238E27FC236}">
              <a16:creationId xmlns:a16="http://schemas.microsoft.com/office/drawing/2014/main" id="{808E5F5C-4832-5378-E444-D42CC1C11BBB}"/>
            </a:ext>
          </a:extLst>
        </xdr:cNvPr>
        <xdr:cNvGrpSpPr/>
      </xdr:nvGrpSpPr>
      <xdr:grpSpPr>
        <a:xfrm>
          <a:off x="4594860" y="2034540"/>
          <a:ext cx="5684520" cy="2080260"/>
          <a:chOff x="4603066" y="2021645"/>
          <a:chExt cx="5682176" cy="2067364"/>
        </a:xfrm>
      </xdr:grpSpPr>
      <xdr:sp macro="" textlink="">
        <xdr:nvSpPr>
          <xdr:cNvPr id="5" name="Comp. Turnover Box">
            <a:extLst>
              <a:ext uri="{FF2B5EF4-FFF2-40B4-BE49-F238E27FC236}">
                <a16:creationId xmlns:a16="http://schemas.microsoft.com/office/drawing/2014/main" id="{44F5700B-B585-4E4E-8E5C-ED58AC960B9B}"/>
              </a:ext>
            </a:extLst>
          </xdr:cNvPr>
          <xdr:cNvSpPr/>
        </xdr:nvSpPr>
        <xdr:spPr>
          <a:xfrm>
            <a:off x="4603066" y="2021645"/>
            <a:ext cx="5682176" cy="2067364"/>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H" sz="1100">
              <a:solidFill>
                <a:schemeClr val="lt1"/>
              </a:solidFill>
              <a:latin typeface="+mn-lt"/>
              <a:ea typeface="+mn-ea"/>
              <a:cs typeface="+mn-cs"/>
            </a:endParaRPr>
          </a:p>
        </xdr:txBody>
      </xdr:sp>
      <xdr:graphicFrame macro="">
        <xdr:nvGraphicFramePr>
          <xdr:cNvPr id="40" name="Comp. Turnover Chart">
            <a:extLst>
              <a:ext uri="{FF2B5EF4-FFF2-40B4-BE49-F238E27FC236}">
                <a16:creationId xmlns:a16="http://schemas.microsoft.com/office/drawing/2014/main" id="{FCDF2B79-0C67-4198-A03D-85DB88B4CCC3}"/>
              </a:ext>
            </a:extLst>
          </xdr:cNvPr>
          <xdr:cNvGraphicFramePr>
            <a:graphicFrameLocks/>
          </xdr:cNvGraphicFramePr>
        </xdr:nvGraphicFramePr>
        <xdr:xfrm>
          <a:off x="4624754" y="2036885"/>
          <a:ext cx="5638800" cy="2036884"/>
        </xdr:xfrm>
        <a:graphic>
          <a:graphicData uri="http://schemas.openxmlformats.org/drawingml/2006/chart">
            <c:chart xmlns:c="http://schemas.openxmlformats.org/drawingml/2006/chart" xmlns:r="http://schemas.openxmlformats.org/officeDocument/2006/relationships" r:id="rId25"/>
          </a:graphicData>
        </a:graphic>
      </xdr:graphicFrame>
    </xdr:grpSp>
    <xdr:clientData/>
  </xdr:twoCellAnchor>
  <xdr:twoCellAnchor>
    <xdr:from>
      <xdr:col>7</xdr:col>
      <xdr:colOff>1325880</xdr:colOff>
      <xdr:row>23</xdr:row>
      <xdr:rowOff>30480</xdr:rowOff>
    </xdr:from>
    <xdr:to>
      <xdr:col>10</xdr:col>
      <xdr:colOff>7620</xdr:colOff>
      <xdr:row>35</xdr:row>
      <xdr:rowOff>30480</xdr:rowOff>
    </xdr:to>
    <xdr:grpSp>
      <xdr:nvGrpSpPr>
        <xdr:cNvPr id="66" name="Active vs Exit Age Bracket">
          <a:extLst>
            <a:ext uri="{FF2B5EF4-FFF2-40B4-BE49-F238E27FC236}">
              <a16:creationId xmlns:a16="http://schemas.microsoft.com/office/drawing/2014/main" id="{8DE12033-E81C-664D-962A-B04779E6EFD3}"/>
            </a:ext>
          </a:extLst>
        </xdr:cNvPr>
        <xdr:cNvGrpSpPr/>
      </xdr:nvGrpSpPr>
      <xdr:grpSpPr>
        <a:xfrm>
          <a:off x="10927080" y="4236720"/>
          <a:ext cx="3413760" cy="2194560"/>
          <a:chOff x="10369062" y="4209757"/>
          <a:chExt cx="3975881" cy="2150012"/>
        </a:xfrm>
      </xdr:grpSpPr>
      <xdr:sp macro="" textlink="">
        <xdr:nvSpPr>
          <xdr:cNvPr id="8" name="Active vs Exit Age Bracket Box">
            <a:extLst>
              <a:ext uri="{FF2B5EF4-FFF2-40B4-BE49-F238E27FC236}">
                <a16:creationId xmlns:a16="http://schemas.microsoft.com/office/drawing/2014/main" id="{7F1333FE-80D0-43DD-A78C-287941EA3F8D}"/>
              </a:ext>
            </a:extLst>
          </xdr:cNvPr>
          <xdr:cNvSpPr/>
        </xdr:nvSpPr>
        <xdr:spPr>
          <a:xfrm>
            <a:off x="10369062" y="4209757"/>
            <a:ext cx="3975881" cy="2150012"/>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H" sz="1100">
              <a:solidFill>
                <a:schemeClr val="lt1"/>
              </a:solidFill>
              <a:latin typeface="+mn-lt"/>
              <a:ea typeface="+mn-ea"/>
              <a:cs typeface="+mn-cs"/>
            </a:endParaRPr>
          </a:p>
        </xdr:txBody>
      </xdr:sp>
      <xdr:graphicFrame macro="">
        <xdr:nvGraphicFramePr>
          <xdr:cNvPr id="41" name="Active vs Exit Age Bracket Stacked">
            <a:extLst>
              <a:ext uri="{FF2B5EF4-FFF2-40B4-BE49-F238E27FC236}">
                <a16:creationId xmlns:a16="http://schemas.microsoft.com/office/drawing/2014/main" id="{49DD328F-1FE6-46B1-89F9-4648DCAC2825}"/>
              </a:ext>
            </a:extLst>
          </xdr:cNvPr>
          <xdr:cNvGraphicFramePr>
            <a:graphicFrameLocks/>
          </xdr:cNvGraphicFramePr>
        </xdr:nvGraphicFramePr>
        <xdr:xfrm>
          <a:off x="10398370" y="4224997"/>
          <a:ext cx="3924300" cy="2113085"/>
        </xdr:xfrm>
        <a:graphic>
          <a:graphicData uri="http://schemas.openxmlformats.org/drawingml/2006/chart">
            <c:chart xmlns:c="http://schemas.openxmlformats.org/drawingml/2006/chart" xmlns:r="http://schemas.openxmlformats.org/officeDocument/2006/relationships" r:id="rId26"/>
          </a:graphicData>
        </a:graphic>
      </xdr:graphicFrame>
    </xdr:grpSp>
    <xdr:clientData/>
  </xdr:twoCellAnchor>
  <xdr:twoCellAnchor>
    <xdr:from>
      <xdr:col>1</xdr:col>
      <xdr:colOff>0</xdr:colOff>
      <xdr:row>22</xdr:row>
      <xdr:rowOff>137160</xdr:rowOff>
    </xdr:from>
    <xdr:to>
      <xdr:col>5</xdr:col>
      <xdr:colOff>762000</xdr:colOff>
      <xdr:row>35</xdr:row>
      <xdr:rowOff>30480</xdr:rowOff>
    </xdr:to>
    <xdr:grpSp>
      <xdr:nvGrpSpPr>
        <xdr:cNvPr id="68" name="New Hires vs Exits Over TIme">
          <a:extLst>
            <a:ext uri="{FF2B5EF4-FFF2-40B4-BE49-F238E27FC236}">
              <a16:creationId xmlns:a16="http://schemas.microsoft.com/office/drawing/2014/main" id="{CDD1D710-395A-2C74-B258-E8DB122AAFF1}"/>
            </a:ext>
          </a:extLst>
        </xdr:cNvPr>
        <xdr:cNvGrpSpPr/>
      </xdr:nvGrpSpPr>
      <xdr:grpSpPr>
        <a:xfrm>
          <a:off x="114300" y="4160520"/>
          <a:ext cx="7269480" cy="2270760"/>
          <a:chOff x="114300" y="4160520"/>
          <a:chExt cx="7269480" cy="2270760"/>
        </a:xfrm>
      </xdr:grpSpPr>
      <xdr:sp macro="" textlink="">
        <xdr:nvSpPr>
          <xdr:cNvPr id="6" name="New Hires vs Exit Box">
            <a:extLst>
              <a:ext uri="{FF2B5EF4-FFF2-40B4-BE49-F238E27FC236}">
                <a16:creationId xmlns:a16="http://schemas.microsoft.com/office/drawing/2014/main" id="{30C21265-60BD-428C-B778-99106FF9389F}"/>
              </a:ext>
            </a:extLst>
          </xdr:cNvPr>
          <xdr:cNvSpPr/>
        </xdr:nvSpPr>
        <xdr:spPr>
          <a:xfrm>
            <a:off x="114300" y="4236720"/>
            <a:ext cx="7269480" cy="2194560"/>
          </a:xfrm>
          <a:prstGeom prst="rect">
            <a:avLst/>
          </a:prstGeom>
          <a:solidFill>
            <a:srgbClr val="FDFD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H" sz="1100">
              <a:solidFill>
                <a:schemeClr val="lt1"/>
              </a:solidFill>
              <a:latin typeface="+mn-lt"/>
              <a:ea typeface="+mn-ea"/>
              <a:cs typeface="+mn-cs"/>
            </a:endParaRPr>
          </a:p>
        </xdr:txBody>
      </xdr:sp>
      <xdr:graphicFrame macro="">
        <xdr:nvGraphicFramePr>
          <xdr:cNvPr id="37" name="New Hires Over Time Chart">
            <a:extLst>
              <a:ext uri="{FF2B5EF4-FFF2-40B4-BE49-F238E27FC236}">
                <a16:creationId xmlns:a16="http://schemas.microsoft.com/office/drawing/2014/main" id="{4F68334C-B3E6-4714-87C2-37BE44979622}"/>
              </a:ext>
            </a:extLst>
          </xdr:cNvPr>
          <xdr:cNvGraphicFramePr>
            <a:graphicFrameLocks/>
          </xdr:cNvGraphicFramePr>
        </xdr:nvGraphicFramePr>
        <xdr:xfrm>
          <a:off x="129540" y="4275200"/>
          <a:ext cx="6484620" cy="2135760"/>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67" name="Exit Over Time Chart">
            <a:extLst>
              <a:ext uri="{FF2B5EF4-FFF2-40B4-BE49-F238E27FC236}">
                <a16:creationId xmlns:a16="http://schemas.microsoft.com/office/drawing/2014/main" id="{62E96008-7235-4E78-A952-E676476C94FA}"/>
              </a:ext>
            </a:extLst>
          </xdr:cNvPr>
          <xdr:cNvGraphicFramePr>
            <a:graphicFrameLocks/>
          </xdr:cNvGraphicFramePr>
        </xdr:nvGraphicFramePr>
        <xdr:xfrm>
          <a:off x="137160" y="4160520"/>
          <a:ext cx="7231380" cy="2196000"/>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twoCellAnchor editAs="oneCell">
    <xdr:from>
      <xdr:col>1</xdr:col>
      <xdr:colOff>59328</xdr:colOff>
      <xdr:row>0</xdr:row>
      <xdr:rowOff>35379</xdr:rowOff>
    </xdr:from>
    <xdr:to>
      <xdr:col>1</xdr:col>
      <xdr:colOff>579665</xdr:colOff>
      <xdr:row>2</xdr:row>
      <xdr:rowOff>181332</xdr:rowOff>
    </xdr:to>
    <xdr:pic>
      <xdr:nvPicPr>
        <xdr:cNvPr id="70" name="Logo Placeholder" descr="Cheers with solid fill">
          <a:extLst>
            <a:ext uri="{FF2B5EF4-FFF2-40B4-BE49-F238E27FC236}">
              <a16:creationId xmlns:a16="http://schemas.microsoft.com/office/drawing/2014/main" id="{B34D81FE-F254-6987-FB3E-621AC22AC2AF}"/>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73628" y="35379"/>
          <a:ext cx="520337" cy="5106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 refreshedDate="46192.808838541663" createdVersion="8" refreshedVersion="8" minRefreshableVersion="3" recordCount="1081" xr:uid="{ACBC2AF9-0413-4041-876E-851EA693E71B}">
  <cacheSource type="worksheet">
    <worksheetSource name="EmployeeData"/>
  </cacheSource>
  <cacheFields count="18">
    <cacheField name="Employee ID" numFmtId="0">
      <sharedItems containsSemiMixedTypes="0" containsString="0" containsNumber="1" containsInteger="1" minValue="1001" maxValue="2081"/>
    </cacheField>
    <cacheField name="Full Name" numFmtId="0">
      <sharedItems/>
    </cacheField>
    <cacheField name="Department" numFmtId="0">
      <sharedItems count="6">
        <s v="Marketing"/>
        <s v="Customer Support"/>
        <s v="Sales"/>
        <s v="Finance"/>
        <s v="IT"/>
        <s v="HR"/>
      </sharedItems>
    </cacheField>
    <cacheField name="Gender" numFmtId="0">
      <sharedItems/>
    </cacheField>
    <cacheField name="Age" numFmtId="0">
      <sharedItems containsSemiMixedTypes="0" containsString="0" containsNumber="1" containsInteger="1" minValue="21" maxValue="65"/>
    </cacheField>
    <cacheField name="Age bracket" numFmtId="0">
      <sharedItems count="5">
        <s v="30s"/>
        <s v="50s"/>
        <s v="40s"/>
        <s v="20s"/>
        <s v="60s"/>
      </sharedItems>
    </cacheField>
    <cacheField name="Join Date" numFmtId="164">
      <sharedItems containsSemiMixedTypes="0" containsNonDate="0" containsDate="1" containsString="0" minDate="2018-01-05T00:00:00" maxDate="2025-12-11T00:00:00" count="917">
        <d v="2020-09-30T00:00:00"/>
        <d v="2024-10-01T00:00:00"/>
        <d v="2025-10-30T00:00:00"/>
        <d v="2021-11-09T00:00:00"/>
        <d v="2021-04-15T00:00:00"/>
        <d v="2018-11-23T00:00:00"/>
        <d v="2025-11-14T00:00:00"/>
        <d v="2022-04-04T00:00:00"/>
        <d v="2022-07-02T00:00:00"/>
        <d v="2019-08-09T00:00:00"/>
        <d v="2020-06-17T00:00:00"/>
        <d v="2025-08-19T00:00:00"/>
        <d v="2025-08-18T00:00:00"/>
        <d v="2023-02-02T00:00:00"/>
        <d v="2024-10-30T00:00:00"/>
        <d v="2022-01-26T00:00:00"/>
        <d v="2023-12-22T00:00:00"/>
        <d v="2020-05-17T00:00:00"/>
        <d v="2020-10-12T00:00:00"/>
        <d v="2018-10-04T00:00:00"/>
        <d v="2024-05-27T00:00:00"/>
        <d v="2021-12-22T00:00:00"/>
        <d v="2020-10-15T00:00:00"/>
        <d v="2019-02-06T00:00:00"/>
        <d v="2019-11-06T00:00:00"/>
        <d v="2019-09-27T00:00:00"/>
        <d v="2023-12-16T00:00:00"/>
        <d v="2020-10-05T00:00:00"/>
        <d v="2020-09-04T00:00:00"/>
        <d v="2019-02-14T00:00:00"/>
        <d v="2022-11-30T00:00:00"/>
        <d v="2021-05-11T00:00:00"/>
        <d v="2024-10-13T00:00:00"/>
        <d v="2018-06-30T00:00:00"/>
        <d v="2019-04-04T00:00:00"/>
        <d v="2022-01-05T00:00:00"/>
        <d v="2020-08-27T00:00:00"/>
        <d v="2020-12-28T00:00:00"/>
        <d v="2020-07-02T00:00:00"/>
        <d v="2025-08-15T00:00:00"/>
        <d v="2024-07-06T00:00:00"/>
        <d v="2024-10-19T00:00:00"/>
        <d v="2018-01-07T00:00:00"/>
        <d v="2022-11-02T00:00:00"/>
        <d v="2022-07-07T00:00:00"/>
        <d v="2021-05-17T00:00:00"/>
        <d v="2023-03-20T00:00:00"/>
        <d v="2019-01-18T00:00:00"/>
        <d v="2024-11-08T00:00:00"/>
        <d v="2020-09-26T00:00:00"/>
        <d v="2023-02-13T00:00:00"/>
        <d v="2022-10-14T00:00:00"/>
        <d v="2020-10-09T00:00:00"/>
        <d v="2020-08-18T00:00:00"/>
        <d v="2022-08-27T00:00:00"/>
        <d v="2025-10-19T00:00:00"/>
        <d v="2024-01-14T00:00:00"/>
        <d v="2018-04-29T00:00:00"/>
        <d v="2018-04-21T00:00:00"/>
        <d v="2020-01-15T00:00:00"/>
        <d v="2020-10-30T00:00:00"/>
        <d v="2025-04-16T00:00:00"/>
        <d v="2025-07-05T00:00:00"/>
        <d v="2019-03-19T00:00:00"/>
        <d v="2018-11-08T00:00:00"/>
        <d v="2024-05-07T00:00:00"/>
        <d v="2022-09-17T00:00:00"/>
        <d v="2022-11-19T00:00:00"/>
        <d v="2024-08-23T00:00:00"/>
        <d v="2021-10-09T00:00:00"/>
        <d v="2024-03-26T00:00:00"/>
        <d v="2023-01-10T00:00:00"/>
        <d v="2024-03-17T00:00:00"/>
        <d v="2020-08-02T00:00:00"/>
        <d v="2024-09-10T00:00:00"/>
        <d v="2018-07-06T00:00:00"/>
        <d v="2019-02-25T00:00:00"/>
        <d v="2023-05-11T00:00:00"/>
        <d v="2021-05-29T00:00:00"/>
        <d v="2021-05-02T00:00:00"/>
        <d v="2025-01-06T00:00:00"/>
        <d v="2021-04-07T00:00:00"/>
        <d v="2025-06-01T00:00:00"/>
        <d v="2018-10-20T00:00:00"/>
        <d v="2023-08-12T00:00:00"/>
        <d v="2019-01-10T00:00:00"/>
        <d v="2020-01-14T00:00:00"/>
        <d v="2021-09-27T00:00:00"/>
        <d v="2018-05-31T00:00:00"/>
        <d v="2025-05-17T00:00:00"/>
        <d v="2018-07-31T00:00:00"/>
        <d v="2019-10-11T00:00:00"/>
        <d v="2025-04-07T00:00:00"/>
        <d v="2020-09-25T00:00:00"/>
        <d v="2021-10-24T00:00:00"/>
        <d v="2024-07-03T00:00:00"/>
        <d v="2022-03-26T00:00:00"/>
        <d v="2018-06-28T00:00:00"/>
        <d v="2023-07-22T00:00:00"/>
        <d v="2019-02-13T00:00:00"/>
        <d v="2018-11-03T00:00:00"/>
        <d v="2025-07-25T00:00:00"/>
        <d v="2018-05-28T00:00:00"/>
        <d v="2022-11-13T00:00:00"/>
        <d v="2021-04-16T00:00:00"/>
        <d v="2024-12-13T00:00:00"/>
        <d v="2023-03-21T00:00:00"/>
        <d v="2025-09-28T00:00:00"/>
        <d v="2018-03-31T00:00:00"/>
        <d v="2020-07-31T00:00:00"/>
        <d v="2025-01-17T00:00:00"/>
        <d v="2021-08-31T00:00:00"/>
        <d v="2020-11-18T00:00:00"/>
        <d v="2019-07-31T00:00:00"/>
        <d v="2022-02-07T00:00:00"/>
        <d v="2019-03-20T00:00:00"/>
        <d v="2025-04-06T00:00:00"/>
        <d v="2019-04-21T00:00:00"/>
        <d v="2019-09-25T00:00:00"/>
        <d v="2020-06-08T00:00:00"/>
        <d v="2018-09-06T00:00:00"/>
        <d v="2025-03-13T00:00:00"/>
        <d v="2020-04-20T00:00:00"/>
        <d v="2019-08-16T00:00:00"/>
        <d v="2018-03-02T00:00:00"/>
        <d v="2023-05-05T00:00:00"/>
        <d v="2025-05-22T00:00:00"/>
        <d v="2022-10-13T00:00:00"/>
        <d v="2018-09-27T00:00:00"/>
        <d v="2020-05-30T00:00:00"/>
        <d v="2022-10-15T00:00:00"/>
        <d v="2022-11-04T00:00:00"/>
        <d v="2018-07-30T00:00:00"/>
        <d v="2021-12-05T00:00:00"/>
        <d v="2024-12-21T00:00:00"/>
        <d v="2020-01-09T00:00:00"/>
        <d v="2025-02-06T00:00:00"/>
        <d v="2021-06-30T00:00:00"/>
        <d v="2025-07-23T00:00:00"/>
        <d v="2022-10-27T00:00:00"/>
        <d v="2019-07-17T00:00:00"/>
        <d v="2022-11-22T00:00:00"/>
        <d v="2019-12-05T00:00:00"/>
        <d v="2022-11-20T00:00:00"/>
        <d v="2018-11-09T00:00:00"/>
        <d v="2020-08-25T00:00:00"/>
        <d v="2023-03-16T00:00:00"/>
        <d v="2025-01-13T00:00:00"/>
        <d v="2021-06-25T00:00:00"/>
        <d v="2024-11-24T00:00:00"/>
        <d v="2021-08-09T00:00:00"/>
        <d v="2018-12-12T00:00:00"/>
        <d v="2022-01-30T00:00:00"/>
        <d v="2021-03-09T00:00:00"/>
        <d v="2019-06-13T00:00:00"/>
        <d v="2023-06-15T00:00:00"/>
        <d v="2024-09-12T00:00:00"/>
        <d v="2022-12-25T00:00:00"/>
        <d v="2022-02-15T00:00:00"/>
        <d v="2019-10-26T00:00:00"/>
        <d v="2024-03-21T00:00:00"/>
        <d v="2022-11-27T00:00:00"/>
        <d v="2022-03-16T00:00:00"/>
        <d v="2025-11-29T00:00:00"/>
        <d v="2022-09-30T00:00:00"/>
        <d v="2020-09-12T00:00:00"/>
        <d v="2024-02-07T00:00:00"/>
        <d v="2020-11-04T00:00:00"/>
        <d v="2019-07-01T00:00:00"/>
        <d v="2023-02-18T00:00:00"/>
        <d v="2023-04-24T00:00:00"/>
        <d v="2022-05-03T00:00:00"/>
        <d v="2018-11-20T00:00:00"/>
        <d v="2023-01-01T00:00:00"/>
        <d v="2024-11-23T00:00:00"/>
        <d v="2022-01-28T00:00:00"/>
        <d v="2022-01-23T00:00:00"/>
        <d v="2022-12-24T00:00:00"/>
        <d v="2018-04-17T00:00:00"/>
        <d v="2020-05-28T00:00:00"/>
        <d v="2023-01-26T00:00:00"/>
        <d v="2019-10-08T00:00:00"/>
        <d v="2023-07-17T00:00:00"/>
        <d v="2023-11-24T00:00:00"/>
        <d v="2021-11-12T00:00:00"/>
        <d v="2021-01-29T00:00:00"/>
        <d v="2018-11-29T00:00:00"/>
        <d v="2021-04-01T00:00:00"/>
        <d v="2019-10-10T00:00:00"/>
        <d v="2022-06-22T00:00:00"/>
        <d v="2018-07-27T00:00:00"/>
        <d v="2021-07-04T00:00:00"/>
        <d v="2023-09-02T00:00:00"/>
        <d v="2021-03-16T00:00:00"/>
        <d v="2018-07-05T00:00:00"/>
        <d v="2021-02-19T00:00:00"/>
        <d v="2024-04-03T00:00:00"/>
        <d v="2019-07-16T00:00:00"/>
        <d v="2022-05-29T00:00:00"/>
        <d v="2022-02-17T00:00:00"/>
        <d v="2025-05-09T00:00:00"/>
        <d v="2019-08-29T00:00:00"/>
        <d v="2019-09-13T00:00:00"/>
        <d v="2025-11-30T00:00:00"/>
        <d v="2021-03-29T00:00:00"/>
        <d v="2022-04-05T00:00:00"/>
        <d v="2019-03-24T00:00:00"/>
        <d v="2021-09-14T00:00:00"/>
        <d v="2022-07-25T00:00:00"/>
        <d v="2025-03-30T00:00:00"/>
        <d v="2022-09-08T00:00:00"/>
        <d v="2018-06-03T00:00:00"/>
        <d v="2023-04-02T00:00:00"/>
        <d v="2019-12-20T00:00:00"/>
        <d v="2023-05-10T00:00:00"/>
        <d v="2018-02-16T00:00:00"/>
        <d v="2022-08-31T00:00:00"/>
        <d v="2023-11-23T00:00:00"/>
        <d v="2020-04-08T00:00:00"/>
        <d v="2023-06-26T00:00:00"/>
        <d v="2025-07-18T00:00:00"/>
        <d v="2022-10-02T00:00:00"/>
        <d v="2019-07-09T00:00:00"/>
        <d v="2022-03-19T00:00:00"/>
        <d v="2023-12-07T00:00:00"/>
        <d v="2023-03-02T00:00:00"/>
        <d v="2022-07-06T00:00:00"/>
        <d v="2020-08-17T00:00:00"/>
        <d v="2020-06-24T00:00:00"/>
        <d v="2018-07-12T00:00:00"/>
        <d v="2024-01-13T00:00:00"/>
        <d v="2024-04-22T00:00:00"/>
        <d v="2023-01-17T00:00:00"/>
        <d v="2018-10-26T00:00:00"/>
        <d v="2023-05-16T00:00:00"/>
        <d v="2023-03-25T00:00:00"/>
        <d v="2021-08-04T00:00:00"/>
        <d v="2024-07-20T00:00:00"/>
        <d v="2023-08-08T00:00:00"/>
        <d v="2023-03-03T00:00:00"/>
        <d v="2025-06-30T00:00:00"/>
        <d v="2018-09-05T00:00:00"/>
        <d v="2023-12-09T00:00:00"/>
        <d v="2019-01-30T00:00:00"/>
        <d v="2025-03-26T00:00:00"/>
        <d v="2023-05-02T00:00:00"/>
        <d v="2020-04-28T00:00:00"/>
        <d v="2021-09-20T00:00:00"/>
        <d v="2019-02-05T00:00:00"/>
        <d v="2018-05-02T00:00:00"/>
        <d v="2018-12-18T00:00:00"/>
        <d v="2022-05-15T00:00:00"/>
        <d v="2023-01-13T00:00:00"/>
        <d v="2022-04-27T00:00:00"/>
        <d v="2023-11-05T00:00:00"/>
        <d v="2021-05-12T00:00:00"/>
        <d v="2023-02-19T00:00:00"/>
        <d v="2021-10-03T00:00:00"/>
        <d v="2021-07-31T00:00:00"/>
        <d v="2024-08-22T00:00:00"/>
        <d v="2022-12-01T00:00:00"/>
        <d v="2025-05-21T00:00:00"/>
        <d v="2025-10-04T00:00:00"/>
        <d v="2024-07-05T00:00:00"/>
        <d v="2019-09-10T00:00:00"/>
        <d v="2021-11-27T00:00:00"/>
        <d v="2018-10-03T00:00:00"/>
        <d v="2019-12-16T00:00:00"/>
        <d v="2020-02-03T00:00:00"/>
        <d v="2025-11-26T00:00:00"/>
        <d v="2020-12-10T00:00:00"/>
        <d v="2024-08-01T00:00:00"/>
        <d v="2025-07-15T00:00:00"/>
        <d v="2024-06-12T00:00:00"/>
        <d v="2024-03-22T00:00:00"/>
        <d v="2019-07-14T00:00:00"/>
        <d v="2019-11-17T00:00:00"/>
        <d v="2024-05-05T00:00:00"/>
        <d v="2024-01-30T00:00:00"/>
        <d v="2021-05-04T00:00:00"/>
        <d v="2020-05-09T00:00:00"/>
        <d v="2020-04-27T00:00:00"/>
        <d v="2024-06-03T00:00:00"/>
        <d v="2025-05-10T00:00:00"/>
        <d v="2022-03-17T00:00:00"/>
        <d v="2023-06-23T00:00:00"/>
        <d v="2023-12-30T00:00:00"/>
        <d v="2019-06-19T00:00:00"/>
        <d v="2018-03-08T00:00:00"/>
        <d v="2022-10-25T00:00:00"/>
        <d v="2018-02-08T00:00:00"/>
        <d v="2019-02-27T00:00:00"/>
        <d v="2024-11-04T00:00:00"/>
        <d v="2024-11-28T00:00:00"/>
        <d v="2021-12-10T00:00:00"/>
        <d v="2025-09-29T00:00:00"/>
        <d v="2023-07-21T00:00:00"/>
        <d v="2022-01-19T00:00:00"/>
        <d v="2023-04-14T00:00:00"/>
        <d v="2022-06-19T00:00:00"/>
        <d v="2021-02-10T00:00:00"/>
        <d v="2021-06-24T00:00:00"/>
        <d v="2021-06-20T00:00:00"/>
        <d v="2023-11-13T00:00:00"/>
        <d v="2021-10-04T00:00:00"/>
        <d v="2023-08-09T00:00:00"/>
        <d v="2020-07-24T00:00:00"/>
        <d v="2022-04-18T00:00:00"/>
        <d v="2021-01-16T00:00:00"/>
        <d v="2022-07-01T00:00:00"/>
        <d v="2020-10-01T00:00:00"/>
        <d v="2021-06-13T00:00:00"/>
        <d v="2019-01-17T00:00:00"/>
        <d v="2021-04-09T00:00:00"/>
        <d v="2018-11-02T00:00:00"/>
        <d v="2019-05-10T00:00:00"/>
        <d v="2021-12-28T00:00:00"/>
        <d v="2024-03-27T00:00:00"/>
        <d v="2019-06-20T00:00:00"/>
        <d v="2019-06-12T00:00:00"/>
        <d v="2022-04-17T00:00:00"/>
        <d v="2018-05-22T00:00:00"/>
        <d v="2018-03-21T00:00:00"/>
        <d v="2022-05-10T00:00:00"/>
        <d v="2019-10-16T00:00:00"/>
        <d v="2019-12-23T00:00:00"/>
        <d v="2020-02-11T00:00:00"/>
        <d v="2018-03-23T00:00:00"/>
        <d v="2021-08-18T00:00:00"/>
        <d v="2025-11-25T00:00:00"/>
        <d v="2025-03-03T00:00:00"/>
        <d v="2020-07-03T00:00:00"/>
        <d v="2022-05-23T00:00:00"/>
        <d v="2025-03-04T00:00:00"/>
        <d v="2025-02-18T00:00:00"/>
        <d v="2020-12-22T00:00:00"/>
        <d v="2019-11-13T00:00:00"/>
        <d v="2025-04-20T00:00:00"/>
        <d v="2018-10-31T00:00:00"/>
        <d v="2024-01-22T00:00:00"/>
        <d v="2018-12-25T00:00:00"/>
        <d v="2021-06-17T00:00:00"/>
        <d v="2020-01-28T00:00:00"/>
        <d v="2018-09-10T00:00:00"/>
        <d v="2022-09-11T00:00:00"/>
        <d v="2023-08-19T00:00:00"/>
        <d v="2019-12-10T00:00:00"/>
        <d v="2020-04-07T00:00:00"/>
        <d v="2021-08-28T00:00:00"/>
        <d v="2023-11-11T00:00:00"/>
        <d v="2021-03-17T00:00:00"/>
        <d v="2021-02-02T00:00:00"/>
        <d v="2020-07-22T00:00:00"/>
        <d v="2020-05-15T00:00:00"/>
        <d v="2018-09-26T00:00:00"/>
        <d v="2020-10-18T00:00:00"/>
        <d v="2025-08-22T00:00:00"/>
        <d v="2019-11-01T00:00:00"/>
        <d v="2019-10-30T00:00:00"/>
        <d v="2023-10-04T00:00:00"/>
        <d v="2020-07-05T00:00:00"/>
        <d v="2023-03-27T00:00:00"/>
        <d v="2021-05-07T00:00:00"/>
        <d v="2025-05-11T00:00:00"/>
        <d v="2025-05-29T00:00:00"/>
        <d v="2025-12-10T00:00:00"/>
        <d v="2025-07-14T00:00:00"/>
        <d v="2020-01-20T00:00:00"/>
        <d v="2021-09-19T00:00:00"/>
        <d v="2023-04-19T00:00:00"/>
        <d v="2021-07-07T00:00:00"/>
        <d v="2019-06-15T00:00:00"/>
        <d v="2022-03-09T00:00:00"/>
        <d v="2021-07-02T00:00:00"/>
        <d v="2024-09-08T00:00:00"/>
        <d v="2019-11-24T00:00:00"/>
        <d v="2025-05-01T00:00:00"/>
        <d v="2022-09-12T00:00:00"/>
        <d v="2023-08-01T00:00:00"/>
        <d v="2020-04-30T00:00:00"/>
        <d v="2025-07-03T00:00:00"/>
        <d v="2021-04-27T00:00:00"/>
        <d v="2019-04-20T00:00:00"/>
        <d v="2019-01-16T00:00:00"/>
        <d v="2022-09-24T00:00:00"/>
        <d v="2022-09-01T00:00:00"/>
        <d v="2024-11-09T00:00:00"/>
        <d v="2018-09-17T00:00:00"/>
        <d v="2023-10-28T00:00:00"/>
        <d v="2019-09-01T00:00:00"/>
        <d v="2019-11-09T00:00:00"/>
        <d v="2025-04-30T00:00:00"/>
        <d v="2023-09-14T00:00:00"/>
        <d v="2024-04-13T00:00:00"/>
        <d v="2022-08-04T00:00:00"/>
        <d v="2018-07-10T00:00:00"/>
        <d v="2024-03-16T00:00:00"/>
        <d v="2019-06-10T00:00:00"/>
        <d v="2022-06-18T00:00:00"/>
        <d v="2021-05-09T00:00:00"/>
        <d v="2020-05-08T00:00:00"/>
        <d v="2023-08-26T00:00:00"/>
        <d v="2025-07-24T00:00:00"/>
        <d v="2018-04-14T00:00:00"/>
        <d v="2025-08-31T00:00:00"/>
        <d v="2025-10-09T00:00:00"/>
        <d v="2020-04-11T00:00:00"/>
        <d v="2024-02-17T00:00:00"/>
        <d v="2020-02-05T00:00:00"/>
        <d v="2025-01-05T00:00:00"/>
        <d v="2025-06-10T00:00:00"/>
        <d v="2018-06-13T00:00:00"/>
        <d v="2021-03-04T00:00:00"/>
        <d v="2021-08-05T00:00:00"/>
        <d v="2020-05-13T00:00:00"/>
        <d v="2025-04-02T00:00:00"/>
        <d v="2025-01-25T00:00:00"/>
        <d v="2024-07-26T00:00:00"/>
        <d v="2022-04-12T00:00:00"/>
        <d v="2021-04-23T00:00:00"/>
        <d v="2018-02-15T00:00:00"/>
        <d v="2018-12-15T00:00:00"/>
        <d v="2020-01-13T00:00:00"/>
        <d v="2025-03-25T00:00:00"/>
        <d v="2022-01-02T00:00:00"/>
        <d v="2019-09-17T00:00:00"/>
        <d v="2025-03-09T00:00:00"/>
        <d v="2022-01-09T00:00:00"/>
        <d v="2024-01-16T00:00:00"/>
        <d v="2024-06-29T00:00:00"/>
        <d v="2023-04-18T00:00:00"/>
        <d v="2022-06-14T00:00:00"/>
        <d v="2023-06-04T00:00:00"/>
        <d v="2018-06-25T00:00:00"/>
        <d v="2024-05-24T00:00:00"/>
        <d v="2023-06-18T00:00:00"/>
        <d v="2025-03-20T00:00:00"/>
        <d v="2019-04-10T00:00:00"/>
        <d v="2018-06-26T00:00:00"/>
        <d v="2023-10-18T00:00:00"/>
        <d v="2023-05-27T00:00:00"/>
        <d v="2019-11-18T00:00:00"/>
        <d v="2018-03-09T00:00:00"/>
        <d v="2023-08-24T00:00:00"/>
        <d v="2025-08-11T00:00:00"/>
        <d v="2022-04-11T00:00:00"/>
        <d v="2022-08-01T00:00:00"/>
        <d v="2022-08-02T00:00:00"/>
        <d v="2020-11-05T00:00:00"/>
        <d v="2020-07-30T00:00:00"/>
        <d v="2019-10-21T00:00:00"/>
        <d v="2018-09-20T00:00:00"/>
        <d v="2019-12-19T00:00:00"/>
        <d v="2023-10-14T00:00:00"/>
        <d v="2018-12-22T00:00:00"/>
        <d v="2025-11-22T00:00:00"/>
        <d v="2022-07-13T00:00:00"/>
        <d v="2019-04-25T00:00:00"/>
        <d v="2024-04-25T00:00:00"/>
        <d v="2018-04-23T00:00:00"/>
        <d v="2022-08-17T00:00:00"/>
        <d v="2023-08-06T00:00:00"/>
        <d v="2024-12-08T00:00:00"/>
        <d v="2018-06-23T00:00:00"/>
        <d v="2021-02-21T00:00:00"/>
        <d v="2021-11-23T00:00:00"/>
        <d v="2018-02-18T00:00:00"/>
        <d v="2020-12-12T00:00:00"/>
        <d v="2022-02-04T00:00:00"/>
        <d v="2021-01-10T00:00:00"/>
        <d v="2023-04-22T00:00:00"/>
        <d v="2024-05-14T00:00:00"/>
        <d v="2021-10-02T00:00:00"/>
        <d v="2024-06-20T00:00:00"/>
        <d v="2023-06-20T00:00:00"/>
        <d v="2025-03-08T00:00:00"/>
        <d v="2018-11-21T00:00:00"/>
        <d v="2025-11-10T00:00:00"/>
        <d v="2018-08-09T00:00:00"/>
        <d v="2021-06-21T00:00:00"/>
        <d v="2024-08-17T00:00:00"/>
        <d v="2019-01-02T00:00:00"/>
        <d v="2024-02-24T00:00:00"/>
        <d v="2022-09-26T00:00:00"/>
        <d v="2021-01-06T00:00:00"/>
        <d v="2025-11-09T00:00:00"/>
        <d v="2021-03-01T00:00:00"/>
        <d v="2023-08-04T00:00:00"/>
        <d v="2018-08-18T00:00:00"/>
        <d v="2020-10-16T00:00:00"/>
        <d v="2024-03-01T00:00:00"/>
        <d v="2019-04-08T00:00:00"/>
        <d v="2025-09-20T00:00:00"/>
        <d v="2018-09-02T00:00:00"/>
        <d v="2022-12-02T00:00:00"/>
        <d v="2024-04-08T00:00:00"/>
        <d v="2019-10-19T00:00:00"/>
        <d v="2018-03-18T00:00:00"/>
        <d v="2020-02-17T00:00:00"/>
        <d v="2019-03-15T00:00:00"/>
        <d v="2020-11-14T00:00:00"/>
        <d v="2024-12-01T00:00:00"/>
        <d v="2023-12-18T00:00:00"/>
        <d v="2024-04-05T00:00:00"/>
        <d v="2019-11-15T00:00:00"/>
        <d v="2021-07-14T00:00:00"/>
        <d v="2022-06-15T00:00:00"/>
        <d v="2021-07-13T00:00:00"/>
        <d v="2019-07-21T00:00:00"/>
        <d v="2018-11-18T00:00:00"/>
        <d v="2020-07-17T00:00:00"/>
        <d v="2018-06-18T00:00:00"/>
        <d v="2023-08-30T00:00:00"/>
        <d v="2020-12-11T00:00:00"/>
        <d v="2024-04-17T00:00:00"/>
        <d v="2024-11-29T00:00:00"/>
        <d v="2019-10-01T00:00:00"/>
        <d v="2021-03-24T00:00:00"/>
        <d v="2024-07-15T00:00:00"/>
        <d v="2018-08-06T00:00:00"/>
        <d v="2019-03-18T00:00:00"/>
        <d v="2018-03-17T00:00:00"/>
        <d v="2025-01-07T00:00:00"/>
        <d v="2025-05-14T00:00:00"/>
        <d v="2023-01-14T00:00:00"/>
        <d v="2019-07-08T00:00:00"/>
        <d v="2023-12-24T00:00:00"/>
        <d v="2022-08-12T00:00:00"/>
        <d v="2024-10-16T00:00:00"/>
        <d v="2019-07-04T00:00:00"/>
        <d v="2023-04-25T00:00:00"/>
        <d v="2020-04-17T00:00:00"/>
        <d v="2024-10-26T00:00:00"/>
        <d v="2020-10-03T00:00:00"/>
        <d v="2019-08-06T00:00:00"/>
        <d v="2023-02-06T00:00:00"/>
        <d v="2018-12-16T00:00:00"/>
        <d v="2024-03-04T00:00:00"/>
        <d v="2022-09-15T00:00:00"/>
        <d v="2023-02-22T00:00:00"/>
        <d v="2024-08-08T00:00:00"/>
        <d v="2021-09-18T00:00:00"/>
        <d v="2024-04-21T00:00:00"/>
        <d v="2022-10-17T00:00:00"/>
        <d v="2022-08-22T00:00:00"/>
        <d v="2022-10-16T00:00:00"/>
        <d v="2023-10-30T00:00:00"/>
        <d v="2020-03-03T00:00:00"/>
        <d v="2018-01-26T00:00:00"/>
        <d v="2025-07-17T00:00:00"/>
        <d v="2024-01-04T00:00:00"/>
        <d v="2025-01-10T00:00:00"/>
        <d v="2025-11-28T00:00:00"/>
        <d v="2020-06-04T00:00:00"/>
        <d v="2023-09-04T00:00:00"/>
        <d v="2019-08-10T00:00:00"/>
        <d v="2022-05-07T00:00:00"/>
        <d v="2021-08-07T00:00:00"/>
        <d v="2023-10-07T00:00:00"/>
        <d v="2024-11-16T00:00:00"/>
        <d v="2022-04-21T00:00:00"/>
        <d v="2021-07-03T00:00:00"/>
        <d v="2023-03-05T00:00:00"/>
        <d v="2021-08-27T00:00:00"/>
        <d v="2024-02-23T00:00:00"/>
        <d v="2024-05-12T00:00:00"/>
        <d v="2019-04-14T00:00:00"/>
        <d v="2024-09-16T00:00:00"/>
        <d v="2019-08-24T00:00:00"/>
        <d v="2018-02-03T00:00:00"/>
        <d v="2022-09-05T00:00:00"/>
        <d v="2018-12-13T00:00:00"/>
        <d v="2022-04-25T00:00:00"/>
        <d v="2024-06-18T00:00:00"/>
        <d v="2025-09-02T00:00:00"/>
        <d v="2023-04-05T00:00:00"/>
        <d v="2021-03-30T00:00:00"/>
        <d v="2018-11-11T00:00:00"/>
        <d v="2024-10-09T00:00:00"/>
        <d v="2021-11-05T00:00:00"/>
        <d v="2022-04-19T00:00:00"/>
        <d v="2018-08-04T00:00:00"/>
        <d v="2023-04-28T00:00:00"/>
        <d v="2019-02-03T00:00:00"/>
        <d v="2020-12-29T00:00:00"/>
        <d v="2020-03-09T00:00:00"/>
        <d v="2023-11-22T00:00:00"/>
        <d v="2024-09-21T00:00:00"/>
        <d v="2020-01-27T00:00:00"/>
        <d v="2021-09-24T00:00:00"/>
        <d v="2020-01-01T00:00:00"/>
        <d v="2020-11-26T00:00:00"/>
        <d v="2025-06-15T00:00:00"/>
        <d v="2023-05-13T00:00:00"/>
        <d v="2019-05-12T00:00:00"/>
        <d v="2022-02-05T00:00:00"/>
        <d v="2019-12-25T00:00:00"/>
        <d v="2023-06-16T00:00:00"/>
        <d v="2022-05-12T00:00:00"/>
        <d v="2018-06-01T00:00:00"/>
        <d v="2019-09-03T00:00:00"/>
        <d v="2020-09-21T00:00:00"/>
        <d v="2023-02-12T00:00:00"/>
        <d v="2018-09-16T00:00:00"/>
        <d v="2021-03-08T00:00:00"/>
        <d v="2020-09-06T00:00:00"/>
        <d v="2021-11-25T00:00:00"/>
        <d v="2023-09-10T00:00:00"/>
        <d v="2023-07-31T00:00:00"/>
        <d v="2018-06-27T00:00:00"/>
        <d v="2022-12-27T00:00:00"/>
        <d v="2024-11-01T00:00:00"/>
        <d v="2021-10-07T00:00:00"/>
        <d v="2020-06-19T00:00:00"/>
        <d v="2020-07-29T00:00:00"/>
        <d v="2018-05-18T00:00:00"/>
        <d v="2023-05-20T00:00:00"/>
        <d v="2025-11-20T00:00:00"/>
        <d v="2023-12-15T00:00:00"/>
        <d v="2018-08-13T00:00:00"/>
        <d v="2024-01-20T00:00:00"/>
        <d v="2023-04-10T00:00:00"/>
        <d v="2019-06-25T00:00:00"/>
        <d v="2020-08-09T00:00:00"/>
        <d v="2024-08-27T00:00:00"/>
        <d v="2021-03-10T00:00:00"/>
        <d v="2020-12-02T00:00:00"/>
        <d v="2023-12-26T00:00:00"/>
        <d v="2025-08-05T00:00:00"/>
        <d v="2025-06-24T00:00:00"/>
        <d v="2024-04-16T00:00:00"/>
        <d v="2024-09-15T00:00:00"/>
        <d v="2022-08-25T00:00:00"/>
        <d v="2024-07-25T00:00:00"/>
        <d v="2019-05-24T00:00:00"/>
        <d v="2018-10-01T00:00:00"/>
        <d v="2025-10-14T00:00:00"/>
        <d v="2018-08-28T00:00:00"/>
        <d v="2018-07-19T00:00:00"/>
        <d v="2021-02-26T00:00:00"/>
        <d v="2024-11-17T00:00:00"/>
        <d v="2019-07-24T00:00:00"/>
        <d v="2025-09-30T00:00:00"/>
        <d v="2018-05-15T00:00:00"/>
        <d v="2025-06-27T00:00:00"/>
        <d v="2019-08-20T00:00:00"/>
        <d v="2023-08-31T00:00:00"/>
        <d v="2025-12-08T00:00:00"/>
        <d v="2022-10-04T00:00:00"/>
        <d v="2024-04-01T00:00:00"/>
        <d v="2025-09-15T00:00:00"/>
        <d v="2023-05-03T00:00:00"/>
        <d v="2018-09-23T00:00:00"/>
        <d v="2024-08-28T00:00:00"/>
        <d v="2023-06-28T00:00:00"/>
        <d v="2020-01-04T00:00:00"/>
        <d v="2023-07-10T00:00:00"/>
        <d v="2024-01-24T00:00:00"/>
        <d v="2022-12-18T00:00:00"/>
        <d v="2019-07-05T00:00:00"/>
        <d v="2023-04-09T00:00:00"/>
        <d v="2021-03-11T00:00:00"/>
        <d v="2018-12-14T00:00:00"/>
        <d v="2025-05-18T00:00:00"/>
        <d v="2018-04-02T00:00:00"/>
        <d v="2021-10-08T00:00:00"/>
        <d v="2025-02-15T00:00:00"/>
        <d v="2020-07-14T00:00:00"/>
        <d v="2024-05-09T00:00:00"/>
        <d v="2022-11-09T00:00:00"/>
        <d v="2020-01-10T00:00:00"/>
        <d v="2021-01-02T00:00:00"/>
        <d v="2023-11-10T00:00:00"/>
        <d v="2018-09-21T00:00:00"/>
        <d v="2022-07-21T00:00:00"/>
        <d v="2019-10-15T00:00:00"/>
        <d v="2018-08-15T00:00:00"/>
        <d v="2020-10-28T00:00:00"/>
        <d v="2020-08-24T00:00:00"/>
        <d v="2024-08-11T00:00:00"/>
        <d v="2023-12-31T00:00:00"/>
        <d v="2019-01-05T00:00:00"/>
        <d v="2018-05-19T00:00:00"/>
        <d v="2019-02-16T00:00:00"/>
        <d v="2023-01-31T00:00:00"/>
        <d v="2018-01-13T00:00:00"/>
        <d v="2024-08-30T00:00:00"/>
        <d v="2021-02-28T00:00:00"/>
        <d v="2024-04-06T00:00:00"/>
        <d v="2018-07-23T00:00:00"/>
        <d v="2019-04-26T00:00:00"/>
        <d v="2021-03-25T00:00:00"/>
        <d v="2022-02-23T00:00:00"/>
        <d v="2025-09-14T00:00:00"/>
        <d v="2021-05-24T00:00:00"/>
        <d v="2019-11-27T00:00:00"/>
        <d v="2019-04-24T00:00:00"/>
        <d v="2023-10-19T00:00:00"/>
        <d v="2020-02-13T00:00:00"/>
        <d v="2018-06-17T00:00:00"/>
        <d v="2021-12-02T00:00:00"/>
        <d v="2024-07-18T00:00:00"/>
        <d v="2023-08-03T00:00:00"/>
        <d v="2018-06-29T00:00:00"/>
        <d v="2019-06-14T00:00:00"/>
        <d v="2019-01-15T00:00:00"/>
        <d v="2023-07-04T00:00:00"/>
        <d v="2023-10-01T00:00:00"/>
        <d v="2024-11-19T00:00:00"/>
        <d v="2018-12-01T00:00:00"/>
        <d v="2020-05-14T00:00:00"/>
        <d v="2023-02-28T00:00:00"/>
        <d v="2025-04-10T00:00:00"/>
        <d v="2019-11-12T00:00:00"/>
        <d v="2022-05-24T00:00:00"/>
        <d v="2021-04-06T00:00:00"/>
        <d v="2020-08-07T00:00:00"/>
        <d v="2023-04-23T00:00:00"/>
        <d v="2020-06-18T00:00:00"/>
        <d v="2022-05-18T00:00:00"/>
        <d v="2023-07-16T00:00:00"/>
        <d v="2018-05-11T00:00:00"/>
        <d v="2021-10-25T00:00:00"/>
        <d v="2025-12-03T00:00:00"/>
        <d v="2022-12-04T00:00:00"/>
        <d v="2022-10-23T00:00:00"/>
        <d v="2018-09-09T00:00:00"/>
        <d v="2021-04-26T00:00:00"/>
        <d v="2023-12-02T00:00:00"/>
        <d v="2025-10-27T00:00:00"/>
        <d v="2023-11-02T00:00:00"/>
        <d v="2018-04-06T00:00:00"/>
        <d v="2018-11-16T00:00:00"/>
        <d v="2025-09-23T00:00:00"/>
        <d v="2023-06-09T00:00:00"/>
        <d v="2019-10-05T00:00:00"/>
        <d v="2025-01-03T00:00:00"/>
        <d v="2020-01-07T00:00:00"/>
        <d v="2022-07-04T00:00:00"/>
        <d v="2022-04-14T00:00:00"/>
        <d v="2022-07-27T00:00:00"/>
        <d v="2022-05-17T00:00:00"/>
        <d v="2020-08-26T00:00:00"/>
        <d v="2022-07-26T00:00:00"/>
        <d v="2021-06-01T00:00:00"/>
        <d v="2022-03-10T00:00:00"/>
        <d v="2018-01-05T00:00:00"/>
        <d v="2021-01-24T00:00:00"/>
        <d v="2024-11-05T00:00:00"/>
        <d v="2021-01-23T00:00:00"/>
        <d v="2018-01-18T00:00:00"/>
        <d v="2019-12-27T00:00:00"/>
        <d v="2021-02-25T00:00:00"/>
        <d v="2018-09-24T00:00:00"/>
        <d v="2024-11-21T00:00:00"/>
        <d v="2022-11-07T00:00:00"/>
        <d v="2020-07-08T00:00:00"/>
        <d v="2020-07-13T00:00:00"/>
        <d v="2025-01-08T00:00:00"/>
        <d v="2020-10-22T00:00:00"/>
        <d v="2019-01-27T00:00:00"/>
        <d v="2019-06-07T00:00:00"/>
        <d v="2024-08-25T00:00:00"/>
        <d v="2020-02-01T00:00:00"/>
        <d v="2019-08-27T00:00:00"/>
        <d v="2018-08-23T00:00:00"/>
        <d v="2025-06-28T00:00:00"/>
        <d v="2024-12-30T00:00:00"/>
        <d v="2018-02-10T00:00:00"/>
        <d v="2018-03-27T00:00:00"/>
        <d v="2021-06-03T00:00:00"/>
        <d v="2018-09-25T00:00:00"/>
        <d v="2018-07-09T00:00:00"/>
        <d v="2018-08-07T00:00:00"/>
        <d v="2018-11-30T00:00:00"/>
        <d v="2022-03-13T00:00:00"/>
        <d v="2022-06-10T00:00:00"/>
        <d v="2018-12-11T00:00:00"/>
        <d v="2022-02-14T00:00:00"/>
        <d v="2022-01-10T00:00:00"/>
        <d v="2019-05-01T00:00:00"/>
        <d v="2020-02-20T00:00:00"/>
        <d v="2019-09-04T00:00:00"/>
        <d v="2024-03-13T00:00:00"/>
        <d v="2024-05-16T00:00:00"/>
        <d v="2018-09-18T00:00:00"/>
        <d v="2019-03-04T00:00:00"/>
        <d v="2018-10-12T00:00:00"/>
        <d v="2022-02-18T00:00:00"/>
        <d v="2022-12-31T00:00:00"/>
        <d v="2022-08-28T00:00:00"/>
        <d v="2025-11-01T00:00:00"/>
        <d v="2023-07-15T00:00:00"/>
        <d v="2022-08-07T00:00:00"/>
        <d v="2021-02-17T00:00:00"/>
        <d v="2019-11-21T00:00:00"/>
        <d v="2022-05-19T00:00:00"/>
        <d v="2022-03-15T00:00:00"/>
        <d v="2025-08-17T00:00:00"/>
        <d v="2022-10-19T00:00:00"/>
        <d v="2018-09-28T00:00:00"/>
        <d v="2021-05-20T00:00:00"/>
        <d v="2019-12-04T00:00:00"/>
        <d v="2022-04-16T00:00:00"/>
        <d v="2021-06-19T00:00:00"/>
        <d v="2025-03-14T00:00:00"/>
        <d v="2023-11-04T00:00:00"/>
        <d v="2021-11-04T00:00:00"/>
        <d v="2021-08-10T00:00:00"/>
        <d v="2019-05-30T00:00:00"/>
        <d v="2024-10-17T00:00:00"/>
        <d v="2022-06-20T00:00:00"/>
        <d v="2024-03-14T00:00:00"/>
        <d v="2018-10-22T00:00:00"/>
        <d v="2022-04-26T00:00:00"/>
        <d v="2023-09-19T00:00:00"/>
        <d v="2020-11-07T00:00:00"/>
        <d v="2025-12-02T00:00:00"/>
        <d v="2020-11-01T00:00:00"/>
        <d v="2018-12-31T00:00:00"/>
        <d v="2023-07-08T00:00:00"/>
        <d v="2020-04-03T00:00:00"/>
        <d v="2025-02-19T00:00:00"/>
        <d v="2023-06-14T00:00:00"/>
        <d v="2020-09-08T00:00:00"/>
        <d v="2023-12-14T00:00:00"/>
        <d v="2025-02-26T00:00:00"/>
        <d v="2025-08-08T00:00:00"/>
        <d v="2025-05-20T00:00:00"/>
        <d v="2023-08-29T00:00:00"/>
        <d v="2019-04-19T00:00:00"/>
        <d v="2019-03-09T00:00:00"/>
        <d v="2020-06-21T00:00:00"/>
        <d v="2019-01-06T00:00:00"/>
        <d v="2022-03-25T00:00:00"/>
        <d v="2020-07-04T00:00:00"/>
        <d v="2024-06-04T00:00:00"/>
        <d v="2025-11-08T00:00:00"/>
        <d v="2018-03-30T00:00:00"/>
        <d v="2024-06-15T00:00:00"/>
        <d v="2020-01-06T00:00:00"/>
        <d v="2023-03-15T00:00:00"/>
        <d v="2018-12-05T00:00:00"/>
        <d v="2025-04-23T00:00:00"/>
        <d v="2021-07-11T00:00:00"/>
        <d v="2022-01-29T00:00:00"/>
        <d v="2023-10-29T00:00:00"/>
        <d v="2021-12-13T00:00:00"/>
        <d v="2020-02-10T00:00:00"/>
        <d v="2024-03-02T00:00:00"/>
        <d v="2024-01-05T00:00:00"/>
        <d v="2022-04-02T00:00:00"/>
        <d v="2021-09-28T00:00:00"/>
        <d v="2019-03-07T00:00:00"/>
        <d v="2020-01-11T00:00:00"/>
        <d v="2020-12-31T00:00:00"/>
        <d v="2021-06-04T00:00:00"/>
        <d v="2020-09-10T00:00:00"/>
        <d v="2022-10-03T00:00:00"/>
        <d v="2022-10-07T00:00:00"/>
        <d v="2020-07-10T00:00:00"/>
        <d v="2019-04-09T00:00:00"/>
        <d v="2022-06-01T00:00:00"/>
        <d v="2023-07-09T00:00:00"/>
        <d v="2020-07-15T00:00:00"/>
        <d v="2025-05-12T00:00:00"/>
        <d v="2019-03-30T00:00:00"/>
        <d v="2025-06-17T00:00:00"/>
        <d v="2022-06-26T00:00:00"/>
        <d v="2023-08-11T00:00:00"/>
        <d v="2025-11-11T00:00:00"/>
        <d v="2020-02-12T00:00:00"/>
        <d v="2021-01-26T00:00:00"/>
        <d v="2023-11-21T00:00:00"/>
        <d v="2019-03-27T00:00:00"/>
        <d v="2020-05-18T00:00:00"/>
        <d v="2020-09-02T00:00:00"/>
        <d v="2024-12-10T00:00:00"/>
        <d v="2020-10-31T00:00:00"/>
        <d v="2018-10-05T00:00:00"/>
        <d v="2018-11-04T00:00:00"/>
        <d v="2020-06-11T00:00:00"/>
        <d v="2024-03-11T00:00:00"/>
        <d v="2021-01-12T00:00:00"/>
        <d v="2018-01-06T00:00:00"/>
        <d v="2021-08-22T00:00:00"/>
        <d v="2025-05-16T00:00:00"/>
        <d v="2025-01-09T00:00:00"/>
        <d v="2025-01-23T00:00:00"/>
        <d v="2023-07-25T00:00:00"/>
        <d v="2019-12-29T00:00:00"/>
        <d v="2019-02-15T00:00:00"/>
        <d v="2018-03-26T00:00:00"/>
        <d v="2019-07-25T00:00:00"/>
        <d v="2018-08-17T00:00:00"/>
        <d v="2021-12-18T00:00:00"/>
        <d v="2019-02-21T00:00:00"/>
        <d v="2018-01-09T00:00:00"/>
        <d v="2023-07-18T00:00:00"/>
        <d v="2023-11-29T00:00:00"/>
        <d v="2022-01-24T00:00:00"/>
        <d v="2021-04-22T00:00:00"/>
        <d v="2022-03-27T00:00:00"/>
        <d v="2018-05-04T00:00:00"/>
        <d v="2023-12-01T00:00:00"/>
        <d v="2021-03-20T00:00:00"/>
        <d v="2025-08-16T00:00:00"/>
        <d v="2020-07-20T00:00:00"/>
        <d v="2025-04-27T00:00:00"/>
        <d v="2020-02-08T00:00:00"/>
        <d v="2018-07-16T00:00:00"/>
        <d v="2024-08-02T00:00:00"/>
        <d v="2018-11-19T00:00:00"/>
        <d v="2023-08-17T00:00:00"/>
        <d v="2022-01-15T00:00:00"/>
        <d v="2022-12-16T00:00:00"/>
        <d v="2023-02-16T00:00:00"/>
      </sharedItems>
      <fieldGroup par="14"/>
    </cacheField>
    <cacheField name="Exit Date" numFmtId="164">
      <sharedItems containsNonDate="0" containsDate="1" containsString="0" containsBlank="1" minDate="2018-06-07T00:00:00" maxDate="2026-06-07T00:00:00" count="384">
        <d v="2025-02-14T00:00:00"/>
        <d v="2025-07-21T00:00:00"/>
        <m/>
        <d v="2026-02-02T00:00:00"/>
        <d v="2023-12-06T00:00:00"/>
        <d v="2022-08-13T00:00:00"/>
        <d v="2024-10-23T00:00:00"/>
        <d v="2025-08-07T00:00:00"/>
        <d v="2022-12-03T00:00:00"/>
        <d v="2024-01-16T00:00:00"/>
        <d v="2019-07-06T00:00:00"/>
        <d v="2024-06-21T00:00:00"/>
        <d v="2022-06-04T00:00:00"/>
        <d v="2025-08-17T00:00:00"/>
        <d v="2021-08-28T00:00:00"/>
        <d v="2021-10-04T00:00:00"/>
        <d v="2025-12-28T00:00:00"/>
        <d v="2020-03-16T00:00:00"/>
        <d v="2021-03-04T00:00:00"/>
        <d v="2023-08-29T00:00:00"/>
        <d v="2025-03-03T00:00:00"/>
        <d v="2022-11-30T00:00:00"/>
        <d v="2024-12-07T00:00:00"/>
        <d v="2024-11-02T00:00:00"/>
        <d v="2025-12-20T00:00:00"/>
        <d v="2022-09-01T00:00:00"/>
        <d v="2026-04-24T00:00:00"/>
        <d v="2024-07-14T00:00:00"/>
        <d v="2025-08-04T00:00:00"/>
        <d v="2026-06-02T00:00:00"/>
        <d v="2026-01-20T00:00:00"/>
        <d v="2025-07-30T00:00:00"/>
        <d v="2023-11-03T00:00:00"/>
        <d v="2025-01-05T00:00:00"/>
        <d v="2022-12-28T00:00:00"/>
        <d v="2025-03-21T00:00:00"/>
        <d v="2023-12-20T00:00:00"/>
        <d v="2023-01-17T00:00:00"/>
        <d v="2026-03-10T00:00:00"/>
        <d v="2023-02-16T00:00:00"/>
        <d v="2022-06-30T00:00:00"/>
        <d v="2019-07-03T00:00:00"/>
        <d v="2022-07-28T00:00:00"/>
        <d v="2020-04-17T00:00:00"/>
        <d v="2020-03-05T00:00:00"/>
        <d v="2024-01-15T00:00:00"/>
        <d v="2023-12-14T00:00:00"/>
        <d v="2026-03-14T00:00:00"/>
        <d v="2026-03-04T00:00:00"/>
        <d v="2024-07-24T00:00:00"/>
        <d v="2026-02-27T00:00:00"/>
        <d v="2021-01-25T00:00:00"/>
        <d v="2022-11-14T00:00:00"/>
        <d v="2021-01-29T00:00:00"/>
        <d v="2022-08-18T00:00:00"/>
        <d v="2024-06-18T00:00:00"/>
        <d v="2025-03-06T00:00:00"/>
        <d v="2023-09-25T00:00:00"/>
        <d v="2026-02-11T00:00:00"/>
        <d v="2026-05-23T00:00:00"/>
        <d v="2023-07-29T00:00:00"/>
        <d v="2022-05-01T00:00:00"/>
        <d v="2025-11-24T00:00:00"/>
        <d v="2023-11-30T00:00:00"/>
        <d v="2026-03-17T00:00:00"/>
        <d v="2024-01-31T00:00:00"/>
        <d v="2025-05-26T00:00:00"/>
        <d v="2024-05-24T00:00:00"/>
        <d v="2024-03-27T00:00:00"/>
        <d v="2024-08-10T00:00:00"/>
        <d v="2023-07-16T00:00:00"/>
        <d v="2024-07-04T00:00:00"/>
        <d v="2024-08-17T00:00:00"/>
        <d v="2023-08-18T00:00:00"/>
        <d v="2025-10-23T00:00:00"/>
        <d v="2025-05-04T00:00:00"/>
        <d v="2025-03-15T00:00:00"/>
        <d v="2022-08-15T00:00:00"/>
        <d v="2023-01-09T00:00:00"/>
        <d v="2022-02-15T00:00:00"/>
        <d v="2024-10-17T00:00:00"/>
        <d v="2023-02-14T00:00:00"/>
        <d v="2022-08-24T00:00:00"/>
        <d v="2026-03-26T00:00:00"/>
        <d v="2024-02-03T00:00:00"/>
        <d v="2025-08-12T00:00:00"/>
        <d v="2019-11-14T00:00:00"/>
        <d v="2024-02-16T00:00:00"/>
        <d v="2024-12-28T00:00:00"/>
        <d v="2022-05-28T00:00:00"/>
        <d v="2026-03-12T00:00:00"/>
        <d v="2025-02-27T00:00:00"/>
        <d v="2023-05-10T00:00:00"/>
        <d v="2026-03-03T00:00:00"/>
        <d v="2024-10-20T00:00:00"/>
        <d v="2024-12-15T00:00:00"/>
        <d v="2021-07-05T00:00:00"/>
        <d v="2021-06-30T00:00:00"/>
        <d v="2025-05-22T00:00:00"/>
        <d v="2025-10-01T00:00:00"/>
        <d v="2023-09-08T00:00:00"/>
        <d v="2023-12-30T00:00:00"/>
        <d v="2023-03-19T00:00:00"/>
        <d v="2024-11-19T00:00:00"/>
        <d v="2025-02-26T00:00:00"/>
        <d v="2025-02-01T00:00:00"/>
        <d v="2025-09-21T00:00:00"/>
        <d v="2026-03-23T00:00:00"/>
        <d v="2020-03-18T00:00:00"/>
        <d v="2024-09-14T00:00:00"/>
        <d v="2020-04-16T00:00:00"/>
        <d v="2026-03-31T00:00:00"/>
        <d v="2025-10-25T00:00:00"/>
        <d v="2025-11-12T00:00:00"/>
        <d v="2025-04-11T00:00:00"/>
        <d v="2020-06-20T00:00:00"/>
        <d v="2026-02-09T00:00:00"/>
        <d v="2025-10-14T00:00:00"/>
        <d v="2023-09-23T00:00:00"/>
        <d v="2020-03-14T00:00:00"/>
        <d v="2022-03-16T00:00:00"/>
        <d v="2022-10-04T00:00:00"/>
        <d v="2026-03-15T00:00:00"/>
        <d v="2021-10-19T00:00:00"/>
        <d v="2025-05-08T00:00:00"/>
        <d v="2024-08-31T00:00:00"/>
        <d v="2021-11-20T00:00:00"/>
        <d v="2025-02-17T00:00:00"/>
        <d v="2023-04-14T00:00:00"/>
        <d v="2024-03-15T00:00:00"/>
        <d v="2023-05-30T00:00:00"/>
        <d v="2022-09-30T00:00:00"/>
        <d v="2022-09-27T00:00:00"/>
        <d v="2023-10-15T00:00:00"/>
        <d v="2022-09-14T00:00:00"/>
        <d v="2025-02-08T00:00:00"/>
        <d v="2023-04-15T00:00:00"/>
        <d v="2026-05-17T00:00:00"/>
        <d v="2025-02-03T00:00:00"/>
        <d v="2024-08-12T00:00:00"/>
        <d v="2024-08-06T00:00:00"/>
        <d v="2020-01-09T00:00:00"/>
        <d v="2026-04-28T00:00:00"/>
        <d v="2025-10-08T00:00:00"/>
        <d v="2024-08-30T00:00:00"/>
        <d v="2021-04-29T00:00:00"/>
        <d v="2026-02-23T00:00:00"/>
        <d v="2026-03-11T00:00:00"/>
        <d v="2024-03-07T00:00:00"/>
        <d v="2026-05-26T00:00:00"/>
        <d v="2025-11-06T00:00:00"/>
        <d v="2025-12-27T00:00:00"/>
        <d v="2025-03-31T00:00:00"/>
        <d v="2022-03-08T00:00:00"/>
        <d v="2023-11-24T00:00:00"/>
        <d v="2024-11-18T00:00:00"/>
        <d v="2020-07-24T00:00:00"/>
        <d v="2026-05-11T00:00:00"/>
        <d v="2024-05-21T00:00:00"/>
        <d v="2021-11-05T00:00:00"/>
        <d v="2020-01-22T00:00:00"/>
        <d v="2023-02-17T00:00:00"/>
        <d v="2026-01-23T00:00:00"/>
        <d v="2022-06-25T00:00:00"/>
        <d v="2026-02-20T00:00:00"/>
        <d v="2026-02-10T00:00:00"/>
        <d v="2026-04-06T00:00:00"/>
        <d v="2023-04-18T00:00:00"/>
        <d v="2025-12-14T00:00:00"/>
        <d v="2024-08-27T00:00:00"/>
        <d v="2024-04-25T00:00:00"/>
        <d v="2021-03-23T00:00:00"/>
        <d v="2025-01-06T00:00:00"/>
        <d v="2023-01-21T00:00:00"/>
        <d v="2025-12-04T00:00:00"/>
        <d v="2026-05-06T00:00:00"/>
        <d v="2022-10-03T00:00:00"/>
        <d v="2025-09-13T00:00:00"/>
        <d v="2025-09-02T00:00:00"/>
        <d v="2020-07-14T00:00:00"/>
        <d v="2025-12-22T00:00:00"/>
        <d v="2024-02-01T00:00:00"/>
        <d v="2026-06-05T00:00:00"/>
        <d v="2022-11-10T00:00:00"/>
        <d v="2023-09-12T00:00:00"/>
        <d v="2026-04-10T00:00:00"/>
        <d v="2023-11-02T00:00:00"/>
        <d v="2024-11-21T00:00:00"/>
        <d v="2024-01-07T00:00:00"/>
        <d v="2021-09-10T00:00:00"/>
        <d v="2023-04-21T00:00:00"/>
        <d v="2025-11-07T00:00:00"/>
        <d v="2025-02-06T00:00:00"/>
        <d v="2025-07-19T00:00:00"/>
        <d v="2025-06-02T00:00:00"/>
        <d v="2023-04-11T00:00:00"/>
        <d v="2024-05-19T00:00:00"/>
        <d v="2020-08-22T00:00:00"/>
        <d v="2025-11-20T00:00:00"/>
        <d v="2021-10-12T00:00:00"/>
        <d v="2022-05-10T00:00:00"/>
        <d v="2022-11-22T00:00:00"/>
        <d v="2026-05-21T00:00:00"/>
        <d v="2022-08-07T00:00:00"/>
        <d v="2020-05-20T00:00:00"/>
        <d v="2025-02-12T00:00:00"/>
        <d v="2024-01-02T00:00:00"/>
        <d v="2023-11-21T00:00:00"/>
        <d v="2025-05-12T00:00:00"/>
        <d v="2023-10-16T00:00:00"/>
        <d v="2025-06-21T00:00:00"/>
        <d v="2022-05-26T00:00:00"/>
        <d v="2025-10-22T00:00:00"/>
        <d v="2026-06-06T00:00:00"/>
        <d v="2024-08-22T00:00:00"/>
        <d v="2025-06-19T00:00:00"/>
        <d v="2025-02-28T00:00:00"/>
        <d v="2025-06-14T00:00:00"/>
        <d v="2022-03-28T00:00:00"/>
        <d v="2025-10-29T00:00:00"/>
        <d v="2020-09-07T00:00:00"/>
        <d v="2021-02-19T00:00:00"/>
        <d v="2022-01-20T00:00:00"/>
        <d v="2025-11-15T00:00:00"/>
        <d v="2025-04-10T00:00:00"/>
        <d v="2023-06-14T00:00:00"/>
        <d v="2025-07-13T00:00:00"/>
        <d v="2024-12-09T00:00:00"/>
        <d v="2025-09-03T00:00:00"/>
        <d v="2025-09-28T00:00:00"/>
        <d v="2026-01-07T00:00:00"/>
        <d v="2023-11-10T00:00:00"/>
        <d v="2023-08-08T00:00:00"/>
        <d v="2024-10-24T00:00:00"/>
        <d v="2025-05-21T00:00:00"/>
        <d v="2025-06-10T00:00:00"/>
        <d v="2025-01-04T00:00:00"/>
        <d v="2023-04-23T00:00:00"/>
        <d v="2026-01-02T00:00:00"/>
        <d v="2021-07-23T00:00:00"/>
        <d v="2025-06-22T00:00:00"/>
        <d v="2025-08-21T00:00:00"/>
        <d v="2022-06-13T00:00:00"/>
        <d v="2020-07-15T00:00:00"/>
        <d v="2023-12-17T00:00:00"/>
        <d v="2026-02-04T00:00:00"/>
        <d v="2025-09-14T00:00:00"/>
        <d v="2019-04-27T00:00:00"/>
        <d v="2023-12-21T00:00:00"/>
        <d v="2025-11-22T00:00:00"/>
        <d v="2026-04-22T00:00:00"/>
        <d v="2024-04-10T00:00:00"/>
        <d v="2025-03-02T00:00:00"/>
        <d v="2025-05-24T00:00:00"/>
        <d v="2021-10-02T00:00:00"/>
        <d v="2022-04-26T00:00:00"/>
        <d v="2024-04-19T00:00:00"/>
        <d v="2025-11-30T00:00:00"/>
        <d v="2025-01-28T00:00:00"/>
        <d v="2025-12-06T00:00:00"/>
        <d v="2025-10-12T00:00:00"/>
        <d v="2025-07-14T00:00:00"/>
        <d v="2025-06-26T00:00:00"/>
        <d v="2026-05-18T00:00:00"/>
        <d v="2024-01-27T00:00:00"/>
        <d v="2019-08-27T00:00:00"/>
        <d v="2024-02-14T00:00:00"/>
        <d v="2025-11-13T00:00:00"/>
        <d v="2024-04-12T00:00:00"/>
        <d v="2021-03-16T00:00:00"/>
        <d v="2026-01-09T00:00:00"/>
        <d v="2024-02-12T00:00:00"/>
        <d v="2021-08-05T00:00:00"/>
        <d v="2023-08-22T00:00:00"/>
        <d v="2020-05-11T00:00:00"/>
        <d v="2026-05-09T00:00:00"/>
        <d v="2019-07-11T00:00:00"/>
        <d v="2023-09-24T00:00:00"/>
        <d v="2024-06-10T00:00:00"/>
        <d v="2025-12-19T00:00:00"/>
        <d v="2026-03-21T00:00:00"/>
        <d v="2020-12-27T00:00:00"/>
        <d v="2024-07-03T00:00:00"/>
        <d v="2022-12-10T00:00:00"/>
        <d v="2023-10-04T00:00:00"/>
        <d v="2020-03-29T00:00:00"/>
        <d v="2025-03-30T00:00:00"/>
        <d v="2026-01-05T00:00:00"/>
        <d v="2025-03-12T00:00:00"/>
        <d v="2022-02-03T00:00:00"/>
        <d v="2023-07-10T00:00:00"/>
        <d v="2022-05-25T00:00:00"/>
        <d v="2025-11-09T00:00:00"/>
        <d v="2022-09-07T00:00:00"/>
        <d v="2023-10-01T00:00:00"/>
        <d v="2025-07-01T00:00:00"/>
        <d v="2024-05-15T00:00:00"/>
        <d v="2024-11-05T00:00:00"/>
        <d v="2023-11-09T00:00:00"/>
        <d v="2023-04-07T00:00:00"/>
        <d v="2026-05-08T00:00:00"/>
        <d v="2021-05-29T00:00:00"/>
        <d v="2025-11-14T00:00:00"/>
        <d v="2026-01-19T00:00:00"/>
        <d v="2023-08-21T00:00:00"/>
        <d v="2022-05-09T00:00:00"/>
        <d v="2024-09-07T00:00:00"/>
        <d v="2025-06-04T00:00:00"/>
        <d v="2019-10-17T00:00:00"/>
        <d v="2023-03-04T00:00:00"/>
        <d v="2023-06-02T00:00:00"/>
        <d v="2022-12-22T00:00:00"/>
        <d v="2019-07-17T00:00:00"/>
        <d v="2023-02-10T00:00:00"/>
        <d v="2025-01-29T00:00:00"/>
        <d v="2024-04-30T00:00:00"/>
        <d v="2021-07-13T00:00:00"/>
        <d v="2025-12-02T00:00:00"/>
        <d v="2023-09-16T00:00:00"/>
        <d v="2024-08-19T00:00:00"/>
        <d v="2025-01-20T00:00:00"/>
        <d v="2020-10-28T00:00:00"/>
        <d v="2019-07-02T00:00:00"/>
        <d v="2025-08-13T00:00:00"/>
        <d v="2025-12-01T00:00:00"/>
        <d v="2018-09-10T00:00:00"/>
        <d v="2026-05-25T00:00:00"/>
        <d v="2020-06-11T00:00:00"/>
        <d v="2025-01-25T00:00:00"/>
        <d v="2023-02-18T00:00:00"/>
        <d v="2020-01-02T00:00:00"/>
        <d v="2025-06-25T00:00:00"/>
        <d v="2026-05-14T00:00:00"/>
        <d v="2024-10-04T00:00:00"/>
        <d v="2020-04-04T00:00:00"/>
        <d v="2024-03-29T00:00:00"/>
        <d v="2021-03-26T00:00:00"/>
        <d v="2024-02-11T00:00:00"/>
        <d v="2026-04-14T00:00:00"/>
        <d v="2025-02-10T00:00:00"/>
        <d v="2025-05-20T00:00:00"/>
        <d v="2021-12-12T00:00:00"/>
        <d v="2025-11-03T00:00:00"/>
        <d v="2025-05-09T00:00:00"/>
        <d v="2025-08-18T00:00:00"/>
        <d v="2024-05-04T00:00:00"/>
        <d v="2023-02-08T00:00:00"/>
        <d v="2023-12-16T00:00:00"/>
        <d v="2022-07-20T00:00:00"/>
        <d v="2025-10-17T00:00:00"/>
        <d v="2018-06-07T00:00:00"/>
        <d v="2025-04-19T00:00:00"/>
        <d v="2024-01-06T00:00:00"/>
        <d v="2025-01-16T00:00:00"/>
        <d v="2024-11-07T00:00:00"/>
        <d v="2019-12-11T00:00:00"/>
        <d v="2025-02-11T00:00:00"/>
        <d v="2022-05-06T00:00:00"/>
        <d v="2024-11-20T00:00:00"/>
        <d v="2025-11-05T00:00:00"/>
        <d v="2022-06-29T00:00:00"/>
        <d v="2022-10-08T00:00:00"/>
        <d v="2026-01-08T00:00:00"/>
        <d v="2025-11-18T00:00:00"/>
        <d v="2024-10-15T00:00:00"/>
        <d v="2025-04-24T00:00:00"/>
        <d v="2024-10-25T00:00:00"/>
        <d v="2019-12-09T00:00:00"/>
        <d v="2025-10-09T00:00:00"/>
        <d v="2025-11-28T00:00:00"/>
        <d v="2022-08-17T00:00:00"/>
        <d v="2023-10-07T00:00:00"/>
        <d v="2026-02-19T00:00:00"/>
        <d v="2026-03-16T00:00:00"/>
        <d v="2024-09-01T00:00:00"/>
        <d v="2024-10-19T00:00:00"/>
        <d v="2025-01-24T00:00:00"/>
        <d v="2024-04-29T00:00:00"/>
        <d v="2018-08-18T00:00:00"/>
        <d v="2023-10-17T00:00:00"/>
        <d v="2020-03-02T00:00:00"/>
        <d v="2021-10-18T00:00:00"/>
        <d v="2023-03-07T00:00:00"/>
        <d v="2022-03-31T00:00:00"/>
      </sharedItems>
      <fieldGroup par="17"/>
    </cacheField>
    <cacheField name="Exit Reason" numFmtId="0">
      <sharedItems containsBlank="1" count="10">
        <s v="Better Opportunity"/>
        <s v="Personal Reasons"/>
        <s v=""/>
        <s v="Resignation"/>
        <s v="Contract End"/>
        <s v="Termination"/>
        <s v="Retirement"/>
        <s v="Relocation"/>
        <s v="Health Issues"/>
        <m/>
      </sharedItems>
    </cacheField>
    <cacheField name="Status" numFmtId="0">
      <sharedItems count="2">
        <s v="Exited"/>
        <s v="Active"/>
      </sharedItems>
    </cacheField>
    <cacheField name="Tenure (days)" numFmtId="0">
      <sharedItems containsSemiMixedTypes="0" containsString="0" containsNumber="1" containsInteger="1" minValue="92" maxValue="3087"/>
    </cacheField>
    <cacheField name="Tenure (years)" numFmtId="0">
      <sharedItems containsSemiMixedTypes="0" containsString="0" containsNumber="1" containsInteger="1" minValue="0" maxValue="8" count="9">
        <n v="4"/>
        <n v="0"/>
        <n v="5"/>
        <n v="7"/>
        <n v="3"/>
        <n v="1"/>
        <n v="6"/>
        <n v="2"/>
        <n v="8"/>
      </sharedItems>
    </cacheField>
    <cacheField name="Months (Join Date)" numFmtId="0" databaseField="0">
      <fieldGroup base="6">
        <rangePr groupBy="months" startDate="2018-01-05T00:00:00" endDate="2025-12-11T00:00:00"/>
        <groupItems count="14">
          <s v="&lt;05/01/2018"/>
          <s v="Jan"/>
          <s v="Feb"/>
          <s v="Mar"/>
          <s v="Apr"/>
          <s v="May"/>
          <s v="Jun"/>
          <s v="Jul"/>
          <s v="Aug"/>
          <s v="Sep"/>
          <s v="Oct"/>
          <s v="Nov"/>
          <s v="Dec"/>
          <s v="&gt;11/12/2025"/>
        </groupItems>
      </fieldGroup>
    </cacheField>
    <cacheField name="Quarters (Join Date)" numFmtId="0" databaseField="0">
      <fieldGroup base="6">
        <rangePr groupBy="quarters" startDate="2018-01-05T00:00:00" endDate="2025-12-11T00:00:00"/>
        <groupItems count="6">
          <s v="&lt;05/01/2018"/>
          <s v="Qtr1"/>
          <s v="Qtr2"/>
          <s v="Qtr3"/>
          <s v="Qtr4"/>
          <s v="&gt;11/12/2025"/>
        </groupItems>
      </fieldGroup>
    </cacheField>
    <cacheField name="Years (Join Date)" numFmtId="0" databaseField="0">
      <fieldGroup base="6">
        <rangePr groupBy="years" startDate="2018-01-05T00:00:00" endDate="2025-12-11T00:00:00"/>
        <groupItems count="10">
          <s v="&lt;05/01/2018"/>
          <s v="2018"/>
          <s v="2019"/>
          <s v="2020"/>
          <s v="2021"/>
          <s v="2022"/>
          <s v="2023"/>
          <s v="2024"/>
          <s v="2025"/>
          <s v="&gt;11/12/2025"/>
        </groupItems>
      </fieldGroup>
    </cacheField>
    <cacheField name="Months (Exit Date)" numFmtId="0" databaseField="0">
      <fieldGroup base="7">
        <rangePr groupBy="months" startDate="2018-06-07T00:00:00" endDate="2026-06-07T00:00:00"/>
        <groupItems count="14">
          <s v="&lt;07/06/2018"/>
          <s v="Jan"/>
          <s v="Feb"/>
          <s v="Mar"/>
          <s v="Apr"/>
          <s v="May"/>
          <s v="Jun"/>
          <s v="Jul"/>
          <s v="Aug"/>
          <s v="Sep"/>
          <s v="Oct"/>
          <s v="Nov"/>
          <s v="Dec"/>
          <s v="&gt;07/06/2026"/>
        </groupItems>
      </fieldGroup>
    </cacheField>
    <cacheField name="Quarters (Exit Date)" numFmtId="0" databaseField="0">
      <fieldGroup base="7">
        <rangePr groupBy="quarters" startDate="2018-06-07T00:00:00" endDate="2026-06-07T00:00:00"/>
        <groupItems count="6">
          <s v="&lt;07/06/2018"/>
          <s v="Qtr1"/>
          <s v="Qtr2"/>
          <s v="Qtr3"/>
          <s v="Qtr4"/>
          <s v="&gt;07/06/2026"/>
        </groupItems>
      </fieldGroup>
    </cacheField>
    <cacheField name="Years (Exit Date)" numFmtId="0" databaseField="0">
      <fieldGroup base="7">
        <rangePr groupBy="years" startDate="2018-06-07T00:00:00" endDate="2026-06-07T00:00:00"/>
        <groupItems count="11">
          <s v="&lt;07/06/2018"/>
          <s v="2018"/>
          <s v="2019"/>
          <s v="2020"/>
          <s v="2021"/>
          <s v="2022"/>
          <s v="2023"/>
          <s v="2024"/>
          <s v="2025"/>
          <s v="2026"/>
          <s v="&gt;07/06/2026"/>
        </groupItems>
      </fieldGroup>
    </cacheField>
  </cacheFields>
  <extLst>
    <ext xmlns:x14="http://schemas.microsoft.com/office/spreadsheetml/2009/9/main" uri="{725AE2AE-9491-48be-B2B4-4EB974FC3084}">
      <x14:pivotCacheDefinition pivotCacheId="951281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1">
  <r>
    <n v="1001"/>
    <s v="Paz Cruz Dela Cruz"/>
    <x v="0"/>
    <s v="Female"/>
    <n v="38"/>
    <x v="0"/>
    <x v="0"/>
    <x v="0"/>
    <x v="0"/>
    <x v="0"/>
    <n v="1598"/>
    <x v="0"/>
  </r>
  <r>
    <n v="1002"/>
    <s v="Paz Aguilar Camacho"/>
    <x v="1"/>
    <s v="Female"/>
    <n v="53"/>
    <x v="1"/>
    <x v="1"/>
    <x v="1"/>
    <x v="1"/>
    <x v="0"/>
    <n v="293"/>
    <x v="1"/>
  </r>
  <r>
    <n v="1003"/>
    <s v="Celine Diaz Domingo"/>
    <x v="2"/>
    <s v="Female"/>
    <n v="31"/>
    <x v="0"/>
    <x v="2"/>
    <x v="2"/>
    <x v="2"/>
    <x v="1"/>
    <n v="232"/>
    <x v="1"/>
  </r>
  <r>
    <n v="1004"/>
    <s v="Eduardo Torres Dela Torre"/>
    <x v="1"/>
    <s v="Male"/>
    <n v="43"/>
    <x v="2"/>
    <x v="3"/>
    <x v="2"/>
    <x v="2"/>
    <x v="1"/>
    <n v="1683"/>
    <x v="0"/>
  </r>
  <r>
    <n v="1005"/>
    <s v="Jerome Ocampo Macapagal"/>
    <x v="3"/>
    <s v="Male"/>
    <n v="56"/>
    <x v="1"/>
    <x v="4"/>
    <x v="2"/>
    <x v="2"/>
    <x v="1"/>
    <n v="1891"/>
    <x v="2"/>
  </r>
  <r>
    <n v="1006"/>
    <s v="Lourdes Santiago Panganiban"/>
    <x v="1"/>
    <s v="Female"/>
    <n v="39"/>
    <x v="0"/>
    <x v="5"/>
    <x v="2"/>
    <x v="2"/>
    <x v="1"/>
    <n v="2765"/>
    <x v="3"/>
  </r>
  <r>
    <n v="1007"/>
    <s v="Manuel Quiambao"/>
    <x v="1"/>
    <s v="Male"/>
    <n v="38"/>
    <x v="0"/>
    <x v="6"/>
    <x v="2"/>
    <x v="2"/>
    <x v="1"/>
    <n v="217"/>
    <x v="1"/>
  </r>
  <r>
    <n v="1008"/>
    <s v="Pacita Bautista Guevarra"/>
    <x v="0"/>
    <s v="Female"/>
    <n v="50"/>
    <x v="1"/>
    <x v="7"/>
    <x v="3"/>
    <x v="1"/>
    <x v="0"/>
    <n v="1400"/>
    <x v="4"/>
  </r>
  <r>
    <n v="1009"/>
    <s v="Tess Ang Miranda"/>
    <x v="1"/>
    <s v="Female"/>
    <n v="41"/>
    <x v="2"/>
    <x v="8"/>
    <x v="4"/>
    <x v="3"/>
    <x v="0"/>
    <n v="522"/>
    <x v="5"/>
  </r>
  <r>
    <n v="1010"/>
    <s v="Gloria Chan"/>
    <x v="4"/>
    <s v="Other"/>
    <n v="50"/>
    <x v="1"/>
    <x v="9"/>
    <x v="5"/>
    <x v="1"/>
    <x v="0"/>
    <n v="1100"/>
    <x v="4"/>
  </r>
  <r>
    <n v="1011"/>
    <s v="Crisanto Bautista Cueto"/>
    <x v="4"/>
    <s v="Male"/>
    <n v="44"/>
    <x v="2"/>
    <x v="10"/>
    <x v="2"/>
    <x v="2"/>
    <x v="1"/>
    <n v="2193"/>
    <x v="6"/>
  </r>
  <r>
    <n v="1012"/>
    <s v="Teresa Go Salazar"/>
    <x v="2"/>
    <s v="Female"/>
    <n v="31"/>
    <x v="0"/>
    <x v="11"/>
    <x v="2"/>
    <x v="2"/>
    <x v="1"/>
    <n v="304"/>
    <x v="1"/>
  </r>
  <r>
    <n v="1013"/>
    <s v="Gloria Wong"/>
    <x v="0"/>
    <s v="Other"/>
    <n v="21"/>
    <x v="3"/>
    <x v="12"/>
    <x v="2"/>
    <x v="2"/>
    <x v="1"/>
    <n v="305"/>
    <x v="1"/>
  </r>
  <r>
    <n v="1014"/>
    <s v="Jacqueline Bagtas"/>
    <x v="4"/>
    <s v="Female"/>
    <n v="31"/>
    <x v="0"/>
    <x v="13"/>
    <x v="6"/>
    <x v="4"/>
    <x v="0"/>
    <n v="629"/>
    <x v="5"/>
  </r>
  <r>
    <n v="1015"/>
    <s v="Paz Elegado"/>
    <x v="2"/>
    <s v="Female"/>
    <n v="53"/>
    <x v="1"/>
    <x v="14"/>
    <x v="7"/>
    <x v="1"/>
    <x v="0"/>
    <n v="281"/>
    <x v="1"/>
  </r>
  <r>
    <n v="1016"/>
    <s v="Christian Garcia Sy"/>
    <x v="0"/>
    <s v="Male"/>
    <n v="28"/>
    <x v="3"/>
    <x v="15"/>
    <x v="2"/>
    <x v="2"/>
    <x v="1"/>
    <n v="1605"/>
    <x v="0"/>
  </r>
  <r>
    <n v="1017"/>
    <s v="Bernardo Lopez Delos Reyes"/>
    <x v="1"/>
    <s v="Male"/>
    <n v="25"/>
    <x v="3"/>
    <x v="16"/>
    <x v="2"/>
    <x v="2"/>
    <x v="1"/>
    <n v="910"/>
    <x v="7"/>
  </r>
  <r>
    <n v="1018"/>
    <s v="Miguel Santiago Miranda"/>
    <x v="4"/>
    <s v="Other"/>
    <n v="48"/>
    <x v="2"/>
    <x v="17"/>
    <x v="2"/>
    <x v="2"/>
    <x v="1"/>
    <n v="2224"/>
    <x v="6"/>
  </r>
  <r>
    <n v="1019"/>
    <s v="Pete Santos Lim"/>
    <x v="4"/>
    <s v="Male"/>
    <n v="28"/>
    <x v="3"/>
    <x v="18"/>
    <x v="8"/>
    <x v="0"/>
    <x v="0"/>
    <n v="782"/>
    <x v="7"/>
  </r>
  <r>
    <n v="1020"/>
    <s v="Francis Aguilar Villanueva"/>
    <x v="1"/>
    <s v="Male"/>
    <n v="35"/>
    <x v="0"/>
    <x v="19"/>
    <x v="2"/>
    <x v="2"/>
    <x v="1"/>
    <n v="2815"/>
    <x v="3"/>
  </r>
  <r>
    <n v="1021"/>
    <s v="Teresita Tuazon"/>
    <x v="5"/>
    <s v="Female"/>
    <n v="29"/>
    <x v="3"/>
    <x v="20"/>
    <x v="2"/>
    <x v="2"/>
    <x v="1"/>
    <n v="753"/>
    <x v="7"/>
  </r>
  <r>
    <n v="1022"/>
    <s v="Fe Mendoza Dela Torre"/>
    <x v="1"/>
    <s v="Female"/>
    <n v="48"/>
    <x v="2"/>
    <x v="21"/>
    <x v="2"/>
    <x v="2"/>
    <x v="1"/>
    <n v="1640"/>
    <x v="0"/>
  </r>
  <r>
    <n v="1023"/>
    <s v="Rosa Mercado Navarro"/>
    <x v="1"/>
    <s v="Other"/>
    <n v="27"/>
    <x v="3"/>
    <x v="22"/>
    <x v="9"/>
    <x v="5"/>
    <x v="0"/>
    <n v="1188"/>
    <x v="4"/>
  </r>
  <r>
    <n v="1024"/>
    <s v="Rosalinda Chan Pascual"/>
    <x v="2"/>
    <s v="Female"/>
    <n v="56"/>
    <x v="1"/>
    <x v="23"/>
    <x v="10"/>
    <x v="4"/>
    <x v="0"/>
    <n v="150"/>
    <x v="1"/>
  </r>
  <r>
    <n v="1025"/>
    <s v="Wilfredo Estrada"/>
    <x v="1"/>
    <s v="Male"/>
    <n v="64"/>
    <x v="4"/>
    <x v="24"/>
    <x v="11"/>
    <x v="6"/>
    <x v="0"/>
    <n v="1689"/>
    <x v="0"/>
  </r>
  <r>
    <n v="1026"/>
    <s v="Lourdes Navarro San Pedro"/>
    <x v="5"/>
    <s v="Other"/>
    <n v="52"/>
    <x v="1"/>
    <x v="25"/>
    <x v="12"/>
    <x v="4"/>
    <x v="0"/>
    <n v="981"/>
    <x v="7"/>
  </r>
  <r>
    <n v="1027"/>
    <s v="Ismael Mercado Aquino"/>
    <x v="1"/>
    <s v="Male"/>
    <n v="53"/>
    <x v="1"/>
    <x v="26"/>
    <x v="13"/>
    <x v="0"/>
    <x v="0"/>
    <n v="610"/>
    <x v="5"/>
  </r>
  <r>
    <n v="1028"/>
    <s v="Jamie Navarro Trinidad"/>
    <x v="4"/>
    <s v="Other"/>
    <n v="57"/>
    <x v="1"/>
    <x v="27"/>
    <x v="2"/>
    <x v="2"/>
    <x v="1"/>
    <n v="2083"/>
    <x v="2"/>
  </r>
  <r>
    <n v="1029"/>
    <s v="Faith Ocampo Roque"/>
    <x v="3"/>
    <s v="Female"/>
    <n v="41"/>
    <x v="2"/>
    <x v="28"/>
    <x v="14"/>
    <x v="7"/>
    <x v="0"/>
    <n v="358"/>
    <x v="1"/>
  </r>
  <r>
    <n v="1030"/>
    <s v="Bernardo Manalang"/>
    <x v="1"/>
    <s v="Male"/>
    <n v="57"/>
    <x v="1"/>
    <x v="29"/>
    <x v="15"/>
    <x v="8"/>
    <x v="0"/>
    <n v="963"/>
    <x v="7"/>
  </r>
  <r>
    <n v="1031"/>
    <s v="Bryan Solis"/>
    <x v="2"/>
    <s v="Male"/>
    <n v="31"/>
    <x v="0"/>
    <x v="30"/>
    <x v="2"/>
    <x v="2"/>
    <x v="1"/>
    <n v="1297"/>
    <x v="4"/>
  </r>
  <r>
    <n v="1032"/>
    <s v="Ronaldo Mendoza Ramirez"/>
    <x v="2"/>
    <s v="Male"/>
    <n v="56"/>
    <x v="1"/>
    <x v="31"/>
    <x v="2"/>
    <x v="2"/>
    <x v="1"/>
    <n v="1865"/>
    <x v="2"/>
  </r>
  <r>
    <n v="1033"/>
    <s v="Abigail Bautista Bagtas"/>
    <x v="5"/>
    <s v="Female"/>
    <n v="39"/>
    <x v="0"/>
    <x v="32"/>
    <x v="16"/>
    <x v="0"/>
    <x v="0"/>
    <n v="441"/>
    <x v="5"/>
  </r>
  <r>
    <n v="1034"/>
    <s v="Teodoro Aguilar"/>
    <x v="1"/>
    <s v="Male"/>
    <n v="38"/>
    <x v="0"/>
    <x v="33"/>
    <x v="17"/>
    <x v="7"/>
    <x v="0"/>
    <n v="625"/>
    <x v="5"/>
  </r>
  <r>
    <n v="1035"/>
    <s v="Kevin Sy Narvasa"/>
    <x v="0"/>
    <s v="Male"/>
    <n v="21"/>
    <x v="3"/>
    <x v="34"/>
    <x v="18"/>
    <x v="8"/>
    <x v="0"/>
    <n v="700"/>
    <x v="5"/>
  </r>
  <r>
    <n v="1036"/>
    <s v="Mylene Jacinto"/>
    <x v="1"/>
    <s v="Female"/>
    <n v="23"/>
    <x v="3"/>
    <x v="35"/>
    <x v="19"/>
    <x v="7"/>
    <x v="0"/>
    <n v="601"/>
    <x v="5"/>
  </r>
  <r>
    <n v="1037"/>
    <s v="Hernando Diaz Bondoc"/>
    <x v="4"/>
    <s v="Male"/>
    <n v="30"/>
    <x v="0"/>
    <x v="36"/>
    <x v="2"/>
    <x v="2"/>
    <x v="1"/>
    <n v="2122"/>
    <x v="2"/>
  </r>
  <r>
    <n v="1038"/>
    <s v="Antonio Go Tuazon"/>
    <x v="2"/>
    <s v="Male"/>
    <n v="36"/>
    <x v="0"/>
    <x v="37"/>
    <x v="20"/>
    <x v="0"/>
    <x v="0"/>
    <n v="1526"/>
    <x v="0"/>
  </r>
  <r>
    <n v="1039"/>
    <s v="Fernando Aquino"/>
    <x v="4"/>
    <s v="Other"/>
    <n v="35"/>
    <x v="0"/>
    <x v="38"/>
    <x v="21"/>
    <x v="5"/>
    <x v="0"/>
    <n v="881"/>
    <x v="7"/>
  </r>
  <r>
    <n v="1040"/>
    <s v="Neil Mangubat"/>
    <x v="4"/>
    <s v="Male"/>
    <n v="46"/>
    <x v="2"/>
    <x v="39"/>
    <x v="2"/>
    <x v="2"/>
    <x v="1"/>
    <n v="308"/>
    <x v="1"/>
  </r>
  <r>
    <n v="1041"/>
    <s v="Roberto Sy Ocampo"/>
    <x v="1"/>
    <s v="Other"/>
    <n v="32"/>
    <x v="0"/>
    <x v="40"/>
    <x v="2"/>
    <x v="2"/>
    <x v="1"/>
    <n v="713"/>
    <x v="5"/>
  </r>
  <r>
    <n v="1042"/>
    <s v="Morgan Salazar"/>
    <x v="4"/>
    <s v="Other"/>
    <n v="48"/>
    <x v="2"/>
    <x v="41"/>
    <x v="2"/>
    <x v="2"/>
    <x v="1"/>
    <n v="608"/>
    <x v="5"/>
  </r>
  <r>
    <n v="1043"/>
    <s v="Olive Guevarra"/>
    <x v="1"/>
    <s v="Female"/>
    <n v="48"/>
    <x v="2"/>
    <x v="42"/>
    <x v="2"/>
    <x v="2"/>
    <x v="1"/>
    <n v="3085"/>
    <x v="8"/>
  </r>
  <r>
    <n v="1044"/>
    <s v="Joselito Obispo"/>
    <x v="5"/>
    <s v="Male"/>
    <n v="44"/>
    <x v="2"/>
    <x v="43"/>
    <x v="22"/>
    <x v="7"/>
    <x v="0"/>
    <n v="766"/>
    <x v="7"/>
  </r>
  <r>
    <n v="1045"/>
    <s v="Pete Rivera Flores"/>
    <x v="0"/>
    <s v="Male"/>
    <n v="41"/>
    <x v="2"/>
    <x v="44"/>
    <x v="2"/>
    <x v="2"/>
    <x v="1"/>
    <n v="1443"/>
    <x v="4"/>
  </r>
  <r>
    <n v="1046"/>
    <s v="Alex Sy Sia"/>
    <x v="5"/>
    <s v="Other"/>
    <n v="57"/>
    <x v="1"/>
    <x v="45"/>
    <x v="2"/>
    <x v="2"/>
    <x v="1"/>
    <n v="1859"/>
    <x v="2"/>
  </r>
  <r>
    <n v="1047"/>
    <s v="Marcelo Lopez Cueto"/>
    <x v="2"/>
    <s v="Male"/>
    <n v="41"/>
    <x v="2"/>
    <x v="46"/>
    <x v="2"/>
    <x v="2"/>
    <x v="1"/>
    <n v="1187"/>
    <x v="4"/>
  </r>
  <r>
    <n v="1048"/>
    <s v="Rosalinda Castro Figueroa"/>
    <x v="5"/>
    <s v="Female"/>
    <n v="42"/>
    <x v="2"/>
    <x v="47"/>
    <x v="2"/>
    <x v="2"/>
    <x v="1"/>
    <n v="2709"/>
    <x v="3"/>
  </r>
  <r>
    <n v="1049"/>
    <s v="Gloria Castro Roque"/>
    <x v="1"/>
    <s v="Female"/>
    <n v="51"/>
    <x v="1"/>
    <x v="48"/>
    <x v="2"/>
    <x v="2"/>
    <x v="1"/>
    <n v="588"/>
    <x v="5"/>
  </r>
  <r>
    <n v="1050"/>
    <s v="Ronaldo Go Estrada"/>
    <x v="5"/>
    <s v="Male"/>
    <n v="46"/>
    <x v="2"/>
    <x v="49"/>
    <x v="23"/>
    <x v="0"/>
    <x v="0"/>
    <n v="1498"/>
    <x v="0"/>
  </r>
  <r>
    <n v="1051"/>
    <s v="Sue Uy Perez"/>
    <x v="1"/>
    <s v="Female"/>
    <n v="28"/>
    <x v="3"/>
    <x v="50"/>
    <x v="24"/>
    <x v="7"/>
    <x v="0"/>
    <n v="1041"/>
    <x v="7"/>
  </r>
  <r>
    <n v="1052"/>
    <s v="Rowena Natividad"/>
    <x v="0"/>
    <s v="Other"/>
    <n v="53"/>
    <x v="1"/>
    <x v="51"/>
    <x v="2"/>
    <x v="2"/>
    <x v="1"/>
    <n v="1344"/>
    <x v="4"/>
  </r>
  <r>
    <n v="1053"/>
    <s v="Vicente Mercado Delmendo"/>
    <x v="5"/>
    <s v="Male"/>
    <n v="37"/>
    <x v="0"/>
    <x v="52"/>
    <x v="2"/>
    <x v="2"/>
    <x v="1"/>
    <n v="2079"/>
    <x v="2"/>
  </r>
  <r>
    <n v="1054"/>
    <s v="Rowena Rivera Ramirez"/>
    <x v="4"/>
    <s v="Female"/>
    <n v="39"/>
    <x v="0"/>
    <x v="53"/>
    <x v="25"/>
    <x v="3"/>
    <x v="0"/>
    <n v="744"/>
    <x v="7"/>
  </r>
  <r>
    <n v="1055"/>
    <s v="Gloria Flores Suarez"/>
    <x v="5"/>
    <s v="Other"/>
    <n v="25"/>
    <x v="3"/>
    <x v="54"/>
    <x v="2"/>
    <x v="2"/>
    <x v="1"/>
    <n v="1392"/>
    <x v="4"/>
  </r>
  <r>
    <n v="1056"/>
    <s v="Ivan Sia"/>
    <x v="2"/>
    <s v="Male"/>
    <n v="58"/>
    <x v="1"/>
    <x v="55"/>
    <x v="26"/>
    <x v="5"/>
    <x v="0"/>
    <n v="187"/>
    <x v="1"/>
  </r>
  <r>
    <n v="1057"/>
    <s v="Gloria Quiambao"/>
    <x v="2"/>
    <s v="Other"/>
    <n v="47"/>
    <x v="2"/>
    <x v="56"/>
    <x v="2"/>
    <x v="2"/>
    <x v="1"/>
    <n v="887"/>
    <x v="7"/>
  </r>
  <r>
    <n v="1058"/>
    <s v="Vanessa Go Obispo"/>
    <x v="0"/>
    <s v="Female"/>
    <n v="52"/>
    <x v="1"/>
    <x v="57"/>
    <x v="2"/>
    <x v="2"/>
    <x v="1"/>
    <n v="2973"/>
    <x v="8"/>
  </r>
  <r>
    <n v="1059"/>
    <s v="Lourdes Lozano"/>
    <x v="3"/>
    <s v="Other"/>
    <n v="55"/>
    <x v="1"/>
    <x v="58"/>
    <x v="2"/>
    <x v="2"/>
    <x v="1"/>
    <n v="2981"/>
    <x v="8"/>
  </r>
  <r>
    <n v="1060"/>
    <s v="Elmer Buenaventura"/>
    <x v="1"/>
    <s v="Male"/>
    <n v="64"/>
    <x v="4"/>
    <x v="59"/>
    <x v="27"/>
    <x v="6"/>
    <x v="0"/>
    <n v="1642"/>
    <x v="0"/>
  </r>
  <r>
    <n v="1061"/>
    <s v="Elena Cruz"/>
    <x v="4"/>
    <s v="Other"/>
    <n v="47"/>
    <x v="2"/>
    <x v="60"/>
    <x v="2"/>
    <x v="2"/>
    <x v="1"/>
    <n v="2058"/>
    <x v="2"/>
  </r>
  <r>
    <n v="1062"/>
    <s v="Eduardo Vega"/>
    <x v="1"/>
    <s v="Other"/>
    <n v="35"/>
    <x v="0"/>
    <x v="61"/>
    <x v="28"/>
    <x v="1"/>
    <x v="0"/>
    <n v="110"/>
    <x v="1"/>
  </r>
  <r>
    <n v="1063"/>
    <s v="Violeta Torres Ignacio"/>
    <x v="0"/>
    <s v="Female"/>
    <n v="51"/>
    <x v="1"/>
    <x v="62"/>
    <x v="29"/>
    <x v="0"/>
    <x v="0"/>
    <n v="332"/>
    <x v="1"/>
  </r>
  <r>
    <n v="1064"/>
    <s v="Grace Macapagal"/>
    <x v="5"/>
    <s v="Female"/>
    <n v="40"/>
    <x v="2"/>
    <x v="63"/>
    <x v="2"/>
    <x v="2"/>
    <x v="1"/>
    <n v="2649"/>
    <x v="3"/>
  </r>
  <r>
    <n v="1065"/>
    <s v="Renato Lopez"/>
    <x v="3"/>
    <s v="Male"/>
    <n v="33"/>
    <x v="0"/>
    <x v="64"/>
    <x v="2"/>
    <x v="2"/>
    <x v="1"/>
    <n v="2780"/>
    <x v="3"/>
  </r>
  <r>
    <n v="1066"/>
    <s v="Efren Santiago Fajardo"/>
    <x v="4"/>
    <s v="Other"/>
    <n v="28"/>
    <x v="3"/>
    <x v="65"/>
    <x v="2"/>
    <x v="2"/>
    <x v="1"/>
    <n v="773"/>
    <x v="7"/>
  </r>
  <r>
    <n v="1067"/>
    <s v="Ronaldo Lacson"/>
    <x v="1"/>
    <s v="Male"/>
    <n v="21"/>
    <x v="3"/>
    <x v="66"/>
    <x v="2"/>
    <x v="2"/>
    <x v="1"/>
    <n v="1371"/>
    <x v="4"/>
  </r>
  <r>
    <n v="1068"/>
    <s v="Fernando Solis"/>
    <x v="0"/>
    <s v="Other"/>
    <n v="30"/>
    <x v="0"/>
    <x v="67"/>
    <x v="30"/>
    <x v="4"/>
    <x v="0"/>
    <n v="1158"/>
    <x v="4"/>
  </r>
  <r>
    <n v="1069"/>
    <s v="Danilo Ang"/>
    <x v="0"/>
    <s v="Male"/>
    <n v="48"/>
    <x v="2"/>
    <x v="68"/>
    <x v="31"/>
    <x v="3"/>
    <x v="0"/>
    <n v="341"/>
    <x v="1"/>
  </r>
  <r>
    <n v="1070"/>
    <s v="Marcelo Crisostomo"/>
    <x v="4"/>
    <s v="Male"/>
    <n v="45"/>
    <x v="2"/>
    <x v="69"/>
    <x v="32"/>
    <x v="0"/>
    <x v="0"/>
    <n v="755"/>
    <x v="7"/>
  </r>
  <r>
    <n v="1071"/>
    <s v="Ana Mercado Viray"/>
    <x v="4"/>
    <s v="Other"/>
    <n v="38"/>
    <x v="0"/>
    <x v="70"/>
    <x v="33"/>
    <x v="0"/>
    <x v="0"/>
    <n v="285"/>
    <x v="1"/>
  </r>
  <r>
    <n v="1072"/>
    <s v="Danilo Mercado Chua"/>
    <x v="5"/>
    <s v="Male"/>
    <n v="52"/>
    <x v="1"/>
    <x v="71"/>
    <x v="2"/>
    <x v="2"/>
    <x v="1"/>
    <n v="1256"/>
    <x v="4"/>
  </r>
  <r>
    <n v="1073"/>
    <s v="Samuel Vega Del Rosario"/>
    <x v="4"/>
    <s v="Male"/>
    <n v="51"/>
    <x v="1"/>
    <x v="72"/>
    <x v="2"/>
    <x v="2"/>
    <x v="1"/>
    <n v="824"/>
    <x v="7"/>
  </r>
  <r>
    <n v="1074"/>
    <s v="Leonora Rivera"/>
    <x v="5"/>
    <s v="Female"/>
    <n v="55"/>
    <x v="1"/>
    <x v="73"/>
    <x v="34"/>
    <x v="6"/>
    <x v="0"/>
    <n v="878"/>
    <x v="7"/>
  </r>
  <r>
    <n v="1075"/>
    <s v="Aldrin Soriano Lim"/>
    <x v="4"/>
    <s v="Male"/>
    <n v="54"/>
    <x v="1"/>
    <x v="74"/>
    <x v="35"/>
    <x v="3"/>
    <x v="0"/>
    <n v="192"/>
    <x v="1"/>
  </r>
  <r>
    <n v="1076"/>
    <s v="Pete Chua"/>
    <x v="1"/>
    <s v="Male"/>
    <n v="38"/>
    <x v="0"/>
    <x v="75"/>
    <x v="2"/>
    <x v="2"/>
    <x v="1"/>
    <n v="2905"/>
    <x v="3"/>
  </r>
  <r>
    <n v="1077"/>
    <s v="Maricel Uy Co"/>
    <x v="1"/>
    <s v="Other"/>
    <n v="52"/>
    <x v="1"/>
    <x v="76"/>
    <x v="2"/>
    <x v="2"/>
    <x v="1"/>
    <n v="2671"/>
    <x v="3"/>
  </r>
  <r>
    <n v="1078"/>
    <s v="Jordan Macapagal"/>
    <x v="4"/>
    <s v="Other"/>
    <n v="37"/>
    <x v="0"/>
    <x v="77"/>
    <x v="36"/>
    <x v="5"/>
    <x v="0"/>
    <n v="223"/>
    <x v="1"/>
  </r>
  <r>
    <n v="1079"/>
    <s v="Yvonne Ramirez Quiambao"/>
    <x v="1"/>
    <s v="Female"/>
    <n v="57"/>
    <x v="1"/>
    <x v="78"/>
    <x v="37"/>
    <x v="0"/>
    <x v="0"/>
    <n v="598"/>
    <x v="5"/>
  </r>
  <r>
    <n v="1080"/>
    <s v="Samuel Bautista Yap"/>
    <x v="5"/>
    <s v="Male"/>
    <n v="49"/>
    <x v="2"/>
    <x v="79"/>
    <x v="2"/>
    <x v="2"/>
    <x v="1"/>
    <n v="1874"/>
    <x v="2"/>
  </r>
  <r>
    <n v="1081"/>
    <s v="Eduardo Lopez Soriano"/>
    <x v="0"/>
    <s v="Other"/>
    <n v="34"/>
    <x v="0"/>
    <x v="80"/>
    <x v="38"/>
    <x v="0"/>
    <x v="0"/>
    <n v="428"/>
    <x v="5"/>
  </r>
  <r>
    <n v="1082"/>
    <s v="Alvin Villanueva"/>
    <x v="1"/>
    <s v="Male"/>
    <n v="51"/>
    <x v="1"/>
    <x v="81"/>
    <x v="39"/>
    <x v="1"/>
    <x v="0"/>
    <n v="680"/>
    <x v="5"/>
  </r>
  <r>
    <n v="1083"/>
    <s v="Miguel Ramirez Estrada"/>
    <x v="3"/>
    <s v="Other"/>
    <n v="58"/>
    <x v="1"/>
    <x v="82"/>
    <x v="2"/>
    <x v="2"/>
    <x v="1"/>
    <n v="383"/>
    <x v="5"/>
  </r>
  <r>
    <n v="1084"/>
    <s v="Maricel Go Co"/>
    <x v="5"/>
    <s v="Other"/>
    <n v="30"/>
    <x v="0"/>
    <x v="83"/>
    <x v="40"/>
    <x v="7"/>
    <x v="0"/>
    <n v="1349"/>
    <x v="4"/>
  </r>
  <r>
    <n v="1085"/>
    <s v="Luisa Sy Ramos"/>
    <x v="5"/>
    <s v="Other"/>
    <n v="38"/>
    <x v="0"/>
    <x v="84"/>
    <x v="2"/>
    <x v="2"/>
    <x v="1"/>
    <n v="1042"/>
    <x v="7"/>
  </r>
  <r>
    <n v="1086"/>
    <s v="Ulysses Gonzales Macapagal"/>
    <x v="5"/>
    <s v="Male"/>
    <n v="22"/>
    <x v="3"/>
    <x v="85"/>
    <x v="41"/>
    <x v="4"/>
    <x v="0"/>
    <n v="174"/>
    <x v="1"/>
  </r>
  <r>
    <n v="1087"/>
    <s v="Timothy Zulueta"/>
    <x v="0"/>
    <s v="Male"/>
    <n v="38"/>
    <x v="0"/>
    <x v="86"/>
    <x v="2"/>
    <x v="2"/>
    <x v="1"/>
    <n v="2348"/>
    <x v="6"/>
  </r>
  <r>
    <n v="1088"/>
    <s v="Francis Bondoc"/>
    <x v="3"/>
    <s v="Male"/>
    <n v="47"/>
    <x v="2"/>
    <x v="87"/>
    <x v="42"/>
    <x v="3"/>
    <x v="0"/>
    <n v="304"/>
    <x v="1"/>
  </r>
  <r>
    <n v="1089"/>
    <s v="Rodel Tan Go"/>
    <x v="4"/>
    <s v="Other"/>
    <n v="56"/>
    <x v="1"/>
    <x v="88"/>
    <x v="2"/>
    <x v="2"/>
    <x v="1"/>
    <n v="2941"/>
    <x v="8"/>
  </r>
  <r>
    <n v="1090"/>
    <s v="Carmen Santiago Bondoc"/>
    <x v="2"/>
    <s v="Other"/>
    <n v="21"/>
    <x v="3"/>
    <x v="89"/>
    <x v="2"/>
    <x v="2"/>
    <x v="1"/>
    <n v="398"/>
    <x v="5"/>
  </r>
  <r>
    <n v="1091"/>
    <s v="Victor Reyes Jimenez"/>
    <x v="0"/>
    <s v="Male"/>
    <n v="49"/>
    <x v="2"/>
    <x v="90"/>
    <x v="43"/>
    <x v="4"/>
    <x v="0"/>
    <n v="626"/>
    <x v="5"/>
  </r>
  <r>
    <n v="1092"/>
    <s v="Danilo Tan"/>
    <x v="3"/>
    <s v="Male"/>
    <n v="36"/>
    <x v="0"/>
    <x v="91"/>
    <x v="44"/>
    <x v="8"/>
    <x v="0"/>
    <n v="146"/>
    <x v="1"/>
  </r>
  <r>
    <n v="1093"/>
    <s v="Ian Aguilar Miranda"/>
    <x v="3"/>
    <s v="Male"/>
    <n v="28"/>
    <x v="3"/>
    <x v="92"/>
    <x v="2"/>
    <x v="2"/>
    <x v="1"/>
    <n v="438"/>
    <x v="5"/>
  </r>
  <r>
    <n v="1094"/>
    <s v="Diosdado Ramos Salazar"/>
    <x v="4"/>
    <s v="Male"/>
    <n v="51"/>
    <x v="1"/>
    <x v="93"/>
    <x v="2"/>
    <x v="2"/>
    <x v="1"/>
    <n v="2093"/>
    <x v="2"/>
  </r>
  <r>
    <n v="1095"/>
    <s v="Kath Wong"/>
    <x v="2"/>
    <s v="Female"/>
    <n v="47"/>
    <x v="2"/>
    <x v="94"/>
    <x v="2"/>
    <x v="2"/>
    <x v="1"/>
    <n v="1699"/>
    <x v="0"/>
  </r>
  <r>
    <n v="1096"/>
    <s v="Ivy Chan Domingo"/>
    <x v="4"/>
    <s v="Female"/>
    <n v="58"/>
    <x v="1"/>
    <x v="95"/>
    <x v="2"/>
    <x v="2"/>
    <x v="1"/>
    <n v="716"/>
    <x v="5"/>
  </r>
  <r>
    <n v="1097"/>
    <s v="Elmer Diaz"/>
    <x v="4"/>
    <s v="Male"/>
    <n v="55"/>
    <x v="1"/>
    <x v="96"/>
    <x v="2"/>
    <x v="2"/>
    <x v="1"/>
    <n v="1546"/>
    <x v="0"/>
  </r>
  <r>
    <n v="1098"/>
    <s v="Leonard Salazar"/>
    <x v="1"/>
    <s v="Male"/>
    <n v="47"/>
    <x v="2"/>
    <x v="97"/>
    <x v="45"/>
    <x v="1"/>
    <x v="0"/>
    <n v="2027"/>
    <x v="2"/>
  </r>
  <r>
    <n v="1099"/>
    <s v="Bernardo Bagtas"/>
    <x v="2"/>
    <s v="Male"/>
    <n v="30"/>
    <x v="0"/>
    <x v="98"/>
    <x v="2"/>
    <x v="2"/>
    <x v="1"/>
    <n v="1063"/>
    <x v="7"/>
  </r>
  <r>
    <n v="1100"/>
    <s v="Eva Reyes"/>
    <x v="4"/>
    <s v="Female"/>
    <n v="49"/>
    <x v="2"/>
    <x v="99"/>
    <x v="2"/>
    <x v="2"/>
    <x v="1"/>
    <n v="2683"/>
    <x v="3"/>
  </r>
  <r>
    <n v="1101"/>
    <s v="Teodoro Buenaventura"/>
    <x v="4"/>
    <s v="Male"/>
    <n v="30"/>
    <x v="0"/>
    <x v="100"/>
    <x v="2"/>
    <x v="2"/>
    <x v="1"/>
    <n v="2785"/>
    <x v="3"/>
  </r>
  <r>
    <n v="1102"/>
    <s v="Rachel Macaraeg"/>
    <x v="4"/>
    <s v="Female"/>
    <n v="42"/>
    <x v="2"/>
    <x v="101"/>
    <x v="2"/>
    <x v="2"/>
    <x v="1"/>
    <n v="329"/>
    <x v="1"/>
  </r>
  <r>
    <n v="1103"/>
    <s v="Patricio Valencia"/>
    <x v="2"/>
    <s v="Male"/>
    <n v="55"/>
    <x v="1"/>
    <x v="102"/>
    <x v="2"/>
    <x v="2"/>
    <x v="1"/>
    <n v="2944"/>
    <x v="8"/>
  </r>
  <r>
    <n v="1104"/>
    <s v="Lourdes Soriano Manalo"/>
    <x v="4"/>
    <s v="Female"/>
    <n v="26"/>
    <x v="3"/>
    <x v="103"/>
    <x v="2"/>
    <x v="2"/>
    <x v="1"/>
    <n v="1314"/>
    <x v="4"/>
  </r>
  <r>
    <n v="1105"/>
    <s v="Nena Gonzales Bondoc"/>
    <x v="3"/>
    <s v="Female"/>
    <n v="24"/>
    <x v="3"/>
    <x v="104"/>
    <x v="46"/>
    <x v="0"/>
    <x v="0"/>
    <n v="972"/>
    <x v="7"/>
  </r>
  <r>
    <n v="1106"/>
    <s v="Jessa Go Narvasa"/>
    <x v="1"/>
    <s v="Female"/>
    <n v="45"/>
    <x v="2"/>
    <x v="105"/>
    <x v="2"/>
    <x v="2"/>
    <x v="1"/>
    <n v="553"/>
    <x v="5"/>
  </r>
  <r>
    <n v="1107"/>
    <s v="Oscar Vega Aguilar"/>
    <x v="0"/>
    <s v="Male"/>
    <n v="21"/>
    <x v="3"/>
    <x v="106"/>
    <x v="2"/>
    <x v="2"/>
    <x v="1"/>
    <n v="1186"/>
    <x v="4"/>
  </r>
  <r>
    <n v="1108"/>
    <s v="Sarah Rivera Umali"/>
    <x v="3"/>
    <s v="Female"/>
    <n v="48"/>
    <x v="2"/>
    <x v="107"/>
    <x v="47"/>
    <x v="0"/>
    <x v="0"/>
    <n v="167"/>
    <x v="1"/>
  </r>
  <r>
    <n v="1109"/>
    <s v="Nathan Bautista Ang"/>
    <x v="0"/>
    <s v="Male"/>
    <n v="39"/>
    <x v="0"/>
    <x v="108"/>
    <x v="2"/>
    <x v="2"/>
    <x v="1"/>
    <n v="3002"/>
    <x v="8"/>
  </r>
  <r>
    <n v="1110"/>
    <s v="Efren Tan"/>
    <x v="3"/>
    <s v="Other"/>
    <n v="39"/>
    <x v="0"/>
    <x v="109"/>
    <x v="2"/>
    <x v="2"/>
    <x v="1"/>
    <n v="2149"/>
    <x v="2"/>
  </r>
  <r>
    <n v="1111"/>
    <s v="Christian Santiago Manalo"/>
    <x v="0"/>
    <s v="Male"/>
    <n v="29"/>
    <x v="3"/>
    <x v="110"/>
    <x v="48"/>
    <x v="7"/>
    <x v="0"/>
    <n v="411"/>
    <x v="5"/>
  </r>
  <r>
    <n v="1112"/>
    <s v="Jacqueline Santiago Vega"/>
    <x v="5"/>
    <s v="Female"/>
    <n v="39"/>
    <x v="0"/>
    <x v="111"/>
    <x v="2"/>
    <x v="2"/>
    <x v="1"/>
    <n v="1753"/>
    <x v="0"/>
  </r>
  <r>
    <n v="1113"/>
    <s v="Elena Chua"/>
    <x v="0"/>
    <s v="Other"/>
    <n v="31"/>
    <x v="0"/>
    <x v="112"/>
    <x v="2"/>
    <x v="2"/>
    <x v="1"/>
    <n v="2039"/>
    <x v="2"/>
  </r>
  <r>
    <n v="1114"/>
    <s v="Pacita Figueroa"/>
    <x v="4"/>
    <s v="Female"/>
    <n v="25"/>
    <x v="3"/>
    <x v="113"/>
    <x v="2"/>
    <x v="2"/>
    <x v="1"/>
    <n v="2515"/>
    <x v="6"/>
  </r>
  <r>
    <n v="1115"/>
    <s v="Gloria Domingo Castro"/>
    <x v="3"/>
    <s v="Other"/>
    <n v="56"/>
    <x v="1"/>
    <x v="114"/>
    <x v="49"/>
    <x v="0"/>
    <x v="0"/>
    <n v="898"/>
    <x v="7"/>
  </r>
  <r>
    <n v="1116"/>
    <s v="Elena Bautista"/>
    <x v="0"/>
    <s v="Other"/>
    <n v="44"/>
    <x v="2"/>
    <x v="115"/>
    <x v="2"/>
    <x v="2"/>
    <x v="1"/>
    <n v="2648"/>
    <x v="3"/>
  </r>
  <r>
    <n v="1117"/>
    <s v="Bryan Ramos Corpuz"/>
    <x v="3"/>
    <s v="Male"/>
    <n v="35"/>
    <x v="0"/>
    <x v="116"/>
    <x v="50"/>
    <x v="3"/>
    <x v="0"/>
    <n v="327"/>
    <x v="1"/>
  </r>
  <r>
    <n v="1118"/>
    <s v="Patricia Enriquez"/>
    <x v="1"/>
    <s v="Female"/>
    <n v="52"/>
    <x v="1"/>
    <x v="117"/>
    <x v="51"/>
    <x v="5"/>
    <x v="0"/>
    <n v="645"/>
    <x v="5"/>
  </r>
  <r>
    <n v="1119"/>
    <s v="Efren Viray"/>
    <x v="5"/>
    <s v="Male"/>
    <n v="58"/>
    <x v="1"/>
    <x v="118"/>
    <x v="2"/>
    <x v="2"/>
    <x v="1"/>
    <n v="2459"/>
    <x v="6"/>
  </r>
  <r>
    <n v="1120"/>
    <s v="Rosalinda Santiago Evangelista"/>
    <x v="3"/>
    <s v="Female"/>
    <n v="44"/>
    <x v="2"/>
    <x v="119"/>
    <x v="2"/>
    <x v="2"/>
    <x v="1"/>
    <n v="2202"/>
    <x v="6"/>
  </r>
  <r>
    <n v="1121"/>
    <s v="Miguel Castro"/>
    <x v="0"/>
    <s v="Other"/>
    <n v="43"/>
    <x v="2"/>
    <x v="120"/>
    <x v="2"/>
    <x v="2"/>
    <x v="1"/>
    <n v="2843"/>
    <x v="3"/>
  </r>
  <r>
    <n v="1122"/>
    <s v="Rosa Mendoza"/>
    <x v="2"/>
    <s v="Female"/>
    <n v="34"/>
    <x v="0"/>
    <x v="121"/>
    <x v="2"/>
    <x v="2"/>
    <x v="1"/>
    <n v="463"/>
    <x v="5"/>
  </r>
  <r>
    <n v="1123"/>
    <s v="Queenie Mangubat"/>
    <x v="4"/>
    <s v="Female"/>
    <n v="57"/>
    <x v="1"/>
    <x v="122"/>
    <x v="52"/>
    <x v="7"/>
    <x v="0"/>
    <n v="938"/>
    <x v="7"/>
  </r>
  <r>
    <n v="1124"/>
    <s v="Oscar Go"/>
    <x v="2"/>
    <s v="Male"/>
    <n v="38"/>
    <x v="0"/>
    <x v="123"/>
    <x v="2"/>
    <x v="2"/>
    <x v="1"/>
    <n v="2499"/>
    <x v="6"/>
  </r>
  <r>
    <n v="1125"/>
    <s v="Sam Ramos Soriano"/>
    <x v="1"/>
    <s v="Other"/>
    <n v="29"/>
    <x v="3"/>
    <x v="124"/>
    <x v="53"/>
    <x v="7"/>
    <x v="0"/>
    <n v="1064"/>
    <x v="7"/>
  </r>
  <r>
    <n v="1126"/>
    <s v="Jerome Uy Cueto"/>
    <x v="5"/>
    <s v="Male"/>
    <n v="25"/>
    <x v="3"/>
    <x v="125"/>
    <x v="2"/>
    <x v="2"/>
    <x v="1"/>
    <n v="1141"/>
    <x v="4"/>
  </r>
  <r>
    <n v="1127"/>
    <s v="Carmen Bayani"/>
    <x v="0"/>
    <s v="Other"/>
    <n v="23"/>
    <x v="3"/>
    <x v="126"/>
    <x v="2"/>
    <x v="2"/>
    <x v="1"/>
    <n v="393"/>
    <x v="5"/>
  </r>
  <r>
    <n v="1128"/>
    <s v="Gani Miranda"/>
    <x v="1"/>
    <s v="Male"/>
    <n v="46"/>
    <x v="2"/>
    <x v="127"/>
    <x v="2"/>
    <x v="2"/>
    <x v="1"/>
    <n v="1345"/>
    <x v="4"/>
  </r>
  <r>
    <n v="1129"/>
    <s v="Nena Sy Chua"/>
    <x v="1"/>
    <s v="Female"/>
    <n v="30"/>
    <x v="0"/>
    <x v="128"/>
    <x v="54"/>
    <x v="5"/>
    <x v="0"/>
    <n v="1421"/>
    <x v="4"/>
  </r>
  <r>
    <n v="1130"/>
    <s v="Antonio Go Bondoc"/>
    <x v="1"/>
    <s v="Other"/>
    <n v="56"/>
    <x v="1"/>
    <x v="129"/>
    <x v="2"/>
    <x v="2"/>
    <x v="1"/>
    <n v="2211"/>
    <x v="6"/>
  </r>
  <r>
    <n v="1131"/>
    <s v="Cameron Guevarra"/>
    <x v="4"/>
    <s v="Other"/>
    <n v="41"/>
    <x v="2"/>
    <x v="130"/>
    <x v="55"/>
    <x v="5"/>
    <x v="0"/>
    <n v="612"/>
    <x v="5"/>
  </r>
  <r>
    <n v="1132"/>
    <s v="Rowena Diaz Torres"/>
    <x v="1"/>
    <s v="Other"/>
    <n v="26"/>
    <x v="3"/>
    <x v="131"/>
    <x v="56"/>
    <x v="3"/>
    <x v="0"/>
    <n v="853"/>
    <x v="7"/>
  </r>
  <r>
    <n v="1133"/>
    <s v="Zeus Flores Yap"/>
    <x v="5"/>
    <s v="Male"/>
    <n v="48"/>
    <x v="2"/>
    <x v="132"/>
    <x v="2"/>
    <x v="2"/>
    <x v="1"/>
    <n v="2881"/>
    <x v="3"/>
  </r>
  <r>
    <n v="1134"/>
    <s v="Kevin Gonzales"/>
    <x v="1"/>
    <s v="Male"/>
    <n v="27"/>
    <x v="3"/>
    <x v="133"/>
    <x v="2"/>
    <x v="2"/>
    <x v="1"/>
    <n v="1657"/>
    <x v="0"/>
  </r>
  <r>
    <n v="1135"/>
    <s v="Rowena Bautista"/>
    <x v="0"/>
    <s v="Other"/>
    <n v="56"/>
    <x v="1"/>
    <x v="134"/>
    <x v="2"/>
    <x v="2"/>
    <x v="1"/>
    <n v="545"/>
    <x v="5"/>
  </r>
  <r>
    <n v="1136"/>
    <s v="Efren Fernandez Santos"/>
    <x v="5"/>
    <s v="Other"/>
    <n v="22"/>
    <x v="3"/>
    <x v="135"/>
    <x v="57"/>
    <x v="4"/>
    <x v="0"/>
    <n v="1355"/>
    <x v="4"/>
  </r>
  <r>
    <n v="1137"/>
    <s v="Danilo Rivera Del Rosario"/>
    <x v="0"/>
    <s v="Male"/>
    <n v="30"/>
    <x v="0"/>
    <x v="136"/>
    <x v="2"/>
    <x v="2"/>
    <x v="1"/>
    <n v="498"/>
    <x v="5"/>
  </r>
  <r>
    <n v="1138"/>
    <s v="Sonny Bautista Perez"/>
    <x v="4"/>
    <s v="Male"/>
    <n v="44"/>
    <x v="2"/>
    <x v="137"/>
    <x v="2"/>
    <x v="2"/>
    <x v="1"/>
    <n v="1815"/>
    <x v="0"/>
  </r>
  <r>
    <n v="1139"/>
    <s v="Isabel Aguilar Quiambao"/>
    <x v="1"/>
    <s v="Other"/>
    <n v="24"/>
    <x v="3"/>
    <x v="138"/>
    <x v="58"/>
    <x v="7"/>
    <x v="0"/>
    <n v="203"/>
    <x v="1"/>
  </r>
  <r>
    <n v="1140"/>
    <s v="Christian Bautista Garcia"/>
    <x v="1"/>
    <s v="Male"/>
    <n v="43"/>
    <x v="2"/>
    <x v="139"/>
    <x v="59"/>
    <x v="8"/>
    <x v="0"/>
    <n v="1304"/>
    <x v="4"/>
  </r>
  <r>
    <n v="1141"/>
    <s v="Estrella Ang Dalisay"/>
    <x v="1"/>
    <s v="Female"/>
    <n v="34"/>
    <x v="0"/>
    <x v="140"/>
    <x v="2"/>
    <x v="2"/>
    <x v="1"/>
    <n v="2529"/>
    <x v="6"/>
  </r>
  <r>
    <n v="1142"/>
    <s v="Kath Jacinto"/>
    <x v="5"/>
    <s v="Female"/>
    <n v="45"/>
    <x v="2"/>
    <x v="16"/>
    <x v="2"/>
    <x v="2"/>
    <x v="1"/>
    <n v="910"/>
    <x v="7"/>
  </r>
  <r>
    <n v="1143"/>
    <s v="Aileen Lim Macapagal"/>
    <x v="5"/>
    <s v="Female"/>
    <n v="23"/>
    <x v="3"/>
    <x v="141"/>
    <x v="60"/>
    <x v="3"/>
    <x v="0"/>
    <n v="249"/>
    <x v="1"/>
  </r>
  <r>
    <n v="1144"/>
    <s v="Alvin Hernandez"/>
    <x v="4"/>
    <s v="Male"/>
    <n v="41"/>
    <x v="2"/>
    <x v="142"/>
    <x v="2"/>
    <x v="2"/>
    <x v="1"/>
    <n v="2388"/>
    <x v="6"/>
  </r>
  <r>
    <n v="1145"/>
    <s v="Teresa Soriano Ramos"/>
    <x v="1"/>
    <s v="Other"/>
    <n v="36"/>
    <x v="0"/>
    <x v="143"/>
    <x v="2"/>
    <x v="2"/>
    <x v="1"/>
    <n v="1307"/>
    <x v="4"/>
  </r>
  <r>
    <n v="1146"/>
    <s v="Josephine Vega Elegado"/>
    <x v="5"/>
    <s v="Female"/>
    <n v="31"/>
    <x v="0"/>
    <x v="144"/>
    <x v="2"/>
    <x v="2"/>
    <x v="1"/>
    <n v="2779"/>
    <x v="3"/>
  </r>
  <r>
    <n v="1147"/>
    <s v="Cristina Domingo"/>
    <x v="4"/>
    <s v="Other"/>
    <n v="30"/>
    <x v="0"/>
    <x v="145"/>
    <x v="61"/>
    <x v="0"/>
    <x v="0"/>
    <n v="614"/>
    <x v="5"/>
  </r>
  <r>
    <n v="1148"/>
    <s v="Daisy Guevarra"/>
    <x v="5"/>
    <s v="Female"/>
    <n v="52"/>
    <x v="1"/>
    <x v="146"/>
    <x v="2"/>
    <x v="2"/>
    <x v="1"/>
    <n v="1191"/>
    <x v="4"/>
  </r>
  <r>
    <n v="1149"/>
    <s v="Victor Aguilar Valencia"/>
    <x v="0"/>
    <s v="Male"/>
    <n v="41"/>
    <x v="2"/>
    <x v="147"/>
    <x v="62"/>
    <x v="0"/>
    <x v="0"/>
    <n v="315"/>
    <x v="1"/>
  </r>
  <r>
    <n v="1150"/>
    <s v="Antonio Pascual Torres"/>
    <x v="0"/>
    <s v="Male"/>
    <n v="25"/>
    <x v="3"/>
    <x v="148"/>
    <x v="2"/>
    <x v="2"/>
    <x v="1"/>
    <n v="1820"/>
    <x v="0"/>
  </r>
  <r>
    <n v="1151"/>
    <s v="Arnel Cruz Suarez"/>
    <x v="1"/>
    <s v="Other"/>
    <n v="26"/>
    <x v="3"/>
    <x v="149"/>
    <x v="2"/>
    <x v="2"/>
    <x v="1"/>
    <n v="572"/>
    <x v="5"/>
  </r>
  <r>
    <n v="1152"/>
    <s v="Pilar Domingo"/>
    <x v="4"/>
    <s v="Other"/>
    <n v="33"/>
    <x v="0"/>
    <x v="150"/>
    <x v="2"/>
    <x v="2"/>
    <x v="1"/>
    <n v="1775"/>
    <x v="0"/>
  </r>
  <r>
    <n v="1153"/>
    <s v="Jose Uy Garcia"/>
    <x v="4"/>
    <s v="Other"/>
    <n v="42"/>
    <x v="2"/>
    <x v="151"/>
    <x v="2"/>
    <x v="2"/>
    <x v="1"/>
    <n v="2746"/>
    <x v="3"/>
  </r>
  <r>
    <n v="1154"/>
    <s v="Gerald Diaz Figueroa"/>
    <x v="3"/>
    <s v="Male"/>
    <n v="31"/>
    <x v="0"/>
    <x v="152"/>
    <x v="63"/>
    <x v="5"/>
    <x v="0"/>
    <n v="669"/>
    <x v="5"/>
  </r>
  <r>
    <n v="1155"/>
    <s v="Florinda Fernandez Mangubat"/>
    <x v="1"/>
    <s v="Female"/>
    <n v="45"/>
    <x v="2"/>
    <x v="153"/>
    <x v="64"/>
    <x v="7"/>
    <x v="0"/>
    <n v="1834"/>
    <x v="2"/>
  </r>
  <r>
    <n v="1156"/>
    <s v="Rowena Diaz Yap"/>
    <x v="3"/>
    <s v="Female"/>
    <n v="46"/>
    <x v="2"/>
    <x v="154"/>
    <x v="2"/>
    <x v="2"/>
    <x v="1"/>
    <n v="2563"/>
    <x v="3"/>
  </r>
  <r>
    <n v="1157"/>
    <s v="Samuel Santiago Cueto"/>
    <x v="2"/>
    <s v="Male"/>
    <n v="54"/>
    <x v="1"/>
    <x v="47"/>
    <x v="2"/>
    <x v="2"/>
    <x v="1"/>
    <n v="2709"/>
    <x v="3"/>
  </r>
  <r>
    <n v="1158"/>
    <s v="Carlos Cruz Fernandez"/>
    <x v="4"/>
    <s v="Other"/>
    <n v="42"/>
    <x v="2"/>
    <x v="155"/>
    <x v="65"/>
    <x v="0"/>
    <x v="0"/>
    <n v="230"/>
    <x v="1"/>
  </r>
  <r>
    <n v="1159"/>
    <s v="Josephine Pascual"/>
    <x v="5"/>
    <s v="Other"/>
    <n v="29"/>
    <x v="3"/>
    <x v="156"/>
    <x v="66"/>
    <x v="0"/>
    <x v="0"/>
    <n v="256"/>
    <x v="1"/>
  </r>
  <r>
    <n v="1160"/>
    <s v="Warren Soriano Lim"/>
    <x v="1"/>
    <s v="Male"/>
    <n v="36"/>
    <x v="0"/>
    <x v="157"/>
    <x v="2"/>
    <x v="2"/>
    <x v="1"/>
    <n v="1272"/>
    <x v="4"/>
  </r>
  <r>
    <n v="1161"/>
    <s v="Maricel Pascual Manalo"/>
    <x v="3"/>
    <s v="Other"/>
    <n v="33"/>
    <x v="0"/>
    <x v="158"/>
    <x v="2"/>
    <x v="2"/>
    <x v="1"/>
    <n v="1585"/>
    <x v="0"/>
  </r>
  <r>
    <n v="1162"/>
    <s v="Bong Ramirez"/>
    <x v="5"/>
    <s v="Male"/>
    <n v="47"/>
    <x v="2"/>
    <x v="159"/>
    <x v="2"/>
    <x v="2"/>
    <x v="1"/>
    <n v="2428"/>
    <x v="6"/>
  </r>
  <r>
    <n v="1163"/>
    <s v="Larry Lopez Castro"/>
    <x v="1"/>
    <s v="Male"/>
    <n v="44"/>
    <x v="2"/>
    <x v="160"/>
    <x v="2"/>
    <x v="2"/>
    <x v="1"/>
    <n v="820"/>
    <x v="7"/>
  </r>
  <r>
    <n v="1164"/>
    <s v="Efren Tan Bautista"/>
    <x v="4"/>
    <s v="Other"/>
    <n v="30"/>
    <x v="0"/>
    <x v="161"/>
    <x v="67"/>
    <x v="3"/>
    <x v="0"/>
    <n v="544"/>
    <x v="5"/>
  </r>
  <r>
    <n v="1165"/>
    <s v="Joy Pascual Mercado"/>
    <x v="0"/>
    <s v="Female"/>
    <n v="26"/>
    <x v="3"/>
    <x v="162"/>
    <x v="68"/>
    <x v="4"/>
    <x v="0"/>
    <n v="742"/>
    <x v="7"/>
  </r>
  <r>
    <n v="1166"/>
    <s v="Juan Flores Ramos"/>
    <x v="3"/>
    <s v="Male"/>
    <n v="29"/>
    <x v="3"/>
    <x v="163"/>
    <x v="2"/>
    <x v="2"/>
    <x v="1"/>
    <n v="202"/>
    <x v="1"/>
  </r>
  <r>
    <n v="1167"/>
    <s v="Roberto Go Sy"/>
    <x v="2"/>
    <s v="Male"/>
    <n v="53"/>
    <x v="1"/>
    <x v="164"/>
    <x v="69"/>
    <x v="6"/>
    <x v="0"/>
    <n v="680"/>
    <x v="5"/>
  </r>
  <r>
    <n v="1168"/>
    <s v="Pilar Fernandez Macapagal"/>
    <x v="1"/>
    <s v="Other"/>
    <n v="52"/>
    <x v="1"/>
    <x v="74"/>
    <x v="2"/>
    <x v="2"/>
    <x v="1"/>
    <n v="647"/>
    <x v="5"/>
  </r>
  <r>
    <n v="1169"/>
    <s v="Kristina Enriquez"/>
    <x v="4"/>
    <s v="Female"/>
    <n v="43"/>
    <x v="2"/>
    <x v="165"/>
    <x v="2"/>
    <x v="2"/>
    <x v="1"/>
    <n v="2106"/>
    <x v="2"/>
  </r>
  <r>
    <n v="1170"/>
    <s v="Jimmy Chan Hilario"/>
    <x v="0"/>
    <s v="Male"/>
    <n v="54"/>
    <x v="1"/>
    <x v="166"/>
    <x v="2"/>
    <x v="2"/>
    <x v="1"/>
    <n v="863"/>
    <x v="7"/>
  </r>
  <r>
    <n v="1171"/>
    <s v="Ivan Mendoza Aquino"/>
    <x v="1"/>
    <s v="Male"/>
    <n v="44"/>
    <x v="2"/>
    <x v="167"/>
    <x v="2"/>
    <x v="2"/>
    <x v="1"/>
    <n v="2053"/>
    <x v="2"/>
  </r>
  <r>
    <n v="1172"/>
    <s v="Jose Chan Guevarra"/>
    <x v="5"/>
    <s v="Other"/>
    <n v="42"/>
    <x v="2"/>
    <x v="168"/>
    <x v="70"/>
    <x v="3"/>
    <x v="0"/>
    <n v="1476"/>
    <x v="0"/>
  </r>
  <r>
    <n v="1173"/>
    <s v="Miguel Soriano Garcia"/>
    <x v="0"/>
    <s v="Other"/>
    <n v="25"/>
    <x v="3"/>
    <x v="169"/>
    <x v="71"/>
    <x v="0"/>
    <x v="0"/>
    <n v="502"/>
    <x v="5"/>
  </r>
  <r>
    <n v="1174"/>
    <s v="Danilo Santiago Wong"/>
    <x v="0"/>
    <s v="Other"/>
    <n v="51"/>
    <x v="1"/>
    <x v="170"/>
    <x v="72"/>
    <x v="6"/>
    <x v="0"/>
    <n v="481"/>
    <x v="5"/>
  </r>
  <r>
    <n v="1175"/>
    <s v="Ian Ignacio"/>
    <x v="4"/>
    <s v="Male"/>
    <n v="49"/>
    <x v="2"/>
    <x v="171"/>
    <x v="73"/>
    <x v="8"/>
    <x v="0"/>
    <n v="472"/>
    <x v="5"/>
  </r>
  <r>
    <n v="1176"/>
    <s v="Jose Mendoza Guerrero"/>
    <x v="0"/>
    <s v="Other"/>
    <n v="48"/>
    <x v="2"/>
    <x v="172"/>
    <x v="2"/>
    <x v="2"/>
    <x v="1"/>
    <n v="2768"/>
    <x v="3"/>
  </r>
  <r>
    <n v="1177"/>
    <s v="Samuel Pascual"/>
    <x v="1"/>
    <s v="Male"/>
    <n v="40"/>
    <x v="2"/>
    <x v="173"/>
    <x v="2"/>
    <x v="2"/>
    <x v="1"/>
    <n v="1265"/>
    <x v="4"/>
  </r>
  <r>
    <n v="1178"/>
    <s v="Celine Zulueta"/>
    <x v="4"/>
    <s v="Female"/>
    <n v="43"/>
    <x v="2"/>
    <x v="174"/>
    <x v="2"/>
    <x v="2"/>
    <x v="1"/>
    <n v="573"/>
    <x v="5"/>
  </r>
  <r>
    <n v="1179"/>
    <s v="Herminia Uy Bautista"/>
    <x v="3"/>
    <s v="Female"/>
    <n v="46"/>
    <x v="2"/>
    <x v="175"/>
    <x v="2"/>
    <x v="2"/>
    <x v="1"/>
    <n v="1603"/>
    <x v="0"/>
  </r>
  <r>
    <n v="1180"/>
    <s v="Tess Ocampo"/>
    <x v="1"/>
    <s v="Female"/>
    <n v="44"/>
    <x v="2"/>
    <x v="176"/>
    <x v="2"/>
    <x v="2"/>
    <x v="1"/>
    <n v="1608"/>
    <x v="0"/>
  </r>
  <r>
    <n v="1181"/>
    <s v="Maricel Tan Ramirez"/>
    <x v="5"/>
    <s v="Other"/>
    <n v="44"/>
    <x v="2"/>
    <x v="177"/>
    <x v="2"/>
    <x v="2"/>
    <x v="1"/>
    <n v="1273"/>
    <x v="4"/>
  </r>
  <r>
    <n v="1182"/>
    <s v="Jessa Torres Delmendo"/>
    <x v="4"/>
    <s v="Female"/>
    <n v="28"/>
    <x v="3"/>
    <x v="178"/>
    <x v="2"/>
    <x v="2"/>
    <x v="1"/>
    <n v="2985"/>
    <x v="8"/>
  </r>
  <r>
    <n v="1183"/>
    <s v="Diana Hernandez"/>
    <x v="4"/>
    <s v="Female"/>
    <n v="49"/>
    <x v="2"/>
    <x v="179"/>
    <x v="2"/>
    <x v="2"/>
    <x v="1"/>
    <n v="2213"/>
    <x v="6"/>
  </r>
  <r>
    <n v="1184"/>
    <s v="Hope Ocampo Enriquez"/>
    <x v="0"/>
    <s v="Female"/>
    <n v="25"/>
    <x v="3"/>
    <x v="180"/>
    <x v="74"/>
    <x v="4"/>
    <x v="0"/>
    <n v="1001"/>
    <x v="7"/>
  </r>
  <r>
    <n v="1185"/>
    <s v="Jacqueline Torres Evangelista"/>
    <x v="0"/>
    <s v="Female"/>
    <n v="40"/>
    <x v="2"/>
    <x v="181"/>
    <x v="2"/>
    <x v="2"/>
    <x v="1"/>
    <n v="2446"/>
    <x v="6"/>
  </r>
  <r>
    <n v="1186"/>
    <s v="Carmen Garcia Hilario"/>
    <x v="3"/>
    <s v="Other"/>
    <n v="36"/>
    <x v="0"/>
    <x v="182"/>
    <x v="75"/>
    <x v="8"/>
    <x v="0"/>
    <n v="657"/>
    <x v="5"/>
  </r>
  <r>
    <n v="1187"/>
    <s v="Paolo Navarro Macapagal"/>
    <x v="1"/>
    <s v="Male"/>
    <n v="51"/>
    <x v="1"/>
    <x v="183"/>
    <x v="2"/>
    <x v="2"/>
    <x v="1"/>
    <n v="938"/>
    <x v="7"/>
  </r>
  <r>
    <n v="1188"/>
    <s v="Ismael Bautista Flores"/>
    <x v="5"/>
    <s v="Male"/>
    <n v="54"/>
    <x v="1"/>
    <x v="184"/>
    <x v="76"/>
    <x v="7"/>
    <x v="0"/>
    <n v="1219"/>
    <x v="4"/>
  </r>
  <r>
    <n v="1189"/>
    <s v="Larry Co"/>
    <x v="2"/>
    <s v="Male"/>
    <n v="40"/>
    <x v="2"/>
    <x v="24"/>
    <x v="77"/>
    <x v="5"/>
    <x v="0"/>
    <n v="1013"/>
    <x v="7"/>
  </r>
  <r>
    <n v="1190"/>
    <s v="Danilo Bagtas"/>
    <x v="4"/>
    <s v="Male"/>
    <n v="56"/>
    <x v="1"/>
    <x v="185"/>
    <x v="78"/>
    <x v="7"/>
    <x v="0"/>
    <n v="710"/>
    <x v="5"/>
  </r>
  <r>
    <n v="1191"/>
    <s v="Bong Buenaventura"/>
    <x v="0"/>
    <s v="Male"/>
    <n v="31"/>
    <x v="0"/>
    <x v="126"/>
    <x v="2"/>
    <x v="2"/>
    <x v="1"/>
    <n v="393"/>
    <x v="5"/>
  </r>
  <r>
    <n v="1192"/>
    <s v="Maricel Camacho"/>
    <x v="0"/>
    <s v="Other"/>
    <n v="22"/>
    <x v="3"/>
    <x v="186"/>
    <x v="79"/>
    <x v="7"/>
    <x v="0"/>
    <n v="1174"/>
    <x v="4"/>
  </r>
  <r>
    <n v="1193"/>
    <s v="Manuel Tan Umali"/>
    <x v="1"/>
    <s v="Other"/>
    <n v="55"/>
    <x v="1"/>
    <x v="187"/>
    <x v="2"/>
    <x v="2"/>
    <x v="1"/>
    <n v="1905"/>
    <x v="2"/>
  </r>
  <r>
    <n v="1194"/>
    <s v="Hazel Fernandez Suarez"/>
    <x v="4"/>
    <s v="Female"/>
    <n v="24"/>
    <x v="3"/>
    <x v="188"/>
    <x v="2"/>
    <x v="2"/>
    <x v="1"/>
    <n v="2444"/>
    <x v="6"/>
  </r>
  <r>
    <n v="1195"/>
    <s v="Taylor Torres Macaraeg"/>
    <x v="4"/>
    <s v="Other"/>
    <n v="43"/>
    <x v="2"/>
    <x v="189"/>
    <x v="80"/>
    <x v="8"/>
    <x v="0"/>
    <n v="848"/>
    <x v="7"/>
  </r>
  <r>
    <n v="1196"/>
    <s v="Yvonne Uy"/>
    <x v="4"/>
    <s v="Female"/>
    <n v="27"/>
    <x v="3"/>
    <x v="190"/>
    <x v="81"/>
    <x v="3"/>
    <x v="0"/>
    <n v="1663"/>
    <x v="0"/>
  </r>
  <r>
    <n v="1197"/>
    <s v="Pilar Soriano Suarez"/>
    <x v="3"/>
    <s v="Other"/>
    <n v="57"/>
    <x v="1"/>
    <x v="191"/>
    <x v="82"/>
    <x v="8"/>
    <x v="0"/>
    <n v="416"/>
    <x v="5"/>
  </r>
  <r>
    <n v="1198"/>
    <s v="Rosalinda Bautista Rivera"/>
    <x v="0"/>
    <s v="Female"/>
    <n v="46"/>
    <x v="2"/>
    <x v="192"/>
    <x v="2"/>
    <x v="2"/>
    <x v="1"/>
    <n v="1021"/>
    <x v="7"/>
  </r>
  <r>
    <n v="1199"/>
    <s v="Ronaldo Domingo Lacson"/>
    <x v="1"/>
    <s v="Male"/>
    <n v="51"/>
    <x v="1"/>
    <x v="193"/>
    <x v="2"/>
    <x v="2"/>
    <x v="1"/>
    <n v="1921"/>
    <x v="2"/>
  </r>
  <r>
    <n v="1200"/>
    <s v="Maricel Pascual Jacinto"/>
    <x v="5"/>
    <s v="Other"/>
    <n v="44"/>
    <x v="2"/>
    <x v="194"/>
    <x v="2"/>
    <x v="2"/>
    <x v="1"/>
    <n v="2906"/>
    <x v="3"/>
  </r>
  <r>
    <n v="1201"/>
    <s v="Joselito Flores"/>
    <x v="1"/>
    <s v="Male"/>
    <n v="56"/>
    <x v="1"/>
    <x v="195"/>
    <x v="2"/>
    <x v="2"/>
    <x v="1"/>
    <n v="1946"/>
    <x v="2"/>
  </r>
  <r>
    <n v="1202"/>
    <s v="Cameron Vega"/>
    <x v="4"/>
    <s v="Other"/>
    <n v="42"/>
    <x v="2"/>
    <x v="196"/>
    <x v="2"/>
    <x v="2"/>
    <x v="1"/>
    <n v="807"/>
    <x v="7"/>
  </r>
  <r>
    <n v="1203"/>
    <s v="Gina Ramos Delmendo"/>
    <x v="4"/>
    <s v="Female"/>
    <n v="23"/>
    <x v="3"/>
    <x v="197"/>
    <x v="2"/>
    <x v="2"/>
    <x v="1"/>
    <n v="2530"/>
    <x v="6"/>
  </r>
  <r>
    <n v="1204"/>
    <s v="Bryan Ang Ong"/>
    <x v="4"/>
    <s v="Male"/>
    <n v="31"/>
    <x v="0"/>
    <x v="198"/>
    <x v="2"/>
    <x v="2"/>
    <x v="1"/>
    <n v="1482"/>
    <x v="0"/>
  </r>
  <r>
    <n v="1205"/>
    <s v="Grace Obispo"/>
    <x v="5"/>
    <s v="Female"/>
    <n v="22"/>
    <x v="3"/>
    <x v="199"/>
    <x v="34"/>
    <x v="4"/>
    <x v="0"/>
    <n v="314"/>
    <x v="1"/>
  </r>
  <r>
    <n v="1206"/>
    <s v="Willy Bautista Macapagal"/>
    <x v="0"/>
    <s v="Male"/>
    <n v="37"/>
    <x v="0"/>
    <x v="200"/>
    <x v="2"/>
    <x v="2"/>
    <x v="1"/>
    <n v="406"/>
    <x v="5"/>
  </r>
  <r>
    <n v="1207"/>
    <s v="Teresita Torres Ocampo"/>
    <x v="0"/>
    <s v="Female"/>
    <n v="45"/>
    <x v="2"/>
    <x v="201"/>
    <x v="2"/>
    <x v="2"/>
    <x v="1"/>
    <n v="2486"/>
    <x v="6"/>
  </r>
  <r>
    <n v="1208"/>
    <s v="Lorenzo Chan Bondoc"/>
    <x v="1"/>
    <s v="Male"/>
    <n v="47"/>
    <x v="2"/>
    <x v="202"/>
    <x v="2"/>
    <x v="2"/>
    <x v="1"/>
    <n v="2471"/>
    <x v="6"/>
  </r>
  <r>
    <n v="1209"/>
    <s v="Elena Gonzales Elegado"/>
    <x v="2"/>
    <s v="Other"/>
    <n v="24"/>
    <x v="3"/>
    <x v="203"/>
    <x v="83"/>
    <x v="8"/>
    <x v="0"/>
    <n v="116"/>
    <x v="1"/>
  </r>
  <r>
    <n v="1210"/>
    <s v="Teodoro Mercado Solis"/>
    <x v="4"/>
    <s v="Male"/>
    <n v="55"/>
    <x v="1"/>
    <x v="21"/>
    <x v="2"/>
    <x v="2"/>
    <x v="1"/>
    <n v="1640"/>
    <x v="0"/>
  </r>
  <r>
    <n v="1211"/>
    <s v="Ivy Aguilar Macaraeg"/>
    <x v="4"/>
    <s v="Female"/>
    <n v="40"/>
    <x v="2"/>
    <x v="204"/>
    <x v="2"/>
    <x v="2"/>
    <x v="1"/>
    <n v="1908"/>
    <x v="2"/>
  </r>
  <r>
    <n v="1212"/>
    <s v="Nathan Manalang"/>
    <x v="4"/>
    <s v="Male"/>
    <n v="55"/>
    <x v="1"/>
    <x v="205"/>
    <x v="2"/>
    <x v="2"/>
    <x v="1"/>
    <n v="1536"/>
    <x v="0"/>
  </r>
  <r>
    <n v="1213"/>
    <s v="Hazel Aguilar Rivera"/>
    <x v="2"/>
    <s v="Female"/>
    <n v="39"/>
    <x v="0"/>
    <x v="172"/>
    <x v="84"/>
    <x v="7"/>
    <x v="0"/>
    <n v="1901"/>
    <x v="2"/>
  </r>
  <r>
    <n v="1214"/>
    <s v="Lourdes Ramirez Sy"/>
    <x v="3"/>
    <s v="Other"/>
    <n v="29"/>
    <x v="3"/>
    <x v="206"/>
    <x v="2"/>
    <x v="2"/>
    <x v="1"/>
    <n v="2644"/>
    <x v="3"/>
  </r>
  <r>
    <n v="1215"/>
    <s v="Lourdes Guevarra"/>
    <x v="0"/>
    <s v="Female"/>
    <n v="47"/>
    <x v="2"/>
    <x v="207"/>
    <x v="2"/>
    <x v="2"/>
    <x v="1"/>
    <n v="1739"/>
    <x v="0"/>
  </r>
  <r>
    <n v="1216"/>
    <s v="Eddie Umali"/>
    <x v="1"/>
    <s v="Male"/>
    <n v="31"/>
    <x v="0"/>
    <x v="208"/>
    <x v="2"/>
    <x v="2"/>
    <x v="1"/>
    <n v="1425"/>
    <x v="4"/>
  </r>
  <r>
    <n v="1217"/>
    <s v="Queenie Fajardo"/>
    <x v="5"/>
    <s v="Female"/>
    <n v="39"/>
    <x v="0"/>
    <x v="209"/>
    <x v="85"/>
    <x v="7"/>
    <x v="0"/>
    <n v="135"/>
    <x v="1"/>
  </r>
  <r>
    <n v="1218"/>
    <s v="Jacqueline Ocampo"/>
    <x v="2"/>
    <s v="Female"/>
    <n v="32"/>
    <x v="0"/>
    <x v="210"/>
    <x v="2"/>
    <x v="2"/>
    <x v="1"/>
    <n v="1380"/>
    <x v="4"/>
  </r>
  <r>
    <n v="1219"/>
    <s v="Francis Ang Co"/>
    <x v="4"/>
    <s v="Male"/>
    <n v="39"/>
    <x v="0"/>
    <x v="211"/>
    <x v="86"/>
    <x v="4"/>
    <x v="0"/>
    <n v="529"/>
    <x v="5"/>
  </r>
  <r>
    <n v="1220"/>
    <s v="Violeta Diaz Miranda"/>
    <x v="2"/>
    <s v="Female"/>
    <n v="64"/>
    <x v="4"/>
    <x v="212"/>
    <x v="87"/>
    <x v="6"/>
    <x v="0"/>
    <n v="320"/>
    <x v="1"/>
  </r>
  <r>
    <n v="1221"/>
    <s v="Oliver Garcia Estrada"/>
    <x v="2"/>
    <s v="Male"/>
    <n v="32"/>
    <x v="0"/>
    <x v="213"/>
    <x v="2"/>
    <x v="2"/>
    <x v="1"/>
    <n v="2373"/>
    <x v="6"/>
  </r>
  <r>
    <n v="1222"/>
    <s v="Sarah Aguilar Sy"/>
    <x v="4"/>
    <s v="Female"/>
    <n v="29"/>
    <x v="3"/>
    <x v="214"/>
    <x v="88"/>
    <x v="0"/>
    <x v="0"/>
    <n v="598"/>
    <x v="5"/>
  </r>
  <r>
    <n v="1223"/>
    <s v="Pilar Soriano Enriquez"/>
    <x v="3"/>
    <s v="Female"/>
    <n v="57"/>
    <x v="1"/>
    <x v="215"/>
    <x v="89"/>
    <x v="1"/>
    <x v="0"/>
    <n v="1562"/>
    <x v="0"/>
  </r>
  <r>
    <n v="1224"/>
    <s v="Antonio Tan"/>
    <x v="1"/>
    <s v="Other"/>
    <n v="40"/>
    <x v="2"/>
    <x v="107"/>
    <x v="90"/>
    <x v="5"/>
    <x v="0"/>
    <n v="165"/>
    <x v="1"/>
  </r>
  <r>
    <n v="1225"/>
    <s v="Eddie Fajardo"/>
    <x v="0"/>
    <s v="Male"/>
    <n v="44"/>
    <x v="2"/>
    <x v="216"/>
    <x v="2"/>
    <x v="2"/>
    <x v="1"/>
    <n v="1388"/>
    <x v="4"/>
  </r>
  <r>
    <n v="1226"/>
    <s v="Ronaldo Villanueva"/>
    <x v="2"/>
    <s v="Other"/>
    <n v="26"/>
    <x v="3"/>
    <x v="217"/>
    <x v="2"/>
    <x v="2"/>
    <x v="1"/>
    <n v="939"/>
    <x v="7"/>
  </r>
  <r>
    <n v="1227"/>
    <s v="Cameron Uy Pascual"/>
    <x v="1"/>
    <s v="Other"/>
    <n v="53"/>
    <x v="1"/>
    <x v="218"/>
    <x v="2"/>
    <x v="2"/>
    <x v="1"/>
    <n v="2263"/>
    <x v="6"/>
  </r>
  <r>
    <n v="1228"/>
    <s v="Pilar Lim Roque"/>
    <x v="1"/>
    <s v="Female"/>
    <n v="58"/>
    <x v="1"/>
    <x v="219"/>
    <x v="91"/>
    <x v="5"/>
    <x v="0"/>
    <n v="612"/>
    <x v="5"/>
  </r>
  <r>
    <n v="1229"/>
    <s v="Rosa Santos Tolentino"/>
    <x v="4"/>
    <s v="Female"/>
    <n v="50"/>
    <x v="1"/>
    <x v="220"/>
    <x v="2"/>
    <x v="2"/>
    <x v="1"/>
    <n v="336"/>
    <x v="1"/>
  </r>
  <r>
    <n v="1230"/>
    <s v="Fernando Aquino"/>
    <x v="5"/>
    <s v="Male"/>
    <n v="23"/>
    <x v="3"/>
    <x v="221"/>
    <x v="92"/>
    <x v="8"/>
    <x v="0"/>
    <n v="220"/>
    <x v="1"/>
  </r>
  <r>
    <n v="1231"/>
    <s v="Yvonne Ignacio"/>
    <x v="0"/>
    <s v="Female"/>
    <n v="32"/>
    <x v="0"/>
    <x v="222"/>
    <x v="2"/>
    <x v="2"/>
    <x v="1"/>
    <n v="2537"/>
    <x v="6"/>
  </r>
  <r>
    <n v="1232"/>
    <s v="Avery Corpuz"/>
    <x v="4"/>
    <s v="Other"/>
    <n v="45"/>
    <x v="2"/>
    <x v="223"/>
    <x v="93"/>
    <x v="3"/>
    <x v="0"/>
    <n v="1445"/>
    <x v="4"/>
  </r>
  <r>
    <n v="1233"/>
    <s v="Sam Sy Sia"/>
    <x v="1"/>
    <s v="Other"/>
    <n v="46"/>
    <x v="2"/>
    <x v="224"/>
    <x v="94"/>
    <x v="3"/>
    <x v="0"/>
    <n v="318"/>
    <x v="1"/>
  </r>
  <r>
    <n v="1234"/>
    <s v="Morgan Ocampo"/>
    <x v="0"/>
    <s v="Other"/>
    <n v="36"/>
    <x v="0"/>
    <x v="225"/>
    <x v="95"/>
    <x v="0"/>
    <x v="0"/>
    <n v="654"/>
    <x v="5"/>
  </r>
  <r>
    <n v="1235"/>
    <s v="Luisa Perez"/>
    <x v="4"/>
    <s v="Other"/>
    <n v="22"/>
    <x v="3"/>
    <x v="165"/>
    <x v="96"/>
    <x v="7"/>
    <x v="0"/>
    <n v="296"/>
    <x v="1"/>
  </r>
  <r>
    <n v="1236"/>
    <s v="Paz Rivera"/>
    <x v="2"/>
    <s v="Female"/>
    <n v="23"/>
    <x v="3"/>
    <x v="226"/>
    <x v="2"/>
    <x v="2"/>
    <x v="1"/>
    <n v="1444"/>
    <x v="4"/>
  </r>
  <r>
    <n v="1237"/>
    <s v="Hope Navarro Macapagal"/>
    <x v="5"/>
    <s v="Female"/>
    <n v="39"/>
    <x v="0"/>
    <x v="227"/>
    <x v="2"/>
    <x v="2"/>
    <x v="1"/>
    <n v="2132"/>
    <x v="2"/>
  </r>
  <r>
    <n v="1238"/>
    <s v="Fernando Gonzales Torres"/>
    <x v="1"/>
    <s v="Other"/>
    <n v="54"/>
    <x v="1"/>
    <x v="228"/>
    <x v="2"/>
    <x v="2"/>
    <x v="1"/>
    <n v="2186"/>
    <x v="2"/>
  </r>
  <r>
    <n v="1239"/>
    <s v="Leonard Lim Elegado"/>
    <x v="0"/>
    <s v="Male"/>
    <n v="52"/>
    <x v="1"/>
    <x v="229"/>
    <x v="2"/>
    <x v="2"/>
    <x v="1"/>
    <n v="2899"/>
    <x v="3"/>
  </r>
  <r>
    <n v="1240"/>
    <s v="Pacita Sia"/>
    <x v="4"/>
    <s v="Female"/>
    <n v="32"/>
    <x v="0"/>
    <x v="230"/>
    <x v="2"/>
    <x v="2"/>
    <x v="1"/>
    <n v="888"/>
    <x v="7"/>
  </r>
  <r>
    <n v="1241"/>
    <s v="Rafael Rivera Jacinto"/>
    <x v="1"/>
    <s v="Male"/>
    <n v="24"/>
    <x v="3"/>
    <x v="231"/>
    <x v="2"/>
    <x v="2"/>
    <x v="1"/>
    <n v="788"/>
    <x v="7"/>
  </r>
  <r>
    <n v="1242"/>
    <s v="Maricel Fajardo"/>
    <x v="4"/>
    <s v="Female"/>
    <n v="26"/>
    <x v="3"/>
    <x v="232"/>
    <x v="2"/>
    <x v="2"/>
    <x v="1"/>
    <n v="1249"/>
    <x v="4"/>
  </r>
  <r>
    <n v="1243"/>
    <s v="Joy Sia"/>
    <x v="1"/>
    <s v="Female"/>
    <n v="23"/>
    <x v="3"/>
    <x v="233"/>
    <x v="97"/>
    <x v="5"/>
    <x v="0"/>
    <n v="978"/>
    <x v="7"/>
  </r>
  <r>
    <n v="1244"/>
    <s v="Cristina Mercado Lazo"/>
    <x v="1"/>
    <s v="Other"/>
    <n v="28"/>
    <x v="3"/>
    <x v="234"/>
    <x v="2"/>
    <x v="2"/>
    <x v="1"/>
    <n v="1130"/>
    <x v="4"/>
  </r>
  <r>
    <n v="1245"/>
    <s v="Efren Ang Yap"/>
    <x v="0"/>
    <s v="Other"/>
    <n v="45"/>
    <x v="2"/>
    <x v="235"/>
    <x v="2"/>
    <x v="2"/>
    <x v="1"/>
    <n v="1182"/>
    <x v="4"/>
  </r>
  <r>
    <n v="1246"/>
    <s v="Ronaldo Ramirez Macaraeg"/>
    <x v="0"/>
    <s v="Other"/>
    <n v="51"/>
    <x v="1"/>
    <x v="236"/>
    <x v="2"/>
    <x v="2"/>
    <x v="1"/>
    <n v="1780"/>
    <x v="0"/>
  </r>
  <r>
    <n v="1247"/>
    <s v="Yvonne Diaz Chua"/>
    <x v="5"/>
    <s v="Female"/>
    <n v="56"/>
    <x v="1"/>
    <x v="237"/>
    <x v="2"/>
    <x v="2"/>
    <x v="1"/>
    <n v="699"/>
    <x v="5"/>
  </r>
  <r>
    <n v="1248"/>
    <s v="Gerald Go"/>
    <x v="1"/>
    <s v="Male"/>
    <n v="36"/>
    <x v="0"/>
    <x v="238"/>
    <x v="2"/>
    <x v="2"/>
    <x v="1"/>
    <n v="1046"/>
    <x v="7"/>
  </r>
  <r>
    <n v="1249"/>
    <s v="Gloria Bautista Viray"/>
    <x v="0"/>
    <s v="Other"/>
    <n v="52"/>
    <x v="1"/>
    <x v="239"/>
    <x v="98"/>
    <x v="0"/>
    <x v="0"/>
    <n v="811"/>
    <x v="7"/>
  </r>
  <r>
    <n v="1250"/>
    <s v="Antonio Aquino"/>
    <x v="0"/>
    <s v="Other"/>
    <n v="25"/>
    <x v="3"/>
    <x v="240"/>
    <x v="99"/>
    <x v="5"/>
    <x v="0"/>
    <n v="93"/>
    <x v="1"/>
  </r>
  <r>
    <n v="1251"/>
    <s v="Ferdi Santos Delos Reyes"/>
    <x v="1"/>
    <s v="Male"/>
    <n v="44"/>
    <x v="2"/>
    <x v="241"/>
    <x v="2"/>
    <x v="2"/>
    <x v="1"/>
    <n v="2844"/>
    <x v="3"/>
  </r>
  <r>
    <n v="1252"/>
    <s v="Neil Sy Co"/>
    <x v="0"/>
    <s v="Male"/>
    <n v="22"/>
    <x v="3"/>
    <x v="242"/>
    <x v="2"/>
    <x v="2"/>
    <x v="1"/>
    <n v="923"/>
    <x v="7"/>
  </r>
  <r>
    <n v="1253"/>
    <s v="Eduardo Diaz"/>
    <x v="2"/>
    <s v="Other"/>
    <n v="27"/>
    <x v="3"/>
    <x v="243"/>
    <x v="2"/>
    <x v="2"/>
    <x v="1"/>
    <n v="2697"/>
    <x v="3"/>
  </r>
  <r>
    <n v="1254"/>
    <s v="Renato Garcia Jimenez"/>
    <x v="4"/>
    <s v="Male"/>
    <n v="46"/>
    <x v="2"/>
    <x v="172"/>
    <x v="100"/>
    <x v="5"/>
    <x v="0"/>
    <n v="1753"/>
    <x v="0"/>
  </r>
  <r>
    <n v="1255"/>
    <s v="Arnel Santos Hilario"/>
    <x v="5"/>
    <s v="Other"/>
    <n v="23"/>
    <x v="3"/>
    <x v="47"/>
    <x v="2"/>
    <x v="2"/>
    <x v="1"/>
    <n v="2709"/>
    <x v="3"/>
  </r>
  <r>
    <n v="1256"/>
    <s v="Tess Fernandez"/>
    <x v="5"/>
    <s v="Female"/>
    <n v="48"/>
    <x v="2"/>
    <x v="244"/>
    <x v="2"/>
    <x v="2"/>
    <x v="1"/>
    <n v="450"/>
    <x v="5"/>
  </r>
  <r>
    <n v="1257"/>
    <s v="Celine Cruz Guerrero"/>
    <x v="3"/>
    <s v="Female"/>
    <n v="57"/>
    <x v="1"/>
    <x v="245"/>
    <x v="101"/>
    <x v="1"/>
    <x v="0"/>
    <n v="242"/>
    <x v="1"/>
  </r>
  <r>
    <n v="1258"/>
    <s v="Maria Mercado Villanueva"/>
    <x v="1"/>
    <s v="Other"/>
    <n v="22"/>
    <x v="3"/>
    <x v="246"/>
    <x v="2"/>
    <x v="2"/>
    <x v="1"/>
    <n v="2243"/>
    <x v="6"/>
  </r>
  <r>
    <n v="1259"/>
    <s v="Avery Hernandez"/>
    <x v="0"/>
    <s v="Other"/>
    <n v="55"/>
    <x v="1"/>
    <x v="247"/>
    <x v="2"/>
    <x v="2"/>
    <x v="1"/>
    <n v="1733"/>
    <x v="0"/>
  </r>
  <r>
    <n v="1260"/>
    <s v="Jordan Buenaventura"/>
    <x v="0"/>
    <s v="Other"/>
    <n v="24"/>
    <x v="3"/>
    <x v="248"/>
    <x v="2"/>
    <x v="2"/>
    <x v="1"/>
    <n v="2691"/>
    <x v="3"/>
  </r>
  <r>
    <n v="1261"/>
    <s v="Warren Rivera Viray"/>
    <x v="0"/>
    <s v="Male"/>
    <n v="41"/>
    <x v="2"/>
    <x v="249"/>
    <x v="2"/>
    <x v="2"/>
    <x v="1"/>
    <n v="2970"/>
    <x v="8"/>
  </r>
  <r>
    <n v="1262"/>
    <s v="Aldrin Uy"/>
    <x v="4"/>
    <s v="Male"/>
    <n v="45"/>
    <x v="2"/>
    <x v="250"/>
    <x v="2"/>
    <x v="2"/>
    <x v="1"/>
    <n v="2740"/>
    <x v="3"/>
  </r>
  <r>
    <n v="1263"/>
    <s v="Grace Aguilar Manalo"/>
    <x v="1"/>
    <s v="Female"/>
    <n v="30"/>
    <x v="0"/>
    <x v="251"/>
    <x v="102"/>
    <x v="0"/>
    <x v="0"/>
    <n v="308"/>
    <x v="1"/>
  </r>
  <r>
    <n v="1264"/>
    <s v="Lea Garcia Bondoc"/>
    <x v="1"/>
    <s v="Female"/>
    <n v="48"/>
    <x v="2"/>
    <x v="252"/>
    <x v="2"/>
    <x v="2"/>
    <x v="1"/>
    <n v="1253"/>
    <x v="4"/>
  </r>
  <r>
    <n v="1265"/>
    <s v="Rowena Obispo"/>
    <x v="4"/>
    <s v="Female"/>
    <n v="41"/>
    <x v="2"/>
    <x v="253"/>
    <x v="103"/>
    <x v="5"/>
    <x v="0"/>
    <n v="937"/>
    <x v="7"/>
  </r>
  <r>
    <n v="1266"/>
    <s v="Fernando Fernandez Sia"/>
    <x v="3"/>
    <s v="Other"/>
    <n v="57"/>
    <x v="1"/>
    <x v="254"/>
    <x v="104"/>
    <x v="0"/>
    <x v="0"/>
    <n v="479"/>
    <x v="5"/>
  </r>
  <r>
    <n v="1267"/>
    <s v="Manuel Mercado Evangelista"/>
    <x v="1"/>
    <s v="Male"/>
    <n v="47"/>
    <x v="2"/>
    <x v="255"/>
    <x v="2"/>
    <x v="2"/>
    <x v="1"/>
    <n v="1864"/>
    <x v="2"/>
  </r>
  <r>
    <n v="1268"/>
    <s v="Nathan Mangubat"/>
    <x v="5"/>
    <s v="Male"/>
    <n v="33"/>
    <x v="0"/>
    <x v="256"/>
    <x v="105"/>
    <x v="0"/>
    <x v="0"/>
    <n v="713"/>
    <x v="5"/>
  </r>
  <r>
    <n v="1269"/>
    <s v="Cristina Castro Ramirez"/>
    <x v="4"/>
    <s v="Other"/>
    <n v="49"/>
    <x v="2"/>
    <x v="257"/>
    <x v="2"/>
    <x v="2"/>
    <x v="1"/>
    <n v="1720"/>
    <x v="0"/>
  </r>
  <r>
    <n v="1270"/>
    <s v="Teresita Tan Dalisay"/>
    <x v="0"/>
    <s v="Female"/>
    <n v="46"/>
    <x v="2"/>
    <x v="258"/>
    <x v="106"/>
    <x v="7"/>
    <x v="0"/>
    <n v="1513"/>
    <x v="0"/>
  </r>
  <r>
    <n v="1271"/>
    <s v="Jose Guevarra"/>
    <x v="4"/>
    <s v="Other"/>
    <n v="33"/>
    <x v="0"/>
    <x v="259"/>
    <x v="2"/>
    <x v="2"/>
    <x v="1"/>
    <n v="666"/>
    <x v="5"/>
  </r>
  <r>
    <n v="1272"/>
    <s v="Jordan Bondoc"/>
    <x v="1"/>
    <s v="Other"/>
    <n v="34"/>
    <x v="0"/>
    <x v="260"/>
    <x v="2"/>
    <x v="2"/>
    <x v="1"/>
    <n v="1296"/>
    <x v="4"/>
  </r>
  <r>
    <n v="1273"/>
    <s v="Gloria Natividad"/>
    <x v="1"/>
    <s v="Female"/>
    <n v="37"/>
    <x v="0"/>
    <x v="261"/>
    <x v="107"/>
    <x v="3"/>
    <x v="0"/>
    <n v="306"/>
    <x v="1"/>
  </r>
  <r>
    <n v="1274"/>
    <s v="Antonio Evangelista"/>
    <x v="0"/>
    <s v="Male"/>
    <n v="53"/>
    <x v="1"/>
    <x v="262"/>
    <x v="2"/>
    <x v="2"/>
    <x v="1"/>
    <n v="258"/>
    <x v="1"/>
  </r>
  <r>
    <n v="1275"/>
    <s v="Ivan Pascual"/>
    <x v="2"/>
    <s v="Male"/>
    <n v="26"/>
    <x v="3"/>
    <x v="206"/>
    <x v="2"/>
    <x v="2"/>
    <x v="1"/>
    <n v="2644"/>
    <x v="3"/>
  </r>
  <r>
    <n v="1276"/>
    <s v="Rosa Domingo Lopez"/>
    <x v="1"/>
    <s v="Other"/>
    <n v="46"/>
    <x v="2"/>
    <x v="247"/>
    <x v="2"/>
    <x v="2"/>
    <x v="1"/>
    <n v="1733"/>
    <x v="0"/>
  </r>
  <r>
    <n v="1277"/>
    <s v="Antonio Go Natividad"/>
    <x v="1"/>
    <s v="Other"/>
    <n v="56"/>
    <x v="1"/>
    <x v="263"/>
    <x v="2"/>
    <x v="2"/>
    <x v="1"/>
    <n v="714"/>
    <x v="5"/>
  </r>
  <r>
    <n v="1278"/>
    <s v="Aldrin Camacho"/>
    <x v="5"/>
    <s v="Male"/>
    <n v="53"/>
    <x v="1"/>
    <x v="264"/>
    <x v="108"/>
    <x v="8"/>
    <x v="0"/>
    <n v="190"/>
    <x v="1"/>
  </r>
  <r>
    <n v="1279"/>
    <s v="Teresa Mendoza Umali"/>
    <x v="1"/>
    <s v="Other"/>
    <n v="30"/>
    <x v="0"/>
    <x v="265"/>
    <x v="109"/>
    <x v="3"/>
    <x v="0"/>
    <n v="1022"/>
    <x v="7"/>
  </r>
  <r>
    <n v="1280"/>
    <s v="Danilo Lopez Bayani"/>
    <x v="4"/>
    <s v="Other"/>
    <n v="41"/>
    <x v="2"/>
    <x v="266"/>
    <x v="110"/>
    <x v="0"/>
    <x v="0"/>
    <n v="561"/>
    <x v="5"/>
  </r>
  <r>
    <n v="1281"/>
    <s v="Danilo Go Jacinto"/>
    <x v="3"/>
    <s v="Other"/>
    <n v="54"/>
    <x v="1"/>
    <x v="267"/>
    <x v="2"/>
    <x v="2"/>
    <x v="1"/>
    <n v="2377"/>
    <x v="6"/>
  </r>
  <r>
    <n v="1282"/>
    <s v="Timothy Castro Tolentino"/>
    <x v="1"/>
    <s v="Male"/>
    <n v="32"/>
    <x v="0"/>
    <x v="268"/>
    <x v="2"/>
    <x v="2"/>
    <x v="1"/>
    <n v="2328"/>
    <x v="6"/>
  </r>
  <r>
    <n v="1283"/>
    <s v="Carlos Gonzales Macapagal"/>
    <x v="4"/>
    <s v="Male"/>
    <n v="21"/>
    <x v="3"/>
    <x v="269"/>
    <x v="111"/>
    <x v="1"/>
    <x v="0"/>
    <n v="125"/>
    <x v="1"/>
  </r>
  <r>
    <n v="1284"/>
    <s v="Ivy Elegado"/>
    <x v="4"/>
    <s v="Female"/>
    <n v="28"/>
    <x v="3"/>
    <x v="270"/>
    <x v="2"/>
    <x v="2"/>
    <x v="1"/>
    <n v="2017"/>
    <x v="2"/>
  </r>
  <r>
    <n v="1285"/>
    <s v="Hernando Figueroa"/>
    <x v="4"/>
    <s v="Male"/>
    <n v="46"/>
    <x v="2"/>
    <x v="271"/>
    <x v="112"/>
    <x v="3"/>
    <x v="0"/>
    <n v="450"/>
    <x v="5"/>
  </r>
  <r>
    <n v="1286"/>
    <s v="Ismael Ignacio"/>
    <x v="4"/>
    <s v="Male"/>
    <n v="53"/>
    <x v="1"/>
    <x v="272"/>
    <x v="113"/>
    <x v="6"/>
    <x v="0"/>
    <n v="120"/>
    <x v="1"/>
  </r>
  <r>
    <n v="1287"/>
    <s v="Ismael Viray"/>
    <x v="0"/>
    <s v="Male"/>
    <n v="29"/>
    <x v="3"/>
    <x v="273"/>
    <x v="2"/>
    <x v="2"/>
    <x v="1"/>
    <n v="737"/>
    <x v="7"/>
  </r>
  <r>
    <n v="1288"/>
    <s v="Dennis Natividad"/>
    <x v="5"/>
    <s v="Male"/>
    <n v="32"/>
    <x v="0"/>
    <x v="274"/>
    <x v="114"/>
    <x v="0"/>
    <x v="0"/>
    <n v="385"/>
    <x v="5"/>
  </r>
  <r>
    <n v="1289"/>
    <s v="Pilar Ang Corpuz"/>
    <x v="2"/>
    <s v="Other"/>
    <n v="52"/>
    <x v="1"/>
    <x v="275"/>
    <x v="65"/>
    <x v="4"/>
    <x v="0"/>
    <n v="1662"/>
    <x v="0"/>
  </r>
  <r>
    <n v="1290"/>
    <s v="Antonio Ramirez Chua"/>
    <x v="4"/>
    <s v="Other"/>
    <n v="52"/>
    <x v="1"/>
    <x v="276"/>
    <x v="115"/>
    <x v="3"/>
    <x v="0"/>
    <n v="216"/>
    <x v="1"/>
  </r>
  <r>
    <n v="1291"/>
    <s v="Jessa Torres Hilario"/>
    <x v="0"/>
    <s v="Female"/>
    <n v="50"/>
    <x v="1"/>
    <x v="277"/>
    <x v="2"/>
    <x v="2"/>
    <x v="1"/>
    <n v="775"/>
    <x v="7"/>
  </r>
  <r>
    <n v="1292"/>
    <s v="Eduardo Flores Obispo"/>
    <x v="4"/>
    <s v="Male"/>
    <n v="44"/>
    <x v="2"/>
    <x v="278"/>
    <x v="2"/>
    <x v="2"/>
    <x v="1"/>
    <n v="871"/>
    <x v="7"/>
  </r>
  <r>
    <n v="1293"/>
    <s v="Carmen Garcia Natividad"/>
    <x v="3"/>
    <s v="Female"/>
    <n v="36"/>
    <x v="0"/>
    <x v="279"/>
    <x v="2"/>
    <x v="2"/>
    <x v="1"/>
    <n v="1872"/>
    <x v="2"/>
  </r>
  <r>
    <n v="1294"/>
    <s v="Lourdes Sy Hernandez"/>
    <x v="4"/>
    <s v="Other"/>
    <n v="36"/>
    <x v="0"/>
    <x v="280"/>
    <x v="2"/>
    <x v="2"/>
    <x v="1"/>
    <n v="2232"/>
    <x v="6"/>
  </r>
  <r>
    <n v="1295"/>
    <s v="Tess Lopez Manalang"/>
    <x v="1"/>
    <s v="Female"/>
    <n v="34"/>
    <x v="0"/>
    <x v="281"/>
    <x v="2"/>
    <x v="2"/>
    <x v="1"/>
    <n v="2244"/>
    <x v="6"/>
  </r>
  <r>
    <n v="1296"/>
    <s v="Taylor Ramirez"/>
    <x v="4"/>
    <s v="Other"/>
    <n v="39"/>
    <x v="0"/>
    <x v="282"/>
    <x v="116"/>
    <x v="4"/>
    <x v="0"/>
    <n v="616"/>
    <x v="5"/>
  </r>
  <r>
    <n v="1297"/>
    <s v="Eduardo Fernandez Figueroa"/>
    <x v="2"/>
    <s v="Other"/>
    <n v="60"/>
    <x v="4"/>
    <x v="283"/>
    <x v="117"/>
    <x v="6"/>
    <x v="0"/>
    <n v="157"/>
    <x v="1"/>
  </r>
  <r>
    <n v="1298"/>
    <s v="Maricel Aguilar Vergara"/>
    <x v="0"/>
    <s v="Female"/>
    <n v="47"/>
    <x v="2"/>
    <x v="284"/>
    <x v="2"/>
    <x v="2"/>
    <x v="1"/>
    <n v="1555"/>
    <x v="0"/>
  </r>
  <r>
    <n v="1299"/>
    <s v="Casey Dela Torre"/>
    <x v="5"/>
    <s v="Other"/>
    <n v="50"/>
    <x v="1"/>
    <x v="285"/>
    <x v="118"/>
    <x v="3"/>
    <x v="0"/>
    <n v="92"/>
    <x v="1"/>
  </r>
  <r>
    <n v="1300"/>
    <s v="Rosa Navarro Rivera"/>
    <x v="0"/>
    <s v="Other"/>
    <n v="25"/>
    <x v="3"/>
    <x v="286"/>
    <x v="2"/>
    <x v="2"/>
    <x v="1"/>
    <n v="902"/>
    <x v="7"/>
  </r>
  <r>
    <n v="1301"/>
    <s v="Gani Buenaventura"/>
    <x v="2"/>
    <s v="Male"/>
    <n v="57"/>
    <x v="1"/>
    <x v="287"/>
    <x v="2"/>
    <x v="2"/>
    <x v="1"/>
    <n v="2557"/>
    <x v="3"/>
  </r>
  <r>
    <n v="1302"/>
    <s v="Maria Ramos Estrada"/>
    <x v="5"/>
    <s v="Female"/>
    <n v="50"/>
    <x v="1"/>
    <x v="288"/>
    <x v="119"/>
    <x v="5"/>
    <x v="0"/>
    <n v="737"/>
    <x v="7"/>
  </r>
  <r>
    <n v="1303"/>
    <s v="Violeta Lopez Ramos"/>
    <x v="2"/>
    <s v="Female"/>
    <n v="38"/>
    <x v="0"/>
    <x v="47"/>
    <x v="2"/>
    <x v="2"/>
    <x v="1"/>
    <n v="2709"/>
    <x v="3"/>
  </r>
  <r>
    <n v="1304"/>
    <s v="Efren Ocampo Santos"/>
    <x v="1"/>
    <s v="Male"/>
    <n v="35"/>
    <x v="0"/>
    <x v="289"/>
    <x v="2"/>
    <x v="2"/>
    <x v="1"/>
    <n v="1333"/>
    <x v="4"/>
  </r>
  <r>
    <n v="1305"/>
    <s v="Aileen Ocampo Hernandez"/>
    <x v="1"/>
    <s v="Female"/>
    <n v="49"/>
    <x v="2"/>
    <x v="290"/>
    <x v="120"/>
    <x v="3"/>
    <x v="0"/>
    <n v="1497"/>
    <x v="0"/>
  </r>
  <r>
    <n v="1306"/>
    <s v="Corazon Bayani"/>
    <x v="1"/>
    <s v="Female"/>
    <n v="27"/>
    <x v="3"/>
    <x v="291"/>
    <x v="121"/>
    <x v="0"/>
    <x v="0"/>
    <n v="1315"/>
    <x v="4"/>
  </r>
  <r>
    <n v="1307"/>
    <s v="Victor Manalang"/>
    <x v="1"/>
    <s v="Male"/>
    <n v="21"/>
    <x v="3"/>
    <x v="292"/>
    <x v="2"/>
    <x v="2"/>
    <x v="1"/>
    <n v="592"/>
    <x v="5"/>
  </r>
  <r>
    <n v="1308"/>
    <s v="Ofelia Dela Cruz"/>
    <x v="0"/>
    <s v="Female"/>
    <n v="47"/>
    <x v="2"/>
    <x v="293"/>
    <x v="2"/>
    <x v="2"/>
    <x v="1"/>
    <n v="568"/>
    <x v="5"/>
  </r>
  <r>
    <n v="1309"/>
    <s v="Hope Garcia Ramirez"/>
    <x v="1"/>
    <s v="Female"/>
    <n v="45"/>
    <x v="2"/>
    <x v="294"/>
    <x v="2"/>
    <x v="2"/>
    <x v="1"/>
    <n v="1652"/>
    <x v="0"/>
  </r>
  <r>
    <n v="1310"/>
    <s v="Bong Tan Cueto"/>
    <x v="4"/>
    <s v="Male"/>
    <n v="39"/>
    <x v="0"/>
    <x v="295"/>
    <x v="122"/>
    <x v="0"/>
    <x v="0"/>
    <n v="167"/>
    <x v="1"/>
  </r>
  <r>
    <n v="1311"/>
    <s v="Rosalinda Zamora"/>
    <x v="4"/>
    <s v="Female"/>
    <n v="36"/>
    <x v="0"/>
    <x v="296"/>
    <x v="2"/>
    <x v="2"/>
    <x v="1"/>
    <n v="1064"/>
    <x v="7"/>
  </r>
  <r>
    <n v="1312"/>
    <s v="Avery Salazar"/>
    <x v="1"/>
    <s v="Other"/>
    <n v="21"/>
    <x v="3"/>
    <x v="297"/>
    <x v="2"/>
    <x v="2"/>
    <x v="1"/>
    <n v="1612"/>
    <x v="0"/>
  </r>
  <r>
    <n v="1313"/>
    <s v="Manuel Santos Cruz"/>
    <x v="0"/>
    <s v="Male"/>
    <n v="32"/>
    <x v="0"/>
    <x v="298"/>
    <x v="2"/>
    <x v="2"/>
    <x v="1"/>
    <n v="1162"/>
    <x v="4"/>
  </r>
  <r>
    <n v="1314"/>
    <s v="Kath Tan Camacho"/>
    <x v="4"/>
    <s v="Female"/>
    <n v="24"/>
    <x v="3"/>
    <x v="299"/>
    <x v="2"/>
    <x v="2"/>
    <x v="1"/>
    <n v="1461"/>
    <x v="0"/>
  </r>
  <r>
    <n v="1315"/>
    <s v="Lorenzo Tan Domingo"/>
    <x v="1"/>
    <s v="Male"/>
    <n v="30"/>
    <x v="0"/>
    <x v="300"/>
    <x v="123"/>
    <x v="8"/>
    <x v="0"/>
    <n v="251"/>
    <x v="1"/>
  </r>
  <r>
    <n v="1316"/>
    <s v="Eduardo Sy Torres"/>
    <x v="0"/>
    <s v="Other"/>
    <n v="25"/>
    <x v="3"/>
    <x v="301"/>
    <x v="2"/>
    <x v="2"/>
    <x v="1"/>
    <n v="1821"/>
    <x v="0"/>
  </r>
  <r>
    <n v="1317"/>
    <s v="Hernando Ramos Castro"/>
    <x v="1"/>
    <s v="Male"/>
    <n v="24"/>
    <x v="3"/>
    <x v="302"/>
    <x v="2"/>
    <x v="2"/>
    <x v="1"/>
    <n v="1825"/>
    <x v="0"/>
  </r>
  <r>
    <n v="1318"/>
    <s v="Abigail Aguilar Pascual"/>
    <x v="5"/>
    <s v="Female"/>
    <n v="43"/>
    <x v="2"/>
    <x v="303"/>
    <x v="2"/>
    <x v="2"/>
    <x v="1"/>
    <n v="949"/>
    <x v="7"/>
  </r>
  <r>
    <n v="1319"/>
    <s v="Beatriz Ocampo Elegado"/>
    <x v="5"/>
    <s v="Female"/>
    <n v="22"/>
    <x v="3"/>
    <x v="304"/>
    <x v="2"/>
    <x v="2"/>
    <x v="1"/>
    <n v="1719"/>
    <x v="0"/>
  </r>
  <r>
    <n v="1320"/>
    <s v="Gregorio Mendoza Ignacio"/>
    <x v="0"/>
    <s v="Male"/>
    <n v="24"/>
    <x v="3"/>
    <x v="305"/>
    <x v="2"/>
    <x v="2"/>
    <x v="1"/>
    <n v="1045"/>
    <x v="7"/>
  </r>
  <r>
    <n v="1321"/>
    <s v="Juan Garcia"/>
    <x v="2"/>
    <s v="Male"/>
    <n v="28"/>
    <x v="3"/>
    <x v="306"/>
    <x v="2"/>
    <x v="2"/>
    <x v="1"/>
    <n v="2156"/>
    <x v="2"/>
  </r>
  <r>
    <n v="1322"/>
    <s v="Jacqueline Lim Ocampo"/>
    <x v="1"/>
    <s v="Female"/>
    <n v="44"/>
    <x v="2"/>
    <x v="307"/>
    <x v="2"/>
    <x v="2"/>
    <x v="1"/>
    <n v="1523"/>
    <x v="0"/>
  </r>
  <r>
    <n v="1323"/>
    <s v="Patricia Bautista Castro"/>
    <x v="1"/>
    <s v="Female"/>
    <n v="41"/>
    <x v="2"/>
    <x v="308"/>
    <x v="2"/>
    <x v="2"/>
    <x v="1"/>
    <n v="1980"/>
    <x v="2"/>
  </r>
  <r>
    <n v="1324"/>
    <s v="Manuel Go Dalisay"/>
    <x v="1"/>
    <s v="Other"/>
    <n v="23"/>
    <x v="3"/>
    <x v="309"/>
    <x v="124"/>
    <x v="3"/>
    <x v="0"/>
    <n v="1042"/>
    <x v="7"/>
  </r>
  <r>
    <n v="1325"/>
    <s v="Teresita Ang Suarez"/>
    <x v="1"/>
    <s v="Female"/>
    <n v="57"/>
    <x v="1"/>
    <x v="78"/>
    <x v="2"/>
    <x v="2"/>
    <x v="1"/>
    <n v="1847"/>
    <x v="2"/>
  </r>
  <r>
    <n v="1326"/>
    <s v="Antonio Santos Guerrero"/>
    <x v="3"/>
    <s v="Other"/>
    <n v="55"/>
    <x v="1"/>
    <x v="310"/>
    <x v="107"/>
    <x v="5"/>
    <x v="0"/>
    <n v="1999"/>
    <x v="2"/>
  </r>
  <r>
    <n v="1327"/>
    <s v="Yvonne Viray"/>
    <x v="3"/>
    <s v="Female"/>
    <n v="45"/>
    <x v="2"/>
    <x v="311"/>
    <x v="125"/>
    <x v="4"/>
    <x v="0"/>
    <n v="1175"/>
    <x v="4"/>
  </r>
  <r>
    <n v="1328"/>
    <s v="Mae Bondoc"/>
    <x v="3"/>
    <s v="Female"/>
    <n v="38"/>
    <x v="0"/>
    <x v="312"/>
    <x v="126"/>
    <x v="3"/>
    <x v="0"/>
    <n v="1038"/>
    <x v="7"/>
  </r>
  <r>
    <n v="1329"/>
    <s v="Maria Bautista Villanueva"/>
    <x v="4"/>
    <s v="Other"/>
    <n v="26"/>
    <x v="3"/>
    <x v="40"/>
    <x v="127"/>
    <x v="7"/>
    <x v="0"/>
    <n v="226"/>
    <x v="1"/>
  </r>
  <r>
    <n v="1330"/>
    <s v="Maria Jimenez"/>
    <x v="4"/>
    <s v="Other"/>
    <n v="36"/>
    <x v="0"/>
    <x v="313"/>
    <x v="128"/>
    <x v="4"/>
    <x v="0"/>
    <n v="735"/>
    <x v="7"/>
  </r>
  <r>
    <n v="1331"/>
    <s v="Crisanto Mendoza Narvasa"/>
    <x v="4"/>
    <s v="Male"/>
    <n v="35"/>
    <x v="0"/>
    <x v="314"/>
    <x v="2"/>
    <x v="2"/>
    <x v="1"/>
    <n v="2786"/>
    <x v="3"/>
  </r>
  <r>
    <n v="1332"/>
    <s v="Lorenzo Domingo Natividad"/>
    <x v="1"/>
    <s v="Male"/>
    <n v="47"/>
    <x v="2"/>
    <x v="315"/>
    <x v="2"/>
    <x v="2"/>
    <x v="1"/>
    <n v="2597"/>
    <x v="3"/>
  </r>
  <r>
    <n v="1333"/>
    <s v="Elena Rivera"/>
    <x v="2"/>
    <s v="Female"/>
    <n v="40"/>
    <x v="2"/>
    <x v="269"/>
    <x v="2"/>
    <x v="2"/>
    <x v="1"/>
    <n v="205"/>
    <x v="1"/>
  </r>
  <r>
    <n v="1334"/>
    <s v="Isabel Gonzales Figueroa"/>
    <x v="4"/>
    <s v="Female"/>
    <n v="36"/>
    <x v="0"/>
    <x v="316"/>
    <x v="2"/>
    <x v="2"/>
    <x v="1"/>
    <n v="1634"/>
    <x v="0"/>
  </r>
  <r>
    <n v="1335"/>
    <s v="Renato Ramos Fernandez"/>
    <x v="1"/>
    <s v="Male"/>
    <n v="49"/>
    <x v="2"/>
    <x v="317"/>
    <x v="2"/>
    <x v="2"/>
    <x v="1"/>
    <n v="814"/>
    <x v="7"/>
  </r>
  <r>
    <n v="1336"/>
    <s v="Rowena Ocampo Narvasa"/>
    <x v="1"/>
    <s v="Female"/>
    <n v="35"/>
    <x v="0"/>
    <x v="318"/>
    <x v="129"/>
    <x v="5"/>
    <x v="0"/>
    <n v="1730"/>
    <x v="0"/>
  </r>
  <r>
    <n v="1337"/>
    <s v="Fe Sy Mendoza"/>
    <x v="1"/>
    <s v="Female"/>
    <n v="49"/>
    <x v="2"/>
    <x v="319"/>
    <x v="130"/>
    <x v="0"/>
    <x v="0"/>
    <n v="1448"/>
    <x v="4"/>
  </r>
  <r>
    <n v="1338"/>
    <s v="Hernando Gonzales Crisostomo"/>
    <x v="2"/>
    <s v="Male"/>
    <n v="22"/>
    <x v="3"/>
    <x v="320"/>
    <x v="2"/>
    <x v="2"/>
    <x v="1"/>
    <n v="1524"/>
    <x v="0"/>
  </r>
  <r>
    <n v="1339"/>
    <s v="Renato Lim Bayani"/>
    <x v="4"/>
    <s v="Male"/>
    <n v="30"/>
    <x v="0"/>
    <x v="321"/>
    <x v="2"/>
    <x v="2"/>
    <x v="1"/>
    <n v="2950"/>
    <x v="8"/>
  </r>
  <r>
    <n v="1340"/>
    <s v="Rafael Vega"/>
    <x v="2"/>
    <s v="Male"/>
    <n v="26"/>
    <x v="3"/>
    <x v="195"/>
    <x v="2"/>
    <x v="2"/>
    <x v="1"/>
    <n v="1946"/>
    <x v="2"/>
  </r>
  <r>
    <n v="1341"/>
    <s v="Mylene Ang Umali"/>
    <x v="2"/>
    <s v="Female"/>
    <n v="55"/>
    <x v="1"/>
    <x v="322"/>
    <x v="2"/>
    <x v="2"/>
    <x v="1"/>
    <n v="3012"/>
    <x v="8"/>
  </r>
  <r>
    <n v="1342"/>
    <s v="Ramon Chan Ang"/>
    <x v="4"/>
    <s v="Male"/>
    <n v="57"/>
    <x v="1"/>
    <x v="323"/>
    <x v="131"/>
    <x v="6"/>
    <x v="0"/>
    <n v="143"/>
    <x v="1"/>
  </r>
  <r>
    <n v="1343"/>
    <s v="Antonio Macapagal"/>
    <x v="0"/>
    <s v="Other"/>
    <n v="51"/>
    <x v="1"/>
    <x v="324"/>
    <x v="132"/>
    <x v="6"/>
    <x v="0"/>
    <n v="1077"/>
    <x v="7"/>
  </r>
  <r>
    <n v="1344"/>
    <s v="Ivan Vega Ong"/>
    <x v="2"/>
    <s v="Male"/>
    <n v="32"/>
    <x v="0"/>
    <x v="325"/>
    <x v="133"/>
    <x v="3"/>
    <x v="0"/>
    <n v="1392"/>
    <x v="4"/>
  </r>
  <r>
    <n v="1345"/>
    <s v="Ian Ang Guerrero"/>
    <x v="3"/>
    <s v="Male"/>
    <n v="57"/>
    <x v="1"/>
    <x v="326"/>
    <x v="2"/>
    <x v="2"/>
    <x v="1"/>
    <n v="2320"/>
    <x v="6"/>
  </r>
  <r>
    <n v="1346"/>
    <s v="Maria Mangubat"/>
    <x v="1"/>
    <s v="Female"/>
    <n v="35"/>
    <x v="0"/>
    <x v="327"/>
    <x v="2"/>
    <x v="2"/>
    <x v="1"/>
    <n v="3010"/>
    <x v="8"/>
  </r>
  <r>
    <n v="1347"/>
    <s v="Erlinda Gonzales"/>
    <x v="1"/>
    <s v="Female"/>
    <n v="32"/>
    <x v="0"/>
    <x v="328"/>
    <x v="134"/>
    <x v="7"/>
    <x v="0"/>
    <n v="392"/>
    <x v="5"/>
  </r>
  <r>
    <n v="1348"/>
    <s v="Maria Soriano Ong"/>
    <x v="2"/>
    <s v="Other"/>
    <n v="44"/>
    <x v="2"/>
    <x v="329"/>
    <x v="2"/>
    <x v="2"/>
    <x v="1"/>
    <n v="206"/>
    <x v="1"/>
  </r>
  <r>
    <n v="1349"/>
    <s v="Rodel Soriano"/>
    <x v="4"/>
    <s v="Other"/>
    <n v="48"/>
    <x v="2"/>
    <x v="330"/>
    <x v="2"/>
    <x v="2"/>
    <x v="1"/>
    <n v="473"/>
    <x v="5"/>
  </r>
  <r>
    <n v="1350"/>
    <s v="Jose Pascual Panganiban"/>
    <x v="0"/>
    <s v="Other"/>
    <n v="43"/>
    <x v="2"/>
    <x v="331"/>
    <x v="2"/>
    <x v="2"/>
    <x v="1"/>
    <n v="2177"/>
    <x v="2"/>
  </r>
  <r>
    <n v="1351"/>
    <s v="Maricel Navarro Ocampo"/>
    <x v="1"/>
    <s v="Other"/>
    <n v="57"/>
    <x v="1"/>
    <x v="332"/>
    <x v="2"/>
    <x v="2"/>
    <x v="1"/>
    <n v="1488"/>
    <x v="0"/>
  </r>
  <r>
    <n v="1352"/>
    <s v="Isabel Ocampo Mercado"/>
    <x v="3"/>
    <s v="Other"/>
    <n v="35"/>
    <x v="0"/>
    <x v="333"/>
    <x v="2"/>
    <x v="2"/>
    <x v="1"/>
    <n v="472"/>
    <x v="5"/>
  </r>
  <r>
    <n v="1353"/>
    <s v="Casey Lazo"/>
    <x v="1"/>
    <s v="Other"/>
    <n v="31"/>
    <x v="0"/>
    <x v="334"/>
    <x v="2"/>
    <x v="2"/>
    <x v="1"/>
    <n v="486"/>
    <x v="5"/>
  </r>
  <r>
    <n v="1354"/>
    <s v="Severino Lopez"/>
    <x v="5"/>
    <s v="Male"/>
    <n v="21"/>
    <x v="3"/>
    <x v="335"/>
    <x v="135"/>
    <x v="0"/>
    <x v="0"/>
    <n v="1509"/>
    <x v="0"/>
  </r>
  <r>
    <n v="1355"/>
    <s v="Ian Rivera Panganiban"/>
    <x v="1"/>
    <s v="Male"/>
    <n v="47"/>
    <x v="2"/>
    <x v="336"/>
    <x v="2"/>
    <x v="2"/>
    <x v="1"/>
    <n v="2410"/>
    <x v="6"/>
  </r>
  <r>
    <n v="1356"/>
    <s v="Nicanor Cruz Aguilar"/>
    <x v="1"/>
    <s v="Male"/>
    <n v="57"/>
    <x v="1"/>
    <x v="337"/>
    <x v="2"/>
    <x v="2"/>
    <x v="1"/>
    <n v="425"/>
    <x v="5"/>
  </r>
  <r>
    <n v="1357"/>
    <s v="Gloria Hilario"/>
    <x v="4"/>
    <s v="Female"/>
    <n v="27"/>
    <x v="3"/>
    <x v="338"/>
    <x v="136"/>
    <x v="0"/>
    <x v="0"/>
    <n v="1627"/>
    <x v="0"/>
  </r>
  <r>
    <n v="1358"/>
    <s v="Timothy Diaz Aguilar"/>
    <x v="3"/>
    <s v="Male"/>
    <n v="51"/>
    <x v="1"/>
    <x v="329"/>
    <x v="137"/>
    <x v="0"/>
    <x v="0"/>
    <n v="173"/>
    <x v="1"/>
  </r>
  <r>
    <n v="1359"/>
    <s v="Isabel Ang Tolentino"/>
    <x v="1"/>
    <s v="Female"/>
    <n v="53"/>
    <x v="1"/>
    <x v="339"/>
    <x v="138"/>
    <x v="6"/>
    <x v="0"/>
    <n v="378"/>
    <x v="5"/>
  </r>
  <r>
    <n v="1360"/>
    <s v="Ramon Pascual Santiago"/>
    <x v="1"/>
    <s v="Male"/>
    <n v="48"/>
    <x v="2"/>
    <x v="340"/>
    <x v="139"/>
    <x v="0"/>
    <x v="0"/>
    <n v="2057"/>
    <x v="2"/>
  </r>
  <r>
    <n v="1361"/>
    <s v="Eddie Viray"/>
    <x v="3"/>
    <s v="Male"/>
    <n v="28"/>
    <x v="3"/>
    <x v="341"/>
    <x v="2"/>
    <x v="2"/>
    <x v="1"/>
    <n v="1828"/>
    <x v="2"/>
  </r>
  <r>
    <n v="1362"/>
    <s v="Warren Go Garcia"/>
    <x v="4"/>
    <s v="Male"/>
    <n v="45"/>
    <x v="2"/>
    <x v="342"/>
    <x v="140"/>
    <x v="5"/>
    <x v="0"/>
    <n v="1652"/>
    <x v="0"/>
  </r>
  <r>
    <n v="1363"/>
    <s v="Efren Ramirez Guerrero"/>
    <x v="4"/>
    <s v="Other"/>
    <n v="57"/>
    <x v="1"/>
    <x v="343"/>
    <x v="141"/>
    <x v="0"/>
    <x v="0"/>
    <n v="486"/>
    <x v="5"/>
  </r>
  <r>
    <n v="1364"/>
    <s v="Elena Macapagal"/>
    <x v="0"/>
    <s v="Other"/>
    <n v="54"/>
    <x v="1"/>
    <x v="344"/>
    <x v="2"/>
    <x v="2"/>
    <x v="1"/>
    <n v="1377"/>
    <x v="4"/>
  </r>
  <r>
    <n v="1365"/>
    <s v="Mae Macapagal"/>
    <x v="0"/>
    <s v="Female"/>
    <n v="23"/>
    <x v="3"/>
    <x v="345"/>
    <x v="2"/>
    <x v="2"/>
    <x v="1"/>
    <n v="1035"/>
    <x v="7"/>
  </r>
  <r>
    <n v="1366"/>
    <s v="Imelda Rivera"/>
    <x v="0"/>
    <s v="Female"/>
    <n v="49"/>
    <x v="2"/>
    <x v="346"/>
    <x v="2"/>
    <x v="2"/>
    <x v="1"/>
    <n v="2383"/>
    <x v="6"/>
  </r>
  <r>
    <n v="1367"/>
    <s v="Diosdado Ocampo Perez"/>
    <x v="1"/>
    <s v="Male"/>
    <n v="48"/>
    <x v="2"/>
    <x v="347"/>
    <x v="2"/>
    <x v="2"/>
    <x v="1"/>
    <n v="2264"/>
    <x v="6"/>
  </r>
  <r>
    <n v="1368"/>
    <s v="Larry Roque"/>
    <x v="1"/>
    <s v="Male"/>
    <n v="56"/>
    <x v="1"/>
    <x v="348"/>
    <x v="2"/>
    <x v="2"/>
    <x v="1"/>
    <n v="1756"/>
    <x v="0"/>
  </r>
  <r>
    <n v="1369"/>
    <s v="Morgan Mendoza Camacho"/>
    <x v="1"/>
    <s v="Other"/>
    <n v="58"/>
    <x v="1"/>
    <x v="349"/>
    <x v="2"/>
    <x v="2"/>
    <x v="1"/>
    <n v="951"/>
    <x v="7"/>
  </r>
  <r>
    <n v="1370"/>
    <s v="Harold Ang Bondoc"/>
    <x v="3"/>
    <s v="Male"/>
    <n v="27"/>
    <x v="3"/>
    <x v="350"/>
    <x v="2"/>
    <x v="2"/>
    <x v="1"/>
    <n v="1920"/>
    <x v="2"/>
  </r>
  <r>
    <n v="1371"/>
    <s v="Bong Guevarra"/>
    <x v="0"/>
    <s v="Male"/>
    <n v="32"/>
    <x v="0"/>
    <x v="351"/>
    <x v="2"/>
    <x v="2"/>
    <x v="1"/>
    <n v="1963"/>
    <x v="2"/>
  </r>
  <r>
    <n v="1372"/>
    <s v="Ronaldo Soriano Cruz"/>
    <x v="1"/>
    <s v="Other"/>
    <n v="42"/>
    <x v="2"/>
    <x v="295"/>
    <x v="142"/>
    <x v="4"/>
    <x v="0"/>
    <n v="211"/>
    <x v="1"/>
  </r>
  <r>
    <n v="1373"/>
    <s v="Rodel Wong"/>
    <x v="4"/>
    <s v="Other"/>
    <n v="27"/>
    <x v="3"/>
    <x v="352"/>
    <x v="143"/>
    <x v="1"/>
    <x v="0"/>
    <n v="1904"/>
    <x v="2"/>
  </r>
  <r>
    <n v="1374"/>
    <s v="Wendy Santiago San Pedro"/>
    <x v="0"/>
    <s v="Female"/>
    <n v="49"/>
    <x v="2"/>
    <x v="353"/>
    <x v="2"/>
    <x v="2"/>
    <x v="1"/>
    <n v="2226"/>
    <x v="6"/>
  </r>
  <r>
    <n v="1375"/>
    <s v="Mark Castro Lozano"/>
    <x v="2"/>
    <s v="Male"/>
    <n v="31"/>
    <x v="0"/>
    <x v="354"/>
    <x v="144"/>
    <x v="5"/>
    <x v="0"/>
    <n v="2165"/>
    <x v="2"/>
  </r>
  <r>
    <n v="1376"/>
    <s v="Maribel Go Ang"/>
    <x v="2"/>
    <s v="Female"/>
    <n v="24"/>
    <x v="3"/>
    <x v="355"/>
    <x v="145"/>
    <x v="3"/>
    <x v="0"/>
    <n v="193"/>
    <x v="1"/>
  </r>
  <r>
    <n v="1377"/>
    <s v="Warren Soriano"/>
    <x v="0"/>
    <s v="Male"/>
    <n v="28"/>
    <x v="3"/>
    <x v="356"/>
    <x v="146"/>
    <x v="8"/>
    <x v="0"/>
    <n v="185"/>
    <x v="1"/>
  </r>
  <r>
    <n v="1378"/>
    <s v="Teodoro Del Rosario"/>
    <x v="0"/>
    <s v="Male"/>
    <n v="43"/>
    <x v="2"/>
    <x v="357"/>
    <x v="2"/>
    <x v="2"/>
    <x v="1"/>
    <n v="2422"/>
    <x v="6"/>
  </r>
  <r>
    <n v="1379"/>
    <s v="Ofelia Tan"/>
    <x v="1"/>
    <s v="Female"/>
    <n v="24"/>
    <x v="3"/>
    <x v="358"/>
    <x v="2"/>
    <x v="2"/>
    <x v="1"/>
    <n v="2424"/>
    <x v="6"/>
  </r>
  <r>
    <n v="1380"/>
    <s v="Ana Tuazon"/>
    <x v="5"/>
    <s v="Female"/>
    <n v="47"/>
    <x v="2"/>
    <x v="359"/>
    <x v="147"/>
    <x v="4"/>
    <x v="0"/>
    <n v="889"/>
    <x v="7"/>
  </r>
  <r>
    <n v="1381"/>
    <s v="Vicente Estrada"/>
    <x v="5"/>
    <s v="Male"/>
    <n v="21"/>
    <x v="3"/>
    <x v="360"/>
    <x v="148"/>
    <x v="1"/>
    <x v="0"/>
    <n v="1341"/>
    <x v="4"/>
  </r>
  <r>
    <n v="1382"/>
    <s v="Nathan Santiago Narvasa"/>
    <x v="2"/>
    <s v="Male"/>
    <n v="34"/>
    <x v="0"/>
    <x v="361"/>
    <x v="149"/>
    <x v="3"/>
    <x v="0"/>
    <n v="1156"/>
    <x v="4"/>
  </r>
  <r>
    <n v="1383"/>
    <s v="Ferdi Aguilar Aquino"/>
    <x v="0"/>
    <s v="Male"/>
    <n v="39"/>
    <x v="0"/>
    <x v="362"/>
    <x v="2"/>
    <x v="2"/>
    <x v="1"/>
    <n v="1869"/>
    <x v="2"/>
  </r>
  <r>
    <n v="1384"/>
    <s v="Manuel Mercado Diaz"/>
    <x v="5"/>
    <s v="Other"/>
    <n v="37"/>
    <x v="0"/>
    <x v="363"/>
    <x v="2"/>
    <x v="2"/>
    <x v="1"/>
    <n v="404"/>
    <x v="5"/>
  </r>
  <r>
    <n v="1385"/>
    <s v="Isabel Lim Chua"/>
    <x v="2"/>
    <s v="Other"/>
    <n v="46"/>
    <x v="2"/>
    <x v="364"/>
    <x v="150"/>
    <x v="1"/>
    <x v="0"/>
    <n v="161"/>
    <x v="1"/>
  </r>
  <r>
    <n v="1386"/>
    <s v="Miguel Buenaventura"/>
    <x v="4"/>
    <s v="Other"/>
    <n v="58"/>
    <x v="1"/>
    <x v="365"/>
    <x v="2"/>
    <x v="2"/>
    <x v="1"/>
    <n v="191"/>
    <x v="1"/>
  </r>
  <r>
    <n v="1387"/>
    <s v="Roy Chan Navarro"/>
    <x v="1"/>
    <s v="Male"/>
    <n v="51"/>
    <x v="1"/>
    <x v="366"/>
    <x v="151"/>
    <x v="3"/>
    <x v="0"/>
    <n v="166"/>
    <x v="1"/>
  </r>
  <r>
    <n v="1388"/>
    <s v="Joy Vega Corpuz"/>
    <x v="1"/>
    <s v="Female"/>
    <n v="56"/>
    <x v="1"/>
    <x v="367"/>
    <x v="2"/>
    <x v="2"/>
    <x v="1"/>
    <n v="2342"/>
    <x v="6"/>
  </r>
  <r>
    <n v="1389"/>
    <s v="Elena Mendoza"/>
    <x v="1"/>
    <s v="Other"/>
    <n v="53"/>
    <x v="1"/>
    <x v="368"/>
    <x v="152"/>
    <x v="6"/>
    <x v="0"/>
    <n v="1289"/>
    <x v="4"/>
  </r>
  <r>
    <n v="1390"/>
    <s v="Pilar Castro"/>
    <x v="0"/>
    <s v="Other"/>
    <n v="25"/>
    <x v="3"/>
    <x v="369"/>
    <x v="2"/>
    <x v="2"/>
    <x v="1"/>
    <n v="1157"/>
    <x v="4"/>
  </r>
  <r>
    <n v="1391"/>
    <s v="Tess Gonzales Roque"/>
    <x v="4"/>
    <s v="Female"/>
    <n v="24"/>
    <x v="3"/>
    <x v="264"/>
    <x v="153"/>
    <x v="5"/>
    <x v="0"/>
    <n v="910"/>
    <x v="7"/>
  </r>
  <r>
    <n v="1392"/>
    <s v="Juan Lopez Natividad"/>
    <x v="5"/>
    <s v="Male"/>
    <n v="32"/>
    <x v="0"/>
    <x v="370"/>
    <x v="2"/>
    <x v="2"/>
    <x v="1"/>
    <n v="1808"/>
    <x v="0"/>
  </r>
  <r>
    <n v="1393"/>
    <s v="Aileen Chan Vergara"/>
    <x v="0"/>
    <s v="Female"/>
    <n v="26"/>
    <x v="3"/>
    <x v="371"/>
    <x v="2"/>
    <x v="2"/>
    <x v="1"/>
    <n v="2561"/>
    <x v="3"/>
  </r>
  <r>
    <n v="1394"/>
    <s v="Iris Santos Elegado"/>
    <x v="4"/>
    <s v="Female"/>
    <n v="33"/>
    <x v="0"/>
    <x v="372"/>
    <x v="2"/>
    <x v="2"/>
    <x v="1"/>
    <n v="1563"/>
    <x v="0"/>
  </r>
  <r>
    <n v="1395"/>
    <s v="Grace Cruz Pascual"/>
    <x v="0"/>
    <s v="Female"/>
    <n v="43"/>
    <x v="2"/>
    <x v="373"/>
    <x v="154"/>
    <x v="8"/>
    <x v="0"/>
    <n v="875"/>
    <x v="7"/>
  </r>
  <r>
    <n v="1396"/>
    <s v="Bea Guevarra"/>
    <x v="4"/>
    <s v="Female"/>
    <n v="54"/>
    <x v="1"/>
    <x v="374"/>
    <x v="2"/>
    <x v="2"/>
    <x v="1"/>
    <n v="649"/>
    <x v="5"/>
  </r>
  <r>
    <n v="1397"/>
    <s v="Antonio Dela Torre"/>
    <x v="4"/>
    <s v="Other"/>
    <n v="43"/>
    <x v="2"/>
    <x v="326"/>
    <x v="155"/>
    <x v="0"/>
    <x v="0"/>
    <n v="1742"/>
    <x v="0"/>
  </r>
  <r>
    <n v="1398"/>
    <s v="Violeta Fajardo"/>
    <x v="1"/>
    <s v="Female"/>
    <n v="53"/>
    <x v="1"/>
    <x v="375"/>
    <x v="156"/>
    <x v="5"/>
    <x v="0"/>
    <n v="243"/>
    <x v="1"/>
  </r>
  <r>
    <n v="1399"/>
    <s v="Isabel Uy Hernandez"/>
    <x v="0"/>
    <s v="Female"/>
    <n v="27"/>
    <x v="3"/>
    <x v="376"/>
    <x v="2"/>
    <x v="2"/>
    <x v="1"/>
    <n v="414"/>
    <x v="5"/>
  </r>
  <r>
    <n v="1400"/>
    <s v="Jose Mendoza Sia"/>
    <x v="4"/>
    <s v="Male"/>
    <n v="51"/>
    <x v="1"/>
    <x v="6"/>
    <x v="157"/>
    <x v="1"/>
    <x v="0"/>
    <n v="178"/>
    <x v="1"/>
  </r>
  <r>
    <n v="1401"/>
    <s v="Cristina Cueto"/>
    <x v="5"/>
    <s v="Female"/>
    <n v="29"/>
    <x v="3"/>
    <x v="377"/>
    <x v="2"/>
    <x v="2"/>
    <x v="1"/>
    <n v="1376"/>
    <x v="4"/>
  </r>
  <r>
    <n v="1402"/>
    <s v="Mae Lim Vega"/>
    <x v="1"/>
    <s v="Female"/>
    <n v="27"/>
    <x v="3"/>
    <x v="378"/>
    <x v="158"/>
    <x v="1"/>
    <x v="0"/>
    <n v="294"/>
    <x v="1"/>
  </r>
  <r>
    <n v="1403"/>
    <s v="Hazel Santos Mangubat"/>
    <x v="4"/>
    <s v="Female"/>
    <n v="52"/>
    <x v="1"/>
    <x v="379"/>
    <x v="2"/>
    <x v="2"/>
    <x v="1"/>
    <n v="2241"/>
    <x v="6"/>
  </r>
  <r>
    <n v="1404"/>
    <s v="Casey Mendoza Cueto"/>
    <x v="5"/>
    <s v="Other"/>
    <n v="57"/>
    <x v="1"/>
    <x v="380"/>
    <x v="2"/>
    <x v="2"/>
    <x v="1"/>
    <n v="351"/>
    <x v="1"/>
  </r>
  <r>
    <n v="1405"/>
    <s v="Hernando Garcia"/>
    <x v="3"/>
    <s v="Male"/>
    <n v="50"/>
    <x v="1"/>
    <x v="381"/>
    <x v="159"/>
    <x v="0"/>
    <x v="0"/>
    <n v="192"/>
    <x v="1"/>
  </r>
  <r>
    <n v="1406"/>
    <s v="Crisanto Delos Reyes"/>
    <x v="4"/>
    <s v="Male"/>
    <n v="48"/>
    <x v="2"/>
    <x v="382"/>
    <x v="160"/>
    <x v="0"/>
    <x v="0"/>
    <n v="277"/>
    <x v="1"/>
  </r>
  <r>
    <n v="1407"/>
    <s v="Maria Vergara"/>
    <x v="4"/>
    <s v="Other"/>
    <n v="38"/>
    <x v="0"/>
    <x v="383"/>
    <x v="161"/>
    <x v="0"/>
    <x v="0"/>
    <n v="1493"/>
    <x v="0"/>
  </r>
  <r>
    <n v="1408"/>
    <s v="Gregorio Bautista Gonzales"/>
    <x v="4"/>
    <s v="Male"/>
    <n v="51"/>
    <x v="1"/>
    <x v="384"/>
    <x v="2"/>
    <x v="2"/>
    <x v="1"/>
    <n v="1364"/>
    <x v="4"/>
  </r>
  <r>
    <n v="1409"/>
    <s v="Elena Lozano"/>
    <x v="3"/>
    <s v="Other"/>
    <n v="27"/>
    <x v="3"/>
    <x v="385"/>
    <x v="2"/>
    <x v="2"/>
    <x v="1"/>
    <n v="1387"/>
    <x v="4"/>
  </r>
  <r>
    <n v="1410"/>
    <s v="Bernardo Umali"/>
    <x v="1"/>
    <s v="Male"/>
    <n v="43"/>
    <x v="2"/>
    <x v="386"/>
    <x v="162"/>
    <x v="3"/>
    <x v="0"/>
    <n v="440"/>
    <x v="5"/>
  </r>
  <r>
    <n v="1411"/>
    <s v="Mark Ramirez Del Rosario"/>
    <x v="1"/>
    <s v="Male"/>
    <n v="23"/>
    <x v="3"/>
    <x v="387"/>
    <x v="163"/>
    <x v="0"/>
    <x v="0"/>
    <n v="1377"/>
    <x v="4"/>
  </r>
  <r>
    <n v="1412"/>
    <s v="Efren Lacson"/>
    <x v="3"/>
    <s v="Male"/>
    <n v="42"/>
    <x v="2"/>
    <x v="388"/>
    <x v="2"/>
    <x v="2"/>
    <x v="1"/>
    <n v="965"/>
    <x v="7"/>
  </r>
  <r>
    <n v="1413"/>
    <s v="Roy Lopez Solis"/>
    <x v="4"/>
    <s v="Male"/>
    <n v="45"/>
    <x v="2"/>
    <x v="389"/>
    <x v="2"/>
    <x v="2"/>
    <x v="1"/>
    <n v="2483"/>
    <x v="6"/>
  </r>
  <r>
    <n v="1414"/>
    <s v="Vicente Rivera Mendoza"/>
    <x v="0"/>
    <s v="Male"/>
    <n v="60"/>
    <x v="4"/>
    <x v="390"/>
    <x v="85"/>
    <x v="6"/>
    <x v="0"/>
    <n v="2103"/>
    <x v="2"/>
  </r>
  <r>
    <n v="1415"/>
    <s v="Daisy Dela Cruz"/>
    <x v="4"/>
    <s v="Female"/>
    <n v="50"/>
    <x v="1"/>
    <x v="157"/>
    <x v="2"/>
    <x v="2"/>
    <x v="1"/>
    <n v="1272"/>
    <x v="4"/>
  </r>
  <r>
    <n v="1416"/>
    <s v="Sue Garcia Hilario"/>
    <x v="4"/>
    <s v="Female"/>
    <n v="52"/>
    <x v="1"/>
    <x v="391"/>
    <x v="164"/>
    <x v="5"/>
    <x v="0"/>
    <n v="296"/>
    <x v="1"/>
  </r>
  <r>
    <n v="1417"/>
    <s v="Carmen Bautista Buenaventura"/>
    <x v="2"/>
    <s v="Other"/>
    <n v="40"/>
    <x v="2"/>
    <x v="392"/>
    <x v="2"/>
    <x v="2"/>
    <x v="1"/>
    <n v="1009"/>
    <x v="7"/>
  </r>
  <r>
    <n v="1418"/>
    <s v="Cristina Tuazon"/>
    <x v="2"/>
    <s v="Other"/>
    <n v="42"/>
    <x v="2"/>
    <x v="393"/>
    <x v="2"/>
    <x v="2"/>
    <x v="1"/>
    <n v="797"/>
    <x v="7"/>
  </r>
  <r>
    <n v="1419"/>
    <s v="Aldrin Mendoza Hilario"/>
    <x v="4"/>
    <s v="Male"/>
    <n v="27"/>
    <x v="3"/>
    <x v="126"/>
    <x v="165"/>
    <x v="5"/>
    <x v="0"/>
    <n v="264"/>
    <x v="1"/>
  </r>
  <r>
    <n v="1420"/>
    <s v="Annaliza Castro Tolentino"/>
    <x v="1"/>
    <s v="Female"/>
    <n v="29"/>
    <x v="3"/>
    <x v="394"/>
    <x v="166"/>
    <x v="0"/>
    <x v="0"/>
    <n v="1341"/>
    <x v="4"/>
  </r>
  <r>
    <n v="1421"/>
    <s v="Annaliza Ramos Natividad"/>
    <x v="5"/>
    <s v="Female"/>
    <n v="47"/>
    <x v="2"/>
    <x v="395"/>
    <x v="2"/>
    <x v="2"/>
    <x v="1"/>
    <n v="2901"/>
    <x v="3"/>
  </r>
  <r>
    <n v="1422"/>
    <s v="Hazel Cueto"/>
    <x v="3"/>
    <s v="Female"/>
    <n v="24"/>
    <x v="3"/>
    <x v="396"/>
    <x v="2"/>
    <x v="2"/>
    <x v="1"/>
    <n v="825"/>
    <x v="7"/>
  </r>
  <r>
    <n v="1423"/>
    <s v="Arnel Camacho"/>
    <x v="3"/>
    <s v="Other"/>
    <n v="32"/>
    <x v="0"/>
    <x v="397"/>
    <x v="167"/>
    <x v="8"/>
    <x v="0"/>
    <n v="1408"/>
    <x v="4"/>
  </r>
  <r>
    <n v="1424"/>
    <s v="Carlos Natividad"/>
    <x v="3"/>
    <s v="Other"/>
    <n v="38"/>
    <x v="0"/>
    <x v="398"/>
    <x v="2"/>
    <x v="2"/>
    <x v="1"/>
    <n v="1462"/>
    <x v="0"/>
  </r>
  <r>
    <n v="1425"/>
    <s v="Pete Macaraeg"/>
    <x v="1"/>
    <s v="Male"/>
    <n v="53"/>
    <x v="1"/>
    <x v="399"/>
    <x v="2"/>
    <x v="2"/>
    <x v="1"/>
    <n v="1867"/>
    <x v="2"/>
  </r>
  <r>
    <n v="1426"/>
    <s v="Aldrin Ramos Guevarra"/>
    <x v="3"/>
    <s v="Male"/>
    <n v="33"/>
    <x v="0"/>
    <x v="400"/>
    <x v="2"/>
    <x v="2"/>
    <x v="1"/>
    <n v="2233"/>
    <x v="6"/>
  </r>
  <r>
    <n v="1427"/>
    <s v="Elmer Vega Lazo"/>
    <x v="3"/>
    <s v="Male"/>
    <n v="32"/>
    <x v="0"/>
    <x v="401"/>
    <x v="2"/>
    <x v="2"/>
    <x v="1"/>
    <n v="1028"/>
    <x v="7"/>
  </r>
  <r>
    <n v="1428"/>
    <s v="Neil Co"/>
    <x v="0"/>
    <s v="Male"/>
    <n v="47"/>
    <x v="2"/>
    <x v="402"/>
    <x v="2"/>
    <x v="2"/>
    <x v="1"/>
    <n v="330"/>
    <x v="1"/>
  </r>
  <r>
    <n v="1429"/>
    <s v="Isabel Aguilar Enriquez"/>
    <x v="4"/>
    <s v="Female"/>
    <n v="27"/>
    <x v="3"/>
    <x v="403"/>
    <x v="2"/>
    <x v="2"/>
    <x v="1"/>
    <n v="2988"/>
    <x v="8"/>
  </r>
  <r>
    <n v="1430"/>
    <s v="Estrella Santiago"/>
    <x v="5"/>
    <s v="Female"/>
    <n v="39"/>
    <x v="0"/>
    <x v="404"/>
    <x v="168"/>
    <x v="1"/>
    <x v="0"/>
    <n v="105"/>
    <x v="1"/>
  </r>
  <r>
    <n v="1431"/>
    <s v="Rowena Tan"/>
    <x v="1"/>
    <s v="Other"/>
    <n v="27"/>
    <x v="3"/>
    <x v="293"/>
    <x v="2"/>
    <x v="2"/>
    <x v="1"/>
    <n v="568"/>
    <x v="5"/>
  </r>
  <r>
    <n v="1432"/>
    <s v="Rachel Navarro Salazar"/>
    <x v="0"/>
    <s v="Female"/>
    <n v="39"/>
    <x v="0"/>
    <x v="405"/>
    <x v="2"/>
    <x v="2"/>
    <x v="1"/>
    <n v="253"/>
    <x v="1"/>
  </r>
  <r>
    <n v="1433"/>
    <s v="Cherry Tan"/>
    <x v="3"/>
    <s v="Female"/>
    <n v="37"/>
    <x v="0"/>
    <x v="406"/>
    <x v="2"/>
    <x v="2"/>
    <x v="1"/>
    <n v="2260"/>
    <x v="6"/>
  </r>
  <r>
    <n v="1434"/>
    <s v="Kristoffer Obispo"/>
    <x v="5"/>
    <s v="Male"/>
    <n v="58"/>
    <x v="1"/>
    <x v="407"/>
    <x v="2"/>
    <x v="2"/>
    <x v="1"/>
    <n v="853"/>
    <x v="7"/>
  </r>
  <r>
    <n v="1435"/>
    <s v="Lea Sy Castro"/>
    <x v="4"/>
    <s v="Female"/>
    <n v="25"/>
    <x v="3"/>
    <x v="408"/>
    <x v="2"/>
    <x v="2"/>
    <x v="1"/>
    <n v="2326"/>
    <x v="6"/>
  </r>
  <r>
    <n v="1436"/>
    <s v="Maria Fernandez Mangubat"/>
    <x v="4"/>
    <s v="Female"/>
    <n v="31"/>
    <x v="0"/>
    <x v="237"/>
    <x v="2"/>
    <x v="2"/>
    <x v="1"/>
    <n v="699"/>
    <x v="5"/>
  </r>
  <r>
    <n v="1437"/>
    <s v="Manuel Viray"/>
    <x v="1"/>
    <s v="Other"/>
    <n v="24"/>
    <x v="3"/>
    <x v="409"/>
    <x v="2"/>
    <x v="2"/>
    <x v="1"/>
    <n v="530"/>
    <x v="5"/>
  </r>
  <r>
    <n v="1438"/>
    <s v="Kath Tan Aguilar"/>
    <x v="0"/>
    <s v="Female"/>
    <n v="41"/>
    <x v="2"/>
    <x v="217"/>
    <x v="169"/>
    <x v="8"/>
    <x v="0"/>
    <n v="278"/>
    <x v="1"/>
  </r>
  <r>
    <n v="1439"/>
    <s v="Sue Vega Corpuz"/>
    <x v="1"/>
    <s v="Female"/>
    <n v="65"/>
    <x v="4"/>
    <x v="410"/>
    <x v="147"/>
    <x v="6"/>
    <x v="0"/>
    <n v="274"/>
    <x v="1"/>
  </r>
  <r>
    <n v="1440"/>
    <s v="Rodel Panganiban"/>
    <x v="4"/>
    <s v="Other"/>
    <n v="36"/>
    <x v="0"/>
    <x v="411"/>
    <x v="2"/>
    <x v="2"/>
    <x v="1"/>
    <n v="2928"/>
    <x v="8"/>
  </r>
  <r>
    <n v="1441"/>
    <s v="Kevin Cueto"/>
    <x v="3"/>
    <s v="Male"/>
    <n v="55"/>
    <x v="1"/>
    <x v="412"/>
    <x v="170"/>
    <x v="3"/>
    <x v="0"/>
    <n v="1148"/>
    <x v="4"/>
  </r>
  <r>
    <n v="1442"/>
    <s v="Lourdes Pascual"/>
    <x v="4"/>
    <s v="Female"/>
    <n v="33"/>
    <x v="0"/>
    <x v="413"/>
    <x v="2"/>
    <x v="2"/>
    <x v="1"/>
    <n v="1779"/>
    <x v="0"/>
  </r>
  <r>
    <n v="1443"/>
    <s v="Marcelo Mendoza Guevarra"/>
    <x v="5"/>
    <s v="Male"/>
    <n v="25"/>
    <x v="3"/>
    <x v="414"/>
    <x v="2"/>
    <x v="2"/>
    <x v="1"/>
    <n v="2228"/>
    <x v="6"/>
  </r>
  <r>
    <n v="1444"/>
    <s v="Jordan Del Rosario"/>
    <x v="1"/>
    <s v="Other"/>
    <n v="48"/>
    <x v="2"/>
    <x v="415"/>
    <x v="2"/>
    <x v="2"/>
    <x v="1"/>
    <n v="443"/>
    <x v="5"/>
  </r>
  <r>
    <n v="1445"/>
    <s v="Rowena Ramirez Villanueva"/>
    <x v="1"/>
    <s v="Other"/>
    <n v="23"/>
    <x v="3"/>
    <x v="340"/>
    <x v="171"/>
    <x v="3"/>
    <x v="0"/>
    <n v="819"/>
    <x v="7"/>
  </r>
  <r>
    <n v="1446"/>
    <s v="Dennis Torres Cruz"/>
    <x v="3"/>
    <s v="Male"/>
    <n v="49"/>
    <x v="2"/>
    <x v="416"/>
    <x v="2"/>
    <x v="2"/>
    <x v="1"/>
    <n v="510"/>
    <x v="5"/>
  </r>
  <r>
    <n v="1447"/>
    <s v="Jimmy Soriano Lopez"/>
    <x v="0"/>
    <s v="Male"/>
    <n v="25"/>
    <x v="3"/>
    <x v="417"/>
    <x v="172"/>
    <x v="5"/>
    <x v="0"/>
    <n v="164"/>
    <x v="1"/>
  </r>
  <r>
    <n v="1448"/>
    <s v="Luisa Ramirez Tuazon"/>
    <x v="0"/>
    <s v="Female"/>
    <n v="49"/>
    <x v="2"/>
    <x v="418"/>
    <x v="2"/>
    <x v="2"/>
    <x v="1"/>
    <n v="1529"/>
    <x v="0"/>
  </r>
  <r>
    <n v="1449"/>
    <s v="Diosdado Sia"/>
    <x v="1"/>
    <s v="Male"/>
    <n v="55"/>
    <x v="1"/>
    <x v="419"/>
    <x v="2"/>
    <x v="2"/>
    <x v="1"/>
    <n v="1883"/>
    <x v="2"/>
  </r>
  <r>
    <n v="1450"/>
    <s v="Rowena Santos Mercado"/>
    <x v="3"/>
    <s v="Other"/>
    <n v="44"/>
    <x v="2"/>
    <x v="420"/>
    <x v="2"/>
    <x v="2"/>
    <x v="1"/>
    <n v="3046"/>
    <x v="8"/>
  </r>
  <r>
    <n v="1451"/>
    <s v="Kim Ramirez Mercado"/>
    <x v="0"/>
    <s v="Male"/>
    <n v="56"/>
    <x v="1"/>
    <x v="421"/>
    <x v="173"/>
    <x v="0"/>
    <x v="0"/>
    <n v="1498"/>
    <x v="0"/>
  </r>
  <r>
    <n v="1452"/>
    <s v="Tess Mendoza"/>
    <x v="0"/>
    <s v="Female"/>
    <n v="28"/>
    <x v="3"/>
    <x v="422"/>
    <x v="2"/>
    <x v="2"/>
    <x v="1"/>
    <n v="2349"/>
    <x v="6"/>
  </r>
  <r>
    <n v="1453"/>
    <s v="Carlos Mendoza Enriquez"/>
    <x v="3"/>
    <s v="Other"/>
    <n v="50"/>
    <x v="1"/>
    <x v="423"/>
    <x v="2"/>
    <x v="2"/>
    <x v="1"/>
    <n v="451"/>
    <x v="5"/>
  </r>
  <r>
    <n v="1454"/>
    <s v="Carlos Uy Diaz"/>
    <x v="1"/>
    <s v="Male"/>
    <n v="59"/>
    <x v="1"/>
    <x v="424"/>
    <x v="174"/>
    <x v="6"/>
    <x v="0"/>
    <n v="1432"/>
    <x v="4"/>
  </r>
  <r>
    <n v="1455"/>
    <s v="Jerome Macaraeg"/>
    <x v="4"/>
    <s v="Male"/>
    <n v="58"/>
    <x v="1"/>
    <x v="425"/>
    <x v="2"/>
    <x v="2"/>
    <x v="1"/>
    <n v="2467"/>
    <x v="6"/>
  </r>
  <r>
    <n v="1456"/>
    <s v="Nina Ramirez"/>
    <x v="1"/>
    <s v="Female"/>
    <n v="35"/>
    <x v="0"/>
    <x v="426"/>
    <x v="2"/>
    <x v="2"/>
    <x v="1"/>
    <n v="467"/>
    <x v="5"/>
  </r>
  <r>
    <n v="1457"/>
    <s v="Gani Garcia Hilario"/>
    <x v="4"/>
    <s v="Male"/>
    <n v="49"/>
    <x v="2"/>
    <x v="427"/>
    <x v="2"/>
    <x v="2"/>
    <x v="1"/>
    <n v="1622"/>
    <x v="0"/>
  </r>
  <r>
    <n v="1458"/>
    <s v="Jordan Reyes Dela Torre"/>
    <x v="2"/>
    <s v="Other"/>
    <n v="29"/>
    <x v="3"/>
    <x v="428"/>
    <x v="175"/>
    <x v="3"/>
    <x v="0"/>
    <n v="841"/>
    <x v="7"/>
  </r>
  <r>
    <n v="1459"/>
    <s v="Xander Rivera"/>
    <x v="2"/>
    <s v="Male"/>
    <n v="58"/>
    <x v="1"/>
    <x v="429"/>
    <x v="2"/>
    <x v="2"/>
    <x v="1"/>
    <n v="720"/>
    <x v="5"/>
  </r>
  <r>
    <n v="1460"/>
    <s v="Ernesto Pascual Evangelista"/>
    <x v="0"/>
    <s v="Male"/>
    <n v="55"/>
    <x v="1"/>
    <x v="430"/>
    <x v="2"/>
    <x v="2"/>
    <x v="1"/>
    <n v="1158"/>
    <x v="4"/>
  </r>
  <r>
    <n v="1461"/>
    <s v="Gregorio Lopez Cueto"/>
    <x v="1"/>
    <s v="Male"/>
    <n v="26"/>
    <x v="3"/>
    <x v="431"/>
    <x v="176"/>
    <x v="7"/>
    <x v="0"/>
    <n v="111"/>
    <x v="1"/>
  </r>
  <r>
    <n v="1462"/>
    <s v="Jamie Tan"/>
    <x v="1"/>
    <s v="Other"/>
    <n v="30"/>
    <x v="0"/>
    <x v="432"/>
    <x v="2"/>
    <x v="2"/>
    <x v="1"/>
    <n v="1111"/>
    <x v="4"/>
  </r>
  <r>
    <n v="1463"/>
    <s v="Mae Go Evangelista"/>
    <x v="1"/>
    <s v="Female"/>
    <n v="35"/>
    <x v="0"/>
    <x v="433"/>
    <x v="2"/>
    <x v="2"/>
    <x v="1"/>
    <n v="2916"/>
    <x v="3"/>
  </r>
  <r>
    <n v="1464"/>
    <s v="Mae Zulueta"/>
    <x v="2"/>
    <s v="Female"/>
    <n v="41"/>
    <x v="2"/>
    <x v="291"/>
    <x v="2"/>
    <x v="2"/>
    <x v="1"/>
    <n v="2669"/>
    <x v="3"/>
  </r>
  <r>
    <n v="1465"/>
    <s v="Gloria Ramirez Delmendo"/>
    <x v="2"/>
    <s v="Female"/>
    <n v="55"/>
    <x v="1"/>
    <x v="434"/>
    <x v="177"/>
    <x v="5"/>
    <x v="0"/>
    <n v="477"/>
    <x v="5"/>
  </r>
  <r>
    <n v="1466"/>
    <s v="Bong Ramos Santos"/>
    <x v="0"/>
    <s v="Male"/>
    <n v="43"/>
    <x v="2"/>
    <x v="435"/>
    <x v="2"/>
    <x v="2"/>
    <x v="1"/>
    <n v="1097"/>
    <x v="4"/>
  </r>
  <r>
    <n v="1467"/>
    <s v="Nina Quiambao"/>
    <x v="4"/>
    <s v="Female"/>
    <n v="53"/>
    <x v="1"/>
    <x v="436"/>
    <x v="178"/>
    <x v="0"/>
    <x v="0"/>
    <n v="166"/>
    <x v="1"/>
  </r>
  <r>
    <n v="1468"/>
    <s v="Hazel Lopez Umali"/>
    <x v="1"/>
    <s v="Female"/>
    <n v="42"/>
    <x v="2"/>
    <x v="437"/>
    <x v="2"/>
    <x v="2"/>
    <x v="1"/>
    <n v="2627"/>
    <x v="3"/>
  </r>
  <r>
    <n v="1469"/>
    <s v="Kim Garcia"/>
    <x v="5"/>
    <s v="Male"/>
    <n v="36"/>
    <x v="0"/>
    <x v="438"/>
    <x v="179"/>
    <x v="0"/>
    <x v="0"/>
    <n v="749"/>
    <x v="7"/>
  </r>
  <r>
    <n v="1470"/>
    <s v="Tess Pascual Zulueta"/>
    <x v="1"/>
    <s v="Female"/>
    <n v="32"/>
    <x v="0"/>
    <x v="439"/>
    <x v="2"/>
    <x v="2"/>
    <x v="1"/>
    <n v="975"/>
    <x v="7"/>
  </r>
  <r>
    <n v="1471"/>
    <s v="Erlinda Narvasa"/>
    <x v="3"/>
    <s v="Female"/>
    <n v="51"/>
    <x v="1"/>
    <x v="440"/>
    <x v="180"/>
    <x v="5"/>
    <x v="0"/>
    <n v="940"/>
    <x v="7"/>
  </r>
  <r>
    <n v="1472"/>
    <s v="Gerald Ocampo Roque"/>
    <x v="1"/>
    <s v="Male"/>
    <n v="37"/>
    <x v="0"/>
    <x v="441"/>
    <x v="2"/>
    <x v="2"/>
    <x v="1"/>
    <n v="2405"/>
    <x v="6"/>
  </r>
  <r>
    <n v="1473"/>
    <s v="Ernesto Chan Quiambao"/>
    <x v="1"/>
    <s v="Male"/>
    <n v="27"/>
    <x v="3"/>
    <x v="442"/>
    <x v="181"/>
    <x v="1"/>
    <x v="0"/>
    <n v="2155"/>
    <x v="2"/>
  </r>
  <r>
    <n v="1474"/>
    <s v="Danilo Umali"/>
    <x v="3"/>
    <s v="Male"/>
    <n v="55"/>
    <x v="1"/>
    <x v="443"/>
    <x v="2"/>
    <x v="2"/>
    <x v="1"/>
    <n v="1030"/>
    <x v="7"/>
  </r>
  <r>
    <n v="1475"/>
    <s v="Larry Cruz Camacho"/>
    <x v="3"/>
    <s v="Male"/>
    <n v="21"/>
    <x v="3"/>
    <x v="444"/>
    <x v="2"/>
    <x v="2"/>
    <x v="1"/>
    <n v="312"/>
    <x v="1"/>
  </r>
  <r>
    <n v="1476"/>
    <s v="Samuel Ramirez Ramirez"/>
    <x v="5"/>
    <s v="Male"/>
    <n v="51"/>
    <x v="1"/>
    <x v="445"/>
    <x v="182"/>
    <x v="8"/>
    <x v="0"/>
    <n v="1516"/>
    <x v="0"/>
  </r>
  <r>
    <n v="1477"/>
    <s v="Maria Santos Macapagal"/>
    <x v="3"/>
    <s v="Female"/>
    <n v="55"/>
    <x v="1"/>
    <x v="446"/>
    <x v="183"/>
    <x v="1"/>
    <x v="0"/>
    <n v="101"/>
    <x v="1"/>
  </r>
  <r>
    <n v="1478"/>
    <s v="Violeta Chan"/>
    <x v="4"/>
    <s v="Female"/>
    <n v="41"/>
    <x v="2"/>
    <x v="447"/>
    <x v="184"/>
    <x v="5"/>
    <x v="0"/>
    <n v="406"/>
    <x v="5"/>
  </r>
  <r>
    <n v="1479"/>
    <s v="Lorenzo Chan Bondoc"/>
    <x v="4"/>
    <s v="Male"/>
    <n v="38"/>
    <x v="0"/>
    <x v="11"/>
    <x v="2"/>
    <x v="2"/>
    <x v="1"/>
    <n v="304"/>
    <x v="1"/>
  </r>
  <r>
    <n v="1480"/>
    <s v="Vince Manalang"/>
    <x v="1"/>
    <s v="Male"/>
    <n v="51"/>
    <x v="1"/>
    <x v="448"/>
    <x v="2"/>
    <x v="2"/>
    <x v="1"/>
    <n v="2052"/>
    <x v="2"/>
  </r>
  <r>
    <n v="1481"/>
    <s v="Herminia Tan Fernandez"/>
    <x v="4"/>
    <s v="Female"/>
    <n v="28"/>
    <x v="3"/>
    <x v="449"/>
    <x v="2"/>
    <x v="2"/>
    <x v="1"/>
    <n v="2150"/>
    <x v="2"/>
  </r>
  <r>
    <n v="1482"/>
    <s v="Alex Dela Cruz"/>
    <x v="2"/>
    <s v="Other"/>
    <n v="24"/>
    <x v="3"/>
    <x v="450"/>
    <x v="2"/>
    <x v="2"/>
    <x v="1"/>
    <n v="2433"/>
    <x v="6"/>
  </r>
  <r>
    <n v="1483"/>
    <s v="Antonio Tan Obispo"/>
    <x v="0"/>
    <s v="Male"/>
    <n v="26"/>
    <x v="3"/>
    <x v="451"/>
    <x v="81"/>
    <x v="0"/>
    <x v="0"/>
    <n v="1608"/>
    <x v="0"/>
  </r>
  <r>
    <n v="1484"/>
    <s v="Victor Pascual Reyes"/>
    <x v="0"/>
    <s v="Male"/>
    <n v="24"/>
    <x v="3"/>
    <x v="452"/>
    <x v="2"/>
    <x v="2"/>
    <x v="1"/>
    <n v="2374"/>
    <x v="6"/>
  </r>
  <r>
    <n v="1485"/>
    <s v="Josephine Pascual"/>
    <x v="1"/>
    <s v="Other"/>
    <n v="53"/>
    <x v="1"/>
    <x v="453"/>
    <x v="2"/>
    <x v="2"/>
    <x v="1"/>
    <n v="979"/>
    <x v="7"/>
  </r>
  <r>
    <n v="1486"/>
    <s v="Oliver Crisostomo"/>
    <x v="4"/>
    <s v="Male"/>
    <n v="31"/>
    <x v="0"/>
    <x v="454"/>
    <x v="2"/>
    <x v="2"/>
    <x v="1"/>
    <n v="2736"/>
    <x v="3"/>
  </r>
  <r>
    <n v="1487"/>
    <s v="Sue Aguilar Narvasa"/>
    <x v="4"/>
    <s v="Female"/>
    <n v="21"/>
    <x v="3"/>
    <x v="455"/>
    <x v="93"/>
    <x v="8"/>
    <x v="0"/>
    <n v="101"/>
    <x v="1"/>
  </r>
  <r>
    <n v="1488"/>
    <s v="Roberto Mendoza Soriano"/>
    <x v="1"/>
    <s v="Other"/>
    <n v="50"/>
    <x v="1"/>
    <x v="456"/>
    <x v="2"/>
    <x v="2"/>
    <x v="1"/>
    <n v="1437"/>
    <x v="4"/>
  </r>
  <r>
    <n v="1489"/>
    <s v="Severino Fajardo"/>
    <x v="0"/>
    <s v="Male"/>
    <n v="42"/>
    <x v="2"/>
    <x v="457"/>
    <x v="2"/>
    <x v="2"/>
    <x v="1"/>
    <n v="2612"/>
    <x v="3"/>
  </r>
  <r>
    <n v="1490"/>
    <s v="Eduardo Buenaventura"/>
    <x v="0"/>
    <s v="Other"/>
    <n v="45"/>
    <x v="2"/>
    <x v="458"/>
    <x v="2"/>
    <x v="2"/>
    <x v="1"/>
    <n v="785"/>
    <x v="7"/>
  </r>
  <r>
    <n v="1491"/>
    <s v="Teodoro Ramirez Aquino"/>
    <x v="4"/>
    <s v="Male"/>
    <n v="58"/>
    <x v="1"/>
    <x v="459"/>
    <x v="2"/>
    <x v="2"/>
    <x v="1"/>
    <n v="2979"/>
    <x v="8"/>
  </r>
  <r>
    <n v="1492"/>
    <s v="Mae Domingo Fajardo"/>
    <x v="5"/>
    <s v="Female"/>
    <n v="41"/>
    <x v="2"/>
    <x v="460"/>
    <x v="2"/>
    <x v="2"/>
    <x v="1"/>
    <n v="1402"/>
    <x v="4"/>
  </r>
  <r>
    <n v="1493"/>
    <s v="Jacqueline Flores Tuazon"/>
    <x v="4"/>
    <s v="Female"/>
    <n v="42"/>
    <x v="2"/>
    <x v="64"/>
    <x v="2"/>
    <x v="2"/>
    <x v="1"/>
    <n v="2780"/>
    <x v="3"/>
  </r>
  <r>
    <n v="1494"/>
    <s v="Rosalinda Domingo San Pedro"/>
    <x v="2"/>
    <s v="Female"/>
    <n v="33"/>
    <x v="0"/>
    <x v="461"/>
    <x v="2"/>
    <x v="2"/>
    <x v="1"/>
    <n v="1048"/>
    <x v="7"/>
  </r>
  <r>
    <n v="1495"/>
    <s v="Rowena Figueroa"/>
    <x v="1"/>
    <s v="Female"/>
    <n v="36"/>
    <x v="0"/>
    <x v="462"/>
    <x v="185"/>
    <x v="0"/>
    <x v="0"/>
    <n v="488"/>
    <x v="5"/>
  </r>
  <r>
    <n v="1496"/>
    <s v="Patricia Aguilar Trinidad"/>
    <x v="0"/>
    <s v="Female"/>
    <n v="55"/>
    <x v="1"/>
    <x v="463"/>
    <x v="2"/>
    <x v="2"/>
    <x v="1"/>
    <n v="2918"/>
    <x v="3"/>
  </r>
  <r>
    <n v="1497"/>
    <s v="Maricel Sy Flores"/>
    <x v="0"/>
    <s v="Other"/>
    <n v="53"/>
    <x v="1"/>
    <x v="464"/>
    <x v="2"/>
    <x v="2"/>
    <x v="1"/>
    <n v="1944"/>
    <x v="2"/>
  </r>
  <r>
    <n v="1498"/>
    <s v="Hernando Roque"/>
    <x v="0"/>
    <s v="Male"/>
    <n v="53"/>
    <x v="1"/>
    <x v="465"/>
    <x v="2"/>
    <x v="2"/>
    <x v="1"/>
    <n v="1669"/>
    <x v="0"/>
  </r>
  <r>
    <n v="1499"/>
    <s v="Leonard Santiago Narvasa"/>
    <x v="5"/>
    <s v="Male"/>
    <n v="21"/>
    <x v="3"/>
    <x v="466"/>
    <x v="2"/>
    <x v="2"/>
    <x v="1"/>
    <n v="3043"/>
    <x v="8"/>
  </r>
  <r>
    <n v="1500"/>
    <s v="Karen Sy Evangelista"/>
    <x v="0"/>
    <s v="Female"/>
    <n v="56"/>
    <x v="1"/>
    <x v="467"/>
    <x v="186"/>
    <x v="4"/>
    <x v="0"/>
    <n v="1055"/>
    <x v="7"/>
  </r>
  <r>
    <n v="1501"/>
    <s v="Fernando Ramos Natividad"/>
    <x v="1"/>
    <s v="Other"/>
    <n v="44"/>
    <x v="2"/>
    <x v="468"/>
    <x v="2"/>
    <x v="2"/>
    <x v="1"/>
    <n v="1596"/>
    <x v="0"/>
  </r>
  <r>
    <n v="1502"/>
    <s v="Rowena Lacson"/>
    <x v="3"/>
    <s v="Other"/>
    <n v="27"/>
    <x v="3"/>
    <x v="469"/>
    <x v="2"/>
    <x v="2"/>
    <x v="1"/>
    <n v="1986"/>
    <x v="2"/>
  </r>
  <r>
    <n v="1503"/>
    <s v="Jose Navarro Camacho"/>
    <x v="1"/>
    <s v="Other"/>
    <n v="30"/>
    <x v="0"/>
    <x v="470"/>
    <x v="2"/>
    <x v="2"/>
    <x v="1"/>
    <n v="1154"/>
    <x v="4"/>
  </r>
  <r>
    <n v="1504"/>
    <s v="Pilar Rivera"/>
    <x v="2"/>
    <s v="Female"/>
    <n v="56"/>
    <x v="1"/>
    <x v="471"/>
    <x v="187"/>
    <x v="1"/>
    <x v="0"/>
    <n v="191"/>
    <x v="1"/>
  </r>
  <r>
    <n v="1505"/>
    <s v="Severino Torres Manalang"/>
    <x v="0"/>
    <s v="Male"/>
    <n v="49"/>
    <x v="2"/>
    <x v="472"/>
    <x v="188"/>
    <x v="8"/>
    <x v="0"/>
    <n v="827"/>
    <x v="7"/>
  </r>
  <r>
    <n v="1506"/>
    <s v="Neil Soriano"/>
    <x v="4"/>
    <s v="Male"/>
    <n v="33"/>
    <x v="0"/>
    <x v="473"/>
    <x v="2"/>
    <x v="2"/>
    <x v="1"/>
    <n v="729"/>
    <x v="5"/>
  </r>
  <r>
    <n v="1507"/>
    <s v="Warren Pascual Ramos"/>
    <x v="4"/>
    <s v="Male"/>
    <n v="53"/>
    <x v="1"/>
    <x v="474"/>
    <x v="2"/>
    <x v="2"/>
    <x v="1"/>
    <n v="1095"/>
    <x v="7"/>
  </r>
  <r>
    <n v="1508"/>
    <s v="Danilo Camacho"/>
    <x v="0"/>
    <s v="Other"/>
    <n v="31"/>
    <x v="0"/>
    <x v="475"/>
    <x v="2"/>
    <x v="2"/>
    <x v="1"/>
    <n v="468"/>
    <x v="5"/>
  </r>
  <r>
    <n v="1509"/>
    <s v="Fernando Quiambao"/>
    <x v="0"/>
    <s v="Other"/>
    <n v="59"/>
    <x v="1"/>
    <x v="476"/>
    <x v="189"/>
    <x v="6"/>
    <x v="0"/>
    <n v="1024"/>
    <x v="7"/>
  </r>
  <r>
    <n v="1510"/>
    <s v="Warren Reyes Bondoc"/>
    <x v="4"/>
    <s v="Male"/>
    <n v="44"/>
    <x v="2"/>
    <x v="271"/>
    <x v="2"/>
    <x v="2"/>
    <x v="1"/>
    <n v="687"/>
    <x v="5"/>
  </r>
  <r>
    <n v="1511"/>
    <s v="Natividad Mendoza Pascual"/>
    <x v="1"/>
    <s v="Female"/>
    <n v="37"/>
    <x v="0"/>
    <x v="477"/>
    <x v="2"/>
    <x v="2"/>
    <x v="1"/>
    <n v="221"/>
    <x v="1"/>
  </r>
  <r>
    <n v="1512"/>
    <s v="Casey Fernandez Lopez"/>
    <x v="1"/>
    <s v="Other"/>
    <n v="56"/>
    <x v="1"/>
    <x v="478"/>
    <x v="190"/>
    <x v="8"/>
    <x v="0"/>
    <n v="1716"/>
    <x v="0"/>
  </r>
  <r>
    <n v="1513"/>
    <s v="Avery Elegado"/>
    <x v="1"/>
    <s v="Other"/>
    <n v="54"/>
    <x v="1"/>
    <x v="479"/>
    <x v="191"/>
    <x v="6"/>
    <x v="0"/>
    <n v="1600"/>
    <x v="0"/>
  </r>
  <r>
    <n v="1514"/>
    <s v="Oscar Ramos Wong"/>
    <x v="1"/>
    <s v="Male"/>
    <n v="41"/>
    <x v="2"/>
    <x v="125"/>
    <x v="2"/>
    <x v="2"/>
    <x v="1"/>
    <n v="1141"/>
    <x v="4"/>
  </r>
  <r>
    <n v="1515"/>
    <s v="Maricel Soriano Lacson"/>
    <x v="3"/>
    <s v="Other"/>
    <n v="32"/>
    <x v="0"/>
    <x v="480"/>
    <x v="2"/>
    <x v="2"/>
    <x v="1"/>
    <n v="671"/>
    <x v="5"/>
  </r>
  <r>
    <n v="1516"/>
    <s v="Jerome Soriano Bondoc"/>
    <x v="3"/>
    <s v="Male"/>
    <n v="35"/>
    <x v="0"/>
    <x v="481"/>
    <x v="2"/>
    <x v="2"/>
    <x v="1"/>
    <n v="2725"/>
    <x v="3"/>
  </r>
  <r>
    <n v="1517"/>
    <s v="Gani Sy Umali"/>
    <x v="1"/>
    <s v="Male"/>
    <n v="29"/>
    <x v="3"/>
    <x v="3"/>
    <x v="192"/>
    <x v="0"/>
    <x v="0"/>
    <n v="1185"/>
    <x v="4"/>
  </r>
  <r>
    <n v="1518"/>
    <s v="Timothy Rivera Tolentino"/>
    <x v="2"/>
    <s v="Male"/>
    <n v="21"/>
    <x v="3"/>
    <x v="482"/>
    <x v="193"/>
    <x v="3"/>
    <x v="0"/>
    <n v="511"/>
    <x v="5"/>
  </r>
  <r>
    <n v="1519"/>
    <s v="Mae Solis"/>
    <x v="2"/>
    <s v="Female"/>
    <n v="26"/>
    <x v="3"/>
    <x v="483"/>
    <x v="2"/>
    <x v="2"/>
    <x v="1"/>
    <n v="1362"/>
    <x v="4"/>
  </r>
  <r>
    <n v="1520"/>
    <s v="Teresa Torres Navarro"/>
    <x v="5"/>
    <s v="Female"/>
    <n v="55"/>
    <x v="1"/>
    <x v="484"/>
    <x v="2"/>
    <x v="2"/>
    <x v="1"/>
    <n v="1990"/>
    <x v="2"/>
  </r>
  <r>
    <n v="1521"/>
    <s v="Jaime Bautista Dalisay"/>
    <x v="0"/>
    <s v="Male"/>
    <n v="38"/>
    <x v="0"/>
    <x v="485"/>
    <x v="2"/>
    <x v="2"/>
    <x v="1"/>
    <n v="222"/>
    <x v="1"/>
  </r>
  <r>
    <n v="1522"/>
    <s v="Ana Santos Lim"/>
    <x v="3"/>
    <s v="Female"/>
    <n v="27"/>
    <x v="3"/>
    <x v="486"/>
    <x v="194"/>
    <x v="5"/>
    <x v="0"/>
    <n v="1554"/>
    <x v="0"/>
  </r>
  <r>
    <n v="1523"/>
    <s v="Cardo Jimenez"/>
    <x v="0"/>
    <s v="Male"/>
    <n v="40"/>
    <x v="2"/>
    <x v="487"/>
    <x v="2"/>
    <x v="2"/>
    <x v="1"/>
    <n v="1050"/>
    <x v="7"/>
  </r>
  <r>
    <n v="1524"/>
    <s v="Elena Domingo Navarro"/>
    <x v="4"/>
    <s v="Other"/>
    <n v="30"/>
    <x v="0"/>
    <x v="488"/>
    <x v="195"/>
    <x v="0"/>
    <x v="0"/>
    <n v="1697"/>
    <x v="0"/>
  </r>
  <r>
    <n v="1525"/>
    <s v="Luisa Uy"/>
    <x v="2"/>
    <s v="Other"/>
    <n v="28"/>
    <x v="3"/>
    <x v="489"/>
    <x v="2"/>
    <x v="2"/>
    <x v="1"/>
    <n v="2072"/>
    <x v="2"/>
  </r>
  <r>
    <n v="1526"/>
    <s v="Lorenzo Soriano Tuazon"/>
    <x v="1"/>
    <s v="Male"/>
    <n v="27"/>
    <x v="3"/>
    <x v="254"/>
    <x v="2"/>
    <x v="2"/>
    <x v="1"/>
    <n v="957"/>
    <x v="7"/>
  </r>
  <r>
    <n v="1527"/>
    <s v="Violeta Umali"/>
    <x v="3"/>
    <s v="Female"/>
    <n v="23"/>
    <x v="3"/>
    <x v="490"/>
    <x v="2"/>
    <x v="2"/>
    <x v="1"/>
    <n v="840"/>
    <x v="7"/>
  </r>
  <r>
    <n v="1528"/>
    <s v="Fernando Mercado Narvasa"/>
    <x v="1"/>
    <s v="Other"/>
    <n v="55"/>
    <x v="1"/>
    <x v="491"/>
    <x v="196"/>
    <x v="6"/>
    <x v="0"/>
    <n v="1868"/>
    <x v="2"/>
  </r>
  <r>
    <n v="1529"/>
    <s v="Patricia Ang Dela Cruz"/>
    <x v="1"/>
    <s v="Female"/>
    <n v="51"/>
    <x v="1"/>
    <x v="492"/>
    <x v="2"/>
    <x v="2"/>
    <x v="1"/>
    <n v="272"/>
    <x v="1"/>
  </r>
  <r>
    <n v="1530"/>
    <s v="Ronaldo Navarro Flores"/>
    <x v="1"/>
    <s v="Male"/>
    <n v="24"/>
    <x v="3"/>
    <x v="493"/>
    <x v="197"/>
    <x v="1"/>
    <x v="0"/>
    <n v="720"/>
    <x v="5"/>
  </r>
  <r>
    <n v="1531"/>
    <s v="Sam Ramos Hernandez"/>
    <x v="3"/>
    <s v="Other"/>
    <n v="43"/>
    <x v="2"/>
    <x v="494"/>
    <x v="2"/>
    <x v="2"/>
    <x v="1"/>
    <n v="1295"/>
    <x v="4"/>
  </r>
  <r>
    <n v="1532"/>
    <s v="Kristina Go Guerrero"/>
    <x v="4"/>
    <s v="Female"/>
    <n v="49"/>
    <x v="2"/>
    <x v="495"/>
    <x v="198"/>
    <x v="0"/>
    <x v="0"/>
    <n v="591"/>
    <x v="5"/>
  </r>
  <r>
    <n v="1533"/>
    <s v="Roberto Santos Guerrero"/>
    <x v="4"/>
    <s v="Other"/>
    <n v="56"/>
    <x v="1"/>
    <x v="496"/>
    <x v="199"/>
    <x v="5"/>
    <x v="0"/>
    <n v="724"/>
    <x v="5"/>
  </r>
  <r>
    <n v="1534"/>
    <s v="Jerome Ocampo Trinidad"/>
    <x v="5"/>
    <s v="Male"/>
    <n v="32"/>
    <x v="0"/>
    <x v="497"/>
    <x v="2"/>
    <x v="2"/>
    <x v="1"/>
    <n v="3015"/>
    <x v="8"/>
  </r>
  <r>
    <n v="1535"/>
    <s v="Ian Pascual Hilario"/>
    <x v="5"/>
    <s v="Male"/>
    <n v="45"/>
    <x v="2"/>
    <x v="498"/>
    <x v="2"/>
    <x v="2"/>
    <x v="1"/>
    <n v="2314"/>
    <x v="6"/>
  </r>
  <r>
    <n v="1536"/>
    <s v="Carlos Garcia"/>
    <x v="4"/>
    <s v="Male"/>
    <n v="28"/>
    <x v="3"/>
    <x v="243"/>
    <x v="2"/>
    <x v="2"/>
    <x v="1"/>
    <n v="2697"/>
    <x v="3"/>
  </r>
  <r>
    <n v="1537"/>
    <s v="Taylor Rivera Ocampo"/>
    <x v="1"/>
    <s v="Other"/>
    <n v="33"/>
    <x v="0"/>
    <x v="499"/>
    <x v="2"/>
    <x v="2"/>
    <x v="1"/>
    <n v="2653"/>
    <x v="3"/>
  </r>
  <r>
    <n v="1538"/>
    <s v="Manuel Reyes"/>
    <x v="5"/>
    <s v="Male"/>
    <n v="58"/>
    <x v="1"/>
    <x v="500"/>
    <x v="200"/>
    <x v="7"/>
    <x v="0"/>
    <n v="542"/>
    <x v="5"/>
  </r>
  <r>
    <n v="1539"/>
    <s v="Fernando Lim Evangelista"/>
    <x v="1"/>
    <s v="Male"/>
    <n v="26"/>
    <x v="3"/>
    <x v="212"/>
    <x v="2"/>
    <x v="2"/>
    <x v="1"/>
    <n v="1174"/>
    <x v="4"/>
  </r>
  <r>
    <n v="1540"/>
    <s v="Manuel Villanueva"/>
    <x v="2"/>
    <s v="Other"/>
    <n v="24"/>
    <x v="3"/>
    <x v="501"/>
    <x v="35"/>
    <x v="1"/>
    <x v="0"/>
    <n v="110"/>
    <x v="1"/>
  </r>
  <r>
    <n v="1541"/>
    <s v="Leonora Elegado"/>
    <x v="3"/>
    <s v="Female"/>
    <n v="35"/>
    <x v="0"/>
    <x v="502"/>
    <x v="2"/>
    <x v="2"/>
    <x v="1"/>
    <n v="914"/>
    <x v="7"/>
  </r>
  <r>
    <n v="1542"/>
    <s v="Taylor Go Zulueta"/>
    <x v="0"/>
    <s v="Other"/>
    <n v="56"/>
    <x v="1"/>
    <x v="503"/>
    <x v="2"/>
    <x v="2"/>
    <x v="1"/>
    <n v="805"/>
    <x v="7"/>
  </r>
  <r>
    <n v="1543"/>
    <s v="Pete Lopez Vergara"/>
    <x v="5"/>
    <s v="Male"/>
    <n v="27"/>
    <x v="3"/>
    <x v="504"/>
    <x v="2"/>
    <x v="2"/>
    <x v="1"/>
    <n v="2408"/>
    <x v="6"/>
  </r>
  <r>
    <n v="1544"/>
    <s v="Elmer Sy Ignacio"/>
    <x v="0"/>
    <s v="Male"/>
    <n v="43"/>
    <x v="2"/>
    <x v="505"/>
    <x v="2"/>
    <x v="2"/>
    <x v="1"/>
    <n v="1801"/>
    <x v="0"/>
  </r>
  <r>
    <n v="1545"/>
    <s v="Leonard Hilario"/>
    <x v="2"/>
    <s v="Male"/>
    <n v="36"/>
    <x v="0"/>
    <x v="458"/>
    <x v="2"/>
    <x v="2"/>
    <x v="1"/>
    <n v="785"/>
    <x v="7"/>
  </r>
  <r>
    <n v="1546"/>
    <s v="Cristina Soriano Cruz"/>
    <x v="4"/>
    <s v="Other"/>
    <n v="49"/>
    <x v="2"/>
    <x v="506"/>
    <x v="201"/>
    <x v="4"/>
    <x v="0"/>
    <n v="160"/>
    <x v="1"/>
  </r>
  <r>
    <n v="1547"/>
    <s v="Fernando Fernandez Hilario"/>
    <x v="1"/>
    <s v="Other"/>
    <n v="34"/>
    <x v="0"/>
    <x v="507"/>
    <x v="202"/>
    <x v="4"/>
    <x v="0"/>
    <n v="1773"/>
    <x v="0"/>
  </r>
  <r>
    <n v="1548"/>
    <s v="Danilo Flores Macapagal"/>
    <x v="1"/>
    <s v="Male"/>
    <n v="59"/>
    <x v="1"/>
    <x v="508"/>
    <x v="203"/>
    <x v="6"/>
    <x v="0"/>
    <n v="1113"/>
    <x v="4"/>
  </r>
  <r>
    <n v="1549"/>
    <s v="Maricel Soriano Fernandez"/>
    <x v="5"/>
    <s v="Other"/>
    <n v="51"/>
    <x v="1"/>
    <x v="346"/>
    <x v="2"/>
    <x v="2"/>
    <x v="1"/>
    <n v="2383"/>
    <x v="6"/>
  </r>
  <r>
    <n v="1550"/>
    <s v="Danilo Manalang"/>
    <x v="1"/>
    <s v="Other"/>
    <n v="45"/>
    <x v="2"/>
    <x v="509"/>
    <x v="2"/>
    <x v="2"/>
    <x v="1"/>
    <n v="2770"/>
    <x v="3"/>
  </r>
  <r>
    <n v="1551"/>
    <s v="Cristina Reyes"/>
    <x v="4"/>
    <s v="Other"/>
    <n v="28"/>
    <x v="3"/>
    <x v="510"/>
    <x v="2"/>
    <x v="2"/>
    <x v="1"/>
    <n v="2163"/>
    <x v="2"/>
  </r>
  <r>
    <n v="1552"/>
    <s v="Florinda Mendoza"/>
    <x v="0"/>
    <s v="Female"/>
    <n v="57"/>
    <x v="1"/>
    <x v="511"/>
    <x v="204"/>
    <x v="6"/>
    <x v="0"/>
    <n v="702"/>
    <x v="5"/>
  </r>
  <r>
    <n v="1553"/>
    <s v="Cameron Chan Flores"/>
    <x v="3"/>
    <s v="Other"/>
    <n v="62"/>
    <x v="4"/>
    <x v="512"/>
    <x v="205"/>
    <x v="6"/>
    <x v="0"/>
    <n v="532"/>
    <x v="5"/>
  </r>
  <r>
    <n v="1554"/>
    <s v="Belinda Castro Ramirez"/>
    <x v="0"/>
    <s v="Female"/>
    <n v="46"/>
    <x v="2"/>
    <x v="513"/>
    <x v="206"/>
    <x v="5"/>
    <x v="0"/>
    <n v="1117"/>
    <x v="4"/>
  </r>
  <r>
    <n v="1555"/>
    <s v="Mark Aguilar Uy"/>
    <x v="0"/>
    <s v="Male"/>
    <n v="33"/>
    <x v="0"/>
    <x v="514"/>
    <x v="2"/>
    <x v="2"/>
    <x v="1"/>
    <n v="793"/>
    <x v="7"/>
  </r>
  <r>
    <n v="1556"/>
    <s v="Harold Reyes Diaz"/>
    <x v="5"/>
    <s v="Male"/>
    <n v="57"/>
    <x v="1"/>
    <x v="481"/>
    <x v="207"/>
    <x v="5"/>
    <x v="0"/>
    <n v="1784"/>
    <x v="0"/>
  </r>
  <r>
    <n v="1557"/>
    <s v="Cherry Cruz Trinidad"/>
    <x v="5"/>
    <s v="Female"/>
    <n v="43"/>
    <x v="2"/>
    <x v="515"/>
    <x v="2"/>
    <x v="2"/>
    <x v="1"/>
    <n v="567"/>
    <x v="5"/>
  </r>
  <r>
    <n v="1558"/>
    <s v="Rowena Gonzales"/>
    <x v="3"/>
    <s v="Female"/>
    <n v="44"/>
    <x v="2"/>
    <x v="516"/>
    <x v="2"/>
    <x v="2"/>
    <x v="1"/>
    <n v="2453"/>
    <x v="6"/>
  </r>
  <r>
    <n v="1559"/>
    <s v="Christian Diaz Natividad"/>
    <x v="4"/>
    <s v="Male"/>
    <n v="30"/>
    <x v="0"/>
    <x v="517"/>
    <x v="208"/>
    <x v="3"/>
    <x v="0"/>
    <n v="1510"/>
    <x v="0"/>
  </r>
  <r>
    <n v="1560"/>
    <s v="Teodoro Fernandez Hilario"/>
    <x v="1"/>
    <s v="Male"/>
    <n v="34"/>
    <x v="0"/>
    <x v="407"/>
    <x v="2"/>
    <x v="2"/>
    <x v="1"/>
    <n v="853"/>
    <x v="7"/>
  </r>
  <r>
    <n v="1561"/>
    <s v="Mark Bautista Garcia"/>
    <x v="5"/>
    <s v="Male"/>
    <n v="45"/>
    <x v="2"/>
    <x v="518"/>
    <x v="2"/>
    <x v="2"/>
    <x v="1"/>
    <n v="704"/>
    <x v="5"/>
  </r>
  <r>
    <n v="1562"/>
    <s v="Alex Aguilar Aquino"/>
    <x v="4"/>
    <s v="Other"/>
    <n v="38"/>
    <x v="0"/>
    <x v="519"/>
    <x v="2"/>
    <x v="2"/>
    <x v="1"/>
    <n v="2874"/>
    <x v="3"/>
  </r>
  <r>
    <n v="1563"/>
    <s v="Pilar Navarro Lazo"/>
    <x v="5"/>
    <s v="Other"/>
    <n v="62"/>
    <x v="4"/>
    <x v="520"/>
    <x v="209"/>
    <x v="6"/>
    <x v="0"/>
    <n v="1673"/>
    <x v="0"/>
  </r>
  <r>
    <n v="1564"/>
    <s v="Miguel Soriano Garcia"/>
    <x v="0"/>
    <s v="Male"/>
    <n v="26"/>
    <x v="3"/>
    <x v="268"/>
    <x v="210"/>
    <x v="8"/>
    <x v="0"/>
    <n v="1965"/>
    <x v="2"/>
  </r>
  <r>
    <n v="1565"/>
    <s v="Bryan Sy"/>
    <x v="4"/>
    <s v="Male"/>
    <n v="31"/>
    <x v="0"/>
    <x v="521"/>
    <x v="211"/>
    <x v="5"/>
    <x v="0"/>
    <n v="1531"/>
    <x v="0"/>
  </r>
  <r>
    <n v="1566"/>
    <s v="Luisa Jacinto"/>
    <x v="3"/>
    <s v="Female"/>
    <n v="24"/>
    <x v="3"/>
    <x v="522"/>
    <x v="212"/>
    <x v="3"/>
    <x v="0"/>
    <n v="288"/>
    <x v="1"/>
  </r>
  <r>
    <n v="1567"/>
    <s v="Osvaldo Fernandez Camacho"/>
    <x v="1"/>
    <s v="Male"/>
    <n v="46"/>
    <x v="2"/>
    <x v="523"/>
    <x v="146"/>
    <x v="8"/>
    <x v="0"/>
    <n v="285"/>
    <x v="1"/>
  </r>
  <r>
    <n v="1568"/>
    <s v="Natividad Castro Corpuz"/>
    <x v="4"/>
    <s v="Female"/>
    <n v="42"/>
    <x v="2"/>
    <x v="524"/>
    <x v="2"/>
    <x v="2"/>
    <x v="1"/>
    <n v="1252"/>
    <x v="4"/>
  </r>
  <r>
    <n v="1569"/>
    <s v="Erlinda Corpuz"/>
    <x v="2"/>
    <s v="Female"/>
    <n v="54"/>
    <x v="1"/>
    <x v="525"/>
    <x v="2"/>
    <x v="2"/>
    <x v="1"/>
    <n v="2538"/>
    <x v="6"/>
  </r>
  <r>
    <n v="1570"/>
    <s v="Annaliza Fernandez Navarro"/>
    <x v="3"/>
    <s v="Female"/>
    <n v="56"/>
    <x v="1"/>
    <x v="526"/>
    <x v="2"/>
    <x v="2"/>
    <x v="1"/>
    <n v="908"/>
    <x v="7"/>
  </r>
  <r>
    <n v="1571"/>
    <s v="Fernando Domingo"/>
    <x v="5"/>
    <s v="Other"/>
    <n v="47"/>
    <x v="2"/>
    <x v="527"/>
    <x v="213"/>
    <x v="4"/>
    <x v="0"/>
    <n v="1394"/>
    <x v="4"/>
  </r>
  <r>
    <n v="1572"/>
    <s v="Queenie Reyes Perez"/>
    <x v="1"/>
    <s v="Female"/>
    <n v="38"/>
    <x v="0"/>
    <x v="528"/>
    <x v="2"/>
    <x v="2"/>
    <x v="1"/>
    <n v="611"/>
    <x v="5"/>
  </r>
  <r>
    <n v="1573"/>
    <s v="Cristina Tuazon"/>
    <x v="4"/>
    <s v="Other"/>
    <n v="51"/>
    <x v="1"/>
    <x v="529"/>
    <x v="2"/>
    <x v="2"/>
    <x v="1"/>
    <n v="2542"/>
    <x v="6"/>
  </r>
  <r>
    <n v="1574"/>
    <s v="Alex Wong"/>
    <x v="4"/>
    <s v="Other"/>
    <n v="63"/>
    <x v="4"/>
    <x v="530"/>
    <x v="214"/>
    <x v="6"/>
    <x v="0"/>
    <n v="485"/>
    <x v="5"/>
  </r>
  <r>
    <n v="1575"/>
    <s v="Gani Go Hernandez"/>
    <x v="1"/>
    <s v="Male"/>
    <n v="33"/>
    <x v="0"/>
    <x v="531"/>
    <x v="215"/>
    <x v="3"/>
    <x v="0"/>
    <n v="1889"/>
    <x v="2"/>
  </r>
  <r>
    <n v="1576"/>
    <s v="Leonard Cruz Obispo"/>
    <x v="2"/>
    <s v="Male"/>
    <n v="23"/>
    <x v="3"/>
    <x v="532"/>
    <x v="2"/>
    <x v="2"/>
    <x v="1"/>
    <n v="601"/>
    <x v="5"/>
  </r>
  <r>
    <n v="1577"/>
    <s v="Nathan Rivera San Pedro"/>
    <x v="0"/>
    <s v="Male"/>
    <n v="23"/>
    <x v="3"/>
    <x v="533"/>
    <x v="2"/>
    <x v="2"/>
    <x v="1"/>
    <n v="2085"/>
    <x v="2"/>
  </r>
  <r>
    <n v="1578"/>
    <s v="Wilfredo Pascual Suarez"/>
    <x v="0"/>
    <s v="Male"/>
    <n v="24"/>
    <x v="3"/>
    <x v="498"/>
    <x v="23"/>
    <x v="3"/>
    <x v="0"/>
    <n v="1720"/>
    <x v="0"/>
  </r>
  <r>
    <n v="1579"/>
    <s v="Daisy Dela Cruz"/>
    <x v="0"/>
    <s v="Female"/>
    <n v="54"/>
    <x v="1"/>
    <x v="534"/>
    <x v="2"/>
    <x v="2"/>
    <x v="1"/>
    <n v="2509"/>
    <x v="6"/>
  </r>
  <r>
    <n v="1580"/>
    <s v="Rodel Go Natividad"/>
    <x v="1"/>
    <s v="Other"/>
    <n v="55"/>
    <x v="1"/>
    <x v="222"/>
    <x v="2"/>
    <x v="2"/>
    <x v="1"/>
    <n v="2537"/>
    <x v="6"/>
  </r>
  <r>
    <n v="1581"/>
    <s v="Juan Miranda"/>
    <x v="0"/>
    <s v="Other"/>
    <n v="33"/>
    <x v="0"/>
    <x v="535"/>
    <x v="216"/>
    <x v="1"/>
    <x v="0"/>
    <n v="753"/>
    <x v="7"/>
  </r>
  <r>
    <n v="1582"/>
    <s v="Arnel Dela Torre"/>
    <x v="1"/>
    <s v="Other"/>
    <n v="44"/>
    <x v="2"/>
    <x v="536"/>
    <x v="2"/>
    <x v="2"/>
    <x v="1"/>
    <n v="2742"/>
    <x v="3"/>
  </r>
  <r>
    <n v="1583"/>
    <s v="Juan Fernandez Mangubat"/>
    <x v="0"/>
    <s v="Other"/>
    <n v="45"/>
    <x v="2"/>
    <x v="537"/>
    <x v="2"/>
    <x v="2"/>
    <x v="1"/>
    <n v="837"/>
    <x v="7"/>
  </r>
  <r>
    <n v="1584"/>
    <s v="Annaliza Flores"/>
    <x v="1"/>
    <s v="Female"/>
    <n v="55"/>
    <x v="1"/>
    <x v="538"/>
    <x v="217"/>
    <x v="6"/>
    <x v="0"/>
    <n v="1003"/>
    <x v="7"/>
  </r>
  <r>
    <n v="1585"/>
    <s v="Isabel Guerrero"/>
    <x v="1"/>
    <s v="Other"/>
    <n v="21"/>
    <x v="3"/>
    <x v="539"/>
    <x v="2"/>
    <x v="2"/>
    <x v="1"/>
    <n v="1213"/>
    <x v="4"/>
  </r>
  <r>
    <n v="1586"/>
    <s v="Alvin Santos Bondoc"/>
    <x v="0"/>
    <s v="Male"/>
    <n v="34"/>
    <x v="0"/>
    <x v="540"/>
    <x v="2"/>
    <x v="2"/>
    <x v="1"/>
    <n v="680"/>
    <x v="5"/>
  </r>
  <r>
    <n v="1587"/>
    <s v="Harold Cruz Ocampo"/>
    <x v="4"/>
    <s v="Male"/>
    <n v="56"/>
    <x v="1"/>
    <x v="379"/>
    <x v="218"/>
    <x v="0"/>
    <x v="0"/>
    <n v="697"/>
    <x v="5"/>
  </r>
  <r>
    <n v="1588"/>
    <s v="Riley Gonzales Lopez"/>
    <x v="5"/>
    <s v="Other"/>
    <n v="40"/>
    <x v="2"/>
    <x v="541"/>
    <x v="2"/>
    <x v="2"/>
    <x v="1"/>
    <n v="1735"/>
    <x v="0"/>
  </r>
  <r>
    <n v="1589"/>
    <s v="Nina Soriano Ocampo"/>
    <x v="1"/>
    <s v="Female"/>
    <n v="57"/>
    <x v="1"/>
    <x v="542"/>
    <x v="219"/>
    <x v="1"/>
    <x v="0"/>
    <n v="556"/>
    <x v="5"/>
  </r>
  <r>
    <n v="1590"/>
    <s v="Jordan Torres Chua"/>
    <x v="4"/>
    <s v="Other"/>
    <n v="25"/>
    <x v="3"/>
    <x v="543"/>
    <x v="2"/>
    <x v="2"/>
    <x v="1"/>
    <n v="1341"/>
    <x v="4"/>
  </r>
  <r>
    <n v="1591"/>
    <s v="Natividad Garcia Solis"/>
    <x v="5"/>
    <s v="Female"/>
    <n v="54"/>
    <x v="1"/>
    <x v="544"/>
    <x v="2"/>
    <x v="2"/>
    <x v="1"/>
    <n v="1397"/>
    <x v="4"/>
  </r>
  <r>
    <n v="1592"/>
    <s v="Rodel Vega Chan"/>
    <x v="0"/>
    <s v="Other"/>
    <n v="39"/>
    <x v="0"/>
    <x v="545"/>
    <x v="2"/>
    <x v="2"/>
    <x v="1"/>
    <n v="1342"/>
    <x v="4"/>
  </r>
  <r>
    <n v="1593"/>
    <s v="Ian Zamora"/>
    <x v="3"/>
    <s v="Male"/>
    <n v="52"/>
    <x v="1"/>
    <x v="546"/>
    <x v="2"/>
    <x v="2"/>
    <x v="1"/>
    <n v="963"/>
    <x v="7"/>
  </r>
  <r>
    <n v="1594"/>
    <s v="Annaliza San Pedro"/>
    <x v="2"/>
    <s v="Female"/>
    <n v="39"/>
    <x v="0"/>
    <x v="547"/>
    <x v="220"/>
    <x v="5"/>
    <x v="0"/>
    <n v="188"/>
    <x v="1"/>
  </r>
  <r>
    <n v="1595"/>
    <s v="Miguel Ocampo Hernandez"/>
    <x v="2"/>
    <s v="Other"/>
    <n v="47"/>
    <x v="2"/>
    <x v="75"/>
    <x v="221"/>
    <x v="0"/>
    <x v="0"/>
    <n v="959"/>
    <x v="7"/>
  </r>
  <r>
    <n v="1596"/>
    <s v="Sonny Solis"/>
    <x v="4"/>
    <s v="Male"/>
    <n v="41"/>
    <x v="2"/>
    <x v="548"/>
    <x v="222"/>
    <x v="5"/>
    <x v="0"/>
    <n v="1455"/>
    <x v="4"/>
  </r>
  <r>
    <n v="1597"/>
    <s v="Gina Ocampo"/>
    <x v="2"/>
    <s v="Female"/>
    <n v="42"/>
    <x v="2"/>
    <x v="549"/>
    <x v="2"/>
    <x v="2"/>
    <x v="1"/>
    <n v="337"/>
    <x v="1"/>
  </r>
  <r>
    <n v="1598"/>
    <s v="Paolo Soriano Del Rosario"/>
    <x v="0"/>
    <s v="Male"/>
    <n v="55"/>
    <x v="1"/>
    <x v="304"/>
    <x v="2"/>
    <x v="2"/>
    <x v="1"/>
    <n v="1719"/>
    <x v="0"/>
  </r>
  <r>
    <n v="1599"/>
    <s v="Ivan Aquino"/>
    <x v="0"/>
    <s v="Male"/>
    <n v="56"/>
    <x v="1"/>
    <x v="550"/>
    <x v="223"/>
    <x v="1"/>
    <x v="0"/>
    <n v="681"/>
    <x v="5"/>
  </r>
  <r>
    <n v="1600"/>
    <s v="Imelda Macapagal"/>
    <x v="4"/>
    <s v="Female"/>
    <n v="45"/>
    <x v="2"/>
    <x v="551"/>
    <x v="2"/>
    <x v="2"/>
    <x v="1"/>
    <n v="525"/>
    <x v="5"/>
  </r>
  <r>
    <n v="1601"/>
    <s v="Carmen Ang Wong"/>
    <x v="1"/>
    <s v="Female"/>
    <n v="40"/>
    <x v="2"/>
    <x v="552"/>
    <x v="2"/>
    <x v="2"/>
    <x v="1"/>
    <n v="203"/>
    <x v="1"/>
  </r>
  <r>
    <n v="1602"/>
    <s v="Hernando Cruz Gonzales"/>
    <x v="2"/>
    <s v="Male"/>
    <n v="40"/>
    <x v="2"/>
    <x v="553"/>
    <x v="2"/>
    <x v="2"/>
    <x v="1"/>
    <n v="2206"/>
    <x v="6"/>
  </r>
  <r>
    <n v="1603"/>
    <s v="Cameron Chan Diaz"/>
    <x v="5"/>
    <s v="Other"/>
    <n v="49"/>
    <x v="2"/>
    <x v="554"/>
    <x v="224"/>
    <x v="3"/>
    <x v="0"/>
    <n v="584"/>
    <x v="5"/>
  </r>
  <r>
    <n v="1604"/>
    <s v="Efren Delmendo"/>
    <x v="5"/>
    <s v="Male"/>
    <n v="41"/>
    <x v="2"/>
    <x v="555"/>
    <x v="2"/>
    <x v="2"/>
    <x v="1"/>
    <n v="2505"/>
    <x v="6"/>
  </r>
  <r>
    <n v="1605"/>
    <s v="Teresa Cruz Gonzales"/>
    <x v="1"/>
    <s v="Other"/>
    <n v="50"/>
    <x v="1"/>
    <x v="556"/>
    <x v="2"/>
    <x v="2"/>
    <x v="1"/>
    <n v="1504"/>
    <x v="0"/>
  </r>
  <r>
    <n v="1606"/>
    <s v="Eduardo Soriano Lopez"/>
    <x v="5"/>
    <s v="Male"/>
    <n v="26"/>
    <x v="3"/>
    <x v="87"/>
    <x v="2"/>
    <x v="2"/>
    <x v="1"/>
    <n v="1726"/>
    <x v="0"/>
  </r>
  <r>
    <n v="1607"/>
    <s v="Luisa Fernandez Enriquez"/>
    <x v="1"/>
    <s v="Other"/>
    <n v="60"/>
    <x v="4"/>
    <x v="557"/>
    <x v="225"/>
    <x v="6"/>
    <x v="0"/>
    <n v="676"/>
    <x v="5"/>
  </r>
  <r>
    <n v="1608"/>
    <s v="Hope Pascual Wong"/>
    <x v="1"/>
    <s v="Female"/>
    <n v="56"/>
    <x v="1"/>
    <x v="558"/>
    <x v="226"/>
    <x v="5"/>
    <x v="0"/>
    <n v="645"/>
    <x v="5"/>
  </r>
  <r>
    <n v="1609"/>
    <s v="Paz Reyes Manalo"/>
    <x v="0"/>
    <s v="Female"/>
    <n v="40"/>
    <x v="2"/>
    <x v="559"/>
    <x v="2"/>
    <x v="2"/>
    <x v="1"/>
    <n v="580"/>
    <x v="5"/>
  </r>
  <r>
    <n v="1610"/>
    <s v="Zeus Ong"/>
    <x v="0"/>
    <s v="Male"/>
    <n v="27"/>
    <x v="3"/>
    <x v="560"/>
    <x v="227"/>
    <x v="5"/>
    <x v="0"/>
    <n v="963"/>
    <x v="7"/>
  </r>
  <r>
    <n v="1611"/>
    <s v="Neil Ramos"/>
    <x v="5"/>
    <s v="Male"/>
    <n v="43"/>
    <x v="2"/>
    <x v="561"/>
    <x v="183"/>
    <x v="1"/>
    <x v="0"/>
    <n v="495"/>
    <x v="5"/>
  </r>
  <r>
    <n v="1612"/>
    <s v="Cardo Go Fernandez"/>
    <x v="5"/>
    <s v="Male"/>
    <n v="29"/>
    <x v="3"/>
    <x v="383"/>
    <x v="2"/>
    <x v="2"/>
    <x v="1"/>
    <n v="2711"/>
    <x v="3"/>
  </r>
  <r>
    <n v="1613"/>
    <s v="Danilo Reyes Dalisay"/>
    <x v="0"/>
    <s v="Other"/>
    <n v="30"/>
    <x v="0"/>
    <x v="501"/>
    <x v="228"/>
    <x v="5"/>
    <x v="0"/>
    <n v="276"/>
    <x v="1"/>
  </r>
  <r>
    <n v="1614"/>
    <s v="Diana Manalang"/>
    <x v="1"/>
    <s v="Female"/>
    <n v="51"/>
    <x v="1"/>
    <x v="562"/>
    <x v="2"/>
    <x v="2"/>
    <x v="1"/>
    <n v="1202"/>
    <x v="4"/>
  </r>
  <r>
    <n v="1615"/>
    <s v="Gloria Tan Sia"/>
    <x v="1"/>
    <s v="Female"/>
    <n v="27"/>
    <x v="3"/>
    <x v="563"/>
    <x v="2"/>
    <x v="2"/>
    <x v="1"/>
    <n v="1757"/>
    <x v="0"/>
  </r>
  <r>
    <n v="1616"/>
    <s v="Karen Santiago"/>
    <x v="0"/>
    <s v="Female"/>
    <n v="36"/>
    <x v="0"/>
    <x v="564"/>
    <x v="229"/>
    <x v="5"/>
    <x v="0"/>
    <n v="583"/>
    <x v="5"/>
  </r>
  <r>
    <n v="1617"/>
    <s v="Gloria Ocampo Hernandez"/>
    <x v="0"/>
    <s v="Other"/>
    <n v="48"/>
    <x v="2"/>
    <x v="565"/>
    <x v="2"/>
    <x v="2"/>
    <x v="1"/>
    <n v="768"/>
    <x v="7"/>
  </r>
  <r>
    <n v="1618"/>
    <s v="Carmen Uy Dalisay"/>
    <x v="5"/>
    <s v="Other"/>
    <n v="52"/>
    <x v="1"/>
    <x v="566"/>
    <x v="2"/>
    <x v="2"/>
    <x v="1"/>
    <n v="2623"/>
    <x v="3"/>
  </r>
  <r>
    <n v="1619"/>
    <s v="Casey Rivera"/>
    <x v="1"/>
    <s v="Other"/>
    <n v="51"/>
    <x v="1"/>
    <x v="567"/>
    <x v="230"/>
    <x v="6"/>
    <x v="0"/>
    <n v="478"/>
    <x v="5"/>
  </r>
  <r>
    <n v="1620"/>
    <s v="Luisa Uy Fajardo"/>
    <x v="2"/>
    <s v="Other"/>
    <n v="21"/>
    <x v="3"/>
    <x v="568"/>
    <x v="2"/>
    <x v="2"/>
    <x v="1"/>
    <n v="2491"/>
    <x v="6"/>
  </r>
  <r>
    <n v="1621"/>
    <s v="Manuel Lacson"/>
    <x v="1"/>
    <s v="Other"/>
    <n v="41"/>
    <x v="2"/>
    <x v="255"/>
    <x v="2"/>
    <x v="2"/>
    <x v="1"/>
    <n v="1864"/>
    <x v="2"/>
  </r>
  <r>
    <n v="1622"/>
    <s v="Pilar Vergara"/>
    <x v="3"/>
    <s v="Other"/>
    <n v="58"/>
    <x v="1"/>
    <x v="569"/>
    <x v="2"/>
    <x v="2"/>
    <x v="1"/>
    <n v="3058"/>
    <x v="8"/>
  </r>
  <r>
    <n v="1623"/>
    <s v="Diana Tan Bautista"/>
    <x v="2"/>
    <s v="Female"/>
    <n v="56"/>
    <x v="1"/>
    <x v="519"/>
    <x v="52"/>
    <x v="0"/>
    <x v="0"/>
    <n v="1561"/>
    <x v="0"/>
  </r>
  <r>
    <n v="1624"/>
    <s v="Ramon Ramos Delos Reyes"/>
    <x v="0"/>
    <s v="Other"/>
    <n v="46"/>
    <x v="2"/>
    <x v="418"/>
    <x v="2"/>
    <x v="2"/>
    <x v="1"/>
    <n v="1529"/>
    <x v="0"/>
  </r>
  <r>
    <n v="1625"/>
    <s v="Manuel Ang Bayani"/>
    <x v="1"/>
    <s v="Male"/>
    <n v="44"/>
    <x v="2"/>
    <x v="570"/>
    <x v="73"/>
    <x v="0"/>
    <x v="0"/>
    <n v="347"/>
    <x v="1"/>
  </r>
  <r>
    <n v="1626"/>
    <s v="Cristina Estrada"/>
    <x v="5"/>
    <s v="Other"/>
    <n v="29"/>
    <x v="3"/>
    <x v="571"/>
    <x v="231"/>
    <x v="3"/>
    <x v="0"/>
    <n v="1793"/>
    <x v="0"/>
  </r>
  <r>
    <n v="1627"/>
    <s v="Juan Mercado Macapagal"/>
    <x v="4"/>
    <s v="Male"/>
    <n v="49"/>
    <x v="2"/>
    <x v="572"/>
    <x v="232"/>
    <x v="5"/>
    <x v="0"/>
    <n v="470"/>
    <x v="5"/>
  </r>
  <r>
    <n v="1628"/>
    <s v="Patricia Garcia Gonzales"/>
    <x v="5"/>
    <s v="Female"/>
    <n v="55"/>
    <x v="1"/>
    <x v="573"/>
    <x v="233"/>
    <x v="8"/>
    <x v="0"/>
    <n v="128"/>
    <x v="1"/>
  </r>
  <r>
    <n v="1629"/>
    <s v="Teresa Chan Solis"/>
    <x v="1"/>
    <s v="Other"/>
    <n v="38"/>
    <x v="0"/>
    <x v="46"/>
    <x v="2"/>
    <x v="2"/>
    <x v="1"/>
    <n v="1187"/>
    <x v="4"/>
  </r>
  <r>
    <n v="1630"/>
    <s v="Willy Yap"/>
    <x v="0"/>
    <s v="Male"/>
    <n v="25"/>
    <x v="3"/>
    <x v="574"/>
    <x v="2"/>
    <x v="2"/>
    <x v="1"/>
    <n v="290"/>
    <x v="1"/>
  </r>
  <r>
    <n v="1631"/>
    <s v="Eddie Macapagal"/>
    <x v="3"/>
    <s v="Male"/>
    <n v="21"/>
    <x v="3"/>
    <x v="575"/>
    <x v="2"/>
    <x v="2"/>
    <x v="1"/>
    <n v="1171"/>
    <x v="4"/>
  </r>
  <r>
    <n v="1632"/>
    <s v="Manuel Dela Torre"/>
    <x v="4"/>
    <s v="Other"/>
    <n v="39"/>
    <x v="0"/>
    <x v="576"/>
    <x v="234"/>
    <x v="4"/>
    <x v="0"/>
    <n v="1513"/>
    <x v="0"/>
  </r>
  <r>
    <n v="1633"/>
    <s v="Aldrin San Pedro"/>
    <x v="4"/>
    <s v="Male"/>
    <n v="58"/>
    <x v="1"/>
    <x v="375"/>
    <x v="2"/>
    <x v="2"/>
    <x v="1"/>
    <n v="2399"/>
    <x v="6"/>
  </r>
  <r>
    <n v="1634"/>
    <s v="Celine Aguilar Go"/>
    <x v="4"/>
    <s v="Female"/>
    <n v="53"/>
    <x v="1"/>
    <x v="577"/>
    <x v="2"/>
    <x v="2"/>
    <x v="1"/>
    <n v="2777"/>
    <x v="3"/>
  </r>
  <r>
    <n v="1635"/>
    <s v="Patricia Mercado Soriano"/>
    <x v="4"/>
    <s v="Female"/>
    <n v="28"/>
    <x v="3"/>
    <x v="578"/>
    <x v="235"/>
    <x v="7"/>
    <x v="0"/>
    <n v="244"/>
    <x v="1"/>
  </r>
  <r>
    <n v="1636"/>
    <s v="Cameron Perez"/>
    <x v="0"/>
    <s v="Other"/>
    <n v="23"/>
    <x v="3"/>
    <x v="579"/>
    <x v="2"/>
    <x v="2"/>
    <x v="1"/>
    <n v="1687"/>
    <x v="0"/>
  </r>
  <r>
    <n v="1637"/>
    <s v="Gregorio Vega Santiago"/>
    <x v="1"/>
    <s v="Male"/>
    <n v="47"/>
    <x v="2"/>
    <x v="580"/>
    <x v="236"/>
    <x v="1"/>
    <x v="0"/>
    <n v="991"/>
    <x v="7"/>
  </r>
  <r>
    <n v="1638"/>
    <s v="Gina Del Rosario"/>
    <x v="1"/>
    <s v="Female"/>
    <n v="28"/>
    <x v="3"/>
    <x v="581"/>
    <x v="237"/>
    <x v="5"/>
    <x v="0"/>
    <n v="1723"/>
    <x v="0"/>
  </r>
  <r>
    <n v="1639"/>
    <s v="Daisy Panganiban"/>
    <x v="3"/>
    <s v="Female"/>
    <n v="45"/>
    <x v="2"/>
    <x v="582"/>
    <x v="238"/>
    <x v="0"/>
    <x v="0"/>
    <n v="980"/>
    <x v="7"/>
  </r>
  <r>
    <n v="1640"/>
    <s v="Efren Lacson"/>
    <x v="3"/>
    <s v="Other"/>
    <n v="23"/>
    <x v="3"/>
    <x v="583"/>
    <x v="2"/>
    <x v="2"/>
    <x v="1"/>
    <n v="2693"/>
    <x v="3"/>
  </r>
  <r>
    <n v="1641"/>
    <s v="Violeta Go Corpuz"/>
    <x v="5"/>
    <s v="Female"/>
    <n v="38"/>
    <x v="0"/>
    <x v="584"/>
    <x v="2"/>
    <x v="2"/>
    <x v="1"/>
    <n v="1998"/>
    <x v="2"/>
  </r>
  <r>
    <n v="1642"/>
    <s v="Jose Santos Macaraeg"/>
    <x v="5"/>
    <s v="Other"/>
    <n v="58"/>
    <x v="1"/>
    <x v="585"/>
    <x v="2"/>
    <x v="2"/>
    <x v="1"/>
    <n v="2293"/>
    <x v="6"/>
  </r>
  <r>
    <n v="1643"/>
    <s v="Diana Reyes Go"/>
    <x v="2"/>
    <s v="Female"/>
    <n v="27"/>
    <x v="3"/>
    <x v="586"/>
    <x v="234"/>
    <x v="5"/>
    <x v="0"/>
    <n v="546"/>
    <x v="5"/>
  </r>
  <r>
    <n v="1644"/>
    <s v="Annaliza Dela Cruz"/>
    <x v="0"/>
    <s v="Female"/>
    <n v="34"/>
    <x v="0"/>
    <x v="587"/>
    <x v="2"/>
    <x v="2"/>
    <x v="1"/>
    <n v="636"/>
    <x v="5"/>
  </r>
  <r>
    <n v="1645"/>
    <s v="Ismael Ocampo Go"/>
    <x v="1"/>
    <s v="Male"/>
    <n v="57"/>
    <x v="1"/>
    <x v="588"/>
    <x v="2"/>
    <x v="2"/>
    <x v="1"/>
    <n v="2335"/>
    <x v="6"/>
  </r>
  <r>
    <n v="1646"/>
    <s v="Rodel Ocampo Go"/>
    <x v="0"/>
    <s v="Other"/>
    <n v="38"/>
    <x v="0"/>
    <x v="130"/>
    <x v="2"/>
    <x v="2"/>
    <x v="1"/>
    <n v="1343"/>
    <x v="4"/>
  </r>
  <r>
    <n v="1647"/>
    <s v="Abigail Ocampo Chan"/>
    <x v="4"/>
    <s v="Female"/>
    <n v="45"/>
    <x v="2"/>
    <x v="589"/>
    <x v="2"/>
    <x v="2"/>
    <x v="1"/>
    <n v="1729"/>
    <x v="0"/>
  </r>
  <r>
    <n v="1648"/>
    <s v="Taylor Sy Mercado"/>
    <x v="0"/>
    <s v="Other"/>
    <n v="46"/>
    <x v="2"/>
    <x v="590"/>
    <x v="2"/>
    <x v="2"/>
    <x v="1"/>
    <n v="2361"/>
    <x v="6"/>
  </r>
  <r>
    <n v="1649"/>
    <s v="Severino Ang Natividad"/>
    <x v="1"/>
    <s v="Male"/>
    <n v="49"/>
    <x v="2"/>
    <x v="591"/>
    <x v="239"/>
    <x v="0"/>
    <x v="0"/>
    <n v="239"/>
    <x v="1"/>
  </r>
  <r>
    <n v="1650"/>
    <s v="Ernesto Tan Jimenez"/>
    <x v="1"/>
    <s v="Male"/>
    <n v="23"/>
    <x v="3"/>
    <x v="592"/>
    <x v="2"/>
    <x v="2"/>
    <x v="1"/>
    <n v="369"/>
    <x v="5"/>
  </r>
  <r>
    <n v="1651"/>
    <s v="Carlos Rivera Guerrero"/>
    <x v="0"/>
    <s v="Male"/>
    <n v="52"/>
    <x v="1"/>
    <x v="593"/>
    <x v="2"/>
    <x v="2"/>
    <x v="1"/>
    <n v="1133"/>
    <x v="4"/>
  </r>
  <r>
    <n v="1652"/>
    <s v="Efren Mangubat"/>
    <x v="3"/>
    <s v="Other"/>
    <n v="51"/>
    <x v="1"/>
    <x v="594"/>
    <x v="2"/>
    <x v="2"/>
    <x v="1"/>
    <n v="2595"/>
    <x v="3"/>
  </r>
  <r>
    <n v="1653"/>
    <s v="Gerald Ramos"/>
    <x v="4"/>
    <s v="Male"/>
    <n v="26"/>
    <x v="3"/>
    <x v="595"/>
    <x v="2"/>
    <x v="2"/>
    <x v="1"/>
    <n v="1595"/>
    <x v="0"/>
  </r>
  <r>
    <n v="1654"/>
    <s v="Sarah Rivera Delos Reyes"/>
    <x v="5"/>
    <s v="Female"/>
    <n v="33"/>
    <x v="0"/>
    <x v="596"/>
    <x v="2"/>
    <x v="2"/>
    <x v="1"/>
    <n v="2368"/>
    <x v="6"/>
  </r>
  <r>
    <n v="1655"/>
    <s v="Jaime Reyes Ramirez"/>
    <x v="2"/>
    <s v="Male"/>
    <n v="43"/>
    <x v="2"/>
    <x v="597"/>
    <x v="240"/>
    <x v="5"/>
    <x v="0"/>
    <n v="737"/>
    <x v="7"/>
  </r>
  <r>
    <n v="1656"/>
    <s v="Ian Fajardo"/>
    <x v="5"/>
    <s v="Male"/>
    <n v="52"/>
    <x v="1"/>
    <x v="598"/>
    <x v="241"/>
    <x v="7"/>
    <x v="0"/>
    <n v="1197"/>
    <x v="4"/>
  </r>
  <r>
    <n v="1657"/>
    <s v="Jamie Go Vergara"/>
    <x v="2"/>
    <s v="Other"/>
    <n v="22"/>
    <x v="3"/>
    <x v="599"/>
    <x v="242"/>
    <x v="3"/>
    <x v="0"/>
    <n v="1473"/>
    <x v="0"/>
  </r>
  <r>
    <n v="1658"/>
    <s v="Antonio Fernandez Villanueva"/>
    <x v="3"/>
    <s v="Other"/>
    <n v="55"/>
    <x v="1"/>
    <x v="600"/>
    <x v="2"/>
    <x v="2"/>
    <x v="1"/>
    <n v="2481"/>
    <x v="6"/>
  </r>
  <r>
    <n v="1659"/>
    <s v="Belinda Bautista Reyes"/>
    <x v="0"/>
    <s v="Female"/>
    <n v="23"/>
    <x v="3"/>
    <x v="601"/>
    <x v="2"/>
    <x v="2"/>
    <x v="1"/>
    <n v="2097"/>
    <x v="2"/>
  </r>
  <r>
    <n v="1660"/>
    <s v="Lourdes Aquino"/>
    <x v="3"/>
    <s v="Other"/>
    <n v="27"/>
    <x v="3"/>
    <x v="602"/>
    <x v="2"/>
    <x v="2"/>
    <x v="1"/>
    <n v="1223"/>
    <x v="4"/>
  </r>
  <r>
    <n v="1661"/>
    <s v="Samuel Buenaventura"/>
    <x v="1"/>
    <s v="Male"/>
    <n v="35"/>
    <x v="0"/>
    <x v="603"/>
    <x v="2"/>
    <x v="2"/>
    <x v="1"/>
    <n v="2833"/>
    <x v="3"/>
  </r>
  <r>
    <n v="1662"/>
    <s v="Vince Flores Guerrero"/>
    <x v="3"/>
    <s v="Male"/>
    <n v="41"/>
    <x v="2"/>
    <x v="315"/>
    <x v="2"/>
    <x v="2"/>
    <x v="1"/>
    <n v="2597"/>
    <x v="3"/>
  </r>
  <r>
    <n v="1663"/>
    <s v="Gregorio Lopez Jimenez"/>
    <x v="5"/>
    <s v="Male"/>
    <n v="42"/>
    <x v="2"/>
    <x v="603"/>
    <x v="243"/>
    <x v="1"/>
    <x v="0"/>
    <n v="668"/>
    <x v="5"/>
  </r>
  <r>
    <n v="1664"/>
    <s v="Sam Santos Viray"/>
    <x v="4"/>
    <s v="Other"/>
    <n v="23"/>
    <x v="3"/>
    <x v="168"/>
    <x v="244"/>
    <x v="1"/>
    <x v="0"/>
    <n v="1630"/>
    <x v="0"/>
  </r>
  <r>
    <n v="1665"/>
    <s v="Gina Fernandez Hernandez"/>
    <x v="1"/>
    <s v="Female"/>
    <n v="58"/>
    <x v="1"/>
    <x v="604"/>
    <x v="2"/>
    <x v="2"/>
    <x v="1"/>
    <n v="1929"/>
    <x v="2"/>
  </r>
  <r>
    <n v="1666"/>
    <s v="Antonio Ang Perez"/>
    <x v="0"/>
    <s v="Male"/>
    <n v="47"/>
    <x v="2"/>
    <x v="605"/>
    <x v="2"/>
    <x v="2"/>
    <x v="1"/>
    <n v="2112"/>
    <x v="2"/>
  </r>
  <r>
    <n v="1667"/>
    <s v="Sue Mendoza Sy"/>
    <x v="0"/>
    <s v="Female"/>
    <n v="40"/>
    <x v="2"/>
    <x v="606"/>
    <x v="2"/>
    <x v="2"/>
    <x v="1"/>
    <n v="1667"/>
    <x v="0"/>
  </r>
  <r>
    <n v="1668"/>
    <s v="Ramon Torres Ang"/>
    <x v="0"/>
    <s v="Other"/>
    <n v="55"/>
    <x v="1"/>
    <x v="607"/>
    <x v="245"/>
    <x v="7"/>
    <x v="0"/>
    <n v="878"/>
    <x v="7"/>
  </r>
  <r>
    <n v="1669"/>
    <s v="Riley Flores Bayani"/>
    <x v="2"/>
    <s v="Other"/>
    <n v="51"/>
    <x v="1"/>
    <x v="608"/>
    <x v="246"/>
    <x v="4"/>
    <x v="0"/>
    <n v="776"/>
    <x v="7"/>
  </r>
  <r>
    <n v="1670"/>
    <s v="Hernando Aguilar"/>
    <x v="4"/>
    <s v="Male"/>
    <n v="50"/>
    <x v="1"/>
    <x v="609"/>
    <x v="247"/>
    <x v="4"/>
    <x v="0"/>
    <n v="304"/>
    <x v="1"/>
  </r>
  <r>
    <n v="1671"/>
    <s v="Iris Navarro Camacho"/>
    <x v="0"/>
    <s v="Female"/>
    <n v="36"/>
    <x v="0"/>
    <x v="610"/>
    <x v="2"/>
    <x v="2"/>
    <x v="1"/>
    <n v="1270"/>
    <x v="4"/>
  </r>
  <r>
    <n v="1672"/>
    <s v="Rachel Ang Tan"/>
    <x v="1"/>
    <s v="Female"/>
    <n v="35"/>
    <x v="0"/>
    <x v="23"/>
    <x v="248"/>
    <x v="3"/>
    <x v="0"/>
    <n v="1779"/>
    <x v="0"/>
  </r>
  <r>
    <n v="1673"/>
    <s v="Michael Castro Ignacio"/>
    <x v="1"/>
    <s v="Male"/>
    <n v="34"/>
    <x v="0"/>
    <x v="611"/>
    <x v="2"/>
    <x v="2"/>
    <x v="1"/>
    <n v="595"/>
    <x v="5"/>
  </r>
  <r>
    <n v="1674"/>
    <s v="Fernando Go Ramirez"/>
    <x v="0"/>
    <s v="Other"/>
    <n v="33"/>
    <x v="0"/>
    <x v="612"/>
    <x v="249"/>
    <x v="8"/>
    <x v="0"/>
    <n v="1507"/>
    <x v="0"/>
  </r>
  <r>
    <n v="1675"/>
    <s v="Herminia Zulueta"/>
    <x v="4"/>
    <s v="Female"/>
    <n v="42"/>
    <x v="2"/>
    <x v="613"/>
    <x v="2"/>
    <x v="2"/>
    <x v="1"/>
    <n v="2191"/>
    <x v="6"/>
  </r>
  <r>
    <n v="1676"/>
    <s v="Marcelo Go Ong"/>
    <x v="3"/>
    <s v="Male"/>
    <n v="56"/>
    <x v="1"/>
    <x v="614"/>
    <x v="250"/>
    <x v="3"/>
    <x v="0"/>
    <n v="2093"/>
    <x v="2"/>
  </r>
  <r>
    <n v="1677"/>
    <s v="Maricel Cruz Santos"/>
    <x v="4"/>
    <s v="Other"/>
    <n v="54"/>
    <x v="1"/>
    <x v="18"/>
    <x v="251"/>
    <x v="6"/>
    <x v="0"/>
    <n v="1276"/>
    <x v="4"/>
  </r>
  <r>
    <n v="1678"/>
    <s v="Nathan Umali"/>
    <x v="1"/>
    <s v="Male"/>
    <n v="53"/>
    <x v="1"/>
    <x v="615"/>
    <x v="2"/>
    <x v="2"/>
    <x v="1"/>
    <n v="2954"/>
    <x v="8"/>
  </r>
  <r>
    <n v="1679"/>
    <s v="Wendy Pascual Rivera"/>
    <x v="5"/>
    <s v="Female"/>
    <n v="52"/>
    <x v="1"/>
    <x v="165"/>
    <x v="252"/>
    <x v="0"/>
    <x v="0"/>
    <n v="1632"/>
    <x v="0"/>
  </r>
  <r>
    <n v="1680"/>
    <s v="Juan Reyes Lazo"/>
    <x v="1"/>
    <s v="Other"/>
    <n v="22"/>
    <x v="3"/>
    <x v="616"/>
    <x v="2"/>
    <x v="2"/>
    <x v="1"/>
    <n v="1126"/>
    <x v="4"/>
  </r>
  <r>
    <n v="1681"/>
    <s v="Kevin Santos Valencia"/>
    <x v="3"/>
    <s v="Male"/>
    <n v="29"/>
    <x v="3"/>
    <x v="617"/>
    <x v="2"/>
    <x v="2"/>
    <x v="1"/>
    <n v="211"/>
    <x v="1"/>
  </r>
  <r>
    <n v="1682"/>
    <s v="Paz Macapagal"/>
    <x v="2"/>
    <s v="Female"/>
    <n v="42"/>
    <x v="2"/>
    <x v="618"/>
    <x v="253"/>
    <x v="1"/>
    <x v="0"/>
    <n v="526"/>
    <x v="5"/>
  </r>
  <r>
    <n v="1683"/>
    <s v="Nina Santiago Mendoza"/>
    <x v="2"/>
    <s v="Female"/>
    <n v="42"/>
    <x v="2"/>
    <x v="619"/>
    <x v="2"/>
    <x v="2"/>
    <x v="1"/>
    <n v="2867"/>
    <x v="3"/>
  </r>
  <r>
    <n v="1684"/>
    <s v="Teresa Jacinto"/>
    <x v="0"/>
    <s v="Female"/>
    <n v="44"/>
    <x v="2"/>
    <x v="452"/>
    <x v="2"/>
    <x v="2"/>
    <x v="1"/>
    <n v="2374"/>
    <x v="6"/>
  </r>
  <r>
    <n v="1685"/>
    <s v="Lourdes Ramirez Jimenez"/>
    <x v="1"/>
    <s v="Other"/>
    <n v="36"/>
    <x v="0"/>
    <x v="620"/>
    <x v="241"/>
    <x v="1"/>
    <x v="0"/>
    <n v="579"/>
    <x v="5"/>
  </r>
  <r>
    <n v="1686"/>
    <s v="Riley Uy Aquino"/>
    <x v="4"/>
    <s v="Other"/>
    <n v="53"/>
    <x v="1"/>
    <x v="12"/>
    <x v="2"/>
    <x v="2"/>
    <x v="1"/>
    <n v="305"/>
    <x v="1"/>
  </r>
  <r>
    <n v="1687"/>
    <s v="Neil Santiago Chua"/>
    <x v="0"/>
    <s v="Male"/>
    <n v="28"/>
    <x v="3"/>
    <x v="621"/>
    <x v="2"/>
    <x v="2"/>
    <x v="1"/>
    <n v="1166"/>
    <x v="4"/>
  </r>
  <r>
    <n v="1688"/>
    <s v="Carmen Gonzales Dela Cruz"/>
    <x v="2"/>
    <s v="Other"/>
    <n v="25"/>
    <x v="3"/>
    <x v="326"/>
    <x v="2"/>
    <x v="2"/>
    <x v="1"/>
    <n v="2320"/>
    <x v="6"/>
  </r>
  <r>
    <n v="1689"/>
    <s v="Ramon Delmendo"/>
    <x v="4"/>
    <s v="Other"/>
    <n v="27"/>
    <x v="3"/>
    <x v="24"/>
    <x v="254"/>
    <x v="8"/>
    <x v="0"/>
    <n v="696"/>
    <x v="5"/>
  </r>
  <r>
    <n v="1690"/>
    <s v="Rafael Manalo"/>
    <x v="1"/>
    <s v="Male"/>
    <n v="55"/>
    <x v="1"/>
    <x v="622"/>
    <x v="2"/>
    <x v="2"/>
    <x v="1"/>
    <n v="2551"/>
    <x v="6"/>
  </r>
  <r>
    <n v="1691"/>
    <s v="Mae Diaz Bayani"/>
    <x v="1"/>
    <s v="Female"/>
    <n v="22"/>
    <x v="3"/>
    <x v="623"/>
    <x v="2"/>
    <x v="2"/>
    <x v="1"/>
    <n v="2140"/>
    <x v="2"/>
  </r>
  <r>
    <n v="1692"/>
    <s v="Teresa Soriano Hilario"/>
    <x v="5"/>
    <s v="Other"/>
    <n v="52"/>
    <x v="1"/>
    <x v="624"/>
    <x v="2"/>
    <x v="2"/>
    <x v="1"/>
    <n v="661"/>
    <x v="5"/>
  </r>
  <r>
    <n v="1693"/>
    <s v="Antonio Pascual Umali"/>
    <x v="0"/>
    <s v="Other"/>
    <n v="40"/>
    <x v="2"/>
    <x v="142"/>
    <x v="2"/>
    <x v="2"/>
    <x v="1"/>
    <n v="2388"/>
    <x v="6"/>
  </r>
  <r>
    <n v="1694"/>
    <s v="Imelda Trinidad"/>
    <x v="5"/>
    <s v="Female"/>
    <n v="43"/>
    <x v="2"/>
    <x v="625"/>
    <x v="2"/>
    <x v="2"/>
    <x v="1"/>
    <n v="1927"/>
    <x v="2"/>
  </r>
  <r>
    <n v="1695"/>
    <s v="Florinda Cruz Aguilar"/>
    <x v="5"/>
    <s v="Female"/>
    <n v="32"/>
    <x v="0"/>
    <x v="365"/>
    <x v="2"/>
    <x v="2"/>
    <x v="1"/>
    <n v="191"/>
    <x v="1"/>
  </r>
  <r>
    <n v="1696"/>
    <s v="Antonio Vega Enriquez"/>
    <x v="3"/>
    <s v="Male"/>
    <n v="49"/>
    <x v="2"/>
    <x v="626"/>
    <x v="255"/>
    <x v="8"/>
    <x v="0"/>
    <n v="510"/>
    <x v="5"/>
  </r>
  <r>
    <n v="1697"/>
    <s v="Ian Mercado"/>
    <x v="1"/>
    <s v="Male"/>
    <n v="31"/>
    <x v="0"/>
    <x v="627"/>
    <x v="256"/>
    <x v="5"/>
    <x v="0"/>
    <n v="115"/>
    <x v="1"/>
  </r>
  <r>
    <n v="1698"/>
    <s v="Erlinda Lozano"/>
    <x v="3"/>
    <s v="Female"/>
    <n v="59"/>
    <x v="1"/>
    <x v="607"/>
    <x v="257"/>
    <x v="6"/>
    <x v="0"/>
    <n v="812"/>
    <x v="7"/>
  </r>
  <r>
    <n v="1699"/>
    <s v="Crisanto Soriano Figueroa"/>
    <x v="3"/>
    <s v="Male"/>
    <n v="28"/>
    <x v="3"/>
    <x v="234"/>
    <x v="2"/>
    <x v="2"/>
    <x v="1"/>
    <n v="1130"/>
    <x v="4"/>
  </r>
  <r>
    <n v="1700"/>
    <s v="Jaime Aguilar Narvasa"/>
    <x v="1"/>
    <s v="Male"/>
    <n v="35"/>
    <x v="0"/>
    <x v="173"/>
    <x v="258"/>
    <x v="0"/>
    <x v="0"/>
    <n v="758"/>
    <x v="7"/>
  </r>
  <r>
    <n v="1701"/>
    <s v="Maricel Ang Cueto"/>
    <x v="1"/>
    <s v="Female"/>
    <n v="49"/>
    <x v="2"/>
    <x v="628"/>
    <x v="2"/>
    <x v="2"/>
    <x v="1"/>
    <n v="318"/>
    <x v="1"/>
  </r>
  <r>
    <n v="1702"/>
    <s v="Samuel Santos Ignacio"/>
    <x v="4"/>
    <s v="Male"/>
    <n v="24"/>
    <x v="3"/>
    <x v="629"/>
    <x v="259"/>
    <x v="1"/>
    <x v="0"/>
    <n v="165"/>
    <x v="1"/>
  </r>
  <r>
    <n v="1703"/>
    <s v="Rafael Sy Manalo"/>
    <x v="4"/>
    <s v="Male"/>
    <n v="49"/>
    <x v="2"/>
    <x v="630"/>
    <x v="260"/>
    <x v="1"/>
    <x v="0"/>
    <n v="544"/>
    <x v="5"/>
  </r>
  <r>
    <n v="1704"/>
    <s v="Carlos Ong"/>
    <x v="5"/>
    <s v="Male"/>
    <n v="60"/>
    <x v="4"/>
    <x v="631"/>
    <x v="261"/>
    <x v="6"/>
    <x v="0"/>
    <n v="302"/>
    <x v="1"/>
  </r>
  <r>
    <n v="1705"/>
    <s v="Crisanto Rivera Vega"/>
    <x v="1"/>
    <s v="Male"/>
    <n v="38"/>
    <x v="0"/>
    <x v="632"/>
    <x v="262"/>
    <x v="1"/>
    <x v="0"/>
    <n v="1036"/>
    <x v="7"/>
  </r>
  <r>
    <n v="1706"/>
    <s v="Nicanor Bautista"/>
    <x v="4"/>
    <s v="Male"/>
    <n v="40"/>
    <x v="2"/>
    <x v="633"/>
    <x v="263"/>
    <x v="1"/>
    <x v="0"/>
    <n v="662"/>
    <x v="5"/>
  </r>
  <r>
    <n v="1707"/>
    <s v="Diana Mercado Camacho"/>
    <x v="1"/>
    <s v="Female"/>
    <n v="51"/>
    <x v="1"/>
    <x v="634"/>
    <x v="2"/>
    <x v="2"/>
    <x v="1"/>
    <n v="2583"/>
    <x v="3"/>
  </r>
  <r>
    <n v="1708"/>
    <s v="Ronaldo Sy Narvasa"/>
    <x v="1"/>
    <s v="Other"/>
    <n v="52"/>
    <x v="1"/>
    <x v="635"/>
    <x v="2"/>
    <x v="2"/>
    <x v="1"/>
    <n v="2818"/>
    <x v="3"/>
  </r>
  <r>
    <n v="1709"/>
    <s v="Kevin Cueto"/>
    <x v="2"/>
    <s v="Male"/>
    <n v="51"/>
    <x v="1"/>
    <x v="636"/>
    <x v="2"/>
    <x v="2"/>
    <x v="1"/>
    <n v="248"/>
    <x v="1"/>
  </r>
  <r>
    <n v="1710"/>
    <s v="Corazon Aguilar Crisostomo"/>
    <x v="1"/>
    <s v="Female"/>
    <n v="58"/>
    <x v="1"/>
    <x v="637"/>
    <x v="264"/>
    <x v="3"/>
    <x v="0"/>
    <n v="1978"/>
    <x v="2"/>
  </r>
  <r>
    <n v="1711"/>
    <s v="Ismael Lopez Fernandez"/>
    <x v="4"/>
    <s v="Male"/>
    <n v="43"/>
    <x v="2"/>
    <x v="638"/>
    <x v="265"/>
    <x v="8"/>
    <x v="0"/>
    <n v="404"/>
    <x v="5"/>
  </r>
  <r>
    <n v="1712"/>
    <s v="Ronaldo Vega Fernandez"/>
    <x v="0"/>
    <s v="Other"/>
    <n v="40"/>
    <x v="2"/>
    <x v="308"/>
    <x v="2"/>
    <x v="2"/>
    <x v="1"/>
    <n v="1980"/>
    <x v="2"/>
  </r>
  <r>
    <n v="1713"/>
    <s v="Herminia Ramirez Lopez"/>
    <x v="2"/>
    <s v="Female"/>
    <n v="54"/>
    <x v="1"/>
    <x v="639"/>
    <x v="266"/>
    <x v="5"/>
    <x v="0"/>
    <n v="1083"/>
    <x v="7"/>
  </r>
  <r>
    <n v="1714"/>
    <s v="Teresa Fajardo"/>
    <x v="2"/>
    <s v="Other"/>
    <n v="56"/>
    <x v="1"/>
    <x v="640"/>
    <x v="2"/>
    <x v="2"/>
    <x v="1"/>
    <n v="579"/>
    <x v="5"/>
  </r>
  <r>
    <n v="1715"/>
    <s v="Morgan Flores"/>
    <x v="5"/>
    <s v="Other"/>
    <n v="47"/>
    <x v="2"/>
    <x v="225"/>
    <x v="2"/>
    <x v="2"/>
    <x v="1"/>
    <n v="1205"/>
    <x v="4"/>
  </r>
  <r>
    <n v="1716"/>
    <s v="Mae Soriano Buenaventura"/>
    <x v="0"/>
    <s v="Female"/>
    <n v="44"/>
    <x v="2"/>
    <x v="641"/>
    <x v="2"/>
    <x v="2"/>
    <x v="1"/>
    <n v="2522"/>
    <x v="6"/>
  </r>
  <r>
    <n v="1717"/>
    <s v="Cameron Ramos Hernandez"/>
    <x v="1"/>
    <s v="Other"/>
    <n v="35"/>
    <x v="0"/>
    <x v="319"/>
    <x v="2"/>
    <x v="2"/>
    <x v="1"/>
    <n v="2564"/>
    <x v="3"/>
  </r>
  <r>
    <n v="1718"/>
    <s v="Morgan Chan Villanueva"/>
    <x v="1"/>
    <s v="Other"/>
    <n v="48"/>
    <x v="2"/>
    <x v="642"/>
    <x v="2"/>
    <x v="2"/>
    <x v="1"/>
    <n v="262"/>
    <x v="1"/>
  </r>
  <r>
    <n v="1719"/>
    <s v="Lea Torres Ong"/>
    <x v="5"/>
    <s v="Female"/>
    <n v="27"/>
    <x v="3"/>
    <x v="643"/>
    <x v="2"/>
    <x v="2"/>
    <x v="1"/>
    <n v="2957"/>
    <x v="8"/>
  </r>
  <r>
    <n v="1720"/>
    <s v="Natividad Ong"/>
    <x v="3"/>
    <s v="Female"/>
    <n v="40"/>
    <x v="2"/>
    <x v="644"/>
    <x v="267"/>
    <x v="3"/>
    <x v="0"/>
    <n v="139"/>
    <x v="1"/>
  </r>
  <r>
    <n v="1721"/>
    <s v="Vicente Lopez Narvasa"/>
    <x v="1"/>
    <s v="Male"/>
    <n v="26"/>
    <x v="3"/>
    <x v="645"/>
    <x v="2"/>
    <x v="2"/>
    <x v="1"/>
    <n v="2495"/>
    <x v="6"/>
  </r>
  <r>
    <n v="1722"/>
    <s v="Taylor Narvasa"/>
    <x v="2"/>
    <s v="Other"/>
    <n v="36"/>
    <x v="0"/>
    <x v="646"/>
    <x v="2"/>
    <x v="2"/>
    <x v="1"/>
    <n v="1023"/>
    <x v="7"/>
  </r>
  <r>
    <n v="1723"/>
    <s v="Gloria Santos"/>
    <x v="0"/>
    <s v="Other"/>
    <n v="39"/>
    <x v="0"/>
    <x v="142"/>
    <x v="2"/>
    <x v="2"/>
    <x v="1"/>
    <n v="2388"/>
    <x v="6"/>
  </r>
  <r>
    <n v="1724"/>
    <s v="Kristina Manalo"/>
    <x v="1"/>
    <s v="Female"/>
    <n v="53"/>
    <x v="1"/>
    <x v="647"/>
    <x v="2"/>
    <x v="2"/>
    <x v="1"/>
    <n v="193"/>
    <x v="1"/>
  </r>
  <r>
    <n v="1725"/>
    <s v="Rodel Ramos Castro"/>
    <x v="1"/>
    <s v="Other"/>
    <n v="45"/>
    <x v="2"/>
    <x v="648"/>
    <x v="268"/>
    <x v="5"/>
    <x v="0"/>
    <n v="556"/>
    <x v="5"/>
  </r>
  <r>
    <n v="1726"/>
    <s v="Rodel Rivera Dalisay"/>
    <x v="0"/>
    <s v="Male"/>
    <n v="39"/>
    <x v="0"/>
    <x v="649"/>
    <x v="2"/>
    <x v="2"/>
    <x v="1"/>
    <n v="809"/>
    <x v="7"/>
  </r>
  <r>
    <n v="1727"/>
    <s v="Victor Pascual Tan"/>
    <x v="4"/>
    <s v="Male"/>
    <n v="40"/>
    <x v="2"/>
    <x v="650"/>
    <x v="2"/>
    <x v="2"/>
    <x v="1"/>
    <n v="277"/>
    <x v="1"/>
  </r>
  <r>
    <n v="1728"/>
    <s v="Kevin Ang Soriano"/>
    <x v="3"/>
    <s v="Male"/>
    <n v="25"/>
    <x v="3"/>
    <x v="651"/>
    <x v="2"/>
    <x v="2"/>
    <x v="1"/>
    <n v="1143"/>
    <x v="4"/>
  </r>
  <r>
    <n v="1729"/>
    <s v="Joselito Mendoza Mercado"/>
    <x v="5"/>
    <s v="Male"/>
    <n v="54"/>
    <x v="1"/>
    <x v="261"/>
    <x v="2"/>
    <x v="2"/>
    <x v="1"/>
    <n v="394"/>
    <x v="5"/>
  </r>
  <r>
    <n v="1730"/>
    <s v="Morgan Lim"/>
    <x v="5"/>
    <s v="Other"/>
    <n v="62"/>
    <x v="4"/>
    <x v="652"/>
    <x v="269"/>
    <x v="6"/>
    <x v="0"/>
    <n v="905"/>
    <x v="7"/>
  </r>
  <r>
    <n v="1731"/>
    <s v="Vanessa Fernandez Viray"/>
    <x v="5"/>
    <s v="Female"/>
    <n v="58"/>
    <x v="1"/>
    <x v="653"/>
    <x v="270"/>
    <x v="5"/>
    <x v="0"/>
    <n v="499"/>
    <x v="5"/>
  </r>
  <r>
    <n v="1732"/>
    <s v="Corazon Bautista Bautista"/>
    <x v="5"/>
    <s v="Female"/>
    <n v="37"/>
    <x v="0"/>
    <x v="654"/>
    <x v="2"/>
    <x v="2"/>
    <x v="1"/>
    <n v="1087"/>
    <x v="7"/>
  </r>
  <r>
    <n v="1733"/>
    <s v="Elmer Mendoza Domingo"/>
    <x v="2"/>
    <s v="Male"/>
    <n v="22"/>
    <x v="3"/>
    <x v="655"/>
    <x v="2"/>
    <x v="2"/>
    <x v="1"/>
    <n v="2358"/>
    <x v="6"/>
  </r>
  <r>
    <n v="1734"/>
    <s v="Kristoffer Chua"/>
    <x v="5"/>
    <s v="Male"/>
    <n v="54"/>
    <x v="1"/>
    <x v="656"/>
    <x v="2"/>
    <x v="2"/>
    <x v="1"/>
    <n v="1075"/>
    <x v="7"/>
  </r>
  <r>
    <n v="1735"/>
    <s v="Carmen Lacson"/>
    <x v="0"/>
    <s v="Female"/>
    <n v="42"/>
    <x v="2"/>
    <x v="657"/>
    <x v="2"/>
    <x v="2"/>
    <x v="1"/>
    <n v="877"/>
    <x v="7"/>
  </r>
  <r>
    <n v="1736"/>
    <s v="Antonio Soriano Soriano"/>
    <x v="1"/>
    <s v="Male"/>
    <n v="45"/>
    <x v="2"/>
    <x v="658"/>
    <x v="2"/>
    <x v="2"/>
    <x v="1"/>
    <n v="1279"/>
    <x v="4"/>
  </r>
  <r>
    <n v="1737"/>
    <s v="Josephine Lozano"/>
    <x v="2"/>
    <s v="Female"/>
    <n v="48"/>
    <x v="2"/>
    <x v="659"/>
    <x v="271"/>
    <x v="8"/>
    <x v="0"/>
    <n v="1683"/>
    <x v="0"/>
  </r>
  <r>
    <n v="1738"/>
    <s v="Juan Domingo Bagtas"/>
    <x v="5"/>
    <s v="Other"/>
    <n v="57"/>
    <x v="1"/>
    <x v="660"/>
    <x v="2"/>
    <x v="2"/>
    <x v="1"/>
    <n v="1167"/>
    <x v="4"/>
  </r>
  <r>
    <n v="1739"/>
    <s v="Avery Reyes Evangelista"/>
    <x v="0"/>
    <s v="Other"/>
    <n v="43"/>
    <x v="2"/>
    <x v="661"/>
    <x v="272"/>
    <x v="7"/>
    <x v="0"/>
    <n v="147"/>
    <x v="1"/>
  </r>
  <r>
    <n v="1740"/>
    <s v="Ivan Mercado Bondoc"/>
    <x v="5"/>
    <s v="Male"/>
    <n v="45"/>
    <x v="2"/>
    <x v="583"/>
    <x v="2"/>
    <x v="2"/>
    <x v="1"/>
    <n v="2693"/>
    <x v="3"/>
  </r>
  <r>
    <n v="1741"/>
    <s v="Carlos Lopez Yap"/>
    <x v="4"/>
    <s v="Male"/>
    <n v="58"/>
    <x v="1"/>
    <x v="662"/>
    <x v="2"/>
    <x v="2"/>
    <x v="1"/>
    <n v="2744"/>
    <x v="3"/>
  </r>
  <r>
    <n v="1742"/>
    <s v="Sonny Cueto"/>
    <x v="1"/>
    <s v="Male"/>
    <n v="50"/>
    <x v="1"/>
    <x v="663"/>
    <x v="2"/>
    <x v="2"/>
    <x v="1"/>
    <n v="397"/>
    <x v="5"/>
  </r>
  <r>
    <n v="1743"/>
    <s v="Arnel Mendoza Macapagal"/>
    <x v="4"/>
    <s v="Other"/>
    <n v="58"/>
    <x v="1"/>
    <x v="664"/>
    <x v="2"/>
    <x v="2"/>
    <x v="1"/>
    <n v="3000"/>
    <x v="8"/>
  </r>
  <r>
    <n v="1744"/>
    <s v="Karen Pascual"/>
    <x v="2"/>
    <s v="Female"/>
    <n v="34"/>
    <x v="0"/>
    <x v="665"/>
    <x v="2"/>
    <x v="2"/>
    <x v="1"/>
    <n v="1715"/>
    <x v="0"/>
  </r>
  <r>
    <n v="1745"/>
    <s v="Manuel Domingo Fajardo"/>
    <x v="4"/>
    <s v="Male"/>
    <n v="52"/>
    <x v="1"/>
    <x v="666"/>
    <x v="2"/>
    <x v="2"/>
    <x v="1"/>
    <n v="489"/>
    <x v="5"/>
  </r>
  <r>
    <n v="1746"/>
    <s v="Casey Miranda"/>
    <x v="1"/>
    <s v="Other"/>
    <n v="46"/>
    <x v="2"/>
    <x v="667"/>
    <x v="2"/>
    <x v="2"/>
    <x v="1"/>
    <n v="2166"/>
    <x v="2"/>
  </r>
  <r>
    <n v="1747"/>
    <s v="Eddie Ocampo Estrada"/>
    <x v="1"/>
    <s v="Male"/>
    <n v="25"/>
    <x v="3"/>
    <x v="668"/>
    <x v="2"/>
    <x v="2"/>
    <x v="1"/>
    <n v="771"/>
    <x v="7"/>
  </r>
  <r>
    <n v="1748"/>
    <s v="Hope Domingo Vega"/>
    <x v="5"/>
    <s v="Female"/>
    <n v="40"/>
    <x v="2"/>
    <x v="669"/>
    <x v="2"/>
    <x v="2"/>
    <x v="1"/>
    <n v="1318"/>
    <x v="4"/>
  </r>
  <r>
    <n v="1749"/>
    <s v="Larry Flores Navarro"/>
    <x v="0"/>
    <s v="Male"/>
    <n v="56"/>
    <x v="1"/>
    <x v="670"/>
    <x v="2"/>
    <x v="2"/>
    <x v="1"/>
    <n v="2352"/>
    <x v="6"/>
  </r>
  <r>
    <n v="1750"/>
    <s v="Gloria Solis"/>
    <x v="5"/>
    <s v="Other"/>
    <n v="50"/>
    <x v="1"/>
    <x v="671"/>
    <x v="2"/>
    <x v="2"/>
    <x v="1"/>
    <n v="1994"/>
    <x v="2"/>
  </r>
  <r>
    <n v="1751"/>
    <s v="Cameron Del Rosario"/>
    <x v="3"/>
    <s v="Other"/>
    <n v="24"/>
    <x v="3"/>
    <x v="672"/>
    <x v="66"/>
    <x v="0"/>
    <x v="0"/>
    <n v="563"/>
    <x v="5"/>
  </r>
  <r>
    <n v="1752"/>
    <s v="Paolo Wong"/>
    <x v="4"/>
    <s v="Male"/>
    <n v="41"/>
    <x v="2"/>
    <x v="673"/>
    <x v="2"/>
    <x v="2"/>
    <x v="1"/>
    <n v="2828"/>
    <x v="3"/>
  </r>
  <r>
    <n v="1753"/>
    <s v="Teresita Sy Yap"/>
    <x v="5"/>
    <s v="Female"/>
    <n v="36"/>
    <x v="0"/>
    <x v="674"/>
    <x v="273"/>
    <x v="0"/>
    <x v="0"/>
    <n v="397"/>
    <x v="5"/>
  </r>
  <r>
    <n v="1754"/>
    <s v="Rowena Soriano"/>
    <x v="4"/>
    <s v="Other"/>
    <n v="58"/>
    <x v="1"/>
    <x v="675"/>
    <x v="274"/>
    <x v="6"/>
    <x v="0"/>
    <n v="209"/>
    <x v="1"/>
  </r>
  <r>
    <n v="1755"/>
    <s v="Casey Macaraeg"/>
    <x v="1"/>
    <s v="Other"/>
    <n v="22"/>
    <x v="3"/>
    <x v="676"/>
    <x v="2"/>
    <x v="2"/>
    <x v="1"/>
    <n v="2865"/>
    <x v="3"/>
  </r>
  <r>
    <n v="1756"/>
    <s v="Casey Tolentino"/>
    <x v="2"/>
    <s v="Other"/>
    <n v="47"/>
    <x v="2"/>
    <x v="175"/>
    <x v="2"/>
    <x v="2"/>
    <x v="1"/>
    <n v="1603"/>
    <x v="0"/>
  </r>
  <r>
    <n v="1757"/>
    <s v="Annaliza Delmendo"/>
    <x v="5"/>
    <s v="Female"/>
    <n v="28"/>
    <x v="3"/>
    <x v="20"/>
    <x v="2"/>
    <x v="2"/>
    <x v="1"/>
    <n v="753"/>
    <x v="7"/>
  </r>
  <r>
    <n v="1758"/>
    <s v="Casey Navarro Sy"/>
    <x v="0"/>
    <s v="Other"/>
    <n v="54"/>
    <x v="1"/>
    <x v="677"/>
    <x v="2"/>
    <x v="2"/>
    <x v="1"/>
    <n v="2060"/>
    <x v="2"/>
  </r>
  <r>
    <n v="1759"/>
    <s v="Marcelo Flores Mercado"/>
    <x v="4"/>
    <s v="Male"/>
    <n v="45"/>
    <x v="2"/>
    <x v="678"/>
    <x v="2"/>
    <x v="2"/>
    <x v="1"/>
    <n v="2125"/>
    <x v="2"/>
  </r>
  <r>
    <n v="1760"/>
    <s v="Arnel Chan Macaraeg"/>
    <x v="3"/>
    <s v="Male"/>
    <n v="37"/>
    <x v="0"/>
    <x v="679"/>
    <x v="275"/>
    <x v="5"/>
    <x v="0"/>
    <n v="636"/>
    <x v="5"/>
  </r>
  <r>
    <n v="1761"/>
    <s v="Ronaldo Cruz Yap"/>
    <x v="5"/>
    <s v="Other"/>
    <n v="30"/>
    <x v="0"/>
    <x v="15"/>
    <x v="2"/>
    <x v="2"/>
    <x v="1"/>
    <n v="1605"/>
    <x v="0"/>
  </r>
  <r>
    <n v="1762"/>
    <s v="Patricio Soriano Go"/>
    <x v="2"/>
    <s v="Male"/>
    <n v="24"/>
    <x v="3"/>
    <x v="642"/>
    <x v="2"/>
    <x v="2"/>
    <x v="1"/>
    <n v="262"/>
    <x v="1"/>
  </r>
  <r>
    <n v="1763"/>
    <s v="Luisa Tan Salazar"/>
    <x v="0"/>
    <s v="Other"/>
    <n v="28"/>
    <x v="3"/>
    <x v="680"/>
    <x v="2"/>
    <x v="2"/>
    <x v="1"/>
    <n v="901"/>
    <x v="7"/>
  </r>
  <r>
    <n v="1764"/>
    <s v="Eduardo Lopez Sia"/>
    <x v="3"/>
    <s v="Other"/>
    <n v="40"/>
    <x v="2"/>
    <x v="681"/>
    <x v="2"/>
    <x v="2"/>
    <x v="1"/>
    <n v="2722"/>
    <x v="3"/>
  </r>
  <r>
    <n v="1765"/>
    <s v="Gani Tuazon"/>
    <x v="3"/>
    <s v="Male"/>
    <n v="47"/>
    <x v="2"/>
    <x v="682"/>
    <x v="276"/>
    <x v="3"/>
    <x v="0"/>
    <n v="418"/>
    <x v="5"/>
  </r>
  <r>
    <n v="1766"/>
    <s v="Teodoro Lim Bagtas"/>
    <x v="3"/>
    <s v="Male"/>
    <n v="48"/>
    <x v="2"/>
    <x v="683"/>
    <x v="2"/>
    <x v="2"/>
    <x v="1"/>
    <n v="2680"/>
    <x v="3"/>
  </r>
  <r>
    <n v="1767"/>
    <s v="Riley Bayani"/>
    <x v="0"/>
    <s v="Other"/>
    <n v="41"/>
    <x v="2"/>
    <x v="684"/>
    <x v="2"/>
    <x v="2"/>
    <x v="1"/>
    <n v="1235"/>
    <x v="4"/>
  </r>
  <r>
    <n v="1768"/>
    <s v="Manuel Torres Macaraeg"/>
    <x v="0"/>
    <s v="Other"/>
    <n v="29"/>
    <x v="3"/>
    <x v="685"/>
    <x v="2"/>
    <x v="2"/>
    <x v="1"/>
    <n v="3079"/>
    <x v="8"/>
  </r>
  <r>
    <n v="1769"/>
    <s v="Dennis Ramos Natividad"/>
    <x v="1"/>
    <s v="Male"/>
    <n v="29"/>
    <x v="3"/>
    <x v="686"/>
    <x v="2"/>
    <x v="2"/>
    <x v="1"/>
    <n v="658"/>
    <x v="5"/>
  </r>
  <r>
    <n v="1770"/>
    <s v="Maria Panganiban"/>
    <x v="4"/>
    <s v="Other"/>
    <n v="41"/>
    <x v="2"/>
    <x v="687"/>
    <x v="277"/>
    <x v="5"/>
    <x v="0"/>
    <n v="938"/>
    <x v="7"/>
  </r>
  <r>
    <n v="1771"/>
    <s v="Queenie Dela Cruz"/>
    <x v="2"/>
    <s v="Female"/>
    <n v="22"/>
    <x v="3"/>
    <x v="688"/>
    <x v="2"/>
    <x v="2"/>
    <x v="1"/>
    <n v="804"/>
    <x v="7"/>
  </r>
  <r>
    <n v="1772"/>
    <s v="Rosa Garcia Perez"/>
    <x v="1"/>
    <s v="Other"/>
    <n v="31"/>
    <x v="0"/>
    <x v="689"/>
    <x v="2"/>
    <x v="2"/>
    <x v="1"/>
    <n v="2888"/>
    <x v="3"/>
  </r>
  <r>
    <n v="1773"/>
    <s v="Eva Ramirez Figueroa"/>
    <x v="3"/>
    <s v="Female"/>
    <n v="57"/>
    <x v="1"/>
    <x v="690"/>
    <x v="278"/>
    <x v="1"/>
    <x v="0"/>
    <n v="1872"/>
    <x v="2"/>
  </r>
  <r>
    <n v="1774"/>
    <s v="Rachel Flores Flores"/>
    <x v="5"/>
    <s v="Female"/>
    <n v="38"/>
    <x v="0"/>
    <x v="691"/>
    <x v="2"/>
    <x v="2"/>
    <x v="1"/>
    <n v="1912"/>
    <x v="2"/>
  </r>
  <r>
    <n v="1775"/>
    <s v="Cameron Domingo Bautista"/>
    <x v="0"/>
    <s v="Other"/>
    <n v="39"/>
    <x v="0"/>
    <x v="628"/>
    <x v="279"/>
    <x v="5"/>
    <x v="0"/>
    <n v="136"/>
    <x v="1"/>
  </r>
  <r>
    <n v="1776"/>
    <s v="Alvin Ramos Ramos"/>
    <x v="1"/>
    <s v="Male"/>
    <n v="36"/>
    <x v="0"/>
    <x v="692"/>
    <x v="2"/>
    <x v="2"/>
    <x v="1"/>
    <n v="1577"/>
    <x v="0"/>
  </r>
  <r>
    <n v="1777"/>
    <s v="Cristina Bautista Go"/>
    <x v="2"/>
    <s v="Other"/>
    <n v="46"/>
    <x v="2"/>
    <x v="693"/>
    <x v="280"/>
    <x v="1"/>
    <x v="0"/>
    <n v="188"/>
    <x v="1"/>
  </r>
  <r>
    <n v="1778"/>
    <s v="Cristina Lazo"/>
    <x v="1"/>
    <s v="Other"/>
    <n v="51"/>
    <x v="1"/>
    <x v="21"/>
    <x v="2"/>
    <x v="2"/>
    <x v="1"/>
    <n v="1640"/>
    <x v="0"/>
  </r>
  <r>
    <n v="1779"/>
    <s v="Patricia Flores"/>
    <x v="1"/>
    <s v="Female"/>
    <n v="45"/>
    <x v="2"/>
    <x v="694"/>
    <x v="2"/>
    <x v="2"/>
    <x v="1"/>
    <n v="1852"/>
    <x v="2"/>
  </r>
  <r>
    <n v="1780"/>
    <s v="Gerald Navarro Suarez"/>
    <x v="0"/>
    <s v="Male"/>
    <n v="37"/>
    <x v="0"/>
    <x v="695"/>
    <x v="2"/>
    <x v="2"/>
    <x v="1"/>
    <n v="2396"/>
    <x v="6"/>
  </r>
  <r>
    <n v="1781"/>
    <s v="Vicente Sy Del Rosario"/>
    <x v="5"/>
    <s v="Male"/>
    <n v="37"/>
    <x v="0"/>
    <x v="696"/>
    <x v="281"/>
    <x v="8"/>
    <x v="0"/>
    <n v="613"/>
    <x v="5"/>
  </r>
  <r>
    <n v="1782"/>
    <s v="Cameron Jacinto"/>
    <x v="4"/>
    <s v="Other"/>
    <n v="65"/>
    <x v="4"/>
    <x v="697"/>
    <x v="282"/>
    <x v="6"/>
    <x v="0"/>
    <n v="258"/>
    <x v="1"/>
  </r>
  <r>
    <n v="1783"/>
    <s v="Elena Go Chan"/>
    <x v="5"/>
    <s v="Other"/>
    <n v="24"/>
    <x v="3"/>
    <x v="698"/>
    <x v="283"/>
    <x v="0"/>
    <x v="0"/>
    <n v="1031"/>
    <x v="7"/>
  </r>
  <r>
    <n v="1784"/>
    <s v="Rowena Torres Viray"/>
    <x v="4"/>
    <s v="Other"/>
    <n v="52"/>
    <x v="1"/>
    <x v="699"/>
    <x v="2"/>
    <x v="2"/>
    <x v="1"/>
    <n v="2924"/>
    <x v="8"/>
  </r>
  <r>
    <n v="1785"/>
    <s v="Juan Aguilar Del Rosario"/>
    <x v="2"/>
    <s v="Other"/>
    <n v="28"/>
    <x v="3"/>
    <x v="700"/>
    <x v="284"/>
    <x v="0"/>
    <x v="0"/>
    <n v="671"/>
    <x v="5"/>
  </r>
  <r>
    <n v="1786"/>
    <s v="Juan Elegado"/>
    <x v="0"/>
    <s v="Male"/>
    <n v="34"/>
    <x v="0"/>
    <x v="701"/>
    <x v="2"/>
    <x v="2"/>
    <x v="1"/>
    <n v="701"/>
    <x v="5"/>
  </r>
  <r>
    <n v="1787"/>
    <s v="Danilo Torres Bautista"/>
    <x v="1"/>
    <s v="Other"/>
    <n v="36"/>
    <x v="0"/>
    <x v="702"/>
    <x v="2"/>
    <x v="2"/>
    <x v="1"/>
    <n v="1051"/>
    <x v="7"/>
  </r>
  <r>
    <n v="1788"/>
    <s v="Ferdi Roque"/>
    <x v="4"/>
    <s v="Male"/>
    <n v="27"/>
    <x v="3"/>
    <x v="328"/>
    <x v="61"/>
    <x v="5"/>
    <x v="0"/>
    <n v="256"/>
    <x v="1"/>
  </r>
  <r>
    <n v="1789"/>
    <s v="Warren Dalisay"/>
    <x v="4"/>
    <s v="Male"/>
    <n v="42"/>
    <x v="2"/>
    <x v="703"/>
    <x v="2"/>
    <x v="2"/>
    <x v="1"/>
    <n v="2912"/>
    <x v="3"/>
  </r>
  <r>
    <n v="1790"/>
    <s v="Carlos Dalisay"/>
    <x v="3"/>
    <s v="Other"/>
    <n v="57"/>
    <x v="1"/>
    <x v="704"/>
    <x v="285"/>
    <x v="3"/>
    <x v="0"/>
    <n v="289"/>
    <x v="1"/>
  </r>
  <r>
    <n v="1791"/>
    <s v="Hernando Sy"/>
    <x v="5"/>
    <s v="Male"/>
    <n v="45"/>
    <x v="2"/>
    <x v="705"/>
    <x v="2"/>
    <x v="2"/>
    <x v="1"/>
    <n v="2712"/>
    <x v="3"/>
  </r>
  <r>
    <n v="1792"/>
    <s v="Vanessa Co"/>
    <x v="2"/>
    <s v="Female"/>
    <n v="34"/>
    <x v="0"/>
    <x v="358"/>
    <x v="2"/>
    <x v="2"/>
    <x v="1"/>
    <n v="2424"/>
    <x v="6"/>
  </r>
  <r>
    <n v="1793"/>
    <s v="Grace Guevarra"/>
    <x v="3"/>
    <s v="Female"/>
    <n v="40"/>
    <x v="2"/>
    <x v="706"/>
    <x v="2"/>
    <x v="2"/>
    <x v="1"/>
    <n v="1081"/>
    <x v="7"/>
  </r>
  <r>
    <n v="1794"/>
    <s v="Gina Sy Wong"/>
    <x v="4"/>
    <s v="Female"/>
    <n v="44"/>
    <x v="2"/>
    <x v="707"/>
    <x v="286"/>
    <x v="3"/>
    <x v="0"/>
    <n v="546"/>
    <x v="5"/>
  </r>
  <r>
    <n v="1795"/>
    <s v="Eduardo Go Cueto"/>
    <x v="1"/>
    <s v="Male"/>
    <n v="44"/>
    <x v="2"/>
    <x v="708"/>
    <x v="287"/>
    <x v="5"/>
    <x v="0"/>
    <n v="412"/>
    <x v="5"/>
  </r>
  <r>
    <n v="1796"/>
    <s v="Mark Sy Ramos"/>
    <x v="5"/>
    <s v="Male"/>
    <n v="30"/>
    <x v="0"/>
    <x v="98"/>
    <x v="2"/>
    <x v="2"/>
    <x v="1"/>
    <n v="1063"/>
    <x v="7"/>
  </r>
  <r>
    <n v="1797"/>
    <s v="Manuel Pascual Uy"/>
    <x v="1"/>
    <s v="Other"/>
    <n v="40"/>
    <x v="2"/>
    <x v="389"/>
    <x v="2"/>
    <x v="2"/>
    <x v="1"/>
    <n v="2483"/>
    <x v="6"/>
  </r>
  <r>
    <n v="1798"/>
    <s v="Cardo Delos Reyes"/>
    <x v="0"/>
    <s v="Male"/>
    <n v="23"/>
    <x v="3"/>
    <x v="359"/>
    <x v="288"/>
    <x v="5"/>
    <x v="0"/>
    <n v="525"/>
    <x v="5"/>
  </r>
  <r>
    <n v="1799"/>
    <s v="Miguel Gonzales"/>
    <x v="2"/>
    <s v="Male"/>
    <n v="58"/>
    <x v="1"/>
    <x v="709"/>
    <x v="2"/>
    <x v="2"/>
    <x v="1"/>
    <n v="2757"/>
    <x v="3"/>
  </r>
  <r>
    <n v="1800"/>
    <s v="Luisa Trinidad"/>
    <x v="0"/>
    <s v="Other"/>
    <n v="64"/>
    <x v="4"/>
    <x v="194"/>
    <x v="289"/>
    <x v="6"/>
    <x v="0"/>
    <n v="1309"/>
    <x v="4"/>
  </r>
  <r>
    <n v="1801"/>
    <s v="Taylor Santos Lacson"/>
    <x v="4"/>
    <s v="Other"/>
    <n v="32"/>
    <x v="0"/>
    <x v="710"/>
    <x v="290"/>
    <x v="3"/>
    <x v="0"/>
    <n v="1152"/>
    <x v="4"/>
  </r>
  <r>
    <n v="1802"/>
    <s v="Ivy Sia"/>
    <x v="4"/>
    <s v="Female"/>
    <n v="51"/>
    <x v="1"/>
    <x v="711"/>
    <x v="2"/>
    <x v="2"/>
    <x v="1"/>
    <n v="1207"/>
    <x v="4"/>
  </r>
  <r>
    <n v="1803"/>
    <s v="Arnel Cruz"/>
    <x v="3"/>
    <s v="Male"/>
    <n v="46"/>
    <x v="2"/>
    <x v="694"/>
    <x v="291"/>
    <x v="0"/>
    <x v="0"/>
    <n v="366"/>
    <x v="5"/>
  </r>
  <r>
    <n v="1804"/>
    <s v="Olive Go Diaz"/>
    <x v="1"/>
    <s v="Female"/>
    <n v="51"/>
    <x v="1"/>
    <x v="712"/>
    <x v="292"/>
    <x v="5"/>
    <x v="0"/>
    <n v="213"/>
    <x v="1"/>
  </r>
  <r>
    <n v="1805"/>
    <s v="Victor Uy Viray"/>
    <x v="1"/>
    <s v="Male"/>
    <n v="28"/>
    <x v="3"/>
    <x v="713"/>
    <x v="2"/>
    <x v="2"/>
    <x v="1"/>
    <n v="2411"/>
    <x v="6"/>
  </r>
  <r>
    <n v="1806"/>
    <s v="Bea Camacho"/>
    <x v="0"/>
    <s v="Female"/>
    <n v="57"/>
    <x v="1"/>
    <x v="714"/>
    <x v="293"/>
    <x v="0"/>
    <x v="0"/>
    <n v="106"/>
    <x v="1"/>
  </r>
  <r>
    <n v="1807"/>
    <s v="Xander Obispo"/>
    <x v="5"/>
    <s v="Male"/>
    <n v="56"/>
    <x v="1"/>
    <x v="715"/>
    <x v="294"/>
    <x v="8"/>
    <x v="0"/>
    <n v="908"/>
    <x v="7"/>
  </r>
  <r>
    <n v="1808"/>
    <s v="Teresa Navarro Cruz"/>
    <x v="5"/>
    <s v="Other"/>
    <n v="52"/>
    <x v="1"/>
    <x v="716"/>
    <x v="2"/>
    <x v="2"/>
    <x v="1"/>
    <n v="2142"/>
    <x v="2"/>
  </r>
  <r>
    <n v="1809"/>
    <s v="Bea Castro Cruz"/>
    <x v="0"/>
    <s v="Female"/>
    <n v="47"/>
    <x v="2"/>
    <x v="717"/>
    <x v="295"/>
    <x v="5"/>
    <x v="0"/>
    <n v="800"/>
    <x v="7"/>
  </r>
  <r>
    <n v="1810"/>
    <s v="Gerald Quiambao"/>
    <x v="0"/>
    <s v="Male"/>
    <n v="53"/>
    <x v="1"/>
    <x v="718"/>
    <x v="2"/>
    <x v="2"/>
    <x v="1"/>
    <n v="2192"/>
    <x v="6"/>
  </r>
  <r>
    <n v="1811"/>
    <s v="Jerome Tuazon"/>
    <x v="5"/>
    <s v="Male"/>
    <n v="39"/>
    <x v="0"/>
    <x v="719"/>
    <x v="2"/>
    <x v="2"/>
    <x v="1"/>
    <n v="1493"/>
    <x v="0"/>
  </r>
  <r>
    <n v="1812"/>
    <s v="Ferdi Lopez Flores"/>
    <x v="2"/>
    <s v="Male"/>
    <n v="39"/>
    <x v="0"/>
    <x v="642"/>
    <x v="2"/>
    <x v="2"/>
    <x v="1"/>
    <n v="262"/>
    <x v="1"/>
  </r>
  <r>
    <n v="1813"/>
    <s v="Rosa Crisostomo"/>
    <x v="0"/>
    <s v="Female"/>
    <n v="47"/>
    <x v="2"/>
    <x v="720"/>
    <x v="296"/>
    <x v="8"/>
    <x v="0"/>
    <n v="304"/>
    <x v="1"/>
  </r>
  <r>
    <n v="1814"/>
    <s v="Karen Ramirez Lacson"/>
    <x v="4"/>
    <s v="Female"/>
    <n v="53"/>
    <x v="1"/>
    <x v="721"/>
    <x v="2"/>
    <x v="2"/>
    <x v="1"/>
    <n v="2961"/>
    <x v="8"/>
  </r>
  <r>
    <n v="1815"/>
    <s v="Elena Fernandez Jacinto"/>
    <x v="1"/>
    <s v="Female"/>
    <n v="37"/>
    <x v="0"/>
    <x v="722"/>
    <x v="2"/>
    <x v="2"/>
    <x v="1"/>
    <n v="1698"/>
    <x v="0"/>
  </r>
  <r>
    <n v="1816"/>
    <s v="Morgan Lopez"/>
    <x v="2"/>
    <s v="Other"/>
    <n v="27"/>
    <x v="3"/>
    <x v="723"/>
    <x v="142"/>
    <x v="3"/>
    <x v="0"/>
    <n v="146"/>
    <x v="1"/>
  </r>
  <r>
    <n v="1817"/>
    <s v="Morgan Santiago"/>
    <x v="0"/>
    <s v="Other"/>
    <n v="27"/>
    <x v="3"/>
    <x v="231"/>
    <x v="297"/>
    <x v="0"/>
    <x v="0"/>
    <n v="197"/>
    <x v="1"/>
  </r>
  <r>
    <n v="1818"/>
    <s v="Lourdes Domingo"/>
    <x v="1"/>
    <s v="Female"/>
    <n v="49"/>
    <x v="2"/>
    <x v="554"/>
    <x v="2"/>
    <x v="2"/>
    <x v="1"/>
    <n v="1019"/>
    <x v="7"/>
  </r>
  <r>
    <n v="1819"/>
    <s v="Maria Uy"/>
    <x v="4"/>
    <s v="Female"/>
    <n v="33"/>
    <x v="0"/>
    <x v="724"/>
    <x v="2"/>
    <x v="2"/>
    <x v="1"/>
    <n v="1293"/>
    <x v="4"/>
  </r>
  <r>
    <n v="1820"/>
    <s v="Teresita Domingo"/>
    <x v="0"/>
    <s v="Female"/>
    <n v="31"/>
    <x v="0"/>
    <x v="536"/>
    <x v="298"/>
    <x v="5"/>
    <x v="0"/>
    <n v="1789"/>
    <x v="0"/>
  </r>
  <r>
    <n v="1821"/>
    <s v="Ana Roque"/>
    <x v="0"/>
    <s v="Other"/>
    <n v="29"/>
    <x v="3"/>
    <x v="725"/>
    <x v="2"/>
    <x v="2"/>
    <x v="1"/>
    <n v="1335"/>
    <x v="4"/>
  </r>
  <r>
    <n v="1822"/>
    <s v="Teresa Navarro Aquino"/>
    <x v="0"/>
    <s v="Other"/>
    <n v="22"/>
    <x v="3"/>
    <x v="658"/>
    <x v="299"/>
    <x v="1"/>
    <x v="0"/>
    <n v="110"/>
    <x v="1"/>
  </r>
  <r>
    <n v="1823"/>
    <s v="Jamie Delos Reyes"/>
    <x v="4"/>
    <s v="Other"/>
    <n v="48"/>
    <x v="2"/>
    <x v="726"/>
    <x v="2"/>
    <x v="2"/>
    <x v="1"/>
    <n v="2840"/>
    <x v="3"/>
  </r>
  <r>
    <n v="1824"/>
    <s v="Pete Sia"/>
    <x v="1"/>
    <s v="Male"/>
    <n v="54"/>
    <x v="1"/>
    <x v="727"/>
    <x v="2"/>
    <x v="2"/>
    <x v="1"/>
    <n v="1880"/>
    <x v="2"/>
  </r>
  <r>
    <n v="1825"/>
    <s v="Diosdado Flores Jimenez"/>
    <x v="4"/>
    <s v="Male"/>
    <n v="38"/>
    <x v="0"/>
    <x v="728"/>
    <x v="2"/>
    <x v="2"/>
    <x v="1"/>
    <n v="930"/>
    <x v="7"/>
  </r>
  <r>
    <n v="1826"/>
    <s v="Bryan Diaz Ramos"/>
    <x v="2"/>
    <s v="Male"/>
    <n v="49"/>
    <x v="2"/>
    <x v="729"/>
    <x v="300"/>
    <x v="1"/>
    <x v="0"/>
    <n v="193"/>
    <x v="1"/>
  </r>
  <r>
    <n v="1827"/>
    <s v="Carlos Soriano Rivera"/>
    <x v="4"/>
    <s v="Other"/>
    <n v="29"/>
    <x v="3"/>
    <x v="730"/>
    <x v="2"/>
    <x v="2"/>
    <x v="1"/>
    <n v="960"/>
    <x v="7"/>
  </r>
  <r>
    <n v="1828"/>
    <s v="Rosa Bautista Bagtas"/>
    <x v="0"/>
    <s v="Other"/>
    <n v="59"/>
    <x v="1"/>
    <x v="731"/>
    <x v="301"/>
    <x v="6"/>
    <x v="0"/>
    <n v="1149"/>
    <x v="4"/>
  </r>
  <r>
    <n v="1829"/>
    <s v="Daisy Santos Sia"/>
    <x v="2"/>
    <s v="Female"/>
    <n v="53"/>
    <x v="1"/>
    <x v="21"/>
    <x v="302"/>
    <x v="4"/>
    <x v="0"/>
    <n v="1423"/>
    <x v="4"/>
  </r>
  <r>
    <n v="1830"/>
    <s v="Gloria Soriano Perez"/>
    <x v="4"/>
    <s v="Other"/>
    <n v="58"/>
    <x v="1"/>
    <x v="277"/>
    <x v="2"/>
    <x v="2"/>
    <x v="1"/>
    <n v="775"/>
    <x v="7"/>
  </r>
  <r>
    <n v="1831"/>
    <s v="Eduardo Castro Lopez"/>
    <x v="4"/>
    <s v="Other"/>
    <n v="57"/>
    <x v="1"/>
    <x v="549"/>
    <x v="303"/>
    <x v="8"/>
    <x v="0"/>
    <n v="186"/>
    <x v="1"/>
  </r>
  <r>
    <n v="1832"/>
    <s v="Paolo Sy Ramos"/>
    <x v="2"/>
    <s v="Male"/>
    <n v="27"/>
    <x v="3"/>
    <x v="568"/>
    <x v="2"/>
    <x v="2"/>
    <x v="1"/>
    <n v="2491"/>
    <x v="6"/>
  </r>
  <r>
    <n v="1833"/>
    <s v="Larry Tolentino"/>
    <x v="2"/>
    <s v="Male"/>
    <n v="49"/>
    <x v="2"/>
    <x v="732"/>
    <x v="304"/>
    <x v="7"/>
    <x v="0"/>
    <n v="1739"/>
    <x v="0"/>
  </r>
  <r>
    <n v="1834"/>
    <s v="Gani Dela Torre"/>
    <x v="0"/>
    <s v="Male"/>
    <n v="49"/>
    <x v="2"/>
    <x v="733"/>
    <x v="2"/>
    <x v="2"/>
    <x v="1"/>
    <n v="269"/>
    <x v="1"/>
  </r>
  <r>
    <n v="1835"/>
    <s v="Belinda Torres Lazo"/>
    <x v="2"/>
    <s v="Female"/>
    <n v="29"/>
    <x v="3"/>
    <x v="734"/>
    <x v="2"/>
    <x v="2"/>
    <x v="1"/>
    <n v="1106"/>
    <x v="4"/>
  </r>
  <r>
    <n v="1836"/>
    <s v="Kevin Castro"/>
    <x v="5"/>
    <s v="Male"/>
    <n v="23"/>
    <x v="3"/>
    <x v="735"/>
    <x v="2"/>
    <x v="2"/>
    <x v="1"/>
    <n v="2449"/>
    <x v="6"/>
  </r>
  <r>
    <n v="1837"/>
    <s v="Grace Ang Ignacio"/>
    <x v="4"/>
    <s v="Female"/>
    <n v="57"/>
    <x v="1"/>
    <x v="187"/>
    <x v="305"/>
    <x v="0"/>
    <x v="0"/>
    <n v="403"/>
    <x v="5"/>
  </r>
  <r>
    <n v="1838"/>
    <s v="Ofelia Navarro"/>
    <x v="1"/>
    <s v="Female"/>
    <n v="58"/>
    <x v="1"/>
    <x v="384"/>
    <x v="306"/>
    <x v="3"/>
    <x v="0"/>
    <n v="714"/>
    <x v="5"/>
  </r>
  <r>
    <n v="1839"/>
    <s v="Yvonne Uy Umali"/>
    <x v="0"/>
    <s v="Female"/>
    <n v="43"/>
    <x v="2"/>
    <x v="19"/>
    <x v="2"/>
    <x v="2"/>
    <x v="1"/>
    <n v="2815"/>
    <x v="3"/>
  </r>
  <r>
    <n v="1840"/>
    <s v="Carmen Natividad"/>
    <x v="3"/>
    <s v="Other"/>
    <n v="51"/>
    <x v="1"/>
    <x v="528"/>
    <x v="307"/>
    <x v="8"/>
    <x v="0"/>
    <n v="231"/>
    <x v="1"/>
  </r>
  <r>
    <n v="1841"/>
    <s v="Ana Tan Salazar"/>
    <x v="1"/>
    <s v="Other"/>
    <n v="26"/>
    <x v="3"/>
    <x v="736"/>
    <x v="2"/>
    <x v="2"/>
    <x v="1"/>
    <n v="532"/>
    <x v="5"/>
  </r>
  <r>
    <n v="1842"/>
    <s v="Imelda Soriano Lazo"/>
    <x v="4"/>
    <s v="Female"/>
    <n v="49"/>
    <x v="2"/>
    <x v="300"/>
    <x v="2"/>
    <x v="2"/>
    <x v="1"/>
    <n v="1955"/>
    <x v="2"/>
  </r>
  <r>
    <n v="1843"/>
    <s v="Mae Diaz"/>
    <x v="0"/>
    <s v="Female"/>
    <n v="56"/>
    <x v="1"/>
    <x v="421"/>
    <x v="308"/>
    <x v="4"/>
    <x v="0"/>
    <n v="306"/>
    <x v="1"/>
  </r>
  <r>
    <n v="1844"/>
    <s v="Celine Uy Santiago"/>
    <x v="0"/>
    <s v="Female"/>
    <n v="55"/>
    <x v="1"/>
    <x v="737"/>
    <x v="2"/>
    <x v="2"/>
    <x v="1"/>
    <n v="2355"/>
    <x v="6"/>
  </r>
  <r>
    <n v="1845"/>
    <s v="Gani Gonzales Cruz"/>
    <x v="1"/>
    <s v="Male"/>
    <n v="41"/>
    <x v="2"/>
    <x v="738"/>
    <x v="2"/>
    <x v="2"/>
    <x v="1"/>
    <n v="1446"/>
    <x v="4"/>
  </r>
  <r>
    <n v="1846"/>
    <s v="Gloria Gonzales Pascual"/>
    <x v="4"/>
    <s v="Other"/>
    <n v="41"/>
    <x v="2"/>
    <x v="739"/>
    <x v="309"/>
    <x v="4"/>
    <x v="0"/>
    <n v="324"/>
    <x v="1"/>
  </r>
  <r>
    <n v="1847"/>
    <s v="Pilar Solis"/>
    <x v="4"/>
    <s v="Female"/>
    <n v="40"/>
    <x v="2"/>
    <x v="740"/>
    <x v="2"/>
    <x v="2"/>
    <x v="1"/>
    <n v="1423"/>
    <x v="4"/>
  </r>
  <r>
    <n v="1848"/>
    <s v="Rodel Torres Chan"/>
    <x v="1"/>
    <s v="Other"/>
    <n v="40"/>
    <x v="2"/>
    <x v="741"/>
    <x v="310"/>
    <x v="5"/>
    <x v="0"/>
    <n v="381"/>
    <x v="5"/>
  </r>
  <r>
    <n v="1849"/>
    <s v="Kath Salazar"/>
    <x v="1"/>
    <s v="Female"/>
    <n v="58"/>
    <x v="1"/>
    <x v="742"/>
    <x v="2"/>
    <x v="2"/>
    <x v="1"/>
    <n v="2123"/>
    <x v="2"/>
  </r>
  <r>
    <n v="1850"/>
    <s v="Queenie Mendoza Cruz"/>
    <x v="4"/>
    <s v="Female"/>
    <n v="56"/>
    <x v="1"/>
    <x v="743"/>
    <x v="311"/>
    <x v="5"/>
    <x v="0"/>
    <n v="149"/>
    <x v="1"/>
  </r>
  <r>
    <n v="1851"/>
    <s v="Warren Ramos"/>
    <x v="4"/>
    <s v="Male"/>
    <n v="29"/>
    <x v="3"/>
    <x v="744"/>
    <x v="2"/>
    <x v="2"/>
    <x v="1"/>
    <n v="1844"/>
    <x v="2"/>
  </r>
  <r>
    <n v="1852"/>
    <s v="Juan Sy Uy"/>
    <x v="0"/>
    <s v="Other"/>
    <n v="30"/>
    <x v="0"/>
    <x v="745"/>
    <x v="2"/>
    <x v="2"/>
    <x v="1"/>
    <n v="1562"/>
    <x v="0"/>
  </r>
  <r>
    <n v="1853"/>
    <s v="Aldrin Corpuz"/>
    <x v="3"/>
    <s v="Male"/>
    <n v="23"/>
    <x v="3"/>
    <x v="746"/>
    <x v="2"/>
    <x v="2"/>
    <x v="1"/>
    <n v="3087"/>
    <x v="8"/>
  </r>
  <r>
    <n v="1854"/>
    <s v="Arnel Manalang"/>
    <x v="1"/>
    <s v="Other"/>
    <n v="51"/>
    <x v="1"/>
    <x v="747"/>
    <x v="2"/>
    <x v="2"/>
    <x v="1"/>
    <n v="1972"/>
    <x v="2"/>
  </r>
  <r>
    <n v="1855"/>
    <s v="Morgan Ramirez"/>
    <x v="1"/>
    <s v="Other"/>
    <n v="62"/>
    <x v="4"/>
    <x v="75"/>
    <x v="312"/>
    <x v="6"/>
    <x v="0"/>
    <n v="376"/>
    <x v="5"/>
  </r>
  <r>
    <n v="1856"/>
    <s v="Rodel Guevarra"/>
    <x v="3"/>
    <s v="Other"/>
    <n v="34"/>
    <x v="0"/>
    <x v="748"/>
    <x v="2"/>
    <x v="2"/>
    <x v="1"/>
    <n v="591"/>
    <x v="5"/>
  </r>
  <r>
    <n v="1857"/>
    <s v="Carmen Ramos Perez"/>
    <x v="0"/>
    <s v="Other"/>
    <n v="49"/>
    <x v="2"/>
    <x v="749"/>
    <x v="313"/>
    <x v="5"/>
    <x v="0"/>
    <n v="748"/>
    <x v="7"/>
  </r>
  <r>
    <n v="1858"/>
    <s v="Jacqueline Ang Bondoc"/>
    <x v="5"/>
    <s v="Female"/>
    <n v="51"/>
    <x v="1"/>
    <x v="750"/>
    <x v="2"/>
    <x v="2"/>
    <x v="1"/>
    <n v="3074"/>
    <x v="8"/>
  </r>
  <r>
    <n v="1859"/>
    <s v="Joselito Crisostomo"/>
    <x v="5"/>
    <s v="Male"/>
    <n v="25"/>
    <x v="3"/>
    <x v="428"/>
    <x v="93"/>
    <x v="5"/>
    <x v="0"/>
    <n v="777"/>
    <x v="7"/>
  </r>
  <r>
    <n v="1860"/>
    <s v="Jose Castro Castro"/>
    <x v="4"/>
    <s v="Male"/>
    <n v="45"/>
    <x v="2"/>
    <x v="751"/>
    <x v="2"/>
    <x v="2"/>
    <x v="1"/>
    <n v="2366"/>
    <x v="6"/>
  </r>
  <r>
    <n v="1861"/>
    <s v="Mylene Soriano Diaz"/>
    <x v="4"/>
    <s v="Female"/>
    <n v="22"/>
    <x v="3"/>
    <x v="752"/>
    <x v="2"/>
    <x v="2"/>
    <x v="1"/>
    <n v="1940"/>
    <x v="2"/>
  </r>
  <r>
    <n v="1862"/>
    <s v="Natividad Tan Santos"/>
    <x v="2"/>
    <s v="Female"/>
    <n v="52"/>
    <x v="1"/>
    <x v="15"/>
    <x v="314"/>
    <x v="3"/>
    <x v="0"/>
    <n v="1099"/>
    <x v="4"/>
  </r>
  <r>
    <n v="1863"/>
    <s v="Tess Figueroa"/>
    <x v="1"/>
    <s v="Female"/>
    <n v="53"/>
    <x v="1"/>
    <x v="182"/>
    <x v="315"/>
    <x v="7"/>
    <x v="0"/>
    <n v="288"/>
    <x v="1"/>
  </r>
  <r>
    <n v="1864"/>
    <s v="Celine Diaz"/>
    <x v="0"/>
    <s v="Female"/>
    <n v="29"/>
    <x v="3"/>
    <x v="753"/>
    <x v="316"/>
    <x v="3"/>
    <x v="0"/>
    <n v="1023"/>
    <x v="7"/>
  </r>
  <r>
    <n v="1865"/>
    <s v="Alex Estrada"/>
    <x v="1"/>
    <s v="Other"/>
    <n v="55"/>
    <x v="1"/>
    <x v="754"/>
    <x v="317"/>
    <x v="3"/>
    <x v="0"/>
    <n v="376"/>
    <x v="5"/>
  </r>
  <r>
    <n v="1866"/>
    <s v="Wendy Go Ang"/>
    <x v="3"/>
    <s v="Female"/>
    <n v="41"/>
    <x v="2"/>
    <x v="755"/>
    <x v="2"/>
    <x v="2"/>
    <x v="1"/>
    <n v="1320"/>
    <x v="4"/>
  </r>
  <r>
    <n v="1867"/>
    <s v="Dennis Diaz Santos"/>
    <x v="0"/>
    <s v="Male"/>
    <n v="23"/>
    <x v="3"/>
    <x v="756"/>
    <x v="240"/>
    <x v="8"/>
    <x v="0"/>
    <n v="1810"/>
    <x v="0"/>
  </r>
  <r>
    <n v="1868"/>
    <s v="Samuel Villanueva"/>
    <x v="1"/>
    <s v="Male"/>
    <n v="22"/>
    <x v="3"/>
    <x v="757"/>
    <x v="2"/>
    <x v="2"/>
    <x v="1"/>
    <n v="2167"/>
    <x v="2"/>
  </r>
  <r>
    <n v="1869"/>
    <s v="Ramon Reyes Umali"/>
    <x v="1"/>
    <s v="Male"/>
    <n v="25"/>
    <x v="3"/>
    <x v="758"/>
    <x v="2"/>
    <x v="2"/>
    <x v="1"/>
    <n v="527"/>
    <x v="5"/>
  </r>
  <r>
    <n v="1870"/>
    <s v="Roberto Mercado Mangubat"/>
    <x v="0"/>
    <s v="Male"/>
    <n v="60"/>
    <x v="4"/>
    <x v="759"/>
    <x v="318"/>
    <x v="6"/>
    <x v="0"/>
    <n v="1059"/>
    <x v="7"/>
  </r>
  <r>
    <n v="1871"/>
    <s v="Lourdes Bautista Castro"/>
    <x v="3"/>
    <s v="Other"/>
    <n v="49"/>
    <x v="2"/>
    <x v="760"/>
    <x v="2"/>
    <x v="2"/>
    <x v="1"/>
    <n v="2700"/>
    <x v="3"/>
  </r>
  <r>
    <n v="1872"/>
    <s v="Timothy Bautista Aquino"/>
    <x v="3"/>
    <s v="Male"/>
    <n v="25"/>
    <x v="3"/>
    <x v="761"/>
    <x v="319"/>
    <x v="0"/>
    <x v="0"/>
    <n v="1900"/>
    <x v="2"/>
  </r>
  <r>
    <n v="1873"/>
    <s v="Eva Sy Salazar"/>
    <x v="0"/>
    <s v="Female"/>
    <n v="50"/>
    <x v="1"/>
    <x v="738"/>
    <x v="320"/>
    <x v="6"/>
    <x v="0"/>
    <n v="931"/>
    <x v="7"/>
  </r>
  <r>
    <n v="1874"/>
    <s v="Ramon Castro Roque"/>
    <x v="2"/>
    <s v="Male"/>
    <n v="42"/>
    <x v="2"/>
    <x v="337"/>
    <x v="2"/>
    <x v="2"/>
    <x v="1"/>
    <n v="425"/>
    <x v="5"/>
  </r>
  <r>
    <n v="1875"/>
    <s v="Leonora Domingo Macapagal"/>
    <x v="1"/>
    <s v="Female"/>
    <n v="25"/>
    <x v="3"/>
    <x v="762"/>
    <x v="2"/>
    <x v="2"/>
    <x v="1"/>
    <n v="663"/>
    <x v="5"/>
  </r>
  <r>
    <n v="1876"/>
    <s v="Christian Vega Narvasa"/>
    <x v="4"/>
    <s v="Male"/>
    <n v="49"/>
    <x v="2"/>
    <x v="763"/>
    <x v="321"/>
    <x v="0"/>
    <x v="0"/>
    <n v="270"/>
    <x v="1"/>
  </r>
  <r>
    <n v="1877"/>
    <s v="Cristina Santos Buenaventura"/>
    <x v="4"/>
    <s v="Other"/>
    <n v="30"/>
    <x v="0"/>
    <x v="764"/>
    <x v="2"/>
    <x v="2"/>
    <x v="1"/>
    <n v="2488"/>
    <x v="6"/>
  </r>
  <r>
    <n v="1878"/>
    <s v="Kristoffer Vega"/>
    <x v="0"/>
    <s v="Male"/>
    <n v="30"/>
    <x v="0"/>
    <x v="765"/>
    <x v="322"/>
    <x v="5"/>
    <x v="0"/>
    <n v="313"/>
    <x v="1"/>
  </r>
  <r>
    <n v="1879"/>
    <s v="Fe Perez"/>
    <x v="1"/>
    <s v="Female"/>
    <n v="33"/>
    <x v="0"/>
    <x v="766"/>
    <x v="2"/>
    <x v="2"/>
    <x v="1"/>
    <n v="356"/>
    <x v="1"/>
  </r>
  <r>
    <n v="1880"/>
    <s v="Alvin Santos Garcia"/>
    <x v="2"/>
    <s v="Male"/>
    <n v="42"/>
    <x v="2"/>
    <x v="293"/>
    <x v="323"/>
    <x v="0"/>
    <x v="0"/>
    <n v="258"/>
    <x v="1"/>
  </r>
  <r>
    <n v="1881"/>
    <s v="Danilo Tan San Pedro"/>
    <x v="0"/>
    <s v="Other"/>
    <n v="50"/>
    <x v="1"/>
    <x v="767"/>
    <x v="324"/>
    <x v="1"/>
    <x v="0"/>
    <n v="336"/>
    <x v="1"/>
  </r>
  <r>
    <n v="1882"/>
    <s v="Cameron Santiago Chua"/>
    <x v="1"/>
    <s v="Other"/>
    <n v="44"/>
    <x v="2"/>
    <x v="768"/>
    <x v="325"/>
    <x v="8"/>
    <x v="0"/>
    <n v="212"/>
    <x v="1"/>
  </r>
  <r>
    <n v="1883"/>
    <s v="Karen Castro Hilario"/>
    <x v="1"/>
    <s v="Female"/>
    <n v="55"/>
    <x v="1"/>
    <x v="153"/>
    <x v="326"/>
    <x v="6"/>
    <x v="0"/>
    <n v="1903"/>
    <x v="2"/>
  </r>
  <r>
    <n v="1884"/>
    <s v="Avery Panganiban"/>
    <x v="1"/>
    <s v="Other"/>
    <n v="27"/>
    <x v="3"/>
    <x v="769"/>
    <x v="2"/>
    <x v="2"/>
    <x v="1"/>
    <n v="3006"/>
    <x v="8"/>
  </r>
  <r>
    <n v="1885"/>
    <s v="Kevin Ignacio"/>
    <x v="2"/>
    <s v="Male"/>
    <n v="34"/>
    <x v="0"/>
    <x v="770"/>
    <x v="2"/>
    <x v="2"/>
    <x v="1"/>
    <n v="1842"/>
    <x v="2"/>
  </r>
  <r>
    <n v="1886"/>
    <s v="Miguel Santiago Fajardo"/>
    <x v="3"/>
    <s v="Other"/>
    <n v="48"/>
    <x v="2"/>
    <x v="771"/>
    <x v="327"/>
    <x v="3"/>
    <x v="0"/>
    <n v="625"/>
    <x v="5"/>
  </r>
  <r>
    <n v="1887"/>
    <s v="Xander Diaz"/>
    <x v="4"/>
    <s v="Male"/>
    <n v="36"/>
    <x v="0"/>
    <x v="772"/>
    <x v="2"/>
    <x v="2"/>
    <x v="1"/>
    <n v="2902"/>
    <x v="3"/>
  </r>
  <r>
    <n v="1888"/>
    <s v="Celine Flores"/>
    <x v="4"/>
    <s v="Female"/>
    <n v="36"/>
    <x v="0"/>
    <x v="773"/>
    <x v="2"/>
    <x v="2"/>
    <x v="1"/>
    <n v="2873"/>
    <x v="3"/>
  </r>
  <r>
    <n v="1889"/>
    <s v="Josephine Rivera Aquino"/>
    <x v="3"/>
    <s v="Other"/>
    <n v="34"/>
    <x v="0"/>
    <x v="774"/>
    <x v="2"/>
    <x v="2"/>
    <x v="1"/>
    <n v="2758"/>
    <x v="3"/>
  </r>
  <r>
    <n v="1890"/>
    <s v="Cardo Santiago Soriano"/>
    <x v="5"/>
    <s v="Male"/>
    <n v="53"/>
    <x v="1"/>
    <x v="775"/>
    <x v="2"/>
    <x v="2"/>
    <x v="1"/>
    <n v="1559"/>
    <x v="0"/>
  </r>
  <r>
    <n v="1891"/>
    <s v="Willy Ramirez Corpuz"/>
    <x v="0"/>
    <s v="Male"/>
    <n v="52"/>
    <x v="1"/>
    <x v="530"/>
    <x v="212"/>
    <x v="7"/>
    <x v="0"/>
    <n v="911"/>
    <x v="7"/>
  </r>
  <r>
    <n v="1892"/>
    <s v="Vince Aguilar"/>
    <x v="2"/>
    <s v="Male"/>
    <n v="36"/>
    <x v="0"/>
    <x v="776"/>
    <x v="328"/>
    <x v="3"/>
    <x v="0"/>
    <n v="960"/>
    <x v="7"/>
  </r>
  <r>
    <n v="1893"/>
    <s v="Cardo Cueto"/>
    <x v="4"/>
    <s v="Male"/>
    <n v="51"/>
    <x v="1"/>
    <x v="777"/>
    <x v="329"/>
    <x v="6"/>
    <x v="0"/>
    <n v="1530"/>
    <x v="0"/>
  </r>
  <r>
    <n v="1894"/>
    <s v="Dennis Gonzales Wong"/>
    <x v="4"/>
    <s v="Male"/>
    <n v="47"/>
    <x v="2"/>
    <x v="778"/>
    <x v="2"/>
    <x v="2"/>
    <x v="1"/>
    <n v="1586"/>
    <x v="0"/>
  </r>
  <r>
    <n v="1895"/>
    <s v="Estrella Garcia Bagtas"/>
    <x v="4"/>
    <s v="Female"/>
    <n v="25"/>
    <x v="3"/>
    <x v="779"/>
    <x v="2"/>
    <x v="2"/>
    <x v="1"/>
    <n v="1621"/>
    <x v="0"/>
  </r>
  <r>
    <n v="1896"/>
    <s v="Danilo Vega"/>
    <x v="2"/>
    <s v="Other"/>
    <n v="27"/>
    <x v="3"/>
    <x v="780"/>
    <x v="330"/>
    <x v="8"/>
    <x v="0"/>
    <n v="246"/>
    <x v="1"/>
  </r>
  <r>
    <n v="1897"/>
    <s v="Avery Miranda"/>
    <x v="4"/>
    <s v="Other"/>
    <n v="38"/>
    <x v="0"/>
    <x v="781"/>
    <x v="2"/>
    <x v="2"/>
    <x v="1"/>
    <n v="2311"/>
    <x v="6"/>
  </r>
  <r>
    <n v="1898"/>
    <s v="Vanessa Vergara"/>
    <x v="3"/>
    <s v="Female"/>
    <n v="40"/>
    <x v="2"/>
    <x v="687"/>
    <x v="2"/>
    <x v="2"/>
    <x v="1"/>
    <n v="1937"/>
    <x v="2"/>
  </r>
  <r>
    <n v="1899"/>
    <s v="Queenie Lim"/>
    <x v="5"/>
    <s v="Female"/>
    <n v="53"/>
    <x v="1"/>
    <x v="782"/>
    <x v="2"/>
    <x v="2"/>
    <x v="1"/>
    <n v="2480"/>
    <x v="6"/>
  </r>
  <r>
    <n v="1900"/>
    <s v="Fe Buenaventura"/>
    <x v="1"/>
    <s v="Female"/>
    <n v="58"/>
    <x v="1"/>
    <x v="783"/>
    <x v="2"/>
    <x v="2"/>
    <x v="1"/>
    <n v="828"/>
    <x v="7"/>
  </r>
  <r>
    <n v="1901"/>
    <s v="Sue Ramos Bautista"/>
    <x v="4"/>
    <s v="Female"/>
    <n v="47"/>
    <x v="2"/>
    <x v="400"/>
    <x v="2"/>
    <x v="2"/>
    <x v="1"/>
    <n v="2233"/>
    <x v="6"/>
  </r>
  <r>
    <n v="1902"/>
    <s v="Danilo Tan Tan"/>
    <x v="4"/>
    <s v="Other"/>
    <n v="52"/>
    <x v="1"/>
    <x v="126"/>
    <x v="2"/>
    <x v="2"/>
    <x v="1"/>
    <n v="393"/>
    <x v="5"/>
  </r>
  <r>
    <n v="1903"/>
    <s v="Maricel Ocampo"/>
    <x v="5"/>
    <s v="Other"/>
    <n v="40"/>
    <x v="2"/>
    <x v="348"/>
    <x v="2"/>
    <x v="2"/>
    <x v="1"/>
    <n v="1756"/>
    <x v="0"/>
  </r>
  <r>
    <n v="1904"/>
    <s v="Cristina Tan Quiambao"/>
    <x v="1"/>
    <s v="Other"/>
    <n v="42"/>
    <x v="2"/>
    <x v="784"/>
    <x v="2"/>
    <x v="2"/>
    <x v="1"/>
    <n v="764"/>
    <x v="7"/>
  </r>
  <r>
    <n v="1905"/>
    <s v="Leonora Uy Tuazon"/>
    <x v="3"/>
    <s v="Female"/>
    <n v="46"/>
    <x v="2"/>
    <x v="785"/>
    <x v="2"/>
    <x v="2"/>
    <x v="1"/>
    <n v="2831"/>
    <x v="3"/>
  </r>
  <r>
    <n v="1906"/>
    <s v="Jacqueline Ocampo"/>
    <x v="0"/>
    <s v="Female"/>
    <n v="31"/>
    <x v="0"/>
    <x v="786"/>
    <x v="2"/>
    <x v="2"/>
    <x v="1"/>
    <n v="2664"/>
    <x v="3"/>
  </r>
  <r>
    <n v="1907"/>
    <s v="Sarah Pascual Co"/>
    <x v="0"/>
    <s v="Female"/>
    <n v="33"/>
    <x v="0"/>
    <x v="787"/>
    <x v="2"/>
    <x v="2"/>
    <x v="1"/>
    <n v="2807"/>
    <x v="3"/>
  </r>
  <r>
    <n v="1908"/>
    <s v="Imelda Dalisay"/>
    <x v="5"/>
    <s v="Female"/>
    <n v="24"/>
    <x v="3"/>
    <x v="788"/>
    <x v="2"/>
    <x v="2"/>
    <x v="1"/>
    <n v="1582"/>
    <x v="0"/>
  </r>
  <r>
    <n v="1909"/>
    <s v="Hazel Flores Del Rosario"/>
    <x v="4"/>
    <s v="Female"/>
    <n v="28"/>
    <x v="3"/>
    <x v="154"/>
    <x v="2"/>
    <x v="2"/>
    <x v="1"/>
    <n v="2563"/>
    <x v="3"/>
  </r>
  <r>
    <n v="1910"/>
    <s v="Grace Go Ong"/>
    <x v="1"/>
    <s v="Female"/>
    <n v="48"/>
    <x v="2"/>
    <x v="592"/>
    <x v="2"/>
    <x v="2"/>
    <x v="1"/>
    <n v="369"/>
    <x v="5"/>
  </r>
  <r>
    <n v="1911"/>
    <s v="Teresita Ang Elegado"/>
    <x v="4"/>
    <s v="Female"/>
    <n v="30"/>
    <x v="0"/>
    <x v="789"/>
    <x v="331"/>
    <x v="7"/>
    <x v="0"/>
    <n v="907"/>
    <x v="7"/>
  </r>
  <r>
    <n v="1912"/>
    <s v="Alvin Manalang"/>
    <x v="0"/>
    <s v="Male"/>
    <n v="26"/>
    <x v="3"/>
    <x v="691"/>
    <x v="2"/>
    <x v="2"/>
    <x v="1"/>
    <n v="1912"/>
    <x v="2"/>
  </r>
  <r>
    <n v="1913"/>
    <s v="Eva Salazar"/>
    <x v="5"/>
    <s v="Female"/>
    <n v="32"/>
    <x v="0"/>
    <x v="790"/>
    <x v="332"/>
    <x v="1"/>
    <x v="0"/>
    <n v="1355"/>
    <x v="4"/>
  </r>
  <r>
    <n v="1914"/>
    <s v="Patricio Pascual Aguilar"/>
    <x v="1"/>
    <s v="Male"/>
    <n v="46"/>
    <x v="2"/>
    <x v="791"/>
    <x v="2"/>
    <x v="2"/>
    <x v="1"/>
    <n v="230"/>
    <x v="1"/>
  </r>
  <r>
    <n v="1915"/>
    <s v="Rica Castro"/>
    <x v="5"/>
    <s v="Female"/>
    <n v="34"/>
    <x v="0"/>
    <x v="792"/>
    <x v="2"/>
    <x v="2"/>
    <x v="1"/>
    <n v="1070"/>
    <x v="7"/>
  </r>
  <r>
    <n v="1916"/>
    <s v="Violeta Go Santiago"/>
    <x v="1"/>
    <s v="Female"/>
    <n v="41"/>
    <x v="2"/>
    <x v="793"/>
    <x v="2"/>
    <x v="2"/>
    <x v="1"/>
    <n v="1412"/>
    <x v="4"/>
  </r>
  <r>
    <n v="1917"/>
    <s v="Nathan Torres Ocampo"/>
    <x v="1"/>
    <s v="Male"/>
    <n v="50"/>
    <x v="1"/>
    <x v="445"/>
    <x v="333"/>
    <x v="3"/>
    <x v="0"/>
    <n v="907"/>
    <x v="7"/>
  </r>
  <r>
    <n v="1918"/>
    <s v="Rowena Hilario"/>
    <x v="5"/>
    <s v="Female"/>
    <n v="50"/>
    <x v="1"/>
    <x v="734"/>
    <x v="2"/>
    <x v="2"/>
    <x v="1"/>
    <n v="1106"/>
    <x v="4"/>
  </r>
  <r>
    <n v="1919"/>
    <s v="Gregorio Cruz"/>
    <x v="5"/>
    <s v="Male"/>
    <n v="51"/>
    <x v="1"/>
    <x v="794"/>
    <x v="2"/>
    <x v="2"/>
    <x v="1"/>
    <n v="1948"/>
    <x v="2"/>
  </r>
  <r>
    <n v="1920"/>
    <s v="Florinda Flores Manalo"/>
    <x v="1"/>
    <s v="Female"/>
    <n v="46"/>
    <x v="2"/>
    <x v="795"/>
    <x v="334"/>
    <x v="7"/>
    <x v="0"/>
    <n v="135"/>
    <x v="1"/>
  </r>
  <r>
    <n v="1921"/>
    <s v="Riley Zulueta"/>
    <x v="5"/>
    <s v="Other"/>
    <n v="55"/>
    <x v="1"/>
    <x v="553"/>
    <x v="2"/>
    <x v="2"/>
    <x v="1"/>
    <n v="2206"/>
    <x v="6"/>
  </r>
  <r>
    <n v="1922"/>
    <s v="Luisa Bautista Mendoza"/>
    <x v="5"/>
    <s v="Other"/>
    <n v="27"/>
    <x v="3"/>
    <x v="796"/>
    <x v="2"/>
    <x v="2"/>
    <x v="1"/>
    <n v="1492"/>
    <x v="0"/>
  </r>
  <r>
    <n v="1923"/>
    <s v="Miguel Reyes Dela Cruz"/>
    <x v="5"/>
    <s v="Other"/>
    <n v="36"/>
    <x v="0"/>
    <x v="797"/>
    <x v="2"/>
    <x v="2"/>
    <x v="1"/>
    <n v="1557"/>
    <x v="0"/>
  </r>
  <r>
    <n v="1924"/>
    <s v="Nicanor Fernandez"/>
    <x v="3"/>
    <s v="Male"/>
    <n v="33"/>
    <x v="0"/>
    <x v="798"/>
    <x v="2"/>
    <x v="2"/>
    <x v="1"/>
    <n v="306"/>
    <x v="1"/>
  </r>
  <r>
    <n v="1925"/>
    <s v="Cristina Castro Dalisay"/>
    <x v="2"/>
    <s v="Female"/>
    <n v="31"/>
    <x v="0"/>
    <x v="33"/>
    <x v="2"/>
    <x v="2"/>
    <x v="1"/>
    <n v="2911"/>
    <x v="3"/>
  </r>
  <r>
    <n v="1926"/>
    <s v="Rodel Navarro Soriano"/>
    <x v="0"/>
    <s v="Other"/>
    <n v="46"/>
    <x v="2"/>
    <x v="799"/>
    <x v="335"/>
    <x v="0"/>
    <x v="0"/>
    <n v="527"/>
    <x v="5"/>
  </r>
  <r>
    <n v="1927"/>
    <s v="Celine Corpuz"/>
    <x v="1"/>
    <s v="Female"/>
    <n v="35"/>
    <x v="0"/>
    <x v="800"/>
    <x v="2"/>
    <x v="2"/>
    <x v="1"/>
    <n v="2821"/>
    <x v="3"/>
  </r>
  <r>
    <n v="1928"/>
    <s v="Isabel Lopez"/>
    <x v="1"/>
    <s v="Other"/>
    <n v="47"/>
    <x v="2"/>
    <x v="801"/>
    <x v="2"/>
    <x v="2"/>
    <x v="1"/>
    <n v="1856"/>
    <x v="2"/>
  </r>
  <r>
    <n v="1929"/>
    <s v="Arnel Figueroa"/>
    <x v="2"/>
    <s v="Other"/>
    <n v="57"/>
    <x v="1"/>
    <x v="802"/>
    <x v="336"/>
    <x v="7"/>
    <x v="0"/>
    <n v="478"/>
    <x v="5"/>
  </r>
  <r>
    <n v="1930"/>
    <s v="Hope Diaz Enriquez"/>
    <x v="5"/>
    <s v="Female"/>
    <n v="32"/>
    <x v="0"/>
    <x v="666"/>
    <x v="2"/>
    <x v="2"/>
    <x v="1"/>
    <n v="489"/>
    <x v="5"/>
  </r>
  <r>
    <n v="1931"/>
    <s v="Antonio Santos Bagtas"/>
    <x v="1"/>
    <s v="Other"/>
    <n v="49"/>
    <x v="2"/>
    <x v="803"/>
    <x v="2"/>
    <x v="2"/>
    <x v="1"/>
    <n v="1525"/>
    <x v="0"/>
  </r>
  <r>
    <n v="1932"/>
    <s v="Rodel Ang Torres"/>
    <x v="1"/>
    <s v="Male"/>
    <n v="28"/>
    <x v="3"/>
    <x v="804"/>
    <x v="337"/>
    <x v="1"/>
    <x v="0"/>
    <n v="967"/>
    <x v="7"/>
  </r>
  <r>
    <n v="1933"/>
    <s v="Cherry San Pedro"/>
    <x v="4"/>
    <s v="Female"/>
    <n v="34"/>
    <x v="0"/>
    <x v="805"/>
    <x v="338"/>
    <x v="4"/>
    <x v="0"/>
    <n v="396"/>
    <x v="5"/>
  </r>
  <r>
    <n v="1934"/>
    <s v="Yvonne Bayani"/>
    <x v="1"/>
    <s v="Female"/>
    <n v="23"/>
    <x v="3"/>
    <x v="806"/>
    <x v="2"/>
    <x v="2"/>
    <x v="1"/>
    <n v="958"/>
    <x v="7"/>
  </r>
  <r>
    <n v="1935"/>
    <s v="Teresita Guevarra"/>
    <x v="5"/>
    <s v="Female"/>
    <n v="42"/>
    <x v="2"/>
    <x v="807"/>
    <x v="339"/>
    <x v="0"/>
    <x v="0"/>
    <n v="1194"/>
    <x v="4"/>
  </r>
  <r>
    <n v="1936"/>
    <s v="Isabel Aquino"/>
    <x v="1"/>
    <s v="Other"/>
    <n v="54"/>
    <x v="1"/>
    <x v="808"/>
    <x v="340"/>
    <x v="0"/>
    <x v="0"/>
    <n v="1379"/>
    <x v="4"/>
  </r>
  <r>
    <n v="1937"/>
    <s v="Rosa Lopez Obispo"/>
    <x v="1"/>
    <s v="Other"/>
    <n v="52"/>
    <x v="1"/>
    <x v="809"/>
    <x v="341"/>
    <x v="6"/>
    <x v="0"/>
    <n v="927"/>
    <x v="7"/>
  </r>
  <r>
    <n v="1938"/>
    <s v="Maribel Wong"/>
    <x v="5"/>
    <s v="Female"/>
    <n v="32"/>
    <x v="0"/>
    <x v="810"/>
    <x v="342"/>
    <x v="8"/>
    <x v="0"/>
    <n v="382"/>
    <x v="5"/>
  </r>
  <r>
    <n v="1939"/>
    <s v="Pilar Solis"/>
    <x v="0"/>
    <s v="Other"/>
    <n v="44"/>
    <x v="2"/>
    <x v="811"/>
    <x v="343"/>
    <x v="5"/>
    <x v="0"/>
    <n v="1054"/>
    <x v="7"/>
  </r>
  <r>
    <n v="1940"/>
    <s v="Rosa Ramos"/>
    <x v="5"/>
    <s v="Other"/>
    <n v="51"/>
    <x v="1"/>
    <x v="327"/>
    <x v="2"/>
    <x v="2"/>
    <x v="1"/>
    <n v="3010"/>
    <x v="8"/>
  </r>
  <r>
    <n v="1941"/>
    <s v="Severino Go Panganiban"/>
    <x v="3"/>
    <s v="Male"/>
    <n v="30"/>
    <x v="0"/>
    <x v="812"/>
    <x v="2"/>
    <x v="2"/>
    <x v="1"/>
    <n v="827"/>
    <x v="7"/>
  </r>
  <r>
    <n v="1942"/>
    <s v="Jaime Santiago Santos"/>
    <x v="4"/>
    <s v="Male"/>
    <n v="51"/>
    <x v="1"/>
    <x v="813"/>
    <x v="170"/>
    <x v="0"/>
    <x v="0"/>
    <n v="2012"/>
    <x v="2"/>
  </r>
  <r>
    <n v="1943"/>
    <s v="Manuel Bayani"/>
    <x v="0"/>
    <s v="Other"/>
    <n v="46"/>
    <x v="2"/>
    <x v="372"/>
    <x v="2"/>
    <x v="2"/>
    <x v="1"/>
    <n v="1563"/>
    <x v="0"/>
  </r>
  <r>
    <n v="1944"/>
    <s v="Juan Diaz"/>
    <x v="1"/>
    <s v="Other"/>
    <n v="28"/>
    <x v="3"/>
    <x v="814"/>
    <x v="2"/>
    <x v="2"/>
    <x v="1"/>
    <n v="1515"/>
    <x v="0"/>
  </r>
  <r>
    <n v="1945"/>
    <s v="Ronaldo Rivera Jimenez"/>
    <x v="3"/>
    <s v="Other"/>
    <n v="43"/>
    <x v="2"/>
    <x v="815"/>
    <x v="2"/>
    <x v="2"/>
    <x v="1"/>
    <n v="1004"/>
    <x v="7"/>
  </r>
  <r>
    <n v="1946"/>
    <s v="Sam Jimenez"/>
    <x v="3"/>
    <s v="Other"/>
    <n v="36"/>
    <x v="0"/>
    <x v="77"/>
    <x v="344"/>
    <x v="7"/>
    <x v="0"/>
    <n v="830"/>
    <x v="7"/>
  </r>
  <r>
    <n v="1947"/>
    <s v="Feliciano Garcia Reyes"/>
    <x v="1"/>
    <s v="Male"/>
    <n v="30"/>
    <x v="0"/>
    <x v="816"/>
    <x v="345"/>
    <x v="4"/>
    <x v="0"/>
    <n v="1274"/>
    <x v="4"/>
  </r>
  <r>
    <n v="1948"/>
    <s v="Casey Delmendo"/>
    <x v="5"/>
    <s v="Other"/>
    <n v="46"/>
    <x v="2"/>
    <x v="817"/>
    <x v="2"/>
    <x v="2"/>
    <x v="1"/>
    <n v="199"/>
    <x v="1"/>
  </r>
  <r>
    <n v="1949"/>
    <s v="Kath Fajardo"/>
    <x v="2"/>
    <s v="Female"/>
    <n v="48"/>
    <x v="2"/>
    <x v="818"/>
    <x v="2"/>
    <x v="2"/>
    <x v="1"/>
    <n v="2056"/>
    <x v="2"/>
  </r>
  <r>
    <n v="1950"/>
    <s v="Beatriz Tan Del Rosario"/>
    <x v="4"/>
    <s v="Female"/>
    <n v="47"/>
    <x v="2"/>
    <x v="819"/>
    <x v="346"/>
    <x v="3"/>
    <x v="0"/>
    <n v="1500"/>
    <x v="0"/>
  </r>
  <r>
    <n v="1951"/>
    <s v="Yvonne Pascual Elegado"/>
    <x v="5"/>
    <s v="Female"/>
    <n v="31"/>
    <x v="0"/>
    <x v="820"/>
    <x v="347"/>
    <x v="1"/>
    <x v="0"/>
    <n v="161"/>
    <x v="1"/>
  </r>
  <r>
    <n v="1952"/>
    <s v="Maribel Torres Viray"/>
    <x v="5"/>
    <s v="Female"/>
    <n v="44"/>
    <x v="2"/>
    <x v="268"/>
    <x v="2"/>
    <x v="2"/>
    <x v="1"/>
    <n v="2328"/>
    <x v="6"/>
  </r>
  <r>
    <n v="1953"/>
    <s v="Miguel Chan"/>
    <x v="4"/>
    <s v="Other"/>
    <n v="32"/>
    <x v="0"/>
    <x v="821"/>
    <x v="348"/>
    <x v="3"/>
    <x v="0"/>
    <n v="838"/>
    <x v="7"/>
  </r>
  <r>
    <n v="1954"/>
    <s v="Joselito Reyes Ang"/>
    <x v="2"/>
    <s v="Male"/>
    <n v="27"/>
    <x v="3"/>
    <x v="822"/>
    <x v="349"/>
    <x v="0"/>
    <x v="0"/>
    <n v="240"/>
    <x v="1"/>
  </r>
  <r>
    <n v="1955"/>
    <s v="Eduardo Santos Fernandez"/>
    <x v="0"/>
    <s v="Male"/>
    <n v="27"/>
    <x v="3"/>
    <x v="290"/>
    <x v="350"/>
    <x v="7"/>
    <x v="0"/>
    <n v="119"/>
    <x v="1"/>
  </r>
  <r>
    <n v="1956"/>
    <s v="Gerald Santiago Quiambao"/>
    <x v="4"/>
    <s v="Male"/>
    <n v="38"/>
    <x v="0"/>
    <x v="823"/>
    <x v="2"/>
    <x v="2"/>
    <x v="1"/>
    <n v="1101"/>
    <x v="4"/>
  </r>
  <r>
    <n v="1957"/>
    <s v="Oliver Panganiban"/>
    <x v="5"/>
    <s v="Male"/>
    <n v="41"/>
    <x v="2"/>
    <x v="824"/>
    <x v="2"/>
    <x v="2"/>
    <x v="1"/>
    <n v="2110"/>
    <x v="2"/>
  </r>
  <r>
    <n v="1958"/>
    <s v="Maria Obispo"/>
    <x v="3"/>
    <s v="Other"/>
    <n v="27"/>
    <x v="3"/>
    <x v="685"/>
    <x v="2"/>
    <x v="2"/>
    <x v="1"/>
    <n v="3079"/>
    <x v="8"/>
  </r>
  <r>
    <n v="1959"/>
    <s v="Teresita Chan Ignacio"/>
    <x v="3"/>
    <s v="Female"/>
    <n v="28"/>
    <x v="3"/>
    <x v="825"/>
    <x v="50"/>
    <x v="1"/>
    <x v="0"/>
    <n v="806"/>
    <x v="7"/>
  </r>
  <r>
    <n v="1960"/>
    <s v="Elmer Cruz"/>
    <x v="0"/>
    <s v="Male"/>
    <n v="21"/>
    <x v="3"/>
    <x v="826"/>
    <x v="2"/>
    <x v="2"/>
    <x v="1"/>
    <n v="478"/>
    <x v="5"/>
  </r>
  <r>
    <n v="1961"/>
    <s v="Cristina Garcia Viray"/>
    <x v="2"/>
    <s v="Other"/>
    <n v="41"/>
    <x v="2"/>
    <x v="827"/>
    <x v="2"/>
    <x v="2"/>
    <x v="1"/>
    <n v="315"/>
    <x v="1"/>
  </r>
  <r>
    <n v="1962"/>
    <s v="Taylor Castro Dela Torre"/>
    <x v="4"/>
    <s v="Other"/>
    <n v="51"/>
    <x v="1"/>
    <x v="828"/>
    <x v="2"/>
    <x v="2"/>
    <x v="1"/>
    <n v="395"/>
    <x v="5"/>
  </r>
  <r>
    <n v="1963"/>
    <s v="Manuel Figueroa"/>
    <x v="5"/>
    <s v="Other"/>
    <n v="57"/>
    <x v="1"/>
    <x v="829"/>
    <x v="351"/>
    <x v="3"/>
    <x v="0"/>
    <n v="599"/>
    <x v="5"/>
  </r>
  <r>
    <n v="1964"/>
    <s v="Oscar Lopez Sy"/>
    <x v="3"/>
    <s v="Male"/>
    <n v="49"/>
    <x v="2"/>
    <x v="830"/>
    <x v="2"/>
    <x v="2"/>
    <x v="1"/>
    <n v="2618"/>
    <x v="3"/>
  </r>
  <r>
    <n v="1965"/>
    <s v="Ramon Aguilar"/>
    <x v="5"/>
    <s v="Male"/>
    <n v="26"/>
    <x v="3"/>
    <x v="831"/>
    <x v="2"/>
    <x v="2"/>
    <x v="1"/>
    <n v="2659"/>
    <x v="3"/>
  </r>
  <r>
    <n v="1966"/>
    <s v="Eddie Ramos Enriquez"/>
    <x v="4"/>
    <s v="Male"/>
    <n v="38"/>
    <x v="0"/>
    <x v="832"/>
    <x v="2"/>
    <x v="2"/>
    <x v="1"/>
    <n v="2189"/>
    <x v="2"/>
  </r>
  <r>
    <n v="1967"/>
    <s v="Francis Tan"/>
    <x v="3"/>
    <s v="Male"/>
    <n v="52"/>
    <x v="1"/>
    <x v="833"/>
    <x v="2"/>
    <x v="2"/>
    <x v="1"/>
    <n v="2721"/>
    <x v="3"/>
  </r>
  <r>
    <n v="1968"/>
    <s v="Leonard Corpuz"/>
    <x v="5"/>
    <s v="Male"/>
    <n v="42"/>
    <x v="2"/>
    <x v="834"/>
    <x v="2"/>
    <x v="2"/>
    <x v="1"/>
    <n v="1547"/>
    <x v="0"/>
  </r>
  <r>
    <n v="1969"/>
    <s v="Casey Buenaventura"/>
    <x v="0"/>
    <s v="Other"/>
    <n v="35"/>
    <x v="0"/>
    <x v="835"/>
    <x v="352"/>
    <x v="0"/>
    <x v="0"/>
    <n v="1281"/>
    <x v="4"/>
  </r>
  <r>
    <n v="1970"/>
    <s v="Maricel Bautista San Pedro"/>
    <x v="3"/>
    <s v="Other"/>
    <n v="28"/>
    <x v="3"/>
    <x v="836"/>
    <x v="193"/>
    <x v="4"/>
    <x v="0"/>
    <n v="410"/>
    <x v="5"/>
  </r>
  <r>
    <n v="1971"/>
    <s v="Belinda Delmendo"/>
    <x v="0"/>
    <s v="Female"/>
    <n v="45"/>
    <x v="2"/>
    <x v="221"/>
    <x v="353"/>
    <x v="3"/>
    <x v="0"/>
    <n v="837"/>
    <x v="7"/>
  </r>
  <r>
    <n v="1972"/>
    <s v="Hope Mercado"/>
    <x v="0"/>
    <s v="Female"/>
    <n v="21"/>
    <x v="3"/>
    <x v="56"/>
    <x v="2"/>
    <x v="2"/>
    <x v="1"/>
    <n v="887"/>
    <x v="7"/>
  </r>
  <r>
    <n v="1973"/>
    <s v="Erlinda Del Rosario"/>
    <x v="4"/>
    <s v="Female"/>
    <n v="50"/>
    <x v="1"/>
    <x v="764"/>
    <x v="2"/>
    <x v="2"/>
    <x v="1"/>
    <n v="2488"/>
    <x v="6"/>
  </r>
  <r>
    <n v="1974"/>
    <s v="Morgan Ang"/>
    <x v="2"/>
    <s v="Other"/>
    <n v="41"/>
    <x v="2"/>
    <x v="804"/>
    <x v="2"/>
    <x v="2"/>
    <x v="1"/>
    <n v="1826"/>
    <x v="2"/>
  </r>
  <r>
    <n v="1975"/>
    <s v="Francis Domingo"/>
    <x v="5"/>
    <s v="Male"/>
    <n v="34"/>
    <x v="0"/>
    <x v="296"/>
    <x v="354"/>
    <x v="0"/>
    <x v="0"/>
    <n v="475"/>
    <x v="5"/>
  </r>
  <r>
    <n v="1976"/>
    <s v="Jose Viray"/>
    <x v="1"/>
    <s v="Other"/>
    <n v="35"/>
    <x v="0"/>
    <x v="837"/>
    <x v="2"/>
    <x v="2"/>
    <x v="1"/>
    <n v="223"/>
    <x v="1"/>
  </r>
  <r>
    <n v="1977"/>
    <s v="Danilo Estrada"/>
    <x v="4"/>
    <s v="Other"/>
    <n v="31"/>
    <x v="0"/>
    <x v="838"/>
    <x v="2"/>
    <x v="2"/>
    <x v="1"/>
    <n v="3003"/>
    <x v="8"/>
  </r>
  <r>
    <n v="1978"/>
    <s v="Carlos Co"/>
    <x v="3"/>
    <s v="Other"/>
    <n v="46"/>
    <x v="2"/>
    <x v="813"/>
    <x v="2"/>
    <x v="2"/>
    <x v="1"/>
    <n v="2797"/>
    <x v="3"/>
  </r>
  <r>
    <n v="1979"/>
    <s v="Manuel Roque"/>
    <x v="1"/>
    <s v="Other"/>
    <n v="46"/>
    <x v="2"/>
    <x v="583"/>
    <x v="355"/>
    <x v="3"/>
    <x v="0"/>
    <n v="311"/>
    <x v="1"/>
  </r>
  <r>
    <n v="1980"/>
    <s v="Lorenzo Rivera"/>
    <x v="0"/>
    <s v="Male"/>
    <n v="51"/>
    <x v="1"/>
    <x v="81"/>
    <x v="2"/>
    <x v="2"/>
    <x v="1"/>
    <n v="1899"/>
    <x v="2"/>
  </r>
  <r>
    <n v="1981"/>
    <s v="Samuel Figueroa"/>
    <x v="1"/>
    <s v="Male"/>
    <n v="44"/>
    <x v="2"/>
    <x v="839"/>
    <x v="356"/>
    <x v="5"/>
    <x v="0"/>
    <n v="241"/>
    <x v="1"/>
  </r>
  <r>
    <n v="1982"/>
    <s v="Annaliza Cueto"/>
    <x v="3"/>
    <s v="Female"/>
    <n v="51"/>
    <x v="1"/>
    <x v="840"/>
    <x v="2"/>
    <x v="2"/>
    <x v="1"/>
    <n v="2356"/>
    <x v="6"/>
  </r>
  <r>
    <n v="1983"/>
    <s v="Manuel Gonzales Hernandez"/>
    <x v="0"/>
    <s v="Other"/>
    <n v="46"/>
    <x v="2"/>
    <x v="0"/>
    <x v="357"/>
    <x v="5"/>
    <x v="0"/>
    <n v="583"/>
    <x v="5"/>
  </r>
  <r>
    <n v="1984"/>
    <s v="Leonard Ang"/>
    <x v="5"/>
    <s v="Male"/>
    <n v="26"/>
    <x v="3"/>
    <x v="841"/>
    <x v="2"/>
    <x v="2"/>
    <x v="1"/>
    <n v="1192"/>
    <x v="4"/>
  </r>
  <r>
    <n v="1985"/>
    <s v="Celine Hernandez"/>
    <x v="4"/>
    <s v="Female"/>
    <n v="65"/>
    <x v="4"/>
    <x v="842"/>
    <x v="358"/>
    <x v="6"/>
    <x v="0"/>
    <n v="2177"/>
    <x v="2"/>
  </r>
  <r>
    <n v="1986"/>
    <s v="Faith Navarro Macapagal"/>
    <x v="2"/>
    <s v="Female"/>
    <n v="51"/>
    <x v="1"/>
    <x v="423"/>
    <x v="2"/>
    <x v="2"/>
    <x v="1"/>
    <n v="451"/>
    <x v="5"/>
  </r>
  <r>
    <n v="1987"/>
    <s v="Sam Ang Tolentino"/>
    <x v="1"/>
    <s v="Other"/>
    <n v="55"/>
    <x v="1"/>
    <x v="342"/>
    <x v="2"/>
    <x v="2"/>
    <x v="1"/>
    <n v="2334"/>
    <x v="6"/>
  </r>
  <r>
    <n v="1988"/>
    <s v="Morgan Navarro"/>
    <x v="1"/>
    <s v="Other"/>
    <n v="55"/>
    <x v="1"/>
    <x v="843"/>
    <x v="359"/>
    <x v="4"/>
    <x v="0"/>
    <n v="196"/>
    <x v="1"/>
  </r>
  <r>
    <n v="1989"/>
    <s v="Herminia Cruz Dela Cruz"/>
    <x v="5"/>
    <s v="Female"/>
    <n v="49"/>
    <x v="2"/>
    <x v="844"/>
    <x v="360"/>
    <x v="8"/>
    <x v="0"/>
    <n v="353"/>
    <x v="1"/>
  </r>
  <r>
    <n v="1990"/>
    <s v="Imelda Estrada"/>
    <x v="1"/>
    <s v="Female"/>
    <n v="40"/>
    <x v="2"/>
    <x v="845"/>
    <x v="2"/>
    <x v="2"/>
    <x v="1"/>
    <n v="1602"/>
    <x v="0"/>
  </r>
  <r>
    <n v="1991"/>
    <s v="Estrella Ramos Delos Reyes"/>
    <x v="5"/>
    <s v="Female"/>
    <n v="23"/>
    <x v="3"/>
    <x v="846"/>
    <x v="2"/>
    <x v="2"/>
    <x v="1"/>
    <n v="964"/>
    <x v="7"/>
  </r>
  <r>
    <n v="1992"/>
    <s v="Pilar Santiago"/>
    <x v="0"/>
    <s v="Other"/>
    <n v="54"/>
    <x v="1"/>
    <x v="847"/>
    <x v="2"/>
    <x v="2"/>
    <x v="1"/>
    <n v="1649"/>
    <x v="0"/>
  </r>
  <r>
    <n v="1993"/>
    <s v="Rica Aguilar Rivera"/>
    <x v="5"/>
    <s v="Female"/>
    <n v="23"/>
    <x v="3"/>
    <x v="848"/>
    <x v="361"/>
    <x v="4"/>
    <x v="0"/>
    <n v="971"/>
    <x v="7"/>
  </r>
  <r>
    <n v="1994"/>
    <s v="Feliciano Domingo Vergara"/>
    <x v="1"/>
    <s v="Male"/>
    <n v="25"/>
    <x v="3"/>
    <x v="849"/>
    <x v="331"/>
    <x v="7"/>
    <x v="0"/>
    <n v="480"/>
    <x v="5"/>
  </r>
  <r>
    <n v="1995"/>
    <s v="Miguel Lopez Miranda"/>
    <x v="5"/>
    <s v="Other"/>
    <n v="30"/>
    <x v="0"/>
    <x v="850"/>
    <x v="362"/>
    <x v="1"/>
    <x v="0"/>
    <n v="734"/>
    <x v="7"/>
  </r>
  <r>
    <n v="1996"/>
    <s v="Annaliza Lim Fajardo"/>
    <x v="4"/>
    <s v="Female"/>
    <n v="58"/>
    <x v="1"/>
    <x v="851"/>
    <x v="363"/>
    <x v="6"/>
    <x v="0"/>
    <n v="1326"/>
    <x v="4"/>
  </r>
  <r>
    <n v="1997"/>
    <s v="Diosdado Mendoza Tan"/>
    <x v="1"/>
    <s v="Male"/>
    <n v="44"/>
    <x v="2"/>
    <x v="852"/>
    <x v="2"/>
    <x v="2"/>
    <x v="1"/>
    <n v="1725"/>
    <x v="0"/>
  </r>
  <r>
    <n v="1998"/>
    <s v="Morgan Soriano Soriano"/>
    <x v="4"/>
    <s v="Other"/>
    <n v="45"/>
    <x v="2"/>
    <x v="853"/>
    <x v="2"/>
    <x v="2"/>
    <x v="1"/>
    <n v="2661"/>
    <x v="3"/>
  </r>
  <r>
    <n v="1999"/>
    <s v="Rowena Wong"/>
    <x v="0"/>
    <s v="Other"/>
    <n v="27"/>
    <x v="3"/>
    <x v="224"/>
    <x v="260"/>
    <x v="3"/>
    <x v="0"/>
    <n v="675"/>
    <x v="5"/>
  </r>
  <r>
    <n v="2000"/>
    <s v="Belinda Fernandez Chan"/>
    <x v="2"/>
    <s v="Female"/>
    <n v="45"/>
    <x v="2"/>
    <x v="854"/>
    <x v="364"/>
    <x v="5"/>
    <x v="0"/>
    <n v="1739"/>
    <x v="0"/>
  </r>
  <r>
    <n v="2001"/>
    <s v="Patricia Lazo"/>
    <x v="5"/>
    <s v="Female"/>
    <n v="57"/>
    <x v="1"/>
    <x v="855"/>
    <x v="365"/>
    <x v="7"/>
    <x v="0"/>
    <n v="1575"/>
    <x v="0"/>
  </r>
  <r>
    <n v="2002"/>
    <s v="Ivan Aguilar Suarez"/>
    <x v="5"/>
    <s v="Male"/>
    <n v="50"/>
    <x v="1"/>
    <x v="367"/>
    <x v="2"/>
    <x v="2"/>
    <x v="1"/>
    <n v="2342"/>
    <x v="6"/>
  </r>
  <r>
    <n v="2003"/>
    <s v="Danilo Navarro Yap"/>
    <x v="3"/>
    <s v="Male"/>
    <n v="35"/>
    <x v="0"/>
    <x v="856"/>
    <x v="2"/>
    <x v="2"/>
    <x v="1"/>
    <n v="1841"/>
    <x v="2"/>
  </r>
  <r>
    <n v="2004"/>
    <s v="Gregorio Pascual Macapagal"/>
    <x v="2"/>
    <s v="Male"/>
    <n v="25"/>
    <x v="3"/>
    <x v="857"/>
    <x v="2"/>
    <x v="2"/>
    <x v="1"/>
    <n v="2108"/>
    <x v="2"/>
  </r>
  <r>
    <n v="2005"/>
    <s v="Crisanto Torres Umali"/>
    <x v="0"/>
    <s v="Male"/>
    <n v="21"/>
    <x v="3"/>
    <x v="858"/>
    <x v="2"/>
    <x v="2"/>
    <x v="1"/>
    <n v="1355"/>
    <x v="4"/>
  </r>
  <r>
    <n v="2006"/>
    <s v="Harold Uy"/>
    <x v="4"/>
    <s v="Male"/>
    <n v="21"/>
    <x v="3"/>
    <x v="859"/>
    <x v="2"/>
    <x v="2"/>
    <x v="1"/>
    <n v="1351"/>
    <x v="4"/>
  </r>
  <r>
    <n v="2007"/>
    <s v="Cristina Natividad"/>
    <x v="5"/>
    <s v="Other"/>
    <n v="54"/>
    <x v="1"/>
    <x v="574"/>
    <x v="2"/>
    <x v="2"/>
    <x v="1"/>
    <n v="290"/>
    <x v="1"/>
  </r>
  <r>
    <n v="2008"/>
    <s v="Pilar Crisostomo"/>
    <x v="5"/>
    <s v="Other"/>
    <n v="54"/>
    <x v="1"/>
    <x v="860"/>
    <x v="103"/>
    <x v="3"/>
    <x v="0"/>
    <n v="1593"/>
    <x v="0"/>
  </r>
  <r>
    <n v="2009"/>
    <s v="Joselito Pascual Chua"/>
    <x v="4"/>
    <s v="Male"/>
    <n v="44"/>
    <x v="2"/>
    <x v="861"/>
    <x v="255"/>
    <x v="3"/>
    <x v="0"/>
    <n v="1113"/>
    <x v="4"/>
  </r>
  <r>
    <n v="2010"/>
    <s v="Lea Ocampo"/>
    <x v="4"/>
    <s v="Female"/>
    <n v="57"/>
    <x v="1"/>
    <x v="862"/>
    <x v="296"/>
    <x v="4"/>
    <x v="0"/>
    <n v="714"/>
    <x v="5"/>
  </r>
  <r>
    <n v="2011"/>
    <s v="Taylor Gonzales Santos"/>
    <x v="2"/>
    <s v="Other"/>
    <n v="61"/>
    <x v="4"/>
    <x v="316"/>
    <x v="366"/>
    <x v="6"/>
    <x v="0"/>
    <n v="1032"/>
    <x v="7"/>
  </r>
  <r>
    <n v="2012"/>
    <s v="Florinda Ang Bondoc"/>
    <x v="4"/>
    <s v="Female"/>
    <n v="48"/>
    <x v="2"/>
    <x v="863"/>
    <x v="152"/>
    <x v="8"/>
    <x v="0"/>
    <n v="631"/>
    <x v="5"/>
  </r>
  <r>
    <n v="2013"/>
    <s v="Ronaldo Gonzales Sia"/>
    <x v="1"/>
    <s v="Other"/>
    <n v="37"/>
    <x v="0"/>
    <x v="864"/>
    <x v="2"/>
    <x v="2"/>
    <x v="1"/>
    <n v="2165"/>
    <x v="2"/>
  </r>
  <r>
    <n v="2014"/>
    <s v="Herminia Sy Ramirez"/>
    <x v="0"/>
    <s v="Female"/>
    <n v="49"/>
    <x v="2"/>
    <x v="865"/>
    <x v="2"/>
    <x v="2"/>
    <x v="1"/>
    <n v="403"/>
    <x v="5"/>
  </r>
  <r>
    <n v="2015"/>
    <s v="Ana Cruz Del Rosario"/>
    <x v="1"/>
    <s v="Other"/>
    <n v="33"/>
    <x v="0"/>
    <x v="866"/>
    <x v="367"/>
    <x v="0"/>
    <x v="0"/>
    <n v="254"/>
    <x v="1"/>
  </r>
  <r>
    <n v="2016"/>
    <s v="Annaliza Ang Camacho"/>
    <x v="1"/>
    <s v="Female"/>
    <n v="51"/>
    <x v="1"/>
    <x v="867"/>
    <x v="2"/>
    <x v="2"/>
    <x v="1"/>
    <n v="367"/>
    <x v="5"/>
  </r>
  <r>
    <n v="2017"/>
    <s v="Arnel Mendoza Flores"/>
    <x v="2"/>
    <s v="Other"/>
    <n v="41"/>
    <x v="2"/>
    <x v="868"/>
    <x v="2"/>
    <x v="2"/>
    <x v="1"/>
    <n v="1454"/>
    <x v="4"/>
  </r>
  <r>
    <n v="2018"/>
    <s v="Aileen Perez"/>
    <x v="2"/>
    <s v="Female"/>
    <n v="60"/>
    <x v="4"/>
    <x v="869"/>
    <x v="368"/>
    <x v="6"/>
    <x v="0"/>
    <n v="790"/>
    <x v="7"/>
  </r>
  <r>
    <n v="2019"/>
    <s v="Teresita Gonzales Trinidad"/>
    <x v="4"/>
    <s v="Female"/>
    <n v="52"/>
    <x v="1"/>
    <x v="842"/>
    <x v="2"/>
    <x v="2"/>
    <x v="1"/>
    <n v="2753"/>
    <x v="3"/>
  </r>
  <r>
    <n v="2020"/>
    <s v="Elena Lazo"/>
    <x v="4"/>
    <s v="Other"/>
    <n v="37"/>
    <x v="0"/>
    <x v="870"/>
    <x v="326"/>
    <x v="5"/>
    <x v="0"/>
    <n v="195"/>
    <x v="1"/>
  </r>
  <r>
    <n v="2021"/>
    <s v="Lourdes Valencia"/>
    <x v="1"/>
    <s v="Other"/>
    <n v="32"/>
    <x v="0"/>
    <x v="871"/>
    <x v="2"/>
    <x v="2"/>
    <x v="1"/>
    <n v="2319"/>
    <x v="6"/>
  </r>
  <r>
    <n v="2022"/>
    <s v="Erlinda Castro Estrada"/>
    <x v="1"/>
    <s v="Female"/>
    <n v="23"/>
    <x v="3"/>
    <x v="872"/>
    <x v="2"/>
    <x v="2"/>
    <x v="1"/>
    <n v="1970"/>
    <x v="2"/>
  </r>
  <r>
    <n v="2023"/>
    <s v="Pacita Bautista Buenaventura"/>
    <x v="1"/>
    <s v="Female"/>
    <n v="47"/>
    <x v="2"/>
    <x v="873"/>
    <x v="369"/>
    <x v="4"/>
    <x v="0"/>
    <n v="738"/>
    <x v="7"/>
  </r>
  <r>
    <n v="2024"/>
    <s v="Rafael Bautista Uy"/>
    <x v="0"/>
    <s v="Male"/>
    <n v="40"/>
    <x v="2"/>
    <x v="874"/>
    <x v="370"/>
    <x v="4"/>
    <x v="0"/>
    <n v="1239"/>
    <x v="4"/>
  </r>
  <r>
    <n v="2025"/>
    <s v="Lourdes Ang Lacson"/>
    <x v="1"/>
    <s v="Female"/>
    <n v="41"/>
    <x v="2"/>
    <x v="875"/>
    <x v="371"/>
    <x v="3"/>
    <x v="0"/>
    <n v="1237"/>
    <x v="4"/>
  </r>
  <r>
    <n v="2026"/>
    <s v="Belinda Santiago Mangubat"/>
    <x v="4"/>
    <s v="Female"/>
    <n v="27"/>
    <x v="3"/>
    <x v="380"/>
    <x v="372"/>
    <x v="1"/>
    <x v="0"/>
    <n v="231"/>
    <x v="1"/>
  </r>
  <r>
    <n v="2027"/>
    <s v="Lorenzo Mendoza Narvasa"/>
    <x v="5"/>
    <s v="Male"/>
    <n v="44"/>
    <x v="2"/>
    <x v="876"/>
    <x v="2"/>
    <x v="2"/>
    <x v="1"/>
    <n v="2116"/>
    <x v="2"/>
  </r>
  <r>
    <n v="2028"/>
    <s v="Miguel Diaz"/>
    <x v="1"/>
    <s v="Other"/>
    <n v="28"/>
    <x v="3"/>
    <x v="511"/>
    <x v="2"/>
    <x v="2"/>
    <x v="1"/>
    <n v="2923"/>
    <x v="8"/>
  </r>
  <r>
    <n v="2029"/>
    <s v="Maribel Fajardo"/>
    <x v="3"/>
    <s v="Female"/>
    <n v="55"/>
    <x v="1"/>
    <x v="877"/>
    <x v="373"/>
    <x v="5"/>
    <x v="0"/>
    <n v="461"/>
    <x v="5"/>
  </r>
  <r>
    <n v="2030"/>
    <s v="Sue Manalang"/>
    <x v="1"/>
    <s v="Female"/>
    <n v="56"/>
    <x v="1"/>
    <x v="878"/>
    <x v="2"/>
    <x v="2"/>
    <x v="1"/>
    <n v="2057"/>
    <x v="2"/>
  </r>
  <r>
    <n v="2031"/>
    <s v="Teresa Bagtas"/>
    <x v="4"/>
    <s v="Other"/>
    <n v="48"/>
    <x v="2"/>
    <x v="879"/>
    <x v="2"/>
    <x v="2"/>
    <x v="1"/>
    <n v="2814"/>
    <x v="3"/>
  </r>
  <r>
    <n v="2032"/>
    <s v="Leonora San Pedro"/>
    <x v="1"/>
    <s v="Female"/>
    <n v="29"/>
    <x v="3"/>
    <x v="187"/>
    <x v="374"/>
    <x v="0"/>
    <x v="0"/>
    <n v="1249"/>
    <x v="4"/>
  </r>
  <r>
    <n v="2033"/>
    <s v="Michael Vergara"/>
    <x v="0"/>
    <s v="Male"/>
    <n v="53"/>
    <x v="1"/>
    <x v="880"/>
    <x v="375"/>
    <x v="5"/>
    <x v="0"/>
    <n v="2176"/>
    <x v="2"/>
  </r>
  <r>
    <n v="2034"/>
    <s v="Ana Domingo Cueto"/>
    <x v="1"/>
    <s v="Female"/>
    <n v="57"/>
    <x v="1"/>
    <x v="881"/>
    <x v="2"/>
    <x v="2"/>
    <x v="1"/>
    <n v="2199"/>
    <x v="6"/>
  </r>
  <r>
    <n v="2035"/>
    <s v="Rosalinda Fernandez Chua"/>
    <x v="4"/>
    <s v="Female"/>
    <n v="38"/>
    <x v="0"/>
    <x v="882"/>
    <x v="376"/>
    <x v="0"/>
    <x v="0"/>
    <n v="319"/>
    <x v="1"/>
  </r>
  <r>
    <n v="2036"/>
    <s v="Isabel Bayani"/>
    <x v="3"/>
    <s v="Female"/>
    <n v="29"/>
    <x v="3"/>
    <x v="883"/>
    <x v="2"/>
    <x v="2"/>
    <x v="1"/>
    <n v="1984"/>
    <x v="2"/>
  </r>
  <r>
    <n v="2037"/>
    <s v="Patricia Domingo Dalisay"/>
    <x v="3"/>
    <s v="Female"/>
    <n v="28"/>
    <x v="3"/>
    <x v="884"/>
    <x v="2"/>
    <x v="2"/>
    <x v="1"/>
    <n v="3086"/>
    <x v="8"/>
  </r>
  <r>
    <n v="2038"/>
    <s v="Jose Aguilar Crisostomo"/>
    <x v="5"/>
    <s v="Male"/>
    <n v="39"/>
    <x v="0"/>
    <x v="885"/>
    <x v="2"/>
    <x v="2"/>
    <x v="1"/>
    <n v="1762"/>
    <x v="0"/>
  </r>
  <r>
    <n v="2039"/>
    <s v="Lourdes Lopez"/>
    <x v="1"/>
    <s v="Other"/>
    <n v="55"/>
    <x v="1"/>
    <x v="886"/>
    <x v="2"/>
    <x v="2"/>
    <x v="1"/>
    <n v="399"/>
    <x v="5"/>
  </r>
  <r>
    <n v="2040"/>
    <s v="Rowena Santiago"/>
    <x v="5"/>
    <s v="Other"/>
    <n v="37"/>
    <x v="0"/>
    <x v="887"/>
    <x v="2"/>
    <x v="2"/>
    <x v="1"/>
    <n v="526"/>
    <x v="5"/>
  </r>
  <r>
    <n v="2041"/>
    <s v="Tina Sy Domingo"/>
    <x v="1"/>
    <s v="Female"/>
    <n v="58"/>
    <x v="1"/>
    <x v="888"/>
    <x v="2"/>
    <x v="2"/>
    <x v="1"/>
    <n v="512"/>
    <x v="5"/>
  </r>
  <r>
    <n v="2042"/>
    <s v="Jose Gonzales Diaz"/>
    <x v="4"/>
    <s v="Other"/>
    <n v="26"/>
    <x v="3"/>
    <x v="889"/>
    <x v="377"/>
    <x v="3"/>
    <x v="0"/>
    <n v="279"/>
    <x v="1"/>
  </r>
  <r>
    <n v="2043"/>
    <s v="Leonora Sy Aquino"/>
    <x v="5"/>
    <s v="Female"/>
    <n v="31"/>
    <x v="0"/>
    <x v="890"/>
    <x v="2"/>
    <x v="2"/>
    <x v="1"/>
    <n v="2364"/>
    <x v="6"/>
  </r>
  <r>
    <n v="2044"/>
    <s v="Avery Dela Torre"/>
    <x v="4"/>
    <s v="Other"/>
    <n v="46"/>
    <x v="2"/>
    <x v="891"/>
    <x v="2"/>
    <x v="2"/>
    <x v="1"/>
    <n v="2681"/>
    <x v="3"/>
  </r>
  <r>
    <n v="2045"/>
    <s v="Elena Garcia Flores"/>
    <x v="1"/>
    <s v="Female"/>
    <n v="45"/>
    <x v="2"/>
    <x v="892"/>
    <x v="378"/>
    <x v="1"/>
    <x v="0"/>
    <n v="145"/>
    <x v="1"/>
  </r>
  <r>
    <n v="2046"/>
    <s v="Taylor Guerrero"/>
    <x v="4"/>
    <s v="Other"/>
    <n v="21"/>
    <x v="3"/>
    <x v="290"/>
    <x v="2"/>
    <x v="2"/>
    <x v="1"/>
    <n v="3053"/>
    <x v="8"/>
  </r>
  <r>
    <n v="2047"/>
    <s v="Maricel Manalo"/>
    <x v="4"/>
    <s v="Other"/>
    <n v="33"/>
    <x v="0"/>
    <x v="893"/>
    <x v="2"/>
    <x v="2"/>
    <x v="1"/>
    <n v="2521"/>
    <x v="6"/>
  </r>
  <r>
    <n v="2048"/>
    <s v="Ulysses Reyes Valencia"/>
    <x v="4"/>
    <s v="Male"/>
    <n v="36"/>
    <x v="0"/>
    <x v="894"/>
    <x v="2"/>
    <x v="2"/>
    <x v="1"/>
    <n v="2863"/>
    <x v="3"/>
  </r>
  <r>
    <n v="2049"/>
    <s v="Yvonne Ramirez Mercado"/>
    <x v="2"/>
    <s v="Female"/>
    <n v="39"/>
    <x v="0"/>
    <x v="76"/>
    <x v="2"/>
    <x v="2"/>
    <x v="1"/>
    <n v="2671"/>
    <x v="3"/>
  </r>
  <r>
    <n v="2050"/>
    <s v="Nicanor Torres Guevarra"/>
    <x v="1"/>
    <s v="Male"/>
    <n v="30"/>
    <x v="0"/>
    <x v="895"/>
    <x v="2"/>
    <x v="2"/>
    <x v="1"/>
    <n v="1644"/>
    <x v="0"/>
  </r>
  <r>
    <n v="2051"/>
    <s v="Carlos Diaz Crisostomo"/>
    <x v="0"/>
    <s v="Other"/>
    <n v="35"/>
    <x v="0"/>
    <x v="896"/>
    <x v="2"/>
    <x v="2"/>
    <x v="1"/>
    <n v="2675"/>
    <x v="3"/>
  </r>
  <r>
    <n v="2052"/>
    <s v="Jose Gonzales Estrada"/>
    <x v="1"/>
    <s v="Other"/>
    <n v="26"/>
    <x v="3"/>
    <x v="609"/>
    <x v="2"/>
    <x v="2"/>
    <x v="1"/>
    <n v="2914"/>
    <x v="3"/>
  </r>
  <r>
    <n v="2053"/>
    <s v="Lilia Ang Lopez"/>
    <x v="5"/>
    <s v="Female"/>
    <n v="40"/>
    <x v="2"/>
    <x v="736"/>
    <x v="2"/>
    <x v="2"/>
    <x v="1"/>
    <n v="532"/>
    <x v="5"/>
  </r>
  <r>
    <n v="2054"/>
    <s v="Cameron Fernandez Corpuz"/>
    <x v="5"/>
    <s v="Other"/>
    <n v="25"/>
    <x v="3"/>
    <x v="897"/>
    <x v="2"/>
    <x v="2"/>
    <x v="1"/>
    <n v="3083"/>
    <x v="8"/>
  </r>
  <r>
    <n v="2055"/>
    <s v="Fernando Ramos Mercado"/>
    <x v="4"/>
    <s v="Other"/>
    <n v="51"/>
    <x v="1"/>
    <x v="266"/>
    <x v="379"/>
    <x v="4"/>
    <x v="0"/>
    <n v="1840"/>
    <x v="2"/>
  </r>
  <r>
    <n v="2056"/>
    <s v="Paolo Quiambao"/>
    <x v="1"/>
    <s v="Male"/>
    <n v="41"/>
    <x v="2"/>
    <x v="898"/>
    <x v="2"/>
    <x v="2"/>
    <x v="1"/>
    <n v="1067"/>
    <x v="7"/>
  </r>
  <r>
    <n v="2057"/>
    <s v="Isabel Ramirez Fajardo"/>
    <x v="4"/>
    <s v="Other"/>
    <n v="36"/>
    <x v="0"/>
    <x v="580"/>
    <x v="2"/>
    <x v="2"/>
    <x v="1"/>
    <n v="1522"/>
    <x v="0"/>
  </r>
  <r>
    <n v="2058"/>
    <s v="Nicanor Santiago Jimenez"/>
    <x v="4"/>
    <s v="Male"/>
    <n v="47"/>
    <x v="2"/>
    <x v="899"/>
    <x v="2"/>
    <x v="2"/>
    <x v="1"/>
    <n v="933"/>
    <x v="7"/>
  </r>
  <r>
    <n v="2059"/>
    <s v="Avery Vega Gonzales"/>
    <x v="1"/>
    <s v="Other"/>
    <n v="22"/>
    <x v="3"/>
    <x v="900"/>
    <x v="2"/>
    <x v="2"/>
    <x v="1"/>
    <n v="1607"/>
    <x v="0"/>
  </r>
  <r>
    <n v="2060"/>
    <s v="Rowena Ramirez Camacho"/>
    <x v="4"/>
    <s v="Other"/>
    <n v="29"/>
    <x v="3"/>
    <x v="901"/>
    <x v="2"/>
    <x v="2"/>
    <x v="1"/>
    <n v="1884"/>
    <x v="2"/>
  </r>
  <r>
    <n v="2061"/>
    <s v="Aileen Mendoza Ignacio"/>
    <x v="1"/>
    <s v="Female"/>
    <n v="30"/>
    <x v="0"/>
    <x v="902"/>
    <x v="2"/>
    <x v="2"/>
    <x v="1"/>
    <n v="1545"/>
    <x v="0"/>
  </r>
  <r>
    <n v="2062"/>
    <s v="Gloria Lim Reyes"/>
    <x v="5"/>
    <s v="Female"/>
    <n v="31"/>
    <x v="0"/>
    <x v="903"/>
    <x v="380"/>
    <x v="0"/>
    <x v="0"/>
    <n v="668"/>
    <x v="5"/>
  </r>
  <r>
    <n v="2063"/>
    <s v="Faith Diaz Tuazon"/>
    <x v="1"/>
    <s v="Female"/>
    <n v="29"/>
    <x v="3"/>
    <x v="904"/>
    <x v="2"/>
    <x v="2"/>
    <x v="1"/>
    <n v="931"/>
    <x v="7"/>
  </r>
  <r>
    <n v="2064"/>
    <s v="Antonio Quiambao"/>
    <x v="4"/>
    <s v="Male"/>
    <n v="21"/>
    <x v="3"/>
    <x v="905"/>
    <x v="381"/>
    <x v="3"/>
    <x v="0"/>
    <n v="212"/>
    <x v="1"/>
  </r>
  <r>
    <n v="2065"/>
    <s v="Eva Hilario"/>
    <x v="0"/>
    <s v="Female"/>
    <n v="48"/>
    <x v="2"/>
    <x v="906"/>
    <x v="2"/>
    <x v="2"/>
    <x v="1"/>
    <n v="307"/>
    <x v="1"/>
  </r>
  <r>
    <n v="2066"/>
    <s v="Feliciano Wong"/>
    <x v="4"/>
    <s v="Male"/>
    <n v="40"/>
    <x v="2"/>
    <x v="907"/>
    <x v="2"/>
    <x v="2"/>
    <x v="1"/>
    <n v="2160"/>
    <x v="2"/>
  </r>
  <r>
    <n v="2067"/>
    <s v="Riley Ocampo Tan"/>
    <x v="0"/>
    <s v="Other"/>
    <n v="29"/>
    <x v="3"/>
    <x v="17"/>
    <x v="2"/>
    <x v="2"/>
    <x v="1"/>
    <n v="2224"/>
    <x v="6"/>
  </r>
  <r>
    <n v="2068"/>
    <s v="Leonard Santiago Pascual"/>
    <x v="2"/>
    <s v="Male"/>
    <n v="41"/>
    <x v="2"/>
    <x v="908"/>
    <x v="2"/>
    <x v="2"/>
    <x v="1"/>
    <n v="418"/>
    <x v="5"/>
  </r>
  <r>
    <n v="2069"/>
    <s v="Diana Ocampo Aguilar"/>
    <x v="5"/>
    <s v="Female"/>
    <n v="27"/>
    <x v="3"/>
    <x v="786"/>
    <x v="382"/>
    <x v="0"/>
    <x v="0"/>
    <n v="1464"/>
    <x v="0"/>
  </r>
  <r>
    <n v="2070"/>
    <s v="Carmen Cruz Sy"/>
    <x v="1"/>
    <s v="Female"/>
    <n v="40"/>
    <x v="2"/>
    <x v="909"/>
    <x v="2"/>
    <x v="2"/>
    <x v="1"/>
    <n v="2323"/>
    <x v="6"/>
  </r>
  <r>
    <n v="2071"/>
    <s v="Efren Co"/>
    <x v="0"/>
    <s v="Other"/>
    <n v="23"/>
    <x v="3"/>
    <x v="910"/>
    <x v="383"/>
    <x v="0"/>
    <x v="0"/>
    <n v="1354"/>
    <x v="4"/>
  </r>
  <r>
    <n v="2072"/>
    <s v="Lourdes Mendoza Mangubat"/>
    <x v="0"/>
    <s v="Female"/>
    <n v="46"/>
    <x v="2"/>
    <x v="316"/>
    <x v="2"/>
    <x v="2"/>
    <x v="1"/>
    <n v="1634"/>
    <x v="0"/>
  </r>
  <r>
    <n v="2073"/>
    <s v="Elena Ong"/>
    <x v="0"/>
    <s v="Other"/>
    <n v="22"/>
    <x v="3"/>
    <x v="911"/>
    <x v="2"/>
    <x v="2"/>
    <x v="1"/>
    <n v="686"/>
    <x v="5"/>
  </r>
  <r>
    <n v="2074"/>
    <s v="Maricel Flores Miranda"/>
    <x v="1"/>
    <s v="Female"/>
    <n v="50"/>
    <x v="1"/>
    <x v="912"/>
    <x v="2"/>
    <x v="2"/>
    <x v="1"/>
    <n v="2769"/>
    <x v="3"/>
  </r>
  <r>
    <n v="2075"/>
    <s v="Bong Diaz Corpuz"/>
    <x v="2"/>
    <s v="Male"/>
    <n v="31"/>
    <x v="0"/>
    <x v="913"/>
    <x v="2"/>
    <x v="2"/>
    <x v="1"/>
    <n v="1037"/>
    <x v="7"/>
  </r>
  <r>
    <n v="2076"/>
    <s v="Bea Garcia"/>
    <x v="5"/>
    <s v="Female"/>
    <n v="39"/>
    <x v="0"/>
    <x v="914"/>
    <x v="2"/>
    <x v="2"/>
    <x v="1"/>
    <n v="1616"/>
    <x v="0"/>
  </r>
  <r>
    <n v="2077"/>
    <s v="Ernesto Lozano"/>
    <x v="5"/>
    <s v="Male"/>
    <n v="34"/>
    <x v="0"/>
    <x v="748"/>
    <x v="2"/>
    <x v="2"/>
    <x v="1"/>
    <n v="591"/>
    <x v="5"/>
  </r>
  <r>
    <n v="2078"/>
    <s v="Casey Navarro Zamora"/>
    <x v="0"/>
    <s v="Other"/>
    <n v="30"/>
    <x v="0"/>
    <x v="479"/>
    <x v="2"/>
    <x v="2"/>
    <x v="1"/>
    <n v="1824"/>
    <x v="0"/>
  </r>
  <r>
    <n v="2079"/>
    <s v="Mylene Go Dela Cruz"/>
    <x v="1"/>
    <s v="Female"/>
    <n v="25"/>
    <x v="3"/>
    <x v="464"/>
    <x v="2"/>
    <x v="2"/>
    <x v="1"/>
    <n v="1944"/>
    <x v="2"/>
  </r>
  <r>
    <n v="2080"/>
    <s v="Crisanto Castro"/>
    <x v="4"/>
    <s v="Male"/>
    <n v="37"/>
    <x v="0"/>
    <x v="915"/>
    <x v="2"/>
    <x v="2"/>
    <x v="1"/>
    <n v="1281"/>
    <x v="4"/>
  </r>
  <r>
    <n v="2081"/>
    <s v="Carlos Rivera"/>
    <x v="0"/>
    <s v="Male"/>
    <n v="32"/>
    <x v="0"/>
    <x v="916"/>
    <x v="2"/>
    <x v="9"/>
    <x v="1"/>
    <n v="121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7A58A-D3A2-47FF-A446-6664073F4BA5}" name="PivotTable3"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 colHeaderCaption="">
  <location ref="R4:S51" firstHeaderRow="1" firstDataRow="2"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h="1" x="1"/>
        <item x="0"/>
        <item t="default"/>
      </items>
    </pivotField>
    <pivotField showAll="0"/>
    <pivotField showAll="0"/>
    <pivotField showAll="0" defaultSubtotal="0"/>
    <pivotField showAll="0" defaultSubtotal="0"/>
    <pivotField showAll="0" defaultSubtotal="0">
      <items count="10">
        <item x="0"/>
        <item x="1"/>
        <item x="2"/>
        <item x="3"/>
        <item x="4"/>
        <item x="5"/>
        <item x="6"/>
        <item x="7"/>
        <item x="8"/>
        <item x="9"/>
      </items>
    </pivotField>
    <pivotField defaultSubtotal="0"/>
    <pivotField axis="axisRow">
      <items count="7">
        <item x="0"/>
        <item x="1"/>
        <item x="2"/>
        <item x="3"/>
        <item x="4"/>
        <item x="5"/>
        <item t="default"/>
      </items>
    </pivotField>
    <pivotField axis="axisRow">
      <items count="12">
        <item h="1" x="0"/>
        <item x="1"/>
        <item x="2"/>
        <item x="3"/>
        <item x="4"/>
        <item x="5"/>
        <item x="6"/>
        <item x="7"/>
        <item x="8"/>
        <item x="9"/>
        <item h="1" x="10"/>
        <item t="default"/>
      </items>
    </pivotField>
  </pivotFields>
  <rowFields count="2">
    <field x="17"/>
    <field x="16"/>
  </rowFields>
  <rowItems count="46">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t="grand">
      <x/>
    </i>
  </rowItems>
  <colFields count="1">
    <field x="9"/>
  </colFields>
  <colItems count="1">
    <i>
      <x v="1"/>
    </i>
  </colItems>
  <dataFields count="1">
    <dataField name="Exited per Year &amp; Quarter" fld="0" subtotal="count" baseField="17" baseItem="1"/>
  </dataFields>
  <formats count="2">
    <format dxfId="350">
      <pivotArea type="all" dataOnly="0" outline="0" fieldPosition="0"/>
    </format>
    <format dxfId="351">
      <pivotArea type="origin" dataOnly="0" labelOnly="1" outline="0"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5C13D-C943-423D-A979-B6AE677EF4A0}" name="DepartmentTurnover"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Department" colHeaderCaption="">
  <location ref="B19:C26" firstHeaderRow="1" firstDataRow="2" firstDataCol="1"/>
  <pivotFields count="18">
    <pivotField dataField="1" showAll="0"/>
    <pivotField showAll="0"/>
    <pivotField axis="axisRow" showAll="0" sortType="descending">
      <items count="7">
        <item x="1"/>
        <item x="3"/>
        <item x="5"/>
        <item x="4"/>
        <item x="0"/>
        <item x="2"/>
        <item t="default"/>
      </items>
      <autoSortScope>
        <pivotArea dataOnly="0" outline="0" fieldPosition="0">
          <references count="2">
            <reference field="4294967294" count="1" selected="0">
              <x v="0"/>
            </reference>
            <reference field="9" count="1" selected="0">
              <x v="1"/>
            </reference>
          </references>
        </pivotArea>
      </autoSortScope>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6">
    <i>
      <x/>
    </i>
    <i>
      <x v="3"/>
    </i>
    <i>
      <x v="4"/>
    </i>
    <i>
      <x v="2"/>
    </i>
    <i>
      <x v="5"/>
    </i>
    <i>
      <x v="1"/>
    </i>
  </rowItems>
  <colFields count="1">
    <field x="9"/>
  </colFields>
  <colItems count="1">
    <i>
      <x v="1"/>
    </i>
  </colItems>
  <dataFields count="1">
    <dataField name="Count of Exits per" fld="0" subtotal="count" baseField="2" baseItem="0"/>
  </dataFields>
  <formats count="4">
    <format dxfId="1559">
      <pivotArea type="all" dataOnly="0" outline="0" fieldPosition="0"/>
    </format>
    <format dxfId="1558">
      <pivotArea outline="0" collapsedLevelsAreSubtotals="1" fieldPosition="0"/>
    </format>
    <format dxfId="1557">
      <pivotArea field="9" type="button" dataOnly="0" labelOnly="1" outline="0" axis="axisCol" fieldPosition="0"/>
    </format>
    <format dxfId="1556">
      <pivotArea dataOnly="0" labelOnly="1" fieldPosition="0">
        <references count="1">
          <reference field="9" count="0"/>
        </references>
      </pivotArea>
    </format>
  </formats>
  <chartFormats count="3">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8DA10-6676-46DA-B6DC-21577C6BD4FA}" name="TotalEmploye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Employee Count" fld="0" subtotal="count" baseField="0" baseItem="0"/>
  </dataFields>
  <formats count="6">
    <format dxfId="394">
      <pivotArea type="all" dataOnly="0" outline="0" fieldPosition="0"/>
    </format>
    <format dxfId="395">
      <pivotArea outline="0" collapsedLevelsAreSubtotals="1" fieldPosition="0"/>
    </format>
    <format dxfId="396">
      <pivotArea dataOnly="0" labelOnly="1" outline="0" axis="axisValues" fieldPosition="0"/>
    </format>
    <format dxfId="397">
      <pivotArea dataOnly="0" labelOnly="1" outline="0" axis="axisValues" fieldPosition="0"/>
    </format>
    <format dxfId="398">
      <pivotArea outline="0" collapsedLevelsAreSubtotals="1" fieldPosition="0"/>
    </format>
    <format dxfId="3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022E71-680F-4FE8-86C7-B58976AA7303}" name="ActiveByTenure"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Tenure (years)" colHeaderCaption="">
  <location ref="AH12:AI23" firstHeaderRow="1" firstDataRow="2"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x="1"/>
        <item h="1" x="0"/>
        <item t="default"/>
      </items>
    </pivotField>
    <pivotField showAll="0"/>
    <pivotField axis="axisRow" showAll="0">
      <items count="10">
        <item x="1"/>
        <item x="5"/>
        <item x="7"/>
        <item x="4"/>
        <item x="0"/>
        <item x="2"/>
        <item x="6"/>
        <item x="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10">
    <i>
      <x/>
    </i>
    <i>
      <x v="1"/>
    </i>
    <i>
      <x v="2"/>
    </i>
    <i>
      <x v="3"/>
    </i>
    <i>
      <x v="4"/>
    </i>
    <i>
      <x v="5"/>
    </i>
    <i>
      <x v="6"/>
    </i>
    <i>
      <x v="7"/>
    </i>
    <i>
      <x v="8"/>
    </i>
    <i t="grand">
      <x/>
    </i>
  </rowItems>
  <colFields count="1">
    <field x="9"/>
  </colFields>
  <colItems count="1">
    <i>
      <x/>
    </i>
  </colItems>
  <dataFields count="1">
    <dataField name="Active Tenure" fld="0" subtotal="count" baseField="11" baseItem="0"/>
  </dataFields>
  <formats count="1">
    <format dxfId="368">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CDFC4-762B-4D71-A34A-B6C23C943E9C}" name="ExitedByTenure"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Tenure (years)" colHeaderCaption="">
  <location ref="AE12:AF20" firstHeaderRow="1" firstDataRow="2"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h="1" x="1"/>
        <item x="0"/>
        <item t="default"/>
      </items>
    </pivotField>
    <pivotField showAll="0"/>
    <pivotField axis="axisRow" showAll="0">
      <items count="10">
        <item x="1"/>
        <item x="5"/>
        <item x="7"/>
        <item x="4"/>
        <item x="0"/>
        <item x="2"/>
        <item x="6"/>
        <item x="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7">
    <i>
      <x/>
    </i>
    <i>
      <x v="1"/>
    </i>
    <i>
      <x v="2"/>
    </i>
    <i>
      <x v="3"/>
    </i>
    <i>
      <x v="4"/>
    </i>
    <i>
      <x v="5"/>
    </i>
    <i t="grand">
      <x/>
    </i>
  </rowItems>
  <colFields count="1">
    <field x="9"/>
  </colFields>
  <colItems count="1">
    <i>
      <x v="1"/>
    </i>
  </colItems>
  <dataFields count="1">
    <dataField name="Exited Tenure" fld="0" subtotal="count" baseField="11" baseItem="0"/>
  </dataFields>
  <formats count="3">
    <format dxfId="365">
      <pivotArea dataOnly="0" labelOnly="1" fieldPosition="0">
        <references count="1">
          <reference field="9" count="0"/>
        </references>
      </pivotArea>
    </format>
    <format dxfId="366">
      <pivotArea dataOnly="0" labelOnly="1" fieldPosition="0">
        <references count="1">
          <reference field="9" count="0"/>
        </references>
      </pivotArea>
    </format>
    <format dxfId="367">
      <pivotArea type="all" dataOnly="0" outline="0" fieldPosition="0"/>
    </format>
  </formats>
  <chartFormats count="2">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3A928D-8A15-4365-A029-13FAF9CC3BE0}" name="ExitAgeBracket"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Age Bracket" colHeaderCaption="">
  <location ref="AL4:AN11" firstHeaderRow="1" firstDataRow="2" firstDataCol="1"/>
  <pivotFields count="18">
    <pivotField dataField="1" showAll="0"/>
    <pivotField showAll="0"/>
    <pivotField showAll="0">
      <items count="7">
        <item x="1"/>
        <item x="3"/>
        <item x="5"/>
        <item x="4"/>
        <item x="0"/>
        <item x="2"/>
        <item t="default"/>
      </items>
    </pivotField>
    <pivotField showAll="0"/>
    <pivotField showAll="0"/>
    <pivotField axis="axisRow" showAll="0">
      <items count="6">
        <item x="3"/>
        <item x="0"/>
        <item x="2"/>
        <item x="1"/>
        <item x="4"/>
        <item t="default"/>
      </items>
    </pivotField>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x="1"/>
        <item x="0"/>
        <item t="default"/>
      </items>
    </pivotField>
    <pivotField showAll="0"/>
    <pivotField showAll="0"/>
    <pivotField showAll="0" defaultSubtotal="0"/>
    <pivotField showAll="0" defaultSubtotal="0"/>
    <pivotField showAll="0" defaultSubtotal="0">
      <items count="10">
        <item x="0"/>
        <item x="1"/>
        <item x="2"/>
        <item x="3"/>
        <item x="4"/>
        <item x="5"/>
        <item x="6"/>
        <item x="7"/>
        <item x="8"/>
        <item x="9"/>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6">
    <i>
      <x/>
    </i>
    <i>
      <x v="1"/>
    </i>
    <i>
      <x v="2"/>
    </i>
    <i>
      <x v="3"/>
    </i>
    <i>
      <x v="4"/>
    </i>
    <i t="grand">
      <x/>
    </i>
  </rowItems>
  <colFields count="1">
    <field x="9"/>
  </colFields>
  <colItems count="2">
    <i>
      <x/>
    </i>
    <i>
      <x v="1"/>
    </i>
  </colItems>
  <dataFields count="1">
    <dataField name="Active vs. Exited" fld="0" subtotal="count" baseField="5" baseItem="0"/>
  </dataFields>
  <formats count="9">
    <format dxfId="352">
      <pivotArea type="origin" dataOnly="0" labelOnly="1" outline="0" fieldPosition="0"/>
    </format>
    <format dxfId="353">
      <pivotArea type="all" dataOnly="0" outline="0" fieldPosition="0"/>
    </format>
    <format dxfId="354">
      <pivotArea outline="0" collapsedLevelsAreSubtotals="1" fieldPosition="0"/>
    </format>
    <format dxfId="355">
      <pivotArea type="origin" dataOnly="0" labelOnly="1" outline="0" fieldPosition="0"/>
    </format>
    <format dxfId="356">
      <pivotArea field="9" type="button" dataOnly="0" labelOnly="1" outline="0" axis="axisCol" fieldPosition="0"/>
    </format>
    <format dxfId="357">
      <pivotArea field="5" type="button" dataOnly="0" labelOnly="1" outline="0" axis="axisRow" fieldPosition="0"/>
    </format>
    <format dxfId="358">
      <pivotArea dataOnly="0" labelOnly="1" fieldPosition="0">
        <references count="1">
          <reference field="5" count="0"/>
        </references>
      </pivotArea>
    </format>
    <format dxfId="359">
      <pivotArea dataOnly="0" labelOnly="1" grandRow="1" outline="0" fieldPosition="0"/>
    </format>
    <format dxfId="360">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E6235-B21D-40A5-81C2-CDC6926FDBE1}" name="NewHiresVsExits" cacheId="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 rowHeaderCaption="" colHeaderCaption="">
  <location ref="O4:P46" firstHeaderRow="1" firstDataRow="2"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Col" showAll="0">
      <items count="3">
        <item x="1"/>
        <item h="1" x="0"/>
        <item t="default"/>
      </items>
    </pivotField>
    <pivotField showAll="0"/>
    <pivotField showAll="0"/>
    <pivotField>
      <items count="15">
        <item sd="0" x="0"/>
        <item sd="0" x="1"/>
        <item sd="0" x="2"/>
        <item sd="0" x="3"/>
        <item sd="0" x="4"/>
        <item sd="0" x="5"/>
        <item sd="0" x="6"/>
        <item sd="0" x="7"/>
        <item sd="0" x="8"/>
        <item sd="0" x="9"/>
        <item sd="0" x="10"/>
        <item sd="0" x="11"/>
        <item sd="0" x="12"/>
        <item sd="0" x="13"/>
        <item t="default"/>
      </items>
    </pivotField>
    <pivotField axis="axisRow">
      <items count="7">
        <item sd="0" x="0"/>
        <item sd="0" x="1"/>
        <item sd="0" x="2"/>
        <item sd="0" x="3"/>
        <item sd="0" x="4"/>
        <item sd="0" x="5"/>
        <item t="default"/>
      </items>
    </pivotField>
    <pivotField axis="axisRow">
      <items count="11">
        <item h="1" sd="0" x="0"/>
        <item x="1"/>
        <item x="2"/>
        <item x="3"/>
        <item x="4"/>
        <item x="5"/>
        <item x="6"/>
        <item x="7"/>
        <item x="8"/>
        <item h="1" sd="0"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14"/>
    <field x="13"/>
  </rowFields>
  <rowItems count="41">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t="grand">
      <x/>
    </i>
  </rowItems>
  <colFields count="1">
    <field x="9"/>
  </colFields>
  <colItems count="1">
    <i>
      <x/>
    </i>
  </colItems>
  <dataFields count="1">
    <dataField name="New Hires per Year &amp; Quarter" fld="0" subtotal="count" baseField="9" baseItem="0"/>
  </dataFields>
  <formats count="4">
    <format dxfId="361">
      <pivotArea type="all" dataOnly="0" outline="0" fieldPosition="0"/>
    </format>
    <format dxfId="362">
      <pivotArea type="origin" dataOnly="0" labelOnly="1" outline="0" fieldPosition="0"/>
    </format>
    <format dxfId="363">
      <pivotArea field="9" type="button" dataOnly="0" labelOnly="1" outline="0" axis="axisCol" fieldPosition="0"/>
    </format>
    <format dxfId="364">
      <pivotArea type="topRight" dataOnly="0" labelOnly="1" outline="0" fieldPosition="0"/>
    </format>
  </formats>
  <chartFormats count="3">
    <chartFormat chart="3" format="12" series="1">
      <pivotArea type="data" outline="0" fieldPosition="0">
        <references count="2">
          <reference field="4294967294" count="1" selected="0">
            <x v="0"/>
          </reference>
          <reference field="9" count="1" selected="0">
            <x v="0"/>
          </reference>
        </references>
      </pivotArea>
    </chartFormat>
    <chartFormat chart="3" format="13" series="1">
      <pivotArea type="data" outline="0" fieldPosition="0">
        <references count="2">
          <reference field="4294967294" count="1" selected="0">
            <x v="0"/>
          </reference>
          <reference field="9" count="1" selected="0">
            <x v="1"/>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F08DE-867F-40E7-A175-25B64FB11ACC}" name="ExitBreakdow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ason">
  <location ref="K4:L13" firstHeaderRow="1" firstDataRow="1"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axis="axisRow" showAll="0" sortType="descending">
      <items count="11">
        <item h="1" x="2"/>
        <item x="0"/>
        <item x="4"/>
        <item x="8"/>
        <item x="1"/>
        <item x="7"/>
        <item x="3"/>
        <item x="6"/>
        <item x="5"/>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9">
    <i>
      <x v="1"/>
    </i>
    <i>
      <x v="8"/>
    </i>
    <i>
      <x v="6"/>
    </i>
    <i>
      <x v="4"/>
    </i>
    <i>
      <x v="7"/>
    </i>
    <i>
      <x v="3"/>
    </i>
    <i>
      <x v="2"/>
    </i>
    <i>
      <x v="5"/>
    </i>
    <i t="grand">
      <x/>
    </i>
  </rowItems>
  <colItems count="1">
    <i/>
  </colItems>
  <dataFields count="1">
    <dataField name="Exit Count" fld="0" subtotal="count" baseField="7" baseItem="1"/>
  </dataFields>
  <formats count="8">
    <format dxfId="377">
      <pivotArea type="all" dataOnly="0" outline="0" fieldPosition="0"/>
    </format>
    <format dxfId="378">
      <pivotArea outline="0" collapsedLevelsAreSubtotals="1" fieldPosition="0"/>
    </format>
    <format dxfId="379">
      <pivotArea field="8" type="button" dataOnly="0" labelOnly="1" outline="0" axis="axisRow" fieldPosition="0"/>
    </format>
    <format dxfId="380">
      <pivotArea dataOnly="0" labelOnly="1" fieldPosition="0">
        <references count="1">
          <reference field="8" count="0"/>
        </references>
      </pivotArea>
    </format>
    <format dxfId="381">
      <pivotArea dataOnly="0" labelOnly="1" grandRow="1" outline="0" fieldPosition="0"/>
    </format>
    <format dxfId="382">
      <pivotArea dataOnly="0" labelOnly="1" outline="0" axis="axisValues" fieldPosition="0"/>
    </format>
    <format dxfId="383">
      <pivotArea field="8" type="button" dataOnly="0" labelOnly="1" outline="0" axis="axisRow" fieldPosition="0"/>
    </format>
    <format dxfId="384">
      <pivotArea dataOnly="0" labelOnly="1" outline="0" axis="axisValues" fieldPosition="0"/>
    </format>
  </formats>
  <chartFormats count="9">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8" count="1" selected="0">
            <x v="1"/>
          </reference>
        </references>
      </pivotArea>
    </chartFormat>
    <chartFormat chart="3" format="20">
      <pivotArea type="data" outline="0" fieldPosition="0">
        <references count="2">
          <reference field="4294967294" count="1" selected="0">
            <x v="0"/>
          </reference>
          <reference field="8" count="1" selected="0">
            <x v="8"/>
          </reference>
        </references>
      </pivotArea>
    </chartFormat>
    <chartFormat chart="3" format="21">
      <pivotArea type="data" outline="0" fieldPosition="0">
        <references count="2">
          <reference field="4294967294" count="1" selected="0">
            <x v="0"/>
          </reference>
          <reference field="8" count="1" selected="0">
            <x v="6"/>
          </reference>
        </references>
      </pivotArea>
    </chartFormat>
    <chartFormat chart="3" format="22">
      <pivotArea type="data" outline="0" fieldPosition="0">
        <references count="2">
          <reference field="4294967294" count="1" selected="0">
            <x v="0"/>
          </reference>
          <reference field="8" count="1" selected="0">
            <x v="4"/>
          </reference>
        </references>
      </pivotArea>
    </chartFormat>
    <chartFormat chart="3" format="23">
      <pivotArea type="data" outline="0" fieldPosition="0">
        <references count="2">
          <reference field="4294967294" count="1" selected="0">
            <x v="0"/>
          </reference>
          <reference field="8" count="1" selected="0">
            <x v="7"/>
          </reference>
        </references>
      </pivotArea>
    </chartFormat>
    <chartFormat chart="3" format="24">
      <pivotArea type="data" outline="0" fieldPosition="0">
        <references count="2">
          <reference field="4294967294" count="1" selected="0">
            <x v="0"/>
          </reference>
          <reference field="8" count="1" selected="0">
            <x v="3"/>
          </reference>
        </references>
      </pivotArea>
    </chartFormat>
    <chartFormat chart="3" format="25">
      <pivotArea type="data" outline="0" fieldPosition="0">
        <references count="2">
          <reference field="4294967294" count="1" selected="0">
            <x v="0"/>
          </reference>
          <reference field="8" count="1" selected="0">
            <x v="2"/>
          </reference>
        </references>
      </pivotArea>
    </chartFormat>
    <chartFormat chart="3" format="2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E592E6-DE6D-449F-8763-46453A0E7E13}" name="Status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B10:C13" firstHeaderRow="1" firstDataRow="1" firstDataCol="1"/>
  <pivotFields count="18">
    <pivotField dataField="1"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3">
    <i>
      <x/>
    </i>
    <i>
      <x v="1"/>
    </i>
    <i t="grand">
      <x/>
    </i>
  </rowItems>
  <colItems count="1">
    <i/>
  </colItems>
  <dataFields count="1">
    <dataField name="Employee Count" fld="0" subtotal="count" baseField="8" baseItem="0"/>
  </dataFields>
  <formats count="9">
    <format dxfId="385">
      <pivotArea type="all" dataOnly="0" outline="0" fieldPosition="0"/>
    </format>
    <format dxfId="386">
      <pivotArea outline="0" collapsedLevelsAreSubtotals="1" fieldPosition="0"/>
    </format>
    <format dxfId="387">
      <pivotArea field="9" type="button" dataOnly="0" labelOnly="1" outline="0" axis="axisRow" fieldPosition="0"/>
    </format>
    <format dxfId="388">
      <pivotArea dataOnly="0" labelOnly="1" fieldPosition="0">
        <references count="1">
          <reference field="9" count="0"/>
        </references>
      </pivotArea>
    </format>
    <format dxfId="389">
      <pivotArea dataOnly="0" labelOnly="1" grandRow="1" outline="0" fieldPosition="0"/>
    </format>
    <format dxfId="390">
      <pivotArea dataOnly="0" labelOnly="1" outline="0" axis="axisValues" fieldPosition="0"/>
    </format>
    <format dxfId="391">
      <pivotArea dataOnly="0" labelOnly="1" fieldPosition="0">
        <references count="1">
          <reference field="9" count="1">
            <x v="1"/>
          </reference>
        </references>
      </pivotArea>
    </format>
    <format dxfId="392">
      <pivotArea outline="0" collapsedLevelsAreSubtotals="1" fieldPosition="0"/>
    </format>
    <format dxfId="3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E76686-8FDA-4BE1-B129-2E4AE8AD71BF}" name="TenureByStatu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E4:AF7" firstHeaderRow="1" firstDataRow="1" firstDataCol="1"/>
  <pivotFields count="18">
    <pivotField showAll="0"/>
    <pivotField showAll="0"/>
    <pivotField showAll="0">
      <items count="7">
        <item x="1"/>
        <item x="3"/>
        <item x="5"/>
        <item x="4"/>
        <item x="0"/>
        <item x="2"/>
        <item t="default"/>
      </items>
    </pivotField>
    <pivotField showAll="0"/>
    <pivotField showAll="0"/>
    <pivotField showAll="0"/>
    <pivotField numFmtId="164" showAll="0">
      <items count="918">
        <item x="746"/>
        <item x="884"/>
        <item x="42"/>
        <item x="897"/>
        <item x="685"/>
        <item x="750"/>
        <item x="548"/>
        <item x="569"/>
        <item x="290"/>
        <item x="768"/>
        <item x="420"/>
        <item x="215"/>
        <item x="466"/>
        <item x="124"/>
        <item x="288"/>
        <item x="442"/>
        <item x="521"/>
        <item x="497"/>
        <item x="322"/>
        <item x="327"/>
        <item x="892"/>
        <item x="769"/>
        <item x="838"/>
        <item x="108"/>
        <item x="664"/>
        <item x="731"/>
        <item x="403"/>
        <item x="178"/>
        <item x="58"/>
        <item x="459"/>
        <item x="57"/>
        <item x="249"/>
        <item x="903"/>
        <item x="721"/>
        <item x="643"/>
        <item x="615"/>
        <item x="682"/>
        <item x="321"/>
        <item x="102"/>
        <item x="88"/>
        <item x="599"/>
        <item x="211"/>
        <item x="411"/>
        <item x="699"/>
        <item x="511"/>
        <item x="463"/>
        <item x="433"/>
        <item x="438"/>
        <item x="609"/>
        <item x="97"/>
        <item x="703"/>
        <item x="33"/>
        <item x="194"/>
        <item x="75"/>
        <item x="772"/>
        <item x="395"/>
        <item x="229"/>
        <item x="910"/>
        <item x="638"/>
        <item x="689"/>
        <item x="190"/>
        <item x="132"/>
        <item x="90"/>
        <item x="581"/>
        <item x="519"/>
        <item x="773"/>
        <item x="478"/>
        <item x="619"/>
        <item x="676"/>
        <item x="894"/>
        <item x="488"/>
        <item x="765"/>
        <item x="637"/>
        <item x="493"/>
        <item x="241"/>
        <item x="120"/>
        <item x="726"/>
        <item x="343"/>
        <item x="603"/>
        <item x="387"/>
        <item x="785"/>
        <item x="451"/>
        <item x="673"/>
        <item x="652"/>
        <item x="753"/>
        <item x="771"/>
        <item x="354"/>
        <item x="128"/>
        <item x="800"/>
        <item x="635"/>
        <item x="266"/>
        <item x="19"/>
        <item x="879"/>
        <item x="787"/>
        <item x="83"/>
        <item x="813"/>
        <item x="233"/>
        <item x="338"/>
        <item x="314"/>
        <item x="100"/>
        <item x="880"/>
        <item x="64"/>
        <item x="144"/>
        <item x="577"/>
        <item x="732"/>
        <item x="509"/>
        <item x="912"/>
        <item x="172"/>
        <item x="476"/>
        <item x="5"/>
        <item x="186"/>
        <item x="774"/>
        <item x="709"/>
        <item x="842"/>
        <item x="777"/>
        <item x="151"/>
        <item x="571"/>
        <item x="662"/>
        <item x="421"/>
        <item x="536"/>
        <item x="250"/>
        <item x="454"/>
        <item x="340"/>
        <item x="819"/>
        <item x="481"/>
        <item x="681"/>
        <item x="833"/>
        <item x="85"/>
        <item x="705"/>
        <item x="383"/>
        <item x="312"/>
        <item x="47"/>
        <item x="760"/>
        <item x="243"/>
        <item x="583"/>
        <item x="248"/>
        <item x="23"/>
        <item x="99"/>
        <item x="29"/>
        <item x="891"/>
        <item x="683"/>
        <item x="896"/>
        <item x="76"/>
        <item x="291"/>
        <item x="786"/>
        <item x="853"/>
        <item x="831"/>
        <item x="499"/>
        <item x="520"/>
        <item x="63"/>
        <item x="115"/>
        <item x="206"/>
        <item x="874"/>
        <item x="866"/>
        <item x="34"/>
        <item x="491"/>
        <item x="861"/>
        <item x="437"/>
        <item x="566"/>
        <item x="830"/>
        <item x="382"/>
        <item x="117"/>
        <item x="696"/>
        <item x="457"/>
        <item x="690"/>
        <item x="780"/>
        <item x="315"/>
        <item x="594"/>
        <item x="634"/>
        <item x="809"/>
        <item x="761"/>
        <item x="397"/>
        <item x="319"/>
        <item x="154"/>
        <item x="704"/>
        <item x="371"/>
        <item x="287"/>
        <item x="318"/>
        <item x="622"/>
        <item x="168"/>
        <item x="529"/>
        <item x="659"/>
        <item x="525"/>
        <item x="222"/>
        <item x="275"/>
        <item x="197"/>
        <item x="140"/>
        <item x="508"/>
        <item x="641"/>
        <item x="893"/>
        <item x="113"/>
        <item x="534"/>
        <item x="9"/>
        <item x="555"/>
        <item x="123"/>
        <item x="645"/>
        <item x="568"/>
        <item x="764"/>
        <item x="201"/>
        <item x="389"/>
        <item x="600"/>
        <item x="782"/>
        <item x="264"/>
        <item x="202"/>
        <item x="425"/>
        <item x="118"/>
        <item x="25"/>
        <item x="516"/>
        <item x="735"/>
        <item x="181"/>
        <item x="188"/>
        <item x="91"/>
        <item x="675"/>
        <item x="324"/>
        <item x="496"/>
        <item x="450"/>
        <item x="159"/>
        <item x="358"/>
        <item x="357"/>
        <item x="24"/>
        <item x="390"/>
        <item x="713"/>
        <item x="336"/>
        <item x="504"/>
        <item x="276"/>
        <item x="441"/>
        <item x="795"/>
        <item x="375"/>
        <item x="695"/>
        <item x="802"/>
        <item x="142"/>
        <item x="346"/>
        <item x="267"/>
        <item x="452"/>
        <item x="213"/>
        <item x="325"/>
        <item x="596"/>
        <item x="751"/>
        <item x="890"/>
        <item x="590"/>
        <item x="655"/>
        <item x="840"/>
        <item x="737"/>
        <item x="135"/>
        <item x="670"/>
        <item x="854"/>
        <item x="422"/>
        <item x="86"/>
        <item x="59"/>
        <item x="367"/>
        <item x="588"/>
        <item x="342"/>
        <item x="763"/>
        <item x="268"/>
        <item x="408"/>
        <item x="909"/>
        <item x="848"/>
        <item x="326"/>
        <item x="871"/>
        <item x="698"/>
        <item x="498"/>
        <item x="781"/>
        <item x="547"/>
        <item x="585"/>
        <item x="821"/>
        <item x="347"/>
        <item x="218"/>
        <item x="406"/>
        <item x="531"/>
        <item x="122"/>
        <item x="281"/>
        <item x="246"/>
        <item x="379"/>
        <item x="400"/>
        <item x="280"/>
        <item x="414"/>
        <item x="710"/>
        <item x="353"/>
        <item x="17"/>
        <item x="875"/>
        <item x="179"/>
        <item x="129"/>
        <item x="553"/>
        <item x="119"/>
        <item x="881"/>
        <item x="10"/>
        <item x="718"/>
        <item x="613"/>
        <item x="832"/>
        <item x="228"/>
        <item x="38"/>
        <item x="331"/>
        <item x="835"/>
        <item x="360"/>
        <item x="756"/>
        <item x="860"/>
        <item x="757"/>
        <item x="667"/>
        <item x="864"/>
        <item x="510"/>
        <item x="907"/>
        <item x="352"/>
        <item x="306"/>
        <item x="614"/>
        <item x="449"/>
        <item x="109"/>
        <item x="73"/>
        <item x="716"/>
        <item x="623"/>
        <item x="227"/>
        <item x="53"/>
        <item x="678"/>
        <item x="145"/>
        <item x="742"/>
        <item x="36"/>
        <item x="876"/>
        <item x="28"/>
        <item x="605"/>
        <item x="824"/>
        <item x="857"/>
        <item x="165"/>
        <item x="601"/>
        <item x="93"/>
        <item x="49"/>
        <item x="0"/>
        <item x="310"/>
        <item x="533"/>
        <item x="27"/>
        <item x="52"/>
        <item x="18"/>
        <item x="22"/>
        <item x="489"/>
        <item x="355"/>
        <item x="759"/>
        <item x="677"/>
        <item x="60"/>
        <item x="878"/>
        <item x="818"/>
        <item x="167"/>
        <item x="448"/>
        <item x="816"/>
        <item x="500"/>
        <item x="112"/>
        <item x="591"/>
        <item x="626"/>
        <item x="270"/>
        <item x="513"/>
        <item x="467"/>
        <item x="335"/>
        <item x="37"/>
        <item x="584"/>
        <item x="855"/>
        <item x="671"/>
        <item x="484"/>
        <item x="469"/>
        <item x="883"/>
        <item x="308"/>
        <item x="749"/>
        <item x="747"/>
        <item x="872"/>
        <item x="185"/>
        <item x="351"/>
        <item x="300"/>
        <item x="794"/>
        <item x="195"/>
        <item x="464"/>
        <item x="752"/>
        <item x="639"/>
        <item x="687"/>
        <item x="486"/>
        <item x="412"/>
        <item x="604"/>
        <item x="153"/>
        <item x="625"/>
        <item x="661"/>
        <item x="193"/>
        <item x="350"/>
        <item x="905"/>
        <item x="517"/>
        <item x="691"/>
        <item x="204"/>
        <item x="576"/>
        <item x="187"/>
        <item x="715"/>
        <item x="81"/>
        <item x="313"/>
        <item x="4"/>
        <item x="104"/>
        <item x="901"/>
        <item x="419"/>
        <item x="727"/>
        <item x="381"/>
        <item x="79"/>
        <item x="279"/>
        <item x="362"/>
        <item x="399"/>
        <item x="31"/>
        <item x="255"/>
        <item x="45"/>
        <item x="801"/>
        <item x="694"/>
        <item x="78"/>
        <item x="744"/>
        <item x="770"/>
        <item x="856"/>
        <item x="311"/>
        <item x="341"/>
        <item x="804"/>
        <item x="302"/>
        <item x="479"/>
        <item x="301"/>
        <item x="148"/>
        <item x="137"/>
        <item x="373"/>
        <item x="561"/>
        <item x="191"/>
        <item x="370"/>
        <item x="844"/>
        <item x="507"/>
        <item x="505"/>
        <item x="258"/>
        <item x="236"/>
        <item x="413"/>
        <item x="557"/>
        <item x="150"/>
        <item x="808"/>
        <item x="328"/>
        <item x="885"/>
        <item x="563"/>
        <item x="348"/>
        <item x="111"/>
        <item x="207"/>
        <item x="541"/>
        <item x="368"/>
        <item x="247"/>
        <item x="589"/>
        <item x="87"/>
        <item x="852"/>
        <item x="472"/>
        <item x="257"/>
        <item x="304"/>
        <item x="612"/>
        <item x="665"/>
        <item x="69"/>
        <item x="94"/>
        <item x="722"/>
        <item x="807"/>
        <item x="579"/>
        <item x="3"/>
        <item x="184"/>
        <item x="465"/>
        <item x="606"/>
        <item x="265"/>
        <item x="700"/>
        <item x="133"/>
        <item x="294"/>
        <item x="847"/>
        <item x="895"/>
        <item x="21"/>
        <item x="316"/>
        <item x="424"/>
        <item x="35"/>
        <item x="427"/>
        <item x="779"/>
        <item x="914"/>
        <item x="297"/>
        <item x="176"/>
        <item x="900"/>
        <item x="15"/>
        <item x="175"/>
        <item x="845"/>
        <item x="152"/>
        <item x="468"/>
        <item x="595"/>
        <item x="114"/>
        <item x="778"/>
        <item x="158"/>
        <item x="199"/>
        <item x="788"/>
        <item x="692"/>
        <item x="372"/>
        <item x="745"/>
        <item x="775"/>
        <item x="797"/>
        <item x="162"/>
        <item x="284"/>
        <item x="223"/>
        <item x="834"/>
        <item x="96"/>
        <item x="902"/>
        <item x="851"/>
        <item x="7"/>
        <item x="205"/>
        <item x="445"/>
        <item x="418"/>
        <item x="739"/>
        <item x="803"/>
        <item x="320"/>
        <item x="307"/>
        <item x="580"/>
        <item x="560"/>
        <item x="572"/>
        <item x="814"/>
        <item x="253"/>
        <item x="171"/>
        <item x="556"/>
        <item x="323"/>
        <item x="598"/>
        <item x="251"/>
        <item x="741"/>
        <item x="719"/>
        <item x="796"/>
        <item x="332"/>
        <item x="714"/>
        <item x="198"/>
        <item x="862"/>
        <item x="776"/>
        <item x="431"/>
        <item x="506"/>
        <item x="398"/>
        <item x="299"/>
        <item x="811"/>
        <item x="189"/>
        <item x="868"/>
        <item x="309"/>
        <item x="8"/>
        <item x="738"/>
        <item x="226"/>
        <item x="44"/>
        <item x="456"/>
        <item x="674"/>
        <item x="208"/>
        <item x="743"/>
        <item x="740"/>
        <item x="446"/>
        <item x="447"/>
        <item x="394"/>
        <item x="793"/>
        <item x="527"/>
        <item x="460"/>
        <item x="544"/>
        <item x="632"/>
        <item x="54"/>
        <item x="790"/>
        <item x="216"/>
        <item x="385"/>
        <item x="570"/>
        <item x="210"/>
        <item x="344"/>
        <item x="377"/>
        <item x="538"/>
        <item x="66"/>
        <item x="384"/>
        <item x="483"/>
        <item x="164"/>
        <item x="221"/>
        <item x="858"/>
        <item x="648"/>
        <item x="859"/>
        <item x="127"/>
        <item x="51"/>
        <item x="130"/>
        <item x="545"/>
        <item x="543"/>
        <item x="799"/>
        <item x="725"/>
        <item x="289"/>
        <item x="139"/>
        <item x="43"/>
        <item x="131"/>
        <item x="755"/>
        <item x="669"/>
        <item x="103"/>
        <item x="67"/>
        <item x="143"/>
        <item x="141"/>
        <item x="161"/>
        <item x="30"/>
        <item x="260"/>
        <item x="494"/>
        <item x="724"/>
        <item x="915"/>
        <item x="658"/>
        <item x="177"/>
        <item x="157"/>
        <item x="610"/>
        <item x="789"/>
        <item x="173"/>
        <item x="71"/>
        <item x="252"/>
        <item x="524"/>
        <item x="232"/>
        <item x="180"/>
        <item x="684"/>
        <item x="13"/>
        <item x="535"/>
        <item x="602"/>
        <item x="50"/>
        <item x="916"/>
        <item x="169"/>
        <item x="256"/>
        <item x="539"/>
        <item x="711"/>
        <item x="225"/>
        <item x="239"/>
        <item x="562"/>
        <item x="841"/>
        <item x="146"/>
        <item x="46"/>
        <item x="106"/>
        <item x="235"/>
        <item x="361"/>
        <item x="212"/>
        <item x="575"/>
        <item x="660"/>
        <item x="621"/>
        <item x="298"/>
        <item x="430"/>
        <item x="369"/>
        <item x="470"/>
        <item x="717"/>
        <item x="170"/>
        <item x="530"/>
        <item x="582"/>
        <item x="245"/>
        <item x="651"/>
        <item x="125"/>
        <item x="214"/>
        <item x="77"/>
        <item x="593"/>
        <item x="234"/>
        <item x="616"/>
        <item x="440"/>
        <item x="432"/>
        <item x="734"/>
        <item x="823"/>
        <item x="155"/>
        <item x="597"/>
        <item x="435"/>
        <item x="474"/>
        <item x="285"/>
        <item x="219"/>
        <item x="654"/>
        <item x="706"/>
        <item x="820"/>
        <item x="863"/>
        <item x="656"/>
        <item x="792"/>
        <item x="720"/>
        <item x="182"/>
        <item x="898"/>
        <item x="296"/>
        <item x="98"/>
        <item x="889"/>
        <item x="608"/>
        <item x="378"/>
        <item x="702"/>
        <item x="487"/>
        <item x="461"/>
        <item x="238"/>
        <item x="305"/>
        <item x="869"/>
        <item x="84"/>
        <item x="913"/>
        <item x="345"/>
        <item x="443"/>
        <item x="401"/>
        <item x="829"/>
        <item x="512"/>
        <item x="646"/>
        <item x="192"/>
        <item x="554"/>
        <item x="607"/>
        <item x="392"/>
        <item x="815"/>
        <item x="707"/>
        <item x="359"/>
        <item x="558"/>
        <item x="453"/>
        <item x="439"/>
        <item x="697"/>
        <item x="388"/>
        <item x="846"/>
        <item x="546"/>
        <item x="730"/>
        <item x="806"/>
        <item x="254"/>
        <item x="672"/>
        <item x="349"/>
        <item x="303"/>
        <item x="873"/>
        <item x="586"/>
        <item x="217"/>
        <item x="183"/>
        <item x="899"/>
        <item x="904"/>
        <item x="728"/>
        <item x="224"/>
        <item x="242"/>
        <item x="825"/>
        <item x="618"/>
        <item x="26"/>
        <item x="502"/>
        <item x="16"/>
        <item x="526"/>
        <item x="627"/>
        <item x="286"/>
        <item x="680"/>
        <item x="550"/>
        <item x="850"/>
        <item x="230"/>
        <item x="56"/>
        <item x="428"/>
        <item x="620"/>
        <item x="339"/>
        <item x="657"/>
        <item x="278"/>
        <item x="166"/>
        <item x="407"/>
        <item x="564"/>
        <item x="482"/>
        <item x="490"/>
        <item x="849"/>
        <item x="537"/>
        <item x="882"/>
        <item x="783"/>
        <item x="812"/>
        <item x="396"/>
        <item x="72"/>
        <item x="160"/>
        <item x="274"/>
        <item x="70"/>
        <item x="317"/>
        <item x="649"/>
        <item x="196"/>
        <item x="503"/>
        <item x="688"/>
        <item x="495"/>
        <item x="393"/>
        <item x="630"/>
        <item x="514"/>
        <item x="542"/>
        <item x="231"/>
        <item x="458"/>
        <item x="277"/>
        <item x="65"/>
        <item x="668"/>
        <item x="565"/>
        <item x="471"/>
        <item x="784"/>
        <item x="434"/>
        <item x="20"/>
        <item x="282"/>
        <item x="836"/>
        <item x="273"/>
        <item x="839"/>
        <item x="573"/>
        <item x="473"/>
        <item x="429"/>
        <item x="95"/>
        <item x="263"/>
        <item x="40"/>
        <item x="518"/>
        <item x="701"/>
        <item x="237"/>
        <item x="633"/>
        <item x="417"/>
        <item x="271"/>
        <item x="911"/>
        <item x="540"/>
        <item x="679"/>
        <item x="480"/>
        <item x="259"/>
        <item x="68"/>
        <item x="762"/>
        <item x="624"/>
        <item x="653"/>
        <item x="686"/>
        <item x="374"/>
        <item x="74"/>
        <item x="156"/>
        <item x="631"/>
        <item x="567"/>
        <item x="587"/>
        <item x="1"/>
        <item x="578"/>
        <item x="32"/>
        <item x="528"/>
        <item x="810"/>
        <item x="41"/>
        <item x="532"/>
        <item x="14"/>
        <item x="611"/>
        <item x="292"/>
        <item x="748"/>
        <item x="48"/>
        <item x="386"/>
        <item x="559"/>
        <item x="640"/>
        <item x="708"/>
        <item x="754"/>
        <item x="174"/>
        <item x="149"/>
        <item x="293"/>
        <item x="515"/>
        <item x="501"/>
        <item x="462"/>
        <item x="877"/>
        <item x="105"/>
        <item x="134"/>
        <item x="767"/>
        <item x="736"/>
        <item x="409"/>
        <item x="80"/>
        <item x="522"/>
        <item x="758"/>
        <item x="887"/>
        <item x="551"/>
        <item x="147"/>
        <item x="110"/>
        <item x="888"/>
        <item x="416"/>
        <item x="136"/>
        <item x="666"/>
        <item x="334"/>
        <item x="822"/>
        <item x="826"/>
        <item x="330"/>
        <item x="333"/>
        <item x="475"/>
        <item x="426"/>
        <item x="121"/>
        <item x="805"/>
        <item x="436"/>
        <item x="423"/>
        <item x="244"/>
        <item x="209"/>
        <item x="415"/>
        <item x="116"/>
        <item x="92"/>
        <item x="712"/>
        <item x="61"/>
        <item x="337"/>
        <item x="843"/>
        <item x="908"/>
        <item x="391"/>
        <item x="376"/>
        <item x="200"/>
        <item x="283"/>
        <item x="363"/>
        <item x="865"/>
        <item x="523"/>
        <item x="886"/>
        <item x="89"/>
        <item x="663"/>
        <item x="828"/>
        <item x="261"/>
        <item x="126"/>
        <item x="364"/>
        <item x="82"/>
        <item x="410"/>
        <item x="592"/>
        <item x="867"/>
        <item x="629"/>
        <item x="644"/>
        <item x="766"/>
        <item x="240"/>
        <item x="380"/>
        <item x="62"/>
        <item x="366"/>
        <item x="272"/>
        <item x="549"/>
        <item x="220"/>
        <item x="138"/>
        <item x="402"/>
        <item x="101"/>
        <item x="628"/>
        <item x="827"/>
        <item x="444"/>
        <item x="39"/>
        <item x="906"/>
        <item x="798"/>
        <item x="12"/>
        <item x="11"/>
        <item x="356"/>
        <item x="404"/>
        <item x="574"/>
        <item x="693"/>
        <item x="650"/>
        <item x="492"/>
        <item x="733"/>
        <item x="107"/>
        <item x="295"/>
        <item x="642"/>
        <item x="262"/>
        <item x="405"/>
        <item x="636"/>
        <item x="55"/>
        <item x="729"/>
        <item x="2"/>
        <item x="791"/>
        <item x="837"/>
        <item x="485"/>
        <item x="477"/>
        <item x="870"/>
        <item x="6"/>
        <item x="617"/>
        <item x="455"/>
        <item x="329"/>
        <item x="269"/>
        <item x="552"/>
        <item x="163"/>
        <item x="203"/>
        <item x="817"/>
        <item x="723"/>
        <item x="647"/>
        <item x="365"/>
        <item t="default"/>
      </items>
    </pivotField>
    <pivotField showAll="0">
      <items count="385">
        <item x="350"/>
        <item x="378"/>
        <item x="325"/>
        <item x="247"/>
        <item x="322"/>
        <item x="41"/>
        <item x="10"/>
        <item x="276"/>
        <item x="312"/>
        <item x="265"/>
        <item x="308"/>
        <item x="86"/>
        <item x="367"/>
        <item x="355"/>
        <item x="330"/>
        <item x="141"/>
        <item x="160"/>
        <item x="380"/>
        <item x="44"/>
        <item x="119"/>
        <item x="17"/>
        <item x="108"/>
        <item x="285"/>
        <item x="334"/>
        <item x="110"/>
        <item x="43"/>
        <item x="274"/>
        <item x="204"/>
        <item x="327"/>
        <item x="115"/>
        <item x="179"/>
        <item x="243"/>
        <item x="156"/>
        <item x="197"/>
        <item x="220"/>
        <item x="321"/>
        <item x="281"/>
        <item x="51"/>
        <item x="53"/>
        <item x="221"/>
        <item x="18"/>
        <item x="269"/>
        <item x="171"/>
        <item x="336"/>
        <item x="145"/>
        <item x="301"/>
        <item x="97"/>
        <item x="96"/>
        <item x="316"/>
        <item x="239"/>
        <item x="272"/>
        <item x="14"/>
        <item x="189"/>
        <item x="254"/>
        <item x="15"/>
        <item x="199"/>
        <item x="381"/>
        <item x="123"/>
        <item x="159"/>
        <item x="126"/>
        <item x="341"/>
        <item x="222"/>
        <item x="289"/>
        <item x="79"/>
        <item x="153"/>
        <item x="120"/>
        <item x="218"/>
        <item x="383"/>
        <item x="255"/>
        <item x="61"/>
        <item x="357"/>
        <item x="305"/>
        <item x="200"/>
        <item x="291"/>
        <item x="211"/>
        <item x="89"/>
        <item x="12"/>
        <item x="242"/>
        <item x="163"/>
        <item x="360"/>
        <item x="40"/>
        <item x="348"/>
        <item x="42"/>
        <item x="203"/>
        <item x="5"/>
        <item x="77"/>
        <item x="370"/>
        <item x="54"/>
        <item x="82"/>
        <item x="25"/>
        <item x="293"/>
        <item x="134"/>
        <item x="132"/>
        <item x="131"/>
        <item x="176"/>
        <item x="121"/>
        <item x="361"/>
        <item x="183"/>
        <item x="52"/>
        <item x="201"/>
        <item x="21"/>
        <item x="8"/>
        <item x="283"/>
        <item x="311"/>
        <item x="34"/>
        <item x="78"/>
        <item x="37"/>
        <item x="173"/>
        <item x="346"/>
        <item x="313"/>
        <item x="81"/>
        <item x="39"/>
        <item x="161"/>
        <item x="329"/>
        <item x="309"/>
        <item x="382"/>
        <item x="102"/>
        <item x="299"/>
        <item x="195"/>
        <item x="128"/>
        <item x="136"/>
        <item x="167"/>
        <item x="190"/>
        <item x="237"/>
        <item x="92"/>
        <item x="130"/>
        <item x="310"/>
        <item x="225"/>
        <item x="290"/>
        <item x="70"/>
        <item x="60"/>
        <item x="232"/>
        <item x="73"/>
        <item x="304"/>
        <item x="273"/>
        <item x="19"/>
        <item x="100"/>
        <item x="184"/>
        <item x="318"/>
        <item x="118"/>
        <item x="277"/>
        <item x="57"/>
        <item x="294"/>
        <item x="284"/>
        <item x="371"/>
        <item x="133"/>
        <item x="209"/>
        <item x="379"/>
        <item x="186"/>
        <item x="32"/>
        <item x="298"/>
        <item x="231"/>
        <item x="207"/>
        <item x="154"/>
        <item x="63"/>
        <item x="4"/>
        <item x="46"/>
        <item x="347"/>
        <item x="244"/>
        <item x="36"/>
        <item x="248"/>
        <item x="101"/>
        <item x="206"/>
        <item x="352"/>
        <item x="188"/>
        <item x="45"/>
        <item x="9"/>
        <item x="264"/>
        <item x="65"/>
        <item x="181"/>
        <item x="84"/>
        <item x="337"/>
        <item x="271"/>
        <item x="266"/>
        <item x="87"/>
        <item x="148"/>
        <item x="129"/>
        <item x="68"/>
        <item x="335"/>
        <item x="251"/>
        <item x="268"/>
        <item x="256"/>
        <item x="170"/>
        <item x="377"/>
        <item x="315"/>
        <item x="345"/>
        <item x="296"/>
        <item x="196"/>
        <item x="158"/>
        <item x="67"/>
        <item x="278"/>
        <item x="55"/>
        <item x="11"/>
        <item x="282"/>
        <item x="71"/>
        <item x="27"/>
        <item x="49"/>
        <item x="140"/>
        <item x="69"/>
        <item x="139"/>
        <item x="72"/>
        <item x="319"/>
        <item x="214"/>
        <item x="169"/>
        <item x="144"/>
        <item x="125"/>
        <item x="374"/>
        <item x="306"/>
        <item x="109"/>
        <item x="333"/>
        <item x="364"/>
        <item x="80"/>
        <item x="375"/>
        <item x="94"/>
        <item x="6"/>
        <item x="233"/>
        <item x="366"/>
        <item x="23"/>
        <item x="297"/>
        <item x="354"/>
        <item x="155"/>
        <item x="103"/>
        <item x="358"/>
        <item x="187"/>
        <item x="22"/>
        <item x="227"/>
        <item x="95"/>
        <item x="88"/>
        <item x="236"/>
        <item x="33"/>
        <item x="172"/>
        <item x="353"/>
        <item x="320"/>
        <item x="376"/>
        <item x="328"/>
        <item x="258"/>
        <item x="314"/>
        <item x="105"/>
        <item x="138"/>
        <item x="192"/>
        <item x="135"/>
        <item x="339"/>
        <item x="356"/>
        <item x="205"/>
        <item x="0"/>
        <item x="127"/>
        <item x="104"/>
        <item x="91"/>
        <item x="216"/>
        <item x="252"/>
        <item x="20"/>
        <item x="56"/>
        <item x="288"/>
        <item x="76"/>
        <item x="35"/>
        <item x="286"/>
        <item x="152"/>
        <item x="224"/>
        <item x="114"/>
        <item x="351"/>
        <item x="365"/>
        <item x="75"/>
        <item x="124"/>
        <item x="343"/>
        <item x="208"/>
        <item x="340"/>
        <item x="234"/>
        <item x="98"/>
        <item x="253"/>
        <item x="66"/>
        <item x="194"/>
        <item x="307"/>
        <item x="235"/>
        <item x="217"/>
        <item x="215"/>
        <item x="210"/>
        <item x="240"/>
        <item x="331"/>
        <item x="262"/>
        <item x="295"/>
        <item x="226"/>
        <item x="261"/>
        <item x="193"/>
        <item x="1"/>
        <item x="31"/>
        <item x="28"/>
        <item x="7"/>
        <item x="85"/>
        <item x="323"/>
        <item x="13"/>
        <item x="344"/>
        <item x="241"/>
        <item x="178"/>
        <item x="228"/>
        <item x="177"/>
        <item x="246"/>
        <item x="106"/>
        <item x="229"/>
        <item x="99"/>
        <item x="143"/>
        <item x="368"/>
        <item x="260"/>
        <item x="117"/>
        <item x="349"/>
        <item x="212"/>
        <item x="74"/>
        <item x="112"/>
        <item x="219"/>
        <item x="342"/>
        <item x="359"/>
        <item x="150"/>
        <item x="191"/>
        <item x="292"/>
        <item x="113"/>
        <item x="267"/>
        <item x="302"/>
        <item x="223"/>
        <item x="363"/>
        <item x="198"/>
        <item x="249"/>
        <item x="62"/>
        <item x="369"/>
        <item x="257"/>
        <item x="324"/>
        <item x="317"/>
        <item x="174"/>
        <item x="259"/>
        <item x="168"/>
        <item x="279"/>
        <item x="24"/>
        <item x="180"/>
        <item x="151"/>
        <item x="16"/>
        <item x="238"/>
        <item x="287"/>
        <item x="230"/>
        <item x="362"/>
        <item x="270"/>
        <item x="303"/>
        <item x="30"/>
        <item x="162"/>
        <item x="3"/>
        <item x="245"/>
        <item x="116"/>
        <item x="165"/>
        <item x="58"/>
        <item x="372"/>
        <item x="164"/>
        <item x="146"/>
        <item x="50"/>
        <item x="93"/>
        <item x="48"/>
        <item x="38"/>
        <item x="147"/>
        <item x="90"/>
        <item x="47"/>
        <item x="122"/>
        <item x="373"/>
        <item x="64"/>
        <item x="280"/>
        <item x="107"/>
        <item x="83"/>
        <item x="111"/>
        <item x="166"/>
        <item x="185"/>
        <item x="338"/>
        <item x="250"/>
        <item x="26"/>
        <item x="142"/>
        <item x="175"/>
        <item x="300"/>
        <item x="275"/>
        <item x="157"/>
        <item x="332"/>
        <item x="137"/>
        <item x="263"/>
        <item x="202"/>
        <item x="59"/>
        <item x="326"/>
        <item x="149"/>
        <item x="29"/>
        <item x="182"/>
        <item x="213"/>
        <item x="2"/>
        <item t="default"/>
      </items>
    </pivotField>
    <pivotField showAll="0"/>
    <pivotField axis="axisRow" showAll="0">
      <items count="3">
        <item x="1"/>
        <item x="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3">
    <i>
      <x/>
    </i>
    <i>
      <x v="1"/>
    </i>
    <i t="grand">
      <x/>
    </i>
  </rowItems>
  <colItems count="1">
    <i/>
  </colItems>
  <dataFields count="1">
    <dataField name="Average Tenure (days)" fld="10" subtotal="average" baseField="0" baseItem="0"/>
  </dataFields>
  <formats count="8">
    <format dxfId="369">
      <pivotArea type="all" dataOnly="0" outline="0" fieldPosition="0"/>
    </format>
    <format dxfId="370">
      <pivotArea outline="0" collapsedLevelsAreSubtotals="1" fieldPosition="0"/>
    </format>
    <format dxfId="371">
      <pivotArea dataOnly="0" labelOnly="1" outline="0" axis="axisValues" fieldPosition="0"/>
    </format>
    <format dxfId="372">
      <pivotArea type="all" dataOnly="0" outline="0" fieldPosition="0"/>
    </format>
    <format dxfId="373">
      <pivotArea outline="0" collapsedLevelsAreSubtotals="1" fieldPosition="0"/>
    </format>
    <format dxfId="374">
      <pivotArea dataOnly="0" labelOnly="1" outline="0" axis="axisValues" fieldPosition="0"/>
    </format>
    <format dxfId="375">
      <pivotArea field="9" type="button" dataOnly="0" labelOnly="1" outline="0" axis="axisRow" fieldPosition="0"/>
    </format>
    <format dxfId="3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58270CE-F539-48F2-9973-A4B5723710D2}" sourceName="Department">
  <pivotTables>
    <pivotTable tabId="1" name="TotalEmployee"/>
    <pivotTable tabId="1" name="StatusPivot"/>
    <pivotTable tabId="1" name="ExitBreakdown"/>
    <pivotTable tabId="1" name="TenureByStatus"/>
    <pivotTable tabId="1" name="ActiveByTenure"/>
    <pivotTable tabId="1" name="ExitedByTenure"/>
    <pivotTable tabId="1" name="NewHiresVsExits"/>
    <pivotTable tabId="1" name="ExitAgeBracket"/>
    <pivotTable tabId="1" name="PivotTable3"/>
  </pivotTables>
  <data>
    <tabular pivotCacheId="951281545">
      <items count="6">
        <i x="1" s="1"/>
        <i x="3" s="1"/>
        <i x="5"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xr10:uid="{3E35807C-A3A9-46F8-8241-0C9BA8B7E86C}" cache="Slicer_Department1" columnCount="6" style="department-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57ED8E-AB55-4F15-B64F-2A473A45EC33}" name="EmployeeData" displayName="EmployeeData" ref="A1:L1082" totalsRowShown="0">
  <autoFilter ref="A1:L1082" xr:uid="{9E57ED8E-AB55-4F15-B64F-2A473A45EC33}"/>
  <sortState xmlns:xlrd2="http://schemas.microsoft.com/office/spreadsheetml/2017/richdata2" ref="A2:L1082">
    <sortCondition ref="A1:A1082"/>
  </sortState>
  <tableColumns count="12">
    <tableColumn id="1" xr3:uid="{CC36F6D0-F738-4C11-9C02-9F209A902637}" name="Employee ID"/>
    <tableColumn id="2" xr3:uid="{4BA5DBD8-5D39-44EB-A361-B0765692C1AA}" name="Full Name" dataDxfId="1555"/>
    <tableColumn id="3" xr3:uid="{889A7F92-FAC3-46E6-BF99-BC94D4B6F06D}" name="Department" dataDxfId="1554"/>
    <tableColumn id="4" xr3:uid="{35408E3C-0A04-40FF-89FC-C68D9A72ADDE}" name="Gender" dataDxfId="1553"/>
    <tableColumn id="5" xr3:uid="{AE754CC7-C763-4FAA-999E-E48D0629467D}" name="Age"/>
    <tableColumn id="10" xr3:uid="{0F629A70-447F-4B34-ADB1-0314AD86ABAD}" name="Age bracket" dataDxfId="1552">
      <calculatedColumnFormula array="1">_xlfn.IFS(EmployeeData[[#This Row],[Age]]&lt;30,"20s",EmployeeData[[#This Row],[Age]]&lt;40,"30s",EmployeeData[[#This Row],[Age]]&lt;50,"40s",EmployeeData[[#This Row],[Age]]&lt;60,"50s",EmployeeData[[#This Row],[Age]]&gt;=60,"60s")</calculatedColumnFormula>
    </tableColumn>
    <tableColumn id="6" xr3:uid="{3275900A-848B-4C52-B452-DFDEDDCA99EE}" name="Join Date" dataDxfId="1551"/>
    <tableColumn id="7" xr3:uid="{080D401A-9B4A-4959-B31A-694A39E65571}" name="Exit Date" dataDxfId="1550"/>
    <tableColumn id="8" xr3:uid="{85B7AAF4-6DF5-4CAB-B9AA-53CDDF6B312B}" name="Exit Reason" dataDxfId="1549"/>
    <tableColumn id="9" xr3:uid="{521A603B-EBE9-4E17-A593-E4D1F5409910}" name="Status" dataDxfId="1548"/>
    <tableColumn id="12" xr3:uid="{A40A80E7-F813-473C-AE6B-846F211BABA6}" name="Tenure (days)" dataDxfId="1547">
      <calculatedColumnFormula array="1">_xlfn.IFS(EmployeeData[[#This Row],[Status]]="Active",_xlfn.DAYS(TODAY(),EmployeeData[[#This Row],[Join Date]]),EmployeeData[[#This Row],[Status]]="Exited",_xlfn.DAYS(EmployeeData[[#This Row],[Exit Date]],EmployeeData[[#This Row],[Join Date]]))</calculatedColumnFormula>
    </tableColumn>
    <tableColumn id="11" xr3:uid="{0A74DB64-AAD0-40B3-BEFF-5140D9EBD3E5}" name="Tenure (years)" dataDxfId="1546">
      <calculatedColumnFormula array="1">_xlfn.IFS(EmployeeData[[#This Row],[Status]]="Exited",DATEDIF(EmployeeData[[#This Row],[Join Date]], EmployeeData[[#This Row],[Exit Date]], "Y"),EmployeeData[[#This Row],[Status]]="Active",DATEDIF(EmployeeData[[#This Row],[Join Date]], TODAY(), "Y"))</calculatedColumnFormula>
    </tableColumn>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94C0-8A10-4F92-A123-50610D92B1DD}">
  <sheetPr codeName="Sheet1">
    <tabColor rgb="FF76549A"/>
  </sheetPr>
  <dimension ref="A1:K5038"/>
  <sheetViews>
    <sheetView showGridLines="0" showRowColHeaders="0" tabSelected="1" zoomScaleNormal="100" workbookViewId="0">
      <selection activeCell="H43" sqref="H43"/>
    </sheetView>
  </sheetViews>
  <sheetFormatPr defaultRowHeight="14.4" x14ac:dyDescent="0.3"/>
  <cols>
    <col min="1" max="1" width="1.6640625" style="3" customWidth="1"/>
    <col min="2" max="2" width="19.44140625" style="3" customWidth="1"/>
    <col min="3" max="3" width="26.88671875" style="3" customWidth="1"/>
    <col min="4" max="4" width="25.33203125" style="3" customWidth="1"/>
    <col min="5" max="5" width="23.21875" style="3" customWidth="1"/>
    <col min="6" max="6" width="20.44140625" style="3" customWidth="1"/>
    <col min="7" max="10" width="23" style="3" customWidth="1"/>
    <col min="11" max="11" width="1.88671875" style="3" customWidth="1"/>
    <col min="12" max="16384" width="8.88671875" style="1"/>
  </cols>
  <sheetData>
    <row r="1" spans="1:11" x14ac:dyDescent="0.3">
      <c r="A1" s="2"/>
      <c r="B1" s="2"/>
      <c r="C1" s="2"/>
      <c r="D1" s="2"/>
      <c r="E1" s="2"/>
      <c r="F1" s="2"/>
      <c r="G1" s="2"/>
      <c r="H1" s="2"/>
      <c r="I1" s="2"/>
      <c r="J1" s="2"/>
      <c r="K1" s="2"/>
    </row>
    <row r="2" spans="1:11" x14ac:dyDescent="0.3">
      <c r="A2" s="2"/>
      <c r="B2" s="2"/>
      <c r="C2" s="2"/>
      <c r="D2" s="2"/>
      <c r="E2" s="2"/>
      <c r="F2" s="2"/>
      <c r="G2" s="2"/>
      <c r="H2" s="2"/>
      <c r="I2" s="2"/>
      <c r="J2" s="2"/>
      <c r="K2" s="2"/>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68"/>
      <c r="B10" s="68"/>
      <c r="C10" s="68"/>
      <c r="D10" s="68"/>
      <c r="E10" s="68"/>
      <c r="F10" s="68"/>
      <c r="G10" s="68"/>
      <c r="H10" s="68"/>
      <c r="I10" s="68"/>
      <c r="J10" s="68"/>
      <c r="K10" s="68"/>
    </row>
    <row r="37" spans="2:10" ht="19.95" customHeight="1" x14ac:dyDescent="0.3">
      <c r="B37" s="69" t="s">
        <v>0</v>
      </c>
      <c r="C37" s="69" t="s">
        <v>1</v>
      </c>
      <c r="D37" s="69" t="s">
        <v>2</v>
      </c>
      <c r="E37" s="69" t="s">
        <v>3</v>
      </c>
      <c r="F37" s="69" t="s">
        <v>4</v>
      </c>
      <c r="G37" s="69" t="s">
        <v>5</v>
      </c>
      <c r="H37" s="69" t="s">
        <v>6</v>
      </c>
      <c r="I37" s="69" t="s">
        <v>7</v>
      </c>
      <c r="J37" s="69" t="s">
        <v>8</v>
      </c>
    </row>
    <row r="38" spans="2:10" ht="19.95" customHeight="1" x14ac:dyDescent="0.3">
      <c r="B38" s="4" cm="1">
        <f t="array" ref="B38">IFERROR(INDEX(EmployeeData[Employee ID], ROW() - 37), "")</f>
        <v>1001</v>
      </c>
      <c r="C38" s="4" t="str" cm="1">
        <f t="array" ref="C38">IFERROR(INDEX(EmployeeData[Full Name], ROW() - 37), "")</f>
        <v>Paz Cruz Dela Cruz</v>
      </c>
      <c r="D38" s="4" t="str" cm="1">
        <f t="array" ref="D38">IFERROR(INDEX(EmployeeData[Department], ROW() - 37), "")</f>
        <v>Marketing</v>
      </c>
      <c r="E38" s="4" t="str" cm="1">
        <f t="array" ref="E38">IFERROR(INDEX(EmployeeData[Gender], ROW() - 37), "")</f>
        <v>Female</v>
      </c>
      <c r="F38" s="4" cm="1">
        <f t="array" ref="F38">IFERROR(INDEX(EmployeeData[Age], ROW() - 37), "")</f>
        <v>38</v>
      </c>
      <c r="G38" s="6" cm="1">
        <f t="array" ref="G38">IFERROR(INDEX(EmployeeData[Join Date], ROW() - 37), "")</f>
        <v>44104</v>
      </c>
      <c r="H38" s="6" cm="1">
        <f t="array" ref="H38">IFERROR(IF(INDEX(EmployeeData[Exit Date], ROW() - 37)=0, "",INDEX(EmployeeData[Exit Date], ROW() - 37)),"")</f>
        <v>45702</v>
      </c>
      <c r="I38" s="4" t="str" cm="1">
        <f t="array" ref="I38">IFERROR(IF(INDEX(EmployeeData[Exit Reason], ROW() - 37)=0, "",INDEX(EmployeeData[Exit Reason], ROW() - 37)),"")</f>
        <v>Better Opportunity</v>
      </c>
      <c r="J38" s="4" t="str" cm="1">
        <f t="array" ref="J38">IFERROR(INDEX(EmployeeData[Status], ROW() - 37), "")</f>
        <v>Exited</v>
      </c>
    </row>
    <row r="39" spans="2:10" ht="19.95" customHeight="1" x14ac:dyDescent="0.3">
      <c r="B39" s="4" cm="1">
        <f t="array" ref="B39">IFERROR(INDEX(EmployeeData[Employee ID], ROW() - 37), "")</f>
        <v>1002</v>
      </c>
      <c r="C39" s="4" t="str" cm="1">
        <f t="array" ref="C39">IFERROR(INDEX(EmployeeData[Full Name], ROW() - 37), "")</f>
        <v>Paz Aguilar Camacho</v>
      </c>
      <c r="D39" s="4" t="str" cm="1">
        <f t="array" ref="D39">IFERROR(INDEX(EmployeeData[Department], ROW() - 37), "")</f>
        <v>Customer Support</v>
      </c>
      <c r="E39" s="4" t="str" cm="1">
        <f t="array" ref="E39">IFERROR(INDEX(EmployeeData[Gender], ROW() - 37), "")</f>
        <v>Female</v>
      </c>
      <c r="F39" s="4" cm="1">
        <f t="array" ref="F39">IFERROR(INDEX(EmployeeData[Age], ROW() - 37), "")</f>
        <v>53</v>
      </c>
      <c r="G39" s="6" cm="1">
        <f t="array" ref="G39">IFERROR(INDEX(EmployeeData[Join Date], ROW() - 37), "")</f>
        <v>45566</v>
      </c>
      <c r="H39" s="6" cm="1">
        <f t="array" ref="H39">IFERROR(IF(INDEX(EmployeeData[Exit Date], ROW() - 37)=0, "",INDEX(EmployeeData[Exit Date], ROW() - 37)),"")</f>
        <v>45859</v>
      </c>
      <c r="I39" s="4" t="str" cm="1">
        <f t="array" ref="I39">IFERROR(IF(INDEX(EmployeeData[Exit Reason], ROW() - 37)=0, "",INDEX(EmployeeData[Exit Reason], ROW() - 37)),"")</f>
        <v>Personal Reasons</v>
      </c>
      <c r="J39" s="4" t="str" cm="1">
        <f t="array" ref="J39">IFERROR(INDEX(EmployeeData[Status], ROW() - 37), "")</f>
        <v>Exited</v>
      </c>
    </row>
    <row r="40" spans="2:10" ht="19.95" customHeight="1" x14ac:dyDescent="0.3">
      <c r="B40" s="4" cm="1">
        <f t="array" ref="B40">IFERROR(INDEX(EmployeeData[Employee ID], ROW() - 37), "")</f>
        <v>1003</v>
      </c>
      <c r="C40" s="4" t="str" cm="1">
        <f t="array" ref="C40">IFERROR(INDEX(EmployeeData[Full Name], ROW() - 37), "")</f>
        <v>Celine Diaz Domingo</v>
      </c>
      <c r="D40" s="4" t="str" cm="1">
        <f t="array" ref="D40">IFERROR(INDEX(EmployeeData[Department], ROW() - 37), "")</f>
        <v>Sales</v>
      </c>
      <c r="E40" s="4" t="str" cm="1">
        <f t="array" ref="E40">IFERROR(INDEX(EmployeeData[Gender], ROW() - 37), "")</f>
        <v>Female</v>
      </c>
      <c r="F40" s="4" cm="1">
        <f t="array" ref="F40">IFERROR(INDEX(EmployeeData[Age], ROW() - 37), "")</f>
        <v>31</v>
      </c>
      <c r="G40" s="6" cm="1">
        <f t="array" ref="G40">IFERROR(INDEX(EmployeeData[Join Date], ROW() - 37), "")</f>
        <v>45960</v>
      </c>
      <c r="H40" s="6" t="str" cm="1">
        <f t="array" ref="H40">IFERROR(IF(INDEX(EmployeeData[Exit Date], ROW() - 37)=0, "",INDEX(EmployeeData[Exit Date], ROW() - 37)),"")</f>
        <v/>
      </c>
      <c r="I40" s="4" t="str" cm="1">
        <f t="array" ref="I40">IFERROR(IF(INDEX(EmployeeData[Exit Reason], ROW() - 37)=0, "",INDEX(EmployeeData[Exit Reason], ROW() - 37)),"")</f>
        <v/>
      </c>
      <c r="J40" s="4" t="str" cm="1">
        <f t="array" ref="J40">IFERROR(INDEX(EmployeeData[Status], ROW() - 37), "")</f>
        <v>Active</v>
      </c>
    </row>
    <row r="41" spans="2:10" ht="19.95" customHeight="1" x14ac:dyDescent="0.3">
      <c r="B41" s="4" cm="1">
        <f t="array" ref="B41">IFERROR(INDEX(EmployeeData[Employee ID], ROW() - 37), "")</f>
        <v>1004</v>
      </c>
      <c r="C41" s="4" t="str" cm="1">
        <f t="array" ref="C41">IFERROR(INDEX(EmployeeData[Full Name], ROW() - 37), "")</f>
        <v>Eduardo Torres Dela Torre</v>
      </c>
      <c r="D41" s="4" t="str" cm="1">
        <f t="array" ref="D41">IFERROR(INDEX(EmployeeData[Department], ROW() - 37), "")</f>
        <v>Customer Support</v>
      </c>
      <c r="E41" s="4" t="str" cm="1">
        <f t="array" ref="E41">IFERROR(INDEX(EmployeeData[Gender], ROW() - 37), "")</f>
        <v>Male</v>
      </c>
      <c r="F41" s="4" cm="1">
        <f t="array" ref="F41">IFERROR(INDEX(EmployeeData[Age], ROW() - 37), "")</f>
        <v>43</v>
      </c>
      <c r="G41" s="6" cm="1">
        <f t="array" ref="G41">IFERROR(INDEX(EmployeeData[Join Date], ROW() - 37), "")</f>
        <v>44509</v>
      </c>
      <c r="H41" s="6" t="str" cm="1">
        <f t="array" ref="H41">IFERROR(IF(INDEX(EmployeeData[Exit Date], ROW() - 37)=0, "",INDEX(EmployeeData[Exit Date], ROW() - 37)),"")</f>
        <v/>
      </c>
      <c r="I41" s="4" t="str" cm="1">
        <f t="array" ref="I41">IFERROR(IF(INDEX(EmployeeData[Exit Reason], ROW() - 37)=0, "",INDEX(EmployeeData[Exit Reason], ROW() - 37)),"")</f>
        <v/>
      </c>
      <c r="J41" s="4" t="str" cm="1">
        <f t="array" ref="J41">IFERROR(INDEX(EmployeeData[Status], ROW() - 37), "")</f>
        <v>Active</v>
      </c>
    </row>
    <row r="42" spans="2:10" ht="19.95" customHeight="1" x14ac:dyDescent="0.3">
      <c r="B42" s="4" cm="1">
        <f t="array" ref="B42">IFERROR(INDEX(EmployeeData[Employee ID], ROW() - 37), "")</f>
        <v>1005</v>
      </c>
      <c r="C42" s="4" t="str" cm="1">
        <f t="array" ref="C42">IFERROR(INDEX(EmployeeData[Full Name], ROW() - 37), "")</f>
        <v>Jerome Ocampo Macapagal</v>
      </c>
      <c r="D42" s="4" t="str" cm="1">
        <f t="array" ref="D42">IFERROR(INDEX(EmployeeData[Department], ROW() - 37), "")</f>
        <v>Finance</v>
      </c>
      <c r="E42" s="4" t="str" cm="1">
        <f t="array" ref="E42">IFERROR(INDEX(EmployeeData[Gender], ROW() - 37), "")</f>
        <v>Male</v>
      </c>
      <c r="F42" s="4" cm="1">
        <f t="array" ref="F42">IFERROR(INDEX(EmployeeData[Age], ROW() - 37), "")</f>
        <v>56</v>
      </c>
      <c r="G42" s="6" cm="1">
        <f t="array" ref="G42">IFERROR(INDEX(EmployeeData[Join Date], ROW() - 37), "")</f>
        <v>44301</v>
      </c>
      <c r="H42" s="6" t="str" cm="1">
        <f t="array" ref="H42">IFERROR(IF(INDEX(EmployeeData[Exit Date], ROW() - 37)=0, "",INDEX(EmployeeData[Exit Date], ROW() - 37)),"")</f>
        <v/>
      </c>
      <c r="I42" s="4" t="str" cm="1">
        <f t="array" ref="I42">IFERROR(IF(INDEX(EmployeeData[Exit Reason], ROW() - 37)=0, "",INDEX(EmployeeData[Exit Reason], ROW() - 37)),"")</f>
        <v/>
      </c>
      <c r="J42" s="4" t="str" cm="1">
        <f t="array" ref="J42">IFERROR(INDEX(EmployeeData[Status], ROW() - 37), "")</f>
        <v>Active</v>
      </c>
    </row>
    <row r="43" spans="2:10" ht="19.95" customHeight="1" x14ac:dyDescent="0.3">
      <c r="B43" s="4" cm="1">
        <f t="array" ref="B43">IFERROR(INDEX(EmployeeData[Employee ID], ROW() - 37), "")</f>
        <v>1006</v>
      </c>
      <c r="C43" s="4" t="str" cm="1">
        <f t="array" ref="C43">IFERROR(INDEX(EmployeeData[Full Name], ROW() - 37), "")</f>
        <v>Lourdes Santiago Panganiban</v>
      </c>
      <c r="D43" s="4" t="str" cm="1">
        <f t="array" ref="D43">IFERROR(INDEX(EmployeeData[Department], ROW() - 37), "")</f>
        <v>Customer Support</v>
      </c>
      <c r="E43" s="4" t="str" cm="1">
        <f t="array" ref="E43">IFERROR(INDEX(EmployeeData[Gender], ROW() - 37), "")</f>
        <v>Female</v>
      </c>
      <c r="F43" s="4" cm="1">
        <f t="array" ref="F43">IFERROR(INDEX(EmployeeData[Age], ROW() - 37), "")</f>
        <v>39</v>
      </c>
      <c r="G43" s="6" cm="1">
        <f t="array" ref="G43">IFERROR(INDEX(EmployeeData[Join Date], ROW() - 37), "")</f>
        <v>43427</v>
      </c>
      <c r="H43" s="6" t="str" cm="1">
        <f t="array" ref="H43">IFERROR(IF(INDEX(EmployeeData[Exit Date], ROW() - 37)=0, "",INDEX(EmployeeData[Exit Date], ROW() - 37)),"")</f>
        <v/>
      </c>
      <c r="I43" s="4" t="str" cm="1">
        <f t="array" ref="I43">IFERROR(IF(INDEX(EmployeeData[Exit Reason], ROW() - 37)=0, "",INDEX(EmployeeData[Exit Reason], ROW() - 37)),"")</f>
        <v/>
      </c>
      <c r="J43" s="4" t="str" cm="1">
        <f t="array" ref="J43">IFERROR(INDEX(EmployeeData[Status], ROW() - 37), "")</f>
        <v>Active</v>
      </c>
    </row>
    <row r="44" spans="2:10" ht="19.95" customHeight="1" x14ac:dyDescent="0.3">
      <c r="B44" s="4" cm="1">
        <f t="array" ref="B44">IFERROR(INDEX(EmployeeData[Employee ID], ROW() - 37), "")</f>
        <v>1007</v>
      </c>
      <c r="C44" s="4" t="str" cm="1">
        <f t="array" ref="C44">IFERROR(INDEX(EmployeeData[Full Name], ROW() - 37), "")</f>
        <v>Manuel Quiambao</v>
      </c>
      <c r="D44" s="4" t="str" cm="1">
        <f t="array" ref="D44">IFERROR(INDEX(EmployeeData[Department], ROW() - 37), "")</f>
        <v>Customer Support</v>
      </c>
      <c r="E44" s="4" t="str" cm="1">
        <f t="array" ref="E44">IFERROR(INDEX(EmployeeData[Gender], ROW() - 37), "")</f>
        <v>Male</v>
      </c>
      <c r="F44" s="4" cm="1">
        <f t="array" ref="F44">IFERROR(INDEX(EmployeeData[Age], ROW() - 37), "")</f>
        <v>38</v>
      </c>
      <c r="G44" s="6" cm="1">
        <f t="array" ref="G44">IFERROR(INDEX(EmployeeData[Join Date], ROW() - 37), "")</f>
        <v>45975</v>
      </c>
      <c r="H44" s="6" t="str" cm="1">
        <f t="array" ref="H44">IFERROR(IF(INDEX(EmployeeData[Exit Date], ROW() - 37)=0, "",INDEX(EmployeeData[Exit Date], ROW() - 37)),"")</f>
        <v/>
      </c>
      <c r="I44" s="4" t="str" cm="1">
        <f t="array" ref="I44">IFERROR(IF(INDEX(EmployeeData[Exit Reason], ROW() - 37)=0, "",INDEX(EmployeeData[Exit Reason], ROW() - 37)),"")</f>
        <v/>
      </c>
      <c r="J44" s="4" t="str" cm="1">
        <f t="array" ref="J44">IFERROR(INDEX(EmployeeData[Status], ROW() - 37), "")</f>
        <v>Active</v>
      </c>
    </row>
    <row r="45" spans="2:10" ht="19.95" customHeight="1" x14ac:dyDescent="0.3">
      <c r="B45" s="4" cm="1">
        <f t="array" ref="B45">IFERROR(INDEX(EmployeeData[Employee ID], ROW() - 37), "")</f>
        <v>1008</v>
      </c>
      <c r="C45" s="4" t="str" cm="1">
        <f t="array" ref="C45">IFERROR(INDEX(EmployeeData[Full Name], ROW() - 37), "")</f>
        <v>Pacita Bautista Guevarra</v>
      </c>
      <c r="D45" s="4" t="str" cm="1">
        <f t="array" ref="D45">IFERROR(INDEX(EmployeeData[Department], ROW() - 37), "")</f>
        <v>Marketing</v>
      </c>
      <c r="E45" s="4" t="str" cm="1">
        <f t="array" ref="E45">IFERROR(INDEX(EmployeeData[Gender], ROW() - 37), "")</f>
        <v>Female</v>
      </c>
      <c r="F45" s="4" cm="1">
        <f t="array" ref="F45">IFERROR(INDEX(EmployeeData[Age], ROW() - 37), "")</f>
        <v>50</v>
      </c>
      <c r="G45" s="6" cm="1">
        <f t="array" ref="G45">IFERROR(INDEX(EmployeeData[Join Date], ROW() - 37), "")</f>
        <v>44655</v>
      </c>
      <c r="H45" s="6" cm="1">
        <f t="array" ref="H45">IFERROR(IF(INDEX(EmployeeData[Exit Date], ROW() - 37)=0, "",INDEX(EmployeeData[Exit Date], ROW() - 37)),"")</f>
        <v>46055</v>
      </c>
      <c r="I45" s="4" t="str" cm="1">
        <f t="array" ref="I45">IFERROR(IF(INDEX(EmployeeData[Exit Reason], ROW() - 37)=0, "",INDEX(EmployeeData[Exit Reason], ROW() - 37)),"")</f>
        <v>Personal Reasons</v>
      </c>
      <c r="J45" s="4" t="str" cm="1">
        <f t="array" ref="J45">IFERROR(INDEX(EmployeeData[Status], ROW() - 37), "")</f>
        <v>Exited</v>
      </c>
    </row>
    <row r="46" spans="2:10" ht="19.95" customHeight="1" x14ac:dyDescent="0.3">
      <c r="B46" s="4" cm="1">
        <f t="array" ref="B46">IFERROR(INDEX(EmployeeData[Employee ID], ROW() - 37), "")</f>
        <v>1009</v>
      </c>
      <c r="C46" s="4" t="str" cm="1">
        <f t="array" ref="C46">IFERROR(INDEX(EmployeeData[Full Name], ROW() - 37), "")</f>
        <v>Tess Ang Miranda</v>
      </c>
      <c r="D46" s="4" t="str" cm="1">
        <f t="array" ref="D46">IFERROR(INDEX(EmployeeData[Department], ROW() - 37), "")</f>
        <v>Customer Support</v>
      </c>
      <c r="E46" s="4" t="str" cm="1">
        <f t="array" ref="E46">IFERROR(INDEX(EmployeeData[Gender], ROW() - 37), "")</f>
        <v>Female</v>
      </c>
      <c r="F46" s="4" cm="1">
        <f t="array" ref="F46">IFERROR(INDEX(EmployeeData[Age], ROW() - 37), "")</f>
        <v>41</v>
      </c>
      <c r="G46" s="6" cm="1">
        <f t="array" ref="G46">IFERROR(INDEX(EmployeeData[Join Date], ROW() - 37), "")</f>
        <v>44744</v>
      </c>
      <c r="H46" s="6" cm="1">
        <f t="array" ref="H46">IFERROR(IF(INDEX(EmployeeData[Exit Date], ROW() - 37)=0, "",INDEX(EmployeeData[Exit Date], ROW() - 37)),"")</f>
        <v>45266</v>
      </c>
      <c r="I46" s="4" t="str" cm="1">
        <f t="array" ref="I46">IFERROR(IF(INDEX(EmployeeData[Exit Reason], ROW() - 37)=0, "",INDEX(EmployeeData[Exit Reason], ROW() - 37)),"")</f>
        <v>Resignation</v>
      </c>
      <c r="J46" s="4" t="str" cm="1">
        <f t="array" ref="J46">IFERROR(INDEX(EmployeeData[Status], ROW() - 37), "")</f>
        <v>Exited</v>
      </c>
    </row>
    <row r="47" spans="2:10" ht="19.95" customHeight="1" x14ac:dyDescent="0.3">
      <c r="B47" s="4" cm="1">
        <f t="array" ref="B47">IFERROR(INDEX(EmployeeData[Employee ID], ROW() - 37), "")</f>
        <v>1010</v>
      </c>
      <c r="C47" s="4" t="str" cm="1">
        <f t="array" ref="C47">IFERROR(INDEX(EmployeeData[Full Name], ROW() - 37), "")</f>
        <v>Gloria Chan</v>
      </c>
      <c r="D47" s="4" t="str" cm="1">
        <f t="array" ref="D47">IFERROR(INDEX(EmployeeData[Department], ROW() - 37), "")</f>
        <v>IT</v>
      </c>
      <c r="E47" s="4" t="str" cm="1">
        <f t="array" ref="E47">IFERROR(INDEX(EmployeeData[Gender], ROW() - 37), "")</f>
        <v>Other</v>
      </c>
      <c r="F47" s="4" cm="1">
        <f t="array" ref="F47">IFERROR(INDEX(EmployeeData[Age], ROW() - 37), "")</f>
        <v>50</v>
      </c>
      <c r="G47" s="6" cm="1">
        <f t="array" ref="G47">IFERROR(INDEX(EmployeeData[Join Date], ROW() - 37), "")</f>
        <v>43686</v>
      </c>
      <c r="H47" s="6" cm="1">
        <f t="array" ref="H47">IFERROR(IF(INDEX(EmployeeData[Exit Date], ROW() - 37)=0, "",INDEX(EmployeeData[Exit Date], ROW() - 37)),"")</f>
        <v>44786</v>
      </c>
      <c r="I47" s="4" t="str" cm="1">
        <f t="array" ref="I47">IFERROR(IF(INDEX(EmployeeData[Exit Reason], ROW() - 37)=0, "",INDEX(EmployeeData[Exit Reason], ROW() - 37)),"")</f>
        <v>Personal Reasons</v>
      </c>
      <c r="J47" s="4" t="str" cm="1">
        <f t="array" ref="J47">IFERROR(INDEX(EmployeeData[Status], ROW() - 37), "")</f>
        <v>Exited</v>
      </c>
    </row>
    <row r="48" spans="2:10" ht="19.95" customHeight="1" x14ac:dyDescent="0.3">
      <c r="B48" s="4" cm="1">
        <f t="array" ref="B48">IFERROR(INDEX(EmployeeData[Employee ID], ROW() - 37), "")</f>
        <v>1011</v>
      </c>
      <c r="C48" s="4" t="str" cm="1">
        <f t="array" ref="C48">IFERROR(INDEX(EmployeeData[Full Name], ROW() - 37), "")</f>
        <v>Crisanto Bautista Cueto</v>
      </c>
      <c r="D48" s="4" t="str" cm="1">
        <f t="array" ref="D48">IFERROR(INDEX(EmployeeData[Department], ROW() - 37), "")</f>
        <v>IT</v>
      </c>
      <c r="E48" s="4" t="str" cm="1">
        <f t="array" ref="E48">IFERROR(INDEX(EmployeeData[Gender], ROW() - 37), "")</f>
        <v>Male</v>
      </c>
      <c r="F48" s="4" cm="1">
        <f t="array" ref="F48">IFERROR(INDEX(EmployeeData[Age], ROW() - 37), "")</f>
        <v>44</v>
      </c>
      <c r="G48" s="6" cm="1">
        <f t="array" ref="G48">IFERROR(INDEX(EmployeeData[Join Date], ROW() - 37), "")</f>
        <v>43999</v>
      </c>
      <c r="H48" s="6" t="str" cm="1">
        <f t="array" ref="H48">IFERROR(IF(INDEX(EmployeeData[Exit Date], ROW() - 37)=0, "",INDEX(EmployeeData[Exit Date], ROW() - 37)),"")</f>
        <v/>
      </c>
      <c r="I48" s="4" t="str" cm="1">
        <f t="array" ref="I48">IFERROR(IF(INDEX(EmployeeData[Exit Reason], ROW() - 37)=0, "",INDEX(EmployeeData[Exit Reason], ROW() - 37)),"")</f>
        <v/>
      </c>
      <c r="J48" s="4" t="str" cm="1">
        <f t="array" ref="J48">IFERROR(INDEX(EmployeeData[Status], ROW() - 37), "")</f>
        <v>Active</v>
      </c>
    </row>
    <row r="49" spans="2:10" ht="19.95" customHeight="1" x14ac:dyDescent="0.3">
      <c r="B49" s="4" cm="1">
        <f t="array" ref="B49">IFERROR(INDEX(EmployeeData[Employee ID], ROW() - 37), "")</f>
        <v>1012</v>
      </c>
      <c r="C49" s="4" t="str" cm="1">
        <f t="array" ref="C49">IFERROR(INDEX(EmployeeData[Full Name], ROW() - 37), "")</f>
        <v>Teresa Go Salazar</v>
      </c>
      <c r="D49" s="4" t="str" cm="1">
        <f t="array" ref="D49">IFERROR(INDEX(EmployeeData[Department], ROW() - 37), "")</f>
        <v>Sales</v>
      </c>
      <c r="E49" s="4" t="str" cm="1">
        <f t="array" ref="E49">IFERROR(INDEX(EmployeeData[Gender], ROW() - 37), "")</f>
        <v>Female</v>
      </c>
      <c r="F49" s="4" cm="1">
        <f t="array" ref="F49">IFERROR(INDEX(EmployeeData[Age], ROW() - 37), "")</f>
        <v>31</v>
      </c>
      <c r="G49" s="6" cm="1">
        <f t="array" ref="G49">IFERROR(INDEX(EmployeeData[Join Date], ROW() - 37), "")</f>
        <v>45888</v>
      </c>
      <c r="H49" s="6" t="str" cm="1">
        <f t="array" ref="H49">IFERROR(IF(INDEX(EmployeeData[Exit Date], ROW() - 37)=0, "",INDEX(EmployeeData[Exit Date], ROW() - 37)),"")</f>
        <v/>
      </c>
      <c r="I49" s="4" t="str" cm="1">
        <f t="array" ref="I49">IFERROR(IF(INDEX(EmployeeData[Exit Reason], ROW() - 37)=0, "",INDEX(EmployeeData[Exit Reason], ROW() - 37)),"")</f>
        <v/>
      </c>
      <c r="J49" s="4" t="str" cm="1">
        <f t="array" ref="J49">IFERROR(INDEX(EmployeeData[Status], ROW() - 37), "")</f>
        <v>Active</v>
      </c>
    </row>
    <row r="50" spans="2:10" ht="19.95" customHeight="1" x14ac:dyDescent="0.3">
      <c r="B50" s="4" cm="1">
        <f t="array" ref="B50">IFERROR(INDEX(EmployeeData[Employee ID], ROW() - 37), "")</f>
        <v>1013</v>
      </c>
      <c r="C50" s="4" t="str" cm="1">
        <f t="array" ref="C50">IFERROR(INDEX(EmployeeData[Full Name], ROW() - 37), "")</f>
        <v>Gloria Wong</v>
      </c>
      <c r="D50" s="4" t="str" cm="1">
        <f t="array" ref="D50">IFERROR(INDEX(EmployeeData[Department], ROW() - 37), "")</f>
        <v>Marketing</v>
      </c>
      <c r="E50" s="4" t="str" cm="1">
        <f t="array" ref="E50">IFERROR(INDEX(EmployeeData[Gender], ROW() - 37), "")</f>
        <v>Other</v>
      </c>
      <c r="F50" s="4" cm="1">
        <f t="array" ref="F50">IFERROR(INDEX(EmployeeData[Age], ROW() - 37), "")</f>
        <v>21</v>
      </c>
      <c r="G50" s="6" cm="1">
        <f t="array" ref="G50">IFERROR(INDEX(EmployeeData[Join Date], ROW() - 37), "")</f>
        <v>45887</v>
      </c>
      <c r="H50" s="6" t="str" cm="1">
        <f t="array" ref="H50">IFERROR(IF(INDEX(EmployeeData[Exit Date], ROW() - 37)=0, "",INDEX(EmployeeData[Exit Date], ROW() - 37)),"")</f>
        <v/>
      </c>
      <c r="I50" s="4" t="str" cm="1">
        <f t="array" ref="I50">IFERROR(IF(INDEX(EmployeeData[Exit Reason], ROW() - 37)=0, "",INDEX(EmployeeData[Exit Reason], ROW() - 37)),"")</f>
        <v/>
      </c>
      <c r="J50" s="4" t="str" cm="1">
        <f t="array" ref="J50">IFERROR(INDEX(EmployeeData[Status], ROW() - 37), "")</f>
        <v>Active</v>
      </c>
    </row>
    <row r="51" spans="2:10" ht="19.95" customHeight="1" x14ac:dyDescent="0.3">
      <c r="B51" s="4" cm="1">
        <f t="array" ref="B51">IFERROR(INDEX(EmployeeData[Employee ID], ROW() - 37), "")</f>
        <v>1014</v>
      </c>
      <c r="C51" s="4" t="str" cm="1">
        <f t="array" ref="C51">IFERROR(INDEX(EmployeeData[Full Name], ROW() - 37), "")</f>
        <v>Jacqueline Bagtas</v>
      </c>
      <c r="D51" s="4" t="str" cm="1">
        <f t="array" ref="D51">IFERROR(INDEX(EmployeeData[Department], ROW() - 37), "")</f>
        <v>IT</v>
      </c>
      <c r="E51" s="4" t="str" cm="1">
        <f t="array" ref="E51">IFERROR(INDEX(EmployeeData[Gender], ROW() - 37), "")</f>
        <v>Female</v>
      </c>
      <c r="F51" s="4" cm="1">
        <f t="array" ref="F51">IFERROR(INDEX(EmployeeData[Age], ROW() - 37), "")</f>
        <v>31</v>
      </c>
      <c r="G51" s="6" cm="1">
        <f t="array" ref="G51">IFERROR(INDEX(EmployeeData[Join Date], ROW() - 37), "")</f>
        <v>44959</v>
      </c>
      <c r="H51" s="6" cm="1">
        <f t="array" ref="H51">IFERROR(IF(INDEX(EmployeeData[Exit Date], ROW() - 37)=0, "",INDEX(EmployeeData[Exit Date], ROW() - 37)),"")</f>
        <v>45588</v>
      </c>
      <c r="I51" s="4" t="str" cm="1">
        <f t="array" ref="I51">IFERROR(IF(INDEX(EmployeeData[Exit Reason], ROW() - 37)=0, "",INDEX(EmployeeData[Exit Reason], ROW() - 37)),"")</f>
        <v>Contract End</v>
      </c>
      <c r="J51" s="4" t="str" cm="1">
        <f t="array" ref="J51">IFERROR(INDEX(EmployeeData[Status], ROW() - 37), "")</f>
        <v>Exited</v>
      </c>
    </row>
    <row r="52" spans="2:10" ht="19.95" customHeight="1" x14ac:dyDescent="0.3">
      <c r="B52" s="4" cm="1">
        <f t="array" ref="B52">IFERROR(INDEX(EmployeeData[Employee ID], ROW() - 37), "")</f>
        <v>1015</v>
      </c>
      <c r="C52" s="4" t="str" cm="1">
        <f t="array" ref="C52">IFERROR(INDEX(EmployeeData[Full Name], ROW() - 37), "")</f>
        <v>Paz Elegado</v>
      </c>
      <c r="D52" s="4" t="str" cm="1">
        <f t="array" ref="D52">IFERROR(INDEX(EmployeeData[Department], ROW() - 37), "")</f>
        <v>Sales</v>
      </c>
      <c r="E52" s="4" t="str" cm="1">
        <f t="array" ref="E52">IFERROR(INDEX(EmployeeData[Gender], ROW() - 37), "")</f>
        <v>Female</v>
      </c>
      <c r="F52" s="4" cm="1">
        <f t="array" ref="F52">IFERROR(INDEX(EmployeeData[Age], ROW() - 37), "")</f>
        <v>53</v>
      </c>
      <c r="G52" s="6" cm="1">
        <f t="array" ref="G52">IFERROR(INDEX(EmployeeData[Join Date], ROW() - 37), "")</f>
        <v>45595</v>
      </c>
      <c r="H52" s="6" cm="1">
        <f t="array" ref="H52">IFERROR(IF(INDEX(EmployeeData[Exit Date], ROW() - 37)=0, "",INDEX(EmployeeData[Exit Date], ROW() - 37)),"")</f>
        <v>45876</v>
      </c>
      <c r="I52" s="4" t="str" cm="1">
        <f t="array" ref="I52">IFERROR(IF(INDEX(EmployeeData[Exit Reason], ROW() - 37)=0, "",INDEX(EmployeeData[Exit Reason], ROW() - 37)),"")</f>
        <v>Personal Reasons</v>
      </c>
      <c r="J52" s="4" t="str" cm="1">
        <f t="array" ref="J52">IFERROR(INDEX(EmployeeData[Status], ROW() - 37), "")</f>
        <v>Exited</v>
      </c>
    </row>
    <row r="53" spans="2:10" ht="19.95" customHeight="1" x14ac:dyDescent="0.3">
      <c r="B53" s="4" cm="1">
        <f t="array" ref="B53">IFERROR(INDEX(EmployeeData[Employee ID], ROW() - 37), "")</f>
        <v>1016</v>
      </c>
      <c r="C53" s="4" t="str" cm="1">
        <f t="array" ref="C53">IFERROR(INDEX(EmployeeData[Full Name], ROW() - 37), "")</f>
        <v>Christian Garcia Sy</v>
      </c>
      <c r="D53" s="4" t="str" cm="1">
        <f t="array" ref="D53">IFERROR(INDEX(EmployeeData[Department], ROW() - 37), "")</f>
        <v>Marketing</v>
      </c>
      <c r="E53" s="4" t="str" cm="1">
        <f t="array" ref="E53">IFERROR(INDEX(EmployeeData[Gender], ROW() - 37), "")</f>
        <v>Male</v>
      </c>
      <c r="F53" s="4" cm="1">
        <f t="array" ref="F53">IFERROR(INDEX(EmployeeData[Age], ROW() - 37), "")</f>
        <v>28</v>
      </c>
      <c r="G53" s="6" cm="1">
        <f t="array" ref="G53">IFERROR(INDEX(EmployeeData[Join Date], ROW() - 37), "")</f>
        <v>44587</v>
      </c>
      <c r="H53" s="6" t="str" cm="1">
        <f t="array" ref="H53">IFERROR(IF(INDEX(EmployeeData[Exit Date], ROW() - 37)=0, "",INDEX(EmployeeData[Exit Date], ROW() - 37)),"")</f>
        <v/>
      </c>
      <c r="I53" s="4" t="str" cm="1">
        <f t="array" ref="I53">IFERROR(IF(INDEX(EmployeeData[Exit Reason], ROW() - 37)=0, "",INDEX(EmployeeData[Exit Reason], ROW() - 37)),"")</f>
        <v/>
      </c>
      <c r="J53" s="4" t="str" cm="1">
        <f t="array" ref="J53">IFERROR(INDEX(EmployeeData[Status], ROW() - 37), "")</f>
        <v>Active</v>
      </c>
    </row>
    <row r="54" spans="2:10" ht="19.95" customHeight="1" x14ac:dyDescent="0.3">
      <c r="B54" s="4" cm="1">
        <f t="array" ref="B54">IFERROR(INDEX(EmployeeData[Employee ID], ROW() - 37), "")</f>
        <v>1017</v>
      </c>
      <c r="C54" s="4" t="str" cm="1">
        <f t="array" ref="C54">IFERROR(INDEX(EmployeeData[Full Name], ROW() - 37), "")</f>
        <v>Bernardo Lopez Delos Reyes</v>
      </c>
      <c r="D54" s="4" t="str" cm="1">
        <f t="array" ref="D54">IFERROR(INDEX(EmployeeData[Department], ROW() - 37), "")</f>
        <v>Customer Support</v>
      </c>
      <c r="E54" s="4" t="str" cm="1">
        <f t="array" ref="E54">IFERROR(INDEX(EmployeeData[Gender], ROW() - 37), "")</f>
        <v>Male</v>
      </c>
      <c r="F54" s="4" cm="1">
        <f t="array" ref="F54">IFERROR(INDEX(EmployeeData[Age], ROW() - 37), "")</f>
        <v>25</v>
      </c>
      <c r="G54" s="6" cm="1">
        <f t="array" ref="G54">IFERROR(INDEX(EmployeeData[Join Date], ROW() - 37), "")</f>
        <v>45282</v>
      </c>
      <c r="H54" s="6" t="str" cm="1">
        <f t="array" ref="H54">IFERROR(IF(INDEX(EmployeeData[Exit Date], ROW() - 37)=0, "",INDEX(EmployeeData[Exit Date], ROW() - 37)),"")</f>
        <v/>
      </c>
      <c r="I54" s="4" t="str" cm="1">
        <f t="array" ref="I54">IFERROR(IF(INDEX(EmployeeData[Exit Reason], ROW() - 37)=0, "",INDEX(EmployeeData[Exit Reason], ROW() - 37)),"")</f>
        <v/>
      </c>
      <c r="J54" s="4" t="str" cm="1">
        <f t="array" ref="J54">IFERROR(INDEX(EmployeeData[Status], ROW() - 37), "")</f>
        <v>Active</v>
      </c>
    </row>
    <row r="55" spans="2:10" ht="19.95" customHeight="1" x14ac:dyDescent="0.3">
      <c r="B55" s="4" cm="1">
        <f t="array" ref="B55">IFERROR(INDEX(EmployeeData[Employee ID], ROW() - 37), "")</f>
        <v>1018</v>
      </c>
      <c r="C55" s="4" t="str" cm="1">
        <f t="array" ref="C55">IFERROR(INDEX(EmployeeData[Full Name], ROW() - 37), "")</f>
        <v>Miguel Santiago Miranda</v>
      </c>
      <c r="D55" s="4" t="str" cm="1">
        <f t="array" ref="D55">IFERROR(INDEX(EmployeeData[Department], ROW() - 37), "")</f>
        <v>IT</v>
      </c>
      <c r="E55" s="4" t="str" cm="1">
        <f t="array" ref="E55">IFERROR(INDEX(EmployeeData[Gender], ROW() - 37), "")</f>
        <v>Other</v>
      </c>
      <c r="F55" s="4" cm="1">
        <f t="array" ref="F55">IFERROR(INDEX(EmployeeData[Age], ROW() - 37), "")</f>
        <v>48</v>
      </c>
      <c r="G55" s="6" cm="1">
        <f t="array" ref="G55">IFERROR(INDEX(EmployeeData[Join Date], ROW() - 37), "")</f>
        <v>43968</v>
      </c>
      <c r="H55" s="6" t="str" cm="1">
        <f t="array" ref="H55">IFERROR(IF(INDEX(EmployeeData[Exit Date], ROW() - 37)=0, "",INDEX(EmployeeData[Exit Date], ROW() - 37)),"")</f>
        <v/>
      </c>
      <c r="I55" s="4" t="str" cm="1">
        <f t="array" ref="I55">IFERROR(IF(INDEX(EmployeeData[Exit Reason], ROW() - 37)=0, "",INDEX(EmployeeData[Exit Reason], ROW() - 37)),"")</f>
        <v/>
      </c>
      <c r="J55" s="4" t="str" cm="1">
        <f t="array" ref="J55">IFERROR(INDEX(EmployeeData[Status], ROW() - 37), "")</f>
        <v>Active</v>
      </c>
    </row>
    <row r="56" spans="2:10" ht="19.95" customHeight="1" x14ac:dyDescent="0.3">
      <c r="B56" s="4" cm="1">
        <f t="array" ref="B56">IFERROR(INDEX(EmployeeData[Employee ID], ROW() - 37), "")</f>
        <v>1019</v>
      </c>
      <c r="C56" s="4" t="str" cm="1">
        <f t="array" ref="C56">IFERROR(INDEX(EmployeeData[Full Name], ROW() - 37), "")</f>
        <v>Pete Santos Lim</v>
      </c>
      <c r="D56" s="4" t="str" cm="1">
        <f t="array" ref="D56">IFERROR(INDEX(EmployeeData[Department], ROW() - 37), "")</f>
        <v>IT</v>
      </c>
      <c r="E56" s="4" t="str" cm="1">
        <f t="array" ref="E56">IFERROR(INDEX(EmployeeData[Gender], ROW() - 37), "")</f>
        <v>Male</v>
      </c>
      <c r="F56" s="4" cm="1">
        <f t="array" ref="F56">IFERROR(INDEX(EmployeeData[Age], ROW() - 37), "")</f>
        <v>28</v>
      </c>
      <c r="G56" s="6" cm="1">
        <f t="array" ref="G56">IFERROR(INDEX(EmployeeData[Join Date], ROW() - 37), "")</f>
        <v>44116</v>
      </c>
      <c r="H56" s="6" cm="1">
        <f t="array" ref="H56">IFERROR(IF(INDEX(EmployeeData[Exit Date], ROW() - 37)=0, "",INDEX(EmployeeData[Exit Date], ROW() - 37)),"")</f>
        <v>44898</v>
      </c>
      <c r="I56" s="4" t="str" cm="1">
        <f t="array" ref="I56">IFERROR(IF(INDEX(EmployeeData[Exit Reason], ROW() - 37)=0, "",INDEX(EmployeeData[Exit Reason], ROW() - 37)),"")</f>
        <v>Better Opportunity</v>
      </c>
      <c r="J56" s="4" t="str" cm="1">
        <f t="array" ref="J56">IFERROR(INDEX(EmployeeData[Status], ROW() - 37), "")</f>
        <v>Exited</v>
      </c>
    </row>
    <row r="57" spans="2:10" ht="19.95" customHeight="1" x14ac:dyDescent="0.3">
      <c r="B57" s="4" cm="1">
        <f t="array" ref="B57">IFERROR(INDEX(EmployeeData[Employee ID], ROW() - 37), "")</f>
        <v>1020</v>
      </c>
      <c r="C57" s="4" t="str" cm="1">
        <f t="array" ref="C57">IFERROR(INDEX(EmployeeData[Full Name], ROW() - 37), "")</f>
        <v>Francis Aguilar Villanueva</v>
      </c>
      <c r="D57" s="4" t="str" cm="1">
        <f t="array" ref="D57">IFERROR(INDEX(EmployeeData[Department], ROW() - 37), "")</f>
        <v>Customer Support</v>
      </c>
      <c r="E57" s="4" t="str" cm="1">
        <f t="array" ref="E57">IFERROR(INDEX(EmployeeData[Gender], ROW() - 37), "")</f>
        <v>Male</v>
      </c>
      <c r="F57" s="4" cm="1">
        <f t="array" ref="F57">IFERROR(INDEX(EmployeeData[Age], ROW() - 37), "")</f>
        <v>35</v>
      </c>
      <c r="G57" s="6" cm="1">
        <f t="array" ref="G57">IFERROR(INDEX(EmployeeData[Join Date], ROW() - 37), "")</f>
        <v>43377</v>
      </c>
      <c r="H57" s="6" t="str" cm="1">
        <f t="array" ref="H57">IFERROR(IF(INDEX(EmployeeData[Exit Date], ROW() - 37)=0, "",INDEX(EmployeeData[Exit Date], ROW() - 37)),"")</f>
        <v/>
      </c>
      <c r="I57" s="4" t="str" cm="1">
        <f t="array" ref="I57">IFERROR(IF(INDEX(EmployeeData[Exit Reason], ROW() - 37)=0, "",INDEX(EmployeeData[Exit Reason], ROW() - 37)),"")</f>
        <v/>
      </c>
      <c r="J57" s="4" t="str" cm="1">
        <f t="array" ref="J57">IFERROR(INDEX(EmployeeData[Status], ROW() - 37), "")</f>
        <v>Active</v>
      </c>
    </row>
    <row r="58" spans="2:10" ht="19.95" customHeight="1" x14ac:dyDescent="0.3">
      <c r="B58" s="4" cm="1">
        <f t="array" ref="B58">IFERROR(INDEX(EmployeeData[Employee ID], ROW() - 37), "")</f>
        <v>1021</v>
      </c>
      <c r="C58" s="4" t="str" cm="1">
        <f t="array" ref="C58">IFERROR(INDEX(EmployeeData[Full Name], ROW() - 37), "")</f>
        <v>Teresita Tuazon</v>
      </c>
      <c r="D58" s="4" t="str" cm="1">
        <f t="array" ref="D58">IFERROR(INDEX(EmployeeData[Department], ROW() - 37), "")</f>
        <v>HR</v>
      </c>
      <c r="E58" s="4" t="str" cm="1">
        <f t="array" ref="E58">IFERROR(INDEX(EmployeeData[Gender], ROW() - 37), "")</f>
        <v>Female</v>
      </c>
      <c r="F58" s="4" cm="1">
        <f t="array" ref="F58">IFERROR(INDEX(EmployeeData[Age], ROW() - 37), "")</f>
        <v>29</v>
      </c>
      <c r="G58" s="6" cm="1">
        <f t="array" ref="G58">IFERROR(INDEX(EmployeeData[Join Date], ROW() - 37), "")</f>
        <v>45439</v>
      </c>
      <c r="H58" s="6" t="str" cm="1">
        <f t="array" ref="H58">IFERROR(IF(INDEX(EmployeeData[Exit Date], ROW() - 37)=0, "",INDEX(EmployeeData[Exit Date], ROW() - 37)),"")</f>
        <v/>
      </c>
      <c r="I58" s="4" t="str" cm="1">
        <f t="array" ref="I58">IFERROR(IF(INDEX(EmployeeData[Exit Reason], ROW() - 37)=0, "",INDEX(EmployeeData[Exit Reason], ROW() - 37)),"")</f>
        <v/>
      </c>
      <c r="J58" s="4" t="str" cm="1">
        <f t="array" ref="J58">IFERROR(INDEX(EmployeeData[Status], ROW() - 37), "")</f>
        <v>Active</v>
      </c>
    </row>
    <row r="59" spans="2:10" ht="19.95" customHeight="1" x14ac:dyDescent="0.3">
      <c r="B59" s="4" cm="1">
        <f t="array" ref="B59">IFERROR(INDEX(EmployeeData[Employee ID], ROW() - 37), "")</f>
        <v>1022</v>
      </c>
      <c r="C59" s="4" t="str" cm="1">
        <f t="array" ref="C59">IFERROR(INDEX(EmployeeData[Full Name], ROW() - 37), "")</f>
        <v>Fe Mendoza Dela Torre</v>
      </c>
      <c r="D59" s="4" t="str" cm="1">
        <f t="array" ref="D59">IFERROR(INDEX(EmployeeData[Department], ROW() - 37), "")</f>
        <v>Customer Support</v>
      </c>
      <c r="E59" s="4" t="str" cm="1">
        <f t="array" ref="E59">IFERROR(INDEX(EmployeeData[Gender], ROW() - 37), "")</f>
        <v>Female</v>
      </c>
      <c r="F59" s="4" cm="1">
        <f t="array" ref="F59">IFERROR(INDEX(EmployeeData[Age], ROW() - 37), "")</f>
        <v>48</v>
      </c>
      <c r="G59" s="6" cm="1">
        <f t="array" ref="G59">IFERROR(INDEX(EmployeeData[Join Date], ROW() - 37), "")</f>
        <v>44552</v>
      </c>
      <c r="H59" s="6" t="str" cm="1">
        <f t="array" ref="H59">IFERROR(IF(INDEX(EmployeeData[Exit Date], ROW() - 37)=0, "",INDEX(EmployeeData[Exit Date], ROW() - 37)),"")</f>
        <v/>
      </c>
      <c r="I59" s="4" t="str" cm="1">
        <f t="array" ref="I59">IFERROR(IF(INDEX(EmployeeData[Exit Reason], ROW() - 37)=0, "",INDEX(EmployeeData[Exit Reason], ROW() - 37)),"")</f>
        <v/>
      </c>
      <c r="J59" s="4" t="str" cm="1">
        <f t="array" ref="J59">IFERROR(INDEX(EmployeeData[Status], ROW() - 37), "")</f>
        <v>Active</v>
      </c>
    </row>
    <row r="60" spans="2:10" ht="19.95" customHeight="1" x14ac:dyDescent="0.3">
      <c r="B60" s="4" cm="1">
        <f t="array" ref="B60">IFERROR(INDEX(EmployeeData[Employee ID], ROW() - 37), "")</f>
        <v>1023</v>
      </c>
      <c r="C60" s="4" t="str" cm="1">
        <f t="array" ref="C60">IFERROR(INDEX(EmployeeData[Full Name], ROW() - 37), "")</f>
        <v>Rosa Mercado Navarro</v>
      </c>
      <c r="D60" s="4" t="str" cm="1">
        <f t="array" ref="D60">IFERROR(INDEX(EmployeeData[Department], ROW() - 37), "")</f>
        <v>Customer Support</v>
      </c>
      <c r="E60" s="4" t="str" cm="1">
        <f t="array" ref="E60">IFERROR(INDEX(EmployeeData[Gender], ROW() - 37), "")</f>
        <v>Other</v>
      </c>
      <c r="F60" s="4" cm="1">
        <f t="array" ref="F60">IFERROR(INDEX(EmployeeData[Age], ROW() - 37), "")</f>
        <v>27</v>
      </c>
      <c r="G60" s="6" cm="1">
        <f t="array" ref="G60">IFERROR(INDEX(EmployeeData[Join Date], ROW() - 37), "")</f>
        <v>44119</v>
      </c>
      <c r="H60" s="6" cm="1">
        <f t="array" ref="H60">IFERROR(IF(INDEX(EmployeeData[Exit Date], ROW() - 37)=0, "",INDEX(EmployeeData[Exit Date], ROW() - 37)),"")</f>
        <v>45307</v>
      </c>
      <c r="I60" s="4" t="str" cm="1">
        <f t="array" ref="I60">IFERROR(IF(INDEX(EmployeeData[Exit Reason], ROW() - 37)=0, "",INDEX(EmployeeData[Exit Reason], ROW() - 37)),"")</f>
        <v>Termination</v>
      </c>
      <c r="J60" s="4" t="str" cm="1">
        <f t="array" ref="J60">IFERROR(INDEX(EmployeeData[Status], ROW() - 37), "")</f>
        <v>Exited</v>
      </c>
    </row>
    <row r="61" spans="2:10" ht="19.95" customHeight="1" x14ac:dyDescent="0.3">
      <c r="B61" s="4" cm="1">
        <f t="array" ref="B61">IFERROR(INDEX(EmployeeData[Employee ID], ROW() - 37), "")</f>
        <v>1024</v>
      </c>
      <c r="C61" s="4" t="str" cm="1">
        <f t="array" ref="C61">IFERROR(INDEX(EmployeeData[Full Name], ROW() - 37), "")</f>
        <v>Rosalinda Chan Pascual</v>
      </c>
      <c r="D61" s="4" t="str" cm="1">
        <f t="array" ref="D61">IFERROR(INDEX(EmployeeData[Department], ROW() - 37), "")</f>
        <v>Sales</v>
      </c>
      <c r="E61" s="4" t="str" cm="1">
        <f t="array" ref="E61">IFERROR(INDEX(EmployeeData[Gender], ROW() - 37), "")</f>
        <v>Female</v>
      </c>
      <c r="F61" s="4" cm="1">
        <f t="array" ref="F61">IFERROR(INDEX(EmployeeData[Age], ROW() - 37), "")</f>
        <v>56</v>
      </c>
      <c r="G61" s="6" cm="1">
        <f t="array" ref="G61">IFERROR(INDEX(EmployeeData[Join Date], ROW() - 37), "")</f>
        <v>43502</v>
      </c>
      <c r="H61" s="6" cm="1">
        <f t="array" ref="H61">IFERROR(IF(INDEX(EmployeeData[Exit Date], ROW() - 37)=0, "",INDEX(EmployeeData[Exit Date], ROW() - 37)),"")</f>
        <v>43652</v>
      </c>
      <c r="I61" s="4" t="str" cm="1">
        <f t="array" ref="I61">IFERROR(IF(INDEX(EmployeeData[Exit Reason], ROW() - 37)=0, "",INDEX(EmployeeData[Exit Reason], ROW() - 37)),"")</f>
        <v>Contract End</v>
      </c>
      <c r="J61" s="4" t="str" cm="1">
        <f t="array" ref="J61">IFERROR(INDEX(EmployeeData[Status], ROW() - 37), "")</f>
        <v>Exited</v>
      </c>
    </row>
    <row r="62" spans="2:10" ht="19.95" customHeight="1" x14ac:dyDescent="0.3">
      <c r="B62" s="4" cm="1">
        <f t="array" ref="B62">IFERROR(INDEX(EmployeeData[Employee ID], ROW() - 37), "")</f>
        <v>1025</v>
      </c>
      <c r="C62" s="4" t="str" cm="1">
        <f t="array" ref="C62">IFERROR(INDEX(EmployeeData[Full Name], ROW() - 37), "")</f>
        <v>Wilfredo Estrada</v>
      </c>
      <c r="D62" s="4" t="str" cm="1">
        <f t="array" ref="D62">IFERROR(INDEX(EmployeeData[Department], ROW() - 37), "")</f>
        <v>Customer Support</v>
      </c>
      <c r="E62" s="4" t="str" cm="1">
        <f t="array" ref="E62">IFERROR(INDEX(EmployeeData[Gender], ROW() - 37), "")</f>
        <v>Male</v>
      </c>
      <c r="F62" s="4" cm="1">
        <f t="array" ref="F62">IFERROR(INDEX(EmployeeData[Age], ROW() - 37), "")</f>
        <v>64</v>
      </c>
      <c r="G62" s="6" cm="1">
        <f t="array" ref="G62">IFERROR(INDEX(EmployeeData[Join Date], ROW() - 37), "")</f>
        <v>43775</v>
      </c>
      <c r="H62" s="6" cm="1">
        <f t="array" ref="H62">IFERROR(IF(INDEX(EmployeeData[Exit Date], ROW() - 37)=0, "",INDEX(EmployeeData[Exit Date], ROW() - 37)),"")</f>
        <v>45464</v>
      </c>
      <c r="I62" s="4" t="str" cm="1">
        <f t="array" ref="I62">IFERROR(IF(INDEX(EmployeeData[Exit Reason], ROW() - 37)=0, "",INDEX(EmployeeData[Exit Reason], ROW() - 37)),"")</f>
        <v>Retirement</v>
      </c>
      <c r="J62" s="4" t="str" cm="1">
        <f t="array" ref="J62">IFERROR(INDEX(EmployeeData[Status], ROW() - 37), "")</f>
        <v>Exited</v>
      </c>
    </row>
    <row r="63" spans="2:10" ht="19.95" customHeight="1" x14ac:dyDescent="0.3">
      <c r="B63" s="4" cm="1">
        <f t="array" ref="B63">IFERROR(INDEX(EmployeeData[Employee ID], ROW() - 37), "")</f>
        <v>1026</v>
      </c>
      <c r="C63" s="4" t="str" cm="1">
        <f t="array" ref="C63">IFERROR(INDEX(EmployeeData[Full Name], ROW() - 37), "")</f>
        <v>Lourdes Navarro San Pedro</v>
      </c>
      <c r="D63" s="4" t="str" cm="1">
        <f t="array" ref="D63">IFERROR(INDEX(EmployeeData[Department], ROW() - 37), "")</f>
        <v>HR</v>
      </c>
      <c r="E63" s="4" t="str" cm="1">
        <f t="array" ref="E63">IFERROR(INDEX(EmployeeData[Gender], ROW() - 37), "")</f>
        <v>Other</v>
      </c>
      <c r="F63" s="4" cm="1">
        <f t="array" ref="F63">IFERROR(INDEX(EmployeeData[Age], ROW() - 37), "")</f>
        <v>52</v>
      </c>
      <c r="G63" s="6" cm="1">
        <f t="array" ref="G63">IFERROR(INDEX(EmployeeData[Join Date], ROW() - 37), "")</f>
        <v>43735</v>
      </c>
      <c r="H63" s="6" cm="1">
        <f t="array" ref="H63">IFERROR(IF(INDEX(EmployeeData[Exit Date], ROW() - 37)=0, "",INDEX(EmployeeData[Exit Date], ROW() - 37)),"")</f>
        <v>44716</v>
      </c>
      <c r="I63" s="4" t="str" cm="1">
        <f t="array" ref="I63">IFERROR(IF(INDEX(EmployeeData[Exit Reason], ROW() - 37)=0, "",INDEX(EmployeeData[Exit Reason], ROW() - 37)),"")</f>
        <v>Contract End</v>
      </c>
      <c r="J63" s="4" t="str" cm="1">
        <f t="array" ref="J63">IFERROR(INDEX(EmployeeData[Status], ROW() - 37), "")</f>
        <v>Exited</v>
      </c>
    </row>
    <row r="64" spans="2:10" ht="19.95" customHeight="1" x14ac:dyDescent="0.3">
      <c r="B64" s="4" cm="1">
        <f t="array" ref="B64">IFERROR(INDEX(EmployeeData[Employee ID], ROW() - 37), "")</f>
        <v>1027</v>
      </c>
      <c r="C64" s="4" t="str" cm="1">
        <f t="array" ref="C64">IFERROR(INDEX(EmployeeData[Full Name], ROW() - 37), "")</f>
        <v>Ismael Mercado Aquino</v>
      </c>
      <c r="D64" s="4" t="str" cm="1">
        <f t="array" ref="D64">IFERROR(INDEX(EmployeeData[Department], ROW() - 37), "")</f>
        <v>Customer Support</v>
      </c>
      <c r="E64" s="4" t="str" cm="1">
        <f t="array" ref="E64">IFERROR(INDEX(EmployeeData[Gender], ROW() - 37), "")</f>
        <v>Male</v>
      </c>
      <c r="F64" s="4" cm="1">
        <f t="array" ref="F64">IFERROR(INDEX(EmployeeData[Age], ROW() - 37), "")</f>
        <v>53</v>
      </c>
      <c r="G64" s="6" cm="1">
        <f t="array" ref="G64">IFERROR(INDEX(EmployeeData[Join Date], ROW() - 37), "")</f>
        <v>45276</v>
      </c>
      <c r="H64" s="6" cm="1">
        <f t="array" ref="H64">IFERROR(IF(INDEX(EmployeeData[Exit Date], ROW() - 37)=0, "",INDEX(EmployeeData[Exit Date], ROW() - 37)),"")</f>
        <v>45886</v>
      </c>
      <c r="I64" s="4" t="str" cm="1">
        <f t="array" ref="I64">IFERROR(IF(INDEX(EmployeeData[Exit Reason], ROW() - 37)=0, "",INDEX(EmployeeData[Exit Reason], ROW() - 37)),"")</f>
        <v>Better Opportunity</v>
      </c>
      <c r="J64" s="4" t="str" cm="1">
        <f t="array" ref="J64">IFERROR(INDEX(EmployeeData[Status], ROW() - 37), "")</f>
        <v>Exited</v>
      </c>
    </row>
    <row r="65" spans="2:10" ht="19.95" customHeight="1" x14ac:dyDescent="0.3">
      <c r="B65" s="4" cm="1">
        <f t="array" ref="B65">IFERROR(INDEX(EmployeeData[Employee ID], ROW() - 37), "")</f>
        <v>1028</v>
      </c>
      <c r="C65" s="4" t="str" cm="1">
        <f t="array" ref="C65">IFERROR(INDEX(EmployeeData[Full Name], ROW() - 37), "")</f>
        <v>Jamie Navarro Trinidad</v>
      </c>
      <c r="D65" s="4" t="str" cm="1">
        <f t="array" ref="D65">IFERROR(INDEX(EmployeeData[Department], ROW() - 37), "")</f>
        <v>IT</v>
      </c>
      <c r="E65" s="4" t="str" cm="1">
        <f t="array" ref="E65">IFERROR(INDEX(EmployeeData[Gender], ROW() - 37), "")</f>
        <v>Other</v>
      </c>
      <c r="F65" s="4" cm="1">
        <f t="array" ref="F65">IFERROR(INDEX(EmployeeData[Age], ROW() - 37), "")</f>
        <v>57</v>
      </c>
      <c r="G65" s="6" cm="1">
        <f t="array" ref="G65">IFERROR(INDEX(EmployeeData[Join Date], ROW() - 37), "")</f>
        <v>44109</v>
      </c>
      <c r="H65" s="6" t="str" cm="1">
        <f t="array" ref="H65">IFERROR(IF(INDEX(EmployeeData[Exit Date], ROW() - 37)=0, "",INDEX(EmployeeData[Exit Date], ROW() - 37)),"")</f>
        <v/>
      </c>
      <c r="I65" s="4" t="str" cm="1">
        <f t="array" ref="I65">IFERROR(IF(INDEX(EmployeeData[Exit Reason], ROW() - 37)=0, "",INDEX(EmployeeData[Exit Reason], ROW() - 37)),"")</f>
        <v/>
      </c>
      <c r="J65" s="4" t="str" cm="1">
        <f t="array" ref="J65">IFERROR(INDEX(EmployeeData[Status], ROW() - 37), "")</f>
        <v>Active</v>
      </c>
    </row>
    <row r="66" spans="2:10" ht="19.95" customHeight="1" x14ac:dyDescent="0.3">
      <c r="B66" s="4" cm="1">
        <f t="array" ref="B66">IFERROR(INDEX(EmployeeData[Employee ID], ROW() - 37), "")</f>
        <v>1029</v>
      </c>
      <c r="C66" s="4" t="str" cm="1">
        <f t="array" ref="C66">IFERROR(INDEX(EmployeeData[Full Name], ROW() - 37), "")</f>
        <v>Faith Ocampo Roque</v>
      </c>
      <c r="D66" s="4" t="str" cm="1">
        <f t="array" ref="D66">IFERROR(INDEX(EmployeeData[Department], ROW() - 37), "")</f>
        <v>Finance</v>
      </c>
      <c r="E66" s="4" t="str" cm="1">
        <f t="array" ref="E66">IFERROR(INDEX(EmployeeData[Gender], ROW() - 37), "")</f>
        <v>Female</v>
      </c>
      <c r="F66" s="4" cm="1">
        <f t="array" ref="F66">IFERROR(INDEX(EmployeeData[Age], ROW() - 37), "")</f>
        <v>41</v>
      </c>
      <c r="G66" s="6" cm="1">
        <f t="array" ref="G66">IFERROR(INDEX(EmployeeData[Join Date], ROW() - 37), "")</f>
        <v>44078</v>
      </c>
      <c r="H66" s="6" cm="1">
        <f t="array" ref="H66">IFERROR(IF(INDEX(EmployeeData[Exit Date], ROW() - 37)=0, "",INDEX(EmployeeData[Exit Date], ROW() - 37)),"")</f>
        <v>44436</v>
      </c>
      <c r="I66" s="4" t="str" cm="1">
        <f t="array" ref="I66">IFERROR(IF(INDEX(EmployeeData[Exit Reason], ROW() - 37)=0, "",INDEX(EmployeeData[Exit Reason], ROW() - 37)),"")</f>
        <v>Relocation</v>
      </c>
      <c r="J66" s="4" t="str" cm="1">
        <f t="array" ref="J66">IFERROR(INDEX(EmployeeData[Status], ROW() - 37), "")</f>
        <v>Exited</v>
      </c>
    </row>
    <row r="67" spans="2:10" ht="19.95" customHeight="1" x14ac:dyDescent="0.3">
      <c r="B67" s="4" cm="1">
        <f t="array" ref="B67">IFERROR(INDEX(EmployeeData[Employee ID], ROW() - 37), "")</f>
        <v>1030</v>
      </c>
      <c r="C67" s="4" t="str" cm="1">
        <f t="array" ref="C67">IFERROR(INDEX(EmployeeData[Full Name], ROW() - 37), "")</f>
        <v>Bernardo Manalang</v>
      </c>
      <c r="D67" s="4" t="str" cm="1">
        <f t="array" ref="D67">IFERROR(INDEX(EmployeeData[Department], ROW() - 37), "")</f>
        <v>Customer Support</v>
      </c>
      <c r="E67" s="4" t="str" cm="1">
        <f t="array" ref="E67">IFERROR(INDEX(EmployeeData[Gender], ROW() - 37), "")</f>
        <v>Male</v>
      </c>
      <c r="F67" s="4" cm="1">
        <f t="array" ref="F67">IFERROR(INDEX(EmployeeData[Age], ROW() - 37), "")</f>
        <v>57</v>
      </c>
      <c r="G67" s="6" cm="1">
        <f t="array" ref="G67">IFERROR(INDEX(EmployeeData[Join Date], ROW() - 37), "")</f>
        <v>43510</v>
      </c>
      <c r="H67" s="6" cm="1">
        <f t="array" ref="H67">IFERROR(IF(INDEX(EmployeeData[Exit Date], ROW() - 37)=0, "",INDEX(EmployeeData[Exit Date], ROW() - 37)),"")</f>
        <v>44473</v>
      </c>
      <c r="I67" s="4" t="str" cm="1">
        <f t="array" ref="I67">IFERROR(IF(INDEX(EmployeeData[Exit Reason], ROW() - 37)=0, "",INDEX(EmployeeData[Exit Reason], ROW() - 37)),"")</f>
        <v>Health Issues</v>
      </c>
      <c r="J67" s="4" t="str" cm="1">
        <f t="array" ref="J67">IFERROR(INDEX(EmployeeData[Status], ROW() - 37), "")</f>
        <v>Exited</v>
      </c>
    </row>
    <row r="68" spans="2:10" ht="19.95" customHeight="1" x14ac:dyDescent="0.3">
      <c r="B68" s="4" cm="1">
        <f t="array" ref="B68">IFERROR(INDEX(EmployeeData[Employee ID], ROW() - 37), "")</f>
        <v>1031</v>
      </c>
      <c r="C68" s="4" t="str" cm="1">
        <f t="array" ref="C68">IFERROR(INDEX(EmployeeData[Full Name], ROW() - 37), "")</f>
        <v>Bryan Solis</v>
      </c>
      <c r="D68" s="4" t="str" cm="1">
        <f t="array" ref="D68">IFERROR(INDEX(EmployeeData[Department], ROW() - 37), "")</f>
        <v>Sales</v>
      </c>
      <c r="E68" s="4" t="str" cm="1">
        <f t="array" ref="E68">IFERROR(INDEX(EmployeeData[Gender], ROW() - 37), "")</f>
        <v>Male</v>
      </c>
      <c r="F68" s="4" cm="1">
        <f t="array" ref="F68">IFERROR(INDEX(EmployeeData[Age], ROW() - 37), "")</f>
        <v>31</v>
      </c>
      <c r="G68" s="6" cm="1">
        <f t="array" ref="G68">IFERROR(INDEX(EmployeeData[Join Date], ROW() - 37), "")</f>
        <v>44895</v>
      </c>
      <c r="H68" s="6" t="str" cm="1">
        <f t="array" ref="H68">IFERROR(IF(INDEX(EmployeeData[Exit Date], ROW() - 37)=0, "",INDEX(EmployeeData[Exit Date], ROW() - 37)),"")</f>
        <v/>
      </c>
      <c r="I68" s="4" t="str" cm="1">
        <f t="array" ref="I68">IFERROR(IF(INDEX(EmployeeData[Exit Reason], ROW() - 37)=0, "",INDEX(EmployeeData[Exit Reason], ROW() - 37)),"")</f>
        <v/>
      </c>
      <c r="J68" s="4" t="str" cm="1">
        <f t="array" ref="J68">IFERROR(INDEX(EmployeeData[Status], ROW() - 37), "")</f>
        <v>Active</v>
      </c>
    </row>
    <row r="69" spans="2:10" ht="19.95" customHeight="1" x14ac:dyDescent="0.3">
      <c r="B69" s="4" cm="1">
        <f t="array" ref="B69">IFERROR(INDEX(EmployeeData[Employee ID], ROW() - 37), "")</f>
        <v>1032</v>
      </c>
      <c r="C69" s="4" t="str" cm="1">
        <f t="array" ref="C69">IFERROR(INDEX(EmployeeData[Full Name], ROW() - 37), "")</f>
        <v>Ronaldo Mendoza Ramirez</v>
      </c>
      <c r="D69" s="4" t="str" cm="1">
        <f t="array" ref="D69">IFERROR(INDEX(EmployeeData[Department], ROW() - 37), "")</f>
        <v>Sales</v>
      </c>
      <c r="E69" s="4" t="str" cm="1">
        <f t="array" ref="E69">IFERROR(INDEX(EmployeeData[Gender], ROW() - 37), "")</f>
        <v>Male</v>
      </c>
      <c r="F69" s="4" cm="1">
        <f t="array" ref="F69">IFERROR(INDEX(EmployeeData[Age], ROW() - 37), "")</f>
        <v>56</v>
      </c>
      <c r="G69" s="6" cm="1">
        <f t="array" ref="G69">IFERROR(INDEX(EmployeeData[Join Date], ROW() - 37), "")</f>
        <v>44327</v>
      </c>
      <c r="H69" s="6" t="str" cm="1">
        <f t="array" ref="H69">IFERROR(IF(INDEX(EmployeeData[Exit Date], ROW() - 37)=0, "",INDEX(EmployeeData[Exit Date], ROW() - 37)),"")</f>
        <v/>
      </c>
      <c r="I69" s="4" t="str" cm="1">
        <f t="array" ref="I69">IFERROR(IF(INDEX(EmployeeData[Exit Reason], ROW() - 37)=0, "",INDEX(EmployeeData[Exit Reason], ROW() - 37)),"")</f>
        <v/>
      </c>
      <c r="J69" s="4" t="str" cm="1">
        <f t="array" ref="J69">IFERROR(INDEX(EmployeeData[Status], ROW() - 37), "")</f>
        <v>Active</v>
      </c>
    </row>
    <row r="70" spans="2:10" ht="19.95" customHeight="1" x14ac:dyDescent="0.3">
      <c r="B70" s="4" cm="1">
        <f t="array" ref="B70">IFERROR(INDEX(EmployeeData[Employee ID], ROW() - 37), "")</f>
        <v>1033</v>
      </c>
      <c r="C70" s="4" t="str" cm="1">
        <f t="array" ref="C70">IFERROR(INDEX(EmployeeData[Full Name], ROW() - 37), "")</f>
        <v>Abigail Bautista Bagtas</v>
      </c>
      <c r="D70" s="4" t="str" cm="1">
        <f t="array" ref="D70">IFERROR(INDEX(EmployeeData[Department], ROW() - 37), "")</f>
        <v>HR</v>
      </c>
      <c r="E70" s="4" t="str" cm="1">
        <f t="array" ref="E70">IFERROR(INDEX(EmployeeData[Gender], ROW() - 37), "")</f>
        <v>Female</v>
      </c>
      <c r="F70" s="4" cm="1">
        <f t="array" ref="F70">IFERROR(INDEX(EmployeeData[Age], ROW() - 37), "")</f>
        <v>39</v>
      </c>
      <c r="G70" s="6" cm="1">
        <f t="array" ref="G70">IFERROR(INDEX(EmployeeData[Join Date], ROW() - 37), "")</f>
        <v>45578</v>
      </c>
      <c r="H70" s="6" cm="1">
        <f t="array" ref="H70">IFERROR(IF(INDEX(EmployeeData[Exit Date], ROW() - 37)=0, "",INDEX(EmployeeData[Exit Date], ROW() - 37)),"")</f>
        <v>46019</v>
      </c>
      <c r="I70" s="4" t="str" cm="1">
        <f t="array" ref="I70">IFERROR(IF(INDEX(EmployeeData[Exit Reason], ROW() - 37)=0, "",INDEX(EmployeeData[Exit Reason], ROW() - 37)),"")</f>
        <v>Better Opportunity</v>
      </c>
      <c r="J70" s="4" t="str" cm="1">
        <f t="array" ref="J70">IFERROR(INDEX(EmployeeData[Status], ROW() - 37), "")</f>
        <v>Exited</v>
      </c>
    </row>
    <row r="71" spans="2:10" ht="19.95" customHeight="1" x14ac:dyDescent="0.3">
      <c r="B71" s="4" cm="1">
        <f t="array" ref="B71">IFERROR(INDEX(EmployeeData[Employee ID], ROW() - 37), "")</f>
        <v>1034</v>
      </c>
      <c r="C71" s="4" t="str" cm="1">
        <f t="array" ref="C71">IFERROR(INDEX(EmployeeData[Full Name], ROW() - 37), "")</f>
        <v>Teodoro Aguilar</v>
      </c>
      <c r="D71" s="4" t="str" cm="1">
        <f t="array" ref="D71">IFERROR(INDEX(EmployeeData[Department], ROW() - 37), "")</f>
        <v>Customer Support</v>
      </c>
      <c r="E71" s="4" t="str" cm="1">
        <f t="array" ref="E71">IFERROR(INDEX(EmployeeData[Gender], ROW() - 37), "")</f>
        <v>Male</v>
      </c>
      <c r="F71" s="4" cm="1">
        <f t="array" ref="F71">IFERROR(INDEX(EmployeeData[Age], ROW() - 37), "")</f>
        <v>38</v>
      </c>
      <c r="G71" s="6" cm="1">
        <f t="array" ref="G71">IFERROR(INDEX(EmployeeData[Join Date], ROW() - 37), "")</f>
        <v>43281</v>
      </c>
      <c r="H71" s="6" cm="1">
        <f t="array" ref="H71">IFERROR(IF(INDEX(EmployeeData[Exit Date], ROW() - 37)=0, "",INDEX(EmployeeData[Exit Date], ROW() - 37)),"")</f>
        <v>43906</v>
      </c>
      <c r="I71" s="4" t="str" cm="1">
        <f t="array" ref="I71">IFERROR(IF(INDEX(EmployeeData[Exit Reason], ROW() - 37)=0, "",INDEX(EmployeeData[Exit Reason], ROW() - 37)),"")</f>
        <v>Relocation</v>
      </c>
      <c r="J71" s="4" t="str" cm="1">
        <f t="array" ref="J71">IFERROR(INDEX(EmployeeData[Status], ROW() - 37), "")</f>
        <v>Exited</v>
      </c>
    </row>
    <row r="72" spans="2:10" ht="19.95" customHeight="1" x14ac:dyDescent="0.3">
      <c r="B72" s="4" cm="1">
        <f t="array" ref="B72">IFERROR(INDEX(EmployeeData[Employee ID], ROW() - 37), "")</f>
        <v>1035</v>
      </c>
      <c r="C72" s="4" t="str" cm="1">
        <f t="array" ref="C72">IFERROR(INDEX(EmployeeData[Full Name], ROW() - 37), "")</f>
        <v>Kevin Sy Narvasa</v>
      </c>
      <c r="D72" s="4" t="str" cm="1">
        <f t="array" ref="D72">IFERROR(INDEX(EmployeeData[Department], ROW() - 37), "")</f>
        <v>Marketing</v>
      </c>
      <c r="E72" s="4" t="str" cm="1">
        <f t="array" ref="E72">IFERROR(INDEX(EmployeeData[Gender], ROW() - 37), "")</f>
        <v>Male</v>
      </c>
      <c r="F72" s="4" cm="1">
        <f t="array" ref="F72">IFERROR(INDEX(EmployeeData[Age], ROW() - 37), "")</f>
        <v>21</v>
      </c>
      <c r="G72" s="6" cm="1">
        <f t="array" ref="G72">IFERROR(INDEX(EmployeeData[Join Date], ROW() - 37), "")</f>
        <v>43559</v>
      </c>
      <c r="H72" s="6" cm="1">
        <f t="array" ref="H72">IFERROR(IF(INDEX(EmployeeData[Exit Date], ROW() - 37)=0, "",INDEX(EmployeeData[Exit Date], ROW() - 37)),"")</f>
        <v>44259</v>
      </c>
      <c r="I72" s="4" t="str" cm="1">
        <f t="array" ref="I72">IFERROR(IF(INDEX(EmployeeData[Exit Reason], ROW() - 37)=0, "",INDEX(EmployeeData[Exit Reason], ROW() - 37)),"")</f>
        <v>Health Issues</v>
      </c>
      <c r="J72" s="4" t="str" cm="1">
        <f t="array" ref="J72">IFERROR(INDEX(EmployeeData[Status], ROW() - 37), "")</f>
        <v>Exited</v>
      </c>
    </row>
    <row r="73" spans="2:10" ht="19.95" customHeight="1" x14ac:dyDescent="0.3">
      <c r="B73" s="4" cm="1">
        <f t="array" ref="B73">IFERROR(INDEX(EmployeeData[Employee ID], ROW() - 37), "")</f>
        <v>1036</v>
      </c>
      <c r="C73" s="4" t="str" cm="1">
        <f t="array" ref="C73">IFERROR(INDEX(EmployeeData[Full Name], ROW() - 37), "")</f>
        <v>Mylene Jacinto</v>
      </c>
      <c r="D73" s="4" t="str" cm="1">
        <f t="array" ref="D73">IFERROR(INDEX(EmployeeData[Department], ROW() - 37), "")</f>
        <v>Customer Support</v>
      </c>
      <c r="E73" s="4" t="str" cm="1">
        <f t="array" ref="E73">IFERROR(INDEX(EmployeeData[Gender], ROW() - 37), "")</f>
        <v>Female</v>
      </c>
      <c r="F73" s="4" cm="1">
        <f t="array" ref="F73">IFERROR(INDEX(EmployeeData[Age], ROW() - 37), "")</f>
        <v>23</v>
      </c>
      <c r="G73" s="6" cm="1">
        <f t="array" ref="G73">IFERROR(INDEX(EmployeeData[Join Date], ROW() - 37), "")</f>
        <v>44566</v>
      </c>
      <c r="H73" s="6" cm="1">
        <f t="array" ref="H73">IFERROR(IF(INDEX(EmployeeData[Exit Date], ROW() - 37)=0, "",INDEX(EmployeeData[Exit Date], ROW() - 37)),"")</f>
        <v>45167</v>
      </c>
      <c r="I73" s="4" t="str" cm="1">
        <f t="array" ref="I73">IFERROR(IF(INDEX(EmployeeData[Exit Reason], ROW() - 37)=0, "",INDEX(EmployeeData[Exit Reason], ROW() - 37)),"")</f>
        <v>Relocation</v>
      </c>
      <c r="J73" s="4" t="str" cm="1">
        <f t="array" ref="J73">IFERROR(INDEX(EmployeeData[Status], ROW() - 37), "")</f>
        <v>Exited</v>
      </c>
    </row>
    <row r="74" spans="2:10" ht="19.95" customHeight="1" x14ac:dyDescent="0.3">
      <c r="B74" s="4" cm="1">
        <f t="array" ref="B74">IFERROR(INDEX(EmployeeData[Employee ID], ROW() - 37), "")</f>
        <v>1037</v>
      </c>
      <c r="C74" s="4" t="str" cm="1">
        <f t="array" ref="C74">IFERROR(INDEX(EmployeeData[Full Name], ROW() - 37), "")</f>
        <v>Hernando Diaz Bondoc</v>
      </c>
      <c r="D74" s="4" t="str" cm="1">
        <f t="array" ref="D74">IFERROR(INDEX(EmployeeData[Department], ROW() - 37), "")</f>
        <v>IT</v>
      </c>
      <c r="E74" s="4" t="str" cm="1">
        <f t="array" ref="E74">IFERROR(INDEX(EmployeeData[Gender], ROW() - 37), "")</f>
        <v>Male</v>
      </c>
      <c r="F74" s="4" cm="1">
        <f t="array" ref="F74">IFERROR(INDEX(EmployeeData[Age], ROW() - 37), "")</f>
        <v>30</v>
      </c>
      <c r="G74" s="6" cm="1">
        <f t="array" ref="G74">IFERROR(INDEX(EmployeeData[Join Date], ROW() - 37), "")</f>
        <v>44070</v>
      </c>
      <c r="H74" s="6" t="str" cm="1">
        <f t="array" ref="H74">IFERROR(IF(INDEX(EmployeeData[Exit Date], ROW() - 37)=0, "",INDEX(EmployeeData[Exit Date], ROW() - 37)),"")</f>
        <v/>
      </c>
      <c r="I74" s="4" t="str" cm="1">
        <f t="array" ref="I74">IFERROR(IF(INDEX(EmployeeData[Exit Reason], ROW() - 37)=0, "",INDEX(EmployeeData[Exit Reason], ROW() - 37)),"")</f>
        <v/>
      </c>
      <c r="J74" s="4" t="str" cm="1">
        <f t="array" ref="J74">IFERROR(INDEX(EmployeeData[Status], ROW() - 37), "")</f>
        <v>Active</v>
      </c>
    </row>
    <row r="75" spans="2:10" ht="19.95" customHeight="1" x14ac:dyDescent="0.3">
      <c r="B75" s="4" cm="1">
        <f t="array" ref="B75">IFERROR(INDEX(EmployeeData[Employee ID], ROW() - 37), "")</f>
        <v>1038</v>
      </c>
      <c r="C75" s="4" t="str" cm="1">
        <f t="array" ref="C75">IFERROR(INDEX(EmployeeData[Full Name], ROW() - 37), "")</f>
        <v>Antonio Go Tuazon</v>
      </c>
      <c r="D75" s="4" t="str" cm="1">
        <f t="array" ref="D75">IFERROR(INDEX(EmployeeData[Department], ROW() - 37), "")</f>
        <v>Sales</v>
      </c>
      <c r="E75" s="4" t="str" cm="1">
        <f t="array" ref="E75">IFERROR(INDEX(EmployeeData[Gender], ROW() - 37), "")</f>
        <v>Male</v>
      </c>
      <c r="F75" s="4" cm="1">
        <f t="array" ref="F75">IFERROR(INDEX(EmployeeData[Age], ROW() - 37), "")</f>
        <v>36</v>
      </c>
      <c r="G75" s="6" cm="1">
        <f t="array" ref="G75">IFERROR(INDEX(EmployeeData[Join Date], ROW() - 37), "")</f>
        <v>44193</v>
      </c>
      <c r="H75" s="6" cm="1">
        <f t="array" ref="H75">IFERROR(IF(INDEX(EmployeeData[Exit Date], ROW() - 37)=0, "",INDEX(EmployeeData[Exit Date], ROW() - 37)),"")</f>
        <v>45719</v>
      </c>
      <c r="I75" s="4" t="str" cm="1">
        <f t="array" ref="I75">IFERROR(IF(INDEX(EmployeeData[Exit Reason], ROW() - 37)=0, "",INDEX(EmployeeData[Exit Reason], ROW() - 37)),"")</f>
        <v>Better Opportunity</v>
      </c>
      <c r="J75" s="4" t="str" cm="1">
        <f t="array" ref="J75">IFERROR(INDEX(EmployeeData[Status], ROW() - 37), "")</f>
        <v>Exited</v>
      </c>
    </row>
    <row r="76" spans="2:10" ht="19.95" customHeight="1" x14ac:dyDescent="0.3">
      <c r="B76" s="4" cm="1">
        <f t="array" ref="B76">IFERROR(INDEX(EmployeeData[Employee ID], ROW() - 37), "")</f>
        <v>1039</v>
      </c>
      <c r="C76" s="4" t="str" cm="1">
        <f t="array" ref="C76">IFERROR(INDEX(EmployeeData[Full Name], ROW() - 37), "")</f>
        <v>Fernando Aquino</v>
      </c>
      <c r="D76" s="4" t="str" cm="1">
        <f t="array" ref="D76">IFERROR(INDEX(EmployeeData[Department], ROW() - 37), "")</f>
        <v>IT</v>
      </c>
      <c r="E76" s="4" t="str" cm="1">
        <f t="array" ref="E76">IFERROR(INDEX(EmployeeData[Gender], ROW() - 37), "")</f>
        <v>Other</v>
      </c>
      <c r="F76" s="4" cm="1">
        <f t="array" ref="F76">IFERROR(INDEX(EmployeeData[Age], ROW() - 37), "")</f>
        <v>35</v>
      </c>
      <c r="G76" s="6" cm="1">
        <f t="array" ref="G76">IFERROR(INDEX(EmployeeData[Join Date], ROW() - 37), "")</f>
        <v>44014</v>
      </c>
      <c r="H76" s="6" cm="1">
        <f t="array" ref="H76">IFERROR(IF(INDEX(EmployeeData[Exit Date], ROW() - 37)=0, "",INDEX(EmployeeData[Exit Date], ROW() - 37)),"")</f>
        <v>44895</v>
      </c>
      <c r="I76" s="4" t="str" cm="1">
        <f t="array" ref="I76">IFERROR(IF(INDEX(EmployeeData[Exit Reason], ROW() - 37)=0, "",INDEX(EmployeeData[Exit Reason], ROW() - 37)),"")</f>
        <v>Termination</v>
      </c>
      <c r="J76" s="4" t="str" cm="1">
        <f t="array" ref="J76">IFERROR(INDEX(EmployeeData[Status], ROW() - 37), "")</f>
        <v>Exited</v>
      </c>
    </row>
    <row r="77" spans="2:10" ht="19.95" customHeight="1" x14ac:dyDescent="0.3">
      <c r="B77" s="4" cm="1">
        <f t="array" ref="B77">IFERROR(INDEX(EmployeeData[Employee ID], ROW() - 37), "")</f>
        <v>1040</v>
      </c>
      <c r="C77" s="4" t="str" cm="1">
        <f t="array" ref="C77">IFERROR(INDEX(EmployeeData[Full Name], ROW() - 37), "")</f>
        <v>Neil Mangubat</v>
      </c>
      <c r="D77" s="4" t="str" cm="1">
        <f t="array" ref="D77">IFERROR(INDEX(EmployeeData[Department], ROW() - 37), "")</f>
        <v>IT</v>
      </c>
      <c r="E77" s="4" t="str" cm="1">
        <f t="array" ref="E77">IFERROR(INDEX(EmployeeData[Gender], ROW() - 37), "")</f>
        <v>Male</v>
      </c>
      <c r="F77" s="4" cm="1">
        <f t="array" ref="F77">IFERROR(INDEX(EmployeeData[Age], ROW() - 37), "")</f>
        <v>46</v>
      </c>
      <c r="G77" s="6" cm="1">
        <f t="array" ref="G77">IFERROR(INDEX(EmployeeData[Join Date], ROW() - 37), "")</f>
        <v>45884</v>
      </c>
      <c r="H77" s="6" t="str" cm="1">
        <f t="array" ref="H77">IFERROR(IF(INDEX(EmployeeData[Exit Date], ROW() - 37)=0, "",INDEX(EmployeeData[Exit Date], ROW() - 37)),"")</f>
        <v/>
      </c>
      <c r="I77" s="4" t="str" cm="1">
        <f t="array" ref="I77">IFERROR(IF(INDEX(EmployeeData[Exit Reason], ROW() - 37)=0, "",INDEX(EmployeeData[Exit Reason], ROW() - 37)),"")</f>
        <v/>
      </c>
      <c r="J77" s="4" t="str" cm="1">
        <f t="array" ref="J77">IFERROR(INDEX(EmployeeData[Status], ROW() - 37), "")</f>
        <v>Active</v>
      </c>
    </row>
    <row r="78" spans="2:10" ht="19.95" customHeight="1" x14ac:dyDescent="0.3">
      <c r="B78" s="4" cm="1">
        <f t="array" ref="B78">IFERROR(INDEX(EmployeeData[Employee ID], ROW() - 37), "")</f>
        <v>1041</v>
      </c>
      <c r="C78" s="4" t="str" cm="1">
        <f t="array" ref="C78">IFERROR(INDEX(EmployeeData[Full Name], ROW() - 37), "")</f>
        <v>Roberto Sy Ocampo</v>
      </c>
      <c r="D78" s="4" t="str" cm="1">
        <f t="array" ref="D78">IFERROR(INDEX(EmployeeData[Department], ROW() - 37), "")</f>
        <v>Customer Support</v>
      </c>
      <c r="E78" s="4" t="str" cm="1">
        <f t="array" ref="E78">IFERROR(INDEX(EmployeeData[Gender], ROW() - 37), "")</f>
        <v>Other</v>
      </c>
      <c r="F78" s="4" cm="1">
        <f t="array" ref="F78">IFERROR(INDEX(EmployeeData[Age], ROW() - 37), "")</f>
        <v>32</v>
      </c>
      <c r="G78" s="6" cm="1">
        <f t="array" ref="G78">IFERROR(INDEX(EmployeeData[Join Date], ROW() - 37), "")</f>
        <v>45479</v>
      </c>
      <c r="H78" s="6" t="str" cm="1">
        <f t="array" ref="H78">IFERROR(IF(INDEX(EmployeeData[Exit Date], ROW() - 37)=0, "",INDEX(EmployeeData[Exit Date], ROW() - 37)),"")</f>
        <v/>
      </c>
      <c r="I78" s="4" t="str" cm="1">
        <f t="array" ref="I78">IFERROR(IF(INDEX(EmployeeData[Exit Reason], ROW() - 37)=0, "",INDEX(EmployeeData[Exit Reason], ROW() - 37)),"")</f>
        <v/>
      </c>
      <c r="J78" s="4" t="str" cm="1">
        <f t="array" ref="J78">IFERROR(INDEX(EmployeeData[Status], ROW() - 37), "")</f>
        <v>Active</v>
      </c>
    </row>
    <row r="79" spans="2:10" ht="19.95" customHeight="1" x14ac:dyDescent="0.3">
      <c r="B79" s="4" cm="1">
        <f t="array" ref="B79">IFERROR(INDEX(EmployeeData[Employee ID], ROW() - 37), "")</f>
        <v>1042</v>
      </c>
      <c r="C79" s="4" t="str" cm="1">
        <f t="array" ref="C79">IFERROR(INDEX(EmployeeData[Full Name], ROW() - 37), "")</f>
        <v>Morgan Salazar</v>
      </c>
      <c r="D79" s="4" t="str" cm="1">
        <f t="array" ref="D79">IFERROR(INDEX(EmployeeData[Department], ROW() - 37), "")</f>
        <v>IT</v>
      </c>
      <c r="E79" s="4" t="str" cm="1">
        <f t="array" ref="E79">IFERROR(INDEX(EmployeeData[Gender], ROW() - 37), "")</f>
        <v>Other</v>
      </c>
      <c r="F79" s="4" cm="1">
        <f t="array" ref="F79">IFERROR(INDEX(EmployeeData[Age], ROW() - 37), "")</f>
        <v>48</v>
      </c>
      <c r="G79" s="6" cm="1">
        <f t="array" ref="G79">IFERROR(INDEX(EmployeeData[Join Date], ROW() - 37), "")</f>
        <v>45584</v>
      </c>
      <c r="H79" s="6" t="str" cm="1">
        <f t="array" ref="H79">IFERROR(IF(INDEX(EmployeeData[Exit Date], ROW() - 37)=0, "",INDEX(EmployeeData[Exit Date], ROW() - 37)),"")</f>
        <v/>
      </c>
      <c r="I79" s="4" t="str" cm="1">
        <f t="array" ref="I79">IFERROR(IF(INDEX(EmployeeData[Exit Reason], ROW() - 37)=0, "",INDEX(EmployeeData[Exit Reason], ROW() - 37)),"")</f>
        <v/>
      </c>
      <c r="J79" s="4" t="str" cm="1">
        <f t="array" ref="J79">IFERROR(INDEX(EmployeeData[Status], ROW() - 37), "")</f>
        <v>Active</v>
      </c>
    </row>
    <row r="80" spans="2:10" ht="19.95" customHeight="1" x14ac:dyDescent="0.3">
      <c r="B80" s="4" cm="1">
        <f t="array" ref="B80">IFERROR(INDEX(EmployeeData[Employee ID], ROW() - 37), "")</f>
        <v>1043</v>
      </c>
      <c r="C80" s="4" t="str" cm="1">
        <f t="array" ref="C80">IFERROR(INDEX(EmployeeData[Full Name], ROW() - 37), "")</f>
        <v>Olive Guevarra</v>
      </c>
      <c r="D80" s="4" t="str" cm="1">
        <f t="array" ref="D80">IFERROR(INDEX(EmployeeData[Department], ROW() - 37), "")</f>
        <v>Customer Support</v>
      </c>
      <c r="E80" s="4" t="str" cm="1">
        <f t="array" ref="E80">IFERROR(INDEX(EmployeeData[Gender], ROW() - 37), "")</f>
        <v>Female</v>
      </c>
      <c r="F80" s="4" cm="1">
        <f t="array" ref="F80">IFERROR(INDEX(EmployeeData[Age], ROW() - 37), "")</f>
        <v>48</v>
      </c>
      <c r="G80" s="6" cm="1">
        <f t="array" ref="G80">IFERROR(INDEX(EmployeeData[Join Date], ROW() - 37), "")</f>
        <v>43107</v>
      </c>
      <c r="H80" s="6" t="str" cm="1">
        <f t="array" ref="H80">IFERROR(IF(INDEX(EmployeeData[Exit Date], ROW() - 37)=0, "",INDEX(EmployeeData[Exit Date], ROW() - 37)),"")</f>
        <v/>
      </c>
      <c r="I80" s="4" t="str" cm="1">
        <f t="array" ref="I80">IFERROR(IF(INDEX(EmployeeData[Exit Reason], ROW() - 37)=0, "",INDEX(EmployeeData[Exit Reason], ROW() - 37)),"")</f>
        <v/>
      </c>
      <c r="J80" s="4" t="str" cm="1">
        <f t="array" ref="J80">IFERROR(INDEX(EmployeeData[Status], ROW() - 37), "")</f>
        <v>Active</v>
      </c>
    </row>
    <row r="81" spans="2:10" ht="19.95" customHeight="1" x14ac:dyDescent="0.3">
      <c r="B81" s="4" cm="1">
        <f t="array" ref="B81">IFERROR(INDEX(EmployeeData[Employee ID], ROW() - 37), "")</f>
        <v>1044</v>
      </c>
      <c r="C81" s="4" t="str" cm="1">
        <f t="array" ref="C81">IFERROR(INDEX(EmployeeData[Full Name], ROW() - 37), "")</f>
        <v>Joselito Obispo</v>
      </c>
      <c r="D81" s="4" t="str" cm="1">
        <f t="array" ref="D81">IFERROR(INDEX(EmployeeData[Department], ROW() - 37), "")</f>
        <v>HR</v>
      </c>
      <c r="E81" s="4" t="str" cm="1">
        <f t="array" ref="E81">IFERROR(INDEX(EmployeeData[Gender], ROW() - 37), "")</f>
        <v>Male</v>
      </c>
      <c r="F81" s="4" cm="1">
        <f t="array" ref="F81">IFERROR(INDEX(EmployeeData[Age], ROW() - 37), "")</f>
        <v>44</v>
      </c>
      <c r="G81" s="6" cm="1">
        <f t="array" ref="G81">IFERROR(INDEX(EmployeeData[Join Date], ROW() - 37), "")</f>
        <v>44867</v>
      </c>
      <c r="H81" s="6" cm="1">
        <f t="array" ref="H81">IFERROR(IF(INDEX(EmployeeData[Exit Date], ROW() - 37)=0, "",INDEX(EmployeeData[Exit Date], ROW() - 37)),"")</f>
        <v>45633</v>
      </c>
      <c r="I81" s="4" t="str" cm="1">
        <f t="array" ref="I81">IFERROR(IF(INDEX(EmployeeData[Exit Reason], ROW() - 37)=0, "",INDEX(EmployeeData[Exit Reason], ROW() - 37)),"")</f>
        <v>Relocation</v>
      </c>
      <c r="J81" s="4" t="str" cm="1">
        <f t="array" ref="J81">IFERROR(INDEX(EmployeeData[Status], ROW() - 37), "")</f>
        <v>Exited</v>
      </c>
    </row>
    <row r="82" spans="2:10" ht="19.95" customHeight="1" x14ac:dyDescent="0.3">
      <c r="B82" s="4" cm="1">
        <f t="array" ref="B82">IFERROR(INDEX(EmployeeData[Employee ID], ROW() - 37), "")</f>
        <v>1045</v>
      </c>
      <c r="C82" s="4" t="str" cm="1">
        <f t="array" ref="C82">IFERROR(INDEX(EmployeeData[Full Name], ROW() - 37), "")</f>
        <v>Pete Rivera Flores</v>
      </c>
      <c r="D82" s="4" t="str" cm="1">
        <f t="array" ref="D82">IFERROR(INDEX(EmployeeData[Department], ROW() - 37), "")</f>
        <v>Marketing</v>
      </c>
      <c r="E82" s="4" t="str" cm="1">
        <f t="array" ref="E82">IFERROR(INDEX(EmployeeData[Gender], ROW() - 37), "")</f>
        <v>Male</v>
      </c>
      <c r="F82" s="4" cm="1">
        <f t="array" ref="F82">IFERROR(INDEX(EmployeeData[Age], ROW() - 37), "")</f>
        <v>41</v>
      </c>
      <c r="G82" s="6" cm="1">
        <f t="array" ref="G82">IFERROR(INDEX(EmployeeData[Join Date], ROW() - 37), "")</f>
        <v>44749</v>
      </c>
      <c r="H82" s="6" t="str" cm="1">
        <f t="array" ref="H82">IFERROR(IF(INDEX(EmployeeData[Exit Date], ROW() - 37)=0, "",INDEX(EmployeeData[Exit Date], ROW() - 37)),"")</f>
        <v/>
      </c>
      <c r="I82" s="4" t="str" cm="1">
        <f t="array" ref="I82">IFERROR(IF(INDEX(EmployeeData[Exit Reason], ROW() - 37)=0, "",INDEX(EmployeeData[Exit Reason], ROW() - 37)),"")</f>
        <v/>
      </c>
      <c r="J82" s="4" t="str" cm="1">
        <f t="array" ref="J82">IFERROR(INDEX(EmployeeData[Status], ROW() - 37), "")</f>
        <v>Active</v>
      </c>
    </row>
    <row r="83" spans="2:10" ht="19.95" customHeight="1" x14ac:dyDescent="0.3">
      <c r="B83" s="4" cm="1">
        <f t="array" ref="B83">IFERROR(INDEX(EmployeeData[Employee ID], ROW() - 37), "")</f>
        <v>1046</v>
      </c>
      <c r="C83" s="4" t="str" cm="1">
        <f t="array" ref="C83">IFERROR(INDEX(EmployeeData[Full Name], ROW() - 37), "")</f>
        <v>Alex Sy Sia</v>
      </c>
      <c r="D83" s="4" t="str" cm="1">
        <f t="array" ref="D83">IFERROR(INDEX(EmployeeData[Department], ROW() - 37), "")</f>
        <v>HR</v>
      </c>
      <c r="E83" s="4" t="str" cm="1">
        <f t="array" ref="E83">IFERROR(INDEX(EmployeeData[Gender], ROW() - 37), "")</f>
        <v>Other</v>
      </c>
      <c r="F83" s="4" cm="1">
        <f t="array" ref="F83">IFERROR(INDEX(EmployeeData[Age], ROW() - 37), "")</f>
        <v>57</v>
      </c>
      <c r="G83" s="6" cm="1">
        <f t="array" ref="G83">IFERROR(INDEX(EmployeeData[Join Date], ROW() - 37), "")</f>
        <v>44333</v>
      </c>
      <c r="H83" s="6" t="str" cm="1">
        <f t="array" ref="H83">IFERROR(IF(INDEX(EmployeeData[Exit Date], ROW() - 37)=0, "",INDEX(EmployeeData[Exit Date], ROW() - 37)),"")</f>
        <v/>
      </c>
      <c r="I83" s="4" t="str" cm="1">
        <f t="array" ref="I83">IFERROR(IF(INDEX(EmployeeData[Exit Reason], ROW() - 37)=0, "",INDEX(EmployeeData[Exit Reason], ROW() - 37)),"")</f>
        <v/>
      </c>
      <c r="J83" s="4" t="str" cm="1">
        <f t="array" ref="J83">IFERROR(INDEX(EmployeeData[Status], ROW() - 37), "")</f>
        <v>Active</v>
      </c>
    </row>
    <row r="84" spans="2:10" ht="19.95" customHeight="1" x14ac:dyDescent="0.3">
      <c r="B84" s="4" cm="1">
        <f t="array" ref="B84">IFERROR(INDEX(EmployeeData[Employee ID], ROW() - 37), "")</f>
        <v>1047</v>
      </c>
      <c r="C84" s="4" t="str" cm="1">
        <f t="array" ref="C84">IFERROR(INDEX(EmployeeData[Full Name], ROW() - 37), "")</f>
        <v>Marcelo Lopez Cueto</v>
      </c>
      <c r="D84" s="4" t="str" cm="1">
        <f t="array" ref="D84">IFERROR(INDEX(EmployeeData[Department], ROW() - 37), "")</f>
        <v>Sales</v>
      </c>
      <c r="E84" s="4" t="str" cm="1">
        <f t="array" ref="E84">IFERROR(INDEX(EmployeeData[Gender], ROW() - 37), "")</f>
        <v>Male</v>
      </c>
      <c r="F84" s="4" cm="1">
        <f t="array" ref="F84">IFERROR(INDEX(EmployeeData[Age], ROW() - 37), "")</f>
        <v>41</v>
      </c>
      <c r="G84" s="6" cm="1">
        <f t="array" ref="G84">IFERROR(INDEX(EmployeeData[Join Date], ROW() - 37), "")</f>
        <v>45005</v>
      </c>
      <c r="H84" s="6" t="str" cm="1">
        <f t="array" ref="H84">IFERROR(IF(INDEX(EmployeeData[Exit Date], ROW() - 37)=0, "",INDEX(EmployeeData[Exit Date], ROW() - 37)),"")</f>
        <v/>
      </c>
      <c r="I84" s="4" t="str" cm="1">
        <f t="array" ref="I84">IFERROR(IF(INDEX(EmployeeData[Exit Reason], ROW() - 37)=0, "",INDEX(EmployeeData[Exit Reason], ROW() - 37)),"")</f>
        <v/>
      </c>
      <c r="J84" s="4" t="str" cm="1">
        <f t="array" ref="J84">IFERROR(INDEX(EmployeeData[Status], ROW() - 37), "")</f>
        <v>Active</v>
      </c>
    </row>
    <row r="85" spans="2:10" ht="19.95" customHeight="1" x14ac:dyDescent="0.3">
      <c r="B85" s="4" cm="1">
        <f t="array" ref="B85">IFERROR(INDEX(EmployeeData[Employee ID], ROW() - 37), "")</f>
        <v>1048</v>
      </c>
      <c r="C85" s="4" t="str" cm="1">
        <f t="array" ref="C85">IFERROR(INDEX(EmployeeData[Full Name], ROW() - 37), "")</f>
        <v>Rosalinda Castro Figueroa</v>
      </c>
      <c r="D85" s="4" t="str" cm="1">
        <f t="array" ref="D85">IFERROR(INDEX(EmployeeData[Department], ROW() - 37), "")</f>
        <v>HR</v>
      </c>
      <c r="E85" s="4" t="str" cm="1">
        <f t="array" ref="E85">IFERROR(INDEX(EmployeeData[Gender], ROW() - 37), "")</f>
        <v>Female</v>
      </c>
      <c r="F85" s="4" cm="1">
        <f t="array" ref="F85">IFERROR(INDEX(EmployeeData[Age], ROW() - 37), "")</f>
        <v>42</v>
      </c>
      <c r="G85" s="6" cm="1">
        <f t="array" ref="G85">IFERROR(INDEX(EmployeeData[Join Date], ROW() - 37), "")</f>
        <v>43483</v>
      </c>
      <c r="H85" s="6" t="str" cm="1">
        <f t="array" ref="H85">IFERROR(IF(INDEX(EmployeeData[Exit Date], ROW() - 37)=0, "",INDEX(EmployeeData[Exit Date], ROW() - 37)),"")</f>
        <v/>
      </c>
      <c r="I85" s="4" t="str" cm="1">
        <f t="array" ref="I85">IFERROR(IF(INDEX(EmployeeData[Exit Reason], ROW() - 37)=0, "",INDEX(EmployeeData[Exit Reason], ROW() - 37)),"")</f>
        <v/>
      </c>
      <c r="J85" s="4" t="str" cm="1">
        <f t="array" ref="J85">IFERROR(INDEX(EmployeeData[Status], ROW() - 37), "")</f>
        <v>Active</v>
      </c>
    </row>
    <row r="86" spans="2:10" ht="19.95" customHeight="1" x14ac:dyDescent="0.3">
      <c r="B86" s="4" cm="1">
        <f t="array" ref="B86">IFERROR(INDEX(EmployeeData[Employee ID], ROW() - 37), "")</f>
        <v>1049</v>
      </c>
      <c r="C86" s="4" t="str" cm="1">
        <f t="array" ref="C86">IFERROR(INDEX(EmployeeData[Full Name], ROW() - 37), "")</f>
        <v>Gloria Castro Roque</v>
      </c>
      <c r="D86" s="4" t="str" cm="1">
        <f t="array" ref="D86">IFERROR(INDEX(EmployeeData[Department], ROW() - 37), "")</f>
        <v>Customer Support</v>
      </c>
      <c r="E86" s="4" t="str" cm="1">
        <f t="array" ref="E86">IFERROR(INDEX(EmployeeData[Gender], ROW() - 37), "")</f>
        <v>Female</v>
      </c>
      <c r="F86" s="4" cm="1">
        <f t="array" ref="F86">IFERROR(INDEX(EmployeeData[Age], ROW() - 37), "")</f>
        <v>51</v>
      </c>
      <c r="G86" s="6" cm="1">
        <f t="array" ref="G86">IFERROR(INDEX(EmployeeData[Join Date], ROW() - 37), "")</f>
        <v>45604</v>
      </c>
      <c r="H86" s="6" t="str" cm="1">
        <f t="array" ref="H86">IFERROR(IF(INDEX(EmployeeData[Exit Date], ROW() - 37)=0, "",INDEX(EmployeeData[Exit Date], ROW() - 37)),"")</f>
        <v/>
      </c>
      <c r="I86" s="4" t="str" cm="1">
        <f t="array" ref="I86">IFERROR(IF(INDEX(EmployeeData[Exit Reason], ROW() - 37)=0, "",INDEX(EmployeeData[Exit Reason], ROW() - 37)),"")</f>
        <v/>
      </c>
      <c r="J86" s="4" t="str" cm="1">
        <f t="array" ref="J86">IFERROR(INDEX(EmployeeData[Status], ROW() - 37), "")</f>
        <v>Active</v>
      </c>
    </row>
    <row r="87" spans="2:10" ht="19.95" customHeight="1" x14ac:dyDescent="0.3">
      <c r="B87" s="4" cm="1">
        <f t="array" ref="B87">IFERROR(INDEX(EmployeeData[Employee ID], ROW() - 37), "")</f>
        <v>1050</v>
      </c>
      <c r="C87" s="4" t="str" cm="1">
        <f t="array" ref="C87">IFERROR(INDEX(EmployeeData[Full Name], ROW() - 37), "")</f>
        <v>Ronaldo Go Estrada</v>
      </c>
      <c r="D87" s="4" t="str" cm="1">
        <f t="array" ref="D87">IFERROR(INDEX(EmployeeData[Department], ROW() - 37), "")</f>
        <v>HR</v>
      </c>
      <c r="E87" s="4" t="str" cm="1">
        <f t="array" ref="E87">IFERROR(INDEX(EmployeeData[Gender], ROW() - 37), "")</f>
        <v>Male</v>
      </c>
      <c r="F87" s="4" cm="1">
        <f t="array" ref="F87">IFERROR(INDEX(EmployeeData[Age], ROW() - 37), "")</f>
        <v>46</v>
      </c>
      <c r="G87" s="6" cm="1">
        <f t="array" ref="G87">IFERROR(INDEX(EmployeeData[Join Date], ROW() - 37), "")</f>
        <v>44100</v>
      </c>
      <c r="H87" s="6" cm="1">
        <f t="array" ref="H87">IFERROR(IF(INDEX(EmployeeData[Exit Date], ROW() - 37)=0, "",INDEX(EmployeeData[Exit Date], ROW() - 37)),"")</f>
        <v>45598</v>
      </c>
      <c r="I87" s="4" t="str" cm="1">
        <f t="array" ref="I87">IFERROR(IF(INDEX(EmployeeData[Exit Reason], ROW() - 37)=0, "",INDEX(EmployeeData[Exit Reason], ROW() - 37)),"")</f>
        <v>Better Opportunity</v>
      </c>
      <c r="J87" s="4" t="str" cm="1">
        <f t="array" ref="J87">IFERROR(INDEX(EmployeeData[Status], ROW() - 37), "")</f>
        <v>Exited</v>
      </c>
    </row>
    <row r="88" spans="2:10" ht="19.95" customHeight="1" x14ac:dyDescent="0.3">
      <c r="B88" s="4" cm="1">
        <f t="array" ref="B88">IFERROR(INDEX(EmployeeData[Employee ID], ROW() - 37), "")</f>
        <v>1051</v>
      </c>
      <c r="C88" s="4" t="str" cm="1">
        <f t="array" ref="C88">IFERROR(INDEX(EmployeeData[Full Name], ROW() - 37), "")</f>
        <v>Sue Uy Perez</v>
      </c>
      <c r="D88" s="4" t="str" cm="1">
        <f t="array" ref="D88">IFERROR(INDEX(EmployeeData[Department], ROW() - 37), "")</f>
        <v>Customer Support</v>
      </c>
      <c r="E88" s="4" t="str" cm="1">
        <f t="array" ref="E88">IFERROR(INDEX(EmployeeData[Gender], ROW() - 37), "")</f>
        <v>Female</v>
      </c>
      <c r="F88" s="4" cm="1">
        <f t="array" ref="F88">IFERROR(INDEX(EmployeeData[Age], ROW() - 37), "")</f>
        <v>28</v>
      </c>
      <c r="G88" s="6" cm="1">
        <f t="array" ref="G88">IFERROR(INDEX(EmployeeData[Join Date], ROW() - 37), "")</f>
        <v>44970</v>
      </c>
      <c r="H88" s="6" cm="1">
        <f t="array" ref="H88">IFERROR(IF(INDEX(EmployeeData[Exit Date], ROW() - 37)=0, "",INDEX(EmployeeData[Exit Date], ROW() - 37)),"")</f>
        <v>46011</v>
      </c>
      <c r="I88" s="4" t="str" cm="1">
        <f t="array" ref="I88">IFERROR(IF(INDEX(EmployeeData[Exit Reason], ROW() - 37)=0, "",INDEX(EmployeeData[Exit Reason], ROW() - 37)),"")</f>
        <v>Relocation</v>
      </c>
      <c r="J88" s="4" t="str" cm="1">
        <f t="array" ref="J88">IFERROR(INDEX(EmployeeData[Status], ROW() - 37), "")</f>
        <v>Exited</v>
      </c>
    </row>
    <row r="89" spans="2:10" ht="19.95" customHeight="1" x14ac:dyDescent="0.3">
      <c r="B89" s="4" cm="1">
        <f t="array" ref="B89">IFERROR(INDEX(EmployeeData[Employee ID], ROW() - 37), "")</f>
        <v>1052</v>
      </c>
      <c r="C89" s="4" t="str" cm="1">
        <f t="array" ref="C89">IFERROR(INDEX(EmployeeData[Full Name], ROW() - 37), "")</f>
        <v>Rowena Natividad</v>
      </c>
      <c r="D89" s="4" t="str" cm="1">
        <f t="array" ref="D89">IFERROR(INDEX(EmployeeData[Department], ROW() - 37), "")</f>
        <v>Marketing</v>
      </c>
      <c r="E89" s="4" t="str" cm="1">
        <f t="array" ref="E89">IFERROR(INDEX(EmployeeData[Gender], ROW() - 37), "")</f>
        <v>Other</v>
      </c>
      <c r="F89" s="4" cm="1">
        <f t="array" ref="F89">IFERROR(INDEX(EmployeeData[Age], ROW() - 37), "")</f>
        <v>53</v>
      </c>
      <c r="G89" s="6" cm="1">
        <f t="array" ref="G89">IFERROR(INDEX(EmployeeData[Join Date], ROW() - 37), "")</f>
        <v>44848</v>
      </c>
      <c r="H89" s="6" t="str" cm="1">
        <f t="array" ref="H89">IFERROR(IF(INDEX(EmployeeData[Exit Date], ROW() - 37)=0, "",INDEX(EmployeeData[Exit Date], ROW() - 37)),"")</f>
        <v/>
      </c>
      <c r="I89" s="4" t="str" cm="1">
        <f t="array" ref="I89">IFERROR(IF(INDEX(EmployeeData[Exit Reason], ROW() - 37)=0, "",INDEX(EmployeeData[Exit Reason], ROW() - 37)),"")</f>
        <v/>
      </c>
      <c r="J89" s="4" t="str" cm="1">
        <f t="array" ref="J89">IFERROR(INDEX(EmployeeData[Status], ROW() - 37), "")</f>
        <v>Active</v>
      </c>
    </row>
    <row r="90" spans="2:10" ht="19.95" customHeight="1" x14ac:dyDescent="0.3">
      <c r="B90" s="4" cm="1">
        <f t="array" ref="B90">IFERROR(INDEX(EmployeeData[Employee ID], ROW() - 37), "")</f>
        <v>1053</v>
      </c>
      <c r="C90" s="4" t="str" cm="1">
        <f t="array" ref="C90">IFERROR(INDEX(EmployeeData[Full Name], ROW() - 37), "")</f>
        <v>Vicente Mercado Delmendo</v>
      </c>
      <c r="D90" s="4" t="str" cm="1">
        <f t="array" ref="D90">IFERROR(INDEX(EmployeeData[Department], ROW() - 37), "")</f>
        <v>HR</v>
      </c>
      <c r="E90" s="4" t="str" cm="1">
        <f t="array" ref="E90">IFERROR(INDEX(EmployeeData[Gender], ROW() - 37), "")</f>
        <v>Male</v>
      </c>
      <c r="F90" s="4" cm="1">
        <f t="array" ref="F90">IFERROR(INDEX(EmployeeData[Age], ROW() - 37), "")</f>
        <v>37</v>
      </c>
      <c r="G90" s="6" cm="1">
        <f t="array" ref="G90">IFERROR(INDEX(EmployeeData[Join Date], ROW() - 37), "")</f>
        <v>44113</v>
      </c>
      <c r="H90" s="6" t="str" cm="1">
        <f t="array" ref="H90">IFERROR(IF(INDEX(EmployeeData[Exit Date], ROW() - 37)=0, "",INDEX(EmployeeData[Exit Date], ROW() - 37)),"")</f>
        <v/>
      </c>
      <c r="I90" s="4" t="str" cm="1">
        <f t="array" ref="I90">IFERROR(IF(INDEX(EmployeeData[Exit Reason], ROW() - 37)=0, "",INDEX(EmployeeData[Exit Reason], ROW() - 37)),"")</f>
        <v/>
      </c>
      <c r="J90" s="4" t="str" cm="1">
        <f t="array" ref="J90">IFERROR(INDEX(EmployeeData[Status], ROW() - 37), "")</f>
        <v>Active</v>
      </c>
    </row>
    <row r="91" spans="2:10" ht="19.95" customHeight="1" x14ac:dyDescent="0.3">
      <c r="B91" s="4" cm="1">
        <f t="array" ref="B91">IFERROR(INDEX(EmployeeData[Employee ID], ROW() - 37), "")</f>
        <v>1054</v>
      </c>
      <c r="C91" s="4" t="str" cm="1">
        <f t="array" ref="C91">IFERROR(INDEX(EmployeeData[Full Name], ROW() - 37), "")</f>
        <v>Rowena Rivera Ramirez</v>
      </c>
      <c r="D91" s="4" t="str" cm="1">
        <f t="array" ref="D91">IFERROR(INDEX(EmployeeData[Department], ROW() - 37), "")</f>
        <v>IT</v>
      </c>
      <c r="E91" s="4" t="str" cm="1">
        <f t="array" ref="E91">IFERROR(INDEX(EmployeeData[Gender], ROW() - 37), "")</f>
        <v>Female</v>
      </c>
      <c r="F91" s="4" cm="1">
        <f t="array" ref="F91">IFERROR(INDEX(EmployeeData[Age], ROW() - 37), "")</f>
        <v>39</v>
      </c>
      <c r="G91" s="6" cm="1">
        <f t="array" ref="G91">IFERROR(INDEX(EmployeeData[Join Date], ROW() - 37), "")</f>
        <v>44061</v>
      </c>
      <c r="H91" s="6" cm="1">
        <f t="array" ref="H91">IFERROR(IF(INDEX(EmployeeData[Exit Date], ROW() - 37)=0, "",INDEX(EmployeeData[Exit Date], ROW() - 37)),"")</f>
        <v>44805</v>
      </c>
      <c r="I91" s="4" t="str" cm="1">
        <f t="array" ref="I91">IFERROR(IF(INDEX(EmployeeData[Exit Reason], ROW() - 37)=0, "",INDEX(EmployeeData[Exit Reason], ROW() - 37)),"")</f>
        <v>Resignation</v>
      </c>
      <c r="J91" s="4" t="str" cm="1">
        <f t="array" ref="J91">IFERROR(INDEX(EmployeeData[Status], ROW() - 37), "")</f>
        <v>Exited</v>
      </c>
    </row>
    <row r="92" spans="2:10" ht="19.95" customHeight="1" x14ac:dyDescent="0.3">
      <c r="B92" s="4" cm="1">
        <f t="array" ref="B92">IFERROR(INDEX(EmployeeData[Employee ID], ROW() - 37), "")</f>
        <v>1055</v>
      </c>
      <c r="C92" s="4" t="str" cm="1">
        <f t="array" ref="C92">IFERROR(INDEX(EmployeeData[Full Name], ROW() - 37), "")</f>
        <v>Gloria Flores Suarez</v>
      </c>
      <c r="D92" s="4" t="str" cm="1">
        <f t="array" ref="D92">IFERROR(INDEX(EmployeeData[Department], ROW() - 37), "")</f>
        <v>HR</v>
      </c>
      <c r="E92" s="4" t="str" cm="1">
        <f t="array" ref="E92">IFERROR(INDEX(EmployeeData[Gender], ROW() - 37), "")</f>
        <v>Other</v>
      </c>
      <c r="F92" s="4" cm="1">
        <f t="array" ref="F92">IFERROR(INDEX(EmployeeData[Age], ROW() - 37), "")</f>
        <v>25</v>
      </c>
      <c r="G92" s="6" cm="1">
        <f t="array" ref="G92">IFERROR(INDEX(EmployeeData[Join Date], ROW() - 37), "")</f>
        <v>44800</v>
      </c>
      <c r="H92" s="6" t="str" cm="1">
        <f t="array" ref="H92">IFERROR(IF(INDEX(EmployeeData[Exit Date], ROW() - 37)=0, "",INDEX(EmployeeData[Exit Date], ROW() - 37)),"")</f>
        <v/>
      </c>
      <c r="I92" s="4" t="str" cm="1">
        <f t="array" ref="I92">IFERROR(IF(INDEX(EmployeeData[Exit Reason], ROW() - 37)=0, "",INDEX(EmployeeData[Exit Reason], ROW() - 37)),"")</f>
        <v/>
      </c>
      <c r="J92" s="4" t="str" cm="1">
        <f t="array" ref="J92">IFERROR(INDEX(EmployeeData[Status], ROW() - 37), "")</f>
        <v>Active</v>
      </c>
    </row>
    <row r="93" spans="2:10" ht="19.95" customHeight="1" x14ac:dyDescent="0.3">
      <c r="B93" s="4" cm="1">
        <f t="array" ref="B93">IFERROR(INDEX(EmployeeData[Employee ID], ROW() - 37), "")</f>
        <v>1056</v>
      </c>
      <c r="C93" s="4" t="str" cm="1">
        <f t="array" ref="C93">IFERROR(INDEX(EmployeeData[Full Name], ROW() - 37), "")</f>
        <v>Ivan Sia</v>
      </c>
      <c r="D93" s="4" t="str" cm="1">
        <f t="array" ref="D93">IFERROR(INDEX(EmployeeData[Department], ROW() - 37), "")</f>
        <v>Sales</v>
      </c>
      <c r="E93" s="4" t="str" cm="1">
        <f t="array" ref="E93">IFERROR(INDEX(EmployeeData[Gender], ROW() - 37), "")</f>
        <v>Male</v>
      </c>
      <c r="F93" s="4" cm="1">
        <f t="array" ref="F93">IFERROR(INDEX(EmployeeData[Age], ROW() - 37), "")</f>
        <v>58</v>
      </c>
      <c r="G93" s="6" cm="1">
        <f t="array" ref="G93">IFERROR(INDEX(EmployeeData[Join Date], ROW() - 37), "")</f>
        <v>45949</v>
      </c>
      <c r="H93" s="6" cm="1">
        <f t="array" ref="H93">IFERROR(IF(INDEX(EmployeeData[Exit Date], ROW() - 37)=0, "",INDEX(EmployeeData[Exit Date], ROW() - 37)),"")</f>
        <v>46136</v>
      </c>
      <c r="I93" s="4" t="str" cm="1">
        <f t="array" ref="I93">IFERROR(IF(INDEX(EmployeeData[Exit Reason], ROW() - 37)=0, "",INDEX(EmployeeData[Exit Reason], ROW() - 37)),"")</f>
        <v>Termination</v>
      </c>
      <c r="J93" s="4" t="str" cm="1">
        <f t="array" ref="J93">IFERROR(INDEX(EmployeeData[Status], ROW() - 37), "")</f>
        <v>Exited</v>
      </c>
    </row>
    <row r="94" spans="2:10" ht="19.95" customHeight="1" x14ac:dyDescent="0.3">
      <c r="B94" s="4" cm="1">
        <f t="array" ref="B94">IFERROR(INDEX(EmployeeData[Employee ID], ROW() - 37), "")</f>
        <v>1057</v>
      </c>
      <c r="C94" s="4" t="str" cm="1">
        <f t="array" ref="C94">IFERROR(INDEX(EmployeeData[Full Name], ROW() - 37), "")</f>
        <v>Gloria Quiambao</v>
      </c>
      <c r="D94" s="4" t="str" cm="1">
        <f t="array" ref="D94">IFERROR(INDEX(EmployeeData[Department], ROW() - 37), "")</f>
        <v>Sales</v>
      </c>
      <c r="E94" s="4" t="str" cm="1">
        <f t="array" ref="E94">IFERROR(INDEX(EmployeeData[Gender], ROW() - 37), "")</f>
        <v>Other</v>
      </c>
      <c r="F94" s="4" cm="1">
        <f t="array" ref="F94">IFERROR(INDEX(EmployeeData[Age], ROW() - 37), "")</f>
        <v>47</v>
      </c>
      <c r="G94" s="6" cm="1">
        <f t="array" ref="G94">IFERROR(INDEX(EmployeeData[Join Date], ROW() - 37), "")</f>
        <v>45305</v>
      </c>
      <c r="H94" s="6" t="str" cm="1">
        <f t="array" ref="H94">IFERROR(IF(INDEX(EmployeeData[Exit Date], ROW() - 37)=0, "",INDEX(EmployeeData[Exit Date], ROW() - 37)),"")</f>
        <v/>
      </c>
      <c r="I94" s="4" t="str" cm="1">
        <f t="array" ref="I94">IFERROR(IF(INDEX(EmployeeData[Exit Reason], ROW() - 37)=0, "",INDEX(EmployeeData[Exit Reason], ROW() - 37)),"")</f>
        <v/>
      </c>
      <c r="J94" s="4" t="str" cm="1">
        <f t="array" ref="J94">IFERROR(INDEX(EmployeeData[Status], ROW() - 37), "")</f>
        <v>Active</v>
      </c>
    </row>
    <row r="95" spans="2:10" ht="19.95" customHeight="1" x14ac:dyDescent="0.3">
      <c r="B95" s="4" cm="1">
        <f t="array" ref="B95">IFERROR(INDEX(EmployeeData[Employee ID], ROW() - 37), "")</f>
        <v>1058</v>
      </c>
      <c r="C95" s="4" t="str" cm="1">
        <f t="array" ref="C95">IFERROR(INDEX(EmployeeData[Full Name], ROW() - 37), "")</f>
        <v>Vanessa Go Obispo</v>
      </c>
      <c r="D95" s="4" t="str" cm="1">
        <f t="array" ref="D95">IFERROR(INDEX(EmployeeData[Department], ROW() - 37), "")</f>
        <v>Marketing</v>
      </c>
      <c r="E95" s="4" t="str" cm="1">
        <f t="array" ref="E95">IFERROR(INDEX(EmployeeData[Gender], ROW() - 37), "")</f>
        <v>Female</v>
      </c>
      <c r="F95" s="4" cm="1">
        <f t="array" ref="F95">IFERROR(INDEX(EmployeeData[Age], ROW() - 37), "")</f>
        <v>52</v>
      </c>
      <c r="G95" s="6" cm="1">
        <f t="array" ref="G95">IFERROR(INDEX(EmployeeData[Join Date], ROW() - 37), "")</f>
        <v>43219</v>
      </c>
      <c r="H95" s="6" t="str" cm="1">
        <f t="array" ref="H95">IFERROR(IF(INDEX(EmployeeData[Exit Date], ROW() - 37)=0, "",INDEX(EmployeeData[Exit Date], ROW() - 37)),"")</f>
        <v/>
      </c>
      <c r="I95" s="4" t="str" cm="1">
        <f t="array" ref="I95">IFERROR(IF(INDEX(EmployeeData[Exit Reason], ROW() - 37)=0, "",INDEX(EmployeeData[Exit Reason], ROW() - 37)),"")</f>
        <v/>
      </c>
      <c r="J95" s="4" t="str" cm="1">
        <f t="array" ref="J95">IFERROR(INDEX(EmployeeData[Status], ROW() - 37), "")</f>
        <v>Active</v>
      </c>
    </row>
    <row r="96" spans="2:10" ht="19.95" customHeight="1" x14ac:dyDescent="0.3">
      <c r="B96" s="4" cm="1">
        <f t="array" ref="B96">IFERROR(INDEX(EmployeeData[Employee ID], ROW() - 37), "")</f>
        <v>1059</v>
      </c>
      <c r="C96" s="4" t="str" cm="1">
        <f t="array" ref="C96">IFERROR(INDEX(EmployeeData[Full Name], ROW() - 37), "")</f>
        <v>Lourdes Lozano</v>
      </c>
      <c r="D96" s="4" t="str" cm="1">
        <f t="array" ref="D96">IFERROR(INDEX(EmployeeData[Department], ROW() - 37), "")</f>
        <v>Finance</v>
      </c>
      <c r="E96" s="4" t="str" cm="1">
        <f t="array" ref="E96">IFERROR(INDEX(EmployeeData[Gender], ROW() - 37), "")</f>
        <v>Other</v>
      </c>
      <c r="F96" s="4" cm="1">
        <f t="array" ref="F96">IFERROR(INDEX(EmployeeData[Age], ROW() - 37), "")</f>
        <v>55</v>
      </c>
      <c r="G96" s="6" cm="1">
        <f t="array" ref="G96">IFERROR(INDEX(EmployeeData[Join Date], ROW() - 37), "")</f>
        <v>43211</v>
      </c>
      <c r="H96" s="6" t="str" cm="1">
        <f t="array" ref="H96">IFERROR(IF(INDEX(EmployeeData[Exit Date], ROW() - 37)=0, "",INDEX(EmployeeData[Exit Date], ROW() - 37)),"")</f>
        <v/>
      </c>
      <c r="I96" s="4" t="str" cm="1">
        <f t="array" ref="I96">IFERROR(IF(INDEX(EmployeeData[Exit Reason], ROW() - 37)=0, "",INDEX(EmployeeData[Exit Reason], ROW() - 37)),"")</f>
        <v/>
      </c>
      <c r="J96" s="4" t="str" cm="1">
        <f t="array" ref="J96">IFERROR(INDEX(EmployeeData[Status], ROW() - 37), "")</f>
        <v>Active</v>
      </c>
    </row>
    <row r="97" spans="2:10" ht="19.95" customHeight="1" x14ac:dyDescent="0.3">
      <c r="B97" s="4" cm="1">
        <f t="array" ref="B97">IFERROR(INDEX(EmployeeData[Employee ID], ROW() - 37), "")</f>
        <v>1060</v>
      </c>
      <c r="C97" s="4" t="str" cm="1">
        <f t="array" ref="C97">IFERROR(INDEX(EmployeeData[Full Name], ROW() - 37), "")</f>
        <v>Elmer Buenaventura</v>
      </c>
      <c r="D97" s="4" t="str" cm="1">
        <f t="array" ref="D97">IFERROR(INDEX(EmployeeData[Department], ROW() - 37), "")</f>
        <v>Customer Support</v>
      </c>
      <c r="E97" s="4" t="str" cm="1">
        <f t="array" ref="E97">IFERROR(INDEX(EmployeeData[Gender], ROW() - 37), "")</f>
        <v>Male</v>
      </c>
      <c r="F97" s="4" cm="1">
        <f t="array" ref="F97">IFERROR(INDEX(EmployeeData[Age], ROW() - 37), "")</f>
        <v>64</v>
      </c>
      <c r="G97" s="6" cm="1">
        <f t="array" ref="G97">IFERROR(INDEX(EmployeeData[Join Date], ROW() - 37), "")</f>
        <v>43845</v>
      </c>
      <c r="H97" s="6" cm="1">
        <f t="array" ref="H97">IFERROR(IF(INDEX(EmployeeData[Exit Date], ROW() - 37)=0, "",INDEX(EmployeeData[Exit Date], ROW() - 37)),"")</f>
        <v>45487</v>
      </c>
      <c r="I97" s="4" t="str" cm="1">
        <f t="array" ref="I97">IFERROR(IF(INDEX(EmployeeData[Exit Reason], ROW() - 37)=0, "",INDEX(EmployeeData[Exit Reason], ROW() - 37)),"")</f>
        <v>Retirement</v>
      </c>
      <c r="J97" s="4" t="str" cm="1">
        <f t="array" ref="J97">IFERROR(INDEX(EmployeeData[Status], ROW() - 37), "")</f>
        <v>Exited</v>
      </c>
    </row>
    <row r="98" spans="2:10" ht="19.95" customHeight="1" x14ac:dyDescent="0.3">
      <c r="B98" s="4" cm="1">
        <f t="array" ref="B98">IFERROR(INDEX(EmployeeData[Employee ID], ROW() - 37), "")</f>
        <v>1061</v>
      </c>
      <c r="C98" s="4" t="str" cm="1">
        <f t="array" ref="C98">IFERROR(INDEX(EmployeeData[Full Name], ROW() - 37), "")</f>
        <v>Elena Cruz</v>
      </c>
      <c r="D98" s="4" t="str" cm="1">
        <f t="array" ref="D98">IFERROR(INDEX(EmployeeData[Department], ROW() - 37), "")</f>
        <v>IT</v>
      </c>
      <c r="E98" s="4" t="str" cm="1">
        <f t="array" ref="E98">IFERROR(INDEX(EmployeeData[Gender], ROW() - 37), "")</f>
        <v>Other</v>
      </c>
      <c r="F98" s="4" cm="1">
        <f t="array" ref="F98">IFERROR(INDEX(EmployeeData[Age], ROW() - 37), "")</f>
        <v>47</v>
      </c>
      <c r="G98" s="6" cm="1">
        <f t="array" ref="G98">IFERROR(INDEX(EmployeeData[Join Date], ROW() - 37), "")</f>
        <v>44134</v>
      </c>
      <c r="H98" s="6" t="str" cm="1">
        <f t="array" ref="H98">IFERROR(IF(INDEX(EmployeeData[Exit Date], ROW() - 37)=0, "",INDEX(EmployeeData[Exit Date], ROW() - 37)),"")</f>
        <v/>
      </c>
      <c r="I98" s="4" t="str" cm="1">
        <f t="array" ref="I98">IFERROR(IF(INDEX(EmployeeData[Exit Reason], ROW() - 37)=0, "",INDEX(EmployeeData[Exit Reason], ROW() - 37)),"")</f>
        <v/>
      </c>
      <c r="J98" s="4" t="str" cm="1">
        <f t="array" ref="J98">IFERROR(INDEX(EmployeeData[Status], ROW() - 37), "")</f>
        <v>Active</v>
      </c>
    </row>
    <row r="99" spans="2:10" ht="19.95" customHeight="1" x14ac:dyDescent="0.3">
      <c r="B99" s="4" cm="1">
        <f t="array" ref="B99">IFERROR(INDEX(EmployeeData[Employee ID], ROW() - 37), "")</f>
        <v>1062</v>
      </c>
      <c r="C99" s="4" t="str" cm="1">
        <f t="array" ref="C99">IFERROR(INDEX(EmployeeData[Full Name], ROW() - 37), "")</f>
        <v>Eduardo Vega</v>
      </c>
      <c r="D99" s="4" t="str" cm="1">
        <f t="array" ref="D99">IFERROR(INDEX(EmployeeData[Department], ROW() - 37), "")</f>
        <v>Customer Support</v>
      </c>
      <c r="E99" s="4" t="str" cm="1">
        <f t="array" ref="E99">IFERROR(INDEX(EmployeeData[Gender], ROW() - 37), "")</f>
        <v>Other</v>
      </c>
      <c r="F99" s="4" cm="1">
        <f t="array" ref="F99">IFERROR(INDEX(EmployeeData[Age], ROW() - 37), "")</f>
        <v>35</v>
      </c>
      <c r="G99" s="6" cm="1">
        <f t="array" ref="G99">IFERROR(INDEX(EmployeeData[Join Date], ROW() - 37), "")</f>
        <v>45763</v>
      </c>
      <c r="H99" s="6" cm="1">
        <f t="array" ref="H99">IFERROR(IF(INDEX(EmployeeData[Exit Date], ROW() - 37)=0, "",INDEX(EmployeeData[Exit Date], ROW() - 37)),"")</f>
        <v>45873</v>
      </c>
      <c r="I99" s="4" t="str" cm="1">
        <f t="array" ref="I99">IFERROR(IF(INDEX(EmployeeData[Exit Reason], ROW() - 37)=0, "",INDEX(EmployeeData[Exit Reason], ROW() - 37)),"")</f>
        <v>Personal Reasons</v>
      </c>
      <c r="J99" s="4" t="str" cm="1">
        <f t="array" ref="J99">IFERROR(INDEX(EmployeeData[Status], ROW() - 37), "")</f>
        <v>Exited</v>
      </c>
    </row>
    <row r="100" spans="2:10" ht="19.95" customHeight="1" x14ac:dyDescent="0.3">
      <c r="B100" s="4" cm="1">
        <f t="array" ref="B100">IFERROR(INDEX(EmployeeData[Employee ID], ROW() - 37), "")</f>
        <v>1063</v>
      </c>
      <c r="C100" s="4" t="str" cm="1">
        <f t="array" ref="C100">IFERROR(INDEX(EmployeeData[Full Name], ROW() - 37), "")</f>
        <v>Violeta Torres Ignacio</v>
      </c>
      <c r="D100" s="4" t="str" cm="1">
        <f t="array" ref="D100">IFERROR(INDEX(EmployeeData[Department], ROW() - 37), "")</f>
        <v>Marketing</v>
      </c>
      <c r="E100" s="4" t="str" cm="1">
        <f t="array" ref="E100">IFERROR(INDEX(EmployeeData[Gender], ROW() - 37), "")</f>
        <v>Female</v>
      </c>
      <c r="F100" s="4" cm="1">
        <f t="array" ref="F100">IFERROR(INDEX(EmployeeData[Age], ROW() - 37), "")</f>
        <v>51</v>
      </c>
      <c r="G100" s="6" cm="1">
        <f t="array" ref="G100">IFERROR(INDEX(EmployeeData[Join Date], ROW() - 37), "")</f>
        <v>45843</v>
      </c>
      <c r="H100" s="6" cm="1">
        <f t="array" ref="H100">IFERROR(IF(INDEX(EmployeeData[Exit Date], ROW() - 37)=0, "",INDEX(EmployeeData[Exit Date], ROW() - 37)),"")</f>
        <v>46175</v>
      </c>
      <c r="I100" s="4" t="str" cm="1">
        <f t="array" ref="I100">IFERROR(IF(INDEX(EmployeeData[Exit Reason], ROW() - 37)=0, "",INDEX(EmployeeData[Exit Reason], ROW() - 37)),"")</f>
        <v>Better Opportunity</v>
      </c>
      <c r="J100" s="4" t="str" cm="1">
        <f t="array" ref="J100">IFERROR(INDEX(EmployeeData[Status], ROW() - 37), "")</f>
        <v>Exited</v>
      </c>
    </row>
    <row r="101" spans="2:10" ht="19.95" customHeight="1" x14ac:dyDescent="0.3">
      <c r="B101" s="4" cm="1">
        <f t="array" ref="B101">IFERROR(INDEX(EmployeeData[Employee ID], ROW() - 37), "")</f>
        <v>1064</v>
      </c>
      <c r="C101" s="4" t="str" cm="1">
        <f t="array" ref="C101">IFERROR(INDEX(EmployeeData[Full Name], ROW() - 37), "")</f>
        <v>Grace Macapagal</v>
      </c>
      <c r="D101" s="4" t="str" cm="1">
        <f t="array" ref="D101">IFERROR(INDEX(EmployeeData[Department], ROW() - 37), "")</f>
        <v>HR</v>
      </c>
      <c r="E101" s="4" t="str" cm="1">
        <f t="array" ref="E101">IFERROR(INDEX(EmployeeData[Gender], ROW() - 37), "")</f>
        <v>Female</v>
      </c>
      <c r="F101" s="4" cm="1">
        <f t="array" ref="F101">IFERROR(INDEX(EmployeeData[Age], ROW() - 37), "")</f>
        <v>40</v>
      </c>
      <c r="G101" s="6" cm="1">
        <f t="array" ref="G101">IFERROR(INDEX(EmployeeData[Join Date], ROW() - 37), "")</f>
        <v>43543</v>
      </c>
      <c r="H101" s="6" t="str" cm="1">
        <f t="array" ref="H101">IFERROR(IF(INDEX(EmployeeData[Exit Date], ROW() - 37)=0, "",INDEX(EmployeeData[Exit Date], ROW() - 37)),"")</f>
        <v/>
      </c>
      <c r="I101" s="4" t="str" cm="1">
        <f t="array" ref="I101">IFERROR(IF(INDEX(EmployeeData[Exit Reason], ROW() - 37)=0, "",INDEX(EmployeeData[Exit Reason], ROW() - 37)),"")</f>
        <v/>
      </c>
      <c r="J101" s="4" t="str" cm="1">
        <f t="array" ref="J101">IFERROR(INDEX(EmployeeData[Status], ROW() - 37), "")</f>
        <v>Active</v>
      </c>
    </row>
    <row r="102" spans="2:10" ht="19.95" customHeight="1" x14ac:dyDescent="0.3">
      <c r="B102" s="4" cm="1">
        <f t="array" ref="B102">IFERROR(INDEX(EmployeeData[Employee ID], ROW() - 37), "")</f>
        <v>1065</v>
      </c>
      <c r="C102" s="4" t="str" cm="1">
        <f t="array" ref="C102">IFERROR(INDEX(EmployeeData[Full Name], ROW() - 37), "")</f>
        <v>Renato Lopez</v>
      </c>
      <c r="D102" s="4" t="str" cm="1">
        <f t="array" ref="D102">IFERROR(INDEX(EmployeeData[Department], ROW() - 37), "")</f>
        <v>Finance</v>
      </c>
      <c r="E102" s="4" t="str" cm="1">
        <f t="array" ref="E102">IFERROR(INDEX(EmployeeData[Gender], ROW() - 37), "")</f>
        <v>Male</v>
      </c>
      <c r="F102" s="4" cm="1">
        <f t="array" ref="F102">IFERROR(INDEX(EmployeeData[Age], ROW() - 37), "")</f>
        <v>33</v>
      </c>
      <c r="G102" s="6" cm="1">
        <f t="array" ref="G102">IFERROR(INDEX(EmployeeData[Join Date], ROW() - 37), "")</f>
        <v>43412</v>
      </c>
      <c r="H102" s="6" t="str" cm="1">
        <f t="array" ref="H102">IFERROR(IF(INDEX(EmployeeData[Exit Date], ROW() - 37)=0, "",INDEX(EmployeeData[Exit Date], ROW() - 37)),"")</f>
        <v/>
      </c>
      <c r="I102" s="4" t="str" cm="1">
        <f t="array" ref="I102">IFERROR(IF(INDEX(EmployeeData[Exit Reason], ROW() - 37)=0, "",INDEX(EmployeeData[Exit Reason], ROW() - 37)),"")</f>
        <v/>
      </c>
      <c r="J102" s="4" t="str" cm="1">
        <f t="array" ref="J102">IFERROR(INDEX(EmployeeData[Status], ROW() - 37), "")</f>
        <v>Active</v>
      </c>
    </row>
    <row r="103" spans="2:10" ht="19.95" customHeight="1" x14ac:dyDescent="0.3">
      <c r="B103" s="4" cm="1">
        <f t="array" ref="B103">IFERROR(INDEX(EmployeeData[Employee ID], ROW() - 37), "")</f>
        <v>1066</v>
      </c>
      <c r="C103" s="4" t="str" cm="1">
        <f t="array" ref="C103">IFERROR(INDEX(EmployeeData[Full Name], ROW() - 37), "")</f>
        <v>Efren Santiago Fajardo</v>
      </c>
      <c r="D103" s="4" t="str" cm="1">
        <f t="array" ref="D103">IFERROR(INDEX(EmployeeData[Department], ROW() - 37), "")</f>
        <v>IT</v>
      </c>
      <c r="E103" s="4" t="str" cm="1">
        <f t="array" ref="E103">IFERROR(INDEX(EmployeeData[Gender], ROW() - 37), "")</f>
        <v>Other</v>
      </c>
      <c r="F103" s="4" cm="1">
        <f t="array" ref="F103">IFERROR(INDEX(EmployeeData[Age], ROW() - 37), "")</f>
        <v>28</v>
      </c>
      <c r="G103" s="6" cm="1">
        <f t="array" ref="G103">IFERROR(INDEX(EmployeeData[Join Date], ROW() - 37), "")</f>
        <v>45419</v>
      </c>
      <c r="H103" s="6" t="str" cm="1">
        <f t="array" ref="H103">IFERROR(IF(INDEX(EmployeeData[Exit Date], ROW() - 37)=0, "",INDEX(EmployeeData[Exit Date], ROW() - 37)),"")</f>
        <v/>
      </c>
      <c r="I103" s="4" t="str" cm="1">
        <f t="array" ref="I103">IFERROR(IF(INDEX(EmployeeData[Exit Reason], ROW() - 37)=0, "",INDEX(EmployeeData[Exit Reason], ROW() - 37)),"")</f>
        <v/>
      </c>
      <c r="J103" s="4" t="str" cm="1">
        <f t="array" ref="J103">IFERROR(INDEX(EmployeeData[Status], ROW() - 37), "")</f>
        <v>Active</v>
      </c>
    </row>
    <row r="104" spans="2:10" ht="19.95" customHeight="1" x14ac:dyDescent="0.3">
      <c r="B104" s="4" cm="1">
        <f t="array" ref="B104">IFERROR(INDEX(EmployeeData[Employee ID], ROW() - 37), "")</f>
        <v>1067</v>
      </c>
      <c r="C104" s="4" t="str" cm="1">
        <f t="array" ref="C104">IFERROR(INDEX(EmployeeData[Full Name], ROW() - 37), "")</f>
        <v>Ronaldo Lacson</v>
      </c>
      <c r="D104" s="4" t="str" cm="1">
        <f t="array" ref="D104">IFERROR(INDEX(EmployeeData[Department], ROW() - 37), "")</f>
        <v>Customer Support</v>
      </c>
      <c r="E104" s="4" t="str" cm="1">
        <f t="array" ref="E104">IFERROR(INDEX(EmployeeData[Gender], ROW() - 37), "")</f>
        <v>Male</v>
      </c>
      <c r="F104" s="4" cm="1">
        <f t="array" ref="F104">IFERROR(INDEX(EmployeeData[Age], ROW() - 37), "")</f>
        <v>21</v>
      </c>
      <c r="G104" s="6" cm="1">
        <f t="array" ref="G104">IFERROR(INDEX(EmployeeData[Join Date], ROW() - 37), "")</f>
        <v>44821</v>
      </c>
      <c r="H104" s="6" t="str" cm="1">
        <f t="array" ref="H104">IFERROR(IF(INDEX(EmployeeData[Exit Date], ROW() - 37)=0, "",INDEX(EmployeeData[Exit Date], ROW() - 37)),"")</f>
        <v/>
      </c>
      <c r="I104" s="4" t="str" cm="1">
        <f t="array" ref="I104">IFERROR(IF(INDEX(EmployeeData[Exit Reason], ROW() - 37)=0, "",INDEX(EmployeeData[Exit Reason], ROW() - 37)),"")</f>
        <v/>
      </c>
      <c r="J104" s="4" t="str" cm="1">
        <f t="array" ref="J104">IFERROR(INDEX(EmployeeData[Status], ROW() - 37), "")</f>
        <v>Active</v>
      </c>
    </row>
    <row r="105" spans="2:10" ht="19.95" customHeight="1" x14ac:dyDescent="0.3">
      <c r="B105" s="4" cm="1">
        <f t="array" ref="B105">IFERROR(INDEX(EmployeeData[Employee ID], ROW() - 37), "")</f>
        <v>1068</v>
      </c>
      <c r="C105" s="4" t="str" cm="1">
        <f t="array" ref="C105">IFERROR(INDEX(EmployeeData[Full Name], ROW() - 37), "")</f>
        <v>Fernando Solis</v>
      </c>
      <c r="D105" s="4" t="str" cm="1">
        <f t="array" ref="D105">IFERROR(INDEX(EmployeeData[Department], ROW() - 37), "")</f>
        <v>Marketing</v>
      </c>
      <c r="E105" s="4" t="str" cm="1">
        <f t="array" ref="E105">IFERROR(INDEX(EmployeeData[Gender], ROW() - 37), "")</f>
        <v>Other</v>
      </c>
      <c r="F105" s="4" cm="1">
        <f t="array" ref="F105">IFERROR(INDEX(EmployeeData[Age], ROW() - 37), "")</f>
        <v>30</v>
      </c>
      <c r="G105" s="6" cm="1">
        <f t="array" ref="G105">IFERROR(INDEX(EmployeeData[Join Date], ROW() - 37), "")</f>
        <v>44884</v>
      </c>
      <c r="H105" s="6" cm="1">
        <f t="array" ref="H105">IFERROR(IF(INDEX(EmployeeData[Exit Date], ROW() - 37)=0, "",INDEX(EmployeeData[Exit Date], ROW() - 37)),"")</f>
        <v>46042</v>
      </c>
      <c r="I105" s="4" t="str" cm="1">
        <f t="array" ref="I105">IFERROR(IF(INDEX(EmployeeData[Exit Reason], ROW() - 37)=0, "",INDEX(EmployeeData[Exit Reason], ROW() - 37)),"")</f>
        <v>Contract End</v>
      </c>
      <c r="J105" s="4" t="str" cm="1">
        <f t="array" ref="J105">IFERROR(INDEX(EmployeeData[Status], ROW() - 37), "")</f>
        <v>Exited</v>
      </c>
    </row>
    <row r="106" spans="2:10" ht="19.95" customHeight="1" x14ac:dyDescent="0.3">
      <c r="B106" s="4" cm="1">
        <f t="array" ref="B106">IFERROR(INDEX(EmployeeData[Employee ID], ROW() - 37), "")</f>
        <v>1069</v>
      </c>
      <c r="C106" s="4" t="str" cm="1">
        <f t="array" ref="C106">IFERROR(INDEX(EmployeeData[Full Name], ROW() - 37), "")</f>
        <v>Danilo Ang</v>
      </c>
      <c r="D106" s="4" t="str" cm="1">
        <f t="array" ref="D106">IFERROR(INDEX(EmployeeData[Department], ROW() - 37), "")</f>
        <v>Marketing</v>
      </c>
      <c r="E106" s="4" t="str" cm="1">
        <f t="array" ref="E106">IFERROR(INDEX(EmployeeData[Gender], ROW() - 37), "")</f>
        <v>Male</v>
      </c>
      <c r="F106" s="4" cm="1">
        <f t="array" ref="F106">IFERROR(INDEX(EmployeeData[Age], ROW() - 37), "")</f>
        <v>48</v>
      </c>
      <c r="G106" s="6" cm="1">
        <f t="array" ref="G106">IFERROR(INDEX(EmployeeData[Join Date], ROW() - 37), "")</f>
        <v>45527</v>
      </c>
      <c r="H106" s="6" cm="1">
        <f t="array" ref="H106">IFERROR(IF(INDEX(EmployeeData[Exit Date], ROW() - 37)=0, "",INDEX(EmployeeData[Exit Date], ROW() - 37)),"")</f>
        <v>45868</v>
      </c>
      <c r="I106" s="4" t="str" cm="1">
        <f t="array" ref="I106">IFERROR(IF(INDEX(EmployeeData[Exit Reason], ROW() - 37)=0, "",INDEX(EmployeeData[Exit Reason], ROW() - 37)),"")</f>
        <v>Resignation</v>
      </c>
      <c r="J106" s="4" t="str" cm="1">
        <f t="array" ref="J106">IFERROR(INDEX(EmployeeData[Status], ROW() - 37), "")</f>
        <v>Exited</v>
      </c>
    </row>
    <row r="107" spans="2:10" ht="19.95" customHeight="1" x14ac:dyDescent="0.3">
      <c r="B107" s="4" cm="1">
        <f t="array" ref="B107">IFERROR(INDEX(EmployeeData[Employee ID], ROW() - 37), "")</f>
        <v>1070</v>
      </c>
      <c r="C107" s="4" t="str" cm="1">
        <f t="array" ref="C107">IFERROR(INDEX(EmployeeData[Full Name], ROW() - 37), "")</f>
        <v>Marcelo Crisostomo</v>
      </c>
      <c r="D107" s="4" t="str" cm="1">
        <f t="array" ref="D107">IFERROR(INDEX(EmployeeData[Department], ROW() - 37), "")</f>
        <v>IT</v>
      </c>
      <c r="E107" s="4" t="str" cm="1">
        <f t="array" ref="E107">IFERROR(INDEX(EmployeeData[Gender], ROW() - 37), "")</f>
        <v>Male</v>
      </c>
      <c r="F107" s="4" cm="1">
        <f t="array" ref="F107">IFERROR(INDEX(EmployeeData[Age], ROW() - 37), "")</f>
        <v>45</v>
      </c>
      <c r="G107" s="6" cm="1">
        <f t="array" ref="G107">IFERROR(INDEX(EmployeeData[Join Date], ROW() - 37), "")</f>
        <v>44478</v>
      </c>
      <c r="H107" s="6" cm="1">
        <f t="array" ref="H107">IFERROR(IF(INDEX(EmployeeData[Exit Date], ROW() - 37)=0, "",INDEX(EmployeeData[Exit Date], ROW() - 37)),"")</f>
        <v>45233</v>
      </c>
      <c r="I107" s="4" t="str" cm="1">
        <f t="array" ref="I107">IFERROR(IF(INDEX(EmployeeData[Exit Reason], ROW() - 37)=0, "",INDEX(EmployeeData[Exit Reason], ROW() - 37)),"")</f>
        <v>Better Opportunity</v>
      </c>
      <c r="J107" s="4" t="str" cm="1">
        <f t="array" ref="J107">IFERROR(INDEX(EmployeeData[Status], ROW() - 37), "")</f>
        <v>Exited</v>
      </c>
    </row>
    <row r="108" spans="2:10" ht="19.95" customHeight="1" x14ac:dyDescent="0.3">
      <c r="B108" s="4" cm="1">
        <f t="array" ref="B108">IFERROR(INDEX(EmployeeData[Employee ID], ROW() - 37), "")</f>
        <v>1071</v>
      </c>
      <c r="C108" s="4" t="str" cm="1">
        <f t="array" ref="C108">IFERROR(INDEX(EmployeeData[Full Name], ROW() - 37), "")</f>
        <v>Ana Mercado Viray</v>
      </c>
      <c r="D108" s="4" t="str" cm="1">
        <f t="array" ref="D108">IFERROR(INDEX(EmployeeData[Department], ROW() - 37), "")</f>
        <v>IT</v>
      </c>
      <c r="E108" s="4" t="str" cm="1">
        <f t="array" ref="E108">IFERROR(INDEX(EmployeeData[Gender], ROW() - 37), "")</f>
        <v>Other</v>
      </c>
      <c r="F108" s="4" cm="1">
        <f t="array" ref="F108">IFERROR(INDEX(EmployeeData[Age], ROW() - 37), "")</f>
        <v>38</v>
      </c>
      <c r="G108" s="6" cm="1">
        <f t="array" ref="G108">IFERROR(INDEX(EmployeeData[Join Date], ROW() - 37), "")</f>
        <v>45377</v>
      </c>
      <c r="H108" s="6" cm="1">
        <f t="array" ref="H108">IFERROR(IF(INDEX(EmployeeData[Exit Date], ROW() - 37)=0, "",INDEX(EmployeeData[Exit Date], ROW() - 37)),"")</f>
        <v>45662</v>
      </c>
      <c r="I108" s="4" t="str" cm="1">
        <f t="array" ref="I108">IFERROR(IF(INDEX(EmployeeData[Exit Reason], ROW() - 37)=0, "",INDEX(EmployeeData[Exit Reason], ROW() - 37)),"")</f>
        <v>Better Opportunity</v>
      </c>
      <c r="J108" s="4" t="str" cm="1">
        <f t="array" ref="J108">IFERROR(INDEX(EmployeeData[Status], ROW() - 37), "")</f>
        <v>Exited</v>
      </c>
    </row>
    <row r="109" spans="2:10" ht="19.95" customHeight="1" x14ac:dyDescent="0.3">
      <c r="B109" s="4" cm="1">
        <f t="array" ref="B109">IFERROR(INDEX(EmployeeData[Employee ID], ROW() - 37), "")</f>
        <v>1072</v>
      </c>
      <c r="C109" s="4" t="str" cm="1">
        <f t="array" ref="C109">IFERROR(INDEX(EmployeeData[Full Name], ROW() - 37), "")</f>
        <v>Danilo Mercado Chua</v>
      </c>
      <c r="D109" s="4" t="str" cm="1">
        <f t="array" ref="D109">IFERROR(INDEX(EmployeeData[Department], ROW() - 37), "")</f>
        <v>HR</v>
      </c>
      <c r="E109" s="4" t="str" cm="1">
        <f t="array" ref="E109">IFERROR(INDEX(EmployeeData[Gender], ROW() - 37), "")</f>
        <v>Male</v>
      </c>
      <c r="F109" s="4" cm="1">
        <f t="array" ref="F109">IFERROR(INDEX(EmployeeData[Age], ROW() - 37), "")</f>
        <v>52</v>
      </c>
      <c r="G109" s="6" cm="1">
        <f t="array" ref="G109">IFERROR(INDEX(EmployeeData[Join Date], ROW() - 37), "")</f>
        <v>44936</v>
      </c>
      <c r="H109" s="6" t="str" cm="1">
        <f t="array" ref="H109">IFERROR(IF(INDEX(EmployeeData[Exit Date], ROW() - 37)=0, "",INDEX(EmployeeData[Exit Date], ROW() - 37)),"")</f>
        <v/>
      </c>
      <c r="I109" s="4" t="str" cm="1">
        <f t="array" ref="I109">IFERROR(IF(INDEX(EmployeeData[Exit Reason], ROW() - 37)=0, "",INDEX(EmployeeData[Exit Reason], ROW() - 37)),"")</f>
        <v/>
      </c>
      <c r="J109" s="4" t="str" cm="1">
        <f t="array" ref="J109">IFERROR(INDEX(EmployeeData[Status], ROW() - 37), "")</f>
        <v>Active</v>
      </c>
    </row>
    <row r="110" spans="2:10" ht="19.95" customHeight="1" x14ac:dyDescent="0.3">
      <c r="B110" s="4" cm="1">
        <f t="array" ref="B110">IFERROR(INDEX(EmployeeData[Employee ID], ROW() - 37), "")</f>
        <v>1073</v>
      </c>
      <c r="C110" s="4" t="str" cm="1">
        <f t="array" ref="C110">IFERROR(INDEX(EmployeeData[Full Name], ROW() - 37), "")</f>
        <v>Samuel Vega Del Rosario</v>
      </c>
      <c r="D110" s="4" t="str" cm="1">
        <f t="array" ref="D110">IFERROR(INDEX(EmployeeData[Department], ROW() - 37), "")</f>
        <v>IT</v>
      </c>
      <c r="E110" s="4" t="str" cm="1">
        <f t="array" ref="E110">IFERROR(INDEX(EmployeeData[Gender], ROW() - 37), "")</f>
        <v>Male</v>
      </c>
      <c r="F110" s="4" cm="1">
        <f t="array" ref="F110">IFERROR(INDEX(EmployeeData[Age], ROW() - 37), "")</f>
        <v>51</v>
      </c>
      <c r="G110" s="6" cm="1">
        <f t="array" ref="G110">IFERROR(INDEX(EmployeeData[Join Date], ROW() - 37), "")</f>
        <v>45368</v>
      </c>
      <c r="H110" s="6" t="str" cm="1">
        <f t="array" ref="H110">IFERROR(IF(INDEX(EmployeeData[Exit Date], ROW() - 37)=0, "",INDEX(EmployeeData[Exit Date], ROW() - 37)),"")</f>
        <v/>
      </c>
      <c r="I110" s="4" t="str" cm="1">
        <f t="array" ref="I110">IFERROR(IF(INDEX(EmployeeData[Exit Reason], ROW() - 37)=0, "",INDEX(EmployeeData[Exit Reason], ROW() - 37)),"")</f>
        <v/>
      </c>
      <c r="J110" s="4" t="str" cm="1">
        <f t="array" ref="J110">IFERROR(INDEX(EmployeeData[Status], ROW() - 37), "")</f>
        <v>Active</v>
      </c>
    </row>
    <row r="111" spans="2:10" ht="19.95" customHeight="1" x14ac:dyDescent="0.3">
      <c r="B111" s="4" cm="1">
        <f t="array" ref="B111">IFERROR(INDEX(EmployeeData[Employee ID], ROW() - 37), "")</f>
        <v>1074</v>
      </c>
      <c r="C111" s="4" t="str" cm="1">
        <f t="array" ref="C111">IFERROR(INDEX(EmployeeData[Full Name], ROW() - 37), "")</f>
        <v>Leonora Rivera</v>
      </c>
      <c r="D111" s="4" t="str" cm="1">
        <f t="array" ref="D111">IFERROR(INDEX(EmployeeData[Department], ROW() - 37), "")</f>
        <v>HR</v>
      </c>
      <c r="E111" s="4" t="str" cm="1">
        <f t="array" ref="E111">IFERROR(INDEX(EmployeeData[Gender], ROW() - 37), "")</f>
        <v>Female</v>
      </c>
      <c r="F111" s="4" cm="1">
        <f t="array" ref="F111">IFERROR(INDEX(EmployeeData[Age], ROW() - 37), "")</f>
        <v>55</v>
      </c>
      <c r="G111" s="6" cm="1">
        <f t="array" ref="G111">IFERROR(INDEX(EmployeeData[Join Date], ROW() - 37), "")</f>
        <v>44045</v>
      </c>
      <c r="H111" s="6" cm="1">
        <f t="array" ref="H111">IFERROR(IF(INDEX(EmployeeData[Exit Date], ROW() - 37)=0, "",INDEX(EmployeeData[Exit Date], ROW() - 37)),"")</f>
        <v>44923</v>
      </c>
      <c r="I111" s="4" t="str" cm="1">
        <f t="array" ref="I111">IFERROR(IF(INDEX(EmployeeData[Exit Reason], ROW() - 37)=0, "",INDEX(EmployeeData[Exit Reason], ROW() - 37)),"")</f>
        <v>Retirement</v>
      </c>
      <c r="J111" s="4" t="str" cm="1">
        <f t="array" ref="J111">IFERROR(INDEX(EmployeeData[Status], ROW() - 37), "")</f>
        <v>Exited</v>
      </c>
    </row>
    <row r="112" spans="2:10" ht="19.95" customHeight="1" x14ac:dyDescent="0.3">
      <c r="B112" s="4" cm="1">
        <f t="array" ref="B112">IFERROR(INDEX(EmployeeData[Employee ID], ROW() - 37), "")</f>
        <v>1075</v>
      </c>
      <c r="C112" s="4" t="str" cm="1">
        <f t="array" ref="C112">IFERROR(INDEX(EmployeeData[Full Name], ROW() - 37), "")</f>
        <v>Aldrin Soriano Lim</v>
      </c>
      <c r="D112" s="4" t="str" cm="1">
        <f t="array" ref="D112">IFERROR(INDEX(EmployeeData[Department], ROW() - 37), "")</f>
        <v>IT</v>
      </c>
      <c r="E112" s="4" t="str" cm="1">
        <f t="array" ref="E112">IFERROR(INDEX(EmployeeData[Gender], ROW() - 37), "")</f>
        <v>Male</v>
      </c>
      <c r="F112" s="4" cm="1">
        <f t="array" ref="F112">IFERROR(INDEX(EmployeeData[Age], ROW() - 37), "")</f>
        <v>54</v>
      </c>
      <c r="G112" s="6" cm="1">
        <f t="array" ref="G112">IFERROR(INDEX(EmployeeData[Join Date], ROW() - 37), "")</f>
        <v>45545</v>
      </c>
      <c r="H112" s="6" cm="1">
        <f t="array" ref="H112">IFERROR(IF(INDEX(EmployeeData[Exit Date], ROW() - 37)=0, "",INDEX(EmployeeData[Exit Date], ROW() - 37)),"")</f>
        <v>45737</v>
      </c>
      <c r="I112" s="4" t="str" cm="1">
        <f t="array" ref="I112">IFERROR(IF(INDEX(EmployeeData[Exit Reason], ROW() - 37)=0, "",INDEX(EmployeeData[Exit Reason], ROW() - 37)),"")</f>
        <v>Resignation</v>
      </c>
      <c r="J112" s="4" t="str" cm="1">
        <f t="array" ref="J112">IFERROR(INDEX(EmployeeData[Status], ROW() - 37), "")</f>
        <v>Exited</v>
      </c>
    </row>
    <row r="113" spans="2:10" ht="19.95" customHeight="1" x14ac:dyDescent="0.3">
      <c r="B113" s="4" cm="1">
        <f t="array" ref="B113">IFERROR(INDEX(EmployeeData[Employee ID], ROW() - 37), "")</f>
        <v>1076</v>
      </c>
      <c r="C113" s="4" t="str" cm="1">
        <f t="array" ref="C113">IFERROR(INDEX(EmployeeData[Full Name], ROW() - 37), "")</f>
        <v>Pete Chua</v>
      </c>
      <c r="D113" s="4" t="str" cm="1">
        <f t="array" ref="D113">IFERROR(INDEX(EmployeeData[Department], ROW() - 37), "")</f>
        <v>Customer Support</v>
      </c>
      <c r="E113" s="4" t="str" cm="1">
        <f t="array" ref="E113">IFERROR(INDEX(EmployeeData[Gender], ROW() - 37), "")</f>
        <v>Male</v>
      </c>
      <c r="F113" s="4" cm="1">
        <f t="array" ref="F113">IFERROR(INDEX(EmployeeData[Age], ROW() - 37), "")</f>
        <v>38</v>
      </c>
      <c r="G113" s="6" cm="1">
        <f t="array" ref="G113">IFERROR(INDEX(EmployeeData[Join Date], ROW() - 37), "")</f>
        <v>43287</v>
      </c>
      <c r="H113" s="6" t="str" cm="1">
        <f t="array" ref="H113">IFERROR(IF(INDEX(EmployeeData[Exit Date], ROW() - 37)=0, "",INDEX(EmployeeData[Exit Date], ROW() - 37)),"")</f>
        <v/>
      </c>
      <c r="I113" s="4" t="str" cm="1">
        <f t="array" ref="I113">IFERROR(IF(INDEX(EmployeeData[Exit Reason], ROW() - 37)=0, "",INDEX(EmployeeData[Exit Reason], ROW() - 37)),"")</f>
        <v/>
      </c>
      <c r="J113" s="4" t="str" cm="1">
        <f t="array" ref="J113">IFERROR(INDEX(EmployeeData[Status], ROW() - 37), "")</f>
        <v>Active</v>
      </c>
    </row>
    <row r="114" spans="2:10" ht="19.95" customHeight="1" x14ac:dyDescent="0.3">
      <c r="B114" s="4" cm="1">
        <f t="array" ref="B114">IFERROR(INDEX(EmployeeData[Employee ID], ROW() - 37), "")</f>
        <v>1077</v>
      </c>
      <c r="C114" s="4" t="str" cm="1">
        <f t="array" ref="C114">IFERROR(INDEX(EmployeeData[Full Name], ROW() - 37), "")</f>
        <v>Maricel Uy Co</v>
      </c>
      <c r="D114" s="4" t="str" cm="1">
        <f t="array" ref="D114">IFERROR(INDEX(EmployeeData[Department], ROW() - 37), "")</f>
        <v>Customer Support</v>
      </c>
      <c r="E114" s="4" t="str" cm="1">
        <f t="array" ref="E114">IFERROR(INDEX(EmployeeData[Gender], ROW() - 37), "")</f>
        <v>Other</v>
      </c>
      <c r="F114" s="4" cm="1">
        <f t="array" ref="F114">IFERROR(INDEX(EmployeeData[Age], ROW() - 37), "")</f>
        <v>52</v>
      </c>
      <c r="G114" s="6" cm="1">
        <f t="array" ref="G114">IFERROR(INDEX(EmployeeData[Join Date], ROW() - 37), "")</f>
        <v>43521</v>
      </c>
      <c r="H114" s="6" t="str" cm="1">
        <f t="array" ref="H114">IFERROR(IF(INDEX(EmployeeData[Exit Date], ROW() - 37)=0, "",INDEX(EmployeeData[Exit Date], ROW() - 37)),"")</f>
        <v/>
      </c>
      <c r="I114" s="4" t="str" cm="1">
        <f t="array" ref="I114">IFERROR(IF(INDEX(EmployeeData[Exit Reason], ROW() - 37)=0, "",INDEX(EmployeeData[Exit Reason], ROW() - 37)),"")</f>
        <v/>
      </c>
      <c r="J114" s="4" t="str" cm="1">
        <f t="array" ref="J114">IFERROR(INDEX(EmployeeData[Status], ROW() - 37), "")</f>
        <v>Active</v>
      </c>
    </row>
    <row r="115" spans="2:10" ht="19.95" customHeight="1" x14ac:dyDescent="0.3">
      <c r="B115" s="4" cm="1">
        <f t="array" ref="B115">IFERROR(INDEX(EmployeeData[Employee ID], ROW() - 37), "")</f>
        <v>1078</v>
      </c>
      <c r="C115" s="4" t="str" cm="1">
        <f t="array" ref="C115">IFERROR(INDEX(EmployeeData[Full Name], ROW() - 37), "")</f>
        <v>Jordan Macapagal</v>
      </c>
      <c r="D115" s="4" t="str" cm="1">
        <f t="array" ref="D115">IFERROR(INDEX(EmployeeData[Department], ROW() - 37), "")</f>
        <v>IT</v>
      </c>
      <c r="E115" s="4" t="str" cm="1">
        <f t="array" ref="E115">IFERROR(INDEX(EmployeeData[Gender], ROW() - 37), "")</f>
        <v>Other</v>
      </c>
      <c r="F115" s="4" cm="1">
        <f t="array" ref="F115">IFERROR(INDEX(EmployeeData[Age], ROW() - 37), "")</f>
        <v>37</v>
      </c>
      <c r="G115" s="6" cm="1">
        <f t="array" ref="G115">IFERROR(INDEX(EmployeeData[Join Date], ROW() - 37), "")</f>
        <v>45057</v>
      </c>
      <c r="H115" s="6" cm="1">
        <f t="array" ref="H115">IFERROR(IF(INDEX(EmployeeData[Exit Date], ROW() - 37)=0, "",INDEX(EmployeeData[Exit Date], ROW() - 37)),"")</f>
        <v>45280</v>
      </c>
      <c r="I115" s="4" t="str" cm="1">
        <f t="array" ref="I115">IFERROR(IF(INDEX(EmployeeData[Exit Reason], ROW() - 37)=0, "",INDEX(EmployeeData[Exit Reason], ROW() - 37)),"")</f>
        <v>Termination</v>
      </c>
      <c r="J115" s="4" t="str" cm="1">
        <f t="array" ref="J115">IFERROR(INDEX(EmployeeData[Status], ROW() - 37), "")</f>
        <v>Exited</v>
      </c>
    </row>
    <row r="116" spans="2:10" ht="19.95" customHeight="1" x14ac:dyDescent="0.3">
      <c r="B116" s="4" cm="1">
        <f t="array" ref="B116">IFERROR(INDEX(EmployeeData[Employee ID], ROW() - 37), "")</f>
        <v>1079</v>
      </c>
      <c r="C116" s="4" t="str" cm="1">
        <f t="array" ref="C116">IFERROR(INDEX(EmployeeData[Full Name], ROW() - 37), "")</f>
        <v>Yvonne Ramirez Quiambao</v>
      </c>
      <c r="D116" s="4" t="str" cm="1">
        <f t="array" ref="D116">IFERROR(INDEX(EmployeeData[Department], ROW() - 37), "")</f>
        <v>Customer Support</v>
      </c>
      <c r="E116" s="4" t="str" cm="1">
        <f t="array" ref="E116">IFERROR(INDEX(EmployeeData[Gender], ROW() - 37), "")</f>
        <v>Female</v>
      </c>
      <c r="F116" s="4" cm="1">
        <f t="array" ref="F116">IFERROR(INDEX(EmployeeData[Age], ROW() - 37), "")</f>
        <v>57</v>
      </c>
      <c r="G116" s="6" cm="1">
        <f t="array" ref="G116">IFERROR(INDEX(EmployeeData[Join Date], ROW() - 37), "")</f>
        <v>44345</v>
      </c>
      <c r="H116" s="6" cm="1">
        <f t="array" ref="H116">IFERROR(IF(INDEX(EmployeeData[Exit Date], ROW() - 37)=0, "",INDEX(EmployeeData[Exit Date], ROW() - 37)),"")</f>
        <v>44943</v>
      </c>
      <c r="I116" s="4" t="str" cm="1">
        <f t="array" ref="I116">IFERROR(IF(INDEX(EmployeeData[Exit Reason], ROW() - 37)=0, "",INDEX(EmployeeData[Exit Reason], ROW() - 37)),"")</f>
        <v>Better Opportunity</v>
      </c>
      <c r="J116" s="4" t="str" cm="1">
        <f t="array" ref="J116">IFERROR(INDEX(EmployeeData[Status], ROW() - 37), "")</f>
        <v>Exited</v>
      </c>
    </row>
    <row r="117" spans="2:10" ht="19.95" customHeight="1" x14ac:dyDescent="0.3">
      <c r="B117" s="4" cm="1">
        <f t="array" ref="B117">IFERROR(INDEX(EmployeeData[Employee ID], ROW() - 37), "")</f>
        <v>1080</v>
      </c>
      <c r="C117" s="4" t="str" cm="1">
        <f t="array" ref="C117">IFERROR(INDEX(EmployeeData[Full Name], ROW() - 37), "")</f>
        <v>Samuel Bautista Yap</v>
      </c>
      <c r="D117" s="4" t="str" cm="1">
        <f t="array" ref="D117">IFERROR(INDEX(EmployeeData[Department], ROW() - 37), "")</f>
        <v>HR</v>
      </c>
      <c r="E117" s="4" t="str" cm="1">
        <f t="array" ref="E117">IFERROR(INDEX(EmployeeData[Gender], ROW() - 37), "")</f>
        <v>Male</v>
      </c>
      <c r="F117" s="4" cm="1">
        <f t="array" ref="F117">IFERROR(INDEX(EmployeeData[Age], ROW() - 37), "")</f>
        <v>49</v>
      </c>
      <c r="G117" s="6" cm="1">
        <f t="array" ref="G117">IFERROR(INDEX(EmployeeData[Join Date], ROW() - 37), "")</f>
        <v>44318</v>
      </c>
      <c r="H117" s="6" t="str" cm="1">
        <f t="array" ref="H117">IFERROR(IF(INDEX(EmployeeData[Exit Date], ROW() - 37)=0, "",INDEX(EmployeeData[Exit Date], ROW() - 37)),"")</f>
        <v/>
      </c>
      <c r="I117" s="4" t="str" cm="1">
        <f t="array" ref="I117">IFERROR(IF(INDEX(EmployeeData[Exit Reason], ROW() - 37)=0, "",INDEX(EmployeeData[Exit Reason], ROW() - 37)),"")</f>
        <v/>
      </c>
      <c r="J117" s="4" t="str" cm="1">
        <f t="array" ref="J117">IFERROR(INDEX(EmployeeData[Status], ROW() - 37), "")</f>
        <v>Active</v>
      </c>
    </row>
    <row r="118" spans="2:10" ht="19.95" customHeight="1" x14ac:dyDescent="0.3">
      <c r="B118" s="4" cm="1">
        <f t="array" ref="B118">IFERROR(INDEX(EmployeeData[Employee ID], ROW() - 37), "")</f>
        <v>1081</v>
      </c>
      <c r="C118" s="4" t="str" cm="1">
        <f t="array" ref="C118">IFERROR(INDEX(EmployeeData[Full Name], ROW() - 37), "")</f>
        <v>Eduardo Lopez Soriano</v>
      </c>
      <c r="D118" s="4" t="str" cm="1">
        <f t="array" ref="D118">IFERROR(INDEX(EmployeeData[Department], ROW() - 37), "")</f>
        <v>Marketing</v>
      </c>
      <c r="E118" s="4" t="str" cm="1">
        <f t="array" ref="E118">IFERROR(INDEX(EmployeeData[Gender], ROW() - 37), "")</f>
        <v>Other</v>
      </c>
      <c r="F118" s="4" cm="1">
        <f t="array" ref="F118">IFERROR(INDEX(EmployeeData[Age], ROW() - 37), "")</f>
        <v>34</v>
      </c>
      <c r="G118" s="6" cm="1">
        <f t="array" ref="G118">IFERROR(INDEX(EmployeeData[Join Date], ROW() - 37), "")</f>
        <v>45663</v>
      </c>
      <c r="H118" s="6" cm="1">
        <f t="array" ref="H118">IFERROR(IF(INDEX(EmployeeData[Exit Date], ROW() - 37)=0, "",INDEX(EmployeeData[Exit Date], ROW() - 37)),"")</f>
        <v>46091</v>
      </c>
      <c r="I118" s="4" t="str" cm="1">
        <f t="array" ref="I118">IFERROR(IF(INDEX(EmployeeData[Exit Reason], ROW() - 37)=0, "",INDEX(EmployeeData[Exit Reason], ROW() - 37)),"")</f>
        <v>Better Opportunity</v>
      </c>
      <c r="J118" s="4" t="str" cm="1">
        <f t="array" ref="J118">IFERROR(INDEX(EmployeeData[Status], ROW() - 37), "")</f>
        <v>Exited</v>
      </c>
    </row>
    <row r="119" spans="2:10" ht="19.95" customHeight="1" x14ac:dyDescent="0.3">
      <c r="B119" s="4" cm="1">
        <f t="array" ref="B119">IFERROR(INDEX(EmployeeData[Employee ID], ROW() - 37), "")</f>
        <v>1082</v>
      </c>
      <c r="C119" s="4" t="str" cm="1">
        <f t="array" ref="C119">IFERROR(INDEX(EmployeeData[Full Name], ROW() - 37), "")</f>
        <v>Alvin Villanueva</v>
      </c>
      <c r="D119" s="4" t="str" cm="1">
        <f t="array" ref="D119">IFERROR(INDEX(EmployeeData[Department], ROW() - 37), "")</f>
        <v>Customer Support</v>
      </c>
      <c r="E119" s="4" t="str" cm="1">
        <f t="array" ref="E119">IFERROR(INDEX(EmployeeData[Gender], ROW() - 37), "")</f>
        <v>Male</v>
      </c>
      <c r="F119" s="4" cm="1">
        <f t="array" ref="F119">IFERROR(INDEX(EmployeeData[Age], ROW() - 37), "")</f>
        <v>51</v>
      </c>
      <c r="G119" s="6" cm="1">
        <f t="array" ref="G119">IFERROR(INDEX(EmployeeData[Join Date], ROW() - 37), "")</f>
        <v>44293</v>
      </c>
      <c r="H119" s="6" cm="1">
        <f t="array" ref="H119">IFERROR(IF(INDEX(EmployeeData[Exit Date], ROW() - 37)=0, "",INDEX(EmployeeData[Exit Date], ROW() - 37)),"")</f>
        <v>44973</v>
      </c>
      <c r="I119" s="4" t="str" cm="1">
        <f t="array" ref="I119">IFERROR(IF(INDEX(EmployeeData[Exit Reason], ROW() - 37)=0, "",INDEX(EmployeeData[Exit Reason], ROW() - 37)),"")</f>
        <v>Personal Reasons</v>
      </c>
      <c r="J119" s="4" t="str" cm="1">
        <f t="array" ref="J119">IFERROR(INDEX(EmployeeData[Status], ROW() - 37), "")</f>
        <v>Exited</v>
      </c>
    </row>
    <row r="120" spans="2:10" ht="19.95" customHeight="1" x14ac:dyDescent="0.3">
      <c r="B120" s="4" cm="1">
        <f t="array" ref="B120">IFERROR(INDEX(EmployeeData[Employee ID], ROW() - 37), "")</f>
        <v>1083</v>
      </c>
      <c r="C120" s="4" t="str" cm="1">
        <f t="array" ref="C120">IFERROR(INDEX(EmployeeData[Full Name], ROW() - 37), "")</f>
        <v>Miguel Ramirez Estrada</v>
      </c>
      <c r="D120" s="4" t="str" cm="1">
        <f t="array" ref="D120">IFERROR(INDEX(EmployeeData[Department], ROW() - 37), "")</f>
        <v>Finance</v>
      </c>
      <c r="E120" s="4" t="str" cm="1">
        <f t="array" ref="E120">IFERROR(INDEX(EmployeeData[Gender], ROW() - 37), "")</f>
        <v>Other</v>
      </c>
      <c r="F120" s="4" cm="1">
        <f t="array" ref="F120">IFERROR(INDEX(EmployeeData[Age], ROW() - 37), "")</f>
        <v>58</v>
      </c>
      <c r="G120" s="6" cm="1">
        <f t="array" ref="G120">IFERROR(INDEX(EmployeeData[Join Date], ROW() - 37), "")</f>
        <v>45809</v>
      </c>
      <c r="H120" s="6" t="str" cm="1">
        <f t="array" ref="H120">IFERROR(IF(INDEX(EmployeeData[Exit Date], ROW() - 37)=0, "",INDEX(EmployeeData[Exit Date], ROW() - 37)),"")</f>
        <v/>
      </c>
      <c r="I120" s="4" t="str" cm="1">
        <f t="array" ref="I120">IFERROR(IF(INDEX(EmployeeData[Exit Reason], ROW() - 37)=0, "",INDEX(EmployeeData[Exit Reason], ROW() - 37)),"")</f>
        <v/>
      </c>
      <c r="J120" s="4" t="str" cm="1">
        <f t="array" ref="J120">IFERROR(INDEX(EmployeeData[Status], ROW() - 37), "")</f>
        <v>Active</v>
      </c>
    </row>
    <row r="121" spans="2:10" ht="19.95" customHeight="1" x14ac:dyDescent="0.3">
      <c r="B121" s="4" cm="1">
        <f t="array" ref="B121">IFERROR(INDEX(EmployeeData[Employee ID], ROW() - 37), "")</f>
        <v>1084</v>
      </c>
      <c r="C121" s="4" t="str" cm="1">
        <f t="array" ref="C121">IFERROR(INDEX(EmployeeData[Full Name], ROW() - 37), "")</f>
        <v>Maricel Go Co</v>
      </c>
      <c r="D121" s="4" t="str" cm="1">
        <f t="array" ref="D121">IFERROR(INDEX(EmployeeData[Department], ROW() - 37), "")</f>
        <v>HR</v>
      </c>
      <c r="E121" s="4" t="str" cm="1">
        <f t="array" ref="E121">IFERROR(INDEX(EmployeeData[Gender], ROW() - 37), "")</f>
        <v>Other</v>
      </c>
      <c r="F121" s="4" cm="1">
        <f t="array" ref="F121">IFERROR(INDEX(EmployeeData[Age], ROW() - 37), "")</f>
        <v>30</v>
      </c>
      <c r="G121" s="6" cm="1">
        <f t="array" ref="G121">IFERROR(INDEX(EmployeeData[Join Date], ROW() - 37), "")</f>
        <v>43393</v>
      </c>
      <c r="H121" s="6" cm="1">
        <f t="array" ref="H121">IFERROR(IF(INDEX(EmployeeData[Exit Date], ROW() - 37)=0, "",INDEX(EmployeeData[Exit Date], ROW() - 37)),"")</f>
        <v>44742</v>
      </c>
      <c r="I121" s="4" t="str" cm="1">
        <f t="array" ref="I121">IFERROR(IF(INDEX(EmployeeData[Exit Reason], ROW() - 37)=0, "",INDEX(EmployeeData[Exit Reason], ROW() - 37)),"")</f>
        <v>Relocation</v>
      </c>
      <c r="J121" s="4" t="str" cm="1">
        <f t="array" ref="J121">IFERROR(INDEX(EmployeeData[Status], ROW() - 37), "")</f>
        <v>Exited</v>
      </c>
    </row>
    <row r="122" spans="2:10" ht="19.95" customHeight="1" x14ac:dyDescent="0.3">
      <c r="B122" s="4" cm="1">
        <f t="array" ref="B122">IFERROR(INDEX(EmployeeData[Employee ID], ROW() - 37), "")</f>
        <v>1085</v>
      </c>
      <c r="C122" s="4" t="str" cm="1">
        <f t="array" ref="C122">IFERROR(INDEX(EmployeeData[Full Name], ROW() - 37), "")</f>
        <v>Luisa Sy Ramos</v>
      </c>
      <c r="D122" s="4" t="str" cm="1">
        <f t="array" ref="D122">IFERROR(INDEX(EmployeeData[Department], ROW() - 37), "")</f>
        <v>HR</v>
      </c>
      <c r="E122" s="4" t="str" cm="1">
        <f t="array" ref="E122">IFERROR(INDEX(EmployeeData[Gender], ROW() - 37), "")</f>
        <v>Other</v>
      </c>
      <c r="F122" s="4" cm="1">
        <f t="array" ref="F122">IFERROR(INDEX(EmployeeData[Age], ROW() - 37), "")</f>
        <v>38</v>
      </c>
      <c r="G122" s="6" cm="1">
        <f t="array" ref="G122">IFERROR(INDEX(EmployeeData[Join Date], ROW() - 37), "")</f>
        <v>45150</v>
      </c>
      <c r="H122" s="6" t="str" cm="1">
        <f t="array" ref="H122">IFERROR(IF(INDEX(EmployeeData[Exit Date], ROW() - 37)=0, "",INDEX(EmployeeData[Exit Date], ROW() - 37)),"")</f>
        <v/>
      </c>
      <c r="I122" s="4" t="str" cm="1">
        <f t="array" ref="I122">IFERROR(IF(INDEX(EmployeeData[Exit Reason], ROW() - 37)=0, "",INDEX(EmployeeData[Exit Reason], ROW() - 37)),"")</f>
        <v/>
      </c>
      <c r="J122" s="4" t="str" cm="1">
        <f t="array" ref="J122">IFERROR(INDEX(EmployeeData[Status], ROW() - 37), "")</f>
        <v>Active</v>
      </c>
    </row>
    <row r="123" spans="2:10" ht="19.95" customHeight="1" x14ac:dyDescent="0.3">
      <c r="B123" s="4" cm="1">
        <f t="array" ref="B123">IFERROR(INDEX(EmployeeData[Employee ID], ROW() - 37), "")</f>
        <v>1086</v>
      </c>
      <c r="C123" s="4" t="str" cm="1">
        <f t="array" ref="C123">IFERROR(INDEX(EmployeeData[Full Name], ROW() - 37), "")</f>
        <v>Ulysses Gonzales Macapagal</v>
      </c>
      <c r="D123" s="4" t="str" cm="1">
        <f t="array" ref="D123">IFERROR(INDEX(EmployeeData[Department], ROW() - 37), "")</f>
        <v>HR</v>
      </c>
      <c r="E123" s="4" t="str" cm="1">
        <f t="array" ref="E123">IFERROR(INDEX(EmployeeData[Gender], ROW() - 37), "")</f>
        <v>Male</v>
      </c>
      <c r="F123" s="4" cm="1">
        <f t="array" ref="F123">IFERROR(INDEX(EmployeeData[Age], ROW() - 37), "")</f>
        <v>22</v>
      </c>
      <c r="G123" s="6" cm="1">
        <f t="array" ref="G123">IFERROR(INDEX(EmployeeData[Join Date], ROW() - 37), "")</f>
        <v>43475</v>
      </c>
      <c r="H123" s="6" cm="1">
        <f t="array" ref="H123">IFERROR(IF(INDEX(EmployeeData[Exit Date], ROW() - 37)=0, "",INDEX(EmployeeData[Exit Date], ROW() - 37)),"")</f>
        <v>43649</v>
      </c>
      <c r="I123" s="4" t="str" cm="1">
        <f t="array" ref="I123">IFERROR(IF(INDEX(EmployeeData[Exit Reason], ROW() - 37)=0, "",INDEX(EmployeeData[Exit Reason], ROW() - 37)),"")</f>
        <v>Contract End</v>
      </c>
      <c r="J123" s="4" t="str" cm="1">
        <f t="array" ref="J123">IFERROR(INDEX(EmployeeData[Status], ROW() - 37), "")</f>
        <v>Exited</v>
      </c>
    </row>
    <row r="124" spans="2:10" ht="19.95" customHeight="1" x14ac:dyDescent="0.3">
      <c r="B124" s="4" cm="1">
        <f t="array" ref="B124">IFERROR(INDEX(EmployeeData[Employee ID], ROW() - 37), "")</f>
        <v>1087</v>
      </c>
      <c r="C124" s="4" t="str" cm="1">
        <f t="array" ref="C124">IFERROR(INDEX(EmployeeData[Full Name], ROW() - 37), "")</f>
        <v>Timothy Zulueta</v>
      </c>
      <c r="D124" s="4" t="str" cm="1">
        <f t="array" ref="D124">IFERROR(INDEX(EmployeeData[Department], ROW() - 37), "")</f>
        <v>Marketing</v>
      </c>
      <c r="E124" s="4" t="str" cm="1">
        <f t="array" ref="E124">IFERROR(INDEX(EmployeeData[Gender], ROW() - 37), "")</f>
        <v>Male</v>
      </c>
      <c r="F124" s="4" cm="1">
        <f t="array" ref="F124">IFERROR(INDEX(EmployeeData[Age], ROW() - 37), "")</f>
        <v>38</v>
      </c>
      <c r="G124" s="6" cm="1">
        <f t="array" ref="G124">IFERROR(INDEX(EmployeeData[Join Date], ROW() - 37), "")</f>
        <v>43844</v>
      </c>
      <c r="H124" s="6" t="str" cm="1">
        <f t="array" ref="H124">IFERROR(IF(INDEX(EmployeeData[Exit Date], ROW() - 37)=0, "",INDEX(EmployeeData[Exit Date], ROW() - 37)),"")</f>
        <v/>
      </c>
      <c r="I124" s="4" t="str" cm="1">
        <f t="array" ref="I124">IFERROR(IF(INDEX(EmployeeData[Exit Reason], ROW() - 37)=0, "",INDEX(EmployeeData[Exit Reason], ROW() - 37)),"")</f>
        <v/>
      </c>
      <c r="J124" s="4" t="str" cm="1">
        <f t="array" ref="J124">IFERROR(INDEX(EmployeeData[Status], ROW() - 37), "")</f>
        <v>Active</v>
      </c>
    </row>
    <row r="125" spans="2:10" ht="19.95" customHeight="1" x14ac:dyDescent="0.3">
      <c r="B125" s="4" cm="1">
        <f t="array" ref="B125">IFERROR(INDEX(EmployeeData[Employee ID], ROW() - 37), "")</f>
        <v>1088</v>
      </c>
      <c r="C125" s="4" t="str" cm="1">
        <f t="array" ref="C125">IFERROR(INDEX(EmployeeData[Full Name], ROW() - 37), "")</f>
        <v>Francis Bondoc</v>
      </c>
      <c r="D125" s="4" t="str" cm="1">
        <f t="array" ref="D125">IFERROR(INDEX(EmployeeData[Department], ROW() - 37), "")</f>
        <v>Finance</v>
      </c>
      <c r="E125" s="4" t="str" cm="1">
        <f t="array" ref="E125">IFERROR(INDEX(EmployeeData[Gender], ROW() - 37), "")</f>
        <v>Male</v>
      </c>
      <c r="F125" s="4" cm="1">
        <f t="array" ref="F125">IFERROR(INDEX(EmployeeData[Age], ROW() - 37), "")</f>
        <v>47</v>
      </c>
      <c r="G125" s="6" cm="1">
        <f t="array" ref="G125">IFERROR(INDEX(EmployeeData[Join Date], ROW() - 37), "")</f>
        <v>44466</v>
      </c>
      <c r="H125" s="6" cm="1">
        <f t="array" ref="H125">IFERROR(IF(INDEX(EmployeeData[Exit Date], ROW() - 37)=0, "",INDEX(EmployeeData[Exit Date], ROW() - 37)),"")</f>
        <v>44770</v>
      </c>
      <c r="I125" s="4" t="str" cm="1">
        <f t="array" ref="I125">IFERROR(IF(INDEX(EmployeeData[Exit Reason], ROW() - 37)=0, "",INDEX(EmployeeData[Exit Reason], ROW() - 37)),"")</f>
        <v>Resignation</v>
      </c>
      <c r="J125" s="4" t="str" cm="1">
        <f t="array" ref="J125">IFERROR(INDEX(EmployeeData[Status], ROW() - 37), "")</f>
        <v>Exited</v>
      </c>
    </row>
    <row r="126" spans="2:10" ht="19.95" customHeight="1" x14ac:dyDescent="0.3">
      <c r="B126" s="4" cm="1">
        <f t="array" ref="B126">IFERROR(INDEX(EmployeeData[Employee ID], ROW() - 37), "")</f>
        <v>1089</v>
      </c>
      <c r="C126" s="4" t="str" cm="1">
        <f t="array" ref="C126">IFERROR(INDEX(EmployeeData[Full Name], ROW() - 37), "")</f>
        <v>Rodel Tan Go</v>
      </c>
      <c r="D126" s="4" t="str" cm="1">
        <f t="array" ref="D126">IFERROR(INDEX(EmployeeData[Department], ROW() - 37), "")</f>
        <v>IT</v>
      </c>
      <c r="E126" s="4" t="str" cm="1">
        <f t="array" ref="E126">IFERROR(INDEX(EmployeeData[Gender], ROW() - 37), "")</f>
        <v>Other</v>
      </c>
      <c r="F126" s="4" cm="1">
        <f t="array" ref="F126">IFERROR(INDEX(EmployeeData[Age], ROW() - 37), "")</f>
        <v>56</v>
      </c>
      <c r="G126" s="6" cm="1">
        <f t="array" ref="G126">IFERROR(INDEX(EmployeeData[Join Date], ROW() - 37), "")</f>
        <v>43251</v>
      </c>
      <c r="H126" s="6" t="str" cm="1">
        <f t="array" ref="H126">IFERROR(IF(INDEX(EmployeeData[Exit Date], ROW() - 37)=0, "",INDEX(EmployeeData[Exit Date], ROW() - 37)),"")</f>
        <v/>
      </c>
      <c r="I126" s="4" t="str" cm="1">
        <f t="array" ref="I126">IFERROR(IF(INDEX(EmployeeData[Exit Reason], ROW() - 37)=0, "",INDEX(EmployeeData[Exit Reason], ROW() - 37)),"")</f>
        <v/>
      </c>
      <c r="J126" s="4" t="str" cm="1">
        <f t="array" ref="J126">IFERROR(INDEX(EmployeeData[Status], ROW() - 37), "")</f>
        <v>Active</v>
      </c>
    </row>
    <row r="127" spans="2:10" ht="19.95" customHeight="1" x14ac:dyDescent="0.3">
      <c r="B127" s="4" cm="1">
        <f t="array" ref="B127">IFERROR(INDEX(EmployeeData[Employee ID], ROW() - 37), "")</f>
        <v>1090</v>
      </c>
      <c r="C127" s="4" t="str" cm="1">
        <f t="array" ref="C127">IFERROR(INDEX(EmployeeData[Full Name], ROW() - 37), "")</f>
        <v>Carmen Santiago Bondoc</v>
      </c>
      <c r="D127" s="4" t="str" cm="1">
        <f t="array" ref="D127">IFERROR(INDEX(EmployeeData[Department], ROW() - 37), "")</f>
        <v>Sales</v>
      </c>
      <c r="E127" s="4" t="str" cm="1">
        <f t="array" ref="E127">IFERROR(INDEX(EmployeeData[Gender], ROW() - 37), "")</f>
        <v>Other</v>
      </c>
      <c r="F127" s="4" cm="1">
        <f t="array" ref="F127">IFERROR(INDEX(EmployeeData[Age], ROW() - 37), "")</f>
        <v>21</v>
      </c>
      <c r="G127" s="6" cm="1">
        <f t="array" ref="G127">IFERROR(INDEX(EmployeeData[Join Date], ROW() - 37), "")</f>
        <v>45794</v>
      </c>
      <c r="H127" s="6" t="str" cm="1">
        <f t="array" ref="H127">IFERROR(IF(INDEX(EmployeeData[Exit Date], ROW() - 37)=0, "",INDEX(EmployeeData[Exit Date], ROW() - 37)),"")</f>
        <v/>
      </c>
      <c r="I127" s="4" t="str" cm="1">
        <f t="array" ref="I127">IFERROR(IF(INDEX(EmployeeData[Exit Reason], ROW() - 37)=0, "",INDEX(EmployeeData[Exit Reason], ROW() - 37)),"")</f>
        <v/>
      </c>
      <c r="J127" s="4" t="str" cm="1">
        <f t="array" ref="J127">IFERROR(INDEX(EmployeeData[Status], ROW() - 37), "")</f>
        <v>Active</v>
      </c>
    </row>
    <row r="128" spans="2:10" ht="19.95" customHeight="1" x14ac:dyDescent="0.3">
      <c r="B128" s="4" cm="1">
        <f t="array" ref="B128">IFERROR(INDEX(EmployeeData[Employee ID], ROW() - 37), "")</f>
        <v>1091</v>
      </c>
      <c r="C128" s="4" t="str" cm="1">
        <f t="array" ref="C128">IFERROR(INDEX(EmployeeData[Full Name], ROW() - 37), "")</f>
        <v>Victor Reyes Jimenez</v>
      </c>
      <c r="D128" s="4" t="str" cm="1">
        <f t="array" ref="D128">IFERROR(INDEX(EmployeeData[Department], ROW() - 37), "")</f>
        <v>Marketing</v>
      </c>
      <c r="E128" s="4" t="str" cm="1">
        <f t="array" ref="E128">IFERROR(INDEX(EmployeeData[Gender], ROW() - 37), "")</f>
        <v>Male</v>
      </c>
      <c r="F128" s="4" cm="1">
        <f t="array" ref="F128">IFERROR(INDEX(EmployeeData[Age], ROW() - 37), "")</f>
        <v>49</v>
      </c>
      <c r="G128" s="6" cm="1">
        <f t="array" ref="G128">IFERROR(INDEX(EmployeeData[Join Date], ROW() - 37), "")</f>
        <v>43312</v>
      </c>
      <c r="H128" s="6" cm="1">
        <f t="array" ref="H128">IFERROR(IF(INDEX(EmployeeData[Exit Date], ROW() - 37)=0, "",INDEX(EmployeeData[Exit Date], ROW() - 37)),"")</f>
        <v>43938</v>
      </c>
      <c r="I128" s="4" t="str" cm="1">
        <f t="array" ref="I128">IFERROR(IF(INDEX(EmployeeData[Exit Reason], ROW() - 37)=0, "",INDEX(EmployeeData[Exit Reason], ROW() - 37)),"")</f>
        <v>Contract End</v>
      </c>
      <c r="J128" s="4" t="str" cm="1">
        <f t="array" ref="J128">IFERROR(INDEX(EmployeeData[Status], ROW() - 37), "")</f>
        <v>Exited</v>
      </c>
    </row>
    <row r="129" spans="2:10" ht="19.95" customHeight="1" x14ac:dyDescent="0.3">
      <c r="B129" s="4" cm="1">
        <f t="array" ref="B129">IFERROR(INDEX(EmployeeData[Employee ID], ROW() - 37), "")</f>
        <v>1092</v>
      </c>
      <c r="C129" s="4" t="str" cm="1">
        <f t="array" ref="C129">IFERROR(INDEX(EmployeeData[Full Name], ROW() - 37), "")</f>
        <v>Danilo Tan</v>
      </c>
      <c r="D129" s="4" t="str" cm="1">
        <f t="array" ref="D129">IFERROR(INDEX(EmployeeData[Department], ROW() - 37), "")</f>
        <v>Finance</v>
      </c>
      <c r="E129" s="4" t="str" cm="1">
        <f t="array" ref="E129">IFERROR(INDEX(EmployeeData[Gender], ROW() - 37), "")</f>
        <v>Male</v>
      </c>
      <c r="F129" s="4" cm="1">
        <f t="array" ref="F129">IFERROR(INDEX(EmployeeData[Age], ROW() - 37), "")</f>
        <v>36</v>
      </c>
      <c r="G129" s="6" cm="1">
        <f t="array" ref="G129">IFERROR(INDEX(EmployeeData[Join Date], ROW() - 37), "")</f>
        <v>43749</v>
      </c>
      <c r="H129" s="6" cm="1">
        <f t="array" ref="H129">IFERROR(IF(INDEX(EmployeeData[Exit Date], ROW() - 37)=0, "",INDEX(EmployeeData[Exit Date], ROW() - 37)),"")</f>
        <v>43895</v>
      </c>
      <c r="I129" s="4" t="str" cm="1">
        <f t="array" ref="I129">IFERROR(IF(INDEX(EmployeeData[Exit Reason], ROW() - 37)=0, "",INDEX(EmployeeData[Exit Reason], ROW() - 37)),"")</f>
        <v>Health Issues</v>
      </c>
      <c r="J129" s="4" t="str" cm="1">
        <f t="array" ref="J129">IFERROR(INDEX(EmployeeData[Status], ROW() - 37), "")</f>
        <v>Exited</v>
      </c>
    </row>
    <row r="130" spans="2:10" ht="19.95" customHeight="1" x14ac:dyDescent="0.3">
      <c r="B130" s="4" cm="1">
        <f t="array" ref="B130">IFERROR(INDEX(EmployeeData[Employee ID], ROW() - 37), "")</f>
        <v>1093</v>
      </c>
      <c r="C130" s="4" t="str" cm="1">
        <f t="array" ref="C130">IFERROR(INDEX(EmployeeData[Full Name], ROW() - 37), "")</f>
        <v>Ian Aguilar Miranda</v>
      </c>
      <c r="D130" s="4" t="str" cm="1">
        <f t="array" ref="D130">IFERROR(INDEX(EmployeeData[Department], ROW() - 37), "")</f>
        <v>Finance</v>
      </c>
      <c r="E130" s="4" t="str" cm="1">
        <f t="array" ref="E130">IFERROR(INDEX(EmployeeData[Gender], ROW() - 37), "")</f>
        <v>Male</v>
      </c>
      <c r="F130" s="4" cm="1">
        <f t="array" ref="F130">IFERROR(INDEX(EmployeeData[Age], ROW() - 37), "")</f>
        <v>28</v>
      </c>
      <c r="G130" s="6" cm="1">
        <f t="array" ref="G130">IFERROR(INDEX(EmployeeData[Join Date], ROW() - 37), "")</f>
        <v>45754</v>
      </c>
      <c r="H130" s="6" t="str" cm="1">
        <f t="array" ref="H130">IFERROR(IF(INDEX(EmployeeData[Exit Date], ROW() - 37)=0, "",INDEX(EmployeeData[Exit Date], ROW() - 37)),"")</f>
        <v/>
      </c>
      <c r="I130" s="4" t="str" cm="1">
        <f t="array" ref="I130">IFERROR(IF(INDEX(EmployeeData[Exit Reason], ROW() - 37)=0, "",INDEX(EmployeeData[Exit Reason], ROW() - 37)),"")</f>
        <v/>
      </c>
      <c r="J130" s="4" t="str" cm="1">
        <f t="array" ref="J130">IFERROR(INDEX(EmployeeData[Status], ROW() - 37), "")</f>
        <v>Active</v>
      </c>
    </row>
    <row r="131" spans="2:10" ht="19.95" customHeight="1" x14ac:dyDescent="0.3">
      <c r="B131" s="4" cm="1">
        <f t="array" ref="B131">IFERROR(INDEX(EmployeeData[Employee ID], ROW() - 37), "")</f>
        <v>1094</v>
      </c>
      <c r="C131" s="4" t="str" cm="1">
        <f t="array" ref="C131">IFERROR(INDEX(EmployeeData[Full Name], ROW() - 37), "")</f>
        <v>Diosdado Ramos Salazar</v>
      </c>
      <c r="D131" s="4" t="str" cm="1">
        <f t="array" ref="D131">IFERROR(INDEX(EmployeeData[Department], ROW() - 37), "")</f>
        <v>IT</v>
      </c>
      <c r="E131" s="4" t="str" cm="1">
        <f t="array" ref="E131">IFERROR(INDEX(EmployeeData[Gender], ROW() - 37), "")</f>
        <v>Male</v>
      </c>
      <c r="F131" s="4" cm="1">
        <f t="array" ref="F131">IFERROR(INDEX(EmployeeData[Age], ROW() - 37), "")</f>
        <v>51</v>
      </c>
      <c r="G131" s="6" cm="1">
        <f t="array" ref="G131">IFERROR(INDEX(EmployeeData[Join Date], ROW() - 37), "")</f>
        <v>44099</v>
      </c>
      <c r="H131" s="6" t="str" cm="1">
        <f t="array" ref="H131">IFERROR(IF(INDEX(EmployeeData[Exit Date], ROW() - 37)=0, "",INDEX(EmployeeData[Exit Date], ROW() - 37)),"")</f>
        <v/>
      </c>
      <c r="I131" s="4" t="str" cm="1">
        <f t="array" ref="I131">IFERROR(IF(INDEX(EmployeeData[Exit Reason], ROW() - 37)=0, "",INDEX(EmployeeData[Exit Reason], ROW() - 37)),"")</f>
        <v/>
      </c>
      <c r="J131" s="4" t="str" cm="1">
        <f t="array" ref="J131">IFERROR(INDEX(EmployeeData[Status], ROW() - 37), "")</f>
        <v>Active</v>
      </c>
    </row>
    <row r="132" spans="2:10" ht="19.95" customHeight="1" x14ac:dyDescent="0.3">
      <c r="B132" s="4" cm="1">
        <f t="array" ref="B132">IFERROR(INDEX(EmployeeData[Employee ID], ROW() - 37), "")</f>
        <v>1095</v>
      </c>
      <c r="C132" s="4" t="str" cm="1">
        <f t="array" ref="C132">IFERROR(INDEX(EmployeeData[Full Name], ROW() - 37), "")</f>
        <v>Kath Wong</v>
      </c>
      <c r="D132" s="4" t="str" cm="1">
        <f t="array" ref="D132">IFERROR(INDEX(EmployeeData[Department], ROW() - 37), "")</f>
        <v>Sales</v>
      </c>
      <c r="E132" s="4" t="str" cm="1">
        <f t="array" ref="E132">IFERROR(INDEX(EmployeeData[Gender], ROW() - 37), "")</f>
        <v>Female</v>
      </c>
      <c r="F132" s="4" cm="1">
        <f t="array" ref="F132">IFERROR(INDEX(EmployeeData[Age], ROW() - 37), "")</f>
        <v>47</v>
      </c>
      <c r="G132" s="6" cm="1">
        <f t="array" ref="G132">IFERROR(INDEX(EmployeeData[Join Date], ROW() - 37), "")</f>
        <v>44493</v>
      </c>
      <c r="H132" s="6" t="str" cm="1">
        <f t="array" ref="H132">IFERROR(IF(INDEX(EmployeeData[Exit Date], ROW() - 37)=0, "",INDEX(EmployeeData[Exit Date], ROW() - 37)),"")</f>
        <v/>
      </c>
      <c r="I132" s="4" t="str" cm="1">
        <f t="array" ref="I132">IFERROR(IF(INDEX(EmployeeData[Exit Reason], ROW() - 37)=0, "",INDEX(EmployeeData[Exit Reason], ROW() - 37)),"")</f>
        <v/>
      </c>
      <c r="J132" s="4" t="str" cm="1">
        <f t="array" ref="J132">IFERROR(INDEX(EmployeeData[Status], ROW() - 37), "")</f>
        <v>Active</v>
      </c>
    </row>
    <row r="133" spans="2:10" ht="19.95" customHeight="1" x14ac:dyDescent="0.3">
      <c r="B133" s="4" cm="1">
        <f t="array" ref="B133">IFERROR(INDEX(EmployeeData[Employee ID], ROW() - 37), "")</f>
        <v>1096</v>
      </c>
      <c r="C133" s="4" t="str" cm="1">
        <f t="array" ref="C133">IFERROR(INDEX(EmployeeData[Full Name], ROW() - 37), "")</f>
        <v>Ivy Chan Domingo</v>
      </c>
      <c r="D133" s="4" t="str" cm="1">
        <f t="array" ref="D133">IFERROR(INDEX(EmployeeData[Department], ROW() - 37), "")</f>
        <v>IT</v>
      </c>
      <c r="E133" s="4" t="str" cm="1">
        <f t="array" ref="E133">IFERROR(INDEX(EmployeeData[Gender], ROW() - 37), "")</f>
        <v>Female</v>
      </c>
      <c r="F133" s="4" cm="1">
        <f t="array" ref="F133">IFERROR(INDEX(EmployeeData[Age], ROW() - 37), "")</f>
        <v>58</v>
      </c>
      <c r="G133" s="6" cm="1">
        <f t="array" ref="G133">IFERROR(INDEX(EmployeeData[Join Date], ROW() - 37), "")</f>
        <v>45476</v>
      </c>
      <c r="H133" s="6" t="str" cm="1">
        <f t="array" ref="H133">IFERROR(IF(INDEX(EmployeeData[Exit Date], ROW() - 37)=0, "",INDEX(EmployeeData[Exit Date], ROW() - 37)),"")</f>
        <v/>
      </c>
      <c r="I133" s="4" t="str" cm="1">
        <f t="array" ref="I133">IFERROR(IF(INDEX(EmployeeData[Exit Reason], ROW() - 37)=0, "",INDEX(EmployeeData[Exit Reason], ROW() - 37)),"")</f>
        <v/>
      </c>
      <c r="J133" s="4" t="str" cm="1">
        <f t="array" ref="J133">IFERROR(INDEX(EmployeeData[Status], ROW() - 37), "")</f>
        <v>Active</v>
      </c>
    </row>
    <row r="134" spans="2:10" ht="19.95" customHeight="1" x14ac:dyDescent="0.3">
      <c r="B134" s="4" cm="1">
        <f t="array" ref="B134">IFERROR(INDEX(EmployeeData[Employee ID], ROW() - 37), "")</f>
        <v>1097</v>
      </c>
      <c r="C134" s="4" t="str" cm="1">
        <f t="array" ref="C134">IFERROR(INDEX(EmployeeData[Full Name], ROW() - 37), "")</f>
        <v>Elmer Diaz</v>
      </c>
      <c r="D134" s="4" t="str" cm="1">
        <f t="array" ref="D134">IFERROR(INDEX(EmployeeData[Department], ROW() - 37), "")</f>
        <v>IT</v>
      </c>
      <c r="E134" s="4" t="str" cm="1">
        <f t="array" ref="E134">IFERROR(INDEX(EmployeeData[Gender], ROW() - 37), "")</f>
        <v>Male</v>
      </c>
      <c r="F134" s="4" cm="1">
        <f t="array" ref="F134">IFERROR(INDEX(EmployeeData[Age], ROW() - 37), "")</f>
        <v>55</v>
      </c>
      <c r="G134" s="6" cm="1">
        <f t="array" ref="G134">IFERROR(INDEX(EmployeeData[Join Date], ROW() - 37), "")</f>
        <v>44646</v>
      </c>
      <c r="H134" s="6" t="str" cm="1">
        <f t="array" ref="H134">IFERROR(IF(INDEX(EmployeeData[Exit Date], ROW() - 37)=0, "",INDEX(EmployeeData[Exit Date], ROW() - 37)),"")</f>
        <v/>
      </c>
      <c r="I134" s="4" t="str" cm="1">
        <f t="array" ref="I134">IFERROR(IF(INDEX(EmployeeData[Exit Reason], ROW() - 37)=0, "",INDEX(EmployeeData[Exit Reason], ROW() - 37)),"")</f>
        <v/>
      </c>
      <c r="J134" s="4" t="str" cm="1">
        <f t="array" ref="J134">IFERROR(INDEX(EmployeeData[Status], ROW() - 37), "")</f>
        <v>Active</v>
      </c>
    </row>
    <row r="135" spans="2:10" ht="19.95" customHeight="1" x14ac:dyDescent="0.3">
      <c r="B135" s="4" cm="1">
        <f t="array" ref="B135">IFERROR(INDEX(EmployeeData[Employee ID], ROW() - 37), "")</f>
        <v>1098</v>
      </c>
      <c r="C135" s="4" t="str" cm="1">
        <f t="array" ref="C135">IFERROR(INDEX(EmployeeData[Full Name], ROW() - 37), "")</f>
        <v>Leonard Salazar</v>
      </c>
      <c r="D135" s="4" t="str" cm="1">
        <f t="array" ref="D135">IFERROR(INDEX(EmployeeData[Department], ROW() - 37), "")</f>
        <v>Customer Support</v>
      </c>
      <c r="E135" s="4" t="str" cm="1">
        <f t="array" ref="E135">IFERROR(INDEX(EmployeeData[Gender], ROW() - 37), "")</f>
        <v>Male</v>
      </c>
      <c r="F135" s="4" cm="1">
        <f t="array" ref="F135">IFERROR(INDEX(EmployeeData[Age], ROW() - 37), "")</f>
        <v>47</v>
      </c>
      <c r="G135" s="6" cm="1">
        <f t="array" ref="G135">IFERROR(INDEX(EmployeeData[Join Date], ROW() - 37), "")</f>
        <v>43279</v>
      </c>
      <c r="H135" s="6" cm="1">
        <f t="array" ref="H135">IFERROR(IF(INDEX(EmployeeData[Exit Date], ROW() - 37)=0, "",INDEX(EmployeeData[Exit Date], ROW() - 37)),"")</f>
        <v>45306</v>
      </c>
      <c r="I135" s="4" t="str" cm="1">
        <f t="array" ref="I135">IFERROR(IF(INDEX(EmployeeData[Exit Reason], ROW() - 37)=0, "",INDEX(EmployeeData[Exit Reason], ROW() - 37)),"")</f>
        <v>Personal Reasons</v>
      </c>
      <c r="J135" s="4" t="str" cm="1">
        <f t="array" ref="J135">IFERROR(INDEX(EmployeeData[Status], ROW() - 37), "")</f>
        <v>Exited</v>
      </c>
    </row>
    <row r="136" spans="2:10" ht="19.95" customHeight="1" x14ac:dyDescent="0.3">
      <c r="B136" s="4" cm="1">
        <f t="array" ref="B136">IFERROR(INDEX(EmployeeData[Employee ID], ROW() - 37), "")</f>
        <v>1099</v>
      </c>
      <c r="C136" s="4" t="str" cm="1">
        <f t="array" ref="C136">IFERROR(INDEX(EmployeeData[Full Name], ROW() - 37), "")</f>
        <v>Bernardo Bagtas</v>
      </c>
      <c r="D136" s="4" t="str" cm="1">
        <f t="array" ref="D136">IFERROR(INDEX(EmployeeData[Department], ROW() - 37), "")</f>
        <v>Sales</v>
      </c>
      <c r="E136" s="4" t="str" cm="1">
        <f t="array" ref="E136">IFERROR(INDEX(EmployeeData[Gender], ROW() - 37), "")</f>
        <v>Male</v>
      </c>
      <c r="F136" s="4" cm="1">
        <f t="array" ref="F136">IFERROR(INDEX(EmployeeData[Age], ROW() - 37), "")</f>
        <v>30</v>
      </c>
      <c r="G136" s="6" cm="1">
        <f t="array" ref="G136">IFERROR(INDEX(EmployeeData[Join Date], ROW() - 37), "")</f>
        <v>45129</v>
      </c>
      <c r="H136" s="6" t="str" cm="1">
        <f t="array" ref="H136">IFERROR(IF(INDEX(EmployeeData[Exit Date], ROW() - 37)=0, "",INDEX(EmployeeData[Exit Date], ROW() - 37)),"")</f>
        <v/>
      </c>
      <c r="I136" s="4" t="str" cm="1">
        <f t="array" ref="I136">IFERROR(IF(INDEX(EmployeeData[Exit Reason], ROW() - 37)=0, "",INDEX(EmployeeData[Exit Reason], ROW() - 37)),"")</f>
        <v/>
      </c>
      <c r="J136" s="4" t="str" cm="1">
        <f t="array" ref="J136">IFERROR(INDEX(EmployeeData[Status], ROW() - 37), "")</f>
        <v>Active</v>
      </c>
    </row>
    <row r="137" spans="2:10" ht="19.95" customHeight="1" x14ac:dyDescent="0.3">
      <c r="B137" s="4" cm="1">
        <f t="array" ref="B137">IFERROR(INDEX(EmployeeData[Employee ID], ROW() - 37), "")</f>
        <v>1100</v>
      </c>
      <c r="C137" s="4" t="str" cm="1">
        <f t="array" ref="C137">IFERROR(INDEX(EmployeeData[Full Name], ROW() - 37), "")</f>
        <v>Eva Reyes</v>
      </c>
      <c r="D137" s="4" t="str" cm="1">
        <f t="array" ref="D137">IFERROR(INDEX(EmployeeData[Department], ROW() - 37), "")</f>
        <v>IT</v>
      </c>
      <c r="E137" s="4" t="str" cm="1">
        <f t="array" ref="E137">IFERROR(INDEX(EmployeeData[Gender], ROW() - 37), "")</f>
        <v>Female</v>
      </c>
      <c r="F137" s="4" cm="1">
        <f t="array" ref="F137">IFERROR(INDEX(EmployeeData[Age], ROW() - 37), "")</f>
        <v>49</v>
      </c>
      <c r="G137" s="6" cm="1">
        <f t="array" ref="G137">IFERROR(INDEX(EmployeeData[Join Date], ROW() - 37), "")</f>
        <v>43509</v>
      </c>
      <c r="H137" s="6" t="str" cm="1">
        <f t="array" ref="H137">IFERROR(IF(INDEX(EmployeeData[Exit Date], ROW() - 37)=0, "",INDEX(EmployeeData[Exit Date], ROW() - 37)),"")</f>
        <v/>
      </c>
      <c r="I137" s="4" t="str" cm="1">
        <f t="array" ref="I137">IFERROR(IF(INDEX(EmployeeData[Exit Reason], ROW() - 37)=0, "",INDEX(EmployeeData[Exit Reason], ROW() - 37)),"")</f>
        <v/>
      </c>
      <c r="J137" s="4" t="str" cm="1">
        <f t="array" ref="J137">IFERROR(INDEX(EmployeeData[Status], ROW() - 37), "")</f>
        <v>Active</v>
      </c>
    </row>
    <row r="138" spans="2:10" ht="19.95" customHeight="1" x14ac:dyDescent="0.3">
      <c r="B138" s="4" cm="1">
        <f t="array" ref="B138">IFERROR(INDEX(EmployeeData[Employee ID], ROW() - 37), "")</f>
        <v>1101</v>
      </c>
      <c r="C138" s="4" t="str" cm="1">
        <f t="array" ref="C138">IFERROR(INDEX(EmployeeData[Full Name], ROW() - 37), "")</f>
        <v>Teodoro Buenaventura</v>
      </c>
      <c r="D138" s="4" t="str" cm="1">
        <f t="array" ref="D138">IFERROR(INDEX(EmployeeData[Department], ROW() - 37), "")</f>
        <v>IT</v>
      </c>
      <c r="E138" s="4" t="str" cm="1">
        <f t="array" ref="E138">IFERROR(INDEX(EmployeeData[Gender], ROW() - 37), "")</f>
        <v>Male</v>
      </c>
      <c r="F138" s="4" cm="1">
        <f t="array" ref="F138">IFERROR(INDEX(EmployeeData[Age], ROW() - 37), "")</f>
        <v>30</v>
      </c>
      <c r="G138" s="6" cm="1">
        <f t="array" ref="G138">IFERROR(INDEX(EmployeeData[Join Date], ROW() - 37), "")</f>
        <v>43407</v>
      </c>
      <c r="H138" s="6" t="str" cm="1">
        <f t="array" ref="H138">IFERROR(IF(INDEX(EmployeeData[Exit Date], ROW() - 37)=0, "",INDEX(EmployeeData[Exit Date], ROW() - 37)),"")</f>
        <v/>
      </c>
      <c r="I138" s="4" t="str" cm="1">
        <f t="array" ref="I138">IFERROR(IF(INDEX(EmployeeData[Exit Reason], ROW() - 37)=0, "",INDEX(EmployeeData[Exit Reason], ROW() - 37)),"")</f>
        <v/>
      </c>
      <c r="J138" s="4" t="str" cm="1">
        <f t="array" ref="J138">IFERROR(INDEX(EmployeeData[Status], ROW() - 37), "")</f>
        <v>Active</v>
      </c>
    </row>
    <row r="139" spans="2:10" ht="19.95" customHeight="1" x14ac:dyDescent="0.3">
      <c r="B139" s="4" cm="1">
        <f t="array" ref="B139">IFERROR(INDEX(EmployeeData[Employee ID], ROW() - 37), "")</f>
        <v>1102</v>
      </c>
      <c r="C139" s="4" t="str" cm="1">
        <f t="array" ref="C139">IFERROR(INDEX(EmployeeData[Full Name], ROW() - 37), "")</f>
        <v>Rachel Macaraeg</v>
      </c>
      <c r="D139" s="4" t="str" cm="1">
        <f t="array" ref="D139">IFERROR(INDEX(EmployeeData[Department], ROW() - 37), "")</f>
        <v>IT</v>
      </c>
      <c r="E139" s="4" t="str" cm="1">
        <f t="array" ref="E139">IFERROR(INDEX(EmployeeData[Gender], ROW() - 37), "")</f>
        <v>Female</v>
      </c>
      <c r="F139" s="4" cm="1">
        <f t="array" ref="F139">IFERROR(INDEX(EmployeeData[Age], ROW() - 37), "")</f>
        <v>42</v>
      </c>
      <c r="G139" s="6" cm="1">
        <f t="array" ref="G139">IFERROR(INDEX(EmployeeData[Join Date], ROW() - 37), "")</f>
        <v>45863</v>
      </c>
      <c r="H139" s="6" t="str" cm="1">
        <f t="array" ref="H139">IFERROR(IF(INDEX(EmployeeData[Exit Date], ROW() - 37)=0, "",INDEX(EmployeeData[Exit Date], ROW() - 37)),"")</f>
        <v/>
      </c>
      <c r="I139" s="4" t="str" cm="1">
        <f t="array" ref="I139">IFERROR(IF(INDEX(EmployeeData[Exit Reason], ROW() - 37)=0, "",INDEX(EmployeeData[Exit Reason], ROW() - 37)),"")</f>
        <v/>
      </c>
      <c r="J139" s="4" t="str" cm="1">
        <f t="array" ref="J139">IFERROR(INDEX(EmployeeData[Status], ROW() - 37), "")</f>
        <v>Active</v>
      </c>
    </row>
    <row r="140" spans="2:10" ht="19.95" customHeight="1" x14ac:dyDescent="0.3">
      <c r="B140" s="4" cm="1">
        <f t="array" ref="B140">IFERROR(INDEX(EmployeeData[Employee ID], ROW() - 37), "")</f>
        <v>1103</v>
      </c>
      <c r="C140" s="4" t="str" cm="1">
        <f t="array" ref="C140">IFERROR(INDEX(EmployeeData[Full Name], ROW() - 37), "")</f>
        <v>Patricio Valencia</v>
      </c>
      <c r="D140" s="4" t="str" cm="1">
        <f t="array" ref="D140">IFERROR(INDEX(EmployeeData[Department], ROW() - 37), "")</f>
        <v>Sales</v>
      </c>
      <c r="E140" s="4" t="str" cm="1">
        <f t="array" ref="E140">IFERROR(INDEX(EmployeeData[Gender], ROW() - 37), "")</f>
        <v>Male</v>
      </c>
      <c r="F140" s="4" cm="1">
        <f t="array" ref="F140">IFERROR(INDEX(EmployeeData[Age], ROW() - 37), "")</f>
        <v>55</v>
      </c>
      <c r="G140" s="6" cm="1">
        <f t="array" ref="G140">IFERROR(INDEX(EmployeeData[Join Date], ROW() - 37), "")</f>
        <v>43248</v>
      </c>
      <c r="H140" s="6" t="str" cm="1">
        <f t="array" ref="H140">IFERROR(IF(INDEX(EmployeeData[Exit Date], ROW() - 37)=0, "",INDEX(EmployeeData[Exit Date], ROW() - 37)),"")</f>
        <v/>
      </c>
      <c r="I140" s="4" t="str" cm="1">
        <f t="array" ref="I140">IFERROR(IF(INDEX(EmployeeData[Exit Reason], ROW() - 37)=0, "",INDEX(EmployeeData[Exit Reason], ROW() - 37)),"")</f>
        <v/>
      </c>
      <c r="J140" s="4" t="str" cm="1">
        <f t="array" ref="J140">IFERROR(INDEX(EmployeeData[Status], ROW() - 37), "")</f>
        <v>Active</v>
      </c>
    </row>
    <row r="141" spans="2:10" ht="19.95" customHeight="1" x14ac:dyDescent="0.3">
      <c r="B141" s="4" cm="1">
        <f t="array" ref="B141">IFERROR(INDEX(EmployeeData[Employee ID], ROW() - 37), "")</f>
        <v>1104</v>
      </c>
      <c r="C141" s="4" t="str" cm="1">
        <f t="array" ref="C141">IFERROR(INDEX(EmployeeData[Full Name], ROW() - 37), "")</f>
        <v>Lourdes Soriano Manalo</v>
      </c>
      <c r="D141" s="4" t="str" cm="1">
        <f t="array" ref="D141">IFERROR(INDEX(EmployeeData[Department], ROW() - 37), "")</f>
        <v>IT</v>
      </c>
      <c r="E141" s="4" t="str" cm="1">
        <f t="array" ref="E141">IFERROR(INDEX(EmployeeData[Gender], ROW() - 37), "")</f>
        <v>Female</v>
      </c>
      <c r="F141" s="4" cm="1">
        <f t="array" ref="F141">IFERROR(INDEX(EmployeeData[Age], ROW() - 37), "")</f>
        <v>26</v>
      </c>
      <c r="G141" s="6" cm="1">
        <f t="array" ref="G141">IFERROR(INDEX(EmployeeData[Join Date], ROW() - 37), "")</f>
        <v>44878</v>
      </c>
      <c r="H141" s="6" t="str" cm="1">
        <f t="array" ref="H141">IFERROR(IF(INDEX(EmployeeData[Exit Date], ROW() - 37)=0, "",INDEX(EmployeeData[Exit Date], ROW() - 37)),"")</f>
        <v/>
      </c>
      <c r="I141" s="4" t="str" cm="1">
        <f t="array" ref="I141">IFERROR(IF(INDEX(EmployeeData[Exit Reason], ROW() - 37)=0, "",INDEX(EmployeeData[Exit Reason], ROW() - 37)),"")</f>
        <v/>
      </c>
      <c r="J141" s="4" t="str" cm="1">
        <f t="array" ref="J141">IFERROR(INDEX(EmployeeData[Status], ROW() - 37), "")</f>
        <v>Active</v>
      </c>
    </row>
    <row r="142" spans="2:10" ht="19.95" customHeight="1" x14ac:dyDescent="0.3">
      <c r="B142" s="4" cm="1">
        <f t="array" ref="B142">IFERROR(INDEX(EmployeeData[Employee ID], ROW() - 37), "")</f>
        <v>1105</v>
      </c>
      <c r="C142" s="4" t="str" cm="1">
        <f t="array" ref="C142">IFERROR(INDEX(EmployeeData[Full Name], ROW() - 37), "")</f>
        <v>Nena Gonzales Bondoc</v>
      </c>
      <c r="D142" s="4" t="str" cm="1">
        <f t="array" ref="D142">IFERROR(INDEX(EmployeeData[Department], ROW() - 37), "")</f>
        <v>Finance</v>
      </c>
      <c r="E142" s="4" t="str" cm="1">
        <f t="array" ref="E142">IFERROR(INDEX(EmployeeData[Gender], ROW() - 37), "")</f>
        <v>Female</v>
      </c>
      <c r="F142" s="4" cm="1">
        <f t="array" ref="F142">IFERROR(INDEX(EmployeeData[Age], ROW() - 37), "")</f>
        <v>24</v>
      </c>
      <c r="G142" s="6" cm="1">
        <f t="array" ref="G142">IFERROR(INDEX(EmployeeData[Join Date], ROW() - 37), "")</f>
        <v>44302</v>
      </c>
      <c r="H142" s="6" cm="1">
        <f t="array" ref="H142">IFERROR(IF(INDEX(EmployeeData[Exit Date], ROW() - 37)=0, "",INDEX(EmployeeData[Exit Date], ROW() - 37)),"")</f>
        <v>45274</v>
      </c>
      <c r="I142" s="4" t="str" cm="1">
        <f t="array" ref="I142">IFERROR(IF(INDEX(EmployeeData[Exit Reason], ROW() - 37)=0, "",INDEX(EmployeeData[Exit Reason], ROW() - 37)),"")</f>
        <v>Better Opportunity</v>
      </c>
      <c r="J142" s="4" t="str" cm="1">
        <f t="array" ref="J142">IFERROR(INDEX(EmployeeData[Status], ROW() - 37), "")</f>
        <v>Exited</v>
      </c>
    </row>
    <row r="143" spans="2:10" ht="19.95" customHeight="1" x14ac:dyDescent="0.3">
      <c r="B143" s="4" cm="1">
        <f t="array" ref="B143">IFERROR(INDEX(EmployeeData[Employee ID], ROW() - 37), "")</f>
        <v>1106</v>
      </c>
      <c r="C143" s="4" t="str" cm="1">
        <f t="array" ref="C143">IFERROR(INDEX(EmployeeData[Full Name], ROW() - 37), "")</f>
        <v>Jessa Go Narvasa</v>
      </c>
      <c r="D143" s="4" t="str" cm="1">
        <f t="array" ref="D143">IFERROR(INDEX(EmployeeData[Department], ROW() - 37), "")</f>
        <v>Customer Support</v>
      </c>
      <c r="E143" s="4" t="str" cm="1">
        <f t="array" ref="E143">IFERROR(INDEX(EmployeeData[Gender], ROW() - 37), "")</f>
        <v>Female</v>
      </c>
      <c r="F143" s="4" cm="1">
        <f t="array" ref="F143">IFERROR(INDEX(EmployeeData[Age], ROW() - 37), "")</f>
        <v>45</v>
      </c>
      <c r="G143" s="6" cm="1">
        <f t="array" ref="G143">IFERROR(INDEX(EmployeeData[Join Date], ROW() - 37), "")</f>
        <v>45639</v>
      </c>
      <c r="H143" s="6" t="str" cm="1">
        <f t="array" ref="H143">IFERROR(IF(INDEX(EmployeeData[Exit Date], ROW() - 37)=0, "",INDEX(EmployeeData[Exit Date], ROW() - 37)),"")</f>
        <v/>
      </c>
      <c r="I143" s="4" t="str" cm="1">
        <f t="array" ref="I143">IFERROR(IF(INDEX(EmployeeData[Exit Reason], ROW() - 37)=0, "",INDEX(EmployeeData[Exit Reason], ROW() - 37)),"")</f>
        <v/>
      </c>
      <c r="J143" s="4" t="str" cm="1">
        <f t="array" ref="J143">IFERROR(INDEX(EmployeeData[Status], ROW() - 37), "")</f>
        <v>Active</v>
      </c>
    </row>
    <row r="144" spans="2:10" ht="19.95" customHeight="1" x14ac:dyDescent="0.3">
      <c r="B144" s="4" cm="1">
        <f t="array" ref="B144">IFERROR(INDEX(EmployeeData[Employee ID], ROW() - 37), "")</f>
        <v>1107</v>
      </c>
      <c r="C144" s="4" t="str" cm="1">
        <f t="array" ref="C144">IFERROR(INDEX(EmployeeData[Full Name], ROW() - 37), "")</f>
        <v>Oscar Vega Aguilar</v>
      </c>
      <c r="D144" s="4" t="str" cm="1">
        <f t="array" ref="D144">IFERROR(INDEX(EmployeeData[Department], ROW() - 37), "")</f>
        <v>Marketing</v>
      </c>
      <c r="E144" s="4" t="str" cm="1">
        <f t="array" ref="E144">IFERROR(INDEX(EmployeeData[Gender], ROW() - 37), "")</f>
        <v>Male</v>
      </c>
      <c r="F144" s="4" cm="1">
        <f t="array" ref="F144">IFERROR(INDEX(EmployeeData[Age], ROW() - 37), "")</f>
        <v>21</v>
      </c>
      <c r="G144" s="6" cm="1">
        <f t="array" ref="G144">IFERROR(INDEX(EmployeeData[Join Date], ROW() - 37), "")</f>
        <v>45006</v>
      </c>
      <c r="H144" s="6" t="str" cm="1">
        <f t="array" ref="H144">IFERROR(IF(INDEX(EmployeeData[Exit Date], ROW() - 37)=0, "",INDEX(EmployeeData[Exit Date], ROW() - 37)),"")</f>
        <v/>
      </c>
      <c r="I144" s="4" t="str" cm="1">
        <f t="array" ref="I144">IFERROR(IF(INDEX(EmployeeData[Exit Reason], ROW() - 37)=0, "",INDEX(EmployeeData[Exit Reason], ROW() - 37)),"")</f>
        <v/>
      </c>
      <c r="J144" s="4" t="str" cm="1">
        <f t="array" ref="J144">IFERROR(INDEX(EmployeeData[Status], ROW() - 37), "")</f>
        <v>Active</v>
      </c>
    </row>
    <row r="145" spans="2:10" ht="19.95" customHeight="1" x14ac:dyDescent="0.3">
      <c r="B145" s="4" cm="1">
        <f t="array" ref="B145">IFERROR(INDEX(EmployeeData[Employee ID], ROW() - 37), "")</f>
        <v>1108</v>
      </c>
      <c r="C145" s="4" t="str" cm="1">
        <f t="array" ref="C145">IFERROR(INDEX(EmployeeData[Full Name], ROW() - 37), "")</f>
        <v>Sarah Rivera Umali</v>
      </c>
      <c r="D145" s="4" t="str" cm="1">
        <f t="array" ref="D145">IFERROR(INDEX(EmployeeData[Department], ROW() - 37), "")</f>
        <v>Finance</v>
      </c>
      <c r="E145" s="4" t="str" cm="1">
        <f t="array" ref="E145">IFERROR(INDEX(EmployeeData[Gender], ROW() - 37), "")</f>
        <v>Female</v>
      </c>
      <c r="F145" s="4" cm="1">
        <f t="array" ref="F145">IFERROR(INDEX(EmployeeData[Age], ROW() - 37), "")</f>
        <v>48</v>
      </c>
      <c r="G145" s="6" cm="1">
        <f t="array" ref="G145">IFERROR(INDEX(EmployeeData[Join Date], ROW() - 37), "")</f>
        <v>45928</v>
      </c>
      <c r="H145" s="6" cm="1">
        <f t="array" ref="H145">IFERROR(IF(INDEX(EmployeeData[Exit Date], ROW() - 37)=0, "",INDEX(EmployeeData[Exit Date], ROW() - 37)),"")</f>
        <v>46095</v>
      </c>
      <c r="I145" s="4" t="str" cm="1">
        <f t="array" ref="I145">IFERROR(IF(INDEX(EmployeeData[Exit Reason], ROW() - 37)=0, "",INDEX(EmployeeData[Exit Reason], ROW() - 37)),"")</f>
        <v>Better Opportunity</v>
      </c>
      <c r="J145" s="4" t="str" cm="1">
        <f t="array" ref="J145">IFERROR(INDEX(EmployeeData[Status], ROW() - 37), "")</f>
        <v>Exited</v>
      </c>
    </row>
    <row r="146" spans="2:10" ht="19.95" customHeight="1" x14ac:dyDescent="0.3">
      <c r="B146" s="4" cm="1">
        <f t="array" ref="B146">IFERROR(INDEX(EmployeeData[Employee ID], ROW() - 37), "")</f>
        <v>1109</v>
      </c>
      <c r="C146" s="4" t="str" cm="1">
        <f t="array" ref="C146">IFERROR(INDEX(EmployeeData[Full Name], ROW() - 37), "")</f>
        <v>Nathan Bautista Ang</v>
      </c>
      <c r="D146" s="4" t="str" cm="1">
        <f t="array" ref="D146">IFERROR(INDEX(EmployeeData[Department], ROW() - 37), "")</f>
        <v>Marketing</v>
      </c>
      <c r="E146" s="4" t="str" cm="1">
        <f t="array" ref="E146">IFERROR(INDEX(EmployeeData[Gender], ROW() - 37), "")</f>
        <v>Male</v>
      </c>
      <c r="F146" s="4" cm="1">
        <f t="array" ref="F146">IFERROR(INDEX(EmployeeData[Age], ROW() - 37), "")</f>
        <v>39</v>
      </c>
      <c r="G146" s="6" cm="1">
        <f t="array" ref="G146">IFERROR(INDEX(EmployeeData[Join Date], ROW() - 37), "")</f>
        <v>43190</v>
      </c>
      <c r="H146" s="6" t="str" cm="1">
        <f t="array" ref="H146">IFERROR(IF(INDEX(EmployeeData[Exit Date], ROW() - 37)=0, "",INDEX(EmployeeData[Exit Date], ROW() - 37)),"")</f>
        <v/>
      </c>
      <c r="I146" s="4" t="str" cm="1">
        <f t="array" ref="I146">IFERROR(IF(INDEX(EmployeeData[Exit Reason], ROW() - 37)=0, "",INDEX(EmployeeData[Exit Reason], ROW() - 37)),"")</f>
        <v/>
      </c>
      <c r="J146" s="4" t="str" cm="1">
        <f t="array" ref="J146">IFERROR(INDEX(EmployeeData[Status], ROW() - 37), "")</f>
        <v>Active</v>
      </c>
    </row>
    <row r="147" spans="2:10" ht="19.95" customHeight="1" x14ac:dyDescent="0.3">
      <c r="B147" s="4" cm="1">
        <f t="array" ref="B147">IFERROR(INDEX(EmployeeData[Employee ID], ROW() - 37), "")</f>
        <v>1110</v>
      </c>
      <c r="C147" s="4" t="str" cm="1">
        <f t="array" ref="C147">IFERROR(INDEX(EmployeeData[Full Name], ROW() - 37), "")</f>
        <v>Efren Tan</v>
      </c>
      <c r="D147" s="4" t="str" cm="1">
        <f t="array" ref="D147">IFERROR(INDEX(EmployeeData[Department], ROW() - 37), "")</f>
        <v>Finance</v>
      </c>
      <c r="E147" s="4" t="str" cm="1">
        <f t="array" ref="E147">IFERROR(INDEX(EmployeeData[Gender], ROW() - 37), "")</f>
        <v>Other</v>
      </c>
      <c r="F147" s="4" cm="1">
        <f t="array" ref="F147">IFERROR(INDEX(EmployeeData[Age], ROW() - 37), "")</f>
        <v>39</v>
      </c>
      <c r="G147" s="6" cm="1">
        <f t="array" ref="G147">IFERROR(INDEX(EmployeeData[Join Date], ROW() - 37), "")</f>
        <v>44043</v>
      </c>
      <c r="H147" s="6" t="str" cm="1">
        <f t="array" ref="H147">IFERROR(IF(INDEX(EmployeeData[Exit Date], ROW() - 37)=0, "",INDEX(EmployeeData[Exit Date], ROW() - 37)),"")</f>
        <v/>
      </c>
      <c r="I147" s="4" t="str" cm="1">
        <f t="array" ref="I147">IFERROR(IF(INDEX(EmployeeData[Exit Reason], ROW() - 37)=0, "",INDEX(EmployeeData[Exit Reason], ROW() - 37)),"")</f>
        <v/>
      </c>
      <c r="J147" s="4" t="str" cm="1">
        <f t="array" ref="J147">IFERROR(INDEX(EmployeeData[Status], ROW() - 37), "")</f>
        <v>Active</v>
      </c>
    </row>
    <row r="148" spans="2:10" ht="19.95" customHeight="1" x14ac:dyDescent="0.3">
      <c r="B148" s="4" cm="1">
        <f t="array" ref="B148">IFERROR(INDEX(EmployeeData[Employee ID], ROW() - 37), "")</f>
        <v>1111</v>
      </c>
      <c r="C148" s="4" t="str" cm="1">
        <f t="array" ref="C148">IFERROR(INDEX(EmployeeData[Full Name], ROW() - 37), "")</f>
        <v>Christian Santiago Manalo</v>
      </c>
      <c r="D148" s="4" t="str" cm="1">
        <f t="array" ref="D148">IFERROR(INDEX(EmployeeData[Department], ROW() - 37), "")</f>
        <v>Marketing</v>
      </c>
      <c r="E148" s="4" t="str" cm="1">
        <f t="array" ref="E148">IFERROR(INDEX(EmployeeData[Gender], ROW() - 37), "")</f>
        <v>Male</v>
      </c>
      <c r="F148" s="4" cm="1">
        <f t="array" ref="F148">IFERROR(INDEX(EmployeeData[Age], ROW() - 37), "")</f>
        <v>29</v>
      </c>
      <c r="G148" s="6" cm="1">
        <f t="array" ref="G148">IFERROR(INDEX(EmployeeData[Join Date], ROW() - 37), "")</f>
        <v>45674</v>
      </c>
      <c r="H148" s="6" cm="1">
        <f t="array" ref="H148">IFERROR(IF(INDEX(EmployeeData[Exit Date], ROW() - 37)=0, "",INDEX(EmployeeData[Exit Date], ROW() - 37)),"")</f>
        <v>46085</v>
      </c>
      <c r="I148" s="4" t="str" cm="1">
        <f t="array" ref="I148">IFERROR(IF(INDEX(EmployeeData[Exit Reason], ROW() - 37)=0, "",INDEX(EmployeeData[Exit Reason], ROW() - 37)),"")</f>
        <v>Relocation</v>
      </c>
      <c r="J148" s="4" t="str" cm="1">
        <f t="array" ref="J148">IFERROR(INDEX(EmployeeData[Status], ROW() - 37), "")</f>
        <v>Exited</v>
      </c>
    </row>
    <row r="149" spans="2:10" ht="19.95" customHeight="1" x14ac:dyDescent="0.3">
      <c r="B149" s="4" cm="1">
        <f t="array" ref="B149">IFERROR(INDEX(EmployeeData[Employee ID], ROW() - 37), "")</f>
        <v>1112</v>
      </c>
      <c r="C149" s="4" t="str" cm="1">
        <f t="array" ref="C149">IFERROR(INDEX(EmployeeData[Full Name], ROW() - 37), "")</f>
        <v>Jacqueline Santiago Vega</v>
      </c>
      <c r="D149" s="4" t="str" cm="1">
        <f t="array" ref="D149">IFERROR(INDEX(EmployeeData[Department], ROW() - 37), "")</f>
        <v>HR</v>
      </c>
      <c r="E149" s="4" t="str" cm="1">
        <f t="array" ref="E149">IFERROR(INDEX(EmployeeData[Gender], ROW() - 37), "")</f>
        <v>Female</v>
      </c>
      <c r="F149" s="4" cm="1">
        <f t="array" ref="F149">IFERROR(INDEX(EmployeeData[Age], ROW() - 37), "")</f>
        <v>39</v>
      </c>
      <c r="G149" s="6" cm="1">
        <f t="array" ref="G149">IFERROR(INDEX(EmployeeData[Join Date], ROW() - 37), "")</f>
        <v>44439</v>
      </c>
      <c r="H149" s="6" t="str" cm="1">
        <f t="array" ref="H149">IFERROR(IF(INDEX(EmployeeData[Exit Date], ROW() - 37)=0, "",INDEX(EmployeeData[Exit Date], ROW() - 37)),"")</f>
        <v/>
      </c>
      <c r="I149" s="4" t="str" cm="1">
        <f t="array" ref="I149">IFERROR(IF(INDEX(EmployeeData[Exit Reason], ROW() - 37)=0, "",INDEX(EmployeeData[Exit Reason], ROW() - 37)),"")</f>
        <v/>
      </c>
      <c r="J149" s="4" t="str" cm="1">
        <f t="array" ref="J149">IFERROR(INDEX(EmployeeData[Status], ROW() - 37), "")</f>
        <v>Active</v>
      </c>
    </row>
    <row r="150" spans="2:10" ht="19.95" customHeight="1" x14ac:dyDescent="0.3">
      <c r="B150" s="4" cm="1">
        <f t="array" ref="B150">IFERROR(INDEX(EmployeeData[Employee ID], ROW() - 37), "")</f>
        <v>1113</v>
      </c>
      <c r="C150" s="4" t="str" cm="1">
        <f t="array" ref="C150">IFERROR(INDEX(EmployeeData[Full Name], ROW() - 37), "")</f>
        <v>Elena Chua</v>
      </c>
      <c r="D150" s="4" t="str" cm="1">
        <f t="array" ref="D150">IFERROR(INDEX(EmployeeData[Department], ROW() - 37), "")</f>
        <v>Marketing</v>
      </c>
      <c r="E150" s="4" t="str" cm="1">
        <f t="array" ref="E150">IFERROR(INDEX(EmployeeData[Gender], ROW() - 37), "")</f>
        <v>Other</v>
      </c>
      <c r="F150" s="4" cm="1">
        <f t="array" ref="F150">IFERROR(INDEX(EmployeeData[Age], ROW() - 37), "")</f>
        <v>31</v>
      </c>
      <c r="G150" s="6" cm="1">
        <f t="array" ref="G150">IFERROR(INDEX(EmployeeData[Join Date], ROW() - 37), "")</f>
        <v>44153</v>
      </c>
      <c r="H150" s="6" t="str" cm="1">
        <f t="array" ref="H150">IFERROR(IF(INDEX(EmployeeData[Exit Date], ROW() - 37)=0, "",INDEX(EmployeeData[Exit Date], ROW() - 37)),"")</f>
        <v/>
      </c>
      <c r="I150" s="4" t="str" cm="1">
        <f t="array" ref="I150">IFERROR(IF(INDEX(EmployeeData[Exit Reason], ROW() - 37)=0, "",INDEX(EmployeeData[Exit Reason], ROW() - 37)),"")</f>
        <v/>
      </c>
      <c r="J150" s="4" t="str" cm="1">
        <f t="array" ref="J150">IFERROR(INDEX(EmployeeData[Status], ROW() - 37), "")</f>
        <v>Active</v>
      </c>
    </row>
    <row r="151" spans="2:10" ht="19.95" customHeight="1" x14ac:dyDescent="0.3">
      <c r="B151" s="4" cm="1">
        <f t="array" ref="B151">IFERROR(INDEX(EmployeeData[Employee ID], ROW() - 37), "")</f>
        <v>1114</v>
      </c>
      <c r="C151" s="4" t="str" cm="1">
        <f t="array" ref="C151">IFERROR(INDEX(EmployeeData[Full Name], ROW() - 37), "")</f>
        <v>Pacita Figueroa</v>
      </c>
      <c r="D151" s="4" t="str" cm="1">
        <f t="array" ref="D151">IFERROR(INDEX(EmployeeData[Department], ROW() - 37), "")</f>
        <v>IT</v>
      </c>
      <c r="E151" s="4" t="str" cm="1">
        <f t="array" ref="E151">IFERROR(INDEX(EmployeeData[Gender], ROW() - 37), "")</f>
        <v>Female</v>
      </c>
      <c r="F151" s="4" cm="1">
        <f t="array" ref="F151">IFERROR(INDEX(EmployeeData[Age], ROW() - 37), "")</f>
        <v>25</v>
      </c>
      <c r="G151" s="6" cm="1">
        <f t="array" ref="G151">IFERROR(INDEX(EmployeeData[Join Date], ROW() - 37), "")</f>
        <v>43677</v>
      </c>
      <c r="H151" s="6" t="str" cm="1">
        <f t="array" ref="H151">IFERROR(IF(INDEX(EmployeeData[Exit Date], ROW() - 37)=0, "",INDEX(EmployeeData[Exit Date], ROW() - 37)),"")</f>
        <v/>
      </c>
      <c r="I151" s="4" t="str" cm="1">
        <f t="array" ref="I151">IFERROR(IF(INDEX(EmployeeData[Exit Reason], ROW() - 37)=0, "",INDEX(EmployeeData[Exit Reason], ROW() - 37)),"")</f>
        <v/>
      </c>
      <c r="J151" s="4" t="str" cm="1">
        <f t="array" ref="J151">IFERROR(INDEX(EmployeeData[Status], ROW() - 37), "")</f>
        <v>Active</v>
      </c>
    </row>
    <row r="152" spans="2:10" ht="19.95" customHeight="1" x14ac:dyDescent="0.3">
      <c r="B152" s="4" cm="1">
        <f t="array" ref="B152">IFERROR(INDEX(EmployeeData[Employee ID], ROW() - 37), "")</f>
        <v>1115</v>
      </c>
      <c r="C152" s="4" t="str" cm="1">
        <f t="array" ref="C152">IFERROR(INDEX(EmployeeData[Full Name], ROW() - 37), "")</f>
        <v>Gloria Domingo Castro</v>
      </c>
      <c r="D152" s="4" t="str" cm="1">
        <f t="array" ref="D152">IFERROR(INDEX(EmployeeData[Department], ROW() - 37), "")</f>
        <v>Finance</v>
      </c>
      <c r="E152" s="4" t="str" cm="1">
        <f t="array" ref="E152">IFERROR(INDEX(EmployeeData[Gender], ROW() - 37), "")</f>
        <v>Other</v>
      </c>
      <c r="F152" s="4" cm="1">
        <f t="array" ref="F152">IFERROR(INDEX(EmployeeData[Age], ROW() - 37), "")</f>
        <v>56</v>
      </c>
      <c r="G152" s="6" cm="1">
        <f t="array" ref="G152">IFERROR(INDEX(EmployeeData[Join Date], ROW() - 37), "")</f>
        <v>44599</v>
      </c>
      <c r="H152" s="6" cm="1">
        <f t="array" ref="H152">IFERROR(IF(INDEX(EmployeeData[Exit Date], ROW() - 37)=0, "",INDEX(EmployeeData[Exit Date], ROW() - 37)),"")</f>
        <v>45497</v>
      </c>
      <c r="I152" s="4" t="str" cm="1">
        <f t="array" ref="I152">IFERROR(IF(INDEX(EmployeeData[Exit Reason], ROW() - 37)=0, "",INDEX(EmployeeData[Exit Reason], ROW() - 37)),"")</f>
        <v>Better Opportunity</v>
      </c>
      <c r="J152" s="4" t="str" cm="1">
        <f t="array" ref="J152">IFERROR(INDEX(EmployeeData[Status], ROW() - 37), "")</f>
        <v>Exited</v>
      </c>
    </row>
    <row r="153" spans="2:10" ht="19.95" customHeight="1" x14ac:dyDescent="0.3">
      <c r="B153" s="4" cm="1">
        <f t="array" ref="B153">IFERROR(INDEX(EmployeeData[Employee ID], ROW() - 37), "")</f>
        <v>1116</v>
      </c>
      <c r="C153" s="4" t="str" cm="1">
        <f t="array" ref="C153">IFERROR(INDEX(EmployeeData[Full Name], ROW() - 37), "")</f>
        <v>Elena Bautista</v>
      </c>
      <c r="D153" s="4" t="str" cm="1">
        <f t="array" ref="D153">IFERROR(INDEX(EmployeeData[Department], ROW() - 37), "")</f>
        <v>Marketing</v>
      </c>
      <c r="E153" s="4" t="str" cm="1">
        <f t="array" ref="E153">IFERROR(INDEX(EmployeeData[Gender], ROW() - 37), "")</f>
        <v>Other</v>
      </c>
      <c r="F153" s="4" cm="1">
        <f t="array" ref="F153">IFERROR(INDEX(EmployeeData[Age], ROW() - 37), "")</f>
        <v>44</v>
      </c>
      <c r="G153" s="6" cm="1">
        <f t="array" ref="G153">IFERROR(INDEX(EmployeeData[Join Date], ROW() - 37), "")</f>
        <v>43544</v>
      </c>
      <c r="H153" s="6" t="str" cm="1">
        <f t="array" ref="H153">IFERROR(IF(INDEX(EmployeeData[Exit Date], ROW() - 37)=0, "",INDEX(EmployeeData[Exit Date], ROW() - 37)),"")</f>
        <v/>
      </c>
      <c r="I153" s="4" t="str" cm="1">
        <f t="array" ref="I153">IFERROR(IF(INDEX(EmployeeData[Exit Reason], ROW() - 37)=0, "",INDEX(EmployeeData[Exit Reason], ROW() - 37)),"")</f>
        <v/>
      </c>
      <c r="J153" s="4" t="str" cm="1">
        <f t="array" ref="J153">IFERROR(INDEX(EmployeeData[Status], ROW() - 37), "")</f>
        <v>Active</v>
      </c>
    </row>
    <row r="154" spans="2:10" ht="19.95" customHeight="1" x14ac:dyDescent="0.3">
      <c r="B154" s="4" cm="1">
        <f t="array" ref="B154">IFERROR(INDEX(EmployeeData[Employee ID], ROW() - 37), "")</f>
        <v>1117</v>
      </c>
      <c r="C154" s="4" t="str" cm="1">
        <f t="array" ref="C154">IFERROR(INDEX(EmployeeData[Full Name], ROW() - 37), "")</f>
        <v>Bryan Ramos Corpuz</v>
      </c>
      <c r="D154" s="4" t="str" cm="1">
        <f t="array" ref="D154">IFERROR(INDEX(EmployeeData[Department], ROW() - 37), "")</f>
        <v>Finance</v>
      </c>
      <c r="E154" s="4" t="str" cm="1">
        <f t="array" ref="E154">IFERROR(INDEX(EmployeeData[Gender], ROW() - 37), "")</f>
        <v>Male</v>
      </c>
      <c r="F154" s="4" cm="1">
        <f t="array" ref="F154">IFERROR(INDEX(EmployeeData[Age], ROW() - 37), "")</f>
        <v>35</v>
      </c>
      <c r="G154" s="6" cm="1">
        <f t="array" ref="G154">IFERROR(INDEX(EmployeeData[Join Date], ROW() - 37), "")</f>
        <v>45753</v>
      </c>
      <c r="H154" s="6" cm="1">
        <f t="array" ref="H154">IFERROR(IF(INDEX(EmployeeData[Exit Date], ROW() - 37)=0, "",INDEX(EmployeeData[Exit Date], ROW() - 37)),"")</f>
        <v>46080</v>
      </c>
      <c r="I154" s="4" t="str" cm="1">
        <f t="array" ref="I154">IFERROR(IF(INDEX(EmployeeData[Exit Reason], ROW() - 37)=0, "",INDEX(EmployeeData[Exit Reason], ROW() - 37)),"")</f>
        <v>Resignation</v>
      </c>
      <c r="J154" s="4" t="str" cm="1">
        <f t="array" ref="J154">IFERROR(INDEX(EmployeeData[Status], ROW() - 37), "")</f>
        <v>Exited</v>
      </c>
    </row>
    <row r="155" spans="2:10" ht="19.95" customHeight="1" x14ac:dyDescent="0.3">
      <c r="B155" s="4" cm="1">
        <f t="array" ref="B155">IFERROR(INDEX(EmployeeData[Employee ID], ROW() - 37), "")</f>
        <v>1118</v>
      </c>
      <c r="C155" s="4" t="str" cm="1">
        <f t="array" ref="C155">IFERROR(INDEX(EmployeeData[Full Name], ROW() - 37), "")</f>
        <v>Patricia Enriquez</v>
      </c>
      <c r="D155" s="4" t="str" cm="1">
        <f t="array" ref="D155">IFERROR(INDEX(EmployeeData[Department], ROW() - 37), "")</f>
        <v>Customer Support</v>
      </c>
      <c r="E155" s="4" t="str" cm="1">
        <f t="array" ref="E155">IFERROR(INDEX(EmployeeData[Gender], ROW() - 37), "")</f>
        <v>Female</v>
      </c>
      <c r="F155" s="4" cm="1">
        <f t="array" ref="F155">IFERROR(INDEX(EmployeeData[Age], ROW() - 37), "")</f>
        <v>52</v>
      </c>
      <c r="G155" s="6" cm="1">
        <f t="array" ref="G155">IFERROR(INDEX(EmployeeData[Join Date], ROW() - 37), "")</f>
        <v>43576</v>
      </c>
      <c r="H155" s="6" cm="1">
        <f t="array" ref="H155">IFERROR(IF(INDEX(EmployeeData[Exit Date], ROW() - 37)=0, "",INDEX(EmployeeData[Exit Date], ROW() - 37)),"")</f>
        <v>44221</v>
      </c>
      <c r="I155" s="4" t="str" cm="1">
        <f t="array" ref="I155">IFERROR(IF(INDEX(EmployeeData[Exit Reason], ROW() - 37)=0, "",INDEX(EmployeeData[Exit Reason], ROW() - 37)),"")</f>
        <v>Termination</v>
      </c>
      <c r="J155" s="4" t="str" cm="1">
        <f t="array" ref="J155">IFERROR(INDEX(EmployeeData[Status], ROW() - 37), "")</f>
        <v>Exited</v>
      </c>
    </row>
    <row r="156" spans="2:10" ht="19.95" customHeight="1" x14ac:dyDescent="0.3">
      <c r="B156" s="4" cm="1">
        <f t="array" ref="B156">IFERROR(INDEX(EmployeeData[Employee ID], ROW() - 37), "")</f>
        <v>1119</v>
      </c>
      <c r="C156" s="4" t="str" cm="1">
        <f t="array" ref="C156">IFERROR(INDEX(EmployeeData[Full Name], ROW() - 37), "")</f>
        <v>Efren Viray</v>
      </c>
      <c r="D156" s="4" t="str" cm="1">
        <f t="array" ref="D156">IFERROR(INDEX(EmployeeData[Department], ROW() - 37), "")</f>
        <v>HR</v>
      </c>
      <c r="E156" s="4" t="str" cm="1">
        <f t="array" ref="E156">IFERROR(INDEX(EmployeeData[Gender], ROW() - 37), "")</f>
        <v>Male</v>
      </c>
      <c r="F156" s="4" cm="1">
        <f t="array" ref="F156">IFERROR(INDEX(EmployeeData[Age], ROW() - 37), "")</f>
        <v>58</v>
      </c>
      <c r="G156" s="6" cm="1">
        <f t="array" ref="G156">IFERROR(INDEX(EmployeeData[Join Date], ROW() - 37), "")</f>
        <v>43733</v>
      </c>
      <c r="H156" s="6" t="str" cm="1">
        <f t="array" ref="H156">IFERROR(IF(INDEX(EmployeeData[Exit Date], ROW() - 37)=0, "",INDEX(EmployeeData[Exit Date], ROW() - 37)),"")</f>
        <v/>
      </c>
      <c r="I156" s="4" t="str" cm="1">
        <f t="array" ref="I156">IFERROR(IF(INDEX(EmployeeData[Exit Reason], ROW() - 37)=0, "",INDEX(EmployeeData[Exit Reason], ROW() - 37)),"")</f>
        <v/>
      </c>
      <c r="J156" s="4" t="str" cm="1">
        <f t="array" ref="J156">IFERROR(INDEX(EmployeeData[Status], ROW() - 37), "")</f>
        <v>Active</v>
      </c>
    </row>
    <row r="157" spans="2:10" ht="19.95" customHeight="1" x14ac:dyDescent="0.3">
      <c r="B157" s="4" cm="1">
        <f t="array" ref="B157">IFERROR(INDEX(EmployeeData[Employee ID], ROW() - 37), "")</f>
        <v>1120</v>
      </c>
      <c r="C157" s="4" t="str" cm="1">
        <f t="array" ref="C157">IFERROR(INDEX(EmployeeData[Full Name], ROW() - 37), "")</f>
        <v>Rosalinda Santiago Evangelista</v>
      </c>
      <c r="D157" s="4" t="str" cm="1">
        <f t="array" ref="D157">IFERROR(INDEX(EmployeeData[Department], ROW() - 37), "")</f>
        <v>Finance</v>
      </c>
      <c r="E157" s="4" t="str" cm="1">
        <f t="array" ref="E157">IFERROR(INDEX(EmployeeData[Gender], ROW() - 37), "")</f>
        <v>Female</v>
      </c>
      <c r="F157" s="4" cm="1">
        <f t="array" ref="F157">IFERROR(INDEX(EmployeeData[Age], ROW() - 37), "")</f>
        <v>44</v>
      </c>
      <c r="G157" s="6" cm="1">
        <f t="array" ref="G157">IFERROR(INDEX(EmployeeData[Join Date], ROW() - 37), "")</f>
        <v>43990</v>
      </c>
      <c r="H157" s="6" t="str" cm="1">
        <f t="array" ref="H157">IFERROR(IF(INDEX(EmployeeData[Exit Date], ROW() - 37)=0, "",INDEX(EmployeeData[Exit Date], ROW() - 37)),"")</f>
        <v/>
      </c>
      <c r="I157" s="4" t="str" cm="1">
        <f t="array" ref="I157">IFERROR(IF(INDEX(EmployeeData[Exit Reason], ROW() - 37)=0, "",INDEX(EmployeeData[Exit Reason], ROW() - 37)),"")</f>
        <v/>
      </c>
      <c r="J157" s="4" t="str" cm="1">
        <f t="array" ref="J157">IFERROR(INDEX(EmployeeData[Status], ROW() - 37), "")</f>
        <v>Active</v>
      </c>
    </row>
    <row r="158" spans="2:10" ht="19.95" customHeight="1" x14ac:dyDescent="0.3">
      <c r="B158" s="4" cm="1">
        <f t="array" ref="B158">IFERROR(INDEX(EmployeeData[Employee ID], ROW() - 37), "")</f>
        <v>1121</v>
      </c>
      <c r="C158" s="4" t="str" cm="1">
        <f t="array" ref="C158">IFERROR(INDEX(EmployeeData[Full Name], ROW() - 37), "")</f>
        <v>Miguel Castro</v>
      </c>
      <c r="D158" s="4" t="str" cm="1">
        <f t="array" ref="D158">IFERROR(INDEX(EmployeeData[Department], ROW() - 37), "")</f>
        <v>Marketing</v>
      </c>
      <c r="E158" s="4" t="str" cm="1">
        <f t="array" ref="E158">IFERROR(INDEX(EmployeeData[Gender], ROW() - 37), "")</f>
        <v>Other</v>
      </c>
      <c r="F158" s="4" cm="1">
        <f t="array" ref="F158">IFERROR(INDEX(EmployeeData[Age], ROW() - 37), "")</f>
        <v>43</v>
      </c>
      <c r="G158" s="6" cm="1">
        <f t="array" ref="G158">IFERROR(INDEX(EmployeeData[Join Date], ROW() - 37), "")</f>
        <v>43349</v>
      </c>
      <c r="H158" s="6" t="str" cm="1">
        <f t="array" ref="H158">IFERROR(IF(INDEX(EmployeeData[Exit Date], ROW() - 37)=0, "",INDEX(EmployeeData[Exit Date], ROW() - 37)),"")</f>
        <v/>
      </c>
      <c r="I158" s="4" t="str" cm="1">
        <f t="array" ref="I158">IFERROR(IF(INDEX(EmployeeData[Exit Reason], ROW() - 37)=0, "",INDEX(EmployeeData[Exit Reason], ROW() - 37)),"")</f>
        <v/>
      </c>
      <c r="J158" s="4" t="str" cm="1">
        <f t="array" ref="J158">IFERROR(INDEX(EmployeeData[Status], ROW() - 37), "")</f>
        <v>Active</v>
      </c>
    </row>
    <row r="159" spans="2:10" ht="19.95" customHeight="1" x14ac:dyDescent="0.3">
      <c r="B159" s="4" cm="1">
        <f t="array" ref="B159">IFERROR(INDEX(EmployeeData[Employee ID], ROW() - 37), "")</f>
        <v>1122</v>
      </c>
      <c r="C159" s="4" t="str" cm="1">
        <f t="array" ref="C159">IFERROR(INDEX(EmployeeData[Full Name], ROW() - 37), "")</f>
        <v>Rosa Mendoza</v>
      </c>
      <c r="D159" s="4" t="str" cm="1">
        <f t="array" ref="D159">IFERROR(INDEX(EmployeeData[Department], ROW() - 37), "")</f>
        <v>Sales</v>
      </c>
      <c r="E159" s="4" t="str" cm="1">
        <f t="array" ref="E159">IFERROR(INDEX(EmployeeData[Gender], ROW() - 37), "")</f>
        <v>Female</v>
      </c>
      <c r="F159" s="4" cm="1">
        <f t="array" ref="F159">IFERROR(INDEX(EmployeeData[Age], ROW() - 37), "")</f>
        <v>34</v>
      </c>
      <c r="G159" s="6" cm="1">
        <f t="array" ref="G159">IFERROR(INDEX(EmployeeData[Join Date], ROW() - 37), "")</f>
        <v>45729</v>
      </c>
      <c r="H159" s="6" t="str" cm="1">
        <f t="array" ref="H159">IFERROR(IF(INDEX(EmployeeData[Exit Date], ROW() - 37)=0, "",INDEX(EmployeeData[Exit Date], ROW() - 37)),"")</f>
        <v/>
      </c>
      <c r="I159" s="4" t="str" cm="1">
        <f t="array" ref="I159">IFERROR(IF(INDEX(EmployeeData[Exit Reason], ROW() - 37)=0, "",INDEX(EmployeeData[Exit Reason], ROW() - 37)),"")</f>
        <v/>
      </c>
      <c r="J159" s="4" t="str" cm="1">
        <f t="array" ref="J159">IFERROR(INDEX(EmployeeData[Status], ROW() - 37), "")</f>
        <v>Active</v>
      </c>
    </row>
    <row r="160" spans="2:10" ht="19.95" customHeight="1" x14ac:dyDescent="0.3">
      <c r="B160" s="4" cm="1">
        <f t="array" ref="B160">IFERROR(INDEX(EmployeeData[Employee ID], ROW() - 37), "")</f>
        <v>1123</v>
      </c>
      <c r="C160" s="4" t="str" cm="1">
        <f t="array" ref="C160">IFERROR(INDEX(EmployeeData[Full Name], ROW() - 37), "")</f>
        <v>Queenie Mangubat</v>
      </c>
      <c r="D160" s="4" t="str" cm="1">
        <f t="array" ref="D160">IFERROR(INDEX(EmployeeData[Department], ROW() - 37), "")</f>
        <v>IT</v>
      </c>
      <c r="E160" s="4" t="str" cm="1">
        <f t="array" ref="E160">IFERROR(INDEX(EmployeeData[Gender], ROW() - 37), "")</f>
        <v>Female</v>
      </c>
      <c r="F160" s="4" cm="1">
        <f t="array" ref="F160">IFERROR(INDEX(EmployeeData[Age], ROW() - 37), "")</f>
        <v>57</v>
      </c>
      <c r="G160" s="6" cm="1">
        <f t="array" ref="G160">IFERROR(INDEX(EmployeeData[Join Date], ROW() - 37), "")</f>
        <v>43941</v>
      </c>
      <c r="H160" s="6" cm="1">
        <f t="array" ref="H160">IFERROR(IF(INDEX(EmployeeData[Exit Date], ROW() - 37)=0, "",INDEX(EmployeeData[Exit Date], ROW() - 37)),"")</f>
        <v>44879</v>
      </c>
      <c r="I160" s="4" t="str" cm="1">
        <f t="array" ref="I160">IFERROR(IF(INDEX(EmployeeData[Exit Reason], ROW() - 37)=0, "",INDEX(EmployeeData[Exit Reason], ROW() - 37)),"")</f>
        <v>Relocation</v>
      </c>
      <c r="J160" s="4" t="str" cm="1">
        <f t="array" ref="J160">IFERROR(INDEX(EmployeeData[Status], ROW() - 37), "")</f>
        <v>Exited</v>
      </c>
    </row>
    <row r="161" spans="2:10" ht="19.95" customHeight="1" x14ac:dyDescent="0.3">
      <c r="B161" s="4" cm="1">
        <f t="array" ref="B161">IFERROR(INDEX(EmployeeData[Employee ID], ROW() - 37), "")</f>
        <v>1124</v>
      </c>
      <c r="C161" s="4" t="str" cm="1">
        <f t="array" ref="C161">IFERROR(INDEX(EmployeeData[Full Name], ROW() - 37), "")</f>
        <v>Oscar Go</v>
      </c>
      <c r="D161" s="4" t="str" cm="1">
        <f t="array" ref="D161">IFERROR(INDEX(EmployeeData[Department], ROW() - 37), "")</f>
        <v>Sales</v>
      </c>
      <c r="E161" s="4" t="str" cm="1">
        <f t="array" ref="E161">IFERROR(INDEX(EmployeeData[Gender], ROW() - 37), "")</f>
        <v>Male</v>
      </c>
      <c r="F161" s="4" cm="1">
        <f t="array" ref="F161">IFERROR(INDEX(EmployeeData[Age], ROW() - 37), "")</f>
        <v>38</v>
      </c>
      <c r="G161" s="6" cm="1">
        <f t="array" ref="G161">IFERROR(INDEX(EmployeeData[Join Date], ROW() - 37), "")</f>
        <v>43693</v>
      </c>
      <c r="H161" s="6" t="str" cm="1">
        <f t="array" ref="H161">IFERROR(IF(INDEX(EmployeeData[Exit Date], ROW() - 37)=0, "",INDEX(EmployeeData[Exit Date], ROW() - 37)),"")</f>
        <v/>
      </c>
      <c r="I161" s="4" t="str" cm="1">
        <f t="array" ref="I161">IFERROR(IF(INDEX(EmployeeData[Exit Reason], ROW() - 37)=0, "",INDEX(EmployeeData[Exit Reason], ROW() - 37)),"")</f>
        <v/>
      </c>
      <c r="J161" s="4" t="str" cm="1">
        <f t="array" ref="J161">IFERROR(INDEX(EmployeeData[Status], ROW() - 37), "")</f>
        <v>Active</v>
      </c>
    </row>
    <row r="162" spans="2:10" ht="19.95" customHeight="1" x14ac:dyDescent="0.3">
      <c r="B162" s="4" cm="1">
        <f t="array" ref="B162">IFERROR(INDEX(EmployeeData[Employee ID], ROW() - 37), "")</f>
        <v>1125</v>
      </c>
      <c r="C162" s="4" t="str" cm="1">
        <f t="array" ref="C162">IFERROR(INDEX(EmployeeData[Full Name], ROW() - 37), "")</f>
        <v>Sam Ramos Soriano</v>
      </c>
      <c r="D162" s="4" t="str" cm="1">
        <f t="array" ref="D162">IFERROR(INDEX(EmployeeData[Department], ROW() - 37), "")</f>
        <v>Customer Support</v>
      </c>
      <c r="E162" s="4" t="str" cm="1">
        <f t="array" ref="E162">IFERROR(INDEX(EmployeeData[Gender], ROW() - 37), "")</f>
        <v>Other</v>
      </c>
      <c r="F162" s="4" cm="1">
        <f t="array" ref="F162">IFERROR(INDEX(EmployeeData[Age], ROW() - 37), "")</f>
        <v>29</v>
      </c>
      <c r="G162" s="6" cm="1">
        <f t="array" ref="G162">IFERROR(INDEX(EmployeeData[Join Date], ROW() - 37), "")</f>
        <v>43161</v>
      </c>
      <c r="H162" s="6" cm="1">
        <f t="array" ref="H162">IFERROR(IF(INDEX(EmployeeData[Exit Date], ROW() - 37)=0, "",INDEX(EmployeeData[Exit Date], ROW() - 37)),"")</f>
        <v>44225</v>
      </c>
      <c r="I162" s="4" t="str" cm="1">
        <f t="array" ref="I162">IFERROR(IF(INDEX(EmployeeData[Exit Reason], ROW() - 37)=0, "",INDEX(EmployeeData[Exit Reason], ROW() - 37)),"")</f>
        <v>Relocation</v>
      </c>
      <c r="J162" s="4" t="str" cm="1">
        <f t="array" ref="J162">IFERROR(INDEX(EmployeeData[Status], ROW() - 37), "")</f>
        <v>Exited</v>
      </c>
    </row>
    <row r="163" spans="2:10" ht="19.95" customHeight="1" x14ac:dyDescent="0.3">
      <c r="B163" s="4" cm="1">
        <f t="array" ref="B163">IFERROR(INDEX(EmployeeData[Employee ID], ROW() - 37), "")</f>
        <v>1126</v>
      </c>
      <c r="C163" s="4" t="str" cm="1">
        <f t="array" ref="C163">IFERROR(INDEX(EmployeeData[Full Name], ROW() - 37), "")</f>
        <v>Jerome Uy Cueto</v>
      </c>
      <c r="D163" s="4" t="str" cm="1">
        <f t="array" ref="D163">IFERROR(INDEX(EmployeeData[Department], ROW() - 37), "")</f>
        <v>HR</v>
      </c>
      <c r="E163" s="4" t="str" cm="1">
        <f t="array" ref="E163">IFERROR(INDEX(EmployeeData[Gender], ROW() - 37), "")</f>
        <v>Male</v>
      </c>
      <c r="F163" s="4" cm="1">
        <f t="array" ref="F163">IFERROR(INDEX(EmployeeData[Age], ROW() - 37), "")</f>
        <v>25</v>
      </c>
      <c r="G163" s="6" cm="1">
        <f t="array" ref="G163">IFERROR(INDEX(EmployeeData[Join Date], ROW() - 37), "")</f>
        <v>45051</v>
      </c>
      <c r="H163" s="6" t="str" cm="1">
        <f t="array" ref="H163">IFERROR(IF(INDEX(EmployeeData[Exit Date], ROW() - 37)=0, "",INDEX(EmployeeData[Exit Date], ROW() - 37)),"")</f>
        <v/>
      </c>
      <c r="I163" s="4" t="str" cm="1">
        <f t="array" ref="I163">IFERROR(IF(INDEX(EmployeeData[Exit Reason], ROW() - 37)=0, "",INDEX(EmployeeData[Exit Reason], ROW() - 37)),"")</f>
        <v/>
      </c>
      <c r="J163" s="4" t="str" cm="1">
        <f t="array" ref="J163">IFERROR(INDEX(EmployeeData[Status], ROW() - 37), "")</f>
        <v>Active</v>
      </c>
    </row>
    <row r="164" spans="2:10" ht="19.95" customHeight="1" x14ac:dyDescent="0.3">
      <c r="B164" s="4" cm="1">
        <f t="array" ref="B164">IFERROR(INDEX(EmployeeData[Employee ID], ROW() - 37), "")</f>
        <v>1127</v>
      </c>
      <c r="C164" s="4" t="str" cm="1">
        <f t="array" ref="C164">IFERROR(INDEX(EmployeeData[Full Name], ROW() - 37), "")</f>
        <v>Carmen Bayani</v>
      </c>
      <c r="D164" s="4" t="str" cm="1">
        <f t="array" ref="D164">IFERROR(INDEX(EmployeeData[Department], ROW() - 37), "")</f>
        <v>Marketing</v>
      </c>
      <c r="E164" s="4" t="str" cm="1">
        <f t="array" ref="E164">IFERROR(INDEX(EmployeeData[Gender], ROW() - 37), "")</f>
        <v>Other</v>
      </c>
      <c r="F164" s="4" cm="1">
        <f t="array" ref="F164">IFERROR(INDEX(EmployeeData[Age], ROW() - 37), "")</f>
        <v>23</v>
      </c>
      <c r="G164" s="6" cm="1">
        <f t="array" ref="G164">IFERROR(INDEX(EmployeeData[Join Date], ROW() - 37), "")</f>
        <v>45799</v>
      </c>
      <c r="H164" s="6" t="str" cm="1">
        <f t="array" ref="H164">IFERROR(IF(INDEX(EmployeeData[Exit Date], ROW() - 37)=0, "",INDEX(EmployeeData[Exit Date], ROW() - 37)),"")</f>
        <v/>
      </c>
      <c r="I164" s="4" t="str" cm="1">
        <f t="array" ref="I164">IFERROR(IF(INDEX(EmployeeData[Exit Reason], ROW() - 37)=0, "",INDEX(EmployeeData[Exit Reason], ROW() - 37)),"")</f>
        <v/>
      </c>
      <c r="J164" s="4" t="str" cm="1">
        <f t="array" ref="J164">IFERROR(INDEX(EmployeeData[Status], ROW() - 37), "")</f>
        <v>Active</v>
      </c>
    </row>
    <row r="165" spans="2:10" ht="19.95" customHeight="1" x14ac:dyDescent="0.3">
      <c r="B165" s="4" cm="1">
        <f t="array" ref="B165">IFERROR(INDEX(EmployeeData[Employee ID], ROW() - 37), "")</f>
        <v>1128</v>
      </c>
      <c r="C165" s="4" t="str" cm="1">
        <f t="array" ref="C165">IFERROR(INDEX(EmployeeData[Full Name], ROW() - 37), "")</f>
        <v>Gani Miranda</v>
      </c>
      <c r="D165" s="4" t="str" cm="1">
        <f t="array" ref="D165">IFERROR(INDEX(EmployeeData[Department], ROW() - 37), "")</f>
        <v>Customer Support</v>
      </c>
      <c r="E165" s="4" t="str" cm="1">
        <f t="array" ref="E165">IFERROR(INDEX(EmployeeData[Gender], ROW() - 37), "")</f>
        <v>Male</v>
      </c>
      <c r="F165" s="4" cm="1">
        <f t="array" ref="F165">IFERROR(INDEX(EmployeeData[Age], ROW() - 37), "")</f>
        <v>46</v>
      </c>
      <c r="G165" s="6" cm="1">
        <f t="array" ref="G165">IFERROR(INDEX(EmployeeData[Join Date], ROW() - 37), "")</f>
        <v>44847</v>
      </c>
      <c r="H165" s="6" t="str" cm="1">
        <f t="array" ref="H165">IFERROR(IF(INDEX(EmployeeData[Exit Date], ROW() - 37)=0, "",INDEX(EmployeeData[Exit Date], ROW() - 37)),"")</f>
        <v/>
      </c>
      <c r="I165" s="4" t="str" cm="1">
        <f t="array" ref="I165">IFERROR(IF(INDEX(EmployeeData[Exit Reason], ROW() - 37)=0, "",INDEX(EmployeeData[Exit Reason], ROW() - 37)),"")</f>
        <v/>
      </c>
      <c r="J165" s="4" t="str" cm="1">
        <f t="array" ref="J165">IFERROR(INDEX(EmployeeData[Status], ROW() - 37), "")</f>
        <v>Active</v>
      </c>
    </row>
    <row r="166" spans="2:10" ht="19.95" customHeight="1" x14ac:dyDescent="0.3">
      <c r="B166" s="4" cm="1">
        <f t="array" ref="B166">IFERROR(INDEX(EmployeeData[Employee ID], ROW() - 37), "")</f>
        <v>1129</v>
      </c>
      <c r="C166" s="4" t="str" cm="1">
        <f t="array" ref="C166">IFERROR(INDEX(EmployeeData[Full Name], ROW() - 37), "")</f>
        <v>Nena Sy Chua</v>
      </c>
      <c r="D166" s="4" t="str" cm="1">
        <f t="array" ref="D166">IFERROR(INDEX(EmployeeData[Department], ROW() - 37), "")</f>
        <v>Customer Support</v>
      </c>
      <c r="E166" s="4" t="str" cm="1">
        <f t="array" ref="E166">IFERROR(INDEX(EmployeeData[Gender], ROW() - 37), "")</f>
        <v>Female</v>
      </c>
      <c r="F166" s="4" cm="1">
        <f t="array" ref="F166">IFERROR(INDEX(EmployeeData[Age], ROW() - 37), "")</f>
        <v>30</v>
      </c>
      <c r="G166" s="6" cm="1">
        <f t="array" ref="G166">IFERROR(INDEX(EmployeeData[Join Date], ROW() - 37), "")</f>
        <v>43370</v>
      </c>
      <c r="H166" s="6" cm="1">
        <f t="array" ref="H166">IFERROR(IF(INDEX(EmployeeData[Exit Date], ROW() - 37)=0, "",INDEX(EmployeeData[Exit Date], ROW() - 37)),"")</f>
        <v>44791</v>
      </c>
      <c r="I166" s="4" t="str" cm="1">
        <f t="array" ref="I166">IFERROR(IF(INDEX(EmployeeData[Exit Reason], ROW() - 37)=0, "",INDEX(EmployeeData[Exit Reason], ROW() - 37)),"")</f>
        <v>Termination</v>
      </c>
      <c r="J166" s="4" t="str" cm="1">
        <f t="array" ref="J166">IFERROR(INDEX(EmployeeData[Status], ROW() - 37), "")</f>
        <v>Exited</v>
      </c>
    </row>
    <row r="167" spans="2:10" ht="19.95" customHeight="1" x14ac:dyDescent="0.3">
      <c r="B167" s="4" cm="1">
        <f t="array" ref="B167">IFERROR(INDEX(EmployeeData[Employee ID], ROW() - 37), "")</f>
        <v>1130</v>
      </c>
      <c r="C167" s="4" t="str" cm="1">
        <f t="array" ref="C167">IFERROR(INDEX(EmployeeData[Full Name], ROW() - 37), "")</f>
        <v>Antonio Go Bondoc</v>
      </c>
      <c r="D167" s="4" t="str" cm="1">
        <f t="array" ref="D167">IFERROR(INDEX(EmployeeData[Department], ROW() - 37), "")</f>
        <v>Customer Support</v>
      </c>
      <c r="E167" s="4" t="str" cm="1">
        <f t="array" ref="E167">IFERROR(INDEX(EmployeeData[Gender], ROW() - 37), "")</f>
        <v>Other</v>
      </c>
      <c r="F167" s="4" cm="1">
        <f t="array" ref="F167">IFERROR(INDEX(EmployeeData[Age], ROW() - 37), "")</f>
        <v>56</v>
      </c>
      <c r="G167" s="6" cm="1">
        <f t="array" ref="G167">IFERROR(INDEX(EmployeeData[Join Date], ROW() - 37), "")</f>
        <v>43981</v>
      </c>
      <c r="H167" s="6" t="str" cm="1">
        <f t="array" ref="H167">IFERROR(IF(INDEX(EmployeeData[Exit Date], ROW() - 37)=0, "",INDEX(EmployeeData[Exit Date], ROW() - 37)),"")</f>
        <v/>
      </c>
      <c r="I167" s="4" t="str" cm="1">
        <f t="array" ref="I167">IFERROR(IF(INDEX(EmployeeData[Exit Reason], ROW() - 37)=0, "",INDEX(EmployeeData[Exit Reason], ROW() - 37)),"")</f>
        <v/>
      </c>
      <c r="J167" s="4" t="str" cm="1">
        <f t="array" ref="J167">IFERROR(INDEX(EmployeeData[Status], ROW() - 37), "")</f>
        <v>Active</v>
      </c>
    </row>
    <row r="168" spans="2:10" ht="19.95" customHeight="1" x14ac:dyDescent="0.3">
      <c r="B168" s="4" cm="1">
        <f t="array" ref="B168">IFERROR(INDEX(EmployeeData[Employee ID], ROW() - 37), "")</f>
        <v>1131</v>
      </c>
      <c r="C168" s="4" t="str" cm="1">
        <f t="array" ref="C168">IFERROR(INDEX(EmployeeData[Full Name], ROW() - 37), "")</f>
        <v>Cameron Guevarra</v>
      </c>
      <c r="D168" s="4" t="str" cm="1">
        <f t="array" ref="D168">IFERROR(INDEX(EmployeeData[Department], ROW() - 37), "")</f>
        <v>IT</v>
      </c>
      <c r="E168" s="4" t="str" cm="1">
        <f t="array" ref="E168">IFERROR(INDEX(EmployeeData[Gender], ROW() - 37), "")</f>
        <v>Other</v>
      </c>
      <c r="F168" s="4" cm="1">
        <f t="array" ref="F168">IFERROR(INDEX(EmployeeData[Age], ROW() - 37), "")</f>
        <v>41</v>
      </c>
      <c r="G168" s="6" cm="1">
        <f t="array" ref="G168">IFERROR(INDEX(EmployeeData[Join Date], ROW() - 37), "")</f>
        <v>44849</v>
      </c>
      <c r="H168" s="6" cm="1">
        <f t="array" ref="H168">IFERROR(IF(INDEX(EmployeeData[Exit Date], ROW() - 37)=0, "",INDEX(EmployeeData[Exit Date], ROW() - 37)),"")</f>
        <v>45461</v>
      </c>
      <c r="I168" s="4" t="str" cm="1">
        <f t="array" ref="I168">IFERROR(IF(INDEX(EmployeeData[Exit Reason], ROW() - 37)=0, "",INDEX(EmployeeData[Exit Reason], ROW() - 37)),"")</f>
        <v>Termination</v>
      </c>
      <c r="J168" s="4" t="str" cm="1">
        <f t="array" ref="J168">IFERROR(INDEX(EmployeeData[Status], ROW() - 37), "")</f>
        <v>Exited</v>
      </c>
    </row>
    <row r="169" spans="2:10" ht="19.95" customHeight="1" x14ac:dyDescent="0.3">
      <c r="B169" s="4" cm="1">
        <f t="array" ref="B169">IFERROR(INDEX(EmployeeData[Employee ID], ROW() - 37), "")</f>
        <v>1132</v>
      </c>
      <c r="C169" s="4" t="str" cm="1">
        <f t="array" ref="C169">IFERROR(INDEX(EmployeeData[Full Name], ROW() - 37), "")</f>
        <v>Rowena Diaz Torres</v>
      </c>
      <c r="D169" s="4" t="str" cm="1">
        <f t="array" ref="D169">IFERROR(INDEX(EmployeeData[Department], ROW() - 37), "")</f>
        <v>Customer Support</v>
      </c>
      <c r="E169" s="4" t="str" cm="1">
        <f t="array" ref="E169">IFERROR(INDEX(EmployeeData[Gender], ROW() - 37), "")</f>
        <v>Other</v>
      </c>
      <c r="F169" s="4" cm="1">
        <f t="array" ref="F169">IFERROR(INDEX(EmployeeData[Age], ROW() - 37), "")</f>
        <v>26</v>
      </c>
      <c r="G169" s="6" cm="1">
        <f t="array" ref="G169">IFERROR(INDEX(EmployeeData[Join Date], ROW() - 37), "")</f>
        <v>44869</v>
      </c>
      <c r="H169" s="6" cm="1">
        <f t="array" ref="H169">IFERROR(IF(INDEX(EmployeeData[Exit Date], ROW() - 37)=0, "",INDEX(EmployeeData[Exit Date], ROW() - 37)),"")</f>
        <v>45722</v>
      </c>
      <c r="I169" s="4" t="str" cm="1">
        <f t="array" ref="I169">IFERROR(IF(INDEX(EmployeeData[Exit Reason], ROW() - 37)=0, "",INDEX(EmployeeData[Exit Reason], ROW() - 37)),"")</f>
        <v>Resignation</v>
      </c>
      <c r="J169" s="4" t="str" cm="1">
        <f t="array" ref="J169">IFERROR(INDEX(EmployeeData[Status], ROW() - 37), "")</f>
        <v>Exited</v>
      </c>
    </row>
    <row r="170" spans="2:10" ht="19.95" customHeight="1" x14ac:dyDescent="0.3">
      <c r="B170" s="4" cm="1">
        <f t="array" ref="B170">IFERROR(INDEX(EmployeeData[Employee ID], ROW() - 37), "")</f>
        <v>1133</v>
      </c>
      <c r="C170" s="4" t="str" cm="1">
        <f t="array" ref="C170">IFERROR(INDEX(EmployeeData[Full Name], ROW() - 37), "")</f>
        <v>Zeus Flores Yap</v>
      </c>
      <c r="D170" s="4" t="str" cm="1">
        <f t="array" ref="D170">IFERROR(INDEX(EmployeeData[Department], ROW() - 37), "")</f>
        <v>HR</v>
      </c>
      <c r="E170" s="4" t="str" cm="1">
        <f t="array" ref="E170">IFERROR(INDEX(EmployeeData[Gender], ROW() - 37), "")</f>
        <v>Male</v>
      </c>
      <c r="F170" s="4" cm="1">
        <f t="array" ref="F170">IFERROR(INDEX(EmployeeData[Age], ROW() - 37), "")</f>
        <v>48</v>
      </c>
      <c r="G170" s="6" cm="1">
        <f t="array" ref="G170">IFERROR(INDEX(EmployeeData[Join Date], ROW() - 37), "")</f>
        <v>43311</v>
      </c>
      <c r="H170" s="6" t="str" cm="1">
        <f t="array" ref="H170">IFERROR(IF(INDEX(EmployeeData[Exit Date], ROW() - 37)=0, "",INDEX(EmployeeData[Exit Date], ROW() - 37)),"")</f>
        <v/>
      </c>
      <c r="I170" s="4" t="str" cm="1">
        <f t="array" ref="I170">IFERROR(IF(INDEX(EmployeeData[Exit Reason], ROW() - 37)=0, "",INDEX(EmployeeData[Exit Reason], ROW() - 37)),"")</f>
        <v/>
      </c>
      <c r="J170" s="4" t="str" cm="1">
        <f t="array" ref="J170">IFERROR(INDEX(EmployeeData[Status], ROW() - 37), "")</f>
        <v>Active</v>
      </c>
    </row>
    <row r="171" spans="2:10" ht="19.95" customHeight="1" x14ac:dyDescent="0.3">
      <c r="B171" s="4" cm="1">
        <f t="array" ref="B171">IFERROR(INDEX(EmployeeData[Employee ID], ROW() - 37), "")</f>
        <v>1134</v>
      </c>
      <c r="C171" s="4" t="str" cm="1">
        <f t="array" ref="C171">IFERROR(INDEX(EmployeeData[Full Name], ROW() - 37), "")</f>
        <v>Kevin Gonzales</v>
      </c>
      <c r="D171" s="4" t="str" cm="1">
        <f t="array" ref="D171">IFERROR(INDEX(EmployeeData[Department], ROW() - 37), "")</f>
        <v>Customer Support</v>
      </c>
      <c r="E171" s="4" t="str" cm="1">
        <f t="array" ref="E171">IFERROR(INDEX(EmployeeData[Gender], ROW() - 37), "")</f>
        <v>Male</v>
      </c>
      <c r="F171" s="4" cm="1">
        <f t="array" ref="F171">IFERROR(INDEX(EmployeeData[Age], ROW() - 37), "")</f>
        <v>27</v>
      </c>
      <c r="G171" s="6" cm="1">
        <f t="array" ref="G171">IFERROR(INDEX(EmployeeData[Join Date], ROW() - 37), "")</f>
        <v>44535</v>
      </c>
      <c r="H171" s="6" t="str" cm="1">
        <f t="array" ref="H171">IFERROR(IF(INDEX(EmployeeData[Exit Date], ROW() - 37)=0, "",INDEX(EmployeeData[Exit Date], ROW() - 37)),"")</f>
        <v/>
      </c>
      <c r="I171" s="4" t="str" cm="1">
        <f t="array" ref="I171">IFERROR(IF(INDEX(EmployeeData[Exit Reason], ROW() - 37)=0, "",INDEX(EmployeeData[Exit Reason], ROW() - 37)),"")</f>
        <v/>
      </c>
      <c r="J171" s="4" t="str" cm="1">
        <f t="array" ref="J171">IFERROR(INDEX(EmployeeData[Status], ROW() - 37), "")</f>
        <v>Active</v>
      </c>
    </row>
    <row r="172" spans="2:10" ht="19.95" customHeight="1" x14ac:dyDescent="0.3">
      <c r="B172" s="4" cm="1">
        <f t="array" ref="B172">IFERROR(INDEX(EmployeeData[Employee ID], ROW() - 37), "")</f>
        <v>1135</v>
      </c>
      <c r="C172" s="4" t="str" cm="1">
        <f t="array" ref="C172">IFERROR(INDEX(EmployeeData[Full Name], ROW() - 37), "")</f>
        <v>Rowena Bautista</v>
      </c>
      <c r="D172" s="4" t="str" cm="1">
        <f t="array" ref="D172">IFERROR(INDEX(EmployeeData[Department], ROW() - 37), "")</f>
        <v>Marketing</v>
      </c>
      <c r="E172" s="4" t="str" cm="1">
        <f t="array" ref="E172">IFERROR(INDEX(EmployeeData[Gender], ROW() - 37), "")</f>
        <v>Other</v>
      </c>
      <c r="F172" s="4" cm="1">
        <f t="array" ref="F172">IFERROR(INDEX(EmployeeData[Age], ROW() - 37), "")</f>
        <v>56</v>
      </c>
      <c r="G172" s="6" cm="1">
        <f t="array" ref="G172">IFERROR(INDEX(EmployeeData[Join Date], ROW() - 37), "")</f>
        <v>45647</v>
      </c>
      <c r="H172" s="6" t="str" cm="1">
        <f t="array" ref="H172">IFERROR(IF(INDEX(EmployeeData[Exit Date], ROW() - 37)=0, "",INDEX(EmployeeData[Exit Date], ROW() - 37)),"")</f>
        <v/>
      </c>
      <c r="I172" s="4" t="str" cm="1">
        <f t="array" ref="I172">IFERROR(IF(INDEX(EmployeeData[Exit Reason], ROW() - 37)=0, "",INDEX(EmployeeData[Exit Reason], ROW() - 37)),"")</f>
        <v/>
      </c>
      <c r="J172" s="4" t="str" cm="1">
        <f t="array" ref="J172">IFERROR(INDEX(EmployeeData[Status], ROW() - 37), "")</f>
        <v>Active</v>
      </c>
    </row>
    <row r="173" spans="2:10" ht="19.95" customHeight="1" x14ac:dyDescent="0.3">
      <c r="B173" s="4" cm="1">
        <f t="array" ref="B173">IFERROR(INDEX(EmployeeData[Employee ID], ROW() - 37), "")</f>
        <v>1136</v>
      </c>
      <c r="C173" s="4" t="str" cm="1">
        <f t="array" ref="C173">IFERROR(INDEX(EmployeeData[Full Name], ROW() - 37), "")</f>
        <v>Efren Fernandez Santos</v>
      </c>
      <c r="D173" s="4" t="str" cm="1">
        <f t="array" ref="D173">IFERROR(INDEX(EmployeeData[Department], ROW() - 37), "")</f>
        <v>HR</v>
      </c>
      <c r="E173" s="4" t="str" cm="1">
        <f t="array" ref="E173">IFERROR(INDEX(EmployeeData[Gender], ROW() - 37), "")</f>
        <v>Other</v>
      </c>
      <c r="F173" s="4" cm="1">
        <f t="array" ref="F173">IFERROR(INDEX(EmployeeData[Age], ROW() - 37), "")</f>
        <v>22</v>
      </c>
      <c r="G173" s="6" cm="1">
        <f t="array" ref="G173">IFERROR(INDEX(EmployeeData[Join Date], ROW() - 37), "")</f>
        <v>43839</v>
      </c>
      <c r="H173" s="6" cm="1">
        <f t="array" ref="H173">IFERROR(IF(INDEX(EmployeeData[Exit Date], ROW() - 37)=0, "",INDEX(EmployeeData[Exit Date], ROW() - 37)),"")</f>
        <v>45194</v>
      </c>
      <c r="I173" s="4" t="str" cm="1">
        <f t="array" ref="I173">IFERROR(IF(INDEX(EmployeeData[Exit Reason], ROW() - 37)=0, "",INDEX(EmployeeData[Exit Reason], ROW() - 37)),"")</f>
        <v>Contract End</v>
      </c>
      <c r="J173" s="4" t="str" cm="1">
        <f t="array" ref="J173">IFERROR(INDEX(EmployeeData[Status], ROW() - 37), "")</f>
        <v>Exited</v>
      </c>
    </row>
    <row r="174" spans="2:10" ht="19.95" customHeight="1" x14ac:dyDescent="0.3">
      <c r="B174" s="4" cm="1">
        <f t="array" ref="B174">IFERROR(INDEX(EmployeeData[Employee ID], ROW() - 37), "")</f>
        <v>1137</v>
      </c>
      <c r="C174" s="4" t="str" cm="1">
        <f t="array" ref="C174">IFERROR(INDEX(EmployeeData[Full Name], ROW() - 37), "")</f>
        <v>Danilo Rivera Del Rosario</v>
      </c>
      <c r="D174" s="4" t="str" cm="1">
        <f t="array" ref="D174">IFERROR(INDEX(EmployeeData[Department], ROW() - 37), "")</f>
        <v>Marketing</v>
      </c>
      <c r="E174" s="4" t="str" cm="1">
        <f t="array" ref="E174">IFERROR(INDEX(EmployeeData[Gender], ROW() - 37), "")</f>
        <v>Male</v>
      </c>
      <c r="F174" s="4" cm="1">
        <f t="array" ref="F174">IFERROR(INDEX(EmployeeData[Age], ROW() - 37), "")</f>
        <v>30</v>
      </c>
      <c r="G174" s="6" cm="1">
        <f t="array" ref="G174">IFERROR(INDEX(EmployeeData[Join Date], ROW() - 37), "")</f>
        <v>45694</v>
      </c>
      <c r="H174" s="6" t="str" cm="1">
        <f t="array" ref="H174">IFERROR(IF(INDEX(EmployeeData[Exit Date], ROW() - 37)=0, "",INDEX(EmployeeData[Exit Date], ROW() - 37)),"")</f>
        <v/>
      </c>
      <c r="I174" s="4" t="str" cm="1">
        <f t="array" ref="I174">IFERROR(IF(INDEX(EmployeeData[Exit Reason], ROW() - 37)=0, "",INDEX(EmployeeData[Exit Reason], ROW() - 37)),"")</f>
        <v/>
      </c>
      <c r="J174" s="4" t="str" cm="1">
        <f t="array" ref="J174">IFERROR(INDEX(EmployeeData[Status], ROW() - 37), "")</f>
        <v>Active</v>
      </c>
    </row>
    <row r="175" spans="2:10" ht="19.95" customHeight="1" x14ac:dyDescent="0.3">
      <c r="B175" s="4" cm="1">
        <f t="array" ref="B175">IFERROR(INDEX(EmployeeData[Employee ID], ROW() - 37), "")</f>
        <v>1138</v>
      </c>
      <c r="C175" s="4" t="str" cm="1">
        <f t="array" ref="C175">IFERROR(INDEX(EmployeeData[Full Name], ROW() - 37), "")</f>
        <v>Sonny Bautista Perez</v>
      </c>
      <c r="D175" s="4" t="str" cm="1">
        <f t="array" ref="D175">IFERROR(INDEX(EmployeeData[Department], ROW() - 37), "")</f>
        <v>IT</v>
      </c>
      <c r="E175" s="4" t="str" cm="1">
        <f t="array" ref="E175">IFERROR(INDEX(EmployeeData[Gender], ROW() - 37), "")</f>
        <v>Male</v>
      </c>
      <c r="F175" s="4" cm="1">
        <f t="array" ref="F175">IFERROR(INDEX(EmployeeData[Age], ROW() - 37), "")</f>
        <v>44</v>
      </c>
      <c r="G175" s="6" cm="1">
        <f t="array" ref="G175">IFERROR(INDEX(EmployeeData[Join Date], ROW() - 37), "")</f>
        <v>44377</v>
      </c>
      <c r="H175" s="6" t="str" cm="1">
        <f t="array" ref="H175">IFERROR(IF(INDEX(EmployeeData[Exit Date], ROW() - 37)=0, "",INDEX(EmployeeData[Exit Date], ROW() - 37)),"")</f>
        <v/>
      </c>
      <c r="I175" s="4" t="str" cm="1">
        <f t="array" ref="I175">IFERROR(IF(INDEX(EmployeeData[Exit Reason], ROW() - 37)=0, "",INDEX(EmployeeData[Exit Reason], ROW() - 37)),"")</f>
        <v/>
      </c>
      <c r="J175" s="4" t="str" cm="1">
        <f t="array" ref="J175">IFERROR(INDEX(EmployeeData[Status], ROW() - 37), "")</f>
        <v>Active</v>
      </c>
    </row>
    <row r="176" spans="2:10" ht="19.95" customHeight="1" x14ac:dyDescent="0.3">
      <c r="B176" s="4" cm="1">
        <f t="array" ref="B176">IFERROR(INDEX(EmployeeData[Employee ID], ROW() - 37), "")</f>
        <v>1139</v>
      </c>
      <c r="C176" s="4" t="str" cm="1">
        <f t="array" ref="C176">IFERROR(INDEX(EmployeeData[Full Name], ROW() - 37), "")</f>
        <v>Isabel Aguilar Quiambao</v>
      </c>
      <c r="D176" s="4" t="str" cm="1">
        <f t="array" ref="D176">IFERROR(INDEX(EmployeeData[Department], ROW() - 37), "")</f>
        <v>Customer Support</v>
      </c>
      <c r="E176" s="4" t="str" cm="1">
        <f t="array" ref="E176">IFERROR(INDEX(EmployeeData[Gender], ROW() - 37), "")</f>
        <v>Other</v>
      </c>
      <c r="F176" s="4" cm="1">
        <f t="array" ref="F176">IFERROR(INDEX(EmployeeData[Age], ROW() - 37), "")</f>
        <v>24</v>
      </c>
      <c r="G176" s="6" cm="1">
        <f t="array" ref="G176">IFERROR(INDEX(EmployeeData[Join Date], ROW() - 37), "")</f>
        <v>45861</v>
      </c>
      <c r="H176" s="6" cm="1">
        <f t="array" ref="H176">IFERROR(IF(INDEX(EmployeeData[Exit Date], ROW() - 37)=0, "",INDEX(EmployeeData[Exit Date], ROW() - 37)),"")</f>
        <v>46064</v>
      </c>
      <c r="I176" s="4" t="str" cm="1">
        <f t="array" ref="I176">IFERROR(IF(INDEX(EmployeeData[Exit Reason], ROW() - 37)=0, "",INDEX(EmployeeData[Exit Reason], ROW() - 37)),"")</f>
        <v>Relocation</v>
      </c>
      <c r="J176" s="4" t="str" cm="1">
        <f t="array" ref="J176">IFERROR(INDEX(EmployeeData[Status], ROW() - 37), "")</f>
        <v>Exited</v>
      </c>
    </row>
    <row r="177" spans="2:10" ht="19.95" customHeight="1" x14ac:dyDescent="0.3">
      <c r="B177" s="4" cm="1">
        <f t="array" ref="B177">IFERROR(INDEX(EmployeeData[Employee ID], ROW() - 37), "")</f>
        <v>1140</v>
      </c>
      <c r="C177" s="4" t="str" cm="1">
        <f t="array" ref="C177">IFERROR(INDEX(EmployeeData[Full Name], ROW() - 37), "")</f>
        <v>Christian Bautista Garcia</v>
      </c>
      <c r="D177" s="4" t="str" cm="1">
        <f t="array" ref="D177">IFERROR(INDEX(EmployeeData[Department], ROW() - 37), "")</f>
        <v>Customer Support</v>
      </c>
      <c r="E177" s="4" t="str" cm="1">
        <f t="array" ref="E177">IFERROR(INDEX(EmployeeData[Gender], ROW() - 37), "")</f>
        <v>Male</v>
      </c>
      <c r="F177" s="4" cm="1">
        <f t="array" ref="F177">IFERROR(INDEX(EmployeeData[Age], ROW() - 37), "")</f>
        <v>43</v>
      </c>
      <c r="G177" s="6" cm="1">
        <f t="array" ref="G177">IFERROR(INDEX(EmployeeData[Join Date], ROW() - 37), "")</f>
        <v>44861</v>
      </c>
      <c r="H177" s="6" cm="1">
        <f t="array" ref="H177">IFERROR(IF(INDEX(EmployeeData[Exit Date], ROW() - 37)=0, "",INDEX(EmployeeData[Exit Date], ROW() - 37)),"")</f>
        <v>46165</v>
      </c>
      <c r="I177" s="4" t="str" cm="1">
        <f t="array" ref="I177">IFERROR(IF(INDEX(EmployeeData[Exit Reason], ROW() - 37)=0, "",INDEX(EmployeeData[Exit Reason], ROW() - 37)),"")</f>
        <v>Health Issues</v>
      </c>
      <c r="J177" s="4" t="str" cm="1">
        <f t="array" ref="J177">IFERROR(INDEX(EmployeeData[Status], ROW() - 37), "")</f>
        <v>Exited</v>
      </c>
    </row>
    <row r="178" spans="2:10" ht="19.95" customHeight="1" x14ac:dyDescent="0.3">
      <c r="B178" s="4" cm="1">
        <f t="array" ref="B178">IFERROR(INDEX(EmployeeData[Employee ID], ROW() - 37), "")</f>
        <v>1141</v>
      </c>
      <c r="C178" s="4" t="str" cm="1">
        <f t="array" ref="C178">IFERROR(INDEX(EmployeeData[Full Name], ROW() - 37), "")</f>
        <v>Estrella Ang Dalisay</v>
      </c>
      <c r="D178" s="4" t="str" cm="1">
        <f t="array" ref="D178">IFERROR(INDEX(EmployeeData[Department], ROW() - 37), "")</f>
        <v>Customer Support</v>
      </c>
      <c r="E178" s="4" t="str" cm="1">
        <f t="array" ref="E178">IFERROR(INDEX(EmployeeData[Gender], ROW() - 37), "")</f>
        <v>Female</v>
      </c>
      <c r="F178" s="4" cm="1">
        <f t="array" ref="F178">IFERROR(INDEX(EmployeeData[Age], ROW() - 37), "")</f>
        <v>34</v>
      </c>
      <c r="G178" s="6" cm="1">
        <f t="array" ref="G178">IFERROR(INDEX(EmployeeData[Join Date], ROW() - 37), "")</f>
        <v>43663</v>
      </c>
      <c r="H178" s="6" t="str" cm="1">
        <f t="array" ref="H178">IFERROR(IF(INDEX(EmployeeData[Exit Date], ROW() - 37)=0, "",INDEX(EmployeeData[Exit Date], ROW() - 37)),"")</f>
        <v/>
      </c>
      <c r="I178" s="4" t="str" cm="1">
        <f t="array" ref="I178">IFERROR(IF(INDEX(EmployeeData[Exit Reason], ROW() - 37)=0, "",INDEX(EmployeeData[Exit Reason], ROW() - 37)),"")</f>
        <v/>
      </c>
      <c r="J178" s="4" t="str" cm="1">
        <f t="array" ref="J178">IFERROR(INDEX(EmployeeData[Status], ROW() - 37), "")</f>
        <v>Active</v>
      </c>
    </row>
    <row r="179" spans="2:10" ht="19.95" customHeight="1" x14ac:dyDescent="0.3">
      <c r="B179" s="4" cm="1">
        <f t="array" ref="B179">IFERROR(INDEX(EmployeeData[Employee ID], ROW() - 37), "")</f>
        <v>1142</v>
      </c>
      <c r="C179" s="4" t="str" cm="1">
        <f t="array" ref="C179">IFERROR(INDEX(EmployeeData[Full Name], ROW() - 37), "")</f>
        <v>Kath Jacinto</v>
      </c>
      <c r="D179" s="4" t="str" cm="1">
        <f t="array" ref="D179">IFERROR(INDEX(EmployeeData[Department], ROW() - 37), "")</f>
        <v>HR</v>
      </c>
      <c r="E179" s="4" t="str" cm="1">
        <f t="array" ref="E179">IFERROR(INDEX(EmployeeData[Gender], ROW() - 37), "")</f>
        <v>Female</v>
      </c>
      <c r="F179" s="4" cm="1">
        <f t="array" ref="F179">IFERROR(INDEX(EmployeeData[Age], ROW() - 37), "")</f>
        <v>45</v>
      </c>
      <c r="G179" s="6" cm="1">
        <f t="array" ref="G179">IFERROR(INDEX(EmployeeData[Join Date], ROW() - 37), "")</f>
        <v>45282</v>
      </c>
      <c r="H179" s="6" t="str" cm="1">
        <f t="array" ref="H179">IFERROR(IF(INDEX(EmployeeData[Exit Date], ROW() - 37)=0, "",INDEX(EmployeeData[Exit Date], ROW() - 37)),"")</f>
        <v/>
      </c>
      <c r="I179" s="4" t="str" cm="1">
        <f t="array" ref="I179">IFERROR(IF(INDEX(EmployeeData[Exit Reason], ROW() - 37)=0, "",INDEX(EmployeeData[Exit Reason], ROW() - 37)),"")</f>
        <v/>
      </c>
      <c r="J179" s="4" t="str" cm="1">
        <f t="array" ref="J179">IFERROR(INDEX(EmployeeData[Status], ROW() - 37), "")</f>
        <v>Active</v>
      </c>
    </row>
    <row r="180" spans="2:10" ht="19.95" customHeight="1" x14ac:dyDescent="0.3">
      <c r="B180" s="4" cm="1">
        <f t="array" ref="B180">IFERROR(INDEX(EmployeeData[Employee ID], ROW() - 37), "")</f>
        <v>1143</v>
      </c>
      <c r="C180" s="4" t="str" cm="1">
        <f t="array" ref="C180">IFERROR(INDEX(EmployeeData[Full Name], ROW() - 37), "")</f>
        <v>Aileen Lim Macapagal</v>
      </c>
      <c r="D180" s="4" t="str" cm="1">
        <f t="array" ref="D180">IFERROR(INDEX(EmployeeData[Department], ROW() - 37), "")</f>
        <v>HR</v>
      </c>
      <c r="E180" s="4" t="str" cm="1">
        <f t="array" ref="E180">IFERROR(INDEX(EmployeeData[Gender], ROW() - 37), "")</f>
        <v>Female</v>
      </c>
      <c r="F180" s="4" cm="1">
        <f t="array" ref="F180">IFERROR(INDEX(EmployeeData[Age], ROW() - 37), "")</f>
        <v>23</v>
      </c>
      <c r="G180" s="6" cm="1">
        <f t="array" ref="G180">IFERROR(INDEX(EmployeeData[Join Date], ROW() - 37), "")</f>
        <v>44887</v>
      </c>
      <c r="H180" s="6" cm="1">
        <f t="array" ref="H180">IFERROR(IF(INDEX(EmployeeData[Exit Date], ROW() - 37)=0, "",INDEX(EmployeeData[Exit Date], ROW() - 37)),"")</f>
        <v>45136</v>
      </c>
      <c r="I180" s="4" t="str" cm="1">
        <f t="array" ref="I180">IFERROR(IF(INDEX(EmployeeData[Exit Reason], ROW() - 37)=0, "",INDEX(EmployeeData[Exit Reason], ROW() - 37)),"")</f>
        <v>Resignation</v>
      </c>
      <c r="J180" s="4" t="str" cm="1">
        <f t="array" ref="J180">IFERROR(INDEX(EmployeeData[Status], ROW() - 37), "")</f>
        <v>Exited</v>
      </c>
    </row>
    <row r="181" spans="2:10" ht="19.95" customHeight="1" x14ac:dyDescent="0.3">
      <c r="B181" s="4" cm="1">
        <f t="array" ref="B181">IFERROR(INDEX(EmployeeData[Employee ID], ROW() - 37), "")</f>
        <v>1144</v>
      </c>
      <c r="C181" s="4" t="str" cm="1">
        <f t="array" ref="C181">IFERROR(INDEX(EmployeeData[Full Name], ROW() - 37), "")</f>
        <v>Alvin Hernandez</v>
      </c>
      <c r="D181" s="4" t="str" cm="1">
        <f t="array" ref="D181">IFERROR(INDEX(EmployeeData[Department], ROW() - 37), "")</f>
        <v>IT</v>
      </c>
      <c r="E181" s="4" t="str" cm="1">
        <f t="array" ref="E181">IFERROR(INDEX(EmployeeData[Gender], ROW() - 37), "")</f>
        <v>Male</v>
      </c>
      <c r="F181" s="4" cm="1">
        <f t="array" ref="F181">IFERROR(INDEX(EmployeeData[Age], ROW() - 37), "")</f>
        <v>41</v>
      </c>
      <c r="G181" s="6" cm="1">
        <f t="array" ref="G181">IFERROR(INDEX(EmployeeData[Join Date], ROW() - 37), "")</f>
        <v>43804</v>
      </c>
      <c r="H181" s="6" t="str" cm="1">
        <f t="array" ref="H181">IFERROR(IF(INDEX(EmployeeData[Exit Date], ROW() - 37)=0, "",INDEX(EmployeeData[Exit Date], ROW() - 37)),"")</f>
        <v/>
      </c>
      <c r="I181" s="4" t="str" cm="1">
        <f t="array" ref="I181">IFERROR(IF(INDEX(EmployeeData[Exit Reason], ROW() - 37)=0, "",INDEX(EmployeeData[Exit Reason], ROW() - 37)),"")</f>
        <v/>
      </c>
      <c r="J181" s="4" t="str" cm="1">
        <f t="array" ref="J181">IFERROR(INDEX(EmployeeData[Status], ROW() - 37), "")</f>
        <v>Active</v>
      </c>
    </row>
    <row r="182" spans="2:10" ht="19.95" customHeight="1" x14ac:dyDescent="0.3">
      <c r="B182" s="4" cm="1">
        <f t="array" ref="B182">IFERROR(INDEX(EmployeeData[Employee ID], ROW() - 37), "")</f>
        <v>1145</v>
      </c>
      <c r="C182" s="4" t="str" cm="1">
        <f t="array" ref="C182">IFERROR(INDEX(EmployeeData[Full Name], ROW() - 37), "")</f>
        <v>Teresa Soriano Ramos</v>
      </c>
      <c r="D182" s="4" t="str" cm="1">
        <f t="array" ref="D182">IFERROR(INDEX(EmployeeData[Department], ROW() - 37), "")</f>
        <v>Customer Support</v>
      </c>
      <c r="E182" s="4" t="str" cm="1">
        <f t="array" ref="E182">IFERROR(INDEX(EmployeeData[Gender], ROW() - 37), "")</f>
        <v>Other</v>
      </c>
      <c r="F182" s="4" cm="1">
        <f t="array" ref="F182">IFERROR(INDEX(EmployeeData[Age], ROW() - 37), "")</f>
        <v>36</v>
      </c>
      <c r="G182" s="6" cm="1">
        <f t="array" ref="G182">IFERROR(INDEX(EmployeeData[Join Date], ROW() - 37), "")</f>
        <v>44885</v>
      </c>
      <c r="H182" s="6" t="str" cm="1">
        <f t="array" ref="H182">IFERROR(IF(INDEX(EmployeeData[Exit Date], ROW() - 37)=0, "",INDEX(EmployeeData[Exit Date], ROW() - 37)),"")</f>
        <v/>
      </c>
      <c r="I182" s="4" t="str" cm="1">
        <f t="array" ref="I182">IFERROR(IF(INDEX(EmployeeData[Exit Reason], ROW() - 37)=0, "",INDEX(EmployeeData[Exit Reason], ROW() - 37)),"")</f>
        <v/>
      </c>
      <c r="J182" s="4" t="str" cm="1">
        <f t="array" ref="J182">IFERROR(INDEX(EmployeeData[Status], ROW() - 37), "")</f>
        <v>Active</v>
      </c>
    </row>
    <row r="183" spans="2:10" ht="19.95" customHeight="1" x14ac:dyDescent="0.3">
      <c r="B183" s="4" cm="1">
        <f t="array" ref="B183">IFERROR(INDEX(EmployeeData[Employee ID], ROW() - 37), "")</f>
        <v>1146</v>
      </c>
      <c r="C183" s="4" t="str" cm="1">
        <f t="array" ref="C183">IFERROR(INDEX(EmployeeData[Full Name], ROW() - 37), "")</f>
        <v>Josephine Vega Elegado</v>
      </c>
      <c r="D183" s="4" t="str" cm="1">
        <f t="array" ref="D183">IFERROR(INDEX(EmployeeData[Department], ROW() - 37), "")</f>
        <v>HR</v>
      </c>
      <c r="E183" s="4" t="str" cm="1">
        <f t="array" ref="E183">IFERROR(INDEX(EmployeeData[Gender], ROW() - 37), "")</f>
        <v>Female</v>
      </c>
      <c r="F183" s="4" cm="1">
        <f t="array" ref="F183">IFERROR(INDEX(EmployeeData[Age], ROW() - 37), "")</f>
        <v>31</v>
      </c>
      <c r="G183" s="6" cm="1">
        <f t="array" ref="G183">IFERROR(INDEX(EmployeeData[Join Date], ROW() - 37), "")</f>
        <v>43413</v>
      </c>
      <c r="H183" s="6" t="str" cm="1">
        <f t="array" ref="H183">IFERROR(IF(INDEX(EmployeeData[Exit Date], ROW() - 37)=0, "",INDEX(EmployeeData[Exit Date], ROW() - 37)),"")</f>
        <v/>
      </c>
      <c r="I183" s="4" t="str" cm="1">
        <f t="array" ref="I183">IFERROR(IF(INDEX(EmployeeData[Exit Reason], ROW() - 37)=0, "",INDEX(EmployeeData[Exit Reason], ROW() - 37)),"")</f>
        <v/>
      </c>
      <c r="J183" s="4" t="str" cm="1">
        <f t="array" ref="J183">IFERROR(INDEX(EmployeeData[Status], ROW() - 37), "")</f>
        <v>Active</v>
      </c>
    </row>
    <row r="184" spans="2:10" ht="19.95" customHeight="1" x14ac:dyDescent="0.3">
      <c r="B184" s="4" cm="1">
        <f t="array" ref="B184">IFERROR(INDEX(EmployeeData[Employee ID], ROW() - 37), "")</f>
        <v>1147</v>
      </c>
      <c r="C184" s="4" t="str" cm="1">
        <f t="array" ref="C184">IFERROR(INDEX(EmployeeData[Full Name], ROW() - 37), "")</f>
        <v>Cristina Domingo</v>
      </c>
      <c r="D184" s="4" t="str" cm="1">
        <f t="array" ref="D184">IFERROR(INDEX(EmployeeData[Department], ROW() - 37), "")</f>
        <v>IT</v>
      </c>
      <c r="E184" s="4" t="str" cm="1">
        <f t="array" ref="E184">IFERROR(INDEX(EmployeeData[Gender], ROW() - 37), "")</f>
        <v>Other</v>
      </c>
      <c r="F184" s="4" cm="1">
        <f t="array" ref="F184">IFERROR(INDEX(EmployeeData[Age], ROW() - 37), "")</f>
        <v>30</v>
      </c>
      <c r="G184" s="6" cm="1">
        <f t="array" ref="G184">IFERROR(INDEX(EmployeeData[Join Date], ROW() - 37), "")</f>
        <v>44068</v>
      </c>
      <c r="H184" s="6" cm="1">
        <f t="array" ref="H184">IFERROR(IF(INDEX(EmployeeData[Exit Date], ROW() - 37)=0, "",INDEX(EmployeeData[Exit Date], ROW() - 37)),"")</f>
        <v>44682</v>
      </c>
      <c r="I184" s="4" t="str" cm="1">
        <f t="array" ref="I184">IFERROR(IF(INDEX(EmployeeData[Exit Reason], ROW() - 37)=0, "",INDEX(EmployeeData[Exit Reason], ROW() - 37)),"")</f>
        <v>Better Opportunity</v>
      </c>
      <c r="J184" s="4" t="str" cm="1">
        <f t="array" ref="J184">IFERROR(INDEX(EmployeeData[Status], ROW() - 37), "")</f>
        <v>Exited</v>
      </c>
    </row>
    <row r="185" spans="2:10" ht="19.95" customHeight="1" x14ac:dyDescent="0.3">
      <c r="B185" s="4" cm="1">
        <f t="array" ref="B185">IFERROR(INDEX(EmployeeData[Employee ID], ROW() - 37), "")</f>
        <v>1148</v>
      </c>
      <c r="C185" s="4" t="str" cm="1">
        <f t="array" ref="C185">IFERROR(INDEX(EmployeeData[Full Name], ROW() - 37), "")</f>
        <v>Daisy Guevarra</v>
      </c>
      <c r="D185" s="4" t="str" cm="1">
        <f t="array" ref="D185">IFERROR(INDEX(EmployeeData[Department], ROW() - 37), "")</f>
        <v>HR</v>
      </c>
      <c r="E185" s="4" t="str" cm="1">
        <f t="array" ref="E185">IFERROR(INDEX(EmployeeData[Gender], ROW() - 37), "")</f>
        <v>Female</v>
      </c>
      <c r="F185" s="4" cm="1">
        <f t="array" ref="F185">IFERROR(INDEX(EmployeeData[Age], ROW() - 37), "")</f>
        <v>52</v>
      </c>
      <c r="G185" s="6" cm="1">
        <f t="array" ref="G185">IFERROR(INDEX(EmployeeData[Join Date], ROW() - 37), "")</f>
        <v>45001</v>
      </c>
      <c r="H185" s="6" t="str" cm="1">
        <f t="array" ref="H185">IFERROR(IF(INDEX(EmployeeData[Exit Date], ROW() - 37)=0, "",INDEX(EmployeeData[Exit Date], ROW() - 37)),"")</f>
        <v/>
      </c>
      <c r="I185" s="4" t="str" cm="1">
        <f t="array" ref="I185">IFERROR(IF(INDEX(EmployeeData[Exit Reason], ROW() - 37)=0, "",INDEX(EmployeeData[Exit Reason], ROW() - 37)),"")</f>
        <v/>
      </c>
      <c r="J185" s="4" t="str" cm="1">
        <f t="array" ref="J185">IFERROR(INDEX(EmployeeData[Status], ROW() - 37), "")</f>
        <v>Active</v>
      </c>
    </row>
    <row r="186" spans="2:10" ht="19.95" customHeight="1" x14ac:dyDescent="0.3">
      <c r="B186" s="4" cm="1">
        <f t="array" ref="B186">IFERROR(INDEX(EmployeeData[Employee ID], ROW() - 37), "")</f>
        <v>1149</v>
      </c>
      <c r="C186" s="4" t="str" cm="1">
        <f t="array" ref="C186">IFERROR(INDEX(EmployeeData[Full Name], ROW() - 37), "")</f>
        <v>Victor Aguilar Valencia</v>
      </c>
      <c r="D186" s="4" t="str" cm="1">
        <f t="array" ref="D186">IFERROR(INDEX(EmployeeData[Department], ROW() - 37), "")</f>
        <v>Marketing</v>
      </c>
      <c r="E186" s="4" t="str" cm="1">
        <f t="array" ref="E186">IFERROR(INDEX(EmployeeData[Gender], ROW() - 37), "")</f>
        <v>Male</v>
      </c>
      <c r="F186" s="4" cm="1">
        <f t="array" ref="F186">IFERROR(INDEX(EmployeeData[Age], ROW() - 37), "")</f>
        <v>41</v>
      </c>
      <c r="G186" s="6" cm="1">
        <f t="array" ref="G186">IFERROR(INDEX(EmployeeData[Join Date], ROW() - 37), "")</f>
        <v>45670</v>
      </c>
      <c r="H186" s="6" cm="1">
        <f t="array" ref="H186">IFERROR(IF(INDEX(EmployeeData[Exit Date], ROW() - 37)=0, "",INDEX(EmployeeData[Exit Date], ROW() - 37)),"")</f>
        <v>45985</v>
      </c>
      <c r="I186" s="4" t="str" cm="1">
        <f t="array" ref="I186">IFERROR(IF(INDEX(EmployeeData[Exit Reason], ROW() - 37)=0, "",INDEX(EmployeeData[Exit Reason], ROW() - 37)),"")</f>
        <v>Better Opportunity</v>
      </c>
      <c r="J186" s="4" t="str" cm="1">
        <f t="array" ref="J186">IFERROR(INDEX(EmployeeData[Status], ROW() - 37), "")</f>
        <v>Exited</v>
      </c>
    </row>
    <row r="187" spans="2:10" ht="19.95" customHeight="1" x14ac:dyDescent="0.3">
      <c r="B187" s="4" cm="1">
        <f t="array" ref="B187">IFERROR(INDEX(EmployeeData[Employee ID], ROW() - 37), "")</f>
        <v>1150</v>
      </c>
      <c r="C187" s="4" t="str" cm="1">
        <f t="array" ref="C187">IFERROR(INDEX(EmployeeData[Full Name], ROW() - 37), "")</f>
        <v>Antonio Pascual Torres</v>
      </c>
      <c r="D187" s="4" t="str" cm="1">
        <f t="array" ref="D187">IFERROR(INDEX(EmployeeData[Department], ROW() - 37), "")</f>
        <v>Marketing</v>
      </c>
      <c r="E187" s="4" t="str" cm="1">
        <f t="array" ref="E187">IFERROR(INDEX(EmployeeData[Gender], ROW() - 37), "")</f>
        <v>Male</v>
      </c>
      <c r="F187" s="4" cm="1">
        <f t="array" ref="F187">IFERROR(INDEX(EmployeeData[Age], ROW() - 37), "")</f>
        <v>25</v>
      </c>
      <c r="G187" s="6" cm="1">
        <f t="array" ref="G187">IFERROR(INDEX(EmployeeData[Join Date], ROW() - 37), "")</f>
        <v>44372</v>
      </c>
      <c r="H187" s="6" t="str" cm="1">
        <f t="array" ref="H187">IFERROR(IF(INDEX(EmployeeData[Exit Date], ROW() - 37)=0, "",INDEX(EmployeeData[Exit Date], ROW() - 37)),"")</f>
        <v/>
      </c>
      <c r="I187" s="4" t="str" cm="1">
        <f t="array" ref="I187">IFERROR(IF(INDEX(EmployeeData[Exit Reason], ROW() - 37)=0, "",INDEX(EmployeeData[Exit Reason], ROW() - 37)),"")</f>
        <v/>
      </c>
      <c r="J187" s="4" t="str" cm="1">
        <f t="array" ref="J187">IFERROR(INDEX(EmployeeData[Status], ROW() - 37), "")</f>
        <v>Active</v>
      </c>
    </row>
    <row r="188" spans="2:10" ht="19.95" customHeight="1" x14ac:dyDescent="0.3">
      <c r="B188" s="4" cm="1">
        <f t="array" ref="B188">IFERROR(INDEX(EmployeeData[Employee ID], ROW() - 37), "")</f>
        <v>1151</v>
      </c>
      <c r="C188" s="4" t="str" cm="1">
        <f t="array" ref="C188">IFERROR(INDEX(EmployeeData[Full Name], ROW() - 37), "")</f>
        <v>Arnel Cruz Suarez</v>
      </c>
      <c r="D188" s="4" t="str" cm="1">
        <f t="array" ref="D188">IFERROR(INDEX(EmployeeData[Department], ROW() - 37), "")</f>
        <v>Customer Support</v>
      </c>
      <c r="E188" s="4" t="str" cm="1">
        <f t="array" ref="E188">IFERROR(INDEX(EmployeeData[Gender], ROW() - 37), "")</f>
        <v>Other</v>
      </c>
      <c r="F188" s="4" cm="1">
        <f t="array" ref="F188">IFERROR(INDEX(EmployeeData[Age], ROW() - 37), "")</f>
        <v>26</v>
      </c>
      <c r="G188" s="6" cm="1">
        <f t="array" ref="G188">IFERROR(INDEX(EmployeeData[Join Date], ROW() - 37), "")</f>
        <v>45620</v>
      </c>
      <c r="H188" s="6" t="str" cm="1">
        <f t="array" ref="H188">IFERROR(IF(INDEX(EmployeeData[Exit Date], ROW() - 37)=0, "",INDEX(EmployeeData[Exit Date], ROW() - 37)),"")</f>
        <v/>
      </c>
      <c r="I188" s="4" t="str" cm="1">
        <f t="array" ref="I188">IFERROR(IF(INDEX(EmployeeData[Exit Reason], ROW() - 37)=0, "",INDEX(EmployeeData[Exit Reason], ROW() - 37)),"")</f>
        <v/>
      </c>
      <c r="J188" s="4" t="str" cm="1">
        <f t="array" ref="J188">IFERROR(INDEX(EmployeeData[Status], ROW() - 37), "")</f>
        <v>Active</v>
      </c>
    </row>
    <row r="189" spans="2:10" ht="19.95" customHeight="1" x14ac:dyDescent="0.3">
      <c r="B189" s="4" cm="1">
        <f t="array" ref="B189">IFERROR(INDEX(EmployeeData[Employee ID], ROW() - 37), "")</f>
        <v>1152</v>
      </c>
      <c r="C189" s="4" t="str" cm="1">
        <f t="array" ref="C189">IFERROR(INDEX(EmployeeData[Full Name], ROW() - 37), "")</f>
        <v>Pilar Domingo</v>
      </c>
      <c r="D189" s="4" t="str" cm="1">
        <f t="array" ref="D189">IFERROR(INDEX(EmployeeData[Department], ROW() - 37), "")</f>
        <v>IT</v>
      </c>
      <c r="E189" s="4" t="str" cm="1">
        <f t="array" ref="E189">IFERROR(INDEX(EmployeeData[Gender], ROW() - 37), "")</f>
        <v>Other</v>
      </c>
      <c r="F189" s="4" cm="1">
        <f t="array" ref="F189">IFERROR(INDEX(EmployeeData[Age], ROW() - 37), "")</f>
        <v>33</v>
      </c>
      <c r="G189" s="6" cm="1">
        <f t="array" ref="G189">IFERROR(INDEX(EmployeeData[Join Date], ROW() - 37), "")</f>
        <v>44417</v>
      </c>
      <c r="H189" s="6" t="str" cm="1">
        <f t="array" ref="H189">IFERROR(IF(INDEX(EmployeeData[Exit Date], ROW() - 37)=0, "",INDEX(EmployeeData[Exit Date], ROW() - 37)),"")</f>
        <v/>
      </c>
      <c r="I189" s="4" t="str" cm="1">
        <f t="array" ref="I189">IFERROR(IF(INDEX(EmployeeData[Exit Reason], ROW() - 37)=0, "",INDEX(EmployeeData[Exit Reason], ROW() - 37)),"")</f>
        <v/>
      </c>
      <c r="J189" s="4" t="str" cm="1">
        <f t="array" ref="J189">IFERROR(INDEX(EmployeeData[Status], ROW() - 37), "")</f>
        <v>Active</v>
      </c>
    </row>
    <row r="190" spans="2:10" ht="19.95" customHeight="1" x14ac:dyDescent="0.3">
      <c r="B190" s="4" cm="1">
        <f t="array" ref="B190">IFERROR(INDEX(EmployeeData[Employee ID], ROW() - 37), "")</f>
        <v>1153</v>
      </c>
      <c r="C190" s="4" t="str" cm="1">
        <f t="array" ref="C190">IFERROR(INDEX(EmployeeData[Full Name], ROW() - 37), "")</f>
        <v>Jose Uy Garcia</v>
      </c>
      <c r="D190" s="4" t="str" cm="1">
        <f t="array" ref="D190">IFERROR(INDEX(EmployeeData[Department], ROW() - 37), "")</f>
        <v>IT</v>
      </c>
      <c r="E190" s="4" t="str" cm="1">
        <f t="array" ref="E190">IFERROR(INDEX(EmployeeData[Gender], ROW() - 37), "")</f>
        <v>Other</v>
      </c>
      <c r="F190" s="4" cm="1">
        <f t="array" ref="F190">IFERROR(INDEX(EmployeeData[Age], ROW() - 37), "")</f>
        <v>42</v>
      </c>
      <c r="G190" s="6" cm="1">
        <f t="array" ref="G190">IFERROR(INDEX(EmployeeData[Join Date], ROW() - 37), "")</f>
        <v>43446</v>
      </c>
      <c r="H190" s="6" t="str" cm="1">
        <f t="array" ref="H190">IFERROR(IF(INDEX(EmployeeData[Exit Date], ROW() - 37)=0, "",INDEX(EmployeeData[Exit Date], ROW() - 37)),"")</f>
        <v/>
      </c>
      <c r="I190" s="4" t="str" cm="1">
        <f t="array" ref="I190">IFERROR(IF(INDEX(EmployeeData[Exit Reason], ROW() - 37)=0, "",INDEX(EmployeeData[Exit Reason], ROW() - 37)),"")</f>
        <v/>
      </c>
      <c r="J190" s="4" t="str" cm="1">
        <f t="array" ref="J190">IFERROR(INDEX(EmployeeData[Status], ROW() - 37), "")</f>
        <v>Active</v>
      </c>
    </row>
    <row r="191" spans="2:10" ht="19.95" customHeight="1" x14ac:dyDescent="0.3">
      <c r="B191" s="4" cm="1">
        <f t="array" ref="B191">IFERROR(INDEX(EmployeeData[Employee ID], ROW() - 37), "")</f>
        <v>1154</v>
      </c>
      <c r="C191" s="4" t="str" cm="1">
        <f t="array" ref="C191">IFERROR(INDEX(EmployeeData[Full Name], ROW() - 37), "")</f>
        <v>Gerald Diaz Figueroa</v>
      </c>
      <c r="D191" s="4" t="str" cm="1">
        <f t="array" ref="D191">IFERROR(INDEX(EmployeeData[Department], ROW() - 37), "")</f>
        <v>Finance</v>
      </c>
      <c r="E191" s="4" t="str" cm="1">
        <f t="array" ref="E191">IFERROR(INDEX(EmployeeData[Gender], ROW() - 37), "")</f>
        <v>Male</v>
      </c>
      <c r="F191" s="4" cm="1">
        <f t="array" ref="F191">IFERROR(INDEX(EmployeeData[Age], ROW() - 37), "")</f>
        <v>31</v>
      </c>
      <c r="G191" s="6" cm="1">
        <f t="array" ref="G191">IFERROR(INDEX(EmployeeData[Join Date], ROW() - 37), "")</f>
        <v>44591</v>
      </c>
      <c r="H191" s="6" cm="1">
        <f t="array" ref="H191">IFERROR(IF(INDEX(EmployeeData[Exit Date], ROW() - 37)=0, "",INDEX(EmployeeData[Exit Date], ROW() - 37)),"")</f>
        <v>45260</v>
      </c>
      <c r="I191" s="4" t="str" cm="1">
        <f t="array" ref="I191">IFERROR(IF(INDEX(EmployeeData[Exit Reason], ROW() - 37)=0, "",INDEX(EmployeeData[Exit Reason], ROW() - 37)),"")</f>
        <v>Termination</v>
      </c>
      <c r="J191" s="4" t="str" cm="1">
        <f t="array" ref="J191">IFERROR(INDEX(EmployeeData[Status], ROW() - 37), "")</f>
        <v>Exited</v>
      </c>
    </row>
    <row r="192" spans="2:10" ht="19.95" customHeight="1" x14ac:dyDescent="0.3">
      <c r="B192" s="4" cm="1">
        <f t="array" ref="B192">IFERROR(INDEX(EmployeeData[Employee ID], ROW() - 37), "")</f>
        <v>1155</v>
      </c>
      <c r="C192" s="4" t="str" cm="1">
        <f t="array" ref="C192">IFERROR(INDEX(EmployeeData[Full Name], ROW() - 37), "")</f>
        <v>Florinda Fernandez Mangubat</v>
      </c>
      <c r="D192" s="4" t="str" cm="1">
        <f t="array" ref="D192">IFERROR(INDEX(EmployeeData[Department], ROW() - 37), "")</f>
        <v>Customer Support</v>
      </c>
      <c r="E192" s="4" t="str" cm="1">
        <f t="array" ref="E192">IFERROR(INDEX(EmployeeData[Gender], ROW() - 37), "")</f>
        <v>Female</v>
      </c>
      <c r="F192" s="4" cm="1">
        <f t="array" ref="F192">IFERROR(INDEX(EmployeeData[Age], ROW() - 37), "")</f>
        <v>45</v>
      </c>
      <c r="G192" s="6" cm="1">
        <f t="array" ref="G192">IFERROR(INDEX(EmployeeData[Join Date], ROW() - 37), "")</f>
        <v>44264</v>
      </c>
      <c r="H192" s="6" cm="1">
        <f t="array" ref="H192">IFERROR(IF(INDEX(EmployeeData[Exit Date], ROW() - 37)=0, "",INDEX(EmployeeData[Exit Date], ROW() - 37)),"")</f>
        <v>46098</v>
      </c>
      <c r="I192" s="4" t="str" cm="1">
        <f t="array" ref="I192">IFERROR(IF(INDEX(EmployeeData[Exit Reason], ROW() - 37)=0, "",INDEX(EmployeeData[Exit Reason], ROW() - 37)),"")</f>
        <v>Relocation</v>
      </c>
      <c r="J192" s="4" t="str" cm="1">
        <f t="array" ref="J192">IFERROR(INDEX(EmployeeData[Status], ROW() - 37), "")</f>
        <v>Exited</v>
      </c>
    </row>
    <row r="193" spans="2:10" ht="19.95" customHeight="1" x14ac:dyDescent="0.3">
      <c r="B193" s="4" cm="1">
        <f t="array" ref="B193">IFERROR(INDEX(EmployeeData[Employee ID], ROW() - 37), "")</f>
        <v>1156</v>
      </c>
      <c r="C193" s="4" t="str" cm="1">
        <f t="array" ref="C193">IFERROR(INDEX(EmployeeData[Full Name], ROW() - 37), "")</f>
        <v>Rowena Diaz Yap</v>
      </c>
      <c r="D193" s="4" t="str" cm="1">
        <f t="array" ref="D193">IFERROR(INDEX(EmployeeData[Department], ROW() - 37), "")</f>
        <v>Finance</v>
      </c>
      <c r="E193" s="4" t="str" cm="1">
        <f t="array" ref="E193">IFERROR(INDEX(EmployeeData[Gender], ROW() - 37), "")</f>
        <v>Female</v>
      </c>
      <c r="F193" s="4" cm="1">
        <f t="array" ref="F193">IFERROR(INDEX(EmployeeData[Age], ROW() - 37), "")</f>
        <v>46</v>
      </c>
      <c r="G193" s="6" cm="1">
        <f t="array" ref="G193">IFERROR(INDEX(EmployeeData[Join Date], ROW() - 37), "")</f>
        <v>43629</v>
      </c>
      <c r="H193" s="6" t="str" cm="1">
        <f t="array" ref="H193">IFERROR(IF(INDEX(EmployeeData[Exit Date], ROW() - 37)=0, "",INDEX(EmployeeData[Exit Date], ROW() - 37)),"")</f>
        <v/>
      </c>
      <c r="I193" s="4" t="str" cm="1">
        <f t="array" ref="I193">IFERROR(IF(INDEX(EmployeeData[Exit Reason], ROW() - 37)=0, "",INDEX(EmployeeData[Exit Reason], ROW() - 37)),"")</f>
        <v/>
      </c>
      <c r="J193" s="4" t="str" cm="1">
        <f t="array" ref="J193">IFERROR(INDEX(EmployeeData[Status], ROW() - 37), "")</f>
        <v>Active</v>
      </c>
    </row>
    <row r="194" spans="2:10" ht="19.95" customHeight="1" x14ac:dyDescent="0.3">
      <c r="B194" s="4" cm="1">
        <f t="array" ref="B194">IFERROR(INDEX(EmployeeData[Employee ID], ROW() - 37), "")</f>
        <v>1157</v>
      </c>
      <c r="C194" s="4" t="str" cm="1">
        <f t="array" ref="C194">IFERROR(INDEX(EmployeeData[Full Name], ROW() - 37), "")</f>
        <v>Samuel Santiago Cueto</v>
      </c>
      <c r="D194" s="4" t="str" cm="1">
        <f t="array" ref="D194">IFERROR(INDEX(EmployeeData[Department], ROW() - 37), "")</f>
        <v>Sales</v>
      </c>
      <c r="E194" s="4" t="str" cm="1">
        <f t="array" ref="E194">IFERROR(INDEX(EmployeeData[Gender], ROW() - 37), "")</f>
        <v>Male</v>
      </c>
      <c r="F194" s="4" cm="1">
        <f t="array" ref="F194">IFERROR(INDEX(EmployeeData[Age], ROW() - 37), "")</f>
        <v>54</v>
      </c>
      <c r="G194" s="6" cm="1">
        <f t="array" ref="G194">IFERROR(INDEX(EmployeeData[Join Date], ROW() - 37), "")</f>
        <v>43483</v>
      </c>
      <c r="H194" s="6" t="str" cm="1">
        <f t="array" ref="H194">IFERROR(IF(INDEX(EmployeeData[Exit Date], ROW() - 37)=0, "",INDEX(EmployeeData[Exit Date], ROW() - 37)),"")</f>
        <v/>
      </c>
      <c r="I194" s="4" t="str" cm="1">
        <f t="array" ref="I194">IFERROR(IF(INDEX(EmployeeData[Exit Reason], ROW() - 37)=0, "",INDEX(EmployeeData[Exit Reason], ROW() - 37)),"")</f>
        <v/>
      </c>
      <c r="J194" s="4" t="str" cm="1">
        <f t="array" ref="J194">IFERROR(INDEX(EmployeeData[Status], ROW() - 37), "")</f>
        <v>Active</v>
      </c>
    </row>
    <row r="195" spans="2:10" ht="19.95" customHeight="1" x14ac:dyDescent="0.3">
      <c r="B195" s="4" cm="1">
        <f t="array" ref="B195">IFERROR(INDEX(EmployeeData[Employee ID], ROW() - 37), "")</f>
        <v>1158</v>
      </c>
      <c r="C195" s="4" t="str" cm="1">
        <f t="array" ref="C195">IFERROR(INDEX(EmployeeData[Full Name], ROW() - 37), "")</f>
        <v>Carlos Cruz Fernandez</v>
      </c>
      <c r="D195" s="4" t="str" cm="1">
        <f t="array" ref="D195">IFERROR(INDEX(EmployeeData[Department], ROW() - 37), "")</f>
        <v>IT</v>
      </c>
      <c r="E195" s="4" t="str" cm="1">
        <f t="array" ref="E195">IFERROR(INDEX(EmployeeData[Gender], ROW() - 37), "")</f>
        <v>Other</v>
      </c>
      <c r="F195" s="4" cm="1">
        <f t="array" ref="F195">IFERROR(INDEX(EmployeeData[Age], ROW() - 37), "")</f>
        <v>42</v>
      </c>
      <c r="G195" s="6" cm="1">
        <f t="array" ref="G195">IFERROR(INDEX(EmployeeData[Join Date], ROW() - 37), "")</f>
        <v>45092</v>
      </c>
      <c r="H195" s="6" cm="1">
        <f t="array" ref="H195">IFERROR(IF(INDEX(EmployeeData[Exit Date], ROW() - 37)=0, "",INDEX(EmployeeData[Exit Date], ROW() - 37)),"")</f>
        <v>45322</v>
      </c>
      <c r="I195" s="4" t="str" cm="1">
        <f t="array" ref="I195">IFERROR(IF(INDEX(EmployeeData[Exit Reason], ROW() - 37)=0, "",INDEX(EmployeeData[Exit Reason], ROW() - 37)),"")</f>
        <v>Better Opportunity</v>
      </c>
      <c r="J195" s="4" t="str" cm="1">
        <f t="array" ref="J195">IFERROR(INDEX(EmployeeData[Status], ROW() - 37), "")</f>
        <v>Exited</v>
      </c>
    </row>
    <row r="196" spans="2:10" ht="19.95" customHeight="1" x14ac:dyDescent="0.3">
      <c r="B196" s="4" cm="1">
        <f t="array" ref="B196">IFERROR(INDEX(EmployeeData[Employee ID], ROW() - 37), "")</f>
        <v>1159</v>
      </c>
      <c r="C196" s="4" t="str" cm="1">
        <f t="array" ref="C196">IFERROR(INDEX(EmployeeData[Full Name], ROW() - 37), "")</f>
        <v>Josephine Pascual</v>
      </c>
      <c r="D196" s="4" t="str" cm="1">
        <f t="array" ref="D196">IFERROR(INDEX(EmployeeData[Department], ROW() - 37), "")</f>
        <v>HR</v>
      </c>
      <c r="E196" s="4" t="str" cm="1">
        <f t="array" ref="E196">IFERROR(INDEX(EmployeeData[Gender], ROW() - 37), "")</f>
        <v>Other</v>
      </c>
      <c r="F196" s="4" cm="1">
        <f t="array" ref="F196">IFERROR(INDEX(EmployeeData[Age], ROW() - 37), "")</f>
        <v>29</v>
      </c>
      <c r="G196" s="6" cm="1">
        <f t="array" ref="G196">IFERROR(INDEX(EmployeeData[Join Date], ROW() - 37), "")</f>
        <v>45547</v>
      </c>
      <c r="H196" s="6" cm="1">
        <f t="array" ref="H196">IFERROR(IF(INDEX(EmployeeData[Exit Date], ROW() - 37)=0, "",INDEX(EmployeeData[Exit Date], ROW() - 37)),"")</f>
        <v>45803</v>
      </c>
      <c r="I196" s="4" t="str" cm="1">
        <f t="array" ref="I196">IFERROR(IF(INDEX(EmployeeData[Exit Reason], ROW() - 37)=0, "",INDEX(EmployeeData[Exit Reason], ROW() - 37)),"")</f>
        <v>Better Opportunity</v>
      </c>
      <c r="J196" s="4" t="str" cm="1">
        <f t="array" ref="J196">IFERROR(INDEX(EmployeeData[Status], ROW() - 37), "")</f>
        <v>Exited</v>
      </c>
    </row>
    <row r="197" spans="2:10" ht="19.95" customHeight="1" x14ac:dyDescent="0.3">
      <c r="B197" s="4" cm="1">
        <f t="array" ref="B197">IFERROR(INDEX(EmployeeData[Employee ID], ROW() - 37), "")</f>
        <v>1160</v>
      </c>
      <c r="C197" s="4" t="str" cm="1">
        <f t="array" ref="C197">IFERROR(INDEX(EmployeeData[Full Name], ROW() - 37), "")</f>
        <v>Warren Soriano Lim</v>
      </c>
      <c r="D197" s="4" t="str" cm="1">
        <f t="array" ref="D197">IFERROR(INDEX(EmployeeData[Department], ROW() - 37), "")</f>
        <v>Customer Support</v>
      </c>
      <c r="E197" s="4" t="str" cm="1">
        <f t="array" ref="E197">IFERROR(INDEX(EmployeeData[Gender], ROW() - 37), "")</f>
        <v>Male</v>
      </c>
      <c r="F197" s="4" cm="1">
        <f t="array" ref="F197">IFERROR(INDEX(EmployeeData[Age], ROW() - 37), "")</f>
        <v>36</v>
      </c>
      <c r="G197" s="6" cm="1">
        <f t="array" ref="G197">IFERROR(INDEX(EmployeeData[Join Date], ROW() - 37), "")</f>
        <v>44920</v>
      </c>
      <c r="H197" s="6" t="str" cm="1">
        <f t="array" ref="H197">IFERROR(IF(INDEX(EmployeeData[Exit Date], ROW() - 37)=0, "",INDEX(EmployeeData[Exit Date], ROW() - 37)),"")</f>
        <v/>
      </c>
      <c r="I197" s="4" t="str" cm="1">
        <f t="array" ref="I197">IFERROR(IF(INDEX(EmployeeData[Exit Reason], ROW() - 37)=0, "",INDEX(EmployeeData[Exit Reason], ROW() - 37)),"")</f>
        <v/>
      </c>
      <c r="J197" s="4" t="str" cm="1">
        <f t="array" ref="J197">IFERROR(INDEX(EmployeeData[Status], ROW() - 37), "")</f>
        <v>Active</v>
      </c>
    </row>
    <row r="198" spans="2:10" ht="19.95" customHeight="1" x14ac:dyDescent="0.3">
      <c r="B198" s="4" cm="1">
        <f t="array" ref="B198">IFERROR(INDEX(EmployeeData[Employee ID], ROW() - 37), "")</f>
        <v>1161</v>
      </c>
      <c r="C198" s="4" t="str" cm="1">
        <f t="array" ref="C198">IFERROR(INDEX(EmployeeData[Full Name], ROW() - 37), "")</f>
        <v>Maricel Pascual Manalo</v>
      </c>
      <c r="D198" s="4" t="str" cm="1">
        <f t="array" ref="D198">IFERROR(INDEX(EmployeeData[Department], ROW() - 37), "")</f>
        <v>Finance</v>
      </c>
      <c r="E198" s="4" t="str" cm="1">
        <f t="array" ref="E198">IFERROR(INDEX(EmployeeData[Gender], ROW() - 37), "")</f>
        <v>Other</v>
      </c>
      <c r="F198" s="4" cm="1">
        <f t="array" ref="F198">IFERROR(INDEX(EmployeeData[Age], ROW() - 37), "")</f>
        <v>33</v>
      </c>
      <c r="G198" s="6" cm="1">
        <f t="array" ref="G198">IFERROR(INDEX(EmployeeData[Join Date], ROW() - 37), "")</f>
        <v>44607</v>
      </c>
      <c r="H198" s="6" t="str" cm="1">
        <f t="array" ref="H198">IFERROR(IF(INDEX(EmployeeData[Exit Date], ROW() - 37)=0, "",INDEX(EmployeeData[Exit Date], ROW() - 37)),"")</f>
        <v/>
      </c>
      <c r="I198" s="4" t="str" cm="1">
        <f t="array" ref="I198">IFERROR(IF(INDEX(EmployeeData[Exit Reason], ROW() - 37)=0, "",INDEX(EmployeeData[Exit Reason], ROW() - 37)),"")</f>
        <v/>
      </c>
      <c r="J198" s="4" t="str" cm="1">
        <f t="array" ref="J198">IFERROR(INDEX(EmployeeData[Status], ROW() - 37), "")</f>
        <v>Active</v>
      </c>
    </row>
    <row r="199" spans="2:10" ht="19.95" customHeight="1" x14ac:dyDescent="0.3">
      <c r="B199" s="4" cm="1">
        <f t="array" ref="B199">IFERROR(INDEX(EmployeeData[Employee ID], ROW() - 37), "")</f>
        <v>1162</v>
      </c>
      <c r="C199" s="4" t="str" cm="1">
        <f t="array" ref="C199">IFERROR(INDEX(EmployeeData[Full Name], ROW() - 37), "")</f>
        <v>Bong Ramirez</v>
      </c>
      <c r="D199" s="4" t="str" cm="1">
        <f t="array" ref="D199">IFERROR(INDEX(EmployeeData[Department], ROW() - 37), "")</f>
        <v>HR</v>
      </c>
      <c r="E199" s="4" t="str" cm="1">
        <f t="array" ref="E199">IFERROR(INDEX(EmployeeData[Gender], ROW() - 37), "")</f>
        <v>Male</v>
      </c>
      <c r="F199" s="4" cm="1">
        <f t="array" ref="F199">IFERROR(INDEX(EmployeeData[Age], ROW() - 37), "")</f>
        <v>47</v>
      </c>
      <c r="G199" s="6" cm="1">
        <f t="array" ref="G199">IFERROR(INDEX(EmployeeData[Join Date], ROW() - 37), "")</f>
        <v>43764</v>
      </c>
      <c r="H199" s="6" t="str" cm="1">
        <f t="array" ref="H199">IFERROR(IF(INDEX(EmployeeData[Exit Date], ROW() - 37)=0, "",INDEX(EmployeeData[Exit Date], ROW() - 37)),"")</f>
        <v/>
      </c>
      <c r="I199" s="4" t="str" cm="1">
        <f t="array" ref="I199">IFERROR(IF(INDEX(EmployeeData[Exit Reason], ROW() - 37)=0, "",INDEX(EmployeeData[Exit Reason], ROW() - 37)),"")</f>
        <v/>
      </c>
      <c r="J199" s="4" t="str" cm="1">
        <f t="array" ref="J199">IFERROR(INDEX(EmployeeData[Status], ROW() - 37), "")</f>
        <v>Active</v>
      </c>
    </row>
    <row r="200" spans="2:10" ht="19.95" customHeight="1" x14ac:dyDescent="0.3">
      <c r="B200" s="4" cm="1">
        <f t="array" ref="B200">IFERROR(INDEX(EmployeeData[Employee ID], ROW() - 37), "")</f>
        <v>1163</v>
      </c>
      <c r="C200" s="4" t="str" cm="1">
        <f t="array" ref="C200">IFERROR(INDEX(EmployeeData[Full Name], ROW() - 37), "")</f>
        <v>Larry Lopez Castro</v>
      </c>
      <c r="D200" s="4" t="str" cm="1">
        <f t="array" ref="D200">IFERROR(INDEX(EmployeeData[Department], ROW() - 37), "")</f>
        <v>Customer Support</v>
      </c>
      <c r="E200" s="4" t="str" cm="1">
        <f t="array" ref="E200">IFERROR(INDEX(EmployeeData[Gender], ROW() - 37), "")</f>
        <v>Male</v>
      </c>
      <c r="F200" s="4" cm="1">
        <f t="array" ref="F200">IFERROR(INDEX(EmployeeData[Age], ROW() - 37), "")</f>
        <v>44</v>
      </c>
      <c r="G200" s="6" cm="1">
        <f t="array" ref="G200">IFERROR(INDEX(EmployeeData[Join Date], ROW() - 37), "")</f>
        <v>45372</v>
      </c>
      <c r="H200" s="6" t="str" cm="1">
        <f t="array" ref="H200">IFERROR(IF(INDEX(EmployeeData[Exit Date], ROW() - 37)=0, "",INDEX(EmployeeData[Exit Date], ROW() - 37)),"")</f>
        <v/>
      </c>
      <c r="I200" s="4" t="str" cm="1">
        <f t="array" ref="I200">IFERROR(IF(INDEX(EmployeeData[Exit Reason], ROW() - 37)=0, "",INDEX(EmployeeData[Exit Reason], ROW() - 37)),"")</f>
        <v/>
      </c>
      <c r="J200" s="4" t="str" cm="1">
        <f t="array" ref="J200">IFERROR(INDEX(EmployeeData[Status], ROW() - 37), "")</f>
        <v>Active</v>
      </c>
    </row>
    <row r="201" spans="2:10" ht="19.95" customHeight="1" x14ac:dyDescent="0.3">
      <c r="B201" s="4" cm="1">
        <f t="array" ref="B201">IFERROR(INDEX(EmployeeData[Employee ID], ROW() - 37), "")</f>
        <v>1164</v>
      </c>
      <c r="C201" s="4" t="str" cm="1">
        <f t="array" ref="C201">IFERROR(INDEX(EmployeeData[Full Name], ROW() - 37), "")</f>
        <v>Efren Tan Bautista</v>
      </c>
      <c r="D201" s="4" t="str" cm="1">
        <f t="array" ref="D201">IFERROR(INDEX(EmployeeData[Department], ROW() - 37), "")</f>
        <v>IT</v>
      </c>
      <c r="E201" s="4" t="str" cm="1">
        <f t="array" ref="E201">IFERROR(INDEX(EmployeeData[Gender], ROW() - 37), "")</f>
        <v>Other</v>
      </c>
      <c r="F201" s="4" cm="1">
        <f t="array" ref="F201">IFERROR(INDEX(EmployeeData[Age], ROW() - 37), "")</f>
        <v>30</v>
      </c>
      <c r="G201" s="6" cm="1">
        <f t="array" ref="G201">IFERROR(INDEX(EmployeeData[Join Date], ROW() - 37), "")</f>
        <v>44892</v>
      </c>
      <c r="H201" s="6" cm="1">
        <f t="array" ref="H201">IFERROR(IF(INDEX(EmployeeData[Exit Date], ROW() - 37)=0, "",INDEX(EmployeeData[Exit Date], ROW() - 37)),"")</f>
        <v>45436</v>
      </c>
      <c r="I201" s="4" t="str" cm="1">
        <f t="array" ref="I201">IFERROR(IF(INDEX(EmployeeData[Exit Reason], ROW() - 37)=0, "",INDEX(EmployeeData[Exit Reason], ROW() - 37)),"")</f>
        <v>Resignation</v>
      </c>
      <c r="J201" s="4" t="str" cm="1">
        <f t="array" ref="J201">IFERROR(INDEX(EmployeeData[Status], ROW() - 37), "")</f>
        <v>Exited</v>
      </c>
    </row>
    <row r="202" spans="2:10" ht="19.95" customHeight="1" x14ac:dyDescent="0.3">
      <c r="B202" s="4" cm="1">
        <f t="array" ref="B202">IFERROR(INDEX(EmployeeData[Employee ID], ROW() - 37), "")</f>
        <v>1165</v>
      </c>
      <c r="C202" s="4" t="str" cm="1">
        <f t="array" ref="C202">IFERROR(INDEX(EmployeeData[Full Name], ROW() - 37), "")</f>
        <v>Joy Pascual Mercado</v>
      </c>
      <c r="D202" s="4" t="str" cm="1">
        <f t="array" ref="D202">IFERROR(INDEX(EmployeeData[Department], ROW() - 37), "")</f>
        <v>Marketing</v>
      </c>
      <c r="E202" s="4" t="str" cm="1">
        <f t="array" ref="E202">IFERROR(INDEX(EmployeeData[Gender], ROW() - 37), "")</f>
        <v>Female</v>
      </c>
      <c r="F202" s="4" cm="1">
        <f t="array" ref="F202">IFERROR(INDEX(EmployeeData[Age], ROW() - 37), "")</f>
        <v>26</v>
      </c>
      <c r="G202" s="6" cm="1">
        <f t="array" ref="G202">IFERROR(INDEX(EmployeeData[Join Date], ROW() - 37), "")</f>
        <v>44636</v>
      </c>
      <c r="H202" s="6" cm="1">
        <f t="array" ref="H202">IFERROR(IF(INDEX(EmployeeData[Exit Date], ROW() - 37)=0, "",INDEX(EmployeeData[Exit Date], ROW() - 37)),"")</f>
        <v>45378</v>
      </c>
      <c r="I202" s="4" t="str" cm="1">
        <f t="array" ref="I202">IFERROR(IF(INDEX(EmployeeData[Exit Reason], ROW() - 37)=0, "",INDEX(EmployeeData[Exit Reason], ROW() - 37)),"")</f>
        <v>Contract End</v>
      </c>
      <c r="J202" s="4" t="str" cm="1">
        <f t="array" ref="J202">IFERROR(INDEX(EmployeeData[Status], ROW() - 37), "")</f>
        <v>Exited</v>
      </c>
    </row>
    <row r="203" spans="2:10" ht="19.95" customHeight="1" x14ac:dyDescent="0.3">
      <c r="B203" s="4" cm="1">
        <f t="array" ref="B203">IFERROR(INDEX(EmployeeData[Employee ID], ROW() - 37), "")</f>
        <v>1166</v>
      </c>
      <c r="C203" s="4" t="str" cm="1">
        <f t="array" ref="C203">IFERROR(INDEX(EmployeeData[Full Name], ROW() - 37), "")</f>
        <v>Juan Flores Ramos</v>
      </c>
      <c r="D203" s="4" t="str" cm="1">
        <f t="array" ref="D203">IFERROR(INDEX(EmployeeData[Department], ROW() - 37), "")</f>
        <v>Finance</v>
      </c>
      <c r="E203" s="4" t="str" cm="1">
        <f t="array" ref="E203">IFERROR(INDEX(EmployeeData[Gender], ROW() - 37), "")</f>
        <v>Male</v>
      </c>
      <c r="F203" s="4" cm="1">
        <f t="array" ref="F203">IFERROR(INDEX(EmployeeData[Age], ROW() - 37), "")</f>
        <v>29</v>
      </c>
      <c r="G203" s="6" cm="1">
        <f t="array" ref="G203">IFERROR(INDEX(EmployeeData[Join Date], ROW() - 37), "")</f>
        <v>45990</v>
      </c>
      <c r="H203" s="6" t="str" cm="1">
        <f t="array" ref="H203">IFERROR(IF(INDEX(EmployeeData[Exit Date], ROW() - 37)=0, "",INDEX(EmployeeData[Exit Date], ROW() - 37)),"")</f>
        <v/>
      </c>
      <c r="I203" s="4" t="str" cm="1">
        <f t="array" ref="I203">IFERROR(IF(INDEX(EmployeeData[Exit Reason], ROW() - 37)=0, "",INDEX(EmployeeData[Exit Reason], ROW() - 37)),"")</f>
        <v/>
      </c>
      <c r="J203" s="4" t="str" cm="1">
        <f t="array" ref="J203">IFERROR(INDEX(EmployeeData[Status], ROW() - 37), "")</f>
        <v>Active</v>
      </c>
    </row>
    <row r="204" spans="2:10" ht="19.95" customHeight="1" x14ac:dyDescent="0.3">
      <c r="B204" s="4" cm="1">
        <f t="array" ref="B204">IFERROR(INDEX(EmployeeData[Employee ID], ROW() - 37), "")</f>
        <v>1167</v>
      </c>
      <c r="C204" s="4" t="str" cm="1">
        <f t="array" ref="C204">IFERROR(INDEX(EmployeeData[Full Name], ROW() - 37), "")</f>
        <v>Roberto Go Sy</v>
      </c>
      <c r="D204" s="4" t="str" cm="1">
        <f t="array" ref="D204">IFERROR(INDEX(EmployeeData[Department], ROW() - 37), "")</f>
        <v>Sales</v>
      </c>
      <c r="E204" s="4" t="str" cm="1">
        <f t="array" ref="E204">IFERROR(INDEX(EmployeeData[Gender], ROW() - 37), "")</f>
        <v>Male</v>
      </c>
      <c r="F204" s="4" cm="1">
        <f t="array" ref="F204">IFERROR(INDEX(EmployeeData[Age], ROW() - 37), "")</f>
        <v>53</v>
      </c>
      <c r="G204" s="6" cm="1">
        <f t="array" ref="G204">IFERROR(INDEX(EmployeeData[Join Date], ROW() - 37), "")</f>
        <v>44834</v>
      </c>
      <c r="H204" s="6" cm="1">
        <f t="array" ref="H204">IFERROR(IF(INDEX(EmployeeData[Exit Date], ROW() - 37)=0, "",INDEX(EmployeeData[Exit Date], ROW() - 37)),"")</f>
        <v>45514</v>
      </c>
      <c r="I204" s="4" t="str" cm="1">
        <f t="array" ref="I204">IFERROR(IF(INDEX(EmployeeData[Exit Reason], ROW() - 37)=0, "",INDEX(EmployeeData[Exit Reason], ROW() - 37)),"")</f>
        <v>Retirement</v>
      </c>
      <c r="J204" s="4" t="str" cm="1">
        <f t="array" ref="J204">IFERROR(INDEX(EmployeeData[Status], ROW() - 37), "")</f>
        <v>Exited</v>
      </c>
    </row>
    <row r="205" spans="2:10" ht="19.95" customHeight="1" x14ac:dyDescent="0.3">
      <c r="B205" s="4" cm="1">
        <f t="array" ref="B205">IFERROR(INDEX(EmployeeData[Employee ID], ROW() - 37), "")</f>
        <v>1168</v>
      </c>
      <c r="C205" s="4" t="str" cm="1">
        <f t="array" ref="C205">IFERROR(INDEX(EmployeeData[Full Name], ROW() - 37), "")</f>
        <v>Pilar Fernandez Macapagal</v>
      </c>
      <c r="D205" s="4" t="str" cm="1">
        <f t="array" ref="D205">IFERROR(INDEX(EmployeeData[Department], ROW() - 37), "")</f>
        <v>Customer Support</v>
      </c>
      <c r="E205" s="4" t="str" cm="1">
        <f t="array" ref="E205">IFERROR(INDEX(EmployeeData[Gender], ROW() - 37), "")</f>
        <v>Other</v>
      </c>
      <c r="F205" s="4" cm="1">
        <f t="array" ref="F205">IFERROR(INDEX(EmployeeData[Age], ROW() - 37), "")</f>
        <v>52</v>
      </c>
      <c r="G205" s="6" cm="1">
        <f t="array" ref="G205">IFERROR(INDEX(EmployeeData[Join Date], ROW() - 37), "")</f>
        <v>45545</v>
      </c>
      <c r="H205" s="6" t="str" cm="1">
        <f t="array" ref="H205">IFERROR(IF(INDEX(EmployeeData[Exit Date], ROW() - 37)=0, "",INDEX(EmployeeData[Exit Date], ROW() - 37)),"")</f>
        <v/>
      </c>
      <c r="I205" s="4" t="str" cm="1">
        <f t="array" ref="I205">IFERROR(IF(INDEX(EmployeeData[Exit Reason], ROW() - 37)=0, "",INDEX(EmployeeData[Exit Reason], ROW() - 37)),"")</f>
        <v/>
      </c>
      <c r="J205" s="4" t="str" cm="1">
        <f t="array" ref="J205">IFERROR(INDEX(EmployeeData[Status], ROW() - 37), "")</f>
        <v>Active</v>
      </c>
    </row>
    <row r="206" spans="2:10" ht="19.95" customHeight="1" x14ac:dyDescent="0.3">
      <c r="B206" s="4" cm="1">
        <f t="array" ref="B206">IFERROR(INDEX(EmployeeData[Employee ID], ROW() - 37), "")</f>
        <v>1169</v>
      </c>
      <c r="C206" s="4" t="str" cm="1">
        <f t="array" ref="C206">IFERROR(INDEX(EmployeeData[Full Name], ROW() - 37), "")</f>
        <v>Kristina Enriquez</v>
      </c>
      <c r="D206" s="4" t="str" cm="1">
        <f t="array" ref="D206">IFERROR(INDEX(EmployeeData[Department], ROW() - 37), "")</f>
        <v>IT</v>
      </c>
      <c r="E206" s="4" t="str" cm="1">
        <f t="array" ref="E206">IFERROR(INDEX(EmployeeData[Gender], ROW() - 37), "")</f>
        <v>Female</v>
      </c>
      <c r="F206" s="4" cm="1">
        <f t="array" ref="F206">IFERROR(INDEX(EmployeeData[Age], ROW() - 37), "")</f>
        <v>43</v>
      </c>
      <c r="G206" s="6" cm="1">
        <f t="array" ref="G206">IFERROR(INDEX(EmployeeData[Join Date], ROW() - 37), "")</f>
        <v>44086</v>
      </c>
      <c r="H206" s="6" t="str" cm="1">
        <f t="array" ref="H206">IFERROR(IF(INDEX(EmployeeData[Exit Date], ROW() - 37)=0, "",INDEX(EmployeeData[Exit Date], ROW() - 37)),"")</f>
        <v/>
      </c>
      <c r="I206" s="4" t="str" cm="1">
        <f t="array" ref="I206">IFERROR(IF(INDEX(EmployeeData[Exit Reason], ROW() - 37)=0, "",INDEX(EmployeeData[Exit Reason], ROW() - 37)),"")</f>
        <v/>
      </c>
      <c r="J206" s="4" t="str" cm="1">
        <f t="array" ref="J206">IFERROR(INDEX(EmployeeData[Status], ROW() - 37), "")</f>
        <v>Active</v>
      </c>
    </row>
    <row r="207" spans="2:10" ht="19.95" customHeight="1" x14ac:dyDescent="0.3">
      <c r="B207" s="4" cm="1">
        <f t="array" ref="B207">IFERROR(INDEX(EmployeeData[Employee ID], ROW() - 37), "")</f>
        <v>1170</v>
      </c>
      <c r="C207" s="4" t="str" cm="1">
        <f t="array" ref="C207">IFERROR(INDEX(EmployeeData[Full Name], ROW() - 37), "")</f>
        <v>Jimmy Chan Hilario</v>
      </c>
      <c r="D207" s="4" t="str" cm="1">
        <f t="array" ref="D207">IFERROR(INDEX(EmployeeData[Department], ROW() - 37), "")</f>
        <v>Marketing</v>
      </c>
      <c r="E207" s="4" t="str" cm="1">
        <f t="array" ref="E207">IFERROR(INDEX(EmployeeData[Gender], ROW() - 37), "")</f>
        <v>Male</v>
      </c>
      <c r="F207" s="4" cm="1">
        <f t="array" ref="F207">IFERROR(INDEX(EmployeeData[Age], ROW() - 37), "")</f>
        <v>54</v>
      </c>
      <c r="G207" s="6" cm="1">
        <f t="array" ref="G207">IFERROR(INDEX(EmployeeData[Join Date], ROW() - 37), "")</f>
        <v>45329</v>
      </c>
      <c r="H207" s="6" t="str" cm="1">
        <f t="array" ref="H207">IFERROR(IF(INDEX(EmployeeData[Exit Date], ROW() - 37)=0, "",INDEX(EmployeeData[Exit Date], ROW() - 37)),"")</f>
        <v/>
      </c>
      <c r="I207" s="4" t="str" cm="1">
        <f t="array" ref="I207">IFERROR(IF(INDEX(EmployeeData[Exit Reason], ROW() - 37)=0, "",INDEX(EmployeeData[Exit Reason], ROW() - 37)),"")</f>
        <v/>
      </c>
      <c r="J207" s="4" t="str" cm="1">
        <f t="array" ref="J207">IFERROR(INDEX(EmployeeData[Status], ROW() - 37), "")</f>
        <v>Active</v>
      </c>
    </row>
    <row r="208" spans="2:10" ht="19.95" customHeight="1" x14ac:dyDescent="0.3">
      <c r="B208" s="4" cm="1">
        <f t="array" ref="B208">IFERROR(INDEX(EmployeeData[Employee ID], ROW() - 37), "")</f>
        <v>1171</v>
      </c>
      <c r="C208" s="4" t="str" cm="1">
        <f t="array" ref="C208">IFERROR(INDEX(EmployeeData[Full Name], ROW() - 37), "")</f>
        <v>Ivan Mendoza Aquino</v>
      </c>
      <c r="D208" s="4" t="str" cm="1">
        <f t="array" ref="D208">IFERROR(INDEX(EmployeeData[Department], ROW() - 37), "")</f>
        <v>Customer Support</v>
      </c>
      <c r="E208" s="4" t="str" cm="1">
        <f t="array" ref="E208">IFERROR(INDEX(EmployeeData[Gender], ROW() - 37), "")</f>
        <v>Male</v>
      </c>
      <c r="F208" s="4" cm="1">
        <f t="array" ref="F208">IFERROR(INDEX(EmployeeData[Age], ROW() - 37), "")</f>
        <v>44</v>
      </c>
      <c r="G208" s="6" cm="1">
        <f t="array" ref="G208">IFERROR(INDEX(EmployeeData[Join Date], ROW() - 37), "")</f>
        <v>44139</v>
      </c>
      <c r="H208" s="6" t="str" cm="1">
        <f t="array" ref="H208">IFERROR(IF(INDEX(EmployeeData[Exit Date], ROW() - 37)=0, "",INDEX(EmployeeData[Exit Date], ROW() - 37)),"")</f>
        <v/>
      </c>
      <c r="I208" s="4" t="str" cm="1">
        <f t="array" ref="I208">IFERROR(IF(INDEX(EmployeeData[Exit Reason], ROW() - 37)=0, "",INDEX(EmployeeData[Exit Reason], ROW() - 37)),"")</f>
        <v/>
      </c>
      <c r="J208" s="4" t="str" cm="1">
        <f t="array" ref="J208">IFERROR(INDEX(EmployeeData[Status], ROW() - 37), "")</f>
        <v>Active</v>
      </c>
    </row>
    <row r="209" spans="2:10" ht="19.95" customHeight="1" x14ac:dyDescent="0.3">
      <c r="B209" s="4" cm="1">
        <f t="array" ref="B209">IFERROR(INDEX(EmployeeData[Employee ID], ROW() - 37), "")</f>
        <v>1172</v>
      </c>
      <c r="C209" s="4" t="str" cm="1">
        <f t="array" ref="C209">IFERROR(INDEX(EmployeeData[Full Name], ROW() - 37), "")</f>
        <v>Jose Chan Guevarra</v>
      </c>
      <c r="D209" s="4" t="str" cm="1">
        <f t="array" ref="D209">IFERROR(INDEX(EmployeeData[Department], ROW() - 37), "")</f>
        <v>HR</v>
      </c>
      <c r="E209" s="4" t="str" cm="1">
        <f t="array" ref="E209">IFERROR(INDEX(EmployeeData[Gender], ROW() - 37), "")</f>
        <v>Other</v>
      </c>
      <c r="F209" s="4" cm="1">
        <f t="array" ref="F209">IFERROR(INDEX(EmployeeData[Age], ROW() - 37), "")</f>
        <v>42</v>
      </c>
      <c r="G209" s="6" cm="1">
        <f t="array" ref="G209">IFERROR(INDEX(EmployeeData[Join Date], ROW() - 37), "")</f>
        <v>43647</v>
      </c>
      <c r="H209" s="6" cm="1">
        <f t="array" ref="H209">IFERROR(IF(INDEX(EmployeeData[Exit Date], ROW() - 37)=0, "",INDEX(EmployeeData[Exit Date], ROW() - 37)),"")</f>
        <v>45123</v>
      </c>
      <c r="I209" s="4" t="str" cm="1">
        <f t="array" ref="I209">IFERROR(IF(INDEX(EmployeeData[Exit Reason], ROW() - 37)=0, "",INDEX(EmployeeData[Exit Reason], ROW() - 37)),"")</f>
        <v>Resignation</v>
      </c>
      <c r="J209" s="4" t="str" cm="1">
        <f t="array" ref="J209">IFERROR(INDEX(EmployeeData[Status], ROW() - 37), "")</f>
        <v>Exited</v>
      </c>
    </row>
    <row r="210" spans="2:10" ht="19.95" customHeight="1" x14ac:dyDescent="0.3">
      <c r="B210" s="4" cm="1">
        <f t="array" ref="B210">IFERROR(INDEX(EmployeeData[Employee ID], ROW() - 37), "")</f>
        <v>1173</v>
      </c>
      <c r="C210" s="4" t="str" cm="1">
        <f t="array" ref="C210">IFERROR(INDEX(EmployeeData[Full Name], ROW() - 37), "")</f>
        <v>Miguel Soriano Garcia</v>
      </c>
      <c r="D210" s="4" t="str" cm="1">
        <f t="array" ref="D210">IFERROR(INDEX(EmployeeData[Department], ROW() - 37), "")</f>
        <v>Marketing</v>
      </c>
      <c r="E210" s="4" t="str" cm="1">
        <f t="array" ref="E210">IFERROR(INDEX(EmployeeData[Gender], ROW() - 37), "")</f>
        <v>Other</v>
      </c>
      <c r="F210" s="4" cm="1">
        <f t="array" ref="F210">IFERROR(INDEX(EmployeeData[Age], ROW() - 37), "")</f>
        <v>25</v>
      </c>
      <c r="G210" s="6" cm="1">
        <f t="array" ref="G210">IFERROR(INDEX(EmployeeData[Join Date], ROW() - 37), "")</f>
        <v>44975</v>
      </c>
      <c r="H210" s="6" cm="1">
        <f t="array" ref="H210">IFERROR(IF(INDEX(EmployeeData[Exit Date], ROW() - 37)=0, "",INDEX(EmployeeData[Exit Date], ROW() - 37)),"")</f>
        <v>45477</v>
      </c>
      <c r="I210" s="4" t="str" cm="1">
        <f t="array" ref="I210">IFERROR(IF(INDEX(EmployeeData[Exit Reason], ROW() - 37)=0, "",INDEX(EmployeeData[Exit Reason], ROW() - 37)),"")</f>
        <v>Better Opportunity</v>
      </c>
      <c r="J210" s="4" t="str" cm="1">
        <f t="array" ref="J210">IFERROR(INDEX(EmployeeData[Status], ROW() - 37), "")</f>
        <v>Exited</v>
      </c>
    </row>
    <row r="211" spans="2:10" ht="19.95" customHeight="1" x14ac:dyDescent="0.3">
      <c r="B211" s="4" cm="1">
        <f t="array" ref="B211">IFERROR(INDEX(EmployeeData[Employee ID], ROW() - 37), "")</f>
        <v>1174</v>
      </c>
      <c r="C211" s="4" t="str" cm="1">
        <f t="array" ref="C211">IFERROR(INDEX(EmployeeData[Full Name], ROW() - 37), "")</f>
        <v>Danilo Santiago Wong</v>
      </c>
      <c r="D211" s="4" t="str" cm="1">
        <f t="array" ref="D211">IFERROR(INDEX(EmployeeData[Department], ROW() - 37), "")</f>
        <v>Marketing</v>
      </c>
      <c r="E211" s="4" t="str" cm="1">
        <f t="array" ref="E211">IFERROR(INDEX(EmployeeData[Gender], ROW() - 37), "")</f>
        <v>Other</v>
      </c>
      <c r="F211" s="4" cm="1">
        <f t="array" ref="F211">IFERROR(INDEX(EmployeeData[Age], ROW() - 37), "")</f>
        <v>51</v>
      </c>
      <c r="G211" s="6" cm="1">
        <f t="array" ref="G211">IFERROR(INDEX(EmployeeData[Join Date], ROW() - 37), "")</f>
        <v>45040</v>
      </c>
      <c r="H211" s="6" cm="1">
        <f t="array" ref="H211">IFERROR(IF(INDEX(EmployeeData[Exit Date], ROW() - 37)=0, "",INDEX(EmployeeData[Exit Date], ROW() - 37)),"")</f>
        <v>45521</v>
      </c>
      <c r="I211" s="4" t="str" cm="1">
        <f t="array" ref="I211">IFERROR(IF(INDEX(EmployeeData[Exit Reason], ROW() - 37)=0, "",INDEX(EmployeeData[Exit Reason], ROW() - 37)),"")</f>
        <v>Retirement</v>
      </c>
      <c r="J211" s="4" t="str" cm="1">
        <f t="array" ref="J211">IFERROR(INDEX(EmployeeData[Status], ROW() - 37), "")</f>
        <v>Exited</v>
      </c>
    </row>
    <row r="212" spans="2:10" ht="19.95" customHeight="1" x14ac:dyDescent="0.3">
      <c r="B212" s="4" cm="1">
        <f t="array" ref="B212">IFERROR(INDEX(EmployeeData[Employee ID], ROW() - 37), "")</f>
        <v>1175</v>
      </c>
      <c r="C212" s="4" t="str" cm="1">
        <f t="array" ref="C212">IFERROR(INDEX(EmployeeData[Full Name], ROW() - 37), "")</f>
        <v>Ian Ignacio</v>
      </c>
      <c r="D212" s="4" t="str" cm="1">
        <f t="array" ref="D212">IFERROR(INDEX(EmployeeData[Department], ROW() - 37), "")</f>
        <v>IT</v>
      </c>
      <c r="E212" s="4" t="str" cm="1">
        <f t="array" ref="E212">IFERROR(INDEX(EmployeeData[Gender], ROW() - 37), "")</f>
        <v>Male</v>
      </c>
      <c r="F212" s="4" cm="1">
        <f t="array" ref="F212">IFERROR(INDEX(EmployeeData[Age], ROW() - 37), "")</f>
        <v>49</v>
      </c>
      <c r="G212" s="6" cm="1">
        <f t="array" ref="G212">IFERROR(INDEX(EmployeeData[Join Date], ROW() - 37), "")</f>
        <v>44684</v>
      </c>
      <c r="H212" s="6" cm="1">
        <f t="array" ref="H212">IFERROR(IF(INDEX(EmployeeData[Exit Date], ROW() - 37)=0, "",INDEX(EmployeeData[Exit Date], ROW() - 37)),"")</f>
        <v>45156</v>
      </c>
      <c r="I212" s="4" t="str" cm="1">
        <f t="array" ref="I212">IFERROR(IF(INDEX(EmployeeData[Exit Reason], ROW() - 37)=0, "",INDEX(EmployeeData[Exit Reason], ROW() - 37)),"")</f>
        <v>Health Issues</v>
      </c>
      <c r="J212" s="4" t="str" cm="1">
        <f t="array" ref="J212">IFERROR(INDEX(EmployeeData[Status], ROW() - 37), "")</f>
        <v>Exited</v>
      </c>
    </row>
    <row r="213" spans="2:10" ht="19.95" customHeight="1" x14ac:dyDescent="0.3">
      <c r="B213" s="4" cm="1">
        <f t="array" ref="B213">IFERROR(INDEX(EmployeeData[Employee ID], ROW() - 37), "")</f>
        <v>1176</v>
      </c>
      <c r="C213" s="4" t="str" cm="1">
        <f t="array" ref="C213">IFERROR(INDEX(EmployeeData[Full Name], ROW() - 37), "")</f>
        <v>Jose Mendoza Guerrero</v>
      </c>
      <c r="D213" s="4" t="str" cm="1">
        <f t="array" ref="D213">IFERROR(INDEX(EmployeeData[Department], ROW() - 37), "")</f>
        <v>Marketing</v>
      </c>
      <c r="E213" s="4" t="str" cm="1">
        <f t="array" ref="E213">IFERROR(INDEX(EmployeeData[Gender], ROW() - 37), "")</f>
        <v>Other</v>
      </c>
      <c r="F213" s="4" cm="1">
        <f t="array" ref="F213">IFERROR(INDEX(EmployeeData[Age], ROW() - 37), "")</f>
        <v>48</v>
      </c>
      <c r="G213" s="6" cm="1">
        <f t="array" ref="G213">IFERROR(INDEX(EmployeeData[Join Date], ROW() - 37), "")</f>
        <v>43424</v>
      </c>
      <c r="H213" s="6" t="str" cm="1">
        <f t="array" ref="H213">IFERROR(IF(INDEX(EmployeeData[Exit Date], ROW() - 37)=0, "",INDEX(EmployeeData[Exit Date], ROW() - 37)),"")</f>
        <v/>
      </c>
      <c r="I213" s="4" t="str" cm="1">
        <f t="array" ref="I213">IFERROR(IF(INDEX(EmployeeData[Exit Reason], ROW() - 37)=0, "",INDEX(EmployeeData[Exit Reason], ROW() - 37)),"")</f>
        <v/>
      </c>
      <c r="J213" s="4" t="str" cm="1">
        <f t="array" ref="J213">IFERROR(INDEX(EmployeeData[Status], ROW() - 37), "")</f>
        <v>Active</v>
      </c>
    </row>
    <row r="214" spans="2:10" ht="19.95" customHeight="1" x14ac:dyDescent="0.3">
      <c r="B214" s="4" cm="1">
        <f t="array" ref="B214">IFERROR(INDEX(EmployeeData[Employee ID], ROW() - 37), "")</f>
        <v>1177</v>
      </c>
      <c r="C214" s="4" t="str" cm="1">
        <f t="array" ref="C214">IFERROR(INDEX(EmployeeData[Full Name], ROW() - 37), "")</f>
        <v>Samuel Pascual</v>
      </c>
      <c r="D214" s="4" t="str" cm="1">
        <f t="array" ref="D214">IFERROR(INDEX(EmployeeData[Department], ROW() - 37), "")</f>
        <v>Customer Support</v>
      </c>
      <c r="E214" s="4" t="str" cm="1">
        <f t="array" ref="E214">IFERROR(INDEX(EmployeeData[Gender], ROW() - 37), "")</f>
        <v>Male</v>
      </c>
      <c r="F214" s="4" cm="1">
        <f t="array" ref="F214">IFERROR(INDEX(EmployeeData[Age], ROW() - 37), "")</f>
        <v>40</v>
      </c>
      <c r="G214" s="6" cm="1">
        <f t="array" ref="G214">IFERROR(INDEX(EmployeeData[Join Date], ROW() - 37), "")</f>
        <v>44927</v>
      </c>
      <c r="H214" s="6" t="str" cm="1">
        <f t="array" ref="H214">IFERROR(IF(INDEX(EmployeeData[Exit Date], ROW() - 37)=0, "",INDEX(EmployeeData[Exit Date], ROW() - 37)),"")</f>
        <v/>
      </c>
      <c r="I214" s="4" t="str" cm="1">
        <f t="array" ref="I214">IFERROR(IF(INDEX(EmployeeData[Exit Reason], ROW() - 37)=0, "",INDEX(EmployeeData[Exit Reason], ROW() - 37)),"")</f>
        <v/>
      </c>
      <c r="J214" s="4" t="str" cm="1">
        <f t="array" ref="J214">IFERROR(INDEX(EmployeeData[Status], ROW() - 37), "")</f>
        <v>Active</v>
      </c>
    </row>
    <row r="215" spans="2:10" ht="19.95" customHeight="1" x14ac:dyDescent="0.3">
      <c r="B215" s="4" cm="1">
        <f t="array" ref="B215">IFERROR(INDEX(EmployeeData[Employee ID], ROW() - 37), "")</f>
        <v>1178</v>
      </c>
      <c r="C215" s="4" t="str" cm="1">
        <f t="array" ref="C215">IFERROR(INDEX(EmployeeData[Full Name], ROW() - 37), "")</f>
        <v>Celine Zulueta</v>
      </c>
      <c r="D215" s="4" t="str" cm="1">
        <f t="array" ref="D215">IFERROR(INDEX(EmployeeData[Department], ROW() - 37), "")</f>
        <v>IT</v>
      </c>
      <c r="E215" s="4" t="str" cm="1">
        <f t="array" ref="E215">IFERROR(INDEX(EmployeeData[Gender], ROW() - 37), "")</f>
        <v>Female</v>
      </c>
      <c r="F215" s="4" cm="1">
        <f t="array" ref="F215">IFERROR(INDEX(EmployeeData[Age], ROW() - 37), "")</f>
        <v>43</v>
      </c>
      <c r="G215" s="6" cm="1">
        <f t="array" ref="G215">IFERROR(INDEX(EmployeeData[Join Date], ROW() - 37), "")</f>
        <v>45619</v>
      </c>
      <c r="H215" s="6" t="str" cm="1">
        <f t="array" ref="H215">IFERROR(IF(INDEX(EmployeeData[Exit Date], ROW() - 37)=0, "",INDEX(EmployeeData[Exit Date], ROW() - 37)),"")</f>
        <v/>
      </c>
      <c r="I215" s="4" t="str" cm="1">
        <f t="array" ref="I215">IFERROR(IF(INDEX(EmployeeData[Exit Reason], ROW() - 37)=0, "",INDEX(EmployeeData[Exit Reason], ROW() - 37)),"")</f>
        <v/>
      </c>
      <c r="J215" s="4" t="str" cm="1">
        <f t="array" ref="J215">IFERROR(INDEX(EmployeeData[Status], ROW() - 37), "")</f>
        <v>Active</v>
      </c>
    </row>
    <row r="216" spans="2:10" ht="19.95" customHeight="1" x14ac:dyDescent="0.3">
      <c r="B216" s="4" cm="1">
        <f t="array" ref="B216">IFERROR(INDEX(EmployeeData[Employee ID], ROW() - 37), "")</f>
        <v>1179</v>
      </c>
      <c r="C216" s="4" t="str" cm="1">
        <f t="array" ref="C216">IFERROR(INDEX(EmployeeData[Full Name], ROW() - 37), "")</f>
        <v>Herminia Uy Bautista</v>
      </c>
      <c r="D216" s="4" t="str" cm="1">
        <f t="array" ref="D216">IFERROR(INDEX(EmployeeData[Department], ROW() - 37), "")</f>
        <v>Finance</v>
      </c>
      <c r="E216" s="4" t="str" cm="1">
        <f t="array" ref="E216">IFERROR(INDEX(EmployeeData[Gender], ROW() - 37), "")</f>
        <v>Female</v>
      </c>
      <c r="F216" s="4" cm="1">
        <f t="array" ref="F216">IFERROR(INDEX(EmployeeData[Age], ROW() - 37), "")</f>
        <v>46</v>
      </c>
      <c r="G216" s="6" cm="1">
        <f t="array" ref="G216">IFERROR(INDEX(EmployeeData[Join Date], ROW() - 37), "")</f>
        <v>44589</v>
      </c>
      <c r="H216" s="6" t="str" cm="1">
        <f t="array" ref="H216">IFERROR(IF(INDEX(EmployeeData[Exit Date], ROW() - 37)=0, "",INDEX(EmployeeData[Exit Date], ROW() - 37)),"")</f>
        <v/>
      </c>
      <c r="I216" s="4" t="str" cm="1">
        <f t="array" ref="I216">IFERROR(IF(INDEX(EmployeeData[Exit Reason], ROW() - 37)=0, "",INDEX(EmployeeData[Exit Reason], ROW() - 37)),"")</f>
        <v/>
      </c>
      <c r="J216" s="4" t="str" cm="1">
        <f t="array" ref="J216">IFERROR(INDEX(EmployeeData[Status], ROW() - 37), "")</f>
        <v>Active</v>
      </c>
    </row>
    <row r="217" spans="2:10" ht="19.95" customHeight="1" x14ac:dyDescent="0.3">
      <c r="B217" s="4" cm="1">
        <f t="array" ref="B217">IFERROR(INDEX(EmployeeData[Employee ID], ROW() - 37), "")</f>
        <v>1180</v>
      </c>
      <c r="C217" s="4" t="str" cm="1">
        <f t="array" ref="C217">IFERROR(INDEX(EmployeeData[Full Name], ROW() - 37), "")</f>
        <v>Tess Ocampo</v>
      </c>
      <c r="D217" s="4" t="str" cm="1">
        <f t="array" ref="D217">IFERROR(INDEX(EmployeeData[Department], ROW() - 37), "")</f>
        <v>Customer Support</v>
      </c>
      <c r="E217" s="4" t="str" cm="1">
        <f t="array" ref="E217">IFERROR(INDEX(EmployeeData[Gender], ROW() - 37), "")</f>
        <v>Female</v>
      </c>
      <c r="F217" s="4" cm="1">
        <f t="array" ref="F217">IFERROR(INDEX(EmployeeData[Age], ROW() - 37), "")</f>
        <v>44</v>
      </c>
      <c r="G217" s="6" cm="1">
        <f t="array" ref="G217">IFERROR(INDEX(EmployeeData[Join Date], ROW() - 37), "")</f>
        <v>44584</v>
      </c>
      <c r="H217" s="6" t="str" cm="1">
        <f t="array" ref="H217">IFERROR(IF(INDEX(EmployeeData[Exit Date], ROW() - 37)=0, "",INDEX(EmployeeData[Exit Date], ROW() - 37)),"")</f>
        <v/>
      </c>
      <c r="I217" s="4" t="str" cm="1">
        <f t="array" ref="I217">IFERROR(IF(INDEX(EmployeeData[Exit Reason], ROW() - 37)=0, "",INDEX(EmployeeData[Exit Reason], ROW() - 37)),"")</f>
        <v/>
      </c>
      <c r="J217" s="4" t="str" cm="1">
        <f t="array" ref="J217">IFERROR(INDEX(EmployeeData[Status], ROW() - 37), "")</f>
        <v>Active</v>
      </c>
    </row>
    <row r="218" spans="2:10" ht="19.95" customHeight="1" x14ac:dyDescent="0.3">
      <c r="B218" s="4" cm="1">
        <f t="array" ref="B218">IFERROR(INDEX(EmployeeData[Employee ID], ROW() - 37), "")</f>
        <v>1181</v>
      </c>
      <c r="C218" s="4" t="str" cm="1">
        <f t="array" ref="C218">IFERROR(INDEX(EmployeeData[Full Name], ROW() - 37), "")</f>
        <v>Maricel Tan Ramirez</v>
      </c>
      <c r="D218" s="4" t="str" cm="1">
        <f t="array" ref="D218">IFERROR(INDEX(EmployeeData[Department], ROW() - 37), "")</f>
        <v>HR</v>
      </c>
      <c r="E218" s="4" t="str" cm="1">
        <f t="array" ref="E218">IFERROR(INDEX(EmployeeData[Gender], ROW() - 37), "")</f>
        <v>Other</v>
      </c>
      <c r="F218" s="4" cm="1">
        <f t="array" ref="F218">IFERROR(INDEX(EmployeeData[Age], ROW() - 37), "")</f>
        <v>44</v>
      </c>
      <c r="G218" s="6" cm="1">
        <f t="array" ref="G218">IFERROR(INDEX(EmployeeData[Join Date], ROW() - 37), "")</f>
        <v>44919</v>
      </c>
      <c r="H218" s="6" t="str" cm="1">
        <f t="array" ref="H218">IFERROR(IF(INDEX(EmployeeData[Exit Date], ROW() - 37)=0, "",INDEX(EmployeeData[Exit Date], ROW() - 37)),"")</f>
        <v/>
      </c>
      <c r="I218" s="4" t="str" cm="1">
        <f t="array" ref="I218">IFERROR(IF(INDEX(EmployeeData[Exit Reason], ROW() - 37)=0, "",INDEX(EmployeeData[Exit Reason], ROW() - 37)),"")</f>
        <v/>
      </c>
      <c r="J218" s="4" t="str" cm="1">
        <f t="array" ref="J218">IFERROR(INDEX(EmployeeData[Status], ROW() - 37), "")</f>
        <v>Active</v>
      </c>
    </row>
    <row r="219" spans="2:10" ht="19.95" customHeight="1" x14ac:dyDescent="0.3">
      <c r="B219" s="4" cm="1">
        <f t="array" ref="B219">IFERROR(INDEX(EmployeeData[Employee ID], ROW() - 37), "")</f>
        <v>1182</v>
      </c>
      <c r="C219" s="4" t="str" cm="1">
        <f t="array" ref="C219">IFERROR(INDEX(EmployeeData[Full Name], ROW() - 37), "")</f>
        <v>Jessa Torres Delmendo</v>
      </c>
      <c r="D219" s="4" t="str" cm="1">
        <f t="array" ref="D219">IFERROR(INDEX(EmployeeData[Department], ROW() - 37), "")</f>
        <v>IT</v>
      </c>
      <c r="E219" s="4" t="str" cm="1">
        <f t="array" ref="E219">IFERROR(INDEX(EmployeeData[Gender], ROW() - 37), "")</f>
        <v>Female</v>
      </c>
      <c r="F219" s="4" cm="1">
        <f t="array" ref="F219">IFERROR(INDEX(EmployeeData[Age], ROW() - 37), "")</f>
        <v>28</v>
      </c>
      <c r="G219" s="6" cm="1">
        <f t="array" ref="G219">IFERROR(INDEX(EmployeeData[Join Date], ROW() - 37), "")</f>
        <v>43207</v>
      </c>
      <c r="H219" s="6" t="str" cm="1">
        <f t="array" ref="H219">IFERROR(IF(INDEX(EmployeeData[Exit Date], ROW() - 37)=0, "",INDEX(EmployeeData[Exit Date], ROW() - 37)),"")</f>
        <v/>
      </c>
      <c r="I219" s="4" t="str" cm="1">
        <f t="array" ref="I219">IFERROR(IF(INDEX(EmployeeData[Exit Reason], ROW() - 37)=0, "",INDEX(EmployeeData[Exit Reason], ROW() - 37)),"")</f>
        <v/>
      </c>
      <c r="J219" s="4" t="str" cm="1">
        <f t="array" ref="J219">IFERROR(INDEX(EmployeeData[Status], ROW() - 37), "")</f>
        <v>Active</v>
      </c>
    </row>
    <row r="220" spans="2:10" ht="19.95" customHeight="1" x14ac:dyDescent="0.3">
      <c r="B220" s="4" cm="1">
        <f t="array" ref="B220">IFERROR(INDEX(EmployeeData[Employee ID], ROW() - 37), "")</f>
        <v>1183</v>
      </c>
      <c r="C220" s="4" t="str" cm="1">
        <f t="array" ref="C220">IFERROR(INDEX(EmployeeData[Full Name], ROW() - 37), "")</f>
        <v>Diana Hernandez</v>
      </c>
      <c r="D220" s="4" t="str" cm="1">
        <f t="array" ref="D220">IFERROR(INDEX(EmployeeData[Department], ROW() - 37), "")</f>
        <v>IT</v>
      </c>
      <c r="E220" s="4" t="str" cm="1">
        <f t="array" ref="E220">IFERROR(INDEX(EmployeeData[Gender], ROW() - 37), "")</f>
        <v>Female</v>
      </c>
      <c r="F220" s="4" cm="1">
        <f t="array" ref="F220">IFERROR(INDEX(EmployeeData[Age], ROW() - 37), "")</f>
        <v>49</v>
      </c>
      <c r="G220" s="6" cm="1">
        <f t="array" ref="G220">IFERROR(INDEX(EmployeeData[Join Date], ROW() - 37), "")</f>
        <v>43979</v>
      </c>
      <c r="H220" s="6" t="str" cm="1">
        <f t="array" ref="H220">IFERROR(IF(INDEX(EmployeeData[Exit Date], ROW() - 37)=0, "",INDEX(EmployeeData[Exit Date], ROW() - 37)),"")</f>
        <v/>
      </c>
      <c r="I220" s="4" t="str" cm="1">
        <f t="array" ref="I220">IFERROR(IF(INDEX(EmployeeData[Exit Reason], ROW() - 37)=0, "",INDEX(EmployeeData[Exit Reason], ROW() - 37)),"")</f>
        <v/>
      </c>
      <c r="J220" s="4" t="str" cm="1">
        <f t="array" ref="J220">IFERROR(INDEX(EmployeeData[Status], ROW() - 37), "")</f>
        <v>Active</v>
      </c>
    </row>
    <row r="221" spans="2:10" ht="19.95" customHeight="1" x14ac:dyDescent="0.3">
      <c r="B221" s="4" cm="1">
        <f t="array" ref="B221">IFERROR(INDEX(EmployeeData[Employee ID], ROW() - 37), "")</f>
        <v>1184</v>
      </c>
      <c r="C221" s="4" t="str" cm="1">
        <f t="array" ref="C221">IFERROR(INDEX(EmployeeData[Full Name], ROW() - 37), "")</f>
        <v>Hope Ocampo Enriquez</v>
      </c>
      <c r="D221" s="4" t="str" cm="1">
        <f t="array" ref="D221">IFERROR(INDEX(EmployeeData[Department], ROW() - 37), "")</f>
        <v>Marketing</v>
      </c>
      <c r="E221" s="4" t="str" cm="1">
        <f t="array" ref="E221">IFERROR(INDEX(EmployeeData[Gender], ROW() - 37), "")</f>
        <v>Female</v>
      </c>
      <c r="F221" s="4" cm="1">
        <f t="array" ref="F221">IFERROR(INDEX(EmployeeData[Age], ROW() - 37), "")</f>
        <v>25</v>
      </c>
      <c r="G221" s="6" cm="1">
        <f t="array" ref="G221">IFERROR(INDEX(EmployeeData[Join Date], ROW() - 37), "")</f>
        <v>44952</v>
      </c>
      <c r="H221" s="6" cm="1">
        <f t="array" ref="H221">IFERROR(IF(INDEX(EmployeeData[Exit Date], ROW() - 37)=0, "",INDEX(EmployeeData[Exit Date], ROW() - 37)),"")</f>
        <v>45953</v>
      </c>
      <c r="I221" s="4" t="str" cm="1">
        <f t="array" ref="I221">IFERROR(IF(INDEX(EmployeeData[Exit Reason], ROW() - 37)=0, "",INDEX(EmployeeData[Exit Reason], ROW() - 37)),"")</f>
        <v>Contract End</v>
      </c>
      <c r="J221" s="4" t="str" cm="1">
        <f t="array" ref="J221">IFERROR(INDEX(EmployeeData[Status], ROW() - 37), "")</f>
        <v>Exited</v>
      </c>
    </row>
    <row r="222" spans="2:10" ht="19.95" customHeight="1" x14ac:dyDescent="0.3">
      <c r="B222" s="4" cm="1">
        <f t="array" ref="B222">IFERROR(INDEX(EmployeeData[Employee ID], ROW() - 37), "")</f>
        <v>1185</v>
      </c>
      <c r="C222" s="4" t="str" cm="1">
        <f t="array" ref="C222">IFERROR(INDEX(EmployeeData[Full Name], ROW() - 37), "")</f>
        <v>Jacqueline Torres Evangelista</v>
      </c>
      <c r="D222" s="4" t="str" cm="1">
        <f t="array" ref="D222">IFERROR(INDEX(EmployeeData[Department], ROW() - 37), "")</f>
        <v>Marketing</v>
      </c>
      <c r="E222" s="4" t="str" cm="1">
        <f t="array" ref="E222">IFERROR(INDEX(EmployeeData[Gender], ROW() - 37), "")</f>
        <v>Female</v>
      </c>
      <c r="F222" s="4" cm="1">
        <f t="array" ref="F222">IFERROR(INDEX(EmployeeData[Age], ROW() - 37), "")</f>
        <v>40</v>
      </c>
      <c r="G222" s="6" cm="1">
        <f t="array" ref="G222">IFERROR(INDEX(EmployeeData[Join Date], ROW() - 37), "")</f>
        <v>43746</v>
      </c>
      <c r="H222" s="6" t="str" cm="1">
        <f t="array" ref="H222">IFERROR(IF(INDEX(EmployeeData[Exit Date], ROW() - 37)=0, "",INDEX(EmployeeData[Exit Date], ROW() - 37)),"")</f>
        <v/>
      </c>
      <c r="I222" s="4" t="str" cm="1">
        <f t="array" ref="I222">IFERROR(IF(INDEX(EmployeeData[Exit Reason], ROW() - 37)=0, "",INDEX(EmployeeData[Exit Reason], ROW() - 37)),"")</f>
        <v/>
      </c>
      <c r="J222" s="4" t="str" cm="1">
        <f t="array" ref="J222">IFERROR(INDEX(EmployeeData[Status], ROW() - 37), "")</f>
        <v>Active</v>
      </c>
    </row>
    <row r="223" spans="2:10" ht="19.95" customHeight="1" x14ac:dyDescent="0.3">
      <c r="B223" s="4" cm="1">
        <f t="array" ref="B223">IFERROR(INDEX(EmployeeData[Employee ID], ROW() - 37), "")</f>
        <v>1186</v>
      </c>
      <c r="C223" s="4" t="str" cm="1">
        <f t="array" ref="C223">IFERROR(INDEX(EmployeeData[Full Name], ROW() - 37), "")</f>
        <v>Carmen Garcia Hilario</v>
      </c>
      <c r="D223" s="4" t="str" cm="1">
        <f t="array" ref="D223">IFERROR(INDEX(EmployeeData[Department], ROW() - 37), "")</f>
        <v>Finance</v>
      </c>
      <c r="E223" s="4" t="str" cm="1">
        <f t="array" ref="E223">IFERROR(INDEX(EmployeeData[Gender], ROW() - 37), "")</f>
        <v>Other</v>
      </c>
      <c r="F223" s="4" cm="1">
        <f t="array" ref="F223">IFERROR(INDEX(EmployeeData[Age], ROW() - 37), "")</f>
        <v>36</v>
      </c>
      <c r="G223" s="6" cm="1">
        <f t="array" ref="G223">IFERROR(INDEX(EmployeeData[Join Date], ROW() - 37), "")</f>
        <v>45124</v>
      </c>
      <c r="H223" s="6" cm="1">
        <f t="array" ref="H223">IFERROR(IF(INDEX(EmployeeData[Exit Date], ROW() - 37)=0, "",INDEX(EmployeeData[Exit Date], ROW() - 37)),"")</f>
        <v>45781</v>
      </c>
      <c r="I223" s="4" t="str" cm="1">
        <f t="array" ref="I223">IFERROR(IF(INDEX(EmployeeData[Exit Reason], ROW() - 37)=0, "",INDEX(EmployeeData[Exit Reason], ROW() - 37)),"")</f>
        <v>Health Issues</v>
      </c>
      <c r="J223" s="4" t="str" cm="1">
        <f t="array" ref="J223">IFERROR(INDEX(EmployeeData[Status], ROW() - 37), "")</f>
        <v>Exited</v>
      </c>
    </row>
    <row r="224" spans="2:10" ht="19.95" customHeight="1" x14ac:dyDescent="0.3">
      <c r="B224" s="4" cm="1">
        <f t="array" ref="B224">IFERROR(INDEX(EmployeeData[Employee ID], ROW() - 37), "")</f>
        <v>1187</v>
      </c>
      <c r="C224" s="4" t="str" cm="1">
        <f t="array" ref="C224">IFERROR(INDEX(EmployeeData[Full Name], ROW() - 37), "")</f>
        <v>Paolo Navarro Macapagal</v>
      </c>
      <c r="D224" s="4" t="str" cm="1">
        <f t="array" ref="D224">IFERROR(INDEX(EmployeeData[Department], ROW() - 37), "")</f>
        <v>Customer Support</v>
      </c>
      <c r="E224" s="4" t="str" cm="1">
        <f t="array" ref="E224">IFERROR(INDEX(EmployeeData[Gender], ROW() - 37), "")</f>
        <v>Male</v>
      </c>
      <c r="F224" s="4" cm="1">
        <f t="array" ref="F224">IFERROR(INDEX(EmployeeData[Age], ROW() - 37), "")</f>
        <v>51</v>
      </c>
      <c r="G224" s="6" cm="1">
        <f t="array" ref="G224">IFERROR(INDEX(EmployeeData[Join Date], ROW() - 37), "")</f>
        <v>45254</v>
      </c>
      <c r="H224" s="6" t="str" cm="1">
        <f t="array" ref="H224">IFERROR(IF(INDEX(EmployeeData[Exit Date], ROW() - 37)=0, "",INDEX(EmployeeData[Exit Date], ROW() - 37)),"")</f>
        <v/>
      </c>
      <c r="I224" s="4" t="str" cm="1">
        <f t="array" ref="I224">IFERROR(IF(INDEX(EmployeeData[Exit Reason], ROW() - 37)=0, "",INDEX(EmployeeData[Exit Reason], ROW() - 37)),"")</f>
        <v/>
      </c>
      <c r="J224" s="4" t="str" cm="1">
        <f t="array" ref="J224">IFERROR(INDEX(EmployeeData[Status], ROW() - 37), "")</f>
        <v>Active</v>
      </c>
    </row>
    <row r="225" spans="2:10" ht="19.95" customHeight="1" x14ac:dyDescent="0.3">
      <c r="B225" s="4" cm="1">
        <f t="array" ref="B225">IFERROR(INDEX(EmployeeData[Employee ID], ROW() - 37), "")</f>
        <v>1188</v>
      </c>
      <c r="C225" s="4" t="str" cm="1">
        <f t="array" ref="C225">IFERROR(INDEX(EmployeeData[Full Name], ROW() - 37), "")</f>
        <v>Ismael Bautista Flores</v>
      </c>
      <c r="D225" s="4" t="str" cm="1">
        <f t="array" ref="D225">IFERROR(INDEX(EmployeeData[Department], ROW() - 37), "")</f>
        <v>HR</v>
      </c>
      <c r="E225" s="4" t="str" cm="1">
        <f t="array" ref="E225">IFERROR(INDEX(EmployeeData[Gender], ROW() - 37), "")</f>
        <v>Male</v>
      </c>
      <c r="F225" s="4" cm="1">
        <f t="array" ref="F225">IFERROR(INDEX(EmployeeData[Age], ROW() - 37), "")</f>
        <v>54</v>
      </c>
      <c r="G225" s="6" cm="1">
        <f t="array" ref="G225">IFERROR(INDEX(EmployeeData[Join Date], ROW() - 37), "")</f>
        <v>44512</v>
      </c>
      <c r="H225" s="6" cm="1">
        <f t="array" ref="H225">IFERROR(IF(INDEX(EmployeeData[Exit Date], ROW() - 37)=0, "",INDEX(EmployeeData[Exit Date], ROW() - 37)),"")</f>
        <v>45731</v>
      </c>
      <c r="I225" s="4" t="str" cm="1">
        <f t="array" ref="I225">IFERROR(IF(INDEX(EmployeeData[Exit Reason], ROW() - 37)=0, "",INDEX(EmployeeData[Exit Reason], ROW() - 37)),"")</f>
        <v>Relocation</v>
      </c>
      <c r="J225" s="4" t="str" cm="1">
        <f t="array" ref="J225">IFERROR(INDEX(EmployeeData[Status], ROW() - 37), "")</f>
        <v>Exited</v>
      </c>
    </row>
    <row r="226" spans="2:10" ht="19.95" customHeight="1" x14ac:dyDescent="0.3">
      <c r="B226" s="4" cm="1">
        <f t="array" ref="B226">IFERROR(INDEX(EmployeeData[Employee ID], ROW() - 37), "")</f>
        <v>1189</v>
      </c>
      <c r="C226" s="4" t="str" cm="1">
        <f t="array" ref="C226">IFERROR(INDEX(EmployeeData[Full Name], ROW() - 37), "")</f>
        <v>Larry Co</v>
      </c>
      <c r="D226" s="4" t="str" cm="1">
        <f t="array" ref="D226">IFERROR(INDEX(EmployeeData[Department], ROW() - 37), "")</f>
        <v>Sales</v>
      </c>
      <c r="E226" s="4" t="str" cm="1">
        <f t="array" ref="E226">IFERROR(INDEX(EmployeeData[Gender], ROW() - 37), "")</f>
        <v>Male</v>
      </c>
      <c r="F226" s="4" cm="1">
        <f t="array" ref="F226">IFERROR(INDEX(EmployeeData[Age], ROW() - 37), "")</f>
        <v>40</v>
      </c>
      <c r="G226" s="6" cm="1">
        <f t="array" ref="G226">IFERROR(INDEX(EmployeeData[Join Date], ROW() - 37), "")</f>
        <v>43775</v>
      </c>
      <c r="H226" s="6" cm="1">
        <f t="array" ref="H226">IFERROR(IF(INDEX(EmployeeData[Exit Date], ROW() - 37)=0, "",INDEX(EmployeeData[Exit Date], ROW() - 37)),"")</f>
        <v>44788</v>
      </c>
      <c r="I226" s="4" t="str" cm="1">
        <f t="array" ref="I226">IFERROR(IF(INDEX(EmployeeData[Exit Reason], ROW() - 37)=0, "",INDEX(EmployeeData[Exit Reason], ROW() - 37)),"")</f>
        <v>Termination</v>
      </c>
      <c r="J226" s="4" t="str" cm="1">
        <f t="array" ref="J226">IFERROR(INDEX(EmployeeData[Status], ROW() - 37), "")</f>
        <v>Exited</v>
      </c>
    </row>
    <row r="227" spans="2:10" ht="19.95" customHeight="1" x14ac:dyDescent="0.3">
      <c r="B227" s="4" cm="1">
        <f t="array" ref="B227">IFERROR(INDEX(EmployeeData[Employee ID], ROW() - 37), "")</f>
        <v>1190</v>
      </c>
      <c r="C227" s="4" t="str" cm="1">
        <f t="array" ref="C227">IFERROR(INDEX(EmployeeData[Full Name], ROW() - 37), "")</f>
        <v>Danilo Bagtas</v>
      </c>
      <c r="D227" s="4" t="str" cm="1">
        <f t="array" ref="D227">IFERROR(INDEX(EmployeeData[Department], ROW() - 37), "")</f>
        <v>IT</v>
      </c>
      <c r="E227" s="4" t="str" cm="1">
        <f t="array" ref="E227">IFERROR(INDEX(EmployeeData[Gender], ROW() - 37), "")</f>
        <v>Male</v>
      </c>
      <c r="F227" s="4" cm="1">
        <f t="array" ref="F227">IFERROR(INDEX(EmployeeData[Age], ROW() - 37), "")</f>
        <v>56</v>
      </c>
      <c r="G227" s="6" cm="1">
        <f t="array" ref="G227">IFERROR(INDEX(EmployeeData[Join Date], ROW() - 37), "")</f>
        <v>44225</v>
      </c>
      <c r="H227" s="6" cm="1">
        <f t="array" ref="H227">IFERROR(IF(INDEX(EmployeeData[Exit Date], ROW() - 37)=0, "",INDEX(EmployeeData[Exit Date], ROW() - 37)),"")</f>
        <v>44935</v>
      </c>
      <c r="I227" s="4" t="str" cm="1">
        <f t="array" ref="I227">IFERROR(IF(INDEX(EmployeeData[Exit Reason], ROW() - 37)=0, "",INDEX(EmployeeData[Exit Reason], ROW() - 37)),"")</f>
        <v>Relocation</v>
      </c>
      <c r="J227" s="4" t="str" cm="1">
        <f t="array" ref="J227">IFERROR(INDEX(EmployeeData[Status], ROW() - 37), "")</f>
        <v>Exited</v>
      </c>
    </row>
    <row r="228" spans="2:10" ht="19.95" customHeight="1" x14ac:dyDescent="0.3">
      <c r="B228" s="4" cm="1">
        <f t="array" ref="B228">IFERROR(INDEX(EmployeeData[Employee ID], ROW() - 37), "")</f>
        <v>1191</v>
      </c>
      <c r="C228" s="4" t="str" cm="1">
        <f t="array" ref="C228">IFERROR(INDEX(EmployeeData[Full Name], ROW() - 37), "")</f>
        <v>Bong Buenaventura</v>
      </c>
      <c r="D228" s="4" t="str" cm="1">
        <f t="array" ref="D228">IFERROR(INDEX(EmployeeData[Department], ROW() - 37), "")</f>
        <v>Marketing</v>
      </c>
      <c r="E228" s="4" t="str" cm="1">
        <f t="array" ref="E228">IFERROR(INDEX(EmployeeData[Gender], ROW() - 37), "")</f>
        <v>Male</v>
      </c>
      <c r="F228" s="4" cm="1">
        <f t="array" ref="F228">IFERROR(INDEX(EmployeeData[Age], ROW() - 37), "")</f>
        <v>31</v>
      </c>
      <c r="G228" s="6" cm="1">
        <f t="array" ref="G228">IFERROR(INDEX(EmployeeData[Join Date], ROW() - 37), "")</f>
        <v>45799</v>
      </c>
      <c r="H228" s="6" t="str" cm="1">
        <f t="array" ref="H228">IFERROR(IF(INDEX(EmployeeData[Exit Date], ROW() - 37)=0, "",INDEX(EmployeeData[Exit Date], ROW() - 37)),"")</f>
        <v/>
      </c>
      <c r="I228" s="4" t="str" cm="1">
        <f t="array" ref="I228">IFERROR(IF(INDEX(EmployeeData[Exit Reason], ROW() - 37)=0, "",INDEX(EmployeeData[Exit Reason], ROW() - 37)),"")</f>
        <v/>
      </c>
      <c r="J228" s="4" t="str" cm="1">
        <f t="array" ref="J228">IFERROR(INDEX(EmployeeData[Status], ROW() - 37), "")</f>
        <v>Active</v>
      </c>
    </row>
    <row r="229" spans="2:10" ht="19.95" customHeight="1" x14ac:dyDescent="0.3">
      <c r="B229" s="4" cm="1">
        <f t="array" ref="B229">IFERROR(INDEX(EmployeeData[Employee ID], ROW() - 37), "")</f>
        <v>1192</v>
      </c>
      <c r="C229" s="4" t="str" cm="1">
        <f t="array" ref="C229">IFERROR(INDEX(EmployeeData[Full Name], ROW() - 37), "")</f>
        <v>Maricel Camacho</v>
      </c>
      <c r="D229" s="4" t="str" cm="1">
        <f t="array" ref="D229">IFERROR(INDEX(EmployeeData[Department], ROW() - 37), "")</f>
        <v>Marketing</v>
      </c>
      <c r="E229" s="4" t="str" cm="1">
        <f t="array" ref="E229">IFERROR(INDEX(EmployeeData[Gender], ROW() - 37), "")</f>
        <v>Other</v>
      </c>
      <c r="F229" s="4" cm="1">
        <f t="array" ref="F229">IFERROR(INDEX(EmployeeData[Age], ROW() - 37), "")</f>
        <v>22</v>
      </c>
      <c r="G229" s="6" cm="1">
        <f t="array" ref="G229">IFERROR(INDEX(EmployeeData[Join Date], ROW() - 37), "")</f>
        <v>43433</v>
      </c>
      <c r="H229" s="6" cm="1">
        <f t="array" ref="H229">IFERROR(IF(INDEX(EmployeeData[Exit Date], ROW() - 37)=0, "",INDEX(EmployeeData[Exit Date], ROW() - 37)),"")</f>
        <v>44607</v>
      </c>
      <c r="I229" s="4" t="str" cm="1">
        <f t="array" ref="I229">IFERROR(IF(INDEX(EmployeeData[Exit Reason], ROW() - 37)=0, "",INDEX(EmployeeData[Exit Reason], ROW() - 37)),"")</f>
        <v>Relocation</v>
      </c>
      <c r="J229" s="4" t="str" cm="1">
        <f t="array" ref="J229">IFERROR(INDEX(EmployeeData[Status], ROW() - 37), "")</f>
        <v>Exited</v>
      </c>
    </row>
    <row r="230" spans="2:10" ht="19.95" customHeight="1" x14ac:dyDescent="0.3">
      <c r="B230" s="4" cm="1">
        <f t="array" ref="B230">IFERROR(INDEX(EmployeeData[Employee ID], ROW() - 37), "")</f>
        <v>1193</v>
      </c>
      <c r="C230" s="4" t="str" cm="1">
        <f t="array" ref="C230">IFERROR(INDEX(EmployeeData[Full Name], ROW() - 37), "")</f>
        <v>Manuel Tan Umali</v>
      </c>
      <c r="D230" s="4" t="str" cm="1">
        <f t="array" ref="D230">IFERROR(INDEX(EmployeeData[Department], ROW() - 37), "")</f>
        <v>Customer Support</v>
      </c>
      <c r="E230" s="4" t="str" cm="1">
        <f t="array" ref="E230">IFERROR(INDEX(EmployeeData[Gender], ROW() - 37), "")</f>
        <v>Other</v>
      </c>
      <c r="F230" s="4" cm="1">
        <f t="array" ref="F230">IFERROR(INDEX(EmployeeData[Age], ROW() - 37), "")</f>
        <v>55</v>
      </c>
      <c r="G230" s="6" cm="1">
        <f t="array" ref="G230">IFERROR(INDEX(EmployeeData[Join Date], ROW() - 37), "")</f>
        <v>44287</v>
      </c>
      <c r="H230" s="6" t="str" cm="1">
        <f t="array" ref="H230">IFERROR(IF(INDEX(EmployeeData[Exit Date], ROW() - 37)=0, "",INDEX(EmployeeData[Exit Date], ROW() - 37)),"")</f>
        <v/>
      </c>
      <c r="I230" s="4" t="str" cm="1">
        <f t="array" ref="I230">IFERROR(IF(INDEX(EmployeeData[Exit Reason], ROW() - 37)=0, "",INDEX(EmployeeData[Exit Reason], ROW() - 37)),"")</f>
        <v/>
      </c>
      <c r="J230" s="4" t="str" cm="1">
        <f t="array" ref="J230">IFERROR(INDEX(EmployeeData[Status], ROW() - 37), "")</f>
        <v>Active</v>
      </c>
    </row>
    <row r="231" spans="2:10" ht="19.95" customHeight="1" x14ac:dyDescent="0.3">
      <c r="B231" s="4" cm="1">
        <f t="array" ref="B231">IFERROR(INDEX(EmployeeData[Employee ID], ROW() - 37), "")</f>
        <v>1194</v>
      </c>
      <c r="C231" s="4" t="str" cm="1">
        <f t="array" ref="C231">IFERROR(INDEX(EmployeeData[Full Name], ROW() - 37), "")</f>
        <v>Hazel Fernandez Suarez</v>
      </c>
      <c r="D231" s="4" t="str" cm="1">
        <f t="array" ref="D231">IFERROR(INDEX(EmployeeData[Department], ROW() - 37), "")</f>
        <v>IT</v>
      </c>
      <c r="E231" s="4" t="str" cm="1">
        <f t="array" ref="E231">IFERROR(INDEX(EmployeeData[Gender], ROW() - 37), "")</f>
        <v>Female</v>
      </c>
      <c r="F231" s="4" cm="1">
        <f t="array" ref="F231">IFERROR(INDEX(EmployeeData[Age], ROW() - 37), "")</f>
        <v>24</v>
      </c>
      <c r="G231" s="6" cm="1">
        <f t="array" ref="G231">IFERROR(INDEX(EmployeeData[Join Date], ROW() - 37), "")</f>
        <v>43748</v>
      </c>
      <c r="H231" s="6" t="str" cm="1">
        <f t="array" ref="H231">IFERROR(IF(INDEX(EmployeeData[Exit Date], ROW() - 37)=0, "",INDEX(EmployeeData[Exit Date], ROW() - 37)),"")</f>
        <v/>
      </c>
      <c r="I231" s="4" t="str" cm="1">
        <f t="array" ref="I231">IFERROR(IF(INDEX(EmployeeData[Exit Reason], ROW() - 37)=0, "",INDEX(EmployeeData[Exit Reason], ROW() - 37)),"")</f>
        <v/>
      </c>
      <c r="J231" s="4" t="str" cm="1">
        <f t="array" ref="J231">IFERROR(INDEX(EmployeeData[Status], ROW() - 37), "")</f>
        <v>Active</v>
      </c>
    </row>
    <row r="232" spans="2:10" ht="19.95" customHeight="1" x14ac:dyDescent="0.3">
      <c r="B232" s="4" cm="1">
        <f t="array" ref="B232">IFERROR(INDEX(EmployeeData[Employee ID], ROW() - 37), "")</f>
        <v>1195</v>
      </c>
      <c r="C232" s="4" t="str" cm="1">
        <f t="array" ref="C232">IFERROR(INDEX(EmployeeData[Full Name], ROW() - 37), "")</f>
        <v>Taylor Torres Macaraeg</v>
      </c>
      <c r="D232" s="4" t="str" cm="1">
        <f t="array" ref="D232">IFERROR(INDEX(EmployeeData[Department], ROW() - 37), "")</f>
        <v>IT</v>
      </c>
      <c r="E232" s="4" t="str" cm="1">
        <f t="array" ref="E232">IFERROR(INDEX(EmployeeData[Gender], ROW() - 37), "")</f>
        <v>Other</v>
      </c>
      <c r="F232" s="4" cm="1">
        <f t="array" ref="F232">IFERROR(INDEX(EmployeeData[Age], ROW() - 37), "")</f>
        <v>43</v>
      </c>
      <c r="G232" s="6" cm="1">
        <f t="array" ref="G232">IFERROR(INDEX(EmployeeData[Join Date], ROW() - 37), "")</f>
        <v>44734</v>
      </c>
      <c r="H232" s="6" cm="1">
        <f t="array" ref="H232">IFERROR(IF(INDEX(EmployeeData[Exit Date], ROW() - 37)=0, "",INDEX(EmployeeData[Exit Date], ROW() - 37)),"")</f>
        <v>45582</v>
      </c>
      <c r="I232" s="4" t="str" cm="1">
        <f t="array" ref="I232">IFERROR(IF(INDEX(EmployeeData[Exit Reason], ROW() - 37)=0, "",INDEX(EmployeeData[Exit Reason], ROW() - 37)),"")</f>
        <v>Health Issues</v>
      </c>
      <c r="J232" s="4" t="str" cm="1">
        <f t="array" ref="J232">IFERROR(INDEX(EmployeeData[Status], ROW() - 37), "")</f>
        <v>Exited</v>
      </c>
    </row>
    <row r="233" spans="2:10" ht="19.95" customHeight="1" x14ac:dyDescent="0.3">
      <c r="B233" s="4" cm="1">
        <f t="array" ref="B233">IFERROR(INDEX(EmployeeData[Employee ID], ROW() - 37), "")</f>
        <v>1196</v>
      </c>
      <c r="C233" s="4" t="str" cm="1">
        <f t="array" ref="C233">IFERROR(INDEX(EmployeeData[Full Name], ROW() - 37), "")</f>
        <v>Yvonne Uy</v>
      </c>
      <c r="D233" s="4" t="str" cm="1">
        <f t="array" ref="D233">IFERROR(INDEX(EmployeeData[Department], ROW() - 37), "")</f>
        <v>IT</v>
      </c>
      <c r="E233" s="4" t="str" cm="1">
        <f t="array" ref="E233">IFERROR(INDEX(EmployeeData[Gender], ROW() - 37), "")</f>
        <v>Female</v>
      </c>
      <c r="F233" s="4" cm="1">
        <f t="array" ref="F233">IFERROR(INDEX(EmployeeData[Age], ROW() - 37), "")</f>
        <v>27</v>
      </c>
      <c r="G233" s="6" cm="1">
        <f t="array" ref="G233">IFERROR(INDEX(EmployeeData[Join Date], ROW() - 37), "")</f>
        <v>43308</v>
      </c>
      <c r="H233" s="6" cm="1">
        <f t="array" ref="H233">IFERROR(IF(INDEX(EmployeeData[Exit Date], ROW() - 37)=0, "",INDEX(EmployeeData[Exit Date], ROW() - 37)),"")</f>
        <v>44971</v>
      </c>
      <c r="I233" s="4" t="str" cm="1">
        <f t="array" ref="I233">IFERROR(IF(INDEX(EmployeeData[Exit Reason], ROW() - 37)=0, "",INDEX(EmployeeData[Exit Reason], ROW() - 37)),"")</f>
        <v>Resignation</v>
      </c>
      <c r="J233" s="4" t="str" cm="1">
        <f t="array" ref="J233">IFERROR(INDEX(EmployeeData[Status], ROW() - 37), "")</f>
        <v>Exited</v>
      </c>
    </row>
    <row r="234" spans="2:10" ht="19.95" customHeight="1" x14ac:dyDescent="0.3">
      <c r="B234" s="4" cm="1">
        <f t="array" ref="B234">IFERROR(INDEX(EmployeeData[Employee ID], ROW() - 37), "")</f>
        <v>1197</v>
      </c>
      <c r="C234" s="4" t="str" cm="1">
        <f t="array" ref="C234">IFERROR(INDEX(EmployeeData[Full Name], ROW() - 37), "")</f>
        <v>Pilar Soriano Suarez</v>
      </c>
      <c r="D234" s="4" t="str" cm="1">
        <f t="array" ref="D234">IFERROR(INDEX(EmployeeData[Department], ROW() - 37), "")</f>
        <v>Finance</v>
      </c>
      <c r="E234" s="4" t="str" cm="1">
        <f t="array" ref="E234">IFERROR(INDEX(EmployeeData[Gender], ROW() - 37), "")</f>
        <v>Other</v>
      </c>
      <c r="F234" s="4" cm="1">
        <f t="array" ref="F234">IFERROR(INDEX(EmployeeData[Age], ROW() - 37), "")</f>
        <v>57</v>
      </c>
      <c r="G234" s="6" cm="1">
        <f t="array" ref="G234">IFERROR(INDEX(EmployeeData[Join Date], ROW() - 37), "")</f>
        <v>44381</v>
      </c>
      <c r="H234" s="6" cm="1">
        <f t="array" ref="H234">IFERROR(IF(INDEX(EmployeeData[Exit Date], ROW() - 37)=0, "",INDEX(EmployeeData[Exit Date], ROW() - 37)),"")</f>
        <v>44797</v>
      </c>
      <c r="I234" s="4" t="str" cm="1">
        <f t="array" ref="I234">IFERROR(IF(INDEX(EmployeeData[Exit Reason], ROW() - 37)=0, "",INDEX(EmployeeData[Exit Reason], ROW() - 37)),"")</f>
        <v>Health Issues</v>
      </c>
      <c r="J234" s="4" t="str" cm="1">
        <f t="array" ref="J234">IFERROR(INDEX(EmployeeData[Status], ROW() - 37), "")</f>
        <v>Exited</v>
      </c>
    </row>
    <row r="235" spans="2:10" ht="19.95" customHeight="1" x14ac:dyDescent="0.3">
      <c r="B235" s="4" cm="1">
        <f t="array" ref="B235">IFERROR(INDEX(EmployeeData[Employee ID], ROW() - 37), "")</f>
        <v>1198</v>
      </c>
      <c r="C235" s="4" t="str" cm="1">
        <f t="array" ref="C235">IFERROR(INDEX(EmployeeData[Full Name], ROW() - 37), "")</f>
        <v>Rosalinda Bautista Rivera</v>
      </c>
      <c r="D235" s="4" t="str" cm="1">
        <f t="array" ref="D235">IFERROR(INDEX(EmployeeData[Department], ROW() - 37), "")</f>
        <v>Marketing</v>
      </c>
      <c r="E235" s="4" t="str" cm="1">
        <f t="array" ref="E235">IFERROR(INDEX(EmployeeData[Gender], ROW() - 37), "")</f>
        <v>Female</v>
      </c>
      <c r="F235" s="4" cm="1">
        <f t="array" ref="F235">IFERROR(INDEX(EmployeeData[Age], ROW() - 37), "")</f>
        <v>46</v>
      </c>
      <c r="G235" s="6" cm="1">
        <f t="array" ref="G235">IFERROR(INDEX(EmployeeData[Join Date], ROW() - 37), "")</f>
        <v>45171</v>
      </c>
      <c r="H235" s="6" t="str" cm="1">
        <f t="array" ref="H235">IFERROR(IF(INDEX(EmployeeData[Exit Date], ROW() - 37)=0, "",INDEX(EmployeeData[Exit Date], ROW() - 37)),"")</f>
        <v/>
      </c>
      <c r="I235" s="4" t="str" cm="1">
        <f t="array" ref="I235">IFERROR(IF(INDEX(EmployeeData[Exit Reason], ROW() - 37)=0, "",INDEX(EmployeeData[Exit Reason], ROW() - 37)),"")</f>
        <v/>
      </c>
      <c r="J235" s="4" t="str" cm="1">
        <f t="array" ref="J235">IFERROR(INDEX(EmployeeData[Status], ROW() - 37), "")</f>
        <v>Active</v>
      </c>
    </row>
    <row r="236" spans="2:10" ht="19.95" customHeight="1" x14ac:dyDescent="0.3">
      <c r="B236" s="4" cm="1">
        <f t="array" ref="B236">IFERROR(INDEX(EmployeeData[Employee ID], ROW() - 37), "")</f>
        <v>1199</v>
      </c>
      <c r="C236" s="4" t="str" cm="1">
        <f t="array" ref="C236">IFERROR(INDEX(EmployeeData[Full Name], ROW() - 37), "")</f>
        <v>Ronaldo Domingo Lacson</v>
      </c>
      <c r="D236" s="4" t="str" cm="1">
        <f t="array" ref="D236">IFERROR(INDEX(EmployeeData[Department], ROW() - 37), "")</f>
        <v>Customer Support</v>
      </c>
      <c r="E236" s="4" t="str" cm="1">
        <f t="array" ref="E236">IFERROR(INDEX(EmployeeData[Gender], ROW() - 37), "")</f>
        <v>Male</v>
      </c>
      <c r="F236" s="4" cm="1">
        <f t="array" ref="F236">IFERROR(INDEX(EmployeeData[Age], ROW() - 37), "")</f>
        <v>51</v>
      </c>
      <c r="G236" s="6" cm="1">
        <f t="array" ref="G236">IFERROR(INDEX(EmployeeData[Join Date], ROW() - 37), "")</f>
        <v>44271</v>
      </c>
      <c r="H236" s="6" t="str" cm="1">
        <f t="array" ref="H236">IFERROR(IF(INDEX(EmployeeData[Exit Date], ROW() - 37)=0, "",INDEX(EmployeeData[Exit Date], ROW() - 37)),"")</f>
        <v/>
      </c>
      <c r="I236" s="4" t="str" cm="1">
        <f t="array" ref="I236">IFERROR(IF(INDEX(EmployeeData[Exit Reason], ROW() - 37)=0, "",INDEX(EmployeeData[Exit Reason], ROW() - 37)),"")</f>
        <v/>
      </c>
      <c r="J236" s="4" t="str" cm="1">
        <f t="array" ref="J236">IFERROR(INDEX(EmployeeData[Status], ROW() - 37), "")</f>
        <v>Active</v>
      </c>
    </row>
    <row r="237" spans="2:10" ht="19.95" customHeight="1" x14ac:dyDescent="0.3">
      <c r="B237" s="4" cm="1">
        <f t="array" ref="B237">IFERROR(INDEX(EmployeeData[Employee ID], ROW() - 37), "")</f>
        <v>1200</v>
      </c>
      <c r="C237" s="4" t="str" cm="1">
        <f t="array" ref="C237">IFERROR(INDEX(EmployeeData[Full Name], ROW() - 37), "")</f>
        <v>Maricel Pascual Jacinto</v>
      </c>
      <c r="D237" s="4" t="str" cm="1">
        <f t="array" ref="D237">IFERROR(INDEX(EmployeeData[Department], ROW() - 37), "")</f>
        <v>HR</v>
      </c>
      <c r="E237" s="4" t="str" cm="1">
        <f t="array" ref="E237">IFERROR(INDEX(EmployeeData[Gender], ROW() - 37), "")</f>
        <v>Other</v>
      </c>
      <c r="F237" s="4" cm="1">
        <f t="array" ref="F237">IFERROR(INDEX(EmployeeData[Age], ROW() - 37), "")</f>
        <v>44</v>
      </c>
      <c r="G237" s="6" cm="1">
        <f t="array" ref="G237">IFERROR(INDEX(EmployeeData[Join Date], ROW() - 37), "")</f>
        <v>43286</v>
      </c>
      <c r="H237" s="6" t="str" cm="1">
        <f t="array" ref="H237">IFERROR(IF(INDEX(EmployeeData[Exit Date], ROW() - 37)=0, "",INDEX(EmployeeData[Exit Date], ROW() - 37)),"")</f>
        <v/>
      </c>
      <c r="I237" s="4" t="str" cm="1">
        <f t="array" ref="I237">IFERROR(IF(INDEX(EmployeeData[Exit Reason], ROW() - 37)=0, "",INDEX(EmployeeData[Exit Reason], ROW() - 37)),"")</f>
        <v/>
      </c>
      <c r="J237" s="4" t="str" cm="1">
        <f t="array" ref="J237">IFERROR(INDEX(EmployeeData[Status], ROW() - 37), "")</f>
        <v>Active</v>
      </c>
    </row>
    <row r="238" spans="2:10" ht="19.95" customHeight="1" x14ac:dyDescent="0.3">
      <c r="B238" s="4" cm="1">
        <f t="array" ref="B238">IFERROR(INDEX(EmployeeData[Employee ID], ROW() - 37), "")</f>
        <v>1201</v>
      </c>
      <c r="C238" s="4" t="str" cm="1">
        <f t="array" ref="C238">IFERROR(INDEX(EmployeeData[Full Name], ROW() - 37), "")</f>
        <v>Joselito Flores</v>
      </c>
      <c r="D238" s="4" t="str" cm="1">
        <f t="array" ref="D238">IFERROR(INDEX(EmployeeData[Department], ROW() - 37), "")</f>
        <v>Customer Support</v>
      </c>
      <c r="E238" s="4" t="str" cm="1">
        <f t="array" ref="E238">IFERROR(INDEX(EmployeeData[Gender], ROW() - 37), "")</f>
        <v>Male</v>
      </c>
      <c r="F238" s="4" cm="1">
        <f t="array" ref="F238">IFERROR(INDEX(EmployeeData[Age], ROW() - 37), "")</f>
        <v>56</v>
      </c>
      <c r="G238" s="6" cm="1">
        <f t="array" ref="G238">IFERROR(INDEX(EmployeeData[Join Date], ROW() - 37), "")</f>
        <v>44246</v>
      </c>
      <c r="H238" s="6" t="str" cm="1">
        <f t="array" ref="H238">IFERROR(IF(INDEX(EmployeeData[Exit Date], ROW() - 37)=0, "",INDEX(EmployeeData[Exit Date], ROW() - 37)),"")</f>
        <v/>
      </c>
      <c r="I238" s="4" t="str" cm="1">
        <f t="array" ref="I238">IFERROR(IF(INDEX(EmployeeData[Exit Reason], ROW() - 37)=0, "",INDEX(EmployeeData[Exit Reason], ROW() - 37)),"")</f>
        <v/>
      </c>
      <c r="J238" s="4" t="str" cm="1">
        <f t="array" ref="J238">IFERROR(INDEX(EmployeeData[Status], ROW() - 37), "")</f>
        <v>Active</v>
      </c>
    </row>
    <row r="239" spans="2:10" ht="19.95" customHeight="1" x14ac:dyDescent="0.3">
      <c r="B239" s="4" cm="1">
        <f t="array" ref="B239">IFERROR(INDEX(EmployeeData[Employee ID], ROW() - 37), "")</f>
        <v>1202</v>
      </c>
      <c r="C239" s="4" t="str" cm="1">
        <f t="array" ref="C239">IFERROR(INDEX(EmployeeData[Full Name], ROW() - 37), "")</f>
        <v>Cameron Vega</v>
      </c>
      <c r="D239" s="4" t="str" cm="1">
        <f t="array" ref="D239">IFERROR(INDEX(EmployeeData[Department], ROW() - 37), "")</f>
        <v>IT</v>
      </c>
      <c r="E239" s="4" t="str" cm="1">
        <f t="array" ref="E239">IFERROR(INDEX(EmployeeData[Gender], ROW() - 37), "")</f>
        <v>Other</v>
      </c>
      <c r="F239" s="4" cm="1">
        <f t="array" ref="F239">IFERROR(INDEX(EmployeeData[Age], ROW() - 37), "")</f>
        <v>42</v>
      </c>
      <c r="G239" s="6" cm="1">
        <f t="array" ref="G239">IFERROR(INDEX(EmployeeData[Join Date], ROW() - 37), "")</f>
        <v>45385</v>
      </c>
      <c r="H239" s="6" t="str" cm="1">
        <f t="array" ref="H239">IFERROR(IF(INDEX(EmployeeData[Exit Date], ROW() - 37)=0, "",INDEX(EmployeeData[Exit Date], ROW() - 37)),"")</f>
        <v/>
      </c>
      <c r="I239" s="4" t="str" cm="1">
        <f t="array" ref="I239">IFERROR(IF(INDEX(EmployeeData[Exit Reason], ROW() - 37)=0, "",INDEX(EmployeeData[Exit Reason], ROW() - 37)),"")</f>
        <v/>
      </c>
      <c r="J239" s="4" t="str" cm="1">
        <f t="array" ref="J239">IFERROR(INDEX(EmployeeData[Status], ROW() - 37), "")</f>
        <v>Active</v>
      </c>
    </row>
    <row r="240" spans="2:10" ht="19.95" customHeight="1" x14ac:dyDescent="0.3">
      <c r="B240" s="4" cm="1">
        <f t="array" ref="B240">IFERROR(INDEX(EmployeeData[Employee ID], ROW() - 37), "")</f>
        <v>1203</v>
      </c>
      <c r="C240" s="4" t="str" cm="1">
        <f t="array" ref="C240">IFERROR(INDEX(EmployeeData[Full Name], ROW() - 37), "")</f>
        <v>Gina Ramos Delmendo</v>
      </c>
      <c r="D240" s="4" t="str" cm="1">
        <f t="array" ref="D240">IFERROR(INDEX(EmployeeData[Department], ROW() - 37), "")</f>
        <v>IT</v>
      </c>
      <c r="E240" s="4" t="str" cm="1">
        <f t="array" ref="E240">IFERROR(INDEX(EmployeeData[Gender], ROW() - 37), "")</f>
        <v>Female</v>
      </c>
      <c r="F240" s="4" cm="1">
        <f t="array" ref="F240">IFERROR(INDEX(EmployeeData[Age], ROW() - 37), "")</f>
        <v>23</v>
      </c>
      <c r="G240" s="6" cm="1">
        <f t="array" ref="G240">IFERROR(INDEX(EmployeeData[Join Date], ROW() - 37), "")</f>
        <v>43662</v>
      </c>
      <c r="H240" s="6" t="str" cm="1">
        <f t="array" ref="H240">IFERROR(IF(INDEX(EmployeeData[Exit Date], ROW() - 37)=0, "",INDEX(EmployeeData[Exit Date], ROW() - 37)),"")</f>
        <v/>
      </c>
      <c r="I240" s="4" t="str" cm="1">
        <f t="array" ref="I240">IFERROR(IF(INDEX(EmployeeData[Exit Reason], ROW() - 37)=0, "",INDEX(EmployeeData[Exit Reason], ROW() - 37)),"")</f>
        <v/>
      </c>
      <c r="J240" s="4" t="str" cm="1">
        <f t="array" ref="J240">IFERROR(INDEX(EmployeeData[Status], ROW() - 37), "")</f>
        <v>Active</v>
      </c>
    </row>
    <row r="241" spans="2:10" ht="19.95" customHeight="1" x14ac:dyDescent="0.3">
      <c r="B241" s="4" cm="1">
        <f t="array" ref="B241">IFERROR(INDEX(EmployeeData[Employee ID], ROW() - 37), "")</f>
        <v>1204</v>
      </c>
      <c r="C241" s="4" t="str" cm="1">
        <f t="array" ref="C241">IFERROR(INDEX(EmployeeData[Full Name], ROW() - 37), "")</f>
        <v>Bryan Ang Ong</v>
      </c>
      <c r="D241" s="4" t="str" cm="1">
        <f t="array" ref="D241">IFERROR(INDEX(EmployeeData[Department], ROW() - 37), "")</f>
        <v>IT</v>
      </c>
      <c r="E241" s="4" t="str" cm="1">
        <f t="array" ref="E241">IFERROR(INDEX(EmployeeData[Gender], ROW() - 37), "")</f>
        <v>Male</v>
      </c>
      <c r="F241" s="4" cm="1">
        <f t="array" ref="F241">IFERROR(INDEX(EmployeeData[Age], ROW() - 37), "")</f>
        <v>31</v>
      </c>
      <c r="G241" s="6" cm="1">
        <f t="array" ref="G241">IFERROR(INDEX(EmployeeData[Join Date], ROW() - 37), "")</f>
        <v>44710</v>
      </c>
      <c r="H241" s="6" t="str" cm="1">
        <f t="array" ref="H241">IFERROR(IF(INDEX(EmployeeData[Exit Date], ROW() - 37)=0, "",INDEX(EmployeeData[Exit Date], ROW() - 37)),"")</f>
        <v/>
      </c>
      <c r="I241" s="4" t="str" cm="1">
        <f t="array" ref="I241">IFERROR(IF(INDEX(EmployeeData[Exit Reason], ROW() - 37)=0, "",INDEX(EmployeeData[Exit Reason], ROW() - 37)),"")</f>
        <v/>
      </c>
      <c r="J241" s="4" t="str" cm="1">
        <f t="array" ref="J241">IFERROR(INDEX(EmployeeData[Status], ROW() - 37), "")</f>
        <v>Active</v>
      </c>
    </row>
    <row r="242" spans="2:10" ht="19.95" customHeight="1" x14ac:dyDescent="0.3">
      <c r="B242" s="4" cm="1">
        <f t="array" ref="B242">IFERROR(INDEX(EmployeeData[Employee ID], ROW() - 37), "")</f>
        <v>1205</v>
      </c>
      <c r="C242" s="4" t="str" cm="1">
        <f t="array" ref="C242">IFERROR(INDEX(EmployeeData[Full Name], ROW() - 37), "")</f>
        <v>Grace Obispo</v>
      </c>
      <c r="D242" s="4" t="str" cm="1">
        <f t="array" ref="D242">IFERROR(INDEX(EmployeeData[Department], ROW() - 37), "")</f>
        <v>HR</v>
      </c>
      <c r="E242" s="4" t="str" cm="1">
        <f t="array" ref="E242">IFERROR(INDEX(EmployeeData[Gender], ROW() - 37), "")</f>
        <v>Female</v>
      </c>
      <c r="F242" s="4" cm="1">
        <f t="array" ref="F242">IFERROR(INDEX(EmployeeData[Age], ROW() - 37), "")</f>
        <v>22</v>
      </c>
      <c r="G242" s="6" cm="1">
        <f t="array" ref="G242">IFERROR(INDEX(EmployeeData[Join Date], ROW() - 37), "")</f>
        <v>44609</v>
      </c>
      <c r="H242" s="6" cm="1">
        <f t="array" ref="H242">IFERROR(IF(INDEX(EmployeeData[Exit Date], ROW() - 37)=0, "",INDEX(EmployeeData[Exit Date], ROW() - 37)),"")</f>
        <v>44923</v>
      </c>
      <c r="I242" s="4" t="str" cm="1">
        <f t="array" ref="I242">IFERROR(IF(INDEX(EmployeeData[Exit Reason], ROW() - 37)=0, "",INDEX(EmployeeData[Exit Reason], ROW() - 37)),"")</f>
        <v>Contract End</v>
      </c>
      <c r="J242" s="4" t="str" cm="1">
        <f t="array" ref="J242">IFERROR(INDEX(EmployeeData[Status], ROW() - 37), "")</f>
        <v>Exited</v>
      </c>
    </row>
    <row r="243" spans="2:10" ht="19.95" customHeight="1" x14ac:dyDescent="0.3">
      <c r="B243" s="4" cm="1">
        <f t="array" ref="B243">IFERROR(INDEX(EmployeeData[Employee ID], ROW() - 37), "")</f>
        <v>1206</v>
      </c>
      <c r="C243" s="4" t="str" cm="1">
        <f t="array" ref="C243">IFERROR(INDEX(EmployeeData[Full Name], ROW() - 37), "")</f>
        <v>Willy Bautista Macapagal</v>
      </c>
      <c r="D243" s="4" t="str" cm="1">
        <f t="array" ref="D243">IFERROR(INDEX(EmployeeData[Department], ROW() - 37), "")</f>
        <v>Marketing</v>
      </c>
      <c r="E243" s="4" t="str" cm="1">
        <f t="array" ref="E243">IFERROR(INDEX(EmployeeData[Gender], ROW() - 37), "")</f>
        <v>Male</v>
      </c>
      <c r="F243" s="4" cm="1">
        <f t="array" ref="F243">IFERROR(INDEX(EmployeeData[Age], ROW() - 37), "")</f>
        <v>37</v>
      </c>
      <c r="G243" s="6" cm="1">
        <f t="array" ref="G243">IFERROR(INDEX(EmployeeData[Join Date], ROW() - 37), "")</f>
        <v>45786</v>
      </c>
      <c r="H243" s="6" t="str" cm="1">
        <f t="array" ref="H243">IFERROR(IF(INDEX(EmployeeData[Exit Date], ROW() - 37)=0, "",INDEX(EmployeeData[Exit Date], ROW() - 37)),"")</f>
        <v/>
      </c>
      <c r="I243" s="4" t="str" cm="1">
        <f t="array" ref="I243">IFERROR(IF(INDEX(EmployeeData[Exit Reason], ROW() - 37)=0, "",INDEX(EmployeeData[Exit Reason], ROW() - 37)),"")</f>
        <v/>
      </c>
      <c r="J243" s="4" t="str" cm="1">
        <f t="array" ref="J243">IFERROR(INDEX(EmployeeData[Status], ROW() - 37), "")</f>
        <v>Active</v>
      </c>
    </row>
    <row r="244" spans="2:10" ht="19.95" customHeight="1" x14ac:dyDescent="0.3">
      <c r="B244" s="4" cm="1">
        <f t="array" ref="B244">IFERROR(INDEX(EmployeeData[Employee ID], ROW() - 37), "")</f>
        <v>1207</v>
      </c>
      <c r="C244" s="4" t="str" cm="1">
        <f t="array" ref="C244">IFERROR(INDEX(EmployeeData[Full Name], ROW() - 37), "")</f>
        <v>Teresita Torres Ocampo</v>
      </c>
      <c r="D244" s="4" t="str" cm="1">
        <f t="array" ref="D244">IFERROR(INDEX(EmployeeData[Department], ROW() - 37), "")</f>
        <v>Marketing</v>
      </c>
      <c r="E244" s="4" t="str" cm="1">
        <f t="array" ref="E244">IFERROR(INDEX(EmployeeData[Gender], ROW() - 37), "")</f>
        <v>Female</v>
      </c>
      <c r="F244" s="4" cm="1">
        <f t="array" ref="F244">IFERROR(INDEX(EmployeeData[Age], ROW() - 37), "")</f>
        <v>45</v>
      </c>
      <c r="G244" s="6" cm="1">
        <f t="array" ref="G244">IFERROR(INDEX(EmployeeData[Join Date], ROW() - 37), "")</f>
        <v>43706</v>
      </c>
      <c r="H244" s="6" t="str" cm="1">
        <f t="array" ref="H244">IFERROR(IF(INDEX(EmployeeData[Exit Date], ROW() - 37)=0, "",INDEX(EmployeeData[Exit Date], ROW() - 37)),"")</f>
        <v/>
      </c>
      <c r="I244" s="4" t="str" cm="1">
        <f t="array" ref="I244">IFERROR(IF(INDEX(EmployeeData[Exit Reason], ROW() - 37)=0, "",INDEX(EmployeeData[Exit Reason], ROW() - 37)),"")</f>
        <v/>
      </c>
      <c r="J244" s="4" t="str" cm="1">
        <f t="array" ref="J244">IFERROR(INDEX(EmployeeData[Status], ROW() - 37), "")</f>
        <v>Active</v>
      </c>
    </row>
    <row r="245" spans="2:10" ht="19.95" customHeight="1" x14ac:dyDescent="0.3">
      <c r="B245" s="4" cm="1">
        <f t="array" ref="B245">IFERROR(INDEX(EmployeeData[Employee ID], ROW() - 37), "")</f>
        <v>1208</v>
      </c>
      <c r="C245" s="4" t="str" cm="1">
        <f t="array" ref="C245">IFERROR(INDEX(EmployeeData[Full Name], ROW() - 37), "")</f>
        <v>Lorenzo Chan Bondoc</v>
      </c>
      <c r="D245" s="4" t="str" cm="1">
        <f t="array" ref="D245">IFERROR(INDEX(EmployeeData[Department], ROW() - 37), "")</f>
        <v>Customer Support</v>
      </c>
      <c r="E245" s="4" t="str" cm="1">
        <f t="array" ref="E245">IFERROR(INDEX(EmployeeData[Gender], ROW() - 37), "")</f>
        <v>Male</v>
      </c>
      <c r="F245" s="4" cm="1">
        <f t="array" ref="F245">IFERROR(INDEX(EmployeeData[Age], ROW() - 37), "")</f>
        <v>47</v>
      </c>
      <c r="G245" s="6" cm="1">
        <f t="array" ref="G245">IFERROR(INDEX(EmployeeData[Join Date], ROW() - 37), "")</f>
        <v>43721</v>
      </c>
      <c r="H245" s="6" t="str" cm="1">
        <f t="array" ref="H245">IFERROR(IF(INDEX(EmployeeData[Exit Date], ROW() - 37)=0, "",INDEX(EmployeeData[Exit Date], ROW() - 37)),"")</f>
        <v/>
      </c>
      <c r="I245" s="4" t="str" cm="1">
        <f t="array" ref="I245">IFERROR(IF(INDEX(EmployeeData[Exit Reason], ROW() - 37)=0, "",INDEX(EmployeeData[Exit Reason], ROW() - 37)),"")</f>
        <v/>
      </c>
      <c r="J245" s="4" t="str" cm="1">
        <f t="array" ref="J245">IFERROR(INDEX(EmployeeData[Status], ROW() - 37), "")</f>
        <v>Active</v>
      </c>
    </row>
    <row r="246" spans="2:10" ht="19.95" customHeight="1" x14ac:dyDescent="0.3">
      <c r="B246" s="4" cm="1">
        <f t="array" ref="B246">IFERROR(INDEX(EmployeeData[Employee ID], ROW() - 37), "")</f>
        <v>1209</v>
      </c>
      <c r="C246" s="4" t="str" cm="1">
        <f t="array" ref="C246">IFERROR(INDEX(EmployeeData[Full Name], ROW() - 37), "")</f>
        <v>Elena Gonzales Elegado</v>
      </c>
      <c r="D246" s="4" t="str" cm="1">
        <f t="array" ref="D246">IFERROR(INDEX(EmployeeData[Department], ROW() - 37), "")</f>
        <v>Sales</v>
      </c>
      <c r="E246" s="4" t="str" cm="1">
        <f t="array" ref="E246">IFERROR(INDEX(EmployeeData[Gender], ROW() - 37), "")</f>
        <v>Other</v>
      </c>
      <c r="F246" s="4" cm="1">
        <f t="array" ref="F246">IFERROR(INDEX(EmployeeData[Age], ROW() - 37), "")</f>
        <v>24</v>
      </c>
      <c r="G246" s="6" cm="1">
        <f t="array" ref="G246">IFERROR(INDEX(EmployeeData[Join Date], ROW() - 37), "")</f>
        <v>45991</v>
      </c>
      <c r="H246" s="6" cm="1">
        <f t="array" ref="H246">IFERROR(IF(INDEX(EmployeeData[Exit Date], ROW() - 37)=0, "",INDEX(EmployeeData[Exit Date], ROW() - 37)),"")</f>
        <v>46107</v>
      </c>
      <c r="I246" s="4" t="str" cm="1">
        <f t="array" ref="I246">IFERROR(IF(INDEX(EmployeeData[Exit Reason], ROW() - 37)=0, "",INDEX(EmployeeData[Exit Reason], ROW() - 37)),"")</f>
        <v>Health Issues</v>
      </c>
      <c r="J246" s="4" t="str" cm="1">
        <f t="array" ref="J246">IFERROR(INDEX(EmployeeData[Status], ROW() - 37), "")</f>
        <v>Exited</v>
      </c>
    </row>
    <row r="247" spans="2:10" ht="19.95" customHeight="1" x14ac:dyDescent="0.3">
      <c r="B247" s="4" cm="1">
        <f t="array" ref="B247">IFERROR(INDEX(EmployeeData[Employee ID], ROW() - 37), "")</f>
        <v>1210</v>
      </c>
      <c r="C247" s="4" t="str" cm="1">
        <f t="array" ref="C247">IFERROR(INDEX(EmployeeData[Full Name], ROW() - 37), "")</f>
        <v>Teodoro Mercado Solis</v>
      </c>
      <c r="D247" s="4" t="str" cm="1">
        <f t="array" ref="D247">IFERROR(INDEX(EmployeeData[Department], ROW() - 37), "")</f>
        <v>IT</v>
      </c>
      <c r="E247" s="4" t="str" cm="1">
        <f t="array" ref="E247">IFERROR(INDEX(EmployeeData[Gender], ROW() - 37), "")</f>
        <v>Male</v>
      </c>
      <c r="F247" s="4" cm="1">
        <f t="array" ref="F247">IFERROR(INDEX(EmployeeData[Age], ROW() - 37), "")</f>
        <v>55</v>
      </c>
      <c r="G247" s="6" cm="1">
        <f t="array" ref="G247">IFERROR(INDEX(EmployeeData[Join Date], ROW() - 37), "")</f>
        <v>44552</v>
      </c>
      <c r="H247" s="6" t="str" cm="1">
        <f t="array" ref="H247">IFERROR(IF(INDEX(EmployeeData[Exit Date], ROW() - 37)=0, "",INDEX(EmployeeData[Exit Date], ROW() - 37)),"")</f>
        <v/>
      </c>
      <c r="I247" s="4" t="str" cm="1">
        <f t="array" ref="I247">IFERROR(IF(INDEX(EmployeeData[Exit Reason], ROW() - 37)=0, "",INDEX(EmployeeData[Exit Reason], ROW() - 37)),"")</f>
        <v/>
      </c>
      <c r="J247" s="4" t="str" cm="1">
        <f t="array" ref="J247">IFERROR(INDEX(EmployeeData[Status], ROW() - 37), "")</f>
        <v>Active</v>
      </c>
    </row>
    <row r="248" spans="2:10" ht="19.95" customHeight="1" x14ac:dyDescent="0.3">
      <c r="B248" s="4" cm="1">
        <f t="array" ref="B248">IFERROR(INDEX(EmployeeData[Employee ID], ROW() - 37), "")</f>
        <v>1211</v>
      </c>
      <c r="C248" s="4" t="str" cm="1">
        <f t="array" ref="C248">IFERROR(INDEX(EmployeeData[Full Name], ROW() - 37), "")</f>
        <v>Ivy Aguilar Macaraeg</v>
      </c>
      <c r="D248" s="4" t="str" cm="1">
        <f t="array" ref="D248">IFERROR(INDEX(EmployeeData[Department], ROW() - 37), "")</f>
        <v>IT</v>
      </c>
      <c r="E248" s="4" t="str" cm="1">
        <f t="array" ref="E248">IFERROR(INDEX(EmployeeData[Gender], ROW() - 37), "")</f>
        <v>Female</v>
      </c>
      <c r="F248" s="4" cm="1">
        <f t="array" ref="F248">IFERROR(INDEX(EmployeeData[Age], ROW() - 37), "")</f>
        <v>40</v>
      </c>
      <c r="G248" s="6" cm="1">
        <f t="array" ref="G248">IFERROR(INDEX(EmployeeData[Join Date], ROW() - 37), "")</f>
        <v>44284</v>
      </c>
      <c r="H248" s="6" t="str" cm="1">
        <f t="array" ref="H248">IFERROR(IF(INDEX(EmployeeData[Exit Date], ROW() - 37)=0, "",INDEX(EmployeeData[Exit Date], ROW() - 37)),"")</f>
        <v/>
      </c>
      <c r="I248" s="4" t="str" cm="1">
        <f t="array" ref="I248">IFERROR(IF(INDEX(EmployeeData[Exit Reason], ROW() - 37)=0, "",INDEX(EmployeeData[Exit Reason], ROW() - 37)),"")</f>
        <v/>
      </c>
      <c r="J248" s="4" t="str" cm="1">
        <f t="array" ref="J248">IFERROR(INDEX(EmployeeData[Status], ROW() - 37), "")</f>
        <v>Active</v>
      </c>
    </row>
    <row r="249" spans="2:10" ht="19.95" customHeight="1" x14ac:dyDescent="0.3">
      <c r="B249" s="4" cm="1">
        <f t="array" ref="B249">IFERROR(INDEX(EmployeeData[Employee ID], ROW() - 37), "")</f>
        <v>1212</v>
      </c>
      <c r="C249" s="4" t="str" cm="1">
        <f t="array" ref="C249">IFERROR(INDEX(EmployeeData[Full Name], ROW() - 37), "")</f>
        <v>Nathan Manalang</v>
      </c>
      <c r="D249" s="4" t="str" cm="1">
        <f t="array" ref="D249">IFERROR(INDEX(EmployeeData[Department], ROW() - 37), "")</f>
        <v>IT</v>
      </c>
      <c r="E249" s="4" t="str" cm="1">
        <f t="array" ref="E249">IFERROR(INDEX(EmployeeData[Gender], ROW() - 37), "")</f>
        <v>Male</v>
      </c>
      <c r="F249" s="4" cm="1">
        <f t="array" ref="F249">IFERROR(INDEX(EmployeeData[Age], ROW() - 37), "")</f>
        <v>55</v>
      </c>
      <c r="G249" s="6" cm="1">
        <f t="array" ref="G249">IFERROR(INDEX(EmployeeData[Join Date], ROW() - 37), "")</f>
        <v>44656</v>
      </c>
      <c r="H249" s="6" t="str" cm="1">
        <f t="array" ref="H249">IFERROR(IF(INDEX(EmployeeData[Exit Date], ROW() - 37)=0, "",INDEX(EmployeeData[Exit Date], ROW() - 37)),"")</f>
        <v/>
      </c>
      <c r="I249" s="4" t="str" cm="1">
        <f t="array" ref="I249">IFERROR(IF(INDEX(EmployeeData[Exit Reason], ROW() - 37)=0, "",INDEX(EmployeeData[Exit Reason], ROW() - 37)),"")</f>
        <v/>
      </c>
      <c r="J249" s="4" t="str" cm="1">
        <f t="array" ref="J249">IFERROR(INDEX(EmployeeData[Status], ROW() - 37), "")</f>
        <v>Active</v>
      </c>
    </row>
    <row r="250" spans="2:10" ht="19.95" customHeight="1" x14ac:dyDescent="0.3">
      <c r="B250" s="4" cm="1">
        <f t="array" ref="B250">IFERROR(INDEX(EmployeeData[Employee ID], ROW() - 37), "")</f>
        <v>1213</v>
      </c>
      <c r="C250" s="4" t="str" cm="1">
        <f t="array" ref="C250">IFERROR(INDEX(EmployeeData[Full Name], ROW() - 37), "")</f>
        <v>Hazel Aguilar Rivera</v>
      </c>
      <c r="D250" s="4" t="str" cm="1">
        <f t="array" ref="D250">IFERROR(INDEX(EmployeeData[Department], ROW() - 37), "")</f>
        <v>Sales</v>
      </c>
      <c r="E250" s="4" t="str" cm="1">
        <f t="array" ref="E250">IFERROR(INDEX(EmployeeData[Gender], ROW() - 37), "")</f>
        <v>Female</v>
      </c>
      <c r="F250" s="4" cm="1">
        <f t="array" ref="F250">IFERROR(INDEX(EmployeeData[Age], ROW() - 37), "")</f>
        <v>39</v>
      </c>
      <c r="G250" s="6" cm="1">
        <f t="array" ref="G250">IFERROR(INDEX(EmployeeData[Join Date], ROW() - 37), "")</f>
        <v>43424</v>
      </c>
      <c r="H250" s="6" cm="1">
        <f t="array" ref="H250">IFERROR(IF(INDEX(EmployeeData[Exit Date], ROW() - 37)=0, "",INDEX(EmployeeData[Exit Date], ROW() - 37)),"")</f>
        <v>45325</v>
      </c>
      <c r="I250" s="4" t="str" cm="1">
        <f t="array" ref="I250">IFERROR(IF(INDEX(EmployeeData[Exit Reason], ROW() - 37)=0, "",INDEX(EmployeeData[Exit Reason], ROW() - 37)),"")</f>
        <v>Relocation</v>
      </c>
      <c r="J250" s="4" t="str" cm="1">
        <f t="array" ref="J250">IFERROR(INDEX(EmployeeData[Status], ROW() - 37), "")</f>
        <v>Exited</v>
      </c>
    </row>
    <row r="251" spans="2:10" ht="19.95" customHeight="1" x14ac:dyDescent="0.3">
      <c r="B251" s="4" cm="1">
        <f t="array" ref="B251">IFERROR(INDEX(EmployeeData[Employee ID], ROW() - 37), "")</f>
        <v>1214</v>
      </c>
      <c r="C251" s="4" t="str" cm="1">
        <f t="array" ref="C251">IFERROR(INDEX(EmployeeData[Full Name], ROW() - 37), "")</f>
        <v>Lourdes Ramirez Sy</v>
      </c>
      <c r="D251" s="4" t="str" cm="1">
        <f t="array" ref="D251">IFERROR(INDEX(EmployeeData[Department], ROW() - 37), "")</f>
        <v>Finance</v>
      </c>
      <c r="E251" s="4" t="str" cm="1">
        <f t="array" ref="E251">IFERROR(INDEX(EmployeeData[Gender], ROW() - 37), "")</f>
        <v>Other</v>
      </c>
      <c r="F251" s="4" cm="1">
        <f t="array" ref="F251">IFERROR(INDEX(EmployeeData[Age], ROW() - 37), "")</f>
        <v>29</v>
      </c>
      <c r="G251" s="6" cm="1">
        <f t="array" ref="G251">IFERROR(INDEX(EmployeeData[Join Date], ROW() - 37), "")</f>
        <v>43548</v>
      </c>
      <c r="H251" s="6" t="str" cm="1">
        <f t="array" ref="H251">IFERROR(IF(INDEX(EmployeeData[Exit Date], ROW() - 37)=0, "",INDEX(EmployeeData[Exit Date], ROW() - 37)),"")</f>
        <v/>
      </c>
      <c r="I251" s="4" t="str" cm="1">
        <f t="array" ref="I251">IFERROR(IF(INDEX(EmployeeData[Exit Reason], ROW() - 37)=0, "",INDEX(EmployeeData[Exit Reason], ROW() - 37)),"")</f>
        <v/>
      </c>
      <c r="J251" s="4" t="str" cm="1">
        <f t="array" ref="J251">IFERROR(INDEX(EmployeeData[Status], ROW() - 37), "")</f>
        <v>Active</v>
      </c>
    </row>
    <row r="252" spans="2:10" ht="19.95" customHeight="1" x14ac:dyDescent="0.3">
      <c r="B252" s="4" cm="1">
        <f t="array" ref="B252">IFERROR(INDEX(EmployeeData[Employee ID], ROW() - 37), "")</f>
        <v>1215</v>
      </c>
      <c r="C252" s="4" t="str" cm="1">
        <f t="array" ref="C252">IFERROR(INDEX(EmployeeData[Full Name], ROW() - 37), "")</f>
        <v>Lourdes Guevarra</v>
      </c>
      <c r="D252" s="4" t="str" cm="1">
        <f t="array" ref="D252">IFERROR(INDEX(EmployeeData[Department], ROW() - 37), "")</f>
        <v>Marketing</v>
      </c>
      <c r="E252" s="4" t="str" cm="1">
        <f t="array" ref="E252">IFERROR(INDEX(EmployeeData[Gender], ROW() - 37), "")</f>
        <v>Female</v>
      </c>
      <c r="F252" s="4" cm="1">
        <f t="array" ref="F252">IFERROR(INDEX(EmployeeData[Age], ROW() - 37), "")</f>
        <v>47</v>
      </c>
      <c r="G252" s="6" cm="1">
        <f t="array" ref="G252">IFERROR(INDEX(EmployeeData[Join Date], ROW() - 37), "")</f>
        <v>44453</v>
      </c>
      <c r="H252" s="6" t="str" cm="1">
        <f t="array" ref="H252">IFERROR(IF(INDEX(EmployeeData[Exit Date], ROW() - 37)=0, "",INDEX(EmployeeData[Exit Date], ROW() - 37)),"")</f>
        <v/>
      </c>
      <c r="I252" s="4" t="str" cm="1">
        <f t="array" ref="I252">IFERROR(IF(INDEX(EmployeeData[Exit Reason], ROW() - 37)=0, "",INDEX(EmployeeData[Exit Reason], ROW() - 37)),"")</f>
        <v/>
      </c>
      <c r="J252" s="4" t="str" cm="1">
        <f t="array" ref="J252">IFERROR(INDEX(EmployeeData[Status], ROW() - 37), "")</f>
        <v>Active</v>
      </c>
    </row>
    <row r="253" spans="2:10" ht="19.95" customHeight="1" x14ac:dyDescent="0.3">
      <c r="B253" s="4" cm="1">
        <f t="array" ref="B253">IFERROR(INDEX(EmployeeData[Employee ID], ROW() - 37), "")</f>
        <v>1216</v>
      </c>
      <c r="C253" s="4" t="str" cm="1">
        <f t="array" ref="C253">IFERROR(INDEX(EmployeeData[Full Name], ROW() - 37), "")</f>
        <v>Eddie Umali</v>
      </c>
      <c r="D253" s="4" t="str" cm="1">
        <f t="array" ref="D253">IFERROR(INDEX(EmployeeData[Department], ROW() - 37), "")</f>
        <v>Customer Support</v>
      </c>
      <c r="E253" s="4" t="str" cm="1">
        <f t="array" ref="E253">IFERROR(INDEX(EmployeeData[Gender], ROW() - 37), "")</f>
        <v>Male</v>
      </c>
      <c r="F253" s="4" cm="1">
        <f t="array" ref="F253">IFERROR(INDEX(EmployeeData[Age], ROW() - 37), "")</f>
        <v>31</v>
      </c>
      <c r="G253" s="6" cm="1">
        <f t="array" ref="G253">IFERROR(INDEX(EmployeeData[Join Date], ROW() - 37), "")</f>
        <v>44767</v>
      </c>
      <c r="H253" s="6" t="str" cm="1">
        <f t="array" ref="H253">IFERROR(IF(INDEX(EmployeeData[Exit Date], ROW() - 37)=0, "",INDEX(EmployeeData[Exit Date], ROW() - 37)),"")</f>
        <v/>
      </c>
      <c r="I253" s="4" t="str" cm="1">
        <f t="array" ref="I253">IFERROR(IF(INDEX(EmployeeData[Exit Reason], ROW() - 37)=0, "",INDEX(EmployeeData[Exit Reason], ROW() - 37)),"")</f>
        <v/>
      </c>
      <c r="J253" s="4" t="str" cm="1">
        <f t="array" ref="J253">IFERROR(INDEX(EmployeeData[Status], ROW() - 37), "")</f>
        <v>Active</v>
      </c>
    </row>
    <row r="254" spans="2:10" ht="19.95" customHeight="1" x14ac:dyDescent="0.3">
      <c r="B254" s="4" cm="1">
        <f t="array" ref="B254">IFERROR(INDEX(EmployeeData[Employee ID], ROW() - 37), "")</f>
        <v>1217</v>
      </c>
      <c r="C254" s="4" t="str" cm="1">
        <f t="array" ref="C254">IFERROR(INDEX(EmployeeData[Full Name], ROW() - 37), "")</f>
        <v>Queenie Fajardo</v>
      </c>
      <c r="D254" s="4" t="str" cm="1">
        <f t="array" ref="D254">IFERROR(INDEX(EmployeeData[Department], ROW() - 37), "")</f>
        <v>HR</v>
      </c>
      <c r="E254" s="4" t="str" cm="1">
        <f t="array" ref="E254">IFERROR(INDEX(EmployeeData[Gender], ROW() - 37), "")</f>
        <v>Female</v>
      </c>
      <c r="F254" s="4" cm="1">
        <f t="array" ref="F254">IFERROR(INDEX(EmployeeData[Age], ROW() - 37), "")</f>
        <v>39</v>
      </c>
      <c r="G254" s="6" cm="1">
        <f t="array" ref="G254">IFERROR(INDEX(EmployeeData[Join Date], ROW() - 37), "")</f>
        <v>45746</v>
      </c>
      <c r="H254" s="6" cm="1">
        <f t="array" ref="H254">IFERROR(IF(INDEX(EmployeeData[Exit Date], ROW() - 37)=0, "",INDEX(EmployeeData[Exit Date], ROW() - 37)),"")</f>
        <v>45881</v>
      </c>
      <c r="I254" s="4" t="str" cm="1">
        <f t="array" ref="I254">IFERROR(IF(INDEX(EmployeeData[Exit Reason], ROW() - 37)=0, "",INDEX(EmployeeData[Exit Reason], ROW() - 37)),"")</f>
        <v>Relocation</v>
      </c>
      <c r="J254" s="4" t="str" cm="1">
        <f t="array" ref="J254">IFERROR(INDEX(EmployeeData[Status], ROW() - 37), "")</f>
        <v>Exited</v>
      </c>
    </row>
    <row r="255" spans="2:10" ht="19.95" customHeight="1" x14ac:dyDescent="0.3">
      <c r="B255" s="4" cm="1">
        <f t="array" ref="B255">IFERROR(INDEX(EmployeeData[Employee ID], ROW() - 37), "")</f>
        <v>1218</v>
      </c>
      <c r="C255" s="4" t="str" cm="1">
        <f t="array" ref="C255">IFERROR(INDEX(EmployeeData[Full Name], ROW() - 37), "")</f>
        <v>Jacqueline Ocampo</v>
      </c>
      <c r="D255" s="4" t="str" cm="1">
        <f t="array" ref="D255">IFERROR(INDEX(EmployeeData[Department], ROW() - 37), "")</f>
        <v>Sales</v>
      </c>
      <c r="E255" s="4" t="str" cm="1">
        <f t="array" ref="E255">IFERROR(INDEX(EmployeeData[Gender], ROW() - 37), "")</f>
        <v>Female</v>
      </c>
      <c r="F255" s="4" cm="1">
        <f t="array" ref="F255">IFERROR(INDEX(EmployeeData[Age], ROW() - 37), "")</f>
        <v>32</v>
      </c>
      <c r="G255" s="6" cm="1">
        <f t="array" ref="G255">IFERROR(INDEX(EmployeeData[Join Date], ROW() - 37), "")</f>
        <v>44812</v>
      </c>
      <c r="H255" s="6" t="str" cm="1">
        <f t="array" ref="H255">IFERROR(IF(INDEX(EmployeeData[Exit Date], ROW() - 37)=0, "",INDEX(EmployeeData[Exit Date], ROW() - 37)),"")</f>
        <v/>
      </c>
      <c r="I255" s="4" t="str" cm="1">
        <f t="array" ref="I255">IFERROR(IF(INDEX(EmployeeData[Exit Reason], ROW() - 37)=0, "",INDEX(EmployeeData[Exit Reason], ROW() - 37)),"")</f>
        <v/>
      </c>
      <c r="J255" s="4" t="str" cm="1">
        <f t="array" ref="J255">IFERROR(INDEX(EmployeeData[Status], ROW() - 37), "")</f>
        <v>Active</v>
      </c>
    </row>
    <row r="256" spans="2:10" ht="19.95" customHeight="1" x14ac:dyDescent="0.3">
      <c r="B256" s="4" cm="1">
        <f t="array" ref="B256">IFERROR(INDEX(EmployeeData[Employee ID], ROW() - 37), "")</f>
        <v>1219</v>
      </c>
      <c r="C256" s="4" t="str" cm="1">
        <f t="array" ref="C256">IFERROR(INDEX(EmployeeData[Full Name], ROW() - 37), "")</f>
        <v>Francis Ang Co</v>
      </c>
      <c r="D256" s="4" t="str" cm="1">
        <f t="array" ref="D256">IFERROR(INDEX(EmployeeData[Department], ROW() - 37), "")</f>
        <v>IT</v>
      </c>
      <c r="E256" s="4" t="str" cm="1">
        <f t="array" ref="E256">IFERROR(INDEX(EmployeeData[Gender], ROW() - 37), "")</f>
        <v>Male</v>
      </c>
      <c r="F256" s="4" cm="1">
        <f t="array" ref="F256">IFERROR(INDEX(EmployeeData[Age], ROW() - 37), "")</f>
        <v>39</v>
      </c>
      <c r="G256" s="6" cm="1">
        <f t="array" ref="G256">IFERROR(INDEX(EmployeeData[Join Date], ROW() - 37), "")</f>
        <v>43254</v>
      </c>
      <c r="H256" s="6" cm="1">
        <f t="array" ref="H256">IFERROR(IF(INDEX(EmployeeData[Exit Date], ROW() - 37)=0, "",INDEX(EmployeeData[Exit Date], ROW() - 37)),"")</f>
        <v>43783</v>
      </c>
      <c r="I256" s="4" t="str" cm="1">
        <f t="array" ref="I256">IFERROR(IF(INDEX(EmployeeData[Exit Reason], ROW() - 37)=0, "",INDEX(EmployeeData[Exit Reason], ROW() - 37)),"")</f>
        <v>Contract End</v>
      </c>
      <c r="J256" s="4" t="str" cm="1">
        <f t="array" ref="J256">IFERROR(INDEX(EmployeeData[Status], ROW() - 37), "")</f>
        <v>Exited</v>
      </c>
    </row>
    <row r="257" spans="2:10" ht="19.95" customHeight="1" x14ac:dyDescent="0.3">
      <c r="B257" s="4" cm="1">
        <f t="array" ref="B257">IFERROR(INDEX(EmployeeData[Employee ID], ROW() - 37), "")</f>
        <v>1220</v>
      </c>
      <c r="C257" s="4" t="str" cm="1">
        <f t="array" ref="C257">IFERROR(INDEX(EmployeeData[Full Name], ROW() - 37), "")</f>
        <v>Violeta Diaz Miranda</v>
      </c>
      <c r="D257" s="4" t="str" cm="1">
        <f t="array" ref="D257">IFERROR(INDEX(EmployeeData[Department], ROW() - 37), "")</f>
        <v>Sales</v>
      </c>
      <c r="E257" s="4" t="str" cm="1">
        <f t="array" ref="E257">IFERROR(INDEX(EmployeeData[Gender], ROW() - 37), "")</f>
        <v>Female</v>
      </c>
      <c r="F257" s="4" cm="1">
        <f t="array" ref="F257">IFERROR(INDEX(EmployeeData[Age], ROW() - 37), "")</f>
        <v>64</v>
      </c>
      <c r="G257" s="6" cm="1">
        <f t="array" ref="G257">IFERROR(INDEX(EmployeeData[Join Date], ROW() - 37), "")</f>
        <v>45018</v>
      </c>
      <c r="H257" s="6" cm="1">
        <f t="array" ref="H257">IFERROR(IF(INDEX(EmployeeData[Exit Date], ROW() - 37)=0, "",INDEX(EmployeeData[Exit Date], ROW() - 37)),"")</f>
        <v>45338</v>
      </c>
      <c r="I257" s="4" t="str" cm="1">
        <f t="array" ref="I257">IFERROR(IF(INDEX(EmployeeData[Exit Reason], ROW() - 37)=0, "",INDEX(EmployeeData[Exit Reason], ROW() - 37)),"")</f>
        <v>Retirement</v>
      </c>
      <c r="J257" s="4" t="str" cm="1">
        <f t="array" ref="J257">IFERROR(INDEX(EmployeeData[Status], ROW() - 37), "")</f>
        <v>Exited</v>
      </c>
    </row>
    <row r="258" spans="2:10" ht="19.95" customHeight="1" x14ac:dyDescent="0.3">
      <c r="B258" s="4" cm="1">
        <f t="array" ref="B258">IFERROR(INDEX(EmployeeData[Employee ID], ROW() - 37), "")</f>
        <v>1221</v>
      </c>
      <c r="C258" s="4" t="str" cm="1">
        <f t="array" ref="C258">IFERROR(INDEX(EmployeeData[Full Name], ROW() - 37), "")</f>
        <v>Oliver Garcia Estrada</v>
      </c>
      <c r="D258" s="4" t="str" cm="1">
        <f t="array" ref="D258">IFERROR(INDEX(EmployeeData[Department], ROW() - 37), "")</f>
        <v>Sales</v>
      </c>
      <c r="E258" s="4" t="str" cm="1">
        <f t="array" ref="E258">IFERROR(INDEX(EmployeeData[Gender], ROW() - 37), "")</f>
        <v>Male</v>
      </c>
      <c r="F258" s="4" cm="1">
        <f t="array" ref="F258">IFERROR(INDEX(EmployeeData[Age], ROW() - 37), "")</f>
        <v>32</v>
      </c>
      <c r="G258" s="6" cm="1">
        <f t="array" ref="G258">IFERROR(INDEX(EmployeeData[Join Date], ROW() - 37), "")</f>
        <v>43819</v>
      </c>
      <c r="H258" s="6" t="str" cm="1">
        <f t="array" ref="H258">IFERROR(IF(INDEX(EmployeeData[Exit Date], ROW() - 37)=0, "",INDEX(EmployeeData[Exit Date], ROW() - 37)),"")</f>
        <v/>
      </c>
      <c r="I258" s="4" t="str" cm="1">
        <f t="array" ref="I258">IFERROR(IF(INDEX(EmployeeData[Exit Reason], ROW() - 37)=0, "",INDEX(EmployeeData[Exit Reason], ROW() - 37)),"")</f>
        <v/>
      </c>
      <c r="J258" s="4" t="str" cm="1">
        <f t="array" ref="J258">IFERROR(INDEX(EmployeeData[Status], ROW() - 37), "")</f>
        <v>Active</v>
      </c>
    </row>
    <row r="259" spans="2:10" ht="19.95" customHeight="1" x14ac:dyDescent="0.3">
      <c r="B259" s="4" cm="1">
        <f t="array" ref="B259">IFERROR(INDEX(EmployeeData[Employee ID], ROW() - 37), "")</f>
        <v>1222</v>
      </c>
      <c r="C259" s="4" t="str" cm="1">
        <f t="array" ref="C259">IFERROR(INDEX(EmployeeData[Full Name], ROW() - 37), "")</f>
        <v>Sarah Aguilar Sy</v>
      </c>
      <c r="D259" s="4" t="str" cm="1">
        <f t="array" ref="D259">IFERROR(INDEX(EmployeeData[Department], ROW() - 37), "")</f>
        <v>IT</v>
      </c>
      <c r="E259" s="4" t="str" cm="1">
        <f t="array" ref="E259">IFERROR(INDEX(EmployeeData[Gender], ROW() - 37), "")</f>
        <v>Female</v>
      </c>
      <c r="F259" s="4" cm="1">
        <f t="array" ref="F259">IFERROR(INDEX(EmployeeData[Age], ROW() - 37), "")</f>
        <v>29</v>
      </c>
      <c r="G259" s="6" cm="1">
        <f t="array" ref="G259">IFERROR(INDEX(EmployeeData[Join Date], ROW() - 37), "")</f>
        <v>45056</v>
      </c>
      <c r="H259" s="6" cm="1">
        <f t="array" ref="H259">IFERROR(IF(INDEX(EmployeeData[Exit Date], ROW() - 37)=0, "",INDEX(EmployeeData[Exit Date], ROW() - 37)),"")</f>
        <v>45654</v>
      </c>
      <c r="I259" s="4" t="str" cm="1">
        <f t="array" ref="I259">IFERROR(IF(INDEX(EmployeeData[Exit Reason], ROW() - 37)=0, "",INDEX(EmployeeData[Exit Reason], ROW() - 37)),"")</f>
        <v>Better Opportunity</v>
      </c>
      <c r="J259" s="4" t="str" cm="1">
        <f t="array" ref="J259">IFERROR(INDEX(EmployeeData[Status], ROW() - 37), "")</f>
        <v>Exited</v>
      </c>
    </row>
    <row r="260" spans="2:10" ht="19.95" customHeight="1" x14ac:dyDescent="0.3">
      <c r="B260" s="4" cm="1">
        <f t="array" ref="B260">IFERROR(INDEX(EmployeeData[Employee ID], ROW() - 37), "")</f>
        <v>1223</v>
      </c>
      <c r="C260" s="4" t="str" cm="1">
        <f t="array" ref="C260">IFERROR(INDEX(EmployeeData[Full Name], ROW() - 37), "")</f>
        <v>Pilar Soriano Enriquez</v>
      </c>
      <c r="D260" s="4" t="str" cm="1">
        <f t="array" ref="D260">IFERROR(INDEX(EmployeeData[Department], ROW() - 37), "")</f>
        <v>Finance</v>
      </c>
      <c r="E260" s="4" t="str" cm="1">
        <f t="array" ref="E260">IFERROR(INDEX(EmployeeData[Gender], ROW() - 37), "")</f>
        <v>Female</v>
      </c>
      <c r="F260" s="4" cm="1">
        <f t="array" ref="F260">IFERROR(INDEX(EmployeeData[Age], ROW() - 37), "")</f>
        <v>57</v>
      </c>
      <c r="G260" s="6" cm="1">
        <f t="array" ref="G260">IFERROR(INDEX(EmployeeData[Join Date], ROW() - 37), "")</f>
        <v>43147</v>
      </c>
      <c r="H260" s="6" cm="1">
        <f t="array" ref="H260">IFERROR(IF(INDEX(EmployeeData[Exit Date], ROW() - 37)=0, "",INDEX(EmployeeData[Exit Date], ROW() - 37)),"")</f>
        <v>44709</v>
      </c>
      <c r="I260" s="4" t="str" cm="1">
        <f t="array" ref="I260">IFERROR(IF(INDEX(EmployeeData[Exit Reason], ROW() - 37)=0, "",INDEX(EmployeeData[Exit Reason], ROW() - 37)),"")</f>
        <v>Personal Reasons</v>
      </c>
      <c r="J260" s="4" t="str" cm="1">
        <f t="array" ref="J260">IFERROR(INDEX(EmployeeData[Status], ROW() - 37), "")</f>
        <v>Exited</v>
      </c>
    </row>
    <row r="261" spans="2:10" ht="19.95" customHeight="1" x14ac:dyDescent="0.3">
      <c r="B261" s="4" cm="1">
        <f t="array" ref="B261">IFERROR(INDEX(EmployeeData[Employee ID], ROW() - 37), "")</f>
        <v>1224</v>
      </c>
      <c r="C261" s="4" t="str" cm="1">
        <f t="array" ref="C261">IFERROR(INDEX(EmployeeData[Full Name], ROW() - 37), "")</f>
        <v>Antonio Tan</v>
      </c>
      <c r="D261" s="4" t="str" cm="1">
        <f t="array" ref="D261">IFERROR(INDEX(EmployeeData[Department], ROW() - 37), "")</f>
        <v>Customer Support</v>
      </c>
      <c r="E261" s="4" t="str" cm="1">
        <f t="array" ref="E261">IFERROR(INDEX(EmployeeData[Gender], ROW() - 37), "")</f>
        <v>Other</v>
      </c>
      <c r="F261" s="4" cm="1">
        <f t="array" ref="F261">IFERROR(INDEX(EmployeeData[Age], ROW() - 37), "")</f>
        <v>40</v>
      </c>
      <c r="G261" s="6" cm="1">
        <f t="array" ref="G261">IFERROR(INDEX(EmployeeData[Join Date], ROW() - 37), "")</f>
        <v>45928</v>
      </c>
      <c r="H261" s="6" cm="1">
        <f t="array" ref="H261">IFERROR(IF(INDEX(EmployeeData[Exit Date], ROW() - 37)=0, "",INDEX(EmployeeData[Exit Date], ROW() - 37)),"")</f>
        <v>46093</v>
      </c>
      <c r="I261" s="4" t="str" cm="1">
        <f t="array" ref="I261">IFERROR(IF(INDEX(EmployeeData[Exit Reason], ROW() - 37)=0, "",INDEX(EmployeeData[Exit Reason], ROW() - 37)),"")</f>
        <v>Termination</v>
      </c>
      <c r="J261" s="4" t="str" cm="1">
        <f t="array" ref="J261">IFERROR(INDEX(EmployeeData[Status], ROW() - 37), "")</f>
        <v>Exited</v>
      </c>
    </row>
    <row r="262" spans="2:10" ht="19.95" customHeight="1" x14ac:dyDescent="0.3">
      <c r="B262" s="4" cm="1">
        <f t="array" ref="B262">IFERROR(INDEX(EmployeeData[Employee ID], ROW() - 37), "")</f>
        <v>1225</v>
      </c>
      <c r="C262" s="4" t="str" cm="1">
        <f t="array" ref="C262">IFERROR(INDEX(EmployeeData[Full Name], ROW() - 37), "")</f>
        <v>Eddie Fajardo</v>
      </c>
      <c r="D262" s="4" t="str" cm="1">
        <f t="array" ref="D262">IFERROR(INDEX(EmployeeData[Department], ROW() - 37), "")</f>
        <v>Marketing</v>
      </c>
      <c r="E262" s="4" t="str" cm="1">
        <f t="array" ref="E262">IFERROR(INDEX(EmployeeData[Gender], ROW() - 37), "")</f>
        <v>Male</v>
      </c>
      <c r="F262" s="4" cm="1">
        <f t="array" ref="F262">IFERROR(INDEX(EmployeeData[Age], ROW() - 37), "")</f>
        <v>44</v>
      </c>
      <c r="G262" s="6" cm="1">
        <f t="array" ref="G262">IFERROR(INDEX(EmployeeData[Join Date], ROW() - 37), "")</f>
        <v>44804</v>
      </c>
      <c r="H262" s="6" t="str" cm="1">
        <f t="array" ref="H262">IFERROR(IF(INDEX(EmployeeData[Exit Date], ROW() - 37)=0, "",INDEX(EmployeeData[Exit Date], ROW() - 37)),"")</f>
        <v/>
      </c>
      <c r="I262" s="4" t="str" cm="1">
        <f t="array" ref="I262">IFERROR(IF(INDEX(EmployeeData[Exit Reason], ROW() - 37)=0, "",INDEX(EmployeeData[Exit Reason], ROW() - 37)),"")</f>
        <v/>
      </c>
      <c r="J262" s="4" t="str" cm="1">
        <f t="array" ref="J262">IFERROR(INDEX(EmployeeData[Status], ROW() - 37), "")</f>
        <v>Active</v>
      </c>
    </row>
    <row r="263" spans="2:10" ht="19.95" customHeight="1" x14ac:dyDescent="0.3">
      <c r="B263" s="4" cm="1">
        <f t="array" ref="B263">IFERROR(INDEX(EmployeeData[Employee ID], ROW() - 37), "")</f>
        <v>1226</v>
      </c>
      <c r="C263" s="4" t="str" cm="1">
        <f t="array" ref="C263">IFERROR(INDEX(EmployeeData[Full Name], ROW() - 37), "")</f>
        <v>Ronaldo Villanueva</v>
      </c>
      <c r="D263" s="4" t="str" cm="1">
        <f t="array" ref="D263">IFERROR(INDEX(EmployeeData[Department], ROW() - 37), "")</f>
        <v>Sales</v>
      </c>
      <c r="E263" s="4" t="str" cm="1">
        <f t="array" ref="E263">IFERROR(INDEX(EmployeeData[Gender], ROW() - 37), "")</f>
        <v>Other</v>
      </c>
      <c r="F263" s="4" cm="1">
        <f t="array" ref="F263">IFERROR(INDEX(EmployeeData[Age], ROW() - 37), "")</f>
        <v>26</v>
      </c>
      <c r="G263" s="6" cm="1">
        <f t="array" ref="G263">IFERROR(INDEX(EmployeeData[Join Date], ROW() - 37), "")</f>
        <v>45253</v>
      </c>
      <c r="H263" s="6" t="str" cm="1">
        <f t="array" ref="H263">IFERROR(IF(INDEX(EmployeeData[Exit Date], ROW() - 37)=0, "",INDEX(EmployeeData[Exit Date], ROW() - 37)),"")</f>
        <v/>
      </c>
      <c r="I263" s="4" t="str" cm="1">
        <f t="array" ref="I263">IFERROR(IF(INDEX(EmployeeData[Exit Reason], ROW() - 37)=0, "",INDEX(EmployeeData[Exit Reason], ROW() - 37)),"")</f>
        <v/>
      </c>
      <c r="J263" s="4" t="str" cm="1">
        <f t="array" ref="J263">IFERROR(INDEX(EmployeeData[Status], ROW() - 37), "")</f>
        <v>Active</v>
      </c>
    </row>
    <row r="264" spans="2:10" ht="19.95" customHeight="1" x14ac:dyDescent="0.3">
      <c r="B264" s="4" cm="1">
        <f t="array" ref="B264">IFERROR(INDEX(EmployeeData[Employee ID], ROW() - 37), "")</f>
        <v>1227</v>
      </c>
      <c r="C264" s="4" t="str" cm="1">
        <f t="array" ref="C264">IFERROR(INDEX(EmployeeData[Full Name], ROW() - 37), "")</f>
        <v>Cameron Uy Pascual</v>
      </c>
      <c r="D264" s="4" t="str" cm="1">
        <f t="array" ref="D264">IFERROR(INDEX(EmployeeData[Department], ROW() - 37), "")</f>
        <v>Customer Support</v>
      </c>
      <c r="E264" s="4" t="str" cm="1">
        <f t="array" ref="E264">IFERROR(INDEX(EmployeeData[Gender], ROW() - 37), "")</f>
        <v>Other</v>
      </c>
      <c r="F264" s="4" cm="1">
        <f t="array" ref="F264">IFERROR(INDEX(EmployeeData[Age], ROW() - 37), "")</f>
        <v>53</v>
      </c>
      <c r="G264" s="6" cm="1">
        <f t="array" ref="G264">IFERROR(INDEX(EmployeeData[Join Date], ROW() - 37), "")</f>
        <v>43929</v>
      </c>
      <c r="H264" s="6" t="str" cm="1">
        <f t="array" ref="H264">IFERROR(IF(INDEX(EmployeeData[Exit Date], ROW() - 37)=0, "",INDEX(EmployeeData[Exit Date], ROW() - 37)),"")</f>
        <v/>
      </c>
      <c r="I264" s="4" t="str" cm="1">
        <f t="array" ref="I264">IFERROR(IF(INDEX(EmployeeData[Exit Reason], ROW() - 37)=0, "",INDEX(EmployeeData[Exit Reason], ROW() - 37)),"")</f>
        <v/>
      </c>
      <c r="J264" s="4" t="str" cm="1">
        <f t="array" ref="J264">IFERROR(INDEX(EmployeeData[Status], ROW() - 37), "")</f>
        <v>Active</v>
      </c>
    </row>
    <row r="265" spans="2:10" ht="19.95" customHeight="1" x14ac:dyDescent="0.3">
      <c r="B265" s="4" cm="1">
        <f t="array" ref="B265">IFERROR(INDEX(EmployeeData[Employee ID], ROW() - 37), "")</f>
        <v>1228</v>
      </c>
      <c r="C265" s="4" t="str" cm="1">
        <f t="array" ref="C265">IFERROR(INDEX(EmployeeData[Full Name], ROW() - 37), "")</f>
        <v>Pilar Lim Roque</v>
      </c>
      <c r="D265" s="4" t="str" cm="1">
        <f t="array" ref="D265">IFERROR(INDEX(EmployeeData[Department], ROW() - 37), "")</f>
        <v>Customer Support</v>
      </c>
      <c r="E265" s="4" t="str" cm="1">
        <f t="array" ref="E265">IFERROR(INDEX(EmployeeData[Gender], ROW() - 37), "")</f>
        <v>Female</v>
      </c>
      <c r="F265" s="4" cm="1">
        <f t="array" ref="F265">IFERROR(INDEX(EmployeeData[Age], ROW() - 37), "")</f>
        <v>58</v>
      </c>
      <c r="G265" s="6" cm="1">
        <f t="array" ref="G265">IFERROR(INDEX(EmployeeData[Join Date], ROW() - 37), "")</f>
        <v>45103</v>
      </c>
      <c r="H265" s="6" cm="1">
        <f t="array" ref="H265">IFERROR(IF(INDEX(EmployeeData[Exit Date], ROW() - 37)=0, "",INDEX(EmployeeData[Exit Date], ROW() - 37)),"")</f>
        <v>45715</v>
      </c>
      <c r="I265" s="4" t="str" cm="1">
        <f t="array" ref="I265">IFERROR(IF(INDEX(EmployeeData[Exit Reason], ROW() - 37)=0, "",INDEX(EmployeeData[Exit Reason], ROW() - 37)),"")</f>
        <v>Termination</v>
      </c>
      <c r="J265" s="4" t="str" cm="1">
        <f t="array" ref="J265">IFERROR(INDEX(EmployeeData[Status], ROW() - 37), "")</f>
        <v>Exited</v>
      </c>
    </row>
    <row r="266" spans="2:10" ht="19.95" customHeight="1" x14ac:dyDescent="0.3">
      <c r="B266" s="4" cm="1">
        <f t="array" ref="B266">IFERROR(INDEX(EmployeeData[Employee ID], ROW() - 37), "")</f>
        <v>1229</v>
      </c>
      <c r="C266" s="4" t="str" cm="1">
        <f t="array" ref="C266">IFERROR(INDEX(EmployeeData[Full Name], ROW() - 37), "")</f>
        <v>Rosa Santos Tolentino</v>
      </c>
      <c r="D266" s="4" t="str" cm="1">
        <f t="array" ref="D266">IFERROR(INDEX(EmployeeData[Department], ROW() - 37), "")</f>
        <v>IT</v>
      </c>
      <c r="E266" s="4" t="str" cm="1">
        <f t="array" ref="E266">IFERROR(INDEX(EmployeeData[Gender], ROW() - 37), "")</f>
        <v>Female</v>
      </c>
      <c r="F266" s="4" cm="1">
        <f t="array" ref="F266">IFERROR(INDEX(EmployeeData[Age], ROW() - 37), "")</f>
        <v>50</v>
      </c>
      <c r="G266" s="6" cm="1">
        <f t="array" ref="G266">IFERROR(INDEX(EmployeeData[Join Date], ROW() - 37), "")</f>
        <v>45856</v>
      </c>
      <c r="H266" s="6" t="str" cm="1">
        <f t="array" ref="H266">IFERROR(IF(INDEX(EmployeeData[Exit Date], ROW() - 37)=0, "",INDEX(EmployeeData[Exit Date], ROW() - 37)),"")</f>
        <v/>
      </c>
      <c r="I266" s="4" t="str" cm="1">
        <f t="array" ref="I266">IFERROR(IF(INDEX(EmployeeData[Exit Reason], ROW() - 37)=0, "",INDEX(EmployeeData[Exit Reason], ROW() - 37)),"")</f>
        <v/>
      </c>
      <c r="J266" s="4" t="str" cm="1">
        <f t="array" ref="J266">IFERROR(INDEX(EmployeeData[Status], ROW() - 37), "")</f>
        <v>Active</v>
      </c>
    </row>
    <row r="267" spans="2:10" ht="19.95" customHeight="1" x14ac:dyDescent="0.3">
      <c r="B267" s="4" cm="1">
        <f t="array" ref="B267">IFERROR(INDEX(EmployeeData[Employee ID], ROW() - 37), "")</f>
        <v>1230</v>
      </c>
      <c r="C267" s="4" t="str" cm="1">
        <f t="array" ref="C267">IFERROR(INDEX(EmployeeData[Full Name], ROW() - 37), "")</f>
        <v>Fernando Aquino</v>
      </c>
      <c r="D267" s="4" t="str" cm="1">
        <f t="array" ref="D267">IFERROR(INDEX(EmployeeData[Department], ROW() - 37), "")</f>
        <v>HR</v>
      </c>
      <c r="E267" s="4" t="str" cm="1">
        <f t="array" ref="E267">IFERROR(INDEX(EmployeeData[Gender], ROW() - 37), "")</f>
        <v>Male</v>
      </c>
      <c r="F267" s="4" cm="1">
        <f t="array" ref="F267">IFERROR(INDEX(EmployeeData[Age], ROW() - 37), "")</f>
        <v>23</v>
      </c>
      <c r="G267" s="6" cm="1">
        <f t="array" ref="G267">IFERROR(INDEX(EmployeeData[Join Date], ROW() - 37), "")</f>
        <v>44836</v>
      </c>
      <c r="H267" s="6" cm="1">
        <f t="array" ref="H267">IFERROR(IF(INDEX(EmployeeData[Exit Date], ROW() - 37)=0, "",INDEX(EmployeeData[Exit Date], ROW() - 37)),"")</f>
        <v>45056</v>
      </c>
      <c r="I267" s="4" t="str" cm="1">
        <f t="array" ref="I267">IFERROR(IF(INDEX(EmployeeData[Exit Reason], ROW() - 37)=0, "",INDEX(EmployeeData[Exit Reason], ROW() - 37)),"")</f>
        <v>Health Issues</v>
      </c>
      <c r="J267" s="4" t="str" cm="1">
        <f t="array" ref="J267">IFERROR(INDEX(EmployeeData[Status], ROW() - 37), "")</f>
        <v>Exited</v>
      </c>
    </row>
    <row r="268" spans="2:10" ht="19.95" customHeight="1" x14ac:dyDescent="0.3">
      <c r="B268" s="4" cm="1">
        <f t="array" ref="B268">IFERROR(INDEX(EmployeeData[Employee ID], ROW() - 37), "")</f>
        <v>1231</v>
      </c>
      <c r="C268" s="4" t="str" cm="1">
        <f t="array" ref="C268">IFERROR(INDEX(EmployeeData[Full Name], ROW() - 37), "")</f>
        <v>Yvonne Ignacio</v>
      </c>
      <c r="D268" s="4" t="str" cm="1">
        <f t="array" ref="D268">IFERROR(INDEX(EmployeeData[Department], ROW() - 37), "")</f>
        <v>Marketing</v>
      </c>
      <c r="E268" s="4" t="str" cm="1">
        <f t="array" ref="E268">IFERROR(INDEX(EmployeeData[Gender], ROW() - 37), "")</f>
        <v>Female</v>
      </c>
      <c r="F268" s="4" cm="1">
        <f t="array" ref="F268">IFERROR(INDEX(EmployeeData[Age], ROW() - 37), "")</f>
        <v>32</v>
      </c>
      <c r="G268" s="6" cm="1">
        <f t="array" ref="G268">IFERROR(INDEX(EmployeeData[Join Date], ROW() - 37), "")</f>
        <v>43655</v>
      </c>
      <c r="H268" s="6" t="str" cm="1">
        <f t="array" ref="H268">IFERROR(IF(INDEX(EmployeeData[Exit Date], ROW() - 37)=0, "",INDEX(EmployeeData[Exit Date], ROW() - 37)),"")</f>
        <v/>
      </c>
      <c r="I268" s="4" t="str" cm="1">
        <f t="array" ref="I268">IFERROR(IF(INDEX(EmployeeData[Exit Reason], ROW() - 37)=0, "",INDEX(EmployeeData[Exit Reason], ROW() - 37)),"")</f>
        <v/>
      </c>
      <c r="J268" s="4" t="str" cm="1">
        <f t="array" ref="J268">IFERROR(INDEX(EmployeeData[Status], ROW() - 37), "")</f>
        <v>Active</v>
      </c>
    </row>
    <row r="269" spans="2:10" ht="19.95" customHeight="1" x14ac:dyDescent="0.3">
      <c r="B269" s="4" cm="1">
        <f t="array" ref="B269">IFERROR(INDEX(EmployeeData[Employee ID], ROW() - 37), "")</f>
        <v>1232</v>
      </c>
      <c r="C269" s="4" t="str" cm="1">
        <f t="array" ref="C269">IFERROR(INDEX(EmployeeData[Full Name], ROW() - 37), "")</f>
        <v>Avery Corpuz</v>
      </c>
      <c r="D269" s="4" t="str" cm="1">
        <f t="array" ref="D269">IFERROR(INDEX(EmployeeData[Department], ROW() - 37), "")</f>
        <v>IT</v>
      </c>
      <c r="E269" s="4" t="str" cm="1">
        <f t="array" ref="E269">IFERROR(INDEX(EmployeeData[Gender], ROW() - 37), "")</f>
        <v>Other</v>
      </c>
      <c r="F269" s="4" cm="1">
        <f t="array" ref="F269">IFERROR(INDEX(EmployeeData[Age], ROW() - 37), "")</f>
        <v>45</v>
      </c>
      <c r="G269" s="6" cm="1">
        <f t="array" ref="G269">IFERROR(INDEX(EmployeeData[Join Date], ROW() - 37), "")</f>
        <v>44639</v>
      </c>
      <c r="H269" s="6" cm="1">
        <f t="array" ref="H269">IFERROR(IF(INDEX(EmployeeData[Exit Date], ROW() - 37)=0, "",INDEX(EmployeeData[Exit Date], ROW() - 37)),"")</f>
        <v>46084</v>
      </c>
      <c r="I269" s="4" t="str" cm="1">
        <f t="array" ref="I269">IFERROR(IF(INDEX(EmployeeData[Exit Reason], ROW() - 37)=0, "",INDEX(EmployeeData[Exit Reason], ROW() - 37)),"")</f>
        <v>Resignation</v>
      </c>
      <c r="J269" s="4" t="str" cm="1">
        <f t="array" ref="J269">IFERROR(INDEX(EmployeeData[Status], ROW() - 37), "")</f>
        <v>Exited</v>
      </c>
    </row>
    <row r="270" spans="2:10" ht="19.95" customHeight="1" x14ac:dyDescent="0.3">
      <c r="B270" s="4" cm="1">
        <f t="array" ref="B270">IFERROR(INDEX(EmployeeData[Employee ID], ROW() - 37), "")</f>
        <v>1233</v>
      </c>
      <c r="C270" s="4" t="str" cm="1">
        <f t="array" ref="C270">IFERROR(INDEX(EmployeeData[Full Name], ROW() - 37), "")</f>
        <v>Sam Sy Sia</v>
      </c>
      <c r="D270" s="4" t="str" cm="1">
        <f t="array" ref="D270">IFERROR(INDEX(EmployeeData[Department], ROW() - 37), "")</f>
        <v>Customer Support</v>
      </c>
      <c r="E270" s="4" t="str" cm="1">
        <f t="array" ref="E270">IFERROR(INDEX(EmployeeData[Gender], ROW() - 37), "")</f>
        <v>Other</v>
      </c>
      <c r="F270" s="4" cm="1">
        <f t="array" ref="F270">IFERROR(INDEX(EmployeeData[Age], ROW() - 37), "")</f>
        <v>46</v>
      </c>
      <c r="G270" s="6" cm="1">
        <f t="array" ref="G270">IFERROR(INDEX(EmployeeData[Join Date], ROW() - 37), "")</f>
        <v>45267</v>
      </c>
      <c r="H270" s="6" cm="1">
        <f t="array" ref="H270">IFERROR(IF(INDEX(EmployeeData[Exit Date], ROW() - 37)=0, "",INDEX(EmployeeData[Exit Date], ROW() - 37)),"")</f>
        <v>45585</v>
      </c>
      <c r="I270" s="4" t="str" cm="1">
        <f t="array" ref="I270">IFERROR(IF(INDEX(EmployeeData[Exit Reason], ROW() - 37)=0, "",INDEX(EmployeeData[Exit Reason], ROW() - 37)),"")</f>
        <v>Resignation</v>
      </c>
      <c r="J270" s="4" t="str" cm="1">
        <f t="array" ref="J270">IFERROR(INDEX(EmployeeData[Status], ROW() - 37), "")</f>
        <v>Exited</v>
      </c>
    </row>
    <row r="271" spans="2:10" ht="19.95" customHeight="1" x14ac:dyDescent="0.3">
      <c r="B271" s="4" cm="1">
        <f t="array" ref="B271">IFERROR(INDEX(EmployeeData[Employee ID], ROW() - 37), "")</f>
        <v>1234</v>
      </c>
      <c r="C271" s="4" t="str" cm="1">
        <f t="array" ref="C271">IFERROR(INDEX(EmployeeData[Full Name], ROW() - 37), "")</f>
        <v>Morgan Ocampo</v>
      </c>
      <c r="D271" s="4" t="str" cm="1">
        <f t="array" ref="D271">IFERROR(INDEX(EmployeeData[Department], ROW() - 37), "")</f>
        <v>Marketing</v>
      </c>
      <c r="E271" s="4" t="str" cm="1">
        <f t="array" ref="E271">IFERROR(INDEX(EmployeeData[Gender], ROW() - 37), "")</f>
        <v>Other</v>
      </c>
      <c r="F271" s="4" cm="1">
        <f t="array" ref="F271">IFERROR(INDEX(EmployeeData[Age], ROW() - 37), "")</f>
        <v>36</v>
      </c>
      <c r="G271" s="6" cm="1">
        <f t="array" ref="G271">IFERROR(INDEX(EmployeeData[Join Date], ROW() - 37), "")</f>
        <v>44987</v>
      </c>
      <c r="H271" s="6" cm="1">
        <f t="array" ref="H271">IFERROR(IF(INDEX(EmployeeData[Exit Date], ROW() - 37)=0, "",INDEX(EmployeeData[Exit Date], ROW() - 37)),"")</f>
        <v>45641</v>
      </c>
      <c r="I271" s="4" t="str" cm="1">
        <f t="array" ref="I271">IFERROR(IF(INDEX(EmployeeData[Exit Reason], ROW() - 37)=0, "",INDEX(EmployeeData[Exit Reason], ROW() - 37)),"")</f>
        <v>Better Opportunity</v>
      </c>
      <c r="J271" s="4" t="str" cm="1">
        <f t="array" ref="J271">IFERROR(INDEX(EmployeeData[Status], ROW() - 37), "")</f>
        <v>Exited</v>
      </c>
    </row>
    <row r="272" spans="2:10" ht="19.95" customHeight="1" x14ac:dyDescent="0.3">
      <c r="B272" s="4" cm="1">
        <f t="array" ref="B272">IFERROR(INDEX(EmployeeData[Employee ID], ROW() - 37), "")</f>
        <v>1235</v>
      </c>
      <c r="C272" s="4" t="str" cm="1">
        <f t="array" ref="C272">IFERROR(INDEX(EmployeeData[Full Name], ROW() - 37), "")</f>
        <v>Luisa Perez</v>
      </c>
      <c r="D272" s="4" t="str" cm="1">
        <f t="array" ref="D272">IFERROR(INDEX(EmployeeData[Department], ROW() - 37), "")</f>
        <v>IT</v>
      </c>
      <c r="E272" s="4" t="str" cm="1">
        <f t="array" ref="E272">IFERROR(INDEX(EmployeeData[Gender], ROW() - 37), "")</f>
        <v>Other</v>
      </c>
      <c r="F272" s="4" cm="1">
        <f t="array" ref="F272">IFERROR(INDEX(EmployeeData[Age], ROW() - 37), "")</f>
        <v>22</v>
      </c>
      <c r="G272" s="6" cm="1">
        <f t="array" ref="G272">IFERROR(INDEX(EmployeeData[Join Date], ROW() - 37), "")</f>
        <v>44086</v>
      </c>
      <c r="H272" s="6" cm="1">
        <f t="array" ref="H272">IFERROR(IF(INDEX(EmployeeData[Exit Date], ROW() - 37)=0, "",INDEX(EmployeeData[Exit Date], ROW() - 37)),"")</f>
        <v>44382</v>
      </c>
      <c r="I272" s="4" t="str" cm="1">
        <f t="array" ref="I272">IFERROR(IF(INDEX(EmployeeData[Exit Reason], ROW() - 37)=0, "",INDEX(EmployeeData[Exit Reason], ROW() - 37)),"")</f>
        <v>Relocation</v>
      </c>
      <c r="J272" s="4" t="str" cm="1">
        <f t="array" ref="J272">IFERROR(INDEX(EmployeeData[Status], ROW() - 37), "")</f>
        <v>Exited</v>
      </c>
    </row>
    <row r="273" spans="2:10" ht="19.95" customHeight="1" x14ac:dyDescent="0.3">
      <c r="B273" s="4" cm="1">
        <f t="array" ref="B273">IFERROR(INDEX(EmployeeData[Employee ID], ROW() - 37), "")</f>
        <v>1236</v>
      </c>
      <c r="C273" s="4" t="str" cm="1">
        <f t="array" ref="C273">IFERROR(INDEX(EmployeeData[Full Name], ROW() - 37), "")</f>
        <v>Paz Rivera</v>
      </c>
      <c r="D273" s="4" t="str" cm="1">
        <f t="array" ref="D273">IFERROR(INDEX(EmployeeData[Department], ROW() - 37), "")</f>
        <v>Sales</v>
      </c>
      <c r="E273" s="4" t="str" cm="1">
        <f t="array" ref="E273">IFERROR(INDEX(EmployeeData[Gender], ROW() - 37), "")</f>
        <v>Female</v>
      </c>
      <c r="F273" s="4" cm="1">
        <f t="array" ref="F273">IFERROR(INDEX(EmployeeData[Age], ROW() - 37), "")</f>
        <v>23</v>
      </c>
      <c r="G273" s="6" cm="1">
        <f t="array" ref="G273">IFERROR(INDEX(EmployeeData[Join Date], ROW() - 37), "")</f>
        <v>44748</v>
      </c>
      <c r="H273" s="6" t="str" cm="1">
        <f t="array" ref="H273">IFERROR(IF(INDEX(EmployeeData[Exit Date], ROW() - 37)=0, "",INDEX(EmployeeData[Exit Date], ROW() - 37)),"")</f>
        <v/>
      </c>
      <c r="I273" s="4" t="str" cm="1">
        <f t="array" ref="I273">IFERROR(IF(INDEX(EmployeeData[Exit Reason], ROW() - 37)=0, "",INDEX(EmployeeData[Exit Reason], ROW() - 37)),"")</f>
        <v/>
      </c>
      <c r="J273" s="4" t="str" cm="1">
        <f t="array" ref="J273">IFERROR(INDEX(EmployeeData[Status], ROW() - 37), "")</f>
        <v>Active</v>
      </c>
    </row>
    <row r="274" spans="2:10" ht="19.95" customHeight="1" x14ac:dyDescent="0.3">
      <c r="B274" s="4" cm="1">
        <f t="array" ref="B274">IFERROR(INDEX(EmployeeData[Employee ID], ROW() - 37), "")</f>
        <v>1237</v>
      </c>
      <c r="C274" s="4" t="str" cm="1">
        <f t="array" ref="C274">IFERROR(INDEX(EmployeeData[Full Name], ROW() - 37), "")</f>
        <v>Hope Navarro Macapagal</v>
      </c>
      <c r="D274" s="4" t="str" cm="1">
        <f t="array" ref="D274">IFERROR(INDEX(EmployeeData[Department], ROW() - 37), "")</f>
        <v>HR</v>
      </c>
      <c r="E274" s="4" t="str" cm="1">
        <f t="array" ref="E274">IFERROR(INDEX(EmployeeData[Gender], ROW() - 37), "")</f>
        <v>Female</v>
      </c>
      <c r="F274" s="4" cm="1">
        <f t="array" ref="F274">IFERROR(INDEX(EmployeeData[Age], ROW() - 37), "")</f>
        <v>39</v>
      </c>
      <c r="G274" s="6" cm="1">
        <f t="array" ref="G274">IFERROR(INDEX(EmployeeData[Join Date], ROW() - 37), "")</f>
        <v>44060</v>
      </c>
      <c r="H274" s="6" t="str" cm="1">
        <f t="array" ref="H274">IFERROR(IF(INDEX(EmployeeData[Exit Date], ROW() - 37)=0, "",INDEX(EmployeeData[Exit Date], ROW() - 37)),"")</f>
        <v/>
      </c>
      <c r="I274" s="4" t="str" cm="1">
        <f t="array" ref="I274">IFERROR(IF(INDEX(EmployeeData[Exit Reason], ROW() - 37)=0, "",INDEX(EmployeeData[Exit Reason], ROW() - 37)),"")</f>
        <v/>
      </c>
      <c r="J274" s="4" t="str" cm="1">
        <f t="array" ref="J274">IFERROR(INDEX(EmployeeData[Status], ROW() - 37), "")</f>
        <v>Active</v>
      </c>
    </row>
    <row r="275" spans="2:10" ht="19.95" customHeight="1" x14ac:dyDescent="0.3">
      <c r="B275" s="4" cm="1">
        <f t="array" ref="B275">IFERROR(INDEX(EmployeeData[Employee ID], ROW() - 37), "")</f>
        <v>1238</v>
      </c>
      <c r="C275" s="4" t="str" cm="1">
        <f t="array" ref="C275">IFERROR(INDEX(EmployeeData[Full Name], ROW() - 37), "")</f>
        <v>Fernando Gonzales Torres</v>
      </c>
      <c r="D275" s="4" t="str" cm="1">
        <f t="array" ref="D275">IFERROR(INDEX(EmployeeData[Department], ROW() - 37), "")</f>
        <v>Customer Support</v>
      </c>
      <c r="E275" s="4" t="str" cm="1">
        <f t="array" ref="E275">IFERROR(INDEX(EmployeeData[Gender], ROW() - 37), "")</f>
        <v>Other</v>
      </c>
      <c r="F275" s="4" cm="1">
        <f t="array" ref="F275">IFERROR(INDEX(EmployeeData[Age], ROW() - 37), "")</f>
        <v>54</v>
      </c>
      <c r="G275" s="6" cm="1">
        <f t="array" ref="G275">IFERROR(INDEX(EmployeeData[Join Date], ROW() - 37), "")</f>
        <v>44006</v>
      </c>
      <c r="H275" s="6" t="str" cm="1">
        <f t="array" ref="H275">IFERROR(IF(INDEX(EmployeeData[Exit Date], ROW() - 37)=0, "",INDEX(EmployeeData[Exit Date], ROW() - 37)),"")</f>
        <v/>
      </c>
      <c r="I275" s="4" t="str" cm="1">
        <f t="array" ref="I275">IFERROR(IF(INDEX(EmployeeData[Exit Reason], ROW() - 37)=0, "",INDEX(EmployeeData[Exit Reason], ROW() - 37)),"")</f>
        <v/>
      </c>
      <c r="J275" s="4" t="str" cm="1">
        <f t="array" ref="J275">IFERROR(INDEX(EmployeeData[Status], ROW() - 37), "")</f>
        <v>Active</v>
      </c>
    </row>
    <row r="276" spans="2:10" ht="19.95" customHeight="1" x14ac:dyDescent="0.3">
      <c r="B276" s="4" cm="1">
        <f t="array" ref="B276">IFERROR(INDEX(EmployeeData[Employee ID], ROW() - 37), "")</f>
        <v>1239</v>
      </c>
      <c r="C276" s="4" t="str" cm="1">
        <f t="array" ref="C276">IFERROR(INDEX(EmployeeData[Full Name], ROW() - 37), "")</f>
        <v>Leonard Lim Elegado</v>
      </c>
      <c r="D276" s="4" t="str" cm="1">
        <f t="array" ref="D276">IFERROR(INDEX(EmployeeData[Department], ROW() - 37), "")</f>
        <v>Marketing</v>
      </c>
      <c r="E276" s="4" t="str" cm="1">
        <f t="array" ref="E276">IFERROR(INDEX(EmployeeData[Gender], ROW() - 37), "")</f>
        <v>Male</v>
      </c>
      <c r="F276" s="4" cm="1">
        <f t="array" ref="F276">IFERROR(INDEX(EmployeeData[Age], ROW() - 37), "")</f>
        <v>52</v>
      </c>
      <c r="G276" s="6" cm="1">
        <f t="array" ref="G276">IFERROR(INDEX(EmployeeData[Join Date], ROW() - 37), "")</f>
        <v>43293</v>
      </c>
      <c r="H276" s="6" t="str" cm="1">
        <f t="array" ref="H276">IFERROR(IF(INDEX(EmployeeData[Exit Date], ROW() - 37)=0, "",INDEX(EmployeeData[Exit Date], ROW() - 37)),"")</f>
        <v/>
      </c>
      <c r="I276" s="4" t="str" cm="1">
        <f t="array" ref="I276">IFERROR(IF(INDEX(EmployeeData[Exit Reason], ROW() - 37)=0, "",INDEX(EmployeeData[Exit Reason], ROW() - 37)),"")</f>
        <v/>
      </c>
      <c r="J276" s="4" t="str" cm="1">
        <f t="array" ref="J276">IFERROR(INDEX(EmployeeData[Status], ROW() - 37), "")</f>
        <v>Active</v>
      </c>
    </row>
    <row r="277" spans="2:10" ht="19.95" customHeight="1" x14ac:dyDescent="0.3">
      <c r="B277" s="4" cm="1">
        <f t="array" ref="B277">IFERROR(INDEX(EmployeeData[Employee ID], ROW() - 37), "")</f>
        <v>1240</v>
      </c>
      <c r="C277" s="4" t="str" cm="1">
        <f t="array" ref="C277">IFERROR(INDEX(EmployeeData[Full Name], ROW() - 37), "")</f>
        <v>Pacita Sia</v>
      </c>
      <c r="D277" s="4" t="str" cm="1">
        <f t="array" ref="D277">IFERROR(INDEX(EmployeeData[Department], ROW() - 37), "")</f>
        <v>IT</v>
      </c>
      <c r="E277" s="4" t="str" cm="1">
        <f t="array" ref="E277">IFERROR(INDEX(EmployeeData[Gender], ROW() - 37), "")</f>
        <v>Female</v>
      </c>
      <c r="F277" s="4" cm="1">
        <f t="array" ref="F277">IFERROR(INDEX(EmployeeData[Age], ROW() - 37), "")</f>
        <v>32</v>
      </c>
      <c r="G277" s="6" cm="1">
        <f t="array" ref="G277">IFERROR(INDEX(EmployeeData[Join Date], ROW() - 37), "")</f>
        <v>45304</v>
      </c>
      <c r="H277" s="6" t="str" cm="1">
        <f t="array" ref="H277">IFERROR(IF(INDEX(EmployeeData[Exit Date], ROW() - 37)=0, "",INDEX(EmployeeData[Exit Date], ROW() - 37)),"")</f>
        <v/>
      </c>
      <c r="I277" s="4" t="str" cm="1">
        <f t="array" ref="I277">IFERROR(IF(INDEX(EmployeeData[Exit Reason], ROW() - 37)=0, "",INDEX(EmployeeData[Exit Reason], ROW() - 37)),"")</f>
        <v/>
      </c>
      <c r="J277" s="4" t="str" cm="1">
        <f t="array" ref="J277">IFERROR(INDEX(EmployeeData[Status], ROW() - 37), "")</f>
        <v>Active</v>
      </c>
    </row>
    <row r="278" spans="2:10" ht="19.95" customHeight="1" x14ac:dyDescent="0.3">
      <c r="B278" s="4" cm="1">
        <f t="array" ref="B278">IFERROR(INDEX(EmployeeData[Employee ID], ROW() - 37), "")</f>
        <v>1241</v>
      </c>
      <c r="C278" s="4" t="str" cm="1">
        <f t="array" ref="C278">IFERROR(INDEX(EmployeeData[Full Name], ROW() - 37), "")</f>
        <v>Rafael Rivera Jacinto</v>
      </c>
      <c r="D278" s="4" t="str" cm="1">
        <f t="array" ref="D278">IFERROR(INDEX(EmployeeData[Department], ROW() - 37), "")</f>
        <v>Customer Support</v>
      </c>
      <c r="E278" s="4" t="str" cm="1">
        <f t="array" ref="E278">IFERROR(INDEX(EmployeeData[Gender], ROW() - 37), "")</f>
        <v>Male</v>
      </c>
      <c r="F278" s="4" cm="1">
        <f t="array" ref="F278">IFERROR(INDEX(EmployeeData[Age], ROW() - 37), "")</f>
        <v>24</v>
      </c>
      <c r="G278" s="6" cm="1">
        <f t="array" ref="G278">IFERROR(INDEX(EmployeeData[Join Date], ROW() - 37), "")</f>
        <v>45404</v>
      </c>
      <c r="H278" s="6" t="str" cm="1">
        <f t="array" ref="H278">IFERROR(IF(INDEX(EmployeeData[Exit Date], ROW() - 37)=0, "",INDEX(EmployeeData[Exit Date], ROW() - 37)),"")</f>
        <v/>
      </c>
      <c r="I278" s="4" t="str" cm="1">
        <f t="array" ref="I278">IFERROR(IF(INDEX(EmployeeData[Exit Reason], ROW() - 37)=0, "",INDEX(EmployeeData[Exit Reason], ROW() - 37)),"")</f>
        <v/>
      </c>
      <c r="J278" s="4" t="str" cm="1">
        <f t="array" ref="J278">IFERROR(INDEX(EmployeeData[Status], ROW() - 37), "")</f>
        <v>Active</v>
      </c>
    </row>
    <row r="279" spans="2:10" ht="19.95" customHeight="1" x14ac:dyDescent="0.3">
      <c r="B279" s="4" cm="1">
        <f t="array" ref="B279">IFERROR(INDEX(EmployeeData[Employee ID], ROW() - 37), "")</f>
        <v>1242</v>
      </c>
      <c r="C279" s="4" t="str" cm="1">
        <f t="array" ref="C279">IFERROR(INDEX(EmployeeData[Full Name], ROW() - 37), "")</f>
        <v>Maricel Fajardo</v>
      </c>
      <c r="D279" s="4" t="str" cm="1">
        <f t="array" ref="D279">IFERROR(INDEX(EmployeeData[Department], ROW() - 37), "")</f>
        <v>IT</v>
      </c>
      <c r="E279" s="4" t="str" cm="1">
        <f t="array" ref="E279">IFERROR(INDEX(EmployeeData[Gender], ROW() - 37), "")</f>
        <v>Female</v>
      </c>
      <c r="F279" s="4" cm="1">
        <f t="array" ref="F279">IFERROR(INDEX(EmployeeData[Age], ROW() - 37), "")</f>
        <v>26</v>
      </c>
      <c r="G279" s="6" cm="1">
        <f t="array" ref="G279">IFERROR(INDEX(EmployeeData[Join Date], ROW() - 37), "")</f>
        <v>44943</v>
      </c>
      <c r="H279" s="6" t="str" cm="1">
        <f t="array" ref="H279">IFERROR(IF(INDEX(EmployeeData[Exit Date], ROW() - 37)=0, "",INDEX(EmployeeData[Exit Date], ROW() - 37)),"")</f>
        <v/>
      </c>
      <c r="I279" s="4" t="str" cm="1">
        <f t="array" ref="I279">IFERROR(IF(INDEX(EmployeeData[Exit Reason], ROW() - 37)=0, "",INDEX(EmployeeData[Exit Reason], ROW() - 37)),"")</f>
        <v/>
      </c>
      <c r="J279" s="4" t="str" cm="1">
        <f t="array" ref="J279">IFERROR(INDEX(EmployeeData[Status], ROW() - 37), "")</f>
        <v>Active</v>
      </c>
    </row>
    <row r="280" spans="2:10" ht="19.95" customHeight="1" x14ac:dyDescent="0.3">
      <c r="B280" s="4" cm="1">
        <f t="array" ref="B280">IFERROR(INDEX(EmployeeData[Employee ID], ROW() - 37), "")</f>
        <v>1243</v>
      </c>
      <c r="C280" s="4" t="str" cm="1">
        <f t="array" ref="C280">IFERROR(INDEX(EmployeeData[Full Name], ROW() - 37), "")</f>
        <v>Joy Sia</v>
      </c>
      <c r="D280" s="4" t="str" cm="1">
        <f t="array" ref="D280">IFERROR(INDEX(EmployeeData[Department], ROW() - 37), "")</f>
        <v>Customer Support</v>
      </c>
      <c r="E280" s="4" t="str" cm="1">
        <f t="array" ref="E280">IFERROR(INDEX(EmployeeData[Gender], ROW() - 37), "")</f>
        <v>Female</v>
      </c>
      <c r="F280" s="4" cm="1">
        <f t="array" ref="F280">IFERROR(INDEX(EmployeeData[Age], ROW() - 37), "")</f>
        <v>23</v>
      </c>
      <c r="G280" s="6" cm="1">
        <f t="array" ref="G280">IFERROR(INDEX(EmployeeData[Join Date], ROW() - 37), "")</f>
        <v>43399</v>
      </c>
      <c r="H280" s="6" cm="1">
        <f t="array" ref="H280">IFERROR(IF(INDEX(EmployeeData[Exit Date], ROW() - 37)=0, "",INDEX(EmployeeData[Exit Date], ROW() - 37)),"")</f>
        <v>44377</v>
      </c>
      <c r="I280" s="4" t="str" cm="1">
        <f t="array" ref="I280">IFERROR(IF(INDEX(EmployeeData[Exit Reason], ROW() - 37)=0, "",INDEX(EmployeeData[Exit Reason], ROW() - 37)),"")</f>
        <v>Termination</v>
      </c>
      <c r="J280" s="4" t="str" cm="1">
        <f t="array" ref="J280">IFERROR(INDEX(EmployeeData[Status], ROW() - 37), "")</f>
        <v>Exited</v>
      </c>
    </row>
    <row r="281" spans="2:10" ht="19.95" customHeight="1" x14ac:dyDescent="0.3">
      <c r="B281" s="4" cm="1">
        <f t="array" ref="B281">IFERROR(INDEX(EmployeeData[Employee ID], ROW() - 37), "")</f>
        <v>1244</v>
      </c>
      <c r="C281" s="4" t="str" cm="1">
        <f t="array" ref="C281">IFERROR(INDEX(EmployeeData[Full Name], ROW() - 37), "")</f>
        <v>Cristina Mercado Lazo</v>
      </c>
      <c r="D281" s="4" t="str" cm="1">
        <f t="array" ref="D281">IFERROR(INDEX(EmployeeData[Department], ROW() - 37), "")</f>
        <v>Customer Support</v>
      </c>
      <c r="E281" s="4" t="str" cm="1">
        <f t="array" ref="E281">IFERROR(INDEX(EmployeeData[Gender], ROW() - 37), "")</f>
        <v>Other</v>
      </c>
      <c r="F281" s="4" cm="1">
        <f t="array" ref="F281">IFERROR(INDEX(EmployeeData[Age], ROW() - 37), "")</f>
        <v>28</v>
      </c>
      <c r="G281" s="6" cm="1">
        <f t="array" ref="G281">IFERROR(INDEX(EmployeeData[Join Date], ROW() - 37), "")</f>
        <v>45062</v>
      </c>
      <c r="H281" s="6" t="str" cm="1">
        <f t="array" ref="H281">IFERROR(IF(INDEX(EmployeeData[Exit Date], ROW() - 37)=0, "",INDEX(EmployeeData[Exit Date], ROW() - 37)),"")</f>
        <v/>
      </c>
      <c r="I281" s="4" t="str" cm="1">
        <f t="array" ref="I281">IFERROR(IF(INDEX(EmployeeData[Exit Reason], ROW() - 37)=0, "",INDEX(EmployeeData[Exit Reason], ROW() - 37)),"")</f>
        <v/>
      </c>
      <c r="J281" s="4" t="str" cm="1">
        <f t="array" ref="J281">IFERROR(INDEX(EmployeeData[Status], ROW() - 37), "")</f>
        <v>Active</v>
      </c>
    </row>
    <row r="282" spans="2:10" ht="19.95" customHeight="1" x14ac:dyDescent="0.3">
      <c r="B282" s="4" cm="1">
        <f t="array" ref="B282">IFERROR(INDEX(EmployeeData[Employee ID], ROW() - 37), "")</f>
        <v>1245</v>
      </c>
      <c r="C282" s="4" t="str" cm="1">
        <f t="array" ref="C282">IFERROR(INDEX(EmployeeData[Full Name], ROW() - 37), "")</f>
        <v>Efren Ang Yap</v>
      </c>
      <c r="D282" s="4" t="str" cm="1">
        <f t="array" ref="D282">IFERROR(INDEX(EmployeeData[Department], ROW() - 37), "")</f>
        <v>Marketing</v>
      </c>
      <c r="E282" s="4" t="str" cm="1">
        <f t="array" ref="E282">IFERROR(INDEX(EmployeeData[Gender], ROW() - 37), "")</f>
        <v>Other</v>
      </c>
      <c r="F282" s="4" cm="1">
        <f t="array" ref="F282">IFERROR(INDEX(EmployeeData[Age], ROW() - 37), "")</f>
        <v>45</v>
      </c>
      <c r="G282" s="6" cm="1">
        <f t="array" ref="G282">IFERROR(INDEX(EmployeeData[Join Date], ROW() - 37), "")</f>
        <v>45010</v>
      </c>
      <c r="H282" s="6" t="str" cm="1">
        <f t="array" ref="H282">IFERROR(IF(INDEX(EmployeeData[Exit Date], ROW() - 37)=0, "",INDEX(EmployeeData[Exit Date], ROW() - 37)),"")</f>
        <v/>
      </c>
      <c r="I282" s="4" t="str" cm="1">
        <f t="array" ref="I282">IFERROR(IF(INDEX(EmployeeData[Exit Reason], ROW() - 37)=0, "",INDEX(EmployeeData[Exit Reason], ROW() - 37)),"")</f>
        <v/>
      </c>
      <c r="J282" s="4" t="str" cm="1">
        <f t="array" ref="J282">IFERROR(INDEX(EmployeeData[Status], ROW() - 37), "")</f>
        <v>Active</v>
      </c>
    </row>
    <row r="283" spans="2:10" ht="19.95" customHeight="1" x14ac:dyDescent="0.3">
      <c r="B283" s="4" cm="1">
        <f t="array" ref="B283">IFERROR(INDEX(EmployeeData[Employee ID], ROW() - 37), "")</f>
        <v>1246</v>
      </c>
      <c r="C283" s="4" t="str" cm="1">
        <f t="array" ref="C283">IFERROR(INDEX(EmployeeData[Full Name], ROW() - 37), "")</f>
        <v>Ronaldo Ramirez Macaraeg</v>
      </c>
      <c r="D283" s="4" t="str" cm="1">
        <f t="array" ref="D283">IFERROR(INDEX(EmployeeData[Department], ROW() - 37), "")</f>
        <v>Marketing</v>
      </c>
      <c r="E283" s="4" t="str" cm="1">
        <f t="array" ref="E283">IFERROR(INDEX(EmployeeData[Gender], ROW() - 37), "")</f>
        <v>Other</v>
      </c>
      <c r="F283" s="4" cm="1">
        <f t="array" ref="F283">IFERROR(INDEX(EmployeeData[Age], ROW() - 37), "")</f>
        <v>51</v>
      </c>
      <c r="G283" s="6" cm="1">
        <f t="array" ref="G283">IFERROR(INDEX(EmployeeData[Join Date], ROW() - 37), "")</f>
        <v>44412</v>
      </c>
      <c r="H283" s="6" t="str" cm="1">
        <f t="array" ref="H283">IFERROR(IF(INDEX(EmployeeData[Exit Date], ROW() - 37)=0, "",INDEX(EmployeeData[Exit Date], ROW() - 37)),"")</f>
        <v/>
      </c>
      <c r="I283" s="4" t="str" cm="1">
        <f t="array" ref="I283">IFERROR(IF(INDEX(EmployeeData[Exit Reason], ROW() - 37)=0, "",INDEX(EmployeeData[Exit Reason], ROW() - 37)),"")</f>
        <v/>
      </c>
      <c r="J283" s="4" t="str" cm="1">
        <f t="array" ref="J283">IFERROR(INDEX(EmployeeData[Status], ROW() - 37), "")</f>
        <v>Active</v>
      </c>
    </row>
    <row r="284" spans="2:10" ht="19.95" customHeight="1" x14ac:dyDescent="0.3">
      <c r="B284" s="4" cm="1">
        <f t="array" ref="B284">IFERROR(INDEX(EmployeeData[Employee ID], ROW() - 37), "")</f>
        <v>1247</v>
      </c>
      <c r="C284" s="4" t="str" cm="1">
        <f t="array" ref="C284">IFERROR(INDEX(EmployeeData[Full Name], ROW() - 37), "")</f>
        <v>Yvonne Diaz Chua</v>
      </c>
      <c r="D284" s="4" t="str" cm="1">
        <f t="array" ref="D284">IFERROR(INDEX(EmployeeData[Department], ROW() - 37), "")</f>
        <v>HR</v>
      </c>
      <c r="E284" s="4" t="str" cm="1">
        <f t="array" ref="E284">IFERROR(INDEX(EmployeeData[Gender], ROW() - 37), "")</f>
        <v>Female</v>
      </c>
      <c r="F284" s="4" cm="1">
        <f t="array" ref="F284">IFERROR(INDEX(EmployeeData[Age], ROW() - 37), "")</f>
        <v>56</v>
      </c>
      <c r="G284" s="6" cm="1">
        <f t="array" ref="G284">IFERROR(INDEX(EmployeeData[Join Date], ROW() - 37), "")</f>
        <v>45493</v>
      </c>
      <c r="H284" s="6" t="str" cm="1">
        <f t="array" ref="H284">IFERROR(IF(INDEX(EmployeeData[Exit Date], ROW() - 37)=0, "",INDEX(EmployeeData[Exit Date], ROW() - 37)),"")</f>
        <v/>
      </c>
      <c r="I284" s="4" t="str" cm="1">
        <f t="array" ref="I284">IFERROR(IF(INDEX(EmployeeData[Exit Reason], ROW() - 37)=0, "",INDEX(EmployeeData[Exit Reason], ROW() - 37)),"")</f>
        <v/>
      </c>
      <c r="J284" s="4" t="str" cm="1">
        <f t="array" ref="J284">IFERROR(INDEX(EmployeeData[Status], ROW() - 37), "")</f>
        <v>Active</v>
      </c>
    </row>
    <row r="285" spans="2:10" ht="19.95" customHeight="1" x14ac:dyDescent="0.3">
      <c r="B285" s="4" cm="1">
        <f t="array" ref="B285">IFERROR(INDEX(EmployeeData[Employee ID], ROW() - 37), "")</f>
        <v>1248</v>
      </c>
      <c r="C285" s="4" t="str" cm="1">
        <f t="array" ref="C285">IFERROR(INDEX(EmployeeData[Full Name], ROW() - 37), "")</f>
        <v>Gerald Go</v>
      </c>
      <c r="D285" s="4" t="str" cm="1">
        <f t="array" ref="D285">IFERROR(INDEX(EmployeeData[Department], ROW() - 37), "")</f>
        <v>Customer Support</v>
      </c>
      <c r="E285" s="4" t="str" cm="1">
        <f t="array" ref="E285">IFERROR(INDEX(EmployeeData[Gender], ROW() - 37), "")</f>
        <v>Male</v>
      </c>
      <c r="F285" s="4" cm="1">
        <f t="array" ref="F285">IFERROR(INDEX(EmployeeData[Age], ROW() - 37), "")</f>
        <v>36</v>
      </c>
      <c r="G285" s="6" cm="1">
        <f t="array" ref="G285">IFERROR(INDEX(EmployeeData[Join Date], ROW() - 37), "")</f>
        <v>45146</v>
      </c>
      <c r="H285" s="6" t="str" cm="1">
        <f t="array" ref="H285">IFERROR(IF(INDEX(EmployeeData[Exit Date], ROW() - 37)=0, "",INDEX(EmployeeData[Exit Date], ROW() - 37)),"")</f>
        <v/>
      </c>
      <c r="I285" s="4" t="str" cm="1">
        <f t="array" ref="I285">IFERROR(IF(INDEX(EmployeeData[Exit Reason], ROW() - 37)=0, "",INDEX(EmployeeData[Exit Reason], ROW() - 37)),"")</f>
        <v/>
      </c>
      <c r="J285" s="4" t="str" cm="1">
        <f t="array" ref="J285">IFERROR(INDEX(EmployeeData[Status], ROW() - 37), "")</f>
        <v>Active</v>
      </c>
    </row>
    <row r="286" spans="2:10" ht="19.95" customHeight="1" x14ac:dyDescent="0.3">
      <c r="B286" s="4" cm="1">
        <f t="array" ref="B286">IFERROR(INDEX(EmployeeData[Employee ID], ROW() - 37), "")</f>
        <v>1249</v>
      </c>
      <c r="C286" s="4" t="str" cm="1">
        <f t="array" ref="C286">IFERROR(INDEX(EmployeeData[Full Name], ROW() - 37), "")</f>
        <v>Gloria Bautista Viray</v>
      </c>
      <c r="D286" s="4" t="str" cm="1">
        <f t="array" ref="D286">IFERROR(INDEX(EmployeeData[Department], ROW() - 37), "")</f>
        <v>Marketing</v>
      </c>
      <c r="E286" s="4" t="str" cm="1">
        <f t="array" ref="E286">IFERROR(INDEX(EmployeeData[Gender], ROW() - 37), "")</f>
        <v>Other</v>
      </c>
      <c r="F286" s="4" cm="1">
        <f t="array" ref="F286">IFERROR(INDEX(EmployeeData[Age], ROW() - 37), "")</f>
        <v>52</v>
      </c>
      <c r="G286" s="6" cm="1">
        <f t="array" ref="G286">IFERROR(INDEX(EmployeeData[Join Date], ROW() - 37), "")</f>
        <v>44988</v>
      </c>
      <c r="H286" s="6" cm="1">
        <f t="array" ref="H286">IFERROR(IF(INDEX(EmployeeData[Exit Date], ROW() - 37)=0, "",INDEX(EmployeeData[Exit Date], ROW() - 37)),"")</f>
        <v>45799</v>
      </c>
      <c r="I286" s="4" t="str" cm="1">
        <f t="array" ref="I286">IFERROR(IF(INDEX(EmployeeData[Exit Reason], ROW() - 37)=0, "",INDEX(EmployeeData[Exit Reason], ROW() - 37)),"")</f>
        <v>Better Opportunity</v>
      </c>
      <c r="J286" s="4" t="str" cm="1">
        <f t="array" ref="J286">IFERROR(INDEX(EmployeeData[Status], ROW() - 37), "")</f>
        <v>Exited</v>
      </c>
    </row>
    <row r="287" spans="2:10" ht="19.95" customHeight="1" x14ac:dyDescent="0.3">
      <c r="B287" s="4" cm="1">
        <f t="array" ref="B287">IFERROR(INDEX(EmployeeData[Employee ID], ROW() - 37), "")</f>
        <v>1250</v>
      </c>
      <c r="C287" s="4" t="str" cm="1">
        <f t="array" ref="C287">IFERROR(INDEX(EmployeeData[Full Name], ROW() - 37), "")</f>
        <v>Antonio Aquino</v>
      </c>
      <c r="D287" s="4" t="str" cm="1">
        <f t="array" ref="D287">IFERROR(INDEX(EmployeeData[Department], ROW() - 37), "")</f>
        <v>Marketing</v>
      </c>
      <c r="E287" s="4" t="str" cm="1">
        <f t="array" ref="E287">IFERROR(INDEX(EmployeeData[Gender], ROW() - 37), "")</f>
        <v>Other</v>
      </c>
      <c r="F287" s="4" cm="1">
        <f t="array" ref="F287">IFERROR(INDEX(EmployeeData[Age], ROW() - 37), "")</f>
        <v>25</v>
      </c>
      <c r="G287" s="6" cm="1">
        <f t="array" ref="G287">IFERROR(INDEX(EmployeeData[Join Date], ROW() - 37), "")</f>
        <v>45838</v>
      </c>
      <c r="H287" s="6" cm="1">
        <f t="array" ref="H287">IFERROR(IF(INDEX(EmployeeData[Exit Date], ROW() - 37)=0, "",INDEX(EmployeeData[Exit Date], ROW() - 37)),"")</f>
        <v>45931</v>
      </c>
      <c r="I287" s="4" t="str" cm="1">
        <f t="array" ref="I287">IFERROR(IF(INDEX(EmployeeData[Exit Reason], ROW() - 37)=0, "",INDEX(EmployeeData[Exit Reason], ROW() - 37)),"")</f>
        <v>Termination</v>
      </c>
      <c r="J287" s="4" t="str" cm="1">
        <f t="array" ref="J287">IFERROR(INDEX(EmployeeData[Status], ROW() - 37), "")</f>
        <v>Exited</v>
      </c>
    </row>
    <row r="288" spans="2:10" ht="19.95" customHeight="1" x14ac:dyDescent="0.3">
      <c r="B288" s="4" cm="1">
        <f t="array" ref="B288">IFERROR(INDEX(EmployeeData[Employee ID], ROW() - 37), "")</f>
        <v>1251</v>
      </c>
      <c r="C288" s="4" t="str" cm="1">
        <f t="array" ref="C288">IFERROR(INDEX(EmployeeData[Full Name], ROW() - 37), "")</f>
        <v>Ferdi Santos Delos Reyes</v>
      </c>
      <c r="D288" s="4" t="str" cm="1">
        <f t="array" ref="D288">IFERROR(INDEX(EmployeeData[Department], ROW() - 37), "")</f>
        <v>Customer Support</v>
      </c>
      <c r="E288" s="4" t="str" cm="1">
        <f t="array" ref="E288">IFERROR(INDEX(EmployeeData[Gender], ROW() - 37), "")</f>
        <v>Male</v>
      </c>
      <c r="F288" s="4" cm="1">
        <f t="array" ref="F288">IFERROR(INDEX(EmployeeData[Age], ROW() - 37), "")</f>
        <v>44</v>
      </c>
      <c r="G288" s="6" cm="1">
        <f t="array" ref="G288">IFERROR(INDEX(EmployeeData[Join Date], ROW() - 37), "")</f>
        <v>43348</v>
      </c>
      <c r="H288" s="6" t="str" cm="1">
        <f t="array" ref="H288">IFERROR(IF(INDEX(EmployeeData[Exit Date], ROW() - 37)=0, "",INDEX(EmployeeData[Exit Date], ROW() - 37)),"")</f>
        <v/>
      </c>
      <c r="I288" s="4" t="str" cm="1">
        <f t="array" ref="I288">IFERROR(IF(INDEX(EmployeeData[Exit Reason], ROW() - 37)=0, "",INDEX(EmployeeData[Exit Reason], ROW() - 37)),"")</f>
        <v/>
      </c>
      <c r="J288" s="4" t="str" cm="1">
        <f t="array" ref="J288">IFERROR(INDEX(EmployeeData[Status], ROW() - 37), "")</f>
        <v>Active</v>
      </c>
    </row>
    <row r="289" spans="2:10" ht="19.95" customHeight="1" x14ac:dyDescent="0.3">
      <c r="B289" s="4" cm="1">
        <f t="array" ref="B289">IFERROR(INDEX(EmployeeData[Employee ID], ROW() - 37), "")</f>
        <v>1252</v>
      </c>
      <c r="C289" s="4" t="str" cm="1">
        <f t="array" ref="C289">IFERROR(INDEX(EmployeeData[Full Name], ROW() - 37), "")</f>
        <v>Neil Sy Co</v>
      </c>
      <c r="D289" s="4" t="str" cm="1">
        <f t="array" ref="D289">IFERROR(INDEX(EmployeeData[Department], ROW() - 37), "")</f>
        <v>Marketing</v>
      </c>
      <c r="E289" s="4" t="str" cm="1">
        <f t="array" ref="E289">IFERROR(INDEX(EmployeeData[Gender], ROW() - 37), "")</f>
        <v>Male</v>
      </c>
      <c r="F289" s="4" cm="1">
        <f t="array" ref="F289">IFERROR(INDEX(EmployeeData[Age], ROW() - 37), "")</f>
        <v>22</v>
      </c>
      <c r="G289" s="6" cm="1">
        <f t="array" ref="G289">IFERROR(INDEX(EmployeeData[Join Date], ROW() - 37), "")</f>
        <v>45269</v>
      </c>
      <c r="H289" s="6" t="str" cm="1">
        <f t="array" ref="H289">IFERROR(IF(INDEX(EmployeeData[Exit Date], ROW() - 37)=0, "",INDEX(EmployeeData[Exit Date], ROW() - 37)),"")</f>
        <v/>
      </c>
      <c r="I289" s="4" t="str" cm="1">
        <f t="array" ref="I289">IFERROR(IF(INDEX(EmployeeData[Exit Reason], ROW() - 37)=0, "",INDEX(EmployeeData[Exit Reason], ROW() - 37)),"")</f>
        <v/>
      </c>
      <c r="J289" s="4" t="str" cm="1">
        <f t="array" ref="J289">IFERROR(INDEX(EmployeeData[Status], ROW() - 37), "")</f>
        <v>Active</v>
      </c>
    </row>
    <row r="290" spans="2:10" ht="19.95" customHeight="1" x14ac:dyDescent="0.3">
      <c r="B290" s="4" cm="1">
        <f t="array" ref="B290">IFERROR(INDEX(EmployeeData[Employee ID], ROW() - 37), "")</f>
        <v>1253</v>
      </c>
      <c r="C290" s="4" t="str" cm="1">
        <f t="array" ref="C290">IFERROR(INDEX(EmployeeData[Full Name], ROW() - 37), "")</f>
        <v>Eduardo Diaz</v>
      </c>
      <c r="D290" s="4" t="str" cm="1">
        <f t="array" ref="D290">IFERROR(INDEX(EmployeeData[Department], ROW() - 37), "")</f>
        <v>Sales</v>
      </c>
      <c r="E290" s="4" t="str" cm="1">
        <f t="array" ref="E290">IFERROR(INDEX(EmployeeData[Gender], ROW() - 37), "")</f>
        <v>Other</v>
      </c>
      <c r="F290" s="4" cm="1">
        <f t="array" ref="F290">IFERROR(INDEX(EmployeeData[Age], ROW() - 37), "")</f>
        <v>27</v>
      </c>
      <c r="G290" s="6" cm="1">
        <f t="array" ref="G290">IFERROR(INDEX(EmployeeData[Join Date], ROW() - 37), "")</f>
        <v>43495</v>
      </c>
      <c r="H290" s="6" t="str" cm="1">
        <f t="array" ref="H290">IFERROR(IF(INDEX(EmployeeData[Exit Date], ROW() - 37)=0, "",INDEX(EmployeeData[Exit Date], ROW() - 37)),"")</f>
        <v/>
      </c>
      <c r="I290" s="4" t="str" cm="1">
        <f t="array" ref="I290">IFERROR(IF(INDEX(EmployeeData[Exit Reason], ROW() - 37)=0, "",INDEX(EmployeeData[Exit Reason], ROW() - 37)),"")</f>
        <v/>
      </c>
      <c r="J290" s="4" t="str" cm="1">
        <f t="array" ref="J290">IFERROR(INDEX(EmployeeData[Status], ROW() - 37), "")</f>
        <v>Active</v>
      </c>
    </row>
    <row r="291" spans="2:10" ht="19.95" customHeight="1" x14ac:dyDescent="0.3">
      <c r="B291" s="4" cm="1">
        <f t="array" ref="B291">IFERROR(INDEX(EmployeeData[Employee ID], ROW() - 37), "")</f>
        <v>1254</v>
      </c>
      <c r="C291" s="4" t="str" cm="1">
        <f t="array" ref="C291">IFERROR(INDEX(EmployeeData[Full Name], ROW() - 37), "")</f>
        <v>Renato Garcia Jimenez</v>
      </c>
      <c r="D291" s="4" t="str" cm="1">
        <f t="array" ref="D291">IFERROR(INDEX(EmployeeData[Department], ROW() - 37), "")</f>
        <v>IT</v>
      </c>
      <c r="E291" s="4" t="str" cm="1">
        <f t="array" ref="E291">IFERROR(INDEX(EmployeeData[Gender], ROW() - 37), "")</f>
        <v>Male</v>
      </c>
      <c r="F291" s="4" cm="1">
        <f t="array" ref="F291">IFERROR(INDEX(EmployeeData[Age], ROW() - 37), "")</f>
        <v>46</v>
      </c>
      <c r="G291" s="6" cm="1">
        <f t="array" ref="G291">IFERROR(INDEX(EmployeeData[Join Date], ROW() - 37), "")</f>
        <v>43424</v>
      </c>
      <c r="H291" s="6" cm="1">
        <f t="array" ref="H291">IFERROR(IF(INDEX(EmployeeData[Exit Date], ROW() - 37)=0, "",INDEX(EmployeeData[Exit Date], ROW() - 37)),"")</f>
        <v>45177</v>
      </c>
      <c r="I291" s="4" t="str" cm="1">
        <f t="array" ref="I291">IFERROR(IF(INDEX(EmployeeData[Exit Reason], ROW() - 37)=0, "",INDEX(EmployeeData[Exit Reason], ROW() - 37)),"")</f>
        <v>Termination</v>
      </c>
      <c r="J291" s="4" t="str" cm="1">
        <f t="array" ref="J291">IFERROR(INDEX(EmployeeData[Status], ROW() - 37), "")</f>
        <v>Exited</v>
      </c>
    </row>
    <row r="292" spans="2:10" ht="19.95" customHeight="1" x14ac:dyDescent="0.3">
      <c r="B292" s="4" cm="1">
        <f t="array" ref="B292">IFERROR(INDEX(EmployeeData[Employee ID], ROW() - 37), "")</f>
        <v>1255</v>
      </c>
      <c r="C292" s="4" t="str" cm="1">
        <f t="array" ref="C292">IFERROR(INDEX(EmployeeData[Full Name], ROW() - 37), "")</f>
        <v>Arnel Santos Hilario</v>
      </c>
      <c r="D292" s="4" t="str" cm="1">
        <f t="array" ref="D292">IFERROR(INDEX(EmployeeData[Department], ROW() - 37), "")</f>
        <v>HR</v>
      </c>
      <c r="E292" s="4" t="str" cm="1">
        <f t="array" ref="E292">IFERROR(INDEX(EmployeeData[Gender], ROW() - 37), "")</f>
        <v>Other</v>
      </c>
      <c r="F292" s="4" cm="1">
        <f t="array" ref="F292">IFERROR(INDEX(EmployeeData[Age], ROW() - 37), "")</f>
        <v>23</v>
      </c>
      <c r="G292" s="6" cm="1">
        <f t="array" ref="G292">IFERROR(INDEX(EmployeeData[Join Date], ROW() - 37), "")</f>
        <v>43483</v>
      </c>
      <c r="H292" s="6" t="str" cm="1">
        <f t="array" ref="H292">IFERROR(IF(INDEX(EmployeeData[Exit Date], ROW() - 37)=0, "",INDEX(EmployeeData[Exit Date], ROW() - 37)),"")</f>
        <v/>
      </c>
      <c r="I292" s="4" t="str" cm="1">
        <f t="array" ref="I292">IFERROR(IF(INDEX(EmployeeData[Exit Reason], ROW() - 37)=0, "",INDEX(EmployeeData[Exit Reason], ROW() - 37)),"")</f>
        <v/>
      </c>
      <c r="J292" s="4" t="str" cm="1">
        <f t="array" ref="J292">IFERROR(INDEX(EmployeeData[Status], ROW() - 37), "")</f>
        <v>Active</v>
      </c>
    </row>
    <row r="293" spans="2:10" ht="19.95" customHeight="1" x14ac:dyDescent="0.3">
      <c r="B293" s="4" cm="1">
        <f t="array" ref="B293">IFERROR(INDEX(EmployeeData[Employee ID], ROW() - 37), "")</f>
        <v>1256</v>
      </c>
      <c r="C293" s="4" t="str" cm="1">
        <f t="array" ref="C293">IFERROR(INDEX(EmployeeData[Full Name], ROW() - 37), "")</f>
        <v>Tess Fernandez</v>
      </c>
      <c r="D293" s="4" t="str" cm="1">
        <f t="array" ref="D293">IFERROR(INDEX(EmployeeData[Department], ROW() - 37), "")</f>
        <v>HR</v>
      </c>
      <c r="E293" s="4" t="str" cm="1">
        <f t="array" ref="E293">IFERROR(INDEX(EmployeeData[Gender], ROW() - 37), "")</f>
        <v>Female</v>
      </c>
      <c r="F293" s="4" cm="1">
        <f t="array" ref="F293">IFERROR(INDEX(EmployeeData[Age], ROW() - 37), "")</f>
        <v>48</v>
      </c>
      <c r="G293" s="6" cm="1">
        <f t="array" ref="G293">IFERROR(INDEX(EmployeeData[Join Date], ROW() - 37), "")</f>
        <v>45742</v>
      </c>
      <c r="H293" s="6" t="str" cm="1">
        <f t="array" ref="H293">IFERROR(IF(INDEX(EmployeeData[Exit Date], ROW() - 37)=0, "",INDEX(EmployeeData[Exit Date], ROW() - 37)),"")</f>
        <v/>
      </c>
      <c r="I293" s="4" t="str" cm="1">
        <f t="array" ref="I293">IFERROR(IF(INDEX(EmployeeData[Exit Reason], ROW() - 37)=0, "",INDEX(EmployeeData[Exit Reason], ROW() - 37)),"")</f>
        <v/>
      </c>
      <c r="J293" s="4" t="str" cm="1">
        <f t="array" ref="J293">IFERROR(INDEX(EmployeeData[Status], ROW() - 37), "")</f>
        <v>Active</v>
      </c>
    </row>
    <row r="294" spans="2:10" ht="19.95" customHeight="1" x14ac:dyDescent="0.3">
      <c r="B294" s="4" cm="1">
        <f t="array" ref="B294">IFERROR(INDEX(EmployeeData[Employee ID], ROW() - 37), "")</f>
        <v>1257</v>
      </c>
      <c r="C294" s="4" t="str" cm="1">
        <f t="array" ref="C294">IFERROR(INDEX(EmployeeData[Full Name], ROW() - 37), "")</f>
        <v>Celine Cruz Guerrero</v>
      </c>
      <c r="D294" s="4" t="str" cm="1">
        <f t="array" ref="D294">IFERROR(INDEX(EmployeeData[Department], ROW() - 37), "")</f>
        <v>Finance</v>
      </c>
      <c r="E294" s="4" t="str" cm="1">
        <f t="array" ref="E294">IFERROR(INDEX(EmployeeData[Gender], ROW() - 37), "")</f>
        <v>Female</v>
      </c>
      <c r="F294" s="4" cm="1">
        <f t="array" ref="F294">IFERROR(INDEX(EmployeeData[Age], ROW() - 37), "")</f>
        <v>57</v>
      </c>
      <c r="G294" s="6" cm="1">
        <f t="array" ref="G294">IFERROR(INDEX(EmployeeData[Join Date], ROW() - 37), "")</f>
        <v>45048</v>
      </c>
      <c r="H294" s="6" cm="1">
        <f t="array" ref="H294">IFERROR(IF(INDEX(EmployeeData[Exit Date], ROW() - 37)=0, "",INDEX(EmployeeData[Exit Date], ROW() - 37)),"")</f>
        <v>45290</v>
      </c>
      <c r="I294" s="4" t="str" cm="1">
        <f t="array" ref="I294">IFERROR(IF(INDEX(EmployeeData[Exit Reason], ROW() - 37)=0, "",INDEX(EmployeeData[Exit Reason], ROW() - 37)),"")</f>
        <v>Personal Reasons</v>
      </c>
      <c r="J294" s="4" t="str" cm="1">
        <f t="array" ref="J294">IFERROR(INDEX(EmployeeData[Status], ROW() - 37), "")</f>
        <v>Exited</v>
      </c>
    </row>
    <row r="295" spans="2:10" ht="19.95" customHeight="1" x14ac:dyDescent="0.3">
      <c r="B295" s="4" cm="1">
        <f t="array" ref="B295">IFERROR(INDEX(EmployeeData[Employee ID], ROW() - 37), "")</f>
        <v>1258</v>
      </c>
      <c r="C295" s="4" t="str" cm="1">
        <f t="array" ref="C295">IFERROR(INDEX(EmployeeData[Full Name], ROW() - 37), "")</f>
        <v>Maria Mercado Villanueva</v>
      </c>
      <c r="D295" s="4" t="str" cm="1">
        <f t="array" ref="D295">IFERROR(INDEX(EmployeeData[Department], ROW() - 37), "")</f>
        <v>Customer Support</v>
      </c>
      <c r="E295" s="4" t="str" cm="1">
        <f t="array" ref="E295">IFERROR(INDEX(EmployeeData[Gender], ROW() - 37), "")</f>
        <v>Other</v>
      </c>
      <c r="F295" s="4" cm="1">
        <f t="array" ref="F295">IFERROR(INDEX(EmployeeData[Age], ROW() - 37), "")</f>
        <v>22</v>
      </c>
      <c r="G295" s="6" cm="1">
        <f t="array" ref="G295">IFERROR(INDEX(EmployeeData[Join Date], ROW() - 37), "")</f>
        <v>43949</v>
      </c>
      <c r="H295" s="6" t="str" cm="1">
        <f t="array" ref="H295">IFERROR(IF(INDEX(EmployeeData[Exit Date], ROW() - 37)=0, "",INDEX(EmployeeData[Exit Date], ROW() - 37)),"")</f>
        <v/>
      </c>
      <c r="I295" s="4" t="str" cm="1">
        <f t="array" ref="I295">IFERROR(IF(INDEX(EmployeeData[Exit Reason], ROW() - 37)=0, "",INDEX(EmployeeData[Exit Reason], ROW() - 37)),"")</f>
        <v/>
      </c>
      <c r="J295" s="4" t="str" cm="1">
        <f t="array" ref="J295">IFERROR(INDEX(EmployeeData[Status], ROW() - 37), "")</f>
        <v>Active</v>
      </c>
    </row>
    <row r="296" spans="2:10" ht="19.95" customHeight="1" x14ac:dyDescent="0.3">
      <c r="B296" s="4" cm="1">
        <f t="array" ref="B296">IFERROR(INDEX(EmployeeData[Employee ID], ROW() - 37), "")</f>
        <v>1259</v>
      </c>
      <c r="C296" s="4" t="str" cm="1">
        <f t="array" ref="C296">IFERROR(INDEX(EmployeeData[Full Name], ROW() - 37), "")</f>
        <v>Avery Hernandez</v>
      </c>
      <c r="D296" s="4" t="str" cm="1">
        <f t="array" ref="D296">IFERROR(INDEX(EmployeeData[Department], ROW() - 37), "")</f>
        <v>Marketing</v>
      </c>
      <c r="E296" s="4" t="str" cm="1">
        <f t="array" ref="E296">IFERROR(INDEX(EmployeeData[Gender], ROW() - 37), "")</f>
        <v>Other</v>
      </c>
      <c r="F296" s="4" cm="1">
        <f t="array" ref="F296">IFERROR(INDEX(EmployeeData[Age], ROW() - 37), "")</f>
        <v>55</v>
      </c>
      <c r="G296" s="6" cm="1">
        <f t="array" ref="G296">IFERROR(INDEX(EmployeeData[Join Date], ROW() - 37), "")</f>
        <v>44459</v>
      </c>
      <c r="H296" s="6" t="str" cm="1">
        <f t="array" ref="H296">IFERROR(IF(INDEX(EmployeeData[Exit Date], ROW() - 37)=0, "",INDEX(EmployeeData[Exit Date], ROW() - 37)),"")</f>
        <v/>
      </c>
      <c r="I296" s="4" t="str" cm="1">
        <f t="array" ref="I296">IFERROR(IF(INDEX(EmployeeData[Exit Reason], ROW() - 37)=0, "",INDEX(EmployeeData[Exit Reason], ROW() - 37)),"")</f>
        <v/>
      </c>
      <c r="J296" s="4" t="str" cm="1">
        <f t="array" ref="J296">IFERROR(INDEX(EmployeeData[Status], ROW() - 37), "")</f>
        <v>Active</v>
      </c>
    </row>
    <row r="297" spans="2:10" ht="19.95" customHeight="1" x14ac:dyDescent="0.3">
      <c r="B297" s="4" cm="1">
        <f t="array" ref="B297">IFERROR(INDEX(EmployeeData[Employee ID], ROW() - 37), "")</f>
        <v>1260</v>
      </c>
      <c r="C297" s="4" t="str" cm="1">
        <f t="array" ref="C297">IFERROR(INDEX(EmployeeData[Full Name], ROW() - 37), "")</f>
        <v>Jordan Buenaventura</v>
      </c>
      <c r="D297" s="4" t="str" cm="1">
        <f t="array" ref="D297">IFERROR(INDEX(EmployeeData[Department], ROW() - 37), "")</f>
        <v>Marketing</v>
      </c>
      <c r="E297" s="4" t="str" cm="1">
        <f t="array" ref="E297">IFERROR(INDEX(EmployeeData[Gender], ROW() - 37), "")</f>
        <v>Other</v>
      </c>
      <c r="F297" s="4" cm="1">
        <f t="array" ref="F297">IFERROR(INDEX(EmployeeData[Age], ROW() - 37), "")</f>
        <v>24</v>
      </c>
      <c r="G297" s="6" cm="1">
        <f t="array" ref="G297">IFERROR(INDEX(EmployeeData[Join Date], ROW() - 37), "")</f>
        <v>43501</v>
      </c>
      <c r="H297" s="6" t="str" cm="1">
        <f t="array" ref="H297">IFERROR(IF(INDEX(EmployeeData[Exit Date], ROW() - 37)=0, "",INDEX(EmployeeData[Exit Date], ROW() - 37)),"")</f>
        <v/>
      </c>
      <c r="I297" s="4" t="str" cm="1">
        <f t="array" ref="I297">IFERROR(IF(INDEX(EmployeeData[Exit Reason], ROW() - 37)=0, "",INDEX(EmployeeData[Exit Reason], ROW() - 37)),"")</f>
        <v/>
      </c>
      <c r="J297" s="4" t="str" cm="1">
        <f t="array" ref="J297">IFERROR(INDEX(EmployeeData[Status], ROW() - 37), "")</f>
        <v>Active</v>
      </c>
    </row>
    <row r="298" spans="2:10" ht="19.95" customHeight="1" x14ac:dyDescent="0.3">
      <c r="B298" s="4" cm="1">
        <f t="array" ref="B298">IFERROR(INDEX(EmployeeData[Employee ID], ROW() - 37), "")</f>
        <v>1261</v>
      </c>
      <c r="C298" s="4" t="str" cm="1">
        <f t="array" ref="C298">IFERROR(INDEX(EmployeeData[Full Name], ROW() - 37), "")</f>
        <v>Warren Rivera Viray</v>
      </c>
      <c r="D298" s="4" t="str" cm="1">
        <f t="array" ref="D298">IFERROR(INDEX(EmployeeData[Department], ROW() - 37), "")</f>
        <v>Marketing</v>
      </c>
      <c r="E298" s="4" t="str" cm="1">
        <f t="array" ref="E298">IFERROR(INDEX(EmployeeData[Gender], ROW() - 37), "")</f>
        <v>Male</v>
      </c>
      <c r="F298" s="4" cm="1">
        <f t="array" ref="F298">IFERROR(INDEX(EmployeeData[Age], ROW() - 37), "")</f>
        <v>41</v>
      </c>
      <c r="G298" s="6" cm="1">
        <f t="array" ref="G298">IFERROR(INDEX(EmployeeData[Join Date], ROW() - 37), "")</f>
        <v>43222</v>
      </c>
      <c r="H298" s="6" t="str" cm="1">
        <f t="array" ref="H298">IFERROR(IF(INDEX(EmployeeData[Exit Date], ROW() - 37)=0, "",INDEX(EmployeeData[Exit Date], ROW() - 37)),"")</f>
        <v/>
      </c>
      <c r="I298" s="4" t="str" cm="1">
        <f t="array" ref="I298">IFERROR(IF(INDEX(EmployeeData[Exit Reason], ROW() - 37)=0, "",INDEX(EmployeeData[Exit Reason], ROW() - 37)),"")</f>
        <v/>
      </c>
      <c r="J298" s="4" t="str" cm="1">
        <f t="array" ref="J298">IFERROR(INDEX(EmployeeData[Status], ROW() - 37), "")</f>
        <v>Active</v>
      </c>
    </row>
    <row r="299" spans="2:10" ht="19.95" customHeight="1" x14ac:dyDescent="0.3">
      <c r="B299" s="4" cm="1">
        <f t="array" ref="B299">IFERROR(INDEX(EmployeeData[Employee ID], ROW() - 37), "")</f>
        <v>1262</v>
      </c>
      <c r="C299" s="4" t="str" cm="1">
        <f t="array" ref="C299">IFERROR(INDEX(EmployeeData[Full Name], ROW() - 37), "")</f>
        <v>Aldrin Uy</v>
      </c>
      <c r="D299" s="4" t="str" cm="1">
        <f t="array" ref="D299">IFERROR(INDEX(EmployeeData[Department], ROW() - 37), "")</f>
        <v>IT</v>
      </c>
      <c r="E299" s="4" t="str" cm="1">
        <f t="array" ref="E299">IFERROR(INDEX(EmployeeData[Gender], ROW() - 37), "")</f>
        <v>Male</v>
      </c>
      <c r="F299" s="4" cm="1">
        <f t="array" ref="F299">IFERROR(INDEX(EmployeeData[Age], ROW() - 37), "")</f>
        <v>45</v>
      </c>
      <c r="G299" s="6" cm="1">
        <f t="array" ref="G299">IFERROR(INDEX(EmployeeData[Join Date], ROW() - 37), "")</f>
        <v>43452</v>
      </c>
      <c r="H299" s="6" t="str" cm="1">
        <f t="array" ref="H299">IFERROR(IF(INDEX(EmployeeData[Exit Date], ROW() - 37)=0, "",INDEX(EmployeeData[Exit Date], ROW() - 37)),"")</f>
        <v/>
      </c>
      <c r="I299" s="4" t="str" cm="1">
        <f t="array" ref="I299">IFERROR(IF(INDEX(EmployeeData[Exit Reason], ROW() - 37)=0, "",INDEX(EmployeeData[Exit Reason], ROW() - 37)),"")</f>
        <v/>
      </c>
      <c r="J299" s="4" t="str" cm="1">
        <f t="array" ref="J299">IFERROR(INDEX(EmployeeData[Status], ROW() - 37), "")</f>
        <v>Active</v>
      </c>
    </row>
    <row r="300" spans="2:10" ht="19.95" customHeight="1" x14ac:dyDescent="0.3">
      <c r="B300" s="4" cm="1">
        <f t="array" ref="B300">IFERROR(INDEX(EmployeeData[Employee ID], ROW() - 37), "")</f>
        <v>1263</v>
      </c>
      <c r="C300" s="4" t="str" cm="1">
        <f t="array" ref="C300">IFERROR(INDEX(EmployeeData[Full Name], ROW() - 37), "")</f>
        <v>Grace Aguilar Manalo</v>
      </c>
      <c r="D300" s="4" t="str" cm="1">
        <f t="array" ref="D300">IFERROR(INDEX(EmployeeData[Department], ROW() - 37), "")</f>
        <v>Customer Support</v>
      </c>
      <c r="E300" s="4" t="str" cm="1">
        <f t="array" ref="E300">IFERROR(INDEX(EmployeeData[Gender], ROW() - 37), "")</f>
        <v>Female</v>
      </c>
      <c r="F300" s="4" cm="1">
        <f t="array" ref="F300">IFERROR(INDEX(EmployeeData[Age], ROW() - 37), "")</f>
        <v>30</v>
      </c>
      <c r="G300" s="6" cm="1">
        <f t="array" ref="G300">IFERROR(INDEX(EmployeeData[Join Date], ROW() - 37), "")</f>
        <v>44696</v>
      </c>
      <c r="H300" s="6" cm="1">
        <f t="array" ref="H300">IFERROR(IF(INDEX(EmployeeData[Exit Date], ROW() - 37)=0, "",INDEX(EmployeeData[Exit Date], ROW() - 37)),"")</f>
        <v>45004</v>
      </c>
      <c r="I300" s="4" t="str" cm="1">
        <f t="array" ref="I300">IFERROR(IF(INDEX(EmployeeData[Exit Reason], ROW() - 37)=0, "",INDEX(EmployeeData[Exit Reason], ROW() - 37)),"")</f>
        <v>Better Opportunity</v>
      </c>
      <c r="J300" s="4" t="str" cm="1">
        <f t="array" ref="J300">IFERROR(INDEX(EmployeeData[Status], ROW() - 37), "")</f>
        <v>Exited</v>
      </c>
    </row>
    <row r="301" spans="2:10" ht="19.95" customHeight="1" x14ac:dyDescent="0.3">
      <c r="B301" s="4" cm="1">
        <f t="array" ref="B301">IFERROR(INDEX(EmployeeData[Employee ID], ROW() - 37), "")</f>
        <v>1264</v>
      </c>
      <c r="C301" s="4" t="str" cm="1">
        <f t="array" ref="C301">IFERROR(INDEX(EmployeeData[Full Name], ROW() - 37), "")</f>
        <v>Lea Garcia Bondoc</v>
      </c>
      <c r="D301" s="4" t="str" cm="1">
        <f t="array" ref="D301">IFERROR(INDEX(EmployeeData[Department], ROW() - 37), "")</f>
        <v>Customer Support</v>
      </c>
      <c r="E301" s="4" t="str" cm="1">
        <f t="array" ref="E301">IFERROR(INDEX(EmployeeData[Gender], ROW() - 37), "")</f>
        <v>Female</v>
      </c>
      <c r="F301" s="4" cm="1">
        <f t="array" ref="F301">IFERROR(INDEX(EmployeeData[Age], ROW() - 37), "")</f>
        <v>48</v>
      </c>
      <c r="G301" s="6" cm="1">
        <f t="array" ref="G301">IFERROR(INDEX(EmployeeData[Join Date], ROW() - 37), "")</f>
        <v>44939</v>
      </c>
      <c r="H301" s="6" t="str" cm="1">
        <f t="array" ref="H301">IFERROR(IF(INDEX(EmployeeData[Exit Date], ROW() - 37)=0, "",INDEX(EmployeeData[Exit Date], ROW() - 37)),"")</f>
        <v/>
      </c>
      <c r="I301" s="4" t="str" cm="1">
        <f t="array" ref="I301">IFERROR(IF(INDEX(EmployeeData[Exit Reason], ROW() - 37)=0, "",INDEX(EmployeeData[Exit Reason], ROW() - 37)),"")</f>
        <v/>
      </c>
      <c r="J301" s="4" t="str" cm="1">
        <f t="array" ref="J301">IFERROR(INDEX(EmployeeData[Status], ROW() - 37), "")</f>
        <v>Active</v>
      </c>
    </row>
    <row r="302" spans="2:10" ht="19.95" customHeight="1" x14ac:dyDescent="0.3">
      <c r="B302" s="4" cm="1">
        <f t="array" ref="B302">IFERROR(INDEX(EmployeeData[Employee ID], ROW() - 37), "")</f>
        <v>1265</v>
      </c>
      <c r="C302" s="4" t="str" cm="1">
        <f t="array" ref="C302">IFERROR(INDEX(EmployeeData[Full Name], ROW() - 37), "")</f>
        <v>Rowena Obispo</v>
      </c>
      <c r="D302" s="4" t="str" cm="1">
        <f t="array" ref="D302">IFERROR(INDEX(EmployeeData[Department], ROW() - 37), "")</f>
        <v>IT</v>
      </c>
      <c r="E302" s="4" t="str" cm="1">
        <f t="array" ref="E302">IFERROR(INDEX(EmployeeData[Gender], ROW() - 37), "")</f>
        <v>Female</v>
      </c>
      <c r="F302" s="4" cm="1">
        <f t="array" ref="F302">IFERROR(INDEX(EmployeeData[Age], ROW() - 37), "")</f>
        <v>41</v>
      </c>
      <c r="G302" s="6" cm="1">
        <f t="array" ref="G302">IFERROR(INDEX(EmployeeData[Join Date], ROW() - 37), "")</f>
        <v>44678</v>
      </c>
      <c r="H302" s="6" cm="1">
        <f t="array" ref="H302">IFERROR(IF(INDEX(EmployeeData[Exit Date], ROW() - 37)=0, "",INDEX(EmployeeData[Exit Date], ROW() - 37)),"")</f>
        <v>45615</v>
      </c>
      <c r="I302" s="4" t="str" cm="1">
        <f t="array" ref="I302">IFERROR(IF(INDEX(EmployeeData[Exit Reason], ROW() - 37)=0, "",INDEX(EmployeeData[Exit Reason], ROW() - 37)),"")</f>
        <v>Termination</v>
      </c>
      <c r="J302" s="4" t="str" cm="1">
        <f t="array" ref="J302">IFERROR(INDEX(EmployeeData[Status], ROW() - 37), "")</f>
        <v>Exited</v>
      </c>
    </row>
    <row r="303" spans="2:10" ht="19.95" customHeight="1" x14ac:dyDescent="0.3">
      <c r="B303" s="4" cm="1">
        <f t="array" ref="B303">IFERROR(INDEX(EmployeeData[Employee ID], ROW() - 37), "")</f>
        <v>1266</v>
      </c>
      <c r="C303" s="4" t="str" cm="1">
        <f t="array" ref="C303">IFERROR(INDEX(EmployeeData[Full Name], ROW() - 37), "")</f>
        <v>Fernando Fernandez Sia</v>
      </c>
      <c r="D303" s="4" t="str" cm="1">
        <f t="array" ref="D303">IFERROR(INDEX(EmployeeData[Department], ROW() - 37), "")</f>
        <v>Finance</v>
      </c>
      <c r="E303" s="4" t="str" cm="1">
        <f t="array" ref="E303">IFERROR(INDEX(EmployeeData[Gender], ROW() - 37), "")</f>
        <v>Other</v>
      </c>
      <c r="F303" s="4" cm="1">
        <f t="array" ref="F303">IFERROR(INDEX(EmployeeData[Age], ROW() - 37), "")</f>
        <v>57</v>
      </c>
      <c r="G303" s="6" cm="1">
        <f t="array" ref="G303">IFERROR(INDEX(EmployeeData[Join Date], ROW() - 37), "")</f>
        <v>45235</v>
      </c>
      <c r="H303" s="6" cm="1">
        <f t="array" ref="H303">IFERROR(IF(INDEX(EmployeeData[Exit Date], ROW() - 37)=0, "",INDEX(EmployeeData[Exit Date], ROW() - 37)),"")</f>
        <v>45714</v>
      </c>
      <c r="I303" s="4" t="str" cm="1">
        <f t="array" ref="I303">IFERROR(IF(INDEX(EmployeeData[Exit Reason], ROW() - 37)=0, "",INDEX(EmployeeData[Exit Reason], ROW() - 37)),"")</f>
        <v>Better Opportunity</v>
      </c>
      <c r="J303" s="4" t="str" cm="1">
        <f t="array" ref="J303">IFERROR(INDEX(EmployeeData[Status], ROW() - 37), "")</f>
        <v>Exited</v>
      </c>
    </row>
    <row r="304" spans="2:10" ht="19.95" customHeight="1" x14ac:dyDescent="0.3">
      <c r="B304" s="4" cm="1">
        <f t="array" ref="B304">IFERROR(INDEX(EmployeeData[Employee ID], ROW() - 37), "")</f>
        <v>1267</v>
      </c>
      <c r="C304" s="4" t="str" cm="1">
        <f t="array" ref="C304">IFERROR(INDEX(EmployeeData[Full Name], ROW() - 37), "")</f>
        <v>Manuel Mercado Evangelista</v>
      </c>
      <c r="D304" s="4" t="str" cm="1">
        <f t="array" ref="D304">IFERROR(INDEX(EmployeeData[Department], ROW() - 37), "")</f>
        <v>Customer Support</v>
      </c>
      <c r="E304" s="4" t="str" cm="1">
        <f t="array" ref="E304">IFERROR(INDEX(EmployeeData[Gender], ROW() - 37), "")</f>
        <v>Male</v>
      </c>
      <c r="F304" s="4" cm="1">
        <f t="array" ref="F304">IFERROR(INDEX(EmployeeData[Age], ROW() - 37), "")</f>
        <v>47</v>
      </c>
      <c r="G304" s="6" cm="1">
        <f t="array" ref="G304">IFERROR(INDEX(EmployeeData[Join Date], ROW() - 37), "")</f>
        <v>44328</v>
      </c>
      <c r="H304" s="6" t="str" cm="1">
        <f t="array" ref="H304">IFERROR(IF(INDEX(EmployeeData[Exit Date], ROW() - 37)=0, "",INDEX(EmployeeData[Exit Date], ROW() - 37)),"")</f>
        <v/>
      </c>
      <c r="I304" s="4" t="str" cm="1">
        <f t="array" ref="I304">IFERROR(IF(INDEX(EmployeeData[Exit Reason], ROW() - 37)=0, "",INDEX(EmployeeData[Exit Reason], ROW() - 37)),"")</f>
        <v/>
      </c>
      <c r="J304" s="4" t="str" cm="1">
        <f t="array" ref="J304">IFERROR(INDEX(EmployeeData[Status], ROW() - 37), "")</f>
        <v>Active</v>
      </c>
    </row>
    <row r="305" spans="2:10" ht="19.95" customHeight="1" x14ac:dyDescent="0.3">
      <c r="B305" s="4" cm="1">
        <f t="array" ref="B305">IFERROR(INDEX(EmployeeData[Employee ID], ROW() - 37), "")</f>
        <v>1268</v>
      </c>
      <c r="C305" s="4" t="str" cm="1">
        <f t="array" ref="C305">IFERROR(INDEX(EmployeeData[Full Name], ROW() - 37), "")</f>
        <v>Nathan Mangubat</v>
      </c>
      <c r="D305" s="4" t="str" cm="1">
        <f t="array" ref="D305">IFERROR(INDEX(EmployeeData[Department], ROW() - 37), "")</f>
        <v>HR</v>
      </c>
      <c r="E305" s="4" t="str" cm="1">
        <f t="array" ref="E305">IFERROR(INDEX(EmployeeData[Gender], ROW() - 37), "")</f>
        <v>Male</v>
      </c>
      <c r="F305" s="4" cm="1">
        <f t="array" ref="F305">IFERROR(INDEX(EmployeeData[Age], ROW() - 37), "")</f>
        <v>33</v>
      </c>
      <c r="G305" s="6" cm="1">
        <f t="array" ref="G305">IFERROR(INDEX(EmployeeData[Join Date], ROW() - 37), "")</f>
        <v>44976</v>
      </c>
      <c r="H305" s="6" cm="1">
        <f t="array" ref="H305">IFERROR(IF(INDEX(EmployeeData[Exit Date], ROW() - 37)=0, "",INDEX(EmployeeData[Exit Date], ROW() - 37)),"")</f>
        <v>45689</v>
      </c>
      <c r="I305" s="4" t="str" cm="1">
        <f t="array" ref="I305">IFERROR(IF(INDEX(EmployeeData[Exit Reason], ROW() - 37)=0, "",INDEX(EmployeeData[Exit Reason], ROW() - 37)),"")</f>
        <v>Better Opportunity</v>
      </c>
      <c r="J305" s="4" t="str" cm="1">
        <f t="array" ref="J305">IFERROR(INDEX(EmployeeData[Status], ROW() - 37), "")</f>
        <v>Exited</v>
      </c>
    </row>
    <row r="306" spans="2:10" ht="19.95" customHeight="1" x14ac:dyDescent="0.3">
      <c r="B306" s="4" cm="1">
        <f t="array" ref="B306">IFERROR(INDEX(EmployeeData[Employee ID], ROW() - 37), "")</f>
        <v>1269</v>
      </c>
      <c r="C306" s="4" t="str" cm="1">
        <f t="array" ref="C306">IFERROR(INDEX(EmployeeData[Full Name], ROW() - 37), "")</f>
        <v>Cristina Castro Ramirez</v>
      </c>
      <c r="D306" s="4" t="str" cm="1">
        <f t="array" ref="D306">IFERROR(INDEX(EmployeeData[Department], ROW() - 37), "")</f>
        <v>IT</v>
      </c>
      <c r="E306" s="4" t="str" cm="1">
        <f t="array" ref="E306">IFERROR(INDEX(EmployeeData[Gender], ROW() - 37), "")</f>
        <v>Other</v>
      </c>
      <c r="F306" s="4" cm="1">
        <f t="array" ref="F306">IFERROR(INDEX(EmployeeData[Age], ROW() - 37), "")</f>
        <v>49</v>
      </c>
      <c r="G306" s="6" cm="1">
        <f t="array" ref="G306">IFERROR(INDEX(EmployeeData[Join Date], ROW() - 37), "")</f>
        <v>44472</v>
      </c>
      <c r="H306" s="6" t="str" cm="1">
        <f t="array" ref="H306">IFERROR(IF(INDEX(EmployeeData[Exit Date], ROW() - 37)=0, "",INDEX(EmployeeData[Exit Date], ROW() - 37)),"")</f>
        <v/>
      </c>
      <c r="I306" s="4" t="str" cm="1">
        <f t="array" ref="I306">IFERROR(IF(INDEX(EmployeeData[Exit Reason], ROW() - 37)=0, "",INDEX(EmployeeData[Exit Reason], ROW() - 37)),"")</f>
        <v/>
      </c>
      <c r="J306" s="4" t="str" cm="1">
        <f t="array" ref="J306">IFERROR(INDEX(EmployeeData[Status], ROW() - 37), "")</f>
        <v>Active</v>
      </c>
    </row>
    <row r="307" spans="2:10" ht="19.95" customHeight="1" x14ac:dyDescent="0.3">
      <c r="B307" s="4" cm="1">
        <f t="array" ref="B307">IFERROR(INDEX(EmployeeData[Employee ID], ROW() - 37), "")</f>
        <v>1270</v>
      </c>
      <c r="C307" s="4" t="str" cm="1">
        <f t="array" ref="C307">IFERROR(INDEX(EmployeeData[Full Name], ROW() - 37), "")</f>
        <v>Teresita Tan Dalisay</v>
      </c>
      <c r="D307" s="4" t="str" cm="1">
        <f t="array" ref="D307">IFERROR(INDEX(EmployeeData[Department], ROW() - 37), "")</f>
        <v>Marketing</v>
      </c>
      <c r="E307" s="4" t="str" cm="1">
        <f t="array" ref="E307">IFERROR(INDEX(EmployeeData[Gender], ROW() - 37), "")</f>
        <v>Female</v>
      </c>
      <c r="F307" s="4" cm="1">
        <f t="array" ref="F307">IFERROR(INDEX(EmployeeData[Age], ROW() - 37), "")</f>
        <v>46</v>
      </c>
      <c r="G307" s="6" cm="1">
        <f t="array" ref="G307">IFERROR(INDEX(EmployeeData[Join Date], ROW() - 37), "")</f>
        <v>44408</v>
      </c>
      <c r="H307" s="6" cm="1">
        <f t="array" ref="H307">IFERROR(IF(INDEX(EmployeeData[Exit Date], ROW() - 37)=0, "",INDEX(EmployeeData[Exit Date], ROW() - 37)),"")</f>
        <v>45921</v>
      </c>
      <c r="I307" s="4" t="str" cm="1">
        <f t="array" ref="I307">IFERROR(IF(INDEX(EmployeeData[Exit Reason], ROW() - 37)=0, "",INDEX(EmployeeData[Exit Reason], ROW() - 37)),"")</f>
        <v>Relocation</v>
      </c>
      <c r="J307" s="4" t="str" cm="1">
        <f t="array" ref="J307">IFERROR(INDEX(EmployeeData[Status], ROW() - 37), "")</f>
        <v>Exited</v>
      </c>
    </row>
    <row r="308" spans="2:10" ht="19.95" customHeight="1" x14ac:dyDescent="0.3">
      <c r="B308" s="4" cm="1">
        <f t="array" ref="B308">IFERROR(INDEX(EmployeeData[Employee ID], ROW() - 37), "")</f>
        <v>1271</v>
      </c>
      <c r="C308" s="4" t="str" cm="1">
        <f t="array" ref="C308">IFERROR(INDEX(EmployeeData[Full Name], ROW() - 37), "")</f>
        <v>Jose Guevarra</v>
      </c>
      <c r="D308" s="4" t="str" cm="1">
        <f t="array" ref="D308">IFERROR(INDEX(EmployeeData[Department], ROW() - 37), "")</f>
        <v>IT</v>
      </c>
      <c r="E308" s="4" t="str" cm="1">
        <f t="array" ref="E308">IFERROR(INDEX(EmployeeData[Gender], ROW() - 37), "")</f>
        <v>Other</v>
      </c>
      <c r="F308" s="4" cm="1">
        <f t="array" ref="F308">IFERROR(INDEX(EmployeeData[Age], ROW() - 37), "")</f>
        <v>33</v>
      </c>
      <c r="G308" s="6" cm="1">
        <f t="array" ref="G308">IFERROR(INDEX(EmployeeData[Join Date], ROW() - 37), "")</f>
        <v>45526</v>
      </c>
      <c r="H308" s="6" t="str" cm="1">
        <f t="array" ref="H308">IFERROR(IF(INDEX(EmployeeData[Exit Date], ROW() - 37)=0, "",INDEX(EmployeeData[Exit Date], ROW() - 37)),"")</f>
        <v/>
      </c>
      <c r="I308" s="4" t="str" cm="1">
        <f t="array" ref="I308">IFERROR(IF(INDEX(EmployeeData[Exit Reason], ROW() - 37)=0, "",INDEX(EmployeeData[Exit Reason], ROW() - 37)),"")</f>
        <v/>
      </c>
      <c r="J308" s="4" t="str" cm="1">
        <f t="array" ref="J308">IFERROR(INDEX(EmployeeData[Status], ROW() - 37), "")</f>
        <v>Active</v>
      </c>
    </row>
    <row r="309" spans="2:10" ht="19.95" customHeight="1" x14ac:dyDescent="0.3">
      <c r="B309" s="4" cm="1">
        <f t="array" ref="B309">IFERROR(INDEX(EmployeeData[Employee ID], ROW() - 37), "")</f>
        <v>1272</v>
      </c>
      <c r="C309" s="4" t="str" cm="1">
        <f t="array" ref="C309">IFERROR(INDEX(EmployeeData[Full Name], ROW() - 37), "")</f>
        <v>Jordan Bondoc</v>
      </c>
      <c r="D309" s="4" t="str" cm="1">
        <f t="array" ref="D309">IFERROR(INDEX(EmployeeData[Department], ROW() - 37), "")</f>
        <v>Customer Support</v>
      </c>
      <c r="E309" s="4" t="str" cm="1">
        <f t="array" ref="E309">IFERROR(INDEX(EmployeeData[Gender], ROW() - 37), "")</f>
        <v>Other</v>
      </c>
      <c r="F309" s="4" cm="1">
        <f t="array" ref="F309">IFERROR(INDEX(EmployeeData[Age], ROW() - 37), "")</f>
        <v>34</v>
      </c>
      <c r="G309" s="6" cm="1">
        <f t="array" ref="G309">IFERROR(INDEX(EmployeeData[Join Date], ROW() - 37), "")</f>
        <v>44896</v>
      </c>
      <c r="H309" s="6" t="str" cm="1">
        <f t="array" ref="H309">IFERROR(IF(INDEX(EmployeeData[Exit Date], ROW() - 37)=0, "",INDEX(EmployeeData[Exit Date], ROW() - 37)),"")</f>
        <v/>
      </c>
      <c r="I309" s="4" t="str" cm="1">
        <f t="array" ref="I309">IFERROR(IF(INDEX(EmployeeData[Exit Reason], ROW() - 37)=0, "",INDEX(EmployeeData[Exit Reason], ROW() - 37)),"")</f>
        <v/>
      </c>
      <c r="J309" s="4" t="str" cm="1">
        <f t="array" ref="J309">IFERROR(INDEX(EmployeeData[Status], ROW() - 37), "")</f>
        <v>Active</v>
      </c>
    </row>
    <row r="310" spans="2:10" ht="19.95" customHeight="1" x14ac:dyDescent="0.3">
      <c r="B310" s="4" cm="1">
        <f t="array" ref="B310">IFERROR(INDEX(EmployeeData[Employee ID], ROW() - 37), "")</f>
        <v>1273</v>
      </c>
      <c r="C310" s="4" t="str" cm="1">
        <f t="array" ref="C310">IFERROR(INDEX(EmployeeData[Full Name], ROW() - 37), "")</f>
        <v>Gloria Natividad</v>
      </c>
      <c r="D310" s="4" t="str" cm="1">
        <f t="array" ref="D310">IFERROR(INDEX(EmployeeData[Department], ROW() - 37), "")</f>
        <v>Customer Support</v>
      </c>
      <c r="E310" s="4" t="str" cm="1">
        <f t="array" ref="E310">IFERROR(INDEX(EmployeeData[Gender], ROW() - 37), "")</f>
        <v>Female</v>
      </c>
      <c r="F310" s="4" cm="1">
        <f t="array" ref="F310">IFERROR(INDEX(EmployeeData[Age], ROW() - 37), "")</f>
        <v>37</v>
      </c>
      <c r="G310" s="6" cm="1">
        <f t="array" ref="G310">IFERROR(INDEX(EmployeeData[Join Date], ROW() - 37), "")</f>
        <v>45798</v>
      </c>
      <c r="H310" s="6" cm="1">
        <f t="array" ref="H310">IFERROR(IF(INDEX(EmployeeData[Exit Date], ROW() - 37)=0, "",INDEX(EmployeeData[Exit Date], ROW() - 37)),"")</f>
        <v>46104</v>
      </c>
      <c r="I310" s="4" t="str" cm="1">
        <f t="array" ref="I310">IFERROR(IF(INDEX(EmployeeData[Exit Reason], ROW() - 37)=0, "",INDEX(EmployeeData[Exit Reason], ROW() - 37)),"")</f>
        <v>Resignation</v>
      </c>
      <c r="J310" s="4" t="str" cm="1">
        <f t="array" ref="J310">IFERROR(INDEX(EmployeeData[Status], ROW() - 37), "")</f>
        <v>Exited</v>
      </c>
    </row>
    <row r="311" spans="2:10" ht="19.95" customHeight="1" x14ac:dyDescent="0.3">
      <c r="B311" s="4" cm="1">
        <f t="array" ref="B311">IFERROR(INDEX(EmployeeData[Employee ID], ROW() - 37), "")</f>
        <v>1274</v>
      </c>
      <c r="C311" s="4" t="str" cm="1">
        <f t="array" ref="C311">IFERROR(INDEX(EmployeeData[Full Name], ROW() - 37), "")</f>
        <v>Antonio Evangelista</v>
      </c>
      <c r="D311" s="4" t="str" cm="1">
        <f t="array" ref="D311">IFERROR(INDEX(EmployeeData[Department], ROW() - 37), "")</f>
        <v>Marketing</v>
      </c>
      <c r="E311" s="4" t="str" cm="1">
        <f t="array" ref="E311">IFERROR(INDEX(EmployeeData[Gender], ROW() - 37), "")</f>
        <v>Male</v>
      </c>
      <c r="F311" s="4" cm="1">
        <f t="array" ref="F311">IFERROR(INDEX(EmployeeData[Age], ROW() - 37), "")</f>
        <v>53</v>
      </c>
      <c r="G311" s="6" cm="1">
        <f t="array" ref="G311">IFERROR(INDEX(EmployeeData[Join Date], ROW() - 37), "")</f>
        <v>45934</v>
      </c>
      <c r="H311" s="6" t="str" cm="1">
        <f t="array" ref="H311">IFERROR(IF(INDEX(EmployeeData[Exit Date], ROW() - 37)=0, "",INDEX(EmployeeData[Exit Date], ROW() - 37)),"")</f>
        <v/>
      </c>
      <c r="I311" s="4" t="str" cm="1">
        <f t="array" ref="I311">IFERROR(IF(INDEX(EmployeeData[Exit Reason], ROW() - 37)=0, "",INDEX(EmployeeData[Exit Reason], ROW() - 37)),"")</f>
        <v/>
      </c>
      <c r="J311" s="4" t="str" cm="1">
        <f t="array" ref="J311">IFERROR(INDEX(EmployeeData[Status], ROW() - 37), "")</f>
        <v>Active</v>
      </c>
    </row>
    <row r="312" spans="2:10" ht="19.95" customHeight="1" x14ac:dyDescent="0.3">
      <c r="B312" s="4" cm="1">
        <f t="array" ref="B312">IFERROR(INDEX(EmployeeData[Employee ID], ROW() - 37), "")</f>
        <v>1275</v>
      </c>
      <c r="C312" s="4" t="str" cm="1">
        <f t="array" ref="C312">IFERROR(INDEX(EmployeeData[Full Name], ROW() - 37), "")</f>
        <v>Ivan Pascual</v>
      </c>
      <c r="D312" s="4" t="str" cm="1">
        <f t="array" ref="D312">IFERROR(INDEX(EmployeeData[Department], ROW() - 37), "")</f>
        <v>Sales</v>
      </c>
      <c r="E312" s="4" t="str" cm="1">
        <f t="array" ref="E312">IFERROR(INDEX(EmployeeData[Gender], ROW() - 37), "")</f>
        <v>Male</v>
      </c>
      <c r="F312" s="4" cm="1">
        <f t="array" ref="F312">IFERROR(INDEX(EmployeeData[Age], ROW() - 37), "")</f>
        <v>26</v>
      </c>
      <c r="G312" s="6" cm="1">
        <f t="array" ref="G312">IFERROR(INDEX(EmployeeData[Join Date], ROW() - 37), "")</f>
        <v>43548</v>
      </c>
      <c r="H312" s="6" t="str" cm="1">
        <f t="array" ref="H312">IFERROR(IF(INDEX(EmployeeData[Exit Date], ROW() - 37)=0, "",INDEX(EmployeeData[Exit Date], ROW() - 37)),"")</f>
        <v/>
      </c>
      <c r="I312" s="4" t="str" cm="1">
        <f t="array" ref="I312">IFERROR(IF(INDEX(EmployeeData[Exit Reason], ROW() - 37)=0, "",INDEX(EmployeeData[Exit Reason], ROW() - 37)),"")</f>
        <v/>
      </c>
      <c r="J312" s="4" t="str" cm="1">
        <f t="array" ref="J312">IFERROR(INDEX(EmployeeData[Status], ROW() - 37), "")</f>
        <v>Active</v>
      </c>
    </row>
    <row r="313" spans="2:10" ht="19.95" customHeight="1" x14ac:dyDescent="0.3">
      <c r="B313" s="4" cm="1">
        <f t="array" ref="B313">IFERROR(INDEX(EmployeeData[Employee ID], ROW() - 37), "")</f>
        <v>1276</v>
      </c>
      <c r="C313" s="4" t="str" cm="1">
        <f t="array" ref="C313">IFERROR(INDEX(EmployeeData[Full Name], ROW() - 37), "")</f>
        <v>Rosa Domingo Lopez</v>
      </c>
      <c r="D313" s="4" t="str" cm="1">
        <f t="array" ref="D313">IFERROR(INDEX(EmployeeData[Department], ROW() - 37), "")</f>
        <v>Customer Support</v>
      </c>
      <c r="E313" s="4" t="str" cm="1">
        <f t="array" ref="E313">IFERROR(INDEX(EmployeeData[Gender], ROW() - 37), "")</f>
        <v>Other</v>
      </c>
      <c r="F313" s="4" cm="1">
        <f t="array" ref="F313">IFERROR(INDEX(EmployeeData[Age], ROW() - 37), "")</f>
        <v>46</v>
      </c>
      <c r="G313" s="6" cm="1">
        <f t="array" ref="G313">IFERROR(INDEX(EmployeeData[Join Date], ROW() - 37), "")</f>
        <v>44459</v>
      </c>
      <c r="H313" s="6" t="str" cm="1">
        <f t="array" ref="H313">IFERROR(IF(INDEX(EmployeeData[Exit Date], ROW() - 37)=0, "",INDEX(EmployeeData[Exit Date], ROW() - 37)),"")</f>
        <v/>
      </c>
      <c r="I313" s="4" t="str" cm="1">
        <f t="array" ref="I313">IFERROR(IF(INDEX(EmployeeData[Exit Reason], ROW() - 37)=0, "",INDEX(EmployeeData[Exit Reason], ROW() - 37)),"")</f>
        <v/>
      </c>
      <c r="J313" s="4" t="str" cm="1">
        <f t="array" ref="J313">IFERROR(INDEX(EmployeeData[Status], ROW() - 37), "")</f>
        <v>Active</v>
      </c>
    </row>
    <row r="314" spans="2:10" ht="19.95" customHeight="1" x14ac:dyDescent="0.3">
      <c r="B314" s="4" cm="1">
        <f t="array" ref="B314">IFERROR(INDEX(EmployeeData[Employee ID], ROW() - 37), "")</f>
        <v>1277</v>
      </c>
      <c r="C314" s="4" t="str" cm="1">
        <f t="array" ref="C314">IFERROR(INDEX(EmployeeData[Full Name], ROW() - 37), "")</f>
        <v>Antonio Go Natividad</v>
      </c>
      <c r="D314" s="4" t="str" cm="1">
        <f t="array" ref="D314">IFERROR(INDEX(EmployeeData[Department], ROW() - 37), "")</f>
        <v>Customer Support</v>
      </c>
      <c r="E314" s="4" t="str" cm="1">
        <f t="array" ref="E314">IFERROR(INDEX(EmployeeData[Gender], ROW() - 37), "")</f>
        <v>Other</v>
      </c>
      <c r="F314" s="4" cm="1">
        <f t="array" ref="F314">IFERROR(INDEX(EmployeeData[Age], ROW() - 37), "")</f>
        <v>56</v>
      </c>
      <c r="G314" s="6" cm="1">
        <f t="array" ref="G314">IFERROR(INDEX(EmployeeData[Join Date], ROW() - 37), "")</f>
        <v>45478</v>
      </c>
      <c r="H314" s="6" t="str" cm="1">
        <f t="array" ref="H314">IFERROR(IF(INDEX(EmployeeData[Exit Date], ROW() - 37)=0, "",INDEX(EmployeeData[Exit Date], ROW() - 37)),"")</f>
        <v/>
      </c>
      <c r="I314" s="4" t="str" cm="1">
        <f t="array" ref="I314">IFERROR(IF(INDEX(EmployeeData[Exit Reason], ROW() - 37)=0, "",INDEX(EmployeeData[Exit Reason], ROW() - 37)),"")</f>
        <v/>
      </c>
      <c r="J314" s="4" t="str" cm="1">
        <f t="array" ref="J314">IFERROR(INDEX(EmployeeData[Status], ROW() - 37), "")</f>
        <v>Active</v>
      </c>
    </row>
    <row r="315" spans="2:10" ht="19.95" customHeight="1" x14ac:dyDescent="0.3">
      <c r="B315" s="4" cm="1">
        <f t="array" ref="B315">IFERROR(INDEX(EmployeeData[Employee ID], ROW() - 37), "")</f>
        <v>1278</v>
      </c>
      <c r="C315" s="4" t="str" cm="1">
        <f t="array" ref="C315">IFERROR(INDEX(EmployeeData[Full Name], ROW() - 37), "")</f>
        <v>Aldrin Camacho</v>
      </c>
      <c r="D315" s="4" t="str" cm="1">
        <f t="array" ref="D315">IFERROR(INDEX(EmployeeData[Department], ROW() - 37), "")</f>
        <v>HR</v>
      </c>
      <c r="E315" s="4" t="str" cm="1">
        <f t="array" ref="E315">IFERROR(INDEX(EmployeeData[Gender], ROW() - 37), "")</f>
        <v>Male</v>
      </c>
      <c r="F315" s="4" cm="1">
        <f t="array" ref="F315">IFERROR(INDEX(EmployeeData[Age], ROW() - 37), "")</f>
        <v>53</v>
      </c>
      <c r="G315" s="6" cm="1">
        <f t="array" ref="G315">IFERROR(INDEX(EmployeeData[Join Date], ROW() - 37), "")</f>
        <v>43718</v>
      </c>
      <c r="H315" s="6" cm="1">
        <f t="array" ref="H315">IFERROR(IF(INDEX(EmployeeData[Exit Date], ROW() - 37)=0, "",INDEX(EmployeeData[Exit Date], ROW() - 37)),"")</f>
        <v>43908</v>
      </c>
      <c r="I315" s="4" t="str" cm="1">
        <f t="array" ref="I315">IFERROR(IF(INDEX(EmployeeData[Exit Reason], ROW() - 37)=0, "",INDEX(EmployeeData[Exit Reason], ROW() - 37)),"")</f>
        <v>Health Issues</v>
      </c>
      <c r="J315" s="4" t="str" cm="1">
        <f t="array" ref="J315">IFERROR(INDEX(EmployeeData[Status], ROW() - 37), "")</f>
        <v>Exited</v>
      </c>
    </row>
    <row r="316" spans="2:10" ht="19.95" customHeight="1" x14ac:dyDescent="0.3">
      <c r="B316" s="4" cm="1">
        <f t="array" ref="B316">IFERROR(INDEX(EmployeeData[Employee ID], ROW() - 37), "")</f>
        <v>1279</v>
      </c>
      <c r="C316" s="4" t="str" cm="1">
        <f t="array" ref="C316">IFERROR(INDEX(EmployeeData[Full Name], ROW() - 37), "")</f>
        <v>Teresa Mendoza Umali</v>
      </c>
      <c r="D316" s="4" t="str" cm="1">
        <f t="array" ref="D316">IFERROR(INDEX(EmployeeData[Department], ROW() - 37), "")</f>
        <v>Customer Support</v>
      </c>
      <c r="E316" s="4" t="str" cm="1">
        <f t="array" ref="E316">IFERROR(INDEX(EmployeeData[Gender], ROW() - 37), "")</f>
        <v>Other</v>
      </c>
      <c r="F316" s="4" cm="1">
        <f t="array" ref="F316">IFERROR(INDEX(EmployeeData[Age], ROW() - 37), "")</f>
        <v>30</v>
      </c>
      <c r="G316" s="6" cm="1">
        <f t="array" ref="G316">IFERROR(INDEX(EmployeeData[Join Date], ROW() - 37), "")</f>
        <v>44527</v>
      </c>
      <c r="H316" s="6" cm="1">
        <f t="array" ref="H316">IFERROR(IF(INDEX(EmployeeData[Exit Date], ROW() - 37)=0, "",INDEX(EmployeeData[Exit Date], ROW() - 37)),"")</f>
        <v>45549</v>
      </c>
      <c r="I316" s="4" t="str" cm="1">
        <f t="array" ref="I316">IFERROR(IF(INDEX(EmployeeData[Exit Reason], ROW() - 37)=0, "",INDEX(EmployeeData[Exit Reason], ROW() - 37)),"")</f>
        <v>Resignation</v>
      </c>
      <c r="J316" s="4" t="str" cm="1">
        <f t="array" ref="J316">IFERROR(INDEX(EmployeeData[Status], ROW() - 37), "")</f>
        <v>Exited</v>
      </c>
    </row>
    <row r="317" spans="2:10" ht="19.95" customHeight="1" x14ac:dyDescent="0.3">
      <c r="B317" s="4" cm="1">
        <f t="array" ref="B317">IFERROR(INDEX(EmployeeData[Employee ID], ROW() - 37), "")</f>
        <v>1280</v>
      </c>
      <c r="C317" s="4" t="str" cm="1">
        <f t="array" ref="C317">IFERROR(INDEX(EmployeeData[Full Name], ROW() - 37), "")</f>
        <v>Danilo Lopez Bayani</v>
      </c>
      <c r="D317" s="4" t="str" cm="1">
        <f t="array" ref="D317">IFERROR(INDEX(EmployeeData[Department], ROW() - 37), "")</f>
        <v>IT</v>
      </c>
      <c r="E317" s="4" t="str" cm="1">
        <f t="array" ref="E317">IFERROR(INDEX(EmployeeData[Gender], ROW() - 37), "")</f>
        <v>Other</v>
      </c>
      <c r="F317" s="4" cm="1">
        <f t="array" ref="F317">IFERROR(INDEX(EmployeeData[Age], ROW() - 37), "")</f>
        <v>41</v>
      </c>
      <c r="G317" s="6" cm="1">
        <f t="array" ref="G317">IFERROR(INDEX(EmployeeData[Join Date], ROW() - 37), "")</f>
        <v>43376</v>
      </c>
      <c r="H317" s="6" cm="1">
        <f t="array" ref="H317">IFERROR(IF(INDEX(EmployeeData[Exit Date], ROW() - 37)=0, "",INDEX(EmployeeData[Exit Date], ROW() - 37)),"")</f>
        <v>43937</v>
      </c>
      <c r="I317" s="4" t="str" cm="1">
        <f t="array" ref="I317">IFERROR(IF(INDEX(EmployeeData[Exit Reason], ROW() - 37)=0, "",INDEX(EmployeeData[Exit Reason], ROW() - 37)),"")</f>
        <v>Better Opportunity</v>
      </c>
      <c r="J317" s="4" t="str" cm="1">
        <f t="array" ref="J317">IFERROR(INDEX(EmployeeData[Status], ROW() - 37), "")</f>
        <v>Exited</v>
      </c>
    </row>
    <row r="318" spans="2:10" ht="19.95" customHeight="1" x14ac:dyDescent="0.3">
      <c r="B318" s="4" cm="1">
        <f t="array" ref="B318">IFERROR(INDEX(EmployeeData[Employee ID], ROW() - 37), "")</f>
        <v>1281</v>
      </c>
      <c r="C318" s="4" t="str" cm="1">
        <f t="array" ref="C318">IFERROR(INDEX(EmployeeData[Full Name], ROW() - 37), "")</f>
        <v>Danilo Go Jacinto</v>
      </c>
      <c r="D318" s="4" t="str" cm="1">
        <f t="array" ref="D318">IFERROR(INDEX(EmployeeData[Department], ROW() - 37), "")</f>
        <v>Finance</v>
      </c>
      <c r="E318" s="4" t="str" cm="1">
        <f t="array" ref="E318">IFERROR(INDEX(EmployeeData[Gender], ROW() - 37), "")</f>
        <v>Other</v>
      </c>
      <c r="F318" s="4" cm="1">
        <f t="array" ref="F318">IFERROR(INDEX(EmployeeData[Age], ROW() - 37), "")</f>
        <v>54</v>
      </c>
      <c r="G318" s="6" cm="1">
        <f t="array" ref="G318">IFERROR(INDEX(EmployeeData[Join Date], ROW() - 37), "")</f>
        <v>43815</v>
      </c>
      <c r="H318" s="6" t="str" cm="1">
        <f t="array" ref="H318">IFERROR(IF(INDEX(EmployeeData[Exit Date], ROW() - 37)=0, "",INDEX(EmployeeData[Exit Date], ROW() - 37)),"")</f>
        <v/>
      </c>
      <c r="I318" s="4" t="str" cm="1">
        <f t="array" ref="I318">IFERROR(IF(INDEX(EmployeeData[Exit Reason], ROW() - 37)=0, "",INDEX(EmployeeData[Exit Reason], ROW() - 37)),"")</f>
        <v/>
      </c>
      <c r="J318" s="4" t="str" cm="1">
        <f t="array" ref="J318">IFERROR(INDEX(EmployeeData[Status], ROW() - 37), "")</f>
        <v>Active</v>
      </c>
    </row>
    <row r="319" spans="2:10" ht="19.95" customHeight="1" x14ac:dyDescent="0.3">
      <c r="B319" s="4" cm="1">
        <f t="array" ref="B319">IFERROR(INDEX(EmployeeData[Employee ID], ROW() - 37), "")</f>
        <v>1282</v>
      </c>
      <c r="C319" s="4" t="str" cm="1">
        <f t="array" ref="C319">IFERROR(INDEX(EmployeeData[Full Name], ROW() - 37), "")</f>
        <v>Timothy Castro Tolentino</v>
      </c>
      <c r="D319" s="4" t="str" cm="1">
        <f t="array" ref="D319">IFERROR(INDEX(EmployeeData[Department], ROW() - 37), "")</f>
        <v>Customer Support</v>
      </c>
      <c r="E319" s="4" t="str" cm="1">
        <f t="array" ref="E319">IFERROR(INDEX(EmployeeData[Gender], ROW() - 37), "")</f>
        <v>Male</v>
      </c>
      <c r="F319" s="4" cm="1">
        <f t="array" ref="F319">IFERROR(INDEX(EmployeeData[Age], ROW() - 37), "")</f>
        <v>32</v>
      </c>
      <c r="G319" s="6" cm="1">
        <f t="array" ref="G319">IFERROR(INDEX(EmployeeData[Join Date], ROW() - 37), "")</f>
        <v>43864</v>
      </c>
      <c r="H319" s="6" t="str" cm="1">
        <f t="array" ref="H319">IFERROR(IF(INDEX(EmployeeData[Exit Date], ROW() - 37)=0, "",INDEX(EmployeeData[Exit Date], ROW() - 37)),"")</f>
        <v/>
      </c>
      <c r="I319" s="4" t="str" cm="1">
        <f t="array" ref="I319">IFERROR(IF(INDEX(EmployeeData[Exit Reason], ROW() - 37)=0, "",INDEX(EmployeeData[Exit Reason], ROW() - 37)),"")</f>
        <v/>
      </c>
      <c r="J319" s="4" t="str" cm="1">
        <f t="array" ref="J319">IFERROR(INDEX(EmployeeData[Status], ROW() - 37), "")</f>
        <v>Active</v>
      </c>
    </row>
    <row r="320" spans="2:10" ht="19.95" customHeight="1" x14ac:dyDescent="0.3">
      <c r="B320" s="4" cm="1">
        <f t="array" ref="B320">IFERROR(INDEX(EmployeeData[Employee ID], ROW() - 37), "")</f>
        <v>1283</v>
      </c>
      <c r="C320" s="4" t="str" cm="1">
        <f t="array" ref="C320">IFERROR(INDEX(EmployeeData[Full Name], ROW() - 37), "")</f>
        <v>Carlos Gonzales Macapagal</v>
      </c>
      <c r="D320" s="4" t="str" cm="1">
        <f t="array" ref="D320">IFERROR(INDEX(EmployeeData[Department], ROW() - 37), "")</f>
        <v>IT</v>
      </c>
      <c r="E320" s="4" t="str" cm="1">
        <f t="array" ref="E320">IFERROR(INDEX(EmployeeData[Gender], ROW() - 37), "")</f>
        <v>Male</v>
      </c>
      <c r="F320" s="4" cm="1">
        <f t="array" ref="F320">IFERROR(INDEX(EmployeeData[Age], ROW() - 37), "")</f>
        <v>21</v>
      </c>
      <c r="G320" s="6" cm="1">
        <f t="array" ref="G320">IFERROR(INDEX(EmployeeData[Join Date], ROW() - 37), "")</f>
        <v>45987</v>
      </c>
      <c r="H320" s="6" cm="1">
        <f t="array" ref="H320">IFERROR(IF(INDEX(EmployeeData[Exit Date], ROW() - 37)=0, "",INDEX(EmployeeData[Exit Date], ROW() - 37)),"")</f>
        <v>46112</v>
      </c>
      <c r="I320" s="4" t="str" cm="1">
        <f t="array" ref="I320">IFERROR(IF(INDEX(EmployeeData[Exit Reason], ROW() - 37)=0, "",INDEX(EmployeeData[Exit Reason], ROW() - 37)),"")</f>
        <v>Personal Reasons</v>
      </c>
      <c r="J320" s="4" t="str" cm="1">
        <f t="array" ref="J320">IFERROR(INDEX(EmployeeData[Status], ROW() - 37), "")</f>
        <v>Exited</v>
      </c>
    </row>
    <row r="321" spans="2:10" ht="19.95" customHeight="1" x14ac:dyDescent="0.3">
      <c r="B321" s="4" cm="1">
        <f t="array" ref="B321">IFERROR(INDEX(EmployeeData[Employee ID], ROW() - 37), "")</f>
        <v>1284</v>
      </c>
      <c r="C321" s="4" t="str" cm="1">
        <f t="array" ref="C321">IFERROR(INDEX(EmployeeData[Full Name], ROW() - 37), "")</f>
        <v>Ivy Elegado</v>
      </c>
      <c r="D321" s="4" t="str" cm="1">
        <f t="array" ref="D321">IFERROR(INDEX(EmployeeData[Department], ROW() - 37), "")</f>
        <v>IT</v>
      </c>
      <c r="E321" s="4" t="str" cm="1">
        <f t="array" ref="E321">IFERROR(INDEX(EmployeeData[Gender], ROW() - 37), "")</f>
        <v>Female</v>
      </c>
      <c r="F321" s="4" cm="1">
        <f t="array" ref="F321">IFERROR(INDEX(EmployeeData[Age], ROW() - 37), "")</f>
        <v>28</v>
      </c>
      <c r="G321" s="6" cm="1">
        <f t="array" ref="G321">IFERROR(INDEX(EmployeeData[Join Date], ROW() - 37), "")</f>
        <v>44175</v>
      </c>
      <c r="H321" s="6" t="str" cm="1">
        <f t="array" ref="H321">IFERROR(IF(INDEX(EmployeeData[Exit Date], ROW() - 37)=0, "",INDEX(EmployeeData[Exit Date], ROW() - 37)),"")</f>
        <v/>
      </c>
      <c r="I321" s="4" t="str" cm="1">
        <f t="array" ref="I321">IFERROR(IF(INDEX(EmployeeData[Exit Reason], ROW() - 37)=0, "",INDEX(EmployeeData[Exit Reason], ROW() - 37)),"")</f>
        <v/>
      </c>
      <c r="J321" s="4" t="str" cm="1">
        <f t="array" ref="J321">IFERROR(INDEX(EmployeeData[Status], ROW() - 37), "")</f>
        <v>Active</v>
      </c>
    </row>
    <row r="322" spans="2:10" ht="19.95" customHeight="1" x14ac:dyDescent="0.3">
      <c r="B322" s="4" cm="1">
        <f t="array" ref="B322">IFERROR(INDEX(EmployeeData[Employee ID], ROW() - 37), "")</f>
        <v>1285</v>
      </c>
      <c r="C322" s="4" t="str" cm="1">
        <f t="array" ref="C322">IFERROR(INDEX(EmployeeData[Full Name], ROW() - 37), "")</f>
        <v>Hernando Figueroa</v>
      </c>
      <c r="D322" s="4" t="str" cm="1">
        <f t="array" ref="D322">IFERROR(INDEX(EmployeeData[Department], ROW() - 37), "")</f>
        <v>IT</v>
      </c>
      <c r="E322" s="4" t="str" cm="1">
        <f t="array" ref="E322">IFERROR(INDEX(EmployeeData[Gender], ROW() - 37), "")</f>
        <v>Male</v>
      </c>
      <c r="F322" s="4" cm="1">
        <f t="array" ref="F322">IFERROR(INDEX(EmployeeData[Age], ROW() - 37), "")</f>
        <v>46</v>
      </c>
      <c r="G322" s="6" cm="1">
        <f t="array" ref="G322">IFERROR(INDEX(EmployeeData[Join Date], ROW() - 37), "")</f>
        <v>45505</v>
      </c>
      <c r="H322" s="6" cm="1">
        <f t="array" ref="H322">IFERROR(IF(INDEX(EmployeeData[Exit Date], ROW() - 37)=0, "",INDEX(EmployeeData[Exit Date], ROW() - 37)),"")</f>
        <v>45955</v>
      </c>
      <c r="I322" s="4" t="str" cm="1">
        <f t="array" ref="I322">IFERROR(IF(INDEX(EmployeeData[Exit Reason], ROW() - 37)=0, "",INDEX(EmployeeData[Exit Reason], ROW() - 37)),"")</f>
        <v>Resignation</v>
      </c>
      <c r="J322" s="4" t="str" cm="1">
        <f t="array" ref="J322">IFERROR(INDEX(EmployeeData[Status], ROW() - 37), "")</f>
        <v>Exited</v>
      </c>
    </row>
    <row r="323" spans="2:10" ht="19.95" customHeight="1" x14ac:dyDescent="0.3">
      <c r="B323" s="4" cm="1">
        <f t="array" ref="B323">IFERROR(INDEX(EmployeeData[Employee ID], ROW() - 37), "")</f>
        <v>1286</v>
      </c>
      <c r="C323" s="4" t="str" cm="1">
        <f t="array" ref="C323">IFERROR(INDEX(EmployeeData[Full Name], ROW() - 37), "")</f>
        <v>Ismael Ignacio</v>
      </c>
      <c r="D323" s="4" t="str" cm="1">
        <f t="array" ref="D323">IFERROR(INDEX(EmployeeData[Department], ROW() - 37), "")</f>
        <v>IT</v>
      </c>
      <c r="E323" s="4" t="str" cm="1">
        <f t="array" ref="E323">IFERROR(INDEX(EmployeeData[Gender], ROW() - 37), "")</f>
        <v>Male</v>
      </c>
      <c r="F323" s="4" cm="1">
        <f t="array" ref="F323">IFERROR(INDEX(EmployeeData[Age], ROW() - 37), "")</f>
        <v>53</v>
      </c>
      <c r="G323" s="6" cm="1">
        <f t="array" ref="G323">IFERROR(INDEX(EmployeeData[Join Date], ROW() - 37), "")</f>
        <v>45853</v>
      </c>
      <c r="H323" s="6" cm="1">
        <f t="array" ref="H323">IFERROR(IF(INDEX(EmployeeData[Exit Date], ROW() - 37)=0, "",INDEX(EmployeeData[Exit Date], ROW() - 37)),"")</f>
        <v>45973</v>
      </c>
      <c r="I323" s="4" t="str" cm="1">
        <f t="array" ref="I323">IFERROR(IF(INDEX(EmployeeData[Exit Reason], ROW() - 37)=0, "",INDEX(EmployeeData[Exit Reason], ROW() - 37)),"")</f>
        <v>Retirement</v>
      </c>
      <c r="J323" s="4" t="str" cm="1">
        <f t="array" ref="J323">IFERROR(INDEX(EmployeeData[Status], ROW() - 37), "")</f>
        <v>Exited</v>
      </c>
    </row>
    <row r="324" spans="2:10" ht="19.95" customHeight="1" x14ac:dyDescent="0.3">
      <c r="B324" s="4" cm="1">
        <f t="array" ref="B324">IFERROR(INDEX(EmployeeData[Employee ID], ROW() - 37), "")</f>
        <v>1287</v>
      </c>
      <c r="C324" s="4" t="str" cm="1">
        <f t="array" ref="C324">IFERROR(INDEX(EmployeeData[Full Name], ROW() - 37), "")</f>
        <v>Ismael Viray</v>
      </c>
      <c r="D324" s="4" t="str" cm="1">
        <f t="array" ref="D324">IFERROR(INDEX(EmployeeData[Department], ROW() - 37), "")</f>
        <v>Marketing</v>
      </c>
      <c r="E324" s="4" t="str" cm="1">
        <f t="array" ref="E324">IFERROR(INDEX(EmployeeData[Gender], ROW() - 37), "")</f>
        <v>Male</v>
      </c>
      <c r="F324" s="4" cm="1">
        <f t="array" ref="F324">IFERROR(INDEX(EmployeeData[Age], ROW() - 37), "")</f>
        <v>29</v>
      </c>
      <c r="G324" s="6" cm="1">
        <f t="array" ref="G324">IFERROR(INDEX(EmployeeData[Join Date], ROW() - 37), "")</f>
        <v>45455</v>
      </c>
      <c r="H324" s="6" t="str" cm="1">
        <f t="array" ref="H324">IFERROR(IF(INDEX(EmployeeData[Exit Date], ROW() - 37)=0, "",INDEX(EmployeeData[Exit Date], ROW() - 37)),"")</f>
        <v/>
      </c>
      <c r="I324" s="4" t="str" cm="1">
        <f t="array" ref="I324">IFERROR(IF(INDEX(EmployeeData[Exit Reason], ROW() - 37)=0, "",INDEX(EmployeeData[Exit Reason], ROW() - 37)),"")</f>
        <v/>
      </c>
      <c r="J324" s="4" t="str" cm="1">
        <f t="array" ref="J324">IFERROR(INDEX(EmployeeData[Status], ROW() - 37), "")</f>
        <v>Active</v>
      </c>
    </row>
    <row r="325" spans="2:10" ht="19.95" customHeight="1" x14ac:dyDescent="0.3">
      <c r="B325" s="4" cm="1">
        <f t="array" ref="B325">IFERROR(INDEX(EmployeeData[Employee ID], ROW() - 37), "")</f>
        <v>1288</v>
      </c>
      <c r="C325" s="4" t="str" cm="1">
        <f t="array" ref="C325">IFERROR(INDEX(EmployeeData[Full Name], ROW() - 37), "")</f>
        <v>Dennis Natividad</v>
      </c>
      <c r="D325" s="4" t="str" cm="1">
        <f t="array" ref="D325">IFERROR(INDEX(EmployeeData[Department], ROW() - 37), "")</f>
        <v>HR</v>
      </c>
      <c r="E325" s="4" t="str" cm="1">
        <f t="array" ref="E325">IFERROR(INDEX(EmployeeData[Gender], ROW() - 37), "")</f>
        <v>Male</v>
      </c>
      <c r="F325" s="4" cm="1">
        <f t="array" ref="F325">IFERROR(INDEX(EmployeeData[Age], ROW() - 37), "")</f>
        <v>32</v>
      </c>
      <c r="G325" s="6" cm="1">
        <f t="array" ref="G325">IFERROR(INDEX(EmployeeData[Join Date], ROW() - 37), "")</f>
        <v>45373</v>
      </c>
      <c r="H325" s="6" cm="1">
        <f t="array" ref="H325">IFERROR(IF(INDEX(EmployeeData[Exit Date], ROW() - 37)=0, "",INDEX(EmployeeData[Exit Date], ROW() - 37)),"")</f>
        <v>45758</v>
      </c>
      <c r="I325" s="4" t="str" cm="1">
        <f t="array" ref="I325">IFERROR(IF(INDEX(EmployeeData[Exit Reason], ROW() - 37)=0, "",INDEX(EmployeeData[Exit Reason], ROW() - 37)),"")</f>
        <v>Better Opportunity</v>
      </c>
      <c r="J325" s="4" t="str" cm="1">
        <f t="array" ref="J325">IFERROR(INDEX(EmployeeData[Status], ROW() - 37), "")</f>
        <v>Exited</v>
      </c>
    </row>
    <row r="326" spans="2:10" ht="19.95" customHeight="1" x14ac:dyDescent="0.3">
      <c r="B326" s="4" cm="1">
        <f t="array" ref="B326">IFERROR(INDEX(EmployeeData[Employee ID], ROW() - 37), "")</f>
        <v>1289</v>
      </c>
      <c r="C326" s="4" t="str" cm="1">
        <f t="array" ref="C326">IFERROR(INDEX(EmployeeData[Full Name], ROW() - 37), "")</f>
        <v>Pilar Ang Corpuz</v>
      </c>
      <c r="D326" s="4" t="str" cm="1">
        <f t="array" ref="D326">IFERROR(INDEX(EmployeeData[Department], ROW() - 37), "")</f>
        <v>Sales</v>
      </c>
      <c r="E326" s="4" t="str" cm="1">
        <f t="array" ref="E326">IFERROR(INDEX(EmployeeData[Gender], ROW() - 37), "")</f>
        <v>Other</v>
      </c>
      <c r="F326" s="4" cm="1">
        <f t="array" ref="F326">IFERROR(INDEX(EmployeeData[Age], ROW() - 37), "")</f>
        <v>52</v>
      </c>
      <c r="G326" s="6" cm="1">
        <f t="array" ref="G326">IFERROR(INDEX(EmployeeData[Join Date], ROW() - 37), "")</f>
        <v>43660</v>
      </c>
      <c r="H326" s="6" cm="1">
        <f t="array" ref="H326">IFERROR(IF(INDEX(EmployeeData[Exit Date], ROW() - 37)=0, "",INDEX(EmployeeData[Exit Date], ROW() - 37)),"")</f>
        <v>45322</v>
      </c>
      <c r="I326" s="4" t="str" cm="1">
        <f t="array" ref="I326">IFERROR(IF(INDEX(EmployeeData[Exit Reason], ROW() - 37)=0, "",INDEX(EmployeeData[Exit Reason], ROW() - 37)),"")</f>
        <v>Contract End</v>
      </c>
      <c r="J326" s="4" t="str" cm="1">
        <f t="array" ref="J326">IFERROR(INDEX(EmployeeData[Status], ROW() - 37), "")</f>
        <v>Exited</v>
      </c>
    </row>
    <row r="327" spans="2:10" ht="19.95" customHeight="1" x14ac:dyDescent="0.3">
      <c r="B327" s="4" cm="1">
        <f t="array" ref="B327">IFERROR(INDEX(EmployeeData[Employee ID], ROW() - 37), "")</f>
        <v>1290</v>
      </c>
      <c r="C327" s="4" t="str" cm="1">
        <f t="array" ref="C327">IFERROR(INDEX(EmployeeData[Full Name], ROW() - 37), "")</f>
        <v>Antonio Ramirez Chua</v>
      </c>
      <c r="D327" s="4" t="str" cm="1">
        <f t="array" ref="D327">IFERROR(INDEX(EmployeeData[Department], ROW() - 37), "")</f>
        <v>IT</v>
      </c>
      <c r="E327" s="4" t="str" cm="1">
        <f t="array" ref="E327">IFERROR(INDEX(EmployeeData[Gender], ROW() - 37), "")</f>
        <v>Other</v>
      </c>
      <c r="F327" s="4" cm="1">
        <f t="array" ref="F327">IFERROR(INDEX(EmployeeData[Age], ROW() - 37), "")</f>
        <v>52</v>
      </c>
      <c r="G327" s="6" cm="1">
        <f t="array" ref="G327">IFERROR(INDEX(EmployeeData[Join Date], ROW() - 37), "")</f>
        <v>43786</v>
      </c>
      <c r="H327" s="6" cm="1">
        <f t="array" ref="H327">IFERROR(IF(INDEX(EmployeeData[Exit Date], ROW() - 37)=0, "",INDEX(EmployeeData[Exit Date], ROW() - 37)),"")</f>
        <v>44002</v>
      </c>
      <c r="I327" s="4" t="str" cm="1">
        <f t="array" ref="I327">IFERROR(IF(INDEX(EmployeeData[Exit Reason], ROW() - 37)=0, "",INDEX(EmployeeData[Exit Reason], ROW() - 37)),"")</f>
        <v>Resignation</v>
      </c>
      <c r="J327" s="4" t="str" cm="1">
        <f t="array" ref="J327">IFERROR(INDEX(EmployeeData[Status], ROW() - 37), "")</f>
        <v>Exited</v>
      </c>
    </row>
    <row r="328" spans="2:10" ht="19.95" customHeight="1" x14ac:dyDescent="0.3">
      <c r="B328" s="4" cm="1">
        <f t="array" ref="B328">IFERROR(INDEX(EmployeeData[Employee ID], ROW() - 37), "")</f>
        <v>1291</v>
      </c>
      <c r="C328" s="4" t="str" cm="1">
        <f t="array" ref="C328">IFERROR(INDEX(EmployeeData[Full Name], ROW() - 37), "")</f>
        <v>Jessa Torres Hilario</v>
      </c>
      <c r="D328" s="4" t="str" cm="1">
        <f t="array" ref="D328">IFERROR(INDEX(EmployeeData[Department], ROW() - 37), "")</f>
        <v>Marketing</v>
      </c>
      <c r="E328" s="4" t="str" cm="1">
        <f t="array" ref="E328">IFERROR(INDEX(EmployeeData[Gender], ROW() - 37), "")</f>
        <v>Female</v>
      </c>
      <c r="F328" s="4" cm="1">
        <f t="array" ref="F328">IFERROR(INDEX(EmployeeData[Age], ROW() - 37), "")</f>
        <v>50</v>
      </c>
      <c r="G328" s="6" cm="1">
        <f t="array" ref="G328">IFERROR(INDEX(EmployeeData[Join Date], ROW() - 37), "")</f>
        <v>45417</v>
      </c>
      <c r="H328" s="6" t="str" cm="1">
        <f t="array" ref="H328">IFERROR(IF(INDEX(EmployeeData[Exit Date], ROW() - 37)=0, "",INDEX(EmployeeData[Exit Date], ROW() - 37)),"")</f>
        <v/>
      </c>
      <c r="I328" s="4" t="str" cm="1">
        <f t="array" ref="I328">IFERROR(IF(INDEX(EmployeeData[Exit Reason], ROW() - 37)=0, "",INDEX(EmployeeData[Exit Reason], ROW() - 37)),"")</f>
        <v/>
      </c>
      <c r="J328" s="4" t="str" cm="1">
        <f t="array" ref="J328">IFERROR(INDEX(EmployeeData[Status], ROW() - 37), "")</f>
        <v>Active</v>
      </c>
    </row>
    <row r="329" spans="2:10" ht="19.95" customHeight="1" x14ac:dyDescent="0.3">
      <c r="B329" s="4" cm="1">
        <f t="array" ref="B329">IFERROR(INDEX(EmployeeData[Employee ID], ROW() - 37), "")</f>
        <v>1292</v>
      </c>
      <c r="C329" s="4" t="str" cm="1">
        <f t="array" ref="C329">IFERROR(INDEX(EmployeeData[Full Name], ROW() - 37), "")</f>
        <v>Eduardo Flores Obispo</v>
      </c>
      <c r="D329" s="4" t="str" cm="1">
        <f t="array" ref="D329">IFERROR(INDEX(EmployeeData[Department], ROW() - 37), "")</f>
        <v>IT</v>
      </c>
      <c r="E329" s="4" t="str" cm="1">
        <f t="array" ref="E329">IFERROR(INDEX(EmployeeData[Gender], ROW() - 37), "")</f>
        <v>Male</v>
      </c>
      <c r="F329" s="4" cm="1">
        <f t="array" ref="F329">IFERROR(INDEX(EmployeeData[Age], ROW() - 37), "")</f>
        <v>44</v>
      </c>
      <c r="G329" s="6" cm="1">
        <f t="array" ref="G329">IFERROR(INDEX(EmployeeData[Join Date], ROW() - 37), "")</f>
        <v>45321</v>
      </c>
      <c r="H329" s="6" t="str" cm="1">
        <f t="array" ref="H329">IFERROR(IF(INDEX(EmployeeData[Exit Date], ROW() - 37)=0, "",INDEX(EmployeeData[Exit Date], ROW() - 37)),"")</f>
        <v/>
      </c>
      <c r="I329" s="4" t="str" cm="1">
        <f t="array" ref="I329">IFERROR(IF(INDEX(EmployeeData[Exit Reason], ROW() - 37)=0, "",INDEX(EmployeeData[Exit Reason], ROW() - 37)),"")</f>
        <v/>
      </c>
      <c r="J329" s="4" t="str" cm="1">
        <f t="array" ref="J329">IFERROR(INDEX(EmployeeData[Status], ROW() - 37), "")</f>
        <v>Active</v>
      </c>
    </row>
    <row r="330" spans="2:10" ht="19.95" customHeight="1" x14ac:dyDescent="0.3">
      <c r="B330" s="4" cm="1">
        <f t="array" ref="B330">IFERROR(INDEX(EmployeeData[Employee ID], ROW() - 37), "")</f>
        <v>1293</v>
      </c>
      <c r="C330" s="4" t="str" cm="1">
        <f t="array" ref="C330">IFERROR(INDEX(EmployeeData[Full Name], ROW() - 37), "")</f>
        <v>Carmen Garcia Natividad</v>
      </c>
      <c r="D330" s="4" t="str" cm="1">
        <f t="array" ref="D330">IFERROR(INDEX(EmployeeData[Department], ROW() - 37), "")</f>
        <v>Finance</v>
      </c>
      <c r="E330" s="4" t="str" cm="1">
        <f t="array" ref="E330">IFERROR(INDEX(EmployeeData[Gender], ROW() - 37), "")</f>
        <v>Female</v>
      </c>
      <c r="F330" s="4" cm="1">
        <f t="array" ref="F330">IFERROR(INDEX(EmployeeData[Age], ROW() - 37), "")</f>
        <v>36</v>
      </c>
      <c r="G330" s="6" cm="1">
        <f t="array" ref="G330">IFERROR(INDEX(EmployeeData[Join Date], ROW() - 37), "")</f>
        <v>44320</v>
      </c>
      <c r="H330" s="6" t="str" cm="1">
        <f t="array" ref="H330">IFERROR(IF(INDEX(EmployeeData[Exit Date], ROW() - 37)=0, "",INDEX(EmployeeData[Exit Date], ROW() - 37)),"")</f>
        <v/>
      </c>
      <c r="I330" s="4" t="str" cm="1">
        <f t="array" ref="I330">IFERROR(IF(INDEX(EmployeeData[Exit Reason], ROW() - 37)=0, "",INDEX(EmployeeData[Exit Reason], ROW() - 37)),"")</f>
        <v/>
      </c>
      <c r="J330" s="4" t="str" cm="1">
        <f t="array" ref="J330">IFERROR(INDEX(EmployeeData[Status], ROW() - 37), "")</f>
        <v>Active</v>
      </c>
    </row>
    <row r="331" spans="2:10" ht="19.95" customHeight="1" x14ac:dyDescent="0.3">
      <c r="B331" s="4" cm="1">
        <f t="array" ref="B331">IFERROR(INDEX(EmployeeData[Employee ID], ROW() - 37), "")</f>
        <v>1294</v>
      </c>
      <c r="C331" s="4" t="str" cm="1">
        <f t="array" ref="C331">IFERROR(INDEX(EmployeeData[Full Name], ROW() - 37), "")</f>
        <v>Lourdes Sy Hernandez</v>
      </c>
      <c r="D331" s="4" t="str" cm="1">
        <f t="array" ref="D331">IFERROR(INDEX(EmployeeData[Department], ROW() - 37), "")</f>
        <v>IT</v>
      </c>
      <c r="E331" s="4" t="str" cm="1">
        <f t="array" ref="E331">IFERROR(INDEX(EmployeeData[Gender], ROW() - 37), "")</f>
        <v>Other</v>
      </c>
      <c r="F331" s="4" cm="1">
        <f t="array" ref="F331">IFERROR(INDEX(EmployeeData[Age], ROW() - 37), "")</f>
        <v>36</v>
      </c>
      <c r="G331" s="6" cm="1">
        <f t="array" ref="G331">IFERROR(INDEX(EmployeeData[Join Date], ROW() - 37), "")</f>
        <v>43960</v>
      </c>
      <c r="H331" s="6" t="str" cm="1">
        <f t="array" ref="H331">IFERROR(IF(INDEX(EmployeeData[Exit Date], ROW() - 37)=0, "",INDEX(EmployeeData[Exit Date], ROW() - 37)),"")</f>
        <v/>
      </c>
      <c r="I331" s="4" t="str" cm="1">
        <f t="array" ref="I331">IFERROR(IF(INDEX(EmployeeData[Exit Reason], ROW() - 37)=0, "",INDEX(EmployeeData[Exit Reason], ROW() - 37)),"")</f>
        <v/>
      </c>
      <c r="J331" s="4" t="str" cm="1">
        <f t="array" ref="J331">IFERROR(INDEX(EmployeeData[Status], ROW() - 37), "")</f>
        <v>Active</v>
      </c>
    </row>
    <row r="332" spans="2:10" ht="19.95" customHeight="1" x14ac:dyDescent="0.3">
      <c r="B332" s="4" cm="1">
        <f t="array" ref="B332">IFERROR(INDEX(EmployeeData[Employee ID], ROW() - 37), "")</f>
        <v>1295</v>
      </c>
      <c r="C332" s="4" t="str" cm="1">
        <f t="array" ref="C332">IFERROR(INDEX(EmployeeData[Full Name], ROW() - 37), "")</f>
        <v>Tess Lopez Manalang</v>
      </c>
      <c r="D332" s="4" t="str" cm="1">
        <f t="array" ref="D332">IFERROR(INDEX(EmployeeData[Department], ROW() - 37), "")</f>
        <v>Customer Support</v>
      </c>
      <c r="E332" s="4" t="str" cm="1">
        <f t="array" ref="E332">IFERROR(INDEX(EmployeeData[Gender], ROW() - 37), "")</f>
        <v>Female</v>
      </c>
      <c r="F332" s="4" cm="1">
        <f t="array" ref="F332">IFERROR(INDEX(EmployeeData[Age], ROW() - 37), "")</f>
        <v>34</v>
      </c>
      <c r="G332" s="6" cm="1">
        <f t="array" ref="G332">IFERROR(INDEX(EmployeeData[Join Date], ROW() - 37), "")</f>
        <v>43948</v>
      </c>
      <c r="H332" s="6" t="str" cm="1">
        <f t="array" ref="H332">IFERROR(IF(INDEX(EmployeeData[Exit Date], ROW() - 37)=0, "",INDEX(EmployeeData[Exit Date], ROW() - 37)),"")</f>
        <v/>
      </c>
      <c r="I332" s="4" t="str" cm="1">
        <f t="array" ref="I332">IFERROR(IF(INDEX(EmployeeData[Exit Reason], ROW() - 37)=0, "",INDEX(EmployeeData[Exit Reason], ROW() - 37)),"")</f>
        <v/>
      </c>
      <c r="J332" s="4" t="str" cm="1">
        <f t="array" ref="J332">IFERROR(INDEX(EmployeeData[Status], ROW() - 37), "")</f>
        <v>Active</v>
      </c>
    </row>
    <row r="333" spans="2:10" ht="19.95" customHeight="1" x14ac:dyDescent="0.3">
      <c r="B333" s="4" cm="1">
        <f t="array" ref="B333">IFERROR(INDEX(EmployeeData[Employee ID], ROW() - 37), "")</f>
        <v>1296</v>
      </c>
      <c r="C333" s="4" t="str" cm="1">
        <f t="array" ref="C333">IFERROR(INDEX(EmployeeData[Full Name], ROW() - 37), "")</f>
        <v>Taylor Ramirez</v>
      </c>
      <c r="D333" s="4" t="str" cm="1">
        <f t="array" ref="D333">IFERROR(INDEX(EmployeeData[Department], ROW() - 37), "")</f>
        <v>IT</v>
      </c>
      <c r="E333" s="4" t="str" cm="1">
        <f t="array" ref="E333">IFERROR(INDEX(EmployeeData[Gender], ROW() - 37), "")</f>
        <v>Other</v>
      </c>
      <c r="F333" s="4" cm="1">
        <f t="array" ref="F333">IFERROR(INDEX(EmployeeData[Age], ROW() - 37), "")</f>
        <v>39</v>
      </c>
      <c r="G333" s="6" cm="1">
        <f t="array" ref="G333">IFERROR(INDEX(EmployeeData[Join Date], ROW() - 37), "")</f>
        <v>45446</v>
      </c>
      <c r="H333" s="6" cm="1">
        <f t="array" ref="H333">IFERROR(IF(INDEX(EmployeeData[Exit Date], ROW() - 37)=0, "",INDEX(EmployeeData[Exit Date], ROW() - 37)),"")</f>
        <v>46062</v>
      </c>
      <c r="I333" s="4" t="str" cm="1">
        <f t="array" ref="I333">IFERROR(IF(INDEX(EmployeeData[Exit Reason], ROW() - 37)=0, "",INDEX(EmployeeData[Exit Reason], ROW() - 37)),"")</f>
        <v>Contract End</v>
      </c>
      <c r="J333" s="4" t="str" cm="1">
        <f t="array" ref="J333">IFERROR(INDEX(EmployeeData[Status], ROW() - 37), "")</f>
        <v>Exited</v>
      </c>
    </row>
    <row r="334" spans="2:10" ht="19.95" customHeight="1" x14ac:dyDescent="0.3">
      <c r="B334" s="4" cm="1">
        <f t="array" ref="B334">IFERROR(INDEX(EmployeeData[Employee ID], ROW() - 37), "")</f>
        <v>1297</v>
      </c>
      <c r="C334" s="4" t="str" cm="1">
        <f t="array" ref="C334">IFERROR(INDEX(EmployeeData[Full Name], ROW() - 37), "")</f>
        <v>Eduardo Fernandez Figueroa</v>
      </c>
      <c r="D334" s="4" t="str" cm="1">
        <f t="array" ref="D334">IFERROR(INDEX(EmployeeData[Department], ROW() - 37), "")</f>
        <v>Sales</v>
      </c>
      <c r="E334" s="4" t="str" cm="1">
        <f t="array" ref="E334">IFERROR(INDEX(EmployeeData[Gender], ROW() - 37), "")</f>
        <v>Other</v>
      </c>
      <c r="F334" s="4" cm="1">
        <f t="array" ref="F334">IFERROR(INDEX(EmployeeData[Age], ROW() - 37), "")</f>
        <v>60</v>
      </c>
      <c r="G334" s="6" cm="1">
        <f t="array" ref="G334">IFERROR(INDEX(EmployeeData[Join Date], ROW() - 37), "")</f>
        <v>45787</v>
      </c>
      <c r="H334" s="6" cm="1">
        <f t="array" ref="H334">IFERROR(IF(INDEX(EmployeeData[Exit Date], ROW() - 37)=0, "",INDEX(EmployeeData[Exit Date], ROW() - 37)),"")</f>
        <v>45944</v>
      </c>
      <c r="I334" s="4" t="str" cm="1">
        <f t="array" ref="I334">IFERROR(IF(INDEX(EmployeeData[Exit Reason], ROW() - 37)=0, "",INDEX(EmployeeData[Exit Reason], ROW() - 37)),"")</f>
        <v>Retirement</v>
      </c>
      <c r="J334" s="4" t="str" cm="1">
        <f t="array" ref="J334">IFERROR(INDEX(EmployeeData[Status], ROW() - 37), "")</f>
        <v>Exited</v>
      </c>
    </row>
    <row r="335" spans="2:10" ht="19.95" customHeight="1" x14ac:dyDescent="0.3">
      <c r="B335" s="4" cm="1">
        <f t="array" ref="B335">IFERROR(INDEX(EmployeeData[Employee ID], ROW() - 37), "")</f>
        <v>1298</v>
      </c>
      <c r="C335" s="4" t="str" cm="1">
        <f t="array" ref="C335">IFERROR(INDEX(EmployeeData[Full Name], ROW() - 37), "")</f>
        <v>Maricel Aguilar Vergara</v>
      </c>
      <c r="D335" s="4" t="str" cm="1">
        <f t="array" ref="D335">IFERROR(INDEX(EmployeeData[Department], ROW() - 37), "")</f>
        <v>Marketing</v>
      </c>
      <c r="E335" s="4" t="str" cm="1">
        <f t="array" ref="E335">IFERROR(INDEX(EmployeeData[Gender], ROW() - 37), "")</f>
        <v>Female</v>
      </c>
      <c r="F335" s="4" cm="1">
        <f t="array" ref="F335">IFERROR(INDEX(EmployeeData[Age], ROW() - 37), "")</f>
        <v>47</v>
      </c>
      <c r="G335" s="6" cm="1">
        <f t="array" ref="G335">IFERROR(INDEX(EmployeeData[Join Date], ROW() - 37), "")</f>
        <v>44637</v>
      </c>
      <c r="H335" s="6" t="str" cm="1">
        <f t="array" ref="H335">IFERROR(IF(INDEX(EmployeeData[Exit Date], ROW() - 37)=0, "",INDEX(EmployeeData[Exit Date], ROW() - 37)),"")</f>
        <v/>
      </c>
      <c r="I335" s="4" t="str" cm="1">
        <f t="array" ref="I335">IFERROR(IF(INDEX(EmployeeData[Exit Reason], ROW() - 37)=0, "",INDEX(EmployeeData[Exit Reason], ROW() - 37)),"")</f>
        <v/>
      </c>
      <c r="J335" s="4" t="str" cm="1">
        <f t="array" ref="J335">IFERROR(INDEX(EmployeeData[Status], ROW() - 37), "")</f>
        <v>Active</v>
      </c>
    </row>
    <row r="336" spans="2:10" ht="19.95" customHeight="1" x14ac:dyDescent="0.3">
      <c r="B336" s="4" cm="1">
        <f t="array" ref="B336">IFERROR(INDEX(EmployeeData[Employee ID], ROW() - 37), "")</f>
        <v>1299</v>
      </c>
      <c r="C336" s="4" t="str" cm="1">
        <f t="array" ref="C336">IFERROR(INDEX(EmployeeData[Full Name], ROW() - 37), "")</f>
        <v>Casey Dela Torre</v>
      </c>
      <c r="D336" s="4" t="str" cm="1">
        <f t="array" ref="D336">IFERROR(INDEX(EmployeeData[Department], ROW() - 37), "")</f>
        <v>HR</v>
      </c>
      <c r="E336" s="4" t="str" cm="1">
        <f t="array" ref="E336">IFERROR(INDEX(EmployeeData[Gender], ROW() - 37), "")</f>
        <v>Other</v>
      </c>
      <c r="F336" s="4" cm="1">
        <f t="array" ref="F336">IFERROR(INDEX(EmployeeData[Age], ROW() - 37), "")</f>
        <v>50</v>
      </c>
      <c r="G336" s="6" cm="1">
        <f t="array" ref="G336">IFERROR(INDEX(EmployeeData[Join Date], ROW() - 37), "")</f>
        <v>45100</v>
      </c>
      <c r="H336" s="6" cm="1">
        <f t="array" ref="H336">IFERROR(IF(INDEX(EmployeeData[Exit Date], ROW() - 37)=0, "",INDEX(EmployeeData[Exit Date], ROW() - 37)),"")</f>
        <v>45192</v>
      </c>
      <c r="I336" s="4" t="str" cm="1">
        <f t="array" ref="I336">IFERROR(IF(INDEX(EmployeeData[Exit Reason], ROW() - 37)=0, "",INDEX(EmployeeData[Exit Reason], ROW() - 37)),"")</f>
        <v>Resignation</v>
      </c>
      <c r="J336" s="4" t="str" cm="1">
        <f t="array" ref="J336">IFERROR(INDEX(EmployeeData[Status], ROW() - 37), "")</f>
        <v>Exited</v>
      </c>
    </row>
    <row r="337" spans="2:10" ht="19.95" customHeight="1" x14ac:dyDescent="0.3">
      <c r="B337" s="4" cm="1">
        <f t="array" ref="B337">IFERROR(INDEX(EmployeeData[Employee ID], ROW() - 37), "")</f>
        <v>1300</v>
      </c>
      <c r="C337" s="4" t="str" cm="1">
        <f t="array" ref="C337">IFERROR(INDEX(EmployeeData[Full Name], ROW() - 37), "")</f>
        <v>Rosa Navarro Rivera</v>
      </c>
      <c r="D337" s="4" t="str" cm="1">
        <f t="array" ref="D337">IFERROR(INDEX(EmployeeData[Department], ROW() - 37), "")</f>
        <v>Marketing</v>
      </c>
      <c r="E337" s="4" t="str" cm="1">
        <f t="array" ref="E337">IFERROR(INDEX(EmployeeData[Gender], ROW() - 37), "")</f>
        <v>Other</v>
      </c>
      <c r="F337" s="4" cm="1">
        <f t="array" ref="F337">IFERROR(INDEX(EmployeeData[Age], ROW() - 37), "")</f>
        <v>25</v>
      </c>
      <c r="G337" s="6" cm="1">
        <f t="array" ref="G337">IFERROR(INDEX(EmployeeData[Join Date], ROW() - 37), "")</f>
        <v>45290</v>
      </c>
      <c r="H337" s="6" t="str" cm="1">
        <f t="array" ref="H337">IFERROR(IF(INDEX(EmployeeData[Exit Date], ROW() - 37)=0, "",INDEX(EmployeeData[Exit Date], ROW() - 37)),"")</f>
        <v/>
      </c>
      <c r="I337" s="4" t="str" cm="1">
        <f t="array" ref="I337">IFERROR(IF(INDEX(EmployeeData[Exit Reason], ROW() - 37)=0, "",INDEX(EmployeeData[Exit Reason], ROW() - 37)),"")</f>
        <v/>
      </c>
      <c r="J337" s="4" t="str" cm="1">
        <f t="array" ref="J337">IFERROR(INDEX(EmployeeData[Status], ROW() - 37), "")</f>
        <v>Active</v>
      </c>
    </row>
    <row r="338" spans="2:10" ht="19.95" customHeight="1" x14ac:dyDescent="0.3">
      <c r="B338" s="4" cm="1">
        <f t="array" ref="B338">IFERROR(INDEX(EmployeeData[Employee ID], ROW() - 37), "")</f>
        <v>1301</v>
      </c>
      <c r="C338" s="4" t="str" cm="1">
        <f t="array" ref="C338">IFERROR(INDEX(EmployeeData[Full Name], ROW() - 37), "")</f>
        <v>Gani Buenaventura</v>
      </c>
      <c r="D338" s="4" t="str" cm="1">
        <f t="array" ref="D338">IFERROR(INDEX(EmployeeData[Department], ROW() - 37), "")</f>
        <v>Sales</v>
      </c>
      <c r="E338" s="4" t="str" cm="1">
        <f t="array" ref="E338">IFERROR(INDEX(EmployeeData[Gender], ROW() - 37), "")</f>
        <v>Male</v>
      </c>
      <c r="F338" s="4" cm="1">
        <f t="array" ref="F338">IFERROR(INDEX(EmployeeData[Age], ROW() - 37), "")</f>
        <v>57</v>
      </c>
      <c r="G338" s="6" cm="1">
        <f t="array" ref="G338">IFERROR(INDEX(EmployeeData[Join Date], ROW() - 37), "")</f>
        <v>43635</v>
      </c>
      <c r="H338" s="6" t="str" cm="1">
        <f t="array" ref="H338">IFERROR(IF(INDEX(EmployeeData[Exit Date], ROW() - 37)=0, "",INDEX(EmployeeData[Exit Date], ROW() - 37)),"")</f>
        <v/>
      </c>
      <c r="I338" s="4" t="str" cm="1">
        <f t="array" ref="I338">IFERROR(IF(INDEX(EmployeeData[Exit Reason], ROW() - 37)=0, "",INDEX(EmployeeData[Exit Reason], ROW() - 37)),"")</f>
        <v/>
      </c>
      <c r="J338" s="4" t="str" cm="1">
        <f t="array" ref="J338">IFERROR(INDEX(EmployeeData[Status], ROW() - 37), "")</f>
        <v>Active</v>
      </c>
    </row>
    <row r="339" spans="2:10" ht="19.95" customHeight="1" x14ac:dyDescent="0.3">
      <c r="B339" s="4" cm="1">
        <f t="array" ref="B339">IFERROR(INDEX(EmployeeData[Employee ID], ROW() - 37), "")</f>
        <v>1302</v>
      </c>
      <c r="C339" s="4" t="str" cm="1">
        <f t="array" ref="C339">IFERROR(INDEX(EmployeeData[Full Name], ROW() - 37), "")</f>
        <v>Maria Ramos Estrada</v>
      </c>
      <c r="D339" s="4" t="str" cm="1">
        <f t="array" ref="D339">IFERROR(INDEX(EmployeeData[Department], ROW() - 37), "")</f>
        <v>HR</v>
      </c>
      <c r="E339" s="4" t="str" cm="1">
        <f t="array" ref="E339">IFERROR(INDEX(EmployeeData[Gender], ROW() - 37), "")</f>
        <v>Female</v>
      </c>
      <c r="F339" s="4" cm="1">
        <f t="array" ref="F339">IFERROR(INDEX(EmployeeData[Age], ROW() - 37), "")</f>
        <v>50</v>
      </c>
      <c r="G339" s="6" cm="1">
        <f t="array" ref="G339">IFERROR(INDEX(EmployeeData[Join Date], ROW() - 37), "")</f>
        <v>43167</v>
      </c>
      <c r="H339" s="6" cm="1">
        <f t="array" ref="H339">IFERROR(IF(INDEX(EmployeeData[Exit Date], ROW() - 37)=0, "",INDEX(EmployeeData[Exit Date], ROW() - 37)),"")</f>
        <v>43904</v>
      </c>
      <c r="I339" s="4" t="str" cm="1">
        <f t="array" ref="I339">IFERROR(IF(INDEX(EmployeeData[Exit Reason], ROW() - 37)=0, "",INDEX(EmployeeData[Exit Reason], ROW() - 37)),"")</f>
        <v>Termination</v>
      </c>
      <c r="J339" s="4" t="str" cm="1">
        <f t="array" ref="J339">IFERROR(INDEX(EmployeeData[Status], ROW() - 37), "")</f>
        <v>Exited</v>
      </c>
    </row>
    <row r="340" spans="2:10" ht="19.95" customHeight="1" x14ac:dyDescent="0.3">
      <c r="B340" s="4" cm="1">
        <f t="array" ref="B340">IFERROR(INDEX(EmployeeData[Employee ID], ROW() - 37), "")</f>
        <v>1303</v>
      </c>
      <c r="C340" s="4" t="str" cm="1">
        <f t="array" ref="C340">IFERROR(INDEX(EmployeeData[Full Name], ROW() - 37), "")</f>
        <v>Violeta Lopez Ramos</v>
      </c>
      <c r="D340" s="4" t="str" cm="1">
        <f t="array" ref="D340">IFERROR(INDEX(EmployeeData[Department], ROW() - 37), "")</f>
        <v>Sales</v>
      </c>
      <c r="E340" s="4" t="str" cm="1">
        <f t="array" ref="E340">IFERROR(INDEX(EmployeeData[Gender], ROW() - 37), "")</f>
        <v>Female</v>
      </c>
      <c r="F340" s="4" cm="1">
        <f t="array" ref="F340">IFERROR(INDEX(EmployeeData[Age], ROW() - 37), "")</f>
        <v>38</v>
      </c>
      <c r="G340" s="6" cm="1">
        <f t="array" ref="G340">IFERROR(INDEX(EmployeeData[Join Date], ROW() - 37), "")</f>
        <v>43483</v>
      </c>
      <c r="H340" s="6" t="str" cm="1">
        <f t="array" ref="H340">IFERROR(IF(INDEX(EmployeeData[Exit Date], ROW() - 37)=0, "",INDEX(EmployeeData[Exit Date], ROW() - 37)),"")</f>
        <v/>
      </c>
      <c r="I340" s="4" t="str" cm="1">
        <f t="array" ref="I340">IFERROR(IF(INDEX(EmployeeData[Exit Reason], ROW() - 37)=0, "",INDEX(EmployeeData[Exit Reason], ROW() - 37)),"")</f>
        <v/>
      </c>
      <c r="J340" s="4" t="str" cm="1">
        <f t="array" ref="J340">IFERROR(INDEX(EmployeeData[Status], ROW() - 37), "")</f>
        <v>Active</v>
      </c>
    </row>
    <row r="341" spans="2:10" ht="19.95" customHeight="1" x14ac:dyDescent="0.3">
      <c r="B341" s="4" cm="1">
        <f t="array" ref="B341">IFERROR(INDEX(EmployeeData[Employee ID], ROW() - 37), "")</f>
        <v>1304</v>
      </c>
      <c r="C341" s="4" t="str" cm="1">
        <f t="array" ref="C341">IFERROR(INDEX(EmployeeData[Full Name], ROW() - 37), "")</f>
        <v>Efren Ocampo Santos</v>
      </c>
      <c r="D341" s="4" t="str" cm="1">
        <f t="array" ref="D341">IFERROR(INDEX(EmployeeData[Department], ROW() - 37), "")</f>
        <v>Customer Support</v>
      </c>
      <c r="E341" s="4" t="str" cm="1">
        <f t="array" ref="E341">IFERROR(INDEX(EmployeeData[Gender], ROW() - 37), "")</f>
        <v>Male</v>
      </c>
      <c r="F341" s="4" cm="1">
        <f t="array" ref="F341">IFERROR(INDEX(EmployeeData[Age], ROW() - 37), "")</f>
        <v>35</v>
      </c>
      <c r="G341" s="6" cm="1">
        <f t="array" ref="G341">IFERROR(INDEX(EmployeeData[Join Date], ROW() - 37), "")</f>
        <v>44859</v>
      </c>
      <c r="H341" s="6" t="str" cm="1">
        <f t="array" ref="H341">IFERROR(IF(INDEX(EmployeeData[Exit Date], ROW() - 37)=0, "",INDEX(EmployeeData[Exit Date], ROW() - 37)),"")</f>
        <v/>
      </c>
      <c r="I341" s="4" t="str" cm="1">
        <f t="array" ref="I341">IFERROR(IF(INDEX(EmployeeData[Exit Reason], ROW() - 37)=0, "",INDEX(EmployeeData[Exit Reason], ROW() - 37)),"")</f>
        <v/>
      </c>
      <c r="J341" s="4" t="str" cm="1">
        <f t="array" ref="J341">IFERROR(INDEX(EmployeeData[Status], ROW() - 37), "")</f>
        <v>Active</v>
      </c>
    </row>
    <row r="342" spans="2:10" ht="19.95" customHeight="1" x14ac:dyDescent="0.3">
      <c r="B342" s="4" cm="1">
        <f t="array" ref="B342">IFERROR(INDEX(EmployeeData[Employee ID], ROW() - 37), "")</f>
        <v>1305</v>
      </c>
      <c r="C342" s="4" t="str" cm="1">
        <f t="array" ref="C342">IFERROR(INDEX(EmployeeData[Full Name], ROW() - 37), "")</f>
        <v>Aileen Ocampo Hernandez</v>
      </c>
      <c r="D342" s="4" t="str" cm="1">
        <f t="array" ref="D342">IFERROR(INDEX(EmployeeData[Department], ROW() - 37), "")</f>
        <v>Customer Support</v>
      </c>
      <c r="E342" s="4" t="str" cm="1">
        <f t="array" ref="E342">IFERROR(INDEX(EmployeeData[Gender], ROW() - 37), "")</f>
        <v>Female</v>
      </c>
      <c r="F342" s="4" cm="1">
        <f t="array" ref="F342">IFERROR(INDEX(EmployeeData[Age], ROW() - 37), "")</f>
        <v>49</v>
      </c>
      <c r="G342" s="6" cm="1">
        <f t="array" ref="G342">IFERROR(INDEX(EmployeeData[Join Date], ROW() - 37), "")</f>
        <v>43139</v>
      </c>
      <c r="H342" s="6" cm="1">
        <f t="array" ref="H342">IFERROR(IF(INDEX(EmployeeData[Exit Date], ROW() - 37)=0, "",INDEX(EmployeeData[Exit Date], ROW() - 37)),"")</f>
        <v>44636</v>
      </c>
      <c r="I342" s="4" t="str" cm="1">
        <f t="array" ref="I342">IFERROR(IF(INDEX(EmployeeData[Exit Reason], ROW() - 37)=0, "",INDEX(EmployeeData[Exit Reason], ROW() - 37)),"")</f>
        <v>Resignation</v>
      </c>
      <c r="J342" s="4" t="str" cm="1">
        <f t="array" ref="J342">IFERROR(INDEX(EmployeeData[Status], ROW() - 37), "")</f>
        <v>Exited</v>
      </c>
    </row>
    <row r="343" spans="2:10" ht="19.95" customHeight="1" x14ac:dyDescent="0.3">
      <c r="B343" s="4" cm="1">
        <f t="array" ref="B343">IFERROR(INDEX(EmployeeData[Employee ID], ROW() - 37), "")</f>
        <v>1306</v>
      </c>
      <c r="C343" s="4" t="str" cm="1">
        <f t="array" ref="C343">IFERROR(INDEX(EmployeeData[Full Name], ROW() - 37), "")</f>
        <v>Corazon Bayani</v>
      </c>
      <c r="D343" s="4" t="str" cm="1">
        <f t="array" ref="D343">IFERROR(INDEX(EmployeeData[Department], ROW() - 37), "")</f>
        <v>Customer Support</v>
      </c>
      <c r="E343" s="4" t="str" cm="1">
        <f t="array" ref="E343">IFERROR(INDEX(EmployeeData[Gender], ROW() - 37), "")</f>
        <v>Female</v>
      </c>
      <c r="F343" s="4" cm="1">
        <f t="array" ref="F343">IFERROR(INDEX(EmployeeData[Age], ROW() - 37), "")</f>
        <v>27</v>
      </c>
      <c r="G343" s="6" cm="1">
        <f t="array" ref="G343">IFERROR(INDEX(EmployeeData[Join Date], ROW() - 37), "")</f>
        <v>43523</v>
      </c>
      <c r="H343" s="6" cm="1">
        <f t="array" ref="H343">IFERROR(IF(INDEX(EmployeeData[Exit Date], ROW() - 37)=0, "",INDEX(EmployeeData[Exit Date], ROW() - 37)),"")</f>
        <v>44838</v>
      </c>
      <c r="I343" s="4" t="str" cm="1">
        <f t="array" ref="I343">IFERROR(IF(INDEX(EmployeeData[Exit Reason], ROW() - 37)=0, "",INDEX(EmployeeData[Exit Reason], ROW() - 37)),"")</f>
        <v>Better Opportunity</v>
      </c>
      <c r="J343" s="4" t="str" cm="1">
        <f t="array" ref="J343">IFERROR(INDEX(EmployeeData[Status], ROW() - 37), "")</f>
        <v>Exited</v>
      </c>
    </row>
    <row r="344" spans="2:10" ht="19.95" customHeight="1" x14ac:dyDescent="0.3">
      <c r="B344" s="4" cm="1">
        <f t="array" ref="B344">IFERROR(INDEX(EmployeeData[Employee ID], ROW() - 37), "")</f>
        <v>1307</v>
      </c>
      <c r="C344" s="4" t="str" cm="1">
        <f t="array" ref="C344">IFERROR(INDEX(EmployeeData[Full Name], ROW() - 37), "")</f>
        <v>Victor Manalang</v>
      </c>
      <c r="D344" s="4" t="str" cm="1">
        <f t="array" ref="D344">IFERROR(INDEX(EmployeeData[Department], ROW() - 37), "")</f>
        <v>Customer Support</v>
      </c>
      <c r="E344" s="4" t="str" cm="1">
        <f t="array" ref="E344">IFERROR(INDEX(EmployeeData[Gender], ROW() - 37), "")</f>
        <v>Male</v>
      </c>
      <c r="F344" s="4" cm="1">
        <f t="array" ref="F344">IFERROR(INDEX(EmployeeData[Age], ROW() - 37), "")</f>
        <v>21</v>
      </c>
      <c r="G344" s="6" cm="1">
        <f t="array" ref="G344">IFERROR(INDEX(EmployeeData[Join Date], ROW() - 37), "")</f>
        <v>45600</v>
      </c>
      <c r="H344" s="6" t="str" cm="1">
        <f t="array" ref="H344">IFERROR(IF(INDEX(EmployeeData[Exit Date], ROW() - 37)=0, "",INDEX(EmployeeData[Exit Date], ROW() - 37)),"")</f>
        <v/>
      </c>
      <c r="I344" s="4" t="str" cm="1">
        <f t="array" ref="I344">IFERROR(IF(INDEX(EmployeeData[Exit Reason], ROW() - 37)=0, "",INDEX(EmployeeData[Exit Reason], ROW() - 37)),"")</f>
        <v/>
      </c>
      <c r="J344" s="4" t="str" cm="1">
        <f t="array" ref="J344">IFERROR(INDEX(EmployeeData[Status], ROW() - 37), "")</f>
        <v>Active</v>
      </c>
    </row>
    <row r="345" spans="2:10" ht="19.95" customHeight="1" x14ac:dyDescent="0.3">
      <c r="B345" s="4" cm="1">
        <f t="array" ref="B345">IFERROR(INDEX(EmployeeData[Employee ID], ROW() - 37), "")</f>
        <v>1308</v>
      </c>
      <c r="C345" s="4" t="str" cm="1">
        <f t="array" ref="C345">IFERROR(INDEX(EmployeeData[Full Name], ROW() - 37), "")</f>
        <v>Ofelia Dela Cruz</v>
      </c>
      <c r="D345" s="4" t="str" cm="1">
        <f t="array" ref="D345">IFERROR(INDEX(EmployeeData[Department], ROW() - 37), "")</f>
        <v>Marketing</v>
      </c>
      <c r="E345" s="4" t="str" cm="1">
        <f t="array" ref="E345">IFERROR(INDEX(EmployeeData[Gender], ROW() - 37), "")</f>
        <v>Female</v>
      </c>
      <c r="F345" s="4" cm="1">
        <f t="array" ref="F345">IFERROR(INDEX(EmployeeData[Age], ROW() - 37), "")</f>
        <v>47</v>
      </c>
      <c r="G345" s="6" cm="1">
        <f t="array" ref="G345">IFERROR(INDEX(EmployeeData[Join Date], ROW() - 37), "")</f>
        <v>45624</v>
      </c>
      <c r="H345" s="6" t="str" cm="1">
        <f t="array" ref="H345">IFERROR(IF(INDEX(EmployeeData[Exit Date], ROW() - 37)=0, "",INDEX(EmployeeData[Exit Date], ROW() - 37)),"")</f>
        <v/>
      </c>
      <c r="I345" s="4" t="str" cm="1">
        <f t="array" ref="I345">IFERROR(IF(INDEX(EmployeeData[Exit Reason], ROW() - 37)=0, "",INDEX(EmployeeData[Exit Reason], ROW() - 37)),"")</f>
        <v/>
      </c>
      <c r="J345" s="4" t="str" cm="1">
        <f t="array" ref="J345">IFERROR(INDEX(EmployeeData[Status], ROW() - 37), "")</f>
        <v>Active</v>
      </c>
    </row>
    <row r="346" spans="2:10" ht="19.95" customHeight="1" x14ac:dyDescent="0.3">
      <c r="B346" s="4" cm="1">
        <f t="array" ref="B346">IFERROR(INDEX(EmployeeData[Employee ID], ROW() - 37), "")</f>
        <v>1309</v>
      </c>
      <c r="C346" s="4" t="str" cm="1">
        <f t="array" ref="C346">IFERROR(INDEX(EmployeeData[Full Name], ROW() - 37), "")</f>
        <v>Hope Garcia Ramirez</v>
      </c>
      <c r="D346" s="4" t="str" cm="1">
        <f t="array" ref="D346">IFERROR(INDEX(EmployeeData[Department], ROW() - 37), "")</f>
        <v>Customer Support</v>
      </c>
      <c r="E346" s="4" t="str" cm="1">
        <f t="array" ref="E346">IFERROR(INDEX(EmployeeData[Gender], ROW() - 37), "")</f>
        <v>Female</v>
      </c>
      <c r="F346" s="4" cm="1">
        <f t="array" ref="F346">IFERROR(INDEX(EmployeeData[Age], ROW() - 37), "")</f>
        <v>45</v>
      </c>
      <c r="G346" s="6" cm="1">
        <f t="array" ref="G346">IFERROR(INDEX(EmployeeData[Join Date], ROW() - 37), "")</f>
        <v>44540</v>
      </c>
      <c r="H346" s="6" t="str" cm="1">
        <f t="array" ref="H346">IFERROR(IF(INDEX(EmployeeData[Exit Date], ROW() - 37)=0, "",INDEX(EmployeeData[Exit Date], ROW() - 37)),"")</f>
        <v/>
      </c>
      <c r="I346" s="4" t="str" cm="1">
        <f t="array" ref="I346">IFERROR(IF(INDEX(EmployeeData[Exit Reason], ROW() - 37)=0, "",INDEX(EmployeeData[Exit Reason], ROW() - 37)),"")</f>
        <v/>
      </c>
      <c r="J346" s="4" t="str" cm="1">
        <f t="array" ref="J346">IFERROR(INDEX(EmployeeData[Status], ROW() - 37), "")</f>
        <v>Active</v>
      </c>
    </row>
    <row r="347" spans="2:10" ht="19.95" customHeight="1" x14ac:dyDescent="0.3">
      <c r="B347" s="4" cm="1">
        <f t="array" ref="B347">IFERROR(INDEX(EmployeeData[Employee ID], ROW() - 37), "")</f>
        <v>1310</v>
      </c>
      <c r="C347" s="4" t="str" cm="1">
        <f t="array" ref="C347">IFERROR(INDEX(EmployeeData[Full Name], ROW() - 37), "")</f>
        <v>Bong Tan Cueto</v>
      </c>
      <c r="D347" s="4" t="str" cm="1">
        <f t="array" ref="D347">IFERROR(INDEX(EmployeeData[Department], ROW() - 37), "")</f>
        <v>IT</v>
      </c>
      <c r="E347" s="4" t="str" cm="1">
        <f t="array" ref="E347">IFERROR(INDEX(EmployeeData[Gender], ROW() - 37), "")</f>
        <v>Male</v>
      </c>
      <c r="F347" s="4" cm="1">
        <f t="array" ref="F347">IFERROR(INDEX(EmployeeData[Age], ROW() - 37), "")</f>
        <v>39</v>
      </c>
      <c r="G347" s="6" cm="1">
        <f t="array" ref="G347">IFERROR(INDEX(EmployeeData[Join Date], ROW() - 37), "")</f>
        <v>45929</v>
      </c>
      <c r="H347" s="6" cm="1">
        <f t="array" ref="H347">IFERROR(IF(INDEX(EmployeeData[Exit Date], ROW() - 37)=0, "",INDEX(EmployeeData[Exit Date], ROW() - 37)),"")</f>
        <v>46096</v>
      </c>
      <c r="I347" s="4" t="str" cm="1">
        <f t="array" ref="I347">IFERROR(IF(INDEX(EmployeeData[Exit Reason], ROW() - 37)=0, "",INDEX(EmployeeData[Exit Reason], ROW() - 37)),"")</f>
        <v>Better Opportunity</v>
      </c>
      <c r="J347" s="4" t="str" cm="1">
        <f t="array" ref="J347">IFERROR(INDEX(EmployeeData[Status], ROW() - 37), "")</f>
        <v>Exited</v>
      </c>
    </row>
    <row r="348" spans="2:10" ht="19.95" customHeight="1" x14ac:dyDescent="0.3">
      <c r="B348" s="4" cm="1">
        <f t="array" ref="B348">IFERROR(INDEX(EmployeeData[Employee ID], ROW() - 37), "")</f>
        <v>1311</v>
      </c>
      <c r="C348" s="4" t="str" cm="1">
        <f t="array" ref="C348">IFERROR(INDEX(EmployeeData[Full Name], ROW() - 37), "")</f>
        <v>Rosalinda Zamora</v>
      </c>
      <c r="D348" s="4" t="str" cm="1">
        <f t="array" ref="D348">IFERROR(INDEX(EmployeeData[Department], ROW() - 37), "")</f>
        <v>IT</v>
      </c>
      <c r="E348" s="4" t="str" cm="1">
        <f t="array" ref="E348">IFERROR(INDEX(EmployeeData[Gender], ROW() - 37), "")</f>
        <v>Female</v>
      </c>
      <c r="F348" s="4" cm="1">
        <f t="array" ref="F348">IFERROR(INDEX(EmployeeData[Age], ROW() - 37), "")</f>
        <v>36</v>
      </c>
      <c r="G348" s="6" cm="1">
        <f t="array" ref="G348">IFERROR(INDEX(EmployeeData[Join Date], ROW() - 37), "")</f>
        <v>45128</v>
      </c>
      <c r="H348" s="6" t="str" cm="1">
        <f t="array" ref="H348">IFERROR(IF(INDEX(EmployeeData[Exit Date], ROW() - 37)=0, "",INDEX(EmployeeData[Exit Date], ROW() - 37)),"")</f>
        <v/>
      </c>
      <c r="I348" s="4" t="str" cm="1">
        <f t="array" ref="I348">IFERROR(IF(INDEX(EmployeeData[Exit Reason], ROW() - 37)=0, "",INDEX(EmployeeData[Exit Reason], ROW() - 37)),"")</f>
        <v/>
      </c>
      <c r="J348" s="4" t="str" cm="1">
        <f t="array" ref="J348">IFERROR(INDEX(EmployeeData[Status], ROW() - 37), "")</f>
        <v>Active</v>
      </c>
    </row>
    <row r="349" spans="2:10" ht="19.95" customHeight="1" x14ac:dyDescent="0.3">
      <c r="B349" s="4" cm="1">
        <f t="array" ref="B349">IFERROR(INDEX(EmployeeData[Employee ID], ROW() - 37), "")</f>
        <v>1312</v>
      </c>
      <c r="C349" s="4" t="str" cm="1">
        <f t="array" ref="C349">IFERROR(INDEX(EmployeeData[Full Name], ROW() - 37), "")</f>
        <v>Avery Salazar</v>
      </c>
      <c r="D349" s="4" t="str" cm="1">
        <f t="array" ref="D349">IFERROR(INDEX(EmployeeData[Department], ROW() - 37), "")</f>
        <v>Customer Support</v>
      </c>
      <c r="E349" s="4" t="str" cm="1">
        <f t="array" ref="E349">IFERROR(INDEX(EmployeeData[Gender], ROW() - 37), "")</f>
        <v>Other</v>
      </c>
      <c r="F349" s="4" cm="1">
        <f t="array" ref="F349">IFERROR(INDEX(EmployeeData[Age], ROW() - 37), "")</f>
        <v>21</v>
      </c>
      <c r="G349" s="6" cm="1">
        <f t="array" ref="G349">IFERROR(INDEX(EmployeeData[Join Date], ROW() - 37), "")</f>
        <v>44580</v>
      </c>
      <c r="H349" s="6" t="str" cm="1">
        <f t="array" ref="H349">IFERROR(IF(INDEX(EmployeeData[Exit Date], ROW() - 37)=0, "",INDEX(EmployeeData[Exit Date], ROW() - 37)),"")</f>
        <v/>
      </c>
      <c r="I349" s="4" t="str" cm="1">
        <f t="array" ref="I349">IFERROR(IF(INDEX(EmployeeData[Exit Reason], ROW() - 37)=0, "",INDEX(EmployeeData[Exit Reason], ROW() - 37)),"")</f>
        <v/>
      </c>
      <c r="J349" s="4" t="str" cm="1">
        <f t="array" ref="J349">IFERROR(INDEX(EmployeeData[Status], ROW() - 37), "")</f>
        <v>Active</v>
      </c>
    </row>
    <row r="350" spans="2:10" ht="19.95" customHeight="1" x14ac:dyDescent="0.3">
      <c r="B350" s="4" cm="1">
        <f t="array" ref="B350">IFERROR(INDEX(EmployeeData[Employee ID], ROW() - 37), "")</f>
        <v>1313</v>
      </c>
      <c r="C350" s="4" t="str" cm="1">
        <f t="array" ref="C350">IFERROR(INDEX(EmployeeData[Full Name], ROW() - 37), "")</f>
        <v>Manuel Santos Cruz</v>
      </c>
      <c r="D350" s="4" t="str" cm="1">
        <f t="array" ref="D350">IFERROR(INDEX(EmployeeData[Department], ROW() - 37), "")</f>
        <v>Marketing</v>
      </c>
      <c r="E350" s="4" t="str" cm="1">
        <f t="array" ref="E350">IFERROR(INDEX(EmployeeData[Gender], ROW() - 37), "")</f>
        <v>Male</v>
      </c>
      <c r="F350" s="4" cm="1">
        <f t="array" ref="F350">IFERROR(INDEX(EmployeeData[Age], ROW() - 37), "")</f>
        <v>32</v>
      </c>
      <c r="G350" s="6" cm="1">
        <f t="array" ref="G350">IFERROR(INDEX(EmployeeData[Join Date], ROW() - 37), "")</f>
        <v>45030</v>
      </c>
      <c r="H350" s="6" t="str" cm="1">
        <f t="array" ref="H350">IFERROR(IF(INDEX(EmployeeData[Exit Date], ROW() - 37)=0, "",INDEX(EmployeeData[Exit Date], ROW() - 37)),"")</f>
        <v/>
      </c>
      <c r="I350" s="4" t="str" cm="1">
        <f t="array" ref="I350">IFERROR(IF(INDEX(EmployeeData[Exit Reason], ROW() - 37)=0, "",INDEX(EmployeeData[Exit Reason], ROW() - 37)),"")</f>
        <v/>
      </c>
      <c r="J350" s="4" t="str" cm="1">
        <f t="array" ref="J350">IFERROR(INDEX(EmployeeData[Status], ROW() - 37), "")</f>
        <v>Active</v>
      </c>
    </row>
    <row r="351" spans="2:10" ht="19.95" customHeight="1" x14ac:dyDescent="0.3">
      <c r="B351" s="4" cm="1">
        <f t="array" ref="B351">IFERROR(INDEX(EmployeeData[Employee ID], ROW() - 37), "")</f>
        <v>1314</v>
      </c>
      <c r="C351" s="4" t="str" cm="1">
        <f t="array" ref="C351">IFERROR(INDEX(EmployeeData[Full Name], ROW() - 37), "")</f>
        <v>Kath Tan Camacho</v>
      </c>
      <c r="D351" s="4" t="str" cm="1">
        <f t="array" ref="D351">IFERROR(INDEX(EmployeeData[Department], ROW() - 37), "")</f>
        <v>IT</v>
      </c>
      <c r="E351" s="4" t="str" cm="1">
        <f t="array" ref="E351">IFERROR(INDEX(EmployeeData[Gender], ROW() - 37), "")</f>
        <v>Female</v>
      </c>
      <c r="F351" s="4" cm="1">
        <f t="array" ref="F351">IFERROR(INDEX(EmployeeData[Age], ROW() - 37), "")</f>
        <v>24</v>
      </c>
      <c r="G351" s="6" cm="1">
        <f t="array" ref="G351">IFERROR(INDEX(EmployeeData[Join Date], ROW() - 37), "")</f>
        <v>44731</v>
      </c>
      <c r="H351" s="6" t="str" cm="1">
        <f t="array" ref="H351">IFERROR(IF(INDEX(EmployeeData[Exit Date], ROW() - 37)=0, "",INDEX(EmployeeData[Exit Date], ROW() - 37)),"")</f>
        <v/>
      </c>
      <c r="I351" s="4" t="str" cm="1">
        <f t="array" ref="I351">IFERROR(IF(INDEX(EmployeeData[Exit Reason], ROW() - 37)=0, "",INDEX(EmployeeData[Exit Reason], ROW() - 37)),"")</f>
        <v/>
      </c>
      <c r="J351" s="4" t="str" cm="1">
        <f t="array" ref="J351">IFERROR(INDEX(EmployeeData[Status], ROW() - 37), "")</f>
        <v>Active</v>
      </c>
    </row>
    <row r="352" spans="2:10" ht="19.95" customHeight="1" x14ac:dyDescent="0.3">
      <c r="B352" s="4" cm="1">
        <f t="array" ref="B352">IFERROR(INDEX(EmployeeData[Employee ID], ROW() - 37), "")</f>
        <v>1315</v>
      </c>
      <c r="C352" s="4" t="str" cm="1">
        <f t="array" ref="C352">IFERROR(INDEX(EmployeeData[Full Name], ROW() - 37), "")</f>
        <v>Lorenzo Tan Domingo</v>
      </c>
      <c r="D352" s="4" t="str" cm="1">
        <f t="array" ref="D352">IFERROR(INDEX(EmployeeData[Department], ROW() - 37), "")</f>
        <v>Customer Support</v>
      </c>
      <c r="E352" s="4" t="str" cm="1">
        <f t="array" ref="E352">IFERROR(INDEX(EmployeeData[Gender], ROW() - 37), "")</f>
        <v>Male</v>
      </c>
      <c r="F352" s="4" cm="1">
        <f t="array" ref="F352">IFERROR(INDEX(EmployeeData[Age], ROW() - 37), "")</f>
        <v>30</v>
      </c>
      <c r="G352" s="6" cm="1">
        <f t="array" ref="G352">IFERROR(INDEX(EmployeeData[Join Date], ROW() - 37), "")</f>
        <v>44237</v>
      </c>
      <c r="H352" s="6" cm="1">
        <f t="array" ref="H352">IFERROR(IF(INDEX(EmployeeData[Exit Date], ROW() - 37)=0, "",INDEX(EmployeeData[Exit Date], ROW() - 37)),"")</f>
        <v>44488</v>
      </c>
      <c r="I352" s="4" t="str" cm="1">
        <f t="array" ref="I352">IFERROR(IF(INDEX(EmployeeData[Exit Reason], ROW() - 37)=0, "",INDEX(EmployeeData[Exit Reason], ROW() - 37)),"")</f>
        <v>Health Issues</v>
      </c>
      <c r="J352" s="4" t="str" cm="1">
        <f t="array" ref="J352">IFERROR(INDEX(EmployeeData[Status], ROW() - 37), "")</f>
        <v>Exited</v>
      </c>
    </row>
    <row r="353" spans="2:10" ht="19.95" customHeight="1" x14ac:dyDescent="0.3">
      <c r="B353" s="4" cm="1">
        <f t="array" ref="B353">IFERROR(INDEX(EmployeeData[Employee ID], ROW() - 37), "")</f>
        <v>1316</v>
      </c>
      <c r="C353" s="4" t="str" cm="1">
        <f t="array" ref="C353">IFERROR(INDEX(EmployeeData[Full Name], ROW() - 37), "")</f>
        <v>Eduardo Sy Torres</v>
      </c>
      <c r="D353" s="4" t="str" cm="1">
        <f t="array" ref="D353">IFERROR(INDEX(EmployeeData[Department], ROW() - 37), "")</f>
        <v>Marketing</v>
      </c>
      <c r="E353" s="4" t="str" cm="1">
        <f t="array" ref="E353">IFERROR(INDEX(EmployeeData[Gender], ROW() - 37), "")</f>
        <v>Other</v>
      </c>
      <c r="F353" s="4" cm="1">
        <f t="array" ref="F353">IFERROR(INDEX(EmployeeData[Age], ROW() - 37), "")</f>
        <v>25</v>
      </c>
      <c r="G353" s="6" cm="1">
        <f t="array" ref="G353">IFERROR(INDEX(EmployeeData[Join Date], ROW() - 37), "")</f>
        <v>44371</v>
      </c>
      <c r="H353" s="6" t="str" cm="1">
        <f t="array" ref="H353">IFERROR(IF(INDEX(EmployeeData[Exit Date], ROW() - 37)=0, "",INDEX(EmployeeData[Exit Date], ROW() - 37)),"")</f>
        <v/>
      </c>
      <c r="I353" s="4" t="str" cm="1">
        <f t="array" ref="I353">IFERROR(IF(INDEX(EmployeeData[Exit Reason], ROW() - 37)=0, "",INDEX(EmployeeData[Exit Reason], ROW() - 37)),"")</f>
        <v/>
      </c>
      <c r="J353" s="4" t="str" cm="1">
        <f t="array" ref="J353">IFERROR(INDEX(EmployeeData[Status], ROW() - 37), "")</f>
        <v>Active</v>
      </c>
    </row>
    <row r="354" spans="2:10" ht="19.95" customHeight="1" x14ac:dyDescent="0.3">
      <c r="B354" s="4" cm="1">
        <f t="array" ref="B354">IFERROR(INDEX(EmployeeData[Employee ID], ROW() - 37), "")</f>
        <v>1317</v>
      </c>
      <c r="C354" s="4" t="str" cm="1">
        <f t="array" ref="C354">IFERROR(INDEX(EmployeeData[Full Name], ROW() - 37), "")</f>
        <v>Hernando Ramos Castro</v>
      </c>
      <c r="D354" s="4" t="str" cm="1">
        <f t="array" ref="D354">IFERROR(INDEX(EmployeeData[Department], ROW() - 37), "")</f>
        <v>Customer Support</v>
      </c>
      <c r="E354" s="4" t="str" cm="1">
        <f t="array" ref="E354">IFERROR(INDEX(EmployeeData[Gender], ROW() - 37), "")</f>
        <v>Male</v>
      </c>
      <c r="F354" s="4" cm="1">
        <f t="array" ref="F354">IFERROR(INDEX(EmployeeData[Age], ROW() - 37), "")</f>
        <v>24</v>
      </c>
      <c r="G354" s="6" cm="1">
        <f t="array" ref="G354">IFERROR(INDEX(EmployeeData[Join Date], ROW() - 37), "")</f>
        <v>44367</v>
      </c>
      <c r="H354" s="6" t="str" cm="1">
        <f t="array" ref="H354">IFERROR(IF(INDEX(EmployeeData[Exit Date], ROW() - 37)=0, "",INDEX(EmployeeData[Exit Date], ROW() - 37)),"")</f>
        <v/>
      </c>
      <c r="I354" s="4" t="str" cm="1">
        <f t="array" ref="I354">IFERROR(IF(INDEX(EmployeeData[Exit Reason], ROW() - 37)=0, "",INDEX(EmployeeData[Exit Reason], ROW() - 37)),"")</f>
        <v/>
      </c>
      <c r="J354" s="4" t="str" cm="1">
        <f t="array" ref="J354">IFERROR(INDEX(EmployeeData[Status], ROW() - 37), "")</f>
        <v>Active</v>
      </c>
    </row>
    <row r="355" spans="2:10" ht="19.95" customHeight="1" x14ac:dyDescent="0.3">
      <c r="B355" s="4" cm="1">
        <f t="array" ref="B355">IFERROR(INDEX(EmployeeData[Employee ID], ROW() - 37), "")</f>
        <v>1318</v>
      </c>
      <c r="C355" s="4" t="str" cm="1">
        <f t="array" ref="C355">IFERROR(INDEX(EmployeeData[Full Name], ROW() - 37), "")</f>
        <v>Abigail Aguilar Pascual</v>
      </c>
      <c r="D355" s="4" t="str" cm="1">
        <f t="array" ref="D355">IFERROR(INDEX(EmployeeData[Department], ROW() - 37), "")</f>
        <v>HR</v>
      </c>
      <c r="E355" s="4" t="str" cm="1">
        <f t="array" ref="E355">IFERROR(INDEX(EmployeeData[Gender], ROW() - 37), "")</f>
        <v>Female</v>
      </c>
      <c r="F355" s="4" cm="1">
        <f t="array" ref="F355">IFERROR(INDEX(EmployeeData[Age], ROW() - 37), "")</f>
        <v>43</v>
      </c>
      <c r="G355" s="6" cm="1">
        <f t="array" ref="G355">IFERROR(INDEX(EmployeeData[Join Date], ROW() - 37), "")</f>
        <v>45243</v>
      </c>
      <c r="H355" s="6" t="str" cm="1">
        <f t="array" ref="H355">IFERROR(IF(INDEX(EmployeeData[Exit Date], ROW() - 37)=0, "",INDEX(EmployeeData[Exit Date], ROW() - 37)),"")</f>
        <v/>
      </c>
      <c r="I355" s="4" t="str" cm="1">
        <f t="array" ref="I355">IFERROR(IF(INDEX(EmployeeData[Exit Reason], ROW() - 37)=0, "",INDEX(EmployeeData[Exit Reason], ROW() - 37)),"")</f>
        <v/>
      </c>
      <c r="J355" s="4" t="str" cm="1">
        <f t="array" ref="J355">IFERROR(INDEX(EmployeeData[Status], ROW() - 37), "")</f>
        <v>Active</v>
      </c>
    </row>
    <row r="356" spans="2:10" ht="19.95" customHeight="1" x14ac:dyDescent="0.3">
      <c r="B356" s="4" cm="1">
        <f t="array" ref="B356">IFERROR(INDEX(EmployeeData[Employee ID], ROW() - 37), "")</f>
        <v>1319</v>
      </c>
      <c r="C356" s="4" t="str" cm="1">
        <f t="array" ref="C356">IFERROR(INDEX(EmployeeData[Full Name], ROW() - 37), "")</f>
        <v>Beatriz Ocampo Elegado</v>
      </c>
      <c r="D356" s="4" t="str" cm="1">
        <f t="array" ref="D356">IFERROR(INDEX(EmployeeData[Department], ROW() - 37), "")</f>
        <v>HR</v>
      </c>
      <c r="E356" s="4" t="str" cm="1">
        <f t="array" ref="E356">IFERROR(INDEX(EmployeeData[Gender], ROW() - 37), "")</f>
        <v>Female</v>
      </c>
      <c r="F356" s="4" cm="1">
        <f t="array" ref="F356">IFERROR(INDEX(EmployeeData[Age], ROW() - 37), "")</f>
        <v>22</v>
      </c>
      <c r="G356" s="6" cm="1">
        <f t="array" ref="G356">IFERROR(INDEX(EmployeeData[Join Date], ROW() - 37), "")</f>
        <v>44473</v>
      </c>
      <c r="H356" s="6" t="str" cm="1">
        <f t="array" ref="H356">IFERROR(IF(INDEX(EmployeeData[Exit Date], ROW() - 37)=0, "",INDEX(EmployeeData[Exit Date], ROW() - 37)),"")</f>
        <v/>
      </c>
      <c r="I356" s="4" t="str" cm="1">
        <f t="array" ref="I356">IFERROR(IF(INDEX(EmployeeData[Exit Reason], ROW() - 37)=0, "",INDEX(EmployeeData[Exit Reason], ROW() - 37)),"")</f>
        <v/>
      </c>
      <c r="J356" s="4" t="str" cm="1">
        <f t="array" ref="J356">IFERROR(INDEX(EmployeeData[Status], ROW() - 37), "")</f>
        <v>Active</v>
      </c>
    </row>
    <row r="357" spans="2:10" ht="19.95" customHeight="1" x14ac:dyDescent="0.3">
      <c r="B357" s="4" cm="1">
        <f t="array" ref="B357">IFERROR(INDEX(EmployeeData[Employee ID], ROW() - 37), "")</f>
        <v>1320</v>
      </c>
      <c r="C357" s="4" t="str" cm="1">
        <f t="array" ref="C357">IFERROR(INDEX(EmployeeData[Full Name], ROW() - 37), "")</f>
        <v>Gregorio Mendoza Ignacio</v>
      </c>
      <c r="D357" s="4" t="str" cm="1">
        <f t="array" ref="D357">IFERROR(INDEX(EmployeeData[Department], ROW() - 37), "")</f>
        <v>Marketing</v>
      </c>
      <c r="E357" s="4" t="str" cm="1">
        <f t="array" ref="E357">IFERROR(INDEX(EmployeeData[Gender], ROW() - 37), "")</f>
        <v>Male</v>
      </c>
      <c r="F357" s="4" cm="1">
        <f t="array" ref="F357">IFERROR(INDEX(EmployeeData[Age], ROW() - 37), "")</f>
        <v>24</v>
      </c>
      <c r="G357" s="6" cm="1">
        <f t="array" ref="G357">IFERROR(INDEX(EmployeeData[Join Date], ROW() - 37), "")</f>
        <v>45147</v>
      </c>
      <c r="H357" s="6" t="str" cm="1">
        <f t="array" ref="H357">IFERROR(IF(INDEX(EmployeeData[Exit Date], ROW() - 37)=0, "",INDEX(EmployeeData[Exit Date], ROW() - 37)),"")</f>
        <v/>
      </c>
      <c r="I357" s="4" t="str" cm="1">
        <f t="array" ref="I357">IFERROR(IF(INDEX(EmployeeData[Exit Reason], ROW() - 37)=0, "",INDEX(EmployeeData[Exit Reason], ROW() - 37)),"")</f>
        <v/>
      </c>
      <c r="J357" s="4" t="str" cm="1">
        <f t="array" ref="J357">IFERROR(INDEX(EmployeeData[Status], ROW() - 37), "")</f>
        <v>Active</v>
      </c>
    </row>
    <row r="358" spans="2:10" ht="19.95" customHeight="1" x14ac:dyDescent="0.3">
      <c r="B358" s="4" cm="1">
        <f t="array" ref="B358">IFERROR(INDEX(EmployeeData[Employee ID], ROW() - 37), "")</f>
        <v>1321</v>
      </c>
      <c r="C358" s="4" t="str" cm="1">
        <f t="array" ref="C358">IFERROR(INDEX(EmployeeData[Full Name], ROW() - 37), "")</f>
        <v>Juan Garcia</v>
      </c>
      <c r="D358" s="4" t="str" cm="1">
        <f t="array" ref="D358">IFERROR(INDEX(EmployeeData[Department], ROW() - 37), "")</f>
        <v>Sales</v>
      </c>
      <c r="E358" s="4" t="str" cm="1">
        <f t="array" ref="E358">IFERROR(INDEX(EmployeeData[Gender], ROW() - 37), "")</f>
        <v>Male</v>
      </c>
      <c r="F358" s="4" cm="1">
        <f t="array" ref="F358">IFERROR(INDEX(EmployeeData[Age], ROW() - 37), "")</f>
        <v>28</v>
      </c>
      <c r="G358" s="6" cm="1">
        <f t="array" ref="G358">IFERROR(INDEX(EmployeeData[Join Date], ROW() - 37), "")</f>
        <v>44036</v>
      </c>
      <c r="H358" s="6" t="str" cm="1">
        <f t="array" ref="H358">IFERROR(IF(INDEX(EmployeeData[Exit Date], ROW() - 37)=0, "",INDEX(EmployeeData[Exit Date], ROW() - 37)),"")</f>
        <v/>
      </c>
      <c r="I358" s="4" t="str" cm="1">
        <f t="array" ref="I358">IFERROR(IF(INDEX(EmployeeData[Exit Reason], ROW() - 37)=0, "",INDEX(EmployeeData[Exit Reason], ROW() - 37)),"")</f>
        <v/>
      </c>
      <c r="J358" s="4" t="str" cm="1">
        <f t="array" ref="J358">IFERROR(INDEX(EmployeeData[Status], ROW() - 37), "")</f>
        <v>Active</v>
      </c>
    </row>
    <row r="359" spans="2:10" ht="19.95" customHeight="1" x14ac:dyDescent="0.3">
      <c r="B359" s="4" cm="1">
        <f t="array" ref="B359">IFERROR(INDEX(EmployeeData[Employee ID], ROW() - 37), "")</f>
        <v>1322</v>
      </c>
      <c r="C359" s="4" t="str" cm="1">
        <f t="array" ref="C359">IFERROR(INDEX(EmployeeData[Full Name], ROW() - 37), "")</f>
        <v>Jacqueline Lim Ocampo</v>
      </c>
      <c r="D359" s="4" t="str" cm="1">
        <f t="array" ref="D359">IFERROR(INDEX(EmployeeData[Department], ROW() - 37), "")</f>
        <v>Customer Support</v>
      </c>
      <c r="E359" s="4" t="str" cm="1">
        <f t="array" ref="E359">IFERROR(INDEX(EmployeeData[Gender], ROW() - 37), "")</f>
        <v>Female</v>
      </c>
      <c r="F359" s="4" cm="1">
        <f t="array" ref="F359">IFERROR(INDEX(EmployeeData[Age], ROW() - 37), "")</f>
        <v>44</v>
      </c>
      <c r="G359" s="6" cm="1">
        <f t="array" ref="G359">IFERROR(INDEX(EmployeeData[Join Date], ROW() - 37), "")</f>
        <v>44669</v>
      </c>
      <c r="H359" s="6" t="str" cm="1">
        <f t="array" ref="H359">IFERROR(IF(INDEX(EmployeeData[Exit Date], ROW() - 37)=0, "",INDEX(EmployeeData[Exit Date], ROW() - 37)),"")</f>
        <v/>
      </c>
      <c r="I359" s="4" t="str" cm="1">
        <f t="array" ref="I359">IFERROR(IF(INDEX(EmployeeData[Exit Reason], ROW() - 37)=0, "",INDEX(EmployeeData[Exit Reason], ROW() - 37)),"")</f>
        <v/>
      </c>
      <c r="J359" s="4" t="str" cm="1">
        <f t="array" ref="J359">IFERROR(INDEX(EmployeeData[Status], ROW() - 37), "")</f>
        <v>Active</v>
      </c>
    </row>
    <row r="360" spans="2:10" ht="19.95" customHeight="1" x14ac:dyDescent="0.3">
      <c r="B360" s="4" cm="1">
        <f t="array" ref="B360">IFERROR(INDEX(EmployeeData[Employee ID], ROW() - 37), "")</f>
        <v>1323</v>
      </c>
      <c r="C360" s="4" t="str" cm="1">
        <f t="array" ref="C360">IFERROR(INDEX(EmployeeData[Full Name], ROW() - 37), "")</f>
        <v>Patricia Bautista Castro</v>
      </c>
      <c r="D360" s="4" t="str" cm="1">
        <f t="array" ref="D360">IFERROR(INDEX(EmployeeData[Department], ROW() - 37), "")</f>
        <v>Customer Support</v>
      </c>
      <c r="E360" s="4" t="str" cm="1">
        <f t="array" ref="E360">IFERROR(INDEX(EmployeeData[Gender], ROW() - 37), "")</f>
        <v>Female</v>
      </c>
      <c r="F360" s="4" cm="1">
        <f t="array" ref="F360">IFERROR(INDEX(EmployeeData[Age], ROW() - 37), "")</f>
        <v>41</v>
      </c>
      <c r="G360" s="6" cm="1">
        <f t="array" ref="G360">IFERROR(INDEX(EmployeeData[Join Date], ROW() - 37), "")</f>
        <v>44212</v>
      </c>
      <c r="H360" s="6" t="str" cm="1">
        <f t="array" ref="H360">IFERROR(IF(INDEX(EmployeeData[Exit Date], ROW() - 37)=0, "",INDEX(EmployeeData[Exit Date], ROW() - 37)),"")</f>
        <v/>
      </c>
      <c r="I360" s="4" t="str" cm="1">
        <f t="array" ref="I360">IFERROR(IF(INDEX(EmployeeData[Exit Reason], ROW() - 37)=0, "",INDEX(EmployeeData[Exit Reason], ROW() - 37)),"")</f>
        <v/>
      </c>
      <c r="J360" s="4" t="str" cm="1">
        <f t="array" ref="J360">IFERROR(INDEX(EmployeeData[Status], ROW() - 37), "")</f>
        <v>Active</v>
      </c>
    </row>
    <row r="361" spans="2:10" ht="19.95" customHeight="1" x14ac:dyDescent="0.3">
      <c r="B361" s="4" cm="1">
        <f t="array" ref="B361">IFERROR(INDEX(EmployeeData[Employee ID], ROW() - 37), "")</f>
        <v>1324</v>
      </c>
      <c r="C361" s="4" t="str" cm="1">
        <f t="array" ref="C361">IFERROR(INDEX(EmployeeData[Full Name], ROW() - 37), "")</f>
        <v>Manuel Go Dalisay</v>
      </c>
      <c r="D361" s="4" t="str" cm="1">
        <f t="array" ref="D361">IFERROR(INDEX(EmployeeData[Department], ROW() - 37), "")</f>
        <v>Customer Support</v>
      </c>
      <c r="E361" s="4" t="str" cm="1">
        <f t="array" ref="E361">IFERROR(INDEX(EmployeeData[Gender], ROW() - 37), "")</f>
        <v>Other</v>
      </c>
      <c r="F361" s="4" cm="1">
        <f t="array" ref="F361">IFERROR(INDEX(EmployeeData[Age], ROW() - 37), "")</f>
        <v>23</v>
      </c>
      <c r="G361" s="6" cm="1">
        <f t="array" ref="G361">IFERROR(INDEX(EmployeeData[Join Date], ROW() - 37), "")</f>
        <v>44743</v>
      </c>
      <c r="H361" s="6" cm="1">
        <f t="array" ref="H361">IFERROR(IF(INDEX(EmployeeData[Exit Date], ROW() - 37)=0, "",INDEX(EmployeeData[Exit Date], ROW() - 37)),"")</f>
        <v>45785</v>
      </c>
      <c r="I361" s="4" t="str" cm="1">
        <f t="array" ref="I361">IFERROR(IF(INDEX(EmployeeData[Exit Reason], ROW() - 37)=0, "",INDEX(EmployeeData[Exit Reason], ROW() - 37)),"")</f>
        <v>Resignation</v>
      </c>
      <c r="J361" s="4" t="str" cm="1">
        <f t="array" ref="J361">IFERROR(INDEX(EmployeeData[Status], ROW() - 37), "")</f>
        <v>Exited</v>
      </c>
    </row>
    <row r="362" spans="2:10" ht="19.95" customHeight="1" x14ac:dyDescent="0.3">
      <c r="B362" s="4" cm="1">
        <f t="array" ref="B362">IFERROR(INDEX(EmployeeData[Employee ID], ROW() - 37), "")</f>
        <v>1325</v>
      </c>
      <c r="C362" s="4" t="str" cm="1">
        <f t="array" ref="C362">IFERROR(INDEX(EmployeeData[Full Name], ROW() - 37), "")</f>
        <v>Teresita Ang Suarez</v>
      </c>
      <c r="D362" s="4" t="str" cm="1">
        <f t="array" ref="D362">IFERROR(INDEX(EmployeeData[Department], ROW() - 37), "")</f>
        <v>Customer Support</v>
      </c>
      <c r="E362" s="4" t="str" cm="1">
        <f t="array" ref="E362">IFERROR(INDEX(EmployeeData[Gender], ROW() - 37), "")</f>
        <v>Female</v>
      </c>
      <c r="F362" s="4" cm="1">
        <f t="array" ref="F362">IFERROR(INDEX(EmployeeData[Age], ROW() - 37), "")</f>
        <v>57</v>
      </c>
      <c r="G362" s="6" cm="1">
        <f t="array" ref="G362">IFERROR(INDEX(EmployeeData[Join Date], ROW() - 37), "")</f>
        <v>44345</v>
      </c>
      <c r="H362" s="6" t="str" cm="1">
        <f t="array" ref="H362">IFERROR(IF(INDEX(EmployeeData[Exit Date], ROW() - 37)=0, "",INDEX(EmployeeData[Exit Date], ROW() - 37)),"")</f>
        <v/>
      </c>
      <c r="I362" s="4" t="str" cm="1">
        <f t="array" ref="I362">IFERROR(IF(INDEX(EmployeeData[Exit Reason], ROW() - 37)=0, "",INDEX(EmployeeData[Exit Reason], ROW() - 37)),"")</f>
        <v/>
      </c>
      <c r="J362" s="4" t="str" cm="1">
        <f t="array" ref="J362">IFERROR(INDEX(EmployeeData[Status], ROW() - 37), "")</f>
        <v>Active</v>
      </c>
    </row>
    <row r="363" spans="2:10" ht="19.95" customHeight="1" x14ac:dyDescent="0.3">
      <c r="B363" s="4" cm="1">
        <f t="array" ref="B363">IFERROR(INDEX(EmployeeData[Employee ID], ROW() - 37), "")</f>
        <v>1326</v>
      </c>
      <c r="C363" s="4" t="str" cm="1">
        <f t="array" ref="C363">IFERROR(INDEX(EmployeeData[Full Name], ROW() - 37), "")</f>
        <v>Antonio Santos Guerrero</v>
      </c>
      <c r="D363" s="4" t="str" cm="1">
        <f t="array" ref="D363">IFERROR(INDEX(EmployeeData[Department], ROW() - 37), "")</f>
        <v>Finance</v>
      </c>
      <c r="E363" s="4" t="str" cm="1">
        <f t="array" ref="E363">IFERROR(INDEX(EmployeeData[Gender], ROW() - 37), "")</f>
        <v>Other</v>
      </c>
      <c r="F363" s="4" cm="1">
        <f t="array" ref="F363">IFERROR(INDEX(EmployeeData[Age], ROW() - 37), "")</f>
        <v>55</v>
      </c>
      <c r="G363" s="6" cm="1">
        <f t="array" ref="G363">IFERROR(INDEX(EmployeeData[Join Date], ROW() - 37), "")</f>
        <v>44105</v>
      </c>
      <c r="H363" s="6" cm="1">
        <f t="array" ref="H363">IFERROR(IF(INDEX(EmployeeData[Exit Date], ROW() - 37)=0, "",INDEX(EmployeeData[Exit Date], ROW() - 37)),"")</f>
        <v>46104</v>
      </c>
      <c r="I363" s="4" t="str" cm="1">
        <f t="array" ref="I363">IFERROR(IF(INDEX(EmployeeData[Exit Reason], ROW() - 37)=0, "",INDEX(EmployeeData[Exit Reason], ROW() - 37)),"")</f>
        <v>Termination</v>
      </c>
      <c r="J363" s="4" t="str" cm="1">
        <f t="array" ref="J363">IFERROR(INDEX(EmployeeData[Status], ROW() - 37), "")</f>
        <v>Exited</v>
      </c>
    </row>
    <row r="364" spans="2:10" ht="19.95" customHeight="1" x14ac:dyDescent="0.3">
      <c r="B364" s="4" cm="1">
        <f t="array" ref="B364">IFERROR(INDEX(EmployeeData[Employee ID], ROW() - 37), "")</f>
        <v>1327</v>
      </c>
      <c r="C364" s="4" t="str" cm="1">
        <f t="array" ref="C364">IFERROR(INDEX(EmployeeData[Full Name], ROW() - 37), "")</f>
        <v>Yvonne Viray</v>
      </c>
      <c r="D364" s="4" t="str" cm="1">
        <f t="array" ref="D364">IFERROR(INDEX(EmployeeData[Department], ROW() - 37), "")</f>
        <v>Finance</v>
      </c>
      <c r="E364" s="4" t="str" cm="1">
        <f t="array" ref="E364">IFERROR(INDEX(EmployeeData[Gender], ROW() - 37), "")</f>
        <v>Female</v>
      </c>
      <c r="F364" s="4" cm="1">
        <f t="array" ref="F364">IFERROR(INDEX(EmployeeData[Age], ROW() - 37), "")</f>
        <v>45</v>
      </c>
      <c r="G364" s="6" cm="1">
        <f t="array" ref="G364">IFERROR(INDEX(EmployeeData[Join Date], ROW() - 37), "")</f>
        <v>44360</v>
      </c>
      <c r="H364" s="6" cm="1">
        <f t="array" ref="H364">IFERROR(IF(INDEX(EmployeeData[Exit Date], ROW() - 37)=0, "",INDEX(EmployeeData[Exit Date], ROW() - 37)),"")</f>
        <v>45535</v>
      </c>
      <c r="I364" s="4" t="str" cm="1">
        <f t="array" ref="I364">IFERROR(IF(INDEX(EmployeeData[Exit Reason], ROW() - 37)=0, "",INDEX(EmployeeData[Exit Reason], ROW() - 37)),"")</f>
        <v>Contract End</v>
      </c>
      <c r="J364" s="4" t="str" cm="1">
        <f t="array" ref="J364">IFERROR(INDEX(EmployeeData[Status], ROW() - 37), "")</f>
        <v>Exited</v>
      </c>
    </row>
    <row r="365" spans="2:10" ht="19.95" customHeight="1" x14ac:dyDescent="0.3">
      <c r="B365" s="4" cm="1">
        <f t="array" ref="B365">IFERROR(INDEX(EmployeeData[Employee ID], ROW() - 37), "")</f>
        <v>1328</v>
      </c>
      <c r="C365" s="4" t="str" cm="1">
        <f t="array" ref="C365">IFERROR(INDEX(EmployeeData[Full Name], ROW() - 37), "")</f>
        <v>Mae Bondoc</v>
      </c>
      <c r="D365" s="4" t="str" cm="1">
        <f t="array" ref="D365">IFERROR(INDEX(EmployeeData[Department], ROW() - 37), "")</f>
        <v>Finance</v>
      </c>
      <c r="E365" s="4" t="str" cm="1">
        <f t="array" ref="E365">IFERROR(INDEX(EmployeeData[Gender], ROW() - 37), "")</f>
        <v>Female</v>
      </c>
      <c r="F365" s="4" cm="1">
        <f t="array" ref="F365">IFERROR(INDEX(EmployeeData[Age], ROW() - 37), "")</f>
        <v>38</v>
      </c>
      <c r="G365" s="6" cm="1">
        <f t="array" ref="G365">IFERROR(INDEX(EmployeeData[Join Date], ROW() - 37), "")</f>
        <v>43482</v>
      </c>
      <c r="H365" s="6" cm="1">
        <f t="array" ref="H365">IFERROR(IF(INDEX(EmployeeData[Exit Date], ROW() - 37)=0, "",INDEX(EmployeeData[Exit Date], ROW() - 37)),"")</f>
        <v>44520</v>
      </c>
      <c r="I365" s="4" t="str" cm="1">
        <f t="array" ref="I365">IFERROR(IF(INDEX(EmployeeData[Exit Reason], ROW() - 37)=0, "",INDEX(EmployeeData[Exit Reason], ROW() - 37)),"")</f>
        <v>Resignation</v>
      </c>
      <c r="J365" s="4" t="str" cm="1">
        <f t="array" ref="J365">IFERROR(INDEX(EmployeeData[Status], ROW() - 37), "")</f>
        <v>Exited</v>
      </c>
    </row>
    <row r="366" spans="2:10" ht="19.95" customHeight="1" x14ac:dyDescent="0.3">
      <c r="B366" s="4" cm="1">
        <f t="array" ref="B366">IFERROR(INDEX(EmployeeData[Employee ID], ROW() - 37), "")</f>
        <v>1329</v>
      </c>
      <c r="C366" s="4" t="str" cm="1">
        <f t="array" ref="C366">IFERROR(INDEX(EmployeeData[Full Name], ROW() - 37), "")</f>
        <v>Maria Bautista Villanueva</v>
      </c>
      <c r="D366" s="4" t="str" cm="1">
        <f t="array" ref="D366">IFERROR(INDEX(EmployeeData[Department], ROW() - 37), "")</f>
        <v>IT</v>
      </c>
      <c r="E366" s="4" t="str" cm="1">
        <f t="array" ref="E366">IFERROR(INDEX(EmployeeData[Gender], ROW() - 37), "")</f>
        <v>Other</v>
      </c>
      <c r="F366" s="4" cm="1">
        <f t="array" ref="F366">IFERROR(INDEX(EmployeeData[Age], ROW() - 37), "")</f>
        <v>26</v>
      </c>
      <c r="G366" s="6" cm="1">
        <f t="array" ref="G366">IFERROR(INDEX(EmployeeData[Join Date], ROW() - 37), "")</f>
        <v>45479</v>
      </c>
      <c r="H366" s="6" cm="1">
        <f t="array" ref="H366">IFERROR(IF(INDEX(EmployeeData[Exit Date], ROW() - 37)=0, "",INDEX(EmployeeData[Exit Date], ROW() - 37)),"")</f>
        <v>45705</v>
      </c>
      <c r="I366" s="4" t="str" cm="1">
        <f t="array" ref="I366">IFERROR(IF(INDEX(EmployeeData[Exit Reason], ROW() - 37)=0, "",INDEX(EmployeeData[Exit Reason], ROW() - 37)),"")</f>
        <v>Relocation</v>
      </c>
      <c r="J366" s="4" t="str" cm="1">
        <f t="array" ref="J366">IFERROR(INDEX(EmployeeData[Status], ROW() - 37), "")</f>
        <v>Exited</v>
      </c>
    </row>
    <row r="367" spans="2:10" ht="19.95" customHeight="1" x14ac:dyDescent="0.3">
      <c r="B367" s="4" cm="1">
        <f t="array" ref="B367">IFERROR(INDEX(EmployeeData[Employee ID], ROW() - 37), "")</f>
        <v>1330</v>
      </c>
      <c r="C367" s="4" t="str" cm="1">
        <f t="array" ref="C367">IFERROR(INDEX(EmployeeData[Full Name], ROW() - 37), "")</f>
        <v>Maria Jimenez</v>
      </c>
      <c r="D367" s="4" t="str" cm="1">
        <f t="array" ref="D367">IFERROR(INDEX(EmployeeData[Department], ROW() - 37), "")</f>
        <v>IT</v>
      </c>
      <c r="E367" s="4" t="str" cm="1">
        <f t="array" ref="E367">IFERROR(INDEX(EmployeeData[Gender], ROW() - 37), "")</f>
        <v>Other</v>
      </c>
      <c r="F367" s="4" cm="1">
        <f t="array" ref="F367">IFERROR(INDEX(EmployeeData[Age], ROW() - 37), "")</f>
        <v>36</v>
      </c>
      <c r="G367" s="6" cm="1">
        <f t="array" ref="G367">IFERROR(INDEX(EmployeeData[Join Date], ROW() - 37), "")</f>
        <v>44295</v>
      </c>
      <c r="H367" s="6" cm="1">
        <f t="array" ref="H367">IFERROR(IF(INDEX(EmployeeData[Exit Date], ROW() - 37)=0, "",INDEX(EmployeeData[Exit Date], ROW() - 37)),"")</f>
        <v>45030</v>
      </c>
      <c r="I367" s="4" t="str" cm="1">
        <f t="array" ref="I367">IFERROR(IF(INDEX(EmployeeData[Exit Reason], ROW() - 37)=0, "",INDEX(EmployeeData[Exit Reason], ROW() - 37)),"")</f>
        <v>Contract End</v>
      </c>
      <c r="J367" s="4" t="str" cm="1">
        <f t="array" ref="J367">IFERROR(INDEX(EmployeeData[Status], ROW() - 37), "")</f>
        <v>Exited</v>
      </c>
    </row>
    <row r="368" spans="2:10" ht="19.95" customHeight="1" x14ac:dyDescent="0.3">
      <c r="B368" s="4" cm="1">
        <f t="array" ref="B368">IFERROR(INDEX(EmployeeData[Employee ID], ROW() - 37), "")</f>
        <v>1331</v>
      </c>
      <c r="C368" s="4" t="str" cm="1">
        <f t="array" ref="C368">IFERROR(INDEX(EmployeeData[Full Name], ROW() - 37), "")</f>
        <v>Crisanto Mendoza Narvasa</v>
      </c>
      <c r="D368" s="4" t="str" cm="1">
        <f t="array" ref="D368">IFERROR(INDEX(EmployeeData[Department], ROW() - 37), "")</f>
        <v>IT</v>
      </c>
      <c r="E368" s="4" t="str" cm="1">
        <f t="array" ref="E368">IFERROR(INDEX(EmployeeData[Gender], ROW() - 37), "")</f>
        <v>Male</v>
      </c>
      <c r="F368" s="4" cm="1">
        <f t="array" ref="F368">IFERROR(INDEX(EmployeeData[Age], ROW() - 37), "")</f>
        <v>35</v>
      </c>
      <c r="G368" s="6" cm="1">
        <f t="array" ref="G368">IFERROR(INDEX(EmployeeData[Join Date], ROW() - 37), "")</f>
        <v>43406</v>
      </c>
      <c r="H368" s="6" t="str" cm="1">
        <f t="array" ref="H368">IFERROR(IF(INDEX(EmployeeData[Exit Date], ROW() - 37)=0, "",INDEX(EmployeeData[Exit Date], ROW() - 37)),"")</f>
        <v/>
      </c>
      <c r="I368" s="4" t="str" cm="1">
        <f t="array" ref="I368">IFERROR(IF(INDEX(EmployeeData[Exit Reason], ROW() - 37)=0, "",INDEX(EmployeeData[Exit Reason], ROW() - 37)),"")</f>
        <v/>
      </c>
      <c r="J368" s="4" t="str" cm="1">
        <f t="array" ref="J368">IFERROR(INDEX(EmployeeData[Status], ROW() - 37), "")</f>
        <v>Active</v>
      </c>
    </row>
    <row r="369" spans="2:10" ht="19.95" customHeight="1" x14ac:dyDescent="0.3">
      <c r="B369" s="4" cm="1">
        <f t="array" ref="B369">IFERROR(INDEX(EmployeeData[Employee ID], ROW() - 37), "")</f>
        <v>1332</v>
      </c>
      <c r="C369" s="4" t="str" cm="1">
        <f t="array" ref="C369">IFERROR(INDEX(EmployeeData[Full Name], ROW() - 37), "")</f>
        <v>Lorenzo Domingo Natividad</v>
      </c>
      <c r="D369" s="4" t="str" cm="1">
        <f t="array" ref="D369">IFERROR(INDEX(EmployeeData[Department], ROW() - 37), "")</f>
        <v>Customer Support</v>
      </c>
      <c r="E369" s="4" t="str" cm="1">
        <f t="array" ref="E369">IFERROR(INDEX(EmployeeData[Gender], ROW() - 37), "")</f>
        <v>Male</v>
      </c>
      <c r="F369" s="4" cm="1">
        <f t="array" ref="F369">IFERROR(INDEX(EmployeeData[Age], ROW() - 37), "")</f>
        <v>47</v>
      </c>
      <c r="G369" s="6" cm="1">
        <f t="array" ref="G369">IFERROR(INDEX(EmployeeData[Join Date], ROW() - 37), "")</f>
        <v>43595</v>
      </c>
      <c r="H369" s="6" t="str" cm="1">
        <f t="array" ref="H369">IFERROR(IF(INDEX(EmployeeData[Exit Date], ROW() - 37)=0, "",INDEX(EmployeeData[Exit Date], ROW() - 37)),"")</f>
        <v/>
      </c>
      <c r="I369" s="4" t="str" cm="1">
        <f t="array" ref="I369">IFERROR(IF(INDEX(EmployeeData[Exit Reason], ROW() - 37)=0, "",INDEX(EmployeeData[Exit Reason], ROW() - 37)),"")</f>
        <v/>
      </c>
      <c r="J369" s="4" t="str" cm="1">
        <f t="array" ref="J369">IFERROR(INDEX(EmployeeData[Status], ROW() - 37), "")</f>
        <v>Active</v>
      </c>
    </row>
    <row r="370" spans="2:10" ht="19.95" customHeight="1" x14ac:dyDescent="0.3">
      <c r="B370" s="4" cm="1">
        <f t="array" ref="B370">IFERROR(INDEX(EmployeeData[Employee ID], ROW() - 37), "")</f>
        <v>1333</v>
      </c>
      <c r="C370" s="4" t="str" cm="1">
        <f t="array" ref="C370">IFERROR(INDEX(EmployeeData[Full Name], ROW() - 37), "")</f>
        <v>Elena Rivera</v>
      </c>
      <c r="D370" s="4" t="str" cm="1">
        <f t="array" ref="D370">IFERROR(INDEX(EmployeeData[Department], ROW() - 37), "")</f>
        <v>Sales</v>
      </c>
      <c r="E370" s="4" t="str" cm="1">
        <f t="array" ref="E370">IFERROR(INDEX(EmployeeData[Gender], ROW() - 37), "")</f>
        <v>Female</v>
      </c>
      <c r="F370" s="4" cm="1">
        <f t="array" ref="F370">IFERROR(INDEX(EmployeeData[Age], ROW() - 37), "")</f>
        <v>40</v>
      </c>
      <c r="G370" s="6" cm="1">
        <f t="array" ref="G370">IFERROR(INDEX(EmployeeData[Join Date], ROW() - 37), "")</f>
        <v>45987</v>
      </c>
      <c r="H370" s="6" t="str" cm="1">
        <f t="array" ref="H370">IFERROR(IF(INDEX(EmployeeData[Exit Date], ROW() - 37)=0, "",INDEX(EmployeeData[Exit Date], ROW() - 37)),"")</f>
        <v/>
      </c>
      <c r="I370" s="4" t="str" cm="1">
        <f t="array" ref="I370">IFERROR(IF(INDEX(EmployeeData[Exit Reason], ROW() - 37)=0, "",INDEX(EmployeeData[Exit Reason], ROW() - 37)),"")</f>
        <v/>
      </c>
      <c r="J370" s="4" t="str" cm="1">
        <f t="array" ref="J370">IFERROR(INDEX(EmployeeData[Status], ROW() - 37), "")</f>
        <v>Active</v>
      </c>
    </row>
    <row r="371" spans="2:10" ht="19.95" customHeight="1" x14ac:dyDescent="0.3">
      <c r="B371" s="4" cm="1">
        <f t="array" ref="B371">IFERROR(INDEX(EmployeeData[Employee ID], ROW() - 37), "")</f>
        <v>1334</v>
      </c>
      <c r="C371" s="4" t="str" cm="1">
        <f t="array" ref="C371">IFERROR(INDEX(EmployeeData[Full Name], ROW() - 37), "")</f>
        <v>Isabel Gonzales Figueroa</v>
      </c>
      <c r="D371" s="4" t="str" cm="1">
        <f t="array" ref="D371">IFERROR(INDEX(EmployeeData[Department], ROW() - 37), "")</f>
        <v>IT</v>
      </c>
      <c r="E371" s="4" t="str" cm="1">
        <f t="array" ref="E371">IFERROR(INDEX(EmployeeData[Gender], ROW() - 37), "")</f>
        <v>Female</v>
      </c>
      <c r="F371" s="4" cm="1">
        <f t="array" ref="F371">IFERROR(INDEX(EmployeeData[Age], ROW() - 37), "")</f>
        <v>36</v>
      </c>
      <c r="G371" s="6" cm="1">
        <f t="array" ref="G371">IFERROR(INDEX(EmployeeData[Join Date], ROW() - 37), "")</f>
        <v>44558</v>
      </c>
      <c r="H371" s="6" t="str" cm="1">
        <f t="array" ref="H371">IFERROR(IF(INDEX(EmployeeData[Exit Date], ROW() - 37)=0, "",INDEX(EmployeeData[Exit Date], ROW() - 37)),"")</f>
        <v/>
      </c>
      <c r="I371" s="4" t="str" cm="1">
        <f t="array" ref="I371">IFERROR(IF(INDEX(EmployeeData[Exit Reason], ROW() - 37)=0, "",INDEX(EmployeeData[Exit Reason], ROW() - 37)),"")</f>
        <v/>
      </c>
      <c r="J371" s="4" t="str" cm="1">
        <f t="array" ref="J371">IFERROR(INDEX(EmployeeData[Status], ROW() - 37), "")</f>
        <v>Active</v>
      </c>
    </row>
    <row r="372" spans="2:10" ht="19.95" customHeight="1" x14ac:dyDescent="0.3">
      <c r="B372" s="4" cm="1">
        <f t="array" ref="B372">IFERROR(INDEX(EmployeeData[Employee ID], ROW() - 37), "")</f>
        <v>1335</v>
      </c>
      <c r="C372" s="4" t="str" cm="1">
        <f t="array" ref="C372">IFERROR(INDEX(EmployeeData[Full Name], ROW() - 37), "")</f>
        <v>Renato Ramos Fernandez</v>
      </c>
      <c r="D372" s="4" t="str" cm="1">
        <f t="array" ref="D372">IFERROR(INDEX(EmployeeData[Department], ROW() - 37), "")</f>
        <v>Customer Support</v>
      </c>
      <c r="E372" s="4" t="str" cm="1">
        <f t="array" ref="E372">IFERROR(INDEX(EmployeeData[Gender], ROW() - 37), "")</f>
        <v>Male</v>
      </c>
      <c r="F372" s="4" cm="1">
        <f t="array" ref="F372">IFERROR(INDEX(EmployeeData[Age], ROW() - 37), "")</f>
        <v>49</v>
      </c>
      <c r="G372" s="6" cm="1">
        <f t="array" ref="G372">IFERROR(INDEX(EmployeeData[Join Date], ROW() - 37), "")</f>
        <v>45378</v>
      </c>
      <c r="H372" s="6" t="str" cm="1">
        <f t="array" ref="H372">IFERROR(IF(INDEX(EmployeeData[Exit Date], ROW() - 37)=0, "",INDEX(EmployeeData[Exit Date], ROW() - 37)),"")</f>
        <v/>
      </c>
      <c r="I372" s="4" t="str" cm="1">
        <f t="array" ref="I372">IFERROR(IF(INDEX(EmployeeData[Exit Reason], ROW() - 37)=0, "",INDEX(EmployeeData[Exit Reason], ROW() - 37)),"")</f>
        <v/>
      </c>
      <c r="J372" s="4" t="str" cm="1">
        <f t="array" ref="J372">IFERROR(INDEX(EmployeeData[Status], ROW() - 37), "")</f>
        <v>Active</v>
      </c>
    </row>
    <row r="373" spans="2:10" ht="19.95" customHeight="1" x14ac:dyDescent="0.3">
      <c r="B373" s="4" cm="1">
        <f t="array" ref="B373">IFERROR(INDEX(EmployeeData[Employee ID], ROW() - 37), "")</f>
        <v>1336</v>
      </c>
      <c r="C373" s="4" t="str" cm="1">
        <f t="array" ref="C373">IFERROR(INDEX(EmployeeData[Full Name], ROW() - 37), "")</f>
        <v>Rowena Ocampo Narvasa</v>
      </c>
      <c r="D373" s="4" t="str" cm="1">
        <f t="array" ref="D373">IFERROR(INDEX(EmployeeData[Department], ROW() - 37), "")</f>
        <v>Customer Support</v>
      </c>
      <c r="E373" s="4" t="str" cm="1">
        <f t="array" ref="E373">IFERROR(INDEX(EmployeeData[Gender], ROW() - 37), "")</f>
        <v>Female</v>
      </c>
      <c r="F373" s="4" cm="1">
        <f t="array" ref="F373">IFERROR(INDEX(EmployeeData[Age], ROW() - 37), "")</f>
        <v>35</v>
      </c>
      <c r="G373" s="6" cm="1">
        <f t="array" ref="G373">IFERROR(INDEX(EmployeeData[Join Date], ROW() - 37), "")</f>
        <v>43636</v>
      </c>
      <c r="H373" s="6" cm="1">
        <f t="array" ref="H373">IFERROR(IF(INDEX(EmployeeData[Exit Date], ROW() - 37)=0, "",INDEX(EmployeeData[Exit Date], ROW() - 37)),"")</f>
        <v>45366</v>
      </c>
      <c r="I373" s="4" t="str" cm="1">
        <f t="array" ref="I373">IFERROR(IF(INDEX(EmployeeData[Exit Reason], ROW() - 37)=0, "",INDEX(EmployeeData[Exit Reason], ROW() - 37)),"")</f>
        <v>Termination</v>
      </c>
      <c r="J373" s="4" t="str" cm="1">
        <f t="array" ref="J373">IFERROR(INDEX(EmployeeData[Status], ROW() - 37), "")</f>
        <v>Exited</v>
      </c>
    </row>
    <row r="374" spans="2:10" ht="19.95" customHeight="1" x14ac:dyDescent="0.3">
      <c r="B374" s="4" cm="1">
        <f t="array" ref="B374">IFERROR(INDEX(EmployeeData[Employee ID], ROW() - 37), "")</f>
        <v>1337</v>
      </c>
      <c r="C374" s="4" t="str" cm="1">
        <f t="array" ref="C374">IFERROR(INDEX(EmployeeData[Full Name], ROW() - 37), "")</f>
        <v>Fe Sy Mendoza</v>
      </c>
      <c r="D374" s="4" t="str" cm="1">
        <f t="array" ref="D374">IFERROR(INDEX(EmployeeData[Department], ROW() - 37), "")</f>
        <v>Customer Support</v>
      </c>
      <c r="E374" s="4" t="str" cm="1">
        <f t="array" ref="E374">IFERROR(INDEX(EmployeeData[Gender], ROW() - 37), "")</f>
        <v>Female</v>
      </c>
      <c r="F374" s="4" cm="1">
        <f t="array" ref="F374">IFERROR(INDEX(EmployeeData[Age], ROW() - 37), "")</f>
        <v>49</v>
      </c>
      <c r="G374" s="6" cm="1">
        <f t="array" ref="G374">IFERROR(INDEX(EmployeeData[Join Date], ROW() - 37), "")</f>
        <v>43628</v>
      </c>
      <c r="H374" s="6" cm="1">
        <f t="array" ref="H374">IFERROR(IF(INDEX(EmployeeData[Exit Date], ROW() - 37)=0, "",INDEX(EmployeeData[Exit Date], ROW() - 37)),"")</f>
        <v>45076</v>
      </c>
      <c r="I374" s="4" t="str" cm="1">
        <f t="array" ref="I374">IFERROR(IF(INDEX(EmployeeData[Exit Reason], ROW() - 37)=0, "",INDEX(EmployeeData[Exit Reason], ROW() - 37)),"")</f>
        <v>Better Opportunity</v>
      </c>
      <c r="J374" s="4" t="str" cm="1">
        <f t="array" ref="J374">IFERROR(INDEX(EmployeeData[Status], ROW() - 37), "")</f>
        <v>Exited</v>
      </c>
    </row>
    <row r="375" spans="2:10" ht="19.95" customHeight="1" x14ac:dyDescent="0.3">
      <c r="B375" s="4" cm="1">
        <f t="array" ref="B375">IFERROR(INDEX(EmployeeData[Employee ID], ROW() - 37), "")</f>
        <v>1338</v>
      </c>
      <c r="C375" s="4" t="str" cm="1">
        <f t="array" ref="C375">IFERROR(INDEX(EmployeeData[Full Name], ROW() - 37), "")</f>
        <v>Hernando Gonzales Crisostomo</v>
      </c>
      <c r="D375" s="4" t="str" cm="1">
        <f t="array" ref="D375">IFERROR(INDEX(EmployeeData[Department], ROW() - 37), "")</f>
        <v>Sales</v>
      </c>
      <c r="E375" s="4" t="str" cm="1">
        <f t="array" ref="E375">IFERROR(INDEX(EmployeeData[Gender], ROW() - 37), "")</f>
        <v>Male</v>
      </c>
      <c r="F375" s="4" cm="1">
        <f t="array" ref="F375">IFERROR(INDEX(EmployeeData[Age], ROW() - 37), "")</f>
        <v>22</v>
      </c>
      <c r="G375" s="6" cm="1">
        <f t="array" ref="G375">IFERROR(INDEX(EmployeeData[Join Date], ROW() - 37), "")</f>
        <v>44668</v>
      </c>
      <c r="H375" s="6" t="str" cm="1">
        <f t="array" ref="H375">IFERROR(IF(INDEX(EmployeeData[Exit Date], ROW() - 37)=0, "",INDEX(EmployeeData[Exit Date], ROW() - 37)),"")</f>
        <v/>
      </c>
      <c r="I375" s="4" t="str" cm="1">
        <f t="array" ref="I375">IFERROR(IF(INDEX(EmployeeData[Exit Reason], ROW() - 37)=0, "",INDEX(EmployeeData[Exit Reason], ROW() - 37)),"")</f>
        <v/>
      </c>
      <c r="J375" s="4" t="str" cm="1">
        <f t="array" ref="J375">IFERROR(INDEX(EmployeeData[Status], ROW() - 37), "")</f>
        <v>Active</v>
      </c>
    </row>
    <row r="376" spans="2:10" ht="19.95" customHeight="1" x14ac:dyDescent="0.3">
      <c r="B376" s="4" cm="1">
        <f t="array" ref="B376">IFERROR(INDEX(EmployeeData[Employee ID], ROW() - 37), "")</f>
        <v>1339</v>
      </c>
      <c r="C376" s="4" t="str" cm="1">
        <f t="array" ref="C376">IFERROR(INDEX(EmployeeData[Full Name], ROW() - 37), "")</f>
        <v>Renato Lim Bayani</v>
      </c>
      <c r="D376" s="4" t="str" cm="1">
        <f t="array" ref="D376">IFERROR(INDEX(EmployeeData[Department], ROW() - 37), "")</f>
        <v>IT</v>
      </c>
      <c r="E376" s="4" t="str" cm="1">
        <f t="array" ref="E376">IFERROR(INDEX(EmployeeData[Gender], ROW() - 37), "")</f>
        <v>Male</v>
      </c>
      <c r="F376" s="4" cm="1">
        <f t="array" ref="F376">IFERROR(INDEX(EmployeeData[Age], ROW() - 37), "")</f>
        <v>30</v>
      </c>
      <c r="G376" s="6" cm="1">
        <f t="array" ref="G376">IFERROR(INDEX(EmployeeData[Join Date], ROW() - 37), "")</f>
        <v>43242</v>
      </c>
      <c r="H376" s="6" t="str" cm="1">
        <f t="array" ref="H376">IFERROR(IF(INDEX(EmployeeData[Exit Date], ROW() - 37)=0, "",INDEX(EmployeeData[Exit Date], ROW() - 37)),"")</f>
        <v/>
      </c>
      <c r="I376" s="4" t="str" cm="1">
        <f t="array" ref="I376">IFERROR(IF(INDEX(EmployeeData[Exit Reason], ROW() - 37)=0, "",INDEX(EmployeeData[Exit Reason], ROW() - 37)),"")</f>
        <v/>
      </c>
      <c r="J376" s="4" t="str" cm="1">
        <f t="array" ref="J376">IFERROR(INDEX(EmployeeData[Status], ROW() - 37), "")</f>
        <v>Active</v>
      </c>
    </row>
    <row r="377" spans="2:10" ht="19.95" customHeight="1" x14ac:dyDescent="0.3">
      <c r="B377" s="4" cm="1">
        <f t="array" ref="B377">IFERROR(INDEX(EmployeeData[Employee ID], ROW() - 37), "")</f>
        <v>1340</v>
      </c>
      <c r="C377" s="4" t="str" cm="1">
        <f t="array" ref="C377">IFERROR(INDEX(EmployeeData[Full Name], ROW() - 37), "")</f>
        <v>Rafael Vega</v>
      </c>
      <c r="D377" s="4" t="str" cm="1">
        <f t="array" ref="D377">IFERROR(INDEX(EmployeeData[Department], ROW() - 37), "")</f>
        <v>Sales</v>
      </c>
      <c r="E377" s="4" t="str" cm="1">
        <f t="array" ref="E377">IFERROR(INDEX(EmployeeData[Gender], ROW() - 37), "")</f>
        <v>Male</v>
      </c>
      <c r="F377" s="4" cm="1">
        <f t="array" ref="F377">IFERROR(INDEX(EmployeeData[Age], ROW() - 37), "")</f>
        <v>26</v>
      </c>
      <c r="G377" s="6" cm="1">
        <f t="array" ref="G377">IFERROR(INDEX(EmployeeData[Join Date], ROW() - 37), "")</f>
        <v>44246</v>
      </c>
      <c r="H377" s="6" t="str" cm="1">
        <f t="array" ref="H377">IFERROR(IF(INDEX(EmployeeData[Exit Date], ROW() - 37)=0, "",INDEX(EmployeeData[Exit Date], ROW() - 37)),"")</f>
        <v/>
      </c>
      <c r="I377" s="4" t="str" cm="1">
        <f t="array" ref="I377">IFERROR(IF(INDEX(EmployeeData[Exit Reason], ROW() - 37)=0, "",INDEX(EmployeeData[Exit Reason], ROW() - 37)),"")</f>
        <v/>
      </c>
      <c r="J377" s="4" t="str" cm="1">
        <f t="array" ref="J377">IFERROR(INDEX(EmployeeData[Status], ROW() - 37), "")</f>
        <v>Active</v>
      </c>
    </row>
    <row r="378" spans="2:10" ht="19.95" customHeight="1" x14ac:dyDescent="0.3">
      <c r="B378" s="4" cm="1">
        <f t="array" ref="B378">IFERROR(INDEX(EmployeeData[Employee ID], ROW() - 37), "")</f>
        <v>1341</v>
      </c>
      <c r="C378" s="4" t="str" cm="1">
        <f t="array" ref="C378">IFERROR(INDEX(EmployeeData[Full Name], ROW() - 37), "")</f>
        <v>Mylene Ang Umali</v>
      </c>
      <c r="D378" s="4" t="str" cm="1">
        <f t="array" ref="D378">IFERROR(INDEX(EmployeeData[Department], ROW() - 37), "")</f>
        <v>Sales</v>
      </c>
      <c r="E378" s="4" t="str" cm="1">
        <f t="array" ref="E378">IFERROR(INDEX(EmployeeData[Gender], ROW() - 37), "")</f>
        <v>Female</v>
      </c>
      <c r="F378" s="4" cm="1">
        <f t="array" ref="F378">IFERROR(INDEX(EmployeeData[Age], ROW() - 37), "")</f>
        <v>55</v>
      </c>
      <c r="G378" s="6" cm="1">
        <f t="array" ref="G378">IFERROR(INDEX(EmployeeData[Join Date], ROW() - 37), "")</f>
        <v>43180</v>
      </c>
      <c r="H378" s="6" t="str" cm="1">
        <f t="array" ref="H378">IFERROR(IF(INDEX(EmployeeData[Exit Date], ROW() - 37)=0, "",INDEX(EmployeeData[Exit Date], ROW() - 37)),"")</f>
        <v/>
      </c>
      <c r="I378" s="4" t="str" cm="1">
        <f t="array" ref="I378">IFERROR(IF(INDEX(EmployeeData[Exit Reason], ROW() - 37)=0, "",INDEX(EmployeeData[Exit Reason], ROW() - 37)),"")</f>
        <v/>
      </c>
      <c r="J378" s="4" t="str" cm="1">
        <f t="array" ref="J378">IFERROR(INDEX(EmployeeData[Status], ROW() - 37), "")</f>
        <v>Active</v>
      </c>
    </row>
    <row r="379" spans="2:10" ht="19.95" customHeight="1" x14ac:dyDescent="0.3">
      <c r="B379" s="4" cm="1">
        <f t="array" ref="B379">IFERROR(INDEX(EmployeeData[Employee ID], ROW() - 37), "")</f>
        <v>1342</v>
      </c>
      <c r="C379" s="4" t="str" cm="1">
        <f t="array" ref="C379">IFERROR(INDEX(EmployeeData[Full Name], ROW() - 37), "")</f>
        <v>Ramon Chan Ang</v>
      </c>
      <c r="D379" s="4" t="str" cm="1">
        <f t="array" ref="D379">IFERROR(INDEX(EmployeeData[Department], ROW() - 37), "")</f>
        <v>IT</v>
      </c>
      <c r="E379" s="4" t="str" cm="1">
        <f t="array" ref="E379">IFERROR(INDEX(EmployeeData[Gender], ROW() - 37), "")</f>
        <v>Male</v>
      </c>
      <c r="F379" s="4" cm="1">
        <f t="array" ref="F379">IFERROR(INDEX(EmployeeData[Age], ROW() - 37), "")</f>
        <v>57</v>
      </c>
      <c r="G379" s="6" cm="1">
        <f t="array" ref="G379">IFERROR(INDEX(EmployeeData[Join Date], ROW() - 37), "")</f>
        <v>44691</v>
      </c>
      <c r="H379" s="6" cm="1">
        <f t="array" ref="H379">IFERROR(IF(INDEX(EmployeeData[Exit Date], ROW() - 37)=0, "",INDEX(EmployeeData[Exit Date], ROW() - 37)),"")</f>
        <v>44834</v>
      </c>
      <c r="I379" s="4" t="str" cm="1">
        <f t="array" ref="I379">IFERROR(IF(INDEX(EmployeeData[Exit Reason], ROW() - 37)=0, "",INDEX(EmployeeData[Exit Reason], ROW() - 37)),"")</f>
        <v>Retirement</v>
      </c>
      <c r="J379" s="4" t="str" cm="1">
        <f t="array" ref="J379">IFERROR(INDEX(EmployeeData[Status], ROW() - 37), "")</f>
        <v>Exited</v>
      </c>
    </row>
    <row r="380" spans="2:10" ht="19.95" customHeight="1" x14ac:dyDescent="0.3">
      <c r="B380" s="4" cm="1">
        <f t="array" ref="B380">IFERROR(INDEX(EmployeeData[Employee ID], ROW() - 37), "")</f>
        <v>1343</v>
      </c>
      <c r="C380" s="4" t="str" cm="1">
        <f t="array" ref="C380">IFERROR(INDEX(EmployeeData[Full Name], ROW() - 37), "")</f>
        <v>Antonio Macapagal</v>
      </c>
      <c r="D380" s="4" t="str" cm="1">
        <f t="array" ref="D380">IFERROR(INDEX(EmployeeData[Department], ROW() - 37), "")</f>
        <v>Marketing</v>
      </c>
      <c r="E380" s="4" t="str" cm="1">
        <f t="array" ref="E380">IFERROR(INDEX(EmployeeData[Gender], ROW() - 37), "")</f>
        <v>Other</v>
      </c>
      <c r="F380" s="4" cm="1">
        <f t="array" ref="F380">IFERROR(INDEX(EmployeeData[Age], ROW() - 37), "")</f>
        <v>51</v>
      </c>
      <c r="G380" s="6" cm="1">
        <f t="array" ref="G380">IFERROR(INDEX(EmployeeData[Join Date], ROW() - 37), "")</f>
        <v>43754</v>
      </c>
      <c r="H380" s="6" cm="1">
        <f t="array" ref="H380">IFERROR(IF(INDEX(EmployeeData[Exit Date], ROW() - 37)=0, "",INDEX(EmployeeData[Exit Date], ROW() - 37)),"")</f>
        <v>44831</v>
      </c>
      <c r="I380" s="4" t="str" cm="1">
        <f t="array" ref="I380">IFERROR(IF(INDEX(EmployeeData[Exit Reason], ROW() - 37)=0, "",INDEX(EmployeeData[Exit Reason], ROW() - 37)),"")</f>
        <v>Retirement</v>
      </c>
      <c r="J380" s="4" t="str" cm="1">
        <f t="array" ref="J380">IFERROR(INDEX(EmployeeData[Status], ROW() - 37), "")</f>
        <v>Exited</v>
      </c>
    </row>
    <row r="381" spans="2:10" ht="19.95" customHeight="1" x14ac:dyDescent="0.3">
      <c r="B381" s="4" cm="1">
        <f t="array" ref="B381">IFERROR(INDEX(EmployeeData[Employee ID], ROW() - 37), "")</f>
        <v>1344</v>
      </c>
      <c r="C381" s="4" t="str" cm="1">
        <f t="array" ref="C381">IFERROR(INDEX(EmployeeData[Full Name], ROW() - 37), "")</f>
        <v>Ivan Vega Ong</v>
      </c>
      <c r="D381" s="4" t="str" cm="1">
        <f t="array" ref="D381">IFERROR(INDEX(EmployeeData[Department], ROW() - 37), "")</f>
        <v>Sales</v>
      </c>
      <c r="E381" s="4" t="str" cm="1">
        <f t="array" ref="E381">IFERROR(INDEX(EmployeeData[Gender], ROW() - 37), "")</f>
        <v>Male</v>
      </c>
      <c r="F381" s="4" cm="1">
        <f t="array" ref="F381">IFERROR(INDEX(EmployeeData[Age], ROW() - 37), "")</f>
        <v>32</v>
      </c>
      <c r="G381" s="6" cm="1">
        <f t="array" ref="G381">IFERROR(INDEX(EmployeeData[Join Date], ROW() - 37), "")</f>
        <v>43822</v>
      </c>
      <c r="H381" s="6" cm="1">
        <f t="array" ref="H381">IFERROR(IF(INDEX(EmployeeData[Exit Date], ROW() - 37)=0, "",INDEX(EmployeeData[Exit Date], ROW() - 37)),"")</f>
        <v>45214</v>
      </c>
      <c r="I381" s="4" t="str" cm="1">
        <f t="array" ref="I381">IFERROR(IF(INDEX(EmployeeData[Exit Reason], ROW() - 37)=0, "",INDEX(EmployeeData[Exit Reason], ROW() - 37)),"")</f>
        <v>Resignation</v>
      </c>
      <c r="J381" s="4" t="str" cm="1">
        <f t="array" ref="J381">IFERROR(INDEX(EmployeeData[Status], ROW() - 37), "")</f>
        <v>Exited</v>
      </c>
    </row>
    <row r="382" spans="2:10" ht="19.95" customHeight="1" x14ac:dyDescent="0.3">
      <c r="B382" s="4" cm="1">
        <f t="array" ref="B382">IFERROR(INDEX(EmployeeData[Employee ID], ROW() - 37), "")</f>
        <v>1345</v>
      </c>
      <c r="C382" s="4" t="str" cm="1">
        <f t="array" ref="C382">IFERROR(INDEX(EmployeeData[Full Name], ROW() - 37), "")</f>
        <v>Ian Ang Guerrero</v>
      </c>
      <c r="D382" s="4" t="str" cm="1">
        <f t="array" ref="D382">IFERROR(INDEX(EmployeeData[Department], ROW() - 37), "")</f>
        <v>Finance</v>
      </c>
      <c r="E382" s="4" t="str" cm="1">
        <f t="array" ref="E382">IFERROR(INDEX(EmployeeData[Gender], ROW() - 37), "")</f>
        <v>Male</v>
      </c>
      <c r="F382" s="4" cm="1">
        <f t="array" ref="F382">IFERROR(INDEX(EmployeeData[Age], ROW() - 37), "")</f>
        <v>57</v>
      </c>
      <c r="G382" s="6" cm="1">
        <f t="array" ref="G382">IFERROR(INDEX(EmployeeData[Join Date], ROW() - 37), "")</f>
        <v>43872</v>
      </c>
      <c r="H382" s="6" t="str" cm="1">
        <f t="array" ref="H382">IFERROR(IF(INDEX(EmployeeData[Exit Date], ROW() - 37)=0, "",INDEX(EmployeeData[Exit Date], ROW() - 37)),"")</f>
        <v/>
      </c>
      <c r="I382" s="4" t="str" cm="1">
        <f t="array" ref="I382">IFERROR(IF(INDEX(EmployeeData[Exit Reason], ROW() - 37)=0, "",INDEX(EmployeeData[Exit Reason], ROW() - 37)),"")</f>
        <v/>
      </c>
      <c r="J382" s="4" t="str" cm="1">
        <f t="array" ref="J382">IFERROR(INDEX(EmployeeData[Status], ROW() - 37), "")</f>
        <v>Active</v>
      </c>
    </row>
    <row r="383" spans="2:10" ht="19.95" customHeight="1" x14ac:dyDescent="0.3">
      <c r="B383" s="4" cm="1">
        <f t="array" ref="B383">IFERROR(INDEX(EmployeeData[Employee ID], ROW() - 37), "")</f>
        <v>1346</v>
      </c>
      <c r="C383" s="4" t="str" cm="1">
        <f t="array" ref="C383">IFERROR(INDEX(EmployeeData[Full Name], ROW() - 37), "")</f>
        <v>Maria Mangubat</v>
      </c>
      <c r="D383" s="4" t="str" cm="1">
        <f t="array" ref="D383">IFERROR(INDEX(EmployeeData[Department], ROW() - 37), "")</f>
        <v>Customer Support</v>
      </c>
      <c r="E383" s="4" t="str" cm="1">
        <f t="array" ref="E383">IFERROR(INDEX(EmployeeData[Gender], ROW() - 37), "")</f>
        <v>Female</v>
      </c>
      <c r="F383" s="4" cm="1">
        <f t="array" ref="F383">IFERROR(INDEX(EmployeeData[Age], ROW() - 37), "")</f>
        <v>35</v>
      </c>
      <c r="G383" s="6" cm="1">
        <f t="array" ref="G383">IFERROR(INDEX(EmployeeData[Join Date], ROW() - 37), "")</f>
        <v>43182</v>
      </c>
      <c r="H383" s="6" t="str" cm="1">
        <f t="array" ref="H383">IFERROR(IF(INDEX(EmployeeData[Exit Date], ROW() - 37)=0, "",INDEX(EmployeeData[Exit Date], ROW() - 37)),"")</f>
        <v/>
      </c>
      <c r="I383" s="4" t="str" cm="1">
        <f t="array" ref="I383">IFERROR(IF(INDEX(EmployeeData[Exit Reason], ROW() - 37)=0, "",INDEX(EmployeeData[Exit Reason], ROW() - 37)),"")</f>
        <v/>
      </c>
      <c r="J383" s="4" t="str" cm="1">
        <f t="array" ref="J383">IFERROR(INDEX(EmployeeData[Status], ROW() - 37), "")</f>
        <v>Active</v>
      </c>
    </row>
    <row r="384" spans="2:10" ht="19.95" customHeight="1" x14ac:dyDescent="0.3">
      <c r="B384" s="4" cm="1">
        <f t="array" ref="B384">IFERROR(INDEX(EmployeeData[Employee ID], ROW() - 37), "")</f>
        <v>1347</v>
      </c>
      <c r="C384" s="4" t="str" cm="1">
        <f t="array" ref="C384">IFERROR(INDEX(EmployeeData[Full Name], ROW() - 37), "")</f>
        <v>Erlinda Gonzales</v>
      </c>
      <c r="D384" s="4" t="str" cm="1">
        <f t="array" ref="D384">IFERROR(INDEX(EmployeeData[Department], ROW() - 37), "")</f>
        <v>Customer Support</v>
      </c>
      <c r="E384" s="4" t="str" cm="1">
        <f t="array" ref="E384">IFERROR(INDEX(EmployeeData[Gender], ROW() - 37), "")</f>
        <v>Female</v>
      </c>
      <c r="F384" s="4" cm="1">
        <f t="array" ref="F384">IFERROR(INDEX(EmployeeData[Age], ROW() - 37), "")</f>
        <v>32</v>
      </c>
      <c r="G384" s="6" cm="1">
        <f t="array" ref="G384">IFERROR(INDEX(EmployeeData[Join Date], ROW() - 37), "")</f>
        <v>44426</v>
      </c>
      <c r="H384" s="6" cm="1">
        <f t="array" ref="H384">IFERROR(IF(INDEX(EmployeeData[Exit Date], ROW() - 37)=0, "",INDEX(EmployeeData[Exit Date], ROW() - 37)),"")</f>
        <v>44818</v>
      </c>
      <c r="I384" s="4" t="str" cm="1">
        <f t="array" ref="I384">IFERROR(IF(INDEX(EmployeeData[Exit Reason], ROW() - 37)=0, "",INDEX(EmployeeData[Exit Reason], ROW() - 37)),"")</f>
        <v>Relocation</v>
      </c>
      <c r="J384" s="4" t="str" cm="1">
        <f t="array" ref="J384">IFERROR(INDEX(EmployeeData[Status], ROW() - 37), "")</f>
        <v>Exited</v>
      </c>
    </row>
    <row r="385" spans="2:10" ht="19.95" customHeight="1" x14ac:dyDescent="0.3">
      <c r="B385" s="4" cm="1">
        <f t="array" ref="B385">IFERROR(INDEX(EmployeeData[Employee ID], ROW() - 37), "")</f>
        <v>1348</v>
      </c>
      <c r="C385" s="4" t="str" cm="1">
        <f t="array" ref="C385">IFERROR(INDEX(EmployeeData[Full Name], ROW() - 37), "")</f>
        <v>Maria Soriano Ong</v>
      </c>
      <c r="D385" s="4" t="str" cm="1">
        <f t="array" ref="D385">IFERROR(INDEX(EmployeeData[Department], ROW() - 37), "")</f>
        <v>Sales</v>
      </c>
      <c r="E385" s="4" t="str" cm="1">
        <f t="array" ref="E385">IFERROR(INDEX(EmployeeData[Gender], ROW() - 37), "")</f>
        <v>Other</v>
      </c>
      <c r="F385" s="4" cm="1">
        <f t="array" ref="F385">IFERROR(INDEX(EmployeeData[Age], ROW() - 37), "")</f>
        <v>44</v>
      </c>
      <c r="G385" s="6" cm="1">
        <f t="array" ref="G385">IFERROR(INDEX(EmployeeData[Join Date], ROW() - 37), "")</f>
        <v>45986</v>
      </c>
      <c r="H385" s="6" t="str" cm="1">
        <f t="array" ref="H385">IFERROR(IF(INDEX(EmployeeData[Exit Date], ROW() - 37)=0, "",INDEX(EmployeeData[Exit Date], ROW() - 37)),"")</f>
        <v/>
      </c>
      <c r="I385" s="4" t="str" cm="1">
        <f t="array" ref="I385">IFERROR(IF(INDEX(EmployeeData[Exit Reason], ROW() - 37)=0, "",INDEX(EmployeeData[Exit Reason], ROW() - 37)),"")</f>
        <v/>
      </c>
      <c r="J385" s="4" t="str" cm="1">
        <f t="array" ref="J385">IFERROR(INDEX(EmployeeData[Status], ROW() - 37), "")</f>
        <v>Active</v>
      </c>
    </row>
    <row r="386" spans="2:10" ht="19.95" customHeight="1" x14ac:dyDescent="0.3">
      <c r="B386" s="4" cm="1">
        <f t="array" ref="B386">IFERROR(INDEX(EmployeeData[Employee ID], ROW() - 37), "")</f>
        <v>1349</v>
      </c>
      <c r="C386" s="4" t="str" cm="1">
        <f t="array" ref="C386">IFERROR(INDEX(EmployeeData[Full Name], ROW() - 37), "")</f>
        <v>Rodel Soriano</v>
      </c>
      <c r="D386" s="4" t="str" cm="1">
        <f t="array" ref="D386">IFERROR(INDEX(EmployeeData[Department], ROW() - 37), "")</f>
        <v>IT</v>
      </c>
      <c r="E386" s="4" t="str" cm="1">
        <f t="array" ref="E386">IFERROR(INDEX(EmployeeData[Gender], ROW() - 37), "")</f>
        <v>Other</v>
      </c>
      <c r="F386" s="4" cm="1">
        <f t="array" ref="F386">IFERROR(INDEX(EmployeeData[Age], ROW() - 37), "")</f>
        <v>48</v>
      </c>
      <c r="G386" s="6" cm="1">
        <f t="array" ref="G386">IFERROR(INDEX(EmployeeData[Join Date], ROW() - 37), "")</f>
        <v>45719</v>
      </c>
      <c r="H386" s="6" t="str" cm="1">
        <f t="array" ref="H386">IFERROR(IF(INDEX(EmployeeData[Exit Date], ROW() - 37)=0, "",INDEX(EmployeeData[Exit Date], ROW() - 37)),"")</f>
        <v/>
      </c>
      <c r="I386" s="4" t="str" cm="1">
        <f t="array" ref="I386">IFERROR(IF(INDEX(EmployeeData[Exit Reason], ROW() - 37)=0, "",INDEX(EmployeeData[Exit Reason], ROW() - 37)),"")</f>
        <v/>
      </c>
      <c r="J386" s="4" t="str" cm="1">
        <f t="array" ref="J386">IFERROR(INDEX(EmployeeData[Status], ROW() - 37), "")</f>
        <v>Active</v>
      </c>
    </row>
    <row r="387" spans="2:10" ht="19.95" customHeight="1" x14ac:dyDescent="0.3">
      <c r="B387" s="4" cm="1">
        <f t="array" ref="B387">IFERROR(INDEX(EmployeeData[Employee ID], ROW() - 37), "")</f>
        <v>1350</v>
      </c>
      <c r="C387" s="4" t="str" cm="1">
        <f t="array" ref="C387">IFERROR(INDEX(EmployeeData[Full Name], ROW() - 37), "")</f>
        <v>Jose Pascual Panganiban</v>
      </c>
      <c r="D387" s="4" t="str" cm="1">
        <f t="array" ref="D387">IFERROR(INDEX(EmployeeData[Department], ROW() - 37), "")</f>
        <v>Marketing</v>
      </c>
      <c r="E387" s="4" t="str" cm="1">
        <f t="array" ref="E387">IFERROR(INDEX(EmployeeData[Gender], ROW() - 37), "")</f>
        <v>Other</v>
      </c>
      <c r="F387" s="4" cm="1">
        <f t="array" ref="F387">IFERROR(INDEX(EmployeeData[Age], ROW() - 37), "")</f>
        <v>43</v>
      </c>
      <c r="G387" s="6" cm="1">
        <f t="array" ref="G387">IFERROR(INDEX(EmployeeData[Join Date], ROW() - 37), "")</f>
        <v>44015</v>
      </c>
      <c r="H387" s="6" t="str" cm="1">
        <f t="array" ref="H387">IFERROR(IF(INDEX(EmployeeData[Exit Date], ROW() - 37)=0, "",INDEX(EmployeeData[Exit Date], ROW() - 37)),"")</f>
        <v/>
      </c>
      <c r="I387" s="4" t="str" cm="1">
        <f t="array" ref="I387">IFERROR(IF(INDEX(EmployeeData[Exit Reason], ROW() - 37)=0, "",INDEX(EmployeeData[Exit Reason], ROW() - 37)),"")</f>
        <v/>
      </c>
      <c r="J387" s="4" t="str" cm="1">
        <f t="array" ref="J387">IFERROR(INDEX(EmployeeData[Status], ROW() - 37), "")</f>
        <v>Active</v>
      </c>
    </row>
    <row r="388" spans="2:10" ht="19.95" customHeight="1" x14ac:dyDescent="0.3">
      <c r="B388" s="4" cm="1">
        <f t="array" ref="B388">IFERROR(INDEX(EmployeeData[Employee ID], ROW() - 37), "")</f>
        <v>1351</v>
      </c>
      <c r="C388" s="4" t="str" cm="1">
        <f t="array" ref="C388">IFERROR(INDEX(EmployeeData[Full Name], ROW() - 37), "")</f>
        <v>Maricel Navarro Ocampo</v>
      </c>
      <c r="D388" s="4" t="str" cm="1">
        <f t="array" ref="D388">IFERROR(INDEX(EmployeeData[Department], ROW() - 37), "")</f>
        <v>Customer Support</v>
      </c>
      <c r="E388" s="4" t="str" cm="1">
        <f t="array" ref="E388">IFERROR(INDEX(EmployeeData[Gender], ROW() - 37), "")</f>
        <v>Other</v>
      </c>
      <c r="F388" s="4" cm="1">
        <f t="array" ref="F388">IFERROR(INDEX(EmployeeData[Age], ROW() - 37), "")</f>
        <v>57</v>
      </c>
      <c r="G388" s="6" cm="1">
        <f t="array" ref="G388">IFERROR(INDEX(EmployeeData[Join Date], ROW() - 37), "")</f>
        <v>44704</v>
      </c>
      <c r="H388" s="6" t="str" cm="1">
        <f t="array" ref="H388">IFERROR(IF(INDEX(EmployeeData[Exit Date], ROW() - 37)=0, "",INDEX(EmployeeData[Exit Date], ROW() - 37)),"")</f>
        <v/>
      </c>
      <c r="I388" s="4" t="str" cm="1">
        <f t="array" ref="I388">IFERROR(IF(INDEX(EmployeeData[Exit Reason], ROW() - 37)=0, "",INDEX(EmployeeData[Exit Reason], ROW() - 37)),"")</f>
        <v/>
      </c>
      <c r="J388" s="4" t="str" cm="1">
        <f t="array" ref="J388">IFERROR(INDEX(EmployeeData[Status], ROW() - 37), "")</f>
        <v>Active</v>
      </c>
    </row>
    <row r="389" spans="2:10" ht="19.95" customHeight="1" x14ac:dyDescent="0.3">
      <c r="B389" s="4" cm="1">
        <f t="array" ref="B389">IFERROR(INDEX(EmployeeData[Employee ID], ROW() - 37), "")</f>
        <v>1352</v>
      </c>
      <c r="C389" s="4" t="str" cm="1">
        <f t="array" ref="C389">IFERROR(INDEX(EmployeeData[Full Name], ROW() - 37), "")</f>
        <v>Isabel Ocampo Mercado</v>
      </c>
      <c r="D389" s="4" t="str" cm="1">
        <f t="array" ref="D389">IFERROR(INDEX(EmployeeData[Department], ROW() - 37), "")</f>
        <v>Finance</v>
      </c>
      <c r="E389" s="4" t="str" cm="1">
        <f t="array" ref="E389">IFERROR(INDEX(EmployeeData[Gender], ROW() - 37), "")</f>
        <v>Other</v>
      </c>
      <c r="F389" s="4" cm="1">
        <f t="array" ref="F389">IFERROR(INDEX(EmployeeData[Age], ROW() - 37), "")</f>
        <v>35</v>
      </c>
      <c r="G389" s="6" cm="1">
        <f t="array" ref="G389">IFERROR(INDEX(EmployeeData[Join Date], ROW() - 37), "")</f>
        <v>45720</v>
      </c>
      <c r="H389" s="6" t="str" cm="1">
        <f t="array" ref="H389">IFERROR(IF(INDEX(EmployeeData[Exit Date], ROW() - 37)=0, "",INDEX(EmployeeData[Exit Date], ROW() - 37)),"")</f>
        <v/>
      </c>
      <c r="I389" s="4" t="str" cm="1">
        <f t="array" ref="I389">IFERROR(IF(INDEX(EmployeeData[Exit Reason], ROW() - 37)=0, "",INDEX(EmployeeData[Exit Reason], ROW() - 37)),"")</f>
        <v/>
      </c>
      <c r="J389" s="4" t="str" cm="1">
        <f t="array" ref="J389">IFERROR(INDEX(EmployeeData[Status], ROW() - 37), "")</f>
        <v>Active</v>
      </c>
    </row>
    <row r="390" spans="2:10" ht="19.95" customHeight="1" x14ac:dyDescent="0.3">
      <c r="B390" s="4" cm="1">
        <f t="array" ref="B390">IFERROR(INDEX(EmployeeData[Employee ID], ROW() - 37), "")</f>
        <v>1353</v>
      </c>
      <c r="C390" s="4" t="str" cm="1">
        <f t="array" ref="C390">IFERROR(INDEX(EmployeeData[Full Name], ROW() - 37), "")</f>
        <v>Casey Lazo</v>
      </c>
      <c r="D390" s="4" t="str" cm="1">
        <f t="array" ref="D390">IFERROR(INDEX(EmployeeData[Department], ROW() - 37), "")</f>
        <v>Customer Support</v>
      </c>
      <c r="E390" s="4" t="str" cm="1">
        <f t="array" ref="E390">IFERROR(INDEX(EmployeeData[Gender], ROW() - 37), "")</f>
        <v>Other</v>
      </c>
      <c r="F390" s="4" cm="1">
        <f t="array" ref="F390">IFERROR(INDEX(EmployeeData[Age], ROW() - 37), "")</f>
        <v>31</v>
      </c>
      <c r="G390" s="6" cm="1">
        <f t="array" ref="G390">IFERROR(INDEX(EmployeeData[Join Date], ROW() - 37), "")</f>
        <v>45706</v>
      </c>
      <c r="H390" s="6" t="str" cm="1">
        <f t="array" ref="H390">IFERROR(IF(INDEX(EmployeeData[Exit Date], ROW() - 37)=0, "",INDEX(EmployeeData[Exit Date], ROW() - 37)),"")</f>
        <v/>
      </c>
      <c r="I390" s="4" t="str" cm="1">
        <f t="array" ref="I390">IFERROR(IF(INDEX(EmployeeData[Exit Reason], ROW() - 37)=0, "",INDEX(EmployeeData[Exit Reason], ROW() - 37)),"")</f>
        <v/>
      </c>
      <c r="J390" s="4" t="str" cm="1">
        <f t="array" ref="J390">IFERROR(INDEX(EmployeeData[Status], ROW() - 37), "")</f>
        <v>Active</v>
      </c>
    </row>
    <row r="391" spans="2:10" ht="19.95" customHeight="1" x14ac:dyDescent="0.3">
      <c r="B391" s="4" cm="1">
        <f t="array" ref="B391">IFERROR(INDEX(EmployeeData[Employee ID], ROW() - 37), "")</f>
        <v>1354</v>
      </c>
      <c r="C391" s="4" t="str" cm="1">
        <f t="array" ref="C391">IFERROR(INDEX(EmployeeData[Full Name], ROW() - 37), "")</f>
        <v>Severino Lopez</v>
      </c>
      <c r="D391" s="4" t="str" cm="1">
        <f t="array" ref="D391">IFERROR(INDEX(EmployeeData[Department], ROW() - 37), "")</f>
        <v>HR</v>
      </c>
      <c r="E391" s="4" t="str" cm="1">
        <f t="array" ref="E391">IFERROR(INDEX(EmployeeData[Gender], ROW() - 37), "")</f>
        <v>Male</v>
      </c>
      <c r="F391" s="4" cm="1">
        <f t="array" ref="F391">IFERROR(INDEX(EmployeeData[Age], ROW() - 37), "")</f>
        <v>21</v>
      </c>
      <c r="G391" s="6" cm="1">
        <f t="array" ref="G391">IFERROR(INDEX(EmployeeData[Join Date], ROW() - 37), "")</f>
        <v>44187</v>
      </c>
      <c r="H391" s="6" cm="1">
        <f t="array" ref="H391">IFERROR(IF(INDEX(EmployeeData[Exit Date], ROW() - 37)=0, "",INDEX(EmployeeData[Exit Date], ROW() - 37)),"")</f>
        <v>45696</v>
      </c>
      <c r="I391" s="4" t="str" cm="1">
        <f t="array" ref="I391">IFERROR(IF(INDEX(EmployeeData[Exit Reason], ROW() - 37)=0, "",INDEX(EmployeeData[Exit Reason], ROW() - 37)),"")</f>
        <v>Better Opportunity</v>
      </c>
      <c r="J391" s="4" t="str" cm="1">
        <f t="array" ref="J391">IFERROR(INDEX(EmployeeData[Status], ROW() - 37), "")</f>
        <v>Exited</v>
      </c>
    </row>
    <row r="392" spans="2:10" ht="19.95" customHeight="1" x14ac:dyDescent="0.3">
      <c r="B392" s="4" cm="1">
        <f t="array" ref="B392">IFERROR(INDEX(EmployeeData[Employee ID], ROW() - 37), "")</f>
        <v>1355</v>
      </c>
      <c r="C392" s="4" t="str" cm="1">
        <f t="array" ref="C392">IFERROR(INDEX(EmployeeData[Full Name], ROW() - 37), "")</f>
        <v>Ian Rivera Panganiban</v>
      </c>
      <c r="D392" s="4" t="str" cm="1">
        <f t="array" ref="D392">IFERROR(INDEX(EmployeeData[Department], ROW() - 37), "")</f>
        <v>Customer Support</v>
      </c>
      <c r="E392" s="4" t="str" cm="1">
        <f t="array" ref="E392">IFERROR(INDEX(EmployeeData[Gender], ROW() - 37), "")</f>
        <v>Male</v>
      </c>
      <c r="F392" s="4" cm="1">
        <f t="array" ref="F392">IFERROR(INDEX(EmployeeData[Age], ROW() - 37), "")</f>
        <v>47</v>
      </c>
      <c r="G392" s="6" cm="1">
        <f t="array" ref="G392">IFERROR(INDEX(EmployeeData[Join Date], ROW() - 37), "")</f>
        <v>43782</v>
      </c>
      <c r="H392" s="6" t="str" cm="1">
        <f t="array" ref="H392">IFERROR(IF(INDEX(EmployeeData[Exit Date], ROW() - 37)=0, "",INDEX(EmployeeData[Exit Date], ROW() - 37)),"")</f>
        <v/>
      </c>
      <c r="I392" s="4" t="str" cm="1">
        <f t="array" ref="I392">IFERROR(IF(INDEX(EmployeeData[Exit Reason], ROW() - 37)=0, "",INDEX(EmployeeData[Exit Reason], ROW() - 37)),"")</f>
        <v/>
      </c>
      <c r="J392" s="4" t="str" cm="1">
        <f t="array" ref="J392">IFERROR(INDEX(EmployeeData[Status], ROW() - 37), "")</f>
        <v>Active</v>
      </c>
    </row>
    <row r="393" spans="2:10" ht="19.95" customHeight="1" x14ac:dyDescent="0.3">
      <c r="B393" s="4" cm="1">
        <f t="array" ref="B393">IFERROR(INDEX(EmployeeData[Employee ID], ROW() - 37), "")</f>
        <v>1356</v>
      </c>
      <c r="C393" s="4" t="str" cm="1">
        <f t="array" ref="C393">IFERROR(INDEX(EmployeeData[Full Name], ROW() - 37), "")</f>
        <v>Nicanor Cruz Aguilar</v>
      </c>
      <c r="D393" s="4" t="str" cm="1">
        <f t="array" ref="D393">IFERROR(INDEX(EmployeeData[Department], ROW() - 37), "")</f>
        <v>Customer Support</v>
      </c>
      <c r="E393" s="4" t="str" cm="1">
        <f t="array" ref="E393">IFERROR(INDEX(EmployeeData[Gender], ROW() - 37), "")</f>
        <v>Male</v>
      </c>
      <c r="F393" s="4" cm="1">
        <f t="array" ref="F393">IFERROR(INDEX(EmployeeData[Age], ROW() - 37), "")</f>
        <v>57</v>
      </c>
      <c r="G393" s="6" cm="1">
        <f t="array" ref="G393">IFERROR(INDEX(EmployeeData[Join Date], ROW() - 37), "")</f>
        <v>45767</v>
      </c>
      <c r="H393" s="6" t="str" cm="1">
        <f t="array" ref="H393">IFERROR(IF(INDEX(EmployeeData[Exit Date], ROW() - 37)=0, "",INDEX(EmployeeData[Exit Date], ROW() - 37)),"")</f>
        <v/>
      </c>
      <c r="I393" s="4" t="str" cm="1">
        <f t="array" ref="I393">IFERROR(IF(INDEX(EmployeeData[Exit Reason], ROW() - 37)=0, "",INDEX(EmployeeData[Exit Reason], ROW() - 37)),"")</f>
        <v/>
      </c>
      <c r="J393" s="4" t="str" cm="1">
        <f t="array" ref="J393">IFERROR(INDEX(EmployeeData[Status], ROW() - 37), "")</f>
        <v>Active</v>
      </c>
    </row>
    <row r="394" spans="2:10" ht="19.95" customHeight="1" x14ac:dyDescent="0.3">
      <c r="B394" s="4" cm="1">
        <f t="array" ref="B394">IFERROR(INDEX(EmployeeData[Employee ID], ROW() - 37), "")</f>
        <v>1357</v>
      </c>
      <c r="C394" s="4" t="str" cm="1">
        <f t="array" ref="C394">IFERROR(INDEX(EmployeeData[Full Name], ROW() - 37), "")</f>
        <v>Gloria Hilario</v>
      </c>
      <c r="D394" s="4" t="str" cm="1">
        <f t="array" ref="D394">IFERROR(INDEX(EmployeeData[Department], ROW() - 37), "")</f>
        <v>IT</v>
      </c>
      <c r="E394" s="4" t="str" cm="1">
        <f t="array" ref="E394">IFERROR(INDEX(EmployeeData[Gender], ROW() - 37), "")</f>
        <v>Female</v>
      </c>
      <c r="F394" s="4" cm="1">
        <f t="array" ref="F394">IFERROR(INDEX(EmployeeData[Age], ROW() - 37), "")</f>
        <v>27</v>
      </c>
      <c r="G394" s="6" cm="1">
        <f t="array" ref="G394">IFERROR(INDEX(EmployeeData[Join Date], ROW() - 37), "")</f>
        <v>43404</v>
      </c>
      <c r="H394" s="6" cm="1">
        <f t="array" ref="H394">IFERROR(IF(INDEX(EmployeeData[Exit Date], ROW() - 37)=0, "",INDEX(EmployeeData[Exit Date], ROW() - 37)),"")</f>
        <v>45031</v>
      </c>
      <c r="I394" s="4" t="str" cm="1">
        <f t="array" ref="I394">IFERROR(IF(INDEX(EmployeeData[Exit Reason], ROW() - 37)=0, "",INDEX(EmployeeData[Exit Reason], ROW() - 37)),"")</f>
        <v>Better Opportunity</v>
      </c>
      <c r="J394" s="4" t="str" cm="1">
        <f t="array" ref="J394">IFERROR(INDEX(EmployeeData[Status], ROW() - 37), "")</f>
        <v>Exited</v>
      </c>
    </row>
    <row r="395" spans="2:10" ht="19.95" customHeight="1" x14ac:dyDescent="0.3">
      <c r="B395" s="4" cm="1">
        <f t="array" ref="B395">IFERROR(INDEX(EmployeeData[Employee ID], ROW() - 37), "")</f>
        <v>1358</v>
      </c>
      <c r="C395" s="4" t="str" cm="1">
        <f t="array" ref="C395">IFERROR(INDEX(EmployeeData[Full Name], ROW() - 37), "")</f>
        <v>Timothy Diaz Aguilar</v>
      </c>
      <c r="D395" s="4" t="str" cm="1">
        <f t="array" ref="D395">IFERROR(INDEX(EmployeeData[Department], ROW() - 37), "")</f>
        <v>Finance</v>
      </c>
      <c r="E395" s="4" t="str" cm="1">
        <f t="array" ref="E395">IFERROR(INDEX(EmployeeData[Gender], ROW() - 37), "")</f>
        <v>Male</v>
      </c>
      <c r="F395" s="4" cm="1">
        <f t="array" ref="F395">IFERROR(INDEX(EmployeeData[Age], ROW() - 37), "")</f>
        <v>51</v>
      </c>
      <c r="G395" s="6" cm="1">
        <f t="array" ref="G395">IFERROR(INDEX(EmployeeData[Join Date], ROW() - 37), "")</f>
        <v>45986</v>
      </c>
      <c r="H395" s="6" cm="1">
        <f t="array" ref="H395">IFERROR(IF(INDEX(EmployeeData[Exit Date], ROW() - 37)=0, "",INDEX(EmployeeData[Exit Date], ROW() - 37)),"")</f>
        <v>46159</v>
      </c>
      <c r="I395" s="4" t="str" cm="1">
        <f t="array" ref="I395">IFERROR(IF(INDEX(EmployeeData[Exit Reason], ROW() - 37)=0, "",INDEX(EmployeeData[Exit Reason], ROW() - 37)),"")</f>
        <v>Better Opportunity</v>
      </c>
      <c r="J395" s="4" t="str" cm="1">
        <f t="array" ref="J395">IFERROR(INDEX(EmployeeData[Status], ROW() - 37), "")</f>
        <v>Exited</v>
      </c>
    </row>
    <row r="396" spans="2:10" ht="19.95" customHeight="1" x14ac:dyDescent="0.3">
      <c r="B396" s="4" cm="1">
        <f t="array" ref="B396">IFERROR(INDEX(EmployeeData[Employee ID], ROW() - 37), "")</f>
        <v>1359</v>
      </c>
      <c r="C396" s="4" t="str" cm="1">
        <f t="array" ref="C396">IFERROR(INDEX(EmployeeData[Full Name], ROW() - 37), "")</f>
        <v>Isabel Ang Tolentino</v>
      </c>
      <c r="D396" s="4" t="str" cm="1">
        <f t="array" ref="D396">IFERROR(INDEX(EmployeeData[Department], ROW() - 37), "")</f>
        <v>Customer Support</v>
      </c>
      <c r="E396" s="4" t="str" cm="1">
        <f t="array" ref="E396">IFERROR(INDEX(EmployeeData[Gender], ROW() - 37), "")</f>
        <v>Female</v>
      </c>
      <c r="F396" s="4" cm="1">
        <f t="array" ref="F396">IFERROR(INDEX(EmployeeData[Age], ROW() - 37), "")</f>
        <v>53</v>
      </c>
      <c r="G396" s="6" cm="1">
        <f t="array" ref="G396">IFERROR(INDEX(EmployeeData[Join Date], ROW() - 37), "")</f>
        <v>45313</v>
      </c>
      <c r="H396" s="6" cm="1">
        <f t="array" ref="H396">IFERROR(IF(INDEX(EmployeeData[Exit Date], ROW() - 37)=0, "",INDEX(EmployeeData[Exit Date], ROW() - 37)),"")</f>
        <v>45691</v>
      </c>
      <c r="I396" s="4" t="str" cm="1">
        <f t="array" ref="I396">IFERROR(IF(INDEX(EmployeeData[Exit Reason], ROW() - 37)=0, "",INDEX(EmployeeData[Exit Reason], ROW() - 37)),"")</f>
        <v>Retirement</v>
      </c>
      <c r="J396" s="4" t="str" cm="1">
        <f t="array" ref="J396">IFERROR(INDEX(EmployeeData[Status], ROW() - 37), "")</f>
        <v>Exited</v>
      </c>
    </row>
    <row r="397" spans="2:10" ht="19.95" customHeight="1" x14ac:dyDescent="0.3">
      <c r="B397" s="4" cm="1">
        <f t="array" ref="B397">IFERROR(INDEX(EmployeeData[Employee ID], ROW() - 37), "")</f>
        <v>1360</v>
      </c>
      <c r="C397" s="4" t="str" cm="1">
        <f t="array" ref="C397">IFERROR(INDEX(EmployeeData[Full Name], ROW() - 37), "")</f>
        <v>Ramon Pascual Santiago</v>
      </c>
      <c r="D397" s="4" t="str" cm="1">
        <f t="array" ref="D397">IFERROR(INDEX(EmployeeData[Department], ROW() - 37), "")</f>
        <v>Customer Support</v>
      </c>
      <c r="E397" s="4" t="str" cm="1">
        <f t="array" ref="E397">IFERROR(INDEX(EmployeeData[Gender], ROW() - 37), "")</f>
        <v>Male</v>
      </c>
      <c r="F397" s="4" cm="1">
        <f t="array" ref="F397">IFERROR(INDEX(EmployeeData[Age], ROW() - 37), "")</f>
        <v>48</v>
      </c>
      <c r="G397" s="6" cm="1">
        <f t="array" ref="G397">IFERROR(INDEX(EmployeeData[Join Date], ROW() - 37), "")</f>
        <v>43459</v>
      </c>
      <c r="H397" s="6" cm="1">
        <f t="array" ref="H397">IFERROR(IF(INDEX(EmployeeData[Exit Date], ROW() - 37)=0, "",INDEX(EmployeeData[Exit Date], ROW() - 37)),"")</f>
        <v>45516</v>
      </c>
      <c r="I397" s="4" t="str" cm="1">
        <f t="array" ref="I397">IFERROR(IF(INDEX(EmployeeData[Exit Reason], ROW() - 37)=0, "",INDEX(EmployeeData[Exit Reason], ROW() - 37)),"")</f>
        <v>Better Opportunity</v>
      </c>
      <c r="J397" s="4" t="str" cm="1">
        <f t="array" ref="J397">IFERROR(INDEX(EmployeeData[Status], ROW() - 37), "")</f>
        <v>Exited</v>
      </c>
    </row>
    <row r="398" spans="2:10" ht="19.95" customHeight="1" x14ac:dyDescent="0.3">
      <c r="B398" s="4" cm="1">
        <f t="array" ref="B398">IFERROR(INDEX(EmployeeData[Employee ID], ROW() - 37), "")</f>
        <v>1361</v>
      </c>
      <c r="C398" s="4" t="str" cm="1">
        <f t="array" ref="C398">IFERROR(INDEX(EmployeeData[Full Name], ROW() - 37), "")</f>
        <v>Eddie Viray</v>
      </c>
      <c r="D398" s="4" t="str" cm="1">
        <f t="array" ref="D398">IFERROR(INDEX(EmployeeData[Department], ROW() - 37), "")</f>
        <v>Finance</v>
      </c>
      <c r="E398" s="4" t="str" cm="1">
        <f t="array" ref="E398">IFERROR(INDEX(EmployeeData[Gender], ROW() - 37), "")</f>
        <v>Male</v>
      </c>
      <c r="F398" s="4" cm="1">
        <f t="array" ref="F398">IFERROR(INDEX(EmployeeData[Age], ROW() - 37), "")</f>
        <v>28</v>
      </c>
      <c r="G398" s="6" cm="1">
        <f t="array" ref="G398">IFERROR(INDEX(EmployeeData[Join Date], ROW() - 37), "")</f>
        <v>44364</v>
      </c>
      <c r="H398" s="6" t="str" cm="1">
        <f t="array" ref="H398">IFERROR(IF(INDEX(EmployeeData[Exit Date], ROW() - 37)=0, "",INDEX(EmployeeData[Exit Date], ROW() - 37)),"")</f>
        <v/>
      </c>
      <c r="I398" s="4" t="str" cm="1">
        <f t="array" ref="I398">IFERROR(IF(INDEX(EmployeeData[Exit Reason], ROW() - 37)=0, "",INDEX(EmployeeData[Exit Reason], ROW() - 37)),"")</f>
        <v/>
      </c>
      <c r="J398" s="4" t="str" cm="1">
        <f t="array" ref="J398">IFERROR(INDEX(EmployeeData[Status], ROW() - 37), "")</f>
        <v>Active</v>
      </c>
    </row>
    <row r="399" spans="2:10" ht="19.95" customHeight="1" x14ac:dyDescent="0.3">
      <c r="B399" s="4" cm="1">
        <f t="array" ref="B399">IFERROR(INDEX(EmployeeData[Employee ID], ROW() - 37), "")</f>
        <v>1362</v>
      </c>
      <c r="C399" s="4" t="str" cm="1">
        <f t="array" ref="C399">IFERROR(INDEX(EmployeeData[Full Name], ROW() - 37), "")</f>
        <v>Warren Go Garcia</v>
      </c>
      <c r="D399" s="4" t="str" cm="1">
        <f t="array" ref="D399">IFERROR(INDEX(EmployeeData[Department], ROW() - 37), "")</f>
        <v>IT</v>
      </c>
      <c r="E399" s="4" t="str" cm="1">
        <f t="array" ref="E399">IFERROR(INDEX(EmployeeData[Gender], ROW() - 37), "")</f>
        <v>Male</v>
      </c>
      <c r="F399" s="4" cm="1">
        <f t="array" ref="F399">IFERROR(INDEX(EmployeeData[Age], ROW() - 37), "")</f>
        <v>45</v>
      </c>
      <c r="G399" s="6" cm="1">
        <f t="array" ref="G399">IFERROR(INDEX(EmployeeData[Join Date], ROW() - 37), "")</f>
        <v>43858</v>
      </c>
      <c r="H399" s="6" cm="1">
        <f t="array" ref="H399">IFERROR(IF(INDEX(EmployeeData[Exit Date], ROW() - 37)=0, "",INDEX(EmployeeData[Exit Date], ROW() - 37)),"")</f>
        <v>45510</v>
      </c>
      <c r="I399" s="4" t="str" cm="1">
        <f t="array" ref="I399">IFERROR(IF(INDEX(EmployeeData[Exit Reason], ROW() - 37)=0, "",INDEX(EmployeeData[Exit Reason], ROW() - 37)),"")</f>
        <v>Termination</v>
      </c>
      <c r="J399" s="4" t="str" cm="1">
        <f t="array" ref="J399">IFERROR(INDEX(EmployeeData[Status], ROW() - 37), "")</f>
        <v>Exited</v>
      </c>
    </row>
    <row r="400" spans="2:10" ht="19.95" customHeight="1" x14ac:dyDescent="0.3">
      <c r="B400" s="4" cm="1">
        <f t="array" ref="B400">IFERROR(INDEX(EmployeeData[Employee ID], ROW() - 37), "")</f>
        <v>1363</v>
      </c>
      <c r="C400" s="4" t="str" cm="1">
        <f t="array" ref="C400">IFERROR(INDEX(EmployeeData[Full Name], ROW() - 37), "")</f>
        <v>Efren Ramirez Guerrero</v>
      </c>
      <c r="D400" s="4" t="str" cm="1">
        <f t="array" ref="D400">IFERROR(INDEX(EmployeeData[Department], ROW() - 37), "")</f>
        <v>IT</v>
      </c>
      <c r="E400" s="4" t="str" cm="1">
        <f t="array" ref="E400">IFERROR(INDEX(EmployeeData[Gender], ROW() - 37), "")</f>
        <v>Other</v>
      </c>
      <c r="F400" s="4" cm="1">
        <f t="array" ref="F400">IFERROR(INDEX(EmployeeData[Age], ROW() - 37), "")</f>
        <v>57</v>
      </c>
      <c r="G400" s="6" cm="1">
        <f t="array" ref="G400">IFERROR(INDEX(EmployeeData[Join Date], ROW() - 37), "")</f>
        <v>43353</v>
      </c>
      <c r="H400" s="6" cm="1">
        <f t="array" ref="H400">IFERROR(IF(INDEX(EmployeeData[Exit Date], ROW() - 37)=0, "",INDEX(EmployeeData[Exit Date], ROW() - 37)),"")</f>
        <v>43839</v>
      </c>
      <c r="I400" s="4" t="str" cm="1">
        <f t="array" ref="I400">IFERROR(IF(INDEX(EmployeeData[Exit Reason], ROW() - 37)=0, "",INDEX(EmployeeData[Exit Reason], ROW() - 37)),"")</f>
        <v>Better Opportunity</v>
      </c>
      <c r="J400" s="4" t="str" cm="1">
        <f t="array" ref="J400">IFERROR(INDEX(EmployeeData[Status], ROW() - 37), "")</f>
        <v>Exited</v>
      </c>
    </row>
    <row r="401" spans="2:10" ht="19.95" customHeight="1" x14ac:dyDescent="0.3">
      <c r="B401" s="4" cm="1">
        <f t="array" ref="B401">IFERROR(INDEX(EmployeeData[Employee ID], ROW() - 37), "")</f>
        <v>1364</v>
      </c>
      <c r="C401" s="4" t="str" cm="1">
        <f t="array" ref="C401">IFERROR(INDEX(EmployeeData[Full Name], ROW() - 37), "")</f>
        <v>Elena Macapagal</v>
      </c>
      <c r="D401" s="4" t="str" cm="1">
        <f t="array" ref="D401">IFERROR(INDEX(EmployeeData[Department], ROW() - 37), "")</f>
        <v>Marketing</v>
      </c>
      <c r="E401" s="4" t="str" cm="1">
        <f t="array" ref="E401">IFERROR(INDEX(EmployeeData[Gender], ROW() - 37), "")</f>
        <v>Other</v>
      </c>
      <c r="F401" s="4" cm="1">
        <f t="array" ref="F401">IFERROR(INDEX(EmployeeData[Age], ROW() - 37), "")</f>
        <v>54</v>
      </c>
      <c r="G401" s="6" cm="1">
        <f t="array" ref="G401">IFERROR(INDEX(EmployeeData[Join Date], ROW() - 37), "")</f>
        <v>44815</v>
      </c>
      <c r="H401" s="6" t="str" cm="1">
        <f t="array" ref="H401">IFERROR(IF(INDEX(EmployeeData[Exit Date], ROW() - 37)=0, "",INDEX(EmployeeData[Exit Date], ROW() - 37)),"")</f>
        <v/>
      </c>
      <c r="I401" s="4" t="str" cm="1">
        <f t="array" ref="I401">IFERROR(IF(INDEX(EmployeeData[Exit Reason], ROW() - 37)=0, "",INDEX(EmployeeData[Exit Reason], ROW() - 37)),"")</f>
        <v/>
      </c>
      <c r="J401" s="4" t="str" cm="1">
        <f t="array" ref="J401">IFERROR(INDEX(EmployeeData[Status], ROW() - 37), "")</f>
        <v>Active</v>
      </c>
    </row>
    <row r="402" spans="2:10" ht="19.95" customHeight="1" x14ac:dyDescent="0.3">
      <c r="B402" s="4" cm="1">
        <f t="array" ref="B402">IFERROR(INDEX(EmployeeData[Employee ID], ROW() - 37), "")</f>
        <v>1365</v>
      </c>
      <c r="C402" s="4" t="str" cm="1">
        <f t="array" ref="C402">IFERROR(INDEX(EmployeeData[Full Name], ROW() - 37), "")</f>
        <v>Mae Macapagal</v>
      </c>
      <c r="D402" s="4" t="str" cm="1">
        <f t="array" ref="D402">IFERROR(INDEX(EmployeeData[Department], ROW() - 37), "")</f>
        <v>Marketing</v>
      </c>
      <c r="E402" s="4" t="str" cm="1">
        <f t="array" ref="E402">IFERROR(INDEX(EmployeeData[Gender], ROW() - 37), "")</f>
        <v>Female</v>
      </c>
      <c r="F402" s="4" cm="1">
        <f t="array" ref="F402">IFERROR(INDEX(EmployeeData[Age], ROW() - 37), "")</f>
        <v>23</v>
      </c>
      <c r="G402" s="6" cm="1">
        <f t="array" ref="G402">IFERROR(INDEX(EmployeeData[Join Date], ROW() - 37), "")</f>
        <v>45157</v>
      </c>
      <c r="H402" s="6" t="str" cm="1">
        <f t="array" ref="H402">IFERROR(IF(INDEX(EmployeeData[Exit Date], ROW() - 37)=0, "",INDEX(EmployeeData[Exit Date], ROW() - 37)),"")</f>
        <v/>
      </c>
      <c r="I402" s="4" t="str" cm="1">
        <f t="array" ref="I402">IFERROR(IF(INDEX(EmployeeData[Exit Reason], ROW() - 37)=0, "",INDEX(EmployeeData[Exit Reason], ROW() - 37)),"")</f>
        <v/>
      </c>
      <c r="J402" s="4" t="str" cm="1">
        <f t="array" ref="J402">IFERROR(INDEX(EmployeeData[Status], ROW() - 37), "")</f>
        <v>Active</v>
      </c>
    </row>
    <row r="403" spans="2:10" ht="19.95" customHeight="1" x14ac:dyDescent="0.3">
      <c r="B403" s="4" cm="1">
        <f t="array" ref="B403">IFERROR(INDEX(EmployeeData[Employee ID], ROW() - 37), "")</f>
        <v>1366</v>
      </c>
      <c r="C403" s="4" t="str" cm="1">
        <f t="array" ref="C403">IFERROR(INDEX(EmployeeData[Full Name], ROW() - 37), "")</f>
        <v>Imelda Rivera</v>
      </c>
      <c r="D403" s="4" t="str" cm="1">
        <f t="array" ref="D403">IFERROR(INDEX(EmployeeData[Department], ROW() - 37), "")</f>
        <v>Marketing</v>
      </c>
      <c r="E403" s="4" t="str" cm="1">
        <f t="array" ref="E403">IFERROR(INDEX(EmployeeData[Gender], ROW() - 37), "")</f>
        <v>Female</v>
      </c>
      <c r="F403" s="4" cm="1">
        <f t="array" ref="F403">IFERROR(INDEX(EmployeeData[Age], ROW() - 37), "")</f>
        <v>49</v>
      </c>
      <c r="G403" s="6" cm="1">
        <f t="array" ref="G403">IFERROR(INDEX(EmployeeData[Join Date], ROW() - 37), "")</f>
        <v>43809</v>
      </c>
      <c r="H403" s="6" t="str" cm="1">
        <f t="array" ref="H403">IFERROR(IF(INDEX(EmployeeData[Exit Date], ROW() - 37)=0, "",INDEX(EmployeeData[Exit Date], ROW() - 37)),"")</f>
        <v/>
      </c>
      <c r="I403" s="4" t="str" cm="1">
        <f t="array" ref="I403">IFERROR(IF(INDEX(EmployeeData[Exit Reason], ROW() - 37)=0, "",INDEX(EmployeeData[Exit Reason], ROW() - 37)),"")</f>
        <v/>
      </c>
      <c r="J403" s="4" t="str" cm="1">
        <f t="array" ref="J403">IFERROR(INDEX(EmployeeData[Status], ROW() - 37), "")</f>
        <v>Active</v>
      </c>
    </row>
    <row r="404" spans="2:10" ht="19.95" customHeight="1" x14ac:dyDescent="0.3">
      <c r="B404" s="4" cm="1">
        <f t="array" ref="B404">IFERROR(INDEX(EmployeeData[Employee ID], ROW() - 37), "")</f>
        <v>1367</v>
      </c>
      <c r="C404" s="4" t="str" cm="1">
        <f t="array" ref="C404">IFERROR(INDEX(EmployeeData[Full Name], ROW() - 37), "")</f>
        <v>Diosdado Ocampo Perez</v>
      </c>
      <c r="D404" s="4" t="str" cm="1">
        <f t="array" ref="D404">IFERROR(INDEX(EmployeeData[Department], ROW() - 37), "")</f>
        <v>Customer Support</v>
      </c>
      <c r="E404" s="4" t="str" cm="1">
        <f t="array" ref="E404">IFERROR(INDEX(EmployeeData[Gender], ROW() - 37), "")</f>
        <v>Male</v>
      </c>
      <c r="F404" s="4" cm="1">
        <f t="array" ref="F404">IFERROR(INDEX(EmployeeData[Age], ROW() - 37), "")</f>
        <v>48</v>
      </c>
      <c r="G404" s="6" cm="1">
        <f t="array" ref="G404">IFERROR(INDEX(EmployeeData[Join Date], ROW() - 37), "")</f>
        <v>43928</v>
      </c>
      <c r="H404" s="6" t="str" cm="1">
        <f t="array" ref="H404">IFERROR(IF(INDEX(EmployeeData[Exit Date], ROW() - 37)=0, "",INDEX(EmployeeData[Exit Date], ROW() - 37)),"")</f>
        <v/>
      </c>
      <c r="I404" s="4" t="str" cm="1">
        <f t="array" ref="I404">IFERROR(IF(INDEX(EmployeeData[Exit Reason], ROW() - 37)=0, "",INDEX(EmployeeData[Exit Reason], ROW() - 37)),"")</f>
        <v/>
      </c>
      <c r="J404" s="4" t="str" cm="1">
        <f t="array" ref="J404">IFERROR(INDEX(EmployeeData[Status], ROW() - 37), "")</f>
        <v>Active</v>
      </c>
    </row>
    <row r="405" spans="2:10" ht="19.95" customHeight="1" x14ac:dyDescent="0.3">
      <c r="B405" s="4" cm="1">
        <f t="array" ref="B405">IFERROR(INDEX(EmployeeData[Employee ID], ROW() - 37), "")</f>
        <v>1368</v>
      </c>
      <c r="C405" s="4" t="str" cm="1">
        <f t="array" ref="C405">IFERROR(INDEX(EmployeeData[Full Name], ROW() - 37), "")</f>
        <v>Larry Roque</v>
      </c>
      <c r="D405" s="4" t="str" cm="1">
        <f t="array" ref="D405">IFERROR(INDEX(EmployeeData[Department], ROW() - 37), "")</f>
        <v>Customer Support</v>
      </c>
      <c r="E405" s="4" t="str" cm="1">
        <f t="array" ref="E405">IFERROR(INDEX(EmployeeData[Gender], ROW() - 37), "")</f>
        <v>Male</v>
      </c>
      <c r="F405" s="4" cm="1">
        <f t="array" ref="F405">IFERROR(INDEX(EmployeeData[Age], ROW() - 37), "")</f>
        <v>56</v>
      </c>
      <c r="G405" s="6" cm="1">
        <f t="array" ref="G405">IFERROR(INDEX(EmployeeData[Join Date], ROW() - 37), "")</f>
        <v>44436</v>
      </c>
      <c r="H405" s="6" t="str" cm="1">
        <f t="array" ref="H405">IFERROR(IF(INDEX(EmployeeData[Exit Date], ROW() - 37)=0, "",INDEX(EmployeeData[Exit Date], ROW() - 37)),"")</f>
        <v/>
      </c>
      <c r="I405" s="4" t="str" cm="1">
        <f t="array" ref="I405">IFERROR(IF(INDEX(EmployeeData[Exit Reason], ROW() - 37)=0, "",INDEX(EmployeeData[Exit Reason], ROW() - 37)),"")</f>
        <v/>
      </c>
      <c r="J405" s="4" t="str" cm="1">
        <f t="array" ref="J405">IFERROR(INDEX(EmployeeData[Status], ROW() - 37), "")</f>
        <v>Active</v>
      </c>
    </row>
    <row r="406" spans="2:10" ht="19.95" customHeight="1" x14ac:dyDescent="0.3">
      <c r="B406" s="4" cm="1">
        <f t="array" ref="B406">IFERROR(INDEX(EmployeeData[Employee ID], ROW() - 37), "")</f>
        <v>1369</v>
      </c>
      <c r="C406" s="4" t="str" cm="1">
        <f t="array" ref="C406">IFERROR(INDEX(EmployeeData[Full Name], ROW() - 37), "")</f>
        <v>Morgan Mendoza Camacho</v>
      </c>
      <c r="D406" s="4" t="str" cm="1">
        <f t="array" ref="D406">IFERROR(INDEX(EmployeeData[Department], ROW() - 37), "")</f>
        <v>Customer Support</v>
      </c>
      <c r="E406" s="4" t="str" cm="1">
        <f t="array" ref="E406">IFERROR(INDEX(EmployeeData[Gender], ROW() - 37), "")</f>
        <v>Other</v>
      </c>
      <c r="F406" s="4" cm="1">
        <f t="array" ref="F406">IFERROR(INDEX(EmployeeData[Age], ROW() - 37), "")</f>
        <v>58</v>
      </c>
      <c r="G406" s="6" cm="1">
        <f t="array" ref="G406">IFERROR(INDEX(EmployeeData[Join Date], ROW() - 37), "")</f>
        <v>45241</v>
      </c>
      <c r="H406" s="6" t="str" cm="1">
        <f t="array" ref="H406">IFERROR(IF(INDEX(EmployeeData[Exit Date], ROW() - 37)=0, "",INDEX(EmployeeData[Exit Date], ROW() - 37)),"")</f>
        <v/>
      </c>
      <c r="I406" s="4" t="str" cm="1">
        <f t="array" ref="I406">IFERROR(IF(INDEX(EmployeeData[Exit Reason], ROW() - 37)=0, "",INDEX(EmployeeData[Exit Reason], ROW() - 37)),"")</f>
        <v/>
      </c>
      <c r="J406" s="4" t="str" cm="1">
        <f t="array" ref="J406">IFERROR(INDEX(EmployeeData[Status], ROW() - 37), "")</f>
        <v>Active</v>
      </c>
    </row>
    <row r="407" spans="2:10" ht="19.95" customHeight="1" x14ac:dyDescent="0.3">
      <c r="B407" s="4" cm="1">
        <f t="array" ref="B407">IFERROR(INDEX(EmployeeData[Employee ID], ROW() - 37), "")</f>
        <v>1370</v>
      </c>
      <c r="C407" s="4" t="str" cm="1">
        <f t="array" ref="C407">IFERROR(INDEX(EmployeeData[Full Name], ROW() - 37), "")</f>
        <v>Harold Ang Bondoc</v>
      </c>
      <c r="D407" s="4" t="str" cm="1">
        <f t="array" ref="D407">IFERROR(INDEX(EmployeeData[Department], ROW() - 37), "")</f>
        <v>Finance</v>
      </c>
      <c r="E407" s="4" t="str" cm="1">
        <f t="array" ref="E407">IFERROR(INDEX(EmployeeData[Gender], ROW() - 37), "")</f>
        <v>Male</v>
      </c>
      <c r="F407" s="4" cm="1">
        <f t="array" ref="F407">IFERROR(INDEX(EmployeeData[Age], ROW() - 37), "")</f>
        <v>27</v>
      </c>
      <c r="G407" s="6" cm="1">
        <f t="array" ref="G407">IFERROR(INDEX(EmployeeData[Join Date], ROW() - 37), "")</f>
        <v>44272</v>
      </c>
      <c r="H407" s="6" t="str" cm="1">
        <f t="array" ref="H407">IFERROR(IF(INDEX(EmployeeData[Exit Date], ROW() - 37)=0, "",INDEX(EmployeeData[Exit Date], ROW() - 37)),"")</f>
        <v/>
      </c>
      <c r="I407" s="4" t="str" cm="1">
        <f t="array" ref="I407">IFERROR(IF(INDEX(EmployeeData[Exit Reason], ROW() - 37)=0, "",INDEX(EmployeeData[Exit Reason], ROW() - 37)),"")</f>
        <v/>
      </c>
      <c r="J407" s="4" t="str" cm="1">
        <f t="array" ref="J407">IFERROR(INDEX(EmployeeData[Status], ROW() - 37), "")</f>
        <v>Active</v>
      </c>
    </row>
    <row r="408" spans="2:10" ht="19.95" customHeight="1" x14ac:dyDescent="0.3">
      <c r="B408" s="4" cm="1">
        <f t="array" ref="B408">IFERROR(INDEX(EmployeeData[Employee ID], ROW() - 37), "")</f>
        <v>1371</v>
      </c>
      <c r="C408" s="4" t="str" cm="1">
        <f t="array" ref="C408">IFERROR(INDEX(EmployeeData[Full Name], ROW() - 37), "")</f>
        <v>Bong Guevarra</v>
      </c>
      <c r="D408" s="4" t="str" cm="1">
        <f t="array" ref="D408">IFERROR(INDEX(EmployeeData[Department], ROW() - 37), "")</f>
        <v>Marketing</v>
      </c>
      <c r="E408" s="4" t="str" cm="1">
        <f t="array" ref="E408">IFERROR(INDEX(EmployeeData[Gender], ROW() - 37), "")</f>
        <v>Male</v>
      </c>
      <c r="F408" s="4" cm="1">
        <f t="array" ref="F408">IFERROR(INDEX(EmployeeData[Age], ROW() - 37), "")</f>
        <v>32</v>
      </c>
      <c r="G408" s="6" cm="1">
        <f t="array" ref="G408">IFERROR(INDEX(EmployeeData[Join Date], ROW() - 37), "")</f>
        <v>44229</v>
      </c>
      <c r="H408" s="6" t="str" cm="1">
        <f t="array" ref="H408">IFERROR(IF(INDEX(EmployeeData[Exit Date], ROW() - 37)=0, "",INDEX(EmployeeData[Exit Date], ROW() - 37)),"")</f>
        <v/>
      </c>
      <c r="I408" s="4" t="str" cm="1">
        <f t="array" ref="I408">IFERROR(IF(INDEX(EmployeeData[Exit Reason], ROW() - 37)=0, "",INDEX(EmployeeData[Exit Reason], ROW() - 37)),"")</f>
        <v/>
      </c>
      <c r="J408" s="4" t="str" cm="1">
        <f t="array" ref="J408">IFERROR(INDEX(EmployeeData[Status], ROW() - 37), "")</f>
        <v>Active</v>
      </c>
    </row>
    <row r="409" spans="2:10" ht="19.95" customHeight="1" x14ac:dyDescent="0.3">
      <c r="B409" s="4" cm="1">
        <f t="array" ref="B409">IFERROR(INDEX(EmployeeData[Employee ID], ROW() - 37), "")</f>
        <v>1372</v>
      </c>
      <c r="C409" s="4" t="str" cm="1">
        <f t="array" ref="C409">IFERROR(INDEX(EmployeeData[Full Name], ROW() - 37), "")</f>
        <v>Ronaldo Soriano Cruz</v>
      </c>
      <c r="D409" s="4" t="str" cm="1">
        <f t="array" ref="D409">IFERROR(INDEX(EmployeeData[Department], ROW() - 37), "")</f>
        <v>Customer Support</v>
      </c>
      <c r="E409" s="4" t="str" cm="1">
        <f t="array" ref="E409">IFERROR(INDEX(EmployeeData[Gender], ROW() - 37), "")</f>
        <v>Other</v>
      </c>
      <c r="F409" s="4" cm="1">
        <f t="array" ref="F409">IFERROR(INDEX(EmployeeData[Age], ROW() - 37), "")</f>
        <v>42</v>
      </c>
      <c r="G409" s="6" cm="1">
        <f t="array" ref="G409">IFERROR(INDEX(EmployeeData[Join Date], ROW() - 37), "")</f>
        <v>45929</v>
      </c>
      <c r="H409" s="6" cm="1">
        <f t="array" ref="H409">IFERROR(IF(INDEX(EmployeeData[Exit Date], ROW() - 37)=0, "",INDEX(EmployeeData[Exit Date], ROW() - 37)),"")</f>
        <v>46140</v>
      </c>
      <c r="I409" s="4" t="str" cm="1">
        <f t="array" ref="I409">IFERROR(IF(INDEX(EmployeeData[Exit Reason], ROW() - 37)=0, "",INDEX(EmployeeData[Exit Reason], ROW() - 37)),"")</f>
        <v>Contract End</v>
      </c>
      <c r="J409" s="4" t="str" cm="1">
        <f t="array" ref="J409">IFERROR(INDEX(EmployeeData[Status], ROW() - 37), "")</f>
        <v>Exited</v>
      </c>
    </row>
    <row r="410" spans="2:10" ht="19.95" customHeight="1" x14ac:dyDescent="0.3">
      <c r="B410" s="4" cm="1">
        <f t="array" ref="B410">IFERROR(INDEX(EmployeeData[Employee ID], ROW() - 37), "")</f>
        <v>1373</v>
      </c>
      <c r="C410" s="4" t="str" cm="1">
        <f t="array" ref="C410">IFERROR(INDEX(EmployeeData[Full Name], ROW() - 37), "")</f>
        <v>Rodel Wong</v>
      </c>
      <c r="D410" s="4" t="str" cm="1">
        <f t="array" ref="D410">IFERROR(INDEX(EmployeeData[Department], ROW() - 37), "")</f>
        <v>IT</v>
      </c>
      <c r="E410" s="4" t="str" cm="1">
        <f t="array" ref="E410">IFERROR(INDEX(EmployeeData[Gender], ROW() - 37), "")</f>
        <v>Other</v>
      </c>
      <c r="F410" s="4" cm="1">
        <f t="array" ref="F410">IFERROR(INDEX(EmployeeData[Age], ROW() - 37), "")</f>
        <v>27</v>
      </c>
      <c r="G410" s="6" cm="1">
        <f t="array" ref="G410">IFERROR(INDEX(EmployeeData[Join Date], ROW() - 37), "")</f>
        <v>44034</v>
      </c>
      <c r="H410" s="6" cm="1">
        <f t="array" ref="H410">IFERROR(IF(INDEX(EmployeeData[Exit Date], ROW() - 37)=0, "",INDEX(EmployeeData[Exit Date], ROW() - 37)),"")</f>
        <v>45938</v>
      </c>
      <c r="I410" s="4" t="str" cm="1">
        <f t="array" ref="I410">IFERROR(IF(INDEX(EmployeeData[Exit Reason], ROW() - 37)=0, "",INDEX(EmployeeData[Exit Reason], ROW() - 37)),"")</f>
        <v>Personal Reasons</v>
      </c>
      <c r="J410" s="4" t="str" cm="1">
        <f t="array" ref="J410">IFERROR(INDEX(EmployeeData[Status], ROW() - 37), "")</f>
        <v>Exited</v>
      </c>
    </row>
    <row r="411" spans="2:10" ht="19.95" customHeight="1" x14ac:dyDescent="0.3">
      <c r="B411" s="4" cm="1">
        <f t="array" ref="B411">IFERROR(INDEX(EmployeeData[Employee ID], ROW() - 37), "")</f>
        <v>1374</v>
      </c>
      <c r="C411" s="4" t="str" cm="1">
        <f t="array" ref="C411">IFERROR(INDEX(EmployeeData[Full Name], ROW() - 37), "")</f>
        <v>Wendy Santiago San Pedro</v>
      </c>
      <c r="D411" s="4" t="str" cm="1">
        <f t="array" ref="D411">IFERROR(INDEX(EmployeeData[Department], ROW() - 37), "")</f>
        <v>Marketing</v>
      </c>
      <c r="E411" s="4" t="str" cm="1">
        <f t="array" ref="E411">IFERROR(INDEX(EmployeeData[Gender], ROW() - 37), "")</f>
        <v>Female</v>
      </c>
      <c r="F411" s="4" cm="1">
        <f t="array" ref="F411">IFERROR(INDEX(EmployeeData[Age], ROW() - 37), "")</f>
        <v>49</v>
      </c>
      <c r="G411" s="6" cm="1">
        <f t="array" ref="G411">IFERROR(INDEX(EmployeeData[Join Date], ROW() - 37), "")</f>
        <v>43966</v>
      </c>
      <c r="H411" s="6" t="str" cm="1">
        <f t="array" ref="H411">IFERROR(IF(INDEX(EmployeeData[Exit Date], ROW() - 37)=0, "",INDEX(EmployeeData[Exit Date], ROW() - 37)),"")</f>
        <v/>
      </c>
      <c r="I411" s="4" t="str" cm="1">
        <f t="array" ref="I411">IFERROR(IF(INDEX(EmployeeData[Exit Reason], ROW() - 37)=0, "",INDEX(EmployeeData[Exit Reason], ROW() - 37)),"")</f>
        <v/>
      </c>
      <c r="J411" s="4" t="str" cm="1">
        <f t="array" ref="J411">IFERROR(INDEX(EmployeeData[Status], ROW() - 37), "")</f>
        <v>Active</v>
      </c>
    </row>
    <row r="412" spans="2:10" ht="19.95" customHeight="1" x14ac:dyDescent="0.3">
      <c r="B412" s="4" cm="1">
        <f t="array" ref="B412">IFERROR(INDEX(EmployeeData[Employee ID], ROW() - 37), "")</f>
        <v>1375</v>
      </c>
      <c r="C412" s="4" t="str" cm="1">
        <f t="array" ref="C412">IFERROR(INDEX(EmployeeData[Full Name], ROW() - 37), "")</f>
        <v>Mark Castro Lozano</v>
      </c>
      <c r="D412" s="4" t="str" cm="1">
        <f t="array" ref="D412">IFERROR(INDEX(EmployeeData[Department], ROW() - 37), "")</f>
        <v>Sales</v>
      </c>
      <c r="E412" s="4" t="str" cm="1">
        <f t="array" ref="E412">IFERROR(INDEX(EmployeeData[Gender], ROW() - 37), "")</f>
        <v>Male</v>
      </c>
      <c r="F412" s="4" cm="1">
        <f t="array" ref="F412">IFERROR(INDEX(EmployeeData[Age], ROW() - 37), "")</f>
        <v>31</v>
      </c>
      <c r="G412" s="6" cm="1">
        <f t="array" ref="G412">IFERROR(INDEX(EmployeeData[Join Date], ROW() - 37), "")</f>
        <v>43369</v>
      </c>
      <c r="H412" s="6" cm="1">
        <f t="array" ref="H412">IFERROR(IF(INDEX(EmployeeData[Exit Date], ROW() - 37)=0, "",INDEX(EmployeeData[Exit Date], ROW() - 37)),"")</f>
        <v>45534</v>
      </c>
      <c r="I412" s="4" t="str" cm="1">
        <f t="array" ref="I412">IFERROR(IF(INDEX(EmployeeData[Exit Reason], ROW() - 37)=0, "",INDEX(EmployeeData[Exit Reason], ROW() - 37)),"")</f>
        <v>Termination</v>
      </c>
      <c r="J412" s="4" t="str" cm="1">
        <f t="array" ref="J412">IFERROR(INDEX(EmployeeData[Status], ROW() - 37), "")</f>
        <v>Exited</v>
      </c>
    </row>
    <row r="413" spans="2:10" ht="19.95" customHeight="1" x14ac:dyDescent="0.3">
      <c r="B413" s="4" cm="1">
        <f t="array" ref="B413">IFERROR(INDEX(EmployeeData[Employee ID], ROW() - 37), "")</f>
        <v>1376</v>
      </c>
      <c r="C413" s="4" t="str" cm="1">
        <f t="array" ref="C413">IFERROR(INDEX(EmployeeData[Full Name], ROW() - 37), "")</f>
        <v>Maribel Go Ang</v>
      </c>
      <c r="D413" s="4" t="str" cm="1">
        <f t="array" ref="D413">IFERROR(INDEX(EmployeeData[Department], ROW() - 37), "")</f>
        <v>Sales</v>
      </c>
      <c r="E413" s="4" t="str" cm="1">
        <f t="array" ref="E413">IFERROR(INDEX(EmployeeData[Gender], ROW() - 37), "")</f>
        <v>Female</v>
      </c>
      <c r="F413" s="4" cm="1">
        <f t="array" ref="F413">IFERROR(INDEX(EmployeeData[Age], ROW() - 37), "")</f>
        <v>24</v>
      </c>
      <c r="G413" s="6" cm="1">
        <f t="array" ref="G413">IFERROR(INDEX(EmployeeData[Join Date], ROW() - 37), "")</f>
        <v>44122</v>
      </c>
      <c r="H413" s="6" cm="1">
        <f t="array" ref="H413">IFERROR(IF(INDEX(EmployeeData[Exit Date], ROW() - 37)=0, "",INDEX(EmployeeData[Exit Date], ROW() - 37)),"")</f>
        <v>44315</v>
      </c>
      <c r="I413" s="4" t="str" cm="1">
        <f t="array" ref="I413">IFERROR(IF(INDEX(EmployeeData[Exit Reason], ROW() - 37)=0, "",INDEX(EmployeeData[Exit Reason], ROW() - 37)),"")</f>
        <v>Resignation</v>
      </c>
      <c r="J413" s="4" t="str" cm="1">
        <f t="array" ref="J413">IFERROR(INDEX(EmployeeData[Status], ROW() - 37), "")</f>
        <v>Exited</v>
      </c>
    </row>
    <row r="414" spans="2:10" ht="19.95" customHeight="1" x14ac:dyDescent="0.3">
      <c r="B414" s="4" cm="1">
        <f t="array" ref="B414">IFERROR(INDEX(EmployeeData[Employee ID], ROW() - 37), "")</f>
        <v>1377</v>
      </c>
      <c r="C414" s="4" t="str" cm="1">
        <f t="array" ref="C414">IFERROR(INDEX(EmployeeData[Full Name], ROW() - 37), "")</f>
        <v>Warren Soriano</v>
      </c>
      <c r="D414" s="4" t="str" cm="1">
        <f t="array" ref="D414">IFERROR(INDEX(EmployeeData[Department], ROW() - 37), "")</f>
        <v>Marketing</v>
      </c>
      <c r="E414" s="4" t="str" cm="1">
        <f t="array" ref="E414">IFERROR(INDEX(EmployeeData[Gender], ROW() - 37), "")</f>
        <v>Male</v>
      </c>
      <c r="F414" s="4" cm="1">
        <f t="array" ref="F414">IFERROR(INDEX(EmployeeData[Age], ROW() - 37), "")</f>
        <v>28</v>
      </c>
      <c r="G414" s="6" cm="1">
        <f t="array" ref="G414">IFERROR(INDEX(EmployeeData[Join Date], ROW() - 37), "")</f>
        <v>45891</v>
      </c>
      <c r="H414" s="6" cm="1">
        <f t="array" ref="H414">IFERROR(IF(INDEX(EmployeeData[Exit Date], ROW() - 37)=0, "",INDEX(EmployeeData[Exit Date], ROW() - 37)),"")</f>
        <v>46076</v>
      </c>
      <c r="I414" s="4" t="str" cm="1">
        <f t="array" ref="I414">IFERROR(IF(INDEX(EmployeeData[Exit Reason], ROW() - 37)=0, "",INDEX(EmployeeData[Exit Reason], ROW() - 37)),"")</f>
        <v>Health Issues</v>
      </c>
      <c r="J414" s="4" t="str" cm="1">
        <f t="array" ref="J414">IFERROR(INDEX(EmployeeData[Status], ROW() - 37), "")</f>
        <v>Exited</v>
      </c>
    </row>
    <row r="415" spans="2:10" ht="19.95" customHeight="1" x14ac:dyDescent="0.3">
      <c r="B415" s="4" cm="1">
        <f t="array" ref="B415">IFERROR(INDEX(EmployeeData[Employee ID], ROW() - 37), "")</f>
        <v>1378</v>
      </c>
      <c r="C415" s="4" t="str" cm="1">
        <f t="array" ref="C415">IFERROR(INDEX(EmployeeData[Full Name], ROW() - 37), "")</f>
        <v>Teodoro Del Rosario</v>
      </c>
      <c r="D415" s="4" t="str" cm="1">
        <f t="array" ref="D415">IFERROR(INDEX(EmployeeData[Department], ROW() - 37), "")</f>
        <v>Marketing</v>
      </c>
      <c r="E415" s="4" t="str" cm="1">
        <f t="array" ref="E415">IFERROR(INDEX(EmployeeData[Gender], ROW() - 37), "")</f>
        <v>Male</v>
      </c>
      <c r="F415" s="4" cm="1">
        <f t="array" ref="F415">IFERROR(INDEX(EmployeeData[Age], ROW() - 37), "")</f>
        <v>43</v>
      </c>
      <c r="G415" s="6" cm="1">
        <f t="array" ref="G415">IFERROR(INDEX(EmployeeData[Join Date], ROW() - 37), "")</f>
        <v>43770</v>
      </c>
      <c r="H415" s="6" t="str" cm="1">
        <f t="array" ref="H415">IFERROR(IF(INDEX(EmployeeData[Exit Date], ROW() - 37)=0, "",INDEX(EmployeeData[Exit Date], ROW() - 37)),"")</f>
        <v/>
      </c>
      <c r="I415" s="4" t="str" cm="1">
        <f t="array" ref="I415">IFERROR(IF(INDEX(EmployeeData[Exit Reason], ROW() - 37)=0, "",INDEX(EmployeeData[Exit Reason], ROW() - 37)),"")</f>
        <v/>
      </c>
      <c r="J415" s="4" t="str" cm="1">
        <f t="array" ref="J415">IFERROR(INDEX(EmployeeData[Status], ROW() - 37), "")</f>
        <v>Active</v>
      </c>
    </row>
    <row r="416" spans="2:10" ht="19.95" customHeight="1" x14ac:dyDescent="0.3">
      <c r="B416" s="4" cm="1">
        <f t="array" ref="B416">IFERROR(INDEX(EmployeeData[Employee ID], ROW() - 37), "")</f>
        <v>1379</v>
      </c>
      <c r="C416" s="4" t="str" cm="1">
        <f t="array" ref="C416">IFERROR(INDEX(EmployeeData[Full Name], ROW() - 37), "")</f>
        <v>Ofelia Tan</v>
      </c>
      <c r="D416" s="4" t="str" cm="1">
        <f t="array" ref="D416">IFERROR(INDEX(EmployeeData[Department], ROW() - 37), "")</f>
        <v>Customer Support</v>
      </c>
      <c r="E416" s="4" t="str" cm="1">
        <f t="array" ref="E416">IFERROR(INDEX(EmployeeData[Gender], ROW() - 37), "")</f>
        <v>Female</v>
      </c>
      <c r="F416" s="4" cm="1">
        <f t="array" ref="F416">IFERROR(INDEX(EmployeeData[Age], ROW() - 37), "")</f>
        <v>24</v>
      </c>
      <c r="G416" s="6" cm="1">
        <f t="array" ref="G416">IFERROR(INDEX(EmployeeData[Join Date], ROW() - 37), "")</f>
        <v>43768</v>
      </c>
      <c r="H416" s="6" t="str" cm="1">
        <f t="array" ref="H416">IFERROR(IF(INDEX(EmployeeData[Exit Date], ROW() - 37)=0, "",INDEX(EmployeeData[Exit Date], ROW() - 37)),"")</f>
        <v/>
      </c>
      <c r="I416" s="4" t="str" cm="1">
        <f t="array" ref="I416">IFERROR(IF(INDEX(EmployeeData[Exit Reason], ROW() - 37)=0, "",INDEX(EmployeeData[Exit Reason], ROW() - 37)),"")</f>
        <v/>
      </c>
      <c r="J416" s="4" t="str" cm="1">
        <f t="array" ref="J416">IFERROR(INDEX(EmployeeData[Status], ROW() - 37), "")</f>
        <v>Active</v>
      </c>
    </row>
    <row r="417" spans="2:10" ht="19.95" customHeight="1" x14ac:dyDescent="0.3">
      <c r="B417" s="4" cm="1">
        <f t="array" ref="B417">IFERROR(INDEX(EmployeeData[Employee ID], ROW() - 37), "")</f>
        <v>1380</v>
      </c>
      <c r="C417" s="4" t="str" cm="1">
        <f t="array" ref="C417">IFERROR(INDEX(EmployeeData[Full Name], ROW() - 37), "")</f>
        <v>Ana Tuazon</v>
      </c>
      <c r="D417" s="4" t="str" cm="1">
        <f t="array" ref="D417">IFERROR(INDEX(EmployeeData[Department], ROW() - 37), "")</f>
        <v>HR</v>
      </c>
      <c r="E417" s="4" t="str" cm="1">
        <f t="array" ref="E417">IFERROR(INDEX(EmployeeData[Gender], ROW() - 37), "")</f>
        <v>Female</v>
      </c>
      <c r="F417" s="4" cm="1">
        <f t="array" ref="F417">IFERROR(INDEX(EmployeeData[Age], ROW() - 37), "")</f>
        <v>47</v>
      </c>
      <c r="G417" s="6" cm="1">
        <f t="array" ref="G417">IFERROR(INDEX(EmployeeData[Join Date], ROW() - 37), "")</f>
        <v>45203</v>
      </c>
      <c r="H417" s="6" cm="1">
        <f t="array" ref="H417">IFERROR(IF(INDEX(EmployeeData[Exit Date], ROW() - 37)=0, "",INDEX(EmployeeData[Exit Date], ROW() - 37)),"")</f>
        <v>46092</v>
      </c>
      <c r="I417" s="4" t="str" cm="1">
        <f t="array" ref="I417">IFERROR(IF(INDEX(EmployeeData[Exit Reason], ROW() - 37)=0, "",INDEX(EmployeeData[Exit Reason], ROW() - 37)),"")</f>
        <v>Contract End</v>
      </c>
      <c r="J417" s="4" t="str" cm="1">
        <f t="array" ref="J417">IFERROR(INDEX(EmployeeData[Status], ROW() - 37), "")</f>
        <v>Exited</v>
      </c>
    </row>
    <row r="418" spans="2:10" ht="19.95" customHeight="1" x14ac:dyDescent="0.3">
      <c r="B418" s="4" cm="1">
        <f t="array" ref="B418">IFERROR(INDEX(EmployeeData[Employee ID], ROW() - 37), "")</f>
        <v>1381</v>
      </c>
      <c r="C418" s="4" t="str" cm="1">
        <f t="array" ref="C418">IFERROR(INDEX(EmployeeData[Full Name], ROW() - 37), "")</f>
        <v>Vicente Estrada</v>
      </c>
      <c r="D418" s="4" t="str" cm="1">
        <f t="array" ref="D418">IFERROR(INDEX(EmployeeData[Department], ROW() - 37), "")</f>
        <v>HR</v>
      </c>
      <c r="E418" s="4" t="str" cm="1">
        <f t="array" ref="E418">IFERROR(INDEX(EmployeeData[Gender], ROW() - 37), "")</f>
        <v>Male</v>
      </c>
      <c r="F418" s="4" cm="1">
        <f t="array" ref="F418">IFERROR(INDEX(EmployeeData[Age], ROW() - 37), "")</f>
        <v>21</v>
      </c>
      <c r="G418" s="6" cm="1">
        <f t="array" ref="G418">IFERROR(INDEX(EmployeeData[Join Date], ROW() - 37), "")</f>
        <v>44017</v>
      </c>
      <c r="H418" s="6" cm="1">
        <f t="array" ref="H418">IFERROR(IF(INDEX(EmployeeData[Exit Date], ROW() - 37)=0, "",INDEX(EmployeeData[Exit Date], ROW() - 37)),"")</f>
        <v>45358</v>
      </c>
      <c r="I418" s="4" t="str" cm="1">
        <f t="array" ref="I418">IFERROR(IF(INDEX(EmployeeData[Exit Reason], ROW() - 37)=0, "",INDEX(EmployeeData[Exit Reason], ROW() - 37)),"")</f>
        <v>Personal Reasons</v>
      </c>
      <c r="J418" s="4" t="str" cm="1">
        <f t="array" ref="J418">IFERROR(INDEX(EmployeeData[Status], ROW() - 37), "")</f>
        <v>Exited</v>
      </c>
    </row>
    <row r="419" spans="2:10" ht="19.95" customHeight="1" x14ac:dyDescent="0.3">
      <c r="B419" s="4" cm="1">
        <f t="array" ref="B419">IFERROR(INDEX(EmployeeData[Employee ID], ROW() - 37), "")</f>
        <v>1382</v>
      </c>
      <c r="C419" s="4" t="str" cm="1">
        <f t="array" ref="C419">IFERROR(INDEX(EmployeeData[Full Name], ROW() - 37), "")</f>
        <v>Nathan Santiago Narvasa</v>
      </c>
      <c r="D419" s="4" t="str" cm="1">
        <f t="array" ref="D419">IFERROR(INDEX(EmployeeData[Department], ROW() - 37), "")</f>
        <v>Sales</v>
      </c>
      <c r="E419" s="4" t="str" cm="1">
        <f t="array" ref="E419">IFERROR(INDEX(EmployeeData[Gender], ROW() - 37), "")</f>
        <v>Male</v>
      </c>
      <c r="F419" s="4" cm="1">
        <f t="array" ref="F419">IFERROR(INDEX(EmployeeData[Age], ROW() - 37), "")</f>
        <v>34</v>
      </c>
      <c r="G419" s="6" cm="1">
        <f t="array" ref="G419">IFERROR(INDEX(EmployeeData[Join Date], ROW() - 37), "")</f>
        <v>45012</v>
      </c>
      <c r="H419" s="6" cm="1">
        <f t="array" ref="H419">IFERROR(IF(INDEX(EmployeeData[Exit Date], ROW() - 37)=0, "",INDEX(EmployeeData[Exit Date], ROW() - 37)),"")</f>
        <v>46168</v>
      </c>
      <c r="I419" s="4" t="str" cm="1">
        <f t="array" ref="I419">IFERROR(IF(INDEX(EmployeeData[Exit Reason], ROW() - 37)=0, "",INDEX(EmployeeData[Exit Reason], ROW() - 37)),"")</f>
        <v>Resignation</v>
      </c>
      <c r="J419" s="4" t="str" cm="1">
        <f t="array" ref="J419">IFERROR(INDEX(EmployeeData[Status], ROW() - 37), "")</f>
        <v>Exited</v>
      </c>
    </row>
    <row r="420" spans="2:10" ht="19.95" customHeight="1" x14ac:dyDescent="0.3">
      <c r="B420" s="4" cm="1">
        <f t="array" ref="B420">IFERROR(INDEX(EmployeeData[Employee ID], ROW() - 37), "")</f>
        <v>1383</v>
      </c>
      <c r="C420" s="4" t="str" cm="1">
        <f t="array" ref="C420">IFERROR(INDEX(EmployeeData[Full Name], ROW() - 37), "")</f>
        <v>Ferdi Aguilar Aquino</v>
      </c>
      <c r="D420" s="4" t="str" cm="1">
        <f t="array" ref="D420">IFERROR(INDEX(EmployeeData[Department], ROW() - 37), "")</f>
        <v>Marketing</v>
      </c>
      <c r="E420" s="4" t="str" cm="1">
        <f t="array" ref="E420">IFERROR(INDEX(EmployeeData[Gender], ROW() - 37), "")</f>
        <v>Male</v>
      </c>
      <c r="F420" s="4" cm="1">
        <f t="array" ref="F420">IFERROR(INDEX(EmployeeData[Age], ROW() - 37), "")</f>
        <v>39</v>
      </c>
      <c r="G420" s="6" cm="1">
        <f t="array" ref="G420">IFERROR(INDEX(EmployeeData[Join Date], ROW() - 37), "")</f>
        <v>44323</v>
      </c>
      <c r="H420" s="6" t="str" cm="1">
        <f t="array" ref="H420">IFERROR(IF(INDEX(EmployeeData[Exit Date], ROW() - 37)=0, "",INDEX(EmployeeData[Exit Date], ROW() - 37)),"")</f>
        <v/>
      </c>
      <c r="I420" s="4" t="str" cm="1">
        <f t="array" ref="I420">IFERROR(IF(INDEX(EmployeeData[Exit Reason], ROW() - 37)=0, "",INDEX(EmployeeData[Exit Reason], ROW() - 37)),"")</f>
        <v/>
      </c>
      <c r="J420" s="4" t="str" cm="1">
        <f t="array" ref="J420">IFERROR(INDEX(EmployeeData[Status], ROW() - 37), "")</f>
        <v>Active</v>
      </c>
    </row>
    <row r="421" spans="2:10" ht="19.95" customHeight="1" x14ac:dyDescent="0.3">
      <c r="B421" s="4" cm="1">
        <f t="array" ref="B421">IFERROR(INDEX(EmployeeData[Employee ID], ROW() - 37), "")</f>
        <v>1384</v>
      </c>
      <c r="C421" s="4" t="str" cm="1">
        <f t="array" ref="C421">IFERROR(INDEX(EmployeeData[Full Name], ROW() - 37), "")</f>
        <v>Manuel Mercado Diaz</v>
      </c>
      <c r="D421" s="4" t="str" cm="1">
        <f t="array" ref="D421">IFERROR(INDEX(EmployeeData[Department], ROW() - 37), "")</f>
        <v>HR</v>
      </c>
      <c r="E421" s="4" t="str" cm="1">
        <f t="array" ref="E421">IFERROR(INDEX(EmployeeData[Gender], ROW() - 37), "")</f>
        <v>Other</v>
      </c>
      <c r="F421" s="4" cm="1">
        <f t="array" ref="F421">IFERROR(INDEX(EmployeeData[Age], ROW() - 37), "")</f>
        <v>37</v>
      </c>
      <c r="G421" s="6" cm="1">
        <f t="array" ref="G421">IFERROR(INDEX(EmployeeData[Join Date], ROW() - 37), "")</f>
        <v>45788</v>
      </c>
      <c r="H421" s="6" t="str" cm="1">
        <f t="array" ref="H421">IFERROR(IF(INDEX(EmployeeData[Exit Date], ROW() - 37)=0, "",INDEX(EmployeeData[Exit Date], ROW() - 37)),"")</f>
        <v/>
      </c>
      <c r="I421" s="4" t="str" cm="1">
        <f t="array" ref="I421">IFERROR(IF(INDEX(EmployeeData[Exit Reason], ROW() - 37)=0, "",INDEX(EmployeeData[Exit Reason], ROW() - 37)),"")</f>
        <v/>
      </c>
      <c r="J421" s="4" t="str" cm="1">
        <f t="array" ref="J421">IFERROR(INDEX(EmployeeData[Status], ROW() - 37), "")</f>
        <v>Active</v>
      </c>
    </row>
    <row r="422" spans="2:10" ht="19.95" customHeight="1" x14ac:dyDescent="0.3">
      <c r="B422" s="4" cm="1">
        <f t="array" ref="B422">IFERROR(INDEX(EmployeeData[Employee ID], ROW() - 37), "")</f>
        <v>1385</v>
      </c>
      <c r="C422" s="4" t="str" cm="1">
        <f t="array" ref="C422">IFERROR(INDEX(EmployeeData[Full Name], ROW() - 37), "")</f>
        <v>Isabel Lim Chua</v>
      </c>
      <c r="D422" s="4" t="str" cm="1">
        <f t="array" ref="D422">IFERROR(INDEX(EmployeeData[Department], ROW() - 37), "")</f>
        <v>Sales</v>
      </c>
      <c r="E422" s="4" t="str" cm="1">
        <f t="array" ref="E422">IFERROR(INDEX(EmployeeData[Gender], ROW() - 37), "")</f>
        <v>Other</v>
      </c>
      <c r="F422" s="4" cm="1">
        <f t="array" ref="F422">IFERROR(INDEX(EmployeeData[Age], ROW() - 37), "")</f>
        <v>46</v>
      </c>
      <c r="G422" s="6" cm="1">
        <f t="array" ref="G422">IFERROR(INDEX(EmployeeData[Join Date], ROW() - 37), "")</f>
        <v>45806</v>
      </c>
      <c r="H422" s="6" cm="1">
        <f t="array" ref="H422">IFERROR(IF(INDEX(EmployeeData[Exit Date], ROW() - 37)=0, "",INDEX(EmployeeData[Exit Date], ROW() - 37)),"")</f>
        <v>45967</v>
      </c>
      <c r="I422" s="4" t="str" cm="1">
        <f t="array" ref="I422">IFERROR(IF(INDEX(EmployeeData[Exit Reason], ROW() - 37)=0, "",INDEX(EmployeeData[Exit Reason], ROW() - 37)),"")</f>
        <v>Personal Reasons</v>
      </c>
      <c r="J422" s="4" t="str" cm="1">
        <f t="array" ref="J422">IFERROR(INDEX(EmployeeData[Status], ROW() - 37), "")</f>
        <v>Exited</v>
      </c>
    </row>
    <row r="423" spans="2:10" ht="19.95" customHeight="1" x14ac:dyDescent="0.3">
      <c r="B423" s="4" cm="1">
        <f t="array" ref="B423">IFERROR(INDEX(EmployeeData[Employee ID], ROW() - 37), "")</f>
        <v>1386</v>
      </c>
      <c r="C423" s="4" t="str" cm="1">
        <f t="array" ref="C423">IFERROR(INDEX(EmployeeData[Full Name], ROW() - 37), "")</f>
        <v>Miguel Buenaventura</v>
      </c>
      <c r="D423" s="4" t="str" cm="1">
        <f t="array" ref="D423">IFERROR(INDEX(EmployeeData[Department], ROW() - 37), "")</f>
        <v>IT</v>
      </c>
      <c r="E423" s="4" t="str" cm="1">
        <f t="array" ref="E423">IFERROR(INDEX(EmployeeData[Gender], ROW() - 37), "")</f>
        <v>Other</v>
      </c>
      <c r="F423" s="4" cm="1">
        <f t="array" ref="F423">IFERROR(INDEX(EmployeeData[Age], ROW() - 37), "")</f>
        <v>58</v>
      </c>
      <c r="G423" s="6" cm="1">
        <f t="array" ref="G423">IFERROR(INDEX(EmployeeData[Join Date], ROW() - 37), "")</f>
        <v>46001</v>
      </c>
      <c r="H423" s="6" t="str" cm="1">
        <f t="array" ref="H423">IFERROR(IF(INDEX(EmployeeData[Exit Date], ROW() - 37)=0, "",INDEX(EmployeeData[Exit Date], ROW() - 37)),"")</f>
        <v/>
      </c>
      <c r="I423" s="4" t="str" cm="1">
        <f t="array" ref="I423">IFERROR(IF(INDEX(EmployeeData[Exit Reason], ROW() - 37)=0, "",INDEX(EmployeeData[Exit Reason], ROW() - 37)),"")</f>
        <v/>
      </c>
      <c r="J423" s="4" t="str" cm="1">
        <f t="array" ref="J423">IFERROR(INDEX(EmployeeData[Status], ROW() - 37), "")</f>
        <v>Active</v>
      </c>
    </row>
    <row r="424" spans="2:10" ht="19.95" customHeight="1" x14ac:dyDescent="0.3">
      <c r="B424" s="4" cm="1">
        <f t="array" ref="B424">IFERROR(INDEX(EmployeeData[Employee ID], ROW() - 37), "")</f>
        <v>1387</v>
      </c>
      <c r="C424" s="4" t="str" cm="1">
        <f t="array" ref="C424">IFERROR(INDEX(EmployeeData[Full Name], ROW() - 37), "")</f>
        <v>Roy Chan Navarro</v>
      </c>
      <c r="D424" s="4" t="str" cm="1">
        <f t="array" ref="D424">IFERROR(INDEX(EmployeeData[Department], ROW() - 37), "")</f>
        <v>Customer Support</v>
      </c>
      <c r="E424" s="4" t="str" cm="1">
        <f t="array" ref="E424">IFERROR(INDEX(EmployeeData[Gender], ROW() - 37), "")</f>
        <v>Male</v>
      </c>
      <c r="F424" s="4" cm="1">
        <f t="array" ref="F424">IFERROR(INDEX(EmployeeData[Age], ROW() - 37), "")</f>
        <v>51</v>
      </c>
      <c r="G424" s="6" cm="1">
        <f t="array" ref="G424">IFERROR(INDEX(EmployeeData[Join Date], ROW() - 37), "")</f>
        <v>45852</v>
      </c>
      <c r="H424" s="6" cm="1">
        <f t="array" ref="H424">IFERROR(IF(INDEX(EmployeeData[Exit Date], ROW() - 37)=0, "",INDEX(EmployeeData[Exit Date], ROW() - 37)),"")</f>
        <v>46018</v>
      </c>
      <c r="I424" s="4" t="str" cm="1">
        <f t="array" ref="I424">IFERROR(IF(INDEX(EmployeeData[Exit Reason], ROW() - 37)=0, "",INDEX(EmployeeData[Exit Reason], ROW() - 37)),"")</f>
        <v>Resignation</v>
      </c>
      <c r="J424" s="4" t="str" cm="1">
        <f t="array" ref="J424">IFERROR(INDEX(EmployeeData[Status], ROW() - 37), "")</f>
        <v>Exited</v>
      </c>
    </row>
    <row r="425" spans="2:10" ht="19.95" customHeight="1" x14ac:dyDescent="0.3">
      <c r="B425" s="4" cm="1">
        <f t="array" ref="B425">IFERROR(INDEX(EmployeeData[Employee ID], ROW() - 37), "")</f>
        <v>1388</v>
      </c>
      <c r="C425" s="4" t="str" cm="1">
        <f t="array" ref="C425">IFERROR(INDEX(EmployeeData[Full Name], ROW() - 37), "")</f>
        <v>Joy Vega Corpuz</v>
      </c>
      <c r="D425" s="4" t="str" cm="1">
        <f t="array" ref="D425">IFERROR(INDEX(EmployeeData[Department], ROW() - 37), "")</f>
        <v>Customer Support</v>
      </c>
      <c r="E425" s="4" t="str" cm="1">
        <f t="array" ref="E425">IFERROR(INDEX(EmployeeData[Gender], ROW() - 37), "")</f>
        <v>Female</v>
      </c>
      <c r="F425" s="4" cm="1">
        <f t="array" ref="F425">IFERROR(INDEX(EmployeeData[Age], ROW() - 37), "")</f>
        <v>56</v>
      </c>
      <c r="G425" s="6" cm="1">
        <f t="array" ref="G425">IFERROR(INDEX(EmployeeData[Join Date], ROW() - 37), "")</f>
        <v>43850</v>
      </c>
      <c r="H425" s="6" t="str" cm="1">
        <f t="array" ref="H425">IFERROR(IF(INDEX(EmployeeData[Exit Date], ROW() - 37)=0, "",INDEX(EmployeeData[Exit Date], ROW() - 37)),"")</f>
        <v/>
      </c>
      <c r="I425" s="4" t="str" cm="1">
        <f t="array" ref="I425">IFERROR(IF(INDEX(EmployeeData[Exit Reason], ROW() - 37)=0, "",INDEX(EmployeeData[Exit Reason], ROW() - 37)),"")</f>
        <v/>
      </c>
      <c r="J425" s="4" t="str" cm="1">
        <f t="array" ref="J425">IFERROR(INDEX(EmployeeData[Status], ROW() - 37), "")</f>
        <v>Active</v>
      </c>
    </row>
    <row r="426" spans="2:10" ht="19.95" customHeight="1" x14ac:dyDescent="0.3">
      <c r="B426" s="4" cm="1">
        <f t="array" ref="B426">IFERROR(INDEX(EmployeeData[Employee ID], ROW() - 37), "")</f>
        <v>1389</v>
      </c>
      <c r="C426" s="4" t="str" cm="1">
        <f t="array" ref="C426">IFERROR(INDEX(EmployeeData[Full Name], ROW() - 37), "")</f>
        <v>Elena Mendoza</v>
      </c>
      <c r="D426" s="4" t="str" cm="1">
        <f t="array" ref="D426">IFERROR(INDEX(EmployeeData[Department], ROW() - 37), "")</f>
        <v>Customer Support</v>
      </c>
      <c r="E426" s="4" t="str" cm="1">
        <f t="array" ref="E426">IFERROR(INDEX(EmployeeData[Gender], ROW() - 37), "")</f>
        <v>Other</v>
      </c>
      <c r="F426" s="4" cm="1">
        <f t="array" ref="F426">IFERROR(INDEX(EmployeeData[Age], ROW() - 37), "")</f>
        <v>53</v>
      </c>
      <c r="G426" s="6" cm="1">
        <f t="array" ref="G426">IFERROR(INDEX(EmployeeData[Join Date], ROW() - 37), "")</f>
        <v>44458</v>
      </c>
      <c r="H426" s="6" cm="1">
        <f t="array" ref="H426">IFERROR(IF(INDEX(EmployeeData[Exit Date], ROW() - 37)=0, "",INDEX(EmployeeData[Exit Date], ROW() - 37)),"")</f>
        <v>45747</v>
      </c>
      <c r="I426" s="4" t="str" cm="1">
        <f t="array" ref="I426">IFERROR(IF(INDEX(EmployeeData[Exit Reason], ROW() - 37)=0, "",INDEX(EmployeeData[Exit Reason], ROW() - 37)),"")</f>
        <v>Retirement</v>
      </c>
      <c r="J426" s="4" t="str" cm="1">
        <f t="array" ref="J426">IFERROR(INDEX(EmployeeData[Status], ROW() - 37), "")</f>
        <v>Exited</v>
      </c>
    </row>
    <row r="427" spans="2:10" ht="19.95" customHeight="1" x14ac:dyDescent="0.3">
      <c r="B427" s="4" cm="1">
        <f t="array" ref="B427">IFERROR(INDEX(EmployeeData[Employee ID], ROW() - 37), "")</f>
        <v>1390</v>
      </c>
      <c r="C427" s="4" t="str" cm="1">
        <f t="array" ref="C427">IFERROR(INDEX(EmployeeData[Full Name], ROW() - 37), "")</f>
        <v>Pilar Castro</v>
      </c>
      <c r="D427" s="4" t="str" cm="1">
        <f t="array" ref="D427">IFERROR(INDEX(EmployeeData[Department], ROW() - 37), "")</f>
        <v>Marketing</v>
      </c>
      <c r="E427" s="4" t="str" cm="1">
        <f t="array" ref="E427">IFERROR(INDEX(EmployeeData[Gender], ROW() - 37), "")</f>
        <v>Other</v>
      </c>
      <c r="F427" s="4" cm="1">
        <f t="array" ref="F427">IFERROR(INDEX(EmployeeData[Age], ROW() - 37), "")</f>
        <v>25</v>
      </c>
      <c r="G427" s="6" cm="1">
        <f t="array" ref="G427">IFERROR(INDEX(EmployeeData[Join Date], ROW() - 37), "")</f>
        <v>45035</v>
      </c>
      <c r="H427" s="6" t="str" cm="1">
        <f t="array" ref="H427">IFERROR(IF(INDEX(EmployeeData[Exit Date], ROW() - 37)=0, "",INDEX(EmployeeData[Exit Date], ROW() - 37)),"")</f>
        <v/>
      </c>
      <c r="I427" s="4" t="str" cm="1">
        <f t="array" ref="I427">IFERROR(IF(INDEX(EmployeeData[Exit Reason], ROW() - 37)=0, "",INDEX(EmployeeData[Exit Reason], ROW() - 37)),"")</f>
        <v/>
      </c>
      <c r="J427" s="4" t="str" cm="1">
        <f t="array" ref="J427">IFERROR(INDEX(EmployeeData[Status], ROW() - 37), "")</f>
        <v>Active</v>
      </c>
    </row>
    <row r="428" spans="2:10" ht="19.95" customHeight="1" x14ac:dyDescent="0.3">
      <c r="B428" s="4" cm="1">
        <f t="array" ref="B428">IFERROR(INDEX(EmployeeData[Employee ID], ROW() - 37), "")</f>
        <v>1391</v>
      </c>
      <c r="C428" s="4" t="str" cm="1">
        <f t="array" ref="C428">IFERROR(INDEX(EmployeeData[Full Name], ROW() - 37), "")</f>
        <v>Tess Gonzales Roque</v>
      </c>
      <c r="D428" s="4" t="str" cm="1">
        <f t="array" ref="D428">IFERROR(INDEX(EmployeeData[Department], ROW() - 37), "")</f>
        <v>IT</v>
      </c>
      <c r="E428" s="4" t="str" cm="1">
        <f t="array" ref="E428">IFERROR(INDEX(EmployeeData[Gender], ROW() - 37), "")</f>
        <v>Female</v>
      </c>
      <c r="F428" s="4" cm="1">
        <f t="array" ref="F428">IFERROR(INDEX(EmployeeData[Age], ROW() - 37), "")</f>
        <v>24</v>
      </c>
      <c r="G428" s="6" cm="1">
        <f t="array" ref="G428">IFERROR(INDEX(EmployeeData[Join Date], ROW() - 37), "")</f>
        <v>43718</v>
      </c>
      <c r="H428" s="6" cm="1">
        <f t="array" ref="H428">IFERROR(IF(INDEX(EmployeeData[Exit Date], ROW() - 37)=0, "",INDEX(EmployeeData[Exit Date], ROW() - 37)),"")</f>
        <v>44628</v>
      </c>
      <c r="I428" s="4" t="str" cm="1">
        <f t="array" ref="I428">IFERROR(IF(INDEX(EmployeeData[Exit Reason], ROW() - 37)=0, "",INDEX(EmployeeData[Exit Reason], ROW() - 37)),"")</f>
        <v>Termination</v>
      </c>
      <c r="J428" s="4" t="str" cm="1">
        <f t="array" ref="J428">IFERROR(INDEX(EmployeeData[Status], ROW() - 37), "")</f>
        <v>Exited</v>
      </c>
    </row>
    <row r="429" spans="2:10" ht="19.95" customHeight="1" x14ac:dyDescent="0.3">
      <c r="B429" s="4" cm="1">
        <f t="array" ref="B429">IFERROR(INDEX(EmployeeData[Employee ID], ROW() - 37), "")</f>
        <v>1392</v>
      </c>
      <c r="C429" s="4" t="str" cm="1">
        <f t="array" ref="C429">IFERROR(INDEX(EmployeeData[Full Name], ROW() - 37), "")</f>
        <v>Juan Lopez Natividad</v>
      </c>
      <c r="D429" s="4" t="str" cm="1">
        <f t="array" ref="D429">IFERROR(INDEX(EmployeeData[Department], ROW() - 37), "")</f>
        <v>HR</v>
      </c>
      <c r="E429" s="4" t="str" cm="1">
        <f t="array" ref="E429">IFERROR(INDEX(EmployeeData[Gender], ROW() - 37), "")</f>
        <v>Male</v>
      </c>
      <c r="F429" s="4" cm="1">
        <f t="array" ref="F429">IFERROR(INDEX(EmployeeData[Age], ROW() - 37), "")</f>
        <v>32</v>
      </c>
      <c r="G429" s="6" cm="1">
        <f t="array" ref="G429">IFERROR(INDEX(EmployeeData[Join Date], ROW() - 37), "")</f>
        <v>44384</v>
      </c>
      <c r="H429" s="6" t="str" cm="1">
        <f t="array" ref="H429">IFERROR(IF(INDEX(EmployeeData[Exit Date], ROW() - 37)=0, "",INDEX(EmployeeData[Exit Date], ROW() - 37)),"")</f>
        <v/>
      </c>
      <c r="I429" s="4" t="str" cm="1">
        <f t="array" ref="I429">IFERROR(IF(INDEX(EmployeeData[Exit Reason], ROW() - 37)=0, "",INDEX(EmployeeData[Exit Reason], ROW() - 37)),"")</f>
        <v/>
      </c>
      <c r="J429" s="4" t="str" cm="1">
        <f t="array" ref="J429">IFERROR(INDEX(EmployeeData[Status], ROW() - 37), "")</f>
        <v>Active</v>
      </c>
    </row>
    <row r="430" spans="2:10" ht="19.95" customHeight="1" x14ac:dyDescent="0.3">
      <c r="B430" s="4" cm="1">
        <f t="array" ref="B430">IFERROR(INDEX(EmployeeData[Employee ID], ROW() - 37), "")</f>
        <v>1393</v>
      </c>
      <c r="C430" s="4" t="str" cm="1">
        <f t="array" ref="C430">IFERROR(INDEX(EmployeeData[Full Name], ROW() - 37), "")</f>
        <v>Aileen Chan Vergara</v>
      </c>
      <c r="D430" s="4" t="str" cm="1">
        <f t="array" ref="D430">IFERROR(INDEX(EmployeeData[Department], ROW() - 37), "")</f>
        <v>Marketing</v>
      </c>
      <c r="E430" s="4" t="str" cm="1">
        <f t="array" ref="E430">IFERROR(INDEX(EmployeeData[Gender], ROW() - 37), "")</f>
        <v>Female</v>
      </c>
      <c r="F430" s="4" cm="1">
        <f t="array" ref="F430">IFERROR(INDEX(EmployeeData[Age], ROW() - 37), "")</f>
        <v>26</v>
      </c>
      <c r="G430" s="6" cm="1">
        <f t="array" ref="G430">IFERROR(INDEX(EmployeeData[Join Date], ROW() - 37), "")</f>
        <v>43631</v>
      </c>
      <c r="H430" s="6" t="str" cm="1">
        <f t="array" ref="H430">IFERROR(IF(INDEX(EmployeeData[Exit Date], ROW() - 37)=0, "",INDEX(EmployeeData[Exit Date], ROW() - 37)),"")</f>
        <v/>
      </c>
      <c r="I430" s="4" t="str" cm="1">
        <f t="array" ref="I430">IFERROR(IF(INDEX(EmployeeData[Exit Reason], ROW() - 37)=0, "",INDEX(EmployeeData[Exit Reason], ROW() - 37)),"")</f>
        <v/>
      </c>
      <c r="J430" s="4" t="str" cm="1">
        <f t="array" ref="J430">IFERROR(INDEX(EmployeeData[Status], ROW() - 37), "")</f>
        <v>Active</v>
      </c>
    </row>
    <row r="431" spans="2:10" ht="19.95" customHeight="1" x14ac:dyDescent="0.3">
      <c r="B431" s="4" cm="1">
        <f t="array" ref="B431">IFERROR(INDEX(EmployeeData[Employee ID], ROW() - 37), "")</f>
        <v>1394</v>
      </c>
      <c r="C431" s="4" t="str" cm="1">
        <f t="array" ref="C431">IFERROR(INDEX(EmployeeData[Full Name], ROW() - 37), "")</f>
        <v>Iris Santos Elegado</v>
      </c>
      <c r="D431" s="4" t="str" cm="1">
        <f t="array" ref="D431">IFERROR(INDEX(EmployeeData[Department], ROW() - 37), "")</f>
        <v>IT</v>
      </c>
      <c r="E431" s="4" t="str" cm="1">
        <f t="array" ref="E431">IFERROR(INDEX(EmployeeData[Gender], ROW() - 37), "")</f>
        <v>Female</v>
      </c>
      <c r="F431" s="4" cm="1">
        <f t="array" ref="F431">IFERROR(INDEX(EmployeeData[Age], ROW() - 37), "")</f>
        <v>33</v>
      </c>
      <c r="G431" s="6" cm="1">
        <f t="array" ref="G431">IFERROR(INDEX(EmployeeData[Join Date], ROW() - 37), "")</f>
        <v>44629</v>
      </c>
      <c r="H431" s="6" t="str" cm="1">
        <f t="array" ref="H431">IFERROR(IF(INDEX(EmployeeData[Exit Date], ROW() - 37)=0, "",INDEX(EmployeeData[Exit Date], ROW() - 37)),"")</f>
        <v/>
      </c>
      <c r="I431" s="4" t="str" cm="1">
        <f t="array" ref="I431">IFERROR(IF(INDEX(EmployeeData[Exit Reason], ROW() - 37)=0, "",INDEX(EmployeeData[Exit Reason], ROW() - 37)),"")</f>
        <v/>
      </c>
      <c r="J431" s="4" t="str" cm="1">
        <f t="array" ref="J431">IFERROR(INDEX(EmployeeData[Status], ROW() - 37), "")</f>
        <v>Active</v>
      </c>
    </row>
    <row r="432" spans="2:10" ht="19.95" customHeight="1" x14ac:dyDescent="0.3">
      <c r="B432" s="4" cm="1">
        <f t="array" ref="B432">IFERROR(INDEX(EmployeeData[Employee ID], ROW() - 37), "")</f>
        <v>1395</v>
      </c>
      <c r="C432" s="4" t="str" cm="1">
        <f t="array" ref="C432">IFERROR(INDEX(EmployeeData[Full Name], ROW() - 37), "")</f>
        <v>Grace Cruz Pascual</v>
      </c>
      <c r="D432" s="4" t="str" cm="1">
        <f t="array" ref="D432">IFERROR(INDEX(EmployeeData[Department], ROW() - 37), "")</f>
        <v>Marketing</v>
      </c>
      <c r="E432" s="4" t="str" cm="1">
        <f t="array" ref="E432">IFERROR(INDEX(EmployeeData[Gender], ROW() - 37), "")</f>
        <v>Female</v>
      </c>
      <c r="F432" s="4" cm="1">
        <f t="array" ref="F432">IFERROR(INDEX(EmployeeData[Age], ROW() - 37), "")</f>
        <v>43</v>
      </c>
      <c r="G432" s="6" cm="1">
        <f t="array" ref="G432">IFERROR(INDEX(EmployeeData[Join Date], ROW() - 37), "")</f>
        <v>44379</v>
      </c>
      <c r="H432" s="6" cm="1">
        <f t="array" ref="H432">IFERROR(IF(INDEX(EmployeeData[Exit Date], ROW() - 37)=0, "",INDEX(EmployeeData[Exit Date], ROW() - 37)),"")</f>
        <v>45254</v>
      </c>
      <c r="I432" s="4" t="str" cm="1">
        <f t="array" ref="I432">IFERROR(IF(INDEX(EmployeeData[Exit Reason], ROW() - 37)=0, "",INDEX(EmployeeData[Exit Reason], ROW() - 37)),"")</f>
        <v>Health Issues</v>
      </c>
      <c r="J432" s="4" t="str" cm="1">
        <f t="array" ref="J432">IFERROR(INDEX(EmployeeData[Status], ROW() - 37), "")</f>
        <v>Exited</v>
      </c>
    </row>
    <row r="433" spans="2:10" ht="19.95" customHeight="1" x14ac:dyDescent="0.3">
      <c r="B433" s="4" cm="1">
        <f t="array" ref="B433">IFERROR(INDEX(EmployeeData[Employee ID], ROW() - 37), "")</f>
        <v>1396</v>
      </c>
      <c r="C433" s="4" t="str" cm="1">
        <f t="array" ref="C433">IFERROR(INDEX(EmployeeData[Full Name], ROW() - 37), "")</f>
        <v>Bea Guevarra</v>
      </c>
      <c r="D433" s="4" t="str" cm="1">
        <f t="array" ref="D433">IFERROR(INDEX(EmployeeData[Department], ROW() - 37), "")</f>
        <v>IT</v>
      </c>
      <c r="E433" s="4" t="str" cm="1">
        <f t="array" ref="E433">IFERROR(INDEX(EmployeeData[Gender], ROW() - 37), "")</f>
        <v>Female</v>
      </c>
      <c r="F433" s="4" cm="1">
        <f t="array" ref="F433">IFERROR(INDEX(EmployeeData[Age], ROW() - 37), "")</f>
        <v>54</v>
      </c>
      <c r="G433" s="6" cm="1">
        <f t="array" ref="G433">IFERROR(INDEX(EmployeeData[Join Date], ROW() - 37), "")</f>
        <v>45543</v>
      </c>
      <c r="H433" s="6" t="str" cm="1">
        <f t="array" ref="H433">IFERROR(IF(INDEX(EmployeeData[Exit Date], ROW() - 37)=0, "",INDEX(EmployeeData[Exit Date], ROW() - 37)),"")</f>
        <v/>
      </c>
      <c r="I433" s="4" t="str" cm="1">
        <f t="array" ref="I433">IFERROR(IF(INDEX(EmployeeData[Exit Reason], ROW() - 37)=0, "",INDEX(EmployeeData[Exit Reason], ROW() - 37)),"")</f>
        <v/>
      </c>
      <c r="J433" s="4" t="str" cm="1">
        <f t="array" ref="J433">IFERROR(INDEX(EmployeeData[Status], ROW() - 37), "")</f>
        <v>Active</v>
      </c>
    </row>
    <row r="434" spans="2:10" ht="19.95" customHeight="1" x14ac:dyDescent="0.3">
      <c r="B434" s="4" cm="1">
        <f t="array" ref="B434">IFERROR(INDEX(EmployeeData[Employee ID], ROW() - 37), "")</f>
        <v>1397</v>
      </c>
      <c r="C434" s="4" t="str" cm="1">
        <f t="array" ref="C434">IFERROR(INDEX(EmployeeData[Full Name], ROW() - 37), "")</f>
        <v>Antonio Dela Torre</v>
      </c>
      <c r="D434" s="4" t="str" cm="1">
        <f t="array" ref="D434">IFERROR(INDEX(EmployeeData[Department], ROW() - 37), "")</f>
        <v>IT</v>
      </c>
      <c r="E434" s="4" t="str" cm="1">
        <f t="array" ref="E434">IFERROR(INDEX(EmployeeData[Gender], ROW() - 37), "")</f>
        <v>Other</v>
      </c>
      <c r="F434" s="4" cm="1">
        <f t="array" ref="F434">IFERROR(INDEX(EmployeeData[Age], ROW() - 37), "")</f>
        <v>43</v>
      </c>
      <c r="G434" s="6" cm="1">
        <f t="array" ref="G434">IFERROR(INDEX(EmployeeData[Join Date], ROW() - 37), "")</f>
        <v>43872</v>
      </c>
      <c r="H434" s="6" cm="1">
        <f t="array" ref="H434">IFERROR(IF(INDEX(EmployeeData[Exit Date], ROW() - 37)=0, "",INDEX(EmployeeData[Exit Date], ROW() - 37)),"")</f>
        <v>45614</v>
      </c>
      <c r="I434" s="4" t="str" cm="1">
        <f t="array" ref="I434">IFERROR(IF(INDEX(EmployeeData[Exit Reason], ROW() - 37)=0, "",INDEX(EmployeeData[Exit Reason], ROW() - 37)),"")</f>
        <v>Better Opportunity</v>
      </c>
      <c r="J434" s="4" t="str" cm="1">
        <f t="array" ref="J434">IFERROR(INDEX(EmployeeData[Status], ROW() - 37), "")</f>
        <v>Exited</v>
      </c>
    </row>
    <row r="435" spans="2:10" ht="19.95" customHeight="1" x14ac:dyDescent="0.3">
      <c r="B435" s="4" cm="1">
        <f t="array" ref="B435">IFERROR(INDEX(EmployeeData[Employee ID], ROW() - 37), "")</f>
        <v>1398</v>
      </c>
      <c r="C435" s="4" t="str" cm="1">
        <f t="array" ref="C435">IFERROR(INDEX(EmployeeData[Full Name], ROW() - 37), "")</f>
        <v>Violeta Fajardo</v>
      </c>
      <c r="D435" s="4" t="str" cm="1">
        <f t="array" ref="D435">IFERROR(INDEX(EmployeeData[Department], ROW() - 37), "")</f>
        <v>Customer Support</v>
      </c>
      <c r="E435" s="4" t="str" cm="1">
        <f t="array" ref="E435">IFERROR(INDEX(EmployeeData[Gender], ROW() - 37), "")</f>
        <v>Female</v>
      </c>
      <c r="F435" s="4" cm="1">
        <f t="array" ref="F435">IFERROR(INDEX(EmployeeData[Age], ROW() - 37), "")</f>
        <v>53</v>
      </c>
      <c r="G435" s="6" cm="1">
        <f t="array" ref="G435">IFERROR(INDEX(EmployeeData[Join Date], ROW() - 37), "")</f>
        <v>43793</v>
      </c>
      <c r="H435" s="6" cm="1">
        <f t="array" ref="H435">IFERROR(IF(INDEX(EmployeeData[Exit Date], ROW() - 37)=0, "",INDEX(EmployeeData[Exit Date], ROW() - 37)),"")</f>
        <v>44036</v>
      </c>
      <c r="I435" s="4" t="str" cm="1">
        <f t="array" ref="I435">IFERROR(IF(INDEX(EmployeeData[Exit Reason], ROW() - 37)=0, "",INDEX(EmployeeData[Exit Reason], ROW() - 37)),"")</f>
        <v>Termination</v>
      </c>
      <c r="J435" s="4" t="str" cm="1">
        <f t="array" ref="J435">IFERROR(INDEX(EmployeeData[Status], ROW() - 37), "")</f>
        <v>Exited</v>
      </c>
    </row>
    <row r="436" spans="2:10" ht="19.95" customHeight="1" x14ac:dyDescent="0.3">
      <c r="B436" s="4" cm="1">
        <f t="array" ref="B436">IFERROR(INDEX(EmployeeData[Employee ID], ROW() - 37), "")</f>
        <v>1399</v>
      </c>
      <c r="C436" s="4" t="str" cm="1">
        <f t="array" ref="C436">IFERROR(INDEX(EmployeeData[Full Name], ROW() - 37), "")</f>
        <v>Isabel Uy Hernandez</v>
      </c>
      <c r="D436" s="4" t="str" cm="1">
        <f t="array" ref="D436">IFERROR(INDEX(EmployeeData[Department], ROW() - 37), "")</f>
        <v>Marketing</v>
      </c>
      <c r="E436" s="4" t="str" cm="1">
        <f t="array" ref="E436">IFERROR(INDEX(EmployeeData[Gender], ROW() - 37), "")</f>
        <v>Female</v>
      </c>
      <c r="F436" s="4" cm="1">
        <f t="array" ref="F436">IFERROR(INDEX(EmployeeData[Age], ROW() - 37), "")</f>
        <v>27</v>
      </c>
      <c r="G436" s="6" cm="1">
        <f t="array" ref="G436">IFERROR(INDEX(EmployeeData[Join Date], ROW() - 37), "")</f>
        <v>45778</v>
      </c>
      <c r="H436" s="6" t="str" cm="1">
        <f t="array" ref="H436">IFERROR(IF(INDEX(EmployeeData[Exit Date], ROW() - 37)=0, "",INDEX(EmployeeData[Exit Date], ROW() - 37)),"")</f>
        <v/>
      </c>
      <c r="I436" s="4" t="str" cm="1">
        <f t="array" ref="I436">IFERROR(IF(INDEX(EmployeeData[Exit Reason], ROW() - 37)=0, "",INDEX(EmployeeData[Exit Reason], ROW() - 37)),"")</f>
        <v/>
      </c>
      <c r="J436" s="4" t="str" cm="1">
        <f t="array" ref="J436">IFERROR(INDEX(EmployeeData[Status], ROW() - 37), "")</f>
        <v>Active</v>
      </c>
    </row>
    <row r="437" spans="2:10" ht="19.95" customHeight="1" x14ac:dyDescent="0.3">
      <c r="B437" s="4" cm="1">
        <f t="array" ref="B437">IFERROR(INDEX(EmployeeData[Employee ID], ROW() - 37), "")</f>
        <v>1400</v>
      </c>
      <c r="C437" s="4" t="str" cm="1">
        <f t="array" ref="C437">IFERROR(INDEX(EmployeeData[Full Name], ROW() - 37), "")</f>
        <v>Jose Mendoza Sia</v>
      </c>
      <c r="D437" s="4" t="str" cm="1">
        <f t="array" ref="D437">IFERROR(INDEX(EmployeeData[Department], ROW() - 37), "")</f>
        <v>IT</v>
      </c>
      <c r="E437" s="4" t="str" cm="1">
        <f t="array" ref="E437">IFERROR(INDEX(EmployeeData[Gender], ROW() - 37), "")</f>
        <v>Male</v>
      </c>
      <c r="F437" s="4" cm="1">
        <f t="array" ref="F437">IFERROR(INDEX(EmployeeData[Age], ROW() - 37), "")</f>
        <v>51</v>
      </c>
      <c r="G437" s="6" cm="1">
        <f t="array" ref="G437">IFERROR(INDEX(EmployeeData[Join Date], ROW() - 37), "")</f>
        <v>45975</v>
      </c>
      <c r="H437" s="6" cm="1">
        <f t="array" ref="H437">IFERROR(IF(INDEX(EmployeeData[Exit Date], ROW() - 37)=0, "",INDEX(EmployeeData[Exit Date], ROW() - 37)),"")</f>
        <v>46153</v>
      </c>
      <c r="I437" s="4" t="str" cm="1">
        <f t="array" ref="I437">IFERROR(IF(INDEX(EmployeeData[Exit Reason], ROW() - 37)=0, "",INDEX(EmployeeData[Exit Reason], ROW() - 37)),"")</f>
        <v>Personal Reasons</v>
      </c>
      <c r="J437" s="4" t="str" cm="1">
        <f t="array" ref="J437">IFERROR(INDEX(EmployeeData[Status], ROW() - 37), "")</f>
        <v>Exited</v>
      </c>
    </row>
    <row r="438" spans="2:10" ht="19.95" customHeight="1" x14ac:dyDescent="0.3">
      <c r="B438" s="4" cm="1">
        <f t="array" ref="B438">IFERROR(INDEX(EmployeeData[Employee ID], ROW() - 37), "")</f>
        <v>1401</v>
      </c>
      <c r="C438" s="4" t="str" cm="1">
        <f t="array" ref="C438">IFERROR(INDEX(EmployeeData[Full Name], ROW() - 37), "")</f>
        <v>Cristina Cueto</v>
      </c>
      <c r="D438" s="4" t="str" cm="1">
        <f t="array" ref="D438">IFERROR(INDEX(EmployeeData[Department], ROW() - 37), "")</f>
        <v>HR</v>
      </c>
      <c r="E438" s="4" t="str" cm="1">
        <f t="array" ref="E438">IFERROR(INDEX(EmployeeData[Gender], ROW() - 37), "")</f>
        <v>Female</v>
      </c>
      <c r="F438" s="4" cm="1">
        <f t="array" ref="F438">IFERROR(INDEX(EmployeeData[Age], ROW() - 37), "")</f>
        <v>29</v>
      </c>
      <c r="G438" s="6" cm="1">
        <f t="array" ref="G438">IFERROR(INDEX(EmployeeData[Join Date], ROW() - 37), "")</f>
        <v>44816</v>
      </c>
      <c r="H438" s="6" t="str" cm="1">
        <f t="array" ref="H438">IFERROR(IF(INDEX(EmployeeData[Exit Date], ROW() - 37)=0, "",INDEX(EmployeeData[Exit Date], ROW() - 37)),"")</f>
        <v/>
      </c>
      <c r="I438" s="4" t="str" cm="1">
        <f t="array" ref="I438">IFERROR(IF(INDEX(EmployeeData[Exit Reason], ROW() - 37)=0, "",INDEX(EmployeeData[Exit Reason], ROW() - 37)),"")</f>
        <v/>
      </c>
      <c r="J438" s="4" t="str" cm="1">
        <f t="array" ref="J438">IFERROR(INDEX(EmployeeData[Status], ROW() - 37), "")</f>
        <v>Active</v>
      </c>
    </row>
    <row r="439" spans="2:10" ht="19.95" customHeight="1" x14ac:dyDescent="0.3">
      <c r="B439" s="4" cm="1">
        <f t="array" ref="B439">IFERROR(INDEX(EmployeeData[Employee ID], ROW() - 37), "")</f>
        <v>1402</v>
      </c>
      <c r="C439" s="4" t="str" cm="1">
        <f t="array" ref="C439">IFERROR(INDEX(EmployeeData[Full Name], ROW() - 37), "")</f>
        <v>Mae Lim Vega</v>
      </c>
      <c r="D439" s="4" t="str" cm="1">
        <f t="array" ref="D439">IFERROR(INDEX(EmployeeData[Department], ROW() - 37), "")</f>
        <v>Customer Support</v>
      </c>
      <c r="E439" s="4" t="str" cm="1">
        <f t="array" ref="E439">IFERROR(INDEX(EmployeeData[Gender], ROW() - 37), "")</f>
        <v>Female</v>
      </c>
      <c r="F439" s="4" cm="1">
        <f t="array" ref="F439">IFERROR(INDEX(EmployeeData[Age], ROW() - 37), "")</f>
        <v>27</v>
      </c>
      <c r="G439" s="6" cm="1">
        <f t="array" ref="G439">IFERROR(INDEX(EmployeeData[Join Date], ROW() - 37), "")</f>
        <v>45139</v>
      </c>
      <c r="H439" s="6" cm="1">
        <f t="array" ref="H439">IFERROR(IF(INDEX(EmployeeData[Exit Date], ROW() - 37)=0, "",INDEX(EmployeeData[Exit Date], ROW() - 37)),"")</f>
        <v>45433</v>
      </c>
      <c r="I439" s="4" t="str" cm="1">
        <f t="array" ref="I439">IFERROR(IF(INDEX(EmployeeData[Exit Reason], ROW() - 37)=0, "",INDEX(EmployeeData[Exit Reason], ROW() - 37)),"")</f>
        <v>Personal Reasons</v>
      </c>
      <c r="J439" s="4" t="str" cm="1">
        <f t="array" ref="J439">IFERROR(INDEX(EmployeeData[Status], ROW() - 37), "")</f>
        <v>Exited</v>
      </c>
    </row>
    <row r="440" spans="2:10" ht="19.95" customHeight="1" x14ac:dyDescent="0.3">
      <c r="B440" s="4" cm="1">
        <f t="array" ref="B440">IFERROR(INDEX(EmployeeData[Employee ID], ROW() - 37), "")</f>
        <v>1403</v>
      </c>
      <c r="C440" s="4" t="str" cm="1">
        <f t="array" ref="C440">IFERROR(INDEX(EmployeeData[Full Name], ROW() - 37), "")</f>
        <v>Hazel Santos Mangubat</v>
      </c>
      <c r="D440" s="4" t="str" cm="1">
        <f t="array" ref="D440">IFERROR(INDEX(EmployeeData[Department], ROW() - 37), "")</f>
        <v>IT</v>
      </c>
      <c r="E440" s="4" t="str" cm="1">
        <f t="array" ref="E440">IFERROR(INDEX(EmployeeData[Gender], ROW() - 37), "")</f>
        <v>Female</v>
      </c>
      <c r="F440" s="4" cm="1">
        <f t="array" ref="F440">IFERROR(INDEX(EmployeeData[Age], ROW() - 37), "")</f>
        <v>52</v>
      </c>
      <c r="G440" s="6" cm="1">
        <f t="array" ref="G440">IFERROR(INDEX(EmployeeData[Join Date], ROW() - 37), "")</f>
        <v>43951</v>
      </c>
      <c r="H440" s="6" t="str" cm="1">
        <f t="array" ref="H440">IFERROR(IF(INDEX(EmployeeData[Exit Date], ROW() - 37)=0, "",INDEX(EmployeeData[Exit Date], ROW() - 37)),"")</f>
        <v/>
      </c>
      <c r="I440" s="4" t="str" cm="1">
        <f t="array" ref="I440">IFERROR(IF(INDEX(EmployeeData[Exit Reason], ROW() - 37)=0, "",INDEX(EmployeeData[Exit Reason], ROW() - 37)),"")</f>
        <v/>
      </c>
      <c r="J440" s="4" t="str" cm="1">
        <f t="array" ref="J440">IFERROR(INDEX(EmployeeData[Status], ROW() - 37), "")</f>
        <v>Active</v>
      </c>
    </row>
    <row r="441" spans="2:10" ht="19.95" customHeight="1" x14ac:dyDescent="0.3">
      <c r="B441" s="4" cm="1">
        <f t="array" ref="B441">IFERROR(INDEX(EmployeeData[Employee ID], ROW() - 37), "")</f>
        <v>1404</v>
      </c>
      <c r="C441" s="4" t="str" cm="1">
        <f t="array" ref="C441">IFERROR(INDEX(EmployeeData[Full Name], ROW() - 37), "")</f>
        <v>Casey Mendoza Cueto</v>
      </c>
      <c r="D441" s="4" t="str" cm="1">
        <f t="array" ref="D441">IFERROR(INDEX(EmployeeData[Department], ROW() - 37), "")</f>
        <v>HR</v>
      </c>
      <c r="E441" s="4" t="str" cm="1">
        <f t="array" ref="E441">IFERROR(INDEX(EmployeeData[Gender], ROW() - 37), "")</f>
        <v>Other</v>
      </c>
      <c r="F441" s="4" cm="1">
        <f t="array" ref="F441">IFERROR(INDEX(EmployeeData[Age], ROW() - 37), "")</f>
        <v>57</v>
      </c>
      <c r="G441" s="6" cm="1">
        <f t="array" ref="G441">IFERROR(INDEX(EmployeeData[Join Date], ROW() - 37), "")</f>
        <v>45841</v>
      </c>
      <c r="H441" s="6" t="str" cm="1">
        <f t="array" ref="H441">IFERROR(IF(INDEX(EmployeeData[Exit Date], ROW() - 37)=0, "",INDEX(EmployeeData[Exit Date], ROW() - 37)),"")</f>
        <v/>
      </c>
      <c r="I441" s="4" t="str" cm="1">
        <f t="array" ref="I441">IFERROR(IF(INDEX(EmployeeData[Exit Reason], ROW() - 37)=0, "",INDEX(EmployeeData[Exit Reason], ROW() - 37)),"")</f>
        <v/>
      </c>
      <c r="J441" s="4" t="str" cm="1">
        <f t="array" ref="J441">IFERROR(INDEX(EmployeeData[Status], ROW() - 37), "")</f>
        <v>Active</v>
      </c>
    </row>
    <row r="442" spans="2:10" ht="19.95" customHeight="1" x14ac:dyDescent="0.3">
      <c r="B442" s="4" cm="1">
        <f t="array" ref="B442">IFERROR(INDEX(EmployeeData[Employee ID], ROW() - 37), "")</f>
        <v>1405</v>
      </c>
      <c r="C442" s="4" t="str" cm="1">
        <f t="array" ref="C442">IFERROR(INDEX(EmployeeData[Full Name], ROW() - 37), "")</f>
        <v>Hernando Garcia</v>
      </c>
      <c r="D442" s="4" t="str" cm="1">
        <f t="array" ref="D442">IFERROR(INDEX(EmployeeData[Department], ROW() - 37), "")</f>
        <v>Finance</v>
      </c>
      <c r="E442" s="4" t="str" cm="1">
        <f t="array" ref="E442">IFERROR(INDEX(EmployeeData[Gender], ROW() - 37), "")</f>
        <v>Male</v>
      </c>
      <c r="F442" s="4" cm="1">
        <f t="array" ref="F442">IFERROR(INDEX(EmployeeData[Age], ROW() - 37), "")</f>
        <v>50</v>
      </c>
      <c r="G442" s="6" cm="1">
        <f t="array" ref="G442">IFERROR(INDEX(EmployeeData[Join Date], ROW() - 37), "")</f>
        <v>44313</v>
      </c>
      <c r="H442" s="6" cm="1">
        <f t="array" ref="H442">IFERROR(IF(INDEX(EmployeeData[Exit Date], ROW() - 37)=0, "",INDEX(EmployeeData[Exit Date], ROW() - 37)),"")</f>
        <v>44505</v>
      </c>
      <c r="I442" s="4" t="str" cm="1">
        <f t="array" ref="I442">IFERROR(IF(INDEX(EmployeeData[Exit Reason], ROW() - 37)=0, "",INDEX(EmployeeData[Exit Reason], ROW() - 37)),"")</f>
        <v>Better Opportunity</v>
      </c>
      <c r="J442" s="4" t="str" cm="1">
        <f t="array" ref="J442">IFERROR(INDEX(EmployeeData[Status], ROW() - 37), "")</f>
        <v>Exited</v>
      </c>
    </row>
    <row r="443" spans="2:10" ht="19.95" customHeight="1" x14ac:dyDescent="0.3">
      <c r="B443" s="4" cm="1">
        <f t="array" ref="B443">IFERROR(INDEX(EmployeeData[Employee ID], ROW() - 37), "")</f>
        <v>1406</v>
      </c>
      <c r="C443" s="4" t="str" cm="1">
        <f t="array" ref="C443">IFERROR(INDEX(EmployeeData[Full Name], ROW() - 37), "")</f>
        <v>Crisanto Delos Reyes</v>
      </c>
      <c r="D443" s="4" t="str" cm="1">
        <f t="array" ref="D443">IFERROR(INDEX(EmployeeData[Department], ROW() - 37), "")</f>
        <v>IT</v>
      </c>
      <c r="E443" s="4" t="str" cm="1">
        <f t="array" ref="E443">IFERROR(INDEX(EmployeeData[Gender], ROW() - 37), "")</f>
        <v>Male</v>
      </c>
      <c r="F443" s="4" cm="1">
        <f t="array" ref="F443">IFERROR(INDEX(EmployeeData[Age], ROW() - 37), "")</f>
        <v>48</v>
      </c>
      <c r="G443" s="6" cm="1">
        <f t="array" ref="G443">IFERROR(INDEX(EmployeeData[Join Date], ROW() - 37), "")</f>
        <v>43575</v>
      </c>
      <c r="H443" s="6" cm="1">
        <f t="array" ref="H443">IFERROR(IF(INDEX(EmployeeData[Exit Date], ROW() - 37)=0, "",INDEX(EmployeeData[Exit Date], ROW() - 37)),"")</f>
        <v>43852</v>
      </c>
      <c r="I443" s="4" t="str" cm="1">
        <f t="array" ref="I443">IFERROR(IF(INDEX(EmployeeData[Exit Reason], ROW() - 37)=0, "",INDEX(EmployeeData[Exit Reason], ROW() - 37)),"")</f>
        <v>Better Opportunity</v>
      </c>
      <c r="J443" s="4" t="str" cm="1">
        <f t="array" ref="J443">IFERROR(INDEX(EmployeeData[Status], ROW() - 37), "")</f>
        <v>Exited</v>
      </c>
    </row>
    <row r="444" spans="2:10" ht="19.95" customHeight="1" x14ac:dyDescent="0.3">
      <c r="B444" s="4" cm="1">
        <f t="array" ref="B444">IFERROR(INDEX(EmployeeData[Employee ID], ROW() - 37), "")</f>
        <v>1407</v>
      </c>
      <c r="C444" s="4" t="str" cm="1">
        <f t="array" ref="C444">IFERROR(INDEX(EmployeeData[Full Name], ROW() - 37), "")</f>
        <v>Maria Vergara</v>
      </c>
      <c r="D444" s="4" t="str" cm="1">
        <f t="array" ref="D444">IFERROR(INDEX(EmployeeData[Department], ROW() - 37), "")</f>
        <v>IT</v>
      </c>
      <c r="E444" s="4" t="str" cm="1">
        <f t="array" ref="E444">IFERROR(INDEX(EmployeeData[Gender], ROW() - 37), "")</f>
        <v>Other</v>
      </c>
      <c r="F444" s="4" cm="1">
        <f t="array" ref="F444">IFERROR(INDEX(EmployeeData[Age], ROW() - 37), "")</f>
        <v>38</v>
      </c>
      <c r="G444" s="6" cm="1">
        <f t="array" ref="G444">IFERROR(INDEX(EmployeeData[Join Date], ROW() - 37), "")</f>
        <v>43481</v>
      </c>
      <c r="H444" s="6" cm="1">
        <f t="array" ref="H444">IFERROR(IF(INDEX(EmployeeData[Exit Date], ROW() - 37)=0, "",INDEX(EmployeeData[Exit Date], ROW() - 37)),"")</f>
        <v>44974</v>
      </c>
      <c r="I444" s="4" t="str" cm="1">
        <f t="array" ref="I444">IFERROR(IF(INDEX(EmployeeData[Exit Reason], ROW() - 37)=0, "",INDEX(EmployeeData[Exit Reason], ROW() - 37)),"")</f>
        <v>Better Opportunity</v>
      </c>
      <c r="J444" s="4" t="str" cm="1">
        <f t="array" ref="J444">IFERROR(INDEX(EmployeeData[Status], ROW() - 37), "")</f>
        <v>Exited</v>
      </c>
    </row>
    <row r="445" spans="2:10" ht="19.95" customHeight="1" x14ac:dyDescent="0.3">
      <c r="B445" s="4" cm="1">
        <f t="array" ref="B445">IFERROR(INDEX(EmployeeData[Employee ID], ROW() - 37), "")</f>
        <v>1408</v>
      </c>
      <c r="C445" s="4" t="str" cm="1">
        <f t="array" ref="C445">IFERROR(INDEX(EmployeeData[Full Name], ROW() - 37), "")</f>
        <v>Gregorio Bautista Gonzales</v>
      </c>
      <c r="D445" s="4" t="str" cm="1">
        <f t="array" ref="D445">IFERROR(INDEX(EmployeeData[Department], ROW() - 37), "")</f>
        <v>IT</v>
      </c>
      <c r="E445" s="4" t="str" cm="1">
        <f t="array" ref="E445">IFERROR(INDEX(EmployeeData[Gender], ROW() - 37), "")</f>
        <v>Male</v>
      </c>
      <c r="F445" s="4" cm="1">
        <f t="array" ref="F445">IFERROR(INDEX(EmployeeData[Age], ROW() - 37), "")</f>
        <v>51</v>
      </c>
      <c r="G445" s="6" cm="1">
        <f t="array" ref="G445">IFERROR(INDEX(EmployeeData[Join Date], ROW() - 37), "")</f>
        <v>44828</v>
      </c>
      <c r="H445" s="6" t="str" cm="1">
        <f t="array" ref="H445">IFERROR(IF(INDEX(EmployeeData[Exit Date], ROW() - 37)=0, "",INDEX(EmployeeData[Exit Date], ROW() - 37)),"")</f>
        <v/>
      </c>
      <c r="I445" s="4" t="str" cm="1">
        <f t="array" ref="I445">IFERROR(IF(INDEX(EmployeeData[Exit Reason], ROW() - 37)=0, "",INDEX(EmployeeData[Exit Reason], ROW() - 37)),"")</f>
        <v/>
      </c>
      <c r="J445" s="4" t="str" cm="1">
        <f t="array" ref="J445">IFERROR(INDEX(EmployeeData[Status], ROW() - 37), "")</f>
        <v>Active</v>
      </c>
    </row>
    <row r="446" spans="2:10" ht="19.95" customHeight="1" x14ac:dyDescent="0.3">
      <c r="B446" s="4" cm="1">
        <f t="array" ref="B446">IFERROR(INDEX(EmployeeData[Employee ID], ROW() - 37), "")</f>
        <v>1409</v>
      </c>
      <c r="C446" s="4" t="str" cm="1">
        <f t="array" ref="C446">IFERROR(INDEX(EmployeeData[Full Name], ROW() - 37), "")</f>
        <v>Elena Lozano</v>
      </c>
      <c r="D446" s="4" t="str" cm="1">
        <f t="array" ref="D446">IFERROR(INDEX(EmployeeData[Department], ROW() - 37), "")</f>
        <v>Finance</v>
      </c>
      <c r="E446" s="4" t="str" cm="1">
        <f t="array" ref="E446">IFERROR(INDEX(EmployeeData[Gender], ROW() - 37), "")</f>
        <v>Other</v>
      </c>
      <c r="F446" s="4" cm="1">
        <f t="array" ref="F446">IFERROR(INDEX(EmployeeData[Age], ROW() - 37), "")</f>
        <v>27</v>
      </c>
      <c r="G446" s="6" cm="1">
        <f t="array" ref="G446">IFERROR(INDEX(EmployeeData[Join Date], ROW() - 37), "")</f>
        <v>44805</v>
      </c>
      <c r="H446" s="6" t="str" cm="1">
        <f t="array" ref="H446">IFERROR(IF(INDEX(EmployeeData[Exit Date], ROW() - 37)=0, "",INDEX(EmployeeData[Exit Date], ROW() - 37)),"")</f>
        <v/>
      </c>
      <c r="I446" s="4" t="str" cm="1">
        <f t="array" ref="I446">IFERROR(IF(INDEX(EmployeeData[Exit Reason], ROW() - 37)=0, "",INDEX(EmployeeData[Exit Reason], ROW() - 37)),"")</f>
        <v/>
      </c>
      <c r="J446" s="4" t="str" cm="1">
        <f t="array" ref="J446">IFERROR(INDEX(EmployeeData[Status], ROW() - 37), "")</f>
        <v>Active</v>
      </c>
    </row>
    <row r="447" spans="2:10" ht="19.95" customHeight="1" x14ac:dyDescent="0.3">
      <c r="B447" s="4" cm="1">
        <f t="array" ref="B447">IFERROR(INDEX(EmployeeData[Employee ID], ROW() - 37), "")</f>
        <v>1410</v>
      </c>
      <c r="C447" s="4" t="str" cm="1">
        <f t="array" ref="C447">IFERROR(INDEX(EmployeeData[Full Name], ROW() - 37), "")</f>
        <v>Bernardo Umali</v>
      </c>
      <c r="D447" s="4" t="str" cm="1">
        <f t="array" ref="D447">IFERROR(INDEX(EmployeeData[Department], ROW() - 37), "")</f>
        <v>Customer Support</v>
      </c>
      <c r="E447" s="4" t="str" cm="1">
        <f t="array" ref="E447">IFERROR(INDEX(EmployeeData[Gender], ROW() - 37), "")</f>
        <v>Male</v>
      </c>
      <c r="F447" s="4" cm="1">
        <f t="array" ref="F447">IFERROR(INDEX(EmployeeData[Age], ROW() - 37), "")</f>
        <v>43</v>
      </c>
      <c r="G447" s="6" cm="1">
        <f t="array" ref="G447">IFERROR(INDEX(EmployeeData[Join Date], ROW() - 37), "")</f>
        <v>45605</v>
      </c>
      <c r="H447" s="6" cm="1">
        <f t="array" ref="H447">IFERROR(IF(INDEX(EmployeeData[Exit Date], ROW() - 37)=0, "",INDEX(EmployeeData[Exit Date], ROW() - 37)),"")</f>
        <v>46045</v>
      </c>
      <c r="I447" s="4" t="str" cm="1">
        <f t="array" ref="I447">IFERROR(IF(INDEX(EmployeeData[Exit Reason], ROW() - 37)=0, "",INDEX(EmployeeData[Exit Reason], ROW() - 37)),"")</f>
        <v>Resignation</v>
      </c>
      <c r="J447" s="4" t="str" cm="1">
        <f t="array" ref="J447">IFERROR(INDEX(EmployeeData[Status], ROW() - 37), "")</f>
        <v>Exited</v>
      </c>
    </row>
    <row r="448" spans="2:10" ht="19.95" customHeight="1" x14ac:dyDescent="0.3">
      <c r="B448" s="4" cm="1">
        <f t="array" ref="B448">IFERROR(INDEX(EmployeeData[Employee ID], ROW() - 37), "")</f>
        <v>1411</v>
      </c>
      <c r="C448" s="4" t="str" cm="1">
        <f t="array" ref="C448">IFERROR(INDEX(EmployeeData[Full Name], ROW() - 37), "")</f>
        <v>Mark Ramirez Del Rosario</v>
      </c>
      <c r="D448" s="4" t="str" cm="1">
        <f t="array" ref="D448">IFERROR(INDEX(EmployeeData[Department], ROW() - 37), "")</f>
        <v>Customer Support</v>
      </c>
      <c r="E448" s="4" t="str" cm="1">
        <f t="array" ref="E448">IFERROR(INDEX(EmployeeData[Gender], ROW() - 37), "")</f>
        <v>Male</v>
      </c>
      <c r="F448" s="4" cm="1">
        <f t="array" ref="F448">IFERROR(INDEX(EmployeeData[Age], ROW() - 37), "")</f>
        <v>23</v>
      </c>
      <c r="G448" s="6" cm="1">
        <f t="array" ref="G448">IFERROR(INDEX(EmployeeData[Join Date], ROW() - 37), "")</f>
        <v>43360</v>
      </c>
      <c r="H448" s="6" cm="1">
        <f t="array" ref="H448">IFERROR(IF(INDEX(EmployeeData[Exit Date], ROW() - 37)=0, "",INDEX(EmployeeData[Exit Date], ROW() - 37)),"")</f>
        <v>44737</v>
      </c>
      <c r="I448" s="4" t="str" cm="1">
        <f t="array" ref="I448">IFERROR(IF(INDEX(EmployeeData[Exit Reason], ROW() - 37)=0, "",INDEX(EmployeeData[Exit Reason], ROW() - 37)),"")</f>
        <v>Better Opportunity</v>
      </c>
      <c r="J448" s="4" t="str" cm="1">
        <f t="array" ref="J448">IFERROR(INDEX(EmployeeData[Status], ROW() - 37), "")</f>
        <v>Exited</v>
      </c>
    </row>
    <row r="449" spans="2:10" ht="19.95" customHeight="1" x14ac:dyDescent="0.3">
      <c r="B449" s="4" cm="1">
        <f t="array" ref="B449">IFERROR(INDEX(EmployeeData[Employee ID], ROW() - 37), "")</f>
        <v>1412</v>
      </c>
      <c r="C449" s="4" t="str" cm="1">
        <f t="array" ref="C449">IFERROR(INDEX(EmployeeData[Full Name], ROW() - 37), "")</f>
        <v>Efren Lacson</v>
      </c>
      <c r="D449" s="4" t="str" cm="1">
        <f t="array" ref="D449">IFERROR(INDEX(EmployeeData[Department], ROW() - 37), "")</f>
        <v>Finance</v>
      </c>
      <c r="E449" s="4" t="str" cm="1">
        <f t="array" ref="E449">IFERROR(INDEX(EmployeeData[Gender], ROW() - 37), "")</f>
        <v>Male</v>
      </c>
      <c r="F449" s="4" cm="1">
        <f t="array" ref="F449">IFERROR(INDEX(EmployeeData[Age], ROW() - 37), "")</f>
        <v>42</v>
      </c>
      <c r="G449" s="6" cm="1">
        <f t="array" ref="G449">IFERROR(INDEX(EmployeeData[Join Date], ROW() - 37), "")</f>
        <v>45227</v>
      </c>
      <c r="H449" s="6" t="str" cm="1">
        <f t="array" ref="H449">IFERROR(IF(INDEX(EmployeeData[Exit Date], ROW() - 37)=0, "",INDEX(EmployeeData[Exit Date], ROW() - 37)),"")</f>
        <v/>
      </c>
      <c r="I449" s="4" t="str" cm="1">
        <f t="array" ref="I449">IFERROR(IF(INDEX(EmployeeData[Exit Reason], ROW() - 37)=0, "",INDEX(EmployeeData[Exit Reason], ROW() - 37)),"")</f>
        <v/>
      </c>
      <c r="J449" s="4" t="str" cm="1">
        <f t="array" ref="J449">IFERROR(INDEX(EmployeeData[Status], ROW() - 37), "")</f>
        <v>Active</v>
      </c>
    </row>
    <row r="450" spans="2:10" ht="19.95" customHeight="1" x14ac:dyDescent="0.3">
      <c r="B450" s="4" cm="1">
        <f t="array" ref="B450">IFERROR(INDEX(EmployeeData[Employee ID], ROW() - 37), "")</f>
        <v>1413</v>
      </c>
      <c r="C450" s="4" t="str" cm="1">
        <f t="array" ref="C450">IFERROR(INDEX(EmployeeData[Full Name], ROW() - 37), "")</f>
        <v>Roy Lopez Solis</v>
      </c>
      <c r="D450" s="4" t="str" cm="1">
        <f t="array" ref="D450">IFERROR(INDEX(EmployeeData[Department], ROW() - 37), "")</f>
        <v>IT</v>
      </c>
      <c r="E450" s="4" t="str" cm="1">
        <f t="array" ref="E450">IFERROR(INDEX(EmployeeData[Gender], ROW() - 37), "")</f>
        <v>Male</v>
      </c>
      <c r="F450" s="4" cm="1">
        <f t="array" ref="F450">IFERROR(INDEX(EmployeeData[Age], ROW() - 37), "")</f>
        <v>45</v>
      </c>
      <c r="G450" s="6" cm="1">
        <f t="array" ref="G450">IFERROR(INDEX(EmployeeData[Join Date], ROW() - 37), "")</f>
        <v>43709</v>
      </c>
      <c r="H450" s="6" t="str" cm="1">
        <f t="array" ref="H450">IFERROR(IF(INDEX(EmployeeData[Exit Date], ROW() - 37)=0, "",INDEX(EmployeeData[Exit Date], ROW() - 37)),"")</f>
        <v/>
      </c>
      <c r="I450" s="4" t="str" cm="1">
        <f t="array" ref="I450">IFERROR(IF(INDEX(EmployeeData[Exit Reason], ROW() - 37)=0, "",INDEX(EmployeeData[Exit Reason], ROW() - 37)),"")</f>
        <v/>
      </c>
      <c r="J450" s="4" t="str" cm="1">
        <f t="array" ref="J450">IFERROR(INDEX(EmployeeData[Status], ROW() - 37), "")</f>
        <v>Active</v>
      </c>
    </row>
    <row r="451" spans="2:10" ht="19.95" customHeight="1" x14ac:dyDescent="0.3">
      <c r="B451" s="4" cm="1">
        <f t="array" ref="B451">IFERROR(INDEX(EmployeeData[Employee ID], ROW() - 37), "")</f>
        <v>1414</v>
      </c>
      <c r="C451" s="4" t="str" cm="1">
        <f t="array" ref="C451">IFERROR(INDEX(EmployeeData[Full Name], ROW() - 37), "")</f>
        <v>Vicente Rivera Mendoza</v>
      </c>
      <c r="D451" s="4" t="str" cm="1">
        <f t="array" ref="D451">IFERROR(INDEX(EmployeeData[Department], ROW() - 37), "")</f>
        <v>Marketing</v>
      </c>
      <c r="E451" s="4" t="str" cm="1">
        <f t="array" ref="E451">IFERROR(INDEX(EmployeeData[Gender], ROW() - 37), "")</f>
        <v>Male</v>
      </c>
      <c r="F451" s="4" cm="1">
        <f t="array" ref="F451">IFERROR(INDEX(EmployeeData[Age], ROW() - 37), "")</f>
        <v>60</v>
      </c>
      <c r="G451" s="6" cm="1">
        <f t="array" ref="G451">IFERROR(INDEX(EmployeeData[Join Date], ROW() - 37), "")</f>
        <v>43778</v>
      </c>
      <c r="H451" s="6" cm="1">
        <f t="array" ref="H451">IFERROR(IF(INDEX(EmployeeData[Exit Date], ROW() - 37)=0, "",INDEX(EmployeeData[Exit Date], ROW() - 37)),"")</f>
        <v>45881</v>
      </c>
      <c r="I451" s="4" t="str" cm="1">
        <f t="array" ref="I451">IFERROR(IF(INDEX(EmployeeData[Exit Reason], ROW() - 37)=0, "",INDEX(EmployeeData[Exit Reason], ROW() - 37)),"")</f>
        <v>Retirement</v>
      </c>
      <c r="J451" s="4" t="str" cm="1">
        <f t="array" ref="J451">IFERROR(INDEX(EmployeeData[Status], ROW() - 37), "")</f>
        <v>Exited</v>
      </c>
    </row>
    <row r="452" spans="2:10" ht="19.95" customHeight="1" x14ac:dyDescent="0.3">
      <c r="B452" s="4" cm="1">
        <f t="array" ref="B452">IFERROR(INDEX(EmployeeData[Employee ID], ROW() - 37), "")</f>
        <v>1415</v>
      </c>
      <c r="C452" s="4" t="str" cm="1">
        <f t="array" ref="C452">IFERROR(INDEX(EmployeeData[Full Name], ROW() - 37), "")</f>
        <v>Daisy Dela Cruz</v>
      </c>
      <c r="D452" s="4" t="str" cm="1">
        <f t="array" ref="D452">IFERROR(INDEX(EmployeeData[Department], ROW() - 37), "")</f>
        <v>IT</v>
      </c>
      <c r="E452" s="4" t="str" cm="1">
        <f t="array" ref="E452">IFERROR(INDEX(EmployeeData[Gender], ROW() - 37), "")</f>
        <v>Female</v>
      </c>
      <c r="F452" s="4" cm="1">
        <f t="array" ref="F452">IFERROR(INDEX(EmployeeData[Age], ROW() - 37), "")</f>
        <v>50</v>
      </c>
      <c r="G452" s="6" cm="1">
        <f t="array" ref="G452">IFERROR(INDEX(EmployeeData[Join Date], ROW() - 37), "")</f>
        <v>44920</v>
      </c>
      <c r="H452" s="6" t="str" cm="1">
        <f t="array" ref="H452">IFERROR(IF(INDEX(EmployeeData[Exit Date], ROW() - 37)=0, "",INDEX(EmployeeData[Exit Date], ROW() - 37)),"")</f>
        <v/>
      </c>
      <c r="I452" s="4" t="str" cm="1">
        <f t="array" ref="I452">IFERROR(IF(INDEX(EmployeeData[Exit Reason], ROW() - 37)=0, "",INDEX(EmployeeData[Exit Reason], ROW() - 37)),"")</f>
        <v/>
      </c>
      <c r="J452" s="4" t="str" cm="1">
        <f t="array" ref="J452">IFERROR(INDEX(EmployeeData[Status], ROW() - 37), "")</f>
        <v>Active</v>
      </c>
    </row>
    <row r="453" spans="2:10" ht="19.95" customHeight="1" x14ac:dyDescent="0.3">
      <c r="B453" s="4" cm="1">
        <f t="array" ref="B453">IFERROR(INDEX(EmployeeData[Employee ID], ROW() - 37), "")</f>
        <v>1416</v>
      </c>
      <c r="C453" s="4" t="str" cm="1">
        <f t="array" ref="C453">IFERROR(INDEX(EmployeeData[Full Name], ROW() - 37), "")</f>
        <v>Sue Garcia Hilario</v>
      </c>
      <c r="D453" s="4" t="str" cm="1">
        <f t="array" ref="D453">IFERROR(INDEX(EmployeeData[Department], ROW() - 37), "")</f>
        <v>IT</v>
      </c>
      <c r="E453" s="4" t="str" cm="1">
        <f t="array" ref="E453">IFERROR(INDEX(EmployeeData[Gender], ROW() - 37), "")</f>
        <v>Female</v>
      </c>
      <c r="F453" s="4" cm="1">
        <f t="array" ref="F453">IFERROR(INDEX(EmployeeData[Age], ROW() - 37), "")</f>
        <v>52</v>
      </c>
      <c r="G453" s="6" cm="1">
        <f t="array" ref="G453">IFERROR(INDEX(EmployeeData[Join Date], ROW() - 37), "")</f>
        <v>45777</v>
      </c>
      <c r="H453" s="6" cm="1">
        <f t="array" ref="H453">IFERROR(IF(INDEX(EmployeeData[Exit Date], ROW() - 37)=0, "",INDEX(EmployeeData[Exit Date], ROW() - 37)),"")</f>
        <v>46073</v>
      </c>
      <c r="I453" s="4" t="str" cm="1">
        <f t="array" ref="I453">IFERROR(IF(INDEX(EmployeeData[Exit Reason], ROW() - 37)=0, "",INDEX(EmployeeData[Exit Reason], ROW() - 37)),"")</f>
        <v>Termination</v>
      </c>
      <c r="J453" s="4" t="str" cm="1">
        <f t="array" ref="J453">IFERROR(INDEX(EmployeeData[Status], ROW() - 37), "")</f>
        <v>Exited</v>
      </c>
    </row>
    <row r="454" spans="2:10" ht="19.95" customHeight="1" x14ac:dyDescent="0.3">
      <c r="B454" s="4" cm="1">
        <f t="array" ref="B454">IFERROR(INDEX(EmployeeData[Employee ID], ROW() - 37), "")</f>
        <v>1417</v>
      </c>
      <c r="C454" s="4" t="str" cm="1">
        <f t="array" ref="C454">IFERROR(INDEX(EmployeeData[Full Name], ROW() - 37), "")</f>
        <v>Carmen Bautista Buenaventura</v>
      </c>
      <c r="D454" s="4" t="str" cm="1">
        <f t="array" ref="D454">IFERROR(INDEX(EmployeeData[Department], ROW() - 37), "")</f>
        <v>Sales</v>
      </c>
      <c r="E454" s="4" t="str" cm="1">
        <f t="array" ref="E454">IFERROR(INDEX(EmployeeData[Gender], ROW() - 37), "")</f>
        <v>Other</v>
      </c>
      <c r="F454" s="4" cm="1">
        <f t="array" ref="F454">IFERROR(INDEX(EmployeeData[Age], ROW() - 37), "")</f>
        <v>40</v>
      </c>
      <c r="G454" s="6" cm="1">
        <f t="array" ref="G454">IFERROR(INDEX(EmployeeData[Join Date], ROW() - 37), "")</f>
        <v>45183</v>
      </c>
      <c r="H454" s="6" t="str" cm="1">
        <f t="array" ref="H454">IFERROR(IF(INDEX(EmployeeData[Exit Date], ROW() - 37)=0, "",INDEX(EmployeeData[Exit Date], ROW() - 37)),"")</f>
        <v/>
      </c>
      <c r="I454" s="4" t="str" cm="1">
        <f t="array" ref="I454">IFERROR(IF(INDEX(EmployeeData[Exit Reason], ROW() - 37)=0, "",INDEX(EmployeeData[Exit Reason], ROW() - 37)),"")</f>
        <v/>
      </c>
      <c r="J454" s="4" t="str" cm="1">
        <f t="array" ref="J454">IFERROR(INDEX(EmployeeData[Status], ROW() - 37), "")</f>
        <v>Active</v>
      </c>
    </row>
    <row r="455" spans="2:10" ht="19.95" customHeight="1" x14ac:dyDescent="0.3">
      <c r="B455" s="4" cm="1">
        <f t="array" ref="B455">IFERROR(INDEX(EmployeeData[Employee ID], ROW() - 37), "")</f>
        <v>1418</v>
      </c>
      <c r="C455" s="4" t="str" cm="1">
        <f t="array" ref="C455">IFERROR(INDEX(EmployeeData[Full Name], ROW() - 37), "")</f>
        <v>Cristina Tuazon</v>
      </c>
      <c r="D455" s="4" t="str" cm="1">
        <f t="array" ref="D455">IFERROR(INDEX(EmployeeData[Department], ROW() - 37), "")</f>
        <v>Sales</v>
      </c>
      <c r="E455" s="4" t="str" cm="1">
        <f t="array" ref="E455">IFERROR(INDEX(EmployeeData[Gender], ROW() - 37), "")</f>
        <v>Other</v>
      </c>
      <c r="F455" s="4" cm="1">
        <f t="array" ref="F455">IFERROR(INDEX(EmployeeData[Age], ROW() - 37), "")</f>
        <v>42</v>
      </c>
      <c r="G455" s="6" cm="1">
        <f t="array" ref="G455">IFERROR(INDEX(EmployeeData[Join Date], ROW() - 37), "")</f>
        <v>45395</v>
      </c>
      <c r="H455" s="6" t="str" cm="1">
        <f t="array" ref="H455">IFERROR(IF(INDEX(EmployeeData[Exit Date], ROW() - 37)=0, "",INDEX(EmployeeData[Exit Date], ROW() - 37)),"")</f>
        <v/>
      </c>
      <c r="I455" s="4" t="str" cm="1">
        <f t="array" ref="I455">IFERROR(IF(INDEX(EmployeeData[Exit Reason], ROW() - 37)=0, "",INDEX(EmployeeData[Exit Reason], ROW() - 37)),"")</f>
        <v/>
      </c>
      <c r="J455" s="4" t="str" cm="1">
        <f t="array" ref="J455">IFERROR(INDEX(EmployeeData[Status], ROW() - 37), "")</f>
        <v>Active</v>
      </c>
    </row>
    <row r="456" spans="2:10" ht="19.95" customHeight="1" x14ac:dyDescent="0.3">
      <c r="B456" s="4" cm="1">
        <f t="array" ref="B456">IFERROR(INDEX(EmployeeData[Employee ID], ROW() - 37), "")</f>
        <v>1419</v>
      </c>
      <c r="C456" s="4" t="str" cm="1">
        <f t="array" ref="C456">IFERROR(INDEX(EmployeeData[Full Name], ROW() - 37), "")</f>
        <v>Aldrin Mendoza Hilario</v>
      </c>
      <c r="D456" s="4" t="str" cm="1">
        <f t="array" ref="D456">IFERROR(INDEX(EmployeeData[Department], ROW() - 37), "")</f>
        <v>IT</v>
      </c>
      <c r="E456" s="4" t="str" cm="1">
        <f t="array" ref="E456">IFERROR(INDEX(EmployeeData[Gender], ROW() - 37), "")</f>
        <v>Male</v>
      </c>
      <c r="F456" s="4" cm="1">
        <f t="array" ref="F456">IFERROR(INDEX(EmployeeData[Age], ROW() - 37), "")</f>
        <v>27</v>
      </c>
      <c r="G456" s="6" cm="1">
        <f t="array" ref="G456">IFERROR(INDEX(EmployeeData[Join Date], ROW() - 37), "")</f>
        <v>45799</v>
      </c>
      <c r="H456" s="6" cm="1">
        <f t="array" ref="H456">IFERROR(IF(INDEX(EmployeeData[Exit Date], ROW() - 37)=0, "",INDEX(EmployeeData[Exit Date], ROW() - 37)),"")</f>
        <v>46063</v>
      </c>
      <c r="I456" s="4" t="str" cm="1">
        <f t="array" ref="I456">IFERROR(IF(INDEX(EmployeeData[Exit Reason], ROW() - 37)=0, "",INDEX(EmployeeData[Exit Reason], ROW() - 37)),"")</f>
        <v>Termination</v>
      </c>
      <c r="J456" s="4" t="str" cm="1">
        <f t="array" ref="J456">IFERROR(INDEX(EmployeeData[Status], ROW() - 37), "")</f>
        <v>Exited</v>
      </c>
    </row>
    <row r="457" spans="2:10" ht="19.95" customHeight="1" x14ac:dyDescent="0.3">
      <c r="B457" s="4" cm="1">
        <f t="array" ref="B457">IFERROR(INDEX(EmployeeData[Employee ID], ROW() - 37), "")</f>
        <v>1420</v>
      </c>
      <c r="C457" s="4" t="str" cm="1">
        <f t="array" ref="C457">IFERROR(INDEX(EmployeeData[Full Name], ROW() - 37), "")</f>
        <v>Annaliza Castro Tolentino</v>
      </c>
      <c r="D457" s="4" t="str" cm="1">
        <f t="array" ref="D457">IFERROR(INDEX(EmployeeData[Department], ROW() - 37), "")</f>
        <v>Customer Support</v>
      </c>
      <c r="E457" s="4" t="str" cm="1">
        <f t="array" ref="E457">IFERROR(INDEX(EmployeeData[Gender], ROW() - 37), "")</f>
        <v>Female</v>
      </c>
      <c r="F457" s="4" cm="1">
        <f t="array" ref="F457">IFERROR(INDEX(EmployeeData[Age], ROW() - 37), "")</f>
        <v>29</v>
      </c>
      <c r="G457" s="6" cm="1">
        <f t="array" ref="G457">IFERROR(INDEX(EmployeeData[Join Date], ROW() - 37), "")</f>
        <v>44777</v>
      </c>
      <c r="H457" s="6" cm="1">
        <f t="array" ref="H457">IFERROR(IF(INDEX(EmployeeData[Exit Date], ROW() - 37)=0, "",INDEX(EmployeeData[Exit Date], ROW() - 37)),"")</f>
        <v>46118</v>
      </c>
      <c r="I457" s="4" t="str" cm="1">
        <f t="array" ref="I457">IFERROR(IF(INDEX(EmployeeData[Exit Reason], ROW() - 37)=0, "",INDEX(EmployeeData[Exit Reason], ROW() - 37)),"")</f>
        <v>Better Opportunity</v>
      </c>
      <c r="J457" s="4" t="str" cm="1">
        <f t="array" ref="J457">IFERROR(INDEX(EmployeeData[Status], ROW() - 37), "")</f>
        <v>Exited</v>
      </c>
    </row>
    <row r="458" spans="2:10" ht="19.95" customHeight="1" x14ac:dyDescent="0.3">
      <c r="B458" s="4" cm="1">
        <f t="array" ref="B458">IFERROR(INDEX(EmployeeData[Employee ID], ROW() - 37), "")</f>
        <v>1421</v>
      </c>
      <c r="C458" s="4" t="str" cm="1">
        <f t="array" ref="C458">IFERROR(INDEX(EmployeeData[Full Name], ROW() - 37), "")</f>
        <v>Annaliza Ramos Natividad</v>
      </c>
      <c r="D458" s="4" t="str" cm="1">
        <f t="array" ref="D458">IFERROR(INDEX(EmployeeData[Department], ROW() - 37), "")</f>
        <v>HR</v>
      </c>
      <c r="E458" s="4" t="str" cm="1">
        <f t="array" ref="E458">IFERROR(INDEX(EmployeeData[Gender], ROW() - 37), "")</f>
        <v>Female</v>
      </c>
      <c r="F458" s="4" cm="1">
        <f t="array" ref="F458">IFERROR(INDEX(EmployeeData[Age], ROW() - 37), "")</f>
        <v>47</v>
      </c>
      <c r="G458" s="6" cm="1">
        <f t="array" ref="G458">IFERROR(INDEX(EmployeeData[Join Date], ROW() - 37), "")</f>
        <v>43291</v>
      </c>
      <c r="H458" s="6" t="str" cm="1">
        <f t="array" ref="H458">IFERROR(IF(INDEX(EmployeeData[Exit Date], ROW() - 37)=0, "",INDEX(EmployeeData[Exit Date], ROW() - 37)),"")</f>
        <v/>
      </c>
      <c r="I458" s="4" t="str" cm="1">
        <f t="array" ref="I458">IFERROR(IF(INDEX(EmployeeData[Exit Reason], ROW() - 37)=0, "",INDEX(EmployeeData[Exit Reason], ROW() - 37)),"")</f>
        <v/>
      </c>
      <c r="J458" s="4" t="str" cm="1">
        <f t="array" ref="J458">IFERROR(INDEX(EmployeeData[Status], ROW() - 37), "")</f>
        <v>Active</v>
      </c>
    </row>
    <row r="459" spans="2:10" ht="19.95" customHeight="1" x14ac:dyDescent="0.3">
      <c r="B459" s="4" cm="1">
        <f t="array" ref="B459">IFERROR(INDEX(EmployeeData[Employee ID], ROW() - 37), "")</f>
        <v>1422</v>
      </c>
      <c r="C459" s="4" t="str" cm="1">
        <f t="array" ref="C459">IFERROR(INDEX(EmployeeData[Full Name], ROW() - 37), "")</f>
        <v>Hazel Cueto</v>
      </c>
      <c r="D459" s="4" t="str" cm="1">
        <f t="array" ref="D459">IFERROR(INDEX(EmployeeData[Department], ROW() - 37), "")</f>
        <v>Finance</v>
      </c>
      <c r="E459" s="4" t="str" cm="1">
        <f t="array" ref="E459">IFERROR(INDEX(EmployeeData[Gender], ROW() - 37), "")</f>
        <v>Female</v>
      </c>
      <c r="F459" s="4" cm="1">
        <f t="array" ref="F459">IFERROR(INDEX(EmployeeData[Age], ROW() - 37), "")</f>
        <v>24</v>
      </c>
      <c r="G459" s="6" cm="1">
        <f t="array" ref="G459">IFERROR(INDEX(EmployeeData[Join Date], ROW() - 37), "")</f>
        <v>45367</v>
      </c>
      <c r="H459" s="6" t="str" cm="1">
        <f t="array" ref="H459">IFERROR(IF(INDEX(EmployeeData[Exit Date], ROW() - 37)=0, "",INDEX(EmployeeData[Exit Date], ROW() - 37)),"")</f>
        <v/>
      </c>
      <c r="I459" s="4" t="str" cm="1">
        <f t="array" ref="I459">IFERROR(IF(INDEX(EmployeeData[Exit Reason], ROW() - 37)=0, "",INDEX(EmployeeData[Exit Reason], ROW() - 37)),"")</f>
        <v/>
      </c>
      <c r="J459" s="4" t="str" cm="1">
        <f t="array" ref="J459">IFERROR(INDEX(EmployeeData[Status], ROW() - 37), "")</f>
        <v>Active</v>
      </c>
    </row>
    <row r="460" spans="2:10" ht="19.95" customHeight="1" x14ac:dyDescent="0.3">
      <c r="B460" s="4" cm="1">
        <f t="array" ref="B460">IFERROR(INDEX(EmployeeData[Employee ID], ROW() - 37), "")</f>
        <v>1423</v>
      </c>
      <c r="C460" s="4" t="str" cm="1">
        <f t="array" ref="C460">IFERROR(INDEX(EmployeeData[Full Name], ROW() - 37), "")</f>
        <v>Arnel Camacho</v>
      </c>
      <c r="D460" s="4" t="str" cm="1">
        <f t="array" ref="D460">IFERROR(INDEX(EmployeeData[Department], ROW() - 37), "")</f>
        <v>Finance</v>
      </c>
      <c r="E460" s="4" t="str" cm="1">
        <f t="array" ref="E460">IFERROR(INDEX(EmployeeData[Gender], ROW() - 37), "")</f>
        <v>Other</v>
      </c>
      <c r="F460" s="4" cm="1">
        <f t="array" ref="F460">IFERROR(INDEX(EmployeeData[Age], ROW() - 37), "")</f>
        <v>32</v>
      </c>
      <c r="G460" s="6" cm="1">
        <f t="array" ref="G460">IFERROR(INDEX(EmployeeData[Join Date], ROW() - 37), "")</f>
        <v>43626</v>
      </c>
      <c r="H460" s="6" cm="1">
        <f t="array" ref="H460">IFERROR(IF(INDEX(EmployeeData[Exit Date], ROW() - 37)=0, "",INDEX(EmployeeData[Exit Date], ROW() - 37)),"")</f>
        <v>45034</v>
      </c>
      <c r="I460" s="4" t="str" cm="1">
        <f t="array" ref="I460">IFERROR(IF(INDEX(EmployeeData[Exit Reason], ROW() - 37)=0, "",INDEX(EmployeeData[Exit Reason], ROW() - 37)),"")</f>
        <v>Health Issues</v>
      </c>
      <c r="J460" s="4" t="str" cm="1">
        <f t="array" ref="J460">IFERROR(INDEX(EmployeeData[Status], ROW() - 37), "")</f>
        <v>Exited</v>
      </c>
    </row>
    <row r="461" spans="2:10" ht="19.95" customHeight="1" x14ac:dyDescent="0.3">
      <c r="B461" s="4" cm="1">
        <f t="array" ref="B461">IFERROR(INDEX(EmployeeData[Employee ID], ROW() - 37), "")</f>
        <v>1424</v>
      </c>
      <c r="C461" s="4" t="str" cm="1">
        <f t="array" ref="C461">IFERROR(INDEX(EmployeeData[Full Name], ROW() - 37), "")</f>
        <v>Carlos Natividad</v>
      </c>
      <c r="D461" s="4" t="str" cm="1">
        <f t="array" ref="D461">IFERROR(INDEX(EmployeeData[Department], ROW() - 37), "")</f>
        <v>Finance</v>
      </c>
      <c r="E461" s="4" t="str" cm="1">
        <f t="array" ref="E461">IFERROR(INDEX(EmployeeData[Gender], ROW() - 37), "")</f>
        <v>Other</v>
      </c>
      <c r="F461" s="4" cm="1">
        <f t="array" ref="F461">IFERROR(INDEX(EmployeeData[Age], ROW() - 37), "")</f>
        <v>38</v>
      </c>
      <c r="G461" s="6" cm="1">
        <f t="array" ref="G461">IFERROR(INDEX(EmployeeData[Join Date], ROW() - 37), "")</f>
        <v>44730</v>
      </c>
      <c r="H461" s="6" t="str" cm="1">
        <f t="array" ref="H461">IFERROR(IF(INDEX(EmployeeData[Exit Date], ROW() - 37)=0, "",INDEX(EmployeeData[Exit Date], ROW() - 37)),"")</f>
        <v/>
      </c>
      <c r="I461" s="4" t="str" cm="1">
        <f t="array" ref="I461">IFERROR(IF(INDEX(EmployeeData[Exit Reason], ROW() - 37)=0, "",INDEX(EmployeeData[Exit Reason], ROW() - 37)),"")</f>
        <v/>
      </c>
      <c r="J461" s="4" t="str" cm="1">
        <f t="array" ref="J461">IFERROR(INDEX(EmployeeData[Status], ROW() - 37), "")</f>
        <v>Active</v>
      </c>
    </row>
    <row r="462" spans="2:10" ht="19.95" customHeight="1" x14ac:dyDescent="0.3">
      <c r="B462" s="4" cm="1">
        <f t="array" ref="B462">IFERROR(INDEX(EmployeeData[Employee ID], ROW() - 37), "")</f>
        <v>1425</v>
      </c>
      <c r="C462" s="4" t="str" cm="1">
        <f t="array" ref="C462">IFERROR(INDEX(EmployeeData[Full Name], ROW() - 37), "")</f>
        <v>Pete Macaraeg</v>
      </c>
      <c r="D462" s="4" t="str" cm="1">
        <f t="array" ref="D462">IFERROR(INDEX(EmployeeData[Department], ROW() - 37), "")</f>
        <v>Customer Support</v>
      </c>
      <c r="E462" s="4" t="str" cm="1">
        <f t="array" ref="E462">IFERROR(INDEX(EmployeeData[Gender], ROW() - 37), "")</f>
        <v>Male</v>
      </c>
      <c r="F462" s="4" cm="1">
        <f t="array" ref="F462">IFERROR(INDEX(EmployeeData[Age], ROW() - 37), "")</f>
        <v>53</v>
      </c>
      <c r="G462" s="6" cm="1">
        <f t="array" ref="G462">IFERROR(INDEX(EmployeeData[Join Date], ROW() - 37), "")</f>
        <v>44325</v>
      </c>
      <c r="H462" s="6" t="str" cm="1">
        <f t="array" ref="H462">IFERROR(IF(INDEX(EmployeeData[Exit Date], ROW() - 37)=0, "",INDEX(EmployeeData[Exit Date], ROW() - 37)),"")</f>
        <v/>
      </c>
      <c r="I462" s="4" t="str" cm="1">
        <f t="array" ref="I462">IFERROR(IF(INDEX(EmployeeData[Exit Reason], ROW() - 37)=0, "",INDEX(EmployeeData[Exit Reason], ROW() - 37)),"")</f>
        <v/>
      </c>
      <c r="J462" s="4" t="str" cm="1">
        <f t="array" ref="J462">IFERROR(INDEX(EmployeeData[Status], ROW() - 37), "")</f>
        <v>Active</v>
      </c>
    </row>
    <row r="463" spans="2:10" ht="19.95" customHeight="1" x14ac:dyDescent="0.3">
      <c r="B463" s="4" cm="1">
        <f t="array" ref="B463">IFERROR(INDEX(EmployeeData[Employee ID], ROW() - 37), "")</f>
        <v>1426</v>
      </c>
      <c r="C463" s="4" t="str" cm="1">
        <f t="array" ref="C463">IFERROR(INDEX(EmployeeData[Full Name], ROW() - 37), "")</f>
        <v>Aldrin Ramos Guevarra</v>
      </c>
      <c r="D463" s="4" t="str" cm="1">
        <f t="array" ref="D463">IFERROR(INDEX(EmployeeData[Department], ROW() - 37), "")</f>
        <v>Finance</v>
      </c>
      <c r="E463" s="4" t="str" cm="1">
        <f t="array" ref="E463">IFERROR(INDEX(EmployeeData[Gender], ROW() - 37), "")</f>
        <v>Male</v>
      </c>
      <c r="F463" s="4" cm="1">
        <f t="array" ref="F463">IFERROR(INDEX(EmployeeData[Age], ROW() - 37), "")</f>
        <v>33</v>
      </c>
      <c r="G463" s="6" cm="1">
        <f t="array" ref="G463">IFERROR(INDEX(EmployeeData[Join Date], ROW() - 37), "")</f>
        <v>43959</v>
      </c>
      <c r="H463" s="6" t="str" cm="1">
        <f t="array" ref="H463">IFERROR(IF(INDEX(EmployeeData[Exit Date], ROW() - 37)=0, "",INDEX(EmployeeData[Exit Date], ROW() - 37)),"")</f>
        <v/>
      </c>
      <c r="I463" s="4" t="str" cm="1">
        <f t="array" ref="I463">IFERROR(IF(INDEX(EmployeeData[Exit Reason], ROW() - 37)=0, "",INDEX(EmployeeData[Exit Reason], ROW() - 37)),"")</f>
        <v/>
      </c>
      <c r="J463" s="4" t="str" cm="1">
        <f t="array" ref="J463">IFERROR(INDEX(EmployeeData[Status], ROW() - 37), "")</f>
        <v>Active</v>
      </c>
    </row>
    <row r="464" spans="2:10" ht="19.95" customHeight="1" x14ac:dyDescent="0.3">
      <c r="B464" s="4" cm="1">
        <f t="array" ref="B464">IFERROR(INDEX(EmployeeData[Employee ID], ROW() - 37), "")</f>
        <v>1427</v>
      </c>
      <c r="C464" s="4" t="str" cm="1">
        <f t="array" ref="C464">IFERROR(INDEX(EmployeeData[Full Name], ROW() - 37), "")</f>
        <v>Elmer Vega Lazo</v>
      </c>
      <c r="D464" s="4" t="str" cm="1">
        <f t="array" ref="D464">IFERROR(INDEX(EmployeeData[Department], ROW() - 37), "")</f>
        <v>Finance</v>
      </c>
      <c r="E464" s="4" t="str" cm="1">
        <f t="array" ref="E464">IFERROR(INDEX(EmployeeData[Gender], ROW() - 37), "")</f>
        <v>Male</v>
      </c>
      <c r="F464" s="4" cm="1">
        <f t="array" ref="F464">IFERROR(INDEX(EmployeeData[Age], ROW() - 37), "")</f>
        <v>32</v>
      </c>
      <c r="G464" s="6" cm="1">
        <f t="array" ref="G464">IFERROR(INDEX(EmployeeData[Join Date], ROW() - 37), "")</f>
        <v>45164</v>
      </c>
      <c r="H464" s="6" t="str" cm="1">
        <f t="array" ref="H464">IFERROR(IF(INDEX(EmployeeData[Exit Date], ROW() - 37)=0, "",INDEX(EmployeeData[Exit Date], ROW() - 37)),"")</f>
        <v/>
      </c>
      <c r="I464" s="4" t="str" cm="1">
        <f t="array" ref="I464">IFERROR(IF(INDEX(EmployeeData[Exit Reason], ROW() - 37)=0, "",INDEX(EmployeeData[Exit Reason], ROW() - 37)),"")</f>
        <v/>
      </c>
      <c r="J464" s="4" t="str" cm="1">
        <f t="array" ref="J464">IFERROR(INDEX(EmployeeData[Status], ROW() - 37), "")</f>
        <v>Active</v>
      </c>
    </row>
    <row r="465" spans="2:10" ht="19.95" customHeight="1" x14ac:dyDescent="0.3">
      <c r="B465" s="4" cm="1">
        <f t="array" ref="B465">IFERROR(INDEX(EmployeeData[Employee ID], ROW() - 37), "")</f>
        <v>1428</v>
      </c>
      <c r="C465" s="4" t="str" cm="1">
        <f t="array" ref="C465">IFERROR(INDEX(EmployeeData[Full Name], ROW() - 37), "")</f>
        <v>Neil Co</v>
      </c>
      <c r="D465" s="4" t="str" cm="1">
        <f t="array" ref="D465">IFERROR(INDEX(EmployeeData[Department], ROW() - 37), "")</f>
        <v>Marketing</v>
      </c>
      <c r="E465" s="4" t="str" cm="1">
        <f t="array" ref="E465">IFERROR(INDEX(EmployeeData[Gender], ROW() - 37), "")</f>
        <v>Male</v>
      </c>
      <c r="F465" s="4" cm="1">
        <f t="array" ref="F465">IFERROR(INDEX(EmployeeData[Age], ROW() - 37), "")</f>
        <v>47</v>
      </c>
      <c r="G465" s="6" cm="1">
        <f t="array" ref="G465">IFERROR(INDEX(EmployeeData[Join Date], ROW() - 37), "")</f>
        <v>45862</v>
      </c>
      <c r="H465" s="6" t="str" cm="1">
        <f t="array" ref="H465">IFERROR(IF(INDEX(EmployeeData[Exit Date], ROW() - 37)=0, "",INDEX(EmployeeData[Exit Date], ROW() - 37)),"")</f>
        <v/>
      </c>
      <c r="I465" s="4" t="str" cm="1">
        <f t="array" ref="I465">IFERROR(IF(INDEX(EmployeeData[Exit Reason], ROW() - 37)=0, "",INDEX(EmployeeData[Exit Reason], ROW() - 37)),"")</f>
        <v/>
      </c>
      <c r="J465" s="4" t="str" cm="1">
        <f t="array" ref="J465">IFERROR(INDEX(EmployeeData[Status], ROW() - 37), "")</f>
        <v>Active</v>
      </c>
    </row>
    <row r="466" spans="2:10" ht="19.95" customHeight="1" x14ac:dyDescent="0.3">
      <c r="B466" s="4" cm="1">
        <f t="array" ref="B466">IFERROR(INDEX(EmployeeData[Employee ID], ROW() - 37), "")</f>
        <v>1429</v>
      </c>
      <c r="C466" s="4" t="str" cm="1">
        <f t="array" ref="C466">IFERROR(INDEX(EmployeeData[Full Name], ROW() - 37), "")</f>
        <v>Isabel Aguilar Enriquez</v>
      </c>
      <c r="D466" s="4" t="str" cm="1">
        <f t="array" ref="D466">IFERROR(INDEX(EmployeeData[Department], ROW() - 37), "")</f>
        <v>IT</v>
      </c>
      <c r="E466" s="4" t="str" cm="1">
        <f t="array" ref="E466">IFERROR(INDEX(EmployeeData[Gender], ROW() - 37), "")</f>
        <v>Female</v>
      </c>
      <c r="F466" s="4" cm="1">
        <f t="array" ref="F466">IFERROR(INDEX(EmployeeData[Age], ROW() - 37), "")</f>
        <v>27</v>
      </c>
      <c r="G466" s="6" cm="1">
        <f t="array" ref="G466">IFERROR(INDEX(EmployeeData[Join Date], ROW() - 37), "")</f>
        <v>43204</v>
      </c>
      <c r="H466" s="6" t="str" cm="1">
        <f t="array" ref="H466">IFERROR(IF(INDEX(EmployeeData[Exit Date], ROW() - 37)=0, "",INDEX(EmployeeData[Exit Date], ROW() - 37)),"")</f>
        <v/>
      </c>
      <c r="I466" s="4" t="str" cm="1">
        <f t="array" ref="I466">IFERROR(IF(INDEX(EmployeeData[Exit Reason], ROW() - 37)=0, "",INDEX(EmployeeData[Exit Reason], ROW() - 37)),"")</f>
        <v/>
      </c>
      <c r="J466" s="4" t="str" cm="1">
        <f t="array" ref="J466">IFERROR(INDEX(EmployeeData[Status], ROW() - 37), "")</f>
        <v>Active</v>
      </c>
    </row>
    <row r="467" spans="2:10" ht="19.95" customHeight="1" x14ac:dyDescent="0.3">
      <c r="B467" s="4" cm="1">
        <f t="array" ref="B467">IFERROR(INDEX(EmployeeData[Employee ID], ROW() - 37), "")</f>
        <v>1430</v>
      </c>
      <c r="C467" s="4" t="str" cm="1">
        <f t="array" ref="C467">IFERROR(INDEX(EmployeeData[Full Name], ROW() - 37), "")</f>
        <v>Estrella Santiago</v>
      </c>
      <c r="D467" s="4" t="str" cm="1">
        <f t="array" ref="D467">IFERROR(INDEX(EmployeeData[Department], ROW() - 37), "")</f>
        <v>HR</v>
      </c>
      <c r="E467" s="4" t="str" cm="1">
        <f t="array" ref="E467">IFERROR(INDEX(EmployeeData[Gender], ROW() - 37), "")</f>
        <v>Female</v>
      </c>
      <c r="F467" s="4" cm="1">
        <f t="array" ref="F467">IFERROR(INDEX(EmployeeData[Age], ROW() - 37), "")</f>
        <v>39</v>
      </c>
      <c r="G467" s="6" cm="1">
        <f t="array" ref="G467">IFERROR(INDEX(EmployeeData[Join Date], ROW() - 37), "")</f>
        <v>45900</v>
      </c>
      <c r="H467" s="6" cm="1">
        <f t="array" ref="H467">IFERROR(IF(INDEX(EmployeeData[Exit Date], ROW() - 37)=0, "",INDEX(EmployeeData[Exit Date], ROW() - 37)),"")</f>
        <v>46005</v>
      </c>
      <c r="I467" s="4" t="str" cm="1">
        <f t="array" ref="I467">IFERROR(IF(INDEX(EmployeeData[Exit Reason], ROW() - 37)=0, "",INDEX(EmployeeData[Exit Reason], ROW() - 37)),"")</f>
        <v>Personal Reasons</v>
      </c>
      <c r="J467" s="4" t="str" cm="1">
        <f t="array" ref="J467">IFERROR(INDEX(EmployeeData[Status], ROW() - 37), "")</f>
        <v>Exited</v>
      </c>
    </row>
    <row r="468" spans="2:10" ht="19.95" customHeight="1" x14ac:dyDescent="0.3">
      <c r="B468" s="4" cm="1">
        <f t="array" ref="B468">IFERROR(INDEX(EmployeeData[Employee ID], ROW() - 37), "")</f>
        <v>1431</v>
      </c>
      <c r="C468" s="4" t="str" cm="1">
        <f t="array" ref="C468">IFERROR(INDEX(EmployeeData[Full Name], ROW() - 37), "")</f>
        <v>Rowena Tan</v>
      </c>
      <c r="D468" s="4" t="str" cm="1">
        <f t="array" ref="D468">IFERROR(INDEX(EmployeeData[Department], ROW() - 37), "")</f>
        <v>Customer Support</v>
      </c>
      <c r="E468" s="4" t="str" cm="1">
        <f t="array" ref="E468">IFERROR(INDEX(EmployeeData[Gender], ROW() - 37), "")</f>
        <v>Other</v>
      </c>
      <c r="F468" s="4" cm="1">
        <f t="array" ref="F468">IFERROR(INDEX(EmployeeData[Age], ROW() - 37), "")</f>
        <v>27</v>
      </c>
      <c r="G468" s="6" cm="1">
        <f t="array" ref="G468">IFERROR(INDEX(EmployeeData[Join Date], ROW() - 37), "")</f>
        <v>45624</v>
      </c>
      <c r="H468" s="6" t="str" cm="1">
        <f t="array" ref="H468">IFERROR(IF(INDEX(EmployeeData[Exit Date], ROW() - 37)=0, "",INDEX(EmployeeData[Exit Date], ROW() - 37)),"")</f>
        <v/>
      </c>
      <c r="I468" s="4" t="str" cm="1">
        <f t="array" ref="I468">IFERROR(IF(INDEX(EmployeeData[Exit Reason], ROW() - 37)=0, "",INDEX(EmployeeData[Exit Reason], ROW() - 37)),"")</f>
        <v/>
      </c>
      <c r="J468" s="4" t="str" cm="1">
        <f t="array" ref="J468">IFERROR(INDEX(EmployeeData[Status], ROW() - 37), "")</f>
        <v>Active</v>
      </c>
    </row>
    <row r="469" spans="2:10" ht="19.95" customHeight="1" x14ac:dyDescent="0.3">
      <c r="B469" s="4" cm="1">
        <f t="array" ref="B469">IFERROR(INDEX(EmployeeData[Employee ID], ROW() - 37), "")</f>
        <v>1432</v>
      </c>
      <c r="C469" s="4" t="str" cm="1">
        <f t="array" ref="C469">IFERROR(INDEX(EmployeeData[Full Name], ROW() - 37), "")</f>
        <v>Rachel Navarro Salazar</v>
      </c>
      <c r="D469" s="4" t="str" cm="1">
        <f t="array" ref="D469">IFERROR(INDEX(EmployeeData[Department], ROW() - 37), "")</f>
        <v>Marketing</v>
      </c>
      <c r="E469" s="4" t="str" cm="1">
        <f t="array" ref="E469">IFERROR(INDEX(EmployeeData[Gender], ROW() - 37), "")</f>
        <v>Female</v>
      </c>
      <c r="F469" s="4" cm="1">
        <f t="array" ref="F469">IFERROR(INDEX(EmployeeData[Age], ROW() - 37), "")</f>
        <v>39</v>
      </c>
      <c r="G469" s="6" cm="1">
        <f t="array" ref="G469">IFERROR(INDEX(EmployeeData[Join Date], ROW() - 37), "")</f>
        <v>45939</v>
      </c>
      <c r="H469" s="6" t="str" cm="1">
        <f t="array" ref="H469">IFERROR(IF(INDEX(EmployeeData[Exit Date], ROW() - 37)=0, "",INDEX(EmployeeData[Exit Date], ROW() - 37)),"")</f>
        <v/>
      </c>
      <c r="I469" s="4" t="str" cm="1">
        <f t="array" ref="I469">IFERROR(IF(INDEX(EmployeeData[Exit Reason], ROW() - 37)=0, "",INDEX(EmployeeData[Exit Reason], ROW() - 37)),"")</f>
        <v/>
      </c>
      <c r="J469" s="4" t="str" cm="1">
        <f t="array" ref="J469">IFERROR(INDEX(EmployeeData[Status], ROW() - 37), "")</f>
        <v>Active</v>
      </c>
    </row>
    <row r="470" spans="2:10" ht="19.95" customHeight="1" x14ac:dyDescent="0.3">
      <c r="B470" s="4" cm="1">
        <f t="array" ref="B470">IFERROR(INDEX(EmployeeData[Employee ID], ROW() - 37), "")</f>
        <v>1433</v>
      </c>
      <c r="C470" s="4" t="str" cm="1">
        <f t="array" ref="C470">IFERROR(INDEX(EmployeeData[Full Name], ROW() - 37), "")</f>
        <v>Cherry Tan</v>
      </c>
      <c r="D470" s="4" t="str" cm="1">
        <f t="array" ref="D470">IFERROR(INDEX(EmployeeData[Department], ROW() - 37), "")</f>
        <v>Finance</v>
      </c>
      <c r="E470" s="4" t="str" cm="1">
        <f t="array" ref="E470">IFERROR(INDEX(EmployeeData[Gender], ROW() - 37), "")</f>
        <v>Female</v>
      </c>
      <c r="F470" s="4" cm="1">
        <f t="array" ref="F470">IFERROR(INDEX(EmployeeData[Age], ROW() - 37), "")</f>
        <v>37</v>
      </c>
      <c r="G470" s="6" cm="1">
        <f t="array" ref="G470">IFERROR(INDEX(EmployeeData[Join Date], ROW() - 37), "")</f>
        <v>43932</v>
      </c>
      <c r="H470" s="6" t="str" cm="1">
        <f t="array" ref="H470">IFERROR(IF(INDEX(EmployeeData[Exit Date], ROW() - 37)=0, "",INDEX(EmployeeData[Exit Date], ROW() - 37)),"")</f>
        <v/>
      </c>
      <c r="I470" s="4" t="str" cm="1">
        <f t="array" ref="I470">IFERROR(IF(INDEX(EmployeeData[Exit Reason], ROW() - 37)=0, "",INDEX(EmployeeData[Exit Reason], ROW() - 37)),"")</f>
        <v/>
      </c>
      <c r="J470" s="4" t="str" cm="1">
        <f t="array" ref="J470">IFERROR(INDEX(EmployeeData[Status], ROW() - 37), "")</f>
        <v>Active</v>
      </c>
    </row>
    <row r="471" spans="2:10" ht="19.95" customHeight="1" x14ac:dyDescent="0.3">
      <c r="B471" s="4" cm="1">
        <f t="array" ref="B471">IFERROR(INDEX(EmployeeData[Employee ID], ROW() - 37), "")</f>
        <v>1434</v>
      </c>
      <c r="C471" s="4" t="str" cm="1">
        <f t="array" ref="C471">IFERROR(INDEX(EmployeeData[Full Name], ROW() - 37), "")</f>
        <v>Kristoffer Obispo</v>
      </c>
      <c r="D471" s="4" t="str" cm="1">
        <f t="array" ref="D471">IFERROR(INDEX(EmployeeData[Department], ROW() - 37), "")</f>
        <v>HR</v>
      </c>
      <c r="E471" s="4" t="str" cm="1">
        <f t="array" ref="E471">IFERROR(INDEX(EmployeeData[Gender], ROW() - 37), "")</f>
        <v>Male</v>
      </c>
      <c r="F471" s="4" cm="1">
        <f t="array" ref="F471">IFERROR(INDEX(EmployeeData[Age], ROW() - 37), "")</f>
        <v>58</v>
      </c>
      <c r="G471" s="6" cm="1">
        <f t="array" ref="G471">IFERROR(INDEX(EmployeeData[Join Date], ROW() - 37), "")</f>
        <v>45339</v>
      </c>
      <c r="H471" s="6" t="str" cm="1">
        <f t="array" ref="H471">IFERROR(IF(INDEX(EmployeeData[Exit Date], ROW() - 37)=0, "",INDEX(EmployeeData[Exit Date], ROW() - 37)),"")</f>
        <v/>
      </c>
      <c r="I471" s="4" t="str" cm="1">
        <f t="array" ref="I471">IFERROR(IF(INDEX(EmployeeData[Exit Reason], ROW() - 37)=0, "",INDEX(EmployeeData[Exit Reason], ROW() - 37)),"")</f>
        <v/>
      </c>
      <c r="J471" s="4" t="str" cm="1">
        <f t="array" ref="J471">IFERROR(INDEX(EmployeeData[Status], ROW() - 37), "")</f>
        <v>Active</v>
      </c>
    </row>
    <row r="472" spans="2:10" ht="19.95" customHeight="1" x14ac:dyDescent="0.3">
      <c r="B472" s="4" cm="1">
        <f t="array" ref="B472">IFERROR(INDEX(EmployeeData[Employee ID], ROW() - 37), "")</f>
        <v>1435</v>
      </c>
      <c r="C472" s="4" t="str" cm="1">
        <f t="array" ref="C472">IFERROR(INDEX(EmployeeData[Full Name], ROW() - 37), "")</f>
        <v>Lea Sy Castro</v>
      </c>
      <c r="D472" s="4" t="str" cm="1">
        <f t="array" ref="D472">IFERROR(INDEX(EmployeeData[Department], ROW() - 37), "")</f>
        <v>IT</v>
      </c>
      <c r="E472" s="4" t="str" cm="1">
        <f t="array" ref="E472">IFERROR(INDEX(EmployeeData[Gender], ROW() - 37), "")</f>
        <v>Female</v>
      </c>
      <c r="F472" s="4" cm="1">
        <f t="array" ref="F472">IFERROR(INDEX(EmployeeData[Age], ROW() - 37), "")</f>
        <v>25</v>
      </c>
      <c r="G472" s="6" cm="1">
        <f t="array" ref="G472">IFERROR(INDEX(EmployeeData[Join Date], ROW() - 37), "")</f>
        <v>43866</v>
      </c>
      <c r="H472" s="6" t="str" cm="1">
        <f t="array" ref="H472">IFERROR(IF(INDEX(EmployeeData[Exit Date], ROW() - 37)=0, "",INDEX(EmployeeData[Exit Date], ROW() - 37)),"")</f>
        <v/>
      </c>
      <c r="I472" s="4" t="str" cm="1">
        <f t="array" ref="I472">IFERROR(IF(INDEX(EmployeeData[Exit Reason], ROW() - 37)=0, "",INDEX(EmployeeData[Exit Reason], ROW() - 37)),"")</f>
        <v/>
      </c>
      <c r="J472" s="4" t="str" cm="1">
        <f t="array" ref="J472">IFERROR(INDEX(EmployeeData[Status], ROW() - 37), "")</f>
        <v>Active</v>
      </c>
    </row>
    <row r="473" spans="2:10" ht="19.95" customHeight="1" x14ac:dyDescent="0.3">
      <c r="B473" s="4" cm="1">
        <f t="array" ref="B473">IFERROR(INDEX(EmployeeData[Employee ID], ROW() - 37), "")</f>
        <v>1436</v>
      </c>
      <c r="C473" s="4" t="str" cm="1">
        <f t="array" ref="C473">IFERROR(INDEX(EmployeeData[Full Name], ROW() - 37), "")</f>
        <v>Maria Fernandez Mangubat</v>
      </c>
      <c r="D473" s="4" t="str" cm="1">
        <f t="array" ref="D473">IFERROR(INDEX(EmployeeData[Department], ROW() - 37), "")</f>
        <v>IT</v>
      </c>
      <c r="E473" s="4" t="str" cm="1">
        <f t="array" ref="E473">IFERROR(INDEX(EmployeeData[Gender], ROW() - 37), "")</f>
        <v>Female</v>
      </c>
      <c r="F473" s="4" cm="1">
        <f t="array" ref="F473">IFERROR(INDEX(EmployeeData[Age], ROW() - 37), "")</f>
        <v>31</v>
      </c>
      <c r="G473" s="6" cm="1">
        <f t="array" ref="G473">IFERROR(INDEX(EmployeeData[Join Date], ROW() - 37), "")</f>
        <v>45493</v>
      </c>
      <c r="H473" s="6" t="str" cm="1">
        <f t="array" ref="H473">IFERROR(IF(INDEX(EmployeeData[Exit Date], ROW() - 37)=0, "",INDEX(EmployeeData[Exit Date], ROW() - 37)),"")</f>
        <v/>
      </c>
      <c r="I473" s="4" t="str" cm="1">
        <f t="array" ref="I473">IFERROR(IF(INDEX(EmployeeData[Exit Reason], ROW() - 37)=0, "",INDEX(EmployeeData[Exit Reason], ROW() - 37)),"")</f>
        <v/>
      </c>
      <c r="J473" s="4" t="str" cm="1">
        <f t="array" ref="J473">IFERROR(INDEX(EmployeeData[Status], ROW() - 37), "")</f>
        <v>Active</v>
      </c>
    </row>
    <row r="474" spans="2:10" ht="19.95" customHeight="1" x14ac:dyDescent="0.3">
      <c r="B474" s="4" cm="1">
        <f t="array" ref="B474">IFERROR(INDEX(EmployeeData[Employee ID], ROW() - 37), "")</f>
        <v>1437</v>
      </c>
      <c r="C474" s="4" t="str" cm="1">
        <f t="array" ref="C474">IFERROR(INDEX(EmployeeData[Full Name], ROW() - 37), "")</f>
        <v>Manuel Viray</v>
      </c>
      <c r="D474" s="4" t="str" cm="1">
        <f t="array" ref="D474">IFERROR(INDEX(EmployeeData[Department], ROW() - 37), "")</f>
        <v>Customer Support</v>
      </c>
      <c r="E474" s="4" t="str" cm="1">
        <f t="array" ref="E474">IFERROR(INDEX(EmployeeData[Gender], ROW() - 37), "")</f>
        <v>Other</v>
      </c>
      <c r="F474" s="4" cm="1">
        <f t="array" ref="F474">IFERROR(INDEX(EmployeeData[Age], ROW() - 37), "")</f>
        <v>24</v>
      </c>
      <c r="G474" s="6" cm="1">
        <f t="array" ref="G474">IFERROR(INDEX(EmployeeData[Join Date], ROW() - 37), "")</f>
        <v>45662</v>
      </c>
      <c r="H474" s="6" t="str" cm="1">
        <f t="array" ref="H474">IFERROR(IF(INDEX(EmployeeData[Exit Date], ROW() - 37)=0, "",INDEX(EmployeeData[Exit Date], ROW() - 37)),"")</f>
        <v/>
      </c>
      <c r="I474" s="4" t="str" cm="1">
        <f t="array" ref="I474">IFERROR(IF(INDEX(EmployeeData[Exit Reason], ROW() - 37)=0, "",INDEX(EmployeeData[Exit Reason], ROW() - 37)),"")</f>
        <v/>
      </c>
      <c r="J474" s="4" t="str" cm="1">
        <f t="array" ref="J474">IFERROR(INDEX(EmployeeData[Status], ROW() - 37), "")</f>
        <v>Active</v>
      </c>
    </row>
    <row r="475" spans="2:10" ht="19.95" customHeight="1" x14ac:dyDescent="0.3">
      <c r="B475" s="4" cm="1">
        <f t="array" ref="B475">IFERROR(INDEX(EmployeeData[Employee ID], ROW() - 37), "")</f>
        <v>1438</v>
      </c>
      <c r="C475" s="4" t="str" cm="1">
        <f t="array" ref="C475">IFERROR(INDEX(EmployeeData[Full Name], ROW() - 37), "")</f>
        <v>Kath Tan Aguilar</v>
      </c>
      <c r="D475" s="4" t="str" cm="1">
        <f t="array" ref="D475">IFERROR(INDEX(EmployeeData[Department], ROW() - 37), "")</f>
        <v>Marketing</v>
      </c>
      <c r="E475" s="4" t="str" cm="1">
        <f t="array" ref="E475">IFERROR(INDEX(EmployeeData[Gender], ROW() - 37), "")</f>
        <v>Female</v>
      </c>
      <c r="F475" s="4" cm="1">
        <f t="array" ref="F475">IFERROR(INDEX(EmployeeData[Age], ROW() - 37), "")</f>
        <v>41</v>
      </c>
      <c r="G475" s="6" cm="1">
        <f t="array" ref="G475">IFERROR(INDEX(EmployeeData[Join Date], ROW() - 37), "")</f>
        <v>45253</v>
      </c>
      <c r="H475" s="6" cm="1">
        <f t="array" ref="H475">IFERROR(IF(INDEX(EmployeeData[Exit Date], ROW() - 37)=0, "",INDEX(EmployeeData[Exit Date], ROW() - 37)),"")</f>
        <v>45531</v>
      </c>
      <c r="I475" s="4" t="str" cm="1">
        <f t="array" ref="I475">IFERROR(IF(INDEX(EmployeeData[Exit Reason], ROW() - 37)=0, "",INDEX(EmployeeData[Exit Reason], ROW() - 37)),"")</f>
        <v>Health Issues</v>
      </c>
      <c r="J475" s="4" t="str" cm="1">
        <f t="array" ref="J475">IFERROR(INDEX(EmployeeData[Status], ROW() - 37), "")</f>
        <v>Exited</v>
      </c>
    </row>
    <row r="476" spans="2:10" ht="19.95" customHeight="1" x14ac:dyDescent="0.3">
      <c r="B476" s="4" cm="1">
        <f t="array" ref="B476">IFERROR(INDEX(EmployeeData[Employee ID], ROW() - 37), "")</f>
        <v>1439</v>
      </c>
      <c r="C476" s="4" t="str" cm="1">
        <f t="array" ref="C476">IFERROR(INDEX(EmployeeData[Full Name], ROW() - 37), "")</f>
        <v>Sue Vega Corpuz</v>
      </c>
      <c r="D476" s="4" t="str" cm="1">
        <f t="array" ref="D476">IFERROR(INDEX(EmployeeData[Department], ROW() - 37), "")</f>
        <v>Customer Support</v>
      </c>
      <c r="E476" s="4" t="str" cm="1">
        <f t="array" ref="E476">IFERROR(INDEX(EmployeeData[Gender], ROW() - 37), "")</f>
        <v>Female</v>
      </c>
      <c r="F476" s="4" cm="1">
        <f t="array" ref="F476">IFERROR(INDEX(EmployeeData[Age], ROW() - 37), "")</f>
        <v>65</v>
      </c>
      <c r="G476" s="6" cm="1">
        <f t="array" ref="G476">IFERROR(INDEX(EmployeeData[Join Date], ROW() - 37), "")</f>
        <v>45818</v>
      </c>
      <c r="H476" s="6" cm="1">
        <f t="array" ref="H476">IFERROR(IF(INDEX(EmployeeData[Exit Date], ROW() - 37)=0, "",INDEX(EmployeeData[Exit Date], ROW() - 37)),"")</f>
        <v>46092</v>
      </c>
      <c r="I476" s="4" t="str" cm="1">
        <f t="array" ref="I476">IFERROR(IF(INDEX(EmployeeData[Exit Reason], ROW() - 37)=0, "",INDEX(EmployeeData[Exit Reason], ROW() - 37)),"")</f>
        <v>Retirement</v>
      </c>
      <c r="J476" s="4" t="str" cm="1">
        <f t="array" ref="J476">IFERROR(INDEX(EmployeeData[Status], ROW() - 37), "")</f>
        <v>Exited</v>
      </c>
    </row>
    <row r="477" spans="2:10" ht="19.95" customHeight="1" x14ac:dyDescent="0.3">
      <c r="B477" s="4" cm="1">
        <f t="array" ref="B477">IFERROR(INDEX(EmployeeData[Employee ID], ROW() - 37), "")</f>
        <v>1440</v>
      </c>
      <c r="C477" s="4" t="str" cm="1">
        <f t="array" ref="C477">IFERROR(INDEX(EmployeeData[Full Name], ROW() - 37), "")</f>
        <v>Rodel Panganiban</v>
      </c>
      <c r="D477" s="4" t="str" cm="1">
        <f t="array" ref="D477">IFERROR(INDEX(EmployeeData[Department], ROW() - 37), "")</f>
        <v>IT</v>
      </c>
      <c r="E477" s="4" t="str" cm="1">
        <f t="array" ref="E477">IFERROR(INDEX(EmployeeData[Gender], ROW() - 37), "")</f>
        <v>Other</v>
      </c>
      <c r="F477" s="4" cm="1">
        <f t="array" ref="F477">IFERROR(INDEX(EmployeeData[Age], ROW() - 37), "")</f>
        <v>36</v>
      </c>
      <c r="G477" s="6" cm="1">
        <f t="array" ref="G477">IFERROR(INDEX(EmployeeData[Join Date], ROW() - 37), "")</f>
        <v>43264</v>
      </c>
      <c r="H477" s="6" t="str" cm="1">
        <f t="array" ref="H477">IFERROR(IF(INDEX(EmployeeData[Exit Date], ROW() - 37)=0, "",INDEX(EmployeeData[Exit Date], ROW() - 37)),"")</f>
        <v/>
      </c>
      <c r="I477" s="4" t="str" cm="1">
        <f t="array" ref="I477">IFERROR(IF(INDEX(EmployeeData[Exit Reason], ROW() - 37)=0, "",INDEX(EmployeeData[Exit Reason], ROW() - 37)),"")</f>
        <v/>
      </c>
      <c r="J477" s="4" t="str" cm="1">
        <f t="array" ref="J477">IFERROR(INDEX(EmployeeData[Status], ROW() - 37), "")</f>
        <v>Active</v>
      </c>
    </row>
    <row r="478" spans="2:10" ht="19.95" customHeight="1" x14ac:dyDescent="0.3">
      <c r="B478" s="4" cm="1">
        <f t="array" ref="B478">IFERROR(INDEX(EmployeeData[Employee ID], ROW() - 37), "")</f>
        <v>1441</v>
      </c>
      <c r="C478" s="4" t="str" cm="1">
        <f t="array" ref="C478">IFERROR(INDEX(EmployeeData[Full Name], ROW() - 37), "")</f>
        <v>Kevin Cueto</v>
      </c>
      <c r="D478" s="4" t="str" cm="1">
        <f t="array" ref="D478">IFERROR(INDEX(EmployeeData[Department], ROW() - 37), "")</f>
        <v>Finance</v>
      </c>
      <c r="E478" s="4" t="str" cm="1">
        <f t="array" ref="E478">IFERROR(INDEX(EmployeeData[Gender], ROW() - 37), "")</f>
        <v>Male</v>
      </c>
      <c r="F478" s="4" cm="1">
        <f t="array" ref="F478">IFERROR(INDEX(EmployeeData[Age], ROW() - 37), "")</f>
        <v>55</v>
      </c>
      <c r="G478" s="6" cm="1">
        <f t="array" ref="G478">IFERROR(INDEX(EmployeeData[Join Date], ROW() - 37), "")</f>
        <v>44259</v>
      </c>
      <c r="H478" s="6" cm="1">
        <f t="array" ref="H478">IFERROR(IF(INDEX(EmployeeData[Exit Date], ROW() - 37)=0, "",INDEX(EmployeeData[Exit Date], ROW() - 37)),"")</f>
        <v>45407</v>
      </c>
      <c r="I478" s="4" t="str" cm="1">
        <f t="array" ref="I478">IFERROR(IF(INDEX(EmployeeData[Exit Reason], ROW() - 37)=0, "",INDEX(EmployeeData[Exit Reason], ROW() - 37)),"")</f>
        <v>Resignation</v>
      </c>
      <c r="J478" s="4" t="str" cm="1">
        <f t="array" ref="J478">IFERROR(INDEX(EmployeeData[Status], ROW() - 37), "")</f>
        <v>Exited</v>
      </c>
    </row>
    <row r="479" spans="2:10" ht="19.95" customHeight="1" x14ac:dyDescent="0.3">
      <c r="B479" s="4" cm="1">
        <f t="array" ref="B479">IFERROR(INDEX(EmployeeData[Employee ID], ROW() - 37), "")</f>
        <v>1442</v>
      </c>
      <c r="C479" s="4" t="str" cm="1">
        <f t="array" ref="C479">IFERROR(INDEX(EmployeeData[Full Name], ROW() - 37), "")</f>
        <v>Lourdes Pascual</v>
      </c>
      <c r="D479" s="4" t="str" cm="1">
        <f t="array" ref="D479">IFERROR(INDEX(EmployeeData[Department], ROW() - 37), "")</f>
        <v>IT</v>
      </c>
      <c r="E479" s="4" t="str" cm="1">
        <f t="array" ref="E479">IFERROR(INDEX(EmployeeData[Gender], ROW() - 37), "")</f>
        <v>Female</v>
      </c>
      <c r="F479" s="4" cm="1">
        <f t="array" ref="F479">IFERROR(INDEX(EmployeeData[Age], ROW() - 37), "")</f>
        <v>33</v>
      </c>
      <c r="G479" s="6" cm="1">
        <f t="array" ref="G479">IFERROR(INDEX(EmployeeData[Join Date], ROW() - 37), "")</f>
        <v>44413</v>
      </c>
      <c r="H479" s="6" t="str" cm="1">
        <f t="array" ref="H479">IFERROR(IF(INDEX(EmployeeData[Exit Date], ROW() - 37)=0, "",INDEX(EmployeeData[Exit Date], ROW() - 37)),"")</f>
        <v/>
      </c>
      <c r="I479" s="4" t="str" cm="1">
        <f t="array" ref="I479">IFERROR(IF(INDEX(EmployeeData[Exit Reason], ROW() - 37)=0, "",INDEX(EmployeeData[Exit Reason], ROW() - 37)),"")</f>
        <v/>
      </c>
      <c r="J479" s="4" t="str" cm="1">
        <f t="array" ref="J479">IFERROR(INDEX(EmployeeData[Status], ROW() - 37), "")</f>
        <v>Active</v>
      </c>
    </row>
    <row r="480" spans="2:10" ht="19.95" customHeight="1" x14ac:dyDescent="0.3">
      <c r="B480" s="4" cm="1">
        <f t="array" ref="B480">IFERROR(INDEX(EmployeeData[Employee ID], ROW() - 37), "")</f>
        <v>1443</v>
      </c>
      <c r="C480" s="4" t="str" cm="1">
        <f t="array" ref="C480">IFERROR(INDEX(EmployeeData[Full Name], ROW() - 37), "")</f>
        <v>Marcelo Mendoza Guevarra</v>
      </c>
      <c r="D480" s="4" t="str" cm="1">
        <f t="array" ref="D480">IFERROR(INDEX(EmployeeData[Department], ROW() - 37), "")</f>
        <v>HR</v>
      </c>
      <c r="E480" s="4" t="str" cm="1">
        <f t="array" ref="E480">IFERROR(INDEX(EmployeeData[Gender], ROW() - 37), "")</f>
        <v>Male</v>
      </c>
      <c r="F480" s="4" cm="1">
        <f t="array" ref="F480">IFERROR(INDEX(EmployeeData[Age], ROW() - 37), "")</f>
        <v>25</v>
      </c>
      <c r="G480" s="6" cm="1">
        <f t="array" ref="G480">IFERROR(INDEX(EmployeeData[Join Date], ROW() - 37), "")</f>
        <v>43964</v>
      </c>
      <c r="H480" s="6" t="str" cm="1">
        <f t="array" ref="H480">IFERROR(IF(INDEX(EmployeeData[Exit Date], ROW() - 37)=0, "",INDEX(EmployeeData[Exit Date], ROW() - 37)),"")</f>
        <v/>
      </c>
      <c r="I480" s="4" t="str" cm="1">
        <f t="array" ref="I480">IFERROR(IF(INDEX(EmployeeData[Exit Reason], ROW() - 37)=0, "",INDEX(EmployeeData[Exit Reason], ROW() - 37)),"")</f>
        <v/>
      </c>
      <c r="J480" s="4" t="str" cm="1">
        <f t="array" ref="J480">IFERROR(INDEX(EmployeeData[Status], ROW() - 37), "")</f>
        <v>Active</v>
      </c>
    </row>
    <row r="481" spans="2:10" ht="19.95" customHeight="1" x14ac:dyDescent="0.3">
      <c r="B481" s="4" cm="1">
        <f t="array" ref="B481">IFERROR(INDEX(EmployeeData[Employee ID], ROW() - 37), "")</f>
        <v>1444</v>
      </c>
      <c r="C481" s="4" t="str" cm="1">
        <f t="array" ref="C481">IFERROR(INDEX(EmployeeData[Full Name], ROW() - 37), "")</f>
        <v>Jordan Del Rosario</v>
      </c>
      <c r="D481" s="4" t="str" cm="1">
        <f t="array" ref="D481">IFERROR(INDEX(EmployeeData[Department], ROW() - 37), "")</f>
        <v>Customer Support</v>
      </c>
      <c r="E481" s="4" t="str" cm="1">
        <f t="array" ref="E481">IFERROR(INDEX(EmployeeData[Gender], ROW() - 37), "")</f>
        <v>Other</v>
      </c>
      <c r="F481" s="4" cm="1">
        <f t="array" ref="F481">IFERROR(INDEX(EmployeeData[Age], ROW() - 37), "")</f>
        <v>48</v>
      </c>
      <c r="G481" s="6" cm="1">
        <f t="array" ref="G481">IFERROR(INDEX(EmployeeData[Join Date], ROW() - 37), "")</f>
        <v>45749</v>
      </c>
      <c r="H481" s="6" t="str" cm="1">
        <f t="array" ref="H481">IFERROR(IF(INDEX(EmployeeData[Exit Date], ROW() - 37)=0, "",INDEX(EmployeeData[Exit Date], ROW() - 37)),"")</f>
        <v/>
      </c>
      <c r="I481" s="4" t="str" cm="1">
        <f t="array" ref="I481">IFERROR(IF(INDEX(EmployeeData[Exit Reason], ROW() - 37)=0, "",INDEX(EmployeeData[Exit Reason], ROW() - 37)),"")</f>
        <v/>
      </c>
      <c r="J481" s="4" t="str" cm="1">
        <f t="array" ref="J481">IFERROR(INDEX(EmployeeData[Status], ROW() - 37), "")</f>
        <v>Active</v>
      </c>
    </row>
    <row r="482" spans="2:10" ht="19.95" customHeight="1" x14ac:dyDescent="0.3">
      <c r="B482" s="4" cm="1">
        <f t="array" ref="B482">IFERROR(INDEX(EmployeeData[Employee ID], ROW() - 37), "")</f>
        <v>1445</v>
      </c>
      <c r="C482" s="4" t="str" cm="1">
        <f t="array" ref="C482">IFERROR(INDEX(EmployeeData[Full Name], ROW() - 37), "")</f>
        <v>Rowena Ramirez Villanueva</v>
      </c>
      <c r="D482" s="4" t="str" cm="1">
        <f t="array" ref="D482">IFERROR(INDEX(EmployeeData[Department], ROW() - 37), "")</f>
        <v>Customer Support</v>
      </c>
      <c r="E482" s="4" t="str" cm="1">
        <f t="array" ref="E482">IFERROR(INDEX(EmployeeData[Gender], ROW() - 37), "")</f>
        <v>Other</v>
      </c>
      <c r="F482" s="4" cm="1">
        <f t="array" ref="F482">IFERROR(INDEX(EmployeeData[Age], ROW() - 37), "")</f>
        <v>23</v>
      </c>
      <c r="G482" s="6" cm="1">
        <f t="array" ref="G482">IFERROR(INDEX(EmployeeData[Join Date], ROW() - 37), "")</f>
        <v>43459</v>
      </c>
      <c r="H482" s="6" cm="1">
        <f t="array" ref="H482">IFERROR(IF(INDEX(EmployeeData[Exit Date], ROW() - 37)=0, "",INDEX(EmployeeData[Exit Date], ROW() - 37)),"")</f>
        <v>44278</v>
      </c>
      <c r="I482" s="4" t="str" cm="1">
        <f t="array" ref="I482">IFERROR(IF(INDEX(EmployeeData[Exit Reason], ROW() - 37)=0, "",INDEX(EmployeeData[Exit Reason], ROW() - 37)),"")</f>
        <v>Resignation</v>
      </c>
      <c r="J482" s="4" t="str" cm="1">
        <f t="array" ref="J482">IFERROR(INDEX(EmployeeData[Status], ROW() - 37), "")</f>
        <v>Exited</v>
      </c>
    </row>
    <row r="483" spans="2:10" ht="19.95" customHeight="1" x14ac:dyDescent="0.3">
      <c r="B483" s="4" cm="1">
        <f t="array" ref="B483">IFERROR(INDEX(EmployeeData[Employee ID], ROW() - 37), "")</f>
        <v>1446</v>
      </c>
      <c r="C483" s="4" t="str" cm="1">
        <f t="array" ref="C483">IFERROR(INDEX(EmployeeData[Full Name], ROW() - 37), "")</f>
        <v>Dennis Torres Cruz</v>
      </c>
      <c r="D483" s="4" t="str" cm="1">
        <f t="array" ref="D483">IFERROR(INDEX(EmployeeData[Department], ROW() - 37), "")</f>
        <v>Finance</v>
      </c>
      <c r="E483" s="4" t="str" cm="1">
        <f t="array" ref="E483">IFERROR(INDEX(EmployeeData[Gender], ROW() - 37), "")</f>
        <v>Male</v>
      </c>
      <c r="F483" s="4" cm="1">
        <f t="array" ref="F483">IFERROR(INDEX(EmployeeData[Age], ROW() - 37), "")</f>
        <v>49</v>
      </c>
      <c r="G483" s="6" cm="1">
        <f t="array" ref="G483">IFERROR(INDEX(EmployeeData[Join Date], ROW() - 37), "")</f>
        <v>45682</v>
      </c>
      <c r="H483" s="6" t="str" cm="1">
        <f t="array" ref="H483">IFERROR(IF(INDEX(EmployeeData[Exit Date], ROW() - 37)=0, "",INDEX(EmployeeData[Exit Date], ROW() - 37)),"")</f>
        <v/>
      </c>
      <c r="I483" s="4" t="str" cm="1">
        <f t="array" ref="I483">IFERROR(IF(INDEX(EmployeeData[Exit Reason], ROW() - 37)=0, "",INDEX(EmployeeData[Exit Reason], ROW() - 37)),"")</f>
        <v/>
      </c>
      <c r="J483" s="4" t="str" cm="1">
        <f t="array" ref="J483">IFERROR(INDEX(EmployeeData[Status], ROW() - 37), "")</f>
        <v>Active</v>
      </c>
    </row>
    <row r="484" spans="2:10" ht="19.95" customHeight="1" x14ac:dyDescent="0.3">
      <c r="B484" s="4" cm="1">
        <f t="array" ref="B484">IFERROR(INDEX(EmployeeData[Employee ID], ROW() - 37), "")</f>
        <v>1447</v>
      </c>
      <c r="C484" s="4" t="str" cm="1">
        <f t="array" ref="C484">IFERROR(INDEX(EmployeeData[Full Name], ROW() - 37), "")</f>
        <v>Jimmy Soriano Lopez</v>
      </c>
      <c r="D484" s="4" t="str" cm="1">
        <f t="array" ref="D484">IFERROR(INDEX(EmployeeData[Department], ROW() - 37), "")</f>
        <v>Marketing</v>
      </c>
      <c r="E484" s="4" t="str" cm="1">
        <f t="array" ref="E484">IFERROR(INDEX(EmployeeData[Gender], ROW() - 37), "")</f>
        <v>Male</v>
      </c>
      <c r="F484" s="4" cm="1">
        <f t="array" ref="F484">IFERROR(INDEX(EmployeeData[Age], ROW() - 37), "")</f>
        <v>25</v>
      </c>
      <c r="G484" s="6" cm="1">
        <f t="array" ref="G484">IFERROR(INDEX(EmployeeData[Join Date], ROW() - 37), "")</f>
        <v>45499</v>
      </c>
      <c r="H484" s="6" cm="1">
        <f t="array" ref="H484">IFERROR(IF(INDEX(EmployeeData[Exit Date], ROW() - 37)=0, "",INDEX(EmployeeData[Exit Date], ROW() - 37)),"")</f>
        <v>45663</v>
      </c>
      <c r="I484" s="4" t="str" cm="1">
        <f t="array" ref="I484">IFERROR(IF(INDEX(EmployeeData[Exit Reason], ROW() - 37)=0, "",INDEX(EmployeeData[Exit Reason], ROW() - 37)),"")</f>
        <v>Termination</v>
      </c>
      <c r="J484" s="4" t="str" cm="1">
        <f t="array" ref="J484">IFERROR(INDEX(EmployeeData[Status], ROW() - 37), "")</f>
        <v>Exited</v>
      </c>
    </row>
    <row r="485" spans="2:10" ht="19.95" customHeight="1" x14ac:dyDescent="0.3">
      <c r="B485" s="4" cm="1">
        <f t="array" ref="B485">IFERROR(INDEX(EmployeeData[Employee ID], ROW() - 37), "")</f>
        <v>1448</v>
      </c>
      <c r="C485" s="4" t="str" cm="1">
        <f t="array" ref="C485">IFERROR(INDEX(EmployeeData[Full Name], ROW() - 37), "")</f>
        <v>Luisa Ramirez Tuazon</v>
      </c>
      <c r="D485" s="4" t="str" cm="1">
        <f t="array" ref="D485">IFERROR(INDEX(EmployeeData[Department], ROW() - 37), "")</f>
        <v>Marketing</v>
      </c>
      <c r="E485" s="4" t="str" cm="1">
        <f t="array" ref="E485">IFERROR(INDEX(EmployeeData[Gender], ROW() - 37), "")</f>
        <v>Female</v>
      </c>
      <c r="F485" s="4" cm="1">
        <f t="array" ref="F485">IFERROR(INDEX(EmployeeData[Age], ROW() - 37), "")</f>
        <v>49</v>
      </c>
      <c r="G485" s="6" cm="1">
        <f t="array" ref="G485">IFERROR(INDEX(EmployeeData[Join Date], ROW() - 37), "")</f>
        <v>44663</v>
      </c>
      <c r="H485" s="6" t="str" cm="1">
        <f t="array" ref="H485">IFERROR(IF(INDEX(EmployeeData[Exit Date], ROW() - 37)=0, "",INDEX(EmployeeData[Exit Date], ROW() - 37)),"")</f>
        <v/>
      </c>
      <c r="I485" s="4" t="str" cm="1">
        <f t="array" ref="I485">IFERROR(IF(INDEX(EmployeeData[Exit Reason], ROW() - 37)=0, "",INDEX(EmployeeData[Exit Reason], ROW() - 37)),"")</f>
        <v/>
      </c>
      <c r="J485" s="4" t="str" cm="1">
        <f t="array" ref="J485">IFERROR(INDEX(EmployeeData[Status], ROW() - 37), "")</f>
        <v>Active</v>
      </c>
    </row>
    <row r="486" spans="2:10" ht="19.95" customHeight="1" x14ac:dyDescent="0.3">
      <c r="B486" s="4" cm="1">
        <f t="array" ref="B486">IFERROR(INDEX(EmployeeData[Employee ID], ROW() - 37), "")</f>
        <v>1449</v>
      </c>
      <c r="C486" s="4" t="str" cm="1">
        <f t="array" ref="C486">IFERROR(INDEX(EmployeeData[Full Name], ROW() - 37), "")</f>
        <v>Diosdado Sia</v>
      </c>
      <c r="D486" s="4" t="str" cm="1">
        <f t="array" ref="D486">IFERROR(INDEX(EmployeeData[Department], ROW() - 37), "")</f>
        <v>Customer Support</v>
      </c>
      <c r="E486" s="4" t="str" cm="1">
        <f t="array" ref="E486">IFERROR(INDEX(EmployeeData[Gender], ROW() - 37), "")</f>
        <v>Male</v>
      </c>
      <c r="F486" s="4" cm="1">
        <f t="array" ref="F486">IFERROR(INDEX(EmployeeData[Age], ROW() - 37), "")</f>
        <v>55</v>
      </c>
      <c r="G486" s="6" cm="1">
        <f t="array" ref="G486">IFERROR(INDEX(EmployeeData[Join Date], ROW() - 37), "")</f>
        <v>44309</v>
      </c>
      <c r="H486" s="6" t="str" cm="1">
        <f t="array" ref="H486">IFERROR(IF(INDEX(EmployeeData[Exit Date], ROW() - 37)=0, "",INDEX(EmployeeData[Exit Date], ROW() - 37)),"")</f>
        <v/>
      </c>
      <c r="I486" s="4" t="str" cm="1">
        <f t="array" ref="I486">IFERROR(IF(INDEX(EmployeeData[Exit Reason], ROW() - 37)=0, "",INDEX(EmployeeData[Exit Reason], ROW() - 37)),"")</f>
        <v/>
      </c>
      <c r="J486" s="4" t="str" cm="1">
        <f t="array" ref="J486">IFERROR(INDEX(EmployeeData[Status], ROW() - 37), "")</f>
        <v>Active</v>
      </c>
    </row>
    <row r="487" spans="2:10" ht="19.95" customHeight="1" x14ac:dyDescent="0.3">
      <c r="B487" s="4" cm="1">
        <f t="array" ref="B487">IFERROR(INDEX(EmployeeData[Employee ID], ROW() - 37), "")</f>
        <v>1450</v>
      </c>
      <c r="C487" s="4" t="str" cm="1">
        <f t="array" ref="C487">IFERROR(INDEX(EmployeeData[Full Name], ROW() - 37), "")</f>
        <v>Rowena Santos Mercado</v>
      </c>
      <c r="D487" s="4" t="str" cm="1">
        <f t="array" ref="D487">IFERROR(INDEX(EmployeeData[Department], ROW() - 37), "")</f>
        <v>Finance</v>
      </c>
      <c r="E487" s="4" t="str" cm="1">
        <f t="array" ref="E487">IFERROR(INDEX(EmployeeData[Gender], ROW() - 37), "")</f>
        <v>Other</v>
      </c>
      <c r="F487" s="4" cm="1">
        <f t="array" ref="F487">IFERROR(INDEX(EmployeeData[Age], ROW() - 37), "")</f>
        <v>44</v>
      </c>
      <c r="G487" s="6" cm="1">
        <f t="array" ref="G487">IFERROR(INDEX(EmployeeData[Join Date], ROW() - 37), "")</f>
        <v>43146</v>
      </c>
      <c r="H487" s="6" t="str" cm="1">
        <f t="array" ref="H487">IFERROR(IF(INDEX(EmployeeData[Exit Date], ROW() - 37)=0, "",INDEX(EmployeeData[Exit Date], ROW() - 37)),"")</f>
        <v/>
      </c>
      <c r="I487" s="4" t="str" cm="1">
        <f t="array" ref="I487">IFERROR(IF(INDEX(EmployeeData[Exit Reason], ROW() - 37)=0, "",INDEX(EmployeeData[Exit Reason], ROW() - 37)),"")</f>
        <v/>
      </c>
      <c r="J487" s="4" t="str" cm="1">
        <f t="array" ref="J487">IFERROR(INDEX(EmployeeData[Status], ROW() - 37), "")</f>
        <v>Active</v>
      </c>
    </row>
    <row r="488" spans="2:10" ht="19.95" customHeight="1" x14ac:dyDescent="0.3">
      <c r="B488" s="4" cm="1">
        <f t="array" ref="B488">IFERROR(INDEX(EmployeeData[Employee ID], ROW() - 37), "")</f>
        <v>1451</v>
      </c>
      <c r="C488" s="4" t="str" cm="1">
        <f t="array" ref="C488">IFERROR(INDEX(EmployeeData[Full Name], ROW() - 37), "")</f>
        <v>Kim Ramirez Mercado</v>
      </c>
      <c r="D488" s="4" t="str" cm="1">
        <f t="array" ref="D488">IFERROR(INDEX(EmployeeData[Department], ROW() - 37), "")</f>
        <v>Marketing</v>
      </c>
      <c r="E488" s="4" t="str" cm="1">
        <f t="array" ref="E488">IFERROR(INDEX(EmployeeData[Gender], ROW() - 37), "")</f>
        <v>Male</v>
      </c>
      <c r="F488" s="4" cm="1">
        <f t="array" ref="F488">IFERROR(INDEX(EmployeeData[Age], ROW() - 37), "")</f>
        <v>56</v>
      </c>
      <c r="G488" s="6" cm="1">
        <f t="array" ref="G488">IFERROR(INDEX(EmployeeData[Join Date], ROW() - 37), "")</f>
        <v>43449</v>
      </c>
      <c r="H488" s="6" cm="1">
        <f t="array" ref="H488">IFERROR(IF(INDEX(EmployeeData[Exit Date], ROW() - 37)=0, "",INDEX(EmployeeData[Exit Date], ROW() - 37)),"")</f>
        <v>44947</v>
      </c>
      <c r="I488" s="4" t="str" cm="1">
        <f t="array" ref="I488">IFERROR(IF(INDEX(EmployeeData[Exit Reason], ROW() - 37)=0, "",INDEX(EmployeeData[Exit Reason], ROW() - 37)),"")</f>
        <v>Better Opportunity</v>
      </c>
      <c r="J488" s="4" t="str" cm="1">
        <f t="array" ref="J488">IFERROR(INDEX(EmployeeData[Status], ROW() - 37), "")</f>
        <v>Exited</v>
      </c>
    </row>
    <row r="489" spans="2:10" ht="19.95" customHeight="1" x14ac:dyDescent="0.3">
      <c r="B489" s="4" cm="1">
        <f t="array" ref="B489">IFERROR(INDEX(EmployeeData[Employee ID], ROW() - 37), "")</f>
        <v>1452</v>
      </c>
      <c r="C489" s="4" t="str" cm="1">
        <f t="array" ref="C489">IFERROR(INDEX(EmployeeData[Full Name], ROW() - 37), "")</f>
        <v>Tess Mendoza</v>
      </c>
      <c r="D489" s="4" t="str" cm="1">
        <f t="array" ref="D489">IFERROR(INDEX(EmployeeData[Department], ROW() - 37), "")</f>
        <v>Marketing</v>
      </c>
      <c r="E489" s="4" t="str" cm="1">
        <f t="array" ref="E489">IFERROR(INDEX(EmployeeData[Gender], ROW() - 37), "")</f>
        <v>Female</v>
      </c>
      <c r="F489" s="4" cm="1">
        <f t="array" ref="F489">IFERROR(INDEX(EmployeeData[Age], ROW() - 37), "")</f>
        <v>28</v>
      </c>
      <c r="G489" s="6" cm="1">
        <f t="array" ref="G489">IFERROR(INDEX(EmployeeData[Join Date], ROW() - 37), "")</f>
        <v>43843</v>
      </c>
      <c r="H489" s="6" t="str" cm="1">
        <f t="array" ref="H489">IFERROR(IF(INDEX(EmployeeData[Exit Date], ROW() - 37)=0, "",INDEX(EmployeeData[Exit Date], ROW() - 37)),"")</f>
        <v/>
      </c>
      <c r="I489" s="4" t="str" cm="1">
        <f t="array" ref="I489">IFERROR(IF(INDEX(EmployeeData[Exit Reason], ROW() - 37)=0, "",INDEX(EmployeeData[Exit Reason], ROW() - 37)),"")</f>
        <v/>
      </c>
      <c r="J489" s="4" t="str" cm="1">
        <f t="array" ref="J489">IFERROR(INDEX(EmployeeData[Status], ROW() - 37), "")</f>
        <v>Active</v>
      </c>
    </row>
    <row r="490" spans="2:10" ht="19.95" customHeight="1" x14ac:dyDescent="0.3">
      <c r="B490" s="4" cm="1">
        <f t="array" ref="B490">IFERROR(INDEX(EmployeeData[Employee ID], ROW() - 37), "")</f>
        <v>1453</v>
      </c>
      <c r="C490" s="4" t="str" cm="1">
        <f t="array" ref="C490">IFERROR(INDEX(EmployeeData[Full Name], ROW() - 37), "")</f>
        <v>Carlos Mendoza Enriquez</v>
      </c>
      <c r="D490" s="4" t="str" cm="1">
        <f t="array" ref="D490">IFERROR(INDEX(EmployeeData[Department], ROW() - 37), "")</f>
        <v>Finance</v>
      </c>
      <c r="E490" s="4" t="str" cm="1">
        <f t="array" ref="E490">IFERROR(INDEX(EmployeeData[Gender], ROW() - 37), "")</f>
        <v>Other</v>
      </c>
      <c r="F490" s="4" cm="1">
        <f t="array" ref="F490">IFERROR(INDEX(EmployeeData[Age], ROW() - 37), "")</f>
        <v>50</v>
      </c>
      <c r="G490" s="6" cm="1">
        <f t="array" ref="G490">IFERROR(INDEX(EmployeeData[Join Date], ROW() - 37), "")</f>
        <v>45741</v>
      </c>
      <c r="H490" s="6" t="str" cm="1">
        <f t="array" ref="H490">IFERROR(IF(INDEX(EmployeeData[Exit Date], ROW() - 37)=0, "",INDEX(EmployeeData[Exit Date], ROW() - 37)),"")</f>
        <v/>
      </c>
      <c r="I490" s="4" t="str" cm="1">
        <f t="array" ref="I490">IFERROR(IF(INDEX(EmployeeData[Exit Reason], ROW() - 37)=0, "",INDEX(EmployeeData[Exit Reason], ROW() - 37)),"")</f>
        <v/>
      </c>
      <c r="J490" s="4" t="str" cm="1">
        <f t="array" ref="J490">IFERROR(INDEX(EmployeeData[Status], ROW() - 37), "")</f>
        <v>Active</v>
      </c>
    </row>
    <row r="491" spans="2:10" ht="19.95" customHeight="1" x14ac:dyDescent="0.3">
      <c r="B491" s="4" cm="1">
        <f t="array" ref="B491">IFERROR(INDEX(EmployeeData[Employee ID], ROW() - 37), "")</f>
        <v>1454</v>
      </c>
      <c r="C491" s="4" t="str" cm="1">
        <f t="array" ref="C491">IFERROR(INDEX(EmployeeData[Full Name], ROW() - 37), "")</f>
        <v>Carlos Uy Diaz</v>
      </c>
      <c r="D491" s="4" t="str" cm="1">
        <f t="array" ref="D491">IFERROR(INDEX(EmployeeData[Department], ROW() - 37), "")</f>
        <v>Customer Support</v>
      </c>
      <c r="E491" s="4" t="str" cm="1">
        <f t="array" ref="E491">IFERROR(INDEX(EmployeeData[Gender], ROW() - 37), "")</f>
        <v>Male</v>
      </c>
      <c r="F491" s="4" cm="1">
        <f t="array" ref="F491">IFERROR(INDEX(EmployeeData[Age], ROW() - 37), "")</f>
        <v>59</v>
      </c>
      <c r="G491" s="6" cm="1">
        <f t="array" ref="G491">IFERROR(INDEX(EmployeeData[Join Date], ROW() - 37), "")</f>
        <v>44563</v>
      </c>
      <c r="H491" s="6" cm="1">
        <f t="array" ref="H491">IFERROR(IF(INDEX(EmployeeData[Exit Date], ROW() - 37)=0, "",INDEX(EmployeeData[Exit Date], ROW() - 37)),"")</f>
        <v>45995</v>
      </c>
      <c r="I491" s="4" t="str" cm="1">
        <f t="array" ref="I491">IFERROR(IF(INDEX(EmployeeData[Exit Reason], ROW() - 37)=0, "",INDEX(EmployeeData[Exit Reason], ROW() - 37)),"")</f>
        <v>Retirement</v>
      </c>
      <c r="J491" s="4" t="str" cm="1">
        <f t="array" ref="J491">IFERROR(INDEX(EmployeeData[Status], ROW() - 37), "")</f>
        <v>Exited</v>
      </c>
    </row>
    <row r="492" spans="2:10" ht="19.95" customHeight="1" x14ac:dyDescent="0.3">
      <c r="B492" s="4" cm="1">
        <f t="array" ref="B492">IFERROR(INDEX(EmployeeData[Employee ID], ROW() - 37), "")</f>
        <v>1455</v>
      </c>
      <c r="C492" s="4" t="str" cm="1">
        <f t="array" ref="C492">IFERROR(INDEX(EmployeeData[Full Name], ROW() - 37), "")</f>
        <v>Jerome Macaraeg</v>
      </c>
      <c r="D492" s="4" t="str" cm="1">
        <f t="array" ref="D492">IFERROR(INDEX(EmployeeData[Department], ROW() - 37), "")</f>
        <v>IT</v>
      </c>
      <c r="E492" s="4" t="str" cm="1">
        <f t="array" ref="E492">IFERROR(INDEX(EmployeeData[Gender], ROW() - 37), "")</f>
        <v>Male</v>
      </c>
      <c r="F492" s="4" cm="1">
        <f t="array" ref="F492">IFERROR(INDEX(EmployeeData[Age], ROW() - 37), "")</f>
        <v>58</v>
      </c>
      <c r="G492" s="6" cm="1">
        <f t="array" ref="G492">IFERROR(INDEX(EmployeeData[Join Date], ROW() - 37), "")</f>
        <v>43725</v>
      </c>
      <c r="H492" s="6" t="str" cm="1">
        <f t="array" ref="H492">IFERROR(IF(INDEX(EmployeeData[Exit Date], ROW() - 37)=0, "",INDEX(EmployeeData[Exit Date], ROW() - 37)),"")</f>
        <v/>
      </c>
      <c r="I492" s="4" t="str" cm="1">
        <f t="array" ref="I492">IFERROR(IF(INDEX(EmployeeData[Exit Reason], ROW() - 37)=0, "",INDEX(EmployeeData[Exit Reason], ROW() - 37)),"")</f>
        <v/>
      </c>
      <c r="J492" s="4" t="str" cm="1">
        <f t="array" ref="J492">IFERROR(INDEX(EmployeeData[Status], ROW() - 37), "")</f>
        <v>Active</v>
      </c>
    </row>
    <row r="493" spans="2:10" ht="19.95" customHeight="1" x14ac:dyDescent="0.3">
      <c r="B493" s="4" cm="1">
        <f t="array" ref="B493">IFERROR(INDEX(EmployeeData[Employee ID], ROW() - 37), "")</f>
        <v>1456</v>
      </c>
      <c r="C493" s="4" t="str" cm="1">
        <f t="array" ref="C493">IFERROR(INDEX(EmployeeData[Full Name], ROW() - 37), "")</f>
        <v>Nina Ramirez</v>
      </c>
      <c r="D493" s="4" t="str" cm="1">
        <f t="array" ref="D493">IFERROR(INDEX(EmployeeData[Department], ROW() - 37), "")</f>
        <v>Customer Support</v>
      </c>
      <c r="E493" s="4" t="str" cm="1">
        <f t="array" ref="E493">IFERROR(INDEX(EmployeeData[Gender], ROW() - 37), "")</f>
        <v>Female</v>
      </c>
      <c r="F493" s="4" cm="1">
        <f t="array" ref="F493">IFERROR(INDEX(EmployeeData[Age], ROW() - 37), "")</f>
        <v>35</v>
      </c>
      <c r="G493" s="6" cm="1">
        <f t="array" ref="G493">IFERROR(INDEX(EmployeeData[Join Date], ROW() - 37), "")</f>
        <v>45725</v>
      </c>
      <c r="H493" s="6" t="str" cm="1">
        <f t="array" ref="H493">IFERROR(IF(INDEX(EmployeeData[Exit Date], ROW() - 37)=0, "",INDEX(EmployeeData[Exit Date], ROW() - 37)),"")</f>
        <v/>
      </c>
      <c r="I493" s="4" t="str" cm="1">
        <f t="array" ref="I493">IFERROR(IF(INDEX(EmployeeData[Exit Reason], ROW() - 37)=0, "",INDEX(EmployeeData[Exit Reason], ROW() - 37)),"")</f>
        <v/>
      </c>
      <c r="J493" s="4" t="str" cm="1">
        <f t="array" ref="J493">IFERROR(INDEX(EmployeeData[Status], ROW() - 37), "")</f>
        <v>Active</v>
      </c>
    </row>
    <row r="494" spans="2:10" ht="19.95" customHeight="1" x14ac:dyDescent="0.3">
      <c r="B494" s="4" cm="1">
        <f t="array" ref="B494">IFERROR(INDEX(EmployeeData[Employee ID], ROW() - 37), "")</f>
        <v>1457</v>
      </c>
      <c r="C494" s="4" t="str" cm="1">
        <f t="array" ref="C494">IFERROR(INDEX(EmployeeData[Full Name], ROW() - 37), "")</f>
        <v>Gani Garcia Hilario</v>
      </c>
      <c r="D494" s="4" t="str" cm="1">
        <f t="array" ref="D494">IFERROR(INDEX(EmployeeData[Department], ROW() - 37), "")</f>
        <v>IT</v>
      </c>
      <c r="E494" s="4" t="str" cm="1">
        <f t="array" ref="E494">IFERROR(INDEX(EmployeeData[Gender], ROW() - 37), "")</f>
        <v>Male</v>
      </c>
      <c r="F494" s="4" cm="1">
        <f t="array" ref="F494">IFERROR(INDEX(EmployeeData[Age], ROW() - 37), "")</f>
        <v>49</v>
      </c>
      <c r="G494" s="6" cm="1">
        <f t="array" ref="G494">IFERROR(INDEX(EmployeeData[Join Date], ROW() - 37), "")</f>
        <v>44570</v>
      </c>
      <c r="H494" s="6" t="str" cm="1">
        <f t="array" ref="H494">IFERROR(IF(INDEX(EmployeeData[Exit Date], ROW() - 37)=0, "",INDEX(EmployeeData[Exit Date], ROW() - 37)),"")</f>
        <v/>
      </c>
      <c r="I494" s="4" t="str" cm="1">
        <f t="array" ref="I494">IFERROR(IF(INDEX(EmployeeData[Exit Reason], ROW() - 37)=0, "",INDEX(EmployeeData[Exit Reason], ROW() - 37)),"")</f>
        <v/>
      </c>
      <c r="J494" s="4" t="str" cm="1">
        <f t="array" ref="J494">IFERROR(INDEX(EmployeeData[Status], ROW() - 37), "")</f>
        <v>Active</v>
      </c>
    </row>
    <row r="495" spans="2:10" ht="19.95" customHeight="1" x14ac:dyDescent="0.3">
      <c r="B495" s="4" cm="1">
        <f t="array" ref="B495">IFERROR(INDEX(EmployeeData[Employee ID], ROW() - 37), "")</f>
        <v>1458</v>
      </c>
      <c r="C495" s="4" t="str" cm="1">
        <f t="array" ref="C495">IFERROR(INDEX(EmployeeData[Full Name], ROW() - 37), "")</f>
        <v>Jordan Reyes Dela Torre</v>
      </c>
      <c r="D495" s="4" t="str" cm="1">
        <f t="array" ref="D495">IFERROR(INDEX(EmployeeData[Department], ROW() - 37), "")</f>
        <v>Sales</v>
      </c>
      <c r="E495" s="4" t="str" cm="1">
        <f t="array" ref="E495">IFERROR(INDEX(EmployeeData[Gender], ROW() - 37), "")</f>
        <v>Other</v>
      </c>
      <c r="F495" s="4" cm="1">
        <f t="array" ref="F495">IFERROR(INDEX(EmployeeData[Age], ROW() - 37), "")</f>
        <v>29</v>
      </c>
      <c r="G495" s="6" cm="1">
        <f t="array" ref="G495">IFERROR(INDEX(EmployeeData[Join Date], ROW() - 37), "")</f>
        <v>45307</v>
      </c>
      <c r="H495" s="6" cm="1">
        <f t="array" ref="H495">IFERROR(IF(INDEX(EmployeeData[Exit Date], ROW() - 37)=0, "",INDEX(EmployeeData[Exit Date], ROW() - 37)),"")</f>
        <v>46148</v>
      </c>
      <c r="I495" s="4" t="str" cm="1">
        <f t="array" ref="I495">IFERROR(IF(INDEX(EmployeeData[Exit Reason], ROW() - 37)=0, "",INDEX(EmployeeData[Exit Reason], ROW() - 37)),"")</f>
        <v>Resignation</v>
      </c>
      <c r="J495" s="4" t="str" cm="1">
        <f t="array" ref="J495">IFERROR(INDEX(EmployeeData[Status], ROW() - 37), "")</f>
        <v>Exited</v>
      </c>
    </row>
    <row r="496" spans="2:10" ht="19.95" customHeight="1" x14ac:dyDescent="0.3">
      <c r="B496" s="4" cm="1">
        <f t="array" ref="B496">IFERROR(INDEX(EmployeeData[Employee ID], ROW() - 37), "")</f>
        <v>1459</v>
      </c>
      <c r="C496" s="4" t="str" cm="1">
        <f t="array" ref="C496">IFERROR(INDEX(EmployeeData[Full Name], ROW() - 37), "")</f>
        <v>Xander Rivera</v>
      </c>
      <c r="D496" s="4" t="str" cm="1">
        <f t="array" ref="D496">IFERROR(INDEX(EmployeeData[Department], ROW() - 37), "")</f>
        <v>Sales</v>
      </c>
      <c r="E496" s="4" t="str" cm="1">
        <f t="array" ref="E496">IFERROR(INDEX(EmployeeData[Gender], ROW() - 37), "")</f>
        <v>Male</v>
      </c>
      <c r="F496" s="4" cm="1">
        <f t="array" ref="F496">IFERROR(INDEX(EmployeeData[Age], ROW() - 37), "")</f>
        <v>58</v>
      </c>
      <c r="G496" s="6" cm="1">
        <f t="array" ref="G496">IFERROR(INDEX(EmployeeData[Join Date], ROW() - 37), "")</f>
        <v>45472</v>
      </c>
      <c r="H496" s="6" t="str" cm="1">
        <f t="array" ref="H496">IFERROR(IF(INDEX(EmployeeData[Exit Date], ROW() - 37)=0, "",INDEX(EmployeeData[Exit Date], ROW() - 37)),"")</f>
        <v/>
      </c>
      <c r="I496" s="4" t="str" cm="1">
        <f t="array" ref="I496">IFERROR(IF(INDEX(EmployeeData[Exit Reason], ROW() - 37)=0, "",INDEX(EmployeeData[Exit Reason], ROW() - 37)),"")</f>
        <v/>
      </c>
      <c r="J496" s="4" t="str" cm="1">
        <f t="array" ref="J496">IFERROR(INDEX(EmployeeData[Status], ROW() - 37), "")</f>
        <v>Active</v>
      </c>
    </row>
    <row r="497" spans="2:10" ht="19.95" customHeight="1" x14ac:dyDescent="0.3">
      <c r="B497" s="4" cm="1">
        <f t="array" ref="B497">IFERROR(INDEX(EmployeeData[Employee ID], ROW() - 37), "")</f>
        <v>1460</v>
      </c>
      <c r="C497" s="4" t="str" cm="1">
        <f t="array" ref="C497">IFERROR(INDEX(EmployeeData[Full Name], ROW() - 37), "")</f>
        <v>Ernesto Pascual Evangelista</v>
      </c>
      <c r="D497" s="4" t="str" cm="1">
        <f t="array" ref="D497">IFERROR(INDEX(EmployeeData[Department], ROW() - 37), "")</f>
        <v>Marketing</v>
      </c>
      <c r="E497" s="4" t="str" cm="1">
        <f t="array" ref="E497">IFERROR(INDEX(EmployeeData[Gender], ROW() - 37), "")</f>
        <v>Male</v>
      </c>
      <c r="F497" s="4" cm="1">
        <f t="array" ref="F497">IFERROR(INDEX(EmployeeData[Age], ROW() - 37), "")</f>
        <v>55</v>
      </c>
      <c r="G497" s="6" cm="1">
        <f t="array" ref="G497">IFERROR(INDEX(EmployeeData[Join Date], ROW() - 37), "")</f>
        <v>45034</v>
      </c>
      <c r="H497" s="6" t="str" cm="1">
        <f t="array" ref="H497">IFERROR(IF(INDEX(EmployeeData[Exit Date], ROW() - 37)=0, "",INDEX(EmployeeData[Exit Date], ROW() - 37)),"")</f>
        <v/>
      </c>
      <c r="I497" s="4" t="str" cm="1">
        <f t="array" ref="I497">IFERROR(IF(INDEX(EmployeeData[Exit Reason], ROW() - 37)=0, "",INDEX(EmployeeData[Exit Reason], ROW() - 37)),"")</f>
        <v/>
      </c>
      <c r="J497" s="4" t="str" cm="1">
        <f t="array" ref="J497">IFERROR(INDEX(EmployeeData[Status], ROW() - 37), "")</f>
        <v>Active</v>
      </c>
    </row>
    <row r="498" spans="2:10" ht="19.95" customHeight="1" x14ac:dyDescent="0.3">
      <c r="B498" s="4" cm="1">
        <f t="array" ref="B498">IFERROR(INDEX(EmployeeData[Employee ID], ROW() - 37), "")</f>
        <v>1461</v>
      </c>
      <c r="C498" s="4" t="str" cm="1">
        <f t="array" ref="C498">IFERROR(INDEX(EmployeeData[Full Name], ROW() - 37), "")</f>
        <v>Gregorio Lopez Cueto</v>
      </c>
      <c r="D498" s="4" t="str" cm="1">
        <f t="array" ref="D498">IFERROR(INDEX(EmployeeData[Department], ROW() - 37), "")</f>
        <v>Customer Support</v>
      </c>
      <c r="E498" s="4" t="str" cm="1">
        <f t="array" ref="E498">IFERROR(INDEX(EmployeeData[Gender], ROW() - 37), "")</f>
        <v>Male</v>
      </c>
      <c r="F498" s="4" cm="1">
        <f t="array" ref="F498">IFERROR(INDEX(EmployeeData[Age], ROW() - 37), "")</f>
        <v>26</v>
      </c>
      <c r="G498" s="6" cm="1">
        <f t="array" ref="G498">IFERROR(INDEX(EmployeeData[Join Date], ROW() - 37), "")</f>
        <v>44726</v>
      </c>
      <c r="H498" s="6" cm="1">
        <f t="array" ref="H498">IFERROR(IF(INDEX(EmployeeData[Exit Date], ROW() - 37)=0, "",INDEX(EmployeeData[Exit Date], ROW() - 37)),"")</f>
        <v>44837</v>
      </c>
      <c r="I498" s="4" t="str" cm="1">
        <f t="array" ref="I498">IFERROR(IF(INDEX(EmployeeData[Exit Reason], ROW() - 37)=0, "",INDEX(EmployeeData[Exit Reason], ROW() - 37)),"")</f>
        <v>Relocation</v>
      </c>
      <c r="J498" s="4" t="str" cm="1">
        <f t="array" ref="J498">IFERROR(INDEX(EmployeeData[Status], ROW() - 37), "")</f>
        <v>Exited</v>
      </c>
    </row>
    <row r="499" spans="2:10" ht="19.95" customHeight="1" x14ac:dyDescent="0.3">
      <c r="B499" s="4" cm="1">
        <f t="array" ref="B499">IFERROR(INDEX(EmployeeData[Employee ID], ROW() - 37), "")</f>
        <v>1462</v>
      </c>
      <c r="C499" s="4" t="str" cm="1">
        <f t="array" ref="C499">IFERROR(INDEX(EmployeeData[Full Name], ROW() - 37), "")</f>
        <v>Jamie Tan</v>
      </c>
      <c r="D499" s="4" t="str" cm="1">
        <f t="array" ref="D499">IFERROR(INDEX(EmployeeData[Department], ROW() - 37), "")</f>
        <v>Customer Support</v>
      </c>
      <c r="E499" s="4" t="str" cm="1">
        <f t="array" ref="E499">IFERROR(INDEX(EmployeeData[Gender], ROW() - 37), "")</f>
        <v>Other</v>
      </c>
      <c r="F499" s="4" cm="1">
        <f t="array" ref="F499">IFERROR(INDEX(EmployeeData[Age], ROW() - 37), "")</f>
        <v>30</v>
      </c>
      <c r="G499" s="6" cm="1">
        <f t="array" ref="G499">IFERROR(INDEX(EmployeeData[Join Date], ROW() - 37), "")</f>
        <v>45081</v>
      </c>
      <c r="H499" s="6" t="str" cm="1">
        <f t="array" ref="H499">IFERROR(IF(INDEX(EmployeeData[Exit Date], ROW() - 37)=0, "",INDEX(EmployeeData[Exit Date], ROW() - 37)),"")</f>
        <v/>
      </c>
      <c r="I499" s="4" t="str" cm="1">
        <f t="array" ref="I499">IFERROR(IF(INDEX(EmployeeData[Exit Reason], ROW() - 37)=0, "",INDEX(EmployeeData[Exit Reason], ROW() - 37)),"")</f>
        <v/>
      </c>
      <c r="J499" s="4" t="str" cm="1">
        <f t="array" ref="J499">IFERROR(INDEX(EmployeeData[Status], ROW() - 37), "")</f>
        <v>Active</v>
      </c>
    </row>
    <row r="500" spans="2:10" ht="19.95" customHeight="1" x14ac:dyDescent="0.3">
      <c r="B500" s="4" cm="1">
        <f t="array" ref="B500">IFERROR(INDEX(EmployeeData[Employee ID], ROW() - 37), "")</f>
        <v>1463</v>
      </c>
      <c r="C500" s="4" t="str" cm="1">
        <f t="array" ref="C500">IFERROR(INDEX(EmployeeData[Full Name], ROW() - 37), "")</f>
        <v>Mae Go Evangelista</v>
      </c>
      <c r="D500" s="4" t="str" cm="1">
        <f t="array" ref="D500">IFERROR(INDEX(EmployeeData[Department], ROW() - 37), "")</f>
        <v>Customer Support</v>
      </c>
      <c r="E500" s="4" t="str" cm="1">
        <f t="array" ref="E500">IFERROR(INDEX(EmployeeData[Gender], ROW() - 37), "")</f>
        <v>Female</v>
      </c>
      <c r="F500" s="4" cm="1">
        <f t="array" ref="F500">IFERROR(INDEX(EmployeeData[Age], ROW() - 37), "")</f>
        <v>35</v>
      </c>
      <c r="G500" s="6" cm="1">
        <f t="array" ref="G500">IFERROR(INDEX(EmployeeData[Join Date], ROW() - 37), "")</f>
        <v>43276</v>
      </c>
      <c r="H500" s="6" t="str" cm="1">
        <f t="array" ref="H500">IFERROR(IF(INDEX(EmployeeData[Exit Date], ROW() - 37)=0, "",INDEX(EmployeeData[Exit Date], ROW() - 37)),"")</f>
        <v/>
      </c>
      <c r="I500" s="4" t="str" cm="1">
        <f t="array" ref="I500">IFERROR(IF(INDEX(EmployeeData[Exit Reason], ROW() - 37)=0, "",INDEX(EmployeeData[Exit Reason], ROW() - 37)),"")</f>
        <v/>
      </c>
      <c r="J500" s="4" t="str" cm="1">
        <f t="array" ref="J500">IFERROR(INDEX(EmployeeData[Status], ROW() - 37), "")</f>
        <v>Active</v>
      </c>
    </row>
    <row r="501" spans="2:10" ht="19.95" customHeight="1" x14ac:dyDescent="0.3">
      <c r="B501" s="4" cm="1">
        <f t="array" ref="B501">IFERROR(INDEX(EmployeeData[Employee ID], ROW() - 37), "")</f>
        <v>1464</v>
      </c>
      <c r="C501" s="4" t="str" cm="1">
        <f t="array" ref="C501">IFERROR(INDEX(EmployeeData[Full Name], ROW() - 37), "")</f>
        <v>Mae Zulueta</v>
      </c>
      <c r="D501" s="4" t="str" cm="1">
        <f t="array" ref="D501">IFERROR(INDEX(EmployeeData[Department], ROW() - 37), "")</f>
        <v>Sales</v>
      </c>
      <c r="E501" s="4" t="str" cm="1">
        <f t="array" ref="E501">IFERROR(INDEX(EmployeeData[Gender], ROW() - 37), "")</f>
        <v>Female</v>
      </c>
      <c r="F501" s="4" cm="1">
        <f t="array" ref="F501">IFERROR(INDEX(EmployeeData[Age], ROW() - 37), "")</f>
        <v>41</v>
      </c>
      <c r="G501" s="6" cm="1">
        <f t="array" ref="G501">IFERROR(INDEX(EmployeeData[Join Date], ROW() - 37), "")</f>
        <v>43523</v>
      </c>
      <c r="H501" s="6" t="str" cm="1">
        <f t="array" ref="H501">IFERROR(IF(INDEX(EmployeeData[Exit Date], ROW() - 37)=0, "",INDEX(EmployeeData[Exit Date], ROW() - 37)),"")</f>
        <v/>
      </c>
      <c r="I501" s="4" t="str" cm="1">
        <f t="array" ref="I501">IFERROR(IF(INDEX(EmployeeData[Exit Reason], ROW() - 37)=0, "",INDEX(EmployeeData[Exit Reason], ROW() - 37)),"")</f>
        <v/>
      </c>
      <c r="J501" s="4" t="str" cm="1">
        <f t="array" ref="J501">IFERROR(INDEX(EmployeeData[Status], ROW() - 37), "")</f>
        <v>Active</v>
      </c>
    </row>
    <row r="502" spans="2:10" ht="19.95" customHeight="1" x14ac:dyDescent="0.3">
      <c r="B502" s="4" cm="1">
        <f t="array" ref="B502">IFERROR(INDEX(EmployeeData[Employee ID], ROW() - 37), "")</f>
        <v>1465</v>
      </c>
      <c r="C502" s="4" t="str" cm="1">
        <f t="array" ref="C502">IFERROR(INDEX(EmployeeData[Full Name], ROW() - 37), "")</f>
        <v>Gloria Ramirez Delmendo</v>
      </c>
      <c r="D502" s="4" t="str" cm="1">
        <f t="array" ref="D502">IFERROR(INDEX(EmployeeData[Department], ROW() - 37), "")</f>
        <v>Sales</v>
      </c>
      <c r="E502" s="4" t="str" cm="1">
        <f t="array" ref="E502">IFERROR(INDEX(EmployeeData[Gender], ROW() - 37), "")</f>
        <v>Female</v>
      </c>
      <c r="F502" s="4" cm="1">
        <f t="array" ref="F502">IFERROR(INDEX(EmployeeData[Age], ROW() - 37), "")</f>
        <v>55</v>
      </c>
      <c r="G502" s="6" cm="1">
        <f t="array" ref="G502">IFERROR(INDEX(EmployeeData[Join Date], ROW() - 37), "")</f>
        <v>45436</v>
      </c>
      <c r="H502" s="6" cm="1">
        <f t="array" ref="H502">IFERROR(IF(INDEX(EmployeeData[Exit Date], ROW() - 37)=0, "",INDEX(EmployeeData[Exit Date], ROW() - 37)),"")</f>
        <v>45913</v>
      </c>
      <c r="I502" s="4" t="str" cm="1">
        <f t="array" ref="I502">IFERROR(IF(INDEX(EmployeeData[Exit Reason], ROW() - 37)=0, "",INDEX(EmployeeData[Exit Reason], ROW() - 37)),"")</f>
        <v>Termination</v>
      </c>
      <c r="J502" s="4" t="str" cm="1">
        <f t="array" ref="J502">IFERROR(INDEX(EmployeeData[Status], ROW() - 37), "")</f>
        <v>Exited</v>
      </c>
    </row>
    <row r="503" spans="2:10" ht="19.95" customHeight="1" x14ac:dyDescent="0.3">
      <c r="B503" s="4" cm="1">
        <f t="array" ref="B503">IFERROR(INDEX(EmployeeData[Employee ID], ROW() - 37), "")</f>
        <v>1466</v>
      </c>
      <c r="C503" s="4" t="str" cm="1">
        <f t="array" ref="C503">IFERROR(INDEX(EmployeeData[Full Name], ROW() - 37), "")</f>
        <v>Bong Ramos Santos</v>
      </c>
      <c r="D503" s="4" t="str" cm="1">
        <f t="array" ref="D503">IFERROR(INDEX(EmployeeData[Department], ROW() - 37), "")</f>
        <v>Marketing</v>
      </c>
      <c r="E503" s="4" t="str" cm="1">
        <f t="array" ref="E503">IFERROR(INDEX(EmployeeData[Gender], ROW() - 37), "")</f>
        <v>Male</v>
      </c>
      <c r="F503" s="4" cm="1">
        <f t="array" ref="F503">IFERROR(INDEX(EmployeeData[Age], ROW() - 37), "")</f>
        <v>43</v>
      </c>
      <c r="G503" s="6" cm="1">
        <f t="array" ref="G503">IFERROR(INDEX(EmployeeData[Join Date], ROW() - 37), "")</f>
        <v>45095</v>
      </c>
      <c r="H503" s="6" t="str" cm="1">
        <f t="array" ref="H503">IFERROR(IF(INDEX(EmployeeData[Exit Date], ROW() - 37)=0, "",INDEX(EmployeeData[Exit Date], ROW() - 37)),"")</f>
        <v/>
      </c>
      <c r="I503" s="4" t="str" cm="1">
        <f t="array" ref="I503">IFERROR(IF(INDEX(EmployeeData[Exit Reason], ROW() - 37)=0, "",INDEX(EmployeeData[Exit Reason], ROW() - 37)),"")</f>
        <v/>
      </c>
      <c r="J503" s="4" t="str" cm="1">
        <f t="array" ref="J503">IFERROR(INDEX(EmployeeData[Status], ROW() - 37), "")</f>
        <v>Active</v>
      </c>
    </row>
    <row r="504" spans="2:10" ht="19.95" customHeight="1" x14ac:dyDescent="0.3">
      <c r="B504" s="4" cm="1">
        <f t="array" ref="B504">IFERROR(INDEX(EmployeeData[Employee ID], ROW() - 37), "")</f>
        <v>1467</v>
      </c>
      <c r="C504" s="4" t="str" cm="1">
        <f t="array" ref="C504">IFERROR(INDEX(EmployeeData[Full Name], ROW() - 37), "")</f>
        <v>Nina Quiambao</v>
      </c>
      <c r="D504" s="4" t="str" cm="1">
        <f t="array" ref="D504">IFERROR(INDEX(EmployeeData[Department], ROW() - 37), "")</f>
        <v>IT</v>
      </c>
      <c r="E504" s="4" t="str" cm="1">
        <f t="array" ref="E504">IFERROR(INDEX(EmployeeData[Gender], ROW() - 37), "")</f>
        <v>Female</v>
      </c>
      <c r="F504" s="4" cm="1">
        <f t="array" ref="F504">IFERROR(INDEX(EmployeeData[Age], ROW() - 37), "")</f>
        <v>53</v>
      </c>
      <c r="G504" s="6" cm="1">
        <f t="array" ref="G504">IFERROR(INDEX(EmployeeData[Join Date], ROW() - 37), "")</f>
        <v>45736</v>
      </c>
      <c r="H504" s="6" cm="1">
        <f t="array" ref="H504">IFERROR(IF(INDEX(EmployeeData[Exit Date], ROW() - 37)=0, "",INDEX(EmployeeData[Exit Date], ROW() - 37)),"")</f>
        <v>45902</v>
      </c>
      <c r="I504" s="4" t="str" cm="1">
        <f t="array" ref="I504">IFERROR(IF(INDEX(EmployeeData[Exit Reason], ROW() - 37)=0, "",INDEX(EmployeeData[Exit Reason], ROW() - 37)),"")</f>
        <v>Better Opportunity</v>
      </c>
      <c r="J504" s="4" t="str" cm="1">
        <f t="array" ref="J504">IFERROR(INDEX(EmployeeData[Status], ROW() - 37), "")</f>
        <v>Exited</v>
      </c>
    </row>
    <row r="505" spans="2:10" ht="19.95" customHeight="1" x14ac:dyDescent="0.3">
      <c r="B505" s="4" cm="1">
        <f t="array" ref="B505">IFERROR(INDEX(EmployeeData[Employee ID], ROW() - 37), "")</f>
        <v>1468</v>
      </c>
      <c r="C505" s="4" t="str" cm="1">
        <f t="array" ref="C505">IFERROR(INDEX(EmployeeData[Full Name], ROW() - 37), "")</f>
        <v>Hazel Lopez Umali</v>
      </c>
      <c r="D505" s="4" t="str" cm="1">
        <f t="array" ref="D505">IFERROR(INDEX(EmployeeData[Department], ROW() - 37), "")</f>
        <v>Customer Support</v>
      </c>
      <c r="E505" s="4" t="str" cm="1">
        <f t="array" ref="E505">IFERROR(INDEX(EmployeeData[Gender], ROW() - 37), "")</f>
        <v>Female</v>
      </c>
      <c r="F505" s="4" cm="1">
        <f t="array" ref="F505">IFERROR(INDEX(EmployeeData[Age], ROW() - 37), "")</f>
        <v>42</v>
      </c>
      <c r="G505" s="6" cm="1">
        <f t="array" ref="G505">IFERROR(INDEX(EmployeeData[Join Date], ROW() - 37), "")</f>
        <v>43565</v>
      </c>
      <c r="H505" s="6" t="str" cm="1">
        <f t="array" ref="H505">IFERROR(IF(INDEX(EmployeeData[Exit Date], ROW() - 37)=0, "",INDEX(EmployeeData[Exit Date], ROW() - 37)),"")</f>
        <v/>
      </c>
      <c r="I505" s="4" t="str" cm="1">
        <f t="array" ref="I505">IFERROR(IF(INDEX(EmployeeData[Exit Reason], ROW() - 37)=0, "",INDEX(EmployeeData[Exit Reason], ROW() - 37)),"")</f>
        <v/>
      </c>
      <c r="J505" s="4" t="str" cm="1">
        <f t="array" ref="J505">IFERROR(INDEX(EmployeeData[Status], ROW() - 37), "")</f>
        <v>Active</v>
      </c>
    </row>
    <row r="506" spans="2:10" ht="19.95" customHeight="1" x14ac:dyDescent="0.3">
      <c r="B506" s="4" cm="1">
        <f t="array" ref="B506">IFERROR(INDEX(EmployeeData[Employee ID], ROW() - 37), "")</f>
        <v>1469</v>
      </c>
      <c r="C506" s="4" t="str" cm="1">
        <f t="array" ref="C506">IFERROR(INDEX(EmployeeData[Full Name], ROW() - 37), "")</f>
        <v>Kim Garcia</v>
      </c>
      <c r="D506" s="4" t="str" cm="1">
        <f t="array" ref="D506">IFERROR(INDEX(EmployeeData[Department], ROW() - 37), "")</f>
        <v>HR</v>
      </c>
      <c r="E506" s="4" t="str" cm="1">
        <f t="array" ref="E506">IFERROR(INDEX(EmployeeData[Gender], ROW() - 37), "")</f>
        <v>Male</v>
      </c>
      <c r="F506" s="4" cm="1">
        <f t="array" ref="F506">IFERROR(INDEX(EmployeeData[Age], ROW() - 37), "")</f>
        <v>36</v>
      </c>
      <c r="G506" s="6" cm="1">
        <f t="array" ref="G506">IFERROR(INDEX(EmployeeData[Join Date], ROW() - 37), "")</f>
        <v>43277</v>
      </c>
      <c r="H506" s="6" cm="1">
        <f t="array" ref="H506">IFERROR(IF(INDEX(EmployeeData[Exit Date], ROW() - 37)=0, "",INDEX(EmployeeData[Exit Date], ROW() - 37)),"")</f>
        <v>44026</v>
      </c>
      <c r="I506" s="4" t="str" cm="1">
        <f t="array" ref="I506">IFERROR(IF(INDEX(EmployeeData[Exit Reason], ROW() - 37)=0, "",INDEX(EmployeeData[Exit Reason], ROW() - 37)),"")</f>
        <v>Better Opportunity</v>
      </c>
      <c r="J506" s="4" t="str" cm="1">
        <f t="array" ref="J506">IFERROR(INDEX(EmployeeData[Status], ROW() - 37), "")</f>
        <v>Exited</v>
      </c>
    </row>
    <row r="507" spans="2:10" ht="19.95" customHeight="1" x14ac:dyDescent="0.3">
      <c r="B507" s="4" cm="1">
        <f t="array" ref="B507">IFERROR(INDEX(EmployeeData[Employee ID], ROW() - 37), "")</f>
        <v>1470</v>
      </c>
      <c r="C507" s="4" t="str" cm="1">
        <f t="array" ref="C507">IFERROR(INDEX(EmployeeData[Full Name], ROW() - 37), "")</f>
        <v>Tess Pascual Zulueta</v>
      </c>
      <c r="D507" s="4" t="str" cm="1">
        <f t="array" ref="D507">IFERROR(INDEX(EmployeeData[Department], ROW() - 37), "")</f>
        <v>Customer Support</v>
      </c>
      <c r="E507" s="4" t="str" cm="1">
        <f t="array" ref="E507">IFERROR(INDEX(EmployeeData[Gender], ROW() - 37), "")</f>
        <v>Female</v>
      </c>
      <c r="F507" s="4" cm="1">
        <f t="array" ref="F507">IFERROR(INDEX(EmployeeData[Age], ROW() - 37), "")</f>
        <v>32</v>
      </c>
      <c r="G507" s="6" cm="1">
        <f t="array" ref="G507">IFERROR(INDEX(EmployeeData[Join Date], ROW() - 37), "")</f>
        <v>45217</v>
      </c>
      <c r="H507" s="6" t="str" cm="1">
        <f t="array" ref="H507">IFERROR(IF(INDEX(EmployeeData[Exit Date], ROW() - 37)=0, "",INDEX(EmployeeData[Exit Date], ROW() - 37)),"")</f>
        <v/>
      </c>
      <c r="I507" s="4" t="str" cm="1">
        <f t="array" ref="I507">IFERROR(IF(INDEX(EmployeeData[Exit Reason], ROW() - 37)=0, "",INDEX(EmployeeData[Exit Reason], ROW() - 37)),"")</f>
        <v/>
      </c>
      <c r="J507" s="4" t="str" cm="1">
        <f t="array" ref="J507">IFERROR(INDEX(EmployeeData[Status], ROW() - 37), "")</f>
        <v>Active</v>
      </c>
    </row>
    <row r="508" spans="2:10" ht="19.95" customHeight="1" x14ac:dyDescent="0.3">
      <c r="B508" s="4" cm="1">
        <f t="array" ref="B508">IFERROR(INDEX(EmployeeData[Employee ID], ROW() - 37), "")</f>
        <v>1471</v>
      </c>
      <c r="C508" s="4" t="str" cm="1">
        <f t="array" ref="C508">IFERROR(INDEX(EmployeeData[Full Name], ROW() - 37), "")</f>
        <v>Erlinda Narvasa</v>
      </c>
      <c r="D508" s="4" t="str" cm="1">
        <f t="array" ref="D508">IFERROR(INDEX(EmployeeData[Department], ROW() - 37), "")</f>
        <v>Finance</v>
      </c>
      <c r="E508" s="4" t="str" cm="1">
        <f t="array" ref="E508">IFERROR(INDEX(EmployeeData[Gender], ROW() - 37), "")</f>
        <v>Female</v>
      </c>
      <c r="F508" s="4" cm="1">
        <f t="array" ref="F508">IFERROR(INDEX(EmployeeData[Age], ROW() - 37), "")</f>
        <v>51</v>
      </c>
      <c r="G508" s="6" cm="1">
        <f t="array" ref="G508">IFERROR(INDEX(EmployeeData[Join Date], ROW() - 37), "")</f>
        <v>45073</v>
      </c>
      <c r="H508" s="6" cm="1">
        <f t="array" ref="H508">IFERROR(IF(INDEX(EmployeeData[Exit Date], ROW() - 37)=0, "",INDEX(EmployeeData[Exit Date], ROW() - 37)),"")</f>
        <v>46013</v>
      </c>
      <c r="I508" s="4" t="str" cm="1">
        <f t="array" ref="I508">IFERROR(IF(INDEX(EmployeeData[Exit Reason], ROW() - 37)=0, "",INDEX(EmployeeData[Exit Reason], ROW() - 37)),"")</f>
        <v>Termination</v>
      </c>
      <c r="J508" s="4" t="str" cm="1">
        <f t="array" ref="J508">IFERROR(INDEX(EmployeeData[Status], ROW() - 37), "")</f>
        <v>Exited</v>
      </c>
    </row>
    <row r="509" spans="2:10" ht="19.95" customHeight="1" x14ac:dyDescent="0.3">
      <c r="B509" s="4" cm="1">
        <f t="array" ref="B509">IFERROR(INDEX(EmployeeData[Employee ID], ROW() - 37), "")</f>
        <v>1472</v>
      </c>
      <c r="C509" s="4" t="str" cm="1">
        <f t="array" ref="C509">IFERROR(INDEX(EmployeeData[Full Name], ROW() - 37), "")</f>
        <v>Gerald Ocampo Roque</v>
      </c>
      <c r="D509" s="4" t="str" cm="1">
        <f t="array" ref="D509">IFERROR(INDEX(EmployeeData[Department], ROW() - 37), "")</f>
        <v>Customer Support</v>
      </c>
      <c r="E509" s="4" t="str" cm="1">
        <f t="array" ref="E509">IFERROR(INDEX(EmployeeData[Gender], ROW() - 37), "")</f>
        <v>Male</v>
      </c>
      <c r="F509" s="4" cm="1">
        <f t="array" ref="F509">IFERROR(INDEX(EmployeeData[Age], ROW() - 37), "")</f>
        <v>37</v>
      </c>
      <c r="G509" s="6" cm="1">
        <f t="array" ref="G509">IFERROR(INDEX(EmployeeData[Join Date], ROW() - 37), "")</f>
        <v>43787</v>
      </c>
      <c r="H509" s="6" t="str" cm="1">
        <f t="array" ref="H509">IFERROR(IF(INDEX(EmployeeData[Exit Date], ROW() - 37)=0, "",INDEX(EmployeeData[Exit Date], ROW() - 37)),"")</f>
        <v/>
      </c>
      <c r="I509" s="4" t="str" cm="1">
        <f t="array" ref="I509">IFERROR(IF(INDEX(EmployeeData[Exit Reason], ROW() - 37)=0, "",INDEX(EmployeeData[Exit Reason], ROW() - 37)),"")</f>
        <v/>
      </c>
      <c r="J509" s="4" t="str" cm="1">
        <f t="array" ref="J509">IFERROR(INDEX(EmployeeData[Status], ROW() - 37), "")</f>
        <v>Active</v>
      </c>
    </row>
    <row r="510" spans="2:10" ht="19.95" customHeight="1" x14ac:dyDescent="0.3">
      <c r="B510" s="4" cm="1">
        <f t="array" ref="B510">IFERROR(INDEX(EmployeeData[Employee ID], ROW() - 37), "")</f>
        <v>1473</v>
      </c>
      <c r="C510" s="4" t="str" cm="1">
        <f t="array" ref="C510">IFERROR(INDEX(EmployeeData[Full Name], ROW() - 37), "")</f>
        <v>Ernesto Chan Quiambao</v>
      </c>
      <c r="D510" s="4" t="str" cm="1">
        <f t="array" ref="D510">IFERROR(INDEX(EmployeeData[Department], ROW() - 37), "")</f>
        <v>Customer Support</v>
      </c>
      <c r="E510" s="4" t="str" cm="1">
        <f t="array" ref="E510">IFERROR(INDEX(EmployeeData[Gender], ROW() - 37), "")</f>
        <v>Male</v>
      </c>
      <c r="F510" s="4" cm="1">
        <f t="array" ref="F510">IFERROR(INDEX(EmployeeData[Age], ROW() - 37), "")</f>
        <v>27</v>
      </c>
      <c r="G510" s="6" cm="1">
        <f t="array" ref="G510">IFERROR(INDEX(EmployeeData[Join Date], ROW() - 37), "")</f>
        <v>43168</v>
      </c>
      <c r="H510" s="6" cm="1">
        <f t="array" ref="H510">IFERROR(IF(INDEX(EmployeeData[Exit Date], ROW() - 37)=0, "",INDEX(EmployeeData[Exit Date], ROW() - 37)),"")</f>
        <v>45323</v>
      </c>
      <c r="I510" s="4" t="str" cm="1">
        <f t="array" ref="I510">IFERROR(IF(INDEX(EmployeeData[Exit Reason], ROW() - 37)=0, "",INDEX(EmployeeData[Exit Reason], ROW() - 37)),"")</f>
        <v>Personal Reasons</v>
      </c>
      <c r="J510" s="4" t="str" cm="1">
        <f t="array" ref="J510">IFERROR(INDEX(EmployeeData[Status], ROW() - 37), "")</f>
        <v>Exited</v>
      </c>
    </row>
    <row r="511" spans="2:10" ht="19.95" customHeight="1" x14ac:dyDescent="0.3">
      <c r="B511" s="4" cm="1">
        <f t="array" ref="B511">IFERROR(INDEX(EmployeeData[Employee ID], ROW() - 37), "")</f>
        <v>1474</v>
      </c>
      <c r="C511" s="4" t="str" cm="1">
        <f t="array" ref="C511">IFERROR(INDEX(EmployeeData[Full Name], ROW() - 37), "")</f>
        <v>Danilo Umali</v>
      </c>
      <c r="D511" s="4" t="str" cm="1">
        <f t="array" ref="D511">IFERROR(INDEX(EmployeeData[Department], ROW() - 37), "")</f>
        <v>Finance</v>
      </c>
      <c r="E511" s="4" t="str" cm="1">
        <f t="array" ref="E511">IFERROR(INDEX(EmployeeData[Gender], ROW() - 37), "")</f>
        <v>Male</v>
      </c>
      <c r="F511" s="4" cm="1">
        <f t="array" ref="F511">IFERROR(INDEX(EmployeeData[Age], ROW() - 37), "")</f>
        <v>55</v>
      </c>
      <c r="G511" s="6" cm="1">
        <f t="array" ref="G511">IFERROR(INDEX(EmployeeData[Join Date], ROW() - 37), "")</f>
        <v>45162</v>
      </c>
      <c r="H511" s="6" t="str" cm="1">
        <f t="array" ref="H511">IFERROR(IF(INDEX(EmployeeData[Exit Date], ROW() - 37)=0, "",INDEX(EmployeeData[Exit Date], ROW() - 37)),"")</f>
        <v/>
      </c>
      <c r="I511" s="4" t="str" cm="1">
        <f t="array" ref="I511">IFERROR(IF(INDEX(EmployeeData[Exit Reason], ROW() - 37)=0, "",INDEX(EmployeeData[Exit Reason], ROW() - 37)),"")</f>
        <v/>
      </c>
      <c r="J511" s="4" t="str" cm="1">
        <f t="array" ref="J511">IFERROR(INDEX(EmployeeData[Status], ROW() - 37), "")</f>
        <v>Active</v>
      </c>
    </row>
    <row r="512" spans="2:10" ht="19.95" customHeight="1" x14ac:dyDescent="0.3">
      <c r="B512" s="4" cm="1">
        <f t="array" ref="B512">IFERROR(INDEX(EmployeeData[Employee ID], ROW() - 37), "")</f>
        <v>1475</v>
      </c>
      <c r="C512" s="4" t="str" cm="1">
        <f t="array" ref="C512">IFERROR(INDEX(EmployeeData[Full Name], ROW() - 37), "")</f>
        <v>Larry Cruz Camacho</v>
      </c>
      <c r="D512" s="4" t="str" cm="1">
        <f t="array" ref="D512">IFERROR(INDEX(EmployeeData[Department], ROW() - 37), "")</f>
        <v>Finance</v>
      </c>
      <c r="E512" s="4" t="str" cm="1">
        <f t="array" ref="E512">IFERROR(INDEX(EmployeeData[Gender], ROW() - 37), "")</f>
        <v>Male</v>
      </c>
      <c r="F512" s="4" cm="1">
        <f t="array" ref="F512">IFERROR(INDEX(EmployeeData[Age], ROW() - 37), "")</f>
        <v>21</v>
      </c>
      <c r="G512" s="6" cm="1">
        <f t="array" ref="G512">IFERROR(INDEX(EmployeeData[Join Date], ROW() - 37), "")</f>
        <v>45880</v>
      </c>
      <c r="H512" s="6" t="str" cm="1">
        <f t="array" ref="H512">IFERROR(IF(INDEX(EmployeeData[Exit Date], ROW() - 37)=0, "",INDEX(EmployeeData[Exit Date], ROW() - 37)),"")</f>
        <v/>
      </c>
      <c r="I512" s="4" t="str" cm="1">
        <f t="array" ref="I512">IFERROR(IF(INDEX(EmployeeData[Exit Reason], ROW() - 37)=0, "",INDEX(EmployeeData[Exit Reason], ROW() - 37)),"")</f>
        <v/>
      </c>
      <c r="J512" s="4" t="str" cm="1">
        <f t="array" ref="J512">IFERROR(INDEX(EmployeeData[Status], ROW() - 37), "")</f>
        <v>Active</v>
      </c>
    </row>
    <row r="513" spans="2:10" ht="19.95" customHeight="1" x14ac:dyDescent="0.3">
      <c r="B513" s="4" cm="1">
        <f t="array" ref="B513">IFERROR(INDEX(EmployeeData[Employee ID], ROW() - 37), "")</f>
        <v>1476</v>
      </c>
      <c r="C513" s="4" t="str" cm="1">
        <f t="array" ref="C513">IFERROR(INDEX(EmployeeData[Full Name], ROW() - 37), "")</f>
        <v>Samuel Ramirez Ramirez</v>
      </c>
      <c r="D513" s="4" t="str" cm="1">
        <f t="array" ref="D513">IFERROR(INDEX(EmployeeData[Department], ROW() - 37), "")</f>
        <v>HR</v>
      </c>
      <c r="E513" s="4" t="str" cm="1">
        <f t="array" ref="E513">IFERROR(INDEX(EmployeeData[Gender], ROW() - 37), "")</f>
        <v>Male</v>
      </c>
      <c r="F513" s="4" cm="1">
        <f t="array" ref="F513">IFERROR(INDEX(EmployeeData[Age], ROW() - 37), "")</f>
        <v>51</v>
      </c>
      <c r="G513" s="6" cm="1">
        <f t="array" ref="G513">IFERROR(INDEX(EmployeeData[Join Date], ROW() - 37), "")</f>
        <v>44662</v>
      </c>
      <c r="H513" s="6" cm="1">
        <f t="array" ref="H513">IFERROR(IF(INDEX(EmployeeData[Exit Date], ROW() - 37)=0, "",INDEX(EmployeeData[Exit Date], ROW() - 37)),"")</f>
        <v>46178</v>
      </c>
      <c r="I513" s="4" t="str" cm="1">
        <f t="array" ref="I513">IFERROR(IF(INDEX(EmployeeData[Exit Reason], ROW() - 37)=0, "",INDEX(EmployeeData[Exit Reason], ROW() - 37)),"")</f>
        <v>Health Issues</v>
      </c>
      <c r="J513" s="4" t="str" cm="1">
        <f t="array" ref="J513">IFERROR(INDEX(EmployeeData[Status], ROW() - 37), "")</f>
        <v>Exited</v>
      </c>
    </row>
    <row r="514" spans="2:10" ht="19.95" customHeight="1" x14ac:dyDescent="0.3">
      <c r="B514" s="4" cm="1">
        <f t="array" ref="B514">IFERROR(INDEX(EmployeeData[Employee ID], ROW() - 37), "")</f>
        <v>1477</v>
      </c>
      <c r="C514" s="4" t="str" cm="1">
        <f t="array" ref="C514">IFERROR(INDEX(EmployeeData[Full Name], ROW() - 37), "")</f>
        <v>Maria Santos Macapagal</v>
      </c>
      <c r="D514" s="4" t="str" cm="1">
        <f t="array" ref="D514">IFERROR(INDEX(EmployeeData[Department], ROW() - 37), "")</f>
        <v>Finance</v>
      </c>
      <c r="E514" s="4" t="str" cm="1">
        <f t="array" ref="E514">IFERROR(INDEX(EmployeeData[Gender], ROW() - 37), "")</f>
        <v>Female</v>
      </c>
      <c r="F514" s="4" cm="1">
        <f t="array" ref="F514">IFERROR(INDEX(EmployeeData[Age], ROW() - 37), "")</f>
        <v>55</v>
      </c>
      <c r="G514" s="6" cm="1">
        <f t="array" ref="G514">IFERROR(INDEX(EmployeeData[Join Date], ROW() - 37), "")</f>
        <v>44774</v>
      </c>
      <c r="H514" s="6" cm="1">
        <f t="array" ref="H514">IFERROR(IF(INDEX(EmployeeData[Exit Date], ROW() - 37)=0, "",INDEX(EmployeeData[Exit Date], ROW() - 37)),"")</f>
        <v>44875</v>
      </c>
      <c r="I514" s="4" t="str" cm="1">
        <f t="array" ref="I514">IFERROR(IF(INDEX(EmployeeData[Exit Reason], ROW() - 37)=0, "",INDEX(EmployeeData[Exit Reason], ROW() - 37)),"")</f>
        <v>Personal Reasons</v>
      </c>
      <c r="J514" s="4" t="str" cm="1">
        <f t="array" ref="J514">IFERROR(INDEX(EmployeeData[Status], ROW() - 37), "")</f>
        <v>Exited</v>
      </c>
    </row>
    <row r="515" spans="2:10" ht="19.95" customHeight="1" x14ac:dyDescent="0.3">
      <c r="B515" s="4" cm="1">
        <f t="array" ref="B515">IFERROR(INDEX(EmployeeData[Employee ID], ROW() - 37), "")</f>
        <v>1478</v>
      </c>
      <c r="C515" s="4" t="str" cm="1">
        <f t="array" ref="C515">IFERROR(INDEX(EmployeeData[Full Name], ROW() - 37), "")</f>
        <v>Violeta Chan</v>
      </c>
      <c r="D515" s="4" t="str" cm="1">
        <f t="array" ref="D515">IFERROR(INDEX(EmployeeData[Department], ROW() - 37), "")</f>
        <v>IT</v>
      </c>
      <c r="E515" s="4" t="str" cm="1">
        <f t="array" ref="E515">IFERROR(INDEX(EmployeeData[Gender], ROW() - 37), "")</f>
        <v>Female</v>
      </c>
      <c r="F515" s="4" cm="1">
        <f t="array" ref="F515">IFERROR(INDEX(EmployeeData[Age], ROW() - 37), "")</f>
        <v>41</v>
      </c>
      <c r="G515" s="6" cm="1">
        <f t="array" ref="G515">IFERROR(INDEX(EmployeeData[Join Date], ROW() - 37), "")</f>
        <v>44775</v>
      </c>
      <c r="H515" s="6" cm="1">
        <f t="array" ref="H515">IFERROR(IF(INDEX(EmployeeData[Exit Date], ROW() - 37)=0, "",INDEX(EmployeeData[Exit Date], ROW() - 37)),"")</f>
        <v>45181</v>
      </c>
      <c r="I515" s="4" t="str" cm="1">
        <f t="array" ref="I515">IFERROR(IF(INDEX(EmployeeData[Exit Reason], ROW() - 37)=0, "",INDEX(EmployeeData[Exit Reason], ROW() - 37)),"")</f>
        <v>Termination</v>
      </c>
      <c r="J515" s="4" t="str" cm="1">
        <f t="array" ref="J515">IFERROR(INDEX(EmployeeData[Status], ROW() - 37), "")</f>
        <v>Exited</v>
      </c>
    </row>
    <row r="516" spans="2:10" ht="19.95" customHeight="1" x14ac:dyDescent="0.3">
      <c r="B516" s="4" cm="1">
        <f t="array" ref="B516">IFERROR(INDEX(EmployeeData[Employee ID], ROW() - 37), "")</f>
        <v>1479</v>
      </c>
      <c r="C516" s="4" t="str" cm="1">
        <f t="array" ref="C516">IFERROR(INDEX(EmployeeData[Full Name], ROW() - 37), "")</f>
        <v>Lorenzo Chan Bondoc</v>
      </c>
      <c r="D516" s="4" t="str" cm="1">
        <f t="array" ref="D516">IFERROR(INDEX(EmployeeData[Department], ROW() - 37), "")</f>
        <v>IT</v>
      </c>
      <c r="E516" s="4" t="str" cm="1">
        <f t="array" ref="E516">IFERROR(INDEX(EmployeeData[Gender], ROW() - 37), "")</f>
        <v>Male</v>
      </c>
      <c r="F516" s="4" cm="1">
        <f t="array" ref="F516">IFERROR(INDEX(EmployeeData[Age], ROW() - 37), "")</f>
        <v>38</v>
      </c>
      <c r="G516" s="6" cm="1">
        <f t="array" ref="G516">IFERROR(INDEX(EmployeeData[Join Date], ROW() - 37), "")</f>
        <v>45888</v>
      </c>
      <c r="H516" s="6" t="str" cm="1">
        <f t="array" ref="H516">IFERROR(IF(INDEX(EmployeeData[Exit Date], ROW() - 37)=0, "",INDEX(EmployeeData[Exit Date], ROW() - 37)),"")</f>
        <v/>
      </c>
      <c r="I516" s="4" t="str" cm="1">
        <f t="array" ref="I516">IFERROR(IF(INDEX(EmployeeData[Exit Reason], ROW() - 37)=0, "",INDEX(EmployeeData[Exit Reason], ROW() - 37)),"")</f>
        <v/>
      </c>
      <c r="J516" s="4" t="str" cm="1">
        <f t="array" ref="J516">IFERROR(INDEX(EmployeeData[Status], ROW() - 37), "")</f>
        <v>Active</v>
      </c>
    </row>
    <row r="517" spans="2:10" ht="19.95" customHeight="1" x14ac:dyDescent="0.3">
      <c r="B517" s="4" cm="1">
        <f t="array" ref="B517">IFERROR(INDEX(EmployeeData[Employee ID], ROW() - 37), "")</f>
        <v>1480</v>
      </c>
      <c r="C517" s="4" t="str" cm="1">
        <f t="array" ref="C517">IFERROR(INDEX(EmployeeData[Full Name], ROW() - 37), "")</f>
        <v>Vince Manalang</v>
      </c>
      <c r="D517" s="4" t="str" cm="1">
        <f t="array" ref="D517">IFERROR(INDEX(EmployeeData[Department], ROW() - 37), "")</f>
        <v>Customer Support</v>
      </c>
      <c r="E517" s="4" t="str" cm="1">
        <f t="array" ref="E517">IFERROR(INDEX(EmployeeData[Gender], ROW() - 37), "")</f>
        <v>Male</v>
      </c>
      <c r="F517" s="4" cm="1">
        <f t="array" ref="F517">IFERROR(INDEX(EmployeeData[Age], ROW() - 37), "")</f>
        <v>51</v>
      </c>
      <c r="G517" s="6" cm="1">
        <f t="array" ref="G517">IFERROR(INDEX(EmployeeData[Join Date], ROW() - 37), "")</f>
        <v>44140</v>
      </c>
      <c r="H517" s="6" t="str" cm="1">
        <f t="array" ref="H517">IFERROR(IF(INDEX(EmployeeData[Exit Date], ROW() - 37)=0, "",INDEX(EmployeeData[Exit Date], ROW() - 37)),"")</f>
        <v/>
      </c>
      <c r="I517" s="4" t="str" cm="1">
        <f t="array" ref="I517">IFERROR(IF(INDEX(EmployeeData[Exit Reason], ROW() - 37)=0, "",INDEX(EmployeeData[Exit Reason], ROW() - 37)),"")</f>
        <v/>
      </c>
      <c r="J517" s="4" t="str" cm="1">
        <f t="array" ref="J517">IFERROR(INDEX(EmployeeData[Status], ROW() - 37), "")</f>
        <v>Active</v>
      </c>
    </row>
    <row r="518" spans="2:10" ht="19.95" customHeight="1" x14ac:dyDescent="0.3">
      <c r="B518" s="4" cm="1">
        <f t="array" ref="B518">IFERROR(INDEX(EmployeeData[Employee ID], ROW() - 37), "")</f>
        <v>1481</v>
      </c>
      <c r="C518" s="4" t="str" cm="1">
        <f t="array" ref="C518">IFERROR(INDEX(EmployeeData[Full Name], ROW() - 37), "")</f>
        <v>Herminia Tan Fernandez</v>
      </c>
      <c r="D518" s="4" t="str" cm="1">
        <f t="array" ref="D518">IFERROR(INDEX(EmployeeData[Department], ROW() - 37), "")</f>
        <v>IT</v>
      </c>
      <c r="E518" s="4" t="str" cm="1">
        <f t="array" ref="E518">IFERROR(INDEX(EmployeeData[Gender], ROW() - 37), "")</f>
        <v>Female</v>
      </c>
      <c r="F518" s="4" cm="1">
        <f t="array" ref="F518">IFERROR(INDEX(EmployeeData[Age], ROW() - 37), "")</f>
        <v>28</v>
      </c>
      <c r="G518" s="6" cm="1">
        <f t="array" ref="G518">IFERROR(INDEX(EmployeeData[Join Date], ROW() - 37), "")</f>
        <v>44042</v>
      </c>
      <c r="H518" s="6" t="str" cm="1">
        <f t="array" ref="H518">IFERROR(IF(INDEX(EmployeeData[Exit Date], ROW() - 37)=0, "",INDEX(EmployeeData[Exit Date], ROW() - 37)),"")</f>
        <v/>
      </c>
      <c r="I518" s="4" t="str" cm="1">
        <f t="array" ref="I518">IFERROR(IF(INDEX(EmployeeData[Exit Reason], ROW() - 37)=0, "",INDEX(EmployeeData[Exit Reason], ROW() - 37)),"")</f>
        <v/>
      </c>
      <c r="J518" s="4" t="str" cm="1">
        <f t="array" ref="J518">IFERROR(INDEX(EmployeeData[Status], ROW() - 37), "")</f>
        <v>Active</v>
      </c>
    </row>
    <row r="519" spans="2:10" ht="19.95" customHeight="1" x14ac:dyDescent="0.3">
      <c r="B519" s="4" cm="1">
        <f t="array" ref="B519">IFERROR(INDEX(EmployeeData[Employee ID], ROW() - 37), "")</f>
        <v>1482</v>
      </c>
      <c r="C519" s="4" t="str" cm="1">
        <f t="array" ref="C519">IFERROR(INDEX(EmployeeData[Full Name], ROW() - 37), "")</f>
        <v>Alex Dela Cruz</v>
      </c>
      <c r="D519" s="4" t="str" cm="1">
        <f t="array" ref="D519">IFERROR(INDEX(EmployeeData[Department], ROW() - 37), "")</f>
        <v>Sales</v>
      </c>
      <c r="E519" s="4" t="str" cm="1">
        <f t="array" ref="E519">IFERROR(INDEX(EmployeeData[Gender], ROW() - 37), "")</f>
        <v>Other</v>
      </c>
      <c r="F519" s="4" cm="1">
        <f t="array" ref="F519">IFERROR(INDEX(EmployeeData[Age], ROW() - 37), "")</f>
        <v>24</v>
      </c>
      <c r="G519" s="6" cm="1">
        <f t="array" ref="G519">IFERROR(INDEX(EmployeeData[Join Date], ROW() - 37), "")</f>
        <v>43759</v>
      </c>
      <c r="H519" s="6" t="str" cm="1">
        <f t="array" ref="H519">IFERROR(IF(INDEX(EmployeeData[Exit Date], ROW() - 37)=0, "",INDEX(EmployeeData[Exit Date], ROW() - 37)),"")</f>
        <v/>
      </c>
      <c r="I519" s="4" t="str" cm="1">
        <f t="array" ref="I519">IFERROR(IF(INDEX(EmployeeData[Exit Reason], ROW() - 37)=0, "",INDEX(EmployeeData[Exit Reason], ROW() - 37)),"")</f>
        <v/>
      </c>
      <c r="J519" s="4" t="str" cm="1">
        <f t="array" ref="J519">IFERROR(INDEX(EmployeeData[Status], ROW() - 37), "")</f>
        <v>Active</v>
      </c>
    </row>
    <row r="520" spans="2:10" ht="19.95" customHeight="1" x14ac:dyDescent="0.3">
      <c r="B520" s="4" cm="1">
        <f t="array" ref="B520">IFERROR(INDEX(EmployeeData[Employee ID], ROW() - 37), "")</f>
        <v>1483</v>
      </c>
      <c r="C520" s="4" t="str" cm="1">
        <f t="array" ref="C520">IFERROR(INDEX(EmployeeData[Full Name], ROW() - 37), "")</f>
        <v>Antonio Tan Obispo</v>
      </c>
      <c r="D520" s="4" t="str" cm="1">
        <f t="array" ref="D520">IFERROR(INDEX(EmployeeData[Department], ROW() - 37), "")</f>
        <v>Marketing</v>
      </c>
      <c r="E520" s="4" t="str" cm="1">
        <f t="array" ref="E520">IFERROR(INDEX(EmployeeData[Gender], ROW() - 37), "")</f>
        <v>Male</v>
      </c>
      <c r="F520" s="4" cm="1">
        <f t="array" ref="F520">IFERROR(INDEX(EmployeeData[Age], ROW() - 37), "")</f>
        <v>26</v>
      </c>
      <c r="G520" s="6" cm="1">
        <f t="array" ref="G520">IFERROR(INDEX(EmployeeData[Join Date], ROW() - 37), "")</f>
        <v>43363</v>
      </c>
      <c r="H520" s="6" cm="1">
        <f t="array" ref="H520">IFERROR(IF(INDEX(EmployeeData[Exit Date], ROW() - 37)=0, "",INDEX(EmployeeData[Exit Date], ROW() - 37)),"")</f>
        <v>44971</v>
      </c>
      <c r="I520" s="4" t="str" cm="1">
        <f t="array" ref="I520">IFERROR(IF(INDEX(EmployeeData[Exit Reason], ROW() - 37)=0, "",INDEX(EmployeeData[Exit Reason], ROW() - 37)),"")</f>
        <v>Better Opportunity</v>
      </c>
      <c r="J520" s="4" t="str" cm="1">
        <f t="array" ref="J520">IFERROR(INDEX(EmployeeData[Status], ROW() - 37), "")</f>
        <v>Exited</v>
      </c>
    </row>
    <row r="521" spans="2:10" ht="19.95" customHeight="1" x14ac:dyDescent="0.3">
      <c r="B521" s="4" cm="1">
        <f t="array" ref="B521">IFERROR(INDEX(EmployeeData[Employee ID], ROW() - 37), "")</f>
        <v>1484</v>
      </c>
      <c r="C521" s="4" t="str" cm="1">
        <f t="array" ref="C521">IFERROR(INDEX(EmployeeData[Full Name], ROW() - 37), "")</f>
        <v>Victor Pascual Reyes</v>
      </c>
      <c r="D521" s="4" t="str" cm="1">
        <f t="array" ref="D521">IFERROR(INDEX(EmployeeData[Department], ROW() - 37), "")</f>
        <v>Marketing</v>
      </c>
      <c r="E521" s="4" t="str" cm="1">
        <f t="array" ref="E521">IFERROR(INDEX(EmployeeData[Gender], ROW() - 37), "")</f>
        <v>Male</v>
      </c>
      <c r="F521" s="4" cm="1">
        <f t="array" ref="F521">IFERROR(INDEX(EmployeeData[Age], ROW() - 37), "")</f>
        <v>24</v>
      </c>
      <c r="G521" s="6" cm="1">
        <f t="array" ref="G521">IFERROR(INDEX(EmployeeData[Join Date], ROW() - 37), "")</f>
        <v>43818</v>
      </c>
      <c r="H521" s="6" t="str" cm="1">
        <f t="array" ref="H521">IFERROR(IF(INDEX(EmployeeData[Exit Date], ROW() - 37)=0, "",INDEX(EmployeeData[Exit Date], ROW() - 37)),"")</f>
        <v/>
      </c>
      <c r="I521" s="4" t="str" cm="1">
        <f t="array" ref="I521">IFERROR(IF(INDEX(EmployeeData[Exit Reason], ROW() - 37)=0, "",INDEX(EmployeeData[Exit Reason], ROW() - 37)),"")</f>
        <v/>
      </c>
      <c r="J521" s="4" t="str" cm="1">
        <f t="array" ref="J521">IFERROR(INDEX(EmployeeData[Status], ROW() - 37), "")</f>
        <v>Active</v>
      </c>
    </row>
    <row r="522" spans="2:10" ht="19.95" customHeight="1" x14ac:dyDescent="0.3">
      <c r="B522" s="4" cm="1">
        <f t="array" ref="B522">IFERROR(INDEX(EmployeeData[Employee ID], ROW() - 37), "")</f>
        <v>1485</v>
      </c>
      <c r="C522" s="4" t="str" cm="1">
        <f t="array" ref="C522">IFERROR(INDEX(EmployeeData[Full Name], ROW() - 37), "")</f>
        <v>Josephine Pascual</v>
      </c>
      <c r="D522" s="4" t="str" cm="1">
        <f t="array" ref="D522">IFERROR(INDEX(EmployeeData[Department], ROW() - 37), "")</f>
        <v>Customer Support</v>
      </c>
      <c r="E522" s="4" t="str" cm="1">
        <f t="array" ref="E522">IFERROR(INDEX(EmployeeData[Gender], ROW() - 37), "")</f>
        <v>Other</v>
      </c>
      <c r="F522" s="4" cm="1">
        <f t="array" ref="F522">IFERROR(INDEX(EmployeeData[Age], ROW() - 37), "")</f>
        <v>53</v>
      </c>
      <c r="G522" s="6" cm="1">
        <f t="array" ref="G522">IFERROR(INDEX(EmployeeData[Join Date], ROW() - 37), "")</f>
        <v>45213</v>
      </c>
      <c r="H522" s="6" t="str" cm="1">
        <f t="array" ref="H522">IFERROR(IF(INDEX(EmployeeData[Exit Date], ROW() - 37)=0, "",INDEX(EmployeeData[Exit Date], ROW() - 37)),"")</f>
        <v/>
      </c>
      <c r="I522" s="4" t="str" cm="1">
        <f t="array" ref="I522">IFERROR(IF(INDEX(EmployeeData[Exit Reason], ROW() - 37)=0, "",INDEX(EmployeeData[Exit Reason], ROW() - 37)),"")</f>
        <v/>
      </c>
      <c r="J522" s="4" t="str" cm="1">
        <f t="array" ref="J522">IFERROR(INDEX(EmployeeData[Status], ROW() - 37), "")</f>
        <v>Active</v>
      </c>
    </row>
    <row r="523" spans="2:10" ht="19.95" customHeight="1" x14ac:dyDescent="0.3">
      <c r="B523" s="4" cm="1">
        <f t="array" ref="B523">IFERROR(INDEX(EmployeeData[Employee ID], ROW() - 37), "")</f>
        <v>1486</v>
      </c>
      <c r="C523" s="4" t="str" cm="1">
        <f t="array" ref="C523">IFERROR(INDEX(EmployeeData[Full Name], ROW() - 37), "")</f>
        <v>Oliver Crisostomo</v>
      </c>
      <c r="D523" s="4" t="str" cm="1">
        <f t="array" ref="D523">IFERROR(INDEX(EmployeeData[Department], ROW() - 37), "")</f>
        <v>IT</v>
      </c>
      <c r="E523" s="4" t="str" cm="1">
        <f t="array" ref="E523">IFERROR(INDEX(EmployeeData[Gender], ROW() - 37), "")</f>
        <v>Male</v>
      </c>
      <c r="F523" s="4" cm="1">
        <f t="array" ref="F523">IFERROR(INDEX(EmployeeData[Age], ROW() - 37), "")</f>
        <v>31</v>
      </c>
      <c r="G523" s="6" cm="1">
        <f t="array" ref="G523">IFERROR(INDEX(EmployeeData[Join Date], ROW() - 37), "")</f>
        <v>43456</v>
      </c>
      <c r="H523" s="6" t="str" cm="1">
        <f t="array" ref="H523">IFERROR(IF(INDEX(EmployeeData[Exit Date], ROW() - 37)=0, "",INDEX(EmployeeData[Exit Date], ROW() - 37)),"")</f>
        <v/>
      </c>
      <c r="I523" s="4" t="str" cm="1">
        <f t="array" ref="I523">IFERROR(IF(INDEX(EmployeeData[Exit Reason], ROW() - 37)=0, "",INDEX(EmployeeData[Exit Reason], ROW() - 37)),"")</f>
        <v/>
      </c>
      <c r="J523" s="4" t="str" cm="1">
        <f t="array" ref="J523">IFERROR(INDEX(EmployeeData[Status], ROW() - 37), "")</f>
        <v>Active</v>
      </c>
    </row>
    <row r="524" spans="2:10" ht="19.95" customHeight="1" x14ac:dyDescent="0.3">
      <c r="B524" s="4" cm="1">
        <f t="array" ref="B524">IFERROR(INDEX(EmployeeData[Employee ID], ROW() - 37), "")</f>
        <v>1487</v>
      </c>
      <c r="C524" s="4" t="str" cm="1">
        <f t="array" ref="C524">IFERROR(INDEX(EmployeeData[Full Name], ROW() - 37), "")</f>
        <v>Sue Aguilar Narvasa</v>
      </c>
      <c r="D524" s="4" t="str" cm="1">
        <f t="array" ref="D524">IFERROR(INDEX(EmployeeData[Department], ROW() - 37), "")</f>
        <v>IT</v>
      </c>
      <c r="E524" s="4" t="str" cm="1">
        <f t="array" ref="E524">IFERROR(INDEX(EmployeeData[Gender], ROW() - 37), "")</f>
        <v>Female</v>
      </c>
      <c r="F524" s="4" cm="1">
        <f t="array" ref="F524">IFERROR(INDEX(EmployeeData[Age], ROW() - 37), "")</f>
        <v>21</v>
      </c>
      <c r="G524" s="6" cm="1">
        <f t="array" ref="G524">IFERROR(INDEX(EmployeeData[Join Date], ROW() - 37), "")</f>
        <v>45983</v>
      </c>
      <c r="H524" s="6" cm="1">
        <f t="array" ref="H524">IFERROR(IF(INDEX(EmployeeData[Exit Date], ROW() - 37)=0, "",INDEX(EmployeeData[Exit Date], ROW() - 37)),"")</f>
        <v>46084</v>
      </c>
      <c r="I524" s="4" t="str" cm="1">
        <f t="array" ref="I524">IFERROR(IF(INDEX(EmployeeData[Exit Reason], ROW() - 37)=0, "",INDEX(EmployeeData[Exit Reason], ROW() - 37)),"")</f>
        <v>Health Issues</v>
      </c>
      <c r="J524" s="4" t="str" cm="1">
        <f t="array" ref="J524">IFERROR(INDEX(EmployeeData[Status], ROW() - 37), "")</f>
        <v>Exited</v>
      </c>
    </row>
    <row r="525" spans="2:10" ht="19.95" customHeight="1" x14ac:dyDescent="0.3">
      <c r="B525" s="4" cm="1">
        <f t="array" ref="B525">IFERROR(INDEX(EmployeeData[Employee ID], ROW() - 37), "")</f>
        <v>1488</v>
      </c>
      <c r="C525" s="4" t="str" cm="1">
        <f t="array" ref="C525">IFERROR(INDEX(EmployeeData[Full Name], ROW() - 37), "")</f>
        <v>Roberto Mendoza Soriano</v>
      </c>
      <c r="D525" s="4" t="str" cm="1">
        <f t="array" ref="D525">IFERROR(INDEX(EmployeeData[Department], ROW() - 37), "")</f>
        <v>Customer Support</v>
      </c>
      <c r="E525" s="4" t="str" cm="1">
        <f t="array" ref="E525">IFERROR(INDEX(EmployeeData[Gender], ROW() - 37), "")</f>
        <v>Other</v>
      </c>
      <c r="F525" s="4" cm="1">
        <f t="array" ref="F525">IFERROR(INDEX(EmployeeData[Age], ROW() - 37), "")</f>
        <v>50</v>
      </c>
      <c r="G525" s="6" cm="1">
        <f t="array" ref="G525">IFERROR(INDEX(EmployeeData[Join Date], ROW() - 37), "")</f>
        <v>44755</v>
      </c>
      <c r="H525" s="6" t="str" cm="1">
        <f t="array" ref="H525">IFERROR(IF(INDEX(EmployeeData[Exit Date], ROW() - 37)=0, "",INDEX(EmployeeData[Exit Date], ROW() - 37)),"")</f>
        <v/>
      </c>
      <c r="I525" s="4" t="str" cm="1">
        <f t="array" ref="I525">IFERROR(IF(INDEX(EmployeeData[Exit Reason], ROW() - 37)=0, "",INDEX(EmployeeData[Exit Reason], ROW() - 37)),"")</f>
        <v/>
      </c>
      <c r="J525" s="4" t="str" cm="1">
        <f t="array" ref="J525">IFERROR(INDEX(EmployeeData[Status], ROW() - 37), "")</f>
        <v>Active</v>
      </c>
    </row>
    <row r="526" spans="2:10" ht="19.95" customHeight="1" x14ac:dyDescent="0.3">
      <c r="B526" s="4" cm="1">
        <f t="array" ref="B526">IFERROR(INDEX(EmployeeData[Employee ID], ROW() - 37), "")</f>
        <v>1489</v>
      </c>
      <c r="C526" s="4" t="str" cm="1">
        <f t="array" ref="C526">IFERROR(INDEX(EmployeeData[Full Name], ROW() - 37), "")</f>
        <v>Severino Fajardo</v>
      </c>
      <c r="D526" s="4" t="str" cm="1">
        <f t="array" ref="D526">IFERROR(INDEX(EmployeeData[Department], ROW() - 37), "")</f>
        <v>Marketing</v>
      </c>
      <c r="E526" s="4" t="str" cm="1">
        <f t="array" ref="E526">IFERROR(INDEX(EmployeeData[Gender], ROW() - 37), "")</f>
        <v>Male</v>
      </c>
      <c r="F526" s="4" cm="1">
        <f t="array" ref="F526">IFERROR(INDEX(EmployeeData[Age], ROW() - 37), "")</f>
        <v>42</v>
      </c>
      <c r="G526" s="6" cm="1">
        <f t="array" ref="G526">IFERROR(INDEX(EmployeeData[Join Date], ROW() - 37), "")</f>
        <v>43580</v>
      </c>
      <c r="H526" s="6" t="str" cm="1">
        <f t="array" ref="H526">IFERROR(IF(INDEX(EmployeeData[Exit Date], ROW() - 37)=0, "",INDEX(EmployeeData[Exit Date], ROW() - 37)),"")</f>
        <v/>
      </c>
      <c r="I526" s="4" t="str" cm="1">
        <f t="array" ref="I526">IFERROR(IF(INDEX(EmployeeData[Exit Reason], ROW() - 37)=0, "",INDEX(EmployeeData[Exit Reason], ROW() - 37)),"")</f>
        <v/>
      </c>
      <c r="J526" s="4" t="str" cm="1">
        <f t="array" ref="J526">IFERROR(INDEX(EmployeeData[Status], ROW() - 37), "")</f>
        <v>Active</v>
      </c>
    </row>
    <row r="527" spans="2:10" ht="19.95" customHeight="1" x14ac:dyDescent="0.3">
      <c r="B527" s="4" cm="1">
        <f t="array" ref="B527">IFERROR(INDEX(EmployeeData[Employee ID], ROW() - 37), "")</f>
        <v>1490</v>
      </c>
      <c r="C527" s="4" t="str" cm="1">
        <f t="array" ref="C527">IFERROR(INDEX(EmployeeData[Full Name], ROW() - 37), "")</f>
        <v>Eduardo Buenaventura</v>
      </c>
      <c r="D527" s="4" t="str" cm="1">
        <f t="array" ref="D527">IFERROR(INDEX(EmployeeData[Department], ROW() - 37), "")</f>
        <v>Marketing</v>
      </c>
      <c r="E527" s="4" t="str" cm="1">
        <f t="array" ref="E527">IFERROR(INDEX(EmployeeData[Gender], ROW() - 37), "")</f>
        <v>Other</v>
      </c>
      <c r="F527" s="4" cm="1">
        <f t="array" ref="F527">IFERROR(INDEX(EmployeeData[Age], ROW() - 37), "")</f>
        <v>45</v>
      </c>
      <c r="G527" s="6" cm="1">
        <f t="array" ref="G527">IFERROR(INDEX(EmployeeData[Join Date], ROW() - 37), "")</f>
        <v>45407</v>
      </c>
      <c r="H527" s="6" t="str" cm="1">
        <f t="array" ref="H527">IFERROR(IF(INDEX(EmployeeData[Exit Date], ROW() - 37)=0, "",INDEX(EmployeeData[Exit Date], ROW() - 37)),"")</f>
        <v/>
      </c>
      <c r="I527" s="4" t="str" cm="1">
        <f t="array" ref="I527">IFERROR(IF(INDEX(EmployeeData[Exit Reason], ROW() - 37)=0, "",INDEX(EmployeeData[Exit Reason], ROW() - 37)),"")</f>
        <v/>
      </c>
      <c r="J527" s="4" t="str" cm="1">
        <f t="array" ref="J527">IFERROR(INDEX(EmployeeData[Status], ROW() - 37), "")</f>
        <v>Active</v>
      </c>
    </row>
    <row r="528" spans="2:10" ht="19.95" customHeight="1" x14ac:dyDescent="0.3">
      <c r="B528" s="4" cm="1">
        <f t="array" ref="B528">IFERROR(INDEX(EmployeeData[Employee ID], ROW() - 37), "")</f>
        <v>1491</v>
      </c>
      <c r="C528" s="4" t="str" cm="1">
        <f t="array" ref="C528">IFERROR(INDEX(EmployeeData[Full Name], ROW() - 37), "")</f>
        <v>Teodoro Ramirez Aquino</v>
      </c>
      <c r="D528" s="4" t="str" cm="1">
        <f t="array" ref="D528">IFERROR(INDEX(EmployeeData[Department], ROW() - 37), "")</f>
        <v>IT</v>
      </c>
      <c r="E528" s="4" t="str" cm="1">
        <f t="array" ref="E528">IFERROR(INDEX(EmployeeData[Gender], ROW() - 37), "")</f>
        <v>Male</v>
      </c>
      <c r="F528" s="4" cm="1">
        <f t="array" ref="F528">IFERROR(INDEX(EmployeeData[Age], ROW() - 37), "")</f>
        <v>58</v>
      </c>
      <c r="G528" s="6" cm="1">
        <f t="array" ref="G528">IFERROR(INDEX(EmployeeData[Join Date], ROW() - 37), "")</f>
        <v>43213</v>
      </c>
      <c r="H528" s="6" t="str" cm="1">
        <f t="array" ref="H528">IFERROR(IF(INDEX(EmployeeData[Exit Date], ROW() - 37)=0, "",INDEX(EmployeeData[Exit Date], ROW() - 37)),"")</f>
        <v/>
      </c>
      <c r="I528" s="4" t="str" cm="1">
        <f t="array" ref="I528">IFERROR(IF(INDEX(EmployeeData[Exit Reason], ROW() - 37)=0, "",INDEX(EmployeeData[Exit Reason], ROW() - 37)),"")</f>
        <v/>
      </c>
      <c r="J528" s="4" t="str" cm="1">
        <f t="array" ref="J528">IFERROR(INDEX(EmployeeData[Status], ROW() - 37), "")</f>
        <v>Active</v>
      </c>
    </row>
    <row r="529" spans="2:10" ht="19.95" customHeight="1" x14ac:dyDescent="0.3">
      <c r="B529" s="4" cm="1">
        <f t="array" ref="B529">IFERROR(INDEX(EmployeeData[Employee ID], ROW() - 37), "")</f>
        <v>1492</v>
      </c>
      <c r="C529" s="4" t="str" cm="1">
        <f t="array" ref="C529">IFERROR(INDEX(EmployeeData[Full Name], ROW() - 37), "")</f>
        <v>Mae Domingo Fajardo</v>
      </c>
      <c r="D529" s="4" t="str" cm="1">
        <f t="array" ref="D529">IFERROR(INDEX(EmployeeData[Department], ROW() - 37), "")</f>
        <v>HR</v>
      </c>
      <c r="E529" s="4" t="str" cm="1">
        <f t="array" ref="E529">IFERROR(INDEX(EmployeeData[Gender], ROW() - 37), "")</f>
        <v>Female</v>
      </c>
      <c r="F529" s="4" cm="1">
        <f t="array" ref="F529">IFERROR(INDEX(EmployeeData[Age], ROW() - 37), "")</f>
        <v>41</v>
      </c>
      <c r="G529" s="6" cm="1">
        <f t="array" ref="G529">IFERROR(INDEX(EmployeeData[Join Date], ROW() - 37), "")</f>
        <v>44790</v>
      </c>
      <c r="H529" s="6" t="str" cm="1">
        <f t="array" ref="H529">IFERROR(IF(INDEX(EmployeeData[Exit Date], ROW() - 37)=0, "",INDEX(EmployeeData[Exit Date], ROW() - 37)),"")</f>
        <v/>
      </c>
      <c r="I529" s="4" t="str" cm="1">
        <f t="array" ref="I529">IFERROR(IF(INDEX(EmployeeData[Exit Reason], ROW() - 37)=0, "",INDEX(EmployeeData[Exit Reason], ROW() - 37)),"")</f>
        <v/>
      </c>
      <c r="J529" s="4" t="str" cm="1">
        <f t="array" ref="J529">IFERROR(INDEX(EmployeeData[Status], ROW() - 37), "")</f>
        <v>Active</v>
      </c>
    </row>
    <row r="530" spans="2:10" ht="19.95" customHeight="1" x14ac:dyDescent="0.3">
      <c r="B530" s="4" cm="1">
        <f t="array" ref="B530">IFERROR(INDEX(EmployeeData[Employee ID], ROW() - 37), "")</f>
        <v>1493</v>
      </c>
      <c r="C530" s="4" t="str" cm="1">
        <f t="array" ref="C530">IFERROR(INDEX(EmployeeData[Full Name], ROW() - 37), "")</f>
        <v>Jacqueline Flores Tuazon</v>
      </c>
      <c r="D530" s="4" t="str" cm="1">
        <f t="array" ref="D530">IFERROR(INDEX(EmployeeData[Department], ROW() - 37), "")</f>
        <v>IT</v>
      </c>
      <c r="E530" s="4" t="str" cm="1">
        <f t="array" ref="E530">IFERROR(INDEX(EmployeeData[Gender], ROW() - 37), "")</f>
        <v>Female</v>
      </c>
      <c r="F530" s="4" cm="1">
        <f t="array" ref="F530">IFERROR(INDEX(EmployeeData[Age], ROW() - 37), "")</f>
        <v>42</v>
      </c>
      <c r="G530" s="6" cm="1">
        <f t="array" ref="G530">IFERROR(INDEX(EmployeeData[Join Date], ROW() - 37), "")</f>
        <v>43412</v>
      </c>
      <c r="H530" s="6" t="str" cm="1">
        <f t="array" ref="H530">IFERROR(IF(INDEX(EmployeeData[Exit Date], ROW() - 37)=0, "",INDEX(EmployeeData[Exit Date], ROW() - 37)),"")</f>
        <v/>
      </c>
      <c r="I530" s="4" t="str" cm="1">
        <f t="array" ref="I530">IFERROR(IF(INDEX(EmployeeData[Exit Reason], ROW() - 37)=0, "",INDEX(EmployeeData[Exit Reason], ROW() - 37)),"")</f>
        <v/>
      </c>
      <c r="J530" s="4" t="str" cm="1">
        <f t="array" ref="J530">IFERROR(INDEX(EmployeeData[Status], ROW() - 37), "")</f>
        <v>Active</v>
      </c>
    </row>
    <row r="531" spans="2:10" ht="19.95" customHeight="1" x14ac:dyDescent="0.3">
      <c r="B531" s="4" cm="1">
        <f t="array" ref="B531">IFERROR(INDEX(EmployeeData[Employee ID], ROW() - 37), "")</f>
        <v>1494</v>
      </c>
      <c r="C531" s="4" t="str" cm="1">
        <f t="array" ref="C531">IFERROR(INDEX(EmployeeData[Full Name], ROW() - 37), "")</f>
        <v>Rosalinda Domingo San Pedro</v>
      </c>
      <c r="D531" s="4" t="str" cm="1">
        <f t="array" ref="D531">IFERROR(INDEX(EmployeeData[Department], ROW() - 37), "")</f>
        <v>Sales</v>
      </c>
      <c r="E531" s="4" t="str" cm="1">
        <f t="array" ref="E531">IFERROR(INDEX(EmployeeData[Gender], ROW() - 37), "")</f>
        <v>Female</v>
      </c>
      <c r="F531" s="4" cm="1">
        <f t="array" ref="F531">IFERROR(INDEX(EmployeeData[Age], ROW() - 37), "")</f>
        <v>33</v>
      </c>
      <c r="G531" s="6" cm="1">
        <f t="array" ref="G531">IFERROR(INDEX(EmployeeData[Join Date], ROW() - 37), "")</f>
        <v>45144</v>
      </c>
      <c r="H531" s="6" t="str" cm="1">
        <f t="array" ref="H531">IFERROR(IF(INDEX(EmployeeData[Exit Date], ROW() - 37)=0, "",INDEX(EmployeeData[Exit Date], ROW() - 37)),"")</f>
        <v/>
      </c>
      <c r="I531" s="4" t="str" cm="1">
        <f t="array" ref="I531">IFERROR(IF(INDEX(EmployeeData[Exit Reason], ROW() - 37)=0, "",INDEX(EmployeeData[Exit Reason], ROW() - 37)),"")</f>
        <v/>
      </c>
      <c r="J531" s="4" t="str" cm="1">
        <f t="array" ref="J531">IFERROR(INDEX(EmployeeData[Status], ROW() - 37), "")</f>
        <v>Active</v>
      </c>
    </row>
    <row r="532" spans="2:10" ht="19.95" customHeight="1" x14ac:dyDescent="0.3">
      <c r="B532" s="4" cm="1">
        <f t="array" ref="B532">IFERROR(INDEX(EmployeeData[Employee ID], ROW() - 37), "")</f>
        <v>1495</v>
      </c>
      <c r="C532" s="4" t="str" cm="1">
        <f t="array" ref="C532">IFERROR(INDEX(EmployeeData[Full Name], ROW() - 37), "")</f>
        <v>Rowena Figueroa</v>
      </c>
      <c r="D532" s="4" t="str" cm="1">
        <f t="array" ref="D532">IFERROR(INDEX(EmployeeData[Department], ROW() - 37), "")</f>
        <v>Customer Support</v>
      </c>
      <c r="E532" s="4" t="str" cm="1">
        <f t="array" ref="E532">IFERROR(INDEX(EmployeeData[Gender], ROW() - 37), "")</f>
        <v>Female</v>
      </c>
      <c r="F532" s="4" cm="1">
        <f t="array" ref="F532">IFERROR(INDEX(EmployeeData[Age], ROW() - 37), "")</f>
        <v>36</v>
      </c>
      <c r="G532" s="6" cm="1">
        <f t="array" ref="G532">IFERROR(INDEX(EmployeeData[Join Date], ROW() - 37), "")</f>
        <v>45634</v>
      </c>
      <c r="H532" s="6" cm="1">
        <f t="array" ref="H532">IFERROR(IF(INDEX(EmployeeData[Exit Date], ROW() - 37)=0, "",INDEX(EmployeeData[Exit Date], ROW() - 37)),"")</f>
        <v>46122</v>
      </c>
      <c r="I532" s="4" t="str" cm="1">
        <f t="array" ref="I532">IFERROR(IF(INDEX(EmployeeData[Exit Reason], ROW() - 37)=0, "",INDEX(EmployeeData[Exit Reason], ROW() - 37)),"")</f>
        <v>Better Opportunity</v>
      </c>
      <c r="J532" s="4" t="str" cm="1">
        <f t="array" ref="J532">IFERROR(INDEX(EmployeeData[Status], ROW() - 37), "")</f>
        <v>Exited</v>
      </c>
    </row>
    <row r="533" spans="2:10" ht="19.95" customHeight="1" x14ac:dyDescent="0.3">
      <c r="B533" s="4" cm="1">
        <f t="array" ref="B533">IFERROR(INDEX(EmployeeData[Employee ID], ROW() - 37), "")</f>
        <v>1496</v>
      </c>
      <c r="C533" s="4" t="str" cm="1">
        <f t="array" ref="C533">IFERROR(INDEX(EmployeeData[Full Name], ROW() - 37), "")</f>
        <v>Patricia Aguilar Trinidad</v>
      </c>
      <c r="D533" s="4" t="str" cm="1">
        <f t="array" ref="D533">IFERROR(INDEX(EmployeeData[Department], ROW() - 37), "")</f>
        <v>Marketing</v>
      </c>
      <c r="E533" s="4" t="str" cm="1">
        <f t="array" ref="E533">IFERROR(INDEX(EmployeeData[Gender], ROW() - 37), "")</f>
        <v>Female</v>
      </c>
      <c r="F533" s="4" cm="1">
        <f t="array" ref="F533">IFERROR(INDEX(EmployeeData[Age], ROW() - 37), "")</f>
        <v>55</v>
      </c>
      <c r="G533" s="6" cm="1">
        <f t="array" ref="G533">IFERROR(INDEX(EmployeeData[Join Date], ROW() - 37), "")</f>
        <v>43274</v>
      </c>
      <c r="H533" s="6" t="str" cm="1">
        <f t="array" ref="H533">IFERROR(IF(INDEX(EmployeeData[Exit Date], ROW() - 37)=0, "",INDEX(EmployeeData[Exit Date], ROW() - 37)),"")</f>
        <v/>
      </c>
      <c r="I533" s="4" t="str" cm="1">
        <f t="array" ref="I533">IFERROR(IF(INDEX(EmployeeData[Exit Reason], ROW() - 37)=0, "",INDEX(EmployeeData[Exit Reason], ROW() - 37)),"")</f>
        <v/>
      </c>
      <c r="J533" s="4" t="str" cm="1">
        <f t="array" ref="J533">IFERROR(INDEX(EmployeeData[Status], ROW() - 37), "")</f>
        <v>Active</v>
      </c>
    </row>
    <row r="534" spans="2:10" ht="19.95" customHeight="1" x14ac:dyDescent="0.3">
      <c r="B534" s="4" cm="1">
        <f t="array" ref="B534">IFERROR(INDEX(EmployeeData[Employee ID], ROW() - 37), "")</f>
        <v>1497</v>
      </c>
      <c r="C534" s="4" t="str" cm="1">
        <f t="array" ref="C534">IFERROR(INDEX(EmployeeData[Full Name], ROW() - 37), "")</f>
        <v>Maricel Sy Flores</v>
      </c>
      <c r="D534" s="4" t="str" cm="1">
        <f t="array" ref="D534">IFERROR(INDEX(EmployeeData[Department], ROW() - 37), "")</f>
        <v>Marketing</v>
      </c>
      <c r="E534" s="4" t="str" cm="1">
        <f t="array" ref="E534">IFERROR(INDEX(EmployeeData[Gender], ROW() - 37), "")</f>
        <v>Other</v>
      </c>
      <c r="F534" s="4" cm="1">
        <f t="array" ref="F534">IFERROR(INDEX(EmployeeData[Age], ROW() - 37), "")</f>
        <v>53</v>
      </c>
      <c r="G534" s="6" cm="1">
        <f t="array" ref="G534">IFERROR(INDEX(EmployeeData[Join Date], ROW() - 37), "")</f>
        <v>44248</v>
      </c>
      <c r="H534" s="6" t="str" cm="1">
        <f t="array" ref="H534">IFERROR(IF(INDEX(EmployeeData[Exit Date], ROW() - 37)=0, "",INDEX(EmployeeData[Exit Date], ROW() - 37)),"")</f>
        <v/>
      </c>
      <c r="I534" s="4" t="str" cm="1">
        <f t="array" ref="I534">IFERROR(IF(INDEX(EmployeeData[Exit Reason], ROW() - 37)=0, "",INDEX(EmployeeData[Exit Reason], ROW() - 37)),"")</f>
        <v/>
      </c>
      <c r="J534" s="4" t="str" cm="1">
        <f t="array" ref="J534">IFERROR(INDEX(EmployeeData[Status], ROW() - 37), "")</f>
        <v>Active</v>
      </c>
    </row>
    <row r="535" spans="2:10" ht="19.95" customHeight="1" x14ac:dyDescent="0.3">
      <c r="B535" s="4" cm="1">
        <f t="array" ref="B535">IFERROR(INDEX(EmployeeData[Employee ID], ROW() - 37), "")</f>
        <v>1498</v>
      </c>
      <c r="C535" s="4" t="str" cm="1">
        <f t="array" ref="C535">IFERROR(INDEX(EmployeeData[Full Name], ROW() - 37), "")</f>
        <v>Hernando Roque</v>
      </c>
      <c r="D535" s="4" t="str" cm="1">
        <f t="array" ref="D535">IFERROR(INDEX(EmployeeData[Department], ROW() - 37), "")</f>
        <v>Marketing</v>
      </c>
      <c r="E535" s="4" t="str" cm="1">
        <f t="array" ref="E535">IFERROR(INDEX(EmployeeData[Gender], ROW() - 37), "")</f>
        <v>Male</v>
      </c>
      <c r="F535" s="4" cm="1">
        <f t="array" ref="F535">IFERROR(INDEX(EmployeeData[Age], ROW() - 37), "")</f>
        <v>53</v>
      </c>
      <c r="G535" s="6" cm="1">
        <f t="array" ref="G535">IFERROR(INDEX(EmployeeData[Join Date], ROW() - 37), "")</f>
        <v>44523</v>
      </c>
      <c r="H535" s="6" t="str" cm="1">
        <f t="array" ref="H535">IFERROR(IF(INDEX(EmployeeData[Exit Date], ROW() - 37)=0, "",INDEX(EmployeeData[Exit Date], ROW() - 37)),"")</f>
        <v/>
      </c>
      <c r="I535" s="4" t="str" cm="1">
        <f t="array" ref="I535">IFERROR(IF(INDEX(EmployeeData[Exit Reason], ROW() - 37)=0, "",INDEX(EmployeeData[Exit Reason], ROW() - 37)),"")</f>
        <v/>
      </c>
      <c r="J535" s="4" t="str" cm="1">
        <f t="array" ref="J535">IFERROR(INDEX(EmployeeData[Status], ROW() - 37), "")</f>
        <v>Active</v>
      </c>
    </row>
    <row r="536" spans="2:10" ht="19.95" customHeight="1" x14ac:dyDescent="0.3">
      <c r="B536" s="4" cm="1">
        <f t="array" ref="B536">IFERROR(INDEX(EmployeeData[Employee ID], ROW() - 37), "")</f>
        <v>1499</v>
      </c>
      <c r="C536" s="4" t="str" cm="1">
        <f t="array" ref="C536">IFERROR(INDEX(EmployeeData[Full Name], ROW() - 37), "")</f>
        <v>Leonard Santiago Narvasa</v>
      </c>
      <c r="D536" s="4" t="str" cm="1">
        <f t="array" ref="D536">IFERROR(INDEX(EmployeeData[Department], ROW() - 37), "")</f>
        <v>HR</v>
      </c>
      <c r="E536" s="4" t="str" cm="1">
        <f t="array" ref="E536">IFERROR(INDEX(EmployeeData[Gender], ROW() - 37), "")</f>
        <v>Male</v>
      </c>
      <c r="F536" s="4" cm="1">
        <f t="array" ref="F536">IFERROR(INDEX(EmployeeData[Age], ROW() - 37), "")</f>
        <v>21</v>
      </c>
      <c r="G536" s="6" cm="1">
        <f t="array" ref="G536">IFERROR(INDEX(EmployeeData[Join Date], ROW() - 37), "")</f>
        <v>43149</v>
      </c>
      <c r="H536" s="6" t="str" cm="1">
        <f t="array" ref="H536">IFERROR(IF(INDEX(EmployeeData[Exit Date], ROW() - 37)=0, "",INDEX(EmployeeData[Exit Date], ROW() - 37)),"")</f>
        <v/>
      </c>
      <c r="I536" s="4" t="str" cm="1">
        <f t="array" ref="I536">IFERROR(IF(INDEX(EmployeeData[Exit Reason], ROW() - 37)=0, "",INDEX(EmployeeData[Exit Reason], ROW() - 37)),"")</f>
        <v/>
      </c>
      <c r="J536" s="4" t="str" cm="1">
        <f t="array" ref="J536">IFERROR(INDEX(EmployeeData[Status], ROW() - 37), "")</f>
        <v>Active</v>
      </c>
    </row>
    <row r="537" spans="2:10" ht="19.95" customHeight="1" x14ac:dyDescent="0.3">
      <c r="B537" s="4" cm="1">
        <f t="array" ref="B537">IFERROR(INDEX(EmployeeData[Employee ID], ROW() - 37), "")</f>
        <v>1500</v>
      </c>
      <c r="C537" s="4" t="str" cm="1">
        <f t="array" ref="C537">IFERROR(INDEX(EmployeeData[Full Name], ROW() - 37), "")</f>
        <v>Karen Sy Evangelista</v>
      </c>
      <c r="D537" s="4" t="str" cm="1">
        <f t="array" ref="D537">IFERROR(INDEX(EmployeeData[Department], ROW() - 37), "")</f>
        <v>Marketing</v>
      </c>
      <c r="E537" s="4" t="str" cm="1">
        <f t="array" ref="E537">IFERROR(INDEX(EmployeeData[Gender], ROW() - 37), "")</f>
        <v>Female</v>
      </c>
      <c r="F537" s="4" cm="1">
        <f t="array" ref="F537">IFERROR(INDEX(EmployeeData[Age], ROW() - 37), "")</f>
        <v>56</v>
      </c>
      <c r="G537" s="6" cm="1">
        <f t="array" ref="G537">IFERROR(INDEX(EmployeeData[Join Date], ROW() - 37), "")</f>
        <v>44177</v>
      </c>
      <c r="H537" s="6" cm="1">
        <f t="array" ref="H537">IFERROR(IF(INDEX(EmployeeData[Exit Date], ROW() - 37)=0, "",INDEX(EmployeeData[Exit Date], ROW() - 37)),"")</f>
        <v>45232</v>
      </c>
      <c r="I537" s="4" t="str" cm="1">
        <f t="array" ref="I537">IFERROR(IF(INDEX(EmployeeData[Exit Reason], ROW() - 37)=0, "",INDEX(EmployeeData[Exit Reason], ROW() - 37)),"")</f>
        <v>Contract End</v>
      </c>
      <c r="J537" s="4" t="str" cm="1">
        <f t="array" ref="J537">IFERROR(INDEX(EmployeeData[Status], ROW() - 37), "")</f>
        <v>Exited</v>
      </c>
    </row>
    <row r="538" spans="2:10" ht="19.95" customHeight="1" x14ac:dyDescent="0.3">
      <c r="B538" s="4" cm="1">
        <f t="array" ref="B538">IFERROR(INDEX(EmployeeData[Employee ID], ROW() - 37), "")</f>
        <v>1501</v>
      </c>
      <c r="C538" s="4" t="str" cm="1">
        <f t="array" ref="C538">IFERROR(INDEX(EmployeeData[Full Name], ROW() - 37), "")</f>
        <v>Fernando Ramos Natividad</v>
      </c>
      <c r="D538" s="4" t="str" cm="1">
        <f t="array" ref="D538">IFERROR(INDEX(EmployeeData[Department], ROW() - 37), "")</f>
        <v>Customer Support</v>
      </c>
      <c r="E538" s="4" t="str" cm="1">
        <f t="array" ref="E538">IFERROR(INDEX(EmployeeData[Gender], ROW() - 37), "")</f>
        <v>Other</v>
      </c>
      <c r="F538" s="4" cm="1">
        <f t="array" ref="F538">IFERROR(INDEX(EmployeeData[Age], ROW() - 37), "")</f>
        <v>44</v>
      </c>
      <c r="G538" s="6" cm="1">
        <f t="array" ref="G538">IFERROR(INDEX(EmployeeData[Join Date], ROW() - 37), "")</f>
        <v>44596</v>
      </c>
      <c r="H538" s="6" t="str" cm="1">
        <f t="array" ref="H538">IFERROR(IF(INDEX(EmployeeData[Exit Date], ROW() - 37)=0, "",INDEX(EmployeeData[Exit Date], ROW() - 37)),"")</f>
        <v/>
      </c>
      <c r="I538" s="4" t="str" cm="1">
        <f t="array" ref="I538">IFERROR(IF(INDEX(EmployeeData[Exit Reason], ROW() - 37)=0, "",INDEX(EmployeeData[Exit Reason], ROW() - 37)),"")</f>
        <v/>
      </c>
      <c r="J538" s="4" t="str" cm="1">
        <f t="array" ref="J538">IFERROR(INDEX(EmployeeData[Status], ROW() - 37), "")</f>
        <v>Active</v>
      </c>
    </row>
    <row r="539" spans="2:10" ht="19.95" customHeight="1" x14ac:dyDescent="0.3">
      <c r="B539" s="4" cm="1">
        <f t="array" ref="B539">IFERROR(INDEX(EmployeeData[Employee ID], ROW() - 37), "")</f>
        <v>1502</v>
      </c>
      <c r="C539" s="4" t="str" cm="1">
        <f t="array" ref="C539">IFERROR(INDEX(EmployeeData[Full Name], ROW() - 37), "")</f>
        <v>Rowena Lacson</v>
      </c>
      <c r="D539" s="4" t="str" cm="1">
        <f t="array" ref="D539">IFERROR(INDEX(EmployeeData[Department], ROW() - 37), "")</f>
        <v>Finance</v>
      </c>
      <c r="E539" s="4" t="str" cm="1">
        <f t="array" ref="E539">IFERROR(INDEX(EmployeeData[Gender], ROW() - 37), "")</f>
        <v>Other</v>
      </c>
      <c r="F539" s="4" cm="1">
        <f t="array" ref="F539">IFERROR(INDEX(EmployeeData[Age], ROW() - 37), "")</f>
        <v>27</v>
      </c>
      <c r="G539" s="6" cm="1">
        <f t="array" ref="G539">IFERROR(INDEX(EmployeeData[Join Date], ROW() - 37), "")</f>
        <v>44206</v>
      </c>
      <c r="H539" s="6" t="str" cm="1">
        <f t="array" ref="H539">IFERROR(IF(INDEX(EmployeeData[Exit Date], ROW() - 37)=0, "",INDEX(EmployeeData[Exit Date], ROW() - 37)),"")</f>
        <v/>
      </c>
      <c r="I539" s="4" t="str" cm="1">
        <f t="array" ref="I539">IFERROR(IF(INDEX(EmployeeData[Exit Reason], ROW() - 37)=0, "",INDEX(EmployeeData[Exit Reason], ROW() - 37)),"")</f>
        <v/>
      </c>
      <c r="J539" s="4" t="str" cm="1">
        <f t="array" ref="J539">IFERROR(INDEX(EmployeeData[Status], ROW() - 37), "")</f>
        <v>Active</v>
      </c>
    </row>
    <row r="540" spans="2:10" ht="19.95" customHeight="1" x14ac:dyDescent="0.3">
      <c r="B540" s="4" cm="1">
        <f t="array" ref="B540">IFERROR(INDEX(EmployeeData[Employee ID], ROW() - 37), "")</f>
        <v>1503</v>
      </c>
      <c r="C540" s="4" t="str" cm="1">
        <f t="array" ref="C540">IFERROR(INDEX(EmployeeData[Full Name], ROW() - 37), "")</f>
        <v>Jose Navarro Camacho</v>
      </c>
      <c r="D540" s="4" t="str" cm="1">
        <f t="array" ref="D540">IFERROR(INDEX(EmployeeData[Department], ROW() - 37), "")</f>
        <v>Customer Support</v>
      </c>
      <c r="E540" s="4" t="str" cm="1">
        <f t="array" ref="E540">IFERROR(INDEX(EmployeeData[Gender], ROW() - 37), "")</f>
        <v>Other</v>
      </c>
      <c r="F540" s="4" cm="1">
        <f t="array" ref="F540">IFERROR(INDEX(EmployeeData[Age], ROW() - 37), "")</f>
        <v>30</v>
      </c>
      <c r="G540" s="6" cm="1">
        <f t="array" ref="G540">IFERROR(INDEX(EmployeeData[Join Date], ROW() - 37), "")</f>
        <v>45038</v>
      </c>
      <c r="H540" s="6" t="str" cm="1">
        <f t="array" ref="H540">IFERROR(IF(INDEX(EmployeeData[Exit Date], ROW() - 37)=0, "",INDEX(EmployeeData[Exit Date], ROW() - 37)),"")</f>
        <v/>
      </c>
      <c r="I540" s="4" t="str" cm="1">
        <f t="array" ref="I540">IFERROR(IF(INDEX(EmployeeData[Exit Reason], ROW() - 37)=0, "",INDEX(EmployeeData[Exit Reason], ROW() - 37)),"")</f>
        <v/>
      </c>
      <c r="J540" s="4" t="str" cm="1">
        <f t="array" ref="J540">IFERROR(INDEX(EmployeeData[Status], ROW() - 37), "")</f>
        <v>Active</v>
      </c>
    </row>
    <row r="541" spans="2:10" ht="19.95" customHeight="1" x14ac:dyDescent="0.3">
      <c r="B541" s="4" cm="1">
        <f t="array" ref="B541">IFERROR(INDEX(EmployeeData[Employee ID], ROW() - 37), "")</f>
        <v>1504</v>
      </c>
      <c r="C541" s="4" t="str" cm="1">
        <f t="array" ref="C541">IFERROR(INDEX(EmployeeData[Full Name], ROW() - 37), "")</f>
        <v>Pilar Rivera</v>
      </c>
      <c r="D541" s="4" t="str" cm="1">
        <f t="array" ref="D541">IFERROR(INDEX(EmployeeData[Department], ROW() - 37), "")</f>
        <v>Sales</v>
      </c>
      <c r="E541" s="4" t="str" cm="1">
        <f t="array" ref="E541">IFERROR(INDEX(EmployeeData[Gender], ROW() - 37), "")</f>
        <v>Female</v>
      </c>
      <c r="F541" s="4" cm="1">
        <f t="array" ref="F541">IFERROR(INDEX(EmployeeData[Age], ROW() - 37), "")</f>
        <v>56</v>
      </c>
      <c r="G541" s="6" cm="1">
        <f t="array" ref="G541">IFERROR(INDEX(EmployeeData[Join Date], ROW() - 37), "")</f>
        <v>45426</v>
      </c>
      <c r="H541" s="6" cm="1">
        <f t="array" ref="H541">IFERROR(IF(INDEX(EmployeeData[Exit Date], ROW() - 37)=0, "",INDEX(EmployeeData[Exit Date], ROW() - 37)),"")</f>
        <v>45617</v>
      </c>
      <c r="I541" s="4" t="str" cm="1">
        <f t="array" ref="I541">IFERROR(IF(INDEX(EmployeeData[Exit Reason], ROW() - 37)=0, "",INDEX(EmployeeData[Exit Reason], ROW() - 37)),"")</f>
        <v>Personal Reasons</v>
      </c>
      <c r="J541" s="4" t="str" cm="1">
        <f t="array" ref="J541">IFERROR(INDEX(EmployeeData[Status], ROW() - 37), "")</f>
        <v>Exited</v>
      </c>
    </row>
    <row r="542" spans="2:10" ht="19.95" customHeight="1" x14ac:dyDescent="0.3">
      <c r="B542" s="4" cm="1">
        <f t="array" ref="B542">IFERROR(INDEX(EmployeeData[Employee ID], ROW() - 37), "")</f>
        <v>1505</v>
      </c>
      <c r="C542" s="4" t="str" cm="1">
        <f t="array" ref="C542">IFERROR(INDEX(EmployeeData[Full Name], ROW() - 37), "")</f>
        <v>Severino Torres Manalang</v>
      </c>
      <c r="D542" s="4" t="str" cm="1">
        <f t="array" ref="D542">IFERROR(INDEX(EmployeeData[Department], ROW() - 37), "")</f>
        <v>Marketing</v>
      </c>
      <c r="E542" s="4" t="str" cm="1">
        <f t="array" ref="E542">IFERROR(INDEX(EmployeeData[Gender], ROW() - 37), "")</f>
        <v>Male</v>
      </c>
      <c r="F542" s="4" cm="1">
        <f t="array" ref="F542">IFERROR(INDEX(EmployeeData[Age], ROW() - 37), "")</f>
        <v>49</v>
      </c>
      <c r="G542" s="6" cm="1">
        <f t="array" ref="G542">IFERROR(INDEX(EmployeeData[Join Date], ROW() - 37), "")</f>
        <v>44471</v>
      </c>
      <c r="H542" s="6" cm="1">
        <f t="array" ref="H542">IFERROR(IF(INDEX(EmployeeData[Exit Date], ROW() - 37)=0, "",INDEX(EmployeeData[Exit Date], ROW() - 37)),"")</f>
        <v>45298</v>
      </c>
      <c r="I542" s="4" t="str" cm="1">
        <f t="array" ref="I542">IFERROR(IF(INDEX(EmployeeData[Exit Reason], ROW() - 37)=0, "",INDEX(EmployeeData[Exit Reason], ROW() - 37)),"")</f>
        <v>Health Issues</v>
      </c>
      <c r="J542" s="4" t="str" cm="1">
        <f t="array" ref="J542">IFERROR(INDEX(EmployeeData[Status], ROW() - 37), "")</f>
        <v>Exited</v>
      </c>
    </row>
    <row r="543" spans="2:10" ht="19.95" customHeight="1" x14ac:dyDescent="0.3">
      <c r="B543" s="4" cm="1">
        <f t="array" ref="B543">IFERROR(INDEX(EmployeeData[Employee ID], ROW() - 37), "")</f>
        <v>1506</v>
      </c>
      <c r="C543" s="4" t="str" cm="1">
        <f t="array" ref="C543">IFERROR(INDEX(EmployeeData[Full Name], ROW() - 37), "")</f>
        <v>Neil Soriano</v>
      </c>
      <c r="D543" s="4" t="str" cm="1">
        <f t="array" ref="D543">IFERROR(INDEX(EmployeeData[Department], ROW() - 37), "")</f>
        <v>IT</v>
      </c>
      <c r="E543" s="4" t="str" cm="1">
        <f t="array" ref="E543">IFERROR(INDEX(EmployeeData[Gender], ROW() - 37), "")</f>
        <v>Male</v>
      </c>
      <c r="F543" s="4" cm="1">
        <f t="array" ref="F543">IFERROR(INDEX(EmployeeData[Age], ROW() - 37), "")</f>
        <v>33</v>
      </c>
      <c r="G543" s="6" cm="1">
        <f t="array" ref="G543">IFERROR(INDEX(EmployeeData[Join Date], ROW() - 37), "")</f>
        <v>45463</v>
      </c>
      <c r="H543" s="6" t="str" cm="1">
        <f t="array" ref="H543">IFERROR(IF(INDEX(EmployeeData[Exit Date], ROW() - 37)=0, "",INDEX(EmployeeData[Exit Date], ROW() - 37)),"")</f>
        <v/>
      </c>
      <c r="I543" s="4" t="str" cm="1">
        <f t="array" ref="I543">IFERROR(IF(INDEX(EmployeeData[Exit Reason], ROW() - 37)=0, "",INDEX(EmployeeData[Exit Reason], ROW() - 37)),"")</f>
        <v/>
      </c>
      <c r="J543" s="4" t="str" cm="1">
        <f t="array" ref="J543">IFERROR(INDEX(EmployeeData[Status], ROW() - 37), "")</f>
        <v>Active</v>
      </c>
    </row>
    <row r="544" spans="2:10" ht="19.95" customHeight="1" x14ac:dyDescent="0.3">
      <c r="B544" s="4" cm="1">
        <f t="array" ref="B544">IFERROR(INDEX(EmployeeData[Employee ID], ROW() - 37), "")</f>
        <v>1507</v>
      </c>
      <c r="C544" s="4" t="str" cm="1">
        <f t="array" ref="C544">IFERROR(INDEX(EmployeeData[Full Name], ROW() - 37), "")</f>
        <v>Warren Pascual Ramos</v>
      </c>
      <c r="D544" s="4" t="str" cm="1">
        <f t="array" ref="D544">IFERROR(INDEX(EmployeeData[Department], ROW() - 37), "")</f>
        <v>IT</v>
      </c>
      <c r="E544" s="4" t="str" cm="1">
        <f t="array" ref="E544">IFERROR(INDEX(EmployeeData[Gender], ROW() - 37), "")</f>
        <v>Male</v>
      </c>
      <c r="F544" s="4" cm="1">
        <f t="array" ref="F544">IFERROR(INDEX(EmployeeData[Age], ROW() - 37), "")</f>
        <v>53</v>
      </c>
      <c r="G544" s="6" cm="1">
        <f t="array" ref="G544">IFERROR(INDEX(EmployeeData[Join Date], ROW() - 37), "")</f>
        <v>45097</v>
      </c>
      <c r="H544" s="6" t="str" cm="1">
        <f t="array" ref="H544">IFERROR(IF(INDEX(EmployeeData[Exit Date], ROW() - 37)=0, "",INDEX(EmployeeData[Exit Date], ROW() - 37)),"")</f>
        <v/>
      </c>
      <c r="I544" s="4" t="str" cm="1">
        <f t="array" ref="I544">IFERROR(IF(INDEX(EmployeeData[Exit Reason], ROW() - 37)=0, "",INDEX(EmployeeData[Exit Reason], ROW() - 37)),"")</f>
        <v/>
      </c>
      <c r="J544" s="4" t="str" cm="1">
        <f t="array" ref="J544">IFERROR(INDEX(EmployeeData[Status], ROW() - 37), "")</f>
        <v>Active</v>
      </c>
    </row>
    <row r="545" spans="2:10" ht="19.95" customHeight="1" x14ac:dyDescent="0.3">
      <c r="B545" s="4" cm="1">
        <f t="array" ref="B545">IFERROR(INDEX(EmployeeData[Employee ID], ROW() - 37), "")</f>
        <v>1508</v>
      </c>
      <c r="C545" s="4" t="str" cm="1">
        <f t="array" ref="C545">IFERROR(INDEX(EmployeeData[Full Name], ROW() - 37), "")</f>
        <v>Danilo Camacho</v>
      </c>
      <c r="D545" s="4" t="str" cm="1">
        <f t="array" ref="D545">IFERROR(INDEX(EmployeeData[Department], ROW() - 37), "")</f>
        <v>Marketing</v>
      </c>
      <c r="E545" s="4" t="str" cm="1">
        <f t="array" ref="E545">IFERROR(INDEX(EmployeeData[Gender], ROW() - 37), "")</f>
        <v>Other</v>
      </c>
      <c r="F545" s="4" cm="1">
        <f t="array" ref="F545">IFERROR(INDEX(EmployeeData[Age], ROW() - 37), "")</f>
        <v>31</v>
      </c>
      <c r="G545" s="6" cm="1">
        <f t="array" ref="G545">IFERROR(INDEX(EmployeeData[Join Date], ROW() - 37), "")</f>
        <v>45724</v>
      </c>
      <c r="H545" s="6" t="str" cm="1">
        <f t="array" ref="H545">IFERROR(IF(INDEX(EmployeeData[Exit Date], ROW() - 37)=0, "",INDEX(EmployeeData[Exit Date], ROW() - 37)),"")</f>
        <v/>
      </c>
      <c r="I545" s="4" t="str" cm="1">
        <f t="array" ref="I545">IFERROR(IF(INDEX(EmployeeData[Exit Reason], ROW() - 37)=0, "",INDEX(EmployeeData[Exit Reason], ROW() - 37)),"")</f>
        <v/>
      </c>
      <c r="J545" s="4" t="str" cm="1">
        <f t="array" ref="J545">IFERROR(INDEX(EmployeeData[Status], ROW() - 37), "")</f>
        <v>Active</v>
      </c>
    </row>
    <row r="546" spans="2:10" ht="19.95" customHeight="1" x14ac:dyDescent="0.3">
      <c r="B546" s="4" cm="1">
        <f t="array" ref="B546">IFERROR(INDEX(EmployeeData[Employee ID], ROW() - 37), "")</f>
        <v>1509</v>
      </c>
      <c r="C546" s="4" t="str" cm="1">
        <f t="array" ref="C546">IFERROR(INDEX(EmployeeData[Full Name], ROW() - 37), "")</f>
        <v>Fernando Quiambao</v>
      </c>
      <c r="D546" s="4" t="str" cm="1">
        <f t="array" ref="D546">IFERROR(INDEX(EmployeeData[Department], ROW() - 37), "")</f>
        <v>Marketing</v>
      </c>
      <c r="E546" s="4" t="str" cm="1">
        <f t="array" ref="E546">IFERROR(INDEX(EmployeeData[Gender], ROW() - 37), "")</f>
        <v>Other</v>
      </c>
      <c r="F546" s="4" cm="1">
        <f t="array" ref="F546">IFERROR(INDEX(EmployeeData[Age], ROW() - 37), "")</f>
        <v>59</v>
      </c>
      <c r="G546" s="6" cm="1">
        <f t="array" ref="G546">IFERROR(INDEX(EmployeeData[Join Date], ROW() - 37), "")</f>
        <v>43425</v>
      </c>
      <c r="H546" s="6" cm="1">
        <f t="array" ref="H546">IFERROR(IF(INDEX(EmployeeData[Exit Date], ROW() - 37)=0, "",INDEX(EmployeeData[Exit Date], ROW() - 37)),"")</f>
        <v>44449</v>
      </c>
      <c r="I546" s="4" t="str" cm="1">
        <f t="array" ref="I546">IFERROR(IF(INDEX(EmployeeData[Exit Reason], ROW() - 37)=0, "",INDEX(EmployeeData[Exit Reason], ROW() - 37)),"")</f>
        <v>Retirement</v>
      </c>
      <c r="J546" s="4" t="str" cm="1">
        <f t="array" ref="J546">IFERROR(INDEX(EmployeeData[Status], ROW() - 37), "")</f>
        <v>Exited</v>
      </c>
    </row>
    <row r="547" spans="2:10" ht="19.95" customHeight="1" x14ac:dyDescent="0.3">
      <c r="B547" s="4" cm="1">
        <f t="array" ref="B547">IFERROR(INDEX(EmployeeData[Employee ID], ROW() - 37), "")</f>
        <v>1510</v>
      </c>
      <c r="C547" s="4" t="str" cm="1">
        <f t="array" ref="C547">IFERROR(INDEX(EmployeeData[Full Name], ROW() - 37), "")</f>
        <v>Warren Reyes Bondoc</v>
      </c>
      <c r="D547" s="4" t="str" cm="1">
        <f t="array" ref="D547">IFERROR(INDEX(EmployeeData[Department], ROW() - 37), "")</f>
        <v>IT</v>
      </c>
      <c r="E547" s="4" t="str" cm="1">
        <f t="array" ref="E547">IFERROR(INDEX(EmployeeData[Gender], ROW() - 37), "")</f>
        <v>Male</v>
      </c>
      <c r="F547" s="4" cm="1">
        <f t="array" ref="F547">IFERROR(INDEX(EmployeeData[Age], ROW() - 37), "")</f>
        <v>44</v>
      </c>
      <c r="G547" s="6" cm="1">
        <f t="array" ref="G547">IFERROR(INDEX(EmployeeData[Join Date], ROW() - 37), "")</f>
        <v>45505</v>
      </c>
      <c r="H547" s="6" t="str" cm="1">
        <f t="array" ref="H547">IFERROR(IF(INDEX(EmployeeData[Exit Date], ROW() - 37)=0, "",INDEX(EmployeeData[Exit Date], ROW() - 37)),"")</f>
        <v/>
      </c>
      <c r="I547" s="4" t="str" cm="1">
        <f t="array" ref="I547">IFERROR(IF(INDEX(EmployeeData[Exit Reason], ROW() - 37)=0, "",INDEX(EmployeeData[Exit Reason], ROW() - 37)),"")</f>
        <v/>
      </c>
      <c r="J547" s="4" t="str" cm="1">
        <f t="array" ref="J547">IFERROR(INDEX(EmployeeData[Status], ROW() - 37), "")</f>
        <v>Active</v>
      </c>
    </row>
    <row r="548" spans="2:10" ht="19.95" customHeight="1" x14ac:dyDescent="0.3">
      <c r="B548" s="4" cm="1">
        <f t="array" ref="B548">IFERROR(INDEX(EmployeeData[Employee ID], ROW() - 37), "")</f>
        <v>1511</v>
      </c>
      <c r="C548" s="4" t="str" cm="1">
        <f t="array" ref="C548">IFERROR(INDEX(EmployeeData[Full Name], ROW() - 37), "")</f>
        <v>Natividad Mendoza Pascual</v>
      </c>
      <c r="D548" s="4" t="str" cm="1">
        <f t="array" ref="D548">IFERROR(INDEX(EmployeeData[Department], ROW() - 37), "")</f>
        <v>Customer Support</v>
      </c>
      <c r="E548" s="4" t="str" cm="1">
        <f t="array" ref="E548">IFERROR(INDEX(EmployeeData[Gender], ROW() - 37), "")</f>
        <v>Female</v>
      </c>
      <c r="F548" s="4" cm="1">
        <f t="array" ref="F548">IFERROR(INDEX(EmployeeData[Age], ROW() - 37), "")</f>
        <v>37</v>
      </c>
      <c r="G548" s="6" cm="1">
        <f t="array" ref="G548">IFERROR(INDEX(EmployeeData[Join Date], ROW() - 37), "")</f>
        <v>45971</v>
      </c>
      <c r="H548" s="6" t="str" cm="1">
        <f t="array" ref="H548">IFERROR(IF(INDEX(EmployeeData[Exit Date], ROW() - 37)=0, "",INDEX(EmployeeData[Exit Date], ROW() - 37)),"")</f>
        <v/>
      </c>
      <c r="I548" s="4" t="str" cm="1">
        <f t="array" ref="I548">IFERROR(IF(INDEX(EmployeeData[Exit Reason], ROW() - 37)=0, "",INDEX(EmployeeData[Exit Reason], ROW() - 37)),"")</f>
        <v/>
      </c>
      <c r="J548" s="4" t="str" cm="1">
        <f t="array" ref="J548">IFERROR(INDEX(EmployeeData[Status], ROW() - 37), "")</f>
        <v>Active</v>
      </c>
    </row>
    <row r="549" spans="2:10" ht="19.95" customHeight="1" x14ac:dyDescent="0.3">
      <c r="B549" s="4" cm="1">
        <f t="array" ref="B549">IFERROR(INDEX(EmployeeData[Employee ID], ROW() - 37), "")</f>
        <v>1512</v>
      </c>
      <c r="C549" s="4" t="str" cm="1">
        <f t="array" ref="C549">IFERROR(INDEX(EmployeeData[Full Name], ROW() - 37), "")</f>
        <v>Casey Fernandez Lopez</v>
      </c>
      <c r="D549" s="4" t="str" cm="1">
        <f t="array" ref="D549">IFERROR(INDEX(EmployeeData[Department], ROW() - 37), "")</f>
        <v>Customer Support</v>
      </c>
      <c r="E549" s="4" t="str" cm="1">
        <f t="array" ref="E549">IFERROR(INDEX(EmployeeData[Gender], ROW() - 37), "")</f>
        <v>Other</v>
      </c>
      <c r="F549" s="4" cm="1">
        <f t="array" ref="F549">IFERROR(INDEX(EmployeeData[Age], ROW() - 37), "")</f>
        <v>56</v>
      </c>
      <c r="G549" s="6" cm="1">
        <f t="array" ref="G549">IFERROR(INDEX(EmployeeData[Join Date], ROW() - 37), "")</f>
        <v>43321</v>
      </c>
      <c r="H549" s="6" cm="1">
        <f t="array" ref="H549">IFERROR(IF(INDEX(EmployeeData[Exit Date], ROW() - 37)=0, "",INDEX(EmployeeData[Exit Date], ROW() - 37)),"")</f>
        <v>45037</v>
      </c>
      <c r="I549" s="4" t="str" cm="1">
        <f t="array" ref="I549">IFERROR(IF(INDEX(EmployeeData[Exit Reason], ROW() - 37)=0, "",INDEX(EmployeeData[Exit Reason], ROW() - 37)),"")</f>
        <v>Health Issues</v>
      </c>
      <c r="J549" s="4" t="str" cm="1">
        <f t="array" ref="J549">IFERROR(INDEX(EmployeeData[Status], ROW() - 37), "")</f>
        <v>Exited</v>
      </c>
    </row>
    <row r="550" spans="2:10" ht="19.95" customHeight="1" x14ac:dyDescent="0.3">
      <c r="B550" s="4" cm="1">
        <f t="array" ref="B550">IFERROR(INDEX(EmployeeData[Employee ID], ROW() - 37), "")</f>
        <v>1513</v>
      </c>
      <c r="C550" s="4" t="str" cm="1">
        <f t="array" ref="C550">IFERROR(INDEX(EmployeeData[Full Name], ROW() - 37), "")</f>
        <v>Avery Elegado</v>
      </c>
      <c r="D550" s="4" t="str" cm="1">
        <f t="array" ref="D550">IFERROR(INDEX(EmployeeData[Department], ROW() - 37), "")</f>
        <v>Customer Support</v>
      </c>
      <c r="E550" s="4" t="str" cm="1">
        <f t="array" ref="E550">IFERROR(INDEX(EmployeeData[Gender], ROW() - 37), "")</f>
        <v>Other</v>
      </c>
      <c r="F550" s="4" cm="1">
        <f t="array" ref="F550">IFERROR(INDEX(EmployeeData[Age], ROW() - 37), "")</f>
        <v>54</v>
      </c>
      <c r="G550" s="6" cm="1">
        <f t="array" ref="G550">IFERROR(INDEX(EmployeeData[Join Date], ROW() - 37), "")</f>
        <v>44368</v>
      </c>
      <c r="H550" s="6" cm="1">
        <f t="array" ref="H550">IFERROR(IF(INDEX(EmployeeData[Exit Date], ROW() - 37)=0, "",INDEX(EmployeeData[Exit Date], ROW() - 37)),"")</f>
        <v>45968</v>
      </c>
      <c r="I550" s="4" t="str" cm="1">
        <f t="array" ref="I550">IFERROR(IF(INDEX(EmployeeData[Exit Reason], ROW() - 37)=0, "",INDEX(EmployeeData[Exit Reason], ROW() - 37)),"")</f>
        <v>Retirement</v>
      </c>
      <c r="J550" s="4" t="str" cm="1">
        <f t="array" ref="J550">IFERROR(INDEX(EmployeeData[Status], ROW() - 37), "")</f>
        <v>Exited</v>
      </c>
    </row>
    <row r="551" spans="2:10" ht="19.95" customHeight="1" x14ac:dyDescent="0.3">
      <c r="B551" s="4" cm="1">
        <f t="array" ref="B551">IFERROR(INDEX(EmployeeData[Employee ID], ROW() - 37), "")</f>
        <v>1514</v>
      </c>
      <c r="C551" s="4" t="str" cm="1">
        <f t="array" ref="C551">IFERROR(INDEX(EmployeeData[Full Name], ROW() - 37), "")</f>
        <v>Oscar Ramos Wong</v>
      </c>
      <c r="D551" s="4" t="str" cm="1">
        <f t="array" ref="D551">IFERROR(INDEX(EmployeeData[Department], ROW() - 37), "")</f>
        <v>Customer Support</v>
      </c>
      <c r="E551" s="4" t="str" cm="1">
        <f t="array" ref="E551">IFERROR(INDEX(EmployeeData[Gender], ROW() - 37), "")</f>
        <v>Male</v>
      </c>
      <c r="F551" s="4" cm="1">
        <f t="array" ref="F551">IFERROR(INDEX(EmployeeData[Age], ROW() - 37), "")</f>
        <v>41</v>
      </c>
      <c r="G551" s="6" cm="1">
        <f t="array" ref="G551">IFERROR(INDEX(EmployeeData[Join Date], ROW() - 37), "")</f>
        <v>45051</v>
      </c>
      <c r="H551" s="6" t="str" cm="1">
        <f t="array" ref="H551">IFERROR(IF(INDEX(EmployeeData[Exit Date], ROW() - 37)=0, "",INDEX(EmployeeData[Exit Date], ROW() - 37)),"")</f>
        <v/>
      </c>
      <c r="I551" s="4" t="str" cm="1">
        <f t="array" ref="I551">IFERROR(IF(INDEX(EmployeeData[Exit Reason], ROW() - 37)=0, "",INDEX(EmployeeData[Exit Reason], ROW() - 37)),"")</f>
        <v/>
      </c>
      <c r="J551" s="4" t="str" cm="1">
        <f t="array" ref="J551">IFERROR(INDEX(EmployeeData[Status], ROW() - 37), "")</f>
        <v>Active</v>
      </c>
    </row>
    <row r="552" spans="2:10" ht="19.95" customHeight="1" x14ac:dyDescent="0.3">
      <c r="B552" s="4" cm="1">
        <f t="array" ref="B552">IFERROR(INDEX(EmployeeData[Employee ID], ROW() - 37), "")</f>
        <v>1515</v>
      </c>
      <c r="C552" s="4" t="str" cm="1">
        <f t="array" ref="C552">IFERROR(INDEX(EmployeeData[Full Name], ROW() - 37), "")</f>
        <v>Maricel Soriano Lacson</v>
      </c>
      <c r="D552" s="4" t="str" cm="1">
        <f t="array" ref="D552">IFERROR(INDEX(EmployeeData[Department], ROW() - 37), "")</f>
        <v>Finance</v>
      </c>
      <c r="E552" s="4" t="str" cm="1">
        <f t="array" ref="E552">IFERROR(INDEX(EmployeeData[Gender], ROW() - 37), "")</f>
        <v>Other</v>
      </c>
      <c r="F552" s="4" cm="1">
        <f t="array" ref="F552">IFERROR(INDEX(EmployeeData[Age], ROW() - 37), "")</f>
        <v>32</v>
      </c>
      <c r="G552" s="6" cm="1">
        <f t="array" ref="G552">IFERROR(INDEX(EmployeeData[Join Date], ROW() - 37), "")</f>
        <v>45521</v>
      </c>
      <c r="H552" s="6" t="str" cm="1">
        <f t="array" ref="H552">IFERROR(IF(INDEX(EmployeeData[Exit Date], ROW() - 37)=0, "",INDEX(EmployeeData[Exit Date], ROW() - 37)),"")</f>
        <v/>
      </c>
      <c r="I552" s="4" t="str" cm="1">
        <f t="array" ref="I552">IFERROR(IF(INDEX(EmployeeData[Exit Reason], ROW() - 37)=0, "",INDEX(EmployeeData[Exit Reason], ROW() - 37)),"")</f>
        <v/>
      </c>
      <c r="J552" s="4" t="str" cm="1">
        <f t="array" ref="J552">IFERROR(INDEX(EmployeeData[Status], ROW() - 37), "")</f>
        <v>Active</v>
      </c>
    </row>
    <row r="553" spans="2:10" ht="19.95" customHeight="1" x14ac:dyDescent="0.3">
      <c r="B553" s="4" cm="1">
        <f t="array" ref="B553">IFERROR(INDEX(EmployeeData[Employee ID], ROW() - 37), "")</f>
        <v>1516</v>
      </c>
      <c r="C553" s="4" t="str" cm="1">
        <f t="array" ref="C553">IFERROR(INDEX(EmployeeData[Full Name], ROW() - 37), "")</f>
        <v>Jerome Soriano Bondoc</v>
      </c>
      <c r="D553" s="4" t="str" cm="1">
        <f t="array" ref="D553">IFERROR(INDEX(EmployeeData[Department], ROW() - 37), "")</f>
        <v>Finance</v>
      </c>
      <c r="E553" s="4" t="str" cm="1">
        <f t="array" ref="E553">IFERROR(INDEX(EmployeeData[Gender], ROW() - 37), "")</f>
        <v>Male</v>
      </c>
      <c r="F553" s="4" cm="1">
        <f t="array" ref="F553">IFERROR(INDEX(EmployeeData[Age], ROW() - 37), "")</f>
        <v>35</v>
      </c>
      <c r="G553" s="6" cm="1">
        <f t="array" ref="G553">IFERROR(INDEX(EmployeeData[Join Date], ROW() - 37), "")</f>
        <v>43467</v>
      </c>
      <c r="H553" s="6" t="str" cm="1">
        <f t="array" ref="H553">IFERROR(IF(INDEX(EmployeeData[Exit Date], ROW() - 37)=0, "",INDEX(EmployeeData[Exit Date], ROW() - 37)),"")</f>
        <v/>
      </c>
      <c r="I553" s="4" t="str" cm="1">
        <f t="array" ref="I553">IFERROR(IF(INDEX(EmployeeData[Exit Reason], ROW() - 37)=0, "",INDEX(EmployeeData[Exit Reason], ROW() - 37)),"")</f>
        <v/>
      </c>
      <c r="J553" s="4" t="str" cm="1">
        <f t="array" ref="J553">IFERROR(INDEX(EmployeeData[Status], ROW() - 37), "")</f>
        <v>Active</v>
      </c>
    </row>
    <row r="554" spans="2:10" ht="19.95" customHeight="1" x14ac:dyDescent="0.3">
      <c r="B554" s="4" cm="1">
        <f t="array" ref="B554">IFERROR(INDEX(EmployeeData[Employee ID], ROW() - 37), "")</f>
        <v>1517</v>
      </c>
      <c r="C554" s="4" t="str" cm="1">
        <f t="array" ref="C554">IFERROR(INDEX(EmployeeData[Full Name], ROW() - 37), "")</f>
        <v>Gani Sy Umali</v>
      </c>
      <c r="D554" s="4" t="str" cm="1">
        <f t="array" ref="D554">IFERROR(INDEX(EmployeeData[Department], ROW() - 37), "")</f>
        <v>Customer Support</v>
      </c>
      <c r="E554" s="4" t="str" cm="1">
        <f t="array" ref="E554">IFERROR(INDEX(EmployeeData[Gender], ROW() - 37), "")</f>
        <v>Male</v>
      </c>
      <c r="F554" s="4" cm="1">
        <f t="array" ref="F554">IFERROR(INDEX(EmployeeData[Age], ROW() - 37), "")</f>
        <v>29</v>
      </c>
      <c r="G554" s="6" cm="1">
        <f t="array" ref="G554">IFERROR(INDEX(EmployeeData[Join Date], ROW() - 37), "")</f>
        <v>44509</v>
      </c>
      <c r="H554" s="6" cm="1">
        <f t="array" ref="H554">IFERROR(IF(INDEX(EmployeeData[Exit Date], ROW() - 37)=0, "",INDEX(EmployeeData[Exit Date], ROW() - 37)),"")</f>
        <v>45694</v>
      </c>
      <c r="I554" s="4" t="str" cm="1">
        <f t="array" ref="I554">IFERROR(IF(INDEX(EmployeeData[Exit Reason], ROW() - 37)=0, "",INDEX(EmployeeData[Exit Reason], ROW() - 37)),"")</f>
        <v>Better Opportunity</v>
      </c>
      <c r="J554" s="4" t="str" cm="1">
        <f t="array" ref="J554">IFERROR(INDEX(EmployeeData[Status], ROW() - 37), "")</f>
        <v>Exited</v>
      </c>
    </row>
    <row r="555" spans="2:10" ht="19.95" customHeight="1" x14ac:dyDescent="0.3">
      <c r="B555" s="4" cm="1">
        <f t="array" ref="B555">IFERROR(INDEX(EmployeeData[Employee ID], ROW() - 37), "")</f>
        <v>1518</v>
      </c>
      <c r="C555" s="4" t="str" cm="1">
        <f t="array" ref="C555">IFERROR(INDEX(EmployeeData[Full Name], ROW() - 37), "")</f>
        <v>Timothy Rivera Tolentino</v>
      </c>
      <c r="D555" s="4" t="str" cm="1">
        <f t="array" ref="D555">IFERROR(INDEX(EmployeeData[Department], ROW() - 37), "")</f>
        <v>Sales</v>
      </c>
      <c r="E555" s="4" t="str" cm="1">
        <f t="array" ref="E555">IFERROR(INDEX(EmployeeData[Gender], ROW() - 37), "")</f>
        <v>Male</v>
      </c>
      <c r="F555" s="4" cm="1">
        <f t="array" ref="F555">IFERROR(INDEX(EmployeeData[Age], ROW() - 37), "")</f>
        <v>21</v>
      </c>
      <c r="G555" s="6" cm="1">
        <f t="array" ref="G555">IFERROR(INDEX(EmployeeData[Join Date], ROW() - 37), "")</f>
        <v>45346</v>
      </c>
      <c r="H555" s="6" cm="1">
        <f t="array" ref="H555">IFERROR(IF(INDEX(EmployeeData[Exit Date], ROW() - 37)=0, "",INDEX(EmployeeData[Exit Date], ROW() - 37)),"")</f>
        <v>45857</v>
      </c>
      <c r="I555" s="4" t="str" cm="1">
        <f t="array" ref="I555">IFERROR(IF(INDEX(EmployeeData[Exit Reason], ROW() - 37)=0, "",INDEX(EmployeeData[Exit Reason], ROW() - 37)),"")</f>
        <v>Resignation</v>
      </c>
      <c r="J555" s="4" t="str" cm="1">
        <f t="array" ref="J555">IFERROR(INDEX(EmployeeData[Status], ROW() - 37), "")</f>
        <v>Exited</v>
      </c>
    </row>
    <row r="556" spans="2:10" ht="19.95" customHeight="1" x14ac:dyDescent="0.3">
      <c r="B556" s="4" cm="1">
        <f t="array" ref="B556">IFERROR(INDEX(EmployeeData[Employee ID], ROW() - 37), "")</f>
        <v>1519</v>
      </c>
      <c r="C556" s="4" t="str" cm="1">
        <f t="array" ref="C556">IFERROR(INDEX(EmployeeData[Full Name], ROW() - 37), "")</f>
        <v>Mae Solis</v>
      </c>
      <c r="D556" s="4" t="str" cm="1">
        <f t="array" ref="D556">IFERROR(INDEX(EmployeeData[Department], ROW() - 37), "")</f>
        <v>Sales</v>
      </c>
      <c r="E556" s="4" t="str" cm="1">
        <f t="array" ref="E556">IFERROR(INDEX(EmployeeData[Gender], ROW() - 37), "")</f>
        <v>Female</v>
      </c>
      <c r="F556" s="4" cm="1">
        <f t="array" ref="F556">IFERROR(INDEX(EmployeeData[Age], ROW() - 37), "")</f>
        <v>26</v>
      </c>
      <c r="G556" s="6" cm="1">
        <f t="array" ref="G556">IFERROR(INDEX(EmployeeData[Join Date], ROW() - 37), "")</f>
        <v>44830</v>
      </c>
      <c r="H556" s="6" t="str" cm="1">
        <f t="array" ref="H556">IFERROR(IF(INDEX(EmployeeData[Exit Date], ROW() - 37)=0, "",INDEX(EmployeeData[Exit Date], ROW() - 37)),"")</f>
        <v/>
      </c>
      <c r="I556" s="4" t="str" cm="1">
        <f t="array" ref="I556">IFERROR(IF(INDEX(EmployeeData[Exit Reason], ROW() - 37)=0, "",INDEX(EmployeeData[Exit Reason], ROW() - 37)),"")</f>
        <v/>
      </c>
      <c r="J556" s="4" t="str" cm="1">
        <f t="array" ref="J556">IFERROR(INDEX(EmployeeData[Status], ROW() - 37), "")</f>
        <v>Active</v>
      </c>
    </row>
    <row r="557" spans="2:10" ht="19.95" customHeight="1" x14ac:dyDescent="0.3">
      <c r="B557" s="4" cm="1">
        <f t="array" ref="B557">IFERROR(INDEX(EmployeeData[Employee ID], ROW() - 37), "")</f>
        <v>1520</v>
      </c>
      <c r="C557" s="4" t="str" cm="1">
        <f t="array" ref="C557">IFERROR(INDEX(EmployeeData[Full Name], ROW() - 37), "")</f>
        <v>Teresa Torres Navarro</v>
      </c>
      <c r="D557" s="4" t="str" cm="1">
        <f t="array" ref="D557">IFERROR(INDEX(EmployeeData[Department], ROW() - 37), "")</f>
        <v>HR</v>
      </c>
      <c r="E557" s="4" t="str" cm="1">
        <f t="array" ref="E557">IFERROR(INDEX(EmployeeData[Gender], ROW() - 37), "")</f>
        <v>Female</v>
      </c>
      <c r="F557" s="4" cm="1">
        <f t="array" ref="F557">IFERROR(INDEX(EmployeeData[Age], ROW() - 37), "")</f>
        <v>55</v>
      </c>
      <c r="G557" s="6" cm="1">
        <f t="array" ref="G557">IFERROR(INDEX(EmployeeData[Join Date], ROW() - 37), "")</f>
        <v>44202</v>
      </c>
      <c r="H557" s="6" t="str" cm="1">
        <f t="array" ref="H557">IFERROR(IF(INDEX(EmployeeData[Exit Date], ROW() - 37)=0, "",INDEX(EmployeeData[Exit Date], ROW() - 37)),"")</f>
        <v/>
      </c>
      <c r="I557" s="4" t="str" cm="1">
        <f t="array" ref="I557">IFERROR(IF(INDEX(EmployeeData[Exit Reason], ROW() - 37)=0, "",INDEX(EmployeeData[Exit Reason], ROW() - 37)),"")</f>
        <v/>
      </c>
      <c r="J557" s="4" t="str" cm="1">
        <f t="array" ref="J557">IFERROR(INDEX(EmployeeData[Status], ROW() - 37), "")</f>
        <v>Active</v>
      </c>
    </row>
    <row r="558" spans="2:10" ht="19.95" customHeight="1" x14ac:dyDescent="0.3">
      <c r="B558" s="4" cm="1">
        <f t="array" ref="B558">IFERROR(INDEX(EmployeeData[Employee ID], ROW() - 37), "")</f>
        <v>1521</v>
      </c>
      <c r="C558" s="4" t="str" cm="1">
        <f t="array" ref="C558">IFERROR(INDEX(EmployeeData[Full Name], ROW() - 37), "")</f>
        <v>Jaime Bautista Dalisay</v>
      </c>
      <c r="D558" s="4" t="str" cm="1">
        <f t="array" ref="D558">IFERROR(INDEX(EmployeeData[Department], ROW() - 37), "")</f>
        <v>Marketing</v>
      </c>
      <c r="E558" s="4" t="str" cm="1">
        <f t="array" ref="E558">IFERROR(INDEX(EmployeeData[Gender], ROW() - 37), "")</f>
        <v>Male</v>
      </c>
      <c r="F558" s="4" cm="1">
        <f t="array" ref="F558">IFERROR(INDEX(EmployeeData[Age], ROW() - 37), "")</f>
        <v>38</v>
      </c>
      <c r="G558" s="6" cm="1">
        <f t="array" ref="G558">IFERROR(INDEX(EmployeeData[Join Date], ROW() - 37), "")</f>
        <v>45970</v>
      </c>
      <c r="H558" s="6" t="str" cm="1">
        <f t="array" ref="H558">IFERROR(IF(INDEX(EmployeeData[Exit Date], ROW() - 37)=0, "",INDEX(EmployeeData[Exit Date], ROW() - 37)),"")</f>
        <v/>
      </c>
      <c r="I558" s="4" t="str" cm="1">
        <f t="array" ref="I558">IFERROR(IF(INDEX(EmployeeData[Exit Reason], ROW() - 37)=0, "",INDEX(EmployeeData[Exit Reason], ROW() - 37)),"")</f>
        <v/>
      </c>
      <c r="J558" s="4" t="str" cm="1">
        <f t="array" ref="J558">IFERROR(INDEX(EmployeeData[Status], ROW() - 37), "")</f>
        <v>Active</v>
      </c>
    </row>
    <row r="559" spans="2:10" ht="19.95" customHeight="1" x14ac:dyDescent="0.3">
      <c r="B559" s="4" cm="1">
        <f t="array" ref="B559">IFERROR(INDEX(EmployeeData[Employee ID], ROW() - 37), "")</f>
        <v>1522</v>
      </c>
      <c r="C559" s="4" t="str" cm="1">
        <f t="array" ref="C559">IFERROR(INDEX(EmployeeData[Full Name], ROW() - 37), "")</f>
        <v>Ana Santos Lim</v>
      </c>
      <c r="D559" s="4" t="str" cm="1">
        <f t="array" ref="D559">IFERROR(INDEX(EmployeeData[Department], ROW() - 37), "")</f>
        <v>Finance</v>
      </c>
      <c r="E559" s="4" t="str" cm="1">
        <f t="array" ref="E559">IFERROR(INDEX(EmployeeData[Gender], ROW() - 37), "")</f>
        <v>Female</v>
      </c>
      <c r="F559" s="4" cm="1">
        <f t="array" ref="F559">IFERROR(INDEX(EmployeeData[Age], ROW() - 37), "")</f>
        <v>27</v>
      </c>
      <c r="G559" s="6" cm="1">
        <f t="array" ref="G559">IFERROR(INDEX(EmployeeData[Join Date], ROW() - 37), "")</f>
        <v>44256</v>
      </c>
      <c r="H559" s="6" cm="1">
        <f t="array" ref="H559">IFERROR(IF(INDEX(EmployeeData[Exit Date], ROW() - 37)=0, "",INDEX(EmployeeData[Exit Date], ROW() - 37)),"")</f>
        <v>45810</v>
      </c>
      <c r="I559" s="4" t="str" cm="1">
        <f t="array" ref="I559">IFERROR(IF(INDEX(EmployeeData[Exit Reason], ROW() - 37)=0, "",INDEX(EmployeeData[Exit Reason], ROW() - 37)),"")</f>
        <v>Termination</v>
      </c>
      <c r="J559" s="4" t="str" cm="1">
        <f t="array" ref="J559">IFERROR(INDEX(EmployeeData[Status], ROW() - 37), "")</f>
        <v>Exited</v>
      </c>
    </row>
    <row r="560" spans="2:10" ht="19.95" customHeight="1" x14ac:dyDescent="0.3">
      <c r="B560" s="4" cm="1">
        <f t="array" ref="B560">IFERROR(INDEX(EmployeeData[Employee ID], ROW() - 37), "")</f>
        <v>1523</v>
      </c>
      <c r="C560" s="4" t="str" cm="1">
        <f t="array" ref="C560">IFERROR(INDEX(EmployeeData[Full Name], ROW() - 37), "")</f>
        <v>Cardo Jimenez</v>
      </c>
      <c r="D560" s="4" t="str" cm="1">
        <f t="array" ref="D560">IFERROR(INDEX(EmployeeData[Department], ROW() - 37), "")</f>
        <v>Marketing</v>
      </c>
      <c r="E560" s="4" t="str" cm="1">
        <f t="array" ref="E560">IFERROR(INDEX(EmployeeData[Gender], ROW() - 37), "")</f>
        <v>Male</v>
      </c>
      <c r="F560" s="4" cm="1">
        <f t="array" ref="F560">IFERROR(INDEX(EmployeeData[Age], ROW() - 37), "")</f>
        <v>40</v>
      </c>
      <c r="G560" s="6" cm="1">
        <f t="array" ref="G560">IFERROR(INDEX(EmployeeData[Join Date], ROW() - 37), "")</f>
        <v>45142</v>
      </c>
      <c r="H560" s="6" t="str" cm="1">
        <f t="array" ref="H560">IFERROR(IF(INDEX(EmployeeData[Exit Date], ROW() - 37)=0, "",INDEX(EmployeeData[Exit Date], ROW() - 37)),"")</f>
        <v/>
      </c>
      <c r="I560" s="4" t="str" cm="1">
        <f t="array" ref="I560">IFERROR(IF(INDEX(EmployeeData[Exit Reason], ROW() - 37)=0, "",INDEX(EmployeeData[Exit Reason], ROW() - 37)),"")</f>
        <v/>
      </c>
      <c r="J560" s="4" t="str" cm="1">
        <f t="array" ref="J560">IFERROR(INDEX(EmployeeData[Status], ROW() - 37), "")</f>
        <v>Active</v>
      </c>
    </row>
    <row r="561" spans="2:10" ht="19.95" customHeight="1" x14ac:dyDescent="0.3">
      <c r="B561" s="4" cm="1">
        <f t="array" ref="B561">IFERROR(INDEX(EmployeeData[Employee ID], ROW() - 37), "")</f>
        <v>1524</v>
      </c>
      <c r="C561" s="4" t="str" cm="1">
        <f t="array" ref="C561">IFERROR(INDEX(EmployeeData[Full Name], ROW() - 37), "")</f>
        <v>Elena Domingo Navarro</v>
      </c>
      <c r="D561" s="4" t="str" cm="1">
        <f t="array" ref="D561">IFERROR(INDEX(EmployeeData[Department], ROW() - 37), "")</f>
        <v>IT</v>
      </c>
      <c r="E561" s="4" t="str" cm="1">
        <f t="array" ref="E561">IFERROR(INDEX(EmployeeData[Gender], ROW() - 37), "")</f>
        <v>Other</v>
      </c>
      <c r="F561" s="4" cm="1">
        <f t="array" ref="F561">IFERROR(INDEX(EmployeeData[Age], ROW() - 37), "")</f>
        <v>30</v>
      </c>
      <c r="G561" s="6" cm="1">
        <f t="array" ref="G561">IFERROR(INDEX(EmployeeData[Join Date], ROW() - 37), "")</f>
        <v>43330</v>
      </c>
      <c r="H561" s="6" cm="1">
        <f t="array" ref="H561">IFERROR(IF(INDEX(EmployeeData[Exit Date], ROW() - 37)=0, "",INDEX(EmployeeData[Exit Date], ROW() - 37)),"")</f>
        <v>45027</v>
      </c>
      <c r="I561" s="4" t="str" cm="1">
        <f t="array" ref="I561">IFERROR(IF(INDEX(EmployeeData[Exit Reason], ROW() - 37)=0, "",INDEX(EmployeeData[Exit Reason], ROW() - 37)),"")</f>
        <v>Better Opportunity</v>
      </c>
      <c r="J561" s="4" t="str" cm="1">
        <f t="array" ref="J561">IFERROR(INDEX(EmployeeData[Status], ROW() - 37), "")</f>
        <v>Exited</v>
      </c>
    </row>
    <row r="562" spans="2:10" ht="19.95" customHeight="1" x14ac:dyDescent="0.3">
      <c r="B562" s="4" cm="1">
        <f t="array" ref="B562">IFERROR(INDEX(EmployeeData[Employee ID], ROW() - 37), "")</f>
        <v>1525</v>
      </c>
      <c r="C562" s="4" t="str" cm="1">
        <f t="array" ref="C562">IFERROR(INDEX(EmployeeData[Full Name], ROW() - 37), "")</f>
        <v>Luisa Uy</v>
      </c>
      <c r="D562" s="4" t="str" cm="1">
        <f t="array" ref="D562">IFERROR(INDEX(EmployeeData[Department], ROW() - 37), "")</f>
        <v>Sales</v>
      </c>
      <c r="E562" s="4" t="str" cm="1">
        <f t="array" ref="E562">IFERROR(INDEX(EmployeeData[Gender], ROW() - 37), "")</f>
        <v>Other</v>
      </c>
      <c r="F562" s="4" cm="1">
        <f t="array" ref="F562">IFERROR(INDEX(EmployeeData[Age], ROW() - 37), "")</f>
        <v>28</v>
      </c>
      <c r="G562" s="6" cm="1">
        <f t="array" ref="G562">IFERROR(INDEX(EmployeeData[Join Date], ROW() - 37), "")</f>
        <v>44120</v>
      </c>
      <c r="H562" s="6" t="str" cm="1">
        <f t="array" ref="H562">IFERROR(IF(INDEX(EmployeeData[Exit Date], ROW() - 37)=0, "",INDEX(EmployeeData[Exit Date], ROW() - 37)),"")</f>
        <v/>
      </c>
      <c r="I562" s="4" t="str" cm="1">
        <f t="array" ref="I562">IFERROR(IF(INDEX(EmployeeData[Exit Reason], ROW() - 37)=0, "",INDEX(EmployeeData[Exit Reason], ROW() - 37)),"")</f>
        <v/>
      </c>
      <c r="J562" s="4" t="str" cm="1">
        <f t="array" ref="J562">IFERROR(INDEX(EmployeeData[Status], ROW() - 37), "")</f>
        <v>Active</v>
      </c>
    </row>
    <row r="563" spans="2:10" ht="19.95" customHeight="1" x14ac:dyDescent="0.3">
      <c r="B563" s="4" cm="1">
        <f t="array" ref="B563">IFERROR(INDEX(EmployeeData[Employee ID], ROW() - 37), "")</f>
        <v>1526</v>
      </c>
      <c r="C563" s="4" t="str" cm="1">
        <f t="array" ref="C563">IFERROR(INDEX(EmployeeData[Full Name], ROW() - 37), "")</f>
        <v>Lorenzo Soriano Tuazon</v>
      </c>
      <c r="D563" s="4" t="str" cm="1">
        <f t="array" ref="D563">IFERROR(INDEX(EmployeeData[Department], ROW() - 37), "")</f>
        <v>Customer Support</v>
      </c>
      <c r="E563" s="4" t="str" cm="1">
        <f t="array" ref="E563">IFERROR(INDEX(EmployeeData[Gender], ROW() - 37), "")</f>
        <v>Male</v>
      </c>
      <c r="F563" s="4" cm="1">
        <f t="array" ref="F563">IFERROR(INDEX(EmployeeData[Age], ROW() - 37), "")</f>
        <v>27</v>
      </c>
      <c r="G563" s="6" cm="1">
        <f t="array" ref="G563">IFERROR(INDEX(EmployeeData[Join Date], ROW() - 37), "")</f>
        <v>45235</v>
      </c>
      <c r="H563" s="6" t="str" cm="1">
        <f t="array" ref="H563">IFERROR(IF(INDEX(EmployeeData[Exit Date], ROW() - 37)=0, "",INDEX(EmployeeData[Exit Date], ROW() - 37)),"")</f>
        <v/>
      </c>
      <c r="I563" s="4" t="str" cm="1">
        <f t="array" ref="I563">IFERROR(IF(INDEX(EmployeeData[Exit Reason], ROW() - 37)=0, "",INDEX(EmployeeData[Exit Reason], ROW() - 37)),"")</f>
        <v/>
      </c>
      <c r="J563" s="4" t="str" cm="1">
        <f t="array" ref="J563">IFERROR(INDEX(EmployeeData[Status], ROW() - 37), "")</f>
        <v>Active</v>
      </c>
    </row>
    <row r="564" spans="2:10" ht="19.95" customHeight="1" x14ac:dyDescent="0.3">
      <c r="B564" s="4" cm="1">
        <f t="array" ref="B564">IFERROR(INDEX(EmployeeData[Employee ID], ROW() - 37), "")</f>
        <v>1527</v>
      </c>
      <c r="C564" s="4" t="str" cm="1">
        <f t="array" ref="C564">IFERROR(INDEX(EmployeeData[Full Name], ROW() - 37), "")</f>
        <v>Violeta Umali</v>
      </c>
      <c r="D564" s="4" t="str" cm="1">
        <f t="array" ref="D564">IFERROR(INDEX(EmployeeData[Department], ROW() - 37), "")</f>
        <v>Finance</v>
      </c>
      <c r="E564" s="4" t="str" cm="1">
        <f t="array" ref="E564">IFERROR(INDEX(EmployeeData[Gender], ROW() - 37), "")</f>
        <v>Female</v>
      </c>
      <c r="F564" s="4" cm="1">
        <f t="array" ref="F564">IFERROR(INDEX(EmployeeData[Age], ROW() - 37), "")</f>
        <v>23</v>
      </c>
      <c r="G564" s="6" cm="1">
        <f t="array" ref="G564">IFERROR(INDEX(EmployeeData[Join Date], ROW() - 37), "")</f>
        <v>45352</v>
      </c>
      <c r="H564" s="6" t="str" cm="1">
        <f t="array" ref="H564">IFERROR(IF(INDEX(EmployeeData[Exit Date], ROW() - 37)=0, "",INDEX(EmployeeData[Exit Date], ROW() - 37)),"")</f>
        <v/>
      </c>
      <c r="I564" s="4" t="str" cm="1">
        <f t="array" ref="I564">IFERROR(IF(INDEX(EmployeeData[Exit Reason], ROW() - 37)=0, "",INDEX(EmployeeData[Exit Reason], ROW() - 37)),"")</f>
        <v/>
      </c>
      <c r="J564" s="4" t="str" cm="1">
        <f t="array" ref="J564">IFERROR(INDEX(EmployeeData[Status], ROW() - 37), "")</f>
        <v>Active</v>
      </c>
    </row>
    <row r="565" spans="2:10" ht="19.95" customHeight="1" x14ac:dyDescent="0.3">
      <c r="B565" s="4" cm="1">
        <f t="array" ref="B565">IFERROR(INDEX(EmployeeData[Employee ID], ROW() - 37), "")</f>
        <v>1528</v>
      </c>
      <c r="C565" s="4" t="str" cm="1">
        <f t="array" ref="C565">IFERROR(INDEX(EmployeeData[Full Name], ROW() - 37), "")</f>
        <v>Fernando Mercado Narvasa</v>
      </c>
      <c r="D565" s="4" t="str" cm="1">
        <f t="array" ref="D565">IFERROR(INDEX(EmployeeData[Department], ROW() - 37), "")</f>
        <v>Customer Support</v>
      </c>
      <c r="E565" s="4" t="str" cm="1">
        <f t="array" ref="E565">IFERROR(INDEX(EmployeeData[Gender], ROW() - 37), "")</f>
        <v>Other</v>
      </c>
      <c r="F565" s="4" cm="1">
        <f t="array" ref="F565">IFERROR(INDEX(EmployeeData[Age], ROW() - 37), "")</f>
        <v>55</v>
      </c>
      <c r="G565" s="6" cm="1">
        <f t="array" ref="G565">IFERROR(INDEX(EmployeeData[Join Date], ROW() - 37), "")</f>
        <v>43563</v>
      </c>
      <c r="H565" s="6" cm="1">
        <f t="array" ref="H565">IFERROR(IF(INDEX(EmployeeData[Exit Date], ROW() - 37)=0, "",INDEX(EmployeeData[Exit Date], ROW() - 37)),"")</f>
        <v>45431</v>
      </c>
      <c r="I565" s="4" t="str" cm="1">
        <f t="array" ref="I565">IFERROR(IF(INDEX(EmployeeData[Exit Reason], ROW() - 37)=0, "",INDEX(EmployeeData[Exit Reason], ROW() - 37)),"")</f>
        <v>Retirement</v>
      </c>
      <c r="J565" s="4" t="str" cm="1">
        <f t="array" ref="J565">IFERROR(INDEX(EmployeeData[Status], ROW() - 37), "")</f>
        <v>Exited</v>
      </c>
    </row>
    <row r="566" spans="2:10" ht="19.95" customHeight="1" x14ac:dyDescent="0.3">
      <c r="B566" s="4" cm="1">
        <f t="array" ref="B566">IFERROR(INDEX(EmployeeData[Employee ID], ROW() - 37), "")</f>
        <v>1529</v>
      </c>
      <c r="C566" s="4" t="str" cm="1">
        <f t="array" ref="C566">IFERROR(INDEX(EmployeeData[Full Name], ROW() - 37), "")</f>
        <v>Patricia Ang Dela Cruz</v>
      </c>
      <c r="D566" s="4" t="str" cm="1">
        <f t="array" ref="D566">IFERROR(INDEX(EmployeeData[Department], ROW() - 37), "")</f>
        <v>Customer Support</v>
      </c>
      <c r="E566" s="4" t="str" cm="1">
        <f t="array" ref="E566">IFERROR(INDEX(EmployeeData[Gender], ROW() - 37), "")</f>
        <v>Female</v>
      </c>
      <c r="F566" s="4" cm="1">
        <f t="array" ref="F566">IFERROR(INDEX(EmployeeData[Age], ROW() - 37), "")</f>
        <v>51</v>
      </c>
      <c r="G566" s="6" cm="1">
        <f t="array" ref="G566">IFERROR(INDEX(EmployeeData[Join Date], ROW() - 37), "")</f>
        <v>45920</v>
      </c>
      <c r="H566" s="6" t="str" cm="1">
        <f t="array" ref="H566">IFERROR(IF(INDEX(EmployeeData[Exit Date], ROW() - 37)=0, "",INDEX(EmployeeData[Exit Date], ROW() - 37)),"")</f>
        <v/>
      </c>
      <c r="I566" s="4" t="str" cm="1">
        <f t="array" ref="I566">IFERROR(IF(INDEX(EmployeeData[Exit Reason], ROW() - 37)=0, "",INDEX(EmployeeData[Exit Reason], ROW() - 37)),"")</f>
        <v/>
      </c>
      <c r="J566" s="4" t="str" cm="1">
        <f t="array" ref="J566">IFERROR(INDEX(EmployeeData[Status], ROW() - 37), "")</f>
        <v>Active</v>
      </c>
    </row>
    <row r="567" spans="2:10" ht="19.95" customHeight="1" x14ac:dyDescent="0.3">
      <c r="B567" s="4" cm="1">
        <f t="array" ref="B567">IFERROR(INDEX(EmployeeData[Employee ID], ROW() - 37), "")</f>
        <v>1530</v>
      </c>
      <c r="C567" s="4" t="str" cm="1">
        <f t="array" ref="C567">IFERROR(INDEX(EmployeeData[Full Name], ROW() - 37), "")</f>
        <v>Ronaldo Navarro Flores</v>
      </c>
      <c r="D567" s="4" t="str" cm="1">
        <f t="array" ref="D567">IFERROR(INDEX(EmployeeData[Department], ROW() - 37), "")</f>
        <v>Customer Support</v>
      </c>
      <c r="E567" s="4" t="str" cm="1">
        <f t="array" ref="E567">IFERROR(INDEX(EmployeeData[Gender], ROW() - 37), "")</f>
        <v>Male</v>
      </c>
      <c r="F567" s="4" cm="1">
        <f t="array" ref="F567">IFERROR(INDEX(EmployeeData[Age], ROW() - 37), "")</f>
        <v>24</v>
      </c>
      <c r="G567" s="6" cm="1">
        <f t="array" ref="G567">IFERROR(INDEX(EmployeeData[Join Date], ROW() - 37), "")</f>
        <v>43345</v>
      </c>
      <c r="H567" s="6" cm="1">
        <f t="array" ref="H567">IFERROR(IF(INDEX(EmployeeData[Exit Date], ROW() - 37)=0, "",INDEX(EmployeeData[Exit Date], ROW() - 37)),"")</f>
        <v>44065</v>
      </c>
      <c r="I567" s="4" t="str" cm="1">
        <f t="array" ref="I567">IFERROR(IF(INDEX(EmployeeData[Exit Reason], ROW() - 37)=0, "",INDEX(EmployeeData[Exit Reason], ROW() - 37)),"")</f>
        <v>Personal Reasons</v>
      </c>
      <c r="J567" s="4" t="str" cm="1">
        <f t="array" ref="J567">IFERROR(INDEX(EmployeeData[Status], ROW() - 37), "")</f>
        <v>Exited</v>
      </c>
    </row>
    <row r="568" spans="2:10" ht="19.95" customHeight="1" x14ac:dyDescent="0.3">
      <c r="B568" s="4" cm="1">
        <f t="array" ref="B568">IFERROR(INDEX(EmployeeData[Employee ID], ROW() - 37), "")</f>
        <v>1531</v>
      </c>
      <c r="C568" s="4" t="str" cm="1">
        <f t="array" ref="C568">IFERROR(INDEX(EmployeeData[Full Name], ROW() - 37), "")</f>
        <v>Sam Ramos Hernandez</v>
      </c>
      <c r="D568" s="4" t="str" cm="1">
        <f t="array" ref="D568">IFERROR(INDEX(EmployeeData[Department], ROW() - 37), "")</f>
        <v>Finance</v>
      </c>
      <c r="E568" s="4" t="str" cm="1">
        <f t="array" ref="E568">IFERROR(INDEX(EmployeeData[Gender], ROW() - 37), "")</f>
        <v>Other</v>
      </c>
      <c r="F568" s="4" cm="1">
        <f t="array" ref="F568">IFERROR(INDEX(EmployeeData[Age], ROW() - 37), "")</f>
        <v>43</v>
      </c>
      <c r="G568" s="6" cm="1">
        <f t="array" ref="G568">IFERROR(INDEX(EmployeeData[Join Date], ROW() - 37), "")</f>
        <v>44897</v>
      </c>
      <c r="H568" s="6" t="str" cm="1">
        <f t="array" ref="H568">IFERROR(IF(INDEX(EmployeeData[Exit Date], ROW() - 37)=0, "",INDEX(EmployeeData[Exit Date], ROW() - 37)),"")</f>
        <v/>
      </c>
      <c r="I568" s="4" t="str" cm="1">
        <f t="array" ref="I568">IFERROR(IF(INDEX(EmployeeData[Exit Reason], ROW() - 37)=0, "",INDEX(EmployeeData[Exit Reason], ROW() - 37)),"")</f>
        <v/>
      </c>
      <c r="J568" s="4" t="str" cm="1">
        <f t="array" ref="J568">IFERROR(INDEX(EmployeeData[Status], ROW() - 37), "")</f>
        <v>Active</v>
      </c>
    </row>
    <row r="569" spans="2:10" ht="19.95" customHeight="1" x14ac:dyDescent="0.3">
      <c r="B569" s="4" cm="1">
        <f t="array" ref="B569">IFERROR(INDEX(EmployeeData[Employee ID], ROW() - 37), "")</f>
        <v>1532</v>
      </c>
      <c r="C569" s="4" t="str" cm="1">
        <f t="array" ref="C569">IFERROR(INDEX(EmployeeData[Full Name], ROW() - 37), "")</f>
        <v>Kristina Go Guerrero</v>
      </c>
      <c r="D569" s="4" t="str" cm="1">
        <f t="array" ref="D569">IFERROR(INDEX(EmployeeData[Department], ROW() - 37), "")</f>
        <v>IT</v>
      </c>
      <c r="E569" s="4" t="str" cm="1">
        <f t="array" ref="E569">IFERROR(INDEX(EmployeeData[Gender], ROW() - 37), "")</f>
        <v>Female</v>
      </c>
      <c r="F569" s="4" cm="1">
        <f t="array" ref="F569">IFERROR(INDEX(EmployeeData[Age], ROW() - 37), "")</f>
        <v>49</v>
      </c>
      <c r="G569" s="6" cm="1">
        <f t="array" ref="G569">IFERROR(INDEX(EmployeeData[Join Date], ROW() - 37), "")</f>
        <v>45390</v>
      </c>
      <c r="H569" s="6" cm="1">
        <f t="array" ref="H569">IFERROR(IF(INDEX(EmployeeData[Exit Date], ROW() - 37)=0, "",INDEX(EmployeeData[Exit Date], ROW() - 37)),"")</f>
        <v>45981</v>
      </c>
      <c r="I569" s="4" t="str" cm="1">
        <f t="array" ref="I569">IFERROR(IF(INDEX(EmployeeData[Exit Reason], ROW() - 37)=0, "",INDEX(EmployeeData[Exit Reason], ROW() - 37)),"")</f>
        <v>Better Opportunity</v>
      </c>
      <c r="J569" s="4" t="str" cm="1">
        <f t="array" ref="J569">IFERROR(INDEX(EmployeeData[Status], ROW() - 37), "")</f>
        <v>Exited</v>
      </c>
    </row>
    <row r="570" spans="2:10" ht="19.95" customHeight="1" x14ac:dyDescent="0.3">
      <c r="B570" s="4" cm="1">
        <f t="array" ref="B570">IFERROR(INDEX(EmployeeData[Employee ID], ROW() - 37), "")</f>
        <v>1533</v>
      </c>
      <c r="C570" s="4" t="str" cm="1">
        <f t="array" ref="C570">IFERROR(INDEX(EmployeeData[Full Name], ROW() - 37), "")</f>
        <v>Roberto Santos Guerrero</v>
      </c>
      <c r="D570" s="4" t="str" cm="1">
        <f t="array" ref="D570">IFERROR(INDEX(EmployeeData[Department], ROW() - 37), "")</f>
        <v>IT</v>
      </c>
      <c r="E570" s="4" t="str" cm="1">
        <f t="array" ref="E570">IFERROR(INDEX(EmployeeData[Gender], ROW() - 37), "")</f>
        <v>Other</v>
      </c>
      <c r="F570" s="4" cm="1">
        <f t="array" ref="F570">IFERROR(INDEX(EmployeeData[Age], ROW() - 37), "")</f>
        <v>56</v>
      </c>
      <c r="G570" s="6" cm="1">
        <f t="array" ref="G570">IFERROR(INDEX(EmployeeData[Join Date], ROW() - 37), "")</f>
        <v>43757</v>
      </c>
      <c r="H570" s="6" cm="1">
        <f t="array" ref="H570">IFERROR(IF(INDEX(EmployeeData[Exit Date], ROW() - 37)=0, "",INDEX(EmployeeData[Exit Date], ROW() - 37)),"")</f>
        <v>44481</v>
      </c>
      <c r="I570" s="4" t="str" cm="1">
        <f t="array" ref="I570">IFERROR(IF(INDEX(EmployeeData[Exit Reason], ROW() - 37)=0, "",INDEX(EmployeeData[Exit Reason], ROW() - 37)),"")</f>
        <v>Termination</v>
      </c>
      <c r="J570" s="4" t="str" cm="1">
        <f t="array" ref="J570">IFERROR(INDEX(EmployeeData[Status], ROW() - 37), "")</f>
        <v>Exited</v>
      </c>
    </row>
    <row r="571" spans="2:10" ht="19.95" customHeight="1" x14ac:dyDescent="0.3">
      <c r="B571" s="4" cm="1">
        <f t="array" ref="B571">IFERROR(INDEX(EmployeeData[Employee ID], ROW() - 37), "")</f>
        <v>1534</v>
      </c>
      <c r="C571" s="4" t="str" cm="1">
        <f t="array" ref="C571">IFERROR(INDEX(EmployeeData[Full Name], ROW() - 37), "")</f>
        <v>Jerome Ocampo Trinidad</v>
      </c>
      <c r="D571" s="4" t="str" cm="1">
        <f t="array" ref="D571">IFERROR(INDEX(EmployeeData[Department], ROW() - 37), "")</f>
        <v>HR</v>
      </c>
      <c r="E571" s="4" t="str" cm="1">
        <f t="array" ref="E571">IFERROR(INDEX(EmployeeData[Gender], ROW() - 37), "")</f>
        <v>Male</v>
      </c>
      <c r="F571" s="4" cm="1">
        <f t="array" ref="F571">IFERROR(INDEX(EmployeeData[Age], ROW() - 37), "")</f>
        <v>32</v>
      </c>
      <c r="G571" s="6" cm="1">
        <f t="array" ref="G571">IFERROR(INDEX(EmployeeData[Join Date], ROW() - 37), "")</f>
        <v>43177</v>
      </c>
      <c r="H571" s="6" t="str" cm="1">
        <f t="array" ref="H571">IFERROR(IF(INDEX(EmployeeData[Exit Date], ROW() - 37)=0, "",INDEX(EmployeeData[Exit Date], ROW() - 37)),"")</f>
        <v/>
      </c>
      <c r="I571" s="4" t="str" cm="1">
        <f t="array" ref="I571">IFERROR(IF(INDEX(EmployeeData[Exit Reason], ROW() - 37)=0, "",INDEX(EmployeeData[Exit Reason], ROW() - 37)),"")</f>
        <v/>
      </c>
      <c r="J571" s="4" t="str" cm="1">
        <f t="array" ref="J571">IFERROR(INDEX(EmployeeData[Status], ROW() - 37), "")</f>
        <v>Active</v>
      </c>
    </row>
    <row r="572" spans="2:10" ht="19.95" customHeight="1" x14ac:dyDescent="0.3">
      <c r="B572" s="4" cm="1">
        <f t="array" ref="B572">IFERROR(INDEX(EmployeeData[Employee ID], ROW() - 37), "")</f>
        <v>1535</v>
      </c>
      <c r="C572" s="4" t="str" cm="1">
        <f t="array" ref="C572">IFERROR(INDEX(EmployeeData[Full Name], ROW() - 37), "")</f>
        <v>Ian Pascual Hilario</v>
      </c>
      <c r="D572" s="4" t="str" cm="1">
        <f t="array" ref="D572">IFERROR(INDEX(EmployeeData[Department], ROW() - 37), "")</f>
        <v>HR</v>
      </c>
      <c r="E572" s="4" t="str" cm="1">
        <f t="array" ref="E572">IFERROR(INDEX(EmployeeData[Gender], ROW() - 37), "")</f>
        <v>Male</v>
      </c>
      <c r="F572" s="4" cm="1">
        <f t="array" ref="F572">IFERROR(INDEX(EmployeeData[Age], ROW() - 37), "")</f>
        <v>45</v>
      </c>
      <c r="G572" s="6" cm="1">
        <f t="array" ref="G572">IFERROR(INDEX(EmployeeData[Join Date], ROW() - 37), "")</f>
        <v>43878</v>
      </c>
      <c r="H572" s="6" t="str" cm="1">
        <f t="array" ref="H572">IFERROR(IF(INDEX(EmployeeData[Exit Date], ROW() - 37)=0, "",INDEX(EmployeeData[Exit Date], ROW() - 37)),"")</f>
        <v/>
      </c>
      <c r="I572" s="4" t="str" cm="1">
        <f t="array" ref="I572">IFERROR(IF(INDEX(EmployeeData[Exit Reason], ROW() - 37)=0, "",INDEX(EmployeeData[Exit Reason], ROW() - 37)),"")</f>
        <v/>
      </c>
      <c r="J572" s="4" t="str" cm="1">
        <f t="array" ref="J572">IFERROR(INDEX(EmployeeData[Status], ROW() - 37), "")</f>
        <v>Active</v>
      </c>
    </row>
    <row r="573" spans="2:10" ht="19.95" customHeight="1" x14ac:dyDescent="0.3">
      <c r="B573" s="4" cm="1">
        <f t="array" ref="B573">IFERROR(INDEX(EmployeeData[Employee ID], ROW() - 37), "")</f>
        <v>1536</v>
      </c>
      <c r="C573" s="4" t="str" cm="1">
        <f t="array" ref="C573">IFERROR(INDEX(EmployeeData[Full Name], ROW() - 37), "")</f>
        <v>Carlos Garcia</v>
      </c>
      <c r="D573" s="4" t="str" cm="1">
        <f t="array" ref="D573">IFERROR(INDEX(EmployeeData[Department], ROW() - 37), "")</f>
        <v>IT</v>
      </c>
      <c r="E573" s="4" t="str" cm="1">
        <f t="array" ref="E573">IFERROR(INDEX(EmployeeData[Gender], ROW() - 37), "")</f>
        <v>Male</v>
      </c>
      <c r="F573" s="4" cm="1">
        <f t="array" ref="F573">IFERROR(INDEX(EmployeeData[Age], ROW() - 37), "")</f>
        <v>28</v>
      </c>
      <c r="G573" s="6" cm="1">
        <f t="array" ref="G573">IFERROR(INDEX(EmployeeData[Join Date], ROW() - 37), "")</f>
        <v>43495</v>
      </c>
      <c r="H573" s="6" t="str" cm="1">
        <f t="array" ref="H573">IFERROR(IF(INDEX(EmployeeData[Exit Date], ROW() - 37)=0, "",INDEX(EmployeeData[Exit Date], ROW() - 37)),"")</f>
        <v/>
      </c>
      <c r="I573" s="4" t="str" cm="1">
        <f t="array" ref="I573">IFERROR(IF(INDEX(EmployeeData[Exit Reason], ROW() - 37)=0, "",INDEX(EmployeeData[Exit Reason], ROW() - 37)),"")</f>
        <v/>
      </c>
      <c r="J573" s="4" t="str" cm="1">
        <f t="array" ref="J573">IFERROR(INDEX(EmployeeData[Status], ROW() - 37), "")</f>
        <v>Active</v>
      </c>
    </row>
    <row r="574" spans="2:10" ht="19.95" customHeight="1" x14ac:dyDescent="0.3">
      <c r="B574" s="4" cm="1">
        <f t="array" ref="B574">IFERROR(INDEX(EmployeeData[Employee ID], ROW() - 37), "")</f>
        <v>1537</v>
      </c>
      <c r="C574" s="4" t="str" cm="1">
        <f t="array" ref="C574">IFERROR(INDEX(EmployeeData[Full Name], ROW() - 37), "")</f>
        <v>Taylor Rivera Ocampo</v>
      </c>
      <c r="D574" s="4" t="str" cm="1">
        <f t="array" ref="D574">IFERROR(INDEX(EmployeeData[Department], ROW() - 37), "")</f>
        <v>Customer Support</v>
      </c>
      <c r="E574" s="4" t="str" cm="1">
        <f t="array" ref="E574">IFERROR(INDEX(EmployeeData[Gender], ROW() - 37), "")</f>
        <v>Other</v>
      </c>
      <c r="F574" s="4" cm="1">
        <f t="array" ref="F574">IFERROR(INDEX(EmployeeData[Age], ROW() - 37), "")</f>
        <v>33</v>
      </c>
      <c r="G574" s="6" cm="1">
        <f t="array" ref="G574">IFERROR(INDEX(EmployeeData[Join Date], ROW() - 37), "")</f>
        <v>43539</v>
      </c>
      <c r="H574" s="6" t="str" cm="1">
        <f t="array" ref="H574">IFERROR(IF(INDEX(EmployeeData[Exit Date], ROW() - 37)=0, "",INDEX(EmployeeData[Exit Date], ROW() - 37)),"")</f>
        <v/>
      </c>
      <c r="I574" s="4" t="str" cm="1">
        <f t="array" ref="I574">IFERROR(IF(INDEX(EmployeeData[Exit Reason], ROW() - 37)=0, "",INDEX(EmployeeData[Exit Reason], ROW() - 37)),"")</f>
        <v/>
      </c>
      <c r="J574" s="4" t="str" cm="1">
        <f t="array" ref="J574">IFERROR(INDEX(EmployeeData[Status], ROW() - 37), "")</f>
        <v>Active</v>
      </c>
    </row>
    <row r="575" spans="2:10" ht="19.95" customHeight="1" x14ac:dyDescent="0.3">
      <c r="B575" s="4" cm="1">
        <f t="array" ref="B575">IFERROR(INDEX(EmployeeData[Employee ID], ROW() - 37), "")</f>
        <v>1538</v>
      </c>
      <c r="C575" s="4" t="str" cm="1">
        <f t="array" ref="C575">IFERROR(INDEX(EmployeeData[Full Name], ROW() - 37), "")</f>
        <v>Manuel Reyes</v>
      </c>
      <c r="D575" s="4" t="str" cm="1">
        <f t="array" ref="D575">IFERROR(INDEX(EmployeeData[Department], ROW() - 37), "")</f>
        <v>HR</v>
      </c>
      <c r="E575" s="4" t="str" cm="1">
        <f t="array" ref="E575">IFERROR(INDEX(EmployeeData[Gender], ROW() - 37), "")</f>
        <v>Male</v>
      </c>
      <c r="F575" s="4" cm="1">
        <f t="array" ref="F575">IFERROR(INDEX(EmployeeData[Age], ROW() - 37), "")</f>
        <v>58</v>
      </c>
      <c r="G575" s="6" cm="1">
        <f t="array" ref="G575">IFERROR(INDEX(EmployeeData[Join Date], ROW() - 37), "")</f>
        <v>44149</v>
      </c>
      <c r="H575" s="6" cm="1">
        <f t="array" ref="H575">IFERROR(IF(INDEX(EmployeeData[Exit Date], ROW() - 37)=0, "",INDEX(EmployeeData[Exit Date], ROW() - 37)),"")</f>
        <v>44691</v>
      </c>
      <c r="I575" s="4" t="str" cm="1">
        <f t="array" ref="I575">IFERROR(IF(INDEX(EmployeeData[Exit Reason], ROW() - 37)=0, "",INDEX(EmployeeData[Exit Reason], ROW() - 37)),"")</f>
        <v>Relocation</v>
      </c>
      <c r="J575" s="4" t="str" cm="1">
        <f t="array" ref="J575">IFERROR(INDEX(EmployeeData[Status], ROW() - 37), "")</f>
        <v>Exited</v>
      </c>
    </row>
    <row r="576" spans="2:10" ht="19.95" customHeight="1" x14ac:dyDescent="0.3">
      <c r="B576" s="4" cm="1">
        <f t="array" ref="B576">IFERROR(INDEX(EmployeeData[Employee ID], ROW() - 37), "")</f>
        <v>1539</v>
      </c>
      <c r="C576" s="4" t="str" cm="1">
        <f t="array" ref="C576">IFERROR(INDEX(EmployeeData[Full Name], ROW() - 37), "")</f>
        <v>Fernando Lim Evangelista</v>
      </c>
      <c r="D576" s="4" t="str" cm="1">
        <f t="array" ref="D576">IFERROR(INDEX(EmployeeData[Department], ROW() - 37), "")</f>
        <v>Customer Support</v>
      </c>
      <c r="E576" s="4" t="str" cm="1">
        <f t="array" ref="E576">IFERROR(INDEX(EmployeeData[Gender], ROW() - 37), "")</f>
        <v>Male</v>
      </c>
      <c r="F576" s="4" cm="1">
        <f t="array" ref="F576">IFERROR(INDEX(EmployeeData[Age], ROW() - 37), "")</f>
        <v>26</v>
      </c>
      <c r="G576" s="6" cm="1">
        <f t="array" ref="G576">IFERROR(INDEX(EmployeeData[Join Date], ROW() - 37), "")</f>
        <v>45018</v>
      </c>
      <c r="H576" s="6" t="str" cm="1">
        <f t="array" ref="H576">IFERROR(IF(INDEX(EmployeeData[Exit Date], ROW() - 37)=0, "",INDEX(EmployeeData[Exit Date], ROW() - 37)),"")</f>
        <v/>
      </c>
      <c r="I576" s="4" t="str" cm="1">
        <f t="array" ref="I576">IFERROR(IF(INDEX(EmployeeData[Exit Reason], ROW() - 37)=0, "",INDEX(EmployeeData[Exit Reason], ROW() - 37)),"")</f>
        <v/>
      </c>
      <c r="J576" s="4" t="str" cm="1">
        <f t="array" ref="J576">IFERROR(INDEX(EmployeeData[Status], ROW() - 37), "")</f>
        <v>Active</v>
      </c>
    </row>
    <row r="577" spans="2:10" ht="19.95" customHeight="1" x14ac:dyDescent="0.3">
      <c r="B577" s="4" cm="1">
        <f t="array" ref="B577">IFERROR(INDEX(EmployeeData[Employee ID], ROW() - 37), "")</f>
        <v>1540</v>
      </c>
      <c r="C577" s="4" t="str" cm="1">
        <f t="array" ref="C577">IFERROR(INDEX(EmployeeData[Full Name], ROW() - 37), "")</f>
        <v>Manuel Villanueva</v>
      </c>
      <c r="D577" s="4" t="str" cm="1">
        <f t="array" ref="D577">IFERROR(INDEX(EmployeeData[Department], ROW() - 37), "")</f>
        <v>Sales</v>
      </c>
      <c r="E577" s="4" t="str" cm="1">
        <f t="array" ref="E577">IFERROR(INDEX(EmployeeData[Gender], ROW() - 37), "")</f>
        <v>Other</v>
      </c>
      <c r="F577" s="4" cm="1">
        <f t="array" ref="F577">IFERROR(INDEX(EmployeeData[Age], ROW() - 37), "")</f>
        <v>24</v>
      </c>
      <c r="G577" s="6" cm="1">
        <f t="array" ref="G577">IFERROR(INDEX(EmployeeData[Join Date], ROW() - 37), "")</f>
        <v>45627</v>
      </c>
      <c r="H577" s="6" cm="1">
        <f t="array" ref="H577">IFERROR(IF(INDEX(EmployeeData[Exit Date], ROW() - 37)=0, "",INDEX(EmployeeData[Exit Date], ROW() - 37)),"")</f>
        <v>45737</v>
      </c>
      <c r="I577" s="4" t="str" cm="1">
        <f t="array" ref="I577">IFERROR(IF(INDEX(EmployeeData[Exit Reason], ROW() - 37)=0, "",INDEX(EmployeeData[Exit Reason], ROW() - 37)),"")</f>
        <v>Personal Reasons</v>
      </c>
      <c r="J577" s="4" t="str" cm="1">
        <f t="array" ref="J577">IFERROR(INDEX(EmployeeData[Status], ROW() - 37), "")</f>
        <v>Exited</v>
      </c>
    </row>
    <row r="578" spans="2:10" ht="19.95" customHeight="1" x14ac:dyDescent="0.3">
      <c r="B578" s="4" cm="1">
        <f t="array" ref="B578">IFERROR(INDEX(EmployeeData[Employee ID], ROW() - 37), "")</f>
        <v>1541</v>
      </c>
      <c r="C578" s="4" t="str" cm="1">
        <f t="array" ref="C578">IFERROR(INDEX(EmployeeData[Full Name], ROW() - 37), "")</f>
        <v>Leonora Elegado</v>
      </c>
      <c r="D578" s="4" t="str" cm="1">
        <f t="array" ref="D578">IFERROR(INDEX(EmployeeData[Department], ROW() - 37), "")</f>
        <v>Finance</v>
      </c>
      <c r="E578" s="4" t="str" cm="1">
        <f t="array" ref="E578">IFERROR(INDEX(EmployeeData[Gender], ROW() - 37), "")</f>
        <v>Female</v>
      </c>
      <c r="F578" s="4" cm="1">
        <f t="array" ref="F578">IFERROR(INDEX(EmployeeData[Age], ROW() - 37), "")</f>
        <v>35</v>
      </c>
      <c r="G578" s="6" cm="1">
        <f t="array" ref="G578">IFERROR(INDEX(EmployeeData[Join Date], ROW() - 37), "")</f>
        <v>45278</v>
      </c>
      <c r="H578" s="6" t="str" cm="1">
        <f t="array" ref="H578">IFERROR(IF(INDEX(EmployeeData[Exit Date], ROW() - 37)=0, "",INDEX(EmployeeData[Exit Date], ROW() - 37)),"")</f>
        <v/>
      </c>
      <c r="I578" s="4" t="str" cm="1">
        <f t="array" ref="I578">IFERROR(IF(INDEX(EmployeeData[Exit Reason], ROW() - 37)=0, "",INDEX(EmployeeData[Exit Reason], ROW() - 37)),"")</f>
        <v/>
      </c>
      <c r="J578" s="4" t="str" cm="1">
        <f t="array" ref="J578">IFERROR(INDEX(EmployeeData[Status], ROW() - 37), "")</f>
        <v>Active</v>
      </c>
    </row>
    <row r="579" spans="2:10" ht="19.95" customHeight="1" x14ac:dyDescent="0.3">
      <c r="B579" s="4" cm="1">
        <f t="array" ref="B579">IFERROR(INDEX(EmployeeData[Employee ID], ROW() - 37), "")</f>
        <v>1542</v>
      </c>
      <c r="C579" s="4" t="str" cm="1">
        <f t="array" ref="C579">IFERROR(INDEX(EmployeeData[Full Name], ROW() - 37), "")</f>
        <v>Taylor Go Zulueta</v>
      </c>
      <c r="D579" s="4" t="str" cm="1">
        <f t="array" ref="D579">IFERROR(INDEX(EmployeeData[Department], ROW() - 37), "")</f>
        <v>Marketing</v>
      </c>
      <c r="E579" s="4" t="str" cm="1">
        <f t="array" ref="E579">IFERROR(INDEX(EmployeeData[Gender], ROW() - 37), "")</f>
        <v>Other</v>
      </c>
      <c r="F579" s="4" cm="1">
        <f t="array" ref="F579">IFERROR(INDEX(EmployeeData[Age], ROW() - 37), "")</f>
        <v>56</v>
      </c>
      <c r="G579" s="6" cm="1">
        <f t="array" ref="G579">IFERROR(INDEX(EmployeeData[Join Date], ROW() - 37), "")</f>
        <v>45387</v>
      </c>
      <c r="H579" s="6" t="str" cm="1">
        <f t="array" ref="H579">IFERROR(IF(INDEX(EmployeeData[Exit Date], ROW() - 37)=0, "",INDEX(EmployeeData[Exit Date], ROW() - 37)),"")</f>
        <v/>
      </c>
      <c r="I579" s="4" t="str" cm="1">
        <f t="array" ref="I579">IFERROR(IF(INDEX(EmployeeData[Exit Reason], ROW() - 37)=0, "",INDEX(EmployeeData[Exit Reason], ROW() - 37)),"")</f>
        <v/>
      </c>
      <c r="J579" s="4" t="str" cm="1">
        <f t="array" ref="J579">IFERROR(INDEX(EmployeeData[Status], ROW() - 37), "")</f>
        <v>Active</v>
      </c>
    </row>
    <row r="580" spans="2:10" ht="19.95" customHeight="1" x14ac:dyDescent="0.3">
      <c r="B580" s="4" cm="1">
        <f t="array" ref="B580">IFERROR(INDEX(EmployeeData[Employee ID], ROW() - 37), "")</f>
        <v>1543</v>
      </c>
      <c r="C580" s="4" t="str" cm="1">
        <f t="array" ref="C580">IFERROR(INDEX(EmployeeData[Full Name], ROW() - 37), "")</f>
        <v>Pete Lopez Vergara</v>
      </c>
      <c r="D580" s="4" t="str" cm="1">
        <f t="array" ref="D580">IFERROR(INDEX(EmployeeData[Department], ROW() - 37), "")</f>
        <v>HR</v>
      </c>
      <c r="E580" s="4" t="str" cm="1">
        <f t="array" ref="E580">IFERROR(INDEX(EmployeeData[Gender], ROW() - 37), "")</f>
        <v>Male</v>
      </c>
      <c r="F580" s="4" cm="1">
        <f t="array" ref="F580">IFERROR(INDEX(EmployeeData[Age], ROW() - 37), "")</f>
        <v>27</v>
      </c>
      <c r="G580" s="6" cm="1">
        <f t="array" ref="G580">IFERROR(INDEX(EmployeeData[Join Date], ROW() - 37), "")</f>
        <v>43784</v>
      </c>
      <c r="H580" s="6" t="str" cm="1">
        <f t="array" ref="H580">IFERROR(IF(INDEX(EmployeeData[Exit Date], ROW() - 37)=0, "",INDEX(EmployeeData[Exit Date], ROW() - 37)),"")</f>
        <v/>
      </c>
      <c r="I580" s="4" t="str" cm="1">
        <f t="array" ref="I580">IFERROR(IF(INDEX(EmployeeData[Exit Reason], ROW() - 37)=0, "",INDEX(EmployeeData[Exit Reason], ROW() - 37)),"")</f>
        <v/>
      </c>
      <c r="J580" s="4" t="str" cm="1">
        <f t="array" ref="J580">IFERROR(INDEX(EmployeeData[Status], ROW() - 37), "")</f>
        <v>Active</v>
      </c>
    </row>
    <row r="581" spans="2:10" ht="19.95" customHeight="1" x14ac:dyDescent="0.3">
      <c r="B581" s="4" cm="1">
        <f t="array" ref="B581">IFERROR(INDEX(EmployeeData[Employee ID], ROW() - 37), "")</f>
        <v>1544</v>
      </c>
      <c r="C581" s="4" t="str" cm="1">
        <f t="array" ref="C581">IFERROR(INDEX(EmployeeData[Full Name], ROW() - 37), "")</f>
        <v>Elmer Sy Ignacio</v>
      </c>
      <c r="D581" s="4" t="str" cm="1">
        <f t="array" ref="D581">IFERROR(INDEX(EmployeeData[Department], ROW() - 37), "")</f>
        <v>Marketing</v>
      </c>
      <c r="E581" s="4" t="str" cm="1">
        <f t="array" ref="E581">IFERROR(INDEX(EmployeeData[Gender], ROW() - 37), "")</f>
        <v>Male</v>
      </c>
      <c r="F581" s="4" cm="1">
        <f t="array" ref="F581">IFERROR(INDEX(EmployeeData[Age], ROW() - 37), "")</f>
        <v>43</v>
      </c>
      <c r="G581" s="6" cm="1">
        <f t="array" ref="G581">IFERROR(INDEX(EmployeeData[Join Date], ROW() - 37), "")</f>
        <v>44391</v>
      </c>
      <c r="H581" s="6" t="str" cm="1">
        <f t="array" ref="H581">IFERROR(IF(INDEX(EmployeeData[Exit Date], ROW() - 37)=0, "",INDEX(EmployeeData[Exit Date], ROW() - 37)),"")</f>
        <v/>
      </c>
      <c r="I581" s="4" t="str" cm="1">
        <f t="array" ref="I581">IFERROR(IF(INDEX(EmployeeData[Exit Reason], ROW() - 37)=0, "",INDEX(EmployeeData[Exit Reason], ROW() - 37)),"")</f>
        <v/>
      </c>
      <c r="J581" s="4" t="str" cm="1">
        <f t="array" ref="J581">IFERROR(INDEX(EmployeeData[Status], ROW() - 37), "")</f>
        <v>Active</v>
      </c>
    </row>
    <row r="582" spans="2:10" ht="19.95" customHeight="1" x14ac:dyDescent="0.3">
      <c r="B582" s="4" cm="1">
        <f t="array" ref="B582">IFERROR(INDEX(EmployeeData[Employee ID], ROW() - 37), "")</f>
        <v>1545</v>
      </c>
      <c r="C582" s="4" t="str" cm="1">
        <f t="array" ref="C582">IFERROR(INDEX(EmployeeData[Full Name], ROW() - 37), "")</f>
        <v>Leonard Hilario</v>
      </c>
      <c r="D582" s="4" t="str" cm="1">
        <f t="array" ref="D582">IFERROR(INDEX(EmployeeData[Department], ROW() - 37), "")</f>
        <v>Sales</v>
      </c>
      <c r="E582" s="4" t="str" cm="1">
        <f t="array" ref="E582">IFERROR(INDEX(EmployeeData[Gender], ROW() - 37), "")</f>
        <v>Male</v>
      </c>
      <c r="F582" s="4" cm="1">
        <f t="array" ref="F582">IFERROR(INDEX(EmployeeData[Age], ROW() - 37), "")</f>
        <v>36</v>
      </c>
      <c r="G582" s="6" cm="1">
        <f t="array" ref="G582">IFERROR(INDEX(EmployeeData[Join Date], ROW() - 37), "")</f>
        <v>45407</v>
      </c>
      <c r="H582" s="6" t="str" cm="1">
        <f t="array" ref="H582">IFERROR(IF(INDEX(EmployeeData[Exit Date], ROW() - 37)=0, "",INDEX(EmployeeData[Exit Date], ROW() - 37)),"")</f>
        <v/>
      </c>
      <c r="I582" s="4" t="str" cm="1">
        <f t="array" ref="I582">IFERROR(IF(INDEX(EmployeeData[Exit Reason], ROW() - 37)=0, "",INDEX(EmployeeData[Exit Reason], ROW() - 37)),"")</f>
        <v/>
      </c>
      <c r="J582" s="4" t="str" cm="1">
        <f t="array" ref="J582">IFERROR(INDEX(EmployeeData[Status], ROW() - 37), "")</f>
        <v>Active</v>
      </c>
    </row>
    <row r="583" spans="2:10" ht="19.95" customHeight="1" x14ac:dyDescent="0.3">
      <c r="B583" s="4" cm="1">
        <f t="array" ref="B583">IFERROR(INDEX(EmployeeData[Employee ID], ROW() - 37), "")</f>
        <v>1546</v>
      </c>
      <c r="C583" s="4" t="str" cm="1">
        <f t="array" ref="C583">IFERROR(INDEX(EmployeeData[Full Name], ROW() - 37), "")</f>
        <v>Cristina Soriano Cruz</v>
      </c>
      <c r="D583" s="4" t="str" cm="1">
        <f t="array" ref="D583">IFERROR(INDEX(EmployeeData[Department], ROW() - 37), "")</f>
        <v>IT</v>
      </c>
      <c r="E583" s="4" t="str" cm="1">
        <f t="array" ref="E583">IFERROR(INDEX(EmployeeData[Gender], ROW() - 37), "")</f>
        <v>Other</v>
      </c>
      <c r="F583" s="4" cm="1">
        <f t="array" ref="F583">IFERROR(INDEX(EmployeeData[Age], ROW() - 37), "")</f>
        <v>49</v>
      </c>
      <c r="G583" s="6" cm="1">
        <f t="array" ref="G583">IFERROR(INDEX(EmployeeData[Join Date], ROW() - 37), "")</f>
        <v>44727</v>
      </c>
      <c r="H583" s="6" cm="1">
        <f t="array" ref="H583">IFERROR(IF(INDEX(EmployeeData[Exit Date], ROW() - 37)=0, "",INDEX(EmployeeData[Exit Date], ROW() - 37)),"")</f>
        <v>44887</v>
      </c>
      <c r="I583" s="4" t="str" cm="1">
        <f t="array" ref="I583">IFERROR(IF(INDEX(EmployeeData[Exit Reason], ROW() - 37)=0, "",INDEX(EmployeeData[Exit Reason], ROW() - 37)),"")</f>
        <v>Contract End</v>
      </c>
      <c r="J583" s="4" t="str" cm="1">
        <f t="array" ref="J583">IFERROR(INDEX(EmployeeData[Status], ROW() - 37), "")</f>
        <v>Exited</v>
      </c>
    </row>
    <row r="584" spans="2:10" ht="19.95" customHeight="1" x14ac:dyDescent="0.3">
      <c r="B584" s="4" cm="1">
        <f t="array" ref="B584">IFERROR(INDEX(EmployeeData[Employee ID], ROW() - 37), "")</f>
        <v>1547</v>
      </c>
      <c r="C584" s="4" t="str" cm="1">
        <f t="array" ref="C584">IFERROR(INDEX(EmployeeData[Full Name], ROW() - 37), "")</f>
        <v>Fernando Fernandez Hilario</v>
      </c>
      <c r="D584" s="4" t="str" cm="1">
        <f t="array" ref="D584">IFERROR(INDEX(EmployeeData[Department], ROW() - 37), "")</f>
        <v>Customer Support</v>
      </c>
      <c r="E584" s="4" t="str" cm="1">
        <f t="array" ref="E584">IFERROR(INDEX(EmployeeData[Gender], ROW() - 37), "")</f>
        <v>Other</v>
      </c>
      <c r="F584" s="4" cm="1">
        <f t="array" ref="F584">IFERROR(INDEX(EmployeeData[Age], ROW() - 37), "")</f>
        <v>34</v>
      </c>
      <c r="G584" s="6" cm="1">
        <f t="array" ref="G584">IFERROR(INDEX(EmployeeData[Join Date], ROW() - 37), "")</f>
        <v>44390</v>
      </c>
      <c r="H584" s="6" cm="1">
        <f t="array" ref="H584">IFERROR(IF(INDEX(EmployeeData[Exit Date], ROW() - 37)=0, "",INDEX(EmployeeData[Exit Date], ROW() - 37)),"")</f>
        <v>46163</v>
      </c>
      <c r="I584" s="4" t="str" cm="1">
        <f t="array" ref="I584">IFERROR(IF(INDEX(EmployeeData[Exit Reason], ROW() - 37)=0, "",INDEX(EmployeeData[Exit Reason], ROW() - 37)),"")</f>
        <v>Contract End</v>
      </c>
      <c r="J584" s="4" t="str" cm="1">
        <f t="array" ref="J584">IFERROR(INDEX(EmployeeData[Status], ROW() - 37), "")</f>
        <v>Exited</v>
      </c>
    </row>
    <row r="585" spans="2:10" ht="19.95" customHeight="1" x14ac:dyDescent="0.3">
      <c r="B585" s="4" cm="1">
        <f t="array" ref="B585">IFERROR(INDEX(EmployeeData[Employee ID], ROW() - 37), "")</f>
        <v>1548</v>
      </c>
      <c r="C585" s="4" t="str" cm="1">
        <f t="array" ref="C585">IFERROR(INDEX(EmployeeData[Full Name], ROW() - 37), "")</f>
        <v>Danilo Flores Macapagal</v>
      </c>
      <c r="D585" s="4" t="str" cm="1">
        <f t="array" ref="D585">IFERROR(INDEX(EmployeeData[Department], ROW() - 37), "")</f>
        <v>Customer Support</v>
      </c>
      <c r="E585" s="4" t="str" cm="1">
        <f t="array" ref="E585">IFERROR(INDEX(EmployeeData[Gender], ROW() - 37), "")</f>
        <v>Male</v>
      </c>
      <c r="F585" s="4" cm="1">
        <f t="array" ref="F585">IFERROR(INDEX(EmployeeData[Age], ROW() - 37), "")</f>
        <v>59</v>
      </c>
      <c r="G585" s="6" cm="1">
        <f t="array" ref="G585">IFERROR(INDEX(EmployeeData[Join Date], ROW() - 37), "")</f>
        <v>43667</v>
      </c>
      <c r="H585" s="6" cm="1">
        <f t="array" ref="H585">IFERROR(IF(INDEX(EmployeeData[Exit Date], ROW() - 37)=0, "",INDEX(EmployeeData[Exit Date], ROW() - 37)),"")</f>
        <v>44780</v>
      </c>
      <c r="I585" s="4" t="str" cm="1">
        <f t="array" ref="I585">IFERROR(IF(INDEX(EmployeeData[Exit Reason], ROW() - 37)=0, "",INDEX(EmployeeData[Exit Reason], ROW() - 37)),"")</f>
        <v>Retirement</v>
      </c>
      <c r="J585" s="4" t="str" cm="1">
        <f t="array" ref="J585">IFERROR(INDEX(EmployeeData[Status], ROW() - 37), "")</f>
        <v>Exited</v>
      </c>
    </row>
    <row r="586" spans="2:10" ht="19.95" customHeight="1" x14ac:dyDescent="0.3">
      <c r="B586" s="4" cm="1">
        <f t="array" ref="B586">IFERROR(INDEX(EmployeeData[Employee ID], ROW() - 37), "")</f>
        <v>1549</v>
      </c>
      <c r="C586" s="4" t="str" cm="1">
        <f t="array" ref="C586">IFERROR(INDEX(EmployeeData[Full Name], ROW() - 37), "")</f>
        <v>Maricel Soriano Fernandez</v>
      </c>
      <c r="D586" s="4" t="str" cm="1">
        <f t="array" ref="D586">IFERROR(INDEX(EmployeeData[Department], ROW() - 37), "")</f>
        <v>HR</v>
      </c>
      <c r="E586" s="4" t="str" cm="1">
        <f t="array" ref="E586">IFERROR(INDEX(EmployeeData[Gender], ROW() - 37), "")</f>
        <v>Other</v>
      </c>
      <c r="F586" s="4" cm="1">
        <f t="array" ref="F586">IFERROR(INDEX(EmployeeData[Age], ROW() - 37), "")</f>
        <v>51</v>
      </c>
      <c r="G586" s="6" cm="1">
        <f t="array" ref="G586">IFERROR(INDEX(EmployeeData[Join Date], ROW() - 37), "")</f>
        <v>43809</v>
      </c>
      <c r="H586" s="6" t="str" cm="1">
        <f t="array" ref="H586">IFERROR(IF(INDEX(EmployeeData[Exit Date], ROW() - 37)=0, "",INDEX(EmployeeData[Exit Date], ROW() - 37)),"")</f>
        <v/>
      </c>
      <c r="I586" s="4" t="str" cm="1">
        <f t="array" ref="I586">IFERROR(IF(INDEX(EmployeeData[Exit Reason], ROW() - 37)=0, "",INDEX(EmployeeData[Exit Reason], ROW() - 37)),"")</f>
        <v/>
      </c>
      <c r="J586" s="4" t="str" cm="1">
        <f t="array" ref="J586">IFERROR(INDEX(EmployeeData[Status], ROW() - 37), "")</f>
        <v>Active</v>
      </c>
    </row>
    <row r="587" spans="2:10" ht="19.95" customHeight="1" x14ac:dyDescent="0.3">
      <c r="B587" s="4" cm="1">
        <f t="array" ref="B587">IFERROR(INDEX(EmployeeData[Employee ID], ROW() - 37), "")</f>
        <v>1550</v>
      </c>
      <c r="C587" s="4" t="str" cm="1">
        <f t="array" ref="C587">IFERROR(INDEX(EmployeeData[Full Name], ROW() - 37), "")</f>
        <v>Danilo Manalang</v>
      </c>
      <c r="D587" s="4" t="str" cm="1">
        <f t="array" ref="D587">IFERROR(INDEX(EmployeeData[Department], ROW() - 37), "")</f>
        <v>Customer Support</v>
      </c>
      <c r="E587" s="4" t="str" cm="1">
        <f t="array" ref="E587">IFERROR(INDEX(EmployeeData[Gender], ROW() - 37), "")</f>
        <v>Other</v>
      </c>
      <c r="F587" s="4" cm="1">
        <f t="array" ref="F587">IFERROR(INDEX(EmployeeData[Age], ROW() - 37), "")</f>
        <v>45</v>
      </c>
      <c r="G587" s="6" cm="1">
        <f t="array" ref="G587">IFERROR(INDEX(EmployeeData[Join Date], ROW() - 37), "")</f>
        <v>43422</v>
      </c>
      <c r="H587" s="6" t="str" cm="1">
        <f t="array" ref="H587">IFERROR(IF(INDEX(EmployeeData[Exit Date], ROW() - 37)=0, "",INDEX(EmployeeData[Exit Date], ROW() - 37)),"")</f>
        <v/>
      </c>
      <c r="I587" s="4" t="str" cm="1">
        <f t="array" ref="I587">IFERROR(IF(INDEX(EmployeeData[Exit Reason], ROW() - 37)=0, "",INDEX(EmployeeData[Exit Reason], ROW() - 37)),"")</f>
        <v/>
      </c>
      <c r="J587" s="4" t="str" cm="1">
        <f t="array" ref="J587">IFERROR(INDEX(EmployeeData[Status], ROW() - 37), "")</f>
        <v>Active</v>
      </c>
    </row>
    <row r="588" spans="2:10" ht="19.95" customHeight="1" x14ac:dyDescent="0.3">
      <c r="B588" s="4" cm="1">
        <f t="array" ref="B588">IFERROR(INDEX(EmployeeData[Employee ID], ROW() - 37), "")</f>
        <v>1551</v>
      </c>
      <c r="C588" s="4" t="str" cm="1">
        <f t="array" ref="C588">IFERROR(INDEX(EmployeeData[Full Name], ROW() - 37), "")</f>
        <v>Cristina Reyes</v>
      </c>
      <c r="D588" s="4" t="str" cm="1">
        <f t="array" ref="D588">IFERROR(INDEX(EmployeeData[Department], ROW() - 37), "")</f>
        <v>IT</v>
      </c>
      <c r="E588" s="4" t="str" cm="1">
        <f t="array" ref="E588">IFERROR(INDEX(EmployeeData[Gender], ROW() - 37), "")</f>
        <v>Other</v>
      </c>
      <c r="F588" s="4" cm="1">
        <f t="array" ref="F588">IFERROR(INDEX(EmployeeData[Age], ROW() - 37), "")</f>
        <v>28</v>
      </c>
      <c r="G588" s="6" cm="1">
        <f t="array" ref="G588">IFERROR(INDEX(EmployeeData[Join Date], ROW() - 37), "")</f>
        <v>44029</v>
      </c>
      <c r="H588" s="6" t="str" cm="1">
        <f t="array" ref="H588">IFERROR(IF(INDEX(EmployeeData[Exit Date], ROW() - 37)=0, "",INDEX(EmployeeData[Exit Date], ROW() - 37)),"")</f>
        <v/>
      </c>
      <c r="I588" s="4" t="str" cm="1">
        <f t="array" ref="I588">IFERROR(IF(INDEX(EmployeeData[Exit Reason], ROW() - 37)=0, "",INDEX(EmployeeData[Exit Reason], ROW() - 37)),"")</f>
        <v/>
      </c>
      <c r="J588" s="4" t="str" cm="1">
        <f t="array" ref="J588">IFERROR(INDEX(EmployeeData[Status], ROW() - 37), "")</f>
        <v>Active</v>
      </c>
    </row>
    <row r="589" spans="2:10" ht="19.95" customHeight="1" x14ac:dyDescent="0.3">
      <c r="B589" s="4" cm="1">
        <f t="array" ref="B589">IFERROR(INDEX(EmployeeData[Employee ID], ROW() - 37), "")</f>
        <v>1552</v>
      </c>
      <c r="C589" s="4" t="str" cm="1">
        <f t="array" ref="C589">IFERROR(INDEX(EmployeeData[Full Name], ROW() - 37), "")</f>
        <v>Florinda Mendoza</v>
      </c>
      <c r="D589" s="4" t="str" cm="1">
        <f t="array" ref="D589">IFERROR(INDEX(EmployeeData[Department], ROW() - 37), "")</f>
        <v>Marketing</v>
      </c>
      <c r="E589" s="4" t="str" cm="1">
        <f t="array" ref="E589">IFERROR(INDEX(EmployeeData[Gender], ROW() - 37), "")</f>
        <v>Female</v>
      </c>
      <c r="F589" s="4" cm="1">
        <f t="array" ref="F589">IFERROR(INDEX(EmployeeData[Age], ROW() - 37), "")</f>
        <v>57</v>
      </c>
      <c r="G589" s="6" cm="1">
        <f t="array" ref="G589">IFERROR(INDEX(EmployeeData[Join Date], ROW() - 37), "")</f>
        <v>43269</v>
      </c>
      <c r="H589" s="6" cm="1">
        <f t="array" ref="H589">IFERROR(IF(INDEX(EmployeeData[Exit Date], ROW() - 37)=0, "",INDEX(EmployeeData[Exit Date], ROW() - 37)),"")</f>
        <v>43971</v>
      </c>
      <c r="I589" s="4" t="str" cm="1">
        <f t="array" ref="I589">IFERROR(IF(INDEX(EmployeeData[Exit Reason], ROW() - 37)=0, "",INDEX(EmployeeData[Exit Reason], ROW() - 37)),"")</f>
        <v>Retirement</v>
      </c>
      <c r="J589" s="4" t="str" cm="1">
        <f t="array" ref="J589">IFERROR(INDEX(EmployeeData[Status], ROW() - 37), "")</f>
        <v>Exited</v>
      </c>
    </row>
    <row r="590" spans="2:10" ht="19.95" customHeight="1" x14ac:dyDescent="0.3">
      <c r="B590" s="4" cm="1">
        <f t="array" ref="B590">IFERROR(INDEX(EmployeeData[Employee ID], ROW() - 37), "")</f>
        <v>1553</v>
      </c>
      <c r="C590" s="4" t="str" cm="1">
        <f t="array" ref="C590">IFERROR(INDEX(EmployeeData[Full Name], ROW() - 37), "")</f>
        <v>Cameron Chan Flores</v>
      </c>
      <c r="D590" s="4" t="str" cm="1">
        <f t="array" ref="D590">IFERROR(INDEX(EmployeeData[Department], ROW() - 37), "")</f>
        <v>Finance</v>
      </c>
      <c r="E590" s="4" t="str" cm="1">
        <f t="array" ref="E590">IFERROR(INDEX(EmployeeData[Gender], ROW() - 37), "")</f>
        <v>Other</v>
      </c>
      <c r="F590" s="4" cm="1">
        <f t="array" ref="F590">IFERROR(INDEX(EmployeeData[Age], ROW() - 37), "")</f>
        <v>62</v>
      </c>
      <c r="G590" s="6" cm="1">
        <f t="array" ref="G590">IFERROR(INDEX(EmployeeData[Join Date], ROW() - 37), "")</f>
        <v>45168</v>
      </c>
      <c r="H590" s="6" cm="1">
        <f t="array" ref="H590">IFERROR(IF(INDEX(EmployeeData[Exit Date], ROW() - 37)=0, "",INDEX(EmployeeData[Exit Date], ROW() - 37)),"")</f>
        <v>45700</v>
      </c>
      <c r="I590" s="4" t="str" cm="1">
        <f t="array" ref="I590">IFERROR(IF(INDEX(EmployeeData[Exit Reason], ROW() - 37)=0, "",INDEX(EmployeeData[Exit Reason], ROW() - 37)),"")</f>
        <v>Retirement</v>
      </c>
      <c r="J590" s="4" t="str" cm="1">
        <f t="array" ref="J590">IFERROR(INDEX(EmployeeData[Status], ROW() - 37), "")</f>
        <v>Exited</v>
      </c>
    </row>
    <row r="591" spans="2:10" ht="19.95" customHeight="1" x14ac:dyDescent="0.3">
      <c r="B591" s="4" cm="1">
        <f t="array" ref="B591">IFERROR(INDEX(EmployeeData[Employee ID], ROW() - 37), "")</f>
        <v>1554</v>
      </c>
      <c r="C591" s="4" t="str" cm="1">
        <f t="array" ref="C591">IFERROR(INDEX(EmployeeData[Full Name], ROW() - 37), "")</f>
        <v>Belinda Castro Ramirez</v>
      </c>
      <c r="D591" s="4" t="str" cm="1">
        <f t="array" ref="D591">IFERROR(INDEX(EmployeeData[Department], ROW() - 37), "")</f>
        <v>Marketing</v>
      </c>
      <c r="E591" s="4" t="str" cm="1">
        <f t="array" ref="E591">IFERROR(INDEX(EmployeeData[Gender], ROW() - 37), "")</f>
        <v>Female</v>
      </c>
      <c r="F591" s="4" cm="1">
        <f t="array" ref="F591">IFERROR(INDEX(EmployeeData[Age], ROW() - 37), "")</f>
        <v>46</v>
      </c>
      <c r="G591" s="6" cm="1">
        <f t="array" ref="G591">IFERROR(INDEX(EmployeeData[Join Date], ROW() - 37), "")</f>
        <v>44176</v>
      </c>
      <c r="H591" s="6" cm="1">
        <f t="array" ref="H591">IFERROR(IF(INDEX(EmployeeData[Exit Date], ROW() - 37)=0, "",INDEX(EmployeeData[Exit Date], ROW() - 37)),"")</f>
        <v>45293</v>
      </c>
      <c r="I591" s="4" t="str" cm="1">
        <f t="array" ref="I591">IFERROR(IF(INDEX(EmployeeData[Exit Reason], ROW() - 37)=0, "",INDEX(EmployeeData[Exit Reason], ROW() - 37)),"")</f>
        <v>Termination</v>
      </c>
      <c r="J591" s="4" t="str" cm="1">
        <f t="array" ref="J591">IFERROR(INDEX(EmployeeData[Status], ROW() - 37), "")</f>
        <v>Exited</v>
      </c>
    </row>
    <row r="592" spans="2:10" ht="19.95" customHeight="1" x14ac:dyDescent="0.3">
      <c r="B592" s="4" cm="1">
        <f t="array" ref="B592">IFERROR(INDEX(EmployeeData[Employee ID], ROW() - 37), "")</f>
        <v>1555</v>
      </c>
      <c r="C592" s="4" t="str" cm="1">
        <f t="array" ref="C592">IFERROR(INDEX(EmployeeData[Full Name], ROW() - 37), "")</f>
        <v>Mark Aguilar Uy</v>
      </c>
      <c r="D592" s="4" t="str" cm="1">
        <f t="array" ref="D592">IFERROR(INDEX(EmployeeData[Department], ROW() - 37), "")</f>
        <v>Marketing</v>
      </c>
      <c r="E592" s="4" t="str" cm="1">
        <f t="array" ref="E592">IFERROR(INDEX(EmployeeData[Gender], ROW() - 37), "")</f>
        <v>Male</v>
      </c>
      <c r="F592" s="4" cm="1">
        <f t="array" ref="F592">IFERROR(INDEX(EmployeeData[Age], ROW() - 37), "")</f>
        <v>33</v>
      </c>
      <c r="G592" s="6" cm="1">
        <f t="array" ref="G592">IFERROR(INDEX(EmployeeData[Join Date], ROW() - 37), "")</f>
        <v>45399</v>
      </c>
      <c r="H592" s="6" t="str" cm="1">
        <f t="array" ref="H592">IFERROR(IF(INDEX(EmployeeData[Exit Date], ROW() - 37)=0, "",INDEX(EmployeeData[Exit Date], ROW() - 37)),"")</f>
        <v/>
      </c>
      <c r="I592" s="4" t="str" cm="1">
        <f t="array" ref="I592">IFERROR(IF(INDEX(EmployeeData[Exit Reason], ROW() - 37)=0, "",INDEX(EmployeeData[Exit Reason], ROW() - 37)),"")</f>
        <v/>
      </c>
      <c r="J592" s="4" t="str" cm="1">
        <f t="array" ref="J592">IFERROR(INDEX(EmployeeData[Status], ROW() - 37), "")</f>
        <v>Active</v>
      </c>
    </row>
    <row r="593" spans="2:10" ht="19.95" customHeight="1" x14ac:dyDescent="0.3">
      <c r="B593" s="4" cm="1">
        <f t="array" ref="B593">IFERROR(INDEX(EmployeeData[Employee ID], ROW() - 37), "")</f>
        <v>1556</v>
      </c>
      <c r="C593" s="4" t="str" cm="1">
        <f t="array" ref="C593">IFERROR(INDEX(EmployeeData[Full Name], ROW() - 37), "")</f>
        <v>Harold Reyes Diaz</v>
      </c>
      <c r="D593" s="4" t="str" cm="1">
        <f t="array" ref="D593">IFERROR(INDEX(EmployeeData[Department], ROW() - 37), "")</f>
        <v>HR</v>
      </c>
      <c r="E593" s="4" t="str" cm="1">
        <f t="array" ref="E593">IFERROR(INDEX(EmployeeData[Gender], ROW() - 37), "")</f>
        <v>Male</v>
      </c>
      <c r="F593" s="4" cm="1">
        <f t="array" ref="F593">IFERROR(INDEX(EmployeeData[Age], ROW() - 37), "")</f>
        <v>57</v>
      </c>
      <c r="G593" s="6" cm="1">
        <f t="array" ref="G593">IFERROR(INDEX(EmployeeData[Join Date], ROW() - 37), "")</f>
        <v>43467</v>
      </c>
      <c r="H593" s="6" cm="1">
        <f t="array" ref="H593">IFERROR(IF(INDEX(EmployeeData[Exit Date], ROW() - 37)=0, "",INDEX(EmployeeData[Exit Date], ROW() - 37)),"")</f>
        <v>45251</v>
      </c>
      <c r="I593" s="4" t="str" cm="1">
        <f t="array" ref="I593">IFERROR(IF(INDEX(EmployeeData[Exit Reason], ROW() - 37)=0, "",INDEX(EmployeeData[Exit Reason], ROW() - 37)),"")</f>
        <v>Termination</v>
      </c>
      <c r="J593" s="4" t="str" cm="1">
        <f t="array" ref="J593">IFERROR(INDEX(EmployeeData[Status], ROW() - 37), "")</f>
        <v>Exited</v>
      </c>
    </row>
    <row r="594" spans="2:10" ht="19.95" customHeight="1" x14ac:dyDescent="0.3">
      <c r="B594" s="4" cm="1">
        <f t="array" ref="B594">IFERROR(INDEX(EmployeeData[Employee ID], ROW() - 37), "")</f>
        <v>1557</v>
      </c>
      <c r="C594" s="4" t="str" cm="1">
        <f t="array" ref="C594">IFERROR(INDEX(EmployeeData[Full Name], ROW() - 37), "")</f>
        <v>Cherry Cruz Trinidad</v>
      </c>
      <c r="D594" s="4" t="str" cm="1">
        <f t="array" ref="D594">IFERROR(INDEX(EmployeeData[Department], ROW() - 37), "")</f>
        <v>HR</v>
      </c>
      <c r="E594" s="4" t="str" cm="1">
        <f t="array" ref="E594">IFERROR(INDEX(EmployeeData[Gender], ROW() - 37), "")</f>
        <v>Female</v>
      </c>
      <c r="F594" s="4" cm="1">
        <f t="array" ref="F594">IFERROR(INDEX(EmployeeData[Age], ROW() - 37), "")</f>
        <v>43</v>
      </c>
      <c r="G594" s="6" cm="1">
        <f t="array" ref="G594">IFERROR(INDEX(EmployeeData[Join Date], ROW() - 37), "")</f>
        <v>45625</v>
      </c>
      <c r="H594" s="6" t="str" cm="1">
        <f t="array" ref="H594">IFERROR(IF(INDEX(EmployeeData[Exit Date], ROW() - 37)=0, "",INDEX(EmployeeData[Exit Date], ROW() - 37)),"")</f>
        <v/>
      </c>
      <c r="I594" s="4" t="str" cm="1">
        <f t="array" ref="I594">IFERROR(IF(INDEX(EmployeeData[Exit Reason], ROW() - 37)=0, "",INDEX(EmployeeData[Exit Reason], ROW() - 37)),"")</f>
        <v/>
      </c>
      <c r="J594" s="4" t="str" cm="1">
        <f t="array" ref="J594">IFERROR(INDEX(EmployeeData[Status], ROW() - 37), "")</f>
        <v>Active</v>
      </c>
    </row>
    <row r="595" spans="2:10" ht="19.95" customHeight="1" x14ac:dyDescent="0.3">
      <c r="B595" s="4" cm="1">
        <f t="array" ref="B595">IFERROR(INDEX(EmployeeData[Employee ID], ROW() - 37), "")</f>
        <v>1558</v>
      </c>
      <c r="C595" s="4" t="str" cm="1">
        <f t="array" ref="C595">IFERROR(INDEX(EmployeeData[Full Name], ROW() - 37), "")</f>
        <v>Rowena Gonzales</v>
      </c>
      <c r="D595" s="4" t="str" cm="1">
        <f t="array" ref="D595">IFERROR(INDEX(EmployeeData[Department], ROW() - 37), "")</f>
        <v>Finance</v>
      </c>
      <c r="E595" s="4" t="str" cm="1">
        <f t="array" ref="E595">IFERROR(INDEX(EmployeeData[Gender], ROW() - 37), "")</f>
        <v>Female</v>
      </c>
      <c r="F595" s="4" cm="1">
        <f t="array" ref="F595">IFERROR(INDEX(EmployeeData[Age], ROW() - 37), "")</f>
        <v>44</v>
      </c>
      <c r="G595" s="6" cm="1">
        <f t="array" ref="G595">IFERROR(INDEX(EmployeeData[Join Date], ROW() - 37), "")</f>
        <v>43739</v>
      </c>
      <c r="H595" s="6" t="str" cm="1">
        <f t="array" ref="H595">IFERROR(IF(INDEX(EmployeeData[Exit Date], ROW() - 37)=0, "",INDEX(EmployeeData[Exit Date], ROW() - 37)),"")</f>
        <v/>
      </c>
      <c r="I595" s="4" t="str" cm="1">
        <f t="array" ref="I595">IFERROR(IF(INDEX(EmployeeData[Exit Reason], ROW() - 37)=0, "",INDEX(EmployeeData[Exit Reason], ROW() - 37)),"")</f>
        <v/>
      </c>
      <c r="J595" s="4" t="str" cm="1">
        <f t="array" ref="J595">IFERROR(INDEX(EmployeeData[Status], ROW() - 37), "")</f>
        <v>Active</v>
      </c>
    </row>
    <row r="596" spans="2:10" ht="19.95" customHeight="1" x14ac:dyDescent="0.3">
      <c r="B596" s="4" cm="1">
        <f t="array" ref="B596">IFERROR(INDEX(EmployeeData[Employee ID], ROW() - 37), "")</f>
        <v>1559</v>
      </c>
      <c r="C596" s="4" t="str" cm="1">
        <f t="array" ref="C596">IFERROR(INDEX(EmployeeData[Full Name], ROW() - 37), "")</f>
        <v>Christian Diaz Natividad</v>
      </c>
      <c r="D596" s="4" t="str" cm="1">
        <f t="array" ref="D596">IFERROR(INDEX(EmployeeData[Department], ROW() - 37), "")</f>
        <v>IT</v>
      </c>
      <c r="E596" s="4" t="str" cm="1">
        <f t="array" ref="E596">IFERROR(INDEX(EmployeeData[Gender], ROW() - 37), "")</f>
        <v>Male</v>
      </c>
      <c r="F596" s="4" cm="1">
        <f t="array" ref="F596">IFERROR(INDEX(EmployeeData[Age], ROW() - 37), "")</f>
        <v>30</v>
      </c>
      <c r="G596" s="6" cm="1">
        <f t="array" ref="G596">IFERROR(INDEX(EmployeeData[Join Date], ROW() - 37), "")</f>
        <v>44279</v>
      </c>
      <c r="H596" s="6" cm="1">
        <f t="array" ref="H596">IFERROR(IF(INDEX(EmployeeData[Exit Date], ROW() - 37)=0, "",INDEX(EmployeeData[Exit Date], ROW() - 37)),"")</f>
        <v>45789</v>
      </c>
      <c r="I596" s="4" t="str" cm="1">
        <f t="array" ref="I596">IFERROR(IF(INDEX(EmployeeData[Exit Reason], ROW() - 37)=0, "",INDEX(EmployeeData[Exit Reason], ROW() - 37)),"")</f>
        <v>Resignation</v>
      </c>
      <c r="J596" s="4" t="str" cm="1">
        <f t="array" ref="J596">IFERROR(INDEX(EmployeeData[Status], ROW() - 37), "")</f>
        <v>Exited</v>
      </c>
    </row>
    <row r="597" spans="2:10" ht="19.95" customHeight="1" x14ac:dyDescent="0.3">
      <c r="B597" s="4" cm="1">
        <f t="array" ref="B597">IFERROR(INDEX(EmployeeData[Employee ID], ROW() - 37), "")</f>
        <v>1560</v>
      </c>
      <c r="C597" s="4" t="str" cm="1">
        <f t="array" ref="C597">IFERROR(INDEX(EmployeeData[Full Name], ROW() - 37), "")</f>
        <v>Teodoro Fernandez Hilario</v>
      </c>
      <c r="D597" s="4" t="str" cm="1">
        <f t="array" ref="D597">IFERROR(INDEX(EmployeeData[Department], ROW() - 37), "")</f>
        <v>Customer Support</v>
      </c>
      <c r="E597" s="4" t="str" cm="1">
        <f t="array" ref="E597">IFERROR(INDEX(EmployeeData[Gender], ROW() - 37), "")</f>
        <v>Male</v>
      </c>
      <c r="F597" s="4" cm="1">
        <f t="array" ref="F597">IFERROR(INDEX(EmployeeData[Age], ROW() - 37), "")</f>
        <v>34</v>
      </c>
      <c r="G597" s="6" cm="1">
        <f t="array" ref="G597">IFERROR(INDEX(EmployeeData[Join Date], ROW() - 37), "")</f>
        <v>45339</v>
      </c>
      <c r="H597" s="6" t="str" cm="1">
        <f t="array" ref="H597">IFERROR(IF(INDEX(EmployeeData[Exit Date], ROW() - 37)=0, "",INDEX(EmployeeData[Exit Date], ROW() - 37)),"")</f>
        <v/>
      </c>
      <c r="I597" s="4" t="str" cm="1">
        <f t="array" ref="I597">IFERROR(IF(INDEX(EmployeeData[Exit Reason], ROW() - 37)=0, "",INDEX(EmployeeData[Exit Reason], ROW() - 37)),"")</f>
        <v/>
      </c>
      <c r="J597" s="4" t="str" cm="1">
        <f t="array" ref="J597">IFERROR(INDEX(EmployeeData[Status], ROW() - 37), "")</f>
        <v>Active</v>
      </c>
    </row>
    <row r="598" spans="2:10" ht="19.95" customHeight="1" x14ac:dyDescent="0.3">
      <c r="B598" s="4" cm="1">
        <f t="array" ref="B598">IFERROR(INDEX(EmployeeData[Employee ID], ROW() - 37), "")</f>
        <v>1561</v>
      </c>
      <c r="C598" s="4" t="str" cm="1">
        <f t="array" ref="C598">IFERROR(INDEX(EmployeeData[Full Name], ROW() - 37), "")</f>
        <v>Mark Bautista Garcia</v>
      </c>
      <c r="D598" s="4" t="str" cm="1">
        <f t="array" ref="D598">IFERROR(INDEX(EmployeeData[Department], ROW() - 37), "")</f>
        <v>HR</v>
      </c>
      <c r="E598" s="4" t="str" cm="1">
        <f t="array" ref="E598">IFERROR(INDEX(EmployeeData[Gender], ROW() - 37), "")</f>
        <v>Male</v>
      </c>
      <c r="F598" s="4" cm="1">
        <f t="array" ref="F598">IFERROR(INDEX(EmployeeData[Age], ROW() - 37), "")</f>
        <v>45</v>
      </c>
      <c r="G598" s="6" cm="1">
        <f t="array" ref="G598">IFERROR(INDEX(EmployeeData[Join Date], ROW() - 37), "")</f>
        <v>45488</v>
      </c>
      <c r="H598" s="6" t="str" cm="1">
        <f t="array" ref="H598">IFERROR(IF(INDEX(EmployeeData[Exit Date], ROW() - 37)=0, "",INDEX(EmployeeData[Exit Date], ROW() - 37)),"")</f>
        <v/>
      </c>
      <c r="I598" s="4" t="str" cm="1">
        <f t="array" ref="I598">IFERROR(IF(INDEX(EmployeeData[Exit Reason], ROW() - 37)=0, "",INDEX(EmployeeData[Exit Reason], ROW() - 37)),"")</f>
        <v/>
      </c>
      <c r="J598" s="4" t="str" cm="1">
        <f t="array" ref="J598">IFERROR(INDEX(EmployeeData[Status], ROW() - 37), "")</f>
        <v>Active</v>
      </c>
    </row>
    <row r="599" spans="2:10" ht="19.95" customHeight="1" x14ac:dyDescent="0.3">
      <c r="B599" s="4" cm="1">
        <f t="array" ref="B599">IFERROR(INDEX(EmployeeData[Employee ID], ROW() - 37), "")</f>
        <v>1562</v>
      </c>
      <c r="C599" s="4" t="str" cm="1">
        <f t="array" ref="C599">IFERROR(INDEX(EmployeeData[Full Name], ROW() - 37), "")</f>
        <v>Alex Aguilar Aquino</v>
      </c>
      <c r="D599" s="4" t="str" cm="1">
        <f t="array" ref="D599">IFERROR(INDEX(EmployeeData[Department], ROW() - 37), "")</f>
        <v>IT</v>
      </c>
      <c r="E599" s="4" t="str" cm="1">
        <f t="array" ref="E599">IFERROR(INDEX(EmployeeData[Gender], ROW() - 37), "")</f>
        <v>Other</v>
      </c>
      <c r="F599" s="4" cm="1">
        <f t="array" ref="F599">IFERROR(INDEX(EmployeeData[Age], ROW() - 37), "")</f>
        <v>38</v>
      </c>
      <c r="G599" s="6" cm="1">
        <f t="array" ref="G599">IFERROR(INDEX(EmployeeData[Join Date], ROW() - 37), "")</f>
        <v>43318</v>
      </c>
      <c r="H599" s="6" t="str" cm="1">
        <f t="array" ref="H599">IFERROR(IF(INDEX(EmployeeData[Exit Date], ROW() - 37)=0, "",INDEX(EmployeeData[Exit Date], ROW() - 37)),"")</f>
        <v/>
      </c>
      <c r="I599" s="4" t="str" cm="1">
        <f t="array" ref="I599">IFERROR(IF(INDEX(EmployeeData[Exit Reason], ROW() - 37)=0, "",INDEX(EmployeeData[Exit Reason], ROW() - 37)),"")</f>
        <v/>
      </c>
      <c r="J599" s="4" t="str" cm="1">
        <f t="array" ref="J599">IFERROR(INDEX(EmployeeData[Status], ROW() - 37), "")</f>
        <v>Active</v>
      </c>
    </row>
    <row r="600" spans="2:10" ht="19.95" customHeight="1" x14ac:dyDescent="0.3">
      <c r="B600" s="4" cm="1">
        <f t="array" ref="B600">IFERROR(INDEX(EmployeeData[Employee ID], ROW() - 37), "")</f>
        <v>1563</v>
      </c>
      <c r="C600" s="4" t="str" cm="1">
        <f t="array" ref="C600">IFERROR(INDEX(EmployeeData[Full Name], ROW() - 37), "")</f>
        <v>Pilar Navarro Lazo</v>
      </c>
      <c r="D600" s="4" t="str" cm="1">
        <f t="array" ref="D600">IFERROR(INDEX(EmployeeData[Department], ROW() - 37), "")</f>
        <v>HR</v>
      </c>
      <c r="E600" s="4" t="str" cm="1">
        <f t="array" ref="E600">IFERROR(INDEX(EmployeeData[Gender], ROW() - 37), "")</f>
        <v>Other</v>
      </c>
      <c r="F600" s="4" cm="1">
        <f t="array" ref="F600">IFERROR(INDEX(EmployeeData[Age], ROW() - 37), "")</f>
        <v>62</v>
      </c>
      <c r="G600" s="6" cm="1">
        <f t="array" ref="G600">IFERROR(INDEX(EmployeeData[Join Date], ROW() - 37), "")</f>
        <v>43542</v>
      </c>
      <c r="H600" s="6" cm="1">
        <f t="array" ref="H600">IFERROR(IF(INDEX(EmployeeData[Exit Date], ROW() - 37)=0, "",INDEX(EmployeeData[Exit Date], ROW() - 37)),"")</f>
        <v>45215</v>
      </c>
      <c r="I600" s="4" t="str" cm="1">
        <f t="array" ref="I600">IFERROR(IF(INDEX(EmployeeData[Exit Reason], ROW() - 37)=0, "",INDEX(EmployeeData[Exit Reason], ROW() - 37)),"")</f>
        <v>Retirement</v>
      </c>
      <c r="J600" s="4" t="str" cm="1">
        <f t="array" ref="J600">IFERROR(INDEX(EmployeeData[Status], ROW() - 37), "")</f>
        <v>Exited</v>
      </c>
    </row>
    <row r="601" spans="2:10" ht="19.95" customHeight="1" x14ac:dyDescent="0.3">
      <c r="B601" s="4" cm="1">
        <f t="array" ref="B601">IFERROR(INDEX(EmployeeData[Employee ID], ROW() - 37), "")</f>
        <v>1564</v>
      </c>
      <c r="C601" s="4" t="str" cm="1">
        <f t="array" ref="C601">IFERROR(INDEX(EmployeeData[Full Name], ROW() - 37), "")</f>
        <v>Miguel Soriano Garcia</v>
      </c>
      <c r="D601" s="4" t="str" cm="1">
        <f t="array" ref="D601">IFERROR(INDEX(EmployeeData[Department], ROW() - 37), "")</f>
        <v>Marketing</v>
      </c>
      <c r="E601" s="4" t="str" cm="1">
        <f t="array" ref="E601">IFERROR(INDEX(EmployeeData[Gender], ROW() - 37), "")</f>
        <v>Male</v>
      </c>
      <c r="F601" s="4" cm="1">
        <f t="array" ref="F601">IFERROR(INDEX(EmployeeData[Age], ROW() - 37), "")</f>
        <v>26</v>
      </c>
      <c r="G601" s="6" cm="1">
        <f t="array" ref="G601">IFERROR(INDEX(EmployeeData[Join Date], ROW() - 37), "")</f>
        <v>43864</v>
      </c>
      <c r="H601" s="6" cm="1">
        <f t="array" ref="H601">IFERROR(IF(INDEX(EmployeeData[Exit Date], ROW() - 37)=0, "",INDEX(EmployeeData[Exit Date], ROW() - 37)),"")</f>
        <v>45829</v>
      </c>
      <c r="I601" s="4" t="str" cm="1">
        <f t="array" ref="I601">IFERROR(IF(INDEX(EmployeeData[Exit Reason], ROW() - 37)=0, "",INDEX(EmployeeData[Exit Reason], ROW() - 37)),"")</f>
        <v>Health Issues</v>
      </c>
      <c r="J601" s="4" t="str" cm="1">
        <f t="array" ref="J601">IFERROR(INDEX(EmployeeData[Status], ROW() - 37), "")</f>
        <v>Exited</v>
      </c>
    </row>
    <row r="602" spans="2:10" ht="19.95" customHeight="1" x14ac:dyDescent="0.3">
      <c r="B602" s="4" cm="1">
        <f t="array" ref="B602">IFERROR(INDEX(EmployeeData[Employee ID], ROW() - 37), "")</f>
        <v>1565</v>
      </c>
      <c r="C602" s="4" t="str" cm="1">
        <f t="array" ref="C602">IFERROR(INDEX(EmployeeData[Full Name], ROW() - 37), "")</f>
        <v>Bryan Sy</v>
      </c>
      <c r="D602" s="4" t="str" cm="1">
        <f t="array" ref="D602">IFERROR(INDEX(EmployeeData[Department], ROW() - 37), "")</f>
        <v>IT</v>
      </c>
      <c r="E602" s="4" t="str" cm="1">
        <f t="array" ref="E602">IFERROR(INDEX(EmployeeData[Gender], ROW() - 37), "")</f>
        <v>Male</v>
      </c>
      <c r="F602" s="4" cm="1">
        <f t="array" ref="F602">IFERROR(INDEX(EmployeeData[Age], ROW() - 37), "")</f>
        <v>31</v>
      </c>
      <c r="G602" s="6" cm="1">
        <f t="array" ref="G602">IFERROR(INDEX(EmployeeData[Join Date], ROW() - 37), "")</f>
        <v>43176</v>
      </c>
      <c r="H602" s="6" cm="1">
        <f t="array" ref="H602">IFERROR(IF(INDEX(EmployeeData[Exit Date], ROW() - 37)=0, "",INDEX(EmployeeData[Exit Date], ROW() - 37)),"")</f>
        <v>44707</v>
      </c>
      <c r="I602" s="4" t="str" cm="1">
        <f t="array" ref="I602">IFERROR(IF(INDEX(EmployeeData[Exit Reason], ROW() - 37)=0, "",INDEX(EmployeeData[Exit Reason], ROW() - 37)),"")</f>
        <v>Termination</v>
      </c>
      <c r="J602" s="4" t="str" cm="1">
        <f t="array" ref="J602">IFERROR(INDEX(EmployeeData[Status], ROW() - 37), "")</f>
        <v>Exited</v>
      </c>
    </row>
    <row r="603" spans="2:10" ht="19.95" customHeight="1" x14ac:dyDescent="0.3">
      <c r="B603" s="4" cm="1">
        <f t="array" ref="B603">IFERROR(INDEX(EmployeeData[Employee ID], ROW() - 37), "")</f>
        <v>1566</v>
      </c>
      <c r="C603" s="4" t="str" cm="1">
        <f t="array" ref="C603">IFERROR(INDEX(EmployeeData[Full Name], ROW() - 37), "")</f>
        <v>Luisa Jacinto</v>
      </c>
      <c r="D603" s="4" t="str" cm="1">
        <f t="array" ref="D603">IFERROR(INDEX(EmployeeData[Department], ROW() - 37), "")</f>
        <v>Finance</v>
      </c>
      <c r="E603" s="4" t="str" cm="1">
        <f t="array" ref="E603">IFERROR(INDEX(EmployeeData[Gender], ROW() - 37), "")</f>
        <v>Female</v>
      </c>
      <c r="F603" s="4" cm="1">
        <f t="array" ref="F603">IFERROR(INDEX(EmployeeData[Age], ROW() - 37), "")</f>
        <v>24</v>
      </c>
      <c r="G603" s="6" cm="1">
        <f t="array" ref="G603">IFERROR(INDEX(EmployeeData[Join Date], ROW() - 37), "")</f>
        <v>45664</v>
      </c>
      <c r="H603" s="6" cm="1">
        <f t="array" ref="H603">IFERROR(IF(INDEX(EmployeeData[Exit Date], ROW() - 37)=0, "",INDEX(EmployeeData[Exit Date], ROW() - 37)),"")</f>
        <v>45952</v>
      </c>
      <c r="I603" s="4" t="str" cm="1">
        <f t="array" ref="I603">IFERROR(IF(INDEX(EmployeeData[Exit Reason], ROW() - 37)=0, "",INDEX(EmployeeData[Exit Reason], ROW() - 37)),"")</f>
        <v>Resignation</v>
      </c>
      <c r="J603" s="4" t="str" cm="1">
        <f t="array" ref="J603">IFERROR(INDEX(EmployeeData[Status], ROW() - 37), "")</f>
        <v>Exited</v>
      </c>
    </row>
    <row r="604" spans="2:10" ht="19.95" customHeight="1" x14ac:dyDescent="0.3">
      <c r="B604" s="4" cm="1">
        <f t="array" ref="B604">IFERROR(INDEX(EmployeeData[Employee ID], ROW() - 37), "")</f>
        <v>1567</v>
      </c>
      <c r="C604" s="4" t="str" cm="1">
        <f t="array" ref="C604">IFERROR(INDEX(EmployeeData[Full Name], ROW() - 37), "")</f>
        <v>Osvaldo Fernandez Camacho</v>
      </c>
      <c r="D604" s="4" t="str" cm="1">
        <f t="array" ref="D604">IFERROR(INDEX(EmployeeData[Department], ROW() - 37), "")</f>
        <v>Customer Support</v>
      </c>
      <c r="E604" s="4" t="str" cm="1">
        <f t="array" ref="E604">IFERROR(INDEX(EmployeeData[Gender], ROW() - 37), "")</f>
        <v>Male</v>
      </c>
      <c r="F604" s="4" cm="1">
        <f t="array" ref="F604">IFERROR(INDEX(EmployeeData[Age], ROW() - 37), "")</f>
        <v>46</v>
      </c>
      <c r="G604" s="6" cm="1">
        <f t="array" ref="G604">IFERROR(INDEX(EmployeeData[Join Date], ROW() - 37), "")</f>
        <v>45791</v>
      </c>
      <c r="H604" s="6" cm="1">
        <f t="array" ref="H604">IFERROR(IF(INDEX(EmployeeData[Exit Date], ROW() - 37)=0, "",INDEX(EmployeeData[Exit Date], ROW() - 37)),"")</f>
        <v>46076</v>
      </c>
      <c r="I604" s="4" t="str" cm="1">
        <f t="array" ref="I604">IFERROR(IF(INDEX(EmployeeData[Exit Reason], ROW() - 37)=0, "",INDEX(EmployeeData[Exit Reason], ROW() - 37)),"")</f>
        <v>Health Issues</v>
      </c>
      <c r="J604" s="4" t="str" cm="1">
        <f t="array" ref="J604">IFERROR(INDEX(EmployeeData[Status], ROW() - 37), "")</f>
        <v>Exited</v>
      </c>
    </row>
    <row r="605" spans="2:10" ht="19.95" customHeight="1" x14ac:dyDescent="0.3">
      <c r="B605" s="4" cm="1">
        <f t="array" ref="B605">IFERROR(INDEX(EmployeeData[Employee ID], ROW() - 37), "")</f>
        <v>1568</v>
      </c>
      <c r="C605" s="4" t="str" cm="1">
        <f t="array" ref="C605">IFERROR(INDEX(EmployeeData[Full Name], ROW() - 37), "")</f>
        <v>Natividad Castro Corpuz</v>
      </c>
      <c r="D605" s="4" t="str" cm="1">
        <f t="array" ref="D605">IFERROR(INDEX(EmployeeData[Department], ROW() - 37), "")</f>
        <v>IT</v>
      </c>
      <c r="E605" s="4" t="str" cm="1">
        <f t="array" ref="E605">IFERROR(INDEX(EmployeeData[Gender], ROW() - 37), "")</f>
        <v>Female</v>
      </c>
      <c r="F605" s="4" cm="1">
        <f t="array" ref="F605">IFERROR(INDEX(EmployeeData[Age], ROW() - 37), "")</f>
        <v>42</v>
      </c>
      <c r="G605" s="6" cm="1">
        <f t="array" ref="G605">IFERROR(INDEX(EmployeeData[Join Date], ROW() - 37), "")</f>
        <v>44940</v>
      </c>
      <c r="H605" s="6" t="str" cm="1">
        <f t="array" ref="H605">IFERROR(IF(INDEX(EmployeeData[Exit Date], ROW() - 37)=0, "",INDEX(EmployeeData[Exit Date], ROW() - 37)),"")</f>
        <v/>
      </c>
      <c r="I605" s="4" t="str" cm="1">
        <f t="array" ref="I605">IFERROR(IF(INDEX(EmployeeData[Exit Reason], ROW() - 37)=0, "",INDEX(EmployeeData[Exit Reason], ROW() - 37)),"")</f>
        <v/>
      </c>
      <c r="J605" s="4" t="str" cm="1">
        <f t="array" ref="J605">IFERROR(INDEX(EmployeeData[Status], ROW() - 37), "")</f>
        <v>Active</v>
      </c>
    </row>
    <row r="606" spans="2:10" ht="19.95" customHeight="1" x14ac:dyDescent="0.3">
      <c r="B606" s="4" cm="1">
        <f t="array" ref="B606">IFERROR(INDEX(EmployeeData[Employee ID], ROW() - 37), "")</f>
        <v>1569</v>
      </c>
      <c r="C606" s="4" t="str" cm="1">
        <f t="array" ref="C606">IFERROR(INDEX(EmployeeData[Full Name], ROW() - 37), "")</f>
        <v>Erlinda Corpuz</v>
      </c>
      <c r="D606" s="4" t="str" cm="1">
        <f t="array" ref="D606">IFERROR(INDEX(EmployeeData[Department], ROW() - 37), "")</f>
        <v>Sales</v>
      </c>
      <c r="E606" s="4" t="str" cm="1">
        <f t="array" ref="E606">IFERROR(INDEX(EmployeeData[Gender], ROW() - 37), "")</f>
        <v>Female</v>
      </c>
      <c r="F606" s="4" cm="1">
        <f t="array" ref="F606">IFERROR(INDEX(EmployeeData[Age], ROW() - 37), "")</f>
        <v>54</v>
      </c>
      <c r="G606" s="6" cm="1">
        <f t="array" ref="G606">IFERROR(INDEX(EmployeeData[Join Date], ROW() - 37), "")</f>
        <v>43654</v>
      </c>
      <c r="H606" s="6" t="str" cm="1">
        <f t="array" ref="H606">IFERROR(IF(INDEX(EmployeeData[Exit Date], ROW() - 37)=0, "",INDEX(EmployeeData[Exit Date], ROW() - 37)),"")</f>
        <v/>
      </c>
      <c r="I606" s="4" t="str" cm="1">
        <f t="array" ref="I606">IFERROR(IF(INDEX(EmployeeData[Exit Reason], ROW() - 37)=0, "",INDEX(EmployeeData[Exit Reason], ROW() - 37)),"")</f>
        <v/>
      </c>
      <c r="J606" s="4" t="str" cm="1">
        <f t="array" ref="J606">IFERROR(INDEX(EmployeeData[Status], ROW() - 37), "")</f>
        <v>Active</v>
      </c>
    </row>
    <row r="607" spans="2:10" ht="19.95" customHeight="1" x14ac:dyDescent="0.3">
      <c r="B607" s="4" cm="1">
        <f t="array" ref="B607">IFERROR(INDEX(EmployeeData[Employee ID], ROW() - 37), "")</f>
        <v>1570</v>
      </c>
      <c r="C607" s="4" t="str" cm="1">
        <f t="array" ref="C607">IFERROR(INDEX(EmployeeData[Full Name], ROW() - 37), "")</f>
        <v>Annaliza Fernandez Navarro</v>
      </c>
      <c r="D607" s="4" t="str" cm="1">
        <f t="array" ref="D607">IFERROR(INDEX(EmployeeData[Department], ROW() - 37), "")</f>
        <v>Finance</v>
      </c>
      <c r="E607" s="4" t="str" cm="1">
        <f t="array" ref="E607">IFERROR(INDEX(EmployeeData[Gender], ROW() - 37), "")</f>
        <v>Female</v>
      </c>
      <c r="F607" s="4" cm="1">
        <f t="array" ref="F607">IFERROR(INDEX(EmployeeData[Age], ROW() - 37), "")</f>
        <v>56</v>
      </c>
      <c r="G607" s="6" cm="1">
        <f t="array" ref="G607">IFERROR(INDEX(EmployeeData[Join Date], ROW() - 37), "")</f>
        <v>45284</v>
      </c>
      <c r="H607" s="6" t="str" cm="1">
        <f t="array" ref="H607">IFERROR(IF(INDEX(EmployeeData[Exit Date], ROW() - 37)=0, "",INDEX(EmployeeData[Exit Date], ROW() - 37)),"")</f>
        <v/>
      </c>
      <c r="I607" s="4" t="str" cm="1">
        <f t="array" ref="I607">IFERROR(IF(INDEX(EmployeeData[Exit Reason], ROW() - 37)=0, "",INDEX(EmployeeData[Exit Reason], ROW() - 37)),"")</f>
        <v/>
      </c>
      <c r="J607" s="4" t="str" cm="1">
        <f t="array" ref="J607">IFERROR(INDEX(EmployeeData[Status], ROW() - 37), "")</f>
        <v>Active</v>
      </c>
    </row>
    <row r="608" spans="2:10" ht="19.95" customHeight="1" x14ac:dyDescent="0.3">
      <c r="B608" s="4" cm="1">
        <f t="array" ref="B608">IFERROR(INDEX(EmployeeData[Employee ID], ROW() - 37), "")</f>
        <v>1571</v>
      </c>
      <c r="C608" s="4" t="str" cm="1">
        <f t="array" ref="C608">IFERROR(INDEX(EmployeeData[Full Name], ROW() - 37), "")</f>
        <v>Fernando Domingo</v>
      </c>
      <c r="D608" s="4" t="str" cm="1">
        <f t="array" ref="D608">IFERROR(INDEX(EmployeeData[Department], ROW() - 37), "")</f>
        <v>HR</v>
      </c>
      <c r="E608" s="4" t="str" cm="1">
        <f t="array" ref="E608">IFERROR(INDEX(EmployeeData[Gender], ROW() - 37), "")</f>
        <v>Other</v>
      </c>
      <c r="F608" s="4" cm="1">
        <f t="array" ref="F608">IFERROR(INDEX(EmployeeData[Age], ROW() - 37), "")</f>
        <v>47</v>
      </c>
      <c r="G608" s="6" cm="1">
        <f t="array" ref="G608">IFERROR(INDEX(EmployeeData[Join Date], ROW() - 37), "")</f>
        <v>44785</v>
      </c>
      <c r="H608" s="6" cm="1">
        <f t="array" ref="H608">IFERROR(IF(INDEX(EmployeeData[Exit Date], ROW() - 37)=0, "",INDEX(EmployeeData[Exit Date], ROW() - 37)),"")</f>
        <v>46179</v>
      </c>
      <c r="I608" s="4" t="str" cm="1">
        <f t="array" ref="I608">IFERROR(IF(INDEX(EmployeeData[Exit Reason], ROW() - 37)=0, "",INDEX(EmployeeData[Exit Reason], ROW() - 37)),"")</f>
        <v>Contract End</v>
      </c>
      <c r="J608" s="4" t="str" cm="1">
        <f t="array" ref="J608">IFERROR(INDEX(EmployeeData[Status], ROW() - 37), "")</f>
        <v>Exited</v>
      </c>
    </row>
    <row r="609" spans="2:10" ht="19.95" customHeight="1" x14ac:dyDescent="0.3">
      <c r="B609" s="4" cm="1">
        <f t="array" ref="B609">IFERROR(INDEX(EmployeeData[Employee ID], ROW() - 37), "")</f>
        <v>1572</v>
      </c>
      <c r="C609" s="4" t="str" cm="1">
        <f t="array" ref="C609">IFERROR(INDEX(EmployeeData[Full Name], ROW() - 37), "")</f>
        <v>Queenie Reyes Perez</v>
      </c>
      <c r="D609" s="4" t="str" cm="1">
        <f t="array" ref="D609">IFERROR(INDEX(EmployeeData[Department], ROW() - 37), "")</f>
        <v>Customer Support</v>
      </c>
      <c r="E609" s="4" t="str" cm="1">
        <f t="array" ref="E609">IFERROR(INDEX(EmployeeData[Gender], ROW() - 37), "")</f>
        <v>Female</v>
      </c>
      <c r="F609" s="4" cm="1">
        <f t="array" ref="F609">IFERROR(INDEX(EmployeeData[Age], ROW() - 37), "")</f>
        <v>38</v>
      </c>
      <c r="G609" s="6" cm="1">
        <f t="array" ref="G609">IFERROR(INDEX(EmployeeData[Join Date], ROW() - 37), "")</f>
        <v>45581</v>
      </c>
      <c r="H609" s="6" t="str" cm="1">
        <f t="array" ref="H609">IFERROR(IF(INDEX(EmployeeData[Exit Date], ROW() - 37)=0, "",INDEX(EmployeeData[Exit Date], ROW() - 37)),"")</f>
        <v/>
      </c>
      <c r="I609" s="4" t="str" cm="1">
        <f t="array" ref="I609">IFERROR(IF(INDEX(EmployeeData[Exit Reason], ROW() - 37)=0, "",INDEX(EmployeeData[Exit Reason], ROW() - 37)),"")</f>
        <v/>
      </c>
      <c r="J609" s="4" t="str" cm="1">
        <f t="array" ref="J609">IFERROR(INDEX(EmployeeData[Status], ROW() - 37), "")</f>
        <v>Active</v>
      </c>
    </row>
    <row r="610" spans="2:10" ht="19.95" customHeight="1" x14ac:dyDescent="0.3">
      <c r="B610" s="4" cm="1">
        <f t="array" ref="B610">IFERROR(INDEX(EmployeeData[Employee ID], ROW() - 37), "")</f>
        <v>1573</v>
      </c>
      <c r="C610" s="4" t="str" cm="1">
        <f t="array" ref="C610">IFERROR(INDEX(EmployeeData[Full Name], ROW() - 37), "")</f>
        <v>Cristina Tuazon</v>
      </c>
      <c r="D610" s="4" t="str" cm="1">
        <f t="array" ref="D610">IFERROR(INDEX(EmployeeData[Department], ROW() - 37), "")</f>
        <v>IT</v>
      </c>
      <c r="E610" s="4" t="str" cm="1">
        <f t="array" ref="E610">IFERROR(INDEX(EmployeeData[Gender], ROW() - 37), "")</f>
        <v>Other</v>
      </c>
      <c r="F610" s="4" cm="1">
        <f t="array" ref="F610">IFERROR(INDEX(EmployeeData[Age], ROW() - 37), "")</f>
        <v>51</v>
      </c>
      <c r="G610" s="6" cm="1">
        <f t="array" ref="G610">IFERROR(INDEX(EmployeeData[Join Date], ROW() - 37), "")</f>
        <v>43650</v>
      </c>
      <c r="H610" s="6" t="str" cm="1">
        <f t="array" ref="H610">IFERROR(IF(INDEX(EmployeeData[Exit Date], ROW() - 37)=0, "",INDEX(EmployeeData[Exit Date], ROW() - 37)),"")</f>
        <v/>
      </c>
      <c r="I610" s="4" t="str" cm="1">
        <f t="array" ref="I610">IFERROR(IF(INDEX(EmployeeData[Exit Reason], ROW() - 37)=0, "",INDEX(EmployeeData[Exit Reason], ROW() - 37)),"")</f>
        <v/>
      </c>
      <c r="J610" s="4" t="str" cm="1">
        <f t="array" ref="J610">IFERROR(INDEX(EmployeeData[Status], ROW() - 37), "")</f>
        <v>Active</v>
      </c>
    </row>
    <row r="611" spans="2:10" ht="19.95" customHeight="1" x14ac:dyDescent="0.3">
      <c r="B611" s="4" cm="1">
        <f t="array" ref="B611">IFERROR(INDEX(EmployeeData[Employee ID], ROW() - 37), "")</f>
        <v>1574</v>
      </c>
      <c r="C611" s="4" t="str" cm="1">
        <f t="array" ref="C611">IFERROR(INDEX(EmployeeData[Full Name], ROW() - 37), "")</f>
        <v>Alex Wong</v>
      </c>
      <c r="D611" s="4" t="str" cm="1">
        <f t="array" ref="D611">IFERROR(INDEX(EmployeeData[Department], ROW() - 37), "")</f>
        <v>IT</v>
      </c>
      <c r="E611" s="4" t="str" cm="1">
        <f t="array" ref="E611">IFERROR(INDEX(EmployeeData[Gender], ROW() - 37), "")</f>
        <v>Other</v>
      </c>
      <c r="F611" s="4" cm="1">
        <f t="array" ref="F611">IFERROR(INDEX(EmployeeData[Age], ROW() - 37), "")</f>
        <v>63</v>
      </c>
      <c r="G611" s="6" cm="1">
        <f t="array" ref="G611">IFERROR(INDEX(EmployeeData[Join Date], ROW() - 37), "")</f>
        <v>45041</v>
      </c>
      <c r="H611" s="6" cm="1">
        <f t="array" ref="H611">IFERROR(IF(INDEX(EmployeeData[Exit Date], ROW() - 37)=0, "",INDEX(EmployeeData[Exit Date], ROW() - 37)),"")</f>
        <v>45526</v>
      </c>
      <c r="I611" s="4" t="str" cm="1">
        <f t="array" ref="I611">IFERROR(IF(INDEX(EmployeeData[Exit Reason], ROW() - 37)=0, "",INDEX(EmployeeData[Exit Reason], ROW() - 37)),"")</f>
        <v>Retirement</v>
      </c>
      <c r="J611" s="4" t="str" cm="1">
        <f t="array" ref="J611">IFERROR(INDEX(EmployeeData[Status], ROW() - 37), "")</f>
        <v>Exited</v>
      </c>
    </row>
    <row r="612" spans="2:10" ht="19.95" customHeight="1" x14ac:dyDescent="0.3">
      <c r="B612" s="4" cm="1">
        <f t="array" ref="B612">IFERROR(INDEX(EmployeeData[Employee ID], ROW() - 37), "")</f>
        <v>1575</v>
      </c>
      <c r="C612" s="4" t="str" cm="1">
        <f t="array" ref="C612">IFERROR(INDEX(EmployeeData[Full Name], ROW() - 37), "")</f>
        <v>Gani Go Hernandez</v>
      </c>
      <c r="D612" s="4" t="str" cm="1">
        <f t="array" ref="D612">IFERROR(INDEX(EmployeeData[Department], ROW() - 37), "")</f>
        <v>Customer Support</v>
      </c>
      <c r="E612" s="4" t="str" cm="1">
        <f t="array" ref="E612">IFERROR(INDEX(EmployeeData[Gender], ROW() - 37), "")</f>
        <v>Male</v>
      </c>
      <c r="F612" s="4" cm="1">
        <f t="array" ref="F612">IFERROR(INDEX(EmployeeData[Age], ROW() - 37), "")</f>
        <v>33</v>
      </c>
      <c r="G612" s="6" cm="1">
        <f t="array" ref="G612">IFERROR(INDEX(EmployeeData[Join Date], ROW() - 37), "")</f>
        <v>43938</v>
      </c>
      <c r="H612" s="6" cm="1">
        <f t="array" ref="H612">IFERROR(IF(INDEX(EmployeeData[Exit Date], ROW() - 37)=0, "",INDEX(EmployeeData[Exit Date], ROW() - 37)),"")</f>
        <v>45827</v>
      </c>
      <c r="I612" s="4" t="str" cm="1">
        <f t="array" ref="I612">IFERROR(IF(INDEX(EmployeeData[Exit Reason], ROW() - 37)=0, "",INDEX(EmployeeData[Exit Reason], ROW() - 37)),"")</f>
        <v>Resignation</v>
      </c>
      <c r="J612" s="4" t="str" cm="1">
        <f t="array" ref="J612">IFERROR(INDEX(EmployeeData[Status], ROW() - 37), "")</f>
        <v>Exited</v>
      </c>
    </row>
    <row r="613" spans="2:10" ht="19.95" customHeight="1" x14ac:dyDescent="0.3">
      <c r="B613" s="4" cm="1">
        <f t="array" ref="B613">IFERROR(INDEX(EmployeeData[Employee ID], ROW() - 37), "")</f>
        <v>1576</v>
      </c>
      <c r="C613" s="4" t="str" cm="1">
        <f t="array" ref="C613">IFERROR(INDEX(EmployeeData[Full Name], ROW() - 37), "")</f>
        <v>Leonard Cruz Obispo</v>
      </c>
      <c r="D613" s="4" t="str" cm="1">
        <f t="array" ref="D613">IFERROR(INDEX(EmployeeData[Department], ROW() - 37), "")</f>
        <v>Sales</v>
      </c>
      <c r="E613" s="4" t="str" cm="1">
        <f t="array" ref="E613">IFERROR(INDEX(EmployeeData[Gender], ROW() - 37), "")</f>
        <v>Male</v>
      </c>
      <c r="F613" s="4" cm="1">
        <f t="array" ref="F613">IFERROR(INDEX(EmployeeData[Age], ROW() - 37), "")</f>
        <v>23</v>
      </c>
      <c r="G613" s="6" cm="1">
        <f t="array" ref="G613">IFERROR(INDEX(EmployeeData[Join Date], ROW() - 37), "")</f>
        <v>45591</v>
      </c>
      <c r="H613" s="6" t="str" cm="1">
        <f t="array" ref="H613">IFERROR(IF(INDEX(EmployeeData[Exit Date], ROW() - 37)=0, "",INDEX(EmployeeData[Exit Date], ROW() - 37)),"")</f>
        <v/>
      </c>
      <c r="I613" s="4" t="str" cm="1">
        <f t="array" ref="I613">IFERROR(IF(INDEX(EmployeeData[Exit Reason], ROW() - 37)=0, "",INDEX(EmployeeData[Exit Reason], ROW() - 37)),"")</f>
        <v/>
      </c>
      <c r="J613" s="4" t="str" cm="1">
        <f t="array" ref="J613">IFERROR(INDEX(EmployeeData[Status], ROW() - 37), "")</f>
        <v>Active</v>
      </c>
    </row>
    <row r="614" spans="2:10" ht="19.95" customHeight="1" x14ac:dyDescent="0.3">
      <c r="B614" s="4" cm="1">
        <f t="array" ref="B614">IFERROR(INDEX(EmployeeData[Employee ID], ROW() - 37), "")</f>
        <v>1577</v>
      </c>
      <c r="C614" s="4" t="str" cm="1">
        <f t="array" ref="C614">IFERROR(INDEX(EmployeeData[Full Name], ROW() - 37), "")</f>
        <v>Nathan Rivera San Pedro</v>
      </c>
      <c r="D614" s="4" t="str" cm="1">
        <f t="array" ref="D614">IFERROR(INDEX(EmployeeData[Department], ROW() - 37), "")</f>
        <v>Marketing</v>
      </c>
      <c r="E614" s="4" t="str" cm="1">
        <f t="array" ref="E614">IFERROR(INDEX(EmployeeData[Gender], ROW() - 37), "")</f>
        <v>Male</v>
      </c>
      <c r="F614" s="4" cm="1">
        <f t="array" ref="F614">IFERROR(INDEX(EmployeeData[Age], ROW() - 37), "")</f>
        <v>23</v>
      </c>
      <c r="G614" s="6" cm="1">
        <f t="array" ref="G614">IFERROR(INDEX(EmployeeData[Join Date], ROW() - 37), "")</f>
        <v>44107</v>
      </c>
      <c r="H614" s="6" t="str" cm="1">
        <f t="array" ref="H614">IFERROR(IF(INDEX(EmployeeData[Exit Date], ROW() - 37)=0, "",INDEX(EmployeeData[Exit Date], ROW() - 37)),"")</f>
        <v/>
      </c>
      <c r="I614" s="4" t="str" cm="1">
        <f t="array" ref="I614">IFERROR(IF(INDEX(EmployeeData[Exit Reason], ROW() - 37)=0, "",INDEX(EmployeeData[Exit Reason], ROW() - 37)),"")</f>
        <v/>
      </c>
      <c r="J614" s="4" t="str" cm="1">
        <f t="array" ref="J614">IFERROR(INDEX(EmployeeData[Status], ROW() - 37), "")</f>
        <v>Active</v>
      </c>
    </row>
    <row r="615" spans="2:10" ht="19.95" customHeight="1" x14ac:dyDescent="0.3">
      <c r="B615" s="4" cm="1">
        <f t="array" ref="B615">IFERROR(INDEX(EmployeeData[Employee ID], ROW() - 37), "")</f>
        <v>1578</v>
      </c>
      <c r="C615" s="4" t="str" cm="1">
        <f t="array" ref="C615">IFERROR(INDEX(EmployeeData[Full Name], ROW() - 37), "")</f>
        <v>Wilfredo Pascual Suarez</v>
      </c>
      <c r="D615" s="4" t="str" cm="1">
        <f t="array" ref="D615">IFERROR(INDEX(EmployeeData[Department], ROW() - 37), "")</f>
        <v>Marketing</v>
      </c>
      <c r="E615" s="4" t="str" cm="1">
        <f t="array" ref="E615">IFERROR(INDEX(EmployeeData[Gender], ROW() - 37), "")</f>
        <v>Male</v>
      </c>
      <c r="F615" s="4" cm="1">
        <f t="array" ref="F615">IFERROR(INDEX(EmployeeData[Age], ROW() - 37), "")</f>
        <v>24</v>
      </c>
      <c r="G615" s="6" cm="1">
        <f t="array" ref="G615">IFERROR(INDEX(EmployeeData[Join Date], ROW() - 37), "")</f>
        <v>43878</v>
      </c>
      <c r="H615" s="6" cm="1">
        <f t="array" ref="H615">IFERROR(IF(INDEX(EmployeeData[Exit Date], ROW() - 37)=0, "",INDEX(EmployeeData[Exit Date], ROW() - 37)),"")</f>
        <v>45598</v>
      </c>
      <c r="I615" s="4" t="str" cm="1">
        <f t="array" ref="I615">IFERROR(IF(INDEX(EmployeeData[Exit Reason], ROW() - 37)=0, "",INDEX(EmployeeData[Exit Reason], ROW() - 37)),"")</f>
        <v>Resignation</v>
      </c>
      <c r="J615" s="4" t="str" cm="1">
        <f t="array" ref="J615">IFERROR(INDEX(EmployeeData[Status], ROW() - 37), "")</f>
        <v>Exited</v>
      </c>
    </row>
    <row r="616" spans="2:10" ht="19.95" customHeight="1" x14ac:dyDescent="0.3">
      <c r="B616" s="4" cm="1">
        <f t="array" ref="B616">IFERROR(INDEX(EmployeeData[Employee ID], ROW() - 37), "")</f>
        <v>1579</v>
      </c>
      <c r="C616" s="4" t="str" cm="1">
        <f t="array" ref="C616">IFERROR(INDEX(EmployeeData[Full Name], ROW() - 37), "")</f>
        <v>Daisy Dela Cruz</v>
      </c>
      <c r="D616" s="4" t="str" cm="1">
        <f t="array" ref="D616">IFERROR(INDEX(EmployeeData[Department], ROW() - 37), "")</f>
        <v>Marketing</v>
      </c>
      <c r="E616" s="4" t="str" cm="1">
        <f t="array" ref="E616">IFERROR(INDEX(EmployeeData[Gender], ROW() - 37), "")</f>
        <v>Female</v>
      </c>
      <c r="F616" s="4" cm="1">
        <f t="array" ref="F616">IFERROR(INDEX(EmployeeData[Age], ROW() - 37), "")</f>
        <v>54</v>
      </c>
      <c r="G616" s="6" cm="1">
        <f t="array" ref="G616">IFERROR(INDEX(EmployeeData[Join Date], ROW() - 37), "")</f>
        <v>43683</v>
      </c>
      <c r="H616" s="6" t="str" cm="1">
        <f t="array" ref="H616">IFERROR(IF(INDEX(EmployeeData[Exit Date], ROW() - 37)=0, "",INDEX(EmployeeData[Exit Date], ROW() - 37)),"")</f>
        <v/>
      </c>
      <c r="I616" s="4" t="str" cm="1">
        <f t="array" ref="I616">IFERROR(IF(INDEX(EmployeeData[Exit Reason], ROW() - 37)=0, "",INDEX(EmployeeData[Exit Reason], ROW() - 37)),"")</f>
        <v/>
      </c>
      <c r="J616" s="4" t="str" cm="1">
        <f t="array" ref="J616">IFERROR(INDEX(EmployeeData[Status], ROW() - 37), "")</f>
        <v>Active</v>
      </c>
    </row>
    <row r="617" spans="2:10" ht="19.95" customHeight="1" x14ac:dyDescent="0.3">
      <c r="B617" s="4" cm="1">
        <f t="array" ref="B617">IFERROR(INDEX(EmployeeData[Employee ID], ROW() - 37), "")</f>
        <v>1580</v>
      </c>
      <c r="C617" s="4" t="str" cm="1">
        <f t="array" ref="C617">IFERROR(INDEX(EmployeeData[Full Name], ROW() - 37), "")</f>
        <v>Rodel Go Natividad</v>
      </c>
      <c r="D617" s="4" t="str" cm="1">
        <f t="array" ref="D617">IFERROR(INDEX(EmployeeData[Department], ROW() - 37), "")</f>
        <v>Customer Support</v>
      </c>
      <c r="E617" s="4" t="str" cm="1">
        <f t="array" ref="E617">IFERROR(INDEX(EmployeeData[Gender], ROW() - 37), "")</f>
        <v>Other</v>
      </c>
      <c r="F617" s="4" cm="1">
        <f t="array" ref="F617">IFERROR(INDEX(EmployeeData[Age], ROW() - 37), "")</f>
        <v>55</v>
      </c>
      <c r="G617" s="6" cm="1">
        <f t="array" ref="G617">IFERROR(INDEX(EmployeeData[Join Date], ROW() - 37), "")</f>
        <v>43655</v>
      </c>
      <c r="H617" s="6" t="str" cm="1">
        <f t="array" ref="H617">IFERROR(IF(INDEX(EmployeeData[Exit Date], ROW() - 37)=0, "",INDEX(EmployeeData[Exit Date], ROW() - 37)),"")</f>
        <v/>
      </c>
      <c r="I617" s="4" t="str" cm="1">
        <f t="array" ref="I617">IFERROR(IF(INDEX(EmployeeData[Exit Reason], ROW() - 37)=0, "",INDEX(EmployeeData[Exit Reason], ROW() - 37)),"")</f>
        <v/>
      </c>
      <c r="J617" s="4" t="str" cm="1">
        <f t="array" ref="J617">IFERROR(INDEX(EmployeeData[Status], ROW() - 37), "")</f>
        <v>Active</v>
      </c>
    </row>
    <row r="618" spans="2:10" ht="19.95" customHeight="1" x14ac:dyDescent="0.3">
      <c r="B618" s="4" cm="1">
        <f t="array" ref="B618">IFERROR(INDEX(EmployeeData[Employee ID], ROW() - 37), "")</f>
        <v>1581</v>
      </c>
      <c r="C618" s="4" t="str" cm="1">
        <f t="array" ref="C618">IFERROR(INDEX(EmployeeData[Full Name], ROW() - 37), "")</f>
        <v>Juan Miranda</v>
      </c>
      <c r="D618" s="4" t="str" cm="1">
        <f t="array" ref="D618">IFERROR(INDEX(EmployeeData[Department], ROW() - 37), "")</f>
        <v>Marketing</v>
      </c>
      <c r="E618" s="4" t="str" cm="1">
        <f t="array" ref="E618">IFERROR(INDEX(EmployeeData[Gender], ROW() - 37), "")</f>
        <v>Other</v>
      </c>
      <c r="F618" s="4" cm="1">
        <f t="array" ref="F618">IFERROR(INDEX(EmployeeData[Age], ROW() - 37), "")</f>
        <v>33</v>
      </c>
      <c r="G618" s="6" cm="1">
        <f t="array" ref="G618">IFERROR(INDEX(EmployeeData[Join Date], ROW() - 37), "")</f>
        <v>44963</v>
      </c>
      <c r="H618" s="6" cm="1">
        <f t="array" ref="H618">IFERROR(IF(INDEX(EmployeeData[Exit Date], ROW() - 37)=0, "",INDEX(EmployeeData[Exit Date], ROW() - 37)),"")</f>
        <v>45716</v>
      </c>
      <c r="I618" s="4" t="str" cm="1">
        <f t="array" ref="I618">IFERROR(IF(INDEX(EmployeeData[Exit Reason], ROW() - 37)=0, "",INDEX(EmployeeData[Exit Reason], ROW() - 37)),"")</f>
        <v>Personal Reasons</v>
      </c>
      <c r="J618" s="4" t="str" cm="1">
        <f t="array" ref="J618">IFERROR(INDEX(EmployeeData[Status], ROW() - 37), "")</f>
        <v>Exited</v>
      </c>
    </row>
    <row r="619" spans="2:10" ht="19.95" customHeight="1" x14ac:dyDescent="0.3">
      <c r="B619" s="4" cm="1">
        <f t="array" ref="B619">IFERROR(INDEX(EmployeeData[Employee ID], ROW() - 37), "")</f>
        <v>1582</v>
      </c>
      <c r="C619" s="4" t="str" cm="1">
        <f t="array" ref="C619">IFERROR(INDEX(EmployeeData[Full Name], ROW() - 37), "")</f>
        <v>Arnel Dela Torre</v>
      </c>
      <c r="D619" s="4" t="str" cm="1">
        <f t="array" ref="D619">IFERROR(INDEX(EmployeeData[Department], ROW() - 37), "")</f>
        <v>Customer Support</v>
      </c>
      <c r="E619" s="4" t="str" cm="1">
        <f t="array" ref="E619">IFERROR(INDEX(EmployeeData[Gender], ROW() - 37), "")</f>
        <v>Other</v>
      </c>
      <c r="F619" s="4" cm="1">
        <f t="array" ref="F619">IFERROR(INDEX(EmployeeData[Age], ROW() - 37), "")</f>
        <v>44</v>
      </c>
      <c r="G619" s="6" cm="1">
        <f t="array" ref="G619">IFERROR(INDEX(EmployeeData[Join Date], ROW() - 37), "")</f>
        <v>43450</v>
      </c>
      <c r="H619" s="6" t="str" cm="1">
        <f t="array" ref="H619">IFERROR(IF(INDEX(EmployeeData[Exit Date], ROW() - 37)=0, "",INDEX(EmployeeData[Exit Date], ROW() - 37)),"")</f>
        <v/>
      </c>
      <c r="I619" s="4" t="str" cm="1">
        <f t="array" ref="I619">IFERROR(IF(INDEX(EmployeeData[Exit Reason], ROW() - 37)=0, "",INDEX(EmployeeData[Exit Reason], ROW() - 37)),"")</f>
        <v/>
      </c>
      <c r="J619" s="4" t="str" cm="1">
        <f t="array" ref="J619">IFERROR(INDEX(EmployeeData[Status], ROW() - 37), "")</f>
        <v>Active</v>
      </c>
    </row>
    <row r="620" spans="2:10" ht="19.95" customHeight="1" x14ac:dyDescent="0.3">
      <c r="B620" s="4" cm="1">
        <f t="array" ref="B620">IFERROR(INDEX(EmployeeData[Employee ID], ROW() - 37), "")</f>
        <v>1583</v>
      </c>
      <c r="C620" s="4" t="str" cm="1">
        <f t="array" ref="C620">IFERROR(INDEX(EmployeeData[Full Name], ROW() - 37), "")</f>
        <v>Juan Fernandez Mangubat</v>
      </c>
      <c r="D620" s="4" t="str" cm="1">
        <f t="array" ref="D620">IFERROR(INDEX(EmployeeData[Department], ROW() - 37), "")</f>
        <v>Marketing</v>
      </c>
      <c r="E620" s="4" t="str" cm="1">
        <f t="array" ref="E620">IFERROR(INDEX(EmployeeData[Gender], ROW() - 37), "")</f>
        <v>Other</v>
      </c>
      <c r="F620" s="4" cm="1">
        <f t="array" ref="F620">IFERROR(INDEX(EmployeeData[Age], ROW() - 37), "")</f>
        <v>45</v>
      </c>
      <c r="G620" s="6" cm="1">
        <f t="array" ref="G620">IFERROR(INDEX(EmployeeData[Join Date], ROW() - 37), "")</f>
        <v>45355</v>
      </c>
      <c r="H620" s="6" t="str" cm="1">
        <f t="array" ref="H620">IFERROR(IF(INDEX(EmployeeData[Exit Date], ROW() - 37)=0, "",INDEX(EmployeeData[Exit Date], ROW() - 37)),"")</f>
        <v/>
      </c>
      <c r="I620" s="4" t="str" cm="1">
        <f t="array" ref="I620">IFERROR(IF(INDEX(EmployeeData[Exit Reason], ROW() - 37)=0, "",INDEX(EmployeeData[Exit Reason], ROW() - 37)),"")</f>
        <v/>
      </c>
      <c r="J620" s="4" t="str" cm="1">
        <f t="array" ref="J620">IFERROR(INDEX(EmployeeData[Status], ROW() - 37), "")</f>
        <v>Active</v>
      </c>
    </row>
    <row r="621" spans="2:10" ht="19.95" customHeight="1" x14ac:dyDescent="0.3">
      <c r="B621" s="4" cm="1">
        <f t="array" ref="B621">IFERROR(INDEX(EmployeeData[Employee ID], ROW() - 37), "")</f>
        <v>1584</v>
      </c>
      <c r="C621" s="4" t="str" cm="1">
        <f t="array" ref="C621">IFERROR(INDEX(EmployeeData[Full Name], ROW() - 37), "")</f>
        <v>Annaliza Flores</v>
      </c>
      <c r="D621" s="4" t="str" cm="1">
        <f t="array" ref="D621">IFERROR(INDEX(EmployeeData[Department], ROW() - 37), "")</f>
        <v>Customer Support</v>
      </c>
      <c r="E621" s="4" t="str" cm="1">
        <f t="array" ref="E621">IFERROR(INDEX(EmployeeData[Gender], ROW() - 37), "")</f>
        <v>Female</v>
      </c>
      <c r="F621" s="4" cm="1">
        <f t="array" ref="F621">IFERROR(INDEX(EmployeeData[Age], ROW() - 37), "")</f>
        <v>55</v>
      </c>
      <c r="G621" s="6" cm="1">
        <f t="array" ref="G621">IFERROR(INDEX(EmployeeData[Join Date], ROW() - 37), "")</f>
        <v>44819</v>
      </c>
      <c r="H621" s="6" cm="1">
        <f t="array" ref="H621">IFERROR(IF(INDEX(EmployeeData[Exit Date], ROW() - 37)=0, "",INDEX(EmployeeData[Exit Date], ROW() - 37)),"")</f>
        <v>45822</v>
      </c>
      <c r="I621" s="4" t="str" cm="1">
        <f t="array" ref="I621">IFERROR(IF(INDEX(EmployeeData[Exit Reason], ROW() - 37)=0, "",INDEX(EmployeeData[Exit Reason], ROW() - 37)),"")</f>
        <v>Retirement</v>
      </c>
      <c r="J621" s="4" t="str" cm="1">
        <f t="array" ref="J621">IFERROR(INDEX(EmployeeData[Status], ROW() - 37), "")</f>
        <v>Exited</v>
      </c>
    </row>
    <row r="622" spans="2:10" ht="19.95" customHeight="1" x14ac:dyDescent="0.3">
      <c r="B622" s="4" cm="1">
        <f t="array" ref="B622">IFERROR(INDEX(EmployeeData[Employee ID], ROW() - 37), "")</f>
        <v>1585</v>
      </c>
      <c r="C622" s="4" t="str" cm="1">
        <f t="array" ref="C622">IFERROR(INDEX(EmployeeData[Full Name], ROW() - 37), "")</f>
        <v>Isabel Guerrero</v>
      </c>
      <c r="D622" s="4" t="str" cm="1">
        <f t="array" ref="D622">IFERROR(INDEX(EmployeeData[Department], ROW() - 37), "")</f>
        <v>Customer Support</v>
      </c>
      <c r="E622" s="4" t="str" cm="1">
        <f t="array" ref="E622">IFERROR(INDEX(EmployeeData[Gender], ROW() - 37), "")</f>
        <v>Other</v>
      </c>
      <c r="F622" s="4" cm="1">
        <f t="array" ref="F622">IFERROR(INDEX(EmployeeData[Age], ROW() - 37), "")</f>
        <v>21</v>
      </c>
      <c r="G622" s="6" cm="1">
        <f t="array" ref="G622">IFERROR(INDEX(EmployeeData[Join Date], ROW() - 37), "")</f>
        <v>44979</v>
      </c>
      <c r="H622" s="6" t="str" cm="1">
        <f t="array" ref="H622">IFERROR(IF(INDEX(EmployeeData[Exit Date], ROW() - 37)=0, "",INDEX(EmployeeData[Exit Date], ROW() - 37)),"")</f>
        <v/>
      </c>
      <c r="I622" s="4" t="str" cm="1">
        <f t="array" ref="I622">IFERROR(IF(INDEX(EmployeeData[Exit Reason], ROW() - 37)=0, "",INDEX(EmployeeData[Exit Reason], ROW() - 37)),"")</f>
        <v/>
      </c>
      <c r="J622" s="4" t="str" cm="1">
        <f t="array" ref="J622">IFERROR(INDEX(EmployeeData[Status], ROW() - 37), "")</f>
        <v>Active</v>
      </c>
    </row>
    <row r="623" spans="2:10" ht="19.95" customHeight="1" x14ac:dyDescent="0.3">
      <c r="B623" s="4" cm="1">
        <f t="array" ref="B623">IFERROR(INDEX(EmployeeData[Employee ID], ROW() - 37), "")</f>
        <v>1586</v>
      </c>
      <c r="C623" s="4" t="str" cm="1">
        <f t="array" ref="C623">IFERROR(INDEX(EmployeeData[Full Name], ROW() - 37), "")</f>
        <v>Alvin Santos Bondoc</v>
      </c>
      <c r="D623" s="4" t="str" cm="1">
        <f t="array" ref="D623">IFERROR(INDEX(EmployeeData[Department], ROW() - 37), "")</f>
        <v>Marketing</v>
      </c>
      <c r="E623" s="4" t="str" cm="1">
        <f t="array" ref="E623">IFERROR(INDEX(EmployeeData[Gender], ROW() - 37), "")</f>
        <v>Male</v>
      </c>
      <c r="F623" s="4" cm="1">
        <f t="array" ref="F623">IFERROR(INDEX(EmployeeData[Age], ROW() - 37), "")</f>
        <v>34</v>
      </c>
      <c r="G623" s="6" cm="1">
        <f t="array" ref="G623">IFERROR(INDEX(EmployeeData[Join Date], ROW() - 37), "")</f>
        <v>45512</v>
      </c>
      <c r="H623" s="6" t="str" cm="1">
        <f t="array" ref="H623">IFERROR(IF(INDEX(EmployeeData[Exit Date], ROW() - 37)=0, "",INDEX(EmployeeData[Exit Date], ROW() - 37)),"")</f>
        <v/>
      </c>
      <c r="I623" s="4" t="str" cm="1">
        <f t="array" ref="I623">IFERROR(IF(INDEX(EmployeeData[Exit Reason], ROW() - 37)=0, "",INDEX(EmployeeData[Exit Reason], ROW() - 37)),"")</f>
        <v/>
      </c>
      <c r="J623" s="4" t="str" cm="1">
        <f t="array" ref="J623">IFERROR(INDEX(EmployeeData[Status], ROW() - 37), "")</f>
        <v>Active</v>
      </c>
    </row>
    <row r="624" spans="2:10" ht="19.95" customHeight="1" x14ac:dyDescent="0.3">
      <c r="B624" s="4" cm="1">
        <f t="array" ref="B624">IFERROR(INDEX(EmployeeData[Employee ID], ROW() - 37), "")</f>
        <v>1587</v>
      </c>
      <c r="C624" s="4" t="str" cm="1">
        <f t="array" ref="C624">IFERROR(INDEX(EmployeeData[Full Name], ROW() - 37), "")</f>
        <v>Harold Cruz Ocampo</v>
      </c>
      <c r="D624" s="4" t="str" cm="1">
        <f t="array" ref="D624">IFERROR(INDEX(EmployeeData[Department], ROW() - 37), "")</f>
        <v>IT</v>
      </c>
      <c r="E624" s="4" t="str" cm="1">
        <f t="array" ref="E624">IFERROR(INDEX(EmployeeData[Gender], ROW() - 37), "")</f>
        <v>Male</v>
      </c>
      <c r="F624" s="4" cm="1">
        <f t="array" ref="F624">IFERROR(INDEX(EmployeeData[Age], ROW() - 37), "")</f>
        <v>56</v>
      </c>
      <c r="G624" s="6" cm="1">
        <f t="array" ref="G624">IFERROR(INDEX(EmployeeData[Join Date], ROW() - 37), "")</f>
        <v>43951</v>
      </c>
      <c r="H624" s="6" cm="1">
        <f t="array" ref="H624">IFERROR(IF(INDEX(EmployeeData[Exit Date], ROW() - 37)=0, "",INDEX(EmployeeData[Exit Date], ROW() - 37)),"")</f>
        <v>44648</v>
      </c>
      <c r="I624" s="4" t="str" cm="1">
        <f t="array" ref="I624">IFERROR(IF(INDEX(EmployeeData[Exit Reason], ROW() - 37)=0, "",INDEX(EmployeeData[Exit Reason], ROW() - 37)),"")</f>
        <v>Better Opportunity</v>
      </c>
      <c r="J624" s="4" t="str" cm="1">
        <f t="array" ref="J624">IFERROR(INDEX(EmployeeData[Status], ROW() - 37), "")</f>
        <v>Exited</v>
      </c>
    </row>
    <row r="625" spans="2:10" ht="19.95" customHeight="1" x14ac:dyDescent="0.3">
      <c r="B625" s="4" cm="1">
        <f t="array" ref="B625">IFERROR(INDEX(EmployeeData[Employee ID], ROW() - 37), "")</f>
        <v>1588</v>
      </c>
      <c r="C625" s="4" t="str" cm="1">
        <f t="array" ref="C625">IFERROR(INDEX(EmployeeData[Full Name], ROW() - 37), "")</f>
        <v>Riley Gonzales Lopez</v>
      </c>
      <c r="D625" s="4" t="str" cm="1">
        <f t="array" ref="D625">IFERROR(INDEX(EmployeeData[Department], ROW() - 37), "")</f>
        <v>HR</v>
      </c>
      <c r="E625" s="4" t="str" cm="1">
        <f t="array" ref="E625">IFERROR(INDEX(EmployeeData[Gender], ROW() - 37), "")</f>
        <v>Other</v>
      </c>
      <c r="F625" s="4" cm="1">
        <f t="array" ref="F625">IFERROR(INDEX(EmployeeData[Age], ROW() - 37), "")</f>
        <v>40</v>
      </c>
      <c r="G625" s="6" cm="1">
        <f t="array" ref="G625">IFERROR(INDEX(EmployeeData[Join Date], ROW() - 37), "")</f>
        <v>44457</v>
      </c>
      <c r="H625" s="6" t="str" cm="1">
        <f t="array" ref="H625">IFERROR(IF(INDEX(EmployeeData[Exit Date], ROW() - 37)=0, "",INDEX(EmployeeData[Exit Date], ROW() - 37)),"")</f>
        <v/>
      </c>
      <c r="I625" s="4" t="str" cm="1">
        <f t="array" ref="I625">IFERROR(IF(INDEX(EmployeeData[Exit Reason], ROW() - 37)=0, "",INDEX(EmployeeData[Exit Reason], ROW() - 37)),"")</f>
        <v/>
      </c>
      <c r="J625" s="4" t="str" cm="1">
        <f t="array" ref="J625">IFERROR(INDEX(EmployeeData[Status], ROW() - 37), "")</f>
        <v>Active</v>
      </c>
    </row>
    <row r="626" spans="2:10" ht="19.95" customHeight="1" x14ac:dyDescent="0.3">
      <c r="B626" s="4" cm="1">
        <f t="array" ref="B626">IFERROR(INDEX(EmployeeData[Employee ID], ROW() - 37), "")</f>
        <v>1589</v>
      </c>
      <c r="C626" s="4" t="str" cm="1">
        <f t="array" ref="C626">IFERROR(INDEX(EmployeeData[Full Name], ROW() - 37), "")</f>
        <v>Nina Soriano Ocampo</v>
      </c>
      <c r="D626" s="4" t="str" cm="1">
        <f t="array" ref="D626">IFERROR(INDEX(EmployeeData[Department], ROW() - 37), "")</f>
        <v>Customer Support</v>
      </c>
      <c r="E626" s="4" t="str" cm="1">
        <f t="array" ref="E626">IFERROR(INDEX(EmployeeData[Gender], ROW() - 37), "")</f>
        <v>Female</v>
      </c>
      <c r="F626" s="4" cm="1">
        <f t="array" ref="F626">IFERROR(INDEX(EmployeeData[Age], ROW() - 37), "")</f>
        <v>57</v>
      </c>
      <c r="G626" s="6" cm="1">
        <f t="array" ref="G626">IFERROR(INDEX(EmployeeData[Join Date], ROW() - 37), "")</f>
        <v>45403</v>
      </c>
      <c r="H626" s="6" cm="1">
        <f t="array" ref="H626">IFERROR(IF(INDEX(EmployeeData[Exit Date], ROW() - 37)=0, "",INDEX(EmployeeData[Exit Date], ROW() - 37)),"")</f>
        <v>45959</v>
      </c>
      <c r="I626" s="4" t="str" cm="1">
        <f t="array" ref="I626">IFERROR(IF(INDEX(EmployeeData[Exit Reason], ROW() - 37)=0, "",INDEX(EmployeeData[Exit Reason], ROW() - 37)),"")</f>
        <v>Personal Reasons</v>
      </c>
      <c r="J626" s="4" t="str" cm="1">
        <f t="array" ref="J626">IFERROR(INDEX(EmployeeData[Status], ROW() - 37), "")</f>
        <v>Exited</v>
      </c>
    </row>
    <row r="627" spans="2:10" ht="19.95" customHeight="1" x14ac:dyDescent="0.3">
      <c r="B627" s="4" cm="1">
        <f t="array" ref="B627">IFERROR(INDEX(EmployeeData[Employee ID], ROW() - 37), "")</f>
        <v>1590</v>
      </c>
      <c r="C627" s="4" t="str" cm="1">
        <f t="array" ref="C627">IFERROR(INDEX(EmployeeData[Full Name], ROW() - 37), "")</f>
        <v>Jordan Torres Chua</v>
      </c>
      <c r="D627" s="4" t="str" cm="1">
        <f t="array" ref="D627">IFERROR(INDEX(EmployeeData[Department], ROW() - 37), "")</f>
        <v>IT</v>
      </c>
      <c r="E627" s="4" t="str" cm="1">
        <f t="array" ref="E627">IFERROR(INDEX(EmployeeData[Gender], ROW() - 37), "")</f>
        <v>Other</v>
      </c>
      <c r="F627" s="4" cm="1">
        <f t="array" ref="F627">IFERROR(INDEX(EmployeeData[Age], ROW() - 37), "")</f>
        <v>25</v>
      </c>
      <c r="G627" s="6" cm="1">
        <f t="array" ref="G627">IFERROR(INDEX(EmployeeData[Join Date], ROW() - 37), "")</f>
        <v>44851</v>
      </c>
      <c r="H627" s="6" t="str" cm="1">
        <f t="array" ref="H627">IFERROR(IF(INDEX(EmployeeData[Exit Date], ROW() - 37)=0, "",INDEX(EmployeeData[Exit Date], ROW() - 37)),"")</f>
        <v/>
      </c>
      <c r="I627" s="4" t="str" cm="1">
        <f t="array" ref="I627">IFERROR(IF(INDEX(EmployeeData[Exit Reason], ROW() - 37)=0, "",INDEX(EmployeeData[Exit Reason], ROW() - 37)),"")</f>
        <v/>
      </c>
      <c r="J627" s="4" t="str" cm="1">
        <f t="array" ref="J627">IFERROR(INDEX(EmployeeData[Status], ROW() - 37), "")</f>
        <v>Active</v>
      </c>
    </row>
    <row r="628" spans="2:10" ht="19.95" customHeight="1" x14ac:dyDescent="0.3">
      <c r="B628" s="4" cm="1">
        <f t="array" ref="B628">IFERROR(INDEX(EmployeeData[Employee ID], ROW() - 37), "")</f>
        <v>1591</v>
      </c>
      <c r="C628" s="4" t="str" cm="1">
        <f t="array" ref="C628">IFERROR(INDEX(EmployeeData[Full Name], ROW() - 37), "")</f>
        <v>Natividad Garcia Solis</v>
      </c>
      <c r="D628" s="4" t="str" cm="1">
        <f t="array" ref="D628">IFERROR(INDEX(EmployeeData[Department], ROW() - 37), "")</f>
        <v>HR</v>
      </c>
      <c r="E628" s="4" t="str" cm="1">
        <f t="array" ref="E628">IFERROR(INDEX(EmployeeData[Gender], ROW() - 37), "")</f>
        <v>Female</v>
      </c>
      <c r="F628" s="4" cm="1">
        <f t="array" ref="F628">IFERROR(INDEX(EmployeeData[Age], ROW() - 37), "")</f>
        <v>54</v>
      </c>
      <c r="G628" s="6" cm="1">
        <f t="array" ref="G628">IFERROR(INDEX(EmployeeData[Join Date], ROW() - 37), "")</f>
        <v>44795</v>
      </c>
      <c r="H628" s="6" t="str" cm="1">
        <f t="array" ref="H628">IFERROR(IF(INDEX(EmployeeData[Exit Date], ROW() - 37)=0, "",INDEX(EmployeeData[Exit Date], ROW() - 37)),"")</f>
        <v/>
      </c>
      <c r="I628" s="4" t="str" cm="1">
        <f t="array" ref="I628">IFERROR(IF(INDEX(EmployeeData[Exit Reason], ROW() - 37)=0, "",INDEX(EmployeeData[Exit Reason], ROW() - 37)),"")</f>
        <v/>
      </c>
      <c r="J628" s="4" t="str" cm="1">
        <f t="array" ref="J628">IFERROR(INDEX(EmployeeData[Status], ROW() - 37), "")</f>
        <v>Active</v>
      </c>
    </row>
    <row r="629" spans="2:10" ht="19.95" customHeight="1" x14ac:dyDescent="0.3">
      <c r="B629" s="4" cm="1">
        <f t="array" ref="B629">IFERROR(INDEX(EmployeeData[Employee ID], ROW() - 37), "")</f>
        <v>1592</v>
      </c>
      <c r="C629" s="4" t="str" cm="1">
        <f t="array" ref="C629">IFERROR(INDEX(EmployeeData[Full Name], ROW() - 37), "")</f>
        <v>Rodel Vega Chan</v>
      </c>
      <c r="D629" s="4" t="str" cm="1">
        <f t="array" ref="D629">IFERROR(INDEX(EmployeeData[Department], ROW() - 37), "")</f>
        <v>Marketing</v>
      </c>
      <c r="E629" s="4" t="str" cm="1">
        <f t="array" ref="E629">IFERROR(INDEX(EmployeeData[Gender], ROW() - 37), "")</f>
        <v>Other</v>
      </c>
      <c r="F629" s="4" cm="1">
        <f t="array" ref="F629">IFERROR(INDEX(EmployeeData[Age], ROW() - 37), "")</f>
        <v>39</v>
      </c>
      <c r="G629" s="6" cm="1">
        <f t="array" ref="G629">IFERROR(INDEX(EmployeeData[Join Date], ROW() - 37), "")</f>
        <v>44850</v>
      </c>
      <c r="H629" s="6" t="str" cm="1">
        <f t="array" ref="H629">IFERROR(IF(INDEX(EmployeeData[Exit Date], ROW() - 37)=0, "",INDEX(EmployeeData[Exit Date], ROW() - 37)),"")</f>
        <v/>
      </c>
      <c r="I629" s="4" t="str" cm="1">
        <f t="array" ref="I629">IFERROR(IF(INDEX(EmployeeData[Exit Reason], ROW() - 37)=0, "",INDEX(EmployeeData[Exit Reason], ROW() - 37)),"")</f>
        <v/>
      </c>
      <c r="J629" s="4" t="str" cm="1">
        <f t="array" ref="J629">IFERROR(INDEX(EmployeeData[Status], ROW() - 37), "")</f>
        <v>Active</v>
      </c>
    </row>
    <row r="630" spans="2:10" ht="19.95" customHeight="1" x14ac:dyDescent="0.3">
      <c r="B630" s="4" cm="1">
        <f t="array" ref="B630">IFERROR(INDEX(EmployeeData[Employee ID], ROW() - 37), "")</f>
        <v>1593</v>
      </c>
      <c r="C630" s="4" t="str" cm="1">
        <f t="array" ref="C630">IFERROR(INDEX(EmployeeData[Full Name], ROW() - 37), "")</f>
        <v>Ian Zamora</v>
      </c>
      <c r="D630" s="4" t="str" cm="1">
        <f t="array" ref="D630">IFERROR(INDEX(EmployeeData[Department], ROW() - 37), "")</f>
        <v>Finance</v>
      </c>
      <c r="E630" s="4" t="str" cm="1">
        <f t="array" ref="E630">IFERROR(INDEX(EmployeeData[Gender], ROW() - 37), "")</f>
        <v>Male</v>
      </c>
      <c r="F630" s="4" cm="1">
        <f t="array" ref="F630">IFERROR(INDEX(EmployeeData[Age], ROW() - 37), "")</f>
        <v>52</v>
      </c>
      <c r="G630" s="6" cm="1">
        <f t="array" ref="G630">IFERROR(INDEX(EmployeeData[Join Date], ROW() - 37), "")</f>
        <v>45229</v>
      </c>
      <c r="H630" s="6" t="str" cm="1">
        <f t="array" ref="H630">IFERROR(IF(INDEX(EmployeeData[Exit Date], ROW() - 37)=0, "",INDEX(EmployeeData[Exit Date], ROW() - 37)),"")</f>
        <v/>
      </c>
      <c r="I630" s="4" t="str" cm="1">
        <f t="array" ref="I630">IFERROR(IF(INDEX(EmployeeData[Exit Reason], ROW() - 37)=0, "",INDEX(EmployeeData[Exit Reason], ROW() - 37)),"")</f>
        <v/>
      </c>
      <c r="J630" s="4" t="str" cm="1">
        <f t="array" ref="J630">IFERROR(INDEX(EmployeeData[Status], ROW() - 37), "")</f>
        <v>Active</v>
      </c>
    </row>
    <row r="631" spans="2:10" ht="19.95" customHeight="1" x14ac:dyDescent="0.3">
      <c r="B631" s="4" cm="1">
        <f t="array" ref="B631">IFERROR(INDEX(EmployeeData[Employee ID], ROW() - 37), "")</f>
        <v>1594</v>
      </c>
      <c r="C631" s="4" t="str" cm="1">
        <f t="array" ref="C631">IFERROR(INDEX(EmployeeData[Full Name], ROW() - 37), "")</f>
        <v>Annaliza San Pedro</v>
      </c>
      <c r="D631" s="4" t="str" cm="1">
        <f t="array" ref="D631">IFERROR(INDEX(EmployeeData[Department], ROW() - 37), "")</f>
        <v>Sales</v>
      </c>
      <c r="E631" s="4" t="str" cm="1">
        <f t="array" ref="E631">IFERROR(INDEX(EmployeeData[Gender], ROW() - 37), "")</f>
        <v>Female</v>
      </c>
      <c r="F631" s="4" cm="1">
        <f t="array" ref="F631">IFERROR(INDEX(EmployeeData[Age], ROW() - 37), "")</f>
        <v>39</v>
      </c>
      <c r="G631" s="6" cm="1">
        <f t="array" ref="G631">IFERROR(INDEX(EmployeeData[Join Date], ROW() - 37), "")</f>
        <v>43893</v>
      </c>
      <c r="H631" s="6" cm="1">
        <f t="array" ref="H631">IFERROR(IF(INDEX(EmployeeData[Exit Date], ROW() - 37)=0, "",INDEX(EmployeeData[Exit Date], ROW() - 37)),"")</f>
        <v>44081</v>
      </c>
      <c r="I631" s="4" t="str" cm="1">
        <f t="array" ref="I631">IFERROR(IF(INDEX(EmployeeData[Exit Reason], ROW() - 37)=0, "",INDEX(EmployeeData[Exit Reason], ROW() - 37)),"")</f>
        <v>Termination</v>
      </c>
      <c r="J631" s="4" t="str" cm="1">
        <f t="array" ref="J631">IFERROR(INDEX(EmployeeData[Status], ROW() - 37), "")</f>
        <v>Exited</v>
      </c>
    </row>
    <row r="632" spans="2:10" ht="19.95" customHeight="1" x14ac:dyDescent="0.3">
      <c r="B632" s="4" cm="1">
        <f t="array" ref="B632">IFERROR(INDEX(EmployeeData[Employee ID], ROW() - 37), "")</f>
        <v>1595</v>
      </c>
      <c r="C632" s="4" t="str" cm="1">
        <f t="array" ref="C632">IFERROR(INDEX(EmployeeData[Full Name], ROW() - 37), "")</f>
        <v>Miguel Ocampo Hernandez</v>
      </c>
      <c r="D632" s="4" t="str" cm="1">
        <f t="array" ref="D632">IFERROR(INDEX(EmployeeData[Department], ROW() - 37), "")</f>
        <v>Sales</v>
      </c>
      <c r="E632" s="4" t="str" cm="1">
        <f t="array" ref="E632">IFERROR(INDEX(EmployeeData[Gender], ROW() - 37), "")</f>
        <v>Other</v>
      </c>
      <c r="F632" s="4" cm="1">
        <f t="array" ref="F632">IFERROR(INDEX(EmployeeData[Age], ROW() - 37), "")</f>
        <v>47</v>
      </c>
      <c r="G632" s="6" cm="1">
        <f t="array" ref="G632">IFERROR(INDEX(EmployeeData[Join Date], ROW() - 37), "")</f>
        <v>43287</v>
      </c>
      <c r="H632" s="6" cm="1">
        <f t="array" ref="H632">IFERROR(IF(INDEX(EmployeeData[Exit Date], ROW() - 37)=0, "",INDEX(EmployeeData[Exit Date], ROW() - 37)),"")</f>
        <v>44246</v>
      </c>
      <c r="I632" s="4" t="str" cm="1">
        <f t="array" ref="I632">IFERROR(IF(INDEX(EmployeeData[Exit Reason], ROW() - 37)=0, "",INDEX(EmployeeData[Exit Reason], ROW() - 37)),"")</f>
        <v>Better Opportunity</v>
      </c>
      <c r="J632" s="4" t="str" cm="1">
        <f t="array" ref="J632">IFERROR(INDEX(EmployeeData[Status], ROW() - 37), "")</f>
        <v>Exited</v>
      </c>
    </row>
    <row r="633" spans="2:10" ht="19.95" customHeight="1" x14ac:dyDescent="0.3">
      <c r="B633" s="4" cm="1">
        <f t="array" ref="B633">IFERROR(INDEX(EmployeeData[Employee ID], ROW() - 37), "")</f>
        <v>1596</v>
      </c>
      <c r="C633" s="4" t="str" cm="1">
        <f t="array" ref="C633">IFERROR(INDEX(EmployeeData[Full Name], ROW() - 37), "")</f>
        <v>Sonny Solis</v>
      </c>
      <c r="D633" s="4" t="str" cm="1">
        <f t="array" ref="D633">IFERROR(INDEX(EmployeeData[Department], ROW() - 37), "")</f>
        <v>IT</v>
      </c>
      <c r="E633" s="4" t="str" cm="1">
        <f t="array" ref="E633">IFERROR(INDEX(EmployeeData[Gender], ROW() - 37), "")</f>
        <v>Male</v>
      </c>
      <c r="F633" s="4" cm="1">
        <f t="array" ref="F633">IFERROR(INDEX(EmployeeData[Age], ROW() - 37), "")</f>
        <v>41</v>
      </c>
      <c r="G633" s="6" cm="1">
        <f t="array" ref="G633">IFERROR(INDEX(EmployeeData[Join Date], ROW() - 37), "")</f>
        <v>43126</v>
      </c>
      <c r="H633" s="6" cm="1">
        <f t="array" ref="H633">IFERROR(IF(INDEX(EmployeeData[Exit Date], ROW() - 37)=0, "",INDEX(EmployeeData[Exit Date], ROW() - 37)),"")</f>
        <v>44581</v>
      </c>
      <c r="I633" s="4" t="str" cm="1">
        <f t="array" ref="I633">IFERROR(IF(INDEX(EmployeeData[Exit Reason], ROW() - 37)=0, "",INDEX(EmployeeData[Exit Reason], ROW() - 37)),"")</f>
        <v>Termination</v>
      </c>
      <c r="J633" s="4" t="str" cm="1">
        <f t="array" ref="J633">IFERROR(INDEX(EmployeeData[Status], ROW() - 37), "")</f>
        <v>Exited</v>
      </c>
    </row>
    <row r="634" spans="2:10" ht="19.95" customHeight="1" x14ac:dyDescent="0.3">
      <c r="B634" s="4" cm="1">
        <f t="array" ref="B634">IFERROR(INDEX(EmployeeData[Employee ID], ROW() - 37), "")</f>
        <v>1597</v>
      </c>
      <c r="C634" s="4" t="str" cm="1">
        <f t="array" ref="C634">IFERROR(INDEX(EmployeeData[Full Name], ROW() - 37), "")</f>
        <v>Gina Ocampo</v>
      </c>
      <c r="D634" s="4" t="str" cm="1">
        <f t="array" ref="D634">IFERROR(INDEX(EmployeeData[Department], ROW() - 37), "")</f>
        <v>Sales</v>
      </c>
      <c r="E634" s="4" t="str" cm="1">
        <f t="array" ref="E634">IFERROR(INDEX(EmployeeData[Gender], ROW() - 37), "")</f>
        <v>Female</v>
      </c>
      <c r="F634" s="4" cm="1">
        <f t="array" ref="F634">IFERROR(INDEX(EmployeeData[Age], ROW() - 37), "")</f>
        <v>42</v>
      </c>
      <c r="G634" s="6" cm="1">
        <f t="array" ref="G634">IFERROR(INDEX(EmployeeData[Join Date], ROW() - 37), "")</f>
        <v>45855</v>
      </c>
      <c r="H634" s="6" t="str" cm="1">
        <f t="array" ref="H634">IFERROR(IF(INDEX(EmployeeData[Exit Date], ROW() - 37)=0, "",INDEX(EmployeeData[Exit Date], ROW() - 37)),"")</f>
        <v/>
      </c>
      <c r="I634" s="4" t="str" cm="1">
        <f t="array" ref="I634">IFERROR(IF(INDEX(EmployeeData[Exit Reason], ROW() - 37)=0, "",INDEX(EmployeeData[Exit Reason], ROW() - 37)),"")</f>
        <v/>
      </c>
      <c r="J634" s="4" t="str" cm="1">
        <f t="array" ref="J634">IFERROR(INDEX(EmployeeData[Status], ROW() - 37), "")</f>
        <v>Active</v>
      </c>
    </row>
    <row r="635" spans="2:10" ht="19.95" customHeight="1" x14ac:dyDescent="0.3">
      <c r="B635" s="4" cm="1">
        <f t="array" ref="B635">IFERROR(INDEX(EmployeeData[Employee ID], ROW() - 37), "")</f>
        <v>1598</v>
      </c>
      <c r="C635" s="4" t="str" cm="1">
        <f t="array" ref="C635">IFERROR(INDEX(EmployeeData[Full Name], ROW() - 37), "")</f>
        <v>Paolo Soriano Del Rosario</v>
      </c>
      <c r="D635" s="4" t="str" cm="1">
        <f t="array" ref="D635">IFERROR(INDEX(EmployeeData[Department], ROW() - 37), "")</f>
        <v>Marketing</v>
      </c>
      <c r="E635" s="4" t="str" cm="1">
        <f t="array" ref="E635">IFERROR(INDEX(EmployeeData[Gender], ROW() - 37), "")</f>
        <v>Male</v>
      </c>
      <c r="F635" s="4" cm="1">
        <f t="array" ref="F635">IFERROR(INDEX(EmployeeData[Age], ROW() - 37), "")</f>
        <v>55</v>
      </c>
      <c r="G635" s="6" cm="1">
        <f t="array" ref="G635">IFERROR(INDEX(EmployeeData[Join Date], ROW() - 37), "")</f>
        <v>44473</v>
      </c>
      <c r="H635" s="6" t="str" cm="1">
        <f t="array" ref="H635">IFERROR(IF(INDEX(EmployeeData[Exit Date], ROW() - 37)=0, "",INDEX(EmployeeData[Exit Date], ROW() - 37)),"")</f>
        <v/>
      </c>
      <c r="I635" s="4" t="str" cm="1">
        <f t="array" ref="I635">IFERROR(IF(INDEX(EmployeeData[Exit Reason], ROW() - 37)=0, "",INDEX(EmployeeData[Exit Reason], ROW() - 37)),"")</f>
        <v/>
      </c>
      <c r="J635" s="4" t="str" cm="1">
        <f t="array" ref="J635">IFERROR(INDEX(EmployeeData[Status], ROW() - 37), "")</f>
        <v>Active</v>
      </c>
    </row>
    <row r="636" spans="2:10" ht="19.95" customHeight="1" x14ac:dyDescent="0.3">
      <c r="B636" s="4" cm="1">
        <f t="array" ref="B636">IFERROR(INDEX(EmployeeData[Employee ID], ROW() - 37), "")</f>
        <v>1599</v>
      </c>
      <c r="C636" s="4" t="str" cm="1">
        <f t="array" ref="C636">IFERROR(INDEX(EmployeeData[Full Name], ROW() - 37), "")</f>
        <v>Ivan Aquino</v>
      </c>
      <c r="D636" s="4" t="str" cm="1">
        <f t="array" ref="D636">IFERROR(INDEX(EmployeeData[Department], ROW() - 37), "")</f>
        <v>Marketing</v>
      </c>
      <c r="E636" s="4" t="str" cm="1">
        <f t="array" ref="E636">IFERROR(INDEX(EmployeeData[Gender], ROW() - 37), "")</f>
        <v>Male</v>
      </c>
      <c r="F636" s="4" cm="1">
        <f t="array" ref="F636">IFERROR(INDEX(EmployeeData[Age], ROW() - 37), "")</f>
        <v>56</v>
      </c>
      <c r="G636" s="6" cm="1">
        <f t="array" ref="G636">IFERROR(INDEX(EmployeeData[Join Date], ROW() - 37), "")</f>
        <v>45295</v>
      </c>
      <c r="H636" s="6" cm="1">
        <f t="array" ref="H636">IFERROR(IF(INDEX(EmployeeData[Exit Date], ROW() - 37)=0, "",INDEX(EmployeeData[Exit Date], ROW() - 37)),"")</f>
        <v>45976</v>
      </c>
      <c r="I636" s="4" t="str" cm="1">
        <f t="array" ref="I636">IFERROR(IF(INDEX(EmployeeData[Exit Reason], ROW() - 37)=0, "",INDEX(EmployeeData[Exit Reason], ROW() - 37)),"")</f>
        <v>Personal Reasons</v>
      </c>
      <c r="J636" s="4" t="str" cm="1">
        <f t="array" ref="J636">IFERROR(INDEX(EmployeeData[Status], ROW() - 37), "")</f>
        <v>Exited</v>
      </c>
    </row>
    <row r="637" spans="2:10" ht="19.95" customHeight="1" x14ac:dyDescent="0.3">
      <c r="B637" s="4" cm="1">
        <f t="array" ref="B637">IFERROR(INDEX(EmployeeData[Employee ID], ROW() - 37), "")</f>
        <v>1600</v>
      </c>
      <c r="C637" s="4" t="str" cm="1">
        <f t="array" ref="C637">IFERROR(INDEX(EmployeeData[Full Name], ROW() - 37), "")</f>
        <v>Imelda Macapagal</v>
      </c>
      <c r="D637" s="4" t="str" cm="1">
        <f t="array" ref="D637">IFERROR(INDEX(EmployeeData[Department], ROW() - 37), "")</f>
        <v>IT</v>
      </c>
      <c r="E637" s="4" t="str" cm="1">
        <f t="array" ref="E637">IFERROR(INDEX(EmployeeData[Gender], ROW() - 37), "")</f>
        <v>Female</v>
      </c>
      <c r="F637" s="4" cm="1">
        <f t="array" ref="F637">IFERROR(INDEX(EmployeeData[Age], ROW() - 37), "")</f>
        <v>45</v>
      </c>
      <c r="G637" s="6" cm="1">
        <f t="array" ref="G637">IFERROR(INDEX(EmployeeData[Join Date], ROW() - 37), "")</f>
        <v>45667</v>
      </c>
      <c r="H637" s="6" t="str" cm="1">
        <f t="array" ref="H637">IFERROR(IF(INDEX(EmployeeData[Exit Date], ROW() - 37)=0, "",INDEX(EmployeeData[Exit Date], ROW() - 37)),"")</f>
        <v/>
      </c>
      <c r="I637" s="4" t="str" cm="1">
        <f t="array" ref="I637">IFERROR(IF(INDEX(EmployeeData[Exit Reason], ROW() - 37)=0, "",INDEX(EmployeeData[Exit Reason], ROW() - 37)),"")</f>
        <v/>
      </c>
      <c r="J637" s="4" t="str" cm="1">
        <f t="array" ref="J637">IFERROR(INDEX(EmployeeData[Status], ROW() - 37), "")</f>
        <v>Active</v>
      </c>
    </row>
    <row r="638" spans="2:10" ht="19.95" customHeight="1" x14ac:dyDescent="0.3">
      <c r="B638" s="4" cm="1">
        <f t="array" ref="B638">IFERROR(INDEX(EmployeeData[Employee ID], ROW() - 37), "")</f>
        <v>1601</v>
      </c>
      <c r="C638" s="4" t="str" cm="1">
        <f t="array" ref="C638">IFERROR(INDEX(EmployeeData[Full Name], ROW() - 37), "")</f>
        <v>Carmen Ang Wong</v>
      </c>
      <c r="D638" s="4" t="str" cm="1">
        <f t="array" ref="D638">IFERROR(INDEX(EmployeeData[Department], ROW() - 37), "")</f>
        <v>Customer Support</v>
      </c>
      <c r="E638" s="4" t="str" cm="1">
        <f t="array" ref="E638">IFERROR(INDEX(EmployeeData[Gender], ROW() - 37), "")</f>
        <v>Female</v>
      </c>
      <c r="F638" s="4" cm="1">
        <f t="array" ref="F638">IFERROR(INDEX(EmployeeData[Age], ROW() - 37), "")</f>
        <v>40</v>
      </c>
      <c r="G638" s="6" cm="1">
        <f t="array" ref="G638">IFERROR(INDEX(EmployeeData[Join Date], ROW() - 37), "")</f>
        <v>45989</v>
      </c>
      <c r="H638" s="6" t="str" cm="1">
        <f t="array" ref="H638">IFERROR(IF(INDEX(EmployeeData[Exit Date], ROW() - 37)=0, "",INDEX(EmployeeData[Exit Date], ROW() - 37)),"")</f>
        <v/>
      </c>
      <c r="I638" s="4" t="str" cm="1">
        <f t="array" ref="I638">IFERROR(IF(INDEX(EmployeeData[Exit Reason], ROW() - 37)=0, "",INDEX(EmployeeData[Exit Reason], ROW() - 37)),"")</f>
        <v/>
      </c>
      <c r="J638" s="4" t="str" cm="1">
        <f t="array" ref="J638">IFERROR(INDEX(EmployeeData[Status], ROW() - 37), "")</f>
        <v>Active</v>
      </c>
    </row>
    <row r="639" spans="2:10" ht="19.95" customHeight="1" x14ac:dyDescent="0.3">
      <c r="B639" s="4" cm="1">
        <f t="array" ref="B639">IFERROR(INDEX(EmployeeData[Employee ID], ROW() - 37), "")</f>
        <v>1602</v>
      </c>
      <c r="C639" s="4" t="str" cm="1">
        <f t="array" ref="C639">IFERROR(INDEX(EmployeeData[Full Name], ROW() - 37), "")</f>
        <v>Hernando Cruz Gonzales</v>
      </c>
      <c r="D639" s="4" t="str" cm="1">
        <f t="array" ref="D639">IFERROR(INDEX(EmployeeData[Department], ROW() - 37), "")</f>
        <v>Sales</v>
      </c>
      <c r="E639" s="4" t="str" cm="1">
        <f t="array" ref="E639">IFERROR(INDEX(EmployeeData[Gender], ROW() - 37), "")</f>
        <v>Male</v>
      </c>
      <c r="F639" s="4" cm="1">
        <f t="array" ref="F639">IFERROR(INDEX(EmployeeData[Age], ROW() - 37), "")</f>
        <v>40</v>
      </c>
      <c r="G639" s="6" cm="1">
        <f t="array" ref="G639">IFERROR(INDEX(EmployeeData[Join Date], ROW() - 37), "")</f>
        <v>43986</v>
      </c>
      <c r="H639" s="6" t="str" cm="1">
        <f t="array" ref="H639">IFERROR(IF(INDEX(EmployeeData[Exit Date], ROW() - 37)=0, "",INDEX(EmployeeData[Exit Date], ROW() - 37)),"")</f>
        <v/>
      </c>
      <c r="I639" s="4" t="str" cm="1">
        <f t="array" ref="I639">IFERROR(IF(INDEX(EmployeeData[Exit Reason], ROW() - 37)=0, "",INDEX(EmployeeData[Exit Reason], ROW() - 37)),"")</f>
        <v/>
      </c>
      <c r="J639" s="4" t="str" cm="1">
        <f t="array" ref="J639">IFERROR(INDEX(EmployeeData[Status], ROW() - 37), "")</f>
        <v>Active</v>
      </c>
    </row>
    <row r="640" spans="2:10" ht="19.95" customHeight="1" x14ac:dyDescent="0.3">
      <c r="B640" s="4" cm="1">
        <f t="array" ref="B640">IFERROR(INDEX(EmployeeData[Employee ID], ROW() - 37), "")</f>
        <v>1603</v>
      </c>
      <c r="C640" s="4" t="str" cm="1">
        <f t="array" ref="C640">IFERROR(INDEX(EmployeeData[Full Name], ROW() - 37), "")</f>
        <v>Cameron Chan Diaz</v>
      </c>
      <c r="D640" s="4" t="str" cm="1">
        <f t="array" ref="D640">IFERROR(INDEX(EmployeeData[Department], ROW() - 37), "")</f>
        <v>HR</v>
      </c>
      <c r="E640" s="4" t="str" cm="1">
        <f t="array" ref="E640">IFERROR(INDEX(EmployeeData[Gender], ROW() - 37), "")</f>
        <v>Other</v>
      </c>
      <c r="F640" s="4" cm="1">
        <f t="array" ref="F640">IFERROR(INDEX(EmployeeData[Age], ROW() - 37), "")</f>
        <v>49</v>
      </c>
      <c r="G640" s="6" cm="1">
        <f t="array" ref="G640">IFERROR(INDEX(EmployeeData[Join Date], ROW() - 37), "")</f>
        <v>45173</v>
      </c>
      <c r="H640" s="6" cm="1">
        <f t="array" ref="H640">IFERROR(IF(INDEX(EmployeeData[Exit Date], ROW() - 37)=0, "",INDEX(EmployeeData[Exit Date], ROW() - 37)),"")</f>
        <v>45757</v>
      </c>
      <c r="I640" s="4" t="str" cm="1">
        <f t="array" ref="I640">IFERROR(IF(INDEX(EmployeeData[Exit Reason], ROW() - 37)=0, "",INDEX(EmployeeData[Exit Reason], ROW() - 37)),"")</f>
        <v>Resignation</v>
      </c>
      <c r="J640" s="4" t="str" cm="1">
        <f t="array" ref="J640">IFERROR(INDEX(EmployeeData[Status], ROW() - 37), "")</f>
        <v>Exited</v>
      </c>
    </row>
    <row r="641" spans="2:10" ht="19.95" customHeight="1" x14ac:dyDescent="0.3">
      <c r="B641" s="4" cm="1">
        <f t="array" ref="B641">IFERROR(INDEX(EmployeeData[Employee ID], ROW() - 37), "")</f>
        <v>1604</v>
      </c>
      <c r="C641" s="4" t="str" cm="1">
        <f t="array" ref="C641">IFERROR(INDEX(EmployeeData[Full Name], ROW() - 37), "")</f>
        <v>Efren Delmendo</v>
      </c>
      <c r="D641" s="4" t="str" cm="1">
        <f t="array" ref="D641">IFERROR(INDEX(EmployeeData[Department], ROW() - 37), "")</f>
        <v>HR</v>
      </c>
      <c r="E641" s="4" t="str" cm="1">
        <f t="array" ref="E641">IFERROR(INDEX(EmployeeData[Gender], ROW() - 37), "")</f>
        <v>Male</v>
      </c>
      <c r="F641" s="4" cm="1">
        <f t="array" ref="F641">IFERROR(INDEX(EmployeeData[Age], ROW() - 37), "")</f>
        <v>41</v>
      </c>
      <c r="G641" s="6" cm="1">
        <f t="array" ref="G641">IFERROR(INDEX(EmployeeData[Join Date], ROW() - 37), "")</f>
        <v>43687</v>
      </c>
      <c r="H641" s="6" t="str" cm="1">
        <f t="array" ref="H641">IFERROR(IF(INDEX(EmployeeData[Exit Date], ROW() - 37)=0, "",INDEX(EmployeeData[Exit Date], ROW() - 37)),"")</f>
        <v/>
      </c>
      <c r="I641" s="4" t="str" cm="1">
        <f t="array" ref="I641">IFERROR(IF(INDEX(EmployeeData[Exit Reason], ROW() - 37)=0, "",INDEX(EmployeeData[Exit Reason], ROW() - 37)),"")</f>
        <v/>
      </c>
      <c r="J641" s="4" t="str" cm="1">
        <f t="array" ref="J641">IFERROR(INDEX(EmployeeData[Status], ROW() - 37), "")</f>
        <v>Active</v>
      </c>
    </row>
    <row r="642" spans="2:10" ht="19.95" customHeight="1" x14ac:dyDescent="0.3">
      <c r="B642" s="4" cm="1">
        <f t="array" ref="B642">IFERROR(INDEX(EmployeeData[Employee ID], ROW() - 37), "")</f>
        <v>1605</v>
      </c>
      <c r="C642" s="4" t="str" cm="1">
        <f t="array" ref="C642">IFERROR(INDEX(EmployeeData[Full Name], ROW() - 37), "")</f>
        <v>Teresa Cruz Gonzales</v>
      </c>
      <c r="D642" s="4" t="str" cm="1">
        <f t="array" ref="D642">IFERROR(INDEX(EmployeeData[Department], ROW() - 37), "")</f>
        <v>Customer Support</v>
      </c>
      <c r="E642" s="4" t="str" cm="1">
        <f t="array" ref="E642">IFERROR(INDEX(EmployeeData[Gender], ROW() - 37), "")</f>
        <v>Other</v>
      </c>
      <c r="F642" s="4" cm="1">
        <f t="array" ref="F642">IFERROR(INDEX(EmployeeData[Age], ROW() - 37), "")</f>
        <v>50</v>
      </c>
      <c r="G642" s="6" cm="1">
        <f t="array" ref="G642">IFERROR(INDEX(EmployeeData[Join Date], ROW() - 37), "")</f>
        <v>44688</v>
      </c>
      <c r="H642" s="6" t="str" cm="1">
        <f t="array" ref="H642">IFERROR(IF(INDEX(EmployeeData[Exit Date], ROW() - 37)=0, "",INDEX(EmployeeData[Exit Date], ROW() - 37)),"")</f>
        <v/>
      </c>
      <c r="I642" s="4" t="str" cm="1">
        <f t="array" ref="I642">IFERROR(IF(INDEX(EmployeeData[Exit Reason], ROW() - 37)=0, "",INDEX(EmployeeData[Exit Reason], ROW() - 37)),"")</f>
        <v/>
      </c>
      <c r="J642" s="4" t="str" cm="1">
        <f t="array" ref="J642">IFERROR(INDEX(EmployeeData[Status], ROW() - 37), "")</f>
        <v>Active</v>
      </c>
    </row>
    <row r="643" spans="2:10" ht="19.95" customHeight="1" x14ac:dyDescent="0.3">
      <c r="B643" s="4" cm="1">
        <f t="array" ref="B643">IFERROR(INDEX(EmployeeData[Employee ID], ROW() - 37), "")</f>
        <v>1606</v>
      </c>
      <c r="C643" s="4" t="str" cm="1">
        <f t="array" ref="C643">IFERROR(INDEX(EmployeeData[Full Name], ROW() - 37), "")</f>
        <v>Eduardo Soriano Lopez</v>
      </c>
      <c r="D643" s="4" t="str" cm="1">
        <f t="array" ref="D643">IFERROR(INDEX(EmployeeData[Department], ROW() - 37), "")</f>
        <v>HR</v>
      </c>
      <c r="E643" s="4" t="str" cm="1">
        <f t="array" ref="E643">IFERROR(INDEX(EmployeeData[Gender], ROW() - 37), "")</f>
        <v>Male</v>
      </c>
      <c r="F643" s="4" cm="1">
        <f t="array" ref="F643">IFERROR(INDEX(EmployeeData[Age], ROW() - 37), "")</f>
        <v>26</v>
      </c>
      <c r="G643" s="6" cm="1">
        <f t="array" ref="G643">IFERROR(INDEX(EmployeeData[Join Date], ROW() - 37), "")</f>
        <v>44466</v>
      </c>
      <c r="H643" s="6" t="str" cm="1">
        <f t="array" ref="H643">IFERROR(IF(INDEX(EmployeeData[Exit Date], ROW() - 37)=0, "",INDEX(EmployeeData[Exit Date], ROW() - 37)),"")</f>
        <v/>
      </c>
      <c r="I643" s="4" t="str" cm="1">
        <f t="array" ref="I643">IFERROR(IF(INDEX(EmployeeData[Exit Reason], ROW() - 37)=0, "",INDEX(EmployeeData[Exit Reason], ROW() - 37)),"")</f>
        <v/>
      </c>
      <c r="J643" s="4" t="str" cm="1">
        <f t="array" ref="J643">IFERROR(INDEX(EmployeeData[Status], ROW() - 37), "")</f>
        <v>Active</v>
      </c>
    </row>
    <row r="644" spans="2:10" ht="19.95" customHeight="1" x14ac:dyDescent="0.3">
      <c r="B644" s="4" cm="1">
        <f t="array" ref="B644">IFERROR(INDEX(EmployeeData[Employee ID], ROW() - 37), "")</f>
        <v>1607</v>
      </c>
      <c r="C644" s="4" t="str" cm="1">
        <f t="array" ref="C644">IFERROR(INDEX(EmployeeData[Full Name], ROW() - 37), "")</f>
        <v>Luisa Fernandez Enriquez</v>
      </c>
      <c r="D644" s="4" t="str" cm="1">
        <f t="array" ref="D644">IFERROR(INDEX(EmployeeData[Department], ROW() - 37), "")</f>
        <v>Customer Support</v>
      </c>
      <c r="E644" s="4" t="str" cm="1">
        <f t="array" ref="E644">IFERROR(INDEX(EmployeeData[Gender], ROW() - 37), "")</f>
        <v>Other</v>
      </c>
      <c r="F644" s="4" cm="1">
        <f t="array" ref="F644">IFERROR(INDEX(EmployeeData[Age], ROW() - 37), "")</f>
        <v>60</v>
      </c>
      <c r="G644" s="6" cm="1">
        <f t="array" ref="G644">IFERROR(INDEX(EmployeeData[Join Date], ROW() - 37), "")</f>
        <v>44415</v>
      </c>
      <c r="H644" s="6" cm="1">
        <f t="array" ref="H644">IFERROR(IF(INDEX(EmployeeData[Exit Date], ROW() - 37)=0, "",INDEX(EmployeeData[Exit Date], ROW() - 37)),"")</f>
        <v>45091</v>
      </c>
      <c r="I644" s="4" t="str" cm="1">
        <f t="array" ref="I644">IFERROR(IF(INDEX(EmployeeData[Exit Reason], ROW() - 37)=0, "",INDEX(EmployeeData[Exit Reason], ROW() - 37)),"")</f>
        <v>Retirement</v>
      </c>
      <c r="J644" s="4" t="str" cm="1">
        <f t="array" ref="J644">IFERROR(INDEX(EmployeeData[Status], ROW() - 37), "")</f>
        <v>Exited</v>
      </c>
    </row>
    <row r="645" spans="2:10" ht="19.95" customHeight="1" x14ac:dyDescent="0.3">
      <c r="B645" s="4" cm="1">
        <f t="array" ref="B645">IFERROR(INDEX(EmployeeData[Employee ID], ROW() - 37), "")</f>
        <v>1608</v>
      </c>
      <c r="C645" s="4" t="str" cm="1">
        <f t="array" ref="C645">IFERROR(INDEX(EmployeeData[Full Name], ROW() - 37), "")</f>
        <v>Hope Pascual Wong</v>
      </c>
      <c r="D645" s="4" t="str" cm="1">
        <f t="array" ref="D645">IFERROR(INDEX(EmployeeData[Department], ROW() - 37), "")</f>
        <v>Customer Support</v>
      </c>
      <c r="E645" s="4" t="str" cm="1">
        <f t="array" ref="E645">IFERROR(INDEX(EmployeeData[Gender], ROW() - 37), "")</f>
        <v>Female</v>
      </c>
      <c r="F645" s="4" cm="1">
        <f t="array" ref="F645">IFERROR(INDEX(EmployeeData[Age], ROW() - 37), "")</f>
        <v>56</v>
      </c>
      <c r="G645" s="6" cm="1">
        <f t="array" ref="G645">IFERROR(INDEX(EmployeeData[Join Date], ROW() - 37), "")</f>
        <v>45206</v>
      </c>
      <c r="H645" s="6" cm="1">
        <f t="array" ref="H645">IFERROR(IF(INDEX(EmployeeData[Exit Date], ROW() - 37)=0, "",INDEX(EmployeeData[Exit Date], ROW() - 37)),"")</f>
        <v>45851</v>
      </c>
      <c r="I645" s="4" t="str" cm="1">
        <f t="array" ref="I645">IFERROR(IF(INDEX(EmployeeData[Exit Reason], ROW() - 37)=0, "",INDEX(EmployeeData[Exit Reason], ROW() - 37)),"")</f>
        <v>Termination</v>
      </c>
      <c r="J645" s="4" t="str" cm="1">
        <f t="array" ref="J645">IFERROR(INDEX(EmployeeData[Status], ROW() - 37), "")</f>
        <v>Exited</v>
      </c>
    </row>
    <row r="646" spans="2:10" ht="19.95" customHeight="1" x14ac:dyDescent="0.3">
      <c r="B646" s="4" cm="1">
        <f t="array" ref="B646">IFERROR(INDEX(EmployeeData[Employee ID], ROW() - 37), "")</f>
        <v>1609</v>
      </c>
      <c r="C646" s="4" t="str" cm="1">
        <f t="array" ref="C646">IFERROR(INDEX(EmployeeData[Full Name], ROW() - 37), "")</f>
        <v>Paz Reyes Manalo</v>
      </c>
      <c r="D646" s="4" t="str" cm="1">
        <f t="array" ref="D646">IFERROR(INDEX(EmployeeData[Department], ROW() - 37), "")</f>
        <v>Marketing</v>
      </c>
      <c r="E646" s="4" t="str" cm="1">
        <f t="array" ref="E646">IFERROR(INDEX(EmployeeData[Gender], ROW() - 37), "")</f>
        <v>Female</v>
      </c>
      <c r="F646" s="4" cm="1">
        <f t="array" ref="F646">IFERROR(INDEX(EmployeeData[Age], ROW() - 37), "")</f>
        <v>40</v>
      </c>
      <c r="G646" s="6" cm="1">
        <f t="array" ref="G646">IFERROR(INDEX(EmployeeData[Join Date], ROW() - 37), "")</f>
        <v>45612</v>
      </c>
      <c r="H646" s="6" t="str" cm="1">
        <f t="array" ref="H646">IFERROR(IF(INDEX(EmployeeData[Exit Date], ROW() - 37)=0, "",INDEX(EmployeeData[Exit Date], ROW() - 37)),"")</f>
        <v/>
      </c>
      <c r="I646" s="4" t="str" cm="1">
        <f t="array" ref="I646">IFERROR(IF(INDEX(EmployeeData[Exit Reason], ROW() - 37)=0, "",INDEX(EmployeeData[Exit Reason], ROW() - 37)),"")</f>
        <v/>
      </c>
      <c r="J646" s="4" t="str" cm="1">
        <f t="array" ref="J646">IFERROR(INDEX(EmployeeData[Status], ROW() - 37), "")</f>
        <v>Active</v>
      </c>
    </row>
    <row r="647" spans="2:10" ht="19.95" customHeight="1" x14ac:dyDescent="0.3">
      <c r="B647" s="4" cm="1">
        <f t="array" ref="B647">IFERROR(INDEX(EmployeeData[Employee ID], ROW() - 37), "")</f>
        <v>1610</v>
      </c>
      <c r="C647" s="4" t="str" cm="1">
        <f t="array" ref="C647">IFERROR(INDEX(EmployeeData[Full Name], ROW() - 37), "")</f>
        <v>Zeus Ong</v>
      </c>
      <c r="D647" s="4" t="str" cm="1">
        <f t="array" ref="D647">IFERROR(INDEX(EmployeeData[Department], ROW() - 37), "")</f>
        <v>Marketing</v>
      </c>
      <c r="E647" s="4" t="str" cm="1">
        <f t="array" ref="E647">IFERROR(INDEX(EmployeeData[Gender], ROW() - 37), "")</f>
        <v>Male</v>
      </c>
      <c r="F647" s="4" cm="1">
        <f t="array" ref="F647">IFERROR(INDEX(EmployeeData[Age], ROW() - 37), "")</f>
        <v>27</v>
      </c>
      <c r="G647" s="6" cm="1">
        <f t="array" ref="G647">IFERROR(INDEX(EmployeeData[Join Date], ROW() - 37), "")</f>
        <v>44672</v>
      </c>
      <c r="H647" s="6" cm="1">
        <f t="array" ref="H647">IFERROR(IF(INDEX(EmployeeData[Exit Date], ROW() - 37)=0, "",INDEX(EmployeeData[Exit Date], ROW() - 37)),"")</f>
        <v>45635</v>
      </c>
      <c r="I647" s="4" t="str" cm="1">
        <f t="array" ref="I647">IFERROR(IF(INDEX(EmployeeData[Exit Reason], ROW() - 37)=0, "",INDEX(EmployeeData[Exit Reason], ROW() - 37)),"")</f>
        <v>Termination</v>
      </c>
      <c r="J647" s="4" t="str" cm="1">
        <f t="array" ref="J647">IFERROR(INDEX(EmployeeData[Status], ROW() - 37), "")</f>
        <v>Exited</v>
      </c>
    </row>
    <row r="648" spans="2:10" ht="19.95" customHeight="1" x14ac:dyDescent="0.3">
      <c r="B648" s="4" cm="1">
        <f t="array" ref="B648">IFERROR(INDEX(EmployeeData[Employee ID], ROW() - 37), "")</f>
        <v>1611</v>
      </c>
      <c r="C648" s="4" t="str" cm="1">
        <f t="array" ref="C648">IFERROR(INDEX(EmployeeData[Full Name], ROW() - 37), "")</f>
        <v>Neil Ramos</v>
      </c>
      <c r="D648" s="4" t="str" cm="1">
        <f t="array" ref="D648">IFERROR(INDEX(EmployeeData[Department], ROW() - 37), "")</f>
        <v>HR</v>
      </c>
      <c r="E648" s="4" t="str" cm="1">
        <f t="array" ref="E648">IFERROR(INDEX(EmployeeData[Gender], ROW() - 37), "")</f>
        <v>Male</v>
      </c>
      <c r="F648" s="4" cm="1">
        <f t="array" ref="F648">IFERROR(INDEX(EmployeeData[Age], ROW() - 37), "")</f>
        <v>43</v>
      </c>
      <c r="G648" s="6" cm="1">
        <f t="array" ref="G648">IFERROR(INDEX(EmployeeData[Join Date], ROW() - 37), "")</f>
        <v>44380</v>
      </c>
      <c r="H648" s="6" cm="1">
        <f t="array" ref="H648">IFERROR(IF(INDEX(EmployeeData[Exit Date], ROW() - 37)=0, "",INDEX(EmployeeData[Exit Date], ROW() - 37)),"")</f>
        <v>44875</v>
      </c>
      <c r="I648" s="4" t="str" cm="1">
        <f t="array" ref="I648">IFERROR(IF(INDEX(EmployeeData[Exit Reason], ROW() - 37)=0, "",INDEX(EmployeeData[Exit Reason], ROW() - 37)),"")</f>
        <v>Personal Reasons</v>
      </c>
      <c r="J648" s="4" t="str" cm="1">
        <f t="array" ref="J648">IFERROR(INDEX(EmployeeData[Status], ROW() - 37), "")</f>
        <v>Exited</v>
      </c>
    </row>
    <row r="649" spans="2:10" ht="19.95" customHeight="1" x14ac:dyDescent="0.3">
      <c r="B649" s="4" cm="1">
        <f t="array" ref="B649">IFERROR(INDEX(EmployeeData[Employee ID], ROW() - 37), "")</f>
        <v>1612</v>
      </c>
      <c r="C649" s="4" t="str" cm="1">
        <f t="array" ref="C649">IFERROR(INDEX(EmployeeData[Full Name], ROW() - 37), "")</f>
        <v>Cardo Go Fernandez</v>
      </c>
      <c r="D649" s="4" t="str" cm="1">
        <f t="array" ref="D649">IFERROR(INDEX(EmployeeData[Department], ROW() - 37), "")</f>
        <v>HR</v>
      </c>
      <c r="E649" s="4" t="str" cm="1">
        <f t="array" ref="E649">IFERROR(INDEX(EmployeeData[Gender], ROW() - 37), "")</f>
        <v>Male</v>
      </c>
      <c r="F649" s="4" cm="1">
        <f t="array" ref="F649">IFERROR(INDEX(EmployeeData[Age], ROW() - 37), "")</f>
        <v>29</v>
      </c>
      <c r="G649" s="6" cm="1">
        <f t="array" ref="G649">IFERROR(INDEX(EmployeeData[Join Date], ROW() - 37), "")</f>
        <v>43481</v>
      </c>
      <c r="H649" s="6" t="str" cm="1">
        <f t="array" ref="H649">IFERROR(IF(INDEX(EmployeeData[Exit Date], ROW() - 37)=0, "",INDEX(EmployeeData[Exit Date], ROW() - 37)),"")</f>
        <v/>
      </c>
      <c r="I649" s="4" t="str" cm="1">
        <f t="array" ref="I649">IFERROR(IF(INDEX(EmployeeData[Exit Reason], ROW() - 37)=0, "",INDEX(EmployeeData[Exit Reason], ROW() - 37)),"")</f>
        <v/>
      </c>
      <c r="J649" s="4" t="str" cm="1">
        <f t="array" ref="J649">IFERROR(INDEX(EmployeeData[Status], ROW() - 37), "")</f>
        <v>Active</v>
      </c>
    </row>
    <row r="650" spans="2:10" ht="19.95" customHeight="1" x14ac:dyDescent="0.3">
      <c r="B650" s="4" cm="1">
        <f t="array" ref="B650">IFERROR(INDEX(EmployeeData[Employee ID], ROW() - 37), "")</f>
        <v>1613</v>
      </c>
      <c r="C650" s="4" t="str" cm="1">
        <f t="array" ref="C650">IFERROR(INDEX(EmployeeData[Full Name], ROW() - 37), "")</f>
        <v>Danilo Reyes Dalisay</v>
      </c>
      <c r="D650" s="4" t="str" cm="1">
        <f t="array" ref="D650">IFERROR(INDEX(EmployeeData[Department], ROW() - 37), "")</f>
        <v>Marketing</v>
      </c>
      <c r="E650" s="4" t="str" cm="1">
        <f t="array" ref="E650">IFERROR(INDEX(EmployeeData[Gender], ROW() - 37), "")</f>
        <v>Other</v>
      </c>
      <c r="F650" s="4" cm="1">
        <f t="array" ref="F650">IFERROR(INDEX(EmployeeData[Age], ROW() - 37), "")</f>
        <v>30</v>
      </c>
      <c r="G650" s="6" cm="1">
        <f t="array" ref="G650">IFERROR(INDEX(EmployeeData[Join Date], ROW() - 37), "")</f>
        <v>45627</v>
      </c>
      <c r="H650" s="6" cm="1">
        <f t="array" ref="H650">IFERROR(IF(INDEX(EmployeeData[Exit Date], ROW() - 37)=0, "",INDEX(EmployeeData[Exit Date], ROW() - 37)),"")</f>
        <v>45903</v>
      </c>
      <c r="I650" s="4" t="str" cm="1">
        <f t="array" ref="I650">IFERROR(IF(INDEX(EmployeeData[Exit Reason], ROW() - 37)=0, "",INDEX(EmployeeData[Exit Reason], ROW() - 37)),"")</f>
        <v>Termination</v>
      </c>
      <c r="J650" s="4" t="str" cm="1">
        <f t="array" ref="J650">IFERROR(INDEX(EmployeeData[Status], ROW() - 37), "")</f>
        <v>Exited</v>
      </c>
    </row>
    <row r="651" spans="2:10" ht="19.95" customHeight="1" x14ac:dyDescent="0.3">
      <c r="B651" s="4" cm="1">
        <f t="array" ref="B651">IFERROR(INDEX(EmployeeData[Employee ID], ROW() - 37), "")</f>
        <v>1614</v>
      </c>
      <c r="C651" s="4" t="str" cm="1">
        <f t="array" ref="C651">IFERROR(INDEX(EmployeeData[Full Name], ROW() - 37), "")</f>
        <v>Diana Manalang</v>
      </c>
      <c r="D651" s="4" t="str" cm="1">
        <f t="array" ref="D651">IFERROR(INDEX(EmployeeData[Department], ROW() - 37), "")</f>
        <v>Customer Support</v>
      </c>
      <c r="E651" s="4" t="str" cm="1">
        <f t="array" ref="E651">IFERROR(INDEX(EmployeeData[Gender], ROW() - 37), "")</f>
        <v>Female</v>
      </c>
      <c r="F651" s="4" cm="1">
        <f t="array" ref="F651">IFERROR(INDEX(EmployeeData[Age], ROW() - 37), "")</f>
        <v>51</v>
      </c>
      <c r="G651" s="6" cm="1">
        <f t="array" ref="G651">IFERROR(INDEX(EmployeeData[Join Date], ROW() - 37), "")</f>
        <v>44990</v>
      </c>
      <c r="H651" s="6" t="str" cm="1">
        <f t="array" ref="H651">IFERROR(IF(INDEX(EmployeeData[Exit Date], ROW() - 37)=0, "",INDEX(EmployeeData[Exit Date], ROW() - 37)),"")</f>
        <v/>
      </c>
      <c r="I651" s="4" t="str" cm="1">
        <f t="array" ref="I651">IFERROR(IF(INDEX(EmployeeData[Exit Reason], ROW() - 37)=0, "",INDEX(EmployeeData[Exit Reason], ROW() - 37)),"")</f>
        <v/>
      </c>
      <c r="J651" s="4" t="str" cm="1">
        <f t="array" ref="J651">IFERROR(INDEX(EmployeeData[Status], ROW() - 37), "")</f>
        <v>Active</v>
      </c>
    </row>
    <row r="652" spans="2:10" ht="19.95" customHeight="1" x14ac:dyDescent="0.3">
      <c r="B652" s="4" cm="1">
        <f t="array" ref="B652">IFERROR(INDEX(EmployeeData[Employee ID], ROW() - 37), "")</f>
        <v>1615</v>
      </c>
      <c r="C652" s="4" t="str" cm="1">
        <f t="array" ref="C652">IFERROR(INDEX(EmployeeData[Full Name], ROW() - 37), "")</f>
        <v>Gloria Tan Sia</v>
      </c>
      <c r="D652" s="4" t="str" cm="1">
        <f t="array" ref="D652">IFERROR(INDEX(EmployeeData[Department], ROW() - 37), "")</f>
        <v>Customer Support</v>
      </c>
      <c r="E652" s="4" t="str" cm="1">
        <f t="array" ref="E652">IFERROR(INDEX(EmployeeData[Gender], ROW() - 37), "")</f>
        <v>Female</v>
      </c>
      <c r="F652" s="4" cm="1">
        <f t="array" ref="F652">IFERROR(INDEX(EmployeeData[Age], ROW() - 37), "")</f>
        <v>27</v>
      </c>
      <c r="G652" s="6" cm="1">
        <f t="array" ref="G652">IFERROR(INDEX(EmployeeData[Join Date], ROW() - 37), "")</f>
        <v>44435</v>
      </c>
      <c r="H652" s="6" t="str" cm="1">
        <f t="array" ref="H652">IFERROR(IF(INDEX(EmployeeData[Exit Date], ROW() - 37)=0, "",INDEX(EmployeeData[Exit Date], ROW() - 37)),"")</f>
        <v/>
      </c>
      <c r="I652" s="4" t="str" cm="1">
        <f t="array" ref="I652">IFERROR(IF(INDEX(EmployeeData[Exit Reason], ROW() - 37)=0, "",INDEX(EmployeeData[Exit Reason], ROW() - 37)),"")</f>
        <v/>
      </c>
      <c r="J652" s="4" t="str" cm="1">
        <f t="array" ref="J652">IFERROR(INDEX(EmployeeData[Status], ROW() - 37), "")</f>
        <v>Active</v>
      </c>
    </row>
    <row r="653" spans="2:10" ht="19.95" customHeight="1" x14ac:dyDescent="0.3">
      <c r="B653" s="4" cm="1">
        <f t="array" ref="B653">IFERROR(INDEX(EmployeeData[Employee ID], ROW() - 37), "")</f>
        <v>1616</v>
      </c>
      <c r="C653" s="4" t="str" cm="1">
        <f t="array" ref="C653">IFERROR(INDEX(EmployeeData[Full Name], ROW() - 37), "")</f>
        <v>Karen Santiago</v>
      </c>
      <c r="D653" s="4" t="str" cm="1">
        <f t="array" ref="D653">IFERROR(INDEX(EmployeeData[Department], ROW() - 37), "")</f>
        <v>Marketing</v>
      </c>
      <c r="E653" s="4" t="str" cm="1">
        <f t="array" ref="E653">IFERROR(INDEX(EmployeeData[Gender], ROW() - 37), "")</f>
        <v>Female</v>
      </c>
      <c r="F653" s="4" cm="1">
        <f t="array" ref="F653">IFERROR(INDEX(EmployeeData[Age], ROW() - 37), "")</f>
        <v>36</v>
      </c>
      <c r="G653" s="6" cm="1">
        <f t="array" ref="G653">IFERROR(INDEX(EmployeeData[Join Date], ROW() - 37), "")</f>
        <v>45345</v>
      </c>
      <c r="H653" s="6" cm="1">
        <f t="array" ref="H653">IFERROR(IF(INDEX(EmployeeData[Exit Date], ROW() - 37)=0, "",INDEX(EmployeeData[Exit Date], ROW() - 37)),"")</f>
        <v>45928</v>
      </c>
      <c r="I653" s="4" t="str" cm="1">
        <f t="array" ref="I653">IFERROR(IF(INDEX(EmployeeData[Exit Reason], ROW() - 37)=0, "",INDEX(EmployeeData[Exit Reason], ROW() - 37)),"")</f>
        <v>Termination</v>
      </c>
      <c r="J653" s="4" t="str" cm="1">
        <f t="array" ref="J653">IFERROR(INDEX(EmployeeData[Status], ROW() - 37), "")</f>
        <v>Exited</v>
      </c>
    </row>
    <row r="654" spans="2:10" ht="19.95" customHeight="1" x14ac:dyDescent="0.3">
      <c r="B654" s="4" cm="1">
        <f t="array" ref="B654">IFERROR(INDEX(EmployeeData[Employee ID], ROW() - 37), "")</f>
        <v>1617</v>
      </c>
      <c r="C654" s="4" t="str" cm="1">
        <f t="array" ref="C654">IFERROR(INDEX(EmployeeData[Full Name], ROW() - 37), "")</f>
        <v>Gloria Ocampo Hernandez</v>
      </c>
      <c r="D654" s="4" t="str" cm="1">
        <f t="array" ref="D654">IFERROR(INDEX(EmployeeData[Department], ROW() - 37), "")</f>
        <v>Marketing</v>
      </c>
      <c r="E654" s="4" t="str" cm="1">
        <f t="array" ref="E654">IFERROR(INDEX(EmployeeData[Gender], ROW() - 37), "")</f>
        <v>Other</v>
      </c>
      <c r="F654" s="4" cm="1">
        <f t="array" ref="F654">IFERROR(INDEX(EmployeeData[Age], ROW() - 37), "")</f>
        <v>48</v>
      </c>
      <c r="G654" s="6" cm="1">
        <f t="array" ref="G654">IFERROR(INDEX(EmployeeData[Join Date], ROW() - 37), "")</f>
        <v>45424</v>
      </c>
      <c r="H654" s="6" t="str" cm="1">
        <f t="array" ref="H654">IFERROR(IF(INDEX(EmployeeData[Exit Date], ROW() - 37)=0, "",INDEX(EmployeeData[Exit Date], ROW() - 37)),"")</f>
        <v/>
      </c>
      <c r="I654" s="4" t="str" cm="1">
        <f t="array" ref="I654">IFERROR(IF(INDEX(EmployeeData[Exit Reason], ROW() - 37)=0, "",INDEX(EmployeeData[Exit Reason], ROW() - 37)),"")</f>
        <v/>
      </c>
      <c r="J654" s="4" t="str" cm="1">
        <f t="array" ref="J654">IFERROR(INDEX(EmployeeData[Status], ROW() - 37), "")</f>
        <v>Active</v>
      </c>
    </row>
    <row r="655" spans="2:10" ht="19.95" customHeight="1" x14ac:dyDescent="0.3">
      <c r="B655" s="4" cm="1">
        <f t="array" ref="B655">IFERROR(INDEX(EmployeeData[Employee ID], ROW() - 37), "")</f>
        <v>1618</v>
      </c>
      <c r="C655" s="4" t="str" cm="1">
        <f t="array" ref="C655">IFERROR(INDEX(EmployeeData[Full Name], ROW() - 37), "")</f>
        <v>Carmen Uy Dalisay</v>
      </c>
      <c r="D655" s="4" t="str" cm="1">
        <f t="array" ref="D655">IFERROR(INDEX(EmployeeData[Department], ROW() - 37), "")</f>
        <v>HR</v>
      </c>
      <c r="E655" s="4" t="str" cm="1">
        <f t="array" ref="E655">IFERROR(INDEX(EmployeeData[Gender], ROW() - 37), "")</f>
        <v>Other</v>
      </c>
      <c r="F655" s="4" cm="1">
        <f t="array" ref="F655">IFERROR(INDEX(EmployeeData[Age], ROW() - 37), "")</f>
        <v>52</v>
      </c>
      <c r="G655" s="6" cm="1">
        <f t="array" ref="G655">IFERROR(INDEX(EmployeeData[Join Date], ROW() - 37), "")</f>
        <v>43569</v>
      </c>
      <c r="H655" s="6" t="str" cm="1">
        <f t="array" ref="H655">IFERROR(IF(INDEX(EmployeeData[Exit Date], ROW() - 37)=0, "",INDEX(EmployeeData[Exit Date], ROW() - 37)),"")</f>
        <v/>
      </c>
      <c r="I655" s="4" t="str" cm="1">
        <f t="array" ref="I655">IFERROR(IF(INDEX(EmployeeData[Exit Reason], ROW() - 37)=0, "",INDEX(EmployeeData[Exit Reason], ROW() - 37)),"")</f>
        <v/>
      </c>
      <c r="J655" s="4" t="str" cm="1">
        <f t="array" ref="J655">IFERROR(INDEX(EmployeeData[Status], ROW() - 37), "")</f>
        <v>Active</v>
      </c>
    </row>
    <row r="656" spans="2:10" ht="19.95" customHeight="1" x14ac:dyDescent="0.3">
      <c r="B656" s="4" cm="1">
        <f t="array" ref="B656">IFERROR(INDEX(EmployeeData[Employee ID], ROW() - 37), "")</f>
        <v>1619</v>
      </c>
      <c r="C656" s="4" t="str" cm="1">
        <f t="array" ref="C656">IFERROR(INDEX(EmployeeData[Full Name], ROW() - 37), "")</f>
        <v>Casey Rivera</v>
      </c>
      <c r="D656" s="4" t="str" cm="1">
        <f t="array" ref="D656">IFERROR(INDEX(EmployeeData[Department], ROW() - 37), "")</f>
        <v>Customer Support</v>
      </c>
      <c r="E656" s="4" t="str" cm="1">
        <f t="array" ref="E656">IFERROR(INDEX(EmployeeData[Gender], ROW() - 37), "")</f>
        <v>Other</v>
      </c>
      <c r="F656" s="4" cm="1">
        <f t="array" ref="F656">IFERROR(INDEX(EmployeeData[Age], ROW() - 37), "")</f>
        <v>51</v>
      </c>
      <c r="G656" s="6" cm="1">
        <f t="array" ref="G656">IFERROR(INDEX(EmployeeData[Join Date], ROW() - 37), "")</f>
        <v>45551</v>
      </c>
      <c r="H656" s="6" cm="1">
        <f t="array" ref="H656">IFERROR(IF(INDEX(EmployeeData[Exit Date], ROW() - 37)=0, "",INDEX(EmployeeData[Exit Date], ROW() - 37)),"")</f>
        <v>46029</v>
      </c>
      <c r="I656" s="4" t="str" cm="1">
        <f t="array" ref="I656">IFERROR(IF(INDEX(EmployeeData[Exit Reason], ROW() - 37)=0, "",INDEX(EmployeeData[Exit Reason], ROW() - 37)),"")</f>
        <v>Retirement</v>
      </c>
      <c r="J656" s="4" t="str" cm="1">
        <f t="array" ref="J656">IFERROR(INDEX(EmployeeData[Status], ROW() - 37), "")</f>
        <v>Exited</v>
      </c>
    </row>
    <row r="657" spans="2:10" ht="19.95" customHeight="1" x14ac:dyDescent="0.3">
      <c r="B657" s="4" cm="1">
        <f t="array" ref="B657">IFERROR(INDEX(EmployeeData[Employee ID], ROW() - 37), "")</f>
        <v>1620</v>
      </c>
      <c r="C657" s="4" t="str" cm="1">
        <f t="array" ref="C657">IFERROR(INDEX(EmployeeData[Full Name], ROW() - 37), "")</f>
        <v>Luisa Uy Fajardo</v>
      </c>
      <c r="D657" s="4" t="str" cm="1">
        <f t="array" ref="D657">IFERROR(INDEX(EmployeeData[Department], ROW() - 37), "")</f>
        <v>Sales</v>
      </c>
      <c r="E657" s="4" t="str" cm="1">
        <f t="array" ref="E657">IFERROR(INDEX(EmployeeData[Gender], ROW() - 37), "")</f>
        <v>Other</v>
      </c>
      <c r="F657" s="4" cm="1">
        <f t="array" ref="F657">IFERROR(INDEX(EmployeeData[Age], ROW() - 37), "")</f>
        <v>21</v>
      </c>
      <c r="G657" s="6" cm="1">
        <f t="array" ref="G657">IFERROR(INDEX(EmployeeData[Join Date], ROW() - 37), "")</f>
        <v>43701</v>
      </c>
      <c r="H657" s="6" t="str" cm="1">
        <f t="array" ref="H657">IFERROR(IF(INDEX(EmployeeData[Exit Date], ROW() - 37)=0, "",INDEX(EmployeeData[Exit Date], ROW() - 37)),"")</f>
        <v/>
      </c>
      <c r="I657" s="4" t="str" cm="1">
        <f t="array" ref="I657">IFERROR(IF(INDEX(EmployeeData[Exit Reason], ROW() - 37)=0, "",INDEX(EmployeeData[Exit Reason], ROW() - 37)),"")</f>
        <v/>
      </c>
      <c r="J657" s="4" t="str" cm="1">
        <f t="array" ref="J657">IFERROR(INDEX(EmployeeData[Status], ROW() - 37), "")</f>
        <v>Active</v>
      </c>
    </row>
    <row r="658" spans="2:10" ht="19.95" customHeight="1" x14ac:dyDescent="0.3">
      <c r="B658" s="4" cm="1">
        <f t="array" ref="B658">IFERROR(INDEX(EmployeeData[Employee ID], ROW() - 37), "")</f>
        <v>1621</v>
      </c>
      <c r="C658" s="4" t="str" cm="1">
        <f t="array" ref="C658">IFERROR(INDEX(EmployeeData[Full Name], ROW() - 37), "")</f>
        <v>Manuel Lacson</v>
      </c>
      <c r="D658" s="4" t="str" cm="1">
        <f t="array" ref="D658">IFERROR(INDEX(EmployeeData[Department], ROW() - 37), "")</f>
        <v>Customer Support</v>
      </c>
      <c r="E658" s="4" t="str" cm="1">
        <f t="array" ref="E658">IFERROR(INDEX(EmployeeData[Gender], ROW() - 37), "")</f>
        <v>Other</v>
      </c>
      <c r="F658" s="4" cm="1">
        <f t="array" ref="F658">IFERROR(INDEX(EmployeeData[Age], ROW() - 37), "")</f>
        <v>41</v>
      </c>
      <c r="G658" s="6" cm="1">
        <f t="array" ref="G658">IFERROR(INDEX(EmployeeData[Join Date], ROW() - 37), "")</f>
        <v>44328</v>
      </c>
      <c r="H658" s="6" t="str" cm="1">
        <f t="array" ref="H658">IFERROR(IF(INDEX(EmployeeData[Exit Date], ROW() - 37)=0, "",INDEX(EmployeeData[Exit Date], ROW() - 37)),"")</f>
        <v/>
      </c>
      <c r="I658" s="4" t="str" cm="1">
        <f t="array" ref="I658">IFERROR(IF(INDEX(EmployeeData[Exit Reason], ROW() - 37)=0, "",INDEX(EmployeeData[Exit Reason], ROW() - 37)),"")</f>
        <v/>
      </c>
      <c r="J658" s="4" t="str" cm="1">
        <f t="array" ref="J658">IFERROR(INDEX(EmployeeData[Status], ROW() - 37), "")</f>
        <v>Active</v>
      </c>
    </row>
    <row r="659" spans="2:10" ht="19.95" customHeight="1" x14ac:dyDescent="0.3">
      <c r="B659" s="4" cm="1">
        <f t="array" ref="B659">IFERROR(INDEX(EmployeeData[Employee ID], ROW() - 37), "")</f>
        <v>1622</v>
      </c>
      <c r="C659" s="4" t="str" cm="1">
        <f t="array" ref="C659">IFERROR(INDEX(EmployeeData[Full Name], ROW() - 37), "")</f>
        <v>Pilar Vergara</v>
      </c>
      <c r="D659" s="4" t="str" cm="1">
        <f t="array" ref="D659">IFERROR(INDEX(EmployeeData[Department], ROW() - 37), "")</f>
        <v>Finance</v>
      </c>
      <c r="E659" s="4" t="str" cm="1">
        <f t="array" ref="E659">IFERROR(INDEX(EmployeeData[Gender], ROW() - 37), "")</f>
        <v>Other</v>
      </c>
      <c r="F659" s="4" cm="1">
        <f t="array" ref="F659">IFERROR(INDEX(EmployeeData[Age], ROW() - 37), "")</f>
        <v>58</v>
      </c>
      <c r="G659" s="6" cm="1">
        <f t="array" ref="G659">IFERROR(INDEX(EmployeeData[Join Date], ROW() - 37), "")</f>
        <v>43134</v>
      </c>
      <c r="H659" s="6" t="str" cm="1">
        <f t="array" ref="H659">IFERROR(IF(INDEX(EmployeeData[Exit Date], ROW() - 37)=0, "",INDEX(EmployeeData[Exit Date], ROW() - 37)),"")</f>
        <v/>
      </c>
      <c r="I659" s="4" t="str" cm="1">
        <f t="array" ref="I659">IFERROR(IF(INDEX(EmployeeData[Exit Reason], ROW() - 37)=0, "",INDEX(EmployeeData[Exit Reason], ROW() - 37)),"")</f>
        <v/>
      </c>
      <c r="J659" s="4" t="str" cm="1">
        <f t="array" ref="J659">IFERROR(INDEX(EmployeeData[Status], ROW() - 37), "")</f>
        <v>Active</v>
      </c>
    </row>
    <row r="660" spans="2:10" ht="19.95" customHeight="1" x14ac:dyDescent="0.3">
      <c r="B660" s="4" cm="1">
        <f t="array" ref="B660">IFERROR(INDEX(EmployeeData[Employee ID], ROW() - 37), "")</f>
        <v>1623</v>
      </c>
      <c r="C660" s="4" t="str" cm="1">
        <f t="array" ref="C660">IFERROR(INDEX(EmployeeData[Full Name], ROW() - 37), "")</f>
        <v>Diana Tan Bautista</v>
      </c>
      <c r="D660" s="4" t="str" cm="1">
        <f t="array" ref="D660">IFERROR(INDEX(EmployeeData[Department], ROW() - 37), "")</f>
        <v>Sales</v>
      </c>
      <c r="E660" s="4" t="str" cm="1">
        <f t="array" ref="E660">IFERROR(INDEX(EmployeeData[Gender], ROW() - 37), "")</f>
        <v>Female</v>
      </c>
      <c r="F660" s="4" cm="1">
        <f t="array" ref="F660">IFERROR(INDEX(EmployeeData[Age], ROW() - 37), "")</f>
        <v>56</v>
      </c>
      <c r="G660" s="6" cm="1">
        <f t="array" ref="G660">IFERROR(INDEX(EmployeeData[Join Date], ROW() - 37), "")</f>
        <v>43318</v>
      </c>
      <c r="H660" s="6" cm="1">
        <f t="array" ref="H660">IFERROR(IF(INDEX(EmployeeData[Exit Date], ROW() - 37)=0, "",INDEX(EmployeeData[Exit Date], ROW() - 37)),"")</f>
        <v>44879</v>
      </c>
      <c r="I660" s="4" t="str" cm="1">
        <f t="array" ref="I660">IFERROR(IF(INDEX(EmployeeData[Exit Reason], ROW() - 37)=0, "",INDEX(EmployeeData[Exit Reason], ROW() - 37)),"")</f>
        <v>Better Opportunity</v>
      </c>
      <c r="J660" s="4" t="str" cm="1">
        <f t="array" ref="J660">IFERROR(INDEX(EmployeeData[Status], ROW() - 37), "")</f>
        <v>Exited</v>
      </c>
    </row>
    <row r="661" spans="2:10" ht="19.95" customHeight="1" x14ac:dyDescent="0.3">
      <c r="B661" s="4" cm="1">
        <f t="array" ref="B661">IFERROR(INDEX(EmployeeData[Employee ID], ROW() - 37), "")</f>
        <v>1624</v>
      </c>
      <c r="C661" s="4" t="str" cm="1">
        <f t="array" ref="C661">IFERROR(INDEX(EmployeeData[Full Name], ROW() - 37), "")</f>
        <v>Ramon Ramos Delos Reyes</v>
      </c>
      <c r="D661" s="4" t="str" cm="1">
        <f t="array" ref="D661">IFERROR(INDEX(EmployeeData[Department], ROW() - 37), "")</f>
        <v>Marketing</v>
      </c>
      <c r="E661" s="4" t="str" cm="1">
        <f t="array" ref="E661">IFERROR(INDEX(EmployeeData[Gender], ROW() - 37), "")</f>
        <v>Other</v>
      </c>
      <c r="F661" s="4" cm="1">
        <f t="array" ref="F661">IFERROR(INDEX(EmployeeData[Age], ROW() - 37), "")</f>
        <v>46</v>
      </c>
      <c r="G661" s="6" cm="1">
        <f t="array" ref="G661">IFERROR(INDEX(EmployeeData[Join Date], ROW() - 37), "")</f>
        <v>44663</v>
      </c>
      <c r="H661" s="6" t="str" cm="1">
        <f t="array" ref="H661">IFERROR(IF(INDEX(EmployeeData[Exit Date], ROW() - 37)=0, "",INDEX(EmployeeData[Exit Date], ROW() - 37)),"")</f>
        <v/>
      </c>
      <c r="I661" s="4" t="str" cm="1">
        <f t="array" ref="I661">IFERROR(IF(INDEX(EmployeeData[Exit Reason], ROW() - 37)=0, "",INDEX(EmployeeData[Exit Reason], ROW() - 37)),"")</f>
        <v/>
      </c>
      <c r="J661" s="4" t="str" cm="1">
        <f t="array" ref="J661">IFERROR(INDEX(EmployeeData[Status], ROW() - 37), "")</f>
        <v>Active</v>
      </c>
    </row>
    <row r="662" spans="2:10" ht="19.95" customHeight="1" x14ac:dyDescent="0.3">
      <c r="B662" s="4" cm="1">
        <f t="array" ref="B662">IFERROR(INDEX(EmployeeData[Employee ID], ROW() - 37), "")</f>
        <v>1625</v>
      </c>
      <c r="C662" s="4" t="str" cm="1">
        <f t="array" ref="C662">IFERROR(INDEX(EmployeeData[Full Name], ROW() - 37), "")</f>
        <v>Manuel Ang Bayani</v>
      </c>
      <c r="D662" s="4" t="str" cm="1">
        <f t="array" ref="D662">IFERROR(INDEX(EmployeeData[Department], ROW() - 37), "")</f>
        <v>Customer Support</v>
      </c>
      <c r="E662" s="4" t="str" cm="1">
        <f t="array" ref="E662">IFERROR(INDEX(EmployeeData[Gender], ROW() - 37), "")</f>
        <v>Male</v>
      </c>
      <c r="F662" s="4" cm="1">
        <f t="array" ref="F662">IFERROR(INDEX(EmployeeData[Age], ROW() - 37), "")</f>
        <v>44</v>
      </c>
      <c r="G662" s="6" cm="1">
        <f t="array" ref="G662">IFERROR(INDEX(EmployeeData[Join Date], ROW() - 37), "")</f>
        <v>44809</v>
      </c>
      <c r="H662" s="6" cm="1">
        <f t="array" ref="H662">IFERROR(IF(INDEX(EmployeeData[Exit Date], ROW() - 37)=0, "",INDEX(EmployeeData[Exit Date], ROW() - 37)),"")</f>
        <v>45156</v>
      </c>
      <c r="I662" s="4" t="str" cm="1">
        <f t="array" ref="I662">IFERROR(IF(INDEX(EmployeeData[Exit Reason], ROW() - 37)=0, "",INDEX(EmployeeData[Exit Reason], ROW() - 37)),"")</f>
        <v>Better Opportunity</v>
      </c>
      <c r="J662" s="4" t="str" cm="1">
        <f t="array" ref="J662">IFERROR(INDEX(EmployeeData[Status], ROW() - 37), "")</f>
        <v>Exited</v>
      </c>
    </row>
    <row r="663" spans="2:10" ht="19.95" customHeight="1" x14ac:dyDescent="0.3">
      <c r="B663" s="4" cm="1">
        <f t="array" ref="B663">IFERROR(INDEX(EmployeeData[Employee ID], ROW() - 37), "")</f>
        <v>1626</v>
      </c>
      <c r="C663" s="4" t="str" cm="1">
        <f t="array" ref="C663">IFERROR(INDEX(EmployeeData[Full Name], ROW() - 37), "")</f>
        <v>Cristina Estrada</v>
      </c>
      <c r="D663" s="4" t="str" cm="1">
        <f t="array" ref="D663">IFERROR(INDEX(EmployeeData[Department], ROW() - 37), "")</f>
        <v>HR</v>
      </c>
      <c r="E663" s="4" t="str" cm="1">
        <f t="array" ref="E663">IFERROR(INDEX(EmployeeData[Gender], ROW() - 37), "")</f>
        <v>Other</v>
      </c>
      <c r="F663" s="4" cm="1">
        <f t="array" ref="F663">IFERROR(INDEX(EmployeeData[Age], ROW() - 37), "")</f>
        <v>29</v>
      </c>
      <c r="G663" s="6" cm="1">
        <f t="array" ref="G663">IFERROR(INDEX(EmployeeData[Join Date], ROW() - 37), "")</f>
        <v>43447</v>
      </c>
      <c r="H663" s="6" cm="1">
        <f t="array" ref="H663">IFERROR(IF(INDEX(EmployeeData[Exit Date], ROW() - 37)=0, "",INDEX(EmployeeData[Exit Date], ROW() - 37)),"")</f>
        <v>45240</v>
      </c>
      <c r="I663" s="4" t="str" cm="1">
        <f t="array" ref="I663">IFERROR(IF(INDEX(EmployeeData[Exit Reason], ROW() - 37)=0, "",INDEX(EmployeeData[Exit Reason], ROW() - 37)),"")</f>
        <v>Resignation</v>
      </c>
      <c r="J663" s="4" t="str" cm="1">
        <f t="array" ref="J663">IFERROR(INDEX(EmployeeData[Status], ROW() - 37), "")</f>
        <v>Exited</v>
      </c>
    </row>
    <row r="664" spans="2:10" ht="19.95" customHeight="1" x14ac:dyDescent="0.3">
      <c r="B664" s="4" cm="1">
        <f t="array" ref="B664">IFERROR(INDEX(EmployeeData[Employee ID], ROW() - 37), "")</f>
        <v>1627</v>
      </c>
      <c r="C664" s="4" t="str" cm="1">
        <f t="array" ref="C664">IFERROR(INDEX(EmployeeData[Full Name], ROW() - 37), "")</f>
        <v>Juan Mercado Macapagal</v>
      </c>
      <c r="D664" s="4" t="str" cm="1">
        <f t="array" ref="D664">IFERROR(INDEX(EmployeeData[Department], ROW() - 37), "")</f>
        <v>IT</v>
      </c>
      <c r="E664" s="4" t="str" cm="1">
        <f t="array" ref="E664">IFERROR(INDEX(EmployeeData[Gender], ROW() - 37), "")</f>
        <v>Male</v>
      </c>
      <c r="F664" s="4" cm="1">
        <f t="array" ref="F664">IFERROR(INDEX(EmployeeData[Age], ROW() - 37), "")</f>
        <v>49</v>
      </c>
      <c r="G664" s="6" cm="1">
        <f t="array" ref="G664">IFERROR(INDEX(EmployeeData[Join Date], ROW() - 37), "")</f>
        <v>44676</v>
      </c>
      <c r="H664" s="6" cm="1">
        <f t="array" ref="H664">IFERROR(IF(INDEX(EmployeeData[Exit Date], ROW() - 37)=0, "",INDEX(EmployeeData[Exit Date], ROW() - 37)),"")</f>
        <v>45146</v>
      </c>
      <c r="I664" s="4" t="str" cm="1">
        <f t="array" ref="I664">IFERROR(IF(INDEX(EmployeeData[Exit Reason], ROW() - 37)=0, "",INDEX(EmployeeData[Exit Reason], ROW() - 37)),"")</f>
        <v>Termination</v>
      </c>
      <c r="J664" s="4" t="str" cm="1">
        <f t="array" ref="J664">IFERROR(INDEX(EmployeeData[Status], ROW() - 37), "")</f>
        <v>Exited</v>
      </c>
    </row>
    <row r="665" spans="2:10" ht="19.95" customHeight="1" x14ac:dyDescent="0.3">
      <c r="B665" s="4" cm="1">
        <f t="array" ref="B665">IFERROR(INDEX(EmployeeData[Employee ID], ROW() - 37), "")</f>
        <v>1628</v>
      </c>
      <c r="C665" s="4" t="str" cm="1">
        <f t="array" ref="C665">IFERROR(INDEX(EmployeeData[Full Name], ROW() - 37), "")</f>
        <v>Patricia Garcia Gonzales</v>
      </c>
      <c r="D665" s="4" t="str" cm="1">
        <f t="array" ref="D665">IFERROR(INDEX(EmployeeData[Department], ROW() - 37), "")</f>
        <v>HR</v>
      </c>
      <c r="E665" s="4" t="str" cm="1">
        <f t="array" ref="E665">IFERROR(INDEX(EmployeeData[Gender], ROW() - 37), "")</f>
        <v>Female</v>
      </c>
      <c r="F665" s="4" cm="1">
        <f t="array" ref="F665">IFERROR(INDEX(EmployeeData[Age], ROW() - 37), "")</f>
        <v>55</v>
      </c>
      <c r="G665" s="6" cm="1">
        <f t="array" ref="G665">IFERROR(INDEX(EmployeeData[Join Date], ROW() - 37), "")</f>
        <v>45461</v>
      </c>
      <c r="H665" s="6" cm="1">
        <f t="array" ref="H665">IFERROR(IF(INDEX(EmployeeData[Exit Date], ROW() - 37)=0, "",INDEX(EmployeeData[Exit Date], ROW() - 37)),"")</f>
        <v>45589</v>
      </c>
      <c r="I665" s="4" t="str" cm="1">
        <f t="array" ref="I665">IFERROR(IF(INDEX(EmployeeData[Exit Reason], ROW() - 37)=0, "",INDEX(EmployeeData[Exit Reason], ROW() - 37)),"")</f>
        <v>Health Issues</v>
      </c>
      <c r="J665" s="4" t="str" cm="1">
        <f t="array" ref="J665">IFERROR(INDEX(EmployeeData[Status], ROW() - 37), "")</f>
        <v>Exited</v>
      </c>
    </row>
    <row r="666" spans="2:10" ht="19.95" customHeight="1" x14ac:dyDescent="0.3">
      <c r="B666" s="4" cm="1">
        <f t="array" ref="B666">IFERROR(INDEX(EmployeeData[Employee ID], ROW() - 37), "")</f>
        <v>1629</v>
      </c>
      <c r="C666" s="4" t="str" cm="1">
        <f t="array" ref="C666">IFERROR(INDEX(EmployeeData[Full Name], ROW() - 37), "")</f>
        <v>Teresa Chan Solis</v>
      </c>
      <c r="D666" s="4" t="str" cm="1">
        <f t="array" ref="D666">IFERROR(INDEX(EmployeeData[Department], ROW() - 37), "")</f>
        <v>Customer Support</v>
      </c>
      <c r="E666" s="4" t="str" cm="1">
        <f t="array" ref="E666">IFERROR(INDEX(EmployeeData[Gender], ROW() - 37), "")</f>
        <v>Other</v>
      </c>
      <c r="F666" s="4" cm="1">
        <f t="array" ref="F666">IFERROR(INDEX(EmployeeData[Age], ROW() - 37), "")</f>
        <v>38</v>
      </c>
      <c r="G666" s="6" cm="1">
        <f t="array" ref="G666">IFERROR(INDEX(EmployeeData[Join Date], ROW() - 37), "")</f>
        <v>45005</v>
      </c>
      <c r="H666" s="6" t="str" cm="1">
        <f t="array" ref="H666">IFERROR(IF(INDEX(EmployeeData[Exit Date], ROW() - 37)=0, "",INDEX(EmployeeData[Exit Date], ROW() - 37)),"")</f>
        <v/>
      </c>
      <c r="I666" s="4" t="str" cm="1">
        <f t="array" ref="I666">IFERROR(IF(INDEX(EmployeeData[Exit Reason], ROW() - 37)=0, "",INDEX(EmployeeData[Exit Reason], ROW() - 37)),"")</f>
        <v/>
      </c>
      <c r="J666" s="4" t="str" cm="1">
        <f t="array" ref="J666">IFERROR(INDEX(EmployeeData[Status], ROW() - 37), "")</f>
        <v>Active</v>
      </c>
    </row>
    <row r="667" spans="2:10" ht="19.95" customHeight="1" x14ac:dyDescent="0.3">
      <c r="B667" s="4" cm="1">
        <f t="array" ref="B667">IFERROR(INDEX(EmployeeData[Employee ID], ROW() - 37), "")</f>
        <v>1630</v>
      </c>
      <c r="C667" s="4" t="str" cm="1">
        <f t="array" ref="C667">IFERROR(INDEX(EmployeeData[Full Name], ROW() - 37), "")</f>
        <v>Willy Yap</v>
      </c>
      <c r="D667" s="4" t="str" cm="1">
        <f t="array" ref="D667">IFERROR(INDEX(EmployeeData[Department], ROW() - 37), "")</f>
        <v>Marketing</v>
      </c>
      <c r="E667" s="4" t="str" cm="1">
        <f t="array" ref="E667">IFERROR(INDEX(EmployeeData[Gender], ROW() - 37), "")</f>
        <v>Male</v>
      </c>
      <c r="F667" s="4" cm="1">
        <f t="array" ref="F667">IFERROR(INDEX(EmployeeData[Age], ROW() - 37), "")</f>
        <v>25</v>
      </c>
      <c r="G667" s="6" cm="1">
        <f t="array" ref="G667">IFERROR(INDEX(EmployeeData[Join Date], ROW() - 37), "")</f>
        <v>45902</v>
      </c>
      <c r="H667" s="6" t="str" cm="1">
        <f t="array" ref="H667">IFERROR(IF(INDEX(EmployeeData[Exit Date], ROW() - 37)=0, "",INDEX(EmployeeData[Exit Date], ROW() - 37)),"")</f>
        <v/>
      </c>
      <c r="I667" s="4" t="str" cm="1">
        <f t="array" ref="I667">IFERROR(IF(INDEX(EmployeeData[Exit Reason], ROW() - 37)=0, "",INDEX(EmployeeData[Exit Reason], ROW() - 37)),"")</f>
        <v/>
      </c>
      <c r="J667" s="4" t="str" cm="1">
        <f t="array" ref="J667">IFERROR(INDEX(EmployeeData[Status], ROW() - 37), "")</f>
        <v>Active</v>
      </c>
    </row>
    <row r="668" spans="2:10" ht="19.95" customHeight="1" x14ac:dyDescent="0.3">
      <c r="B668" s="4" cm="1">
        <f t="array" ref="B668">IFERROR(INDEX(EmployeeData[Employee ID], ROW() - 37), "")</f>
        <v>1631</v>
      </c>
      <c r="C668" s="4" t="str" cm="1">
        <f t="array" ref="C668">IFERROR(INDEX(EmployeeData[Full Name], ROW() - 37), "")</f>
        <v>Eddie Macapagal</v>
      </c>
      <c r="D668" s="4" t="str" cm="1">
        <f t="array" ref="D668">IFERROR(INDEX(EmployeeData[Department], ROW() - 37), "")</f>
        <v>Finance</v>
      </c>
      <c r="E668" s="4" t="str" cm="1">
        <f t="array" ref="E668">IFERROR(INDEX(EmployeeData[Gender], ROW() - 37), "")</f>
        <v>Male</v>
      </c>
      <c r="F668" s="4" cm="1">
        <f t="array" ref="F668">IFERROR(INDEX(EmployeeData[Age], ROW() - 37), "")</f>
        <v>21</v>
      </c>
      <c r="G668" s="6" cm="1">
        <f t="array" ref="G668">IFERROR(INDEX(EmployeeData[Join Date], ROW() - 37), "")</f>
        <v>45021</v>
      </c>
      <c r="H668" s="6" t="str" cm="1">
        <f t="array" ref="H668">IFERROR(IF(INDEX(EmployeeData[Exit Date], ROW() - 37)=0, "",INDEX(EmployeeData[Exit Date], ROW() - 37)),"")</f>
        <v/>
      </c>
      <c r="I668" s="4" t="str" cm="1">
        <f t="array" ref="I668">IFERROR(IF(INDEX(EmployeeData[Exit Reason], ROW() - 37)=0, "",INDEX(EmployeeData[Exit Reason], ROW() - 37)),"")</f>
        <v/>
      </c>
      <c r="J668" s="4" t="str" cm="1">
        <f t="array" ref="J668">IFERROR(INDEX(EmployeeData[Status], ROW() - 37), "")</f>
        <v>Active</v>
      </c>
    </row>
    <row r="669" spans="2:10" ht="19.95" customHeight="1" x14ac:dyDescent="0.3">
      <c r="B669" s="4" cm="1">
        <f t="array" ref="B669">IFERROR(INDEX(EmployeeData[Employee ID], ROW() - 37), "")</f>
        <v>1632</v>
      </c>
      <c r="C669" s="4" t="str" cm="1">
        <f t="array" ref="C669">IFERROR(INDEX(EmployeeData[Full Name], ROW() - 37), "")</f>
        <v>Manuel Dela Torre</v>
      </c>
      <c r="D669" s="4" t="str" cm="1">
        <f t="array" ref="D669">IFERROR(INDEX(EmployeeData[Department], ROW() - 37), "")</f>
        <v>IT</v>
      </c>
      <c r="E669" s="4" t="str" cm="1">
        <f t="array" ref="E669">IFERROR(INDEX(EmployeeData[Gender], ROW() - 37), "")</f>
        <v>Other</v>
      </c>
      <c r="F669" s="4" cm="1">
        <f t="array" ref="F669">IFERROR(INDEX(EmployeeData[Age], ROW() - 37), "")</f>
        <v>39</v>
      </c>
      <c r="G669" s="6" cm="1">
        <f t="array" ref="G669">IFERROR(INDEX(EmployeeData[Join Date], ROW() - 37), "")</f>
        <v>44285</v>
      </c>
      <c r="H669" s="6" cm="1">
        <f t="array" ref="H669">IFERROR(IF(INDEX(EmployeeData[Exit Date], ROW() - 37)=0, "",INDEX(EmployeeData[Exit Date], ROW() - 37)),"")</f>
        <v>45798</v>
      </c>
      <c r="I669" s="4" t="str" cm="1">
        <f t="array" ref="I669">IFERROR(IF(INDEX(EmployeeData[Exit Reason], ROW() - 37)=0, "",INDEX(EmployeeData[Exit Reason], ROW() - 37)),"")</f>
        <v>Contract End</v>
      </c>
      <c r="J669" s="4" t="str" cm="1">
        <f t="array" ref="J669">IFERROR(INDEX(EmployeeData[Status], ROW() - 37), "")</f>
        <v>Exited</v>
      </c>
    </row>
    <row r="670" spans="2:10" ht="19.95" customHeight="1" x14ac:dyDescent="0.3">
      <c r="B670" s="4" cm="1">
        <f t="array" ref="B670">IFERROR(INDEX(EmployeeData[Employee ID], ROW() - 37), "")</f>
        <v>1633</v>
      </c>
      <c r="C670" s="4" t="str" cm="1">
        <f t="array" ref="C670">IFERROR(INDEX(EmployeeData[Full Name], ROW() - 37), "")</f>
        <v>Aldrin San Pedro</v>
      </c>
      <c r="D670" s="4" t="str" cm="1">
        <f t="array" ref="D670">IFERROR(INDEX(EmployeeData[Department], ROW() - 37), "")</f>
        <v>IT</v>
      </c>
      <c r="E670" s="4" t="str" cm="1">
        <f t="array" ref="E670">IFERROR(INDEX(EmployeeData[Gender], ROW() - 37), "")</f>
        <v>Male</v>
      </c>
      <c r="F670" s="4" cm="1">
        <f t="array" ref="F670">IFERROR(INDEX(EmployeeData[Age], ROW() - 37), "")</f>
        <v>58</v>
      </c>
      <c r="G670" s="6" cm="1">
        <f t="array" ref="G670">IFERROR(INDEX(EmployeeData[Join Date], ROW() - 37), "")</f>
        <v>43793</v>
      </c>
      <c r="H670" s="6" t="str" cm="1">
        <f t="array" ref="H670">IFERROR(IF(INDEX(EmployeeData[Exit Date], ROW() - 37)=0, "",INDEX(EmployeeData[Exit Date], ROW() - 37)),"")</f>
        <v/>
      </c>
      <c r="I670" s="4" t="str" cm="1">
        <f t="array" ref="I670">IFERROR(IF(INDEX(EmployeeData[Exit Reason], ROW() - 37)=0, "",INDEX(EmployeeData[Exit Reason], ROW() - 37)),"")</f>
        <v/>
      </c>
      <c r="J670" s="4" t="str" cm="1">
        <f t="array" ref="J670">IFERROR(INDEX(EmployeeData[Status], ROW() - 37), "")</f>
        <v>Active</v>
      </c>
    </row>
    <row r="671" spans="2:10" ht="19.95" customHeight="1" x14ac:dyDescent="0.3">
      <c r="B671" s="4" cm="1">
        <f t="array" ref="B671">IFERROR(INDEX(EmployeeData[Employee ID], ROW() - 37), "")</f>
        <v>1634</v>
      </c>
      <c r="C671" s="4" t="str" cm="1">
        <f t="array" ref="C671">IFERROR(INDEX(EmployeeData[Full Name], ROW() - 37), "")</f>
        <v>Celine Aguilar Go</v>
      </c>
      <c r="D671" s="4" t="str" cm="1">
        <f t="array" ref="D671">IFERROR(INDEX(EmployeeData[Department], ROW() - 37), "")</f>
        <v>IT</v>
      </c>
      <c r="E671" s="4" t="str" cm="1">
        <f t="array" ref="E671">IFERROR(INDEX(EmployeeData[Gender], ROW() - 37), "")</f>
        <v>Female</v>
      </c>
      <c r="F671" s="4" cm="1">
        <f t="array" ref="F671">IFERROR(INDEX(EmployeeData[Age], ROW() - 37), "")</f>
        <v>53</v>
      </c>
      <c r="G671" s="6" cm="1">
        <f t="array" ref="G671">IFERROR(INDEX(EmployeeData[Join Date], ROW() - 37), "")</f>
        <v>43415</v>
      </c>
      <c r="H671" s="6" t="str" cm="1">
        <f t="array" ref="H671">IFERROR(IF(INDEX(EmployeeData[Exit Date], ROW() - 37)=0, "",INDEX(EmployeeData[Exit Date], ROW() - 37)),"")</f>
        <v/>
      </c>
      <c r="I671" s="4" t="str" cm="1">
        <f t="array" ref="I671">IFERROR(IF(INDEX(EmployeeData[Exit Reason], ROW() - 37)=0, "",INDEX(EmployeeData[Exit Reason], ROW() - 37)),"")</f>
        <v/>
      </c>
      <c r="J671" s="4" t="str" cm="1">
        <f t="array" ref="J671">IFERROR(INDEX(EmployeeData[Status], ROW() - 37), "")</f>
        <v>Active</v>
      </c>
    </row>
    <row r="672" spans="2:10" ht="19.95" customHeight="1" x14ac:dyDescent="0.3">
      <c r="B672" s="4" cm="1">
        <f t="array" ref="B672">IFERROR(INDEX(EmployeeData[Employee ID], ROW() - 37), "")</f>
        <v>1635</v>
      </c>
      <c r="C672" s="4" t="str" cm="1">
        <f t="array" ref="C672">IFERROR(INDEX(EmployeeData[Full Name], ROW() - 37), "")</f>
        <v>Patricia Mercado Soriano</v>
      </c>
      <c r="D672" s="4" t="str" cm="1">
        <f t="array" ref="D672">IFERROR(INDEX(EmployeeData[Department], ROW() - 37), "")</f>
        <v>IT</v>
      </c>
      <c r="E672" s="4" t="str" cm="1">
        <f t="array" ref="E672">IFERROR(INDEX(EmployeeData[Gender], ROW() - 37), "")</f>
        <v>Female</v>
      </c>
      <c r="F672" s="4" cm="1">
        <f t="array" ref="F672">IFERROR(INDEX(EmployeeData[Age], ROW() - 37), "")</f>
        <v>28</v>
      </c>
      <c r="G672" s="6" cm="1">
        <f t="array" ref="G672">IFERROR(INDEX(EmployeeData[Join Date], ROW() - 37), "")</f>
        <v>45574</v>
      </c>
      <c r="H672" s="6" cm="1">
        <f t="array" ref="H672">IFERROR(IF(INDEX(EmployeeData[Exit Date], ROW() - 37)=0, "",INDEX(EmployeeData[Exit Date], ROW() - 37)),"")</f>
        <v>45818</v>
      </c>
      <c r="I672" s="4" t="str" cm="1">
        <f t="array" ref="I672">IFERROR(IF(INDEX(EmployeeData[Exit Reason], ROW() - 37)=0, "",INDEX(EmployeeData[Exit Reason], ROW() - 37)),"")</f>
        <v>Relocation</v>
      </c>
      <c r="J672" s="4" t="str" cm="1">
        <f t="array" ref="J672">IFERROR(INDEX(EmployeeData[Status], ROW() - 37), "")</f>
        <v>Exited</v>
      </c>
    </row>
    <row r="673" spans="2:10" ht="19.95" customHeight="1" x14ac:dyDescent="0.3">
      <c r="B673" s="4" cm="1">
        <f t="array" ref="B673">IFERROR(INDEX(EmployeeData[Employee ID], ROW() - 37), "")</f>
        <v>1636</v>
      </c>
      <c r="C673" s="4" t="str" cm="1">
        <f t="array" ref="C673">IFERROR(INDEX(EmployeeData[Full Name], ROW() - 37), "")</f>
        <v>Cameron Perez</v>
      </c>
      <c r="D673" s="4" t="str" cm="1">
        <f t="array" ref="D673">IFERROR(INDEX(EmployeeData[Department], ROW() - 37), "")</f>
        <v>Marketing</v>
      </c>
      <c r="E673" s="4" t="str" cm="1">
        <f t="array" ref="E673">IFERROR(INDEX(EmployeeData[Gender], ROW() - 37), "")</f>
        <v>Other</v>
      </c>
      <c r="F673" s="4" cm="1">
        <f t="array" ref="F673">IFERROR(INDEX(EmployeeData[Age], ROW() - 37), "")</f>
        <v>23</v>
      </c>
      <c r="G673" s="6" cm="1">
        <f t="array" ref="G673">IFERROR(INDEX(EmployeeData[Join Date], ROW() - 37), "")</f>
        <v>44505</v>
      </c>
      <c r="H673" s="6" t="str" cm="1">
        <f t="array" ref="H673">IFERROR(IF(INDEX(EmployeeData[Exit Date], ROW() - 37)=0, "",INDEX(EmployeeData[Exit Date], ROW() - 37)),"")</f>
        <v/>
      </c>
      <c r="I673" s="4" t="str" cm="1">
        <f t="array" ref="I673">IFERROR(IF(INDEX(EmployeeData[Exit Reason], ROW() - 37)=0, "",INDEX(EmployeeData[Exit Reason], ROW() - 37)),"")</f>
        <v/>
      </c>
      <c r="J673" s="4" t="str" cm="1">
        <f t="array" ref="J673">IFERROR(INDEX(EmployeeData[Status], ROW() - 37), "")</f>
        <v>Active</v>
      </c>
    </row>
    <row r="674" spans="2:10" ht="19.95" customHeight="1" x14ac:dyDescent="0.3">
      <c r="B674" s="4" cm="1">
        <f t="array" ref="B674">IFERROR(INDEX(EmployeeData[Employee ID], ROW() - 37), "")</f>
        <v>1637</v>
      </c>
      <c r="C674" s="4" t="str" cm="1">
        <f t="array" ref="C674">IFERROR(INDEX(EmployeeData[Full Name], ROW() - 37), "")</f>
        <v>Gregorio Vega Santiago</v>
      </c>
      <c r="D674" s="4" t="str" cm="1">
        <f t="array" ref="D674">IFERROR(INDEX(EmployeeData[Department], ROW() - 37), "")</f>
        <v>Customer Support</v>
      </c>
      <c r="E674" s="4" t="str" cm="1">
        <f t="array" ref="E674">IFERROR(INDEX(EmployeeData[Gender], ROW() - 37), "")</f>
        <v>Male</v>
      </c>
      <c r="F674" s="4" cm="1">
        <f t="array" ref="F674">IFERROR(INDEX(EmployeeData[Age], ROW() - 37), "")</f>
        <v>47</v>
      </c>
      <c r="G674" s="6" cm="1">
        <f t="array" ref="G674">IFERROR(INDEX(EmployeeData[Join Date], ROW() - 37), "")</f>
        <v>44670</v>
      </c>
      <c r="H674" s="6" cm="1">
        <f t="array" ref="H674">IFERROR(IF(INDEX(EmployeeData[Exit Date], ROW() - 37)=0, "",INDEX(EmployeeData[Exit Date], ROW() - 37)),"")</f>
        <v>45661</v>
      </c>
      <c r="I674" s="4" t="str" cm="1">
        <f t="array" ref="I674">IFERROR(IF(INDEX(EmployeeData[Exit Reason], ROW() - 37)=0, "",INDEX(EmployeeData[Exit Reason], ROW() - 37)),"")</f>
        <v>Personal Reasons</v>
      </c>
      <c r="J674" s="4" t="str" cm="1">
        <f t="array" ref="J674">IFERROR(INDEX(EmployeeData[Status], ROW() - 37), "")</f>
        <v>Exited</v>
      </c>
    </row>
    <row r="675" spans="2:10" ht="19.95" customHeight="1" x14ac:dyDescent="0.3">
      <c r="B675" s="4" cm="1">
        <f t="array" ref="B675">IFERROR(INDEX(EmployeeData[Employee ID], ROW() - 37), "")</f>
        <v>1638</v>
      </c>
      <c r="C675" s="4" t="str" cm="1">
        <f t="array" ref="C675">IFERROR(INDEX(EmployeeData[Full Name], ROW() - 37), "")</f>
        <v>Gina Del Rosario</v>
      </c>
      <c r="D675" s="4" t="str" cm="1">
        <f t="array" ref="D675">IFERROR(INDEX(EmployeeData[Department], ROW() - 37), "")</f>
        <v>Customer Support</v>
      </c>
      <c r="E675" s="4" t="str" cm="1">
        <f t="array" ref="E675">IFERROR(INDEX(EmployeeData[Gender], ROW() - 37), "")</f>
        <v>Female</v>
      </c>
      <c r="F675" s="4" cm="1">
        <f t="array" ref="F675">IFERROR(INDEX(EmployeeData[Age], ROW() - 37), "")</f>
        <v>28</v>
      </c>
      <c r="G675" s="6" cm="1">
        <f t="array" ref="G675">IFERROR(INDEX(EmployeeData[Join Date], ROW() - 37), "")</f>
        <v>43316</v>
      </c>
      <c r="H675" s="6" cm="1">
        <f t="array" ref="H675">IFERROR(IF(INDEX(EmployeeData[Exit Date], ROW() - 37)=0, "",INDEX(EmployeeData[Exit Date], ROW() - 37)),"")</f>
        <v>45039</v>
      </c>
      <c r="I675" s="4" t="str" cm="1">
        <f t="array" ref="I675">IFERROR(IF(INDEX(EmployeeData[Exit Reason], ROW() - 37)=0, "",INDEX(EmployeeData[Exit Reason], ROW() - 37)),"")</f>
        <v>Termination</v>
      </c>
      <c r="J675" s="4" t="str" cm="1">
        <f t="array" ref="J675">IFERROR(INDEX(EmployeeData[Status], ROW() - 37), "")</f>
        <v>Exited</v>
      </c>
    </row>
    <row r="676" spans="2:10" ht="19.95" customHeight="1" x14ac:dyDescent="0.3">
      <c r="B676" s="4" cm="1">
        <f t="array" ref="B676">IFERROR(INDEX(EmployeeData[Employee ID], ROW() - 37), "")</f>
        <v>1639</v>
      </c>
      <c r="C676" s="4" t="str" cm="1">
        <f t="array" ref="C676">IFERROR(INDEX(EmployeeData[Full Name], ROW() - 37), "")</f>
        <v>Daisy Panganiban</v>
      </c>
      <c r="D676" s="4" t="str" cm="1">
        <f t="array" ref="D676">IFERROR(INDEX(EmployeeData[Department], ROW() - 37), "")</f>
        <v>Finance</v>
      </c>
      <c r="E676" s="4" t="str" cm="1">
        <f t="array" ref="E676">IFERROR(INDEX(EmployeeData[Gender], ROW() - 37), "")</f>
        <v>Female</v>
      </c>
      <c r="F676" s="4" cm="1">
        <f t="array" ref="F676">IFERROR(INDEX(EmployeeData[Age], ROW() - 37), "")</f>
        <v>45</v>
      </c>
      <c r="G676" s="6" cm="1">
        <f t="array" ref="G676">IFERROR(INDEX(EmployeeData[Join Date], ROW() - 37), "")</f>
        <v>45044</v>
      </c>
      <c r="H676" s="6" cm="1">
        <f t="array" ref="H676">IFERROR(IF(INDEX(EmployeeData[Exit Date], ROW() - 37)=0, "",INDEX(EmployeeData[Exit Date], ROW() - 37)),"")</f>
        <v>46024</v>
      </c>
      <c r="I676" s="4" t="str" cm="1">
        <f t="array" ref="I676">IFERROR(IF(INDEX(EmployeeData[Exit Reason], ROW() - 37)=0, "",INDEX(EmployeeData[Exit Reason], ROW() - 37)),"")</f>
        <v>Better Opportunity</v>
      </c>
      <c r="J676" s="4" t="str" cm="1">
        <f t="array" ref="J676">IFERROR(INDEX(EmployeeData[Status], ROW() - 37), "")</f>
        <v>Exited</v>
      </c>
    </row>
    <row r="677" spans="2:10" ht="19.95" customHeight="1" x14ac:dyDescent="0.3">
      <c r="B677" s="4" cm="1">
        <f t="array" ref="B677">IFERROR(INDEX(EmployeeData[Employee ID], ROW() - 37), "")</f>
        <v>1640</v>
      </c>
      <c r="C677" s="4" t="str" cm="1">
        <f t="array" ref="C677">IFERROR(INDEX(EmployeeData[Full Name], ROW() - 37), "")</f>
        <v>Efren Lacson</v>
      </c>
      <c r="D677" s="4" t="str" cm="1">
        <f t="array" ref="D677">IFERROR(INDEX(EmployeeData[Department], ROW() - 37), "")</f>
        <v>Finance</v>
      </c>
      <c r="E677" s="4" t="str" cm="1">
        <f t="array" ref="E677">IFERROR(INDEX(EmployeeData[Gender], ROW() - 37), "")</f>
        <v>Other</v>
      </c>
      <c r="F677" s="4" cm="1">
        <f t="array" ref="F677">IFERROR(INDEX(EmployeeData[Age], ROW() - 37), "")</f>
        <v>23</v>
      </c>
      <c r="G677" s="6" cm="1">
        <f t="array" ref="G677">IFERROR(INDEX(EmployeeData[Join Date], ROW() - 37), "")</f>
        <v>43499</v>
      </c>
      <c r="H677" s="6" t="str" cm="1">
        <f t="array" ref="H677">IFERROR(IF(INDEX(EmployeeData[Exit Date], ROW() - 37)=0, "",INDEX(EmployeeData[Exit Date], ROW() - 37)),"")</f>
        <v/>
      </c>
      <c r="I677" s="4" t="str" cm="1">
        <f t="array" ref="I677">IFERROR(IF(INDEX(EmployeeData[Exit Reason], ROW() - 37)=0, "",INDEX(EmployeeData[Exit Reason], ROW() - 37)),"")</f>
        <v/>
      </c>
      <c r="J677" s="4" t="str" cm="1">
        <f t="array" ref="J677">IFERROR(INDEX(EmployeeData[Status], ROW() - 37), "")</f>
        <v>Active</v>
      </c>
    </row>
    <row r="678" spans="2:10" ht="19.95" customHeight="1" x14ac:dyDescent="0.3">
      <c r="B678" s="4" cm="1">
        <f t="array" ref="B678">IFERROR(INDEX(EmployeeData[Employee ID], ROW() - 37), "")</f>
        <v>1641</v>
      </c>
      <c r="C678" s="4" t="str" cm="1">
        <f t="array" ref="C678">IFERROR(INDEX(EmployeeData[Full Name], ROW() - 37), "")</f>
        <v>Violeta Go Corpuz</v>
      </c>
      <c r="D678" s="4" t="str" cm="1">
        <f t="array" ref="D678">IFERROR(INDEX(EmployeeData[Department], ROW() - 37), "")</f>
        <v>HR</v>
      </c>
      <c r="E678" s="4" t="str" cm="1">
        <f t="array" ref="E678">IFERROR(INDEX(EmployeeData[Gender], ROW() - 37), "")</f>
        <v>Female</v>
      </c>
      <c r="F678" s="4" cm="1">
        <f t="array" ref="F678">IFERROR(INDEX(EmployeeData[Age], ROW() - 37), "")</f>
        <v>38</v>
      </c>
      <c r="G678" s="6" cm="1">
        <f t="array" ref="G678">IFERROR(INDEX(EmployeeData[Join Date], ROW() - 37), "")</f>
        <v>44194</v>
      </c>
      <c r="H678" s="6" t="str" cm="1">
        <f t="array" ref="H678">IFERROR(IF(INDEX(EmployeeData[Exit Date], ROW() - 37)=0, "",INDEX(EmployeeData[Exit Date], ROW() - 37)),"")</f>
        <v/>
      </c>
      <c r="I678" s="4" t="str" cm="1">
        <f t="array" ref="I678">IFERROR(IF(INDEX(EmployeeData[Exit Reason], ROW() - 37)=0, "",INDEX(EmployeeData[Exit Reason], ROW() - 37)),"")</f>
        <v/>
      </c>
      <c r="J678" s="4" t="str" cm="1">
        <f t="array" ref="J678">IFERROR(INDEX(EmployeeData[Status], ROW() - 37), "")</f>
        <v>Active</v>
      </c>
    </row>
    <row r="679" spans="2:10" ht="19.95" customHeight="1" x14ac:dyDescent="0.3">
      <c r="B679" s="4" cm="1">
        <f t="array" ref="B679">IFERROR(INDEX(EmployeeData[Employee ID], ROW() - 37), "")</f>
        <v>1642</v>
      </c>
      <c r="C679" s="4" t="str" cm="1">
        <f t="array" ref="C679">IFERROR(INDEX(EmployeeData[Full Name], ROW() - 37), "")</f>
        <v>Jose Santos Macaraeg</v>
      </c>
      <c r="D679" s="4" t="str" cm="1">
        <f t="array" ref="D679">IFERROR(INDEX(EmployeeData[Department], ROW() - 37), "")</f>
        <v>HR</v>
      </c>
      <c r="E679" s="4" t="str" cm="1">
        <f t="array" ref="E679">IFERROR(INDEX(EmployeeData[Gender], ROW() - 37), "")</f>
        <v>Other</v>
      </c>
      <c r="F679" s="4" cm="1">
        <f t="array" ref="F679">IFERROR(INDEX(EmployeeData[Age], ROW() - 37), "")</f>
        <v>58</v>
      </c>
      <c r="G679" s="6" cm="1">
        <f t="array" ref="G679">IFERROR(INDEX(EmployeeData[Join Date], ROW() - 37), "")</f>
        <v>43899</v>
      </c>
      <c r="H679" s="6" t="str" cm="1">
        <f t="array" ref="H679">IFERROR(IF(INDEX(EmployeeData[Exit Date], ROW() - 37)=0, "",INDEX(EmployeeData[Exit Date], ROW() - 37)),"")</f>
        <v/>
      </c>
      <c r="I679" s="4" t="str" cm="1">
        <f t="array" ref="I679">IFERROR(IF(INDEX(EmployeeData[Exit Reason], ROW() - 37)=0, "",INDEX(EmployeeData[Exit Reason], ROW() - 37)),"")</f>
        <v/>
      </c>
      <c r="J679" s="4" t="str" cm="1">
        <f t="array" ref="J679">IFERROR(INDEX(EmployeeData[Status], ROW() - 37), "")</f>
        <v>Active</v>
      </c>
    </row>
    <row r="680" spans="2:10" ht="19.95" customHeight="1" x14ac:dyDescent="0.3">
      <c r="B680" s="4" cm="1">
        <f t="array" ref="B680">IFERROR(INDEX(EmployeeData[Employee ID], ROW() - 37), "")</f>
        <v>1643</v>
      </c>
      <c r="C680" s="4" t="str" cm="1">
        <f t="array" ref="C680">IFERROR(INDEX(EmployeeData[Full Name], ROW() - 37), "")</f>
        <v>Diana Reyes Go</v>
      </c>
      <c r="D680" s="4" t="str" cm="1">
        <f t="array" ref="D680">IFERROR(INDEX(EmployeeData[Department], ROW() - 37), "")</f>
        <v>Sales</v>
      </c>
      <c r="E680" s="4" t="str" cm="1">
        <f t="array" ref="E680">IFERROR(INDEX(EmployeeData[Gender], ROW() - 37), "")</f>
        <v>Female</v>
      </c>
      <c r="F680" s="4" cm="1">
        <f t="array" ref="F680">IFERROR(INDEX(EmployeeData[Age], ROW() - 37), "")</f>
        <v>27</v>
      </c>
      <c r="G680" s="6" cm="1">
        <f t="array" ref="G680">IFERROR(INDEX(EmployeeData[Join Date], ROW() - 37), "")</f>
        <v>45252</v>
      </c>
      <c r="H680" s="6" cm="1">
        <f t="array" ref="H680">IFERROR(IF(INDEX(EmployeeData[Exit Date], ROW() - 37)=0, "",INDEX(EmployeeData[Exit Date], ROW() - 37)),"")</f>
        <v>45798</v>
      </c>
      <c r="I680" s="4" t="str" cm="1">
        <f t="array" ref="I680">IFERROR(IF(INDEX(EmployeeData[Exit Reason], ROW() - 37)=0, "",INDEX(EmployeeData[Exit Reason], ROW() - 37)),"")</f>
        <v>Termination</v>
      </c>
      <c r="J680" s="4" t="str" cm="1">
        <f t="array" ref="J680">IFERROR(INDEX(EmployeeData[Status], ROW() - 37), "")</f>
        <v>Exited</v>
      </c>
    </row>
    <row r="681" spans="2:10" ht="19.95" customHeight="1" x14ac:dyDescent="0.3">
      <c r="B681" s="4" cm="1">
        <f t="array" ref="B681">IFERROR(INDEX(EmployeeData[Employee ID], ROW() - 37), "")</f>
        <v>1644</v>
      </c>
      <c r="C681" s="4" t="str" cm="1">
        <f t="array" ref="C681">IFERROR(INDEX(EmployeeData[Full Name], ROW() - 37), "")</f>
        <v>Annaliza Dela Cruz</v>
      </c>
      <c r="D681" s="4" t="str" cm="1">
        <f t="array" ref="D681">IFERROR(INDEX(EmployeeData[Department], ROW() - 37), "")</f>
        <v>Marketing</v>
      </c>
      <c r="E681" s="4" t="str" cm="1">
        <f t="array" ref="E681">IFERROR(INDEX(EmployeeData[Gender], ROW() - 37), "")</f>
        <v>Female</v>
      </c>
      <c r="F681" s="4" cm="1">
        <f t="array" ref="F681">IFERROR(INDEX(EmployeeData[Age], ROW() - 37), "")</f>
        <v>34</v>
      </c>
      <c r="G681" s="6" cm="1">
        <f t="array" ref="G681">IFERROR(INDEX(EmployeeData[Join Date], ROW() - 37), "")</f>
        <v>45556</v>
      </c>
      <c r="H681" s="6" t="str" cm="1">
        <f t="array" ref="H681">IFERROR(IF(INDEX(EmployeeData[Exit Date], ROW() - 37)=0, "",INDEX(EmployeeData[Exit Date], ROW() - 37)),"")</f>
        <v/>
      </c>
      <c r="I681" s="4" t="str" cm="1">
        <f t="array" ref="I681">IFERROR(IF(INDEX(EmployeeData[Exit Reason], ROW() - 37)=0, "",INDEX(EmployeeData[Exit Reason], ROW() - 37)),"")</f>
        <v/>
      </c>
      <c r="J681" s="4" t="str" cm="1">
        <f t="array" ref="J681">IFERROR(INDEX(EmployeeData[Status], ROW() - 37), "")</f>
        <v>Active</v>
      </c>
    </row>
    <row r="682" spans="2:10" ht="19.95" customHeight="1" x14ac:dyDescent="0.3">
      <c r="B682" s="4" cm="1">
        <f t="array" ref="B682">IFERROR(INDEX(EmployeeData[Employee ID], ROW() - 37), "")</f>
        <v>1645</v>
      </c>
      <c r="C682" s="4" t="str" cm="1">
        <f t="array" ref="C682">IFERROR(INDEX(EmployeeData[Full Name], ROW() - 37), "")</f>
        <v>Ismael Ocampo Go</v>
      </c>
      <c r="D682" s="4" t="str" cm="1">
        <f t="array" ref="D682">IFERROR(INDEX(EmployeeData[Department], ROW() - 37), "")</f>
        <v>Customer Support</v>
      </c>
      <c r="E682" s="4" t="str" cm="1">
        <f t="array" ref="E682">IFERROR(INDEX(EmployeeData[Gender], ROW() - 37), "")</f>
        <v>Male</v>
      </c>
      <c r="F682" s="4" cm="1">
        <f t="array" ref="F682">IFERROR(INDEX(EmployeeData[Age], ROW() - 37), "")</f>
        <v>57</v>
      </c>
      <c r="G682" s="6" cm="1">
        <f t="array" ref="G682">IFERROR(INDEX(EmployeeData[Join Date], ROW() - 37), "")</f>
        <v>43857</v>
      </c>
      <c r="H682" s="6" t="str" cm="1">
        <f t="array" ref="H682">IFERROR(IF(INDEX(EmployeeData[Exit Date], ROW() - 37)=0, "",INDEX(EmployeeData[Exit Date], ROW() - 37)),"")</f>
        <v/>
      </c>
      <c r="I682" s="4" t="str" cm="1">
        <f t="array" ref="I682">IFERROR(IF(INDEX(EmployeeData[Exit Reason], ROW() - 37)=0, "",INDEX(EmployeeData[Exit Reason], ROW() - 37)),"")</f>
        <v/>
      </c>
      <c r="J682" s="4" t="str" cm="1">
        <f t="array" ref="J682">IFERROR(INDEX(EmployeeData[Status], ROW() - 37), "")</f>
        <v>Active</v>
      </c>
    </row>
    <row r="683" spans="2:10" ht="19.95" customHeight="1" x14ac:dyDescent="0.3">
      <c r="B683" s="4" cm="1">
        <f t="array" ref="B683">IFERROR(INDEX(EmployeeData[Employee ID], ROW() - 37), "")</f>
        <v>1646</v>
      </c>
      <c r="C683" s="4" t="str" cm="1">
        <f t="array" ref="C683">IFERROR(INDEX(EmployeeData[Full Name], ROW() - 37), "")</f>
        <v>Rodel Ocampo Go</v>
      </c>
      <c r="D683" s="4" t="str" cm="1">
        <f t="array" ref="D683">IFERROR(INDEX(EmployeeData[Department], ROW() - 37), "")</f>
        <v>Marketing</v>
      </c>
      <c r="E683" s="4" t="str" cm="1">
        <f t="array" ref="E683">IFERROR(INDEX(EmployeeData[Gender], ROW() - 37), "")</f>
        <v>Other</v>
      </c>
      <c r="F683" s="4" cm="1">
        <f t="array" ref="F683">IFERROR(INDEX(EmployeeData[Age], ROW() - 37), "")</f>
        <v>38</v>
      </c>
      <c r="G683" s="6" cm="1">
        <f t="array" ref="G683">IFERROR(INDEX(EmployeeData[Join Date], ROW() - 37), "")</f>
        <v>44849</v>
      </c>
      <c r="H683" s="6" t="str" cm="1">
        <f t="array" ref="H683">IFERROR(IF(INDEX(EmployeeData[Exit Date], ROW() - 37)=0, "",INDEX(EmployeeData[Exit Date], ROW() - 37)),"")</f>
        <v/>
      </c>
      <c r="I683" s="4" t="str" cm="1">
        <f t="array" ref="I683">IFERROR(IF(INDEX(EmployeeData[Exit Reason], ROW() - 37)=0, "",INDEX(EmployeeData[Exit Reason], ROW() - 37)),"")</f>
        <v/>
      </c>
      <c r="J683" s="4" t="str" cm="1">
        <f t="array" ref="J683">IFERROR(INDEX(EmployeeData[Status], ROW() - 37), "")</f>
        <v>Active</v>
      </c>
    </row>
    <row r="684" spans="2:10" ht="19.95" customHeight="1" x14ac:dyDescent="0.3">
      <c r="B684" s="4" cm="1">
        <f t="array" ref="B684">IFERROR(INDEX(EmployeeData[Employee ID], ROW() - 37), "")</f>
        <v>1647</v>
      </c>
      <c r="C684" s="4" t="str" cm="1">
        <f t="array" ref="C684">IFERROR(INDEX(EmployeeData[Full Name], ROW() - 37), "")</f>
        <v>Abigail Ocampo Chan</v>
      </c>
      <c r="D684" s="4" t="str" cm="1">
        <f t="array" ref="D684">IFERROR(INDEX(EmployeeData[Department], ROW() - 37), "")</f>
        <v>IT</v>
      </c>
      <c r="E684" s="4" t="str" cm="1">
        <f t="array" ref="E684">IFERROR(INDEX(EmployeeData[Gender], ROW() - 37), "")</f>
        <v>Female</v>
      </c>
      <c r="F684" s="4" cm="1">
        <f t="array" ref="F684">IFERROR(INDEX(EmployeeData[Age], ROW() - 37), "")</f>
        <v>45</v>
      </c>
      <c r="G684" s="6" cm="1">
        <f t="array" ref="G684">IFERROR(INDEX(EmployeeData[Join Date], ROW() - 37), "")</f>
        <v>44463</v>
      </c>
      <c r="H684" s="6" t="str" cm="1">
        <f t="array" ref="H684">IFERROR(IF(INDEX(EmployeeData[Exit Date], ROW() - 37)=0, "",INDEX(EmployeeData[Exit Date], ROW() - 37)),"")</f>
        <v/>
      </c>
      <c r="I684" s="4" t="str" cm="1">
        <f t="array" ref="I684">IFERROR(IF(INDEX(EmployeeData[Exit Reason], ROW() - 37)=0, "",INDEX(EmployeeData[Exit Reason], ROW() - 37)),"")</f>
        <v/>
      </c>
      <c r="J684" s="4" t="str" cm="1">
        <f t="array" ref="J684">IFERROR(INDEX(EmployeeData[Status], ROW() - 37), "")</f>
        <v>Active</v>
      </c>
    </row>
    <row r="685" spans="2:10" ht="19.95" customHeight="1" x14ac:dyDescent="0.3">
      <c r="B685" s="4" cm="1">
        <f t="array" ref="B685">IFERROR(INDEX(EmployeeData[Employee ID], ROW() - 37), "")</f>
        <v>1648</v>
      </c>
      <c r="C685" s="4" t="str" cm="1">
        <f t="array" ref="C685">IFERROR(INDEX(EmployeeData[Full Name], ROW() - 37), "")</f>
        <v>Taylor Sy Mercado</v>
      </c>
      <c r="D685" s="4" t="str" cm="1">
        <f t="array" ref="D685">IFERROR(INDEX(EmployeeData[Department], ROW() - 37), "")</f>
        <v>Marketing</v>
      </c>
      <c r="E685" s="4" t="str" cm="1">
        <f t="array" ref="E685">IFERROR(INDEX(EmployeeData[Gender], ROW() - 37), "")</f>
        <v>Other</v>
      </c>
      <c r="F685" s="4" cm="1">
        <f t="array" ref="F685">IFERROR(INDEX(EmployeeData[Age], ROW() - 37), "")</f>
        <v>46</v>
      </c>
      <c r="G685" s="6" cm="1">
        <f t="array" ref="G685">IFERROR(INDEX(EmployeeData[Join Date], ROW() - 37), "")</f>
        <v>43831</v>
      </c>
      <c r="H685" s="6" t="str" cm="1">
        <f t="array" ref="H685">IFERROR(IF(INDEX(EmployeeData[Exit Date], ROW() - 37)=0, "",INDEX(EmployeeData[Exit Date], ROW() - 37)),"")</f>
        <v/>
      </c>
      <c r="I685" s="4" t="str" cm="1">
        <f t="array" ref="I685">IFERROR(IF(INDEX(EmployeeData[Exit Reason], ROW() - 37)=0, "",INDEX(EmployeeData[Exit Reason], ROW() - 37)),"")</f>
        <v/>
      </c>
      <c r="J685" s="4" t="str" cm="1">
        <f t="array" ref="J685">IFERROR(INDEX(EmployeeData[Status], ROW() - 37), "")</f>
        <v>Active</v>
      </c>
    </row>
    <row r="686" spans="2:10" ht="19.95" customHeight="1" x14ac:dyDescent="0.3">
      <c r="B686" s="4" cm="1">
        <f t="array" ref="B686">IFERROR(INDEX(EmployeeData[Employee ID], ROW() - 37), "")</f>
        <v>1649</v>
      </c>
      <c r="C686" s="4" t="str" cm="1">
        <f t="array" ref="C686">IFERROR(INDEX(EmployeeData[Full Name], ROW() - 37), "")</f>
        <v>Severino Ang Natividad</v>
      </c>
      <c r="D686" s="4" t="str" cm="1">
        <f t="array" ref="D686">IFERROR(INDEX(EmployeeData[Department], ROW() - 37), "")</f>
        <v>Customer Support</v>
      </c>
      <c r="E686" s="4" t="str" cm="1">
        <f t="array" ref="E686">IFERROR(INDEX(EmployeeData[Gender], ROW() - 37), "")</f>
        <v>Male</v>
      </c>
      <c r="F686" s="4" cm="1">
        <f t="array" ref="F686">IFERROR(INDEX(EmployeeData[Age], ROW() - 37), "")</f>
        <v>49</v>
      </c>
      <c r="G686" s="6" cm="1">
        <f t="array" ref="G686">IFERROR(INDEX(EmployeeData[Join Date], ROW() - 37), "")</f>
        <v>44161</v>
      </c>
      <c r="H686" s="6" cm="1">
        <f t="array" ref="H686">IFERROR(IF(INDEX(EmployeeData[Exit Date], ROW() - 37)=0, "",INDEX(EmployeeData[Exit Date], ROW() - 37)),"")</f>
        <v>44400</v>
      </c>
      <c r="I686" s="4" t="str" cm="1">
        <f t="array" ref="I686">IFERROR(IF(INDEX(EmployeeData[Exit Reason], ROW() - 37)=0, "",INDEX(EmployeeData[Exit Reason], ROW() - 37)),"")</f>
        <v>Better Opportunity</v>
      </c>
      <c r="J686" s="4" t="str" cm="1">
        <f t="array" ref="J686">IFERROR(INDEX(EmployeeData[Status], ROW() - 37), "")</f>
        <v>Exited</v>
      </c>
    </row>
    <row r="687" spans="2:10" ht="19.95" customHeight="1" x14ac:dyDescent="0.3">
      <c r="B687" s="4" cm="1">
        <f t="array" ref="B687">IFERROR(INDEX(EmployeeData[Employee ID], ROW() - 37), "")</f>
        <v>1650</v>
      </c>
      <c r="C687" s="4" t="str" cm="1">
        <f t="array" ref="C687">IFERROR(INDEX(EmployeeData[Full Name], ROW() - 37), "")</f>
        <v>Ernesto Tan Jimenez</v>
      </c>
      <c r="D687" s="4" t="str" cm="1">
        <f t="array" ref="D687">IFERROR(INDEX(EmployeeData[Department], ROW() - 37), "")</f>
        <v>Customer Support</v>
      </c>
      <c r="E687" s="4" t="str" cm="1">
        <f t="array" ref="E687">IFERROR(INDEX(EmployeeData[Gender], ROW() - 37), "")</f>
        <v>Male</v>
      </c>
      <c r="F687" s="4" cm="1">
        <f t="array" ref="F687">IFERROR(INDEX(EmployeeData[Age], ROW() - 37), "")</f>
        <v>23</v>
      </c>
      <c r="G687" s="6" cm="1">
        <f t="array" ref="G687">IFERROR(INDEX(EmployeeData[Join Date], ROW() - 37), "")</f>
        <v>45823</v>
      </c>
      <c r="H687" s="6" t="str" cm="1">
        <f t="array" ref="H687">IFERROR(IF(INDEX(EmployeeData[Exit Date], ROW() - 37)=0, "",INDEX(EmployeeData[Exit Date], ROW() - 37)),"")</f>
        <v/>
      </c>
      <c r="I687" s="4" t="str" cm="1">
        <f t="array" ref="I687">IFERROR(IF(INDEX(EmployeeData[Exit Reason], ROW() - 37)=0, "",INDEX(EmployeeData[Exit Reason], ROW() - 37)),"")</f>
        <v/>
      </c>
      <c r="J687" s="4" t="str" cm="1">
        <f t="array" ref="J687">IFERROR(INDEX(EmployeeData[Status], ROW() - 37), "")</f>
        <v>Active</v>
      </c>
    </row>
    <row r="688" spans="2:10" ht="19.95" customHeight="1" x14ac:dyDescent="0.3">
      <c r="B688" s="4" cm="1">
        <f t="array" ref="B688">IFERROR(INDEX(EmployeeData[Employee ID], ROW() - 37), "")</f>
        <v>1651</v>
      </c>
      <c r="C688" s="4" t="str" cm="1">
        <f t="array" ref="C688">IFERROR(INDEX(EmployeeData[Full Name], ROW() - 37), "")</f>
        <v>Carlos Rivera Guerrero</v>
      </c>
      <c r="D688" s="4" t="str" cm="1">
        <f t="array" ref="D688">IFERROR(INDEX(EmployeeData[Department], ROW() - 37), "")</f>
        <v>Marketing</v>
      </c>
      <c r="E688" s="4" t="str" cm="1">
        <f t="array" ref="E688">IFERROR(INDEX(EmployeeData[Gender], ROW() - 37), "")</f>
        <v>Male</v>
      </c>
      <c r="F688" s="4" cm="1">
        <f t="array" ref="F688">IFERROR(INDEX(EmployeeData[Age], ROW() - 37), "")</f>
        <v>52</v>
      </c>
      <c r="G688" s="6" cm="1">
        <f t="array" ref="G688">IFERROR(INDEX(EmployeeData[Join Date], ROW() - 37), "")</f>
        <v>45059</v>
      </c>
      <c r="H688" s="6" t="str" cm="1">
        <f t="array" ref="H688">IFERROR(IF(INDEX(EmployeeData[Exit Date], ROW() - 37)=0, "",INDEX(EmployeeData[Exit Date], ROW() - 37)),"")</f>
        <v/>
      </c>
      <c r="I688" s="4" t="str" cm="1">
        <f t="array" ref="I688">IFERROR(IF(INDEX(EmployeeData[Exit Reason], ROW() - 37)=0, "",INDEX(EmployeeData[Exit Reason], ROW() - 37)),"")</f>
        <v/>
      </c>
      <c r="J688" s="4" t="str" cm="1">
        <f t="array" ref="J688">IFERROR(INDEX(EmployeeData[Status], ROW() - 37), "")</f>
        <v>Active</v>
      </c>
    </row>
    <row r="689" spans="2:10" ht="19.95" customHeight="1" x14ac:dyDescent="0.3">
      <c r="B689" s="4" cm="1">
        <f t="array" ref="B689">IFERROR(INDEX(EmployeeData[Employee ID], ROW() - 37), "")</f>
        <v>1652</v>
      </c>
      <c r="C689" s="4" t="str" cm="1">
        <f t="array" ref="C689">IFERROR(INDEX(EmployeeData[Full Name], ROW() - 37), "")</f>
        <v>Efren Mangubat</v>
      </c>
      <c r="D689" s="4" t="str" cm="1">
        <f t="array" ref="D689">IFERROR(INDEX(EmployeeData[Department], ROW() - 37), "")</f>
        <v>Finance</v>
      </c>
      <c r="E689" s="4" t="str" cm="1">
        <f t="array" ref="E689">IFERROR(INDEX(EmployeeData[Gender], ROW() - 37), "")</f>
        <v>Other</v>
      </c>
      <c r="F689" s="4" cm="1">
        <f t="array" ref="F689">IFERROR(INDEX(EmployeeData[Age], ROW() - 37), "")</f>
        <v>51</v>
      </c>
      <c r="G689" s="6" cm="1">
        <f t="array" ref="G689">IFERROR(INDEX(EmployeeData[Join Date], ROW() - 37), "")</f>
        <v>43597</v>
      </c>
      <c r="H689" s="6" t="str" cm="1">
        <f t="array" ref="H689">IFERROR(IF(INDEX(EmployeeData[Exit Date], ROW() - 37)=0, "",INDEX(EmployeeData[Exit Date], ROW() - 37)),"")</f>
        <v/>
      </c>
      <c r="I689" s="4" t="str" cm="1">
        <f t="array" ref="I689">IFERROR(IF(INDEX(EmployeeData[Exit Reason], ROW() - 37)=0, "",INDEX(EmployeeData[Exit Reason], ROW() - 37)),"")</f>
        <v/>
      </c>
      <c r="J689" s="4" t="str" cm="1">
        <f t="array" ref="J689">IFERROR(INDEX(EmployeeData[Status], ROW() - 37), "")</f>
        <v>Active</v>
      </c>
    </row>
    <row r="690" spans="2:10" ht="19.95" customHeight="1" x14ac:dyDescent="0.3">
      <c r="B690" s="4" cm="1">
        <f t="array" ref="B690">IFERROR(INDEX(EmployeeData[Employee ID], ROW() - 37), "")</f>
        <v>1653</v>
      </c>
      <c r="C690" s="4" t="str" cm="1">
        <f t="array" ref="C690">IFERROR(INDEX(EmployeeData[Full Name], ROW() - 37), "")</f>
        <v>Gerald Ramos</v>
      </c>
      <c r="D690" s="4" t="str" cm="1">
        <f t="array" ref="D690">IFERROR(INDEX(EmployeeData[Department], ROW() - 37), "")</f>
        <v>IT</v>
      </c>
      <c r="E690" s="4" t="str" cm="1">
        <f t="array" ref="E690">IFERROR(INDEX(EmployeeData[Gender], ROW() - 37), "")</f>
        <v>Male</v>
      </c>
      <c r="F690" s="4" cm="1">
        <f t="array" ref="F690">IFERROR(INDEX(EmployeeData[Age], ROW() - 37), "")</f>
        <v>26</v>
      </c>
      <c r="G690" s="6" cm="1">
        <f t="array" ref="G690">IFERROR(INDEX(EmployeeData[Join Date], ROW() - 37), "")</f>
        <v>44597</v>
      </c>
      <c r="H690" s="6" t="str" cm="1">
        <f t="array" ref="H690">IFERROR(IF(INDEX(EmployeeData[Exit Date], ROW() - 37)=0, "",INDEX(EmployeeData[Exit Date], ROW() - 37)),"")</f>
        <v/>
      </c>
      <c r="I690" s="4" t="str" cm="1">
        <f t="array" ref="I690">IFERROR(IF(INDEX(EmployeeData[Exit Reason], ROW() - 37)=0, "",INDEX(EmployeeData[Exit Reason], ROW() - 37)),"")</f>
        <v/>
      </c>
      <c r="J690" s="4" t="str" cm="1">
        <f t="array" ref="J690">IFERROR(INDEX(EmployeeData[Status], ROW() - 37), "")</f>
        <v>Active</v>
      </c>
    </row>
    <row r="691" spans="2:10" ht="19.95" customHeight="1" x14ac:dyDescent="0.3">
      <c r="B691" s="4" cm="1">
        <f t="array" ref="B691">IFERROR(INDEX(EmployeeData[Employee ID], ROW() - 37), "")</f>
        <v>1654</v>
      </c>
      <c r="C691" s="4" t="str" cm="1">
        <f t="array" ref="C691">IFERROR(INDEX(EmployeeData[Full Name], ROW() - 37), "")</f>
        <v>Sarah Rivera Delos Reyes</v>
      </c>
      <c r="D691" s="4" t="str" cm="1">
        <f t="array" ref="D691">IFERROR(INDEX(EmployeeData[Department], ROW() - 37), "")</f>
        <v>HR</v>
      </c>
      <c r="E691" s="4" t="str" cm="1">
        <f t="array" ref="E691">IFERROR(INDEX(EmployeeData[Gender], ROW() - 37), "")</f>
        <v>Female</v>
      </c>
      <c r="F691" s="4" cm="1">
        <f t="array" ref="F691">IFERROR(INDEX(EmployeeData[Age], ROW() - 37), "")</f>
        <v>33</v>
      </c>
      <c r="G691" s="6" cm="1">
        <f t="array" ref="G691">IFERROR(INDEX(EmployeeData[Join Date], ROW() - 37), "")</f>
        <v>43824</v>
      </c>
      <c r="H691" s="6" t="str" cm="1">
        <f t="array" ref="H691">IFERROR(IF(INDEX(EmployeeData[Exit Date], ROW() - 37)=0, "",INDEX(EmployeeData[Exit Date], ROW() - 37)),"")</f>
        <v/>
      </c>
      <c r="I691" s="4" t="str" cm="1">
        <f t="array" ref="I691">IFERROR(IF(INDEX(EmployeeData[Exit Reason], ROW() - 37)=0, "",INDEX(EmployeeData[Exit Reason], ROW() - 37)),"")</f>
        <v/>
      </c>
      <c r="J691" s="4" t="str" cm="1">
        <f t="array" ref="J691">IFERROR(INDEX(EmployeeData[Status], ROW() - 37), "")</f>
        <v>Active</v>
      </c>
    </row>
    <row r="692" spans="2:10" ht="19.95" customHeight="1" x14ac:dyDescent="0.3">
      <c r="B692" s="4" cm="1">
        <f t="array" ref="B692">IFERROR(INDEX(EmployeeData[Employee ID], ROW() - 37), "")</f>
        <v>1655</v>
      </c>
      <c r="C692" s="4" t="str" cm="1">
        <f t="array" ref="C692">IFERROR(INDEX(EmployeeData[Full Name], ROW() - 37), "")</f>
        <v>Jaime Reyes Ramirez</v>
      </c>
      <c r="D692" s="4" t="str" cm="1">
        <f t="array" ref="D692">IFERROR(INDEX(EmployeeData[Department], ROW() - 37), "")</f>
        <v>Sales</v>
      </c>
      <c r="E692" s="4" t="str" cm="1">
        <f t="array" ref="E692">IFERROR(INDEX(EmployeeData[Gender], ROW() - 37), "")</f>
        <v>Male</v>
      </c>
      <c r="F692" s="4" cm="1">
        <f t="array" ref="F692">IFERROR(INDEX(EmployeeData[Age], ROW() - 37), "")</f>
        <v>43</v>
      </c>
      <c r="G692" s="6" cm="1">
        <f t="array" ref="G692">IFERROR(INDEX(EmployeeData[Join Date], ROW() - 37), "")</f>
        <v>45093</v>
      </c>
      <c r="H692" s="6" cm="1">
        <f t="array" ref="H692">IFERROR(IF(INDEX(EmployeeData[Exit Date], ROW() - 37)=0, "",INDEX(EmployeeData[Exit Date], ROW() - 37)),"")</f>
        <v>45830</v>
      </c>
      <c r="I692" s="4" t="str" cm="1">
        <f t="array" ref="I692">IFERROR(IF(INDEX(EmployeeData[Exit Reason], ROW() - 37)=0, "",INDEX(EmployeeData[Exit Reason], ROW() - 37)),"")</f>
        <v>Termination</v>
      </c>
      <c r="J692" s="4" t="str" cm="1">
        <f t="array" ref="J692">IFERROR(INDEX(EmployeeData[Status], ROW() - 37), "")</f>
        <v>Exited</v>
      </c>
    </row>
    <row r="693" spans="2:10" ht="19.95" customHeight="1" x14ac:dyDescent="0.3">
      <c r="B693" s="4" cm="1">
        <f t="array" ref="B693">IFERROR(INDEX(EmployeeData[Employee ID], ROW() - 37), "")</f>
        <v>1656</v>
      </c>
      <c r="C693" s="4" t="str" cm="1">
        <f t="array" ref="C693">IFERROR(INDEX(EmployeeData[Full Name], ROW() - 37), "")</f>
        <v>Ian Fajardo</v>
      </c>
      <c r="D693" s="4" t="str" cm="1">
        <f t="array" ref="D693">IFERROR(INDEX(EmployeeData[Department], ROW() - 37), "")</f>
        <v>HR</v>
      </c>
      <c r="E693" s="4" t="str" cm="1">
        <f t="array" ref="E693">IFERROR(INDEX(EmployeeData[Gender], ROW() - 37), "")</f>
        <v>Male</v>
      </c>
      <c r="F693" s="4" cm="1">
        <f t="array" ref="F693">IFERROR(INDEX(EmployeeData[Age], ROW() - 37), "")</f>
        <v>52</v>
      </c>
      <c r="G693" s="6" cm="1">
        <f t="array" ref="G693">IFERROR(INDEX(EmployeeData[Join Date], ROW() - 37), "")</f>
        <v>44693</v>
      </c>
      <c r="H693" s="6" cm="1">
        <f t="array" ref="H693">IFERROR(IF(INDEX(EmployeeData[Exit Date], ROW() - 37)=0, "",INDEX(EmployeeData[Exit Date], ROW() - 37)),"")</f>
        <v>45890</v>
      </c>
      <c r="I693" s="4" t="str" cm="1">
        <f t="array" ref="I693">IFERROR(IF(INDEX(EmployeeData[Exit Reason], ROW() - 37)=0, "",INDEX(EmployeeData[Exit Reason], ROW() - 37)),"")</f>
        <v>Relocation</v>
      </c>
      <c r="J693" s="4" t="str" cm="1">
        <f t="array" ref="J693">IFERROR(INDEX(EmployeeData[Status], ROW() - 37), "")</f>
        <v>Exited</v>
      </c>
    </row>
    <row r="694" spans="2:10" ht="19.95" customHeight="1" x14ac:dyDescent="0.3">
      <c r="B694" s="4" cm="1">
        <f t="array" ref="B694">IFERROR(INDEX(EmployeeData[Employee ID], ROW() - 37), "")</f>
        <v>1657</v>
      </c>
      <c r="C694" s="4" t="str" cm="1">
        <f t="array" ref="C694">IFERROR(INDEX(EmployeeData[Full Name], ROW() - 37), "")</f>
        <v>Jamie Go Vergara</v>
      </c>
      <c r="D694" s="4" t="str" cm="1">
        <f t="array" ref="D694">IFERROR(INDEX(EmployeeData[Department], ROW() - 37), "")</f>
        <v>Sales</v>
      </c>
      <c r="E694" s="4" t="str" cm="1">
        <f t="array" ref="E694">IFERROR(INDEX(EmployeeData[Gender], ROW() - 37), "")</f>
        <v>Other</v>
      </c>
      <c r="F694" s="4" cm="1">
        <f t="array" ref="F694">IFERROR(INDEX(EmployeeData[Age], ROW() - 37), "")</f>
        <v>22</v>
      </c>
      <c r="G694" s="6" cm="1">
        <f t="array" ref="G694">IFERROR(INDEX(EmployeeData[Join Date], ROW() - 37), "")</f>
        <v>43252</v>
      </c>
      <c r="H694" s="6" cm="1">
        <f t="array" ref="H694">IFERROR(IF(INDEX(EmployeeData[Exit Date], ROW() - 37)=0, "",INDEX(EmployeeData[Exit Date], ROW() - 37)),"")</f>
        <v>44725</v>
      </c>
      <c r="I694" s="4" t="str" cm="1">
        <f t="array" ref="I694">IFERROR(IF(INDEX(EmployeeData[Exit Reason], ROW() - 37)=0, "",INDEX(EmployeeData[Exit Reason], ROW() - 37)),"")</f>
        <v>Resignation</v>
      </c>
      <c r="J694" s="4" t="str" cm="1">
        <f t="array" ref="J694">IFERROR(INDEX(EmployeeData[Status], ROW() - 37), "")</f>
        <v>Exited</v>
      </c>
    </row>
    <row r="695" spans="2:10" ht="19.95" customHeight="1" x14ac:dyDescent="0.3">
      <c r="B695" s="4" cm="1">
        <f t="array" ref="B695">IFERROR(INDEX(EmployeeData[Employee ID], ROW() - 37), "")</f>
        <v>1658</v>
      </c>
      <c r="C695" s="4" t="str" cm="1">
        <f t="array" ref="C695">IFERROR(INDEX(EmployeeData[Full Name], ROW() - 37), "")</f>
        <v>Antonio Fernandez Villanueva</v>
      </c>
      <c r="D695" s="4" t="str" cm="1">
        <f t="array" ref="D695">IFERROR(INDEX(EmployeeData[Department], ROW() - 37), "")</f>
        <v>Finance</v>
      </c>
      <c r="E695" s="4" t="str" cm="1">
        <f t="array" ref="E695">IFERROR(INDEX(EmployeeData[Gender], ROW() - 37), "")</f>
        <v>Other</v>
      </c>
      <c r="F695" s="4" cm="1">
        <f t="array" ref="F695">IFERROR(INDEX(EmployeeData[Age], ROW() - 37), "")</f>
        <v>55</v>
      </c>
      <c r="G695" s="6" cm="1">
        <f t="array" ref="G695">IFERROR(INDEX(EmployeeData[Join Date], ROW() - 37), "")</f>
        <v>43711</v>
      </c>
      <c r="H695" s="6" t="str" cm="1">
        <f t="array" ref="H695">IFERROR(IF(INDEX(EmployeeData[Exit Date], ROW() - 37)=0, "",INDEX(EmployeeData[Exit Date], ROW() - 37)),"")</f>
        <v/>
      </c>
      <c r="I695" s="4" t="str" cm="1">
        <f t="array" ref="I695">IFERROR(IF(INDEX(EmployeeData[Exit Reason], ROW() - 37)=0, "",INDEX(EmployeeData[Exit Reason], ROW() - 37)),"")</f>
        <v/>
      </c>
      <c r="J695" s="4" t="str" cm="1">
        <f t="array" ref="J695">IFERROR(INDEX(EmployeeData[Status], ROW() - 37), "")</f>
        <v>Active</v>
      </c>
    </row>
    <row r="696" spans="2:10" ht="19.95" customHeight="1" x14ac:dyDescent="0.3">
      <c r="B696" s="4" cm="1">
        <f t="array" ref="B696">IFERROR(INDEX(EmployeeData[Employee ID], ROW() - 37), "")</f>
        <v>1659</v>
      </c>
      <c r="C696" s="4" t="str" cm="1">
        <f t="array" ref="C696">IFERROR(INDEX(EmployeeData[Full Name], ROW() - 37), "")</f>
        <v>Belinda Bautista Reyes</v>
      </c>
      <c r="D696" s="4" t="str" cm="1">
        <f t="array" ref="D696">IFERROR(INDEX(EmployeeData[Department], ROW() - 37), "")</f>
        <v>Marketing</v>
      </c>
      <c r="E696" s="4" t="str" cm="1">
        <f t="array" ref="E696">IFERROR(INDEX(EmployeeData[Gender], ROW() - 37), "")</f>
        <v>Female</v>
      </c>
      <c r="F696" s="4" cm="1">
        <f t="array" ref="F696">IFERROR(INDEX(EmployeeData[Age], ROW() - 37), "")</f>
        <v>23</v>
      </c>
      <c r="G696" s="6" cm="1">
        <f t="array" ref="G696">IFERROR(INDEX(EmployeeData[Join Date], ROW() - 37), "")</f>
        <v>44095</v>
      </c>
      <c r="H696" s="6" t="str" cm="1">
        <f t="array" ref="H696">IFERROR(IF(INDEX(EmployeeData[Exit Date], ROW() - 37)=0, "",INDEX(EmployeeData[Exit Date], ROW() - 37)),"")</f>
        <v/>
      </c>
      <c r="I696" s="4" t="str" cm="1">
        <f t="array" ref="I696">IFERROR(IF(INDEX(EmployeeData[Exit Reason], ROW() - 37)=0, "",INDEX(EmployeeData[Exit Reason], ROW() - 37)),"")</f>
        <v/>
      </c>
      <c r="J696" s="4" t="str" cm="1">
        <f t="array" ref="J696">IFERROR(INDEX(EmployeeData[Status], ROW() - 37), "")</f>
        <v>Active</v>
      </c>
    </row>
    <row r="697" spans="2:10" ht="19.95" customHeight="1" x14ac:dyDescent="0.3">
      <c r="B697" s="4" cm="1">
        <f t="array" ref="B697">IFERROR(INDEX(EmployeeData[Employee ID], ROW() - 37), "")</f>
        <v>1660</v>
      </c>
      <c r="C697" s="4" t="str" cm="1">
        <f t="array" ref="C697">IFERROR(INDEX(EmployeeData[Full Name], ROW() - 37), "")</f>
        <v>Lourdes Aquino</v>
      </c>
      <c r="D697" s="4" t="str" cm="1">
        <f t="array" ref="D697">IFERROR(INDEX(EmployeeData[Department], ROW() - 37), "")</f>
        <v>Finance</v>
      </c>
      <c r="E697" s="4" t="str" cm="1">
        <f t="array" ref="E697">IFERROR(INDEX(EmployeeData[Gender], ROW() - 37), "")</f>
        <v>Other</v>
      </c>
      <c r="F697" s="4" cm="1">
        <f t="array" ref="F697">IFERROR(INDEX(EmployeeData[Age], ROW() - 37), "")</f>
        <v>27</v>
      </c>
      <c r="G697" s="6" cm="1">
        <f t="array" ref="G697">IFERROR(INDEX(EmployeeData[Join Date], ROW() - 37), "")</f>
        <v>44969</v>
      </c>
      <c r="H697" s="6" t="str" cm="1">
        <f t="array" ref="H697">IFERROR(IF(INDEX(EmployeeData[Exit Date], ROW() - 37)=0, "",INDEX(EmployeeData[Exit Date], ROW() - 37)),"")</f>
        <v/>
      </c>
      <c r="I697" s="4" t="str" cm="1">
        <f t="array" ref="I697">IFERROR(IF(INDEX(EmployeeData[Exit Reason], ROW() - 37)=0, "",INDEX(EmployeeData[Exit Reason], ROW() - 37)),"")</f>
        <v/>
      </c>
      <c r="J697" s="4" t="str" cm="1">
        <f t="array" ref="J697">IFERROR(INDEX(EmployeeData[Status], ROW() - 37), "")</f>
        <v>Active</v>
      </c>
    </row>
    <row r="698" spans="2:10" ht="19.95" customHeight="1" x14ac:dyDescent="0.3">
      <c r="B698" s="4" cm="1">
        <f t="array" ref="B698">IFERROR(INDEX(EmployeeData[Employee ID], ROW() - 37), "")</f>
        <v>1661</v>
      </c>
      <c r="C698" s="4" t="str" cm="1">
        <f t="array" ref="C698">IFERROR(INDEX(EmployeeData[Full Name], ROW() - 37), "")</f>
        <v>Samuel Buenaventura</v>
      </c>
      <c r="D698" s="4" t="str" cm="1">
        <f t="array" ref="D698">IFERROR(INDEX(EmployeeData[Department], ROW() - 37), "")</f>
        <v>Customer Support</v>
      </c>
      <c r="E698" s="4" t="str" cm="1">
        <f t="array" ref="E698">IFERROR(INDEX(EmployeeData[Gender], ROW() - 37), "")</f>
        <v>Male</v>
      </c>
      <c r="F698" s="4" cm="1">
        <f t="array" ref="F698">IFERROR(INDEX(EmployeeData[Age], ROW() - 37), "")</f>
        <v>35</v>
      </c>
      <c r="G698" s="6" cm="1">
        <f t="array" ref="G698">IFERROR(INDEX(EmployeeData[Join Date], ROW() - 37), "")</f>
        <v>43359</v>
      </c>
      <c r="H698" s="6" t="str" cm="1">
        <f t="array" ref="H698">IFERROR(IF(INDEX(EmployeeData[Exit Date], ROW() - 37)=0, "",INDEX(EmployeeData[Exit Date], ROW() - 37)),"")</f>
        <v/>
      </c>
      <c r="I698" s="4" t="str" cm="1">
        <f t="array" ref="I698">IFERROR(IF(INDEX(EmployeeData[Exit Reason], ROW() - 37)=0, "",INDEX(EmployeeData[Exit Reason], ROW() - 37)),"")</f>
        <v/>
      </c>
      <c r="J698" s="4" t="str" cm="1">
        <f t="array" ref="J698">IFERROR(INDEX(EmployeeData[Status], ROW() - 37), "")</f>
        <v>Active</v>
      </c>
    </row>
    <row r="699" spans="2:10" ht="19.95" customHeight="1" x14ac:dyDescent="0.3">
      <c r="B699" s="4" cm="1">
        <f t="array" ref="B699">IFERROR(INDEX(EmployeeData[Employee ID], ROW() - 37), "")</f>
        <v>1662</v>
      </c>
      <c r="C699" s="4" t="str" cm="1">
        <f t="array" ref="C699">IFERROR(INDEX(EmployeeData[Full Name], ROW() - 37), "")</f>
        <v>Vince Flores Guerrero</v>
      </c>
      <c r="D699" s="4" t="str" cm="1">
        <f t="array" ref="D699">IFERROR(INDEX(EmployeeData[Department], ROW() - 37), "")</f>
        <v>Finance</v>
      </c>
      <c r="E699" s="4" t="str" cm="1">
        <f t="array" ref="E699">IFERROR(INDEX(EmployeeData[Gender], ROW() - 37), "")</f>
        <v>Male</v>
      </c>
      <c r="F699" s="4" cm="1">
        <f t="array" ref="F699">IFERROR(INDEX(EmployeeData[Age], ROW() - 37), "")</f>
        <v>41</v>
      </c>
      <c r="G699" s="6" cm="1">
        <f t="array" ref="G699">IFERROR(INDEX(EmployeeData[Join Date], ROW() - 37), "")</f>
        <v>43595</v>
      </c>
      <c r="H699" s="6" t="str" cm="1">
        <f t="array" ref="H699">IFERROR(IF(INDEX(EmployeeData[Exit Date], ROW() - 37)=0, "",INDEX(EmployeeData[Exit Date], ROW() - 37)),"")</f>
        <v/>
      </c>
      <c r="I699" s="4" t="str" cm="1">
        <f t="array" ref="I699">IFERROR(IF(INDEX(EmployeeData[Exit Reason], ROW() - 37)=0, "",INDEX(EmployeeData[Exit Reason], ROW() - 37)),"")</f>
        <v/>
      </c>
      <c r="J699" s="4" t="str" cm="1">
        <f t="array" ref="J699">IFERROR(INDEX(EmployeeData[Status], ROW() - 37), "")</f>
        <v>Active</v>
      </c>
    </row>
    <row r="700" spans="2:10" ht="19.95" customHeight="1" x14ac:dyDescent="0.3">
      <c r="B700" s="4" cm="1">
        <f t="array" ref="B700">IFERROR(INDEX(EmployeeData[Employee ID], ROW() - 37), "")</f>
        <v>1663</v>
      </c>
      <c r="C700" s="4" t="str" cm="1">
        <f t="array" ref="C700">IFERROR(INDEX(EmployeeData[Full Name], ROW() - 37), "")</f>
        <v>Gregorio Lopez Jimenez</v>
      </c>
      <c r="D700" s="4" t="str" cm="1">
        <f t="array" ref="D700">IFERROR(INDEX(EmployeeData[Department], ROW() - 37), "")</f>
        <v>HR</v>
      </c>
      <c r="E700" s="4" t="str" cm="1">
        <f t="array" ref="E700">IFERROR(INDEX(EmployeeData[Gender], ROW() - 37), "")</f>
        <v>Male</v>
      </c>
      <c r="F700" s="4" cm="1">
        <f t="array" ref="F700">IFERROR(INDEX(EmployeeData[Age], ROW() - 37), "")</f>
        <v>42</v>
      </c>
      <c r="G700" s="6" cm="1">
        <f t="array" ref="G700">IFERROR(INDEX(EmployeeData[Join Date], ROW() - 37), "")</f>
        <v>43359</v>
      </c>
      <c r="H700" s="6" cm="1">
        <f t="array" ref="H700">IFERROR(IF(INDEX(EmployeeData[Exit Date], ROW() - 37)=0, "",INDEX(EmployeeData[Exit Date], ROW() - 37)),"")</f>
        <v>44027</v>
      </c>
      <c r="I700" s="4" t="str" cm="1">
        <f t="array" ref="I700">IFERROR(IF(INDEX(EmployeeData[Exit Reason], ROW() - 37)=0, "",INDEX(EmployeeData[Exit Reason], ROW() - 37)),"")</f>
        <v>Personal Reasons</v>
      </c>
      <c r="J700" s="4" t="str" cm="1">
        <f t="array" ref="J700">IFERROR(INDEX(EmployeeData[Status], ROW() - 37), "")</f>
        <v>Exited</v>
      </c>
    </row>
    <row r="701" spans="2:10" ht="19.95" customHeight="1" x14ac:dyDescent="0.3">
      <c r="B701" s="4" cm="1">
        <f t="array" ref="B701">IFERROR(INDEX(EmployeeData[Employee ID], ROW() - 37), "")</f>
        <v>1664</v>
      </c>
      <c r="C701" s="4" t="str" cm="1">
        <f t="array" ref="C701">IFERROR(INDEX(EmployeeData[Full Name], ROW() - 37), "")</f>
        <v>Sam Santos Viray</v>
      </c>
      <c r="D701" s="4" t="str" cm="1">
        <f t="array" ref="D701">IFERROR(INDEX(EmployeeData[Department], ROW() - 37), "")</f>
        <v>IT</v>
      </c>
      <c r="E701" s="4" t="str" cm="1">
        <f t="array" ref="E701">IFERROR(INDEX(EmployeeData[Gender], ROW() - 37), "")</f>
        <v>Other</v>
      </c>
      <c r="F701" s="4" cm="1">
        <f t="array" ref="F701">IFERROR(INDEX(EmployeeData[Age], ROW() - 37), "")</f>
        <v>23</v>
      </c>
      <c r="G701" s="6" cm="1">
        <f t="array" ref="G701">IFERROR(INDEX(EmployeeData[Join Date], ROW() - 37), "")</f>
        <v>43647</v>
      </c>
      <c r="H701" s="6" cm="1">
        <f t="array" ref="H701">IFERROR(IF(INDEX(EmployeeData[Exit Date], ROW() - 37)=0, "",INDEX(EmployeeData[Exit Date], ROW() - 37)),"")</f>
        <v>45277</v>
      </c>
      <c r="I701" s="4" t="str" cm="1">
        <f t="array" ref="I701">IFERROR(IF(INDEX(EmployeeData[Exit Reason], ROW() - 37)=0, "",INDEX(EmployeeData[Exit Reason], ROW() - 37)),"")</f>
        <v>Personal Reasons</v>
      </c>
      <c r="J701" s="4" t="str" cm="1">
        <f t="array" ref="J701">IFERROR(INDEX(EmployeeData[Status], ROW() - 37), "")</f>
        <v>Exited</v>
      </c>
    </row>
    <row r="702" spans="2:10" ht="19.95" customHeight="1" x14ac:dyDescent="0.3">
      <c r="B702" s="4" cm="1">
        <f t="array" ref="B702">IFERROR(INDEX(EmployeeData[Employee ID], ROW() - 37), "")</f>
        <v>1665</v>
      </c>
      <c r="C702" s="4" t="str" cm="1">
        <f t="array" ref="C702">IFERROR(INDEX(EmployeeData[Full Name], ROW() - 37), "")</f>
        <v>Gina Fernandez Hernandez</v>
      </c>
      <c r="D702" s="4" t="str" cm="1">
        <f t="array" ref="D702">IFERROR(INDEX(EmployeeData[Department], ROW() - 37), "")</f>
        <v>Customer Support</v>
      </c>
      <c r="E702" s="4" t="str" cm="1">
        <f t="array" ref="E702">IFERROR(INDEX(EmployeeData[Gender], ROW() - 37), "")</f>
        <v>Female</v>
      </c>
      <c r="F702" s="4" cm="1">
        <f t="array" ref="F702">IFERROR(INDEX(EmployeeData[Age], ROW() - 37), "")</f>
        <v>58</v>
      </c>
      <c r="G702" s="6" cm="1">
        <f t="array" ref="G702">IFERROR(INDEX(EmployeeData[Join Date], ROW() - 37), "")</f>
        <v>44263</v>
      </c>
      <c r="H702" s="6" t="str" cm="1">
        <f t="array" ref="H702">IFERROR(IF(INDEX(EmployeeData[Exit Date], ROW() - 37)=0, "",INDEX(EmployeeData[Exit Date], ROW() - 37)),"")</f>
        <v/>
      </c>
      <c r="I702" s="4" t="str" cm="1">
        <f t="array" ref="I702">IFERROR(IF(INDEX(EmployeeData[Exit Reason], ROW() - 37)=0, "",INDEX(EmployeeData[Exit Reason], ROW() - 37)),"")</f>
        <v/>
      </c>
      <c r="J702" s="4" t="str" cm="1">
        <f t="array" ref="J702">IFERROR(INDEX(EmployeeData[Status], ROW() - 37), "")</f>
        <v>Active</v>
      </c>
    </row>
    <row r="703" spans="2:10" ht="19.95" customHeight="1" x14ac:dyDescent="0.3">
      <c r="B703" s="4" cm="1">
        <f t="array" ref="B703">IFERROR(INDEX(EmployeeData[Employee ID], ROW() - 37), "")</f>
        <v>1666</v>
      </c>
      <c r="C703" s="4" t="str" cm="1">
        <f t="array" ref="C703">IFERROR(INDEX(EmployeeData[Full Name], ROW() - 37), "")</f>
        <v>Antonio Ang Perez</v>
      </c>
      <c r="D703" s="4" t="str" cm="1">
        <f t="array" ref="D703">IFERROR(INDEX(EmployeeData[Department], ROW() - 37), "")</f>
        <v>Marketing</v>
      </c>
      <c r="E703" s="4" t="str" cm="1">
        <f t="array" ref="E703">IFERROR(INDEX(EmployeeData[Gender], ROW() - 37), "")</f>
        <v>Male</v>
      </c>
      <c r="F703" s="4" cm="1">
        <f t="array" ref="F703">IFERROR(INDEX(EmployeeData[Age], ROW() - 37), "")</f>
        <v>47</v>
      </c>
      <c r="G703" s="6" cm="1">
        <f t="array" ref="G703">IFERROR(INDEX(EmployeeData[Join Date], ROW() - 37), "")</f>
        <v>44080</v>
      </c>
      <c r="H703" s="6" t="str" cm="1">
        <f t="array" ref="H703">IFERROR(IF(INDEX(EmployeeData[Exit Date], ROW() - 37)=0, "",INDEX(EmployeeData[Exit Date], ROW() - 37)),"")</f>
        <v/>
      </c>
      <c r="I703" s="4" t="str" cm="1">
        <f t="array" ref="I703">IFERROR(IF(INDEX(EmployeeData[Exit Reason], ROW() - 37)=0, "",INDEX(EmployeeData[Exit Reason], ROW() - 37)),"")</f>
        <v/>
      </c>
      <c r="J703" s="4" t="str" cm="1">
        <f t="array" ref="J703">IFERROR(INDEX(EmployeeData[Status], ROW() - 37), "")</f>
        <v>Active</v>
      </c>
    </row>
    <row r="704" spans="2:10" ht="19.95" customHeight="1" x14ac:dyDescent="0.3">
      <c r="B704" s="4" cm="1">
        <f t="array" ref="B704">IFERROR(INDEX(EmployeeData[Employee ID], ROW() - 37), "")</f>
        <v>1667</v>
      </c>
      <c r="C704" s="4" t="str" cm="1">
        <f t="array" ref="C704">IFERROR(INDEX(EmployeeData[Full Name], ROW() - 37), "")</f>
        <v>Sue Mendoza Sy</v>
      </c>
      <c r="D704" s="4" t="str" cm="1">
        <f t="array" ref="D704">IFERROR(INDEX(EmployeeData[Department], ROW() - 37), "")</f>
        <v>Marketing</v>
      </c>
      <c r="E704" s="4" t="str" cm="1">
        <f t="array" ref="E704">IFERROR(INDEX(EmployeeData[Gender], ROW() - 37), "")</f>
        <v>Female</v>
      </c>
      <c r="F704" s="4" cm="1">
        <f t="array" ref="F704">IFERROR(INDEX(EmployeeData[Age], ROW() - 37), "")</f>
        <v>40</v>
      </c>
      <c r="G704" s="6" cm="1">
        <f t="array" ref="G704">IFERROR(INDEX(EmployeeData[Join Date], ROW() - 37), "")</f>
        <v>44525</v>
      </c>
      <c r="H704" s="6" t="str" cm="1">
        <f t="array" ref="H704">IFERROR(IF(INDEX(EmployeeData[Exit Date], ROW() - 37)=0, "",INDEX(EmployeeData[Exit Date], ROW() - 37)),"")</f>
        <v/>
      </c>
      <c r="I704" s="4" t="str" cm="1">
        <f t="array" ref="I704">IFERROR(IF(INDEX(EmployeeData[Exit Reason], ROW() - 37)=0, "",INDEX(EmployeeData[Exit Reason], ROW() - 37)),"")</f>
        <v/>
      </c>
      <c r="J704" s="4" t="str" cm="1">
        <f t="array" ref="J704">IFERROR(INDEX(EmployeeData[Status], ROW() - 37), "")</f>
        <v>Active</v>
      </c>
    </row>
    <row r="705" spans="2:10" ht="19.95" customHeight="1" x14ac:dyDescent="0.3">
      <c r="B705" s="4" cm="1">
        <f t="array" ref="B705">IFERROR(INDEX(EmployeeData[Employee ID], ROW() - 37), "")</f>
        <v>1668</v>
      </c>
      <c r="C705" s="4" t="str" cm="1">
        <f t="array" ref="C705">IFERROR(INDEX(EmployeeData[Full Name], ROW() - 37), "")</f>
        <v>Ramon Torres Ang</v>
      </c>
      <c r="D705" s="4" t="str" cm="1">
        <f t="array" ref="D705">IFERROR(INDEX(EmployeeData[Department], ROW() - 37), "")</f>
        <v>Marketing</v>
      </c>
      <c r="E705" s="4" t="str" cm="1">
        <f t="array" ref="E705">IFERROR(INDEX(EmployeeData[Gender], ROW() - 37), "")</f>
        <v>Other</v>
      </c>
      <c r="F705" s="4" cm="1">
        <f t="array" ref="F705">IFERROR(INDEX(EmployeeData[Age], ROW() - 37), "")</f>
        <v>55</v>
      </c>
      <c r="G705" s="6" cm="1">
        <f t="array" ref="G705">IFERROR(INDEX(EmployeeData[Join Date], ROW() - 37), "")</f>
        <v>45179</v>
      </c>
      <c r="H705" s="6" cm="1">
        <f t="array" ref="H705">IFERROR(IF(INDEX(EmployeeData[Exit Date], ROW() - 37)=0, "",INDEX(EmployeeData[Exit Date], ROW() - 37)),"")</f>
        <v>46057</v>
      </c>
      <c r="I705" s="4" t="str" cm="1">
        <f t="array" ref="I705">IFERROR(IF(INDEX(EmployeeData[Exit Reason], ROW() - 37)=0, "",INDEX(EmployeeData[Exit Reason], ROW() - 37)),"")</f>
        <v>Relocation</v>
      </c>
      <c r="J705" s="4" t="str" cm="1">
        <f t="array" ref="J705">IFERROR(INDEX(EmployeeData[Status], ROW() - 37), "")</f>
        <v>Exited</v>
      </c>
    </row>
    <row r="706" spans="2:10" ht="19.95" customHeight="1" x14ac:dyDescent="0.3">
      <c r="B706" s="4" cm="1">
        <f t="array" ref="B706">IFERROR(INDEX(EmployeeData[Employee ID], ROW() - 37), "")</f>
        <v>1669</v>
      </c>
      <c r="C706" s="4" t="str" cm="1">
        <f t="array" ref="C706">IFERROR(INDEX(EmployeeData[Full Name], ROW() - 37), "")</f>
        <v>Riley Flores Bayani</v>
      </c>
      <c r="D706" s="4" t="str" cm="1">
        <f t="array" ref="D706">IFERROR(INDEX(EmployeeData[Department], ROW() - 37), "")</f>
        <v>Sales</v>
      </c>
      <c r="E706" s="4" t="str" cm="1">
        <f t="array" ref="E706">IFERROR(INDEX(EmployeeData[Gender], ROW() - 37), "")</f>
        <v>Other</v>
      </c>
      <c r="F706" s="4" cm="1">
        <f t="array" ref="F706">IFERROR(INDEX(EmployeeData[Age], ROW() - 37), "")</f>
        <v>51</v>
      </c>
      <c r="G706" s="6" cm="1">
        <f t="array" ref="G706">IFERROR(INDEX(EmployeeData[Join Date], ROW() - 37), "")</f>
        <v>45138</v>
      </c>
      <c r="H706" s="6" cm="1">
        <f t="array" ref="H706">IFERROR(IF(INDEX(EmployeeData[Exit Date], ROW() - 37)=0, "",INDEX(EmployeeData[Exit Date], ROW() - 37)),"")</f>
        <v>45914</v>
      </c>
      <c r="I706" s="4" t="str" cm="1">
        <f t="array" ref="I706">IFERROR(IF(INDEX(EmployeeData[Exit Reason], ROW() - 37)=0, "",INDEX(EmployeeData[Exit Reason], ROW() - 37)),"")</f>
        <v>Contract End</v>
      </c>
      <c r="J706" s="4" t="str" cm="1">
        <f t="array" ref="J706">IFERROR(INDEX(EmployeeData[Status], ROW() - 37), "")</f>
        <v>Exited</v>
      </c>
    </row>
    <row r="707" spans="2:10" ht="19.95" customHeight="1" x14ac:dyDescent="0.3">
      <c r="B707" s="4" cm="1">
        <f t="array" ref="B707">IFERROR(INDEX(EmployeeData[Employee ID], ROW() - 37), "")</f>
        <v>1670</v>
      </c>
      <c r="C707" s="4" t="str" cm="1">
        <f t="array" ref="C707">IFERROR(INDEX(EmployeeData[Full Name], ROW() - 37), "")</f>
        <v>Hernando Aguilar</v>
      </c>
      <c r="D707" s="4" t="str" cm="1">
        <f t="array" ref="D707">IFERROR(INDEX(EmployeeData[Department], ROW() - 37), "")</f>
        <v>IT</v>
      </c>
      <c r="E707" s="4" t="str" cm="1">
        <f t="array" ref="E707">IFERROR(INDEX(EmployeeData[Gender], ROW() - 37), "")</f>
        <v>Male</v>
      </c>
      <c r="F707" s="4" cm="1">
        <f t="array" ref="F707">IFERROR(INDEX(EmployeeData[Age], ROW() - 37), "")</f>
        <v>50</v>
      </c>
      <c r="G707" s="6" cm="1">
        <f t="array" ref="G707">IFERROR(INDEX(EmployeeData[Join Date], ROW() - 37), "")</f>
        <v>43278</v>
      </c>
      <c r="H707" s="6" cm="1">
        <f t="array" ref="H707">IFERROR(IF(INDEX(EmployeeData[Exit Date], ROW() - 37)=0, "",INDEX(EmployeeData[Exit Date], ROW() - 37)),"")</f>
        <v>43582</v>
      </c>
      <c r="I707" s="4" t="str" cm="1">
        <f t="array" ref="I707">IFERROR(IF(INDEX(EmployeeData[Exit Reason], ROW() - 37)=0, "",INDEX(EmployeeData[Exit Reason], ROW() - 37)),"")</f>
        <v>Contract End</v>
      </c>
      <c r="J707" s="4" t="str" cm="1">
        <f t="array" ref="J707">IFERROR(INDEX(EmployeeData[Status], ROW() - 37), "")</f>
        <v>Exited</v>
      </c>
    </row>
    <row r="708" spans="2:10" ht="19.95" customHeight="1" x14ac:dyDescent="0.3">
      <c r="B708" s="4" cm="1">
        <f t="array" ref="B708">IFERROR(INDEX(EmployeeData[Employee ID], ROW() - 37), "")</f>
        <v>1671</v>
      </c>
      <c r="C708" s="4" t="str" cm="1">
        <f t="array" ref="C708">IFERROR(INDEX(EmployeeData[Full Name], ROW() - 37), "")</f>
        <v>Iris Navarro Camacho</v>
      </c>
      <c r="D708" s="4" t="str" cm="1">
        <f t="array" ref="D708">IFERROR(INDEX(EmployeeData[Department], ROW() - 37), "")</f>
        <v>Marketing</v>
      </c>
      <c r="E708" s="4" t="str" cm="1">
        <f t="array" ref="E708">IFERROR(INDEX(EmployeeData[Gender], ROW() - 37), "")</f>
        <v>Female</v>
      </c>
      <c r="F708" s="4" cm="1">
        <f t="array" ref="F708">IFERROR(INDEX(EmployeeData[Age], ROW() - 37), "")</f>
        <v>36</v>
      </c>
      <c r="G708" s="6" cm="1">
        <f t="array" ref="G708">IFERROR(INDEX(EmployeeData[Join Date], ROW() - 37), "")</f>
        <v>44922</v>
      </c>
      <c r="H708" s="6" t="str" cm="1">
        <f t="array" ref="H708">IFERROR(IF(INDEX(EmployeeData[Exit Date], ROW() - 37)=0, "",INDEX(EmployeeData[Exit Date], ROW() - 37)),"")</f>
        <v/>
      </c>
      <c r="I708" s="4" t="str" cm="1">
        <f t="array" ref="I708">IFERROR(IF(INDEX(EmployeeData[Exit Reason], ROW() - 37)=0, "",INDEX(EmployeeData[Exit Reason], ROW() - 37)),"")</f>
        <v/>
      </c>
      <c r="J708" s="4" t="str" cm="1">
        <f t="array" ref="J708">IFERROR(INDEX(EmployeeData[Status], ROW() - 37), "")</f>
        <v>Active</v>
      </c>
    </row>
    <row r="709" spans="2:10" ht="19.95" customHeight="1" x14ac:dyDescent="0.3">
      <c r="B709" s="4" cm="1">
        <f t="array" ref="B709">IFERROR(INDEX(EmployeeData[Employee ID], ROW() - 37), "")</f>
        <v>1672</v>
      </c>
      <c r="C709" s="4" t="str" cm="1">
        <f t="array" ref="C709">IFERROR(INDEX(EmployeeData[Full Name], ROW() - 37), "")</f>
        <v>Rachel Ang Tan</v>
      </c>
      <c r="D709" s="4" t="str" cm="1">
        <f t="array" ref="D709">IFERROR(INDEX(EmployeeData[Department], ROW() - 37), "")</f>
        <v>Customer Support</v>
      </c>
      <c r="E709" s="4" t="str" cm="1">
        <f t="array" ref="E709">IFERROR(INDEX(EmployeeData[Gender], ROW() - 37), "")</f>
        <v>Female</v>
      </c>
      <c r="F709" s="4" cm="1">
        <f t="array" ref="F709">IFERROR(INDEX(EmployeeData[Age], ROW() - 37), "")</f>
        <v>35</v>
      </c>
      <c r="G709" s="6" cm="1">
        <f t="array" ref="G709">IFERROR(INDEX(EmployeeData[Join Date], ROW() - 37), "")</f>
        <v>43502</v>
      </c>
      <c r="H709" s="6" cm="1">
        <f t="array" ref="H709">IFERROR(IF(INDEX(EmployeeData[Exit Date], ROW() - 37)=0, "",INDEX(EmployeeData[Exit Date], ROW() - 37)),"")</f>
        <v>45281</v>
      </c>
      <c r="I709" s="4" t="str" cm="1">
        <f t="array" ref="I709">IFERROR(IF(INDEX(EmployeeData[Exit Reason], ROW() - 37)=0, "",INDEX(EmployeeData[Exit Reason], ROW() - 37)),"")</f>
        <v>Resignation</v>
      </c>
      <c r="J709" s="4" t="str" cm="1">
        <f t="array" ref="J709">IFERROR(INDEX(EmployeeData[Status], ROW() - 37), "")</f>
        <v>Exited</v>
      </c>
    </row>
    <row r="710" spans="2:10" ht="19.95" customHeight="1" x14ac:dyDescent="0.3">
      <c r="B710" s="4" cm="1">
        <f t="array" ref="B710">IFERROR(INDEX(EmployeeData[Employee ID], ROW() - 37), "")</f>
        <v>1673</v>
      </c>
      <c r="C710" s="4" t="str" cm="1">
        <f t="array" ref="C710">IFERROR(INDEX(EmployeeData[Full Name], ROW() - 37), "")</f>
        <v>Michael Castro Ignacio</v>
      </c>
      <c r="D710" s="4" t="str" cm="1">
        <f t="array" ref="D710">IFERROR(INDEX(EmployeeData[Department], ROW() - 37), "")</f>
        <v>Customer Support</v>
      </c>
      <c r="E710" s="4" t="str" cm="1">
        <f t="array" ref="E710">IFERROR(INDEX(EmployeeData[Gender], ROW() - 37), "")</f>
        <v>Male</v>
      </c>
      <c r="F710" s="4" cm="1">
        <f t="array" ref="F710">IFERROR(INDEX(EmployeeData[Age], ROW() - 37), "")</f>
        <v>34</v>
      </c>
      <c r="G710" s="6" cm="1">
        <f t="array" ref="G710">IFERROR(INDEX(EmployeeData[Join Date], ROW() - 37), "")</f>
        <v>45597</v>
      </c>
      <c r="H710" s="6" t="str" cm="1">
        <f t="array" ref="H710">IFERROR(IF(INDEX(EmployeeData[Exit Date], ROW() - 37)=0, "",INDEX(EmployeeData[Exit Date], ROW() - 37)),"")</f>
        <v/>
      </c>
      <c r="I710" s="4" t="str" cm="1">
        <f t="array" ref="I710">IFERROR(IF(INDEX(EmployeeData[Exit Reason], ROW() - 37)=0, "",INDEX(EmployeeData[Exit Reason], ROW() - 37)),"")</f>
        <v/>
      </c>
      <c r="J710" s="4" t="str" cm="1">
        <f t="array" ref="J710">IFERROR(INDEX(EmployeeData[Status], ROW() - 37), "")</f>
        <v>Active</v>
      </c>
    </row>
    <row r="711" spans="2:10" ht="19.95" customHeight="1" x14ac:dyDescent="0.3">
      <c r="B711" s="4" cm="1">
        <f t="array" ref="B711">IFERROR(INDEX(EmployeeData[Employee ID], ROW() - 37), "")</f>
        <v>1674</v>
      </c>
      <c r="C711" s="4" t="str" cm="1">
        <f t="array" ref="C711">IFERROR(INDEX(EmployeeData[Full Name], ROW() - 37), "")</f>
        <v>Fernando Go Ramirez</v>
      </c>
      <c r="D711" s="4" t="str" cm="1">
        <f t="array" ref="D711">IFERROR(INDEX(EmployeeData[Department], ROW() - 37), "")</f>
        <v>Marketing</v>
      </c>
      <c r="E711" s="4" t="str" cm="1">
        <f t="array" ref="E711">IFERROR(INDEX(EmployeeData[Gender], ROW() - 37), "")</f>
        <v>Other</v>
      </c>
      <c r="F711" s="4" cm="1">
        <f t="array" ref="F711">IFERROR(INDEX(EmployeeData[Age], ROW() - 37), "")</f>
        <v>33</v>
      </c>
      <c r="G711" s="6" cm="1">
        <f t="array" ref="G711">IFERROR(INDEX(EmployeeData[Join Date], ROW() - 37), "")</f>
        <v>44476</v>
      </c>
      <c r="H711" s="6" cm="1">
        <f t="array" ref="H711">IFERROR(IF(INDEX(EmployeeData[Exit Date], ROW() - 37)=0, "",INDEX(EmployeeData[Exit Date], ROW() - 37)),"")</f>
        <v>45983</v>
      </c>
      <c r="I711" s="4" t="str" cm="1">
        <f t="array" ref="I711">IFERROR(IF(INDEX(EmployeeData[Exit Reason], ROW() - 37)=0, "",INDEX(EmployeeData[Exit Reason], ROW() - 37)),"")</f>
        <v>Health Issues</v>
      </c>
      <c r="J711" s="4" t="str" cm="1">
        <f t="array" ref="J711">IFERROR(INDEX(EmployeeData[Status], ROW() - 37), "")</f>
        <v>Exited</v>
      </c>
    </row>
    <row r="712" spans="2:10" ht="19.95" customHeight="1" x14ac:dyDescent="0.3">
      <c r="B712" s="4" cm="1">
        <f t="array" ref="B712">IFERROR(INDEX(EmployeeData[Employee ID], ROW() - 37), "")</f>
        <v>1675</v>
      </c>
      <c r="C712" s="4" t="str" cm="1">
        <f t="array" ref="C712">IFERROR(INDEX(EmployeeData[Full Name], ROW() - 37), "")</f>
        <v>Herminia Zulueta</v>
      </c>
      <c r="D712" s="4" t="str" cm="1">
        <f t="array" ref="D712">IFERROR(INDEX(EmployeeData[Department], ROW() - 37), "")</f>
        <v>IT</v>
      </c>
      <c r="E712" s="4" t="str" cm="1">
        <f t="array" ref="E712">IFERROR(INDEX(EmployeeData[Gender], ROW() - 37), "")</f>
        <v>Female</v>
      </c>
      <c r="F712" s="4" cm="1">
        <f t="array" ref="F712">IFERROR(INDEX(EmployeeData[Age], ROW() - 37), "")</f>
        <v>42</v>
      </c>
      <c r="G712" s="6" cm="1">
        <f t="array" ref="G712">IFERROR(INDEX(EmployeeData[Join Date], ROW() - 37), "")</f>
        <v>44001</v>
      </c>
      <c r="H712" s="6" t="str" cm="1">
        <f t="array" ref="H712">IFERROR(IF(INDEX(EmployeeData[Exit Date], ROW() - 37)=0, "",INDEX(EmployeeData[Exit Date], ROW() - 37)),"")</f>
        <v/>
      </c>
      <c r="I712" s="4" t="str" cm="1">
        <f t="array" ref="I712">IFERROR(IF(INDEX(EmployeeData[Exit Reason], ROW() - 37)=0, "",INDEX(EmployeeData[Exit Reason], ROW() - 37)),"")</f>
        <v/>
      </c>
      <c r="J712" s="4" t="str" cm="1">
        <f t="array" ref="J712">IFERROR(INDEX(EmployeeData[Status], ROW() - 37), "")</f>
        <v>Active</v>
      </c>
    </row>
    <row r="713" spans="2:10" ht="19.95" customHeight="1" x14ac:dyDescent="0.3">
      <c r="B713" s="4" cm="1">
        <f t="array" ref="B713">IFERROR(INDEX(EmployeeData[Employee ID], ROW() - 37), "")</f>
        <v>1676</v>
      </c>
      <c r="C713" s="4" t="str" cm="1">
        <f t="array" ref="C713">IFERROR(INDEX(EmployeeData[Full Name], ROW() - 37), "")</f>
        <v>Marcelo Go Ong</v>
      </c>
      <c r="D713" s="4" t="str" cm="1">
        <f t="array" ref="D713">IFERROR(INDEX(EmployeeData[Department], ROW() - 37), "")</f>
        <v>Finance</v>
      </c>
      <c r="E713" s="4" t="str" cm="1">
        <f t="array" ref="E713">IFERROR(INDEX(EmployeeData[Gender], ROW() - 37), "")</f>
        <v>Male</v>
      </c>
      <c r="F713" s="4" cm="1">
        <f t="array" ref="F713">IFERROR(INDEX(EmployeeData[Age], ROW() - 37), "")</f>
        <v>56</v>
      </c>
      <c r="G713" s="6" cm="1">
        <f t="array" ref="G713">IFERROR(INDEX(EmployeeData[Join Date], ROW() - 37), "")</f>
        <v>44041</v>
      </c>
      <c r="H713" s="6" cm="1">
        <f t="array" ref="H713">IFERROR(IF(INDEX(EmployeeData[Exit Date], ROW() - 37)=0, "",INDEX(EmployeeData[Exit Date], ROW() - 37)),"")</f>
        <v>46134</v>
      </c>
      <c r="I713" s="4" t="str" cm="1">
        <f t="array" ref="I713">IFERROR(IF(INDEX(EmployeeData[Exit Reason], ROW() - 37)=0, "",INDEX(EmployeeData[Exit Reason], ROW() - 37)),"")</f>
        <v>Resignation</v>
      </c>
      <c r="J713" s="4" t="str" cm="1">
        <f t="array" ref="J713">IFERROR(INDEX(EmployeeData[Status], ROW() - 37), "")</f>
        <v>Exited</v>
      </c>
    </row>
    <row r="714" spans="2:10" ht="19.95" customHeight="1" x14ac:dyDescent="0.3">
      <c r="B714" s="4" cm="1">
        <f t="array" ref="B714">IFERROR(INDEX(EmployeeData[Employee ID], ROW() - 37), "")</f>
        <v>1677</v>
      </c>
      <c r="C714" s="4" t="str" cm="1">
        <f t="array" ref="C714">IFERROR(INDEX(EmployeeData[Full Name], ROW() - 37), "")</f>
        <v>Maricel Cruz Santos</v>
      </c>
      <c r="D714" s="4" t="str" cm="1">
        <f t="array" ref="D714">IFERROR(INDEX(EmployeeData[Department], ROW() - 37), "")</f>
        <v>IT</v>
      </c>
      <c r="E714" s="4" t="str" cm="1">
        <f t="array" ref="E714">IFERROR(INDEX(EmployeeData[Gender], ROW() - 37), "")</f>
        <v>Other</v>
      </c>
      <c r="F714" s="4" cm="1">
        <f t="array" ref="F714">IFERROR(INDEX(EmployeeData[Age], ROW() - 37), "")</f>
        <v>54</v>
      </c>
      <c r="G714" s="6" cm="1">
        <f t="array" ref="G714">IFERROR(INDEX(EmployeeData[Join Date], ROW() - 37), "")</f>
        <v>44116</v>
      </c>
      <c r="H714" s="6" cm="1">
        <f t="array" ref="H714">IFERROR(IF(INDEX(EmployeeData[Exit Date], ROW() - 37)=0, "",INDEX(EmployeeData[Exit Date], ROW() - 37)),"")</f>
        <v>45392</v>
      </c>
      <c r="I714" s="4" t="str" cm="1">
        <f t="array" ref="I714">IFERROR(IF(INDEX(EmployeeData[Exit Reason], ROW() - 37)=0, "",INDEX(EmployeeData[Exit Reason], ROW() - 37)),"")</f>
        <v>Retirement</v>
      </c>
      <c r="J714" s="4" t="str" cm="1">
        <f t="array" ref="J714">IFERROR(INDEX(EmployeeData[Status], ROW() - 37), "")</f>
        <v>Exited</v>
      </c>
    </row>
    <row r="715" spans="2:10" ht="19.95" customHeight="1" x14ac:dyDescent="0.3">
      <c r="B715" s="4" cm="1">
        <f t="array" ref="B715">IFERROR(INDEX(EmployeeData[Employee ID], ROW() - 37), "")</f>
        <v>1678</v>
      </c>
      <c r="C715" s="4" t="str" cm="1">
        <f t="array" ref="C715">IFERROR(INDEX(EmployeeData[Full Name], ROW() - 37), "")</f>
        <v>Nathan Umali</v>
      </c>
      <c r="D715" s="4" t="str" cm="1">
        <f t="array" ref="D715">IFERROR(INDEX(EmployeeData[Department], ROW() - 37), "")</f>
        <v>Customer Support</v>
      </c>
      <c r="E715" s="4" t="str" cm="1">
        <f t="array" ref="E715">IFERROR(INDEX(EmployeeData[Gender], ROW() - 37), "")</f>
        <v>Male</v>
      </c>
      <c r="F715" s="4" cm="1">
        <f t="array" ref="F715">IFERROR(INDEX(EmployeeData[Age], ROW() - 37), "")</f>
        <v>53</v>
      </c>
      <c r="G715" s="6" cm="1">
        <f t="array" ref="G715">IFERROR(INDEX(EmployeeData[Join Date], ROW() - 37), "")</f>
        <v>43238</v>
      </c>
      <c r="H715" s="6" t="str" cm="1">
        <f t="array" ref="H715">IFERROR(IF(INDEX(EmployeeData[Exit Date], ROW() - 37)=0, "",INDEX(EmployeeData[Exit Date], ROW() - 37)),"")</f>
        <v/>
      </c>
      <c r="I715" s="4" t="str" cm="1">
        <f t="array" ref="I715">IFERROR(IF(INDEX(EmployeeData[Exit Reason], ROW() - 37)=0, "",INDEX(EmployeeData[Exit Reason], ROW() - 37)),"")</f>
        <v/>
      </c>
      <c r="J715" s="4" t="str" cm="1">
        <f t="array" ref="J715">IFERROR(INDEX(EmployeeData[Status], ROW() - 37), "")</f>
        <v>Active</v>
      </c>
    </row>
    <row r="716" spans="2:10" ht="19.95" customHeight="1" x14ac:dyDescent="0.3">
      <c r="B716" s="4" cm="1">
        <f t="array" ref="B716">IFERROR(INDEX(EmployeeData[Employee ID], ROW() - 37), "")</f>
        <v>1679</v>
      </c>
      <c r="C716" s="4" t="str" cm="1">
        <f t="array" ref="C716">IFERROR(INDEX(EmployeeData[Full Name], ROW() - 37), "")</f>
        <v>Wendy Pascual Rivera</v>
      </c>
      <c r="D716" s="4" t="str" cm="1">
        <f t="array" ref="D716">IFERROR(INDEX(EmployeeData[Department], ROW() - 37), "")</f>
        <v>HR</v>
      </c>
      <c r="E716" s="4" t="str" cm="1">
        <f t="array" ref="E716">IFERROR(INDEX(EmployeeData[Gender], ROW() - 37), "")</f>
        <v>Female</v>
      </c>
      <c r="F716" s="4" cm="1">
        <f t="array" ref="F716">IFERROR(INDEX(EmployeeData[Age], ROW() - 37), "")</f>
        <v>52</v>
      </c>
      <c r="G716" s="6" cm="1">
        <f t="array" ref="G716">IFERROR(INDEX(EmployeeData[Join Date], ROW() - 37), "")</f>
        <v>44086</v>
      </c>
      <c r="H716" s="6" cm="1">
        <f t="array" ref="H716">IFERROR(IF(INDEX(EmployeeData[Exit Date], ROW() - 37)=0, "",INDEX(EmployeeData[Exit Date], ROW() - 37)),"")</f>
        <v>45718</v>
      </c>
      <c r="I716" s="4" t="str" cm="1">
        <f t="array" ref="I716">IFERROR(IF(INDEX(EmployeeData[Exit Reason], ROW() - 37)=0, "",INDEX(EmployeeData[Exit Reason], ROW() - 37)),"")</f>
        <v>Better Opportunity</v>
      </c>
      <c r="J716" s="4" t="str" cm="1">
        <f t="array" ref="J716">IFERROR(INDEX(EmployeeData[Status], ROW() - 37), "")</f>
        <v>Exited</v>
      </c>
    </row>
    <row r="717" spans="2:10" ht="19.95" customHeight="1" x14ac:dyDescent="0.3">
      <c r="B717" s="4" cm="1">
        <f t="array" ref="B717">IFERROR(INDEX(EmployeeData[Employee ID], ROW() - 37), "")</f>
        <v>1680</v>
      </c>
      <c r="C717" s="4" t="str" cm="1">
        <f t="array" ref="C717">IFERROR(INDEX(EmployeeData[Full Name], ROW() - 37), "")</f>
        <v>Juan Reyes Lazo</v>
      </c>
      <c r="D717" s="4" t="str" cm="1">
        <f t="array" ref="D717">IFERROR(INDEX(EmployeeData[Department], ROW() - 37), "")</f>
        <v>Customer Support</v>
      </c>
      <c r="E717" s="4" t="str" cm="1">
        <f t="array" ref="E717">IFERROR(INDEX(EmployeeData[Gender], ROW() - 37), "")</f>
        <v>Other</v>
      </c>
      <c r="F717" s="4" cm="1">
        <f t="array" ref="F717">IFERROR(INDEX(EmployeeData[Age], ROW() - 37), "")</f>
        <v>22</v>
      </c>
      <c r="G717" s="6" cm="1">
        <f t="array" ref="G717">IFERROR(INDEX(EmployeeData[Join Date], ROW() - 37), "")</f>
        <v>45066</v>
      </c>
      <c r="H717" s="6" t="str" cm="1">
        <f t="array" ref="H717">IFERROR(IF(INDEX(EmployeeData[Exit Date], ROW() - 37)=0, "",INDEX(EmployeeData[Exit Date], ROW() - 37)),"")</f>
        <v/>
      </c>
      <c r="I717" s="4" t="str" cm="1">
        <f t="array" ref="I717">IFERROR(IF(INDEX(EmployeeData[Exit Reason], ROW() - 37)=0, "",INDEX(EmployeeData[Exit Reason], ROW() - 37)),"")</f>
        <v/>
      </c>
      <c r="J717" s="4" t="str" cm="1">
        <f t="array" ref="J717">IFERROR(INDEX(EmployeeData[Status], ROW() - 37), "")</f>
        <v>Active</v>
      </c>
    </row>
    <row r="718" spans="2:10" ht="19.95" customHeight="1" x14ac:dyDescent="0.3">
      <c r="B718" s="4" cm="1">
        <f t="array" ref="B718">IFERROR(INDEX(EmployeeData[Employee ID], ROW() - 37), "")</f>
        <v>1681</v>
      </c>
      <c r="C718" s="4" t="str" cm="1">
        <f t="array" ref="C718">IFERROR(INDEX(EmployeeData[Full Name], ROW() - 37), "")</f>
        <v>Kevin Santos Valencia</v>
      </c>
      <c r="D718" s="4" t="str" cm="1">
        <f t="array" ref="D718">IFERROR(INDEX(EmployeeData[Department], ROW() - 37), "")</f>
        <v>Finance</v>
      </c>
      <c r="E718" s="4" t="str" cm="1">
        <f t="array" ref="E718">IFERROR(INDEX(EmployeeData[Gender], ROW() - 37), "")</f>
        <v>Male</v>
      </c>
      <c r="F718" s="4" cm="1">
        <f t="array" ref="F718">IFERROR(INDEX(EmployeeData[Age], ROW() - 37), "")</f>
        <v>29</v>
      </c>
      <c r="G718" s="6" cm="1">
        <f t="array" ref="G718">IFERROR(INDEX(EmployeeData[Join Date], ROW() - 37), "")</f>
        <v>45981</v>
      </c>
      <c r="H718" s="6" t="str" cm="1">
        <f t="array" ref="H718">IFERROR(IF(INDEX(EmployeeData[Exit Date], ROW() - 37)=0, "",INDEX(EmployeeData[Exit Date], ROW() - 37)),"")</f>
        <v/>
      </c>
      <c r="I718" s="4" t="str" cm="1">
        <f t="array" ref="I718">IFERROR(IF(INDEX(EmployeeData[Exit Reason], ROW() - 37)=0, "",INDEX(EmployeeData[Exit Reason], ROW() - 37)),"")</f>
        <v/>
      </c>
      <c r="J718" s="4" t="str" cm="1">
        <f t="array" ref="J718">IFERROR(INDEX(EmployeeData[Status], ROW() - 37), "")</f>
        <v>Active</v>
      </c>
    </row>
    <row r="719" spans="2:10" ht="19.95" customHeight="1" x14ac:dyDescent="0.3">
      <c r="B719" s="4" cm="1">
        <f t="array" ref="B719">IFERROR(INDEX(EmployeeData[Employee ID], ROW() - 37), "")</f>
        <v>1682</v>
      </c>
      <c r="C719" s="4" t="str" cm="1">
        <f t="array" ref="C719">IFERROR(INDEX(EmployeeData[Full Name], ROW() - 37), "")</f>
        <v>Paz Macapagal</v>
      </c>
      <c r="D719" s="4" t="str" cm="1">
        <f t="array" ref="D719">IFERROR(INDEX(EmployeeData[Department], ROW() - 37), "")</f>
        <v>Sales</v>
      </c>
      <c r="E719" s="4" t="str" cm="1">
        <f t="array" ref="E719">IFERROR(INDEX(EmployeeData[Gender], ROW() - 37), "")</f>
        <v>Female</v>
      </c>
      <c r="F719" s="4" cm="1">
        <f t="array" ref="F719">IFERROR(INDEX(EmployeeData[Age], ROW() - 37), "")</f>
        <v>42</v>
      </c>
      <c r="G719" s="6" cm="1">
        <f t="array" ref="G719">IFERROR(INDEX(EmployeeData[Join Date], ROW() - 37), "")</f>
        <v>45275</v>
      </c>
      <c r="H719" s="6" cm="1">
        <f t="array" ref="H719">IFERROR(IF(INDEX(EmployeeData[Exit Date], ROW() - 37)=0, "",INDEX(EmployeeData[Exit Date], ROW() - 37)),"")</f>
        <v>45801</v>
      </c>
      <c r="I719" s="4" t="str" cm="1">
        <f t="array" ref="I719">IFERROR(IF(INDEX(EmployeeData[Exit Reason], ROW() - 37)=0, "",INDEX(EmployeeData[Exit Reason], ROW() - 37)),"")</f>
        <v>Personal Reasons</v>
      </c>
      <c r="J719" s="4" t="str" cm="1">
        <f t="array" ref="J719">IFERROR(INDEX(EmployeeData[Status], ROW() - 37), "")</f>
        <v>Exited</v>
      </c>
    </row>
    <row r="720" spans="2:10" ht="19.95" customHeight="1" x14ac:dyDescent="0.3">
      <c r="B720" s="4" cm="1">
        <f t="array" ref="B720">IFERROR(INDEX(EmployeeData[Employee ID], ROW() - 37), "")</f>
        <v>1683</v>
      </c>
      <c r="C720" s="4" t="str" cm="1">
        <f t="array" ref="C720">IFERROR(INDEX(EmployeeData[Full Name], ROW() - 37), "")</f>
        <v>Nina Santiago Mendoza</v>
      </c>
      <c r="D720" s="4" t="str" cm="1">
        <f t="array" ref="D720">IFERROR(INDEX(EmployeeData[Department], ROW() - 37), "")</f>
        <v>Sales</v>
      </c>
      <c r="E720" s="4" t="str" cm="1">
        <f t="array" ref="E720">IFERROR(INDEX(EmployeeData[Gender], ROW() - 37), "")</f>
        <v>Female</v>
      </c>
      <c r="F720" s="4" cm="1">
        <f t="array" ref="F720">IFERROR(INDEX(EmployeeData[Age], ROW() - 37), "")</f>
        <v>42</v>
      </c>
      <c r="G720" s="6" cm="1">
        <f t="array" ref="G720">IFERROR(INDEX(EmployeeData[Join Date], ROW() - 37), "")</f>
        <v>43325</v>
      </c>
      <c r="H720" s="6" t="str" cm="1">
        <f t="array" ref="H720">IFERROR(IF(INDEX(EmployeeData[Exit Date], ROW() - 37)=0, "",INDEX(EmployeeData[Exit Date], ROW() - 37)),"")</f>
        <v/>
      </c>
      <c r="I720" s="4" t="str" cm="1">
        <f t="array" ref="I720">IFERROR(IF(INDEX(EmployeeData[Exit Reason], ROW() - 37)=0, "",INDEX(EmployeeData[Exit Reason], ROW() - 37)),"")</f>
        <v/>
      </c>
      <c r="J720" s="4" t="str" cm="1">
        <f t="array" ref="J720">IFERROR(INDEX(EmployeeData[Status], ROW() - 37), "")</f>
        <v>Active</v>
      </c>
    </row>
    <row r="721" spans="2:10" ht="19.95" customHeight="1" x14ac:dyDescent="0.3">
      <c r="B721" s="4" cm="1">
        <f t="array" ref="B721">IFERROR(INDEX(EmployeeData[Employee ID], ROW() - 37), "")</f>
        <v>1684</v>
      </c>
      <c r="C721" s="4" t="str" cm="1">
        <f t="array" ref="C721">IFERROR(INDEX(EmployeeData[Full Name], ROW() - 37), "")</f>
        <v>Teresa Jacinto</v>
      </c>
      <c r="D721" s="4" t="str" cm="1">
        <f t="array" ref="D721">IFERROR(INDEX(EmployeeData[Department], ROW() - 37), "")</f>
        <v>Marketing</v>
      </c>
      <c r="E721" s="4" t="str" cm="1">
        <f t="array" ref="E721">IFERROR(INDEX(EmployeeData[Gender], ROW() - 37), "")</f>
        <v>Female</v>
      </c>
      <c r="F721" s="4" cm="1">
        <f t="array" ref="F721">IFERROR(INDEX(EmployeeData[Age], ROW() - 37), "")</f>
        <v>44</v>
      </c>
      <c r="G721" s="6" cm="1">
        <f t="array" ref="G721">IFERROR(INDEX(EmployeeData[Join Date], ROW() - 37), "")</f>
        <v>43818</v>
      </c>
      <c r="H721" s="6" t="str" cm="1">
        <f t="array" ref="H721">IFERROR(IF(INDEX(EmployeeData[Exit Date], ROW() - 37)=0, "",INDEX(EmployeeData[Exit Date], ROW() - 37)),"")</f>
        <v/>
      </c>
      <c r="I721" s="4" t="str" cm="1">
        <f t="array" ref="I721">IFERROR(IF(INDEX(EmployeeData[Exit Reason], ROW() - 37)=0, "",INDEX(EmployeeData[Exit Reason], ROW() - 37)),"")</f>
        <v/>
      </c>
      <c r="J721" s="4" t="str" cm="1">
        <f t="array" ref="J721">IFERROR(INDEX(EmployeeData[Status], ROW() - 37), "")</f>
        <v>Active</v>
      </c>
    </row>
    <row r="722" spans="2:10" ht="19.95" customHeight="1" x14ac:dyDescent="0.3">
      <c r="B722" s="4" cm="1">
        <f t="array" ref="B722">IFERROR(INDEX(EmployeeData[Employee ID], ROW() - 37), "")</f>
        <v>1685</v>
      </c>
      <c r="C722" s="4" t="str" cm="1">
        <f t="array" ref="C722">IFERROR(INDEX(EmployeeData[Full Name], ROW() - 37), "")</f>
        <v>Lourdes Ramirez Jimenez</v>
      </c>
      <c r="D722" s="4" t="str" cm="1">
        <f t="array" ref="D722">IFERROR(INDEX(EmployeeData[Department], ROW() - 37), "")</f>
        <v>Customer Support</v>
      </c>
      <c r="E722" s="4" t="str" cm="1">
        <f t="array" ref="E722">IFERROR(INDEX(EmployeeData[Gender], ROW() - 37), "")</f>
        <v>Other</v>
      </c>
      <c r="F722" s="4" cm="1">
        <f t="array" ref="F722">IFERROR(INDEX(EmployeeData[Age], ROW() - 37), "")</f>
        <v>36</v>
      </c>
      <c r="G722" s="6" cm="1">
        <f t="array" ref="G722">IFERROR(INDEX(EmployeeData[Join Date], ROW() - 37), "")</f>
        <v>45311</v>
      </c>
      <c r="H722" s="6" cm="1">
        <f t="array" ref="H722">IFERROR(IF(INDEX(EmployeeData[Exit Date], ROW() - 37)=0, "",INDEX(EmployeeData[Exit Date], ROW() - 37)),"")</f>
        <v>45890</v>
      </c>
      <c r="I722" s="4" t="str" cm="1">
        <f t="array" ref="I722">IFERROR(IF(INDEX(EmployeeData[Exit Reason], ROW() - 37)=0, "",INDEX(EmployeeData[Exit Reason], ROW() - 37)),"")</f>
        <v>Personal Reasons</v>
      </c>
      <c r="J722" s="4" t="str" cm="1">
        <f t="array" ref="J722">IFERROR(INDEX(EmployeeData[Status], ROW() - 37), "")</f>
        <v>Exited</v>
      </c>
    </row>
    <row r="723" spans="2:10" ht="19.95" customHeight="1" x14ac:dyDescent="0.3">
      <c r="B723" s="4" cm="1">
        <f t="array" ref="B723">IFERROR(INDEX(EmployeeData[Employee ID], ROW() - 37), "")</f>
        <v>1686</v>
      </c>
      <c r="C723" s="4" t="str" cm="1">
        <f t="array" ref="C723">IFERROR(INDEX(EmployeeData[Full Name], ROW() - 37), "")</f>
        <v>Riley Uy Aquino</v>
      </c>
      <c r="D723" s="4" t="str" cm="1">
        <f t="array" ref="D723">IFERROR(INDEX(EmployeeData[Department], ROW() - 37), "")</f>
        <v>IT</v>
      </c>
      <c r="E723" s="4" t="str" cm="1">
        <f t="array" ref="E723">IFERROR(INDEX(EmployeeData[Gender], ROW() - 37), "")</f>
        <v>Other</v>
      </c>
      <c r="F723" s="4" cm="1">
        <f t="array" ref="F723">IFERROR(INDEX(EmployeeData[Age], ROW() - 37), "")</f>
        <v>53</v>
      </c>
      <c r="G723" s="6" cm="1">
        <f t="array" ref="G723">IFERROR(INDEX(EmployeeData[Join Date], ROW() - 37), "")</f>
        <v>45887</v>
      </c>
      <c r="H723" s="6" t="str" cm="1">
        <f t="array" ref="H723">IFERROR(IF(INDEX(EmployeeData[Exit Date], ROW() - 37)=0, "",INDEX(EmployeeData[Exit Date], ROW() - 37)),"")</f>
        <v/>
      </c>
      <c r="I723" s="4" t="str" cm="1">
        <f t="array" ref="I723">IFERROR(IF(INDEX(EmployeeData[Exit Reason], ROW() - 37)=0, "",INDEX(EmployeeData[Exit Reason], ROW() - 37)),"")</f>
        <v/>
      </c>
      <c r="J723" s="4" t="str" cm="1">
        <f t="array" ref="J723">IFERROR(INDEX(EmployeeData[Status], ROW() - 37), "")</f>
        <v>Active</v>
      </c>
    </row>
    <row r="724" spans="2:10" ht="19.95" customHeight="1" x14ac:dyDescent="0.3">
      <c r="B724" s="4" cm="1">
        <f t="array" ref="B724">IFERROR(INDEX(EmployeeData[Employee ID], ROW() - 37), "")</f>
        <v>1687</v>
      </c>
      <c r="C724" s="4" t="str" cm="1">
        <f t="array" ref="C724">IFERROR(INDEX(EmployeeData[Full Name], ROW() - 37), "")</f>
        <v>Neil Santiago Chua</v>
      </c>
      <c r="D724" s="4" t="str" cm="1">
        <f t="array" ref="D724">IFERROR(INDEX(EmployeeData[Department], ROW() - 37), "")</f>
        <v>Marketing</v>
      </c>
      <c r="E724" s="4" t="str" cm="1">
        <f t="array" ref="E724">IFERROR(INDEX(EmployeeData[Gender], ROW() - 37), "")</f>
        <v>Male</v>
      </c>
      <c r="F724" s="4" cm="1">
        <f t="array" ref="F724">IFERROR(INDEX(EmployeeData[Age], ROW() - 37), "")</f>
        <v>28</v>
      </c>
      <c r="G724" s="6" cm="1">
        <f t="array" ref="G724">IFERROR(INDEX(EmployeeData[Join Date], ROW() - 37), "")</f>
        <v>45026</v>
      </c>
      <c r="H724" s="6" t="str" cm="1">
        <f t="array" ref="H724">IFERROR(IF(INDEX(EmployeeData[Exit Date], ROW() - 37)=0, "",INDEX(EmployeeData[Exit Date], ROW() - 37)),"")</f>
        <v/>
      </c>
      <c r="I724" s="4" t="str" cm="1">
        <f t="array" ref="I724">IFERROR(IF(INDEX(EmployeeData[Exit Reason], ROW() - 37)=0, "",INDEX(EmployeeData[Exit Reason], ROW() - 37)),"")</f>
        <v/>
      </c>
      <c r="J724" s="4" t="str" cm="1">
        <f t="array" ref="J724">IFERROR(INDEX(EmployeeData[Status], ROW() - 37), "")</f>
        <v>Active</v>
      </c>
    </row>
    <row r="725" spans="2:10" ht="19.95" customHeight="1" x14ac:dyDescent="0.3">
      <c r="B725" s="4" cm="1">
        <f t="array" ref="B725">IFERROR(INDEX(EmployeeData[Employee ID], ROW() - 37), "")</f>
        <v>1688</v>
      </c>
      <c r="C725" s="4" t="str" cm="1">
        <f t="array" ref="C725">IFERROR(INDEX(EmployeeData[Full Name], ROW() - 37), "")</f>
        <v>Carmen Gonzales Dela Cruz</v>
      </c>
      <c r="D725" s="4" t="str" cm="1">
        <f t="array" ref="D725">IFERROR(INDEX(EmployeeData[Department], ROW() - 37), "")</f>
        <v>Sales</v>
      </c>
      <c r="E725" s="4" t="str" cm="1">
        <f t="array" ref="E725">IFERROR(INDEX(EmployeeData[Gender], ROW() - 37), "")</f>
        <v>Other</v>
      </c>
      <c r="F725" s="4" cm="1">
        <f t="array" ref="F725">IFERROR(INDEX(EmployeeData[Age], ROW() - 37), "")</f>
        <v>25</v>
      </c>
      <c r="G725" s="6" cm="1">
        <f t="array" ref="G725">IFERROR(INDEX(EmployeeData[Join Date], ROW() - 37), "")</f>
        <v>43872</v>
      </c>
      <c r="H725" s="6" t="str" cm="1">
        <f t="array" ref="H725">IFERROR(IF(INDEX(EmployeeData[Exit Date], ROW() - 37)=0, "",INDEX(EmployeeData[Exit Date], ROW() - 37)),"")</f>
        <v/>
      </c>
      <c r="I725" s="4" t="str" cm="1">
        <f t="array" ref="I725">IFERROR(IF(INDEX(EmployeeData[Exit Reason], ROW() - 37)=0, "",INDEX(EmployeeData[Exit Reason], ROW() - 37)),"")</f>
        <v/>
      </c>
      <c r="J725" s="4" t="str" cm="1">
        <f t="array" ref="J725">IFERROR(INDEX(EmployeeData[Status], ROW() - 37), "")</f>
        <v>Active</v>
      </c>
    </row>
    <row r="726" spans="2:10" ht="19.95" customHeight="1" x14ac:dyDescent="0.3">
      <c r="B726" s="4" cm="1">
        <f t="array" ref="B726">IFERROR(INDEX(EmployeeData[Employee ID], ROW() - 37), "")</f>
        <v>1689</v>
      </c>
      <c r="C726" s="4" t="str" cm="1">
        <f t="array" ref="C726">IFERROR(INDEX(EmployeeData[Full Name], ROW() - 37), "")</f>
        <v>Ramon Delmendo</v>
      </c>
      <c r="D726" s="4" t="str" cm="1">
        <f t="array" ref="D726">IFERROR(INDEX(EmployeeData[Department], ROW() - 37), "")</f>
        <v>IT</v>
      </c>
      <c r="E726" s="4" t="str" cm="1">
        <f t="array" ref="E726">IFERROR(INDEX(EmployeeData[Gender], ROW() - 37), "")</f>
        <v>Other</v>
      </c>
      <c r="F726" s="4" cm="1">
        <f t="array" ref="F726">IFERROR(INDEX(EmployeeData[Age], ROW() - 37), "")</f>
        <v>27</v>
      </c>
      <c r="G726" s="6" cm="1">
        <f t="array" ref="G726">IFERROR(INDEX(EmployeeData[Join Date], ROW() - 37), "")</f>
        <v>43775</v>
      </c>
      <c r="H726" s="6" cm="1">
        <f t="array" ref="H726">IFERROR(IF(INDEX(EmployeeData[Exit Date], ROW() - 37)=0, "",INDEX(EmployeeData[Exit Date], ROW() - 37)),"")</f>
        <v>44471</v>
      </c>
      <c r="I726" s="4" t="str" cm="1">
        <f t="array" ref="I726">IFERROR(IF(INDEX(EmployeeData[Exit Reason], ROW() - 37)=0, "",INDEX(EmployeeData[Exit Reason], ROW() - 37)),"")</f>
        <v>Health Issues</v>
      </c>
      <c r="J726" s="4" t="str" cm="1">
        <f t="array" ref="J726">IFERROR(INDEX(EmployeeData[Status], ROW() - 37), "")</f>
        <v>Exited</v>
      </c>
    </row>
    <row r="727" spans="2:10" ht="19.95" customHeight="1" x14ac:dyDescent="0.3">
      <c r="B727" s="4" cm="1">
        <f t="array" ref="B727">IFERROR(INDEX(EmployeeData[Employee ID], ROW() - 37), "")</f>
        <v>1690</v>
      </c>
      <c r="C727" s="4" t="str" cm="1">
        <f t="array" ref="C727">IFERROR(INDEX(EmployeeData[Full Name], ROW() - 37), "")</f>
        <v>Rafael Manalo</v>
      </c>
      <c r="D727" s="4" t="str" cm="1">
        <f t="array" ref="D727">IFERROR(INDEX(EmployeeData[Department], ROW() - 37), "")</f>
        <v>Customer Support</v>
      </c>
      <c r="E727" s="4" t="str" cm="1">
        <f t="array" ref="E727">IFERROR(INDEX(EmployeeData[Gender], ROW() - 37), "")</f>
        <v>Male</v>
      </c>
      <c r="F727" s="4" cm="1">
        <f t="array" ref="F727">IFERROR(INDEX(EmployeeData[Age], ROW() - 37), "")</f>
        <v>55</v>
      </c>
      <c r="G727" s="6" cm="1">
        <f t="array" ref="G727">IFERROR(INDEX(EmployeeData[Join Date], ROW() - 37), "")</f>
        <v>43641</v>
      </c>
      <c r="H727" s="6" t="str" cm="1">
        <f t="array" ref="H727">IFERROR(IF(INDEX(EmployeeData[Exit Date], ROW() - 37)=0, "",INDEX(EmployeeData[Exit Date], ROW() - 37)),"")</f>
        <v/>
      </c>
      <c r="I727" s="4" t="str" cm="1">
        <f t="array" ref="I727">IFERROR(IF(INDEX(EmployeeData[Exit Reason], ROW() - 37)=0, "",INDEX(EmployeeData[Exit Reason], ROW() - 37)),"")</f>
        <v/>
      </c>
      <c r="J727" s="4" t="str" cm="1">
        <f t="array" ref="J727">IFERROR(INDEX(EmployeeData[Status], ROW() - 37), "")</f>
        <v>Active</v>
      </c>
    </row>
    <row r="728" spans="2:10" ht="19.95" customHeight="1" x14ac:dyDescent="0.3">
      <c r="B728" s="4" cm="1">
        <f t="array" ref="B728">IFERROR(INDEX(EmployeeData[Employee ID], ROW() - 37), "")</f>
        <v>1691</v>
      </c>
      <c r="C728" s="4" t="str" cm="1">
        <f t="array" ref="C728">IFERROR(INDEX(EmployeeData[Full Name], ROW() - 37), "")</f>
        <v>Mae Diaz Bayani</v>
      </c>
      <c r="D728" s="4" t="str" cm="1">
        <f t="array" ref="D728">IFERROR(INDEX(EmployeeData[Department], ROW() - 37), "")</f>
        <v>Customer Support</v>
      </c>
      <c r="E728" s="4" t="str" cm="1">
        <f t="array" ref="E728">IFERROR(INDEX(EmployeeData[Gender], ROW() - 37), "")</f>
        <v>Female</v>
      </c>
      <c r="F728" s="4" cm="1">
        <f t="array" ref="F728">IFERROR(INDEX(EmployeeData[Age], ROW() - 37), "")</f>
        <v>22</v>
      </c>
      <c r="G728" s="6" cm="1">
        <f t="array" ref="G728">IFERROR(INDEX(EmployeeData[Join Date], ROW() - 37), "")</f>
        <v>44052</v>
      </c>
      <c r="H728" s="6" t="str" cm="1">
        <f t="array" ref="H728">IFERROR(IF(INDEX(EmployeeData[Exit Date], ROW() - 37)=0, "",INDEX(EmployeeData[Exit Date], ROW() - 37)),"")</f>
        <v/>
      </c>
      <c r="I728" s="4" t="str" cm="1">
        <f t="array" ref="I728">IFERROR(IF(INDEX(EmployeeData[Exit Reason], ROW() - 37)=0, "",INDEX(EmployeeData[Exit Reason], ROW() - 37)),"")</f>
        <v/>
      </c>
      <c r="J728" s="4" t="str" cm="1">
        <f t="array" ref="J728">IFERROR(INDEX(EmployeeData[Status], ROW() - 37), "")</f>
        <v>Active</v>
      </c>
    </row>
    <row r="729" spans="2:10" ht="19.95" customHeight="1" x14ac:dyDescent="0.3">
      <c r="B729" s="4" cm="1">
        <f t="array" ref="B729">IFERROR(INDEX(EmployeeData[Employee ID], ROW() - 37), "")</f>
        <v>1692</v>
      </c>
      <c r="C729" s="4" t="str" cm="1">
        <f t="array" ref="C729">IFERROR(INDEX(EmployeeData[Full Name], ROW() - 37), "")</f>
        <v>Teresa Soriano Hilario</v>
      </c>
      <c r="D729" s="4" t="str" cm="1">
        <f t="array" ref="D729">IFERROR(INDEX(EmployeeData[Department], ROW() - 37), "")</f>
        <v>HR</v>
      </c>
      <c r="E729" s="4" t="str" cm="1">
        <f t="array" ref="E729">IFERROR(INDEX(EmployeeData[Gender], ROW() - 37), "")</f>
        <v>Other</v>
      </c>
      <c r="F729" s="4" cm="1">
        <f t="array" ref="F729">IFERROR(INDEX(EmployeeData[Age], ROW() - 37), "")</f>
        <v>52</v>
      </c>
      <c r="G729" s="6" cm="1">
        <f t="array" ref="G729">IFERROR(INDEX(EmployeeData[Join Date], ROW() - 37), "")</f>
        <v>45531</v>
      </c>
      <c r="H729" s="6" t="str" cm="1">
        <f t="array" ref="H729">IFERROR(IF(INDEX(EmployeeData[Exit Date], ROW() - 37)=0, "",INDEX(EmployeeData[Exit Date], ROW() - 37)),"")</f>
        <v/>
      </c>
      <c r="I729" s="4" t="str" cm="1">
        <f t="array" ref="I729">IFERROR(IF(INDEX(EmployeeData[Exit Reason], ROW() - 37)=0, "",INDEX(EmployeeData[Exit Reason], ROW() - 37)),"")</f>
        <v/>
      </c>
      <c r="J729" s="4" t="str" cm="1">
        <f t="array" ref="J729">IFERROR(INDEX(EmployeeData[Status], ROW() - 37), "")</f>
        <v>Active</v>
      </c>
    </row>
    <row r="730" spans="2:10" ht="19.95" customHeight="1" x14ac:dyDescent="0.3">
      <c r="B730" s="4" cm="1">
        <f t="array" ref="B730">IFERROR(INDEX(EmployeeData[Employee ID], ROW() - 37), "")</f>
        <v>1693</v>
      </c>
      <c r="C730" s="4" t="str" cm="1">
        <f t="array" ref="C730">IFERROR(INDEX(EmployeeData[Full Name], ROW() - 37), "")</f>
        <v>Antonio Pascual Umali</v>
      </c>
      <c r="D730" s="4" t="str" cm="1">
        <f t="array" ref="D730">IFERROR(INDEX(EmployeeData[Department], ROW() - 37), "")</f>
        <v>Marketing</v>
      </c>
      <c r="E730" s="4" t="str" cm="1">
        <f t="array" ref="E730">IFERROR(INDEX(EmployeeData[Gender], ROW() - 37), "")</f>
        <v>Other</v>
      </c>
      <c r="F730" s="4" cm="1">
        <f t="array" ref="F730">IFERROR(INDEX(EmployeeData[Age], ROW() - 37), "")</f>
        <v>40</v>
      </c>
      <c r="G730" s="6" cm="1">
        <f t="array" ref="G730">IFERROR(INDEX(EmployeeData[Join Date], ROW() - 37), "")</f>
        <v>43804</v>
      </c>
      <c r="H730" s="6" t="str" cm="1">
        <f t="array" ref="H730">IFERROR(IF(INDEX(EmployeeData[Exit Date], ROW() - 37)=0, "",INDEX(EmployeeData[Exit Date], ROW() - 37)),"")</f>
        <v/>
      </c>
      <c r="I730" s="4" t="str" cm="1">
        <f t="array" ref="I730">IFERROR(IF(INDEX(EmployeeData[Exit Reason], ROW() - 37)=0, "",INDEX(EmployeeData[Exit Reason], ROW() - 37)),"")</f>
        <v/>
      </c>
      <c r="J730" s="4" t="str" cm="1">
        <f t="array" ref="J730">IFERROR(INDEX(EmployeeData[Status], ROW() - 37), "")</f>
        <v>Active</v>
      </c>
    </row>
    <row r="731" spans="2:10" ht="19.95" customHeight="1" x14ac:dyDescent="0.3">
      <c r="B731" s="4" cm="1">
        <f t="array" ref="B731">IFERROR(INDEX(EmployeeData[Employee ID], ROW() - 37), "")</f>
        <v>1694</v>
      </c>
      <c r="C731" s="4" t="str" cm="1">
        <f t="array" ref="C731">IFERROR(INDEX(EmployeeData[Full Name], ROW() - 37), "")</f>
        <v>Imelda Trinidad</v>
      </c>
      <c r="D731" s="4" t="str" cm="1">
        <f t="array" ref="D731">IFERROR(INDEX(EmployeeData[Department], ROW() - 37), "")</f>
        <v>HR</v>
      </c>
      <c r="E731" s="4" t="str" cm="1">
        <f t="array" ref="E731">IFERROR(INDEX(EmployeeData[Gender], ROW() - 37), "")</f>
        <v>Female</v>
      </c>
      <c r="F731" s="4" cm="1">
        <f t="array" ref="F731">IFERROR(INDEX(EmployeeData[Age], ROW() - 37), "")</f>
        <v>43</v>
      </c>
      <c r="G731" s="6" cm="1">
        <f t="array" ref="G731">IFERROR(INDEX(EmployeeData[Join Date], ROW() - 37), "")</f>
        <v>44265</v>
      </c>
      <c r="H731" s="6" t="str" cm="1">
        <f t="array" ref="H731">IFERROR(IF(INDEX(EmployeeData[Exit Date], ROW() - 37)=0, "",INDEX(EmployeeData[Exit Date], ROW() - 37)),"")</f>
        <v/>
      </c>
      <c r="I731" s="4" t="str" cm="1">
        <f t="array" ref="I731">IFERROR(IF(INDEX(EmployeeData[Exit Reason], ROW() - 37)=0, "",INDEX(EmployeeData[Exit Reason], ROW() - 37)),"")</f>
        <v/>
      </c>
      <c r="J731" s="4" t="str" cm="1">
        <f t="array" ref="J731">IFERROR(INDEX(EmployeeData[Status], ROW() - 37), "")</f>
        <v>Active</v>
      </c>
    </row>
    <row r="732" spans="2:10" ht="19.95" customHeight="1" x14ac:dyDescent="0.3">
      <c r="B732" s="4" cm="1">
        <f t="array" ref="B732">IFERROR(INDEX(EmployeeData[Employee ID], ROW() - 37), "")</f>
        <v>1695</v>
      </c>
      <c r="C732" s="4" t="str" cm="1">
        <f t="array" ref="C732">IFERROR(INDEX(EmployeeData[Full Name], ROW() - 37), "")</f>
        <v>Florinda Cruz Aguilar</v>
      </c>
      <c r="D732" s="4" t="str" cm="1">
        <f t="array" ref="D732">IFERROR(INDEX(EmployeeData[Department], ROW() - 37), "")</f>
        <v>HR</v>
      </c>
      <c r="E732" s="4" t="str" cm="1">
        <f t="array" ref="E732">IFERROR(INDEX(EmployeeData[Gender], ROW() - 37), "")</f>
        <v>Female</v>
      </c>
      <c r="F732" s="4" cm="1">
        <f t="array" ref="F732">IFERROR(INDEX(EmployeeData[Age], ROW() - 37), "")</f>
        <v>32</v>
      </c>
      <c r="G732" s="6" cm="1">
        <f t="array" ref="G732">IFERROR(INDEX(EmployeeData[Join Date], ROW() - 37), "")</f>
        <v>46001</v>
      </c>
      <c r="H732" s="6" t="str" cm="1">
        <f t="array" ref="H732">IFERROR(IF(INDEX(EmployeeData[Exit Date], ROW() - 37)=0, "",INDEX(EmployeeData[Exit Date], ROW() - 37)),"")</f>
        <v/>
      </c>
      <c r="I732" s="4" t="str" cm="1">
        <f t="array" ref="I732">IFERROR(IF(INDEX(EmployeeData[Exit Reason], ROW() - 37)=0, "",INDEX(EmployeeData[Exit Reason], ROW() - 37)),"")</f>
        <v/>
      </c>
      <c r="J732" s="4" t="str" cm="1">
        <f t="array" ref="J732">IFERROR(INDEX(EmployeeData[Status], ROW() - 37), "")</f>
        <v>Active</v>
      </c>
    </row>
    <row r="733" spans="2:10" ht="19.95" customHeight="1" x14ac:dyDescent="0.3">
      <c r="B733" s="4" cm="1">
        <f t="array" ref="B733">IFERROR(INDEX(EmployeeData[Employee ID], ROW() - 37), "")</f>
        <v>1696</v>
      </c>
      <c r="C733" s="4" t="str" cm="1">
        <f t="array" ref="C733">IFERROR(INDEX(EmployeeData[Full Name], ROW() - 37), "")</f>
        <v>Antonio Vega Enriquez</v>
      </c>
      <c r="D733" s="4" t="str" cm="1">
        <f t="array" ref="D733">IFERROR(INDEX(EmployeeData[Department], ROW() - 37), "")</f>
        <v>Finance</v>
      </c>
      <c r="E733" s="4" t="str" cm="1">
        <f t="array" ref="E733">IFERROR(INDEX(EmployeeData[Gender], ROW() - 37), "")</f>
        <v>Male</v>
      </c>
      <c r="F733" s="4" cm="1">
        <f t="array" ref="F733">IFERROR(INDEX(EmployeeData[Age], ROW() - 37), "")</f>
        <v>49</v>
      </c>
      <c r="G733" s="6" cm="1">
        <f t="array" ref="G733">IFERROR(INDEX(EmployeeData[Join Date], ROW() - 37), "")</f>
        <v>44167</v>
      </c>
      <c r="H733" s="6" cm="1">
        <f t="array" ref="H733">IFERROR(IF(INDEX(EmployeeData[Exit Date], ROW() - 37)=0, "",INDEX(EmployeeData[Exit Date], ROW() - 37)),"")</f>
        <v>44677</v>
      </c>
      <c r="I733" s="4" t="str" cm="1">
        <f t="array" ref="I733">IFERROR(IF(INDEX(EmployeeData[Exit Reason], ROW() - 37)=0, "",INDEX(EmployeeData[Exit Reason], ROW() - 37)),"")</f>
        <v>Health Issues</v>
      </c>
      <c r="J733" s="4" t="str" cm="1">
        <f t="array" ref="J733">IFERROR(INDEX(EmployeeData[Status], ROW() - 37), "")</f>
        <v>Exited</v>
      </c>
    </row>
    <row r="734" spans="2:10" ht="19.95" customHeight="1" x14ac:dyDescent="0.3">
      <c r="B734" s="4" cm="1">
        <f t="array" ref="B734">IFERROR(INDEX(EmployeeData[Employee ID], ROW() - 37), "")</f>
        <v>1697</v>
      </c>
      <c r="C734" s="4" t="str" cm="1">
        <f t="array" ref="C734">IFERROR(INDEX(EmployeeData[Full Name], ROW() - 37), "")</f>
        <v>Ian Mercado</v>
      </c>
      <c r="D734" s="4" t="str" cm="1">
        <f t="array" ref="D734">IFERROR(INDEX(EmployeeData[Department], ROW() - 37), "")</f>
        <v>Customer Support</v>
      </c>
      <c r="E734" s="4" t="str" cm="1">
        <f t="array" ref="E734">IFERROR(INDEX(EmployeeData[Gender], ROW() - 37), "")</f>
        <v>Male</v>
      </c>
      <c r="F734" s="4" cm="1">
        <f t="array" ref="F734">IFERROR(INDEX(EmployeeData[Age], ROW() - 37), "")</f>
        <v>31</v>
      </c>
      <c r="G734" s="6" cm="1">
        <f t="array" ref="G734">IFERROR(INDEX(EmployeeData[Join Date], ROW() - 37), "")</f>
        <v>45286</v>
      </c>
      <c r="H734" s="6" cm="1">
        <f t="array" ref="H734">IFERROR(IF(INDEX(EmployeeData[Exit Date], ROW() - 37)=0, "",INDEX(EmployeeData[Exit Date], ROW() - 37)),"")</f>
        <v>45401</v>
      </c>
      <c r="I734" s="4" t="str" cm="1">
        <f t="array" ref="I734">IFERROR(IF(INDEX(EmployeeData[Exit Reason], ROW() - 37)=0, "",INDEX(EmployeeData[Exit Reason], ROW() - 37)),"")</f>
        <v>Termination</v>
      </c>
      <c r="J734" s="4" t="str" cm="1">
        <f t="array" ref="J734">IFERROR(INDEX(EmployeeData[Status], ROW() - 37), "")</f>
        <v>Exited</v>
      </c>
    </row>
    <row r="735" spans="2:10" ht="19.95" customHeight="1" x14ac:dyDescent="0.3">
      <c r="B735" s="4" cm="1">
        <f t="array" ref="B735">IFERROR(INDEX(EmployeeData[Employee ID], ROW() - 37), "")</f>
        <v>1698</v>
      </c>
      <c r="C735" s="4" t="str" cm="1">
        <f t="array" ref="C735">IFERROR(INDEX(EmployeeData[Full Name], ROW() - 37), "")</f>
        <v>Erlinda Lozano</v>
      </c>
      <c r="D735" s="4" t="str" cm="1">
        <f t="array" ref="D735">IFERROR(INDEX(EmployeeData[Department], ROW() - 37), "")</f>
        <v>Finance</v>
      </c>
      <c r="E735" s="4" t="str" cm="1">
        <f t="array" ref="E735">IFERROR(INDEX(EmployeeData[Gender], ROW() - 37), "")</f>
        <v>Female</v>
      </c>
      <c r="F735" s="4" cm="1">
        <f t="array" ref="F735">IFERROR(INDEX(EmployeeData[Age], ROW() - 37), "")</f>
        <v>59</v>
      </c>
      <c r="G735" s="6" cm="1">
        <f t="array" ref="G735">IFERROR(INDEX(EmployeeData[Join Date], ROW() - 37), "")</f>
        <v>45179</v>
      </c>
      <c r="H735" s="6" cm="1">
        <f t="array" ref="H735">IFERROR(IF(INDEX(EmployeeData[Exit Date], ROW() - 37)=0, "",INDEX(EmployeeData[Exit Date], ROW() - 37)),"")</f>
        <v>45991</v>
      </c>
      <c r="I735" s="4" t="str" cm="1">
        <f t="array" ref="I735">IFERROR(IF(INDEX(EmployeeData[Exit Reason], ROW() - 37)=0, "",INDEX(EmployeeData[Exit Reason], ROW() - 37)),"")</f>
        <v>Retirement</v>
      </c>
      <c r="J735" s="4" t="str" cm="1">
        <f t="array" ref="J735">IFERROR(INDEX(EmployeeData[Status], ROW() - 37), "")</f>
        <v>Exited</v>
      </c>
    </row>
    <row r="736" spans="2:10" ht="19.95" customHeight="1" x14ac:dyDescent="0.3">
      <c r="B736" s="4" cm="1">
        <f t="array" ref="B736">IFERROR(INDEX(EmployeeData[Employee ID], ROW() - 37), "")</f>
        <v>1699</v>
      </c>
      <c r="C736" s="4" t="str" cm="1">
        <f t="array" ref="C736">IFERROR(INDEX(EmployeeData[Full Name], ROW() - 37), "")</f>
        <v>Crisanto Soriano Figueroa</v>
      </c>
      <c r="D736" s="4" t="str" cm="1">
        <f t="array" ref="D736">IFERROR(INDEX(EmployeeData[Department], ROW() - 37), "")</f>
        <v>Finance</v>
      </c>
      <c r="E736" s="4" t="str" cm="1">
        <f t="array" ref="E736">IFERROR(INDEX(EmployeeData[Gender], ROW() - 37), "")</f>
        <v>Male</v>
      </c>
      <c r="F736" s="4" cm="1">
        <f t="array" ref="F736">IFERROR(INDEX(EmployeeData[Age], ROW() - 37), "")</f>
        <v>28</v>
      </c>
      <c r="G736" s="6" cm="1">
        <f t="array" ref="G736">IFERROR(INDEX(EmployeeData[Join Date], ROW() - 37), "")</f>
        <v>45062</v>
      </c>
      <c r="H736" s="6" t="str" cm="1">
        <f t="array" ref="H736">IFERROR(IF(INDEX(EmployeeData[Exit Date], ROW() - 37)=0, "",INDEX(EmployeeData[Exit Date], ROW() - 37)),"")</f>
        <v/>
      </c>
      <c r="I736" s="4" t="str" cm="1">
        <f t="array" ref="I736">IFERROR(IF(INDEX(EmployeeData[Exit Reason], ROW() - 37)=0, "",INDEX(EmployeeData[Exit Reason], ROW() - 37)),"")</f>
        <v/>
      </c>
      <c r="J736" s="4" t="str" cm="1">
        <f t="array" ref="J736">IFERROR(INDEX(EmployeeData[Status], ROW() - 37), "")</f>
        <v>Active</v>
      </c>
    </row>
    <row r="737" spans="2:10" ht="19.95" customHeight="1" x14ac:dyDescent="0.3">
      <c r="B737" s="4" cm="1">
        <f t="array" ref="B737">IFERROR(INDEX(EmployeeData[Employee ID], ROW() - 37), "")</f>
        <v>1700</v>
      </c>
      <c r="C737" s="4" t="str" cm="1">
        <f t="array" ref="C737">IFERROR(INDEX(EmployeeData[Full Name], ROW() - 37), "")</f>
        <v>Jaime Aguilar Narvasa</v>
      </c>
      <c r="D737" s="4" t="str" cm="1">
        <f t="array" ref="D737">IFERROR(INDEX(EmployeeData[Department], ROW() - 37), "")</f>
        <v>Customer Support</v>
      </c>
      <c r="E737" s="4" t="str" cm="1">
        <f t="array" ref="E737">IFERROR(INDEX(EmployeeData[Gender], ROW() - 37), "")</f>
        <v>Male</v>
      </c>
      <c r="F737" s="4" cm="1">
        <f t="array" ref="F737">IFERROR(INDEX(EmployeeData[Age], ROW() - 37), "")</f>
        <v>35</v>
      </c>
      <c r="G737" s="6" cm="1">
        <f t="array" ref="G737">IFERROR(INDEX(EmployeeData[Join Date], ROW() - 37), "")</f>
        <v>44927</v>
      </c>
      <c r="H737" s="6" cm="1">
        <f t="array" ref="H737">IFERROR(IF(INDEX(EmployeeData[Exit Date], ROW() - 37)=0, "",INDEX(EmployeeData[Exit Date], ROW() - 37)),"")</f>
        <v>45685</v>
      </c>
      <c r="I737" s="4" t="str" cm="1">
        <f t="array" ref="I737">IFERROR(IF(INDEX(EmployeeData[Exit Reason], ROW() - 37)=0, "",INDEX(EmployeeData[Exit Reason], ROW() - 37)),"")</f>
        <v>Better Opportunity</v>
      </c>
      <c r="J737" s="4" t="str" cm="1">
        <f t="array" ref="J737">IFERROR(INDEX(EmployeeData[Status], ROW() - 37), "")</f>
        <v>Exited</v>
      </c>
    </row>
    <row r="738" spans="2:10" ht="19.95" customHeight="1" x14ac:dyDescent="0.3">
      <c r="B738" s="4" cm="1">
        <f t="array" ref="B738">IFERROR(INDEX(EmployeeData[Employee ID], ROW() - 37), "")</f>
        <v>1701</v>
      </c>
      <c r="C738" s="4" t="str" cm="1">
        <f t="array" ref="C738">IFERROR(INDEX(EmployeeData[Full Name], ROW() - 37), "")</f>
        <v>Maricel Ang Cueto</v>
      </c>
      <c r="D738" s="4" t="str" cm="1">
        <f t="array" ref="D738">IFERROR(INDEX(EmployeeData[Department], ROW() - 37), "")</f>
        <v>Customer Support</v>
      </c>
      <c r="E738" s="4" t="str" cm="1">
        <f t="array" ref="E738">IFERROR(INDEX(EmployeeData[Gender], ROW() - 37), "")</f>
        <v>Female</v>
      </c>
      <c r="F738" s="4" cm="1">
        <f t="array" ref="F738">IFERROR(INDEX(EmployeeData[Age], ROW() - 37), "")</f>
        <v>49</v>
      </c>
      <c r="G738" s="6" cm="1">
        <f t="array" ref="G738">IFERROR(INDEX(EmployeeData[Join Date], ROW() - 37), "")</f>
        <v>45874</v>
      </c>
      <c r="H738" s="6" t="str" cm="1">
        <f t="array" ref="H738">IFERROR(IF(INDEX(EmployeeData[Exit Date], ROW() - 37)=0, "",INDEX(EmployeeData[Exit Date], ROW() - 37)),"")</f>
        <v/>
      </c>
      <c r="I738" s="4" t="str" cm="1">
        <f t="array" ref="I738">IFERROR(IF(INDEX(EmployeeData[Exit Reason], ROW() - 37)=0, "",INDEX(EmployeeData[Exit Reason], ROW() - 37)),"")</f>
        <v/>
      </c>
      <c r="J738" s="4" t="str" cm="1">
        <f t="array" ref="J738">IFERROR(INDEX(EmployeeData[Status], ROW() - 37), "")</f>
        <v>Active</v>
      </c>
    </row>
    <row r="739" spans="2:10" ht="19.95" customHeight="1" x14ac:dyDescent="0.3">
      <c r="B739" s="4" cm="1">
        <f t="array" ref="B739">IFERROR(INDEX(EmployeeData[Employee ID], ROW() - 37), "")</f>
        <v>1702</v>
      </c>
      <c r="C739" s="4" t="str" cm="1">
        <f t="array" ref="C739">IFERROR(INDEX(EmployeeData[Full Name], ROW() - 37), "")</f>
        <v>Samuel Santos Ignacio</v>
      </c>
      <c r="D739" s="4" t="str" cm="1">
        <f t="array" ref="D739">IFERROR(INDEX(EmployeeData[Department], ROW() - 37), "")</f>
        <v>IT</v>
      </c>
      <c r="E739" s="4" t="str" cm="1">
        <f t="array" ref="E739">IFERROR(INDEX(EmployeeData[Gender], ROW() - 37), "")</f>
        <v>Male</v>
      </c>
      <c r="F739" s="4" cm="1">
        <f t="array" ref="F739">IFERROR(INDEX(EmployeeData[Age], ROW() - 37), "")</f>
        <v>24</v>
      </c>
      <c r="G739" s="6" cm="1">
        <f t="array" ref="G739">IFERROR(INDEX(EmployeeData[Join Date], ROW() - 37), "")</f>
        <v>45832</v>
      </c>
      <c r="H739" s="6" cm="1">
        <f t="array" ref="H739">IFERROR(IF(INDEX(EmployeeData[Exit Date], ROW() - 37)=0, "",INDEX(EmployeeData[Exit Date], ROW() - 37)),"")</f>
        <v>45997</v>
      </c>
      <c r="I739" s="4" t="str" cm="1">
        <f t="array" ref="I739">IFERROR(IF(INDEX(EmployeeData[Exit Reason], ROW() - 37)=0, "",INDEX(EmployeeData[Exit Reason], ROW() - 37)),"")</f>
        <v>Personal Reasons</v>
      </c>
      <c r="J739" s="4" t="str" cm="1">
        <f t="array" ref="J739">IFERROR(INDEX(EmployeeData[Status], ROW() - 37), "")</f>
        <v>Exited</v>
      </c>
    </row>
    <row r="740" spans="2:10" ht="19.95" customHeight="1" x14ac:dyDescent="0.3">
      <c r="B740" s="4" cm="1">
        <f t="array" ref="B740">IFERROR(INDEX(EmployeeData[Employee ID], ROW() - 37), "")</f>
        <v>1703</v>
      </c>
      <c r="C740" s="4" t="str" cm="1">
        <f t="array" ref="C740">IFERROR(INDEX(EmployeeData[Full Name], ROW() - 37), "")</f>
        <v>Rafael Sy Manalo</v>
      </c>
      <c r="D740" s="4" t="str" cm="1">
        <f t="array" ref="D740">IFERROR(INDEX(EmployeeData[Department], ROW() - 37), "")</f>
        <v>IT</v>
      </c>
      <c r="E740" s="4" t="str" cm="1">
        <f t="array" ref="E740">IFERROR(INDEX(EmployeeData[Gender], ROW() - 37), "")</f>
        <v>Male</v>
      </c>
      <c r="F740" s="4" cm="1">
        <f t="array" ref="F740">IFERROR(INDEX(EmployeeData[Age], ROW() - 37), "")</f>
        <v>49</v>
      </c>
      <c r="G740" s="6" cm="1">
        <f t="array" ref="G740">IFERROR(INDEX(EmployeeData[Join Date], ROW() - 37), "")</f>
        <v>45398</v>
      </c>
      <c r="H740" s="6" cm="1">
        <f t="array" ref="H740">IFERROR(IF(INDEX(EmployeeData[Exit Date], ROW() - 37)=0, "",INDEX(EmployeeData[Exit Date], ROW() - 37)),"")</f>
        <v>45942</v>
      </c>
      <c r="I740" s="4" t="str" cm="1">
        <f t="array" ref="I740">IFERROR(IF(INDEX(EmployeeData[Exit Reason], ROW() - 37)=0, "",INDEX(EmployeeData[Exit Reason], ROW() - 37)),"")</f>
        <v>Personal Reasons</v>
      </c>
      <c r="J740" s="4" t="str" cm="1">
        <f t="array" ref="J740">IFERROR(INDEX(EmployeeData[Status], ROW() - 37), "")</f>
        <v>Exited</v>
      </c>
    </row>
    <row r="741" spans="2:10" ht="19.95" customHeight="1" x14ac:dyDescent="0.3">
      <c r="B741" s="4" cm="1">
        <f t="array" ref="B741">IFERROR(INDEX(EmployeeData[Employee ID], ROW() - 37), "")</f>
        <v>1704</v>
      </c>
      <c r="C741" s="4" t="str" cm="1">
        <f t="array" ref="C741">IFERROR(INDEX(EmployeeData[Full Name], ROW() - 37), "")</f>
        <v>Carlos Ong</v>
      </c>
      <c r="D741" s="4" t="str" cm="1">
        <f t="array" ref="D741">IFERROR(INDEX(EmployeeData[Department], ROW() - 37), "")</f>
        <v>HR</v>
      </c>
      <c r="E741" s="4" t="str" cm="1">
        <f t="array" ref="E741">IFERROR(INDEX(EmployeeData[Gender], ROW() - 37), "")</f>
        <v>Male</v>
      </c>
      <c r="F741" s="4" cm="1">
        <f t="array" ref="F741">IFERROR(INDEX(EmployeeData[Age], ROW() - 37), "")</f>
        <v>60</v>
      </c>
      <c r="G741" s="6" cm="1">
        <f t="array" ref="G741">IFERROR(INDEX(EmployeeData[Join Date], ROW() - 37), "")</f>
        <v>45550</v>
      </c>
      <c r="H741" s="6" cm="1">
        <f t="array" ref="H741">IFERROR(IF(INDEX(EmployeeData[Exit Date], ROW() - 37)=0, "",INDEX(EmployeeData[Exit Date], ROW() - 37)),"")</f>
        <v>45852</v>
      </c>
      <c r="I741" s="4" t="str" cm="1">
        <f t="array" ref="I741">IFERROR(IF(INDEX(EmployeeData[Exit Reason], ROW() - 37)=0, "",INDEX(EmployeeData[Exit Reason], ROW() - 37)),"")</f>
        <v>Retirement</v>
      </c>
      <c r="J741" s="4" t="str" cm="1">
        <f t="array" ref="J741">IFERROR(INDEX(EmployeeData[Status], ROW() - 37), "")</f>
        <v>Exited</v>
      </c>
    </row>
    <row r="742" spans="2:10" ht="19.95" customHeight="1" x14ac:dyDescent="0.3">
      <c r="B742" s="4" cm="1">
        <f t="array" ref="B742">IFERROR(INDEX(EmployeeData[Employee ID], ROW() - 37), "")</f>
        <v>1705</v>
      </c>
      <c r="C742" s="4" t="str" cm="1">
        <f t="array" ref="C742">IFERROR(INDEX(EmployeeData[Full Name], ROW() - 37), "")</f>
        <v>Crisanto Rivera Vega</v>
      </c>
      <c r="D742" s="4" t="str" cm="1">
        <f t="array" ref="D742">IFERROR(INDEX(EmployeeData[Department], ROW() - 37), "")</f>
        <v>Customer Support</v>
      </c>
      <c r="E742" s="4" t="str" cm="1">
        <f t="array" ref="E742">IFERROR(INDEX(EmployeeData[Gender], ROW() - 37), "")</f>
        <v>Male</v>
      </c>
      <c r="F742" s="4" cm="1">
        <f t="array" ref="F742">IFERROR(INDEX(EmployeeData[Age], ROW() - 37), "")</f>
        <v>38</v>
      </c>
      <c r="G742" s="6" cm="1">
        <f t="array" ref="G742">IFERROR(INDEX(EmployeeData[Join Date], ROW() - 37), "")</f>
        <v>44798</v>
      </c>
      <c r="H742" s="6" cm="1">
        <f t="array" ref="H742">IFERROR(IF(INDEX(EmployeeData[Exit Date], ROW() - 37)=0, "",INDEX(EmployeeData[Exit Date], ROW() - 37)),"")</f>
        <v>45834</v>
      </c>
      <c r="I742" s="4" t="str" cm="1">
        <f t="array" ref="I742">IFERROR(IF(INDEX(EmployeeData[Exit Reason], ROW() - 37)=0, "",INDEX(EmployeeData[Exit Reason], ROW() - 37)),"")</f>
        <v>Personal Reasons</v>
      </c>
      <c r="J742" s="4" t="str" cm="1">
        <f t="array" ref="J742">IFERROR(INDEX(EmployeeData[Status], ROW() - 37), "")</f>
        <v>Exited</v>
      </c>
    </row>
    <row r="743" spans="2:10" ht="19.95" customHeight="1" x14ac:dyDescent="0.3">
      <c r="B743" s="4" cm="1">
        <f t="array" ref="B743">IFERROR(INDEX(EmployeeData[Employee ID], ROW() - 37), "")</f>
        <v>1706</v>
      </c>
      <c r="C743" s="4" t="str" cm="1">
        <f t="array" ref="C743">IFERROR(INDEX(EmployeeData[Full Name], ROW() - 37), "")</f>
        <v>Nicanor Bautista</v>
      </c>
      <c r="D743" s="4" t="str" cm="1">
        <f t="array" ref="D743">IFERROR(INDEX(EmployeeData[Department], ROW() - 37), "")</f>
        <v>IT</v>
      </c>
      <c r="E743" s="4" t="str" cm="1">
        <f t="array" ref="E743">IFERROR(INDEX(EmployeeData[Gender], ROW() - 37), "")</f>
        <v>Male</v>
      </c>
      <c r="F743" s="4" cm="1">
        <f t="array" ref="F743">IFERROR(INDEX(EmployeeData[Age], ROW() - 37), "")</f>
        <v>40</v>
      </c>
      <c r="G743" s="6" cm="1">
        <f t="array" ref="G743">IFERROR(INDEX(EmployeeData[Join Date], ROW() - 37), "")</f>
        <v>45498</v>
      </c>
      <c r="H743" s="6" cm="1">
        <f t="array" ref="H743">IFERROR(IF(INDEX(EmployeeData[Exit Date], ROW() - 37)=0, "",INDEX(EmployeeData[Exit Date], ROW() - 37)),"")</f>
        <v>46160</v>
      </c>
      <c r="I743" s="4" t="str" cm="1">
        <f t="array" ref="I743">IFERROR(IF(INDEX(EmployeeData[Exit Reason], ROW() - 37)=0, "",INDEX(EmployeeData[Exit Reason], ROW() - 37)),"")</f>
        <v>Personal Reasons</v>
      </c>
      <c r="J743" s="4" t="str" cm="1">
        <f t="array" ref="J743">IFERROR(INDEX(EmployeeData[Status], ROW() - 37), "")</f>
        <v>Exited</v>
      </c>
    </row>
    <row r="744" spans="2:10" ht="19.95" customHeight="1" x14ac:dyDescent="0.3">
      <c r="B744" s="4" cm="1">
        <f t="array" ref="B744">IFERROR(INDEX(EmployeeData[Employee ID], ROW() - 37), "")</f>
        <v>1707</v>
      </c>
      <c r="C744" s="4" t="str" cm="1">
        <f t="array" ref="C744">IFERROR(INDEX(EmployeeData[Full Name], ROW() - 37), "")</f>
        <v>Diana Mercado Camacho</v>
      </c>
      <c r="D744" s="4" t="str" cm="1">
        <f t="array" ref="D744">IFERROR(INDEX(EmployeeData[Department], ROW() - 37), "")</f>
        <v>Customer Support</v>
      </c>
      <c r="E744" s="4" t="str" cm="1">
        <f t="array" ref="E744">IFERROR(INDEX(EmployeeData[Gender], ROW() - 37), "")</f>
        <v>Female</v>
      </c>
      <c r="F744" s="4" cm="1">
        <f t="array" ref="F744">IFERROR(INDEX(EmployeeData[Age], ROW() - 37), "")</f>
        <v>51</v>
      </c>
      <c r="G744" s="6" cm="1">
        <f t="array" ref="G744">IFERROR(INDEX(EmployeeData[Join Date], ROW() - 37), "")</f>
        <v>43609</v>
      </c>
      <c r="H744" s="6" t="str" cm="1">
        <f t="array" ref="H744">IFERROR(IF(INDEX(EmployeeData[Exit Date], ROW() - 37)=0, "",INDEX(EmployeeData[Exit Date], ROW() - 37)),"")</f>
        <v/>
      </c>
      <c r="I744" s="4" t="str" cm="1">
        <f t="array" ref="I744">IFERROR(IF(INDEX(EmployeeData[Exit Reason], ROW() - 37)=0, "",INDEX(EmployeeData[Exit Reason], ROW() - 37)),"")</f>
        <v/>
      </c>
      <c r="J744" s="4" t="str" cm="1">
        <f t="array" ref="J744">IFERROR(INDEX(EmployeeData[Status], ROW() - 37), "")</f>
        <v>Active</v>
      </c>
    </row>
    <row r="745" spans="2:10" ht="19.95" customHeight="1" x14ac:dyDescent="0.3">
      <c r="B745" s="4" cm="1">
        <f t="array" ref="B745">IFERROR(INDEX(EmployeeData[Employee ID], ROW() - 37), "")</f>
        <v>1708</v>
      </c>
      <c r="C745" s="4" t="str" cm="1">
        <f t="array" ref="C745">IFERROR(INDEX(EmployeeData[Full Name], ROW() - 37), "")</f>
        <v>Ronaldo Sy Narvasa</v>
      </c>
      <c r="D745" s="4" t="str" cm="1">
        <f t="array" ref="D745">IFERROR(INDEX(EmployeeData[Department], ROW() - 37), "")</f>
        <v>Customer Support</v>
      </c>
      <c r="E745" s="4" t="str" cm="1">
        <f t="array" ref="E745">IFERROR(INDEX(EmployeeData[Gender], ROW() - 37), "")</f>
        <v>Other</v>
      </c>
      <c r="F745" s="4" cm="1">
        <f t="array" ref="F745">IFERROR(INDEX(EmployeeData[Age], ROW() - 37), "")</f>
        <v>52</v>
      </c>
      <c r="G745" s="6" cm="1">
        <f t="array" ref="G745">IFERROR(INDEX(EmployeeData[Join Date], ROW() - 37), "")</f>
        <v>43374</v>
      </c>
      <c r="H745" s="6" t="str" cm="1">
        <f t="array" ref="H745">IFERROR(IF(INDEX(EmployeeData[Exit Date], ROW() - 37)=0, "",INDEX(EmployeeData[Exit Date], ROW() - 37)),"")</f>
        <v/>
      </c>
      <c r="I745" s="4" t="str" cm="1">
        <f t="array" ref="I745">IFERROR(IF(INDEX(EmployeeData[Exit Reason], ROW() - 37)=0, "",INDEX(EmployeeData[Exit Reason], ROW() - 37)),"")</f>
        <v/>
      </c>
      <c r="J745" s="4" t="str" cm="1">
        <f t="array" ref="J745">IFERROR(INDEX(EmployeeData[Status], ROW() - 37), "")</f>
        <v>Active</v>
      </c>
    </row>
    <row r="746" spans="2:10" ht="19.95" customHeight="1" x14ac:dyDescent="0.3">
      <c r="B746" s="4" cm="1">
        <f t="array" ref="B746">IFERROR(INDEX(EmployeeData[Employee ID], ROW() - 37), "")</f>
        <v>1709</v>
      </c>
      <c r="C746" s="4" t="str" cm="1">
        <f t="array" ref="C746">IFERROR(INDEX(EmployeeData[Full Name], ROW() - 37), "")</f>
        <v>Kevin Cueto</v>
      </c>
      <c r="D746" s="4" t="str" cm="1">
        <f t="array" ref="D746">IFERROR(INDEX(EmployeeData[Department], ROW() - 37), "")</f>
        <v>Sales</v>
      </c>
      <c r="E746" s="4" t="str" cm="1">
        <f t="array" ref="E746">IFERROR(INDEX(EmployeeData[Gender], ROW() - 37), "")</f>
        <v>Male</v>
      </c>
      <c r="F746" s="4" cm="1">
        <f t="array" ref="F746">IFERROR(INDEX(EmployeeData[Age], ROW() - 37), "")</f>
        <v>51</v>
      </c>
      <c r="G746" s="6" cm="1">
        <f t="array" ref="G746">IFERROR(INDEX(EmployeeData[Join Date], ROW() - 37), "")</f>
        <v>45944</v>
      </c>
      <c r="H746" s="6" t="str" cm="1">
        <f t="array" ref="H746">IFERROR(IF(INDEX(EmployeeData[Exit Date], ROW() - 37)=0, "",INDEX(EmployeeData[Exit Date], ROW() - 37)),"")</f>
        <v/>
      </c>
      <c r="I746" s="4" t="str" cm="1">
        <f t="array" ref="I746">IFERROR(IF(INDEX(EmployeeData[Exit Reason], ROW() - 37)=0, "",INDEX(EmployeeData[Exit Reason], ROW() - 37)),"")</f>
        <v/>
      </c>
      <c r="J746" s="4" t="str" cm="1">
        <f t="array" ref="J746">IFERROR(INDEX(EmployeeData[Status], ROW() - 37), "")</f>
        <v>Active</v>
      </c>
    </row>
    <row r="747" spans="2:10" ht="19.95" customHeight="1" x14ac:dyDescent="0.3">
      <c r="B747" s="4" cm="1">
        <f t="array" ref="B747">IFERROR(INDEX(EmployeeData[Employee ID], ROW() - 37), "")</f>
        <v>1710</v>
      </c>
      <c r="C747" s="4" t="str" cm="1">
        <f t="array" ref="C747">IFERROR(INDEX(EmployeeData[Full Name], ROW() - 37), "")</f>
        <v>Corazon Aguilar Crisostomo</v>
      </c>
      <c r="D747" s="4" t="str" cm="1">
        <f t="array" ref="D747">IFERROR(INDEX(EmployeeData[Department], ROW() - 37), "")</f>
        <v>Customer Support</v>
      </c>
      <c r="E747" s="4" t="str" cm="1">
        <f t="array" ref="E747">IFERROR(INDEX(EmployeeData[Gender], ROW() - 37), "")</f>
        <v>Female</v>
      </c>
      <c r="F747" s="4" cm="1">
        <f t="array" ref="F747">IFERROR(INDEX(EmployeeData[Age], ROW() - 37), "")</f>
        <v>58</v>
      </c>
      <c r="G747" s="6" cm="1">
        <f t="array" ref="G747">IFERROR(INDEX(EmployeeData[Join Date], ROW() - 37), "")</f>
        <v>43340</v>
      </c>
      <c r="H747" s="6" cm="1">
        <f t="array" ref="H747">IFERROR(IF(INDEX(EmployeeData[Exit Date], ROW() - 37)=0, "",INDEX(EmployeeData[Exit Date], ROW() - 37)),"")</f>
        <v>45318</v>
      </c>
      <c r="I747" s="4" t="str" cm="1">
        <f t="array" ref="I747">IFERROR(IF(INDEX(EmployeeData[Exit Reason], ROW() - 37)=0, "",INDEX(EmployeeData[Exit Reason], ROW() - 37)),"")</f>
        <v>Resignation</v>
      </c>
      <c r="J747" s="4" t="str" cm="1">
        <f t="array" ref="J747">IFERROR(INDEX(EmployeeData[Status], ROW() - 37), "")</f>
        <v>Exited</v>
      </c>
    </row>
    <row r="748" spans="2:10" ht="19.95" customHeight="1" x14ac:dyDescent="0.3">
      <c r="B748" s="4" cm="1">
        <f t="array" ref="B748">IFERROR(INDEX(EmployeeData[Employee ID], ROW() - 37), "")</f>
        <v>1711</v>
      </c>
      <c r="C748" s="4" t="str" cm="1">
        <f t="array" ref="C748">IFERROR(INDEX(EmployeeData[Full Name], ROW() - 37), "")</f>
        <v>Ismael Lopez Fernandez</v>
      </c>
      <c r="D748" s="4" t="str" cm="1">
        <f t="array" ref="D748">IFERROR(INDEX(EmployeeData[Department], ROW() - 37), "")</f>
        <v>IT</v>
      </c>
      <c r="E748" s="4" t="str" cm="1">
        <f t="array" ref="E748">IFERROR(INDEX(EmployeeData[Gender], ROW() - 37), "")</f>
        <v>Male</v>
      </c>
      <c r="F748" s="4" cm="1">
        <f t="array" ref="F748">IFERROR(INDEX(EmployeeData[Age], ROW() - 37), "")</f>
        <v>43</v>
      </c>
      <c r="G748" s="6" cm="1">
        <f t="array" ref="G748">IFERROR(INDEX(EmployeeData[Join Date], ROW() - 37), "")</f>
        <v>43300</v>
      </c>
      <c r="H748" s="6" cm="1">
        <f t="array" ref="H748">IFERROR(IF(INDEX(EmployeeData[Exit Date], ROW() - 37)=0, "",INDEX(EmployeeData[Exit Date], ROW() - 37)),"")</f>
        <v>43704</v>
      </c>
      <c r="I748" s="4" t="str" cm="1">
        <f t="array" ref="I748">IFERROR(IF(INDEX(EmployeeData[Exit Reason], ROW() - 37)=0, "",INDEX(EmployeeData[Exit Reason], ROW() - 37)),"")</f>
        <v>Health Issues</v>
      </c>
      <c r="J748" s="4" t="str" cm="1">
        <f t="array" ref="J748">IFERROR(INDEX(EmployeeData[Status], ROW() - 37), "")</f>
        <v>Exited</v>
      </c>
    </row>
    <row r="749" spans="2:10" ht="19.95" customHeight="1" x14ac:dyDescent="0.3">
      <c r="B749" s="4" cm="1">
        <f t="array" ref="B749">IFERROR(INDEX(EmployeeData[Employee ID], ROW() - 37), "")</f>
        <v>1712</v>
      </c>
      <c r="C749" s="4" t="str" cm="1">
        <f t="array" ref="C749">IFERROR(INDEX(EmployeeData[Full Name], ROW() - 37), "")</f>
        <v>Ronaldo Vega Fernandez</v>
      </c>
      <c r="D749" s="4" t="str" cm="1">
        <f t="array" ref="D749">IFERROR(INDEX(EmployeeData[Department], ROW() - 37), "")</f>
        <v>Marketing</v>
      </c>
      <c r="E749" s="4" t="str" cm="1">
        <f t="array" ref="E749">IFERROR(INDEX(EmployeeData[Gender], ROW() - 37), "")</f>
        <v>Other</v>
      </c>
      <c r="F749" s="4" cm="1">
        <f t="array" ref="F749">IFERROR(INDEX(EmployeeData[Age], ROW() - 37), "")</f>
        <v>40</v>
      </c>
      <c r="G749" s="6" cm="1">
        <f t="array" ref="G749">IFERROR(INDEX(EmployeeData[Join Date], ROW() - 37), "")</f>
        <v>44212</v>
      </c>
      <c r="H749" s="6" t="str" cm="1">
        <f t="array" ref="H749">IFERROR(IF(INDEX(EmployeeData[Exit Date], ROW() - 37)=0, "",INDEX(EmployeeData[Exit Date], ROW() - 37)),"")</f>
        <v/>
      </c>
      <c r="I749" s="4" t="str" cm="1">
        <f t="array" ref="I749">IFERROR(IF(INDEX(EmployeeData[Exit Reason], ROW() - 37)=0, "",INDEX(EmployeeData[Exit Reason], ROW() - 37)),"")</f>
        <v/>
      </c>
      <c r="J749" s="4" t="str" cm="1">
        <f t="array" ref="J749">IFERROR(INDEX(EmployeeData[Status], ROW() - 37), "")</f>
        <v>Active</v>
      </c>
    </row>
    <row r="750" spans="2:10" ht="19.95" customHeight="1" x14ac:dyDescent="0.3">
      <c r="B750" s="4" cm="1">
        <f t="array" ref="B750">IFERROR(INDEX(EmployeeData[Employee ID], ROW() - 37), "")</f>
        <v>1713</v>
      </c>
      <c r="C750" s="4" t="str" cm="1">
        <f t="array" ref="C750">IFERROR(INDEX(EmployeeData[Full Name], ROW() - 37), "")</f>
        <v>Herminia Ramirez Lopez</v>
      </c>
      <c r="D750" s="4" t="str" cm="1">
        <f t="array" ref="D750">IFERROR(INDEX(EmployeeData[Department], ROW() - 37), "")</f>
        <v>Sales</v>
      </c>
      <c r="E750" s="4" t="str" cm="1">
        <f t="array" ref="E750">IFERROR(INDEX(EmployeeData[Gender], ROW() - 37), "")</f>
        <v>Female</v>
      </c>
      <c r="F750" s="4" cm="1">
        <f t="array" ref="F750">IFERROR(INDEX(EmployeeData[Age], ROW() - 37), "")</f>
        <v>54</v>
      </c>
      <c r="G750" s="6" cm="1">
        <f t="array" ref="G750">IFERROR(INDEX(EmployeeData[Join Date], ROW() - 37), "")</f>
        <v>44253</v>
      </c>
      <c r="H750" s="6" cm="1">
        <f t="array" ref="H750">IFERROR(IF(INDEX(EmployeeData[Exit Date], ROW() - 37)=0, "",INDEX(EmployeeData[Exit Date], ROW() - 37)),"")</f>
        <v>45336</v>
      </c>
      <c r="I750" s="4" t="str" cm="1">
        <f t="array" ref="I750">IFERROR(IF(INDEX(EmployeeData[Exit Reason], ROW() - 37)=0, "",INDEX(EmployeeData[Exit Reason], ROW() - 37)),"")</f>
        <v>Termination</v>
      </c>
      <c r="J750" s="4" t="str" cm="1">
        <f t="array" ref="J750">IFERROR(INDEX(EmployeeData[Status], ROW() - 37), "")</f>
        <v>Exited</v>
      </c>
    </row>
    <row r="751" spans="2:10" ht="19.95" customHeight="1" x14ac:dyDescent="0.3">
      <c r="B751" s="4" cm="1">
        <f t="array" ref="B751">IFERROR(INDEX(EmployeeData[Employee ID], ROW() - 37), "")</f>
        <v>1714</v>
      </c>
      <c r="C751" s="4" t="str" cm="1">
        <f t="array" ref="C751">IFERROR(INDEX(EmployeeData[Full Name], ROW() - 37), "")</f>
        <v>Teresa Fajardo</v>
      </c>
      <c r="D751" s="4" t="str" cm="1">
        <f t="array" ref="D751">IFERROR(INDEX(EmployeeData[Department], ROW() - 37), "")</f>
        <v>Sales</v>
      </c>
      <c r="E751" s="4" t="str" cm="1">
        <f t="array" ref="E751">IFERROR(INDEX(EmployeeData[Gender], ROW() - 37), "")</f>
        <v>Other</v>
      </c>
      <c r="F751" s="4" cm="1">
        <f t="array" ref="F751">IFERROR(INDEX(EmployeeData[Age], ROW() - 37), "")</f>
        <v>56</v>
      </c>
      <c r="G751" s="6" cm="1">
        <f t="array" ref="G751">IFERROR(INDEX(EmployeeData[Join Date], ROW() - 37), "")</f>
        <v>45613</v>
      </c>
      <c r="H751" s="6" t="str" cm="1">
        <f t="array" ref="H751">IFERROR(IF(INDEX(EmployeeData[Exit Date], ROW() - 37)=0, "",INDEX(EmployeeData[Exit Date], ROW() - 37)),"")</f>
        <v/>
      </c>
      <c r="I751" s="4" t="str" cm="1">
        <f t="array" ref="I751">IFERROR(IF(INDEX(EmployeeData[Exit Reason], ROW() - 37)=0, "",INDEX(EmployeeData[Exit Reason], ROW() - 37)),"")</f>
        <v/>
      </c>
      <c r="J751" s="4" t="str" cm="1">
        <f t="array" ref="J751">IFERROR(INDEX(EmployeeData[Status], ROW() - 37), "")</f>
        <v>Active</v>
      </c>
    </row>
    <row r="752" spans="2:10" ht="19.95" customHeight="1" x14ac:dyDescent="0.3">
      <c r="B752" s="4" cm="1">
        <f t="array" ref="B752">IFERROR(INDEX(EmployeeData[Employee ID], ROW() - 37), "")</f>
        <v>1715</v>
      </c>
      <c r="C752" s="4" t="str" cm="1">
        <f t="array" ref="C752">IFERROR(INDEX(EmployeeData[Full Name], ROW() - 37), "")</f>
        <v>Morgan Flores</v>
      </c>
      <c r="D752" s="4" t="str" cm="1">
        <f t="array" ref="D752">IFERROR(INDEX(EmployeeData[Department], ROW() - 37), "")</f>
        <v>HR</v>
      </c>
      <c r="E752" s="4" t="str" cm="1">
        <f t="array" ref="E752">IFERROR(INDEX(EmployeeData[Gender], ROW() - 37), "")</f>
        <v>Other</v>
      </c>
      <c r="F752" s="4" cm="1">
        <f t="array" ref="F752">IFERROR(INDEX(EmployeeData[Age], ROW() - 37), "")</f>
        <v>47</v>
      </c>
      <c r="G752" s="6" cm="1">
        <f t="array" ref="G752">IFERROR(INDEX(EmployeeData[Join Date], ROW() - 37), "")</f>
        <v>44987</v>
      </c>
      <c r="H752" s="6" t="str" cm="1">
        <f t="array" ref="H752">IFERROR(IF(INDEX(EmployeeData[Exit Date], ROW() - 37)=0, "",INDEX(EmployeeData[Exit Date], ROW() - 37)),"")</f>
        <v/>
      </c>
      <c r="I752" s="4" t="str" cm="1">
        <f t="array" ref="I752">IFERROR(IF(INDEX(EmployeeData[Exit Reason], ROW() - 37)=0, "",INDEX(EmployeeData[Exit Reason], ROW() - 37)),"")</f>
        <v/>
      </c>
      <c r="J752" s="4" t="str" cm="1">
        <f t="array" ref="J752">IFERROR(INDEX(EmployeeData[Status], ROW() - 37), "")</f>
        <v>Active</v>
      </c>
    </row>
    <row r="753" spans="2:10" ht="19.95" customHeight="1" x14ac:dyDescent="0.3">
      <c r="B753" s="4" cm="1">
        <f t="array" ref="B753">IFERROR(INDEX(EmployeeData[Employee ID], ROW() - 37), "")</f>
        <v>1716</v>
      </c>
      <c r="C753" s="4" t="str" cm="1">
        <f t="array" ref="C753">IFERROR(INDEX(EmployeeData[Full Name], ROW() - 37), "")</f>
        <v>Mae Soriano Buenaventura</v>
      </c>
      <c r="D753" s="4" t="str" cm="1">
        <f t="array" ref="D753">IFERROR(INDEX(EmployeeData[Department], ROW() - 37), "")</f>
        <v>Marketing</v>
      </c>
      <c r="E753" s="4" t="str" cm="1">
        <f t="array" ref="E753">IFERROR(INDEX(EmployeeData[Gender], ROW() - 37), "")</f>
        <v>Female</v>
      </c>
      <c r="F753" s="4" cm="1">
        <f t="array" ref="F753">IFERROR(INDEX(EmployeeData[Age], ROW() - 37), "")</f>
        <v>44</v>
      </c>
      <c r="G753" s="6" cm="1">
        <f t="array" ref="G753">IFERROR(INDEX(EmployeeData[Join Date], ROW() - 37), "")</f>
        <v>43670</v>
      </c>
      <c r="H753" s="6" t="str" cm="1">
        <f t="array" ref="H753">IFERROR(IF(INDEX(EmployeeData[Exit Date], ROW() - 37)=0, "",INDEX(EmployeeData[Exit Date], ROW() - 37)),"")</f>
        <v/>
      </c>
      <c r="I753" s="4" t="str" cm="1">
        <f t="array" ref="I753">IFERROR(IF(INDEX(EmployeeData[Exit Reason], ROW() - 37)=0, "",INDEX(EmployeeData[Exit Reason], ROW() - 37)),"")</f>
        <v/>
      </c>
      <c r="J753" s="4" t="str" cm="1">
        <f t="array" ref="J753">IFERROR(INDEX(EmployeeData[Status], ROW() - 37), "")</f>
        <v>Active</v>
      </c>
    </row>
    <row r="754" spans="2:10" ht="19.95" customHeight="1" x14ac:dyDescent="0.3">
      <c r="B754" s="4" cm="1">
        <f t="array" ref="B754">IFERROR(INDEX(EmployeeData[Employee ID], ROW() - 37), "")</f>
        <v>1717</v>
      </c>
      <c r="C754" s="4" t="str" cm="1">
        <f t="array" ref="C754">IFERROR(INDEX(EmployeeData[Full Name], ROW() - 37), "")</f>
        <v>Cameron Ramos Hernandez</v>
      </c>
      <c r="D754" s="4" t="str" cm="1">
        <f t="array" ref="D754">IFERROR(INDEX(EmployeeData[Department], ROW() - 37), "")</f>
        <v>Customer Support</v>
      </c>
      <c r="E754" s="4" t="str" cm="1">
        <f t="array" ref="E754">IFERROR(INDEX(EmployeeData[Gender], ROW() - 37), "")</f>
        <v>Other</v>
      </c>
      <c r="F754" s="4" cm="1">
        <f t="array" ref="F754">IFERROR(INDEX(EmployeeData[Age], ROW() - 37), "")</f>
        <v>35</v>
      </c>
      <c r="G754" s="6" cm="1">
        <f t="array" ref="G754">IFERROR(INDEX(EmployeeData[Join Date], ROW() - 37), "")</f>
        <v>43628</v>
      </c>
      <c r="H754" s="6" t="str" cm="1">
        <f t="array" ref="H754">IFERROR(IF(INDEX(EmployeeData[Exit Date], ROW() - 37)=0, "",INDEX(EmployeeData[Exit Date], ROW() - 37)),"")</f>
        <v/>
      </c>
      <c r="I754" s="4" t="str" cm="1">
        <f t="array" ref="I754">IFERROR(IF(INDEX(EmployeeData[Exit Reason], ROW() - 37)=0, "",INDEX(EmployeeData[Exit Reason], ROW() - 37)),"")</f>
        <v/>
      </c>
      <c r="J754" s="4" t="str" cm="1">
        <f t="array" ref="J754">IFERROR(INDEX(EmployeeData[Status], ROW() - 37), "")</f>
        <v>Active</v>
      </c>
    </row>
    <row r="755" spans="2:10" ht="19.95" customHeight="1" x14ac:dyDescent="0.3">
      <c r="B755" s="4" cm="1">
        <f t="array" ref="B755">IFERROR(INDEX(EmployeeData[Employee ID], ROW() - 37), "")</f>
        <v>1718</v>
      </c>
      <c r="C755" s="4" t="str" cm="1">
        <f t="array" ref="C755">IFERROR(INDEX(EmployeeData[Full Name], ROW() - 37), "")</f>
        <v>Morgan Chan Villanueva</v>
      </c>
      <c r="D755" s="4" t="str" cm="1">
        <f t="array" ref="D755">IFERROR(INDEX(EmployeeData[Department], ROW() - 37), "")</f>
        <v>Customer Support</v>
      </c>
      <c r="E755" s="4" t="str" cm="1">
        <f t="array" ref="E755">IFERROR(INDEX(EmployeeData[Gender], ROW() - 37), "")</f>
        <v>Other</v>
      </c>
      <c r="F755" s="4" cm="1">
        <f t="array" ref="F755">IFERROR(INDEX(EmployeeData[Age], ROW() - 37), "")</f>
        <v>48</v>
      </c>
      <c r="G755" s="6" cm="1">
        <f t="array" ref="G755">IFERROR(INDEX(EmployeeData[Join Date], ROW() - 37), "")</f>
        <v>45930</v>
      </c>
      <c r="H755" s="6" t="str" cm="1">
        <f t="array" ref="H755">IFERROR(IF(INDEX(EmployeeData[Exit Date], ROW() - 37)=0, "",INDEX(EmployeeData[Exit Date], ROW() - 37)),"")</f>
        <v/>
      </c>
      <c r="I755" s="4" t="str" cm="1">
        <f t="array" ref="I755">IFERROR(IF(INDEX(EmployeeData[Exit Reason], ROW() - 37)=0, "",INDEX(EmployeeData[Exit Reason], ROW() - 37)),"")</f>
        <v/>
      </c>
      <c r="J755" s="4" t="str" cm="1">
        <f t="array" ref="J755">IFERROR(INDEX(EmployeeData[Status], ROW() - 37), "")</f>
        <v>Active</v>
      </c>
    </row>
    <row r="756" spans="2:10" ht="19.95" customHeight="1" x14ac:dyDescent="0.3">
      <c r="B756" s="4" cm="1">
        <f t="array" ref="B756">IFERROR(INDEX(EmployeeData[Employee ID], ROW() - 37), "")</f>
        <v>1719</v>
      </c>
      <c r="C756" s="4" t="str" cm="1">
        <f t="array" ref="C756">IFERROR(INDEX(EmployeeData[Full Name], ROW() - 37), "")</f>
        <v>Lea Torres Ong</v>
      </c>
      <c r="D756" s="4" t="str" cm="1">
        <f t="array" ref="D756">IFERROR(INDEX(EmployeeData[Department], ROW() - 37), "")</f>
        <v>HR</v>
      </c>
      <c r="E756" s="4" t="str" cm="1">
        <f t="array" ref="E756">IFERROR(INDEX(EmployeeData[Gender], ROW() - 37), "")</f>
        <v>Female</v>
      </c>
      <c r="F756" s="4" cm="1">
        <f t="array" ref="F756">IFERROR(INDEX(EmployeeData[Age], ROW() - 37), "")</f>
        <v>27</v>
      </c>
      <c r="G756" s="6" cm="1">
        <f t="array" ref="G756">IFERROR(INDEX(EmployeeData[Join Date], ROW() - 37), "")</f>
        <v>43235</v>
      </c>
      <c r="H756" s="6" t="str" cm="1">
        <f t="array" ref="H756">IFERROR(IF(INDEX(EmployeeData[Exit Date], ROW() - 37)=0, "",INDEX(EmployeeData[Exit Date], ROW() - 37)),"")</f>
        <v/>
      </c>
      <c r="I756" s="4" t="str" cm="1">
        <f t="array" ref="I756">IFERROR(IF(INDEX(EmployeeData[Exit Reason], ROW() - 37)=0, "",INDEX(EmployeeData[Exit Reason], ROW() - 37)),"")</f>
        <v/>
      </c>
      <c r="J756" s="4" t="str" cm="1">
        <f t="array" ref="J756">IFERROR(INDEX(EmployeeData[Status], ROW() - 37), "")</f>
        <v>Active</v>
      </c>
    </row>
    <row r="757" spans="2:10" ht="19.95" customHeight="1" x14ac:dyDescent="0.3">
      <c r="B757" s="4" cm="1">
        <f t="array" ref="B757">IFERROR(INDEX(EmployeeData[Employee ID], ROW() - 37), "")</f>
        <v>1720</v>
      </c>
      <c r="C757" s="4" t="str" cm="1">
        <f t="array" ref="C757">IFERROR(INDEX(EmployeeData[Full Name], ROW() - 37), "")</f>
        <v>Natividad Ong</v>
      </c>
      <c r="D757" s="4" t="str" cm="1">
        <f t="array" ref="D757">IFERROR(INDEX(EmployeeData[Department], ROW() - 37), "")</f>
        <v>Finance</v>
      </c>
      <c r="E757" s="4" t="str" cm="1">
        <f t="array" ref="E757">IFERROR(INDEX(EmployeeData[Gender], ROW() - 37), "")</f>
        <v>Female</v>
      </c>
      <c r="F757" s="4" cm="1">
        <f t="array" ref="F757">IFERROR(INDEX(EmployeeData[Age], ROW() - 37), "")</f>
        <v>40</v>
      </c>
      <c r="G757" s="6" cm="1">
        <f t="array" ref="G757">IFERROR(INDEX(EmployeeData[Join Date], ROW() - 37), "")</f>
        <v>45835</v>
      </c>
      <c r="H757" s="6" cm="1">
        <f t="array" ref="H757">IFERROR(IF(INDEX(EmployeeData[Exit Date], ROW() - 37)=0, "",INDEX(EmployeeData[Exit Date], ROW() - 37)),"")</f>
        <v>45974</v>
      </c>
      <c r="I757" s="4" t="str" cm="1">
        <f t="array" ref="I757">IFERROR(IF(INDEX(EmployeeData[Exit Reason], ROW() - 37)=0, "",INDEX(EmployeeData[Exit Reason], ROW() - 37)),"")</f>
        <v>Resignation</v>
      </c>
      <c r="J757" s="4" t="str" cm="1">
        <f t="array" ref="J757">IFERROR(INDEX(EmployeeData[Status], ROW() - 37), "")</f>
        <v>Exited</v>
      </c>
    </row>
    <row r="758" spans="2:10" ht="19.95" customHeight="1" x14ac:dyDescent="0.3">
      <c r="B758" s="4" cm="1">
        <f t="array" ref="B758">IFERROR(INDEX(EmployeeData[Employee ID], ROW() - 37), "")</f>
        <v>1721</v>
      </c>
      <c r="C758" s="4" t="str" cm="1">
        <f t="array" ref="C758">IFERROR(INDEX(EmployeeData[Full Name], ROW() - 37), "")</f>
        <v>Vicente Lopez Narvasa</v>
      </c>
      <c r="D758" s="4" t="str" cm="1">
        <f t="array" ref="D758">IFERROR(INDEX(EmployeeData[Department], ROW() - 37), "")</f>
        <v>Customer Support</v>
      </c>
      <c r="E758" s="4" t="str" cm="1">
        <f t="array" ref="E758">IFERROR(INDEX(EmployeeData[Gender], ROW() - 37), "")</f>
        <v>Male</v>
      </c>
      <c r="F758" s="4" cm="1">
        <f t="array" ref="F758">IFERROR(INDEX(EmployeeData[Age], ROW() - 37), "")</f>
        <v>26</v>
      </c>
      <c r="G758" s="6" cm="1">
        <f t="array" ref="G758">IFERROR(INDEX(EmployeeData[Join Date], ROW() - 37), "")</f>
        <v>43697</v>
      </c>
      <c r="H758" s="6" t="str" cm="1">
        <f t="array" ref="H758">IFERROR(IF(INDEX(EmployeeData[Exit Date], ROW() - 37)=0, "",INDEX(EmployeeData[Exit Date], ROW() - 37)),"")</f>
        <v/>
      </c>
      <c r="I758" s="4" t="str" cm="1">
        <f t="array" ref="I758">IFERROR(IF(INDEX(EmployeeData[Exit Reason], ROW() - 37)=0, "",INDEX(EmployeeData[Exit Reason], ROW() - 37)),"")</f>
        <v/>
      </c>
      <c r="J758" s="4" t="str" cm="1">
        <f t="array" ref="J758">IFERROR(INDEX(EmployeeData[Status], ROW() - 37), "")</f>
        <v>Active</v>
      </c>
    </row>
    <row r="759" spans="2:10" ht="19.95" customHeight="1" x14ac:dyDescent="0.3">
      <c r="B759" s="4" cm="1">
        <f t="array" ref="B759">IFERROR(INDEX(EmployeeData[Employee ID], ROW() - 37), "")</f>
        <v>1722</v>
      </c>
      <c r="C759" s="4" t="str" cm="1">
        <f t="array" ref="C759">IFERROR(INDEX(EmployeeData[Full Name], ROW() - 37), "")</f>
        <v>Taylor Narvasa</v>
      </c>
      <c r="D759" s="4" t="str" cm="1">
        <f t="array" ref="D759">IFERROR(INDEX(EmployeeData[Department], ROW() - 37), "")</f>
        <v>Sales</v>
      </c>
      <c r="E759" s="4" t="str" cm="1">
        <f t="array" ref="E759">IFERROR(INDEX(EmployeeData[Gender], ROW() - 37), "")</f>
        <v>Other</v>
      </c>
      <c r="F759" s="4" cm="1">
        <f t="array" ref="F759">IFERROR(INDEX(EmployeeData[Age], ROW() - 37), "")</f>
        <v>36</v>
      </c>
      <c r="G759" s="6" cm="1">
        <f t="array" ref="G759">IFERROR(INDEX(EmployeeData[Join Date], ROW() - 37), "")</f>
        <v>45169</v>
      </c>
      <c r="H759" s="6" t="str" cm="1">
        <f t="array" ref="H759">IFERROR(IF(INDEX(EmployeeData[Exit Date], ROW() - 37)=0, "",INDEX(EmployeeData[Exit Date], ROW() - 37)),"")</f>
        <v/>
      </c>
      <c r="I759" s="4" t="str" cm="1">
        <f t="array" ref="I759">IFERROR(IF(INDEX(EmployeeData[Exit Reason], ROW() - 37)=0, "",INDEX(EmployeeData[Exit Reason], ROW() - 37)),"")</f>
        <v/>
      </c>
      <c r="J759" s="4" t="str" cm="1">
        <f t="array" ref="J759">IFERROR(INDEX(EmployeeData[Status], ROW() - 37), "")</f>
        <v>Active</v>
      </c>
    </row>
    <row r="760" spans="2:10" ht="19.95" customHeight="1" x14ac:dyDescent="0.3">
      <c r="B760" s="4" cm="1">
        <f t="array" ref="B760">IFERROR(INDEX(EmployeeData[Employee ID], ROW() - 37), "")</f>
        <v>1723</v>
      </c>
      <c r="C760" s="4" t="str" cm="1">
        <f t="array" ref="C760">IFERROR(INDEX(EmployeeData[Full Name], ROW() - 37), "")</f>
        <v>Gloria Santos</v>
      </c>
      <c r="D760" s="4" t="str" cm="1">
        <f t="array" ref="D760">IFERROR(INDEX(EmployeeData[Department], ROW() - 37), "")</f>
        <v>Marketing</v>
      </c>
      <c r="E760" s="4" t="str" cm="1">
        <f t="array" ref="E760">IFERROR(INDEX(EmployeeData[Gender], ROW() - 37), "")</f>
        <v>Other</v>
      </c>
      <c r="F760" s="4" cm="1">
        <f t="array" ref="F760">IFERROR(INDEX(EmployeeData[Age], ROW() - 37), "")</f>
        <v>39</v>
      </c>
      <c r="G760" s="6" cm="1">
        <f t="array" ref="G760">IFERROR(INDEX(EmployeeData[Join Date], ROW() - 37), "")</f>
        <v>43804</v>
      </c>
      <c r="H760" s="6" t="str" cm="1">
        <f t="array" ref="H760">IFERROR(IF(INDEX(EmployeeData[Exit Date], ROW() - 37)=0, "",INDEX(EmployeeData[Exit Date], ROW() - 37)),"")</f>
        <v/>
      </c>
      <c r="I760" s="4" t="str" cm="1">
        <f t="array" ref="I760">IFERROR(IF(INDEX(EmployeeData[Exit Reason], ROW() - 37)=0, "",INDEX(EmployeeData[Exit Reason], ROW() - 37)),"")</f>
        <v/>
      </c>
      <c r="J760" s="4" t="str" cm="1">
        <f t="array" ref="J760">IFERROR(INDEX(EmployeeData[Status], ROW() - 37), "")</f>
        <v>Active</v>
      </c>
    </row>
    <row r="761" spans="2:10" ht="19.95" customHeight="1" x14ac:dyDescent="0.3">
      <c r="B761" s="4" cm="1">
        <f t="array" ref="B761">IFERROR(INDEX(EmployeeData[Employee ID], ROW() - 37), "")</f>
        <v>1724</v>
      </c>
      <c r="C761" s="4" t="str" cm="1">
        <f t="array" ref="C761">IFERROR(INDEX(EmployeeData[Full Name], ROW() - 37), "")</f>
        <v>Kristina Manalo</v>
      </c>
      <c r="D761" s="4" t="str" cm="1">
        <f t="array" ref="D761">IFERROR(INDEX(EmployeeData[Department], ROW() - 37), "")</f>
        <v>Customer Support</v>
      </c>
      <c r="E761" s="4" t="str" cm="1">
        <f t="array" ref="E761">IFERROR(INDEX(EmployeeData[Gender], ROW() - 37), "")</f>
        <v>Female</v>
      </c>
      <c r="F761" s="4" cm="1">
        <f t="array" ref="F761">IFERROR(INDEX(EmployeeData[Age], ROW() - 37), "")</f>
        <v>53</v>
      </c>
      <c r="G761" s="6" cm="1">
        <f t="array" ref="G761">IFERROR(INDEX(EmployeeData[Join Date], ROW() - 37), "")</f>
        <v>45999</v>
      </c>
      <c r="H761" s="6" t="str" cm="1">
        <f t="array" ref="H761">IFERROR(IF(INDEX(EmployeeData[Exit Date], ROW() - 37)=0, "",INDEX(EmployeeData[Exit Date], ROW() - 37)),"")</f>
        <v/>
      </c>
      <c r="I761" s="4" t="str" cm="1">
        <f t="array" ref="I761">IFERROR(IF(INDEX(EmployeeData[Exit Reason], ROW() - 37)=0, "",INDEX(EmployeeData[Exit Reason], ROW() - 37)),"")</f>
        <v/>
      </c>
      <c r="J761" s="4" t="str" cm="1">
        <f t="array" ref="J761">IFERROR(INDEX(EmployeeData[Status], ROW() - 37), "")</f>
        <v>Active</v>
      </c>
    </row>
    <row r="762" spans="2:10" ht="19.95" customHeight="1" x14ac:dyDescent="0.3">
      <c r="B762" s="4" cm="1">
        <f t="array" ref="B762">IFERROR(INDEX(EmployeeData[Employee ID], ROW() - 37), "")</f>
        <v>1725</v>
      </c>
      <c r="C762" s="4" t="str" cm="1">
        <f t="array" ref="C762">IFERROR(INDEX(EmployeeData[Full Name], ROW() - 37), "")</f>
        <v>Rodel Ramos Castro</v>
      </c>
      <c r="D762" s="4" t="str" cm="1">
        <f t="array" ref="D762">IFERROR(INDEX(EmployeeData[Department], ROW() - 37), "")</f>
        <v>Customer Support</v>
      </c>
      <c r="E762" s="4" t="str" cm="1">
        <f t="array" ref="E762">IFERROR(INDEX(EmployeeData[Gender], ROW() - 37), "")</f>
        <v>Other</v>
      </c>
      <c r="F762" s="4" cm="1">
        <f t="array" ref="F762">IFERROR(INDEX(EmployeeData[Age], ROW() - 37), "")</f>
        <v>45</v>
      </c>
      <c r="G762" s="6" cm="1">
        <f t="array" ref="G762">IFERROR(INDEX(EmployeeData[Join Date], ROW() - 37), "")</f>
        <v>44838</v>
      </c>
      <c r="H762" s="6" cm="1">
        <f t="array" ref="H762">IFERROR(IF(INDEX(EmployeeData[Exit Date], ROW() - 37)=0, "",INDEX(EmployeeData[Exit Date], ROW() - 37)),"")</f>
        <v>45394</v>
      </c>
      <c r="I762" s="4" t="str" cm="1">
        <f t="array" ref="I762">IFERROR(IF(INDEX(EmployeeData[Exit Reason], ROW() - 37)=0, "",INDEX(EmployeeData[Exit Reason], ROW() - 37)),"")</f>
        <v>Termination</v>
      </c>
      <c r="J762" s="4" t="str" cm="1">
        <f t="array" ref="J762">IFERROR(INDEX(EmployeeData[Status], ROW() - 37), "")</f>
        <v>Exited</v>
      </c>
    </row>
    <row r="763" spans="2:10" ht="19.95" customHeight="1" x14ac:dyDescent="0.3">
      <c r="B763" s="4" cm="1">
        <f t="array" ref="B763">IFERROR(INDEX(EmployeeData[Employee ID], ROW() - 37), "")</f>
        <v>1726</v>
      </c>
      <c r="C763" s="4" t="str" cm="1">
        <f t="array" ref="C763">IFERROR(INDEX(EmployeeData[Full Name], ROW() - 37), "")</f>
        <v>Rodel Rivera Dalisay</v>
      </c>
      <c r="D763" s="4" t="str" cm="1">
        <f t="array" ref="D763">IFERROR(INDEX(EmployeeData[Department], ROW() - 37), "")</f>
        <v>Marketing</v>
      </c>
      <c r="E763" s="4" t="str" cm="1">
        <f t="array" ref="E763">IFERROR(INDEX(EmployeeData[Gender], ROW() - 37), "")</f>
        <v>Male</v>
      </c>
      <c r="F763" s="4" cm="1">
        <f t="array" ref="F763">IFERROR(INDEX(EmployeeData[Age], ROW() - 37), "")</f>
        <v>39</v>
      </c>
      <c r="G763" s="6" cm="1">
        <f t="array" ref="G763">IFERROR(INDEX(EmployeeData[Join Date], ROW() - 37), "")</f>
        <v>45383</v>
      </c>
      <c r="H763" s="6" t="str" cm="1">
        <f t="array" ref="H763">IFERROR(IF(INDEX(EmployeeData[Exit Date], ROW() - 37)=0, "",INDEX(EmployeeData[Exit Date], ROW() - 37)),"")</f>
        <v/>
      </c>
      <c r="I763" s="4" t="str" cm="1">
        <f t="array" ref="I763">IFERROR(IF(INDEX(EmployeeData[Exit Reason], ROW() - 37)=0, "",INDEX(EmployeeData[Exit Reason], ROW() - 37)),"")</f>
        <v/>
      </c>
      <c r="J763" s="4" t="str" cm="1">
        <f t="array" ref="J763">IFERROR(INDEX(EmployeeData[Status], ROW() - 37), "")</f>
        <v>Active</v>
      </c>
    </row>
    <row r="764" spans="2:10" ht="19.95" customHeight="1" x14ac:dyDescent="0.3">
      <c r="B764" s="4" cm="1">
        <f t="array" ref="B764">IFERROR(INDEX(EmployeeData[Employee ID], ROW() - 37), "")</f>
        <v>1727</v>
      </c>
      <c r="C764" s="4" t="str" cm="1">
        <f t="array" ref="C764">IFERROR(INDEX(EmployeeData[Full Name], ROW() - 37), "")</f>
        <v>Victor Pascual Tan</v>
      </c>
      <c r="D764" s="4" t="str" cm="1">
        <f t="array" ref="D764">IFERROR(INDEX(EmployeeData[Department], ROW() - 37), "")</f>
        <v>IT</v>
      </c>
      <c r="E764" s="4" t="str" cm="1">
        <f t="array" ref="E764">IFERROR(INDEX(EmployeeData[Gender], ROW() - 37), "")</f>
        <v>Male</v>
      </c>
      <c r="F764" s="4" cm="1">
        <f t="array" ref="F764">IFERROR(INDEX(EmployeeData[Age], ROW() - 37), "")</f>
        <v>40</v>
      </c>
      <c r="G764" s="6" cm="1">
        <f t="array" ref="G764">IFERROR(INDEX(EmployeeData[Join Date], ROW() - 37), "")</f>
        <v>45915</v>
      </c>
      <c r="H764" s="6" t="str" cm="1">
        <f t="array" ref="H764">IFERROR(IF(INDEX(EmployeeData[Exit Date], ROW() - 37)=0, "",INDEX(EmployeeData[Exit Date], ROW() - 37)),"")</f>
        <v/>
      </c>
      <c r="I764" s="4" t="str" cm="1">
        <f t="array" ref="I764">IFERROR(IF(INDEX(EmployeeData[Exit Reason], ROW() - 37)=0, "",INDEX(EmployeeData[Exit Reason], ROW() - 37)),"")</f>
        <v/>
      </c>
      <c r="J764" s="4" t="str" cm="1">
        <f t="array" ref="J764">IFERROR(INDEX(EmployeeData[Status], ROW() - 37), "")</f>
        <v>Active</v>
      </c>
    </row>
    <row r="765" spans="2:10" ht="19.95" customHeight="1" x14ac:dyDescent="0.3">
      <c r="B765" s="4" cm="1">
        <f t="array" ref="B765">IFERROR(INDEX(EmployeeData[Employee ID], ROW() - 37), "")</f>
        <v>1728</v>
      </c>
      <c r="C765" s="4" t="str" cm="1">
        <f t="array" ref="C765">IFERROR(INDEX(EmployeeData[Full Name], ROW() - 37), "")</f>
        <v>Kevin Ang Soriano</v>
      </c>
      <c r="D765" s="4" t="str" cm="1">
        <f t="array" ref="D765">IFERROR(INDEX(EmployeeData[Department], ROW() - 37), "")</f>
        <v>Finance</v>
      </c>
      <c r="E765" s="4" t="str" cm="1">
        <f t="array" ref="E765">IFERROR(INDEX(EmployeeData[Gender], ROW() - 37), "")</f>
        <v>Male</v>
      </c>
      <c r="F765" s="4" cm="1">
        <f t="array" ref="F765">IFERROR(INDEX(EmployeeData[Age], ROW() - 37), "")</f>
        <v>25</v>
      </c>
      <c r="G765" s="6" cm="1">
        <f t="array" ref="G765">IFERROR(INDEX(EmployeeData[Join Date], ROW() - 37), "")</f>
        <v>45049</v>
      </c>
      <c r="H765" s="6" t="str" cm="1">
        <f t="array" ref="H765">IFERROR(IF(INDEX(EmployeeData[Exit Date], ROW() - 37)=0, "",INDEX(EmployeeData[Exit Date], ROW() - 37)),"")</f>
        <v/>
      </c>
      <c r="I765" s="4" t="str" cm="1">
        <f t="array" ref="I765">IFERROR(IF(INDEX(EmployeeData[Exit Reason], ROW() - 37)=0, "",INDEX(EmployeeData[Exit Reason], ROW() - 37)),"")</f>
        <v/>
      </c>
      <c r="J765" s="4" t="str" cm="1">
        <f t="array" ref="J765">IFERROR(INDEX(EmployeeData[Status], ROW() - 37), "")</f>
        <v>Active</v>
      </c>
    </row>
    <row r="766" spans="2:10" ht="19.95" customHeight="1" x14ac:dyDescent="0.3">
      <c r="B766" s="4" cm="1">
        <f t="array" ref="B766">IFERROR(INDEX(EmployeeData[Employee ID], ROW() - 37), "")</f>
        <v>1729</v>
      </c>
      <c r="C766" s="4" t="str" cm="1">
        <f t="array" ref="C766">IFERROR(INDEX(EmployeeData[Full Name], ROW() - 37), "")</f>
        <v>Joselito Mendoza Mercado</v>
      </c>
      <c r="D766" s="4" t="str" cm="1">
        <f t="array" ref="D766">IFERROR(INDEX(EmployeeData[Department], ROW() - 37), "")</f>
        <v>HR</v>
      </c>
      <c r="E766" s="4" t="str" cm="1">
        <f t="array" ref="E766">IFERROR(INDEX(EmployeeData[Gender], ROW() - 37), "")</f>
        <v>Male</v>
      </c>
      <c r="F766" s="4" cm="1">
        <f t="array" ref="F766">IFERROR(INDEX(EmployeeData[Age], ROW() - 37), "")</f>
        <v>54</v>
      </c>
      <c r="G766" s="6" cm="1">
        <f t="array" ref="G766">IFERROR(INDEX(EmployeeData[Join Date], ROW() - 37), "")</f>
        <v>45798</v>
      </c>
      <c r="H766" s="6" t="str" cm="1">
        <f t="array" ref="H766">IFERROR(IF(INDEX(EmployeeData[Exit Date], ROW() - 37)=0, "",INDEX(EmployeeData[Exit Date], ROW() - 37)),"")</f>
        <v/>
      </c>
      <c r="I766" s="4" t="str" cm="1">
        <f t="array" ref="I766">IFERROR(IF(INDEX(EmployeeData[Exit Reason], ROW() - 37)=0, "",INDEX(EmployeeData[Exit Reason], ROW() - 37)),"")</f>
        <v/>
      </c>
      <c r="J766" s="4" t="str" cm="1">
        <f t="array" ref="J766">IFERROR(INDEX(EmployeeData[Status], ROW() - 37), "")</f>
        <v>Active</v>
      </c>
    </row>
    <row r="767" spans="2:10" ht="19.95" customHeight="1" x14ac:dyDescent="0.3">
      <c r="B767" s="4" cm="1">
        <f t="array" ref="B767">IFERROR(INDEX(EmployeeData[Employee ID], ROW() - 37), "")</f>
        <v>1730</v>
      </c>
      <c r="C767" s="4" t="str" cm="1">
        <f t="array" ref="C767">IFERROR(INDEX(EmployeeData[Full Name], ROW() - 37), "")</f>
        <v>Morgan Lim</v>
      </c>
      <c r="D767" s="4" t="str" cm="1">
        <f t="array" ref="D767">IFERROR(INDEX(EmployeeData[Department], ROW() - 37), "")</f>
        <v>HR</v>
      </c>
      <c r="E767" s="4" t="str" cm="1">
        <f t="array" ref="E767">IFERROR(INDEX(EmployeeData[Gender], ROW() - 37), "")</f>
        <v>Other</v>
      </c>
      <c r="F767" s="4" cm="1">
        <f t="array" ref="F767">IFERROR(INDEX(EmployeeData[Age], ROW() - 37), "")</f>
        <v>62</v>
      </c>
      <c r="G767" s="6" cm="1">
        <f t="array" ref="G767">IFERROR(INDEX(EmployeeData[Join Date], ROW() - 37), "")</f>
        <v>43366</v>
      </c>
      <c r="H767" s="6" cm="1">
        <f t="array" ref="H767">IFERROR(IF(INDEX(EmployeeData[Exit Date], ROW() - 37)=0, "",INDEX(EmployeeData[Exit Date], ROW() - 37)),"")</f>
        <v>44271</v>
      </c>
      <c r="I767" s="4" t="str" cm="1">
        <f t="array" ref="I767">IFERROR(IF(INDEX(EmployeeData[Exit Reason], ROW() - 37)=0, "",INDEX(EmployeeData[Exit Reason], ROW() - 37)),"")</f>
        <v>Retirement</v>
      </c>
      <c r="J767" s="4" t="str" cm="1">
        <f t="array" ref="J767">IFERROR(INDEX(EmployeeData[Status], ROW() - 37), "")</f>
        <v>Exited</v>
      </c>
    </row>
    <row r="768" spans="2:10" ht="19.95" customHeight="1" x14ac:dyDescent="0.3">
      <c r="B768" s="4" cm="1">
        <f t="array" ref="B768">IFERROR(INDEX(EmployeeData[Employee ID], ROW() - 37), "")</f>
        <v>1731</v>
      </c>
      <c r="C768" s="4" t="str" cm="1">
        <f t="array" ref="C768">IFERROR(INDEX(EmployeeData[Full Name], ROW() - 37), "")</f>
        <v>Vanessa Fernandez Viray</v>
      </c>
      <c r="D768" s="4" t="str" cm="1">
        <f t="array" ref="D768">IFERROR(INDEX(EmployeeData[Department], ROW() - 37), "")</f>
        <v>HR</v>
      </c>
      <c r="E768" s="4" t="str" cm="1">
        <f t="array" ref="E768">IFERROR(INDEX(EmployeeData[Gender], ROW() - 37), "")</f>
        <v>Female</v>
      </c>
      <c r="F768" s="4" cm="1">
        <f t="array" ref="F768">IFERROR(INDEX(EmployeeData[Age], ROW() - 37), "")</f>
        <v>58</v>
      </c>
      <c r="G768" s="6" cm="1">
        <f t="array" ref="G768">IFERROR(INDEX(EmployeeData[Join Date], ROW() - 37), "")</f>
        <v>45532</v>
      </c>
      <c r="H768" s="6" cm="1">
        <f t="array" ref="H768">IFERROR(IF(INDEX(EmployeeData[Exit Date], ROW() - 37)=0, "",INDEX(EmployeeData[Exit Date], ROW() - 37)),"")</f>
        <v>46031</v>
      </c>
      <c r="I768" s="4" t="str" cm="1">
        <f t="array" ref="I768">IFERROR(IF(INDEX(EmployeeData[Exit Reason], ROW() - 37)=0, "",INDEX(EmployeeData[Exit Reason], ROW() - 37)),"")</f>
        <v>Termination</v>
      </c>
      <c r="J768" s="4" t="str" cm="1">
        <f t="array" ref="J768">IFERROR(INDEX(EmployeeData[Status], ROW() - 37), "")</f>
        <v>Exited</v>
      </c>
    </row>
    <row r="769" spans="2:10" ht="19.95" customHeight="1" x14ac:dyDescent="0.3">
      <c r="B769" s="4" cm="1">
        <f t="array" ref="B769">IFERROR(INDEX(EmployeeData[Employee ID], ROW() - 37), "")</f>
        <v>1732</v>
      </c>
      <c r="C769" s="4" t="str" cm="1">
        <f t="array" ref="C769">IFERROR(INDEX(EmployeeData[Full Name], ROW() - 37), "")</f>
        <v>Corazon Bautista Bautista</v>
      </c>
      <c r="D769" s="4" t="str" cm="1">
        <f t="array" ref="D769">IFERROR(INDEX(EmployeeData[Department], ROW() - 37), "")</f>
        <v>HR</v>
      </c>
      <c r="E769" s="4" t="str" cm="1">
        <f t="array" ref="E769">IFERROR(INDEX(EmployeeData[Gender], ROW() - 37), "")</f>
        <v>Female</v>
      </c>
      <c r="F769" s="4" cm="1">
        <f t="array" ref="F769">IFERROR(INDEX(EmployeeData[Age], ROW() - 37), "")</f>
        <v>37</v>
      </c>
      <c r="G769" s="6" cm="1">
        <f t="array" ref="G769">IFERROR(INDEX(EmployeeData[Join Date], ROW() - 37), "")</f>
        <v>45105</v>
      </c>
      <c r="H769" s="6" t="str" cm="1">
        <f t="array" ref="H769">IFERROR(IF(INDEX(EmployeeData[Exit Date], ROW() - 37)=0, "",INDEX(EmployeeData[Exit Date], ROW() - 37)),"")</f>
        <v/>
      </c>
      <c r="I769" s="4" t="str" cm="1">
        <f t="array" ref="I769">IFERROR(IF(INDEX(EmployeeData[Exit Reason], ROW() - 37)=0, "",INDEX(EmployeeData[Exit Reason], ROW() - 37)),"")</f>
        <v/>
      </c>
      <c r="J769" s="4" t="str" cm="1">
        <f t="array" ref="J769">IFERROR(INDEX(EmployeeData[Status], ROW() - 37), "")</f>
        <v>Active</v>
      </c>
    </row>
    <row r="770" spans="2:10" ht="19.95" customHeight="1" x14ac:dyDescent="0.3">
      <c r="B770" s="4" cm="1">
        <f t="array" ref="B770">IFERROR(INDEX(EmployeeData[Employee ID], ROW() - 37), "")</f>
        <v>1733</v>
      </c>
      <c r="C770" s="4" t="str" cm="1">
        <f t="array" ref="C770">IFERROR(INDEX(EmployeeData[Full Name], ROW() - 37), "")</f>
        <v>Elmer Mendoza Domingo</v>
      </c>
      <c r="D770" s="4" t="str" cm="1">
        <f t="array" ref="D770">IFERROR(INDEX(EmployeeData[Department], ROW() - 37), "")</f>
        <v>Sales</v>
      </c>
      <c r="E770" s="4" t="str" cm="1">
        <f t="array" ref="E770">IFERROR(INDEX(EmployeeData[Gender], ROW() - 37), "")</f>
        <v>Male</v>
      </c>
      <c r="F770" s="4" cm="1">
        <f t="array" ref="F770">IFERROR(INDEX(EmployeeData[Age], ROW() - 37), "")</f>
        <v>22</v>
      </c>
      <c r="G770" s="6" cm="1">
        <f t="array" ref="G770">IFERROR(INDEX(EmployeeData[Join Date], ROW() - 37), "")</f>
        <v>43834</v>
      </c>
      <c r="H770" s="6" t="str" cm="1">
        <f t="array" ref="H770">IFERROR(IF(INDEX(EmployeeData[Exit Date], ROW() - 37)=0, "",INDEX(EmployeeData[Exit Date], ROW() - 37)),"")</f>
        <v/>
      </c>
      <c r="I770" s="4" t="str" cm="1">
        <f t="array" ref="I770">IFERROR(IF(INDEX(EmployeeData[Exit Reason], ROW() - 37)=0, "",INDEX(EmployeeData[Exit Reason], ROW() - 37)),"")</f>
        <v/>
      </c>
      <c r="J770" s="4" t="str" cm="1">
        <f t="array" ref="J770">IFERROR(INDEX(EmployeeData[Status], ROW() - 37), "")</f>
        <v>Active</v>
      </c>
    </row>
    <row r="771" spans="2:10" ht="19.95" customHeight="1" x14ac:dyDescent="0.3">
      <c r="B771" s="4" cm="1">
        <f t="array" ref="B771">IFERROR(INDEX(EmployeeData[Employee ID], ROW() - 37), "")</f>
        <v>1734</v>
      </c>
      <c r="C771" s="4" t="str" cm="1">
        <f t="array" ref="C771">IFERROR(INDEX(EmployeeData[Full Name], ROW() - 37), "")</f>
        <v>Kristoffer Chua</v>
      </c>
      <c r="D771" s="4" t="str" cm="1">
        <f t="array" ref="D771">IFERROR(INDEX(EmployeeData[Department], ROW() - 37), "")</f>
        <v>HR</v>
      </c>
      <c r="E771" s="4" t="str" cm="1">
        <f t="array" ref="E771">IFERROR(INDEX(EmployeeData[Gender], ROW() - 37), "")</f>
        <v>Male</v>
      </c>
      <c r="F771" s="4" cm="1">
        <f t="array" ref="F771">IFERROR(INDEX(EmployeeData[Age], ROW() - 37), "")</f>
        <v>54</v>
      </c>
      <c r="G771" s="6" cm="1">
        <f t="array" ref="G771">IFERROR(INDEX(EmployeeData[Join Date], ROW() - 37), "")</f>
        <v>45117</v>
      </c>
      <c r="H771" s="6" t="str" cm="1">
        <f t="array" ref="H771">IFERROR(IF(INDEX(EmployeeData[Exit Date], ROW() - 37)=0, "",INDEX(EmployeeData[Exit Date], ROW() - 37)),"")</f>
        <v/>
      </c>
      <c r="I771" s="4" t="str" cm="1">
        <f t="array" ref="I771">IFERROR(IF(INDEX(EmployeeData[Exit Reason], ROW() - 37)=0, "",INDEX(EmployeeData[Exit Reason], ROW() - 37)),"")</f>
        <v/>
      </c>
      <c r="J771" s="4" t="str" cm="1">
        <f t="array" ref="J771">IFERROR(INDEX(EmployeeData[Status], ROW() - 37), "")</f>
        <v>Active</v>
      </c>
    </row>
    <row r="772" spans="2:10" ht="19.95" customHeight="1" x14ac:dyDescent="0.3">
      <c r="B772" s="4" cm="1">
        <f t="array" ref="B772">IFERROR(INDEX(EmployeeData[Employee ID], ROW() - 37), "")</f>
        <v>1735</v>
      </c>
      <c r="C772" s="4" t="str" cm="1">
        <f t="array" ref="C772">IFERROR(INDEX(EmployeeData[Full Name], ROW() - 37), "")</f>
        <v>Carmen Lacson</v>
      </c>
      <c r="D772" s="4" t="str" cm="1">
        <f t="array" ref="D772">IFERROR(INDEX(EmployeeData[Department], ROW() - 37), "")</f>
        <v>Marketing</v>
      </c>
      <c r="E772" s="4" t="str" cm="1">
        <f t="array" ref="E772">IFERROR(INDEX(EmployeeData[Gender], ROW() - 37), "")</f>
        <v>Female</v>
      </c>
      <c r="F772" s="4" cm="1">
        <f t="array" ref="F772">IFERROR(INDEX(EmployeeData[Age], ROW() - 37), "")</f>
        <v>42</v>
      </c>
      <c r="G772" s="6" cm="1">
        <f t="array" ref="G772">IFERROR(INDEX(EmployeeData[Join Date], ROW() - 37), "")</f>
        <v>45315</v>
      </c>
      <c r="H772" s="6" t="str" cm="1">
        <f t="array" ref="H772">IFERROR(IF(INDEX(EmployeeData[Exit Date], ROW() - 37)=0, "",INDEX(EmployeeData[Exit Date], ROW() - 37)),"")</f>
        <v/>
      </c>
      <c r="I772" s="4" t="str" cm="1">
        <f t="array" ref="I772">IFERROR(IF(INDEX(EmployeeData[Exit Reason], ROW() - 37)=0, "",INDEX(EmployeeData[Exit Reason], ROW() - 37)),"")</f>
        <v/>
      </c>
      <c r="J772" s="4" t="str" cm="1">
        <f t="array" ref="J772">IFERROR(INDEX(EmployeeData[Status], ROW() - 37), "")</f>
        <v>Active</v>
      </c>
    </row>
    <row r="773" spans="2:10" ht="19.95" customHeight="1" x14ac:dyDescent="0.3">
      <c r="B773" s="4" cm="1">
        <f t="array" ref="B773">IFERROR(INDEX(EmployeeData[Employee ID], ROW() - 37), "")</f>
        <v>1736</v>
      </c>
      <c r="C773" s="4" t="str" cm="1">
        <f t="array" ref="C773">IFERROR(INDEX(EmployeeData[Full Name], ROW() - 37), "")</f>
        <v>Antonio Soriano Soriano</v>
      </c>
      <c r="D773" s="4" t="str" cm="1">
        <f t="array" ref="D773">IFERROR(INDEX(EmployeeData[Department], ROW() - 37), "")</f>
        <v>Customer Support</v>
      </c>
      <c r="E773" s="4" t="str" cm="1">
        <f t="array" ref="E773">IFERROR(INDEX(EmployeeData[Gender], ROW() - 37), "")</f>
        <v>Male</v>
      </c>
      <c r="F773" s="4" cm="1">
        <f t="array" ref="F773">IFERROR(INDEX(EmployeeData[Age], ROW() - 37), "")</f>
        <v>45</v>
      </c>
      <c r="G773" s="6" cm="1">
        <f t="array" ref="G773">IFERROR(INDEX(EmployeeData[Join Date], ROW() - 37), "")</f>
        <v>44913</v>
      </c>
      <c r="H773" s="6" t="str" cm="1">
        <f t="array" ref="H773">IFERROR(IF(INDEX(EmployeeData[Exit Date], ROW() - 37)=0, "",INDEX(EmployeeData[Exit Date], ROW() - 37)),"")</f>
        <v/>
      </c>
      <c r="I773" s="4" t="str" cm="1">
        <f t="array" ref="I773">IFERROR(IF(INDEX(EmployeeData[Exit Reason], ROW() - 37)=0, "",INDEX(EmployeeData[Exit Reason], ROW() - 37)),"")</f>
        <v/>
      </c>
      <c r="J773" s="4" t="str" cm="1">
        <f t="array" ref="J773">IFERROR(INDEX(EmployeeData[Status], ROW() - 37), "")</f>
        <v>Active</v>
      </c>
    </row>
    <row r="774" spans="2:10" ht="19.95" customHeight="1" x14ac:dyDescent="0.3">
      <c r="B774" s="4" cm="1">
        <f t="array" ref="B774">IFERROR(INDEX(EmployeeData[Employee ID], ROW() - 37), "")</f>
        <v>1737</v>
      </c>
      <c r="C774" s="4" t="str" cm="1">
        <f t="array" ref="C774">IFERROR(INDEX(EmployeeData[Full Name], ROW() - 37), "")</f>
        <v>Josephine Lozano</v>
      </c>
      <c r="D774" s="4" t="str" cm="1">
        <f t="array" ref="D774">IFERROR(INDEX(EmployeeData[Department], ROW() - 37), "")</f>
        <v>Sales</v>
      </c>
      <c r="E774" s="4" t="str" cm="1">
        <f t="array" ref="E774">IFERROR(INDEX(EmployeeData[Gender], ROW() - 37), "")</f>
        <v>Female</v>
      </c>
      <c r="F774" s="4" cm="1">
        <f t="array" ref="F774">IFERROR(INDEX(EmployeeData[Age], ROW() - 37), "")</f>
        <v>48</v>
      </c>
      <c r="G774" s="6" cm="1">
        <f t="array" ref="G774">IFERROR(INDEX(EmployeeData[Join Date], ROW() - 37), "")</f>
        <v>43651</v>
      </c>
      <c r="H774" s="6" cm="1">
        <f t="array" ref="H774">IFERROR(IF(INDEX(EmployeeData[Exit Date], ROW() - 37)=0, "",INDEX(EmployeeData[Exit Date], ROW() - 37)),"")</f>
        <v>45334</v>
      </c>
      <c r="I774" s="4" t="str" cm="1">
        <f t="array" ref="I774">IFERROR(IF(INDEX(EmployeeData[Exit Reason], ROW() - 37)=0, "",INDEX(EmployeeData[Exit Reason], ROW() - 37)),"")</f>
        <v>Health Issues</v>
      </c>
      <c r="J774" s="4" t="str" cm="1">
        <f t="array" ref="J774">IFERROR(INDEX(EmployeeData[Status], ROW() - 37), "")</f>
        <v>Exited</v>
      </c>
    </row>
    <row r="775" spans="2:10" ht="19.95" customHeight="1" x14ac:dyDescent="0.3">
      <c r="B775" s="4" cm="1">
        <f t="array" ref="B775">IFERROR(INDEX(EmployeeData[Employee ID], ROW() - 37), "")</f>
        <v>1738</v>
      </c>
      <c r="C775" s="4" t="str" cm="1">
        <f t="array" ref="C775">IFERROR(INDEX(EmployeeData[Full Name], ROW() - 37), "")</f>
        <v>Juan Domingo Bagtas</v>
      </c>
      <c r="D775" s="4" t="str" cm="1">
        <f t="array" ref="D775">IFERROR(INDEX(EmployeeData[Department], ROW() - 37), "")</f>
        <v>HR</v>
      </c>
      <c r="E775" s="4" t="str" cm="1">
        <f t="array" ref="E775">IFERROR(INDEX(EmployeeData[Gender], ROW() - 37), "")</f>
        <v>Other</v>
      </c>
      <c r="F775" s="4" cm="1">
        <f t="array" ref="F775">IFERROR(INDEX(EmployeeData[Age], ROW() - 37), "")</f>
        <v>57</v>
      </c>
      <c r="G775" s="6" cm="1">
        <f t="array" ref="G775">IFERROR(INDEX(EmployeeData[Join Date], ROW() - 37), "")</f>
        <v>45025</v>
      </c>
      <c r="H775" s="6" t="str" cm="1">
        <f t="array" ref="H775">IFERROR(IF(INDEX(EmployeeData[Exit Date], ROW() - 37)=0, "",INDEX(EmployeeData[Exit Date], ROW() - 37)),"")</f>
        <v/>
      </c>
      <c r="I775" s="4" t="str" cm="1">
        <f t="array" ref="I775">IFERROR(IF(INDEX(EmployeeData[Exit Reason], ROW() - 37)=0, "",INDEX(EmployeeData[Exit Reason], ROW() - 37)),"")</f>
        <v/>
      </c>
      <c r="J775" s="4" t="str" cm="1">
        <f t="array" ref="J775">IFERROR(INDEX(EmployeeData[Status], ROW() - 37), "")</f>
        <v>Active</v>
      </c>
    </row>
    <row r="776" spans="2:10" ht="19.95" customHeight="1" x14ac:dyDescent="0.3">
      <c r="B776" s="4" cm="1">
        <f t="array" ref="B776">IFERROR(INDEX(EmployeeData[Employee ID], ROW() - 37), "")</f>
        <v>1739</v>
      </c>
      <c r="C776" s="4" t="str" cm="1">
        <f t="array" ref="C776">IFERROR(INDEX(EmployeeData[Full Name], ROW() - 37), "")</f>
        <v>Avery Reyes Evangelista</v>
      </c>
      <c r="D776" s="4" t="str" cm="1">
        <f t="array" ref="D776">IFERROR(INDEX(EmployeeData[Department], ROW() - 37), "")</f>
        <v>Marketing</v>
      </c>
      <c r="E776" s="4" t="str" cm="1">
        <f t="array" ref="E776">IFERROR(INDEX(EmployeeData[Gender], ROW() - 37), "")</f>
        <v>Other</v>
      </c>
      <c r="F776" s="4" cm="1">
        <f t="array" ref="F776">IFERROR(INDEX(EmployeeData[Age], ROW() - 37), "")</f>
        <v>43</v>
      </c>
      <c r="G776" s="6" cm="1">
        <f t="array" ref="G776">IFERROR(INDEX(EmployeeData[Join Date], ROW() - 37), "")</f>
        <v>44266</v>
      </c>
      <c r="H776" s="6" cm="1">
        <f t="array" ref="H776">IFERROR(IF(INDEX(EmployeeData[Exit Date], ROW() - 37)=0, "",INDEX(EmployeeData[Exit Date], ROW() - 37)),"")</f>
        <v>44413</v>
      </c>
      <c r="I776" s="4" t="str" cm="1">
        <f t="array" ref="I776">IFERROR(IF(INDEX(EmployeeData[Exit Reason], ROW() - 37)=0, "",INDEX(EmployeeData[Exit Reason], ROW() - 37)),"")</f>
        <v>Relocation</v>
      </c>
      <c r="J776" s="4" t="str" cm="1">
        <f t="array" ref="J776">IFERROR(INDEX(EmployeeData[Status], ROW() - 37), "")</f>
        <v>Exited</v>
      </c>
    </row>
    <row r="777" spans="2:10" ht="19.95" customHeight="1" x14ac:dyDescent="0.3">
      <c r="B777" s="4" cm="1">
        <f t="array" ref="B777">IFERROR(INDEX(EmployeeData[Employee ID], ROW() - 37), "")</f>
        <v>1740</v>
      </c>
      <c r="C777" s="4" t="str" cm="1">
        <f t="array" ref="C777">IFERROR(INDEX(EmployeeData[Full Name], ROW() - 37), "")</f>
        <v>Ivan Mercado Bondoc</v>
      </c>
      <c r="D777" s="4" t="str" cm="1">
        <f t="array" ref="D777">IFERROR(INDEX(EmployeeData[Department], ROW() - 37), "")</f>
        <v>HR</v>
      </c>
      <c r="E777" s="4" t="str" cm="1">
        <f t="array" ref="E777">IFERROR(INDEX(EmployeeData[Gender], ROW() - 37), "")</f>
        <v>Male</v>
      </c>
      <c r="F777" s="4" cm="1">
        <f t="array" ref="F777">IFERROR(INDEX(EmployeeData[Age], ROW() - 37), "")</f>
        <v>45</v>
      </c>
      <c r="G777" s="6" cm="1">
        <f t="array" ref="G777">IFERROR(INDEX(EmployeeData[Join Date], ROW() - 37), "")</f>
        <v>43499</v>
      </c>
      <c r="H777" s="6" t="str" cm="1">
        <f t="array" ref="H777">IFERROR(IF(INDEX(EmployeeData[Exit Date], ROW() - 37)=0, "",INDEX(EmployeeData[Exit Date], ROW() - 37)),"")</f>
        <v/>
      </c>
      <c r="I777" s="4" t="str" cm="1">
        <f t="array" ref="I777">IFERROR(IF(INDEX(EmployeeData[Exit Reason], ROW() - 37)=0, "",INDEX(EmployeeData[Exit Reason], ROW() - 37)),"")</f>
        <v/>
      </c>
      <c r="J777" s="4" t="str" cm="1">
        <f t="array" ref="J777">IFERROR(INDEX(EmployeeData[Status], ROW() - 37), "")</f>
        <v>Active</v>
      </c>
    </row>
    <row r="778" spans="2:10" ht="19.95" customHeight="1" x14ac:dyDescent="0.3">
      <c r="B778" s="4" cm="1">
        <f t="array" ref="B778">IFERROR(INDEX(EmployeeData[Employee ID], ROW() - 37), "")</f>
        <v>1741</v>
      </c>
      <c r="C778" s="4" t="str" cm="1">
        <f t="array" ref="C778">IFERROR(INDEX(EmployeeData[Full Name], ROW() - 37), "")</f>
        <v>Carlos Lopez Yap</v>
      </c>
      <c r="D778" s="4" t="str" cm="1">
        <f t="array" ref="D778">IFERROR(INDEX(EmployeeData[Department], ROW() - 37), "")</f>
        <v>IT</v>
      </c>
      <c r="E778" s="4" t="str" cm="1">
        <f t="array" ref="E778">IFERROR(INDEX(EmployeeData[Gender], ROW() - 37), "")</f>
        <v>Male</v>
      </c>
      <c r="F778" s="4" cm="1">
        <f t="array" ref="F778">IFERROR(INDEX(EmployeeData[Age], ROW() - 37), "")</f>
        <v>58</v>
      </c>
      <c r="G778" s="6" cm="1">
        <f t="array" ref="G778">IFERROR(INDEX(EmployeeData[Join Date], ROW() - 37), "")</f>
        <v>43448</v>
      </c>
      <c r="H778" s="6" t="str" cm="1">
        <f t="array" ref="H778">IFERROR(IF(INDEX(EmployeeData[Exit Date], ROW() - 37)=0, "",INDEX(EmployeeData[Exit Date], ROW() - 37)),"")</f>
        <v/>
      </c>
      <c r="I778" s="4" t="str" cm="1">
        <f t="array" ref="I778">IFERROR(IF(INDEX(EmployeeData[Exit Reason], ROW() - 37)=0, "",INDEX(EmployeeData[Exit Reason], ROW() - 37)),"")</f>
        <v/>
      </c>
      <c r="J778" s="4" t="str" cm="1">
        <f t="array" ref="J778">IFERROR(INDEX(EmployeeData[Status], ROW() - 37), "")</f>
        <v>Active</v>
      </c>
    </row>
    <row r="779" spans="2:10" ht="19.95" customHeight="1" x14ac:dyDescent="0.3">
      <c r="B779" s="4" cm="1">
        <f t="array" ref="B779">IFERROR(INDEX(EmployeeData[Employee ID], ROW() - 37), "")</f>
        <v>1742</v>
      </c>
      <c r="C779" s="4" t="str" cm="1">
        <f t="array" ref="C779">IFERROR(INDEX(EmployeeData[Full Name], ROW() - 37), "")</f>
        <v>Sonny Cueto</v>
      </c>
      <c r="D779" s="4" t="str" cm="1">
        <f t="array" ref="D779">IFERROR(INDEX(EmployeeData[Department], ROW() - 37), "")</f>
        <v>Customer Support</v>
      </c>
      <c r="E779" s="4" t="str" cm="1">
        <f t="array" ref="E779">IFERROR(INDEX(EmployeeData[Gender], ROW() - 37), "")</f>
        <v>Male</v>
      </c>
      <c r="F779" s="4" cm="1">
        <f t="array" ref="F779">IFERROR(INDEX(EmployeeData[Age], ROW() - 37), "")</f>
        <v>50</v>
      </c>
      <c r="G779" s="6" cm="1">
        <f t="array" ref="G779">IFERROR(INDEX(EmployeeData[Join Date], ROW() - 37), "")</f>
        <v>45795</v>
      </c>
      <c r="H779" s="6" t="str" cm="1">
        <f t="array" ref="H779">IFERROR(IF(INDEX(EmployeeData[Exit Date], ROW() - 37)=0, "",INDEX(EmployeeData[Exit Date], ROW() - 37)),"")</f>
        <v/>
      </c>
      <c r="I779" s="4" t="str" cm="1">
        <f t="array" ref="I779">IFERROR(IF(INDEX(EmployeeData[Exit Reason], ROW() - 37)=0, "",INDEX(EmployeeData[Exit Reason], ROW() - 37)),"")</f>
        <v/>
      </c>
      <c r="J779" s="4" t="str" cm="1">
        <f t="array" ref="J779">IFERROR(INDEX(EmployeeData[Status], ROW() - 37), "")</f>
        <v>Active</v>
      </c>
    </row>
    <row r="780" spans="2:10" ht="19.95" customHeight="1" x14ac:dyDescent="0.3">
      <c r="B780" s="4" cm="1">
        <f t="array" ref="B780">IFERROR(INDEX(EmployeeData[Employee ID], ROW() - 37), "")</f>
        <v>1743</v>
      </c>
      <c r="C780" s="4" t="str" cm="1">
        <f t="array" ref="C780">IFERROR(INDEX(EmployeeData[Full Name], ROW() - 37), "")</f>
        <v>Arnel Mendoza Macapagal</v>
      </c>
      <c r="D780" s="4" t="str" cm="1">
        <f t="array" ref="D780">IFERROR(INDEX(EmployeeData[Department], ROW() - 37), "")</f>
        <v>IT</v>
      </c>
      <c r="E780" s="4" t="str" cm="1">
        <f t="array" ref="E780">IFERROR(INDEX(EmployeeData[Gender], ROW() - 37), "")</f>
        <v>Other</v>
      </c>
      <c r="F780" s="4" cm="1">
        <f t="array" ref="F780">IFERROR(INDEX(EmployeeData[Age], ROW() - 37), "")</f>
        <v>58</v>
      </c>
      <c r="G780" s="6" cm="1">
        <f t="array" ref="G780">IFERROR(INDEX(EmployeeData[Join Date], ROW() - 37), "")</f>
        <v>43192</v>
      </c>
      <c r="H780" s="6" t="str" cm="1">
        <f t="array" ref="H780">IFERROR(IF(INDEX(EmployeeData[Exit Date], ROW() - 37)=0, "",INDEX(EmployeeData[Exit Date], ROW() - 37)),"")</f>
        <v/>
      </c>
      <c r="I780" s="4" t="str" cm="1">
        <f t="array" ref="I780">IFERROR(IF(INDEX(EmployeeData[Exit Reason], ROW() - 37)=0, "",INDEX(EmployeeData[Exit Reason], ROW() - 37)),"")</f>
        <v/>
      </c>
      <c r="J780" s="4" t="str" cm="1">
        <f t="array" ref="J780">IFERROR(INDEX(EmployeeData[Status], ROW() - 37), "")</f>
        <v>Active</v>
      </c>
    </row>
    <row r="781" spans="2:10" ht="19.95" customHeight="1" x14ac:dyDescent="0.3">
      <c r="B781" s="4" cm="1">
        <f t="array" ref="B781">IFERROR(INDEX(EmployeeData[Employee ID], ROW() - 37), "")</f>
        <v>1744</v>
      </c>
      <c r="C781" s="4" t="str" cm="1">
        <f t="array" ref="C781">IFERROR(INDEX(EmployeeData[Full Name], ROW() - 37), "")</f>
        <v>Karen Pascual</v>
      </c>
      <c r="D781" s="4" t="str" cm="1">
        <f t="array" ref="D781">IFERROR(INDEX(EmployeeData[Department], ROW() - 37), "")</f>
        <v>Sales</v>
      </c>
      <c r="E781" s="4" t="str" cm="1">
        <f t="array" ref="E781">IFERROR(INDEX(EmployeeData[Gender], ROW() - 37), "")</f>
        <v>Female</v>
      </c>
      <c r="F781" s="4" cm="1">
        <f t="array" ref="F781">IFERROR(INDEX(EmployeeData[Age], ROW() - 37), "")</f>
        <v>34</v>
      </c>
      <c r="G781" s="6" cm="1">
        <f t="array" ref="G781">IFERROR(INDEX(EmployeeData[Join Date], ROW() - 37), "")</f>
        <v>44477</v>
      </c>
      <c r="H781" s="6" t="str" cm="1">
        <f t="array" ref="H781">IFERROR(IF(INDEX(EmployeeData[Exit Date], ROW() - 37)=0, "",INDEX(EmployeeData[Exit Date], ROW() - 37)),"")</f>
        <v/>
      </c>
      <c r="I781" s="4" t="str" cm="1">
        <f t="array" ref="I781">IFERROR(IF(INDEX(EmployeeData[Exit Reason], ROW() - 37)=0, "",INDEX(EmployeeData[Exit Reason], ROW() - 37)),"")</f>
        <v/>
      </c>
      <c r="J781" s="4" t="str" cm="1">
        <f t="array" ref="J781">IFERROR(INDEX(EmployeeData[Status], ROW() - 37), "")</f>
        <v>Active</v>
      </c>
    </row>
    <row r="782" spans="2:10" ht="19.95" customHeight="1" x14ac:dyDescent="0.3">
      <c r="B782" s="4" cm="1">
        <f t="array" ref="B782">IFERROR(INDEX(EmployeeData[Employee ID], ROW() - 37), "")</f>
        <v>1745</v>
      </c>
      <c r="C782" s="4" t="str" cm="1">
        <f t="array" ref="C782">IFERROR(INDEX(EmployeeData[Full Name], ROW() - 37), "")</f>
        <v>Manuel Domingo Fajardo</v>
      </c>
      <c r="D782" s="4" t="str" cm="1">
        <f t="array" ref="D782">IFERROR(INDEX(EmployeeData[Department], ROW() - 37), "")</f>
        <v>IT</v>
      </c>
      <c r="E782" s="4" t="str" cm="1">
        <f t="array" ref="E782">IFERROR(INDEX(EmployeeData[Gender], ROW() - 37), "")</f>
        <v>Male</v>
      </c>
      <c r="F782" s="4" cm="1">
        <f t="array" ref="F782">IFERROR(INDEX(EmployeeData[Age], ROW() - 37), "")</f>
        <v>52</v>
      </c>
      <c r="G782" s="6" cm="1">
        <f t="array" ref="G782">IFERROR(INDEX(EmployeeData[Join Date], ROW() - 37), "")</f>
        <v>45703</v>
      </c>
      <c r="H782" s="6" t="str" cm="1">
        <f t="array" ref="H782">IFERROR(IF(INDEX(EmployeeData[Exit Date], ROW() - 37)=0, "",INDEX(EmployeeData[Exit Date], ROW() - 37)),"")</f>
        <v/>
      </c>
      <c r="I782" s="4" t="str" cm="1">
        <f t="array" ref="I782">IFERROR(IF(INDEX(EmployeeData[Exit Reason], ROW() - 37)=0, "",INDEX(EmployeeData[Exit Reason], ROW() - 37)),"")</f>
        <v/>
      </c>
      <c r="J782" s="4" t="str" cm="1">
        <f t="array" ref="J782">IFERROR(INDEX(EmployeeData[Status], ROW() - 37), "")</f>
        <v>Active</v>
      </c>
    </row>
    <row r="783" spans="2:10" ht="19.95" customHeight="1" x14ac:dyDescent="0.3">
      <c r="B783" s="4" cm="1">
        <f t="array" ref="B783">IFERROR(INDEX(EmployeeData[Employee ID], ROW() - 37), "")</f>
        <v>1746</v>
      </c>
      <c r="C783" s="4" t="str" cm="1">
        <f t="array" ref="C783">IFERROR(INDEX(EmployeeData[Full Name], ROW() - 37), "")</f>
        <v>Casey Miranda</v>
      </c>
      <c r="D783" s="4" t="str" cm="1">
        <f t="array" ref="D783">IFERROR(INDEX(EmployeeData[Department], ROW() - 37), "")</f>
        <v>Customer Support</v>
      </c>
      <c r="E783" s="4" t="str" cm="1">
        <f t="array" ref="E783">IFERROR(INDEX(EmployeeData[Gender], ROW() - 37), "")</f>
        <v>Other</v>
      </c>
      <c r="F783" s="4" cm="1">
        <f t="array" ref="F783">IFERROR(INDEX(EmployeeData[Age], ROW() - 37), "")</f>
        <v>46</v>
      </c>
      <c r="G783" s="6" cm="1">
        <f t="array" ref="G783">IFERROR(INDEX(EmployeeData[Join Date], ROW() - 37), "")</f>
        <v>44026</v>
      </c>
      <c r="H783" s="6" t="str" cm="1">
        <f t="array" ref="H783">IFERROR(IF(INDEX(EmployeeData[Exit Date], ROW() - 37)=0, "",INDEX(EmployeeData[Exit Date], ROW() - 37)),"")</f>
        <v/>
      </c>
      <c r="I783" s="4" t="str" cm="1">
        <f t="array" ref="I783">IFERROR(IF(INDEX(EmployeeData[Exit Reason], ROW() - 37)=0, "",INDEX(EmployeeData[Exit Reason], ROW() - 37)),"")</f>
        <v/>
      </c>
      <c r="J783" s="4" t="str" cm="1">
        <f t="array" ref="J783">IFERROR(INDEX(EmployeeData[Status], ROW() - 37), "")</f>
        <v>Active</v>
      </c>
    </row>
    <row r="784" spans="2:10" ht="19.95" customHeight="1" x14ac:dyDescent="0.3">
      <c r="B784" s="4" cm="1">
        <f t="array" ref="B784">IFERROR(INDEX(EmployeeData[Employee ID], ROW() - 37), "")</f>
        <v>1747</v>
      </c>
      <c r="C784" s="4" t="str" cm="1">
        <f t="array" ref="C784">IFERROR(INDEX(EmployeeData[Full Name], ROW() - 37), "")</f>
        <v>Eddie Ocampo Estrada</v>
      </c>
      <c r="D784" s="4" t="str" cm="1">
        <f t="array" ref="D784">IFERROR(INDEX(EmployeeData[Department], ROW() - 37), "")</f>
        <v>Customer Support</v>
      </c>
      <c r="E784" s="4" t="str" cm="1">
        <f t="array" ref="E784">IFERROR(INDEX(EmployeeData[Gender], ROW() - 37), "")</f>
        <v>Male</v>
      </c>
      <c r="F784" s="4" cm="1">
        <f t="array" ref="F784">IFERROR(INDEX(EmployeeData[Age], ROW() - 37), "")</f>
        <v>25</v>
      </c>
      <c r="G784" s="6" cm="1">
        <f t="array" ref="G784">IFERROR(INDEX(EmployeeData[Join Date], ROW() - 37), "")</f>
        <v>45421</v>
      </c>
      <c r="H784" s="6" t="str" cm="1">
        <f t="array" ref="H784">IFERROR(IF(INDEX(EmployeeData[Exit Date], ROW() - 37)=0, "",INDEX(EmployeeData[Exit Date], ROW() - 37)),"")</f>
        <v/>
      </c>
      <c r="I784" s="4" t="str" cm="1">
        <f t="array" ref="I784">IFERROR(IF(INDEX(EmployeeData[Exit Reason], ROW() - 37)=0, "",INDEX(EmployeeData[Exit Reason], ROW() - 37)),"")</f>
        <v/>
      </c>
      <c r="J784" s="4" t="str" cm="1">
        <f t="array" ref="J784">IFERROR(INDEX(EmployeeData[Status], ROW() - 37), "")</f>
        <v>Active</v>
      </c>
    </row>
    <row r="785" spans="2:10" ht="19.95" customHeight="1" x14ac:dyDescent="0.3">
      <c r="B785" s="4" cm="1">
        <f t="array" ref="B785">IFERROR(INDEX(EmployeeData[Employee ID], ROW() - 37), "")</f>
        <v>1748</v>
      </c>
      <c r="C785" s="4" t="str" cm="1">
        <f t="array" ref="C785">IFERROR(INDEX(EmployeeData[Full Name], ROW() - 37), "")</f>
        <v>Hope Domingo Vega</v>
      </c>
      <c r="D785" s="4" t="str" cm="1">
        <f t="array" ref="D785">IFERROR(INDEX(EmployeeData[Department], ROW() - 37), "")</f>
        <v>HR</v>
      </c>
      <c r="E785" s="4" t="str" cm="1">
        <f t="array" ref="E785">IFERROR(INDEX(EmployeeData[Gender], ROW() - 37), "")</f>
        <v>Female</v>
      </c>
      <c r="F785" s="4" cm="1">
        <f t="array" ref="F785">IFERROR(INDEX(EmployeeData[Age], ROW() - 37), "")</f>
        <v>40</v>
      </c>
      <c r="G785" s="6" cm="1">
        <f t="array" ref="G785">IFERROR(INDEX(EmployeeData[Join Date], ROW() - 37), "")</f>
        <v>44874</v>
      </c>
      <c r="H785" s="6" t="str" cm="1">
        <f t="array" ref="H785">IFERROR(IF(INDEX(EmployeeData[Exit Date], ROW() - 37)=0, "",INDEX(EmployeeData[Exit Date], ROW() - 37)),"")</f>
        <v/>
      </c>
      <c r="I785" s="4" t="str" cm="1">
        <f t="array" ref="I785">IFERROR(IF(INDEX(EmployeeData[Exit Reason], ROW() - 37)=0, "",INDEX(EmployeeData[Exit Reason], ROW() - 37)),"")</f>
        <v/>
      </c>
      <c r="J785" s="4" t="str" cm="1">
        <f t="array" ref="J785">IFERROR(INDEX(EmployeeData[Status], ROW() - 37), "")</f>
        <v>Active</v>
      </c>
    </row>
    <row r="786" spans="2:10" ht="19.95" customHeight="1" x14ac:dyDescent="0.3">
      <c r="B786" s="4" cm="1">
        <f t="array" ref="B786">IFERROR(INDEX(EmployeeData[Employee ID], ROW() - 37), "")</f>
        <v>1749</v>
      </c>
      <c r="C786" s="4" t="str" cm="1">
        <f t="array" ref="C786">IFERROR(INDEX(EmployeeData[Full Name], ROW() - 37), "")</f>
        <v>Larry Flores Navarro</v>
      </c>
      <c r="D786" s="4" t="str" cm="1">
        <f t="array" ref="D786">IFERROR(INDEX(EmployeeData[Department], ROW() - 37), "")</f>
        <v>Marketing</v>
      </c>
      <c r="E786" s="4" t="str" cm="1">
        <f t="array" ref="E786">IFERROR(INDEX(EmployeeData[Gender], ROW() - 37), "")</f>
        <v>Male</v>
      </c>
      <c r="F786" s="4" cm="1">
        <f t="array" ref="F786">IFERROR(INDEX(EmployeeData[Age], ROW() - 37), "")</f>
        <v>56</v>
      </c>
      <c r="G786" s="6" cm="1">
        <f t="array" ref="G786">IFERROR(INDEX(EmployeeData[Join Date], ROW() - 37), "")</f>
        <v>43840</v>
      </c>
      <c r="H786" s="6" t="str" cm="1">
        <f t="array" ref="H786">IFERROR(IF(INDEX(EmployeeData[Exit Date], ROW() - 37)=0, "",INDEX(EmployeeData[Exit Date], ROW() - 37)),"")</f>
        <v/>
      </c>
      <c r="I786" s="4" t="str" cm="1">
        <f t="array" ref="I786">IFERROR(IF(INDEX(EmployeeData[Exit Reason], ROW() - 37)=0, "",INDEX(EmployeeData[Exit Reason], ROW() - 37)),"")</f>
        <v/>
      </c>
      <c r="J786" s="4" t="str" cm="1">
        <f t="array" ref="J786">IFERROR(INDEX(EmployeeData[Status], ROW() - 37), "")</f>
        <v>Active</v>
      </c>
    </row>
    <row r="787" spans="2:10" ht="19.95" customHeight="1" x14ac:dyDescent="0.3">
      <c r="B787" s="4" cm="1">
        <f t="array" ref="B787">IFERROR(INDEX(EmployeeData[Employee ID], ROW() - 37), "")</f>
        <v>1750</v>
      </c>
      <c r="C787" s="4" t="str" cm="1">
        <f t="array" ref="C787">IFERROR(INDEX(EmployeeData[Full Name], ROW() - 37), "")</f>
        <v>Gloria Solis</v>
      </c>
      <c r="D787" s="4" t="str" cm="1">
        <f t="array" ref="D787">IFERROR(INDEX(EmployeeData[Department], ROW() - 37), "")</f>
        <v>HR</v>
      </c>
      <c r="E787" s="4" t="str" cm="1">
        <f t="array" ref="E787">IFERROR(INDEX(EmployeeData[Gender], ROW() - 37), "")</f>
        <v>Other</v>
      </c>
      <c r="F787" s="4" cm="1">
        <f t="array" ref="F787">IFERROR(INDEX(EmployeeData[Age], ROW() - 37), "")</f>
        <v>50</v>
      </c>
      <c r="G787" s="6" cm="1">
        <f t="array" ref="G787">IFERROR(INDEX(EmployeeData[Join Date], ROW() - 37), "")</f>
        <v>44198</v>
      </c>
      <c r="H787" s="6" t="str" cm="1">
        <f t="array" ref="H787">IFERROR(IF(INDEX(EmployeeData[Exit Date], ROW() - 37)=0, "",INDEX(EmployeeData[Exit Date], ROW() - 37)),"")</f>
        <v/>
      </c>
      <c r="I787" s="4" t="str" cm="1">
        <f t="array" ref="I787">IFERROR(IF(INDEX(EmployeeData[Exit Reason], ROW() - 37)=0, "",INDEX(EmployeeData[Exit Reason], ROW() - 37)),"")</f>
        <v/>
      </c>
      <c r="J787" s="4" t="str" cm="1">
        <f t="array" ref="J787">IFERROR(INDEX(EmployeeData[Status], ROW() - 37), "")</f>
        <v>Active</v>
      </c>
    </row>
    <row r="788" spans="2:10" ht="19.95" customHeight="1" x14ac:dyDescent="0.3">
      <c r="B788" s="4" cm="1">
        <f t="array" ref="B788">IFERROR(INDEX(EmployeeData[Employee ID], ROW() - 37), "")</f>
        <v>1751</v>
      </c>
      <c r="C788" s="4" t="str" cm="1">
        <f t="array" ref="C788">IFERROR(INDEX(EmployeeData[Full Name], ROW() - 37), "")</f>
        <v>Cameron Del Rosario</v>
      </c>
      <c r="D788" s="4" t="str" cm="1">
        <f t="array" ref="D788">IFERROR(INDEX(EmployeeData[Department], ROW() - 37), "")</f>
        <v>Finance</v>
      </c>
      <c r="E788" s="4" t="str" cm="1">
        <f t="array" ref="E788">IFERROR(INDEX(EmployeeData[Gender], ROW() - 37), "")</f>
        <v>Other</v>
      </c>
      <c r="F788" s="4" cm="1">
        <f t="array" ref="F788">IFERROR(INDEX(EmployeeData[Age], ROW() - 37), "")</f>
        <v>24</v>
      </c>
      <c r="G788" s="6" cm="1">
        <f t="array" ref="G788">IFERROR(INDEX(EmployeeData[Join Date], ROW() - 37), "")</f>
        <v>45240</v>
      </c>
      <c r="H788" s="6" cm="1">
        <f t="array" ref="H788">IFERROR(IF(INDEX(EmployeeData[Exit Date], ROW() - 37)=0, "",INDEX(EmployeeData[Exit Date], ROW() - 37)),"")</f>
        <v>45803</v>
      </c>
      <c r="I788" s="4" t="str" cm="1">
        <f t="array" ref="I788">IFERROR(IF(INDEX(EmployeeData[Exit Reason], ROW() - 37)=0, "",INDEX(EmployeeData[Exit Reason], ROW() - 37)),"")</f>
        <v>Better Opportunity</v>
      </c>
      <c r="J788" s="4" t="str" cm="1">
        <f t="array" ref="J788">IFERROR(INDEX(EmployeeData[Status], ROW() - 37), "")</f>
        <v>Exited</v>
      </c>
    </row>
    <row r="789" spans="2:10" ht="19.95" customHeight="1" x14ac:dyDescent="0.3">
      <c r="B789" s="4" cm="1">
        <f t="array" ref="B789">IFERROR(INDEX(EmployeeData[Employee ID], ROW() - 37), "")</f>
        <v>1752</v>
      </c>
      <c r="C789" s="4" t="str" cm="1">
        <f t="array" ref="C789">IFERROR(INDEX(EmployeeData[Full Name], ROW() - 37), "")</f>
        <v>Paolo Wong</v>
      </c>
      <c r="D789" s="4" t="str" cm="1">
        <f t="array" ref="D789">IFERROR(INDEX(EmployeeData[Department], ROW() - 37), "")</f>
        <v>IT</v>
      </c>
      <c r="E789" s="4" t="str" cm="1">
        <f t="array" ref="E789">IFERROR(INDEX(EmployeeData[Gender], ROW() - 37), "")</f>
        <v>Male</v>
      </c>
      <c r="F789" s="4" cm="1">
        <f t="array" ref="F789">IFERROR(INDEX(EmployeeData[Age], ROW() - 37), "")</f>
        <v>41</v>
      </c>
      <c r="G789" s="6" cm="1">
        <f t="array" ref="G789">IFERROR(INDEX(EmployeeData[Join Date], ROW() - 37), "")</f>
        <v>43364</v>
      </c>
      <c r="H789" s="6" t="str" cm="1">
        <f t="array" ref="H789">IFERROR(IF(INDEX(EmployeeData[Exit Date], ROW() - 37)=0, "",INDEX(EmployeeData[Exit Date], ROW() - 37)),"")</f>
        <v/>
      </c>
      <c r="I789" s="4" t="str" cm="1">
        <f t="array" ref="I789">IFERROR(IF(INDEX(EmployeeData[Exit Reason], ROW() - 37)=0, "",INDEX(EmployeeData[Exit Reason], ROW() - 37)),"")</f>
        <v/>
      </c>
      <c r="J789" s="4" t="str" cm="1">
        <f t="array" ref="J789">IFERROR(INDEX(EmployeeData[Status], ROW() - 37), "")</f>
        <v>Active</v>
      </c>
    </row>
    <row r="790" spans="2:10" ht="19.95" customHeight="1" x14ac:dyDescent="0.3">
      <c r="B790" s="4" cm="1">
        <f t="array" ref="B790">IFERROR(INDEX(EmployeeData[Employee ID], ROW() - 37), "")</f>
        <v>1753</v>
      </c>
      <c r="C790" s="4" t="str" cm="1">
        <f t="array" ref="C790">IFERROR(INDEX(EmployeeData[Full Name], ROW() - 37), "")</f>
        <v>Teresita Sy Yap</v>
      </c>
      <c r="D790" s="4" t="str" cm="1">
        <f t="array" ref="D790">IFERROR(INDEX(EmployeeData[Department], ROW() - 37), "")</f>
        <v>HR</v>
      </c>
      <c r="E790" s="4" t="str" cm="1">
        <f t="array" ref="E790">IFERROR(INDEX(EmployeeData[Gender], ROW() - 37), "")</f>
        <v>Female</v>
      </c>
      <c r="F790" s="4" cm="1">
        <f t="array" ref="F790">IFERROR(INDEX(EmployeeData[Age], ROW() - 37), "")</f>
        <v>36</v>
      </c>
      <c r="G790" s="6" cm="1">
        <f t="array" ref="G790">IFERROR(INDEX(EmployeeData[Join Date], ROW() - 37), "")</f>
        <v>44763</v>
      </c>
      <c r="H790" s="6" cm="1">
        <f t="array" ref="H790">IFERROR(IF(INDEX(EmployeeData[Exit Date], ROW() - 37)=0, "",INDEX(EmployeeData[Exit Date], ROW() - 37)),"")</f>
        <v>45160</v>
      </c>
      <c r="I790" s="4" t="str" cm="1">
        <f t="array" ref="I790">IFERROR(IF(INDEX(EmployeeData[Exit Reason], ROW() - 37)=0, "",INDEX(EmployeeData[Exit Reason], ROW() - 37)),"")</f>
        <v>Better Opportunity</v>
      </c>
      <c r="J790" s="4" t="str" cm="1">
        <f t="array" ref="J790">IFERROR(INDEX(EmployeeData[Status], ROW() - 37), "")</f>
        <v>Exited</v>
      </c>
    </row>
    <row r="791" spans="2:10" ht="19.95" customHeight="1" x14ac:dyDescent="0.3">
      <c r="B791" s="4" cm="1">
        <f t="array" ref="B791">IFERROR(INDEX(EmployeeData[Employee ID], ROW() - 37), "")</f>
        <v>1754</v>
      </c>
      <c r="C791" s="4" t="str" cm="1">
        <f t="array" ref="C791">IFERROR(INDEX(EmployeeData[Full Name], ROW() - 37), "")</f>
        <v>Rowena Soriano</v>
      </c>
      <c r="D791" s="4" t="str" cm="1">
        <f t="array" ref="D791">IFERROR(INDEX(EmployeeData[Department], ROW() - 37), "")</f>
        <v>IT</v>
      </c>
      <c r="E791" s="4" t="str" cm="1">
        <f t="array" ref="E791">IFERROR(INDEX(EmployeeData[Gender], ROW() - 37), "")</f>
        <v>Other</v>
      </c>
      <c r="F791" s="4" cm="1">
        <f t="array" ref="F791">IFERROR(INDEX(EmployeeData[Age], ROW() - 37), "")</f>
        <v>58</v>
      </c>
      <c r="G791" s="6" cm="1">
        <f t="array" ref="G791">IFERROR(INDEX(EmployeeData[Join Date], ROW() - 37), "")</f>
        <v>43753</v>
      </c>
      <c r="H791" s="6" cm="1">
        <f t="array" ref="H791">IFERROR(IF(INDEX(EmployeeData[Exit Date], ROW() - 37)=0, "",INDEX(EmployeeData[Exit Date], ROW() - 37)),"")</f>
        <v>43962</v>
      </c>
      <c r="I791" s="4" t="str" cm="1">
        <f t="array" ref="I791">IFERROR(IF(INDEX(EmployeeData[Exit Reason], ROW() - 37)=0, "",INDEX(EmployeeData[Exit Reason], ROW() - 37)),"")</f>
        <v>Retirement</v>
      </c>
      <c r="J791" s="4" t="str" cm="1">
        <f t="array" ref="J791">IFERROR(INDEX(EmployeeData[Status], ROW() - 37), "")</f>
        <v>Exited</v>
      </c>
    </row>
    <row r="792" spans="2:10" ht="19.95" customHeight="1" x14ac:dyDescent="0.3">
      <c r="B792" s="4" cm="1">
        <f t="array" ref="B792">IFERROR(INDEX(EmployeeData[Employee ID], ROW() - 37), "")</f>
        <v>1755</v>
      </c>
      <c r="C792" s="4" t="str" cm="1">
        <f t="array" ref="C792">IFERROR(INDEX(EmployeeData[Full Name], ROW() - 37), "")</f>
        <v>Casey Macaraeg</v>
      </c>
      <c r="D792" s="4" t="str" cm="1">
        <f t="array" ref="D792">IFERROR(INDEX(EmployeeData[Department], ROW() - 37), "")</f>
        <v>Customer Support</v>
      </c>
      <c r="E792" s="4" t="str" cm="1">
        <f t="array" ref="E792">IFERROR(INDEX(EmployeeData[Gender], ROW() - 37), "")</f>
        <v>Other</v>
      </c>
      <c r="F792" s="4" cm="1">
        <f t="array" ref="F792">IFERROR(INDEX(EmployeeData[Age], ROW() - 37), "")</f>
        <v>22</v>
      </c>
      <c r="G792" s="6" cm="1">
        <f t="array" ref="G792">IFERROR(INDEX(EmployeeData[Join Date], ROW() - 37), "")</f>
        <v>43327</v>
      </c>
      <c r="H792" s="6" t="str" cm="1">
        <f t="array" ref="H792">IFERROR(IF(INDEX(EmployeeData[Exit Date], ROW() - 37)=0, "",INDEX(EmployeeData[Exit Date], ROW() - 37)),"")</f>
        <v/>
      </c>
      <c r="I792" s="4" t="str" cm="1">
        <f t="array" ref="I792">IFERROR(IF(INDEX(EmployeeData[Exit Reason], ROW() - 37)=0, "",INDEX(EmployeeData[Exit Reason], ROW() - 37)),"")</f>
        <v/>
      </c>
      <c r="J792" s="4" t="str" cm="1">
        <f t="array" ref="J792">IFERROR(INDEX(EmployeeData[Status], ROW() - 37), "")</f>
        <v>Active</v>
      </c>
    </row>
    <row r="793" spans="2:10" ht="19.95" customHeight="1" x14ac:dyDescent="0.3">
      <c r="B793" s="4" cm="1">
        <f t="array" ref="B793">IFERROR(INDEX(EmployeeData[Employee ID], ROW() - 37), "")</f>
        <v>1756</v>
      </c>
      <c r="C793" s="4" t="str" cm="1">
        <f t="array" ref="C793">IFERROR(INDEX(EmployeeData[Full Name], ROW() - 37), "")</f>
        <v>Casey Tolentino</v>
      </c>
      <c r="D793" s="4" t="str" cm="1">
        <f t="array" ref="D793">IFERROR(INDEX(EmployeeData[Department], ROW() - 37), "")</f>
        <v>Sales</v>
      </c>
      <c r="E793" s="4" t="str" cm="1">
        <f t="array" ref="E793">IFERROR(INDEX(EmployeeData[Gender], ROW() - 37), "")</f>
        <v>Other</v>
      </c>
      <c r="F793" s="4" cm="1">
        <f t="array" ref="F793">IFERROR(INDEX(EmployeeData[Age], ROW() - 37), "")</f>
        <v>47</v>
      </c>
      <c r="G793" s="6" cm="1">
        <f t="array" ref="G793">IFERROR(INDEX(EmployeeData[Join Date], ROW() - 37), "")</f>
        <v>44589</v>
      </c>
      <c r="H793" s="6" t="str" cm="1">
        <f t="array" ref="H793">IFERROR(IF(INDEX(EmployeeData[Exit Date], ROW() - 37)=0, "",INDEX(EmployeeData[Exit Date], ROW() - 37)),"")</f>
        <v/>
      </c>
      <c r="I793" s="4" t="str" cm="1">
        <f t="array" ref="I793">IFERROR(IF(INDEX(EmployeeData[Exit Reason], ROW() - 37)=0, "",INDEX(EmployeeData[Exit Reason], ROW() - 37)),"")</f>
        <v/>
      </c>
      <c r="J793" s="4" t="str" cm="1">
        <f t="array" ref="J793">IFERROR(INDEX(EmployeeData[Status], ROW() - 37), "")</f>
        <v>Active</v>
      </c>
    </row>
    <row r="794" spans="2:10" ht="19.95" customHeight="1" x14ac:dyDescent="0.3">
      <c r="B794" s="4" cm="1">
        <f t="array" ref="B794">IFERROR(INDEX(EmployeeData[Employee ID], ROW() - 37), "")</f>
        <v>1757</v>
      </c>
      <c r="C794" s="4" t="str" cm="1">
        <f t="array" ref="C794">IFERROR(INDEX(EmployeeData[Full Name], ROW() - 37), "")</f>
        <v>Annaliza Delmendo</v>
      </c>
      <c r="D794" s="4" t="str" cm="1">
        <f t="array" ref="D794">IFERROR(INDEX(EmployeeData[Department], ROW() - 37), "")</f>
        <v>HR</v>
      </c>
      <c r="E794" s="4" t="str" cm="1">
        <f t="array" ref="E794">IFERROR(INDEX(EmployeeData[Gender], ROW() - 37), "")</f>
        <v>Female</v>
      </c>
      <c r="F794" s="4" cm="1">
        <f t="array" ref="F794">IFERROR(INDEX(EmployeeData[Age], ROW() - 37), "")</f>
        <v>28</v>
      </c>
      <c r="G794" s="6" cm="1">
        <f t="array" ref="G794">IFERROR(INDEX(EmployeeData[Join Date], ROW() - 37), "")</f>
        <v>45439</v>
      </c>
      <c r="H794" s="6" t="str" cm="1">
        <f t="array" ref="H794">IFERROR(IF(INDEX(EmployeeData[Exit Date], ROW() - 37)=0, "",INDEX(EmployeeData[Exit Date], ROW() - 37)),"")</f>
        <v/>
      </c>
      <c r="I794" s="4" t="str" cm="1">
        <f t="array" ref="I794">IFERROR(IF(INDEX(EmployeeData[Exit Reason], ROW() - 37)=0, "",INDEX(EmployeeData[Exit Reason], ROW() - 37)),"")</f>
        <v/>
      </c>
      <c r="J794" s="4" t="str" cm="1">
        <f t="array" ref="J794">IFERROR(INDEX(EmployeeData[Status], ROW() - 37), "")</f>
        <v>Active</v>
      </c>
    </row>
    <row r="795" spans="2:10" ht="19.95" customHeight="1" x14ac:dyDescent="0.3">
      <c r="B795" s="4" cm="1">
        <f t="array" ref="B795">IFERROR(INDEX(EmployeeData[Employee ID], ROW() - 37), "")</f>
        <v>1758</v>
      </c>
      <c r="C795" s="4" t="str" cm="1">
        <f t="array" ref="C795">IFERROR(INDEX(EmployeeData[Full Name], ROW() - 37), "")</f>
        <v>Casey Navarro Sy</v>
      </c>
      <c r="D795" s="4" t="str" cm="1">
        <f t="array" ref="D795">IFERROR(INDEX(EmployeeData[Department], ROW() - 37), "")</f>
        <v>Marketing</v>
      </c>
      <c r="E795" s="4" t="str" cm="1">
        <f t="array" ref="E795">IFERROR(INDEX(EmployeeData[Gender], ROW() - 37), "")</f>
        <v>Other</v>
      </c>
      <c r="F795" s="4" cm="1">
        <f t="array" ref="F795">IFERROR(INDEX(EmployeeData[Age], ROW() - 37), "")</f>
        <v>54</v>
      </c>
      <c r="G795" s="6" cm="1">
        <f t="array" ref="G795">IFERROR(INDEX(EmployeeData[Join Date], ROW() - 37), "")</f>
        <v>44132</v>
      </c>
      <c r="H795" s="6" t="str" cm="1">
        <f t="array" ref="H795">IFERROR(IF(INDEX(EmployeeData[Exit Date], ROW() - 37)=0, "",INDEX(EmployeeData[Exit Date], ROW() - 37)),"")</f>
        <v/>
      </c>
      <c r="I795" s="4" t="str" cm="1">
        <f t="array" ref="I795">IFERROR(IF(INDEX(EmployeeData[Exit Reason], ROW() - 37)=0, "",INDEX(EmployeeData[Exit Reason], ROW() - 37)),"")</f>
        <v/>
      </c>
      <c r="J795" s="4" t="str" cm="1">
        <f t="array" ref="J795">IFERROR(INDEX(EmployeeData[Status], ROW() - 37), "")</f>
        <v>Active</v>
      </c>
    </row>
    <row r="796" spans="2:10" ht="19.95" customHeight="1" x14ac:dyDescent="0.3">
      <c r="B796" s="4" cm="1">
        <f t="array" ref="B796">IFERROR(INDEX(EmployeeData[Employee ID], ROW() - 37), "")</f>
        <v>1759</v>
      </c>
      <c r="C796" s="4" t="str" cm="1">
        <f t="array" ref="C796">IFERROR(INDEX(EmployeeData[Full Name], ROW() - 37), "")</f>
        <v>Marcelo Flores Mercado</v>
      </c>
      <c r="D796" s="4" t="str" cm="1">
        <f t="array" ref="D796">IFERROR(INDEX(EmployeeData[Department], ROW() - 37), "")</f>
        <v>IT</v>
      </c>
      <c r="E796" s="4" t="str" cm="1">
        <f t="array" ref="E796">IFERROR(INDEX(EmployeeData[Gender], ROW() - 37), "")</f>
        <v>Male</v>
      </c>
      <c r="F796" s="4" cm="1">
        <f t="array" ref="F796">IFERROR(INDEX(EmployeeData[Age], ROW() - 37), "")</f>
        <v>45</v>
      </c>
      <c r="G796" s="6" cm="1">
        <f t="array" ref="G796">IFERROR(INDEX(EmployeeData[Join Date], ROW() - 37), "")</f>
        <v>44067</v>
      </c>
      <c r="H796" s="6" t="str" cm="1">
        <f t="array" ref="H796">IFERROR(IF(INDEX(EmployeeData[Exit Date], ROW() - 37)=0, "",INDEX(EmployeeData[Exit Date], ROW() - 37)),"")</f>
        <v/>
      </c>
      <c r="I796" s="4" t="str" cm="1">
        <f t="array" ref="I796">IFERROR(IF(INDEX(EmployeeData[Exit Reason], ROW() - 37)=0, "",INDEX(EmployeeData[Exit Reason], ROW() - 37)),"")</f>
        <v/>
      </c>
      <c r="J796" s="4" t="str" cm="1">
        <f t="array" ref="J796">IFERROR(INDEX(EmployeeData[Status], ROW() - 37), "")</f>
        <v>Active</v>
      </c>
    </row>
    <row r="797" spans="2:10" ht="19.95" customHeight="1" x14ac:dyDescent="0.3">
      <c r="B797" s="4" cm="1">
        <f t="array" ref="B797">IFERROR(INDEX(EmployeeData[Employee ID], ROW() - 37), "")</f>
        <v>1760</v>
      </c>
      <c r="C797" s="4" t="str" cm="1">
        <f t="array" ref="C797">IFERROR(INDEX(EmployeeData[Full Name], ROW() - 37), "")</f>
        <v>Arnel Chan Macaraeg</v>
      </c>
      <c r="D797" s="4" t="str" cm="1">
        <f t="array" ref="D797">IFERROR(INDEX(EmployeeData[Department], ROW() - 37), "")</f>
        <v>Finance</v>
      </c>
      <c r="E797" s="4" t="str" cm="1">
        <f t="array" ref="E797">IFERROR(INDEX(EmployeeData[Gender], ROW() - 37), "")</f>
        <v>Male</v>
      </c>
      <c r="F797" s="4" cm="1">
        <f t="array" ref="F797">IFERROR(INDEX(EmployeeData[Age], ROW() - 37), "")</f>
        <v>37</v>
      </c>
      <c r="G797" s="6" cm="1">
        <f t="array" ref="G797">IFERROR(INDEX(EmployeeData[Join Date], ROW() - 37), "")</f>
        <v>45515</v>
      </c>
      <c r="H797" s="6" cm="1">
        <f t="array" ref="H797">IFERROR(IF(INDEX(EmployeeData[Exit Date], ROW() - 37)=0, "",INDEX(EmployeeData[Exit Date], ROW() - 37)),"")</f>
        <v>46151</v>
      </c>
      <c r="I797" s="4" t="str" cm="1">
        <f t="array" ref="I797">IFERROR(IF(INDEX(EmployeeData[Exit Reason], ROW() - 37)=0, "",INDEX(EmployeeData[Exit Reason], ROW() - 37)),"")</f>
        <v>Termination</v>
      </c>
      <c r="J797" s="4" t="str" cm="1">
        <f t="array" ref="J797">IFERROR(INDEX(EmployeeData[Status], ROW() - 37), "")</f>
        <v>Exited</v>
      </c>
    </row>
    <row r="798" spans="2:10" ht="19.95" customHeight="1" x14ac:dyDescent="0.3">
      <c r="B798" s="4" cm="1">
        <f t="array" ref="B798">IFERROR(INDEX(EmployeeData[Employee ID], ROW() - 37), "")</f>
        <v>1761</v>
      </c>
      <c r="C798" s="4" t="str" cm="1">
        <f t="array" ref="C798">IFERROR(INDEX(EmployeeData[Full Name], ROW() - 37), "")</f>
        <v>Ronaldo Cruz Yap</v>
      </c>
      <c r="D798" s="4" t="str" cm="1">
        <f t="array" ref="D798">IFERROR(INDEX(EmployeeData[Department], ROW() - 37), "")</f>
        <v>HR</v>
      </c>
      <c r="E798" s="4" t="str" cm="1">
        <f t="array" ref="E798">IFERROR(INDEX(EmployeeData[Gender], ROW() - 37), "")</f>
        <v>Other</v>
      </c>
      <c r="F798" s="4" cm="1">
        <f t="array" ref="F798">IFERROR(INDEX(EmployeeData[Age], ROW() - 37), "")</f>
        <v>30</v>
      </c>
      <c r="G798" s="6" cm="1">
        <f t="array" ref="G798">IFERROR(INDEX(EmployeeData[Join Date], ROW() - 37), "")</f>
        <v>44587</v>
      </c>
      <c r="H798" s="6" t="str" cm="1">
        <f t="array" ref="H798">IFERROR(IF(INDEX(EmployeeData[Exit Date], ROW() - 37)=0, "",INDEX(EmployeeData[Exit Date], ROW() - 37)),"")</f>
        <v/>
      </c>
      <c r="I798" s="4" t="str" cm="1">
        <f t="array" ref="I798">IFERROR(IF(INDEX(EmployeeData[Exit Reason], ROW() - 37)=0, "",INDEX(EmployeeData[Exit Reason], ROW() - 37)),"")</f>
        <v/>
      </c>
      <c r="J798" s="4" t="str" cm="1">
        <f t="array" ref="J798">IFERROR(INDEX(EmployeeData[Status], ROW() - 37), "")</f>
        <v>Active</v>
      </c>
    </row>
    <row r="799" spans="2:10" ht="19.95" customHeight="1" x14ac:dyDescent="0.3">
      <c r="B799" s="4" cm="1">
        <f t="array" ref="B799">IFERROR(INDEX(EmployeeData[Employee ID], ROW() - 37), "")</f>
        <v>1762</v>
      </c>
      <c r="C799" s="4" t="str" cm="1">
        <f t="array" ref="C799">IFERROR(INDEX(EmployeeData[Full Name], ROW() - 37), "")</f>
        <v>Patricio Soriano Go</v>
      </c>
      <c r="D799" s="4" t="str" cm="1">
        <f t="array" ref="D799">IFERROR(INDEX(EmployeeData[Department], ROW() - 37), "")</f>
        <v>Sales</v>
      </c>
      <c r="E799" s="4" t="str" cm="1">
        <f t="array" ref="E799">IFERROR(INDEX(EmployeeData[Gender], ROW() - 37), "")</f>
        <v>Male</v>
      </c>
      <c r="F799" s="4" cm="1">
        <f t="array" ref="F799">IFERROR(INDEX(EmployeeData[Age], ROW() - 37), "")</f>
        <v>24</v>
      </c>
      <c r="G799" s="6" cm="1">
        <f t="array" ref="G799">IFERROR(INDEX(EmployeeData[Join Date], ROW() - 37), "")</f>
        <v>45930</v>
      </c>
      <c r="H799" s="6" t="str" cm="1">
        <f t="array" ref="H799">IFERROR(IF(INDEX(EmployeeData[Exit Date], ROW() - 37)=0, "",INDEX(EmployeeData[Exit Date], ROW() - 37)),"")</f>
        <v/>
      </c>
      <c r="I799" s="4" t="str" cm="1">
        <f t="array" ref="I799">IFERROR(IF(INDEX(EmployeeData[Exit Reason], ROW() - 37)=0, "",INDEX(EmployeeData[Exit Reason], ROW() - 37)),"")</f>
        <v/>
      </c>
      <c r="J799" s="4" t="str" cm="1">
        <f t="array" ref="J799">IFERROR(INDEX(EmployeeData[Status], ROW() - 37), "")</f>
        <v>Active</v>
      </c>
    </row>
    <row r="800" spans="2:10" ht="19.95" customHeight="1" x14ac:dyDescent="0.3">
      <c r="B800" s="4" cm="1">
        <f t="array" ref="B800">IFERROR(INDEX(EmployeeData[Employee ID], ROW() - 37), "")</f>
        <v>1763</v>
      </c>
      <c r="C800" s="4" t="str" cm="1">
        <f t="array" ref="C800">IFERROR(INDEX(EmployeeData[Full Name], ROW() - 37), "")</f>
        <v>Luisa Tan Salazar</v>
      </c>
      <c r="D800" s="4" t="str" cm="1">
        <f t="array" ref="D800">IFERROR(INDEX(EmployeeData[Department], ROW() - 37), "")</f>
        <v>Marketing</v>
      </c>
      <c r="E800" s="4" t="str" cm="1">
        <f t="array" ref="E800">IFERROR(INDEX(EmployeeData[Gender], ROW() - 37), "")</f>
        <v>Other</v>
      </c>
      <c r="F800" s="4" cm="1">
        <f t="array" ref="F800">IFERROR(INDEX(EmployeeData[Age], ROW() - 37), "")</f>
        <v>28</v>
      </c>
      <c r="G800" s="6" cm="1">
        <f t="array" ref="G800">IFERROR(INDEX(EmployeeData[Join Date], ROW() - 37), "")</f>
        <v>45291</v>
      </c>
      <c r="H800" s="6" t="str" cm="1">
        <f t="array" ref="H800">IFERROR(IF(INDEX(EmployeeData[Exit Date], ROW() - 37)=0, "",INDEX(EmployeeData[Exit Date], ROW() - 37)),"")</f>
        <v/>
      </c>
      <c r="I800" s="4" t="str" cm="1">
        <f t="array" ref="I800">IFERROR(IF(INDEX(EmployeeData[Exit Reason], ROW() - 37)=0, "",INDEX(EmployeeData[Exit Reason], ROW() - 37)),"")</f>
        <v/>
      </c>
      <c r="J800" s="4" t="str" cm="1">
        <f t="array" ref="J800">IFERROR(INDEX(EmployeeData[Status], ROW() - 37), "")</f>
        <v>Active</v>
      </c>
    </row>
    <row r="801" spans="2:10" ht="19.95" customHeight="1" x14ac:dyDescent="0.3">
      <c r="B801" s="4" cm="1">
        <f t="array" ref="B801">IFERROR(INDEX(EmployeeData[Employee ID], ROW() - 37), "")</f>
        <v>1764</v>
      </c>
      <c r="C801" s="4" t="str" cm="1">
        <f t="array" ref="C801">IFERROR(INDEX(EmployeeData[Full Name], ROW() - 37), "")</f>
        <v>Eduardo Lopez Sia</v>
      </c>
      <c r="D801" s="4" t="str" cm="1">
        <f t="array" ref="D801">IFERROR(INDEX(EmployeeData[Department], ROW() - 37), "")</f>
        <v>Finance</v>
      </c>
      <c r="E801" s="4" t="str" cm="1">
        <f t="array" ref="E801">IFERROR(INDEX(EmployeeData[Gender], ROW() - 37), "")</f>
        <v>Other</v>
      </c>
      <c r="F801" s="4" cm="1">
        <f t="array" ref="F801">IFERROR(INDEX(EmployeeData[Age], ROW() - 37), "")</f>
        <v>40</v>
      </c>
      <c r="G801" s="6" cm="1">
        <f t="array" ref="G801">IFERROR(INDEX(EmployeeData[Join Date], ROW() - 37), "")</f>
        <v>43470</v>
      </c>
      <c r="H801" s="6" t="str" cm="1">
        <f t="array" ref="H801">IFERROR(IF(INDEX(EmployeeData[Exit Date], ROW() - 37)=0, "",INDEX(EmployeeData[Exit Date], ROW() - 37)),"")</f>
        <v/>
      </c>
      <c r="I801" s="4" t="str" cm="1">
        <f t="array" ref="I801">IFERROR(IF(INDEX(EmployeeData[Exit Reason], ROW() - 37)=0, "",INDEX(EmployeeData[Exit Reason], ROW() - 37)),"")</f>
        <v/>
      </c>
      <c r="J801" s="4" t="str" cm="1">
        <f t="array" ref="J801">IFERROR(INDEX(EmployeeData[Status], ROW() - 37), "")</f>
        <v>Active</v>
      </c>
    </row>
    <row r="802" spans="2:10" ht="19.95" customHeight="1" x14ac:dyDescent="0.3">
      <c r="B802" s="4" cm="1">
        <f t="array" ref="B802">IFERROR(INDEX(EmployeeData[Employee ID], ROW() - 37), "")</f>
        <v>1765</v>
      </c>
      <c r="C802" s="4" t="str" cm="1">
        <f t="array" ref="C802">IFERROR(INDEX(EmployeeData[Full Name], ROW() - 37), "")</f>
        <v>Gani Tuazon</v>
      </c>
      <c r="D802" s="4" t="str" cm="1">
        <f t="array" ref="D802">IFERROR(INDEX(EmployeeData[Department], ROW() - 37), "")</f>
        <v>Finance</v>
      </c>
      <c r="E802" s="4" t="str" cm="1">
        <f t="array" ref="E802">IFERROR(INDEX(EmployeeData[Gender], ROW() - 37), "")</f>
        <v>Male</v>
      </c>
      <c r="F802" s="4" cm="1">
        <f t="array" ref="F802">IFERROR(INDEX(EmployeeData[Age], ROW() - 37), "")</f>
        <v>47</v>
      </c>
      <c r="G802" s="6" cm="1">
        <f t="array" ref="G802">IFERROR(INDEX(EmployeeData[Join Date], ROW() - 37), "")</f>
        <v>43239</v>
      </c>
      <c r="H802" s="6" cm="1">
        <f t="array" ref="H802">IFERROR(IF(INDEX(EmployeeData[Exit Date], ROW() - 37)=0, "",INDEX(EmployeeData[Exit Date], ROW() - 37)),"")</f>
        <v>43657</v>
      </c>
      <c r="I802" s="4" t="str" cm="1">
        <f t="array" ref="I802">IFERROR(IF(INDEX(EmployeeData[Exit Reason], ROW() - 37)=0, "",INDEX(EmployeeData[Exit Reason], ROW() - 37)),"")</f>
        <v>Resignation</v>
      </c>
      <c r="J802" s="4" t="str" cm="1">
        <f t="array" ref="J802">IFERROR(INDEX(EmployeeData[Status], ROW() - 37), "")</f>
        <v>Exited</v>
      </c>
    </row>
    <row r="803" spans="2:10" ht="19.95" customHeight="1" x14ac:dyDescent="0.3">
      <c r="B803" s="4" cm="1">
        <f t="array" ref="B803">IFERROR(INDEX(EmployeeData[Employee ID], ROW() - 37), "")</f>
        <v>1766</v>
      </c>
      <c r="C803" s="4" t="str" cm="1">
        <f t="array" ref="C803">IFERROR(INDEX(EmployeeData[Full Name], ROW() - 37), "")</f>
        <v>Teodoro Lim Bagtas</v>
      </c>
      <c r="D803" s="4" t="str" cm="1">
        <f t="array" ref="D803">IFERROR(INDEX(EmployeeData[Department], ROW() - 37), "")</f>
        <v>Finance</v>
      </c>
      <c r="E803" s="4" t="str" cm="1">
        <f t="array" ref="E803">IFERROR(INDEX(EmployeeData[Gender], ROW() - 37), "")</f>
        <v>Male</v>
      </c>
      <c r="F803" s="4" cm="1">
        <f t="array" ref="F803">IFERROR(INDEX(EmployeeData[Age], ROW() - 37), "")</f>
        <v>48</v>
      </c>
      <c r="G803" s="6" cm="1">
        <f t="array" ref="G803">IFERROR(INDEX(EmployeeData[Join Date], ROW() - 37), "")</f>
        <v>43512</v>
      </c>
      <c r="H803" s="6" t="str" cm="1">
        <f t="array" ref="H803">IFERROR(IF(INDEX(EmployeeData[Exit Date], ROW() - 37)=0, "",INDEX(EmployeeData[Exit Date], ROW() - 37)),"")</f>
        <v/>
      </c>
      <c r="I803" s="4" t="str" cm="1">
        <f t="array" ref="I803">IFERROR(IF(INDEX(EmployeeData[Exit Reason], ROW() - 37)=0, "",INDEX(EmployeeData[Exit Reason], ROW() - 37)),"")</f>
        <v/>
      </c>
      <c r="J803" s="4" t="str" cm="1">
        <f t="array" ref="J803">IFERROR(INDEX(EmployeeData[Status], ROW() - 37), "")</f>
        <v>Active</v>
      </c>
    </row>
    <row r="804" spans="2:10" ht="19.95" customHeight="1" x14ac:dyDescent="0.3">
      <c r="B804" s="4" cm="1">
        <f t="array" ref="B804">IFERROR(INDEX(EmployeeData[Employee ID], ROW() - 37), "")</f>
        <v>1767</v>
      </c>
      <c r="C804" s="4" t="str" cm="1">
        <f t="array" ref="C804">IFERROR(INDEX(EmployeeData[Full Name], ROW() - 37), "")</f>
        <v>Riley Bayani</v>
      </c>
      <c r="D804" s="4" t="str" cm="1">
        <f t="array" ref="D804">IFERROR(INDEX(EmployeeData[Department], ROW() - 37), "")</f>
        <v>Marketing</v>
      </c>
      <c r="E804" s="4" t="str" cm="1">
        <f t="array" ref="E804">IFERROR(INDEX(EmployeeData[Gender], ROW() - 37), "")</f>
        <v>Other</v>
      </c>
      <c r="F804" s="4" cm="1">
        <f t="array" ref="F804">IFERROR(INDEX(EmployeeData[Age], ROW() - 37), "")</f>
        <v>41</v>
      </c>
      <c r="G804" s="6" cm="1">
        <f t="array" ref="G804">IFERROR(INDEX(EmployeeData[Join Date], ROW() - 37), "")</f>
        <v>44957</v>
      </c>
      <c r="H804" s="6" t="str" cm="1">
        <f t="array" ref="H804">IFERROR(IF(INDEX(EmployeeData[Exit Date], ROW() - 37)=0, "",INDEX(EmployeeData[Exit Date], ROW() - 37)),"")</f>
        <v/>
      </c>
      <c r="I804" s="4" t="str" cm="1">
        <f t="array" ref="I804">IFERROR(IF(INDEX(EmployeeData[Exit Reason], ROW() - 37)=0, "",INDEX(EmployeeData[Exit Reason], ROW() - 37)),"")</f>
        <v/>
      </c>
      <c r="J804" s="4" t="str" cm="1">
        <f t="array" ref="J804">IFERROR(INDEX(EmployeeData[Status], ROW() - 37), "")</f>
        <v>Active</v>
      </c>
    </row>
    <row r="805" spans="2:10" ht="19.95" customHeight="1" x14ac:dyDescent="0.3">
      <c r="B805" s="4" cm="1">
        <f t="array" ref="B805">IFERROR(INDEX(EmployeeData[Employee ID], ROW() - 37), "")</f>
        <v>1768</v>
      </c>
      <c r="C805" s="4" t="str" cm="1">
        <f t="array" ref="C805">IFERROR(INDEX(EmployeeData[Full Name], ROW() - 37), "")</f>
        <v>Manuel Torres Macaraeg</v>
      </c>
      <c r="D805" s="4" t="str" cm="1">
        <f t="array" ref="D805">IFERROR(INDEX(EmployeeData[Department], ROW() - 37), "")</f>
        <v>Marketing</v>
      </c>
      <c r="E805" s="4" t="str" cm="1">
        <f t="array" ref="E805">IFERROR(INDEX(EmployeeData[Gender], ROW() - 37), "")</f>
        <v>Other</v>
      </c>
      <c r="F805" s="4" cm="1">
        <f t="array" ref="F805">IFERROR(INDEX(EmployeeData[Age], ROW() - 37), "")</f>
        <v>29</v>
      </c>
      <c r="G805" s="6" cm="1">
        <f t="array" ref="G805">IFERROR(INDEX(EmployeeData[Join Date], ROW() - 37), "")</f>
        <v>43113</v>
      </c>
      <c r="H805" s="6" t="str" cm="1">
        <f t="array" ref="H805">IFERROR(IF(INDEX(EmployeeData[Exit Date], ROW() - 37)=0, "",INDEX(EmployeeData[Exit Date], ROW() - 37)),"")</f>
        <v/>
      </c>
      <c r="I805" s="4" t="str" cm="1">
        <f t="array" ref="I805">IFERROR(IF(INDEX(EmployeeData[Exit Reason], ROW() - 37)=0, "",INDEX(EmployeeData[Exit Reason], ROW() - 37)),"")</f>
        <v/>
      </c>
      <c r="J805" s="4" t="str" cm="1">
        <f t="array" ref="J805">IFERROR(INDEX(EmployeeData[Status], ROW() - 37), "")</f>
        <v>Active</v>
      </c>
    </row>
    <row r="806" spans="2:10" ht="19.95" customHeight="1" x14ac:dyDescent="0.3">
      <c r="B806" s="4" cm="1">
        <f t="array" ref="B806">IFERROR(INDEX(EmployeeData[Employee ID], ROW() - 37), "")</f>
        <v>1769</v>
      </c>
      <c r="C806" s="4" t="str" cm="1">
        <f t="array" ref="C806">IFERROR(INDEX(EmployeeData[Full Name], ROW() - 37), "")</f>
        <v>Dennis Ramos Natividad</v>
      </c>
      <c r="D806" s="4" t="str" cm="1">
        <f t="array" ref="D806">IFERROR(INDEX(EmployeeData[Department], ROW() - 37), "")</f>
        <v>Customer Support</v>
      </c>
      <c r="E806" s="4" t="str" cm="1">
        <f t="array" ref="E806">IFERROR(INDEX(EmployeeData[Gender], ROW() - 37), "")</f>
        <v>Male</v>
      </c>
      <c r="F806" s="4" cm="1">
        <f t="array" ref="F806">IFERROR(INDEX(EmployeeData[Age], ROW() - 37), "")</f>
        <v>29</v>
      </c>
      <c r="G806" s="6" cm="1">
        <f t="array" ref="G806">IFERROR(INDEX(EmployeeData[Join Date], ROW() - 37), "")</f>
        <v>45534</v>
      </c>
      <c r="H806" s="6" t="str" cm="1">
        <f t="array" ref="H806">IFERROR(IF(INDEX(EmployeeData[Exit Date], ROW() - 37)=0, "",INDEX(EmployeeData[Exit Date], ROW() - 37)),"")</f>
        <v/>
      </c>
      <c r="I806" s="4" t="str" cm="1">
        <f t="array" ref="I806">IFERROR(IF(INDEX(EmployeeData[Exit Reason], ROW() - 37)=0, "",INDEX(EmployeeData[Exit Reason], ROW() - 37)),"")</f>
        <v/>
      </c>
      <c r="J806" s="4" t="str" cm="1">
        <f t="array" ref="J806">IFERROR(INDEX(EmployeeData[Status], ROW() - 37), "")</f>
        <v>Active</v>
      </c>
    </row>
    <row r="807" spans="2:10" ht="19.95" customHeight="1" x14ac:dyDescent="0.3">
      <c r="B807" s="4" cm="1">
        <f t="array" ref="B807">IFERROR(INDEX(EmployeeData[Employee ID], ROW() - 37), "")</f>
        <v>1770</v>
      </c>
      <c r="C807" s="4" t="str" cm="1">
        <f t="array" ref="C807">IFERROR(INDEX(EmployeeData[Full Name], ROW() - 37), "")</f>
        <v>Maria Panganiban</v>
      </c>
      <c r="D807" s="4" t="str" cm="1">
        <f t="array" ref="D807">IFERROR(INDEX(EmployeeData[Department], ROW() - 37), "")</f>
        <v>IT</v>
      </c>
      <c r="E807" s="4" t="str" cm="1">
        <f t="array" ref="E807">IFERROR(INDEX(EmployeeData[Gender], ROW() - 37), "")</f>
        <v>Other</v>
      </c>
      <c r="F807" s="4" cm="1">
        <f t="array" ref="F807">IFERROR(INDEX(EmployeeData[Age], ROW() - 37), "")</f>
        <v>41</v>
      </c>
      <c r="G807" s="6" cm="1">
        <f t="array" ref="G807">IFERROR(INDEX(EmployeeData[Join Date], ROW() - 37), "")</f>
        <v>44255</v>
      </c>
      <c r="H807" s="6" cm="1">
        <f t="array" ref="H807">IFERROR(IF(INDEX(EmployeeData[Exit Date], ROW() - 37)=0, "",INDEX(EmployeeData[Exit Date], ROW() - 37)),"")</f>
        <v>45193</v>
      </c>
      <c r="I807" s="4" t="str" cm="1">
        <f t="array" ref="I807">IFERROR(IF(INDEX(EmployeeData[Exit Reason], ROW() - 37)=0, "",INDEX(EmployeeData[Exit Reason], ROW() - 37)),"")</f>
        <v>Termination</v>
      </c>
      <c r="J807" s="4" t="str" cm="1">
        <f t="array" ref="J807">IFERROR(INDEX(EmployeeData[Status], ROW() - 37), "")</f>
        <v>Exited</v>
      </c>
    </row>
    <row r="808" spans="2:10" ht="19.95" customHeight="1" x14ac:dyDescent="0.3">
      <c r="B808" s="4" cm="1">
        <f t="array" ref="B808">IFERROR(INDEX(EmployeeData[Employee ID], ROW() - 37), "")</f>
        <v>1771</v>
      </c>
      <c r="C808" s="4" t="str" cm="1">
        <f t="array" ref="C808">IFERROR(INDEX(EmployeeData[Full Name], ROW() - 37), "")</f>
        <v>Queenie Dela Cruz</v>
      </c>
      <c r="D808" s="4" t="str" cm="1">
        <f t="array" ref="D808">IFERROR(INDEX(EmployeeData[Department], ROW() - 37), "")</f>
        <v>Sales</v>
      </c>
      <c r="E808" s="4" t="str" cm="1">
        <f t="array" ref="E808">IFERROR(INDEX(EmployeeData[Gender], ROW() - 37), "")</f>
        <v>Female</v>
      </c>
      <c r="F808" s="4" cm="1">
        <f t="array" ref="F808">IFERROR(INDEX(EmployeeData[Age], ROW() - 37), "")</f>
        <v>22</v>
      </c>
      <c r="G808" s="6" cm="1">
        <f t="array" ref="G808">IFERROR(INDEX(EmployeeData[Join Date], ROW() - 37), "")</f>
        <v>45388</v>
      </c>
      <c r="H808" s="6" t="str" cm="1">
        <f t="array" ref="H808">IFERROR(IF(INDEX(EmployeeData[Exit Date], ROW() - 37)=0, "",INDEX(EmployeeData[Exit Date], ROW() - 37)),"")</f>
        <v/>
      </c>
      <c r="I808" s="4" t="str" cm="1">
        <f t="array" ref="I808">IFERROR(IF(INDEX(EmployeeData[Exit Reason], ROW() - 37)=0, "",INDEX(EmployeeData[Exit Reason], ROW() - 37)),"")</f>
        <v/>
      </c>
      <c r="J808" s="4" t="str" cm="1">
        <f t="array" ref="J808">IFERROR(INDEX(EmployeeData[Status], ROW() - 37), "")</f>
        <v>Active</v>
      </c>
    </row>
    <row r="809" spans="2:10" ht="19.95" customHeight="1" x14ac:dyDescent="0.3">
      <c r="B809" s="4" cm="1">
        <f t="array" ref="B809">IFERROR(INDEX(EmployeeData[Employee ID], ROW() - 37), "")</f>
        <v>1772</v>
      </c>
      <c r="C809" s="4" t="str" cm="1">
        <f t="array" ref="C809">IFERROR(INDEX(EmployeeData[Full Name], ROW() - 37), "")</f>
        <v>Rosa Garcia Perez</v>
      </c>
      <c r="D809" s="4" t="str" cm="1">
        <f t="array" ref="D809">IFERROR(INDEX(EmployeeData[Department], ROW() - 37), "")</f>
        <v>Customer Support</v>
      </c>
      <c r="E809" s="4" t="str" cm="1">
        <f t="array" ref="E809">IFERROR(INDEX(EmployeeData[Gender], ROW() - 37), "")</f>
        <v>Other</v>
      </c>
      <c r="F809" s="4" cm="1">
        <f t="array" ref="F809">IFERROR(INDEX(EmployeeData[Age], ROW() - 37), "")</f>
        <v>31</v>
      </c>
      <c r="G809" s="6" cm="1">
        <f t="array" ref="G809">IFERROR(INDEX(EmployeeData[Join Date], ROW() - 37), "")</f>
        <v>43304</v>
      </c>
      <c r="H809" s="6" t="str" cm="1">
        <f t="array" ref="H809">IFERROR(IF(INDEX(EmployeeData[Exit Date], ROW() - 37)=0, "",INDEX(EmployeeData[Exit Date], ROW() - 37)),"")</f>
        <v/>
      </c>
      <c r="I809" s="4" t="str" cm="1">
        <f t="array" ref="I809">IFERROR(IF(INDEX(EmployeeData[Exit Reason], ROW() - 37)=0, "",INDEX(EmployeeData[Exit Reason], ROW() - 37)),"")</f>
        <v/>
      </c>
      <c r="J809" s="4" t="str" cm="1">
        <f t="array" ref="J809">IFERROR(INDEX(EmployeeData[Status], ROW() - 37), "")</f>
        <v>Active</v>
      </c>
    </row>
    <row r="810" spans="2:10" ht="19.95" customHeight="1" x14ac:dyDescent="0.3">
      <c r="B810" s="4" cm="1">
        <f t="array" ref="B810">IFERROR(INDEX(EmployeeData[Employee ID], ROW() - 37), "")</f>
        <v>1773</v>
      </c>
      <c r="C810" s="4" t="str" cm="1">
        <f t="array" ref="C810">IFERROR(INDEX(EmployeeData[Full Name], ROW() - 37), "")</f>
        <v>Eva Ramirez Figueroa</v>
      </c>
      <c r="D810" s="4" t="str" cm="1">
        <f t="array" ref="D810">IFERROR(INDEX(EmployeeData[Department], ROW() - 37), "")</f>
        <v>Finance</v>
      </c>
      <c r="E810" s="4" t="str" cm="1">
        <f t="array" ref="E810">IFERROR(INDEX(EmployeeData[Gender], ROW() - 37), "")</f>
        <v>Female</v>
      </c>
      <c r="F810" s="4" cm="1">
        <f t="array" ref="F810">IFERROR(INDEX(EmployeeData[Age], ROW() - 37), "")</f>
        <v>57</v>
      </c>
      <c r="G810" s="6" cm="1">
        <f t="array" ref="G810">IFERROR(INDEX(EmployeeData[Join Date], ROW() - 37), "")</f>
        <v>43581</v>
      </c>
      <c r="H810" s="6" cm="1">
        <f t="array" ref="H810">IFERROR(IF(INDEX(EmployeeData[Exit Date], ROW() - 37)=0, "",INDEX(EmployeeData[Exit Date], ROW() - 37)),"")</f>
        <v>45453</v>
      </c>
      <c r="I810" s="4" t="str" cm="1">
        <f t="array" ref="I810">IFERROR(IF(INDEX(EmployeeData[Exit Reason], ROW() - 37)=0, "",INDEX(EmployeeData[Exit Reason], ROW() - 37)),"")</f>
        <v>Personal Reasons</v>
      </c>
      <c r="J810" s="4" t="str" cm="1">
        <f t="array" ref="J810">IFERROR(INDEX(EmployeeData[Status], ROW() - 37), "")</f>
        <v>Exited</v>
      </c>
    </row>
    <row r="811" spans="2:10" ht="19.95" customHeight="1" x14ac:dyDescent="0.3">
      <c r="B811" s="4" cm="1">
        <f t="array" ref="B811">IFERROR(INDEX(EmployeeData[Employee ID], ROW() - 37), "")</f>
        <v>1774</v>
      </c>
      <c r="C811" s="4" t="str" cm="1">
        <f t="array" ref="C811">IFERROR(INDEX(EmployeeData[Full Name], ROW() - 37), "")</f>
        <v>Rachel Flores Flores</v>
      </c>
      <c r="D811" s="4" t="str" cm="1">
        <f t="array" ref="D811">IFERROR(INDEX(EmployeeData[Department], ROW() - 37), "")</f>
        <v>HR</v>
      </c>
      <c r="E811" s="4" t="str" cm="1">
        <f t="array" ref="E811">IFERROR(INDEX(EmployeeData[Gender], ROW() - 37), "")</f>
        <v>Female</v>
      </c>
      <c r="F811" s="4" cm="1">
        <f t="array" ref="F811">IFERROR(INDEX(EmployeeData[Age], ROW() - 37), "")</f>
        <v>38</v>
      </c>
      <c r="G811" s="6" cm="1">
        <f t="array" ref="G811">IFERROR(INDEX(EmployeeData[Join Date], ROW() - 37), "")</f>
        <v>44280</v>
      </c>
      <c r="H811" s="6" t="str" cm="1">
        <f t="array" ref="H811">IFERROR(IF(INDEX(EmployeeData[Exit Date], ROW() - 37)=0, "",INDEX(EmployeeData[Exit Date], ROW() - 37)),"")</f>
        <v/>
      </c>
      <c r="I811" s="4" t="str" cm="1">
        <f t="array" ref="I811">IFERROR(IF(INDEX(EmployeeData[Exit Reason], ROW() - 37)=0, "",INDEX(EmployeeData[Exit Reason], ROW() - 37)),"")</f>
        <v/>
      </c>
      <c r="J811" s="4" t="str" cm="1">
        <f t="array" ref="J811">IFERROR(INDEX(EmployeeData[Status], ROW() - 37), "")</f>
        <v>Active</v>
      </c>
    </row>
    <row r="812" spans="2:10" ht="19.95" customHeight="1" x14ac:dyDescent="0.3">
      <c r="B812" s="4" cm="1">
        <f t="array" ref="B812">IFERROR(INDEX(EmployeeData[Employee ID], ROW() - 37), "")</f>
        <v>1775</v>
      </c>
      <c r="C812" s="4" t="str" cm="1">
        <f t="array" ref="C812">IFERROR(INDEX(EmployeeData[Full Name], ROW() - 37), "")</f>
        <v>Cameron Domingo Bautista</v>
      </c>
      <c r="D812" s="4" t="str" cm="1">
        <f t="array" ref="D812">IFERROR(INDEX(EmployeeData[Department], ROW() - 37), "")</f>
        <v>Marketing</v>
      </c>
      <c r="E812" s="4" t="str" cm="1">
        <f t="array" ref="E812">IFERROR(INDEX(EmployeeData[Gender], ROW() - 37), "")</f>
        <v>Other</v>
      </c>
      <c r="F812" s="4" cm="1">
        <f t="array" ref="F812">IFERROR(INDEX(EmployeeData[Age], ROW() - 37), "")</f>
        <v>39</v>
      </c>
      <c r="G812" s="6" cm="1">
        <f t="array" ref="G812">IFERROR(INDEX(EmployeeData[Join Date], ROW() - 37), "")</f>
        <v>45874</v>
      </c>
      <c r="H812" s="6" cm="1">
        <f t="array" ref="H812">IFERROR(IF(INDEX(EmployeeData[Exit Date], ROW() - 37)=0, "",INDEX(EmployeeData[Exit Date], ROW() - 37)),"")</f>
        <v>46010</v>
      </c>
      <c r="I812" s="4" t="str" cm="1">
        <f t="array" ref="I812">IFERROR(IF(INDEX(EmployeeData[Exit Reason], ROW() - 37)=0, "",INDEX(EmployeeData[Exit Reason], ROW() - 37)),"")</f>
        <v>Termination</v>
      </c>
      <c r="J812" s="4" t="str" cm="1">
        <f t="array" ref="J812">IFERROR(INDEX(EmployeeData[Status], ROW() - 37), "")</f>
        <v>Exited</v>
      </c>
    </row>
    <row r="813" spans="2:10" ht="19.95" customHeight="1" x14ac:dyDescent="0.3">
      <c r="B813" s="4" cm="1">
        <f t="array" ref="B813">IFERROR(INDEX(EmployeeData[Employee ID], ROW() - 37), "")</f>
        <v>1776</v>
      </c>
      <c r="C813" s="4" t="str" cm="1">
        <f t="array" ref="C813">IFERROR(INDEX(EmployeeData[Full Name], ROW() - 37), "")</f>
        <v>Alvin Ramos Ramos</v>
      </c>
      <c r="D813" s="4" t="str" cm="1">
        <f t="array" ref="D813">IFERROR(INDEX(EmployeeData[Department], ROW() - 37), "")</f>
        <v>Customer Support</v>
      </c>
      <c r="E813" s="4" t="str" cm="1">
        <f t="array" ref="E813">IFERROR(INDEX(EmployeeData[Gender], ROW() - 37), "")</f>
        <v>Male</v>
      </c>
      <c r="F813" s="4" cm="1">
        <f t="array" ref="F813">IFERROR(INDEX(EmployeeData[Age], ROW() - 37), "")</f>
        <v>36</v>
      </c>
      <c r="G813" s="6" cm="1">
        <f t="array" ref="G813">IFERROR(INDEX(EmployeeData[Join Date], ROW() - 37), "")</f>
        <v>44615</v>
      </c>
      <c r="H813" s="6" t="str" cm="1">
        <f t="array" ref="H813">IFERROR(IF(INDEX(EmployeeData[Exit Date], ROW() - 37)=0, "",INDEX(EmployeeData[Exit Date], ROW() - 37)),"")</f>
        <v/>
      </c>
      <c r="I813" s="4" t="str" cm="1">
        <f t="array" ref="I813">IFERROR(IF(INDEX(EmployeeData[Exit Reason], ROW() - 37)=0, "",INDEX(EmployeeData[Exit Reason], ROW() - 37)),"")</f>
        <v/>
      </c>
      <c r="J813" s="4" t="str" cm="1">
        <f t="array" ref="J813">IFERROR(INDEX(EmployeeData[Status], ROW() - 37), "")</f>
        <v>Active</v>
      </c>
    </row>
    <row r="814" spans="2:10" ht="19.95" customHeight="1" x14ac:dyDescent="0.3">
      <c r="B814" s="4" cm="1">
        <f t="array" ref="B814">IFERROR(INDEX(EmployeeData[Employee ID], ROW() - 37), "")</f>
        <v>1777</v>
      </c>
      <c r="C814" s="4" t="str" cm="1">
        <f t="array" ref="C814">IFERROR(INDEX(EmployeeData[Full Name], ROW() - 37), "")</f>
        <v>Cristina Bautista Go</v>
      </c>
      <c r="D814" s="4" t="str" cm="1">
        <f t="array" ref="D814">IFERROR(INDEX(EmployeeData[Department], ROW() - 37), "")</f>
        <v>Sales</v>
      </c>
      <c r="E814" s="4" t="str" cm="1">
        <f t="array" ref="E814">IFERROR(INDEX(EmployeeData[Gender], ROW() - 37), "")</f>
        <v>Other</v>
      </c>
      <c r="F814" s="4" cm="1">
        <f t="array" ref="F814">IFERROR(INDEX(EmployeeData[Age], ROW() - 37), "")</f>
        <v>46</v>
      </c>
      <c r="G814" s="6" cm="1">
        <f t="array" ref="G814">IFERROR(INDEX(EmployeeData[Join Date], ROW() - 37), "")</f>
        <v>45914</v>
      </c>
      <c r="H814" s="6" cm="1">
        <f t="array" ref="H814">IFERROR(IF(INDEX(EmployeeData[Exit Date], ROW() - 37)=0, "",INDEX(EmployeeData[Exit Date], ROW() - 37)),"")</f>
        <v>46102</v>
      </c>
      <c r="I814" s="4" t="str" cm="1">
        <f t="array" ref="I814">IFERROR(IF(INDEX(EmployeeData[Exit Reason], ROW() - 37)=0, "",INDEX(EmployeeData[Exit Reason], ROW() - 37)),"")</f>
        <v>Personal Reasons</v>
      </c>
      <c r="J814" s="4" t="str" cm="1">
        <f t="array" ref="J814">IFERROR(INDEX(EmployeeData[Status], ROW() - 37), "")</f>
        <v>Exited</v>
      </c>
    </row>
    <row r="815" spans="2:10" ht="19.95" customHeight="1" x14ac:dyDescent="0.3">
      <c r="B815" s="4" cm="1">
        <f t="array" ref="B815">IFERROR(INDEX(EmployeeData[Employee ID], ROW() - 37), "")</f>
        <v>1778</v>
      </c>
      <c r="C815" s="4" t="str" cm="1">
        <f t="array" ref="C815">IFERROR(INDEX(EmployeeData[Full Name], ROW() - 37), "")</f>
        <v>Cristina Lazo</v>
      </c>
      <c r="D815" s="4" t="str" cm="1">
        <f t="array" ref="D815">IFERROR(INDEX(EmployeeData[Department], ROW() - 37), "")</f>
        <v>Customer Support</v>
      </c>
      <c r="E815" s="4" t="str" cm="1">
        <f t="array" ref="E815">IFERROR(INDEX(EmployeeData[Gender], ROW() - 37), "")</f>
        <v>Other</v>
      </c>
      <c r="F815" s="4" cm="1">
        <f t="array" ref="F815">IFERROR(INDEX(EmployeeData[Age], ROW() - 37), "")</f>
        <v>51</v>
      </c>
      <c r="G815" s="6" cm="1">
        <f t="array" ref="G815">IFERROR(INDEX(EmployeeData[Join Date], ROW() - 37), "")</f>
        <v>44552</v>
      </c>
      <c r="H815" s="6" t="str" cm="1">
        <f t="array" ref="H815">IFERROR(IF(INDEX(EmployeeData[Exit Date], ROW() - 37)=0, "",INDEX(EmployeeData[Exit Date], ROW() - 37)),"")</f>
        <v/>
      </c>
      <c r="I815" s="4" t="str" cm="1">
        <f t="array" ref="I815">IFERROR(IF(INDEX(EmployeeData[Exit Reason], ROW() - 37)=0, "",INDEX(EmployeeData[Exit Reason], ROW() - 37)),"")</f>
        <v/>
      </c>
      <c r="J815" s="4" t="str" cm="1">
        <f t="array" ref="J815">IFERROR(INDEX(EmployeeData[Status], ROW() - 37), "")</f>
        <v>Active</v>
      </c>
    </row>
    <row r="816" spans="2:10" ht="19.95" customHeight="1" x14ac:dyDescent="0.3">
      <c r="B816" s="4" cm="1">
        <f t="array" ref="B816">IFERROR(INDEX(EmployeeData[Employee ID], ROW() - 37), "")</f>
        <v>1779</v>
      </c>
      <c r="C816" s="4" t="str" cm="1">
        <f t="array" ref="C816">IFERROR(INDEX(EmployeeData[Full Name], ROW() - 37), "")</f>
        <v>Patricia Flores</v>
      </c>
      <c r="D816" s="4" t="str" cm="1">
        <f t="array" ref="D816">IFERROR(INDEX(EmployeeData[Department], ROW() - 37), "")</f>
        <v>Customer Support</v>
      </c>
      <c r="E816" s="4" t="str" cm="1">
        <f t="array" ref="E816">IFERROR(INDEX(EmployeeData[Gender], ROW() - 37), "")</f>
        <v>Female</v>
      </c>
      <c r="F816" s="4" cm="1">
        <f t="array" ref="F816">IFERROR(INDEX(EmployeeData[Age], ROW() - 37), "")</f>
        <v>45</v>
      </c>
      <c r="G816" s="6" cm="1">
        <f t="array" ref="G816">IFERROR(INDEX(EmployeeData[Join Date], ROW() - 37), "")</f>
        <v>44340</v>
      </c>
      <c r="H816" s="6" t="str" cm="1">
        <f t="array" ref="H816">IFERROR(IF(INDEX(EmployeeData[Exit Date], ROW() - 37)=0, "",INDEX(EmployeeData[Exit Date], ROW() - 37)),"")</f>
        <v/>
      </c>
      <c r="I816" s="4" t="str" cm="1">
        <f t="array" ref="I816">IFERROR(IF(INDEX(EmployeeData[Exit Reason], ROW() - 37)=0, "",INDEX(EmployeeData[Exit Reason], ROW() - 37)),"")</f>
        <v/>
      </c>
      <c r="J816" s="4" t="str" cm="1">
        <f t="array" ref="J816">IFERROR(INDEX(EmployeeData[Status], ROW() - 37), "")</f>
        <v>Active</v>
      </c>
    </row>
    <row r="817" spans="2:10" ht="19.95" customHeight="1" x14ac:dyDescent="0.3">
      <c r="B817" s="4" cm="1">
        <f t="array" ref="B817">IFERROR(INDEX(EmployeeData[Employee ID], ROW() - 37), "")</f>
        <v>1780</v>
      </c>
      <c r="C817" s="4" t="str" cm="1">
        <f t="array" ref="C817">IFERROR(INDEX(EmployeeData[Full Name], ROW() - 37), "")</f>
        <v>Gerald Navarro Suarez</v>
      </c>
      <c r="D817" s="4" t="str" cm="1">
        <f t="array" ref="D817">IFERROR(INDEX(EmployeeData[Department], ROW() - 37), "")</f>
        <v>Marketing</v>
      </c>
      <c r="E817" s="4" t="str" cm="1">
        <f t="array" ref="E817">IFERROR(INDEX(EmployeeData[Gender], ROW() - 37), "")</f>
        <v>Male</v>
      </c>
      <c r="F817" s="4" cm="1">
        <f t="array" ref="F817">IFERROR(INDEX(EmployeeData[Age], ROW() - 37), "")</f>
        <v>37</v>
      </c>
      <c r="G817" s="6" cm="1">
        <f t="array" ref="G817">IFERROR(INDEX(EmployeeData[Join Date], ROW() - 37), "")</f>
        <v>43796</v>
      </c>
      <c r="H817" s="6" t="str" cm="1">
        <f t="array" ref="H817">IFERROR(IF(INDEX(EmployeeData[Exit Date], ROW() - 37)=0, "",INDEX(EmployeeData[Exit Date], ROW() - 37)),"")</f>
        <v/>
      </c>
      <c r="I817" s="4" t="str" cm="1">
        <f t="array" ref="I817">IFERROR(IF(INDEX(EmployeeData[Exit Reason], ROW() - 37)=0, "",INDEX(EmployeeData[Exit Reason], ROW() - 37)),"")</f>
        <v/>
      </c>
      <c r="J817" s="4" t="str" cm="1">
        <f t="array" ref="J817">IFERROR(INDEX(EmployeeData[Status], ROW() - 37), "")</f>
        <v>Active</v>
      </c>
    </row>
    <row r="818" spans="2:10" ht="19.95" customHeight="1" x14ac:dyDescent="0.3">
      <c r="B818" s="4" cm="1">
        <f t="array" ref="B818">IFERROR(INDEX(EmployeeData[Employee ID], ROW() - 37), "")</f>
        <v>1781</v>
      </c>
      <c r="C818" s="4" t="str" cm="1">
        <f t="array" ref="C818">IFERROR(INDEX(EmployeeData[Full Name], ROW() - 37), "")</f>
        <v>Vicente Sy Del Rosario</v>
      </c>
      <c r="D818" s="4" t="str" cm="1">
        <f t="array" ref="D818">IFERROR(INDEX(EmployeeData[Department], ROW() - 37), "")</f>
        <v>HR</v>
      </c>
      <c r="E818" s="4" t="str" cm="1">
        <f t="array" ref="E818">IFERROR(INDEX(EmployeeData[Gender], ROW() - 37), "")</f>
        <v>Male</v>
      </c>
      <c r="F818" s="4" cm="1">
        <f t="array" ref="F818">IFERROR(INDEX(EmployeeData[Age], ROW() - 37), "")</f>
        <v>37</v>
      </c>
      <c r="G818" s="6" cm="1">
        <f t="array" ref="G818">IFERROR(INDEX(EmployeeData[Join Date], ROW() - 37), "")</f>
        <v>43579</v>
      </c>
      <c r="H818" s="6" cm="1">
        <f t="array" ref="H818">IFERROR(IF(INDEX(EmployeeData[Exit Date], ROW() - 37)=0, "",INDEX(EmployeeData[Exit Date], ROW() - 37)),"")</f>
        <v>44192</v>
      </c>
      <c r="I818" s="4" t="str" cm="1">
        <f t="array" ref="I818">IFERROR(IF(INDEX(EmployeeData[Exit Reason], ROW() - 37)=0, "",INDEX(EmployeeData[Exit Reason], ROW() - 37)),"")</f>
        <v>Health Issues</v>
      </c>
      <c r="J818" s="4" t="str" cm="1">
        <f t="array" ref="J818">IFERROR(INDEX(EmployeeData[Status], ROW() - 37), "")</f>
        <v>Exited</v>
      </c>
    </row>
    <row r="819" spans="2:10" ht="19.95" customHeight="1" x14ac:dyDescent="0.3">
      <c r="B819" s="4" cm="1">
        <f t="array" ref="B819">IFERROR(INDEX(EmployeeData[Employee ID], ROW() - 37), "")</f>
        <v>1782</v>
      </c>
      <c r="C819" s="4" t="str" cm="1">
        <f t="array" ref="C819">IFERROR(INDEX(EmployeeData[Full Name], ROW() - 37), "")</f>
        <v>Cameron Jacinto</v>
      </c>
      <c r="D819" s="4" t="str" cm="1">
        <f t="array" ref="D819">IFERROR(INDEX(EmployeeData[Department], ROW() - 37), "")</f>
        <v>IT</v>
      </c>
      <c r="E819" s="4" t="str" cm="1">
        <f t="array" ref="E819">IFERROR(INDEX(EmployeeData[Gender], ROW() - 37), "")</f>
        <v>Other</v>
      </c>
      <c r="F819" s="4" cm="1">
        <f t="array" ref="F819">IFERROR(INDEX(EmployeeData[Age], ROW() - 37), "")</f>
        <v>65</v>
      </c>
      <c r="G819" s="6" cm="1">
        <f t="array" ref="G819">IFERROR(INDEX(EmployeeData[Join Date], ROW() - 37), "")</f>
        <v>45218</v>
      </c>
      <c r="H819" s="6" cm="1">
        <f t="array" ref="H819">IFERROR(IF(INDEX(EmployeeData[Exit Date], ROW() - 37)=0, "",INDEX(EmployeeData[Exit Date], ROW() - 37)),"")</f>
        <v>45476</v>
      </c>
      <c r="I819" s="4" t="str" cm="1">
        <f t="array" ref="I819">IFERROR(IF(INDEX(EmployeeData[Exit Reason], ROW() - 37)=0, "",INDEX(EmployeeData[Exit Reason], ROW() - 37)),"")</f>
        <v>Retirement</v>
      </c>
      <c r="J819" s="4" t="str" cm="1">
        <f t="array" ref="J819">IFERROR(INDEX(EmployeeData[Status], ROW() - 37), "")</f>
        <v>Exited</v>
      </c>
    </row>
    <row r="820" spans="2:10" ht="19.95" customHeight="1" x14ac:dyDescent="0.3">
      <c r="B820" s="4" cm="1">
        <f t="array" ref="B820">IFERROR(INDEX(EmployeeData[Employee ID], ROW() - 37), "")</f>
        <v>1783</v>
      </c>
      <c r="C820" s="4" t="str" cm="1">
        <f t="array" ref="C820">IFERROR(INDEX(EmployeeData[Full Name], ROW() - 37), "")</f>
        <v>Elena Go Chan</v>
      </c>
      <c r="D820" s="4" t="str" cm="1">
        <f t="array" ref="D820">IFERROR(INDEX(EmployeeData[Department], ROW() - 37), "")</f>
        <v>HR</v>
      </c>
      <c r="E820" s="4" t="str" cm="1">
        <f t="array" ref="E820">IFERROR(INDEX(EmployeeData[Gender], ROW() - 37), "")</f>
        <v>Other</v>
      </c>
      <c r="F820" s="4" cm="1">
        <f t="array" ref="F820">IFERROR(INDEX(EmployeeData[Age], ROW() - 37), "")</f>
        <v>24</v>
      </c>
      <c r="G820" s="6" cm="1">
        <f t="array" ref="G820">IFERROR(INDEX(EmployeeData[Join Date], ROW() - 37), "")</f>
        <v>43874</v>
      </c>
      <c r="H820" s="6" cm="1">
        <f t="array" ref="H820">IFERROR(IF(INDEX(EmployeeData[Exit Date], ROW() - 37)=0, "",INDEX(EmployeeData[Exit Date], ROW() - 37)),"")</f>
        <v>44905</v>
      </c>
      <c r="I820" s="4" t="str" cm="1">
        <f t="array" ref="I820">IFERROR(IF(INDEX(EmployeeData[Exit Reason], ROW() - 37)=0, "",INDEX(EmployeeData[Exit Reason], ROW() - 37)),"")</f>
        <v>Better Opportunity</v>
      </c>
      <c r="J820" s="4" t="str" cm="1">
        <f t="array" ref="J820">IFERROR(INDEX(EmployeeData[Status], ROW() - 37), "")</f>
        <v>Exited</v>
      </c>
    </row>
    <row r="821" spans="2:10" ht="19.95" customHeight="1" x14ac:dyDescent="0.3">
      <c r="B821" s="4" cm="1">
        <f t="array" ref="B821">IFERROR(INDEX(EmployeeData[Employee ID], ROW() - 37), "")</f>
        <v>1784</v>
      </c>
      <c r="C821" s="4" t="str" cm="1">
        <f t="array" ref="C821">IFERROR(INDEX(EmployeeData[Full Name], ROW() - 37), "")</f>
        <v>Rowena Torres Viray</v>
      </c>
      <c r="D821" s="4" t="str" cm="1">
        <f t="array" ref="D821">IFERROR(INDEX(EmployeeData[Department], ROW() - 37), "")</f>
        <v>IT</v>
      </c>
      <c r="E821" s="4" t="str" cm="1">
        <f t="array" ref="E821">IFERROR(INDEX(EmployeeData[Gender], ROW() - 37), "")</f>
        <v>Other</v>
      </c>
      <c r="F821" s="4" cm="1">
        <f t="array" ref="F821">IFERROR(INDEX(EmployeeData[Age], ROW() - 37), "")</f>
        <v>52</v>
      </c>
      <c r="G821" s="6" cm="1">
        <f t="array" ref="G821">IFERROR(INDEX(EmployeeData[Join Date], ROW() - 37), "")</f>
        <v>43268</v>
      </c>
      <c r="H821" s="6" t="str" cm="1">
        <f t="array" ref="H821">IFERROR(IF(INDEX(EmployeeData[Exit Date], ROW() - 37)=0, "",INDEX(EmployeeData[Exit Date], ROW() - 37)),"")</f>
        <v/>
      </c>
      <c r="I821" s="4" t="str" cm="1">
        <f t="array" ref="I821">IFERROR(IF(INDEX(EmployeeData[Exit Reason], ROW() - 37)=0, "",INDEX(EmployeeData[Exit Reason], ROW() - 37)),"")</f>
        <v/>
      </c>
      <c r="J821" s="4" t="str" cm="1">
        <f t="array" ref="J821">IFERROR(INDEX(EmployeeData[Status], ROW() - 37), "")</f>
        <v>Active</v>
      </c>
    </row>
    <row r="822" spans="2:10" ht="19.95" customHeight="1" x14ac:dyDescent="0.3">
      <c r="B822" s="4" cm="1">
        <f t="array" ref="B822">IFERROR(INDEX(EmployeeData[Employee ID], ROW() - 37), "")</f>
        <v>1785</v>
      </c>
      <c r="C822" s="4" t="str" cm="1">
        <f t="array" ref="C822">IFERROR(INDEX(EmployeeData[Full Name], ROW() - 37), "")</f>
        <v>Juan Aguilar Del Rosario</v>
      </c>
      <c r="D822" s="4" t="str" cm="1">
        <f t="array" ref="D822">IFERROR(INDEX(EmployeeData[Department], ROW() - 37), "")</f>
        <v>Sales</v>
      </c>
      <c r="E822" s="4" t="str" cm="1">
        <f t="array" ref="E822">IFERROR(INDEX(EmployeeData[Gender], ROW() - 37), "")</f>
        <v>Other</v>
      </c>
      <c r="F822" s="4" cm="1">
        <f t="array" ref="F822">IFERROR(INDEX(EmployeeData[Age], ROW() - 37), "")</f>
        <v>28</v>
      </c>
      <c r="G822" s="6" cm="1">
        <f t="array" ref="G822">IFERROR(INDEX(EmployeeData[Join Date], ROW() - 37), "")</f>
        <v>44532</v>
      </c>
      <c r="H822" s="6" cm="1">
        <f t="array" ref="H822">IFERROR(IF(INDEX(EmployeeData[Exit Date], ROW() - 37)=0, "",INDEX(EmployeeData[Exit Date], ROW() - 37)),"")</f>
        <v>45203</v>
      </c>
      <c r="I822" s="4" t="str" cm="1">
        <f t="array" ref="I822">IFERROR(IF(INDEX(EmployeeData[Exit Reason], ROW() - 37)=0, "",INDEX(EmployeeData[Exit Reason], ROW() - 37)),"")</f>
        <v>Better Opportunity</v>
      </c>
      <c r="J822" s="4" t="str" cm="1">
        <f t="array" ref="J822">IFERROR(INDEX(EmployeeData[Status], ROW() - 37), "")</f>
        <v>Exited</v>
      </c>
    </row>
    <row r="823" spans="2:10" ht="19.95" customHeight="1" x14ac:dyDescent="0.3">
      <c r="B823" s="4" cm="1">
        <f t="array" ref="B823">IFERROR(INDEX(EmployeeData[Employee ID], ROW() - 37), "")</f>
        <v>1786</v>
      </c>
      <c r="C823" s="4" t="str" cm="1">
        <f t="array" ref="C823">IFERROR(INDEX(EmployeeData[Full Name], ROW() - 37), "")</f>
        <v>Juan Elegado</v>
      </c>
      <c r="D823" s="4" t="str" cm="1">
        <f t="array" ref="D823">IFERROR(INDEX(EmployeeData[Department], ROW() - 37), "")</f>
        <v>Marketing</v>
      </c>
      <c r="E823" s="4" t="str" cm="1">
        <f t="array" ref="E823">IFERROR(INDEX(EmployeeData[Gender], ROW() - 37), "")</f>
        <v>Male</v>
      </c>
      <c r="F823" s="4" cm="1">
        <f t="array" ref="F823">IFERROR(INDEX(EmployeeData[Age], ROW() - 37), "")</f>
        <v>34</v>
      </c>
      <c r="G823" s="6" cm="1">
        <f t="array" ref="G823">IFERROR(INDEX(EmployeeData[Join Date], ROW() - 37), "")</f>
        <v>45491</v>
      </c>
      <c r="H823" s="6" t="str" cm="1">
        <f t="array" ref="H823">IFERROR(IF(INDEX(EmployeeData[Exit Date], ROW() - 37)=0, "",INDEX(EmployeeData[Exit Date], ROW() - 37)),"")</f>
        <v/>
      </c>
      <c r="I823" s="4" t="str" cm="1">
        <f t="array" ref="I823">IFERROR(IF(INDEX(EmployeeData[Exit Reason], ROW() - 37)=0, "",INDEX(EmployeeData[Exit Reason], ROW() - 37)),"")</f>
        <v/>
      </c>
      <c r="J823" s="4" t="str" cm="1">
        <f t="array" ref="J823">IFERROR(INDEX(EmployeeData[Status], ROW() - 37), "")</f>
        <v>Active</v>
      </c>
    </row>
    <row r="824" spans="2:10" ht="19.95" customHeight="1" x14ac:dyDescent="0.3">
      <c r="B824" s="4" cm="1">
        <f t="array" ref="B824">IFERROR(INDEX(EmployeeData[Employee ID], ROW() - 37), "")</f>
        <v>1787</v>
      </c>
      <c r="C824" s="4" t="str" cm="1">
        <f t="array" ref="C824">IFERROR(INDEX(EmployeeData[Full Name], ROW() - 37), "")</f>
        <v>Danilo Torres Bautista</v>
      </c>
      <c r="D824" s="4" t="str" cm="1">
        <f t="array" ref="D824">IFERROR(INDEX(EmployeeData[Department], ROW() - 37), "")</f>
        <v>Customer Support</v>
      </c>
      <c r="E824" s="4" t="str" cm="1">
        <f t="array" ref="E824">IFERROR(INDEX(EmployeeData[Gender], ROW() - 37), "")</f>
        <v>Other</v>
      </c>
      <c r="F824" s="4" cm="1">
        <f t="array" ref="F824">IFERROR(INDEX(EmployeeData[Age], ROW() - 37), "")</f>
        <v>36</v>
      </c>
      <c r="G824" s="6" cm="1">
        <f t="array" ref="G824">IFERROR(INDEX(EmployeeData[Join Date], ROW() - 37), "")</f>
        <v>45141</v>
      </c>
      <c r="H824" s="6" t="str" cm="1">
        <f t="array" ref="H824">IFERROR(IF(INDEX(EmployeeData[Exit Date], ROW() - 37)=0, "",INDEX(EmployeeData[Exit Date], ROW() - 37)),"")</f>
        <v/>
      </c>
      <c r="I824" s="4" t="str" cm="1">
        <f t="array" ref="I824">IFERROR(IF(INDEX(EmployeeData[Exit Reason], ROW() - 37)=0, "",INDEX(EmployeeData[Exit Reason], ROW() - 37)),"")</f>
        <v/>
      </c>
      <c r="J824" s="4" t="str" cm="1">
        <f t="array" ref="J824">IFERROR(INDEX(EmployeeData[Status], ROW() - 37), "")</f>
        <v>Active</v>
      </c>
    </row>
    <row r="825" spans="2:10" ht="19.95" customHeight="1" x14ac:dyDescent="0.3">
      <c r="B825" s="4" cm="1">
        <f t="array" ref="B825">IFERROR(INDEX(EmployeeData[Employee ID], ROW() - 37), "")</f>
        <v>1788</v>
      </c>
      <c r="C825" s="4" t="str" cm="1">
        <f t="array" ref="C825">IFERROR(INDEX(EmployeeData[Full Name], ROW() - 37), "")</f>
        <v>Ferdi Roque</v>
      </c>
      <c r="D825" s="4" t="str" cm="1">
        <f t="array" ref="D825">IFERROR(INDEX(EmployeeData[Department], ROW() - 37), "")</f>
        <v>IT</v>
      </c>
      <c r="E825" s="4" t="str" cm="1">
        <f t="array" ref="E825">IFERROR(INDEX(EmployeeData[Gender], ROW() - 37), "")</f>
        <v>Male</v>
      </c>
      <c r="F825" s="4" cm="1">
        <f t="array" ref="F825">IFERROR(INDEX(EmployeeData[Age], ROW() - 37), "")</f>
        <v>27</v>
      </c>
      <c r="G825" s="6" cm="1">
        <f t="array" ref="G825">IFERROR(INDEX(EmployeeData[Join Date], ROW() - 37), "")</f>
        <v>44426</v>
      </c>
      <c r="H825" s="6" cm="1">
        <f t="array" ref="H825">IFERROR(IF(INDEX(EmployeeData[Exit Date], ROW() - 37)=0, "",INDEX(EmployeeData[Exit Date], ROW() - 37)),"")</f>
        <v>44682</v>
      </c>
      <c r="I825" s="4" t="str" cm="1">
        <f t="array" ref="I825">IFERROR(IF(INDEX(EmployeeData[Exit Reason], ROW() - 37)=0, "",INDEX(EmployeeData[Exit Reason], ROW() - 37)),"")</f>
        <v>Termination</v>
      </c>
      <c r="J825" s="4" t="str" cm="1">
        <f t="array" ref="J825">IFERROR(INDEX(EmployeeData[Status], ROW() - 37), "")</f>
        <v>Exited</v>
      </c>
    </row>
    <row r="826" spans="2:10" ht="19.95" customHeight="1" x14ac:dyDescent="0.3">
      <c r="B826" s="4" cm="1">
        <f t="array" ref="B826">IFERROR(INDEX(EmployeeData[Employee ID], ROW() - 37), "")</f>
        <v>1789</v>
      </c>
      <c r="C826" s="4" t="str" cm="1">
        <f t="array" ref="C826">IFERROR(INDEX(EmployeeData[Full Name], ROW() - 37), "")</f>
        <v>Warren Dalisay</v>
      </c>
      <c r="D826" s="4" t="str" cm="1">
        <f t="array" ref="D826">IFERROR(INDEX(EmployeeData[Department], ROW() - 37), "")</f>
        <v>IT</v>
      </c>
      <c r="E826" s="4" t="str" cm="1">
        <f t="array" ref="E826">IFERROR(INDEX(EmployeeData[Gender], ROW() - 37), "")</f>
        <v>Male</v>
      </c>
      <c r="F826" s="4" cm="1">
        <f t="array" ref="F826">IFERROR(INDEX(EmployeeData[Age], ROW() - 37), "")</f>
        <v>42</v>
      </c>
      <c r="G826" s="6" cm="1">
        <f t="array" ref="G826">IFERROR(INDEX(EmployeeData[Join Date], ROW() - 37), "")</f>
        <v>43280</v>
      </c>
      <c r="H826" s="6" t="str" cm="1">
        <f t="array" ref="H826">IFERROR(IF(INDEX(EmployeeData[Exit Date], ROW() - 37)=0, "",INDEX(EmployeeData[Exit Date], ROW() - 37)),"")</f>
        <v/>
      </c>
      <c r="I826" s="4" t="str" cm="1">
        <f t="array" ref="I826">IFERROR(IF(INDEX(EmployeeData[Exit Reason], ROW() - 37)=0, "",INDEX(EmployeeData[Exit Reason], ROW() - 37)),"")</f>
        <v/>
      </c>
      <c r="J826" s="4" t="str" cm="1">
        <f t="array" ref="J826">IFERROR(INDEX(EmployeeData[Status], ROW() - 37), "")</f>
        <v>Active</v>
      </c>
    </row>
    <row r="827" spans="2:10" ht="19.95" customHeight="1" x14ac:dyDescent="0.3">
      <c r="B827" s="4" cm="1">
        <f t="array" ref="B827">IFERROR(INDEX(EmployeeData[Employee ID], ROW() - 37), "")</f>
        <v>1790</v>
      </c>
      <c r="C827" s="4" t="str" cm="1">
        <f t="array" ref="C827">IFERROR(INDEX(EmployeeData[Full Name], ROW() - 37), "")</f>
        <v>Carlos Dalisay</v>
      </c>
      <c r="D827" s="4" t="str" cm="1">
        <f t="array" ref="D827">IFERROR(INDEX(EmployeeData[Department], ROW() - 37), "")</f>
        <v>Finance</v>
      </c>
      <c r="E827" s="4" t="str" cm="1">
        <f t="array" ref="E827">IFERROR(INDEX(EmployeeData[Gender], ROW() - 37), "")</f>
        <v>Other</v>
      </c>
      <c r="F827" s="4" cm="1">
        <f t="array" ref="F827">IFERROR(INDEX(EmployeeData[Age], ROW() - 37), "")</f>
        <v>57</v>
      </c>
      <c r="G827" s="6" cm="1">
        <f t="array" ref="G827">IFERROR(INDEX(EmployeeData[Join Date], ROW() - 37), "")</f>
        <v>43630</v>
      </c>
      <c r="H827" s="6" cm="1">
        <f t="array" ref="H827">IFERROR(IF(INDEX(EmployeeData[Exit Date], ROW() - 37)=0, "",INDEX(EmployeeData[Exit Date], ROW() - 37)),"")</f>
        <v>43919</v>
      </c>
      <c r="I827" s="4" t="str" cm="1">
        <f t="array" ref="I827">IFERROR(IF(INDEX(EmployeeData[Exit Reason], ROW() - 37)=0, "",INDEX(EmployeeData[Exit Reason], ROW() - 37)),"")</f>
        <v>Resignation</v>
      </c>
      <c r="J827" s="4" t="str" cm="1">
        <f t="array" ref="J827">IFERROR(INDEX(EmployeeData[Status], ROW() - 37), "")</f>
        <v>Exited</v>
      </c>
    </row>
    <row r="828" spans="2:10" ht="19.95" customHeight="1" x14ac:dyDescent="0.3">
      <c r="B828" s="4" cm="1">
        <f t="array" ref="B828">IFERROR(INDEX(EmployeeData[Employee ID], ROW() - 37), "")</f>
        <v>1791</v>
      </c>
      <c r="C828" s="4" t="str" cm="1">
        <f t="array" ref="C828">IFERROR(INDEX(EmployeeData[Full Name], ROW() - 37), "")</f>
        <v>Hernando Sy</v>
      </c>
      <c r="D828" s="4" t="str" cm="1">
        <f t="array" ref="D828">IFERROR(INDEX(EmployeeData[Department], ROW() - 37), "")</f>
        <v>HR</v>
      </c>
      <c r="E828" s="4" t="str" cm="1">
        <f t="array" ref="E828">IFERROR(INDEX(EmployeeData[Gender], ROW() - 37), "")</f>
        <v>Male</v>
      </c>
      <c r="F828" s="4" cm="1">
        <f t="array" ref="F828">IFERROR(INDEX(EmployeeData[Age], ROW() - 37), "")</f>
        <v>45</v>
      </c>
      <c r="G828" s="6" cm="1">
        <f t="array" ref="G828">IFERROR(INDEX(EmployeeData[Join Date], ROW() - 37), "")</f>
        <v>43480</v>
      </c>
      <c r="H828" s="6" t="str" cm="1">
        <f t="array" ref="H828">IFERROR(IF(INDEX(EmployeeData[Exit Date], ROW() - 37)=0, "",INDEX(EmployeeData[Exit Date], ROW() - 37)),"")</f>
        <v/>
      </c>
      <c r="I828" s="4" t="str" cm="1">
        <f t="array" ref="I828">IFERROR(IF(INDEX(EmployeeData[Exit Reason], ROW() - 37)=0, "",INDEX(EmployeeData[Exit Reason], ROW() - 37)),"")</f>
        <v/>
      </c>
      <c r="J828" s="4" t="str" cm="1">
        <f t="array" ref="J828">IFERROR(INDEX(EmployeeData[Status], ROW() - 37), "")</f>
        <v>Active</v>
      </c>
    </row>
    <row r="829" spans="2:10" ht="19.95" customHeight="1" x14ac:dyDescent="0.3">
      <c r="B829" s="4" cm="1">
        <f t="array" ref="B829">IFERROR(INDEX(EmployeeData[Employee ID], ROW() - 37), "")</f>
        <v>1792</v>
      </c>
      <c r="C829" s="4" t="str" cm="1">
        <f t="array" ref="C829">IFERROR(INDEX(EmployeeData[Full Name], ROW() - 37), "")</f>
        <v>Vanessa Co</v>
      </c>
      <c r="D829" s="4" t="str" cm="1">
        <f t="array" ref="D829">IFERROR(INDEX(EmployeeData[Department], ROW() - 37), "")</f>
        <v>Sales</v>
      </c>
      <c r="E829" s="4" t="str" cm="1">
        <f t="array" ref="E829">IFERROR(INDEX(EmployeeData[Gender], ROW() - 37), "")</f>
        <v>Female</v>
      </c>
      <c r="F829" s="4" cm="1">
        <f t="array" ref="F829">IFERROR(INDEX(EmployeeData[Age], ROW() - 37), "")</f>
        <v>34</v>
      </c>
      <c r="G829" s="6" cm="1">
        <f t="array" ref="G829">IFERROR(INDEX(EmployeeData[Join Date], ROW() - 37), "")</f>
        <v>43768</v>
      </c>
      <c r="H829" s="6" t="str" cm="1">
        <f t="array" ref="H829">IFERROR(IF(INDEX(EmployeeData[Exit Date], ROW() - 37)=0, "",INDEX(EmployeeData[Exit Date], ROW() - 37)),"")</f>
        <v/>
      </c>
      <c r="I829" s="4" t="str" cm="1">
        <f t="array" ref="I829">IFERROR(IF(INDEX(EmployeeData[Exit Reason], ROW() - 37)=0, "",INDEX(EmployeeData[Exit Reason], ROW() - 37)),"")</f>
        <v/>
      </c>
      <c r="J829" s="4" t="str" cm="1">
        <f t="array" ref="J829">IFERROR(INDEX(EmployeeData[Status], ROW() - 37), "")</f>
        <v>Active</v>
      </c>
    </row>
    <row r="830" spans="2:10" ht="19.95" customHeight="1" x14ac:dyDescent="0.3">
      <c r="B830" s="4" cm="1">
        <f t="array" ref="B830">IFERROR(INDEX(EmployeeData[Employee ID], ROW() - 37), "")</f>
        <v>1793</v>
      </c>
      <c r="C830" s="4" t="str" cm="1">
        <f t="array" ref="C830">IFERROR(INDEX(EmployeeData[Full Name], ROW() - 37), "")</f>
        <v>Grace Guevarra</v>
      </c>
      <c r="D830" s="4" t="str" cm="1">
        <f t="array" ref="D830">IFERROR(INDEX(EmployeeData[Department], ROW() - 37), "")</f>
        <v>Finance</v>
      </c>
      <c r="E830" s="4" t="str" cm="1">
        <f t="array" ref="E830">IFERROR(INDEX(EmployeeData[Gender], ROW() - 37), "")</f>
        <v>Female</v>
      </c>
      <c r="F830" s="4" cm="1">
        <f t="array" ref="F830">IFERROR(INDEX(EmployeeData[Age], ROW() - 37), "")</f>
        <v>40</v>
      </c>
      <c r="G830" s="6" cm="1">
        <f t="array" ref="G830">IFERROR(INDEX(EmployeeData[Join Date], ROW() - 37), "")</f>
        <v>45111</v>
      </c>
      <c r="H830" s="6" t="str" cm="1">
        <f t="array" ref="H830">IFERROR(IF(INDEX(EmployeeData[Exit Date], ROW() - 37)=0, "",INDEX(EmployeeData[Exit Date], ROW() - 37)),"")</f>
        <v/>
      </c>
      <c r="I830" s="4" t="str" cm="1">
        <f t="array" ref="I830">IFERROR(IF(INDEX(EmployeeData[Exit Reason], ROW() - 37)=0, "",INDEX(EmployeeData[Exit Reason], ROW() - 37)),"")</f>
        <v/>
      </c>
      <c r="J830" s="4" t="str" cm="1">
        <f t="array" ref="J830">IFERROR(INDEX(EmployeeData[Status], ROW() - 37), "")</f>
        <v>Active</v>
      </c>
    </row>
    <row r="831" spans="2:10" ht="19.95" customHeight="1" x14ac:dyDescent="0.3">
      <c r="B831" s="4" cm="1">
        <f t="array" ref="B831">IFERROR(INDEX(EmployeeData[Employee ID], ROW() - 37), "")</f>
        <v>1794</v>
      </c>
      <c r="C831" s="4" t="str" cm="1">
        <f t="array" ref="C831">IFERROR(INDEX(EmployeeData[Full Name], ROW() - 37), "")</f>
        <v>Gina Sy Wong</v>
      </c>
      <c r="D831" s="4" t="str" cm="1">
        <f t="array" ref="D831">IFERROR(INDEX(EmployeeData[Department], ROW() - 37), "")</f>
        <v>IT</v>
      </c>
      <c r="E831" s="4" t="str" cm="1">
        <f t="array" ref="E831">IFERROR(INDEX(EmployeeData[Gender], ROW() - 37), "")</f>
        <v>Female</v>
      </c>
      <c r="F831" s="4" cm="1">
        <f t="array" ref="F831">IFERROR(INDEX(EmployeeData[Age], ROW() - 37), "")</f>
        <v>44</v>
      </c>
      <c r="G831" s="6" cm="1">
        <f t="array" ref="G831">IFERROR(INDEX(EmployeeData[Join Date], ROW() - 37), "")</f>
        <v>45200</v>
      </c>
      <c r="H831" s="6" cm="1">
        <f t="array" ref="H831">IFERROR(IF(INDEX(EmployeeData[Exit Date], ROW() - 37)=0, "",INDEX(EmployeeData[Exit Date], ROW() - 37)),"")</f>
        <v>45746</v>
      </c>
      <c r="I831" s="4" t="str" cm="1">
        <f t="array" ref="I831">IFERROR(IF(INDEX(EmployeeData[Exit Reason], ROW() - 37)=0, "",INDEX(EmployeeData[Exit Reason], ROW() - 37)),"")</f>
        <v>Resignation</v>
      </c>
      <c r="J831" s="4" t="str" cm="1">
        <f t="array" ref="J831">IFERROR(INDEX(EmployeeData[Status], ROW() - 37), "")</f>
        <v>Exited</v>
      </c>
    </row>
    <row r="832" spans="2:10" ht="19.95" customHeight="1" x14ac:dyDescent="0.3">
      <c r="B832" s="4" cm="1">
        <f t="array" ref="B832">IFERROR(INDEX(EmployeeData[Employee ID], ROW() - 37), "")</f>
        <v>1795</v>
      </c>
      <c r="C832" s="4" t="str" cm="1">
        <f t="array" ref="C832">IFERROR(INDEX(EmployeeData[Full Name], ROW() - 37), "")</f>
        <v>Eduardo Go Cueto</v>
      </c>
      <c r="D832" s="4" t="str" cm="1">
        <f t="array" ref="D832">IFERROR(INDEX(EmployeeData[Department], ROW() - 37), "")</f>
        <v>Customer Support</v>
      </c>
      <c r="E832" s="4" t="str" cm="1">
        <f t="array" ref="E832">IFERROR(INDEX(EmployeeData[Gender], ROW() - 37), "")</f>
        <v>Male</v>
      </c>
      <c r="F832" s="4" cm="1">
        <f t="array" ref="F832">IFERROR(INDEX(EmployeeData[Age], ROW() - 37), "")</f>
        <v>44</v>
      </c>
      <c r="G832" s="6" cm="1">
        <f t="array" ref="G832">IFERROR(INDEX(EmployeeData[Join Date], ROW() - 37), "")</f>
        <v>45615</v>
      </c>
      <c r="H832" s="6" cm="1">
        <f t="array" ref="H832">IFERROR(IF(INDEX(EmployeeData[Exit Date], ROW() - 37)=0, "",INDEX(EmployeeData[Exit Date], ROW() - 37)),"")</f>
        <v>46027</v>
      </c>
      <c r="I832" s="4" t="str" cm="1">
        <f t="array" ref="I832">IFERROR(IF(INDEX(EmployeeData[Exit Reason], ROW() - 37)=0, "",INDEX(EmployeeData[Exit Reason], ROW() - 37)),"")</f>
        <v>Termination</v>
      </c>
      <c r="J832" s="4" t="str" cm="1">
        <f t="array" ref="J832">IFERROR(INDEX(EmployeeData[Status], ROW() - 37), "")</f>
        <v>Exited</v>
      </c>
    </row>
    <row r="833" spans="2:10" ht="19.95" customHeight="1" x14ac:dyDescent="0.3">
      <c r="B833" s="4" cm="1">
        <f t="array" ref="B833">IFERROR(INDEX(EmployeeData[Employee ID], ROW() - 37), "")</f>
        <v>1796</v>
      </c>
      <c r="C833" s="4" t="str" cm="1">
        <f t="array" ref="C833">IFERROR(INDEX(EmployeeData[Full Name], ROW() - 37), "")</f>
        <v>Mark Sy Ramos</v>
      </c>
      <c r="D833" s="4" t="str" cm="1">
        <f t="array" ref="D833">IFERROR(INDEX(EmployeeData[Department], ROW() - 37), "")</f>
        <v>HR</v>
      </c>
      <c r="E833" s="4" t="str" cm="1">
        <f t="array" ref="E833">IFERROR(INDEX(EmployeeData[Gender], ROW() - 37), "")</f>
        <v>Male</v>
      </c>
      <c r="F833" s="4" cm="1">
        <f t="array" ref="F833">IFERROR(INDEX(EmployeeData[Age], ROW() - 37), "")</f>
        <v>30</v>
      </c>
      <c r="G833" s="6" cm="1">
        <f t="array" ref="G833">IFERROR(INDEX(EmployeeData[Join Date], ROW() - 37), "")</f>
        <v>45129</v>
      </c>
      <c r="H833" s="6" t="str" cm="1">
        <f t="array" ref="H833">IFERROR(IF(INDEX(EmployeeData[Exit Date], ROW() - 37)=0, "",INDEX(EmployeeData[Exit Date], ROW() - 37)),"")</f>
        <v/>
      </c>
      <c r="I833" s="4" t="str" cm="1">
        <f t="array" ref="I833">IFERROR(IF(INDEX(EmployeeData[Exit Reason], ROW() - 37)=0, "",INDEX(EmployeeData[Exit Reason], ROW() - 37)),"")</f>
        <v/>
      </c>
      <c r="J833" s="4" t="str" cm="1">
        <f t="array" ref="J833">IFERROR(INDEX(EmployeeData[Status], ROW() - 37), "")</f>
        <v>Active</v>
      </c>
    </row>
    <row r="834" spans="2:10" ht="19.95" customHeight="1" x14ac:dyDescent="0.3">
      <c r="B834" s="4" cm="1">
        <f t="array" ref="B834">IFERROR(INDEX(EmployeeData[Employee ID], ROW() - 37), "")</f>
        <v>1797</v>
      </c>
      <c r="C834" s="4" t="str" cm="1">
        <f t="array" ref="C834">IFERROR(INDEX(EmployeeData[Full Name], ROW() - 37), "")</f>
        <v>Manuel Pascual Uy</v>
      </c>
      <c r="D834" s="4" t="str" cm="1">
        <f t="array" ref="D834">IFERROR(INDEX(EmployeeData[Department], ROW() - 37), "")</f>
        <v>Customer Support</v>
      </c>
      <c r="E834" s="4" t="str" cm="1">
        <f t="array" ref="E834">IFERROR(INDEX(EmployeeData[Gender], ROW() - 37), "")</f>
        <v>Other</v>
      </c>
      <c r="F834" s="4" cm="1">
        <f t="array" ref="F834">IFERROR(INDEX(EmployeeData[Age], ROW() - 37), "")</f>
        <v>40</v>
      </c>
      <c r="G834" s="6" cm="1">
        <f t="array" ref="G834">IFERROR(INDEX(EmployeeData[Join Date], ROW() - 37), "")</f>
        <v>43709</v>
      </c>
      <c r="H834" s="6" t="str" cm="1">
        <f t="array" ref="H834">IFERROR(IF(INDEX(EmployeeData[Exit Date], ROW() - 37)=0, "",INDEX(EmployeeData[Exit Date], ROW() - 37)),"")</f>
        <v/>
      </c>
      <c r="I834" s="4" t="str" cm="1">
        <f t="array" ref="I834">IFERROR(IF(INDEX(EmployeeData[Exit Reason], ROW() - 37)=0, "",INDEX(EmployeeData[Exit Reason], ROW() - 37)),"")</f>
        <v/>
      </c>
      <c r="J834" s="4" t="str" cm="1">
        <f t="array" ref="J834">IFERROR(INDEX(EmployeeData[Status], ROW() - 37), "")</f>
        <v>Active</v>
      </c>
    </row>
    <row r="835" spans="2:10" ht="19.95" customHeight="1" x14ac:dyDescent="0.3">
      <c r="B835" s="4" cm="1">
        <f t="array" ref="B835">IFERROR(INDEX(EmployeeData[Employee ID], ROW() - 37), "")</f>
        <v>1798</v>
      </c>
      <c r="C835" s="4" t="str" cm="1">
        <f t="array" ref="C835">IFERROR(INDEX(EmployeeData[Full Name], ROW() - 37), "")</f>
        <v>Cardo Delos Reyes</v>
      </c>
      <c r="D835" s="4" t="str" cm="1">
        <f t="array" ref="D835">IFERROR(INDEX(EmployeeData[Department], ROW() - 37), "")</f>
        <v>Marketing</v>
      </c>
      <c r="E835" s="4" t="str" cm="1">
        <f t="array" ref="E835">IFERROR(INDEX(EmployeeData[Gender], ROW() - 37), "")</f>
        <v>Male</v>
      </c>
      <c r="F835" s="4" cm="1">
        <f t="array" ref="F835">IFERROR(INDEX(EmployeeData[Age], ROW() - 37), "")</f>
        <v>23</v>
      </c>
      <c r="G835" s="6" cm="1">
        <f t="array" ref="G835">IFERROR(INDEX(EmployeeData[Join Date], ROW() - 37), "")</f>
        <v>45203</v>
      </c>
      <c r="H835" s="6" cm="1">
        <f t="array" ref="H835">IFERROR(IF(INDEX(EmployeeData[Exit Date], ROW() - 37)=0, "",INDEX(EmployeeData[Exit Date], ROW() - 37)),"")</f>
        <v>45728</v>
      </c>
      <c r="I835" s="4" t="str" cm="1">
        <f t="array" ref="I835">IFERROR(IF(INDEX(EmployeeData[Exit Reason], ROW() - 37)=0, "",INDEX(EmployeeData[Exit Reason], ROW() - 37)),"")</f>
        <v>Termination</v>
      </c>
      <c r="J835" s="4" t="str" cm="1">
        <f t="array" ref="J835">IFERROR(INDEX(EmployeeData[Status], ROW() - 37), "")</f>
        <v>Exited</v>
      </c>
    </row>
    <row r="836" spans="2:10" ht="19.95" customHeight="1" x14ac:dyDescent="0.3">
      <c r="B836" s="4" cm="1">
        <f t="array" ref="B836">IFERROR(INDEX(EmployeeData[Employee ID], ROW() - 37), "")</f>
        <v>1799</v>
      </c>
      <c r="C836" s="4" t="str" cm="1">
        <f t="array" ref="C836">IFERROR(INDEX(EmployeeData[Full Name], ROW() - 37), "")</f>
        <v>Miguel Gonzales</v>
      </c>
      <c r="D836" s="4" t="str" cm="1">
        <f t="array" ref="D836">IFERROR(INDEX(EmployeeData[Department], ROW() - 37), "")</f>
        <v>Sales</v>
      </c>
      <c r="E836" s="4" t="str" cm="1">
        <f t="array" ref="E836">IFERROR(INDEX(EmployeeData[Gender], ROW() - 37), "")</f>
        <v>Male</v>
      </c>
      <c r="F836" s="4" cm="1">
        <f t="array" ref="F836">IFERROR(INDEX(EmployeeData[Age], ROW() - 37), "")</f>
        <v>58</v>
      </c>
      <c r="G836" s="6" cm="1">
        <f t="array" ref="G836">IFERROR(INDEX(EmployeeData[Join Date], ROW() - 37), "")</f>
        <v>43435</v>
      </c>
      <c r="H836" s="6" t="str" cm="1">
        <f t="array" ref="H836">IFERROR(IF(INDEX(EmployeeData[Exit Date], ROW() - 37)=0, "",INDEX(EmployeeData[Exit Date], ROW() - 37)),"")</f>
        <v/>
      </c>
      <c r="I836" s="4" t="str" cm="1">
        <f t="array" ref="I836">IFERROR(IF(INDEX(EmployeeData[Exit Reason], ROW() - 37)=0, "",INDEX(EmployeeData[Exit Reason], ROW() - 37)),"")</f>
        <v/>
      </c>
      <c r="J836" s="4" t="str" cm="1">
        <f t="array" ref="J836">IFERROR(INDEX(EmployeeData[Status], ROW() - 37), "")</f>
        <v>Active</v>
      </c>
    </row>
    <row r="837" spans="2:10" ht="19.95" customHeight="1" x14ac:dyDescent="0.3">
      <c r="B837" s="4" cm="1">
        <f t="array" ref="B837">IFERROR(INDEX(EmployeeData[Employee ID], ROW() - 37), "")</f>
        <v>1800</v>
      </c>
      <c r="C837" s="4" t="str" cm="1">
        <f t="array" ref="C837">IFERROR(INDEX(EmployeeData[Full Name], ROW() - 37), "")</f>
        <v>Luisa Trinidad</v>
      </c>
      <c r="D837" s="4" t="str" cm="1">
        <f t="array" ref="D837">IFERROR(INDEX(EmployeeData[Department], ROW() - 37), "")</f>
        <v>Marketing</v>
      </c>
      <c r="E837" s="4" t="str" cm="1">
        <f t="array" ref="E837">IFERROR(INDEX(EmployeeData[Gender], ROW() - 37), "")</f>
        <v>Other</v>
      </c>
      <c r="F837" s="4" cm="1">
        <f t="array" ref="F837">IFERROR(INDEX(EmployeeData[Age], ROW() - 37), "")</f>
        <v>64</v>
      </c>
      <c r="G837" s="6" cm="1">
        <f t="array" ref="G837">IFERROR(INDEX(EmployeeData[Join Date], ROW() - 37), "")</f>
        <v>43286</v>
      </c>
      <c r="H837" s="6" cm="1">
        <f t="array" ref="H837">IFERROR(IF(INDEX(EmployeeData[Exit Date], ROW() - 37)=0, "",INDEX(EmployeeData[Exit Date], ROW() - 37)),"")</f>
        <v>44595</v>
      </c>
      <c r="I837" s="4" t="str" cm="1">
        <f t="array" ref="I837">IFERROR(IF(INDEX(EmployeeData[Exit Reason], ROW() - 37)=0, "",INDEX(EmployeeData[Exit Reason], ROW() - 37)),"")</f>
        <v>Retirement</v>
      </c>
      <c r="J837" s="4" t="str" cm="1">
        <f t="array" ref="J837">IFERROR(INDEX(EmployeeData[Status], ROW() - 37), "")</f>
        <v>Exited</v>
      </c>
    </row>
    <row r="838" spans="2:10" ht="19.95" customHeight="1" x14ac:dyDescent="0.3">
      <c r="B838" s="4" cm="1">
        <f t="array" ref="B838">IFERROR(INDEX(EmployeeData[Employee ID], ROW() - 37), "")</f>
        <v>1801</v>
      </c>
      <c r="C838" s="4" t="str" cm="1">
        <f t="array" ref="C838">IFERROR(INDEX(EmployeeData[Full Name], ROW() - 37), "")</f>
        <v>Taylor Santos Lacson</v>
      </c>
      <c r="D838" s="4" t="str" cm="1">
        <f t="array" ref="D838">IFERROR(INDEX(EmployeeData[Department], ROW() - 37), "")</f>
        <v>IT</v>
      </c>
      <c r="E838" s="4" t="str" cm="1">
        <f t="array" ref="E838">IFERROR(INDEX(EmployeeData[Gender], ROW() - 37), "")</f>
        <v>Other</v>
      </c>
      <c r="F838" s="4" cm="1">
        <f t="array" ref="F838">IFERROR(INDEX(EmployeeData[Age], ROW() - 37), "")</f>
        <v>32</v>
      </c>
      <c r="G838" s="6" cm="1">
        <f t="array" ref="G838">IFERROR(INDEX(EmployeeData[Join Date], ROW() - 37), "")</f>
        <v>43965</v>
      </c>
      <c r="H838" s="6" cm="1">
        <f t="array" ref="H838">IFERROR(IF(INDEX(EmployeeData[Exit Date], ROW() - 37)=0, "",INDEX(EmployeeData[Exit Date], ROW() - 37)),"")</f>
        <v>45117</v>
      </c>
      <c r="I838" s="4" t="str" cm="1">
        <f t="array" ref="I838">IFERROR(IF(INDEX(EmployeeData[Exit Reason], ROW() - 37)=0, "",INDEX(EmployeeData[Exit Reason], ROW() - 37)),"")</f>
        <v>Resignation</v>
      </c>
      <c r="J838" s="4" t="str" cm="1">
        <f t="array" ref="J838">IFERROR(INDEX(EmployeeData[Status], ROW() - 37), "")</f>
        <v>Exited</v>
      </c>
    </row>
    <row r="839" spans="2:10" ht="19.95" customHeight="1" x14ac:dyDescent="0.3">
      <c r="B839" s="4" cm="1">
        <f t="array" ref="B839">IFERROR(INDEX(EmployeeData[Employee ID], ROW() - 37), "")</f>
        <v>1802</v>
      </c>
      <c r="C839" s="4" t="str" cm="1">
        <f t="array" ref="C839">IFERROR(INDEX(EmployeeData[Full Name], ROW() - 37), "")</f>
        <v>Ivy Sia</v>
      </c>
      <c r="D839" s="4" t="str" cm="1">
        <f t="array" ref="D839">IFERROR(INDEX(EmployeeData[Department], ROW() - 37), "")</f>
        <v>IT</v>
      </c>
      <c r="E839" s="4" t="str" cm="1">
        <f t="array" ref="E839">IFERROR(INDEX(EmployeeData[Gender], ROW() - 37), "")</f>
        <v>Female</v>
      </c>
      <c r="F839" s="4" cm="1">
        <f t="array" ref="F839">IFERROR(INDEX(EmployeeData[Age], ROW() - 37), "")</f>
        <v>51</v>
      </c>
      <c r="G839" s="6" cm="1">
        <f t="array" ref="G839">IFERROR(INDEX(EmployeeData[Join Date], ROW() - 37), "")</f>
        <v>44985</v>
      </c>
      <c r="H839" s="6" t="str" cm="1">
        <f t="array" ref="H839">IFERROR(IF(INDEX(EmployeeData[Exit Date], ROW() - 37)=0, "",INDEX(EmployeeData[Exit Date], ROW() - 37)),"")</f>
        <v/>
      </c>
      <c r="I839" s="4" t="str" cm="1">
        <f t="array" ref="I839">IFERROR(IF(INDEX(EmployeeData[Exit Reason], ROW() - 37)=0, "",INDEX(EmployeeData[Exit Reason], ROW() - 37)),"")</f>
        <v/>
      </c>
      <c r="J839" s="4" t="str" cm="1">
        <f t="array" ref="J839">IFERROR(INDEX(EmployeeData[Status], ROW() - 37), "")</f>
        <v>Active</v>
      </c>
    </row>
    <row r="840" spans="2:10" ht="19.95" customHeight="1" x14ac:dyDescent="0.3">
      <c r="B840" s="4" cm="1">
        <f t="array" ref="B840">IFERROR(INDEX(EmployeeData[Employee ID], ROW() - 37), "")</f>
        <v>1803</v>
      </c>
      <c r="C840" s="4" t="str" cm="1">
        <f t="array" ref="C840">IFERROR(INDEX(EmployeeData[Full Name], ROW() - 37), "")</f>
        <v>Arnel Cruz</v>
      </c>
      <c r="D840" s="4" t="str" cm="1">
        <f t="array" ref="D840">IFERROR(INDEX(EmployeeData[Department], ROW() - 37), "")</f>
        <v>Finance</v>
      </c>
      <c r="E840" s="4" t="str" cm="1">
        <f t="array" ref="E840">IFERROR(INDEX(EmployeeData[Gender], ROW() - 37), "")</f>
        <v>Male</v>
      </c>
      <c r="F840" s="4" cm="1">
        <f t="array" ref="F840">IFERROR(INDEX(EmployeeData[Age], ROW() - 37), "")</f>
        <v>46</v>
      </c>
      <c r="G840" s="6" cm="1">
        <f t="array" ref="G840">IFERROR(INDEX(EmployeeData[Join Date], ROW() - 37), "")</f>
        <v>44340</v>
      </c>
      <c r="H840" s="6" cm="1">
        <f t="array" ref="H840">IFERROR(IF(INDEX(EmployeeData[Exit Date], ROW() - 37)=0, "",INDEX(EmployeeData[Exit Date], ROW() - 37)),"")</f>
        <v>44706</v>
      </c>
      <c r="I840" s="4" t="str" cm="1">
        <f t="array" ref="I840">IFERROR(IF(INDEX(EmployeeData[Exit Reason], ROW() - 37)=0, "",INDEX(EmployeeData[Exit Reason], ROW() - 37)),"")</f>
        <v>Better Opportunity</v>
      </c>
      <c r="J840" s="4" t="str" cm="1">
        <f t="array" ref="J840">IFERROR(INDEX(EmployeeData[Status], ROW() - 37), "")</f>
        <v>Exited</v>
      </c>
    </row>
    <row r="841" spans="2:10" ht="19.95" customHeight="1" x14ac:dyDescent="0.3">
      <c r="B841" s="4" cm="1">
        <f t="array" ref="B841">IFERROR(INDEX(EmployeeData[Employee ID], ROW() - 37), "")</f>
        <v>1804</v>
      </c>
      <c r="C841" s="4" t="str" cm="1">
        <f t="array" ref="C841">IFERROR(INDEX(EmployeeData[Full Name], ROW() - 37), "")</f>
        <v>Olive Go Diaz</v>
      </c>
      <c r="D841" s="4" t="str" cm="1">
        <f t="array" ref="D841">IFERROR(INDEX(EmployeeData[Department], ROW() - 37), "")</f>
        <v>Customer Support</v>
      </c>
      <c r="E841" s="4" t="str" cm="1">
        <f t="array" ref="E841">IFERROR(INDEX(EmployeeData[Gender], ROW() - 37), "")</f>
        <v>Female</v>
      </c>
      <c r="F841" s="4" cm="1">
        <f t="array" ref="F841">IFERROR(INDEX(EmployeeData[Age], ROW() - 37), "")</f>
        <v>51</v>
      </c>
      <c r="G841" s="6" cm="1">
        <f t="array" ref="G841">IFERROR(INDEX(EmployeeData[Join Date], ROW() - 37), "")</f>
        <v>45757</v>
      </c>
      <c r="H841" s="6" cm="1">
        <f t="array" ref="H841">IFERROR(IF(INDEX(EmployeeData[Exit Date], ROW() - 37)=0, "",INDEX(EmployeeData[Exit Date], ROW() - 37)),"")</f>
        <v>45970</v>
      </c>
      <c r="I841" s="4" t="str" cm="1">
        <f t="array" ref="I841">IFERROR(IF(INDEX(EmployeeData[Exit Reason], ROW() - 37)=0, "",INDEX(EmployeeData[Exit Reason], ROW() - 37)),"")</f>
        <v>Termination</v>
      </c>
      <c r="J841" s="4" t="str" cm="1">
        <f t="array" ref="J841">IFERROR(INDEX(EmployeeData[Status], ROW() - 37), "")</f>
        <v>Exited</v>
      </c>
    </row>
    <row r="842" spans="2:10" ht="19.95" customHeight="1" x14ac:dyDescent="0.3">
      <c r="B842" s="4" cm="1">
        <f t="array" ref="B842">IFERROR(INDEX(EmployeeData[Employee ID], ROW() - 37), "")</f>
        <v>1805</v>
      </c>
      <c r="C842" s="4" t="str" cm="1">
        <f t="array" ref="C842">IFERROR(INDEX(EmployeeData[Full Name], ROW() - 37), "")</f>
        <v>Victor Uy Viray</v>
      </c>
      <c r="D842" s="4" t="str" cm="1">
        <f t="array" ref="D842">IFERROR(INDEX(EmployeeData[Department], ROW() - 37), "")</f>
        <v>Customer Support</v>
      </c>
      <c r="E842" s="4" t="str" cm="1">
        <f t="array" ref="E842">IFERROR(INDEX(EmployeeData[Gender], ROW() - 37), "")</f>
        <v>Male</v>
      </c>
      <c r="F842" s="4" cm="1">
        <f t="array" ref="F842">IFERROR(INDEX(EmployeeData[Age], ROW() - 37), "")</f>
        <v>28</v>
      </c>
      <c r="G842" s="6" cm="1">
        <f t="array" ref="G842">IFERROR(INDEX(EmployeeData[Join Date], ROW() - 37), "")</f>
        <v>43781</v>
      </c>
      <c r="H842" s="6" t="str" cm="1">
        <f t="array" ref="H842">IFERROR(IF(INDEX(EmployeeData[Exit Date], ROW() - 37)=0, "",INDEX(EmployeeData[Exit Date], ROW() - 37)),"")</f>
        <v/>
      </c>
      <c r="I842" s="4" t="str" cm="1">
        <f t="array" ref="I842">IFERROR(IF(INDEX(EmployeeData[Exit Reason], ROW() - 37)=0, "",INDEX(EmployeeData[Exit Reason], ROW() - 37)),"")</f>
        <v/>
      </c>
      <c r="J842" s="4" t="str" cm="1">
        <f t="array" ref="J842">IFERROR(INDEX(EmployeeData[Status], ROW() - 37), "")</f>
        <v>Active</v>
      </c>
    </row>
    <row r="843" spans="2:10" ht="19.95" customHeight="1" x14ac:dyDescent="0.3">
      <c r="B843" s="4" cm="1">
        <f t="array" ref="B843">IFERROR(INDEX(EmployeeData[Employee ID], ROW() - 37), "")</f>
        <v>1806</v>
      </c>
      <c r="C843" s="4" t="str" cm="1">
        <f t="array" ref="C843">IFERROR(INDEX(EmployeeData[Full Name], ROW() - 37), "")</f>
        <v>Bea Camacho</v>
      </c>
      <c r="D843" s="4" t="str" cm="1">
        <f t="array" ref="D843">IFERROR(INDEX(EmployeeData[Department], ROW() - 37), "")</f>
        <v>Marketing</v>
      </c>
      <c r="E843" s="4" t="str" cm="1">
        <f t="array" ref="E843">IFERROR(INDEX(EmployeeData[Gender], ROW() - 37), "")</f>
        <v>Female</v>
      </c>
      <c r="F843" s="4" cm="1">
        <f t="array" ref="F843">IFERROR(INDEX(EmployeeData[Age], ROW() - 37), "")</f>
        <v>57</v>
      </c>
      <c r="G843" s="6" cm="1">
        <f t="array" ref="G843">IFERROR(INDEX(EmployeeData[Join Date], ROW() - 37), "")</f>
        <v>44705</v>
      </c>
      <c r="H843" s="6" cm="1">
        <f t="array" ref="H843">IFERROR(IF(INDEX(EmployeeData[Exit Date], ROW() - 37)=0, "",INDEX(EmployeeData[Exit Date], ROW() - 37)),"")</f>
        <v>44811</v>
      </c>
      <c r="I843" s="4" t="str" cm="1">
        <f t="array" ref="I843">IFERROR(IF(INDEX(EmployeeData[Exit Reason], ROW() - 37)=0, "",INDEX(EmployeeData[Exit Reason], ROW() - 37)),"")</f>
        <v>Better Opportunity</v>
      </c>
      <c r="J843" s="4" t="str" cm="1">
        <f t="array" ref="J843">IFERROR(INDEX(EmployeeData[Status], ROW() - 37), "")</f>
        <v>Exited</v>
      </c>
    </row>
    <row r="844" spans="2:10" ht="19.95" customHeight="1" x14ac:dyDescent="0.3">
      <c r="B844" s="4" cm="1">
        <f t="array" ref="B844">IFERROR(INDEX(EmployeeData[Employee ID], ROW() - 37), "")</f>
        <v>1807</v>
      </c>
      <c r="C844" s="4" t="str" cm="1">
        <f t="array" ref="C844">IFERROR(INDEX(EmployeeData[Full Name], ROW() - 37), "")</f>
        <v>Xander Obispo</v>
      </c>
      <c r="D844" s="4" t="str" cm="1">
        <f t="array" ref="D844">IFERROR(INDEX(EmployeeData[Department], ROW() - 37), "")</f>
        <v>HR</v>
      </c>
      <c r="E844" s="4" t="str" cm="1">
        <f t="array" ref="E844">IFERROR(INDEX(EmployeeData[Gender], ROW() - 37), "")</f>
        <v>Male</v>
      </c>
      <c r="F844" s="4" cm="1">
        <f t="array" ref="F844">IFERROR(INDEX(EmployeeData[Age], ROW() - 37), "")</f>
        <v>56</v>
      </c>
      <c r="G844" s="6" cm="1">
        <f t="array" ref="G844">IFERROR(INDEX(EmployeeData[Join Date], ROW() - 37), "")</f>
        <v>44292</v>
      </c>
      <c r="H844" s="6" cm="1">
        <f t="array" ref="H844">IFERROR(IF(INDEX(EmployeeData[Exit Date], ROW() - 37)=0, "",INDEX(EmployeeData[Exit Date], ROW() - 37)),"")</f>
        <v>45200</v>
      </c>
      <c r="I844" s="4" t="str" cm="1">
        <f t="array" ref="I844">IFERROR(IF(INDEX(EmployeeData[Exit Reason], ROW() - 37)=0, "",INDEX(EmployeeData[Exit Reason], ROW() - 37)),"")</f>
        <v>Health Issues</v>
      </c>
      <c r="J844" s="4" t="str" cm="1">
        <f t="array" ref="J844">IFERROR(INDEX(EmployeeData[Status], ROW() - 37), "")</f>
        <v>Exited</v>
      </c>
    </row>
    <row r="845" spans="2:10" ht="19.95" customHeight="1" x14ac:dyDescent="0.3">
      <c r="B845" s="4" cm="1">
        <f t="array" ref="B845">IFERROR(INDEX(EmployeeData[Employee ID], ROW() - 37), "")</f>
        <v>1808</v>
      </c>
      <c r="C845" s="4" t="str" cm="1">
        <f t="array" ref="C845">IFERROR(INDEX(EmployeeData[Full Name], ROW() - 37), "")</f>
        <v>Teresa Navarro Cruz</v>
      </c>
      <c r="D845" s="4" t="str" cm="1">
        <f t="array" ref="D845">IFERROR(INDEX(EmployeeData[Department], ROW() - 37), "")</f>
        <v>HR</v>
      </c>
      <c r="E845" s="4" t="str" cm="1">
        <f t="array" ref="E845">IFERROR(INDEX(EmployeeData[Gender], ROW() - 37), "")</f>
        <v>Other</v>
      </c>
      <c r="F845" s="4" cm="1">
        <f t="array" ref="F845">IFERROR(INDEX(EmployeeData[Age], ROW() - 37), "")</f>
        <v>52</v>
      </c>
      <c r="G845" s="6" cm="1">
        <f t="array" ref="G845">IFERROR(INDEX(EmployeeData[Join Date], ROW() - 37), "")</f>
        <v>44050</v>
      </c>
      <c r="H845" s="6" t="str" cm="1">
        <f t="array" ref="H845">IFERROR(IF(INDEX(EmployeeData[Exit Date], ROW() - 37)=0, "",INDEX(EmployeeData[Exit Date], ROW() - 37)),"")</f>
        <v/>
      </c>
      <c r="I845" s="4" t="str" cm="1">
        <f t="array" ref="I845">IFERROR(IF(INDEX(EmployeeData[Exit Reason], ROW() - 37)=0, "",INDEX(EmployeeData[Exit Reason], ROW() - 37)),"")</f>
        <v/>
      </c>
      <c r="J845" s="4" t="str" cm="1">
        <f t="array" ref="J845">IFERROR(INDEX(EmployeeData[Status], ROW() - 37), "")</f>
        <v>Active</v>
      </c>
    </row>
    <row r="846" spans="2:10" ht="19.95" customHeight="1" x14ac:dyDescent="0.3">
      <c r="B846" s="4" cm="1">
        <f t="array" ref="B846">IFERROR(INDEX(EmployeeData[Employee ID], ROW() - 37), "")</f>
        <v>1809</v>
      </c>
      <c r="C846" s="4" t="str" cm="1">
        <f t="array" ref="C846">IFERROR(INDEX(EmployeeData[Full Name], ROW() - 37), "")</f>
        <v>Bea Castro Cruz</v>
      </c>
      <c r="D846" s="4" t="str" cm="1">
        <f t="array" ref="D846">IFERROR(INDEX(EmployeeData[Department], ROW() - 37), "")</f>
        <v>Marketing</v>
      </c>
      <c r="E846" s="4" t="str" cm="1">
        <f t="array" ref="E846">IFERROR(INDEX(EmployeeData[Gender], ROW() - 37), "")</f>
        <v>Female</v>
      </c>
      <c r="F846" s="4" cm="1">
        <f t="array" ref="F846">IFERROR(INDEX(EmployeeData[Age], ROW() - 37), "")</f>
        <v>47</v>
      </c>
      <c r="G846" s="6" cm="1">
        <f t="array" ref="G846">IFERROR(INDEX(EmployeeData[Join Date], ROW() - 37), "")</f>
        <v>45039</v>
      </c>
      <c r="H846" s="6" cm="1">
        <f t="array" ref="H846">IFERROR(IF(INDEX(EmployeeData[Exit Date], ROW() - 37)=0, "",INDEX(EmployeeData[Exit Date], ROW() - 37)),"")</f>
        <v>45839</v>
      </c>
      <c r="I846" s="4" t="str" cm="1">
        <f t="array" ref="I846">IFERROR(IF(INDEX(EmployeeData[Exit Reason], ROW() - 37)=0, "",INDEX(EmployeeData[Exit Reason], ROW() - 37)),"")</f>
        <v>Termination</v>
      </c>
      <c r="J846" s="4" t="str" cm="1">
        <f t="array" ref="J846">IFERROR(INDEX(EmployeeData[Status], ROW() - 37), "")</f>
        <v>Exited</v>
      </c>
    </row>
    <row r="847" spans="2:10" ht="19.95" customHeight="1" x14ac:dyDescent="0.3">
      <c r="B847" s="4" cm="1">
        <f t="array" ref="B847">IFERROR(INDEX(EmployeeData[Employee ID], ROW() - 37), "")</f>
        <v>1810</v>
      </c>
      <c r="C847" s="4" t="str" cm="1">
        <f t="array" ref="C847">IFERROR(INDEX(EmployeeData[Full Name], ROW() - 37), "")</f>
        <v>Gerald Quiambao</v>
      </c>
      <c r="D847" s="4" t="str" cm="1">
        <f t="array" ref="D847">IFERROR(INDEX(EmployeeData[Department], ROW() - 37), "")</f>
        <v>Marketing</v>
      </c>
      <c r="E847" s="4" t="str" cm="1">
        <f t="array" ref="E847">IFERROR(INDEX(EmployeeData[Gender], ROW() - 37), "")</f>
        <v>Male</v>
      </c>
      <c r="F847" s="4" cm="1">
        <f t="array" ref="F847">IFERROR(INDEX(EmployeeData[Age], ROW() - 37), "")</f>
        <v>53</v>
      </c>
      <c r="G847" s="6" cm="1">
        <f t="array" ref="G847">IFERROR(INDEX(EmployeeData[Join Date], ROW() - 37), "")</f>
        <v>44000</v>
      </c>
      <c r="H847" s="6" t="str" cm="1">
        <f t="array" ref="H847">IFERROR(IF(INDEX(EmployeeData[Exit Date], ROW() - 37)=0, "",INDEX(EmployeeData[Exit Date], ROW() - 37)),"")</f>
        <v/>
      </c>
      <c r="I847" s="4" t="str" cm="1">
        <f t="array" ref="I847">IFERROR(IF(INDEX(EmployeeData[Exit Reason], ROW() - 37)=0, "",INDEX(EmployeeData[Exit Reason], ROW() - 37)),"")</f>
        <v/>
      </c>
      <c r="J847" s="4" t="str" cm="1">
        <f t="array" ref="J847">IFERROR(INDEX(EmployeeData[Status], ROW() - 37), "")</f>
        <v>Active</v>
      </c>
    </row>
    <row r="848" spans="2:10" ht="19.95" customHeight="1" x14ac:dyDescent="0.3">
      <c r="B848" s="4" cm="1">
        <f t="array" ref="B848">IFERROR(INDEX(EmployeeData[Employee ID], ROW() - 37), "")</f>
        <v>1811</v>
      </c>
      <c r="C848" s="4" t="str" cm="1">
        <f t="array" ref="C848">IFERROR(INDEX(EmployeeData[Full Name], ROW() - 37), "")</f>
        <v>Jerome Tuazon</v>
      </c>
      <c r="D848" s="4" t="str" cm="1">
        <f t="array" ref="D848">IFERROR(INDEX(EmployeeData[Department], ROW() - 37), "")</f>
        <v>HR</v>
      </c>
      <c r="E848" s="4" t="str" cm="1">
        <f t="array" ref="E848">IFERROR(INDEX(EmployeeData[Gender], ROW() - 37), "")</f>
        <v>Male</v>
      </c>
      <c r="F848" s="4" cm="1">
        <f t="array" ref="F848">IFERROR(INDEX(EmployeeData[Age], ROW() - 37), "")</f>
        <v>39</v>
      </c>
      <c r="G848" s="6" cm="1">
        <f t="array" ref="G848">IFERROR(INDEX(EmployeeData[Join Date], ROW() - 37), "")</f>
        <v>44699</v>
      </c>
      <c r="H848" s="6" t="str" cm="1">
        <f t="array" ref="H848">IFERROR(IF(INDEX(EmployeeData[Exit Date], ROW() - 37)=0, "",INDEX(EmployeeData[Exit Date], ROW() - 37)),"")</f>
        <v/>
      </c>
      <c r="I848" s="4" t="str" cm="1">
        <f t="array" ref="I848">IFERROR(IF(INDEX(EmployeeData[Exit Reason], ROW() - 37)=0, "",INDEX(EmployeeData[Exit Reason], ROW() - 37)),"")</f>
        <v/>
      </c>
      <c r="J848" s="4" t="str" cm="1">
        <f t="array" ref="J848">IFERROR(INDEX(EmployeeData[Status], ROW() - 37), "")</f>
        <v>Active</v>
      </c>
    </row>
    <row r="849" spans="2:10" ht="19.95" customHeight="1" x14ac:dyDescent="0.3">
      <c r="B849" s="4" cm="1">
        <f t="array" ref="B849">IFERROR(INDEX(EmployeeData[Employee ID], ROW() - 37), "")</f>
        <v>1812</v>
      </c>
      <c r="C849" s="4" t="str" cm="1">
        <f t="array" ref="C849">IFERROR(INDEX(EmployeeData[Full Name], ROW() - 37), "")</f>
        <v>Ferdi Lopez Flores</v>
      </c>
      <c r="D849" s="4" t="str" cm="1">
        <f t="array" ref="D849">IFERROR(INDEX(EmployeeData[Department], ROW() - 37), "")</f>
        <v>Sales</v>
      </c>
      <c r="E849" s="4" t="str" cm="1">
        <f t="array" ref="E849">IFERROR(INDEX(EmployeeData[Gender], ROW() - 37), "")</f>
        <v>Male</v>
      </c>
      <c r="F849" s="4" cm="1">
        <f t="array" ref="F849">IFERROR(INDEX(EmployeeData[Age], ROW() - 37), "")</f>
        <v>39</v>
      </c>
      <c r="G849" s="6" cm="1">
        <f t="array" ref="G849">IFERROR(INDEX(EmployeeData[Join Date], ROW() - 37), "")</f>
        <v>45930</v>
      </c>
      <c r="H849" s="6" t="str" cm="1">
        <f t="array" ref="H849">IFERROR(IF(INDEX(EmployeeData[Exit Date], ROW() - 37)=0, "",INDEX(EmployeeData[Exit Date], ROW() - 37)),"")</f>
        <v/>
      </c>
      <c r="I849" s="4" t="str" cm="1">
        <f t="array" ref="I849">IFERROR(IF(INDEX(EmployeeData[Exit Reason], ROW() - 37)=0, "",INDEX(EmployeeData[Exit Reason], ROW() - 37)),"")</f>
        <v/>
      </c>
      <c r="J849" s="4" t="str" cm="1">
        <f t="array" ref="J849">IFERROR(INDEX(EmployeeData[Status], ROW() - 37), "")</f>
        <v>Active</v>
      </c>
    </row>
    <row r="850" spans="2:10" ht="19.95" customHeight="1" x14ac:dyDescent="0.3">
      <c r="B850" s="4" cm="1">
        <f t="array" ref="B850">IFERROR(INDEX(EmployeeData[Employee ID], ROW() - 37), "")</f>
        <v>1813</v>
      </c>
      <c r="C850" s="4" t="str" cm="1">
        <f t="array" ref="C850">IFERROR(INDEX(EmployeeData[Full Name], ROW() - 37), "")</f>
        <v>Rosa Crisostomo</v>
      </c>
      <c r="D850" s="4" t="str" cm="1">
        <f t="array" ref="D850">IFERROR(INDEX(EmployeeData[Department], ROW() - 37), "")</f>
        <v>Marketing</v>
      </c>
      <c r="E850" s="4" t="str" cm="1">
        <f t="array" ref="E850">IFERROR(INDEX(EmployeeData[Gender], ROW() - 37), "")</f>
        <v>Female</v>
      </c>
      <c r="F850" s="4" cm="1">
        <f t="array" ref="F850">IFERROR(INDEX(EmployeeData[Age], ROW() - 37), "")</f>
        <v>47</v>
      </c>
      <c r="G850" s="6" cm="1">
        <f t="array" ref="G850">IFERROR(INDEX(EmployeeData[Join Date], ROW() - 37), "")</f>
        <v>45123</v>
      </c>
      <c r="H850" s="6" cm="1">
        <f t="array" ref="H850">IFERROR(IF(INDEX(EmployeeData[Exit Date], ROW() - 37)=0, "",INDEX(EmployeeData[Exit Date], ROW() - 37)),"")</f>
        <v>45427</v>
      </c>
      <c r="I850" s="4" t="str" cm="1">
        <f t="array" ref="I850">IFERROR(IF(INDEX(EmployeeData[Exit Reason], ROW() - 37)=0, "",INDEX(EmployeeData[Exit Reason], ROW() - 37)),"")</f>
        <v>Health Issues</v>
      </c>
      <c r="J850" s="4" t="str" cm="1">
        <f t="array" ref="J850">IFERROR(INDEX(EmployeeData[Status], ROW() - 37), "")</f>
        <v>Exited</v>
      </c>
    </row>
    <row r="851" spans="2:10" ht="19.95" customHeight="1" x14ac:dyDescent="0.3">
      <c r="B851" s="4" cm="1">
        <f t="array" ref="B851">IFERROR(INDEX(EmployeeData[Employee ID], ROW() - 37), "")</f>
        <v>1814</v>
      </c>
      <c r="C851" s="4" t="str" cm="1">
        <f t="array" ref="C851">IFERROR(INDEX(EmployeeData[Full Name], ROW() - 37), "")</f>
        <v>Karen Ramirez Lacson</v>
      </c>
      <c r="D851" s="4" t="str" cm="1">
        <f t="array" ref="D851">IFERROR(INDEX(EmployeeData[Department], ROW() - 37), "")</f>
        <v>IT</v>
      </c>
      <c r="E851" s="4" t="str" cm="1">
        <f t="array" ref="E851">IFERROR(INDEX(EmployeeData[Gender], ROW() - 37), "")</f>
        <v>Female</v>
      </c>
      <c r="F851" s="4" cm="1">
        <f t="array" ref="F851">IFERROR(INDEX(EmployeeData[Age], ROW() - 37), "")</f>
        <v>53</v>
      </c>
      <c r="G851" s="6" cm="1">
        <f t="array" ref="G851">IFERROR(INDEX(EmployeeData[Join Date], ROW() - 37), "")</f>
        <v>43231</v>
      </c>
      <c r="H851" s="6" t="str" cm="1">
        <f t="array" ref="H851">IFERROR(IF(INDEX(EmployeeData[Exit Date], ROW() - 37)=0, "",INDEX(EmployeeData[Exit Date], ROW() - 37)),"")</f>
        <v/>
      </c>
      <c r="I851" s="4" t="str" cm="1">
        <f t="array" ref="I851">IFERROR(IF(INDEX(EmployeeData[Exit Reason], ROW() - 37)=0, "",INDEX(EmployeeData[Exit Reason], ROW() - 37)),"")</f>
        <v/>
      </c>
      <c r="J851" s="4" t="str" cm="1">
        <f t="array" ref="J851">IFERROR(INDEX(EmployeeData[Status], ROW() - 37), "")</f>
        <v>Active</v>
      </c>
    </row>
    <row r="852" spans="2:10" ht="19.95" customHeight="1" x14ac:dyDescent="0.3">
      <c r="B852" s="4" cm="1">
        <f t="array" ref="B852">IFERROR(INDEX(EmployeeData[Employee ID], ROW() - 37), "")</f>
        <v>1815</v>
      </c>
      <c r="C852" s="4" t="str" cm="1">
        <f t="array" ref="C852">IFERROR(INDEX(EmployeeData[Full Name], ROW() - 37), "")</f>
        <v>Elena Fernandez Jacinto</v>
      </c>
      <c r="D852" s="4" t="str" cm="1">
        <f t="array" ref="D852">IFERROR(INDEX(EmployeeData[Department], ROW() - 37), "")</f>
        <v>Customer Support</v>
      </c>
      <c r="E852" s="4" t="str" cm="1">
        <f t="array" ref="E852">IFERROR(INDEX(EmployeeData[Gender], ROW() - 37), "")</f>
        <v>Female</v>
      </c>
      <c r="F852" s="4" cm="1">
        <f t="array" ref="F852">IFERROR(INDEX(EmployeeData[Age], ROW() - 37), "")</f>
        <v>37</v>
      </c>
      <c r="G852" s="6" cm="1">
        <f t="array" ref="G852">IFERROR(INDEX(EmployeeData[Join Date], ROW() - 37), "")</f>
        <v>44494</v>
      </c>
      <c r="H852" s="6" t="str" cm="1">
        <f t="array" ref="H852">IFERROR(IF(INDEX(EmployeeData[Exit Date], ROW() - 37)=0, "",INDEX(EmployeeData[Exit Date], ROW() - 37)),"")</f>
        <v/>
      </c>
      <c r="I852" s="4" t="str" cm="1">
        <f t="array" ref="I852">IFERROR(IF(INDEX(EmployeeData[Exit Reason], ROW() - 37)=0, "",INDEX(EmployeeData[Exit Reason], ROW() - 37)),"")</f>
        <v/>
      </c>
      <c r="J852" s="4" t="str" cm="1">
        <f t="array" ref="J852">IFERROR(INDEX(EmployeeData[Status], ROW() - 37), "")</f>
        <v>Active</v>
      </c>
    </row>
    <row r="853" spans="2:10" ht="19.95" customHeight="1" x14ac:dyDescent="0.3">
      <c r="B853" s="4" cm="1">
        <f t="array" ref="B853">IFERROR(INDEX(EmployeeData[Employee ID], ROW() - 37), "")</f>
        <v>1816</v>
      </c>
      <c r="C853" s="4" t="str" cm="1">
        <f t="array" ref="C853">IFERROR(INDEX(EmployeeData[Full Name], ROW() - 37), "")</f>
        <v>Morgan Lopez</v>
      </c>
      <c r="D853" s="4" t="str" cm="1">
        <f t="array" ref="D853">IFERROR(INDEX(EmployeeData[Department], ROW() - 37), "")</f>
        <v>Sales</v>
      </c>
      <c r="E853" s="4" t="str" cm="1">
        <f t="array" ref="E853">IFERROR(INDEX(EmployeeData[Gender], ROW() - 37), "")</f>
        <v>Other</v>
      </c>
      <c r="F853" s="4" cm="1">
        <f t="array" ref="F853">IFERROR(INDEX(EmployeeData[Age], ROW() - 37), "")</f>
        <v>27</v>
      </c>
      <c r="G853" s="6" cm="1">
        <f t="array" ref="G853">IFERROR(INDEX(EmployeeData[Join Date], ROW() - 37), "")</f>
        <v>45994</v>
      </c>
      <c r="H853" s="6" cm="1">
        <f t="array" ref="H853">IFERROR(IF(INDEX(EmployeeData[Exit Date], ROW() - 37)=0, "",INDEX(EmployeeData[Exit Date], ROW() - 37)),"")</f>
        <v>46140</v>
      </c>
      <c r="I853" s="4" t="str" cm="1">
        <f t="array" ref="I853">IFERROR(IF(INDEX(EmployeeData[Exit Reason], ROW() - 37)=0, "",INDEX(EmployeeData[Exit Reason], ROW() - 37)),"")</f>
        <v>Resignation</v>
      </c>
      <c r="J853" s="4" t="str" cm="1">
        <f t="array" ref="J853">IFERROR(INDEX(EmployeeData[Status], ROW() - 37), "")</f>
        <v>Exited</v>
      </c>
    </row>
    <row r="854" spans="2:10" ht="19.95" customHeight="1" x14ac:dyDescent="0.3">
      <c r="B854" s="4" cm="1">
        <f t="array" ref="B854">IFERROR(INDEX(EmployeeData[Employee ID], ROW() - 37), "")</f>
        <v>1817</v>
      </c>
      <c r="C854" s="4" t="str" cm="1">
        <f t="array" ref="C854">IFERROR(INDEX(EmployeeData[Full Name], ROW() - 37), "")</f>
        <v>Morgan Santiago</v>
      </c>
      <c r="D854" s="4" t="str" cm="1">
        <f t="array" ref="D854">IFERROR(INDEX(EmployeeData[Department], ROW() - 37), "")</f>
        <v>Marketing</v>
      </c>
      <c r="E854" s="4" t="str" cm="1">
        <f t="array" ref="E854">IFERROR(INDEX(EmployeeData[Gender], ROW() - 37), "")</f>
        <v>Other</v>
      </c>
      <c r="F854" s="4" cm="1">
        <f t="array" ref="F854">IFERROR(INDEX(EmployeeData[Age], ROW() - 37), "")</f>
        <v>27</v>
      </c>
      <c r="G854" s="6" cm="1">
        <f t="array" ref="G854">IFERROR(INDEX(EmployeeData[Join Date], ROW() - 37), "")</f>
        <v>45404</v>
      </c>
      <c r="H854" s="6" cm="1">
        <f t="array" ref="H854">IFERROR(IF(INDEX(EmployeeData[Exit Date], ROW() - 37)=0, "",INDEX(EmployeeData[Exit Date], ROW() - 37)),"")</f>
        <v>45601</v>
      </c>
      <c r="I854" s="4" t="str" cm="1">
        <f t="array" ref="I854">IFERROR(IF(INDEX(EmployeeData[Exit Reason], ROW() - 37)=0, "",INDEX(EmployeeData[Exit Reason], ROW() - 37)),"")</f>
        <v>Better Opportunity</v>
      </c>
      <c r="J854" s="4" t="str" cm="1">
        <f t="array" ref="J854">IFERROR(INDEX(EmployeeData[Status], ROW() - 37), "")</f>
        <v>Exited</v>
      </c>
    </row>
    <row r="855" spans="2:10" ht="19.95" customHeight="1" x14ac:dyDescent="0.3">
      <c r="B855" s="4" cm="1">
        <f t="array" ref="B855">IFERROR(INDEX(EmployeeData[Employee ID], ROW() - 37), "")</f>
        <v>1818</v>
      </c>
      <c r="C855" s="4" t="str" cm="1">
        <f t="array" ref="C855">IFERROR(INDEX(EmployeeData[Full Name], ROW() - 37), "")</f>
        <v>Lourdes Domingo</v>
      </c>
      <c r="D855" s="4" t="str" cm="1">
        <f t="array" ref="D855">IFERROR(INDEX(EmployeeData[Department], ROW() - 37), "")</f>
        <v>Customer Support</v>
      </c>
      <c r="E855" s="4" t="str" cm="1">
        <f t="array" ref="E855">IFERROR(INDEX(EmployeeData[Gender], ROW() - 37), "")</f>
        <v>Female</v>
      </c>
      <c r="F855" s="4" cm="1">
        <f t="array" ref="F855">IFERROR(INDEX(EmployeeData[Age], ROW() - 37), "")</f>
        <v>49</v>
      </c>
      <c r="G855" s="6" cm="1">
        <f t="array" ref="G855">IFERROR(INDEX(EmployeeData[Join Date], ROW() - 37), "")</f>
        <v>45173</v>
      </c>
      <c r="H855" s="6" t="str" cm="1">
        <f t="array" ref="H855">IFERROR(IF(INDEX(EmployeeData[Exit Date], ROW() - 37)=0, "",INDEX(EmployeeData[Exit Date], ROW() - 37)),"")</f>
        <v/>
      </c>
      <c r="I855" s="4" t="str" cm="1">
        <f t="array" ref="I855">IFERROR(IF(INDEX(EmployeeData[Exit Reason], ROW() - 37)=0, "",INDEX(EmployeeData[Exit Reason], ROW() - 37)),"")</f>
        <v/>
      </c>
      <c r="J855" s="4" t="str" cm="1">
        <f t="array" ref="J855">IFERROR(INDEX(EmployeeData[Status], ROW() - 37), "")</f>
        <v>Active</v>
      </c>
    </row>
    <row r="856" spans="2:10" ht="19.95" customHeight="1" x14ac:dyDescent="0.3">
      <c r="B856" s="4" cm="1">
        <f t="array" ref="B856">IFERROR(INDEX(EmployeeData[Employee ID], ROW() - 37), "")</f>
        <v>1819</v>
      </c>
      <c r="C856" s="4" t="str" cm="1">
        <f t="array" ref="C856">IFERROR(INDEX(EmployeeData[Full Name], ROW() - 37), "")</f>
        <v>Maria Uy</v>
      </c>
      <c r="D856" s="4" t="str" cm="1">
        <f t="array" ref="D856">IFERROR(INDEX(EmployeeData[Department], ROW() - 37), "")</f>
        <v>IT</v>
      </c>
      <c r="E856" s="4" t="str" cm="1">
        <f t="array" ref="E856">IFERROR(INDEX(EmployeeData[Gender], ROW() - 37), "")</f>
        <v>Female</v>
      </c>
      <c r="F856" s="4" cm="1">
        <f t="array" ref="F856">IFERROR(INDEX(EmployeeData[Age], ROW() - 37), "")</f>
        <v>33</v>
      </c>
      <c r="G856" s="6" cm="1">
        <f t="array" ref="G856">IFERROR(INDEX(EmployeeData[Join Date], ROW() - 37), "")</f>
        <v>44899</v>
      </c>
      <c r="H856" s="6" t="str" cm="1">
        <f t="array" ref="H856">IFERROR(IF(INDEX(EmployeeData[Exit Date], ROW() - 37)=0, "",INDEX(EmployeeData[Exit Date], ROW() - 37)),"")</f>
        <v/>
      </c>
      <c r="I856" s="4" t="str" cm="1">
        <f t="array" ref="I856">IFERROR(IF(INDEX(EmployeeData[Exit Reason], ROW() - 37)=0, "",INDEX(EmployeeData[Exit Reason], ROW() - 37)),"")</f>
        <v/>
      </c>
      <c r="J856" s="4" t="str" cm="1">
        <f t="array" ref="J856">IFERROR(INDEX(EmployeeData[Status], ROW() - 37), "")</f>
        <v>Active</v>
      </c>
    </row>
    <row r="857" spans="2:10" ht="19.95" customHeight="1" x14ac:dyDescent="0.3">
      <c r="B857" s="4" cm="1">
        <f t="array" ref="B857">IFERROR(INDEX(EmployeeData[Employee ID], ROW() - 37), "")</f>
        <v>1820</v>
      </c>
      <c r="C857" s="4" t="str" cm="1">
        <f t="array" ref="C857">IFERROR(INDEX(EmployeeData[Full Name], ROW() - 37), "")</f>
        <v>Teresita Domingo</v>
      </c>
      <c r="D857" s="4" t="str" cm="1">
        <f t="array" ref="D857">IFERROR(INDEX(EmployeeData[Department], ROW() - 37), "")</f>
        <v>Marketing</v>
      </c>
      <c r="E857" s="4" t="str" cm="1">
        <f t="array" ref="E857">IFERROR(INDEX(EmployeeData[Gender], ROW() - 37), "")</f>
        <v>Female</v>
      </c>
      <c r="F857" s="4" cm="1">
        <f t="array" ref="F857">IFERROR(INDEX(EmployeeData[Age], ROW() - 37), "")</f>
        <v>31</v>
      </c>
      <c r="G857" s="6" cm="1">
        <f t="array" ref="G857">IFERROR(INDEX(EmployeeData[Join Date], ROW() - 37), "")</f>
        <v>43450</v>
      </c>
      <c r="H857" s="6" cm="1">
        <f t="array" ref="H857">IFERROR(IF(INDEX(EmployeeData[Exit Date], ROW() - 37)=0, "",INDEX(EmployeeData[Exit Date], ROW() - 37)),"")</f>
        <v>45239</v>
      </c>
      <c r="I857" s="4" t="str" cm="1">
        <f t="array" ref="I857">IFERROR(IF(INDEX(EmployeeData[Exit Reason], ROW() - 37)=0, "",INDEX(EmployeeData[Exit Reason], ROW() - 37)),"")</f>
        <v>Termination</v>
      </c>
      <c r="J857" s="4" t="str" cm="1">
        <f t="array" ref="J857">IFERROR(INDEX(EmployeeData[Status], ROW() - 37), "")</f>
        <v>Exited</v>
      </c>
    </row>
    <row r="858" spans="2:10" ht="19.95" customHeight="1" x14ac:dyDescent="0.3">
      <c r="B858" s="4" cm="1">
        <f t="array" ref="B858">IFERROR(INDEX(EmployeeData[Employee ID], ROW() - 37), "")</f>
        <v>1821</v>
      </c>
      <c r="C858" s="4" t="str" cm="1">
        <f t="array" ref="C858">IFERROR(INDEX(EmployeeData[Full Name], ROW() - 37), "")</f>
        <v>Ana Roque</v>
      </c>
      <c r="D858" s="4" t="str" cm="1">
        <f t="array" ref="D858">IFERROR(INDEX(EmployeeData[Department], ROW() - 37), "")</f>
        <v>Marketing</v>
      </c>
      <c r="E858" s="4" t="str" cm="1">
        <f t="array" ref="E858">IFERROR(INDEX(EmployeeData[Gender], ROW() - 37), "")</f>
        <v>Other</v>
      </c>
      <c r="F858" s="4" cm="1">
        <f t="array" ref="F858">IFERROR(INDEX(EmployeeData[Age], ROW() - 37), "")</f>
        <v>29</v>
      </c>
      <c r="G858" s="6" cm="1">
        <f t="array" ref="G858">IFERROR(INDEX(EmployeeData[Join Date], ROW() - 37), "")</f>
        <v>44857</v>
      </c>
      <c r="H858" s="6" t="str" cm="1">
        <f t="array" ref="H858">IFERROR(IF(INDEX(EmployeeData[Exit Date], ROW() - 37)=0, "",INDEX(EmployeeData[Exit Date], ROW() - 37)),"")</f>
        <v/>
      </c>
      <c r="I858" s="4" t="str" cm="1">
        <f t="array" ref="I858">IFERROR(IF(INDEX(EmployeeData[Exit Reason], ROW() - 37)=0, "",INDEX(EmployeeData[Exit Reason], ROW() - 37)),"")</f>
        <v/>
      </c>
      <c r="J858" s="4" t="str" cm="1">
        <f t="array" ref="J858">IFERROR(INDEX(EmployeeData[Status], ROW() - 37), "")</f>
        <v>Active</v>
      </c>
    </row>
    <row r="859" spans="2:10" ht="19.95" customHeight="1" x14ac:dyDescent="0.3">
      <c r="B859" s="4" cm="1">
        <f t="array" ref="B859">IFERROR(INDEX(EmployeeData[Employee ID], ROW() - 37), "")</f>
        <v>1822</v>
      </c>
      <c r="C859" s="4" t="str" cm="1">
        <f t="array" ref="C859">IFERROR(INDEX(EmployeeData[Full Name], ROW() - 37), "")</f>
        <v>Teresa Navarro Aquino</v>
      </c>
      <c r="D859" s="4" t="str" cm="1">
        <f t="array" ref="D859">IFERROR(INDEX(EmployeeData[Department], ROW() - 37), "")</f>
        <v>Marketing</v>
      </c>
      <c r="E859" s="4" t="str" cm="1">
        <f t="array" ref="E859">IFERROR(INDEX(EmployeeData[Gender], ROW() - 37), "")</f>
        <v>Other</v>
      </c>
      <c r="F859" s="4" cm="1">
        <f t="array" ref="F859">IFERROR(INDEX(EmployeeData[Age], ROW() - 37), "")</f>
        <v>22</v>
      </c>
      <c r="G859" s="6" cm="1">
        <f t="array" ref="G859">IFERROR(INDEX(EmployeeData[Join Date], ROW() - 37), "")</f>
        <v>44913</v>
      </c>
      <c r="H859" s="6" cm="1">
        <f t="array" ref="H859">IFERROR(IF(INDEX(EmployeeData[Exit Date], ROW() - 37)=0, "",INDEX(EmployeeData[Exit Date], ROW() - 37)),"")</f>
        <v>45023</v>
      </c>
      <c r="I859" s="4" t="str" cm="1">
        <f t="array" ref="I859">IFERROR(IF(INDEX(EmployeeData[Exit Reason], ROW() - 37)=0, "",INDEX(EmployeeData[Exit Reason], ROW() - 37)),"")</f>
        <v>Personal Reasons</v>
      </c>
      <c r="J859" s="4" t="str" cm="1">
        <f t="array" ref="J859">IFERROR(INDEX(EmployeeData[Status], ROW() - 37), "")</f>
        <v>Exited</v>
      </c>
    </row>
    <row r="860" spans="2:10" ht="19.95" customHeight="1" x14ac:dyDescent="0.3">
      <c r="B860" s="4" cm="1">
        <f t="array" ref="B860">IFERROR(INDEX(EmployeeData[Employee ID], ROW() - 37), "")</f>
        <v>1823</v>
      </c>
      <c r="C860" s="4" t="str" cm="1">
        <f t="array" ref="C860">IFERROR(INDEX(EmployeeData[Full Name], ROW() - 37), "")</f>
        <v>Jamie Delos Reyes</v>
      </c>
      <c r="D860" s="4" t="str" cm="1">
        <f t="array" ref="D860">IFERROR(INDEX(EmployeeData[Department], ROW() - 37), "")</f>
        <v>IT</v>
      </c>
      <c r="E860" s="4" t="str" cm="1">
        <f t="array" ref="E860">IFERROR(INDEX(EmployeeData[Gender], ROW() - 37), "")</f>
        <v>Other</v>
      </c>
      <c r="F860" s="4" cm="1">
        <f t="array" ref="F860">IFERROR(INDEX(EmployeeData[Age], ROW() - 37), "")</f>
        <v>48</v>
      </c>
      <c r="G860" s="6" cm="1">
        <f t="array" ref="G860">IFERROR(INDEX(EmployeeData[Join Date], ROW() - 37), "")</f>
        <v>43352</v>
      </c>
      <c r="H860" s="6" t="str" cm="1">
        <f t="array" ref="H860">IFERROR(IF(INDEX(EmployeeData[Exit Date], ROW() - 37)=0, "",INDEX(EmployeeData[Exit Date], ROW() - 37)),"")</f>
        <v/>
      </c>
      <c r="I860" s="4" t="str" cm="1">
        <f t="array" ref="I860">IFERROR(IF(INDEX(EmployeeData[Exit Reason], ROW() - 37)=0, "",INDEX(EmployeeData[Exit Reason], ROW() - 37)),"")</f>
        <v/>
      </c>
      <c r="J860" s="4" t="str" cm="1">
        <f t="array" ref="J860">IFERROR(INDEX(EmployeeData[Status], ROW() - 37), "")</f>
        <v>Active</v>
      </c>
    </row>
    <row r="861" spans="2:10" ht="19.95" customHeight="1" x14ac:dyDescent="0.3">
      <c r="B861" s="4" cm="1">
        <f t="array" ref="B861">IFERROR(INDEX(EmployeeData[Employee ID], ROW() - 37), "")</f>
        <v>1824</v>
      </c>
      <c r="C861" s="4" t="str" cm="1">
        <f t="array" ref="C861">IFERROR(INDEX(EmployeeData[Full Name], ROW() - 37), "")</f>
        <v>Pete Sia</v>
      </c>
      <c r="D861" s="4" t="str" cm="1">
        <f t="array" ref="D861">IFERROR(INDEX(EmployeeData[Department], ROW() - 37), "")</f>
        <v>Customer Support</v>
      </c>
      <c r="E861" s="4" t="str" cm="1">
        <f t="array" ref="E861">IFERROR(INDEX(EmployeeData[Gender], ROW() - 37), "")</f>
        <v>Male</v>
      </c>
      <c r="F861" s="4" cm="1">
        <f t="array" ref="F861">IFERROR(INDEX(EmployeeData[Age], ROW() - 37), "")</f>
        <v>54</v>
      </c>
      <c r="G861" s="6" cm="1">
        <f t="array" ref="G861">IFERROR(INDEX(EmployeeData[Join Date], ROW() - 37), "")</f>
        <v>44312</v>
      </c>
      <c r="H861" s="6" t="str" cm="1">
        <f t="array" ref="H861">IFERROR(IF(INDEX(EmployeeData[Exit Date], ROW() - 37)=0, "",INDEX(EmployeeData[Exit Date], ROW() - 37)),"")</f>
        <v/>
      </c>
      <c r="I861" s="4" t="str" cm="1">
        <f t="array" ref="I861">IFERROR(IF(INDEX(EmployeeData[Exit Reason], ROW() - 37)=0, "",INDEX(EmployeeData[Exit Reason], ROW() - 37)),"")</f>
        <v/>
      </c>
      <c r="J861" s="4" t="str" cm="1">
        <f t="array" ref="J861">IFERROR(INDEX(EmployeeData[Status], ROW() - 37), "")</f>
        <v>Active</v>
      </c>
    </row>
    <row r="862" spans="2:10" ht="19.95" customHeight="1" x14ac:dyDescent="0.3">
      <c r="B862" s="4" cm="1">
        <f t="array" ref="B862">IFERROR(INDEX(EmployeeData[Employee ID], ROW() - 37), "")</f>
        <v>1825</v>
      </c>
      <c r="C862" s="4" t="str" cm="1">
        <f t="array" ref="C862">IFERROR(INDEX(EmployeeData[Full Name], ROW() - 37), "")</f>
        <v>Diosdado Flores Jimenez</v>
      </c>
      <c r="D862" s="4" t="str" cm="1">
        <f t="array" ref="D862">IFERROR(INDEX(EmployeeData[Department], ROW() - 37), "")</f>
        <v>IT</v>
      </c>
      <c r="E862" s="4" t="str" cm="1">
        <f t="array" ref="E862">IFERROR(INDEX(EmployeeData[Gender], ROW() - 37), "")</f>
        <v>Male</v>
      </c>
      <c r="F862" s="4" cm="1">
        <f t="array" ref="F862">IFERROR(INDEX(EmployeeData[Age], ROW() - 37), "")</f>
        <v>38</v>
      </c>
      <c r="G862" s="6" cm="1">
        <f t="array" ref="G862">IFERROR(INDEX(EmployeeData[Join Date], ROW() - 37), "")</f>
        <v>45262</v>
      </c>
      <c r="H862" s="6" t="str" cm="1">
        <f t="array" ref="H862">IFERROR(IF(INDEX(EmployeeData[Exit Date], ROW() - 37)=0, "",INDEX(EmployeeData[Exit Date], ROW() - 37)),"")</f>
        <v/>
      </c>
      <c r="I862" s="4" t="str" cm="1">
        <f t="array" ref="I862">IFERROR(IF(INDEX(EmployeeData[Exit Reason], ROW() - 37)=0, "",INDEX(EmployeeData[Exit Reason], ROW() - 37)),"")</f>
        <v/>
      </c>
      <c r="J862" s="4" t="str" cm="1">
        <f t="array" ref="J862">IFERROR(INDEX(EmployeeData[Status], ROW() - 37), "")</f>
        <v>Active</v>
      </c>
    </row>
    <row r="863" spans="2:10" ht="19.95" customHeight="1" x14ac:dyDescent="0.3">
      <c r="B863" s="4" cm="1">
        <f t="array" ref="B863">IFERROR(INDEX(EmployeeData[Employee ID], ROW() - 37), "")</f>
        <v>1826</v>
      </c>
      <c r="C863" s="4" t="str" cm="1">
        <f t="array" ref="C863">IFERROR(INDEX(EmployeeData[Full Name], ROW() - 37), "")</f>
        <v>Bryan Diaz Ramos</v>
      </c>
      <c r="D863" s="4" t="str" cm="1">
        <f t="array" ref="D863">IFERROR(INDEX(EmployeeData[Department], ROW() - 37), "")</f>
        <v>Sales</v>
      </c>
      <c r="E863" s="4" t="str" cm="1">
        <f t="array" ref="E863">IFERROR(INDEX(EmployeeData[Gender], ROW() - 37), "")</f>
        <v>Male</v>
      </c>
      <c r="F863" s="4" cm="1">
        <f t="array" ref="F863">IFERROR(INDEX(EmployeeData[Age], ROW() - 37), "")</f>
        <v>49</v>
      </c>
      <c r="G863" s="6" cm="1">
        <f t="array" ref="G863">IFERROR(INDEX(EmployeeData[Join Date], ROW() - 37), "")</f>
        <v>45957</v>
      </c>
      <c r="H863" s="6" cm="1">
        <f t="array" ref="H863">IFERROR(IF(INDEX(EmployeeData[Exit Date], ROW() - 37)=0, "",INDEX(EmployeeData[Exit Date], ROW() - 37)),"")</f>
        <v>46150</v>
      </c>
      <c r="I863" s="4" t="str" cm="1">
        <f t="array" ref="I863">IFERROR(IF(INDEX(EmployeeData[Exit Reason], ROW() - 37)=0, "",INDEX(EmployeeData[Exit Reason], ROW() - 37)),"")</f>
        <v>Personal Reasons</v>
      </c>
      <c r="J863" s="4" t="str" cm="1">
        <f t="array" ref="J863">IFERROR(INDEX(EmployeeData[Status], ROW() - 37), "")</f>
        <v>Exited</v>
      </c>
    </row>
    <row r="864" spans="2:10" ht="19.95" customHeight="1" x14ac:dyDescent="0.3">
      <c r="B864" s="4" cm="1">
        <f t="array" ref="B864">IFERROR(INDEX(EmployeeData[Employee ID], ROW() - 37), "")</f>
        <v>1827</v>
      </c>
      <c r="C864" s="4" t="str" cm="1">
        <f t="array" ref="C864">IFERROR(INDEX(EmployeeData[Full Name], ROW() - 37), "")</f>
        <v>Carlos Soriano Rivera</v>
      </c>
      <c r="D864" s="4" t="str" cm="1">
        <f t="array" ref="D864">IFERROR(INDEX(EmployeeData[Department], ROW() - 37), "")</f>
        <v>IT</v>
      </c>
      <c r="E864" s="4" t="str" cm="1">
        <f t="array" ref="E864">IFERROR(INDEX(EmployeeData[Gender], ROW() - 37), "")</f>
        <v>Other</v>
      </c>
      <c r="F864" s="4" cm="1">
        <f t="array" ref="F864">IFERROR(INDEX(EmployeeData[Age], ROW() - 37), "")</f>
        <v>29</v>
      </c>
      <c r="G864" s="6" cm="1">
        <f t="array" ref="G864">IFERROR(INDEX(EmployeeData[Join Date], ROW() - 37), "")</f>
        <v>45232</v>
      </c>
      <c r="H864" s="6" t="str" cm="1">
        <f t="array" ref="H864">IFERROR(IF(INDEX(EmployeeData[Exit Date], ROW() - 37)=0, "",INDEX(EmployeeData[Exit Date], ROW() - 37)),"")</f>
        <v/>
      </c>
      <c r="I864" s="4" t="str" cm="1">
        <f t="array" ref="I864">IFERROR(IF(INDEX(EmployeeData[Exit Reason], ROW() - 37)=0, "",INDEX(EmployeeData[Exit Reason], ROW() - 37)),"")</f>
        <v/>
      </c>
      <c r="J864" s="4" t="str" cm="1">
        <f t="array" ref="J864">IFERROR(INDEX(EmployeeData[Status], ROW() - 37), "")</f>
        <v>Active</v>
      </c>
    </row>
    <row r="865" spans="2:10" ht="19.95" customHeight="1" x14ac:dyDescent="0.3">
      <c r="B865" s="4" cm="1">
        <f t="array" ref="B865">IFERROR(INDEX(EmployeeData[Employee ID], ROW() - 37), "")</f>
        <v>1828</v>
      </c>
      <c r="C865" s="4" t="str" cm="1">
        <f t="array" ref="C865">IFERROR(INDEX(EmployeeData[Full Name], ROW() - 37), "")</f>
        <v>Rosa Bautista Bagtas</v>
      </c>
      <c r="D865" s="4" t="str" cm="1">
        <f t="array" ref="D865">IFERROR(INDEX(EmployeeData[Department], ROW() - 37), "")</f>
        <v>Marketing</v>
      </c>
      <c r="E865" s="4" t="str" cm="1">
        <f t="array" ref="E865">IFERROR(INDEX(EmployeeData[Gender], ROW() - 37), "")</f>
        <v>Other</v>
      </c>
      <c r="F865" s="4" cm="1">
        <f t="array" ref="F865">IFERROR(INDEX(EmployeeData[Age], ROW() - 37), "")</f>
        <v>59</v>
      </c>
      <c r="G865" s="6" cm="1">
        <f t="array" ref="G865">IFERROR(INDEX(EmployeeData[Join Date], ROW() - 37), "")</f>
        <v>43196</v>
      </c>
      <c r="H865" s="6" cm="1">
        <f t="array" ref="H865">IFERROR(IF(INDEX(EmployeeData[Exit Date], ROW() - 37)=0, "",INDEX(EmployeeData[Exit Date], ROW() - 37)),"")</f>
        <v>44345</v>
      </c>
      <c r="I865" s="4" t="str" cm="1">
        <f t="array" ref="I865">IFERROR(IF(INDEX(EmployeeData[Exit Reason], ROW() - 37)=0, "",INDEX(EmployeeData[Exit Reason], ROW() - 37)),"")</f>
        <v>Retirement</v>
      </c>
      <c r="J865" s="4" t="str" cm="1">
        <f t="array" ref="J865">IFERROR(INDEX(EmployeeData[Status], ROW() - 37), "")</f>
        <v>Exited</v>
      </c>
    </row>
    <row r="866" spans="2:10" ht="19.95" customHeight="1" x14ac:dyDescent="0.3">
      <c r="B866" s="4" cm="1">
        <f t="array" ref="B866">IFERROR(INDEX(EmployeeData[Employee ID], ROW() - 37), "")</f>
        <v>1829</v>
      </c>
      <c r="C866" s="4" t="str" cm="1">
        <f t="array" ref="C866">IFERROR(INDEX(EmployeeData[Full Name], ROW() - 37), "")</f>
        <v>Daisy Santos Sia</v>
      </c>
      <c r="D866" s="4" t="str" cm="1">
        <f t="array" ref="D866">IFERROR(INDEX(EmployeeData[Department], ROW() - 37), "")</f>
        <v>Sales</v>
      </c>
      <c r="E866" s="4" t="str" cm="1">
        <f t="array" ref="E866">IFERROR(INDEX(EmployeeData[Gender], ROW() - 37), "")</f>
        <v>Female</v>
      </c>
      <c r="F866" s="4" cm="1">
        <f t="array" ref="F866">IFERROR(INDEX(EmployeeData[Age], ROW() - 37), "")</f>
        <v>53</v>
      </c>
      <c r="G866" s="6" cm="1">
        <f t="array" ref="G866">IFERROR(INDEX(EmployeeData[Join Date], ROW() - 37), "")</f>
        <v>44552</v>
      </c>
      <c r="H866" s="6" cm="1">
        <f t="array" ref="H866">IFERROR(IF(INDEX(EmployeeData[Exit Date], ROW() - 37)=0, "",INDEX(EmployeeData[Exit Date], ROW() - 37)),"")</f>
        <v>45975</v>
      </c>
      <c r="I866" s="4" t="str" cm="1">
        <f t="array" ref="I866">IFERROR(IF(INDEX(EmployeeData[Exit Reason], ROW() - 37)=0, "",INDEX(EmployeeData[Exit Reason], ROW() - 37)),"")</f>
        <v>Contract End</v>
      </c>
      <c r="J866" s="4" t="str" cm="1">
        <f t="array" ref="J866">IFERROR(INDEX(EmployeeData[Status], ROW() - 37), "")</f>
        <v>Exited</v>
      </c>
    </row>
    <row r="867" spans="2:10" ht="19.95" customHeight="1" x14ac:dyDescent="0.3">
      <c r="B867" s="4" cm="1">
        <f t="array" ref="B867">IFERROR(INDEX(EmployeeData[Employee ID], ROW() - 37), "")</f>
        <v>1830</v>
      </c>
      <c r="C867" s="4" t="str" cm="1">
        <f t="array" ref="C867">IFERROR(INDEX(EmployeeData[Full Name], ROW() - 37), "")</f>
        <v>Gloria Soriano Perez</v>
      </c>
      <c r="D867" s="4" t="str" cm="1">
        <f t="array" ref="D867">IFERROR(INDEX(EmployeeData[Department], ROW() - 37), "")</f>
        <v>IT</v>
      </c>
      <c r="E867" s="4" t="str" cm="1">
        <f t="array" ref="E867">IFERROR(INDEX(EmployeeData[Gender], ROW() - 37), "")</f>
        <v>Other</v>
      </c>
      <c r="F867" s="4" cm="1">
        <f t="array" ref="F867">IFERROR(INDEX(EmployeeData[Age], ROW() - 37), "")</f>
        <v>58</v>
      </c>
      <c r="G867" s="6" cm="1">
        <f t="array" ref="G867">IFERROR(INDEX(EmployeeData[Join Date], ROW() - 37), "")</f>
        <v>45417</v>
      </c>
      <c r="H867" s="6" t="str" cm="1">
        <f t="array" ref="H867">IFERROR(IF(INDEX(EmployeeData[Exit Date], ROW() - 37)=0, "",INDEX(EmployeeData[Exit Date], ROW() - 37)),"")</f>
        <v/>
      </c>
      <c r="I867" s="4" t="str" cm="1">
        <f t="array" ref="I867">IFERROR(IF(INDEX(EmployeeData[Exit Reason], ROW() - 37)=0, "",INDEX(EmployeeData[Exit Reason], ROW() - 37)),"")</f>
        <v/>
      </c>
      <c r="J867" s="4" t="str" cm="1">
        <f t="array" ref="J867">IFERROR(INDEX(EmployeeData[Status], ROW() - 37), "")</f>
        <v>Active</v>
      </c>
    </row>
    <row r="868" spans="2:10" ht="19.95" customHeight="1" x14ac:dyDescent="0.3">
      <c r="B868" s="4" cm="1">
        <f t="array" ref="B868">IFERROR(INDEX(EmployeeData[Employee ID], ROW() - 37), "")</f>
        <v>1831</v>
      </c>
      <c r="C868" s="4" t="str" cm="1">
        <f t="array" ref="C868">IFERROR(INDEX(EmployeeData[Full Name], ROW() - 37), "")</f>
        <v>Eduardo Castro Lopez</v>
      </c>
      <c r="D868" s="4" t="str" cm="1">
        <f t="array" ref="D868">IFERROR(INDEX(EmployeeData[Department], ROW() - 37), "")</f>
        <v>IT</v>
      </c>
      <c r="E868" s="4" t="str" cm="1">
        <f t="array" ref="E868">IFERROR(INDEX(EmployeeData[Gender], ROW() - 37), "")</f>
        <v>Other</v>
      </c>
      <c r="F868" s="4" cm="1">
        <f t="array" ref="F868">IFERROR(INDEX(EmployeeData[Age], ROW() - 37), "")</f>
        <v>57</v>
      </c>
      <c r="G868" s="6" cm="1">
        <f t="array" ref="G868">IFERROR(INDEX(EmployeeData[Join Date], ROW() - 37), "")</f>
        <v>45855</v>
      </c>
      <c r="H868" s="6" cm="1">
        <f t="array" ref="H868">IFERROR(IF(INDEX(EmployeeData[Exit Date], ROW() - 37)=0, "",INDEX(EmployeeData[Exit Date], ROW() - 37)),"")</f>
        <v>46041</v>
      </c>
      <c r="I868" s="4" t="str" cm="1">
        <f t="array" ref="I868">IFERROR(IF(INDEX(EmployeeData[Exit Reason], ROW() - 37)=0, "",INDEX(EmployeeData[Exit Reason], ROW() - 37)),"")</f>
        <v>Health Issues</v>
      </c>
      <c r="J868" s="4" t="str" cm="1">
        <f t="array" ref="J868">IFERROR(INDEX(EmployeeData[Status], ROW() - 37), "")</f>
        <v>Exited</v>
      </c>
    </row>
    <row r="869" spans="2:10" ht="19.95" customHeight="1" x14ac:dyDescent="0.3">
      <c r="B869" s="4" cm="1">
        <f t="array" ref="B869">IFERROR(INDEX(EmployeeData[Employee ID], ROW() - 37), "")</f>
        <v>1832</v>
      </c>
      <c r="C869" s="4" t="str" cm="1">
        <f t="array" ref="C869">IFERROR(INDEX(EmployeeData[Full Name], ROW() - 37), "")</f>
        <v>Paolo Sy Ramos</v>
      </c>
      <c r="D869" s="4" t="str" cm="1">
        <f t="array" ref="D869">IFERROR(INDEX(EmployeeData[Department], ROW() - 37), "")</f>
        <v>Sales</v>
      </c>
      <c r="E869" s="4" t="str" cm="1">
        <f t="array" ref="E869">IFERROR(INDEX(EmployeeData[Gender], ROW() - 37), "")</f>
        <v>Male</v>
      </c>
      <c r="F869" s="4" cm="1">
        <f t="array" ref="F869">IFERROR(INDEX(EmployeeData[Age], ROW() - 37), "")</f>
        <v>27</v>
      </c>
      <c r="G869" s="6" cm="1">
        <f t="array" ref="G869">IFERROR(INDEX(EmployeeData[Join Date], ROW() - 37), "")</f>
        <v>43701</v>
      </c>
      <c r="H869" s="6" t="str" cm="1">
        <f t="array" ref="H869">IFERROR(IF(INDEX(EmployeeData[Exit Date], ROW() - 37)=0, "",INDEX(EmployeeData[Exit Date], ROW() - 37)),"")</f>
        <v/>
      </c>
      <c r="I869" s="4" t="str" cm="1">
        <f t="array" ref="I869">IFERROR(IF(INDEX(EmployeeData[Exit Reason], ROW() - 37)=0, "",INDEX(EmployeeData[Exit Reason], ROW() - 37)),"")</f>
        <v/>
      </c>
      <c r="J869" s="4" t="str" cm="1">
        <f t="array" ref="J869">IFERROR(INDEX(EmployeeData[Status], ROW() - 37), "")</f>
        <v>Active</v>
      </c>
    </row>
    <row r="870" spans="2:10" ht="19.95" customHeight="1" x14ac:dyDescent="0.3">
      <c r="B870" s="4" cm="1">
        <f t="array" ref="B870">IFERROR(INDEX(EmployeeData[Employee ID], ROW() - 37), "")</f>
        <v>1833</v>
      </c>
      <c r="C870" s="4" t="str" cm="1">
        <f t="array" ref="C870">IFERROR(INDEX(EmployeeData[Full Name], ROW() - 37), "")</f>
        <v>Larry Tolentino</v>
      </c>
      <c r="D870" s="4" t="str" cm="1">
        <f t="array" ref="D870">IFERROR(INDEX(EmployeeData[Department], ROW() - 37), "")</f>
        <v>Sales</v>
      </c>
      <c r="E870" s="4" t="str" cm="1">
        <f t="array" ref="E870">IFERROR(INDEX(EmployeeData[Gender], ROW() - 37), "")</f>
        <v>Male</v>
      </c>
      <c r="F870" s="4" cm="1">
        <f t="array" ref="F870">IFERROR(INDEX(EmployeeData[Age], ROW() - 37), "")</f>
        <v>49</v>
      </c>
      <c r="G870" s="6" cm="1">
        <f t="array" ref="G870">IFERROR(INDEX(EmployeeData[Join Date], ROW() - 37), "")</f>
        <v>43420</v>
      </c>
      <c r="H870" s="6" cm="1">
        <f t="array" ref="H870">IFERROR(IF(INDEX(EmployeeData[Exit Date], ROW() - 37)=0, "",INDEX(EmployeeData[Exit Date], ROW() - 37)),"")</f>
        <v>45159</v>
      </c>
      <c r="I870" s="4" t="str" cm="1">
        <f t="array" ref="I870">IFERROR(IF(INDEX(EmployeeData[Exit Reason], ROW() - 37)=0, "",INDEX(EmployeeData[Exit Reason], ROW() - 37)),"")</f>
        <v>Relocation</v>
      </c>
      <c r="J870" s="4" t="str" cm="1">
        <f t="array" ref="J870">IFERROR(INDEX(EmployeeData[Status], ROW() - 37), "")</f>
        <v>Exited</v>
      </c>
    </row>
    <row r="871" spans="2:10" ht="19.95" customHeight="1" x14ac:dyDescent="0.3">
      <c r="B871" s="4" cm="1">
        <f t="array" ref="B871">IFERROR(INDEX(EmployeeData[Employee ID], ROW() - 37), "")</f>
        <v>1834</v>
      </c>
      <c r="C871" s="4" t="str" cm="1">
        <f t="array" ref="C871">IFERROR(INDEX(EmployeeData[Full Name], ROW() - 37), "")</f>
        <v>Gani Dela Torre</v>
      </c>
      <c r="D871" s="4" t="str" cm="1">
        <f t="array" ref="D871">IFERROR(INDEX(EmployeeData[Department], ROW() - 37), "")</f>
        <v>Marketing</v>
      </c>
      <c r="E871" s="4" t="str" cm="1">
        <f t="array" ref="E871">IFERROR(INDEX(EmployeeData[Gender], ROW() - 37), "")</f>
        <v>Male</v>
      </c>
      <c r="F871" s="4" cm="1">
        <f t="array" ref="F871">IFERROR(INDEX(EmployeeData[Age], ROW() - 37), "")</f>
        <v>49</v>
      </c>
      <c r="G871" s="6" cm="1">
        <f t="array" ref="G871">IFERROR(INDEX(EmployeeData[Join Date], ROW() - 37), "")</f>
        <v>45923</v>
      </c>
      <c r="H871" s="6" t="str" cm="1">
        <f t="array" ref="H871">IFERROR(IF(INDEX(EmployeeData[Exit Date], ROW() - 37)=0, "",INDEX(EmployeeData[Exit Date], ROW() - 37)),"")</f>
        <v/>
      </c>
      <c r="I871" s="4" t="str" cm="1">
        <f t="array" ref="I871">IFERROR(IF(INDEX(EmployeeData[Exit Reason], ROW() - 37)=0, "",INDEX(EmployeeData[Exit Reason], ROW() - 37)),"")</f>
        <v/>
      </c>
      <c r="J871" s="4" t="str" cm="1">
        <f t="array" ref="J871">IFERROR(INDEX(EmployeeData[Status], ROW() - 37), "")</f>
        <v>Active</v>
      </c>
    </row>
    <row r="872" spans="2:10" ht="19.95" customHeight="1" x14ac:dyDescent="0.3">
      <c r="B872" s="4" cm="1">
        <f t="array" ref="B872">IFERROR(INDEX(EmployeeData[Employee ID], ROW() - 37), "")</f>
        <v>1835</v>
      </c>
      <c r="C872" s="4" t="str" cm="1">
        <f t="array" ref="C872">IFERROR(INDEX(EmployeeData[Full Name], ROW() - 37), "")</f>
        <v>Belinda Torres Lazo</v>
      </c>
      <c r="D872" s="4" t="str" cm="1">
        <f t="array" ref="D872">IFERROR(INDEX(EmployeeData[Department], ROW() - 37), "")</f>
        <v>Sales</v>
      </c>
      <c r="E872" s="4" t="str" cm="1">
        <f t="array" ref="E872">IFERROR(INDEX(EmployeeData[Gender], ROW() - 37), "")</f>
        <v>Female</v>
      </c>
      <c r="F872" s="4" cm="1">
        <f t="array" ref="F872">IFERROR(INDEX(EmployeeData[Age], ROW() - 37), "")</f>
        <v>29</v>
      </c>
      <c r="G872" s="6" cm="1">
        <f t="array" ref="G872">IFERROR(INDEX(EmployeeData[Join Date], ROW() - 37), "")</f>
        <v>45086</v>
      </c>
      <c r="H872" s="6" t="str" cm="1">
        <f t="array" ref="H872">IFERROR(IF(INDEX(EmployeeData[Exit Date], ROW() - 37)=0, "",INDEX(EmployeeData[Exit Date], ROW() - 37)),"")</f>
        <v/>
      </c>
      <c r="I872" s="4" t="str" cm="1">
        <f t="array" ref="I872">IFERROR(IF(INDEX(EmployeeData[Exit Reason], ROW() - 37)=0, "",INDEX(EmployeeData[Exit Reason], ROW() - 37)),"")</f>
        <v/>
      </c>
      <c r="J872" s="4" t="str" cm="1">
        <f t="array" ref="J872">IFERROR(INDEX(EmployeeData[Status], ROW() - 37), "")</f>
        <v>Active</v>
      </c>
    </row>
    <row r="873" spans="2:10" ht="19.95" customHeight="1" x14ac:dyDescent="0.3">
      <c r="B873" s="4" cm="1">
        <f t="array" ref="B873">IFERROR(INDEX(EmployeeData[Employee ID], ROW() - 37), "")</f>
        <v>1836</v>
      </c>
      <c r="C873" s="4" t="str" cm="1">
        <f t="array" ref="C873">IFERROR(INDEX(EmployeeData[Full Name], ROW() - 37), "")</f>
        <v>Kevin Castro</v>
      </c>
      <c r="D873" s="4" t="str" cm="1">
        <f t="array" ref="D873">IFERROR(INDEX(EmployeeData[Department], ROW() - 37), "")</f>
        <v>HR</v>
      </c>
      <c r="E873" s="4" t="str" cm="1">
        <f t="array" ref="E873">IFERROR(INDEX(EmployeeData[Gender], ROW() - 37), "")</f>
        <v>Male</v>
      </c>
      <c r="F873" s="4" cm="1">
        <f t="array" ref="F873">IFERROR(INDEX(EmployeeData[Age], ROW() - 37), "")</f>
        <v>23</v>
      </c>
      <c r="G873" s="6" cm="1">
        <f t="array" ref="G873">IFERROR(INDEX(EmployeeData[Join Date], ROW() - 37), "")</f>
        <v>43743</v>
      </c>
      <c r="H873" s="6" t="str" cm="1">
        <f t="array" ref="H873">IFERROR(IF(INDEX(EmployeeData[Exit Date], ROW() - 37)=0, "",INDEX(EmployeeData[Exit Date], ROW() - 37)),"")</f>
        <v/>
      </c>
      <c r="I873" s="4" t="str" cm="1">
        <f t="array" ref="I873">IFERROR(IF(INDEX(EmployeeData[Exit Reason], ROW() - 37)=0, "",INDEX(EmployeeData[Exit Reason], ROW() - 37)),"")</f>
        <v/>
      </c>
      <c r="J873" s="4" t="str" cm="1">
        <f t="array" ref="J873">IFERROR(INDEX(EmployeeData[Status], ROW() - 37), "")</f>
        <v>Active</v>
      </c>
    </row>
    <row r="874" spans="2:10" ht="19.95" customHeight="1" x14ac:dyDescent="0.3">
      <c r="B874" s="4" cm="1">
        <f t="array" ref="B874">IFERROR(INDEX(EmployeeData[Employee ID], ROW() - 37), "")</f>
        <v>1837</v>
      </c>
      <c r="C874" s="4" t="str" cm="1">
        <f t="array" ref="C874">IFERROR(INDEX(EmployeeData[Full Name], ROW() - 37), "")</f>
        <v>Grace Ang Ignacio</v>
      </c>
      <c r="D874" s="4" t="str" cm="1">
        <f t="array" ref="D874">IFERROR(INDEX(EmployeeData[Department], ROW() - 37), "")</f>
        <v>IT</v>
      </c>
      <c r="E874" s="4" t="str" cm="1">
        <f t="array" ref="E874">IFERROR(INDEX(EmployeeData[Gender], ROW() - 37), "")</f>
        <v>Female</v>
      </c>
      <c r="F874" s="4" cm="1">
        <f t="array" ref="F874">IFERROR(INDEX(EmployeeData[Age], ROW() - 37), "")</f>
        <v>57</v>
      </c>
      <c r="G874" s="6" cm="1">
        <f t="array" ref="G874">IFERROR(INDEX(EmployeeData[Join Date], ROW() - 37), "")</f>
        <v>44287</v>
      </c>
      <c r="H874" s="6" cm="1">
        <f t="array" ref="H874">IFERROR(IF(INDEX(EmployeeData[Exit Date], ROW() - 37)=0, "",INDEX(EmployeeData[Exit Date], ROW() - 37)),"")</f>
        <v>44690</v>
      </c>
      <c r="I874" s="4" t="str" cm="1">
        <f t="array" ref="I874">IFERROR(IF(INDEX(EmployeeData[Exit Reason], ROW() - 37)=0, "",INDEX(EmployeeData[Exit Reason], ROW() - 37)),"")</f>
        <v>Better Opportunity</v>
      </c>
      <c r="J874" s="4" t="str" cm="1">
        <f t="array" ref="J874">IFERROR(INDEX(EmployeeData[Status], ROW() - 37), "")</f>
        <v>Exited</v>
      </c>
    </row>
    <row r="875" spans="2:10" ht="19.95" customHeight="1" x14ac:dyDescent="0.3">
      <c r="B875" s="4" cm="1">
        <f t="array" ref="B875">IFERROR(INDEX(EmployeeData[Employee ID], ROW() - 37), "")</f>
        <v>1838</v>
      </c>
      <c r="C875" s="4" t="str" cm="1">
        <f t="array" ref="C875">IFERROR(INDEX(EmployeeData[Full Name], ROW() - 37), "")</f>
        <v>Ofelia Navarro</v>
      </c>
      <c r="D875" s="4" t="str" cm="1">
        <f t="array" ref="D875">IFERROR(INDEX(EmployeeData[Department], ROW() - 37), "")</f>
        <v>Customer Support</v>
      </c>
      <c r="E875" s="4" t="str" cm="1">
        <f t="array" ref="E875">IFERROR(INDEX(EmployeeData[Gender], ROW() - 37), "")</f>
        <v>Female</v>
      </c>
      <c r="F875" s="4" cm="1">
        <f t="array" ref="F875">IFERROR(INDEX(EmployeeData[Age], ROW() - 37), "")</f>
        <v>58</v>
      </c>
      <c r="G875" s="6" cm="1">
        <f t="array" ref="G875">IFERROR(INDEX(EmployeeData[Join Date], ROW() - 37), "")</f>
        <v>44828</v>
      </c>
      <c r="H875" s="6" cm="1">
        <f t="array" ref="H875">IFERROR(IF(INDEX(EmployeeData[Exit Date], ROW() - 37)=0, "",INDEX(EmployeeData[Exit Date], ROW() - 37)),"")</f>
        <v>45542</v>
      </c>
      <c r="I875" s="4" t="str" cm="1">
        <f t="array" ref="I875">IFERROR(IF(INDEX(EmployeeData[Exit Reason], ROW() - 37)=0, "",INDEX(EmployeeData[Exit Reason], ROW() - 37)),"")</f>
        <v>Resignation</v>
      </c>
      <c r="J875" s="4" t="str" cm="1">
        <f t="array" ref="J875">IFERROR(INDEX(EmployeeData[Status], ROW() - 37), "")</f>
        <v>Exited</v>
      </c>
    </row>
    <row r="876" spans="2:10" ht="19.95" customHeight="1" x14ac:dyDescent="0.3">
      <c r="B876" s="4" cm="1">
        <f t="array" ref="B876">IFERROR(INDEX(EmployeeData[Employee ID], ROW() - 37), "")</f>
        <v>1839</v>
      </c>
      <c r="C876" s="4" t="str" cm="1">
        <f t="array" ref="C876">IFERROR(INDEX(EmployeeData[Full Name], ROW() - 37), "")</f>
        <v>Yvonne Uy Umali</v>
      </c>
      <c r="D876" s="4" t="str" cm="1">
        <f t="array" ref="D876">IFERROR(INDEX(EmployeeData[Department], ROW() - 37), "")</f>
        <v>Marketing</v>
      </c>
      <c r="E876" s="4" t="str" cm="1">
        <f t="array" ref="E876">IFERROR(INDEX(EmployeeData[Gender], ROW() - 37), "")</f>
        <v>Female</v>
      </c>
      <c r="F876" s="4" cm="1">
        <f t="array" ref="F876">IFERROR(INDEX(EmployeeData[Age], ROW() - 37), "")</f>
        <v>43</v>
      </c>
      <c r="G876" s="6" cm="1">
        <f t="array" ref="G876">IFERROR(INDEX(EmployeeData[Join Date], ROW() - 37), "")</f>
        <v>43377</v>
      </c>
      <c r="H876" s="6" t="str" cm="1">
        <f t="array" ref="H876">IFERROR(IF(INDEX(EmployeeData[Exit Date], ROW() - 37)=0, "",INDEX(EmployeeData[Exit Date], ROW() - 37)),"")</f>
        <v/>
      </c>
      <c r="I876" s="4" t="str" cm="1">
        <f t="array" ref="I876">IFERROR(IF(INDEX(EmployeeData[Exit Reason], ROW() - 37)=0, "",INDEX(EmployeeData[Exit Reason], ROW() - 37)),"")</f>
        <v/>
      </c>
      <c r="J876" s="4" t="str" cm="1">
        <f t="array" ref="J876">IFERROR(INDEX(EmployeeData[Status], ROW() - 37), "")</f>
        <v>Active</v>
      </c>
    </row>
    <row r="877" spans="2:10" ht="19.95" customHeight="1" x14ac:dyDescent="0.3">
      <c r="B877" s="4" cm="1">
        <f t="array" ref="B877">IFERROR(INDEX(EmployeeData[Employee ID], ROW() - 37), "")</f>
        <v>1840</v>
      </c>
      <c r="C877" s="4" t="str" cm="1">
        <f t="array" ref="C877">IFERROR(INDEX(EmployeeData[Full Name], ROW() - 37), "")</f>
        <v>Carmen Natividad</v>
      </c>
      <c r="D877" s="4" t="str" cm="1">
        <f t="array" ref="D877">IFERROR(INDEX(EmployeeData[Department], ROW() - 37), "")</f>
        <v>Finance</v>
      </c>
      <c r="E877" s="4" t="str" cm="1">
        <f t="array" ref="E877">IFERROR(INDEX(EmployeeData[Gender], ROW() - 37), "")</f>
        <v>Other</v>
      </c>
      <c r="F877" s="4" cm="1">
        <f t="array" ref="F877">IFERROR(INDEX(EmployeeData[Age], ROW() - 37), "")</f>
        <v>51</v>
      </c>
      <c r="G877" s="6" cm="1">
        <f t="array" ref="G877">IFERROR(INDEX(EmployeeData[Join Date], ROW() - 37), "")</f>
        <v>45581</v>
      </c>
      <c r="H877" s="6" cm="1">
        <f t="array" ref="H877">IFERROR(IF(INDEX(EmployeeData[Exit Date], ROW() - 37)=0, "",INDEX(EmployeeData[Exit Date], ROW() - 37)),"")</f>
        <v>45812</v>
      </c>
      <c r="I877" s="4" t="str" cm="1">
        <f t="array" ref="I877">IFERROR(IF(INDEX(EmployeeData[Exit Reason], ROW() - 37)=0, "",INDEX(EmployeeData[Exit Reason], ROW() - 37)),"")</f>
        <v>Health Issues</v>
      </c>
      <c r="J877" s="4" t="str" cm="1">
        <f t="array" ref="J877">IFERROR(INDEX(EmployeeData[Status], ROW() - 37), "")</f>
        <v>Exited</v>
      </c>
    </row>
    <row r="878" spans="2:10" ht="19.95" customHeight="1" x14ac:dyDescent="0.3">
      <c r="B878" s="4" cm="1">
        <f t="array" ref="B878">IFERROR(INDEX(EmployeeData[Employee ID], ROW() - 37), "")</f>
        <v>1841</v>
      </c>
      <c r="C878" s="4" t="str" cm="1">
        <f t="array" ref="C878">IFERROR(INDEX(EmployeeData[Full Name], ROW() - 37), "")</f>
        <v>Ana Tan Salazar</v>
      </c>
      <c r="D878" s="4" t="str" cm="1">
        <f t="array" ref="D878">IFERROR(INDEX(EmployeeData[Department], ROW() - 37), "")</f>
        <v>Customer Support</v>
      </c>
      <c r="E878" s="4" t="str" cm="1">
        <f t="array" ref="E878">IFERROR(INDEX(EmployeeData[Gender], ROW() - 37), "")</f>
        <v>Other</v>
      </c>
      <c r="F878" s="4" cm="1">
        <f t="array" ref="F878">IFERROR(INDEX(EmployeeData[Age], ROW() - 37), "")</f>
        <v>26</v>
      </c>
      <c r="G878" s="6" cm="1">
        <f t="array" ref="G878">IFERROR(INDEX(EmployeeData[Join Date], ROW() - 37), "")</f>
        <v>45660</v>
      </c>
      <c r="H878" s="6" t="str" cm="1">
        <f t="array" ref="H878">IFERROR(IF(INDEX(EmployeeData[Exit Date], ROW() - 37)=0, "",INDEX(EmployeeData[Exit Date], ROW() - 37)),"")</f>
        <v/>
      </c>
      <c r="I878" s="4" t="str" cm="1">
        <f t="array" ref="I878">IFERROR(IF(INDEX(EmployeeData[Exit Reason], ROW() - 37)=0, "",INDEX(EmployeeData[Exit Reason], ROW() - 37)),"")</f>
        <v/>
      </c>
      <c r="J878" s="4" t="str" cm="1">
        <f t="array" ref="J878">IFERROR(INDEX(EmployeeData[Status], ROW() - 37), "")</f>
        <v>Active</v>
      </c>
    </row>
    <row r="879" spans="2:10" ht="19.95" customHeight="1" x14ac:dyDescent="0.3">
      <c r="B879" s="4" cm="1">
        <f t="array" ref="B879">IFERROR(INDEX(EmployeeData[Employee ID], ROW() - 37), "")</f>
        <v>1842</v>
      </c>
      <c r="C879" s="4" t="str" cm="1">
        <f t="array" ref="C879">IFERROR(INDEX(EmployeeData[Full Name], ROW() - 37), "")</f>
        <v>Imelda Soriano Lazo</v>
      </c>
      <c r="D879" s="4" t="str" cm="1">
        <f t="array" ref="D879">IFERROR(INDEX(EmployeeData[Department], ROW() - 37), "")</f>
        <v>IT</v>
      </c>
      <c r="E879" s="4" t="str" cm="1">
        <f t="array" ref="E879">IFERROR(INDEX(EmployeeData[Gender], ROW() - 37), "")</f>
        <v>Female</v>
      </c>
      <c r="F879" s="4" cm="1">
        <f t="array" ref="F879">IFERROR(INDEX(EmployeeData[Age], ROW() - 37), "")</f>
        <v>49</v>
      </c>
      <c r="G879" s="6" cm="1">
        <f t="array" ref="G879">IFERROR(INDEX(EmployeeData[Join Date], ROW() - 37), "")</f>
        <v>44237</v>
      </c>
      <c r="H879" s="6" t="str" cm="1">
        <f t="array" ref="H879">IFERROR(IF(INDEX(EmployeeData[Exit Date], ROW() - 37)=0, "",INDEX(EmployeeData[Exit Date], ROW() - 37)),"")</f>
        <v/>
      </c>
      <c r="I879" s="4" t="str" cm="1">
        <f t="array" ref="I879">IFERROR(IF(INDEX(EmployeeData[Exit Reason], ROW() - 37)=0, "",INDEX(EmployeeData[Exit Reason], ROW() - 37)),"")</f>
        <v/>
      </c>
      <c r="J879" s="4" t="str" cm="1">
        <f t="array" ref="J879">IFERROR(INDEX(EmployeeData[Status], ROW() - 37), "")</f>
        <v>Active</v>
      </c>
    </row>
    <row r="880" spans="2:10" ht="19.95" customHeight="1" x14ac:dyDescent="0.3">
      <c r="B880" s="4" cm="1">
        <f t="array" ref="B880">IFERROR(INDEX(EmployeeData[Employee ID], ROW() - 37), "")</f>
        <v>1843</v>
      </c>
      <c r="C880" s="4" t="str" cm="1">
        <f t="array" ref="C880">IFERROR(INDEX(EmployeeData[Full Name], ROW() - 37), "")</f>
        <v>Mae Diaz</v>
      </c>
      <c r="D880" s="4" t="str" cm="1">
        <f t="array" ref="D880">IFERROR(INDEX(EmployeeData[Department], ROW() - 37), "")</f>
        <v>Marketing</v>
      </c>
      <c r="E880" s="4" t="str" cm="1">
        <f t="array" ref="E880">IFERROR(INDEX(EmployeeData[Gender], ROW() - 37), "")</f>
        <v>Female</v>
      </c>
      <c r="F880" s="4" cm="1">
        <f t="array" ref="F880">IFERROR(INDEX(EmployeeData[Age], ROW() - 37), "")</f>
        <v>56</v>
      </c>
      <c r="G880" s="6" cm="1">
        <f t="array" ref="G880">IFERROR(INDEX(EmployeeData[Join Date], ROW() - 37), "")</f>
        <v>43449</v>
      </c>
      <c r="H880" s="6" cm="1">
        <f t="array" ref="H880">IFERROR(IF(INDEX(EmployeeData[Exit Date], ROW() - 37)=0, "",INDEX(EmployeeData[Exit Date], ROW() - 37)),"")</f>
        <v>43755</v>
      </c>
      <c r="I880" s="4" t="str" cm="1">
        <f t="array" ref="I880">IFERROR(IF(INDEX(EmployeeData[Exit Reason], ROW() - 37)=0, "",INDEX(EmployeeData[Exit Reason], ROW() - 37)),"")</f>
        <v>Contract End</v>
      </c>
      <c r="J880" s="4" t="str" cm="1">
        <f t="array" ref="J880">IFERROR(INDEX(EmployeeData[Status], ROW() - 37), "")</f>
        <v>Exited</v>
      </c>
    </row>
    <row r="881" spans="2:10" ht="19.95" customHeight="1" x14ac:dyDescent="0.3">
      <c r="B881" s="4" cm="1">
        <f t="array" ref="B881">IFERROR(INDEX(EmployeeData[Employee ID], ROW() - 37), "")</f>
        <v>1844</v>
      </c>
      <c r="C881" s="4" t="str" cm="1">
        <f t="array" ref="C881">IFERROR(INDEX(EmployeeData[Full Name], ROW() - 37), "")</f>
        <v>Celine Uy Santiago</v>
      </c>
      <c r="D881" s="4" t="str" cm="1">
        <f t="array" ref="D881">IFERROR(INDEX(EmployeeData[Department], ROW() - 37), "")</f>
        <v>Marketing</v>
      </c>
      <c r="E881" s="4" t="str" cm="1">
        <f t="array" ref="E881">IFERROR(INDEX(EmployeeData[Gender], ROW() - 37), "")</f>
        <v>Female</v>
      </c>
      <c r="F881" s="4" cm="1">
        <f t="array" ref="F881">IFERROR(INDEX(EmployeeData[Age], ROW() - 37), "")</f>
        <v>55</v>
      </c>
      <c r="G881" s="6" cm="1">
        <f t="array" ref="G881">IFERROR(INDEX(EmployeeData[Join Date], ROW() - 37), "")</f>
        <v>43837</v>
      </c>
      <c r="H881" s="6" t="str" cm="1">
        <f t="array" ref="H881">IFERROR(IF(INDEX(EmployeeData[Exit Date], ROW() - 37)=0, "",INDEX(EmployeeData[Exit Date], ROW() - 37)),"")</f>
        <v/>
      </c>
      <c r="I881" s="4" t="str" cm="1">
        <f t="array" ref="I881">IFERROR(IF(INDEX(EmployeeData[Exit Reason], ROW() - 37)=0, "",INDEX(EmployeeData[Exit Reason], ROW() - 37)),"")</f>
        <v/>
      </c>
      <c r="J881" s="4" t="str" cm="1">
        <f t="array" ref="J881">IFERROR(INDEX(EmployeeData[Status], ROW() - 37), "")</f>
        <v>Active</v>
      </c>
    </row>
    <row r="882" spans="2:10" ht="19.95" customHeight="1" x14ac:dyDescent="0.3">
      <c r="B882" s="4" cm="1">
        <f t="array" ref="B882">IFERROR(INDEX(EmployeeData[Employee ID], ROW() - 37), "")</f>
        <v>1845</v>
      </c>
      <c r="C882" s="4" t="str" cm="1">
        <f t="array" ref="C882">IFERROR(INDEX(EmployeeData[Full Name], ROW() - 37), "")</f>
        <v>Gani Gonzales Cruz</v>
      </c>
      <c r="D882" s="4" t="str" cm="1">
        <f t="array" ref="D882">IFERROR(INDEX(EmployeeData[Department], ROW() - 37), "")</f>
        <v>Customer Support</v>
      </c>
      <c r="E882" s="4" t="str" cm="1">
        <f t="array" ref="E882">IFERROR(INDEX(EmployeeData[Gender], ROW() - 37), "")</f>
        <v>Male</v>
      </c>
      <c r="F882" s="4" cm="1">
        <f t="array" ref="F882">IFERROR(INDEX(EmployeeData[Age], ROW() - 37), "")</f>
        <v>41</v>
      </c>
      <c r="G882" s="6" cm="1">
        <f t="array" ref="G882">IFERROR(INDEX(EmployeeData[Join Date], ROW() - 37), "")</f>
        <v>44746</v>
      </c>
      <c r="H882" s="6" t="str" cm="1">
        <f t="array" ref="H882">IFERROR(IF(INDEX(EmployeeData[Exit Date], ROW() - 37)=0, "",INDEX(EmployeeData[Exit Date], ROW() - 37)),"")</f>
        <v/>
      </c>
      <c r="I882" s="4" t="str" cm="1">
        <f t="array" ref="I882">IFERROR(IF(INDEX(EmployeeData[Exit Reason], ROW() - 37)=0, "",INDEX(EmployeeData[Exit Reason], ROW() - 37)),"")</f>
        <v/>
      </c>
      <c r="J882" s="4" t="str" cm="1">
        <f t="array" ref="J882">IFERROR(INDEX(EmployeeData[Status], ROW() - 37), "")</f>
        <v>Active</v>
      </c>
    </row>
    <row r="883" spans="2:10" ht="19.95" customHeight="1" x14ac:dyDescent="0.3">
      <c r="B883" s="4" cm="1">
        <f t="array" ref="B883">IFERROR(INDEX(EmployeeData[Employee ID], ROW() - 37), "")</f>
        <v>1846</v>
      </c>
      <c r="C883" s="4" t="str" cm="1">
        <f t="array" ref="C883">IFERROR(INDEX(EmployeeData[Full Name], ROW() - 37), "")</f>
        <v>Gloria Gonzales Pascual</v>
      </c>
      <c r="D883" s="4" t="str" cm="1">
        <f t="array" ref="D883">IFERROR(INDEX(EmployeeData[Department], ROW() - 37), "")</f>
        <v>IT</v>
      </c>
      <c r="E883" s="4" t="str" cm="1">
        <f t="array" ref="E883">IFERROR(INDEX(EmployeeData[Gender], ROW() - 37), "")</f>
        <v>Other</v>
      </c>
      <c r="F883" s="4" cm="1">
        <f t="array" ref="F883">IFERROR(INDEX(EmployeeData[Age], ROW() - 37), "")</f>
        <v>41</v>
      </c>
      <c r="G883" s="6" cm="1">
        <f t="array" ref="G883">IFERROR(INDEX(EmployeeData[Join Date], ROW() - 37), "")</f>
        <v>44665</v>
      </c>
      <c r="H883" s="6" cm="1">
        <f t="array" ref="H883">IFERROR(IF(INDEX(EmployeeData[Exit Date], ROW() - 37)=0, "",INDEX(EmployeeData[Exit Date], ROW() - 37)),"")</f>
        <v>44989</v>
      </c>
      <c r="I883" s="4" t="str" cm="1">
        <f t="array" ref="I883">IFERROR(IF(INDEX(EmployeeData[Exit Reason], ROW() - 37)=0, "",INDEX(EmployeeData[Exit Reason], ROW() - 37)),"")</f>
        <v>Contract End</v>
      </c>
      <c r="J883" s="4" t="str" cm="1">
        <f t="array" ref="J883">IFERROR(INDEX(EmployeeData[Status], ROW() - 37), "")</f>
        <v>Exited</v>
      </c>
    </row>
    <row r="884" spans="2:10" ht="19.95" customHeight="1" x14ac:dyDescent="0.3">
      <c r="B884" s="4" cm="1">
        <f t="array" ref="B884">IFERROR(INDEX(EmployeeData[Employee ID], ROW() - 37), "")</f>
        <v>1847</v>
      </c>
      <c r="C884" s="4" t="str" cm="1">
        <f t="array" ref="C884">IFERROR(INDEX(EmployeeData[Full Name], ROW() - 37), "")</f>
        <v>Pilar Solis</v>
      </c>
      <c r="D884" s="4" t="str" cm="1">
        <f t="array" ref="D884">IFERROR(INDEX(EmployeeData[Department], ROW() - 37), "")</f>
        <v>IT</v>
      </c>
      <c r="E884" s="4" t="str" cm="1">
        <f t="array" ref="E884">IFERROR(INDEX(EmployeeData[Gender], ROW() - 37), "")</f>
        <v>Female</v>
      </c>
      <c r="F884" s="4" cm="1">
        <f t="array" ref="F884">IFERROR(INDEX(EmployeeData[Age], ROW() - 37), "")</f>
        <v>40</v>
      </c>
      <c r="G884" s="6" cm="1">
        <f t="array" ref="G884">IFERROR(INDEX(EmployeeData[Join Date], ROW() - 37), "")</f>
        <v>44769</v>
      </c>
      <c r="H884" s="6" t="str" cm="1">
        <f t="array" ref="H884">IFERROR(IF(INDEX(EmployeeData[Exit Date], ROW() - 37)=0, "",INDEX(EmployeeData[Exit Date], ROW() - 37)),"")</f>
        <v/>
      </c>
      <c r="I884" s="4" t="str" cm="1">
        <f t="array" ref="I884">IFERROR(IF(INDEX(EmployeeData[Exit Reason], ROW() - 37)=0, "",INDEX(EmployeeData[Exit Reason], ROW() - 37)),"")</f>
        <v/>
      </c>
      <c r="J884" s="4" t="str" cm="1">
        <f t="array" ref="J884">IFERROR(INDEX(EmployeeData[Status], ROW() - 37), "")</f>
        <v>Active</v>
      </c>
    </row>
    <row r="885" spans="2:10" ht="19.95" customHeight="1" x14ac:dyDescent="0.3">
      <c r="B885" s="4" cm="1">
        <f t="array" ref="B885">IFERROR(INDEX(EmployeeData[Employee ID], ROW() - 37), "")</f>
        <v>1848</v>
      </c>
      <c r="C885" s="4" t="str" cm="1">
        <f t="array" ref="C885">IFERROR(INDEX(EmployeeData[Full Name], ROW() - 37), "")</f>
        <v>Rodel Torres Chan</v>
      </c>
      <c r="D885" s="4" t="str" cm="1">
        <f t="array" ref="D885">IFERROR(INDEX(EmployeeData[Department], ROW() - 37), "")</f>
        <v>Customer Support</v>
      </c>
      <c r="E885" s="4" t="str" cm="1">
        <f t="array" ref="E885">IFERROR(INDEX(EmployeeData[Gender], ROW() - 37), "")</f>
        <v>Other</v>
      </c>
      <c r="F885" s="4" cm="1">
        <f t="array" ref="F885">IFERROR(INDEX(EmployeeData[Age], ROW() - 37), "")</f>
        <v>40</v>
      </c>
      <c r="G885" s="6" cm="1">
        <f t="array" ref="G885">IFERROR(INDEX(EmployeeData[Join Date], ROW() - 37), "")</f>
        <v>44698</v>
      </c>
      <c r="H885" s="6" cm="1">
        <f t="array" ref="H885">IFERROR(IF(INDEX(EmployeeData[Exit Date], ROW() - 37)=0, "",INDEX(EmployeeData[Exit Date], ROW() - 37)),"")</f>
        <v>45079</v>
      </c>
      <c r="I885" s="4" t="str" cm="1">
        <f t="array" ref="I885">IFERROR(IF(INDEX(EmployeeData[Exit Reason], ROW() - 37)=0, "",INDEX(EmployeeData[Exit Reason], ROW() - 37)),"")</f>
        <v>Termination</v>
      </c>
      <c r="J885" s="4" t="str" cm="1">
        <f t="array" ref="J885">IFERROR(INDEX(EmployeeData[Status], ROW() - 37), "")</f>
        <v>Exited</v>
      </c>
    </row>
    <row r="886" spans="2:10" ht="19.95" customHeight="1" x14ac:dyDescent="0.3">
      <c r="B886" s="4" cm="1">
        <f t="array" ref="B886">IFERROR(INDEX(EmployeeData[Employee ID], ROW() - 37), "")</f>
        <v>1849</v>
      </c>
      <c r="C886" s="4" t="str" cm="1">
        <f t="array" ref="C886">IFERROR(INDEX(EmployeeData[Full Name], ROW() - 37), "")</f>
        <v>Kath Salazar</v>
      </c>
      <c r="D886" s="4" t="str" cm="1">
        <f t="array" ref="D886">IFERROR(INDEX(EmployeeData[Department], ROW() - 37), "")</f>
        <v>Customer Support</v>
      </c>
      <c r="E886" s="4" t="str" cm="1">
        <f t="array" ref="E886">IFERROR(INDEX(EmployeeData[Gender], ROW() - 37), "")</f>
        <v>Female</v>
      </c>
      <c r="F886" s="4" cm="1">
        <f t="array" ref="F886">IFERROR(INDEX(EmployeeData[Age], ROW() - 37), "")</f>
        <v>58</v>
      </c>
      <c r="G886" s="6" cm="1">
        <f t="array" ref="G886">IFERROR(INDEX(EmployeeData[Join Date], ROW() - 37), "")</f>
        <v>44069</v>
      </c>
      <c r="H886" s="6" t="str" cm="1">
        <f t="array" ref="H886">IFERROR(IF(INDEX(EmployeeData[Exit Date], ROW() - 37)=0, "",INDEX(EmployeeData[Exit Date], ROW() - 37)),"")</f>
        <v/>
      </c>
      <c r="I886" s="4" t="str" cm="1">
        <f t="array" ref="I886">IFERROR(IF(INDEX(EmployeeData[Exit Reason], ROW() - 37)=0, "",INDEX(EmployeeData[Exit Reason], ROW() - 37)),"")</f>
        <v/>
      </c>
      <c r="J886" s="4" t="str" cm="1">
        <f t="array" ref="J886">IFERROR(INDEX(EmployeeData[Status], ROW() - 37), "")</f>
        <v>Active</v>
      </c>
    </row>
    <row r="887" spans="2:10" ht="19.95" customHeight="1" x14ac:dyDescent="0.3">
      <c r="B887" s="4" cm="1">
        <f t="array" ref="B887">IFERROR(INDEX(EmployeeData[Employee ID], ROW() - 37), "")</f>
        <v>1850</v>
      </c>
      <c r="C887" s="4" t="str" cm="1">
        <f t="array" ref="C887">IFERROR(INDEX(EmployeeData[Full Name], ROW() - 37), "")</f>
        <v>Queenie Mendoza Cruz</v>
      </c>
      <c r="D887" s="4" t="str" cm="1">
        <f t="array" ref="D887">IFERROR(INDEX(EmployeeData[Department], ROW() - 37), "")</f>
        <v>IT</v>
      </c>
      <c r="E887" s="4" t="str" cm="1">
        <f t="array" ref="E887">IFERROR(INDEX(EmployeeData[Gender], ROW() - 37), "")</f>
        <v>Female</v>
      </c>
      <c r="F887" s="4" cm="1">
        <f t="array" ref="F887">IFERROR(INDEX(EmployeeData[Age], ROW() - 37), "")</f>
        <v>56</v>
      </c>
      <c r="G887" s="6" cm="1">
        <f t="array" ref="G887">IFERROR(INDEX(EmployeeData[Join Date], ROW() - 37), "")</f>
        <v>44768</v>
      </c>
      <c r="H887" s="6" cm="1">
        <f t="array" ref="H887">IFERROR(IF(INDEX(EmployeeData[Exit Date], ROW() - 37)=0, "",INDEX(EmployeeData[Exit Date], ROW() - 37)),"")</f>
        <v>44917</v>
      </c>
      <c r="I887" s="4" t="str" cm="1">
        <f t="array" ref="I887">IFERROR(IF(INDEX(EmployeeData[Exit Reason], ROW() - 37)=0, "",INDEX(EmployeeData[Exit Reason], ROW() - 37)),"")</f>
        <v>Termination</v>
      </c>
      <c r="J887" s="4" t="str" cm="1">
        <f t="array" ref="J887">IFERROR(INDEX(EmployeeData[Status], ROW() - 37), "")</f>
        <v>Exited</v>
      </c>
    </row>
    <row r="888" spans="2:10" ht="19.95" customHeight="1" x14ac:dyDescent="0.3">
      <c r="B888" s="4" cm="1">
        <f t="array" ref="B888">IFERROR(INDEX(EmployeeData[Employee ID], ROW() - 37), "")</f>
        <v>1851</v>
      </c>
      <c r="C888" s="4" t="str" cm="1">
        <f t="array" ref="C888">IFERROR(INDEX(EmployeeData[Full Name], ROW() - 37), "")</f>
        <v>Warren Ramos</v>
      </c>
      <c r="D888" s="4" t="str" cm="1">
        <f t="array" ref="D888">IFERROR(INDEX(EmployeeData[Department], ROW() - 37), "")</f>
        <v>IT</v>
      </c>
      <c r="E888" s="4" t="str" cm="1">
        <f t="array" ref="E888">IFERROR(INDEX(EmployeeData[Gender], ROW() - 37), "")</f>
        <v>Male</v>
      </c>
      <c r="F888" s="4" cm="1">
        <f t="array" ref="F888">IFERROR(INDEX(EmployeeData[Age], ROW() - 37), "")</f>
        <v>29</v>
      </c>
      <c r="G888" s="6" cm="1">
        <f t="array" ref="G888">IFERROR(INDEX(EmployeeData[Join Date], ROW() - 37), "")</f>
        <v>44348</v>
      </c>
      <c r="H888" s="6" t="str" cm="1">
        <f t="array" ref="H888">IFERROR(IF(INDEX(EmployeeData[Exit Date], ROW() - 37)=0, "",INDEX(EmployeeData[Exit Date], ROW() - 37)),"")</f>
        <v/>
      </c>
      <c r="I888" s="4" t="str" cm="1">
        <f t="array" ref="I888">IFERROR(IF(INDEX(EmployeeData[Exit Reason], ROW() - 37)=0, "",INDEX(EmployeeData[Exit Reason], ROW() - 37)),"")</f>
        <v/>
      </c>
      <c r="J888" s="4" t="str" cm="1">
        <f t="array" ref="J888">IFERROR(INDEX(EmployeeData[Status], ROW() - 37), "")</f>
        <v>Active</v>
      </c>
    </row>
    <row r="889" spans="2:10" ht="19.95" customHeight="1" x14ac:dyDescent="0.3">
      <c r="B889" s="4" cm="1">
        <f t="array" ref="B889">IFERROR(INDEX(EmployeeData[Employee ID], ROW() - 37), "")</f>
        <v>1852</v>
      </c>
      <c r="C889" s="4" t="str" cm="1">
        <f t="array" ref="C889">IFERROR(INDEX(EmployeeData[Full Name], ROW() - 37), "")</f>
        <v>Juan Sy Uy</v>
      </c>
      <c r="D889" s="4" t="str" cm="1">
        <f t="array" ref="D889">IFERROR(INDEX(EmployeeData[Department], ROW() - 37), "")</f>
        <v>Marketing</v>
      </c>
      <c r="E889" s="4" t="str" cm="1">
        <f t="array" ref="E889">IFERROR(INDEX(EmployeeData[Gender], ROW() - 37), "")</f>
        <v>Other</v>
      </c>
      <c r="F889" s="4" cm="1">
        <f t="array" ref="F889">IFERROR(INDEX(EmployeeData[Age], ROW() - 37), "")</f>
        <v>30</v>
      </c>
      <c r="G889" s="6" cm="1">
        <f t="array" ref="G889">IFERROR(INDEX(EmployeeData[Join Date], ROW() - 37), "")</f>
        <v>44630</v>
      </c>
      <c r="H889" s="6" t="str" cm="1">
        <f t="array" ref="H889">IFERROR(IF(INDEX(EmployeeData[Exit Date], ROW() - 37)=0, "",INDEX(EmployeeData[Exit Date], ROW() - 37)),"")</f>
        <v/>
      </c>
      <c r="I889" s="4" t="str" cm="1">
        <f t="array" ref="I889">IFERROR(IF(INDEX(EmployeeData[Exit Reason], ROW() - 37)=0, "",INDEX(EmployeeData[Exit Reason], ROW() - 37)),"")</f>
        <v/>
      </c>
      <c r="J889" s="4" t="str" cm="1">
        <f t="array" ref="J889">IFERROR(INDEX(EmployeeData[Status], ROW() - 37), "")</f>
        <v>Active</v>
      </c>
    </row>
    <row r="890" spans="2:10" ht="19.95" customHeight="1" x14ac:dyDescent="0.3">
      <c r="B890" s="4" cm="1">
        <f t="array" ref="B890">IFERROR(INDEX(EmployeeData[Employee ID], ROW() - 37), "")</f>
        <v>1853</v>
      </c>
      <c r="C890" s="4" t="str" cm="1">
        <f t="array" ref="C890">IFERROR(INDEX(EmployeeData[Full Name], ROW() - 37), "")</f>
        <v>Aldrin Corpuz</v>
      </c>
      <c r="D890" s="4" t="str" cm="1">
        <f t="array" ref="D890">IFERROR(INDEX(EmployeeData[Department], ROW() - 37), "")</f>
        <v>Finance</v>
      </c>
      <c r="E890" s="4" t="str" cm="1">
        <f t="array" ref="E890">IFERROR(INDEX(EmployeeData[Gender], ROW() - 37), "")</f>
        <v>Male</v>
      </c>
      <c r="F890" s="4" cm="1">
        <f t="array" ref="F890">IFERROR(INDEX(EmployeeData[Age], ROW() - 37), "")</f>
        <v>23</v>
      </c>
      <c r="G890" s="6" cm="1">
        <f t="array" ref="G890">IFERROR(INDEX(EmployeeData[Join Date], ROW() - 37), "")</f>
        <v>43105</v>
      </c>
      <c r="H890" s="6" t="str" cm="1">
        <f t="array" ref="H890">IFERROR(IF(INDEX(EmployeeData[Exit Date], ROW() - 37)=0, "",INDEX(EmployeeData[Exit Date], ROW() - 37)),"")</f>
        <v/>
      </c>
      <c r="I890" s="4" t="str" cm="1">
        <f t="array" ref="I890">IFERROR(IF(INDEX(EmployeeData[Exit Reason], ROW() - 37)=0, "",INDEX(EmployeeData[Exit Reason], ROW() - 37)),"")</f>
        <v/>
      </c>
      <c r="J890" s="4" t="str" cm="1">
        <f t="array" ref="J890">IFERROR(INDEX(EmployeeData[Status], ROW() - 37), "")</f>
        <v>Active</v>
      </c>
    </row>
    <row r="891" spans="2:10" ht="19.95" customHeight="1" x14ac:dyDescent="0.3">
      <c r="B891" s="4" cm="1">
        <f t="array" ref="B891">IFERROR(INDEX(EmployeeData[Employee ID], ROW() - 37), "")</f>
        <v>1854</v>
      </c>
      <c r="C891" s="4" t="str" cm="1">
        <f t="array" ref="C891">IFERROR(INDEX(EmployeeData[Full Name], ROW() - 37), "")</f>
        <v>Arnel Manalang</v>
      </c>
      <c r="D891" s="4" t="str" cm="1">
        <f t="array" ref="D891">IFERROR(INDEX(EmployeeData[Department], ROW() - 37), "")</f>
        <v>Customer Support</v>
      </c>
      <c r="E891" s="4" t="str" cm="1">
        <f t="array" ref="E891">IFERROR(INDEX(EmployeeData[Gender], ROW() - 37), "")</f>
        <v>Other</v>
      </c>
      <c r="F891" s="4" cm="1">
        <f t="array" ref="F891">IFERROR(INDEX(EmployeeData[Age], ROW() - 37), "")</f>
        <v>51</v>
      </c>
      <c r="G891" s="6" cm="1">
        <f t="array" ref="G891">IFERROR(INDEX(EmployeeData[Join Date], ROW() - 37), "")</f>
        <v>44220</v>
      </c>
      <c r="H891" s="6" t="str" cm="1">
        <f t="array" ref="H891">IFERROR(IF(INDEX(EmployeeData[Exit Date], ROW() - 37)=0, "",INDEX(EmployeeData[Exit Date], ROW() - 37)),"")</f>
        <v/>
      </c>
      <c r="I891" s="4" t="str" cm="1">
        <f t="array" ref="I891">IFERROR(IF(INDEX(EmployeeData[Exit Reason], ROW() - 37)=0, "",INDEX(EmployeeData[Exit Reason], ROW() - 37)),"")</f>
        <v/>
      </c>
      <c r="J891" s="4" t="str" cm="1">
        <f t="array" ref="J891">IFERROR(INDEX(EmployeeData[Status], ROW() - 37), "")</f>
        <v>Active</v>
      </c>
    </row>
    <row r="892" spans="2:10" ht="19.95" customHeight="1" x14ac:dyDescent="0.3">
      <c r="B892" s="4" cm="1">
        <f t="array" ref="B892">IFERROR(INDEX(EmployeeData[Employee ID], ROW() - 37), "")</f>
        <v>1855</v>
      </c>
      <c r="C892" s="4" t="str" cm="1">
        <f t="array" ref="C892">IFERROR(INDEX(EmployeeData[Full Name], ROW() - 37), "")</f>
        <v>Morgan Ramirez</v>
      </c>
      <c r="D892" s="4" t="str" cm="1">
        <f t="array" ref="D892">IFERROR(INDEX(EmployeeData[Department], ROW() - 37), "")</f>
        <v>Customer Support</v>
      </c>
      <c r="E892" s="4" t="str" cm="1">
        <f t="array" ref="E892">IFERROR(INDEX(EmployeeData[Gender], ROW() - 37), "")</f>
        <v>Other</v>
      </c>
      <c r="F892" s="4" cm="1">
        <f t="array" ref="F892">IFERROR(INDEX(EmployeeData[Age], ROW() - 37), "")</f>
        <v>62</v>
      </c>
      <c r="G892" s="6" cm="1">
        <f t="array" ref="G892">IFERROR(INDEX(EmployeeData[Join Date], ROW() - 37), "")</f>
        <v>43287</v>
      </c>
      <c r="H892" s="6" cm="1">
        <f t="array" ref="H892">IFERROR(IF(INDEX(EmployeeData[Exit Date], ROW() - 37)=0, "",INDEX(EmployeeData[Exit Date], ROW() - 37)),"")</f>
        <v>43663</v>
      </c>
      <c r="I892" s="4" t="str" cm="1">
        <f t="array" ref="I892">IFERROR(IF(INDEX(EmployeeData[Exit Reason], ROW() - 37)=0, "",INDEX(EmployeeData[Exit Reason], ROW() - 37)),"")</f>
        <v>Retirement</v>
      </c>
      <c r="J892" s="4" t="str" cm="1">
        <f t="array" ref="J892">IFERROR(INDEX(EmployeeData[Status], ROW() - 37), "")</f>
        <v>Exited</v>
      </c>
    </row>
    <row r="893" spans="2:10" ht="19.95" customHeight="1" x14ac:dyDescent="0.3">
      <c r="B893" s="4" cm="1">
        <f t="array" ref="B893">IFERROR(INDEX(EmployeeData[Employee ID], ROW() - 37), "")</f>
        <v>1856</v>
      </c>
      <c r="C893" s="4" t="str" cm="1">
        <f t="array" ref="C893">IFERROR(INDEX(EmployeeData[Full Name], ROW() - 37), "")</f>
        <v>Rodel Guevarra</v>
      </c>
      <c r="D893" s="4" t="str" cm="1">
        <f t="array" ref="D893">IFERROR(INDEX(EmployeeData[Department], ROW() - 37), "")</f>
        <v>Finance</v>
      </c>
      <c r="E893" s="4" t="str" cm="1">
        <f t="array" ref="E893">IFERROR(INDEX(EmployeeData[Gender], ROW() - 37), "")</f>
        <v>Other</v>
      </c>
      <c r="F893" s="4" cm="1">
        <f t="array" ref="F893">IFERROR(INDEX(EmployeeData[Age], ROW() - 37), "")</f>
        <v>34</v>
      </c>
      <c r="G893" s="6" cm="1">
        <f t="array" ref="G893">IFERROR(INDEX(EmployeeData[Join Date], ROW() - 37), "")</f>
        <v>45601</v>
      </c>
      <c r="H893" s="6" t="str" cm="1">
        <f t="array" ref="H893">IFERROR(IF(INDEX(EmployeeData[Exit Date], ROW() - 37)=0, "",INDEX(EmployeeData[Exit Date], ROW() - 37)),"")</f>
        <v/>
      </c>
      <c r="I893" s="4" t="str" cm="1">
        <f t="array" ref="I893">IFERROR(IF(INDEX(EmployeeData[Exit Reason], ROW() - 37)=0, "",INDEX(EmployeeData[Exit Reason], ROW() - 37)),"")</f>
        <v/>
      </c>
      <c r="J893" s="4" t="str" cm="1">
        <f t="array" ref="J893">IFERROR(INDEX(EmployeeData[Status], ROW() - 37), "")</f>
        <v>Active</v>
      </c>
    </row>
    <row r="894" spans="2:10" ht="19.95" customHeight="1" x14ac:dyDescent="0.3">
      <c r="B894" s="4" cm="1">
        <f t="array" ref="B894">IFERROR(INDEX(EmployeeData[Employee ID], ROW() - 37), "")</f>
        <v>1857</v>
      </c>
      <c r="C894" s="4" t="str" cm="1">
        <f t="array" ref="C894">IFERROR(INDEX(EmployeeData[Full Name], ROW() - 37), "")</f>
        <v>Carmen Ramos Perez</v>
      </c>
      <c r="D894" s="4" t="str" cm="1">
        <f t="array" ref="D894">IFERROR(INDEX(EmployeeData[Department], ROW() - 37), "")</f>
        <v>Marketing</v>
      </c>
      <c r="E894" s="4" t="str" cm="1">
        <f t="array" ref="E894">IFERROR(INDEX(EmployeeData[Gender], ROW() - 37), "")</f>
        <v>Other</v>
      </c>
      <c r="F894" s="4" cm="1">
        <f t="array" ref="F894">IFERROR(INDEX(EmployeeData[Age], ROW() - 37), "")</f>
        <v>49</v>
      </c>
      <c r="G894" s="6" cm="1">
        <f t="array" ref="G894">IFERROR(INDEX(EmployeeData[Join Date], ROW() - 37), "")</f>
        <v>44219</v>
      </c>
      <c r="H894" s="6" cm="1">
        <f t="array" ref="H894">IFERROR(IF(INDEX(EmployeeData[Exit Date], ROW() - 37)=0, "",INDEX(EmployeeData[Exit Date], ROW() - 37)),"")</f>
        <v>44967</v>
      </c>
      <c r="I894" s="4" t="str" cm="1">
        <f t="array" ref="I894">IFERROR(IF(INDEX(EmployeeData[Exit Reason], ROW() - 37)=0, "",INDEX(EmployeeData[Exit Reason], ROW() - 37)),"")</f>
        <v>Termination</v>
      </c>
      <c r="J894" s="4" t="str" cm="1">
        <f t="array" ref="J894">IFERROR(INDEX(EmployeeData[Status], ROW() - 37), "")</f>
        <v>Exited</v>
      </c>
    </row>
    <row r="895" spans="2:10" ht="19.95" customHeight="1" x14ac:dyDescent="0.3">
      <c r="B895" s="4" cm="1">
        <f t="array" ref="B895">IFERROR(INDEX(EmployeeData[Employee ID], ROW() - 37), "")</f>
        <v>1858</v>
      </c>
      <c r="C895" s="4" t="str" cm="1">
        <f t="array" ref="C895">IFERROR(INDEX(EmployeeData[Full Name], ROW() - 37), "")</f>
        <v>Jacqueline Ang Bondoc</v>
      </c>
      <c r="D895" s="4" t="str" cm="1">
        <f t="array" ref="D895">IFERROR(INDEX(EmployeeData[Department], ROW() - 37), "")</f>
        <v>HR</v>
      </c>
      <c r="E895" s="4" t="str" cm="1">
        <f t="array" ref="E895">IFERROR(INDEX(EmployeeData[Gender], ROW() - 37), "")</f>
        <v>Female</v>
      </c>
      <c r="F895" s="4" cm="1">
        <f t="array" ref="F895">IFERROR(INDEX(EmployeeData[Age], ROW() - 37), "")</f>
        <v>51</v>
      </c>
      <c r="G895" s="6" cm="1">
        <f t="array" ref="G895">IFERROR(INDEX(EmployeeData[Join Date], ROW() - 37), "")</f>
        <v>43118</v>
      </c>
      <c r="H895" s="6" t="str" cm="1">
        <f t="array" ref="H895">IFERROR(IF(INDEX(EmployeeData[Exit Date], ROW() - 37)=0, "",INDEX(EmployeeData[Exit Date], ROW() - 37)),"")</f>
        <v/>
      </c>
      <c r="I895" s="4" t="str" cm="1">
        <f t="array" ref="I895">IFERROR(IF(INDEX(EmployeeData[Exit Reason], ROW() - 37)=0, "",INDEX(EmployeeData[Exit Reason], ROW() - 37)),"")</f>
        <v/>
      </c>
      <c r="J895" s="4" t="str" cm="1">
        <f t="array" ref="J895">IFERROR(INDEX(EmployeeData[Status], ROW() - 37), "")</f>
        <v>Active</v>
      </c>
    </row>
    <row r="896" spans="2:10" ht="19.95" customHeight="1" x14ac:dyDescent="0.3">
      <c r="B896" s="4" cm="1">
        <f t="array" ref="B896">IFERROR(INDEX(EmployeeData[Employee ID], ROW() - 37), "")</f>
        <v>1859</v>
      </c>
      <c r="C896" s="4" t="str" cm="1">
        <f t="array" ref="C896">IFERROR(INDEX(EmployeeData[Full Name], ROW() - 37), "")</f>
        <v>Joselito Crisostomo</v>
      </c>
      <c r="D896" s="4" t="str" cm="1">
        <f t="array" ref="D896">IFERROR(INDEX(EmployeeData[Department], ROW() - 37), "")</f>
        <v>HR</v>
      </c>
      <c r="E896" s="4" t="str" cm="1">
        <f t="array" ref="E896">IFERROR(INDEX(EmployeeData[Gender], ROW() - 37), "")</f>
        <v>Male</v>
      </c>
      <c r="F896" s="4" cm="1">
        <f t="array" ref="F896">IFERROR(INDEX(EmployeeData[Age], ROW() - 37), "")</f>
        <v>25</v>
      </c>
      <c r="G896" s="6" cm="1">
        <f t="array" ref="G896">IFERROR(INDEX(EmployeeData[Join Date], ROW() - 37), "")</f>
        <v>45307</v>
      </c>
      <c r="H896" s="6" cm="1">
        <f t="array" ref="H896">IFERROR(IF(INDEX(EmployeeData[Exit Date], ROW() - 37)=0, "",INDEX(EmployeeData[Exit Date], ROW() - 37)),"")</f>
        <v>46084</v>
      </c>
      <c r="I896" s="4" t="str" cm="1">
        <f t="array" ref="I896">IFERROR(IF(INDEX(EmployeeData[Exit Reason], ROW() - 37)=0, "",INDEX(EmployeeData[Exit Reason], ROW() - 37)),"")</f>
        <v>Termination</v>
      </c>
      <c r="J896" s="4" t="str" cm="1">
        <f t="array" ref="J896">IFERROR(INDEX(EmployeeData[Status], ROW() - 37), "")</f>
        <v>Exited</v>
      </c>
    </row>
    <row r="897" spans="2:10" ht="19.95" customHeight="1" x14ac:dyDescent="0.3">
      <c r="B897" s="4" cm="1">
        <f t="array" ref="B897">IFERROR(INDEX(EmployeeData[Employee ID], ROW() - 37), "")</f>
        <v>1860</v>
      </c>
      <c r="C897" s="4" t="str" cm="1">
        <f t="array" ref="C897">IFERROR(INDEX(EmployeeData[Full Name], ROW() - 37), "")</f>
        <v>Jose Castro Castro</v>
      </c>
      <c r="D897" s="4" t="str" cm="1">
        <f t="array" ref="D897">IFERROR(INDEX(EmployeeData[Department], ROW() - 37), "")</f>
        <v>IT</v>
      </c>
      <c r="E897" s="4" t="str" cm="1">
        <f t="array" ref="E897">IFERROR(INDEX(EmployeeData[Gender], ROW() - 37), "")</f>
        <v>Male</v>
      </c>
      <c r="F897" s="4" cm="1">
        <f t="array" ref="F897">IFERROR(INDEX(EmployeeData[Age], ROW() - 37), "")</f>
        <v>45</v>
      </c>
      <c r="G897" s="6" cm="1">
        <f t="array" ref="G897">IFERROR(INDEX(EmployeeData[Join Date], ROW() - 37), "")</f>
        <v>43826</v>
      </c>
      <c r="H897" s="6" t="str" cm="1">
        <f t="array" ref="H897">IFERROR(IF(INDEX(EmployeeData[Exit Date], ROW() - 37)=0, "",INDEX(EmployeeData[Exit Date], ROW() - 37)),"")</f>
        <v/>
      </c>
      <c r="I897" s="4" t="str" cm="1">
        <f t="array" ref="I897">IFERROR(IF(INDEX(EmployeeData[Exit Reason], ROW() - 37)=0, "",INDEX(EmployeeData[Exit Reason], ROW() - 37)),"")</f>
        <v/>
      </c>
      <c r="J897" s="4" t="str" cm="1">
        <f t="array" ref="J897">IFERROR(INDEX(EmployeeData[Status], ROW() - 37), "")</f>
        <v>Active</v>
      </c>
    </row>
    <row r="898" spans="2:10" ht="19.95" customHeight="1" x14ac:dyDescent="0.3">
      <c r="B898" s="4" cm="1">
        <f t="array" ref="B898">IFERROR(INDEX(EmployeeData[Employee ID], ROW() - 37), "")</f>
        <v>1861</v>
      </c>
      <c r="C898" s="4" t="str" cm="1">
        <f t="array" ref="C898">IFERROR(INDEX(EmployeeData[Full Name], ROW() - 37), "")</f>
        <v>Mylene Soriano Diaz</v>
      </c>
      <c r="D898" s="4" t="str" cm="1">
        <f t="array" ref="D898">IFERROR(INDEX(EmployeeData[Department], ROW() - 37), "")</f>
        <v>IT</v>
      </c>
      <c r="E898" s="4" t="str" cm="1">
        <f t="array" ref="E898">IFERROR(INDEX(EmployeeData[Gender], ROW() - 37), "")</f>
        <v>Female</v>
      </c>
      <c r="F898" s="4" cm="1">
        <f t="array" ref="F898">IFERROR(INDEX(EmployeeData[Age], ROW() - 37), "")</f>
        <v>22</v>
      </c>
      <c r="G898" s="6" cm="1">
        <f t="array" ref="G898">IFERROR(INDEX(EmployeeData[Join Date], ROW() - 37), "")</f>
        <v>44252</v>
      </c>
      <c r="H898" s="6" t="str" cm="1">
        <f t="array" ref="H898">IFERROR(IF(INDEX(EmployeeData[Exit Date], ROW() - 37)=0, "",INDEX(EmployeeData[Exit Date], ROW() - 37)),"")</f>
        <v/>
      </c>
      <c r="I898" s="4" t="str" cm="1">
        <f t="array" ref="I898">IFERROR(IF(INDEX(EmployeeData[Exit Reason], ROW() - 37)=0, "",INDEX(EmployeeData[Exit Reason], ROW() - 37)),"")</f>
        <v/>
      </c>
      <c r="J898" s="4" t="str" cm="1">
        <f t="array" ref="J898">IFERROR(INDEX(EmployeeData[Status], ROW() - 37), "")</f>
        <v>Active</v>
      </c>
    </row>
    <row r="899" spans="2:10" ht="19.95" customHeight="1" x14ac:dyDescent="0.3">
      <c r="B899" s="4" cm="1">
        <f t="array" ref="B899">IFERROR(INDEX(EmployeeData[Employee ID], ROW() - 37), "")</f>
        <v>1862</v>
      </c>
      <c r="C899" s="4" t="str" cm="1">
        <f t="array" ref="C899">IFERROR(INDEX(EmployeeData[Full Name], ROW() - 37), "")</f>
        <v>Natividad Tan Santos</v>
      </c>
      <c r="D899" s="4" t="str" cm="1">
        <f t="array" ref="D899">IFERROR(INDEX(EmployeeData[Department], ROW() - 37), "")</f>
        <v>Sales</v>
      </c>
      <c r="E899" s="4" t="str" cm="1">
        <f t="array" ref="E899">IFERROR(INDEX(EmployeeData[Gender], ROW() - 37), "")</f>
        <v>Female</v>
      </c>
      <c r="F899" s="4" cm="1">
        <f t="array" ref="F899">IFERROR(INDEX(EmployeeData[Age], ROW() - 37), "")</f>
        <v>52</v>
      </c>
      <c r="G899" s="6" cm="1">
        <f t="array" ref="G899">IFERROR(INDEX(EmployeeData[Join Date], ROW() - 37), "")</f>
        <v>44587</v>
      </c>
      <c r="H899" s="6" cm="1">
        <f t="array" ref="H899">IFERROR(IF(INDEX(EmployeeData[Exit Date], ROW() - 37)=0, "",INDEX(EmployeeData[Exit Date], ROW() - 37)),"")</f>
        <v>45686</v>
      </c>
      <c r="I899" s="4" t="str" cm="1">
        <f t="array" ref="I899">IFERROR(IF(INDEX(EmployeeData[Exit Reason], ROW() - 37)=0, "",INDEX(EmployeeData[Exit Reason], ROW() - 37)),"")</f>
        <v>Resignation</v>
      </c>
      <c r="J899" s="4" t="str" cm="1">
        <f t="array" ref="J899">IFERROR(INDEX(EmployeeData[Status], ROW() - 37), "")</f>
        <v>Exited</v>
      </c>
    </row>
    <row r="900" spans="2:10" ht="19.95" customHeight="1" x14ac:dyDescent="0.3">
      <c r="B900" s="4" cm="1">
        <f t="array" ref="B900">IFERROR(INDEX(EmployeeData[Employee ID], ROW() - 37), "")</f>
        <v>1863</v>
      </c>
      <c r="C900" s="4" t="str" cm="1">
        <f t="array" ref="C900">IFERROR(INDEX(EmployeeData[Full Name], ROW() - 37), "")</f>
        <v>Tess Figueroa</v>
      </c>
      <c r="D900" s="4" t="str" cm="1">
        <f t="array" ref="D900">IFERROR(INDEX(EmployeeData[Department], ROW() - 37), "")</f>
        <v>Customer Support</v>
      </c>
      <c r="E900" s="4" t="str" cm="1">
        <f t="array" ref="E900">IFERROR(INDEX(EmployeeData[Gender], ROW() - 37), "")</f>
        <v>Female</v>
      </c>
      <c r="F900" s="4" cm="1">
        <f t="array" ref="F900">IFERROR(INDEX(EmployeeData[Age], ROW() - 37), "")</f>
        <v>53</v>
      </c>
      <c r="G900" s="6" cm="1">
        <f t="array" ref="G900">IFERROR(INDEX(EmployeeData[Join Date], ROW() - 37), "")</f>
        <v>45124</v>
      </c>
      <c r="H900" s="6" cm="1">
        <f t="array" ref="H900">IFERROR(IF(INDEX(EmployeeData[Exit Date], ROW() - 37)=0, "",INDEX(EmployeeData[Exit Date], ROW() - 37)),"")</f>
        <v>45412</v>
      </c>
      <c r="I900" s="4" t="str" cm="1">
        <f t="array" ref="I900">IFERROR(IF(INDEX(EmployeeData[Exit Reason], ROW() - 37)=0, "",INDEX(EmployeeData[Exit Reason], ROW() - 37)),"")</f>
        <v>Relocation</v>
      </c>
      <c r="J900" s="4" t="str" cm="1">
        <f t="array" ref="J900">IFERROR(INDEX(EmployeeData[Status], ROW() - 37), "")</f>
        <v>Exited</v>
      </c>
    </row>
    <row r="901" spans="2:10" ht="19.95" customHeight="1" x14ac:dyDescent="0.3">
      <c r="B901" s="4" cm="1">
        <f t="array" ref="B901">IFERROR(INDEX(EmployeeData[Employee ID], ROW() - 37), "")</f>
        <v>1864</v>
      </c>
      <c r="C901" s="4" t="str" cm="1">
        <f t="array" ref="C901">IFERROR(INDEX(EmployeeData[Full Name], ROW() - 37), "")</f>
        <v>Celine Diaz</v>
      </c>
      <c r="D901" s="4" t="str" cm="1">
        <f t="array" ref="D901">IFERROR(INDEX(EmployeeData[Department], ROW() - 37), "")</f>
        <v>Marketing</v>
      </c>
      <c r="E901" s="4" t="str" cm="1">
        <f t="array" ref="E901">IFERROR(INDEX(EmployeeData[Gender], ROW() - 37), "")</f>
        <v>Female</v>
      </c>
      <c r="F901" s="4" cm="1">
        <f t="array" ref="F901">IFERROR(INDEX(EmployeeData[Age], ROW() - 37), "")</f>
        <v>29</v>
      </c>
      <c r="G901" s="6" cm="1">
        <f t="array" ref="G901">IFERROR(INDEX(EmployeeData[Join Date], ROW() - 37), "")</f>
        <v>43367</v>
      </c>
      <c r="H901" s="6" cm="1">
        <f t="array" ref="H901">IFERROR(IF(INDEX(EmployeeData[Exit Date], ROW() - 37)=0, "",INDEX(EmployeeData[Exit Date], ROW() - 37)),"")</f>
        <v>44390</v>
      </c>
      <c r="I901" s="4" t="str" cm="1">
        <f t="array" ref="I901">IFERROR(IF(INDEX(EmployeeData[Exit Reason], ROW() - 37)=0, "",INDEX(EmployeeData[Exit Reason], ROW() - 37)),"")</f>
        <v>Resignation</v>
      </c>
      <c r="J901" s="4" t="str" cm="1">
        <f t="array" ref="J901">IFERROR(INDEX(EmployeeData[Status], ROW() - 37), "")</f>
        <v>Exited</v>
      </c>
    </row>
    <row r="902" spans="2:10" ht="19.95" customHeight="1" x14ac:dyDescent="0.3">
      <c r="B902" s="4" cm="1">
        <f t="array" ref="B902">IFERROR(INDEX(EmployeeData[Employee ID], ROW() - 37), "")</f>
        <v>1865</v>
      </c>
      <c r="C902" s="4" t="str" cm="1">
        <f t="array" ref="C902">IFERROR(INDEX(EmployeeData[Full Name], ROW() - 37), "")</f>
        <v>Alex Estrada</v>
      </c>
      <c r="D902" s="4" t="str" cm="1">
        <f t="array" ref="D902">IFERROR(INDEX(EmployeeData[Department], ROW() - 37), "")</f>
        <v>Customer Support</v>
      </c>
      <c r="E902" s="4" t="str" cm="1">
        <f t="array" ref="E902">IFERROR(INDEX(EmployeeData[Gender], ROW() - 37), "")</f>
        <v>Other</v>
      </c>
      <c r="F902" s="4" cm="1">
        <f t="array" ref="F902">IFERROR(INDEX(EmployeeData[Age], ROW() - 37), "")</f>
        <v>55</v>
      </c>
      <c r="G902" s="6" cm="1">
        <f t="array" ref="G902">IFERROR(INDEX(EmployeeData[Join Date], ROW() - 37), "")</f>
        <v>45617</v>
      </c>
      <c r="H902" s="6" cm="1">
        <f t="array" ref="H902">IFERROR(IF(INDEX(EmployeeData[Exit Date], ROW() - 37)=0, "",INDEX(EmployeeData[Exit Date], ROW() - 37)),"")</f>
        <v>45993</v>
      </c>
      <c r="I902" s="4" t="str" cm="1">
        <f t="array" ref="I902">IFERROR(IF(INDEX(EmployeeData[Exit Reason], ROW() - 37)=0, "",INDEX(EmployeeData[Exit Reason], ROW() - 37)),"")</f>
        <v>Resignation</v>
      </c>
      <c r="J902" s="4" t="str" cm="1">
        <f t="array" ref="J902">IFERROR(INDEX(EmployeeData[Status], ROW() - 37), "")</f>
        <v>Exited</v>
      </c>
    </row>
    <row r="903" spans="2:10" ht="19.95" customHeight="1" x14ac:dyDescent="0.3">
      <c r="B903" s="4" cm="1">
        <f t="array" ref="B903">IFERROR(INDEX(EmployeeData[Employee ID], ROW() - 37), "")</f>
        <v>1866</v>
      </c>
      <c r="C903" s="4" t="str" cm="1">
        <f t="array" ref="C903">IFERROR(INDEX(EmployeeData[Full Name], ROW() - 37), "")</f>
        <v>Wendy Go Ang</v>
      </c>
      <c r="D903" s="4" t="str" cm="1">
        <f t="array" ref="D903">IFERROR(INDEX(EmployeeData[Department], ROW() - 37), "")</f>
        <v>Finance</v>
      </c>
      <c r="E903" s="4" t="str" cm="1">
        <f t="array" ref="E903">IFERROR(INDEX(EmployeeData[Gender], ROW() - 37), "")</f>
        <v>Female</v>
      </c>
      <c r="F903" s="4" cm="1">
        <f t="array" ref="F903">IFERROR(INDEX(EmployeeData[Age], ROW() - 37), "")</f>
        <v>41</v>
      </c>
      <c r="G903" s="6" cm="1">
        <f t="array" ref="G903">IFERROR(INDEX(EmployeeData[Join Date], ROW() - 37), "")</f>
        <v>44872</v>
      </c>
      <c r="H903" s="6" t="str" cm="1">
        <f t="array" ref="H903">IFERROR(IF(INDEX(EmployeeData[Exit Date], ROW() - 37)=0, "",INDEX(EmployeeData[Exit Date], ROW() - 37)),"")</f>
        <v/>
      </c>
      <c r="I903" s="4" t="str" cm="1">
        <f t="array" ref="I903">IFERROR(IF(INDEX(EmployeeData[Exit Reason], ROW() - 37)=0, "",INDEX(EmployeeData[Exit Reason], ROW() - 37)),"")</f>
        <v/>
      </c>
      <c r="J903" s="4" t="str" cm="1">
        <f t="array" ref="J903">IFERROR(INDEX(EmployeeData[Status], ROW() - 37), "")</f>
        <v>Active</v>
      </c>
    </row>
    <row r="904" spans="2:10" ht="19.95" customHeight="1" x14ac:dyDescent="0.3">
      <c r="B904" s="4" cm="1">
        <f t="array" ref="B904">IFERROR(INDEX(EmployeeData[Employee ID], ROW() - 37), "")</f>
        <v>1867</v>
      </c>
      <c r="C904" s="4" t="str" cm="1">
        <f t="array" ref="C904">IFERROR(INDEX(EmployeeData[Full Name], ROW() - 37), "")</f>
        <v>Dennis Diaz Santos</v>
      </c>
      <c r="D904" s="4" t="str" cm="1">
        <f t="array" ref="D904">IFERROR(INDEX(EmployeeData[Department], ROW() - 37), "")</f>
        <v>Marketing</v>
      </c>
      <c r="E904" s="4" t="str" cm="1">
        <f t="array" ref="E904">IFERROR(INDEX(EmployeeData[Gender], ROW() - 37), "")</f>
        <v>Male</v>
      </c>
      <c r="F904" s="4" cm="1">
        <f t="array" ref="F904">IFERROR(INDEX(EmployeeData[Age], ROW() - 37), "")</f>
        <v>23</v>
      </c>
      <c r="G904" s="6" cm="1">
        <f t="array" ref="G904">IFERROR(INDEX(EmployeeData[Join Date], ROW() - 37), "")</f>
        <v>44020</v>
      </c>
      <c r="H904" s="6" cm="1">
        <f t="array" ref="H904">IFERROR(IF(INDEX(EmployeeData[Exit Date], ROW() - 37)=0, "",INDEX(EmployeeData[Exit Date], ROW() - 37)),"")</f>
        <v>45830</v>
      </c>
      <c r="I904" s="4" t="str" cm="1">
        <f t="array" ref="I904">IFERROR(IF(INDEX(EmployeeData[Exit Reason], ROW() - 37)=0, "",INDEX(EmployeeData[Exit Reason], ROW() - 37)),"")</f>
        <v>Health Issues</v>
      </c>
      <c r="J904" s="4" t="str" cm="1">
        <f t="array" ref="J904">IFERROR(INDEX(EmployeeData[Status], ROW() - 37), "")</f>
        <v>Exited</v>
      </c>
    </row>
    <row r="905" spans="2:10" ht="19.95" customHeight="1" x14ac:dyDescent="0.3">
      <c r="B905" s="4" cm="1">
        <f t="array" ref="B905">IFERROR(INDEX(EmployeeData[Employee ID], ROW() - 37), "")</f>
        <v>1868</v>
      </c>
      <c r="C905" s="4" t="str" cm="1">
        <f t="array" ref="C905">IFERROR(INDEX(EmployeeData[Full Name], ROW() - 37), "")</f>
        <v>Samuel Villanueva</v>
      </c>
      <c r="D905" s="4" t="str" cm="1">
        <f t="array" ref="D905">IFERROR(INDEX(EmployeeData[Department], ROW() - 37), "")</f>
        <v>Customer Support</v>
      </c>
      <c r="E905" s="4" t="str" cm="1">
        <f t="array" ref="E905">IFERROR(INDEX(EmployeeData[Gender], ROW() - 37), "")</f>
        <v>Male</v>
      </c>
      <c r="F905" s="4" cm="1">
        <f t="array" ref="F905">IFERROR(INDEX(EmployeeData[Age], ROW() - 37), "")</f>
        <v>22</v>
      </c>
      <c r="G905" s="6" cm="1">
        <f t="array" ref="G905">IFERROR(INDEX(EmployeeData[Join Date], ROW() - 37), "")</f>
        <v>44025</v>
      </c>
      <c r="H905" s="6" t="str" cm="1">
        <f t="array" ref="H905">IFERROR(IF(INDEX(EmployeeData[Exit Date], ROW() - 37)=0, "",INDEX(EmployeeData[Exit Date], ROW() - 37)),"")</f>
        <v/>
      </c>
      <c r="I905" s="4" t="str" cm="1">
        <f t="array" ref="I905">IFERROR(IF(INDEX(EmployeeData[Exit Reason], ROW() - 37)=0, "",INDEX(EmployeeData[Exit Reason], ROW() - 37)),"")</f>
        <v/>
      </c>
      <c r="J905" s="4" t="str" cm="1">
        <f t="array" ref="J905">IFERROR(INDEX(EmployeeData[Status], ROW() - 37), "")</f>
        <v>Active</v>
      </c>
    </row>
    <row r="906" spans="2:10" ht="19.95" customHeight="1" x14ac:dyDescent="0.3">
      <c r="B906" s="4" cm="1">
        <f t="array" ref="B906">IFERROR(INDEX(EmployeeData[Employee ID], ROW() - 37), "")</f>
        <v>1869</v>
      </c>
      <c r="C906" s="4" t="str" cm="1">
        <f t="array" ref="C906">IFERROR(INDEX(EmployeeData[Full Name], ROW() - 37), "")</f>
        <v>Ramon Reyes Umali</v>
      </c>
      <c r="D906" s="4" t="str" cm="1">
        <f t="array" ref="D906">IFERROR(INDEX(EmployeeData[Department], ROW() - 37), "")</f>
        <v>Customer Support</v>
      </c>
      <c r="E906" s="4" t="str" cm="1">
        <f t="array" ref="E906">IFERROR(INDEX(EmployeeData[Gender], ROW() - 37), "")</f>
        <v>Male</v>
      </c>
      <c r="F906" s="4" cm="1">
        <f t="array" ref="F906">IFERROR(INDEX(EmployeeData[Age], ROW() - 37), "")</f>
        <v>25</v>
      </c>
      <c r="G906" s="6" cm="1">
        <f t="array" ref="G906">IFERROR(INDEX(EmployeeData[Join Date], ROW() - 37), "")</f>
        <v>45665</v>
      </c>
      <c r="H906" s="6" t="str" cm="1">
        <f t="array" ref="H906">IFERROR(IF(INDEX(EmployeeData[Exit Date], ROW() - 37)=0, "",INDEX(EmployeeData[Exit Date], ROW() - 37)),"")</f>
        <v/>
      </c>
      <c r="I906" s="4" t="str" cm="1">
        <f t="array" ref="I906">IFERROR(IF(INDEX(EmployeeData[Exit Reason], ROW() - 37)=0, "",INDEX(EmployeeData[Exit Reason], ROW() - 37)),"")</f>
        <v/>
      </c>
      <c r="J906" s="4" t="str" cm="1">
        <f t="array" ref="J906">IFERROR(INDEX(EmployeeData[Status], ROW() - 37), "")</f>
        <v>Active</v>
      </c>
    </row>
    <row r="907" spans="2:10" ht="19.95" customHeight="1" x14ac:dyDescent="0.3">
      <c r="B907" s="4" cm="1">
        <f t="array" ref="B907">IFERROR(INDEX(EmployeeData[Employee ID], ROW() - 37), "")</f>
        <v>1870</v>
      </c>
      <c r="C907" s="4" t="str" cm="1">
        <f t="array" ref="C907">IFERROR(INDEX(EmployeeData[Full Name], ROW() - 37), "")</f>
        <v>Roberto Mercado Mangubat</v>
      </c>
      <c r="D907" s="4" t="str" cm="1">
        <f t="array" ref="D907">IFERROR(INDEX(EmployeeData[Department], ROW() - 37), "")</f>
        <v>Marketing</v>
      </c>
      <c r="E907" s="4" t="str" cm="1">
        <f t="array" ref="E907">IFERROR(INDEX(EmployeeData[Gender], ROW() - 37), "")</f>
        <v>Male</v>
      </c>
      <c r="F907" s="4" cm="1">
        <f t="array" ref="F907">IFERROR(INDEX(EmployeeData[Age], ROW() - 37), "")</f>
        <v>60</v>
      </c>
      <c r="G907" s="6" cm="1">
        <f t="array" ref="G907">IFERROR(INDEX(EmployeeData[Join Date], ROW() - 37), "")</f>
        <v>44126</v>
      </c>
      <c r="H907" s="6" cm="1">
        <f t="array" ref="H907">IFERROR(IF(INDEX(EmployeeData[Exit Date], ROW() - 37)=0, "",INDEX(EmployeeData[Exit Date], ROW() - 37)),"")</f>
        <v>45185</v>
      </c>
      <c r="I907" s="4" t="str" cm="1">
        <f t="array" ref="I907">IFERROR(IF(INDEX(EmployeeData[Exit Reason], ROW() - 37)=0, "",INDEX(EmployeeData[Exit Reason], ROW() - 37)),"")</f>
        <v>Retirement</v>
      </c>
      <c r="J907" s="4" t="str" cm="1">
        <f t="array" ref="J907">IFERROR(INDEX(EmployeeData[Status], ROW() - 37), "")</f>
        <v>Exited</v>
      </c>
    </row>
    <row r="908" spans="2:10" ht="19.95" customHeight="1" x14ac:dyDescent="0.3">
      <c r="B908" s="4" cm="1">
        <f t="array" ref="B908">IFERROR(INDEX(EmployeeData[Employee ID], ROW() - 37), "")</f>
        <v>1871</v>
      </c>
      <c r="C908" s="4" t="str" cm="1">
        <f t="array" ref="C908">IFERROR(INDEX(EmployeeData[Full Name], ROW() - 37), "")</f>
        <v>Lourdes Bautista Castro</v>
      </c>
      <c r="D908" s="4" t="str" cm="1">
        <f t="array" ref="D908">IFERROR(INDEX(EmployeeData[Department], ROW() - 37), "")</f>
        <v>Finance</v>
      </c>
      <c r="E908" s="4" t="str" cm="1">
        <f t="array" ref="E908">IFERROR(INDEX(EmployeeData[Gender], ROW() - 37), "")</f>
        <v>Other</v>
      </c>
      <c r="F908" s="4" cm="1">
        <f t="array" ref="F908">IFERROR(INDEX(EmployeeData[Age], ROW() - 37), "")</f>
        <v>49</v>
      </c>
      <c r="G908" s="6" cm="1">
        <f t="array" ref="G908">IFERROR(INDEX(EmployeeData[Join Date], ROW() - 37), "")</f>
        <v>43492</v>
      </c>
      <c r="H908" s="6" t="str" cm="1">
        <f t="array" ref="H908">IFERROR(IF(INDEX(EmployeeData[Exit Date], ROW() - 37)=0, "",INDEX(EmployeeData[Exit Date], ROW() - 37)),"")</f>
        <v/>
      </c>
      <c r="I908" s="4" t="str" cm="1">
        <f t="array" ref="I908">IFERROR(IF(INDEX(EmployeeData[Exit Reason], ROW() - 37)=0, "",INDEX(EmployeeData[Exit Reason], ROW() - 37)),"")</f>
        <v/>
      </c>
      <c r="J908" s="4" t="str" cm="1">
        <f t="array" ref="J908">IFERROR(INDEX(EmployeeData[Status], ROW() - 37), "")</f>
        <v>Active</v>
      </c>
    </row>
    <row r="909" spans="2:10" ht="19.95" customHeight="1" x14ac:dyDescent="0.3">
      <c r="B909" s="4" cm="1">
        <f t="array" ref="B909">IFERROR(INDEX(EmployeeData[Employee ID], ROW() - 37), "")</f>
        <v>1872</v>
      </c>
      <c r="C909" s="4" t="str" cm="1">
        <f t="array" ref="C909">IFERROR(INDEX(EmployeeData[Full Name], ROW() - 37), "")</f>
        <v>Timothy Bautista Aquino</v>
      </c>
      <c r="D909" s="4" t="str" cm="1">
        <f t="array" ref="D909">IFERROR(INDEX(EmployeeData[Department], ROW() - 37), "")</f>
        <v>Finance</v>
      </c>
      <c r="E909" s="4" t="str" cm="1">
        <f t="array" ref="E909">IFERROR(INDEX(EmployeeData[Gender], ROW() - 37), "")</f>
        <v>Male</v>
      </c>
      <c r="F909" s="4" cm="1">
        <f t="array" ref="F909">IFERROR(INDEX(EmployeeData[Age], ROW() - 37), "")</f>
        <v>25</v>
      </c>
      <c r="G909" s="6" cm="1">
        <f t="array" ref="G909">IFERROR(INDEX(EmployeeData[Join Date], ROW() - 37), "")</f>
        <v>43623</v>
      </c>
      <c r="H909" s="6" cm="1">
        <f t="array" ref="H909">IFERROR(IF(INDEX(EmployeeData[Exit Date], ROW() - 37)=0, "",INDEX(EmployeeData[Exit Date], ROW() - 37)),"")</f>
        <v>45523</v>
      </c>
      <c r="I909" s="4" t="str" cm="1">
        <f t="array" ref="I909">IFERROR(IF(INDEX(EmployeeData[Exit Reason], ROW() - 37)=0, "",INDEX(EmployeeData[Exit Reason], ROW() - 37)),"")</f>
        <v>Better Opportunity</v>
      </c>
      <c r="J909" s="4" t="str" cm="1">
        <f t="array" ref="J909">IFERROR(INDEX(EmployeeData[Status], ROW() - 37), "")</f>
        <v>Exited</v>
      </c>
    </row>
    <row r="910" spans="2:10" ht="19.95" customHeight="1" x14ac:dyDescent="0.3">
      <c r="B910" s="4" cm="1">
        <f t="array" ref="B910">IFERROR(INDEX(EmployeeData[Employee ID], ROW() - 37), "")</f>
        <v>1873</v>
      </c>
      <c r="C910" s="4" t="str" cm="1">
        <f t="array" ref="C910">IFERROR(INDEX(EmployeeData[Full Name], ROW() - 37), "")</f>
        <v>Eva Sy Salazar</v>
      </c>
      <c r="D910" s="4" t="str" cm="1">
        <f t="array" ref="D910">IFERROR(INDEX(EmployeeData[Department], ROW() - 37), "")</f>
        <v>Marketing</v>
      </c>
      <c r="E910" s="4" t="str" cm="1">
        <f t="array" ref="E910">IFERROR(INDEX(EmployeeData[Gender], ROW() - 37), "")</f>
        <v>Female</v>
      </c>
      <c r="F910" s="4" cm="1">
        <f t="array" ref="F910">IFERROR(INDEX(EmployeeData[Age], ROW() - 37), "")</f>
        <v>50</v>
      </c>
      <c r="G910" s="6" cm="1">
        <f t="array" ref="G910">IFERROR(INDEX(EmployeeData[Join Date], ROW() - 37), "")</f>
        <v>44746</v>
      </c>
      <c r="H910" s="6" cm="1">
        <f t="array" ref="H910">IFERROR(IF(INDEX(EmployeeData[Exit Date], ROW() - 37)=0, "",INDEX(EmployeeData[Exit Date], ROW() - 37)),"")</f>
        <v>45677</v>
      </c>
      <c r="I910" s="4" t="str" cm="1">
        <f t="array" ref="I910">IFERROR(IF(INDEX(EmployeeData[Exit Reason], ROW() - 37)=0, "",INDEX(EmployeeData[Exit Reason], ROW() - 37)),"")</f>
        <v>Retirement</v>
      </c>
      <c r="J910" s="4" t="str" cm="1">
        <f t="array" ref="J910">IFERROR(INDEX(EmployeeData[Status], ROW() - 37), "")</f>
        <v>Exited</v>
      </c>
    </row>
    <row r="911" spans="2:10" ht="19.95" customHeight="1" x14ac:dyDescent="0.3">
      <c r="B911" s="4" cm="1">
        <f t="array" ref="B911">IFERROR(INDEX(EmployeeData[Employee ID], ROW() - 37), "")</f>
        <v>1874</v>
      </c>
      <c r="C911" s="4" t="str" cm="1">
        <f t="array" ref="C911">IFERROR(INDEX(EmployeeData[Full Name], ROW() - 37), "")</f>
        <v>Ramon Castro Roque</v>
      </c>
      <c r="D911" s="4" t="str" cm="1">
        <f t="array" ref="D911">IFERROR(INDEX(EmployeeData[Department], ROW() - 37), "")</f>
        <v>Sales</v>
      </c>
      <c r="E911" s="4" t="str" cm="1">
        <f t="array" ref="E911">IFERROR(INDEX(EmployeeData[Gender], ROW() - 37), "")</f>
        <v>Male</v>
      </c>
      <c r="F911" s="4" cm="1">
        <f t="array" ref="F911">IFERROR(INDEX(EmployeeData[Age], ROW() - 37), "")</f>
        <v>42</v>
      </c>
      <c r="G911" s="6" cm="1">
        <f t="array" ref="G911">IFERROR(INDEX(EmployeeData[Join Date], ROW() - 37), "")</f>
        <v>45767</v>
      </c>
      <c r="H911" s="6" t="str" cm="1">
        <f t="array" ref="H911">IFERROR(IF(INDEX(EmployeeData[Exit Date], ROW() - 37)=0, "",INDEX(EmployeeData[Exit Date], ROW() - 37)),"")</f>
        <v/>
      </c>
      <c r="I911" s="4" t="str" cm="1">
        <f t="array" ref="I911">IFERROR(IF(INDEX(EmployeeData[Exit Reason], ROW() - 37)=0, "",INDEX(EmployeeData[Exit Reason], ROW() - 37)),"")</f>
        <v/>
      </c>
      <c r="J911" s="4" t="str" cm="1">
        <f t="array" ref="J911">IFERROR(INDEX(EmployeeData[Status], ROW() - 37), "")</f>
        <v>Active</v>
      </c>
    </row>
    <row r="912" spans="2:10" ht="19.95" customHeight="1" x14ac:dyDescent="0.3">
      <c r="B912" s="4" cm="1">
        <f t="array" ref="B912">IFERROR(INDEX(EmployeeData[Employee ID], ROW() - 37), "")</f>
        <v>1875</v>
      </c>
      <c r="C912" s="4" t="str" cm="1">
        <f t="array" ref="C912">IFERROR(INDEX(EmployeeData[Full Name], ROW() - 37), "")</f>
        <v>Leonora Domingo Macapagal</v>
      </c>
      <c r="D912" s="4" t="str" cm="1">
        <f t="array" ref="D912">IFERROR(INDEX(EmployeeData[Department], ROW() - 37), "")</f>
        <v>Customer Support</v>
      </c>
      <c r="E912" s="4" t="str" cm="1">
        <f t="array" ref="E912">IFERROR(INDEX(EmployeeData[Gender], ROW() - 37), "")</f>
        <v>Female</v>
      </c>
      <c r="F912" s="4" cm="1">
        <f t="array" ref="F912">IFERROR(INDEX(EmployeeData[Age], ROW() - 37), "")</f>
        <v>25</v>
      </c>
      <c r="G912" s="6" cm="1">
        <f t="array" ref="G912">IFERROR(INDEX(EmployeeData[Join Date], ROW() - 37), "")</f>
        <v>45529</v>
      </c>
      <c r="H912" s="6" t="str" cm="1">
        <f t="array" ref="H912">IFERROR(IF(INDEX(EmployeeData[Exit Date], ROW() - 37)=0, "",INDEX(EmployeeData[Exit Date], ROW() - 37)),"")</f>
        <v/>
      </c>
      <c r="I912" s="4" t="str" cm="1">
        <f t="array" ref="I912">IFERROR(IF(INDEX(EmployeeData[Exit Reason], ROW() - 37)=0, "",INDEX(EmployeeData[Exit Reason], ROW() - 37)),"")</f>
        <v/>
      </c>
      <c r="J912" s="4" t="str" cm="1">
        <f t="array" ref="J912">IFERROR(INDEX(EmployeeData[Status], ROW() - 37), "")</f>
        <v>Active</v>
      </c>
    </row>
    <row r="913" spans="2:10" ht="19.95" customHeight="1" x14ac:dyDescent="0.3">
      <c r="B913" s="4" cm="1">
        <f t="array" ref="B913">IFERROR(INDEX(EmployeeData[Employee ID], ROW() - 37), "")</f>
        <v>1876</v>
      </c>
      <c r="C913" s="4" t="str" cm="1">
        <f t="array" ref="C913">IFERROR(INDEX(EmployeeData[Full Name], ROW() - 37), "")</f>
        <v>Christian Vega Narvasa</v>
      </c>
      <c r="D913" s="4" t="str" cm="1">
        <f t="array" ref="D913">IFERROR(INDEX(EmployeeData[Department], ROW() - 37), "")</f>
        <v>IT</v>
      </c>
      <c r="E913" s="4" t="str" cm="1">
        <f t="array" ref="E913">IFERROR(INDEX(EmployeeData[Gender], ROW() - 37), "")</f>
        <v>Male</v>
      </c>
      <c r="F913" s="4" cm="1">
        <f t="array" ref="F913">IFERROR(INDEX(EmployeeData[Age], ROW() - 37), "")</f>
        <v>49</v>
      </c>
      <c r="G913" s="6" cm="1">
        <f t="array" ref="G913">IFERROR(INDEX(EmployeeData[Join Date], ROW() - 37), "")</f>
        <v>43862</v>
      </c>
      <c r="H913" s="6" cm="1">
        <f t="array" ref="H913">IFERROR(IF(INDEX(EmployeeData[Exit Date], ROW() - 37)=0, "",INDEX(EmployeeData[Exit Date], ROW() - 37)),"")</f>
        <v>44132</v>
      </c>
      <c r="I913" s="4" t="str" cm="1">
        <f t="array" ref="I913">IFERROR(IF(INDEX(EmployeeData[Exit Reason], ROW() - 37)=0, "",INDEX(EmployeeData[Exit Reason], ROW() - 37)),"")</f>
        <v>Better Opportunity</v>
      </c>
      <c r="J913" s="4" t="str" cm="1">
        <f t="array" ref="J913">IFERROR(INDEX(EmployeeData[Status], ROW() - 37), "")</f>
        <v>Exited</v>
      </c>
    </row>
    <row r="914" spans="2:10" ht="19.95" customHeight="1" x14ac:dyDescent="0.3">
      <c r="B914" s="4" cm="1">
        <f t="array" ref="B914">IFERROR(INDEX(EmployeeData[Employee ID], ROW() - 37), "")</f>
        <v>1877</v>
      </c>
      <c r="C914" s="4" t="str" cm="1">
        <f t="array" ref="C914">IFERROR(INDEX(EmployeeData[Full Name], ROW() - 37), "")</f>
        <v>Cristina Santos Buenaventura</v>
      </c>
      <c r="D914" s="4" t="str" cm="1">
        <f t="array" ref="D914">IFERROR(INDEX(EmployeeData[Department], ROW() - 37), "")</f>
        <v>IT</v>
      </c>
      <c r="E914" s="4" t="str" cm="1">
        <f t="array" ref="E914">IFERROR(INDEX(EmployeeData[Gender], ROW() - 37), "")</f>
        <v>Other</v>
      </c>
      <c r="F914" s="4" cm="1">
        <f t="array" ref="F914">IFERROR(INDEX(EmployeeData[Age], ROW() - 37), "")</f>
        <v>30</v>
      </c>
      <c r="G914" s="6" cm="1">
        <f t="array" ref="G914">IFERROR(INDEX(EmployeeData[Join Date], ROW() - 37), "")</f>
        <v>43704</v>
      </c>
      <c r="H914" s="6" t="str" cm="1">
        <f t="array" ref="H914">IFERROR(IF(INDEX(EmployeeData[Exit Date], ROW() - 37)=0, "",INDEX(EmployeeData[Exit Date], ROW() - 37)),"")</f>
        <v/>
      </c>
      <c r="I914" s="4" t="str" cm="1">
        <f t="array" ref="I914">IFERROR(IF(INDEX(EmployeeData[Exit Reason], ROW() - 37)=0, "",INDEX(EmployeeData[Exit Reason], ROW() - 37)),"")</f>
        <v/>
      </c>
      <c r="J914" s="4" t="str" cm="1">
        <f t="array" ref="J914">IFERROR(INDEX(EmployeeData[Status], ROW() - 37), "")</f>
        <v>Active</v>
      </c>
    </row>
    <row r="915" spans="2:10" ht="19.95" customHeight="1" x14ac:dyDescent="0.3">
      <c r="B915" s="4" cm="1">
        <f t="array" ref="B915">IFERROR(INDEX(EmployeeData[Employee ID], ROW() - 37), "")</f>
        <v>1878</v>
      </c>
      <c r="C915" s="4" t="str" cm="1">
        <f t="array" ref="C915">IFERROR(INDEX(EmployeeData[Full Name], ROW() - 37), "")</f>
        <v>Kristoffer Vega</v>
      </c>
      <c r="D915" s="4" t="str" cm="1">
        <f t="array" ref="D915">IFERROR(INDEX(EmployeeData[Department], ROW() - 37), "")</f>
        <v>Marketing</v>
      </c>
      <c r="E915" s="4" t="str" cm="1">
        <f t="array" ref="E915">IFERROR(INDEX(EmployeeData[Gender], ROW() - 37), "")</f>
        <v>Male</v>
      </c>
      <c r="F915" s="4" cm="1">
        <f t="array" ref="F915">IFERROR(INDEX(EmployeeData[Age], ROW() - 37), "")</f>
        <v>30</v>
      </c>
      <c r="G915" s="6" cm="1">
        <f t="array" ref="G915">IFERROR(INDEX(EmployeeData[Join Date], ROW() - 37), "")</f>
        <v>43335</v>
      </c>
      <c r="H915" s="6" cm="1">
        <f t="array" ref="H915">IFERROR(IF(INDEX(EmployeeData[Exit Date], ROW() - 37)=0, "",INDEX(EmployeeData[Exit Date], ROW() - 37)),"")</f>
        <v>43648</v>
      </c>
      <c r="I915" s="4" t="str" cm="1">
        <f t="array" ref="I915">IFERROR(IF(INDEX(EmployeeData[Exit Reason], ROW() - 37)=0, "",INDEX(EmployeeData[Exit Reason], ROW() - 37)),"")</f>
        <v>Termination</v>
      </c>
      <c r="J915" s="4" t="str" cm="1">
        <f t="array" ref="J915">IFERROR(INDEX(EmployeeData[Status], ROW() - 37), "")</f>
        <v>Exited</v>
      </c>
    </row>
    <row r="916" spans="2:10" ht="19.95" customHeight="1" x14ac:dyDescent="0.3">
      <c r="B916" s="4" cm="1">
        <f t="array" ref="B916">IFERROR(INDEX(EmployeeData[Employee ID], ROW() - 37), "")</f>
        <v>1879</v>
      </c>
      <c r="C916" s="4" t="str" cm="1">
        <f t="array" ref="C916">IFERROR(INDEX(EmployeeData[Full Name], ROW() - 37), "")</f>
        <v>Fe Perez</v>
      </c>
      <c r="D916" s="4" t="str" cm="1">
        <f t="array" ref="D916">IFERROR(INDEX(EmployeeData[Department], ROW() - 37), "")</f>
        <v>Customer Support</v>
      </c>
      <c r="E916" s="4" t="str" cm="1">
        <f t="array" ref="E916">IFERROR(INDEX(EmployeeData[Gender], ROW() - 37), "")</f>
        <v>Female</v>
      </c>
      <c r="F916" s="4" cm="1">
        <f t="array" ref="F916">IFERROR(INDEX(EmployeeData[Age], ROW() - 37), "")</f>
        <v>33</v>
      </c>
      <c r="G916" s="6" cm="1">
        <f t="array" ref="G916">IFERROR(INDEX(EmployeeData[Join Date], ROW() - 37), "")</f>
        <v>45836</v>
      </c>
      <c r="H916" s="6" t="str" cm="1">
        <f t="array" ref="H916">IFERROR(IF(INDEX(EmployeeData[Exit Date], ROW() - 37)=0, "",INDEX(EmployeeData[Exit Date], ROW() - 37)),"")</f>
        <v/>
      </c>
      <c r="I916" s="4" t="str" cm="1">
        <f t="array" ref="I916">IFERROR(IF(INDEX(EmployeeData[Exit Reason], ROW() - 37)=0, "",INDEX(EmployeeData[Exit Reason], ROW() - 37)),"")</f>
        <v/>
      </c>
      <c r="J916" s="4" t="str" cm="1">
        <f t="array" ref="J916">IFERROR(INDEX(EmployeeData[Status], ROW() - 37), "")</f>
        <v>Active</v>
      </c>
    </row>
    <row r="917" spans="2:10" ht="19.95" customHeight="1" x14ac:dyDescent="0.3">
      <c r="B917" s="4" cm="1">
        <f t="array" ref="B917">IFERROR(INDEX(EmployeeData[Employee ID], ROW() - 37), "")</f>
        <v>1880</v>
      </c>
      <c r="C917" s="4" t="str" cm="1">
        <f t="array" ref="C917">IFERROR(INDEX(EmployeeData[Full Name], ROW() - 37), "")</f>
        <v>Alvin Santos Garcia</v>
      </c>
      <c r="D917" s="4" t="str" cm="1">
        <f t="array" ref="D917">IFERROR(INDEX(EmployeeData[Department], ROW() - 37), "")</f>
        <v>Sales</v>
      </c>
      <c r="E917" s="4" t="str" cm="1">
        <f t="array" ref="E917">IFERROR(INDEX(EmployeeData[Gender], ROW() - 37), "")</f>
        <v>Male</v>
      </c>
      <c r="F917" s="4" cm="1">
        <f t="array" ref="F917">IFERROR(INDEX(EmployeeData[Age], ROW() - 37), "")</f>
        <v>42</v>
      </c>
      <c r="G917" s="6" cm="1">
        <f t="array" ref="G917">IFERROR(INDEX(EmployeeData[Join Date], ROW() - 37), "")</f>
        <v>45624</v>
      </c>
      <c r="H917" s="6" cm="1">
        <f t="array" ref="H917">IFERROR(IF(INDEX(EmployeeData[Exit Date], ROW() - 37)=0, "",INDEX(EmployeeData[Exit Date], ROW() - 37)),"")</f>
        <v>45882</v>
      </c>
      <c r="I917" s="4" t="str" cm="1">
        <f t="array" ref="I917">IFERROR(IF(INDEX(EmployeeData[Exit Reason], ROW() - 37)=0, "",INDEX(EmployeeData[Exit Reason], ROW() - 37)),"")</f>
        <v>Better Opportunity</v>
      </c>
      <c r="J917" s="4" t="str" cm="1">
        <f t="array" ref="J917">IFERROR(INDEX(EmployeeData[Status], ROW() - 37), "")</f>
        <v>Exited</v>
      </c>
    </row>
    <row r="918" spans="2:10" ht="19.95" customHeight="1" x14ac:dyDescent="0.3">
      <c r="B918" s="4" cm="1">
        <f t="array" ref="B918">IFERROR(INDEX(EmployeeData[Employee ID], ROW() - 37), "")</f>
        <v>1881</v>
      </c>
      <c r="C918" s="4" t="str" cm="1">
        <f t="array" ref="C918">IFERROR(INDEX(EmployeeData[Full Name], ROW() - 37), "")</f>
        <v>Danilo Tan San Pedro</v>
      </c>
      <c r="D918" s="4" t="str" cm="1">
        <f t="array" ref="D918">IFERROR(INDEX(EmployeeData[Department], ROW() - 37), "")</f>
        <v>Marketing</v>
      </c>
      <c r="E918" s="4" t="str" cm="1">
        <f t="array" ref="E918">IFERROR(INDEX(EmployeeData[Gender], ROW() - 37), "")</f>
        <v>Other</v>
      </c>
      <c r="F918" s="4" cm="1">
        <f t="array" ref="F918">IFERROR(INDEX(EmployeeData[Age], ROW() - 37), "")</f>
        <v>50</v>
      </c>
      <c r="G918" s="6" cm="1">
        <f t="array" ref="G918">IFERROR(INDEX(EmployeeData[Join Date], ROW() - 37), "")</f>
        <v>45656</v>
      </c>
      <c r="H918" s="6" cm="1">
        <f t="array" ref="H918">IFERROR(IF(INDEX(EmployeeData[Exit Date], ROW() - 37)=0, "",INDEX(EmployeeData[Exit Date], ROW() - 37)),"")</f>
        <v>45992</v>
      </c>
      <c r="I918" s="4" t="str" cm="1">
        <f t="array" ref="I918">IFERROR(IF(INDEX(EmployeeData[Exit Reason], ROW() - 37)=0, "",INDEX(EmployeeData[Exit Reason], ROW() - 37)),"")</f>
        <v>Personal Reasons</v>
      </c>
      <c r="J918" s="4" t="str" cm="1">
        <f t="array" ref="J918">IFERROR(INDEX(EmployeeData[Status], ROW() - 37), "")</f>
        <v>Exited</v>
      </c>
    </row>
    <row r="919" spans="2:10" ht="19.95" customHeight="1" x14ac:dyDescent="0.3">
      <c r="B919" s="4" cm="1">
        <f t="array" ref="B919">IFERROR(INDEX(EmployeeData[Employee ID], ROW() - 37), "")</f>
        <v>1882</v>
      </c>
      <c r="C919" s="4" t="str" cm="1">
        <f t="array" ref="C919">IFERROR(INDEX(EmployeeData[Full Name], ROW() - 37), "")</f>
        <v>Cameron Santiago Chua</v>
      </c>
      <c r="D919" s="4" t="str" cm="1">
        <f t="array" ref="D919">IFERROR(INDEX(EmployeeData[Department], ROW() - 37), "")</f>
        <v>Customer Support</v>
      </c>
      <c r="E919" s="4" t="str" cm="1">
        <f t="array" ref="E919">IFERROR(INDEX(EmployeeData[Gender], ROW() - 37), "")</f>
        <v>Other</v>
      </c>
      <c r="F919" s="4" cm="1">
        <f t="array" ref="F919">IFERROR(INDEX(EmployeeData[Age], ROW() - 37), "")</f>
        <v>44</v>
      </c>
      <c r="G919" s="6" cm="1">
        <f t="array" ref="G919">IFERROR(INDEX(EmployeeData[Join Date], ROW() - 37), "")</f>
        <v>43141</v>
      </c>
      <c r="H919" s="6" cm="1">
        <f t="array" ref="H919">IFERROR(IF(INDEX(EmployeeData[Exit Date], ROW() - 37)=0, "",INDEX(EmployeeData[Exit Date], ROW() - 37)),"")</f>
        <v>43353</v>
      </c>
      <c r="I919" s="4" t="str" cm="1">
        <f t="array" ref="I919">IFERROR(IF(INDEX(EmployeeData[Exit Reason], ROW() - 37)=0, "",INDEX(EmployeeData[Exit Reason], ROW() - 37)),"")</f>
        <v>Health Issues</v>
      </c>
      <c r="J919" s="4" t="str" cm="1">
        <f t="array" ref="J919">IFERROR(INDEX(EmployeeData[Status], ROW() - 37), "")</f>
        <v>Exited</v>
      </c>
    </row>
    <row r="920" spans="2:10" ht="19.95" customHeight="1" x14ac:dyDescent="0.3">
      <c r="B920" s="4" cm="1">
        <f t="array" ref="B920">IFERROR(INDEX(EmployeeData[Employee ID], ROW() - 37), "")</f>
        <v>1883</v>
      </c>
      <c r="C920" s="4" t="str" cm="1">
        <f t="array" ref="C920">IFERROR(INDEX(EmployeeData[Full Name], ROW() - 37), "")</f>
        <v>Karen Castro Hilario</v>
      </c>
      <c r="D920" s="4" t="str" cm="1">
        <f t="array" ref="D920">IFERROR(INDEX(EmployeeData[Department], ROW() - 37), "")</f>
        <v>Customer Support</v>
      </c>
      <c r="E920" s="4" t="str" cm="1">
        <f t="array" ref="E920">IFERROR(INDEX(EmployeeData[Gender], ROW() - 37), "")</f>
        <v>Female</v>
      </c>
      <c r="F920" s="4" cm="1">
        <f t="array" ref="F920">IFERROR(INDEX(EmployeeData[Age], ROW() - 37), "")</f>
        <v>55</v>
      </c>
      <c r="G920" s="6" cm="1">
        <f t="array" ref="G920">IFERROR(INDEX(EmployeeData[Join Date], ROW() - 37), "")</f>
        <v>44264</v>
      </c>
      <c r="H920" s="6" cm="1">
        <f t="array" ref="H920">IFERROR(IF(INDEX(EmployeeData[Exit Date], ROW() - 37)=0, "",INDEX(EmployeeData[Exit Date], ROW() - 37)),"")</f>
        <v>46167</v>
      </c>
      <c r="I920" s="4" t="str" cm="1">
        <f t="array" ref="I920">IFERROR(IF(INDEX(EmployeeData[Exit Reason], ROW() - 37)=0, "",INDEX(EmployeeData[Exit Reason], ROW() - 37)),"")</f>
        <v>Retirement</v>
      </c>
      <c r="J920" s="4" t="str" cm="1">
        <f t="array" ref="J920">IFERROR(INDEX(EmployeeData[Status], ROW() - 37), "")</f>
        <v>Exited</v>
      </c>
    </row>
    <row r="921" spans="2:10" ht="19.95" customHeight="1" x14ac:dyDescent="0.3">
      <c r="B921" s="4" cm="1">
        <f t="array" ref="B921">IFERROR(INDEX(EmployeeData[Employee ID], ROW() - 37), "")</f>
        <v>1884</v>
      </c>
      <c r="C921" s="4" t="str" cm="1">
        <f t="array" ref="C921">IFERROR(INDEX(EmployeeData[Full Name], ROW() - 37), "")</f>
        <v>Avery Panganiban</v>
      </c>
      <c r="D921" s="4" t="str" cm="1">
        <f t="array" ref="D921">IFERROR(INDEX(EmployeeData[Department], ROW() - 37), "")</f>
        <v>Customer Support</v>
      </c>
      <c r="E921" s="4" t="str" cm="1">
        <f t="array" ref="E921">IFERROR(INDEX(EmployeeData[Gender], ROW() - 37), "")</f>
        <v>Other</v>
      </c>
      <c r="F921" s="4" cm="1">
        <f t="array" ref="F921">IFERROR(INDEX(EmployeeData[Age], ROW() - 37), "")</f>
        <v>27</v>
      </c>
      <c r="G921" s="6" cm="1">
        <f t="array" ref="G921">IFERROR(INDEX(EmployeeData[Join Date], ROW() - 37), "")</f>
        <v>43186</v>
      </c>
      <c r="H921" s="6" t="str" cm="1">
        <f t="array" ref="H921">IFERROR(IF(INDEX(EmployeeData[Exit Date], ROW() - 37)=0, "",INDEX(EmployeeData[Exit Date], ROW() - 37)),"")</f>
        <v/>
      </c>
      <c r="I921" s="4" t="str" cm="1">
        <f t="array" ref="I921">IFERROR(IF(INDEX(EmployeeData[Exit Reason], ROW() - 37)=0, "",INDEX(EmployeeData[Exit Reason], ROW() - 37)),"")</f>
        <v/>
      </c>
      <c r="J921" s="4" t="str" cm="1">
        <f t="array" ref="J921">IFERROR(INDEX(EmployeeData[Status], ROW() - 37), "")</f>
        <v>Active</v>
      </c>
    </row>
    <row r="922" spans="2:10" ht="19.95" customHeight="1" x14ac:dyDescent="0.3">
      <c r="B922" s="4" cm="1">
        <f t="array" ref="B922">IFERROR(INDEX(EmployeeData[Employee ID], ROW() - 37), "")</f>
        <v>1885</v>
      </c>
      <c r="C922" s="4" t="str" cm="1">
        <f t="array" ref="C922">IFERROR(INDEX(EmployeeData[Full Name], ROW() - 37), "")</f>
        <v>Kevin Ignacio</v>
      </c>
      <c r="D922" s="4" t="str" cm="1">
        <f t="array" ref="D922">IFERROR(INDEX(EmployeeData[Department], ROW() - 37), "")</f>
        <v>Sales</v>
      </c>
      <c r="E922" s="4" t="str" cm="1">
        <f t="array" ref="E922">IFERROR(INDEX(EmployeeData[Gender], ROW() - 37), "")</f>
        <v>Male</v>
      </c>
      <c r="F922" s="4" cm="1">
        <f t="array" ref="F922">IFERROR(INDEX(EmployeeData[Age], ROW() - 37), "")</f>
        <v>34</v>
      </c>
      <c r="G922" s="6" cm="1">
        <f t="array" ref="G922">IFERROR(INDEX(EmployeeData[Join Date], ROW() - 37), "")</f>
        <v>44350</v>
      </c>
      <c r="H922" s="6" t="str" cm="1">
        <f t="array" ref="H922">IFERROR(IF(INDEX(EmployeeData[Exit Date], ROW() - 37)=0, "",INDEX(EmployeeData[Exit Date], ROW() - 37)),"")</f>
        <v/>
      </c>
      <c r="I922" s="4" t="str" cm="1">
        <f t="array" ref="I922">IFERROR(IF(INDEX(EmployeeData[Exit Reason], ROW() - 37)=0, "",INDEX(EmployeeData[Exit Reason], ROW() - 37)),"")</f>
        <v/>
      </c>
      <c r="J922" s="4" t="str" cm="1">
        <f t="array" ref="J922">IFERROR(INDEX(EmployeeData[Status], ROW() - 37), "")</f>
        <v>Active</v>
      </c>
    </row>
    <row r="923" spans="2:10" ht="19.95" customHeight="1" x14ac:dyDescent="0.3">
      <c r="B923" s="4" cm="1">
        <f t="array" ref="B923">IFERROR(INDEX(EmployeeData[Employee ID], ROW() - 37), "")</f>
        <v>1886</v>
      </c>
      <c r="C923" s="4" t="str" cm="1">
        <f t="array" ref="C923">IFERROR(INDEX(EmployeeData[Full Name], ROW() - 37), "")</f>
        <v>Miguel Santiago Fajardo</v>
      </c>
      <c r="D923" s="4" t="str" cm="1">
        <f t="array" ref="D923">IFERROR(INDEX(EmployeeData[Department], ROW() - 37), "")</f>
        <v>Finance</v>
      </c>
      <c r="E923" s="4" t="str" cm="1">
        <f t="array" ref="E923">IFERROR(INDEX(EmployeeData[Gender], ROW() - 37), "")</f>
        <v>Other</v>
      </c>
      <c r="F923" s="4" cm="1">
        <f t="array" ref="F923">IFERROR(INDEX(EmployeeData[Age], ROW() - 37), "")</f>
        <v>48</v>
      </c>
      <c r="G923" s="6" cm="1">
        <f t="array" ref="G923">IFERROR(INDEX(EmployeeData[Join Date], ROW() - 37), "")</f>
        <v>43368</v>
      </c>
      <c r="H923" s="6" cm="1">
        <f t="array" ref="H923">IFERROR(IF(INDEX(EmployeeData[Exit Date], ROW() - 37)=0, "",INDEX(EmployeeData[Exit Date], ROW() - 37)),"")</f>
        <v>43993</v>
      </c>
      <c r="I923" s="4" t="str" cm="1">
        <f t="array" ref="I923">IFERROR(IF(INDEX(EmployeeData[Exit Reason], ROW() - 37)=0, "",INDEX(EmployeeData[Exit Reason], ROW() - 37)),"")</f>
        <v>Resignation</v>
      </c>
      <c r="J923" s="4" t="str" cm="1">
        <f t="array" ref="J923">IFERROR(INDEX(EmployeeData[Status], ROW() - 37), "")</f>
        <v>Exited</v>
      </c>
    </row>
    <row r="924" spans="2:10" ht="19.95" customHeight="1" x14ac:dyDescent="0.3">
      <c r="B924" s="4" cm="1">
        <f t="array" ref="B924">IFERROR(INDEX(EmployeeData[Employee ID], ROW() - 37), "")</f>
        <v>1887</v>
      </c>
      <c r="C924" s="4" t="str" cm="1">
        <f t="array" ref="C924">IFERROR(INDEX(EmployeeData[Full Name], ROW() - 37), "")</f>
        <v>Xander Diaz</v>
      </c>
      <c r="D924" s="4" t="str" cm="1">
        <f t="array" ref="D924">IFERROR(INDEX(EmployeeData[Department], ROW() - 37), "")</f>
        <v>IT</v>
      </c>
      <c r="E924" s="4" t="str" cm="1">
        <f t="array" ref="E924">IFERROR(INDEX(EmployeeData[Gender], ROW() - 37), "")</f>
        <v>Male</v>
      </c>
      <c r="F924" s="4" cm="1">
        <f t="array" ref="F924">IFERROR(INDEX(EmployeeData[Age], ROW() - 37), "")</f>
        <v>36</v>
      </c>
      <c r="G924" s="6" cm="1">
        <f t="array" ref="G924">IFERROR(INDEX(EmployeeData[Join Date], ROW() - 37), "")</f>
        <v>43290</v>
      </c>
      <c r="H924" s="6" t="str" cm="1">
        <f t="array" ref="H924">IFERROR(IF(INDEX(EmployeeData[Exit Date], ROW() - 37)=0, "",INDEX(EmployeeData[Exit Date], ROW() - 37)),"")</f>
        <v/>
      </c>
      <c r="I924" s="4" t="str" cm="1">
        <f t="array" ref="I924">IFERROR(IF(INDEX(EmployeeData[Exit Reason], ROW() - 37)=0, "",INDEX(EmployeeData[Exit Reason], ROW() - 37)),"")</f>
        <v/>
      </c>
      <c r="J924" s="4" t="str" cm="1">
        <f t="array" ref="J924">IFERROR(INDEX(EmployeeData[Status], ROW() - 37), "")</f>
        <v>Active</v>
      </c>
    </row>
    <row r="925" spans="2:10" ht="19.95" customHeight="1" x14ac:dyDescent="0.3">
      <c r="B925" s="4" cm="1">
        <f t="array" ref="B925">IFERROR(INDEX(EmployeeData[Employee ID], ROW() - 37), "")</f>
        <v>1888</v>
      </c>
      <c r="C925" s="4" t="str" cm="1">
        <f t="array" ref="C925">IFERROR(INDEX(EmployeeData[Full Name], ROW() - 37), "")</f>
        <v>Celine Flores</v>
      </c>
      <c r="D925" s="4" t="str" cm="1">
        <f t="array" ref="D925">IFERROR(INDEX(EmployeeData[Department], ROW() - 37), "")</f>
        <v>IT</v>
      </c>
      <c r="E925" s="4" t="str" cm="1">
        <f t="array" ref="E925">IFERROR(INDEX(EmployeeData[Gender], ROW() - 37), "")</f>
        <v>Female</v>
      </c>
      <c r="F925" s="4" cm="1">
        <f t="array" ref="F925">IFERROR(INDEX(EmployeeData[Age], ROW() - 37), "")</f>
        <v>36</v>
      </c>
      <c r="G925" s="6" cm="1">
        <f t="array" ref="G925">IFERROR(INDEX(EmployeeData[Join Date], ROW() - 37), "")</f>
        <v>43319</v>
      </c>
      <c r="H925" s="6" t="str" cm="1">
        <f t="array" ref="H925">IFERROR(IF(INDEX(EmployeeData[Exit Date], ROW() - 37)=0, "",INDEX(EmployeeData[Exit Date], ROW() - 37)),"")</f>
        <v/>
      </c>
      <c r="I925" s="4" t="str" cm="1">
        <f t="array" ref="I925">IFERROR(IF(INDEX(EmployeeData[Exit Reason], ROW() - 37)=0, "",INDEX(EmployeeData[Exit Reason], ROW() - 37)),"")</f>
        <v/>
      </c>
      <c r="J925" s="4" t="str" cm="1">
        <f t="array" ref="J925">IFERROR(INDEX(EmployeeData[Status], ROW() - 37), "")</f>
        <v>Active</v>
      </c>
    </row>
    <row r="926" spans="2:10" ht="19.95" customHeight="1" x14ac:dyDescent="0.3">
      <c r="B926" s="4" cm="1">
        <f t="array" ref="B926">IFERROR(INDEX(EmployeeData[Employee ID], ROW() - 37), "")</f>
        <v>1889</v>
      </c>
      <c r="C926" s="4" t="str" cm="1">
        <f t="array" ref="C926">IFERROR(INDEX(EmployeeData[Full Name], ROW() - 37), "")</f>
        <v>Josephine Rivera Aquino</v>
      </c>
      <c r="D926" s="4" t="str" cm="1">
        <f t="array" ref="D926">IFERROR(INDEX(EmployeeData[Department], ROW() - 37), "")</f>
        <v>Finance</v>
      </c>
      <c r="E926" s="4" t="str" cm="1">
        <f t="array" ref="E926">IFERROR(INDEX(EmployeeData[Gender], ROW() - 37), "")</f>
        <v>Other</v>
      </c>
      <c r="F926" s="4" cm="1">
        <f t="array" ref="F926">IFERROR(INDEX(EmployeeData[Age], ROW() - 37), "")</f>
        <v>34</v>
      </c>
      <c r="G926" s="6" cm="1">
        <f t="array" ref="G926">IFERROR(INDEX(EmployeeData[Join Date], ROW() - 37), "")</f>
        <v>43434</v>
      </c>
      <c r="H926" s="6" t="str" cm="1">
        <f t="array" ref="H926">IFERROR(IF(INDEX(EmployeeData[Exit Date], ROW() - 37)=0, "",INDEX(EmployeeData[Exit Date], ROW() - 37)),"")</f>
        <v/>
      </c>
      <c r="I926" s="4" t="str" cm="1">
        <f t="array" ref="I926">IFERROR(IF(INDEX(EmployeeData[Exit Reason], ROW() - 37)=0, "",INDEX(EmployeeData[Exit Reason], ROW() - 37)),"")</f>
        <v/>
      </c>
      <c r="J926" s="4" t="str" cm="1">
        <f t="array" ref="J926">IFERROR(INDEX(EmployeeData[Status], ROW() - 37), "")</f>
        <v>Active</v>
      </c>
    </row>
    <row r="927" spans="2:10" ht="19.95" customHeight="1" x14ac:dyDescent="0.3">
      <c r="B927" s="4" cm="1">
        <f t="array" ref="B927">IFERROR(INDEX(EmployeeData[Employee ID], ROW() - 37), "")</f>
        <v>1890</v>
      </c>
      <c r="C927" s="4" t="str" cm="1">
        <f t="array" ref="C927">IFERROR(INDEX(EmployeeData[Full Name], ROW() - 37), "")</f>
        <v>Cardo Santiago Soriano</v>
      </c>
      <c r="D927" s="4" t="str" cm="1">
        <f t="array" ref="D927">IFERROR(INDEX(EmployeeData[Department], ROW() - 37), "")</f>
        <v>HR</v>
      </c>
      <c r="E927" s="4" t="str" cm="1">
        <f t="array" ref="E927">IFERROR(INDEX(EmployeeData[Gender], ROW() - 37), "")</f>
        <v>Male</v>
      </c>
      <c r="F927" s="4" cm="1">
        <f t="array" ref="F927">IFERROR(INDEX(EmployeeData[Age], ROW() - 37), "")</f>
        <v>53</v>
      </c>
      <c r="G927" s="6" cm="1">
        <f t="array" ref="G927">IFERROR(INDEX(EmployeeData[Join Date], ROW() - 37), "")</f>
        <v>44633</v>
      </c>
      <c r="H927" s="6" t="str" cm="1">
        <f t="array" ref="H927">IFERROR(IF(INDEX(EmployeeData[Exit Date], ROW() - 37)=0, "",INDEX(EmployeeData[Exit Date], ROW() - 37)),"")</f>
        <v/>
      </c>
      <c r="I927" s="4" t="str" cm="1">
        <f t="array" ref="I927">IFERROR(IF(INDEX(EmployeeData[Exit Reason], ROW() - 37)=0, "",INDEX(EmployeeData[Exit Reason], ROW() - 37)),"")</f>
        <v/>
      </c>
      <c r="J927" s="4" t="str" cm="1">
        <f t="array" ref="J927">IFERROR(INDEX(EmployeeData[Status], ROW() - 37), "")</f>
        <v>Active</v>
      </c>
    </row>
    <row r="928" spans="2:10" ht="19.95" customHeight="1" x14ac:dyDescent="0.3">
      <c r="B928" s="4" cm="1">
        <f t="array" ref="B928">IFERROR(INDEX(EmployeeData[Employee ID], ROW() - 37), "")</f>
        <v>1891</v>
      </c>
      <c r="C928" s="4" t="str" cm="1">
        <f t="array" ref="C928">IFERROR(INDEX(EmployeeData[Full Name], ROW() - 37), "")</f>
        <v>Willy Ramirez Corpuz</v>
      </c>
      <c r="D928" s="4" t="str" cm="1">
        <f t="array" ref="D928">IFERROR(INDEX(EmployeeData[Department], ROW() - 37), "")</f>
        <v>Marketing</v>
      </c>
      <c r="E928" s="4" t="str" cm="1">
        <f t="array" ref="E928">IFERROR(INDEX(EmployeeData[Gender], ROW() - 37), "")</f>
        <v>Male</v>
      </c>
      <c r="F928" s="4" cm="1">
        <f t="array" ref="F928">IFERROR(INDEX(EmployeeData[Age], ROW() - 37), "")</f>
        <v>52</v>
      </c>
      <c r="G928" s="6" cm="1">
        <f t="array" ref="G928">IFERROR(INDEX(EmployeeData[Join Date], ROW() - 37), "")</f>
        <v>45041</v>
      </c>
      <c r="H928" s="6" cm="1">
        <f t="array" ref="H928">IFERROR(IF(INDEX(EmployeeData[Exit Date], ROW() - 37)=0, "",INDEX(EmployeeData[Exit Date], ROW() - 37)),"")</f>
        <v>45952</v>
      </c>
      <c r="I928" s="4" t="str" cm="1">
        <f t="array" ref="I928">IFERROR(IF(INDEX(EmployeeData[Exit Reason], ROW() - 37)=0, "",INDEX(EmployeeData[Exit Reason], ROW() - 37)),"")</f>
        <v>Relocation</v>
      </c>
      <c r="J928" s="4" t="str" cm="1">
        <f t="array" ref="J928">IFERROR(INDEX(EmployeeData[Status], ROW() - 37), "")</f>
        <v>Exited</v>
      </c>
    </row>
    <row r="929" spans="2:10" ht="19.95" customHeight="1" x14ac:dyDescent="0.3">
      <c r="B929" s="4" cm="1">
        <f t="array" ref="B929">IFERROR(INDEX(EmployeeData[Employee ID], ROW() - 37), "")</f>
        <v>1892</v>
      </c>
      <c r="C929" s="4" t="str" cm="1">
        <f t="array" ref="C929">IFERROR(INDEX(EmployeeData[Full Name], ROW() - 37), "")</f>
        <v>Vince Aguilar</v>
      </c>
      <c r="D929" s="4" t="str" cm="1">
        <f t="array" ref="D929">IFERROR(INDEX(EmployeeData[Department], ROW() - 37), "")</f>
        <v>Sales</v>
      </c>
      <c r="E929" s="4" t="str" cm="1">
        <f t="array" ref="E929">IFERROR(INDEX(EmployeeData[Gender], ROW() - 37), "")</f>
        <v>Male</v>
      </c>
      <c r="F929" s="4" cm="1">
        <f t="array" ref="F929">IFERROR(INDEX(EmployeeData[Age], ROW() - 37), "")</f>
        <v>36</v>
      </c>
      <c r="G929" s="6" cm="1">
        <f t="array" ref="G929">IFERROR(INDEX(EmployeeData[Join Date], ROW() - 37), "")</f>
        <v>44722</v>
      </c>
      <c r="H929" s="6" cm="1">
        <f t="array" ref="H929">IFERROR(IF(INDEX(EmployeeData[Exit Date], ROW() - 37)=0, "",INDEX(EmployeeData[Exit Date], ROW() - 37)),"")</f>
        <v>45682</v>
      </c>
      <c r="I929" s="4" t="str" cm="1">
        <f t="array" ref="I929">IFERROR(IF(INDEX(EmployeeData[Exit Reason], ROW() - 37)=0, "",INDEX(EmployeeData[Exit Reason], ROW() - 37)),"")</f>
        <v>Resignation</v>
      </c>
      <c r="J929" s="4" t="str" cm="1">
        <f t="array" ref="J929">IFERROR(INDEX(EmployeeData[Status], ROW() - 37), "")</f>
        <v>Exited</v>
      </c>
    </row>
    <row r="930" spans="2:10" ht="19.95" customHeight="1" x14ac:dyDescent="0.3">
      <c r="B930" s="4" cm="1">
        <f t="array" ref="B930">IFERROR(INDEX(EmployeeData[Employee ID], ROW() - 37), "")</f>
        <v>1893</v>
      </c>
      <c r="C930" s="4" t="str" cm="1">
        <f t="array" ref="C930">IFERROR(INDEX(EmployeeData[Full Name], ROW() - 37), "")</f>
        <v>Cardo Cueto</v>
      </c>
      <c r="D930" s="4" t="str" cm="1">
        <f t="array" ref="D930">IFERROR(INDEX(EmployeeData[Department], ROW() - 37), "")</f>
        <v>IT</v>
      </c>
      <c r="E930" s="4" t="str" cm="1">
        <f t="array" ref="E930">IFERROR(INDEX(EmployeeData[Gender], ROW() - 37), "")</f>
        <v>Male</v>
      </c>
      <c r="F930" s="4" cm="1">
        <f t="array" ref="F930">IFERROR(INDEX(EmployeeData[Age], ROW() - 37), "")</f>
        <v>51</v>
      </c>
      <c r="G930" s="6" cm="1">
        <f t="array" ref="G930">IFERROR(INDEX(EmployeeData[Join Date], ROW() - 37), "")</f>
        <v>43445</v>
      </c>
      <c r="H930" s="6" cm="1">
        <f t="array" ref="H930">IFERROR(IF(INDEX(EmployeeData[Exit Date], ROW() - 37)=0, "",INDEX(EmployeeData[Exit Date], ROW() - 37)),"")</f>
        <v>44975</v>
      </c>
      <c r="I930" s="4" t="str" cm="1">
        <f t="array" ref="I930">IFERROR(IF(INDEX(EmployeeData[Exit Reason], ROW() - 37)=0, "",INDEX(EmployeeData[Exit Reason], ROW() - 37)),"")</f>
        <v>Retirement</v>
      </c>
      <c r="J930" s="4" t="str" cm="1">
        <f t="array" ref="J930">IFERROR(INDEX(EmployeeData[Status], ROW() - 37), "")</f>
        <v>Exited</v>
      </c>
    </row>
    <row r="931" spans="2:10" ht="19.95" customHeight="1" x14ac:dyDescent="0.3">
      <c r="B931" s="4" cm="1">
        <f t="array" ref="B931">IFERROR(INDEX(EmployeeData[Employee ID], ROW() - 37), "")</f>
        <v>1894</v>
      </c>
      <c r="C931" s="4" t="str" cm="1">
        <f t="array" ref="C931">IFERROR(INDEX(EmployeeData[Full Name], ROW() - 37), "")</f>
        <v>Dennis Gonzales Wong</v>
      </c>
      <c r="D931" s="4" t="str" cm="1">
        <f t="array" ref="D931">IFERROR(INDEX(EmployeeData[Department], ROW() - 37), "")</f>
        <v>IT</v>
      </c>
      <c r="E931" s="4" t="str" cm="1">
        <f t="array" ref="E931">IFERROR(INDEX(EmployeeData[Gender], ROW() - 37), "")</f>
        <v>Male</v>
      </c>
      <c r="F931" s="4" cm="1">
        <f t="array" ref="F931">IFERROR(INDEX(EmployeeData[Age], ROW() - 37), "")</f>
        <v>47</v>
      </c>
      <c r="G931" s="6" cm="1">
        <f t="array" ref="G931">IFERROR(INDEX(EmployeeData[Join Date], ROW() - 37), "")</f>
        <v>44606</v>
      </c>
      <c r="H931" s="6" t="str" cm="1">
        <f t="array" ref="H931">IFERROR(IF(INDEX(EmployeeData[Exit Date], ROW() - 37)=0, "",INDEX(EmployeeData[Exit Date], ROW() - 37)),"")</f>
        <v/>
      </c>
      <c r="I931" s="4" t="str" cm="1">
        <f t="array" ref="I931">IFERROR(IF(INDEX(EmployeeData[Exit Reason], ROW() - 37)=0, "",INDEX(EmployeeData[Exit Reason], ROW() - 37)),"")</f>
        <v/>
      </c>
      <c r="J931" s="4" t="str" cm="1">
        <f t="array" ref="J931">IFERROR(INDEX(EmployeeData[Status], ROW() - 37), "")</f>
        <v>Active</v>
      </c>
    </row>
    <row r="932" spans="2:10" ht="19.95" customHeight="1" x14ac:dyDescent="0.3">
      <c r="B932" s="4" cm="1">
        <f t="array" ref="B932">IFERROR(INDEX(EmployeeData[Employee ID], ROW() - 37), "")</f>
        <v>1895</v>
      </c>
      <c r="C932" s="4" t="str" cm="1">
        <f t="array" ref="C932">IFERROR(INDEX(EmployeeData[Full Name], ROW() - 37), "")</f>
        <v>Estrella Garcia Bagtas</v>
      </c>
      <c r="D932" s="4" t="str" cm="1">
        <f t="array" ref="D932">IFERROR(INDEX(EmployeeData[Department], ROW() - 37), "")</f>
        <v>IT</v>
      </c>
      <c r="E932" s="4" t="str" cm="1">
        <f t="array" ref="E932">IFERROR(INDEX(EmployeeData[Gender], ROW() - 37), "")</f>
        <v>Female</v>
      </c>
      <c r="F932" s="4" cm="1">
        <f t="array" ref="F932">IFERROR(INDEX(EmployeeData[Age], ROW() - 37), "")</f>
        <v>25</v>
      </c>
      <c r="G932" s="6" cm="1">
        <f t="array" ref="G932">IFERROR(INDEX(EmployeeData[Join Date], ROW() - 37), "")</f>
        <v>44571</v>
      </c>
      <c r="H932" s="6" t="str" cm="1">
        <f t="array" ref="H932">IFERROR(IF(INDEX(EmployeeData[Exit Date], ROW() - 37)=0, "",INDEX(EmployeeData[Exit Date], ROW() - 37)),"")</f>
        <v/>
      </c>
      <c r="I932" s="4" t="str" cm="1">
        <f t="array" ref="I932">IFERROR(IF(INDEX(EmployeeData[Exit Reason], ROW() - 37)=0, "",INDEX(EmployeeData[Exit Reason], ROW() - 37)),"")</f>
        <v/>
      </c>
      <c r="J932" s="4" t="str" cm="1">
        <f t="array" ref="J932">IFERROR(INDEX(EmployeeData[Status], ROW() - 37), "")</f>
        <v>Active</v>
      </c>
    </row>
    <row r="933" spans="2:10" ht="19.95" customHeight="1" x14ac:dyDescent="0.3">
      <c r="B933" s="4" cm="1">
        <f t="array" ref="B933">IFERROR(INDEX(EmployeeData[Employee ID], ROW() - 37), "")</f>
        <v>1896</v>
      </c>
      <c r="C933" s="4" t="str" cm="1">
        <f t="array" ref="C933">IFERROR(INDEX(EmployeeData[Full Name], ROW() - 37), "")</f>
        <v>Danilo Vega</v>
      </c>
      <c r="D933" s="4" t="str" cm="1">
        <f t="array" ref="D933">IFERROR(INDEX(EmployeeData[Department], ROW() - 37), "")</f>
        <v>Sales</v>
      </c>
      <c r="E933" s="4" t="str" cm="1">
        <f t="array" ref="E933">IFERROR(INDEX(EmployeeData[Gender], ROW() - 37), "")</f>
        <v>Other</v>
      </c>
      <c r="F933" s="4" cm="1">
        <f t="array" ref="F933">IFERROR(INDEX(EmployeeData[Age], ROW() - 37), "")</f>
        <v>27</v>
      </c>
      <c r="G933" s="6" cm="1">
        <f t="array" ref="G933">IFERROR(INDEX(EmployeeData[Join Date], ROW() - 37), "")</f>
        <v>43586</v>
      </c>
      <c r="H933" s="6" cm="1">
        <f t="array" ref="H933">IFERROR(IF(INDEX(EmployeeData[Exit Date], ROW() - 37)=0, "",INDEX(EmployeeData[Exit Date], ROW() - 37)),"")</f>
        <v>43832</v>
      </c>
      <c r="I933" s="4" t="str" cm="1">
        <f t="array" ref="I933">IFERROR(IF(INDEX(EmployeeData[Exit Reason], ROW() - 37)=0, "",INDEX(EmployeeData[Exit Reason], ROW() - 37)),"")</f>
        <v>Health Issues</v>
      </c>
      <c r="J933" s="4" t="str" cm="1">
        <f t="array" ref="J933">IFERROR(INDEX(EmployeeData[Status], ROW() - 37), "")</f>
        <v>Exited</v>
      </c>
    </row>
    <row r="934" spans="2:10" ht="19.95" customHeight="1" x14ac:dyDescent="0.3">
      <c r="B934" s="4" cm="1">
        <f t="array" ref="B934">IFERROR(INDEX(EmployeeData[Employee ID], ROW() - 37), "")</f>
        <v>1897</v>
      </c>
      <c r="C934" s="4" t="str" cm="1">
        <f t="array" ref="C934">IFERROR(INDEX(EmployeeData[Full Name], ROW() - 37), "")</f>
        <v>Avery Miranda</v>
      </c>
      <c r="D934" s="4" t="str" cm="1">
        <f t="array" ref="D934">IFERROR(INDEX(EmployeeData[Department], ROW() - 37), "")</f>
        <v>IT</v>
      </c>
      <c r="E934" s="4" t="str" cm="1">
        <f t="array" ref="E934">IFERROR(INDEX(EmployeeData[Gender], ROW() - 37), "")</f>
        <v>Other</v>
      </c>
      <c r="F934" s="4" cm="1">
        <f t="array" ref="F934">IFERROR(INDEX(EmployeeData[Age], ROW() - 37), "")</f>
        <v>38</v>
      </c>
      <c r="G934" s="6" cm="1">
        <f t="array" ref="G934">IFERROR(INDEX(EmployeeData[Join Date], ROW() - 37), "")</f>
        <v>43881</v>
      </c>
      <c r="H934" s="6" t="str" cm="1">
        <f t="array" ref="H934">IFERROR(IF(INDEX(EmployeeData[Exit Date], ROW() - 37)=0, "",INDEX(EmployeeData[Exit Date], ROW() - 37)),"")</f>
        <v/>
      </c>
      <c r="I934" s="4" t="str" cm="1">
        <f t="array" ref="I934">IFERROR(IF(INDEX(EmployeeData[Exit Reason], ROW() - 37)=0, "",INDEX(EmployeeData[Exit Reason], ROW() - 37)),"")</f>
        <v/>
      </c>
      <c r="J934" s="4" t="str" cm="1">
        <f t="array" ref="J934">IFERROR(INDEX(EmployeeData[Status], ROW() - 37), "")</f>
        <v>Active</v>
      </c>
    </row>
    <row r="935" spans="2:10" ht="19.95" customHeight="1" x14ac:dyDescent="0.3">
      <c r="B935" s="4" cm="1">
        <f t="array" ref="B935">IFERROR(INDEX(EmployeeData[Employee ID], ROW() - 37), "")</f>
        <v>1898</v>
      </c>
      <c r="C935" s="4" t="str" cm="1">
        <f t="array" ref="C935">IFERROR(INDEX(EmployeeData[Full Name], ROW() - 37), "")</f>
        <v>Vanessa Vergara</v>
      </c>
      <c r="D935" s="4" t="str" cm="1">
        <f t="array" ref="D935">IFERROR(INDEX(EmployeeData[Department], ROW() - 37), "")</f>
        <v>Finance</v>
      </c>
      <c r="E935" s="4" t="str" cm="1">
        <f t="array" ref="E935">IFERROR(INDEX(EmployeeData[Gender], ROW() - 37), "")</f>
        <v>Female</v>
      </c>
      <c r="F935" s="4" cm="1">
        <f t="array" ref="F935">IFERROR(INDEX(EmployeeData[Age], ROW() - 37), "")</f>
        <v>40</v>
      </c>
      <c r="G935" s="6" cm="1">
        <f t="array" ref="G935">IFERROR(INDEX(EmployeeData[Join Date], ROW() - 37), "")</f>
        <v>44255</v>
      </c>
      <c r="H935" s="6" t="str" cm="1">
        <f t="array" ref="H935">IFERROR(IF(INDEX(EmployeeData[Exit Date], ROW() - 37)=0, "",INDEX(EmployeeData[Exit Date], ROW() - 37)),"")</f>
        <v/>
      </c>
      <c r="I935" s="4" t="str" cm="1">
        <f t="array" ref="I935">IFERROR(IF(INDEX(EmployeeData[Exit Reason], ROW() - 37)=0, "",INDEX(EmployeeData[Exit Reason], ROW() - 37)),"")</f>
        <v/>
      </c>
      <c r="J935" s="4" t="str" cm="1">
        <f t="array" ref="J935">IFERROR(INDEX(EmployeeData[Status], ROW() - 37), "")</f>
        <v>Active</v>
      </c>
    </row>
    <row r="936" spans="2:10" ht="19.95" customHeight="1" x14ac:dyDescent="0.3">
      <c r="B936" s="4" cm="1">
        <f t="array" ref="B936">IFERROR(INDEX(EmployeeData[Employee ID], ROW() - 37), "")</f>
        <v>1899</v>
      </c>
      <c r="C936" s="4" t="str" cm="1">
        <f t="array" ref="C936">IFERROR(INDEX(EmployeeData[Full Name], ROW() - 37), "")</f>
        <v>Queenie Lim</v>
      </c>
      <c r="D936" s="4" t="str" cm="1">
        <f t="array" ref="D936">IFERROR(INDEX(EmployeeData[Department], ROW() - 37), "")</f>
        <v>HR</v>
      </c>
      <c r="E936" s="4" t="str" cm="1">
        <f t="array" ref="E936">IFERROR(INDEX(EmployeeData[Gender], ROW() - 37), "")</f>
        <v>Female</v>
      </c>
      <c r="F936" s="4" cm="1">
        <f t="array" ref="F936">IFERROR(INDEX(EmployeeData[Age], ROW() - 37), "")</f>
        <v>53</v>
      </c>
      <c r="G936" s="6" cm="1">
        <f t="array" ref="G936">IFERROR(INDEX(EmployeeData[Join Date], ROW() - 37), "")</f>
        <v>43712</v>
      </c>
      <c r="H936" s="6" t="str" cm="1">
        <f t="array" ref="H936">IFERROR(IF(INDEX(EmployeeData[Exit Date], ROW() - 37)=0, "",INDEX(EmployeeData[Exit Date], ROW() - 37)),"")</f>
        <v/>
      </c>
      <c r="I936" s="4" t="str" cm="1">
        <f t="array" ref="I936">IFERROR(IF(INDEX(EmployeeData[Exit Reason], ROW() - 37)=0, "",INDEX(EmployeeData[Exit Reason], ROW() - 37)),"")</f>
        <v/>
      </c>
      <c r="J936" s="4" t="str" cm="1">
        <f t="array" ref="J936">IFERROR(INDEX(EmployeeData[Status], ROW() - 37), "")</f>
        <v>Active</v>
      </c>
    </row>
    <row r="937" spans="2:10" ht="19.95" customHeight="1" x14ac:dyDescent="0.3">
      <c r="B937" s="4" cm="1">
        <f t="array" ref="B937">IFERROR(INDEX(EmployeeData[Employee ID], ROW() - 37), "")</f>
        <v>1900</v>
      </c>
      <c r="C937" s="4" t="str" cm="1">
        <f t="array" ref="C937">IFERROR(INDEX(EmployeeData[Full Name], ROW() - 37), "")</f>
        <v>Fe Buenaventura</v>
      </c>
      <c r="D937" s="4" t="str" cm="1">
        <f t="array" ref="D937">IFERROR(INDEX(EmployeeData[Department], ROW() - 37), "")</f>
        <v>Customer Support</v>
      </c>
      <c r="E937" s="4" t="str" cm="1">
        <f t="array" ref="E937">IFERROR(INDEX(EmployeeData[Gender], ROW() - 37), "")</f>
        <v>Female</v>
      </c>
      <c r="F937" s="4" cm="1">
        <f t="array" ref="F937">IFERROR(INDEX(EmployeeData[Age], ROW() - 37), "")</f>
        <v>58</v>
      </c>
      <c r="G937" s="6" cm="1">
        <f t="array" ref="G937">IFERROR(INDEX(EmployeeData[Join Date], ROW() - 37), "")</f>
        <v>45364</v>
      </c>
      <c r="H937" s="6" t="str" cm="1">
        <f t="array" ref="H937">IFERROR(IF(INDEX(EmployeeData[Exit Date], ROW() - 37)=0, "",INDEX(EmployeeData[Exit Date], ROW() - 37)),"")</f>
        <v/>
      </c>
      <c r="I937" s="4" t="str" cm="1">
        <f t="array" ref="I937">IFERROR(IF(INDEX(EmployeeData[Exit Reason], ROW() - 37)=0, "",INDEX(EmployeeData[Exit Reason], ROW() - 37)),"")</f>
        <v/>
      </c>
      <c r="J937" s="4" t="str" cm="1">
        <f t="array" ref="J937">IFERROR(INDEX(EmployeeData[Status], ROW() - 37), "")</f>
        <v>Active</v>
      </c>
    </row>
    <row r="938" spans="2:10" ht="19.95" customHeight="1" x14ac:dyDescent="0.3">
      <c r="B938" s="4" cm="1">
        <f t="array" ref="B938">IFERROR(INDEX(EmployeeData[Employee ID], ROW() - 37), "")</f>
        <v>1901</v>
      </c>
      <c r="C938" s="4" t="str" cm="1">
        <f t="array" ref="C938">IFERROR(INDEX(EmployeeData[Full Name], ROW() - 37), "")</f>
        <v>Sue Ramos Bautista</v>
      </c>
      <c r="D938" s="4" t="str" cm="1">
        <f t="array" ref="D938">IFERROR(INDEX(EmployeeData[Department], ROW() - 37), "")</f>
        <v>IT</v>
      </c>
      <c r="E938" s="4" t="str" cm="1">
        <f t="array" ref="E938">IFERROR(INDEX(EmployeeData[Gender], ROW() - 37), "")</f>
        <v>Female</v>
      </c>
      <c r="F938" s="4" cm="1">
        <f t="array" ref="F938">IFERROR(INDEX(EmployeeData[Age], ROW() - 37), "")</f>
        <v>47</v>
      </c>
      <c r="G938" s="6" cm="1">
        <f t="array" ref="G938">IFERROR(INDEX(EmployeeData[Join Date], ROW() - 37), "")</f>
        <v>43959</v>
      </c>
      <c r="H938" s="6" t="str" cm="1">
        <f t="array" ref="H938">IFERROR(IF(INDEX(EmployeeData[Exit Date], ROW() - 37)=0, "",INDEX(EmployeeData[Exit Date], ROW() - 37)),"")</f>
        <v/>
      </c>
      <c r="I938" s="4" t="str" cm="1">
        <f t="array" ref="I938">IFERROR(IF(INDEX(EmployeeData[Exit Reason], ROW() - 37)=0, "",INDEX(EmployeeData[Exit Reason], ROW() - 37)),"")</f>
        <v/>
      </c>
      <c r="J938" s="4" t="str" cm="1">
        <f t="array" ref="J938">IFERROR(INDEX(EmployeeData[Status], ROW() - 37), "")</f>
        <v>Active</v>
      </c>
    </row>
    <row r="939" spans="2:10" ht="19.95" customHeight="1" x14ac:dyDescent="0.3">
      <c r="B939" s="4" cm="1">
        <f t="array" ref="B939">IFERROR(INDEX(EmployeeData[Employee ID], ROW() - 37), "")</f>
        <v>1902</v>
      </c>
      <c r="C939" s="4" t="str" cm="1">
        <f t="array" ref="C939">IFERROR(INDEX(EmployeeData[Full Name], ROW() - 37), "")</f>
        <v>Danilo Tan Tan</v>
      </c>
      <c r="D939" s="4" t="str" cm="1">
        <f t="array" ref="D939">IFERROR(INDEX(EmployeeData[Department], ROW() - 37), "")</f>
        <v>IT</v>
      </c>
      <c r="E939" s="4" t="str" cm="1">
        <f t="array" ref="E939">IFERROR(INDEX(EmployeeData[Gender], ROW() - 37), "")</f>
        <v>Other</v>
      </c>
      <c r="F939" s="4" cm="1">
        <f t="array" ref="F939">IFERROR(INDEX(EmployeeData[Age], ROW() - 37), "")</f>
        <v>52</v>
      </c>
      <c r="G939" s="6" cm="1">
        <f t="array" ref="G939">IFERROR(INDEX(EmployeeData[Join Date], ROW() - 37), "")</f>
        <v>45799</v>
      </c>
      <c r="H939" s="6" t="str" cm="1">
        <f t="array" ref="H939">IFERROR(IF(INDEX(EmployeeData[Exit Date], ROW() - 37)=0, "",INDEX(EmployeeData[Exit Date], ROW() - 37)),"")</f>
        <v/>
      </c>
      <c r="I939" s="4" t="str" cm="1">
        <f t="array" ref="I939">IFERROR(IF(INDEX(EmployeeData[Exit Reason], ROW() - 37)=0, "",INDEX(EmployeeData[Exit Reason], ROW() - 37)),"")</f>
        <v/>
      </c>
      <c r="J939" s="4" t="str" cm="1">
        <f t="array" ref="J939">IFERROR(INDEX(EmployeeData[Status], ROW() - 37), "")</f>
        <v>Active</v>
      </c>
    </row>
    <row r="940" spans="2:10" ht="19.95" customHeight="1" x14ac:dyDescent="0.3">
      <c r="B940" s="4" cm="1">
        <f t="array" ref="B940">IFERROR(INDEX(EmployeeData[Employee ID], ROW() - 37), "")</f>
        <v>1903</v>
      </c>
      <c r="C940" s="4" t="str" cm="1">
        <f t="array" ref="C940">IFERROR(INDEX(EmployeeData[Full Name], ROW() - 37), "")</f>
        <v>Maricel Ocampo</v>
      </c>
      <c r="D940" s="4" t="str" cm="1">
        <f t="array" ref="D940">IFERROR(INDEX(EmployeeData[Department], ROW() - 37), "")</f>
        <v>HR</v>
      </c>
      <c r="E940" s="4" t="str" cm="1">
        <f t="array" ref="E940">IFERROR(INDEX(EmployeeData[Gender], ROW() - 37), "")</f>
        <v>Other</v>
      </c>
      <c r="F940" s="4" cm="1">
        <f t="array" ref="F940">IFERROR(INDEX(EmployeeData[Age], ROW() - 37), "")</f>
        <v>40</v>
      </c>
      <c r="G940" s="6" cm="1">
        <f t="array" ref="G940">IFERROR(INDEX(EmployeeData[Join Date], ROW() - 37), "")</f>
        <v>44436</v>
      </c>
      <c r="H940" s="6" t="str" cm="1">
        <f t="array" ref="H940">IFERROR(IF(INDEX(EmployeeData[Exit Date], ROW() - 37)=0, "",INDEX(EmployeeData[Exit Date], ROW() - 37)),"")</f>
        <v/>
      </c>
      <c r="I940" s="4" t="str" cm="1">
        <f t="array" ref="I940">IFERROR(IF(INDEX(EmployeeData[Exit Reason], ROW() - 37)=0, "",INDEX(EmployeeData[Exit Reason], ROW() - 37)),"")</f>
        <v/>
      </c>
      <c r="J940" s="4" t="str" cm="1">
        <f t="array" ref="J940">IFERROR(INDEX(EmployeeData[Status], ROW() - 37), "")</f>
        <v>Active</v>
      </c>
    </row>
    <row r="941" spans="2:10" ht="19.95" customHeight="1" x14ac:dyDescent="0.3">
      <c r="B941" s="4" cm="1">
        <f t="array" ref="B941">IFERROR(INDEX(EmployeeData[Employee ID], ROW() - 37), "")</f>
        <v>1904</v>
      </c>
      <c r="C941" s="4" t="str" cm="1">
        <f t="array" ref="C941">IFERROR(INDEX(EmployeeData[Full Name], ROW() - 37), "")</f>
        <v>Cristina Tan Quiambao</v>
      </c>
      <c r="D941" s="4" t="str" cm="1">
        <f t="array" ref="D941">IFERROR(INDEX(EmployeeData[Department], ROW() - 37), "")</f>
        <v>Customer Support</v>
      </c>
      <c r="E941" s="4" t="str" cm="1">
        <f t="array" ref="E941">IFERROR(INDEX(EmployeeData[Gender], ROW() - 37), "")</f>
        <v>Other</v>
      </c>
      <c r="F941" s="4" cm="1">
        <f t="array" ref="F941">IFERROR(INDEX(EmployeeData[Age], ROW() - 37), "")</f>
        <v>42</v>
      </c>
      <c r="G941" s="6" cm="1">
        <f t="array" ref="G941">IFERROR(INDEX(EmployeeData[Join Date], ROW() - 37), "")</f>
        <v>45428</v>
      </c>
      <c r="H941" s="6" t="str" cm="1">
        <f t="array" ref="H941">IFERROR(IF(INDEX(EmployeeData[Exit Date], ROW() - 37)=0, "",INDEX(EmployeeData[Exit Date], ROW() - 37)),"")</f>
        <v/>
      </c>
      <c r="I941" s="4" t="str" cm="1">
        <f t="array" ref="I941">IFERROR(IF(INDEX(EmployeeData[Exit Reason], ROW() - 37)=0, "",INDEX(EmployeeData[Exit Reason], ROW() - 37)),"")</f>
        <v/>
      </c>
      <c r="J941" s="4" t="str" cm="1">
        <f t="array" ref="J941">IFERROR(INDEX(EmployeeData[Status], ROW() - 37), "")</f>
        <v>Active</v>
      </c>
    </row>
    <row r="942" spans="2:10" ht="19.95" customHeight="1" x14ac:dyDescent="0.3">
      <c r="B942" s="4" cm="1">
        <f t="array" ref="B942">IFERROR(INDEX(EmployeeData[Employee ID], ROW() - 37), "")</f>
        <v>1905</v>
      </c>
      <c r="C942" s="4" t="str" cm="1">
        <f t="array" ref="C942">IFERROR(INDEX(EmployeeData[Full Name], ROW() - 37), "")</f>
        <v>Leonora Uy Tuazon</v>
      </c>
      <c r="D942" s="4" t="str" cm="1">
        <f t="array" ref="D942">IFERROR(INDEX(EmployeeData[Department], ROW() - 37), "")</f>
        <v>Finance</v>
      </c>
      <c r="E942" s="4" t="str" cm="1">
        <f t="array" ref="E942">IFERROR(INDEX(EmployeeData[Gender], ROW() - 37), "")</f>
        <v>Female</v>
      </c>
      <c r="F942" s="4" cm="1">
        <f t="array" ref="F942">IFERROR(INDEX(EmployeeData[Age], ROW() - 37), "")</f>
        <v>46</v>
      </c>
      <c r="G942" s="6" cm="1">
        <f t="array" ref="G942">IFERROR(INDEX(EmployeeData[Join Date], ROW() - 37), "")</f>
        <v>43361</v>
      </c>
      <c r="H942" s="6" t="str" cm="1">
        <f t="array" ref="H942">IFERROR(IF(INDEX(EmployeeData[Exit Date], ROW() - 37)=0, "",INDEX(EmployeeData[Exit Date], ROW() - 37)),"")</f>
        <v/>
      </c>
      <c r="I942" s="4" t="str" cm="1">
        <f t="array" ref="I942">IFERROR(IF(INDEX(EmployeeData[Exit Reason], ROW() - 37)=0, "",INDEX(EmployeeData[Exit Reason], ROW() - 37)),"")</f>
        <v/>
      </c>
      <c r="J942" s="4" t="str" cm="1">
        <f t="array" ref="J942">IFERROR(INDEX(EmployeeData[Status], ROW() - 37), "")</f>
        <v>Active</v>
      </c>
    </row>
    <row r="943" spans="2:10" ht="19.95" customHeight="1" x14ac:dyDescent="0.3">
      <c r="B943" s="4" cm="1">
        <f t="array" ref="B943">IFERROR(INDEX(EmployeeData[Employee ID], ROW() - 37), "")</f>
        <v>1906</v>
      </c>
      <c r="C943" s="4" t="str" cm="1">
        <f t="array" ref="C943">IFERROR(INDEX(EmployeeData[Full Name], ROW() - 37), "")</f>
        <v>Jacqueline Ocampo</v>
      </c>
      <c r="D943" s="4" t="str" cm="1">
        <f t="array" ref="D943">IFERROR(INDEX(EmployeeData[Department], ROW() - 37), "")</f>
        <v>Marketing</v>
      </c>
      <c r="E943" s="4" t="str" cm="1">
        <f t="array" ref="E943">IFERROR(INDEX(EmployeeData[Gender], ROW() - 37), "")</f>
        <v>Female</v>
      </c>
      <c r="F943" s="4" cm="1">
        <f t="array" ref="F943">IFERROR(INDEX(EmployeeData[Age], ROW() - 37), "")</f>
        <v>31</v>
      </c>
      <c r="G943" s="6" cm="1">
        <f t="array" ref="G943">IFERROR(INDEX(EmployeeData[Join Date], ROW() - 37), "")</f>
        <v>43528</v>
      </c>
      <c r="H943" s="6" t="str" cm="1">
        <f t="array" ref="H943">IFERROR(IF(INDEX(EmployeeData[Exit Date], ROW() - 37)=0, "",INDEX(EmployeeData[Exit Date], ROW() - 37)),"")</f>
        <v/>
      </c>
      <c r="I943" s="4" t="str" cm="1">
        <f t="array" ref="I943">IFERROR(IF(INDEX(EmployeeData[Exit Reason], ROW() - 37)=0, "",INDEX(EmployeeData[Exit Reason], ROW() - 37)),"")</f>
        <v/>
      </c>
      <c r="J943" s="4" t="str" cm="1">
        <f t="array" ref="J943">IFERROR(INDEX(EmployeeData[Status], ROW() - 37), "")</f>
        <v>Active</v>
      </c>
    </row>
    <row r="944" spans="2:10" ht="19.95" customHeight="1" x14ac:dyDescent="0.3">
      <c r="B944" s="4" cm="1">
        <f t="array" ref="B944">IFERROR(INDEX(EmployeeData[Employee ID], ROW() - 37), "")</f>
        <v>1907</v>
      </c>
      <c r="C944" s="4" t="str" cm="1">
        <f t="array" ref="C944">IFERROR(INDEX(EmployeeData[Full Name], ROW() - 37), "")</f>
        <v>Sarah Pascual Co</v>
      </c>
      <c r="D944" s="4" t="str" cm="1">
        <f t="array" ref="D944">IFERROR(INDEX(EmployeeData[Department], ROW() - 37), "")</f>
        <v>Marketing</v>
      </c>
      <c r="E944" s="4" t="str" cm="1">
        <f t="array" ref="E944">IFERROR(INDEX(EmployeeData[Gender], ROW() - 37), "")</f>
        <v>Female</v>
      </c>
      <c r="F944" s="4" cm="1">
        <f t="array" ref="F944">IFERROR(INDEX(EmployeeData[Age], ROW() - 37), "")</f>
        <v>33</v>
      </c>
      <c r="G944" s="6" cm="1">
        <f t="array" ref="G944">IFERROR(INDEX(EmployeeData[Join Date], ROW() - 37), "")</f>
        <v>43385</v>
      </c>
      <c r="H944" s="6" t="str" cm="1">
        <f t="array" ref="H944">IFERROR(IF(INDEX(EmployeeData[Exit Date], ROW() - 37)=0, "",INDEX(EmployeeData[Exit Date], ROW() - 37)),"")</f>
        <v/>
      </c>
      <c r="I944" s="4" t="str" cm="1">
        <f t="array" ref="I944">IFERROR(IF(INDEX(EmployeeData[Exit Reason], ROW() - 37)=0, "",INDEX(EmployeeData[Exit Reason], ROW() - 37)),"")</f>
        <v/>
      </c>
      <c r="J944" s="4" t="str" cm="1">
        <f t="array" ref="J944">IFERROR(INDEX(EmployeeData[Status], ROW() - 37), "")</f>
        <v>Active</v>
      </c>
    </row>
    <row r="945" spans="2:10" ht="19.95" customHeight="1" x14ac:dyDescent="0.3">
      <c r="B945" s="4" cm="1">
        <f t="array" ref="B945">IFERROR(INDEX(EmployeeData[Employee ID], ROW() - 37), "")</f>
        <v>1908</v>
      </c>
      <c r="C945" s="4" t="str" cm="1">
        <f t="array" ref="C945">IFERROR(INDEX(EmployeeData[Full Name], ROW() - 37), "")</f>
        <v>Imelda Dalisay</v>
      </c>
      <c r="D945" s="4" t="str" cm="1">
        <f t="array" ref="D945">IFERROR(INDEX(EmployeeData[Department], ROW() - 37), "")</f>
        <v>HR</v>
      </c>
      <c r="E945" s="4" t="str" cm="1">
        <f t="array" ref="E945">IFERROR(INDEX(EmployeeData[Gender], ROW() - 37), "")</f>
        <v>Female</v>
      </c>
      <c r="F945" s="4" cm="1">
        <f t="array" ref="F945">IFERROR(INDEX(EmployeeData[Age], ROW() - 37), "")</f>
        <v>24</v>
      </c>
      <c r="G945" s="6" cm="1">
        <f t="array" ref="G945">IFERROR(INDEX(EmployeeData[Join Date], ROW() - 37), "")</f>
        <v>44610</v>
      </c>
      <c r="H945" s="6" t="str" cm="1">
        <f t="array" ref="H945">IFERROR(IF(INDEX(EmployeeData[Exit Date], ROW() - 37)=0, "",INDEX(EmployeeData[Exit Date], ROW() - 37)),"")</f>
        <v/>
      </c>
      <c r="I945" s="4" t="str" cm="1">
        <f t="array" ref="I945">IFERROR(IF(INDEX(EmployeeData[Exit Reason], ROW() - 37)=0, "",INDEX(EmployeeData[Exit Reason], ROW() - 37)),"")</f>
        <v/>
      </c>
      <c r="J945" s="4" t="str" cm="1">
        <f t="array" ref="J945">IFERROR(INDEX(EmployeeData[Status], ROW() - 37), "")</f>
        <v>Active</v>
      </c>
    </row>
    <row r="946" spans="2:10" ht="19.95" customHeight="1" x14ac:dyDescent="0.3">
      <c r="B946" s="4" cm="1">
        <f t="array" ref="B946">IFERROR(INDEX(EmployeeData[Employee ID], ROW() - 37), "")</f>
        <v>1909</v>
      </c>
      <c r="C946" s="4" t="str" cm="1">
        <f t="array" ref="C946">IFERROR(INDEX(EmployeeData[Full Name], ROW() - 37), "")</f>
        <v>Hazel Flores Del Rosario</v>
      </c>
      <c r="D946" s="4" t="str" cm="1">
        <f t="array" ref="D946">IFERROR(INDEX(EmployeeData[Department], ROW() - 37), "")</f>
        <v>IT</v>
      </c>
      <c r="E946" s="4" t="str" cm="1">
        <f t="array" ref="E946">IFERROR(INDEX(EmployeeData[Gender], ROW() - 37), "")</f>
        <v>Female</v>
      </c>
      <c r="F946" s="4" cm="1">
        <f t="array" ref="F946">IFERROR(INDEX(EmployeeData[Age], ROW() - 37), "")</f>
        <v>28</v>
      </c>
      <c r="G946" s="6" cm="1">
        <f t="array" ref="G946">IFERROR(INDEX(EmployeeData[Join Date], ROW() - 37), "")</f>
        <v>43629</v>
      </c>
      <c r="H946" s="6" t="str" cm="1">
        <f t="array" ref="H946">IFERROR(IF(INDEX(EmployeeData[Exit Date], ROW() - 37)=0, "",INDEX(EmployeeData[Exit Date], ROW() - 37)),"")</f>
        <v/>
      </c>
      <c r="I946" s="4" t="str" cm="1">
        <f t="array" ref="I946">IFERROR(IF(INDEX(EmployeeData[Exit Reason], ROW() - 37)=0, "",INDEX(EmployeeData[Exit Reason], ROW() - 37)),"")</f>
        <v/>
      </c>
      <c r="J946" s="4" t="str" cm="1">
        <f t="array" ref="J946">IFERROR(INDEX(EmployeeData[Status], ROW() - 37), "")</f>
        <v>Active</v>
      </c>
    </row>
    <row r="947" spans="2:10" ht="19.95" customHeight="1" x14ac:dyDescent="0.3">
      <c r="B947" s="4" cm="1">
        <f t="array" ref="B947">IFERROR(INDEX(EmployeeData[Employee ID], ROW() - 37), "")</f>
        <v>1910</v>
      </c>
      <c r="C947" s="4" t="str" cm="1">
        <f t="array" ref="C947">IFERROR(INDEX(EmployeeData[Full Name], ROW() - 37), "")</f>
        <v>Grace Go Ong</v>
      </c>
      <c r="D947" s="4" t="str" cm="1">
        <f t="array" ref="D947">IFERROR(INDEX(EmployeeData[Department], ROW() - 37), "")</f>
        <v>Customer Support</v>
      </c>
      <c r="E947" s="4" t="str" cm="1">
        <f t="array" ref="E947">IFERROR(INDEX(EmployeeData[Gender], ROW() - 37), "")</f>
        <v>Female</v>
      </c>
      <c r="F947" s="4" cm="1">
        <f t="array" ref="F947">IFERROR(INDEX(EmployeeData[Age], ROW() - 37), "")</f>
        <v>48</v>
      </c>
      <c r="G947" s="6" cm="1">
        <f t="array" ref="G947">IFERROR(INDEX(EmployeeData[Join Date], ROW() - 37), "")</f>
        <v>45823</v>
      </c>
      <c r="H947" s="6" t="str" cm="1">
        <f t="array" ref="H947">IFERROR(IF(INDEX(EmployeeData[Exit Date], ROW() - 37)=0, "",INDEX(EmployeeData[Exit Date], ROW() - 37)),"")</f>
        <v/>
      </c>
      <c r="I947" s="4" t="str" cm="1">
        <f t="array" ref="I947">IFERROR(IF(INDEX(EmployeeData[Exit Reason], ROW() - 37)=0, "",INDEX(EmployeeData[Exit Reason], ROW() - 37)),"")</f>
        <v/>
      </c>
      <c r="J947" s="4" t="str" cm="1">
        <f t="array" ref="J947">IFERROR(INDEX(EmployeeData[Status], ROW() - 37), "")</f>
        <v>Active</v>
      </c>
    </row>
    <row r="948" spans="2:10" ht="19.95" customHeight="1" x14ac:dyDescent="0.3">
      <c r="B948" s="4" cm="1">
        <f t="array" ref="B948">IFERROR(INDEX(EmployeeData[Employee ID], ROW() - 37), "")</f>
        <v>1911</v>
      </c>
      <c r="C948" s="4" t="str" cm="1">
        <f t="array" ref="C948">IFERROR(INDEX(EmployeeData[Full Name], ROW() - 37), "")</f>
        <v>Teresita Ang Elegado</v>
      </c>
      <c r="D948" s="4" t="str" cm="1">
        <f t="array" ref="D948">IFERROR(INDEX(EmployeeData[Department], ROW() - 37), "")</f>
        <v>IT</v>
      </c>
      <c r="E948" s="4" t="str" cm="1">
        <f t="array" ref="E948">IFERROR(INDEX(EmployeeData[Gender], ROW() - 37), "")</f>
        <v>Female</v>
      </c>
      <c r="F948" s="4" cm="1">
        <f t="array" ref="F948">IFERROR(INDEX(EmployeeData[Age], ROW() - 37), "")</f>
        <v>30</v>
      </c>
      <c r="G948" s="6" cm="1">
        <f t="array" ref="G948">IFERROR(INDEX(EmployeeData[Join Date], ROW() - 37), "")</f>
        <v>44926</v>
      </c>
      <c r="H948" s="6" cm="1">
        <f t="array" ref="H948">IFERROR(IF(INDEX(EmployeeData[Exit Date], ROW() - 37)=0, "",INDEX(EmployeeData[Exit Date], ROW() - 37)),"")</f>
        <v>45833</v>
      </c>
      <c r="I948" s="4" t="str" cm="1">
        <f t="array" ref="I948">IFERROR(IF(INDEX(EmployeeData[Exit Reason], ROW() - 37)=0, "",INDEX(EmployeeData[Exit Reason], ROW() - 37)),"")</f>
        <v>Relocation</v>
      </c>
      <c r="J948" s="4" t="str" cm="1">
        <f t="array" ref="J948">IFERROR(INDEX(EmployeeData[Status], ROW() - 37), "")</f>
        <v>Exited</v>
      </c>
    </row>
    <row r="949" spans="2:10" ht="19.95" customHeight="1" x14ac:dyDescent="0.3">
      <c r="B949" s="4" cm="1">
        <f t="array" ref="B949">IFERROR(INDEX(EmployeeData[Employee ID], ROW() - 37), "")</f>
        <v>1912</v>
      </c>
      <c r="C949" s="4" t="str" cm="1">
        <f t="array" ref="C949">IFERROR(INDEX(EmployeeData[Full Name], ROW() - 37), "")</f>
        <v>Alvin Manalang</v>
      </c>
      <c r="D949" s="4" t="str" cm="1">
        <f t="array" ref="D949">IFERROR(INDEX(EmployeeData[Department], ROW() - 37), "")</f>
        <v>Marketing</v>
      </c>
      <c r="E949" s="4" t="str" cm="1">
        <f t="array" ref="E949">IFERROR(INDEX(EmployeeData[Gender], ROW() - 37), "")</f>
        <v>Male</v>
      </c>
      <c r="F949" s="4" cm="1">
        <f t="array" ref="F949">IFERROR(INDEX(EmployeeData[Age], ROW() - 37), "")</f>
        <v>26</v>
      </c>
      <c r="G949" s="6" cm="1">
        <f t="array" ref="G949">IFERROR(INDEX(EmployeeData[Join Date], ROW() - 37), "")</f>
        <v>44280</v>
      </c>
      <c r="H949" s="6" t="str" cm="1">
        <f t="array" ref="H949">IFERROR(IF(INDEX(EmployeeData[Exit Date], ROW() - 37)=0, "",INDEX(EmployeeData[Exit Date], ROW() - 37)),"")</f>
        <v/>
      </c>
      <c r="I949" s="4" t="str" cm="1">
        <f t="array" ref="I949">IFERROR(IF(INDEX(EmployeeData[Exit Reason], ROW() - 37)=0, "",INDEX(EmployeeData[Exit Reason], ROW() - 37)),"")</f>
        <v/>
      </c>
      <c r="J949" s="4" t="str" cm="1">
        <f t="array" ref="J949">IFERROR(INDEX(EmployeeData[Status], ROW() - 37), "")</f>
        <v>Active</v>
      </c>
    </row>
    <row r="950" spans="2:10" ht="19.95" customHeight="1" x14ac:dyDescent="0.3">
      <c r="B950" s="4" cm="1">
        <f t="array" ref="B950">IFERROR(INDEX(EmployeeData[Employee ID], ROW() - 37), "")</f>
        <v>1913</v>
      </c>
      <c r="C950" s="4" t="str" cm="1">
        <f t="array" ref="C950">IFERROR(INDEX(EmployeeData[Full Name], ROW() - 37), "")</f>
        <v>Eva Salazar</v>
      </c>
      <c r="D950" s="4" t="str" cm="1">
        <f t="array" ref="D950">IFERROR(INDEX(EmployeeData[Department], ROW() - 37), "")</f>
        <v>HR</v>
      </c>
      <c r="E950" s="4" t="str" cm="1">
        <f t="array" ref="E950">IFERROR(INDEX(EmployeeData[Gender], ROW() - 37), "")</f>
        <v>Female</v>
      </c>
      <c r="F950" s="4" cm="1">
        <f t="array" ref="F950">IFERROR(INDEX(EmployeeData[Age], ROW() - 37), "")</f>
        <v>32</v>
      </c>
      <c r="G950" s="6" cm="1">
        <f t="array" ref="G950">IFERROR(INDEX(EmployeeData[Join Date], ROW() - 37), "")</f>
        <v>44801</v>
      </c>
      <c r="H950" s="6" cm="1">
        <f t="array" ref="H950">IFERROR(IF(INDEX(EmployeeData[Exit Date], ROW() - 37)=0, "",INDEX(EmployeeData[Exit Date], ROW() - 37)),"")</f>
        <v>46156</v>
      </c>
      <c r="I950" s="4" t="str" cm="1">
        <f t="array" ref="I950">IFERROR(IF(INDEX(EmployeeData[Exit Reason], ROW() - 37)=0, "",INDEX(EmployeeData[Exit Reason], ROW() - 37)),"")</f>
        <v>Personal Reasons</v>
      </c>
      <c r="J950" s="4" t="str" cm="1">
        <f t="array" ref="J950">IFERROR(INDEX(EmployeeData[Status], ROW() - 37), "")</f>
        <v>Exited</v>
      </c>
    </row>
    <row r="951" spans="2:10" ht="19.95" customHeight="1" x14ac:dyDescent="0.3">
      <c r="B951" s="4" cm="1">
        <f t="array" ref="B951">IFERROR(INDEX(EmployeeData[Employee ID], ROW() - 37), "")</f>
        <v>1914</v>
      </c>
      <c r="C951" s="4" t="str" cm="1">
        <f t="array" ref="C951">IFERROR(INDEX(EmployeeData[Full Name], ROW() - 37), "")</f>
        <v>Patricio Pascual Aguilar</v>
      </c>
      <c r="D951" s="4" t="str" cm="1">
        <f t="array" ref="D951">IFERROR(INDEX(EmployeeData[Department], ROW() - 37), "")</f>
        <v>Customer Support</v>
      </c>
      <c r="E951" s="4" t="str" cm="1">
        <f t="array" ref="E951">IFERROR(INDEX(EmployeeData[Gender], ROW() - 37), "")</f>
        <v>Male</v>
      </c>
      <c r="F951" s="4" cm="1">
        <f t="array" ref="F951">IFERROR(INDEX(EmployeeData[Age], ROW() - 37), "")</f>
        <v>46</v>
      </c>
      <c r="G951" s="6" cm="1">
        <f t="array" ref="G951">IFERROR(INDEX(EmployeeData[Join Date], ROW() - 37), "")</f>
        <v>45962</v>
      </c>
      <c r="H951" s="6" t="str" cm="1">
        <f t="array" ref="H951">IFERROR(IF(INDEX(EmployeeData[Exit Date], ROW() - 37)=0, "",INDEX(EmployeeData[Exit Date], ROW() - 37)),"")</f>
        <v/>
      </c>
      <c r="I951" s="4" t="str" cm="1">
        <f t="array" ref="I951">IFERROR(IF(INDEX(EmployeeData[Exit Reason], ROW() - 37)=0, "",INDEX(EmployeeData[Exit Reason], ROW() - 37)),"")</f>
        <v/>
      </c>
      <c r="J951" s="4" t="str" cm="1">
        <f t="array" ref="J951">IFERROR(INDEX(EmployeeData[Status], ROW() - 37), "")</f>
        <v>Active</v>
      </c>
    </row>
    <row r="952" spans="2:10" ht="19.95" customHeight="1" x14ac:dyDescent="0.3">
      <c r="B952" s="4" cm="1">
        <f t="array" ref="B952">IFERROR(INDEX(EmployeeData[Employee ID], ROW() - 37), "")</f>
        <v>1915</v>
      </c>
      <c r="C952" s="4" t="str" cm="1">
        <f t="array" ref="C952">IFERROR(INDEX(EmployeeData[Full Name], ROW() - 37), "")</f>
        <v>Rica Castro</v>
      </c>
      <c r="D952" s="4" t="str" cm="1">
        <f t="array" ref="D952">IFERROR(INDEX(EmployeeData[Department], ROW() - 37), "")</f>
        <v>HR</v>
      </c>
      <c r="E952" s="4" t="str" cm="1">
        <f t="array" ref="E952">IFERROR(INDEX(EmployeeData[Gender], ROW() - 37), "")</f>
        <v>Female</v>
      </c>
      <c r="F952" s="4" cm="1">
        <f t="array" ref="F952">IFERROR(INDEX(EmployeeData[Age], ROW() - 37), "")</f>
        <v>34</v>
      </c>
      <c r="G952" s="6" cm="1">
        <f t="array" ref="G952">IFERROR(INDEX(EmployeeData[Join Date], ROW() - 37), "")</f>
        <v>45122</v>
      </c>
      <c r="H952" s="6" t="str" cm="1">
        <f t="array" ref="H952">IFERROR(IF(INDEX(EmployeeData[Exit Date], ROW() - 37)=0, "",INDEX(EmployeeData[Exit Date], ROW() - 37)),"")</f>
        <v/>
      </c>
      <c r="I952" s="4" t="str" cm="1">
        <f t="array" ref="I952">IFERROR(IF(INDEX(EmployeeData[Exit Reason], ROW() - 37)=0, "",INDEX(EmployeeData[Exit Reason], ROW() - 37)),"")</f>
        <v/>
      </c>
      <c r="J952" s="4" t="str" cm="1">
        <f t="array" ref="J952">IFERROR(INDEX(EmployeeData[Status], ROW() - 37), "")</f>
        <v>Active</v>
      </c>
    </row>
    <row r="953" spans="2:10" ht="19.95" customHeight="1" x14ac:dyDescent="0.3">
      <c r="B953" s="4" cm="1">
        <f t="array" ref="B953">IFERROR(INDEX(EmployeeData[Employee ID], ROW() - 37), "")</f>
        <v>1916</v>
      </c>
      <c r="C953" s="4" t="str" cm="1">
        <f t="array" ref="C953">IFERROR(INDEX(EmployeeData[Full Name], ROW() - 37), "")</f>
        <v>Violeta Go Santiago</v>
      </c>
      <c r="D953" s="4" t="str" cm="1">
        <f t="array" ref="D953">IFERROR(INDEX(EmployeeData[Department], ROW() - 37), "")</f>
        <v>Customer Support</v>
      </c>
      <c r="E953" s="4" t="str" cm="1">
        <f t="array" ref="E953">IFERROR(INDEX(EmployeeData[Gender], ROW() - 37), "")</f>
        <v>Female</v>
      </c>
      <c r="F953" s="4" cm="1">
        <f t="array" ref="F953">IFERROR(INDEX(EmployeeData[Age], ROW() - 37), "")</f>
        <v>41</v>
      </c>
      <c r="G953" s="6" cm="1">
        <f t="array" ref="G953">IFERROR(INDEX(EmployeeData[Join Date], ROW() - 37), "")</f>
        <v>44780</v>
      </c>
      <c r="H953" s="6" t="str" cm="1">
        <f t="array" ref="H953">IFERROR(IF(INDEX(EmployeeData[Exit Date], ROW() - 37)=0, "",INDEX(EmployeeData[Exit Date], ROW() - 37)),"")</f>
        <v/>
      </c>
      <c r="I953" s="4" t="str" cm="1">
        <f t="array" ref="I953">IFERROR(IF(INDEX(EmployeeData[Exit Reason], ROW() - 37)=0, "",INDEX(EmployeeData[Exit Reason], ROW() - 37)),"")</f>
        <v/>
      </c>
      <c r="J953" s="4" t="str" cm="1">
        <f t="array" ref="J953">IFERROR(INDEX(EmployeeData[Status], ROW() - 37), "")</f>
        <v>Active</v>
      </c>
    </row>
    <row r="954" spans="2:10" ht="19.95" customHeight="1" x14ac:dyDescent="0.3">
      <c r="B954" s="4" cm="1">
        <f t="array" ref="B954">IFERROR(INDEX(EmployeeData[Employee ID], ROW() - 37), "")</f>
        <v>1917</v>
      </c>
      <c r="C954" s="4" t="str" cm="1">
        <f t="array" ref="C954">IFERROR(INDEX(EmployeeData[Full Name], ROW() - 37), "")</f>
        <v>Nathan Torres Ocampo</v>
      </c>
      <c r="D954" s="4" t="str" cm="1">
        <f t="array" ref="D954">IFERROR(INDEX(EmployeeData[Department], ROW() - 37), "")</f>
        <v>Customer Support</v>
      </c>
      <c r="E954" s="4" t="str" cm="1">
        <f t="array" ref="E954">IFERROR(INDEX(EmployeeData[Gender], ROW() - 37), "")</f>
        <v>Male</v>
      </c>
      <c r="F954" s="4" cm="1">
        <f t="array" ref="F954">IFERROR(INDEX(EmployeeData[Age], ROW() - 37), "")</f>
        <v>50</v>
      </c>
      <c r="G954" s="6" cm="1">
        <f t="array" ref="G954">IFERROR(INDEX(EmployeeData[Join Date], ROW() - 37), "")</f>
        <v>44662</v>
      </c>
      <c r="H954" s="6" cm="1">
        <f t="array" ref="H954">IFERROR(IF(INDEX(EmployeeData[Exit Date], ROW() - 37)=0, "",INDEX(EmployeeData[Exit Date], ROW() - 37)),"")</f>
        <v>45569</v>
      </c>
      <c r="I954" s="4" t="str" cm="1">
        <f t="array" ref="I954">IFERROR(IF(INDEX(EmployeeData[Exit Reason], ROW() - 37)=0, "",INDEX(EmployeeData[Exit Reason], ROW() - 37)),"")</f>
        <v>Resignation</v>
      </c>
      <c r="J954" s="4" t="str" cm="1">
        <f t="array" ref="J954">IFERROR(INDEX(EmployeeData[Status], ROW() - 37), "")</f>
        <v>Exited</v>
      </c>
    </row>
    <row r="955" spans="2:10" ht="19.95" customHeight="1" x14ac:dyDescent="0.3">
      <c r="B955" s="4" cm="1">
        <f t="array" ref="B955">IFERROR(INDEX(EmployeeData[Employee ID], ROW() - 37), "")</f>
        <v>1918</v>
      </c>
      <c r="C955" s="4" t="str" cm="1">
        <f t="array" ref="C955">IFERROR(INDEX(EmployeeData[Full Name], ROW() - 37), "")</f>
        <v>Rowena Hilario</v>
      </c>
      <c r="D955" s="4" t="str" cm="1">
        <f t="array" ref="D955">IFERROR(INDEX(EmployeeData[Department], ROW() - 37), "")</f>
        <v>HR</v>
      </c>
      <c r="E955" s="4" t="str" cm="1">
        <f t="array" ref="E955">IFERROR(INDEX(EmployeeData[Gender], ROW() - 37), "")</f>
        <v>Female</v>
      </c>
      <c r="F955" s="4" cm="1">
        <f t="array" ref="F955">IFERROR(INDEX(EmployeeData[Age], ROW() - 37), "")</f>
        <v>50</v>
      </c>
      <c r="G955" s="6" cm="1">
        <f t="array" ref="G955">IFERROR(INDEX(EmployeeData[Join Date], ROW() - 37), "")</f>
        <v>45086</v>
      </c>
      <c r="H955" s="6" t="str" cm="1">
        <f t="array" ref="H955">IFERROR(IF(INDEX(EmployeeData[Exit Date], ROW() - 37)=0, "",INDEX(EmployeeData[Exit Date], ROW() - 37)),"")</f>
        <v/>
      </c>
      <c r="I955" s="4" t="str" cm="1">
        <f t="array" ref="I955">IFERROR(IF(INDEX(EmployeeData[Exit Reason], ROW() - 37)=0, "",INDEX(EmployeeData[Exit Reason], ROW() - 37)),"")</f>
        <v/>
      </c>
      <c r="J955" s="4" t="str" cm="1">
        <f t="array" ref="J955">IFERROR(INDEX(EmployeeData[Status], ROW() - 37), "")</f>
        <v>Active</v>
      </c>
    </row>
    <row r="956" spans="2:10" ht="19.95" customHeight="1" x14ac:dyDescent="0.3">
      <c r="B956" s="4" cm="1">
        <f t="array" ref="B956">IFERROR(INDEX(EmployeeData[Employee ID], ROW() - 37), "")</f>
        <v>1919</v>
      </c>
      <c r="C956" s="4" t="str" cm="1">
        <f t="array" ref="C956">IFERROR(INDEX(EmployeeData[Full Name], ROW() - 37), "")</f>
        <v>Gregorio Cruz</v>
      </c>
      <c r="D956" s="4" t="str" cm="1">
        <f t="array" ref="D956">IFERROR(INDEX(EmployeeData[Department], ROW() - 37), "")</f>
        <v>HR</v>
      </c>
      <c r="E956" s="4" t="str" cm="1">
        <f t="array" ref="E956">IFERROR(INDEX(EmployeeData[Gender], ROW() - 37), "")</f>
        <v>Male</v>
      </c>
      <c r="F956" s="4" cm="1">
        <f t="array" ref="F956">IFERROR(INDEX(EmployeeData[Age], ROW() - 37), "")</f>
        <v>51</v>
      </c>
      <c r="G956" s="6" cm="1">
        <f t="array" ref="G956">IFERROR(INDEX(EmployeeData[Join Date], ROW() - 37), "")</f>
        <v>44244</v>
      </c>
      <c r="H956" s="6" t="str" cm="1">
        <f t="array" ref="H956">IFERROR(IF(INDEX(EmployeeData[Exit Date], ROW() - 37)=0, "",INDEX(EmployeeData[Exit Date], ROW() - 37)),"")</f>
        <v/>
      </c>
      <c r="I956" s="4" t="str" cm="1">
        <f t="array" ref="I956">IFERROR(IF(INDEX(EmployeeData[Exit Reason], ROW() - 37)=0, "",INDEX(EmployeeData[Exit Reason], ROW() - 37)),"")</f>
        <v/>
      </c>
      <c r="J956" s="4" t="str" cm="1">
        <f t="array" ref="J956">IFERROR(INDEX(EmployeeData[Status], ROW() - 37), "")</f>
        <v>Active</v>
      </c>
    </row>
    <row r="957" spans="2:10" ht="19.95" customHeight="1" x14ac:dyDescent="0.3">
      <c r="B957" s="4" cm="1">
        <f t="array" ref="B957">IFERROR(INDEX(EmployeeData[Employee ID], ROW() - 37), "")</f>
        <v>1920</v>
      </c>
      <c r="C957" s="4" t="str" cm="1">
        <f t="array" ref="C957">IFERROR(INDEX(EmployeeData[Full Name], ROW() - 37), "")</f>
        <v>Florinda Flores Manalo</v>
      </c>
      <c r="D957" s="4" t="str" cm="1">
        <f t="array" ref="D957">IFERROR(INDEX(EmployeeData[Department], ROW() - 37), "")</f>
        <v>Customer Support</v>
      </c>
      <c r="E957" s="4" t="str" cm="1">
        <f t="array" ref="E957">IFERROR(INDEX(EmployeeData[Gender], ROW() - 37), "")</f>
        <v>Female</v>
      </c>
      <c r="F957" s="4" cm="1">
        <f t="array" ref="F957">IFERROR(INDEX(EmployeeData[Age], ROW() - 37), "")</f>
        <v>46</v>
      </c>
      <c r="G957" s="6" cm="1">
        <f t="array" ref="G957">IFERROR(INDEX(EmployeeData[Join Date], ROW() - 37), "")</f>
        <v>43790</v>
      </c>
      <c r="H957" s="6" cm="1">
        <f t="array" ref="H957">IFERROR(IF(INDEX(EmployeeData[Exit Date], ROW() - 37)=0, "",INDEX(EmployeeData[Exit Date], ROW() - 37)),"")</f>
        <v>43925</v>
      </c>
      <c r="I957" s="4" t="str" cm="1">
        <f t="array" ref="I957">IFERROR(IF(INDEX(EmployeeData[Exit Reason], ROW() - 37)=0, "",INDEX(EmployeeData[Exit Reason], ROW() - 37)),"")</f>
        <v>Relocation</v>
      </c>
      <c r="J957" s="4" t="str" cm="1">
        <f t="array" ref="J957">IFERROR(INDEX(EmployeeData[Status], ROW() - 37), "")</f>
        <v>Exited</v>
      </c>
    </row>
    <row r="958" spans="2:10" ht="19.95" customHeight="1" x14ac:dyDescent="0.3">
      <c r="B958" s="4" cm="1">
        <f t="array" ref="B958">IFERROR(INDEX(EmployeeData[Employee ID], ROW() - 37), "")</f>
        <v>1921</v>
      </c>
      <c r="C958" s="4" t="str" cm="1">
        <f t="array" ref="C958">IFERROR(INDEX(EmployeeData[Full Name], ROW() - 37), "")</f>
        <v>Riley Zulueta</v>
      </c>
      <c r="D958" s="4" t="str" cm="1">
        <f t="array" ref="D958">IFERROR(INDEX(EmployeeData[Department], ROW() - 37), "")</f>
        <v>HR</v>
      </c>
      <c r="E958" s="4" t="str" cm="1">
        <f t="array" ref="E958">IFERROR(INDEX(EmployeeData[Gender], ROW() - 37), "")</f>
        <v>Other</v>
      </c>
      <c r="F958" s="4" cm="1">
        <f t="array" ref="F958">IFERROR(INDEX(EmployeeData[Age], ROW() - 37), "")</f>
        <v>55</v>
      </c>
      <c r="G958" s="6" cm="1">
        <f t="array" ref="G958">IFERROR(INDEX(EmployeeData[Join Date], ROW() - 37), "")</f>
        <v>43986</v>
      </c>
      <c r="H958" s="6" t="str" cm="1">
        <f t="array" ref="H958">IFERROR(IF(INDEX(EmployeeData[Exit Date], ROW() - 37)=0, "",INDEX(EmployeeData[Exit Date], ROW() - 37)),"")</f>
        <v/>
      </c>
      <c r="I958" s="4" t="str" cm="1">
        <f t="array" ref="I958">IFERROR(IF(INDEX(EmployeeData[Exit Reason], ROW() - 37)=0, "",INDEX(EmployeeData[Exit Reason], ROW() - 37)),"")</f>
        <v/>
      </c>
      <c r="J958" s="4" t="str" cm="1">
        <f t="array" ref="J958">IFERROR(INDEX(EmployeeData[Status], ROW() - 37), "")</f>
        <v>Active</v>
      </c>
    </row>
    <row r="959" spans="2:10" ht="19.95" customHeight="1" x14ac:dyDescent="0.3">
      <c r="B959" s="4" cm="1">
        <f t="array" ref="B959">IFERROR(INDEX(EmployeeData[Employee ID], ROW() - 37), "")</f>
        <v>1922</v>
      </c>
      <c r="C959" s="4" t="str" cm="1">
        <f t="array" ref="C959">IFERROR(INDEX(EmployeeData[Full Name], ROW() - 37), "")</f>
        <v>Luisa Bautista Mendoza</v>
      </c>
      <c r="D959" s="4" t="str" cm="1">
        <f t="array" ref="D959">IFERROR(INDEX(EmployeeData[Department], ROW() - 37), "")</f>
        <v>HR</v>
      </c>
      <c r="E959" s="4" t="str" cm="1">
        <f t="array" ref="E959">IFERROR(INDEX(EmployeeData[Gender], ROW() - 37), "")</f>
        <v>Other</v>
      </c>
      <c r="F959" s="4" cm="1">
        <f t="array" ref="F959">IFERROR(INDEX(EmployeeData[Age], ROW() - 37), "")</f>
        <v>27</v>
      </c>
      <c r="G959" s="6" cm="1">
        <f t="array" ref="G959">IFERROR(INDEX(EmployeeData[Join Date], ROW() - 37), "")</f>
        <v>44700</v>
      </c>
      <c r="H959" s="6" t="str" cm="1">
        <f t="array" ref="H959">IFERROR(IF(INDEX(EmployeeData[Exit Date], ROW() - 37)=0, "",INDEX(EmployeeData[Exit Date], ROW() - 37)),"")</f>
        <v/>
      </c>
      <c r="I959" s="4" t="str" cm="1">
        <f t="array" ref="I959">IFERROR(IF(INDEX(EmployeeData[Exit Reason], ROW() - 37)=0, "",INDEX(EmployeeData[Exit Reason], ROW() - 37)),"")</f>
        <v/>
      </c>
      <c r="J959" s="4" t="str" cm="1">
        <f t="array" ref="J959">IFERROR(INDEX(EmployeeData[Status], ROW() - 37), "")</f>
        <v>Active</v>
      </c>
    </row>
    <row r="960" spans="2:10" ht="19.95" customHeight="1" x14ac:dyDescent="0.3">
      <c r="B960" s="4" cm="1">
        <f t="array" ref="B960">IFERROR(INDEX(EmployeeData[Employee ID], ROW() - 37), "")</f>
        <v>1923</v>
      </c>
      <c r="C960" s="4" t="str" cm="1">
        <f t="array" ref="C960">IFERROR(INDEX(EmployeeData[Full Name], ROW() - 37), "")</f>
        <v>Miguel Reyes Dela Cruz</v>
      </c>
      <c r="D960" s="4" t="str" cm="1">
        <f t="array" ref="D960">IFERROR(INDEX(EmployeeData[Department], ROW() - 37), "")</f>
        <v>HR</v>
      </c>
      <c r="E960" s="4" t="str" cm="1">
        <f t="array" ref="E960">IFERROR(INDEX(EmployeeData[Gender], ROW() - 37), "")</f>
        <v>Other</v>
      </c>
      <c r="F960" s="4" cm="1">
        <f t="array" ref="F960">IFERROR(INDEX(EmployeeData[Age], ROW() - 37), "")</f>
        <v>36</v>
      </c>
      <c r="G960" s="6" cm="1">
        <f t="array" ref="G960">IFERROR(INDEX(EmployeeData[Join Date], ROW() - 37), "")</f>
        <v>44635</v>
      </c>
      <c r="H960" s="6" t="str" cm="1">
        <f t="array" ref="H960">IFERROR(IF(INDEX(EmployeeData[Exit Date], ROW() - 37)=0, "",INDEX(EmployeeData[Exit Date], ROW() - 37)),"")</f>
        <v/>
      </c>
      <c r="I960" s="4" t="str" cm="1">
        <f t="array" ref="I960">IFERROR(IF(INDEX(EmployeeData[Exit Reason], ROW() - 37)=0, "",INDEX(EmployeeData[Exit Reason], ROW() - 37)),"")</f>
        <v/>
      </c>
      <c r="J960" s="4" t="str" cm="1">
        <f t="array" ref="J960">IFERROR(INDEX(EmployeeData[Status], ROW() - 37), "")</f>
        <v>Active</v>
      </c>
    </row>
    <row r="961" spans="2:10" ht="19.95" customHeight="1" x14ac:dyDescent="0.3">
      <c r="B961" s="4" cm="1">
        <f t="array" ref="B961">IFERROR(INDEX(EmployeeData[Employee ID], ROW() - 37), "")</f>
        <v>1924</v>
      </c>
      <c r="C961" s="4" t="str" cm="1">
        <f t="array" ref="C961">IFERROR(INDEX(EmployeeData[Full Name], ROW() - 37), "")</f>
        <v>Nicanor Fernandez</v>
      </c>
      <c r="D961" s="4" t="str" cm="1">
        <f t="array" ref="D961">IFERROR(INDEX(EmployeeData[Department], ROW() - 37), "")</f>
        <v>Finance</v>
      </c>
      <c r="E961" s="4" t="str" cm="1">
        <f t="array" ref="E961">IFERROR(INDEX(EmployeeData[Gender], ROW() - 37), "")</f>
        <v>Male</v>
      </c>
      <c r="F961" s="4" cm="1">
        <f t="array" ref="F961">IFERROR(INDEX(EmployeeData[Age], ROW() - 37), "")</f>
        <v>33</v>
      </c>
      <c r="G961" s="6" cm="1">
        <f t="array" ref="G961">IFERROR(INDEX(EmployeeData[Join Date], ROW() - 37), "")</f>
        <v>45886</v>
      </c>
      <c r="H961" s="6" t="str" cm="1">
        <f t="array" ref="H961">IFERROR(IF(INDEX(EmployeeData[Exit Date], ROW() - 37)=0, "",INDEX(EmployeeData[Exit Date], ROW() - 37)),"")</f>
        <v/>
      </c>
      <c r="I961" s="4" t="str" cm="1">
        <f t="array" ref="I961">IFERROR(IF(INDEX(EmployeeData[Exit Reason], ROW() - 37)=0, "",INDEX(EmployeeData[Exit Reason], ROW() - 37)),"")</f>
        <v/>
      </c>
      <c r="J961" s="4" t="str" cm="1">
        <f t="array" ref="J961">IFERROR(INDEX(EmployeeData[Status], ROW() - 37), "")</f>
        <v>Active</v>
      </c>
    </row>
    <row r="962" spans="2:10" ht="19.95" customHeight="1" x14ac:dyDescent="0.3">
      <c r="B962" s="4" cm="1">
        <f t="array" ref="B962">IFERROR(INDEX(EmployeeData[Employee ID], ROW() - 37), "")</f>
        <v>1925</v>
      </c>
      <c r="C962" s="4" t="str" cm="1">
        <f t="array" ref="C962">IFERROR(INDEX(EmployeeData[Full Name], ROW() - 37), "")</f>
        <v>Cristina Castro Dalisay</v>
      </c>
      <c r="D962" s="4" t="str" cm="1">
        <f t="array" ref="D962">IFERROR(INDEX(EmployeeData[Department], ROW() - 37), "")</f>
        <v>Sales</v>
      </c>
      <c r="E962" s="4" t="str" cm="1">
        <f t="array" ref="E962">IFERROR(INDEX(EmployeeData[Gender], ROW() - 37), "")</f>
        <v>Female</v>
      </c>
      <c r="F962" s="4" cm="1">
        <f t="array" ref="F962">IFERROR(INDEX(EmployeeData[Age], ROW() - 37), "")</f>
        <v>31</v>
      </c>
      <c r="G962" s="6" cm="1">
        <f t="array" ref="G962">IFERROR(INDEX(EmployeeData[Join Date], ROW() - 37), "")</f>
        <v>43281</v>
      </c>
      <c r="H962" s="6" t="str" cm="1">
        <f t="array" ref="H962">IFERROR(IF(INDEX(EmployeeData[Exit Date], ROW() - 37)=0, "",INDEX(EmployeeData[Exit Date], ROW() - 37)),"")</f>
        <v/>
      </c>
      <c r="I962" s="4" t="str" cm="1">
        <f t="array" ref="I962">IFERROR(IF(INDEX(EmployeeData[Exit Reason], ROW() - 37)=0, "",INDEX(EmployeeData[Exit Reason], ROW() - 37)),"")</f>
        <v/>
      </c>
      <c r="J962" s="4" t="str" cm="1">
        <f t="array" ref="J962">IFERROR(INDEX(EmployeeData[Status], ROW() - 37), "")</f>
        <v>Active</v>
      </c>
    </row>
    <row r="963" spans="2:10" ht="19.95" customHeight="1" x14ac:dyDescent="0.3">
      <c r="B963" s="4" cm="1">
        <f t="array" ref="B963">IFERROR(INDEX(EmployeeData[Employee ID], ROW() - 37), "")</f>
        <v>1926</v>
      </c>
      <c r="C963" s="4" t="str" cm="1">
        <f t="array" ref="C963">IFERROR(INDEX(EmployeeData[Full Name], ROW() - 37), "")</f>
        <v>Rodel Navarro Soriano</v>
      </c>
      <c r="D963" s="4" t="str" cm="1">
        <f t="array" ref="D963">IFERROR(INDEX(EmployeeData[Department], ROW() - 37), "")</f>
        <v>Marketing</v>
      </c>
      <c r="E963" s="4" t="str" cm="1">
        <f t="array" ref="E963">IFERROR(INDEX(EmployeeData[Gender], ROW() - 37), "")</f>
        <v>Other</v>
      </c>
      <c r="F963" s="4" cm="1">
        <f t="array" ref="F963">IFERROR(INDEX(EmployeeData[Age], ROW() - 37), "")</f>
        <v>46</v>
      </c>
      <c r="G963" s="6" cm="1">
        <f t="array" ref="G963">IFERROR(INDEX(EmployeeData[Join Date], ROW() - 37), "")</f>
        <v>44853</v>
      </c>
      <c r="H963" s="6" cm="1">
        <f t="array" ref="H963">IFERROR(IF(INDEX(EmployeeData[Exit Date], ROW() - 37)=0, "",INDEX(EmployeeData[Exit Date], ROW() - 37)),"")</f>
        <v>45380</v>
      </c>
      <c r="I963" s="4" t="str" cm="1">
        <f t="array" ref="I963">IFERROR(IF(INDEX(EmployeeData[Exit Reason], ROW() - 37)=0, "",INDEX(EmployeeData[Exit Reason], ROW() - 37)),"")</f>
        <v>Better Opportunity</v>
      </c>
      <c r="J963" s="4" t="str" cm="1">
        <f t="array" ref="J963">IFERROR(INDEX(EmployeeData[Status], ROW() - 37), "")</f>
        <v>Exited</v>
      </c>
    </row>
    <row r="964" spans="2:10" ht="19.95" customHeight="1" x14ac:dyDescent="0.3">
      <c r="B964" s="4" cm="1">
        <f t="array" ref="B964">IFERROR(INDEX(EmployeeData[Employee ID], ROW() - 37), "")</f>
        <v>1927</v>
      </c>
      <c r="C964" s="4" t="str" cm="1">
        <f t="array" ref="C964">IFERROR(INDEX(EmployeeData[Full Name], ROW() - 37), "")</f>
        <v>Celine Corpuz</v>
      </c>
      <c r="D964" s="4" t="str" cm="1">
        <f t="array" ref="D964">IFERROR(INDEX(EmployeeData[Department], ROW() - 37), "")</f>
        <v>Customer Support</v>
      </c>
      <c r="E964" s="4" t="str" cm="1">
        <f t="array" ref="E964">IFERROR(INDEX(EmployeeData[Gender], ROW() - 37), "")</f>
        <v>Female</v>
      </c>
      <c r="F964" s="4" cm="1">
        <f t="array" ref="F964">IFERROR(INDEX(EmployeeData[Age], ROW() - 37), "")</f>
        <v>35</v>
      </c>
      <c r="G964" s="6" cm="1">
        <f t="array" ref="G964">IFERROR(INDEX(EmployeeData[Join Date], ROW() - 37), "")</f>
        <v>43371</v>
      </c>
      <c r="H964" s="6" t="str" cm="1">
        <f t="array" ref="H964">IFERROR(IF(INDEX(EmployeeData[Exit Date], ROW() - 37)=0, "",INDEX(EmployeeData[Exit Date], ROW() - 37)),"")</f>
        <v/>
      </c>
      <c r="I964" s="4" t="str" cm="1">
        <f t="array" ref="I964">IFERROR(IF(INDEX(EmployeeData[Exit Reason], ROW() - 37)=0, "",INDEX(EmployeeData[Exit Reason], ROW() - 37)),"")</f>
        <v/>
      </c>
      <c r="J964" s="4" t="str" cm="1">
        <f t="array" ref="J964">IFERROR(INDEX(EmployeeData[Status], ROW() - 37), "")</f>
        <v>Active</v>
      </c>
    </row>
    <row r="965" spans="2:10" ht="19.95" customHeight="1" x14ac:dyDescent="0.3">
      <c r="B965" s="4" cm="1">
        <f t="array" ref="B965">IFERROR(INDEX(EmployeeData[Employee ID], ROW() - 37), "")</f>
        <v>1928</v>
      </c>
      <c r="C965" s="4" t="str" cm="1">
        <f t="array" ref="C965">IFERROR(INDEX(EmployeeData[Full Name], ROW() - 37), "")</f>
        <v>Isabel Lopez</v>
      </c>
      <c r="D965" s="4" t="str" cm="1">
        <f t="array" ref="D965">IFERROR(INDEX(EmployeeData[Department], ROW() - 37), "")</f>
        <v>Customer Support</v>
      </c>
      <c r="E965" s="4" t="str" cm="1">
        <f t="array" ref="E965">IFERROR(INDEX(EmployeeData[Gender], ROW() - 37), "")</f>
        <v>Other</v>
      </c>
      <c r="F965" s="4" cm="1">
        <f t="array" ref="F965">IFERROR(INDEX(EmployeeData[Age], ROW() - 37), "")</f>
        <v>47</v>
      </c>
      <c r="G965" s="6" cm="1">
        <f t="array" ref="G965">IFERROR(INDEX(EmployeeData[Join Date], ROW() - 37), "")</f>
        <v>44336</v>
      </c>
      <c r="H965" s="6" t="str" cm="1">
        <f t="array" ref="H965">IFERROR(IF(INDEX(EmployeeData[Exit Date], ROW() - 37)=0, "",INDEX(EmployeeData[Exit Date], ROW() - 37)),"")</f>
        <v/>
      </c>
      <c r="I965" s="4" t="str" cm="1">
        <f t="array" ref="I965">IFERROR(IF(INDEX(EmployeeData[Exit Reason], ROW() - 37)=0, "",INDEX(EmployeeData[Exit Reason], ROW() - 37)),"")</f>
        <v/>
      </c>
      <c r="J965" s="4" t="str" cm="1">
        <f t="array" ref="J965">IFERROR(INDEX(EmployeeData[Status], ROW() - 37), "")</f>
        <v>Active</v>
      </c>
    </row>
    <row r="966" spans="2:10" ht="19.95" customHeight="1" x14ac:dyDescent="0.3">
      <c r="B966" s="4" cm="1">
        <f t="array" ref="B966">IFERROR(INDEX(EmployeeData[Employee ID], ROW() - 37), "")</f>
        <v>1929</v>
      </c>
      <c r="C966" s="4" t="str" cm="1">
        <f t="array" ref="C966">IFERROR(INDEX(EmployeeData[Full Name], ROW() - 37), "")</f>
        <v>Arnel Figueroa</v>
      </c>
      <c r="D966" s="4" t="str" cm="1">
        <f t="array" ref="D966">IFERROR(INDEX(EmployeeData[Department], ROW() - 37), "")</f>
        <v>Sales</v>
      </c>
      <c r="E966" s="4" t="str" cm="1">
        <f t="array" ref="E966">IFERROR(INDEX(EmployeeData[Gender], ROW() - 37), "")</f>
        <v>Other</v>
      </c>
      <c r="F966" s="4" cm="1">
        <f t="array" ref="F966">IFERROR(INDEX(EmployeeData[Age], ROW() - 37), "")</f>
        <v>57</v>
      </c>
      <c r="G966" s="6" cm="1">
        <f t="array" ref="G966">IFERROR(INDEX(EmployeeData[Join Date], ROW() - 37), "")</f>
        <v>43803</v>
      </c>
      <c r="H966" s="6" cm="1">
        <f t="array" ref="H966">IFERROR(IF(INDEX(EmployeeData[Exit Date], ROW() - 37)=0, "",INDEX(EmployeeData[Exit Date], ROW() - 37)),"")</f>
        <v>44281</v>
      </c>
      <c r="I966" s="4" t="str" cm="1">
        <f t="array" ref="I966">IFERROR(IF(INDEX(EmployeeData[Exit Reason], ROW() - 37)=0, "",INDEX(EmployeeData[Exit Reason], ROW() - 37)),"")</f>
        <v>Relocation</v>
      </c>
      <c r="J966" s="4" t="str" cm="1">
        <f t="array" ref="J966">IFERROR(INDEX(EmployeeData[Status], ROW() - 37), "")</f>
        <v>Exited</v>
      </c>
    </row>
    <row r="967" spans="2:10" ht="19.95" customHeight="1" x14ac:dyDescent="0.3">
      <c r="B967" s="4" cm="1">
        <f t="array" ref="B967">IFERROR(INDEX(EmployeeData[Employee ID], ROW() - 37), "")</f>
        <v>1930</v>
      </c>
      <c r="C967" s="4" t="str" cm="1">
        <f t="array" ref="C967">IFERROR(INDEX(EmployeeData[Full Name], ROW() - 37), "")</f>
        <v>Hope Diaz Enriquez</v>
      </c>
      <c r="D967" s="4" t="str" cm="1">
        <f t="array" ref="D967">IFERROR(INDEX(EmployeeData[Department], ROW() - 37), "")</f>
        <v>HR</v>
      </c>
      <c r="E967" s="4" t="str" cm="1">
        <f t="array" ref="E967">IFERROR(INDEX(EmployeeData[Gender], ROW() - 37), "")</f>
        <v>Female</v>
      </c>
      <c r="F967" s="4" cm="1">
        <f t="array" ref="F967">IFERROR(INDEX(EmployeeData[Age], ROW() - 37), "")</f>
        <v>32</v>
      </c>
      <c r="G967" s="6" cm="1">
        <f t="array" ref="G967">IFERROR(INDEX(EmployeeData[Join Date], ROW() - 37), "")</f>
        <v>45703</v>
      </c>
      <c r="H967" s="6" t="str" cm="1">
        <f t="array" ref="H967">IFERROR(IF(INDEX(EmployeeData[Exit Date], ROW() - 37)=0, "",INDEX(EmployeeData[Exit Date], ROW() - 37)),"")</f>
        <v/>
      </c>
      <c r="I967" s="4" t="str" cm="1">
        <f t="array" ref="I967">IFERROR(IF(INDEX(EmployeeData[Exit Reason], ROW() - 37)=0, "",INDEX(EmployeeData[Exit Reason], ROW() - 37)),"")</f>
        <v/>
      </c>
      <c r="J967" s="4" t="str" cm="1">
        <f t="array" ref="J967">IFERROR(INDEX(EmployeeData[Status], ROW() - 37), "")</f>
        <v>Active</v>
      </c>
    </row>
    <row r="968" spans="2:10" ht="19.95" customHeight="1" x14ac:dyDescent="0.3">
      <c r="B968" s="4" cm="1">
        <f t="array" ref="B968">IFERROR(INDEX(EmployeeData[Employee ID], ROW() - 37), "")</f>
        <v>1931</v>
      </c>
      <c r="C968" s="4" t="str" cm="1">
        <f t="array" ref="C968">IFERROR(INDEX(EmployeeData[Full Name], ROW() - 37), "")</f>
        <v>Antonio Santos Bagtas</v>
      </c>
      <c r="D968" s="4" t="str" cm="1">
        <f t="array" ref="D968">IFERROR(INDEX(EmployeeData[Department], ROW() - 37), "")</f>
        <v>Customer Support</v>
      </c>
      <c r="E968" s="4" t="str" cm="1">
        <f t="array" ref="E968">IFERROR(INDEX(EmployeeData[Gender], ROW() - 37), "")</f>
        <v>Other</v>
      </c>
      <c r="F968" s="4" cm="1">
        <f t="array" ref="F968">IFERROR(INDEX(EmployeeData[Age], ROW() - 37), "")</f>
        <v>49</v>
      </c>
      <c r="G968" s="6" cm="1">
        <f t="array" ref="G968">IFERROR(INDEX(EmployeeData[Join Date], ROW() - 37), "")</f>
        <v>44667</v>
      </c>
      <c r="H968" s="6" t="str" cm="1">
        <f t="array" ref="H968">IFERROR(IF(INDEX(EmployeeData[Exit Date], ROW() - 37)=0, "",INDEX(EmployeeData[Exit Date], ROW() - 37)),"")</f>
        <v/>
      </c>
      <c r="I968" s="4" t="str" cm="1">
        <f t="array" ref="I968">IFERROR(IF(INDEX(EmployeeData[Exit Reason], ROW() - 37)=0, "",INDEX(EmployeeData[Exit Reason], ROW() - 37)),"")</f>
        <v/>
      </c>
      <c r="J968" s="4" t="str" cm="1">
        <f t="array" ref="J968">IFERROR(INDEX(EmployeeData[Status], ROW() - 37), "")</f>
        <v>Active</v>
      </c>
    </row>
    <row r="969" spans="2:10" ht="19.95" customHeight="1" x14ac:dyDescent="0.3">
      <c r="B969" s="4" cm="1">
        <f t="array" ref="B969">IFERROR(INDEX(EmployeeData[Employee ID], ROW() - 37), "")</f>
        <v>1932</v>
      </c>
      <c r="C969" s="4" t="str" cm="1">
        <f t="array" ref="C969">IFERROR(INDEX(EmployeeData[Full Name], ROW() - 37), "")</f>
        <v>Rodel Ang Torres</v>
      </c>
      <c r="D969" s="4" t="str" cm="1">
        <f t="array" ref="D969">IFERROR(INDEX(EmployeeData[Department], ROW() - 37), "")</f>
        <v>Customer Support</v>
      </c>
      <c r="E969" s="4" t="str" cm="1">
        <f t="array" ref="E969">IFERROR(INDEX(EmployeeData[Gender], ROW() - 37), "")</f>
        <v>Male</v>
      </c>
      <c r="F969" s="4" cm="1">
        <f t="array" ref="F969">IFERROR(INDEX(EmployeeData[Age], ROW() - 37), "")</f>
        <v>28</v>
      </c>
      <c r="G969" s="6" cm="1">
        <f t="array" ref="G969">IFERROR(INDEX(EmployeeData[Join Date], ROW() - 37), "")</f>
        <v>44366</v>
      </c>
      <c r="H969" s="6" cm="1">
        <f t="array" ref="H969">IFERROR(IF(INDEX(EmployeeData[Exit Date], ROW() - 37)=0, "",INDEX(EmployeeData[Exit Date], ROW() - 37)),"")</f>
        <v>45333</v>
      </c>
      <c r="I969" s="4" t="str" cm="1">
        <f t="array" ref="I969">IFERROR(IF(INDEX(EmployeeData[Exit Reason], ROW() - 37)=0, "",INDEX(EmployeeData[Exit Reason], ROW() - 37)),"")</f>
        <v>Personal Reasons</v>
      </c>
      <c r="J969" s="4" t="str" cm="1">
        <f t="array" ref="J969">IFERROR(INDEX(EmployeeData[Status], ROW() - 37), "")</f>
        <v>Exited</v>
      </c>
    </row>
    <row r="970" spans="2:10" ht="19.95" customHeight="1" x14ac:dyDescent="0.3">
      <c r="B970" s="4" cm="1">
        <f t="array" ref="B970">IFERROR(INDEX(EmployeeData[Employee ID], ROW() - 37), "")</f>
        <v>1933</v>
      </c>
      <c r="C970" s="4" t="str" cm="1">
        <f t="array" ref="C970">IFERROR(INDEX(EmployeeData[Full Name], ROW() - 37), "")</f>
        <v>Cherry San Pedro</v>
      </c>
      <c r="D970" s="4" t="str" cm="1">
        <f t="array" ref="D970">IFERROR(INDEX(EmployeeData[Department], ROW() - 37), "")</f>
        <v>IT</v>
      </c>
      <c r="E970" s="4" t="str" cm="1">
        <f t="array" ref="E970">IFERROR(INDEX(EmployeeData[Gender], ROW() - 37), "")</f>
        <v>Female</v>
      </c>
      <c r="F970" s="4" cm="1">
        <f t="array" ref="F970">IFERROR(INDEX(EmployeeData[Age], ROW() - 37), "")</f>
        <v>34</v>
      </c>
      <c r="G970" s="6" cm="1">
        <f t="array" ref="G970">IFERROR(INDEX(EmployeeData[Join Date], ROW() - 37), "")</f>
        <v>45730</v>
      </c>
      <c r="H970" s="6" cm="1">
        <f t="array" ref="H970">IFERROR(IF(INDEX(EmployeeData[Exit Date], ROW() - 37)=0, "",INDEX(EmployeeData[Exit Date], ROW() - 37)),"")</f>
        <v>46126</v>
      </c>
      <c r="I970" s="4" t="str" cm="1">
        <f t="array" ref="I970">IFERROR(IF(INDEX(EmployeeData[Exit Reason], ROW() - 37)=0, "",INDEX(EmployeeData[Exit Reason], ROW() - 37)),"")</f>
        <v>Contract End</v>
      </c>
      <c r="J970" s="4" t="str" cm="1">
        <f t="array" ref="J970">IFERROR(INDEX(EmployeeData[Status], ROW() - 37), "")</f>
        <v>Exited</v>
      </c>
    </row>
    <row r="971" spans="2:10" ht="19.95" customHeight="1" x14ac:dyDescent="0.3">
      <c r="B971" s="4" cm="1">
        <f t="array" ref="B971">IFERROR(INDEX(EmployeeData[Employee ID], ROW() - 37), "")</f>
        <v>1934</v>
      </c>
      <c r="C971" s="4" t="str" cm="1">
        <f t="array" ref="C971">IFERROR(INDEX(EmployeeData[Full Name], ROW() - 37), "")</f>
        <v>Yvonne Bayani</v>
      </c>
      <c r="D971" s="4" t="str" cm="1">
        <f t="array" ref="D971">IFERROR(INDEX(EmployeeData[Department], ROW() - 37), "")</f>
        <v>Customer Support</v>
      </c>
      <c r="E971" s="4" t="str" cm="1">
        <f t="array" ref="E971">IFERROR(INDEX(EmployeeData[Gender], ROW() - 37), "")</f>
        <v>Female</v>
      </c>
      <c r="F971" s="4" cm="1">
        <f t="array" ref="F971">IFERROR(INDEX(EmployeeData[Age], ROW() - 37), "")</f>
        <v>23</v>
      </c>
      <c r="G971" s="6" cm="1">
        <f t="array" ref="G971">IFERROR(INDEX(EmployeeData[Join Date], ROW() - 37), "")</f>
        <v>45234</v>
      </c>
      <c r="H971" s="6" t="str" cm="1">
        <f t="array" ref="H971">IFERROR(IF(INDEX(EmployeeData[Exit Date], ROW() - 37)=0, "",INDEX(EmployeeData[Exit Date], ROW() - 37)),"")</f>
        <v/>
      </c>
      <c r="I971" s="4" t="str" cm="1">
        <f t="array" ref="I971">IFERROR(IF(INDEX(EmployeeData[Exit Reason], ROW() - 37)=0, "",INDEX(EmployeeData[Exit Reason], ROW() - 37)),"")</f>
        <v/>
      </c>
      <c r="J971" s="4" t="str" cm="1">
        <f t="array" ref="J971">IFERROR(INDEX(EmployeeData[Status], ROW() - 37), "")</f>
        <v>Active</v>
      </c>
    </row>
    <row r="972" spans="2:10" ht="19.95" customHeight="1" x14ac:dyDescent="0.3">
      <c r="B972" s="4" cm="1">
        <f t="array" ref="B972">IFERROR(INDEX(EmployeeData[Employee ID], ROW() - 37), "")</f>
        <v>1935</v>
      </c>
      <c r="C972" s="4" t="str" cm="1">
        <f t="array" ref="C972">IFERROR(INDEX(EmployeeData[Full Name], ROW() - 37), "")</f>
        <v>Teresita Guevarra</v>
      </c>
      <c r="D972" s="4" t="str" cm="1">
        <f t="array" ref="D972">IFERROR(INDEX(EmployeeData[Department], ROW() - 37), "")</f>
        <v>HR</v>
      </c>
      <c r="E972" s="4" t="str" cm="1">
        <f t="array" ref="E972">IFERROR(INDEX(EmployeeData[Gender], ROW() - 37), "")</f>
        <v>Female</v>
      </c>
      <c r="F972" s="4" cm="1">
        <f t="array" ref="F972">IFERROR(INDEX(EmployeeData[Age], ROW() - 37), "")</f>
        <v>42</v>
      </c>
      <c r="G972" s="6" cm="1">
        <f t="array" ref="G972">IFERROR(INDEX(EmployeeData[Join Date], ROW() - 37), "")</f>
        <v>44504</v>
      </c>
      <c r="H972" s="6" cm="1">
        <f t="array" ref="H972">IFERROR(IF(INDEX(EmployeeData[Exit Date], ROW() - 37)=0, "",INDEX(EmployeeData[Exit Date], ROW() - 37)),"")</f>
        <v>45698</v>
      </c>
      <c r="I972" s="4" t="str" cm="1">
        <f t="array" ref="I972">IFERROR(IF(INDEX(EmployeeData[Exit Reason], ROW() - 37)=0, "",INDEX(EmployeeData[Exit Reason], ROW() - 37)),"")</f>
        <v>Better Opportunity</v>
      </c>
      <c r="J972" s="4" t="str" cm="1">
        <f t="array" ref="J972">IFERROR(INDEX(EmployeeData[Status], ROW() - 37), "")</f>
        <v>Exited</v>
      </c>
    </row>
    <row r="973" spans="2:10" ht="19.95" customHeight="1" x14ac:dyDescent="0.3">
      <c r="B973" s="4" cm="1">
        <f t="array" ref="B973">IFERROR(INDEX(EmployeeData[Employee ID], ROW() - 37), "")</f>
        <v>1936</v>
      </c>
      <c r="C973" s="4" t="str" cm="1">
        <f t="array" ref="C973">IFERROR(INDEX(EmployeeData[Full Name], ROW() - 37), "")</f>
        <v>Isabel Aquino</v>
      </c>
      <c r="D973" s="4" t="str" cm="1">
        <f t="array" ref="D973">IFERROR(INDEX(EmployeeData[Department], ROW() - 37), "")</f>
        <v>Customer Support</v>
      </c>
      <c r="E973" s="4" t="str" cm="1">
        <f t="array" ref="E973">IFERROR(INDEX(EmployeeData[Gender], ROW() - 37), "")</f>
        <v>Other</v>
      </c>
      <c r="F973" s="4" cm="1">
        <f t="array" ref="F973">IFERROR(INDEX(EmployeeData[Age], ROW() - 37), "")</f>
        <v>54</v>
      </c>
      <c r="G973" s="6" cm="1">
        <f t="array" ref="G973">IFERROR(INDEX(EmployeeData[Join Date], ROW() - 37), "")</f>
        <v>44418</v>
      </c>
      <c r="H973" s="6" cm="1">
        <f t="array" ref="H973">IFERROR(IF(INDEX(EmployeeData[Exit Date], ROW() - 37)=0, "",INDEX(EmployeeData[Exit Date], ROW() - 37)),"")</f>
        <v>45797</v>
      </c>
      <c r="I973" s="4" t="str" cm="1">
        <f t="array" ref="I973">IFERROR(IF(INDEX(EmployeeData[Exit Reason], ROW() - 37)=0, "",INDEX(EmployeeData[Exit Reason], ROW() - 37)),"")</f>
        <v>Better Opportunity</v>
      </c>
      <c r="J973" s="4" t="str" cm="1">
        <f t="array" ref="J973">IFERROR(INDEX(EmployeeData[Status], ROW() - 37), "")</f>
        <v>Exited</v>
      </c>
    </row>
    <row r="974" spans="2:10" ht="19.95" customHeight="1" x14ac:dyDescent="0.3">
      <c r="B974" s="4" cm="1">
        <f t="array" ref="B974">IFERROR(INDEX(EmployeeData[Employee ID], ROW() - 37), "")</f>
        <v>1937</v>
      </c>
      <c r="C974" s="4" t="str" cm="1">
        <f t="array" ref="C974">IFERROR(INDEX(EmployeeData[Full Name], ROW() - 37), "")</f>
        <v>Rosa Lopez Obispo</v>
      </c>
      <c r="D974" s="4" t="str" cm="1">
        <f t="array" ref="D974">IFERROR(INDEX(EmployeeData[Department], ROW() - 37), "")</f>
        <v>Customer Support</v>
      </c>
      <c r="E974" s="4" t="str" cm="1">
        <f t="array" ref="E974">IFERROR(INDEX(EmployeeData[Gender], ROW() - 37), "")</f>
        <v>Other</v>
      </c>
      <c r="F974" s="4" cm="1">
        <f t="array" ref="F974">IFERROR(INDEX(EmployeeData[Age], ROW() - 37), "")</f>
        <v>52</v>
      </c>
      <c r="G974" s="6" cm="1">
        <f t="array" ref="G974">IFERROR(INDEX(EmployeeData[Join Date], ROW() - 37), "")</f>
        <v>43615</v>
      </c>
      <c r="H974" s="6" cm="1">
        <f t="array" ref="H974">IFERROR(IF(INDEX(EmployeeData[Exit Date], ROW() - 37)=0, "",INDEX(EmployeeData[Exit Date], ROW() - 37)),"")</f>
        <v>44542</v>
      </c>
      <c r="I974" s="4" t="str" cm="1">
        <f t="array" ref="I974">IFERROR(IF(INDEX(EmployeeData[Exit Reason], ROW() - 37)=0, "",INDEX(EmployeeData[Exit Reason], ROW() - 37)),"")</f>
        <v>Retirement</v>
      </c>
      <c r="J974" s="4" t="str" cm="1">
        <f t="array" ref="J974">IFERROR(INDEX(EmployeeData[Status], ROW() - 37), "")</f>
        <v>Exited</v>
      </c>
    </row>
    <row r="975" spans="2:10" ht="19.95" customHeight="1" x14ac:dyDescent="0.3">
      <c r="B975" s="4" cm="1">
        <f t="array" ref="B975">IFERROR(INDEX(EmployeeData[Employee ID], ROW() - 37), "")</f>
        <v>1938</v>
      </c>
      <c r="C975" s="4" t="str" cm="1">
        <f t="array" ref="C975">IFERROR(INDEX(EmployeeData[Full Name], ROW() - 37), "")</f>
        <v>Maribel Wong</v>
      </c>
      <c r="D975" s="4" t="str" cm="1">
        <f t="array" ref="D975">IFERROR(INDEX(EmployeeData[Department], ROW() - 37), "")</f>
        <v>HR</v>
      </c>
      <c r="E975" s="4" t="str" cm="1">
        <f t="array" ref="E975">IFERROR(INDEX(EmployeeData[Gender], ROW() - 37), "")</f>
        <v>Female</v>
      </c>
      <c r="F975" s="4" cm="1">
        <f t="array" ref="F975">IFERROR(INDEX(EmployeeData[Age], ROW() - 37), "")</f>
        <v>32</v>
      </c>
      <c r="G975" s="6" cm="1">
        <f t="array" ref="G975">IFERROR(INDEX(EmployeeData[Join Date], ROW() - 37), "")</f>
        <v>45582</v>
      </c>
      <c r="H975" s="6" cm="1">
        <f t="array" ref="H975">IFERROR(IF(INDEX(EmployeeData[Exit Date], ROW() - 37)=0, "",INDEX(EmployeeData[Exit Date], ROW() - 37)),"")</f>
        <v>45964</v>
      </c>
      <c r="I975" s="4" t="str" cm="1">
        <f t="array" ref="I975">IFERROR(IF(INDEX(EmployeeData[Exit Reason], ROW() - 37)=0, "",INDEX(EmployeeData[Exit Reason], ROW() - 37)),"")</f>
        <v>Health Issues</v>
      </c>
      <c r="J975" s="4" t="str" cm="1">
        <f t="array" ref="J975">IFERROR(INDEX(EmployeeData[Status], ROW() - 37), "")</f>
        <v>Exited</v>
      </c>
    </row>
    <row r="976" spans="2:10" ht="19.95" customHeight="1" x14ac:dyDescent="0.3">
      <c r="B976" s="4" cm="1">
        <f t="array" ref="B976">IFERROR(INDEX(EmployeeData[Employee ID], ROW() - 37), "")</f>
        <v>1939</v>
      </c>
      <c r="C976" s="4" t="str" cm="1">
        <f t="array" ref="C976">IFERROR(INDEX(EmployeeData[Full Name], ROW() - 37), "")</f>
        <v>Pilar Solis</v>
      </c>
      <c r="D976" s="4" t="str" cm="1">
        <f t="array" ref="D976">IFERROR(INDEX(EmployeeData[Department], ROW() - 37), "")</f>
        <v>Marketing</v>
      </c>
      <c r="E976" s="4" t="str" cm="1">
        <f t="array" ref="E976">IFERROR(INDEX(EmployeeData[Gender], ROW() - 37), "")</f>
        <v>Other</v>
      </c>
      <c r="F976" s="4" cm="1">
        <f t="array" ref="F976">IFERROR(INDEX(EmployeeData[Age], ROW() - 37), "")</f>
        <v>44</v>
      </c>
      <c r="G976" s="6" cm="1">
        <f t="array" ref="G976">IFERROR(INDEX(EmployeeData[Join Date], ROW() - 37), "")</f>
        <v>44732</v>
      </c>
      <c r="H976" s="6" cm="1">
        <f t="array" ref="H976">IFERROR(IF(INDEX(EmployeeData[Exit Date], ROW() - 37)=0, "",INDEX(EmployeeData[Exit Date], ROW() - 37)),"")</f>
        <v>45786</v>
      </c>
      <c r="I976" s="4" t="str" cm="1">
        <f t="array" ref="I976">IFERROR(IF(INDEX(EmployeeData[Exit Reason], ROW() - 37)=0, "",INDEX(EmployeeData[Exit Reason], ROW() - 37)),"")</f>
        <v>Termination</v>
      </c>
      <c r="J976" s="4" t="str" cm="1">
        <f t="array" ref="J976">IFERROR(INDEX(EmployeeData[Status], ROW() - 37), "")</f>
        <v>Exited</v>
      </c>
    </row>
    <row r="977" spans="2:10" ht="19.95" customHeight="1" x14ac:dyDescent="0.3">
      <c r="B977" s="4" cm="1">
        <f t="array" ref="B977">IFERROR(INDEX(EmployeeData[Employee ID], ROW() - 37), "")</f>
        <v>1940</v>
      </c>
      <c r="C977" s="4" t="str" cm="1">
        <f t="array" ref="C977">IFERROR(INDEX(EmployeeData[Full Name], ROW() - 37), "")</f>
        <v>Rosa Ramos</v>
      </c>
      <c r="D977" s="4" t="str" cm="1">
        <f t="array" ref="D977">IFERROR(INDEX(EmployeeData[Department], ROW() - 37), "")</f>
        <v>HR</v>
      </c>
      <c r="E977" s="4" t="str" cm="1">
        <f t="array" ref="E977">IFERROR(INDEX(EmployeeData[Gender], ROW() - 37), "")</f>
        <v>Other</v>
      </c>
      <c r="F977" s="4" cm="1">
        <f t="array" ref="F977">IFERROR(INDEX(EmployeeData[Age], ROW() - 37), "")</f>
        <v>51</v>
      </c>
      <c r="G977" s="6" cm="1">
        <f t="array" ref="G977">IFERROR(INDEX(EmployeeData[Join Date], ROW() - 37), "")</f>
        <v>43182</v>
      </c>
      <c r="H977" s="6" t="str" cm="1">
        <f t="array" ref="H977">IFERROR(IF(INDEX(EmployeeData[Exit Date], ROW() - 37)=0, "",INDEX(EmployeeData[Exit Date], ROW() - 37)),"")</f>
        <v/>
      </c>
      <c r="I977" s="4" t="str" cm="1">
        <f t="array" ref="I977">IFERROR(IF(INDEX(EmployeeData[Exit Reason], ROW() - 37)=0, "",INDEX(EmployeeData[Exit Reason], ROW() - 37)),"")</f>
        <v/>
      </c>
      <c r="J977" s="4" t="str" cm="1">
        <f t="array" ref="J977">IFERROR(INDEX(EmployeeData[Status], ROW() - 37), "")</f>
        <v>Active</v>
      </c>
    </row>
    <row r="978" spans="2:10" ht="19.95" customHeight="1" x14ac:dyDescent="0.3">
      <c r="B978" s="4" cm="1">
        <f t="array" ref="B978">IFERROR(INDEX(EmployeeData[Employee ID], ROW() - 37), "")</f>
        <v>1941</v>
      </c>
      <c r="C978" s="4" t="str" cm="1">
        <f t="array" ref="C978">IFERROR(INDEX(EmployeeData[Full Name], ROW() - 37), "")</f>
        <v>Severino Go Panganiban</v>
      </c>
      <c r="D978" s="4" t="str" cm="1">
        <f t="array" ref="D978">IFERROR(INDEX(EmployeeData[Department], ROW() - 37), "")</f>
        <v>Finance</v>
      </c>
      <c r="E978" s="4" t="str" cm="1">
        <f t="array" ref="E978">IFERROR(INDEX(EmployeeData[Gender], ROW() - 37), "")</f>
        <v>Male</v>
      </c>
      <c r="F978" s="4" cm="1">
        <f t="array" ref="F978">IFERROR(INDEX(EmployeeData[Age], ROW() - 37), "")</f>
        <v>30</v>
      </c>
      <c r="G978" s="6" cm="1">
        <f t="array" ref="G978">IFERROR(INDEX(EmployeeData[Join Date], ROW() - 37), "")</f>
        <v>45365</v>
      </c>
      <c r="H978" s="6" t="str" cm="1">
        <f t="array" ref="H978">IFERROR(IF(INDEX(EmployeeData[Exit Date], ROW() - 37)=0, "",INDEX(EmployeeData[Exit Date], ROW() - 37)),"")</f>
        <v/>
      </c>
      <c r="I978" s="4" t="str" cm="1">
        <f t="array" ref="I978">IFERROR(IF(INDEX(EmployeeData[Exit Reason], ROW() - 37)=0, "",INDEX(EmployeeData[Exit Reason], ROW() - 37)),"")</f>
        <v/>
      </c>
      <c r="J978" s="4" t="str" cm="1">
        <f t="array" ref="J978">IFERROR(INDEX(EmployeeData[Status], ROW() - 37), "")</f>
        <v>Active</v>
      </c>
    </row>
    <row r="979" spans="2:10" ht="19.95" customHeight="1" x14ac:dyDescent="0.3">
      <c r="B979" s="4" cm="1">
        <f t="array" ref="B979">IFERROR(INDEX(EmployeeData[Employee ID], ROW() - 37), "")</f>
        <v>1942</v>
      </c>
      <c r="C979" s="4" t="str" cm="1">
        <f t="array" ref="C979">IFERROR(INDEX(EmployeeData[Full Name], ROW() - 37), "")</f>
        <v>Jaime Santiago Santos</v>
      </c>
      <c r="D979" s="4" t="str" cm="1">
        <f t="array" ref="D979">IFERROR(INDEX(EmployeeData[Department], ROW() - 37), "")</f>
        <v>IT</v>
      </c>
      <c r="E979" s="4" t="str" cm="1">
        <f t="array" ref="E979">IFERROR(INDEX(EmployeeData[Gender], ROW() - 37), "")</f>
        <v>Male</v>
      </c>
      <c r="F979" s="4" cm="1">
        <f t="array" ref="F979">IFERROR(INDEX(EmployeeData[Age], ROW() - 37), "")</f>
        <v>51</v>
      </c>
      <c r="G979" s="6" cm="1">
        <f t="array" ref="G979">IFERROR(INDEX(EmployeeData[Join Date], ROW() - 37), "")</f>
        <v>43395</v>
      </c>
      <c r="H979" s="6" cm="1">
        <f t="array" ref="H979">IFERROR(IF(INDEX(EmployeeData[Exit Date], ROW() - 37)=0, "",INDEX(EmployeeData[Exit Date], ROW() - 37)),"")</f>
        <v>45407</v>
      </c>
      <c r="I979" s="4" t="str" cm="1">
        <f t="array" ref="I979">IFERROR(IF(INDEX(EmployeeData[Exit Reason], ROW() - 37)=0, "",INDEX(EmployeeData[Exit Reason], ROW() - 37)),"")</f>
        <v>Better Opportunity</v>
      </c>
      <c r="J979" s="4" t="str" cm="1">
        <f t="array" ref="J979">IFERROR(INDEX(EmployeeData[Status], ROW() - 37), "")</f>
        <v>Exited</v>
      </c>
    </row>
    <row r="980" spans="2:10" ht="19.95" customHeight="1" x14ac:dyDescent="0.3">
      <c r="B980" s="4" cm="1">
        <f t="array" ref="B980">IFERROR(INDEX(EmployeeData[Employee ID], ROW() - 37), "")</f>
        <v>1943</v>
      </c>
      <c r="C980" s="4" t="str" cm="1">
        <f t="array" ref="C980">IFERROR(INDEX(EmployeeData[Full Name], ROW() - 37), "")</f>
        <v>Manuel Bayani</v>
      </c>
      <c r="D980" s="4" t="str" cm="1">
        <f t="array" ref="D980">IFERROR(INDEX(EmployeeData[Department], ROW() - 37), "")</f>
        <v>Marketing</v>
      </c>
      <c r="E980" s="4" t="str" cm="1">
        <f t="array" ref="E980">IFERROR(INDEX(EmployeeData[Gender], ROW() - 37), "")</f>
        <v>Other</v>
      </c>
      <c r="F980" s="4" cm="1">
        <f t="array" ref="F980">IFERROR(INDEX(EmployeeData[Age], ROW() - 37), "")</f>
        <v>46</v>
      </c>
      <c r="G980" s="6" cm="1">
        <f t="array" ref="G980">IFERROR(INDEX(EmployeeData[Join Date], ROW() - 37), "")</f>
        <v>44629</v>
      </c>
      <c r="H980" s="6" t="str" cm="1">
        <f t="array" ref="H980">IFERROR(IF(INDEX(EmployeeData[Exit Date], ROW() - 37)=0, "",INDEX(EmployeeData[Exit Date], ROW() - 37)),"")</f>
        <v/>
      </c>
      <c r="I980" s="4" t="str" cm="1">
        <f t="array" ref="I980">IFERROR(IF(INDEX(EmployeeData[Exit Reason], ROW() - 37)=0, "",INDEX(EmployeeData[Exit Reason], ROW() - 37)),"")</f>
        <v/>
      </c>
      <c r="J980" s="4" t="str" cm="1">
        <f t="array" ref="J980">IFERROR(INDEX(EmployeeData[Status], ROW() - 37), "")</f>
        <v>Active</v>
      </c>
    </row>
    <row r="981" spans="2:10" ht="19.95" customHeight="1" x14ac:dyDescent="0.3">
      <c r="B981" s="4" cm="1">
        <f t="array" ref="B981">IFERROR(INDEX(EmployeeData[Employee ID], ROW() - 37), "")</f>
        <v>1944</v>
      </c>
      <c r="C981" s="4" t="str" cm="1">
        <f t="array" ref="C981">IFERROR(INDEX(EmployeeData[Full Name], ROW() - 37), "")</f>
        <v>Juan Diaz</v>
      </c>
      <c r="D981" s="4" t="str" cm="1">
        <f t="array" ref="D981">IFERROR(INDEX(EmployeeData[Department], ROW() - 37), "")</f>
        <v>Customer Support</v>
      </c>
      <c r="E981" s="4" t="str" cm="1">
        <f t="array" ref="E981">IFERROR(INDEX(EmployeeData[Gender], ROW() - 37), "")</f>
        <v>Other</v>
      </c>
      <c r="F981" s="4" cm="1">
        <f t="array" ref="F981">IFERROR(INDEX(EmployeeData[Age], ROW() - 37), "")</f>
        <v>28</v>
      </c>
      <c r="G981" s="6" cm="1">
        <f t="array" ref="G981">IFERROR(INDEX(EmployeeData[Join Date], ROW() - 37), "")</f>
        <v>44677</v>
      </c>
      <c r="H981" s="6" t="str" cm="1">
        <f t="array" ref="H981">IFERROR(IF(INDEX(EmployeeData[Exit Date], ROW() - 37)=0, "",INDEX(EmployeeData[Exit Date], ROW() - 37)),"")</f>
        <v/>
      </c>
      <c r="I981" s="4" t="str" cm="1">
        <f t="array" ref="I981">IFERROR(IF(INDEX(EmployeeData[Exit Reason], ROW() - 37)=0, "",INDEX(EmployeeData[Exit Reason], ROW() - 37)),"")</f>
        <v/>
      </c>
      <c r="J981" s="4" t="str" cm="1">
        <f t="array" ref="J981">IFERROR(INDEX(EmployeeData[Status], ROW() - 37), "")</f>
        <v>Active</v>
      </c>
    </row>
    <row r="982" spans="2:10" ht="19.95" customHeight="1" x14ac:dyDescent="0.3">
      <c r="B982" s="4" cm="1">
        <f t="array" ref="B982">IFERROR(INDEX(EmployeeData[Employee ID], ROW() - 37), "")</f>
        <v>1945</v>
      </c>
      <c r="C982" s="4" t="str" cm="1">
        <f t="array" ref="C982">IFERROR(INDEX(EmployeeData[Full Name], ROW() - 37), "")</f>
        <v>Ronaldo Rivera Jimenez</v>
      </c>
      <c r="D982" s="4" t="str" cm="1">
        <f t="array" ref="D982">IFERROR(INDEX(EmployeeData[Department], ROW() - 37), "")</f>
        <v>Finance</v>
      </c>
      <c r="E982" s="4" t="str" cm="1">
        <f t="array" ref="E982">IFERROR(INDEX(EmployeeData[Gender], ROW() - 37), "")</f>
        <v>Other</v>
      </c>
      <c r="F982" s="4" cm="1">
        <f t="array" ref="F982">IFERROR(INDEX(EmployeeData[Age], ROW() - 37), "")</f>
        <v>43</v>
      </c>
      <c r="G982" s="6" cm="1">
        <f t="array" ref="G982">IFERROR(INDEX(EmployeeData[Join Date], ROW() - 37), "")</f>
        <v>45188</v>
      </c>
      <c r="H982" s="6" t="str" cm="1">
        <f t="array" ref="H982">IFERROR(IF(INDEX(EmployeeData[Exit Date], ROW() - 37)=0, "",INDEX(EmployeeData[Exit Date], ROW() - 37)),"")</f>
        <v/>
      </c>
      <c r="I982" s="4" t="str" cm="1">
        <f t="array" ref="I982">IFERROR(IF(INDEX(EmployeeData[Exit Reason], ROW() - 37)=0, "",INDEX(EmployeeData[Exit Reason], ROW() - 37)),"")</f>
        <v/>
      </c>
      <c r="J982" s="4" t="str" cm="1">
        <f t="array" ref="J982">IFERROR(INDEX(EmployeeData[Status], ROW() - 37), "")</f>
        <v>Active</v>
      </c>
    </row>
    <row r="983" spans="2:10" ht="19.95" customHeight="1" x14ac:dyDescent="0.3">
      <c r="B983" s="4" cm="1">
        <f t="array" ref="B983">IFERROR(INDEX(EmployeeData[Employee ID], ROW() - 37), "")</f>
        <v>1946</v>
      </c>
      <c r="C983" s="4" t="str" cm="1">
        <f t="array" ref="C983">IFERROR(INDEX(EmployeeData[Full Name], ROW() - 37), "")</f>
        <v>Sam Jimenez</v>
      </c>
      <c r="D983" s="4" t="str" cm="1">
        <f t="array" ref="D983">IFERROR(INDEX(EmployeeData[Department], ROW() - 37), "")</f>
        <v>Finance</v>
      </c>
      <c r="E983" s="4" t="str" cm="1">
        <f t="array" ref="E983">IFERROR(INDEX(EmployeeData[Gender], ROW() - 37), "")</f>
        <v>Other</v>
      </c>
      <c r="F983" s="4" cm="1">
        <f t="array" ref="F983">IFERROR(INDEX(EmployeeData[Age], ROW() - 37), "")</f>
        <v>36</v>
      </c>
      <c r="G983" s="6" cm="1">
        <f t="array" ref="G983">IFERROR(INDEX(EmployeeData[Join Date], ROW() - 37), "")</f>
        <v>45057</v>
      </c>
      <c r="H983" s="6" cm="1">
        <f t="array" ref="H983">IFERROR(IF(INDEX(EmployeeData[Exit Date], ROW() - 37)=0, "",INDEX(EmployeeData[Exit Date], ROW() - 37)),"")</f>
        <v>45887</v>
      </c>
      <c r="I983" s="4" t="str" cm="1">
        <f t="array" ref="I983">IFERROR(IF(INDEX(EmployeeData[Exit Reason], ROW() - 37)=0, "",INDEX(EmployeeData[Exit Reason], ROW() - 37)),"")</f>
        <v>Relocation</v>
      </c>
      <c r="J983" s="4" t="str" cm="1">
        <f t="array" ref="J983">IFERROR(INDEX(EmployeeData[Status], ROW() - 37), "")</f>
        <v>Exited</v>
      </c>
    </row>
    <row r="984" spans="2:10" ht="19.95" customHeight="1" x14ac:dyDescent="0.3">
      <c r="B984" s="4" cm="1">
        <f t="array" ref="B984">IFERROR(INDEX(EmployeeData[Employee ID], ROW() - 37), "")</f>
        <v>1947</v>
      </c>
      <c r="C984" s="4" t="str" cm="1">
        <f t="array" ref="C984">IFERROR(INDEX(EmployeeData[Full Name], ROW() - 37), "")</f>
        <v>Feliciano Garcia Reyes</v>
      </c>
      <c r="D984" s="4" t="str" cm="1">
        <f t="array" ref="D984">IFERROR(INDEX(EmployeeData[Department], ROW() - 37), "")</f>
        <v>Customer Support</v>
      </c>
      <c r="E984" s="4" t="str" cm="1">
        <f t="array" ref="E984">IFERROR(INDEX(EmployeeData[Gender], ROW() - 37), "")</f>
        <v>Male</v>
      </c>
      <c r="F984" s="4" cm="1">
        <f t="array" ref="F984">IFERROR(INDEX(EmployeeData[Age], ROW() - 37), "")</f>
        <v>30</v>
      </c>
      <c r="G984" s="6" cm="1">
        <f t="array" ref="G984">IFERROR(INDEX(EmployeeData[Join Date], ROW() - 37), "")</f>
        <v>44142</v>
      </c>
      <c r="H984" s="6" cm="1">
        <f t="array" ref="H984">IFERROR(IF(INDEX(EmployeeData[Exit Date], ROW() - 37)=0, "",INDEX(EmployeeData[Exit Date], ROW() - 37)),"")</f>
        <v>45416</v>
      </c>
      <c r="I984" s="4" t="str" cm="1">
        <f t="array" ref="I984">IFERROR(IF(INDEX(EmployeeData[Exit Reason], ROW() - 37)=0, "",INDEX(EmployeeData[Exit Reason], ROW() - 37)),"")</f>
        <v>Contract End</v>
      </c>
      <c r="J984" s="4" t="str" cm="1">
        <f t="array" ref="J984">IFERROR(INDEX(EmployeeData[Status], ROW() - 37), "")</f>
        <v>Exited</v>
      </c>
    </row>
    <row r="985" spans="2:10" ht="19.95" customHeight="1" x14ac:dyDescent="0.3">
      <c r="B985" s="4" cm="1">
        <f t="array" ref="B985">IFERROR(INDEX(EmployeeData[Employee ID], ROW() - 37), "")</f>
        <v>1948</v>
      </c>
      <c r="C985" s="4" t="str" cm="1">
        <f t="array" ref="C985">IFERROR(INDEX(EmployeeData[Full Name], ROW() - 37), "")</f>
        <v>Casey Delmendo</v>
      </c>
      <c r="D985" s="4" t="str" cm="1">
        <f t="array" ref="D985">IFERROR(INDEX(EmployeeData[Department], ROW() - 37), "")</f>
        <v>HR</v>
      </c>
      <c r="E985" s="4" t="str" cm="1">
        <f t="array" ref="E985">IFERROR(INDEX(EmployeeData[Gender], ROW() - 37), "")</f>
        <v>Other</v>
      </c>
      <c r="F985" s="4" cm="1">
        <f t="array" ref="F985">IFERROR(INDEX(EmployeeData[Age], ROW() - 37), "")</f>
        <v>46</v>
      </c>
      <c r="G985" s="6" cm="1">
        <f t="array" ref="G985">IFERROR(INDEX(EmployeeData[Join Date], ROW() - 37), "")</f>
        <v>45993</v>
      </c>
      <c r="H985" s="6" t="str" cm="1">
        <f t="array" ref="H985">IFERROR(IF(INDEX(EmployeeData[Exit Date], ROW() - 37)=0, "",INDEX(EmployeeData[Exit Date], ROW() - 37)),"")</f>
        <v/>
      </c>
      <c r="I985" s="4" t="str" cm="1">
        <f t="array" ref="I985">IFERROR(IF(INDEX(EmployeeData[Exit Reason], ROW() - 37)=0, "",INDEX(EmployeeData[Exit Reason], ROW() - 37)),"")</f>
        <v/>
      </c>
      <c r="J985" s="4" t="str" cm="1">
        <f t="array" ref="J985">IFERROR(INDEX(EmployeeData[Status], ROW() - 37), "")</f>
        <v>Active</v>
      </c>
    </row>
    <row r="986" spans="2:10" ht="19.95" customHeight="1" x14ac:dyDescent="0.3">
      <c r="B986" s="4" cm="1">
        <f t="array" ref="B986">IFERROR(INDEX(EmployeeData[Employee ID], ROW() - 37), "")</f>
        <v>1949</v>
      </c>
      <c r="C986" s="4" t="str" cm="1">
        <f t="array" ref="C986">IFERROR(INDEX(EmployeeData[Full Name], ROW() - 37), "")</f>
        <v>Kath Fajardo</v>
      </c>
      <c r="D986" s="4" t="str" cm="1">
        <f t="array" ref="D986">IFERROR(INDEX(EmployeeData[Department], ROW() - 37), "")</f>
        <v>Sales</v>
      </c>
      <c r="E986" s="4" t="str" cm="1">
        <f t="array" ref="E986">IFERROR(INDEX(EmployeeData[Gender], ROW() - 37), "")</f>
        <v>Female</v>
      </c>
      <c r="F986" s="4" cm="1">
        <f t="array" ref="F986">IFERROR(INDEX(EmployeeData[Age], ROW() - 37), "")</f>
        <v>48</v>
      </c>
      <c r="G986" s="6" cm="1">
        <f t="array" ref="G986">IFERROR(INDEX(EmployeeData[Join Date], ROW() - 37), "")</f>
        <v>44136</v>
      </c>
      <c r="H986" s="6" t="str" cm="1">
        <f t="array" ref="H986">IFERROR(IF(INDEX(EmployeeData[Exit Date], ROW() - 37)=0, "",INDEX(EmployeeData[Exit Date], ROW() - 37)),"")</f>
        <v/>
      </c>
      <c r="I986" s="4" t="str" cm="1">
        <f t="array" ref="I986">IFERROR(IF(INDEX(EmployeeData[Exit Reason], ROW() - 37)=0, "",INDEX(EmployeeData[Exit Reason], ROW() - 37)),"")</f>
        <v/>
      </c>
      <c r="J986" s="4" t="str" cm="1">
        <f t="array" ref="J986">IFERROR(INDEX(EmployeeData[Status], ROW() - 37), "")</f>
        <v>Active</v>
      </c>
    </row>
    <row r="987" spans="2:10" ht="19.95" customHeight="1" x14ac:dyDescent="0.3">
      <c r="B987" s="4" cm="1">
        <f t="array" ref="B987">IFERROR(INDEX(EmployeeData[Employee ID], ROW() - 37), "")</f>
        <v>1950</v>
      </c>
      <c r="C987" s="4" t="str" cm="1">
        <f t="array" ref="C987">IFERROR(INDEX(EmployeeData[Full Name], ROW() - 37), "")</f>
        <v>Beatriz Tan Del Rosario</v>
      </c>
      <c r="D987" s="4" t="str" cm="1">
        <f t="array" ref="D987">IFERROR(INDEX(EmployeeData[Department], ROW() - 37), "")</f>
        <v>IT</v>
      </c>
      <c r="E987" s="4" t="str" cm="1">
        <f t="array" ref="E987">IFERROR(INDEX(EmployeeData[Gender], ROW() - 37), "")</f>
        <v>Female</v>
      </c>
      <c r="F987" s="4" cm="1">
        <f t="array" ref="F987">IFERROR(INDEX(EmployeeData[Age], ROW() - 37), "")</f>
        <v>47</v>
      </c>
      <c r="G987" s="6" cm="1">
        <f t="array" ref="G987">IFERROR(INDEX(EmployeeData[Join Date], ROW() - 37), "")</f>
        <v>43465</v>
      </c>
      <c r="H987" s="6" cm="1">
        <f t="array" ref="H987">IFERROR(IF(INDEX(EmployeeData[Exit Date], ROW() - 37)=0, "",INDEX(EmployeeData[Exit Date], ROW() - 37)),"")</f>
        <v>44965</v>
      </c>
      <c r="I987" s="4" t="str" cm="1">
        <f t="array" ref="I987">IFERROR(IF(INDEX(EmployeeData[Exit Reason], ROW() - 37)=0, "",INDEX(EmployeeData[Exit Reason], ROW() - 37)),"")</f>
        <v>Resignation</v>
      </c>
      <c r="J987" s="4" t="str" cm="1">
        <f t="array" ref="J987">IFERROR(INDEX(EmployeeData[Status], ROW() - 37), "")</f>
        <v>Exited</v>
      </c>
    </row>
    <row r="988" spans="2:10" ht="19.95" customHeight="1" x14ac:dyDescent="0.3">
      <c r="B988" s="4" cm="1">
        <f t="array" ref="B988">IFERROR(INDEX(EmployeeData[Employee ID], ROW() - 37), "")</f>
        <v>1951</v>
      </c>
      <c r="C988" s="4" t="str" cm="1">
        <f t="array" ref="C988">IFERROR(INDEX(EmployeeData[Full Name], ROW() - 37), "")</f>
        <v>Yvonne Pascual Elegado</v>
      </c>
      <c r="D988" s="4" t="str" cm="1">
        <f t="array" ref="D988">IFERROR(INDEX(EmployeeData[Department], ROW() - 37), "")</f>
        <v>HR</v>
      </c>
      <c r="E988" s="4" t="str" cm="1">
        <f t="array" ref="E988">IFERROR(INDEX(EmployeeData[Gender], ROW() - 37), "")</f>
        <v>Female</v>
      </c>
      <c r="F988" s="4" cm="1">
        <f t="array" ref="F988">IFERROR(INDEX(EmployeeData[Age], ROW() - 37), "")</f>
        <v>31</v>
      </c>
      <c r="G988" s="6" cm="1">
        <f t="array" ref="G988">IFERROR(INDEX(EmployeeData[Join Date], ROW() - 37), "")</f>
        <v>45115</v>
      </c>
      <c r="H988" s="6" cm="1">
        <f t="array" ref="H988">IFERROR(IF(INDEX(EmployeeData[Exit Date], ROW() - 37)=0, "",INDEX(EmployeeData[Exit Date], ROW() - 37)),"")</f>
        <v>45276</v>
      </c>
      <c r="I988" s="4" t="str" cm="1">
        <f t="array" ref="I988">IFERROR(IF(INDEX(EmployeeData[Exit Reason], ROW() - 37)=0, "",INDEX(EmployeeData[Exit Reason], ROW() - 37)),"")</f>
        <v>Personal Reasons</v>
      </c>
      <c r="J988" s="4" t="str" cm="1">
        <f t="array" ref="J988">IFERROR(INDEX(EmployeeData[Status], ROW() - 37), "")</f>
        <v>Exited</v>
      </c>
    </row>
    <row r="989" spans="2:10" ht="19.95" customHeight="1" x14ac:dyDescent="0.3">
      <c r="B989" s="4" cm="1">
        <f t="array" ref="B989">IFERROR(INDEX(EmployeeData[Employee ID], ROW() - 37), "")</f>
        <v>1952</v>
      </c>
      <c r="C989" s="4" t="str" cm="1">
        <f t="array" ref="C989">IFERROR(INDEX(EmployeeData[Full Name], ROW() - 37), "")</f>
        <v>Maribel Torres Viray</v>
      </c>
      <c r="D989" s="4" t="str" cm="1">
        <f t="array" ref="D989">IFERROR(INDEX(EmployeeData[Department], ROW() - 37), "")</f>
        <v>HR</v>
      </c>
      <c r="E989" s="4" t="str" cm="1">
        <f t="array" ref="E989">IFERROR(INDEX(EmployeeData[Gender], ROW() - 37), "")</f>
        <v>Female</v>
      </c>
      <c r="F989" s="4" cm="1">
        <f t="array" ref="F989">IFERROR(INDEX(EmployeeData[Age], ROW() - 37), "")</f>
        <v>44</v>
      </c>
      <c r="G989" s="6" cm="1">
        <f t="array" ref="G989">IFERROR(INDEX(EmployeeData[Join Date], ROW() - 37), "")</f>
        <v>43864</v>
      </c>
      <c r="H989" s="6" t="str" cm="1">
        <f t="array" ref="H989">IFERROR(IF(INDEX(EmployeeData[Exit Date], ROW() - 37)=0, "",INDEX(EmployeeData[Exit Date], ROW() - 37)),"")</f>
        <v/>
      </c>
      <c r="I989" s="4" t="str" cm="1">
        <f t="array" ref="I989">IFERROR(IF(INDEX(EmployeeData[Exit Reason], ROW() - 37)=0, "",INDEX(EmployeeData[Exit Reason], ROW() - 37)),"")</f>
        <v/>
      </c>
      <c r="J989" s="4" t="str" cm="1">
        <f t="array" ref="J989">IFERROR(INDEX(EmployeeData[Status], ROW() - 37), "")</f>
        <v>Active</v>
      </c>
    </row>
    <row r="990" spans="2:10" ht="19.95" customHeight="1" x14ac:dyDescent="0.3">
      <c r="B990" s="4" cm="1">
        <f t="array" ref="B990">IFERROR(INDEX(EmployeeData[Employee ID], ROW() - 37), "")</f>
        <v>1953</v>
      </c>
      <c r="C990" s="4" t="str" cm="1">
        <f t="array" ref="C990">IFERROR(INDEX(EmployeeData[Full Name], ROW() - 37), "")</f>
        <v>Miguel Chan</v>
      </c>
      <c r="D990" s="4" t="str" cm="1">
        <f t="array" ref="D990">IFERROR(INDEX(EmployeeData[Department], ROW() - 37), "")</f>
        <v>IT</v>
      </c>
      <c r="E990" s="4" t="str" cm="1">
        <f t="array" ref="E990">IFERROR(INDEX(EmployeeData[Gender], ROW() - 37), "")</f>
        <v>Other</v>
      </c>
      <c r="F990" s="4" cm="1">
        <f t="array" ref="F990">IFERROR(INDEX(EmployeeData[Age], ROW() - 37), "")</f>
        <v>32</v>
      </c>
      <c r="G990" s="6" cm="1">
        <f t="array" ref="G990">IFERROR(INDEX(EmployeeData[Join Date], ROW() - 37), "")</f>
        <v>43924</v>
      </c>
      <c r="H990" s="6" cm="1">
        <f t="array" ref="H990">IFERROR(IF(INDEX(EmployeeData[Exit Date], ROW() - 37)=0, "",INDEX(EmployeeData[Exit Date], ROW() - 37)),"")</f>
        <v>44762</v>
      </c>
      <c r="I990" s="4" t="str" cm="1">
        <f t="array" ref="I990">IFERROR(IF(INDEX(EmployeeData[Exit Reason], ROW() - 37)=0, "",INDEX(EmployeeData[Exit Reason], ROW() - 37)),"")</f>
        <v>Resignation</v>
      </c>
      <c r="J990" s="4" t="str" cm="1">
        <f t="array" ref="J990">IFERROR(INDEX(EmployeeData[Status], ROW() - 37), "")</f>
        <v>Exited</v>
      </c>
    </row>
    <row r="991" spans="2:10" ht="19.95" customHeight="1" x14ac:dyDescent="0.3">
      <c r="B991" s="4" cm="1">
        <f t="array" ref="B991">IFERROR(INDEX(EmployeeData[Employee ID], ROW() - 37), "")</f>
        <v>1954</v>
      </c>
      <c r="C991" s="4" t="str" cm="1">
        <f t="array" ref="C991">IFERROR(INDEX(EmployeeData[Full Name], ROW() - 37), "")</f>
        <v>Joselito Reyes Ang</v>
      </c>
      <c r="D991" s="4" t="str" cm="1">
        <f t="array" ref="D991">IFERROR(INDEX(EmployeeData[Department], ROW() - 37), "")</f>
        <v>Sales</v>
      </c>
      <c r="E991" s="4" t="str" cm="1">
        <f t="array" ref="E991">IFERROR(INDEX(EmployeeData[Gender], ROW() - 37), "")</f>
        <v>Male</v>
      </c>
      <c r="F991" s="4" cm="1">
        <f t="array" ref="F991">IFERROR(INDEX(EmployeeData[Age], ROW() - 37), "")</f>
        <v>27</v>
      </c>
      <c r="G991" s="6" cm="1">
        <f t="array" ref="G991">IFERROR(INDEX(EmployeeData[Join Date], ROW() - 37), "")</f>
        <v>45707</v>
      </c>
      <c r="H991" s="6" cm="1">
        <f t="array" ref="H991">IFERROR(IF(INDEX(EmployeeData[Exit Date], ROW() - 37)=0, "",INDEX(EmployeeData[Exit Date], ROW() - 37)),"")</f>
        <v>45947</v>
      </c>
      <c r="I991" s="4" t="str" cm="1">
        <f t="array" ref="I991">IFERROR(IF(INDEX(EmployeeData[Exit Reason], ROW() - 37)=0, "",INDEX(EmployeeData[Exit Reason], ROW() - 37)),"")</f>
        <v>Better Opportunity</v>
      </c>
      <c r="J991" s="4" t="str" cm="1">
        <f t="array" ref="J991">IFERROR(INDEX(EmployeeData[Status], ROW() - 37), "")</f>
        <v>Exited</v>
      </c>
    </row>
    <row r="992" spans="2:10" ht="19.95" customHeight="1" x14ac:dyDescent="0.3">
      <c r="B992" s="4" cm="1">
        <f t="array" ref="B992">IFERROR(INDEX(EmployeeData[Employee ID], ROW() - 37), "")</f>
        <v>1955</v>
      </c>
      <c r="C992" s="4" t="str" cm="1">
        <f t="array" ref="C992">IFERROR(INDEX(EmployeeData[Full Name], ROW() - 37), "")</f>
        <v>Eduardo Santos Fernandez</v>
      </c>
      <c r="D992" s="4" t="str" cm="1">
        <f t="array" ref="D992">IFERROR(INDEX(EmployeeData[Department], ROW() - 37), "")</f>
        <v>Marketing</v>
      </c>
      <c r="E992" s="4" t="str" cm="1">
        <f t="array" ref="E992">IFERROR(INDEX(EmployeeData[Gender], ROW() - 37), "")</f>
        <v>Male</v>
      </c>
      <c r="F992" s="4" cm="1">
        <f t="array" ref="F992">IFERROR(INDEX(EmployeeData[Age], ROW() - 37), "")</f>
        <v>27</v>
      </c>
      <c r="G992" s="6" cm="1">
        <f t="array" ref="G992">IFERROR(INDEX(EmployeeData[Join Date], ROW() - 37), "")</f>
        <v>43139</v>
      </c>
      <c r="H992" s="6" cm="1">
        <f t="array" ref="H992">IFERROR(IF(INDEX(EmployeeData[Exit Date], ROW() - 37)=0, "",INDEX(EmployeeData[Exit Date], ROW() - 37)),"")</f>
        <v>43258</v>
      </c>
      <c r="I992" s="4" t="str" cm="1">
        <f t="array" ref="I992">IFERROR(IF(INDEX(EmployeeData[Exit Reason], ROW() - 37)=0, "",INDEX(EmployeeData[Exit Reason], ROW() - 37)),"")</f>
        <v>Relocation</v>
      </c>
      <c r="J992" s="4" t="str" cm="1">
        <f t="array" ref="J992">IFERROR(INDEX(EmployeeData[Status], ROW() - 37), "")</f>
        <v>Exited</v>
      </c>
    </row>
    <row r="993" spans="2:10" ht="19.95" customHeight="1" x14ac:dyDescent="0.3">
      <c r="B993" s="4" cm="1">
        <f t="array" ref="B993">IFERROR(INDEX(EmployeeData[Employee ID], ROW() - 37), "")</f>
        <v>1956</v>
      </c>
      <c r="C993" s="4" t="str" cm="1">
        <f t="array" ref="C993">IFERROR(INDEX(EmployeeData[Full Name], ROW() - 37), "")</f>
        <v>Gerald Santiago Quiambao</v>
      </c>
      <c r="D993" s="4" t="str" cm="1">
        <f t="array" ref="D993">IFERROR(INDEX(EmployeeData[Department], ROW() - 37), "")</f>
        <v>IT</v>
      </c>
      <c r="E993" s="4" t="str" cm="1">
        <f t="array" ref="E993">IFERROR(INDEX(EmployeeData[Gender], ROW() - 37), "")</f>
        <v>Male</v>
      </c>
      <c r="F993" s="4" cm="1">
        <f t="array" ref="F993">IFERROR(INDEX(EmployeeData[Age], ROW() - 37), "")</f>
        <v>38</v>
      </c>
      <c r="G993" s="6" cm="1">
        <f t="array" ref="G993">IFERROR(INDEX(EmployeeData[Join Date], ROW() - 37), "")</f>
        <v>45091</v>
      </c>
      <c r="H993" s="6" t="str" cm="1">
        <f t="array" ref="H993">IFERROR(IF(INDEX(EmployeeData[Exit Date], ROW() - 37)=0, "",INDEX(EmployeeData[Exit Date], ROW() - 37)),"")</f>
        <v/>
      </c>
      <c r="I993" s="4" t="str" cm="1">
        <f t="array" ref="I993">IFERROR(IF(INDEX(EmployeeData[Exit Reason], ROW() - 37)=0, "",INDEX(EmployeeData[Exit Reason], ROW() - 37)),"")</f>
        <v/>
      </c>
      <c r="J993" s="4" t="str" cm="1">
        <f t="array" ref="J993">IFERROR(INDEX(EmployeeData[Status], ROW() - 37), "")</f>
        <v>Active</v>
      </c>
    </row>
    <row r="994" spans="2:10" ht="19.95" customHeight="1" x14ac:dyDescent="0.3">
      <c r="B994" s="4" cm="1">
        <f t="array" ref="B994">IFERROR(INDEX(EmployeeData[Employee ID], ROW() - 37), "")</f>
        <v>1957</v>
      </c>
      <c r="C994" s="4" t="str" cm="1">
        <f t="array" ref="C994">IFERROR(INDEX(EmployeeData[Full Name], ROW() - 37), "")</f>
        <v>Oliver Panganiban</v>
      </c>
      <c r="D994" s="4" t="str" cm="1">
        <f t="array" ref="D994">IFERROR(INDEX(EmployeeData[Department], ROW() - 37), "")</f>
        <v>HR</v>
      </c>
      <c r="E994" s="4" t="str" cm="1">
        <f t="array" ref="E994">IFERROR(INDEX(EmployeeData[Gender], ROW() - 37), "")</f>
        <v>Male</v>
      </c>
      <c r="F994" s="4" cm="1">
        <f t="array" ref="F994">IFERROR(INDEX(EmployeeData[Age], ROW() - 37), "")</f>
        <v>41</v>
      </c>
      <c r="G994" s="6" cm="1">
        <f t="array" ref="G994">IFERROR(INDEX(EmployeeData[Join Date], ROW() - 37), "")</f>
        <v>44082</v>
      </c>
      <c r="H994" s="6" t="str" cm="1">
        <f t="array" ref="H994">IFERROR(IF(INDEX(EmployeeData[Exit Date], ROW() - 37)=0, "",INDEX(EmployeeData[Exit Date], ROW() - 37)),"")</f>
        <v/>
      </c>
      <c r="I994" s="4" t="str" cm="1">
        <f t="array" ref="I994">IFERROR(IF(INDEX(EmployeeData[Exit Reason], ROW() - 37)=0, "",INDEX(EmployeeData[Exit Reason], ROW() - 37)),"")</f>
        <v/>
      </c>
      <c r="J994" s="4" t="str" cm="1">
        <f t="array" ref="J994">IFERROR(INDEX(EmployeeData[Status], ROW() - 37), "")</f>
        <v>Active</v>
      </c>
    </row>
    <row r="995" spans="2:10" ht="19.95" customHeight="1" x14ac:dyDescent="0.3">
      <c r="B995" s="4" cm="1">
        <f t="array" ref="B995">IFERROR(INDEX(EmployeeData[Employee ID], ROW() - 37), "")</f>
        <v>1958</v>
      </c>
      <c r="C995" s="4" t="str" cm="1">
        <f t="array" ref="C995">IFERROR(INDEX(EmployeeData[Full Name], ROW() - 37), "")</f>
        <v>Maria Obispo</v>
      </c>
      <c r="D995" s="4" t="str" cm="1">
        <f t="array" ref="D995">IFERROR(INDEX(EmployeeData[Department], ROW() - 37), "")</f>
        <v>Finance</v>
      </c>
      <c r="E995" s="4" t="str" cm="1">
        <f t="array" ref="E995">IFERROR(INDEX(EmployeeData[Gender], ROW() - 37), "")</f>
        <v>Other</v>
      </c>
      <c r="F995" s="4" cm="1">
        <f t="array" ref="F995">IFERROR(INDEX(EmployeeData[Age], ROW() - 37), "")</f>
        <v>27</v>
      </c>
      <c r="G995" s="6" cm="1">
        <f t="array" ref="G995">IFERROR(INDEX(EmployeeData[Join Date], ROW() - 37), "")</f>
        <v>43113</v>
      </c>
      <c r="H995" s="6" t="str" cm="1">
        <f t="array" ref="H995">IFERROR(IF(INDEX(EmployeeData[Exit Date], ROW() - 37)=0, "",INDEX(EmployeeData[Exit Date], ROW() - 37)),"")</f>
        <v/>
      </c>
      <c r="I995" s="4" t="str" cm="1">
        <f t="array" ref="I995">IFERROR(IF(INDEX(EmployeeData[Exit Reason], ROW() - 37)=0, "",INDEX(EmployeeData[Exit Reason], ROW() - 37)),"")</f>
        <v/>
      </c>
      <c r="J995" s="4" t="str" cm="1">
        <f t="array" ref="J995">IFERROR(INDEX(EmployeeData[Status], ROW() - 37), "")</f>
        <v>Active</v>
      </c>
    </row>
    <row r="996" spans="2:10" ht="19.95" customHeight="1" x14ac:dyDescent="0.3">
      <c r="B996" s="4" cm="1">
        <f t="array" ref="B996">IFERROR(INDEX(EmployeeData[Employee ID], ROW() - 37), "")</f>
        <v>1959</v>
      </c>
      <c r="C996" s="4" t="str" cm="1">
        <f t="array" ref="C996">IFERROR(INDEX(EmployeeData[Full Name], ROW() - 37), "")</f>
        <v>Teresita Chan Ignacio</v>
      </c>
      <c r="D996" s="4" t="str" cm="1">
        <f t="array" ref="D996">IFERROR(INDEX(EmployeeData[Department], ROW() - 37), "")</f>
        <v>Finance</v>
      </c>
      <c r="E996" s="4" t="str" cm="1">
        <f t="array" ref="E996">IFERROR(INDEX(EmployeeData[Gender], ROW() - 37), "")</f>
        <v>Female</v>
      </c>
      <c r="F996" s="4" cm="1">
        <f t="array" ref="F996">IFERROR(INDEX(EmployeeData[Age], ROW() - 37), "")</f>
        <v>28</v>
      </c>
      <c r="G996" s="6" cm="1">
        <f t="array" ref="G996">IFERROR(INDEX(EmployeeData[Join Date], ROW() - 37), "")</f>
        <v>45274</v>
      </c>
      <c r="H996" s="6" cm="1">
        <f t="array" ref="H996">IFERROR(IF(INDEX(EmployeeData[Exit Date], ROW() - 37)=0, "",INDEX(EmployeeData[Exit Date], ROW() - 37)),"")</f>
        <v>46080</v>
      </c>
      <c r="I996" s="4" t="str" cm="1">
        <f t="array" ref="I996">IFERROR(IF(INDEX(EmployeeData[Exit Reason], ROW() - 37)=0, "",INDEX(EmployeeData[Exit Reason], ROW() - 37)),"")</f>
        <v>Personal Reasons</v>
      </c>
      <c r="J996" s="4" t="str" cm="1">
        <f t="array" ref="J996">IFERROR(INDEX(EmployeeData[Status], ROW() - 37), "")</f>
        <v>Exited</v>
      </c>
    </row>
    <row r="997" spans="2:10" ht="19.95" customHeight="1" x14ac:dyDescent="0.3">
      <c r="B997" s="4" cm="1">
        <f t="array" ref="B997">IFERROR(INDEX(EmployeeData[Employee ID], ROW() - 37), "")</f>
        <v>1960</v>
      </c>
      <c r="C997" s="4" t="str" cm="1">
        <f t="array" ref="C997">IFERROR(INDEX(EmployeeData[Full Name], ROW() - 37), "")</f>
        <v>Elmer Cruz</v>
      </c>
      <c r="D997" s="4" t="str" cm="1">
        <f t="array" ref="D997">IFERROR(INDEX(EmployeeData[Department], ROW() - 37), "")</f>
        <v>Marketing</v>
      </c>
      <c r="E997" s="4" t="str" cm="1">
        <f t="array" ref="E997">IFERROR(INDEX(EmployeeData[Gender], ROW() - 37), "")</f>
        <v>Male</v>
      </c>
      <c r="F997" s="4" cm="1">
        <f t="array" ref="F997">IFERROR(INDEX(EmployeeData[Age], ROW() - 37), "")</f>
        <v>21</v>
      </c>
      <c r="G997" s="6" cm="1">
        <f t="array" ref="G997">IFERROR(INDEX(EmployeeData[Join Date], ROW() - 37), "")</f>
        <v>45714</v>
      </c>
      <c r="H997" s="6" t="str" cm="1">
        <f t="array" ref="H997">IFERROR(IF(INDEX(EmployeeData[Exit Date], ROW() - 37)=0, "",INDEX(EmployeeData[Exit Date], ROW() - 37)),"")</f>
        <v/>
      </c>
      <c r="I997" s="4" t="str" cm="1">
        <f t="array" ref="I997">IFERROR(IF(INDEX(EmployeeData[Exit Reason], ROW() - 37)=0, "",INDEX(EmployeeData[Exit Reason], ROW() - 37)),"")</f>
        <v/>
      </c>
      <c r="J997" s="4" t="str" cm="1">
        <f t="array" ref="J997">IFERROR(INDEX(EmployeeData[Status], ROW() - 37), "")</f>
        <v>Active</v>
      </c>
    </row>
    <row r="998" spans="2:10" ht="19.95" customHeight="1" x14ac:dyDescent="0.3">
      <c r="B998" s="4" cm="1">
        <f t="array" ref="B998">IFERROR(INDEX(EmployeeData[Employee ID], ROW() - 37), "")</f>
        <v>1961</v>
      </c>
      <c r="C998" s="4" t="str" cm="1">
        <f t="array" ref="C998">IFERROR(INDEX(EmployeeData[Full Name], ROW() - 37), "")</f>
        <v>Cristina Garcia Viray</v>
      </c>
      <c r="D998" s="4" t="str" cm="1">
        <f t="array" ref="D998">IFERROR(INDEX(EmployeeData[Department], ROW() - 37), "")</f>
        <v>Sales</v>
      </c>
      <c r="E998" s="4" t="str" cm="1">
        <f t="array" ref="E998">IFERROR(INDEX(EmployeeData[Gender], ROW() - 37), "")</f>
        <v>Other</v>
      </c>
      <c r="F998" s="4" cm="1">
        <f t="array" ref="F998">IFERROR(INDEX(EmployeeData[Age], ROW() - 37), "")</f>
        <v>41</v>
      </c>
      <c r="G998" s="6" cm="1">
        <f t="array" ref="G998">IFERROR(INDEX(EmployeeData[Join Date], ROW() - 37), "")</f>
        <v>45877</v>
      </c>
      <c r="H998" s="6" t="str" cm="1">
        <f t="array" ref="H998">IFERROR(IF(INDEX(EmployeeData[Exit Date], ROW() - 37)=0, "",INDEX(EmployeeData[Exit Date], ROW() - 37)),"")</f>
        <v/>
      </c>
      <c r="I998" s="4" t="str" cm="1">
        <f t="array" ref="I998">IFERROR(IF(INDEX(EmployeeData[Exit Reason], ROW() - 37)=0, "",INDEX(EmployeeData[Exit Reason], ROW() - 37)),"")</f>
        <v/>
      </c>
      <c r="J998" s="4" t="str" cm="1">
        <f t="array" ref="J998">IFERROR(INDEX(EmployeeData[Status], ROW() - 37), "")</f>
        <v>Active</v>
      </c>
    </row>
    <row r="999" spans="2:10" ht="19.95" customHeight="1" x14ac:dyDescent="0.3">
      <c r="B999" s="4" cm="1">
        <f t="array" ref="B999">IFERROR(INDEX(EmployeeData[Employee ID], ROW() - 37), "")</f>
        <v>1962</v>
      </c>
      <c r="C999" s="4" t="str" cm="1">
        <f t="array" ref="C999">IFERROR(INDEX(EmployeeData[Full Name], ROW() - 37), "")</f>
        <v>Taylor Castro Dela Torre</v>
      </c>
      <c r="D999" s="4" t="str" cm="1">
        <f t="array" ref="D999">IFERROR(INDEX(EmployeeData[Department], ROW() - 37), "")</f>
        <v>IT</v>
      </c>
      <c r="E999" s="4" t="str" cm="1">
        <f t="array" ref="E999">IFERROR(INDEX(EmployeeData[Gender], ROW() - 37), "")</f>
        <v>Other</v>
      </c>
      <c r="F999" s="4" cm="1">
        <f t="array" ref="F999">IFERROR(INDEX(EmployeeData[Age], ROW() - 37), "")</f>
        <v>51</v>
      </c>
      <c r="G999" s="6" cm="1">
        <f t="array" ref="G999">IFERROR(INDEX(EmployeeData[Join Date], ROW() - 37), "")</f>
        <v>45797</v>
      </c>
      <c r="H999" s="6" t="str" cm="1">
        <f t="array" ref="H999">IFERROR(IF(INDEX(EmployeeData[Exit Date], ROW() - 37)=0, "",INDEX(EmployeeData[Exit Date], ROW() - 37)),"")</f>
        <v/>
      </c>
      <c r="I999" s="4" t="str" cm="1">
        <f t="array" ref="I999">IFERROR(IF(INDEX(EmployeeData[Exit Reason], ROW() - 37)=0, "",INDEX(EmployeeData[Exit Reason], ROW() - 37)),"")</f>
        <v/>
      </c>
      <c r="J999" s="4" t="str" cm="1">
        <f t="array" ref="J999">IFERROR(INDEX(EmployeeData[Status], ROW() - 37), "")</f>
        <v>Active</v>
      </c>
    </row>
    <row r="1000" spans="2:10" ht="19.95" customHeight="1" x14ac:dyDescent="0.3">
      <c r="B1000" s="4" cm="1">
        <f t="array" ref="B1000">IFERROR(INDEX(EmployeeData[Employee ID], ROW() - 37), "")</f>
        <v>1963</v>
      </c>
      <c r="C1000" s="4" t="str" cm="1">
        <f t="array" ref="C1000">IFERROR(INDEX(EmployeeData[Full Name], ROW() - 37), "")</f>
        <v>Manuel Figueroa</v>
      </c>
      <c r="D1000" s="4" t="str" cm="1">
        <f t="array" ref="D1000">IFERROR(INDEX(EmployeeData[Department], ROW() - 37), "")</f>
        <v>HR</v>
      </c>
      <c r="E1000" s="4" t="str" cm="1">
        <f t="array" ref="E1000">IFERROR(INDEX(EmployeeData[Gender], ROW() - 37), "")</f>
        <v>Other</v>
      </c>
      <c r="F1000" s="4" cm="1">
        <f t="array" ref="F1000">IFERROR(INDEX(EmployeeData[Age], ROW() - 37), "")</f>
        <v>57</v>
      </c>
      <c r="G1000" s="6" cm="1">
        <f t="array" ref="G1000">IFERROR(INDEX(EmployeeData[Join Date], ROW() - 37), "")</f>
        <v>45167</v>
      </c>
      <c r="H1000" s="6" cm="1">
        <f t="array" ref="H1000">IFERROR(IF(INDEX(EmployeeData[Exit Date], ROW() - 37)=0, "",INDEX(EmployeeData[Exit Date], ROW() - 37)),"")</f>
        <v>45766</v>
      </c>
      <c r="I1000" s="4" t="str" cm="1">
        <f t="array" ref="I1000">IFERROR(IF(INDEX(EmployeeData[Exit Reason], ROW() - 37)=0, "",INDEX(EmployeeData[Exit Reason], ROW() - 37)),"")</f>
        <v>Resignation</v>
      </c>
      <c r="J1000" s="4" t="str" cm="1">
        <f t="array" ref="J1000">IFERROR(INDEX(EmployeeData[Status], ROW() - 37), "")</f>
        <v>Exited</v>
      </c>
    </row>
    <row r="1001" spans="2:10" ht="19.95" customHeight="1" x14ac:dyDescent="0.3">
      <c r="B1001" s="4" cm="1">
        <f t="array" ref="B1001">IFERROR(INDEX(EmployeeData[Employee ID], ROW() - 37), "")</f>
        <v>1964</v>
      </c>
      <c r="C1001" s="4" t="str" cm="1">
        <f t="array" ref="C1001">IFERROR(INDEX(EmployeeData[Full Name], ROW() - 37), "")</f>
        <v>Oscar Lopez Sy</v>
      </c>
      <c r="D1001" s="4" t="str" cm="1">
        <f t="array" ref="D1001">IFERROR(INDEX(EmployeeData[Department], ROW() - 37), "")</f>
        <v>Finance</v>
      </c>
      <c r="E1001" s="4" t="str" cm="1">
        <f t="array" ref="E1001">IFERROR(INDEX(EmployeeData[Gender], ROW() - 37), "")</f>
        <v>Male</v>
      </c>
      <c r="F1001" s="4" cm="1">
        <f t="array" ref="F1001">IFERROR(INDEX(EmployeeData[Age], ROW() - 37), "")</f>
        <v>49</v>
      </c>
      <c r="G1001" s="6" cm="1">
        <f t="array" ref="G1001">IFERROR(INDEX(EmployeeData[Join Date], ROW() - 37), "")</f>
        <v>43574</v>
      </c>
      <c r="H1001" s="6" t="str" cm="1">
        <f t="array" ref="H1001">IFERROR(IF(INDEX(EmployeeData[Exit Date], ROW() - 37)=0, "",INDEX(EmployeeData[Exit Date], ROW() - 37)),"")</f>
        <v/>
      </c>
      <c r="I1001" s="4" t="str" cm="1">
        <f t="array" ref="I1001">IFERROR(IF(INDEX(EmployeeData[Exit Reason], ROW() - 37)=0, "",INDEX(EmployeeData[Exit Reason], ROW() - 37)),"")</f>
        <v/>
      </c>
      <c r="J1001" s="4" t="str" cm="1">
        <f t="array" ref="J1001">IFERROR(INDEX(EmployeeData[Status], ROW() - 37), "")</f>
        <v>Active</v>
      </c>
    </row>
    <row r="1002" spans="2:10" ht="19.95" customHeight="1" x14ac:dyDescent="0.3">
      <c r="B1002" s="4" cm="1">
        <f t="array" ref="B1002">IFERROR(INDEX(EmployeeData[Employee ID], ROW() - 37), "")</f>
        <v>1965</v>
      </c>
      <c r="C1002" s="4" t="str" cm="1">
        <f t="array" ref="C1002">IFERROR(INDEX(EmployeeData[Full Name], ROW() - 37), "")</f>
        <v>Ramon Aguilar</v>
      </c>
      <c r="D1002" s="4" t="str" cm="1">
        <f t="array" ref="D1002">IFERROR(INDEX(EmployeeData[Department], ROW() - 37), "")</f>
        <v>HR</v>
      </c>
      <c r="E1002" s="4" t="str" cm="1">
        <f t="array" ref="E1002">IFERROR(INDEX(EmployeeData[Gender], ROW() - 37), "")</f>
        <v>Male</v>
      </c>
      <c r="F1002" s="4" cm="1">
        <f t="array" ref="F1002">IFERROR(INDEX(EmployeeData[Age], ROW() - 37), "")</f>
        <v>26</v>
      </c>
      <c r="G1002" s="6" cm="1">
        <f t="array" ref="G1002">IFERROR(INDEX(EmployeeData[Join Date], ROW() - 37), "")</f>
        <v>43533</v>
      </c>
      <c r="H1002" s="6" t="str" cm="1">
        <f t="array" ref="H1002">IFERROR(IF(INDEX(EmployeeData[Exit Date], ROW() - 37)=0, "",INDEX(EmployeeData[Exit Date], ROW() - 37)),"")</f>
        <v/>
      </c>
      <c r="I1002" s="4" t="str" cm="1">
        <f t="array" ref="I1002">IFERROR(IF(INDEX(EmployeeData[Exit Reason], ROW() - 37)=0, "",INDEX(EmployeeData[Exit Reason], ROW() - 37)),"")</f>
        <v/>
      </c>
      <c r="J1002" s="4" t="str" cm="1">
        <f t="array" ref="J1002">IFERROR(INDEX(EmployeeData[Status], ROW() - 37), "")</f>
        <v>Active</v>
      </c>
    </row>
    <row r="1003" spans="2:10" ht="19.95" customHeight="1" x14ac:dyDescent="0.3">
      <c r="B1003" s="4" cm="1">
        <f t="array" ref="B1003">IFERROR(INDEX(EmployeeData[Employee ID], ROW() - 37), "")</f>
        <v>1966</v>
      </c>
      <c r="C1003" s="4" t="str" cm="1">
        <f t="array" ref="C1003">IFERROR(INDEX(EmployeeData[Full Name], ROW() - 37), "")</f>
        <v>Eddie Ramos Enriquez</v>
      </c>
      <c r="D1003" s="4" t="str" cm="1">
        <f t="array" ref="D1003">IFERROR(INDEX(EmployeeData[Department], ROW() - 37), "")</f>
        <v>IT</v>
      </c>
      <c r="E1003" s="4" t="str" cm="1">
        <f t="array" ref="E1003">IFERROR(INDEX(EmployeeData[Gender], ROW() - 37), "")</f>
        <v>Male</v>
      </c>
      <c r="F1003" s="4" cm="1">
        <f t="array" ref="F1003">IFERROR(INDEX(EmployeeData[Age], ROW() - 37), "")</f>
        <v>38</v>
      </c>
      <c r="G1003" s="6" cm="1">
        <f t="array" ref="G1003">IFERROR(INDEX(EmployeeData[Join Date], ROW() - 37), "")</f>
        <v>44003</v>
      </c>
      <c r="H1003" s="6" t="str" cm="1">
        <f t="array" ref="H1003">IFERROR(IF(INDEX(EmployeeData[Exit Date], ROW() - 37)=0, "",INDEX(EmployeeData[Exit Date], ROW() - 37)),"")</f>
        <v/>
      </c>
      <c r="I1003" s="4" t="str" cm="1">
        <f t="array" ref="I1003">IFERROR(IF(INDEX(EmployeeData[Exit Reason], ROW() - 37)=0, "",INDEX(EmployeeData[Exit Reason], ROW() - 37)),"")</f>
        <v/>
      </c>
      <c r="J1003" s="4" t="str" cm="1">
        <f t="array" ref="J1003">IFERROR(INDEX(EmployeeData[Status], ROW() - 37), "")</f>
        <v>Active</v>
      </c>
    </row>
    <row r="1004" spans="2:10" ht="19.95" customHeight="1" x14ac:dyDescent="0.3">
      <c r="B1004" s="4" cm="1">
        <f t="array" ref="B1004">IFERROR(INDEX(EmployeeData[Employee ID], ROW() - 37), "")</f>
        <v>1967</v>
      </c>
      <c r="C1004" s="4" t="str" cm="1">
        <f t="array" ref="C1004">IFERROR(INDEX(EmployeeData[Full Name], ROW() - 37), "")</f>
        <v>Francis Tan</v>
      </c>
      <c r="D1004" s="4" t="str" cm="1">
        <f t="array" ref="D1004">IFERROR(INDEX(EmployeeData[Department], ROW() - 37), "")</f>
        <v>Finance</v>
      </c>
      <c r="E1004" s="4" t="str" cm="1">
        <f t="array" ref="E1004">IFERROR(INDEX(EmployeeData[Gender], ROW() - 37), "")</f>
        <v>Male</v>
      </c>
      <c r="F1004" s="4" cm="1">
        <f t="array" ref="F1004">IFERROR(INDEX(EmployeeData[Age], ROW() - 37), "")</f>
        <v>52</v>
      </c>
      <c r="G1004" s="6" cm="1">
        <f t="array" ref="G1004">IFERROR(INDEX(EmployeeData[Join Date], ROW() - 37), "")</f>
        <v>43471</v>
      </c>
      <c r="H1004" s="6" t="str" cm="1">
        <f t="array" ref="H1004">IFERROR(IF(INDEX(EmployeeData[Exit Date], ROW() - 37)=0, "",INDEX(EmployeeData[Exit Date], ROW() - 37)),"")</f>
        <v/>
      </c>
      <c r="I1004" s="4" t="str" cm="1">
        <f t="array" ref="I1004">IFERROR(IF(INDEX(EmployeeData[Exit Reason], ROW() - 37)=0, "",INDEX(EmployeeData[Exit Reason], ROW() - 37)),"")</f>
        <v/>
      </c>
      <c r="J1004" s="4" t="str" cm="1">
        <f t="array" ref="J1004">IFERROR(INDEX(EmployeeData[Status], ROW() - 37), "")</f>
        <v>Active</v>
      </c>
    </row>
    <row r="1005" spans="2:10" ht="19.95" customHeight="1" x14ac:dyDescent="0.3">
      <c r="B1005" s="4" cm="1">
        <f t="array" ref="B1005">IFERROR(INDEX(EmployeeData[Employee ID], ROW() - 37), "")</f>
        <v>1968</v>
      </c>
      <c r="C1005" s="4" t="str" cm="1">
        <f t="array" ref="C1005">IFERROR(INDEX(EmployeeData[Full Name], ROW() - 37), "")</f>
        <v>Leonard Corpuz</v>
      </c>
      <c r="D1005" s="4" t="str" cm="1">
        <f t="array" ref="D1005">IFERROR(INDEX(EmployeeData[Department], ROW() - 37), "")</f>
        <v>HR</v>
      </c>
      <c r="E1005" s="4" t="str" cm="1">
        <f t="array" ref="E1005">IFERROR(INDEX(EmployeeData[Gender], ROW() - 37), "")</f>
        <v>Male</v>
      </c>
      <c r="F1005" s="4" cm="1">
        <f t="array" ref="F1005">IFERROR(INDEX(EmployeeData[Age], ROW() - 37), "")</f>
        <v>42</v>
      </c>
      <c r="G1005" s="6" cm="1">
        <f t="array" ref="G1005">IFERROR(INDEX(EmployeeData[Join Date], ROW() - 37), "")</f>
        <v>44645</v>
      </c>
      <c r="H1005" s="6" t="str" cm="1">
        <f t="array" ref="H1005">IFERROR(IF(INDEX(EmployeeData[Exit Date], ROW() - 37)=0, "",INDEX(EmployeeData[Exit Date], ROW() - 37)),"")</f>
        <v/>
      </c>
      <c r="I1005" s="4" t="str" cm="1">
        <f t="array" ref="I1005">IFERROR(IF(INDEX(EmployeeData[Exit Reason], ROW() - 37)=0, "",INDEX(EmployeeData[Exit Reason], ROW() - 37)),"")</f>
        <v/>
      </c>
      <c r="J1005" s="4" t="str" cm="1">
        <f t="array" ref="J1005">IFERROR(INDEX(EmployeeData[Status], ROW() - 37), "")</f>
        <v>Active</v>
      </c>
    </row>
    <row r="1006" spans="2:10" ht="19.95" customHeight="1" x14ac:dyDescent="0.3">
      <c r="B1006" s="4" cm="1">
        <f t="array" ref="B1006">IFERROR(INDEX(EmployeeData[Employee ID], ROW() - 37), "")</f>
        <v>1969</v>
      </c>
      <c r="C1006" s="4" t="str" cm="1">
        <f t="array" ref="C1006">IFERROR(INDEX(EmployeeData[Full Name], ROW() - 37), "")</f>
        <v>Casey Buenaventura</v>
      </c>
      <c r="D1006" s="4" t="str" cm="1">
        <f t="array" ref="D1006">IFERROR(INDEX(EmployeeData[Department], ROW() - 37), "")</f>
        <v>Marketing</v>
      </c>
      <c r="E1006" s="4" t="str" cm="1">
        <f t="array" ref="E1006">IFERROR(INDEX(EmployeeData[Gender], ROW() - 37), "")</f>
        <v>Other</v>
      </c>
      <c r="F1006" s="4" cm="1">
        <f t="array" ref="F1006">IFERROR(INDEX(EmployeeData[Age], ROW() - 37), "")</f>
        <v>35</v>
      </c>
      <c r="G1006" s="6" cm="1">
        <f t="array" ref="G1006">IFERROR(INDEX(EmployeeData[Join Date], ROW() - 37), "")</f>
        <v>44016</v>
      </c>
      <c r="H1006" s="6" cm="1">
        <f t="array" ref="H1006">IFERROR(IF(INDEX(EmployeeData[Exit Date], ROW() - 37)=0, "",INDEX(EmployeeData[Exit Date], ROW() - 37)),"")</f>
        <v>45297</v>
      </c>
      <c r="I1006" s="4" t="str" cm="1">
        <f t="array" ref="I1006">IFERROR(IF(INDEX(EmployeeData[Exit Reason], ROW() - 37)=0, "",INDEX(EmployeeData[Exit Reason], ROW() - 37)),"")</f>
        <v>Better Opportunity</v>
      </c>
      <c r="J1006" s="4" t="str" cm="1">
        <f t="array" ref="J1006">IFERROR(INDEX(EmployeeData[Status], ROW() - 37), "")</f>
        <v>Exited</v>
      </c>
    </row>
    <row r="1007" spans="2:10" ht="19.95" customHeight="1" x14ac:dyDescent="0.3">
      <c r="B1007" s="4" cm="1">
        <f t="array" ref="B1007">IFERROR(INDEX(EmployeeData[Employee ID], ROW() - 37), "")</f>
        <v>1970</v>
      </c>
      <c r="C1007" s="4" t="str" cm="1">
        <f t="array" ref="C1007">IFERROR(INDEX(EmployeeData[Full Name], ROW() - 37), "")</f>
        <v>Maricel Bautista San Pedro</v>
      </c>
      <c r="D1007" s="4" t="str" cm="1">
        <f t="array" ref="D1007">IFERROR(INDEX(EmployeeData[Department], ROW() - 37), "")</f>
        <v>Finance</v>
      </c>
      <c r="E1007" s="4" t="str" cm="1">
        <f t="array" ref="E1007">IFERROR(INDEX(EmployeeData[Gender], ROW() - 37), "")</f>
        <v>Other</v>
      </c>
      <c r="F1007" s="4" cm="1">
        <f t="array" ref="F1007">IFERROR(INDEX(EmployeeData[Age], ROW() - 37), "")</f>
        <v>28</v>
      </c>
      <c r="G1007" s="6" cm="1">
        <f t="array" ref="G1007">IFERROR(INDEX(EmployeeData[Join Date], ROW() - 37), "")</f>
        <v>45447</v>
      </c>
      <c r="H1007" s="6" cm="1">
        <f t="array" ref="H1007">IFERROR(IF(INDEX(EmployeeData[Exit Date], ROW() - 37)=0, "",INDEX(EmployeeData[Exit Date], ROW() - 37)),"")</f>
        <v>45857</v>
      </c>
      <c r="I1007" s="4" t="str" cm="1">
        <f t="array" ref="I1007">IFERROR(IF(INDEX(EmployeeData[Exit Reason], ROW() - 37)=0, "",INDEX(EmployeeData[Exit Reason], ROW() - 37)),"")</f>
        <v>Contract End</v>
      </c>
      <c r="J1007" s="4" t="str" cm="1">
        <f t="array" ref="J1007">IFERROR(INDEX(EmployeeData[Status], ROW() - 37), "")</f>
        <v>Exited</v>
      </c>
    </row>
    <row r="1008" spans="2:10" ht="19.95" customHeight="1" x14ac:dyDescent="0.3">
      <c r="B1008" s="4" cm="1">
        <f t="array" ref="B1008">IFERROR(INDEX(EmployeeData[Employee ID], ROW() - 37), "")</f>
        <v>1971</v>
      </c>
      <c r="C1008" s="4" t="str" cm="1">
        <f t="array" ref="C1008">IFERROR(INDEX(EmployeeData[Full Name], ROW() - 37), "")</f>
        <v>Belinda Delmendo</v>
      </c>
      <c r="D1008" s="4" t="str" cm="1">
        <f t="array" ref="D1008">IFERROR(INDEX(EmployeeData[Department], ROW() - 37), "")</f>
        <v>Marketing</v>
      </c>
      <c r="E1008" s="4" t="str" cm="1">
        <f t="array" ref="E1008">IFERROR(INDEX(EmployeeData[Gender], ROW() - 37), "")</f>
        <v>Female</v>
      </c>
      <c r="F1008" s="4" cm="1">
        <f t="array" ref="F1008">IFERROR(INDEX(EmployeeData[Age], ROW() - 37), "")</f>
        <v>45</v>
      </c>
      <c r="G1008" s="6" cm="1">
        <f t="array" ref="G1008">IFERROR(INDEX(EmployeeData[Join Date], ROW() - 37), "")</f>
        <v>44836</v>
      </c>
      <c r="H1008" s="6" cm="1">
        <f t="array" ref="H1008">IFERROR(IF(INDEX(EmployeeData[Exit Date], ROW() - 37)=0, "",INDEX(EmployeeData[Exit Date], ROW() - 37)),"")</f>
        <v>45673</v>
      </c>
      <c r="I1008" s="4" t="str" cm="1">
        <f t="array" ref="I1008">IFERROR(IF(INDEX(EmployeeData[Exit Reason], ROW() - 37)=0, "",INDEX(EmployeeData[Exit Reason], ROW() - 37)),"")</f>
        <v>Resignation</v>
      </c>
      <c r="J1008" s="4" t="str" cm="1">
        <f t="array" ref="J1008">IFERROR(INDEX(EmployeeData[Status], ROW() - 37), "")</f>
        <v>Exited</v>
      </c>
    </row>
    <row r="1009" spans="2:10" ht="19.95" customHeight="1" x14ac:dyDescent="0.3">
      <c r="B1009" s="4" cm="1">
        <f t="array" ref="B1009">IFERROR(INDEX(EmployeeData[Employee ID], ROW() - 37), "")</f>
        <v>1972</v>
      </c>
      <c r="C1009" s="4" t="str" cm="1">
        <f t="array" ref="C1009">IFERROR(INDEX(EmployeeData[Full Name], ROW() - 37), "")</f>
        <v>Hope Mercado</v>
      </c>
      <c r="D1009" s="4" t="str" cm="1">
        <f t="array" ref="D1009">IFERROR(INDEX(EmployeeData[Department], ROW() - 37), "")</f>
        <v>Marketing</v>
      </c>
      <c r="E1009" s="4" t="str" cm="1">
        <f t="array" ref="E1009">IFERROR(INDEX(EmployeeData[Gender], ROW() - 37), "")</f>
        <v>Female</v>
      </c>
      <c r="F1009" s="4" cm="1">
        <f t="array" ref="F1009">IFERROR(INDEX(EmployeeData[Age], ROW() - 37), "")</f>
        <v>21</v>
      </c>
      <c r="G1009" s="6" cm="1">
        <f t="array" ref="G1009">IFERROR(INDEX(EmployeeData[Join Date], ROW() - 37), "")</f>
        <v>45305</v>
      </c>
      <c r="H1009" s="6" t="str" cm="1">
        <f t="array" ref="H1009">IFERROR(IF(INDEX(EmployeeData[Exit Date], ROW() - 37)=0, "",INDEX(EmployeeData[Exit Date], ROW() - 37)),"")</f>
        <v/>
      </c>
      <c r="I1009" s="4" t="str" cm="1">
        <f t="array" ref="I1009">IFERROR(IF(INDEX(EmployeeData[Exit Reason], ROW() - 37)=0, "",INDEX(EmployeeData[Exit Reason], ROW() - 37)),"")</f>
        <v/>
      </c>
      <c r="J1009" s="4" t="str" cm="1">
        <f t="array" ref="J1009">IFERROR(INDEX(EmployeeData[Status], ROW() - 37), "")</f>
        <v>Active</v>
      </c>
    </row>
    <row r="1010" spans="2:10" ht="19.95" customHeight="1" x14ac:dyDescent="0.3">
      <c r="B1010" s="4" cm="1">
        <f t="array" ref="B1010">IFERROR(INDEX(EmployeeData[Employee ID], ROW() - 37), "")</f>
        <v>1973</v>
      </c>
      <c r="C1010" s="4" t="str" cm="1">
        <f t="array" ref="C1010">IFERROR(INDEX(EmployeeData[Full Name], ROW() - 37), "")</f>
        <v>Erlinda Del Rosario</v>
      </c>
      <c r="D1010" s="4" t="str" cm="1">
        <f t="array" ref="D1010">IFERROR(INDEX(EmployeeData[Department], ROW() - 37), "")</f>
        <v>IT</v>
      </c>
      <c r="E1010" s="4" t="str" cm="1">
        <f t="array" ref="E1010">IFERROR(INDEX(EmployeeData[Gender], ROW() - 37), "")</f>
        <v>Female</v>
      </c>
      <c r="F1010" s="4" cm="1">
        <f t="array" ref="F1010">IFERROR(INDEX(EmployeeData[Age], ROW() - 37), "")</f>
        <v>50</v>
      </c>
      <c r="G1010" s="6" cm="1">
        <f t="array" ref="G1010">IFERROR(INDEX(EmployeeData[Join Date], ROW() - 37), "")</f>
        <v>43704</v>
      </c>
      <c r="H1010" s="6" t="str" cm="1">
        <f t="array" ref="H1010">IFERROR(IF(INDEX(EmployeeData[Exit Date], ROW() - 37)=0, "",INDEX(EmployeeData[Exit Date], ROW() - 37)),"")</f>
        <v/>
      </c>
      <c r="I1010" s="4" t="str" cm="1">
        <f t="array" ref="I1010">IFERROR(IF(INDEX(EmployeeData[Exit Reason], ROW() - 37)=0, "",INDEX(EmployeeData[Exit Reason], ROW() - 37)),"")</f>
        <v/>
      </c>
      <c r="J1010" s="4" t="str" cm="1">
        <f t="array" ref="J1010">IFERROR(INDEX(EmployeeData[Status], ROW() - 37), "")</f>
        <v>Active</v>
      </c>
    </row>
    <row r="1011" spans="2:10" ht="19.95" customHeight="1" x14ac:dyDescent="0.3">
      <c r="B1011" s="4" cm="1">
        <f t="array" ref="B1011">IFERROR(INDEX(EmployeeData[Employee ID], ROW() - 37), "")</f>
        <v>1974</v>
      </c>
      <c r="C1011" s="4" t="str" cm="1">
        <f t="array" ref="C1011">IFERROR(INDEX(EmployeeData[Full Name], ROW() - 37), "")</f>
        <v>Morgan Ang</v>
      </c>
      <c r="D1011" s="4" t="str" cm="1">
        <f t="array" ref="D1011">IFERROR(INDEX(EmployeeData[Department], ROW() - 37), "")</f>
        <v>Sales</v>
      </c>
      <c r="E1011" s="4" t="str" cm="1">
        <f t="array" ref="E1011">IFERROR(INDEX(EmployeeData[Gender], ROW() - 37), "")</f>
        <v>Other</v>
      </c>
      <c r="F1011" s="4" cm="1">
        <f t="array" ref="F1011">IFERROR(INDEX(EmployeeData[Age], ROW() - 37), "")</f>
        <v>41</v>
      </c>
      <c r="G1011" s="6" cm="1">
        <f t="array" ref="G1011">IFERROR(INDEX(EmployeeData[Join Date], ROW() - 37), "")</f>
        <v>44366</v>
      </c>
      <c r="H1011" s="6" t="str" cm="1">
        <f t="array" ref="H1011">IFERROR(IF(INDEX(EmployeeData[Exit Date], ROW() - 37)=0, "",INDEX(EmployeeData[Exit Date], ROW() - 37)),"")</f>
        <v/>
      </c>
      <c r="I1011" s="4" t="str" cm="1">
        <f t="array" ref="I1011">IFERROR(IF(INDEX(EmployeeData[Exit Reason], ROW() - 37)=0, "",INDEX(EmployeeData[Exit Reason], ROW() - 37)),"")</f>
        <v/>
      </c>
      <c r="J1011" s="4" t="str" cm="1">
        <f t="array" ref="J1011">IFERROR(INDEX(EmployeeData[Status], ROW() - 37), "")</f>
        <v>Active</v>
      </c>
    </row>
    <row r="1012" spans="2:10" ht="19.95" customHeight="1" x14ac:dyDescent="0.3">
      <c r="B1012" s="4" cm="1">
        <f t="array" ref="B1012">IFERROR(INDEX(EmployeeData[Employee ID], ROW() - 37), "")</f>
        <v>1975</v>
      </c>
      <c r="C1012" s="4" t="str" cm="1">
        <f t="array" ref="C1012">IFERROR(INDEX(EmployeeData[Full Name], ROW() - 37), "")</f>
        <v>Francis Domingo</v>
      </c>
      <c r="D1012" s="4" t="str" cm="1">
        <f t="array" ref="D1012">IFERROR(INDEX(EmployeeData[Department], ROW() - 37), "")</f>
        <v>HR</v>
      </c>
      <c r="E1012" s="4" t="str" cm="1">
        <f t="array" ref="E1012">IFERROR(INDEX(EmployeeData[Gender], ROW() - 37), "")</f>
        <v>Male</v>
      </c>
      <c r="F1012" s="4" cm="1">
        <f t="array" ref="F1012">IFERROR(INDEX(EmployeeData[Age], ROW() - 37), "")</f>
        <v>34</v>
      </c>
      <c r="G1012" s="6" cm="1">
        <f t="array" ref="G1012">IFERROR(INDEX(EmployeeData[Join Date], ROW() - 37), "")</f>
        <v>45128</v>
      </c>
      <c r="H1012" s="6" cm="1">
        <f t="array" ref="H1012">IFERROR(IF(INDEX(EmployeeData[Exit Date], ROW() - 37)=0, "",INDEX(EmployeeData[Exit Date], ROW() - 37)),"")</f>
        <v>45603</v>
      </c>
      <c r="I1012" s="4" t="str" cm="1">
        <f t="array" ref="I1012">IFERROR(IF(INDEX(EmployeeData[Exit Reason], ROW() - 37)=0, "",INDEX(EmployeeData[Exit Reason], ROW() - 37)),"")</f>
        <v>Better Opportunity</v>
      </c>
      <c r="J1012" s="4" t="str" cm="1">
        <f t="array" ref="J1012">IFERROR(INDEX(EmployeeData[Status], ROW() - 37), "")</f>
        <v>Exited</v>
      </c>
    </row>
    <row r="1013" spans="2:10" ht="19.95" customHeight="1" x14ac:dyDescent="0.3">
      <c r="B1013" s="4" cm="1">
        <f t="array" ref="B1013">IFERROR(INDEX(EmployeeData[Employee ID], ROW() - 37), "")</f>
        <v>1976</v>
      </c>
      <c r="C1013" s="4" t="str" cm="1">
        <f t="array" ref="C1013">IFERROR(INDEX(EmployeeData[Full Name], ROW() - 37), "")</f>
        <v>Jose Viray</v>
      </c>
      <c r="D1013" s="4" t="str" cm="1">
        <f t="array" ref="D1013">IFERROR(INDEX(EmployeeData[Department], ROW() - 37), "")</f>
        <v>Customer Support</v>
      </c>
      <c r="E1013" s="4" t="str" cm="1">
        <f t="array" ref="E1013">IFERROR(INDEX(EmployeeData[Gender], ROW() - 37), "")</f>
        <v>Other</v>
      </c>
      <c r="F1013" s="4" cm="1">
        <f t="array" ref="F1013">IFERROR(INDEX(EmployeeData[Age], ROW() - 37), "")</f>
        <v>35</v>
      </c>
      <c r="G1013" s="6" cm="1">
        <f t="array" ref="G1013">IFERROR(INDEX(EmployeeData[Join Date], ROW() - 37), "")</f>
        <v>45969</v>
      </c>
      <c r="H1013" s="6" t="str" cm="1">
        <f t="array" ref="H1013">IFERROR(IF(INDEX(EmployeeData[Exit Date], ROW() - 37)=0, "",INDEX(EmployeeData[Exit Date], ROW() - 37)),"")</f>
        <v/>
      </c>
      <c r="I1013" s="4" t="str" cm="1">
        <f t="array" ref="I1013">IFERROR(IF(INDEX(EmployeeData[Exit Reason], ROW() - 37)=0, "",INDEX(EmployeeData[Exit Reason], ROW() - 37)),"")</f>
        <v/>
      </c>
      <c r="J1013" s="4" t="str" cm="1">
        <f t="array" ref="J1013">IFERROR(INDEX(EmployeeData[Status], ROW() - 37), "")</f>
        <v>Active</v>
      </c>
    </row>
    <row r="1014" spans="2:10" ht="19.95" customHeight="1" x14ac:dyDescent="0.3">
      <c r="B1014" s="4" cm="1">
        <f t="array" ref="B1014">IFERROR(INDEX(EmployeeData[Employee ID], ROW() - 37), "")</f>
        <v>1977</v>
      </c>
      <c r="C1014" s="4" t="str" cm="1">
        <f t="array" ref="C1014">IFERROR(INDEX(EmployeeData[Full Name], ROW() - 37), "")</f>
        <v>Danilo Estrada</v>
      </c>
      <c r="D1014" s="4" t="str" cm="1">
        <f t="array" ref="D1014">IFERROR(INDEX(EmployeeData[Department], ROW() - 37), "")</f>
        <v>IT</v>
      </c>
      <c r="E1014" s="4" t="str" cm="1">
        <f t="array" ref="E1014">IFERROR(INDEX(EmployeeData[Gender], ROW() - 37), "")</f>
        <v>Other</v>
      </c>
      <c r="F1014" s="4" cm="1">
        <f t="array" ref="F1014">IFERROR(INDEX(EmployeeData[Age], ROW() - 37), "")</f>
        <v>31</v>
      </c>
      <c r="G1014" s="6" cm="1">
        <f t="array" ref="G1014">IFERROR(INDEX(EmployeeData[Join Date], ROW() - 37), "")</f>
        <v>43189</v>
      </c>
      <c r="H1014" s="6" t="str" cm="1">
        <f t="array" ref="H1014">IFERROR(IF(INDEX(EmployeeData[Exit Date], ROW() - 37)=0, "",INDEX(EmployeeData[Exit Date], ROW() - 37)),"")</f>
        <v/>
      </c>
      <c r="I1014" s="4" t="str" cm="1">
        <f t="array" ref="I1014">IFERROR(IF(INDEX(EmployeeData[Exit Reason], ROW() - 37)=0, "",INDEX(EmployeeData[Exit Reason], ROW() - 37)),"")</f>
        <v/>
      </c>
      <c r="J1014" s="4" t="str" cm="1">
        <f t="array" ref="J1014">IFERROR(INDEX(EmployeeData[Status], ROW() - 37), "")</f>
        <v>Active</v>
      </c>
    </row>
    <row r="1015" spans="2:10" ht="19.95" customHeight="1" x14ac:dyDescent="0.3">
      <c r="B1015" s="4" cm="1">
        <f t="array" ref="B1015">IFERROR(INDEX(EmployeeData[Employee ID], ROW() - 37), "")</f>
        <v>1978</v>
      </c>
      <c r="C1015" s="4" t="str" cm="1">
        <f t="array" ref="C1015">IFERROR(INDEX(EmployeeData[Full Name], ROW() - 37), "")</f>
        <v>Carlos Co</v>
      </c>
      <c r="D1015" s="4" t="str" cm="1">
        <f t="array" ref="D1015">IFERROR(INDEX(EmployeeData[Department], ROW() - 37), "")</f>
        <v>Finance</v>
      </c>
      <c r="E1015" s="4" t="str" cm="1">
        <f t="array" ref="E1015">IFERROR(INDEX(EmployeeData[Gender], ROW() - 37), "")</f>
        <v>Other</v>
      </c>
      <c r="F1015" s="4" cm="1">
        <f t="array" ref="F1015">IFERROR(INDEX(EmployeeData[Age], ROW() - 37), "")</f>
        <v>46</v>
      </c>
      <c r="G1015" s="6" cm="1">
        <f t="array" ref="G1015">IFERROR(INDEX(EmployeeData[Join Date], ROW() - 37), "")</f>
        <v>43395</v>
      </c>
      <c r="H1015" s="6" t="str" cm="1">
        <f t="array" ref="H1015">IFERROR(IF(INDEX(EmployeeData[Exit Date], ROW() - 37)=0, "",INDEX(EmployeeData[Exit Date], ROW() - 37)),"")</f>
        <v/>
      </c>
      <c r="I1015" s="4" t="str" cm="1">
        <f t="array" ref="I1015">IFERROR(IF(INDEX(EmployeeData[Exit Reason], ROW() - 37)=0, "",INDEX(EmployeeData[Exit Reason], ROW() - 37)),"")</f>
        <v/>
      </c>
      <c r="J1015" s="4" t="str" cm="1">
        <f t="array" ref="J1015">IFERROR(INDEX(EmployeeData[Status], ROW() - 37), "")</f>
        <v>Active</v>
      </c>
    </row>
    <row r="1016" spans="2:10" ht="19.95" customHeight="1" x14ac:dyDescent="0.3">
      <c r="B1016" s="4" cm="1">
        <f t="array" ref="B1016">IFERROR(INDEX(EmployeeData[Employee ID], ROW() - 37), "")</f>
        <v>1979</v>
      </c>
      <c r="C1016" s="4" t="str" cm="1">
        <f t="array" ref="C1016">IFERROR(INDEX(EmployeeData[Full Name], ROW() - 37), "")</f>
        <v>Manuel Roque</v>
      </c>
      <c r="D1016" s="4" t="str" cm="1">
        <f t="array" ref="D1016">IFERROR(INDEX(EmployeeData[Department], ROW() - 37), "")</f>
        <v>Customer Support</v>
      </c>
      <c r="E1016" s="4" t="str" cm="1">
        <f t="array" ref="E1016">IFERROR(INDEX(EmployeeData[Gender], ROW() - 37), "")</f>
        <v>Other</v>
      </c>
      <c r="F1016" s="4" cm="1">
        <f t="array" ref="F1016">IFERROR(INDEX(EmployeeData[Age], ROW() - 37), "")</f>
        <v>46</v>
      </c>
      <c r="G1016" s="6" cm="1">
        <f t="array" ref="G1016">IFERROR(INDEX(EmployeeData[Join Date], ROW() - 37), "")</f>
        <v>43499</v>
      </c>
      <c r="H1016" s="6" cm="1">
        <f t="array" ref="H1016">IFERROR(IF(INDEX(EmployeeData[Exit Date], ROW() - 37)=0, "",INDEX(EmployeeData[Exit Date], ROW() - 37)),"")</f>
        <v>43810</v>
      </c>
      <c r="I1016" s="4" t="str" cm="1">
        <f t="array" ref="I1016">IFERROR(IF(INDEX(EmployeeData[Exit Reason], ROW() - 37)=0, "",INDEX(EmployeeData[Exit Reason], ROW() - 37)),"")</f>
        <v>Resignation</v>
      </c>
      <c r="J1016" s="4" t="str" cm="1">
        <f t="array" ref="J1016">IFERROR(INDEX(EmployeeData[Status], ROW() - 37), "")</f>
        <v>Exited</v>
      </c>
    </row>
    <row r="1017" spans="2:10" ht="19.95" customHeight="1" x14ac:dyDescent="0.3">
      <c r="B1017" s="4" cm="1">
        <f t="array" ref="B1017">IFERROR(INDEX(EmployeeData[Employee ID], ROW() - 37), "")</f>
        <v>1980</v>
      </c>
      <c r="C1017" s="4" t="str" cm="1">
        <f t="array" ref="C1017">IFERROR(INDEX(EmployeeData[Full Name], ROW() - 37), "")</f>
        <v>Lorenzo Rivera</v>
      </c>
      <c r="D1017" s="4" t="str" cm="1">
        <f t="array" ref="D1017">IFERROR(INDEX(EmployeeData[Department], ROW() - 37), "")</f>
        <v>Marketing</v>
      </c>
      <c r="E1017" s="4" t="str" cm="1">
        <f t="array" ref="E1017">IFERROR(INDEX(EmployeeData[Gender], ROW() - 37), "")</f>
        <v>Male</v>
      </c>
      <c r="F1017" s="4" cm="1">
        <f t="array" ref="F1017">IFERROR(INDEX(EmployeeData[Age], ROW() - 37), "")</f>
        <v>51</v>
      </c>
      <c r="G1017" s="6" cm="1">
        <f t="array" ref="G1017">IFERROR(INDEX(EmployeeData[Join Date], ROW() - 37), "")</f>
        <v>44293</v>
      </c>
      <c r="H1017" s="6" t="str" cm="1">
        <f t="array" ref="H1017">IFERROR(IF(INDEX(EmployeeData[Exit Date], ROW() - 37)=0, "",INDEX(EmployeeData[Exit Date], ROW() - 37)),"")</f>
        <v/>
      </c>
      <c r="I1017" s="4" t="str" cm="1">
        <f t="array" ref="I1017">IFERROR(IF(INDEX(EmployeeData[Exit Reason], ROW() - 37)=0, "",INDEX(EmployeeData[Exit Reason], ROW() - 37)),"")</f>
        <v/>
      </c>
      <c r="J1017" s="4" t="str" cm="1">
        <f t="array" ref="J1017">IFERROR(INDEX(EmployeeData[Status], ROW() - 37), "")</f>
        <v>Active</v>
      </c>
    </row>
    <row r="1018" spans="2:10" ht="19.95" customHeight="1" x14ac:dyDescent="0.3">
      <c r="B1018" s="4" cm="1">
        <f t="array" ref="B1018">IFERROR(INDEX(EmployeeData[Employee ID], ROW() - 37), "")</f>
        <v>1981</v>
      </c>
      <c r="C1018" s="4" t="str" cm="1">
        <f t="array" ref="C1018">IFERROR(INDEX(EmployeeData[Full Name], ROW() - 37), "")</f>
        <v>Samuel Figueroa</v>
      </c>
      <c r="D1018" s="4" t="str" cm="1">
        <f t="array" ref="D1018">IFERROR(INDEX(EmployeeData[Department], ROW() - 37), "")</f>
        <v>Customer Support</v>
      </c>
      <c r="E1018" s="4" t="str" cm="1">
        <f t="array" ref="E1018">IFERROR(INDEX(EmployeeData[Gender], ROW() - 37), "")</f>
        <v>Male</v>
      </c>
      <c r="F1018" s="4" cm="1">
        <f t="array" ref="F1018">IFERROR(INDEX(EmployeeData[Age], ROW() - 37), "")</f>
        <v>44</v>
      </c>
      <c r="G1018" s="6" cm="1">
        <f t="array" ref="G1018">IFERROR(INDEX(EmployeeData[Join Date], ROW() - 37), "")</f>
        <v>45458</v>
      </c>
      <c r="H1018" s="6" cm="1">
        <f t="array" ref="H1018">IFERROR(IF(INDEX(EmployeeData[Exit Date], ROW() - 37)=0, "",INDEX(EmployeeData[Exit Date], ROW() - 37)),"")</f>
        <v>45699</v>
      </c>
      <c r="I1018" s="4" t="str" cm="1">
        <f t="array" ref="I1018">IFERROR(IF(INDEX(EmployeeData[Exit Reason], ROW() - 37)=0, "",INDEX(EmployeeData[Exit Reason], ROW() - 37)),"")</f>
        <v>Termination</v>
      </c>
      <c r="J1018" s="4" t="str" cm="1">
        <f t="array" ref="J1018">IFERROR(INDEX(EmployeeData[Status], ROW() - 37), "")</f>
        <v>Exited</v>
      </c>
    </row>
    <row r="1019" spans="2:10" ht="19.95" customHeight="1" x14ac:dyDescent="0.3">
      <c r="B1019" s="4" cm="1">
        <f t="array" ref="B1019">IFERROR(INDEX(EmployeeData[Employee ID], ROW() - 37), "")</f>
        <v>1982</v>
      </c>
      <c r="C1019" s="4" t="str" cm="1">
        <f t="array" ref="C1019">IFERROR(INDEX(EmployeeData[Full Name], ROW() - 37), "")</f>
        <v>Annaliza Cueto</v>
      </c>
      <c r="D1019" s="4" t="str" cm="1">
        <f t="array" ref="D1019">IFERROR(INDEX(EmployeeData[Department], ROW() - 37), "")</f>
        <v>Finance</v>
      </c>
      <c r="E1019" s="4" t="str" cm="1">
        <f t="array" ref="E1019">IFERROR(INDEX(EmployeeData[Gender], ROW() - 37), "")</f>
        <v>Female</v>
      </c>
      <c r="F1019" s="4" cm="1">
        <f t="array" ref="F1019">IFERROR(INDEX(EmployeeData[Age], ROW() - 37), "")</f>
        <v>51</v>
      </c>
      <c r="G1019" s="6" cm="1">
        <f t="array" ref="G1019">IFERROR(INDEX(EmployeeData[Join Date], ROW() - 37), "")</f>
        <v>43836</v>
      </c>
      <c r="H1019" s="6" t="str" cm="1">
        <f t="array" ref="H1019">IFERROR(IF(INDEX(EmployeeData[Exit Date], ROW() - 37)=0, "",INDEX(EmployeeData[Exit Date], ROW() - 37)),"")</f>
        <v/>
      </c>
      <c r="I1019" s="4" t="str" cm="1">
        <f t="array" ref="I1019">IFERROR(IF(INDEX(EmployeeData[Exit Reason], ROW() - 37)=0, "",INDEX(EmployeeData[Exit Reason], ROW() - 37)),"")</f>
        <v/>
      </c>
      <c r="J1019" s="4" t="str" cm="1">
        <f t="array" ref="J1019">IFERROR(INDEX(EmployeeData[Status], ROW() - 37), "")</f>
        <v>Active</v>
      </c>
    </row>
    <row r="1020" spans="2:10" ht="19.95" customHeight="1" x14ac:dyDescent="0.3">
      <c r="B1020" s="4" cm="1">
        <f t="array" ref="B1020">IFERROR(INDEX(EmployeeData[Employee ID], ROW() - 37), "")</f>
        <v>1983</v>
      </c>
      <c r="C1020" s="4" t="str" cm="1">
        <f t="array" ref="C1020">IFERROR(INDEX(EmployeeData[Full Name], ROW() - 37), "")</f>
        <v>Manuel Gonzales Hernandez</v>
      </c>
      <c r="D1020" s="4" t="str" cm="1">
        <f t="array" ref="D1020">IFERROR(INDEX(EmployeeData[Department], ROW() - 37), "")</f>
        <v>Marketing</v>
      </c>
      <c r="E1020" s="4" t="str" cm="1">
        <f t="array" ref="E1020">IFERROR(INDEX(EmployeeData[Gender], ROW() - 37), "")</f>
        <v>Other</v>
      </c>
      <c r="F1020" s="4" cm="1">
        <f t="array" ref="F1020">IFERROR(INDEX(EmployeeData[Age], ROW() - 37), "")</f>
        <v>46</v>
      </c>
      <c r="G1020" s="6" cm="1">
        <f t="array" ref="G1020">IFERROR(INDEX(EmployeeData[Join Date], ROW() - 37), "")</f>
        <v>44104</v>
      </c>
      <c r="H1020" s="6" cm="1">
        <f t="array" ref="H1020">IFERROR(IF(INDEX(EmployeeData[Exit Date], ROW() - 37)=0, "",INDEX(EmployeeData[Exit Date], ROW() - 37)),"")</f>
        <v>44687</v>
      </c>
      <c r="I1020" s="4" t="str" cm="1">
        <f t="array" ref="I1020">IFERROR(IF(INDEX(EmployeeData[Exit Reason], ROW() - 37)=0, "",INDEX(EmployeeData[Exit Reason], ROW() - 37)),"")</f>
        <v>Termination</v>
      </c>
      <c r="J1020" s="4" t="str" cm="1">
        <f t="array" ref="J1020">IFERROR(INDEX(EmployeeData[Status], ROW() - 37), "")</f>
        <v>Exited</v>
      </c>
    </row>
    <row r="1021" spans="2:10" ht="19.95" customHeight="1" x14ac:dyDescent="0.3">
      <c r="B1021" s="4" cm="1">
        <f t="array" ref="B1021">IFERROR(INDEX(EmployeeData[Employee ID], ROW() - 37), "")</f>
        <v>1984</v>
      </c>
      <c r="C1021" s="4" t="str" cm="1">
        <f t="array" ref="C1021">IFERROR(INDEX(EmployeeData[Full Name], ROW() - 37), "")</f>
        <v>Leonard Ang</v>
      </c>
      <c r="D1021" s="4" t="str" cm="1">
        <f t="array" ref="D1021">IFERROR(INDEX(EmployeeData[Department], ROW() - 37), "")</f>
        <v>HR</v>
      </c>
      <c r="E1021" s="4" t="str" cm="1">
        <f t="array" ref="E1021">IFERROR(INDEX(EmployeeData[Gender], ROW() - 37), "")</f>
        <v>Male</v>
      </c>
      <c r="F1021" s="4" cm="1">
        <f t="array" ref="F1021">IFERROR(INDEX(EmployeeData[Age], ROW() - 37), "")</f>
        <v>26</v>
      </c>
      <c r="G1021" s="6" cm="1">
        <f t="array" ref="G1021">IFERROR(INDEX(EmployeeData[Join Date], ROW() - 37), "")</f>
        <v>45000</v>
      </c>
      <c r="H1021" s="6" t="str" cm="1">
        <f t="array" ref="H1021">IFERROR(IF(INDEX(EmployeeData[Exit Date], ROW() - 37)=0, "",INDEX(EmployeeData[Exit Date], ROW() - 37)),"")</f>
        <v/>
      </c>
      <c r="I1021" s="4" t="str" cm="1">
        <f t="array" ref="I1021">IFERROR(IF(INDEX(EmployeeData[Exit Reason], ROW() - 37)=0, "",INDEX(EmployeeData[Exit Reason], ROW() - 37)),"")</f>
        <v/>
      </c>
      <c r="J1021" s="4" t="str" cm="1">
        <f t="array" ref="J1021">IFERROR(INDEX(EmployeeData[Status], ROW() - 37), "")</f>
        <v>Active</v>
      </c>
    </row>
    <row r="1022" spans="2:10" ht="19.95" customHeight="1" x14ac:dyDescent="0.3">
      <c r="B1022" s="4" cm="1">
        <f t="array" ref="B1022">IFERROR(INDEX(EmployeeData[Employee ID], ROW() - 37), "")</f>
        <v>1985</v>
      </c>
      <c r="C1022" s="4" t="str" cm="1">
        <f t="array" ref="C1022">IFERROR(INDEX(EmployeeData[Full Name], ROW() - 37), "")</f>
        <v>Celine Hernandez</v>
      </c>
      <c r="D1022" s="4" t="str" cm="1">
        <f t="array" ref="D1022">IFERROR(INDEX(EmployeeData[Department], ROW() - 37), "")</f>
        <v>IT</v>
      </c>
      <c r="E1022" s="4" t="str" cm="1">
        <f t="array" ref="E1022">IFERROR(INDEX(EmployeeData[Gender], ROW() - 37), "")</f>
        <v>Female</v>
      </c>
      <c r="F1022" s="4" cm="1">
        <f t="array" ref="F1022">IFERROR(INDEX(EmployeeData[Age], ROW() - 37), "")</f>
        <v>65</v>
      </c>
      <c r="G1022" s="6" cm="1">
        <f t="array" ref="G1022">IFERROR(INDEX(EmployeeData[Join Date], ROW() - 37), "")</f>
        <v>43439</v>
      </c>
      <c r="H1022" s="6" cm="1">
        <f t="array" ref="H1022">IFERROR(IF(INDEX(EmployeeData[Exit Date], ROW() - 37)=0, "",INDEX(EmployeeData[Exit Date], ROW() - 37)),"")</f>
        <v>45616</v>
      </c>
      <c r="I1022" s="4" t="str" cm="1">
        <f t="array" ref="I1022">IFERROR(IF(INDEX(EmployeeData[Exit Reason], ROW() - 37)=0, "",INDEX(EmployeeData[Exit Reason], ROW() - 37)),"")</f>
        <v>Retirement</v>
      </c>
      <c r="J1022" s="4" t="str" cm="1">
        <f t="array" ref="J1022">IFERROR(INDEX(EmployeeData[Status], ROW() - 37), "")</f>
        <v>Exited</v>
      </c>
    </row>
    <row r="1023" spans="2:10" ht="19.95" customHeight="1" x14ac:dyDescent="0.3">
      <c r="B1023" s="4" cm="1">
        <f t="array" ref="B1023">IFERROR(INDEX(EmployeeData[Employee ID], ROW() - 37), "")</f>
        <v>1986</v>
      </c>
      <c r="C1023" s="4" t="str" cm="1">
        <f t="array" ref="C1023">IFERROR(INDEX(EmployeeData[Full Name], ROW() - 37), "")</f>
        <v>Faith Navarro Macapagal</v>
      </c>
      <c r="D1023" s="4" t="str" cm="1">
        <f t="array" ref="D1023">IFERROR(INDEX(EmployeeData[Department], ROW() - 37), "")</f>
        <v>Sales</v>
      </c>
      <c r="E1023" s="4" t="str" cm="1">
        <f t="array" ref="E1023">IFERROR(INDEX(EmployeeData[Gender], ROW() - 37), "")</f>
        <v>Female</v>
      </c>
      <c r="F1023" s="4" cm="1">
        <f t="array" ref="F1023">IFERROR(INDEX(EmployeeData[Age], ROW() - 37), "")</f>
        <v>51</v>
      </c>
      <c r="G1023" s="6" cm="1">
        <f t="array" ref="G1023">IFERROR(INDEX(EmployeeData[Join Date], ROW() - 37), "")</f>
        <v>45741</v>
      </c>
      <c r="H1023" s="6" t="str" cm="1">
        <f t="array" ref="H1023">IFERROR(IF(INDEX(EmployeeData[Exit Date], ROW() - 37)=0, "",INDEX(EmployeeData[Exit Date], ROW() - 37)),"")</f>
        <v/>
      </c>
      <c r="I1023" s="4" t="str" cm="1">
        <f t="array" ref="I1023">IFERROR(IF(INDEX(EmployeeData[Exit Reason], ROW() - 37)=0, "",INDEX(EmployeeData[Exit Reason], ROW() - 37)),"")</f>
        <v/>
      </c>
      <c r="J1023" s="4" t="str" cm="1">
        <f t="array" ref="J1023">IFERROR(INDEX(EmployeeData[Status], ROW() - 37), "")</f>
        <v>Active</v>
      </c>
    </row>
    <row r="1024" spans="2:10" ht="19.95" customHeight="1" x14ac:dyDescent="0.3">
      <c r="B1024" s="4" cm="1">
        <f t="array" ref="B1024">IFERROR(INDEX(EmployeeData[Employee ID], ROW() - 37), "")</f>
        <v>1987</v>
      </c>
      <c r="C1024" s="4" t="str" cm="1">
        <f t="array" ref="C1024">IFERROR(INDEX(EmployeeData[Full Name], ROW() - 37), "")</f>
        <v>Sam Ang Tolentino</v>
      </c>
      <c r="D1024" s="4" t="str" cm="1">
        <f t="array" ref="D1024">IFERROR(INDEX(EmployeeData[Department], ROW() - 37), "")</f>
        <v>Customer Support</v>
      </c>
      <c r="E1024" s="4" t="str" cm="1">
        <f t="array" ref="E1024">IFERROR(INDEX(EmployeeData[Gender], ROW() - 37), "")</f>
        <v>Other</v>
      </c>
      <c r="F1024" s="4" cm="1">
        <f t="array" ref="F1024">IFERROR(INDEX(EmployeeData[Age], ROW() - 37), "")</f>
        <v>55</v>
      </c>
      <c r="G1024" s="6" cm="1">
        <f t="array" ref="G1024">IFERROR(INDEX(EmployeeData[Join Date], ROW() - 37), "")</f>
        <v>43858</v>
      </c>
      <c r="H1024" s="6" t="str" cm="1">
        <f t="array" ref="H1024">IFERROR(IF(INDEX(EmployeeData[Exit Date], ROW() - 37)=0, "",INDEX(EmployeeData[Exit Date], ROW() - 37)),"")</f>
        <v/>
      </c>
      <c r="I1024" s="4" t="str" cm="1">
        <f t="array" ref="I1024">IFERROR(IF(INDEX(EmployeeData[Exit Reason], ROW() - 37)=0, "",INDEX(EmployeeData[Exit Reason], ROW() - 37)),"")</f>
        <v/>
      </c>
      <c r="J1024" s="4" t="str" cm="1">
        <f t="array" ref="J1024">IFERROR(INDEX(EmployeeData[Status], ROW() - 37), "")</f>
        <v>Active</v>
      </c>
    </row>
    <row r="1025" spans="2:10" ht="19.95" customHeight="1" x14ac:dyDescent="0.3">
      <c r="B1025" s="4" cm="1">
        <f t="array" ref="B1025">IFERROR(INDEX(EmployeeData[Employee ID], ROW() - 37), "")</f>
        <v>1988</v>
      </c>
      <c r="C1025" s="4" t="str" cm="1">
        <f t="array" ref="C1025">IFERROR(INDEX(EmployeeData[Full Name], ROW() - 37), "")</f>
        <v>Morgan Navarro</v>
      </c>
      <c r="D1025" s="4" t="str" cm="1">
        <f t="array" ref="D1025">IFERROR(INDEX(EmployeeData[Department], ROW() - 37), "")</f>
        <v>Customer Support</v>
      </c>
      <c r="E1025" s="4" t="str" cm="1">
        <f t="array" ref="E1025">IFERROR(INDEX(EmployeeData[Gender], ROW() - 37), "")</f>
        <v>Other</v>
      </c>
      <c r="F1025" s="4" cm="1">
        <f t="array" ref="F1025">IFERROR(INDEX(EmployeeData[Age], ROW() - 37), "")</f>
        <v>55</v>
      </c>
      <c r="G1025" s="6" cm="1">
        <f t="array" ref="G1025">IFERROR(INDEX(EmployeeData[Join Date], ROW() - 37), "")</f>
        <v>45770</v>
      </c>
      <c r="H1025" s="6" cm="1">
        <f t="array" ref="H1025">IFERROR(IF(INDEX(EmployeeData[Exit Date], ROW() - 37)=0, "",INDEX(EmployeeData[Exit Date], ROW() - 37)),"")</f>
        <v>45966</v>
      </c>
      <c r="I1025" s="4" t="str" cm="1">
        <f t="array" ref="I1025">IFERROR(IF(INDEX(EmployeeData[Exit Reason], ROW() - 37)=0, "",INDEX(EmployeeData[Exit Reason], ROW() - 37)),"")</f>
        <v>Contract End</v>
      </c>
      <c r="J1025" s="4" t="str" cm="1">
        <f t="array" ref="J1025">IFERROR(INDEX(EmployeeData[Status], ROW() - 37), "")</f>
        <v>Exited</v>
      </c>
    </row>
    <row r="1026" spans="2:10" ht="19.95" customHeight="1" x14ac:dyDescent="0.3">
      <c r="B1026" s="4" cm="1">
        <f t="array" ref="B1026">IFERROR(INDEX(EmployeeData[Employee ID], ROW() - 37), "")</f>
        <v>1989</v>
      </c>
      <c r="C1026" s="4" t="str" cm="1">
        <f t="array" ref="C1026">IFERROR(INDEX(EmployeeData[Full Name], ROW() - 37), "")</f>
        <v>Herminia Cruz Dela Cruz</v>
      </c>
      <c r="D1026" s="4" t="str" cm="1">
        <f t="array" ref="D1026">IFERROR(INDEX(EmployeeData[Department], ROW() - 37), "")</f>
        <v>HR</v>
      </c>
      <c r="E1026" s="4" t="str" cm="1">
        <f t="array" ref="E1026">IFERROR(INDEX(EmployeeData[Gender], ROW() - 37), "")</f>
        <v>Female</v>
      </c>
      <c r="F1026" s="4" cm="1">
        <f t="array" ref="F1026">IFERROR(INDEX(EmployeeData[Age], ROW() - 37), "")</f>
        <v>49</v>
      </c>
      <c r="G1026" s="6" cm="1">
        <f t="array" ref="G1026">IFERROR(INDEX(EmployeeData[Join Date], ROW() - 37), "")</f>
        <v>44388</v>
      </c>
      <c r="H1026" s="6" cm="1">
        <f t="array" ref="H1026">IFERROR(IF(INDEX(EmployeeData[Exit Date], ROW() - 37)=0, "",INDEX(EmployeeData[Exit Date], ROW() - 37)),"")</f>
        <v>44741</v>
      </c>
      <c r="I1026" s="4" t="str" cm="1">
        <f t="array" ref="I1026">IFERROR(IF(INDEX(EmployeeData[Exit Reason], ROW() - 37)=0, "",INDEX(EmployeeData[Exit Reason], ROW() - 37)),"")</f>
        <v>Health Issues</v>
      </c>
      <c r="J1026" s="4" t="str" cm="1">
        <f t="array" ref="J1026">IFERROR(INDEX(EmployeeData[Status], ROW() - 37), "")</f>
        <v>Exited</v>
      </c>
    </row>
    <row r="1027" spans="2:10" ht="19.95" customHeight="1" x14ac:dyDescent="0.3">
      <c r="B1027" s="4" cm="1">
        <f t="array" ref="B1027">IFERROR(INDEX(EmployeeData[Employee ID], ROW() - 37), "")</f>
        <v>1990</v>
      </c>
      <c r="C1027" s="4" t="str" cm="1">
        <f t="array" ref="C1027">IFERROR(INDEX(EmployeeData[Full Name], ROW() - 37), "")</f>
        <v>Imelda Estrada</v>
      </c>
      <c r="D1027" s="4" t="str" cm="1">
        <f t="array" ref="D1027">IFERROR(INDEX(EmployeeData[Department], ROW() - 37), "")</f>
        <v>Customer Support</v>
      </c>
      <c r="E1027" s="4" t="str" cm="1">
        <f t="array" ref="E1027">IFERROR(INDEX(EmployeeData[Gender], ROW() - 37), "")</f>
        <v>Female</v>
      </c>
      <c r="F1027" s="4" cm="1">
        <f t="array" ref="F1027">IFERROR(INDEX(EmployeeData[Age], ROW() - 37), "")</f>
        <v>40</v>
      </c>
      <c r="G1027" s="6" cm="1">
        <f t="array" ref="G1027">IFERROR(INDEX(EmployeeData[Join Date], ROW() - 37), "")</f>
        <v>44590</v>
      </c>
      <c r="H1027" s="6" t="str" cm="1">
        <f t="array" ref="H1027">IFERROR(IF(INDEX(EmployeeData[Exit Date], ROW() - 37)=0, "",INDEX(EmployeeData[Exit Date], ROW() - 37)),"")</f>
        <v/>
      </c>
      <c r="I1027" s="4" t="str" cm="1">
        <f t="array" ref="I1027">IFERROR(IF(INDEX(EmployeeData[Exit Reason], ROW() - 37)=0, "",INDEX(EmployeeData[Exit Reason], ROW() - 37)),"")</f>
        <v/>
      </c>
      <c r="J1027" s="4" t="str" cm="1">
        <f t="array" ref="J1027">IFERROR(INDEX(EmployeeData[Status], ROW() - 37), "")</f>
        <v>Active</v>
      </c>
    </row>
    <row r="1028" spans="2:10" ht="19.95" customHeight="1" x14ac:dyDescent="0.3">
      <c r="B1028" s="4" cm="1">
        <f t="array" ref="B1028">IFERROR(INDEX(EmployeeData[Employee ID], ROW() - 37), "")</f>
        <v>1991</v>
      </c>
      <c r="C1028" s="4" t="str" cm="1">
        <f t="array" ref="C1028">IFERROR(INDEX(EmployeeData[Full Name], ROW() - 37), "")</f>
        <v>Estrella Ramos Delos Reyes</v>
      </c>
      <c r="D1028" s="4" t="str" cm="1">
        <f t="array" ref="D1028">IFERROR(INDEX(EmployeeData[Department], ROW() - 37), "")</f>
        <v>HR</v>
      </c>
      <c r="E1028" s="4" t="str" cm="1">
        <f t="array" ref="E1028">IFERROR(INDEX(EmployeeData[Gender], ROW() - 37), "")</f>
        <v>Female</v>
      </c>
      <c r="F1028" s="4" cm="1">
        <f t="array" ref="F1028">IFERROR(INDEX(EmployeeData[Age], ROW() - 37), "")</f>
        <v>23</v>
      </c>
      <c r="G1028" s="6" cm="1">
        <f t="array" ref="G1028">IFERROR(INDEX(EmployeeData[Join Date], ROW() - 37), "")</f>
        <v>45228</v>
      </c>
      <c r="H1028" s="6" t="str" cm="1">
        <f t="array" ref="H1028">IFERROR(IF(INDEX(EmployeeData[Exit Date], ROW() - 37)=0, "",INDEX(EmployeeData[Exit Date], ROW() - 37)),"")</f>
        <v/>
      </c>
      <c r="I1028" s="4" t="str" cm="1">
        <f t="array" ref="I1028">IFERROR(IF(INDEX(EmployeeData[Exit Reason], ROW() - 37)=0, "",INDEX(EmployeeData[Exit Reason], ROW() - 37)),"")</f>
        <v/>
      </c>
      <c r="J1028" s="4" t="str" cm="1">
        <f t="array" ref="J1028">IFERROR(INDEX(EmployeeData[Status], ROW() - 37), "")</f>
        <v>Active</v>
      </c>
    </row>
    <row r="1029" spans="2:10" ht="19.95" customHeight="1" x14ac:dyDescent="0.3">
      <c r="B1029" s="4" cm="1">
        <f t="array" ref="B1029">IFERROR(INDEX(EmployeeData[Employee ID], ROW() - 37), "")</f>
        <v>1992</v>
      </c>
      <c r="C1029" s="4" t="str" cm="1">
        <f t="array" ref="C1029">IFERROR(INDEX(EmployeeData[Full Name], ROW() - 37), "")</f>
        <v>Pilar Santiago</v>
      </c>
      <c r="D1029" s="4" t="str" cm="1">
        <f t="array" ref="D1029">IFERROR(INDEX(EmployeeData[Department], ROW() - 37), "")</f>
        <v>Marketing</v>
      </c>
      <c r="E1029" s="4" t="str" cm="1">
        <f t="array" ref="E1029">IFERROR(INDEX(EmployeeData[Gender], ROW() - 37), "")</f>
        <v>Other</v>
      </c>
      <c r="F1029" s="4" cm="1">
        <f t="array" ref="F1029">IFERROR(INDEX(EmployeeData[Age], ROW() - 37), "")</f>
        <v>54</v>
      </c>
      <c r="G1029" s="6" cm="1">
        <f t="array" ref="G1029">IFERROR(INDEX(EmployeeData[Join Date], ROW() - 37), "")</f>
        <v>44543</v>
      </c>
      <c r="H1029" s="6" t="str" cm="1">
        <f t="array" ref="H1029">IFERROR(IF(INDEX(EmployeeData[Exit Date], ROW() - 37)=0, "",INDEX(EmployeeData[Exit Date], ROW() - 37)),"")</f>
        <v/>
      </c>
      <c r="I1029" s="4" t="str" cm="1">
        <f t="array" ref="I1029">IFERROR(IF(INDEX(EmployeeData[Exit Reason], ROW() - 37)=0, "",INDEX(EmployeeData[Exit Reason], ROW() - 37)),"")</f>
        <v/>
      </c>
      <c r="J1029" s="4" t="str" cm="1">
        <f t="array" ref="J1029">IFERROR(INDEX(EmployeeData[Status], ROW() - 37), "")</f>
        <v>Active</v>
      </c>
    </row>
    <row r="1030" spans="2:10" ht="19.95" customHeight="1" x14ac:dyDescent="0.3">
      <c r="B1030" s="4" cm="1">
        <f t="array" ref="B1030">IFERROR(INDEX(EmployeeData[Employee ID], ROW() - 37), "")</f>
        <v>1993</v>
      </c>
      <c r="C1030" s="4" t="str" cm="1">
        <f t="array" ref="C1030">IFERROR(INDEX(EmployeeData[Full Name], ROW() - 37), "")</f>
        <v>Rica Aguilar Rivera</v>
      </c>
      <c r="D1030" s="4" t="str" cm="1">
        <f t="array" ref="D1030">IFERROR(INDEX(EmployeeData[Department], ROW() - 37), "")</f>
        <v>HR</v>
      </c>
      <c r="E1030" s="4" t="str" cm="1">
        <f t="array" ref="E1030">IFERROR(INDEX(EmployeeData[Gender], ROW() - 37), "")</f>
        <v>Female</v>
      </c>
      <c r="F1030" s="4" cm="1">
        <f t="array" ref="F1030">IFERROR(INDEX(EmployeeData[Age], ROW() - 37), "")</f>
        <v>23</v>
      </c>
      <c r="G1030" s="6" cm="1">
        <f t="array" ref="G1030">IFERROR(INDEX(EmployeeData[Join Date], ROW() - 37), "")</f>
        <v>43871</v>
      </c>
      <c r="H1030" s="6" cm="1">
        <f t="array" ref="H1030">IFERROR(IF(INDEX(EmployeeData[Exit Date], ROW() - 37)=0, "",INDEX(EmployeeData[Exit Date], ROW() - 37)),"")</f>
        <v>44842</v>
      </c>
      <c r="I1030" s="4" t="str" cm="1">
        <f t="array" ref="I1030">IFERROR(IF(INDEX(EmployeeData[Exit Reason], ROW() - 37)=0, "",INDEX(EmployeeData[Exit Reason], ROW() - 37)),"")</f>
        <v>Contract End</v>
      </c>
      <c r="J1030" s="4" t="str" cm="1">
        <f t="array" ref="J1030">IFERROR(INDEX(EmployeeData[Status], ROW() - 37), "")</f>
        <v>Exited</v>
      </c>
    </row>
    <row r="1031" spans="2:10" ht="19.95" customHeight="1" x14ac:dyDescent="0.3">
      <c r="B1031" s="4" cm="1">
        <f t="array" ref="B1031">IFERROR(INDEX(EmployeeData[Employee ID], ROW() - 37), "")</f>
        <v>1994</v>
      </c>
      <c r="C1031" s="4" t="str" cm="1">
        <f t="array" ref="C1031">IFERROR(INDEX(EmployeeData[Full Name], ROW() - 37), "")</f>
        <v>Feliciano Domingo Vergara</v>
      </c>
      <c r="D1031" s="4" t="str" cm="1">
        <f t="array" ref="D1031">IFERROR(INDEX(EmployeeData[Department], ROW() - 37), "")</f>
        <v>Customer Support</v>
      </c>
      <c r="E1031" s="4" t="str" cm="1">
        <f t="array" ref="E1031">IFERROR(INDEX(EmployeeData[Gender], ROW() - 37), "")</f>
        <v>Male</v>
      </c>
      <c r="F1031" s="4" cm="1">
        <f t="array" ref="F1031">IFERROR(INDEX(EmployeeData[Age], ROW() - 37), "")</f>
        <v>25</v>
      </c>
      <c r="G1031" s="6" cm="1">
        <f t="array" ref="G1031">IFERROR(INDEX(EmployeeData[Join Date], ROW() - 37), "")</f>
        <v>45353</v>
      </c>
      <c r="H1031" s="6" cm="1">
        <f t="array" ref="H1031">IFERROR(IF(INDEX(EmployeeData[Exit Date], ROW() - 37)=0, "",INDEX(EmployeeData[Exit Date], ROW() - 37)),"")</f>
        <v>45833</v>
      </c>
      <c r="I1031" s="4" t="str" cm="1">
        <f t="array" ref="I1031">IFERROR(IF(INDEX(EmployeeData[Exit Reason], ROW() - 37)=0, "",INDEX(EmployeeData[Exit Reason], ROW() - 37)),"")</f>
        <v>Relocation</v>
      </c>
      <c r="J1031" s="4" t="str" cm="1">
        <f t="array" ref="J1031">IFERROR(INDEX(EmployeeData[Status], ROW() - 37), "")</f>
        <v>Exited</v>
      </c>
    </row>
    <row r="1032" spans="2:10" ht="19.95" customHeight="1" x14ac:dyDescent="0.3">
      <c r="B1032" s="4" cm="1">
        <f t="array" ref="B1032">IFERROR(INDEX(EmployeeData[Employee ID], ROW() - 37), "")</f>
        <v>1995</v>
      </c>
      <c r="C1032" s="4" t="str" cm="1">
        <f t="array" ref="C1032">IFERROR(INDEX(EmployeeData[Full Name], ROW() - 37), "")</f>
        <v>Miguel Lopez Miranda</v>
      </c>
      <c r="D1032" s="4" t="str" cm="1">
        <f t="array" ref="D1032">IFERROR(INDEX(EmployeeData[Department], ROW() - 37), "")</f>
        <v>HR</v>
      </c>
      <c r="E1032" s="4" t="str" cm="1">
        <f t="array" ref="E1032">IFERROR(INDEX(EmployeeData[Gender], ROW() - 37), "")</f>
        <v>Other</v>
      </c>
      <c r="F1032" s="4" cm="1">
        <f t="array" ref="F1032">IFERROR(INDEX(EmployeeData[Age], ROW() - 37), "")</f>
        <v>30</v>
      </c>
      <c r="G1032" s="6" cm="1">
        <f t="array" ref="G1032">IFERROR(INDEX(EmployeeData[Join Date], ROW() - 37), "")</f>
        <v>45296</v>
      </c>
      <c r="H1032" s="6" cm="1">
        <f t="array" ref="H1032">IFERROR(IF(INDEX(EmployeeData[Exit Date], ROW() - 37)=0, "",INDEX(EmployeeData[Exit Date], ROW() - 37)),"")</f>
        <v>46030</v>
      </c>
      <c r="I1032" s="4" t="str" cm="1">
        <f t="array" ref="I1032">IFERROR(IF(INDEX(EmployeeData[Exit Reason], ROW() - 37)=0, "",INDEX(EmployeeData[Exit Reason], ROW() - 37)),"")</f>
        <v>Personal Reasons</v>
      </c>
      <c r="J1032" s="4" t="str" cm="1">
        <f t="array" ref="J1032">IFERROR(INDEX(EmployeeData[Status], ROW() - 37), "")</f>
        <v>Exited</v>
      </c>
    </row>
    <row r="1033" spans="2:10" ht="19.95" customHeight="1" x14ac:dyDescent="0.3">
      <c r="B1033" s="4" cm="1">
        <f t="array" ref="B1033">IFERROR(INDEX(EmployeeData[Employee ID], ROW() - 37), "")</f>
        <v>1996</v>
      </c>
      <c r="C1033" s="4" t="str" cm="1">
        <f t="array" ref="C1033">IFERROR(INDEX(EmployeeData[Full Name], ROW() - 37), "")</f>
        <v>Annaliza Lim Fajardo</v>
      </c>
      <c r="D1033" s="4" t="str" cm="1">
        <f t="array" ref="D1033">IFERROR(INDEX(EmployeeData[Department], ROW() - 37), "")</f>
        <v>IT</v>
      </c>
      <c r="E1033" s="4" t="str" cm="1">
        <f t="array" ref="E1033">IFERROR(INDEX(EmployeeData[Gender], ROW() - 37), "")</f>
        <v>Female</v>
      </c>
      <c r="F1033" s="4" cm="1">
        <f t="array" ref="F1033">IFERROR(INDEX(EmployeeData[Age], ROW() - 37), "")</f>
        <v>58</v>
      </c>
      <c r="G1033" s="6" cm="1">
        <f t="array" ref="G1033">IFERROR(INDEX(EmployeeData[Join Date], ROW() - 37), "")</f>
        <v>44653</v>
      </c>
      <c r="H1033" s="6" cm="1">
        <f t="array" ref="H1033">IFERROR(IF(INDEX(EmployeeData[Exit Date], ROW() - 37)=0, "",INDEX(EmployeeData[Exit Date], ROW() - 37)),"")</f>
        <v>45979</v>
      </c>
      <c r="I1033" s="4" t="str" cm="1">
        <f t="array" ref="I1033">IFERROR(IF(INDEX(EmployeeData[Exit Reason], ROW() - 37)=0, "",INDEX(EmployeeData[Exit Reason], ROW() - 37)),"")</f>
        <v>Retirement</v>
      </c>
      <c r="J1033" s="4" t="str" cm="1">
        <f t="array" ref="J1033">IFERROR(INDEX(EmployeeData[Status], ROW() - 37), "")</f>
        <v>Exited</v>
      </c>
    </row>
    <row r="1034" spans="2:10" ht="19.95" customHeight="1" x14ac:dyDescent="0.3">
      <c r="B1034" s="4" cm="1">
        <f t="array" ref="B1034">IFERROR(INDEX(EmployeeData[Employee ID], ROW() - 37), "")</f>
        <v>1997</v>
      </c>
      <c r="C1034" s="4" t="str" cm="1">
        <f t="array" ref="C1034">IFERROR(INDEX(EmployeeData[Full Name], ROW() - 37), "")</f>
        <v>Diosdado Mendoza Tan</v>
      </c>
      <c r="D1034" s="4" t="str" cm="1">
        <f t="array" ref="D1034">IFERROR(INDEX(EmployeeData[Department], ROW() - 37), "")</f>
        <v>Customer Support</v>
      </c>
      <c r="E1034" s="4" t="str" cm="1">
        <f t="array" ref="E1034">IFERROR(INDEX(EmployeeData[Gender], ROW() - 37), "")</f>
        <v>Male</v>
      </c>
      <c r="F1034" s="4" cm="1">
        <f t="array" ref="F1034">IFERROR(INDEX(EmployeeData[Age], ROW() - 37), "")</f>
        <v>44</v>
      </c>
      <c r="G1034" s="6" cm="1">
        <f t="array" ref="G1034">IFERROR(INDEX(EmployeeData[Join Date], ROW() - 37), "")</f>
        <v>44467</v>
      </c>
      <c r="H1034" s="6" t="str" cm="1">
        <f t="array" ref="H1034">IFERROR(IF(INDEX(EmployeeData[Exit Date], ROW() - 37)=0, "",INDEX(EmployeeData[Exit Date], ROW() - 37)),"")</f>
        <v/>
      </c>
      <c r="I1034" s="4" t="str" cm="1">
        <f t="array" ref="I1034">IFERROR(IF(INDEX(EmployeeData[Exit Reason], ROW() - 37)=0, "",INDEX(EmployeeData[Exit Reason], ROW() - 37)),"")</f>
        <v/>
      </c>
      <c r="J1034" s="4" t="str" cm="1">
        <f t="array" ref="J1034">IFERROR(INDEX(EmployeeData[Status], ROW() - 37), "")</f>
        <v>Active</v>
      </c>
    </row>
    <row r="1035" spans="2:10" ht="19.95" customHeight="1" x14ac:dyDescent="0.3">
      <c r="B1035" s="4" cm="1">
        <f t="array" ref="B1035">IFERROR(INDEX(EmployeeData[Employee ID], ROW() - 37), "")</f>
        <v>1998</v>
      </c>
      <c r="C1035" s="4" t="str" cm="1">
        <f t="array" ref="C1035">IFERROR(INDEX(EmployeeData[Full Name], ROW() - 37), "")</f>
        <v>Morgan Soriano Soriano</v>
      </c>
      <c r="D1035" s="4" t="str" cm="1">
        <f t="array" ref="D1035">IFERROR(INDEX(EmployeeData[Department], ROW() - 37), "")</f>
        <v>IT</v>
      </c>
      <c r="E1035" s="4" t="str" cm="1">
        <f t="array" ref="E1035">IFERROR(INDEX(EmployeeData[Gender], ROW() - 37), "")</f>
        <v>Other</v>
      </c>
      <c r="F1035" s="4" cm="1">
        <f t="array" ref="F1035">IFERROR(INDEX(EmployeeData[Age], ROW() - 37), "")</f>
        <v>45</v>
      </c>
      <c r="G1035" s="6" cm="1">
        <f t="array" ref="G1035">IFERROR(INDEX(EmployeeData[Join Date], ROW() - 37), "")</f>
        <v>43531</v>
      </c>
      <c r="H1035" s="6" t="str" cm="1">
        <f t="array" ref="H1035">IFERROR(IF(INDEX(EmployeeData[Exit Date], ROW() - 37)=0, "",INDEX(EmployeeData[Exit Date], ROW() - 37)),"")</f>
        <v/>
      </c>
      <c r="I1035" s="4" t="str" cm="1">
        <f t="array" ref="I1035">IFERROR(IF(INDEX(EmployeeData[Exit Reason], ROW() - 37)=0, "",INDEX(EmployeeData[Exit Reason], ROW() - 37)),"")</f>
        <v/>
      </c>
      <c r="J1035" s="4" t="str" cm="1">
        <f t="array" ref="J1035">IFERROR(INDEX(EmployeeData[Status], ROW() - 37), "")</f>
        <v>Active</v>
      </c>
    </row>
    <row r="1036" spans="2:10" ht="19.95" customHeight="1" x14ac:dyDescent="0.3">
      <c r="B1036" s="4" cm="1">
        <f t="array" ref="B1036">IFERROR(INDEX(EmployeeData[Employee ID], ROW() - 37), "")</f>
        <v>1999</v>
      </c>
      <c r="C1036" s="4" t="str" cm="1">
        <f t="array" ref="C1036">IFERROR(INDEX(EmployeeData[Full Name], ROW() - 37), "")</f>
        <v>Rowena Wong</v>
      </c>
      <c r="D1036" s="4" t="str" cm="1">
        <f t="array" ref="D1036">IFERROR(INDEX(EmployeeData[Department], ROW() - 37), "")</f>
        <v>Marketing</v>
      </c>
      <c r="E1036" s="4" t="str" cm="1">
        <f t="array" ref="E1036">IFERROR(INDEX(EmployeeData[Gender], ROW() - 37), "")</f>
        <v>Other</v>
      </c>
      <c r="F1036" s="4" cm="1">
        <f t="array" ref="F1036">IFERROR(INDEX(EmployeeData[Age], ROW() - 37), "")</f>
        <v>27</v>
      </c>
      <c r="G1036" s="6" cm="1">
        <f t="array" ref="G1036">IFERROR(INDEX(EmployeeData[Join Date], ROW() - 37), "")</f>
        <v>45267</v>
      </c>
      <c r="H1036" s="6" cm="1">
        <f t="array" ref="H1036">IFERROR(IF(INDEX(EmployeeData[Exit Date], ROW() - 37)=0, "",INDEX(EmployeeData[Exit Date], ROW() - 37)),"")</f>
        <v>45942</v>
      </c>
      <c r="I1036" s="4" t="str" cm="1">
        <f t="array" ref="I1036">IFERROR(IF(INDEX(EmployeeData[Exit Reason], ROW() - 37)=0, "",INDEX(EmployeeData[Exit Reason], ROW() - 37)),"")</f>
        <v>Resignation</v>
      </c>
      <c r="J1036" s="4" t="str" cm="1">
        <f t="array" ref="J1036">IFERROR(INDEX(EmployeeData[Status], ROW() - 37), "")</f>
        <v>Exited</v>
      </c>
    </row>
    <row r="1037" spans="2:10" ht="19.95" customHeight="1" x14ac:dyDescent="0.3">
      <c r="B1037" s="4" cm="1">
        <f t="array" ref="B1037">IFERROR(INDEX(EmployeeData[Employee ID], ROW() - 37), "")</f>
        <v>2000</v>
      </c>
      <c r="C1037" s="4" t="str" cm="1">
        <f t="array" ref="C1037">IFERROR(INDEX(EmployeeData[Full Name], ROW() - 37), "")</f>
        <v>Belinda Fernandez Chan</v>
      </c>
      <c r="D1037" s="4" t="str" cm="1">
        <f t="array" ref="D1037">IFERROR(INDEX(EmployeeData[Department], ROW() - 37), "")</f>
        <v>Sales</v>
      </c>
      <c r="E1037" s="4" t="str" cm="1">
        <f t="array" ref="E1037">IFERROR(INDEX(EmployeeData[Gender], ROW() - 37), "")</f>
        <v>Female</v>
      </c>
      <c r="F1037" s="4" cm="1">
        <f t="array" ref="F1037">IFERROR(INDEX(EmployeeData[Age], ROW() - 37), "")</f>
        <v>45</v>
      </c>
      <c r="G1037" s="6" cm="1">
        <f t="array" ref="G1037">IFERROR(INDEX(EmployeeData[Join Date], ROW() - 37), "")</f>
        <v>43841</v>
      </c>
      <c r="H1037" s="6" cm="1">
        <f t="array" ref="H1037">IFERROR(IF(INDEX(EmployeeData[Exit Date], ROW() - 37)=0, "",INDEX(EmployeeData[Exit Date], ROW() - 37)),"")</f>
        <v>45580</v>
      </c>
      <c r="I1037" s="4" t="str" cm="1">
        <f t="array" ref="I1037">IFERROR(IF(INDEX(EmployeeData[Exit Reason], ROW() - 37)=0, "",INDEX(EmployeeData[Exit Reason], ROW() - 37)),"")</f>
        <v>Termination</v>
      </c>
      <c r="J1037" s="4" t="str" cm="1">
        <f t="array" ref="J1037">IFERROR(INDEX(EmployeeData[Status], ROW() - 37), "")</f>
        <v>Exited</v>
      </c>
    </row>
    <row r="1038" spans="2:10" ht="19.95" customHeight="1" x14ac:dyDescent="0.3">
      <c r="B1038" s="4" cm="1">
        <f t="array" ref="B1038">IFERROR(INDEX(EmployeeData[Employee ID], ROW() - 37), "")</f>
        <v>2001</v>
      </c>
      <c r="C1038" s="4" t="str" cm="1">
        <f t="array" ref="C1038">IFERROR(INDEX(EmployeeData[Full Name], ROW() - 37), "")</f>
        <v>Patricia Lazo</v>
      </c>
      <c r="D1038" s="4" t="str" cm="1">
        <f t="array" ref="D1038">IFERROR(INDEX(EmployeeData[Department], ROW() - 37), "")</f>
        <v>HR</v>
      </c>
      <c r="E1038" s="4" t="str" cm="1">
        <f t="array" ref="E1038">IFERROR(INDEX(EmployeeData[Gender], ROW() - 37), "")</f>
        <v>Female</v>
      </c>
      <c r="F1038" s="4" cm="1">
        <f t="array" ref="F1038">IFERROR(INDEX(EmployeeData[Age], ROW() - 37), "")</f>
        <v>57</v>
      </c>
      <c r="G1038" s="6" cm="1">
        <f t="array" ref="G1038">IFERROR(INDEX(EmployeeData[Join Date], ROW() - 37), "")</f>
        <v>44196</v>
      </c>
      <c r="H1038" s="6" cm="1">
        <f t="array" ref="H1038">IFERROR(IF(INDEX(EmployeeData[Exit Date], ROW() - 37)=0, "",INDEX(EmployeeData[Exit Date], ROW() - 37)),"")</f>
        <v>45771</v>
      </c>
      <c r="I1038" s="4" t="str" cm="1">
        <f t="array" ref="I1038">IFERROR(IF(INDEX(EmployeeData[Exit Reason], ROW() - 37)=0, "",INDEX(EmployeeData[Exit Reason], ROW() - 37)),"")</f>
        <v>Relocation</v>
      </c>
      <c r="J1038" s="4" t="str" cm="1">
        <f t="array" ref="J1038">IFERROR(INDEX(EmployeeData[Status], ROW() - 37), "")</f>
        <v>Exited</v>
      </c>
    </row>
    <row r="1039" spans="2:10" ht="19.95" customHeight="1" x14ac:dyDescent="0.3">
      <c r="B1039" s="4" cm="1">
        <f t="array" ref="B1039">IFERROR(INDEX(EmployeeData[Employee ID], ROW() - 37), "")</f>
        <v>2002</v>
      </c>
      <c r="C1039" s="4" t="str" cm="1">
        <f t="array" ref="C1039">IFERROR(INDEX(EmployeeData[Full Name], ROW() - 37), "")</f>
        <v>Ivan Aguilar Suarez</v>
      </c>
      <c r="D1039" s="4" t="str" cm="1">
        <f t="array" ref="D1039">IFERROR(INDEX(EmployeeData[Department], ROW() - 37), "")</f>
        <v>HR</v>
      </c>
      <c r="E1039" s="4" t="str" cm="1">
        <f t="array" ref="E1039">IFERROR(INDEX(EmployeeData[Gender], ROW() - 37), "")</f>
        <v>Male</v>
      </c>
      <c r="F1039" s="4" cm="1">
        <f t="array" ref="F1039">IFERROR(INDEX(EmployeeData[Age], ROW() - 37), "")</f>
        <v>50</v>
      </c>
      <c r="G1039" s="6" cm="1">
        <f t="array" ref="G1039">IFERROR(INDEX(EmployeeData[Join Date], ROW() - 37), "")</f>
        <v>43850</v>
      </c>
      <c r="H1039" s="6" t="str" cm="1">
        <f t="array" ref="H1039">IFERROR(IF(INDEX(EmployeeData[Exit Date], ROW() - 37)=0, "",INDEX(EmployeeData[Exit Date], ROW() - 37)),"")</f>
        <v/>
      </c>
      <c r="I1039" s="4" t="str" cm="1">
        <f t="array" ref="I1039">IFERROR(IF(INDEX(EmployeeData[Exit Reason], ROW() - 37)=0, "",INDEX(EmployeeData[Exit Reason], ROW() - 37)),"")</f>
        <v/>
      </c>
      <c r="J1039" s="4" t="str" cm="1">
        <f t="array" ref="J1039">IFERROR(INDEX(EmployeeData[Status], ROW() - 37), "")</f>
        <v>Active</v>
      </c>
    </row>
    <row r="1040" spans="2:10" ht="19.95" customHeight="1" x14ac:dyDescent="0.3">
      <c r="B1040" s="4" cm="1">
        <f t="array" ref="B1040">IFERROR(INDEX(EmployeeData[Employee ID], ROW() - 37), "")</f>
        <v>2003</v>
      </c>
      <c r="C1040" s="4" t="str" cm="1">
        <f t="array" ref="C1040">IFERROR(INDEX(EmployeeData[Full Name], ROW() - 37), "")</f>
        <v>Danilo Navarro Yap</v>
      </c>
      <c r="D1040" s="4" t="str" cm="1">
        <f t="array" ref="D1040">IFERROR(INDEX(EmployeeData[Department], ROW() - 37), "")</f>
        <v>Finance</v>
      </c>
      <c r="E1040" s="4" t="str" cm="1">
        <f t="array" ref="E1040">IFERROR(INDEX(EmployeeData[Gender], ROW() - 37), "")</f>
        <v>Male</v>
      </c>
      <c r="F1040" s="4" cm="1">
        <f t="array" ref="F1040">IFERROR(INDEX(EmployeeData[Age], ROW() - 37), "")</f>
        <v>35</v>
      </c>
      <c r="G1040" s="6" cm="1">
        <f t="array" ref="G1040">IFERROR(INDEX(EmployeeData[Join Date], ROW() - 37), "")</f>
        <v>44351</v>
      </c>
      <c r="H1040" s="6" t="str" cm="1">
        <f t="array" ref="H1040">IFERROR(IF(INDEX(EmployeeData[Exit Date], ROW() - 37)=0, "",INDEX(EmployeeData[Exit Date], ROW() - 37)),"")</f>
        <v/>
      </c>
      <c r="I1040" s="4" t="str" cm="1">
        <f t="array" ref="I1040">IFERROR(IF(INDEX(EmployeeData[Exit Reason], ROW() - 37)=0, "",INDEX(EmployeeData[Exit Reason], ROW() - 37)),"")</f>
        <v/>
      </c>
      <c r="J1040" s="4" t="str" cm="1">
        <f t="array" ref="J1040">IFERROR(INDEX(EmployeeData[Status], ROW() - 37), "")</f>
        <v>Active</v>
      </c>
    </row>
    <row r="1041" spans="2:10" ht="19.95" customHeight="1" x14ac:dyDescent="0.3">
      <c r="B1041" s="4" cm="1">
        <f t="array" ref="B1041">IFERROR(INDEX(EmployeeData[Employee ID], ROW() - 37), "")</f>
        <v>2004</v>
      </c>
      <c r="C1041" s="4" t="str" cm="1">
        <f t="array" ref="C1041">IFERROR(INDEX(EmployeeData[Full Name], ROW() - 37), "")</f>
        <v>Gregorio Pascual Macapagal</v>
      </c>
      <c r="D1041" s="4" t="str" cm="1">
        <f t="array" ref="D1041">IFERROR(INDEX(EmployeeData[Department], ROW() - 37), "")</f>
        <v>Sales</v>
      </c>
      <c r="E1041" s="4" t="str" cm="1">
        <f t="array" ref="E1041">IFERROR(INDEX(EmployeeData[Gender], ROW() - 37), "")</f>
        <v>Male</v>
      </c>
      <c r="F1041" s="4" cm="1">
        <f t="array" ref="F1041">IFERROR(INDEX(EmployeeData[Age], ROW() - 37), "")</f>
        <v>25</v>
      </c>
      <c r="G1041" s="6" cm="1">
        <f t="array" ref="G1041">IFERROR(INDEX(EmployeeData[Join Date], ROW() - 37), "")</f>
        <v>44084</v>
      </c>
      <c r="H1041" s="6" t="str" cm="1">
        <f t="array" ref="H1041">IFERROR(IF(INDEX(EmployeeData[Exit Date], ROW() - 37)=0, "",INDEX(EmployeeData[Exit Date], ROW() - 37)),"")</f>
        <v/>
      </c>
      <c r="I1041" s="4" t="str" cm="1">
        <f t="array" ref="I1041">IFERROR(IF(INDEX(EmployeeData[Exit Reason], ROW() - 37)=0, "",INDEX(EmployeeData[Exit Reason], ROW() - 37)),"")</f>
        <v/>
      </c>
      <c r="J1041" s="4" t="str" cm="1">
        <f t="array" ref="J1041">IFERROR(INDEX(EmployeeData[Status], ROW() - 37), "")</f>
        <v>Active</v>
      </c>
    </row>
    <row r="1042" spans="2:10" ht="19.95" customHeight="1" x14ac:dyDescent="0.3">
      <c r="B1042" s="4" cm="1">
        <f t="array" ref="B1042">IFERROR(INDEX(EmployeeData[Employee ID], ROW() - 37), "")</f>
        <v>2005</v>
      </c>
      <c r="C1042" s="4" t="str" cm="1">
        <f t="array" ref="C1042">IFERROR(INDEX(EmployeeData[Full Name], ROW() - 37), "")</f>
        <v>Crisanto Torres Umali</v>
      </c>
      <c r="D1042" s="4" t="str" cm="1">
        <f t="array" ref="D1042">IFERROR(INDEX(EmployeeData[Department], ROW() - 37), "")</f>
        <v>Marketing</v>
      </c>
      <c r="E1042" s="4" t="str" cm="1">
        <f t="array" ref="E1042">IFERROR(INDEX(EmployeeData[Gender], ROW() - 37), "")</f>
        <v>Male</v>
      </c>
      <c r="F1042" s="4" cm="1">
        <f t="array" ref="F1042">IFERROR(INDEX(EmployeeData[Age], ROW() - 37), "")</f>
        <v>21</v>
      </c>
      <c r="G1042" s="6" cm="1">
        <f t="array" ref="G1042">IFERROR(INDEX(EmployeeData[Join Date], ROW() - 37), "")</f>
        <v>44837</v>
      </c>
      <c r="H1042" s="6" t="str" cm="1">
        <f t="array" ref="H1042">IFERROR(IF(INDEX(EmployeeData[Exit Date], ROW() - 37)=0, "",INDEX(EmployeeData[Exit Date], ROW() - 37)),"")</f>
        <v/>
      </c>
      <c r="I1042" s="4" t="str" cm="1">
        <f t="array" ref="I1042">IFERROR(IF(INDEX(EmployeeData[Exit Reason], ROW() - 37)=0, "",INDEX(EmployeeData[Exit Reason], ROW() - 37)),"")</f>
        <v/>
      </c>
      <c r="J1042" s="4" t="str" cm="1">
        <f t="array" ref="J1042">IFERROR(INDEX(EmployeeData[Status], ROW() - 37), "")</f>
        <v>Active</v>
      </c>
    </row>
    <row r="1043" spans="2:10" ht="19.95" customHeight="1" x14ac:dyDescent="0.3">
      <c r="B1043" s="4" cm="1">
        <f t="array" ref="B1043">IFERROR(INDEX(EmployeeData[Employee ID], ROW() - 37), "")</f>
        <v>2006</v>
      </c>
      <c r="C1043" s="4" t="str" cm="1">
        <f t="array" ref="C1043">IFERROR(INDEX(EmployeeData[Full Name], ROW() - 37), "")</f>
        <v>Harold Uy</v>
      </c>
      <c r="D1043" s="4" t="str" cm="1">
        <f t="array" ref="D1043">IFERROR(INDEX(EmployeeData[Department], ROW() - 37), "")</f>
        <v>IT</v>
      </c>
      <c r="E1043" s="4" t="str" cm="1">
        <f t="array" ref="E1043">IFERROR(INDEX(EmployeeData[Gender], ROW() - 37), "")</f>
        <v>Male</v>
      </c>
      <c r="F1043" s="4" cm="1">
        <f t="array" ref="F1043">IFERROR(INDEX(EmployeeData[Age], ROW() - 37), "")</f>
        <v>21</v>
      </c>
      <c r="G1043" s="6" cm="1">
        <f t="array" ref="G1043">IFERROR(INDEX(EmployeeData[Join Date], ROW() - 37), "")</f>
        <v>44841</v>
      </c>
      <c r="H1043" s="6" t="str" cm="1">
        <f t="array" ref="H1043">IFERROR(IF(INDEX(EmployeeData[Exit Date], ROW() - 37)=0, "",INDEX(EmployeeData[Exit Date], ROW() - 37)),"")</f>
        <v/>
      </c>
      <c r="I1043" s="4" t="str" cm="1">
        <f t="array" ref="I1043">IFERROR(IF(INDEX(EmployeeData[Exit Reason], ROW() - 37)=0, "",INDEX(EmployeeData[Exit Reason], ROW() - 37)),"")</f>
        <v/>
      </c>
      <c r="J1043" s="4" t="str" cm="1">
        <f t="array" ref="J1043">IFERROR(INDEX(EmployeeData[Status], ROW() - 37), "")</f>
        <v>Active</v>
      </c>
    </row>
    <row r="1044" spans="2:10" ht="19.95" customHeight="1" x14ac:dyDescent="0.3">
      <c r="B1044" s="4" cm="1">
        <f t="array" ref="B1044">IFERROR(INDEX(EmployeeData[Employee ID], ROW() - 37), "")</f>
        <v>2007</v>
      </c>
      <c r="C1044" s="4" t="str" cm="1">
        <f t="array" ref="C1044">IFERROR(INDEX(EmployeeData[Full Name], ROW() - 37), "")</f>
        <v>Cristina Natividad</v>
      </c>
      <c r="D1044" s="4" t="str" cm="1">
        <f t="array" ref="D1044">IFERROR(INDEX(EmployeeData[Department], ROW() - 37), "")</f>
        <v>HR</v>
      </c>
      <c r="E1044" s="4" t="str" cm="1">
        <f t="array" ref="E1044">IFERROR(INDEX(EmployeeData[Gender], ROW() - 37), "")</f>
        <v>Other</v>
      </c>
      <c r="F1044" s="4" cm="1">
        <f t="array" ref="F1044">IFERROR(INDEX(EmployeeData[Age], ROW() - 37), "")</f>
        <v>54</v>
      </c>
      <c r="G1044" s="6" cm="1">
        <f t="array" ref="G1044">IFERROR(INDEX(EmployeeData[Join Date], ROW() - 37), "")</f>
        <v>45902</v>
      </c>
      <c r="H1044" s="6" t="str" cm="1">
        <f t="array" ref="H1044">IFERROR(IF(INDEX(EmployeeData[Exit Date], ROW() - 37)=0, "",INDEX(EmployeeData[Exit Date], ROW() - 37)),"")</f>
        <v/>
      </c>
      <c r="I1044" s="4" t="str" cm="1">
        <f t="array" ref="I1044">IFERROR(IF(INDEX(EmployeeData[Exit Reason], ROW() - 37)=0, "",INDEX(EmployeeData[Exit Reason], ROW() - 37)),"")</f>
        <v/>
      </c>
      <c r="J1044" s="4" t="str" cm="1">
        <f t="array" ref="J1044">IFERROR(INDEX(EmployeeData[Status], ROW() - 37), "")</f>
        <v>Active</v>
      </c>
    </row>
    <row r="1045" spans="2:10" ht="19.95" customHeight="1" x14ac:dyDescent="0.3">
      <c r="B1045" s="4" cm="1">
        <f t="array" ref="B1045">IFERROR(INDEX(EmployeeData[Employee ID], ROW() - 37), "")</f>
        <v>2008</v>
      </c>
      <c r="C1045" s="4" t="str" cm="1">
        <f t="array" ref="C1045">IFERROR(INDEX(EmployeeData[Full Name], ROW() - 37), "")</f>
        <v>Pilar Crisostomo</v>
      </c>
      <c r="D1045" s="4" t="str" cm="1">
        <f t="array" ref="D1045">IFERROR(INDEX(EmployeeData[Department], ROW() - 37), "")</f>
        <v>HR</v>
      </c>
      <c r="E1045" s="4" t="str" cm="1">
        <f t="array" ref="E1045">IFERROR(INDEX(EmployeeData[Gender], ROW() - 37), "")</f>
        <v>Other</v>
      </c>
      <c r="F1045" s="4" cm="1">
        <f t="array" ref="F1045">IFERROR(INDEX(EmployeeData[Age], ROW() - 37), "")</f>
        <v>54</v>
      </c>
      <c r="G1045" s="6" cm="1">
        <f t="array" ref="G1045">IFERROR(INDEX(EmployeeData[Join Date], ROW() - 37), "")</f>
        <v>44022</v>
      </c>
      <c r="H1045" s="6" cm="1">
        <f t="array" ref="H1045">IFERROR(IF(INDEX(EmployeeData[Exit Date], ROW() - 37)=0, "",INDEX(EmployeeData[Exit Date], ROW() - 37)),"")</f>
        <v>45615</v>
      </c>
      <c r="I1045" s="4" t="str" cm="1">
        <f t="array" ref="I1045">IFERROR(IF(INDEX(EmployeeData[Exit Reason], ROW() - 37)=0, "",INDEX(EmployeeData[Exit Reason], ROW() - 37)),"")</f>
        <v>Resignation</v>
      </c>
      <c r="J1045" s="4" t="str" cm="1">
        <f t="array" ref="J1045">IFERROR(INDEX(EmployeeData[Status], ROW() - 37), "")</f>
        <v>Exited</v>
      </c>
    </row>
    <row r="1046" spans="2:10" ht="19.95" customHeight="1" x14ac:dyDescent="0.3">
      <c r="B1046" s="4" cm="1">
        <f t="array" ref="B1046">IFERROR(INDEX(EmployeeData[Employee ID], ROW() - 37), "")</f>
        <v>2009</v>
      </c>
      <c r="C1046" s="4" t="str" cm="1">
        <f t="array" ref="C1046">IFERROR(INDEX(EmployeeData[Full Name], ROW() - 37), "")</f>
        <v>Joselito Pascual Chua</v>
      </c>
      <c r="D1046" s="4" t="str" cm="1">
        <f t="array" ref="D1046">IFERROR(INDEX(EmployeeData[Department], ROW() - 37), "")</f>
        <v>IT</v>
      </c>
      <c r="E1046" s="4" t="str" cm="1">
        <f t="array" ref="E1046">IFERROR(INDEX(EmployeeData[Gender], ROW() - 37), "")</f>
        <v>Male</v>
      </c>
      <c r="F1046" s="4" cm="1">
        <f t="array" ref="F1046">IFERROR(INDEX(EmployeeData[Age], ROW() - 37), "")</f>
        <v>44</v>
      </c>
      <c r="G1046" s="6" cm="1">
        <f t="array" ref="G1046">IFERROR(INDEX(EmployeeData[Join Date], ROW() - 37), "")</f>
        <v>43564</v>
      </c>
      <c r="H1046" s="6" cm="1">
        <f t="array" ref="H1046">IFERROR(IF(INDEX(EmployeeData[Exit Date], ROW() - 37)=0, "",INDEX(EmployeeData[Exit Date], ROW() - 37)),"")</f>
        <v>44677</v>
      </c>
      <c r="I1046" s="4" t="str" cm="1">
        <f t="array" ref="I1046">IFERROR(IF(INDEX(EmployeeData[Exit Reason], ROW() - 37)=0, "",INDEX(EmployeeData[Exit Reason], ROW() - 37)),"")</f>
        <v>Resignation</v>
      </c>
      <c r="J1046" s="4" t="str" cm="1">
        <f t="array" ref="J1046">IFERROR(INDEX(EmployeeData[Status], ROW() - 37), "")</f>
        <v>Exited</v>
      </c>
    </row>
    <row r="1047" spans="2:10" ht="19.95" customHeight="1" x14ac:dyDescent="0.3">
      <c r="B1047" s="4" cm="1">
        <f t="array" ref="B1047">IFERROR(INDEX(EmployeeData[Employee ID], ROW() - 37), "")</f>
        <v>2010</v>
      </c>
      <c r="C1047" s="4" t="str" cm="1">
        <f t="array" ref="C1047">IFERROR(INDEX(EmployeeData[Full Name], ROW() - 37), "")</f>
        <v>Lea Ocampo</v>
      </c>
      <c r="D1047" s="4" t="str" cm="1">
        <f t="array" ref="D1047">IFERROR(INDEX(EmployeeData[Department], ROW() - 37), "")</f>
        <v>IT</v>
      </c>
      <c r="E1047" s="4" t="str" cm="1">
        <f t="array" ref="E1047">IFERROR(INDEX(EmployeeData[Gender], ROW() - 37), "")</f>
        <v>Female</v>
      </c>
      <c r="F1047" s="4" cm="1">
        <f t="array" ref="F1047">IFERROR(INDEX(EmployeeData[Age], ROW() - 37), "")</f>
        <v>57</v>
      </c>
      <c r="G1047" s="6" cm="1">
        <f t="array" ref="G1047">IFERROR(INDEX(EmployeeData[Join Date], ROW() - 37), "")</f>
        <v>44713</v>
      </c>
      <c r="H1047" s="6" cm="1">
        <f t="array" ref="H1047">IFERROR(IF(INDEX(EmployeeData[Exit Date], ROW() - 37)=0, "",INDEX(EmployeeData[Exit Date], ROW() - 37)),"")</f>
        <v>45427</v>
      </c>
      <c r="I1047" s="4" t="str" cm="1">
        <f t="array" ref="I1047">IFERROR(IF(INDEX(EmployeeData[Exit Reason], ROW() - 37)=0, "",INDEX(EmployeeData[Exit Reason], ROW() - 37)),"")</f>
        <v>Contract End</v>
      </c>
      <c r="J1047" s="4" t="str" cm="1">
        <f t="array" ref="J1047">IFERROR(INDEX(EmployeeData[Status], ROW() - 37), "")</f>
        <v>Exited</v>
      </c>
    </row>
    <row r="1048" spans="2:10" ht="19.95" customHeight="1" x14ac:dyDescent="0.3">
      <c r="B1048" s="4" cm="1">
        <f t="array" ref="B1048">IFERROR(INDEX(EmployeeData[Employee ID], ROW() - 37), "")</f>
        <v>2011</v>
      </c>
      <c r="C1048" s="4" t="str" cm="1">
        <f t="array" ref="C1048">IFERROR(INDEX(EmployeeData[Full Name], ROW() - 37), "")</f>
        <v>Taylor Gonzales Santos</v>
      </c>
      <c r="D1048" s="4" t="str" cm="1">
        <f t="array" ref="D1048">IFERROR(INDEX(EmployeeData[Department], ROW() - 37), "")</f>
        <v>Sales</v>
      </c>
      <c r="E1048" s="4" t="str" cm="1">
        <f t="array" ref="E1048">IFERROR(INDEX(EmployeeData[Gender], ROW() - 37), "")</f>
        <v>Other</v>
      </c>
      <c r="F1048" s="4" cm="1">
        <f t="array" ref="F1048">IFERROR(INDEX(EmployeeData[Age], ROW() - 37), "")</f>
        <v>61</v>
      </c>
      <c r="G1048" s="6" cm="1">
        <f t="array" ref="G1048">IFERROR(INDEX(EmployeeData[Join Date], ROW() - 37), "")</f>
        <v>44558</v>
      </c>
      <c r="H1048" s="6" cm="1">
        <f t="array" ref="H1048">IFERROR(IF(INDEX(EmployeeData[Exit Date], ROW() - 37)=0, "",INDEX(EmployeeData[Exit Date], ROW() - 37)),"")</f>
        <v>45590</v>
      </c>
      <c r="I1048" s="4" t="str" cm="1">
        <f t="array" ref="I1048">IFERROR(IF(INDEX(EmployeeData[Exit Reason], ROW() - 37)=0, "",INDEX(EmployeeData[Exit Reason], ROW() - 37)),"")</f>
        <v>Retirement</v>
      </c>
      <c r="J1048" s="4" t="str" cm="1">
        <f t="array" ref="J1048">IFERROR(INDEX(EmployeeData[Status], ROW() - 37), "")</f>
        <v>Exited</v>
      </c>
    </row>
    <row r="1049" spans="2:10" ht="19.95" customHeight="1" x14ac:dyDescent="0.3">
      <c r="B1049" s="4" cm="1">
        <f t="array" ref="B1049">IFERROR(INDEX(EmployeeData[Employee ID], ROW() - 37), "")</f>
        <v>2012</v>
      </c>
      <c r="C1049" s="4" t="str" cm="1">
        <f t="array" ref="C1049">IFERROR(INDEX(EmployeeData[Full Name], ROW() - 37), "")</f>
        <v>Florinda Ang Bondoc</v>
      </c>
      <c r="D1049" s="4" t="str" cm="1">
        <f t="array" ref="D1049">IFERROR(INDEX(EmployeeData[Department], ROW() - 37), "")</f>
        <v>IT</v>
      </c>
      <c r="E1049" s="4" t="str" cm="1">
        <f t="array" ref="E1049">IFERROR(INDEX(EmployeeData[Gender], ROW() - 37), "")</f>
        <v>Female</v>
      </c>
      <c r="F1049" s="4" cm="1">
        <f t="array" ref="F1049">IFERROR(INDEX(EmployeeData[Age], ROW() - 37), "")</f>
        <v>48</v>
      </c>
      <c r="G1049" s="6" cm="1">
        <f t="array" ref="G1049">IFERROR(INDEX(EmployeeData[Join Date], ROW() - 37), "")</f>
        <v>45116</v>
      </c>
      <c r="H1049" s="6" cm="1">
        <f t="array" ref="H1049">IFERROR(IF(INDEX(EmployeeData[Exit Date], ROW() - 37)=0, "",INDEX(EmployeeData[Exit Date], ROW() - 37)),"")</f>
        <v>45747</v>
      </c>
      <c r="I1049" s="4" t="str" cm="1">
        <f t="array" ref="I1049">IFERROR(IF(INDEX(EmployeeData[Exit Reason], ROW() - 37)=0, "",INDEX(EmployeeData[Exit Reason], ROW() - 37)),"")</f>
        <v>Health Issues</v>
      </c>
      <c r="J1049" s="4" t="str" cm="1">
        <f t="array" ref="J1049">IFERROR(INDEX(EmployeeData[Status], ROW() - 37), "")</f>
        <v>Exited</v>
      </c>
    </row>
    <row r="1050" spans="2:10" ht="19.95" customHeight="1" x14ac:dyDescent="0.3">
      <c r="B1050" s="4" cm="1">
        <f t="array" ref="B1050">IFERROR(INDEX(EmployeeData[Employee ID], ROW() - 37), "")</f>
        <v>2013</v>
      </c>
      <c r="C1050" s="4" t="str" cm="1">
        <f t="array" ref="C1050">IFERROR(INDEX(EmployeeData[Full Name], ROW() - 37), "")</f>
        <v>Ronaldo Gonzales Sia</v>
      </c>
      <c r="D1050" s="4" t="str" cm="1">
        <f t="array" ref="D1050">IFERROR(INDEX(EmployeeData[Department], ROW() - 37), "")</f>
        <v>Customer Support</v>
      </c>
      <c r="E1050" s="4" t="str" cm="1">
        <f t="array" ref="E1050">IFERROR(INDEX(EmployeeData[Gender], ROW() - 37), "")</f>
        <v>Other</v>
      </c>
      <c r="F1050" s="4" cm="1">
        <f t="array" ref="F1050">IFERROR(INDEX(EmployeeData[Age], ROW() - 37), "")</f>
        <v>37</v>
      </c>
      <c r="G1050" s="6" cm="1">
        <f t="array" ref="G1050">IFERROR(INDEX(EmployeeData[Join Date], ROW() - 37), "")</f>
        <v>44027</v>
      </c>
      <c r="H1050" s="6" t="str" cm="1">
        <f t="array" ref="H1050">IFERROR(IF(INDEX(EmployeeData[Exit Date], ROW() - 37)=0, "",INDEX(EmployeeData[Exit Date], ROW() - 37)),"")</f>
        <v/>
      </c>
      <c r="I1050" s="4" t="str" cm="1">
        <f t="array" ref="I1050">IFERROR(IF(INDEX(EmployeeData[Exit Reason], ROW() - 37)=0, "",INDEX(EmployeeData[Exit Reason], ROW() - 37)),"")</f>
        <v/>
      </c>
      <c r="J1050" s="4" t="str" cm="1">
        <f t="array" ref="J1050">IFERROR(INDEX(EmployeeData[Status], ROW() - 37), "")</f>
        <v>Active</v>
      </c>
    </row>
    <row r="1051" spans="2:10" ht="19.95" customHeight="1" x14ac:dyDescent="0.3">
      <c r="B1051" s="4" cm="1">
        <f t="array" ref="B1051">IFERROR(INDEX(EmployeeData[Employee ID], ROW() - 37), "")</f>
        <v>2014</v>
      </c>
      <c r="C1051" s="4" t="str" cm="1">
        <f t="array" ref="C1051">IFERROR(INDEX(EmployeeData[Full Name], ROW() - 37), "")</f>
        <v>Herminia Sy Ramirez</v>
      </c>
      <c r="D1051" s="4" t="str" cm="1">
        <f t="array" ref="D1051">IFERROR(INDEX(EmployeeData[Department], ROW() - 37), "")</f>
        <v>Marketing</v>
      </c>
      <c r="E1051" s="4" t="str" cm="1">
        <f t="array" ref="E1051">IFERROR(INDEX(EmployeeData[Gender], ROW() - 37), "")</f>
        <v>Female</v>
      </c>
      <c r="F1051" s="4" cm="1">
        <f t="array" ref="F1051">IFERROR(INDEX(EmployeeData[Age], ROW() - 37), "")</f>
        <v>49</v>
      </c>
      <c r="G1051" s="6" cm="1">
        <f t="array" ref="G1051">IFERROR(INDEX(EmployeeData[Join Date], ROW() - 37), "")</f>
        <v>45789</v>
      </c>
      <c r="H1051" s="6" t="str" cm="1">
        <f t="array" ref="H1051">IFERROR(IF(INDEX(EmployeeData[Exit Date], ROW() - 37)=0, "",INDEX(EmployeeData[Exit Date], ROW() - 37)),"")</f>
        <v/>
      </c>
      <c r="I1051" s="4" t="str" cm="1">
        <f t="array" ref="I1051">IFERROR(IF(INDEX(EmployeeData[Exit Reason], ROW() - 37)=0, "",INDEX(EmployeeData[Exit Reason], ROW() - 37)),"")</f>
        <v/>
      </c>
      <c r="J1051" s="4" t="str" cm="1">
        <f t="array" ref="J1051">IFERROR(INDEX(EmployeeData[Status], ROW() - 37), "")</f>
        <v>Active</v>
      </c>
    </row>
    <row r="1052" spans="2:10" ht="19.95" customHeight="1" x14ac:dyDescent="0.3">
      <c r="B1052" s="4" cm="1">
        <f t="array" ref="B1052">IFERROR(INDEX(EmployeeData[Employee ID], ROW() - 37), "")</f>
        <v>2015</v>
      </c>
      <c r="C1052" s="4" t="str" cm="1">
        <f t="array" ref="C1052">IFERROR(INDEX(EmployeeData[Full Name], ROW() - 37), "")</f>
        <v>Ana Cruz Del Rosario</v>
      </c>
      <c r="D1052" s="4" t="str" cm="1">
        <f t="array" ref="D1052">IFERROR(INDEX(EmployeeData[Department], ROW() - 37), "")</f>
        <v>Customer Support</v>
      </c>
      <c r="E1052" s="4" t="str" cm="1">
        <f t="array" ref="E1052">IFERROR(INDEX(EmployeeData[Gender], ROW() - 37), "")</f>
        <v>Other</v>
      </c>
      <c r="F1052" s="4" cm="1">
        <f t="array" ref="F1052">IFERROR(INDEX(EmployeeData[Age], ROW() - 37), "")</f>
        <v>33</v>
      </c>
      <c r="G1052" s="6" cm="1">
        <f t="array" ref="G1052">IFERROR(INDEX(EmployeeData[Join Date], ROW() - 37), "")</f>
        <v>43554</v>
      </c>
      <c r="H1052" s="6" cm="1">
        <f t="array" ref="H1052">IFERROR(IF(INDEX(EmployeeData[Exit Date], ROW() - 37)=0, "",INDEX(EmployeeData[Exit Date], ROW() - 37)),"")</f>
        <v>43808</v>
      </c>
      <c r="I1052" s="4" t="str" cm="1">
        <f t="array" ref="I1052">IFERROR(IF(INDEX(EmployeeData[Exit Reason], ROW() - 37)=0, "",INDEX(EmployeeData[Exit Reason], ROW() - 37)),"")</f>
        <v>Better Opportunity</v>
      </c>
      <c r="J1052" s="4" t="str" cm="1">
        <f t="array" ref="J1052">IFERROR(INDEX(EmployeeData[Status], ROW() - 37), "")</f>
        <v>Exited</v>
      </c>
    </row>
    <row r="1053" spans="2:10" ht="19.95" customHeight="1" x14ac:dyDescent="0.3">
      <c r="B1053" s="4" cm="1">
        <f t="array" ref="B1053">IFERROR(INDEX(EmployeeData[Employee ID], ROW() - 37), "")</f>
        <v>2016</v>
      </c>
      <c r="C1053" s="4" t="str" cm="1">
        <f t="array" ref="C1053">IFERROR(INDEX(EmployeeData[Full Name], ROW() - 37), "")</f>
        <v>Annaliza Ang Camacho</v>
      </c>
      <c r="D1053" s="4" t="str" cm="1">
        <f t="array" ref="D1053">IFERROR(INDEX(EmployeeData[Department], ROW() - 37), "")</f>
        <v>Customer Support</v>
      </c>
      <c r="E1053" s="4" t="str" cm="1">
        <f t="array" ref="E1053">IFERROR(INDEX(EmployeeData[Gender], ROW() - 37), "")</f>
        <v>Female</v>
      </c>
      <c r="F1053" s="4" cm="1">
        <f t="array" ref="F1053">IFERROR(INDEX(EmployeeData[Age], ROW() - 37), "")</f>
        <v>51</v>
      </c>
      <c r="G1053" s="6" cm="1">
        <f t="array" ref="G1053">IFERROR(INDEX(EmployeeData[Join Date], ROW() - 37), "")</f>
        <v>45825</v>
      </c>
      <c r="H1053" s="6" t="str" cm="1">
        <f t="array" ref="H1053">IFERROR(IF(INDEX(EmployeeData[Exit Date], ROW() - 37)=0, "",INDEX(EmployeeData[Exit Date], ROW() - 37)),"")</f>
        <v/>
      </c>
      <c r="I1053" s="4" t="str" cm="1">
        <f t="array" ref="I1053">IFERROR(IF(INDEX(EmployeeData[Exit Reason], ROW() - 37)=0, "",INDEX(EmployeeData[Exit Reason], ROW() - 37)),"")</f>
        <v/>
      </c>
      <c r="J1053" s="4" t="str" cm="1">
        <f t="array" ref="J1053">IFERROR(INDEX(EmployeeData[Status], ROW() - 37), "")</f>
        <v>Active</v>
      </c>
    </row>
    <row r="1054" spans="2:10" ht="19.95" customHeight="1" x14ac:dyDescent="0.3">
      <c r="B1054" s="4" cm="1">
        <f t="array" ref="B1054">IFERROR(INDEX(EmployeeData[Employee ID], ROW() - 37), "")</f>
        <v>2017</v>
      </c>
      <c r="C1054" s="4" t="str" cm="1">
        <f t="array" ref="C1054">IFERROR(INDEX(EmployeeData[Full Name], ROW() - 37), "")</f>
        <v>Arnel Mendoza Flores</v>
      </c>
      <c r="D1054" s="4" t="str" cm="1">
        <f t="array" ref="D1054">IFERROR(INDEX(EmployeeData[Department], ROW() - 37), "")</f>
        <v>Sales</v>
      </c>
      <c r="E1054" s="4" t="str" cm="1">
        <f t="array" ref="E1054">IFERROR(INDEX(EmployeeData[Gender], ROW() - 37), "")</f>
        <v>Other</v>
      </c>
      <c r="F1054" s="4" cm="1">
        <f t="array" ref="F1054">IFERROR(INDEX(EmployeeData[Age], ROW() - 37), "")</f>
        <v>41</v>
      </c>
      <c r="G1054" s="6" cm="1">
        <f t="array" ref="G1054">IFERROR(INDEX(EmployeeData[Join Date], ROW() - 37), "")</f>
        <v>44738</v>
      </c>
      <c r="H1054" s="6" t="str" cm="1">
        <f t="array" ref="H1054">IFERROR(IF(INDEX(EmployeeData[Exit Date], ROW() - 37)=0, "",INDEX(EmployeeData[Exit Date], ROW() - 37)),"")</f>
        <v/>
      </c>
      <c r="I1054" s="4" t="str" cm="1">
        <f t="array" ref="I1054">IFERROR(IF(INDEX(EmployeeData[Exit Reason], ROW() - 37)=0, "",INDEX(EmployeeData[Exit Reason], ROW() - 37)),"")</f>
        <v/>
      </c>
      <c r="J1054" s="4" t="str" cm="1">
        <f t="array" ref="J1054">IFERROR(INDEX(EmployeeData[Status], ROW() - 37), "")</f>
        <v>Active</v>
      </c>
    </row>
    <row r="1055" spans="2:10" ht="19.95" customHeight="1" x14ac:dyDescent="0.3">
      <c r="B1055" s="4" cm="1">
        <f t="array" ref="B1055">IFERROR(INDEX(EmployeeData[Employee ID], ROW() - 37), "")</f>
        <v>2018</v>
      </c>
      <c r="C1055" s="4" t="str" cm="1">
        <f t="array" ref="C1055">IFERROR(INDEX(EmployeeData[Full Name], ROW() - 37), "")</f>
        <v>Aileen Perez</v>
      </c>
      <c r="D1055" s="4" t="str" cm="1">
        <f t="array" ref="D1055">IFERROR(INDEX(EmployeeData[Department], ROW() - 37), "")</f>
        <v>Sales</v>
      </c>
      <c r="E1055" s="4" t="str" cm="1">
        <f t="array" ref="E1055">IFERROR(INDEX(EmployeeData[Gender], ROW() - 37), "")</f>
        <v>Female</v>
      </c>
      <c r="F1055" s="4" cm="1">
        <f t="array" ref="F1055">IFERROR(INDEX(EmployeeData[Age], ROW() - 37), "")</f>
        <v>60</v>
      </c>
      <c r="G1055" s="6" cm="1">
        <f t="array" ref="G1055">IFERROR(INDEX(EmployeeData[Join Date], ROW() - 37), "")</f>
        <v>45149</v>
      </c>
      <c r="H1055" s="6" cm="1">
        <f t="array" ref="H1055">IFERROR(IF(INDEX(EmployeeData[Exit Date], ROW() - 37)=0, "",INDEX(EmployeeData[Exit Date], ROW() - 37)),"")</f>
        <v>45939</v>
      </c>
      <c r="I1055" s="4" t="str" cm="1">
        <f t="array" ref="I1055">IFERROR(IF(INDEX(EmployeeData[Exit Reason], ROW() - 37)=0, "",INDEX(EmployeeData[Exit Reason], ROW() - 37)),"")</f>
        <v>Retirement</v>
      </c>
      <c r="J1055" s="4" t="str" cm="1">
        <f t="array" ref="J1055">IFERROR(INDEX(EmployeeData[Status], ROW() - 37), "")</f>
        <v>Exited</v>
      </c>
    </row>
    <row r="1056" spans="2:10" ht="19.95" customHeight="1" x14ac:dyDescent="0.3">
      <c r="B1056" s="4" cm="1">
        <f t="array" ref="B1056">IFERROR(INDEX(EmployeeData[Employee ID], ROW() - 37), "")</f>
        <v>2019</v>
      </c>
      <c r="C1056" s="4" t="str" cm="1">
        <f t="array" ref="C1056">IFERROR(INDEX(EmployeeData[Full Name], ROW() - 37), "")</f>
        <v>Teresita Gonzales Trinidad</v>
      </c>
      <c r="D1056" s="4" t="str" cm="1">
        <f t="array" ref="D1056">IFERROR(INDEX(EmployeeData[Department], ROW() - 37), "")</f>
        <v>IT</v>
      </c>
      <c r="E1056" s="4" t="str" cm="1">
        <f t="array" ref="E1056">IFERROR(INDEX(EmployeeData[Gender], ROW() - 37), "")</f>
        <v>Female</v>
      </c>
      <c r="F1056" s="4" cm="1">
        <f t="array" ref="F1056">IFERROR(INDEX(EmployeeData[Age], ROW() - 37), "")</f>
        <v>52</v>
      </c>
      <c r="G1056" s="6" cm="1">
        <f t="array" ref="G1056">IFERROR(INDEX(EmployeeData[Join Date], ROW() - 37), "")</f>
        <v>43439</v>
      </c>
      <c r="H1056" s="6" t="str" cm="1">
        <f t="array" ref="H1056">IFERROR(IF(INDEX(EmployeeData[Exit Date], ROW() - 37)=0, "",INDEX(EmployeeData[Exit Date], ROW() - 37)),"")</f>
        <v/>
      </c>
      <c r="I1056" s="4" t="str" cm="1">
        <f t="array" ref="I1056">IFERROR(IF(INDEX(EmployeeData[Exit Reason], ROW() - 37)=0, "",INDEX(EmployeeData[Exit Reason], ROW() - 37)),"")</f>
        <v/>
      </c>
      <c r="J1056" s="4" t="str" cm="1">
        <f t="array" ref="J1056">IFERROR(INDEX(EmployeeData[Status], ROW() - 37), "")</f>
        <v>Active</v>
      </c>
    </row>
    <row r="1057" spans="2:10" ht="19.95" customHeight="1" x14ac:dyDescent="0.3">
      <c r="B1057" s="4" cm="1">
        <f t="array" ref="B1057">IFERROR(INDEX(EmployeeData[Employee ID], ROW() - 37), "")</f>
        <v>2020</v>
      </c>
      <c r="C1057" s="4" t="str" cm="1">
        <f t="array" ref="C1057">IFERROR(INDEX(EmployeeData[Full Name], ROW() - 37), "")</f>
        <v>Elena Lazo</v>
      </c>
      <c r="D1057" s="4" t="str" cm="1">
        <f t="array" ref="D1057">IFERROR(INDEX(EmployeeData[Department], ROW() - 37), "")</f>
        <v>IT</v>
      </c>
      <c r="E1057" s="4" t="str" cm="1">
        <f t="array" ref="E1057">IFERROR(INDEX(EmployeeData[Gender], ROW() - 37), "")</f>
        <v>Other</v>
      </c>
      <c r="F1057" s="4" cm="1">
        <f t="array" ref="F1057">IFERROR(INDEX(EmployeeData[Age], ROW() - 37), "")</f>
        <v>37</v>
      </c>
      <c r="G1057" s="6" cm="1">
        <f t="array" ref="G1057">IFERROR(INDEX(EmployeeData[Join Date], ROW() - 37), "")</f>
        <v>45972</v>
      </c>
      <c r="H1057" s="6" cm="1">
        <f t="array" ref="H1057">IFERROR(IF(INDEX(EmployeeData[Exit Date], ROW() - 37)=0, "",INDEX(EmployeeData[Exit Date], ROW() - 37)),"")</f>
        <v>46167</v>
      </c>
      <c r="I1057" s="4" t="str" cm="1">
        <f t="array" ref="I1057">IFERROR(IF(INDEX(EmployeeData[Exit Reason], ROW() - 37)=0, "",INDEX(EmployeeData[Exit Reason], ROW() - 37)),"")</f>
        <v>Termination</v>
      </c>
      <c r="J1057" s="4" t="str" cm="1">
        <f t="array" ref="J1057">IFERROR(INDEX(EmployeeData[Status], ROW() - 37), "")</f>
        <v>Exited</v>
      </c>
    </row>
    <row r="1058" spans="2:10" ht="19.95" customHeight="1" x14ac:dyDescent="0.3">
      <c r="B1058" s="4" cm="1">
        <f t="array" ref="B1058">IFERROR(INDEX(EmployeeData[Employee ID], ROW() - 37), "")</f>
        <v>2021</v>
      </c>
      <c r="C1058" s="4" t="str" cm="1">
        <f t="array" ref="C1058">IFERROR(INDEX(EmployeeData[Full Name], ROW() - 37), "")</f>
        <v>Lourdes Valencia</v>
      </c>
      <c r="D1058" s="4" t="str" cm="1">
        <f t="array" ref="D1058">IFERROR(INDEX(EmployeeData[Department], ROW() - 37), "")</f>
        <v>Customer Support</v>
      </c>
      <c r="E1058" s="4" t="str" cm="1">
        <f t="array" ref="E1058">IFERROR(INDEX(EmployeeData[Gender], ROW() - 37), "")</f>
        <v>Other</v>
      </c>
      <c r="F1058" s="4" cm="1">
        <f t="array" ref="F1058">IFERROR(INDEX(EmployeeData[Age], ROW() - 37), "")</f>
        <v>32</v>
      </c>
      <c r="G1058" s="6" cm="1">
        <f t="array" ref="G1058">IFERROR(INDEX(EmployeeData[Join Date], ROW() - 37), "")</f>
        <v>43873</v>
      </c>
      <c r="H1058" s="6" t="str" cm="1">
        <f t="array" ref="H1058">IFERROR(IF(INDEX(EmployeeData[Exit Date], ROW() - 37)=0, "",INDEX(EmployeeData[Exit Date], ROW() - 37)),"")</f>
        <v/>
      </c>
      <c r="I1058" s="4" t="str" cm="1">
        <f t="array" ref="I1058">IFERROR(IF(INDEX(EmployeeData[Exit Reason], ROW() - 37)=0, "",INDEX(EmployeeData[Exit Reason], ROW() - 37)),"")</f>
        <v/>
      </c>
      <c r="J1058" s="4" t="str" cm="1">
        <f t="array" ref="J1058">IFERROR(INDEX(EmployeeData[Status], ROW() - 37), "")</f>
        <v>Active</v>
      </c>
    </row>
    <row r="1059" spans="2:10" ht="19.95" customHeight="1" x14ac:dyDescent="0.3">
      <c r="B1059" s="4" cm="1">
        <f t="array" ref="B1059">IFERROR(INDEX(EmployeeData[Employee ID], ROW() - 37), "")</f>
        <v>2022</v>
      </c>
      <c r="C1059" s="4" t="str" cm="1">
        <f t="array" ref="C1059">IFERROR(INDEX(EmployeeData[Full Name], ROW() - 37), "")</f>
        <v>Erlinda Castro Estrada</v>
      </c>
      <c r="D1059" s="4" t="str" cm="1">
        <f t="array" ref="D1059">IFERROR(INDEX(EmployeeData[Department], ROW() - 37), "")</f>
        <v>Customer Support</v>
      </c>
      <c r="E1059" s="4" t="str" cm="1">
        <f t="array" ref="E1059">IFERROR(INDEX(EmployeeData[Gender], ROW() - 37), "")</f>
        <v>Female</v>
      </c>
      <c r="F1059" s="4" cm="1">
        <f t="array" ref="F1059">IFERROR(INDEX(EmployeeData[Age], ROW() - 37), "")</f>
        <v>23</v>
      </c>
      <c r="G1059" s="6" cm="1">
        <f t="array" ref="G1059">IFERROR(INDEX(EmployeeData[Join Date], ROW() - 37), "")</f>
        <v>44222</v>
      </c>
      <c r="H1059" s="6" t="str" cm="1">
        <f t="array" ref="H1059">IFERROR(IF(INDEX(EmployeeData[Exit Date], ROW() - 37)=0, "",INDEX(EmployeeData[Exit Date], ROW() - 37)),"")</f>
        <v/>
      </c>
      <c r="I1059" s="4" t="str" cm="1">
        <f t="array" ref="I1059">IFERROR(IF(INDEX(EmployeeData[Exit Reason], ROW() - 37)=0, "",INDEX(EmployeeData[Exit Reason], ROW() - 37)),"")</f>
        <v/>
      </c>
      <c r="J1059" s="4" t="str" cm="1">
        <f t="array" ref="J1059">IFERROR(INDEX(EmployeeData[Status], ROW() - 37), "")</f>
        <v>Active</v>
      </c>
    </row>
    <row r="1060" spans="2:10" ht="19.95" customHeight="1" x14ac:dyDescent="0.3">
      <c r="B1060" s="4" cm="1">
        <f t="array" ref="B1060">IFERROR(INDEX(EmployeeData[Employee ID], ROW() - 37), "")</f>
        <v>2023</v>
      </c>
      <c r="C1060" s="4" t="str" cm="1">
        <f t="array" ref="C1060">IFERROR(INDEX(EmployeeData[Full Name], ROW() - 37), "")</f>
        <v>Pacita Bautista Buenaventura</v>
      </c>
      <c r="D1060" s="4" t="str" cm="1">
        <f t="array" ref="D1060">IFERROR(INDEX(EmployeeData[Department], ROW() - 37), "")</f>
        <v>Customer Support</v>
      </c>
      <c r="E1060" s="4" t="str" cm="1">
        <f t="array" ref="E1060">IFERROR(INDEX(EmployeeData[Gender], ROW() - 37), "")</f>
        <v>Female</v>
      </c>
      <c r="F1060" s="4" cm="1">
        <f t="array" ref="F1060">IFERROR(INDEX(EmployeeData[Age], ROW() - 37), "")</f>
        <v>47</v>
      </c>
      <c r="G1060" s="6" cm="1">
        <f t="array" ref="G1060">IFERROR(INDEX(EmployeeData[Join Date], ROW() - 37), "")</f>
        <v>45251</v>
      </c>
      <c r="H1060" s="6" cm="1">
        <f t="array" ref="H1060">IFERROR(IF(INDEX(EmployeeData[Exit Date], ROW() - 37)=0, "",INDEX(EmployeeData[Exit Date], ROW() - 37)),"")</f>
        <v>45989</v>
      </c>
      <c r="I1060" s="4" t="str" cm="1">
        <f t="array" ref="I1060">IFERROR(IF(INDEX(EmployeeData[Exit Reason], ROW() - 37)=0, "",INDEX(EmployeeData[Exit Reason], ROW() - 37)),"")</f>
        <v>Contract End</v>
      </c>
      <c r="J1060" s="4" t="str" cm="1">
        <f t="array" ref="J1060">IFERROR(INDEX(EmployeeData[Status], ROW() - 37), "")</f>
        <v>Exited</v>
      </c>
    </row>
    <row r="1061" spans="2:10" ht="19.95" customHeight="1" x14ac:dyDescent="0.3">
      <c r="B1061" s="4" cm="1">
        <f t="array" ref="B1061">IFERROR(INDEX(EmployeeData[Employee ID], ROW() - 37), "")</f>
        <v>2024</v>
      </c>
      <c r="C1061" s="4" t="str" cm="1">
        <f t="array" ref="C1061">IFERROR(INDEX(EmployeeData[Full Name], ROW() - 37), "")</f>
        <v>Rafael Bautista Uy</v>
      </c>
      <c r="D1061" s="4" t="str" cm="1">
        <f t="array" ref="D1061">IFERROR(INDEX(EmployeeData[Department], ROW() - 37), "")</f>
        <v>Marketing</v>
      </c>
      <c r="E1061" s="4" t="str" cm="1">
        <f t="array" ref="E1061">IFERROR(INDEX(EmployeeData[Gender], ROW() - 37), "")</f>
        <v>Male</v>
      </c>
      <c r="F1061" s="4" cm="1">
        <f t="array" ref="F1061">IFERROR(INDEX(EmployeeData[Age], ROW() - 37), "")</f>
        <v>40</v>
      </c>
      <c r="G1061" s="6" cm="1">
        <f t="array" ref="G1061">IFERROR(INDEX(EmployeeData[Join Date], ROW() - 37), "")</f>
        <v>43551</v>
      </c>
      <c r="H1061" s="6" cm="1">
        <f t="array" ref="H1061">IFERROR(IF(INDEX(EmployeeData[Exit Date], ROW() - 37)=0, "",INDEX(EmployeeData[Exit Date], ROW() - 37)),"")</f>
        <v>44790</v>
      </c>
      <c r="I1061" s="4" t="str" cm="1">
        <f t="array" ref="I1061">IFERROR(IF(INDEX(EmployeeData[Exit Reason], ROW() - 37)=0, "",INDEX(EmployeeData[Exit Reason], ROW() - 37)),"")</f>
        <v>Contract End</v>
      </c>
      <c r="J1061" s="4" t="str" cm="1">
        <f t="array" ref="J1061">IFERROR(INDEX(EmployeeData[Status], ROW() - 37), "")</f>
        <v>Exited</v>
      </c>
    </row>
    <row r="1062" spans="2:10" ht="19.95" customHeight="1" x14ac:dyDescent="0.3">
      <c r="B1062" s="4" cm="1">
        <f t="array" ref="B1062">IFERROR(INDEX(EmployeeData[Employee ID], ROW() - 37), "")</f>
        <v>2025</v>
      </c>
      <c r="C1062" s="4" t="str" cm="1">
        <f t="array" ref="C1062">IFERROR(INDEX(EmployeeData[Full Name], ROW() - 37), "")</f>
        <v>Lourdes Ang Lacson</v>
      </c>
      <c r="D1062" s="4" t="str" cm="1">
        <f t="array" ref="D1062">IFERROR(INDEX(EmployeeData[Department], ROW() - 37), "")</f>
        <v>Customer Support</v>
      </c>
      <c r="E1062" s="4" t="str" cm="1">
        <f t="array" ref="E1062">IFERROR(INDEX(EmployeeData[Gender], ROW() - 37), "")</f>
        <v>Female</v>
      </c>
      <c r="F1062" s="4" cm="1">
        <f t="array" ref="F1062">IFERROR(INDEX(EmployeeData[Age], ROW() - 37), "")</f>
        <v>41</v>
      </c>
      <c r="G1062" s="6" cm="1">
        <f t="array" ref="G1062">IFERROR(INDEX(EmployeeData[Join Date], ROW() - 37), "")</f>
        <v>43969</v>
      </c>
      <c r="H1062" s="6" cm="1">
        <f t="array" ref="H1062">IFERROR(IF(INDEX(EmployeeData[Exit Date], ROW() - 37)=0, "",INDEX(EmployeeData[Exit Date], ROW() - 37)),"")</f>
        <v>45206</v>
      </c>
      <c r="I1062" s="4" t="str" cm="1">
        <f t="array" ref="I1062">IFERROR(IF(INDEX(EmployeeData[Exit Reason], ROW() - 37)=0, "",INDEX(EmployeeData[Exit Reason], ROW() - 37)),"")</f>
        <v>Resignation</v>
      </c>
      <c r="J1062" s="4" t="str" cm="1">
        <f t="array" ref="J1062">IFERROR(INDEX(EmployeeData[Status], ROW() - 37), "")</f>
        <v>Exited</v>
      </c>
    </row>
    <row r="1063" spans="2:10" ht="19.95" customHeight="1" x14ac:dyDescent="0.3">
      <c r="B1063" s="4" cm="1">
        <f t="array" ref="B1063">IFERROR(INDEX(EmployeeData[Employee ID], ROW() - 37), "")</f>
        <v>2026</v>
      </c>
      <c r="C1063" s="4" t="str" cm="1">
        <f t="array" ref="C1063">IFERROR(INDEX(EmployeeData[Full Name], ROW() - 37), "")</f>
        <v>Belinda Santiago Mangubat</v>
      </c>
      <c r="D1063" s="4" t="str" cm="1">
        <f t="array" ref="D1063">IFERROR(INDEX(EmployeeData[Department], ROW() - 37), "")</f>
        <v>IT</v>
      </c>
      <c r="E1063" s="4" t="str" cm="1">
        <f t="array" ref="E1063">IFERROR(INDEX(EmployeeData[Gender], ROW() - 37), "")</f>
        <v>Female</v>
      </c>
      <c r="F1063" s="4" cm="1">
        <f t="array" ref="F1063">IFERROR(INDEX(EmployeeData[Age], ROW() - 37), "")</f>
        <v>27</v>
      </c>
      <c r="G1063" s="6" cm="1">
        <f t="array" ref="G1063">IFERROR(INDEX(EmployeeData[Join Date], ROW() - 37), "")</f>
        <v>45841</v>
      </c>
      <c r="H1063" s="6" cm="1">
        <f t="array" ref="H1063">IFERROR(IF(INDEX(EmployeeData[Exit Date], ROW() - 37)=0, "",INDEX(EmployeeData[Exit Date], ROW() - 37)),"")</f>
        <v>46072</v>
      </c>
      <c r="I1063" s="4" t="str" cm="1">
        <f t="array" ref="I1063">IFERROR(IF(INDEX(EmployeeData[Exit Reason], ROW() - 37)=0, "",INDEX(EmployeeData[Exit Reason], ROW() - 37)),"")</f>
        <v>Personal Reasons</v>
      </c>
      <c r="J1063" s="4" t="str" cm="1">
        <f t="array" ref="J1063">IFERROR(INDEX(EmployeeData[Status], ROW() - 37), "")</f>
        <v>Exited</v>
      </c>
    </row>
    <row r="1064" spans="2:10" ht="19.95" customHeight="1" x14ac:dyDescent="0.3">
      <c r="B1064" s="4" cm="1">
        <f t="array" ref="B1064">IFERROR(INDEX(EmployeeData[Employee ID], ROW() - 37), "")</f>
        <v>2027</v>
      </c>
      <c r="C1064" s="4" t="str" cm="1">
        <f t="array" ref="C1064">IFERROR(INDEX(EmployeeData[Full Name], ROW() - 37), "")</f>
        <v>Lorenzo Mendoza Narvasa</v>
      </c>
      <c r="D1064" s="4" t="str" cm="1">
        <f t="array" ref="D1064">IFERROR(INDEX(EmployeeData[Department], ROW() - 37), "")</f>
        <v>HR</v>
      </c>
      <c r="E1064" s="4" t="str" cm="1">
        <f t="array" ref="E1064">IFERROR(INDEX(EmployeeData[Gender], ROW() - 37), "")</f>
        <v>Male</v>
      </c>
      <c r="F1064" s="4" cm="1">
        <f t="array" ref="F1064">IFERROR(INDEX(EmployeeData[Age], ROW() - 37), "")</f>
        <v>44</v>
      </c>
      <c r="G1064" s="6" cm="1">
        <f t="array" ref="G1064">IFERROR(INDEX(EmployeeData[Join Date], ROW() - 37), "")</f>
        <v>44076</v>
      </c>
      <c r="H1064" s="6" t="str" cm="1">
        <f t="array" ref="H1064">IFERROR(IF(INDEX(EmployeeData[Exit Date], ROW() - 37)=0, "",INDEX(EmployeeData[Exit Date], ROW() - 37)),"")</f>
        <v/>
      </c>
      <c r="I1064" s="4" t="str" cm="1">
        <f t="array" ref="I1064">IFERROR(IF(INDEX(EmployeeData[Exit Reason], ROW() - 37)=0, "",INDEX(EmployeeData[Exit Reason], ROW() - 37)),"")</f>
        <v/>
      </c>
      <c r="J1064" s="4" t="str" cm="1">
        <f t="array" ref="J1064">IFERROR(INDEX(EmployeeData[Status], ROW() - 37), "")</f>
        <v>Active</v>
      </c>
    </row>
    <row r="1065" spans="2:10" ht="19.95" customHeight="1" x14ac:dyDescent="0.3">
      <c r="B1065" s="4" cm="1">
        <f t="array" ref="B1065">IFERROR(INDEX(EmployeeData[Employee ID], ROW() - 37), "")</f>
        <v>2028</v>
      </c>
      <c r="C1065" s="4" t="str" cm="1">
        <f t="array" ref="C1065">IFERROR(INDEX(EmployeeData[Full Name], ROW() - 37), "")</f>
        <v>Miguel Diaz</v>
      </c>
      <c r="D1065" s="4" t="str" cm="1">
        <f t="array" ref="D1065">IFERROR(INDEX(EmployeeData[Department], ROW() - 37), "")</f>
        <v>Customer Support</v>
      </c>
      <c r="E1065" s="4" t="str" cm="1">
        <f t="array" ref="E1065">IFERROR(INDEX(EmployeeData[Gender], ROW() - 37), "")</f>
        <v>Other</v>
      </c>
      <c r="F1065" s="4" cm="1">
        <f t="array" ref="F1065">IFERROR(INDEX(EmployeeData[Age], ROW() - 37), "")</f>
        <v>28</v>
      </c>
      <c r="G1065" s="6" cm="1">
        <f t="array" ref="G1065">IFERROR(INDEX(EmployeeData[Join Date], ROW() - 37), "")</f>
        <v>43269</v>
      </c>
      <c r="H1065" s="6" t="str" cm="1">
        <f t="array" ref="H1065">IFERROR(IF(INDEX(EmployeeData[Exit Date], ROW() - 37)=0, "",INDEX(EmployeeData[Exit Date], ROW() - 37)),"")</f>
        <v/>
      </c>
      <c r="I1065" s="4" t="str" cm="1">
        <f t="array" ref="I1065">IFERROR(IF(INDEX(EmployeeData[Exit Reason], ROW() - 37)=0, "",INDEX(EmployeeData[Exit Reason], ROW() - 37)),"")</f>
        <v/>
      </c>
      <c r="J1065" s="4" t="str" cm="1">
        <f t="array" ref="J1065">IFERROR(INDEX(EmployeeData[Status], ROW() - 37), "")</f>
        <v>Active</v>
      </c>
    </row>
    <row r="1066" spans="2:10" ht="19.95" customHeight="1" x14ac:dyDescent="0.3">
      <c r="B1066" s="4" cm="1">
        <f t="array" ref="B1066">IFERROR(INDEX(EmployeeData[Employee ID], ROW() - 37), "")</f>
        <v>2029</v>
      </c>
      <c r="C1066" s="4" t="str" cm="1">
        <f t="array" ref="C1066">IFERROR(INDEX(EmployeeData[Full Name], ROW() - 37), "")</f>
        <v>Maribel Fajardo</v>
      </c>
      <c r="D1066" s="4" t="str" cm="1">
        <f t="array" ref="D1066">IFERROR(INDEX(EmployeeData[Department], ROW() - 37), "")</f>
        <v>Finance</v>
      </c>
      <c r="E1066" s="4" t="str" cm="1">
        <f t="array" ref="E1066">IFERROR(INDEX(EmployeeData[Gender], ROW() - 37), "")</f>
        <v>Female</v>
      </c>
      <c r="F1066" s="4" cm="1">
        <f t="array" ref="F1066">IFERROR(INDEX(EmployeeData[Age], ROW() - 37), "")</f>
        <v>55</v>
      </c>
      <c r="G1066" s="6" cm="1">
        <f t="array" ref="G1066">IFERROR(INDEX(EmployeeData[Join Date], ROW() - 37), "")</f>
        <v>45636</v>
      </c>
      <c r="H1066" s="6" cm="1">
        <f t="array" ref="H1066">IFERROR(IF(INDEX(EmployeeData[Exit Date], ROW() - 37)=0, "",INDEX(EmployeeData[Exit Date], ROW() - 37)),"")</f>
        <v>46097</v>
      </c>
      <c r="I1066" s="4" t="str" cm="1">
        <f t="array" ref="I1066">IFERROR(IF(INDEX(EmployeeData[Exit Reason], ROW() - 37)=0, "",INDEX(EmployeeData[Exit Reason], ROW() - 37)),"")</f>
        <v>Termination</v>
      </c>
      <c r="J1066" s="4" t="str" cm="1">
        <f t="array" ref="J1066">IFERROR(INDEX(EmployeeData[Status], ROW() - 37), "")</f>
        <v>Exited</v>
      </c>
    </row>
    <row r="1067" spans="2:10" ht="19.95" customHeight="1" x14ac:dyDescent="0.3">
      <c r="B1067" s="4" cm="1">
        <f t="array" ref="B1067">IFERROR(INDEX(EmployeeData[Employee ID], ROW() - 37), "")</f>
        <v>2030</v>
      </c>
      <c r="C1067" s="4" t="str" cm="1">
        <f t="array" ref="C1067">IFERROR(INDEX(EmployeeData[Full Name], ROW() - 37), "")</f>
        <v>Sue Manalang</v>
      </c>
      <c r="D1067" s="4" t="str" cm="1">
        <f t="array" ref="D1067">IFERROR(INDEX(EmployeeData[Department], ROW() - 37), "")</f>
        <v>Customer Support</v>
      </c>
      <c r="E1067" s="4" t="str" cm="1">
        <f t="array" ref="E1067">IFERROR(INDEX(EmployeeData[Gender], ROW() - 37), "")</f>
        <v>Female</v>
      </c>
      <c r="F1067" s="4" cm="1">
        <f t="array" ref="F1067">IFERROR(INDEX(EmployeeData[Age], ROW() - 37), "")</f>
        <v>56</v>
      </c>
      <c r="G1067" s="6" cm="1">
        <f t="array" ref="G1067">IFERROR(INDEX(EmployeeData[Join Date], ROW() - 37), "")</f>
        <v>44135</v>
      </c>
      <c r="H1067" s="6" t="str" cm="1">
        <f t="array" ref="H1067">IFERROR(IF(INDEX(EmployeeData[Exit Date], ROW() - 37)=0, "",INDEX(EmployeeData[Exit Date], ROW() - 37)),"")</f>
        <v/>
      </c>
      <c r="I1067" s="4" t="str" cm="1">
        <f t="array" ref="I1067">IFERROR(IF(INDEX(EmployeeData[Exit Reason], ROW() - 37)=0, "",INDEX(EmployeeData[Exit Reason], ROW() - 37)),"")</f>
        <v/>
      </c>
      <c r="J1067" s="4" t="str" cm="1">
        <f t="array" ref="J1067">IFERROR(INDEX(EmployeeData[Status], ROW() - 37), "")</f>
        <v>Active</v>
      </c>
    </row>
    <row r="1068" spans="2:10" ht="19.95" customHeight="1" x14ac:dyDescent="0.3">
      <c r="B1068" s="4" cm="1">
        <f t="array" ref="B1068">IFERROR(INDEX(EmployeeData[Employee ID], ROW() - 37), "")</f>
        <v>2031</v>
      </c>
      <c r="C1068" s="4" t="str" cm="1">
        <f t="array" ref="C1068">IFERROR(INDEX(EmployeeData[Full Name], ROW() - 37), "")</f>
        <v>Teresa Bagtas</v>
      </c>
      <c r="D1068" s="4" t="str" cm="1">
        <f t="array" ref="D1068">IFERROR(INDEX(EmployeeData[Department], ROW() - 37), "")</f>
        <v>IT</v>
      </c>
      <c r="E1068" s="4" t="str" cm="1">
        <f t="array" ref="E1068">IFERROR(INDEX(EmployeeData[Gender], ROW() - 37), "")</f>
        <v>Other</v>
      </c>
      <c r="F1068" s="4" cm="1">
        <f t="array" ref="F1068">IFERROR(INDEX(EmployeeData[Age], ROW() - 37), "")</f>
        <v>48</v>
      </c>
      <c r="G1068" s="6" cm="1">
        <f t="array" ref="G1068">IFERROR(INDEX(EmployeeData[Join Date], ROW() - 37), "")</f>
        <v>43378</v>
      </c>
      <c r="H1068" s="6" t="str" cm="1">
        <f t="array" ref="H1068">IFERROR(IF(INDEX(EmployeeData[Exit Date], ROW() - 37)=0, "",INDEX(EmployeeData[Exit Date], ROW() - 37)),"")</f>
        <v/>
      </c>
      <c r="I1068" s="4" t="str" cm="1">
        <f t="array" ref="I1068">IFERROR(IF(INDEX(EmployeeData[Exit Reason], ROW() - 37)=0, "",INDEX(EmployeeData[Exit Reason], ROW() - 37)),"")</f>
        <v/>
      </c>
      <c r="J1068" s="4" t="str" cm="1">
        <f t="array" ref="J1068">IFERROR(INDEX(EmployeeData[Status], ROW() - 37), "")</f>
        <v>Active</v>
      </c>
    </row>
    <row r="1069" spans="2:10" ht="19.95" customHeight="1" x14ac:dyDescent="0.3">
      <c r="B1069" s="4" cm="1">
        <f t="array" ref="B1069">IFERROR(INDEX(EmployeeData[Employee ID], ROW() - 37), "")</f>
        <v>2032</v>
      </c>
      <c r="C1069" s="4" t="str" cm="1">
        <f t="array" ref="C1069">IFERROR(INDEX(EmployeeData[Full Name], ROW() - 37), "")</f>
        <v>Leonora San Pedro</v>
      </c>
      <c r="D1069" s="4" t="str" cm="1">
        <f t="array" ref="D1069">IFERROR(INDEX(EmployeeData[Department], ROW() - 37), "")</f>
        <v>Customer Support</v>
      </c>
      <c r="E1069" s="4" t="str" cm="1">
        <f t="array" ref="E1069">IFERROR(INDEX(EmployeeData[Gender], ROW() - 37), "")</f>
        <v>Female</v>
      </c>
      <c r="F1069" s="4" cm="1">
        <f t="array" ref="F1069">IFERROR(INDEX(EmployeeData[Age], ROW() - 37), "")</f>
        <v>29</v>
      </c>
      <c r="G1069" s="6" cm="1">
        <f t="array" ref="G1069">IFERROR(INDEX(EmployeeData[Join Date], ROW() - 37), "")</f>
        <v>44287</v>
      </c>
      <c r="H1069" s="6" cm="1">
        <f t="array" ref="H1069">IFERROR(IF(INDEX(EmployeeData[Exit Date], ROW() - 37)=0, "",INDEX(EmployeeData[Exit Date], ROW() - 37)),"")</f>
        <v>45536</v>
      </c>
      <c r="I1069" s="4" t="str" cm="1">
        <f t="array" ref="I1069">IFERROR(IF(INDEX(EmployeeData[Exit Reason], ROW() - 37)=0, "",INDEX(EmployeeData[Exit Reason], ROW() - 37)),"")</f>
        <v>Better Opportunity</v>
      </c>
      <c r="J1069" s="4" t="str" cm="1">
        <f t="array" ref="J1069">IFERROR(INDEX(EmployeeData[Status], ROW() - 37), "")</f>
        <v>Exited</v>
      </c>
    </row>
    <row r="1070" spans="2:10" ht="19.95" customHeight="1" x14ac:dyDescent="0.3">
      <c r="B1070" s="4" cm="1">
        <f t="array" ref="B1070">IFERROR(INDEX(EmployeeData[Employee ID], ROW() - 37), "")</f>
        <v>2033</v>
      </c>
      <c r="C1070" s="4" t="str" cm="1">
        <f t="array" ref="C1070">IFERROR(INDEX(EmployeeData[Full Name], ROW() - 37), "")</f>
        <v>Michael Vergara</v>
      </c>
      <c r="D1070" s="4" t="str" cm="1">
        <f t="array" ref="D1070">IFERROR(INDEX(EmployeeData[Department], ROW() - 37), "")</f>
        <v>Marketing</v>
      </c>
      <c r="E1070" s="4" t="str" cm="1">
        <f t="array" ref="E1070">IFERROR(INDEX(EmployeeData[Gender], ROW() - 37), "")</f>
        <v>Male</v>
      </c>
      <c r="F1070" s="4" cm="1">
        <f t="array" ref="F1070">IFERROR(INDEX(EmployeeData[Age], ROW() - 37), "")</f>
        <v>53</v>
      </c>
      <c r="G1070" s="6" cm="1">
        <f t="array" ref="G1070">IFERROR(INDEX(EmployeeData[Join Date], ROW() - 37), "")</f>
        <v>43408</v>
      </c>
      <c r="H1070" s="6" cm="1">
        <f t="array" ref="H1070">IFERROR(IF(INDEX(EmployeeData[Exit Date], ROW() - 37)=0, "",INDEX(EmployeeData[Exit Date], ROW() - 37)),"")</f>
        <v>45584</v>
      </c>
      <c r="I1070" s="4" t="str" cm="1">
        <f t="array" ref="I1070">IFERROR(IF(INDEX(EmployeeData[Exit Reason], ROW() - 37)=0, "",INDEX(EmployeeData[Exit Reason], ROW() - 37)),"")</f>
        <v>Termination</v>
      </c>
      <c r="J1070" s="4" t="str" cm="1">
        <f t="array" ref="J1070">IFERROR(INDEX(EmployeeData[Status], ROW() - 37), "")</f>
        <v>Exited</v>
      </c>
    </row>
    <row r="1071" spans="2:10" ht="19.95" customHeight="1" x14ac:dyDescent="0.3">
      <c r="B1071" s="4" cm="1">
        <f t="array" ref="B1071">IFERROR(INDEX(EmployeeData[Employee ID], ROW() - 37), "")</f>
        <v>2034</v>
      </c>
      <c r="C1071" s="4" t="str" cm="1">
        <f t="array" ref="C1071">IFERROR(INDEX(EmployeeData[Full Name], ROW() - 37), "")</f>
        <v>Ana Domingo Cueto</v>
      </c>
      <c r="D1071" s="4" t="str" cm="1">
        <f t="array" ref="D1071">IFERROR(INDEX(EmployeeData[Department], ROW() - 37), "")</f>
        <v>Customer Support</v>
      </c>
      <c r="E1071" s="4" t="str" cm="1">
        <f t="array" ref="E1071">IFERROR(INDEX(EmployeeData[Gender], ROW() - 37), "")</f>
        <v>Female</v>
      </c>
      <c r="F1071" s="4" cm="1">
        <f t="array" ref="F1071">IFERROR(INDEX(EmployeeData[Age], ROW() - 37), "")</f>
        <v>57</v>
      </c>
      <c r="G1071" s="6" cm="1">
        <f t="array" ref="G1071">IFERROR(INDEX(EmployeeData[Join Date], ROW() - 37), "")</f>
        <v>43993</v>
      </c>
      <c r="H1071" s="6" t="str" cm="1">
        <f t="array" ref="H1071">IFERROR(IF(INDEX(EmployeeData[Exit Date], ROW() - 37)=0, "",INDEX(EmployeeData[Exit Date], ROW() - 37)),"")</f>
        <v/>
      </c>
      <c r="I1071" s="4" t="str" cm="1">
        <f t="array" ref="I1071">IFERROR(IF(INDEX(EmployeeData[Exit Reason], ROW() - 37)=0, "",INDEX(EmployeeData[Exit Reason], ROW() - 37)),"")</f>
        <v/>
      </c>
      <c r="J1071" s="4" t="str" cm="1">
        <f t="array" ref="J1071">IFERROR(INDEX(EmployeeData[Status], ROW() - 37), "")</f>
        <v>Active</v>
      </c>
    </row>
    <row r="1072" spans="2:10" ht="19.95" customHeight="1" x14ac:dyDescent="0.3">
      <c r="B1072" s="4" cm="1">
        <f t="array" ref="B1072">IFERROR(INDEX(EmployeeData[Employee ID], ROW() - 37), "")</f>
        <v>2035</v>
      </c>
      <c r="C1072" s="4" t="str" cm="1">
        <f t="array" ref="C1072">IFERROR(INDEX(EmployeeData[Full Name], ROW() - 37), "")</f>
        <v>Rosalinda Fernandez Chua</v>
      </c>
      <c r="D1072" s="4" t="str" cm="1">
        <f t="array" ref="D1072">IFERROR(INDEX(EmployeeData[Department], ROW() - 37), "")</f>
        <v>IT</v>
      </c>
      <c r="E1072" s="4" t="str" cm="1">
        <f t="array" ref="E1072">IFERROR(INDEX(EmployeeData[Gender], ROW() - 37), "")</f>
        <v>Female</v>
      </c>
      <c r="F1072" s="4" cm="1">
        <f t="array" ref="F1072">IFERROR(INDEX(EmployeeData[Age], ROW() - 37), "")</f>
        <v>38</v>
      </c>
      <c r="G1072" s="6" cm="1">
        <f t="array" ref="G1072">IFERROR(INDEX(EmployeeData[Join Date], ROW() - 37), "")</f>
        <v>45362</v>
      </c>
      <c r="H1072" s="6" cm="1">
        <f t="array" ref="H1072">IFERROR(IF(INDEX(EmployeeData[Exit Date], ROW() - 37)=0, "",INDEX(EmployeeData[Exit Date], ROW() - 37)),"")</f>
        <v>45681</v>
      </c>
      <c r="I1072" s="4" t="str" cm="1">
        <f t="array" ref="I1072">IFERROR(IF(INDEX(EmployeeData[Exit Reason], ROW() - 37)=0, "",INDEX(EmployeeData[Exit Reason], ROW() - 37)),"")</f>
        <v>Better Opportunity</v>
      </c>
      <c r="J1072" s="4" t="str" cm="1">
        <f t="array" ref="J1072">IFERROR(INDEX(EmployeeData[Status], ROW() - 37), "")</f>
        <v>Exited</v>
      </c>
    </row>
    <row r="1073" spans="2:10" ht="19.95" customHeight="1" x14ac:dyDescent="0.3">
      <c r="B1073" s="4" cm="1">
        <f t="array" ref="B1073">IFERROR(INDEX(EmployeeData[Employee ID], ROW() - 37), "")</f>
        <v>2036</v>
      </c>
      <c r="C1073" s="4" t="str" cm="1">
        <f t="array" ref="C1073">IFERROR(INDEX(EmployeeData[Full Name], ROW() - 37), "")</f>
        <v>Isabel Bayani</v>
      </c>
      <c r="D1073" s="4" t="str" cm="1">
        <f t="array" ref="D1073">IFERROR(INDEX(EmployeeData[Department], ROW() - 37), "")</f>
        <v>Finance</v>
      </c>
      <c r="E1073" s="4" t="str" cm="1">
        <f t="array" ref="E1073">IFERROR(INDEX(EmployeeData[Gender], ROW() - 37), "")</f>
        <v>Female</v>
      </c>
      <c r="F1073" s="4" cm="1">
        <f t="array" ref="F1073">IFERROR(INDEX(EmployeeData[Age], ROW() - 37), "")</f>
        <v>29</v>
      </c>
      <c r="G1073" s="6" cm="1">
        <f t="array" ref="G1073">IFERROR(INDEX(EmployeeData[Join Date], ROW() - 37), "")</f>
        <v>44208</v>
      </c>
      <c r="H1073" s="6" t="str" cm="1">
        <f t="array" ref="H1073">IFERROR(IF(INDEX(EmployeeData[Exit Date], ROW() - 37)=0, "",INDEX(EmployeeData[Exit Date], ROW() - 37)),"")</f>
        <v/>
      </c>
      <c r="I1073" s="4" t="str" cm="1">
        <f t="array" ref="I1073">IFERROR(IF(INDEX(EmployeeData[Exit Reason], ROW() - 37)=0, "",INDEX(EmployeeData[Exit Reason], ROW() - 37)),"")</f>
        <v/>
      </c>
      <c r="J1073" s="4" t="str" cm="1">
        <f t="array" ref="J1073">IFERROR(INDEX(EmployeeData[Status], ROW() - 37), "")</f>
        <v>Active</v>
      </c>
    </row>
    <row r="1074" spans="2:10" ht="19.95" customHeight="1" x14ac:dyDescent="0.3">
      <c r="B1074" s="4" cm="1">
        <f t="array" ref="B1074">IFERROR(INDEX(EmployeeData[Employee ID], ROW() - 37), "")</f>
        <v>2037</v>
      </c>
      <c r="C1074" s="4" t="str" cm="1">
        <f t="array" ref="C1074">IFERROR(INDEX(EmployeeData[Full Name], ROW() - 37), "")</f>
        <v>Patricia Domingo Dalisay</v>
      </c>
      <c r="D1074" s="4" t="str" cm="1">
        <f t="array" ref="D1074">IFERROR(INDEX(EmployeeData[Department], ROW() - 37), "")</f>
        <v>Finance</v>
      </c>
      <c r="E1074" s="4" t="str" cm="1">
        <f t="array" ref="E1074">IFERROR(INDEX(EmployeeData[Gender], ROW() - 37), "")</f>
        <v>Female</v>
      </c>
      <c r="F1074" s="4" cm="1">
        <f t="array" ref="F1074">IFERROR(INDEX(EmployeeData[Age], ROW() - 37), "")</f>
        <v>28</v>
      </c>
      <c r="G1074" s="6" cm="1">
        <f t="array" ref="G1074">IFERROR(INDEX(EmployeeData[Join Date], ROW() - 37), "")</f>
        <v>43106</v>
      </c>
      <c r="H1074" s="6" t="str" cm="1">
        <f t="array" ref="H1074">IFERROR(IF(INDEX(EmployeeData[Exit Date], ROW() - 37)=0, "",INDEX(EmployeeData[Exit Date], ROW() - 37)),"")</f>
        <v/>
      </c>
      <c r="I1074" s="4" t="str" cm="1">
        <f t="array" ref="I1074">IFERROR(IF(INDEX(EmployeeData[Exit Reason], ROW() - 37)=0, "",INDEX(EmployeeData[Exit Reason], ROW() - 37)),"")</f>
        <v/>
      </c>
      <c r="J1074" s="4" t="str" cm="1">
        <f t="array" ref="J1074">IFERROR(INDEX(EmployeeData[Status], ROW() - 37), "")</f>
        <v>Active</v>
      </c>
    </row>
    <row r="1075" spans="2:10" ht="19.95" customHeight="1" x14ac:dyDescent="0.3">
      <c r="B1075" s="4" cm="1">
        <f t="array" ref="B1075">IFERROR(INDEX(EmployeeData[Employee ID], ROW() - 37), "")</f>
        <v>2038</v>
      </c>
      <c r="C1075" s="4" t="str" cm="1">
        <f t="array" ref="C1075">IFERROR(INDEX(EmployeeData[Full Name], ROW() - 37), "")</f>
        <v>Jose Aguilar Crisostomo</v>
      </c>
      <c r="D1075" s="4" t="str" cm="1">
        <f t="array" ref="D1075">IFERROR(INDEX(EmployeeData[Department], ROW() - 37), "")</f>
        <v>HR</v>
      </c>
      <c r="E1075" s="4" t="str" cm="1">
        <f t="array" ref="E1075">IFERROR(INDEX(EmployeeData[Gender], ROW() - 37), "")</f>
        <v>Male</v>
      </c>
      <c r="F1075" s="4" cm="1">
        <f t="array" ref="F1075">IFERROR(INDEX(EmployeeData[Age], ROW() - 37), "")</f>
        <v>39</v>
      </c>
      <c r="G1075" s="6" cm="1">
        <f t="array" ref="G1075">IFERROR(INDEX(EmployeeData[Join Date], ROW() - 37), "")</f>
        <v>44430</v>
      </c>
      <c r="H1075" s="6" t="str" cm="1">
        <f t="array" ref="H1075">IFERROR(IF(INDEX(EmployeeData[Exit Date], ROW() - 37)=0, "",INDEX(EmployeeData[Exit Date], ROW() - 37)),"")</f>
        <v/>
      </c>
      <c r="I1075" s="4" t="str" cm="1">
        <f t="array" ref="I1075">IFERROR(IF(INDEX(EmployeeData[Exit Reason], ROW() - 37)=0, "",INDEX(EmployeeData[Exit Reason], ROW() - 37)),"")</f>
        <v/>
      </c>
      <c r="J1075" s="4" t="str" cm="1">
        <f t="array" ref="J1075">IFERROR(INDEX(EmployeeData[Status], ROW() - 37), "")</f>
        <v>Active</v>
      </c>
    </row>
    <row r="1076" spans="2:10" ht="19.95" customHeight="1" x14ac:dyDescent="0.3">
      <c r="B1076" s="4" cm="1">
        <f t="array" ref="B1076">IFERROR(INDEX(EmployeeData[Employee ID], ROW() - 37), "")</f>
        <v>2039</v>
      </c>
      <c r="C1076" s="4" t="str" cm="1">
        <f t="array" ref="C1076">IFERROR(INDEX(EmployeeData[Full Name], ROW() - 37), "")</f>
        <v>Lourdes Lopez</v>
      </c>
      <c r="D1076" s="4" t="str" cm="1">
        <f t="array" ref="D1076">IFERROR(INDEX(EmployeeData[Department], ROW() - 37), "")</f>
        <v>Customer Support</v>
      </c>
      <c r="E1076" s="4" t="str" cm="1">
        <f t="array" ref="E1076">IFERROR(INDEX(EmployeeData[Gender], ROW() - 37), "")</f>
        <v>Other</v>
      </c>
      <c r="F1076" s="4" cm="1">
        <f t="array" ref="F1076">IFERROR(INDEX(EmployeeData[Age], ROW() - 37), "")</f>
        <v>55</v>
      </c>
      <c r="G1076" s="6" cm="1">
        <f t="array" ref="G1076">IFERROR(INDEX(EmployeeData[Join Date], ROW() - 37), "")</f>
        <v>45793</v>
      </c>
      <c r="H1076" s="6" t="str" cm="1">
        <f t="array" ref="H1076">IFERROR(IF(INDEX(EmployeeData[Exit Date], ROW() - 37)=0, "",INDEX(EmployeeData[Exit Date], ROW() - 37)),"")</f>
        <v/>
      </c>
      <c r="I1076" s="4" t="str" cm="1">
        <f t="array" ref="I1076">IFERROR(IF(INDEX(EmployeeData[Exit Reason], ROW() - 37)=0, "",INDEX(EmployeeData[Exit Reason], ROW() - 37)),"")</f>
        <v/>
      </c>
      <c r="J1076" s="4" t="str" cm="1">
        <f t="array" ref="J1076">IFERROR(INDEX(EmployeeData[Status], ROW() - 37), "")</f>
        <v>Active</v>
      </c>
    </row>
    <row r="1077" spans="2:10" ht="19.95" customHeight="1" x14ac:dyDescent="0.3">
      <c r="B1077" s="4" cm="1">
        <f t="array" ref="B1077">IFERROR(INDEX(EmployeeData[Employee ID], ROW() - 37), "")</f>
        <v>2040</v>
      </c>
      <c r="C1077" s="4" t="str" cm="1">
        <f t="array" ref="C1077">IFERROR(INDEX(EmployeeData[Full Name], ROW() - 37), "")</f>
        <v>Rowena Santiago</v>
      </c>
      <c r="D1077" s="4" t="str" cm="1">
        <f t="array" ref="D1077">IFERROR(INDEX(EmployeeData[Department], ROW() - 37), "")</f>
        <v>HR</v>
      </c>
      <c r="E1077" s="4" t="str" cm="1">
        <f t="array" ref="E1077">IFERROR(INDEX(EmployeeData[Gender], ROW() - 37), "")</f>
        <v>Other</v>
      </c>
      <c r="F1077" s="4" cm="1">
        <f t="array" ref="F1077">IFERROR(INDEX(EmployeeData[Age], ROW() - 37), "")</f>
        <v>37</v>
      </c>
      <c r="G1077" s="6" cm="1">
        <f t="array" ref="G1077">IFERROR(INDEX(EmployeeData[Join Date], ROW() - 37), "")</f>
        <v>45666</v>
      </c>
      <c r="H1077" s="6" t="str" cm="1">
        <f t="array" ref="H1077">IFERROR(IF(INDEX(EmployeeData[Exit Date], ROW() - 37)=0, "",INDEX(EmployeeData[Exit Date], ROW() - 37)),"")</f>
        <v/>
      </c>
      <c r="I1077" s="4" t="str" cm="1">
        <f t="array" ref="I1077">IFERROR(IF(INDEX(EmployeeData[Exit Reason], ROW() - 37)=0, "",INDEX(EmployeeData[Exit Reason], ROW() - 37)),"")</f>
        <v/>
      </c>
      <c r="J1077" s="4" t="str" cm="1">
        <f t="array" ref="J1077">IFERROR(INDEX(EmployeeData[Status], ROW() - 37), "")</f>
        <v>Active</v>
      </c>
    </row>
    <row r="1078" spans="2:10" ht="19.95" customHeight="1" x14ac:dyDescent="0.3">
      <c r="B1078" s="4" cm="1">
        <f t="array" ref="B1078">IFERROR(INDEX(EmployeeData[Employee ID], ROW() - 37), "")</f>
        <v>2041</v>
      </c>
      <c r="C1078" s="4" t="str" cm="1">
        <f t="array" ref="C1078">IFERROR(INDEX(EmployeeData[Full Name], ROW() - 37), "")</f>
        <v>Tina Sy Domingo</v>
      </c>
      <c r="D1078" s="4" t="str" cm="1">
        <f t="array" ref="D1078">IFERROR(INDEX(EmployeeData[Department], ROW() - 37), "")</f>
        <v>Customer Support</v>
      </c>
      <c r="E1078" s="4" t="str" cm="1">
        <f t="array" ref="E1078">IFERROR(INDEX(EmployeeData[Gender], ROW() - 37), "")</f>
        <v>Female</v>
      </c>
      <c r="F1078" s="4" cm="1">
        <f t="array" ref="F1078">IFERROR(INDEX(EmployeeData[Age], ROW() - 37), "")</f>
        <v>58</v>
      </c>
      <c r="G1078" s="6" cm="1">
        <f t="array" ref="G1078">IFERROR(INDEX(EmployeeData[Join Date], ROW() - 37), "")</f>
        <v>45680</v>
      </c>
      <c r="H1078" s="6" t="str" cm="1">
        <f t="array" ref="H1078">IFERROR(IF(INDEX(EmployeeData[Exit Date], ROW() - 37)=0, "",INDEX(EmployeeData[Exit Date], ROW() - 37)),"")</f>
        <v/>
      </c>
      <c r="I1078" s="4" t="str" cm="1">
        <f t="array" ref="I1078">IFERROR(IF(INDEX(EmployeeData[Exit Reason], ROW() - 37)=0, "",INDEX(EmployeeData[Exit Reason], ROW() - 37)),"")</f>
        <v/>
      </c>
      <c r="J1078" s="4" t="str" cm="1">
        <f t="array" ref="J1078">IFERROR(INDEX(EmployeeData[Status], ROW() - 37), "")</f>
        <v>Active</v>
      </c>
    </row>
    <row r="1079" spans="2:10" ht="19.95" customHeight="1" x14ac:dyDescent="0.3">
      <c r="B1079" s="4" cm="1">
        <f t="array" ref="B1079">IFERROR(INDEX(EmployeeData[Employee ID], ROW() - 37), "")</f>
        <v>2042</v>
      </c>
      <c r="C1079" s="4" t="str" cm="1">
        <f t="array" ref="C1079">IFERROR(INDEX(EmployeeData[Full Name], ROW() - 37), "")</f>
        <v>Jose Gonzales Diaz</v>
      </c>
      <c r="D1079" s="4" t="str" cm="1">
        <f t="array" ref="D1079">IFERROR(INDEX(EmployeeData[Department], ROW() - 37), "")</f>
        <v>IT</v>
      </c>
      <c r="E1079" s="4" t="str" cm="1">
        <f t="array" ref="E1079">IFERROR(INDEX(EmployeeData[Gender], ROW() - 37), "")</f>
        <v>Other</v>
      </c>
      <c r="F1079" s="4" cm="1">
        <f t="array" ref="F1079">IFERROR(INDEX(EmployeeData[Age], ROW() - 37), "")</f>
        <v>26</v>
      </c>
      <c r="G1079" s="6" cm="1">
        <f t="array" ref="G1079">IFERROR(INDEX(EmployeeData[Join Date], ROW() - 37), "")</f>
        <v>45132</v>
      </c>
      <c r="H1079" s="6" cm="1">
        <f t="array" ref="H1079">IFERROR(IF(INDEX(EmployeeData[Exit Date], ROW() - 37)=0, "",INDEX(EmployeeData[Exit Date], ROW() - 37)),"")</f>
        <v>45411</v>
      </c>
      <c r="I1079" s="4" t="str" cm="1">
        <f t="array" ref="I1079">IFERROR(IF(INDEX(EmployeeData[Exit Reason], ROW() - 37)=0, "",INDEX(EmployeeData[Exit Reason], ROW() - 37)),"")</f>
        <v>Resignation</v>
      </c>
      <c r="J1079" s="4" t="str" cm="1">
        <f t="array" ref="J1079">IFERROR(INDEX(EmployeeData[Status], ROW() - 37), "")</f>
        <v>Exited</v>
      </c>
    </row>
    <row r="1080" spans="2:10" ht="19.95" customHeight="1" x14ac:dyDescent="0.3">
      <c r="B1080" s="4" cm="1">
        <f t="array" ref="B1080">IFERROR(INDEX(EmployeeData[Employee ID], ROW() - 37), "")</f>
        <v>2043</v>
      </c>
      <c r="C1080" s="4" t="str" cm="1">
        <f t="array" ref="C1080">IFERROR(INDEX(EmployeeData[Full Name], ROW() - 37), "")</f>
        <v>Leonora Sy Aquino</v>
      </c>
      <c r="D1080" s="4" t="str" cm="1">
        <f t="array" ref="D1080">IFERROR(INDEX(EmployeeData[Department], ROW() - 37), "")</f>
        <v>HR</v>
      </c>
      <c r="E1080" s="4" t="str" cm="1">
        <f t="array" ref="E1080">IFERROR(INDEX(EmployeeData[Gender], ROW() - 37), "")</f>
        <v>Female</v>
      </c>
      <c r="F1080" s="4" cm="1">
        <f t="array" ref="F1080">IFERROR(INDEX(EmployeeData[Age], ROW() - 37), "")</f>
        <v>31</v>
      </c>
      <c r="G1080" s="6" cm="1">
        <f t="array" ref="G1080">IFERROR(INDEX(EmployeeData[Join Date], ROW() - 37), "")</f>
        <v>43828</v>
      </c>
      <c r="H1080" s="6" t="str" cm="1">
        <f t="array" ref="H1080">IFERROR(IF(INDEX(EmployeeData[Exit Date], ROW() - 37)=0, "",INDEX(EmployeeData[Exit Date], ROW() - 37)),"")</f>
        <v/>
      </c>
      <c r="I1080" s="4" t="str" cm="1">
        <f t="array" ref="I1080">IFERROR(IF(INDEX(EmployeeData[Exit Reason], ROW() - 37)=0, "",INDEX(EmployeeData[Exit Reason], ROW() - 37)),"")</f>
        <v/>
      </c>
      <c r="J1080" s="4" t="str" cm="1">
        <f t="array" ref="J1080">IFERROR(INDEX(EmployeeData[Status], ROW() - 37), "")</f>
        <v>Active</v>
      </c>
    </row>
    <row r="1081" spans="2:10" ht="19.95" customHeight="1" x14ac:dyDescent="0.3">
      <c r="B1081" s="4" cm="1">
        <f t="array" ref="B1081">IFERROR(INDEX(EmployeeData[Employee ID], ROW() - 37), "")</f>
        <v>2044</v>
      </c>
      <c r="C1081" s="4" t="str" cm="1">
        <f t="array" ref="C1081">IFERROR(INDEX(EmployeeData[Full Name], ROW() - 37), "")</f>
        <v>Avery Dela Torre</v>
      </c>
      <c r="D1081" s="4" t="str" cm="1">
        <f t="array" ref="D1081">IFERROR(INDEX(EmployeeData[Department], ROW() - 37), "")</f>
        <v>IT</v>
      </c>
      <c r="E1081" s="4" t="str" cm="1">
        <f t="array" ref="E1081">IFERROR(INDEX(EmployeeData[Gender], ROW() - 37), "")</f>
        <v>Other</v>
      </c>
      <c r="F1081" s="4" cm="1">
        <f t="array" ref="F1081">IFERROR(INDEX(EmployeeData[Age], ROW() - 37), "")</f>
        <v>46</v>
      </c>
      <c r="G1081" s="6" cm="1">
        <f t="array" ref="G1081">IFERROR(INDEX(EmployeeData[Join Date], ROW() - 37), "")</f>
        <v>43511</v>
      </c>
      <c r="H1081" s="6" t="str" cm="1">
        <f t="array" ref="H1081">IFERROR(IF(INDEX(EmployeeData[Exit Date], ROW() - 37)=0, "",INDEX(EmployeeData[Exit Date], ROW() - 37)),"")</f>
        <v/>
      </c>
      <c r="I1081" s="4" t="str" cm="1">
        <f t="array" ref="I1081">IFERROR(IF(INDEX(EmployeeData[Exit Reason], ROW() - 37)=0, "",INDEX(EmployeeData[Exit Reason], ROW() - 37)),"")</f>
        <v/>
      </c>
      <c r="J1081" s="4" t="str" cm="1">
        <f t="array" ref="J1081">IFERROR(INDEX(EmployeeData[Status], ROW() - 37), "")</f>
        <v>Active</v>
      </c>
    </row>
    <row r="1082" spans="2:10" ht="19.95" customHeight="1" x14ac:dyDescent="0.3">
      <c r="B1082" s="4" cm="1">
        <f t="array" ref="B1082">IFERROR(INDEX(EmployeeData[Employee ID], ROW() - 37), "")</f>
        <v>2045</v>
      </c>
      <c r="C1082" s="4" t="str" cm="1">
        <f t="array" ref="C1082">IFERROR(INDEX(EmployeeData[Full Name], ROW() - 37), "")</f>
        <v>Elena Garcia Flores</v>
      </c>
      <c r="D1082" s="4" t="str" cm="1">
        <f t="array" ref="D1082">IFERROR(INDEX(EmployeeData[Department], ROW() - 37), "")</f>
        <v>Customer Support</v>
      </c>
      <c r="E1082" s="4" t="str" cm="1">
        <f t="array" ref="E1082">IFERROR(INDEX(EmployeeData[Gender], ROW() - 37), "")</f>
        <v>Female</v>
      </c>
      <c r="F1082" s="4" cm="1">
        <f t="array" ref="F1082">IFERROR(INDEX(EmployeeData[Age], ROW() - 37), "")</f>
        <v>45</v>
      </c>
      <c r="G1082" s="6" cm="1">
        <f t="array" ref="G1082">IFERROR(INDEX(EmployeeData[Join Date], ROW() - 37), "")</f>
        <v>43185</v>
      </c>
      <c r="H1082" s="6" cm="1">
        <f t="array" ref="H1082">IFERROR(IF(INDEX(EmployeeData[Exit Date], ROW() - 37)=0, "",INDEX(EmployeeData[Exit Date], ROW() - 37)),"")</f>
        <v>43330</v>
      </c>
      <c r="I1082" s="4" t="str" cm="1">
        <f t="array" ref="I1082">IFERROR(IF(INDEX(EmployeeData[Exit Reason], ROW() - 37)=0, "",INDEX(EmployeeData[Exit Reason], ROW() - 37)),"")</f>
        <v>Personal Reasons</v>
      </c>
      <c r="J1082" s="4" t="str" cm="1">
        <f t="array" ref="J1082">IFERROR(INDEX(EmployeeData[Status], ROW() - 37), "")</f>
        <v>Exited</v>
      </c>
    </row>
    <row r="1083" spans="2:10" ht="19.95" customHeight="1" x14ac:dyDescent="0.3">
      <c r="B1083" s="4" cm="1">
        <f t="array" ref="B1083">IFERROR(INDEX(EmployeeData[Employee ID], ROW() - 37), "")</f>
        <v>2046</v>
      </c>
      <c r="C1083" s="4" t="str" cm="1">
        <f t="array" ref="C1083">IFERROR(INDEX(EmployeeData[Full Name], ROW() - 37), "")</f>
        <v>Taylor Guerrero</v>
      </c>
      <c r="D1083" s="4" t="str" cm="1">
        <f t="array" ref="D1083">IFERROR(INDEX(EmployeeData[Department], ROW() - 37), "")</f>
        <v>IT</v>
      </c>
      <c r="E1083" s="4" t="str" cm="1">
        <f t="array" ref="E1083">IFERROR(INDEX(EmployeeData[Gender], ROW() - 37), "")</f>
        <v>Other</v>
      </c>
      <c r="F1083" s="4" cm="1">
        <f t="array" ref="F1083">IFERROR(INDEX(EmployeeData[Age], ROW() - 37), "")</f>
        <v>21</v>
      </c>
      <c r="G1083" s="6" cm="1">
        <f t="array" ref="G1083">IFERROR(INDEX(EmployeeData[Join Date], ROW() - 37), "")</f>
        <v>43139</v>
      </c>
      <c r="H1083" s="6" t="str" cm="1">
        <f t="array" ref="H1083">IFERROR(IF(INDEX(EmployeeData[Exit Date], ROW() - 37)=0, "",INDEX(EmployeeData[Exit Date], ROW() - 37)),"")</f>
        <v/>
      </c>
      <c r="I1083" s="4" t="str" cm="1">
        <f t="array" ref="I1083">IFERROR(IF(INDEX(EmployeeData[Exit Reason], ROW() - 37)=0, "",INDEX(EmployeeData[Exit Reason], ROW() - 37)),"")</f>
        <v/>
      </c>
      <c r="J1083" s="4" t="str" cm="1">
        <f t="array" ref="J1083">IFERROR(INDEX(EmployeeData[Status], ROW() - 37), "")</f>
        <v>Active</v>
      </c>
    </row>
    <row r="1084" spans="2:10" ht="19.95" customHeight="1" x14ac:dyDescent="0.3">
      <c r="B1084" s="4" cm="1">
        <f t="array" ref="B1084">IFERROR(INDEX(EmployeeData[Employee ID], ROW() - 37), "")</f>
        <v>2047</v>
      </c>
      <c r="C1084" s="4" t="str" cm="1">
        <f t="array" ref="C1084">IFERROR(INDEX(EmployeeData[Full Name], ROW() - 37), "")</f>
        <v>Maricel Manalo</v>
      </c>
      <c r="D1084" s="4" t="str" cm="1">
        <f t="array" ref="D1084">IFERROR(INDEX(EmployeeData[Department], ROW() - 37), "")</f>
        <v>IT</v>
      </c>
      <c r="E1084" s="4" t="str" cm="1">
        <f t="array" ref="E1084">IFERROR(INDEX(EmployeeData[Gender], ROW() - 37), "")</f>
        <v>Other</v>
      </c>
      <c r="F1084" s="4" cm="1">
        <f t="array" ref="F1084">IFERROR(INDEX(EmployeeData[Age], ROW() - 37), "")</f>
        <v>33</v>
      </c>
      <c r="G1084" s="6" cm="1">
        <f t="array" ref="G1084">IFERROR(INDEX(EmployeeData[Join Date], ROW() - 37), "")</f>
        <v>43671</v>
      </c>
      <c r="H1084" s="6" t="str" cm="1">
        <f t="array" ref="H1084">IFERROR(IF(INDEX(EmployeeData[Exit Date], ROW() - 37)=0, "",INDEX(EmployeeData[Exit Date], ROW() - 37)),"")</f>
        <v/>
      </c>
      <c r="I1084" s="4" t="str" cm="1">
        <f t="array" ref="I1084">IFERROR(IF(INDEX(EmployeeData[Exit Reason], ROW() - 37)=0, "",INDEX(EmployeeData[Exit Reason], ROW() - 37)),"")</f>
        <v/>
      </c>
      <c r="J1084" s="4" t="str" cm="1">
        <f t="array" ref="J1084">IFERROR(INDEX(EmployeeData[Status], ROW() - 37), "")</f>
        <v>Active</v>
      </c>
    </row>
    <row r="1085" spans="2:10" ht="19.95" customHeight="1" x14ac:dyDescent="0.3">
      <c r="B1085" s="4" cm="1">
        <f t="array" ref="B1085">IFERROR(INDEX(EmployeeData[Employee ID], ROW() - 37), "")</f>
        <v>2048</v>
      </c>
      <c r="C1085" s="4" t="str" cm="1">
        <f t="array" ref="C1085">IFERROR(INDEX(EmployeeData[Full Name], ROW() - 37), "")</f>
        <v>Ulysses Reyes Valencia</v>
      </c>
      <c r="D1085" s="4" t="str" cm="1">
        <f t="array" ref="D1085">IFERROR(INDEX(EmployeeData[Department], ROW() - 37), "")</f>
        <v>IT</v>
      </c>
      <c r="E1085" s="4" t="str" cm="1">
        <f t="array" ref="E1085">IFERROR(INDEX(EmployeeData[Gender], ROW() - 37), "")</f>
        <v>Male</v>
      </c>
      <c r="F1085" s="4" cm="1">
        <f t="array" ref="F1085">IFERROR(INDEX(EmployeeData[Age], ROW() - 37), "")</f>
        <v>36</v>
      </c>
      <c r="G1085" s="6" cm="1">
        <f t="array" ref="G1085">IFERROR(INDEX(EmployeeData[Join Date], ROW() - 37), "")</f>
        <v>43329</v>
      </c>
      <c r="H1085" s="6" t="str" cm="1">
        <f t="array" ref="H1085">IFERROR(IF(INDEX(EmployeeData[Exit Date], ROW() - 37)=0, "",INDEX(EmployeeData[Exit Date], ROW() - 37)),"")</f>
        <v/>
      </c>
      <c r="I1085" s="4" t="str" cm="1">
        <f t="array" ref="I1085">IFERROR(IF(INDEX(EmployeeData[Exit Reason], ROW() - 37)=0, "",INDEX(EmployeeData[Exit Reason], ROW() - 37)),"")</f>
        <v/>
      </c>
      <c r="J1085" s="4" t="str" cm="1">
        <f t="array" ref="J1085">IFERROR(INDEX(EmployeeData[Status], ROW() - 37), "")</f>
        <v>Active</v>
      </c>
    </row>
    <row r="1086" spans="2:10" ht="19.95" customHeight="1" x14ac:dyDescent="0.3">
      <c r="B1086" s="4" cm="1">
        <f t="array" ref="B1086">IFERROR(INDEX(EmployeeData[Employee ID], ROW() - 37), "")</f>
        <v>2049</v>
      </c>
      <c r="C1086" s="4" t="str" cm="1">
        <f t="array" ref="C1086">IFERROR(INDEX(EmployeeData[Full Name], ROW() - 37), "")</f>
        <v>Yvonne Ramirez Mercado</v>
      </c>
      <c r="D1086" s="4" t="str" cm="1">
        <f t="array" ref="D1086">IFERROR(INDEX(EmployeeData[Department], ROW() - 37), "")</f>
        <v>Sales</v>
      </c>
      <c r="E1086" s="4" t="str" cm="1">
        <f t="array" ref="E1086">IFERROR(INDEX(EmployeeData[Gender], ROW() - 37), "")</f>
        <v>Female</v>
      </c>
      <c r="F1086" s="4" cm="1">
        <f t="array" ref="F1086">IFERROR(INDEX(EmployeeData[Age], ROW() - 37), "")</f>
        <v>39</v>
      </c>
      <c r="G1086" s="6" cm="1">
        <f t="array" ref="G1086">IFERROR(INDEX(EmployeeData[Join Date], ROW() - 37), "")</f>
        <v>43521</v>
      </c>
      <c r="H1086" s="6" t="str" cm="1">
        <f t="array" ref="H1086">IFERROR(IF(INDEX(EmployeeData[Exit Date], ROW() - 37)=0, "",INDEX(EmployeeData[Exit Date], ROW() - 37)),"")</f>
        <v/>
      </c>
      <c r="I1086" s="4" t="str" cm="1">
        <f t="array" ref="I1086">IFERROR(IF(INDEX(EmployeeData[Exit Reason], ROW() - 37)=0, "",INDEX(EmployeeData[Exit Reason], ROW() - 37)),"")</f>
        <v/>
      </c>
      <c r="J1086" s="4" t="str" cm="1">
        <f t="array" ref="J1086">IFERROR(INDEX(EmployeeData[Status], ROW() - 37), "")</f>
        <v>Active</v>
      </c>
    </row>
    <row r="1087" spans="2:10" ht="19.95" customHeight="1" x14ac:dyDescent="0.3">
      <c r="B1087" s="4" cm="1">
        <f t="array" ref="B1087">IFERROR(INDEX(EmployeeData[Employee ID], ROW() - 37), "")</f>
        <v>2050</v>
      </c>
      <c r="C1087" s="4" t="str" cm="1">
        <f t="array" ref="C1087">IFERROR(INDEX(EmployeeData[Full Name], ROW() - 37), "")</f>
        <v>Nicanor Torres Guevarra</v>
      </c>
      <c r="D1087" s="4" t="str" cm="1">
        <f t="array" ref="D1087">IFERROR(INDEX(EmployeeData[Department], ROW() - 37), "")</f>
        <v>Customer Support</v>
      </c>
      <c r="E1087" s="4" t="str" cm="1">
        <f t="array" ref="E1087">IFERROR(INDEX(EmployeeData[Gender], ROW() - 37), "")</f>
        <v>Male</v>
      </c>
      <c r="F1087" s="4" cm="1">
        <f t="array" ref="F1087">IFERROR(INDEX(EmployeeData[Age], ROW() - 37), "")</f>
        <v>30</v>
      </c>
      <c r="G1087" s="6" cm="1">
        <f t="array" ref="G1087">IFERROR(INDEX(EmployeeData[Join Date], ROW() - 37), "")</f>
        <v>44548</v>
      </c>
      <c r="H1087" s="6" t="str" cm="1">
        <f t="array" ref="H1087">IFERROR(IF(INDEX(EmployeeData[Exit Date], ROW() - 37)=0, "",INDEX(EmployeeData[Exit Date], ROW() - 37)),"")</f>
        <v/>
      </c>
      <c r="I1087" s="4" t="str" cm="1">
        <f t="array" ref="I1087">IFERROR(IF(INDEX(EmployeeData[Exit Reason], ROW() - 37)=0, "",INDEX(EmployeeData[Exit Reason], ROW() - 37)),"")</f>
        <v/>
      </c>
      <c r="J1087" s="4" t="str" cm="1">
        <f t="array" ref="J1087">IFERROR(INDEX(EmployeeData[Status], ROW() - 37), "")</f>
        <v>Active</v>
      </c>
    </row>
    <row r="1088" spans="2:10" ht="19.95" customHeight="1" x14ac:dyDescent="0.3">
      <c r="B1088" s="4" cm="1">
        <f t="array" ref="B1088">IFERROR(INDEX(EmployeeData[Employee ID], ROW() - 37), "")</f>
        <v>2051</v>
      </c>
      <c r="C1088" s="4" t="str" cm="1">
        <f t="array" ref="C1088">IFERROR(INDEX(EmployeeData[Full Name], ROW() - 37), "")</f>
        <v>Carlos Diaz Crisostomo</v>
      </c>
      <c r="D1088" s="4" t="str" cm="1">
        <f t="array" ref="D1088">IFERROR(INDEX(EmployeeData[Department], ROW() - 37), "")</f>
        <v>Marketing</v>
      </c>
      <c r="E1088" s="4" t="str" cm="1">
        <f t="array" ref="E1088">IFERROR(INDEX(EmployeeData[Gender], ROW() - 37), "")</f>
        <v>Other</v>
      </c>
      <c r="F1088" s="4" cm="1">
        <f t="array" ref="F1088">IFERROR(INDEX(EmployeeData[Age], ROW() - 37), "")</f>
        <v>35</v>
      </c>
      <c r="G1088" s="6" cm="1">
        <f t="array" ref="G1088">IFERROR(INDEX(EmployeeData[Join Date], ROW() - 37), "")</f>
        <v>43517</v>
      </c>
      <c r="H1088" s="6" t="str" cm="1">
        <f t="array" ref="H1088">IFERROR(IF(INDEX(EmployeeData[Exit Date], ROW() - 37)=0, "",INDEX(EmployeeData[Exit Date], ROW() - 37)),"")</f>
        <v/>
      </c>
      <c r="I1088" s="4" t="str" cm="1">
        <f t="array" ref="I1088">IFERROR(IF(INDEX(EmployeeData[Exit Reason], ROW() - 37)=0, "",INDEX(EmployeeData[Exit Reason], ROW() - 37)),"")</f>
        <v/>
      </c>
      <c r="J1088" s="4" t="str" cm="1">
        <f t="array" ref="J1088">IFERROR(INDEX(EmployeeData[Status], ROW() - 37), "")</f>
        <v>Active</v>
      </c>
    </row>
    <row r="1089" spans="2:10" ht="19.95" customHeight="1" x14ac:dyDescent="0.3">
      <c r="B1089" s="4" cm="1">
        <f t="array" ref="B1089">IFERROR(INDEX(EmployeeData[Employee ID], ROW() - 37), "")</f>
        <v>2052</v>
      </c>
      <c r="C1089" s="4" t="str" cm="1">
        <f t="array" ref="C1089">IFERROR(INDEX(EmployeeData[Full Name], ROW() - 37), "")</f>
        <v>Jose Gonzales Estrada</v>
      </c>
      <c r="D1089" s="4" t="str" cm="1">
        <f t="array" ref="D1089">IFERROR(INDEX(EmployeeData[Department], ROW() - 37), "")</f>
        <v>Customer Support</v>
      </c>
      <c r="E1089" s="4" t="str" cm="1">
        <f t="array" ref="E1089">IFERROR(INDEX(EmployeeData[Gender], ROW() - 37), "")</f>
        <v>Other</v>
      </c>
      <c r="F1089" s="4" cm="1">
        <f t="array" ref="F1089">IFERROR(INDEX(EmployeeData[Age], ROW() - 37), "")</f>
        <v>26</v>
      </c>
      <c r="G1089" s="6" cm="1">
        <f t="array" ref="G1089">IFERROR(INDEX(EmployeeData[Join Date], ROW() - 37), "")</f>
        <v>43278</v>
      </c>
      <c r="H1089" s="6" t="str" cm="1">
        <f t="array" ref="H1089">IFERROR(IF(INDEX(EmployeeData[Exit Date], ROW() - 37)=0, "",INDEX(EmployeeData[Exit Date], ROW() - 37)),"")</f>
        <v/>
      </c>
      <c r="I1089" s="4" t="str" cm="1">
        <f t="array" ref="I1089">IFERROR(IF(INDEX(EmployeeData[Exit Reason], ROW() - 37)=0, "",INDEX(EmployeeData[Exit Reason], ROW() - 37)),"")</f>
        <v/>
      </c>
      <c r="J1089" s="4" t="str" cm="1">
        <f t="array" ref="J1089">IFERROR(INDEX(EmployeeData[Status], ROW() - 37), "")</f>
        <v>Active</v>
      </c>
    </row>
    <row r="1090" spans="2:10" ht="19.95" customHeight="1" x14ac:dyDescent="0.3">
      <c r="B1090" s="4" cm="1">
        <f t="array" ref="B1090">IFERROR(INDEX(EmployeeData[Employee ID], ROW() - 37), "")</f>
        <v>2053</v>
      </c>
      <c r="C1090" s="4" t="str" cm="1">
        <f t="array" ref="C1090">IFERROR(INDEX(EmployeeData[Full Name], ROW() - 37), "")</f>
        <v>Lilia Ang Lopez</v>
      </c>
      <c r="D1090" s="4" t="str" cm="1">
        <f t="array" ref="D1090">IFERROR(INDEX(EmployeeData[Department], ROW() - 37), "")</f>
        <v>HR</v>
      </c>
      <c r="E1090" s="4" t="str" cm="1">
        <f t="array" ref="E1090">IFERROR(INDEX(EmployeeData[Gender], ROW() - 37), "")</f>
        <v>Female</v>
      </c>
      <c r="F1090" s="4" cm="1">
        <f t="array" ref="F1090">IFERROR(INDEX(EmployeeData[Age], ROW() - 37), "")</f>
        <v>40</v>
      </c>
      <c r="G1090" s="6" cm="1">
        <f t="array" ref="G1090">IFERROR(INDEX(EmployeeData[Join Date], ROW() - 37), "")</f>
        <v>45660</v>
      </c>
      <c r="H1090" s="6" t="str" cm="1">
        <f t="array" ref="H1090">IFERROR(IF(INDEX(EmployeeData[Exit Date], ROW() - 37)=0, "",INDEX(EmployeeData[Exit Date], ROW() - 37)),"")</f>
        <v/>
      </c>
      <c r="I1090" s="4" t="str" cm="1">
        <f t="array" ref="I1090">IFERROR(IF(INDEX(EmployeeData[Exit Reason], ROW() - 37)=0, "",INDEX(EmployeeData[Exit Reason], ROW() - 37)),"")</f>
        <v/>
      </c>
      <c r="J1090" s="4" t="str" cm="1">
        <f t="array" ref="J1090">IFERROR(INDEX(EmployeeData[Status], ROW() - 37), "")</f>
        <v>Active</v>
      </c>
    </row>
    <row r="1091" spans="2:10" ht="19.95" customHeight="1" x14ac:dyDescent="0.3">
      <c r="B1091" s="4" cm="1">
        <f t="array" ref="B1091">IFERROR(INDEX(EmployeeData[Employee ID], ROW() - 37), "")</f>
        <v>2054</v>
      </c>
      <c r="C1091" s="4" t="str" cm="1">
        <f t="array" ref="C1091">IFERROR(INDEX(EmployeeData[Full Name], ROW() - 37), "")</f>
        <v>Cameron Fernandez Corpuz</v>
      </c>
      <c r="D1091" s="4" t="str" cm="1">
        <f t="array" ref="D1091">IFERROR(INDEX(EmployeeData[Department], ROW() - 37), "")</f>
        <v>HR</v>
      </c>
      <c r="E1091" s="4" t="str" cm="1">
        <f t="array" ref="E1091">IFERROR(INDEX(EmployeeData[Gender], ROW() - 37), "")</f>
        <v>Other</v>
      </c>
      <c r="F1091" s="4" cm="1">
        <f t="array" ref="F1091">IFERROR(INDEX(EmployeeData[Age], ROW() - 37), "")</f>
        <v>25</v>
      </c>
      <c r="G1091" s="6" cm="1">
        <f t="array" ref="G1091">IFERROR(INDEX(EmployeeData[Join Date], ROW() - 37), "")</f>
        <v>43109</v>
      </c>
      <c r="H1091" s="6" t="str" cm="1">
        <f t="array" ref="H1091">IFERROR(IF(INDEX(EmployeeData[Exit Date], ROW() - 37)=0, "",INDEX(EmployeeData[Exit Date], ROW() - 37)),"")</f>
        <v/>
      </c>
      <c r="I1091" s="4" t="str" cm="1">
        <f t="array" ref="I1091">IFERROR(IF(INDEX(EmployeeData[Exit Reason], ROW() - 37)=0, "",INDEX(EmployeeData[Exit Reason], ROW() - 37)),"")</f>
        <v/>
      </c>
      <c r="J1091" s="4" t="str" cm="1">
        <f t="array" ref="J1091">IFERROR(INDEX(EmployeeData[Status], ROW() - 37), "")</f>
        <v>Active</v>
      </c>
    </row>
    <row r="1092" spans="2:10" ht="19.95" customHeight="1" x14ac:dyDescent="0.3">
      <c r="B1092" s="4" cm="1">
        <f t="array" ref="B1092">IFERROR(INDEX(EmployeeData[Employee ID], ROW() - 37), "")</f>
        <v>2055</v>
      </c>
      <c r="C1092" s="4" t="str" cm="1">
        <f t="array" ref="C1092">IFERROR(INDEX(EmployeeData[Full Name], ROW() - 37), "")</f>
        <v>Fernando Ramos Mercado</v>
      </c>
      <c r="D1092" s="4" t="str" cm="1">
        <f t="array" ref="D1092">IFERROR(INDEX(EmployeeData[Department], ROW() - 37), "")</f>
        <v>IT</v>
      </c>
      <c r="E1092" s="4" t="str" cm="1">
        <f t="array" ref="E1092">IFERROR(INDEX(EmployeeData[Gender], ROW() - 37), "")</f>
        <v>Other</v>
      </c>
      <c r="F1092" s="4" cm="1">
        <f t="array" ref="F1092">IFERROR(INDEX(EmployeeData[Age], ROW() - 37), "")</f>
        <v>51</v>
      </c>
      <c r="G1092" s="6" cm="1">
        <f t="array" ref="G1092">IFERROR(INDEX(EmployeeData[Join Date], ROW() - 37), "")</f>
        <v>43376</v>
      </c>
      <c r="H1092" s="6" cm="1">
        <f t="array" ref="H1092">IFERROR(IF(INDEX(EmployeeData[Exit Date], ROW() - 37)=0, "",INDEX(EmployeeData[Exit Date], ROW() - 37)),"")</f>
        <v>45216</v>
      </c>
      <c r="I1092" s="4" t="str" cm="1">
        <f t="array" ref="I1092">IFERROR(IF(INDEX(EmployeeData[Exit Reason], ROW() - 37)=0, "",INDEX(EmployeeData[Exit Reason], ROW() - 37)),"")</f>
        <v>Contract End</v>
      </c>
      <c r="J1092" s="4" t="str" cm="1">
        <f t="array" ref="J1092">IFERROR(INDEX(EmployeeData[Status], ROW() - 37), "")</f>
        <v>Exited</v>
      </c>
    </row>
    <row r="1093" spans="2:10" ht="19.95" customHeight="1" x14ac:dyDescent="0.3">
      <c r="B1093" s="4" cm="1">
        <f t="array" ref="B1093">IFERROR(INDEX(EmployeeData[Employee ID], ROW() - 37), "")</f>
        <v>2056</v>
      </c>
      <c r="C1093" s="4" t="str" cm="1">
        <f t="array" ref="C1093">IFERROR(INDEX(EmployeeData[Full Name], ROW() - 37), "")</f>
        <v>Paolo Quiambao</v>
      </c>
      <c r="D1093" s="4" t="str" cm="1">
        <f t="array" ref="D1093">IFERROR(INDEX(EmployeeData[Department], ROW() - 37), "")</f>
        <v>Customer Support</v>
      </c>
      <c r="E1093" s="4" t="str" cm="1">
        <f t="array" ref="E1093">IFERROR(INDEX(EmployeeData[Gender], ROW() - 37), "")</f>
        <v>Male</v>
      </c>
      <c r="F1093" s="4" cm="1">
        <f t="array" ref="F1093">IFERROR(INDEX(EmployeeData[Age], ROW() - 37), "")</f>
        <v>41</v>
      </c>
      <c r="G1093" s="6" cm="1">
        <f t="array" ref="G1093">IFERROR(INDEX(EmployeeData[Join Date], ROW() - 37), "")</f>
        <v>45125</v>
      </c>
      <c r="H1093" s="6" t="str" cm="1">
        <f t="array" ref="H1093">IFERROR(IF(INDEX(EmployeeData[Exit Date], ROW() - 37)=0, "",INDEX(EmployeeData[Exit Date], ROW() - 37)),"")</f>
        <v/>
      </c>
      <c r="I1093" s="4" t="str" cm="1">
        <f t="array" ref="I1093">IFERROR(IF(INDEX(EmployeeData[Exit Reason], ROW() - 37)=0, "",INDEX(EmployeeData[Exit Reason], ROW() - 37)),"")</f>
        <v/>
      </c>
      <c r="J1093" s="4" t="str" cm="1">
        <f t="array" ref="J1093">IFERROR(INDEX(EmployeeData[Status], ROW() - 37), "")</f>
        <v>Active</v>
      </c>
    </row>
    <row r="1094" spans="2:10" ht="19.95" customHeight="1" x14ac:dyDescent="0.3">
      <c r="B1094" s="4" cm="1">
        <f t="array" ref="B1094">IFERROR(INDEX(EmployeeData[Employee ID], ROW() - 37), "")</f>
        <v>2057</v>
      </c>
      <c r="C1094" s="4" t="str" cm="1">
        <f t="array" ref="C1094">IFERROR(INDEX(EmployeeData[Full Name], ROW() - 37), "")</f>
        <v>Isabel Ramirez Fajardo</v>
      </c>
      <c r="D1094" s="4" t="str" cm="1">
        <f t="array" ref="D1094">IFERROR(INDEX(EmployeeData[Department], ROW() - 37), "")</f>
        <v>IT</v>
      </c>
      <c r="E1094" s="4" t="str" cm="1">
        <f t="array" ref="E1094">IFERROR(INDEX(EmployeeData[Gender], ROW() - 37), "")</f>
        <v>Other</v>
      </c>
      <c r="F1094" s="4" cm="1">
        <f t="array" ref="F1094">IFERROR(INDEX(EmployeeData[Age], ROW() - 37), "")</f>
        <v>36</v>
      </c>
      <c r="G1094" s="6" cm="1">
        <f t="array" ref="G1094">IFERROR(INDEX(EmployeeData[Join Date], ROW() - 37), "")</f>
        <v>44670</v>
      </c>
      <c r="H1094" s="6" t="str" cm="1">
        <f t="array" ref="H1094">IFERROR(IF(INDEX(EmployeeData[Exit Date], ROW() - 37)=0, "",INDEX(EmployeeData[Exit Date], ROW() - 37)),"")</f>
        <v/>
      </c>
      <c r="I1094" s="4" t="str" cm="1">
        <f t="array" ref="I1094">IFERROR(IF(INDEX(EmployeeData[Exit Reason], ROW() - 37)=0, "",INDEX(EmployeeData[Exit Reason], ROW() - 37)),"")</f>
        <v/>
      </c>
      <c r="J1094" s="4" t="str" cm="1">
        <f t="array" ref="J1094">IFERROR(INDEX(EmployeeData[Status], ROW() - 37), "")</f>
        <v>Active</v>
      </c>
    </row>
    <row r="1095" spans="2:10" ht="19.95" customHeight="1" x14ac:dyDescent="0.3">
      <c r="B1095" s="4" cm="1">
        <f t="array" ref="B1095">IFERROR(INDEX(EmployeeData[Employee ID], ROW() - 37), "")</f>
        <v>2058</v>
      </c>
      <c r="C1095" s="4" t="str" cm="1">
        <f t="array" ref="C1095">IFERROR(INDEX(EmployeeData[Full Name], ROW() - 37), "")</f>
        <v>Nicanor Santiago Jimenez</v>
      </c>
      <c r="D1095" s="4" t="str" cm="1">
        <f t="array" ref="D1095">IFERROR(INDEX(EmployeeData[Department], ROW() - 37), "")</f>
        <v>IT</v>
      </c>
      <c r="E1095" s="4" t="str" cm="1">
        <f t="array" ref="E1095">IFERROR(INDEX(EmployeeData[Gender], ROW() - 37), "")</f>
        <v>Male</v>
      </c>
      <c r="F1095" s="4" cm="1">
        <f t="array" ref="F1095">IFERROR(INDEX(EmployeeData[Age], ROW() - 37), "")</f>
        <v>47</v>
      </c>
      <c r="G1095" s="6" cm="1">
        <f t="array" ref="G1095">IFERROR(INDEX(EmployeeData[Join Date], ROW() - 37), "")</f>
        <v>45259</v>
      </c>
      <c r="H1095" s="6" t="str" cm="1">
        <f t="array" ref="H1095">IFERROR(IF(INDEX(EmployeeData[Exit Date], ROW() - 37)=0, "",INDEX(EmployeeData[Exit Date], ROW() - 37)),"")</f>
        <v/>
      </c>
      <c r="I1095" s="4" t="str" cm="1">
        <f t="array" ref="I1095">IFERROR(IF(INDEX(EmployeeData[Exit Reason], ROW() - 37)=0, "",INDEX(EmployeeData[Exit Reason], ROW() - 37)),"")</f>
        <v/>
      </c>
      <c r="J1095" s="4" t="str" cm="1">
        <f t="array" ref="J1095">IFERROR(INDEX(EmployeeData[Status], ROW() - 37), "")</f>
        <v>Active</v>
      </c>
    </row>
    <row r="1096" spans="2:10" ht="19.95" customHeight="1" x14ac:dyDescent="0.3">
      <c r="B1096" s="4" cm="1">
        <f t="array" ref="B1096">IFERROR(INDEX(EmployeeData[Employee ID], ROW() - 37), "")</f>
        <v>2059</v>
      </c>
      <c r="C1096" s="4" t="str" cm="1">
        <f t="array" ref="C1096">IFERROR(INDEX(EmployeeData[Full Name], ROW() - 37), "")</f>
        <v>Avery Vega Gonzales</v>
      </c>
      <c r="D1096" s="4" t="str" cm="1">
        <f t="array" ref="D1096">IFERROR(INDEX(EmployeeData[Department], ROW() - 37), "")</f>
        <v>Customer Support</v>
      </c>
      <c r="E1096" s="4" t="str" cm="1">
        <f t="array" ref="E1096">IFERROR(INDEX(EmployeeData[Gender], ROW() - 37), "")</f>
        <v>Other</v>
      </c>
      <c r="F1096" s="4" cm="1">
        <f t="array" ref="F1096">IFERROR(INDEX(EmployeeData[Age], ROW() - 37), "")</f>
        <v>22</v>
      </c>
      <c r="G1096" s="6" cm="1">
        <f t="array" ref="G1096">IFERROR(INDEX(EmployeeData[Join Date], ROW() - 37), "")</f>
        <v>44585</v>
      </c>
      <c r="H1096" s="6" t="str" cm="1">
        <f t="array" ref="H1096">IFERROR(IF(INDEX(EmployeeData[Exit Date], ROW() - 37)=0, "",INDEX(EmployeeData[Exit Date], ROW() - 37)),"")</f>
        <v/>
      </c>
      <c r="I1096" s="4" t="str" cm="1">
        <f t="array" ref="I1096">IFERROR(IF(INDEX(EmployeeData[Exit Reason], ROW() - 37)=0, "",INDEX(EmployeeData[Exit Reason], ROW() - 37)),"")</f>
        <v/>
      </c>
      <c r="J1096" s="4" t="str" cm="1">
        <f t="array" ref="J1096">IFERROR(INDEX(EmployeeData[Status], ROW() - 37), "")</f>
        <v>Active</v>
      </c>
    </row>
    <row r="1097" spans="2:10" ht="19.95" customHeight="1" x14ac:dyDescent="0.3">
      <c r="B1097" s="4" cm="1">
        <f t="array" ref="B1097">IFERROR(INDEX(EmployeeData[Employee ID], ROW() - 37), "")</f>
        <v>2060</v>
      </c>
      <c r="C1097" s="4" t="str" cm="1">
        <f t="array" ref="C1097">IFERROR(INDEX(EmployeeData[Full Name], ROW() - 37), "")</f>
        <v>Rowena Ramirez Camacho</v>
      </c>
      <c r="D1097" s="4" t="str" cm="1">
        <f t="array" ref="D1097">IFERROR(INDEX(EmployeeData[Department], ROW() - 37), "")</f>
        <v>IT</v>
      </c>
      <c r="E1097" s="4" t="str" cm="1">
        <f t="array" ref="E1097">IFERROR(INDEX(EmployeeData[Gender], ROW() - 37), "")</f>
        <v>Other</v>
      </c>
      <c r="F1097" s="4" cm="1">
        <f t="array" ref="F1097">IFERROR(INDEX(EmployeeData[Age], ROW() - 37), "")</f>
        <v>29</v>
      </c>
      <c r="G1097" s="6" cm="1">
        <f t="array" ref="G1097">IFERROR(INDEX(EmployeeData[Join Date], ROW() - 37), "")</f>
        <v>44308</v>
      </c>
      <c r="H1097" s="6" t="str" cm="1">
        <f t="array" ref="H1097">IFERROR(IF(INDEX(EmployeeData[Exit Date], ROW() - 37)=0, "",INDEX(EmployeeData[Exit Date], ROW() - 37)),"")</f>
        <v/>
      </c>
      <c r="I1097" s="4" t="str" cm="1">
        <f t="array" ref="I1097">IFERROR(IF(INDEX(EmployeeData[Exit Reason], ROW() - 37)=0, "",INDEX(EmployeeData[Exit Reason], ROW() - 37)),"")</f>
        <v/>
      </c>
      <c r="J1097" s="4" t="str" cm="1">
        <f t="array" ref="J1097">IFERROR(INDEX(EmployeeData[Status], ROW() - 37), "")</f>
        <v>Active</v>
      </c>
    </row>
    <row r="1098" spans="2:10" ht="19.95" customHeight="1" x14ac:dyDescent="0.3">
      <c r="B1098" s="4" cm="1">
        <f t="array" ref="B1098">IFERROR(INDEX(EmployeeData[Employee ID], ROW() - 37), "")</f>
        <v>2061</v>
      </c>
      <c r="C1098" s="4" t="str" cm="1">
        <f t="array" ref="C1098">IFERROR(INDEX(EmployeeData[Full Name], ROW() - 37), "")</f>
        <v>Aileen Mendoza Ignacio</v>
      </c>
      <c r="D1098" s="4" t="str" cm="1">
        <f t="array" ref="D1098">IFERROR(INDEX(EmployeeData[Department], ROW() - 37), "")</f>
        <v>Customer Support</v>
      </c>
      <c r="E1098" s="4" t="str" cm="1">
        <f t="array" ref="E1098">IFERROR(INDEX(EmployeeData[Gender], ROW() - 37), "")</f>
        <v>Female</v>
      </c>
      <c r="F1098" s="4" cm="1">
        <f t="array" ref="F1098">IFERROR(INDEX(EmployeeData[Age], ROW() - 37), "")</f>
        <v>30</v>
      </c>
      <c r="G1098" s="6" cm="1">
        <f t="array" ref="G1098">IFERROR(INDEX(EmployeeData[Join Date], ROW() - 37), "")</f>
        <v>44647</v>
      </c>
      <c r="H1098" s="6" t="str" cm="1">
        <f t="array" ref="H1098">IFERROR(IF(INDEX(EmployeeData[Exit Date], ROW() - 37)=0, "",INDEX(EmployeeData[Exit Date], ROW() - 37)),"")</f>
        <v/>
      </c>
      <c r="I1098" s="4" t="str" cm="1">
        <f t="array" ref="I1098">IFERROR(IF(INDEX(EmployeeData[Exit Reason], ROW() - 37)=0, "",INDEX(EmployeeData[Exit Reason], ROW() - 37)),"")</f>
        <v/>
      </c>
      <c r="J1098" s="4" t="str" cm="1">
        <f t="array" ref="J1098">IFERROR(INDEX(EmployeeData[Status], ROW() - 37), "")</f>
        <v>Active</v>
      </c>
    </row>
    <row r="1099" spans="2:10" ht="19.95" customHeight="1" x14ac:dyDescent="0.3">
      <c r="B1099" s="4" cm="1">
        <f t="array" ref="B1099">IFERROR(INDEX(EmployeeData[Employee ID], ROW() - 37), "")</f>
        <v>2062</v>
      </c>
      <c r="C1099" s="4" t="str" cm="1">
        <f t="array" ref="C1099">IFERROR(INDEX(EmployeeData[Full Name], ROW() - 37), "")</f>
        <v>Gloria Lim Reyes</v>
      </c>
      <c r="D1099" s="4" t="str" cm="1">
        <f t="array" ref="D1099">IFERROR(INDEX(EmployeeData[Department], ROW() - 37), "")</f>
        <v>HR</v>
      </c>
      <c r="E1099" s="4" t="str" cm="1">
        <f t="array" ref="E1099">IFERROR(INDEX(EmployeeData[Gender], ROW() - 37), "")</f>
        <v>Female</v>
      </c>
      <c r="F1099" s="4" cm="1">
        <f t="array" ref="F1099">IFERROR(INDEX(EmployeeData[Age], ROW() - 37), "")</f>
        <v>31</v>
      </c>
      <c r="G1099" s="6" cm="1">
        <f t="array" ref="G1099">IFERROR(INDEX(EmployeeData[Join Date], ROW() - 37), "")</f>
        <v>43224</v>
      </c>
      <c r="H1099" s="6" cm="1">
        <f t="array" ref="H1099">IFERROR(IF(INDEX(EmployeeData[Exit Date], ROW() - 37)=0, "",INDEX(EmployeeData[Exit Date], ROW() - 37)),"")</f>
        <v>43892</v>
      </c>
      <c r="I1099" s="4" t="str" cm="1">
        <f t="array" ref="I1099">IFERROR(IF(INDEX(EmployeeData[Exit Reason], ROW() - 37)=0, "",INDEX(EmployeeData[Exit Reason], ROW() - 37)),"")</f>
        <v>Better Opportunity</v>
      </c>
      <c r="J1099" s="4" t="str" cm="1">
        <f t="array" ref="J1099">IFERROR(INDEX(EmployeeData[Status], ROW() - 37), "")</f>
        <v>Exited</v>
      </c>
    </row>
    <row r="1100" spans="2:10" ht="19.95" customHeight="1" x14ac:dyDescent="0.3">
      <c r="B1100" s="4" cm="1">
        <f t="array" ref="B1100">IFERROR(INDEX(EmployeeData[Employee ID], ROW() - 37), "")</f>
        <v>2063</v>
      </c>
      <c r="C1100" s="4" t="str" cm="1">
        <f t="array" ref="C1100">IFERROR(INDEX(EmployeeData[Full Name], ROW() - 37), "")</f>
        <v>Faith Diaz Tuazon</v>
      </c>
      <c r="D1100" s="4" t="str" cm="1">
        <f t="array" ref="D1100">IFERROR(INDEX(EmployeeData[Department], ROW() - 37), "")</f>
        <v>Customer Support</v>
      </c>
      <c r="E1100" s="4" t="str" cm="1">
        <f t="array" ref="E1100">IFERROR(INDEX(EmployeeData[Gender], ROW() - 37), "")</f>
        <v>Female</v>
      </c>
      <c r="F1100" s="4" cm="1">
        <f t="array" ref="F1100">IFERROR(INDEX(EmployeeData[Age], ROW() - 37), "")</f>
        <v>29</v>
      </c>
      <c r="G1100" s="6" cm="1">
        <f t="array" ref="G1100">IFERROR(INDEX(EmployeeData[Join Date], ROW() - 37), "")</f>
        <v>45261</v>
      </c>
      <c r="H1100" s="6" t="str" cm="1">
        <f t="array" ref="H1100">IFERROR(IF(INDEX(EmployeeData[Exit Date], ROW() - 37)=0, "",INDEX(EmployeeData[Exit Date], ROW() - 37)),"")</f>
        <v/>
      </c>
      <c r="I1100" s="4" t="str" cm="1">
        <f t="array" ref="I1100">IFERROR(IF(INDEX(EmployeeData[Exit Reason], ROW() - 37)=0, "",INDEX(EmployeeData[Exit Reason], ROW() - 37)),"")</f>
        <v/>
      </c>
      <c r="J1100" s="4" t="str" cm="1">
        <f t="array" ref="J1100">IFERROR(INDEX(EmployeeData[Status], ROW() - 37), "")</f>
        <v>Active</v>
      </c>
    </row>
    <row r="1101" spans="2:10" ht="19.95" customHeight="1" x14ac:dyDescent="0.3">
      <c r="B1101" s="4" cm="1">
        <f t="array" ref="B1101">IFERROR(INDEX(EmployeeData[Employee ID], ROW() - 37), "")</f>
        <v>2064</v>
      </c>
      <c r="C1101" s="4" t="str" cm="1">
        <f t="array" ref="C1101">IFERROR(INDEX(EmployeeData[Full Name], ROW() - 37), "")</f>
        <v>Antonio Quiambao</v>
      </c>
      <c r="D1101" s="4" t="str" cm="1">
        <f t="array" ref="D1101">IFERROR(INDEX(EmployeeData[Department], ROW() - 37), "")</f>
        <v>IT</v>
      </c>
      <c r="E1101" s="4" t="str" cm="1">
        <f t="array" ref="E1101">IFERROR(INDEX(EmployeeData[Gender], ROW() - 37), "")</f>
        <v>Male</v>
      </c>
      <c r="F1101" s="4" cm="1">
        <f t="array" ref="F1101">IFERROR(INDEX(EmployeeData[Age], ROW() - 37), "")</f>
        <v>21</v>
      </c>
      <c r="G1101" s="6" cm="1">
        <f t="array" ref="G1101">IFERROR(INDEX(EmployeeData[Join Date], ROW() - 37), "")</f>
        <v>44275</v>
      </c>
      <c r="H1101" s="6" cm="1">
        <f t="array" ref="H1101">IFERROR(IF(INDEX(EmployeeData[Exit Date], ROW() - 37)=0, "",INDEX(EmployeeData[Exit Date], ROW() - 37)),"")</f>
        <v>44487</v>
      </c>
      <c r="I1101" s="4" t="str" cm="1">
        <f t="array" ref="I1101">IFERROR(IF(INDEX(EmployeeData[Exit Reason], ROW() - 37)=0, "",INDEX(EmployeeData[Exit Reason], ROW() - 37)),"")</f>
        <v>Resignation</v>
      </c>
      <c r="J1101" s="4" t="str" cm="1">
        <f t="array" ref="J1101">IFERROR(INDEX(EmployeeData[Status], ROW() - 37), "")</f>
        <v>Exited</v>
      </c>
    </row>
    <row r="1102" spans="2:10" ht="19.95" customHeight="1" x14ac:dyDescent="0.3">
      <c r="B1102" s="4" cm="1">
        <f t="array" ref="B1102">IFERROR(INDEX(EmployeeData[Employee ID], ROW() - 37), "")</f>
        <v>2065</v>
      </c>
      <c r="C1102" s="4" t="str" cm="1">
        <f t="array" ref="C1102">IFERROR(INDEX(EmployeeData[Full Name], ROW() - 37), "")</f>
        <v>Eva Hilario</v>
      </c>
      <c r="D1102" s="4" t="str" cm="1">
        <f t="array" ref="D1102">IFERROR(INDEX(EmployeeData[Department], ROW() - 37), "")</f>
        <v>Marketing</v>
      </c>
      <c r="E1102" s="4" t="str" cm="1">
        <f t="array" ref="E1102">IFERROR(INDEX(EmployeeData[Gender], ROW() - 37), "")</f>
        <v>Female</v>
      </c>
      <c r="F1102" s="4" cm="1">
        <f t="array" ref="F1102">IFERROR(INDEX(EmployeeData[Age], ROW() - 37), "")</f>
        <v>48</v>
      </c>
      <c r="G1102" s="6" cm="1">
        <f t="array" ref="G1102">IFERROR(INDEX(EmployeeData[Join Date], ROW() - 37), "")</f>
        <v>45885</v>
      </c>
      <c r="H1102" s="6" t="str" cm="1">
        <f t="array" ref="H1102">IFERROR(IF(INDEX(EmployeeData[Exit Date], ROW() - 37)=0, "",INDEX(EmployeeData[Exit Date], ROW() - 37)),"")</f>
        <v/>
      </c>
      <c r="I1102" s="4" t="str" cm="1">
        <f t="array" ref="I1102">IFERROR(IF(INDEX(EmployeeData[Exit Reason], ROW() - 37)=0, "",INDEX(EmployeeData[Exit Reason], ROW() - 37)),"")</f>
        <v/>
      </c>
      <c r="J1102" s="4" t="str" cm="1">
        <f t="array" ref="J1102">IFERROR(INDEX(EmployeeData[Status], ROW() - 37), "")</f>
        <v>Active</v>
      </c>
    </row>
    <row r="1103" spans="2:10" ht="19.95" customHeight="1" x14ac:dyDescent="0.3">
      <c r="B1103" s="4" cm="1">
        <f t="array" ref="B1103">IFERROR(INDEX(EmployeeData[Employee ID], ROW() - 37), "")</f>
        <v>2066</v>
      </c>
      <c r="C1103" s="4" t="str" cm="1">
        <f t="array" ref="C1103">IFERROR(INDEX(EmployeeData[Full Name], ROW() - 37), "")</f>
        <v>Feliciano Wong</v>
      </c>
      <c r="D1103" s="4" t="str" cm="1">
        <f t="array" ref="D1103">IFERROR(INDEX(EmployeeData[Department], ROW() - 37), "")</f>
        <v>IT</v>
      </c>
      <c r="E1103" s="4" t="str" cm="1">
        <f t="array" ref="E1103">IFERROR(INDEX(EmployeeData[Gender], ROW() - 37), "")</f>
        <v>Male</v>
      </c>
      <c r="F1103" s="4" cm="1">
        <f t="array" ref="F1103">IFERROR(INDEX(EmployeeData[Age], ROW() - 37), "")</f>
        <v>40</v>
      </c>
      <c r="G1103" s="6" cm="1">
        <f t="array" ref="G1103">IFERROR(INDEX(EmployeeData[Join Date], ROW() - 37), "")</f>
        <v>44032</v>
      </c>
      <c r="H1103" s="6" t="str" cm="1">
        <f t="array" ref="H1103">IFERROR(IF(INDEX(EmployeeData[Exit Date], ROW() - 37)=0, "",INDEX(EmployeeData[Exit Date], ROW() - 37)),"")</f>
        <v/>
      </c>
      <c r="I1103" s="4" t="str" cm="1">
        <f t="array" ref="I1103">IFERROR(IF(INDEX(EmployeeData[Exit Reason], ROW() - 37)=0, "",INDEX(EmployeeData[Exit Reason], ROW() - 37)),"")</f>
        <v/>
      </c>
      <c r="J1103" s="4" t="str" cm="1">
        <f t="array" ref="J1103">IFERROR(INDEX(EmployeeData[Status], ROW() - 37), "")</f>
        <v>Active</v>
      </c>
    </row>
    <row r="1104" spans="2:10" ht="19.95" customHeight="1" x14ac:dyDescent="0.3">
      <c r="B1104" s="4" cm="1">
        <f t="array" ref="B1104">IFERROR(INDEX(EmployeeData[Employee ID], ROW() - 37), "")</f>
        <v>2067</v>
      </c>
      <c r="C1104" s="4" t="str" cm="1">
        <f t="array" ref="C1104">IFERROR(INDEX(EmployeeData[Full Name], ROW() - 37), "")</f>
        <v>Riley Ocampo Tan</v>
      </c>
      <c r="D1104" s="4" t="str" cm="1">
        <f t="array" ref="D1104">IFERROR(INDEX(EmployeeData[Department], ROW() - 37), "")</f>
        <v>Marketing</v>
      </c>
      <c r="E1104" s="4" t="str" cm="1">
        <f t="array" ref="E1104">IFERROR(INDEX(EmployeeData[Gender], ROW() - 37), "")</f>
        <v>Other</v>
      </c>
      <c r="F1104" s="4" cm="1">
        <f t="array" ref="F1104">IFERROR(INDEX(EmployeeData[Age], ROW() - 37), "")</f>
        <v>29</v>
      </c>
      <c r="G1104" s="6" cm="1">
        <f t="array" ref="G1104">IFERROR(INDEX(EmployeeData[Join Date], ROW() - 37), "")</f>
        <v>43968</v>
      </c>
      <c r="H1104" s="6" t="str" cm="1">
        <f t="array" ref="H1104">IFERROR(IF(INDEX(EmployeeData[Exit Date], ROW() - 37)=0, "",INDEX(EmployeeData[Exit Date], ROW() - 37)),"")</f>
        <v/>
      </c>
      <c r="I1104" s="4" t="str" cm="1">
        <f t="array" ref="I1104">IFERROR(IF(INDEX(EmployeeData[Exit Reason], ROW() - 37)=0, "",INDEX(EmployeeData[Exit Reason], ROW() - 37)),"")</f>
        <v/>
      </c>
      <c r="J1104" s="4" t="str" cm="1">
        <f t="array" ref="J1104">IFERROR(INDEX(EmployeeData[Status], ROW() - 37), "")</f>
        <v>Active</v>
      </c>
    </row>
    <row r="1105" spans="2:10" ht="19.95" customHeight="1" x14ac:dyDescent="0.3">
      <c r="B1105" s="4" cm="1">
        <f t="array" ref="B1105">IFERROR(INDEX(EmployeeData[Employee ID], ROW() - 37), "")</f>
        <v>2068</v>
      </c>
      <c r="C1105" s="4" t="str" cm="1">
        <f t="array" ref="C1105">IFERROR(INDEX(EmployeeData[Full Name], ROW() - 37), "")</f>
        <v>Leonard Santiago Pascual</v>
      </c>
      <c r="D1105" s="4" t="str" cm="1">
        <f t="array" ref="D1105">IFERROR(INDEX(EmployeeData[Department], ROW() - 37), "")</f>
        <v>Sales</v>
      </c>
      <c r="E1105" s="4" t="str" cm="1">
        <f t="array" ref="E1105">IFERROR(INDEX(EmployeeData[Gender], ROW() - 37), "")</f>
        <v>Male</v>
      </c>
      <c r="F1105" s="4" cm="1">
        <f t="array" ref="F1105">IFERROR(INDEX(EmployeeData[Age], ROW() - 37), "")</f>
        <v>41</v>
      </c>
      <c r="G1105" s="6" cm="1">
        <f t="array" ref="G1105">IFERROR(INDEX(EmployeeData[Join Date], ROW() - 37), "")</f>
        <v>45774</v>
      </c>
      <c r="H1105" s="6" t="str" cm="1">
        <f t="array" ref="H1105">IFERROR(IF(INDEX(EmployeeData[Exit Date], ROW() - 37)=0, "",INDEX(EmployeeData[Exit Date], ROW() - 37)),"")</f>
        <v/>
      </c>
      <c r="I1105" s="4" t="str" cm="1">
        <f t="array" ref="I1105">IFERROR(IF(INDEX(EmployeeData[Exit Reason], ROW() - 37)=0, "",INDEX(EmployeeData[Exit Reason], ROW() - 37)),"")</f>
        <v/>
      </c>
      <c r="J1105" s="4" t="str" cm="1">
        <f t="array" ref="J1105">IFERROR(INDEX(EmployeeData[Status], ROW() - 37), "")</f>
        <v>Active</v>
      </c>
    </row>
    <row r="1106" spans="2:10" ht="19.95" customHeight="1" x14ac:dyDescent="0.3">
      <c r="B1106" s="4" cm="1">
        <f t="array" ref="B1106">IFERROR(INDEX(EmployeeData[Employee ID], ROW() - 37), "")</f>
        <v>2069</v>
      </c>
      <c r="C1106" s="4" t="str" cm="1">
        <f t="array" ref="C1106">IFERROR(INDEX(EmployeeData[Full Name], ROW() - 37), "")</f>
        <v>Diana Ocampo Aguilar</v>
      </c>
      <c r="D1106" s="4" t="str" cm="1">
        <f t="array" ref="D1106">IFERROR(INDEX(EmployeeData[Department], ROW() - 37), "")</f>
        <v>HR</v>
      </c>
      <c r="E1106" s="4" t="str" cm="1">
        <f t="array" ref="E1106">IFERROR(INDEX(EmployeeData[Gender], ROW() - 37), "")</f>
        <v>Female</v>
      </c>
      <c r="F1106" s="4" cm="1">
        <f t="array" ref="F1106">IFERROR(INDEX(EmployeeData[Age], ROW() - 37), "")</f>
        <v>27</v>
      </c>
      <c r="G1106" s="6" cm="1">
        <f t="array" ref="G1106">IFERROR(INDEX(EmployeeData[Join Date], ROW() - 37), "")</f>
        <v>43528</v>
      </c>
      <c r="H1106" s="6" cm="1">
        <f t="array" ref="H1106">IFERROR(IF(INDEX(EmployeeData[Exit Date], ROW() - 37)=0, "",INDEX(EmployeeData[Exit Date], ROW() - 37)),"")</f>
        <v>44992</v>
      </c>
      <c r="I1106" s="4" t="str" cm="1">
        <f t="array" ref="I1106">IFERROR(IF(INDEX(EmployeeData[Exit Reason], ROW() - 37)=0, "",INDEX(EmployeeData[Exit Reason], ROW() - 37)),"")</f>
        <v>Better Opportunity</v>
      </c>
      <c r="J1106" s="4" t="str" cm="1">
        <f t="array" ref="J1106">IFERROR(INDEX(EmployeeData[Status], ROW() - 37), "")</f>
        <v>Exited</v>
      </c>
    </row>
    <row r="1107" spans="2:10" ht="19.95" customHeight="1" x14ac:dyDescent="0.3">
      <c r="B1107" s="4" cm="1">
        <f t="array" ref="B1107">IFERROR(INDEX(EmployeeData[Employee ID], ROW() - 37), "")</f>
        <v>2070</v>
      </c>
      <c r="C1107" s="4" t="str" cm="1">
        <f t="array" ref="C1107">IFERROR(INDEX(EmployeeData[Full Name], ROW() - 37), "")</f>
        <v>Carmen Cruz Sy</v>
      </c>
      <c r="D1107" s="4" t="str" cm="1">
        <f t="array" ref="D1107">IFERROR(INDEX(EmployeeData[Department], ROW() - 37), "")</f>
        <v>Customer Support</v>
      </c>
      <c r="E1107" s="4" t="str" cm="1">
        <f t="array" ref="E1107">IFERROR(INDEX(EmployeeData[Gender], ROW() - 37), "")</f>
        <v>Female</v>
      </c>
      <c r="F1107" s="4" cm="1">
        <f t="array" ref="F1107">IFERROR(INDEX(EmployeeData[Age], ROW() - 37), "")</f>
        <v>40</v>
      </c>
      <c r="G1107" s="6" cm="1">
        <f t="array" ref="G1107">IFERROR(INDEX(EmployeeData[Join Date], ROW() - 37), "")</f>
        <v>43869</v>
      </c>
      <c r="H1107" s="6" t="str" cm="1">
        <f t="array" ref="H1107">IFERROR(IF(INDEX(EmployeeData[Exit Date], ROW() - 37)=0, "",INDEX(EmployeeData[Exit Date], ROW() - 37)),"")</f>
        <v/>
      </c>
      <c r="I1107" s="4" t="str" cm="1">
        <f t="array" ref="I1107">IFERROR(IF(INDEX(EmployeeData[Exit Reason], ROW() - 37)=0, "",INDEX(EmployeeData[Exit Reason], ROW() - 37)),"")</f>
        <v/>
      </c>
      <c r="J1107" s="4" t="str" cm="1">
        <f t="array" ref="J1107">IFERROR(INDEX(EmployeeData[Status], ROW() - 37), "")</f>
        <v>Active</v>
      </c>
    </row>
    <row r="1108" spans="2:10" ht="19.95" customHeight="1" x14ac:dyDescent="0.3">
      <c r="B1108" s="4" cm="1">
        <f t="array" ref="B1108">IFERROR(INDEX(EmployeeData[Employee ID], ROW() - 37), "")</f>
        <v>2071</v>
      </c>
      <c r="C1108" s="4" t="str" cm="1">
        <f t="array" ref="C1108">IFERROR(INDEX(EmployeeData[Full Name], ROW() - 37), "")</f>
        <v>Efren Co</v>
      </c>
      <c r="D1108" s="4" t="str" cm="1">
        <f t="array" ref="D1108">IFERROR(INDEX(EmployeeData[Department], ROW() - 37), "")</f>
        <v>Marketing</v>
      </c>
      <c r="E1108" s="4" t="str" cm="1">
        <f t="array" ref="E1108">IFERROR(INDEX(EmployeeData[Gender], ROW() - 37), "")</f>
        <v>Other</v>
      </c>
      <c r="F1108" s="4" cm="1">
        <f t="array" ref="F1108">IFERROR(INDEX(EmployeeData[Age], ROW() - 37), "")</f>
        <v>23</v>
      </c>
      <c r="G1108" s="6" cm="1">
        <f t="array" ref="G1108">IFERROR(INDEX(EmployeeData[Join Date], ROW() - 37), "")</f>
        <v>43297</v>
      </c>
      <c r="H1108" s="6" cm="1">
        <f t="array" ref="H1108">IFERROR(IF(INDEX(EmployeeData[Exit Date], ROW() - 37)=0, "",INDEX(EmployeeData[Exit Date], ROW() - 37)),"")</f>
        <v>44651</v>
      </c>
      <c r="I1108" s="4" t="str" cm="1">
        <f t="array" ref="I1108">IFERROR(IF(INDEX(EmployeeData[Exit Reason], ROW() - 37)=0, "",INDEX(EmployeeData[Exit Reason], ROW() - 37)),"")</f>
        <v>Better Opportunity</v>
      </c>
      <c r="J1108" s="4" t="str" cm="1">
        <f t="array" ref="J1108">IFERROR(INDEX(EmployeeData[Status], ROW() - 37), "")</f>
        <v>Exited</v>
      </c>
    </row>
    <row r="1109" spans="2:10" ht="19.95" customHeight="1" x14ac:dyDescent="0.3">
      <c r="B1109" s="4" cm="1">
        <f t="array" ref="B1109">IFERROR(INDEX(EmployeeData[Employee ID], ROW() - 37), "")</f>
        <v>2072</v>
      </c>
      <c r="C1109" s="4" t="str" cm="1">
        <f t="array" ref="C1109">IFERROR(INDEX(EmployeeData[Full Name], ROW() - 37), "")</f>
        <v>Lourdes Mendoza Mangubat</v>
      </c>
      <c r="D1109" s="4" t="str" cm="1">
        <f t="array" ref="D1109">IFERROR(INDEX(EmployeeData[Department], ROW() - 37), "")</f>
        <v>Marketing</v>
      </c>
      <c r="E1109" s="4" t="str" cm="1">
        <f t="array" ref="E1109">IFERROR(INDEX(EmployeeData[Gender], ROW() - 37), "")</f>
        <v>Female</v>
      </c>
      <c r="F1109" s="4" cm="1">
        <f t="array" ref="F1109">IFERROR(INDEX(EmployeeData[Age], ROW() - 37), "")</f>
        <v>46</v>
      </c>
      <c r="G1109" s="6" cm="1">
        <f t="array" ref="G1109">IFERROR(INDEX(EmployeeData[Join Date], ROW() - 37), "")</f>
        <v>44558</v>
      </c>
      <c r="H1109" s="6" t="str" cm="1">
        <f t="array" ref="H1109">IFERROR(IF(INDEX(EmployeeData[Exit Date], ROW() - 37)=0, "",INDEX(EmployeeData[Exit Date], ROW() - 37)),"")</f>
        <v/>
      </c>
      <c r="I1109" s="4" t="str" cm="1">
        <f t="array" ref="I1109">IFERROR(IF(INDEX(EmployeeData[Exit Reason], ROW() - 37)=0, "",INDEX(EmployeeData[Exit Reason], ROW() - 37)),"")</f>
        <v/>
      </c>
      <c r="J1109" s="4" t="str" cm="1">
        <f t="array" ref="J1109">IFERROR(INDEX(EmployeeData[Status], ROW() - 37), "")</f>
        <v>Active</v>
      </c>
    </row>
    <row r="1110" spans="2:10" ht="19.95" customHeight="1" x14ac:dyDescent="0.3">
      <c r="B1110" s="4" cm="1">
        <f t="array" ref="B1110">IFERROR(INDEX(EmployeeData[Employee ID], ROW() - 37), "")</f>
        <v>2073</v>
      </c>
      <c r="C1110" s="4" t="str" cm="1">
        <f t="array" ref="C1110">IFERROR(INDEX(EmployeeData[Full Name], ROW() - 37), "")</f>
        <v>Elena Ong</v>
      </c>
      <c r="D1110" s="4" t="str" cm="1">
        <f t="array" ref="D1110">IFERROR(INDEX(EmployeeData[Department], ROW() - 37), "")</f>
        <v>Marketing</v>
      </c>
      <c r="E1110" s="4" t="str" cm="1">
        <f t="array" ref="E1110">IFERROR(INDEX(EmployeeData[Gender], ROW() - 37), "")</f>
        <v>Other</v>
      </c>
      <c r="F1110" s="4" cm="1">
        <f t="array" ref="F1110">IFERROR(INDEX(EmployeeData[Age], ROW() - 37), "")</f>
        <v>22</v>
      </c>
      <c r="G1110" s="6" cm="1">
        <f t="array" ref="G1110">IFERROR(INDEX(EmployeeData[Join Date], ROW() - 37), "")</f>
        <v>45506</v>
      </c>
      <c r="H1110" s="6" t="str" cm="1">
        <f t="array" ref="H1110">IFERROR(IF(INDEX(EmployeeData[Exit Date], ROW() - 37)=0, "",INDEX(EmployeeData[Exit Date], ROW() - 37)),"")</f>
        <v/>
      </c>
      <c r="I1110" s="4" t="str" cm="1">
        <f t="array" ref="I1110">IFERROR(IF(INDEX(EmployeeData[Exit Reason], ROW() - 37)=0, "",INDEX(EmployeeData[Exit Reason], ROW() - 37)),"")</f>
        <v/>
      </c>
      <c r="J1110" s="4" t="str" cm="1">
        <f t="array" ref="J1110">IFERROR(INDEX(EmployeeData[Status], ROW() - 37), "")</f>
        <v>Active</v>
      </c>
    </row>
    <row r="1111" spans="2:10" ht="19.95" customHeight="1" x14ac:dyDescent="0.3">
      <c r="B1111" s="4" cm="1">
        <f t="array" ref="B1111">IFERROR(INDEX(EmployeeData[Employee ID], ROW() - 37), "")</f>
        <v>2074</v>
      </c>
      <c r="C1111" s="4" t="str" cm="1">
        <f t="array" ref="C1111">IFERROR(INDEX(EmployeeData[Full Name], ROW() - 37), "")</f>
        <v>Maricel Flores Miranda</v>
      </c>
      <c r="D1111" s="4" t="str" cm="1">
        <f t="array" ref="D1111">IFERROR(INDEX(EmployeeData[Department], ROW() - 37), "")</f>
        <v>Customer Support</v>
      </c>
      <c r="E1111" s="4" t="str" cm="1">
        <f t="array" ref="E1111">IFERROR(INDEX(EmployeeData[Gender], ROW() - 37), "")</f>
        <v>Female</v>
      </c>
      <c r="F1111" s="4" cm="1">
        <f t="array" ref="F1111">IFERROR(INDEX(EmployeeData[Age], ROW() - 37), "")</f>
        <v>50</v>
      </c>
      <c r="G1111" s="6" cm="1">
        <f t="array" ref="G1111">IFERROR(INDEX(EmployeeData[Join Date], ROW() - 37), "")</f>
        <v>43423</v>
      </c>
      <c r="H1111" s="6" t="str" cm="1">
        <f t="array" ref="H1111">IFERROR(IF(INDEX(EmployeeData[Exit Date], ROW() - 37)=0, "",INDEX(EmployeeData[Exit Date], ROW() - 37)),"")</f>
        <v/>
      </c>
      <c r="I1111" s="4" t="str" cm="1">
        <f t="array" ref="I1111">IFERROR(IF(INDEX(EmployeeData[Exit Reason], ROW() - 37)=0, "",INDEX(EmployeeData[Exit Reason], ROW() - 37)),"")</f>
        <v/>
      </c>
      <c r="J1111" s="4" t="str" cm="1">
        <f t="array" ref="J1111">IFERROR(INDEX(EmployeeData[Status], ROW() - 37), "")</f>
        <v>Active</v>
      </c>
    </row>
    <row r="1112" spans="2:10" ht="19.95" customHeight="1" x14ac:dyDescent="0.3">
      <c r="B1112" s="4" cm="1">
        <f t="array" ref="B1112">IFERROR(INDEX(EmployeeData[Employee ID], ROW() - 37), "")</f>
        <v>2075</v>
      </c>
      <c r="C1112" s="4" t="str" cm="1">
        <f t="array" ref="C1112">IFERROR(INDEX(EmployeeData[Full Name], ROW() - 37), "")</f>
        <v>Bong Diaz Corpuz</v>
      </c>
      <c r="D1112" s="4" t="str" cm="1">
        <f t="array" ref="D1112">IFERROR(INDEX(EmployeeData[Department], ROW() - 37), "")</f>
        <v>Sales</v>
      </c>
      <c r="E1112" s="4" t="str" cm="1">
        <f t="array" ref="E1112">IFERROR(INDEX(EmployeeData[Gender], ROW() - 37), "")</f>
        <v>Male</v>
      </c>
      <c r="F1112" s="4" cm="1">
        <f t="array" ref="F1112">IFERROR(INDEX(EmployeeData[Age], ROW() - 37), "")</f>
        <v>31</v>
      </c>
      <c r="G1112" s="6" cm="1">
        <f t="array" ref="G1112">IFERROR(INDEX(EmployeeData[Join Date], ROW() - 37), "")</f>
        <v>45155</v>
      </c>
      <c r="H1112" s="6" t="str" cm="1">
        <f t="array" ref="H1112">IFERROR(IF(INDEX(EmployeeData[Exit Date], ROW() - 37)=0, "",INDEX(EmployeeData[Exit Date], ROW() - 37)),"")</f>
        <v/>
      </c>
      <c r="I1112" s="4" t="str" cm="1">
        <f t="array" ref="I1112">IFERROR(IF(INDEX(EmployeeData[Exit Reason], ROW() - 37)=0, "",INDEX(EmployeeData[Exit Reason], ROW() - 37)),"")</f>
        <v/>
      </c>
      <c r="J1112" s="4" t="str" cm="1">
        <f t="array" ref="J1112">IFERROR(INDEX(EmployeeData[Status], ROW() - 37), "")</f>
        <v>Active</v>
      </c>
    </row>
    <row r="1113" spans="2:10" ht="19.95" customHeight="1" x14ac:dyDescent="0.3">
      <c r="B1113" s="4" cm="1">
        <f t="array" ref="B1113">IFERROR(INDEX(EmployeeData[Employee ID], ROW() - 37), "")</f>
        <v>2076</v>
      </c>
      <c r="C1113" s="4" t="str" cm="1">
        <f t="array" ref="C1113">IFERROR(INDEX(EmployeeData[Full Name], ROW() - 37), "")</f>
        <v>Bea Garcia</v>
      </c>
      <c r="D1113" s="4" t="str" cm="1">
        <f t="array" ref="D1113">IFERROR(INDEX(EmployeeData[Department], ROW() - 37), "")</f>
        <v>HR</v>
      </c>
      <c r="E1113" s="4" t="str" cm="1">
        <f t="array" ref="E1113">IFERROR(INDEX(EmployeeData[Gender], ROW() - 37), "")</f>
        <v>Female</v>
      </c>
      <c r="F1113" s="4" cm="1">
        <f t="array" ref="F1113">IFERROR(INDEX(EmployeeData[Age], ROW() - 37), "")</f>
        <v>39</v>
      </c>
      <c r="G1113" s="6" cm="1">
        <f t="array" ref="G1113">IFERROR(INDEX(EmployeeData[Join Date], ROW() - 37), "")</f>
        <v>44576</v>
      </c>
      <c r="H1113" s="6" t="str" cm="1">
        <f t="array" ref="H1113">IFERROR(IF(INDEX(EmployeeData[Exit Date], ROW() - 37)=0, "",INDEX(EmployeeData[Exit Date], ROW() - 37)),"")</f>
        <v/>
      </c>
      <c r="I1113" s="4" t="str" cm="1">
        <f t="array" ref="I1113">IFERROR(IF(INDEX(EmployeeData[Exit Reason], ROW() - 37)=0, "",INDEX(EmployeeData[Exit Reason], ROW() - 37)),"")</f>
        <v/>
      </c>
      <c r="J1113" s="4" t="str" cm="1">
        <f t="array" ref="J1113">IFERROR(INDEX(EmployeeData[Status], ROW() - 37), "")</f>
        <v>Active</v>
      </c>
    </row>
    <row r="1114" spans="2:10" ht="19.95" customHeight="1" x14ac:dyDescent="0.3">
      <c r="B1114" s="4" cm="1">
        <f t="array" ref="B1114">IFERROR(INDEX(EmployeeData[Employee ID], ROW() - 37), "")</f>
        <v>2077</v>
      </c>
      <c r="C1114" s="4" t="str" cm="1">
        <f t="array" ref="C1114">IFERROR(INDEX(EmployeeData[Full Name], ROW() - 37), "")</f>
        <v>Ernesto Lozano</v>
      </c>
      <c r="D1114" s="4" t="str" cm="1">
        <f t="array" ref="D1114">IFERROR(INDEX(EmployeeData[Department], ROW() - 37), "")</f>
        <v>HR</v>
      </c>
      <c r="E1114" s="4" t="str" cm="1">
        <f t="array" ref="E1114">IFERROR(INDEX(EmployeeData[Gender], ROW() - 37), "")</f>
        <v>Male</v>
      </c>
      <c r="F1114" s="4" cm="1">
        <f t="array" ref="F1114">IFERROR(INDEX(EmployeeData[Age], ROW() - 37), "")</f>
        <v>34</v>
      </c>
      <c r="G1114" s="6" cm="1">
        <f t="array" ref="G1114">IFERROR(INDEX(EmployeeData[Join Date], ROW() - 37), "")</f>
        <v>45601</v>
      </c>
      <c r="H1114" s="6" t="str" cm="1">
        <f t="array" ref="H1114">IFERROR(IF(INDEX(EmployeeData[Exit Date], ROW() - 37)=0, "",INDEX(EmployeeData[Exit Date], ROW() - 37)),"")</f>
        <v/>
      </c>
      <c r="I1114" s="4" t="str" cm="1">
        <f t="array" ref="I1114">IFERROR(IF(INDEX(EmployeeData[Exit Reason], ROW() - 37)=0, "",INDEX(EmployeeData[Exit Reason], ROW() - 37)),"")</f>
        <v/>
      </c>
      <c r="J1114" s="4" t="str" cm="1">
        <f t="array" ref="J1114">IFERROR(INDEX(EmployeeData[Status], ROW() - 37), "")</f>
        <v>Active</v>
      </c>
    </row>
    <row r="1115" spans="2:10" ht="19.95" customHeight="1" x14ac:dyDescent="0.3">
      <c r="B1115" s="4" cm="1">
        <f t="array" ref="B1115">IFERROR(INDEX(EmployeeData[Employee ID], ROW() - 37), "")</f>
        <v>2078</v>
      </c>
      <c r="C1115" s="4" t="str" cm="1">
        <f t="array" ref="C1115">IFERROR(INDEX(EmployeeData[Full Name], ROW() - 37), "")</f>
        <v>Casey Navarro Zamora</v>
      </c>
      <c r="D1115" s="4" t="str" cm="1">
        <f t="array" ref="D1115">IFERROR(INDEX(EmployeeData[Department], ROW() - 37), "")</f>
        <v>Marketing</v>
      </c>
      <c r="E1115" s="4" t="str" cm="1">
        <f t="array" ref="E1115">IFERROR(INDEX(EmployeeData[Gender], ROW() - 37), "")</f>
        <v>Other</v>
      </c>
      <c r="F1115" s="4" cm="1">
        <f t="array" ref="F1115">IFERROR(INDEX(EmployeeData[Age], ROW() - 37), "")</f>
        <v>30</v>
      </c>
      <c r="G1115" s="6" cm="1">
        <f t="array" ref="G1115">IFERROR(INDEX(EmployeeData[Join Date], ROW() - 37), "")</f>
        <v>44368</v>
      </c>
      <c r="H1115" s="6" t="str" cm="1">
        <f t="array" ref="H1115">IFERROR(IF(INDEX(EmployeeData[Exit Date], ROW() - 37)=0, "",INDEX(EmployeeData[Exit Date], ROW() - 37)),"")</f>
        <v/>
      </c>
      <c r="I1115" s="4" t="str" cm="1">
        <f t="array" ref="I1115">IFERROR(IF(INDEX(EmployeeData[Exit Reason], ROW() - 37)=0, "",INDEX(EmployeeData[Exit Reason], ROW() - 37)),"")</f>
        <v/>
      </c>
      <c r="J1115" s="4" t="str" cm="1">
        <f t="array" ref="J1115">IFERROR(INDEX(EmployeeData[Status], ROW() - 37), "")</f>
        <v>Active</v>
      </c>
    </row>
    <row r="1116" spans="2:10" ht="19.95" customHeight="1" x14ac:dyDescent="0.3">
      <c r="B1116" s="4" cm="1">
        <f t="array" ref="B1116">IFERROR(INDEX(EmployeeData[Employee ID], ROW() - 37), "")</f>
        <v>2079</v>
      </c>
      <c r="C1116" s="4" t="str" cm="1">
        <f t="array" ref="C1116">IFERROR(INDEX(EmployeeData[Full Name], ROW() - 37), "")</f>
        <v>Mylene Go Dela Cruz</v>
      </c>
      <c r="D1116" s="4" t="str" cm="1">
        <f t="array" ref="D1116">IFERROR(INDEX(EmployeeData[Department], ROW() - 37), "")</f>
        <v>Customer Support</v>
      </c>
      <c r="E1116" s="4" t="str" cm="1">
        <f t="array" ref="E1116">IFERROR(INDEX(EmployeeData[Gender], ROW() - 37), "")</f>
        <v>Female</v>
      </c>
      <c r="F1116" s="4" cm="1">
        <f t="array" ref="F1116">IFERROR(INDEX(EmployeeData[Age], ROW() - 37), "")</f>
        <v>25</v>
      </c>
      <c r="G1116" s="6" cm="1">
        <f t="array" ref="G1116">IFERROR(INDEX(EmployeeData[Join Date], ROW() - 37), "")</f>
        <v>44248</v>
      </c>
      <c r="H1116" s="6" t="str" cm="1">
        <f t="array" ref="H1116">IFERROR(IF(INDEX(EmployeeData[Exit Date], ROW() - 37)=0, "",INDEX(EmployeeData[Exit Date], ROW() - 37)),"")</f>
        <v/>
      </c>
      <c r="I1116" s="4" t="str" cm="1">
        <f t="array" ref="I1116">IFERROR(IF(INDEX(EmployeeData[Exit Reason], ROW() - 37)=0, "",INDEX(EmployeeData[Exit Reason], ROW() - 37)),"")</f>
        <v/>
      </c>
      <c r="J1116" s="4" t="str" cm="1">
        <f t="array" ref="J1116">IFERROR(INDEX(EmployeeData[Status], ROW() - 37), "")</f>
        <v>Active</v>
      </c>
    </row>
    <row r="1117" spans="2:10" ht="19.95" customHeight="1" x14ac:dyDescent="0.3">
      <c r="B1117" s="4" cm="1">
        <f t="array" ref="B1117">IFERROR(INDEX(EmployeeData[Employee ID], ROW() - 37), "")</f>
        <v>2080</v>
      </c>
      <c r="C1117" s="4" t="str" cm="1">
        <f t="array" ref="C1117">IFERROR(INDEX(EmployeeData[Full Name], ROW() - 37), "")</f>
        <v>Crisanto Castro</v>
      </c>
      <c r="D1117" s="4" t="str" cm="1">
        <f t="array" ref="D1117">IFERROR(INDEX(EmployeeData[Department], ROW() - 37), "")</f>
        <v>IT</v>
      </c>
      <c r="E1117" s="4" t="str" cm="1">
        <f t="array" ref="E1117">IFERROR(INDEX(EmployeeData[Gender], ROW() - 37), "")</f>
        <v>Male</v>
      </c>
      <c r="F1117" s="4" cm="1">
        <f t="array" ref="F1117">IFERROR(INDEX(EmployeeData[Age], ROW() - 37), "")</f>
        <v>37</v>
      </c>
      <c r="G1117" s="6" cm="1">
        <f t="array" ref="G1117">IFERROR(INDEX(EmployeeData[Join Date], ROW() - 37), "")</f>
        <v>44911</v>
      </c>
      <c r="H1117" s="6" t="str" cm="1">
        <f t="array" ref="H1117">IFERROR(IF(INDEX(EmployeeData[Exit Date], ROW() - 37)=0, "",INDEX(EmployeeData[Exit Date], ROW() - 37)),"")</f>
        <v/>
      </c>
      <c r="I1117" s="4" t="str" cm="1">
        <f t="array" ref="I1117">IFERROR(IF(INDEX(EmployeeData[Exit Reason], ROW() - 37)=0, "",INDEX(EmployeeData[Exit Reason], ROW() - 37)),"")</f>
        <v/>
      </c>
      <c r="J1117" s="4" t="str" cm="1">
        <f t="array" ref="J1117">IFERROR(INDEX(EmployeeData[Status], ROW() - 37), "")</f>
        <v>Active</v>
      </c>
    </row>
    <row r="1118" spans="2:10" ht="19.95" customHeight="1" x14ac:dyDescent="0.3">
      <c r="B1118" s="4" cm="1">
        <f t="array" ref="B1118">IFERROR(INDEX(EmployeeData[Employee ID], ROW() - 37), "")</f>
        <v>2081</v>
      </c>
      <c r="C1118" s="4" t="str" cm="1">
        <f t="array" ref="C1118">IFERROR(INDEX(EmployeeData[Full Name], ROW() - 37), "")</f>
        <v>Carlos Rivera</v>
      </c>
      <c r="D1118" s="4" t="str" cm="1">
        <f t="array" ref="D1118">IFERROR(INDEX(EmployeeData[Department], ROW() - 37), "")</f>
        <v>Marketing</v>
      </c>
      <c r="E1118" s="4" t="str" cm="1">
        <f t="array" ref="E1118">IFERROR(INDEX(EmployeeData[Gender], ROW() - 37), "")</f>
        <v>Male</v>
      </c>
      <c r="F1118" s="4" cm="1">
        <f t="array" ref="F1118">IFERROR(INDEX(EmployeeData[Age], ROW() - 37), "")</f>
        <v>32</v>
      </c>
      <c r="G1118" s="6" cm="1">
        <f t="array" ref="G1118">IFERROR(INDEX(EmployeeData[Join Date], ROW() - 37), "")</f>
        <v>44973</v>
      </c>
      <c r="H1118" s="6" t="str" cm="1">
        <f t="array" ref="H1118">IFERROR(IF(INDEX(EmployeeData[Exit Date], ROW() - 37)=0, "",INDEX(EmployeeData[Exit Date], ROW() - 37)),"")</f>
        <v/>
      </c>
      <c r="I1118" s="4" t="str" cm="1">
        <f t="array" ref="I1118">IFERROR(IF(INDEX(EmployeeData[Exit Reason], ROW() - 37)=0, "",INDEX(EmployeeData[Exit Reason], ROW() - 37)),"")</f>
        <v/>
      </c>
      <c r="J1118" s="4" t="str" cm="1">
        <f t="array" ref="J1118">IFERROR(INDEX(EmployeeData[Status], ROW() - 37), "")</f>
        <v>Active</v>
      </c>
    </row>
    <row r="1119" spans="2:10" ht="19.95" customHeight="1" x14ac:dyDescent="0.3">
      <c r="B1119" s="4" t="str" cm="1">
        <f t="array" ref="B1119">IFERROR(INDEX(EmployeeData[Employee ID], ROW() - 37), "")</f>
        <v/>
      </c>
      <c r="C1119" s="4" t="str" cm="1">
        <f t="array" ref="C1119">IFERROR(INDEX(EmployeeData[Full Name], ROW() - 37), "")</f>
        <v/>
      </c>
      <c r="D1119" s="4" t="str" cm="1">
        <f t="array" ref="D1119">IFERROR(INDEX(EmployeeData[Department], ROW() - 37), "")</f>
        <v/>
      </c>
      <c r="E1119" s="4" t="str" cm="1">
        <f t="array" ref="E1119">IFERROR(INDEX(EmployeeData[Gender], ROW() - 37), "")</f>
        <v/>
      </c>
      <c r="F1119" s="4" t="str" cm="1">
        <f t="array" ref="F1119">IFERROR(INDEX(EmployeeData[Age], ROW() - 37), "")</f>
        <v/>
      </c>
      <c r="G1119" s="6" t="str" cm="1">
        <f t="array" ref="G1119">IFERROR(INDEX(EmployeeData[Join Date], ROW() - 37), "")</f>
        <v/>
      </c>
      <c r="H1119" s="6" t="str" cm="1">
        <f t="array" ref="H1119">IFERROR(IF(INDEX(EmployeeData[Exit Date], ROW() - 37)=0, "",INDEX(EmployeeData[Exit Date], ROW() - 37)),"")</f>
        <v/>
      </c>
      <c r="I1119" s="4" t="str" cm="1">
        <f t="array" ref="I1119">IFERROR(IF(INDEX(EmployeeData[Exit Reason], ROW() - 37)=0, "",INDEX(EmployeeData[Exit Reason], ROW() - 37)),"")</f>
        <v/>
      </c>
      <c r="J1119" s="4" t="str" cm="1">
        <f t="array" ref="J1119">IFERROR(INDEX(EmployeeData[Status], ROW() - 37), "")</f>
        <v/>
      </c>
    </row>
    <row r="1120" spans="2:10" ht="19.95" customHeight="1" x14ac:dyDescent="0.3">
      <c r="B1120" s="4" t="str" cm="1">
        <f t="array" ref="B1120">IFERROR(INDEX(EmployeeData[Employee ID], ROW() - 37), "")</f>
        <v/>
      </c>
      <c r="C1120" s="4" t="str" cm="1">
        <f t="array" ref="C1120">IFERROR(INDEX(EmployeeData[Full Name], ROW() - 37), "")</f>
        <v/>
      </c>
      <c r="D1120" s="4" t="str" cm="1">
        <f t="array" ref="D1120">IFERROR(INDEX(EmployeeData[Department], ROW() - 37), "")</f>
        <v/>
      </c>
      <c r="E1120" s="4" t="str" cm="1">
        <f t="array" ref="E1120">IFERROR(INDEX(EmployeeData[Gender], ROW() - 37), "")</f>
        <v/>
      </c>
      <c r="F1120" s="4" t="str" cm="1">
        <f t="array" ref="F1120">IFERROR(INDEX(EmployeeData[Age], ROW() - 37), "")</f>
        <v/>
      </c>
      <c r="G1120" s="6" t="str" cm="1">
        <f t="array" ref="G1120">IFERROR(INDEX(EmployeeData[Join Date], ROW() - 37), "")</f>
        <v/>
      </c>
      <c r="H1120" s="6" t="str" cm="1">
        <f t="array" ref="H1120">IFERROR(IF(INDEX(EmployeeData[Exit Date], ROW() - 37)=0, "",INDEX(EmployeeData[Exit Date], ROW() - 37)),"")</f>
        <v/>
      </c>
      <c r="I1120" s="4" t="str" cm="1">
        <f t="array" ref="I1120">IFERROR(IF(INDEX(EmployeeData[Exit Reason], ROW() - 37)=0, "",INDEX(EmployeeData[Exit Reason], ROW() - 37)),"")</f>
        <v/>
      </c>
      <c r="J1120" s="4" t="str" cm="1">
        <f t="array" ref="J1120">IFERROR(INDEX(EmployeeData[Status], ROW() - 37), "")</f>
        <v/>
      </c>
    </row>
    <row r="1121" spans="2:10" ht="19.95" customHeight="1" x14ac:dyDescent="0.3">
      <c r="B1121" s="4" t="str" cm="1">
        <f t="array" ref="B1121">IFERROR(INDEX(EmployeeData[Employee ID], ROW() - 37), "")</f>
        <v/>
      </c>
      <c r="C1121" s="4" t="str" cm="1">
        <f t="array" ref="C1121">IFERROR(INDEX(EmployeeData[Full Name], ROW() - 37), "")</f>
        <v/>
      </c>
      <c r="D1121" s="4" t="str" cm="1">
        <f t="array" ref="D1121">IFERROR(INDEX(EmployeeData[Department], ROW() - 37), "")</f>
        <v/>
      </c>
      <c r="E1121" s="4" t="str" cm="1">
        <f t="array" ref="E1121">IFERROR(INDEX(EmployeeData[Gender], ROW() - 37), "")</f>
        <v/>
      </c>
      <c r="F1121" s="4" t="str" cm="1">
        <f t="array" ref="F1121">IFERROR(INDEX(EmployeeData[Age], ROW() - 37), "")</f>
        <v/>
      </c>
      <c r="G1121" s="6" t="str" cm="1">
        <f t="array" ref="G1121">IFERROR(INDEX(EmployeeData[Join Date], ROW() - 37), "")</f>
        <v/>
      </c>
      <c r="H1121" s="6" t="str" cm="1">
        <f t="array" ref="H1121">IFERROR(IF(INDEX(EmployeeData[Exit Date], ROW() - 37)=0, "",INDEX(EmployeeData[Exit Date], ROW() - 37)),"")</f>
        <v/>
      </c>
      <c r="I1121" s="4" t="str" cm="1">
        <f t="array" ref="I1121">IFERROR(IF(INDEX(EmployeeData[Exit Reason], ROW() - 37)=0, "",INDEX(EmployeeData[Exit Reason], ROW() - 37)),"")</f>
        <v/>
      </c>
      <c r="J1121" s="4" t="str" cm="1">
        <f t="array" ref="J1121">IFERROR(INDEX(EmployeeData[Status], ROW() - 37), "")</f>
        <v/>
      </c>
    </row>
    <row r="1122" spans="2:10" ht="19.95" customHeight="1" x14ac:dyDescent="0.3">
      <c r="B1122" s="4" t="str" cm="1">
        <f t="array" ref="B1122">IFERROR(INDEX(EmployeeData[Employee ID], ROW() - 37), "")</f>
        <v/>
      </c>
      <c r="C1122" s="4" t="str" cm="1">
        <f t="array" ref="C1122">IFERROR(INDEX(EmployeeData[Full Name], ROW() - 37), "")</f>
        <v/>
      </c>
      <c r="D1122" s="4" t="str" cm="1">
        <f t="array" ref="D1122">IFERROR(INDEX(EmployeeData[Department], ROW() - 37), "")</f>
        <v/>
      </c>
      <c r="E1122" s="4" t="str" cm="1">
        <f t="array" ref="E1122">IFERROR(INDEX(EmployeeData[Gender], ROW() - 37), "")</f>
        <v/>
      </c>
      <c r="F1122" s="4" t="str" cm="1">
        <f t="array" ref="F1122">IFERROR(INDEX(EmployeeData[Age], ROW() - 37), "")</f>
        <v/>
      </c>
      <c r="G1122" s="6" t="str" cm="1">
        <f t="array" ref="G1122">IFERROR(INDEX(EmployeeData[Join Date], ROW() - 37), "")</f>
        <v/>
      </c>
      <c r="H1122" s="6" t="str" cm="1">
        <f t="array" ref="H1122">IFERROR(IF(INDEX(EmployeeData[Exit Date], ROW() - 37)=0, "",INDEX(EmployeeData[Exit Date], ROW() - 37)),"")</f>
        <v/>
      </c>
      <c r="I1122" s="4" t="str" cm="1">
        <f t="array" ref="I1122">IFERROR(IF(INDEX(EmployeeData[Exit Reason], ROW() - 37)=0, "",INDEX(EmployeeData[Exit Reason], ROW() - 37)),"")</f>
        <v/>
      </c>
      <c r="J1122" s="4" t="str" cm="1">
        <f t="array" ref="J1122">IFERROR(INDEX(EmployeeData[Status], ROW() - 37), "")</f>
        <v/>
      </c>
    </row>
    <row r="1123" spans="2:10" ht="19.95" customHeight="1" x14ac:dyDescent="0.3">
      <c r="B1123" s="4" t="str" cm="1">
        <f t="array" ref="B1123">IFERROR(INDEX(EmployeeData[Employee ID], ROW() - 37), "")</f>
        <v/>
      </c>
      <c r="C1123" s="4" t="str" cm="1">
        <f t="array" ref="C1123">IFERROR(INDEX(EmployeeData[Full Name], ROW() - 37), "")</f>
        <v/>
      </c>
      <c r="D1123" s="4" t="str" cm="1">
        <f t="array" ref="D1123">IFERROR(INDEX(EmployeeData[Department], ROW() - 37), "")</f>
        <v/>
      </c>
      <c r="E1123" s="4" t="str" cm="1">
        <f t="array" ref="E1123">IFERROR(INDEX(EmployeeData[Gender], ROW() - 37), "")</f>
        <v/>
      </c>
      <c r="F1123" s="4" t="str" cm="1">
        <f t="array" ref="F1123">IFERROR(INDEX(EmployeeData[Age], ROW() - 37), "")</f>
        <v/>
      </c>
      <c r="G1123" s="6" t="str" cm="1">
        <f t="array" ref="G1123">IFERROR(INDEX(EmployeeData[Join Date], ROW() - 37), "")</f>
        <v/>
      </c>
      <c r="H1123" s="6" t="str" cm="1">
        <f t="array" ref="H1123">IFERROR(IF(INDEX(EmployeeData[Exit Date], ROW() - 37)=0, "",INDEX(EmployeeData[Exit Date], ROW() - 37)),"")</f>
        <v/>
      </c>
      <c r="I1123" s="4" t="str" cm="1">
        <f t="array" ref="I1123">IFERROR(IF(INDEX(EmployeeData[Exit Reason], ROW() - 37)=0, "",INDEX(EmployeeData[Exit Reason], ROW() - 37)),"")</f>
        <v/>
      </c>
      <c r="J1123" s="4" t="str" cm="1">
        <f t="array" ref="J1123">IFERROR(INDEX(EmployeeData[Status], ROW() - 37), "")</f>
        <v/>
      </c>
    </row>
    <row r="1124" spans="2:10" ht="19.95" customHeight="1" x14ac:dyDescent="0.3">
      <c r="B1124" s="4" t="str" cm="1">
        <f t="array" ref="B1124">IFERROR(INDEX(EmployeeData[Employee ID], ROW() - 37), "")</f>
        <v/>
      </c>
      <c r="C1124" s="4" t="str" cm="1">
        <f t="array" ref="C1124">IFERROR(INDEX(EmployeeData[Full Name], ROW() - 37), "")</f>
        <v/>
      </c>
      <c r="D1124" s="4" t="str" cm="1">
        <f t="array" ref="D1124">IFERROR(INDEX(EmployeeData[Department], ROW() - 37), "")</f>
        <v/>
      </c>
      <c r="E1124" s="4" t="str" cm="1">
        <f t="array" ref="E1124">IFERROR(INDEX(EmployeeData[Gender], ROW() - 37), "")</f>
        <v/>
      </c>
      <c r="F1124" s="4" t="str" cm="1">
        <f t="array" ref="F1124">IFERROR(INDEX(EmployeeData[Age], ROW() - 37), "")</f>
        <v/>
      </c>
      <c r="G1124" s="6" t="str" cm="1">
        <f t="array" ref="G1124">IFERROR(INDEX(EmployeeData[Join Date], ROW() - 37), "")</f>
        <v/>
      </c>
      <c r="H1124" s="6" t="str" cm="1">
        <f t="array" ref="H1124">IFERROR(IF(INDEX(EmployeeData[Exit Date], ROW() - 37)=0, "",INDEX(EmployeeData[Exit Date], ROW() - 37)),"")</f>
        <v/>
      </c>
      <c r="I1124" s="4" t="str" cm="1">
        <f t="array" ref="I1124">IFERROR(IF(INDEX(EmployeeData[Exit Reason], ROW() - 37)=0, "",INDEX(EmployeeData[Exit Reason], ROW() - 37)),"")</f>
        <v/>
      </c>
      <c r="J1124" s="4" t="str" cm="1">
        <f t="array" ref="J1124">IFERROR(INDEX(EmployeeData[Status], ROW() - 37), "")</f>
        <v/>
      </c>
    </row>
    <row r="1125" spans="2:10" ht="19.95" customHeight="1" x14ac:dyDescent="0.3">
      <c r="B1125" s="4" t="str" cm="1">
        <f t="array" ref="B1125">IFERROR(INDEX(EmployeeData[Employee ID], ROW() - 37), "")</f>
        <v/>
      </c>
      <c r="C1125" s="4" t="str" cm="1">
        <f t="array" ref="C1125">IFERROR(INDEX(EmployeeData[Full Name], ROW() - 37), "")</f>
        <v/>
      </c>
      <c r="D1125" s="4" t="str" cm="1">
        <f t="array" ref="D1125">IFERROR(INDEX(EmployeeData[Department], ROW() - 37), "")</f>
        <v/>
      </c>
      <c r="E1125" s="4" t="str" cm="1">
        <f t="array" ref="E1125">IFERROR(INDEX(EmployeeData[Gender], ROW() - 37), "")</f>
        <v/>
      </c>
      <c r="F1125" s="4" t="str" cm="1">
        <f t="array" ref="F1125">IFERROR(INDEX(EmployeeData[Age], ROW() - 37), "")</f>
        <v/>
      </c>
      <c r="G1125" s="6" t="str" cm="1">
        <f t="array" ref="G1125">IFERROR(INDEX(EmployeeData[Join Date], ROW() - 37), "")</f>
        <v/>
      </c>
      <c r="H1125" s="6" t="str" cm="1">
        <f t="array" ref="H1125">IFERROR(IF(INDEX(EmployeeData[Exit Date], ROW() - 37)=0, "",INDEX(EmployeeData[Exit Date], ROW() - 37)),"")</f>
        <v/>
      </c>
      <c r="I1125" s="4" t="str" cm="1">
        <f t="array" ref="I1125">IFERROR(IF(INDEX(EmployeeData[Exit Reason], ROW() - 37)=0, "",INDEX(EmployeeData[Exit Reason], ROW() - 37)),"")</f>
        <v/>
      </c>
      <c r="J1125" s="4" t="str" cm="1">
        <f t="array" ref="J1125">IFERROR(INDEX(EmployeeData[Status], ROW() - 37), "")</f>
        <v/>
      </c>
    </row>
    <row r="1126" spans="2:10" ht="19.95" customHeight="1" x14ac:dyDescent="0.3">
      <c r="B1126" s="4" t="str" cm="1">
        <f t="array" ref="B1126">IFERROR(INDEX(EmployeeData[Employee ID], ROW() - 37), "")</f>
        <v/>
      </c>
      <c r="C1126" s="4" t="str" cm="1">
        <f t="array" ref="C1126">IFERROR(INDEX(EmployeeData[Full Name], ROW() - 37), "")</f>
        <v/>
      </c>
      <c r="D1126" s="4" t="str" cm="1">
        <f t="array" ref="D1126">IFERROR(INDEX(EmployeeData[Department], ROW() - 37), "")</f>
        <v/>
      </c>
      <c r="E1126" s="4" t="str" cm="1">
        <f t="array" ref="E1126">IFERROR(INDEX(EmployeeData[Gender], ROW() - 37), "")</f>
        <v/>
      </c>
      <c r="F1126" s="4" t="str" cm="1">
        <f t="array" ref="F1126">IFERROR(INDEX(EmployeeData[Age], ROW() - 37), "")</f>
        <v/>
      </c>
      <c r="G1126" s="6" t="str" cm="1">
        <f t="array" ref="G1126">IFERROR(INDEX(EmployeeData[Join Date], ROW() - 37), "")</f>
        <v/>
      </c>
      <c r="H1126" s="6" t="str" cm="1">
        <f t="array" ref="H1126">IFERROR(IF(INDEX(EmployeeData[Exit Date], ROW() - 37)=0, "",INDEX(EmployeeData[Exit Date], ROW() - 37)),"")</f>
        <v/>
      </c>
      <c r="I1126" s="4" t="str" cm="1">
        <f t="array" ref="I1126">IFERROR(IF(INDEX(EmployeeData[Exit Reason], ROW() - 37)=0, "",INDEX(EmployeeData[Exit Reason], ROW() - 37)),"")</f>
        <v/>
      </c>
      <c r="J1126" s="4" t="str" cm="1">
        <f t="array" ref="J1126">IFERROR(INDEX(EmployeeData[Status], ROW() - 37), "")</f>
        <v/>
      </c>
    </row>
    <row r="1127" spans="2:10" ht="19.95" customHeight="1" x14ac:dyDescent="0.3">
      <c r="B1127" s="4" t="str" cm="1">
        <f t="array" ref="B1127">IFERROR(INDEX(EmployeeData[Employee ID], ROW() - 37), "")</f>
        <v/>
      </c>
      <c r="C1127" s="4" t="str" cm="1">
        <f t="array" ref="C1127">IFERROR(INDEX(EmployeeData[Full Name], ROW() - 37), "")</f>
        <v/>
      </c>
      <c r="D1127" s="4" t="str" cm="1">
        <f t="array" ref="D1127">IFERROR(INDEX(EmployeeData[Department], ROW() - 37), "")</f>
        <v/>
      </c>
      <c r="E1127" s="4" t="str" cm="1">
        <f t="array" ref="E1127">IFERROR(INDEX(EmployeeData[Gender], ROW() - 37), "")</f>
        <v/>
      </c>
      <c r="F1127" s="4" t="str" cm="1">
        <f t="array" ref="F1127">IFERROR(INDEX(EmployeeData[Age], ROW() - 37), "")</f>
        <v/>
      </c>
      <c r="G1127" s="6" t="str" cm="1">
        <f t="array" ref="G1127">IFERROR(INDEX(EmployeeData[Join Date], ROW() - 37), "")</f>
        <v/>
      </c>
      <c r="H1127" s="6" t="str" cm="1">
        <f t="array" ref="H1127">IFERROR(IF(INDEX(EmployeeData[Exit Date], ROW() - 37)=0, "",INDEX(EmployeeData[Exit Date], ROW() - 37)),"")</f>
        <v/>
      </c>
      <c r="I1127" s="4" t="str" cm="1">
        <f t="array" ref="I1127">IFERROR(IF(INDEX(EmployeeData[Exit Reason], ROW() - 37)=0, "",INDEX(EmployeeData[Exit Reason], ROW() - 37)),"")</f>
        <v/>
      </c>
      <c r="J1127" s="4" t="str" cm="1">
        <f t="array" ref="J1127">IFERROR(INDEX(EmployeeData[Status], ROW() - 37), "")</f>
        <v/>
      </c>
    </row>
    <row r="1128" spans="2:10" ht="19.95" customHeight="1" x14ac:dyDescent="0.3">
      <c r="B1128" s="4" t="str" cm="1">
        <f t="array" ref="B1128">IFERROR(INDEX(EmployeeData[Employee ID], ROW() - 37), "")</f>
        <v/>
      </c>
      <c r="C1128" s="4" t="str" cm="1">
        <f t="array" ref="C1128">IFERROR(INDEX(EmployeeData[Full Name], ROW() - 37), "")</f>
        <v/>
      </c>
      <c r="D1128" s="4" t="str" cm="1">
        <f t="array" ref="D1128">IFERROR(INDEX(EmployeeData[Department], ROW() - 37), "")</f>
        <v/>
      </c>
      <c r="E1128" s="4" t="str" cm="1">
        <f t="array" ref="E1128">IFERROR(INDEX(EmployeeData[Gender], ROW() - 37), "")</f>
        <v/>
      </c>
      <c r="F1128" s="4" t="str" cm="1">
        <f t="array" ref="F1128">IFERROR(INDEX(EmployeeData[Age], ROW() - 37), "")</f>
        <v/>
      </c>
      <c r="G1128" s="6" t="str" cm="1">
        <f t="array" ref="G1128">IFERROR(INDEX(EmployeeData[Join Date], ROW() - 37), "")</f>
        <v/>
      </c>
      <c r="H1128" s="6" t="str" cm="1">
        <f t="array" ref="H1128">IFERROR(IF(INDEX(EmployeeData[Exit Date], ROW() - 37)=0, "",INDEX(EmployeeData[Exit Date], ROW() - 37)),"")</f>
        <v/>
      </c>
      <c r="I1128" s="4" t="str" cm="1">
        <f t="array" ref="I1128">IFERROR(IF(INDEX(EmployeeData[Exit Reason], ROW() - 37)=0, "",INDEX(EmployeeData[Exit Reason], ROW() - 37)),"")</f>
        <v/>
      </c>
      <c r="J1128" s="4" t="str" cm="1">
        <f t="array" ref="J1128">IFERROR(INDEX(EmployeeData[Status], ROW() - 37), "")</f>
        <v/>
      </c>
    </row>
    <row r="1129" spans="2:10" ht="19.95" customHeight="1" x14ac:dyDescent="0.3">
      <c r="B1129" s="4" t="str" cm="1">
        <f t="array" ref="B1129">IFERROR(INDEX(EmployeeData[Employee ID], ROW() - 37), "")</f>
        <v/>
      </c>
      <c r="C1129" s="4" t="str" cm="1">
        <f t="array" ref="C1129">IFERROR(INDEX(EmployeeData[Full Name], ROW() - 37), "")</f>
        <v/>
      </c>
      <c r="D1129" s="4" t="str" cm="1">
        <f t="array" ref="D1129">IFERROR(INDEX(EmployeeData[Department], ROW() - 37), "")</f>
        <v/>
      </c>
      <c r="E1129" s="4" t="str" cm="1">
        <f t="array" ref="E1129">IFERROR(INDEX(EmployeeData[Gender], ROW() - 37), "")</f>
        <v/>
      </c>
      <c r="F1129" s="4" t="str" cm="1">
        <f t="array" ref="F1129">IFERROR(INDEX(EmployeeData[Age], ROW() - 37), "")</f>
        <v/>
      </c>
      <c r="G1129" s="6" t="str" cm="1">
        <f t="array" ref="G1129">IFERROR(INDEX(EmployeeData[Join Date], ROW() - 37), "")</f>
        <v/>
      </c>
      <c r="H1129" s="6" t="str" cm="1">
        <f t="array" ref="H1129">IFERROR(IF(INDEX(EmployeeData[Exit Date], ROW() - 37)=0, "",INDEX(EmployeeData[Exit Date], ROW() - 37)),"")</f>
        <v/>
      </c>
      <c r="I1129" s="4" t="str" cm="1">
        <f t="array" ref="I1129">IFERROR(IF(INDEX(EmployeeData[Exit Reason], ROW() - 37)=0, "",INDEX(EmployeeData[Exit Reason], ROW() - 37)),"")</f>
        <v/>
      </c>
      <c r="J1129" s="4" t="str" cm="1">
        <f t="array" ref="J1129">IFERROR(INDEX(EmployeeData[Status], ROW() - 37), "")</f>
        <v/>
      </c>
    </row>
    <row r="1130" spans="2:10" ht="19.95" customHeight="1" x14ac:dyDescent="0.3">
      <c r="B1130" s="4" t="str" cm="1">
        <f t="array" ref="B1130">IFERROR(INDEX(EmployeeData[Employee ID], ROW() - 37), "")</f>
        <v/>
      </c>
      <c r="C1130" s="4" t="str" cm="1">
        <f t="array" ref="C1130">IFERROR(INDEX(EmployeeData[Full Name], ROW() - 37), "")</f>
        <v/>
      </c>
      <c r="D1130" s="4" t="str" cm="1">
        <f t="array" ref="D1130">IFERROR(INDEX(EmployeeData[Department], ROW() - 37), "")</f>
        <v/>
      </c>
      <c r="E1130" s="4" t="str" cm="1">
        <f t="array" ref="E1130">IFERROR(INDEX(EmployeeData[Gender], ROW() - 37), "")</f>
        <v/>
      </c>
      <c r="F1130" s="4" t="str" cm="1">
        <f t="array" ref="F1130">IFERROR(INDEX(EmployeeData[Age], ROW() - 37), "")</f>
        <v/>
      </c>
      <c r="G1130" s="6" t="str" cm="1">
        <f t="array" ref="G1130">IFERROR(INDEX(EmployeeData[Join Date], ROW() - 37), "")</f>
        <v/>
      </c>
      <c r="H1130" s="6" t="str" cm="1">
        <f t="array" ref="H1130">IFERROR(IF(INDEX(EmployeeData[Exit Date], ROW() - 37)=0, "",INDEX(EmployeeData[Exit Date], ROW() - 37)),"")</f>
        <v/>
      </c>
      <c r="I1130" s="4" t="str" cm="1">
        <f t="array" ref="I1130">IFERROR(IF(INDEX(EmployeeData[Exit Reason], ROW() - 37)=0, "",INDEX(EmployeeData[Exit Reason], ROW() - 37)),"")</f>
        <v/>
      </c>
      <c r="J1130" s="4" t="str" cm="1">
        <f t="array" ref="J1130">IFERROR(INDEX(EmployeeData[Status], ROW() - 37), "")</f>
        <v/>
      </c>
    </row>
    <row r="1131" spans="2:10" ht="19.95" customHeight="1" x14ac:dyDescent="0.3">
      <c r="B1131" s="4" t="str" cm="1">
        <f t="array" ref="B1131">IFERROR(INDEX(EmployeeData[Employee ID], ROW() - 37), "")</f>
        <v/>
      </c>
      <c r="C1131" s="4" t="str" cm="1">
        <f t="array" ref="C1131">IFERROR(INDEX(EmployeeData[Full Name], ROW() - 37), "")</f>
        <v/>
      </c>
      <c r="D1131" s="4" t="str" cm="1">
        <f t="array" ref="D1131">IFERROR(INDEX(EmployeeData[Department], ROW() - 37), "")</f>
        <v/>
      </c>
      <c r="E1131" s="4" t="str" cm="1">
        <f t="array" ref="E1131">IFERROR(INDEX(EmployeeData[Gender], ROW() - 37), "")</f>
        <v/>
      </c>
      <c r="F1131" s="4" t="str" cm="1">
        <f t="array" ref="F1131">IFERROR(INDEX(EmployeeData[Age], ROW() - 37), "")</f>
        <v/>
      </c>
      <c r="G1131" s="6" t="str" cm="1">
        <f t="array" ref="G1131">IFERROR(INDEX(EmployeeData[Join Date], ROW() - 37), "")</f>
        <v/>
      </c>
      <c r="H1131" s="6" t="str" cm="1">
        <f t="array" ref="H1131">IFERROR(IF(INDEX(EmployeeData[Exit Date], ROW() - 37)=0, "",INDEX(EmployeeData[Exit Date], ROW() - 37)),"")</f>
        <v/>
      </c>
      <c r="I1131" s="4" t="str" cm="1">
        <f t="array" ref="I1131">IFERROR(IF(INDEX(EmployeeData[Exit Reason], ROW() - 37)=0, "",INDEX(EmployeeData[Exit Reason], ROW() - 37)),"")</f>
        <v/>
      </c>
      <c r="J1131" s="4" t="str" cm="1">
        <f t="array" ref="J1131">IFERROR(INDEX(EmployeeData[Status], ROW() - 37), "")</f>
        <v/>
      </c>
    </row>
    <row r="1132" spans="2:10" ht="19.95" customHeight="1" x14ac:dyDescent="0.3">
      <c r="B1132" s="4" t="str" cm="1">
        <f t="array" ref="B1132">IFERROR(INDEX(EmployeeData[Employee ID], ROW() - 37), "")</f>
        <v/>
      </c>
      <c r="C1132" s="4" t="str" cm="1">
        <f t="array" ref="C1132">IFERROR(INDEX(EmployeeData[Full Name], ROW() - 37), "")</f>
        <v/>
      </c>
      <c r="D1132" s="4" t="str" cm="1">
        <f t="array" ref="D1132">IFERROR(INDEX(EmployeeData[Department], ROW() - 37), "")</f>
        <v/>
      </c>
      <c r="E1132" s="4" t="str" cm="1">
        <f t="array" ref="E1132">IFERROR(INDEX(EmployeeData[Gender], ROW() - 37), "")</f>
        <v/>
      </c>
      <c r="F1132" s="4" t="str" cm="1">
        <f t="array" ref="F1132">IFERROR(INDEX(EmployeeData[Age], ROW() - 37), "")</f>
        <v/>
      </c>
      <c r="G1132" s="6" t="str" cm="1">
        <f t="array" ref="G1132">IFERROR(INDEX(EmployeeData[Join Date], ROW() - 37), "")</f>
        <v/>
      </c>
      <c r="H1132" s="6" t="str" cm="1">
        <f t="array" ref="H1132">IFERROR(IF(INDEX(EmployeeData[Exit Date], ROW() - 37)=0, "",INDEX(EmployeeData[Exit Date], ROW() - 37)),"")</f>
        <v/>
      </c>
      <c r="I1132" s="4" t="str" cm="1">
        <f t="array" ref="I1132">IFERROR(IF(INDEX(EmployeeData[Exit Reason], ROW() - 37)=0, "",INDEX(EmployeeData[Exit Reason], ROW() - 37)),"")</f>
        <v/>
      </c>
      <c r="J1132" s="4" t="str" cm="1">
        <f t="array" ref="J1132">IFERROR(INDEX(EmployeeData[Status], ROW() - 37), "")</f>
        <v/>
      </c>
    </row>
    <row r="1133" spans="2:10" ht="19.95" customHeight="1" x14ac:dyDescent="0.3">
      <c r="B1133" s="4" t="str" cm="1">
        <f t="array" ref="B1133">IFERROR(INDEX(EmployeeData[Employee ID], ROW() - 37), "")</f>
        <v/>
      </c>
      <c r="C1133" s="4" t="str" cm="1">
        <f t="array" ref="C1133">IFERROR(INDEX(EmployeeData[Full Name], ROW() - 37), "")</f>
        <v/>
      </c>
      <c r="D1133" s="4" t="str" cm="1">
        <f t="array" ref="D1133">IFERROR(INDEX(EmployeeData[Department], ROW() - 37), "")</f>
        <v/>
      </c>
      <c r="E1133" s="4" t="str" cm="1">
        <f t="array" ref="E1133">IFERROR(INDEX(EmployeeData[Gender], ROW() - 37), "")</f>
        <v/>
      </c>
      <c r="F1133" s="4" t="str" cm="1">
        <f t="array" ref="F1133">IFERROR(INDEX(EmployeeData[Age], ROW() - 37), "")</f>
        <v/>
      </c>
      <c r="G1133" s="6" t="str" cm="1">
        <f t="array" ref="G1133">IFERROR(INDEX(EmployeeData[Join Date], ROW() - 37), "")</f>
        <v/>
      </c>
      <c r="H1133" s="6" t="str" cm="1">
        <f t="array" ref="H1133">IFERROR(IF(INDEX(EmployeeData[Exit Date], ROW() - 37)=0, "",INDEX(EmployeeData[Exit Date], ROW() - 37)),"")</f>
        <v/>
      </c>
      <c r="I1133" s="4" t="str" cm="1">
        <f t="array" ref="I1133">IFERROR(IF(INDEX(EmployeeData[Exit Reason], ROW() - 37)=0, "",INDEX(EmployeeData[Exit Reason], ROW() - 37)),"")</f>
        <v/>
      </c>
      <c r="J1133" s="4" t="str" cm="1">
        <f t="array" ref="J1133">IFERROR(INDEX(EmployeeData[Status], ROW() - 37), "")</f>
        <v/>
      </c>
    </row>
    <row r="1134" spans="2:10" ht="19.95" customHeight="1" x14ac:dyDescent="0.3">
      <c r="B1134" s="4" t="str" cm="1">
        <f t="array" ref="B1134">IFERROR(INDEX(EmployeeData[Employee ID], ROW() - 37), "")</f>
        <v/>
      </c>
      <c r="C1134" s="4" t="str" cm="1">
        <f t="array" ref="C1134">IFERROR(INDEX(EmployeeData[Full Name], ROW() - 37), "")</f>
        <v/>
      </c>
      <c r="D1134" s="4" t="str" cm="1">
        <f t="array" ref="D1134">IFERROR(INDEX(EmployeeData[Department], ROW() - 37), "")</f>
        <v/>
      </c>
      <c r="E1134" s="4" t="str" cm="1">
        <f t="array" ref="E1134">IFERROR(INDEX(EmployeeData[Gender], ROW() - 37), "")</f>
        <v/>
      </c>
      <c r="F1134" s="4" t="str" cm="1">
        <f t="array" ref="F1134">IFERROR(INDEX(EmployeeData[Age], ROW() - 37), "")</f>
        <v/>
      </c>
      <c r="G1134" s="6" t="str" cm="1">
        <f t="array" ref="G1134">IFERROR(INDEX(EmployeeData[Join Date], ROW() - 37), "")</f>
        <v/>
      </c>
      <c r="H1134" s="6" t="str" cm="1">
        <f t="array" ref="H1134">IFERROR(IF(INDEX(EmployeeData[Exit Date], ROW() - 37)=0, "",INDEX(EmployeeData[Exit Date], ROW() - 37)),"")</f>
        <v/>
      </c>
      <c r="I1134" s="4" t="str" cm="1">
        <f t="array" ref="I1134">IFERROR(IF(INDEX(EmployeeData[Exit Reason], ROW() - 37)=0, "",INDEX(EmployeeData[Exit Reason], ROW() - 37)),"")</f>
        <v/>
      </c>
      <c r="J1134" s="4" t="str" cm="1">
        <f t="array" ref="J1134">IFERROR(INDEX(EmployeeData[Status], ROW() - 37), "")</f>
        <v/>
      </c>
    </row>
    <row r="1135" spans="2:10" ht="19.95" customHeight="1" x14ac:dyDescent="0.3">
      <c r="B1135" s="4" t="str" cm="1">
        <f t="array" ref="B1135">IFERROR(INDEX(EmployeeData[Employee ID], ROW() - 37), "")</f>
        <v/>
      </c>
      <c r="C1135" s="4" t="str" cm="1">
        <f t="array" ref="C1135">IFERROR(INDEX(EmployeeData[Full Name], ROW() - 37), "")</f>
        <v/>
      </c>
      <c r="D1135" s="4" t="str" cm="1">
        <f t="array" ref="D1135">IFERROR(INDEX(EmployeeData[Department], ROW() - 37), "")</f>
        <v/>
      </c>
      <c r="E1135" s="4" t="str" cm="1">
        <f t="array" ref="E1135">IFERROR(INDEX(EmployeeData[Gender], ROW() - 37), "")</f>
        <v/>
      </c>
      <c r="F1135" s="4" t="str" cm="1">
        <f t="array" ref="F1135">IFERROR(INDEX(EmployeeData[Age], ROW() - 37), "")</f>
        <v/>
      </c>
      <c r="G1135" s="6" t="str" cm="1">
        <f t="array" ref="G1135">IFERROR(INDEX(EmployeeData[Join Date], ROW() - 37), "")</f>
        <v/>
      </c>
      <c r="H1135" s="6" t="str" cm="1">
        <f t="array" ref="H1135">IFERROR(IF(INDEX(EmployeeData[Exit Date], ROW() - 37)=0, "",INDEX(EmployeeData[Exit Date], ROW() - 37)),"")</f>
        <v/>
      </c>
      <c r="I1135" s="4" t="str" cm="1">
        <f t="array" ref="I1135">IFERROR(IF(INDEX(EmployeeData[Exit Reason], ROW() - 37)=0, "",INDEX(EmployeeData[Exit Reason], ROW() - 37)),"")</f>
        <v/>
      </c>
      <c r="J1135" s="4" t="str" cm="1">
        <f t="array" ref="J1135">IFERROR(INDEX(EmployeeData[Status], ROW() - 37), "")</f>
        <v/>
      </c>
    </row>
    <row r="1136" spans="2:10" ht="19.95" customHeight="1" x14ac:dyDescent="0.3">
      <c r="B1136" s="4" t="str" cm="1">
        <f t="array" ref="B1136">IFERROR(INDEX(EmployeeData[Employee ID], ROW() - 37), "")</f>
        <v/>
      </c>
      <c r="C1136" s="4" t="str" cm="1">
        <f t="array" ref="C1136">IFERROR(INDEX(EmployeeData[Full Name], ROW() - 37), "")</f>
        <v/>
      </c>
      <c r="D1136" s="4" t="str" cm="1">
        <f t="array" ref="D1136">IFERROR(INDEX(EmployeeData[Department], ROW() - 37), "")</f>
        <v/>
      </c>
      <c r="E1136" s="4" t="str" cm="1">
        <f t="array" ref="E1136">IFERROR(INDEX(EmployeeData[Gender], ROW() - 37), "")</f>
        <v/>
      </c>
      <c r="F1136" s="4" t="str" cm="1">
        <f t="array" ref="F1136">IFERROR(INDEX(EmployeeData[Age], ROW() - 37), "")</f>
        <v/>
      </c>
      <c r="G1136" s="6" t="str" cm="1">
        <f t="array" ref="G1136">IFERROR(INDEX(EmployeeData[Join Date], ROW() - 37), "")</f>
        <v/>
      </c>
      <c r="H1136" s="6" t="str" cm="1">
        <f t="array" ref="H1136">IFERROR(IF(INDEX(EmployeeData[Exit Date], ROW() - 37)=0, "",INDEX(EmployeeData[Exit Date], ROW() - 37)),"")</f>
        <v/>
      </c>
      <c r="I1136" s="4" t="str" cm="1">
        <f t="array" ref="I1136">IFERROR(IF(INDEX(EmployeeData[Exit Reason], ROW() - 37)=0, "",INDEX(EmployeeData[Exit Reason], ROW() - 37)),"")</f>
        <v/>
      </c>
      <c r="J1136" s="4" t="str" cm="1">
        <f t="array" ref="J1136">IFERROR(INDEX(EmployeeData[Status], ROW() - 37), "")</f>
        <v/>
      </c>
    </row>
    <row r="1137" spans="2:10" ht="19.95" customHeight="1" x14ac:dyDescent="0.3">
      <c r="B1137" s="4" t="str" cm="1">
        <f t="array" ref="B1137">IFERROR(INDEX(EmployeeData[Employee ID], ROW() - 37), "")</f>
        <v/>
      </c>
      <c r="C1137" s="4" t="str" cm="1">
        <f t="array" ref="C1137">IFERROR(INDEX(EmployeeData[Full Name], ROW() - 37), "")</f>
        <v/>
      </c>
      <c r="D1137" s="4" t="str" cm="1">
        <f t="array" ref="D1137">IFERROR(INDEX(EmployeeData[Department], ROW() - 37), "")</f>
        <v/>
      </c>
      <c r="E1137" s="4" t="str" cm="1">
        <f t="array" ref="E1137">IFERROR(INDEX(EmployeeData[Gender], ROW() - 37), "")</f>
        <v/>
      </c>
      <c r="F1137" s="4" t="str" cm="1">
        <f t="array" ref="F1137">IFERROR(INDEX(EmployeeData[Age], ROW() - 37), "")</f>
        <v/>
      </c>
      <c r="G1137" s="6" t="str" cm="1">
        <f t="array" ref="G1137">IFERROR(INDEX(EmployeeData[Join Date], ROW() - 37), "")</f>
        <v/>
      </c>
      <c r="H1137" s="6" t="str" cm="1">
        <f t="array" ref="H1137">IFERROR(IF(INDEX(EmployeeData[Exit Date], ROW() - 37)=0, "",INDEX(EmployeeData[Exit Date], ROW() - 37)),"")</f>
        <v/>
      </c>
      <c r="I1137" s="4" t="str" cm="1">
        <f t="array" ref="I1137">IFERROR(IF(INDEX(EmployeeData[Exit Reason], ROW() - 37)=0, "",INDEX(EmployeeData[Exit Reason], ROW() - 37)),"")</f>
        <v/>
      </c>
      <c r="J1137" s="4" t="str" cm="1">
        <f t="array" ref="J1137">IFERROR(INDEX(EmployeeData[Status], ROW() - 37), "")</f>
        <v/>
      </c>
    </row>
    <row r="1138" spans="2:10" ht="19.95" customHeight="1" x14ac:dyDescent="0.3">
      <c r="B1138" s="4" t="str" cm="1">
        <f t="array" ref="B1138">IFERROR(INDEX(EmployeeData[Employee ID], ROW() - 37), "")</f>
        <v/>
      </c>
      <c r="C1138" s="4" t="str" cm="1">
        <f t="array" ref="C1138">IFERROR(INDEX(EmployeeData[Full Name], ROW() - 37), "")</f>
        <v/>
      </c>
      <c r="D1138" s="4" t="str" cm="1">
        <f t="array" ref="D1138">IFERROR(INDEX(EmployeeData[Department], ROW() - 37), "")</f>
        <v/>
      </c>
      <c r="E1138" s="4" t="str" cm="1">
        <f t="array" ref="E1138">IFERROR(INDEX(EmployeeData[Gender], ROW() - 37), "")</f>
        <v/>
      </c>
      <c r="F1138" s="4" t="str" cm="1">
        <f t="array" ref="F1138">IFERROR(INDEX(EmployeeData[Age], ROW() - 37), "")</f>
        <v/>
      </c>
      <c r="G1138" s="6" t="str" cm="1">
        <f t="array" ref="G1138">IFERROR(INDEX(EmployeeData[Join Date], ROW() - 37), "")</f>
        <v/>
      </c>
      <c r="H1138" s="6" t="str" cm="1">
        <f t="array" ref="H1138">IFERROR(IF(INDEX(EmployeeData[Exit Date], ROW() - 37)=0, "",INDEX(EmployeeData[Exit Date], ROW() - 37)),"")</f>
        <v/>
      </c>
      <c r="I1138" s="4" t="str" cm="1">
        <f t="array" ref="I1138">IFERROR(IF(INDEX(EmployeeData[Exit Reason], ROW() - 37)=0, "",INDEX(EmployeeData[Exit Reason], ROW() - 37)),"")</f>
        <v/>
      </c>
      <c r="J1138" s="4" t="str" cm="1">
        <f t="array" ref="J1138">IFERROR(INDEX(EmployeeData[Status], ROW() - 37), "")</f>
        <v/>
      </c>
    </row>
    <row r="1139" spans="2:10" ht="19.95" customHeight="1" x14ac:dyDescent="0.3">
      <c r="B1139" s="4" t="str" cm="1">
        <f t="array" ref="B1139">IFERROR(INDEX(EmployeeData[Employee ID], ROW() - 37), "")</f>
        <v/>
      </c>
      <c r="C1139" s="4" t="str" cm="1">
        <f t="array" ref="C1139">IFERROR(INDEX(EmployeeData[Full Name], ROW() - 37), "")</f>
        <v/>
      </c>
      <c r="D1139" s="4" t="str" cm="1">
        <f t="array" ref="D1139">IFERROR(INDEX(EmployeeData[Department], ROW() - 37), "")</f>
        <v/>
      </c>
      <c r="E1139" s="4" t="str" cm="1">
        <f t="array" ref="E1139">IFERROR(INDEX(EmployeeData[Gender], ROW() - 37), "")</f>
        <v/>
      </c>
      <c r="F1139" s="4" t="str" cm="1">
        <f t="array" ref="F1139">IFERROR(INDEX(EmployeeData[Age], ROW() - 37), "")</f>
        <v/>
      </c>
      <c r="G1139" s="6" t="str" cm="1">
        <f t="array" ref="G1139">IFERROR(INDEX(EmployeeData[Join Date], ROW() - 37), "")</f>
        <v/>
      </c>
      <c r="H1139" s="6" t="str" cm="1">
        <f t="array" ref="H1139">IFERROR(IF(INDEX(EmployeeData[Exit Date], ROW() - 37)=0, "",INDEX(EmployeeData[Exit Date], ROW() - 37)),"")</f>
        <v/>
      </c>
      <c r="I1139" s="4" t="str" cm="1">
        <f t="array" ref="I1139">IFERROR(IF(INDEX(EmployeeData[Exit Reason], ROW() - 37)=0, "",INDEX(EmployeeData[Exit Reason], ROW() - 37)),"")</f>
        <v/>
      </c>
      <c r="J1139" s="4" t="str" cm="1">
        <f t="array" ref="J1139">IFERROR(INDEX(EmployeeData[Status], ROW() - 37), "")</f>
        <v/>
      </c>
    </row>
    <row r="1140" spans="2:10" ht="19.95" customHeight="1" x14ac:dyDescent="0.3">
      <c r="B1140" s="4" t="str" cm="1">
        <f t="array" ref="B1140">IFERROR(INDEX(EmployeeData[Employee ID], ROW() - 37), "")</f>
        <v/>
      </c>
      <c r="C1140" s="4" t="str" cm="1">
        <f t="array" ref="C1140">IFERROR(INDEX(EmployeeData[Full Name], ROW() - 37), "")</f>
        <v/>
      </c>
      <c r="D1140" s="4" t="str" cm="1">
        <f t="array" ref="D1140">IFERROR(INDEX(EmployeeData[Department], ROW() - 37), "")</f>
        <v/>
      </c>
      <c r="E1140" s="4" t="str" cm="1">
        <f t="array" ref="E1140">IFERROR(INDEX(EmployeeData[Gender], ROW() - 37), "")</f>
        <v/>
      </c>
      <c r="F1140" s="4" t="str" cm="1">
        <f t="array" ref="F1140">IFERROR(INDEX(EmployeeData[Age], ROW() - 37), "")</f>
        <v/>
      </c>
      <c r="G1140" s="6" t="str" cm="1">
        <f t="array" ref="G1140">IFERROR(INDEX(EmployeeData[Join Date], ROW() - 37), "")</f>
        <v/>
      </c>
      <c r="H1140" s="6" t="str" cm="1">
        <f t="array" ref="H1140">IFERROR(IF(INDEX(EmployeeData[Exit Date], ROW() - 37)=0, "",INDEX(EmployeeData[Exit Date], ROW() - 37)),"")</f>
        <v/>
      </c>
      <c r="I1140" s="4" t="str" cm="1">
        <f t="array" ref="I1140">IFERROR(IF(INDEX(EmployeeData[Exit Reason], ROW() - 37)=0, "",INDEX(EmployeeData[Exit Reason], ROW() - 37)),"")</f>
        <v/>
      </c>
      <c r="J1140" s="4" t="str" cm="1">
        <f t="array" ref="J1140">IFERROR(INDEX(EmployeeData[Status], ROW() - 37), "")</f>
        <v/>
      </c>
    </row>
    <row r="1141" spans="2:10" ht="19.95" customHeight="1" x14ac:dyDescent="0.3">
      <c r="B1141" s="4" t="str" cm="1">
        <f t="array" ref="B1141">IFERROR(INDEX(EmployeeData[Employee ID], ROW() - 37), "")</f>
        <v/>
      </c>
      <c r="C1141" s="4" t="str" cm="1">
        <f t="array" ref="C1141">IFERROR(INDEX(EmployeeData[Full Name], ROW() - 37), "")</f>
        <v/>
      </c>
      <c r="D1141" s="4" t="str" cm="1">
        <f t="array" ref="D1141">IFERROR(INDEX(EmployeeData[Department], ROW() - 37), "")</f>
        <v/>
      </c>
      <c r="E1141" s="4" t="str" cm="1">
        <f t="array" ref="E1141">IFERROR(INDEX(EmployeeData[Gender], ROW() - 37), "")</f>
        <v/>
      </c>
      <c r="F1141" s="4" t="str" cm="1">
        <f t="array" ref="F1141">IFERROR(INDEX(EmployeeData[Age], ROW() - 37), "")</f>
        <v/>
      </c>
      <c r="G1141" s="6" t="str" cm="1">
        <f t="array" ref="G1141">IFERROR(INDEX(EmployeeData[Join Date], ROW() - 37), "")</f>
        <v/>
      </c>
      <c r="H1141" s="6" t="str" cm="1">
        <f t="array" ref="H1141">IFERROR(IF(INDEX(EmployeeData[Exit Date], ROW() - 37)=0, "",INDEX(EmployeeData[Exit Date], ROW() - 37)),"")</f>
        <v/>
      </c>
      <c r="I1141" s="4" t="str" cm="1">
        <f t="array" ref="I1141">IFERROR(IF(INDEX(EmployeeData[Exit Reason], ROW() - 37)=0, "",INDEX(EmployeeData[Exit Reason], ROW() - 37)),"")</f>
        <v/>
      </c>
      <c r="J1141" s="4" t="str" cm="1">
        <f t="array" ref="J1141">IFERROR(INDEX(EmployeeData[Status], ROW() - 37), "")</f>
        <v/>
      </c>
    </row>
    <row r="1142" spans="2:10" ht="19.95" customHeight="1" x14ac:dyDescent="0.3">
      <c r="B1142" s="4" t="str" cm="1">
        <f t="array" ref="B1142">IFERROR(INDEX(EmployeeData[Employee ID], ROW() - 37), "")</f>
        <v/>
      </c>
      <c r="C1142" s="4" t="str" cm="1">
        <f t="array" ref="C1142">IFERROR(INDEX(EmployeeData[Full Name], ROW() - 37), "")</f>
        <v/>
      </c>
      <c r="D1142" s="4" t="str" cm="1">
        <f t="array" ref="D1142">IFERROR(INDEX(EmployeeData[Department], ROW() - 37), "")</f>
        <v/>
      </c>
      <c r="E1142" s="4" t="str" cm="1">
        <f t="array" ref="E1142">IFERROR(INDEX(EmployeeData[Gender], ROW() - 37), "")</f>
        <v/>
      </c>
      <c r="F1142" s="4" t="str" cm="1">
        <f t="array" ref="F1142">IFERROR(INDEX(EmployeeData[Age], ROW() - 37), "")</f>
        <v/>
      </c>
      <c r="G1142" s="6" t="str" cm="1">
        <f t="array" ref="G1142">IFERROR(INDEX(EmployeeData[Join Date], ROW() - 37), "")</f>
        <v/>
      </c>
      <c r="H1142" s="6" t="str" cm="1">
        <f t="array" ref="H1142">IFERROR(IF(INDEX(EmployeeData[Exit Date], ROW() - 37)=0, "",INDEX(EmployeeData[Exit Date], ROW() - 37)),"")</f>
        <v/>
      </c>
      <c r="I1142" s="4" t="str" cm="1">
        <f t="array" ref="I1142">IFERROR(IF(INDEX(EmployeeData[Exit Reason], ROW() - 37)=0, "",INDEX(EmployeeData[Exit Reason], ROW() - 37)),"")</f>
        <v/>
      </c>
      <c r="J1142" s="4" t="str" cm="1">
        <f t="array" ref="J1142">IFERROR(INDEX(EmployeeData[Status], ROW() - 37), "")</f>
        <v/>
      </c>
    </row>
    <row r="1143" spans="2:10" ht="19.95" customHeight="1" x14ac:dyDescent="0.3">
      <c r="B1143" s="4" t="str" cm="1">
        <f t="array" ref="B1143">IFERROR(INDEX(EmployeeData[Employee ID], ROW() - 37), "")</f>
        <v/>
      </c>
      <c r="C1143" s="4" t="str" cm="1">
        <f t="array" ref="C1143">IFERROR(INDEX(EmployeeData[Full Name], ROW() - 37), "")</f>
        <v/>
      </c>
      <c r="D1143" s="4" t="str" cm="1">
        <f t="array" ref="D1143">IFERROR(INDEX(EmployeeData[Department], ROW() - 37), "")</f>
        <v/>
      </c>
      <c r="E1143" s="4" t="str" cm="1">
        <f t="array" ref="E1143">IFERROR(INDEX(EmployeeData[Gender], ROW() - 37), "")</f>
        <v/>
      </c>
      <c r="F1143" s="4" t="str" cm="1">
        <f t="array" ref="F1143">IFERROR(INDEX(EmployeeData[Age], ROW() - 37), "")</f>
        <v/>
      </c>
      <c r="G1143" s="6" t="str" cm="1">
        <f t="array" ref="G1143">IFERROR(INDEX(EmployeeData[Join Date], ROW() - 37), "")</f>
        <v/>
      </c>
      <c r="H1143" s="6" t="str" cm="1">
        <f t="array" ref="H1143">IFERROR(IF(INDEX(EmployeeData[Exit Date], ROW() - 37)=0, "",INDEX(EmployeeData[Exit Date], ROW() - 37)),"")</f>
        <v/>
      </c>
      <c r="I1143" s="4" t="str" cm="1">
        <f t="array" ref="I1143">IFERROR(IF(INDEX(EmployeeData[Exit Reason], ROW() - 37)=0, "",INDEX(EmployeeData[Exit Reason], ROW() - 37)),"")</f>
        <v/>
      </c>
      <c r="J1143" s="4" t="str" cm="1">
        <f t="array" ref="J1143">IFERROR(INDEX(EmployeeData[Status], ROW() - 37), "")</f>
        <v/>
      </c>
    </row>
    <row r="1144" spans="2:10" ht="19.95" customHeight="1" x14ac:dyDescent="0.3">
      <c r="B1144" s="4" t="str" cm="1">
        <f t="array" ref="B1144">IFERROR(INDEX(EmployeeData[Employee ID], ROW() - 37), "")</f>
        <v/>
      </c>
      <c r="C1144" s="4" t="str" cm="1">
        <f t="array" ref="C1144">IFERROR(INDEX(EmployeeData[Full Name], ROW() - 37), "")</f>
        <v/>
      </c>
      <c r="D1144" s="4" t="str" cm="1">
        <f t="array" ref="D1144">IFERROR(INDEX(EmployeeData[Department], ROW() - 37), "")</f>
        <v/>
      </c>
      <c r="E1144" s="4" t="str" cm="1">
        <f t="array" ref="E1144">IFERROR(INDEX(EmployeeData[Gender], ROW() - 37), "")</f>
        <v/>
      </c>
      <c r="F1144" s="4" t="str" cm="1">
        <f t="array" ref="F1144">IFERROR(INDEX(EmployeeData[Age], ROW() - 37), "")</f>
        <v/>
      </c>
      <c r="G1144" s="6" t="str" cm="1">
        <f t="array" ref="G1144">IFERROR(INDEX(EmployeeData[Join Date], ROW() - 37), "")</f>
        <v/>
      </c>
      <c r="H1144" s="6" t="str" cm="1">
        <f t="array" ref="H1144">IFERROR(IF(INDEX(EmployeeData[Exit Date], ROW() - 37)=0, "",INDEX(EmployeeData[Exit Date], ROW() - 37)),"")</f>
        <v/>
      </c>
      <c r="I1144" s="4" t="str" cm="1">
        <f t="array" ref="I1144">IFERROR(IF(INDEX(EmployeeData[Exit Reason], ROW() - 37)=0, "",INDEX(EmployeeData[Exit Reason], ROW() - 37)),"")</f>
        <v/>
      </c>
      <c r="J1144" s="4" t="str" cm="1">
        <f t="array" ref="J1144">IFERROR(INDEX(EmployeeData[Status], ROW() - 37), "")</f>
        <v/>
      </c>
    </row>
    <row r="1145" spans="2:10" ht="19.95" customHeight="1" x14ac:dyDescent="0.3">
      <c r="B1145" s="4" t="str" cm="1">
        <f t="array" ref="B1145">IFERROR(INDEX(EmployeeData[Employee ID], ROW() - 37), "")</f>
        <v/>
      </c>
      <c r="C1145" s="4" t="str" cm="1">
        <f t="array" ref="C1145">IFERROR(INDEX(EmployeeData[Full Name], ROW() - 37), "")</f>
        <v/>
      </c>
      <c r="D1145" s="4" t="str" cm="1">
        <f t="array" ref="D1145">IFERROR(INDEX(EmployeeData[Department], ROW() - 37), "")</f>
        <v/>
      </c>
      <c r="E1145" s="4" t="str" cm="1">
        <f t="array" ref="E1145">IFERROR(INDEX(EmployeeData[Gender], ROW() - 37), "")</f>
        <v/>
      </c>
      <c r="F1145" s="4" t="str" cm="1">
        <f t="array" ref="F1145">IFERROR(INDEX(EmployeeData[Age], ROW() - 37), "")</f>
        <v/>
      </c>
      <c r="G1145" s="6" t="str" cm="1">
        <f t="array" ref="G1145">IFERROR(INDEX(EmployeeData[Join Date], ROW() - 37), "")</f>
        <v/>
      </c>
      <c r="H1145" s="6" t="str" cm="1">
        <f t="array" ref="H1145">IFERROR(IF(INDEX(EmployeeData[Exit Date], ROW() - 37)=0, "",INDEX(EmployeeData[Exit Date], ROW() - 37)),"")</f>
        <v/>
      </c>
      <c r="I1145" s="4" t="str" cm="1">
        <f t="array" ref="I1145">IFERROR(IF(INDEX(EmployeeData[Exit Reason], ROW() - 37)=0, "",INDEX(EmployeeData[Exit Reason], ROW() - 37)),"")</f>
        <v/>
      </c>
      <c r="J1145" s="4" t="str" cm="1">
        <f t="array" ref="J1145">IFERROR(INDEX(EmployeeData[Status], ROW() - 37), "")</f>
        <v/>
      </c>
    </row>
    <row r="1146" spans="2:10" ht="19.95" customHeight="1" x14ac:dyDescent="0.3">
      <c r="B1146" s="4" t="str" cm="1">
        <f t="array" ref="B1146">IFERROR(INDEX(EmployeeData[Employee ID], ROW() - 37), "")</f>
        <v/>
      </c>
      <c r="C1146" s="4" t="str" cm="1">
        <f t="array" ref="C1146">IFERROR(INDEX(EmployeeData[Full Name], ROW() - 37), "")</f>
        <v/>
      </c>
      <c r="D1146" s="4" t="str" cm="1">
        <f t="array" ref="D1146">IFERROR(INDEX(EmployeeData[Department], ROW() - 37), "")</f>
        <v/>
      </c>
      <c r="E1146" s="4" t="str" cm="1">
        <f t="array" ref="E1146">IFERROR(INDEX(EmployeeData[Gender], ROW() - 37), "")</f>
        <v/>
      </c>
      <c r="F1146" s="4" t="str" cm="1">
        <f t="array" ref="F1146">IFERROR(INDEX(EmployeeData[Age], ROW() - 37), "")</f>
        <v/>
      </c>
      <c r="G1146" s="6" t="str" cm="1">
        <f t="array" ref="G1146">IFERROR(INDEX(EmployeeData[Join Date], ROW() - 37), "")</f>
        <v/>
      </c>
      <c r="H1146" s="6" t="str" cm="1">
        <f t="array" ref="H1146">IFERROR(IF(INDEX(EmployeeData[Exit Date], ROW() - 37)=0, "",INDEX(EmployeeData[Exit Date], ROW() - 37)),"")</f>
        <v/>
      </c>
      <c r="I1146" s="4" t="str" cm="1">
        <f t="array" ref="I1146">IFERROR(IF(INDEX(EmployeeData[Exit Reason], ROW() - 37)=0, "",INDEX(EmployeeData[Exit Reason], ROW() - 37)),"")</f>
        <v/>
      </c>
      <c r="J1146" s="4" t="str" cm="1">
        <f t="array" ref="J1146">IFERROR(INDEX(EmployeeData[Status], ROW() - 37), "")</f>
        <v/>
      </c>
    </row>
    <row r="1147" spans="2:10" ht="19.95" customHeight="1" x14ac:dyDescent="0.3">
      <c r="B1147" s="4" t="str" cm="1">
        <f t="array" ref="B1147">IFERROR(INDEX(EmployeeData[Employee ID], ROW() - 37), "")</f>
        <v/>
      </c>
      <c r="C1147" s="4" t="str" cm="1">
        <f t="array" ref="C1147">IFERROR(INDEX(EmployeeData[Full Name], ROW() - 37), "")</f>
        <v/>
      </c>
      <c r="D1147" s="4" t="str" cm="1">
        <f t="array" ref="D1147">IFERROR(INDEX(EmployeeData[Department], ROW() - 37), "")</f>
        <v/>
      </c>
      <c r="E1147" s="4" t="str" cm="1">
        <f t="array" ref="E1147">IFERROR(INDEX(EmployeeData[Gender], ROW() - 37), "")</f>
        <v/>
      </c>
      <c r="F1147" s="4" t="str" cm="1">
        <f t="array" ref="F1147">IFERROR(INDEX(EmployeeData[Age], ROW() - 37), "")</f>
        <v/>
      </c>
      <c r="G1147" s="6" t="str" cm="1">
        <f t="array" ref="G1147">IFERROR(INDEX(EmployeeData[Join Date], ROW() - 37), "")</f>
        <v/>
      </c>
      <c r="H1147" s="6" t="str" cm="1">
        <f t="array" ref="H1147">IFERROR(IF(INDEX(EmployeeData[Exit Date], ROW() - 37)=0, "",INDEX(EmployeeData[Exit Date], ROW() - 37)),"")</f>
        <v/>
      </c>
      <c r="I1147" s="4" t="str" cm="1">
        <f t="array" ref="I1147">IFERROR(IF(INDEX(EmployeeData[Exit Reason], ROW() - 37)=0, "",INDEX(EmployeeData[Exit Reason], ROW() - 37)),"")</f>
        <v/>
      </c>
      <c r="J1147" s="4" t="str" cm="1">
        <f t="array" ref="J1147">IFERROR(INDEX(EmployeeData[Status], ROW() - 37), "")</f>
        <v/>
      </c>
    </row>
    <row r="1148" spans="2:10" ht="19.95" customHeight="1" x14ac:dyDescent="0.3">
      <c r="B1148" s="4" t="str" cm="1">
        <f t="array" ref="B1148">IFERROR(INDEX(EmployeeData[Employee ID], ROW() - 37), "")</f>
        <v/>
      </c>
      <c r="C1148" s="4" t="str" cm="1">
        <f t="array" ref="C1148">IFERROR(INDEX(EmployeeData[Full Name], ROW() - 37), "")</f>
        <v/>
      </c>
      <c r="D1148" s="4" t="str" cm="1">
        <f t="array" ref="D1148">IFERROR(INDEX(EmployeeData[Department], ROW() - 37), "")</f>
        <v/>
      </c>
      <c r="E1148" s="4" t="str" cm="1">
        <f t="array" ref="E1148">IFERROR(INDEX(EmployeeData[Gender], ROW() - 37), "")</f>
        <v/>
      </c>
      <c r="F1148" s="4" t="str" cm="1">
        <f t="array" ref="F1148">IFERROR(INDEX(EmployeeData[Age], ROW() - 37), "")</f>
        <v/>
      </c>
      <c r="G1148" s="6" t="str" cm="1">
        <f t="array" ref="G1148">IFERROR(INDEX(EmployeeData[Join Date], ROW() - 37), "")</f>
        <v/>
      </c>
      <c r="H1148" s="6" t="str" cm="1">
        <f t="array" ref="H1148">IFERROR(IF(INDEX(EmployeeData[Exit Date], ROW() - 37)=0, "",INDEX(EmployeeData[Exit Date], ROW() - 37)),"")</f>
        <v/>
      </c>
      <c r="I1148" s="4" t="str" cm="1">
        <f t="array" ref="I1148">IFERROR(IF(INDEX(EmployeeData[Exit Reason], ROW() - 37)=0, "",INDEX(EmployeeData[Exit Reason], ROW() - 37)),"")</f>
        <v/>
      </c>
      <c r="J1148" s="4" t="str" cm="1">
        <f t="array" ref="J1148">IFERROR(INDEX(EmployeeData[Status], ROW() - 37), "")</f>
        <v/>
      </c>
    </row>
    <row r="1149" spans="2:10" ht="19.95" customHeight="1" x14ac:dyDescent="0.3">
      <c r="B1149" s="4" t="str" cm="1">
        <f t="array" ref="B1149">IFERROR(INDEX(EmployeeData[Employee ID], ROW() - 37), "")</f>
        <v/>
      </c>
      <c r="C1149" s="4" t="str" cm="1">
        <f t="array" ref="C1149">IFERROR(INDEX(EmployeeData[Full Name], ROW() - 37), "")</f>
        <v/>
      </c>
      <c r="D1149" s="4" t="str" cm="1">
        <f t="array" ref="D1149">IFERROR(INDEX(EmployeeData[Department], ROW() - 37), "")</f>
        <v/>
      </c>
      <c r="E1149" s="4" t="str" cm="1">
        <f t="array" ref="E1149">IFERROR(INDEX(EmployeeData[Gender], ROW() - 37), "")</f>
        <v/>
      </c>
      <c r="F1149" s="4" t="str" cm="1">
        <f t="array" ref="F1149">IFERROR(INDEX(EmployeeData[Age], ROW() - 37), "")</f>
        <v/>
      </c>
      <c r="G1149" s="6" t="str" cm="1">
        <f t="array" ref="G1149">IFERROR(INDEX(EmployeeData[Join Date], ROW() - 37), "")</f>
        <v/>
      </c>
      <c r="H1149" s="6" t="str" cm="1">
        <f t="array" ref="H1149">IFERROR(IF(INDEX(EmployeeData[Exit Date], ROW() - 37)=0, "",INDEX(EmployeeData[Exit Date], ROW() - 37)),"")</f>
        <v/>
      </c>
      <c r="I1149" s="4" t="str" cm="1">
        <f t="array" ref="I1149">IFERROR(IF(INDEX(EmployeeData[Exit Reason], ROW() - 37)=0, "",INDEX(EmployeeData[Exit Reason], ROW() - 37)),"")</f>
        <v/>
      </c>
      <c r="J1149" s="4" t="str" cm="1">
        <f t="array" ref="J1149">IFERROR(INDEX(EmployeeData[Status], ROW() - 37), "")</f>
        <v/>
      </c>
    </row>
    <row r="1150" spans="2:10" ht="19.95" customHeight="1" x14ac:dyDescent="0.3">
      <c r="B1150" s="4" t="str" cm="1">
        <f t="array" ref="B1150">IFERROR(INDEX(EmployeeData[Employee ID], ROW() - 37), "")</f>
        <v/>
      </c>
      <c r="C1150" s="4" t="str" cm="1">
        <f t="array" ref="C1150">IFERROR(INDEX(EmployeeData[Full Name], ROW() - 37), "")</f>
        <v/>
      </c>
      <c r="D1150" s="4" t="str" cm="1">
        <f t="array" ref="D1150">IFERROR(INDEX(EmployeeData[Department], ROW() - 37), "")</f>
        <v/>
      </c>
      <c r="E1150" s="4" t="str" cm="1">
        <f t="array" ref="E1150">IFERROR(INDEX(EmployeeData[Gender], ROW() - 37), "")</f>
        <v/>
      </c>
      <c r="F1150" s="4" t="str" cm="1">
        <f t="array" ref="F1150">IFERROR(INDEX(EmployeeData[Age], ROW() - 37), "")</f>
        <v/>
      </c>
      <c r="G1150" s="6" t="str" cm="1">
        <f t="array" ref="G1150">IFERROR(INDEX(EmployeeData[Join Date], ROW() - 37), "")</f>
        <v/>
      </c>
      <c r="H1150" s="6" t="str" cm="1">
        <f t="array" ref="H1150">IFERROR(IF(INDEX(EmployeeData[Exit Date], ROW() - 37)=0, "",INDEX(EmployeeData[Exit Date], ROW() - 37)),"")</f>
        <v/>
      </c>
      <c r="I1150" s="4" t="str" cm="1">
        <f t="array" ref="I1150">IFERROR(IF(INDEX(EmployeeData[Exit Reason], ROW() - 37)=0, "",INDEX(EmployeeData[Exit Reason], ROW() - 37)),"")</f>
        <v/>
      </c>
      <c r="J1150" s="4" t="str" cm="1">
        <f t="array" ref="J1150">IFERROR(INDEX(EmployeeData[Status], ROW() - 37), "")</f>
        <v/>
      </c>
    </row>
    <row r="1151" spans="2:10" ht="19.95" customHeight="1" x14ac:dyDescent="0.3">
      <c r="B1151" s="4" t="str" cm="1">
        <f t="array" ref="B1151">IFERROR(INDEX(EmployeeData[Employee ID], ROW() - 37), "")</f>
        <v/>
      </c>
      <c r="C1151" s="4" t="str" cm="1">
        <f t="array" ref="C1151">IFERROR(INDEX(EmployeeData[Full Name], ROW() - 37), "")</f>
        <v/>
      </c>
      <c r="D1151" s="4" t="str" cm="1">
        <f t="array" ref="D1151">IFERROR(INDEX(EmployeeData[Department], ROW() - 37), "")</f>
        <v/>
      </c>
      <c r="E1151" s="4" t="str" cm="1">
        <f t="array" ref="E1151">IFERROR(INDEX(EmployeeData[Gender], ROW() - 37), "")</f>
        <v/>
      </c>
      <c r="F1151" s="4" t="str" cm="1">
        <f t="array" ref="F1151">IFERROR(INDEX(EmployeeData[Age], ROW() - 37), "")</f>
        <v/>
      </c>
      <c r="G1151" s="6" t="str" cm="1">
        <f t="array" ref="G1151">IFERROR(INDEX(EmployeeData[Join Date], ROW() - 37), "")</f>
        <v/>
      </c>
      <c r="H1151" s="6" t="str" cm="1">
        <f t="array" ref="H1151">IFERROR(IF(INDEX(EmployeeData[Exit Date], ROW() - 37)=0, "",INDEX(EmployeeData[Exit Date], ROW() - 37)),"")</f>
        <v/>
      </c>
      <c r="I1151" s="4" t="str" cm="1">
        <f t="array" ref="I1151">IFERROR(IF(INDEX(EmployeeData[Exit Reason], ROW() - 37)=0, "",INDEX(EmployeeData[Exit Reason], ROW() - 37)),"")</f>
        <v/>
      </c>
      <c r="J1151" s="4" t="str" cm="1">
        <f t="array" ref="J1151">IFERROR(INDEX(EmployeeData[Status], ROW() - 37), "")</f>
        <v/>
      </c>
    </row>
    <row r="1152" spans="2:10" ht="19.95" customHeight="1" x14ac:dyDescent="0.3">
      <c r="B1152" s="4" t="str" cm="1">
        <f t="array" ref="B1152">IFERROR(INDEX(EmployeeData[Employee ID], ROW() - 37), "")</f>
        <v/>
      </c>
      <c r="C1152" s="4" t="str" cm="1">
        <f t="array" ref="C1152">IFERROR(INDEX(EmployeeData[Full Name], ROW() - 37), "")</f>
        <v/>
      </c>
      <c r="D1152" s="4" t="str" cm="1">
        <f t="array" ref="D1152">IFERROR(INDEX(EmployeeData[Department], ROW() - 37), "")</f>
        <v/>
      </c>
      <c r="E1152" s="4" t="str" cm="1">
        <f t="array" ref="E1152">IFERROR(INDEX(EmployeeData[Gender], ROW() - 37), "")</f>
        <v/>
      </c>
      <c r="F1152" s="4" t="str" cm="1">
        <f t="array" ref="F1152">IFERROR(INDEX(EmployeeData[Age], ROW() - 37), "")</f>
        <v/>
      </c>
      <c r="G1152" s="6" t="str" cm="1">
        <f t="array" ref="G1152">IFERROR(INDEX(EmployeeData[Join Date], ROW() - 37), "")</f>
        <v/>
      </c>
      <c r="H1152" s="6" t="str" cm="1">
        <f t="array" ref="H1152">IFERROR(IF(INDEX(EmployeeData[Exit Date], ROW() - 37)=0, "",INDEX(EmployeeData[Exit Date], ROW() - 37)),"")</f>
        <v/>
      </c>
      <c r="I1152" s="4" t="str" cm="1">
        <f t="array" ref="I1152">IFERROR(IF(INDEX(EmployeeData[Exit Reason], ROW() - 37)=0, "",INDEX(EmployeeData[Exit Reason], ROW() - 37)),"")</f>
        <v/>
      </c>
      <c r="J1152" s="4" t="str" cm="1">
        <f t="array" ref="J1152">IFERROR(INDEX(EmployeeData[Status], ROW() - 37), "")</f>
        <v/>
      </c>
    </row>
    <row r="1153" spans="2:10" ht="19.95" customHeight="1" x14ac:dyDescent="0.3">
      <c r="B1153" s="4" t="str" cm="1">
        <f t="array" ref="B1153">IFERROR(INDEX(EmployeeData[Employee ID], ROW() - 37), "")</f>
        <v/>
      </c>
      <c r="C1153" s="4" t="str" cm="1">
        <f t="array" ref="C1153">IFERROR(INDEX(EmployeeData[Full Name], ROW() - 37), "")</f>
        <v/>
      </c>
      <c r="D1153" s="4" t="str" cm="1">
        <f t="array" ref="D1153">IFERROR(INDEX(EmployeeData[Department], ROW() - 37), "")</f>
        <v/>
      </c>
      <c r="E1153" s="4" t="str" cm="1">
        <f t="array" ref="E1153">IFERROR(INDEX(EmployeeData[Gender], ROW() - 37), "")</f>
        <v/>
      </c>
      <c r="F1153" s="4" t="str" cm="1">
        <f t="array" ref="F1153">IFERROR(INDEX(EmployeeData[Age], ROW() - 37), "")</f>
        <v/>
      </c>
      <c r="G1153" s="6" t="str" cm="1">
        <f t="array" ref="G1153">IFERROR(INDEX(EmployeeData[Join Date], ROW() - 37), "")</f>
        <v/>
      </c>
      <c r="H1153" s="6" t="str" cm="1">
        <f t="array" ref="H1153">IFERROR(IF(INDEX(EmployeeData[Exit Date], ROW() - 37)=0, "",INDEX(EmployeeData[Exit Date], ROW() - 37)),"")</f>
        <v/>
      </c>
      <c r="I1153" s="4" t="str" cm="1">
        <f t="array" ref="I1153">IFERROR(IF(INDEX(EmployeeData[Exit Reason], ROW() - 37)=0, "",INDEX(EmployeeData[Exit Reason], ROW() - 37)),"")</f>
        <v/>
      </c>
      <c r="J1153" s="4" t="str" cm="1">
        <f t="array" ref="J1153">IFERROR(INDEX(EmployeeData[Status], ROW() - 37), "")</f>
        <v/>
      </c>
    </row>
    <row r="1154" spans="2:10" ht="19.95" customHeight="1" x14ac:dyDescent="0.3">
      <c r="B1154" s="4" t="str" cm="1">
        <f t="array" ref="B1154">IFERROR(INDEX(EmployeeData[Employee ID], ROW() - 37), "")</f>
        <v/>
      </c>
      <c r="C1154" s="4" t="str" cm="1">
        <f t="array" ref="C1154">IFERROR(INDEX(EmployeeData[Full Name], ROW() - 37), "")</f>
        <v/>
      </c>
      <c r="D1154" s="4" t="str" cm="1">
        <f t="array" ref="D1154">IFERROR(INDEX(EmployeeData[Department], ROW() - 37), "")</f>
        <v/>
      </c>
      <c r="E1154" s="4" t="str" cm="1">
        <f t="array" ref="E1154">IFERROR(INDEX(EmployeeData[Gender], ROW() - 37), "")</f>
        <v/>
      </c>
      <c r="F1154" s="4" t="str" cm="1">
        <f t="array" ref="F1154">IFERROR(INDEX(EmployeeData[Age], ROW() - 37), "")</f>
        <v/>
      </c>
      <c r="G1154" s="6" t="str" cm="1">
        <f t="array" ref="G1154">IFERROR(INDEX(EmployeeData[Join Date], ROW() - 37), "")</f>
        <v/>
      </c>
      <c r="H1154" s="6" t="str" cm="1">
        <f t="array" ref="H1154">IFERROR(IF(INDEX(EmployeeData[Exit Date], ROW() - 37)=0, "",INDEX(EmployeeData[Exit Date], ROW() - 37)),"")</f>
        <v/>
      </c>
      <c r="I1154" s="4" t="str" cm="1">
        <f t="array" ref="I1154">IFERROR(IF(INDEX(EmployeeData[Exit Reason], ROW() - 37)=0, "",INDEX(EmployeeData[Exit Reason], ROW() - 37)),"")</f>
        <v/>
      </c>
      <c r="J1154" s="4" t="str" cm="1">
        <f t="array" ref="J1154">IFERROR(INDEX(EmployeeData[Status], ROW() - 37), "")</f>
        <v/>
      </c>
    </row>
    <row r="1155" spans="2:10" ht="19.95" customHeight="1" x14ac:dyDescent="0.3">
      <c r="B1155" s="4" t="str" cm="1">
        <f t="array" ref="B1155">IFERROR(INDEX(EmployeeData[Employee ID], ROW() - 37), "")</f>
        <v/>
      </c>
      <c r="C1155" s="4" t="str" cm="1">
        <f t="array" ref="C1155">IFERROR(INDEX(EmployeeData[Full Name], ROW() - 37), "")</f>
        <v/>
      </c>
      <c r="D1155" s="4" t="str" cm="1">
        <f t="array" ref="D1155">IFERROR(INDEX(EmployeeData[Department], ROW() - 37), "")</f>
        <v/>
      </c>
      <c r="E1155" s="4" t="str" cm="1">
        <f t="array" ref="E1155">IFERROR(INDEX(EmployeeData[Gender], ROW() - 37), "")</f>
        <v/>
      </c>
      <c r="F1155" s="4" t="str" cm="1">
        <f t="array" ref="F1155">IFERROR(INDEX(EmployeeData[Age], ROW() - 37), "")</f>
        <v/>
      </c>
      <c r="G1155" s="6" t="str" cm="1">
        <f t="array" ref="G1155">IFERROR(INDEX(EmployeeData[Join Date], ROW() - 37), "")</f>
        <v/>
      </c>
      <c r="H1155" s="6" t="str" cm="1">
        <f t="array" ref="H1155">IFERROR(IF(INDEX(EmployeeData[Exit Date], ROW() - 37)=0, "",INDEX(EmployeeData[Exit Date], ROW() - 37)),"")</f>
        <v/>
      </c>
      <c r="I1155" s="4" t="str" cm="1">
        <f t="array" ref="I1155">IFERROR(IF(INDEX(EmployeeData[Exit Reason], ROW() - 37)=0, "",INDEX(EmployeeData[Exit Reason], ROW() - 37)),"")</f>
        <v/>
      </c>
      <c r="J1155" s="4" t="str" cm="1">
        <f t="array" ref="J1155">IFERROR(INDEX(EmployeeData[Status], ROW() - 37), "")</f>
        <v/>
      </c>
    </row>
    <row r="1156" spans="2:10" ht="19.95" customHeight="1" x14ac:dyDescent="0.3">
      <c r="B1156" s="4" t="str" cm="1">
        <f t="array" ref="B1156">IFERROR(INDEX(EmployeeData[Employee ID], ROW() - 37), "")</f>
        <v/>
      </c>
      <c r="C1156" s="4" t="str" cm="1">
        <f t="array" ref="C1156">IFERROR(INDEX(EmployeeData[Full Name], ROW() - 37), "")</f>
        <v/>
      </c>
      <c r="D1156" s="4" t="str" cm="1">
        <f t="array" ref="D1156">IFERROR(INDEX(EmployeeData[Department], ROW() - 37), "")</f>
        <v/>
      </c>
      <c r="E1156" s="4" t="str" cm="1">
        <f t="array" ref="E1156">IFERROR(INDEX(EmployeeData[Gender], ROW() - 37), "")</f>
        <v/>
      </c>
      <c r="F1156" s="4" t="str" cm="1">
        <f t="array" ref="F1156">IFERROR(INDEX(EmployeeData[Age], ROW() - 37), "")</f>
        <v/>
      </c>
      <c r="G1156" s="6" t="str" cm="1">
        <f t="array" ref="G1156">IFERROR(INDEX(EmployeeData[Join Date], ROW() - 37), "")</f>
        <v/>
      </c>
      <c r="H1156" s="6" t="str" cm="1">
        <f t="array" ref="H1156">IFERROR(IF(INDEX(EmployeeData[Exit Date], ROW() - 37)=0, "",INDEX(EmployeeData[Exit Date], ROW() - 37)),"")</f>
        <v/>
      </c>
      <c r="I1156" s="4" t="str" cm="1">
        <f t="array" ref="I1156">IFERROR(IF(INDEX(EmployeeData[Exit Reason], ROW() - 37)=0, "",INDEX(EmployeeData[Exit Reason], ROW() - 37)),"")</f>
        <v/>
      </c>
      <c r="J1156" s="4" t="str" cm="1">
        <f t="array" ref="J1156">IFERROR(INDEX(EmployeeData[Status], ROW() - 37), "")</f>
        <v/>
      </c>
    </row>
    <row r="1157" spans="2:10" ht="19.95" customHeight="1" x14ac:dyDescent="0.3">
      <c r="B1157" s="4" t="str" cm="1">
        <f t="array" ref="B1157">IFERROR(INDEX(EmployeeData[Employee ID], ROW() - 37), "")</f>
        <v/>
      </c>
      <c r="C1157" s="4" t="str" cm="1">
        <f t="array" ref="C1157">IFERROR(INDEX(EmployeeData[Full Name], ROW() - 37), "")</f>
        <v/>
      </c>
      <c r="D1157" s="4" t="str" cm="1">
        <f t="array" ref="D1157">IFERROR(INDEX(EmployeeData[Department], ROW() - 37), "")</f>
        <v/>
      </c>
      <c r="E1157" s="4" t="str" cm="1">
        <f t="array" ref="E1157">IFERROR(INDEX(EmployeeData[Gender], ROW() - 37), "")</f>
        <v/>
      </c>
      <c r="F1157" s="4" t="str" cm="1">
        <f t="array" ref="F1157">IFERROR(INDEX(EmployeeData[Age], ROW() - 37), "")</f>
        <v/>
      </c>
      <c r="G1157" s="6" t="str" cm="1">
        <f t="array" ref="G1157">IFERROR(INDEX(EmployeeData[Join Date], ROW() - 37), "")</f>
        <v/>
      </c>
      <c r="H1157" s="6" t="str" cm="1">
        <f t="array" ref="H1157">IFERROR(IF(INDEX(EmployeeData[Exit Date], ROW() - 37)=0, "",INDEX(EmployeeData[Exit Date], ROW() - 37)),"")</f>
        <v/>
      </c>
      <c r="I1157" s="4" t="str" cm="1">
        <f t="array" ref="I1157">IFERROR(IF(INDEX(EmployeeData[Exit Reason], ROW() - 37)=0, "",INDEX(EmployeeData[Exit Reason], ROW() - 37)),"")</f>
        <v/>
      </c>
      <c r="J1157" s="4" t="str" cm="1">
        <f t="array" ref="J1157">IFERROR(INDEX(EmployeeData[Status], ROW() - 37), "")</f>
        <v/>
      </c>
    </row>
    <row r="1158" spans="2:10" ht="19.95" customHeight="1" x14ac:dyDescent="0.3">
      <c r="B1158" s="4" t="str" cm="1">
        <f t="array" ref="B1158">IFERROR(INDEX(EmployeeData[Employee ID], ROW() - 37), "")</f>
        <v/>
      </c>
      <c r="C1158" s="4" t="str" cm="1">
        <f t="array" ref="C1158">IFERROR(INDEX(EmployeeData[Full Name], ROW() - 37), "")</f>
        <v/>
      </c>
      <c r="D1158" s="4" t="str" cm="1">
        <f t="array" ref="D1158">IFERROR(INDEX(EmployeeData[Department], ROW() - 37), "")</f>
        <v/>
      </c>
      <c r="E1158" s="4" t="str" cm="1">
        <f t="array" ref="E1158">IFERROR(INDEX(EmployeeData[Gender], ROW() - 37), "")</f>
        <v/>
      </c>
      <c r="F1158" s="4" t="str" cm="1">
        <f t="array" ref="F1158">IFERROR(INDEX(EmployeeData[Age], ROW() - 37), "")</f>
        <v/>
      </c>
      <c r="G1158" s="6" t="str" cm="1">
        <f t="array" ref="G1158">IFERROR(INDEX(EmployeeData[Join Date], ROW() - 37), "")</f>
        <v/>
      </c>
      <c r="H1158" s="6" t="str" cm="1">
        <f t="array" ref="H1158">IFERROR(IF(INDEX(EmployeeData[Exit Date], ROW() - 37)=0, "",INDEX(EmployeeData[Exit Date], ROW() - 37)),"")</f>
        <v/>
      </c>
      <c r="I1158" s="4" t="str" cm="1">
        <f t="array" ref="I1158">IFERROR(IF(INDEX(EmployeeData[Exit Reason], ROW() - 37)=0, "",INDEX(EmployeeData[Exit Reason], ROW() - 37)),"")</f>
        <v/>
      </c>
      <c r="J1158" s="4" t="str" cm="1">
        <f t="array" ref="J1158">IFERROR(INDEX(EmployeeData[Status], ROW() - 37), "")</f>
        <v/>
      </c>
    </row>
    <row r="1159" spans="2:10" ht="19.95" customHeight="1" x14ac:dyDescent="0.3">
      <c r="B1159" s="4" t="str" cm="1">
        <f t="array" ref="B1159">IFERROR(INDEX(EmployeeData[Employee ID], ROW() - 37), "")</f>
        <v/>
      </c>
      <c r="C1159" s="4" t="str" cm="1">
        <f t="array" ref="C1159">IFERROR(INDEX(EmployeeData[Full Name], ROW() - 37), "")</f>
        <v/>
      </c>
      <c r="D1159" s="4" t="str" cm="1">
        <f t="array" ref="D1159">IFERROR(INDEX(EmployeeData[Department], ROW() - 37), "")</f>
        <v/>
      </c>
      <c r="E1159" s="4" t="str" cm="1">
        <f t="array" ref="E1159">IFERROR(INDEX(EmployeeData[Gender], ROW() - 37), "")</f>
        <v/>
      </c>
      <c r="F1159" s="4" t="str" cm="1">
        <f t="array" ref="F1159">IFERROR(INDEX(EmployeeData[Age], ROW() - 37), "")</f>
        <v/>
      </c>
      <c r="G1159" s="6" t="str" cm="1">
        <f t="array" ref="G1159">IFERROR(INDEX(EmployeeData[Join Date], ROW() - 37), "")</f>
        <v/>
      </c>
      <c r="H1159" s="6" t="str" cm="1">
        <f t="array" ref="H1159">IFERROR(IF(INDEX(EmployeeData[Exit Date], ROW() - 37)=0, "",INDEX(EmployeeData[Exit Date], ROW() - 37)),"")</f>
        <v/>
      </c>
      <c r="I1159" s="4" t="str" cm="1">
        <f t="array" ref="I1159">IFERROR(IF(INDEX(EmployeeData[Exit Reason], ROW() - 37)=0, "",INDEX(EmployeeData[Exit Reason], ROW() - 37)),"")</f>
        <v/>
      </c>
      <c r="J1159" s="4" t="str" cm="1">
        <f t="array" ref="J1159">IFERROR(INDEX(EmployeeData[Status], ROW() - 37), "")</f>
        <v/>
      </c>
    </row>
    <row r="1160" spans="2:10" ht="19.95" customHeight="1" x14ac:dyDescent="0.3">
      <c r="B1160" s="4" t="str" cm="1">
        <f t="array" ref="B1160">IFERROR(INDEX(EmployeeData[Employee ID], ROW() - 37), "")</f>
        <v/>
      </c>
      <c r="C1160" s="4" t="str" cm="1">
        <f t="array" ref="C1160">IFERROR(INDEX(EmployeeData[Full Name], ROW() - 37), "")</f>
        <v/>
      </c>
      <c r="D1160" s="4" t="str" cm="1">
        <f t="array" ref="D1160">IFERROR(INDEX(EmployeeData[Department], ROW() - 37), "")</f>
        <v/>
      </c>
      <c r="E1160" s="4" t="str" cm="1">
        <f t="array" ref="E1160">IFERROR(INDEX(EmployeeData[Gender], ROW() - 37), "")</f>
        <v/>
      </c>
      <c r="F1160" s="4" t="str" cm="1">
        <f t="array" ref="F1160">IFERROR(INDEX(EmployeeData[Age], ROW() - 37), "")</f>
        <v/>
      </c>
      <c r="G1160" s="6" t="str" cm="1">
        <f t="array" ref="G1160">IFERROR(INDEX(EmployeeData[Join Date], ROW() - 37), "")</f>
        <v/>
      </c>
      <c r="H1160" s="6" t="str" cm="1">
        <f t="array" ref="H1160">IFERROR(IF(INDEX(EmployeeData[Exit Date], ROW() - 37)=0, "",INDEX(EmployeeData[Exit Date], ROW() - 37)),"")</f>
        <v/>
      </c>
      <c r="I1160" s="4" t="str" cm="1">
        <f t="array" ref="I1160">IFERROR(IF(INDEX(EmployeeData[Exit Reason], ROW() - 37)=0, "",INDEX(EmployeeData[Exit Reason], ROW() - 37)),"")</f>
        <v/>
      </c>
      <c r="J1160" s="4" t="str" cm="1">
        <f t="array" ref="J1160">IFERROR(INDEX(EmployeeData[Status], ROW() - 37), "")</f>
        <v/>
      </c>
    </row>
    <row r="1161" spans="2:10" ht="19.95" customHeight="1" x14ac:dyDescent="0.3">
      <c r="B1161" s="4" t="str" cm="1">
        <f t="array" ref="B1161">IFERROR(INDEX(EmployeeData[Employee ID], ROW() - 37), "")</f>
        <v/>
      </c>
      <c r="C1161" s="4" t="str" cm="1">
        <f t="array" ref="C1161">IFERROR(INDEX(EmployeeData[Full Name], ROW() - 37), "")</f>
        <v/>
      </c>
      <c r="D1161" s="4" t="str" cm="1">
        <f t="array" ref="D1161">IFERROR(INDEX(EmployeeData[Department], ROW() - 37), "")</f>
        <v/>
      </c>
      <c r="E1161" s="4" t="str" cm="1">
        <f t="array" ref="E1161">IFERROR(INDEX(EmployeeData[Gender], ROW() - 37), "")</f>
        <v/>
      </c>
      <c r="F1161" s="4" t="str" cm="1">
        <f t="array" ref="F1161">IFERROR(INDEX(EmployeeData[Age], ROW() - 37), "")</f>
        <v/>
      </c>
      <c r="G1161" s="6" t="str" cm="1">
        <f t="array" ref="G1161">IFERROR(INDEX(EmployeeData[Join Date], ROW() - 37), "")</f>
        <v/>
      </c>
      <c r="H1161" s="6" t="str" cm="1">
        <f t="array" ref="H1161">IFERROR(IF(INDEX(EmployeeData[Exit Date], ROW() - 37)=0, "",INDEX(EmployeeData[Exit Date], ROW() - 37)),"")</f>
        <v/>
      </c>
      <c r="I1161" s="4" t="str" cm="1">
        <f t="array" ref="I1161">IFERROR(IF(INDEX(EmployeeData[Exit Reason], ROW() - 37)=0, "",INDEX(EmployeeData[Exit Reason], ROW() - 37)),"")</f>
        <v/>
      </c>
      <c r="J1161" s="4" t="str" cm="1">
        <f t="array" ref="J1161">IFERROR(INDEX(EmployeeData[Status], ROW() - 37), "")</f>
        <v/>
      </c>
    </row>
    <row r="1162" spans="2:10" ht="19.95" customHeight="1" x14ac:dyDescent="0.3">
      <c r="B1162" s="4" t="str" cm="1">
        <f t="array" ref="B1162">IFERROR(INDEX(EmployeeData[Employee ID], ROW() - 37), "")</f>
        <v/>
      </c>
      <c r="C1162" s="4" t="str" cm="1">
        <f t="array" ref="C1162">IFERROR(INDEX(EmployeeData[Full Name], ROW() - 37), "")</f>
        <v/>
      </c>
      <c r="D1162" s="4" t="str" cm="1">
        <f t="array" ref="D1162">IFERROR(INDEX(EmployeeData[Department], ROW() - 37), "")</f>
        <v/>
      </c>
      <c r="E1162" s="4" t="str" cm="1">
        <f t="array" ref="E1162">IFERROR(INDEX(EmployeeData[Gender], ROW() - 37), "")</f>
        <v/>
      </c>
      <c r="F1162" s="4" t="str" cm="1">
        <f t="array" ref="F1162">IFERROR(INDEX(EmployeeData[Age], ROW() - 37), "")</f>
        <v/>
      </c>
      <c r="G1162" s="6" t="str" cm="1">
        <f t="array" ref="G1162">IFERROR(INDEX(EmployeeData[Join Date], ROW() - 37), "")</f>
        <v/>
      </c>
      <c r="H1162" s="6" t="str" cm="1">
        <f t="array" ref="H1162">IFERROR(IF(INDEX(EmployeeData[Exit Date], ROW() - 37)=0, "",INDEX(EmployeeData[Exit Date], ROW() - 37)),"")</f>
        <v/>
      </c>
      <c r="I1162" s="4" t="str" cm="1">
        <f t="array" ref="I1162">IFERROR(IF(INDEX(EmployeeData[Exit Reason], ROW() - 37)=0, "",INDEX(EmployeeData[Exit Reason], ROW() - 37)),"")</f>
        <v/>
      </c>
      <c r="J1162" s="4" t="str" cm="1">
        <f t="array" ref="J1162">IFERROR(INDEX(EmployeeData[Status], ROW() - 37), "")</f>
        <v/>
      </c>
    </row>
    <row r="1163" spans="2:10" ht="19.95" customHeight="1" x14ac:dyDescent="0.3">
      <c r="B1163" s="4" t="str" cm="1">
        <f t="array" ref="B1163">IFERROR(INDEX(EmployeeData[Employee ID], ROW() - 37), "")</f>
        <v/>
      </c>
      <c r="C1163" s="4" t="str" cm="1">
        <f t="array" ref="C1163">IFERROR(INDEX(EmployeeData[Full Name], ROW() - 37), "")</f>
        <v/>
      </c>
      <c r="D1163" s="4" t="str" cm="1">
        <f t="array" ref="D1163">IFERROR(INDEX(EmployeeData[Department], ROW() - 37), "")</f>
        <v/>
      </c>
      <c r="E1163" s="4" t="str" cm="1">
        <f t="array" ref="E1163">IFERROR(INDEX(EmployeeData[Gender], ROW() - 37), "")</f>
        <v/>
      </c>
      <c r="F1163" s="4" t="str" cm="1">
        <f t="array" ref="F1163">IFERROR(INDEX(EmployeeData[Age], ROW() - 37), "")</f>
        <v/>
      </c>
      <c r="G1163" s="6" t="str" cm="1">
        <f t="array" ref="G1163">IFERROR(INDEX(EmployeeData[Join Date], ROW() - 37), "")</f>
        <v/>
      </c>
      <c r="H1163" s="6" t="str" cm="1">
        <f t="array" ref="H1163">IFERROR(IF(INDEX(EmployeeData[Exit Date], ROW() - 37)=0, "",INDEX(EmployeeData[Exit Date], ROW() - 37)),"")</f>
        <v/>
      </c>
      <c r="I1163" s="4" t="str" cm="1">
        <f t="array" ref="I1163">IFERROR(IF(INDEX(EmployeeData[Exit Reason], ROW() - 37)=0, "",INDEX(EmployeeData[Exit Reason], ROW() - 37)),"")</f>
        <v/>
      </c>
      <c r="J1163" s="4" t="str" cm="1">
        <f t="array" ref="J1163">IFERROR(INDEX(EmployeeData[Status], ROW() - 37), "")</f>
        <v/>
      </c>
    </row>
    <row r="1164" spans="2:10" ht="19.95" customHeight="1" x14ac:dyDescent="0.3">
      <c r="B1164" s="4" t="str" cm="1">
        <f t="array" ref="B1164">IFERROR(INDEX(EmployeeData[Employee ID], ROW() - 37), "")</f>
        <v/>
      </c>
      <c r="C1164" s="4" t="str" cm="1">
        <f t="array" ref="C1164">IFERROR(INDEX(EmployeeData[Full Name], ROW() - 37), "")</f>
        <v/>
      </c>
      <c r="D1164" s="4" t="str" cm="1">
        <f t="array" ref="D1164">IFERROR(INDEX(EmployeeData[Department], ROW() - 37), "")</f>
        <v/>
      </c>
      <c r="E1164" s="4" t="str" cm="1">
        <f t="array" ref="E1164">IFERROR(INDEX(EmployeeData[Gender], ROW() - 37), "")</f>
        <v/>
      </c>
      <c r="F1164" s="4" t="str" cm="1">
        <f t="array" ref="F1164">IFERROR(INDEX(EmployeeData[Age], ROW() - 37), "")</f>
        <v/>
      </c>
      <c r="G1164" s="6" t="str" cm="1">
        <f t="array" ref="G1164">IFERROR(INDEX(EmployeeData[Join Date], ROW() - 37), "")</f>
        <v/>
      </c>
      <c r="H1164" s="6" t="str" cm="1">
        <f t="array" ref="H1164">IFERROR(IF(INDEX(EmployeeData[Exit Date], ROW() - 37)=0, "",INDEX(EmployeeData[Exit Date], ROW() - 37)),"")</f>
        <v/>
      </c>
      <c r="I1164" s="4" t="str" cm="1">
        <f t="array" ref="I1164">IFERROR(IF(INDEX(EmployeeData[Exit Reason], ROW() - 37)=0, "",INDEX(EmployeeData[Exit Reason], ROW() - 37)),"")</f>
        <v/>
      </c>
      <c r="J1164" s="4" t="str" cm="1">
        <f t="array" ref="J1164">IFERROR(INDEX(EmployeeData[Status], ROW() - 37), "")</f>
        <v/>
      </c>
    </row>
    <row r="1165" spans="2:10" ht="19.95" customHeight="1" x14ac:dyDescent="0.3">
      <c r="B1165" s="4" t="str" cm="1">
        <f t="array" ref="B1165">IFERROR(INDEX(EmployeeData[Employee ID], ROW() - 37), "")</f>
        <v/>
      </c>
      <c r="C1165" s="4" t="str" cm="1">
        <f t="array" ref="C1165">IFERROR(INDEX(EmployeeData[Full Name], ROW() - 37), "")</f>
        <v/>
      </c>
      <c r="D1165" s="4" t="str" cm="1">
        <f t="array" ref="D1165">IFERROR(INDEX(EmployeeData[Department], ROW() - 37), "")</f>
        <v/>
      </c>
      <c r="E1165" s="4" t="str" cm="1">
        <f t="array" ref="E1165">IFERROR(INDEX(EmployeeData[Gender], ROW() - 37), "")</f>
        <v/>
      </c>
      <c r="F1165" s="4" t="str" cm="1">
        <f t="array" ref="F1165">IFERROR(INDEX(EmployeeData[Age], ROW() - 37), "")</f>
        <v/>
      </c>
      <c r="G1165" s="6" t="str" cm="1">
        <f t="array" ref="G1165">IFERROR(INDEX(EmployeeData[Join Date], ROW() - 37), "")</f>
        <v/>
      </c>
      <c r="H1165" s="6" t="str" cm="1">
        <f t="array" ref="H1165">IFERROR(IF(INDEX(EmployeeData[Exit Date], ROW() - 37)=0, "",INDEX(EmployeeData[Exit Date], ROW() - 37)),"")</f>
        <v/>
      </c>
      <c r="I1165" s="4" t="str" cm="1">
        <f t="array" ref="I1165">IFERROR(IF(INDEX(EmployeeData[Exit Reason], ROW() - 37)=0, "",INDEX(EmployeeData[Exit Reason], ROW() - 37)),"")</f>
        <v/>
      </c>
      <c r="J1165" s="4" t="str" cm="1">
        <f t="array" ref="J1165">IFERROR(INDEX(EmployeeData[Status], ROW() - 37), "")</f>
        <v/>
      </c>
    </row>
    <row r="1166" spans="2:10" ht="19.95" customHeight="1" x14ac:dyDescent="0.3">
      <c r="B1166" s="4" t="str" cm="1">
        <f t="array" ref="B1166">IFERROR(INDEX(EmployeeData[Employee ID], ROW() - 37), "")</f>
        <v/>
      </c>
      <c r="C1166" s="4" t="str" cm="1">
        <f t="array" ref="C1166">IFERROR(INDEX(EmployeeData[Full Name], ROW() - 37), "")</f>
        <v/>
      </c>
      <c r="D1166" s="4" t="str" cm="1">
        <f t="array" ref="D1166">IFERROR(INDEX(EmployeeData[Department], ROW() - 37), "")</f>
        <v/>
      </c>
      <c r="E1166" s="4" t="str" cm="1">
        <f t="array" ref="E1166">IFERROR(INDEX(EmployeeData[Gender], ROW() - 37), "")</f>
        <v/>
      </c>
      <c r="F1166" s="4" t="str" cm="1">
        <f t="array" ref="F1166">IFERROR(INDEX(EmployeeData[Age], ROW() - 37), "")</f>
        <v/>
      </c>
      <c r="G1166" s="6" t="str" cm="1">
        <f t="array" ref="G1166">IFERROR(INDEX(EmployeeData[Join Date], ROW() - 37), "")</f>
        <v/>
      </c>
      <c r="H1166" s="6" t="str" cm="1">
        <f t="array" ref="H1166">IFERROR(IF(INDEX(EmployeeData[Exit Date], ROW() - 37)=0, "",INDEX(EmployeeData[Exit Date], ROW() - 37)),"")</f>
        <v/>
      </c>
      <c r="I1166" s="4" t="str" cm="1">
        <f t="array" ref="I1166">IFERROR(IF(INDEX(EmployeeData[Exit Reason], ROW() - 37)=0, "",INDEX(EmployeeData[Exit Reason], ROW() - 37)),"")</f>
        <v/>
      </c>
      <c r="J1166" s="4" t="str" cm="1">
        <f t="array" ref="J1166">IFERROR(INDEX(EmployeeData[Status], ROW() - 37), "")</f>
        <v/>
      </c>
    </row>
    <row r="1167" spans="2:10" ht="19.95" customHeight="1" x14ac:dyDescent="0.3">
      <c r="B1167" s="4" t="str" cm="1">
        <f t="array" ref="B1167">IFERROR(INDEX(EmployeeData[Employee ID], ROW() - 37), "")</f>
        <v/>
      </c>
      <c r="C1167" s="4" t="str" cm="1">
        <f t="array" ref="C1167">IFERROR(INDEX(EmployeeData[Full Name], ROW() - 37), "")</f>
        <v/>
      </c>
      <c r="D1167" s="4" t="str" cm="1">
        <f t="array" ref="D1167">IFERROR(INDEX(EmployeeData[Department], ROW() - 37), "")</f>
        <v/>
      </c>
      <c r="E1167" s="4" t="str" cm="1">
        <f t="array" ref="E1167">IFERROR(INDEX(EmployeeData[Gender], ROW() - 37), "")</f>
        <v/>
      </c>
      <c r="F1167" s="4" t="str" cm="1">
        <f t="array" ref="F1167">IFERROR(INDEX(EmployeeData[Age], ROW() - 37), "")</f>
        <v/>
      </c>
      <c r="G1167" s="6" t="str" cm="1">
        <f t="array" ref="G1167">IFERROR(INDEX(EmployeeData[Join Date], ROW() - 37), "")</f>
        <v/>
      </c>
      <c r="H1167" s="6" t="str" cm="1">
        <f t="array" ref="H1167">IFERROR(IF(INDEX(EmployeeData[Exit Date], ROW() - 37)=0, "",INDEX(EmployeeData[Exit Date], ROW() - 37)),"")</f>
        <v/>
      </c>
      <c r="I1167" s="4" t="str" cm="1">
        <f t="array" ref="I1167">IFERROR(IF(INDEX(EmployeeData[Exit Reason], ROW() - 37)=0, "",INDEX(EmployeeData[Exit Reason], ROW() - 37)),"")</f>
        <v/>
      </c>
      <c r="J1167" s="4" t="str" cm="1">
        <f t="array" ref="J1167">IFERROR(INDEX(EmployeeData[Status], ROW() - 37), "")</f>
        <v/>
      </c>
    </row>
    <row r="1168" spans="2:10" ht="19.95" customHeight="1" x14ac:dyDescent="0.3">
      <c r="B1168" s="4" t="str" cm="1">
        <f t="array" ref="B1168">IFERROR(INDEX(EmployeeData[Employee ID], ROW() - 37), "")</f>
        <v/>
      </c>
      <c r="C1168" s="4" t="str" cm="1">
        <f t="array" ref="C1168">IFERROR(INDEX(EmployeeData[Full Name], ROW() - 37), "")</f>
        <v/>
      </c>
      <c r="D1168" s="4" t="str" cm="1">
        <f t="array" ref="D1168">IFERROR(INDEX(EmployeeData[Department], ROW() - 37), "")</f>
        <v/>
      </c>
      <c r="E1168" s="4" t="str" cm="1">
        <f t="array" ref="E1168">IFERROR(INDEX(EmployeeData[Gender], ROW() - 37), "")</f>
        <v/>
      </c>
      <c r="F1168" s="4" t="str" cm="1">
        <f t="array" ref="F1168">IFERROR(INDEX(EmployeeData[Age], ROW() - 37), "")</f>
        <v/>
      </c>
      <c r="G1168" s="6" t="str" cm="1">
        <f t="array" ref="G1168">IFERROR(INDEX(EmployeeData[Join Date], ROW() - 37), "")</f>
        <v/>
      </c>
      <c r="H1168" s="6" t="str" cm="1">
        <f t="array" ref="H1168">IFERROR(IF(INDEX(EmployeeData[Exit Date], ROW() - 37)=0, "",INDEX(EmployeeData[Exit Date], ROW() - 37)),"")</f>
        <v/>
      </c>
      <c r="I1168" s="4" t="str" cm="1">
        <f t="array" ref="I1168">IFERROR(IF(INDEX(EmployeeData[Exit Reason], ROW() - 37)=0, "",INDEX(EmployeeData[Exit Reason], ROW() - 37)),"")</f>
        <v/>
      </c>
      <c r="J1168" s="4" t="str" cm="1">
        <f t="array" ref="J1168">IFERROR(INDEX(EmployeeData[Status], ROW() - 37), "")</f>
        <v/>
      </c>
    </row>
    <row r="1169" spans="2:10" ht="19.95" customHeight="1" x14ac:dyDescent="0.3">
      <c r="B1169" s="4" t="str" cm="1">
        <f t="array" ref="B1169">IFERROR(INDEX(EmployeeData[Employee ID], ROW() - 37), "")</f>
        <v/>
      </c>
      <c r="C1169" s="4" t="str" cm="1">
        <f t="array" ref="C1169">IFERROR(INDEX(EmployeeData[Full Name], ROW() - 37), "")</f>
        <v/>
      </c>
      <c r="D1169" s="4" t="str" cm="1">
        <f t="array" ref="D1169">IFERROR(INDEX(EmployeeData[Department], ROW() - 37), "")</f>
        <v/>
      </c>
      <c r="E1169" s="4" t="str" cm="1">
        <f t="array" ref="E1169">IFERROR(INDEX(EmployeeData[Gender], ROW() - 37), "")</f>
        <v/>
      </c>
      <c r="F1169" s="4" t="str" cm="1">
        <f t="array" ref="F1169">IFERROR(INDEX(EmployeeData[Age], ROW() - 37), "")</f>
        <v/>
      </c>
      <c r="G1169" s="6" t="str" cm="1">
        <f t="array" ref="G1169">IFERROR(INDEX(EmployeeData[Join Date], ROW() - 37), "")</f>
        <v/>
      </c>
      <c r="H1169" s="6" t="str" cm="1">
        <f t="array" ref="H1169">IFERROR(IF(INDEX(EmployeeData[Exit Date], ROW() - 37)=0, "",INDEX(EmployeeData[Exit Date], ROW() - 37)),"")</f>
        <v/>
      </c>
      <c r="I1169" s="4" t="str" cm="1">
        <f t="array" ref="I1169">IFERROR(IF(INDEX(EmployeeData[Exit Reason], ROW() - 37)=0, "",INDEX(EmployeeData[Exit Reason], ROW() - 37)),"")</f>
        <v/>
      </c>
      <c r="J1169" s="4" t="str" cm="1">
        <f t="array" ref="J1169">IFERROR(INDEX(EmployeeData[Status], ROW() - 37), "")</f>
        <v/>
      </c>
    </row>
    <row r="1170" spans="2:10" ht="19.95" customHeight="1" x14ac:dyDescent="0.3">
      <c r="B1170" s="4" t="str" cm="1">
        <f t="array" ref="B1170">IFERROR(INDEX(EmployeeData[Employee ID], ROW() - 37), "")</f>
        <v/>
      </c>
      <c r="C1170" s="4" t="str" cm="1">
        <f t="array" ref="C1170">IFERROR(INDEX(EmployeeData[Full Name], ROW() - 37), "")</f>
        <v/>
      </c>
      <c r="D1170" s="4" t="str" cm="1">
        <f t="array" ref="D1170">IFERROR(INDEX(EmployeeData[Department], ROW() - 37), "")</f>
        <v/>
      </c>
      <c r="E1170" s="4" t="str" cm="1">
        <f t="array" ref="E1170">IFERROR(INDEX(EmployeeData[Gender], ROW() - 37), "")</f>
        <v/>
      </c>
      <c r="F1170" s="4" t="str" cm="1">
        <f t="array" ref="F1170">IFERROR(INDEX(EmployeeData[Age], ROW() - 37), "")</f>
        <v/>
      </c>
      <c r="G1170" s="6" t="str" cm="1">
        <f t="array" ref="G1170">IFERROR(INDEX(EmployeeData[Join Date], ROW() - 37), "")</f>
        <v/>
      </c>
      <c r="H1170" s="6" t="str" cm="1">
        <f t="array" ref="H1170">IFERROR(IF(INDEX(EmployeeData[Exit Date], ROW() - 37)=0, "",INDEX(EmployeeData[Exit Date], ROW() - 37)),"")</f>
        <v/>
      </c>
      <c r="I1170" s="4" t="str" cm="1">
        <f t="array" ref="I1170">IFERROR(IF(INDEX(EmployeeData[Exit Reason], ROW() - 37)=0, "",INDEX(EmployeeData[Exit Reason], ROW() - 37)),"")</f>
        <v/>
      </c>
      <c r="J1170" s="4" t="str" cm="1">
        <f t="array" ref="J1170">IFERROR(INDEX(EmployeeData[Status], ROW() - 37), "")</f>
        <v/>
      </c>
    </row>
    <row r="1171" spans="2:10" ht="19.95" customHeight="1" x14ac:dyDescent="0.3">
      <c r="B1171" s="4" t="str" cm="1">
        <f t="array" ref="B1171">IFERROR(INDEX(EmployeeData[Employee ID], ROW() - 37), "")</f>
        <v/>
      </c>
      <c r="C1171" s="4" t="str" cm="1">
        <f t="array" ref="C1171">IFERROR(INDEX(EmployeeData[Full Name], ROW() - 37), "")</f>
        <v/>
      </c>
      <c r="D1171" s="4" t="str" cm="1">
        <f t="array" ref="D1171">IFERROR(INDEX(EmployeeData[Department], ROW() - 37), "")</f>
        <v/>
      </c>
      <c r="E1171" s="4" t="str" cm="1">
        <f t="array" ref="E1171">IFERROR(INDEX(EmployeeData[Gender], ROW() - 37), "")</f>
        <v/>
      </c>
      <c r="F1171" s="4" t="str" cm="1">
        <f t="array" ref="F1171">IFERROR(INDEX(EmployeeData[Age], ROW() - 37), "")</f>
        <v/>
      </c>
      <c r="G1171" s="6" t="str" cm="1">
        <f t="array" ref="G1171">IFERROR(INDEX(EmployeeData[Join Date], ROW() - 37), "")</f>
        <v/>
      </c>
      <c r="H1171" s="6" t="str" cm="1">
        <f t="array" ref="H1171">IFERROR(IF(INDEX(EmployeeData[Exit Date], ROW() - 37)=0, "",INDEX(EmployeeData[Exit Date], ROW() - 37)),"")</f>
        <v/>
      </c>
      <c r="I1171" s="4" t="str" cm="1">
        <f t="array" ref="I1171">IFERROR(IF(INDEX(EmployeeData[Exit Reason], ROW() - 37)=0, "",INDEX(EmployeeData[Exit Reason], ROW() - 37)),"")</f>
        <v/>
      </c>
      <c r="J1171" s="4" t="str" cm="1">
        <f t="array" ref="J1171">IFERROR(INDEX(EmployeeData[Status], ROW() - 37), "")</f>
        <v/>
      </c>
    </row>
    <row r="1172" spans="2:10" ht="19.95" customHeight="1" x14ac:dyDescent="0.3">
      <c r="B1172" s="4" t="str" cm="1">
        <f t="array" ref="B1172">IFERROR(INDEX(EmployeeData[Employee ID], ROW() - 37), "")</f>
        <v/>
      </c>
      <c r="C1172" s="4" t="str" cm="1">
        <f t="array" ref="C1172">IFERROR(INDEX(EmployeeData[Full Name], ROW() - 37), "")</f>
        <v/>
      </c>
      <c r="D1172" s="4" t="str" cm="1">
        <f t="array" ref="D1172">IFERROR(INDEX(EmployeeData[Department], ROW() - 37), "")</f>
        <v/>
      </c>
      <c r="E1172" s="4" t="str" cm="1">
        <f t="array" ref="E1172">IFERROR(INDEX(EmployeeData[Gender], ROW() - 37), "")</f>
        <v/>
      </c>
      <c r="F1172" s="4" t="str" cm="1">
        <f t="array" ref="F1172">IFERROR(INDEX(EmployeeData[Age], ROW() - 37), "")</f>
        <v/>
      </c>
      <c r="G1172" s="6" t="str" cm="1">
        <f t="array" ref="G1172">IFERROR(INDEX(EmployeeData[Join Date], ROW() - 37), "")</f>
        <v/>
      </c>
      <c r="H1172" s="6" t="str" cm="1">
        <f t="array" ref="H1172">IFERROR(IF(INDEX(EmployeeData[Exit Date], ROW() - 37)=0, "",INDEX(EmployeeData[Exit Date], ROW() - 37)),"")</f>
        <v/>
      </c>
      <c r="I1172" s="4" t="str" cm="1">
        <f t="array" ref="I1172">IFERROR(IF(INDEX(EmployeeData[Exit Reason], ROW() - 37)=0, "",INDEX(EmployeeData[Exit Reason], ROW() - 37)),"")</f>
        <v/>
      </c>
      <c r="J1172" s="4" t="str" cm="1">
        <f t="array" ref="J1172">IFERROR(INDEX(EmployeeData[Status], ROW() - 37), "")</f>
        <v/>
      </c>
    </row>
    <row r="1173" spans="2:10" ht="19.95" customHeight="1" x14ac:dyDescent="0.3">
      <c r="B1173" s="4" t="str" cm="1">
        <f t="array" ref="B1173">IFERROR(INDEX(EmployeeData[Employee ID], ROW() - 37), "")</f>
        <v/>
      </c>
      <c r="C1173" s="4" t="str" cm="1">
        <f t="array" ref="C1173">IFERROR(INDEX(EmployeeData[Full Name], ROW() - 37), "")</f>
        <v/>
      </c>
      <c r="D1173" s="4" t="str" cm="1">
        <f t="array" ref="D1173">IFERROR(INDEX(EmployeeData[Department], ROW() - 37), "")</f>
        <v/>
      </c>
      <c r="E1173" s="4" t="str" cm="1">
        <f t="array" ref="E1173">IFERROR(INDEX(EmployeeData[Gender], ROW() - 37), "")</f>
        <v/>
      </c>
      <c r="F1173" s="4" t="str" cm="1">
        <f t="array" ref="F1173">IFERROR(INDEX(EmployeeData[Age], ROW() - 37), "")</f>
        <v/>
      </c>
      <c r="G1173" s="6" t="str" cm="1">
        <f t="array" ref="G1173">IFERROR(INDEX(EmployeeData[Join Date], ROW() - 37), "")</f>
        <v/>
      </c>
      <c r="H1173" s="6" t="str" cm="1">
        <f t="array" ref="H1173">IFERROR(IF(INDEX(EmployeeData[Exit Date], ROW() - 37)=0, "",INDEX(EmployeeData[Exit Date], ROW() - 37)),"")</f>
        <v/>
      </c>
      <c r="I1173" s="4" t="str" cm="1">
        <f t="array" ref="I1173">IFERROR(IF(INDEX(EmployeeData[Exit Reason], ROW() - 37)=0, "",INDEX(EmployeeData[Exit Reason], ROW() - 37)),"")</f>
        <v/>
      </c>
      <c r="J1173" s="4" t="str" cm="1">
        <f t="array" ref="J1173">IFERROR(INDEX(EmployeeData[Status], ROW() - 37), "")</f>
        <v/>
      </c>
    </row>
    <row r="1174" spans="2:10" ht="19.95" customHeight="1" x14ac:dyDescent="0.3">
      <c r="B1174" s="4" t="str" cm="1">
        <f t="array" ref="B1174">IFERROR(INDEX(EmployeeData[Employee ID], ROW() - 37), "")</f>
        <v/>
      </c>
      <c r="C1174" s="4" t="str" cm="1">
        <f t="array" ref="C1174">IFERROR(INDEX(EmployeeData[Full Name], ROW() - 37), "")</f>
        <v/>
      </c>
      <c r="D1174" s="4" t="str" cm="1">
        <f t="array" ref="D1174">IFERROR(INDEX(EmployeeData[Department], ROW() - 37), "")</f>
        <v/>
      </c>
      <c r="E1174" s="4" t="str" cm="1">
        <f t="array" ref="E1174">IFERROR(INDEX(EmployeeData[Gender], ROW() - 37), "")</f>
        <v/>
      </c>
      <c r="F1174" s="4" t="str" cm="1">
        <f t="array" ref="F1174">IFERROR(INDEX(EmployeeData[Age], ROW() - 37), "")</f>
        <v/>
      </c>
      <c r="G1174" s="6" t="str" cm="1">
        <f t="array" ref="G1174">IFERROR(INDEX(EmployeeData[Join Date], ROW() - 37), "")</f>
        <v/>
      </c>
      <c r="H1174" s="6" t="str" cm="1">
        <f t="array" ref="H1174">IFERROR(IF(INDEX(EmployeeData[Exit Date], ROW() - 37)=0, "",INDEX(EmployeeData[Exit Date], ROW() - 37)),"")</f>
        <v/>
      </c>
      <c r="I1174" s="4" t="str" cm="1">
        <f t="array" ref="I1174">IFERROR(IF(INDEX(EmployeeData[Exit Reason], ROW() - 37)=0, "",INDEX(EmployeeData[Exit Reason], ROW() - 37)),"")</f>
        <v/>
      </c>
      <c r="J1174" s="4" t="str" cm="1">
        <f t="array" ref="J1174">IFERROR(INDEX(EmployeeData[Status], ROW() - 37), "")</f>
        <v/>
      </c>
    </row>
    <row r="1175" spans="2:10" ht="19.95" customHeight="1" x14ac:dyDescent="0.3">
      <c r="B1175" s="4" t="str" cm="1">
        <f t="array" ref="B1175">IFERROR(INDEX(EmployeeData[Employee ID], ROW() - 37), "")</f>
        <v/>
      </c>
      <c r="C1175" s="4" t="str" cm="1">
        <f t="array" ref="C1175">IFERROR(INDEX(EmployeeData[Full Name], ROW() - 37), "")</f>
        <v/>
      </c>
      <c r="D1175" s="4" t="str" cm="1">
        <f t="array" ref="D1175">IFERROR(INDEX(EmployeeData[Department], ROW() - 37), "")</f>
        <v/>
      </c>
      <c r="E1175" s="4" t="str" cm="1">
        <f t="array" ref="E1175">IFERROR(INDEX(EmployeeData[Gender], ROW() - 37), "")</f>
        <v/>
      </c>
      <c r="F1175" s="4" t="str" cm="1">
        <f t="array" ref="F1175">IFERROR(INDEX(EmployeeData[Age], ROW() - 37), "")</f>
        <v/>
      </c>
      <c r="G1175" s="6" t="str" cm="1">
        <f t="array" ref="G1175">IFERROR(INDEX(EmployeeData[Join Date], ROW() - 37), "")</f>
        <v/>
      </c>
      <c r="H1175" s="6" t="str" cm="1">
        <f t="array" ref="H1175">IFERROR(IF(INDEX(EmployeeData[Exit Date], ROW() - 37)=0, "",INDEX(EmployeeData[Exit Date], ROW() - 37)),"")</f>
        <v/>
      </c>
      <c r="I1175" s="4" t="str" cm="1">
        <f t="array" ref="I1175">IFERROR(IF(INDEX(EmployeeData[Exit Reason], ROW() - 37)=0, "",INDEX(EmployeeData[Exit Reason], ROW() - 37)),"")</f>
        <v/>
      </c>
      <c r="J1175" s="4" t="str" cm="1">
        <f t="array" ref="J1175">IFERROR(INDEX(EmployeeData[Status], ROW() - 37), "")</f>
        <v/>
      </c>
    </row>
    <row r="1176" spans="2:10" ht="19.95" customHeight="1" x14ac:dyDescent="0.3">
      <c r="B1176" s="4" t="str" cm="1">
        <f t="array" ref="B1176">IFERROR(INDEX(EmployeeData[Employee ID], ROW() - 37), "")</f>
        <v/>
      </c>
      <c r="C1176" s="4" t="str" cm="1">
        <f t="array" ref="C1176">IFERROR(INDEX(EmployeeData[Full Name], ROW() - 37), "")</f>
        <v/>
      </c>
      <c r="D1176" s="4" t="str" cm="1">
        <f t="array" ref="D1176">IFERROR(INDEX(EmployeeData[Department], ROW() - 37), "")</f>
        <v/>
      </c>
      <c r="E1176" s="4" t="str" cm="1">
        <f t="array" ref="E1176">IFERROR(INDEX(EmployeeData[Gender], ROW() - 37), "")</f>
        <v/>
      </c>
      <c r="F1176" s="4" t="str" cm="1">
        <f t="array" ref="F1176">IFERROR(INDEX(EmployeeData[Age], ROW() - 37), "")</f>
        <v/>
      </c>
      <c r="G1176" s="6" t="str" cm="1">
        <f t="array" ref="G1176">IFERROR(INDEX(EmployeeData[Join Date], ROW() - 37), "")</f>
        <v/>
      </c>
      <c r="H1176" s="6" t="str" cm="1">
        <f t="array" ref="H1176">IFERROR(IF(INDEX(EmployeeData[Exit Date], ROW() - 37)=0, "",INDEX(EmployeeData[Exit Date], ROW() - 37)),"")</f>
        <v/>
      </c>
      <c r="I1176" s="4" t="str" cm="1">
        <f t="array" ref="I1176">IFERROR(IF(INDEX(EmployeeData[Exit Reason], ROW() - 37)=0, "",INDEX(EmployeeData[Exit Reason], ROW() - 37)),"")</f>
        <v/>
      </c>
      <c r="J1176" s="4" t="str" cm="1">
        <f t="array" ref="J1176">IFERROR(INDEX(EmployeeData[Status], ROW() - 37), "")</f>
        <v/>
      </c>
    </row>
    <row r="1177" spans="2:10" ht="19.95" customHeight="1" x14ac:dyDescent="0.3">
      <c r="B1177" s="4" t="str" cm="1">
        <f t="array" ref="B1177">IFERROR(INDEX(EmployeeData[Employee ID], ROW() - 37), "")</f>
        <v/>
      </c>
      <c r="C1177" s="4" t="str" cm="1">
        <f t="array" ref="C1177">IFERROR(INDEX(EmployeeData[Full Name], ROW() - 37), "")</f>
        <v/>
      </c>
      <c r="D1177" s="4" t="str" cm="1">
        <f t="array" ref="D1177">IFERROR(INDEX(EmployeeData[Department], ROW() - 37), "")</f>
        <v/>
      </c>
      <c r="E1177" s="4" t="str" cm="1">
        <f t="array" ref="E1177">IFERROR(INDEX(EmployeeData[Gender], ROW() - 37), "")</f>
        <v/>
      </c>
      <c r="F1177" s="4" t="str" cm="1">
        <f t="array" ref="F1177">IFERROR(INDEX(EmployeeData[Age], ROW() - 37), "")</f>
        <v/>
      </c>
      <c r="G1177" s="6" t="str" cm="1">
        <f t="array" ref="G1177">IFERROR(INDEX(EmployeeData[Join Date], ROW() - 37), "")</f>
        <v/>
      </c>
      <c r="H1177" s="6" t="str" cm="1">
        <f t="array" ref="H1177">IFERROR(IF(INDEX(EmployeeData[Exit Date], ROW() - 37)=0, "",INDEX(EmployeeData[Exit Date], ROW() - 37)),"")</f>
        <v/>
      </c>
      <c r="I1177" s="4" t="str" cm="1">
        <f t="array" ref="I1177">IFERROR(IF(INDEX(EmployeeData[Exit Reason], ROW() - 37)=0, "",INDEX(EmployeeData[Exit Reason], ROW() - 37)),"")</f>
        <v/>
      </c>
      <c r="J1177" s="4" t="str" cm="1">
        <f t="array" ref="J1177">IFERROR(INDEX(EmployeeData[Status], ROW() - 37), "")</f>
        <v/>
      </c>
    </row>
    <row r="1178" spans="2:10" ht="19.95" customHeight="1" x14ac:dyDescent="0.3">
      <c r="B1178" s="4" t="str" cm="1">
        <f t="array" ref="B1178">IFERROR(INDEX(EmployeeData[Employee ID], ROW() - 37), "")</f>
        <v/>
      </c>
      <c r="C1178" s="4" t="str" cm="1">
        <f t="array" ref="C1178">IFERROR(INDEX(EmployeeData[Full Name], ROW() - 37), "")</f>
        <v/>
      </c>
      <c r="D1178" s="4" t="str" cm="1">
        <f t="array" ref="D1178">IFERROR(INDEX(EmployeeData[Department], ROW() - 37), "")</f>
        <v/>
      </c>
      <c r="E1178" s="4" t="str" cm="1">
        <f t="array" ref="E1178">IFERROR(INDEX(EmployeeData[Gender], ROW() - 37), "")</f>
        <v/>
      </c>
      <c r="F1178" s="4" t="str" cm="1">
        <f t="array" ref="F1178">IFERROR(INDEX(EmployeeData[Age], ROW() - 37), "")</f>
        <v/>
      </c>
      <c r="G1178" s="6" t="str" cm="1">
        <f t="array" ref="G1178">IFERROR(INDEX(EmployeeData[Join Date], ROW() - 37), "")</f>
        <v/>
      </c>
      <c r="H1178" s="6" t="str" cm="1">
        <f t="array" ref="H1178">IFERROR(IF(INDEX(EmployeeData[Exit Date], ROW() - 37)=0, "",INDEX(EmployeeData[Exit Date], ROW() - 37)),"")</f>
        <v/>
      </c>
      <c r="I1178" s="4" t="str" cm="1">
        <f t="array" ref="I1178">IFERROR(IF(INDEX(EmployeeData[Exit Reason], ROW() - 37)=0, "",INDEX(EmployeeData[Exit Reason], ROW() - 37)),"")</f>
        <v/>
      </c>
      <c r="J1178" s="4" t="str" cm="1">
        <f t="array" ref="J1178">IFERROR(INDEX(EmployeeData[Status], ROW() - 37), "")</f>
        <v/>
      </c>
    </row>
    <row r="1179" spans="2:10" ht="19.95" customHeight="1" x14ac:dyDescent="0.3">
      <c r="B1179" s="4" t="str" cm="1">
        <f t="array" ref="B1179">IFERROR(INDEX(EmployeeData[Employee ID], ROW() - 37), "")</f>
        <v/>
      </c>
      <c r="C1179" s="4" t="str" cm="1">
        <f t="array" ref="C1179">IFERROR(INDEX(EmployeeData[Full Name], ROW() - 37), "")</f>
        <v/>
      </c>
      <c r="D1179" s="4" t="str" cm="1">
        <f t="array" ref="D1179">IFERROR(INDEX(EmployeeData[Department], ROW() - 37), "")</f>
        <v/>
      </c>
      <c r="E1179" s="4" t="str" cm="1">
        <f t="array" ref="E1179">IFERROR(INDEX(EmployeeData[Gender], ROW() - 37), "")</f>
        <v/>
      </c>
      <c r="F1179" s="4" t="str" cm="1">
        <f t="array" ref="F1179">IFERROR(INDEX(EmployeeData[Age], ROW() - 37), "")</f>
        <v/>
      </c>
      <c r="G1179" s="6" t="str" cm="1">
        <f t="array" ref="G1179">IFERROR(INDEX(EmployeeData[Join Date], ROW() - 37), "")</f>
        <v/>
      </c>
      <c r="H1179" s="6" t="str" cm="1">
        <f t="array" ref="H1179">IFERROR(IF(INDEX(EmployeeData[Exit Date], ROW() - 37)=0, "",INDEX(EmployeeData[Exit Date], ROW() - 37)),"")</f>
        <v/>
      </c>
      <c r="I1179" s="4" t="str" cm="1">
        <f t="array" ref="I1179">IFERROR(IF(INDEX(EmployeeData[Exit Reason], ROW() - 37)=0, "",INDEX(EmployeeData[Exit Reason], ROW() - 37)),"")</f>
        <v/>
      </c>
      <c r="J1179" s="4" t="str" cm="1">
        <f t="array" ref="J1179">IFERROR(INDEX(EmployeeData[Status], ROW() - 37), "")</f>
        <v/>
      </c>
    </row>
    <row r="1180" spans="2:10" ht="19.95" customHeight="1" x14ac:dyDescent="0.3">
      <c r="B1180" s="4" t="str" cm="1">
        <f t="array" ref="B1180">IFERROR(INDEX(EmployeeData[Employee ID], ROW() - 37), "")</f>
        <v/>
      </c>
      <c r="C1180" s="4" t="str" cm="1">
        <f t="array" ref="C1180">IFERROR(INDEX(EmployeeData[Full Name], ROW() - 37), "")</f>
        <v/>
      </c>
      <c r="D1180" s="4" t="str" cm="1">
        <f t="array" ref="D1180">IFERROR(INDEX(EmployeeData[Department], ROW() - 37), "")</f>
        <v/>
      </c>
      <c r="E1180" s="4" t="str" cm="1">
        <f t="array" ref="E1180">IFERROR(INDEX(EmployeeData[Gender], ROW() - 37), "")</f>
        <v/>
      </c>
      <c r="F1180" s="4" t="str" cm="1">
        <f t="array" ref="F1180">IFERROR(INDEX(EmployeeData[Age], ROW() - 37), "")</f>
        <v/>
      </c>
      <c r="G1180" s="6" t="str" cm="1">
        <f t="array" ref="G1180">IFERROR(INDEX(EmployeeData[Join Date], ROW() - 37), "")</f>
        <v/>
      </c>
      <c r="H1180" s="6" t="str" cm="1">
        <f t="array" ref="H1180">IFERROR(IF(INDEX(EmployeeData[Exit Date], ROW() - 37)=0, "",INDEX(EmployeeData[Exit Date], ROW() - 37)),"")</f>
        <v/>
      </c>
      <c r="I1180" s="4" t="str" cm="1">
        <f t="array" ref="I1180">IFERROR(IF(INDEX(EmployeeData[Exit Reason], ROW() - 37)=0, "",INDEX(EmployeeData[Exit Reason], ROW() - 37)),"")</f>
        <v/>
      </c>
      <c r="J1180" s="4" t="str" cm="1">
        <f t="array" ref="J1180">IFERROR(INDEX(EmployeeData[Status], ROW() - 37), "")</f>
        <v/>
      </c>
    </row>
    <row r="1181" spans="2:10" ht="19.95" customHeight="1" x14ac:dyDescent="0.3">
      <c r="B1181" s="4" t="str" cm="1">
        <f t="array" ref="B1181">IFERROR(INDEX(EmployeeData[Employee ID], ROW() - 37), "")</f>
        <v/>
      </c>
      <c r="C1181" s="4" t="str" cm="1">
        <f t="array" ref="C1181">IFERROR(INDEX(EmployeeData[Full Name], ROW() - 37), "")</f>
        <v/>
      </c>
      <c r="D1181" s="4" t="str" cm="1">
        <f t="array" ref="D1181">IFERROR(INDEX(EmployeeData[Department], ROW() - 37), "")</f>
        <v/>
      </c>
      <c r="E1181" s="4" t="str" cm="1">
        <f t="array" ref="E1181">IFERROR(INDEX(EmployeeData[Gender], ROW() - 37), "")</f>
        <v/>
      </c>
      <c r="F1181" s="4" t="str" cm="1">
        <f t="array" ref="F1181">IFERROR(INDEX(EmployeeData[Age], ROW() - 37), "")</f>
        <v/>
      </c>
      <c r="G1181" s="6" t="str" cm="1">
        <f t="array" ref="G1181">IFERROR(INDEX(EmployeeData[Join Date], ROW() - 37), "")</f>
        <v/>
      </c>
      <c r="H1181" s="6" t="str" cm="1">
        <f t="array" ref="H1181">IFERROR(IF(INDEX(EmployeeData[Exit Date], ROW() - 37)=0, "",INDEX(EmployeeData[Exit Date], ROW() - 37)),"")</f>
        <v/>
      </c>
      <c r="I1181" s="4" t="str" cm="1">
        <f t="array" ref="I1181">IFERROR(IF(INDEX(EmployeeData[Exit Reason], ROW() - 37)=0, "",INDEX(EmployeeData[Exit Reason], ROW() - 37)),"")</f>
        <v/>
      </c>
      <c r="J1181" s="4" t="str" cm="1">
        <f t="array" ref="J1181">IFERROR(INDEX(EmployeeData[Status], ROW() - 37), "")</f>
        <v/>
      </c>
    </row>
    <row r="1182" spans="2:10" ht="19.95" customHeight="1" x14ac:dyDescent="0.3">
      <c r="B1182" s="4" t="str" cm="1">
        <f t="array" ref="B1182">IFERROR(INDEX(EmployeeData[Employee ID], ROW() - 37), "")</f>
        <v/>
      </c>
      <c r="C1182" s="4" t="str" cm="1">
        <f t="array" ref="C1182">IFERROR(INDEX(EmployeeData[Full Name], ROW() - 37), "")</f>
        <v/>
      </c>
      <c r="D1182" s="4" t="str" cm="1">
        <f t="array" ref="D1182">IFERROR(INDEX(EmployeeData[Department], ROW() - 37), "")</f>
        <v/>
      </c>
      <c r="E1182" s="4" t="str" cm="1">
        <f t="array" ref="E1182">IFERROR(INDEX(EmployeeData[Gender], ROW() - 37), "")</f>
        <v/>
      </c>
      <c r="F1182" s="4" t="str" cm="1">
        <f t="array" ref="F1182">IFERROR(INDEX(EmployeeData[Age], ROW() - 37), "")</f>
        <v/>
      </c>
      <c r="G1182" s="6" t="str" cm="1">
        <f t="array" ref="G1182">IFERROR(INDEX(EmployeeData[Join Date], ROW() - 37), "")</f>
        <v/>
      </c>
      <c r="H1182" s="6" t="str" cm="1">
        <f t="array" ref="H1182">IFERROR(IF(INDEX(EmployeeData[Exit Date], ROW() - 37)=0, "",INDEX(EmployeeData[Exit Date], ROW() - 37)),"")</f>
        <v/>
      </c>
      <c r="I1182" s="4" t="str" cm="1">
        <f t="array" ref="I1182">IFERROR(IF(INDEX(EmployeeData[Exit Reason], ROW() - 37)=0, "",INDEX(EmployeeData[Exit Reason], ROW() - 37)),"")</f>
        <v/>
      </c>
      <c r="J1182" s="4" t="str" cm="1">
        <f t="array" ref="J1182">IFERROR(INDEX(EmployeeData[Status], ROW() - 37), "")</f>
        <v/>
      </c>
    </row>
    <row r="1183" spans="2:10" ht="19.95" customHeight="1" x14ac:dyDescent="0.3">
      <c r="B1183" s="4" t="str" cm="1">
        <f t="array" ref="B1183">IFERROR(INDEX(EmployeeData[Employee ID], ROW() - 37), "")</f>
        <v/>
      </c>
      <c r="C1183" s="4" t="str" cm="1">
        <f t="array" ref="C1183">IFERROR(INDEX(EmployeeData[Full Name], ROW() - 37), "")</f>
        <v/>
      </c>
      <c r="D1183" s="4" t="str" cm="1">
        <f t="array" ref="D1183">IFERROR(INDEX(EmployeeData[Department], ROW() - 37), "")</f>
        <v/>
      </c>
      <c r="E1183" s="4" t="str" cm="1">
        <f t="array" ref="E1183">IFERROR(INDEX(EmployeeData[Gender], ROW() - 37), "")</f>
        <v/>
      </c>
      <c r="F1183" s="4" t="str" cm="1">
        <f t="array" ref="F1183">IFERROR(INDEX(EmployeeData[Age], ROW() - 37), "")</f>
        <v/>
      </c>
      <c r="G1183" s="6" t="str" cm="1">
        <f t="array" ref="G1183">IFERROR(INDEX(EmployeeData[Join Date], ROW() - 37), "")</f>
        <v/>
      </c>
      <c r="H1183" s="6" t="str" cm="1">
        <f t="array" ref="H1183">IFERROR(IF(INDEX(EmployeeData[Exit Date], ROW() - 37)=0, "",INDEX(EmployeeData[Exit Date], ROW() - 37)),"")</f>
        <v/>
      </c>
      <c r="I1183" s="4" t="str" cm="1">
        <f t="array" ref="I1183">IFERROR(IF(INDEX(EmployeeData[Exit Reason], ROW() - 37)=0, "",INDEX(EmployeeData[Exit Reason], ROW() - 37)),"")</f>
        <v/>
      </c>
      <c r="J1183" s="4" t="str" cm="1">
        <f t="array" ref="J1183">IFERROR(INDEX(EmployeeData[Status], ROW() - 37), "")</f>
        <v/>
      </c>
    </row>
    <row r="1184" spans="2:10" ht="19.95" customHeight="1" x14ac:dyDescent="0.3">
      <c r="B1184" s="4" t="str" cm="1">
        <f t="array" ref="B1184">IFERROR(INDEX(EmployeeData[Employee ID], ROW() - 37), "")</f>
        <v/>
      </c>
      <c r="C1184" s="4" t="str" cm="1">
        <f t="array" ref="C1184">IFERROR(INDEX(EmployeeData[Full Name], ROW() - 37), "")</f>
        <v/>
      </c>
      <c r="D1184" s="4" t="str" cm="1">
        <f t="array" ref="D1184">IFERROR(INDEX(EmployeeData[Department], ROW() - 37), "")</f>
        <v/>
      </c>
      <c r="E1184" s="4" t="str" cm="1">
        <f t="array" ref="E1184">IFERROR(INDEX(EmployeeData[Gender], ROW() - 37), "")</f>
        <v/>
      </c>
      <c r="F1184" s="4" t="str" cm="1">
        <f t="array" ref="F1184">IFERROR(INDEX(EmployeeData[Age], ROW() - 37), "")</f>
        <v/>
      </c>
      <c r="G1184" s="6" t="str" cm="1">
        <f t="array" ref="G1184">IFERROR(INDEX(EmployeeData[Join Date], ROW() - 37), "")</f>
        <v/>
      </c>
      <c r="H1184" s="6" t="str" cm="1">
        <f t="array" ref="H1184">IFERROR(IF(INDEX(EmployeeData[Exit Date], ROW() - 37)=0, "",INDEX(EmployeeData[Exit Date], ROW() - 37)),"")</f>
        <v/>
      </c>
      <c r="I1184" s="4" t="str" cm="1">
        <f t="array" ref="I1184">IFERROR(IF(INDEX(EmployeeData[Exit Reason], ROW() - 37)=0, "",INDEX(EmployeeData[Exit Reason], ROW() - 37)),"")</f>
        <v/>
      </c>
      <c r="J1184" s="4" t="str" cm="1">
        <f t="array" ref="J1184">IFERROR(INDEX(EmployeeData[Status], ROW() - 37), "")</f>
        <v/>
      </c>
    </row>
    <row r="1185" spans="2:10" ht="19.95" customHeight="1" x14ac:dyDescent="0.3">
      <c r="B1185" s="4" t="str" cm="1">
        <f t="array" ref="B1185">IFERROR(INDEX(EmployeeData[Employee ID], ROW() - 37), "")</f>
        <v/>
      </c>
      <c r="C1185" s="4" t="str" cm="1">
        <f t="array" ref="C1185">IFERROR(INDEX(EmployeeData[Full Name], ROW() - 37), "")</f>
        <v/>
      </c>
      <c r="D1185" s="4" t="str" cm="1">
        <f t="array" ref="D1185">IFERROR(INDEX(EmployeeData[Department], ROW() - 37), "")</f>
        <v/>
      </c>
      <c r="E1185" s="4" t="str" cm="1">
        <f t="array" ref="E1185">IFERROR(INDEX(EmployeeData[Gender], ROW() - 37), "")</f>
        <v/>
      </c>
      <c r="F1185" s="4" t="str" cm="1">
        <f t="array" ref="F1185">IFERROR(INDEX(EmployeeData[Age], ROW() - 37), "")</f>
        <v/>
      </c>
      <c r="G1185" s="6" t="str" cm="1">
        <f t="array" ref="G1185">IFERROR(INDEX(EmployeeData[Join Date], ROW() - 37), "")</f>
        <v/>
      </c>
      <c r="H1185" s="6" t="str" cm="1">
        <f t="array" ref="H1185">IFERROR(IF(INDEX(EmployeeData[Exit Date], ROW() - 37)=0, "",INDEX(EmployeeData[Exit Date], ROW() - 37)),"")</f>
        <v/>
      </c>
      <c r="I1185" s="4" t="str" cm="1">
        <f t="array" ref="I1185">IFERROR(IF(INDEX(EmployeeData[Exit Reason], ROW() - 37)=0, "",INDEX(EmployeeData[Exit Reason], ROW() - 37)),"")</f>
        <v/>
      </c>
      <c r="J1185" s="4" t="str" cm="1">
        <f t="array" ref="J1185">IFERROR(INDEX(EmployeeData[Status], ROW() - 37), "")</f>
        <v/>
      </c>
    </row>
    <row r="1186" spans="2:10" ht="19.95" customHeight="1" x14ac:dyDescent="0.3">
      <c r="B1186" s="4" t="str" cm="1">
        <f t="array" ref="B1186">IFERROR(INDEX(EmployeeData[Employee ID], ROW() - 37), "")</f>
        <v/>
      </c>
      <c r="C1186" s="4" t="str" cm="1">
        <f t="array" ref="C1186">IFERROR(INDEX(EmployeeData[Full Name], ROW() - 37), "")</f>
        <v/>
      </c>
      <c r="D1186" s="4" t="str" cm="1">
        <f t="array" ref="D1186">IFERROR(INDEX(EmployeeData[Department], ROW() - 37), "")</f>
        <v/>
      </c>
      <c r="E1186" s="4" t="str" cm="1">
        <f t="array" ref="E1186">IFERROR(INDEX(EmployeeData[Gender], ROW() - 37), "")</f>
        <v/>
      </c>
      <c r="F1186" s="4" t="str" cm="1">
        <f t="array" ref="F1186">IFERROR(INDEX(EmployeeData[Age], ROW() - 37), "")</f>
        <v/>
      </c>
      <c r="G1186" s="6" t="str" cm="1">
        <f t="array" ref="G1186">IFERROR(INDEX(EmployeeData[Join Date], ROW() - 37), "")</f>
        <v/>
      </c>
      <c r="H1186" s="6" t="str" cm="1">
        <f t="array" ref="H1186">IFERROR(IF(INDEX(EmployeeData[Exit Date], ROW() - 37)=0, "",INDEX(EmployeeData[Exit Date], ROW() - 37)),"")</f>
        <v/>
      </c>
      <c r="I1186" s="4" t="str" cm="1">
        <f t="array" ref="I1186">IFERROR(IF(INDEX(EmployeeData[Exit Reason], ROW() - 37)=0, "",INDEX(EmployeeData[Exit Reason], ROW() - 37)),"")</f>
        <v/>
      </c>
      <c r="J1186" s="4" t="str" cm="1">
        <f t="array" ref="J1186">IFERROR(INDEX(EmployeeData[Status], ROW() - 37), "")</f>
        <v/>
      </c>
    </row>
    <row r="1187" spans="2:10" ht="19.95" customHeight="1" x14ac:dyDescent="0.3">
      <c r="B1187" s="4" t="str" cm="1">
        <f t="array" ref="B1187">IFERROR(INDEX(EmployeeData[Employee ID], ROW() - 37), "")</f>
        <v/>
      </c>
      <c r="C1187" s="4" t="str" cm="1">
        <f t="array" ref="C1187">IFERROR(INDEX(EmployeeData[Full Name], ROW() - 37), "")</f>
        <v/>
      </c>
      <c r="D1187" s="4" t="str" cm="1">
        <f t="array" ref="D1187">IFERROR(INDEX(EmployeeData[Department], ROW() - 37), "")</f>
        <v/>
      </c>
      <c r="E1187" s="4" t="str" cm="1">
        <f t="array" ref="E1187">IFERROR(INDEX(EmployeeData[Gender], ROW() - 37), "")</f>
        <v/>
      </c>
      <c r="F1187" s="4" t="str" cm="1">
        <f t="array" ref="F1187">IFERROR(INDEX(EmployeeData[Age], ROW() - 37), "")</f>
        <v/>
      </c>
      <c r="G1187" s="6" t="str" cm="1">
        <f t="array" ref="G1187">IFERROR(INDEX(EmployeeData[Join Date], ROW() - 37), "")</f>
        <v/>
      </c>
      <c r="H1187" s="6" t="str" cm="1">
        <f t="array" ref="H1187">IFERROR(IF(INDEX(EmployeeData[Exit Date], ROW() - 37)=0, "",INDEX(EmployeeData[Exit Date], ROW() - 37)),"")</f>
        <v/>
      </c>
      <c r="I1187" s="4" t="str" cm="1">
        <f t="array" ref="I1187">IFERROR(IF(INDEX(EmployeeData[Exit Reason], ROW() - 37)=0, "",INDEX(EmployeeData[Exit Reason], ROW() - 37)),"")</f>
        <v/>
      </c>
      <c r="J1187" s="4" t="str" cm="1">
        <f t="array" ref="J1187">IFERROR(INDEX(EmployeeData[Status], ROW() - 37), "")</f>
        <v/>
      </c>
    </row>
    <row r="1188" spans="2:10" ht="19.95" customHeight="1" x14ac:dyDescent="0.3">
      <c r="B1188" s="4" t="str" cm="1">
        <f t="array" ref="B1188">IFERROR(INDEX(EmployeeData[Employee ID], ROW() - 37), "")</f>
        <v/>
      </c>
      <c r="C1188" s="4" t="str" cm="1">
        <f t="array" ref="C1188">IFERROR(INDEX(EmployeeData[Full Name], ROW() - 37), "")</f>
        <v/>
      </c>
      <c r="D1188" s="4" t="str" cm="1">
        <f t="array" ref="D1188">IFERROR(INDEX(EmployeeData[Department], ROW() - 37), "")</f>
        <v/>
      </c>
      <c r="E1188" s="4" t="str" cm="1">
        <f t="array" ref="E1188">IFERROR(INDEX(EmployeeData[Gender], ROW() - 37), "")</f>
        <v/>
      </c>
      <c r="F1188" s="4" t="str" cm="1">
        <f t="array" ref="F1188">IFERROR(INDEX(EmployeeData[Age], ROW() - 37), "")</f>
        <v/>
      </c>
      <c r="G1188" s="6" t="str" cm="1">
        <f t="array" ref="G1188">IFERROR(INDEX(EmployeeData[Join Date], ROW() - 37), "")</f>
        <v/>
      </c>
      <c r="H1188" s="6" t="str" cm="1">
        <f t="array" ref="H1188">IFERROR(IF(INDEX(EmployeeData[Exit Date], ROW() - 37)=0, "",INDEX(EmployeeData[Exit Date], ROW() - 37)),"")</f>
        <v/>
      </c>
      <c r="I1188" s="4" t="str" cm="1">
        <f t="array" ref="I1188">IFERROR(IF(INDEX(EmployeeData[Exit Reason], ROW() - 37)=0, "",INDEX(EmployeeData[Exit Reason], ROW() - 37)),"")</f>
        <v/>
      </c>
      <c r="J1188" s="4" t="str" cm="1">
        <f t="array" ref="J1188">IFERROR(INDEX(EmployeeData[Status], ROW() - 37), "")</f>
        <v/>
      </c>
    </row>
    <row r="1189" spans="2:10" ht="19.95" customHeight="1" x14ac:dyDescent="0.3">
      <c r="B1189" s="4" t="str" cm="1">
        <f t="array" ref="B1189">IFERROR(INDEX(EmployeeData[Employee ID], ROW() - 37), "")</f>
        <v/>
      </c>
      <c r="C1189" s="4" t="str" cm="1">
        <f t="array" ref="C1189">IFERROR(INDEX(EmployeeData[Full Name], ROW() - 37), "")</f>
        <v/>
      </c>
      <c r="D1189" s="4" t="str" cm="1">
        <f t="array" ref="D1189">IFERROR(INDEX(EmployeeData[Department], ROW() - 37), "")</f>
        <v/>
      </c>
      <c r="E1189" s="4" t="str" cm="1">
        <f t="array" ref="E1189">IFERROR(INDEX(EmployeeData[Gender], ROW() - 37), "")</f>
        <v/>
      </c>
      <c r="F1189" s="4" t="str" cm="1">
        <f t="array" ref="F1189">IFERROR(INDEX(EmployeeData[Age], ROW() - 37), "")</f>
        <v/>
      </c>
      <c r="G1189" s="6" t="str" cm="1">
        <f t="array" ref="G1189">IFERROR(INDEX(EmployeeData[Join Date], ROW() - 37), "")</f>
        <v/>
      </c>
      <c r="H1189" s="6" t="str" cm="1">
        <f t="array" ref="H1189">IFERROR(IF(INDEX(EmployeeData[Exit Date], ROW() - 37)=0, "",INDEX(EmployeeData[Exit Date], ROW() - 37)),"")</f>
        <v/>
      </c>
      <c r="I1189" s="4" t="str" cm="1">
        <f t="array" ref="I1189">IFERROR(IF(INDEX(EmployeeData[Exit Reason], ROW() - 37)=0, "",INDEX(EmployeeData[Exit Reason], ROW() - 37)),"")</f>
        <v/>
      </c>
      <c r="J1189" s="4" t="str" cm="1">
        <f t="array" ref="J1189">IFERROR(INDEX(EmployeeData[Status], ROW() - 37), "")</f>
        <v/>
      </c>
    </row>
    <row r="1190" spans="2:10" ht="19.95" customHeight="1" x14ac:dyDescent="0.3">
      <c r="B1190" s="4" t="str" cm="1">
        <f t="array" ref="B1190">IFERROR(INDEX(EmployeeData[Employee ID], ROW() - 37), "")</f>
        <v/>
      </c>
      <c r="C1190" s="4" t="str" cm="1">
        <f t="array" ref="C1190">IFERROR(INDEX(EmployeeData[Full Name], ROW() - 37), "")</f>
        <v/>
      </c>
      <c r="D1190" s="4" t="str" cm="1">
        <f t="array" ref="D1190">IFERROR(INDEX(EmployeeData[Department], ROW() - 37), "")</f>
        <v/>
      </c>
      <c r="E1190" s="4" t="str" cm="1">
        <f t="array" ref="E1190">IFERROR(INDEX(EmployeeData[Gender], ROW() - 37), "")</f>
        <v/>
      </c>
      <c r="F1190" s="4" t="str" cm="1">
        <f t="array" ref="F1190">IFERROR(INDEX(EmployeeData[Age], ROW() - 37), "")</f>
        <v/>
      </c>
      <c r="G1190" s="6" t="str" cm="1">
        <f t="array" ref="G1190">IFERROR(INDEX(EmployeeData[Join Date], ROW() - 37), "")</f>
        <v/>
      </c>
      <c r="H1190" s="6" t="str" cm="1">
        <f t="array" ref="H1190">IFERROR(IF(INDEX(EmployeeData[Exit Date], ROW() - 37)=0, "",INDEX(EmployeeData[Exit Date], ROW() - 37)),"")</f>
        <v/>
      </c>
      <c r="I1190" s="4" t="str" cm="1">
        <f t="array" ref="I1190">IFERROR(IF(INDEX(EmployeeData[Exit Reason], ROW() - 37)=0, "",INDEX(EmployeeData[Exit Reason], ROW() - 37)),"")</f>
        <v/>
      </c>
      <c r="J1190" s="4" t="str" cm="1">
        <f t="array" ref="J1190">IFERROR(INDEX(EmployeeData[Status], ROW() - 37), "")</f>
        <v/>
      </c>
    </row>
    <row r="1191" spans="2:10" ht="19.95" customHeight="1" x14ac:dyDescent="0.3">
      <c r="B1191" s="4" t="str" cm="1">
        <f t="array" ref="B1191">IFERROR(INDEX(EmployeeData[Employee ID], ROW() - 37), "")</f>
        <v/>
      </c>
      <c r="C1191" s="4" t="str" cm="1">
        <f t="array" ref="C1191">IFERROR(INDEX(EmployeeData[Full Name], ROW() - 37), "")</f>
        <v/>
      </c>
      <c r="D1191" s="4" t="str" cm="1">
        <f t="array" ref="D1191">IFERROR(INDEX(EmployeeData[Department], ROW() - 37), "")</f>
        <v/>
      </c>
      <c r="E1191" s="4" t="str" cm="1">
        <f t="array" ref="E1191">IFERROR(INDEX(EmployeeData[Gender], ROW() - 37), "")</f>
        <v/>
      </c>
      <c r="F1191" s="4" t="str" cm="1">
        <f t="array" ref="F1191">IFERROR(INDEX(EmployeeData[Age], ROW() - 37), "")</f>
        <v/>
      </c>
      <c r="G1191" s="6" t="str" cm="1">
        <f t="array" ref="G1191">IFERROR(INDEX(EmployeeData[Join Date], ROW() - 37), "")</f>
        <v/>
      </c>
      <c r="H1191" s="6" t="str" cm="1">
        <f t="array" ref="H1191">IFERROR(IF(INDEX(EmployeeData[Exit Date], ROW() - 37)=0, "",INDEX(EmployeeData[Exit Date], ROW() - 37)),"")</f>
        <v/>
      </c>
      <c r="I1191" s="4" t="str" cm="1">
        <f t="array" ref="I1191">IFERROR(IF(INDEX(EmployeeData[Exit Reason], ROW() - 37)=0, "",INDEX(EmployeeData[Exit Reason], ROW() - 37)),"")</f>
        <v/>
      </c>
      <c r="J1191" s="4" t="str" cm="1">
        <f t="array" ref="J1191">IFERROR(INDEX(EmployeeData[Status], ROW() - 37), "")</f>
        <v/>
      </c>
    </row>
    <row r="1192" spans="2:10" ht="19.95" customHeight="1" x14ac:dyDescent="0.3">
      <c r="B1192" s="4" t="str" cm="1">
        <f t="array" ref="B1192">IFERROR(INDEX(EmployeeData[Employee ID], ROW() - 37), "")</f>
        <v/>
      </c>
      <c r="C1192" s="4" t="str" cm="1">
        <f t="array" ref="C1192">IFERROR(INDEX(EmployeeData[Full Name], ROW() - 37), "")</f>
        <v/>
      </c>
      <c r="D1192" s="4" t="str" cm="1">
        <f t="array" ref="D1192">IFERROR(INDEX(EmployeeData[Department], ROW() - 37), "")</f>
        <v/>
      </c>
      <c r="E1192" s="4" t="str" cm="1">
        <f t="array" ref="E1192">IFERROR(INDEX(EmployeeData[Gender], ROW() - 37), "")</f>
        <v/>
      </c>
      <c r="F1192" s="4" t="str" cm="1">
        <f t="array" ref="F1192">IFERROR(INDEX(EmployeeData[Age], ROW() - 37), "")</f>
        <v/>
      </c>
      <c r="G1192" s="6" t="str" cm="1">
        <f t="array" ref="G1192">IFERROR(INDEX(EmployeeData[Join Date], ROW() - 37), "")</f>
        <v/>
      </c>
      <c r="H1192" s="6" t="str" cm="1">
        <f t="array" ref="H1192">IFERROR(IF(INDEX(EmployeeData[Exit Date], ROW() - 37)=0, "",INDEX(EmployeeData[Exit Date], ROW() - 37)),"")</f>
        <v/>
      </c>
      <c r="I1192" s="4" t="str" cm="1">
        <f t="array" ref="I1192">IFERROR(IF(INDEX(EmployeeData[Exit Reason], ROW() - 37)=0, "",INDEX(EmployeeData[Exit Reason], ROW() - 37)),"")</f>
        <v/>
      </c>
      <c r="J1192" s="4" t="str" cm="1">
        <f t="array" ref="J1192">IFERROR(INDEX(EmployeeData[Status], ROW() - 37), "")</f>
        <v/>
      </c>
    </row>
    <row r="1193" spans="2:10" ht="19.95" customHeight="1" x14ac:dyDescent="0.3">
      <c r="B1193" s="4" t="str" cm="1">
        <f t="array" ref="B1193">IFERROR(INDEX(EmployeeData[Employee ID], ROW() - 37), "")</f>
        <v/>
      </c>
      <c r="C1193" s="4" t="str" cm="1">
        <f t="array" ref="C1193">IFERROR(INDEX(EmployeeData[Full Name], ROW() - 37), "")</f>
        <v/>
      </c>
      <c r="D1193" s="4" t="str" cm="1">
        <f t="array" ref="D1193">IFERROR(INDEX(EmployeeData[Department], ROW() - 37), "")</f>
        <v/>
      </c>
      <c r="E1193" s="4" t="str" cm="1">
        <f t="array" ref="E1193">IFERROR(INDEX(EmployeeData[Gender], ROW() - 37), "")</f>
        <v/>
      </c>
      <c r="F1193" s="4" t="str" cm="1">
        <f t="array" ref="F1193">IFERROR(INDEX(EmployeeData[Age], ROW() - 37), "")</f>
        <v/>
      </c>
      <c r="G1193" s="6" t="str" cm="1">
        <f t="array" ref="G1193">IFERROR(INDEX(EmployeeData[Join Date], ROW() - 37), "")</f>
        <v/>
      </c>
      <c r="H1193" s="6" t="str" cm="1">
        <f t="array" ref="H1193">IFERROR(IF(INDEX(EmployeeData[Exit Date], ROW() - 37)=0, "",INDEX(EmployeeData[Exit Date], ROW() - 37)),"")</f>
        <v/>
      </c>
      <c r="I1193" s="4" t="str" cm="1">
        <f t="array" ref="I1193">IFERROR(IF(INDEX(EmployeeData[Exit Reason], ROW() - 37)=0, "",INDEX(EmployeeData[Exit Reason], ROW() - 37)),"")</f>
        <v/>
      </c>
      <c r="J1193" s="4" t="str" cm="1">
        <f t="array" ref="J1193">IFERROR(INDEX(EmployeeData[Status], ROW() - 37), "")</f>
        <v/>
      </c>
    </row>
    <row r="1194" spans="2:10" ht="19.95" customHeight="1" x14ac:dyDescent="0.3">
      <c r="B1194" s="4" t="str" cm="1">
        <f t="array" ref="B1194">IFERROR(INDEX(EmployeeData[Employee ID], ROW() - 37), "")</f>
        <v/>
      </c>
      <c r="C1194" s="4" t="str" cm="1">
        <f t="array" ref="C1194">IFERROR(INDEX(EmployeeData[Full Name], ROW() - 37), "")</f>
        <v/>
      </c>
      <c r="D1194" s="4" t="str" cm="1">
        <f t="array" ref="D1194">IFERROR(INDEX(EmployeeData[Department], ROW() - 37), "")</f>
        <v/>
      </c>
      <c r="E1194" s="4" t="str" cm="1">
        <f t="array" ref="E1194">IFERROR(INDEX(EmployeeData[Gender], ROW() - 37), "")</f>
        <v/>
      </c>
      <c r="F1194" s="4" t="str" cm="1">
        <f t="array" ref="F1194">IFERROR(INDEX(EmployeeData[Age], ROW() - 37), "")</f>
        <v/>
      </c>
      <c r="G1194" s="6" t="str" cm="1">
        <f t="array" ref="G1194">IFERROR(INDEX(EmployeeData[Join Date], ROW() - 37), "")</f>
        <v/>
      </c>
      <c r="H1194" s="6" t="str" cm="1">
        <f t="array" ref="H1194">IFERROR(IF(INDEX(EmployeeData[Exit Date], ROW() - 37)=0, "",INDEX(EmployeeData[Exit Date], ROW() - 37)),"")</f>
        <v/>
      </c>
      <c r="I1194" s="4" t="str" cm="1">
        <f t="array" ref="I1194">IFERROR(IF(INDEX(EmployeeData[Exit Reason], ROW() - 37)=0, "",INDEX(EmployeeData[Exit Reason], ROW() - 37)),"")</f>
        <v/>
      </c>
      <c r="J1194" s="4" t="str" cm="1">
        <f t="array" ref="J1194">IFERROR(INDEX(EmployeeData[Status], ROW() - 37), "")</f>
        <v/>
      </c>
    </row>
    <row r="1195" spans="2:10" ht="19.95" customHeight="1" x14ac:dyDescent="0.3">
      <c r="B1195" s="4" t="str" cm="1">
        <f t="array" ref="B1195">IFERROR(INDEX(EmployeeData[Employee ID], ROW() - 37), "")</f>
        <v/>
      </c>
      <c r="C1195" s="4" t="str" cm="1">
        <f t="array" ref="C1195">IFERROR(INDEX(EmployeeData[Full Name], ROW() - 37), "")</f>
        <v/>
      </c>
      <c r="D1195" s="4" t="str" cm="1">
        <f t="array" ref="D1195">IFERROR(INDEX(EmployeeData[Department], ROW() - 37), "")</f>
        <v/>
      </c>
      <c r="E1195" s="4" t="str" cm="1">
        <f t="array" ref="E1195">IFERROR(INDEX(EmployeeData[Gender], ROW() - 37), "")</f>
        <v/>
      </c>
      <c r="F1195" s="4" t="str" cm="1">
        <f t="array" ref="F1195">IFERROR(INDEX(EmployeeData[Age], ROW() - 37), "")</f>
        <v/>
      </c>
      <c r="G1195" s="6" t="str" cm="1">
        <f t="array" ref="G1195">IFERROR(INDEX(EmployeeData[Join Date], ROW() - 37), "")</f>
        <v/>
      </c>
      <c r="H1195" s="6" t="str" cm="1">
        <f t="array" ref="H1195">IFERROR(IF(INDEX(EmployeeData[Exit Date], ROW() - 37)=0, "",INDEX(EmployeeData[Exit Date], ROW() - 37)),"")</f>
        <v/>
      </c>
      <c r="I1195" s="4" t="str" cm="1">
        <f t="array" ref="I1195">IFERROR(IF(INDEX(EmployeeData[Exit Reason], ROW() - 37)=0, "",INDEX(EmployeeData[Exit Reason], ROW() - 37)),"")</f>
        <v/>
      </c>
      <c r="J1195" s="4" t="str" cm="1">
        <f t="array" ref="J1195">IFERROR(INDEX(EmployeeData[Status], ROW() - 37), "")</f>
        <v/>
      </c>
    </row>
    <row r="1196" spans="2:10" ht="19.95" customHeight="1" x14ac:dyDescent="0.3">
      <c r="B1196" s="4" t="str" cm="1">
        <f t="array" ref="B1196">IFERROR(INDEX(EmployeeData[Employee ID], ROW() - 37), "")</f>
        <v/>
      </c>
      <c r="C1196" s="4" t="str" cm="1">
        <f t="array" ref="C1196">IFERROR(INDEX(EmployeeData[Full Name], ROW() - 37), "")</f>
        <v/>
      </c>
      <c r="D1196" s="4" t="str" cm="1">
        <f t="array" ref="D1196">IFERROR(INDEX(EmployeeData[Department], ROW() - 37), "")</f>
        <v/>
      </c>
      <c r="E1196" s="4" t="str" cm="1">
        <f t="array" ref="E1196">IFERROR(INDEX(EmployeeData[Gender], ROW() - 37), "")</f>
        <v/>
      </c>
      <c r="F1196" s="4" t="str" cm="1">
        <f t="array" ref="F1196">IFERROR(INDEX(EmployeeData[Age], ROW() - 37), "")</f>
        <v/>
      </c>
      <c r="G1196" s="6" t="str" cm="1">
        <f t="array" ref="G1196">IFERROR(INDEX(EmployeeData[Join Date], ROW() - 37), "")</f>
        <v/>
      </c>
      <c r="H1196" s="6" t="str" cm="1">
        <f t="array" ref="H1196">IFERROR(IF(INDEX(EmployeeData[Exit Date], ROW() - 37)=0, "",INDEX(EmployeeData[Exit Date], ROW() - 37)),"")</f>
        <v/>
      </c>
      <c r="I1196" s="4" t="str" cm="1">
        <f t="array" ref="I1196">IFERROR(IF(INDEX(EmployeeData[Exit Reason], ROW() - 37)=0, "",INDEX(EmployeeData[Exit Reason], ROW() - 37)),"")</f>
        <v/>
      </c>
      <c r="J1196" s="4" t="str" cm="1">
        <f t="array" ref="J1196">IFERROR(INDEX(EmployeeData[Status], ROW() - 37), "")</f>
        <v/>
      </c>
    </row>
    <row r="1197" spans="2:10" ht="19.95" customHeight="1" x14ac:dyDescent="0.3">
      <c r="B1197" s="4" t="str" cm="1">
        <f t="array" ref="B1197">IFERROR(INDEX(EmployeeData[Employee ID], ROW() - 37), "")</f>
        <v/>
      </c>
      <c r="C1197" s="4" t="str" cm="1">
        <f t="array" ref="C1197">IFERROR(INDEX(EmployeeData[Full Name], ROW() - 37), "")</f>
        <v/>
      </c>
      <c r="D1197" s="4" t="str" cm="1">
        <f t="array" ref="D1197">IFERROR(INDEX(EmployeeData[Department], ROW() - 37), "")</f>
        <v/>
      </c>
      <c r="E1197" s="4" t="str" cm="1">
        <f t="array" ref="E1197">IFERROR(INDEX(EmployeeData[Gender], ROW() - 37), "")</f>
        <v/>
      </c>
      <c r="F1197" s="4" t="str" cm="1">
        <f t="array" ref="F1197">IFERROR(INDEX(EmployeeData[Age], ROW() - 37), "")</f>
        <v/>
      </c>
      <c r="G1197" s="6" t="str" cm="1">
        <f t="array" ref="G1197">IFERROR(INDEX(EmployeeData[Join Date], ROW() - 37), "")</f>
        <v/>
      </c>
      <c r="H1197" s="6" t="str" cm="1">
        <f t="array" ref="H1197">IFERROR(IF(INDEX(EmployeeData[Exit Date], ROW() - 37)=0, "",INDEX(EmployeeData[Exit Date], ROW() - 37)),"")</f>
        <v/>
      </c>
      <c r="I1197" s="4" t="str" cm="1">
        <f t="array" ref="I1197">IFERROR(IF(INDEX(EmployeeData[Exit Reason], ROW() - 37)=0, "",INDEX(EmployeeData[Exit Reason], ROW() - 37)),"")</f>
        <v/>
      </c>
      <c r="J1197" s="4" t="str" cm="1">
        <f t="array" ref="J1197">IFERROR(INDEX(EmployeeData[Status], ROW() - 37), "")</f>
        <v/>
      </c>
    </row>
    <row r="1198" spans="2:10" ht="19.95" customHeight="1" x14ac:dyDescent="0.3">
      <c r="B1198" s="4" t="str" cm="1">
        <f t="array" ref="B1198">IFERROR(INDEX(EmployeeData[Employee ID], ROW() - 37), "")</f>
        <v/>
      </c>
      <c r="C1198" s="4" t="str" cm="1">
        <f t="array" ref="C1198">IFERROR(INDEX(EmployeeData[Full Name], ROW() - 37), "")</f>
        <v/>
      </c>
      <c r="D1198" s="4" t="str" cm="1">
        <f t="array" ref="D1198">IFERROR(INDEX(EmployeeData[Department], ROW() - 37), "")</f>
        <v/>
      </c>
      <c r="E1198" s="4" t="str" cm="1">
        <f t="array" ref="E1198">IFERROR(INDEX(EmployeeData[Gender], ROW() - 37), "")</f>
        <v/>
      </c>
      <c r="F1198" s="4" t="str" cm="1">
        <f t="array" ref="F1198">IFERROR(INDEX(EmployeeData[Age], ROW() - 37), "")</f>
        <v/>
      </c>
      <c r="G1198" s="6" t="str" cm="1">
        <f t="array" ref="G1198">IFERROR(INDEX(EmployeeData[Join Date], ROW() - 37), "")</f>
        <v/>
      </c>
      <c r="H1198" s="6" t="str" cm="1">
        <f t="array" ref="H1198">IFERROR(IF(INDEX(EmployeeData[Exit Date], ROW() - 37)=0, "",INDEX(EmployeeData[Exit Date], ROW() - 37)),"")</f>
        <v/>
      </c>
      <c r="I1198" s="4" t="str" cm="1">
        <f t="array" ref="I1198">IFERROR(IF(INDEX(EmployeeData[Exit Reason], ROW() - 37)=0, "",INDEX(EmployeeData[Exit Reason], ROW() - 37)),"")</f>
        <v/>
      </c>
      <c r="J1198" s="4" t="str" cm="1">
        <f t="array" ref="J1198">IFERROR(INDEX(EmployeeData[Status], ROW() - 37), "")</f>
        <v/>
      </c>
    </row>
    <row r="1199" spans="2:10" ht="19.95" customHeight="1" x14ac:dyDescent="0.3">
      <c r="B1199" s="4" t="str" cm="1">
        <f t="array" ref="B1199">IFERROR(INDEX(EmployeeData[Employee ID], ROW() - 37), "")</f>
        <v/>
      </c>
      <c r="C1199" s="4" t="str" cm="1">
        <f t="array" ref="C1199">IFERROR(INDEX(EmployeeData[Full Name], ROW() - 37), "")</f>
        <v/>
      </c>
      <c r="D1199" s="4" t="str" cm="1">
        <f t="array" ref="D1199">IFERROR(INDEX(EmployeeData[Department], ROW() - 37), "")</f>
        <v/>
      </c>
      <c r="E1199" s="4" t="str" cm="1">
        <f t="array" ref="E1199">IFERROR(INDEX(EmployeeData[Gender], ROW() - 37), "")</f>
        <v/>
      </c>
      <c r="F1199" s="4" t="str" cm="1">
        <f t="array" ref="F1199">IFERROR(INDEX(EmployeeData[Age], ROW() - 37), "")</f>
        <v/>
      </c>
      <c r="G1199" s="6" t="str" cm="1">
        <f t="array" ref="G1199">IFERROR(INDEX(EmployeeData[Join Date], ROW() - 37), "")</f>
        <v/>
      </c>
      <c r="H1199" s="6" t="str" cm="1">
        <f t="array" ref="H1199">IFERROR(IF(INDEX(EmployeeData[Exit Date], ROW() - 37)=0, "",INDEX(EmployeeData[Exit Date], ROW() - 37)),"")</f>
        <v/>
      </c>
      <c r="I1199" s="4" t="str" cm="1">
        <f t="array" ref="I1199">IFERROR(IF(INDEX(EmployeeData[Exit Reason], ROW() - 37)=0, "",INDEX(EmployeeData[Exit Reason], ROW() - 37)),"")</f>
        <v/>
      </c>
      <c r="J1199" s="4" t="str" cm="1">
        <f t="array" ref="J1199">IFERROR(INDEX(EmployeeData[Status], ROW() - 37), "")</f>
        <v/>
      </c>
    </row>
    <row r="1200" spans="2:10" ht="19.95" customHeight="1" x14ac:dyDescent="0.3">
      <c r="B1200" s="4" t="str" cm="1">
        <f t="array" ref="B1200">IFERROR(INDEX(EmployeeData[Employee ID], ROW() - 37), "")</f>
        <v/>
      </c>
      <c r="C1200" s="4" t="str" cm="1">
        <f t="array" ref="C1200">IFERROR(INDEX(EmployeeData[Full Name], ROW() - 37), "")</f>
        <v/>
      </c>
      <c r="D1200" s="4" t="str" cm="1">
        <f t="array" ref="D1200">IFERROR(INDEX(EmployeeData[Department], ROW() - 37), "")</f>
        <v/>
      </c>
      <c r="E1200" s="4" t="str" cm="1">
        <f t="array" ref="E1200">IFERROR(INDEX(EmployeeData[Gender], ROW() - 37), "")</f>
        <v/>
      </c>
      <c r="F1200" s="4" t="str" cm="1">
        <f t="array" ref="F1200">IFERROR(INDEX(EmployeeData[Age], ROW() - 37), "")</f>
        <v/>
      </c>
      <c r="G1200" s="6" t="str" cm="1">
        <f t="array" ref="G1200">IFERROR(INDEX(EmployeeData[Join Date], ROW() - 37), "")</f>
        <v/>
      </c>
      <c r="H1200" s="6" t="str" cm="1">
        <f t="array" ref="H1200">IFERROR(IF(INDEX(EmployeeData[Exit Date], ROW() - 37)=0, "",INDEX(EmployeeData[Exit Date], ROW() - 37)),"")</f>
        <v/>
      </c>
      <c r="I1200" s="4" t="str" cm="1">
        <f t="array" ref="I1200">IFERROR(IF(INDEX(EmployeeData[Exit Reason], ROW() - 37)=0, "",INDEX(EmployeeData[Exit Reason], ROW() - 37)),"")</f>
        <v/>
      </c>
      <c r="J1200" s="4" t="str" cm="1">
        <f t="array" ref="J1200">IFERROR(INDEX(EmployeeData[Status], ROW() - 37), "")</f>
        <v/>
      </c>
    </row>
    <row r="1201" spans="2:10" ht="19.95" customHeight="1" x14ac:dyDescent="0.3">
      <c r="B1201" s="4" t="str" cm="1">
        <f t="array" ref="B1201">IFERROR(INDEX(EmployeeData[Employee ID], ROW() - 37), "")</f>
        <v/>
      </c>
      <c r="C1201" s="4" t="str" cm="1">
        <f t="array" ref="C1201">IFERROR(INDEX(EmployeeData[Full Name], ROW() - 37), "")</f>
        <v/>
      </c>
      <c r="D1201" s="4" t="str" cm="1">
        <f t="array" ref="D1201">IFERROR(INDEX(EmployeeData[Department], ROW() - 37), "")</f>
        <v/>
      </c>
      <c r="E1201" s="4" t="str" cm="1">
        <f t="array" ref="E1201">IFERROR(INDEX(EmployeeData[Gender], ROW() - 37), "")</f>
        <v/>
      </c>
      <c r="F1201" s="4" t="str" cm="1">
        <f t="array" ref="F1201">IFERROR(INDEX(EmployeeData[Age], ROW() - 37), "")</f>
        <v/>
      </c>
      <c r="G1201" s="6" t="str" cm="1">
        <f t="array" ref="G1201">IFERROR(INDEX(EmployeeData[Join Date], ROW() - 37), "")</f>
        <v/>
      </c>
      <c r="H1201" s="6" t="str" cm="1">
        <f t="array" ref="H1201">IFERROR(IF(INDEX(EmployeeData[Exit Date], ROW() - 37)=0, "",INDEX(EmployeeData[Exit Date], ROW() - 37)),"")</f>
        <v/>
      </c>
      <c r="I1201" s="4" t="str" cm="1">
        <f t="array" ref="I1201">IFERROR(IF(INDEX(EmployeeData[Exit Reason], ROW() - 37)=0, "",INDEX(EmployeeData[Exit Reason], ROW() - 37)),"")</f>
        <v/>
      </c>
      <c r="J1201" s="4" t="str" cm="1">
        <f t="array" ref="J1201">IFERROR(INDEX(EmployeeData[Status], ROW() - 37), "")</f>
        <v/>
      </c>
    </row>
    <row r="1202" spans="2:10" ht="19.95" customHeight="1" x14ac:dyDescent="0.3">
      <c r="B1202" s="4" t="str" cm="1">
        <f t="array" ref="B1202">IFERROR(INDEX(EmployeeData[Employee ID], ROW() - 37), "")</f>
        <v/>
      </c>
      <c r="C1202" s="4" t="str" cm="1">
        <f t="array" ref="C1202">IFERROR(INDEX(EmployeeData[Full Name], ROW() - 37), "")</f>
        <v/>
      </c>
      <c r="D1202" s="4" t="str" cm="1">
        <f t="array" ref="D1202">IFERROR(INDEX(EmployeeData[Department], ROW() - 37), "")</f>
        <v/>
      </c>
      <c r="E1202" s="4" t="str" cm="1">
        <f t="array" ref="E1202">IFERROR(INDEX(EmployeeData[Gender], ROW() - 37), "")</f>
        <v/>
      </c>
      <c r="F1202" s="4" t="str" cm="1">
        <f t="array" ref="F1202">IFERROR(INDEX(EmployeeData[Age], ROW() - 37), "")</f>
        <v/>
      </c>
      <c r="G1202" s="6" t="str" cm="1">
        <f t="array" ref="G1202">IFERROR(INDEX(EmployeeData[Join Date], ROW() - 37), "")</f>
        <v/>
      </c>
      <c r="H1202" s="6" t="str" cm="1">
        <f t="array" ref="H1202">IFERROR(IF(INDEX(EmployeeData[Exit Date], ROW() - 37)=0, "",INDEX(EmployeeData[Exit Date], ROW() - 37)),"")</f>
        <v/>
      </c>
      <c r="I1202" s="4" t="str" cm="1">
        <f t="array" ref="I1202">IFERROR(IF(INDEX(EmployeeData[Exit Reason], ROW() - 37)=0, "",INDEX(EmployeeData[Exit Reason], ROW() - 37)),"")</f>
        <v/>
      </c>
      <c r="J1202" s="4" t="str" cm="1">
        <f t="array" ref="J1202">IFERROR(INDEX(EmployeeData[Status], ROW() - 37), "")</f>
        <v/>
      </c>
    </row>
    <row r="1203" spans="2:10" ht="19.95" customHeight="1" x14ac:dyDescent="0.3">
      <c r="B1203" s="4" t="str" cm="1">
        <f t="array" ref="B1203">IFERROR(INDEX(EmployeeData[Employee ID], ROW() - 37), "")</f>
        <v/>
      </c>
      <c r="C1203" s="4" t="str" cm="1">
        <f t="array" ref="C1203">IFERROR(INDEX(EmployeeData[Full Name], ROW() - 37), "")</f>
        <v/>
      </c>
      <c r="D1203" s="4" t="str" cm="1">
        <f t="array" ref="D1203">IFERROR(INDEX(EmployeeData[Department], ROW() - 37), "")</f>
        <v/>
      </c>
      <c r="E1203" s="4" t="str" cm="1">
        <f t="array" ref="E1203">IFERROR(INDEX(EmployeeData[Gender], ROW() - 37), "")</f>
        <v/>
      </c>
      <c r="F1203" s="4" t="str" cm="1">
        <f t="array" ref="F1203">IFERROR(INDEX(EmployeeData[Age], ROW() - 37), "")</f>
        <v/>
      </c>
      <c r="G1203" s="6" t="str" cm="1">
        <f t="array" ref="G1203">IFERROR(INDEX(EmployeeData[Join Date], ROW() - 37), "")</f>
        <v/>
      </c>
      <c r="H1203" s="6" t="str" cm="1">
        <f t="array" ref="H1203">IFERROR(IF(INDEX(EmployeeData[Exit Date], ROW() - 37)=0, "",INDEX(EmployeeData[Exit Date], ROW() - 37)),"")</f>
        <v/>
      </c>
      <c r="I1203" s="4" t="str" cm="1">
        <f t="array" ref="I1203">IFERROR(IF(INDEX(EmployeeData[Exit Reason], ROW() - 37)=0, "",INDEX(EmployeeData[Exit Reason], ROW() - 37)),"")</f>
        <v/>
      </c>
      <c r="J1203" s="4" t="str" cm="1">
        <f t="array" ref="J1203">IFERROR(INDEX(EmployeeData[Status], ROW() - 37), "")</f>
        <v/>
      </c>
    </row>
    <row r="1204" spans="2:10" ht="19.95" customHeight="1" x14ac:dyDescent="0.3">
      <c r="B1204" s="4" t="str" cm="1">
        <f t="array" ref="B1204">IFERROR(INDEX(EmployeeData[Employee ID], ROW() - 37), "")</f>
        <v/>
      </c>
      <c r="C1204" s="4" t="str" cm="1">
        <f t="array" ref="C1204">IFERROR(INDEX(EmployeeData[Full Name], ROW() - 37), "")</f>
        <v/>
      </c>
      <c r="D1204" s="4" t="str" cm="1">
        <f t="array" ref="D1204">IFERROR(INDEX(EmployeeData[Department], ROW() - 37), "")</f>
        <v/>
      </c>
      <c r="E1204" s="4" t="str" cm="1">
        <f t="array" ref="E1204">IFERROR(INDEX(EmployeeData[Gender], ROW() - 37), "")</f>
        <v/>
      </c>
      <c r="F1204" s="4" t="str" cm="1">
        <f t="array" ref="F1204">IFERROR(INDEX(EmployeeData[Age], ROW() - 37), "")</f>
        <v/>
      </c>
      <c r="G1204" s="6" t="str" cm="1">
        <f t="array" ref="G1204">IFERROR(INDEX(EmployeeData[Join Date], ROW() - 37), "")</f>
        <v/>
      </c>
      <c r="H1204" s="6" t="str" cm="1">
        <f t="array" ref="H1204">IFERROR(IF(INDEX(EmployeeData[Exit Date], ROW() - 37)=0, "",INDEX(EmployeeData[Exit Date], ROW() - 37)),"")</f>
        <v/>
      </c>
      <c r="I1204" s="4" t="str" cm="1">
        <f t="array" ref="I1204">IFERROR(IF(INDEX(EmployeeData[Exit Reason], ROW() - 37)=0, "",INDEX(EmployeeData[Exit Reason], ROW() - 37)),"")</f>
        <v/>
      </c>
      <c r="J1204" s="4" t="str" cm="1">
        <f t="array" ref="J1204">IFERROR(INDEX(EmployeeData[Status], ROW() - 37), "")</f>
        <v/>
      </c>
    </row>
    <row r="1205" spans="2:10" ht="19.95" customHeight="1" x14ac:dyDescent="0.3">
      <c r="B1205" s="4" t="str" cm="1">
        <f t="array" ref="B1205">IFERROR(INDEX(EmployeeData[Employee ID], ROW() - 37), "")</f>
        <v/>
      </c>
      <c r="C1205" s="4" t="str" cm="1">
        <f t="array" ref="C1205">IFERROR(INDEX(EmployeeData[Full Name], ROW() - 37), "")</f>
        <v/>
      </c>
      <c r="D1205" s="4" t="str" cm="1">
        <f t="array" ref="D1205">IFERROR(INDEX(EmployeeData[Department], ROW() - 37), "")</f>
        <v/>
      </c>
      <c r="E1205" s="4" t="str" cm="1">
        <f t="array" ref="E1205">IFERROR(INDEX(EmployeeData[Gender], ROW() - 37), "")</f>
        <v/>
      </c>
      <c r="F1205" s="4" t="str" cm="1">
        <f t="array" ref="F1205">IFERROR(INDEX(EmployeeData[Age], ROW() - 37), "")</f>
        <v/>
      </c>
      <c r="G1205" s="6" t="str" cm="1">
        <f t="array" ref="G1205">IFERROR(INDEX(EmployeeData[Join Date], ROW() - 37), "")</f>
        <v/>
      </c>
      <c r="H1205" s="6" t="str" cm="1">
        <f t="array" ref="H1205">IFERROR(IF(INDEX(EmployeeData[Exit Date], ROW() - 37)=0, "",INDEX(EmployeeData[Exit Date], ROW() - 37)),"")</f>
        <v/>
      </c>
      <c r="I1205" s="4" t="str" cm="1">
        <f t="array" ref="I1205">IFERROR(IF(INDEX(EmployeeData[Exit Reason], ROW() - 37)=0, "",INDEX(EmployeeData[Exit Reason], ROW() - 37)),"")</f>
        <v/>
      </c>
      <c r="J1205" s="4" t="str" cm="1">
        <f t="array" ref="J1205">IFERROR(INDEX(EmployeeData[Status], ROW() - 37), "")</f>
        <v/>
      </c>
    </row>
    <row r="1206" spans="2:10" ht="19.95" customHeight="1" x14ac:dyDescent="0.3">
      <c r="B1206" s="4" t="str" cm="1">
        <f t="array" ref="B1206">IFERROR(INDEX(EmployeeData[Employee ID], ROW() - 37), "")</f>
        <v/>
      </c>
      <c r="C1206" s="4" t="str" cm="1">
        <f t="array" ref="C1206">IFERROR(INDEX(EmployeeData[Full Name], ROW() - 37), "")</f>
        <v/>
      </c>
      <c r="D1206" s="4" t="str" cm="1">
        <f t="array" ref="D1206">IFERROR(INDEX(EmployeeData[Department], ROW() - 37), "")</f>
        <v/>
      </c>
      <c r="E1206" s="4" t="str" cm="1">
        <f t="array" ref="E1206">IFERROR(INDEX(EmployeeData[Gender], ROW() - 37), "")</f>
        <v/>
      </c>
      <c r="F1206" s="4" t="str" cm="1">
        <f t="array" ref="F1206">IFERROR(INDEX(EmployeeData[Age], ROW() - 37), "")</f>
        <v/>
      </c>
      <c r="G1206" s="6" t="str" cm="1">
        <f t="array" ref="G1206">IFERROR(INDEX(EmployeeData[Join Date], ROW() - 37), "")</f>
        <v/>
      </c>
      <c r="H1206" s="6" t="str" cm="1">
        <f t="array" ref="H1206">IFERROR(IF(INDEX(EmployeeData[Exit Date], ROW() - 37)=0, "",INDEX(EmployeeData[Exit Date], ROW() - 37)),"")</f>
        <v/>
      </c>
      <c r="I1206" s="4" t="str" cm="1">
        <f t="array" ref="I1206">IFERROR(IF(INDEX(EmployeeData[Exit Reason], ROW() - 37)=0, "",INDEX(EmployeeData[Exit Reason], ROW() - 37)),"")</f>
        <v/>
      </c>
      <c r="J1206" s="4" t="str" cm="1">
        <f t="array" ref="J1206">IFERROR(INDEX(EmployeeData[Status], ROW() - 37), "")</f>
        <v/>
      </c>
    </row>
    <row r="1207" spans="2:10" ht="19.95" customHeight="1" x14ac:dyDescent="0.3">
      <c r="B1207" s="4" t="str" cm="1">
        <f t="array" ref="B1207">IFERROR(INDEX(EmployeeData[Employee ID], ROW() - 37), "")</f>
        <v/>
      </c>
      <c r="C1207" s="4" t="str" cm="1">
        <f t="array" ref="C1207">IFERROR(INDEX(EmployeeData[Full Name], ROW() - 37), "")</f>
        <v/>
      </c>
      <c r="D1207" s="4" t="str" cm="1">
        <f t="array" ref="D1207">IFERROR(INDEX(EmployeeData[Department], ROW() - 37), "")</f>
        <v/>
      </c>
      <c r="E1207" s="4" t="str" cm="1">
        <f t="array" ref="E1207">IFERROR(INDEX(EmployeeData[Gender], ROW() - 37), "")</f>
        <v/>
      </c>
      <c r="F1207" s="4" t="str" cm="1">
        <f t="array" ref="F1207">IFERROR(INDEX(EmployeeData[Age], ROW() - 37), "")</f>
        <v/>
      </c>
      <c r="G1207" s="6" t="str" cm="1">
        <f t="array" ref="G1207">IFERROR(INDEX(EmployeeData[Join Date], ROW() - 37), "")</f>
        <v/>
      </c>
      <c r="H1207" s="6" t="str" cm="1">
        <f t="array" ref="H1207">IFERROR(IF(INDEX(EmployeeData[Exit Date], ROW() - 37)=0, "",INDEX(EmployeeData[Exit Date], ROW() - 37)),"")</f>
        <v/>
      </c>
      <c r="I1207" s="4" t="str" cm="1">
        <f t="array" ref="I1207">IFERROR(IF(INDEX(EmployeeData[Exit Reason], ROW() - 37)=0, "",INDEX(EmployeeData[Exit Reason], ROW() - 37)),"")</f>
        <v/>
      </c>
      <c r="J1207" s="4" t="str" cm="1">
        <f t="array" ref="J1207">IFERROR(INDEX(EmployeeData[Status], ROW() - 37), "")</f>
        <v/>
      </c>
    </row>
    <row r="1208" spans="2:10" ht="19.95" customHeight="1" x14ac:dyDescent="0.3">
      <c r="B1208" s="4" t="str" cm="1">
        <f t="array" ref="B1208">IFERROR(INDEX(EmployeeData[Employee ID], ROW() - 37), "")</f>
        <v/>
      </c>
      <c r="C1208" s="4" t="str" cm="1">
        <f t="array" ref="C1208">IFERROR(INDEX(EmployeeData[Full Name], ROW() - 37), "")</f>
        <v/>
      </c>
      <c r="D1208" s="4" t="str" cm="1">
        <f t="array" ref="D1208">IFERROR(INDEX(EmployeeData[Department], ROW() - 37), "")</f>
        <v/>
      </c>
      <c r="E1208" s="4" t="str" cm="1">
        <f t="array" ref="E1208">IFERROR(INDEX(EmployeeData[Gender], ROW() - 37), "")</f>
        <v/>
      </c>
      <c r="F1208" s="4" t="str" cm="1">
        <f t="array" ref="F1208">IFERROR(INDEX(EmployeeData[Age], ROW() - 37), "")</f>
        <v/>
      </c>
      <c r="G1208" s="6" t="str" cm="1">
        <f t="array" ref="G1208">IFERROR(INDEX(EmployeeData[Join Date], ROW() - 37), "")</f>
        <v/>
      </c>
      <c r="H1208" s="6" t="str" cm="1">
        <f t="array" ref="H1208">IFERROR(IF(INDEX(EmployeeData[Exit Date], ROW() - 37)=0, "",INDEX(EmployeeData[Exit Date], ROW() - 37)),"")</f>
        <v/>
      </c>
      <c r="I1208" s="4" t="str" cm="1">
        <f t="array" ref="I1208">IFERROR(IF(INDEX(EmployeeData[Exit Reason], ROW() - 37)=0, "",INDEX(EmployeeData[Exit Reason], ROW() - 37)),"")</f>
        <v/>
      </c>
      <c r="J1208" s="4" t="str" cm="1">
        <f t="array" ref="J1208">IFERROR(INDEX(EmployeeData[Status], ROW() - 37), "")</f>
        <v/>
      </c>
    </row>
    <row r="1209" spans="2:10" ht="19.95" customHeight="1" x14ac:dyDescent="0.3">
      <c r="B1209" s="4" t="str" cm="1">
        <f t="array" ref="B1209">IFERROR(INDEX(EmployeeData[Employee ID], ROW() - 37), "")</f>
        <v/>
      </c>
      <c r="C1209" s="4" t="str" cm="1">
        <f t="array" ref="C1209">IFERROR(INDEX(EmployeeData[Full Name], ROW() - 37), "")</f>
        <v/>
      </c>
      <c r="D1209" s="4" t="str" cm="1">
        <f t="array" ref="D1209">IFERROR(INDEX(EmployeeData[Department], ROW() - 37), "")</f>
        <v/>
      </c>
      <c r="E1209" s="4" t="str" cm="1">
        <f t="array" ref="E1209">IFERROR(INDEX(EmployeeData[Gender], ROW() - 37), "")</f>
        <v/>
      </c>
      <c r="F1209" s="4" t="str" cm="1">
        <f t="array" ref="F1209">IFERROR(INDEX(EmployeeData[Age], ROW() - 37), "")</f>
        <v/>
      </c>
      <c r="G1209" s="6" t="str" cm="1">
        <f t="array" ref="G1209">IFERROR(INDEX(EmployeeData[Join Date], ROW() - 37), "")</f>
        <v/>
      </c>
      <c r="H1209" s="6" t="str" cm="1">
        <f t="array" ref="H1209">IFERROR(IF(INDEX(EmployeeData[Exit Date], ROW() - 37)=0, "",INDEX(EmployeeData[Exit Date], ROW() - 37)),"")</f>
        <v/>
      </c>
      <c r="I1209" s="4" t="str" cm="1">
        <f t="array" ref="I1209">IFERROR(IF(INDEX(EmployeeData[Exit Reason], ROW() - 37)=0, "",INDEX(EmployeeData[Exit Reason], ROW() - 37)),"")</f>
        <v/>
      </c>
      <c r="J1209" s="4" t="str" cm="1">
        <f t="array" ref="J1209">IFERROR(INDEX(EmployeeData[Status], ROW() - 37), "")</f>
        <v/>
      </c>
    </row>
    <row r="1210" spans="2:10" ht="19.95" customHeight="1" x14ac:dyDescent="0.3">
      <c r="B1210" s="4" t="str" cm="1">
        <f t="array" ref="B1210">IFERROR(INDEX(EmployeeData[Employee ID], ROW() - 37), "")</f>
        <v/>
      </c>
      <c r="C1210" s="4" t="str" cm="1">
        <f t="array" ref="C1210">IFERROR(INDEX(EmployeeData[Full Name], ROW() - 37), "")</f>
        <v/>
      </c>
      <c r="D1210" s="4" t="str" cm="1">
        <f t="array" ref="D1210">IFERROR(INDEX(EmployeeData[Department], ROW() - 37), "")</f>
        <v/>
      </c>
      <c r="E1210" s="4" t="str" cm="1">
        <f t="array" ref="E1210">IFERROR(INDEX(EmployeeData[Gender], ROW() - 37), "")</f>
        <v/>
      </c>
      <c r="F1210" s="4" t="str" cm="1">
        <f t="array" ref="F1210">IFERROR(INDEX(EmployeeData[Age], ROW() - 37), "")</f>
        <v/>
      </c>
      <c r="G1210" s="6" t="str" cm="1">
        <f t="array" ref="G1210">IFERROR(INDEX(EmployeeData[Join Date], ROW() - 37), "")</f>
        <v/>
      </c>
      <c r="H1210" s="6" t="str" cm="1">
        <f t="array" ref="H1210">IFERROR(IF(INDEX(EmployeeData[Exit Date], ROW() - 37)=0, "",INDEX(EmployeeData[Exit Date], ROW() - 37)),"")</f>
        <v/>
      </c>
      <c r="I1210" s="4" t="str" cm="1">
        <f t="array" ref="I1210">IFERROR(IF(INDEX(EmployeeData[Exit Reason], ROW() - 37)=0, "",INDEX(EmployeeData[Exit Reason], ROW() - 37)),"")</f>
        <v/>
      </c>
      <c r="J1210" s="4" t="str" cm="1">
        <f t="array" ref="J1210">IFERROR(INDEX(EmployeeData[Status], ROW() - 37), "")</f>
        <v/>
      </c>
    </row>
    <row r="1211" spans="2:10" ht="19.95" customHeight="1" x14ac:dyDescent="0.3">
      <c r="B1211" s="4" t="str" cm="1">
        <f t="array" ref="B1211">IFERROR(INDEX(EmployeeData[Employee ID], ROW() - 37), "")</f>
        <v/>
      </c>
      <c r="C1211" s="4" t="str" cm="1">
        <f t="array" ref="C1211">IFERROR(INDEX(EmployeeData[Full Name], ROW() - 37), "")</f>
        <v/>
      </c>
      <c r="D1211" s="4" t="str" cm="1">
        <f t="array" ref="D1211">IFERROR(INDEX(EmployeeData[Department], ROW() - 37), "")</f>
        <v/>
      </c>
      <c r="E1211" s="4" t="str" cm="1">
        <f t="array" ref="E1211">IFERROR(INDEX(EmployeeData[Gender], ROW() - 37), "")</f>
        <v/>
      </c>
      <c r="F1211" s="4" t="str" cm="1">
        <f t="array" ref="F1211">IFERROR(INDEX(EmployeeData[Age], ROW() - 37), "")</f>
        <v/>
      </c>
      <c r="G1211" s="6" t="str" cm="1">
        <f t="array" ref="G1211">IFERROR(INDEX(EmployeeData[Join Date], ROW() - 37), "")</f>
        <v/>
      </c>
      <c r="H1211" s="6" t="str" cm="1">
        <f t="array" ref="H1211">IFERROR(IF(INDEX(EmployeeData[Exit Date], ROW() - 37)=0, "",INDEX(EmployeeData[Exit Date], ROW() - 37)),"")</f>
        <v/>
      </c>
      <c r="I1211" s="4" t="str" cm="1">
        <f t="array" ref="I1211">IFERROR(IF(INDEX(EmployeeData[Exit Reason], ROW() - 37)=0, "",INDEX(EmployeeData[Exit Reason], ROW() - 37)),"")</f>
        <v/>
      </c>
      <c r="J1211" s="4" t="str" cm="1">
        <f t="array" ref="J1211">IFERROR(INDEX(EmployeeData[Status], ROW() - 37), "")</f>
        <v/>
      </c>
    </row>
    <row r="1212" spans="2:10" ht="19.95" customHeight="1" x14ac:dyDescent="0.3">
      <c r="B1212" s="4" t="str" cm="1">
        <f t="array" ref="B1212">IFERROR(INDEX(EmployeeData[Employee ID], ROW() - 37), "")</f>
        <v/>
      </c>
      <c r="C1212" s="4" t="str" cm="1">
        <f t="array" ref="C1212">IFERROR(INDEX(EmployeeData[Full Name], ROW() - 37), "")</f>
        <v/>
      </c>
      <c r="D1212" s="4" t="str" cm="1">
        <f t="array" ref="D1212">IFERROR(INDEX(EmployeeData[Department], ROW() - 37), "")</f>
        <v/>
      </c>
      <c r="E1212" s="4" t="str" cm="1">
        <f t="array" ref="E1212">IFERROR(INDEX(EmployeeData[Gender], ROW() - 37), "")</f>
        <v/>
      </c>
      <c r="F1212" s="4" t="str" cm="1">
        <f t="array" ref="F1212">IFERROR(INDEX(EmployeeData[Age], ROW() - 37), "")</f>
        <v/>
      </c>
      <c r="G1212" s="6" t="str" cm="1">
        <f t="array" ref="G1212">IFERROR(INDEX(EmployeeData[Join Date], ROW() - 37), "")</f>
        <v/>
      </c>
      <c r="H1212" s="6" t="str" cm="1">
        <f t="array" ref="H1212">IFERROR(IF(INDEX(EmployeeData[Exit Date], ROW() - 37)=0, "",INDEX(EmployeeData[Exit Date], ROW() - 37)),"")</f>
        <v/>
      </c>
      <c r="I1212" s="4" t="str" cm="1">
        <f t="array" ref="I1212">IFERROR(IF(INDEX(EmployeeData[Exit Reason], ROW() - 37)=0, "",INDEX(EmployeeData[Exit Reason], ROW() - 37)),"")</f>
        <v/>
      </c>
      <c r="J1212" s="4" t="str" cm="1">
        <f t="array" ref="J1212">IFERROR(INDEX(EmployeeData[Status], ROW() - 37), "")</f>
        <v/>
      </c>
    </row>
    <row r="1213" spans="2:10" ht="19.95" customHeight="1" x14ac:dyDescent="0.3">
      <c r="B1213" s="4" t="str" cm="1">
        <f t="array" ref="B1213">IFERROR(INDEX(EmployeeData[Employee ID], ROW() - 37), "")</f>
        <v/>
      </c>
      <c r="C1213" s="4" t="str" cm="1">
        <f t="array" ref="C1213">IFERROR(INDEX(EmployeeData[Full Name], ROW() - 37), "")</f>
        <v/>
      </c>
      <c r="D1213" s="4" t="str" cm="1">
        <f t="array" ref="D1213">IFERROR(INDEX(EmployeeData[Department], ROW() - 37), "")</f>
        <v/>
      </c>
      <c r="E1213" s="4" t="str" cm="1">
        <f t="array" ref="E1213">IFERROR(INDEX(EmployeeData[Gender], ROW() - 37), "")</f>
        <v/>
      </c>
      <c r="F1213" s="4" t="str" cm="1">
        <f t="array" ref="F1213">IFERROR(INDEX(EmployeeData[Age], ROW() - 37), "")</f>
        <v/>
      </c>
      <c r="G1213" s="6" t="str" cm="1">
        <f t="array" ref="G1213">IFERROR(INDEX(EmployeeData[Join Date], ROW() - 37), "")</f>
        <v/>
      </c>
      <c r="H1213" s="6" t="str" cm="1">
        <f t="array" ref="H1213">IFERROR(IF(INDEX(EmployeeData[Exit Date], ROW() - 37)=0, "",INDEX(EmployeeData[Exit Date], ROW() - 37)),"")</f>
        <v/>
      </c>
      <c r="I1213" s="4" t="str" cm="1">
        <f t="array" ref="I1213">IFERROR(IF(INDEX(EmployeeData[Exit Reason], ROW() - 37)=0, "",INDEX(EmployeeData[Exit Reason], ROW() - 37)),"")</f>
        <v/>
      </c>
      <c r="J1213" s="4" t="str" cm="1">
        <f t="array" ref="J1213">IFERROR(INDEX(EmployeeData[Status], ROW() - 37), "")</f>
        <v/>
      </c>
    </row>
    <row r="1214" spans="2:10" ht="19.95" customHeight="1" x14ac:dyDescent="0.3">
      <c r="B1214" s="4" t="str" cm="1">
        <f t="array" ref="B1214">IFERROR(INDEX(EmployeeData[Employee ID], ROW() - 37), "")</f>
        <v/>
      </c>
      <c r="C1214" s="4" t="str" cm="1">
        <f t="array" ref="C1214">IFERROR(INDEX(EmployeeData[Full Name], ROW() - 37), "")</f>
        <v/>
      </c>
      <c r="D1214" s="4" t="str" cm="1">
        <f t="array" ref="D1214">IFERROR(INDEX(EmployeeData[Department], ROW() - 37), "")</f>
        <v/>
      </c>
      <c r="E1214" s="4" t="str" cm="1">
        <f t="array" ref="E1214">IFERROR(INDEX(EmployeeData[Gender], ROW() - 37), "")</f>
        <v/>
      </c>
      <c r="F1214" s="4" t="str" cm="1">
        <f t="array" ref="F1214">IFERROR(INDEX(EmployeeData[Age], ROW() - 37), "")</f>
        <v/>
      </c>
      <c r="G1214" s="6" t="str" cm="1">
        <f t="array" ref="G1214">IFERROR(INDEX(EmployeeData[Join Date], ROW() - 37), "")</f>
        <v/>
      </c>
      <c r="H1214" s="6" t="str" cm="1">
        <f t="array" ref="H1214">IFERROR(IF(INDEX(EmployeeData[Exit Date], ROW() - 37)=0, "",INDEX(EmployeeData[Exit Date], ROW() - 37)),"")</f>
        <v/>
      </c>
      <c r="I1214" s="4" t="str" cm="1">
        <f t="array" ref="I1214">IFERROR(IF(INDEX(EmployeeData[Exit Reason], ROW() - 37)=0, "",INDEX(EmployeeData[Exit Reason], ROW() - 37)),"")</f>
        <v/>
      </c>
      <c r="J1214" s="4" t="str" cm="1">
        <f t="array" ref="J1214">IFERROR(INDEX(EmployeeData[Status], ROW() - 37), "")</f>
        <v/>
      </c>
    </row>
    <row r="1215" spans="2:10" ht="19.95" customHeight="1" x14ac:dyDescent="0.3">
      <c r="B1215" s="4" t="str" cm="1">
        <f t="array" ref="B1215">IFERROR(INDEX(EmployeeData[Employee ID], ROW() - 37), "")</f>
        <v/>
      </c>
      <c r="C1215" s="4" t="str" cm="1">
        <f t="array" ref="C1215">IFERROR(INDEX(EmployeeData[Full Name], ROW() - 37), "")</f>
        <v/>
      </c>
      <c r="D1215" s="4" t="str" cm="1">
        <f t="array" ref="D1215">IFERROR(INDEX(EmployeeData[Department], ROW() - 37), "")</f>
        <v/>
      </c>
      <c r="E1215" s="4" t="str" cm="1">
        <f t="array" ref="E1215">IFERROR(INDEX(EmployeeData[Gender], ROW() - 37), "")</f>
        <v/>
      </c>
      <c r="F1215" s="4" t="str" cm="1">
        <f t="array" ref="F1215">IFERROR(INDEX(EmployeeData[Age], ROW() - 37), "")</f>
        <v/>
      </c>
      <c r="G1215" s="6" t="str" cm="1">
        <f t="array" ref="G1215">IFERROR(INDEX(EmployeeData[Join Date], ROW() - 37), "")</f>
        <v/>
      </c>
      <c r="H1215" s="6" t="str" cm="1">
        <f t="array" ref="H1215">IFERROR(IF(INDEX(EmployeeData[Exit Date], ROW() - 37)=0, "",INDEX(EmployeeData[Exit Date], ROW() - 37)),"")</f>
        <v/>
      </c>
      <c r="I1215" s="4" t="str" cm="1">
        <f t="array" ref="I1215">IFERROR(IF(INDEX(EmployeeData[Exit Reason], ROW() - 37)=0, "",INDEX(EmployeeData[Exit Reason], ROW() - 37)),"")</f>
        <v/>
      </c>
      <c r="J1215" s="4" t="str" cm="1">
        <f t="array" ref="J1215">IFERROR(INDEX(EmployeeData[Status], ROW() - 37), "")</f>
        <v/>
      </c>
    </row>
    <row r="1216" spans="2:10" ht="19.95" customHeight="1" x14ac:dyDescent="0.3">
      <c r="B1216" s="4" t="str" cm="1">
        <f t="array" ref="B1216">IFERROR(INDEX(EmployeeData[Employee ID], ROW() - 37), "")</f>
        <v/>
      </c>
      <c r="C1216" s="4" t="str" cm="1">
        <f t="array" ref="C1216">IFERROR(INDEX(EmployeeData[Full Name], ROW() - 37), "")</f>
        <v/>
      </c>
      <c r="D1216" s="4" t="str" cm="1">
        <f t="array" ref="D1216">IFERROR(INDEX(EmployeeData[Department], ROW() - 37), "")</f>
        <v/>
      </c>
      <c r="E1216" s="4" t="str" cm="1">
        <f t="array" ref="E1216">IFERROR(INDEX(EmployeeData[Gender], ROW() - 37), "")</f>
        <v/>
      </c>
      <c r="F1216" s="4" t="str" cm="1">
        <f t="array" ref="F1216">IFERROR(INDEX(EmployeeData[Age], ROW() - 37), "")</f>
        <v/>
      </c>
      <c r="G1216" s="6" t="str" cm="1">
        <f t="array" ref="G1216">IFERROR(INDEX(EmployeeData[Join Date], ROW() - 37), "")</f>
        <v/>
      </c>
      <c r="H1216" s="6" t="str" cm="1">
        <f t="array" ref="H1216">IFERROR(IF(INDEX(EmployeeData[Exit Date], ROW() - 37)=0, "",INDEX(EmployeeData[Exit Date], ROW() - 37)),"")</f>
        <v/>
      </c>
      <c r="I1216" s="4" t="str" cm="1">
        <f t="array" ref="I1216">IFERROR(IF(INDEX(EmployeeData[Exit Reason], ROW() - 37)=0, "",INDEX(EmployeeData[Exit Reason], ROW() - 37)),"")</f>
        <v/>
      </c>
      <c r="J1216" s="4" t="str" cm="1">
        <f t="array" ref="J1216">IFERROR(INDEX(EmployeeData[Status], ROW() - 37), "")</f>
        <v/>
      </c>
    </row>
    <row r="1217" spans="2:10" ht="19.95" customHeight="1" x14ac:dyDescent="0.3">
      <c r="B1217" s="4" t="str" cm="1">
        <f t="array" ref="B1217">IFERROR(INDEX(EmployeeData[Employee ID], ROW() - 37), "")</f>
        <v/>
      </c>
      <c r="C1217" s="4" t="str" cm="1">
        <f t="array" ref="C1217">IFERROR(INDEX(EmployeeData[Full Name], ROW() - 37), "")</f>
        <v/>
      </c>
      <c r="D1217" s="4" t="str" cm="1">
        <f t="array" ref="D1217">IFERROR(INDEX(EmployeeData[Department], ROW() - 37), "")</f>
        <v/>
      </c>
      <c r="E1217" s="4" t="str" cm="1">
        <f t="array" ref="E1217">IFERROR(INDEX(EmployeeData[Gender], ROW() - 37), "")</f>
        <v/>
      </c>
      <c r="F1217" s="4" t="str" cm="1">
        <f t="array" ref="F1217">IFERROR(INDEX(EmployeeData[Age], ROW() - 37), "")</f>
        <v/>
      </c>
      <c r="G1217" s="6" t="str" cm="1">
        <f t="array" ref="G1217">IFERROR(INDEX(EmployeeData[Join Date], ROW() - 37), "")</f>
        <v/>
      </c>
      <c r="H1217" s="6" t="str" cm="1">
        <f t="array" ref="H1217">IFERROR(IF(INDEX(EmployeeData[Exit Date], ROW() - 37)=0, "",INDEX(EmployeeData[Exit Date], ROW() - 37)),"")</f>
        <v/>
      </c>
      <c r="I1217" s="4" t="str" cm="1">
        <f t="array" ref="I1217">IFERROR(IF(INDEX(EmployeeData[Exit Reason], ROW() - 37)=0, "",INDEX(EmployeeData[Exit Reason], ROW() - 37)),"")</f>
        <v/>
      </c>
      <c r="J1217" s="4" t="str" cm="1">
        <f t="array" ref="J1217">IFERROR(INDEX(EmployeeData[Status], ROW() - 37), "")</f>
        <v/>
      </c>
    </row>
    <row r="1218" spans="2:10" ht="19.95" customHeight="1" x14ac:dyDescent="0.3">
      <c r="B1218" s="4" t="str" cm="1">
        <f t="array" ref="B1218">IFERROR(INDEX(EmployeeData[Employee ID], ROW() - 37), "")</f>
        <v/>
      </c>
      <c r="C1218" s="4" t="str" cm="1">
        <f t="array" ref="C1218">IFERROR(INDEX(EmployeeData[Full Name], ROW() - 37), "")</f>
        <v/>
      </c>
      <c r="D1218" s="4" t="str" cm="1">
        <f t="array" ref="D1218">IFERROR(INDEX(EmployeeData[Department], ROW() - 37), "")</f>
        <v/>
      </c>
      <c r="E1218" s="4" t="str" cm="1">
        <f t="array" ref="E1218">IFERROR(INDEX(EmployeeData[Gender], ROW() - 37), "")</f>
        <v/>
      </c>
      <c r="F1218" s="4" t="str" cm="1">
        <f t="array" ref="F1218">IFERROR(INDEX(EmployeeData[Age], ROW() - 37), "")</f>
        <v/>
      </c>
      <c r="G1218" s="6" t="str" cm="1">
        <f t="array" ref="G1218">IFERROR(INDEX(EmployeeData[Join Date], ROW() - 37), "")</f>
        <v/>
      </c>
      <c r="H1218" s="6" t="str" cm="1">
        <f t="array" ref="H1218">IFERROR(IF(INDEX(EmployeeData[Exit Date], ROW() - 37)=0, "",INDEX(EmployeeData[Exit Date], ROW() - 37)),"")</f>
        <v/>
      </c>
      <c r="I1218" s="4" t="str" cm="1">
        <f t="array" ref="I1218">IFERROR(IF(INDEX(EmployeeData[Exit Reason], ROW() - 37)=0, "",INDEX(EmployeeData[Exit Reason], ROW() - 37)),"")</f>
        <v/>
      </c>
      <c r="J1218" s="4" t="str" cm="1">
        <f t="array" ref="J1218">IFERROR(INDEX(EmployeeData[Status], ROW() - 37), "")</f>
        <v/>
      </c>
    </row>
    <row r="1219" spans="2:10" ht="19.95" customHeight="1" x14ac:dyDescent="0.3">
      <c r="B1219" s="4" t="str" cm="1">
        <f t="array" ref="B1219">IFERROR(INDEX(EmployeeData[Employee ID], ROW() - 37), "")</f>
        <v/>
      </c>
      <c r="C1219" s="4" t="str" cm="1">
        <f t="array" ref="C1219">IFERROR(INDEX(EmployeeData[Full Name], ROW() - 37), "")</f>
        <v/>
      </c>
      <c r="D1219" s="4" t="str" cm="1">
        <f t="array" ref="D1219">IFERROR(INDEX(EmployeeData[Department], ROW() - 37), "")</f>
        <v/>
      </c>
      <c r="E1219" s="4" t="str" cm="1">
        <f t="array" ref="E1219">IFERROR(INDEX(EmployeeData[Gender], ROW() - 37), "")</f>
        <v/>
      </c>
      <c r="F1219" s="4" t="str" cm="1">
        <f t="array" ref="F1219">IFERROR(INDEX(EmployeeData[Age], ROW() - 37), "")</f>
        <v/>
      </c>
      <c r="G1219" s="6" t="str" cm="1">
        <f t="array" ref="G1219">IFERROR(INDEX(EmployeeData[Join Date], ROW() - 37), "")</f>
        <v/>
      </c>
      <c r="H1219" s="6" t="str" cm="1">
        <f t="array" ref="H1219">IFERROR(IF(INDEX(EmployeeData[Exit Date], ROW() - 37)=0, "",INDEX(EmployeeData[Exit Date], ROW() - 37)),"")</f>
        <v/>
      </c>
      <c r="I1219" s="4" t="str" cm="1">
        <f t="array" ref="I1219">IFERROR(IF(INDEX(EmployeeData[Exit Reason], ROW() - 37)=0, "",INDEX(EmployeeData[Exit Reason], ROW() - 37)),"")</f>
        <v/>
      </c>
      <c r="J1219" s="4" t="str" cm="1">
        <f t="array" ref="J1219">IFERROR(INDEX(EmployeeData[Status], ROW() - 37), "")</f>
        <v/>
      </c>
    </row>
    <row r="1220" spans="2:10" ht="19.95" customHeight="1" x14ac:dyDescent="0.3">
      <c r="B1220" s="4" t="str" cm="1">
        <f t="array" ref="B1220">IFERROR(INDEX(EmployeeData[Employee ID], ROW() - 37), "")</f>
        <v/>
      </c>
      <c r="C1220" s="4" t="str" cm="1">
        <f t="array" ref="C1220">IFERROR(INDEX(EmployeeData[Full Name], ROW() - 37), "")</f>
        <v/>
      </c>
      <c r="D1220" s="4" t="str" cm="1">
        <f t="array" ref="D1220">IFERROR(INDEX(EmployeeData[Department], ROW() - 37), "")</f>
        <v/>
      </c>
      <c r="E1220" s="4" t="str" cm="1">
        <f t="array" ref="E1220">IFERROR(INDEX(EmployeeData[Gender], ROW() - 37), "")</f>
        <v/>
      </c>
      <c r="F1220" s="4" t="str" cm="1">
        <f t="array" ref="F1220">IFERROR(INDEX(EmployeeData[Age], ROW() - 37), "")</f>
        <v/>
      </c>
      <c r="G1220" s="6" t="str" cm="1">
        <f t="array" ref="G1220">IFERROR(INDEX(EmployeeData[Join Date], ROW() - 37), "")</f>
        <v/>
      </c>
      <c r="H1220" s="6" t="str" cm="1">
        <f t="array" ref="H1220">IFERROR(IF(INDEX(EmployeeData[Exit Date], ROW() - 37)=0, "",INDEX(EmployeeData[Exit Date], ROW() - 37)),"")</f>
        <v/>
      </c>
      <c r="I1220" s="4" t="str" cm="1">
        <f t="array" ref="I1220">IFERROR(IF(INDEX(EmployeeData[Exit Reason], ROW() - 37)=0, "",INDEX(EmployeeData[Exit Reason], ROW() - 37)),"")</f>
        <v/>
      </c>
      <c r="J1220" s="4" t="str" cm="1">
        <f t="array" ref="J1220">IFERROR(INDEX(EmployeeData[Status], ROW() - 37), "")</f>
        <v/>
      </c>
    </row>
    <row r="1221" spans="2:10" ht="19.95" customHeight="1" x14ac:dyDescent="0.3">
      <c r="B1221" s="4" t="str" cm="1">
        <f t="array" ref="B1221">IFERROR(INDEX(EmployeeData[Employee ID], ROW() - 37), "")</f>
        <v/>
      </c>
      <c r="C1221" s="4" t="str" cm="1">
        <f t="array" ref="C1221">IFERROR(INDEX(EmployeeData[Full Name], ROW() - 37), "")</f>
        <v/>
      </c>
      <c r="D1221" s="4" t="str" cm="1">
        <f t="array" ref="D1221">IFERROR(INDEX(EmployeeData[Department], ROW() - 37), "")</f>
        <v/>
      </c>
      <c r="E1221" s="4" t="str" cm="1">
        <f t="array" ref="E1221">IFERROR(INDEX(EmployeeData[Gender], ROW() - 37), "")</f>
        <v/>
      </c>
      <c r="F1221" s="4" t="str" cm="1">
        <f t="array" ref="F1221">IFERROR(INDEX(EmployeeData[Age], ROW() - 37), "")</f>
        <v/>
      </c>
      <c r="G1221" s="6" t="str" cm="1">
        <f t="array" ref="G1221">IFERROR(INDEX(EmployeeData[Join Date], ROW() - 37), "")</f>
        <v/>
      </c>
      <c r="H1221" s="6" t="str" cm="1">
        <f t="array" ref="H1221">IFERROR(IF(INDEX(EmployeeData[Exit Date], ROW() - 37)=0, "",INDEX(EmployeeData[Exit Date], ROW() - 37)),"")</f>
        <v/>
      </c>
      <c r="I1221" s="4" t="str" cm="1">
        <f t="array" ref="I1221">IFERROR(IF(INDEX(EmployeeData[Exit Reason], ROW() - 37)=0, "",INDEX(EmployeeData[Exit Reason], ROW() - 37)),"")</f>
        <v/>
      </c>
      <c r="J1221" s="4" t="str" cm="1">
        <f t="array" ref="J1221">IFERROR(INDEX(EmployeeData[Status], ROW() - 37), "")</f>
        <v/>
      </c>
    </row>
    <row r="1222" spans="2:10" ht="19.95" customHeight="1" x14ac:dyDescent="0.3">
      <c r="B1222" s="4" t="str" cm="1">
        <f t="array" ref="B1222">IFERROR(INDEX(EmployeeData[Employee ID], ROW() - 37), "")</f>
        <v/>
      </c>
      <c r="C1222" s="4" t="str" cm="1">
        <f t="array" ref="C1222">IFERROR(INDEX(EmployeeData[Full Name], ROW() - 37), "")</f>
        <v/>
      </c>
      <c r="D1222" s="4" t="str" cm="1">
        <f t="array" ref="D1222">IFERROR(INDEX(EmployeeData[Department], ROW() - 37), "")</f>
        <v/>
      </c>
      <c r="E1222" s="4" t="str" cm="1">
        <f t="array" ref="E1222">IFERROR(INDEX(EmployeeData[Gender], ROW() - 37), "")</f>
        <v/>
      </c>
      <c r="F1222" s="4" t="str" cm="1">
        <f t="array" ref="F1222">IFERROR(INDEX(EmployeeData[Age], ROW() - 37), "")</f>
        <v/>
      </c>
      <c r="G1222" s="6" t="str" cm="1">
        <f t="array" ref="G1222">IFERROR(INDEX(EmployeeData[Join Date], ROW() - 37), "")</f>
        <v/>
      </c>
      <c r="H1222" s="6" t="str" cm="1">
        <f t="array" ref="H1222">IFERROR(IF(INDEX(EmployeeData[Exit Date], ROW() - 37)=0, "",INDEX(EmployeeData[Exit Date], ROW() - 37)),"")</f>
        <v/>
      </c>
      <c r="I1222" s="4" t="str" cm="1">
        <f t="array" ref="I1222">IFERROR(IF(INDEX(EmployeeData[Exit Reason], ROW() - 37)=0, "",INDEX(EmployeeData[Exit Reason], ROW() - 37)),"")</f>
        <v/>
      </c>
      <c r="J1222" s="4" t="str" cm="1">
        <f t="array" ref="J1222">IFERROR(INDEX(EmployeeData[Status], ROW() - 37), "")</f>
        <v/>
      </c>
    </row>
    <row r="1223" spans="2:10" ht="19.95" customHeight="1" x14ac:dyDescent="0.3">
      <c r="B1223" s="4" t="str" cm="1">
        <f t="array" ref="B1223">IFERROR(INDEX(EmployeeData[Employee ID], ROW() - 37), "")</f>
        <v/>
      </c>
      <c r="C1223" s="4" t="str" cm="1">
        <f t="array" ref="C1223">IFERROR(INDEX(EmployeeData[Full Name], ROW() - 37), "")</f>
        <v/>
      </c>
      <c r="D1223" s="4" t="str" cm="1">
        <f t="array" ref="D1223">IFERROR(INDEX(EmployeeData[Department], ROW() - 37), "")</f>
        <v/>
      </c>
      <c r="E1223" s="4" t="str" cm="1">
        <f t="array" ref="E1223">IFERROR(INDEX(EmployeeData[Gender], ROW() - 37), "")</f>
        <v/>
      </c>
      <c r="F1223" s="4" t="str" cm="1">
        <f t="array" ref="F1223">IFERROR(INDEX(EmployeeData[Age], ROW() - 37), "")</f>
        <v/>
      </c>
      <c r="G1223" s="6" t="str" cm="1">
        <f t="array" ref="G1223">IFERROR(INDEX(EmployeeData[Join Date], ROW() - 37), "")</f>
        <v/>
      </c>
      <c r="H1223" s="6" t="str" cm="1">
        <f t="array" ref="H1223">IFERROR(IF(INDEX(EmployeeData[Exit Date], ROW() - 37)=0, "",INDEX(EmployeeData[Exit Date], ROW() - 37)),"")</f>
        <v/>
      </c>
      <c r="I1223" s="4" t="str" cm="1">
        <f t="array" ref="I1223">IFERROR(IF(INDEX(EmployeeData[Exit Reason], ROW() - 37)=0, "",INDEX(EmployeeData[Exit Reason], ROW() - 37)),"")</f>
        <v/>
      </c>
      <c r="J1223" s="4" t="str" cm="1">
        <f t="array" ref="J1223">IFERROR(INDEX(EmployeeData[Status], ROW() - 37), "")</f>
        <v/>
      </c>
    </row>
    <row r="1224" spans="2:10" ht="19.95" customHeight="1" x14ac:dyDescent="0.3">
      <c r="B1224" s="4" t="str" cm="1">
        <f t="array" ref="B1224">IFERROR(INDEX(EmployeeData[Employee ID], ROW() - 37), "")</f>
        <v/>
      </c>
      <c r="C1224" s="4" t="str" cm="1">
        <f t="array" ref="C1224">IFERROR(INDEX(EmployeeData[Full Name], ROW() - 37), "")</f>
        <v/>
      </c>
      <c r="D1224" s="4" t="str" cm="1">
        <f t="array" ref="D1224">IFERROR(INDEX(EmployeeData[Department], ROW() - 37), "")</f>
        <v/>
      </c>
      <c r="E1224" s="4" t="str" cm="1">
        <f t="array" ref="E1224">IFERROR(INDEX(EmployeeData[Gender], ROW() - 37), "")</f>
        <v/>
      </c>
      <c r="F1224" s="4" t="str" cm="1">
        <f t="array" ref="F1224">IFERROR(INDEX(EmployeeData[Age], ROW() - 37), "")</f>
        <v/>
      </c>
      <c r="G1224" s="6" t="str" cm="1">
        <f t="array" ref="G1224">IFERROR(INDEX(EmployeeData[Join Date], ROW() - 37), "")</f>
        <v/>
      </c>
      <c r="H1224" s="6" t="str" cm="1">
        <f t="array" ref="H1224">IFERROR(IF(INDEX(EmployeeData[Exit Date], ROW() - 37)=0, "",INDEX(EmployeeData[Exit Date], ROW() - 37)),"")</f>
        <v/>
      </c>
      <c r="I1224" s="4" t="str" cm="1">
        <f t="array" ref="I1224">IFERROR(IF(INDEX(EmployeeData[Exit Reason], ROW() - 37)=0, "",INDEX(EmployeeData[Exit Reason], ROW() - 37)),"")</f>
        <v/>
      </c>
      <c r="J1224" s="4" t="str" cm="1">
        <f t="array" ref="J1224">IFERROR(INDEX(EmployeeData[Status], ROW() - 37), "")</f>
        <v/>
      </c>
    </row>
    <row r="1225" spans="2:10" ht="19.95" customHeight="1" x14ac:dyDescent="0.3">
      <c r="B1225" s="4" t="str" cm="1">
        <f t="array" ref="B1225">IFERROR(INDEX(EmployeeData[Employee ID], ROW() - 37), "")</f>
        <v/>
      </c>
      <c r="C1225" s="4" t="str" cm="1">
        <f t="array" ref="C1225">IFERROR(INDEX(EmployeeData[Full Name], ROW() - 37), "")</f>
        <v/>
      </c>
      <c r="D1225" s="4" t="str" cm="1">
        <f t="array" ref="D1225">IFERROR(INDEX(EmployeeData[Department], ROW() - 37), "")</f>
        <v/>
      </c>
      <c r="E1225" s="4" t="str" cm="1">
        <f t="array" ref="E1225">IFERROR(INDEX(EmployeeData[Gender], ROW() - 37), "")</f>
        <v/>
      </c>
      <c r="F1225" s="4" t="str" cm="1">
        <f t="array" ref="F1225">IFERROR(INDEX(EmployeeData[Age], ROW() - 37), "")</f>
        <v/>
      </c>
      <c r="G1225" s="6" t="str" cm="1">
        <f t="array" ref="G1225">IFERROR(INDEX(EmployeeData[Join Date], ROW() - 37), "")</f>
        <v/>
      </c>
      <c r="H1225" s="6" t="str" cm="1">
        <f t="array" ref="H1225">IFERROR(IF(INDEX(EmployeeData[Exit Date], ROW() - 37)=0, "",INDEX(EmployeeData[Exit Date], ROW() - 37)),"")</f>
        <v/>
      </c>
      <c r="I1225" s="4" t="str" cm="1">
        <f t="array" ref="I1225">IFERROR(IF(INDEX(EmployeeData[Exit Reason], ROW() - 37)=0, "",INDEX(EmployeeData[Exit Reason], ROW() - 37)),"")</f>
        <v/>
      </c>
      <c r="J1225" s="4" t="str" cm="1">
        <f t="array" ref="J1225">IFERROR(INDEX(EmployeeData[Status], ROW() - 37), "")</f>
        <v/>
      </c>
    </row>
    <row r="1226" spans="2:10" ht="19.95" customHeight="1" x14ac:dyDescent="0.3">
      <c r="B1226" s="4" t="str" cm="1">
        <f t="array" ref="B1226">IFERROR(INDEX(EmployeeData[Employee ID], ROW() - 37), "")</f>
        <v/>
      </c>
      <c r="C1226" s="4" t="str" cm="1">
        <f t="array" ref="C1226">IFERROR(INDEX(EmployeeData[Full Name], ROW() - 37), "")</f>
        <v/>
      </c>
      <c r="D1226" s="4" t="str" cm="1">
        <f t="array" ref="D1226">IFERROR(INDEX(EmployeeData[Department], ROW() - 37), "")</f>
        <v/>
      </c>
      <c r="E1226" s="4" t="str" cm="1">
        <f t="array" ref="E1226">IFERROR(INDEX(EmployeeData[Gender], ROW() - 37), "")</f>
        <v/>
      </c>
      <c r="F1226" s="4" t="str" cm="1">
        <f t="array" ref="F1226">IFERROR(INDEX(EmployeeData[Age], ROW() - 37), "")</f>
        <v/>
      </c>
      <c r="G1226" s="6" t="str" cm="1">
        <f t="array" ref="G1226">IFERROR(INDEX(EmployeeData[Join Date], ROW() - 37), "")</f>
        <v/>
      </c>
      <c r="H1226" s="6" t="str" cm="1">
        <f t="array" ref="H1226">IFERROR(IF(INDEX(EmployeeData[Exit Date], ROW() - 37)=0, "",INDEX(EmployeeData[Exit Date], ROW() - 37)),"")</f>
        <v/>
      </c>
      <c r="I1226" s="4" t="str" cm="1">
        <f t="array" ref="I1226">IFERROR(IF(INDEX(EmployeeData[Exit Reason], ROW() - 37)=0, "",INDEX(EmployeeData[Exit Reason], ROW() - 37)),"")</f>
        <v/>
      </c>
      <c r="J1226" s="4" t="str" cm="1">
        <f t="array" ref="J1226">IFERROR(INDEX(EmployeeData[Status], ROW() - 37), "")</f>
        <v/>
      </c>
    </row>
    <row r="1227" spans="2:10" ht="19.95" customHeight="1" x14ac:dyDescent="0.3">
      <c r="B1227" s="4" t="str" cm="1">
        <f t="array" ref="B1227">IFERROR(INDEX(EmployeeData[Employee ID], ROW() - 37), "")</f>
        <v/>
      </c>
      <c r="C1227" s="4" t="str" cm="1">
        <f t="array" ref="C1227">IFERROR(INDEX(EmployeeData[Full Name], ROW() - 37), "")</f>
        <v/>
      </c>
      <c r="D1227" s="4" t="str" cm="1">
        <f t="array" ref="D1227">IFERROR(INDEX(EmployeeData[Department], ROW() - 37), "")</f>
        <v/>
      </c>
      <c r="E1227" s="4" t="str" cm="1">
        <f t="array" ref="E1227">IFERROR(INDEX(EmployeeData[Gender], ROW() - 37), "")</f>
        <v/>
      </c>
      <c r="F1227" s="4" t="str" cm="1">
        <f t="array" ref="F1227">IFERROR(INDEX(EmployeeData[Age], ROW() - 37), "")</f>
        <v/>
      </c>
      <c r="G1227" s="6" t="str" cm="1">
        <f t="array" ref="G1227">IFERROR(INDEX(EmployeeData[Join Date], ROW() - 37), "")</f>
        <v/>
      </c>
      <c r="H1227" s="6" t="str" cm="1">
        <f t="array" ref="H1227">IFERROR(IF(INDEX(EmployeeData[Exit Date], ROW() - 37)=0, "",INDEX(EmployeeData[Exit Date], ROW() - 37)),"")</f>
        <v/>
      </c>
      <c r="I1227" s="4" t="str" cm="1">
        <f t="array" ref="I1227">IFERROR(IF(INDEX(EmployeeData[Exit Reason], ROW() - 37)=0, "",INDEX(EmployeeData[Exit Reason], ROW() - 37)),"")</f>
        <v/>
      </c>
      <c r="J1227" s="4" t="str" cm="1">
        <f t="array" ref="J1227">IFERROR(INDEX(EmployeeData[Status], ROW() - 37), "")</f>
        <v/>
      </c>
    </row>
    <row r="1228" spans="2:10" ht="19.95" customHeight="1" x14ac:dyDescent="0.3">
      <c r="B1228" s="4" t="str" cm="1">
        <f t="array" ref="B1228">IFERROR(INDEX(EmployeeData[Employee ID], ROW() - 37), "")</f>
        <v/>
      </c>
      <c r="C1228" s="4" t="str" cm="1">
        <f t="array" ref="C1228">IFERROR(INDEX(EmployeeData[Full Name], ROW() - 37), "")</f>
        <v/>
      </c>
      <c r="D1228" s="4" t="str" cm="1">
        <f t="array" ref="D1228">IFERROR(INDEX(EmployeeData[Department], ROW() - 37), "")</f>
        <v/>
      </c>
      <c r="E1228" s="4" t="str" cm="1">
        <f t="array" ref="E1228">IFERROR(INDEX(EmployeeData[Gender], ROW() - 37), "")</f>
        <v/>
      </c>
      <c r="F1228" s="4" t="str" cm="1">
        <f t="array" ref="F1228">IFERROR(INDEX(EmployeeData[Age], ROW() - 37), "")</f>
        <v/>
      </c>
      <c r="G1228" s="6" t="str" cm="1">
        <f t="array" ref="G1228">IFERROR(INDEX(EmployeeData[Join Date], ROW() - 37), "")</f>
        <v/>
      </c>
      <c r="H1228" s="6" t="str" cm="1">
        <f t="array" ref="H1228">IFERROR(IF(INDEX(EmployeeData[Exit Date], ROW() - 37)=0, "",INDEX(EmployeeData[Exit Date], ROW() - 37)),"")</f>
        <v/>
      </c>
      <c r="I1228" s="4" t="str" cm="1">
        <f t="array" ref="I1228">IFERROR(IF(INDEX(EmployeeData[Exit Reason], ROW() - 37)=0, "",INDEX(EmployeeData[Exit Reason], ROW() - 37)),"")</f>
        <v/>
      </c>
      <c r="J1228" s="4" t="str" cm="1">
        <f t="array" ref="J1228">IFERROR(INDEX(EmployeeData[Status], ROW() - 37), "")</f>
        <v/>
      </c>
    </row>
    <row r="1229" spans="2:10" ht="19.95" customHeight="1" x14ac:dyDescent="0.3">
      <c r="B1229" s="4" t="str" cm="1">
        <f t="array" ref="B1229">IFERROR(INDEX(EmployeeData[Employee ID], ROW() - 37), "")</f>
        <v/>
      </c>
      <c r="C1229" s="4" t="str" cm="1">
        <f t="array" ref="C1229">IFERROR(INDEX(EmployeeData[Full Name], ROW() - 37), "")</f>
        <v/>
      </c>
      <c r="D1229" s="4" t="str" cm="1">
        <f t="array" ref="D1229">IFERROR(INDEX(EmployeeData[Department], ROW() - 37), "")</f>
        <v/>
      </c>
      <c r="E1229" s="4" t="str" cm="1">
        <f t="array" ref="E1229">IFERROR(INDEX(EmployeeData[Gender], ROW() - 37), "")</f>
        <v/>
      </c>
      <c r="F1229" s="4" t="str" cm="1">
        <f t="array" ref="F1229">IFERROR(INDEX(EmployeeData[Age], ROW() - 37), "")</f>
        <v/>
      </c>
      <c r="G1229" s="6" t="str" cm="1">
        <f t="array" ref="G1229">IFERROR(INDEX(EmployeeData[Join Date], ROW() - 37), "")</f>
        <v/>
      </c>
      <c r="H1229" s="6" t="str" cm="1">
        <f t="array" ref="H1229">IFERROR(IF(INDEX(EmployeeData[Exit Date], ROW() - 37)=0, "",INDEX(EmployeeData[Exit Date], ROW() - 37)),"")</f>
        <v/>
      </c>
      <c r="I1229" s="4" t="str" cm="1">
        <f t="array" ref="I1229">IFERROR(IF(INDEX(EmployeeData[Exit Reason], ROW() - 37)=0, "",INDEX(EmployeeData[Exit Reason], ROW() - 37)),"")</f>
        <v/>
      </c>
      <c r="J1229" s="4" t="str" cm="1">
        <f t="array" ref="J1229">IFERROR(INDEX(EmployeeData[Status], ROW() - 37), "")</f>
        <v/>
      </c>
    </row>
    <row r="1230" spans="2:10" ht="19.95" customHeight="1" x14ac:dyDescent="0.3">
      <c r="B1230" s="4" t="str" cm="1">
        <f t="array" ref="B1230">IFERROR(INDEX(EmployeeData[Employee ID], ROW() - 37), "")</f>
        <v/>
      </c>
      <c r="C1230" s="4" t="str" cm="1">
        <f t="array" ref="C1230">IFERROR(INDEX(EmployeeData[Full Name], ROW() - 37), "")</f>
        <v/>
      </c>
      <c r="D1230" s="4" t="str" cm="1">
        <f t="array" ref="D1230">IFERROR(INDEX(EmployeeData[Department], ROW() - 37), "")</f>
        <v/>
      </c>
      <c r="E1230" s="4" t="str" cm="1">
        <f t="array" ref="E1230">IFERROR(INDEX(EmployeeData[Gender], ROW() - 37), "")</f>
        <v/>
      </c>
      <c r="F1230" s="4" t="str" cm="1">
        <f t="array" ref="F1230">IFERROR(INDEX(EmployeeData[Age], ROW() - 37), "")</f>
        <v/>
      </c>
      <c r="G1230" s="6" t="str" cm="1">
        <f t="array" ref="G1230">IFERROR(INDEX(EmployeeData[Join Date], ROW() - 37), "")</f>
        <v/>
      </c>
      <c r="H1230" s="6" t="str" cm="1">
        <f t="array" ref="H1230">IFERROR(IF(INDEX(EmployeeData[Exit Date], ROW() - 37)=0, "",INDEX(EmployeeData[Exit Date], ROW() - 37)),"")</f>
        <v/>
      </c>
      <c r="I1230" s="4" t="str" cm="1">
        <f t="array" ref="I1230">IFERROR(IF(INDEX(EmployeeData[Exit Reason], ROW() - 37)=0, "",INDEX(EmployeeData[Exit Reason], ROW() - 37)),"")</f>
        <v/>
      </c>
      <c r="J1230" s="4" t="str" cm="1">
        <f t="array" ref="J1230">IFERROR(INDEX(EmployeeData[Status], ROW() - 37), "")</f>
        <v/>
      </c>
    </row>
    <row r="1231" spans="2:10" ht="19.95" customHeight="1" x14ac:dyDescent="0.3">
      <c r="B1231" s="4" t="str" cm="1">
        <f t="array" ref="B1231">IFERROR(INDEX(EmployeeData[Employee ID], ROW() - 37), "")</f>
        <v/>
      </c>
      <c r="C1231" s="4" t="str" cm="1">
        <f t="array" ref="C1231">IFERROR(INDEX(EmployeeData[Full Name], ROW() - 37), "")</f>
        <v/>
      </c>
      <c r="D1231" s="4" t="str" cm="1">
        <f t="array" ref="D1231">IFERROR(INDEX(EmployeeData[Department], ROW() - 37), "")</f>
        <v/>
      </c>
      <c r="E1231" s="4" t="str" cm="1">
        <f t="array" ref="E1231">IFERROR(INDEX(EmployeeData[Gender], ROW() - 37), "")</f>
        <v/>
      </c>
      <c r="F1231" s="4" t="str" cm="1">
        <f t="array" ref="F1231">IFERROR(INDEX(EmployeeData[Age], ROW() - 37), "")</f>
        <v/>
      </c>
      <c r="G1231" s="6" t="str" cm="1">
        <f t="array" ref="G1231">IFERROR(INDEX(EmployeeData[Join Date], ROW() - 37), "")</f>
        <v/>
      </c>
      <c r="H1231" s="6" t="str" cm="1">
        <f t="array" ref="H1231">IFERROR(IF(INDEX(EmployeeData[Exit Date], ROW() - 37)=0, "",INDEX(EmployeeData[Exit Date], ROW() - 37)),"")</f>
        <v/>
      </c>
      <c r="I1231" s="4" t="str" cm="1">
        <f t="array" ref="I1231">IFERROR(IF(INDEX(EmployeeData[Exit Reason], ROW() - 37)=0, "",INDEX(EmployeeData[Exit Reason], ROW() - 37)),"")</f>
        <v/>
      </c>
      <c r="J1231" s="4" t="str" cm="1">
        <f t="array" ref="J1231">IFERROR(INDEX(EmployeeData[Status], ROW() - 37), "")</f>
        <v/>
      </c>
    </row>
    <row r="1232" spans="2:10" ht="19.95" customHeight="1" x14ac:dyDescent="0.3">
      <c r="B1232" s="4" t="str" cm="1">
        <f t="array" ref="B1232">IFERROR(INDEX(EmployeeData[Employee ID], ROW() - 37), "")</f>
        <v/>
      </c>
      <c r="C1232" s="4" t="str" cm="1">
        <f t="array" ref="C1232">IFERROR(INDEX(EmployeeData[Full Name], ROW() - 37), "")</f>
        <v/>
      </c>
      <c r="D1232" s="4" t="str" cm="1">
        <f t="array" ref="D1232">IFERROR(INDEX(EmployeeData[Department], ROW() - 37), "")</f>
        <v/>
      </c>
      <c r="E1232" s="4" t="str" cm="1">
        <f t="array" ref="E1232">IFERROR(INDEX(EmployeeData[Gender], ROW() - 37), "")</f>
        <v/>
      </c>
      <c r="F1232" s="4" t="str" cm="1">
        <f t="array" ref="F1232">IFERROR(INDEX(EmployeeData[Age], ROW() - 37), "")</f>
        <v/>
      </c>
      <c r="G1232" s="6" t="str" cm="1">
        <f t="array" ref="G1232">IFERROR(INDEX(EmployeeData[Join Date], ROW() - 37), "")</f>
        <v/>
      </c>
      <c r="H1232" s="6" t="str" cm="1">
        <f t="array" ref="H1232">IFERROR(IF(INDEX(EmployeeData[Exit Date], ROW() - 37)=0, "",INDEX(EmployeeData[Exit Date], ROW() - 37)),"")</f>
        <v/>
      </c>
      <c r="I1232" s="4" t="str" cm="1">
        <f t="array" ref="I1232">IFERROR(IF(INDEX(EmployeeData[Exit Reason], ROW() - 37)=0, "",INDEX(EmployeeData[Exit Reason], ROW() - 37)),"")</f>
        <v/>
      </c>
      <c r="J1232" s="4" t="str" cm="1">
        <f t="array" ref="J1232">IFERROR(INDEX(EmployeeData[Status], ROW() - 37), "")</f>
        <v/>
      </c>
    </row>
    <row r="1233" spans="2:10" ht="19.95" customHeight="1" x14ac:dyDescent="0.3">
      <c r="B1233" s="4" t="str" cm="1">
        <f t="array" ref="B1233">IFERROR(INDEX(EmployeeData[Employee ID], ROW() - 37), "")</f>
        <v/>
      </c>
      <c r="C1233" s="4" t="str" cm="1">
        <f t="array" ref="C1233">IFERROR(INDEX(EmployeeData[Full Name], ROW() - 37), "")</f>
        <v/>
      </c>
      <c r="D1233" s="4" t="str" cm="1">
        <f t="array" ref="D1233">IFERROR(INDEX(EmployeeData[Department], ROW() - 37), "")</f>
        <v/>
      </c>
      <c r="E1233" s="4" t="str" cm="1">
        <f t="array" ref="E1233">IFERROR(INDEX(EmployeeData[Gender], ROW() - 37), "")</f>
        <v/>
      </c>
      <c r="F1233" s="4" t="str" cm="1">
        <f t="array" ref="F1233">IFERROR(INDEX(EmployeeData[Age], ROW() - 37), "")</f>
        <v/>
      </c>
      <c r="G1233" s="6" t="str" cm="1">
        <f t="array" ref="G1233">IFERROR(INDEX(EmployeeData[Join Date], ROW() - 37), "")</f>
        <v/>
      </c>
      <c r="H1233" s="6" t="str" cm="1">
        <f t="array" ref="H1233">IFERROR(IF(INDEX(EmployeeData[Exit Date], ROW() - 37)=0, "",INDEX(EmployeeData[Exit Date], ROW() - 37)),"")</f>
        <v/>
      </c>
      <c r="I1233" s="4" t="str" cm="1">
        <f t="array" ref="I1233">IFERROR(IF(INDEX(EmployeeData[Exit Reason], ROW() - 37)=0, "",INDEX(EmployeeData[Exit Reason], ROW() - 37)),"")</f>
        <v/>
      </c>
      <c r="J1233" s="4" t="str" cm="1">
        <f t="array" ref="J1233">IFERROR(INDEX(EmployeeData[Status], ROW() - 37), "")</f>
        <v/>
      </c>
    </row>
    <row r="1234" spans="2:10" ht="19.95" customHeight="1" x14ac:dyDescent="0.3">
      <c r="B1234" s="4" t="str" cm="1">
        <f t="array" ref="B1234">IFERROR(INDEX(EmployeeData[Employee ID], ROW() - 37), "")</f>
        <v/>
      </c>
      <c r="C1234" s="4" t="str" cm="1">
        <f t="array" ref="C1234">IFERROR(INDEX(EmployeeData[Full Name], ROW() - 37), "")</f>
        <v/>
      </c>
      <c r="D1234" s="4" t="str" cm="1">
        <f t="array" ref="D1234">IFERROR(INDEX(EmployeeData[Department], ROW() - 37), "")</f>
        <v/>
      </c>
      <c r="E1234" s="4" t="str" cm="1">
        <f t="array" ref="E1234">IFERROR(INDEX(EmployeeData[Gender], ROW() - 37), "")</f>
        <v/>
      </c>
      <c r="F1234" s="4" t="str" cm="1">
        <f t="array" ref="F1234">IFERROR(INDEX(EmployeeData[Age], ROW() - 37), "")</f>
        <v/>
      </c>
      <c r="G1234" s="6" t="str" cm="1">
        <f t="array" ref="G1234">IFERROR(INDEX(EmployeeData[Join Date], ROW() - 37), "")</f>
        <v/>
      </c>
      <c r="H1234" s="6" t="str" cm="1">
        <f t="array" ref="H1234">IFERROR(IF(INDEX(EmployeeData[Exit Date], ROW() - 37)=0, "",INDEX(EmployeeData[Exit Date], ROW() - 37)),"")</f>
        <v/>
      </c>
      <c r="I1234" s="4" t="str" cm="1">
        <f t="array" ref="I1234">IFERROR(IF(INDEX(EmployeeData[Exit Reason], ROW() - 37)=0, "",INDEX(EmployeeData[Exit Reason], ROW() - 37)),"")</f>
        <v/>
      </c>
      <c r="J1234" s="4" t="str" cm="1">
        <f t="array" ref="J1234">IFERROR(INDEX(EmployeeData[Status], ROW() - 37), "")</f>
        <v/>
      </c>
    </row>
    <row r="1235" spans="2:10" ht="19.95" customHeight="1" x14ac:dyDescent="0.3">
      <c r="B1235" s="4" t="str" cm="1">
        <f t="array" ref="B1235">IFERROR(INDEX(EmployeeData[Employee ID], ROW() - 37), "")</f>
        <v/>
      </c>
      <c r="C1235" s="4" t="str" cm="1">
        <f t="array" ref="C1235">IFERROR(INDEX(EmployeeData[Full Name], ROW() - 37), "")</f>
        <v/>
      </c>
      <c r="D1235" s="4" t="str" cm="1">
        <f t="array" ref="D1235">IFERROR(INDEX(EmployeeData[Department], ROW() - 37), "")</f>
        <v/>
      </c>
      <c r="E1235" s="4" t="str" cm="1">
        <f t="array" ref="E1235">IFERROR(INDEX(EmployeeData[Gender], ROW() - 37), "")</f>
        <v/>
      </c>
      <c r="F1235" s="4" t="str" cm="1">
        <f t="array" ref="F1235">IFERROR(INDEX(EmployeeData[Age], ROW() - 37), "")</f>
        <v/>
      </c>
      <c r="G1235" s="6" t="str" cm="1">
        <f t="array" ref="G1235">IFERROR(INDEX(EmployeeData[Join Date], ROW() - 37), "")</f>
        <v/>
      </c>
      <c r="H1235" s="6" t="str" cm="1">
        <f t="array" ref="H1235">IFERROR(IF(INDEX(EmployeeData[Exit Date], ROW() - 37)=0, "",INDEX(EmployeeData[Exit Date], ROW() - 37)),"")</f>
        <v/>
      </c>
      <c r="I1235" s="4" t="str" cm="1">
        <f t="array" ref="I1235">IFERROR(IF(INDEX(EmployeeData[Exit Reason], ROW() - 37)=0, "",INDEX(EmployeeData[Exit Reason], ROW() - 37)),"")</f>
        <v/>
      </c>
      <c r="J1235" s="4" t="str" cm="1">
        <f t="array" ref="J1235">IFERROR(INDEX(EmployeeData[Status], ROW() - 37), "")</f>
        <v/>
      </c>
    </row>
    <row r="1236" spans="2:10" ht="19.95" customHeight="1" x14ac:dyDescent="0.3">
      <c r="B1236" s="4" t="str" cm="1">
        <f t="array" ref="B1236">IFERROR(INDEX(EmployeeData[Employee ID], ROW() - 37), "")</f>
        <v/>
      </c>
      <c r="C1236" s="4" t="str" cm="1">
        <f t="array" ref="C1236">IFERROR(INDEX(EmployeeData[Full Name], ROW() - 37), "")</f>
        <v/>
      </c>
      <c r="D1236" s="4" t="str" cm="1">
        <f t="array" ref="D1236">IFERROR(INDEX(EmployeeData[Department], ROW() - 37), "")</f>
        <v/>
      </c>
      <c r="E1236" s="4" t="str" cm="1">
        <f t="array" ref="E1236">IFERROR(INDEX(EmployeeData[Gender], ROW() - 37), "")</f>
        <v/>
      </c>
      <c r="F1236" s="4" t="str" cm="1">
        <f t="array" ref="F1236">IFERROR(INDEX(EmployeeData[Age], ROW() - 37), "")</f>
        <v/>
      </c>
      <c r="G1236" s="6" t="str" cm="1">
        <f t="array" ref="G1236">IFERROR(INDEX(EmployeeData[Join Date], ROW() - 37), "")</f>
        <v/>
      </c>
      <c r="H1236" s="6" t="str" cm="1">
        <f t="array" ref="H1236">IFERROR(IF(INDEX(EmployeeData[Exit Date], ROW() - 37)=0, "",INDEX(EmployeeData[Exit Date], ROW() - 37)),"")</f>
        <v/>
      </c>
      <c r="I1236" s="4" t="str" cm="1">
        <f t="array" ref="I1236">IFERROR(IF(INDEX(EmployeeData[Exit Reason], ROW() - 37)=0, "",INDEX(EmployeeData[Exit Reason], ROW() - 37)),"")</f>
        <v/>
      </c>
      <c r="J1236" s="4" t="str" cm="1">
        <f t="array" ref="J1236">IFERROR(INDEX(EmployeeData[Status], ROW() - 37), "")</f>
        <v/>
      </c>
    </row>
    <row r="1237" spans="2:10" ht="19.95" customHeight="1" x14ac:dyDescent="0.3">
      <c r="B1237" s="4" t="str" cm="1">
        <f t="array" ref="B1237">IFERROR(INDEX(EmployeeData[Employee ID], ROW() - 37), "")</f>
        <v/>
      </c>
      <c r="C1237" s="4" t="str" cm="1">
        <f t="array" ref="C1237">IFERROR(INDEX(EmployeeData[Full Name], ROW() - 37), "")</f>
        <v/>
      </c>
      <c r="D1237" s="4" t="str" cm="1">
        <f t="array" ref="D1237">IFERROR(INDEX(EmployeeData[Department], ROW() - 37), "")</f>
        <v/>
      </c>
      <c r="E1237" s="4" t="str" cm="1">
        <f t="array" ref="E1237">IFERROR(INDEX(EmployeeData[Gender], ROW() - 37), "")</f>
        <v/>
      </c>
      <c r="F1237" s="4" t="str" cm="1">
        <f t="array" ref="F1237">IFERROR(INDEX(EmployeeData[Age], ROW() - 37), "")</f>
        <v/>
      </c>
      <c r="G1237" s="6" t="str" cm="1">
        <f t="array" ref="G1237">IFERROR(INDEX(EmployeeData[Join Date], ROW() - 37), "")</f>
        <v/>
      </c>
      <c r="H1237" s="6" t="str" cm="1">
        <f t="array" ref="H1237">IFERROR(IF(INDEX(EmployeeData[Exit Date], ROW() - 37)=0, "",INDEX(EmployeeData[Exit Date], ROW() - 37)),"")</f>
        <v/>
      </c>
      <c r="I1237" s="4" t="str" cm="1">
        <f t="array" ref="I1237">IFERROR(IF(INDEX(EmployeeData[Exit Reason], ROW() - 37)=0, "",INDEX(EmployeeData[Exit Reason], ROW() - 37)),"")</f>
        <v/>
      </c>
      <c r="J1237" s="4" t="str" cm="1">
        <f t="array" ref="J1237">IFERROR(INDEX(EmployeeData[Status], ROW() - 37), "")</f>
        <v/>
      </c>
    </row>
    <row r="1238" spans="2:10" ht="19.95" customHeight="1" x14ac:dyDescent="0.3">
      <c r="B1238" s="4" t="str" cm="1">
        <f t="array" ref="B1238">IFERROR(INDEX(EmployeeData[Employee ID], ROW() - 37), "")</f>
        <v/>
      </c>
      <c r="C1238" s="4" t="str" cm="1">
        <f t="array" ref="C1238">IFERROR(INDEX(EmployeeData[Full Name], ROW() - 37), "")</f>
        <v/>
      </c>
      <c r="D1238" s="4" t="str" cm="1">
        <f t="array" ref="D1238">IFERROR(INDEX(EmployeeData[Department], ROW() - 37), "")</f>
        <v/>
      </c>
      <c r="E1238" s="4" t="str" cm="1">
        <f t="array" ref="E1238">IFERROR(INDEX(EmployeeData[Gender], ROW() - 37), "")</f>
        <v/>
      </c>
      <c r="F1238" s="4" t="str" cm="1">
        <f t="array" ref="F1238">IFERROR(INDEX(EmployeeData[Age], ROW() - 37), "")</f>
        <v/>
      </c>
      <c r="G1238" s="6" t="str" cm="1">
        <f t="array" ref="G1238">IFERROR(INDEX(EmployeeData[Join Date], ROW() - 37), "")</f>
        <v/>
      </c>
      <c r="H1238" s="6" t="str" cm="1">
        <f t="array" ref="H1238">IFERROR(IF(INDEX(EmployeeData[Exit Date], ROW() - 37)=0, "",INDEX(EmployeeData[Exit Date], ROW() - 37)),"")</f>
        <v/>
      </c>
      <c r="I1238" s="4" t="str" cm="1">
        <f t="array" ref="I1238">IFERROR(IF(INDEX(EmployeeData[Exit Reason], ROW() - 37)=0, "",INDEX(EmployeeData[Exit Reason], ROW() - 37)),"")</f>
        <v/>
      </c>
      <c r="J1238" s="4" t="str" cm="1">
        <f t="array" ref="J1238">IFERROR(INDEX(EmployeeData[Status], ROW() - 37), "")</f>
        <v/>
      </c>
    </row>
    <row r="1239" spans="2:10" ht="19.95" customHeight="1" x14ac:dyDescent="0.3">
      <c r="B1239" s="4" t="str" cm="1">
        <f t="array" ref="B1239">IFERROR(INDEX(EmployeeData[Employee ID], ROW() - 37), "")</f>
        <v/>
      </c>
      <c r="C1239" s="4" t="str" cm="1">
        <f t="array" ref="C1239">IFERROR(INDEX(EmployeeData[Full Name], ROW() - 37), "")</f>
        <v/>
      </c>
      <c r="D1239" s="4" t="str" cm="1">
        <f t="array" ref="D1239">IFERROR(INDEX(EmployeeData[Department], ROW() - 37), "")</f>
        <v/>
      </c>
      <c r="E1239" s="4" t="str" cm="1">
        <f t="array" ref="E1239">IFERROR(INDEX(EmployeeData[Gender], ROW() - 37), "")</f>
        <v/>
      </c>
      <c r="F1239" s="4" t="str" cm="1">
        <f t="array" ref="F1239">IFERROR(INDEX(EmployeeData[Age], ROW() - 37), "")</f>
        <v/>
      </c>
      <c r="G1239" s="6" t="str" cm="1">
        <f t="array" ref="G1239">IFERROR(INDEX(EmployeeData[Join Date], ROW() - 37), "")</f>
        <v/>
      </c>
      <c r="H1239" s="6" t="str" cm="1">
        <f t="array" ref="H1239">IFERROR(IF(INDEX(EmployeeData[Exit Date], ROW() - 37)=0, "",INDEX(EmployeeData[Exit Date], ROW() - 37)),"")</f>
        <v/>
      </c>
      <c r="I1239" s="4" t="str" cm="1">
        <f t="array" ref="I1239">IFERROR(IF(INDEX(EmployeeData[Exit Reason], ROW() - 37)=0, "",INDEX(EmployeeData[Exit Reason], ROW() - 37)),"")</f>
        <v/>
      </c>
      <c r="J1239" s="4" t="str" cm="1">
        <f t="array" ref="J1239">IFERROR(INDEX(EmployeeData[Status], ROW() - 37), "")</f>
        <v/>
      </c>
    </row>
    <row r="1240" spans="2:10" ht="19.95" customHeight="1" x14ac:dyDescent="0.3">
      <c r="B1240" s="4" t="str" cm="1">
        <f t="array" ref="B1240">IFERROR(INDEX(EmployeeData[Employee ID], ROW() - 37), "")</f>
        <v/>
      </c>
      <c r="C1240" s="4" t="str" cm="1">
        <f t="array" ref="C1240">IFERROR(INDEX(EmployeeData[Full Name], ROW() - 37), "")</f>
        <v/>
      </c>
      <c r="D1240" s="4" t="str" cm="1">
        <f t="array" ref="D1240">IFERROR(INDEX(EmployeeData[Department], ROW() - 37), "")</f>
        <v/>
      </c>
      <c r="E1240" s="4" t="str" cm="1">
        <f t="array" ref="E1240">IFERROR(INDEX(EmployeeData[Gender], ROW() - 37), "")</f>
        <v/>
      </c>
      <c r="F1240" s="4" t="str" cm="1">
        <f t="array" ref="F1240">IFERROR(INDEX(EmployeeData[Age], ROW() - 37), "")</f>
        <v/>
      </c>
      <c r="G1240" s="6" t="str" cm="1">
        <f t="array" ref="G1240">IFERROR(INDEX(EmployeeData[Join Date], ROW() - 37), "")</f>
        <v/>
      </c>
      <c r="H1240" s="6" t="str" cm="1">
        <f t="array" ref="H1240">IFERROR(IF(INDEX(EmployeeData[Exit Date], ROW() - 37)=0, "",INDEX(EmployeeData[Exit Date], ROW() - 37)),"")</f>
        <v/>
      </c>
      <c r="I1240" s="4" t="str" cm="1">
        <f t="array" ref="I1240">IFERROR(IF(INDEX(EmployeeData[Exit Reason], ROW() - 37)=0, "",INDEX(EmployeeData[Exit Reason], ROW() - 37)),"")</f>
        <v/>
      </c>
      <c r="J1240" s="4" t="str" cm="1">
        <f t="array" ref="J1240">IFERROR(INDEX(EmployeeData[Status], ROW() - 37), "")</f>
        <v/>
      </c>
    </row>
    <row r="1241" spans="2:10" ht="19.95" customHeight="1" x14ac:dyDescent="0.3">
      <c r="B1241" s="4" t="str" cm="1">
        <f t="array" ref="B1241">IFERROR(INDEX(EmployeeData[Employee ID], ROW() - 37), "")</f>
        <v/>
      </c>
      <c r="C1241" s="4" t="str" cm="1">
        <f t="array" ref="C1241">IFERROR(INDEX(EmployeeData[Full Name], ROW() - 37), "")</f>
        <v/>
      </c>
      <c r="D1241" s="4" t="str" cm="1">
        <f t="array" ref="D1241">IFERROR(INDEX(EmployeeData[Department], ROW() - 37), "")</f>
        <v/>
      </c>
      <c r="E1241" s="4" t="str" cm="1">
        <f t="array" ref="E1241">IFERROR(INDEX(EmployeeData[Gender], ROW() - 37), "")</f>
        <v/>
      </c>
      <c r="F1241" s="4" t="str" cm="1">
        <f t="array" ref="F1241">IFERROR(INDEX(EmployeeData[Age], ROW() - 37), "")</f>
        <v/>
      </c>
      <c r="G1241" s="6" t="str" cm="1">
        <f t="array" ref="G1241">IFERROR(INDEX(EmployeeData[Join Date], ROW() - 37), "")</f>
        <v/>
      </c>
      <c r="H1241" s="6" t="str" cm="1">
        <f t="array" ref="H1241">IFERROR(IF(INDEX(EmployeeData[Exit Date], ROW() - 37)=0, "",INDEX(EmployeeData[Exit Date], ROW() - 37)),"")</f>
        <v/>
      </c>
      <c r="I1241" s="4" t="str" cm="1">
        <f t="array" ref="I1241">IFERROR(IF(INDEX(EmployeeData[Exit Reason], ROW() - 37)=0, "",INDEX(EmployeeData[Exit Reason], ROW() - 37)),"")</f>
        <v/>
      </c>
      <c r="J1241" s="4" t="str" cm="1">
        <f t="array" ref="J1241">IFERROR(INDEX(EmployeeData[Status], ROW() - 37), "")</f>
        <v/>
      </c>
    </row>
    <row r="1242" spans="2:10" ht="19.95" customHeight="1" x14ac:dyDescent="0.3">
      <c r="B1242" s="4" t="str" cm="1">
        <f t="array" ref="B1242">IFERROR(INDEX(EmployeeData[Employee ID], ROW() - 37), "")</f>
        <v/>
      </c>
      <c r="C1242" s="4" t="str" cm="1">
        <f t="array" ref="C1242">IFERROR(INDEX(EmployeeData[Full Name], ROW() - 37), "")</f>
        <v/>
      </c>
      <c r="D1242" s="4" t="str" cm="1">
        <f t="array" ref="D1242">IFERROR(INDEX(EmployeeData[Department], ROW() - 37), "")</f>
        <v/>
      </c>
      <c r="E1242" s="4" t="str" cm="1">
        <f t="array" ref="E1242">IFERROR(INDEX(EmployeeData[Gender], ROW() - 37), "")</f>
        <v/>
      </c>
      <c r="F1242" s="4" t="str" cm="1">
        <f t="array" ref="F1242">IFERROR(INDEX(EmployeeData[Age], ROW() - 37), "")</f>
        <v/>
      </c>
      <c r="G1242" s="6" t="str" cm="1">
        <f t="array" ref="G1242">IFERROR(INDEX(EmployeeData[Join Date], ROW() - 37), "")</f>
        <v/>
      </c>
      <c r="H1242" s="6" t="str" cm="1">
        <f t="array" ref="H1242">IFERROR(IF(INDEX(EmployeeData[Exit Date], ROW() - 37)=0, "",INDEX(EmployeeData[Exit Date], ROW() - 37)),"")</f>
        <v/>
      </c>
      <c r="I1242" s="4" t="str" cm="1">
        <f t="array" ref="I1242">IFERROR(IF(INDEX(EmployeeData[Exit Reason], ROW() - 37)=0, "",INDEX(EmployeeData[Exit Reason], ROW() - 37)),"")</f>
        <v/>
      </c>
      <c r="J1242" s="4" t="str" cm="1">
        <f t="array" ref="J1242">IFERROR(INDEX(EmployeeData[Status], ROW() - 37), "")</f>
        <v/>
      </c>
    </row>
    <row r="1243" spans="2:10" ht="19.95" customHeight="1" x14ac:dyDescent="0.3">
      <c r="B1243" s="4" t="str" cm="1">
        <f t="array" ref="B1243">IFERROR(INDEX(EmployeeData[Employee ID], ROW() - 37), "")</f>
        <v/>
      </c>
      <c r="C1243" s="4" t="str" cm="1">
        <f t="array" ref="C1243">IFERROR(INDEX(EmployeeData[Full Name], ROW() - 37), "")</f>
        <v/>
      </c>
      <c r="D1243" s="4" t="str" cm="1">
        <f t="array" ref="D1243">IFERROR(INDEX(EmployeeData[Department], ROW() - 37), "")</f>
        <v/>
      </c>
      <c r="E1243" s="4" t="str" cm="1">
        <f t="array" ref="E1243">IFERROR(INDEX(EmployeeData[Gender], ROW() - 37), "")</f>
        <v/>
      </c>
      <c r="F1243" s="4" t="str" cm="1">
        <f t="array" ref="F1243">IFERROR(INDEX(EmployeeData[Age], ROW() - 37), "")</f>
        <v/>
      </c>
      <c r="G1243" s="6" t="str" cm="1">
        <f t="array" ref="G1243">IFERROR(INDEX(EmployeeData[Join Date], ROW() - 37), "")</f>
        <v/>
      </c>
      <c r="H1243" s="6" t="str" cm="1">
        <f t="array" ref="H1243">IFERROR(IF(INDEX(EmployeeData[Exit Date], ROW() - 37)=0, "",INDEX(EmployeeData[Exit Date], ROW() - 37)),"")</f>
        <v/>
      </c>
      <c r="I1243" s="4" t="str" cm="1">
        <f t="array" ref="I1243">IFERROR(IF(INDEX(EmployeeData[Exit Reason], ROW() - 37)=0, "",INDEX(EmployeeData[Exit Reason], ROW() - 37)),"")</f>
        <v/>
      </c>
      <c r="J1243" s="4" t="str" cm="1">
        <f t="array" ref="J1243">IFERROR(INDEX(EmployeeData[Status], ROW() - 37), "")</f>
        <v/>
      </c>
    </row>
    <row r="1244" spans="2:10" ht="19.95" customHeight="1" x14ac:dyDescent="0.3">
      <c r="B1244" s="4" t="str" cm="1">
        <f t="array" ref="B1244">IFERROR(INDEX(EmployeeData[Employee ID], ROW() - 37), "")</f>
        <v/>
      </c>
      <c r="C1244" s="4" t="str" cm="1">
        <f t="array" ref="C1244">IFERROR(INDEX(EmployeeData[Full Name], ROW() - 37), "")</f>
        <v/>
      </c>
      <c r="D1244" s="4" t="str" cm="1">
        <f t="array" ref="D1244">IFERROR(INDEX(EmployeeData[Department], ROW() - 37), "")</f>
        <v/>
      </c>
      <c r="E1244" s="4" t="str" cm="1">
        <f t="array" ref="E1244">IFERROR(INDEX(EmployeeData[Gender], ROW() - 37), "")</f>
        <v/>
      </c>
      <c r="F1244" s="4" t="str" cm="1">
        <f t="array" ref="F1244">IFERROR(INDEX(EmployeeData[Age], ROW() - 37), "")</f>
        <v/>
      </c>
      <c r="G1244" s="6" t="str" cm="1">
        <f t="array" ref="G1244">IFERROR(INDEX(EmployeeData[Join Date], ROW() - 37), "")</f>
        <v/>
      </c>
      <c r="H1244" s="6" t="str" cm="1">
        <f t="array" ref="H1244">IFERROR(IF(INDEX(EmployeeData[Exit Date], ROW() - 37)=0, "",INDEX(EmployeeData[Exit Date], ROW() - 37)),"")</f>
        <v/>
      </c>
      <c r="I1244" s="4" t="str" cm="1">
        <f t="array" ref="I1244">IFERROR(IF(INDEX(EmployeeData[Exit Reason], ROW() - 37)=0, "",INDEX(EmployeeData[Exit Reason], ROW() - 37)),"")</f>
        <v/>
      </c>
      <c r="J1244" s="4" t="str" cm="1">
        <f t="array" ref="J1244">IFERROR(INDEX(EmployeeData[Status], ROW() - 37), "")</f>
        <v/>
      </c>
    </row>
    <row r="1245" spans="2:10" ht="19.95" customHeight="1" x14ac:dyDescent="0.3">
      <c r="B1245" s="4" t="str" cm="1">
        <f t="array" ref="B1245">IFERROR(INDEX(EmployeeData[Employee ID], ROW() - 37), "")</f>
        <v/>
      </c>
      <c r="C1245" s="4" t="str" cm="1">
        <f t="array" ref="C1245">IFERROR(INDEX(EmployeeData[Full Name], ROW() - 37), "")</f>
        <v/>
      </c>
      <c r="D1245" s="4" t="str" cm="1">
        <f t="array" ref="D1245">IFERROR(INDEX(EmployeeData[Department], ROW() - 37), "")</f>
        <v/>
      </c>
      <c r="E1245" s="4" t="str" cm="1">
        <f t="array" ref="E1245">IFERROR(INDEX(EmployeeData[Gender], ROW() - 37), "")</f>
        <v/>
      </c>
      <c r="F1245" s="4" t="str" cm="1">
        <f t="array" ref="F1245">IFERROR(INDEX(EmployeeData[Age], ROW() - 37), "")</f>
        <v/>
      </c>
      <c r="G1245" s="6" t="str" cm="1">
        <f t="array" ref="G1245">IFERROR(INDEX(EmployeeData[Join Date], ROW() - 37), "")</f>
        <v/>
      </c>
      <c r="H1245" s="6" t="str" cm="1">
        <f t="array" ref="H1245">IFERROR(IF(INDEX(EmployeeData[Exit Date], ROW() - 37)=0, "",INDEX(EmployeeData[Exit Date], ROW() - 37)),"")</f>
        <v/>
      </c>
      <c r="I1245" s="4" t="str" cm="1">
        <f t="array" ref="I1245">IFERROR(IF(INDEX(EmployeeData[Exit Reason], ROW() - 37)=0, "",INDEX(EmployeeData[Exit Reason], ROW() - 37)),"")</f>
        <v/>
      </c>
      <c r="J1245" s="4" t="str" cm="1">
        <f t="array" ref="J1245">IFERROR(INDEX(EmployeeData[Status], ROW() - 37), "")</f>
        <v/>
      </c>
    </row>
    <row r="1246" spans="2:10" ht="19.95" customHeight="1" x14ac:dyDescent="0.3">
      <c r="B1246" s="4" t="str" cm="1">
        <f t="array" ref="B1246">IFERROR(INDEX(EmployeeData[Employee ID], ROW() - 37), "")</f>
        <v/>
      </c>
      <c r="C1246" s="4" t="str" cm="1">
        <f t="array" ref="C1246">IFERROR(INDEX(EmployeeData[Full Name], ROW() - 37), "")</f>
        <v/>
      </c>
      <c r="D1246" s="4" t="str" cm="1">
        <f t="array" ref="D1246">IFERROR(INDEX(EmployeeData[Department], ROW() - 37), "")</f>
        <v/>
      </c>
      <c r="E1246" s="4" t="str" cm="1">
        <f t="array" ref="E1246">IFERROR(INDEX(EmployeeData[Gender], ROW() - 37), "")</f>
        <v/>
      </c>
      <c r="F1246" s="4" t="str" cm="1">
        <f t="array" ref="F1246">IFERROR(INDEX(EmployeeData[Age], ROW() - 37), "")</f>
        <v/>
      </c>
      <c r="G1246" s="6" t="str" cm="1">
        <f t="array" ref="G1246">IFERROR(INDEX(EmployeeData[Join Date], ROW() - 37), "")</f>
        <v/>
      </c>
      <c r="H1246" s="6" t="str" cm="1">
        <f t="array" ref="H1246">IFERROR(IF(INDEX(EmployeeData[Exit Date], ROW() - 37)=0, "",INDEX(EmployeeData[Exit Date], ROW() - 37)),"")</f>
        <v/>
      </c>
      <c r="I1246" s="4" t="str" cm="1">
        <f t="array" ref="I1246">IFERROR(IF(INDEX(EmployeeData[Exit Reason], ROW() - 37)=0, "",INDEX(EmployeeData[Exit Reason], ROW() - 37)),"")</f>
        <v/>
      </c>
      <c r="J1246" s="4" t="str" cm="1">
        <f t="array" ref="J1246">IFERROR(INDEX(EmployeeData[Status], ROW() - 37), "")</f>
        <v/>
      </c>
    </row>
    <row r="1247" spans="2:10" ht="19.95" customHeight="1" x14ac:dyDescent="0.3">
      <c r="B1247" s="4" t="str" cm="1">
        <f t="array" ref="B1247">IFERROR(INDEX(EmployeeData[Employee ID], ROW() - 37), "")</f>
        <v/>
      </c>
      <c r="C1247" s="4" t="str" cm="1">
        <f t="array" ref="C1247">IFERROR(INDEX(EmployeeData[Full Name], ROW() - 37), "")</f>
        <v/>
      </c>
      <c r="D1247" s="4" t="str" cm="1">
        <f t="array" ref="D1247">IFERROR(INDEX(EmployeeData[Department], ROW() - 37), "")</f>
        <v/>
      </c>
      <c r="E1247" s="4" t="str" cm="1">
        <f t="array" ref="E1247">IFERROR(INDEX(EmployeeData[Gender], ROW() - 37), "")</f>
        <v/>
      </c>
      <c r="F1247" s="4" t="str" cm="1">
        <f t="array" ref="F1247">IFERROR(INDEX(EmployeeData[Age], ROW() - 37), "")</f>
        <v/>
      </c>
      <c r="G1247" s="6" t="str" cm="1">
        <f t="array" ref="G1247">IFERROR(INDEX(EmployeeData[Join Date], ROW() - 37), "")</f>
        <v/>
      </c>
      <c r="H1247" s="6" t="str" cm="1">
        <f t="array" ref="H1247">IFERROR(IF(INDEX(EmployeeData[Exit Date], ROW() - 37)=0, "",INDEX(EmployeeData[Exit Date], ROW() - 37)),"")</f>
        <v/>
      </c>
      <c r="I1247" s="4" t="str" cm="1">
        <f t="array" ref="I1247">IFERROR(IF(INDEX(EmployeeData[Exit Reason], ROW() - 37)=0, "",INDEX(EmployeeData[Exit Reason], ROW() - 37)),"")</f>
        <v/>
      </c>
      <c r="J1247" s="4" t="str" cm="1">
        <f t="array" ref="J1247">IFERROR(INDEX(EmployeeData[Status], ROW() - 37), "")</f>
        <v/>
      </c>
    </row>
    <row r="1248" spans="2:10" ht="19.95" customHeight="1" x14ac:dyDescent="0.3">
      <c r="B1248" s="4" t="str" cm="1">
        <f t="array" ref="B1248">IFERROR(INDEX(EmployeeData[Employee ID], ROW() - 37), "")</f>
        <v/>
      </c>
      <c r="C1248" s="4" t="str" cm="1">
        <f t="array" ref="C1248">IFERROR(INDEX(EmployeeData[Full Name], ROW() - 37), "")</f>
        <v/>
      </c>
      <c r="D1248" s="4" t="str" cm="1">
        <f t="array" ref="D1248">IFERROR(INDEX(EmployeeData[Department], ROW() - 37), "")</f>
        <v/>
      </c>
      <c r="E1248" s="4" t="str" cm="1">
        <f t="array" ref="E1248">IFERROR(INDEX(EmployeeData[Gender], ROW() - 37), "")</f>
        <v/>
      </c>
      <c r="F1248" s="4" t="str" cm="1">
        <f t="array" ref="F1248">IFERROR(INDEX(EmployeeData[Age], ROW() - 37), "")</f>
        <v/>
      </c>
      <c r="G1248" s="6" t="str" cm="1">
        <f t="array" ref="G1248">IFERROR(INDEX(EmployeeData[Join Date], ROW() - 37), "")</f>
        <v/>
      </c>
      <c r="H1248" s="6" t="str" cm="1">
        <f t="array" ref="H1248">IFERROR(IF(INDEX(EmployeeData[Exit Date], ROW() - 37)=0, "",INDEX(EmployeeData[Exit Date], ROW() - 37)),"")</f>
        <v/>
      </c>
      <c r="I1248" s="4" t="str" cm="1">
        <f t="array" ref="I1248">IFERROR(IF(INDEX(EmployeeData[Exit Reason], ROW() - 37)=0, "",INDEX(EmployeeData[Exit Reason], ROW() - 37)),"")</f>
        <v/>
      </c>
      <c r="J1248" s="4" t="str" cm="1">
        <f t="array" ref="J1248">IFERROR(INDEX(EmployeeData[Status], ROW() - 37), "")</f>
        <v/>
      </c>
    </row>
    <row r="1249" spans="2:10" ht="19.95" customHeight="1" x14ac:dyDescent="0.3">
      <c r="B1249" s="4" t="str" cm="1">
        <f t="array" ref="B1249">IFERROR(INDEX(EmployeeData[Employee ID], ROW() - 37), "")</f>
        <v/>
      </c>
      <c r="C1249" s="4" t="str" cm="1">
        <f t="array" ref="C1249">IFERROR(INDEX(EmployeeData[Full Name], ROW() - 37), "")</f>
        <v/>
      </c>
      <c r="D1249" s="4" t="str" cm="1">
        <f t="array" ref="D1249">IFERROR(INDEX(EmployeeData[Department], ROW() - 37), "")</f>
        <v/>
      </c>
      <c r="E1249" s="4" t="str" cm="1">
        <f t="array" ref="E1249">IFERROR(INDEX(EmployeeData[Gender], ROW() - 37), "")</f>
        <v/>
      </c>
      <c r="F1249" s="4" t="str" cm="1">
        <f t="array" ref="F1249">IFERROR(INDEX(EmployeeData[Age], ROW() - 37), "")</f>
        <v/>
      </c>
      <c r="G1249" s="6" t="str" cm="1">
        <f t="array" ref="G1249">IFERROR(INDEX(EmployeeData[Join Date], ROW() - 37), "")</f>
        <v/>
      </c>
      <c r="H1249" s="6" t="str" cm="1">
        <f t="array" ref="H1249">IFERROR(IF(INDEX(EmployeeData[Exit Date], ROW() - 37)=0, "",INDEX(EmployeeData[Exit Date], ROW() - 37)),"")</f>
        <v/>
      </c>
      <c r="I1249" s="4" t="str" cm="1">
        <f t="array" ref="I1249">IFERROR(IF(INDEX(EmployeeData[Exit Reason], ROW() - 37)=0, "",INDEX(EmployeeData[Exit Reason], ROW() - 37)),"")</f>
        <v/>
      </c>
      <c r="J1249" s="4" t="str" cm="1">
        <f t="array" ref="J1249">IFERROR(INDEX(EmployeeData[Status], ROW() - 37), "")</f>
        <v/>
      </c>
    </row>
    <row r="1250" spans="2:10" ht="19.95" customHeight="1" x14ac:dyDescent="0.3">
      <c r="B1250" s="4" t="str" cm="1">
        <f t="array" ref="B1250">IFERROR(INDEX(EmployeeData[Employee ID], ROW() - 37), "")</f>
        <v/>
      </c>
      <c r="C1250" s="4" t="str" cm="1">
        <f t="array" ref="C1250">IFERROR(INDEX(EmployeeData[Full Name], ROW() - 37), "")</f>
        <v/>
      </c>
      <c r="D1250" s="4" t="str" cm="1">
        <f t="array" ref="D1250">IFERROR(INDEX(EmployeeData[Department], ROW() - 37), "")</f>
        <v/>
      </c>
      <c r="E1250" s="4" t="str" cm="1">
        <f t="array" ref="E1250">IFERROR(INDEX(EmployeeData[Gender], ROW() - 37), "")</f>
        <v/>
      </c>
      <c r="F1250" s="4" t="str" cm="1">
        <f t="array" ref="F1250">IFERROR(INDEX(EmployeeData[Age], ROW() - 37), "")</f>
        <v/>
      </c>
      <c r="G1250" s="6" t="str" cm="1">
        <f t="array" ref="G1250">IFERROR(INDEX(EmployeeData[Join Date], ROW() - 37), "")</f>
        <v/>
      </c>
      <c r="H1250" s="6" t="str" cm="1">
        <f t="array" ref="H1250">IFERROR(IF(INDEX(EmployeeData[Exit Date], ROW() - 37)=0, "",INDEX(EmployeeData[Exit Date], ROW() - 37)),"")</f>
        <v/>
      </c>
      <c r="I1250" s="4" t="str" cm="1">
        <f t="array" ref="I1250">IFERROR(IF(INDEX(EmployeeData[Exit Reason], ROW() - 37)=0, "",INDEX(EmployeeData[Exit Reason], ROW() - 37)),"")</f>
        <v/>
      </c>
      <c r="J1250" s="4" t="str" cm="1">
        <f t="array" ref="J1250">IFERROR(INDEX(EmployeeData[Status], ROW() - 37), "")</f>
        <v/>
      </c>
    </row>
    <row r="1251" spans="2:10" ht="19.95" customHeight="1" x14ac:dyDescent="0.3">
      <c r="B1251" s="4" t="str" cm="1">
        <f t="array" ref="B1251">IFERROR(INDEX(EmployeeData[Employee ID], ROW() - 37), "")</f>
        <v/>
      </c>
      <c r="C1251" s="4" t="str" cm="1">
        <f t="array" ref="C1251">IFERROR(INDEX(EmployeeData[Full Name], ROW() - 37), "")</f>
        <v/>
      </c>
      <c r="D1251" s="4" t="str" cm="1">
        <f t="array" ref="D1251">IFERROR(INDEX(EmployeeData[Department], ROW() - 37), "")</f>
        <v/>
      </c>
      <c r="E1251" s="4" t="str" cm="1">
        <f t="array" ref="E1251">IFERROR(INDEX(EmployeeData[Gender], ROW() - 37), "")</f>
        <v/>
      </c>
      <c r="F1251" s="4" t="str" cm="1">
        <f t="array" ref="F1251">IFERROR(INDEX(EmployeeData[Age], ROW() - 37), "")</f>
        <v/>
      </c>
      <c r="G1251" s="6" t="str" cm="1">
        <f t="array" ref="G1251">IFERROR(INDEX(EmployeeData[Join Date], ROW() - 37), "")</f>
        <v/>
      </c>
      <c r="H1251" s="6" t="str" cm="1">
        <f t="array" ref="H1251">IFERROR(IF(INDEX(EmployeeData[Exit Date], ROW() - 37)=0, "",INDEX(EmployeeData[Exit Date], ROW() - 37)),"")</f>
        <v/>
      </c>
      <c r="I1251" s="4" t="str" cm="1">
        <f t="array" ref="I1251">IFERROR(IF(INDEX(EmployeeData[Exit Reason], ROW() - 37)=0, "",INDEX(EmployeeData[Exit Reason], ROW() - 37)),"")</f>
        <v/>
      </c>
      <c r="J1251" s="4" t="str" cm="1">
        <f t="array" ref="J1251">IFERROR(INDEX(EmployeeData[Status], ROW() - 37), "")</f>
        <v/>
      </c>
    </row>
    <row r="1252" spans="2:10" ht="19.95" customHeight="1" x14ac:dyDescent="0.3">
      <c r="B1252" s="4" t="str" cm="1">
        <f t="array" ref="B1252">IFERROR(INDEX(EmployeeData[Employee ID], ROW() - 37), "")</f>
        <v/>
      </c>
      <c r="C1252" s="4" t="str" cm="1">
        <f t="array" ref="C1252">IFERROR(INDEX(EmployeeData[Full Name], ROW() - 37), "")</f>
        <v/>
      </c>
      <c r="D1252" s="4" t="str" cm="1">
        <f t="array" ref="D1252">IFERROR(INDEX(EmployeeData[Department], ROW() - 37), "")</f>
        <v/>
      </c>
      <c r="E1252" s="4" t="str" cm="1">
        <f t="array" ref="E1252">IFERROR(INDEX(EmployeeData[Gender], ROW() - 37), "")</f>
        <v/>
      </c>
      <c r="F1252" s="4" t="str" cm="1">
        <f t="array" ref="F1252">IFERROR(INDEX(EmployeeData[Age], ROW() - 37), "")</f>
        <v/>
      </c>
      <c r="G1252" s="6" t="str" cm="1">
        <f t="array" ref="G1252">IFERROR(INDEX(EmployeeData[Join Date], ROW() - 37), "")</f>
        <v/>
      </c>
      <c r="H1252" s="6" t="str" cm="1">
        <f t="array" ref="H1252">IFERROR(IF(INDEX(EmployeeData[Exit Date], ROW() - 37)=0, "",INDEX(EmployeeData[Exit Date], ROW() - 37)),"")</f>
        <v/>
      </c>
      <c r="I1252" s="4" t="str" cm="1">
        <f t="array" ref="I1252">IFERROR(IF(INDEX(EmployeeData[Exit Reason], ROW() - 37)=0, "",INDEX(EmployeeData[Exit Reason], ROW() - 37)),"")</f>
        <v/>
      </c>
      <c r="J1252" s="4" t="str" cm="1">
        <f t="array" ref="J1252">IFERROR(INDEX(EmployeeData[Status], ROW() - 37), "")</f>
        <v/>
      </c>
    </row>
    <row r="1253" spans="2:10" ht="19.95" customHeight="1" x14ac:dyDescent="0.3">
      <c r="B1253" s="4" t="str" cm="1">
        <f t="array" ref="B1253">IFERROR(INDEX(EmployeeData[Employee ID], ROW() - 37), "")</f>
        <v/>
      </c>
      <c r="C1253" s="4" t="str" cm="1">
        <f t="array" ref="C1253">IFERROR(INDEX(EmployeeData[Full Name], ROW() - 37), "")</f>
        <v/>
      </c>
      <c r="D1253" s="4" t="str" cm="1">
        <f t="array" ref="D1253">IFERROR(INDEX(EmployeeData[Department], ROW() - 37), "")</f>
        <v/>
      </c>
      <c r="E1253" s="4" t="str" cm="1">
        <f t="array" ref="E1253">IFERROR(INDEX(EmployeeData[Gender], ROW() - 37), "")</f>
        <v/>
      </c>
      <c r="F1253" s="4" t="str" cm="1">
        <f t="array" ref="F1253">IFERROR(INDEX(EmployeeData[Age], ROW() - 37), "")</f>
        <v/>
      </c>
      <c r="G1253" s="6" t="str" cm="1">
        <f t="array" ref="G1253">IFERROR(INDEX(EmployeeData[Join Date], ROW() - 37), "")</f>
        <v/>
      </c>
      <c r="H1253" s="6" t="str" cm="1">
        <f t="array" ref="H1253">IFERROR(IF(INDEX(EmployeeData[Exit Date], ROW() - 37)=0, "",INDEX(EmployeeData[Exit Date], ROW() - 37)),"")</f>
        <v/>
      </c>
      <c r="I1253" s="4" t="str" cm="1">
        <f t="array" ref="I1253">IFERROR(IF(INDEX(EmployeeData[Exit Reason], ROW() - 37)=0, "",INDEX(EmployeeData[Exit Reason], ROW() - 37)),"")</f>
        <v/>
      </c>
      <c r="J1253" s="4" t="str" cm="1">
        <f t="array" ref="J1253">IFERROR(INDEX(EmployeeData[Status], ROW() - 37), "")</f>
        <v/>
      </c>
    </row>
    <row r="1254" spans="2:10" ht="19.95" customHeight="1" x14ac:dyDescent="0.3">
      <c r="B1254" s="4" t="str" cm="1">
        <f t="array" ref="B1254">IFERROR(INDEX(EmployeeData[Employee ID], ROW() - 37), "")</f>
        <v/>
      </c>
      <c r="C1254" s="4" t="str" cm="1">
        <f t="array" ref="C1254">IFERROR(INDEX(EmployeeData[Full Name], ROW() - 37), "")</f>
        <v/>
      </c>
      <c r="D1254" s="4" t="str" cm="1">
        <f t="array" ref="D1254">IFERROR(INDEX(EmployeeData[Department], ROW() - 37), "")</f>
        <v/>
      </c>
      <c r="E1254" s="4" t="str" cm="1">
        <f t="array" ref="E1254">IFERROR(INDEX(EmployeeData[Gender], ROW() - 37), "")</f>
        <v/>
      </c>
      <c r="F1254" s="4" t="str" cm="1">
        <f t="array" ref="F1254">IFERROR(INDEX(EmployeeData[Age], ROW() - 37), "")</f>
        <v/>
      </c>
      <c r="G1254" s="6" t="str" cm="1">
        <f t="array" ref="G1254">IFERROR(INDEX(EmployeeData[Join Date], ROW() - 37), "")</f>
        <v/>
      </c>
      <c r="H1254" s="6" t="str" cm="1">
        <f t="array" ref="H1254">IFERROR(IF(INDEX(EmployeeData[Exit Date], ROW() - 37)=0, "",INDEX(EmployeeData[Exit Date], ROW() - 37)),"")</f>
        <v/>
      </c>
      <c r="I1254" s="4" t="str" cm="1">
        <f t="array" ref="I1254">IFERROR(IF(INDEX(EmployeeData[Exit Reason], ROW() - 37)=0, "",INDEX(EmployeeData[Exit Reason], ROW() - 37)),"")</f>
        <v/>
      </c>
      <c r="J1254" s="4" t="str" cm="1">
        <f t="array" ref="J1254">IFERROR(INDEX(EmployeeData[Status], ROW() - 37), "")</f>
        <v/>
      </c>
    </row>
    <row r="1255" spans="2:10" ht="19.95" customHeight="1" x14ac:dyDescent="0.3">
      <c r="B1255" s="4" t="str" cm="1">
        <f t="array" ref="B1255">IFERROR(INDEX(EmployeeData[Employee ID], ROW() - 37), "")</f>
        <v/>
      </c>
      <c r="C1255" s="4" t="str" cm="1">
        <f t="array" ref="C1255">IFERROR(INDEX(EmployeeData[Full Name], ROW() - 37), "")</f>
        <v/>
      </c>
      <c r="D1255" s="4" t="str" cm="1">
        <f t="array" ref="D1255">IFERROR(INDEX(EmployeeData[Department], ROW() - 37), "")</f>
        <v/>
      </c>
      <c r="E1255" s="4" t="str" cm="1">
        <f t="array" ref="E1255">IFERROR(INDEX(EmployeeData[Gender], ROW() - 37), "")</f>
        <v/>
      </c>
      <c r="F1255" s="4" t="str" cm="1">
        <f t="array" ref="F1255">IFERROR(INDEX(EmployeeData[Age], ROW() - 37), "")</f>
        <v/>
      </c>
      <c r="G1255" s="6" t="str" cm="1">
        <f t="array" ref="G1255">IFERROR(INDEX(EmployeeData[Join Date], ROW() - 37), "")</f>
        <v/>
      </c>
      <c r="H1255" s="6" t="str" cm="1">
        <f t="array" ref="H1255">IFERROR(IF(INDEX(EmployeeData[Exit Date], ROW() - 37)=0, "",INDEX(EmployeeData[Exit Date], ROW() - 37)),"")</f>
        <v/>
      </c>
      <c r="I1255" s="4" t="str" cm="1">
        <f t="array" ref="I1255">IFERROR(IF(INDEX(EmployeeData[Exit Reason], ROW() - 37)=0, "",INDEX(EmployeeData[Exit Reason], ROW() - 37)),"")</f>
        <v/>
      </c>
      <c r="J1255" s="4" t="str" cm="1">
        <f t="array" ref="J1255">IFERROR(INDEX(EmployeeData[Status], ROW() - 37), "")</f>
        <v/>
      </c>
    </row>
    <row r="1256" spans="2:10" ht="19.95" customHeight="1" x14ac:dyDescent="0.3">
      <c r="B1256" s="4" t="str" cm="1">
        <f t="array" ref="B1256">IFERROR(INDEX(EmployeeData[Employee ID], ROW() - 37), "")</f>
        <v/>
      </c>
      <c r="C1256" s="4" t="str" cm="1">
        <f t="array" ref="C1256">IFERROR(INDEX(EmployeeData[Full Name], ROW() - 37), "")</f>
        <v/>
      </c>
      <c r="D1256" s="4" t="str" cm="1">
        <f t="array" ref="D1256">IFERROR(INDEX(EmployeeData[Department], ROW() - 37), "")</f>
        <v/>
      </c>
      <c r="E1256" s="4" t="str" cm="1">
        <f t="array" ref="E1256">IFERROR(INDEX(EmployeeData[Gender], ROW() - 37), "")</f>
        <v/>
      </c>
      <c r="F1256" s="4" t="str" cm="1">
        <f t="array" ref="F1256">IFERROR(INDEX(EmployeeData[Age], ROW() - 37), "")</f>
        <v/>
      </c>
      <c r="G1256" s="6" t="str" cm="1">
        <f t="array" ref="G1256">IFERROR(INDEX(EmployeeData[Join Date], ROW() - 37), "")</f>
        <v/>
      </c>
      <c r="H1256" s="6" t="str" cm="1">
        <f t="array" ref="H1256">IFERROR(IF(INDEX(EmployeeData[Exit Date], ROW() - 37)=0, "",INDEX(EmployeeData[Exit Date], ROW() - 37)),"")</f>
        <v/>
      </c>
      <c r="I1256" s="4" t="str" cm="1">
        <f t="array" ref="I1256">IFERROR(IF(INDEX(EmployeeData[Exit Reason], ROW() - 37)=0, "",INDEX(EmployeeData[Exit Reason], ROW() - 37)),"")</f>
        <v/>
      </c>
      <c r="J1256" s="4" t="str" cm="1">
        <f t="array" ref="J1256">IFERROR(INDEX(EmployeeData[Status], ROW() - 37), "")</f>
        <v/>
      </c>
    </row>
    <row r="1257" spans="2:10" ht="19.95" customHeight="1" x14ac:dyDescent="0.3">
      <c r="B1257" s="4" t="str" cm="1">
        <f t="array" ref="B1257">IFERROR(INDEX(EmployeeData[Employee ID], ROW() - 37), "")</f>
        <v/>
      </c>
      <c r="C1257" s="4" t="str" cm="1">
        <f t="array" ref="C1257">IFERROR(INDEX(EmployeeData[Full Name], ROW() - 37), "")</f>
        <v/>
      </c>
      <c r="D1257" s="4" t="str" cm="1">
        <f t="array" ref="D1257">IFERROR(INDEX(EmployeeData[Department], ROW() - 37), "")</f>
        <v/>
      </c>
      <c r="E1257" s="4" t="str" cm="1">
        <f t="array" ref="E1257">IFERROR(INDEX(EmployeeData[Gender], ROW() - 37), "")</f>
        <v/>
      </c>
      <c r="F1257" s="4" t="str" cm="1">
        <f t="array" ref="F1257">IFERROR(INDEX(EmployeeData[Age], ROW() - 37), "")</f>
        <v/>
      </c>
      <c r="G1257" s="6" t="str" cm="1">
        <f t="array" ref="G1257">IFERROR(INDEX(EmployeeData[Join Date], ROW() - 37), "")</f>
        <v/>
      </c>
      <c r="H1257" s="6" t="str" cm="1">
        <f t="array" ref="H1257">IFERROR(IF(INDEX(EmployeeData[Exit Date], ROW() - 37)=0, "",INDEX(EmployeeData[Exit Date], ROW() - 37)),"")</f>
        <v/>
      </c>
      <c r="I1257" s="4" t="str" cm="1">
        <f t="array" ref="I1257">IFERROR(IF(INDEX(EmployeeData[Exit Reason], ROW() - 37)=0, "",INDEX(EmployeeData[Exit Reason], ROW() - 37)),"")</f>
        <v/>
      </c>
      <c r="J1257" s="4" t="str" cm="1">
        <f t="array" ref="J1257">IFERROR(INDEX(EmployeeData[Status], ROW() - 37), "")</f>
        <v/>
      </c>
    </row>
    <row r="1258" spans="2:10" ht="19.95" customHeight="1" x14ac:dyDescent="0.3">
      <c r="B1258" s="4" t="str" cm="1">
        <f t="array" ref="B1258">IFERROR(INDEX(EmployeeData[Employee ID], ROW() - 37), "")</f>
        <v/>
      </c>
      <c r="C1258" s="4" t="str" cm="1">
        <f t="array" ref="C1258">IFERROR(INDEX(EmployeeData[Full Name], ROW() - 37), "")</f>
        <v/>
      </c>
      <c r="D1258" s="4" t="str" cm="1">
        <f t="array" ref="D1258">IFERROR(INDEX(EmployeeData[Department], ROW() - 37), "")</f>
        <v/>
      </c>
      <c r="E1258" s="4" t="str" cm="1">
        <f t="array" ref="E1258">IFERROR(INDEX(EmployeeData[Gender], ROW() - 37), "")</f>
        <v/>
      </c>
      <c r="F1258" s="4" t="str" cm="1">
        <f t="array" ref="F1258">IFERROR(INDEX(EmployeeData[Age], ROW() - 37), "")</f>
        <v/>
      </c>
      <c r="G1258" s="6" t="str" cm="1">
        <f t="array" ref="G1258">IFERROR(INDEX(EmployeeData[Join Date], ROW() - 37), "")</f>
        <v/>
      </c>
      <c r="H1258" s="6" t="str" cm="1">
        <f t="array" ref="H1258">IFERROR(IF(INDEX(EmployeeData[Exit Date], ROW() - 37)=0, "",INDEX(EmployeeData[Exit Date], ROW() - 37)),"")</f>
        <v/>
      </c>
      <c r="I1258" s="4" t="str" cm="1">
        <f t="array" ref="I1258">IFERROR(IF(INDEX(EmployeeData[Exit Reason], ROW() - 37)=0, "",INDEX(EmployeeData[Exit Reason], ROW() - 37)),"")</f>
        <v/>
      </c>
      <c r="J1258" s="4" t="str" cm="1">
        <f t="array" ref="J1258">IFERROR(INDEX(EmployeeData[Status], ROW() - 37), "")</f>
        <v/>
      </c>
    </row>
    <row r="1259" spans="2:10" ht="19.95" customHeight="1" x14ac:dyDescent="0.3">
      <c r="B1259" s="4" t="str" cm="1">
        <f t="array" ref="B1259">IFERROR(INDEX(EmployeeData[Employee ID], ROW() - 37), "")</f>
        <v/>
      </c>
      <c r="C1259" s="4" t="str" cm="1">
        <f t="array" ref="C1259">IFERROR(INDEX(EmployeeData[Full Name], ROW() - 37), "")</f>
        <v/>
      </c>
      <c r="D1259" s="4" t="str" cm="1">
        <f t="array" ref="D1259">IFERROR(INDEX(EmployeeData[Department], ROW() - 37), "")</f>
        <v/>
      </c>
      <c r="E1259" s="4" t="str" cm="1">
        <f t="array" ref="E1259">IFERROR(INDEX(EmployeeData[Gender], ROW() - 37), "")</f>
        <v/>
      </c>
      <c r="F1259" s="4" t="str" cm="1">
        <f t="array" ref="F1259">IFERROR(INDEX(EmployeeData[Age], ROW() - 37), "")</f>
        <v/>
      </c>
      <c r="G1259" s="6" t="str" cm="1">
        <f t="array" ref="G1259">IFERROR(INDEX(EmployeeData[Join Date], ROW() - 37), "")</f>
        <v/>
      </c>
      <c r="H1259" s="6" t="str" cm="1">
        <f t="array" ref="H1259">IFERROR(IF(INDEX(EmployeeData[Exit Date], ROW() - 37)=0, "",INDEX(EmployeeData[Exit Date], ROW() - 37)),"")</f>
        <v/>
      </c>
      <c r="I1259" s="4" t="str" cm="1">
        <f t="array" ref="I1259">IFERROR(IF(INDEX(EmployeeData[Exit Reason], ROW() - 37)=0, "",INDEX(EmployeeData[Exit Reason], ROW() - 37)),"")</f>
        <v/>
      </c>
      <c r="J1259" s="4" t="str" cm="1">
        <f t="array" ref="J1259">IFERROR(INDEX(EmployeeData[Status], ROW() - 37), "")</f>
        <v/>
      </c>
    </row>
    <row r="1260" spans="2:10" ht="19.95" customHeight="1" x14ac:dyDescent="0.3">
      <c r="B1260" s="4" t="str" cm="1">
        <f t="array" ref="B1260">IFERROR(INDEX(EmployeeData[Employee ID], ROW() - 37), "")</f>
        <v/>
      </c>
      <c r="C1260" s="4" t="str" cm="1">
        <f t="array" ref="C1260">IFERROR(INDEX(EmployeeData[Full Name], ROW() - 37), "")</f>
        <v/>
      </c>
      <c r="D1260" s="4" t="str" cm="1">
        <f t="array" ref="D1260">IFERROR(INDEX(EmployeeData[Department], ROW() - 37), "")</f>
        <v/>
      </c>
      <c r="E1260" s="4" t="str" cm="1">
        <f t="array" ref="E1260">IFERROR(INDEX(EmployeeData[Gender], ROW() - 37), "")</f>
        <v/>
      </c>
      <c r="F1260" s="4" t="str" cm="1">
        <f t="array" ref="F1260">IFERROR(INDEX(EmployeeData[Age], ROW() - 37), "")</f>
        <v/>
      </c>
      <c r="G1260" s="6" t="str" cm="1">
        <f t="array" ref="G1260">IFERROR(INDEX(EmployeeData[Join Date], ROW() - 37), "")</f>
        <v/>
      </c>
      <c r="H1260" s="6" t="str" cm="1">
        <f t="array" ref="H1260">IFERROR(IF(INDEX(EmployeeData[Exit Date], ROW() - 37)=0, "",INDEX(EmployeeData[Exit Date], ROW() - 37)),"")</f>
        <v/>
      </c>
      <c r="I1260" s="4" t="str" cm="1">
        <f t="array" ref="I1260">IFERROR(IF(INDEX(EmployeeData[Exit Reason], ROW() - 37)=0, "",INDEX(EmployeeData[Exit Reason], ROW() - 37)),"")</f>
        <v/>
      </c>
      <c r="J1260" s="4" t="str" cm="1">
        <f t="array" ref="J1260">IFERROR(INDEX(EmployeeData[Status], ROW() - 37), "")</f>
        <v/>
      </c>
    </row>
    <row r="1261" spans="2:10" ht="19.95" customHeight="1" x14ac:dyDescent="0.3">
      <c r="B1261" s="4" t="str" cm="1">
        <f t="array" ref="B1261">IFERROR(INDEX(EmployeeData[Employee ID], ROW() - 37), "")</f>
        <v/>
      </c>
      <c r="C1261" s="4" t="str" cm="1">
        <f t="array" ref="C1261">IFERROR(INDEX(EmployeeData[Full Name], ROW() - 37), "")</f>
        <v/>
      </c>
      <c r="D1261" s="4" t="str" cm="1">
        <f t="array" ref="D1261">IFERROR(INDEX(EmployeeData[Department], ROW() - 37), "")</f>
        <v/>
      </c>
      <c r="E1261" s="4" t="str" cm="1">
        <f t="array" ref="E1261">IFERROR(INDEX(EmployeeData[Gender], ROW() - 37), "")</f>
        <v/>
      </c>
      <c r="F1261" s="4" t="str" cm="1">
        <f t="array" ref="F1261">IFERROR(INDEX(EmployeeData[Age], ROW() - 37), "")</f>
        <v/>
      </c>
      <c r="G1261" s="6" t="str" cm="1">
        <f t="array" ref="G1261">IFERROR(INDEX(EmployeeData[Join Date], ROW() - 37), "")</f>
        <v/>
      </c>
      <c r="H1261" s="6" t="str" cm="1">
        <f t="array" ref="H1261">IFERROR(IF(INDEX(EmployeeData[Exit Date], ROW() - 37)=0, "",INDEX(EmployeeData[Exit Date], ROW() - 37)),"")</f>
        <v/>
      </c>
      <c r="I1261" s="4" t="str" cm="1">
        <f t="array" ref="I1261">IFERROR(IF(INDEX(EmployeeData[Exit Reason], ROW() - 37)=0, "",INDEX(EmployeeData[Exit Reason], ROW() - 37)),"")</f>
        <v/>
      </c>
      <c r="J1261" s="4" t="str" cm="1">
        <f t="array" ref="J1261">IFERROR(INDEX(EmployeeData[Status], ROW() - 37), "")</f>
        <v/>
      </c>
    </row>
    <row r="1262" spans="2:10" ht="19.95" customHeight="1" x14ac:dyDescent="0.3">
      <c r="B1262" s="4" t="str" cm="1">
        <f t="array" ref="B1262">IFERROR(INDEX(EmployeeData[Employee ID], ROW() - 37), "")</f>
        <v/>
      </c>
      <c r="C1262" s="4" t="str" cm="1">
        <f t="array" ref="C1262">IFERROR(INDEX(EmployeeData[Full Name], ROW() - 37), "")</f>
        <v/>
      </c>
      <c r="D1262" s="4" t="str" cm="1">
        <f t="array" ref="D1262">IFERROR(INDEX(EmployeeData[Department], ROW() - 37), "")</f>
        <v/>
      </c>
      <c r="E1262" s="4" t="str" cm="1">
        <f t="array" ref="E1262">IFERROR(INDEX(EmployeeData[Gender], ROW() - 37), "")</f>
        <v/>
      </c>
      <c r="F1262" s="4" t="str" cm="1">
        <f t="array" ref="F1262">IFERROR(INDEX(EmployeeData[Age], ROW() - 37), "")</f>
        <v/>
      </c>
      <c r="G1262" s="6" t="str" cm="1">
        <f t="array" ref="G1262">IFERROR(INDEX(EmployeeData[Join Date], ROW() - 37), "")</f>
        <v/>
      </c>
      <c r="H1262" s="6" t="str" cm="1">
        <f t="array" ref="H1262">IFERROR(IF(INDEX(EmployeeData[Exit Date], ROW() - 37)=0, "",INDEX(EmployeeData[Exit Date], ROW() - 37)),"")</f>
        <v/>
      </c>
      <c r="I1262" s="4" t="str" cm="1">
        <f t="array" ref="I1262">IFERROR(IF(INDEX(EmployeeData[Exit Reason], ROW() - 37)=0, "",INDEX(EmployeeData[Exit Reason], ROW() - 37)),"")</f>
        <v/>
      </c>
      <c r="J1262" s="4" t="str" cm="1">
        <f t="array" ref="J1262">IFERROR(INDEX(EmployeeData[Status], ROW() - 37), "")</f>
        <v/>
      </c>
    </row>
    <row r="1263" spans="2:10" ht="19.95" customHeight="1" x14ac:dyDescent="0.3">
      <c r="B1263" s="4" t="str" cm="1">
        <f t="array" ref="B1263">IFERROR(INDEX(EmployeeData[Employee ID], ROW() - 37), "")</f>
        <v/>
      </c>
      <c r="C1263" s="4" t="str" cm="1">
        <f t="array" ref="C1263">IFERROR(INDEX(EmployeeData[Full Name], ROW() - 37), "")</f>
        <v/>
      </c>
      <c r="D1263" s="4" t="str" cm="1">
        <f t="array" ref="D1263">IFERROR(INDEX(EmployeeData[Department], ROW() - 37), "")</f>
        <v/>
      </c>
      <c r="E1263" s="4" t="str" cm="1">
        <f t="array" ref="E1263">IFERROR(INDEX(EmployeeData[Gender], ROW() - 37), "")</f>
        <v/>
      </c>
      <c r="F1263" s="4" t="str" cm="1">
        <f t="array" ref="F1263">IFERROR(INDEX(EmployeeData[Age], ROW() - 37), "")</f>
        <v/>
      </c>
      <c r="G1263" s="6" t="str" cm="1">
        <f t="array" ref="G1263">IFERROR(INDEX(EmployeeData[Join Date], ROW() - 37), "")</f>
        <v/>
      </c>
      <c r="H1263" s="6" t="str" cm="1">
        <f t="array" ref="H1263">IFERROR(IF(INDEX(EmployeeData[Exit Date], ROW() - 37)=0, "",INDEX(EmployeeData[Exit Date], ROW() - 37)),"")</f>
        <v/>
      </c>
      <c r="I1263" s="4" t="str" cm="1">
        <f t="array" ref="I1263">IFERROR(IF(INDEX(EmployeeData[Exit Reason], ROW() - 37)=0, "",INDEX(EmployeeData[Exit Reason], ROW() - 37)),"")</f>
        <v/>
      </c>
      <c r="J1263" s="4" t="str" cm="1">
        <f t="array" ref="J1263">IFERROR(INDEX(EmployeeData[Status], ROW() - 37), "")</f>
        <v/>
      </c>
    </row>
    <row r="1264" spans="2:10" ht="19.95" customHeight="1" x14ac:dyDescent="0.3">
      <c r="B1264" s="4" t="str" cm="1">
        <f t="array" ref="B1264">IFERROR(INDEX(EmployeeData[Employee ID], ROW() - 37), "")</f>
        <v/>
      </c>
      <c r="C1264" s="4" t="str" cm="1">
        <f t="array" ref="C1264">IFERROR(INDEX(EmployeeData[Full Name], ROW() - 37), "")</f>
        <v/>
      </c>
      <c r="D1264" s="4" t="str" cm="1">
        <f t="array" ref="D1264">IFERROR(INDEX(EmployeeData[Department], ROW() - 37), "")</f>
        <v/>
      </c>
      <c r="E1264" s="4" t="str" cm="1">
        <f t="array" ref="E1264">IFERROR(INDEX(EmployeeData[Gender], ROW() - 37), "")</f>
        <v/>
      </c>
      <c r="F1264" s="4" t="str" cm="1">
        <f t="array" ref="F1264">IFERROR(INDEX(EmployeeData[Age], ROW() - 37), "")</f>
        <v/>
      </c>
      <c r="G1264" s="6" t="str" cm="1">
        <f t="array" ref="G1264">IFERROR(INDEX(EmployeeData[Join Date], ROW() - 37), "")</f>
        <v/>
      </c>
      <c r="H1264" s="6" t="str" cm="1">
        <f t="array" ref="H1264">IFERROR(IF(INDEX(EmployeeData[Exit Date], ROW() - 37)=0, "",INDEX(EmployeeData[Exit Date], ROW() - 37)),"")</f>
        <v/>
      </c>
      <c r="I1264" s="4" t="str" cm="1">
        <f t="array" ref="I1264">IFERROR(IF(INDEX(EmployeeData[Exit Reason], ROW() - 37)=0, "",INDEX(EmployeeData[Exit Reason], ROW() - 37)),"")</f>
        <v/>
      </c>
      <c r="J1264" s="4" t="str" cm="1">
        <f t="array" ref="J1264">IFERROR(INDEX(EmployeeData[Status], ROW() - 37), "")</f>
        <v/>
      </c>
    </row>
    <row r="1265" spans="2:10" ht="19.95" customHeight="1" x14ac:dyDescent="0.3">
      <c r="B1265" s="4" t="str" cm="1">
        <f t="array" ref="B1265">IFERROR(INDEX(EmployeeData[Employee ID], ROW() - 37), "")</f>
        <v/>
      </c>
      <c r="C1265" s="4" t="str" cm="1">
        <f t="array" ref="C1265">IFERROR(INDEX(EmployeeData[Full Name], ROW() - 37), "")</f>
        <v/>
      </c>
      <c r="D1265" s="4" t="str" cm="1">
        <f t="array" ref="D1265">IFERROR(INDEX(EmployeeData[Department], ROW() - 37), "")</f>
        <v/>
      </c>
      <c r="E1265" s="4" t="str" cm="1">
        <f t="array" ref="E1265">IFERROR(INDEX(EmployeeData[Gender], ROW() - 37), "")</f>
        <v/>
      </c>
      <c r="F1265" s="4" t="str" cm="1">
        <f t="array" ref="F1265">IFERROR(INDEX(EmployeeData[Age], ROW() - 37), "")</f>
        <v/>
      </c>
      <c r="G1265" s="6" t="str" cm="1">
        <f t="array" ref="G1265">IFERROR(INDEX(EmployeeData[Join Date], ROW() - 37), "")</f>
        <v/>
      </c>
      <c r="H1265" s="6" t="str" cm="1">
        <f t="array" ref="H1265">IFERROR(IF(INDEX(EmployeeData[Exit Date], ROW() - 37)=0, "",INDEX(EmployeeData[Exit Date], ROW() - 37)),"")</f>
        <v/>
      </c>
      <c r="I1265" s="4" t="str" cm="1">
        <f t="array" ref="I1265">IFERROR(IF(INDEX(EmployeeData[Exit Reason], ROW() - 37)=0, "",INDEX(EmployeeData[Exit Reason], ROW() - 37)),"")</f>
        <v/>
      </c>
      <c r="J1265" s="4" t="str" cm="1">
        <f t="array" ref="J1265">IFERROR(INDEX(EmployeeData[Status], ROW() - 37), "")</f>
        <v/>
      </c>
    </row>
    <row r="1266" spans="2:10" ht="19.95" customHeight="1" x14ac:dyDescent="0.3">
      <c r="B1266" s="4" t="str" cm="1">
        <f t="array" ref="B1266">IFERROR(INDEX(EmployeeData[Employee ID], ROW() - 37), "")</f>
        <v/>
      </c>
      <c r="C1266" s="4" t="str" cm="1">
        <f t="array" ref="C1266">IFERROR(INDEX(EmployeeData[Full Name], ROW() - 37), "")</f>
        <v/>
      </c>
      <c r="D1266" s="4" t="str" cm="1">
        <f t="array" ref="D1266">IFERROR(INDEX(EmployeeData[Department], ROW() - 37), "")</f>
        <v/>
      </c>
      <c r="E1266" s="4" t="str" cm="1">
        <f t="array" ref="E1266">IFERROR(INDEX(EmployeeData[Gender], ROW() - 37), "")</f>
        <v/>
      </c>
      <c r="F1266" s="4" t="str" cm="1">
        <f t="array" ref="F1266">IFERROR(INDEX(EmployeeData[Age], ROW() - 37), "")</f>
        <v/>
      </c>
      <c r="G1266" s="6" t="str" cm="1">
        <f t="array" ref="G1266">IFERROR(INDEX(EmployeeData[Join Date], ROW() - 37), "")</f>
        <v/>
      </c>
      <c r="H1266" s="6" t="str" cm="1">
        <f t="array" ref="H1266">IFERROR(IF(INDEX(EmployeeData[Exit Date], ROW() - 37)=0, "",INDEX(EmployeeData[Exit Date], ROW() - 37)),"")</f>
        <v/>
      </c>
      <c r="I1266" s="4" t="str" cm="1">
        <f t="array" ref="I1266">IFERROR(IF(INDEX(EmployeeData[Exit Reason], ROW() - 37)=0, "",INDEX(EmployeeData[Exit Reason], ROW() - 37)),"")</f>
        <v/>
      </c>
      <c r="J1266" s="4" t="str" cm="1">
        <f t="array" ref="J1266">IFERROR(INDEX(EmployeeData[Status], ROW() - 37), "")</f>
        <v/>
      </c>
    </row>
    <row r="1267" spans="2:10" ht="19.95" customHeight="1" x14ac:dyDescent="0.3">
      <c r="B1267" s="4" t="str" cm="1">
        <f t="array" ref="B1267">IFERROR(INDEX(EmployeeData[Employee ID], ROW() - 37), "")</f>
        <v/>
      </c>
      <c r="C1267" s="4" t="str" cm="1">
        <f t="array" ref="C1267">IFERROR(INDEX(EmployeeData[Full Name], ROW() - 37), "")</f>
        <v/>
      </c>
      <c r="D1267" s="4" t="str" cm="1">
        <f t="array" ref="D1267">IFERROR(INDEX(EmployeeData[Department], ROW() - 37), "")</f>
        <v/>
      </c>
      <c r="E1267" s="4" t="str" cm="1">
        <f t="array" ref="E1267">IFERROR(INDEX(EmployeeData[Gender], ROW() - 37), "")</f>
        <v/>
      </c>
      <c r="F1267" s="4" t="str" cm="1">
        <f t="array" ref="F1267">IFERROR(INDEX(EmployeeData[Age], ROW() - 37), "")</f>
        <v/>
      </c>
      <c r="G1267" s="6" t="str" cm="1">
        <f t="array" ref="G1267">IFERROR(INDEX(EmployeeData[Join Date], ROW() - 37), "")</f>
        <v/>
      </c>
      <c r="H1267" s="6" t="str" cm="1">
        <f t="array" ref="H1267">IFERROR(IF(INDEX(EmployeeData[Exit Date], ROW() - 37)=0, "",INDEX(EmployeeData[Exit Date], ROW() - 37)),"")</f>
        <v/>
      </c>
      <c r="I1267" s="4" t="str" cm="1">
        <f t="array" ref="I1267">IFERROR(IF(INDEX(EmployeeData[Exit Reason], ROW() - 37)=0, "",INDEX(EmployeeData[Exit Reason], ROW() - 37)),"")</f>
        <v/>
      </c>
      <c r="J1267" s="4" t="str" cm="1">
        <f t="array" ref="J1267">IFERROR(INDEX(EmployeeData[Status], ROW() - 37), "")</f>
        <v/>
      </c>
    </row>
    <row r="1268" spans="2:10" ht="19.95" customHeight="1" x14ac:dyDescent="0.3">
      <c r="B1268" s="4" t="str" cm="1">
        <f t="array" ref="B1268">IFERROR(INDEX(EmployeeData[Employee ID], ROW() - 37), "")</f>
        <v/>
      </c>
      <c r="C1268" s="4" t="str" cm="1">
        <f t="array" ref="C1268">IFERROR(INDEX(EmployeeData[Full Name], ROW() - 37), "")</f>
        <v/>
      </c>
      <c r="D1268" s="4" t="str" cm="1">
        <f t="array" ref="D1268">IFERROR(INDEX(EmployeeData[Department], ROW() - 37), "")</f>
        <v/>
      </c>
      <c r="E1268" s="4" t="str" cm="1">
        <f t="array" ref="E1268">IFERROR(INDEX(EmployeeData[Gender], ROW() - 37), "")</f>
        <v/>
      </c>
      <c r="F1268" s="4" t="str" cm="1">
        <f t="array" ref="F1268">IFERROR(INDEX(EmployeeData[Age], ROW() - 37), "")</f>
        <v/>
      </c>
      <c r="G1268" s="6" t="str" cm="1">
        <f t="array" ref="G1268">IFERROR(INDEX(EmployeeData[Join Date], ROW() - 37), "")</f>
        <v/>
      </c>
      <c r="H1268" s="6" t="str" cm="1">
        <f t="array" ref="H1268">IFERROR(IF(INDEX(EmployeeData[Exit Date], ROW() - 37)=0, "",INDEX(EmployeeData[Exit Date], ROW() - 37)),"")</f>
        <v/>
      </c>
      <c r="I1268" s="4" t="str" cm="1">
        <f t="array" ref="I1268">IFERROR(IF(INDEX(EmployeeData[Exit Reason], ROW() - 37)=0, "",INDEX(EmployeeData[Exit Reason], ROW() - 37)),"")</f>
        <v/>
      </c>
      <c r="J1268" s="4" t="str" cm="1">
        <f t="array" ref="J1268">IFERROR(INDEX(EmployeeData[Status], ROW() - 37), "")</f>
        <v/>
      </c>
    </row>
    <row r="1269" spans="2:10" ht="19.95" customHeight="1" x14ac:dyDescent="0.3">
      <c r="B1269" s="4" t="str" cm="1">
        <f t="array" ref="B1269">IFERROR(INDEX(EmployeeData[Employee ID], ROW() - 37), "")</f>
        <v/>
      </c>
      <c r="C1269" s="4" t="str" cm="1">
        <f t="array" ref="C1269">IFERROR(INDEX(EmployeeData[Full Name], ROW() - 37), "")</f>
        <v/>
      </c>
      <c r="D1269" s="4" t="str" cm="1">
        <f t="array" ref="D1269">IFERROR(INDEX(EmployeeData[Department], ROW() - 37), "")</f>
        <v/>
      </c>
      <c r="E1269" s="4" t="str" cm="1">
        <f t="array" ref="E1269">IFERROR(INDEX(EmployeeData[Gender], ROW() - 37), "")</f>
        <v/>
      </c>
      <c r="F1269" s="4" t="str" cm="1">
        <f t="array" ref="F1269">IFERROR(INDEX(EmployeeData[Age], ROW() - 37), "")</f>
        <v/>
      </c>
      <c r="G1269" s="6" t="str" cm="1">
        <f t="array" ref="G1269">IFERROR(INDEX(EmployeeData[Join Date], ROW() - 37), "")</f>
        <v/>
      </c>
      <c r="H1269" s="6" t="str" cm="1">
        <f t="array" ref="H1269">IFERROR(IF(INDEX(EmployeeData[Exit Date], ROW() - 37)=0, "",INDEX(EmployeeData[Exit Date], ROW() - 37)),"")</f>
        <v/>
      </c>
      <c r="I1269" s="4" t="str" cm="1">
        <f t="array" ref="I1269">IFERROR(IF(INDEX(EmployeeData[Exit Reason], ROW() - 37)=0, "",INDEX(EmployeeData[Exit Reason], ROW() - 37)),"")</f>
        <v/>
      </c>
      <c r="J1269" s="4" t="str" cm="1">
        <f t="array" ref="J1269">IFERROR(INDEX(EmployeeData[Status], ROW() - 37), "")</f>
        <v/>
      </c>
    </row>
    <row r="1270" spans="2:10" ht="19.95" customHeight="1" x14ac:dyDescent="0.3">
      <c r="B1270" s="4" t="str" cm="1">
        <f t="array" ref="B1270">IFERROR(INDEX(EmployeeData[Employee ID], ROW() - 37), "")</f>
        <v/>
      </c>
      <c r="C1270" s="4" t="str" cm="1">
        <f t="array" ref="C1270">IFERROR(INDEX(EmployeeData[Full Name], ROW() - 37), "")</f>
        <v/>
      </c>
      <c r="D1270" s="4" t="str" cm="1">
        <f t="array" ref="D1270">IFERROR(INDEX(EmployeeData[Department], ROW() - 37), "")</f>
        <v/>
      </c>
      <c r="E1270" s="4" t="str" cm="1">
        <f t="array" ref="E1270">IFERROR(INDEX(EmployeeData[Gender], ROW() - 37), "")</f>
        <v/>
      </c>
      <c r="F1270" s="4" t="str" cm="1">
        <f t="array" ref="F1270">IFERROR(INDEX(EmployeeData[Age], ROW() - 37), "")</f>
        <v/>
      </c>
      <c r="G1270" s="6" t="str" cm="1">
        <f t="array" ref="G1270">IFERROR(INDEX(EmployeeData[Join Date], ROW() - 37), "")</f>
        <v/>
      </c>
      <c r="H1270" s="6" t="str" cm="1">
        <f t="array" ref="H1270">IFERROR(IF(INDEX(EmployeeData[Exit Date], ROW() - 37)=0, "",INDEX(EmployeeData[Exit Date], ROW() - 37)),"")</f>
        <v/>
      </c>
      <c r="I1270" s="4" t="str" cm="1">
        <f t="array" ref="I1270">IFERROR(IF(INDEX(EmployeeData[Exit Reason], ROW() - 37)=0, "",INDEX(EmployeeData[Exit Reason], ROW() - 37)),"")</f>
        <v/>
      </c>
      <c r="J1270" s="4" t="str" cm="1">
        <f t="array" ref="J1270">IFERROR(INDEX(EmployeeData[Status], ROW() - 37), "")</f>
        <v/>
      </c>
    </row>
    <row r="1271" spans="2:10" ht="19.95" customHeight="1" x14ac:dyDescent="0.3">
      <c r="B1271" s="4" t="str" cm="1">
        <f t="array" ref="B1271">IFERROR(INDEX(EmployeeData[Employee ID], ROW() - 37), "")</f>
        <v/>
      </c>
      <c r="C1271" s="4" t="str" cm="1">
        <f t="array" ref="C1271">IFERROR(INDEX(EmployeeData[Full Name], ROW() - 37), "")</f>
        <v/>
      </c>
      <c r="D1271" s="4" t="str" cm="1">
        <f t="array" ref="D1271">IFERROR(INDEX(EmployeeData[Department], ROW() - 37), "")</f>
        <v/>
      </c>
      <c r="E1271" s="4" t="str" cm="1">
        <f t="array" ref="E1271">IFERROR(INDEX(EmployeeData[Gender], ROW() - 37), "")</f>
        <v/>
      </c>
      <c r="F1271" s="4" t="str" cm="1">
        <f t="array" ref="F1271">IFERROR(INDEX(EmployeeData[Age], ROW() - 37), "")</f>
        <v/>
      </c>
      <c r="G1271" s="6" t="str" cm="1">
        <f t="array" ref="G1271">IFERROR(INDEX(EmployeeData[Join Date], ROW() - 37), "")</f>
        <v/>
      </c>
      <c r="H1271" s="6" t="str" cm="1">
        <f t="array" ref="H1271">IFERROR(IF(INDEX(EmployeeData[Exit Date], ROW() - 37)=0, "",INDEX(EmployeeData[Exit Date], ROW() - 37)),"")</f>
        <v/>
      </c>
      <c r="I1271" s="4" t="str" cm="1">
        <f t="array" ref="I1271">IFERROR(IF(INDEX(EmployeeData[Exit Reason], ROW() - 37)=0, "",INDEX(EmployeeData[Exit Reason], ROW() - 37)),"")</f>
        <v/>
      </c>
      <c r="J1271" s="4" t="str" cm="1">
        <f t="array" ref="J1271">IFERROR(INDEX(EmployeeData[Status], ROW() - 37), "")</f>
        <v/>
      </c>
    </row>
    <row r="1272" spans="2:10" ht="19.95" customHeight="1" x14ac:dyDescent="0.3">
      <c r="B1272" s="4" t="str" cm="1">
        <f t="array" ref="B1272">IFERROR(INDEX(EmployeeData[Employee ID], ROW() - 37), "")</f>
        <v/>
      </c>
      <c r="C1272" s="4" t="str" cm="1">
        <f t="array" ref="C1272">IFERROR(INDEX(EmployeeData[Full Name], ROW() - 37), "")</f>
        <v/>
      </c>
      <c r="D1272" s="4" t="str" cm="1">
        <f t="array" ref="D1272">IFERROR(INDEX(EmployeeData[Department], ROW() - 37), "")</f>
        <v/>
      </c>
      <c r="E1272" s="4" t="str" cm="1">
        <f t="array" ref="E1272">IFERROR(INDEX(EmployeeData[Gender], ROW() - 37), "")</f>
        <v/>
      </c>
      <c r="F1272" s="4" t="str" cm="1">
        <f t="array" ref="F1272">IFERROR(INDEX(EmployeeData[Age], ROW() - 37), "")</f>
        <v/>
      </c>
      <c r="G1272" s="6" t="str" cm="1">
        <f t="array" ref="G1272">IFERROR(INDEX(EmployeeData[Join Date], ROW() - 37), "")</f>
        <v/>
      </c>
      <c r="H1272" s="6" t="str" cm="1">
        <f t="array" ref="H1272">IFERROR(IF(INDEX(EmployeeData[Exit Date], ROW() - 37)=0, "",INDEX(EmployeeData[Exit Date], ROW() - 37)),"")</f>
        <v/>
      </c>
      <c r="I1272" s="4" t="str" cm="1">
        <f t="array" ref="I1272">IFERROR(IF(INDEX(EmployeeData[Exit Reason], ROW() - 37)=0, "",INDEX(EmployeeData[Exit Reason], ROW() - 37)),"")</f>
        <v/>
      </c>
      <c r="J1272" s="4" t="str" cm="1">
        <f t="array" ref="J1272">IFERROR(INDEX(EmployeeData[Status], ROW() - 37), "")</f>
        <v/>
      </c>
    </row>
    <row r="1273" spans="2:10" ht="19.95" customHeight="1" x14ac:dyDescent="0.3">
      <c r="B1273" s="4" t="str" cm="1">
        <f t="array" ref="B1273">IFERROR(INDEX(EmployeeData[Employee ID], ROW() - 37), "")</f>
        <v/>
      </c>
      <c r="C1273" s="4" t="str" cm="1">
        <f t="array" ref="C1273">IFERROR(INDEX(EmployeeData[Full Name], ROW() - 37), "")</f>
        <v/>
      </c>
      <c r="D1273" s="4" t="str" cm="1">
        <f t="array" ref="D1273">IFERROR(INDEX(EmployeeData[Department], ROW() - 37), "")</f>
        <v/>
      </c>
      <c r="E1273" s="4" t="str" cm="1">
        <f t="array" ref="E1273">IFERROR(INDEX(EmployeeData[Gender], ROW() - 37), "")</f>
        <v/>
      </c>
      <c r="F1273" s="4" t="str" cm="1">
        <f t="array" ref="F1273">IFERROR(INDEX(EmployeeData[Age], ROW() - 37), "")</f>
        <v/>
      </c>
      <c r="G1273" s="6" t="str" cm="1">
        <f t="array" ref="G1273">IFERROR(INDEX(EmployeeData[Join Date], ROW() - 37), "")</f>
        <v/>
      </c>
      <c r="H1273" s="6" t="str" cm="1">
        <f t="array" ref="H1273">IFERROR(IF(INDEX(EmployeeData[Exit Date], ROW() - 37)=0, "",INDEX(EmployeeData[Exit Date], ROW() - 37)),"")</f>
        <v/>
      </c>
      <c r="I1273" s="4" t="str" cm="1">
        <f t="array" ref="I1273">IFERROR(IF(INDEX(EmployeeData[Exit Reason], ROW() - 37)=0, "",INDEX(EmployeeData[Exit Reason], ROW() - 37)),"")</f>
        <v/>
      </c>
      <c r="J1273" s="4" t="str" cm="1">
        <f t="array" ref="J1273">IFERROR(INDEX(EmployeeData[Status], ROW() - 37), "")</f>
        <v/>
      </c>
    </row>
    <row r="1274" spans="2:10" ht="19.95" customHeight="1" x14ac:dyDescent="0.3">
      <c r="B1274" s="4" t="str" cm="1">
        <f t="array" ref="B1274">IFERROR(INDEX(EmployeeData[Employee ID], ROW() - 37), "")</f>
        <v/>
      </c>
      <c r="C1274" s="4" t="str" cm="1">
        <f t="array" ref="C1274">IFERROR(INDEX(EmployeeData[Full Name], ROW() - 37), "")</f>
        <v/>
      </c>
      <c r="D1274" s="4" t="str" cm="1">
        <f t="array" ref="D1274">IFERROR(INDEX(EmployeeData[Department], ROW() - 37), "")</f>
        <v/>
      </c>
      <c r="E1274" s="4" t="str" cm="1">
        <f t="array" ref="E1274">IFERROR(INDEX(EmployeeData[Gender], ROW() - 37), "")</f>
        <v/>
      </c>
      <c r="F1274" s="4" t="str" cm="1">
        <f t="array" ref="F1274">IFERROR(INDEX(EmployeeData[Age], ROW() - 37), "")</f>
        <v/>
      </c>
      <c r="G1274" s="6" t="str" cm="1">
        <f t="array" ref="G1274">IFERROR(INDEX(EmployeeData[Join Date], ROW() - 37), "")</f>
        <v/>
      </c>
      <c r="H1274" s="6" t="str" cm="1">
        <f t="array" ref="H1274">IFERROR(IF(INDEX(EmployeeData[Exit Date], ROW() - 37)=0, "",INDEX(EmployeeData[Exit Date], ROW() - 37)),"")</f>
        <v/>
      </c>
      <c r="I1274" s="4" t="str" cm="1">
        <f t="array" ref="I1274">IFERROR(IF(INDEX(EmployeeData[Exit Reason], ROW() - 37)=0, "",INDEX(EmployeeData[Exit Reason], ROW() - 37)),"")</f>
        <v/>
      </c>
      <c r="J1274" s="4" t="str" cm="1">
        <f t="array" ref="J1274">IFERROR(INDEX(EmployeeData[Status], ROW() - 37), "")</f>
        <v/>
      </c>
    </row>
    <row r="1275" spans="2:10" ht="19.95" customHeight="1" x14ac:dyDescent="0.3">
      <c r="B1275" s="4" t="str" cm="1">
        <f t="array" ref="B1275">IFERROR(INDEX(EmployeeData[Employee ID], ROW() - 37), "")</f>
        <v/>
      </c>
      <c r="C1275" s="4" t="str" cm="1">
        <f t="array" ref="C1275">IFERROR(INDEX(EmployeeData[Full Name], ROW() - 37), "")</f>
        <v/>
      </c>
      <c r="D1275" s="4" t="str" cm="1">
        <f t="array" ref="D1275">IFERROR(INDEX(EmployeeData[Department], ROW() - 37), "")</f>
        <v/>
      </c>
      <c r="E1275" s="4" t="str" cm="1">
        <f t="array" ref="E1275">IFERROR(INDEX(EmployeeData[Gender], ROW() - 37), "")</f>
        <v/>
      </c>
      <c r="F1275" s="4" t="str" cm="1">
        <f t="array" ref="F1275">IFERROR(INDEX(EmployeeData[Age], ROW() - 37), "")</f>
        <v/>
      </c>
      <c r="G1275" s="6" t="str" cm="1">
        <f t="array" ref="G1275">IFERROR(INDEX(EmployeeData[Join Date], ROW() - 37), "")</f>
        <v/>
      </c>
      <c r="H1275" s="6" t="str" cm="1">
        <f t="array" ref="H1275">IFERROR(IF(INDEX(EmployeeData[Exit Date], ROW() - 37)=0, "",INDEX(EmployeeData[Exit Date], ROW() - 37)),"")</f>
        <v/>
      </c>
      <c r="I1275" s="4" t="str" cm="1">
        <f t="array" ref="I1275">IFERROR(IF(INDEX(EmployeeData[Exit Reason], ROW() - 37)=0, "",INDEX(EmployeeData[Exit Reason], ROW() - 37)),"")</f>
        <v/>
      </c>
      <c r="J1275" s="4" t="str" cm="1">
        <f t="array" ref="J1275">IFERROR(INDEX(EmployeeData[Status], ROW() - 37), "")</f>
        <v/>
      </c>
    </row>
    <row r="1276" spans="2:10" ht="19.95" customHeight="1" x14ac:dyDescent="0.3">
      <c r="B1276" s="4" t="str" cm="1">
        <f t="array" ref="B1276">IFERROR(INDEX(EmployeeData[Employee ID], ROW() - 37), "")</f>
        <v/>
      </c>
      <c r="C1276" s="4" t="str" cm="1">
        <f t="array" ref="C1276">IFERROR(INDEX(EmployeeData[Full Name], ROW() - 37), "")</f>
        <v/>
      </c>
      <c r="D1276" s="4" t="str" cm="1">
        <f t="array" ref="D1276">IFERROR(INDEX(EmployeeData[Department], ROW() - 37), "")</f>
        <v/>
      </c>
      <c r="E1276" s="4" t="str" cm="1">
        <f t="array" ref="E1276">IFERROR(INDEX(EmployeeData[Gender], ROW() - 37), "")</f>
        <v/>
      </c>
      <c r="F1276" s="4" t="str" cm="1">
        <f t="array" ref="F1276">IFERROR(INDEX(EmployeeData[Age], ROW() - 37), "")</f>
        <v/>
      </c>
      <c r="G1276" s="6" t="str" cm="1">
        <f t="array" ref="G1276">IFERROR(INDEX(EmployeeData[Join Date], ROW() - 37), "")</f>
        <v/>
      </c>
      <c r="H1276" s="6" t="str" cm="1">
        <f t="array" ref="H1276">IFERROR(IF(INDEX(EmployeeData[Exit Date], ROW() - 37)=0, "",INDEX(EmployeeData[Exit Date], ROW() - 37)),"")</f>
        <v/>
      </c>
      <c r="I1276" s="4" t="str" cm="1">
        <f t="array" ref="I1276">IFERROR(IF(INDEX(EmployeeData[Exit Reason], ROW() - 37)=0, "",INDEX(EmployeeData[Exit Reason], ROW() - 37)),"")</f>
        <v/>
      </c>
      <c r="J1276" s="4" t="str" cm="1">
        <f t="array" ref="J1276">IFERROR(INDEX(EmployeeData[Status], ROW() - 37), "")</f>
        <v/>
      </c>
    </row>
    <row r="1277" spans="2:10" ht="19.95" customHeight="1" x14ac:dyDescent="0.3">
      <c r="B1277" s="4" t="str" cm="1">
        <f t="array" ref="B1277">IFERROR(INDEX(EmployeeData[Employee ID], ROW() - 37), "")</f>
        <v/>
      </c>
      <c r="C1277" s="4" t="str" cm="1">
        <f t="array" ref="C1277">IFERROR(INDEX(EmployeeData[Full Name], ROW() - 37), "")</f>
        <v/>
      </c>
      <c r="D1277" s="4" t="str" cm="1">
        <f t="array" ref="D1277">IFERROR(INDEX(EmployeeData[Department], ROW() - 37), "")</f>
        <v/>
      </c>
      <c r="E1277" s="4" t="str" cm="1">
        <f t="array" ref="E1277">IFERROR(INDEX(EmployeeData[Gender], ROW() - 37), "")</f>
        <v/>
      </c>
      <c r="F1277" s="4" t="str" cm="1">
        <f t="array" ref="F1277">IFERROR(INDEX(EmployeeData[Age], ROW() - 37), "")</f>
        <v/>
      </c>
      <c r="G1277" s="6" t="str" cm="1">
        <f t="array" ref="G1277">IFERROR(INDEX(EmployeeData[Join Date], ROW() - 37), "")</f>
        <v/>
      </c>
      <c r="H1277" s="6" t="str" cm="1">
        <f t="array" ref="H1277">IFERROR(IF(INDEX(EmployeeData[Exit Date], ROW() - 37)=0, "",INDEX(EmployeeData[Exit Date], ROW() - 37)),"")</f>
        <v/>
      </c>
      <c r="I1277" s="4" t="str" cm="1">
        <f t="array" ref="I1277">IFERROR(IF(INDEX(EmployeeData[Exit Reason], ROW() - 37)=0, "",INDEX(EmployeeData[Exit Reason], ROW() - 37)),"")</f>
        <v/>
      </c>
      <c r="J1277" s="4" t="str" cm="1">
        <f t="array" ref="J1277">IFERROR(INDEX(EmployeeData[Status], ROW() - 37), "")</f>
        <v/>
      </c>
    </row>
    <row r="1278" spans="2:10" ht="19.95" customHeight="1" x14ac:dyDescent="0.3">
      <c r="B1278" s="4" t="str" cm="1">
        <f t="array" ref="B1278">IFERROR(INDEX(EmployeeData[Employee ID], ROW() - 37), "")</f>
        <v/>
      </c>
      <c r="C1278" s="4" t="str" cm="1">
        <f t="array" ref="C1278">IFERROR(INDEX(EmployeeData[Full Name], ROW() - 37), "")</f>
        <v/>
      </c>
      <c r="D1278" s="4" t="str" cm="1">
        <f t="array" ref="D1278">IFERROR(INDEX(EmployeeData[Department], ROW() - 37), "")</f>
        <v/>
      </c>
      <c r="E1278" s="4" t="str" cm="1">
        <f t="array" ref="E1278">IFERROR(INDEX(EmployeeData[Gender], ROW() - 37), "")</f>
        <v/>
      </c>
      <c r="F1278" s="4" t="str" cm="1">
        <f t="array" ref="F1278">IFERROR(INDEX(EmployeeData[Age], ROW() - 37), "")</f>
        <v/>
      </c>
      <c r="G1278" s="6" t="str" cm="1">
        <f t="array" ref="G1278">IFERROR(INDEX(EmployeeData[Join Date], ROW() - 37), "")</f>
        <v/>
      </c>
      <c r="H1278" s="6" t="str" cm="1">
        <f t="array" ref="H1278">IFERROR(IF(INDEX(EmployeeData[Exit Date], ROW() - 37)=0, "",INDEX(EmployeeData[Exit Date], ROW() - 37)),"")</f>
        <v/>
      </c>
      <c r="I1278" s="4" t="str" cm="1">
        <f t="array" ref="I1278">IFERROR(IF(INDEX(EmployeeData[Exit Reason], ROW() - 37)=0, "",INDEX(EmployeeData[Exit Reason], ROW() - 37)),"")</f>
        <v/>
      </c>
      <c r="J1278" s="4" t="str" cm="1">
        <f t="array" ref="J1278">IFERROR(INDEX(EmployeeData[Status], ROW() - 37), "")</f>
        <v/>
      </c>
    </row>
    <row r="1279" spans="2:10" ht="19.95" customHeight="1" x14ac:dyDescent="0.3">
      <c r="B1279" s="4" t="str" cm="1">
        <f t="array" ref="B1279">IFERROR(INDEX(EmployeeData[Employee ID], ROW() - 37), "")</f>
        <v/>
      </c>
      <c r="C1279" s="4" t="str" cm="1">
        <f t="array" ref="C1279">IFERROR(INDEX(EmployeeData[Full Name], ROW() - 37), "")</f>
        <v/>
      </c>
      <c r="D1279" s="4" t="str" cm="1">
        <f t="array" ref="D1279">IFERROR(INDEX(EmployeeData[Department], ROW() - 37), "")</f>
        <v/>
      </c>
      <c r="E1279" s="4" t="str" cm="1">
        <f t="array" ref="E1279">IFERROR(INDEX(EmployeeData[Gender], ROW() - 37), "")</f>
        <v/>
      </c>
      <c r="F1279" s="4" t="str" cm="1">
        <f t="array" ref="F1279">IFERROR(INDEX(EmployeeData[Age], ROW() - 37), "")</f>
        <v/>
      </c>
      <c r="G1279" s="6" t="str" cm="1">
        <f t="array" ref="G1279">IFERROR(INDEX(EmployeeData[Join Date], ROW() - 37), "")</f>
        <v/>
      </c>
      <c r="H1279" s="6" t="str" cm="1">
        <f t="array" ref="H1279">IFERROR(IF(INDEX(EmployeeData[Exit Date], ROW() - 37)=0, "",INDEX(EmployeeData[Exit Date], ROW() - 37)),"")</f>
        <v/>
      </c>
      <c r="I1279" s="4" t="str" cm="1">
        <f t="array" ref="I1279">IFERROR(IF(INDEX(EmployeeData[Exit Reason], ROW() - 37)=0, "",INDEX(EmployeeData[Exit Reason], ROW() - 37)),"")</f>
        <v/>
      </c>
      <c r="J1279" s="4" t="str" cm="1">
        <f t="array" ref="J1279">IFERROR(INDEX(EmployeeData[Status], ROW() - 37), "")</f>
        <v/>
      </c>
    </row>
    <row r="1280" spans="2:10" ht="19.95" customHeight="1" x14ac:dyDescent="0.3">
      <c r="B1280" s="4" t="str" cm="1">
        <f t="array" ref="B1280">IFERROR(INDEX(EmployeeData[Employee ID], ROW() - 37), "")</f>
        <v/>
      </c>
      <c r="C1280" s="4" t="str" cm="1">
        <f t="array" ref="C1280">IFERROR(INDEX(EmployeeData[Full Name], ROW() - 37), "")</f>
        <v/>
      </c>
      <c r="D1280" s="4" t="str" cm="1">
        <f t="array" ref="D1280">IFERROR(INDEX(EmployeeData[Department], ROW() - 37), "")</f>
        <v/>
      </c>
      <c r="E1280" s="4" t="str" cm="1">
        <f t="array" ref="E1280">IFERROR(INDEX(EmployeeData[Gender], ROW() - 37), "")</f>
        <v/>
      </c>
      <c r="F1280" s="4" t="str" cm="1">
        <f t="array" ref="F1280">IFERROR(INDEX(EmployeeData[Age], ROW() - 37), "")</f>
        <v/>
      </c>
      <c r="G1280" s="6" t="str" cm="1">
        <f t="array" ref="G1280">IFERROR(INDEX(EmployeeData[Join Date], ROW() - 37), "")</f>
        <v/>
      </c>
      <c r="H1280" s="6" t="str" cm="1">
        <f t="array" ref="H1280">IFERROR(IF(INDEX(EmployeeData[Exit Date], ROW() - 37)=0, "",INDEX(EmployeeData[Exit Date], ROW() - 37)),"")</f>
        <v/>
      </c>
      <c r="I1280" s="4" t="str" cm="1">
        <f t="array" ref="I1280">IFERROR(IF(INDEX(EmployeeData[Exit Reason], ROW() - 37)=0, "",INDEX(EmployeeData[Exit Reason], ROW() - 37)),"")</f>
        <v/>
      </c>
      <c r="J1280" s="4" t="str" cm="1">
        <f t="array" ref="J1280">IFERROR(INDEX(EmployeeData[Status], ROW() - 37), "")</f>
        <v/>
      </c>
    </row>
    <row r="1281" spans="2:10" ht="19.95" customHeight="1" x14ac:dyDescent="0.3">
      <c r="B1281" s="4" t="str" cm="1">
        <f t="array" ref="B1281">IFERROR(INDEX(EmployeeData[Employee ID], ROW() - 37), "")</f>
        <v/>
      </c>
      <c r="C1281" s="4" t="str" cm="1">
        <f t="array" ref="C1281">IFERROR(INDEX(EmployeeData[Full Name], ROW() - 37), "")</f>
        <v/>
      </c>
      <c r="D1281" s="4" t="str" cm="1">
        <f t="array" ref="D1281">IFERROR(INDEX(EmployeeData[Department], ROW() - 37), "")</f>
        <v/>
      </c>
      <c r="E1281" s="4" t="str" cm="1">
        <f t="array" ref="E1281">IFERROR(INDEX(EmployeeData[Gender], ROW() - 37), "")</f>
        <v/>
      </c>
      <c r="F1281" s="4" t="str" cm="1">
        <f t="array" ref="F1281">IFERROR(INDEX(EmployeeData[Age], ROW() - 37), "")</f>
        <v/>
      </c>
      <c r="G1281" s="6" t="str" cm="1">
        <f t="array" ref="G1281">IFERROR(INDEX(EmployeeData[Join Date], ROW() - 37), "")</f>
        <v/>
      </c>
      <c r="H1281" s="6" t="str" cm="1">
        <f t="array" ref="H1281">IFERROR(IF(INDEX(EmployeeData[Exit Date], ROW() - 37)=0, "",INDEX(EmployeeData[Exit Date], ROW() - 37)),"")</f>
        <v/>
      </c>
      <c r="I1281" s="4" t="str" cm="1">
        <f t="array" ref="I1281">IFERROR(IF(INDEX(EmployeeData[Exit Reason], ROW() - 37)=0, "",INDEX(EmployeeData[Exit Reason], ROW() - 37)),"")</f>
        <v/>
      </c>
      <c r="J1281" s="4" t="str" cm="1">
        <f t="array" ref="J1281">IFERROR(INDEX(EmployeeData[Status], ROW() - 37), "")</f>
        <v/>
      </c>
    </row>
    <row r="1282" spans="2:10" ht="19.95" customHeight="1" x14ac:dyDescent="0.3">
      <c r="B1282" s="4" t="str" cm="1">
        <f t="array" ref="B1282">IFERROR(INDEX(EmployeeData[Employee ID], ROW() - 37), "")</f>
        <v/>
      </c>
      <c r="C1282" s="4" t="str" cm="1">
        <f t="array" ref="C1282">IFERROR(INDEX(EmployeeData[Full Name], ROW() - 37), "")</f>
        <v/>
      </c>
      <c r="D1282" s="4" t="str" cm="1">
        <f t="array" ref="D1282">IFERROR(INDEX(EmployeeData[Department], ROW() - 37), "")</f>
        <v/>
      </c>
      <c r="E1282" s="4" t="str" cm="1">
        <f t="array" ref="E1282">IFERROR(INDEX(EmployeeData[Gender], ROW() - 37), "")</f>
        <v/>
      </c>
      <c r="F1282" s="4" t="str" cm="1">
        <f t="array" ref="F1282">IFERROR(INDEX(EmployeeData[Age], ROW() - 37), "")</f>
        <v/>
      </c>
      <c r="G1282" s="6" t="str" cm="1">
        <f t="array" ref="G1282">IFERROR(INDEX(EmployeeData[Join Date], ROW() - 37), "")</f>
        <v/>
      </c>
      <c r="H1282" s="6" t="str" cm="1">
        <f t="array" ref="H1282">IFERROR(IF(INDEX(EmployeeData[Exit Date], ROW() - 37)=0, "",INDEX(EmployeeData[Exit Date], ROW() - 37)),"")</f>
        <v/>
      </c>
      <c r="I1282" s="4" t="str" cm="1">
        <f t="array" ref="I1282">IFERROR(IF(INDEX(EmployeeData[Exit Reason], ROW() - 37)=0, "",INDEX(EmployeeData[Exit Reason], ROW() - 37)),"")</f>
        <v/>
      </c>
      <c r="J1282" s="4" t="str" cm="1">
        <f t="array" ref="J1282">IFERROR(INDEX(EmployeeData[Status], ROW() - 37), "")</f>
        <v/>
      </c>
    </row>
    <row r="1283" spans="2:10" ht="19.95" customHeight="1" x14ac:dyDescent="0.3">
      <c r="B1283" s="4" t="str" cm="1">
        <f t="array" ref="B1283">IFERROR(INDEX(EmployeeData[Employee ID], ROW() - 37), "")</f>
        <v/>
      </c>
      <c r="C1283" s="4" t="str" cm="1">
        <f t="array" ref="C1283">IFERROR(INDEX(EmployeeData[Full Name], ROW() - 37), "")</f>
        <v/>
      </c>
      <c r="D1283" s="4" t="str" cm="1">
        <f t="array" ref="D1283">IFERROR(INDEX(EmployeeData[Department], ROW() - 37), "")</f>
        <v/>
      </c>
      <c r="E1283" s="4" t="str" cm="1">
        <f t="array" ref="E1283">IFERROR(INDEX(EmployeeData[Gender], ROW() - 37), "")</f>
        <v/>
      </c>
      <c r="F1283" s="4" t="str" cm="1">
        <f t="array" ref="F1283">IFERROR(INDEX(EmployeeData[Age], ROW() - 37), "")</f>
        <v/>
      </c>
      <c r="G1283" s="6" t="str" cm="1">
        <f t="array" ref="G1283">IFERROR(INDEX(EmployeeData[Join Date], ROW() - 37), "")</f>
        <v/>
      </c>
      <c r="H1283" s="6" t="str" cm="1">
        <f t="array" ref="H1283">IFERROR(IF(INDEX(EmployeeData[Exit Date], ROW() - 37)=0, "",INDEX(EmployeeData[Exit Date], ROW() - 37)),"")</f>
        <v/>
      </c>
      <c r="I1283" s="4" t="str" cm="1">
        <f t="array" ref="I1283">IFERROR(IF(INDEX(EmployeeData[Exit Reason], ROW() - 37)=0, "",INDEX(EmployeeData[Exit Reason], ROW() - 37)),"")</f>
        <v/>
      </c>
      <c r="J1283" s="4" t="str" cm="1">
        <f t="array" ref="J1283">IFERROR(INDEX(EmployeeData[Status], ROW() - 37), "")</f>
        <v/>
      </c>
    </row>
    <row r="1284" spans="2:10" ht="19.95" customHeight="1" x14ac:dyDescent="0.3">
      <c r="B1284" s="4" t="str" cm="1">
        <f t="array" ref="B1284">IFERROR(INDEX(EmployeeData[Employee ID], ROW() - 37), "")</f>
        <v/>
      </c>
      <c r="C1284" s="4" t="str" cm="1">
        <f t="array" ref="C1284">IFERROR(INDEX(EmployeeData[Full Name], ROW() - 37), "")</f>
        <v/>
      </c>
      <c r="D1284" s="4" t="str" cm="1">
        <f t="array" ref="D1284">IFERROR(INDEX(EmployeeData[Department], ROW() - 37), "")</f>
        <v/>
      </c>
      <c r="E1284" s="4" t="str" cm="1">
        <f t="array" ref="E1284">IFERROR(INDEX(EmployeeData[Gender], ROW() - 37), "")</f>
        <v/>
      </c>
      <c r="F1284" s="4" t="str" cm="1">
        <f t="array" ref="F1284">IFERROR(INDEX(EmployeeData[Age], ROW() - 37), "")</f>
        <v/>
      </c>
      <c r="G1284" s="6" t="str" cm="1">
        <f t="array" ref="G1284">IFERROR(INDEX(EmployeeData[Join Date], ROW() - 37), "")</f>
        <v/>
      </c>
      <c r="H1284" s="6" t="str" cm="1">
        <f t="array" ref="H1284">IFERROR(IF(INDEX(EmployeeData[Exit Date], ROW() - 37)=0, "",INDEX(EmployeeData[Exit Date], ROW() - 37)),"")</f>
        <v/>
      </c>
      <c r="I1284" s="4" t="str" cm="1">
        <f t="array" ref="I1284">IFERROR(IF(INDEX(EmployeeData[Exit Reason], ROW() - 37)=0, "",INDEX(EmployeeData[Exit Reason], ROW() - 37)),"")</f>
        <v/>
      </c>
      <c r="J1284" s="4" t="str" cm="1">
        <f t="array" ref="J1284">IFERROR(INDEX(EmployeeData[Status], ROW() - 37), "")</f>
        <v/>
      </c>
    </row>
    <row r="1285" spans="2:10" ht="19.95" customHeight="1" x14ac:dyDescent="0.3">
      <c r="B1285" s="4" t="str" cm="1">
        <f t="array" ref="B1285">IFERROR(INDEX(EmployeeData[Employee ID], ROW() - 37), "")</f>
        <v/>
      </c>
      <c r="C1285" s="4" t="str" cm="1">
        <f t="array" ref="C1285">IFERROR(INDEX(EmployeeData[Full Name], ROW() - 37), "")</f>
        <v/>
      </c>
      <c r="D1285" s="4" t="str" cm="1">
        <f t="array" ref="D1285">IFERROR(INDEX(EmployeeData[Department], ROW() - 37), "")</f>
        <v/>
      </c>
      <c r="E1285" s="4" t="str" cm="1">
        <f t="array" ref="E1285">IFERROR(INDEX(EmployeeData[Gender], ROW() - 37), "")</f>
        <v/>
      </c>
      <c r="F1285" s="4" t="str" cm="1">
        <f t="array" ref="F1285">IFERROR(INDEX(EmployeeData[Age], ROW() - 37), "")</f>
        <v/>
      </c>
      <c r="G1285" s="6" t="str" cm="1">
        <f t="array" ref="G1285">IFERROR(INDEX(EmployeeData[Join Date], ROW() - 37), "")</f>
        <v/>
      </c>
      <c r="H1285" s="6" t="str" cm="1">
        <f t="array" ref="H1285">IFERROR(IF(INDEX(EmployeeData[Exit Date], ROW() - 37)=0, "",INDEX(EmployeeData[Exit Date], ROW() - 37)),"")</f>
        <v/>
      </c>
      <c r="I1285" s="4" t="str" cm="1">
        <f t="array" ref="I1285">IFERROR(IF(INDEX(EmployeeData[Exit Reason], ROW() - 37)=0, "",INDEX(EmployeeData[Exit Reason], ROW() - 37)),"")</f>
        <v/>
      </c>
      <c r="J1285" s="4" t="str" cm="1">
        <f t="array" ref="J1285">IFERROR(INDEX(EmployeeData[Status], ROW() - 37), "")</f>
        <v/>
      </c>
    </row>
    <row r="1286" spans="2:10" ht="19.95" customHeight="1" x14ac:dyDescent="0.3">
      <c r="B1286" s="4" t="str" cm="1">
        <f t="array" ref="B1286">IFERROR(INDEX(EmployeeData[Employee ID], ROW() - 37), "")</f>
        <v/>
      </c>
      <c r="C1286" s="4" t="str" cm="1">
        <f t="array" ref="C1286">IFERROR(INDEX(EmployeeData[Full Name], ROW() - 37), "")</f>
        <v/>
      </c>
      <c r="D1286" s="4" t="str" cm="1">
        <f t="array" ref="D1286">IFERROR(INDEX(EmployeeData[Department], ROW() - 37), "")</f>
        <v/>
      </c>
      <c r="E1286" s="4" t="str" cm="1">
        <f t="array" ref="E1286">IFERROR(INDEX(EmployeeData[Gender], ROW() - 37), "")</f>
        <v/>
      </c>
      <c r="F1286" s="4" t="str" cm="1">
        <f t="array" ref="F1286">IFERROR(INDEX(EmployeeData[Age], ROW() - 37), "")</f>
        <v/>
      </c>
      <c r="G1286" s="6" t="str" cm="1">
        <f t="array" ref="G1286">IFERROR(INDEX(EmployeeData[Join Date], ROW() - 37), "")</f>
        <v/>
      </c>
      <c r="H1286" s="6" t="str" cm="1">
        <f t="array" ref="H1286">IFERROR(IF(INDEX(EmployeeData[Exit Date], ROW() - 37)=0, "",INDEX(EmployeeData[Exit Date], ROW() - 37)),"")</f>
        <v/>
      </c>
      <c r="I1286" s="4" t="str" cm="1">
        <f t="array" ref="I1286">IFERROR(IF(INDEX(EmployeeData[Exit Reason], ROW() - 37)=0, "",INDEX(EmployeeData[Exit Reason], ROW() - 37)),"")</f>
        <v/>
      </c>
      <c r="J1286" s="4" t="str" cm="1">
        <f t="array" ref="J1286">IFERROR(INDEX(EmployeeData[Status], ROW() - 37), "")</f>
        <v/>
      </c>
    </row>
    <row r="1287" spans="2:10" ht="19.95" customHeight="1" x14ac:dyDescent="0.3">
      <c r="B1287" s="4" t="str" cm="1">
        <f t="array" ref="B1287">IFERROR(INDEX(EmployeeData[Employee ID], ROW() - 37), "")</f>
        <v/>
      </c>
      <c r="C1287" s="4" t="str" cm="1">
        <f t="array" ref="C1287">IFERROR(INDEX(EmployeeData[Full Name], ROW() - 37), "")</f>
        <v/>
      </c>
      <c r="D1287" s="4" t="str" cm="1">
        <f t="array" ref="D1287">IFERROR(INDEX(EmployeeData[Department], ROW() - 37), "")</f>
        <v/>
      </c>
      <c r="E1287" s="4" t="str" cm="1">
        <f t="array" ref="E1287">IFERROR(INDEX(EmployeeData[Gender], ROW() - 37), "")</f>
        <v/>
      </c>
      <c r="F1287" s="4" t="str" cm="1">
        <f t="array" ref="F1287">IFERROR(INDEX(EmployeeData[Age], ROW() - 37), "")</f>
        <v/>
      </c>
      <c r="G1287" s="6" t="str" cm="1">
        <f t="array" ref="G1287">IFERROR(INDEX(EmployeeData[Join Date], ROW() - 37), "")</f>
        <v/>
      </c>
      <c r="H1287" s="6" t="str" cm="1">
        <f t="array" ref="H1287">IFERROR(IF(INDEX(EmployeeData[Exit Date], ROW() - 37)=0, "",INDEX(EmployeeData[Exit Date], ROW() - 37)),"")</f>
        <v/>
      </c>
      <c r="I1287" s="4" t="str" cm="1">
        <f t="array" ref="I1287">IFERROR(IF(INDEX(EmployeeData[Exit Reason], ROW() - 37)=0, "",INDEX(EmployeeData[Exit Reason], ROW() - 37)),"")</f>
        <v/>
      </c>
      <c r="J1287" s="4" t="str" cm="1">
        <f t="array" ref="J1287">IFERROR(INDEX(EmployeeData[Status], ROW() - 37), "")</f>
        <v/>
      </c>
    </row>
    <row r="1288" spans="2:10" ht="19.95" customHeight="1" x14ac:dyDescent="0.3">
      <c r="B1288" s="4" t="str" cm="1">
        <f t="array" ref="B1288">IFERROR(INDEX(EmployeeData[Employee ID], ROW() - 37), "")</f>
        <v/>
      </c>
      <c r="C1288" s="4" t="str" cm="1">
        <f t="array" ref="C1288">IFERROR(INDEX(EmployeeData[Full Name], ROW() - 37), "")</f>
        <v/>
      </c>
      <c r="D1288" s="4" t="str" cm="1">
        <f t="array" ref="D1288">IFERROR(INDEX(EmployeeData[Department], ROW() - 37), "")</f>
        <v/>
      </c>
      <c r="E1288" s="4" t="str" cm="1">
        <f t="array" ref="E1288">IFERROR(INDEX(EmployeeData[Gender], ROW() - 37), "")</f>
        <v/>
      </c>
      <c r="F1288" s="4" t="str" cm="1">
        <f t="array" ref="F1288">IFERROR(INDEX(EmployeeData[Age], ROW() - 37), "")</f>
        <v/>
      </c>
      <c r="G1288" s="6" t="str" cm="1">
        <f t="array" ref="G1288">IFERROR(INDEX(EmployeeData[Join Date], ROW() - 37), "")</f>
        <v/>
      </c>
      <c r="H1288" s="6" t="str" cm="1">
        <f t="array" ref="H1288">IFERROR(IF(INDEX(EmployeeData[Exit Date], ROW() - 37)=0, "",INDEX(EmployeeData[Exit Date], ROW() - 37)),"")</f>
        <v/>
      </c>
      <c r="I1288" s="4" t="str" cm="1">
        <f t="array" ref="I1288">IFERROR(IF(INDEX(EmployeeData[Exit Reason], ROW() - 37)=0, "",INDEX(EmployeeData[Exit Reason], ROW() - 37)),"")</f>
        <v/>
      </c>
      <c r="J1288" s="4" t="str" cm="1">
        <f t="array" ref="J1288">IFERROR(INDEX(EmployeeData[Status], ROW() - 37), "")</f>
        <v/>
      </c>
    </row>
    <row r="1289" spans="2:10" ht="19.95" customHeight="1" x14ac:dyDescent="0.3">
      <c r="B1289" s="4" t="str" cm="1">
        <f t="array" ref="B1289">IFERROR(INDEX(EmployeeData[Employee ID], ROW() - 37), "")</f>
        <v/>
      </c>
      <c r="C1289" s="4" t="str" cm="1">
        <f t="array" ref="C1289">IFERROR(INDEX(EmployeeData[Full Name], ROW() - 37), "")</f>
        <v/>
      </c>
      <c r="D1289" s="4" t="str" cm="1">
        <f t="array" ref="D1289">IFERROR(INDEX(EmployeeData[Department], ROW() - 37), "")</f>
        <v/>
      </c>
      <c r="E1289" s="4" t="str" cm="1">
        <f t="array" ref="E1289">IFERROR(INDEX(EmployeeData[Gender], ROW() - 37), "")</f>
        <v/>
      </c>
      <c r="F1289" s="4" t="str" cm="1">
        <f t="array" ref="F1289">IFERROR(INDEX(EmployeeData[Age], ROW() - 37), "")</f>
        <v/>
      </c>
      <c r="G1289" s="6" t="str" cm="1">
        <f t="array" ref="G1289">IFERROR(INDEX(EmployeeData[Join Date], ROW() - 37), "")</f>
        <v/>
      </c>
      <c r="H1289" s="6" t="str" cm="1">
        <f t="array" ref="H1289">IFERROR(IF(INDEX(EmployeeData[Exit Date], ROW() - 37)=0, "",INDEX(EmployeeData[Exit Date], ROW() - 37)),"")</f>
        <v/>
      </c>
      <c r="I1289" s="4" t="str" cm="1">
        <f t="array" ref="I1289">IFERROR(IF(INDEX(EmployeeData[Exit Reason], ROW() - 37)=0, "",INDEX(EmployeeData[Exit Reason], ROW() - 37)),"")</f>
        <v/>
      </c>
      <c r="J1289" s="4" t="str" cm="1">
        <f t="array" ref="J1289">IFERROR(INDEX(EmployeeData[Status], ROW() - 37), "")</f>
        <v/>
      </c>
    </row>
    <row r="1290" spans="2:10" ht="19.95" customHeight="1" x14ac:dyDescent="0.3">
      <c r="B1290" s="4" t="str" cm="1">
        <f t="array" ref="B1290">IFERROR(INDEX(EmployeeData[Employee ID], ROW() - 37), "")</f>
        <v/>
      </c>
      <c r="C1290" s="4" t="str" cm="1">
        <f t="array" ref="C1290">IFERROR(INDEX(EmployeeData[Full Name], ROW() - 37), "")</f>
        <v/>
      </c>
      <c r="D1290" s="4" t="str" cm="1">
        <f t="array" ref="D1290">IFERROR(INDEX(EmployeeData[Department], ROW() - 37), "")</f>
        <v/>
      </c>
      <c r="E1290" s="4" t="str" cm="1">
        <f t="array" ref="E1290">IFERROR(INDEX(EmployeeData[Gender], ROW() - 37), "")</f>
        <v/>
      </c>
      <c r="F1290" s="4" t="str" cm="1">
        <f t="array" ref="F1290">IFERROR(INDEX(EmployeeData[Age], ROW() - 37), "")</f>
        <v/>
      </c>
      <c r="G1290" s="6" t="str" cm="1">
        <f t="array" ref="G1290">IFERROR(INDEX(EmployeeData[Join Date], ROW() - 37), "")</f>
        <v/>
      </c>
      <c r="H1290" s="6" t="str" cm="1">
        <f t="array" ref="H1290">IFERROR(IF(INDEX(EmployeeData[Exit Date], ROW() - 37)=0, "",INDEX(EmployeeData[Exit Date], ROW() - 37)),"")</f>
        <v/>
      </c>
      <c r="I1290" s="4" t="str" cm="1">
        <f t="array" ref="I1290">IFERROR(IF(INDEX(EmployeeData[Exit Reason], ROW() - 37)=0, "",INDEX(EmployeeData[Exit Reason], ROW() - 37)),"")</f>
        <v/>
      </c>
      <c r="J1290" s="4" t="str" cm="1">
        <f t="array" ref="J1290">IFERROR(INDEX(EmployeeData[Status], ROW() - 37), "")</f>
        <v/>
      </c>
    </row>
    <row r="1291" spans="2:10" ht="19.95" customHeight="1" x14ac:dyDescent="0.3">
      <c r="B1291" s="4" t="str" cm="1">
        <f t="array" ref="B1291">IFERROR(INDEX(EmployeeData[Employee ID], ROW() - 37), "")</f>
        <v/>
      </c>
      <c r="C1291" s="4" t="str" cm="1">
        <f t="array" ref="C1291">IFERROR(INDEX(EmployeeData[Full Name], ROW() - 37), "")</f>
        <v/>
      </c>
      <c r="D1291" s="4" t="str" cm="1">
        <f t="array" ref="D1291">IFERROR(INDEX(EmployeeData[Department], ROW() - 37), "")</f>
        <v/>
      </c>
      <c r="E1291" s="4" t="str" cm="1">
        <f t="array" ref="E1291">IFERROR(INDEX(EmployeeData[Gender], ROW() - 37), "")</f>
        <v/>
      </c>
      <c r="F1291" s="4" t="str" cm="1">
        <f t="array" ref="F1291">IFERROR(INDEX(EmployeeData[Age], ROW() - 37), "")</f>
        <v/>
      </c>
      <c r="G1291" s="6" t="str" cm="1">
        <f t="array" ref="G1291">IFERROR(INDEX(EmployeeData[Join Date], ROW() - 37), "")</f>
        <v/>
      </c>
      <c r="H1291" s="6" t="str" cm="1">
        <f t="array" ref="H1291">IFERROR(IF(INDEX(EmployeeData[Exit Date], ROW() - 37)=0, "",INDEX(EmployeeData[Exit Date], ROW() - 37)),"")</f>
        <v/>
      </c>
      <c r="I1291" s="4" t="str" cm="1">
        <f t="array" ref="I1291">IFERROR(IF(INDEX(EmployeeData[Exit Reason], ROW() - 37)=0, "",INDEX(EmployeeData[Exit Reason], ROW() - 37)),"")</f>
        <v/>
      </c>
      <c r="J1291" s="4" t="str" cm="1">
        <f t="array" ref="J1291">IFERROR(INDEX(EmployeeData[Status], ROW() - 37), "")</f>
        <v/>
      </c>
    </row>
    <row r="1292" spans="2:10" ht="19.95" customHeight="1" x14ac:dyDescent="0.3">
      <c r="B1292" s="4" t="str" cm="1">
        <f t="array" ref="B1292">IFERROR(INDEX(EmployeeData[Employee ID], ROW() - 37), "")</f>
        <v/>
      </c>
      <c r="C1292" s="4" t="str" cm="1">
        <f t="array" ref="C1292">IFERROR(INDEX(EmployeeData[Full Name], ROW() - 37), "")</f>
        <v/>
      </c>
      <c r="D1292" s="4" t="str" cm="1">
        <f t="array" ref="D1292">IFERROR(INDEX(EmployeeData[Department], ROW() - 37), "")</f>
        <v/>
      </c>
      <c r="E1292" s="4" t="str" cm="1">
        <f t="array" ref="E1292">IFERROR(INDEX(EmployeeData[Gender], ROW() - 37), "")</f>
        <v/>
      </c>
      <c r="F1292" s="4" t="str" cm="1">
        <f t="array" ref="F1292">IFERROR(INDEX(EmployeeData[Age], ROW() - 37), "")</f>
        <v/>
      </c>
      <c r="G1292" s="6" t="str" cm="1">
        <f t="array" ref="G1292">IFERROR(INDEX(EmployeeData[Join Date], ROW() - 37), "")</f>
        <v/>
      </c>
      <c r="H1292" s="6" t="str" cm="1">
        <f t="array" ref="H1292">IFERROR(IF(INDEX(EmployeeData[Exit Date], ROW() - 37)=0, "",INDEX(EmployeeData[Exit Date], ROW() - 37)),"")</f>
        <v/>
      </c>
      <c r="I1292" s="4" t="str" cm="1">
        <f t="array" ref="I1292">IFERROR(IF(INDEX(EmployeeData[Exit Reason], ROW() - 37)=0, "",INDEX(EmployeeData[Exit Reason], ROW() - 37)),"")</f>
        <v/>
      </c>
      <c r="J1292" s="4" t="str" cm="1">
        <f t="array" ref="J1292">IFERROR(INDEX(EmployeeData[Status], ROW() - 37), "")</f>
        <v/>
      </c>
    </row>
    <row r="1293" spans="2:10" ht="19.95" customHeight="1" x14ac:dyDescent="0.3">
      <c r="B1293" s="4" t="str" cm="1">
        <f t="array" ref="B1293">IFERROR(INDEX(EmployeeData[Employee ID], ROW() - 37), "")</f>
        <v/>
      </c>
      <c r="C1293" s="4" t="str" cm="1">
        <f t="array" ref="C1293">IFERROR(INDEX(EmployeeData[Full Name], ROW() - 37), "")</f>
        <v/>
      </c>
      <c r="D1293" s="4" t="str" cm="1">
        <f t="array" ref="D1293">IFERROR(INDEX(EmployeeData[Department], ROW() - 37), "")</f>
        <v/>
      </c>
      <c r="E1293" s="4" t="str" cm="1">
        <f t="array" ref="E1293">IFERROR(INDEX(EmployeeData[Gender], ROW() - 37), "")</f>
        <v/>
      </c>
      <c r="F1293" s="4" t="str" cm="1">
        <f t="array" ref="F1293">IFERROR(INDEX(EmployeeData[Age], ROW() - 37), "")</f>
        <v/>
      </c>
      <c r="G1293" s="6" t="str" cm="1">
        <f t="array" ref="G1293">IFERROR(INDEX(EmployeeData[Join Date], ROW() - 37), "")</f>
        <v/>
      </c>
      <c r="H1293" s="6" t="str" cm="1">
        <f t="array" ref="H1293">IFERROR(IF(INDEX(EmployeeData[Exit Date], ROW() - 37)=0, "",INDEX(EmployeeData[Exit Date], ROW() - 37)),"")</f>
        <v/>
      </c>
      <c r="I1293" s="4" t="str" cm="1">
        <f t="array" ref="I1293">IFERROR(IF(INDEX(EmployeeData[Exit Reason], ROW() - 37)=0, "",INDEX(EmployeeData[Exit Reason], ROW() - 37)),"")</f>
        <v/>
      </c>
      <c r="J1293" s="4" t="str" cm="1">
        <f t="array" ref="J1293">IFERROR(INDEX(EmployeeData[Status], ROW() - 37), "")</f>
        <v/>
      </c>
    </row>
    <row r="1294" spans="2:10" ht="19.95" customHeight="1" x14ac:dyDescent="0.3">
      <c r="B1294" s="4" t="str" cm="1">
        <f t="array" ref="B1294">IFERROR(INDEX(EmployeeData[Employee ID], ROW() - 37), "")</f>
        <v/>
      </c>
      <c r="C1294" s="4" t="str" cm="1">
        <f t="array" ref="C1294">IFERROR(INDEX(EmployeeData[Full Name], ROW() - 37), "")</f>
        <v/>
      </c>
      <c r="D1294" s="4" t="str" cm="1">
        <f t="array" ref="D1294">IFERROR(INDEX(EmployeeData[Department], ROW() - 37), "")</f>
        <v/>
      </c>
      <c r="E1294" s="4" t="str" cm="1">
        <f t="array" ref="E1294">IFERROR(INDEX(EmployeeData[Gender], ROW() - 37), "")</f>
        <v/>
      </c>
      <c r="F1294" s="4" t="str" cm="1">
        <f t="array" ref="F1294">IFERROR(INDEX(EmployeeData[Age], ROW() - 37), "")</f>
        <v/>
      </c>
      <c r="G1294" s="6" t="str" cm="1">
        <f t="array" ref="G1294">IFERROR(INDEX(EmployeeData[Join Date], ROW() - 37), "")</f>
        <v/>
      </c>
      <c r="H1294" s="6" t="str" cm="1">
        <f t="array" ref="H1294">IFERROR(IF(INDEX(EmployeeData[Exit Date], ROW() - 37)=0, "",INDEX(EmployeeData[Exit Date], ROW() - 37)),"")</f>
        <v/>
      </c>
      <c r="I1294" s="4" t="str" cm="1">
        <f t="array" ref="I1294">IFERROR(IF(INDEX(EmployeeData[Exit Reason], ROW() - 37)=0, "",INDEX(EmployeeData[Exit Reason], ROW() - 37)),"")</f>
        <v/>
      </c>
      <c r="J1294" s="4" t="str" cm="1">
        <f t="array" ref="J1294">IFERROR(INDEX(EmployeeData[Status], ROW() - 37), "")</f>
        <v/>
      </c>
    </row>
    <row r="1295" spans="2:10" ht="19.95" customHeight="1" x14ac:dyDescent="0.3">
      <c r="B1295" s="4" t="str" cm="1">
        <f t="array" ref="B1295">IFERROR(INDEX(EmployeeData[Employee ID], ROW() - 37), "")</f>
        <v/>
      </c>
      <c r="C1295" s="4" t="str" cm="1">
        <f t="array" ref="C1295">IFERROR(INDEX(EmployeeData[Full Name], ROW() - 37), "")</f>
        <v/>
      </c>
      <c r="D1295" s="4" t="str" cm="1">
        <f t="array" ref="D1295">IFERROR(INDEX(EmployeeData[Department], ROW() - 37), "")</f>
        <v/>
      </c>
      <c r="E1295" s="4" t="str" cm="1">
        <f t="array" ref="E1295">IFERROR(INDEX(EmployeeData[Gender], ROW() - 37), "")</f>
        <v/>
      </c>
      <c r="F1295" s="4" t="str" cm="1">
        <f t="array" ref="F1295">IFERROR(INDEX(EmployeeData[Age], ROW() - 37), "")</f>
        <v/>
      </c>
      <c r="G1295" s="6" t="str" cm="1">
        <f t="array" ref="G1295">IFERROR(INDEX(EmployeeData[Join Date], ROW() - 37), "")</f>
        <v/>
      </c>
      <c r="H1295" s="6" t="str" cm="1">
        <f t="array" ref="H1295">IFERROR(IF(INDEX(EmployeeData[Exit Date], ROW() - 37)=0, "",INDEX(EmployeeData[Exit Date], ROW() - 37)),"")</f>
        <v/>
      </c>
      <c r="I1295" s="4" t="str" cm="1">
        <f t="array" ref="I1295">IFERROR(IF(INDEX(EmployeeData[Exit Reason], ROW() - 37)=0, "",INDEX(EmployeeData[Exit Reason], ROW() - 37)),"")</f>
        <v/>
      </c>
      <c r="J1295" s="4" t="str" cm="1">
        <f t="array" ref="J1295">IFERROR(INDEX(EmployeeData[Status], ROW() - 37), "")</f>
        <v/>
      </c>
    </row>
    <row r="1296" spans="2:10" ht="19.95" customHeight="1" x14ac:dyDescent="0.3">
      <c r="B1296" s="4" t="str" cm="1">
        <f t="array" ref="B1296">IFERROR(INDEX(EmployeeData[Employee ID], ROW() - 37), "")</f>
        <v/>
      </c>
      <c r="C1296" s="4" t="str" cm="1">
        <f t="array" ref="C1296">IFERROR(INDEX(EmployeeData[Full Name], ROW() - 37), "")</f>
        <v/>
      </c>
      <c r="D1296" s="4" t="str" cm="1">
        <f t="array" ref="D1296">IFERROR(INDEX(EmployeeData[Department], ROW() - 37), "")</f>
        <v/>
      </c>
      <c r="E1296" s="4" t="str" cm="1">
        <f t="array" ref="E1296">IFERROR(INDEX(EmployeeData[Gender], ROW() - 37), "")</f>
        <v/>
      </c>
      <c r="F1296" s="4" t="str" cm="1">
        <f t="array" ref="F1296">IFERROR(INDEX(EmployeeData[Age], ROW() - 37), "")</f>
        <v/>
      </c>
      <c r="G1296" s="6" t="str" cm="1">
        <f t="array" ref="G1296">IFERROR(INDEX(EmployeeData[Join Date], ROW() - 37), "")</f>
        <v/>
      </c>
      <c r="H1296" s="6" t="str" cm="1">
        <f t="array" ref="H1296">IFERROR(IF(INDEX(EmployeeData[Exit Date], ROW() - 37)=0, "",INDEX(EmployeeData[Exit Date], ROW() - 37)),"")</f>
        <v/>
      </c>
      <c r="I1296" s="4" t="str" cm="1">
        <f t="array" ref="I1296">IFERROR(IF(INDEX(EmployeeData[Exit Reason], ROW() - 37)=0, "",INDEX(EmployeeData[Exit Reason], ROW() - 37)),"")</f>
        <v/>
      </c>
      <c r="J1296" s="4" t="str" cm="1">
        <f t="array" ref="J1296">IFERROR(INDEX(EmployeeData[Status], ROW() - 37), "")</f>
        <v/>
      </c>
    </row>
    <row r="1297" spans="2:10" ht="19.95" customHeight="1" x14ac:dyDescent="0.3">
      <c r="B1297" s="4" t="str" cm="1">
        <f t="array" ref="B1297">IFERROR(INDEX(EmployeeData[Employee ID], ROW() - 37), "")</f>
        <v/>
      </c>
      <c r="C1297" s="4" t="str" cm="1">
        <f t="array" ref="C1297">IFERROR(INDEX(EmployeeData[Full Name], ROW() - 37), "")</f>
        <v/>
      </c>
      <c r="D1297" s="4" t="str" cm="1">
        <f t="array" ref="D1297">IFERROR(INDEX(EmployeeData[Department], ROW() - 37), "")</f>
        <v/>
      </c>
      <c r="E1297" s="4" t="str" cm="1">
        <f t="array" ref="E1297">IFERROR(INDEX(EmployeeData[Gender], ROW() - 37), "")</f>
        <v/>
      </c>
      <c r="F1297" s="4" t="str" cm="1">
        <f t="array" ref="F1297">IFERROR(INDEX(EmployeeData[Age], ROW() - 37), "")</f>
        <v/>
      </c>
      <c r="G1297" s="6" t="str" cm="1">
        <f t="array" ref="G1297">IFERROR(INDEX(EmployeeData[Join Date], ROW() - 37), "")</f>
        <v/>
      </c>
      <c r="H1297" s="6" t="str" cm="1">
        <f t="array" ref="H1297">IFERROR(IF(INDEX(EmployeeData[Exit Date], ROW() - 37)=0, "",INDEX(EmployeeData[Exit Date], ROW() - 37)),"")</f>
        <v/>
      </c>
      <c r="I1297" s="4" t="str" cm="1">
        <f t="array" ref="I1297">IFERROR(IF(INDEX(EmployeeData[Exit Reason], ROW() - 37)=0, "",INDEX(EmployeeData[Exit Reason], ROW() - 37)),"")</f>
        <v/>
      </c>
      <c r="J1297" s="4" t="str" cm="1">
        <f t="array" ref="J1297">IFERROR(INDEX(EmployeeData[Status], ROW() - 37), "")</f>
        <v/>
      </c>
    </row>
    <row r="1298" spans="2:10" ht="19.95" customHeight="1" x14ac:dyDescent="0.3">
      <c r="B1298" s="4" t="str" cm="1">
        <f t="array" ref="B1298">IFERROR(INDEX(EmployeeData[Employee ID], ROW() - 37), "")</f>
        <v/>
      </c>
      <c r="C1298" s="4" t="str" cm="1">
        <f t="array" ref="C1298">IFERROR(INDEX(EmployeeData[Full Name], ROW() - 37), "")</f>
        <v/>
      </c>
      <c r="D1298" s="4" t="str" cm="1">
        <f t="array" ref="D1298">IFERROR(INDEX(EmployeeData[Department], ROW() - 37), "")</f>
        <v/>
      </c>
      <c r="E1298" s="4" t="str" cm="1">
        <f t="array" ref="E1298">IFERROR(INDEX(EmployeeData[Gender], ROW() - 37), "")</f>
        <v/>
      </c>
      <c r="F1298" s="4" t="str" cm="1">
        <f t="array" ref="F1298">IFERROR(INDEX(EmployeeData[Age], ROW() - 37), "")</f>
        <v/>
      </c>
      <c r="G1298" s="6" t="str" cm="1">
        <f t="array" ref="G1298">IFERROR(INDEX(EmployeeData[Join Date], ROW() - 37), "")</f>
        <v/>
      </c>
      <c r="H1298" s="6" t="str" cm="1">
        <f t="array" ref="H1298">IFERROR(IF(INDEX(EmployeeData[Exit Date], ROW() - 37)=0, "",INDEX(EmployeeData[Exit Date], ROW() - 37)),"")</f>
        <v/>
      </c>
      <c r="I1298" s="4" t="str" cm="1">
        <f t="array" ref="I1298">IFERROR(IF(INDEX(EmployeeData[Exit Reason], ROW() - 37)=0, "",INDEX(EmployeeData[Exit Reason], ROW() - 37)),"")</f>
        <v/>
      </c>
      <c r="J1298" s="4" t="str" cm="1">
        <f t="array" ref="J1298">IFERROR(INDEX(EmployeeData[Status], ROW() - 37), "")</f>
        <v/>
      </c>
    </row>
    <row r="1299" spans="2:10" ht="19.95" customHeight="1" x14ac:dyDescent="0.3">
      <c r="B1299" s="4" t="str" cm="1">
        <f t="array" ref="B1299">IFERROR(INDEX(EmployeeData[Employee ID], ROW() - 37), "")</f>
        <v/>
      </c>
      <c r="C1299" s="4" t="str" cm="1">
        <f t="array" ref="C1299">IFERROR(INDEX(EmployeeData[Full Name], ROW() - 37), "")</f>
        <v/>
      </c>
      <c r="D1299" s="4" t="str" cm="1">
        <f t="array" ref="D1299">IFERROR(INDEX(EmployeeData[Department], ROW() - 37), "")</f>
        <v/>
      </c>
      <c r="E1299" s="4" t="str" cm="1">
        <f t="array" ref="E1299">IFERROR(INDEX(EmployeeData[Gender], ROW() - 37), "")</f>
        <v/>
      </c>
      <c r="F1299" s="4" t="str" cm="1">
        <f t="array" ref="F1299">IFERROR(INDEX(EmployeeData[Age], ROW() - 37), "")</f>
        <v/>
      </c>
      <c r="G1299" s="6" t="str" cm="1">
        <f t="array" ref="G1299">IFERROR(INDEX(EmployeeData[Join Date], ROW() - 37), "")</f>
        <v/>
      </c>
      <c r="H1299" s="6" t="str" cm="1">
        <f t="array" ref="H1299">IFERROR(IF(INDEX(EmployeeData[Exit Date], ROW() - 37)=0, "",INDEX(EmployeeData[Exit Date], ROW() - 37)),"")</f>
        <v/>
      </c>
      <c r="I1299" s="4" t="str" cm="1">
        <f t="array" ref="I1299">IFERROR(IF(INDEX(EmployeeData[Exit Reason], ROW() - 37)=0, "",INDEX(EmployeeData[Exit Reason], ROW() - 37)),"")</f>
        <v/>
      </c>
      <c r="J1299" s="4" t="str" cm="1">
        <f t="array" ref="J1299">IFERROR(INDEX(EmployeeData[Status], ROW() - 37), "")</f>
        <v/>
      </c>
    </row>
    <row r="1300" spans="2:10" ht="19.95" customHeight="1" x14ac:dyDescent="0.3">
      <c r="B1300" s="4" t="str" cm="1">
        <f t="array" ref="B1300">IFERROR(INDEX(EmployeeData[Employee ID], ROW() - 37), "")</f>
        <v/>
      </c>
      <c r="C1300" s="4" t="str" cm="1">
        <f t="array" ref="C1300">IFERROR(INDEX(EmployeeData[Full Name], ROW() - 37), "")</f>
        <v/>
      </c>
      <c r="D1300" s="4" t="str" cm="1">
        <f t="array" ref="D1300">IFERROR(INDEX(EmployeeData[Department], ROW() - 37), "")</f>
        <v/>
      </c>
      <c r="E1300" s="4" t="str" cm="1">
        <f t="array" ref="E1300">IFERROR(INDEX(EmployeeData[Gender], ROW() - 37), "")</f>
        <v/>
      </c>
      <c r="F1300" s="4" t="str" cm="1">
        <f t="array" ref="F1300">IFERROR(INDEX(EmployeeData[Age], ROW() - 37), "")</f>
        <v/>
      </c>
      <c r="G1300" s="6" t="str" cm="1">
        <f t="array" ref="G1300">IFERROR(INDEX(EmployeeData[Join Date], ROW() - 37), "")</f>
        <v/>
      </c>
      <c r="H1300" s="6" t="str" cm="1">
        <f t="array" ref="H1300">IFERROR(IF(INDEX(EmployeeData[Exit Date], ROW() - 37)=0, "",INDEX(EmployeeData[Exit Date], ROW() - 37)),"")</f>
        <v/>
      </c>
      <c r="I1300" s="4" t="str" cm="1">
        <f t="array" ref="I1300">IFERROR(IF(INDEX(EmployeeData[Exit Reason], ROW() - 37)=0, "",INDEX(EmployeeData[Exit Reason], ROW() - 37)),"")</f>
        <v/>
      </c>
      <c r="J1300" s="4" t="str" cm="1">
        <f t="array" ref="J1300">IFERROR(INDEX(EmployeeData[Status], ROW() - 37), "")</f>
        <v/>
      </c>
    </row>
    <row r="1301" spans="2:10" ht="19.95" customHeight="1" x14ac:dyDescent="0.3">
      <c r="B1301" s="4" t="str" cm="1">
        <f t="array" ref="B1301">IFERROR(INDEX(EmployeeData[Employee ID], ROW() - 37), "")</f>
        <v/>
      </c>
      <c r="C1301" s="4" t="str" cm="1">
        <f t="array" ref="C1301">IFERROR(INDEX(EmployeeData[Full Name], ROW() - 37), "")</f>
        <v/>
      </c>
      <c r="D1301" s="4" t="str" cm="1">
        <f t="array" ref="D1301">IFERROR(INDEX(EmployeeData[Department], ROW() - 37), "")</f>
        <v/>
      </c>
      <c r="E1301" s="4" t="str" cm="1">
        <f t="array" ref="E1301">IFERROR(INDEX(EmployeeData[Gender], ROW() - 37), "")</f>
        <v/>
      </c>
      <c r="F1301" s="4" t="str" cm="1">
        <f t="array" ref="F1301">IFERROR(INDEX(EmployeeData[Age], ROW() - 37), "")</f>
        <v/>
      </c>
      <c r="G1301" s="6" t="str" cm="1">
        <f t="array" ref="G1301">IFERROR(INDEX(EmployeeData[Join Date], ROW() - 37), "")</f>
        <v/>
      </c>
      <c r="H1301" s="6" t="str" cm="1">
        <f t="array" ref="H1301">IFERROR(IF(INDEX(EmployeeData[Exit Date], ROW() - 37)=0, "",INDEX(EmployeeData[Exit Date], ROW() - 37)),"")</f>
        <v/>
      </c>
      <c r="I1301" s="4" t="str" cm="1">
        <f t="array" ref="I1301">IFERROR(IF(INDEX(EmployeeData[Exit Reason], ROW() - 37)=0, "",INDEX(EmployeeData[Exit Reason], ROW() - 37)),"")</f>
        <v/>
      </c>
      <c r="J1301" s="4" t="str" cm="1">
        <f t="array" ref="J1301">IFERROR(INDEX(EmployeeData[Status], ROW() - 37), "")</f>
        <v/>
      </c>
    </row>
    <row r="1302" spans="2:10" ht="19.95" customHeight="1" x14ac:dyDescent="0.3">
      <c r="B1302" s="4" t="str" cm="1">
        <f t="array" ref="B1302">IFERROR(INDEX(EmployeeData[Employee ID], ROW() - 37), "")</f>
        <v/>
      </c>
      <c r="C1302" s="4" t="str" cm="1">
        <f t="array" ref="C1302">IFERROR(INDEX(EmployeeData[Full Name], ROW() - 37), "")</f>
        <v/>
      </c>
      <c r="D1302" s="4" t="str" cm="1">
        <f t="array" ref="D1302">IFERROR(INDEX(EmployeeData[Department], ROW() - 37), "")</f>
        <v/>
      </c>
      <c r="E1302" s="4" t="str" cm="1">
        <f t="array" ref="E1302">IFERROR(INDEX(EmployeeData[Gender], ROW() - 37), "")</f>
        <v/>
      </c>
      <c r="F1302" s="4" t="str" cm="1">
        <f t="array" ref="F1302">IFERROR(INDEX(EmployeeData[Age], ROW() - 37), "")</f>
        <v/>
      </c>
      <c r="G1302" s="6" t="str" cm="1">
        <f t="array" ref="G1302">IFERROR(INDEX(EmployeeData[Join Date], ROW() - 37), "")</f>
        <v/>
      </c>
      <c r="H1302" s="6" t="str" cm="1">
        <f t="array" ref="H1302">IFERROR(IF(INDEX(EmployeeData[Exit Date], ROW() - 37)=0, "",INDEX(EmployeeData[Exit Date], ROW() - 37)),"")</f>
        <v/>
      </c>
      <c r="I1302" s="4" t="str" cm="1">
        <f t="array" ref="I1302">IFERROR(IF(INDEX(EmployeeData[Exit Reason], ROW() - 37)=0, "",INDEX(EmployeeData[Exit Reason], ROW() - 37)),"")</f>
        <v/>
      </c>
      <c r="J1302" s="4" t="str" cm="1">
        <f t="array" ref="J1302">IFERROR(INDEX(EmployeeData[Status], ROW() - 37), "")</f>
        <v/>
      </c>
    </row>
    <row r="1303" spans="2:10" ht="19.95" customHeight="1" x14ac:dyDescent="0.3">
      <c r="B1303" s="4" t="str" cm="1">
        <f t="array" ref="B1303">IFERROR(INDEX(EmployeeData[Employee ID], ROW() - 37), "")</f>
        <v/>
      </c>
      <c r="C1303" s="4" t="str" cm="1">
        <f t="array" ref="C1303">IFERROR(INDEX(EmployeeData[Full Name], ROW() - 37), "")</f>
        <v/>
      </c>
      <c r="D1303" s="4" t="str" cm="1">
        <f t="array" ref="D1303">IFERROR(INDEX(EmployeeData[Department], ROW() - 37), "")</f>
        <v/>
      </c>
      <c r="E1303" s="4" t="str" cm="1">
        <f t="array" ref="E1303">IFERROR(INDEX(EmployeeData[Gender], ROW() - 37), "")</f>
        <v/>
      </c>
      <c r="F1303" s="4" t="str" cm="1">
        <f t="array" ref="F1303">IFERROR(INDEX(EmployeeData[Age], ROW() - 37), "")</f>
        <v/>
      </c>
      <c r="G1303" s="6" t="str" cm="1">
        <f t="array" ref="G1303">IFERROR(INDEX(EmployeeData[Join Date], ROW() - 37), "")</f>
        <v/>
      </c>
      <c r="H1303" s="6" t="str" cm="1">
        <f t="array" ref="H1303">IFERROR(IF(INDEX(EmployeeData[Exit Date], ROW() - 37)=0, "",INDEX(EmployeeData[Exit Date], ROW() - 37)),"")</f>
        <v/>
      </c>
      <c r="I1303" s="4" t="str" cm="1">
        <f t="array" ref="I1303">IFERROR(IF(INDEX(EmployeeData[Exit Reason], ROW() - 37)=0, "",INDEX(EmployeeData[Exit Reason], ROW() - 37)),"")</f>
        <v/>
      </c>
      <c r="J1303" s="4" t="str" cm="1">
        <f t="array" ref="J1303">IFERROR(INDEX(EmployeeData[Status], ROW() - 37), "")</f>
        <v/>
      </c>
    </row>
    <row r="1304" spans="2:10" ht="19.95" customHeight="1" x14ac:dyDescent="0.3">
      <c r="B1304" s="4" t="str" cm="1">
        <f t="array" ref="B1304">IFERROR(INDEX(EmployeeData[Employee ID], ROW() - 37), "")</f>
        <v/>
      </c>
      <c r="C1304" s="4" t="str" cm="1">
        <f t="array" ref="C1304">IFERROR(INDEX(EmployeeData[Full Name], ROW() - 37), "")</f>
        <v/>
      </c>
      <c r="D1304" s="4" t="str" cm="1">
        <f t="array" ref="D1304">IFERROR(INDEX(EmployeeData[Department], ROW() - 37), "")</f>
        <v/>
      </c>
      <c r="E1304" s="4" t="str" cm="1">
        <f t="array" ref="E1304">IFERROR(INDEX(EmployeeData[Gender], ROW() - 37), "")</f>
        <v/>
      </c>
      <c r="F1304" s="4" t="str" cm="1">
        <f t="array" ref="F1304">IFERROR(INDEX(EmployeeData[Age], ROW() - 37), "")</f>
        <v/>
      </c>
      <c r="G1304" s="6" t="str" cm="1">
        <f t="array" ref="G1304">IFERROR(INDEX(EmployeeData[Join Date], ROW() - 37), "")</f>
        <v/>
      </c>
      <c r="H1304" s="6" t="str" cm="1">
        <f t="array" ref="H1304">IFERROR(IF(INDEX(EmployeeData[Exit Date], ROW() - 37)=0, "",INDEX(EmployeeData[Exit Date], ROW() - 37)),"")</f>
        <v/>
      </c>
      <c r="I1304" s="4" t="str" cm="1">
        <f t="array" ref="I1304">IFERROR(IF(INDEX(EmployeeData[Exit Reason], ROW() - 37)=0, "",INDEX(EmployeeData[Exit Reason], ROW() - 37)),"")</f>
        <v/>
      </c>
      <c r="J1304" s="4" t="str" cm="1">
        <f t="array" ref="J1304">IFERROR(INDEX(EmployeeData[Status], ROW() - 37), "")</f>
        <v/>
      </c>
    </row>
    <row r="1305" spans="2:10" ht="19.95" customHeight="1" x14ac:dyDescent="0.3">
      <c r="B1305" s="4" t="str" cm="1">
        <f t="array" ref="B1305">IFERROR(INDEX(EmployeeData[Employee ID], ROW() - 37), "")</f>
        <v/>
      </c>
      <c r="C1305" s="4" t="str" cm="1">
        <f t="array" ref="C1305">IFERROR(INDEX(EmployeeData[Full Name], ROW() - 37), "")</f>
        <v/>
      </c>
      <c r="D1305" s="4" t="str" cm="1">
        <f t="array" ref="D1305">IFERROR(INDEX(EmployeeData[Department], ROW() - 37), "")</f>
        <v/>
      </c>
      <c r="E1305" s="4" t="str" cm="1">
        <f t="array" ref="E1305">IFERROR(INDEX(EmployeeData[Gender], ROW() - 37), "")</f>
        <v/>
      </c>
      <c r="F1305" s="4" t="str" cm="1">
        <f t="array" ref="F1305">IFERROR(INDEX(EmployeeData[Age], ROW() - 37), "")</f>
        <v/>
      </c>
      <c r="G1305" s="6" t="str" cm="1">
        <f t="array" ref="G1305">IFERROR(INDEX(EmployeeData[Join Date], ROW() - 37), "")</f>
        <v/>
      </c>
      <c r="H1305" s="6" t="str" cm="1">
        <f t="array" ref="H1305">IFERROR(IF(INDEX(EmployeeData[Exit Date], ROW() - 37)=0, "",INDEX(EmployeeData[Exit Date], ROW() - 37)),"")</f>
        <v/>
      </c>
      <c r="I1305" s="4" t="str" cm="1">
        <f t="array" ref="I1305">IFERROR(IF(INDEX(EmployeeData[Exit Reason], ROW() - 37)=0, "",INDEX(EmployeeData[Exit Reason], ROW() - 37)),"")</f>
        <v/>
      </c>
      <c r="J1305" s="4" t="str" cm="1">
        <f t="array" ref="J1305">IFERROR(INDEX(EmployeeData[Status], ROW() - 37), "")</f>
        <v/>
      </c>
    </row>
    <row r="1306" spans="2:10" ht="19.95" customHeight="1" x14ac:dyDescent="0.3">
      <c r="B1306" s="4" t="str" cm="1">
        <f t="array" ref="B1306">IFERROR(INDEX(EmployeeData[Employee ID], ROW() - 37), "")</f>
        <v/>
      </c>
      <c r="C1306" s="4" t="str" cm="1">
        <f t="array" ref="C1306">IFERROR(INDEX(EmployeeData[Full Name], ROW() - 37), "")</f>
        <v/>
      </c>
      <c r="D1306" s="4" t="str" cm="1">
        <f t="array" ref="D1306">IFERROR(INDEX(EmployeeData[Department], ROW() - 37), "")</f>
        <v/>
      </c>
      <c r="E1306" s="4" t="str" cm="1">
        <f t="array" ref="E1306">IFERROR(INDEX(EmployeeData[Gender], ROW() - 37), "")</f>
        <v/>
      </c>
      <c r="F1306" s="4" t="str" cm="1">
        <f t="array" ref="F1306">IFERROR(INDEX(EmployeeData[Age], ROW() - 37), "")</f>
        <v/>
      </c>
      <c r="G1306" s="6" t="str" cm="1">
        <f t="array" ref="G1306">IFERROR(INDEX(EmployeeData[Join Date], ROW() - 37), "")</f>
        <v/>
      </c>
      <c r="H1306" s="6" t="str" cm="1">
        <f t="array" ref="H1306">IFERROR(IF(INDEX(EmployeeData[Exit Date], ROW() - 37)=0, "",INDEX(EmployeeData[Exit Date], ROW() - 37)),"")</f>
        <v/>
      </c>
      <c r="I1306" s="4" t="str" cm="1">
        <f t="array" ref="I1306">IFERROR(IF(INDEX(EmployeeData[Exit Reason], ROW() - 37)=0, "",INDEX(EmployeeData[Exit Reason], ROW() - 37)),"")</f>
        <v/>
      </c>
      <c r="J1306" s="4" t="str" cm="1">
        <f t="array" ref="J1306">IFERROR(INDEX(EmployeeData[Status], ROW() - 37), "")</f>
        <v/>
      </c>
    </row>
    <row r="1307" spans="2:10" ht="19.95" customHeight="1" x14ac:dyDescent="0.3">
      <c r="B1307" s="4" t="str" cm="1">
        <f t="array" ref="B1307">IFERROR(INDEX(EmployeeData[Employee ID], ROW() - 37), "")</f>
        <v/>
      </c>
      <c r="C1307" s="4" t="str" cm="1">
        <f t="array" ref="C1307">IFERROR(INDEX(EmployeeData[Full Name], ROW() - 37), "")</f>
        <v/>
      </c>
      <c r="D1307" s="4" t="str" cm="1">
        <f t="array" ref="D1307">IFERROR(INDEX(EmployeeData[Department], ROW() - 37), "")</f>
        <v/>
      </c>
      <c r="E1307" s="4" t="str" cm="1">
        <f t="array" ref="E1307">IFERROR(INDEX(EmployeeData[Gender], ROW() - 37), "")</f>
        <v/>
      </c>
      <c r="F1307" s="4" t="str" cm="1">
        <f t="array" ref="F1307">IFERROR(INDEX(EmployeeData[Age], ROW() - 37), "")</f>
        <v/>
      </c>
      <c r="G1307" s="6" t="str" cm="1">
        <f t="array" ref="G1307">IFERROR(INDEX(EmployeeData[Join Date], ROW() - 37), "")</f>
        <v/>
      </c>
      <c r="H1307" s="6" t="str" cm="1">
        <f t="array" ref="H1307">IFERROR(IF(INDEX(EmployeeData[Exit Date], ROW() - 37)=0, "",INDEX(EmployeeData[Exit Date], ROW() - 37)),"")</f>
        <v/>
      </c>
      <c r="I1307" s="4" t="str" cm="1">
        <f t="array" ref="I1307">IFERROR(IF(INDEX(EmployeeData[Exit Reason], ROW() - 37)=0, "",INDEX(EmployeeData[Exit Reason], ROW() - 37)),"")</f>
        <v/>
      </c>
      <c r="J1307" s="4" t="str" cm="1">
        <f t="array" ref="J1307">IFERROR(INDEX(EmployeeData[Status], ROW() - 37), "")</f>
        <v/>
      </c>
    </row>
    <row r="1308" spans="2:10" ht="19.95" customHeight="1" x14ac:dyDescent="0.3">
      <c r="B1308" s="4" t="str" cm="1">
        <f t="array" ref="B1308">IFERROR(INDEX(EmployeeData[Employee ID], ROW() - 37), "")</f>
        <v/>
      </c>
      <c r="C1308" s="4" t="str" cm="1">
        <f t="array" ref="C1308">IFERROR(INDEX(EmployeeData[Full Name], ROW() - 37), "")</f>
        <v/>
      </c>
      <c r="D1308" s="4" t="str" cm="1">
        <f t="array" ref="D1308">IFERROR(INDEX(EmployeeData[Department], ROW() - 37), "")</f>
        <v/>
      </c>
      <c r="E1308" s="4" t="str" cm="1">
        <f t="array" ref="E1308">IFERROR(INDEX(EmployeeData[Gender], ROW() - 37), "")</f>
        <v/>
      </c>
      <c r="F1308" s="4" t="str" cm="1">
        <f t="array" ref="F1308">IFERROR(INDEX(EmployeeData[Age], ROW() - 37), "")</f>
        <v/>
      </c>
      <c r="G1308" s="6" t="str" cm="1">
        <f t="array" ref="G1308">IFERROR(INDEX(EmployeeData[Join Date], ROW() - 37), "")</f>
        <v/>
      </c>
      <c r="H1308" s="6" t="str" cm="1">
        <f t="array" ref="H1308">IFERROR(IF(INDEX(EmployeeData[Exit Date], ROW() - 37)=0, "",INDEX(EmployeeData[Exit Date], ROW() - 37)),"")</f>
        <v/>
      </c>
      <c r="I1308" s="4" t="str" cm="1">
        <f t="array" ref="I1308">IFERROR(IF(INDEX(EmployeeData[Exit Reason], ROW() - 37)=0, "",INDEX(EmployeeData[Exit Reason], ROW() - 37)),"")</f>
        <v/>
      </c>
      <c r="J1308" s="4" t="str" cm="1">
        <f t="array" ref="J1308">IFERROR(INDEX(EmployeeData[Status], ROW() - 37), "")</f>
        <v/>
      </c>
    </row>
    <row r="1309" spans="2:10" ht="19.95" customHeight="1" x14ac:dyDescent="0.3">
      <c r="B1309" s="4" t="str" cm="1">
        <f t="array" ref="B1309">IFERROR(INDEX(EmployeeData[Employee ID], ROW() - 37), "")</f>
        <v/>
      </c>
      <c r="C1309" s="4" t="str" cm="1">
        <f t="array" ref="C1309">IFERROR(INDEX(EmployeeData[Full Name], ROW() - 37), "")</f>
        <v/>
      </c>
      <c r="D1309" s="4" t="str" cm="1">
        <f t="array" ref="D1309">IFERROR(INDEX(EmployeeData[Department], ROW() - 37), "")</f>
        <v/>
      </c>
      <c r="E1309" s="4" t="str" cm="1">
        <f t="array" ref="E1309">IFERROR(INDEX(EmployeeData[Gender], ROW() - 37), "")</f>
        <v/>
      </c>
      <c r="F1309" s="4" t="str" cm="1">
        <f t="array" ref="F1309">IFERROR(INDEX(EmployeeData[Age], ROW() - 37), "")</f>
        <v/>
      </c>
      <c r="G1309" s="6" t="str" cm="1">
        <f t="array" ref="G1309">IFERROR(INDEX(EmployeeData[Join Date], ROW() - 37), "")</f>
        <v/>
      </c>
      <c r="H1309" s="6" t="str" cm="1">
        <f t="array" ref="H1309">IFERROR(IF(INDEX(EmployeeData[Exit Date], ROW() - 37)=0, "",INDEX(EmployeeData[Exit Date], ROW() - 37)),"")</f>
        <v/>
      </c>
      <c r="I1309" s="4" t="str" cm="1">
        <f t="array" ref="I1309">IFERROR(IF(INDEX(EmployeeData[Exit Reason], ROW() - 37)=0, "",INDEX(EmployeeData[Exit Reason], ROW() - 37)),"")</f>
        <v/>
      </c>
      <c r="J1309" s="4" t="str" cm="1">
        <f t="array" ref="J1309">IFERROR(INDEX(EmployeeData[Status], ROW() - 37), "")</f>
        <v/>
      </c>
    </row>
    <row r="1310" spans="2:10" ht="19.95" customHeight="1" x14ac:dyDescent="0.3">
      <c r="B1310" s="4" t="str" cm="1">
        <f t="array" ref="B1310">IFERROR(INDEX(EmployeeData[Employee ID], ROW() - 37), "")</f>
        <v/>
      </c>
      <c r="C1310" s="4" t="str" cm="1">
        <f t="array" ref="C1310">IFERROR(INDEX(EmployeeData[Full Name], ROW() - 37), "")</f>
        <v/>
      </c>
      <c r="D1310" s="4" t="str" cm="1">
        <f t="array" ref="D1310">IFERROR(INDEX(EmployeeData[Department], ROW() - 37), "")</f>
        <v/>
      </c>
      <c r="E1310" s="4" t="str" cm="1">
        <f t="array" ref="E1310">IFERROR(INDEX(EmployeeData[Gender], ROW() - 37), "")</f>
        <v/>
      </c>
      <c r="F1310" s="4" t="str" cm="1">
        <f t="array" ref="F1310">IFERROR(INDEX(EmployeeData[Age], ROW() - 37), "")</f>
        <v/>
      </c>
      <c r="G1310" s="6" t="str" cm="1">
        <f t="array" ref="G1310">IFERROR(INDEX(EmployeeData[Join Date], ROW() - 37), "")</f>
        <v/>
      </c>
      <c r="H1310" s="6" t="str" cm="1">
        <f t="array" ref="H1310">IFERROR(IF(INDEX(EmployeeData[Exit Date], ROW() - 37)=0, "",INDEX(EmployeeData[Exit Date], ROW() - 37)),"")</f>
        <v/>
      </c>
      <c r="I1310" s="4" t="str" cm="1">
        <f t="array" ref="I1310">IFERROR(IF(INDEX(EmployeeData[Exit Reason], ROW() - 37)=0, "",INDEX(EmployeeData[Exit Reason], ROW() - 37)),"")</f>
        <v/>
      </c>
      <c r="J1310" s="4" t="str" cm="1">
        <f t="array" ref="J1310">IFERROR(INDEX(EmployeeData[Status], ROW() - 37), "")</f>
        <v/>
      </c>
    </row>
    <row r="1311" spans="2:10" ht="19.95" customHeight="1" x14ac:dyDescent="0.3">
      <c r="B1311" s="4" t="str" cm="1">
        <f t="array" ref="B1311">IFERROR(INDEX(EmployeeData[Employee ID], ROW() - 37), "")</f>
        <v/>
      </c>
      <c r="C1311" s="4" t="str" cm="1">
        <f t="array" ref="C1311">IFERROR(INDEX(EmployeeData[Full Name], ROW() - 37), "")</f>
        <v/>
      </c>
      <c r="D1311" s="4" t="str" cm="1">
        <f t="array" ref="D1311">IFERROR(INDEX(EmployeeData[Department], ROW() - 37), "")</f>
        <v/>
      </c>
      <c r="E1311" s="4" t="str" cm="1">
        <f t="array" ref="E1311">IFERROR(INDEX(EmployeeData[Gender], ROW() - 37), "")</f>
        <v/>
      </c>
      <c r="F1311" s="4" t="str" cm="1">
        <f t="array" ref="F1311">IFERROR(INDEX(EmployeeData[Age], ROW() - 37), "")</f>
        <v/>
      </c>
      <c r="G1311" s="6" t="str" cm="1">
        <f t="array" ref="G1311">IFERROR(INDEX(EmployeeData[Join Date], ROW() - 37), "")</f>
        <v/>
      </c>
      <c r="H1311" s="6" t="str" cm="1">
        <f t="array" ref="H1311">IFERROR(IF(INDEX(EmployeeData[Exit Date], ROW() - 37)=0, "",INDEX(EmployeeData[Exit Date], ROW() - 37)),"")</f>
        <v/>
      </c>
      <c r="I1311" s="4" t="str" cm="1">
        <f t="array" ref="I1311">IFERROR(IF(INDEX(EmployeeData[Exit Reason], ROW() - 37)=0, "",INDEX(EmployeeData[Exit Reason], ROW() - 37)),"")</f>
        <v/>
      </c>
      <c r="J1311" s="4" t="str" cm="1">
        <f t="array" ref="J1311">IFERROR(INDEX(EmployeeData[Status], ROW() - 37), "")</f>
        <v/>
      </c>
    </row>
    <row r="1312" spans="2:10" ht="19.95" customHeight="1" x14ac:dyDescent="0.3">
      <c r="B1312" s="4" t="str" cm="1">
        <f t="array" ref="B1312">IFERROR(INDEX(EmployeeData[Employee ID], ROW() - 37), "")</f>
        <v/>
      </c>
      <c r="C1312" s="4" t="str" cm="1">
        <f t="array" ref="C1312">IFERROR(INDEX(EmployeeData[Full Name], ROW() - 37), "")</f>
        <v/>
      </c>
      <c r="D1312" s="4" t="str" cm="1">
        <f t="array" ref="D1312">IFERROR(INDEX(EmployeeData[Department], ROW() - 37), "")</f>
        <v/>
      </c>
      <c r="E1312" s="4" t="str" cm="1">
        <f t="array" ref="E1312">IFERROR(INDEX(EmployeeData[Gender], ROW() - 37), "")</f>
        <v/>
      </c>
      <c r="F1312" s="4" t="str" cm="1">
        <f t="array" ref="F1312">IFERROR(INDEX(EmployeeData[Age], ROW() - 37), "")</f>
        <v/>
      </c>
      <c r="G1312" s="6" t="str" cm="1">
        <f t="array" ref="G1312">IFERROR(INDEX(EmployeeData[Join Date], ROW() - 37), "")</f>
        <v/>
      </c>
      <c r="H1312" s="6" t="str" cm="1">
        <f t="array" ref="H1312">IFERROR(IF(INDEX(EmployeeData[Exit Date], ROW() - 37)=0, "",INDEX(EmployeeData[Exit Date], ROW() - 37)),"")</f>
        <v/>
      </c>
      <c r="I1312" s="4" t="str" cm="1">
        <f t="array" ref="I1312">IFERROR(IF(INDEX(EmployeeData[Exit Reason], ROW() - 37)=0, "",INDEX(EmployeeData[Exit Reason], ROW() - 37)),"")</f>
        <v/>
      </c>
      <c r="J1312" s="4" t="str" cm="1">
        <f t="array" ref="J1312">IFERROR(INDEX(EmployeeData[Status], ROW() - 37), "")</f>
        <v/>
      </c>
    </row>
    <row r="1313" spans="2:10" ht="19.95" customHeight="1" x14ac:dyDescent="0.3">
      <c r="B1313" s="4" t="str" cm="1">
        <f t="array" ref="B1313">IFERROR(INDEX(EmployeeData[Employee ID], ROW() - 37), "")</f>
        <v/>
      </c>
      <c r="C1313" s="4" t="str" cm="1">
        <f t="array" ref="C1313">IFERROR(INDEX(EmployeeData[Full Name], ROW() - 37), "")</f>
        <v/>
      </c>
      <c r="D1313" s="4" t="str" cm="1">
        <f t="array" ref="D1313">IFERROR(INDEX(EmployeeData[Department], ROW() - 37), "")</f>
        <v/>
      </c>
      <c r="E1313" s="4" t="str" cm="1">
        <f t="array" ref="E1313">IFERROR(INDEX(EmployeeData[Gender], ROW() - 37), "")</f>
        <v/>
      </c>
      <c r="F1313" s="4" t="str" cm="1">
        <f t="array" ref="F1313">IFERROR(INDEX(EmployeeData[Age], ROW() - 37), "")</f>
        <v/>
      </c>
      <c r="G1313" s="6" t="str" cm="1">
        <f t="array" ref="G1313">IFERROR(INDEX(EmployeeData[Join Date], ROW() - 37), "")</f>
        <v/>
      </c>
      <c r="H1313" s="6" t="str" cm="1">
        <f t="array" ref="H1313">IFERROR(IF(INDEX(EmployeeData[Exit Date], ROW() - 37)=0, "",INDEX(EmployeeData[Exit Date], ROW() - 37)),"")</f>
        <v/>
      </c>
      <c r="I1313" s="4" t="str" cm="1">
        <f t="array" ref="I1313">IFERROR(IF(INDEX(EmployeeData[Exit Reason], ROW() - 37)=0, "",INDEX(EmployeeData[Exit Reason], ROW() - 37)),"")</f>
        <v/>
      </c>
      <c r="J1313" s="4" t="str" cm="1">
        <f t="array" ref="J1313">IFERROR(INDEX(EmployeeData[Status], ROW() - 37), "")</f>
        <v/>
      </c>
    </row>
    <row r="1314" spans="2:10" ht="19.95" customHeight="1" x14ac:dyDescent="0.3">
      <c r="B1314" s="4" t="str" cm="1">
        <f t="array" ref="B1314">IFERROR(INDEX(EmployeeData[Employee ID], ROW() - 37), "")</f>
        <v/>
      </c>
      <c r="C1314" s="4" t="str" cm="1">
        <f t="array" ref="C1314">IFERROR(INDEX(EmployeeData[Full Name], ROW() - 37), "")</f>
        <v/>
      </c>
      <c r="D1314" s="4" t="str" cm="1">
        <f t="array" ref="D1314">IFERROR(INDEX(EmployeeData[Department], ROW() - 37), "")</f>
        <v/>
      </c>
      <c r="E1314" s="4" t="str" cm="1">
        <f t="array" ref="E1314">IFERROR(INDEX(EmployeeData[Gender], ROW() - 37), "")</f>
        <v/>
      </c>
      <c r="F1314" s="4" t="str" cm="1">
        <f t="array" ref="F1314">IFERROR(INDEX(EmployeeData[Age], ROW() - 37), "")</f>
        <v/>
      </c>
      <c r="G1314" s="6" t="str" cm="1">
        <f t="array" ref="G1314">IFERROR(INDEX(EmployeeData[Join Date], ROW() - 37), "")</f>
        <v/>
      </c>
      <c r="H1314" s="6" t="str" cm="1">
        <f t="array" ref="H1314">IFERROR(IF(INDEX(EmployeeData[Exit Date], ROW() - 37)=0, "",INDEX(EmployeeData[Exit Date], ROW() - 37)),"")</f>
        <v/>
      </c>
      <c r="I1314" s="4" t="str" cm="1">
        <f t="array" ref="I1314">IFERROR(IF(INDEX(EmployeeData[Exit Reason], ROW() - 37)=0, "",INDEX(EmployeeData[Exit Reason], ROW() - 37)),"")</f>
        <v/>
      </c>
      <c r="J1314" s="4" t="str" cm="1">
        <f t="array" ref="J1314">IFERROR(INDEX(EmployeeData[Status], ROW() - 37), "")</f>
        <v/>
      </c>
    </row>
    <row r="1315" spans="2:10" ht="19.95" customHeight="1" x14ac:dyDescent="0.3">
      <c r="B1315" s="4" t="str" cm="1">
        <f t="array" ref="B1315">IFERROR(INDEX(EmployeeData[Employee ID], ROW() - 37), "")</f>
        <v/>
      </c>
      <c r="C1315" s="4" t="str" cm="1">
        <f t="array" ref="C1315">IFERROR(INDEX(EmployeeData[Full Name], ROW() - 37), "")</f>
        <v/>
      </c>
      <c r="D1315" s="4" t="str" cm="1">
        <f t="array" ref="D1315">IFERROR(INDEX(EmployeeData[Department], ROW() - 37), "")</f>
        <v/>
      </c>
      <c r="E1315" s="4" t="str" cm="1">
        <f t="array" ref="E1315">IFERROR(INDEX(EmployeeData[Gender], ROW() - 37), "")</f>
        <v/>
      </c>
      <c r="F1315" s="4" t="str" cm="1">
        <f t="array" ref="F1315">IFERROR(INDEX(EmployeeData[Age], ROW() - 37), "")</f>
        <v/>
      </c>
      <c r="G1315" s="6" t="str" cm="1">
        <f t="array" ref="G1315">IFERROR(INDEX(EmployeeData[Join Date], ROW() - 37), "")</f>
        <v/>
      </c>
      <c r="H1315" s="6" t="str" cm="1">
        <f t="array" ref="H1315">IFERROR(IF(INDEX(EmployeeData[Exit Date], ROW() - 37)=0, "",INDEX(EmployeeData[Exit Date], ROW() - 37)),"")</f>
        <v/>
      </c>
      <c r="I1315" s="4" t="str" cm="1">
        <f t="array" ref="I1315">IFERROR(IF(INDEX(EmployeeData[Exit Reason], ROW() - 37)=0, "",INDEX(EmployeeData[Exit Reason], ROW() - 37)),"")</f>
        <v/>
      </c>
      <c r="J1315" s="4" t="str" cm="1">
        <f t="array" ref="J1315">IFERROR(INDEX(EmployeeData[Status], ROW() - 37), "")</f>
        <v/>
      </c>
    </row>
    <row r="1316" spans="2:10" ht="19.95" customHeight="1" x14ac:dyDescent="0.3">
      <c r="B1316" s="4" t="str" cm="1">
        <f t="array" ref="B1316">IFERROR(INDEX(EmployeeData[Employee ID], ROW() - 37), "")</f>
        <v/>
      </c>
      <c r="C1316" s="4" t="str" cm="1">
        <f t="array" ref="C1316">IFERROR(INDEX(EmployeeData[Full Name], ROW() - 37), "")</f>
        <v/>
      </c>
      <c r="D1316" s="4" t="str" cm="1">
        <f t="array" ref="D1316">IFERROR(INDEX(EmployeeData[Department], ROW() - 37), "")</f>
        <v/>
      </c>
      <c r="E1316" s="4" t="str" cm="1">
        <f t="array" ref="E1316">IFERROR(INDEX(EmployeeData[Gender], ROW() - 37), "")</f>
        <v/>
      </c>
      <c r="F1316" s="4" t="str" cm="1">
        <f t="array" ref="F1316">IFERROR(INDEX(EmployeeData[Age], ROW() - 37), "")</f>
        <v/>
      </c>
      <c r="G1316" s="6" t="str" cm="1">
        <f t="array" ref="G1316">IFERROR(INDEX(EmployeeData[Join Date], ROW() - 37), "")</f>
        <v/>
      </c>
      <c r="H1316" s="6" t="str" cm="1">
        <f t="array" ref="H1316">IFERROR(IF(INDEX(EmployeeData[Exit Date], ROW() - 37)=0, "",INDEX(EmployeeData[Exit Date], ROW() - 37)),"")</f>
        <v/>
      </c>
      <c r="I1316" s="4" t="str" cm="1">
        <f t="array" ref="I1316">IFERROR(IF(INDEX(EmployeeData[Exit Reason], ROW() - 37)=0, "",INDEX(EmployeeData[Exit Reason], ROW() - 37)),"")</f>
        <v/>
      </c>
      <c r="J1316" s="4" t="str" cm="1">
        <f t="array" ref="J1316">IFERROR(INDEX(EmployeeData[Status], ROW() - 37), "")</f>
        <v/>
      </c>
    </row>
    <row r="1317" spans="2:10" ht="19.95" customHeight="1" x14ac:dyDescent="0.3">
      <c r="B1317" s="4" t="str" cm="1">
        <f t="array" ref="B1317">IFERROR(INDEX(EmployeeData[Employee ID], ROW() - 37), "")</f>
        <v/>
      </c>
      <c r="C1317" s="4" t="str" cm="1">
        <f t="array" ref="C1317">IFERROR(INDEX(EmployeeData[Full Name], ROW() - 37), "")</f>
        <v/>
      </c>
      <c r="D1317" s="4" t="str" cm="1">
        <f t="array" ref="D1317">IFERROR(INDEX(EmployeeData[Department], ROW() - 37), "")</f>
        <v/>
      </c>
      <c r="E1317" s="4" t="str" cm="1">
        <f t="array" ref="E1317">IFERROR(INDEX(EmployeeData[Gender], ROW() - 37), "")</f>
        <v/>
      </c>
      <c r="F1317" s="4" t="str" cm="1">
        <f t="array" ref="F1317">IFERROR(INDEX(EmployeeData[Age], ROW() - 37), "")</f>
        <v/>
      </c>
      <c r="G1317" s="6" t="str" cm="1">
        <f t="array" ref="G1317">IFERROR(INDEX(EmployeeData[Join Date], ROW() - 37), "")</f>
        <v/>
      </c>
      <c r="H1317" s="6" t="str" cm="1">
        <f t="array" ref="H1317">IFERROR(IF(INDEX(EmployeeData[Exit Date], ROW() - 37)=0, "",INDEX(EmployeeData[Exit Date], ROW() - 37)),"")</f>
        <v/>
      </c>
      <c r="I1317" s="4" t="str" cm="1">
        <f t="array" ref="I1317">IFERROR(IF(INDEX(EmployeeData[Exit Reason], ROW() - 37)=0, "",INDEX(EmployeeData[Exit Reason], ROW() - 37)),"")</f>
        <v/>
      </c>
      <c r="J1317" s="4" t="str" cm="1">
        <f t="array" ref="J1317">IFERROR(INDEX(EmployeeData[Status], ROW() - 37), "")</f>
        <v/>
      </c>
    </row>
    <row r="1318" spans="2:10" ht="19.95" customHeight="1" x14ac:dyDescent="0.3">
      <c r="B1318" s="4" t="str" cm="1">
        <f t="array" ref="B1318">IFERROR(INDEX(EmployeeData[Employee ID], ROW() - 37), "")</f>
        <v/>
      </c>
      <c r="C1318" s="4" t="str" cm="1">
        <f t="array" ref="C1318">IFERROR(INDEX(EmployeeData[Full Name], ROW() - 37), "")</f>
        <v/>
      </c>
      <c r="D1318" s="4" t="str" cm="1">
        <f t="array" ref="D1318">IFERROR(INDEX(EmployeeData[Department], ROW() - 37), "")</f>
        <v/>
      </c>
      <c r="E1318" s="4" t="str" cm="1">
        <f t="array" ref="E1318">IFERROR(INDEX(EmployeeData[Gender], ROW() - 37), "")</f>
        <v/>
      </c>
      <c r="F1318" s="4" t="str" cm="1">
        <f t="array" ref="F1318">IFERROR(INDEX(EmployeeData[Age], ROW() - 37), "")</f>
        <v/>
      </c>
      <c r="G1318" s="6" t="str" cm="1">
        <f t="array" ref="G1318">IFERROR(INDEX(EmployeeData[Join Date], ROW() - 37), "")</f>
        <v/>
      </c>
      <c r="H1318" s="6" t="str" cm="1">
        <f t="array" ref="H1318">IFERROR(IF(INDEX(EmployeeData[Exit Date], ROW() - 37)=0, "",INDEX(EmployeeData[Exit Date], ROW() - 37)),"")</f>
        <v/>
      </c>
      <c r="I1318" s="4" t="str" cm="1">
        <f t="array" ref="I1318">IFERROR(IF(INDEX(EmployeeData[Exit Reason], ROW() - 37)=0, "",INDEX(EmployeeData[Exit Reason], ROW() - 37)),"")</f>
        <v/>
      </c>
      <c r="J1318" s="4" t="str" cm="1">
        <f t="array" ref="J1318">IFERROR(INDEX(EmployeeData[Status], ROW() - 37), "")</f>
        <v/>
      </c>
    </row>
    <row r="1319" spans="2:10" ht="19.95" customHeight="1" x14ac:dyDescent="0.3">
      <c r="B1319" s="4" t="str" cm="1">
        <f t="array" ref="B1319">IFERROR(INDEX(EmployeeData[Employee ID], ROW() - 37), "")</f>
        <v/>
      </c>
      <c r="C1319" s="4" t="str" cm="1">
        <f t="array" ref="C1319">IFERROR(INDEX(EmployeeData[Full Name], ROW() - 37), "")</f>
        <v/>
      </c>
      <c r="D1319" s="4" t="str" cm="1">
        <f t="array" ref="D1319">IFERROR(INDEX(EmployeeData[Department], ROW() - 37), "")</f>
        <v/>
      </c>
      <c r="E1319" s="4" t="str" cm="1">
        <f t="array" ref="E1319">IFERROR(INDEX(EmployeeData[Gender], ROW() - 37), "")</f>
        <v/>
      </c>
      <c r="F1319" s="4" t="str" cm="1">
        <f t="array" ref="F1319">IFERROR(INDEX(EmployeeData[Age], ROW() - 37), "")</f>
        <v/>
      </c>
      <c r="G1319" s="6" t="str" cm="1">
        <f t="array" ref="G1319">IFERROR(INDEX(EmployeeData[Join Date], ROW() - 37), "")</f>
        <v/>
      </c>
      <c r="H1319" s="6" t="str" cm="1">
        <f t="array" ref="H1319">IFERROR(IF(INDEX(EmployeeData[Exit Date], ROW() - 37)=0, "",INDEX(EmployeeData[Exit Date], ROW() - 37)),"")</f>
        <v/>
      </c>
      <c r="I1319" s="4" t="str" cm="1">
        <f t="array" ref="I1319">IFERROR(IF(INDEX(EmployeeData[Exit Reason], ROW() - 37)=0, "",INDEX(EmployeeData[Exit Reason], ROW() - 37)),"")</f>
        <v/>
      </c>
      <c r="J1319" s="4" t="str" cm="1">
        <f t="array" ref="J1319">IFERROR(INDEX(EmployeeData[Status], ROW() - 37), "")</f>
        <v/>
      </c>
    </row>
    <row r="1320" spans="2:10" ht="19.95" customHeight="1" x14ac:dyDescent="0.3">
      <c r="B1320" s="4" t="str" cm="1">
        <f t="array" ref="B1320">IFERROR(INDEX(EmployeeData[Employee ID], ROW() - 37), "")</f>
        <v/>
      </c>
      <c r="C1320" s="4" t="str" cm="1">
        <f t="array" ref="C1320">IFERROR(INDEX(EmployeeData[Full Name], ROW() - 37), "")</f>
        <v/>
      </c>
      <c r="D1320" s="4" t="str" cm="1">
        <f t="array" ref="D1320">IFERROR(INDEX(EmployeeData[Department], ROW() - 37), "")</f>
        <v/>
      </c>
      <c r="E1320" s="4" t="str" cm="1">
        <f t="array" ref="E1320">IFERROR(INDEX(EmployeeData[Gender], ROW() - 37), "")</f>
        <v/>
      </c>
      <c r="F1320" s="4" t="str" cm="1">
        <f t="array" ref="F1320">IFERROR(INDEX(EmployeeData[Age], ROW() - 37), "")</f>
        <v/>
      </c>
      <c r="G1320" s="6" t="str" cm="1">
        <f t="array" ref="G1320">IFERROR(INDEX(EmployeeData[Join Date], ROW() - 37), "")</f>
        <v/>
      </c>
      <c r="H1320" s="6" t="str" cm="1">
        <f t="array" ref="H1320">IFERROR(IF(INDEX(EmployeeData[Exit Date], ROW() - 37)=0, "",INDEX(EmployeeData[Exit Date], ROW() - 37)),"")</f>
        <v/>
      </c>
      <c r="I1320" s="4" t="str" cm="1">
        <f t="array" ref="I1320">IFERROR(IF(INDEX(EmployeeData[Exit Reason], ROW() - 37)=0, "",INDEX(EmployeeData[Exit Reason], ROW() - 37)),"")</f>
        <v/>
      </c>
      <c r="J1320" s="4" t="str" cm="1">
        <f t="array" ref="J1320">IFERROR(INDEX(EmployeeData[Status], ROW() - 37), "")</f>
        <v/>
      </c>
    </row>
    <row r="1321" spans="2:10" ht="19.95" customHeight="1" x14ac:dyDescent="0.3">
      <c r="B1321" s="4" t="str" cm="1">
        <f t="array" ref="B1321">IFERROR(INDEX(EmployeeData[Employee ID], ROW() - 37), "")</f>
        <v/>
      </c>
      <c r="C1321" s="4" t="str" cm="1">
        <f t="array" ref="C1321">IFERROR(INDEX(EmployeeData[Full Name], ROW() - 37), "")</f>
        <v/>
      </c>
      <c r="D1321" s="4" t="str" cm="1">
        <f t="array" ref="D1321">IFERROR(INDEX(EmployeeData[Department], ROW() - 37), "")</f>
        <v/>
      </c>
      <c r="E1321" s="4" t="str" cm="1">
        <f t="array" ref="E1321">IFERROR(INDEX(EmployeeData[Gender], ROW() - 37), "")</f>
        <v/>
      </c>
      <c r="F1321" s="4" t="str" cm="1">
        <f t="array" ref="F1321">IFERROR(INDEX(EmployeeData[Age], ROW() - 37), "")</f>
        <v/>
      </c>
      <c r="G1321" s="6" t="str" cm="1">
        <f t="array" ref="G1321">IFERROR(INDEX(EmployeeData[Join Date], ROW() - 37), "")</f>
        <v/>
      </c>
      <c r="H1321" s="6" t="str" cm="1">
        <f t="array" ref="H1321">IFERROR(IF(INDEX(EmployeeData[Exit Date], ROW() - 37)=0, "",INDEX(EmployeeData[Exit Date], ROW() - 37)),"")</f>
        <v/>
      </c>
      <c r="I1321" s="4" t="str" cm="1">
        <f t="array" ref="I1321">IFERROR(IF(INDEX(EmployeeData[Exit Reason], ROW() - 37)=0, "",INDEX(EmployeeData[Exit Reason], ROW() - 37)),"")</f>
        <v/>
      </c>
      <c r="J1321" s="4" t="str" cm="1">
        <f t="array" ref="J1321">IFERROR(INDEX(EmployeeData[Status], ROW() - 37), "")</f>
        <v/>
      </c>
    </row>
    <row r="1322" spans="2:10" ht="19.95" customHeight="1" x14ac:dyDescent="0.3">
      <c r="B1322" s="4" t="str" cm="1">
        <f t="array" ref="B1322">IFERROR(INDEX(EmployeeData[Employee ID], ROW() - 37), "")</f>
        <v/>
      </c>
      <c r="C1322" s="4" t="str" cm="1">
        <f t="array" ref="C1322">IFERROR(INDEX(EmployeeData[Full Name], ROW() - 37), "")</f>
        <v/>
      </c>
      <c r="D1322" s="4" t="str" cm="1">
        <f t="array" ref="D1322">IFERROR(INDEX(EmployeeData[Department], ROW() - 37), "")</f>
        <v/>
      </c>
      <c r="E1322" s="4" t="str" cm="1">
        <f t="array" ref="E1322">IFERROR(INDEX(EmployeeData[Gender], ROW() - 37), "")</f>
        <v/>
      </c>
      <c r="F1322" s="4" t="str" cm="1">
        <f t="array" ref="F1322">IFERROR(INDEX(EmployeeData[Age], ROW() - 37), "")</f>
        <v/>
      </c>
      <c r="G1322" s="6" t="str" cm="1">
        <f t="array" ref="G1322">IFERROR(INDEX(EmployeeData[Join Date], ROW() - 37), "")</f>
        <v/>
      </c>
      <c r="H1322" s="6" t="str" cm="1">
        <f t="array" ref="H1322">IFERROR(IF(INDEX(EmployeeData[Exit Date], ROW() - 37)=0, "",INDEX(EmployeeData[Exit Date], ROW() - 37)),"")</f>
        <v/>
      </c>
      <c r="I1322" s="4" t="str" cm="1">
        <f t="array" ref="I1322">IFERROR(IF(INDEX(EmployeeData[Exit Reason], ROW() - 37)=0, "",INDEX(EmployeeData[Exit Reason], ROW() - 37)),"")</f>
        <v/>
      </c>
      <c r="J1322" s="4" t="str" cm="1">
        <f t="array" ref="J1322">IFERROR(INDEX(EmployeeData[Status], ROW() - 37), "")</f>
        <v/>
      </c>
    </row>
    <row r="1323" spans="2:10" ht="19.95" customHeight="1" x14ac:dyDescent="0.3">
      <c r="B1323" s="4" t="str" cm="1">
        <f t="array" ref="B1323">IFERROR(INDEX(EmployeeData[Employee ID], ROW() - 37), "")</f>
        <v/>
      </c>
      <c r="C1323" s="4" t="str" cm="1">
        <f t="array" ref="C1323">IFERROR(INDEX(EmployeeData[Full Name], ROW() - 37), "")</f>
        <v/>
      </c>
      <c r="D1323" s="4" t="str" cm="1">
        <f t="array" ref="D1323">IFERROR(INDEX(EmployeeData[Department], ROW() - 37), "")</f>
        <v/>
      </c>
      <c r="E1323" s="4" t="str" cm="1">
        <f t="array" ref="E1323">IFERROR(INDEX(EmployeeData[Gender], ROW() - 37), "")</f>
        <v/>
      </c>
      <c r="F1323" s="4" t="str" cm="1">
        <f t="array" ref="F1323">IFERROR(INDEX(EmployeeData[Age], ROW() - 37), "")</f>
        <v/>
      </c>
      <c r="G1323" s="6" t="str" cm="1">
        <f t="array" ref="G1323">IFERROR(INDEX(EmployeeData[Join Date], ROW() - 37), "")</f>
        <v/>
      </c>
      <c r="H1323" s="6" t="str" cm="1">
        <f t="array" ref="H1323">IFERROR(IF(INDEX(EmployeeData[Exit Date], ROW() - 37)=0, "",INDEX(EmployeeData[Exit Date], ROW() - 37)),"")</f>
        <v/>
      </c>
      <c r="I1323" s="4" t="str" cm="1">
        <f t="array" ref="I1323">IFERROR(IF(INDEX(EmployeeData[Exit Reason], ROW() - 37)=0, "",INDEX(EmployeeData[Exit Reason], ROW() - 37)),"")</f>
        <v/>
      </c>
      <c r="J1323" s="4" t="str" cm="1">
        <f t="array" ref="J1323">IFERROR(INDEX(EmployeeData[Status], ROW() - 37), "")</f>
        <v/>
      </c>
    </row>
    <row r="1324" spans="2:10" ht="19.95" customHeight="1" x14ac:dyDescent="0.3">
      <c r="B1324" s="4" t="str" cm="1">
        <f t="array" ref="B1324">IFERROR(INDEX(EmployeeData[Employee ID], ROW() - 37), "")</f>
        <v/>
      </c>
      <c r="C1324" s="4" t="str" cm="1">
        <f t="array" ref="C1324">IFERROR(INDEX(EmployeeData[Full Name], ROW() - 37), "")</f>
        <v/>
      </c>
      <c r="D1324" s="4" t="str" cm="1">
        <f t="array" ref="D1324">IFERROR(INDEX(EmployeeData[Department], ROW() - 37), "")</f>
        <v/>
      </c>
      <c r="E1324" s="4" t="str" cm="1">
        <f t="array" ref="E1324">IFERROR(INDEX(EmployeeData[Gender], ROW() - 37), "")</f>
        <v/>
      </c>
      <c r="F1324" s="4" t="str" cm="1">
        <f t="array" ref="F1324">IFERROR(INDEX(EmployeeData[Age], ROW() - 37), "")</f>
        <v/>
      </c>
      <c r="G1324" s="6" t="str" cm="1">
        <f t="array" ref="G1324">IFERROR(INDEX(EmployeeData[Join Date], ROW() - 37), "")</f>
        <v/>
      </c>
      <c r="H1324" s="6" t="str" cm="1">
        <f t="array" ref="H1324">IFERROR(IF(INDEX(EmployeeData[Exit Date], ROW() - 37)=0, "",INDEX(EmployeeData[Exit Date], ROW() - 37)),"")</f>
        <v/>
      </c>
      <c r="I1324" s="4" t="str" cm="1">
        <f t="array" ref="I1324">IFERROR(IF(INDEX(EmployeeData[Exit Reason], ROW() - 37)=0, "",INDEX(EmployeeData[Exit Reason], ROW() - 37)),"")</f>
        <v/>
      </c>
      <c r="J1324" s="4" t="str" cm="1">
        <f t="array" ref="J1324">IFERROR(INDEX(EmployeeData[Status], ROW() - 37), "")</f>
        <v/>
      </c>
    </row>
    <row r="1325" spans="2:10" ht="19.95" customHeight="1" x14ac:dyDescent="0.3">
      <c r="B1325" s="4" t="str" cm="1">
        <f t="array" ref="B1325">IFERROR(INDEX(EmployeeData[Employee ID], ROW() - 37), "")</f>
        <v/>
      </c>
      <c r="C1325" s="4" t="str" cm="1">
        <f t="array" ref="C1325">IFERROR(INDEX(EmployeeData[Full Name], ROW() - 37), "")</f>
        <v/>
      </c>
      <c r="D1325" s="4" t="str" cm="1">
        <f t="array" ref="D1325">IFERROR(INDEX(EmployeeData[Department], ROW() - 37), "")</f>
        <v/>
      </c>
      <c r="E1325" s="4" t="str" cm="1">
        <f t="array" ref="E1325">IFERROR(INDEX(EmployeeData[Gender], ROW() - 37), "")</f>
        <v/>
      </c>
      <c r="F1325" s="4" t="str" cm="1">
        <f t="array" ref="F1325">IFERROR(INDEX(EmployeeData[Age], ROW() - 37), "")</f>
        <v/>
      </c>
      <c r="G1325" s="6" t="str" cm="1">
        <f t="array" ref="G1325">IFERROR(INDEX(EmployeeData[Join Date], ROW() - 37), "")</f>
        <v/>
      </c>
      <c r="H1325" s="6" t="str" cm="1">
        <f t="array" ref="H1325">IFERROR(IF(INDEX(EmployeeData[Exit Date], ROW() - 37)=0, "",INDEX(EmployeeData[Exit Date], ROW() - 37)),"")</f>
        <v/>
      </c>
      <c r="I1325" s="4" t="str" cm="1">
        <f t="array" ref="I1325">IFERROR(IF(INDEX(EmployeeData[Exit Reason], ROW() - 37)=0, "",INDEX(EmployeeData[Exit Reason], ROW() - 37)),"")</f>
        <v/>
      </c>
      <c r="J1325" s="4" t="str" cm="1">
        <f t="array" ref="J1325">IFERROR(INDEX(EmployeeData[Status], ROW() - 37), "")</f>
        <v/>
      </c>
    </row>
    <row r="1326" spans="2:10" ht="19.95" customHeight="1" x14ac:dyDescent="0.3">
      <c r="B1326" s="4" t="str" cm="1">
        <f t="array" ref="B1326">IFERROR(INDEX(EmployeeData[Employee ID], ROW() - 37), "")</f>
        <v/>
      </c>
      <c r="C1326" s="4" t="str" cm="1">
        <f t="array" ref="C1326">IFERROR(INDEX(EmployeeData[Full Name], ROW() - 37), "")</f>
        <v/>
      </c>
      <c r="D1326" s="4" t="str" cm="1">
        <f t="array" ref="D1326">IFERROR(INDEX(EmployeeData[Department], ROW() - 37), "")</f>
        <v/>
      </c>
      <c r="E1326" s="4" t="str" cm="1">
        <f t="array" ref="E1326">IFERROR(INDEX(EmployeeData[Gender], ROW() - 37), "")</f>
        <v/>
      </c>
      <c r="F1326" s="4" t="str" cm="1">
        <f t="array" ref="F1326">IFERROR(INDEX(EmployeeData[Age], ROW() - 37), "")</f>
        <v/>
      </c>
      <c r="G1326" s="6" t="str" cm="1">
        <f t="array" ref="G1326">IFERROR(INDEX(EmployeeData[Join Date], ROW() - 37), "")</f>
        <v/>
      </c>
      <c r="H1326" s="6" t="str" cm="1">
        <f t="array" ref="H1326">IFERROR(IF(INDEX(EmployeeData[Exit Date], ROW() - 37)=0, "",INDEX(EmployeeData[Exit Date], ROW() - 37)),"")</f>
        <v/>
      </c>
      <c r="I1326" s="4" t="str" cm="1">
        <f t="array" ref="I1326">IFERROR(IF(INDEX(EmployeeData[Exit Reason], ROW() - 37)=0, "",INDEX(EmployeeData[Exit Reason], ROW() - 37)),"")</f>
        <v/>
      </c>
      <c r="J1326" s="4" t="str" cm="1">
        <f t="array" ref="J1326">IFERROR(INDEX(EmployeeData[Status], ROW() - 37), "")</f>
        <v/>
      </c>
    </row>
    <row r="1327" spans="2:10" ht="19.95" customHeight="1" x14ac:dyDescent="0.3">
      <c r="B1327" s="4" t="str" cm="1">
        <f t="array" ref="B1327">IFERROR(INDEX(EmployeeData[Employee ID], ROW() - 37), "")</f>
        <v/>
      </c>
      <c r="C1327" s="4" t="str" cm="1">
        <f t="array" ref="C1327">IFERROR(INDEX(EmployeeData[Full Name], ROW() - 37), "")</f>
        <v/>
      </c>
      <c r="D1327" s="4" t="str" cm="1">
        <f t="array" ref="D1327">IFERROR(INDEX(EmployeeData[Department], ROW() - 37), "")</f>
        <v/>
      </c>
      <c r="E1327" s="4" t="str" cm="1">
        <f t="array" ref="E1327">IFERROR(INDEX(EmployeeData[Gender], ROW() - 37), "")</f>
        <v/>
      </c>
      <c r="F1327" s="4" t="str" cm="1">
        <f t="array" ref="F1327">IFERROR(INDEX(EmployeeData[Age], ROW() - 37), "")</f>
        <v/>
      </c>
      <c r="G1327" s="6" t="str" cm="1">
        <f t="array" ref="G1327">IFERROR(INDEX(EmployeeData[Join Date], ROW() - 37), "")</f>
        <v/>
      </c>
      <c r="H1327" s="6" t="str" cm="1">
        <f t="array" ref="H1327">IFERROR(IF(INDEX(EmployeeData[Exit Date], ROW() - 37)=0, "",INDEX(EmployeeData[Exit Date], ROW() - 37)),"")</f>
        <v/>
      </c>
      <c r="I1327" s="4" t="str" cm="1">
        <f t="array" ref="I1327">IFERROR(IF(INDEX(EmployeeData[Exit Reason], ROW() - 37)=0, "",INDEX(EmployeeData[Exit Reason], ROW() - 37)),"")</f>
        <v/>
      </c>
      <c r="J1327" s="4" t="str" cm="1">
        <f t="array" ref="J1327">IFERROR(INDEX(EmployeeData[Status], ROW() - 37), "")</f>
        <v/>
      </c>
    </row>
    <row r="1328" spans="2:10" ht="19.95" customHeight="1" x14ac:dyDescent="0.3">
      <c r="B1328" s="4" t="str" cm="1">
        <f t="array" ref="B1328">IFERROR(INDEX(EmployeeData[Employee ID], ROW() - 37), "")</f>
        <v/>
      </c>
      <c r="C1328" s="4" t="str" cm="1">
        <f t="array" ref="C1328">IFERROR(INDEX(EmployeeData[Full Name], ROW() - 37), "")</f>
        <v/>
      </c>
      <c r="D1328" s="4" t="str" cm="1">
        <f t="array" ref="D1328">IFERROR(INDEX(EmployeeData[Department], ROW() - 37), "")</f>
        <v/>
      </c>
      <c r="E1328" s="4" t="str" cm="1">
        <f t="array" ref="E1328">IFERROR(INDEX(EmployeeData[Gender], ROW() - 37), "")</f>
        <v/>
      </c>
      <c r="F1328" s="4" t="str" cm="1">
        <f t="array" ref="F1328">IFERROR(INDEX(EmployeeData[Age], ROW() - 37), "")</f>
        <v/>
      </c>
      <c r="G1328" s="6" t="str" cm="1">
        <f t="array" ref="G1328">IFERROR(INDEX(EmployeeData[Join Date], ROW() - 37), "")</f>
        <v/>
      </c>
      <c r="H1328" s="6" t="str" cm="1">
        <f t="array" ref="H1328">IFERROR(IF(INDEX(EmployeeData[Exit Date], ROW() - 37)=0, "",INDEX(EmployeeData[Exit Date], ROW() - 37)),"")</f>
        <v/>
      </c>
      <c r="I1328" s="4" t="str" cm="1">
        <f t="array" ref="I1328">IFERROR(IF(INDEX(EmployeeData[Exit Reason], ROW() - 37)=0, "",INDEX(EmployeeData[Exit Reason], ROW() - 37)),"")</f>
        <v/>
      </c>
      <c r="J1328" s="4" t="str" cm="1">
        <f t="array" ref="J1328">IFERROR(INDEX(EmployeeData[Status], ROW() - 37), "")</f>
        <v/>
      </c>
    </row>
    <row r="1329" spans="2:10" ht="19.95" customHeight="1" x14ac:dyDescent="0.3">
      <c r="B1329" s="4" t="str" cm="1">
        <f t="array" ref="B1329">IFERROR(INDEX(EmployeeData[Employee ID], ROW() - 37), "")</f>
        <v/>
      </c>
      <c r="C1329" s="4" t="str" cm="1">
        <f t="array" ref="C1329">IFERROR(INDEX(EmployeeData[Full Name], ROW() - 37), "")</f>
        <v/>
      </c>
      <c r="D1329" s="4" t="str" cm="1">
        <f t="array" ref="D1329">IFERROR(INDEX(EmployeeData[Department], ROW() - 37), "")</f>
        <v/>
      </c>
      <c r="E1329" s="4" t="str" cm="1">
        <f t="array" ref="E1329">IFERROR(INDEX(EmployeeData[Gender], ROW() - 37), "")</f>
        <v/>
      </c>
      <c r="F1329" s="4" t="str" cm="1">
        <f t="array" ref="F1329">IFERROR(INDEX(EmployeeData[Age], ROW() - 37), "")</f>
        <v/>
      </c>
      <c r="G1329" s="6" t="str" cm="1">
        <f t="array" ref="G1329">IFERROR(INDEX(EmployeeData[Join Date], ROW() - 37), "")</f>
        <v/>
      </c>
      <c r="H1329" s="6" t="str" cm="1">
        <f t="array" ref="H1329">IFERROR(IF(INDEX(EmployeeData[Exit Date], ROW() - 37)=0, "",INDEX(EmployeeData[Exit Date], ROW() - 37)),"")</f>
        <v/>
      </c>
      <c r="I1329" s="4" t="str" cm="1">
        <f t="array" ref="I1329">IFERROR(IF(INDEX(EmployeeData[Exit Reason], ROW() - 37)=0, "",INDEX(EmployeeData[Exit Reason], ROW() - 37)),"")</f>
        <v/>
      </c>
      <c r="J1329" s="4" t="str" cm="1">
        <f t="array" ref="J1329">IFERROR(INDEX(EmployeeData[Status], ROW() - 37), "")</f>
        <v/>
      </c>
    </row>
    <row r="1330" spans="2:10" ht="19.95" customHeight="1" x14ac:dyDescent="0.3">
      <c r="B1330" s="4" t="str" cm="1">
        <f t="array" ref="B1330">IFERROR(INDEX(EmployeeData[Employee ID], ROW() - 37), "")</f>
        <v/>
      </c>
      <c r="C1330" s="4" t="str" cm="1">
        <f t="array" ref="C1330">IFERROR(INDEX(EmployeeData[Full Name], ROW() - 37), "")</f>
        <v/>
      </c>
      <c r="D1330" s="4" t="str" cm="1">
        <f t="array" ref="D1330">IFERROR(INDEX(EmployeeData[Department], ROW() - 37), "")</f>
        <v/>
      </c>
      <c r="E1330" s="4" t="str" cm="1">
        <f t="array" ref="E1330">IFERROR(INDEX(EmployeeData[Gender], ROW() - 37), "")</f>
        <v/>
      </c>
      <c r="F1330" s="4" t="str" cm="1">
        <f t="array" ref="F1330">IFERROR(INDEX(EmployeeData[Age], ROW() - 37), "")</f>
        <v/>
      </c>
      <c r="G1330" s="6" t="str" cm="1">
        <f t="array" ref="G1330">IFERROR(INDEX(EmployeeData[Join Date], ROW() - 37), "")</f>
        <v/>
      </c>
      <c r="H1330" s="6" t="str" cm="1">
        <f t="array" ref="H1330">IFERROR(IF(INDEX(EmployeeData[Exit Date], ROW() - 37)=0, "",INDEX(EmployeeData[Exit Date], ROW() - 37)),"")</f>
        <v/>
      </c>
      <c r="I1330" s="4" t="str" cm="1">
        <f t="array" ref="I1330">IFERROR(IF(INDEX(EmployeeData[Exit Reason], ROW() - 37)=0, "",INDEX(EmployeeData[Exit Reason], ROW() - 37)),"")</f>
        <v/>
      </c>
      <c r="J1330" s="4" t="str" cm="1">
        <f t="array" ref="J1330">IFERROR(INDEX(EmployeeData[Status], ROW() - 37), "")</f>
        <v/>
      </c>
    </row>
    <row r="1331" spans="2:10" ht="19.95" customHeight="1" x14ac:dyDescent="0.3">
      <c r="B1331" s="4" t="str" cm="1">
        <f t="array" ref="B1331">IFERROR(INDEX(EmployeeData[Employee ID], ROW() - 37), "")</f>
        <v/>
      </c>
      <c r="C1331" s="4" t="str" cm="1">
        <f t="array" ref="C1331">IFERROR(INDEX(EmployeeData[Full Name], ROW() - 37), "")</f>
        <v/>
      </c>
      <c r="D1331" s="4" t="str" cm="1">
        <f t="array" ref="D1331">IFERROR(INDEX(EmployeeData[Department], ROW() - 37), "")</f>
        <v/>
      </c>
      <c r="E1331" s="4" t="str" cm="1">
        <f t="array" ref="E1331">IFERROR(INDEX(EmployeeData[Gender], ROW() - 37), "")</f>
        <v/>
      </c>
      <c r="F1331" s="4" t="str" cm="1">
        <f t="array" ref="F1331">IFERROR(INDEX(EmployeeData[Age], ROW() - 37), "")</f>
        <v/>
      </c>
      <c r="G1331" s="6" t="str" cm="1">
        <f t="array" ref="G1331">IFERROR(INDEX(EmployeeData[Join Date], ROW() - 37), "")</f>
        <v/>
      </c>
      <c r="H1331" s="6" t="str" cm="1">
        <f t="array" ref="H1331">IFERROR(IF(INDEX(EmployeeData[Exit Date], ROW() - 37)=0, "",INDEX(EmployeeData[Exit Date], ROW() - 37)),"")</f>
        <v/>
      </c>
      <c r="I1331" s="4" t="str" cm="1">
        <f t="array" ref="I1331">IFERROR(IF(INDEX(EmployeeData[Exit Reason], ROW() - 37)=0, "",INDEX(EmployeeData[Exit Reason], ROW() - 37)),"")</f>
        <v/>
      </c>
      <c r="J1331" s="4" t="str" cm="1">
        <f t="array" ref="J1331">IFERROR(INDEX(EmployeeData[Status], ROW() - 37), "")</f>
        <v/>
      </c>
    </row>
    <row r="1332" spans="2:10" ht="19.95" customHeight="1" x14ac:dyDescent="0.3">
      <c r="B1332" s="4" t="str" cm="1">
        <f t="array" ref="B1332">IFERROR(INDEX(EmployeeData[Employee ID], ROW() - 37), "")</f>
        <v/>
      </c>
      <c r="C1332" s="4" t="str" cm="1">
        <f t="array" ref="C1332">IFERROR(INDEX(EmployeeData[Full Name], ROW() - 37), "")</f>
        <v/>
      </c>
      <c r="D1332" s="4" t="str" cm="1">
        <f t="array" ref="D1332">IFERROR(INDEX(EmployeeData[Department], ROW() - 37), "")</f>
        <v/>
      </c>
      <c r="E1332" s="4" t="str" cm="1">
        <f t="array" ref="E1332">IFERROR(INDEX(EmployeeData[Gender], ROW() - 37), "")</f>
        <v/>
      </c>
      <c r="F1332" s="4" t="str" cm="1">
        <f t="array" ref="F1332">IFERROR(INDEX(EmployeeData[Age], ROW() - 37), "")</f>
        <v/>
      </c>
      <c r="G1332" s="6" t="str" cm="1">
        <f t="array" ref="G1332">IFERROR(INDEX(EmployeeData[Join Date], ROW() - 37), "")</f>
        <v/>
      </c>
      <c r="H1332" s="6" t="str" cm="1">
        <f t="array" ref="H1332">IFERROR(IF(INDEX(EmployeeData[Exit Date], ROW() - 37)=0, "",INDEX(EmployeeData[Exit Date], ROW() - 37)),"")</f>
        <v/>
      </c>
      <c r="I1332" s="4" t="str" cm="1">
        <f t="array" ref="I1332">IFERROR(IF(INDEX(EmployeeData[Exit Reason], ROW() - 37)=0, "",INDEX(EmployeeData[Exit Reason], ROW() - 37)),"")</f>
        <v/>
      </c>
      <c r="J1332" s="4" t="str" cm="1">
        <f t="array" ref="J1332">IFERROR(INDEX(EmployeeData[Status], ROW() - 37), "")</f>
        <v/>
      </c>
    </row>
    <row r="1333" spans="2:10" ht="19.95" customHeight="1" x14ac:dyDescent="0.3">
      <c r="B1333" s="4" t="str" cm="1">
        <f t="array" ref="B1333">IFERROR(INDEX(EmployeeData[Employee ID], ROW() - 37), "")</f>
        <v/>
      </c>
      <c r="C1333" s="4" t="str" cm="1">
        <f t="array" ref="C1333">IFERROR(INDEX(EmployeeData[Full Name], ROW() - 37), "")</f>
        <v/>
      </c>
      <c r="D1333" s="4" t="str" cm="1">
        <f t="array" ref="D1333">IFERROR(INDEX(EmployeeData[Department], ROW() - 37), "")</f>
        <v/>
      </c>
      <c r="E1333" s="4" t="str" cm="1">
        <f t="array" ref="E1333">IFERROR(INDEX(EmployeeData[Gender], ROW() - 37), "")</f>
        <v/>
      </c>
      <c r="F1333" s="4" t="str" cm="1">
        <f t="array" ref="F1333">IFERROR(INDEX(EmployeeData[Age], ROW() - 37), "")</f>
        <v/>
      </c>
      <c r="G1333" s="6" t="str" cm="1">
        <f t="array" ref="G1333">IFERROR(INDEX(EmployeeData[Join Date], ROW() - 37), "")</f>
        <v/>
      </c>
      <c r="H1333" s="6" t="str" cm="1">
        <f t="array" ref="H1333">IFERROR(IF(INDEX(EmployeeData[Exit Date], ROW() - 37)=0, "",INDEX(EmployeeData[Exit Date], ROW() - 37)),"")</f>
        <v/>
      </c>
      <c r="I1333" s="4" t="str" cm="1">
        <f t="array" ref="I1333">IFERROR(IF(INDEX(EmployeeData[Exit Reason], ROW() - 37)=0, "",INDEX(EmployeeData[Exit Reason], ROW() - 37)),"")</f>
        <v/>
      </c>
      <c r="J1333" s="4" t="str" cm="1">
        <f t="array" ref="J1333">IFERROR(INDEX(EmployeeData[Status], ROW() - 37), "")</f>
        <v/>
      </c>
    </row>
    <row r="1334" spans="2:10" ht="19.95" customHeight="1" x14ac:dyDescent="0.3">
      <c r="B1334" s="4" t="str" cm="1">
        <f t="array" ref="B1334">IFERROR(INDEX(EmployeeData[Employee ID], ROW() - 37), "")</f>
        <v/>
      </c>
      <c r="C1334" s="4" t="str" cm="1">
        <f t="array" ref="C1334">IFERROR(INDEX(EmployeeData[Full Name], ROW() - 37), "")</f>
        <v/>
      </c>
      <c r="D1334" s="4" t="str" cm="1">
        <f t="array" ref="D1334">IFERROR(INDEX(EmployeeData[Department], ROW() - 37), "")</f>
        <v/>
      </c>
      <c r="E1334" s="4" t="str" cm="1">
        <f t="array" ref="E1334">IFERROR(INDEX(EmployeeData[Gender], ROW() - 37), "")</f>
        <v/>
      </c>
      <c r="F1334" s="4" t="str" cm="1">
        <f t="array" ref="F1334">IFERROR(INDEX(EmployeeData[Age], ROW() - 37), "")</f>
        <v/>
      </c>
      <c r="G1334" s="6" t="str" cm="1">
        <f t="array" ref="G1334">IFERROR(INDEX(EmployeeData[Join Date], ROW() - 37), "")</f>
        <v/>
      </c>
      <c r="H1334" s="6" t="str" cm="1">
        <f t="array" ref="H1334">IFERROR(IF(INDEX(EmployeeData[Exit Date], ROW() - 37)=0, "",INDEX(EmployeeData[Exit Date], ROW() - 37)),"")</f>
        <v/>
      </c>
      <c r="I1334" s="4" t="str" cm="1">
        <f t="array" ref="I1334">IFERROR(IF(INDEX(EmployeeData[Exit Reason], ROW() - 37)=0, "",INDEX(EmployeeData[Exit Reason], ROW() - 37)),"")</f>
        <v/>
      </c>
      <c r="J1334" s="4" t="str" cm="1">
        <f t="array" ref="J1334">IFERROR(INDEX(EmployeeData[Status], ROW() - 37), "")</f>
        <v/>
      </c>
    </row>
    <row r="1335" spans="2:10" ht="19.95" customHeight="1" x14ac:dyDescent="0.3">
      <c r="B1335" s="4" t="str" cm="1">
        <f t="array" ref="B1335">IFERROR(INDEX(EmployeeData[Employee ID], ROW() - 37), "")</f>
        <v/>
      </c>
      <c r="C1335" s="4" t="str" cm="1">
        <f t="array" ref="C1335">IFERROR(INDEX(EmployeeData[Full Name], ROW() - 37), "")</f>
        <v/>
      </c>
      <c r="D1335" s="4" t="str" cm="1">
        <f t="array" ref="D1335">IFERROR(INDEX(EmployeeData[Department], ROW() - 37), "")</f>
        <v/>
      </c>
      <c r="E1335" s="4" t="str" cm="1">
        <f t="array" ref="E1335">IFERROR(INDEX(EmployeeData[Gender], ROW() - 37), "")</f>
        <v/>
      </c>
      <c r="F1335" s="4" t="str" cm="1">
        <f t="array" ref="F1335">IFERROR(INDEX(EmployeeData[Age], ROW() - 37), "")</f>
        <v/>
      </c>
      <c r="G1335" s="6" t="str" cm="1">
        <f t="array" ref="G1335">IFERROR(INDEX(EmployeeData[Join Date], ROW() - 37), "")</f>
        <v/>
      </c>
      <c r="H1335" s="6" t="str" cm="1">
        <f t="array" ref="H1335">IFERROR(IF(INDEX(EmployeeData[Exit Date], ROW() - 37)=0, "",INDEX(EmployeeData[Exit Date], ROW() - 37)),"")</f>
        <v/>
      </c>
      <c r="I1335" s="4" t="str" cm="1">
        <f t="array" ref="I1335">IFERROR(IF(INDEX(EmployeeData[Exit Reason], ROW() - 37)=0, "",INDEX(EmployeeData[Exit Reason], ROW() - 37)),"")</f>
        <v/>
      </c>
      <c r="J1335" s="4" t="str" cm="1">
        <f t="array" ref="J1335">IFERROR(INDEX(EmployeeData[Status], ROW() - 37), "")</f>
        <v/>
      </c>
    </row>
    <row r="1336" spans="2:10" ht="19.95" customHeight="1" x14ac:dyDescent="0.3">
      <c r="B1336" s="4" t="str" cm="1">
        <f t="array" ref="B1336">IFERROR(INDEX(EmployeeData[Employee ID], ROW() - 37), "")</f>
        <v/>
      </c>
      <c r="C1336" s="4" t="str" cm="1">
        <f t="array" ref="C1336">IFERROR(INDEX(EmployeeData[Full Name], ROW() - 37), "")</f>
        <v/>
      </c>
      <c r="D1336" s="4" t="str" cm="1">
        <f t="array" ref="D1336">IFERROR(INDEX(EmployeeData[Department], ROW() - 37), "")</f>
        <v/>
      </c>
      <c r="E1336" s="4" t="str" cm="1">
        <f t="array" ref="E1336">IFERROR(INDEX(EmployeeData[Gender], ROW() - 37), "")</f>
        <v/>
      </c>
      <c r="F1336" s="4" t="str" cm="1">
        <f t="array" ref="F1336">IFERROR(INDEX(EmployeeData[Age], ROW() - 37), "")</f>
        <v/>
      </c>
      <c r="G1336" s="6" t="str" cm="1">
        <f t="array" ref="G1336">IFERROR(INDEX(EmployeeData[Join Date], ROW() - 37), "")</f>
        <v/>
      </c>
      <c r="H1336" s="6" t="str" cm="1">
        <f t="array" ref="H1336">IFERROR(IF(INDEX(EmployeeData[Exit Date], ROW() - 37)=0, "",INDEX(EmployeeData[Exit Date], ROW() - 37)),"")</f>
        <v/>
      </c>
      <c r="I1336" s="4" t="str" cm="1">
        <f t="array" ref="I1336">IFERROR(IF(INDEX(EmployeeData[Exit Reason], ROW() - 37)=0, "",INDEX(EmployeeData[Exit Reason], ROW() - 37)),"")</f>
        <v/>
      </c>
      <c r="J1336" s="4" t="str" cm="1">
        <f t="array" ref="J1336">IFERROR(INDEX(EmployeeData[Status], ROW() - 37), "")</f>
        <v/>
      </c>
    </row>
    <row r="1337" spans="2:10" ht="19.95" customHeight="1" x14ac:dyDescent="0.3">
      <c r="B1337" s="4" t="str" cm="1">
        <f t="array" ref="B1337">IFERROR(INDEX(EmployeeData[Employee ID], ROW() - 37), "")</f>
        <v/>
      </c>
      <c r="C1337" s="4" t="str" cm="1">
        <f t="array" ref="C1337">IFERROR(INDEX(EmployeeData[Full Name], ROW() - 37), "")</f>
        <v/>
      </c>
      <c r="D1337" s="4" t="str" cm="1">
        <f t="array" ref="D1337">IFERROR(INDEX(EmployeeData[Department], ROW() - 37), "")</f>
        <v/>
      </c>
      <c r="E1337" s="4" t="str" cm="1">
        <f t="array" ref="E1337">IFERROR(INDEX(EmployeeData[Gender], ROW() - 37), "")</f>
        <v/>
      </c>
      <c r="F1337" s="4" t="str" cm="1">
        <f t="array" ref="F1337">IFERROR(INDEX(EmployeeData[Age], ROW() - 37), "")</f>
        <v/>
      </c>
      <c r="G1337" s="6" t="str" cm="1">
        <f t="array" ref="G1337">IFERROR(INDEX(EmployeeData[Join Date], ROW() - 37), "")</f>
        <v/>
      </c>
      <c r="H1337" s="6" t="str" cm="1">
        <f t="array" ref="H1337">IFERROR(IF(INDEX(EmployeeData[Exit Date], ROW() - 37)=0, "",INDEX(EmployeeData[Exit Date], ROW() - 37)),"")</f>
        <v/>
      </c>
      <c r="I1337" s="4" t="str" cm="1">
        <f t="array" ref="I1337">IFERROR(IF(INDEX(EmployeeData[Exit Reason], ROW() - 37)=0, "",INDEX(EmployeeData[Exit Reason], ROW() - 37)),"")</f>
        <v/>
      </c>
      <c r="J1337" s="4" t="str" cm="1">
        <f t="array" ref="J1337">IFERROR(INDEX(EmployeeData[Status], ROW() - 37), "")</f>
        <v/>
      </c>
    </row>
    <row r="1338" spans="2:10" ht="19.95" customHeight="1" x14ac:dyDescent="0.3">
      <c r="B1338" s="4" t="str" cm="1">
        <f t="array" ref="B1338">IFERROR(INDEX(EmployeeData[Employee ID], ROW() - 37), "")</f>
        <v/>
      </c>
      <c r="C1338" s="4" t="str" cm="1">
        <f t="array" ref="C1338">IFERROR(INDEX(EmployeeData[Full Name], ROW() - 37), "")</f>
        <v/>
      </c>
      <c r="D1338" s="4" t="str" cm="1">
        <f t="array" ref="D1338">IFERROR(INDEX(EmployeeData[Department], ROW() - 37), "")</f>
        <v/>
      </c>
      <c r="E1338" s="4" t="str" cm="1">
        <f t="array" ref="E1338">IFERROR(INDEX(EmployeeData[Gender], ROW() - 37), "")</f>
        <v/>
      </c>
      <c r="F1338" s="4" t="str" cm="1">
        <f t="array" ref="F1338">IFERROR(INDEX(EmployeeData[Age], ROW() - 37), "")</f>
        <v/>
      </c>
      <c r="G1338" s="6" t="str" cm="1">
        <f t="array" ref="G1338">IFERROR(INDEX(EmployeeData[Join Date], ROW() - 37), "")</f>
        <v/>
      </c>
      <c r="H1338" s="6" t="str" cm="1">
        <f t="array" ref="H1338">IFERROR(IF(INDEX(EmployeeData[Exit Date], ROW() - 37)=0, "",INDEX(EmployeeData[Exit Date], ROW() - 37)),"")</f>
        <v/>
      </c>
      <c r="I1338" s="4" t="str" cm="1">
        <f t="array" ref="I1338">IFERROR(IF(INDEX(EmployeeData[Exit Reason], ROW() - 37)=0, "",INDEX(EmployeeData[Exit Reason], ROW() - 37)),"")</f>
        <v/>
      </c>
      <c r="J1338" s="4" t="str" cm="1">
        <f t="array" ref="J1338">IFERROR(INDEX(EmployeeData[Status], ROW() - 37), "")</f>
        <v/>
      </c>
    </row>
    <row r="1339" spans="2:10" ht="19.95" customHeight="1" x14ac:dyDescent="0.3">
      <c r="B1339" s="4" t="str" cm="1">
        <f t="array" ref="B1339">IFERROR(INDEX(EmployeeData[Employee ID], ROW() - 37), "")</f>
        <v/>
      </c>
      <c r="C1339" s="4" t="str" cm="1">
        <f t="array" ref="C1339">IFERROR(INDEX(EmployeeData[Full Name], ROW() - 37), "")</f>
        <v/>
      </c>
      <c r="D1339" s="4" t="str" cm="1">
        <f t="array" ref="D1339">IFERROR(INDEX(EmployeeData[Department], ROW() - 37), "")</f>
        <v/>
      </c>
      <c r="E1339" s="4" t="str" cm="1">
        <f t="array" ref="E1339">IFERROR(INDEX(EmployeeData[Gender], ROW() - 37), "")</f>
        <v/>
      </c>
      <c r="F1339" s="4" t="str" cm="1">
        <f t="array" ref="F1339">IFERROR(INDEX(EmployeeData[Age], ROW() - 37), "")</f>
        <v/>
      </c>
      <c r="G1339" s="6" t="str" cm="1">
        <f t="array" ref="G1339">IFERROR(INDEX(EmployeeData[Join Date], ROW() - 37), "")</f>
        <v/>
      </c>
      <c r="H1339" s="6" t="str" cm="1">
        <f t="array" ref="H1339">IFERROR(IF(INDEX(EmployeeData[Exit Date], ROW() - 37)=0, "",INDEX(EmployeeData[Exit Date], ROW() - 37)),"")</f>
        <v/>
      </c>
      <c r="I1339" s="4" t="str" cm="1">
        <f t="array" ref="I1339">IFERROR(IF(INDEX(EmployeeData[Exit Reason], ROW() - 37)=0, "",INDEX(EmployeeData[Exit Reason], ROW() - 37)),"")</f>
        <v/>
      </c>
      <c r="J1339" s="4" t="str" cm="1">
        <f t="array" ref="J1339">IFERROR(INDEX(EmployeeData[Status], ROW() - 37), "")</f>
        <v/>
      </c>
    </row>
    <row r="1340" spans="2:10" ht="19.95" customHeight="1" x14ac:dyDescent="0.3">
      <c r="B1340" s="4" t="str" cm="1">
        <f t="array" ref="B1340">IFERROR(INDEX(EmployeeData[Employee ID], ROW() - 37), "")</f>
        <v/>
      </c>
      <c r="C1340" s="4" t="str" cm="1">
        <f t="array" ref="C1340">IFERROR(INDEX(EmployeeData[Full Name], ROW() - 37), "")</f>
        <v/>
      </c>
      <c r="D1340" s="4" t="str" cm="1">
        <f t="array" ref="D1340">IFERROR(INDEX(EmployeeData[Department], ROW() - 37), "")</f>
        <v/>
      </c>
      <c r="E1340" s="4" t="str" cm="1">
        <f t="array" ref="E1340">IFERROR(INDEX(EmployeeData[Gender], ROW() - 37), "")</f>
        <v/>
      </c>
      <c r="F1340" s="4" t="str" cm="1">
        <f t="array" ref="F1340">IFERROR(INDEX(EmployeeData[Age], ROW() - 37), "")</f>
        <v/>
      </c>
      <c r="G1340" s="6" t="str" cm="1">
        <f t="array" ref="G1340">IFERROR(INDEX(EmployeeData[Join Date], ROW() - 37), "")</f>
        <v/>
      </c>
      <c r="H1340" s="6" t="str" cm="1">
        <f t="array" ref="H1340">IFERROR(IF(INDEX(EmployeeData[Exit Date], ROW() - 37)=0, "",INDEX(EmployeeData[Exit Date], ROW() - 37)),"")</f>
        <v/>
      </c>
      <c r="I1340" s="4" t="str" cm="1">
        <f t="array" ref="I1340">IFERROR(IF(INDEX(EmployeeData[Exit Reason], ROW() - 37)=0, "",INDEX(EmployeeData[Exit Reason], ROW() - 37)),"")</f>
        <v/>
      </c>
      <c r="J1340" s="4" t="str" cm="1">
        <f t="array" ref="J1340">IFERROR(INDEX(EmployeeData[Status], ROW() - 37), "")</f>
        <v/>
      </c>
    </row>
    <row r="1341" spans="2:10" ht="19.95" customHeight="1" x14ac:dyDescent="0.3">
      <c r="B1341" s="4" t="str" cm="1">
        <f t="array" ref="B1341">IFERROR(INDEX(EmployeeData[Employee ID], ROW() - 37), "")</f>
        <v/>
      </c>
      <c r="C1341" s="4" t="str" cm="1">
        <f t="array" ref="C1341">IFERROR(INDEX(EmployeeData[Full Name], ROW() - 37), "")</f>
        <v/>
      </c>
      <c r="D1341" s="4" t="str" cm="1">
        <f t="array" ref="D1341">IFERROR(INDEX(EmployeeData[Department], ROW() - 37), "")</f>
        <v/>
      </c>
      <c r="E1341" s="4" t="str" cm="1">
        <f t="array" ref="E1341">IFERROR(INDEX(EmployeeData[Gender], ROW() - 37), "")</f>
        <v/>
      </c>
      <c r="F1341" s="4" t="str" cm="1">
        <f t="array" ref="F1341">IFERROR(INDEX(EmployeeData[Age], ROW() - 37), "")</f>
        <v/>
      </c>
      <c r="G1341" s="6" t="str" cm="1">
        <f t="array" ref="G1341">IFERROR(INDEX(EmployeeData[Join Date], ROW() - 37), "")</f>
        <v/>
      </c>
      <c r="H1341" s="6" t="str" cm="1">
        <f t="array" ref="H1341">IFERROR(IF(INDEX(EmployeeData[Exit Date], ROW() - 37)=0, "",INDEX(EmployeeData[Exit Date], ROW() - 37)),"")</f>
        <v/>
      </c>
      <c r="I1341" s="4" t="str" cm="1">
        <f t="array" ref="I1341">IFERROR(IF(INDEX(EmployeeData[Exit Reason], ROW() - 37)=0, "",INDEX(EmployeeData[Exit Reason], ROW() - 37)),"")</f>
        <v/>
      </c>
      <c r="J1341" s="4" t="str" cm="1">
        <f t="array" ref="J1341">IFERROR(INDEX(EmployeeData[Status], ROW() - 37), "")</f>
        <v/>
      </c>
    </row>
    <row r="1342" spans="2:10" ht="19.95" customHeight="1" x14ac:dyDescent="0.3">
      <c r="B1342" s="4" t="str" cm="1">
        <f t="array" ref="B1342">IFERROR(INDEX(EmployeeData[Employee ID], ROW() - 37), "")</f>
        <v/>
      </c>
      <c r="C1342" s="4" t="str" cm="1">
        <f t="array" ref="C1342">IFERROR(INDEX(EmployeeData[Full Name], ROW() - 37), "")</f>
        <v/>
      </c>
      <c r="D1342" s="4" t="str" cm="1">
        <f t="array" ref="D1342">IFERROR(INDEX(EmployeeData[Department], ROW() - 37), "")</f>
        <v/>
      </c>
      <c r="E1342" s="4" t="str" cm="1">
        <f t="array" ref="E1342">IFERROR(INDEX(EmployeeData[Gender], ROW() - 37), "")</f>
        <v/>
      </c>
      <c r="F1342" s="4" t="str" cm="1">
        <f t="array" ref="F1342">IFERROR(INDEX(EmployeeData[Age], ROW() - 37), "")</f>
        <v/>
      </c>
      <c r="G1342" s="6" t="str" cm="1">
        <f t="array" ref="G1342">IFERROR(INDEX(EmployeeData[Join Date], ROW() - 37), "")</f>
        <v/>
      </c>
      <c r="H1342" s="6" t="str" cm="1">
        <f t="array" ref="H1342">IFERROR(IF(INDEX(EmployeeData[Exit Date], ROW() - 37)=0, "",INDEX(EmployeeData[Exit Date], ROW() - 37)),"")</f>
        <v/>
      </c>
      <c r="I1342" s="4" t="str" cm="1">
        <f t="array" ref="I1342">IFERROR(IF(INDEX(EmployeeData[Exit Reason], ROW() - 37)=0, "",INDEX(EmployeeData[Exit Reason], ROW() - 37)),"")</f>
        <v/>
      </c>
      <c r="J1342" s="4" t="str" cm="1">
        <f t="array" ref="J1342">IFERROR(INDEX(EmployeeData[Status], ROW() - 37), "")</f>
        <v/>
      </c>
    </row>
    <row r="1343" spans="2:10" ht="19.95" customHeight="1" x14ac:dyDescent="0.3">
      <c r="B1343" s="4" t="str" cm="1">
        <f t="array" ref="B1343">IFERROR(INDEX(EmployeeData[Employee ID], ROW() - 37), "")</f>
        <v/>
      </c>
      <c r="C1343" s="4" t="str" cm="1">
        <f t="array" ref="C1343">IFERROR(INDEX(EmployeeData[Full Name], ROW() - 37), "")</f>
        <v/>
      </c>
      <c r="D1343" s="4" t="str" cm="1">
        <f t="array" ref="D1343">IFERROR(INDEX(EmployeeData[Department], ROW() - 37), "")</f>
        <v/>
      </c>
      <c r="E1343" s="4" t="str" cm="1">
        <f t="array" ref="E1343">IFERROR(INDEX(EmployeeData[Gender], ROW() - 37), "")</f>
        <v/>
      </c>
      <c r="F1343" s="4" t="str" cm="1">
        <f t="array" ref="F1343">IFERROR(INDEX(EmployeeData[Age], ROW() - 37), "")</f>
        <v/>
      </c>
      <c r="G1343" s="6" t="str" cm="1">
        <f t="array" ref="G1343">IFERROR(INDEX(EmployeeData[Join Date], ROW() - 37), "")</f>
        <v/>
      </c>
      <c r="H1343" s="6" t="str" cm="1">
        <f t="array" ref="H1343">IFERROR(IF(INDEX(EmployeeData[Exit Date], ROW() - 37)=0, "",INDEX(EmployeeData[Exit Date], ROW() - 37)),"")</f>
        <v/>
      </c>
      <c r="I1343" s="4" t="str" cm="1">
        <f t="array" ref="I1343">IFERROR(IF(INDEX(EmployeeData[Exit Reason], ROW() - 37)=0, "",INDEX(EmployeeData[Exit Reason], ROW() - 37)),"")</f>
        <v/>
      </c>
      <c r="J1343" s="4" t="str" cm="1">
        <f t="array" ref="J1343">IFERROR(INDEX(EmployeeData[Status], ROW() - 37), "")</f>
        <v/>
      </c>
    </row>
    <row r="1344" spans="2:10" ht="19.95" customHeight="1" x14ac:dyDescent="0.3">
      <c r="B1344" s="4" t="str" cm="1">
        <f t="array" ref="B1344">IFERROR(INDEX(EmployeeData[Employee ID], ROW() - 37), "")</f>
        <v/>
      </c>
      <c r="C1344" s="4" t="str" cm="1">
        <f t="array" ref="C1344">IFERROR(INDEX(EmployeeData[Full Name], ROW() - 37), "")</f>
        <v/>
      </c>
      <c r="D1344" s="4" t="str" cm="1">
        <f t="array" ref="D1344">IFERROR(INDEX(EmployeeData[Department], ROW() - 37), "")</f>
        <v/>
      </c>
      <c r="E1344" s="4" t="str" cm="1">
        <f t="array" ref="E1344">IFERROR(INDEX(EmployeeData[Gender], ROW() - 37), "")</f>
        <v/>
      </c>
      <c r="F1344" s="4" t="str" cm="1">
        <f t="array" ref="F1344">IFERROR(INDEX(EmployeeData[Age], ROW() - 37), "")</f>
        <v/>
      </c>
      <c r="G1344" s="6" t="str" cm="1">
        <f t="array" ref="G1344">IFERROR(INDEX(EmployeeData[Join Date], ROW() - 37), "")</f>
        <v/>
      </c>
      <c r="H1344" s="6" t="str" cm="1">
        <f t="array" ref="H1344">IFERROR(IF(INDEX(EmployeeData[Exit Date], ROW() - 37)=0, "",INDEX(EmployeeData[Exit Date], ROW() - 37)),"")</f>
        <v/>
      </c>
      <c r="I1344" s="4" t="str" cm="1">
        <f t="array" ref="I1344">IFERROR(IF(INDEX(EmployeeData[Exit Reason], ROW() - 37)=0, "",INDEX(EmployeeData[Exit Reason], ROW() - 37)),"")</f>
        <v/>
      </c>
      <c r="J1344" s="4" t="str" cm="1">
        <f t="array" ref="J1344">IFERROR(INDEX(EmployeeData[Status], ROW() - 37), "")</f>
        <v/>
      </c>
    </row>
    <row r="1345" spans="2:10" ht="19.95" customHeight="1" x14ac:dyDescent="0.3">
      <c r="B1345" s="4" t="str" cm="1">
        <f t="array" ref="B1345">IFERROR(INDEX(EmployeeData[Employee ID], ROW() - 37), "")</f>
        <v/>
      </c>
      <c r="C1345" s="4" t="str" cm="1">
        <f t="array" ref="C1345">IFERROR(INDEX(EmployeeData[Full Name], ROW() - 37), "")</f>
        <v/>
      </c>
      <c r="D1345" s="4" t="str" cm="1">
        <f t="array" ref="D1345">IFERROR(INDEX(EmployeeData[Department], ROW() - 37), "")</f>
        <v/>
      </c>
      <c r="E1345" s="4" t="str" cm="1">
        <f t="array" ref="E1345">IFERROR(INDEX(EmployeeData[Gender], ROW() - 37), "")</f>
        <v/>
      </c>
      <c r="F1345" s="4" t="str" cm="1">
        <f t="array" ref="F1345">IFERROR(INDEX(EmployeeData[Age], ROW() - 37), "")</f>
        <v/>
      </c>
      <c r="G1345" s="6" t="str" cm="1">
        <f t="array" ref="G1345">IFERROR(INDEX(EmployeeData[Join Date], ROW() - 37), "")</f>
        <v/>
      </c>
      <c r="H1345" s="6" t="str" cm="1">
        <f t="array" ref="H1345">IFERROR(IF(INDEX(EmployeeData[Exit Date], ROW() - 37)=0, "",INDEX(EmployeeData[Exit Date], ROW() - 37)),"")</f>
        <v/>
      </c>
      <c r="I1345" s="4" t="str" cm="1">
        <f t="array" ref="I1345">IFERROR(IF(INDEX(EmployeeData[Exit Reason], ROW() - 37)=0, "",INDEX(EmployeeData[Exit Reason], ROW() - 37)),"")</f>
        <v/>
      </c>
      <c r="J1345" s="4" t="str" cm="1">
        <f t="array" ref="J1345">IFERROR(INDEX(EmployeeData[Status], ROW() - 37), "")</f>
        <v/>
      </c>
    </row>
    <row r="1346" spans="2:10" ht="19.95" customHeight="1" x14ac:dyDescent="0.3">
      <c r="B1346" s="4" t="str" cm="1">
        <f t="array" ref="B1346">IFERROR(INDEX(EmployeeData[Employee ID], ROW() - 37), "")</f>
        <v/>
      </c>
      <c r="C1346" s="4" t="str" cm="1">
        <f t="array" ref="C1346">IFERROR(INDEX(EmployeeData[Full Name], ROW() - 37), "")</f>
        <v/>
      </c>
      <c r="D1346" s="4" t="str" cm="1">
        <f t="array" ref="D1346">IFERROR(INDEX(EmployeeData[Department], ROW() - 37), "")</f>
        <v/>
      </c>
      <c r="E1346" s="4" t="str" cm="1">
        <f t="array" ref="E1346">IFERROR(INDEX(EmployeeData[Gender], ROW() - 37), "")</f>
        <v/>
      </c>
      <c r="F1346" s="4" t="str" cm="1">
        <f t="array" ref="F1346">IFERROR(INDEX(EmployeeData[Age], ROW() - 37), "")</f>
        <v/>
      </c>
      <c r="G1346" s="6" t="str" cm="1">
        <f t="array" ref="G1346">IFERROR(INDEX(EmployeeData[Join Date], ROW() - 37), "")</f>
        <v/>
      </c>
      <c r="H1346" s="6" t="str" cm="1">
        <f t="array" ref="H1346">IFERROR(IF(INDEX(EmployeeData[Exit Date], ROW() - 37)=0, "",INDEX(EmployeeData[Exit Date], ROW() - 37)),"")</f>
        <v/>
      </c>
      <c r="I1346" s="4" t="str" cm="1">
        <f t="array" ref="I1346">IFERROR(IF(INDEX(EmployeeData[Exit Reason], ROW() - 37)=0, "",INDEX(EmployeeData[Exit Reason], ROW() - 37)),"")</f>
        <v/>
      </c>
      <c r="J1346" s="4" t="str" cm="1">
        <f t="array" ref="J1346">IFERROR(INDEX(EmployeeData[Status], ROW() - 37), "")</f>
        <v/>
      </c>
    </row>
    <row r="1347" spans="2:10" ht="19.95" customHeight="1" x14ac:dyDescent="0.3">
      <c r="B1347" s="4" t="str" cm="1">
        <f t="array" ref="B1347">IFERROR(INDEX(EmployeeData[Employee ID], ROW() - 37), "")</f>
        <v/>
      </c>
      <c r="C1347" s="4" t="str" cm="1">
        <f t="array" ref="C1347">IFERROR(INDEX(EmployeeData[Full Name], ROW() - 37), "")</f>
        <v/>
      </c>
      <c r="D1347" s="4" t="str" cm="1">
        <f t="array" ref="D1347">IFERROR(INDEX(EmployeeData[Department], ROW() - 37), "")</f>
        <v/>
      </c>
      <c r="E1347" s="4" t="str" cm="1">
        <f t="array" ref="E1347">IFERROR(INDEX(EmployeeData[Gender], ROW() - 37), "")</f>
        <v/>
      </c>
      <c r="F1347" s="4" t="str" cm="1">
        <f t="array" ref="F1347">IFERROR(INDEX(EmployeeData[Age], ROW() - 37), "")</f>
        <v/>
      </c>
      <c r="G1347" s="6" t="str" cm="1">
        <f t="array" ref="G1347">IFERROR(INDEX(EmployeeData[Join Date], ROW() - 37), "")</f>
        <v/>
      </c>
      <c r="H1347" s="6" t="str" cm="1">
        <f t="array" ref="H1347">IFERROR(IF(INDEX(EmployeeData[Exit Date], ROW() - 37)=0, "",INDEX(EmployeeData[Exit Date], ROW() - 37)),"")</f>
        <v/>
      </c>
      <c r="I1347" s="4" t="str" cm="1">
        <f t="array" ref="I1347">IFERROR(IF(INDEX(EmployeeData[Exit Reason], ROW() - 37)=0, "",INDEX(EmployeeData[Exit Reason], ROW() - 37)),"")</f>
        <v/>
      </c>
      <c r="J1347" s="4" t="str" cm="1">
        <f t="array" ref="J1347">IFERROR(INDEX(EmployeeData[Status], ROW() - 37), "")</f>
        <v/>
      </c>
    </row>
    <row r="1348" spans="2:10" ht="19.95" customHeight="1" x14ac:dyDescent="0.3">
      <c r="B1348" s="4" t="str" cm="1">
        <f t="array" ref="B1348">IFERROR(INDEX(EmployeeData[Employee ID], ROW() - 37), "")</f>
        <v/>
      </c>
      <c r="C1348" s="4" t="str" cm="1">
        <f t="array" ref="C1348">IFERROR(INDEX(EmployeeData[Full Name], ROW() - 37), "")</f>
        <v/>
      </c>
      <c r="D1348" s="4" t="str" cm="1">
        <f t="array" ref="D1348">IFERROR(INDEX(EmployeeData[Department], ROW() - 37), "")</f>
        <v/>
      </c>
      <c r="E1348" s="4" t="str" cm="1">
        <f t="array" ref="E1348">IFERROR(INDEX(EmployeeData[Gender], ROW() - 37), "")</f>
        <v/>
      </c>
      <c r="F1348" s="4" t="str" cm="1">
        <f t="array" ref="F1348">IFERROR(INDEX(EmployeeData[Age], ROW() - 37), "")</f>
        <v/>
      </c>
      <c r="G1348" s="6" t="str" cm="1">
        <f t="array" ref="G1348">IFERROR(INDEX(EmployeeData[Join Date], ROW() - 37), "")</f>
        <v/>
      </c>
      <c r="H1348" s="6" t="str" cm="1">
        <f t="array" ref="H1348">IFERROR(IF(INDEX(EmployeeData[Exit Date], ROW() - 37)=0, "",INDEX(EmployeeData[Exit Date], ROW() - 37)),"")</f>
        <v/>
      </c>
      <c r="I1348" s="4" t="str" cm="1">
        <f t="array" ref="I1348">IFERROR(IF(INDEX(EmployeeData[Exit Reason], ROW() - 37)=0, "",INDEX(EmployeeData[Exit Reason], ROW() - 37)),"")</f>
        <v/>
      </c>
      <c r="J1348" s="4" t="str" cm="1">
        <f t="array" ref="J1348">IFERROR(INDEX(EmployeeData[Status], ROW() - 37), "")</f>
        <v/>
      </c>
    </row>
    <row r="1349" spans="2:10" ht="19.95" customHeight="1" x14ac:dyDescent="0.3">
      <c r="B1349" s="4" t="str" cm="1">
        <f t="array" ref="B1349">IFERROR(INDEX(EmployeeData[Employee ID], ROW() - 37), "")</f>
        <v/>
      </c>
      <c r="C1349" s="4" t="str" cm="1">
        <f t="array" ref="C1349">IFERROR(INDEX(EmployeeData[Full Name], ROW() - 37), "")</f>
        <v/>
      </c>
      <c r="D1349" s="4" t="str" cm="1">
        <f t="array" ref="D1349">IFERROR(INDEX(EmployeeData[Department], ROW() - 37), "")</f>
        <v/>
      </c>
      <c r="E1349" s="4" t="str" cm="1">
        <f t="array" ref="E1349">IFERROR(INDEX(EmployeeData[Gender], ROW() - 37), "")</f>
        <v/>
      </c>
      <c r="F1349" s="4" t="str" cm="1">
        <f t="array" ref="F1349">IFERROR(INDEX(EmployeeData[Age], ROW() - 37), "")</f>
        <v/>
      </c>
      <c r="G1349" s="6" t="str" cm="1">
        <f t="array" ref="G1349">IFERROR(INDEX(EmployeeData[Join Date], ROW() - 37), "")</f>
        <v/>
      </c>
      <c r="H1349" s="6" t="str" cm="1">
        <f t="array" ref="H1349">IFERROR(IF(INDEX(EmployeeData[Exit Date], ROW() - 37)=0, "",INDEX(EmployeeData[Exit Date], ROW() - 37)),"")</f>
        <v/>
      </c>
      <c r="I1349" s="4" t="str" cm="1">
        <f t="array" ref="I1349">IFERROR(IF(INDEX(EmployeeData[Exit Reason], ROW() - 37)=0, "",INDEX(EmployeeData[Exit Reason], ROW() - 37)),"")</f>
        <v/>
      </c>
      <c r="J1349" s="4" t="str" cm="1">
        <f t="array" ref="J1349">IFERROR(INDEX(EmployeeData[Status], ROW() - 37), "")</f>
        <v/>
      </c>
    </row>
    <row r="1350" spans="2:10" ht="19.95" customHeight="1" x14ac:dyDescent="0.3">
      <c r="B1350" s="4" t="str" cm="1">
        <f t="array" ref="B1350">IFERROR(INDEX(EmployeeData[Employee ID], ROW() - 37), "")</f>
        <v/>
      </c>
      <c r="C1350" s="4" t="str" cm="1">
        <f t="array" ref="C1350">IFERROR(INDEX(EmployeeData[Full Name], ROW() - 37), "")</f>
        <v/>
      </c>
      <c r="D1350" s="4" t="str" cm="1">
        <f t="array" ref="D1350">IFERROR(INDEX(EmployeeData[Department], ROW() - 37), "")</f>
        <v/>
      </c>
      <c r="E1350" s="4" t="str" cm="1">
        <f t="array" ref="E1350">IFERROR(INDEX(EmployeeData[Gender], ROW() - 37), "")</f>
        <v/>
      </c>
      <c r="F1350" s="4" t="str" cm="1">
        <f t="array" ref="F1350">IFERROR(INDEX(EmployeeData[Age], ROW() - 37), "")</f>
        <v/>
      </c>
      <c r="G1350" s="6" t="str" cm="1">
        <f t="array" ref="G1350">IFERROR(INDEX(EmployeeData[Join Date], ROW() - 37), "")</f>
        <v/>
      </c>
      <c r="H1350" s="6" t="str" cm="1">
        <f t="array" ref="H1350">IFERROR(IF(INDEX(EmployeeData[Exit Date], ROW() - 37)=0, "",INDEX(EmployeeData[Exit Date], ROW() - 37)),"")</f>
        <v/>
      </c>
      <c r="I1350" s="4" t="str" cm="1">
        <f t="array" ref="I1350">IFERROR(IF(INDEX(EmployeeData[Exit Reason], ROW() - 37)=0, "",INDEX(EmployeeData[Exit Reason], ROW() - 37)),"")</f>
        <v/>
      </c>
      <c r="J1350" s="4" t="str" cm="1">
        <f t="array" ref="J1350">IFERROR(INDEX(EmployeeData[Status], ROW() - 37), "")</f>
        <v/>
      </c>
    </row>
    <row r="1351" spans="2:10" ht="19.95" customHeight="1" x14ac:dyDescent="0.3">
      <c r="B1351" s="4" t="str" cm="1">
        <f t="array" ref="B1351">IFERROR(INDEX(EmployeeData[Employee ID], ROW() - 37), "")</f>
        <v/>
      </c>
      <c r="C1351" s="4" t="str" cm="1">
        <f t="array" ref="C1351">IFERROR(INDEX(EmployeeData[Full Name], ROW() - 37), "")</f>
        <v/>
      </c>
      <c r="D1351" s="4" t="str" cm="1">
        <f t="array" ref="D1351">IFERROR(INDEX(EmployeeData[Department], ROW() - 37), "")</f>
        <v/>
      </c>
      <c r="E1351" s="4" t="str" cm="1">
        <f t="array" ref="E1351">IFERROR(INDEX(EmployeeData[Gender], ROW() - 37), "")</f>
        <v/>
      </c>
      <c r="F1351" s="4" t="str" cm="1">
        <f t="array" ref="F1351">IFERROR(INDEX(EmployeeData[Age], ROW() - 37), "")</f>
        <v/>
      </c>
      <c r="G1351" s="6" t="str" cm="1">
        <f t="array" ref="G1351">IFERROR(INDEX(EmployeeData[Join Date], ROW() - 37), "")</f>
        <v/>
      </c>
      <c r="H1351" s="6" t="str" cm="1">
        <f t="array" ref="H1351">IFERROR(IF(INDEX(EmployeeData[Exit Date], ROW() - 37)=0, "",INDEX(EmployeeData[Exit Date], ROW() - 37)),"")</f>
        <v/>
      </c>
      <c r="I1351" s="4" t="str" cm="1">
        <f t="array" ref="I1351">IFERROR(IF(INDEX(EmployeeData[Exit Reason], ROW() - 37)=0, "",INDEX(EmployeeData[Exit Reason], ROW() - 37)),"")</f>
        <v/>
      </c>
      <c r="J1351" s="4" t="str" cm="1">
        <f t="array" ref="J1351">IFERROR(INDEX(EmployeeData[Status], ROW() - 37), "")</f>
        <v/>
      </c>
    </row>
    <row r="1352" spans="2:10" ht="19.95" customHeight="1" x14ac:dyDescent="0.3">
      <c r="B1352" s="4" t="str" cm="1">
        <f t="array" ref="B1352">IFERROR(INDEX(EmployeeData[Employee ID], ROW() - 37), "")</f>
        <v/>
      </c>
      <c r="C1352" s="4" t="str" cm="1">
        <f t="array" ref="C1352">IFERROR(INDEX(EmployeeData[Full Name], ROW() - 37), "")</f>
        <v/>
      </c>
      <c r="D1352" s="4" t="str" cm="1">
        <f t="array" ref="D1352">IFERROR(INDEX(EmployeeData[Department], ROW() - 37), "")</f>
        <v/>
      </c>
      <c r="E1352" s="4" t="str" cm="1">
        <f t="array" ref="E1352">IFERROR(INDEX(EmployeeData[Gender], ROW() - 37), "")</f>
        <v/>
      </c>
      <c r="F1352" s="4" t="str" cm="1">
        <f t="array" ref="F1352">IFERROR(INDEX(EmployeeData[Age], ROW() - 37), "")</f>
        <v/>
      </c>
      <c r="G1352" s="6" t="str" cm="1">
        <f t="array" ref="G1352">IFERROR(INDEX(EmployeeData[Join Date], ROW() - 37), "")</f>
        <v/>
      </c>
      <c r="H1352" s="6" t="str" cm="1">
        <f t="array" ref="H1352">IFERROR(IF(INDEX(EmployeeData[Exit Date], ROW() - 37)=0, "",INDEX(EmployeeData[Exit Date], ROW() - 37)),"")</f>
        <v/>
      </c>
      <c r="I1352" s="4" t="str" cm="1">
        <f t="array" ref="I1352">IFERROR(IF(INDEX(EmployeeData[Exit Reason], ROW() - 37)=0, "",INDEX(EmployeeData[Exit Reason], ROW() - 37)),"")</f>
        <v/>
      </c>
      <c r="J1352" s="4" t="str" cm="1">
        <f t="array" ref="J1352">IFERROR(INDEX(EmployeeData[Status], ROW() - 37), "")</f>
        <v/>
      </c>
    </row>
    <row r="1353" spans="2:10" ht="19.95" customHeight="1" x14ac:dyDescent="0.3">
      <c r="B1353" s="4" t="str" cm="1">
        <f t="array" ref="B1353">IFERROR(INDEX(EmployeeData[Employee ID], ROW() - 37), "")</f>
        <v/>
      </c>
      <c r="C1353" s="4" t="str" cm="1">
        <f t="array" ref="C1353">IFERROR(INDEX(EmployeeData[Full Name], ROW() - 37), "")</f>
        <v/>
      </c>
      <c r="D1353" s="4" t="str" cm="1">
        <f t="array" ref="D1353">IFERROR(INDEX(EmployeeData[Department], ROW() - 37), "")</f>
        <v/>
      </c>
      <c r="E1353" s="4" t="str" cm="1">
        <f t="array" ref="E1353">IFERROR(INDEX(EmployeeData[Gender], ROW() - 37), "")</f>
        <v/>
      </c>
      <c r="F1353" s="4" t="str" cm="1">
        <f t="array" ref="F1353">IFERROR(INDEX(EmployeeData[Age], ROW() - 37), "")</f>
        <v/>
      </c>
      <c r="G1353" s="6" t="str" cm="1">
        <f t="array" ref="G1353">IFERROR(INDEX(EmployeeData[Join Date], ROW() - 37), "")</f>
        <v/>
      </c>
      <c r="H1353" s="6" t="str" cm="1">
        <f t="array" ref="H1353">IFERROR(IF(INDEX(EmployeeData[Exit Date], ROW() - 37)=0, "",INDEX(EmployeeData[Exit Date], ROW() - 37)),"")</f>
        <v/>
      </c>
      <c r="I1353" s="4" t="str" cm="1">
        <f t="array" ref="I1353">IFERROR(IF(INDEX(EmployeeData[Exit Reason], ROW() - 37)=0, "",INDEX(EmployeeData[Exit Reason], ROW() - 37)),"")</f>
        <v/>
      </c>
      <c r="J1353" s="4" t="str" cm="1">
        <f t="array" ref="J1353">IFERROR(INDEX(EmployeeData[Status], ROW() - 37), "")</f>
        <v/>
      </c>
    </row>
    <row r="1354" spans="2:10" ht="19.95" customHeight="1" x14ac:dyDescent="0.3">
      <c r="B1354" s="4" t="str" cm="1">
        <f t="array" ref="B1354">IFERROR(INDEX(EmployeeData[Employee ID], ROW() - 37), "")</f>
        <v/>
      </c>
      <c r="C1354" s="4" t="str" cm="1">
        <f t="array" ref="C1354">IFERROR(INDEX(EmployeeData[Full Name], ROW() - 37), "")</f>
        <v/>
      </c>
      <c r="D1354" s="4" t="str" cm="1">
        <f t="array" ref="D1354">IFERROR(INDEX(EmployeeData[Department], ROW() - 37), "")</f>
        <v/>
      </c>
      <c r="E1354" s="4" t="str" cm="1">
        <f t="array" ref="E1354">IFERROR(INDEX(EmployeeData[Gender], ROW() - 37), "")</f>
        <v/>
      </c>
      <c r="F1354" s="4" t="str" cm="1">
        <f t="array" ref="F1354">IFERROR(INDEX(EmployeeData[Age], ROW() - 37), "")</f>
        <v/>
      </c>
      <c r="G1354" s="6" t="str" cm="1">
        <f t="array" ref="G1354">IFERROR(INDEX(EmployeeData[Join Date], ROW() - 37), "")</f>
        <v/>
      </c>
      <c r="H1354" s="6" t="str" cm="1">
        <f t="array" ref="H1354">IFERROR(IF(INDEX(EmployeeData[Exit Date], ROW() - 37)=0, "",INDEX(EmployeeData[Exit Date], ROW() - 37)),"")</f>
        <v/>
      </c>
      <c r="I1354" s="4" t="str" cm="1">
        <f t="array" ref="I1354">IFERROR(IF(INDEX(EmployeeData[Exit Reason], ROW() - 37)=0, "",INDEX(EmployeeData[Exit Reason], ROW() - 37)),"")</f>
        <v/>
      </c>
      <c r="J1354" s="4" t="str" cm="1">
        <f t="array" ref="J1354">IFERROR(INDEX(EmployeeData[Status], ROW() - 37), "")</f>
        <v/>
      </c>
    </row>
    <row r="1355" spans="2:10" ht="19.95" customHeight="1" x14ac:dyDescent="0.3">
      <c r="B1355" s="4" t="str" cm="1">
        <f t="array" ref="B1355">IFERROR(INDEX(EmployeeData[Employee ID], ROW() - 37), "")</f>
        <v/>
      </c>
      <c r="C1355" s="4" t="str" cm="1">
        <f t="array" ref="C1355">IFERROR(INDEX(EmployeeData[Full Name], ROW() - 37), "")</f>
        <v/>
      </c>
      <c r="D1355" s="4" t="str" cm="1">
        <f t="array" ref="D1355">IFERROR(INDEX(EmployeeData[Department], ROW() - 37), "")</f>
        <v/>
      </c>
      <c r="E1355" s="4" t="str" cm="1">
        <f t="array" ref="E1355">IFERROR(INDEX(EmployeeData[Gender], ROW() - 37), "")</f>
        <v/>
      </c>
      <c r="F1355" s="4" t="str" cm="1">
        <f t="array" ref="F1355">IFERROR(INDEX(EmployeeData[Age], ROW() - 37), "")</f>
        <v/>
      </c>
      <c r="G1355" s="6" t="str" cm="1">
        <f t="array" ref="G1355">IFERROR(INDEX(EmployeeData[Join Date], ROW() - 37), "")</f>
        <v/>
      </c>
      <c r="H1355" s="6" t="str" cm="1">
        <f t="array" ref="H1355">IFERROR(IF(INDEX(EmployeeData[Exit Date], ROW() - 37)=0, "",INDEX(EmployeeData[Exit Date], ROW() - 37)),"")</f>
        <v/>
      </c>
      <c r="I1355" s="4" t="str" cm="1">
        <f t="array" ref="I1355">IFERROR(IF(INDEX(EmployeeData[Exit Reason], ROW() - 37)=0, "",INDEX(EmployeeData[Exit Reason], ROW() - 37)),"")</f>
        <v/>
      </c>
      <c r="J1355" s="4" t="str" cm="1">
        <f t="array" ref="J1355">IFERROR(INDEX(EmployeeData[Status], ROW() - 37), "")</f>
        <v/>
      </c>
    </row>
    <row r="1356" spans="2:10" ht="19.95" customHeight="1" x14ac:dyDescent="0.3">
      <c r="B1356" s="4" t="str" cm="1">
        <f t="array" ref="B1356">IFERROR(INDEX(EmployeeData[Employee ID], ROW() - 37), "")</f>
        <v/>
      </c>
      <c r="C1356" s="4" t="str" cm="1">
        <f t="array" ref="C1356">IFERROR(INDEX(EmployeeData[Full Name], ROW() - 37), "")</f>
        <v/>
      </c>
      <c r="D1356" s="4" t="str" cm="1">
        <f t="array" ref="D1356">IFERROR(INDEX(EmployeeData[Department], ROW() - 37), "")</f>
        <v/>
      </c>
      <c r="E1356" s="4" t="str" cm="1">
        <f t="array" ref="E1356">IFERROR(INDEX(EmployeeData[Gender], ROW() - 37), "")</f>
        <v/>
      </c>
      <c r="F1356" s="4" t="str" cm="1">
        <f t="array" ref="F1356">IFERROR(INDEX(EmployeeData[Age], ROW() - 37), "")</f>
        <v/>
      </c>
      <c r="G1356" s="6" t="str" cm="1">
        <f t="array" ref="G1356">IFERROR(INDEX(EmployeeData[Join Date], ROW() - 37), "")</f>
        <v/>
      </c>
      <c r="H1356" s="6" t="str" cm="1">
        <f t="array" ref="H1356">IFERROR(IF(INDEX(EmployeeData[Exit Date], ROW() - 37)=0, "",INDEX(EmployeeData[Exit Date], ROW() - 37)),"")</f>
        <v/>
      </c>
      <c r="I1356" s="4" t="str" cm="1">
        <f t="array" ref="I1356">IFERROR(IF(INDEX(EmployeeData[Exit Reason], ROW() - 37)=0, "",INDEX(EmployeeData[Exit Reason], ROW() - 37)),"")</f>
        <v/>
      </c>
      <c r="J1356" s="4" t="str" cm="1">
        <f t="array" ref="J1356">IFERROR(INDEX(EmployeeData[Status], ROW() - 37), "")</f>
        <v/>
      </c>
    </row>
    <row r="1357" spans="2:10" ht="19.95" customHeight="1" x14ac:dyDescent="0.3">
      <c r="B1357" s="4" t="str" cm="1">
        <f t="array" ref="B1357">IFERROR(INDEX(EmployeeData[Employee ID], ROW() - 37), "")</f>
        <v/>
      </c>
      <c r="C1357" s="4" t="str" cm="1">
        <f t="array" ref="C1357">IFERROR(INDEX(EmployeeData[Full Name], ROW() - 37), "")</f>
        <v/>
      </c>
      <c r="D1357" s="4" t="str" cm="1">
        <f t="array" ref="D1357">IFERROR(INDEX(EmployeeData[Department], ROW() - 37), "")</f>
        <v/>
      </c>
      <c r="E1357" s="4" t="str" cm="1">
        <f t="array" ref="E1357">IFERROR(INDEX(EmployeeData[Gender], ROW() - 37), "")</f>
        <v/>
      </c>
      <c r="F1357" s="4" t="str" cm="1">
        <f t="array" ref="F1357">IFERROR(INDEX(EmployeeData[Age], ROW() - 37), "")</f>
        <v/>
      </c>
      <c r="G1357" s="6" t="str" cm="1">
        <f t="array" ref="G1357">IFERROR(INDEX(EmployeeData[Join Date], ROW() - 37), "")</f>
        <v/>
      </c>
      <c r="H1357" s="6" t="str" cm="1">
        <f t="array" ref="H1357">IFERROR(IF(INDEX(EmployeeData[Exit Date], ROW() - 37)=0, "",INDEX(EmployeeData[Exit Date], ROW() - 37)),"")</f>
        <v/>
      </c>
      <c r="I1357" s="4" t="str" cm="1">
        <f t="array" ref="I1357">IFERROR(IF(INDEX(EmployeeData[Exit Reason], ROW() - 37)=0, "",INDEX(EmployeeData[Exit Reason], ROW() - 37)),"")</f>
        <v/>
      </c>
      <c r="J1357" s="4" t="str" cm="1">
        <f t="array" ref="J1357">IFERROR(INDEX(EmployeeData[Status], ROW() - 37), "")</f>
        <v/>
      </c>
    </row>
    <row r="1358" spans="2:10" ht="19.95" customHeight="1" x14ac:dyDescent="0.3">
      <c r="B1358" s="4" t="str" cm="1">
        <f t="array" ref="B1358">IFERROR(INDEX(EmployeeData[Employee ID], ROW() - 37), "")</f>
        <v/>
      </c>
      <c r="C1358" s="4" t="str" cm="1">
        <f t="array" ref="C1358">IFERROR(INDEX(EmployeeData[Full Name], ROW() - 37), "")</f>
        <v/>
      </c>
      <c r="D1358" s="4" t="str" cm="1">
        <f t="array" ref="D1358">IFERROR(INDEX(EmployeeData[Department], ROW() - 37), "")</f>
        <v/>
      </c>
      <c r="E1358" s="4" t="str" cm="1">
        <f t="array" ref="E1358">IFERROR(INDEX(EmployeeData[Gender], ROW() - 37), "")</f>
        <v/>
      </c>
      <c r="F1358" s="4" t="str" cm="1">
        <f t="array" ref="F1358">IFERROR(INDEX(EmployeeData[Age], ROW() - 37), "")</f>
        <v/>
      </c>
      <c r="G1358" s="6" t="str" cm="1">
        <f t="array" ref="G1358">IFERROR(INDEX(EmployeeData[Join Date], ROW() - 37), "")</f>
        <v/>
      </c>
      <c r="H1358" s="6" t="str" cm="1">
        <f t="array" ref="H1358">IFERROR(IF(INDEX(EmployeeData[Exit Date], ROW() - 37)=0, "",INDEX(EmployeeData[Exit Date], ROW() - 37)),"")</f>
        <v/>
      </c>
      <c r="I1358" s="4" t="str" cm="1">
        <f t="array" ref="I1358">IFERROR(IF(INDEX(EmployeeData[Exit Reason], ROW() - 37)=0, "",INDEX(EmployeeData[Exit Reason], ROW() - 37)),"")</f>
        <v/>
      </c>
      <c r="J1358" s="4" t="str" cm="1">
        <f t="array" ref="J1358">IFERROR(INDEX(EmployeeData[Status], ROW() - 37), "")</f>
        <v/>
      </c>
    </row>
    <row r="1359" spans="2:10" ht="19.95" customHeight="1" x14ac:dyDescent="0.3">
      <c r="B1359" s="4" t="str" cm="1">
        <f t="array" ref="B1359">IFERROR(INDEX(EmployeeData[Employee ID], ROW() - 37), "")</f>
        <v/>
      </c>
      <c r="C1359" s="4" t="str" cm="1">
        <f t="array" ref="C1359">IFERROR(INDEX(EmployeeData[Full Name], ROW() - 37), "")</f>
        <v/>
      </c>
      <c r="D1359" s="4" t="str" cm="1">
        <f t="array" ref="D1359">IFERROR(INDEX(EmployeeData[Department], ROW() - 37), "")</f>
        <v/>
      </c>
      <c r="E1359" s="4" t="str" cm="1">
        <f t="array" ref="E1359">IFERROR(INDEX(EmployeeData[Gender], ROW() - 37), "")</f>
        <v/>
      </c>
      <c r="F1359" s="4" t="str" cm="1">
        <f t="array" ref="F1359">IFERROR(INDEX(EmployeeData[Age], ROW() - 37), "")</f>
        <v/>
      </c>
      <c r="G1359" s="6" t="str" cm="1">
        <f t="array" ref="G1359">IFERROR(INDEX(EmployeeData[Join Date], ROW() - 37), "")</f>
        <v/>
      </c>
      <c r="H1359" s="6" t="str" cm="1">
        <f t="array" ref="H1359">IFERROR(IF(INDEX(EmployeeData[Exit Date], ROW() - 37)=0, "",INDEX(EmployeeData[Exit Date], ROW() - 37)),"")</f>
        <v/>
      </c>
      <c r="I1359" s="4" t="str" cm="1">
        <f t="array" ref="I1359">IFERROR(IF(INDEX(EmployeeData[Exit Reason], ROW() - 37)=0, "",INDEX(EmployeeData[Exit Reason], ROW() - 37)),"")</f>
        <v/>
      </c>
      <c r="J1359" s="4" t="str" cm="1">
        <f t="array" ref="J1359">IFERROR(INDEX(EmployeeData[Status], ROW() - 37), "")</f>
        <v/>
      </c>
    </row>
    <row r="1360" spans="2:10" ht="19.95" customHeight="1" x14ac:dyDescent="0.3">
      <c r="B1360" s="4" t="str" cm="1">
        <f t="array" ref="B1360">IFERROR(INDEX(EmployeeData[Employee ID], ROW() - 37), "")</f>
        <v/>
      </c>
      <c r="C1360" s="4" t="str" cm="1">
        <f t="array" ref="C1360">IFERROR(INDEX(EmployeeData[Full Name], ROW() - 37), "")</f>
        <v/>
      </c>
      <c r="D1360" s="4" t="str" cm="1">
        <f t="array" ref="D1360">IFERROR(INDEX(EmployeeData[Department], ROW() - 37), "")</f>
        <v/>
      </c>
      <c r="E1360" s="4" t="str" cm="1">
        <f t="array" ref="E1360">IFERROR(INDEX(EmployeeData[Gender], ROW() - 37), "")</f>
        <v/>
      </c>
      <c r="F1360" s="4" t="str" cm="1">
        <f t="array" ref="F1360">IFERROR(INDEX(EmployeeData[Age], ROW() - 37), "")</f>
        <v/>
      </c>
      <c r="G1360" s="6" t="str" cm="1">
        <f t="array" ref="G1360">IFERROR(INDEX(EmployeeData[Join Date], ROW() - 37), "")</f>
        <v/>
      </c>
      <c r="H1360" s="6" t="str" cm="1">
        <f t="array" ref="H1360">IFERROR(IF(INDEX(EmployeeData[Exit Date], ROW() - 37)=0, "",INDEX(EmployeeData[Exit Date], ROW() - 37)),"")</f>
        <v/>
      </c>
      <c r="I1360" s="4" t="str" cm="1">
        <f t="array" ref="I1360">IFERROR(IF(INDEX(EmployeeData[Exit Reason], ROW() - 37)=0, "",INDEX(EmployeeData[Exit Reason], ROW() - 37)),"")</f>
        <v/>
      </c>
      <c r="J1360" s="4" t="str" cm="1">
        <f t="array" ref="J1360">IFERROR(INDEX(EmployeeData[Status], ROW() - 37), "")</f>
        <v/>
      </c>
    </row>
    <row r="1361" spans="2:10" ht="19.95" customHeight="1" x14ac:dyDescent="0.3">
      <c r="B1361" s="4" t="str" cm="1">
        <f t="array" ref="B1361">IFERROR(INDEX(EmployeeData[Employee ID], ROW() - 37), "")</f>
        <v/>
      </c>
      <c r="C1361" s="4" t="str" cm="1">
        <f t="array" ref="C1361">IFERROR(INDEX(EmployeeData[Full Name], ROW() - 37), "")</f>
        <v/>
      </c>
      <c r="D1361" s="4" t="str" cm="1">
        <f t="array" ref="D1361">IFERROR(INDEX(EmployeeData[Department], ROW() - 37), "")</f>
        <v/>
      </c>
      <c r="E1361" s="4" t="str" cm="1">
        <f t="array" ref="E1361">IFERROR(INDEX(EmployeeData[Gender], ROW() - 37), "")</f>
        <v/>
      </c>
      <c r="F1361" s="4" t="str" cm="1">
        <f t="array" ref="F1361">IFERROR(INDEX(EmployeeData[Age], ROW() - 37), "")</f>
        <v/>
      </c>
      <c r="G1361" s="6" t="str" cm="1">
        <f t="array" ref="G1361">IFERROR(INDEX(EmployeeData[Join Date], ROW() - 37), "")</f>
        <v/>
      </c>
      <c r="H1361" s="6" t="str" cm="1">
        <f t="array" ref="H1361">IFERROR(IF(INDEX(EmployeeData[Exit Date], ROW() - 37)=0, "",INDEX(EmployeeData[Exit Date], ROW() - 37)),"")</f>
        <v/>
      </c>
      <c r="I1361" s="4" t="str" cm="1">
        <f t="array" ref="I1361">IFERROR(IF(INDEX(EmployeeData[Exit Reason], ROW() - 37)=0, "",INDEX(EmployeeData[Exit Reason], ROW() - 37)),"")</f>
        <v/>
      </c>
      <c r="J1361" s="4" t="str" cm="1">
        <f t="array" ref="J1361">IFERROR(INDEX(EmployeeData[Status], ROW() - 37), "")</f>
        <v/>
      </c>
    </row>
    <row r="1362" spans="2:10" ht="19.95" customHeight="1" x14ac:dyDescent="0.3">
      <c r="B1362" s="4" t="str" cm="1">
        <f t="array" ref="B1362">IFERROR(INDEX(EmployeeData[Employee ID], ROW() - 37), "")</f>
        <v/>
      </c>
      <c r="C1362" s="4" t="str" cm="1">
        <f t="array" ref="C1362">IFERROR(INDEX(EmployeeData[Full Name], ROW() - 37), "")</f>
        <v/>
      </c>
      <c r="D1362" s="4" t="str" cm="1">
        <f t="array" ref="D1362">IFERROR(INDEX(EmployeeData[Department], ROW() - 37), "")</f>
        <v/>
      </c>
      <c r="E1362" s="4" t="str" cm="1">
        <f t="array" ref="E1362">IFERROR(INDEX(EmployeeData[Gender], ROW() - 37), "")</f>
        <v/>
      </c>
      <c r="F1362" s="4" t="str" cm="1">
        <f t="array" ref="F1362">IFERROR(INDEX(EmployeeData[Age], ROW() - 37), "")</f>
        <v/>
      </c>
      <c r="G1362" s="6" t="str" cm="1">
        <f t="array" ref="G1362">IFERROR(INDEX(EmployeeData[Join Date], ROW() - 37), "")</f>
        <v/>
      </c>
      <c r="H1362" s="6" t="str" cm="1">
        <f t="array" ref="H1362">IFERROR(IF(INDEX(EmployeeData[Exit Date], ROW() - 37)=0, "",INDEX(EmployeeData[Exit Date], ROW() - 37)),"")</f>
        <v/>
      </c>
      <c r="I1362" s="4" t="str" cm="1">
        <f t="array" ref="I1362">IFERROR(IF(INDEX(EmployeeData[Exit Reason], ROW() - 37)=0, "",INDEX(EmployeeData[Exit Reason], ROW() - 37)),"")</f>
        <v/>
      </c>
      <c r="J1362" s="4" t="str" cm="1">
        <f t="array" ref="J1362">IFERROR(INDEX(EmployeeData[Status], ROW() - 37), "")</f>
        <v/>
      </c>
    </row>
    <row r="1363" spans="2:10" ht="19.95" customHeight="1" x14ac:dyDescent="0.3">
      <c r="B1363" s="4" t="str" cm="1">
        <f t="array" ref="B1363">IFERROR(INDEX(EmployeeData[Employee ID], ROW() - 37), "")</f>
        <v/>
      </c>
      <c r="C1363" s="4" t="str" cm="1">
        <f t="array" ref="C1363">IFERROR(INDEX(EmployeeData[Full Name], ROW() - 37), "")</f>
        <v/>
      </c>
      <c r="D1363" s="4" t="str" cm="1">
        <f t="array" ref="D1363">IFERROR(INDEX(EmployeeData[Department], ROW() - 37), "")</f>
        <v/>
      </c>
      <c r="E1363" s="4" t="str" cm="1">
        <f t="array" ref="E1363">IFERROR(INDEX(EmployeeData[Gender], ROW() - 37), "")</f>
        <v/>
      </c>
      <c r="F1363" s="4" t="str" cm="1">
        <f t="array" ref="F1363">IFERROR(INDEX(EmployeeData[Age], ROW() - 37), "")</f>
        <v/>
      </c>
      <c r="G1363" s="6" t="str" cm="1">
        <f t="array" ref="G1363">IFERROR(INDEX(EmployeeData[Join Date], ROW() - 37), "")</f>
        <v/>
      </c>
      <c r="H1363" s="6" t="str" cm="1">
        <f t="array" ref="H1363">IFERROR(IF(INDEX(EmployeeData[Exit Date], ROW() - 37)=0, "",INDEX(EmployeeData[Exit Date], ROW() - 37)),"")</f>
        <v/>
      </c>
      <c r="I1363" s="4" t="str" cm="1">
        <f t="array" ref="I1363">IFERROR(IF(INDEX(EmployeeData[Exit Reason], ROW() - 37)=0, "",INDEX(EmployeeData[Exit Reason], ROW() - 37)),"")</f>
        <v/>
      </c>
      <c r="J1363" s="4" t="str" cm="1">
        <f t="array" ref="J1363">IFERROR(INDEX(EmployeeData[Status], ROW() - 37), "")</f>
        <v/>
      </c>
    </row>
    <row r="1364" spans="2:10" ht="19.95" customHeight="1" x14ac:dyDescent="0.3">
      <c r="B1364" s="4" t="str" cm="1">
        <f t="array" ref="B1364">IFERROR(INDEX(EmployeeData[Employee ID], ROW() - 37), "")</f>
        <v/>
      </c>
      <c r="C1364" s="4" t="str" cm="1">
        <f t="array" ref="C1364">IFERROR(INDEX(EmployeeData[Full Name], ROW() - 37), "")</f>
        <v/>
      </c>
      <c r="D1364" s="4" t="str" cm="1">
        <f t="array" ref="D1364">IFERROR(INDEX(EmployeeData[Department], ROW() - 37), "")</f>
        <v/>
      </c>
      <c r="E1364" s="4" t="str" cm="1">
        <f t="array" ref="E1364">IFERROR(INDEX(EmployeeData[Gender], ROW() - 37), "")</f>
        <v/>
      </c>
      <c r="F1364" s="4" t="str" cm="1">
        <f t="array" ref="F1364">IFERROR(INDEX(EmployeeData[Age], ROW() - 37), "")</f>
        <v/>
      </c>
      <c r="G1364" s="6" t="str" cm="1">
        <f t="array" ref="G1364">IFERROR(INDEX(EmployeeData[Join Date], ROW() - 37), "")</f>
        <v/>
      </c>
      <c r="H1364" s="6" t="str" cm="1">
        <f t="array" ref="H1364">IFERROR(IF(INDEX(EmployeeData[Exit Date], ROW() - 37)=0, "",INDEX(EmployeeData[Exit Date], ROW() - 37)),"")</f>
        <v/>
      </c>
      <c r="I1364" s="4" t="str" cm="1">
        <f t="array" ref="I1364">IFERROR(IF(INDEX(EmployeeData[Exit Reason], ROW() - 37)=0, "",INDEX(EmployeeData[Exit Reason], ROW() - 37)),"")</f>
        <v/>
      </c>
      <c r="J1364" s="4" t="str" cm="1">
        <f t="array" ref="J1364">IFERROR(INDEX(EmployeeData[Status], ROW() - 37), "")</f>
        <v/>
      </c>
    </row>
    <row r="1365" spans="2:10" ht="19.95" customHeight="1" x14ac:dyDescent="0.3">
      <c r="B1365" s="4" t="str" cm="1">
        <f t="array" ref="B1365">IFERROR(INDEX(EmployeeData[Employee ID], ROW() - 37), "")</f>
        <v/>
      </c>
      <c r="C1365" s="4" t="str" cm="1">
        <f t="array" ref="C1365">IFERROR(INDEX(EmployeeData[Full Name], ROW() - 37), "")</f>
        <v/>
      </c>
      <c r="D1365" s="4" t="str" cm="1">
        <f t="array" ref="D1365">IFERROR(INDEX(EmployeeData[Department], ROW() - 37), "")</f>
        <v/>
      </c>
      <c r="E1365" s="4" t="str" cm="1">
        <f t="array" ref="E1365">IFERROR(INDEX(EmployeeData[Gender], ROW() - 37), "")</f>
        <v/>
      </c>
      <c r="F1365" s="4" t="str" cm="1">
        <f t="array" ref="F1365">IFERROR(INDEX(EmployeeData[Age], ROW() - 37), "")</f>
        <v/>
      </c>
      <c r="G1365" s="6" t="str" cm="1">
        <f t="array" ref="G1365">IFERROR(INDEX(EmployeeData[Join Date], ROW() - 37), "")</f>
        <v/>
      </c>
      <c r="H1365" s="6" t="str" cm="1">
        <f t="array" ref="H1365">IFERROR(IF(INDEX(EmployeeData[Exit Date], ROW() - 37)=0, "",INDEX(EmployeeData[Exit Date], ROW() - 37)),"")</f>
        <v/>
      </c>
      <c r="I1365" s="4" t="str" cm="1">
        <f t="array" ref="I1365">IFERROR(IF(INDEX(EmployeeData[Exit Reason], ROW() - 37)=0, "",INDEX(EmployeeData[Exit Reason], ROW() - 37)),"")</f>
        <v/>
      </c>
      <c r="J1365" s="4" t="str" cm="1">
        <f t="array" ref="J1365">IFERROR(INDEX(EmployeeData[Status], ROW() - 37), "")</f>
        <v/>
      </c>
    </row>
    <row r="1366" spans="2:10" ht="19.95" customHeight="1" x14ac:dyDescent="0.3">
      <c r="B1366" s="4" t="str" cm="1">
        <f t="array" ref="B1366">IFERROR(INDEX(EmployeeData[Employee ID], ROW() - 37), "")</f>
        <v/>
      </c>
      <c r="C1366" s="4" t="str" cm="1">
        <f t="array" ref="C1366">IFERROR(INDEX(EmployeeData[Full Name], ROW() - 37), "")</f>
        <v/>
      </c>
      <c r="D1366" s="4" t="str" cm="1">
        <f t="array" ref="D1366">IFERROR(INDEX(EmployeeData[Department], ROW() - 37), "")</f>
        <v/>
      </c>
      <c r="E1366" s="4" t="str" cm="1">
        <f t="array" ref="E1366">IFERROR(INDEX(EmployeeData[Gender], ROW() - 37), "")</f>
        <v/>
      </c>
      <c r="F1366" s="4" t="str" cm="1">
        <f t="array" ref="F1366">IFERROR(INDEX(EmployeeData[Age], ROW() - 37), "")</f>
        <v/>
      </c>
      <c r="G1366" s="6" t="str" cm="1">
        <f t="array" ref="G1366">IFERROR(INDEX(EmployeeData[Join Date], ROW() - 37), "")</f>
        <v/>
      </c>
      <c r="H1366" s="6" t="str" cm="1">
        <f t="array" ref="H1366">IFERROR(IF(INDEX(EmployeeData[Exit Date], ROW() - 37)=0, "",INDEX(EmployeeData[Exit Date], ROW() - 37)),"")</f>
        <v/>
      </c>
      <c r="I1366" s="4" t="str" cm="1">
        <f t="array" ref="I1366">IFERROR(IF(INDEX(EmployeeData[Exit Reason], ROW() - 37)=0, "",INDEX(EmployeeData[Exit Reason], ROW() - 37)),"")</f>
        <v/>
      </c>
      <c r="J1366" s="4" t="str" cm="1">
        <f t="array" ref="J1366">IFERROR(INDEX(EmployeeData[Status], ROW() - 37), "")</f>
        <v/>
      </c>
    </row>
    <row r="1367" spans="2:10" ht="19.95" customHeight="1" x14ac:dyDescent="0.3">
      <c r="B1367" s="4" t="str" cm="1">
        <f t="array" ref="B1367">IFERROR(INDEX(EmployeeData[Employee ID], ROW() - 37), "")</f>
        <v/>
      </c>
      <c r="C1367" s="4" t="str" cm="1">
        <f t="array" ref="C1367">IFERROR(INDEX(EmployeeData[Full Name], ROW() - 37), "")</f>
        <v/>
      </c>
      <c r="D1367" s="4" t="str" cm="1">
        <f t="array" ref="D1367">IFERROR(INDEX(EmployeeData[Department], ROW() - 37), "")</f>
        <v/>
      </c>
      <c r="E1367" s="4" t="str" cm="1">
        <f t="array" ref="E1367">IFERROR(INDEX(EmployeeData[Gender], ROW() - 37), "")</f>
        <v/>
      </c>
      <c r="F1367" s="4" t="str" cm="1">
        <f t="array" ref="F1367">IFERROR(INDEX(EmployeeData[Age], ROW() - 37), "")</f>
        <v/>
      </c>
      <c r="G1367" s="6" t="str" cm="1">
        <f t="array" ref="G1367">IFERROR(INDEX(EmployeeData[Join Date], ROW() - 37), "")</f>
        <v/>
      </c>
      <c r="H1367" s="6" t="str" cm="1">
        <f t="array" ref="H1367">IFERROR(IF(INDEX(EmployeeData[Exit Date], ROW() - 37)=0, "",INDEX(EmployeeData[Exit Date], ROW() - 37)),"")</f>
        <v/>
      </c>
      <c r="I1367" s="4" t="str" cm="1">
        <f t="array" ref="I1367">IFERROR(IF(INDEX(EmployeeData[Exit Reason], ROW() - 37)=0, "",INDEX(EmployeeData[Exit Reason], ROW() - 37)),"")</f>
        <v/>
      </c>
      <c r="J1367" s="4" t="str" cm="1">
        <f t="array" ref="J1367">IFERROR(INDEX(EmployeeData[Status], ROW() - 37), "")</f>
        <v/>
      </c>
    </row>
    <row r="1368" spans="2:10" ht="19.95" customHeight="1" x14ac:dyDescent="0.3">
      <c r="B1368" s="4" t="str" cm="1">
        <f t="array" ref="B1368">IFERROR(INDEX(EmployeeData[Employee ID], ROW() - 37), "")</f>
        <v/>
      </c>
      <c r="C1368" s="4" t="str" cm="1">
        <f t="array" ref="C1368">IFERROR(INDEX(EmployeeData[Full Name], ROW() - 37), "")</f>
        <v/>
      </c>
      <c r="D1368" s="4" t="str" cm="1">
        <f t="array" ref="D1368">IFERROR(INDEX(EmployeeData[Department], ROW() - 37), "")</f>
        <v/>
      </c>
      <c r="E1368" s="4" t="str" cm="1">
        <f t="array" ref="E1368">IFERROR(INDEX(EmployeeData[Gender], ROW() - 37), "")</f>
        <v/>
      </c>
      <c r="F1368" s="4" t="str" cm="1">
        <f t="array" ref="F1368">IFERROR(INDEX(EmployeeData[Age], ROW() - 37), "")</f>
        <v/>
      </c>
      <c r="G1368" s="6" t="str" cm="1">
        <f t="array" ref="G1368">IFERROR(INDEX(EmployeeData[Join Date], ROW() - 37), "")</f>
        <v/>
      </c>
      <c r="H1368" s="6" t="str" cm="1">
        <f t="array" ref="H1368">IFERROR(IF(INDEX(EmployeeData[Exit Date], ROW() - 37)=0, "",INDEX(EmployeeData[Exit Date], ROW() - 37)),"")</f>
        <v/>
      </c>
      <c r="I1368" s="4" t="str" cm="1">
        <f t="array" ref="I1368">IFERROR(IF(INDEX(EmployeeData[Exit Reason], ROW() - 37)=0, "",INDEX(EmployeeData[Exit Reason], ROW() - 37)),"")</f>
        <v/>
      </c>
      <c r="J1368" s="4" t="str" cm="1">
        <f t="array" ref="J1368">IFERROR(INDEX(EmployeeData[Status], ROW() - 37), "")</f>
        <v/>
      </c>
    </row>
    <row r="1369" spans="2:10" ht="19.95" customHeight="1" x14ac:dyDescent="0.3">
      <c r="B1369" s="4" t="str" cm="1">
        <f t="array" ref="B1369">IFERROR(INDEX(EmployeeData[Employee ID], ROW() - 37), "")</f>
        <v/>
      </c>
      <c r="C1369" s="4" t="str" cm="1">
        <f t="array" ref="C1369">IFERROR(INDEX(EmployeeData[Full Name], ROW() - 37), "")</f>
        <v/>
      </c>
      <c r="D1369" s="4" t="str" cm="1">
        <f t="array" ref="D1369">IFERROR(INDEX(EmployeeData[Department], ROW() - 37), "")</f>
        <v/>
      </c>
      <c r="E1369" s="4" t="str" cm="1">
        <f t="array" ref="E1369">IFERROR(INDEX(EmployeeData[Gender], ROW() - 37), "")</f>
        <v/>
      </c>
      <c r="F1369" s="4" t="str" cm="1">
        <f t="array" ref="F1369">IFERROR(INDEX(EmployeeData[Age], ROW() - 37), "")</f>
        <v/>
      </c>
      <c r="G1369" s="6" t="str" cm="1">
        <f t="array" ref="G1369">IFERROR(INDEX(EmployeeData[Join Date], ROW() - 37), "")</f>
        <v/>
      </c>
      <c r="H1369" s="6" t="str" cm="1">
        <f t="array" ref="H1369">IFERROR(IF(INDEX(EmployeeData[Exit Date], ROW() - 37)=0, "",INDEX(EmployeeData[Exit Date], ROW() - 37)),"")</f>
        <v/>
      </c>
      <c r="I1369" s="4" t="str" cm="1">
        <f t="array" ref="I1369">IFERROR(IF(INDEX(EmployeeData[Exit Reason], ROW() - 37)=0, "",INDEX(EmployeeData[Exit Reason], ROW() - 37)),"")</f>
        <v/>
      </c>
      <c r="J1369" s="4" t="str" cm="1">
        <f t="array" ref="J1369">IFERROR(INDEX(EmployeeData[Status], ROW() - 37), "")</f>
        <v/>
      </c>
    </row>
    <row r="1370" spans="2:10" ht="19.95" customHeight="1" x14ac:dyDescent="0.3">
      <c r="B1370" s="4" t="str" cm="1">
        <f t="array" ref="B1370">IFERROR(INDEX(EmployeeData[Employee ID], ROW() - 37), "")</f>
        <v/>
      </c>
      <c r="C1370" s="4" t="str" cm="1">
        <f t="array" ref="C1370">IFERROR(INDEX(EmployeeData[Full Name], ROW() - 37), "")</f>
        <v/>
      </c>
      <c r="D1370" s="4" t="str" cm="1">
        <f t="array" ref="D1370">IFERROR(INDEX(EmployeeData[Department], ROW() - 37), "")</f>
        <v/>
      </c>
      <c r="E1370" s="4" t="str" cm="1">
        <f t="array" ref="E1370">IFERROR(INDEX(EmployeeData[Gender], ROW() - 37), "")</f>
        <v/>
      </c>
      <c r="F1370" s="4" t="str" cm="1">
        <f t="array" ref="F1370">IFERROR(INDEX(EmployeeData[Age], ROW() - 37), "")</f>
        <v/>
      </c>
      <c r="G1370" s="6" t="str" cm="1">
        <f t="array" ref="G1370">IFERROR(INDEX(EmployeeData[Join Date], ROW() - 37), "")</f>
        <v/>
      </c>
      <c r="H1370" s="6" t="str" cm="1">
        <f t="array" ref="H1370">IFERROR(IF(INDEX(EmployeeData[Exit Date], ROW() - 37)=0, "",INDEX(EmployeeData[Exit Date], ROW() - 37)),"")</f>
        <v/>
      </c>
      <c r="I1370" s="4" t="str" cm="1">
        <f t="array" ref="I1370">IFERROR(IF(INDEX(EmployeeData[Exit Reason], ROW() - 37)=0, "",INDEX(EmployeeData[Exit Reason], ROW() - 37)),"")</f>
        <v/>
      </c>
      <c r="J1370" s="4" t="str" cm="1">
        <f t="array" ref="J1370">IFERROR(INDEX(EmployeeData[Status], ROW() - 37), "")</f>
        <v/>
      </c>
    </row>
    <row r="1371" spans="2:10" ht="19.95" customHeight="1" x14ac:dyDescent="0.3">
      <c r="B1371" s="4" t="str" cm="1">
        <f t="array" ref="B1371">IFERROR(INDEX(EmployeeData[Employee ID], ROW() - 37), "")</f>
        <v/>
      </c>
      <c r="C1371" s="4" t="str" cm="1">
        <f t="array" ref="C1371">IFERROR(INDEX(EmployeeData[Full Name], ROW() - 37), "")</f>
        <v/>
      </c>
      <c r="D1371" s="4" t="str" cm="1">
        <f t="array" ref="D1371">IFERROR(INDEX(EmployeeData[Department], ROW() - 37), "")</f>
        <v/>
      </c>
      <c r="E1371" s="4" t="str" cm="1">
        <f t="array" ref="E1371">IFERROR(INDEX(EmployeeData[Gender], ROW() - 37), "")</f>
        <v/>
      </c>
      <c r="F1371" s="4" t="str" cm="1">
        <f t="array" ref="F1371">IFERROR(INDEX(EmployeeData[Age], ROW() - 37), "")</f>
        <v/>
      </c>
      <c r="G1371" s="6" t="str" cm="1">
        <f t="array" ref="G1371">IFERROR(INDEX(EmployeeData[Join Date], ROW() - 37), "")</f>
        <v/>
      </c>
      <c r="H1371" s="6" t="str" cm="1">
        <f t="array" ref="H1371">IFERROR(IF(INDEX(EmployeeData[Exit Date], ROW() - 37)=0, "",INDEX(EmployeeData[Exit Date], ROW() - 37)),"")</f>
        <v/>
      </c>
      <c r="I1371" s="4" t="str" cm="1">
        <f t="array" ref="I1371">IFERROR(IF(INDEX(EmployeeData[Exit Reason], ROW() - 37)=0, "",INDEX(EmployeeData[Exit Reason], ROW() - 37)),"")</f>
        <v/>
      </c>
      <c r="J1371" s="4" t="str" cm="1">
        <f t="array" ref="J1371">IFERROR(INDEX(EmployeeData[Status], ROW() - 37), "")</f>
        <v/>
      </c>
    </row>
    <row r="1372" spans="2:10" ht="19.95" customHeight="1" x14ac:dyDescent="0.3">
      <c r="B1372" s="4" t="str" cm="1">
        <f t="array" ref="B1372">IFERROR(INDEX(EmployeeData[Employee ID], ROW() - 37), "")</f>
        <v/>
      </c>
      <c r="C1372" s="4" t="str" cm="1">
        <f t="array" ref="C1372">IFERROR(INDEX(EmployeeData[Full Name], ROW() - 37), "")</f>
        <v/>
      </c>
      <c r="D1372" s="4" t="str" cm="1">
        <f t="array" ref="D1372">IFERROR(INDEX(EmployeeData[Department], ROW() - 37), "")</f>
        <v/>
      </c>
      <c r="E1372" s="4" t="str" cm="1">
        <f t="array" ref="E1372">IFERROR(INDEX(EmployeeData[Gender], ROW() - 37), "")</f>
        <v/>
      </c>
      <c r="F1372" s="4" t="str" cm="1">
        <f t="array" ref="F1372">IFERROR(INDEX(EmployeeData[Age], ROW() - 37), "")</f>
        <v/>
      </c>
      <c r="G1372" s="6" t="str" cm="1">
        <f t="array" ref="G1372">IFERROR(INDEX(EmployeeData[Join Date], ROW() - 37), "")</f>
        <v/>
      </c>
      <c r="H1372" s="6" t="str" cm="1">
        <f t="array" ref="H1372">IFERROR(IF(INDEX(EmployeeData[Exit Date], ROW() - 37)=0, "",INDEX(EmployeeData[Exit Date], ROW() - 37)),"")</f>
        <v/>
      </c>
      <c r="I1372" s="4" t="str" cm="1">
        <f t="array" ref="I1372">IFERROR(IF(INDEX(EmployeeData[Exit Reason], ROW() - 37)=0, "",INDEX(EmployeeData[Exit Reason], ROW() - 37)),"")</f>
        <v/>
      </c>
      <c r="J1372" s="4" t="str" cm="1">
        <f t="array" ref="J1372">IFERROR(INDEX(EmployeeData[Status], ROW() - 37), "")</f>
        <v/>
      </c>
    </row>
    <row r="1373" spans="2:10" ht="19.95" customHeight="1" x14ac:dyDescent="0.3">
      <c r="B1373" s="4" t="str" cm="1">
        <f t="array" ref="B1373">IFERROR(INDEX(EmployeeData[Employee ID], ROW() - 37), "")</f>
        <v/>
      </c>
      <c r="C1373" s="4" t="str" cm="1">
        <f t="array" ref="C1373">IFERROR(INDEX(EmployeeData[Full Name], ROW() - 37), "")</f>
        <v/>
      </c>
      <c r="D1373" s="4" t="str" cm="1">
        <f t="array" ref="D1373">IFERROR(INDEX(EmployeeData[Department], ROW() - 37), "")</f>
        <v/>
      </c>
      <c r="E1373" s="4" t="str" cm="1">
        <f t="array" ref="E1373">IFERROR(INDEX(EmployeeData[Gender], ROW() - 37), "")</f>
        <v/>
      </c>
      <c r="F1373" s="4" t="str" cm="1">
        <f t="array" ref="F1373">IFERROR(INDEX(EmployeeData[Age], ROW() - 37), "")</f>
        <v/>
      </c>
      <c r="G1373" s="6" t="str" cm="1">
        <f t="array" ref="G1373">IFERROR(INDEX(EmployeeData[Join Date], ROW() - 37), "")</f>
        <v/>
      </c>
      <c r="H1373" s="6" t="str" cm="1">
        <f t="array" ref="H1373">IFERROR(IF(INDEX(EmployeeData[Exit Date], ROW() - 37)=0, "",INDEX(EmployeeData[Exit Date], ROW() - 37)),"")</f>
        <v/>
      </c>
      <c r="I1373" s="4" t="str" cm="1">
        <f t="array" ref="I1373">IFERROR(IF(INDEX(EmployeeData[Exit Reason], ROW() - 37)=0, "",INDEX(EmployeeData[Exit Reason], ROW() - 37)),"")</f>
        <v/>
      </c>
      <c r="J1373" s="4" t="str" cm="1">
        <f t="array" ref="J1373">IFERROR(INDEX(EmployeeData[Status], ROW() - 37), "")</f>
        <v/>
      </c>
    </row>
    <row r="1374" spans="2:10" ht="19.95" customHeight="1" x14ac:dyDescent="0.3">
      <c r="B1374" s="4" t="str" cm="1">
        <f t="array" ref="B1374">IFERROR(INDEX(EmployeeData[Employee ID], ROW() - 37), "")</f>
        <v/>
      </c>
      <c r="C1374" s="4" t="str" cm="1">
        <f t="array" ref="C1374">IFERROR(INDEX(EmployeeData[Full Name], ROW() - 37), "")</f>
        <v/>
      </c>
      <c r="D1374" s="4" t="str" cm="1">
        <f t="array" ref="D1374">IFERROR(INDEX(EmployeeData[Department], ROW() - 37), "")</f>
        <v/>
      </c>
      <c r="E1374" s="4" t="str" cm="1">
        <f t="array" ref="E1374">IFERROR(INDEX(EmployeeData[Gender], ROW() - 37), "")</f>
        <v/>
      </c>
      <c r="F1374" s="4" t="str" cm="1">
        <f t="array" ref="F1374">IFERROR(INDEX(EmployeeData[Age], ROW() - 37), "")</f>
        <v/>
      </c>
      <c r="G1374" s="6" t="str" cm="1">
        <f t="array" ref="G1374">IFERROR(INDEX(EmployeeData[Join Date], ROW() - 37), "")</f>
        <v/>
      </c>
      <c r="H1374" s="6" t="str" cm="1">
        <f t="array" ref="H1374">IFERROR(IF(INDEX(EmployeeData[Exit Date], ROW() - 37)=0, "",INDEX(EmployeeData[Exit Date], ROW() - 37)),"")</f>
        <v/>
      </c>
      <c r="I1374" s="4" t="str" cm="1">
        <f t="array" ref="I1374">IFERROR(IF(INDEX(EmployeeData[Exit Reason], ROW() - 37)=0, "",INDEX(EmployeeData[Exit Reason], ROW() - 37)),"")</f>
        <v/>
      </c>
      <c r="J1374" s="4" t="str" cm="1">
        <f t="array" ref="J1374">IFERROR(INDEX(EmployeeData[Status], ROW() - 37), "")</f>
        <v/>
      </c>
    </row>
    <row r="1375" spans="2:10" ht="19.95" customHeight="1" x14ac:dyDescent="0.3">
      <c r="B1375" s="4" t="str" cm="1">
        <f t="array" ref="B1375">IFERROR(INDEX(EmployeeData[Employee ID], ROW() - 37), "")</f>
        <v/>
      </c>
      <c r="C1375" s="4" t="str" cm="1">
        <f t="array" ref="C1375">IFERROR(INDEX(EmployeeData[Full Name], ROW() - 37), "")</f>
        <v/>
      </c>
      <c r="D1375" s="4" t="str" cm="1">
        <f t="array" ref="D1375">IFERROR(INDEX(EmployeeData[Department], ROW() - 37), "")</f>
        <v/>
      </c>
      <c r="E1375" s="4" t="str" cm="1">
        <f t="array" ref="E1375">IFERROR(INDEX(EmployeeData[Gender], ROW() - 37), "")</f>
        <v/>
      </c>
      <c r="F1375" s="4" t="str" cm="1">
        <f t="array" ref="F1375">IFERROR(INDEX(EmployeeData[Age], ROW() - 37), "")</f>
        <v/>
      </c>
      <c r="G1375" s="6" t="str" cm="1">
        <f t="array" ref="G1375">IFERROR(INDEX(EmployeeData[Join Date], ROW() - 37), "")</f>
        <v/>
      </c>
      <c r="H1375" s="6" t="str" cm="1">
        <f t="array" ref="H1375">IFERROR(IF(INDEX(EmployeeData[Exit Date], ROW() - 37)=0, "",INDEX(EmployeeData[Exit Date], ROW() - 37)),"")</f>
        <v/>
      </c>
      <c r="I1375" s="4" t="str" cm="1">
        <f t="array" ref="I1375">IFERROR(IF(INDEX(EmployeeData[Exit Reason], ROW() - 37)=0, "",INDEX(EmployeeData[Exit Reason], ROW() - 37)),"")</f>
        <v/>
      </c>
      <c r="J1375" s="4" t="str" cm="1">
        <f t="array" ref="J1375">IFERROR(INDEX(EmployeeData[Status], ROW() - 37), "")</f>
        <v/>
      </c>
    </row>
    <row r="1376" spans="2:10" ht="19.95" customHeight="1" x14ac:dyDescent="0.3">
      <c r="B1376" s="4" t="str" cm="1">
        <f t="array" ref="B1376">IFERROR(INDEX(EmployeeData[Employee ID], ROW() - 37), "")</f>
        <v/>
      </c>
      <c r="C1376" s="4" t="str" cm="1">
        <f t="array" ref="C1376">IFERROR(INDEX(EmployeeData[Full Name], ROW() - 37), "")</f>
        <v/>
      </c>
      <c r="D1376" s="4" t="str" cm="1">
        <f t="array" ref="D1376">IFERROR(INDEX(EmployeeData[Department], ROW() - 37), "")</f>
        <v/>
      </c>
      <c r="E1376" s="4" t="str" cm="1">
        <f t="array" ref="E1376">IFERROR(INDEX(EmployeeData[Gender], ROW() - 37), "")</f>
        <v/>
      </c>
      <c r="F1376" s="4" t="str" cm="1">
        <f t="array" ref="F1376">IFERROR(INDEX(EmployeeData[Age], ROW() - 37), "")</f>
        <v/>
      </c>
      <c r="G1376" s="6" t="str" cm="1">
        <f t="array" ref="G1376">IFERROR(INDEX(EmployeeData[Join Date], ROW() - 37), "")</f>
        <v/>
      </c>
      <c r="H1376" s="6" t="str" cm="1">
        <f t="array" ref="H1376">IFERROR(IF(INDEX(EmployeeData[Exit Date], ROW() - 37)=0, "",INDEX(EmployeeData[Exit Date], ROW() - 37)),"")</f>
        <v/>
      </c>
      <c r="I1376" s="4" t="str" cm="1">
        <f t="array" ref="I1376">IFERROR(IF(INDEX(EmployeeData[Exit Reason], ROW() - 37)=0, "",INDEX(EmployeeData[Exit Reason], ROW() - 37)),"")</f>
        <v/>
      </c>
      <c r="J1376" s="4" t="str" cm="1">
        <f t="array" ref="J1376">IFERROR(INDEX(EmployeeData[Status], ROW() - 37), "")</f>
        <v/>
      </c>
    </row>
    <row r="1377" spans="2:10" ht="19.95" customHeight="1" x14ac:dyDescent="0.3">
      <c r="B1377" s="4" t="str" cm="1">
        <f t="array" ref="B1377">IFERROR(INDEX(EmployeeData[Employee ID], ROW() - 37), "")</f>
        <v/>
      </c>
      <c r="C1377" s="4" t="str" cm="1">
        <f t="array" ref="C1377">IFERROR(INDEX(EmployeeData[Full Name], ROW() - 37), "")</f>
        <v/>
      </c>
      <c r="D1377" s="4" t="str" cm="1">
        <f t="array" ref="D1377">IFERROR(INDEX(EmployeeData[Department], ROW() - 37), "")</f>
        <v/>
      </c>
      <c r="E1377" s="4" t="str" cm="1">
        <f t="array" ref="E1377">IFERROR(INDEX(EmployeeData[Gender], ROW() - 37), "")</f>
        <v/>
      </c>
      <c r="F1377" s="4" t="str" cm="1">
        <f t="array" ref="F1377">IFERROR(INDEX(EmployeeData[Age], ROW() - 37), "")</f>
        <v/>
      </c>
      <c r="G1377" s="6" t="str" cm="1">
        <f t="array" ref="G1377">IFERROR(INDEX(EmployeeData[Join Date], ROW() - 37), "")</f>
        <v/>
      </c>
      <c r="H1377" s="6" t="str" cm="1">
        <f t="array" ref="H1377">IFERROR(IF(INDEX(EmployeeData[Exit Date], ROW() - 37)=0, "",INDEX(EmployeeData[Exit Date], ROW() - 37)),"")</f>
        <v/>
      </c>
      <c r="I1377" s="4" t="str" cm="1">
        <f t="array" ref="I1377">IFERROR(IF(INDEX(EmployeeData[Exit Reason], ROW() - 37)=0, "",INDEX(EmployeeData[Exit Reason], ROW() - 37)),"")</f>
        <v/>
      </c>
      <c r="J1377" s="4" t="str" cm="1">
        <f t="array" ref="J1377">IFERROR(INDEX(EmployeeData[Status], ROW() - 37), "")</f>
        <v/>
      </c>
    </row>
    <row r="1378" spans="2:10" ht="19.95" customHeight="1" x14ac:dyDescent="0.3">
      <c r="B1378" s="4" t="str" cm="1">
        <f t="array" ref="B1378">IFERROR(INDEX(EmployeeData[Employee ID], ROW() - 37), "")</f>
        <v/>
      </c>
      <c r="C1378" s="4" t="str" cm="1">
        <f t="array" ref="C1378">IFERROR(INDEX(EmployeeData[Full Name], ROW() - 37), "")</f>
        <v/>
      </c>
      <c r="D1378" s="4" t="str" cm="1">
        <f t="array" ref="D1378">IFERROR(INDEX(EmployeeData[Department], ROW() - 37), "")</f>
        <v/>
      </c>
      <c r="E1378" s="4" t="str" cm="1">
        <f t="array" ref="E1378">IFERROR(INDEX(EmployeeData[Gender], ROW() - 37), "")</f>
        <v/>
      </c>
      <c r="F1378" s="4" t="str" cm="1">
        <f t="array" ref="F1378">IFERROR(INDEX(EmployeeData[Age], ROW() - 37), "")</f>
        <v/>
      </c>
      <c r="G1378" s="6" t="str" cm="1">
        <f t="array" ref="G1378">IFERROR(INDEX(EmployeeData[Join Date], ROW() - 37), "")</f>
        <v/>
      </c>
      <c r="H1378" s="6" t="str" cm="1">
        <f t="array" ref="H1378">IFERROR(IF(INDEX(EmployeeData[Exit Date], ROW() - 37)=0, "",INDEX(EmployeeData[Exit Date], ROW() - 37)),"")</f>
        <v/>
      </c>
      <c r="I1378" s="4" t="str" cm="1">
        <f t="array" ref="I1378">IFERROR(IF(INDEX(EmployeeData[Exit Reason], ROW() - 37)=0, "",INDEX(EmployeeData[Exit Reason], ROW() - 37)),"")</f>
        <v/>
      </c>
      <c r="J1378" s="4" t="str" cm="1">
        <f t="array" ref="J1378">IFERROR(INDEX(EmployeeData[Status], ROW() - 37), "")</f>
        <v/>
      </c>
    </row>
    <row r="1379" spans="2:10" ht="19.95" customHeight="1" x14ac:dyDescent="0.3">
      <c r="B1379" s="4" t="str" cm="1">
        <f t="array" ref="B1379">IFERROR(INDEX(EmployeeData[Employee ID], ROW() - 37), "")</f>
        <v/>
      </c>
      <c r="C1379" s="4" t="str" cm="1">
        <f t="array" ref="C1379">IFERROR(INDEX(EmployeeData[Full Name], ROW() - 37), "")</f>
        <v/>
      </c>
      <c r="D1379" s="4" t="str" cm="1">
        <f t="array" ref="D1379">IFERROR(INDEX(EmployeeData[Department], ROW() - 37), "")</f>
        <v/>
      </c>
      <c r="E1379" s="4" t="str" cm="1">
        <f t="array" ref="E1379">IFERROR(INDEX(EmployeeData[Gender], ROW() - 37), "")</f>
        <v/>
      </c>
      <c r="F1379" s="4" t="str" cm="1">
        <f t="array" ref="F1379">IFERROR(INDEX(EmployeeData[Age], ROW() - 37), "")</f>
        <v/>
      </c>
      <c r="G1379" s="6" t="str" cm="1">
        <f t="array" ref="G1379">IFERROR(INDEX(EmployeeData[Join Date], ROW() - 37), "")</f>
        <v/>
      </c>
      <c r="H1379" s="6" t="str" cm="1">
        <f t="array" ref="H1379">IFERROR(IF(INDEX(EmployeeData[Exit Date], ROW() - 37)=0, "",INDEX(EmployeeData[Exit Date], ROW() - 37)),"")</f>
        <v/>
      </c>
      <c r="I1379" s="4" t="str" cm="1">
        <f t="array" ref="I1379">IFERROR(IF(INDEX(EmployeeData[Exit Reason], ROW() - 37)=0, "",INDEX(EmployeeData[Exit Reason], ROW() - 37)),"")</f>
        <v/>
      </c>
      <c r="J1379" s="4" t="str" cm="1">
        <f t="array" ref="J1379">IFERROR(INDEX(EmployeeData[Status], ROW() - 37), "")</f>
        <v/>
      </c>
    </row>
    <row r="1380" spans="2:10" ht="19.95" customHeight="1" x14ac:dyDescent="0.3">
      <c r="B1380" s="4" t="str" cm="1">
        <f t="array" ref="B1380">IFERROR(INDEX(EmployeeData[Employee ID], ROW() - 37), "")</f>
        <v/>
      </c>
      <c r="C1380" s="4" t="str" cm="1">
        <f t="array" ref="C1380">IFERROR(INDEX(EmployeeData[Full Name], ROW() - 37), "")</f>
        <v/>
      </c>
      <c r="D1380" s="4" t="str" cm="1">
        <f t="array" ref="D1380">IFERROR(INDEX(EmployeeData[Department], ROW() - 37), "")</f>
        <v/>
      </c>
      <c r="E1380" s="4" t="str" cm="1">
        <f t="array" ref="E1380">IFERROR(INDEX(EmployeeData[Gender], ROW() - 37), "")</f>
        <v/>
      </c>
      <c r="F1380" s="4" t="str" cm="1">
        <f t="array" ref="F1380">IFERROR(INDEX(EmployeeData[Age], ROW() - 37), "")</f>
        <v/>
      </c>
      <c r="G1380" s="6" t="str" cm="1">
        <f t="array" ref="G1380">IFERROR(INDEX(EmployeeData[Join Date], ROW() - 37), "")</f>
        <v/>
      </c>
      <c r="H1380" s="6" t="str" cm="1">
        <f t="array" ref="H1380">IFERROR(IF(INDEX(EmployeeData[Exit Date], ROW() - 37)=0, "",INDEX(EmployeeData[Exit Date], ROW() - 37)),"")</f>
        <v/>
      </c>
      <c r="I1380" s="4" t="str" cm="1">
        <f t="array" ref="I1380">IFERROR(IF(INDEX(EmployeeData[Exit Reason], ROW() - 37)=0, "",INDEX(EmployeeData[Exit Reason], ROW() - 37)),"")</f>
        <v/>
      </c>
      <c r="J1380" s="4" t="str" cm="1">
        <f t="array" ref="J1380">IFERROR(INDEX(EmployeeData[Status], ROW() - 37), "")</f>
        <v/>
      </c>
    </row>
    <row r="1381" spans="2:10" ht="19.95" customHeight="1" x14ac:dyDescent="0.3">
      <c r="B1381" s="4" t="str" cm="1">
        <f t="array" ref="B1381">IFERROR(INDEX(EmployeeData[Employee ID], ROW() - 37), "")</f>
        <v/>
      </c>
      <c r="C1381" s="4" t="str" cm="1">
        <f t="array" ref="C1381">IFERROR(INDEX(EmployeeData[Full Name], ROW() - 37), "")</f>
        <v/>
      </c>
      <c r="D1381" s="4" t="str" cm="1">
        <f t="array" ref="D1381">IFERROR(INDEX(EmployeeData[Department], ROW() - 37), "")</f>
        <v/>
      </c>
      <c r="E1381" s="4" t="str" cm="1">
        <f t="array" ref="E1381">IFERROR(INDEX(EmployeeData[Gender], ROW() - 37), "")</f>
        <v/>
      </c>
      <c r="F1381" s="4" t="str" cm="1">
        <f t="array" ref="F1381">IFERROR(INDEX(EmployeeData[Age], ROW() - 37), "")</f>
        <v/>
      </c>
      <c r="G1381" s="6" t="str" cm="1">
        <f t="array" ref="G1381">IFERROR(INDEX(EmployeeData[Join Date], ROW() - 37), "")</f>
        <v/>
      </c>
      <c r="H1381" s="6" t="str" cm="1">
        <f t="array" ref="H1381">IFERROR(IF(INDEX(EmployeeData[Exit Date], ROW() - 37)=0, "",INDEX(EmployeeData[Exit Date], ROW() - 37)),"")</f>
        <v/>
      </c>
      <c r="I1381" s="4" t="str" cm="1">
        <f t="array" ref="I1381">IFERROR(IF(INDEX(EmployeeData[Exit Reason], ROW() - 37)=0, "",INDEX(EmployeeData[Exit Reason], ROW() - 37)),"")</f>
        <v/>
      </c>
      <c r="J1381" s="4" t="str" cm="1">
        <f t="array" ref="J1381">IFERROR(INDEX(EmployeeData[Status], ROW() - 37), "")</f>
        <v/>
      </c>
    </row>
    <row r="1382" spans="2:10" ht="19.95" customHeight="1" x14ac:dyDescent="0.3">
      <c r="B1382" s="4" t="str" cm="1">
        <f t="array" ref="B1382">IFERROR(INDEX(EmployeeData[Employee ID], ROW() - 37), "")</f>
        <v/>
      </c>
      <c r="C1382" s="4" t="str" cm="1">
        <f t="array" ref="C1382">IFERROR(INDEX(EmployeeData[Full Name], ROW() - 37), "")</f>
        <v/>
      </c>
      <c r="D1382" s="4" t="str" cm="1">
        <f t="array" ref="D1382">IFERROR(INDEX(EmployeeData[Department], ROW() - 37), "")</f>
        <v/>
      </c>
      <c r="E1382" s="4" t="str" cm="1">
        <f t="array" ref="E1382">IFERROR(INDEX(EmployeeData[Gender], ROW() - 37), "")</f>
        <v/>
      </c>
      <c r="F1382" s="4" t="str" cm="1">
        <f t="array" ref="F1382">IFERROR(INDEX(EmployeeData[Age], ROW() - 37), "")</f>
        <v/>
      </c>
      <c r="G1382" s="6" t="str" cm="1">
        <f t="array" ref="G1382">IFERROR(INDEX(EmployeeData[Join Date], ROW() - 37), "")</f>
        <v/>
      </c>
      <c r="H1382" s="6" t="str" cm="1">
        <f t="array" ref="H1382">IFERROR(IF(INDEX(EmployeeData[Exit Date], ROW() - 37)=0, "",INDEX(EmployeeData[Exit Date], ROW() - 37)),"")</f>
        <v/>
      </c>
      <c r="I1382" s="4" t="str" cm="1">
        <f t="array" ref="I1382">IFERROR(IF(INDEX(EmployeeData[Exit Reason], ROW() - 37)=0, "",INDEX(EmployeeData[Exit Reason], ROW() - 37)),"")</f>
        <v/>
      </c>
      <c r="J1382" s="4" t="str" cm="1">
        <f t="array" ref="J1382">IFERROR(INDEX(EmployeeData[Status], ROW() - 37), "")</f>
        <v/>
      </c>
    </row>
    <row r="1383" spans="2:10" ht="19.95" customHeight="1" x14ac:dyDescent="0.3">
      <c r="B1383" s="4" t="str" cm="1">
        <f t="array" ref="B1383">IFERROR(INDEX(EmployeeData[Employee ID], ROW() - 37), "")</f>
        <v/>
      </c>
      <c r="C1383" s="4" t="str" cm="1">
        <f t="array" ref="C1383">IFERROR(INDEX(EmployeeData[Full Name], ROW() - 37), "")</f>
        <v/>
      </c>
      <c r="D1383" s="4" t="str" cm="1">
        <f t="array" ref="D1383">IFERROR(INDEX(EmployeeData[Department], ROW() - 37), "")</f>
        <v/>
      </c>
      <c r="E1383" s="4" t="str" cm="1">
        <f t="array" ref="E1383">IFERROR(INDEX(EmployeeData[Gender], ROW() - 37), "")</f>
        <v/>
      </c>
      <c r="F1383" s="4" t="str" cm="1">
        <f t="array" ref="F1383">IFERROR(INDEX(EmployeeData[Age], ROW() - 37), "")</f>
        <v/>
      </c>
      <c r="G1383" s="6" t="str" cm="1">
        <f t="array" ref="G1383">IFERROR(INDEX(EmployeeData[Join Date], ROW() - 37), "")</f>
        <v/>
      </c>
      <c r="H1383" s="6" t="str" cm="1">
        <f t="array" ref="H1383">IFERROR(IF(INDEX(EmployeeData[Exit Date], ROW() - 37)=0, "",INDEX(EmployeeData[Exit Date], ROW() - 37)),"")</f>
        <v/>
      </c>
      <c r="I1383" s="4" t="str" cm="1">
        <f t="array" ref="I1383">IFERROR(IF(INDEX(EmployeeData[Exit Reason], ROW() - 37)=0, "",INDEX(EmployeeData[Exit Reason], ROW() - 37)),"")</f>
        <v/>
      </c>
      <c r="J1383" s="4" t="str" cm="1">
        <f t="array" ref="J1383">IFERROR(INDEX(EmployeeData[Status], ROW() - 37), "")</f>
        <v/>
      </c>
    </row>
    <row r="1384" spans="2:10" ht="19.95" customHeight="1" x14ac:dyDescent="0.3">
      <c r="B1384" s="4" t="str" cm="1">
        <f t="array" ref="B1384">IFERROR(INDEX(EmployeeData[Employee ID], ROW() - 37), "")</f>
        <v/>
      </c>
      <c r="C1384" s="4" t="str" cm="1">
        <f t="array" ref="C1384">IFERROR(INDEX(EmployeeData[Full Name], ROW() - 37), "")</f>
        <v/>
      </c>
      <c r="D1384" s="4" t="str" cm="1">
        <f t="array" ref="D1384">IFERROR(INDEX(EmployeeData[Department], ROW() - 37), "")</f>
        <v/>
      </c>
      <c r="E1384" s="4" t="str" cm="1">
        <f t="array" ref="E1384">IFERROR(INDEX(EmployeeData[Gender], ROW() - 37), "")</f>
        <v/>
      </c>
      <c r="F1384" s="4" t="str" cm="1">
        <f t="array" ref="F1384">IFERROR(INDEX(EmployeeData[Age], ROW() - 37), "")</f>
        <v/>
      </c>
      <c r="G1384" s="6" t="str" cm="1">
        <f t="array" ref="G1384">IFERROR(INDEX(EmployeeData[Join Date], ROW() - 37), "")</f>
        <v/>
      </c>
      <c r="H1384" s="6" t="str" cm="1">
        <f t="array" ref="H1384">IFERROR(IF(INDEX(EmployeeData[Exit Date], ROW() - 37)=0, "",INDEX(EmployeeData[Exit Date], ROW() - 37)),"")</f>
        <v/>
      </c>
      <c r="I1384" s="4" t="str" cm="1">
        <f t="array" ref="I1384">IFERROR(IF(INDEX(EmployeeData[Exit Reason], ROW() - 37)=0, "",INDEX(EmployeeData[Exit Reason], ROW() - 37)),"")</f>
        <v/>
      </c>
      <c r="J1384" s="4" t="str" cm="1">
        <f t="array" ref="J1384">IFERROR(INDEX(EmployeeData[Status], ROW() - 37), "")</f>
        <v/>
      </c>
    </row>
    <row r="1385" spans="2:10" ht="19.95" customHeight="1" x14ac:dyDescent="0.3">
      <c r="B1385" s="4" t="str" cm="1">
        <f t="array" ref="B1385">IFERROR(INDEX(EmployeeData[Employee ID], ROW() - 37), "")</f>
        <v/>
      </c>
      <c r="C1385" s="4" t="str" cm="1">
        <f t="array" ref="C1385">IFERROR(INDEX(EmployeeData[Full Name], ROW() - 37), "")</f>
        <v/>
      </c>
      <c r="D1385" s="4" t="str" cm="1">
        <f t="array" ref="D1385">IFERROR(INDEX(EmployeeData[Department], ROW() - 37), "")</f>
        <v/>
      </c>
      <c r="E1385" s="4" t="str" cm="1">
        <f t="array" ref="E1385">IFERROR(INDEX(EmployeeData[Gender], ROW() - 37), "")</f>
        <v/>
      </c>
      <c r="F1385" s="4" t="str" cm="1">
        <f t="array" ref="F1385">IFERROR(INDEX(EmployeeData[Age], ROW() - 37), "")</f>
        <v/>
      </c>
      <c r="G1385" s="6" t="str" cm="1">
        <f t="array" ref="G1385">IFERROR(INDEX(EmployeeData[Join Date], ROW() - 37), "")</f>
        <v/>
      </c>
      <c r="H1385" s="6" t="str" cm="1">
        <f t="array" ref="H1385">IFERROR(IF(INDEX(EmployeeData[Exit Date], ROW() - 37)=0, "",INDEX(EmployeeData[Exit Date], ROW() - 37)),"")</f>
        <v/>
      </c>
      <c r="I1385" s="4" t="str" cm="1">
        <f t="array" ref="I1385">IFERROR(IF(INDEX(EmployeeData[Exit Reason], ROW() - 37)=0, "",INDEX(EmployeeData[Exit Reason], ROW() - 37)),"")</f>
        <v/>
      </c>
      <c r="J1385" s="4" t="str" cm="1">
        <f t="array" ref="J1385">IFERROR(INDEX(EmployeeData[Status], ROW() - 37), "")</f>
        <v/>
      </c>
    </row>
    <row r="1386" spans="2:10" ht="19.95" customHeight="1" x14ac:dyDescent="0.3">
      <c r="B1386" s="4" t="str" cm="1">
        <f t="array" ref="B1386">IFERROR(INDEX(EmployeeData[Employee ID], ROW() - 37), "")</f>
        <v/>
      </c>
      <c r="C1386" s="4" t="str" cm="1">
        <f t="array" ref="C1386">IFERROR(INDEX(EmployeeData[Full Name], ROW() - 37), "")</f>
        <v/>
      </c>
      <c r="D1386" s="4" t="str" cm="1">
        <f t="array" ref="D1386">IFERROR(INDEX(EmployeeData[Department], ROW() - 37), "")</f>
        <v/>
      </c>
      <c r="E1386" s="4" t="str" cm="1">
        <f t="array" ref="E1386">IFERROR(INDEX(EmployeeData[Gender], ROW() - 37), "")</f>
        <v/>
      </c>
      <c r="F1386" s="4" t="str" cm="1">
        <f t="array" ref="F1386">IFERROR(INDEX(EmployeeData[Age], ROW() - 37), "")</f>
        <v/>
      </c>
      <c r="G1386" s="6" t="str" cm="1">
        <f t="array" ref="G1386">IFERROR(INDEX(EmployeeData[Join Date], ROW() - 37), "")</f>
        <v/>
      </c>
      <c r="H1386" s="6" t="str" cm="1">
        <f t="array" ref="H1386">IFERROR(IF(INDEX(EmployeeData[Exit Date], ROW() - 37)=0, "",INDEX(EmployeeData[Exit Date], ROW() - 37)),"")</f>
        <v/>
      </c>
      <c r="I1386" s="4" t="str" cm="1">
        <f t="array" ref="I1386">IFERROR(IF(INDEX(EmployeeData[Exit Reason], ROW() - 37)=0, "",INDEX(EmployeeData[Exit Reason], ROW() - 37)),"")</f>
        <v/>
      </c>
      <c r="J1386" s="4" t="str" cm="1">
        <f t="array" ref="J1386">IFERROR(INDEX(EmployeeData[Status], ROW() - 37), "")</f>
        <v/>
      </c>
    </row>
    <row r="1387" spans="2:10" ht="19.95" customHeight="1" x14ac:dyDescent="0.3">
      <c r="B1387" s="4" t="str" cm="1">
        <f t="array" ref="B1387">IFERROR(INDEX(EmployeeData[Employee ID], ROW() - 37), "")</f>
        <v/>
      </c>
      <c r="C1387" s="4" t="str" cm="1">
        <f t="array" ref="C1387">IFERROR(INDEX(EmployeeData[Full Name], ROW() - 37), "")</f>
        <v/>
      </c>
      <c r="D1387" s="4" t="str" cm="1">
        <f t="array" ref="D1387">IFERROR(INDEX(EmployeeData[Department], ROW() - 37), "")</f>
        <v/>
      </c>
      <c r="E1387" s="4" t="str" cm="1">
        <f t="array" ref="E1387">IFERROR(INDEX(EmployeeData[Gender], ROW() - 37), "")</f>
        <v/>
      </c>
      <c r="F1387" s="4" t="str" cm="1">
        <f t="array" ref="F1387">IFERROR(INDEX(EmployeeData[Age], ROW() - 37), "")</f>
        <v/>
      </c>
      <c r="G1387" s="6" t="str" cm="1">
        <f t="array" ref="G1387">IFERROR(INDEX(EmployeeData[Join Date], ROW() - 37), "")</f>
        <v/>
      </c>
      <c r="H1387" s="6" t="str" cm="1">
        <f t="array" ref="H1387">IFERROR(IF(INDEX(EmployeeData[Exit Date], ROW() - 37)=0, "",INDEX(EmployeeData[Exit Date], ROW() - 37)),"")</f>
        <v/>
      </c>
      <c r="I1387" s="4" t="str" cm="1">
        <f t="array" ref="I1387">IFERROR(IF(INDEX(EmployeeData[Exit Reason], ROW() - 37)=0, "",INDEX(EmployeeData[Exit Reason], ROW() - 37)),"")</f>
        <v/>
      </c>
      <c r="J1387" s="4" t="str" cm="1">
        <f t="array" ref="J1387">IFERROR(INDEX(EmployeeData[Status], ROW() - 37), "")</f>
        <v/>
      </c>
    </row>
    <row r="1388" spans="2:10" ht="19.95" customHeight="1" x14ac:dyDescent="0.3">
      <c r="B1388" s="4" t="str" cm="1">
        <f t="array" ref="B1388">IFERROR(INDEX(EmployeeData[Employee ID], ROW() - 37), "")</f>
        <v/>
      </c>
      <c r="C1388" s="4" t="str" cm="1">
        <f t="array" ref="C1388">IFERROR(INDEX(EmployeeData[Full Name], ROW() - 37), "")</f>
        <v/>
      </c>
      <c r="D1388" s="4" t="str" cm="1">
        <f t="array" ref="D1388">IFERROR(INDEX(EmployeeData[Department], ROW() - 37), "")</f>
        <v/>
      </c>
      <c r="E1388" s="4" t="str" cm="1">
        <f t="array" ref="E1388">IFERROR(INDEX(EmployeeData[Gender], ROW() - 37), "")</f>
        <v/>
      </c>
      <c r="F1388" s="4" t="str" cm="1">
        <f t="array" ref="F1388">IFERROR(INDEX(EmployeeData[Age], ROW() - 37), "")</f>
        <v/>
      </c>
      <c r="G1388" s="6" t="str" cm="1">
        <f t="array" ref="G1388">IFERROR(INDEX(EmployeeData[Join Date], ROW() - 37), "")</f>
        <v/>
      </c>
      <c r="H1388" s="6" t="str" cm="1">
        <f t="array" ref="H1388">IFERROR(IF(INDEX(EmployeeData[Exit Date], ROW() - 37)=0, "",INDEX(EmployeeData[Exit Date], ROW() - 37)),"")</f>
        <v/>
      </c>
      <c r="I1388" s="4" t="str" cm="1">
        <f t="array" ref="I1388">IFERROR(IF(INDEX(EmployeeData[Exit Reason], ROW() - 37)=0, "",INDEX(EmployeeData[Exit Reason], ROW() - 37)),"")</f>
        <v/>
      </c>
      <c r="J1388" s="4" t="str" cm="1">
        <f t="array" ref="J1388">IFERROR(INDEX(EmployeeData[Status], ROW() - 37), "")</f>
        <v/>
      </c>
    </row>
    <row r="1389" spans="2:10" ht="19.95" customHeight="1" x14ac:dyDescent="0.3">
      <c r="B1389" s="4" t="str" cm="1">
        <f t="array" ref="B1389">IFERROR(INDEX(EmployeeData[Employee ID], ROW() - 37), "")</f>
        <v/>
      </c>
      <c r="C1389" s="4" t="str" cm="1">
        <f t="array" ref="C1389">IFERROR(INDEX(EmployeeData[Full Name], ROW() - 37), "")</f>
        <v/>
      </c>
      <c r="D1389" s="4" t="str" cm="1">
        <f t="array" ref="D1389">IFERROR(INDEX(EmployeeData[Department], ROW() - 37), "")</f>
        <v/>
      </c>
      <c r="E1389" s="4" t="str" cm="1">
        <f t="array" ref="E1389">IFERROR(INDEX(EmployeeData[Gender], ROW() - 37), "")</f>
        <v/>
      </c>
      <c r="F1389" s="4" t="str" cm="1">
        <f t="array" ref="F1389">IFERROR(INDEX(EmployeeData[Age], ROW() - 37), "")</f>
        <v/>
      </c>
      <c r="G1389" s="6" t="str" cm="1">
        <f t="array" ref="G1389">IFERROR(INDEX(EmployeeData[Join Date], ROW() - 37), "")</f>
        <v/>
      </c>
      <c r="H1389" s="6" t="str" cm="1">
        <f t="array" ref="H1389">IFERROR(IF(INDEX(EmployeeData[Exit Date], ROW() - 37)=0, "",INDEX(EmployeeData[Exit Date], ROW() - 37)),"")</f>
        <v/>
      </c>
      <c r="I1389" s="4" t="str" cm="1">
        <f t="array" ref="I1389">IFERROR(IF(INDEX(EmployeeData[Exit Reason], ROW() - 37)=0, "",INDEX(EmployeeData[Exit Reason], ROW() - 37)),"")</f>
        <v/>
      </c>
      <c r="J1389" s="4" t="str" cm="1">
        <f t="array" ref="J1389">IFERROR(INDEX(EmployeeData[Status], ROW() - 37), "")</f>
        <v/>
      </c>
    </row>
    <row r="1390" spans="2:10" ht="19.95" customHeight="1" x14ac:dyDescent="0.3">
      <c r="B1390" s="4" t="str" cm="1">
        <f t="array" ref="B1390">IFERROR(INDEX(EmployeeData[Employee ID], ROW() - 37), "")</f>
        <v/>
      </c>
      <c r="C1390" s="4" t="str" cm="1">
        <f t="array" ref="C1390">IFERROR(INDEX(EmployeeData[Full Name], ROW() - 37), "")</f>
        <v/>
      </c>
      <c r="D1390" s="4" t="str" cm="1">
        <f t="array" ref="D1390">IFERROR(INDEX(EmployeeData[Department], ROW() - 37), "")</f>
        <v/>
      </c>
      <c r="E1390" s="4" t="str" cm="1">
        <f t="array" ref="E1390">IFERROR(INDEX(EmployeeData[Gender], ROW() - 37), "")</f>
        <v/>
      </c>
      <c r="F1390" s="4" t="str" cm="1">
        <f t="array" ref="F1390">IFERROR(INDEX(EmployeeData[Age], ROW() - 37), "")</f>
        <v/>
      </c>
      <c r="G1390" s="6" t="str" cm="1">
        <f t="array" ref="G1390">IFERROR(INDEX(EmployeeData[Join Date], ROW() - 37), "")</f>
        <v/>
      </c>
      <c r="H1390" s="6" t="str" cm="1">
        <f t="array" ref="H1390">IFERROR(IF(INDEX(EmployeeData[Exit Date], ROW() - 37)=0, "",INDEX(EmployeeData[Exit Date], ROW() - 37)),"")</f>
        <v/>
      </c>
      <c r="I1390" s="4" t="str" cm="1">
        <f t="array" ref="I1390">IFERROR(IF(INDEX(EmployeeData[Exit Reason], ROW() - 37)=0, "",INDEX(EmployeeData[Exit Reason], ROW() - 37)),"")</f>
        <v/>
      </c>
      <c r="J1390" s="4" t="str" cm="1">
        <f t="array" ref="J1390">IFERROR(INDEX(EmployeeData[Status], ROW() - 37), "")</f>
        <v/>
      </c>
    </row>
    <row r="1391" spans="2:10" ht="19.95" customHeight="1" x14ac:dyDescent="0.3">
      <c r="B1391" s="4" t="str" cm="1">
        <f t="array" ref="B1391">IFERROR(INDEX(EmployeeData[Employee ID], ROW() - 37), "")</f>
        <v/>
      </c>
      <c r="C1391" s="4" t="str" cm="1">
        <f t="array" ref="C1391">IFERROR(INDEX(EmployeeData[Full Name], ROW() - 37), "")</f>
        <v/>
      </c>
      <c r="D1391" s="4" t="str" cm="1">
        <f t="array" ref="D1391">IFERROR(INDEX(EmployeeData[Department], ROW() - 37), "")</f>
        <v/>
      </c>
      <c r="E1391" s="4" t="str" cm="1">
        <f t="array" ref="E1391">IFERROR(INDEX(EmployeeData[Gender], ROW() - 37), "")</f>
        <v/>
      </c>
      <c r="F1391" s="4" t="str" cm="1">
        <f t="array" ref="F1391">IFERROR(INDEX(EmployeeData[Age], ROW() - 37), "")</f>
        <v/>
      </c>
      <c r="G1391" s="6" t="str" cm="1">
        <f t="array" ref="G1391">IFERROR(INDEX(EmployeeData[Join Date], ROW() - 37), "")</f>
        <v/>
      </c>
      <c r="H1391" s="6" t="str" cm="1">
        <f t="array" ref="H1391">IFERROR(IF(INDEX(EmployeeData[Exit Date], ROW() - 37)=0, "",INDEX(EmployeeData[Exit Date], ROW() - 37)),"")</f>
        <v/>
      </c>
      <c r="I1391" s="4" t="str" cm="1">
        <f t="array" ref="I1391">IFERROR(IF(INDEX(EmployeeData[Exit Reason], ROW() - 37)=0, "",INDEX(EmployeeData[Exit Reason], ROW() - 37)),"")</f>
        <v/>
      </c>
      <c r="J1391" s="4" t="str" cm="1">
        <f t="array" ref="J1391">IFERROR(INDEX(EmployeeData[Status], ROW() - 37), "")</f>
        <v/>
      </c>
    </row>
    <row r="1392" spans="2:10" ht="19.95" customHeight="1" x14ac:dyDescent="0.3">
      <c r="B1392" s="4" t="str" cm="1">
        <f t="array" ref="B1392">IFERROR(INDEX(EmployeeData[Employee ID], ROW() - 37), "")</f>
        <v/>
      </c>
      <c r="C1392" s="4" t="str" cm="1">
        <f t="array" ref="C1392">IFERROR(INDEX(EmployeeData[Full Name], ROW() - 37), "")</f>
        <v/>
      </c>
      <c r="D1392" s="4" t="str" cm="1">
        <f t="array" ref="D1392">IFERROR(INDEX(EmployeeData[Department], ROW() - 37), "")</f>
        <v/>
      </c>
      <c r="E1392" s="4" t="str" cm="1">
        <f t="array" ref="E1392">IFERROR(INDEX(EmployeeData[Gender], ROW() - 37), "")</f>
        <v/>
      </c>
      <c r="F1392" s="4" t="str" cm="1">
        <f t="array" ref="F1392">IFERROR(INDEX(EmployeeData[Age], ROW() - 37), "")</f>
        <v/>
      </c>
      <c r="G1392" s="6" t="str" cm="1">
        <f t="array" ref="G1392">IFERROR(INDEX(EmployeeData[Join Date], ROW() - 37), "")</f>
        <v/>
      </c>
      <c r="H1392" s="6" t="str" cm="1">
        <f t="array" ref="H1392">IFERROR(IF(INDEX(EmployeeData[Exit Date], ROW() - 37)=0, "",INDEX(EmployeeData[Exit Date], ROW() - 37)),"")</f>
        <v/>
      </c>
      <c r="I1392" s="4" t="str" cm="1">
        <f t="array" ref="I1392">IFERROR(IF(INDEX(EmployeeData[Exit Reason], ROW() - 37)=0, "",INDEX(EmployeeData[Exit Reason], ROW() - 37)),"")</f>
        <v/>
      </c>
      <c r="J1392" s="4" t="str" cm="1">
        <f t="array" ref="J1392">IFERROR(INDEX(EmployeeData[Status], ROW() - 37), "")</f>
        <v/>
      </c>
    </row>
    <row r="1393" spans="2:10" ht="19.95" customHeight="1" x14ac:dyDescent="0.3">
      <c r="B1393" s="4" t="str" cm="1">
        <f t="array" ref="B1393">IFERROR(INDEX(EmployeeData[Employee ID], ROW() - 37), "")</f>
        <v/>
      </c>
      <c r="C1393" s="4" t="str" cm="1">
        <f t="array" ref="C1393">IFERROR(INDEX(EmployeeData[Full Name], ROW() - 37), "")</f>
        <v/>
      </c>
      <c r="D1393" s="4" t="str" cm="1">
        <f t="array" ref="D1393">IFERROR(INDEX(EmployeeData[Department], ROW() - 37), "")</f>
        <v/>
      </c>
      <c r="E1393" s="4" t="str" cm="1">
        <f t="array" ref="E1393">IFERROR(INDEX(EmployeeData[Gender], ROW() - 37), "")</f>
        <v/>
      </c>
      <c r="F1393" s="4" t="str" cm="1">
        <f t="array" ref="F1393">IFERROR(INDEX(EmployeeData[Age], ROW() - 37), "")</f>
        <v/>
      </c>
      <c r="G1393" s="6" t="str" cm="1">
        <f t="array" ref="G1393">IFERROR(INDEX(EmployeeData[Join Date], ROW() - 37), "")</f>
        <v/>
      </c>
      <c r="H1393" s="6" t="str" cm="1">
        <f t="array" ref="H1393">IFERROR(IF(INDEX(EmployeeData[Exit Date], ROW() - 37)=0, "",INDEX(EmployeeData[Exit Date], ROW() - 37)),"")</f>
        <v/>
      </c>
      <c r="I1393" s="4" t="str" cm="1">
        <f t="array" ref="I1393">IFERROR(IF(INDEX(EmployeeData[Exit Reason], ROW() - 37)=0, "",INDEX(EmployeeData[Exit Reason], ROW() - 37)),"")</f>
        <v/>
      </c>
      <c r="J1393" s="4" t="str" cm="1">
        <f t="array" ref="J1393">IFERROR(INDEX(EmployeeData[Status], ROW() - 37), "")</f>
        <v/>
      </c>
    </row>
    <row r="1394" spans="2:10" ht="19.95" customHeight="1" x14ac:dyDescent="0.3">
      <c r="B1394" s="4" t="str" cm="1">
        <f t="array" ref="B1394">IFERROR(INDEX(EmployeeData[Employee ID], ROW() - 37), "")</f>
        <v/>
      </c>
      <c r="C1394" s="4" t="str" cm="1">
        <f t="array" ref="C1394">IFERROR(INDEX(EmployeeData[Full Name], ROW() - 37), "")</f>
        <v/>
      </c>
      <c r="D1394" s="4" t="str" cm="1">
        <f t="array" ref="D1394">IFERROR(INDEX(EmployeeData[Department], ROW() - 37), "")</f>
        <v/>
      </c>
      <c r="E1394" s="4" t="str" cm="1">
        <f t="array" ref="E1394">IFERROR(INDEX(EmployeeData[Gender], ROW() - 37), "")</f>
        <v/>
      </c>
      <c r="F1394" s="4" t="str" cm="1">
        <f t="array" ref="F1394">IFERROR(INDEX(EmployeeData[Age], ROW() - 37), "")</f>
        <v/>
      </c>
      <c r="G1394" s="6" t="str" cm="1">
        <f t="array" ref="G1394">IFERROR(INDEX(EmployeeData[Join Date], ROW() - 37), "")</f>
        <v/>
      </c>
      <c r="H1394" s="6" t="str" cm="1">
        <f t="array" ref="H1394">IFERROR(IF(INDEX(EmployeeData[Exit Date], ROW() - 37)=0, "",INDEX(EmployeeData[Exit Date], ROW() - 37)),"")</f>
        <v/>
      </c>
      <c r="I1394" s="4" t="str" cm="1">
        <f t="array" ref="I1394">IFERROR(IF(INDEX(EmployeeData[Exit Reason], ROW() - 37)=0, "",INDEX(EmployeeData[Exit Reason], ROW() - 37)),"")</f>
        <v/>
      </c>
      <c r="J1394" s="4" t="str" cm="1">
        <f t="array" ref="J1394">IFERROR(INDEX(EmployeeData[Status], ROW() - 37), "")</f>
        <v/>
      </c>
    </row>
    <row r="1395" spans="2:10" ht="19.95" customHeight="1" x14ac:dyDescent="0.3">
      <c r="B1395" s="4" t="str" cm="1">
        <f t="array" ref="B1395">IFERROR(INDEX(EmployeeData[Employee ID], ROW() - 37), "")</f>
        <v/>
      </c>
      <c r="C1395" s="4" t="str" cm="1">
        <f t="array" ref="C1395">IFERROR(INDEX(EmployeeData[Full Name], ROW() - 37), "")</f>
        <v/>
      </c>
      <c r="D1395" s="4" t="str" cm="1">
        <f t="array" ref="D1395">IFERROR(INDEX(EmployeeData[Department], ROW() - 37), "")</f>
        <v/>
      </c>
      <c r="E1395" s="4" t="str" cm="1">
        <f t="array" ref="E1395">IFERROR(INDEX(EmployeeData[Gender], ROW() - 37), "")</f>
        <v/>
      </c>
      <c r="F1395" s="4" t="str" cm="1">
        <f t="array" ref="F1395">IFERROR(INDEX(EmployeeData[Age], ROW() - 37), "")</f>
        <v/>
      </c>
      <c r="G1395" s="6" t="str" cm="1">
        <f t="array" ref="G1395">IFERROR(INDEX(EmployeeData[Join Date], ROW() - 37), "")</f>
        <v/>
      </c>
      <c r="H1395" s="6" t="str" cm="1">
        <f t="array" ref="H1395">IFERROR(IF(INDEX(EmployeeData[Exit Date], ROW() - 37)=0, "",INDEX(EmployeeData[Exit Date], ROW() - 37)),"")</f>
        <v/>
      </c>
      <c r="I1395" s="4" t="str" cm="1">
        <f t="array" ref="I1395">IFERROR(IF(INDEX(EmployeeData[Exit Reason], ROW() - 37)=0, "",INDEX(EmployeeData[Exit Reason], ROW() - 37)),"")</f>
        <v/>
      </c>
      <c r="J1395" s="4" t="str" cm="1">
        <f t="array" ref="J1395">IFERROR(INDEX(EmployeeData[Status], ROW() - 37), "")</f>
        <v/>
      </c>
    </row>
    <row r="1396" spans="2:10" ht="19.95" customHeight="1" x14ac:dyDescent="0.3">
      <c r="B1396" s="4" t="str" cm="1">
        <f t="array" ref="B1396">IFERROR(INDEX(EmployeeData[Employee ID], ROW() - 37), "")</f>
        <v/>
      </c>
      <c r="C1396" s="4" t="str" cm="1">
        <f t="array" ref="C1396">IFERROR(INDEX(EmployeeData[Full Name], ROW() - 37), "")</f>
        <v/>
      </c>
      <c r="D1396" s="4" t="str" cm="1">
        <f t="array" ref="D1396">IFERROR(INDEX(EmployeeData[Department], ROW() - 37), "")</f>
        <v/>
      </c>
      <c r="E1396" s="4" t="str" cm="1">
        <f t="array" ref="E1396">IFERROR(INDEX(EmployeeData[Gender], ROW() - 37), "")</f>
        <v/>
      </c>
      <c r="F1396" s="4" t="str" cm="1">
        <f t="array" ref="F1396">IFERROR(INDEX(EmployeeData[Age], ROW() - 37), "")</f>
        <v/>
      </c>
      <c r="G1396" s="6" t="str" cm="1">
        <f t="array" ref="G1396">IFERROR(INDEX(EmployeeData[Join Date], ROW() - 37), "")</f>
        <v/>
      </c>
      <c r="H1396" s="6" t="str" cm="1">
        <f t="array" ref="H1396">IFERROR(IF(INDEX(EmployeeData[Exit Date], ROW() - 37)=0, "",INDEX(EmployeeData[Exit Date], ROW() - 37)),"")</f>
        <v/>
      </c>
      <c r="I1396" s="4" t="str" cm="1">
        <f t="array" ref="I1396">IFERROR(IF(INDEX(EmployeeData[Exit Reason], ROW() - 37)=0, "",INDEX(EmployeeData[Exit Reason], ROW() - 37)),"")</f>
        <v/>
      </c>
      <c r="J1396" s="4" t="str" cm="1">
        <f t="array" ref="J1396">IFERROR(INDEX(EmployeeData[Status], ROW() - 37), "")</f>
        <v/>
      </c>
    </row>
    <row r="1397" spans="2:10" ht="19.95" customHeight="1" x14ac:dyDescent="0.3">
      <c r="B1397" s="4" t="str" cm="1">
        <f t="array" ref="B1397">IFERROR(INDEX(EmployeeData[Employee ID], ROW() - 37), "")</f>
        <v/>
      </c>
      <c r="C1397" s="4" t="str" cm="1">
        <f t="array" ref="C1397">IFERROR(INDEX(EmployeeData[Full Name], ROW() - 37), "")</f>
        <v/>
      </c>
      <c r="D1397" s="4" t="str" cm="1">
        <f t="array" ref="D1397">IFERROR(INDEX(EmployeeData[Department], ROW() - 37), "")</f>
        <v/>
      </c>
      <c r="E1397" s="4" t="str" cm="1">
        <f t="array" ref="E1397">IFERROR(INDEX(EmployeeData[Gender], ROW() - 37), "")</f>
        <v/>
      </c>
      <c r="F1397" s="4" t="str" cm="1">
        <f t="array" ref="F1397">IFERROR(INDEX(EmployeeData[Age], ROW() - 37), "")</f>
        <v/>
      </c>
      <c r="G1397" s="6" t="str" cm="1">
        <f t="array" ref="G1397">IFERROR(INDEX(EmployeeData[Join Date], ROW() - 37), "")</f>
        <v/>
      </c>
      <c r="H1397" s="6" t="str" cm="1">
        <f t="array" ref="H1397">IFERROR(IF(INDEX(EmployeeData[Exit Date], ROW() - 37)=0, "",INDEX(EmployeeData[Exit Date], ROW() - 37)),"")</f>
        <v/>
      </c>
      <c r="I1397" s="4" t="str" cm="1">
        <f t="array" ref="I1397">IFERROR(IF(INDEX(EmployeeData[Exit Reason], ROW() - 37)=0, "",INDEX(EmployeeData[Exit Reason], ROW() - 37)),"")</f>
        <v/>
      </c>
      <c r="J1397" s="4" t="str" cm="1">
        <f t="array" ref="J1397">IFERROR(INDEX(EmployeeData[Status], ROW() - 37), "")</f>
        <v/>
      </c>
    </row>
    <row r="1398" spans="2:10" ht="19.95" customHeight="1" x14ac:dyDescent="0.3">
      <c r="B1398" s="4" t="str" cm="1">
        <f t="array" ref="B1398">IFERROR(INDEX(EmployeeData[Employee ID], ROW() - 37), "")</f>
        <v/>
      </c>
      <c r="C1398" s="4" t="str" cm="1">
        <f t="array" ref="C1398">IFERROR(INDEX(EmployeeData[Full Name], ROW() - 37), "")</f>
        <v/>
      </c>
      <c r="D1398" s="4" t="str" cm="1">
        <f t="array" ref="D1398">IFERROR(INDEX(EmployeeData[Department], ROW() - 37), "")</f>
        <v/>
      </c>
      <c r="E1398" s="4" t="str" cm="1">
        <f t="array" ref="E1398">IFERROR(INDEX(EmployeeData[Gender], ROW() - 37), "")</f>
        <v/>
      </c>
      <c r="F1398" s="4" t="str" cm="1">
        <f t="array" ref="F1398">IFERROR(INDEX(EmployeeData[Age], ROW() - 37), "")</f>
        <v/>
      </c>
      <c r="G1398" s="6" t="str" cm="1">
        <f t="array" ref="G1398">IFERROR(INDEX(EmployeeData[Join Date], ROW() - 37), "")</f>
        <v/>
      </c>
      <c r="H1398" s="6" t="str" cm="1">
        <f t="array" ref="H1398">IFERROR(IF(INDEX(EmployeeData[Exit Date], ROW() - 37)=0, "",INDEX(EmployeeData[Exit Date], ROW() - 37)),"")</f>
        <v/>
      </c>
      <c r="I1398" s="4" t="str" cm="1">
        <f t="array" ref="I1398">IFERROR(IF(INDEX(EmployeeData[Exit Reason], ROW() - 37)=0, "",INDEX(EmployeeData[Exit Reason], ROW() - 37)),"")</f>
        <v/>
      </c>
      <c r="J1398" s="4" t="str" cm="1">
        <f t="array" ref="J1398">IFERROR(INDEX(EmployeeData[Status], ROW() - 37), "")</f>
        <v/>
      </c>
    </row>
    <row r="1399" spans="2:10" ht="19.95" customHeight="1" x14ac:dyDescent="0.3">
      <c r="B1399" s="4" t="str" cm="1">
        <f t="array" ref="B1399">IFERROR(INDEX(EmployeeData[Employee ID], ROW() - 37), "")</f>
        <v/>
      </c>
      <c r="C1399" s="4" t="str" cm="1">
        <f t="array" ref="C1399">IFERROR(INDEX(EmployeeData[Full Name], ROW() - 37), "")</f>
        <v/>
      </c>
      <c r="D1399" s="4" t="str" cm="1">
        <f t="array" ref="D1399">IFERROR(INDEX(EmployeeData[Department], ROW() - 37), "")</f>
        <v/>
      </c>
      <c r="E1399" s="4" t="str" cm="1">
        <f t="array" ref="E1399">IFERROR(INDEX(EmployeeData[Gender], ROW() - 37), "")</f>
        <v/>
      </c>
      <c r="F1399" s="4" t="str" cm="1">
        <f t="array" ref="F1399">IFERROR(INDEX(EmployeeData[Age], ROW() - 37), "")</f>
        <v/>
      </c>
      <c r="G1399" s="6" t="str" cm="1">
        <f t="array" ref="G1399">IFERROR(INDEX(EmployeeData[Join Date], ROW() - 37), "")</f>
        <v/>
      </c>
      <c r="H1399" s="6" t="str" cm="1">
        <f t="array" ref="H1399">IFERROR(IF(INDEX(EmployeeData[Exit Date], ROW() - 37)=0, "",INDEX(EmployeeData[Exit Date], ROW() - 37)),"")</f>
        <v/>
      </c>
      <c r="I1399" s="4" t="str" cm="1">
        <f t="array" ref="I1399">IFERROR(IF(INDEX(EmployeeData[Exit Reason], ROW() - 37)=0, "",INDEX(EmployeeData[Exit Reason], ROW() - 37)),"")</f>
        <v/>
      </c>
      <c r="J1399" s="4" t="str" cm="1">
        <f t="array" ref="J1399">IFERROR(INDEX(EmployeeData[Status], ROW() - 37), "")</f>
        <v/>
      </c>
    </row>
    <row r="1400" spans="2:10" ht="19.95" customHeight="1" x14ac:dyDescent="0.3">
      <c r="B1400" s="4" t="str" cm="1">
        <f t="array" ref="B1400">IFERROR(INDEX(EmployeeData[Employee ID], ROW() - 37), "")</f>
        <v/>
      </c>
      <c r="C1400" s="4" t="str" cm="1">
        <f t="array" ref="C1400">IFERROR(INDEX(EmployeeData[Full Name], ROW() - 37), "")</f>
        <v/>
      </c>
      <c r="D1400" s="4" t="str" cm="1">
        <f t="array" ref="D1400">IFERROR(INDEX(EmployeeData[Department], ROW() - 37), "")</f>
        <v/>
      </c>
      <c r="E1400" s="4" t="str" cm="1">
        <f t="array" ref="E1400">IFERROR(INDEX(EmployeeData[Gender], ROW() - 37), "")</f>
        <v/>
      </c>
      <c r="F1400" s="4" t="str" cm="1">
        <f t="array" ref="F1400">IFERROR(INDEX(EmployeeData[Age], ROW() - 37), "")</f>
        <v/>
      </c>
      <c r="G1400" s="6" t="str" cm="1">
        <f t="array" ref="G1400">IFERROR(INDEX(EmployeeData[Join Date], ROW() - 37), "")</f>
        <v/>
      </c>
      <c r="H1400" s="6" t="str" cm="1">
        <f t="array" ref="H1400">IFERROR(IF(INDEX(EmployeeData[Exit Date], ROW() - 37)=0, "",INDEX(EmployeeData[Exit Date], ROW() - 37)),"")</f>
        <v/>
      </c>
      <c r="I1400" s="4" t="str" cm="1">
        <f t="array" ref="I1400">IFERROR(IF(INDEX(EmployeeData[Exit Reason], ROW() - 37)=0, "",INDEX(EmployeeData[Exit Reason], ROW() - 37)),"")</f>
        <v/>
      </c>
      <c r="J1400" s="4" t="str" cm="1">
        <f t="array" ref="J1400">IFERROR(INDEX(EmployeeData[Status], ROW() - 37), "")</f>
        <v/>
      </c>
    </row>
    <row r="1401" spans="2:10" ht="19.95" customHeight="1" x14ac:dyDescent="0.3">
      <c r="B1401" s="4" t="str" cm="1">
        <f t="array" ref="B1401">IFERROR(INDEX(EmployeeData[Employee ID], ROW() - 37), "")</f>
        <v/>
      </c>
      <c r="C1401" s="4" t="str" cm="1">
        <f t="array" ref="C1401">IFERROR(INDEX(EmployeeData[Full Name], ROW() - 37), "")</f>
        <v/>
      </c>
      <c r="D1401" s="4" t="str" cm="1">
        <f t="array" ref="D1401">IFERROR(INDEX(EmployeeData[Department], ROW() - 37), "")</f>
        <v/>
      </c>
      <c r="E1401" s="4" t="str" cm="1">
        <f t="array" ref="E1401">IFERROR(INDEX(EmployeeData[Gender], ROW() - 37), "")</f>
        <v/>
      </c>
      <c r="F1401" s="4" t="str" cm="1">
        <f t="array" ref="F1401">IFERROR(INDEX(EmployeeData[Age], ROW() - 37), "")</f>
        <v/>
      </c>
      <c r="G1401" s="6" t="str" cm="1">
        <f t="array" ref="G1401">IFERROR(INDEX(EmployeeData[Join Date], ROW() - 37), "")</f>
        <v/>
      </c>
      <c r="H1401" s="6" t="str" cm="1">
        <f t="array" ref="H1401">IFERROR(IF(INDEX(EmployeeData[Exit Date], ROW() - 37)=0, "",INDEX(EmployeeData[Exit Date], ROW() - 37)),"")</f>
        <v/>
      </c>
      <c r="I1401" s="4" t="str" cm="1">
        <f t="array" ref="I1401">IFERROR(IF(INDEX(EmployeeData[Exit Reason], ROW() - 37)=0, "",INDEX(EmployeeData[Exit Reason], ROW() - 37)),"")</f>
        <v/>
      </c>
      <c r="J1401" s="4" t="str" cm="1">
        <f t="array" ref="J1401">IFERROR(INDEX(EmployeeData[Status], ROW() - 37), "")</f>
        <v/>
      </c>
    </row>
    <row r="1402" spans="2:10" ht="19.95" customHeight="1" x14ac:dyDescent="0.3">
      <c r="B1402" s="4" t="str" cm="1">
        <f t="array" ref="B1402">IFERROR(INDEX(EmployeeData[Employee ID], ROW() - 37), "")</f>
        <v/>
      </c>
      <c r="C1402" s="4" t="str" cm="1">
        <f t="array" ref="C1402">IFERROR(INDEX(EmployeeData[Full Name], ROW() - 37), "")</f>
        <v/>
      </c>
      <c r="D1402" s="4" t="str" cm="1">
        <f t="array" ref="D1402">IFERROR(INDEX(EmployeeData[Department], ROW() - 37), "")</f>
        <v/>
      </c>
      <c r="E1402" s="4" t="str" cm="1">
        <f t="array" ref="E1402">IFERROR(INDEX(EmployeeData[Gender], ROW() - 37), "")</f>
        <v/>
      </c>
      <c r="F1402" s="4" t="str" cm="1">
        <f t="array" ref="F1402">IFERROR(INDEX(EmployeeData[Age], ROW() - 37), "")</f>
        <v/>
      </c>
      <c r="G1402" s="6" t="str" cm="1">
        <f t="array" ref="G1402">IFERROR(INDEX(EmployeeData[Join Date], ROW() - 37), "")</f>
        <v/>
      </c>
      <c r="H1402" s="6" t="str" cm="1">
        <f t="array" ref="H1402">IFERROR(IF(INDEX(EmployeeData[Exit Date], ROW() - 37)=0, "",INDEX(EmployeeData[Exit Date], ROW() - 37)),"")</f>
        <v/>
      </c>
      <c r="I1402" s="4" t="str" cm="1">
        <f t="array" ref="I1402">IFERROR(IF(INDEX(EmployeeData[Exit Reason], ROW() - 37)=0, "",INDEX(EmployeeData[Exit Reason], ROW() - 37)),"")</f>
        <v/>
      </c>
      <c r="J1402" s="4" t="str" cm="1">
        <f t="array" ref="J1402">IFERROR(INDEX(EmployeeData[Status], ROW() - 37), "")</f>
        <v/>
      </c>
    </row>
    <row r="1403" spans="2:10" ht="19.95" customHeight="1" x14ac:dyDescent="0.3">
      <c r="B1403" s="4" t="str" cm="1">
        <f t="array" ref="B1403">IFERROR(INDEX(EmployeeData[Employee ID], ROW() - 37), "")</f>
        <v/>
      </c>
      <c r="C1403" s="4" t="str" cm="1">
        <f t="array" ref="C1403">IFERROR(INDEX(EmployeeData[Full Name], ROW() - 37), "")</f>
        <v/>
      </c>
      <c r="D1403" s="4" t="str" cm="1">
        <f t="array" ref="D1403">IFERROR(INDEX(EmployeeData[Department], ROW() - 37), "")</f>
        <v/>
      </c>
      <c r="E1403" s="4" t="str" cm="1">
        <f t="array" ref="E1403">IFERROR(INDEX(EmployeeData[Gender], ROW() - 37), "")</f>
        <v/>
      </c>
      <c r="F1403" s="4" t="str" cm="1">
        <f t="array" ref="F1403">IFERROR(INDEX(EmployeeData[Age], ROW() - 37), "")</f>
        <v/>
      </c>
      <c r="G1403" s="6" t="str" cm="1">
        <f t="array" ref="G1403">IFERROR(INDEX(EmployeeData[Join Date], ROW() - 37), "")</f>
        <v/>
      </c>
      <c r="H1403" s="6" t="str" cm="1">
        <f t="array" ref="H1403">IFERROR(IF(INDEX(EmployeeData[Exit Date], ROW() - 37)=0, "",INDEX(EmployeeData[Exit Date], ROW() - 37)),"")</f>
        <v/>
      </c>
      <c r="I1403" s="4" t="str" cm="1">
        <f t="array" ref="I1403">IFERROR(IF(INDEX(EmployeeData[Exit Reason], ROW() - 37)=0, "",INDEX(EmployeeData[Exit Reason], ROW() - 37)),"")</f>
        <v/>
      </c>
      <c r="J1403" s="4" t="str" cm="1">
        <f t="array" ref="J1403">IFERROR(INDEX(EmployeeData[Status], ROW() - 37), "")</f>
        <v/>
      </c>
    </row>
    <row r="1404" spans="2:10" ht="19.95" customHeight="1" x14ac:dyDescent="0.3">
      <c r="B1404" s="4" t="str" cm="1">
        <f t="array" ref="B1404">IFERROR(INDEX(EmployeeData[Employee ID], ROW() - 37), "")</f>
        <v/>
      </c>
      <c r="C1404" s="4" t="str" cm="1">
        <f t="array" ref="C1404">IFERROR(INDEX(EmployeeData[Full Name], ROW() - 37), "")</f>
        <v/>
      </c>
      <c r="D1404" s="4" t="str" cm="1">
        <f t="array" ref="D1404">IFERROR(INDEX(EmployeeData[Department], ROW() - 37), "")</f>
        <v/>
      </c>
      <c r="E1404" s="4" t="str" cm="1">
        <f t="array" ref="E1404">IFERROR(INDEX(EmployeeData[Gender], ROW() - 37), "")</f>
        <v/>
      </c>
      <c r="F1404" s="4" t="str" cm="1">
        <f t="array" ref="F1404">IFERROR(INDEX(EmployeeData[Age], ROW() - 37), "")</f>
        <v/>
      </c>
      <c r="G1404" s="6" t="str" cm="1">
        <f t="array" ref="G1404">IFERROR(INDEX(EmployeeData[Join Date], ROW() - 37), "")</f>
        <v/>
      </c>
      <c r="H1404" s="6" t="str" cm="1">
        <f t="array" ref="H1404">IFERROR(IF(INDEX(EmployeeData[Exit Date], ROW() - 37)=0, "",INDEX(EmployeeData[Exit Date], ROW() - 37)),"")</f>
        <v/>
      </c>
      <c r="I1404" s="4" t="str" cm="1">
        <f t="array" ref="I1404">IFERROR(IF(INDEX(EmployeeData[Exit Reason], ROW() - 37)=0, "",INDEX(EmployeeData[Exit Reason], ROW() - 37)),"")</f>
        <v/>
      </c>
      <c r="J1404" s="4" t="str" cm="1">
        <f t="array" ref="J1404">IFERROR(INDEX(EmployeeData[Status], ROW() - 37), "")</f>
        <v/>
      </c>
    </row>
    <row r="1405" spans="2:10" ht="19.95" customHeight="1" x14ac:dyDescent="0.3">
      <c r="B1405" s="4" t="str" cm="1">
        <f t="array" ref="B1405">IFERROR(INDEX(EmployeeData[Employee ID], ROW() - 37), "")</f>
        <v/>
      </c>
      <c r="C1405" s="4" t="str" cm="1">
        <f t="array" ref="C1405">IFERROR(INDEX(EmployeeData[Full Name], ROW() - 37), "")</f>
        <v/>
      </c>
      <c r="D1405" s="4" t="str" cm="1">
        <f t="array" ref="D1405">IFERROR(INDEX(EmployeeData[Department], ROW() - 37), "")</f>
        <v/>
      </c>
      <c r="E1405" s="4" t="str" cm="1">
        <f t="array" ref="E1405">IFERROR(INDEX(EmployeeData[Gender], ROW() - 37), "")</f>
        <v/>
      </c>
      <c r="F1405" s="4" t="str" cm="1">
        <f t="array" ref="F1405">IFERROR(INDEX(EmployeeData[Age], ROW() - 37), "")</f>
        <v/>
      </c>
      <c r="G1405" s="6" t="str" cm="1">
        <f t="array" ref="G1405">IFERROR(INDEX(EmployeeData[Join Date], ROW() - 37), "")</f>
        <v/>
      </c>
      <c r="H1405" s="6" t="str" cm="1">
        <f t="array" ref="H1405">IFERROR(IF(INDEX(EmployeeData[Exit Date], ROW() - 37)=0, "",INDEX(EmployeeData[Exit Date], ROW() - 37)),"")</f>
        <v/>
      </c>
      <c r="I1405" s="4" t="str" cm="1">
        <f t="array" ref="I1405">IFERROR(IF(INDEX(EmployeeData[Exit Reason], ROW() - 37)=0, "",INDEX(EmployeeData[Exit Reason], ROW() - 37)),"")</f>
        <v/>
      </c>
      <c r="J1405" s="4" t="str" cm="1">
        <f t="array" ref="J1405">IFERROR(INDEX(EmployeeData[Status], ROW() - 37), "")</f>
        <v/>
      </c>
    </row>
    <row r="1406" spans="2:10" ht="19.95" customHeight="1" x14ac:dyDescent="0.3">
      <c r="B1406" s="4" t="str" cm="1">
        <f t="array" ref="B1406">IFERROR(INDEX(EmployeeData[Employee ID], ROW() - 37), "")</f>
        <v/>
      </c>
      <c r="C1406" s="4" t="str" cm="1">
        <f t="array" ref="C1406">IFERROR(INDEX(EmployeeData[Full Name], ROW() - 37), "")</f>
        <v/>
      </c>
      <c r="D1406" s="4" t="str" cm="1">
        <f t="array" ref="D1406">IFERROR(INDEX(EmployeeData[Department], ROW() - 37), "")</f>
        <v/>
      </c>
      <c r="E1406" s="4" t="str" cm="1">
        <f t="array" ref="E1406">IFERROR(INDEX(EmployeeData[Gender], ROW() - 37), "")</f>
        <v/>
      </c>
      <c r="F1406" s="4" t="str" cm="1">
        <f t="array" ref="F1406">IFERROR(INDEX(EmployeeData[Age], ROW() - 37), "")</f>
        <v/>
      </c>
      <c r="G1406" s="6" t="str" cm="1">
        <f t="array" ref="G1406">IFERROR(INDEX(EmployeeData[Join Date], ROW() - 37), "")</f>
        <v/>
      </c>
      <c r="H1406" s="6" t="str" cm="1">
        <f t="array" ref="H1406">IFERROR(IF(INDEX(EmployeeData[Exit Date], ROW() - 37)=0, "",INDEX(EmployeeData[Exit Date], ROW() - 37)),"")</f>
        <v/>
      </c>
      <c r="I1406" s="4" t="str" cm="1">
        <f t="array" ref="I1406">IFERROR(IF(INDEX(EmployeeData[Exit Reason], ROW() - 37)=0, "",INDEX(EmployeeData[Exit Reason], ROW() - 37)),"")</f>
        <v/>
      </c>
      <c r="J1406" s="4" t="str" cm="1">
        <f t="array" ref="J1406">IFERROR(INDEX(EmployeeData[Status], ROW() - 37), "")</f>
        <v/>
      </c>
    </row>
    <row r="1407" spans="2:10" ht="19.95" customHeight="1" x14ac:dyDescent="0.3">
      <c r="B1407" s="4" t="str" cm="1">
        <f t="array" ref="B1407">IFERROR(INDEX(EmployeeData[Employee ID], ROW() - 37), "")</f>
        <v/>
      </c>
      <c r="C1407" s="4" t="str" cm="1">
        <f t="array" ref="C1407">IFERROR(INDEX(EmployeeData[Full Name], ROW() - 37), "")</f>
        <v/>
      </c>
      <c r="D1407" s="4" t="str" cm="1">
        <f t="array" ref="D1407">IFERROR(INDEX(EmployeeData[Department], ROW() - 37), "")</f>
        <v/>
      </c>
      <c r="E1407" s="4" t="str" cm="1">
        <f t="array" ref="E1407">IFERROR(INDEX(EmployeeData[Gender], ROW() - 37), "")</f>
        <v/>
      </c>
      <c r="F1407" s="4" t="str" cm="1">
        <f t="array" ref="F1407">IFERROR(INDEX(EmployeeData[Age], ROW() - 37), "")</f>
        <v/>
      </c>
      <c r="G1407" s="6" t="str" cm="1">
        <f t="array" ref="G1407">IFERROR(INDEX(EmployeeData[Join Date], ROW() - 37), "")</f>
        <v/>
      </c>
      <c r="H1407" s="6" t="str" cm="1">
        <f t="array" ref="H1407">IFERROR(IF(INDEX(EmployeeData[Exit Date], ROW() - 37)=0, "",INDEX(EmployeeData[Exit Date], ROW() - 37)),"")</f>
        <v/>
      </c>
      <c r="I1407" s="4" t="str" cm="1">
        <f t="array" ref="I1407">IFERROR(IF(INDEX(EmployeeData[Exit Reason], ROW() - 37)=0, "",INDEX(EmployeeData[Exit Reason], ROW() - 37)),"")</f>
        <v/>
      </c>
      <c r="J1407" s="4" t="str" cm="1">
        <f t="array" ref="J1407">IFERROR(INDEX(EmployeeData[Status], ROW() - 37), "")</f>
        <v/>
      </c>
    </row>
    <row r="1408" spans="2:10" ht="19.95" customHeight="1" x14ac:dyDescent="0.3">
      <c r="B1408" s="4" t="str" cm="1">
        <f t="array" ref="B1408">IFERROR(INDEX(EmployeeData[Employee ID], ROW() - 37), "")</f>
        <v/>
      </c>
      <c r="C1408" s="4" t="str" cm="1">
        <f t="array" ref="C1408">IFERROR(INDEX(EmployeeData[Full Name], ROW() - 37), "")</f>
        <v/>
      </c>
      <c r="D1408" s="4" t="str" cm="1">
        <f t="array" ref="D1408">IFERROR(INDEX(EmployeeData[Department], ROW() - 37), "")</f>
        <v/>
      </c>
      <c r="E1408" s="4" t="str" cm="1">
        <f t="array" ref="E1408">IFERROR(INDEX(EmployeeData[Gender], ROW() - 37), "")</f>
        <v/>
      </c>
      <c r="F1408" s="4" t="str" cm="1">
        <f t="array" ref="F1408">IFERROR(INDEX(EmployeeData[Age], ROW() - 37), "")</f>
        <v/>
      </c>
      <c r="G1408" s="6" t="str" cm="1">
        <f t="array" ref="G1408">IFERROR(INDEX(EmployeeData[Join Date], ROW() - 37), "")</f>
        <v/>
      </c>
      <c r="H1408" s="6" t="str" cm="1">
        <f t="array" ref="H1408">IFERROR(IF(INDEX(EmployeeData[Exit Date], ROW() - 37)=0, "",INDEX(EmployeeData[Exit Date], ROW() - 37)),"")</f>
        <v/>
      </c>
      <c r="I1408" s="4" t="str" cm="1">
        <f t="array" ref="I1408">IFERROR(IF(INDEX(EmployeeData[Exit Reason], ROW() - 37)=0, "",INDEX(EmployeeData[Exit Reason], ROW() - 37)),"")</f>
        <v/>
      </c>
      <c r="J1408" s="4" t="str" cm="1">
        <f t="array" ref="J1408">IFERROR(INDEX(EmployeeData[Status], ROW() - 37), "")</f>
        <v/>
      </c>
    </row>
    <row r="1409" spans="2:10" ht="19.95" customHeight="1" x14ac:dyDescent="0.3">
      <c r="B1409" s="4" t="str" cm="1">
        <f t="array" ref="B1409">IFERROR(INDEX(EmployeeData[Employee ID], ROW() - 37), "")</f>
        <v/>
      </c>
      <c r="C1409" s="4" t="str" cm="1">
        <f t="array" ref="C1409">IFERROR(INDEX(EmployeeData[Full Name], ROW() - 37), "")</f>
        <v/>
      </c>
      <c r="D1409" s="4" t="str" cm="1">
        <f t="array" ref="D1409">IFERROR(INDEX(EmployeeData[Department], ROW() - 37), "")</f>
        <v/>
      </c>
      <c r="E1409" s="4" t="str" cm="1">
        <f t="array" ref="E1409">IFERROR(INDEX(EmployeeData[Gender], ROW() - 37), "")</f>
        <v/>
      </c>
      <c r="F1409" s="4" t="str" cm="1">
        <f t="array" ref="F1409">IFERROR(INDEX(EmployeeData[Age], ROW() - 37), "")</f>
        <v/>
      </c>
      <c r="G1409" s="6" t="str" cm="1">
        <f t="array" ref="G1409">IFERROR(INDEX(EmployeeData[Join Date], ROW() - 37), "")</f>
        <v/>
      </c>
      <c r="H1409" s="6" t="str" cm="1">
        <f t="array" ref="H1409">IFERROR(IF(INDEX(EmployeeData[Exit Date], ROW() - 37)=0, "",INDEX(EmployeeData[Exit Date], ROW() - 37)),"")</f>
        <v/>
      </c>
      <c r="I1409" s="4" t="str" cm="1">
        <f t="array" ref="I1409">IFERROR(IF(INDEX(EmployeeData[Exit Reason], ROW() - 37)=0, "",INDEX(EmployeeData[Exit Reason], ROW() - 37)),"")</f>
        <v/>
      </c>
      <c r="J1409" s="4" t="str" cm="1">
        <f t="array" ref="J1409">IFERROR(INDEX(EmployeeData[Status], ROW() - 37), "")</f>
        <v/>
      </c>
    </row>
    <row r="1410" spans="2:10" ht="19.95" customHeight="1" x14ac:dyDescent="0.3">
      <c r="B1410" s="4" t="str" cm="1">
        <f t="array" ref="B1410">IFERROR(INDEX(EmployeeData[Employee ID], ROW() - 37), "")</f>
        <v/>
      </c>
      <c r="C1410" s="4" t="str" cm="1">
        <f t="array" ref="C1410">IFERROR(INDEX(EmployeeData[Full Name], ROW() - 37), "")</f>
        <v/>
      </c>
      <c r="D1410" s="4" t="str" cm="1">
        <f t="array" ref="D1410">IFERROR(INDEX(EmployeeData[Department], ROW() - 37), "")</f>
        <v/>
      </c>
      <c r="E1410" s="4" t="str" cm="1">
        <f t="array" ref="E1410">IFERROR(INDEX(EmployeeData[Gender], ROW() - 37), "")</f>
        <v/>
      </c>
      <c r="F1410" s="4" t="str" cm="1">
        <f t="array" ref="F1410">IFERROR(INDEX(EmployeeData[Age], ROW() - 37), "")</f>
        <v/>
      </c>
      <c r="G1410" s="6" t="str" cm="1">
        <f t="array" ref="G1410">IFERROR(INDEX(EmployeeData[Join Date], ROW() - 37), "")</f>
        <v/>
      </c>
      <c r="H1410" s="6" t="str" cm="1">
        <f t="array" ref="H1410">IFERROR(IF(INDEX(EmployeeData[Exit Date], ROW() - 37)=0, "",INDEX(EmployeeData[Exit Date], ROW() - 37)),"")</f>
        <v/>
      </c>
      <c r="I1410" s="4" t="str" cm="1">
        <f t="array" ref="I1410">IFERROR(IF(INDEX(EmployeeData[Exit Reason], ROW() - 37)=0, "",INDEX(EmployeeData[Exit Reason], ROW() - 37)),"")</f>
        <v/>
      </c>
      <c r="J1410" s="4" t="str" cm="1">
        <f t="array" ref="J1410">IFERROR(INDEX(EmployeeData[Status], ROW() - 37), "")</f>
        <v/>
      </c>
    </row>
    <row r="1411" spans="2:10" ht="19.95" customHeight="1" x14ac:dyDescent="0.3">
      <c r="B1411" s="4" t="str" cm="1">
        <f t="array" ref="B1411">IFERROR(INDEX(EmployeeData[Employee ID], ROW() - 37), "")</f>
        <v/>
      </c>
      <c r="C1411" s="4" t="str" cm="1">
        <f t="array" ref="C1411">IFERROR(INDEX(EmployeeData[Full Name], ROW() - 37), "")</f>
        <v/>
      </c>
      <c r="D1411" s="4" t="str" cm="1">
        <f t="array" ref="D1411">IFERROR(INDEX(EmployeeData[Department], ROW() - 37), "")</f>
        <v/>
      </c>
      <c r="E1411" s="4" t="str" cm="1">
        <f t="array" ref="E1411">IFERROR(INDEX(EmployeeData[Gender], ROW() - 37), "")</f>
        <v/>
      </c>
      <c r="F1411" s="4" t="str" cm="1">
        <f t="array" ref="F1411">IFERROR(INDEX(EmployeeData[Age], ROW() - 37), "")</f>
        <v/>
      </c>
      <c r="G1411" s="6" t="str" cm="1">
        <f t="array" ref="G1411">IFERROR(INDEX(EmployeeData[Join Date], ROW() - 37), "")</f>
        <v/>
      </c>
      <c r="H1411" s="6" t="str" cm="1">
        <f t="array" ref="H1411">IFERROR(IF(INDEX(EmployeeData[Exit Date], ROW() - 37)=0, "",INDEX(EmployeeData[Exit Date], ROW() - 37)),"")</f>
        <v/>
      </c>
      <c r="I1411" s="4" t="str" cm="1">
        <f t="array" ref="I1411">IFERROR(IF(INDEX(EmployeeData[Exit Reason], ROW() - 37)=0, "",INDEX(EmployeeData[Exit Reason], ROW() - 37)),"")</f>
        <v/>
      </c>
      <c r="J1411" s="4" t="str" cm="1">
        <f t="array" ref="J1411">IFERROR(INDEX(EmployeeData[Status], ROW() - 37), "")</f>
        <v/>
      </c>
    </row>
    <row r="1412" spans="2:10" ht="19.95" customHeight="1" x14ac:dyDescent="0.3">
      <c r="B1412" s="4" t="str" cm="1">
        <f t="array" ref="B1412">IFERROR(INDEX(EmployeeData[Employee ID], ROW() - 37), "")</f>
        <v/>
      </c>
      <c r="C1412" s="4" t="str" cm="1">
        <f t="array" ref="C1412">IFERROR(INDEX(EmployeeData[Full Name], ROW() - 37), "")</f>
        <v/>
      </c>
      <c r="D1412" s="4" t="str" cm="1">
        <f t="array" ref="D1412">IFERROR(INDEX(EmployeeData[Department], ROW() - 37), "")</f>
        <v/>
      </c>
      <c r="E1412" s="4" t="str" cm="1">
        <f t="array" ref="E1412">IFERROR(INDEX(EmployeeData[Gender], ROW() - 37), "")</f>
        <v/>
      </c>
      <c r="F1412" s="4" t="str" cm="1">
        <f t="array" ref="F1412">IFERROR(INDEX(EmployeeData[Age], ROW() - 37), "")</f>
        <v/>
      </c>
      <c r="G1412" s="6" t="str" cm="1">
        <f t="array" ref="G1412">IFERROR(INDEX(EmployeeData[Join Date], ROW() - 37), "")</f>
        <v/>
      </c>
      <c r="H1412" s="6" t="str" cm="1">
        <f t="array" ref="H1412">IFERROR(IF(INDEX(EmployeeData[Exit Date], ROW() - 37)=0, "",INDEX(EmployeeData[Exit Date], ROW() - 37)),"")</f>
        <v/>
      </c>
      <c r="I1412" s="4" t="str" cm="1">
        <f t="array" ref="I1412">IFERROR(IF(INDEX(EmployeeData[Exit Reason], ROW() - 37)=0, "",INDEX(EmployeeData[Exit Reason], ROW() - 37)),"")</f>
        <v/>
      </c>
      <c r="J1412" s="4" t="str" cm="1">
        <f t="array" ref="J1412">IFERROR(INDEX(EmployeeData[Status], ROW() - 37), "")</f>
        <v/>
      </c>
    </row>
    <row r="1413" spans="2:10" ht="19.95" customHeight="1" x14ac:dyDescent="0.3">
      <c r="B1413" s="4" t="str" cm="1">
        <f t="array" ref="B1413">IFERROR(INDEX(EmployeeData[Employee ID], ROW() - 37), "")</f>
        <v/>
      </c>
      <c r="C1413" s="4" t="str" cm="1">
        <f t="array" ref="C1413">IFERROR(INDEX(EmployeeData[Full Name], ROW() - 37), "")</f>
        <v/>
      </c>
      <c r="D1413" s="4" t="str" cm="1">
        <f t="array" ref="D1413">IFERROR(INDEX(EmployeeData[Department], ROW() - 37), "")</f>
        <v/>
      </c>
      <c r="E1413" s="4" t="str" cm="1">
        <f t="array" ref="E1413">IFERROR(INDEX(EmployeeData[Gender], ROW() - 37), "")</f>
        <v/>
      </c>
      <c r="F1413" s="4" t="str" cm="1">
        <f t="array" ref="F1413">IFERROR(INDEX(EmployeeData[Age], ROW() - 37), "")</f>
        <v/>
      </c>
      <c r="G1413" s="6" t="str" cm="1">
        <f t="array" ref="G1413">IFERROR(INDEX(EmployeeData[Join Date], ROW() - 37), "")</f>
        <v/>
      </c>
      <c r="H1413" s="6" t="str" cm="1">
        <f t="array" ref="H1413">IFERROR(IF(INDEX(EmployeeData[Exit Date], ROW() - 37)=0, "",INDEX(EmployeeData[Exit Date], ROW() - 37)),"")</f>
        <v/>
      </c>
      <c r="I1413" s="4" t="str" cm="1">
        <f t="array" ref="I1413">IFERROR(IF(INDEX(EmployeeData[Exit Reason], ROW() - 37)=0, "",INDEX(EmployeeData[Exit Reason], ROW() - 37)),"")</f>
        <v/>
      </c>
      <c r="J1413" s="4" t="str" cm="1">
        <f t="array" ref="J1413">IFERROR(INDEX(EmployeeData[Status], ROW() - 37), "")</f>
        <v/>
      </c>
    </row>
    <row r="1414" spans="2:10" ht="19.95" customHeight="1" x14ac:dyDescent="0.3">
      <c r="B1414" s="4" t="str" cm="1">
        <f t="array" ref="B1414">IFERROR(INDEX(EmployeeData[Employee ID], ROW() - 37), "")</f>
        <v/>
      </c>
      <c r="C1414" s="4" t="str" cm="1">
        <f t="array" ref="C1414">IFERROR(INDEX(EmployeeData[Full Name], ROW() - 37), "")</f>
        <v/>
      </c>
      <c r="D1414" s="4" t="str" cm="1">
        <f t="array" ref="D1414">IFERROR(INDEX(EmployeeData[Department], ROW() - 37), "")</f>
        <v/>
      </c>
      <c r="E1414" s="4" t="str" cm="1">
        <f t="array" ref="E1414">IFERROR(INDEX(EmployeeData[Gender], ROW() - 37), "")</f>
        <v/>
      </c>
      <c r="F1414" s="4" t="str" cm="1">
        <f t="array" ref="F1414">IFERROR(INDEX(EmployeeData[Age], ROW() - 37), "")</f>
        <v/>
      </c>
      <c r="G1414" s="6" t="str" cm="1">
        <f t="array" ref="G1414">IFERROR(INDEX(EmployeeData[Join Date], ROW() - 37), "")</f>
        <v/>
      </c>
      <c r="H1414" s="6" t="str" cm="1">
        <f t="array" ref="H1414">IFERROR(IF(INDEX(EmployeeData[Exit Date], ROW() - 37)=0, "",INDEX(EmployeeData[Exit Date], ROW() - 37)),"")</f>
        <v/>
      </c>
      <c r="I1414" s="4" t="str" cm="1">
        <f t="array" ref="I1414">IFERROR(IF(INDEX(EmployeeData[Exit Reason], ROW() - 37)=0, "",INDEX(EmployeeData[Exit Reason], ROW() - 37)),"")</f>
        <v/>
      </c>
      <c r="J1414" s="4" t="str" cm="1">
        <f t="array" ref="J1414">IFERROR(INDEX(EmployeeData[Status], ROW() - 37), "")</f>
        <v/>
      </c>
    </row>
    <row r="1415" spans="2:10" ht="19.95" customHeight="1" x14ac:dyDescent="0.3">
      <c r="B1415" s="4" t="str" cm="1">
        <f t="array" ref="B1415">IFERROR(INDEX(EmployeeData[Employee ID], ROW() - 37), "")</f>
        <v/>
      </c>
      <c r="C1415" s="4" t="str" cm="1">
        <f t="array" ref="C1415">IFERROR(INDEX(EmployeeData[Full Name], ROW() - 37), "")</f>
        <v/>
      </c>
      <c r="D1415" s="4" t="str" cm="1">
        <f t="array" ref="D1415">IFERROR(INDEX(EmployeeData[Department], ROW() - 37), "")</f>
        <v/>
      </c>
      <c r="E1415" s="4" t="str" cm="1">
        <f t="array" ref="E1415">IFERROR(INDEX(EmployeeData[Gender], ROW() - 37), "")</f>
        <v/>
      </c>
      <c r="F1415" s="4" t="str" cm="1">
        <f t="array" ref="F1415">IFERROR(INDEX(EmployeeData[Age], ROW() - 37), "")</f>
        <v/>
      </c>
      <c r="G1415" s="6" t="str" cm="1">
        <f t="array" ref="G1415">IFERROR(INDEX(EmployeeData[Join Date], ROW() - 37), "")</f>
        <v/>
      </c>
      <c r="H1415" s="6" t="str" cm="1">
        <f t="array" ref="H1415">IFERROR(IF(INDEX(EmployeeData[Exit Date], ROW() - 37)=0, "",INDEX(EmployeeData[Exit Date], ROW() - 37)),"")</f>
        <v/>
      </c>
      <c r="I1415" s="4" t="str" cm="1">
        <f t="array" ref="I1415">IFERROR(IF(INDEX(EmployeeData[Exit Reason], ROW() - 37)=0, "",INDEX(EmployeeData[Exit Reason], ROW() - 37)),"")</f>
        <v/>
      </c>
      <c r="J1415" s="4" t="str" cm="1">
        <f t="array" ref="J1415">IFERROR(INDEX(EmployeeData[Status], ROW() - 37), "")</f>
        <v/>
      </c>
    </row>
    <row r="1416" spans="2:10" ht="19.95" customHeight="1" x14ac:dyDescent="0.3">
      <c r="B1416" s="4" t="str" cm="1">
        <f t="array" ref="B1416">IFERROR(INDEX(EmployeeData[Employee ID], ROW() - 37), "")</f>
        <v/>
      </c>
      <c r="C1416" s="4" t="str" cm="1">
        <f t="array" ref="C1416">IFERROR(INDEX(EmployeeData[Full Name], ROW() - 37), "")</f>
        <v/>
      </c>
      <c r="D1416" s="4" t="str" cm="1">
        <f t="array" ref="D1416">IFERROR(INDEX(EmployeeData[Department], ROW() - 37), "")</f>
        <v/>
      </c>
      <c r="E1416" s="4" t="str" cm="1">
        <f t="array" ref="E1416">IFERROR(INDEX(EmployeeData[Gender], ROW() - 37), "")</f>
        <v/>
      </c>
      <c r="F1416" s="4" t="str" cm="1">
        <f t="array" ref="F1416">IFERROR(INDEX(EmployeeData[Age], ROW() - 37), "")</f>
        <v/>
      </c>
      <c r="G1416" s="6" t="str" cm="1">
        <f t="array" ref="G1416">IFERROR(INDEX(EmployeeData[Join Date], ROW() - 37), "")</f>
        <v/>
      </c>
      <c r="H1416" s="6" t="str" cm="1">
        <f t="array" ref="H1416">IFERROR(IF(INDEX(EmployeeData[Exit Date], ROW() - 37)=0, "",INDEX(EmployeeData[Exit Date], ROW() - 37)),"")</f>
        <v/>
      </c>
      <c r="I1416" s="4" t="str" cm="1">
        <f t="array" ref="I1416">IFERROR(IF(INDEX(EmployeeData[Exit Reason], ROW() - 37)=0, "",INDEX(EmployeeData[Exit Reason], ROW() - 37)),"")</f>
        <v/>
      </c>
      <c r="J1416" s="4" t="str" cm="1">
        <f t="array" ref="J1416">IFERROR(INDEX(EmployeeData[Status], ROW() - 37), "")</f>
        <v/>
      </c>
    </row>
    <row r="1417" spans="2:10" ht="19.95" customHeight="1" x14ac:dyDescent="0.3">
      <c r="B1417" s="4" t="str" cm="1">
        <f t="array" ref="B1417">IFERROR(INDEX(EmployeeData[Employee ID], ROW() - 37), "")</f>
        <v/>
      </c>
      <c r="C1417" s="4" t="str" cm="1">
        <f t="array" ref="C1417">IFERROR(INDEX(EmployeeData[Full Name], ROW() - 37), "")</f>
        <v/>
      </c>
      <c r="D1417" s="4" t="str" cm="1">
        <f t="array" ref="D1417">IFERROR(INDEX(EmployeeData[Department], ROW() - 37), "")</f>
        <v/>
      </c>
      <c r="E1417" s="4" t="str" cm="1">
        <f t="array" ref="E1417">IFERROR(INDEX(EmployeeData[Gender], ROW() - 37), "")</f>
        <v/>
      </c>
      <c r="F1417" s="4" t="str" cm="1">
        <f t="array" ref="F1417">IFERROR(INDEX(EmployeeData[Age], ROW() - 37), "")</f>
        <v/>
      </c>
      <c r="G1417" s="6" t="str" cm="1">
        <f t="array" ref="G1417">IFERROR(INDEX(EmployeeData[Join Date], ROW() - 37), "")</f>
        <v/>
      </c>
      <c r="H1417" s="6" t="str" cm="1">
        <f t="array" ref="H1417">IFERROR(IF(INDEX(EmployeeData[Exit Date], ROW() - 37)=0, "",INDEX(EmployeeData[Exit Date], ROW() - 37)),"")</f>
        <v/>
      </c>
      <c r="I1417" s="4" t="str" cm="1">
        <f t="array" ref="I1417">IFERROR(IF(INDEX(EmployeeData[Exit Reason], ROW() - 37)=0, "",INDEX(EmployeeData[Exit Reason], ROW() - 37)),"")</f>
        <v/>
      </c>
      <c r="J1417" s="4" t="str" cm="1">
        <f t="array" ref="J1417">IFERROR(INDEX(EmployeeData[Status], ROW() - 37), "")</f>
        <v/>
      </c>
    </row>
    <row r="1418" spans="2:10" ht="19.95" customHeight="1" x14ac:dyDescent="0.3">
      <c r="B1418" s="4" t="str" cm="1">
        <f t="array" ref="B1418">IFERROR(INDEX(EmployeeData[Employee ID], ROW() - 37), "")</f>
        <v/>
      </c>
      <c r="C1418" s="4" t="str" cm="1">
        <f t="array" ref="C1418">IFERROR(INDEX(EmployeeData[Full Name], ROW() - 37), "")</f>
        <v/>
      </c>
      <c r="D1418" s="4" t="str" cm="1">
        <f t="array" ref="D1418">IFERROR(INDEX(EmployeeData[Department], ROW() - 37), "")</f>
        <v/>
      </c>
      <c r="E1418" s="4" t="str" cm="1">
        <f t="array" ref="E1418">IFERROR(INDEX(EmployeeData[Gender], ROW() - 37), "")</f>
        <v/>
      </c>
      <c r="F1418" s="4" t="str" cm="1">
        <f t="array" ref="F1418">IFERROR(INDEX(EmployeeData[Age], ROW() - 37), "")</f>
        <v/>
      </c>
      <c r="G1418" s="6" t="str" cm="1">
        <f t="array" ref="G1418">IFERROR(INDEX(EmployeeData[Join Date], ROW() - 37), "")</f>
        <v/>
      </c>
      <c r="H1418" s="6" t="str" cm="1">
        <f t="array" ref="H1418">IFERROR(IF(INDEX(EmployeeData[Exit Date], ROW() - 37)=0, "",INDEX(EmployeeData[Exit Date], ROW() - 37)),"")</f>
        <v/>
      </c>
      <c r="I1418" s="4" t="str" cm="1">
        <f t="array" ref="I1418">IFERROR(IF(INDEX(EmployeeData[Exit Reason], ROW() - 37)=0, "",INDEX(EmployeeData[Exit Reason], ROW() - 37)),"")</f>
        <v/>
      </c>
      <c r="J1418" s="4" t="str" cm="1">
        <f t="array" ref="J1418">IFERROR(INDEX(EmployeeData[Status], ROW() - 37), "")</f>
        <v/>
      </c>
    </row>
    <row r="1419" spans="2:10" ht="19.95" customHeight="1" x14ac:dyDescent="0.3">
      <c r="B1419" s="4" t="str" cm="1">
        <f t="array" ref="B1419">IFERROR(INDEX(EmployeeData[Employee ID], ROW() - 37), "")</f>
        <v/>
      </c>
      <c r="C1419" s="4" t="str" cm="1">
        <f t="array" ref="C1419">IFERROR(INDEX(EmployeeData[Full Name], ROW() - 37), "")</f>
        <v/>
      </c>
      <c r="D1419" s="4" t="str" cm="1">
        <f t="array" ref="D1419">IFERROR(INDEX(EmployeeData[Department], ROW() - 37), "")</f>
        <v/>
      </c>
      <c r="E1419" s="4" t="str" cm="1">
        <f t="array" ref="E1419">IFERROR(INDEX(EmployeeData[Gender], ROW() - 37), "")</f>
        <v/>
      </c>
      <c r="F1419" s="4" t="str" cm="1">
        <f t="array" ref="F1419">IFERROR(INDEX(EmployeeData[Age], ROW() - 37), "")</f>
        <v/>
      </c>
      <c r="G1419" s="6" t="str" cm="1">
        <f t="array" ref="G1419">IFERROR(INDEX(EmployeeData[Join Date], ROW() - 37), "")</f>
        <v/>
      </c>
      <c r="H1419" s="6" t="str" cm="1">
        <f t="array" ref="H1419">IFERROR(IF(INDEX(EmployeeData[Exit Date], ROW() - 37)=0, "",INDEX(EmployeeData[Exit Date], ROW() - 37)),"")</f>
        <v/>
      </c>
      <c r="I1419" s="4" t="str" cm="1">
        <f t="array" ref="I1419">IFERROR(IF(INDEX(EmployeeData[Exit Reason], ROW() - 37)=0, "",INDEX(EmployeeData[Exit Reason], ROW() - 37)),"")</f>
        <v/>
      </c>
      <c r="J1419" s="4" t="str" cm="1">
        <f t="array" ref="J1419">IFERROR(INDEX(EmployeeData[Status], ROW() - 37), "")</f>
        <v/>
      </c>
    </row>
    <row r="1420" spans="2:10" ht="19.95" customHeight="1" x14ac:dyDescent="0.3">
      <c r="B1420" s="4" t="str" cm="1">
        <f t="array" ref="B1420">IFERROR(INDEX(EmployeeData[Employee ID], ROW() - 37), "")</f>
        <v/>
      </c>
      <c r="C1420" s="4" t="str" cm="1">
        <f t="array" ref="C1420">IFERROR(INDEX(EmployeeData[Full Name], ROW() - 37), "")</f>
        <v/>
      </c>
      <c r="D1420" s="4" t="str" cm="1">
        <f t="array" ref="D1420">IFERROR(INDEX(EmployeeData[Department], ROW() - 37), "")</f>
        <v/>
      </c>
      <c r="E1420" s="4" t="str" cm="1">
        <f t="array" ref="E1420">IFERROR(INDEX(EmployeeData[Gender], ROW() - 37), "")</f>
        <v/>
      </c>
      <c r="F1420" s="4" t="str" cm="1">
        <f t="array" ref="F1420">IFERROR(INDEX(EmployeeData[Age], ROW() - 37), "")</f>
        <v/>
      </c>
      <c r="G1420" s="6" t="str" cm="1">
        <f t="array" ref="G1420">IFERROR(INDEX(EmployeeData[Join Date], ROW() - 37), "")</f>
        <v/>
      </c>
      <c r="H1420" s="6" t="str" cm="1">
        <f t="array" ref="H1420">IFERROR(IF(INDEX(EmployeeData[Exit Date], ROW() - 37)=0, "",INDEX(EmployeeData[Exit Date], ROW() - 37)),"")</f>
        <v/>
      </c>
      <c r="I1420" s="4" t="str" cm="1">
        <f t="array" ref="I1420">IFERROR(IF(INDEX(EmployeeData[Exit Reason], ROW() - 37)=0, "",INDEX(EmployeeData[Exit Reason], ROW() - 37)),"")</f>
        <v/>
      </c>
      <c r="J1420" s="4" t="str" cm="1">
        <f t="array" ref="J1420">IFERROR(INDEX(EmployeeData[Status], ROW() - 37), "")</f>
        <v/>
      </c>
    </row>
    <row r="1421" spans="2:10" ht="19.95" customHeight="1" x14ac:dyDescent="0.3">
      <c r="B1421" s="4" t="str" cm="1">
        <f t="array" ref="B1421">IFERROR(INDEX(EmployeeData[Employee ID], ROW() - 37), "")</f>
        <v/>
      </c>
      <c r="C1421" s="4" t="str" cm="1">
        <f t="array" ref="C1421">IFERROR(INDEX(EmployeeData[Full Name], ROW() - 37), "")</f>
        <v/>
      </c>
      <c r="D1421" s="4" t="str" cm="1">
        <f t="array" ref="D1421">IFERROR(INDEX(EmployeeData[Department], ROW() - 37), "")</f>
        <v/>
      </c>
      <c r="E1421" s="4" t="str" cm="1">
        <f t="array" ref="E1421">IFERROR(INDEX(EmployeeData[Gender], ROW() - 37), "")</f>
        <v/>
      </c>
      <c r="F1421" s="4" t="str" cm="1">
        <f t="array" ref="F1421">IFERROR(INDEX(EmployeeData[Age], ROW() - 37), "")</f>
        <v/>
      </c>
      <c r="G1421" s="6" t="str" cm="1">
        <f t="array" ref="G1421">IFERROR(INDEX(EmployeeData[Join Date], ROW() - 37), "")</f>
        <v/>
      </c>
      <c r="H1421" s="6" t="str" cm="1">
        <f t="array" ref="H1421">IFERROR(IF(INDEX(EmployeeData[Exit Date], ROW() - 37)=0, "",INDEX(EmployeeData[Exit Date], ROW() - 37)),"")</f>
        <v/>
      </c>
      <c r="I1421" s="4" t="str" cm="1">
        <f t="array" ref="I1421">IFERROR(IF(INDEX(EmployeeData[Exit Reason], ROW() - 37)=0, "",INDEX(EmployeeData[Exit Reason], ROW() - 37)),"")</f>
        <v/>
      </c>
      <c r="J1421" s="4" t="str" cm="1">
        <f t="array" ref="J1421">IFERROR(INDEX(EmployeeData[Status], ROW() - 37), "")</f>
        <v/>
      </c>
    </row>
    <row r="1422" spans="2:10" ht="19.95" customHeight="1" x14ac:dyDescent="0.3">
      <c r="B1422" s="4" t="str" cm="1">
        <f t="array" ref="B1422">IFERROR(INDEX(EmployeeData[Employee ID], ROW() - 37), "")</f>
        <v/>
      </c>
      <c r="C1422" s="4" t="str" cm="1">
        <f t="array" ref="C1422">IFERROR(INDEX(EmployeeData[Full Name], ROW() - 37), "")</f>
        <v/>
      </c>
      <c r="D1422" s="4" t="str" cm="1">
        <f t="array" ref="D1422">IFERROR(INDEX(EmployeeData[Department], ROW() - 37), "")</f>
        <v/>
      </c>
      <c r="E1422" s="4" t="str" cm="1">
        <f t="array" ref="E1422">IFERROR(INDEX(EmployeeData[Gender], ROW() - 37), "")</f>
        <v/>
      </c>
      <c r="F1422" s="4" t="str" cm="1">
        <f t="array" ref="F1422">IFERROR(INDEX(EmployeeData[Age], ROW() - 37), "")</f>
        <v/>
      </c>
      <c r="G1422" s="6" t="str" cm="1">
        <f t="array" ref="G1422">IFERROR(INDEX(EmployeeData[Join Date], ROW() - 37), "")</f>
        <v/>
      </c>
      <c r="H1422" s="6" t="str" cm="1">
        <f t="array" ref="H1422">IFERROR(IF(INDEX(EmployeeData[Exit Date], ROW() - 37)=0, "",INDEX(EmployeeData[Exit Date], ROW() - 37)),"")</f>
        <v/>
      </c>
      <c r="I1422" s="4" t="str" cm="1">
        <f t="array" ref="I1422">IFERROR(IF(INDEX(EmployeeData[Exit Reason], ROW() - 37)=0, "",INDEX(EmployeeData[Exit Reason], ROW() - 37)),"")</f>
        <v/>
      </c>
      <c r="J1422" s="4" t="str" cm="1">
        <f t="array" ref="J1422">IFERROR(INDEX(EmployeeData[Status], ROW() - 37), "")</f>
        <v/>
      </c>
    </row>
    <row r="1423" spans="2:10" ht="19.95" customHeight="1" x14ac:dyDescent="0.3">
      <c r="B1423" s="4" t="str" cm="1">
        <f t="array" ref="B1423">IFERROR(INDEX(EmployeeData[Employee ID], ROW() - 37), "")</f>
        <v/>
      </c>
      <c r="C1423" s="4" t="str" cm="1">
        <f t="array" ref="C1423">IFERROR(INDEX(EmployeeData[Full Name], ROW() - 37), "")</f>
        <v/>
      </c>
      <c r="D1423" s="4" t="str" cm="1">
        <f t="array" ref="D1423">IFERROR(INDEX(EmployeeData[Department], ROW() - 37), "")</f>
        <v/>
      </c>
      <c r="E1423" s="4" t="str" cm="1">
        <f t="array" ref="E1423">IFERROR(INDEX(EmployeeData[Gender], ROW() - 37), "")</f>
        <v/>
      </c>
      <c r="F1423" s="4" t="str" cm="1">
        <f t="array" ref="F1423">IFERROR(INDEX(EmployeeData[Age], ROW() - 37), "")</f>
        <v/>
      </c>
      <c r="G1423" s="6" t="str" cm="1">
        <f t="array" ref="G1423">IFERROR(INDEX(EmployeeData[Join Date], ROW() - 37), "")</f>
        <v/>
      </c>
      <c r="H1423" s="6" t="str" cm="1">
        <f t="array" ref="H1423">IFERROR(IF(INDEX(EmployeeData[Exit Date], ROW() - 37)=0, "",INDEX(EmployeeData[Exit Date], ROW() - 37)),"")</f>
        <v/>
      </c>
      <c r="I1423" s="4" t="str" cm="1">
        <f t="array" ref="I1423">IFERROR(IF(INDEX(EmployeeData[Exit Reason], ROW() - 37)=0, "",INDEX(EmployeeData[Exit Reason], ROW() - 37)),"")</f>
        <v/>
      </c>
      <c r="J1423" s="4" t="str" cm="1">
        <f t="array" ref="J1423">IFERROR(INDEX(EmployeeData[Status], ROW() - 37), "")</f>
        <v/>
      </c>
    </row>
    <row r="1424" spans="2:10" ht="19.95" customHeight="1" x14ac:dyDescent="0.3">
      <c r="B1424" s="4" t="str" cm="1">
        <f t="array" ref="B1424">IFERROR(INDEX(EmployeeData[Employee ID], ROW() - 37), "")</f>
        <v/>
      </c>
      <c r="C1424" s="4" t="str" cm="1">
        <f t="array" ref="C1424">IFERROR(INDEX(EmployeeData[Full Name], ROW() - 37), "")</f>
        <v/>
      </c>
      <c r="D1424" s="4" t="str" cm="1">
        <f t="array" ref="D1424">IFERROR(INDEX(EmployeeData[Department], ROW() - 37), "")</f>
        <v/>
      </c>
      <c r="E1424" s="4" t="str" cm="1">
        <f t="array" ref="E1424">IFERROR(INDEX(EmployeeData[Gender], ROW() - 37), "")</f>
        <v/>
      </c>
      <c r="F1424" s="4" t="str" cm="1">
        <f t="array" ref="F1424">IFERROR(INDEX(EmployeeData[Age], ROW() - 37), "")</f>
        <v/>
      </c>
      <c r="G1424" s="6" t="str" cm="1">
        <f t="array" ref="G1424">IFERROR(INDEX(EmployeeData[Join Date], ROW() - 37), "")</f>
        <v/>
      </c>
      <c r="H1424" s="6" t="str" cm="1">
        <f t="array" ref="H1424">IFERROR(IF(INDEX(EmployeeData[Exit Date], ROW() - 37)=0, "",INDEX(EmployeeData[Exit Date], ROW() - 37)),"")</f>
        <v/>
      </c>
      <c r="I1424" s="4" t="str" cm="1">
        <f t="array" ref="I1424">IFERROR(IF(INDEX(EmployeeData[Exit Reason], ROW() - 37)=0, "",INDEX(EmployeeData[Exit Reason], ROW() - 37)),"")</f>
        <v/>
      </c>
      <c r="J1424" s="4" t="str" cm="1">
        <f t="array" ref="J1424">IFERROR(INDEX(EmployeeData[Status], ROW() - 37), "")</f>
        <v/>
      </c>
    </row>
    <row r="1425" spans="2:10" ht="19.95" customHeight="1" x14ac:dyDescent="0.3">
      <c r="B1425" s="4" t="str" cm="1">
        <f t="array" ref="B1425">IFERROR(INDEX(EmployeeData[Employee ID], ROW() - 37), "")</f>
        <v/>
      </c>
      <c r="C1425" s="4" t="str" cm="1">
        <f t="array" ref="C1425">IFERROR(INDEX(EmployeeData[Full Name], ROW() - 37), "")</f>
        <v/>
      </c>
      <c r="D1425" s="4" t="str" cm="1">
        <f t="array" ref="D1425">IFERROR(INDEX(EmployeeData[Department], ROW() - 37), "")</f>
        <v/>
      </c>
      <c r="E1425" s="4" t="str" cm="1">
        <f t="array" ref="E1425">IFERROR(INDEX(EmployeeData[Gender], ROW() - 37), "")</f>
        <v/>
      </c>
      <c r="F1425" s="4" t="str" cm="1">
        <f t="array" ref="F1425">IFERROR(INDEX(EmployeeData[Age], ROW() - 37), "")</f>
        <v/>
      </c>
      <c r="G1425" s="6" t="str" cm="1">
        <f t="array" ref="G1425">IFERROR(INDEX(EmployeeData[Join Date], ROW() - 37), "")</f>
        <v/>
      </c>
      <c r="H1425" s="6" t="str" cm="1">
        <f t="array" ref="H1425">IFERROR(IF(INDEX(EmployeeData[Exit Date], ROW() - 37)=0, "",INDEX(EmployeeData[Exit Date], ROW() - 37)),"")</f>
        <v/>
      </c>
      <c r="I1425" s="4" t="str" cm="1">
        <f t="array" ref="I1425">IFERROR(IF(INDEX(EmployeeData[Exit Reason], ROW() - 37)=0, "",INDEX(EmployeeData[Exit Reason], ROW() - 37)),"")</f>
        <v/>
      </c>
      <c r="J1425" s="4" t="str" cm="1">
        <f t="array" ref="J1425">IFERROR(INDEX(EmployeeData[Status], ROW() - 37), "")</f>
        <v/>
      </c>
    </row>
    <row r="1426" spans="2:10" ht="19.95" customHeight="1" x14ac:dyDescent="0.3">
      <c r="B1426" s="4" t="str" cm="1">
        <f t="array" ref="B1426">IFERROR(INDEX(EmployeeData[Employee ID], ROW() - 37), "")</f>
        <v/>
      </c>
      <c r="C1426" s="4" t="str" cm="1">
        <f t="array" ref="C1426">IFERROR(INDEX(EmployeeData[Full Name], ROW() - 37), "")</f>
        <v/>
      </c>
      <c r="D1426" s="4" t="str" cm="1">
        <f t="array" ref="D1426">IFERROR(INDEX(EmployeeData[Department], ROW() - 37), "")</f>
        <v/>
      </c>
      <c r="E1426" s="4" t="str" cm="1">
        <f t="array" ref="E1426">IFERROR(INDEX(EmployeeData[Gender], ROW() - 37), "")</f>
        <v/>
      </c>
      <c r="F1426" s="4" t="str" cm="1">
        <f t="array" ref="F1426">IFERROR(INDEX(EmployeeData[Age], ROW() - 37), "")</f>
        <v/>
      </c>
      <c r="G1426" s="6" t="str" cm="1">
        <f t="array" ref="G1426">IFERROR(INDEX(EmployeeData[Join Date], ROW() - 37), "")</f>
        <v/>
      </c>
      <c r="H1426" s="6" t="str" cm="1">
        <f t="array" ref="H1426">IFERROR(IF(INDEX(EmployeeData[Exit Date], ROW() - 37)=0, "",INDEX(EmployeeData[Exit Date], ROW() - 37)),"")</f>
        <v/>
      </c>
      <c r="I1426" s="4" t="str" cm="1">
        <f t="array" ref="I1426">IFERROR(IF(INDEX(EmployeeData[Exit Reason], ROW() - 37)=0, "",INDEX(EmployeeData[Exit Reason], ROW() - 37)),"")</f>
        <v/>
      </c>
      <c r="J1426" s="4" t="str" cm="1">
        <f t="array" ref="J1426">IFERROR(INDEX(EmployeeData[Status], ROW() - 37), "")</f>
        <v/>
      </c>
    </row>
    <row r="1427" spans="2:10" ht="19.95" customHeight="1" x14ac:dyDescent="0.3">
      <c r="B1427" s="4" t="str" cm="1">
        <f t="array" ref="B1427">IFERROR(INDEX(EmployeeData[Employee ID], ROW() - 37), "")</f>
        <v/>
      </c>
      <c r="C1427" s="4" t="str" cm="1">
        <f t="array" ref="C1427">IFERROR(INDEX(EmployeeData[Full Name], ROW() - 37), "")</f>
        <v/>
      </c>
      <c r="D1427" s="4" t="str" cm="1">
        <f t="array" ref="D1427">IFERROR(INDEX(EmployeeData[Department], ROW() - 37), "")</f>
        <v/>
      </c>
      <c r="E1427" s="4" t="str" cm="1">
        <f t="array" ref="E1427">IFERROR(INDEX(EmployeeData[Gender], ROW() - 37), "")</f>
        <v/>
      </c>
      <c r="F1427" s="4" t="str" cm="1">
        <f t="array" ref="F1427">IFERROR(INDEX(EmployeeData[Age], ROW() - 37), "")</f>
        <v/>
      </c>
      <c r="G1427" s="6" t="str" cm="1">
        <f t="array" ref="G1427">IFERROR(INDEX(EmployeeData[Join Date], ROW() - 37), "")</f>
        <v/>
      </c>
      <c r="H1427" s="6" t="str" cm="1">
        <f t="array" ref="H1427">IFERROR(IF(INDEX(EmployeeData[Exit Date], ROW() - 37)=0, "",INDEX(EmployeeData[Exit Date], ROW() - 37)),"")</f>
        <v/>
      </c>
      <c r="I1427" s="4" t="str" cm="1">
        <f t="array" ref="I1427">IFERROR(IF(INDEX(EmployeeData[Exit Reason], ROW() - 37)=0, "",INDEX(EmployeeData[Exit Reason], ROW() - 37)),"")</f>
        <v/>
      </c>
      <c r="J1427" s="4" t="str" cm="1">
        <f t="array" ref="J1427">IFERROR(INDEX(EmployeeData[Status], ROW() - 37), "")</f>
        <v/>
      </c>
    </row>
    <row r="1428" spans="2:10" ht="19.95" customHeight="1" x14ac:dyDescent="0.3">
      <c r="B1428" s="4" t="str" cm="1">
        <f t="array" ref="B1428">IFERROR(INDEX(EmployeeData[Employee ID], ROW() - 37), "")</f>
        <v/>
      </c>
      <c r="C1428" s="4" t="str" cm="1">
        <f t="array" ref="C1428">IFERROR(INDEX(EmployeeData[Full Name], ROW() - 37), "")</f>
        <v/>
      </c>
      <c r="D1428" s="4" t="str" cm="1">
        <f t="array" ref="D1428">IFERROR(INDEX(EmployeeData[Department], ROW() - 37), "")</f>
        <v/>
      </c>
      <c r="E1428" s="4" t="str" cm="1">
        <f t="array" ref="E1428">IFERROR(INDEX(EmployeeData[Gender], ROW() - 37), "")</f>
        <v/>
      </c>
      <c r="F1428" s="4" t="str" cm="1">
        <f t="array" ref="F1428">IFERROR(INDEX(EmployeeData[Age], ROW() - 37), "")</f>
        <v/>
      </c>
      <c r="G1428" s="6" t="str" cm="1">
        <f t="array" ref="G1428">IFERROR(INDEX(EmployeeData[Join Date], ROW() - 37), "")</f>
        <v/>
      </c>
      <c r="H1428" s="6" t="str" cm="1">
        <f t="array" ref="H1428">IFERROR(IF(INDEX(EmployeeData[Exit Date], ROW() - 37)=0, "",INDEX(EmployeeData[Exit Date], ROW() - 37)),"")</f>
        <v/>
      </c>
      <c r="I1428" s="4" t="str" cm="1">
        <f t="array" ref="I1428">IFERROR(IF(INDEX(EmployeeData[Exit Reason], ROW() - 37)=0, "",INDEX(EmployeeData[Exit Reason], ROW() - 37)),"")</f>
        <v/>
      </c>
      <c r="J1428" s="4" t="str" cm="1">
        <f t="array" ref="J1428">IFERROR(INDEX(EmployeeData[Status], ROW() - 37), "")</f>
        <v/>
      </c>
    </row>
    <row r="1429" spans="2:10" ht="19.95" customHeight="1" x14ac:dyDescent="0.3">
      <c r="B1429" s="4" t="str" cm="1">
        <f t="array" ref="B1429">IFERROR(INDEX(EmployeeData[Employee ID], ROW() - 37), "")</f>
        <v/>
      </c>
      <c r="C1429" s="4" t="str" cm="1">
        <f t="array" ref="C1429">IFERROR(INDEX(EmployeeData[Full Name], ROW() - 37), "")</f>
        <v/>
      </c>
      <c r="D1429" s="4" t="str" cm="1">
        <f t="array" ref="D1429">IFERROR(INDEX(EmployeeData[Department], ROW() - 37), "")</f>
        <v/>
      </c>
      <c r="E1429" s="4" t="str" cm="1">
        <f t="array" ref="E1429">IFERROR(INDEX(EmployeeData[Gender], ROW() - 37), "")</f>
        <v/>
      </c>
      <c r="F1429" s="4" t="str" cm="1">
        <f t="array" ref="F1429">IFERROR(INDEX(EmployeeData[Age], ROW() - 37), "")</f>
        <v/>
      </c>
      <c r="G1429" s="6" t="str" cm="1">
        <f t="array" ref="G1429">IFERROR(INDEX(EmployeeData[Join Date], ROW() - 37), "")</f>
        <v/>
      </c>
      <c r="H1429" s="6" t="str" cm="1">
        <f t="array" ref="H1429">IFERROR(IF(INDEX(EmployeeData[Exit Date], ROW() - 37)=0, "",INDEX(EmployeeData[Exit Date], ROW() - 37)),"")</f>
        <v/>
      </c>
      <c r="I1429" s="4" t="str" cm="1">
        <f t="array" ref="I1429">IFERROR(IF(INDEX(EmployeeData[Exit Reason], ROW() - 37)=0, "",INDEX(EmployeeData[Exit Reason], ROW() - 37)),"")</f>
        <v/>
      </c>
      <c r="J1429" s="4" t="str" cm="1">
        <f t="array" ref="J1429">IFERROR(INDEX(EmployeeData[Status], ROW() - 37), "")</f>
        <v/>
      </c>
    </row>
    <row r="1430" spans="2:10" ht="19.95" customHeight="1" x14ac:dyDescent="0.3">
      <c r="B1430" s="4" t="str" cm="1">
        <f t="array" ref="B1430">IFERROR(INDEX(EmployeeData[Employee ID], ROW() - 37), "")</f>
        <v/>
      </c>
      <c r="C1430" s="4" t="str" cm="1">
        <f t="array" ref="C1430">IFERROR(INDEX(EmployeeData[Full Name], ROW() - 37), "")</f>
        <v/>
      </c>
      <c r="D1430" s="4" t="str" cm="1">
        <f t="array" ref="D1430">IFERROR(INDEX(EmployeeData[Department], ROW() - 37), "")</f>
        <v/>
      </c>
      <c r="E1430" s="4" t="str" cm="1">
        <f t="array" ref="E1430">IFERROR(INDEX(EmployeeData[Gender], ROW() - 37), "")</f>
        <v/>
      </c>
      <c r="F1430" s="4" t="str" cm="1">
        <f t="array" ref="F1430">IFERROR(INDEX(EmployeeData[Age], ROW() - 37), "")</f>
        <v/>
      </c>
      <c r="G1430" s="6" t="str" cm="1">
        <f t="array" ref="G1430">IFERROR(INDEX(EmployeeData[Join Date], ROW() - 37), "")</f>
        <v/>
      </c>
      <c r="H1430" s="6" t="str" cm="1">
        <f t="array" ref="H1430">IFERROR(IF(INDEX(EmployeeData[Exit Date], ROW() - 37)=0, "",INDEX(EmployeeData[Exit Date], ROW() - 37)),"")</f>
        <v/>
      </c>
      <c r="I1430" s="4" t="str" cm="1">
        <f t="array" ref="I1430">IFERROR(IF(INDEX(EmployeeData[Exit Reason], ROW() - 37)=0, "",INDEX(EmployeeData[Exit Reason], ROW() - 37)),"")</f>
        <v/>
      </c>
      <c r="J1430" s="4" t="str" cm="1">
        <f t="array" ref="J1430">IFERROR(INDEX(EmployeeData[Status], ROW() - 37), "")</f>
        <v/>
      </c>
    </row>
    <row r="1431" spans="2:10" ht="19.95" customHeight="1" x14ac:dyDescent="0.3">
      <c r="B1431" s="4" t="str" cm="1">
        <f t="array" ref="B1431">IFERROR(INDEX(EmployeeData[Employee ID], ROW() - 37), "")</f>
        <v/>
      </c>
      <c r="C1431" s="4" t="str" cm="1">
        <f t="array" ref="C1431">IFERROR(INDEX(EmployeeData[Full Name], ROW() - 37), "")</f>
        <v/>
      </c>
      <c r="D1431" s="4" t="str" cm="1">
        <f t="array" ref="D1431">IFERROR(INDEX(EmployeeData[Department], ROW() - 37), "")</f>
        <v/>
      </c>
      <c r="E1431" s="4" t="str" cm="1">
        <f t="array" ref="E1431">IFERROR(INDEX(EmployeeData[Gender], ROW() - 37), "")</f>
        <v/>
      </c>
      <c r="F1431" s="4" t="str" cm="1">
        <f t="array" ref="F1431">IFERROR(INDEX(EmployeeData[Age], ROW() - 37), "")</f>
        <v/>
      </c>
      <c r="G1431" s="6" t="str" cm="1">
        <f t="array" ref="G1431">IFERROR(INDEX(EmployeeData[Join Date], ROW() - 37), "")</f>
        <v/>
      </c>
      <c r="H1431" s="6" t="str" cm="1">
        <f t="array" ref="H1431">IFERROR(IF(INDEX(EmployeeData[Exit Date], ROW() - 37)=0, "",INDEX(EmployeeData[Exit Date], ROW() - 37)),"")</f>
        <v/>
      </c>
      <c r="I1431" s="4" t="str" cm="1">
        <f t="array" ref="I1431">IFERROR(IF(INDEX(EmployeeData[Exit Reason], ROW() - 37)=0, "",INDEX(EmployeeData[Exit Reason], ROW() - 37)),"")</f>
        <v/>
      </c>
      <c r="J1431" s="4" t="str" cm="1">
        <f t="array" ref="J1431">IFERROR(INDEX(EmployeeData[Status], ROW() - 37), "")</f>
        <v/>
      </c>
    </row>
    <row r="1432" spans="2:10" ht="19.95" customHeight="1" x14ac:dyDescent="0.3">
      <c r="B1432" s="4" t="str" cm="1">
        <f t="array" ref="B1432">IFERROR(INDEX(EmployeeData[Employee ID], ROW() - 37), "")</f>
        <v/>
      </c>
      <c r="C1432" s="4" t="str" cm="1">
        <f t="array" ref="C1432">IFERROR(INDEX(EmployeeData[Full Name], ROW() - 37), "")</f>
        <v/>
      </c>
      <c r="D1432" s="4" t="str" cm="1">
        <f t="array" ref="D1432">IFERROR(INDEX(EmployeeData[Department], ROW() - 37), "")</f>
        <v/>
      </c>
      <c r="E1432" s="4" t="str" cm="1">
        <f t="array" ref="E1432">IFERROR(INDEX(EmployeeData[Gender], ROW() - 37), "")</f>
        <v/>
      </c>
      <c r="F1432" s="4" t="str" cm="1">
        <f t="array" ref="F1432">IFERROR(INDEX(EmployeeData[Age], ROW() - 37), "")</f>
        <v/>
      </c>
      <c r="G1432" s="6" t="str" cm="1">
        <f t="array" ref="G1432">IFERROR(INDEX(EmployeeData[Join Date], ROW() - 37), "")</f>
        <v/>
      </c>
      <c r="H1432" s="6" t="str" cm="1">
        <f t="array" ref="H1432">IFERROR(IF(INDEX(EmployeeData[Exit Date], ROW() - 37)=0, "",INDEX(EmployeeData[Exit Date], ROW() - 37)),"")</f>
        <v/>
      </c>
      <c r="I1432" s="4" t="str" cm="1">
        <f t="array" ref="I1432">IFERROR(IF(INDEX(EmployeeData[Exit Reason], ROW() - 37)=0, "",INDEX(EmployeeData[Exit Reason], ROW() - 37)),"")</f>
        <v/>
      </c>
      <c r="J1432" s="4" t="str" cm="1">
        <f t="array" ref="J1432">IFERROR(INDEX(EmployeeData[Status], ROW() - 37), "")</f>
        <v/>
      </c>
    </row>
    <row r="1433" spans="2:10" ht="19.95" customHeight="1" x14ac:dyDescent="0.3">
      <c r="B1433" s="4" t="str" cm="1">
        <f t="array" ref="B1433">IFERROR(INDEX(EmployeeData[Employee ID], ROW() - 37), "")</f>
        <v/>
      </c>
      <c r="C1433" s="4" t="str" cm="1">
        <f t="array" ref="C1433">IFERROR(INDEX(EmployeeData[Full Name], ROW() - 37), "")</f>
        <v/>
      </c>
      <c r="D1433" s="4" t="str" cm="1">
        <f t="array" ref="D1433">IFERROR(INDEX(EmployeeData[Department], ROW() - 37), "")</f>
        <v/>
      </c>
      <c r="E1433" s="4" t="str" cm="1">
        <f t="array" ref="E1433">IFERROR(INDEX(EmployeeData[Gender], ROW() - 37), "")</f>
        <v/>
      </c>
      <c r="F1433" s="4" t="str" cm="1">
        <f t="array" ref="F1433">IFERROR(INDEX(EmployeeData[Age], ROW() - 37), "")</f>
        <v/>
      </c>
      <c r="G1433" s="6" t="str" cm="1">
        <f t="array" ref="G1433">IFERROR(INDEX(EmployeeData[Join Date], ROW() - 37), "")</f>
        <v/>
      </c>
      <c r="H1433" s="6" t="str" cm="1">
        <f t="array" ref="H1433">IFERROR(IF(INDEX(EmployeeData[Exit Date], ROW() - 37)=0, "",INDEX(EmployeeData[Exit Date], ROW() - 37)),"")</f>
        <v/>
      </c>
      <c r="I1433" s="4" t="str" cm="1">
        <f t="array" ref="I1433">IFERROR(IF(INDEX(EmployeeData[Exit Reason], ROW() - 37)=0, "",INDEX(EmployeeData[Exit Reason], ROW() - 37)),"")</f>
        <v/>
      </c>
      <c r="J1433" s="4" t="str" cm="1">
        <f t="array" ref="J1433">IFERROR(INDEX(EmployeeData[Status], ROW() - 37), "")</f>
        <v/>
      </c>
    </row>
    <row r="1434" spans="2:10" ht="19.95" customHeight="1" x14ac:dyDescent="0.3">
      <c r="B1434" s="4" t="str" cm="1">
        <f t="array" ref="B1434">IFERROR(INDEX(EmployeeData[Employee ID], ROW() - 37), "")</f>
        <v/>
      </c>
      <c r="C1434" s="4" t="str" cm="1">
        <f t="array" ref="C1434">IFERROR(INDEX(EmployeeData[Full Name], ROW() - 37), "")</f>
        <v/>
      </c>
      <c r="D1434" s="4" t="str" cm="1">
        <f t="array" ref="D1434">IFERROR(INDEX(EmployeeData[Department], ROW() - 37), "")</f>
        <v/>
      </c>
      <c r="E1434" s="4" t="str" cm="1">
        <f t="array" ref="E1434">IFERROR(INDEX(EmployeeData[Gender], ROW() - 37), "")</f>
        <v/>
      </c>
      <c r="F1434" s="4" t="str" cm="1">
        <f t="array" ref="F1434">IFERROR(INDEX(EmployeeData[Age], ROW() - 37), "")</f>
        <v/>
      </c>
      <c r="G1434" s="6" t="str" cm="1">
        <f t="array" ref="G1434">IFERROR(INDEX(EmployeeData[Join Date], ROW() - 37), "")</f>
        <v/>
      </c>
      <c r="H1434" s="6" t="str" cm="1">
        <f t="array" ref="H1434">IFERROR(IF(INDEX(EmployeeData[Exit Date], ROW() - 37)=0, "",INDEX(EmployeeData[Exit Date], ROW() - 37)),"")</f>
        <v/>
      </c>
      <c r="I1434" s="4" t="str" cm="1">
        <f t="array" ref="I1434">IFERROR(IF(INDEX(EmployeeData[Exit Reason], ROW() - 37)=0, "",INDEX(EmployeeData[Exit Reason], ROW() - 37)),"")</f>
        <v/>
      </c>
      <c r="J1434" s="4" t="str" cm="1">
        <f t="array" ref="J1434">IFERROR(INDEX(EmployeeData[Status], ROW() - 37), "")</f>
        <v/>
      </c>
    </row>
    <row r="1435" spans="2:10" ht="19.95" customHeight="1" x14ac:dyDescent="0.3">
      <c r="B1435" s="4" t="str" cm="1">
        <f t="array" ref="B1435">IFERROR(INDEX(EmployeeData[Employee ID], ROW() - 37), "")</f>
        <v/>
      </c>
      <c r="C1435" s="4" t="str" cm="1">
        <f t="array" ref="C1435">IFERROR(INDEX(EmployeeData[Full Name], ROW() - 37), "")</f>
        <v/>
      </c>
      <c r="D1435" s="4" t="str" cm="1">
        <f t="array" ref="D1435">IFERROR(INDEX(EmployeeData[Department], ROW() - 37), "")</f>
        <v/>
      </c>
      <c r="E1435" s="4" t="str" cm="1">
        <f t="array" ref="E1435">IFERROR(INDEX(EmployeeData[Gender], ROW() - 37), "")</f>
        <v/>
      </c>
      <c r="F1435" s="4" t="str" cm="1">
        <f t="array" ref="F1435">IFERROR(INDEX(EmployeeData[Age], ROW() - 37), "")</f>
        <v/>
      </c>
      <c r="G1435" s="6" t="str" cm="1">
        <f t="array" ref="G1435">IFERROR(INDEX(EmployeeData[Join Date], ROW() - 37), "")</f>
        <v/>
      </c>
      <c r="H1435" s="6" t="str" cm="1">
        <f t="array" ref="H1435">IFERROR(IF(INDEX(EmployeeData[Exit Date], ROW() - 37)=0, "",INDEX(EmployeeData[Exit Date], ROW() - 37)),"")</f>
        <v/>
      </c>
      <c r="I1435" s="4" t="str" cm="1">
        <f t="array" ref="I1435">IFERROR(IF(INDEX(EmployeeData[Exit Reason], ROW() - 37)=0, "",INDEX(EmployeeData[Exit Reason], ROW() - 37)),"")</f>
        <v/>
      </c>
      <c r="J1435" s="4" t="str" cm="1">
        <f t="array" ref="J1435">IFERROR(INDEX(EmployeeData[Status], ROW() - 37), "")</f>
        <v/>
      </c>
    </row>
    <row r="1436" spans="2:10" ht="19.95" customHeight="1" x14ac:dyDescent="0.3">
      <c r="B1436" s="4" t="str" cm="1">
        <f t="array" ref="B1436">IFERROR(INDEX(EmployeeData[Employee ID], ROW() - 37), "")</f>
        <v/>
      </c>
      <c r="C1436" s="4" t="str" cm="1">
        <f t="array" ref="C1436">IFERROR(INDEX(EmployeeData[Full Name], ROW() - 37), "")</f>
        <v/>
      </c>
      <c r="D1436" s="4" t="str" cm="1">
        <f t="array" ref="D1436">IFERROR(INDEX(EmployeeData[Department], ROW() - 37), "")</f>
        <v/>
      </c>
      <c r="E1436" s="4" t="str" cm="1">
        <f t="array" ref="E1436">IFERROR(INDEX(EmployeeData[Gender], ROW() - 37), "")</f>
        <v/>
      </c>
      <c r="F1436" s="4" t="str" cm="1">
        <f t="array" ref="F1436">IFERROR(INDEX(EmployeeData[Age], ROW() - 37), "")</f>
        <v/>
      </c>
      <c r="G1436" s="6" t="str" cm="1">
        <f t="array" ref="G1436">IFERROR(INDEX(EmployeeData[Join Date], ROW() - 37), "")</f>
        <v/>
      </c>
      <c r="H1436" s="6" t="str" cm="1">
        <f t="array" ref="H1436">IFERROR(IF(INDEX(EmployeeData[Exit Date], ROW() - 37)=0, "",INDEX(EmployeeData[Exit Date], ROW() - 37)),"")</f>
        <v/>
      </c>
      <c r="I1436" s="4" t="str" cm="1">
        <f t="array" ref="I1436">IFERROR(IF(INDEX(EmployeeData[Exit Reason], ROW() - 37)=0, "",INDEX(EmployeeData[Exit Reason], ROW() - 37)),"")</f>
        <v/>
      </c>
      <c r="J1436" s="4" t="str" cm="1">
        <f t="array" ref="J1436">IFERROR(INDEX(EmployeeData[Status], ROW() - 37), "")</f>
        <v/>
      </c>
    </row>
    <row r="1437" spans="2:10" ht="19.95" customHeight="1" x14ac:dyDescent="0.3">
      <c r="B1437" s="4" t="str" cm="1">
        <f t="array" ref="B1437">IFERROR(INDEX(EmployeeData[Employee ID], ROW() - 37), "")</f>
        <v/>
      </c>
      <c r="C1437" s="4" t="str" cm="1">
        <f t="array" ref="C1437">IFERROR(INDEX(EmployeeData[Full Name], ROW() - 37), "")</f>
        <v/>
      </c>
      <c r="D1437" s="4" t="str" cm="1">
        <f t="array" ref="D1437">IFERROR(INDEX(EmployeeData[Department], ROW() - 37), "")</f>
        <v/>
      </c>
      <c r="E1437" s="4" t="str" cm="1">
        <f t="array" ref="E1437">IFERROR(INDEX(EmployeeData[Gender], ROW() - 37), "")</f>
        <v/>
      </c>
      <c r="F1437" s="4" t="str" cm="1">
        <f t="array" ref="F1437">IFERROR(INDEX(EmployeeData[Age], ROW() - 37), "")</f>
        <v/>
      </c>
      <c r="G1437" s="6" t="str" cm="1">
        <f t="array" ref="G1437">IFERROR(INDEX(EmployeeData[Join Date], ROW() - 37), "")</f>
        <v/>
      </c>
      <c r="H1437" s="6" t="str" cm="1">
        <f t="array" ref="H1437">IFERROR(IF(INDEX(EmployeeData[Exit Date], ROW() - 37)=0, "",INDEX(EmployeeData[Exit Date], ROW() - 37)),"")</f>
        <v/>
      </c>
      <c r="I1437" s="4" t="str" cm="1">
        <f t="array" ref="I1437">IFERROR(IF(INDEX(EmployeeData[Exit Reason], ROW() - 37)=0, "",INDEX(EmployeeData[Exit Reason], ROW() - 37)),"")</f>
        <v/>
      </c>
      <c r="J1437" s="4" t="str" cm="1">
        <f t="array" ref="J1437">IFERROR(INDEX(EmployeeData[Status], ROW() - 37), "")</f>
        <v/>
      </c>
    </row>
    <row r="1438" spans="2:10" ht="19.95" customHeight="1" x14ac:dyDescent="0.3">
      <c r="B1438" s="4" t="str" cm="1">
        <f t="array" ref="B1438">IFERROR(INDEX(EmployeeData[Employee ID], ROW() - 37), "")</f>
        <v/>
      </c>
      <c r="C1438" s="4" t="str" cm="1">
        <f t="array" ref="C1438">IFERROR(INDEX(EmployeeData[Full Name], ROW() - 37), "")</f>
        <v/>
      </c>
      <c r="D1438" s="4" t="str" cm="1">
        <f t="array" ref="D1438">IFERROR(INDEX(EmployeeData[Department], ROW() - 37), "")</f>
        <v/>
      </c>
      <c r="E1438" s="4" t="str" cm="1">
        <f t="array" ref="E1438">IFERROR(INDEX(EmployeeData[Gender], ROW() - 37), "")</f>
        <v/>
      </c>
      <c r="F1438" s="4" t="str" cm="1">
        <f t="array" ref="F1438">IFERROR(INDEX(EmployeeData[Age], ROW() - 37), "")</f>
        <v/>
      </c>
      <c r="G1438" s="6" t="str" cm="1">
        <f t="array" ref="G1438">IFERROR(INDEX(EmployeeData[Join Date], ROW() - 37), "")</f>
        <v/>
      </c>
      <c r="H1438" s="6" t="str" cm="1">
        <f t="array" ref="H1438">IFERROR(IF(INDEX(EmployeeData[Exit Date], ROW() - 37)=0, "",INDEX(EmployeeData[Exit Date], ROW() - 37)),"")</f>
        <v/>
      </c>
      <c r="I1438" s="4" t="str" cm="1">
        <f t="array" ref="I1438">IFERROR(IF(INDEX(EmployeeData[Exit Reason], ROW() - 37)=0, "",INDEX(EmployeeData[Exit Reason], ROW() - 37)),"")</f>
        <v/>
      </c>
      <c r="J1438" s="4" t="str" cm="1">
        <f t="array" ref="J1438">IFERROR(INDEX(EmployeeData[Status], ROW() - 37), "")</f>
        <v/>
      </c>
    </row>
    <row r="1439" spans="2:10" ht="19.95" customHeight="1" x14ac:dyDescent="0.3">
      <c r="B1439" s="4" t="str" cm="1">
        <f t="array" ref="B1439">IFERROR(INDEX(EmployeeData[Employee ID], ROW() - 37), "")</f>
        <v/>
      </c>
      <c r="C1439" s="4" t="str" cm="1">
        <f t="array" ref="C1439">IFERROR(INDEX(EmployeeData[Full Name], ROW() - 37), "")</f>
        <v/>
      </c>
      <c r="D1439" s="4" t="str" cm="1">
        <f t="array" ref="D1439">IFERROR(INDEX(EmployeeData[Department], ROW() - 37), "")</f>
        <v/>
      </c>
      <c r="E1439" s="4" t="str" cm="1">
        <f t="array" ref="E1439">IFERROR(INDEX(EmployeeData[Gender], ROW() - 37), "")</f>
        <v/>
      </c>
      <c r="F1439" s="4" t="str" cm="1">
        <f t="array" ref="F1439">IFERROR(INDEX(EmployeeData[Age], ROW() - 37), "")</f>
        <v/>
      </c>
      <c r="G1439" s="6" t="str" cm="1">
        <f t="array" ref="G1439">IFERROR(INDEX(EmployeeData[Join Date], ROW() - 37), "")</f>
        <v/>
      </c>
      <c r="H1439" s="6" t="str" cm="1">
        <f t="array" ref="H1439">IFERROR(IF(INDEX(EmployeeData[Exit Date], ROW() - 37)=0, "",INDEX(EmployeeData[Exit Date], ROW() - 37)),"")</f>
        <v/>
      </c>
      <c r="I1439" s="4" t="str" cm="1">
        <f t="array" ref="I1439">IFERROR(IF(INDEX(EmployeeData[Exit Reason], ROW() - 37)=0, "",INDEX(EmployeeData[Exit Reason], ROW() - 37)),"")</f>
        <v/>
      </c>
      <c r="J1439" s="4" t="str" cm="1">
        <f t="array" ref="J1439">IFERROR(INDEX(EmployeeData[Status], ROW() - 37), "")</f>
        <v/>
      </c>
    </row>
    <row r="1440" spans="2:10" ht="19.95" customHeight="1" x14ac:dyDescent="0.3">
      <c r="B1440" s="4" t="str" cm="1">
        <f t="array" ref="B1440">IFERROR(INDEX(EmployeeData[Employee ID], ROW() - 37), "")</f>
        <v/>
      </c>
      <c r="C1440" s="4" t="str" cm="1">
        <f t="array" ref="C1440">IFERROR(INDEX(EmployeeData[Full Name], ROW() - 37), "")</f>
        <v/>
      </c>
      <c r="D1440" s="4" t="str" cm="1">
        <f t="array" ref="D1440">IFERROR(INDEX(EmployeeData[Department], ROW() - 37), "")</f>
        <v/>
      </c>
      <c r="E1440" s="4" t="str" cm="1">
        <f t="array" ref="E1440">IFERROR(INDEX(EmployeeData[Gender], ROW() - 37), "")</f>
        <v/>
      </c>
      <c r="F1440" s="4" t="str" cm="1">
        <f t="array" ref="F1440">IFERROR(INDEX(EmployeeData[Age], ROW() - 37), "")</f>
        <v/>
      </c>
      <c r="G1440" s="6" t="str" cm="1">
        <f t="array" ref="G1440">IFERROR(INDEX(EmployeeData[Join Date], ROW() - 37), "")</f>
        <v/>
      </c>
      <c r="H1440" s="6" t="str" cm="1">
        <f t="array" ref="H1440">IFERROR(IF(INDEX(EmployeeData[Exit Date], ROW() - 37)=0, "",INDEX(EmployeeData[Exit Date], ROW() - 37)),"")</f>
        <v/>
      </c>
      <c r="I1440" s="4" t="str" cm="1">
        <f t="array" ref="I1440">IFERROR(IF(INDEX(EmployeeData[Exit Reason], ROW() - 37)=0, "",INDEX(EmployeeData[Exit Reason], ROW() - 37)),"")</f>
        <v/>
      </c>
      <c r="J1440" s="4" t="str" cm="1">
        <f t="array" ref="J1440">IFERROR(INDEX(EmployeeData[Status], ROW() - 37), "")</f>
        <v/>
      </c>
    </row>
    <row r="1441" spans="2:10" ht="19.95" customHeight="1" x14ac:dyDescent="0.3">
      <c r="B1441" s="4" t="str" cm="1">
        <f t="array" ref="B1441">IFERROR(INDEX(EmployeeData[Employee ID], ROW() - 37), "")</f>
        <v/>
      </c>
      <c r="C1441" s="4" t="str" cm="1">
        <f t="array" ref="C1441">IFERROR(INDEX(EmployeeData[Full Name], ROW() - 37), "")</f>
        <v/>
      </c>
      <c r="D1441" s="4" t="str" cm="1">
        <f t="array" ref="D1441">IFERROR(INDEX(EmployeeData[Department], ROW() - 37), "")</f>
        <v/>
      </c>
      <c r="E1441" s="4" t="str" cm="1">
        <f t="array" ref="E1441">IFERROR(INDEX(EmployeeData[Gender], ROW() - 37), "")</f>
        <v/>
      </c>
      <c r="F1441" s="4" t="str" cm="1">
        <f t="array" ref="F1441">IFERROR(INDEX(EmployeeData[Age], ROW() - 37), "")</f>
        <v/>
      </c>
      <c r="G1441" s="6" t="str" cm="1">
        <f t="array" ref="G1441">IFERROR(INDEX(EmployeeData[Join Date], ROW() - 37), "")</f>
        <v/>
      </c>
      <c r="H1441" s="6" t="str" cm="1">
        <f t="array" ref="H1441">IFERROR(IF(INDEX(EmployeeData[Exit Date], ROW() - 37)=0, "",INDEX(EmployeeData[Exit Date], ROW() - 37)),"")</f>
        <v/>
      </c>
      <c r="I1441" s="4" t="str" cm="1">
        <f t="array" ref="I1441">IFERROR(IF(INDEX(EmployeeData[Exit Reason], ROW() - 37)=0, "",INDEX(EmployeeData[Exit Reason], ROW() - 37)),"")</f>
        <v/>
      </c>
      <c r="J1441" s="4" t="str" cm="1">
        <f t="array" ref="J1441">IFERROR(INDEX(EmployeeData[Status], ROW() - 37), "")</f>
        <v/>
      </c>
    </row>
    <row r="1442" spans="2:10" ht="19.95" customHeight="1" x14ac:dyDescent="0.3">
      <c r="B1442" s="4" t="str" cm="1">
        <f t="array" ref="B1442">IFERROR(INDEX(EmployeeData[Employee ID], ROW() - 37), "")</f>
        <v/>
      </c>
      <c r="C1442" s="4" t="str" cm="1">
        <f t="array" ref="C1442">IFERROR(INDEX(EmployeeData[Full Name], ROW() - 37), "")</f>
        <v/>
      </c>
      <c r="D1442" s="4" t="str" cm="1">
        <f t="array" ref="D1442">IFERROR(INDEX(EmployeeData[Department], ROW() - 37), "")</f>
        <v/>
      </c>
      <c r="E1442" s="4" t="str" cm="1">
        <f t="array" ref="E1442">IFERROR(INDEX(EmployeeData[Gender], ROW() - 37), "")</f>
        <v/>
      </c>
      <c r="F1442" s="4" t="str" cm="1">
        <f t="array" ref="F1442">IFERROR(INDEX(EmployeeData[Age], ROW() - 37), "")</f>
        <v/>
      </c>
      <c r="G1442" s="6" t="str" cm="1">
        <f t="array" ref="G1442">IFERROR(INDEX(EmployeeData[Join Date], ROW() - 37), "")</f>
        <v/>
      </c>
      <c r="H1442" s="6" t="str" cm="1">
        <f t="array" ref="H1442">IFERROR(IF(INDEX(EmployeeData[Exit Date], ROW() - 37)=0, "",INDEX(EmployeeData[Exit Date], ROW() - 37)),"")</f>
        <v/>
      </c>
      <c r="I1442" s="4" t="str" cm="1">
        <f t="array" ref="I1442">IFERROR(IF(INDEX(EmployeeData[Exit Reason], ROW() - 37)=0, "",INDEX(EmployeeData[Exit Reason], ROW() - 37)),"")</f>
        <v/>
      </c>
      <c r="J1442" s="4" t="str" cm="1">
        <f t="array" ref="J1442">IFERROR(INDEX(EmployeeData[Status], ROW() - 37), "")</f>
        <v/>
      </c>
    </row>
    <row r="1443" spans="2:10" ht="19.95" customHeight="1" x14ac:dyDescent="0.3">
      <c r="B1443" s="4" t="str" cm="1">
        <f t="array" ref="B1443">IFERROR(INDEX(EmployeeData[Employee ID], ROW() - 37), "")</f>
        <v/>
      </c>
      <c r="C1443" s="4" t="str" cm="1">
        <f t="array" ref="C1443">IFERROR(INDEX(EmployeeData[Full Name], ROW() - 37), "")</f>
        <v/>
      </c>
      <c r="D1443" s="4" t="str" cm="1">
        <f t="array" ref="D1443">IFERROR(INDEX(EmployeeData[Department], ROW() - 37), "")</f>
        <v/>
      </c>
      <c r="E1443" s="4" t="str" cm="1">
        <f t="array" ref="E1443">IFERROR(INDEX(EmployeeData[Gender], ROW() - 37), "")</f>
        <v/>
      </c>
      <c r="F1443" s="4" t="str" cm="1">
        <f t="array" ref="F1443">IFERROR(INDEX(EmployeeData[Age], ROW() - 37), "")</f>
        <v/>
      </c>
      <c r="G1443" s="6" t="str" cm="1">
        <f t="array" ref="G1443">IFERROR(INDEX(EmployeeData[Join Date], ROW() - 37), "")</f>
        <v/>
      </c>
      <c r="H1443" s="6" t="str" cm="1">
        <f t="array" ref="H1443">IFERROR(IF(INDEX(EmployeeData[Exit Date], ROW() - 37)=0, "",INDEX(EmployeeData[Exit Date], ROW() - 37)),"")</f>
        <v/>
      </c>
      <c r="I1443" s="4" t="str" cm="1">
        <f t="array" ref="I1443">IFERROR(IF(INDEX(EmployeeData[Exit Reason], ROW() - 37)=0, "",INDEX(EmployeeData[Exit Reason], ROW() - 37)),"")</f>
        <v/>
      </c>
      <c r="J1443" s="4" t="str" cm="1">
        <f t="array" ref="J1443">IFERROR(INDEX(EmployeeData[Status], ROW() - 37), "")</f>
        <v/>
      </c>
    </row>
    <row r="1444" spans="2:10" ht="19.95" customHeight="1" x14ac:dyDescent="0.3">
      <c r="B1444" s="4" t="str" cm="1">
        <f t="array" ref="B1444">IFERROR(INDEX(EmployeeData[Employee ID], ROW() - 37), "")</f>
        <v/>
      </c>
      <c r="C1444" s="4" t="str" cm="1">
        <f t="array" ref="C1444">IFERROR(INDEX(EmployeeData[Full Name], ROW() - 37), "")</f>
        <v/>
      </c>
      <c r="D1444" s="4" t="str" cm="1">
        <f t="array" ref="D1444">IFERROR(INDEX(EmployeeData[Department], ROW() - 37), "")</f>
        <v/>
      </c>
      <c r="E1444" s="4" t="str" cm="1">
        <f t="array" ref="E1444">IFERROR(INDEX(EmployeeData[Gender], ROW() - 37), "")</f>
        <v/>
      </c>
      <c r="F1444" s="4" t="str" cm="1">
        <f t="array" ref="F1444">IFERROR(INDEX(EmployeeData[Age], ROW() - 37), "")</f>
        <v/>
      </c>
      <c r="G1444" s="6" t="str" cm="1">
        <f t="array" ref="G1444">IFERROR(INDEX(EmployeeData[Join Date], ROW() - 37), "")</f>
        <v/>
      </c>
      <c r="H1444" s="6" t="str" cm="1">
        <f t="array" ref="H1444">IFERROR(IF(INDEX(EmployeeData[Exit Date], ROW() - 37)=0, "",INDEX(EmployeeData[Exit Date], ROW() - 37)),"")</f>
        <v/>
      </c>
      <c r="I1444" s="4" t="str" cm="1">
        <f t="array" ref="I1444">IFERROR(IF(INDEX(EmployeeData[Exit Reason], ROW() - 37)=0, "",INDEX(EmployeeData[Exit Reason], ROW() - 37)),"")</f>
        <v/>
      </c>
      <c r="J1444" s="4" t="str" cm="1">
        <f t="array" ref="J1444">IFERROR(INDEX(EmployeeData[Status], ROW() - 37), "")</f>
        <v/>
      </c>
    </row>
    <row r="1445" spans="2:10" ht="19.95" customHeight="1" x14ac:dyDescent="0.3">
      <c r="B1445" s="4" t="str" cm="1">
        <f t="array" ref="B1445">IFERROR(INDEX(EmployeeData[Employee ID], ROW() - 37), "")</f>
        <v/>
      </c>
      <c r="C1445" s="4" t="str" cm="1">
        <f t="array" ref="C1445">IFERROR(INDEX(EmployeeData[Full Name], ROW() - 37), "")</f>
        <v/>
      </c>
      <c r="D1445" s="4" t="str" cm="1">
        <f t="array" ref="D1445">IFERROR(INDEX(EmployeeData[Department], ROW() - 37), "")</f>
        <v/>
      </c>
      <c r="E1445" s="4" t="str" cm="1">
        <f t="array" ref="E1445">IFERROR(INDEX(EmployeeData[Gender], ROW() - 37), "")</f>
        <v/>
      </c>
      <c r="F1445" s="4" t="str" cm="1">
        <f t="array" ref="F1445">IFERROR(INDEX(EmployeeData[Age], ROW() - 37), "")</f>
        <v/>
      </c>
      <c r="G1445" s="6" t="str" cm="1">
        <f t="array" ref="G1445">IFERROR(INDEX(EmployeeData[Join Date], ROW() - 37), "")</f>
        <v/>
      </c>
      <c r="H1445" s="6" t="str" cm="1">
        <f t="array" ref="H1445">IFERROR(IF(INDEX(EmployeeData[Exit Date], ROW() - 37)=0, "",INDEX(EmployeeData[Exit Date], ROW() - 37)),"")</f>
        <v/>
      </c>
      <c r="I1445" s="4" t="str" cm="1">
        <f t="array" ref="I1445">IFERROR(IF(INDEX(EmployeeData[Exit Reason], ROW() - 37)=0, "",INDEX(EmployeeData[Exit Reason], ROW() - 37)),"")</f>
        <v/>
      </c>
      <c r="J1445" s="4" t="str" cm="1">
        <f t="array" ref="J1445">IFERROR(INDEX(EmployeeData[Status], ROW() - 37), "")</f>
        <v/>
      </c>
    </row>
    <row r="1446" spans="2:10" ht="19.95" customHeight="1" x14ac:dyDescent="0.3">
      <c r="B1446" s="4" t="str" cm="1">
        <f t="array" ref="B1446">IFERROR(INDEX(EmployeeData[Employee ID], ROW() - 37), "")</f>
        <v/>
      </c>
      <c r="C1446" s="4" t="str" cm="1">
        <f t="array" ref="C1446">IFERROR(INDEX(EmployeeData[Full Name], ROW() - 37), "")</f>
        <v/>
      </c>
      <c r="D1446" s="4" t="str" cm="1">
        <f t="array" ref="D1446">IFERROR(INDEX(EmployeeData[Department], ROW() - 37), "")</f>
        <v/>
      </c>
      <c r="E1446" s="4" t="str" cm="1">
        <f t="array" ref="E1446">IFERROR(INDEX(EmployeeData[Gender], ROW() - 37), "")</f>
        <v/>
      </c>
      <c r="F1446" s="4" t="str" cm="1">
        <f t="array" ref="F1446">IFERROR(INDEX(EmployeeData[Age], ROW() - 37), "")</f>
        <v/>
      </c>
      <c r="G1446" s="6" t="str" cm="1">
        <f t="array" ref="G1446">IFERROR(INDEX(EmployeeData[Join Date], ROW() - 37), "")</f>
        <v/>
      </c>
      <c r="H1446" s="6" t="str" cm="1">
        <f t="array" ref="H1446">IFERROR(IF(INDEX(EmployeeData[Exit Date], ROW() - 37)=0, "",INDEX(EmployeeData[Exit Date], ROW() - 37)),"")</f>
        <v/>
      </c>
      <c r="I1446" s="4" t="str" cm="1">
        <f t="array" ref="I1446">IFERROR(IF(INDEX(EmployeeData[Exit Reason], ROW() - 37)=0, "",INDEX(EmployeeData[Exit Reason], ROW() - 37)),"")</f>
        <v/>
      </c>
      <c r="J1446" s="4" t="str" cm="1">
        <f t="array" ref="J1446">IFERROR(INDEX(EmployeeData[Status], ROW() - 37), "")</f>
        <v/>
      </c>
    </row>
    <row r="1447" spans="2:10" ht="19.95" customHeight="1" x14ac:dyDescent="0.3">
      <c r="B1447" s="4" t="str" cm="1">
        <f t="array" ref="B1447">IFERROR(INDEX(EmployeeData[Employee ID], ROW() - 37), "")</f>
        <v/>
      </c>
      <c r="C1447" s="4" t="str" cm="1">
        <f t="array" ref="C1447">IFERROR(INDEX(EmployeeData[Full Name], ROW() - 37), "")</f>
        <v/>
      </c>
      <c r="D1447" s="4" t="str" cm="1">
        <f t="array" ref="D1447">IFERROR(INDEX(EmployeeData[Department], ROW() - 37), "")</f>
        <v/>
      </c>
      <c r="E1447" s="4" t="str" cm="1">
        <f t="array" ref="E1447">IFERROR(INDEX(EmployeeData[Gender], ROW() - 37), "")</f>
        <v/>
      </c>
      <c r="F1447" s="4" t="str" cm="1">
        <f t="array" ref="F1447">IFERROR(INDEX(EmployeeData[Age], ROW() - 37), "")</f>
        <v/>
      </c>
      <c r="G1447" s="6" t="str" cm="1">
        <f t="array" ref="G1447">IFERROR(INDEX(EmployeeData[Join Date], ROW() - 37), "")</f>
        <v/>
      </c>
      <c r="H1447" s="6" t="str" cm="1">
        <f t="array" ref="H1447">IFERROR(IF(INDEX(EmployeeData[Exit Date], ROW() - 37)=0, "",INDEX(EmployeeData[Exit Date], ROW() - 37)),"")</f>
        <v/>
      </c>
      <c r="I1447" s="4" t="str" cm="1">
        <f t="array" ref="I1447">IFERROR(IF(INDEX(EmployeeData[Exit Reason], ROW() - 37)=0, "",INDEX(EmployeeData[Exit Reason], ROW() - 37)),"")</f>
        <v/>
      </c>
      <c r="J1447" s="4" t="str" cm="1">
        <f t="array" ref="J1447">IFERROR(INDEX(EmployeeData[Status], ROW() - 37), "")</f>
        <v/>
      </c>
    </row>
    <row r="1448" spans="2:10" ht="19.95" customHeight="1" x14ac:dyDescent="0.3">
      <c r="B1448" s="4" t="str" cm="1">
        <f t="array" ref="B1448">IFERROR(INDEX(EmployeeData[Employee ID], ROW() - 37), "")</f>
        <v/>
      </c>
      <c r="C1448" s="4" t="str" cm="1">
        <f t="array" ref="C1448">IFERROR(INDEX(EmployeeData[Full Name], ROW() - 37), "")</f>
        <v/>
      </c>
      <c r="D1448" s="4" t="str" cm="1">
        <f t="array" ref="D1448">IFERROR(INDEX(EmployeeData[Department], ROW() - 37), "")</f>
        <v/>
      </c>
      <c r="E1448" s="4" t="str" cm="1">
        <f t="array" ref="E1448">IFERROR(INDEX(EmployeeData[Gender], ROW() - 37), "")</f>
        <v/>
      </c>
      <c r="F1448" s="4" t="str" cm="1">
        <f t="array" ref="F1448">IFERROR(INDEX(EmployeeData[Age], ROW() - 37), "")</f>
        <v/>
      </c>
      <c r="G1448" s="6" t="str" cm="1">
        <f t="array" ref="G1448">IFERROR(INDEX(EmployeeData[Join Date], ROW() - 37), "")</f>
        <v/>
      </c>
      <c r="H1448" s="6" t="str" cm="1">
        <f t="array" ref="H1448">IFERROR(IF(INDEX(EmployeeData[Exit Date], ROW() - 37)=0, "",INDEX(EmployeeData[Exit Date], ROW() - 37)),"")</f>
        <v/>
      </c>
      <c r="I1448" s="4" t="str" cm="1">
        <f t="array" ref="I1448">IFERROR(IF(INDEX(EmployeeData[Exit Reason], ROW() - 37)=0, "",INDEX(EmployeeData[Exit Reason], ROW() - 37)),"")</f>
        <v/>
      </c>
      <c r="J1448" s="4" t="str" cm="1">
        <f t="array" ref="J1448">IFERROR(INDEX(EmployeeData[Status], ROW() - 37), "")</f>
        <v/>
      </c>
    </row>
    <row r="1449" spans="2:10" ht="19.95" customHeight="1" x14ac:dyDescent="0.3">
      <c r="B1449" s="4" t="str" cm="1">
        <f t="array" ref="B1449">IFERROR(INDEX(EmployeeData[Employee ID], ROW() - 37), "")</f>
        <v/>
      </c>
      <c r="C1449" s="4" t="str" cm="1">
        <f t="array" ref="C1449">IFERROR(INDEX(EmployeeData[Full Name], ROW() - 37), "")</f>
        <v/>
      </c>
      <c r="D1449" s="4" t="str" cm="1">
        <f t="array" ref="D1449">IFERROR(INDEX(EmployeeData[Department], ROW() - 37), "")</f>
        <v/>
      </c>
      <c r="E1449" s="4" t="str" cm="1">
        <f t="array" ref="E1449">IFERROR(INDEX(EmployeeData[Gender], ROW() - 37), "")</f>
        <v/>
      </c>
      <c r="F1449" s="4" t="str" cm="1">
        <f t="array" ref="F1449">IFERROR(INDEX(EmployeeData[Age], ROW() - 37), "")</f>
        <v/>
      </c>
      <c r="G1449" s="6" t="str" cm="1">
        <f t="array" ref="G1449">IFERROR(INDEX(EmployeeData[Join Date], ROW() - 37), "")</f>
        <v/>
      </c>
      <c r="H1449" s="6" t="str" cm="1">
        <f t="array" ref="H1449">IFERROR(IF(INDEX(EmployeeData[Exit Date], ROW() - 37)=0, "",INDEX(EmployeeData[Exit Date], ROW() - 37)),"")</f>
        <v/>
      </c>
      <c r="I1449" s="4" t="str" cm="1">
        <f t="array" ref="I1449">IFERROR(IF(INDEX(EmployeeData[Exit Reason], ROW() - 37)=0, "",INDEX(EmployeeData[Exit Reason], ROW() - 37)),"")</f>
        <v/>
      </c>
      <c r="J1449" s="4" t="str" cm="1">
        <f t="array" ref="J1449">IFERROR(INDEX(EmployeeData[Status], ROW() - 37), "")</f>
        <v/>
      </c>
    </row>
    <row r="1450" spans="2:10" ht="19.95" customHeight="1" x14ac:dyDescent="0.3">
      <c r="B1450" s="4" t="str" cm="1">
        <f t="array" ref="B1450">IFERROR(INDEX(EmployeeData[Employee ID], ROW() - 37), "")</f>
        <v/>
      </c>
      <c r="C1450" s="4" t="str" cm="1">
        <f t="array" ref="C1450">IFERROR(INDEX(EmployeeData[Full Name], ROW() - 37), "")</f>
        <v/>
      </c>
      <c r="D1450" s="4" t="str" cm="1">
        <f t="array" ref="D1450">IFERROR(INDEX(EmployeeData[Department], ROW() - 37), "")</f>
        <v/>
      </c>
      <c r="E1450" s="4" t="str" cm="1">
        <f t="array" ref="E1450">IFERROR(INDEX(EmployeeData[Gender], ROW() - 37), "")</f>
        <v/>
      </c>
      <c r="F1450" s="4" t="str" cm="1">
        <f t="array" ref="F1450">IFERROR(INDEX(EmployeeData[Age], ROW() - 37), "")</f>
        <v/>
      </c>
      <c r="G1450" s="6" t="str" cm="1">
        <f t="array" ref="G1450">IFERROR(INDEX(EmployeeData[Join Date], ROW() - 37), "")</f>
        <v/>
      </c>
      <c r="H1450" s="6" t="str" cm="1">
        <f t="array" ref="H1450">IFERROR(IF(INDEX(EmployeeData[Exit Date], ROW() - 37)=0, "",INDEX(EmployeeData[Exit Date], ROW() - 37)),"")</f>
        <v/>
      </c>
      <c r="I1450" s="4" t="str" cm="1">
        <f t="array" ref="I1450">IFERROR(IF(INDEX(EmployeeData[Exit Reason], ROW() - 37)=0, "",INDEX(EmployeeData[Exit Reason], ROW() - 37)),"")</f>
        <v/>
      </c>
      <c r="J1450" s="4" t="str" cm="1">
        <f t="array" ref="J1450">IFERROR(INDEX(EmployeeData[Status], ROW() - 37), "")</f>
        <v/>
      </c>
    </row>
    <row r="1451" spans="2:10" ht="19.95" customHeight="1" x14ac:dyDescent="0.3">
      <c r="B1451" s="4" t="str" cm="1">
        <f t="array" ref="B1451">IFERROR(INDEX(EmployeeData[Employee ID], ROW() - 37), "")</f>
        <v/>
      </c>
      <c r="C1451" s="4" t="str" cm="1">
        <f t="array" ref="C1451">IFERROR(INDEX(EmployeeData[Full Name], ROW() - 37), "")</f>
        <v/>
      </c>
      <c r="D1451" s="4" t="str" cm="1">
        <f t="array" ref="D1451">IFERROR(INDEX(EmployeeData[Department], ROW() - 37), "")</f>
        <v/>
      </c>
      <c r="E1451" s="4" t="str" cm="1">
        <f t="array" ref="E1451">IFERROR(INDEX(EmployeeData[Gender], ROW() - 37), "")</f>
        <v/>
      </c>
      <c r="F1451" s="4" t="str" cm="1">
        <f t="array" ref="F1451">IFERROR(INDEX(EmployeeData[Age], ROW() - 37), "")</f>
        <v/>
      </c>
      <c r="G1451" s="6" t="str" cm="1">
        <f t="array" ref="G1451">IFERROR(INDEX(EmployeeData[Join Date], ROW() - 37), "")</f>
        <v/>
      </c>
      <c r="H1451" s="6" t="str" cm="1">
        <f t="array" ref="H1451">IFERROR(IF(INDEX(EmployeeData[Exit Date], ROW() - 37)=0, "",INDEX(EmployeeData[Exit Date], ROW() - 37)),"")</f>
        <v/>
      </c>
      <c r="I1451" s="4" t="str" cm="1">
        <f t="array" ref="I1451">IFERROR(IF(INDEX(EmployeeData[Exit Reason], ROW() - 37)=0, "",INDEX(EmployeeData[Exit Reason], ROW() - 37)),"")</f>
        <v/>
      </c>
      <c r="J1451" s="4" t="str" cm="1">
        <f t="array" ref="J1451">IFERROR(INDEX(EmployeeData[Status], ROW() - 37), "")</f>
        <v/>
      </c>
    </row>
    <row r="1452" spans="2:10" ht="19.95" customHeight="1" x14ac:dyDescent="0.3">
      <c r="B1452" s="4" t="str" cm="1">
        <f t="array" ref="B1452">IFERROR(INDEX(EmployeeData[Employee ID], ROW() - 37), "")</f>
        <v/>
      </c>
      <c r="C1452" s="4" t="str" cm="1">
        <f t="array" ref="C1452">IFERROR(INDEX(EmployeeData[Full Name], ROW() - 37), "")</f>
        <v/>
      </c>
      <c r="D1452" s="4" t="str" cm="1">
        <f t="array" ref="D1452">IFERROR(INDEX(EmployeeData[Department], ROW() - 37), "")</f>
        <v/>
      </c>
      <c r="E1452" s="4" t="str" cm="1">
        <f t="array" ref="E1452">IFERROR(INDEX(EmployeeData[Gender], ROW() - 37), "")</f>
        <v/>
      </c>
      <c r="F1452" s="4" t="str" cm="1">
        <f t="array" ref="F1452">IFERROR(INDEX(EmployeeData[Age], ROW() - 37), "")</f>
        <v/>
      </c>
      <c r="G1452" s="6" t="str" cm="1">
        <f t="array" ref="G1452">IFERROR(INDEX(EmployeeData[Join Date], ROW() - 37), "")</f>
        <v/>
      </c>
      <c r="H1452" s="6" t="str" cm="1">
        <f t="array" ref="H1452">IFERROR(IF(INDEX(EmployeeData[Exit Date], ROW() - 37)=0, "",INDEX(EmployeeData[Exit Date], ROW() - 37)),"")</f>
        <v/>
      </c>
      <c r="I1452" s="4" t="str" cm="1">
        <f t="array" ref="I1452">IFERROR(IF(INDEX(EmployeeData[Exit Reason], ROW() - 37)=0, "",INDEX(EmployeeData[Exit Reason], ROW() - 37)),"")</f>
        <v/>
      </c>
      <c r="J1452" s="4" t="str" cm="1">
        <f t="array" ref="J1452">IFERROR(INDEX(EmployeeData[Status], ROW() - 37), "")</f>
        <v/>
      </c>
    </row>
    <row r="1453" spans="2:10" ht="19.95" customHeight="1" x14ac:dyDescent="0.3">
      <c r="B1453" s="4" t="str" cm="1">
        <f t="array" ref="B1453">IFERROR(INDEX(EmployeeData[Employee ID], ROW() - 37), "")</f>
        <v/>
      </c>
      <c r="C1453" s="4" t="str" cm="1">
        <f t="array" ref="C1453">IFERROR(INDEX(EmployeeData[Full Name], ROW() - 37), "")</f>
        <v/>
      </c>
      <c r="D1453" s="4" t="str" cm="1">
        <f t="array" ref="D1453">IFERROR(INDEX(EmployeeData[Department], ROW() - 37), "")</f>
        <v/>
      </c>
      <c r="E1453" s="4" t="str" cm="1">
        <f t="array" ref="E1453">IFERROR(INDEX(EmployeeData[Gender], ROW() - 37), "")</f>
        <v/>
      </c>
      <c r="F1453" s="4" t="str" cm="1">
        <f t="array" ref="F1453">IFERROR(INDEX(EmployeeData[Age], ROW() - 37), "")</f>
        <v/>
      </c>
      <c r="G1453" s="6" t="str" cm="1">
        <f t="array" ref="G1453">IFERROR(INDEX(EmployeeData[Join Date], ROW() - 37), "")</f>
        <v/>
      </c>
      <c r="H1453" s="6" t="str" cm="1">
        <f t="array" ref="H1453">IFERROR(IF(INDEX(EmployeeData[Exit Date], ROW() - 37)=0, "",INDEX(EmployeeData[Exit Date], ROW() - 37)),"")</f>
        <v/>
      </c>
      <c r="I1453" s="4" t="str" cm="1">
        <f t="array" ref="I1453">IFERROR(IF(INDEX(EmployeeData[Exit Reason], ROW() - 37)=0, "",INDEX(EmployeeData[Exit Reason], ROW() - 37)),"")</f>
        <v/>
      </c>
      <c r="J1453" s="4" t="str" cm="1">
        <f t="array" ref="J1453">IFERROR(INDEX(EmployeeData[Status], ROW() - 37), "")</f>
        <v/>
      </c>
    </row>
    <row r="1454" spans="2:10" ht="19.95" customHeight="1" x14ac:dyDescent="0.3">
      <c r="B1454" s="4" t="str" cm="1">
        <f t="array" ref="B1454">IFERROR(INDEX(EmployeeData[Employee ID], ROW() - 37), "")</f>
        <v/>
      </c>
      <c r="C1454" s="4" t="str" cm="1">
        <f t="array" ref="C1454">IFERROR(INDEX(EmployeeData[Full Name], ROW() - 37), "")</f>
        <v/>
      </c>
      <c r="D1454" s="4" t="str" cm="1">
        <f t="array" ref="D1454">IFERROR(INDEX(EmployeeData[Department], ROW() - 37), "")</f>
        <v/>
      </c>
      <c r="E1454" s="4" t="str" cm="1">
        <f t="array" ref="E1454">IFERROR(INDEX(EmployeeData[Gender], ROW() - 37), "")</f>
        <v/>
      </c>
      <c r="F1454" s="4" t="str" cm="1">
        <f t="array" ref="F1454">IFERROR(INDEX(EmployeeData[Age], ROW() - 37), "")</f>
        <v/>
      </c>
      <c r="G1454" s="6" t="str" cm="1">
        <f t="array" ref="G1454">IFERROR(INDEX(EmployeeData[Join Date], ROW() - 37), "")</f>
        <v/>
      </c>
      <c r="H1454" s="6" t="str" cm="1">
        <f t="array" ref="H1454">IFERROR(IF(INDEX(EmployeeData[Exit Date], ROW() - 37)=0, "",INDEX(EmployeeData[Exit Date], ROW() - 37)),"")</f>
        <v/>
      </c>
      <c r="I1454" s="4" t="str" cm="1">
        <f t="array" ref="I1454">IFERROR(IF(INDEX(EmployeeData[Exit Reason], ROW() - 37)=0, "",INDEX(EmployeeData[Exit Reason], ROW() - 37)),"")</f>
        <v/>
      </c>
      <c r="J1454" s="4" t="str" cm="1">
        <f t="array" ref="J1454">IFERROR(INDEX(EmployeeData[Status], ROW() - 37), "")</f>
        <v/>
      </c>
    </row>
    <row r="1455" spans="2:10" ht="19.95" customHeight="1" x14ac:dyDescent="0.3">
      <c r="B1455" s="4" t="str" cm="1">
        <f t="array" ref="B1455">IFERROR(INDEX(EmployeeData[Employee ID], ROW() - 37), "")</f>
        <v/>
      </c>
      <c r="C1455" s="4" t="str" cm="1">
        <f t="array" ref="C1455">IFERROR(INDEX(EmployeeData[Full Name], ROW() - 37), "")</f>
        <v/>
      </c>
      <c r="D1455" s="4" t="str" cm="1">
        <f t="array" ref="D1455">IFERROR(INDEX(EmployeeData[Department], ROW() - 37), "")</f>
        <v/>
      </c>
      <c r="E1455" s="4" t="str" cm="1">
        <f t="array" ref="E1455">IFERROR(INDEX(EmployeeData[Gender], ROW() - 37), "")</f>
        <v/>
      </c>
      <c r="F1455" s="4" t="str" cm="1">
        <f t="array" ref="F1455">IFERROR(INDEX(EmployeeData[Age], ROW() - 37), "")</f>
        <v/>
      </c>
      <c r="G1455" s="6" t="str" cm="1">
        <f t="array" ref="G1455">IFERROR(INDEX(EmployeeData[Join Date], ROW() - 37), "")</f>
        <v/>
      </c>
      <c r="H1455" s="6" t="str" cm="1">
        <f t="array" ref="H1455">IFERROR(IF(INDEX(EmployeeData[Exit Date], ROW() - 37)=0, "",INDEX(EmployeeData[Exit Date], ROW() - 37)),"")</f>
        <v/>
      </c>
      <c r="I1455" s="4" t="str" cm="1">
        <f t="array" ref="I1455">IFERROR(IF(INDEX(EmployeeData[Exit Reason], ROW() - 37)=0, "",INDEX(EmployeeData[Exit Reason], ROW() - 37)),"")</f>
        <v/>
      </c>
      <c r="J1455" s="4" t="str" cm="1">
        <f t="array" ref="J1455">IFERROR(INDEX(EmployeeData[Status], ROW() - 37), "")</f>
        <v/>
      </c>
    </row>
    <row r="1456" spans="2:10" ht="19.95" customHeight="1" x14ac:dyDescent="0.3">
      <c r="B1456" s="4" t="str" cm="1">
        <f t="array" ref="B1456">IFERROR(INDEX(EmployeeData[Employee ID], ROW() - 37), "")</f>
        <v/>
      </c>
      <c r="C1456" s="4" t="str" cm="1">
        <f t="array" ref="C1456">IFERROR(INDEX(EmployeeData[Full Name], ROW() - 37), "")</f>
        <v/>
      </c>
      <c r="D1456" s="4" t="str" cm="1">
        <f t="array" ref="D1456">IFERROR(INDEX(EmployeeData[Department], ROW() - 37), "")</f>
        <v/>
      </c>
      <c r="E1456" s="4" t="str" cm="1">
        <f t="array" ref="E1456">IFERROR(INDEX(EmployeeData[Gender], ROW() - 37), "")</f>
        <v/>
      </c>
      <c r="F1456" s="4" t="str" cm="1">
        <f t="array" ref="F1456">IFERROR(INDEX(EmployeeData[Age], ROW() - 37), "")</f>
        <v/>
      </c>
      <c r="G1456" s="6" t="str" cm="1">
        <f t="array" ref="G1456">IFERROR(INDEX(EmployeeData[Join Date], ROW() - 37), "")</f>
        <v/>
      </c>
      <c r="H1456" s="6" t="str" cm="1">
        <f t="array" ref="H1456">IFERROR(IF(INDEX(EmployeeData[Exit Date], ROW() - 37)=0, "",INDEX(EmployeeData[Exit Date], ROW() - 37)),"")</f>
        <v/>
      </c>
      <c r="I1456" s="4" t="str" cm="1">
        <f t="array" ref="I1456">IFERROR(IF(INDEX(EmployeeData[Exit Reason], ROW() - 37)=0, "",INDEX(EmployeeData[Exit Reason], ROW() - 37)),"")</f>
        <v/>
      </c>
      <c r="J1456" s="4" t="str" cm="1">
        <f t="array" ref="J1456">IFERROR(INDEX(EmployeeData[Status], ROW() - 37), "")</f>
        <v/>
      </c>
    </row>
    <row r="1457" spans="2:10" ht="19.95" customHeight="1" x14ac:dyDescent="0.3">
      <c r="B1457" s="4" t="str" cm="1">
        <f t="array" ref="B1457">IFERROR(INDEX(EmployeeData[Employee ID], ROW() - 37), "")</f>
        <v/>
      </c>
      <c r="C1457" s="4" t="str" cm="1">
        <f t="array" ref="C1457">IFERROR(INDEX(EmployeeData[Full Name], ROW() - 37), "")</f>
        <v/>
      </c>
      <c r="D1457" s="4" t="str" cm="1">
        <f t="array" ref="D1457">IFERROR(INDEX(EmployeeData[Department], ROW() - 37), "")</f>
        <v/>
      </c>
      <c r="E1457" s="4" t="str" cm="1">
        <f t="array" ref="E1457">IFERROR(INDEX(EmployeeData[Gender], ROW() - 37), "")</f>
        <v/>
      </c>
      <c r="F1457" s="4" t="str" cm="1">
        <f t="array" ref="F1457">IFERROR(INDEX(EmployeeData[Age], ROW() - 37), "")</f>
        <v/>
      </c>
      <c r="G1457" s="6" t="str" cm="1">
        <f t="array" ref="G1457">IFERROR(INDEX(EmployeeData[Join Date], ROW() - 37), "")</f>
        <v/>
      </c>
      <c r="H1457" s="6" t="str" cm="1">
        <f t="array" ref="H1457">IFERROR(IF(INDEX(EmployeeData[Exit Date], ROW() - 37)=0, "",INDEX(EmployeeData[Exit Date], ROW() - 37)),"")</f>
        <v/>
      </c>
      <c r="I1457" s="4" t="str" cm="1">
        <f t="array" ref="I1457">IFERROR(IF(INDEX(EmployeeData[Exit Reason], ROW() - 37)=0, "",INDEX(EmployeeData[Exit Reason], ROW() - 37)),"")</f>
        <v/>
      </c>
      <c r="J1457" s="4" t="str" cm="1">
        <f t="array" ref="J1457">IFERROR(INDEX(EmployeeData[Status], ROW() - 37), "")</f>
        <v/>
      </c>
    </row>
    <row r="1458" spans="2:10" ht="19.95" customHeight="1" x14ac:dyDescent="0.3">
      <c r="B1458" s="4" t="str" cm="1">
        <f t="array" ref="B1458">IFERROR(INDEX(EmployeeData[Employee ID], ROW() - 37), "")</f>
        <v/>
      </c>
      <c r="C1458" s="4" t="str" cm="1">
        <f t="array" ref="C1458">IFERROR(INDEX(EmployeeData[Full Name], ROW() - 37), "")</f>
        <v/>
      </c>
      <c r="D1458" s="4" t="str" cm="1">
        <f t="array" ref="D1458">IFERROR(INDEX(EmployeeData[Department], ROW() - 37), "")</f>
        <v/>
      </c>
      <c r="E1458" s="4" t="str" cm="1">
        <f t="array" ref="E1458">IFERROR(INDEX(EmployeeData[Gender], ROW() - 37), "")</f>
        <v/>
      </c>
      <c r="F1458" s="4" t="str" cm="1">
        <f t="array" ref="F1458">IFERROR(INDEX(EmployeeData[Age], ROW() - 37), "")</f>
        <v/>
      </c>
      <c r="G1458" s="6" t="str" cm="1">
        <f t="array" ref="G1458">IFERROR(INDEX(EmployeeData[Join Date], ROW() - 37), "")</f>
        <v/>
      </c>
      <c r="H1458" s="6" t="str" cm="1">
        <f t="array" ref="H1458">IFERROR(IF(INDEX(EmployeeData[Exit Date], ROW() - 37)=0, "",INDEX(EmployeeData[Exit Date], ROW() - 37)),"")</f>
        <v/>
      </c>
      <c r="I1458" s="4" t="str" cm="1">
        <f t="array" ref="I1458">IFERROR(IF(INDEX(EmployeeData[Exit Reason], ROW() - 37)=0, "",INDEX(EmployeeData[Exit Reason], ROW() - 37)),"")</f>
        <v/>
      </c>
      <c r="J1458" s="4" t="str" cm="1">
        <f t="array" ref="J1458">IFERROR(INDEX(EmployeeData[Status], ROW() - 37), "")</f>
        <v/>
      </c>
    </row>
    <row r="1459" spans="2:10" ht="19.95" customHeight="1" x14ac:dyDescent="0.3">
      <c r="B1459" s="4" t="str" cm="1">
        <f t="array" ref="B1459">IFERROR(INDEX(EmployeeData[Employee ID], ROW() - 37), "")</f>
        <v/>
      </c>
      <c r="C1459" s="4" t="str" cm="1">
        <f t="array" ref="C1459">IFERROR(INDEX(EmployeeData[Full Name], ROW() - 37), "")</f>
        <v/>
      </c>
      <c r="D1459" s="4" t="str" cm="1">
        <f t="array" ref="D1459">IFERROR(INDEX(EmployeeData[Department], ROW() - 37), "")</f>
        <v/>
      </c>
      <c r="E1459" s="4" t="str" cm="1">
        <f t="array" ref="E1459">IFERROR(INDEX(EmployeeData[Gender], ROW() - 37), "")</f>
        <v/>
      </c>
      <c r="F1459" s="4" t="str" cm="1">
        <f t="array" ref="F1459">IFERROR(INDEX(EmployeeData[Age], ROW() - 37), "")</f>
        <v/>
      </c>
      <c r="G1459" s="6" t="str" cm="1">
        <f t="array" ref="G1459">IFERROR(INDEX(EmployeeData[Join Date], ROW() - 37), "")</f>
        <v/>
      </c>
      <c r="H1459" s="6" t="str" cm="1">
        <f t="array" ref="H1459">IFERROR(IF(INDEX(EmployeeData[Exit Date], ROW() - 37)=0, "",INDEX(EmployeeData[Exit Date], ROW() - 37)),"")</f>
        <v/>
      </c>
      <c r="I1459" s="4" t="str" cm="1">
        <f t="array" ref="I1459">IFERROR(IF(INDEX(EmployeeData[Exit Reason], ROW() - 37)=0, "",INDEX(EmployeeData[Exit Reason], ROW() - 37)),"")</f>
        <v/>
      </c>
      <c r="J1459" s="4" t="str" cm="1">
        <f t="array" ref="J1459">IFERROR(INDEX(EmployeeData[Status], ROW() - 37), "")</f>
        <v/>
      </c>
    </row>
    <row r="1460" spans="2:10" ht="19.95" customHeight="1" x14ac:dyDescent="0.3">
      <c r="B1460" s="4" t="str" cm="1">
        <f t="array" ref="B1460">IFERROR(INDEX(EmployeeData[Employee ID], ROW() - 37), "")</f>
        <v/>
      </c>
      <c r="C1460" s="4" t="str" cm="1">
        <f t="array" ref="C1460">IFERROR(INDEX(EmployeeData[Full Name], ROW() - 37), "")</f>
        <v/>
      </c>
      <c r="D1460" s="4" t="str" cm="1">
        <f t="array" ref="D1460">IFERROR(INDEX(EmployeeData[Department], ROW() - 37), "")</f>
        <v/>
      </c>
      <c r="E1460" s="4" t="str" cm="1">
        <f t="array" ref="E1460">IFERROR(INDEX(EmployeeData[Gender], ROW() - 37), "")</f>
        <v/>
      </c>
      <c r="F1460" s="4" t="str" cm="1">
        <f t="array" ref="F1460">IFERROR(INDEX(EmployeeData[Age], ROW() - 37), "")</f>
        <v/>
      </c>
      <c r="G1460" s="6" t="str" cm="1">
        <f t="array" ref="G1460">IFERROR(INDEX(EmployeeData[Join Date], ROW() - 37), "")</f>
        <v/>
      </c>
      <c r="H1460" s="6" t="str" cm="1">
        <f t="array" ref="H1460">IFERROR(IF(INDEX(EmployeeData[Exit Date], ROW() - 37)=0, "",INDEX(EmployeeData[Exit Date], ROW() - 37)),"")</f>
        <v/>
      </c>
      <c r="I1460" s="4" t="str" cm="1">
        <f t="array" ref="I1460">IFERROR(IF(INDEX(EmployeeData[Exit Reason], ROW() - 37)=0, "",INDEX(EmployeeData[Exit Reason], ROW() - 37)),"")</f>
        <v/>
      </c>
      <c r="J1460" s="4" t="str" cm="1">
        <f t="array" ref="J1460">IFERROR(INDEX(EmployeeData[Status], ROW() - 37), "")</f>
        <v/>
      </c>
    </row>
    <row r="1461" spans="2:10" ht="19.95" customHeight="1" x14ac:dyDescent="0.3">
      <c r="B1461" s="4" t="str" cm="1">
        <f t="array" ref="B1461">IFERROR(INDEX(EmployeeData[Employee ID], ROW() - 37), "")</f>
        <v/>
      </c>
      <c r="C1461" s="4" t="str" cm="1">
        <f t="array" ref="C1461">IFERROR(INDEX(EmployeeData[Full Name], ROW() - 37), "")</f>
        <v/>
      </c>
      <c r="D1461" s="4" t="str" cm="1">
        <f t="array" ref="D1461">IFERROR(INDEX(EmployeeData[Department], ROW() - 37), "")</f>
        <v/>
      </c>
      <c r="E1461" s="4" t="str" cm="1">
        <f t="array" ref="E1461">IFERROR(INDEX(EmployeeData[Gender], ROW() - 37), "")</f>
        <v/>
      </c>
      <c r="F1461" s="4" t="str" cm="1">
        <f t="array" ref="F1461">IFERROR(INDEX(EmployeeData[Age], ROW() - 37), "")</f>
        <v/>
      </c>
      <c r="G1461" s="6" t="str" cm="1">
        <f t="array" ref="G1461">IFERROR(INDEX(EmployeeData[Join Date], ROW() - 37), "")</f>
        <v/>
      </c>
      <c r="H1461" s="6" t="str" cm="1">
        <f t="array" ref="H1461">IFERROR(IF(INDEX(EmployeeData[Exit Date], ROW() - 37)=0, "",INDEX(EmployeeData[Exit Date], ROW() - 37)),"")</f>
        <v/>
      </c>
      <c r="I1461" s="4" t="str" cm="1">
        <f t="array" ref="I1461">IFERROR(IF(INDEX(EmployeeData[Exit Reason], ROW() - 37)=0, "",INDEX(EmployeeData[Exit Reason], ROW() - 37)),"")</f>
        <v/>
      </c>
      <c r="J1461" s="4" t="str" cm="1">
        <f t="array" ref="J1461">IFERROR(INDEX(EmployeeData[Status], ROW() - 37), "")</f>
        <v/>
      </c>
    </row>
    <row r="1462" spans="2:10" ht="19.95" customHeight="1" x14ac:dyDescent="0.3">
      <c r="B1462" s="4" t="str" cm="1">
        <f t="array" ref="B1462">IFERROR(INDEX(EmployeeData[Employee ID], ROW() - 37), "")</f>
        <v/>
      </c>
      <c r="C1462" s="4" t="str" cm="1">
        <f t="array" ref="C1462">IFERROR(INDEX(EmployeeData[Full Name], ROW() - 37), "")</f>
        <v/>
      </c>
      <c r="D1462" s="4" t="str" cm="1">
        <f t="array" ref="D1462">IFERROR(INDEX(EmployeeData[Department], ROW() - 37), "")</f>
        <v/>
      </c>
      <c r="E1462" s="4" t="str" cm="1">
        <f t="array" ref="E1462">IFERROR(INDEX(EmployeeData[Gender], ROW() - 37), "")</f>
        <v/>
      </c>
      <c r="F1462" s="4" t="str" cm="1">
        <f t="array" ref="F1462">IFERROR(INDEX(EmployeeData[Age], ROW() - 37), "")</f>
        <v/>
      </c>
      <c r="G1462" s="6" t="str" cm="1">
        <f t="array" ref="G1462">IFERROR(INDEX(EmployeeData[Join Date], ROW() - 37), "")</f>
        <v/>
      </c>
      <c r="H1462" s="6" t="str" cm="1">
        <f t="array" ref="H1462">IFERROR(IF(INDEX(EmployeeData[Exit Date], ROW() - 37)=0, "",INDEX(EmployeeData[Exit Date], ROW() - 37)),"")</f>
        <v/>
      </c>
      <c r="I1462" s="4" t="str" cm="1">
        <f t="array" ref="I1462">IFERROR(IF(INDEX(EmployeeData[Exit Reason], ROW() - 37)=0, "",INDEX(EmployeeData[Exit Reason], ROW() - 37)),"")</f>
        <v/>
      </c>
      <c r="J1462" s="4" t="str" cm="1">
        <f t="array" ref="J1462">IFERROR(INDEX(EmployeeData[Status], ROW() - 37), "")</f>
        <v/>
      </c>
    </row>
    <row r="1463" spans="2:10" ht="19.95" customHeight="1" x14ac:dyDescent="0.3">
      <c r="B1463" s="4" t="str" cm="1">
        <f t="array" ref="B1463">IFERROR(INDEX(EmployeeData[Employee ID], ROW() - 37), "")</f>
        <v/>
      </c>
      <c r="C1463" s="4" t="str" cm="1">
        <f t="array" ref="C1463">IFERROR(INDEX(EmployeeData[Full Name], ROW() - 37), "")</f>
        <v/>
      </c>
      <c r="D1463" s="4" t="str" cm="1">
        <f t="array" ref="D1463">IFERROR(INDEX(EmployeeData[Department], ROW() - 37), "")</f>
        <v/>
      </c>
      <c r="E1463" s="4" t="str" cm="1">
        <f t="array" ref="E1463">IFERROR(INDEX(EmployeeData[Gender], ROW() - 37), "")</f>
        <v/>
      </c>
      <c r="F1463" s="4" t="str" cm="1">
        <f t="array" ref="F1463">IFERROR(INDEX(EmployeeData[Age], ROW() - 37), "")</f>
        <v/>
      </c>
      <c r="G1463" s="6" t="str" cm="1">
        <f t="array" ref="G1463">IFERROR(INDEX(EmployeeData[Join Date], ROW() - 37), "")</f>
        <v/>
      </c>
      <c r="H1463" s="6" t="str" cm="1">
        <f t="array" ref="H1463">IFERROR(IF(INDEX(EmployeeData[Exit Date], ROW() - 37)=0, "",INDEX(EmployeeData[Exit Date], ROW() - 37)),"")</f>
        <v/>
      </c>
      <c r="I1463" s="4" t="str" cm="1">
        <f t="array" ref="I1463">IFERROR(IF(INDEX(EmployeeData[Exit Reason], ROW() - 37)=0, "",INDEX(EmployeeData[Exit Reason], ROW() - 37)),"")</f>
        <v/>
      </c>
      <c r="J1463" s="4" t="str" cm="1">
        <f t="array" ref="J1463">IFERROR(INDEX(EmployeeData[Status], ROW() - 37), "")</f>
        <v/>
      </c>
    </row>
    <row r="1464" spans="2:10" ht="19.95" customHeight="1" x14ac:dyDescent="0.3">
      <c r="B1464" s="4" t="str" cm="1">
        <f t="array" ref="B1464">IFERROR(INDEX(EmployeeData[Employee ID], ROW() - 37), "")</f>
        <v/>
      </c>
      <c r="C1464" s="4" t="str" cm="1">
        <f t="array" ref="C1464">IFERROR(INDEX(EmployeeData[Full Name], ROW() - 37), "")</f>
        <v/>
      </c>
      <c r="D1464" s="4" t="str" cm="1">
        <f t="array" ref="D1464">IFERROR(INDEX(EmployeeData[Department], ROW() - 37), "")</f>
        <v/>
      </c>
      <c r="E1464" s="4" t="str" cm="1">
        <f t="array" ref="E1464">IFERROR(INDEX(EmployeeData[Gender], ROW() - 37), "")</f>
        <v/>
      </c>
      <c r="F1464" s="4" t="str" cm="1">
        <f t="array" ref="F1464">IFERROR(INDEX(EmployeeData[Age], ROW() - 37), "")</f>
        <v/>
      </c>
      <c r="G1464" s="6" t="str" cm="1">
        <f t="array" ref="G1464">IFERROR(INDEX(EmployeeData[Join Date], ROW() - 37), "")</f>
        <v/>
      </c>
      <c r="H1464" s="6" t="str" cm="1">
        <f t="array" ref="H1464">IFERROR(IF(INDEX(EmployeeData[Exit Date], ROW() - 37)=0, "",INDEX(EmployeeData[Exit Date], ROW() - 37)),"")</f>
        <v/>
      </c>
      <c r="I1464" s="4" t="str" cm="1">
        <f t="array" ref="I1464">IFERROR(IF(INDEX(EmployeeData[Exit Reason], ROW() - 37)=0, "",INDEX(EmployeeData[Exit Reason], ROW() - 37)),"")</f>
        <v/>
      </c>
      <c r="J1464" s="4" t="str" cm="1">
        <f t="array" ref="J1464">IFERROR(INDEX(EmployeeData[Status], ROW() - 37), "")</f>
        <v/>
      </c>
    </row>
    <row r="1465" spans="2:10" ht="19.95" customHeight="1" x14ac:dyDescent="0.3">
      <c r="B1465" s="4" t="str" cm="1">
        <f t="array" ref="B1465">IFERROR(INDEX(EmployeeData[Employee ID], ROW() - 37), "")</f>
        <v/>
      </c>
      <c r="C1465" s="4" t="str" cm="1">
        <f t="array" ref="C1465">IFERROR(INDEX(EmployeeData[Full Name], ROW() - 37), "")</f>
        <v/>
      </c>
      <c r="D1465" s="4" t="str" cm="1">
        <f t="array" ref="D1465">IFERROR(INDEX(EmployeeData[Department], ROW() - 37), "")</f>
        <v/>
      </c>
      <c r="E1465" s="4" t="str" cm="1">
        <f t="array" ref="E1465">IFERROR(INDEX(EmployeeData[Gender], ROW() - 37), "")</f>
        <v/>
      </c>
      <c r="F1465" s="4" t="str" cm="1">
        <f t="array" ref="F1465">IFERROR(INDEX(EmployeeData[Age], ROW() - 37), "")</f>
        <v/>
      </c>
      <c r="G1465" s="6" t="str" cm="1">
        <f t="array" ref="G1465">IFERROR(INDEX(EmployeeData[Join Date], ROW() - 37), "")</f>
        <v/>
      </c>
      <c r="H1465" s="6" t="str" cm="1">
        <f t="array" ref="H1465">IFERROR(IF(INDEX(EmployeeData[Exit Date], ROW() - 37)=0, "",INDEX(EmployeeData[Exit Date], ROW() - 37)),"")</f>
        <v/>
      </c>
      <c r="I1465" s="4" t="str" cm="1">
        <f t="array" ref="I1465">IFERROR(IF(INDEX(EmployeeData[Exit Reason], ROW() - 37)=0, "",INDEX(EmployeeData[Exit Reason], ROW() - 37)),"")</f>
        <v/>
      </c>
      <c r="J1465" s="4" t="str" cm="1">
        <f t="array" ref="J1465">IFERROR(INDEX(EmployeeData[Status], ROW() - 37), "")</f>
        <v/>
      </c>
    </row>
    <row r="1466" spans="2:10" ht="19.95" customHeight="1" x14ac:dyDescent="0.3">
      <c r="B1466" s="4" t="str" cm="1">
        <f t="array" ref="B1466">IFERROR(INDEX(EmployeeData[Employee ID], ROW() - 37), "")</f>
        <v/>
      </c>
      <c r="C1466" s="4" t="str" cm="1">
        <f t="array" ref="C1466">IFERROR(INDEX(EmployeeData[Full Name], ROW() - 37), "")</f>
        <v/>
      </c>
      <c r="D1466" s="4" t="str" cm="1">
        <f t="array" ref="D1466">IFERROR(INDEX(EmployeeData[Department], ROW() - 37), "")</f>
        <v/>
      </c>
      <c r="E1466" s="4" t="str" cm="1">
        <f t="array" ref="E1466">IFERROR(INDEX(EmployeeData[Gender], ROW() - 37), "")</f>
        <v/>
      </c>
      <c r="F1466" s="4" t="str" cm="1">
        <f t="array" ref="F1466">IFERROR(INDEX(EmployeeData[Age], ROW() - 37), "")</f>
        <v/>
      </c>
      <c r="G1466" s="6" t="str" cm="1">
        <f t="array" ref="G1466">IFERROR(INDEX(EmployeeData[Join Date], ROW() - 37), "")</f>
        <v/>
      </c>
      <c r="H1466" s="6" t="str" cm="1">
        <f t="array" ref="H1466">IFERROR(IF(INDEX(EmployeeData[Exit Date], ROW() - 37)=0, "",INDEX(EmployeeData[Exit Date], ROW() - 37)),"")</f>
        <v/>
      </c>
      <c r="I1466" s="4" t="str" cm="1">
        <f t="array" ref="I1466">IFERROR(IF(INDEX(EmployeeData[Exit Reason], ROW() - 37)=0, "",INDEX(EmployeeData[Exit Reason], ROW() - 37)),"")</f>
        <v/>
      </c>
      <c r="J1466" s="4" t="str" cm="1">
        <f t="array" ref="J1466">IFERROR(INDEX(EmployeeData[Status], ROW() - 37), "")</f>
        <v/>
      </c>
    </row>
    <row r="1467" spans="2:10" ht="19.95" customHeight="1" x14ac:dyDescent="0.3">
      <c r="B1467" s="4" t="str" cm="1">
        <f t="array" ref="B1467">IFERROR(INDEX(EmployeeData[Employee ID], ROW() - 37), "")</f>
        <v/>
      </c>
      <c r="C1467" s="4" t="str" cm="1">
        <f t="array" ref="C1467">IFERROR(INDEX(EmployeeData[Full Name], ROW() - 37), "")</f>
        <v/>
      </c>
      <c r="D1467" s="4" t="str" cm="1">
        <f t="array" ref="D1467">IFERROR(INDEX(EmployeeData[Department], ROW() - 37), "")</f>
        <v/>
      </c>
      <c r="E1467" s="4" t="str" cm="1">
        <f t="array" ref="E1467">IFERROR(INDEX(EmployeeData[Gender], ROW() - 37), "")</f>
        <v/>
      </c>
      <c r="F1467" s="4" t="str" cm="1">
        <f t="array" ref="F1467">IFERROR(INDEX(EmployeeData[Age], ROW() - 37), "")</f>
        <v/>
      </c>
      <c r="G1467" s="6" t="str" cm="1">
        <f t="array" ref="G1467">IFERROR(INDEX(EmployeeData[Join Date], ROW() - 37), "")</f>
        <v/>
      </c>
      <c r="H1467" s="6" t="str" cm="1">
        <f t="array" ref="H1467">IFERROR(IF(INDEX(EmployeeData[Exit Date], ROW() - 37)=0, "",INDEX(EmployeeData[Exit Date], ROW() - 37)),"")</f>
        <v/>
      </c>
      <c r="I1467" s="4" t="str" cm="1">
        <f t="array" ref="I1467">IFERROR(IF(INDEX(EmployeeData[Exit Reason], ROW() - 37)=0, "",INDEX(EmployeeData[Exit Reason], ROW() - 37)),"")</f>
        <v/>
      </c>
      <c r="J1467" s="4" t="str" cm="1">
        <f t="array" ref="J1467">IFERROR(INDEX(EmployeeData[Status], ROW() - 37), "")</f>
        <v/>
      </c>
    </row>
    <row r="1468" spans="2:10" ht="19.95" customHeight="1" x14ac:dyDescent="0.3">
      <c r="B1468" s="4" t="str" cm="1">
        <f t="array" ref="B1468">IFERROR(INDEX(EmployeeData[Employee ID], ROW() - 37), "")</f>
        <v/>
      </c>
      <c r="C1468" s="4" t="str" cm="1">
        <f t="array" ref="C1468">IFERROR(INDEX(EmployeeData[Full Name], ROW() - 37), "")</f>
        <v/>
      </c>
      <c r="D1468" s="4" t="str" cm="1">
        <f t="array" ref="D1468">IFERROR(INDEX(EmployeeData[Department], ROW() - 37), "")</f>
        <v/>
      </c>
      <c r="E1468" s="4" t="str" cm="1">
        <f t="array" ref="E1468">IFERROR(INDEX(EmployeeData[Gender], ROW() - 37), "")</f>
        <v/>
      </c>
      <c r="F1468" s="4" t="str" cm="1">
        <f t="array" ref="F1468">IFERROR(INDEX(EmployeeData[Age], ROW() - 37), "")</f>
        <v/>
      </c>
      <c r="G1468" s="6" t="str" cm="1">
        <f t="array" ref="G1468">IFERROR(INDEX(EmployeeData[Join Date], ROW() - 37), "")</f>
        <v/>
      </c>
      <c r="H1468" s="6" t="str" cm="1">
        <f t="array" ref="H1468">IFERROR(IF(INDEX(EmployeeData[Exit Date], ROW() - 37)=0, "",INDEX(EmployeeData[Exit Date], ROW() - 37)),"")</f>
        <v/>
      </c>
      <c r="I1468" s="4" t="str" cm="1">
        <f t="array" ref="I1468">IFERROR(IF(INDEX(EmployeeData[Exit Reason], ROW() - 37)=0, "",INDEX(EmployeeData[Exit Reason], ROW() - 37)),"")</f>
        <v/>
      </c>
      <c r="J1468" s="4" t="str" cm="1">
        <f t="array" ref="J1468">IFERROR(INDEX(EmployeeData[Status], ROW() - 37), "")</f>
        <v/>
      </c>
    </row>
    <row r="1469" spans="2:10" ht="19.95" customHeight="1" x14ac:dyDescent="0.3">
      <c r="B1469" s="4" t="str" cm="1">
        <f t="array" ref="B1469">IFERROR(INDEX(EmployeeData[Employee ID], ROW() - 37), "")</f>
        <v/>
      </c>
      <c r="C1469" s="4" t="str" cm="1">
        <f t="array" ref="C1469">IFERROR(INDEX(EmployeeData[Full Name], ROW() - 37), "")</f>
        <v/>
      </c>
      <c r="D1469" s="4" t="str" cm="1">
        <f t="array" ref="D1469">IFERROR(INDEX(EmployeeData[Department], ROW() - 37), "")</f>
        <v/>
      </c>
      <c r="E1469" s="4" t="str" cm="1">
        <f t="array" ref="E1469">IFERROR(INDEX(EmployeeData[Gender], ROW() - 37), "")</f>
        <v/>
      </c>
      <c r="F1469" s="4" t="str" cm="1">
        <f t="array" ref="F1469">IFERROR(INDEX(EmployeeData[Age], ROW() - 37), "")</f>
        <v/>
      </c>
      <c r="G1469" s="6" t="str" cm="1">
        <f t="array" ref="G1469">IFERROR(INDEX(EmployeeData[Join Date], ROW() - 37), "")</f>
        <v/>
      </c>
      <c r="H1469" s="6" t="str" cm="1">
        <f t="array" ref="H1469">IFERROR(IF(INDEX(EmployeeData[Exit Date], ROW() - 37)=0, "",INDEX(EmployeeData[Exit Date], ROW() - 37)),"")</f>
        <v/>
      </c>
      <c r="I1469" s="4" t="str" cm="1">
        <f t="array" ref="I1469">IFERROR(IF(INDEX(EmployeeData[Exit Reason], ROW() - 37)=0, "",INDEX(EmployeeData[Exit Reason], ROW() - 37)),"")</f>
        <v/>
      </c>
      <c r="J1469" s="4" t="str" cm="1">
        <f t="array" ref="J1469">IFERROR(INDEX(EmployeeData[Status], ROW() - 37), "")</f>
        <v/>
      </c>
    </row>
    <row r="1470" spans="2:10" ht="19.95" customHeight="1" x14ac:dyDescent="0.3">
      <c r="B1470" s="4" t="str" cm="1">
        <f t="array" ref="B1470">IFERROR(INDEX(EmployeeData[Employee ID], ROW() - 37), "")</f>
        <v/>
      </c>
      <c r="C1470" s="4" t="str" cm="1">
        <f t="array" ref="C1470">IFERROR(INDEX(EmployeeData[Full Name], ROW() - 37), "")</f>
        <v/>
      </c>
      <c r="D1470" s="4" t="str" cm="1">
        <f t="array" ref="D1470">IFERROR(INDEX(EmployeeData[Department], ROW() - 37), "")</f>
        <v/>
      </c>
      <c r="E1470" s="4" t="str" cm="1">
        <f t="array" ref="E1470">IFERROR(INDEX(EmployeeData[Gender], ROW() - 37), "")</f>
        <v/>
      </c>
      <c r="F1470" s="4" t="str" cm="1">
        <f t="array" ref="F1470">IFERROR(INDEX(EmployeeData[Age], ROW() - 37), "")</f>
        <v/>
      </c>
      <c r="G1470" s="6" t="str" cm="1">
        <f t="array" ref="G1470">IFERROR(INDEX(EmployeeData[Join Date], ROW() - 37), "")</f>
        <v/>
      </c>
      <c r="H1470" s="6" t="str" cm="1">
        <f t="array" ref="H1470">IFERROR(IF(INDEX(EmployeeData[Exit Date], ROW() - 37)=0, "",INDEX(EmployeeData[Exit Date], ROW() - 37)),"")</f>
        <v/>
      </c>
      <c r="I1470" s="4" t="str" cm="1">
        <f t="array" ref="I1470">IFERROR(IF(INDEX(EmployeeData[Exit Reason], ROW() - 37)=0, "",INDEX(EmployeeData[Exit Reason], ROW() - 37)),"")</f>
        <v/>
      </c>
      <c r="J1470" s="4" t="str" cm="1">
        <f t="array" ref="J1470">IFERROR(INDEX(EmployeeData[Status], ROW() - 37), "")</f>
        <v/>
      </c>
    </row>
    <row r="1471" spans="2:10" ht="19.95" customHeight="1" x14ac:dyDescent="0.3">
      <c r="B1471" s="4" t="str" cm="1">
        <f t="array" ref="B1471">IFERROR(INDEX(EmployeeData[Employee ID], ROW() - 37), "")</f>
        <v/>
      </c>
      <c r="C1471" s="4" t="str" cm="1">
        <f t="array" ref="C1471">IFERROR(INDEX(EmployeeData[Full Name], ROW() - 37), "")</f>
        <v/>
      </c>
      <c r="D1471" s="4" t="str" cm="1">
        <f t="array" ref="D1471">IFERROR(INDEX(EmployeeData[Department], ROW() - 37), "")</f>
        <v/>
      </c>
      <c r="E1471" s="4" t="str" cm="1">
        <f t="array" ref="E1471">IFERROR(INDEX(EmployeeData[Gender], ROW() - 37), "")</f>
        <v/>
      </c>
      <c r="F1471" s="4" t="str" cm="1">
        <f t="array" ref="F1471">IFERROR(INDEX(EmployeeData[Age], ROW() - 37), "")</f>
        <v/>
      </c>
      <c r="G1471" s="6" t="str" cm="1">
        <f t="array" ref="G1471">IFERROR(INDEX(EmployeeData[Join Date], ROW() - 37), "")</f>
        <v/>
      </c>
      <c r="H1471" s="6" t="str" cm="1">
        <f t="array" ref="H1471">IFERROR(IF(INDEX(EmployeeData[Exit Date], ROW() - 37)=0, "",INDEX(EmployeeData[Exit Date], ROW() - 37)),"")</f>
        <v/>
      </c>
      <c r="I1471" s="4" t="str" cm="1">
        <f t="array" ref="I1471">IFERROR(IF(INDEX(EmployeeData[Exit Reason], ROW() - 37)=0, "",INDEX(EmployeeData[Exit Reason], ROW() - 37)),"")</f>
        <v/>
      </c>
      <c r="J1471" s="4" t="str" cm="1">
        <f t="array" ref="J1471">IFERROR(INDEX(EmployeeData[Status], ROW() - 37), "")</f>
        <v/>
      </c>
    </row>
    <row r="1472" spans="2:10" ht="19.95" customHeight="1" x14ac:dyDescent="0.3">
      <c r="B1472" s="4" t="str" cm="1">
        <f t="array" ref="B1472">IFERROR(INDEX(EmployeeData[Employee ID], ROW() - 37), "")</f>
        <v/>
      </c>
      <c r="C1472" s="4" t="str" cm="1">
        <f t="array" ref="C1472">IFERROR(INDEX(EmployeeData[Full Name], ROW() - 37), "")</f>
        <v/>
      </c>
      <c r="D1472" s="4" t="str" cm="1">
        <f t="array" ref="D1472">IFERROR(INDEX(EmployeeData[Department], ROW() - 37), "")</f>
        <v/>
      </c>
      <c r="E1472" s="4" t="str" cm="1">
        <f t="array" ref="E1472">IFERROR(INDEX(EmployeeData[Gender], ROW() - 37), "")</f>
        <v/>
      </c>
      <c r="F1472" s="4" t="str" cm="1">
        <f t="array" ref="F1472">IFERROR(INDEX(EmployeeData[Age], ROW() - 37), "")</f>
        <v/>
      </c>
      <c r="G1472" s="6" t="str" cm="1">
        <f t="array" ref="G1472">IFERROR(INDEX(EmployeeData[Join Date], ROW() - 37), "")</f>
        <v/>
      </c>
      <c r="H1472" s="6" t="str" cm="1">
        <f t="array" ref="H1472">IFERROR(IF(INDEX(EmployeeData[Exit Date], ROW() - 37)=0, "",INDEX(EmployeeData[Exit Date], ROW() - 37)),"")</f>
        <v/>
      </c>
      <c r="I1472" s="4" t="str" cm="1">
        <f t="array" ref="I1472">IFERROR(IF(INDEX(EmployeeData[Exit Reason], ROW() - 37)=0, "",INDEX(EmployeeData[Exit Reason], ROW() - 37)),"")</f>
        <v/>
      </c>
      <c r="J1472" s="4" t="str" cm="1">
        <f t="array" ref="J1472">IFERROR(INDEX(EmployeeData[Status], ROW() - 37), "")</f>
        <v/>
      </c>
    </row>
    <row r="1473" spans="2:10" ht="19.95" customHeight="1" x14ac:dyDescent="0.3">
      <c r="B1473" s="4" t="str" cm="1">
        <f t="array" ref="B1473">IFERROR(INDEX(EmployeeData[Employee ID], ROW() - 37), "")</f>
        <v/>
      </c>
      <c r="C1473" s="4" t="str" cm="1">
        <f t="array" ref="C1473">IFERROR(INDEX(EmployeeData[Full Name], ROW() - 37), "")</f>
        <v/>
      </c>
      <c r="D1473" s="4" t="str" cm="1">
        <f t="array" ref="D1473">IFERROR(INDEX(EmployeeData[Department], ROW() - 37), "")</f>
        <v/>
      </c>
      <c r="E1473" s="4" t="str" cm="1">
        <f t="array" ref="E1473">IFERROR(INDEX(EmployeeData[Gender], ROW() - 37), "")</f>
        <v/>
      </c>
      <c r="F1473" s="4" t="str" cm="1">
        <f t="array" ref="F1473">IFERROR(INDEX(EmployeeData[Age], ROW() - 37), "")</f>
        <v/>
      </c>
      <c r="G1473" s="6" t="str" cm="1">
        <f t="array" ref="G1473">IFERROR(INDEX(EmployeeData[Join Date], ROW() - 37), "")</f>
        <v/>
      </c>
      <c r="H1473" s="6" t="str" cm="1">
        <f t="array" ref="H1473">IFERROR(IF(INDEX(EmployeeData[Exit Date], ROW() - 37)=0, "",INDEX(EmployeeData[Exit Date], ROW() - 37)),"")</f>
        <v/>
      </c>
      <c r="I1473" s="4" t="str" cm="1">
        <f t="array" ref="I1473">IFERROR(IF(INDEX(EmployeeData[Exit Reason], ROW() - 37)=0, "",INDEX(EmployeeData[Exit Reason], ROW() - 37)),"")</f>
        <v/>
      </c>
      <c r="J1473" s="4" t="str" cm="1">
        <f t="array" ref="J1473">IFERROR(INDEX(EmployeeData[Status], ROW() - 37), "")</f>
        <v/>
      </c>
    </row>
    <row r="1474" spans="2:10" ht="19.95" customHeight="1" x14ac:dyDescent="0.3">
      <c r="B1474" s="4" t="str" cm="1">
        <f t="array" ref="B1474">IFERROR(INDEX(EmployeeData[Employee ID], ROW() - 37), "")</f>
        <v/>
      </c>
      <c r="C1474" s="4" t="str" cm="1">
        <f t="array" ref="C1474">IFERROR(INDEX(EmployeeData[Full Name], ROW() - 37), "")</f>
        <v/>
      </c>
      <c r="D1474" s="4" t="str" cm="1">
        <f t="array" ref="D1474">IFERROR(INDEX(EmployeeData[Department], ROW() - 37), "")</f>
        <v/>
      </c>
      <c r="E1474" s="4" t="str" cm="1">
        <f t="array" ref="E1474">IFERROR(INDEX(EmployeeData[Gender], ROW() - 37), "")</f>
        <v/>
      </c>
      <c r="F1474" s="4" t="str" cm="1">
        <f t="array" ref="F1474">IFERROR(INDEX(EmployeeData[Age], ROW() - 37), "")</f>
        <v/>
      </c>
      <c r="G1474" s="6" t="str" cm="1">
        <f t="array" ref="G1474">IFERROR(INDEX(EmployeeData[Join Date], ROW() - 37), "")</f>
        <v/>
      </c>
      <c r="H1474" s="6" t="str" cm="1">
        <f t="array" ref="H1474">IFERROR(IF(INDEX(EmployeeData[Exit Date], ROW() - 37)=0, "",INDEX(EmployeeData[Exit Date], ROW() - 37)),"")</f>
        <v/>
      </c>
      <c r="I1474" s="4" t="str" cm="1">
        <f t="array" ref="I1474">IFERROR(IF(INDEX(EmployeeData[Exit Reason], ROW() - 37)=0, "",INDEX(EmployeeData[Exit Reason], ROW() - 37)),"")</f>
        <v/>
      </c>
      <c r="J1474" s="4" t="str" cm="1">
        <f t="array" ref="J1474">IFERROR(INDEX(EmployeeData[Status], ROW() - 37), "")</f>
        <v/>
      </c>
    </row>
    <row r="1475" spans="2:10" ht="19.95" customHeight="1" x14ac:dyDescent="0.3">
      <c r="B1475" s="4" t="str" cm="1">
        <f t="array" ref="B1475">IFERROR(INDEX(EmployeeData[Employee ID], ROW() - 37), "")</f>
        <v/>
      </c>
      <c r="C1475" s="4" t="str" cm="1">
        <f t="array" ref="C1475">IFERROR(INDEX(EmployeeData[Full Name], ROW() - 37), "")</f>
        <v/>
      </c>
      <c r="D1475" s="4" t="str" cm="1">
        <f t="array" ref="D1475">IFERROR(INDEX(EmployeeData[Department], ROW() - 37), "")</f>
        <v/>
      </c>
      <c r="E1475" s="4" t="str" cm="1">
        <f t="array" ref="E1475">IFERROR(INDEX(EmployeeData[Gender], ROW() - 37), "")</f>
        <v/>
      </c>
      <c r="F1475" s="4" t="str" cm="1">
        <f t="array" ref="F1475">IFERROR(INDEX(EmployeeData[Age], ROW() - 37), "")</f>
        <v/>
      </c>
      <c r="G1475" s="6" t="str" cm="1">
        <f t="array" ref="G1475">IFERROR(INDEX(EmployeeData[Join Date], ROW() - 37), "")</f>
        <v/>
      </c>
      <c r="H1475" s="6" t="str" cm="1">
        <f t="array" ref="H1475">IFERROR(IF(INDEX(EmployeeData[Exit Date], ROW() - 37)=0, "",INDEX(EmployeeData[Exit Date], ROW() - 37)),"")</f>
        <v/>
      </c>
      <c r="I1475" s="4" t="str" cm="1">
        <f t="array" ref="I1475">IFERROR(IF(INDEX(EmployeeData[Exit Reason], ROW() - 37)=0, "",INDEX(EmployeeData[Exit Reason], ROW() - 37)),"")</f>
        <v/>
      </c>
      <c r="J1475" s="4" t="str" cm="1">
        <f t="array" ref="J1475">IFERROR(INDEX(EmployeeData[Status], ROW() - 37), "")</f>
        <v/>
      </c>
    </row>
    <row r="1476" spans="2:10" ht="19.95" customHeight="1" x14ac:dyDescent="0.3">
      <c r="B1476" s="4" t="str" cm="1">
        <f t="array" ref="B1476">IFERROR(INDEX(EmployeeData[Employee ID], ROW() - 37), "")</f>
        <v/>
      </c>
      <c r="C1476" s="4" t="str" cm="1">
        <f t="array" ref="C1476">IFERROR(INDEX(EmployeeData[Full Name], ROW() - 37), "")</f>
        <v/>
      </c>
      <c r="D1476" s="4" t="str" cm="1">
        <f t="array" ref="D1476">IFERROR(INDEX(EmployeeData[Department], ROW() - 37), "")</f>
        <v/>
      </c>
      <c r="E1476" s="4" t="str" cm="1">
        <f t="array" ref="E1476">IFERROR(INDEX(EmployeeData[Gender], ROW() - 37), "")</f>
        <v/>
      </c>
      <c r="F1476" s="4" t="str" cm="1">
        <f t="array" ref="F1476">IFERROR(INDEX(EmployeeData[Age], ROW() - 37), "")</f>
        <v/>
      </c>
      <c r="G1476" s="6" t="str" cm="1">
        <f t="array" ref="G1476">IFERROR(INDEX(EmployeeData[Join Date], ROW() - 37), "")</f>
        <v/>
      </c>
      <c r="H1476" s="6" t="str" cm="1">
        <f t="array" ref="H1476">IFERROR(IF(INDEX(EmployeeData[Exit Date], ROW() - 37)=0, "",INDEX(EmployeeData[Exit Date], ROW() - 37)),"")</f>
        <v/>
      </c>
      <c r="I1476" s="4" t="str" cm="1">
        <f t="array" ref="I1476">IFERROR(IF(INDEX(EmployeeData[Exit Reason], ROW() - 37)=0, "",INDEX(EmployeeData[Exit Reason], ROW() - 37)),"")</f>
        <v/>
      </c>
      <c r="J1476" s="4" t="str" cm="1">
        <f t="array" ref="J1476">IFERROR(INDEX(EmployeeData[Status], ROW() - 37), "")</f>
        <v/>
      </c>
    </row>
    <row r="1477" spans="2:10" ht="19.95" customHeight="1" x14ac:dyDescent="0.3">
      <c r="B1477" s="4" t="str" cm="1">
        <f t="array" ref="B1477">IFERROR(INDEX(EmployeeData[Employee ID], ROW() - 37), "")</f>
        <v/>
      </c>
      <c r="C1477" s="4" t="str" cm="1">
        <f t="array" ref="C1477">IFERROR(INDEX(EmployeeData[Full Name], ROW() - 37), "")</f>
        <v/>
      </c>
      <c r="D1477" s="4" t="str" cm="1">
        <f t="array" ref="D1477">IFERROR(INDEX(EmployeeData[Department], ROW() - 37), "")</f>
        <v/>
      </c>
      <c r="E1477" s="4" t="str" cm="1">
        <f t="array" ref="E1477">IFERROR(INDEX(EmployeeData[Gender], ROW() - 37), "")</f>
        <v/>
      </c>
      <c r="F1477" s="4" t="str" cm="1">
        <f t="array" ref="F1477">IFERROR(INDEX(EmployeeData[Age], ROW() - 37), "")</f>
        <v/>
      </c>
      <c r="G1477" s="6" t="str" cm="1">
        <f t="array" ref="G1477">IFERROR(INDEX(EmployeeData[Join Date], ROW() - 37), "")</f>
        <v/>
      </c>
      <c r="H1477" s="6" t="str" cm="1">
        <f t="array" ref="H1477">IFERROR(IF(INDEX(EmployeeData[Exit Date], ROW() - 37)=0, "",INDEX(EmployeeData[Exit Date], ROW() - 37)),"")</f>
        <v/>
      </c>
      <c r="I1477" s="4" t="str" cm="1">
        <f t="array" ref="I1477">IFERROR(IF(INDEX(EmployeeData[Exit Reason], ROW() - 37)=0, "",INDEX(EmployeeData[Exit Reason], ROW() - 37)),"")</f>
        <v/>
      </c>
      <c r="J1477" s="4" t="str" cm="1">
        <f t="array" ref="J1477">IFERROR(INDEX(EmployeeData[Status], ROW() - 37), "")</f>
        <v/>
      </c>
    </row>
    <row r="1478" spans="2:10" ht="19.95" customHeight="1" x14ac:dyDescent="0.3">
      <c r="B1478" s="4" t="str" cm="1">
        <f t="array" ref="B1478">IFERROR(INDEX(EmployeeData[Employee ID], ROW() - 37), "")</f>
        <v/>
      </c>
      <c r="C1478" s="4" t="str" cm="1">
        <f t="array" ref="C1478">IFERROR(INDEX(EmployeeData[Full Name], ROW() - 37), "")</f>
        <v/>
      </c>
      <c r="D1478" s="4" t="str" cm="1">
        <f t="array" ref="D1478">IFERROR(INDEX(EmployeeData[Department], ROW() - 37), "")</f>
        <v/>
      </c>
      <c r="E1478" s="4" t="str" cm="1">
        <f t="array" ref="E1478">IFERROR(INDEX(EmployeeData[Gender], ROW() - 37), "")</f>
        <v/>
      </c>
      <c r="F1478" s="4" t="str" cm="1">
        <f t="array" ref="F1478">IFERROR(INDEX(EmployeeData[Age], ROW() - 37), "")</f>
        <v/>
      </c>
      <c r="G1478" s="6" t="str" cm="1">
        <f t="array" ref="G1478">IFERROR(INDEX(EmployeeData[Join Date], ROW() - 37), "")</f>
        <v/>
      </c>
      <c r="H1478" s="6" t="str" cm="1">
        <f t="array" ref="H1478">IFERROR(IF(INDEX(EmployeeData[Exit Date], ROW() - 37)=0, "",INDEX(EmployeeData[Exit Date], ROW() - 37)),"")</f>
        <v/>
      </c>
      <c r="I1478" s="4" t="str" cm="1">
        <f t="array" ref="I1478">IFERROR(IF(INDEX(EmployeeData[Exit Reason], ROW() - 37)=0, "",INDEX(EmployeeData[Exit Reason], ROW() - 37)),"")</f>
        <v/>
      </c>
      <c r="J1478" s="4" t="str" cm="1">
        <f t="array" ref="J1478">IFERROR(INDEX(EmployeeData[Status], ROW() - 37), "")</f>
        <v/>
      </c>
    </row>
    <row r="1479" spans="2:10" ht="19.95" customHeight="1" x14ac:dyDescent="0.3">
      <c r="B1479" s="4" t="str" cm="1">
        <f t="array" ref="B1479">IFERROR(INDEX(EmployeeData[Employee ID], ROW() - 37), "")</f>
        <v/>
      </c>
      <c r="C1479" s="4" t="str" cm="1">
        <f t="array" ref="C1479">IFERROR(INDEX(EmployeeData[Full Name], ROW() - 37), "")</f>
        <v/>
      </c>
      <c r="D1479" s="4" t="str" cm="1">
        <f t="array" ref="D1479">IFERROR(INDEX(EmployeeData[Department], ROW() - 37), "")</f>
        <v/>
      </c>
      <c r="E1479" s="4" t="str" cm="1">
        <f t="array" ref="E1479">IFERROR(INDEX(EmployeeData[Gender], ROW() - 37), "")</f>
        <v/>
      </c>
      <c r="F1479" s="4" t="str" cm="1">
        <f t="array" ref="F1479">IFERROR(INDEX(EmployeeData[Age], ROW() - 37), "")</f>
        <v/>
      </c>
      <c r="G1479" s="6" t="str" cm="1">
        <f t="array" ref="G1479">IFERROR(INDEX(EmployeeData[Join Date], ROW() - 37), "")</f>
        <v/>
      </c>
      <c r="H1479" s="6" t="str" cm="1">
        <f t="array" ref="H1479">IFERROR(IF(INDEX(EmployeeData[Exit Date], ROW() - 37)=0, "",INDEX(EmployeeData[Exit Date], ROW() - 37)),"")</f>
        <v/>
      </c>
      <c r="I1479" s="4" t="str" cm="1">
        <f t="array" ref="I1479">IFERROR(IF(INDEX(EmployeeData[Exit Reason], ROW() - 37)=0, "",INDEX(EmployeeData[Exit Reason], ROW() - 37)),"")</f>
        <v/>
      </c>
      <c r="J1479" s="4" t="str" cm="1">
        <f t="array" ref="J1479">IFERROR(INDEX(EmployeeData[Status], ROW() - 37), "")</f>
        <v/>
      </c>
    </row>
    <row r="1480" spans="2:10" ht="19.95" customHeight="1" x14ac:dyDescent="0.3">
      <c r="B1480" s="4" t="str" cm="1">
        <f t="array" ref="B1480">IFERROR(INDEX(EmployeeData[Employee ID], ROW() - 37), "")</f>
        <v/>
      </c>
      <c r="C1480" s="4" t="str" cm="1">
        <f t="array" ref="C1480">IFERROR(INDEX(EmployeeData[Full Name], ROW() - 37), "")</f>
        <v/>
      </c>
      <c r="D1480" s="4" t="str" cm="1">
        <f t="array" ref="D1480">IFERROR(INDEX(EmployeeData[Department], ROW() - 37), "")</f>
        <v/>
      </c>
      <c r="E1480" s="4" t="str" cm="1">
        <f t="array" ref="E1480">IFERROR(INDEX(EmployeeData[Gender], ROW() - 37), "")</f>
        <v/>
      </c>
      <c r="F1480" s="4" t="str" cm="1">
        <f t="array" ref="F1480">IFERROR(INDEX(EmployeeData[Age], ROW() - 37), "")</f>
        <v/>
      </c>
      <c r="G1480" s="6" t="str" cm="1">
        <f t="array" ref="G1480">IFERROR(INDEX(EmployeeData[Join Date], ROW() - 37), "")</f>
        <v/>
      </c>
      <c r="H1480" s="6" t="str" cm="1">
        <f t="array" ref="H1480">IFERROR(IF(INDEX(EmployeeData[Exit Date], ROW() - 37)=0, "",INDEX(EmployeeData[Exit Date], ROW() - 37)),"")</f>
        <v/>
      </c>
      <c r="I1480" s="4" t="str" cm="1">
        <f t="array" ref="I1480">IFERROR(IF(INDEX(EmployeeData[Exit Reason], ROW() - 37)=0, "",INDEX(EmployeeData[Exit Reason], ROW() - 37)),"")</f>
        <v/>
      </c>
      <c r="J1480" s="4" t="str" cm="1">
        <f t="array" ref="J1480">IFERROR(INDEX(EmployeeData[Status], ROW() - 37), "")</f>
        <v/>
      </c>
    </row>
    <row r="1481" spans="2:10" ht="19.95" customHeight="1" x14ac:dyDescent="0.3">
      <c r="B1481" s="4" t="str" cm="1">
        <f t="array" ref="B1481">IFERROR(INDEX(EmployeeData[Employee ID], ROW() - 37), "")</f>
        <v/>
      </c>
      <c r="C1481" s="4" t="str" cm="1">
        <f t="array" ref="C1481">IFERROR(INDEX(EmployeeData[Full Name], ROW() - 37), "")</f>
        <v/>
      </c>
      <c r="D1481" s="4" t="str" cm="1">
        <f t="array" ref="D1481">IFERROR(INDEX(EmployeeData[Department], ROW() - 37), "")</f>
        <v/>
      </c>
      <c r="E1481" s="4" t="str" cm="1">
        <f t="array" ref="E1481">IFERROR(INDEX(EmployeeData[Gender], ROW() - 37), "")</f>
        <v/>
      </c>
      <c r="F1481" s="4" t="str" cm="1">
        <f t="array" ref="F1481">IFERROR(INDEX(EmployeeData[Age], ROW() - 37), "")</f>
        <v/>
      </c>
      <c r="G1481" s="6" t="str" cm="1">
        <f t="array" ref="G1481">IFERROR(INDEX(EmployeeData[Join Date], ROW() - 37), "")</f>
        <v/>
      </c>
      <c r="H1481" s="6" t="str" cm="1">
        <f t="array" ref="H1481">IFERROR(IF(INDEX(EmployeeData[Exit Date], ROW() - 37)=0, "",INDEX(EmployeeData[Exit Date], ROW() - 37)),"")</f>
        <v/>
      </c>
      <c r="I1481" s="4" t="str" cm="1">
        <f t="array" ref="I1481">IFERROR(IF(INDEX(EmployeeData[Exit Reason], ROW() - 37)=0, "",INDEX(EmployeeData[Exit Reason], ROW() - 37)),"")</f>
        <v/>
      </c>
      <c r="J1481" s="4" t="str" cm="1">
        <f t="array" ref="J1481">IFERROR(INDEX(EmployeeData[Status], ROW() - 37), "")</f>
        <v/>
      </c>
    </row>
    <row r="1482" spans="2:10" ht="19.95" customHeight="1" x14ac:dyDescent="0.3">
      <c r="B1482" s="4" t="str" cm="1">
        <f t="array" ref="B1482">IFERROR(INDEX(EmployeeData[Employee ID], ROW() - 37), "")</f>
        <v/>
      </c>
      <c r="C1482" s="4" t="str" cm="1">
        <f t="array" ref="C1482">IFERROR(INDEX(EmployeeData[Full Name], ROW() - 37), "")</f>
        <v/>
      </c>
      <c r="D1482" s="4" t="str" cm="1">
        <f t="array" ref="D1482">IFERROR(INDEX(EmployeeData[Department], ROW() - 37), "")</f>
        <v/>
      </c>
      <c r="E1482" s="4" t="str" cm="1">
        <f t="array" ref="E1482">IFERROR(INDEX(EmployeeData[Gender], ROW() - 37), "")</f>
        <v/>
      </c>
      <c r="F1482" s="4" t="str" cm="1">
        <f t="array" ref="F1482">IFERROR(INDEX(EmployeeData[Age], ROW() - 37), "")</f>
        <v/>
      </c>
      <c r="G1482" s="6" t="str" cm="1">
        <f t="array" ref="G1482">IFERROR(INDEX(EmployeeData[Join Date], ROW() - 37), "")</f>
        <v/>
      </c>
      <c r="H1482" s="6" t="str" cm="1">
        <f t="array" ref="H1482">IFERROR(IF(INDEX(EmployeeData[Exit Date], ROW() - 37)=0, "",INDEX(EmployeeData[Exit Date], ROW() - 37)),"")</f>
        <v/>
      </c>
      <c r="I1482" s="4" t="str" cm="1">
        <f t="array" ref="I1482">IFERROR(IF(INDEX(EmployeeData[Exit Reason], ROW() - 37)=0, "",INDEX(EmployeeData[Exit Reason], ROW() - 37)),"")</f>
        <v/>
      </c>
      <c r="J1482" s="4" t="str" cm="1">
        <f t="array" ref="J1482">IFERROR(INDEX(EmployeeData[Status], ROW() - 37), "")</f>
        <v/>
      </c>
    </row>
    <row r="1483" spans="2:10" ht="19.95" customHeight="1" x14ac:dyDescent="0.3">
      <c r="B1483" s="4" t="str" cm="1">
        <f t="array" ref="B1483">IFERROR(INDEX(EmployeeData[Employee ID], ROW() - 37), "")</f>
        <v/>
      </c>
      <c r="C1483" s="4" t="str" cm="1">
        <f t="array" ref="C1483">IFERROR(INDEX(EmployeeData[Full Name], ROW() - 37), "")</f>
        <v/>
      </c>
      <c r="D1483" s="4" t="str" cm="1">
        <f t="array" ref="D1483">IFERROR(INDEX(EmployeeData[Department], ROW() - 37), "")</f>
        <v/>
      </c>
      <c r="E1483" s="4" t="str" cm="1">
        <f t="array" ref="E1483">IFERROR(INDEX(EmployeeData[Gender], ROW() - 37), "")</f>
        <v/>
      </c>
      <c r="F1483" s="4" t="str" cm="1">
        <f t="array" ref="F1483">IFERROR(INDEX(EmployeeData[Age], ROW() - 37), "")</f>
        <v/>
      </c>
      <c r="G1483" s="6" t="str" cm="1">
        <f t="array" ref="G1483">IFERROR(INDEX(EmployeeData[Join Date], ROW() - 37), "")</f>
        <v/>
      </c>
      <c r="H1483" s="6" t="str" cm="1">
        <f t="array" ref="H1483">IFERROR(IF(INDEX(EmployeeData[Exit Date], ROW() - 37)=0, "",INDEX(EmployeeData[Exit Date], ROW() - 37)),"")</f>
        <v/>
      </c>
      <c r="I1483" s="4" t="str" cm="1">
        <f t="array" ref="I1483">IFERROR(IF(INDEX(EmployeeData[Exit Reason], ROW() - 37)=0, "",INDEX(EmployeeData[Exit Reason], ROW() - 37)),"")</f>
        <v/>
      </c>
      <c r="J1483" s="4" t="str" cm="1">
        <f t="array" ref="J1483">IFERROR(INDEX(EmployeeData[Status], ROW() - 37), "")</f>
        <v/>
      </c>
    </row>
    <row r="1484" spans="2:10" ht="19.95" customHeight="1" x14ac:dyDescent="0.3">
      <c r="B1484" s="4" t="str" cm="1">
        <f t="array" ref="B1484">IFERROR(INDEX(EmployeeData[Employee ID], ROW() - 37), "")</f>
        <v/>
      </c>
      <c r="C1484" s="4" t="str" cm="1">
        <f t="array" ref="C1484">IFERROR(INDEX(EmployeeData[Full Name], ROW() - 37), "")</f>
        <v/>
      </c>
      <c r="D1484" s="4" t="str" cm="1">
        <f t="array" ref="D1484">IFERROR(INDEX(EmployeeData[Department], ROW() - 37), "")</f>
        <v/>
      </c>
      <c r="E1484" s="4" t="str" cm="1">
        <f t="array" ref="E1484">IFERROR(INDEX(EmployeeData[Gender], ROW() - 37), "")</f>
        <v/>
      </c>
      <c r="F1484" s="4" t="str" cm="1">
        <f t="array" ref="F1484">IFERROR(INDEX(EmployeeData[Age], ROW() - 37), "")</f>
        <v/>
      </c>
      <c r="G1484" s="6" t="str" cm="1">
        <f t="array" ref="G1484">IFERROR(INDEX(EmployeeData[Join Date], ROW() - 37), "")</f>
        <v/>
      </c>
      <c r="H1484" s="6" t="str" cm="1">
        <f t="array" ref="H1484">IFERROR(IF(INDEX(EmployeeData[Exit Date], ROW() - 37)=0, "",INDEX(EmployeeData[Exit Date], ROW() - 37)),"")</f>
        <v/>
      </c>
      <c r="I1484" s="4" t="str" cm="1">
        <f t="array" ref="I1484">IFERROR(IF(INDEX(EmployeeData[Exit Reason], ROW() - 37)=0, "",INDEX(EmployeeData[Exit Reason], ROW() - 37)),"")</f>
        <v/>
      </c>
      <c r="J1484" s="4" t="str" cm="1">
        <f t="array" ref="J1484">IFERROR(INDEX(EmployeeData[Status], ROW() - 37), "")</f>
        <v/>
      </c>
    </row>
    <row r="1485" spans="2:10" ht="19.95" customHeight="1" x14ac:dyDescent="0.3">
      <c r="B1485" s="4" t="str" cm="1">
        <f t="array" ref="B1485">IFERROR(INDEX(EmployeeData[Employee ID], ROW() - 37), "")</f>
        <v/>
      </c>
      <c r="C1485" s="4" t="str" cm="1">
        <f t="array" ref="C1485">IFERROR(INDEX(EmployeeData[Full Name], ROW() - 37), "")</f>
        <v/>
      </c>
      <c r="D1485" s="4" t="str" cm="1">
        <f t="array" ref="D1485">IFERROR(INDEX(EmployeeData[Department], ROW() - 37), "")</f>
        <v/>
      </c>
      <c r="E1485" s="4" t="str" cm="1">
        <f t="array" ref="E1485">IFERROR(INDEX(EmployeeData[Gender], ROW() - 37), "")</f>
        <v/>
      </c>
      <c r="F1485" s="4" t="str" cm="1">
        <f t="array" ref="F1485">IFERROR(INDEX(EmployeeData[Age], ROW() - 37), "")</f>
        <v/>
      </c>
      <c r="G1485" s="6" t="str" cm="1">
        <f t="array" ref="G1485">IFERROR(INDEX(EmployeeData[Join Date], ROW() - 37), "")</f>
        <v/>
      </c>
      <c r="H1485" s="6" t="str" cm="1">
        <f t="array" ref="H1485">IFERROR(IF(INDEX(EmployeeData[Exit Date], ROW() - 37)=0, "",INDEX(EmployeeData[Exit Date], ROW() - 37)),"")</f>
        <v/>
      </c>
      <c r="I1485" s="4" t="str" cm="1">
        <f t="array" ref="I1485">IFERROR(IF(INDEX(EmployeeData[Exit Reason], ROW() - 37)=0, "",INDEX(EmployeeData[Exit Reason], ROW() - 37)),"")</f>
        <v/>
      </c>
      <c r="J1485" s="4" t="str" cm="1">
        <f t="array" ref="J1485">IFERROR(INDEX(EmployeeData[Status], ROW() - 37), "")</f>
        <v/>
      </c>
    </row>
    <row r="1486" spans="2:10" ht="19.95" customHeight="1" x14ac:dyDescent="0.3">
      <c r="B1486" s="4" t="str" cm="1">
        <f t="array" ref="B1486">IFERROR(INDEX(EmployeeData[Employee ID], ROW() - 37), "")</f>
        <v/>
      </c>
      <c r="C1486" s="4" t="str" cm="1">
        <f t="array" ref="C1486">IFERROR(INDEX(EmployeeData[Full Name], ROW() - 37), "")</f>
        <v/>
      </c>
      <c r="D1486" s="4" t="str" cm="1">
        <f t="array" ref="D1486">IFERROR(INDEX(EmployeeData[Department], ROW() - 37), "")</f>
        <v/>
      </c>
      <c r="E1486" s="4" t="str" cm="1">
        <f t="array" ref="E1486">IFERROR(INDEX(EmployeeData[Gender], ROW() - 37), "")</f>
        <v/>
      </c>
      <c r="F1486" s="4" t="str" cm="1">
        <f t="array" ref="F1486">IFERROR(INDEX(EmployeeData[Age], ROW() - 37), "")</f>
        <v/>
      </c>
      <c r="G1486" s="6" t="str" cm="1">
        <f t="array" ref="G1486">IFERROR(INDEX(EmployeeData[Join Date], ROW() - 37), "")</f>
        <v/>
      </c>
      <c r="H1486" s="6" t="str" cm="1">
        <f t="array" ref="H1486">IFERROR(IF(INDEX(EmployeeData[Exit Date], ROW() - 37)=0, "",INDEX(EmployeeData[Exit Date], ROW() - 37)),"")</f>
        <v/>
      </c>
      <c r="I1486" s="4" t="str" cm="1">
        <f t="array" ref="I1486">IFERROR(IF(INDEX(EmployeeData[Exit Reason], ROW() - 37)=0, "",INDEX(EmployeeData[Exit Reason], ROW() - 37)),"")</f>
        <v/>
      </c>
      <c r="J1486" s="4" t="str" cm="1">
        <f t="array" ref="J1486">IFERROR(INDEX(EmployeeData[Status], ROW() - 37), "")</f>
        <v/>
      </c>
    </row>
    <row r="1487" spans="2:10" ht="19.95" customHeight="1" x14ac:dyDescent="0.3">
      <c r="B1487" s="4" t="str" cm="1">
        <f t="array" ref="B1487">IFERROR(INDEX(EmployeeData[Employee ID], ROW() - 37), "")</f>
        <v/>
      </c>
      <c r="C1487" s="4" t="str" cm="1">
        <f t="array" ref="C1487">IFERROR(INDEX(EmployeeData[Full Name], ROW() - 37), "")</f>
        <v/>
      </c>
      <c r="D1487" s="4" t="str" cm="1">
        <f t="array" ref="D1487">IFERROR(INDEX(EmployeeData[Department], ROW() - 37), "")</f>
        <v/>
      </c>
      <c r="E1487" s="4" t="str" cm="1">
        <f t="array" ref="E1487">IFERROR(INDEX(EmployeeData[Gender], ROW() - 37), "")</f>
        <v/>
      </c>
      <c r="F1487" s="4" t="str" cm="1">
        <f t="array" ref="F1487">IFERROR(INDEX(EmployeeData[Age], ROW() - 37), "")</f>
        <v/>
      </c>
      <c r="G1487" s="6" t="str" cm="1">
        <f t="array" ref="G1487">IFERROR(INDEX(EmployeeData[Join Date], ROW() - 37), "")</f>
        <v/>
      </c>
      <c r="H1487" s="6" t="str" cm="1">
        <f t="array" ref="H1487">IFERROR(IF(INDEX(EmployeeData[Exit Date], ROW() - 37)=0, "",INDEX(EmployeeData[Exit Date], ROW() - 37)),"")</f>
        <v/>
      </c>
      <c r="I1487" s="4" t="str" cm="1">
        <f t="array" ref="I1487">IFERROR(IF(INDEX(EmployeeData[Exit Reason], ROW() - 37)=0, "",INDEX(EmployeeData[Exit Reason], ROW() - 37)),"")</f>
        <v/>
      </c>
      <c r="J1487" s="4" t="str" cm="1">
        <f t="array" ref="J1487">IFERROR(INDEX(EmployeeData[Status], ROW() - 37), "")</f>
        <v/>
      </c>
    </row>
    <row r="1488" spans="2:10" ht="19.95" customHeight="1" x14ac:dyDescent="0.3">
      <c r="B1488" s="4" t="str" cm="1">
        <f t="array" ref="B1488">IFERROR(INDEX(EmployeeData[Employee ID], ROW() - 37), "")</f>
        <v/>
      </c>
      <c r="C1488" s="4" t="str" cm="1">
        <f t="array" ref="C1488">IFERROR(INDEX(EmployeeData[Full Name], ROW() - 37), "")</f>
        <v/>
      </c>
      <c r="D1488" s="4" t="str" cm="1">
        <f t="array" ref="D1488">IFERROR(INDEX(EmployeeData[Department], ROW() - 37), "")</f>
        <v/>
      </c>
      <c r="E1488" s="4" t="str" cm="1">
        <f t="array" ref="E1488">IFERROR(INDEX(EmployeeData[Gender], ROW() - 37), "")</f>
        <v/>
      </c>
      <c r="F1488" s="4" t="str" cm="1">
        <f t="array" ref="F1488">IFERROR(INDEX(EmployeeData[Age], ROW() - 37), "")</f>
        <v/>
      </c>
      <c r="G1488" s="6" t="str" cm="1">
        <f t="array" ref="G1488">IFERROR(INDEX(EmployeeData[Join Date], ROW() - 37), "")</f>
        <v/>
      </c>
      <c r="H1488" s="6" t="str" cm="1">
        <f t="array" ref="H1488">IFERROR(IF(INDEX(EmployeeData[Exit Date], ROW() - 37)=0, "",INDEX(EmployeeData[Exit Date], ROW() - 37)),"")</f>
        <v/>
      </c>
      <c r="I1488" s="4" t="str" cm="1">
        <f t="array" ref="I1488">IFERROR(IF(INDEX(EmployeeData[Exit Reason], ROW() - 37)=0, "",INDEX(EmployeeData[Exit Reason], ROW() - 37)),"")</f>
        <v/>
      </c>
      <c r="J1488" s="4" t="str" cm="1">
        <f t="array" ref="J1488">IFERROR(INDEX(EmployeeData[Status], ROW() - 37), "")</f>
        <v/>
      </c>
    </row>
    <row r="1489" spans="2:10" ht="19.95" customHeight="1" x14ac:dyDescent="0.3">
      <c r="B1489" s="4" t="str" cm="1">
        <f t="array" ref="B1489">IFERROR(INDEX(EmployeeData[Employee ID], ROW() - 37), "")</f>
        <v/>
      </c>
      <c r="C1489" s="4" t="str" cm="1">
        <f t="array" ref="C1489">IFERROR(INDEX(EmployeeData[Full Name], ROW() - 37), "")</f>
        <v/>
      </c>
      <c r="D1489" s="4" t="str" cm="1">
        <f t="array" ref="D1489">IFERROR(INDEX(EmployeeData[Department], ROW() - 37), "")</f>
        <v/>
      </c>
      <c r="E1489" s="4" t="str" cm="1">
        <f t="array" ref="E1489">IFERROR(INDEX(EmployeeData[Gender], ROW() - 37), "")</f>
        <v/>
      </c>
      <c r="F1489" s="4" t="str" cm="1">
        <f t="array" ref="F1489">IFERROR(INDEX(EmployeeData[Age], ROW() - 37), "")</f>
        <v/>
      </c>
      <c r="G1489" s="6" t="str" cm="1">
        <f t="array" ref="G1489">IFERROR(INDEX(EmployeeData[Join Date], ROW() - 37), "")</f>
        <v/>
      </c>
      <c r="H1489" s="6" t="str" cm="1">
        <f t="array" ref="H1489">IFERROR(IF(INDEX(EmployeeData[Exit Date], ROW() - 37)=0, "",INDEX(EmployeeData[Exit Date], ROW() - 37)),"")</f>
        <v/>
      </c>
      <c r="I1489" s="4" t="str" cm="1">
        <f t="array" ref="I1489">IFERROR(IF(INDEX(EmployeeData[Exit Reason], ROW() - 37)=0, "",INDEX(EmployeeData[Exit Reason], ROW() - 37)),"")</f>
        <v/>
      </c>
      <c r="J1489" s="4" t="str" cm="1">
        <f t="array" ref="J1489">IFERROR(INDEX(EmployeeData[Status], ROW() - 37), "")</f>
        <v/>
      </c>
    </row>
    <row r="1490" spans="2:10" ht="19.95" customHeight="1" x14ac:dyDescent="0.3">
      <c r="B1490" s="4" t="str" cm="1">
        <f t="array" ref="B1490">IFERROR(INDEX(EmployeeData[Employee ID], ROW() - 37), "")</f>
        <v/>
      </c>
      <c r="C1490" s="4" t="str" cm="1">
        <f t="array" ref="C1490">IFERROR(INDEX(EmployeeData[Full Name], ROW() - 37), "")</f>
        <v/>
      </c>
      <c r="D1490" s="4" t="str" cm="1">
        <f t="array" ref="D1490">IFERROR(INDEX(EmployeeData[Department], ROW() - 37), "")</f>
        <v/>
      </c>
      <c r="E1490" s="4" t="str" cm="1">
        <f t="array" ref="E1490">IFERROR(INDEX(EmployeeData[Gender], ROW() - 37), "")</f>
        <v/>
      </c>
      <c r="F1490" s="4" t="str" cm="1">
        <f t="array" ref="F1490">IFERROR(INDEX(EmployeeData[Age], ROW() - 37), "")</f>
        <v/>
      </c>
      <c r="G1490" s="6" t="str" cm="1">
        <f t="array" ref="G1490">IFERROR(INDEX(EmployeeData[Join Date], ROW() - 37), "")</f>
        <v/>
      </c>
      <c r="H1490" s="6" t="str" cm="1">
        <f t="array" ref="H1490">IFERROR(IF(INDEX(EmployeeData[Exit Date], ROW() - 37)=0, "",INDEX(EmployeeData[Exit Date], ROW() - 37)),"")</f>
        <v/>
      </c>
      <c r="I1490" s="4" t="str" cm="1">
        <f t="array" ref="I1490">IFERROR(IF(INDEX(EmployeeData[Exit Reason], ROW() - 37)=0, "",INDEX(EmployeeData[Exit Reason], ROW() - 37)),"")</f>
        <v/>
      </c>
      <c r="J1490" s="4" t="str" cm="1">
        <f t="array" ref="J1490">IFERROR(INDEX(EmployeeData[Status], ROW() - 37), "")</f>
        <v/>
      </c>
    </row>
    <row r="1491" spans="2:10" ht="19.95" customHeight="1" x14ac:dyDescent="0.3">
      <c r="B1491" s="4" t="str" cm="1">
        <f t="array" ref="B1491">IFERROR(INDEX(EmployeeData[Employee ID], ROW() - 37), "")</f>
        <v/>
      </c>
      <c r="C1491" s="4" t="str" cm="1">
        <f t="array" ref="C1491">IFERROR(INDEX(EmployeeData[Full Name], ROW() - 37), "")</f>
        <v/>
      </c>
      <c r="D1491" s="4" t="str" cm="1">
        <f t="array" ref="D1491">IFERROR(INDEX(EmployeeData[Department], ROW() - 37), "")</f>
        <v/>
      </c>
      <c r="E1491" s="4" t="str" cm="1">
        <f t="array" ref="E1491">IFERROR(INDEX(EmployeeData[Gender], ROW() - 37), "")</f>
        <v/>
      </c>
      <c r="F1491" s="4" t="str" cm="1">
        <f t="array" ref="F1491">IFERROR(INDEX(EmployeeData[Age], ROW() - 37), "")</f>
        <v/>
      </c>
      <c r="G1491" s="6" t="str" cm="1">
        <f t="array" ref="G1491">IFERROR(INDEX(EmployeeData[Join Date], ROW() - 37), "")</f>
        <v/>
      </c>
      <c r="H1491" s="6" t="str" cm="1">
        <f t="array" ref="H1491">IFERROR(IF(INDEX(EmployeeData[Exit Date], ROW() - 37)=0, "",INDEX(EmployeeData[Exit Date], ROW() - 37)),"")</f>
        <v/>
      </c>
      <c r="I1491" s="4" t="str" cm="1">
        <f t="array" ref="I1491">IFERROR(IF(INDEX(EmployeeData[Exit Reason], ROW() - 37)=0, "",INDEX(EmployeeData[Exit Reason], ROW() - 37)),"")</f>
        <v/>
      </c>
      <c r="J1491" s="4" t="str" cm="1">
        <f t="array" ref="J1491">IFERROR(INDEX(EmployeeData[Status], ROW() - 37), "")</f>
        <v/>
      </c>
    </row>
    <row r="1492" spans="2:10" ht="19.95" customHeight="1" x14ac:dyDescent="0.3">
      <c r="B1492" s="4" t="str" cm="1">
        <f t="array" ref="B1492">IFERROR(INDEX(EmployeeData[Employee ID], ROW() - 37), "")</f>
        <v/>
      </c>
      <c r="C1492" s="4" t="str" cm="1">
        <f t="array" ref="C1492">IFERROR(INDEX(EmployeeData[Full Name], ROW() - 37), "")</f>
        <v/>
      </c>
      <c r="D1492" s="4" t="str" cm="1">
        <f t="array" ref="D1492">IFERROR(INDEX(EmployeeData[Department], ROW() - 37), "")</f>
        <v/>
      </c>
      <c r="E1492" s="4" t="str" cm="1">
        <f t="array" ref="E1492">IFERROR(INDEX(EmployeeData[Gender], ROW() - 37), "")</f>
        <v/>
      </c>
      <c r="F1492" s="4" t="str" cm="1">
        <f t="array" ref="F1492">IFERROR(INDEX(EmployeeData[Age], ROW() - 37), "")</f>
        <v/>
      </c>
      <c r="G1492" s="6" t="str" cm="1">
        <f t="array" ref="G1492">IFERROR(INDEX(EmployeeData[Join Date], ROW() - 37), "")</f>
        <v/>
      </c>
      <c r="H1492" s="6" t="str" cm="1">
        <f t="array" ref="H1492">IFERROR(IF(INDEX(EmployeeData[Exit Date], ROW() - 37)=0, "",INDEX(EmployeeData[Exit Date], ROW() - 37)),"")</f>
        <v/>
      </c>
      <c r="I1492" s="4" t="str" cm="1">
        <f t="array" ref="I1492">IFERROR(IF(INDEX(EmployeeData[Exit Reason], ROW() - 37)=0, "",INDEX(EmployeeData[Exit Reason], ROW() - 37)),"")</f>
        <v/>
      </c>
      <c r="J1492" s="4" t="str" cm="1">
        <f t="array" ref="J1492">IFERROR(INDEX(EmployeeData[Status], ROW() - 37), "")</f>
        <v/>
      </c>
    </row>
    <row r="1493" spans="2:10" ht="19.95" customHeight="1" x14ac:dyDescent="0.3">
      <c r="B1493" s="4" t="str" cm="1">
        <f t="array" ref="B1493">IFERROR(INDEX(EmployeeData[Employee ID], ROW() - 37), "")</f>
        <v/>
      </c>
      <c r="C1493" s="4" t="str" cm="1">
        <f t="array" ref="C1493">IFERROR(INDEX(EmployeeData[Full Name], ROW() - 37), "")</f>
        <v/>
      </c>
      <c r="D1493" s="4" t="str" cm="1">
        <f t="array" ref="D1493">IFERROR(INDEX(EmployeeData[Department], ROW() - 37), "")</f>
        <v/>
      </c>
      <c r="E1493" s="4" t="str" cm="1">
        <f t="array" ref="E1493">IFERROR(INDEX(EmployeeData[Gender], ROW() - 37), "")</f>
        <v/>
      </c>
      <c r="F1493" s="4" t="str" cm="1">
        <f t="array" ref="F1493">IFERROR(INDEX(EmployeeData[Age], ROW() - 37), "")</f>
        <v/>
      </c>
      <c r="G1493" s="6" t="str" cm="1">
        <f t="array" ref="G1493">IFERROR(INDEX(EmployeeData[Join Date], ROW() - 37), "")</f>
        <v/>
      </c>
      <c r="H1493" s="6" t="str" cm="1">
        <f t="array" ref="H1493">IFERROR(IF(INDEX(EmployeeData[Exit Date], ROW() - 37)=0, "",INDEX(EmployeeData[Exit Date], ROW() - 37)),"")</f>
        <v/>
      </c>
      <c r="I1493" s="4" t="str" cm="1">
        <f t="array" ref="I1493">IFERROR(IF(INDEX(EmployeeData[Exit Reason], ROW() - 37)=0, "",INDEX(EmployeeData[Exit Reason], ROW() - 37)),"")</f>
        <v/>
      </c>
      <c r="J1493" s="4" t="str" cm="1">
        <f t="array" ref="J1493">IFERROR(INDEX(EmployeeData[Status], ROW() - 37), "")</f>
        <v/>
      </c>
    </row>
    <row r="1494" spans="2:10" ht="19.95" customHeight="1" x14ac:dyDescent="0.3">
      <c r="B1494" s="4" t="str" cm="1">
        <f t="array" ref="B1494">IFERROR(INDEX(EmployeeData[Employee ID], ROW() - 37), "")</f>
        <v/>
      </c>
      <c r="C1494" s="4" t="str" cm="1">
        <f t="array" ref="C1494">IFERROR(INDEX(EmployeeData[Full Name], ROW() - 37), "")</f>
        <v/>
      </c>
      <c r="D1494" s="4" t="str" cm="1">
        <f t="array" ref="D1494">IFERROR(INDEX(EmployeeData[Department], ROW() - 37), "")</f>
        <v/>
      </c>
      <c r="E1494" s="4" t="str" cm="1">
        <f t="array" ref="E1494">IFERROR(INDEX(EmployeeData[Gender], ROW() - 37), "")</f>
        <v/>
      </c>
      <c r="F1494" s="4" t="str" cm="1">
        <f t="array" ref="F1494">IFERROR(INDEX(EmployeeData[Age], ROW() - 37), "")</f>
        <v/>
      </c>
      <c r="G1494" s="6" t="str" cm="1">
        <f t="array" ref="G1494">IFERROR(INDEX(EmployeeData[Join Date], ROW() - 37), "")</f>
        <v/>
      </c>
      <c r="H1494" s="6" t="str" cm="1">
        <f t="array" ref="H1494">IFERROR(IF(INDEX(EmployeeData[Exit Date], ROW() - 37)=0, "",INDEX(EmployeeData[Exit Date], ROW() - 37)),"")</f>
        <v/>
      </c>
      <c r="I1494" s="4" t="str" cm="1">
        <f t="array" ref="I1494">IFERROR(IF(INDEX(EmployeeData[Exit Reason], ROW() - 37)=0, "",INDEX(EmployeeData[Exit Reason], ROW() - 37)),"")</f>
        <v/>
      </c>
      <c r="J1494" s="4" t="str" cm="1">
        <f t="array" ref="J1494">IFERROR(INDEX(EmployeeData[Status], ROW() - 37), "")</f>
        <v/>
      </c>
    </row>
    <row r="1495" spans="2:10" ht="19.95" customHeight="1" x14ac:dyDescent="0.3">
      <c r="B1495" s="4" t="str" cm="1">
        <f t="array" ref="B1495">IFERROR(INDEX(EmployeeData[Employee ID], ROW() - 37), "")</f>
        <v/>
      </c>
      <c r="C1495" s="4" t="str" cm="1">
        <f t="array" ref="C1495">IFERROR(INDEX(EmployeeData[Full Name], ROW() - 37), "")</f>
        <v/>
      </c>
      <c r="D1495" s="4" t="str" cm="1">
        <f t="array" ref="D1495">IFERROR(INDEX(EmployeeData[Department], ROW() - 37), "")</f>
        <v/>
      </c>
      <c r="E1495" s="4" t="str" cm="1">
        <f t="array" ref="E1495">IFERROR(INDEX(EmployeeData[Gender], ROW() - 37), "")</f>
        <v/>
      </c>
      <c r="F1495" s="4" t="str" cm="1">
        <f t="array" ref="F1495">IFERROR(INDEX(EmployeeData[Age], ROW() - 37), "")</f>
        <v/>
      </c>
      <c r="G1495" s="6" t="str" cm="1">
        <f t="array" ref="G1495">IFERROR(INDEX(EmployeeData[Join Date], ROW() - 37), "")</f>
        <v/>
      </c>
      <c r="H1495" s="6" t="str" cm="1">
        <f t="array" ref="H1495">IFERROR(IF(INDEX(EmployeeData[Exit Date], ROW() - 37)=0, "",INDEX(EmployeeData[Exit Date], ROW() - 37)),"")</f>
        <v/>
      </c>
      <c r="I1495" s="4" t="str" cm="1">
        <f t="array" ref="I1495">IFERROR(IF(INDEX(EmployeeData[Exit Reason], ROW() - 37)=0, "",INDEX(EmployeeData[Exit Reason], ROW() - 37)),"")</f>
        <v/>
      </c>
      <c r="J1495" s="4" t="str" cm="1">
        <f t="array" ref="J1495">IFERROR(INDEX(EmployeeData[Status], ROW() - 37), "")</f>
        <v/>
      </c>
    </row>
    <row r="1496" spans="2:10" ht="19.95" customHeight="1" x14ac:dyDescent="0.3">
      <c r="B1496" s="4" t="str" cm="1">
        <f t="array" ref="B1496">IFERROR(INDEX(EmployeeData[Employee ID], ROW() - 37), "")</f>
        <v/>
      </c>
      <c r="C1496" s="4" t="str" cm="1">
        <f t="array" ref="C1496">IFERROR(INDEX(EmployeeData[Full Name], ROW() - 37), "")</f>
        <v/>
      </c>
      <c r="D1496" s="4" t="str" cm="1">
        <f t="array" ref="D1496">IFERROR(INDEX(EmployeeData[Department], ROW() - 37), "")</f>
        <v/>
      </c>
      <c r="E1496" s="4" t="str" cm="1">
        <f t="array" ref="E1496">IFERROR(INDEX(EmployeeData[Gender], ROW() - 37), "")</f>
        <v/>
      </c>
      <c r="F1496" s="4" t="str" cm="1">
        <f t="array" ref="F1496">IFERROR(INDEX(EmployeeData[Age], ROW() - 37), "")</f>
        <v/>
      </c>
      <c r="G1496" s="6" t="str" cm="1">
        <f t="array" ref="G1496">IFERROR(INDEX(EmployeeData[Join Date], ROW() - 37), "")</f>
        <v/>
      </c>
      <c r="H1496" s="6" t="str" cm="1">
        <f t="array" ref="H1496">IFERROR(IF(INDEX(EmployeeData[Exit Date], ROW() - 37)=0, "",INDEX(EmployeeData[Exit Date], ROW() - 37)),"")</f>
        <v/>
      </c>
      <c r="I1496" s="4" t="str" cm="1">
        <f t="array" ref="I1496">IFERROR(IF(INDEX(EmployeeData[Exit Reason], ROW() - 37)=0, "",INDEX(EmployeeData[Exit Reason], ROW() - 37)),"")</f>
        <v/>
      </c>
      <c r="J1496" s="4" t="str" cm="1">
        <f t="array" ref="J1496">IFERROR(INDEX(EmployeeData[Status], ROW() - 37), "")</f>
        <v/>
      </c>
    </row>
    <row r="1497" spans="2:10" ht="19.95" customHeight="1" x14ac:dyDescent="0.3">
      <c r="B1497" s="4" t="str" cm="1">
        <f t="array" ref="B1497">IFERROR(INDEX(EmployeeData[Employee ID], ROW() - 37), "")</f>
        <v/>
      </c>
      <c r="C1497" s="4" t="str" cm="1">
        <f t="array" ref="C1497">IFERROR(INDEX(EmployeeData[Full Name], ROW() - 37), "")</f>
        <v/>
      </c>
      <c r="D1497" s="4" t="str" cm="1">
        <f t="array" ref="D1497">IFERROR(INDEX(EmployeeData[Department], ROW() - 37), "")</f>
        <v/>
      </c>
      <c r="E1497" s="4" t="str" cm="1">
        <f t="array" ref="E1497">IFERROR(INDEX(EmployeeData[Gender], ROW() - 37), "")</f>
        <v/>
      </c>
      <c r="F1497" s="4" t="str" cm="1">
        <f t="array" ref="F1497">IFERROR(INDEX(EmployeeData[Age], ROW() - 37), "")</f>
        <v/>
      </c>
      <c r="G1497" s="6" t="str" cm="1">
        <f t="array" ref="G1497">IFERROR(INDEX(EmployeeData[Join Date], ROW() - 37), "")</f>
        <v/>
      </c>
      <c r="H1497" s="6" t="str" cm="1">
        <f t="array" ref="H1497">IFERROR(IF(INDEX(EmployeeData[Exit Date], ROW() - 37)=0, "",INDEX(EmployeeData[Exit Date], ROW() - 37)),"")</f>
        <v/>
      </c>
      <c r="I1497" s="4" t="str" cm="1">
        <f t="array" ref="I1497">IFERROR(IF(INDEX(EmployeeData[Exit Reason], ROW() - 37)=0, "",INDEX(EmployeeData[Exit Reason], ROW() - 37)),"")</f>
        <v/>
      </c>
      <c r="J1497" s="4" t="str" cm="1">
        <f t="array" ref="J1497">IFERROR(INDEX(EmployeeData[Status], ROW() - 37), "")</f>
        <v/>
      </c>
    </row>
    <row r="1498" spans="2:10" ht="19.95" customHeight="1" x14ac:dyDescent="0.3">
      <c r="B1498" s="4" t="str" cm="1">
        <f t="array" ref="B1498">IFERROR(INDEX(EmployeeData[Employee ID], ROW() - 37), "")</f>
        <v/>
      </c>
      <c r="C1498" s="4" t="str" cm="1">
        <f t="array" ref="C1498">IFERROR(INDEX(EmployeeData[Full Name], ROW() - 37), "")</f>
        <v/>
      </c>
      <c r="D1498" s="4" t="str" cm="1">
        <f t="array" ref="D1498">IFERROR(INDEX(EmployeeData[Department], ROW() - 37), "")</f>
        <v/>
      </c>
      <c r="E1498" s="4" t="str" cm="1">
        <f t="array" ref="E1498">IFERROR(INDEX(EmployeeData[Gender], ROW() - 37), "")</f>
        <v/>
      </c>
      <c r="F1498" s="4" t="str" cm="1">
        <f t="array" ref="F1498">IFERROR(INDEX(EmployeeData[Age], ROW() - 37), "")</f>
        <v/>
      </c>
      <c r="G1498" s="6" t="str" cm="1">
        <f t="array" ref="G1498">IFERROR(INDEX(EmployeeData[Join Date], ROW() - 37), "")</f>
        <v/>
      </c>
      <c r="H1498" s="6" t="str" cm="1">
        <f t="array" ref="H1498">IFERROR(IF(INDEX(EmployeeData[Exit Date], ROW() - 37)=0, "",INDEX(EmployeeData[Exit Date], ROW() - 37)),"")</f>
        <v/>
      </c>
      <c r="I1498" s="4" t="str" cm="1">
        <f t="array" ref="I1498">IFERROR(IF(INDEX(EmployeeData[Exit Reason], ROW() - 37)=0, "",INDEX(EmployeeData[Exit Reason], ROW() - 37)),"")</f>
        <v/>
      </c>
      <c r="J1498" s="4" t="str" cm="1">
        <f t="array" ref="J1498">IFERROR(INDEX(EmployeeData[Status], ROW() - 37), "")</f>
        <v/>
      </c>
    </row>
    <row r="1499" spans="2:10" ht="19.95" customHeight="1" x14ac:dyDescent="0.3">
      <c r="B1499" s="4" t="str" cm="1">
        <f t="array" ref="B1499">IFERROR(INDEX(EmployeeData[Employee ID], ROW() - 37), "")</f>
        <v/>
      </c>
      <c r="C1499" s="4" t="str" cm="1">
        <f t="array" ref="C1499">IFERROR(INDEX(EmployeeData[Full Name], ROW() - 37), "")</f>
        <v/>
      </c>
      <c r="D1499" s="4" t="str" cm="1">
        <f t="array" ref="D1499">IFERROR(INDEX(EmployeeData[Department], ROW() - 37), "")</f>
        <v/>
      </c>
      <c r="E1499" s="4" t="str" cm="1">
        <f t="array" ref="E1499">IFERROR(INDEX(EmployeeData[Gender], ROW() - 37), "")</f>
        <v/>
      </c>
      <c r="F1499" s="4" t="str" cm="1">
        <f t="array" ref="F1499">IFERROR(INDEX(EmployeeData[Age], ROW() - 37), "")</f>
        <v/>
      </c>
      <c r="G1499" s="6" t="str" cm="1">
        <f t="array" ref="G1499">IFERROR(INDEX(EmployeeData[Join Date], ROW() - 37), "")</f>
        <v/>
      </c>
      <c r="H1499" s="6" t="str" cm="1">
        <f t="array" ref="H1499">IFERROR(IF(INDEX(EmployeeData[Exit Date], ROW() - 37)=0, "",INDEX(EmployeeData[Exit Date], ROW() - 37)),"")</f>
        <v/>
      </c>
      <c r="I1499" s="4" t="str" cm="1">
        <f t="array" ref="I1499">IFERROR(IF(INDEX(EmployeeData[Exit Reason], ROW() - 37)=0, "",INDEX(EmployeeData[Exit Reason], ROW() - 37)),"")</f>
        <v/>
      </c>
      <c r="J1499" s="4" t="str" cm="1">
        <f t="array" ref="J1499">IFERROR(INDEX(EmployeeData[Status], ROW() - 37), "")</f>
        <v/>
      </c>
    </row>
    <row r="1500" spans="2:10" ht="19.95" customHeight="1" x14ac:dyDescent="0.3">
      <c r="B1500" s="4" t="str" cm="1">
        <f t="array" ref="B1500">IFERROR(INDEX(EmployeeData[Employee ID], ROW() - 37), "")</f>
        <v/>
      </c>
      <c r="C1500" s="4" t="str" cm="1">
        <f t="array" ref="C1500">IFERROR(INDEX(EmployeeData[Full Name], ROW() - 37), "")</f>
        <v/>
      </c>
      <c r="D1500" s="4" t="str" cm="1">
        <f t="array" ref="D1500">IFERROR(INDEX(EmployeeData[Department], ROW() - 37), "")</f>
        <v/>
      </c>
      <c r="E1500" s="4" t="str" cm="1">
        <f t="array" ref="E1500">IFERROR(INDEX(EmployeeData[Gender], ROW() - 37), "")</f>
        <v/>
      </c>
      <c r="F1500" s="4" t="str" cm="1">
        <f t="array" ref="F1500">IFERROR(INDEX(EmployeeData[Age], ROW() - 37), "")</f>
        <v/>
      </c>
      <c r="G1500" s="6" t="str" cm="1">
        <f t="array" ref="G1500">IFERROR(INDEX(EmployeeData[Join Date], ROW() - 37), "")</f>
        <v/>
      </c>
      <c r="H1500" s="6" t="str" cm="1">
        <f t="array" ref="H1500">IFERROR(IF(INDEX(EmployeeData[Exit Date], ROW() - 37)=0, "",INDEX(EmployeeData[Exit Date], ROW() - 37)),"")</f>
        <v/>
      </c>
      <c r="I1500" s="4" t="str" cm="1">
        <f t="array" ref="I1500">IFERROR(IF(INDEX(EmployeeData[Exit Reason], ROW() - 37)=0, "",INDEX(EmployeeData[Exit Reason], ROW() - 37)),"")</f>
        <v/>
      </c>
      <c r="J1500" s="4" t="str" cm="1">
        <f t="array" ref="J1500">IFERROR(INDEX(EmployeeData[Status], ROW() - 37), "")</f>
        <v/>
      </c>
    </row>
    <row r="1501" spans="2:10" ht="19.95" customHeight="1" x14ac:dyDescent="0.3">
      <c r="B1501" s="4" t="str" cm="1">
        <f t="array" ref="B1501">IFERROR(INDEX(EmployeeData[Employee ID], ROW() - 37), "")</f>
        <v/>
      </c>
      <c r="C1501" s="4" t="str" cm="1">
        <f t="array" ref="C1501">IFERROR(INDEX(EmployeeData[Full Name], ROW() - 37), "")</f>
        <v/>
      </c>
      <c r="D1501" s="4" t="str" cm="1">
        <f t="array" ref="D1501">IFERROR(INDEX(EmployeeData[Department], ROW() - 37), "")</f>
        <v/>
      </c>
      <c r="E1501" s="4" t="str" cm="1">
        <f t="array" ref="E1501">IFERROR(INDEX(EmployeeData[Gender], ROW() - 37), "")</f>
        <v/>
      </c>
      <c r="F1501" s="4" t="str" cm="1">
        <f t="array" ref="F1501">IFERROR(INDEX(EmployeeData[Age], ROW() - 37), "")</f>
        <v/>
      </c>
      <c r="G1501" s="6" t="str" cm="1">
        <f t="array" ref="G1501">IFERROR(INDEX(EmployeeData[Join Date], ROW() - 37), "")</f>
        <v/>
      </c>
      <c r="H1501" s="6" t="str" cm="1">
        <f t="array" ref="H1501">IFERROR(IF(INDEX(EmployeeData[Exit Date], ROW() - 37)=0, "",INDEX(EmployeeData[Exit Date], ROW() - 37)),"")</f>
        <v/>
      </c>
      <c r="I1501" s="4" t="str" cm="1">
        <f t="array" ref="I1501">IFERROR(IF(INDEX(EmployeeData[Exit Reason], ROW() - 37)=0, "",INDEX(EmployeeData[Exit Reason], ROW() - 37)),"")</f>
        <v/>
      </c>
      <c r="J1501" s="4" t="str" cm="1">
        <f t="array" ref="J1501">IFERROR(INDEX(EmployeeData[Status], ROW() - 37), "")</f>
        <v/>
      </c>
    </row>
    <row r="1502" spans="2:10" ht="19.95" customHeight="1" x14ac:dyDescent="0.3">
      <c r="B1502" s="4" t="str" cm="1">
        <f t="array" ref="B1502">IFERROR(INDEX(EmployeeData[Employee ID], ROW() - 37), "")</f>
        <v/>
      </c>
      <c r="C1502" s="4" t="str" cm="1">
        <f t="array" ref="C1502">IFERROR(INDEX(EmployeeData[Full Name], ROW() - 37), "")</f>
        <v/>
      </c>
      <c r="D1502" s="4" t="str" cm="1">
        <f t="array" ref="D1502">IFERROR(INDEX(EmployeeData[Department], ROW() - 37), "")</f>
        <v/>
      </c>
      <c r="E1502" s="4" t="str" cm="1">
        <f t="array" ref="E1502">IFERROR(INDEX(EmployeeData[Gender], ROW() - 37), "")</f>
        <v/>
      </c>
      <c r="F1502" s="4" t="str" cm="1">
        <f t="array" ref="F1502">IFERROR(INDEX(EmployeeData[Age], ROW() - 37), "")</f>
        <v/>
      </c>
      <c r="G1502" s="6" t="str" cm="1">
        <f t="array" ref="G1502">IFERROR(INDEX(EmployeeData[Join Date], ROW() - 37), "")</f>
        <v/>
      </c>
      <c r="H1502" s="6" t="str" cm="1">
        <f t="array" ref="H1502">IFERROR(IF(INDEX(EmployeeData[Exit Date], ROW() - 37)=0, "",INDEX(EmployeeData[Exit Date], ROW() - 37)),"")</f>
        <v/>
      </c>
      <c r="I1502" s="4" t="str" cm="1">
        <f t="array" ref="I1502">IFERROR(IF(INDEX(EmployeeData[Exit Reason], ROW() - 37)=0, "",INDEX(EmployeeData[Exit Reason], ROW() - 37)),"")</f>
        <v/>
      </c>
      <c r="J1502" s="4" t="str" cm="1">
        <f t="array" ref="J1502">IFERROR(INDEX(EmployeeData[Status], ROW() - 37), "")</f>
        <v/>
      </c>
    </row>
    <row r="1503" spans="2:10" ht="19.95" customHeight="1" x14ac:dyDescent="0.3">
      <c r="B1503" s="4" t="str" cm="1">
        <f t="array" ref="B1503">IFERROR(INDEX(EmployeeData[Employee ID], ROW() - 37), "")</f>
        <v/>
      </c>
      <c r="C1503" s="4" t="str" cm="1">
        <f t="array" ref="C1503">IFERROR(INDEX(EmployeeData[Full Name], ROW() - 37), "")</f>
        <v/>
      </c>
      <c r="D1503" s="4" t="str" cm="1">
        <f t="array" ref="D1503">IFERROR(INDEX(EmployeeData[Department], ROW() - 37), "")</f>
        <v/>
      </c>
      <c r="E1503" s="4" t="str" cm="1">
        <f t="array" ref="E1503">IFERROR(INDEX(EmployeeData[Gender], ROW() - 37), "")</f>
        <v/>
      </c>
      <c r="F1503" s="4" t="str" cm="1">
        <f t="array" ref="F1503">IFERROR(INDEX(EmployeeData[Age], ROW() - 37), "")</f>
        <v/>
      </c>
      <c r="G1503" s="6" t="str" cm="1">
        <f t="array" ref="G1503">IFERROR(INDEX(EmployeeData[Join Date], ROW() - 37), "")</f>
        <v/>
      </c>
      <c r="H1503" s="6" t="str" cm="1">
        <f t="array" ref="H1503">IFERROR(IF(INDEX(EmployeeData[Exit Date], ROW() - 37)=0, "",INDEX(EmployeeData[Exit Date], ROW() - 37)),"")</f>
        <v/>
      </c>
      <c r="I1503" s="4" t="str" cm="1">
        <f t="array" ref="I1503">IFERROR(IF(INDEX(EmployeeData[Exit Reason], ROW() - 37)=0, "",INDEX(EmployeeData[Exit Reason], ROW() - 37)),"")</f>
        <v/>
      </c>
      <c r="J1503" s="4" t="str" cm="1">
        <f t="array" ref="J1503">IFERROR(INDEX(EmployeeData[Status], ROW() - 37), "")</f>
        <v/>
      </c>
    </row>
    <row r="1504" spans="2:10" ht="19.95" customHeight="1" x14ac:dyDescent="0.3">
      <c r="B1504" s="4" t="str" cm="1">
        <f t="array" ref="B1504">IFERROR(INDEX(EmployeeData[Employee ID], ROW() - 37), "")</f>
        <v/>
      </c>
      <c r="C1504" s="4" t="str" cm="1">
        <f t="array" ref="C1504">IFERROR(INDEX(EmployeeData[Full Name], ROW() - 37), "")</f>
        <v/>
      </c>
      <c r="D1504" s="4" t="str" cm="1">
        <f t="array" ref="D1504">IFERROR(INDEX(EmployeeData[Department], ROW() - 37), "")</f>
        <v/>
      </c>
      <c r="E1504" s="4" t="str" cm="1">
        <f t="array" ref="E1504">IFERROR(INDEX(EmployeeData[Gender], ROW() - 37), "")</f>
        <v/>
      </c>
      <c r="F1504" s="4" t="str" cm="1">
        <f t="array" ref="F1504">IFERROR(INDEX(EmployeeData[Age], ROW() - 37), "")</f>
        <v/>
      </c>
      <c r="G1504" s="6" t="str" cm="1">
        <f t="array" ref="G1504">IFERROR(INDEX(EmployeeData[Join Date], ROW() - 37), "")</f>
        <v/>
      </c>
      <c r="H1504" s="6" t="str" cm="1">
        <f t="array" ref="H1504">IFERROR(IF(INDEX(EmployeeData[Exit Date], ROW() - 37)=0, "",INDEX(EmployeeData[Exit Date], ROW() - 37)),"")</f>
        <v/>
      </c>
      <c r="I1504" s="4" t="str" cm="1">
        <f t="array" ref="I1504">IFERROR(IF(INDEX(EmployeeData[Exit Reason], ROW() - 37)=0, "",INDEX(EmployeeData[Exit Reason], ROW() - 37)),"")</f>
        <v/>
      </c>
      <c r="J1504" s="4" t="str" cm="1">
        <f t="array" ref="J1504">IFERROR(INDEX(EmployeeData[Status], ROW() - 37), "")</f>
        <v/>
      </c>
    </row>
    <row r="1505" spans="2:10" ht="19.95" customHeight="1" x14ac:dyDescent="0.3">
      <c r="B1505" s="4" t="str" cm="1">
        <f t="array" ref="B1505">IFERROR(INDEX(EmployeeData[Employee ID], ROW() - 37), "")</f>
        <v/>
      </c>
      <c r="C1505" s="4" t="str" cm="1">
        <f t="array" ref="C1505">IFERROR(INDEX(EmployeeData[Full Name], ROW() - 37), "")</f>
        <v/>
      </c>
      <c r="D1505" s="4" t="str" cm="1">
        <f t="array" ref="D1505">IFERROR(INDEX(EmployeeData[Department], ROW() - 37), "")</f>
        <v/>
      </c>
      <c r="E1505" s="4" t="str" cm="1">
        <f t="array" ref="E1505">IFERROR(INDEX(EmployeeData[Gender], ROW() - 37), "")</f>
        <v/>
      </c>
      <c r="F1505" s="4" t="str" cm="1">
        <f t="array" ref="F1505">IFERROR(INDEX(EmployeeData[Age], ROW() - 37), "")</f>
        <v/>
      </c>
      <c r="G1505" s="6" t="str" cm="1">
        <f t="array" ref="G1505">IFERROR(INDEX(EmployeeData[Join Date], ROW() - 37), "")</f>
        <v/>
      </c>
      <c r="H1505" s="6" t="str" cm="1">
        <f t="array" ref="H1505">IFERROR(IF(INDEX(EmployeeData[Exit Date], ROW() - 37)=0, "",INDEX(EmployeeData[Exit Date], ROW() - 37)),"")</f>
        <v/>
      </c>
      <c r="I1505" s="4" t="str" cm="1">
        <f t="array" ref="I1505">IFERROR(IF(INDEX(EmployeeData[Exit Reason], ROW() - 37)=0, "",INDEX(EmployeeData[Exit Reason], ROW() - 37)),"")</f>
        <v/>
      </c>
      <c r="J1505" s="4" t="str" cm="1">
        <f t="array" ref="J1505">IFERROR(INDEX(EmployeeData[Status], ROW() - 37), "")</f>
        <v/>
      </c>
    </row>
    <row r="1506" spans="2:10" ht="19.95" customHeight="1" x14ac:dyDescent="0.3">
      <c r="B1506" s="4" t="str" cm="1">
        <f t="array" ref="B1506">IFERROR(INDEX(EmployeeData[Employee ID], ROW() - 37), "")</f>
        <v/>
      </c>
      <c r="C1506" s="4" t="str" cm="1">
        <f t="array" ref="C1506">IFERROR(INDEX(EmployeeData[Full Name], ROW() - 37), "")</f>
        <v/>
      </c>
      <c r="D1506" s="4" t="str" cm="1">
        <f t="array" ref="D1506">IFERROR(INDEX(EmployeeData[Department], ROW() - 37), "")</f>
        <v/>
      </c>
      <c r="E1506" s="4" t="str" cm="1">
        <f t="array" ref="E1506">IFERROR(INDEX(EmployeeData[Gender], ROW() - 37), "")</f>
        <v/>
      </c>
      <c r="F1506" s="4" t="str" cm="1">
        <f t="array" ref="F1506">IFERROR(INDEX(EmployeeData[Age], ROW() - 37), "")</f>
        <v/>
      </c>
      <c r="G1506" s="6" t="str" cm="1">
        <f t="array" ref="G1506">IFERROR(INDEX(EmployeeData[Join Date], ROW() - 37), "")</f>
        <v/>
      </c>
      <c r="H1506" s="6" t="str" cm="1">
        <f t="array" ref="H1506">IFERROR(IF(INDEX(EmployeeData[Exit Date], ROW() - 37)=0, "",INDEX(EmployeeData[Exit Date], ROW() - 37)),"")</f>
        <v/>
      </c>
      <c r="I1506" s="4" t="str" cm="1">
        <f t="array" ref="I1506">IFERROR(IF(INDEX(EmployeeData[Exit Reason], ROW() - 37)=0, "",INDEX(EmployeeData[Exit Reason], ROW() - 37)),"")</f>
        <v/>
      </c>
      <c r="J1506" s="4" t="str" cm="1">
        <f t="array" ref="J1506">IFERROR(INDEX(EmployeeData[Status], ROW() - 37), "")</f>
        <v/>
      </c>
    </row>
    <row r="1507" spans="2:10" ht="19.95" customHeight="1" x14ac:dyDescent="0.3">
      <c r="B1507" s="4" t="str" cm="1">
        <f t="array" ref="B1507">IFERROR(INDEX(EmployeeData[Employee ID], ROW() - 37), "")</f>
        <v/>
      </c>
      <c r="C1507" s="4" t="str" cm="1">
        <f t="array" ref="C1507">IFERROR(INDEX(EmployeeData[Full Name], ROW() - 37), "")</f>
        <v/>
      </c>
      <c r="D1507" s="4" t="str" cm="1">
        <f t="array" ref="D1507">IFERROR(INDEX(EmployeeData[Department], ROW() - 37), "")</f>
        <v/>
      </c>
      <c r="E1507" s="4" t="str" cm="1">
        <f t="array" ref="E1507">IFERROR(INDEX(EmployeeData[Gender], ROW() - 37), "")</f>
        <v/>
      </c>
      <c r="F1507" s="4" t="str" cm="1">
        <f t="array" ref="F1507">IFERROR(INDEX(EmployeeData[Age], ROW() - 37), "")</f>
        <v/>
      </c>
      <c r="G1507" s="6" t="str" cm="1">
        <f t="array" ref="G1507">IFERROR(INDEX(EmployeeData[Join Date], ROW() - 37), "")</f>
        <v/>
      </c>
      <c r="H1507" s="6" t="str" cm="1">
        <f t="array" ref="H1507">IFERROR(IF(INDEX(EmployeeData[Exit Date], ROW() - 37)=0, "",INDEX(EmployeeData[Exit Date], ROW() - 37)),"")</f>
        <v/>
      </c>
      <c r="I1507" s="4" t="str" cm="1">
        <f t="array" ref="I1507">IFERROR(IF(INDEX(EmployeeData[Exit Reason], ROW() - 37)=0, "",INDEX(EmployeeData[Exit Reason], ROW() - 37)),"")</f>
        <v/>
      </c>
      <c r="J1507" s="4" t="str" cm="1">
        <f t="array" ref="J1507">IFERROR(INDEX(EmployeeData[Status], ROW() - 37), "")</f>
        <v/>
      </c>
    </row>
    <row r="1508" spans="2:10" ht="19.95" customHeight="1" x14ac:dyDescent="0.3">
      <c r="B1508" s="4" t="str" cm="1">
        <f t="array" ref="B1508">IFERROR(INDEX(EmployeeData[Employee ID], ROW() - 37), "")</f>
        <v/>
      </c>
      <c r="C1508" s="4" t="str" cm="1">
        <f t="array" ref="C1508">IFERROR(INDEX(EmployeeData[Full Name], ROW() - 37), "")</f>
        <v/>
      </c>
      <c r="D1508" s="4" t="str" cm="1">
        <f t="array" ref="D1508">IFERROR(INDEX(EmployeeData[Department], ROW() - 37), "")</f>
        <v/>
      </c>
      <c r="E1508" s="4" t="str" cm="1">
        <f t="array" ref="E1508">IFERROR(INDEX(EmployeeData[Gender], ROW() - 37), "")</f>
        <v/>
      </c>
      <c r="F1508" s="4" t="str" cm="1">
        <f t="array" ref="F1508">IFERROR(INDEX(EmployeeData[Age], ROW() - 37), "")</f>
        <v/>
      </c>
      <c r="G1508" s="6" t="str" cm="1">
        <f t="array" ref="G1508">IFERROR(INDEX(EmployeeData[Join Date], ROW() - 37), "")</f>
        <v/>
      </c>
      <c r="H1508" s="6" t="str" cm="1">
        <f t="array" ref="H1508">IFERROR(IF(INDEX(EmployeeData[Exit Date], ROW() - 37)=0, "",INDEX(EmployeeData[Exit Date], ROW() - 37)),"")</f>
        <v/>
      </c>
      <c r="I1508" s="4" t="str" cm="1">
        <f t="array" ref="I1508">IFERROR(IF(INDEX(EmployeeData[Exit Reason], ROW() - 37)=0, "",INDEX(EmployeeData[Exit Reason], ROW() - 37)),"")</f>
        <v/>
      </c>
      <c r="J1508" s="4" t="str" cm="1">
        <f t="array" ref="J1508">IFERROR(INDEX(EmployeeData[Status], ROW() - 37), "")</f>
        <v/>
      </c>
    </row>
    <row r="1509" spans="2:10" ht="19.95" customHeight="1" x14ac:dyDescent="0.3">
      <c r="B1509" s="4" t="str" cm="1">
        <f t="array" ref="B1509">IFERROR(INDEX(EmployeeData[Employee ID], ROW() - 37), "")</f>
        <v/>
      </c>
      <c r="C1509" s="4" t="str" cm="1">
        <f t="array" ref="C1509">IFERROR(INDEX(EmployeeData[Full Name], ROW() - 37), "")</f>
        <v/>
      </c>
      <c r="D1509" s="4" t="str" cm="1">
        <f t="array" ref="D1509">IFERROR(INDEX(EmployeeData[Department], ROW() - 37), "")</f>
        <v/>
      </c>
      <c r="E1509" s="4" t="str" cm="1">
        <f t="array" ref="E1509">IFERROR(INDEX(EmployeeData[Gender], ROW() - 37), "")</f>
        <v/>
      </c>
      <c r="F1509" s="4" t="str" cm="1">
        <f t="array" ref="F1509">IFERROR(INDEX(EmployeeData[Age], ROW() - 37), "")</f>
        <v/>
      </c>
      <c r="G1509" s="6" t="str" cm="1">
        <f t="array" ref="G1509">IFERROR(INDEX(EmployeeData[Join Date], ROW() - 37), "")</f>
        <v/>
      </c>
      <c r="H1509" s="6" t="str" cm="1">
        <f t="array" ref="H1509">IFERROR(IF(INDEX(EmployeeData[Exit Date], ROW() - 37)=0, "",INDEX(EmployeeData[Exit Date], ROW() - 37)),"")</f>
        <v/>
      </c>
      <c r="I1509" s="4" t="str" cm="1">
        <f t="array" ref="I1509">IFERROR(IF(INDEX(EmployeeData[Exit Reason], ROW() - 37)=0, "",INDEX(EmployeeData[Exit Reason], ROW() - 37)),"")</f>
        <v/>
      </c>
      <c r="J1509" s="4" t="str" cm="1">
        <f t="array" ref="J1509">IFERROR(INDEX(EmployeeData[Status], ROW() - 37), "")</f>
        <v/>
      </c>
    </row>
    <row r="1510" spans="2:10" ht="19.95" customHeight="1" x14ac:dyDescent="0.3">
      <c r="B1510" s="4" t="str" cm="1">
        <f t="array" ref="B1510">IFERROR(INDEX(EmployeeData[Employee ID], ROW() - 37), "")</f>
        <v/>
      </c>
      <c r="C1510" s="4" t="str" cm="1">
        <f t="array" ref="C1510">IFERROR(INDEX(EmployeeData[Full Name], ROW() - 37), "")</f>
        <v/>
      </c>
      <c r="D1510" s="4" t="str" cm="1">
        <f t="array" ref="D1510">IFERROR(INDEX(EmployeeData[Department], ROW() - 37), "")</f>
        <v/>
      </c>
      <c r="E1510" s="4" t="str" cm="1">
        <f t="array" ref="E1510">IFERROR(INDEX(EmployeeData[Gender], ROW() - 37), "")</f>
        <v/>
      </c>
      <c r="F1510" s="4" t="str" cm="1">
        <f t="array" ref="F1510">IFERROR(INDEX(EmployeeData[Age], ROW() - 37), "")</f>
        <v/>
      </c>
      <c r="G1510" s="6" t="str" cm="1">
        <f t="array" ref="G1510">IFERROR(INDEX(EmployeeData[Join Date], ROW() - 37), "")</f>
        <v/>
      </c>
      <c r="H1510" s="6" t="str" cm="1">
        <f t="array" ref="H1510">IFERROR(IF(INDEX(EmployeeData[Exit Date], ROW() - 37)=0, "",INDEX(EmployeeData[Exit Date], ROW() - 37)),"")</f>
        <v/>
      </c>
      <c r="I1510" s="4" t="str" cm="1">
        <f t="array" ref="I1510">IFERROR(IF(INDEX(EmployeeData[Exit Reason], ROW() - 37)=0, "",INDEX(EmployeeData[Exit Reason], ROW() - 37)),"")</f>
        <v/>
      </c>
      <c r="J1510" s="4" t="str" cm="1">
        <f t="array" ref="J1510">IFERROR(INDEX(EmployeeData[Status], ROW() - 37), "")</f>
        <v/>
      </c>
    </row>
    <row r="1511" spans="2:10" ht="19.95" customHeight="1" x14ac:dyDescent="0.3">
      <c r="B1511" s="4" t="str" cm="1">
        <f t="array" ref="B1511">IFERROR(INDEX(EmployeeData[Employee ID], ROW() - 37), "")</f>
        <v/>
      </c>
      <c r="C1511" s="4" t="str" cm="1">
        <f t="array" ref="C1511">IFERROR(INDEX(EmployeeData[Full Name], ROW() - 37), "")</f>
        <v/>
      </c>
      <c r="D1511" s="4" t="str" cm="1">
        <f t="array" ref="D1511">IFERROR(INDEX(EmployeeData[Department], ROW() - 37), "")</f>
        <v/>
      </c>
      <c r="E1511" s="4" t="str" cm="1">
        <f t="array" ref="E1511">IFERROR(INDEX(EmployeeData[Gender], ROW() - 37), "")</f>
        <v/>
      </c>
      <c r="F1511" s="4" t="str" cm="1">
        <f t="array" ref="F1511">IFERROR(INDEX(EmployeeData[Age], ROW() - 37), "")</f>
        <v/>
      </c>
      <c r="G1511" s="6" t="str" cm="1">
        <f t="array" ref="G1511">IFERROR(INDEX(EmployeeData[Join Date], ROW() - 37), "")</f>
        <v/>
      </c>
      <c r="H1511" s="6" t="str" cm="1">
        <f t="array" ref="H1511">IFERROR(IF(INDEX(EmployeeData[Exit Date], ROW() - 37)=0, "",INDEX(EmployeeData[Exit Date], ROW() - 37)),"")</f>
        <v/>
      </c>
      <c r="I1511" s="4" t="str" cm="1">
        <f t="array" ref="I1511">IFERROR(IF(INDEX(EmployeeData[Exit Reason], ROW() - 37)=0, "",INDEX(EmployeeData[Exit Reason], ROW() - 37)),"")</f>
        <v/>
      </c>
      <c r="J1511" s="4" t="str" cm="1">
        <f t="array" ref="J1511">IFERROR(INDEX(EmployeeData[Status], ROW() - 37), "")</f>
        <v/>
      </c>
    </row>
    <row r="1512" spans="2:10" ht="19.95" customHeight="1" x14ac:dyDescent="0.3">
      <c r="B1512" s="4" t="str" cm="1">
        <f t="array" ref="B1512">IFERROR(INDEX(EmployeeData[Employee ID], ROW() - 37), "")</f>
        <v/>
      </c>
      <c r="C1512" s="4" t="str" cm="1">
        <f t="array" ref="C1512">IFERROR(INDEX(EmployeeData[Full Name], ROW() - 37), "")</f>
        <v/>
      </c>
      <c r="D1512" s="4" t="str" cm="1">
        <f t="array" ref="D1512">IFERROR(INDEX(EmployeeData[Department], ROW() - 37), "")</f>
        <v/>
      </c>
      <c r="E1512" s="4" t="str" cm="1">
        <f t="array" ref="E1512">IFERROR(INDEX(EmployeeData[Gender], ROW() - 37), "")</f>
        <v/>
      </c>
      <c r="F1512" s="4" t="str" cm="1">
        <f t="array" ref="F1512">IFERROR(INDEX(EmployeeData[Age], ROW() - 37), "")</f>
        <v/>
      </c>
      <c r="G1512" s="6" t="str" cm="1">
        <f t="array" ref="G1512">IFERROR(INDEX(EmployeeData[Join Date], ROW() - 37), "")</f>
        <v/>
      </c>
      <c r="H1512" s="6" t="str" cm="1">
        <f t="array" ref="H1512">IFERROR(IF(INDEX(EmployeeData[Exit Date], ROW() - 37)=0, "",INDEX(EmployeeData[Exit Date], ROW() - 37)),"")</f>
        <v/>
      </c>
      <c r="I1512" s="4" t="str" cm="1">
        <f t="array" ref="I1512">IFERROR(IF(INDEX(EmployeeData[Exit Reason], ROW() - 37)=0, "",INDEX(EmployeeData[Exit Reason], ROW() - 37)),"")</f>
        <v/>
      </c>
      <c r="J1512" s="4" t="str" cm="1">
        <f t="array" ref="J1512">IFERROR(INDEX(EmployeeData[Status], ROW() - 37), "")</f>
        <v/>
      </c>
    </row>
    <row r="1513" spans="2:10" ht="19.95" customHeight="1" x14ac:dyDescent="0.3">
      <c r="B1513" s="4" t="str" cm="1">
        <f t="array" ref="B1513">IFERROR(INDEX(EmployeeData[Employee ID], ROW() - 37), "")</f>
        <v/>
      </c>
      <c r="C1513" s="4" t="str" cm="1">
        <f t="array" ref="C1513">IFERROR(INDEX(EmployeeData[Full Name], ROW() - 37), "")</f>
        <v/>
      </c>
      <c r="D1513" s="4" t="str" cm="1">
        <f t="array" ref="D1513">IFERROR(INDEX(EmployeeData[Department], ROW() - 37), "")</f>
        <v/>
      </c>
      <c r="E1513" s="4" t="str" cm="1">
        <f t="array" ref="E1513">IFERROR(INDEX(EmployeeData[Gender], ROW() - 37), "")</f>
        <v/>
      </c>
      <c r="F1513" s="4" t="str" cm="1">
        <f t="array" ref="F1513">IFERROR(INDEX(EmployeeData[Age], ROW() - 37), "")</f>
        <v/>
      </c>
      <c r="G1513" s="6" t="str" cm="1">
        <f t="array" ref="G1513">IFERROR(INDEX(EmployeeData[Join Date], ROW() - 37), "")</f>
        <v/>
      </c>
      <c r="H1513" s="6" t="str" cm="1">
        <f t="array" ref="H1513">IFERROR(IF(INDEX(EmployeeData[Exit Date], ROW() - 37)=0, "",INDEX(EmployeeData[Exit Date], ROW() - 37)),"")</f>
        <v/>
      </c>
      <c r="I1513" s="4" t="str" cm="1">
        <f t="array" ref="I1513">IFERROR(IF(INDEX(EmployeeData[Exit Reason], ROW() - 37)=0, "",INDEX(EmployeeData[Exit Reason], ROW() - 37)),"")</f>
        <v/>
      </c>
      <c r="J1513" s="4" t="str" cm="1">
        <f t="array" ref="J1513">IFERROR(INDEX(EmployeeData[Status], ROW() - 37), "")</f>
        <v/>
      </c>
    </row>
    <row r="1514" spans="2:10" ht="19.95" customHeight="1" x14ac:dyDescent="0.3">
      <c r="B1514" s="4" t="str" cm="1">
        <f t="array" ref="B1514">IFERROR(INDEX(EmployeeData[Employee ID], ROW() - 37), "")</f>
        <v/>
      </c>
      <c r="C1514" s="4" t="str" cm="1">
        <f t="array" ref="C1514">IFERROR(INDEX(EmployeeData[Full Name], ROW() - 37), "")</f>
        <v/>
      </c>
      <c r="D1514" s="4" t="str" cm="1">
        <f t="array" ref="D1514">IFERROR(INDEX(EmployeeData[Department], ROW() - 37), "")</f>
        <v/>
      </c>
      <c r="E1514" s="4" t="str" cm="1">
        <f t="array" ref="E1514">IFERROR(INDEX(EmployeeData[Gender], ROW() - 37), "")</f>
        <v/>
      </c>
      <c r="F1514" s="4" t="str" cm="1">
        <f t="array" ref="F1514">IFERROR(INDEX(EmployeeData[Age], ROW() - 37), "")</f>
        <v/>
      </c>
      <c r="G1514" s="6" t="str" cm="1">
        <f t="array" ref="G1514">IFERROR(INDEX(EmployeeData[Join Date], ROW() - 37), "")</f>
        <v/>
      </c>
      <c r="H1514" s="6" t="str" cm="1">
        <f t="array" ref="H1514">IFERROR(IF(INDEX(EmployeeData[Exit Date], ROW() - 37)=0, "",INDEX(EmployeeData[Exit Date], ROW() - 37)),"")</f>
        <v/>
      </c>
      <c r="I1514" s="4" t="str" cm="1">
        <f t="array" ref="I1514">IFERROR(IF(INDEX(EmployeeData[Exit Reason], ROW() - 37)=0, "",INDEX(EmployeeData[Exit Reason], ROW() - 37)),"")</f>
        <v/>
      </c>
      <c r="J1514" s="4" t="str" cm="1">
        <f t="array" ref="J1514">IFERROR(INDEX(EmployeeData[Status], ROW() - 37), "")</f>
        <v/>
      </c>
    </row>
    <row r="1515" spans="2:10" ht="19.95" customHeight="1" x14ac:dyDescent="0.3">
      <c r="B1515" s="4" t="str" cm="1">
        <f t="array" ref="B1515">IFERROR(INDEX(EmployeeData[Employee ID], ROW() - 37), "")</f>
        <v/>
      </c>
      <c r="C1515" s="4" t="str" cm="1">
        <f t="array" ref="C1515">IFERROR(INDEX(EmployeeData[Full Name], ROW() - 37), "")</f>
        <v/>
      </c>
      <c r="D1515" s="4" t="str" cm="1">
        <f t="array" ref="D1515">IFERROR(INDEX(EmployeeData[Department], ROW() - 37), "")</f>
        <v/>
      </c>
      <c r="E1515" s="4" t="str" cm="1">
        <f t="array" ref="E1515">IFERROR(INDEX(EmployeeData[Gender], ROW() - 37), "")</f>
        <v/>
      </c>
      <c r="F1515" s="4" t="str" cm="1">
        <f t="array" ref="F1515">IFERROR(INDEX(EmployeeData[Age], ROW() - 37), "")</f>
        <v/>
      </c>
      <c r="G1515" s="6" t="str" cm="1">
        <f t="array" ref="G1515">IFERROR(INDEX(EmployeeData[Join Date], ROW() - 37), "")</f>
        <v/>
      </c>
      <c r="H1515" s="6" t="str" cm="1">
        <f t="array" ref="H1515">IFERROR(IF(INDEX(EmployeeData[Exit Date], ROW() - 37)=0, "",INDEX(EmployeeData[Exit Date], ROW() - 37)),"")</f>
        <v/>
      </c>
      <c r="I1515" s="4" t="str" cm="1">
        <f t="array" ref="I1515">IFERROR(IF(INDEX(EmployeeData[Exit Reason], ROW() - 37)=0, "",INDEX(EmployeeData[Exit Reason], ROW() - 37)),"")</f>
        <v/>
      </c>
      <c r="J1515" s="4" t="str" cm="1">
        <f t="array" ref="J1515">IFERROR(INDEX(EmployeeData[Status], ROW() - 37), "")</f>
        <v/>
      </c>
    </row>
    <row r="1516" spans="2:10" ht="19.95" customHeight="1" x14ac:dyDescent="0.3">
      <c r="B1516" s="4" t="str" cm="1">
        <f t="array" ref="B1516">IFERROR(INDEX(EmployeeData[Employee ID], ROW() - 37), "")</f>
        <v/>
      </c>
      <c r="C1516" s="4" t="str" cm="1">
        <f t="array" ref="C1516">IFERROR(INDEX(EmployeeData[Full Name], ROW() - 37), "")</f>
        <v/>
      </c>
      <c r="D1516" s="4" t="str" cm="1">
        <f t="array" ref="D1516">IFERROR(INDEX(EmployeeData[Department], ROW() - 37), "")</f>
        <v/>
      </c>
      <c r="E1516" s="4" t="str" cm="1">
        <f t="array" ref="E1516">IFERROR(INDEX(EmployeeData[Gender], ROW() - 37), "")</f>
        <v/>
      </c>
      <c r="F1516" s="4" t="str" cm="1">
        <f t="array" ref="F1516">IFERROR(INDEX(EmployeeData[Age], ROW() - 37), "")</f>
        <v/>
      </c>
      <c r="G1516" s="6" t="str" cm="1">
        <f t="array" ref="G1516">IFERROR(INDEX(EmployeeData[Join Date], ROW() - 37), "")</f>
        <v/>
      </c>
      <c r="H1516" s="6" t="str" cm="1">
        <f t="array" ref="H1516">IFERROR(IF(INDEX(EmployeeData[Exit Date], ROW() - 37)=0, "",INDEX(EmployeeData[Exit Date], ROW() - 37)),"")</f>
        <v/>
      </c>
      <c r="I1516" s="4" t="str" cm="1">
        <f t="array" ref="I1516">IFERROR(IF(INDEX(EmployeeData[Exit Reason], ROW() - 37)=0, "",INDEX(EmployeeData[Exit Reason], ROW() - 37)),"")</f>
        <v/>
      </c>
      <c r="J1516" s="4" t="str" cm="1">
        <f t="array" ref="J1516">IFERROR(INDEX(EmployeeData[Status], ROW() - 37), "")</f>
        <v/>
      </c>
    </row>
    <row r="1517" spans="2:10" ht="19.95" customHeight="1" x14ac:dyDescent="0.3">
      <c r="B1517" s="4" t="str" cm="1">
        <f t="array" ref="B1517">IFERROR(INDEX(EmployeeData[Employee ID], ROW() - 37), "")</f>
        <v/>
      </c>
      <c r="C1517" s="4" t="str" cm="1">
        <f t="array" ref="C1517">IFERROR(INDEX(EmployeeData[Full Name], ROW() - 37), "")</f>
        <v/>
      </c>
      <c r="D1517" s="4" t="str" cm="1">
        <f t="array" ref="D1517">IFERROR(INDEX(EmployeeData[Department], ROW() - 37), "")</f>
        <v/>
      </c>
      <c r="E1517" s="4" t="str" cm="1">
        <f t="array" ref="E1517">IFERROR(INDEX(EmployeeData[Gender], ROW() - 37), "")</f>
        <v/>
      </c>
      <c r="F1517" s="4" t="str" cm="1">
        <f t="array" ref="F1517">IFERROR(INDEX(EmployeeData[Age], ROW() - 37), "")</f>
        <v/>
      </c>
      <c r="G1517" s="6" t="str" cm="1">
        <f t="array" ref="G1517">IFERROR(INDEX(EmployeeData[Join Date], ROW() - 37), "")</f>
        <v/>
      </c>
      <c r="H1517" s="6" t="str" cm="1">
        <f t="array" ref="H1517">IFERROR(IF(INDEX(EmployeeData[Exit Date], ROW() - 37)=0, "",INDEX(EmployeeData[Exit Date], ROW() - 37)),"")</f>
        <v/>
      </c>
      <c r="I1517" s="4" t="str" cm="1">
        <f t="array" ref="I1517">IFERROR(IF(INDEX(EmployeeData[Exit Reason], ROW() - 37)=0, "",INDEX(EmployeeData[Exit Reason], ROW() - 37)),"")</f>
        <v/>
      </c>
      <c r="J1517" s="4" t="str" cm="1">
        <f t="array" ref="J1517">IFERROR(INDEX(EmployeeData[Status], ROW() - 37), "")</f>
        <v/>
      </c>
    </row>
    <row r="1518" spans="2:10" ht="19.95" customHeight="1" x14ac:dyDescent="0.3">
      <c r="B1518" s="4" t="str" cm="1">
        <f t="array" ref="B1518">IFERROR(INDEX(EmployeeData[Employee ID], ROW() - 37), "")</f>
        <v/>
      </c>
      <c r="C1518" s="4" t="str" cm="1">
        <f t="array" ref="C1518">IFERROR(INDEX(EmployeeData[Full Name], ROW() - 37), "")</f>
        <v/>
      </c>
      <c r="D1518" s="4" t="str" cm="1">
        <f t="array" ref="D1518">IFERROR(INDEX(EmployeeData[Department], ROW() - 37), "")</f>
        <v/>
      </c>
      <c r="E1518" s="4" t="str" cm="1">
        <f t="array" ref="E1518">IFERROR(INDEX(EmployeeData[Gender], ROW() - 37), "")</f>
        <v/>
      </c>
      <c r="F1518" s="4" t="str" cm="1">
        <f t="array" ref="F1518">IFERROR(INDEX(EmployeeData[Age], ROW() - 37), "")</f>
        <v/>
      </c>
      <c r="G1518" s="6" t="str" cm="1">
        <f t="array" ref="G1518">IFERROR(INDEX(EmployeeData[Join Date], ROW() - 37), "")</f>
        <v/>
      </c>
      <c r="H1518" s="6" t="str" cm="1">
        <f t="array" ref="H1518">IFERROR(IF(INDEX(EmployeeData[Exit Date], ROW() - 37)=0, "",INDEX(EmployeeData[Exit Date], ROW() - 37)),"")</f>
        <v/>
      </c>
      <c r="I1518" s="4" t="str" cm="1">
        <f t="array" ref="I1518">IFERROR(IF(INDEX(EmployeeData[Exit Reason], ROW() - 37)=0, "",INDEX(EmployeeData[Exit Reason], ROW() - 37)),"")</f>
        <v/>
      </c>
      <c r="J1518" s="4" t="str" cm="1">
        <f t="array" ref="J1518">IFERROR(INDEX(EmployeeData[Status], ROW() - 37), "")</f>
        <v/>
      </c>
    </row>
    <row r="1519" spans="2:10" ht="19.95" customHeight="1" x14ac:dyDescent="0.3">
      <c r="B1519" s="4" t="str" cm="1">
        <f t="array" ref="B1519">IFERROR(INDEX(EmployeeData[Employee ID], ROW() - 37), "")</f>
        <v/>
      </c>
      <c r="C1519" s="4" t="str" cm="1">
        <f t="array" ref="C1519">IFERROR(INDEX(EmployeeData[Full Name], ROW() - 37), "")</f>
        <v/>
      </c>
      <c r="D1519" s="4" t="str" cm="1">
        <f t="array" ref="D1519">IFERROR(INDEX(EmployeeData[Department], ROW() - 37), "")</f>
        <v/>
      </c>
      <c r="E1519" s="4" t="str" cm="1">
        <f t="array" ref="E1519">IFERROR(INDEX(EmployeeData[Gender], ROW() - 37), "")</f>
        <v/>
      </c>
      <c r="F1519" s="4" t="str" cm="1">
        <f t="array" ref="F1519">IFERROR(INDEX(EmployeeData[Age], ROW() - 37), "")</f>
        <v/>
      </c>
      <c r="G1519" s="6" t="str" cm="1">
        <f t="array" ref="G1519">IFERROR(INDEX(EmployeeData[Join Date], ROW() - 37), "")</f>
        <v/>
      </c>
      <c r="H1519" s="6" t="str" cm="1">
        <f t="array" ref="H1519">IFERROR(IF(INDEX(EmployeeData[Exit Date], ROW() - 37)=0, "",INDEX(EmployeeData[Exit Date], ROW() - 37)),"")</f>
        <v/>
      </c>
      <c r="I1519" s="4" t="str" cm="1">
        <f t="array" ref="I1519">IFERROR(IF(INDEX(EmployeeData[Exit Reason], ROW() - 37)=0, "",INDEX(EmployeeData[Exit Reason], ROW() - 37)),"")</f>
        <v/>
      </c>
      <c r="J1519" s="4" t="str" cm="1">
        <f t="array" ref="J1519">IFERROR(INDEX(EmployeeData[Status], ROW() - 37), "")</f>
        <v/>
      </c>
    </row>
    <row r="1520" spans="2:10" ht="19.95" customHeight="1" x14ac:dyDescent="0.3">
      <c r="B1520" s="4" t="str" cm="1">
        <f t="array" ref="B1520">IFERROR(INDEX(EmployeeData[Employee ID], ROW() - 37), "")</f>
        <v/>
      </c>
      <c r="C1520" s="4" t="str" cm="1">
        <f t="array" ref="C1520">IFERROR(INDEX(EmployeeData[Full Name], ROW() - 37), "")</f>
        <v/>
      </c>
      <c r="D1520" s="4" t="str" cm="1">
        <f t="array" ref="D1520">IFERROR(INDEX(EmployeeData[Department], ROW() - 37), "")</f>
        <v/>
      </c>
      <c r="E1520" s="4" t="str" cm="1">
        <f t="array" ref="E1520">IFERROR(INDEX(EmployeeData[Gender], ROW() - 37), "")</f>
        <v/>
      </c>
      <c r="F1520" s="4" t="str" cm="1">
        <f t="array" ref="F1520">IFERROR(INDEX(EmployeeData[Age], ROW() - 37), "")</f>
        <v/>
      </c>
      <c r="G1520" s="6" t="str" cm="1">
        <f t="array" ref="G1520">IFERROR(INDEX(EmployeeData[Join Date], ROW() - 37), "")</f>
        <v/>
      </c>
      <c r="H1520" s="6" t="str" cm="1">
        <f t="array" ref="H1520">IFERROR(IF(INDEX(EmployeeData[Exit Date], ROW() - 37)=0, "",INDEX(EmployeeData[Exit Date], ROW() - 37)),"")</f>
        <v/>
      </c>
      <c r="I1520" s="4" t="str" cm="1">
        <f t="array" ref="I1520">IFERROR(IF(INDEX(EmployeeData[Exit Reason], ROW() - 37)=0, "",INDEX(EmployeeData[Exit Reason], ROW() - 37)),"")</f>
        <v/>
      </c>
      <c r="J1520" s="4" t="str" cm="1">
        <f t="array" ref="J1520">IFERROR(INDEX(EmployeeData[Status], ROW() - 37), "")</f>
        <v/>
      </c>
    </row>
    <row r="1521" spans="2:10" ht="19.95" customHeight="1" x14ac:dyDescent="0.3">
      <c r="B1521" s="4" t="str" cm="1">
        <f t="array" ref="B1521">IFERROR(INDEX(EmployeeData[Employee ID], ROW() - 37), "")</f>
        <v/>
      </c>
      <c r="C1521" s="4" t="str" cm="1">
        <f t="array" ref="C1521">IFERROR(INDEX(EmployeeData[Full Name], ROW() - 37), "")</f>
        <v/>
      </c>
      <c r="D1521" s="4" t="str" cm="1">
        <f t="array" ref="D1521">IFERROR(INDEX(EmployeeData[Department], ROW() - 37), "")</f>
        <v/>
      </c>
      <c r="E1521" s="4" t="str" cm="1">
        <f t="array" ref="E1521">IFERROR(INDEX(EmployeeData[Gender], ROW() - 37), "")</f>
        <v/>
      </c>
      <c r="F1521" s="4" t="str" cm="1">
        <f t="array" ref="F1521">IFERROR(INDEX(EmployeeData[Age], ROW() - 37), "")</f>
        <v/>
      </c>
      <c r="G1521" s="6" t="str" cm="1">
        <f t="array" ref="G1521">IFERROR(INDEX(EmployeeData[Join Date], ROW() - 37), "")</f>
        <v/>
      </c>
      <c r="H1521" s="6" t="str" cm="1">
        <f t="array" ref="H1521">IFERROR(IF(INDEX(EmployeeData[Exit Date], ROW() - 37)=0, "",INDEX(EmployeeData[Exit Date], ROW() - 37)),"")</f>
        <v/>
      </c>
      <c r="I1521" s="4" t="str" cm="1">
        <f t="array" ref="I1521">IFERROR(IF(INDEX(EmployeeData[Exit Reason], ROW() - 37)=0, "",INDEX(EmployeeData[Exit Reason], ROW() - 37)),"")</f>
        <v/>
      </c>
      <c r="J1521" s="4" t="str" cm="1">
        <f t="array" ref="J1521">IFERROR(INDEX(EmployeeData[Status], ROW() - 37), "")</f>
        <v/>
      </c>
    </row>
    <row r="1522" spans="2:10" ht="19.95" customHeight="1" x14ac:dyDescent="0.3">
      <c r="B1522" s="4" t="str" cm="1">
        <f t="array" ref="B1522">IFERROR(INDEX(EmployeeData[Employee ID], ROW() - 37), "")</f>
        <v/>
      </c>
      <c r="C1522" s="4" t="str" cm="1">
        <f t="array" ref="C1522">IFERROR(INDEX(EmployeeData[Full Name], ROW() - 37), "")</f>
        <v/>
      </c>
      <c r="D1522" s="4" t="str" cm="1">
        <f t="array" ref="D1522">IFERROR(INDEX(EmployeeData[Department], ROW() - 37), "")</f>
        <v/>
      </c>
      <c r="E1522" s="4" t="str" cm="1">
        <f t="array" ref="E1522">IFERROR(INDEX(EmployeeData[Gender], ROW() - 37), "")</f>
        <v/>
      </c>
      <c r="F1522" s="4" t="str" cm="1">
        <f t="array" ref="F1522">IFERROR(INDEX(EmployeeData[Age], ROW() - 37), "")</f>
        <v/>
      </c>
      <c r="G1522" s="6" t="str" cm="1">
        <f t="array" ref="G1522">IFERROR(INDEX(EmployeeData[Join Date], ROW() - 37), "")</f>
        <v/>
      </c>
      <c r="H1522" s="6" t="str" cm="1">
        <f t="array" ref="H1522">IFERROR(IF(INDEX(EmployeeData[Exit Date], ROW() - 37)=0, "",INDEX(EmployeeData[Exit Date], ROW() - 37)),"")</f>
        <v/>
      </c>
      <c r="I1522" s="4" t="str" cm="1">
        <f t="array" ref="I1522">IFERROR(IF(INDEX(EmployeeData[Exit Reason], ROW() - 37)=0, "",INDEX(EmployeeData[Exit Reason], ROW() - 37)),"")</f>
        <v/>
      </c>
      <c r="J1522" s="4" t="str" cm="1">
        <f t="array" ref="J1522">IFERROR(INDEX(EmployeeData[Status], ROW() - 37), "")</f>
        <v/>
      </c>
    </row>
    <row r="1523" spans="2:10" ht="19.95" customHeight="1" x14ac:dyDescent="0.3">
      <c r="B1523" s="4" t="str" cm="1">
        <f t="array" ref="B1523">IFERROR(INDEX(EmployeeData[Employee ID], ROW() - 37), "")</f>
        <v/>
      </c>
      <c r="C1523" s="4" t="str" cm="1">
        <f t="array" ref="C1523">IFERROR(INDEX(EmployeeData[Full Name], ROW() - 37), "")</f>
        <v/>
      </c>
      <c r="D1523" s="4" t="str" cm="1">
        <f t="array" ref="D1523">IFERROR(INDEX(EmployeeData[Department], ROW() - 37), "")</f>
        <v/>
      </c>
      <c r="E1523" s="4" t="str" cm="1">
        <f t="array" ref="E1523">IFERROR(INDEX(EmployeeData[Gender], ROW() - 37), "")</f>
        <v/>
      </c>
      <c r="F1523" s="4" t="str" cm="1">
        <f t="array" ref="F1523">IFERROR(INDEX(EmployeeData[Age], ROW() - 37), "")</f>
        <v/>
      </c>
      <c r="G1523" s="6" t="str" cm="1">
        <f t="array" ref="G1523">IFERROR(INDEX(EmployeeData[Join Date], ROW() - 37), "")</f>
        <v/>
      </c>
      <c r="H1523" s="6" t="str" cm="1">
        <f t="array" ref="H1523">IFERROR(IF(INDEX(EmployeeData[Exit Date], ROW() - 37)=0, "",INDEX(EmployeeData[Exit Date], ROW() - 37)),"")</f>
        <v/>
      </c>
      <c r="I1523" s="4" t="str" cm="1">
        <f t="array" ref="I1523">IFERROR(IF(INDEX(EmployeeData[Exit Reason], ROW() - 37)=0, "",INDEX(EmployeeData[Exit Reason], ROW() - 37)),"")</f>
        <v/>
      </c>
      <c r="J1523" s="4" t="str" cm="1">
        <f t="array" ref="J1523">IFERROR(INDEX(EmployeeData[Status], ROW() - 37), "")</f>
        <v/>
      </c>
    </row>
    <row r="1524" spans="2:10" ht="19.95" customHeight="1" x14ac:dyDescent="0.3">
      <c r="B1524" s="4" t="str" cm="1">
        <f t="array" ref="B1524">IFERROR(INDEX(EmployeeData[Employee ID], ROW() - 37), "")</f>
        <v/>
      </c>
      <c r="C1524" s="4" t="str" cm="1">
        <f t="array" ref="C1524">IFERROR(INDEX(EmployeeData[Full Name], ROW() - 37), "")</f>
        <v/>
      </c>
      <c r="D1524" s="4" t="str" cm="1">
        <f t="array" ref="D1524">IFERROR(INDEX(EmployeeData[Department], ROW() - 37), "")</f>
        <v/>
      </c>
      <c r="E1524" s="4" t="str" cm="1">
        <f t="array" ref="E1524">IFERROR(INDEX(EmployeeData[Gender], ROW() - 37), "")</f>
        <v/>
      </c>
      <c r="F1524" s="4" t="str" cm="1">
        <f t="array" ref="F1524">IFERROR(INDEX(EmployeeData[Age], ROW() - 37), "")</f>
        <v/>
      </c>
      <c r="G1524" s="6" t="str" cm="1">
        <f t="array" ref="G1524">IFERROR(INDEX(EmployeeData[Join Date], ROW() - 37), "")</f>
        <v/>
      </c>
      <c r="H1524" s="6" t="str" cm="1">
        <f t="array" ref="H1524">IFERROR(IF(INDEX(EmployeeData[Exit Date], ROW() - 37)=0, "",INDEX(EmployeeData[Exit Date], ROW() - 37)),"")</f>
        <v/>
      </c>
      <c r="I1524" s="4" t="str" cm="1">
        <f t="array" ref="I1524">IFERROR(IF(INDEX(EmployeeData[Exit Reason], ROW() - 37)=0, "",INDEX(EmployeeData[Exit Reason], ROW() - 37)),"")</f>
        <v/>
      </c>
      <c r="J1524" s="4" t="str" cm="1">
        <f t="array" ref="J1524">IFERROR(INDEX(EmployeeData[Status], ROW() - 37), "")</f>
        <v/>
      </c>
    </row>
    <row r="1525" spans="2:10" ht="19.95" customHeight="1" x14ac:dyDescent="0.3">
      <c r="B1525" s="4" t="str" cm="1">
        <f t="array" ref="B1525">IFERROR(INDEX(EmployeeData[Employee ID], ROW() - 37), "")</f>
        <v/>
      </c>
      <c r="C1525" s="4" t="str" cm="1">
        <f t="array" ref="C1525">IFERROR(INDEX(EmployeeData[Full Name], ROW() - 37), "")</f>
        <v/>
      </c>
      <c r="D1525" s="4" t="str" cm="1">
        <f t="array" ref="D1525">IFERROR(INDEX(EmployeeData[Department], ROW() - 37), "")</f>
        <v/>
      </c>
      <c r="E1525" s="4" t="str" cm="1">
        <f t="array" ref="E1525">IFERROR(INDEX(EmployeeData[Gender], ROW() - 37), "")</f>
        <v/>
      </c>
      <c r="F1525" s="4" t="str" cm="1">
        <f t="array" ref="F1525">IFERROR(INDEX(EmployeeData[Age], ROW() - 37), "")</f>
        <v/>
      </c>
      <c r="G1525" s="6" t="str" cm="1">
        <f t="array" ref="G1525">IFERROR(INDEX(EmployeeData[Join Date], ROW() - 37), "")</f>
        <v/>
      </c>
      <c r="H1525" s="6" t="str" cm="1">
        <f t="array" ref="H1525">IFERROR(IF(INDEX(EmployeeData[Exit Date], ROW() - 37)=0, "",INDEX(EmployeeData[Exit Date], ROW() - 37)),"")</f>
        <v/>
      </c>
      <c r="I1525" s="4" t="str" cm="1">
        <f t="array" ref="I1525">IFERROR(IF(INDEX(EmployeeData[Exit Reason], ROW() - 37)=0, "",INDEX(EmployeeData[Exit Reason], ROW() - 37)),"")</f>
        <v/>
      </c>
      <c r="J1525" s="4" t="str" cm="1">
        <f t="array" ref="J1525">IFERROR(INDEX(EmployeeData[Status], ROW() - 37), "")</f>
        <v/>
      </c>
    </row>
    <row r="1526" spans="2:10" ht="19.95" customHeight="1" x14ac:dyDescent="0.3">
      <c r="B1526" s="4" t="str" cm="1">
        <f t="array" ref="B1526">IFERROR(INDEX(EmployeeData[Employee ID], ROW() - 37), "")</f>
        <v/>
      </c>
      <c r="C1526" s="4" t="str" cm="1">
        <f t="array" ref="C1526">IFERROR(INDEX(EmployeeData[Full Name], ROW() - 37), "")</f>
        <v/>
      </c>
      <c r="D1526" s="4" t="str" cm="1">
        <f t="array" ref="D1526">IFERROR(INDEX(EmployeeData[Department], ROW() - 37), "")</f>
        <v/>
      </c>
      <c r="E1526" s="4" t="str" cm="1">
        <f t="array" ref="E1526">IFERROR(INDEX(EmployeeData[Gender], ROW() - 37), "")</f>
        <v/>
      </c>
      <c r="F1526" s="4" t="str" cm="1">
        <f t="array" ref="F1526">IFERROR(INDEX(EmployeeData[Age], ROW() - 37), "")</f>
        <v/>
      </c>
      <c r="G1526" s="6" t="str" cm="1">
        <f t="array" ref="G1526">IFERROR(INDEX(EmployeeData[Join Date], ROW() - 37), "")</f>
        <v/>
      </c>
      <c r="H1526" s="6" t="str" cm="1">
        <f t="array" ref="H1526">IFERROR(IF(INDEX(EmployeeData[Exit Date], ROW() - 37)=0, "",INDEX(EmployeeData[Exit Date], ROW() - 37)),"")</f>
        <v/>
      </c>
      <c r="I1526" s="4" t="str" cm="1">
        <f t="array" ref="I1526">IFERROR(IF(INDEX(EmployeeData[Exit Reason], ROW() - 37)=0, "",INDEX(EmployeeData[Exit Reason], ROW() - 37)),"")</f>
        <v/>
      </c>
      <c r="J1526" s="4" t="str" cm="1">
        <f t="array" ref="J1526">IFERROR(INDEX(EmployeeData[Status], ROW() - 37), "")</f>
        <v/>
      </c>
    </row>
    <row r="1527" spans="2:10" ht="19.95" customHeight="1" x14ac:dyDescent="0.3">
      <c r="B1527" s="4" t="str" cm="1">
        <f t="array" ref="B1527">IFERROR(INDEX(EmployeeData[Employee ID], ROW() - 37), "")</f>
        <v/>
      </c>
      <c r="C1527" s="4" t="str" cm="1">
        <f t="array" ref="C1527">IFERROR(INDEX(EmployeeData[Full Name], ROW() - 37), "")</f>
        <v/>
      </c>
      <c r="D1527" s="4" t="str" cm="1">
        <f t="array" ref="D1527">IFERROR(INDEX(EmployeeData[Department], ROW() - 37), "")</f>
        <v/>
      </c>
      <c r="E1527" s="4" t="str" cm="1">
        <f t="array" ref="E1527">IFERROR(INDEX(EmployeeData[Gender], ROW() - 37), "")</f>
        <v/>
      </c>
      <c r="F1527" s="4" t="str" cm="1">
        <f t="array" ref="F1527">IFERROR(INDEX(EmployeeData[Age], ROW() - 37), "")</f>
        <v/>
      </c>
      <c r="G1527" s="6" t="str" cm="1">
        <f t="array" ref="G1527">IFERROR(INDEX(EmployeeData[Join Date], ROW() - 37), "")</f>
        <v/>
      </c>
      <c r="H1527" s="6" t="str" cm="1">
        <f t="array" ref="H1527">IFERROR(IF(INDEX(EmployeeData[Exit Date], ROW() - 37)=0, "",INDEX(EmployeeData[Exit Date], ROW() - 37)),"")</f>
        <v/>
      </c>
      <c r="I1527" s="4" t="str" cm="1">
        <f t="array" ref="I1527">IFERROR(IF(INDEX(EmployeeData[Exit Reason], ROW() - 37)=0, "",INDEX(EmployeeData[Exit Reason], ROW() - 37)),"")</f>
        <v/>
      </c>
      <c r="J1527" s="4" t="str" cm="1">
        <f t="array" ref="J1527">IFERROR(INDEX(EmployeeData[Status], ROW() - 37), "")</f>
        <v/>
      </c>
    </row>
    <row r="1528" spans="2:10" ht="19.95" customHeight="1" x14ac:dyDescent="0.3">
      <c r="B1528" s="4" t="str" cm="1">
        <f t="array" ref="B1528">IFERROR(INDEX(EmployeeData[Employee ID], ROW() - 37), "")</f>
        <v/>
      </c>
      <c r="C1528" s="4" t="str" cm="1">
        <f t="array" ref="C1528">IFERROR(INDEX(EmployeeData[Full Name], ROW() - 37), "")</f>
        <v/>
      </c>
      <c r="D1528" s="4" t="str" cm="1">
        <f t="array" ref="D1528">IFERROR(INDEX(EmployeeData[Department], ROW() - 37), "")</f>
        <v/>
      </c>
      <c r="E1528" s="4" t="str" cm="1">
        <f t="array" ref="E1528">IFERROR(INDEX(EmployeeData[Gender], ROW() - 37), "")</f>
        <v/>
      </c>
      <c r="F1528" s="4" t="str" cm="1">
        <f t="array" ref="F1528">IFERROR(INDEX(EmployeeData[Age], ROW() - 37), "")</f>
        <v/>
      </c>
      <c r="G1528" s="6" t="str" cm="1">
        <f t="array" ref="G1528">IFERROR(INDEX(EmployeeData[Join Date], ROW() - 37), "")</f>
        <v/>
      </c>
      <c r="H1528" s="6" t="str" cm="1">
        <f t="array" ref="H1528">IFERROR(IF(INDEX(EmployeeData[Exit Date], ROW() - 37)=0, "",INDEX(EmployeeData[Exit Date], ROW() - 37)),"")</f>
        <v/>
      </c>
      <c r="I1528" s="4" t="str" cm="1">
        <f t="array" ref="I1528">IFERROR(IF(INDEX(EmployeeData[Exit Reason], ROW() - 37)=0, "",INDEX(EmployeeData[Exit Reason], ROW() - 37)),"")</f>
        <v/>
      </c>
      <c r="J1528" s="4" t="str" cm="1">
        <f t="array" ref="J1528">IFERROR(INDEX(EmployeeData[Status], ROW() - 37), "")</f>
        <v/>
      </c>
    </row>
    <row r="1529" spans="2:10" ht="19.95" customHeight="1" x14ac:dyDescent="0.3">
      <c r="B1529" s="4" t="str" cm="1">
        <f t="array" ref="B1529">IFERROR(INDEX(EmployeeData[Employee ID], ROW() - 37), "")</f>
        <v/>
      </c>
      <c r="C1529" s="4" t="str" cm="1">
        <f t="array" ref="C1529">IFERROR(INDEX(EmployeeData[Full Name], ROW() - 37), "")</f>
        <v/>
      </c>
      <c r="D1529" s="4" t="str" cm="1">
        <f t="array" ref="D1529">IFERROR(INDEX(EmployeeData[Department], ROW() - 37), "")</f>
        <v/>
      </c>
      <c r="E1529" s="4" t="str" cm="1">
        <f t="array" ref="E1529">IFERROR(INDEX(EmployeeData[Gender], ROW() - 37), "")</f>
        <v/>
      </c>
      <c r="F1529" s="4" t="str" cm="1">
        <f t="array" ref="F1529">IFERROR(INDEX(EmployeeData[Age], ROW() - 37), "")</f>
        <v/>
      </c>
      <c r="G1529" s="6" t="str" cm="1">
        <f t="array" ref="G1529">IFERROR(INDEX(EmployeeData[Join Date], ROW() - 37), "")</f>
        <v/>
      </c>
      <c r="H1529" s="6" t="str" cm="1">
        <f t="array" ref="H1529">IFERROR(IF(INDEX(EmployeeData[Exit Date], ROW() - 37)=0, "",INDEX(EmployeeData[Exit Date], ROW() - 37)),"")</f>
        <v/>
      </c>
      <c r="I1529" s="4" t="str" cm="1">
        <f t="array" ref="I1529">IFERROR(IF(INDEX(EmployeeData[Exit Reason], ROW() - 37)=0, "",INDEX(EmployeeData[Exit Reason], ROW() - 37)),"")</f>
        <v/>
      </c>
      <c r="J1529" s="4" t="str" cm="1">
        <f t="array" ref="J1529">IFERROR(INDEX(EmployeeData[Status], ROW() - 37), "")</f>
        <v/>
      </c>
    </row>
    <row r="1530" spans="2:10" ht="19.95" customHeight="1" x14ac:dyDescent="0.3">
      <c r="B1530" s="4" t="str" cm="1">
        <f t="array" ref="B1530">IFERROR(INDEX(EmployeeData[Employee ID], ROW() - 37), "")</f>
        <v/>
      </c>
      <c r="C1530" s="4" t="str" cm="1">
        <f t="array" ref="C1530">IFERROR(INDEX(EmployeeData[Full Name], ROW() - 37), "")</f>
        <v/>
      </c>
      <c r="D1530" s="4" t="str" cm="1">
        <f t="array" ref="D1530">IFERROR(INDEX(EmployeeData[Department], ROW() - 37), "")</f>
        <v/>
      </c>
      <c r="E1530" s="4" t="str" cm="1">
        <f t="array" ref="E1530">IFERROR(INDEX(EmployeeData[Gender], ROW() - 37), "")</f>
        <v/>
      </c>
      <c r="F1530" s="4" t="str" cm="1">
        <f t="array" ref="F1530">IFERROR(INDEX(EmployeeData[Age], ROW() - 37), "")</f>
        <v/>
      </c>
      <c r="G1530" s="6" t="str" cm="1">
        <f t="array" ref="G1530">IFERROR(INDEX(EmployeeData[Join Date], ROW() - 37), "")</f>
        <v/>
      </c>
      <c r="H1530" s="6" t="str" cm="1">
        <f t="array" ref="H1530">IFERROR(IF(INDEX(EmployeeData[Exit Date], ROW() - 37)=0, "",INDEX(EmployeeData[Exit Date], ROW() - 37)),"")</f>
        <v/>
      </c>
      <c r="I1530" s="4" t="str" cm="1">
        <f t="array" ref="I1530">IFERROR(IF(INDEX(EmployeeData[Exit Reason], ROW() - 37)=0, "",INDEX(EmployeeData[Exit Reason], ROW() - 37)),"")</f>
        <v/>
      </c>
      <c r="J1530" s="4" t="str" cm="1">
        <f t="array" ref="J1530">IFERROR(INDEX(EmployeeData[Status], ROW() - 37), "")</f>
        <v/>
      </c>
    </row>
    <row r="1531" spans="2:10" ht="19.95" customHeight="1" x14ac:dyDescent="0.3">
      <c r="B1531" s="4" t="str" cm="1">
        <f t="array" ref="B1531">IFERROR(INDEX(EmployeeData[Employee ID], ROW() - 37), "")</f>
        <v/>
      </c>
      <c r="C1531" s="4" t="str" cm="1">
        <f t="array" ref="C1531">IFERROR(INDEX(EmployeeData[Full Name], ROW() - 37), "")</f>
        <v/>
      </c>
      <c r="D1531" s="4" t="str" cm="1">
        <f t="array" ref="D1531">IFERROR(INDEX(EmployeeData[Department], ROW() - 37), "")</f>
        <v/>
      </c>
      <c r="E1531" s="4" t="str" cm="1">
        <f t="array" ref="E1531">IFERROR(INDEX(EmployeeData[Gender], ROW() - 37), "")</f>
        <v/>
      </c>
      <c r="F1531" s="4" t="str" cm="1">
        <f t="array" ref="F1531">IFERROR(INDEX(EmployeeData[Age], ROW() - 37), "")</f>
        <v/>
      </c>
      <c r="G1531" s="6" t="str" cm="1">
        <f t="array" ref="G1531">IFERROR(INDEX(EmployeeData[Join Date], ROW() - 37), "")</f>
        <v/>
      </c>
      <c r="H1531" s="6" t="str" cm="1">
        <f t="array" ref="H1531">IFERROR(IF(INDEX(EmployeeData[Exit Date], ROW() - 37)=0, "",INDEX(EmployeeData[Exit Date], ROW() - 37)),"")</f>
        <v/>
      </c>
      <c r="I1531" s="4" t="str" cm="1">
        <f t="array" ref="I1531">IFERROR(IF(INDEX(EmployeeData[Exit Reason], ROW() - 37)=0, "",INDEX(EmployeeData[Exit Reason], ROW() - 37)),"")</f>
        <v/>
      </c>
      <c r="J1531" s="4" t="str" cm="1">
        <f t="array" ref="J1531">IFERROR(INDEX(EmployeeData[Status], ROW() - 37), "")</f>
        <v/>
      </c>
    </row>
    <row r="1532" spans="2:10" ht="19.95" customHeight="1" x14ac:dyDescent="0.3">
      <c r="B1532" s="4" t="str" cm="1">
        <f t="array" ref="B1532">IFERROR(INDEX(EmployeeData[Employee ID], ROW() - 37), "")</f>
        <v/>
      </c>
      <c r="C1532" s="4" t="str" cm="1">
        <f t="array" ref="C1532">IFERROR(INDEX(EmployeeData[Full Name], ROW() - 37), "")</f>
        <v/>
      </c>
      <c r="D1532" s="4" t="str" cm="1">
        <f t="array" ref="D1532">IFERROR(INDEX(EmployeeData[Department], ROW() - 37), "")</f>
        <v/>
      </c>
      <c r="E1532" s="4" t="str" cm="1">
        <f t="array" ref="E1532">IFERROR(INDEX(EmployeeData[Gender], ROW() - 37), "")</f>
        <v/>
      </c>
      <c r="F1532" s="4" t="str" cm="1">
        <f t="array" ref="F1532">IFERROR(INDEX(EmployeeData[Age], ROW() - 37), "")</f>
        <v/>
      </c>
      <c r="G1532" s="6" t="str" cm="1">
        <f t="array" ref="G1532">IFERROR(INDEX(EmployeeData[Join Date], ROW() - 37), "")</f>
        <v/>
      </c>
      <c r="H1532" s="6" t="str" cm="1">
        <f t="array" ref="H1532">IFERROR(IF(INDEX(EmployeeData[Exit Date], ROW() - 37)=0, "",INDEX(EmployeeData[Exit Date], ROW() - 37)),"")</f>
        <v/>
      </c>
      <c r="I1532" s="4" t="str" cm="1">
        <f t="array" ref="I1532">IFERROR(IF(INDEX(EmployeeData[Exit Reason], ROW() - 37)=0, "",INDEX(EmployeeData[Exit Reason], ROW() - 37)),"")</f>
        <v/>
      </c>
      <c r="J1532" s="4" t="str" cm="1">
        <f t="array" ref="J1532">IFERROR(INDEX(EmployeeData[Status], ROW() - 37), "")</f>
        <v/>
      </c>
    </row>
    <row r="1533" spans="2:10" ht="19.95" customHeight="1" x14ac:dyDescent="0.3">
      <c r="B1533" s="4" t="str" cm="1">
        <f t="array" ref="B1533">IFERROR(INDEX(EmployeeData[Employee ID], ROW() - 37), "")</f>
        <v/>
      </c>
      <c r="C1533" s="4" t="str" cm="1">
        <f t="array" ref="C1533">IFERROR(INDEX(EmployeeData[Full Name], ROW() - 37), "")</f>
        <v/>
      </c>
      <c r="D1533" s="4" t="str" cm="1">
        <f t="array" ref="D1533">IFERROR(INDEX(EmployeeData[Department], ROW() - 37), "")</f>
        <v/>
      </c>
      <c r="E1533" s="4" t="str" cm="1">
        <f t="array" ref="E1533">IFERROR(INDEX(EmployeeData[Gender], ROW() - 37), "")</f>
        <v/>
      </c>
      <c r="F1533" s="4" t="str" cm="1">
        <f t="array" ref="F1533">IFERROR(INDEX(EmployeeData[Age], ROW() - 37), "")</f>
        <v/>
      </c>
      <c r="G1533" s="6" t="str" cm="1">
        <f t="array" ref="G1533">IFERROR(INDEX(EmployeeData[Join Date], ROW() - 37), "")</f>
        <v/>
      </c>
      <c r="H1533" s="6" t="str" cm="1">
        <f t="array" ref="H1533">IFERROR(IF(INDEX(EmployeeData[Exit Date], ROW() - 37)=0, "",INDEX(EmployeeData[Exit Date], ROW() - 37)),"")</f>
        <v/>
      </c>
      <c r="I1533" s="4" t="str" cm="1">
        <f t="array" ref="I1533">IFERROR(IF(INDEX(EmployeeData[Exit Reason], ROW() - 37)=0, "",INDEX(EmployeeData[Exit Reason], ROW() - 37)),"")</f>
        <v/>
      </c>
      <c r="J1533" s="4" t="str" cm="1">
        <f t="array" ref="J1533">IFERROR(INDEX(EmployeeData[Status], ROW() - 37), "")</f>
        <v/>
      </c>
    </row>
    <row r="1534" spans="2:10" ht="19.95" customHeight="1" x14ac:dyDescent="0.3">
      <c r="B1534" s="4" t="str" cm="1">
        <f t="array" ref="B1534">IFERROR(INDEX(EmployeeData[Employee ID], ROW() - 37), "")</f>
        <v/>
      </c>
      <c r="C1534" s="4" t="str" cm="1">
        <f t="array" ref="C1534">IFERROR(INDEX(EmployeeData[Full Name], ROW() - 37), "")</f>
        <v/>
      </c>
      <c r="D1534" s="4" t="str" cm="1">
        <f t="array" ref="D1534">IFERROR(INDEX(EmployeeData[Department], ROW() - 37), "")</f>
        <v/>
      </c>
      <c r="E1534" s="4" t="str" cm="1">
        <f t="array" ref="E1534">IFERROR(INDEX(EmployeeData[Gender], ROW() - 37), "")</f>
        <v/>
      </c>
      <c r="F1534" s="4" t="str" cm="1">
        <f t="array" ref="F1534">IFERROR(INDEX(EmployeeData[Age], ROW() - 37), "")</f>
        <v/>
      </c>
      <c r="G1534" s="6" t="str" cm="1">
        <f t="array" ref="G1534">IFERROR(INDEX(EmployeeData[Join Date], ROW() - 37), "")</f>
        <v/>
      </c>
      <c r="H1534" s="6" t="str" cm="1">
        <f t="array" ref="H1534">IFERROR(IF(INDEX(EmployeeData[Exit Date], ROW() - 37)=0, "",INDEX(EmployeeData[Exit Date], ROW() - 37)),"")</f>
        <v/>
      </c>
      <c r="I1534" s="4" t="str" cm="1">
        <f t="array" ref="I1534">IFERROR(IF(INDEX(EmployeeData[Exit Reason], ROW() - 37)=0, "",INDEX(EmployeeData[Exit Reason], ROW() - 37)),"")</f>
        <v/>
      </c>
      <c r="J1534" s="4" t="str" cm="1">
        <f t="array" ref="J1534">IFERROR(INDEX(EmployeeData[Status], ROW() - 37), "")</f>
        <v/>
      </c>
    </row>
    <row r="1535" spans="2:10" ht="19.95" customHeight="1" x14ac:dyDescent="0.3">
      <c r="B1535" s="4" t="str" cm="1">
        <f t="array" ref="B1535">IFERROR(INDEX(EmployeeData[Employee ID], ROW() - 37), "")</f>
        <v/>
      </c>
      <c r="C1535" s="4" t="str" cm="1">
        <f t="array" ref="C1535">IFERROR(INDEX(EmployeeData[Full Name], ROW() - 37), "")</f>
        <v/>
      </c>
      <c r="D1535" s="4" t="str" cm="1">
        <f t="array" ref="D1535">IFERROR(INDEX(EmployeeData[Department], ROW() - 37), "")</f>
        <v/>
      </c>
      <c r="E1535" s="4" t="str" cm="1">
        <f t="array" ref="E1535">IFERROR(INDEX(EmployeeData[Gender], ROW() - 37), "")</f>
        <v/>
      </c>
      <c r="F1535" s="4" t="str" cm="1">
        <f t="array" ref="F1535">IFERROR(INDEX(EmployeeData[Age], ROW() - 37), "")</f>
        <v/>
      </c>
      <c r="G1535" s="6" t="str" cm="1">
        <f t="array" ref="G1535">IFERROR(INDEX(EmployeeData[Join Date], ROW() - 37), "")</f>
        <v/>
      </c>
      <c r="H1535" s="6" t="str" cm="1">
        <f t="array" ref="H1535">IFERROR(IF(INDEX(EmployeeData[Exit Date], ROW() - 37)=0, "",INDEX(EmployeeData[Exit Date], ROW() - 37)),"")</f>
        <v/>
      </c>
      <c r="I1535" s="4" t="str" cm="1">
        <f t="array" ref="I1535">IFERROR(IF(INDEX(EmployeeData[Exit Reason], ROW() - 37)=0, "",INDEX(EmployeeData[Exit Reason], ROW() - 37)),"")</f>
        <v/>
      </c>
      <c r="J1535" s="4" t="str" cm="1">
        <f t="array" ref="J1535">IFERROR(INDEX(EmployeeData[Status], ROW() - 37), "")</f>
        <v/>
      </c>
    </row>
    <row r="1536" spans="2:10" ht="19.95" customHeight="1" x14ac:dyDescent="0.3">
      <c r="B1536" s="4" t="str" cm="1">
        <f t="array" ref="B1536">IFERROR(INDEX(EmployeeData[Employee ID], ROW() - 37), "")</f>
        <v/>
      </c>
      <c r="C1536" s="4" t="str" cm="1">
        <f t="array" ref="C1536">IFERROR(INDEX(EmployeeData[Full Name], ROW() - 37), "")</f>
        <v/>
      </c>
      <c r="D1536" s="4" t="str" cm="1">
        <f t="array" ref="D1536">IFERROR(INDEX(EmployeeData[Department], ROW() - 37), "")</f>
        <v/>
      </c>
      <c r="E1536" s="4" t="str" cm="1">
        <f t="array" ref="E1536">IFERROR(INDEX(EmployeeData[Gender], ROW() - 37), "")</f>
        <v/>
      </c>
      <c r="F1536" s="4" t="str" cm="1">
        <f t="array" ref="F1536">IFERROR(INDEX(EmployeeData[Age], ROW() - 37), "")</f>
        <v/>
      </c>
      <c r="G1536" s="6" t="str" cm="1">
        <f t="array" ref="G1536">IFERROR(INDEX(EmployeeData[Join Date], ROW() - 37), "")</f>
        <v/>
      </c>
      <c r="H1536" s="6" t="str" cm="1">
        <f t="array" ref="H1536">IFERROR(IF(INDEX(EmployeeData[Exit Date], ROW() - 37)=0, "",INDEX(EmployeeData[Exit Date], ROW() - 37)),"")</f>
        <v/>
      </c>
      <c r="I1536" s="4" t="str" cm="1">
        <f t="array" ref="I1536">IFERROR(IF(INDEX(EmployeeData[Exit Reason], ROW() - 37)=0, "",INDEX(EmployeeData[Exit Reason], ROW() - 37)),"")</f>
        <v/>
      </c>
      <c r="J1536" s="4" t="str" cm="1">
        <f t="array" ref="J1536">IFERROR(INDEX(EmployeeData[Status], ROW() - 37), "")</f>
        <v/>
      </c>
    </row>
    <row r="1537" spans="2:10" ht="19.95" customHeight="1" x14ac:dyDescent="0.3">
      <c r="B1537" s="4" t="str" cm="1">
        <f t="array" ref="B1537">IFERROR(INDEX(EmployeeData[Employee ID], ROW() - 37), "")</f>
        <v/>
      </c>
      <c r="C1537" s="4" t="str" cm="1">
        <f t="array" ref="C1537">IFERROR(INDEX(EmployeeData[Full Name], ROW() - 37), "")</f>
        <v/>
      </c>
      <c r="D1537" s="4" t="str" cm="1">
        <f t="array" ref="D1537">IFERROR(INDEX(EmployeeData[Department], ROW() - 37), "")</f>
        <v/>
      </c>
      <c r="E1537" s="4" t="str" cm="1">
        <f t="array" ref="E1537">IFERROR(INDEX(EmployeeData[Gender], ROW() - 37), "")</f>
        <v/>
      </c>
      <c r="F1537" s="4" t="str" cm="1">
        <f t="array" ref="F1537">IFERROR(INDEX(EmployeeData[Age], ROW() - 37), "")</f>
        <v/>
      </c>
      <c r="G1537" s="6" t="str" cm="1">
        <f t="array" ref="G1537">IFERROR(INDEX(EmployeeData[Join Date], ROW() - 37), "")</f>
        <v/>
      </c>
      <c r="H1537" s="6" t="str" cm="1">
        <f t="array" ref="H1537">IFERROR(IF(INDEX(EmployeeData[Exit Date], ROW() - 37)=0, "",INDEX(EmployeeData[Exit Date], ROW() - 37)),"")</f>
        <v/>
      </c>
      <c r="I1537" s="4" t="str" cm="1">
        <f t="array" ref="I1537">IFERROR(IF(INDEX(EmployeeData[Exit Reason], ROW() - 37)=0, "",INDEX(EmployeeData[Exit Reason], ROW() - 37)),"")</f>
        <v/>
      </c>
      <c r="J1537" s="4" t="str" cm="1">
        <f t="array" ref="J1537">IFERROR(INDEX(EmployeeData[Status], ROW() - 37), "")</f>
        <v/>
      </c>
    </row>
    <row r="1538" spans="2:10" ht="19.95" customHeight="1" x14ac:dyDescent="0.3">
      <c r="B1538" s="4" t="str" cm="1">
        <f t="array" ref="B1538">IFERROR(INDEX(EmployeeData[Employee ID], ROW() - 37), "")</f>
        <v/>
      </c>
      <c r="C1538" s="4" t="str" cm="1">
        <f t="array" ref="C1538">IFERROR(INDEX(EmployeeData[Full Name], ROW() - 37), "")</f>
        <v/>
      </c>
      <c r="D1538" s="4" t="str" cm="1">
        <f t="array" ref="D1538">IFERROR(INDEX(EmployeeData[Department], ROW() - 37), "")</f>
        <v/>
      </c>
      <c r="E1538" s="4" t="str" cm="1">
        <f t="array" ref="E1538">IFERROR(INDEX(EmployeeData[Gender], ROW() - 37), "")</f>
        <v/>
      </c>
      <c r="F1538" s="4" t="str" cm="1">
        <f t="array" ref="F1538">IFERROR(INDEX(EmployeeData[Age], ROW() - 37), "")</f>
        <v/>
      </c>
      <c r="G1538" s="6" t="str" cm="1">
        <f t="array" ref="G1538">IFERROR(INDEX(EmployeeData[Join Date], ROW() - 37), "")</f>
        <v/>
      </c>
      <c r="H1538" s="6" t="str" cm="1">
        <f t="array" ref="H1538">IFERROR(IF(INDEX(EmployeeData[Exit Date], ROW() - 37)=0, "",INDEX(EmployeeData[Exit Date], ROW() - 37)),"")</f>
        <v/>
      </c>
      <c r="I1538" s="4" t="str" cm="1">
        <f t="array" ref="I1538">IFERROR(IF(INDEX(EmployeeData[Exit Reason], ROW() - 37)=0, "",INDEX(EmployeeData[Exit Reason], ROW() - 37)),"")</f>
        <v/>
      </c>
      <c r="J1538" s="4" t="str" cm="1">
        <f t="array" ref="J1538">IFERROR(INDEX(EmployeeData[Status], ROW() - 37), "")</f>
        <v/>
      </c>
    </row>
    <row r="1539" spans="2:10" ht="19.95" customHeight="1" x14ac:dyDescent="0.3">
      <c r="B1539" s="4" t="str" cm="1">
        <f t="array" ref="B1539">IFERROR(INDEX(EmployeeData[Employee ID], ROW() - 37), "")</f>
        <v/>
      </c>
      <c r="C1539" s="4" t="str" cm="1">
        <f t="array" ref="C1539">IFERROR(INDEX(EmployeeData[Full Name], ROW() - 37), "")</f>
        <v/>
      </c>
      <c r="D1539" s="4" t="str" cm="1">
        <f t="array" ref="D1539">IFERROR(INDEX(EmployeeData[Department], ROW() - 37), "")</f>
        <v/>
      </c>
      <c r="E1539" s="4" t="str" cm="1">
        <f t="array" ref="E1539">IFERROR(INDEX(EmployeeData[Gender], ROW() - 37), "")</f>
        <v/>
      </c>
      <c r="F1539" s="4" t="str" cm="1">
        <f t="array" ref="F1539">IFERROR(INDEX(EmployeeData[Age], ROW() - 37), "")</f>
        <v/>
      </c>
      <c r="G1539" s="6" t="str" cm="1">
        <f t="array" ref="G1539">IFERROR(INDEX(EmployeeData[Join Date], ROW() - 37), "")</f>
        <v/>
      </c>
      <c r="H1539" s="6" t="str" cm="1">
        <f t="array" ref="H1539">IFERROR(IF(INDEX(EmployeeData[Exit Date], ROW() - 37)=0, "",INDEX(EmployeeData[Exit Date], ROW() - 37)),"")</f>
        <v/>
      </c>
      <c r="I1539" s="4" t="str" cm="1">
        <f t="array" ref="I1539">IFERROR(IF(INDEX(EmployeeData[Exit Reason], ROW() - 37)=0, "",INDEX(EmployeeData[Exit Reason], ROW() - 37)),"")</f>
        <v/>
      </c>
      <c r="J1539" s="4" t="str" cm="1">
        <f t="array" ref="J1539">IFERROR(INDEX(EmployeeData[Status], ROW() - 37), "")</f>
        <v/>
      </c>
    </row>
    <row r="1540" spans="2:10" ht="19.95" customHeight="1" x14ac:dyDescent="0.3">
      <c r="B1540" s="4" t="str" cm="1">
        <f t="array" ref="B1540">IFERROR(INDEX(EmployeeData[Employee ID], ROW() - 37), "")</f>
        <v/>
      </c>
      <c r="C1540" s="4" t="str" cm="1">
        <f t="array" ref="C1540">IFERROR(INDEX(EmployeeData[Full Name], ROW() - 37), "")</f>
        <v/>
      </c>
      <c r="D1540" s="4" t="str" cm="1">
        <f t="array" ref="D1540">IFERROR(INDEX(EmployeeData[Department], ROW() - 37), "")</f>
        <v/>
      </c>
      <c r="E1540" s="4" t="str" cm="1">
        <f t="array" ref="E1540">IFERROR(INDEX(EmployeeData[Gender], ROW() - 37), "")</f>
        <v/>
      </c>
      <c r="F1540" s="4" t="str" cm="1">
        <f t="array" ref="F1540">IFERROR(INDEX(EmployeeData[Age], ROW() - 37), "")</f>
        <v/>
      </c>
      <c r="G1540" s="6" t="str" cm="1">
        <f t="array" ref="G1540">IFERROR(INDEX(EmployeeData[Join Date], ROW() - 37), "")</f>
        <v/>
      </c>
      <c r="H1540" s="6" t="str" cm="1">
        <f t="array" ref="H1540">IFERROR(IF(INDEX(EmployeeData[Exit Date], ROW() - 37)=0, "",INDEX(EmployeeData[Exit Date], ROW() - 37)),"")</f>
        <v/>
      </c>
      <c r="I1540" s="4" t="str" cm="1">
        <f t="array" ref="I1540">IFERROR(IF(INDEX(EmployeeData[Exit Reason], ROW() - 37)=0, "",INDEX(EmployeeData[Exit Reason], ROW() - 37)),"")</f>
        <v/>
      </c>
      <c r="J1540" s="4" t="str" cm="1">
        <f t="array" ref="J1540">IFERROR(INDEX(EmployeeData[Status], ROW() - 37), "")</f>
        <v/>
      </c>
    </row>
    <row r="1541" spans="2:10" ht="19.95" customHeight="1" x14ac:dyDescent="0.3">
      <c r="B1541" s="4" t="str" cm="1">
        <f t="array" ref="B1541">IFERROR(INDEX(EmployeeData[Employee ID], ROW() - 37), "")</f>
        <v/>
      </c>
      <c r="C1541" s="4" t="str" cm="1">
        <f t="array" ref="C1541">IFERROR(INDEX(EmployeeData[Full Name], ROW() - 37), "")</f>
        <v/>
      </c>
      <c r="D1541" s="4" t="str" cm="1">
        <f t="array" ref="D1541">IFERROR(INDEX(EmployeeData[Department], ROW() - 37), "")</f>
        <v/>
      </c>
      <c r="E1541" s="4" t="str" cm="1">
        <f t="array" ref="E1541">IFERROR(INDEX(EmployeeData[Gender], ROW() - 37), "")</f>
        <v/>
      </c>
      <c r="F1541" s="4" t="str" cm="1">
        <f t="array" ref="F1541">IFERROR(INDEX(EmployeeData[Age], ROW() - 37), "")</f>
        <v/>
      </c>
      <c r="G1541" s="6" t="str" cm="1">
        <f t="array" ref="G1541">IFERROR(INDEX(EmployeeData[Join Date], ROW() - 37), "")</f>
        <v/>
      </c>
      <c r="H1541" s="6" t="str" cm="1">
        <f t="array" ref="H1541">IFERROR(IF(INDEX(EmployeeData[Exit Date], ROW() - 37)=0, "",INDEX(EmployeeData[Exit Date], ROW() - 37)),"")</f>
        <v/>
      </c>
      <c r="I1541" s="4" t="str" cm="1">
        <f t="array" ref="I1541">IFERROR(IF(INDEX(EmployeeData[Exit Reason], ROW() - 37)=0, "",INDEX(EmployeeData[Exit Reason], ROW() - 37)),"")</f>
        <v/>
      </c>
      <c r="J1541" s="4" t="str" cm="1">
        <f t="array" ref="J1541">IFERROR(INDEX(EmployeeData[Status], ROW() - 37), "")</f>
        <v/>
      </c>
    </row>
    <row r="1542" spans="2:10" ht="19.95" customHeight="1" x14ac:dyDescent="0.3">
      <c r="B1542" s="4" t="str" cm="1">
        <f t="array" ref="B1542">IFERROR(INDEX(EmployeeData[Employee ID], ROW() - 37), "")</f>
        <v/>
      </c>
      <c r="C1542" s="4" t="str" cm="1">
        <f t="array" ref="C1542">IFERROR(INDEX(EmployeeData[Full Name], ROW() - 37), "")</f>
        <v/>
      </c>
      <c r="D1542" s="4" t="str" cm="1">
        <f t="array" ref="D1542">IFERROR(INDEX(EmployeeData[Department], ROW() - 37), "")</f>
        <v/>
      </c>
      <c r="E1542" s="4" t="str" cm="1">
        <f t="array" ref="E1542">IFERROR(INDEX(EmployeeData[Gender], ROW() - 37), "")</f>
        <v/>
      </c>
      <c r="F1542" s="4" t="str" cm="1">
        <f t="array" ref="F1542">IFERROR(INDEX(EmployeeData[Age], ROW() - 37), "")</f>
        <v/>
      </c>
      <c r="G1542" s="6" t="str" cm="1">
        <f t="array" ref="G1542">IFERROR(INDEX(EmployeeData[Join Date], ROW() - 37), "")</f>
        <v/>
      </c>
      <c r="H1542" s="6" t="str" cm="1">
        <f t="array" ref="H1542">IFERROR(IF(INDEX(EmployeeData[Exit Date], ROW() - 37)=0, "",INDEX(EmployeeData[Exit Date], ROW() - 37)),"")</f>
        <v/>
      </c>
      <c r="I1542" s="4" t="str" cm="1">
        <f t="array" ref="I1542">IFERROR(IF(INDEX(EmployeeData[Exit Reason], ROW() - 37)=0, "",INDEX(EmployeeData[Exit Reason], ROW() - 37)),"")</f>
        <v/>
      </c>
      <c r="J1542" s="4" t="str" cm="1">
        <f t="array" ref="J1542">IFERROR(INDEX(EmployeeData[Status], ROW() - 37), "")</f>
        <v/>
      </c>
    </row>
    <row r="1543" spans="2:10" ht="19.95" customHeight="1" x14ac:dyDescent="0.3">
      <c r="B1543" s="4" t="str" cm="1">
        <f t="array" ref="B1543">IFERROR(INDEX(EmployeeData[Employee ID], ROW() - 37), "")</f>
        <v/>
      </c>
      <c r="C1543" s="4" t="str" cm="1">
        <f t="array" ref="C1543">IFERROR(INDEX(EmployeeData[Full Name], ROW() - 37), "")</f>
        <v/>
      </c>
      <c r="D1543" s="4" t="str" cm="1">
        <f t="array" ref="D1543">IFERROR(INDEX(EmployeeData[Department], ROW() - 37), "")</f>
        <v/>
      </c>
      <c r="E1543" s="4" t="str" cm="1">
        <f t="array" ref="E1543">IFERROR(INDEX(EmployeeData[Gender], ROW() - 37), "")</f>
        <v/>
      </c>
      <c r="F1543" s="4" t="str" cm="1">
        <f t="array" ref="F1543">IFERROR(INDEX(EmployeeData[Age], ROW() - 37), "")</f>
        <v/>
      </c>
      <c r="G1543" s="6" t="str" cm="1">
        <f t="array" ref="G1543">IFERROR(INDEX(EmployeeData[Join Date], ROW() - 37), "")</f>
        <v/>
      </c>
      <c r="H1543" s="6" t="str" cm="1">
        <f t="array" ref="H1543">IFERROR(IF(INDEX(EmployeeData[Exit Date], ROW() - 37)=0, "",INDEX(EmployeeData[Exit Date], ROW() - 37)),"")</f>
        <v/>
      </c>
      <c r="I1543" s="4" t="str" cm="1">
        <f t="array" ref="I1543">IFERROR(IF(INDEX(EmployeeData[Exit Reason], ROW() - 37)=0, "",INDEX(EmployeeData[Exit Reason], ROW() - 37)),"")</f>
        <v/>
      </c>
      <c r="J1543" s="4" t="str" cm="1">
        <f t="array" ref="J1543">IFERROR(INDEX(EmployeeData[Status], ROW() - 37), "")</f>
        <v/>
      </c>
    </row>
    <row r="1544" spans="2:10" ht="19.95" customHeight="1" x14ac:dyDescent="0.3">
      <c r="B1544" s="4" t="str" cm="1">
        <f t="array" ref="B1544">IFERROR(INDEX(EmployeeData[Employee ID], ROW() - 37), "")</f>
        <v/>
      </c>
      <c r="C1544" s="4" t="str" cm="1">
        <f t="array" ref="C1544">IFERROR(INDEX(EmployeeData[Full Name], ROW() - 37), "")</f>
        <v/>
      </c>
      <c r="D1544" s="4" t="str" cm="1">
        <f t="array" ref="D1544">IFERROR(INDEX(EmployeeData[Department], ROW() - 37), "")</f>
        <v/>
      </c>
      <c r="E1544" s="4" t="str" cm="1">
        <f t="array" ref="E1544">IFERROR(INDEX(EmployeeData[Gender], ROW() - 37), "")</f>
        <v/>
      </c>
      <c r="F1544" s="4" t="str" cm="1">
        <f t="array" ref="F1544">IFERROR(INDEX(EmployeeData[Age], ROW() - 37), "")</f>
        <v/>
      </c>
      <c r="G1544" s="6" t="str" cm="1">
        <f t="array" ref="G1544">IFERROR(INDEX(EmployeeData[Join Date], ROW() - 37), "")</f>
        <v/>
      </c>
      <c r="H1544" s="6" t="str" cm="1">
        <f t="array" ref="H1544">IFERROR(IF(INDEX(EmployeeData[Exit Date], ROW() - 37)=0, "",INDEX(EmployeeData[Exit Date], ROW() - 37)),"")</f>
        <v/>
      </c>
      <c r="I1544" s="4" t="str" cm="1">
        <f t="array" ref="I1544">IFERROR(IF(INDEX(EmployeeData[Exit Reason], ROW() - 37)=0, "",INDEX(EmployeeData[Exit Reason], ROW() - 37)),"")</f>
        <v/>
      </c>
      <c r="J1544" s="4" t="str" cm="1">
        <f t="array" ref="J1544">IFERROR(INDEX(EmployeeData[Status], ROW() - 37), "")</f>
        <v/>
      </c>
    </row>
    <row r="1545" spans="2:10" ht="19.95" customHeight="1" x14ac:dyDescent="0.3">
      <c r="B1545" s="4" t="str" cm="1">
        <f t="array" ref="B1545">IFERROR(INDEX(EmployeeData[Employee ID], ROW() - 37), "")</f>
        <v/>
      </c>
      <c r="C1545" s="4" t="str" cm="1">
        <f t="array" ref="C1545">IFERROR(INDEX(EmployeeData[Full Name], ROW() - 37), "")</f>
        <v/>
      </c>
      <c r="D1545" s="4" t="str" cm="1">
        <f t="array" ref="D1545">IFERROR(INDEX(EmployeeData[Department], ROW() - 37), "")</f>
        <v/>
      </c>
      <c r="E1545" s="4" t="str" cm="1">
        <f t="array" ref="E1545">IFERROR(INDEX(EmployeeData[Gender], ROW() - 37), "")</f>
        <v/>
      </c>
      <c r="F1545" s="4" t="str" cm="1">
        <f t="array" ref="F1545">IFERROR(INDEX(EmployeeData[Age], ROW() - 37), "")</f>
        <v/>
      </c>
      <c r="G1545" s="6" t="str" cm="1">
        <f t="array" ref="G1545">IFERROR(INDEX(EmployeeData[Join Date], ROW() - 37), "")</f>
        <v/>
      </c>
      <c r="H1545" s="6" t="str" cm="1">
        <f t="array" ref="H1545">IFERROR(IF(INDEX(EmployeeData[Exit Date], ROW() - 37)=0, "",INDEX(EmployeeData[Exit Date], ROW() - 37)),"")</f>
        <v/>
      </c>
      <c r="I1545" s="4" t="str" cm="1">
        <f t="array" ref="I1545">IFERROR(IF(INDEX(EmployeeData[Exit Reason], ROW() - 37)=0, "",INDEX(EmployeeData[Exit Reason], ROW() - 37)),"")</f>
        <v/>
      </c>
      <c r="J1545" s="4" t="str" cm="1">
        <f t="array" ref="J1545">IFERROR(INDEX(EmployeeData[Status], ROW() - 37), "")</f>
        <v/>
      </c>
    </row>
    <row r="1546" spans="2:10" ht="19.95" customHeight="1" x14ac:dyDescent="0.3">
      <c r="B1546" s="4" t="str" cm="1">
        <f t="array" ref="B1546">IFERROR(INDEX(EmployeeData[Employee ID], ROW() - 37), "")</f>
        <v/>
      </c>
      <c r="C1546" s="4" t="str" cm="1">
        <f t="array" ref="C1546">IFERROR(INDEX(EmployeeData[Full Name], ROW() - 37), "")</f>
        <v/>
      </c>
      <c r="D1546" s="4" t="str" cm="1">
        <f t="array" ref="D1546">IFERROR(INDEX(EmployeeData[Department], ROW() - 37), "")</f>
        <v/>
      </c>
      <c r="E1546" s="4" t="str" cm="1">
        <f t="array" ref="E1546">IFERROR(INDEX(EmployeeData[Gender], ROW() - 37), "")</f>
        <v/>
      </c>
      <c r="F1546" s="4" t="str" cm="1">
        <f t="array" ref="F1546">IFERROR(INDEX(EmployeeData[Age], ROW() - 37), "")</f>
        <v/>
      </c>
      <c r="G1546" s="6" t="str" cm="1">
        <f t="array" ref="G1546">IFERROR(INDEX(EmployeeData[Join Date], ROW() - 37), "")</f>
        <v/>
      </c>
      <c r="H1546" s="6" t="str" cm="1">
        <f t="array" ref="H1546">IFERROR(IF(INDEX(EmployeeData[Exit Date], ROW() - 37)=0, "",INDEX(EmployeeData[Exit Date], ROW() - 37)),"")</f>
        <v/>
      </c>
      <c r="I1546" s="4" t="str" cm="1">
        <f t="array" ref="I1546">IFERROR(IF(INDEX(EmployeeData[Exit Reason], ROW() - 37)=0, "",INDEX(EmployeeData[Exit Reason], ROW() - 37)),"")</f>
        <v/>
      </c>
      <c r="J1546" s="4" t="str" cm="1">
        <f t="array" ref="J1546">IFERROR(INDEX(EmployeeData[Status], ROW() - 37), "")</f>
        <v/>
      </c>
    </row>
    <row r="1547" spans="2:10" ht="19.95" customHeight="1" x14ac:dyDescent="0.3">
      <c r="B1547" s="4" t="str" cm="1">
        <f t="array" ref="B1547">IFERROR(INDEX(EmployeeData[Employee ID], ROW() - 37), "")</f>
        <v/>
      </c>
      <c r="C1547" s="4" t="str" cm="1">
        <f t="array" ref="C1547">IFERROR(INDEX(EmployeeData[Full Name], ROW() - 37), "")</f>
        <v/>
      </c>
      <c r="D1547" s="4" t="str" cm="1">
        <f t="array" ref="D1547">IFERROR(INDEX(EmployeeData[Department], ROW() - 37), "")</f>
        <v/>
      </c>
      <c r="E1547" s="4" t="str" cm="1">
        <f t="array" ref="E1547">IFERROR(INDEX(EmployeeData[Gender], ROW() - 37), "")</f>
        <v/>
      </c>
      <c r="F1547" s="4" t="str" cm="1">
        <f t="array" ref="F1547">IFERROR(INDEX(EmployeeData[Age], ROW() - 37), "")</f>
        <v/>
      </c>
      <c r="G1547" s="6" t="str" cm="1">
        <f t="array" ref="G1547">IFERROR(INDEX(EmployeeData[Join Date], ROW() - 37), "")</f>
        <v/>
      </c>
      <c r="H1547" s="6" t="str" cm="1">
        <f t="array" ref="H1547">IFERROR(IF(INDEX(EmployeeData[Exit Date], ROW() - 37)=0, "",INDEX(EmployeeData[Exit Date], ROW() - 37)),"")</f>
        <v/>
      </c>
      <c r="I1547" s="4" t="str" cm="1">
        <f t="array" ref="I1547">IFERROR(IF(INDEX(EmployeeData[Exit Reason], ROW() - 37)=0, "",INDEX(EmployeeData[Exit Reason], ROW() - 37)),"")</f>
        <v/>
      </c>
      <c r="J1547" s="4" t="str" cm="1">
        <f t="array" ref="J1547">IFERROR(INDEX(EmployeeData[Status], ROW() - 37), "")</f>
        <v/>
      </c>
    </row>
    <row r="1548" spans="2:10" ht="19.95" customHeight="1" x14ac:dyDescent="0.3">
      <c r="B1548" s="4" t="str" cm="1">
        <f t="array" ref="B1548">IFERROR(INDEX(EmployeeData[Employee ID], ROW() - 37), "")</f>
        <v/>
      </c>
      <c r="C1548" s="4" t="str" cm="1">
        <f t="array" ref="C1548">IFERROR(INDEX(EmployeeData[Full Name], ROW() - 37), "")</f>
        <v/>
      </c>
      <c r="D1548" s="4" t="str" cm="1">
        <f t="array" ref="D1548">IFERROR(INDEX(EmployeeData[Department], ROW() - 37), "")</f>
        <v/>
      </c>
      <c r="E1548" s="4" t="str" cm="1">
        <f t="array" ref="E1548">IFERROR(INDEX(EmployeeData[Gender], ROW() - 37), "")</f>
        <v/>
      </c>
      <c r="F1548" s="4" t="str" cm="1">
        <f t="array" ref="F1548">IFERROR(INDEX(EmployeeData[Age], ROW() - 37), "")</f>
        <v/>
      </c>
      <c r="G1548" s="6" t="str" cm="1">
        <f t="array" ref="G1548">IFERROR(INDEX(EmployeeData[Join Date], ROW() - 37), "")</f>
        <v/>
      </c>
      <c r="H1548" s="6" t="str" cm="1">
        <f t="array" ref="H1548">IFERROR(IF(INDEX(EmployeeData[Exit Date], ROW() - 37)=0, "",INDEX(EmployeeData[Exit Date], ROW() - 37)),"")</f>
        <v/>
      </c>
      <c r="I1548" s="4" t="str" cm="1">
        <f t="array" ref="I1548">IFERROR(IF(INDEX(EmployeeData[Exit Reason], ROW() - 37)=0, "",INDEX(EmployeeData[Exit Reason], ROW() - 37)),"")</f>
        <v/>
      </c>
      <c r="J1548" s="4" t="str" cm="1">
        <f t="array" ref="J1548">IFERROR(INDEX(EmployeeData[Status], ROW() - 37), "")</f>
        <v/>
      </c>
    </row>
    <row r="1549" spans="2:10" ht="19.95" customHeight="1" x14ac:dyDescent="0.3">
      <c r="B1549" s="4" t="str" cm="1">
        <f t="array" ref="B1549">IFERROR(INDEX(EmployeeData[Employee ID], ROW() - 37), "")</f>
        <v/>
      </c>
      <c r="C1549" s="4" t="str" cm="1">
        <f t="array" ref="C1549">IFERROR(INDEX(EmployeeData[Full Name], ROW() - 37), "")</f>
        <v/>
      </c>
      <c r="D1549" s="4" t="str" cm="1">
        <f t="array" ref="D1549">IFERROR(INDEX(EmployeeData[Department], ROW() - 37), "")</f>
        <v/>
      </c>
      <c r="E1549" s="4" t="str" cm="1">
        <f t="array" ref="E1549">IFERROR(INDEX(EmployeeData[Gender], ROW() - 37), "")</f>
        <v/>
      </c>
      <c r="F1549" s="4" t="str" cm="1">
        <f t="array" ref="F1549">IFERROR(INDEX(EmployeeData[Age], ROW() - 37), "")</f>
        <v/>
      </c>
      <c r="G1549" s="6" t="str" cm="1">
        <f t="array" ref="G1549">IFERROR(INDEX(EmployeeData[Join Date], ROW() - 37), "")</f>
        <v/>
      </c>
      <c r="H1549" s="6" t="str" cm="1">
        <f t="array" ref="H1549">IFERROR(IF(INDEX(EmployeeData[Exit Date], ROW() - 37)=0, "",INDEX(EmployeeData[Exit Date], ROW() - 37)),"")</f>
        <v/>
      </c>
      <c r="I1549" s="4" t="str" cm="1">
        <f t="array" ref="I1549">IFERROR(IF(INDEX(EmployeeData[Exit Reason], ROW() - 37)=0, "",INDEX(EmployeeData[Exit Reason], ROW() - 37)),"")</f>
        <v/>
      </c>
      <c r="J1549" s="4" t="str" cm="1">
        <f t="array" ref="J1549">IFERROR(INDEX(EmployeeData[Status], ROW() - 37), "")</f>
        <v/>
      </c>
    </row>
    <row r="1550" spans="2:10" ht="19.95" customHeight="1" x14ac:dyDescent="0.3">
      <c r="B1550" s="4" t="str" cm="1">
        <f t="array" ref="B1550">IFERROR(INDEX(EmployeeData[Employee ID], ROW() - 37), "")</f>
        <v/>
      </c>
      <c r="C1550" s="4" t="str" cm="1">
        <f t="array" ref="C1550">IFERROR(INDEX(EmployeeData[Full Name], ROW() - 37), "")</f>
        <v/>
      </c>
      <c r="D1550" s="4" t="str" cm="1">
        <f t="array" ref="D1550">IFERROR(INDEX(EmployeeData[Department], ROW() - 37), "")</f>
        <v/>
      </c>
      <c r="E1550" s="4" t="str" cm="1">
        <f t="array" ref="E1550">IFERROR(INDEX(EmployeeData[Gender], ROW() - 37), "")</f>
        <v/>
      </c>
      <c r="F1550" s="4" t="str" cm="1">
        <f t="array" ref="F1550">IFERROR(INDEX(EmployeeData[Age], ROW() - 37), "")</f>
        <v/>
      </c>
      <c r="G1550" s="6" t="str" cm="1">
        <f t="array" ref="G1550">IFERROR(INDEX(EmployeeData[Join Date], ROW() - 37), "")</f>
        <v/>
      </c>
      <c r="H1550" s="6" t="str" cm="1">
        <f t="array" ref="H1550">IFERROR(IF(INDEX(EmployeeData[Exit Date], ROW() - 37)=0, "",INDEX(EmployeeData[Exit Date], ROW() - 37)),"")</f>
        <v/>
      </c>
      <c r="I1550" s="4" t="str" cm="1">
        <f t="array" ref="I1550">IFERROR(IF(INDEX(EmployeeData[Exit Reason], ROW() - 37)=0, "",INDEX(EmployeeData[Exit Reason], ROW() - 37)),"")</f>
        <v/>
      </c>
      <c r="J1550" s="4" t="str" cm="1">
        <f t="array" ref="J1550">IFERROR(INDEX(EmployeeData[Status], ROW() - 37), "")</f>
        <v/>
      </c>
    </row>
    <row r="1551" spans="2:10" ht="19.95" customHeight="1" x14ac:dyDescent="0.3">
      <c r="B1551" s="4" t="str" cm="1">
        <f t="array" ref="B1551">IFERROR(INDEX(EmployeeData[Employee ID], ROW() - 37), "")</f>
        <v/>
      </c>
      <c r="C1551" s="4" t="str" cm="1">
        <f t="array" ref="C1551">IFERROR(INDEX(EmployeeData[Full Name], ROW() - 37), "")</f>
        <v/>
      </c>
      <c r="D1551" s="4" t="str" cm="1">
        <f t="array" ref="D1551">IFERROR(INDEX(EmployeeData[Department], ROW() - 37), "")</f>
        <v/>
      </c>
      <c r="E1551" s="4" t="str" cm="1">
        <f t="array" ref="E1551">IFERROR(INDEX(EmployeeData[Gender], ROW() - 37), "")</f>
        <v/>
      </c>
      <c r="F1551" s="4" t="str" cm="1">
        <f t="array" ref="F1551">IFERROR(INDEX(EmployeeData[Age], ROW() - 37), "")</f>
        <v/>
      </c>
      <c r="G1551" s="6" t="str" cm="1">
        <f t="array" ref="G1551">IFERROR(INDEX(EmployeeData[Join Date], ROW() - 37), "")</f>
        <v/>
      </c>
      <c r="H1551" s="6" t="str" cm="1">
        <f t="array" ref="H1551">IFERROR(IF(INDEX(EmployeeData[Exit Date], ROW() - 37)=0, "",INDEX(EmployeeData[Exit Date], ROW() - 37)),"")</f>
        <v/>
      </c>
      <c r="I1551" s="4" t="str" cm="1">
        <f t="array" ref="I1551">IFERROR(IF(INDEX(EmployeeData[Exit Reason], ROW() - 37)=0, "",INDEX(EmployeeData[Exit Reason], ROW() - 37)),"")</f>
        <v/>
      </c>
      <c r="J1551" s="4" t="str" cm="1">
        <f t="array" ref="J1551">IFERROR(INDEX(EmployeeData[Status], ROW() - 37), "")</f>
        <v/>
      </c>
    </row>
    <row r="1552" spans="2:10" ht="19.95" customHeight="1" x14ac:dyDescent="0.3">
      <c r="B1552" s="4" t="str" cm="1">
        <f t="array" ref="B1552">IFERROR(INDEX(EmployeeData[Employee ID], ROW() - 37), "")</f>
        <v/>
      </c>
      <c r="C1552" s="4" t="str" cm="1">
        <f t="array" ref="C1552">IFERROR(INDEX(EmployeeData[Full Name], ROW() - 37), "")</f>
        <v/>
      </c>
      <c r="D1552" s="4" t="str" cm="1">
        <f t="array" ref="D1552">IFERROR(INDEX(EmployeeData[Department], ROW() - 37), "")</f>
        <v/>
      </c>
      <c r="E1552" s="4" t="str" cm="1">
        <f t="array" ref="E1552">IFERROR(INDEX(EmployeeData[Gender], ROW() - 37), "")</f>
        <v/>
      </c>
      <c r="F1552" s="4" t="str" cm="1">
        <f t="array" ref="F1552">IFERROR(INDEX(EmployeeData[Age], ROW() - 37), "")</f>
        <v/>
      </c>
      <c r="G1552" s="6" t="str" cm="1">
        <f t="array" ref="G1552">IFERROR(INDEX(EmployeeData[Join Date], ROW() - 37), "")</f>
        <v/>
      </c>
      <c r="H1552" s="6" t="str" cm="1">
        <f t="array" ref="H1552">IFERROR(IF(INDEX(EmployeeData[Exit Date], ROW() - 37)=0, "",INDEX(EmployeeData[Exit Date], ROW() - 37)),"")</f>
        <v/>
      </c>
      <c r="I1552" s="4" t="str" cm="1">
        <f t="array" ref="I1552">IFERROR(IF(INDEX(EmployeeData[Exit Reason], ROW() - 37)=0, "",INDEX(EmployeeData[Exit Reason], ROW() - 37)),"")</f>
        <v/>
      </c>
      <c r="J1552" s="4" t="str" cm="1">
        <f t="array" ref="J1552">IFERROR(INDEX(EmployeeData[Status], ROW() - 37), "")</f>
        <v/>
      </c>
    </row>
    <row r="1553" spans="2:10" ht="19.95" customHeight="1" x14ac:dyDescent="0.3">
      <c r="B1553" s="4" t="str" cm="1">
        <f t="array" ref="B1553">IFERROR(INDEX(EmployeeData[Employee ID], ROW() - 37), "")</f>
        <v/>
      </c>
      <c r="C1553" s="4" t="str" cm="1">
        <f t="array" ref="C1553">IFERROR(INDEX(EmployeeData[Full Name], ROW() - 37), "")</f>
        <v/>
      </c>
      <c r="D1553" s="4" t="str" cm="1">
        <f t="array" ref="D1553">IFERROR(INDEX(EmployeeData[Department], ROW() - 37), "")</f>
        <v/>
      </c>
      <c r="E1553" s="4" t="str" cm="1">
        <f t="array" ref="E1553">IFERROR(INDEX(EmployeeData[Gender], ROW() - 37), "")</f>
        <v/>
      </c>
      <c r="F1553" s="4" t="str" cm="1">
        <f t="array" ref="F1553">IFERROR(INDEX(EmployeeData[Age], ROW() - 37), "")</f>
        <v/>
      </c>
      <c r="G1553" s="6" t="str" cm="1">
        <f t="array" ref="G1553">IFERROR(INDEX(EmployeeData[Join Date], ROW() - 37), "")</f>
        <v/>
      </c>
      <c r="H1553" s="6" t="str" cm="1">
        <f t="array" ref="H1553">IFERROR(IF(INDEX(EmployeeData[Exit Date], ROW() - 37)=0, "",INDEX(EmployeeData[Exit Date], ROW() - 37)),"")</f>
        <v/>
      </c>
      <c r="I1553" s="4" t="str" cm="1">
        <f t="array" ref="I1553">IFERROR(IF(INDEX(EmployeeData[Exit Reason], ROW() - 37)=0, "",INDEX(EmployeeData[Exit Reason], ROW() - 37)),"")</f>
        <v/>
      </c>
      <c r="J1553" s="4" t="str" cm="1">
        <f t="array" ref="J1553">IFERROR(INDEX(EmployeeData[Status], ROW() - 37), "")</f>
        <v/>
      </c>
    </row>
    <row r="1554" spans="2:10" ht="19.95" customHeight="1" x14ac:dyDescent="0.3">
      <c r="B1554" s="4" t="str" cm="1">
        <f t="array" ref="B1554">IFERROR(INDEX(EmployeeData[Employee ID], ROW() - 37), "")</f>
        <v/>
      </c>
      <c r="C1554" s="4" t="str" cm="1">
        <f t="array" ref="C1554">IFERROR(INDEX(EmployeeData[Full Name], ROW() - 37), "")</f>
        <v/>
      </c>
      <c r="D1554" s="4" t="str" cm="1">
        <f t="array" ref="D1554">IFERROR(INDEX(EmployeeData[Department], ROW() - 37), "")</f>
        <v/>
      </c>
      <c r="E1554" s="4" t="str" cm="1">
        <f t="array" ref="E1554">IFERROR(INDEX(EmployeeData[Gender], ROW() - 37), "")</f>
        <v/>
      </c>
      <c r="F1554" s="4" t="str" cm="1">
        <f t="array" ref="F1554">IFERROR(INDEX(EmployeeData[Age], ROW() - 37), "")</f>
        <v/>
      </c>
      <c r="G1554" s="6" t="str" cm="1">
        <f t="array" ref="G1554">IFERROR(INDEX(EmployeeData[Join Date], ROW() - 37), "")</f>
        <v/>
      </c>
      <c r="H1554" s="6" t="str" cm="1">
        <f t="array" ref="H1554">IFERROR(IF(INDEX(EmployeeData[Exit Date], ROW() - 37)=0, "",INDEX(EmployeeData[Exit Date], ROW() - 37)),"")</f>
        <v/>
      </c>
      <c r="I1554" s="4" t="str" cm="1">
        <f t="array" ref="I1554">IFERROR(IF(INDEX(EmployeeData[Exit Reason], ROW() - 37)=0, "",INDEX(EmployeeData[Exit Reason], ROW() - 37)),"")</f>
        <v/>
      </c>
      <c r="J1554" s="4" t="str" cm="1">
        <f t="array" ref="J1554">IFERROR(INDEX(EmployeeData[Status], ROW() - 37), "")</f>
        <v/>
      </c>
    </row>
    <row r="1555" spans="2:10" ht="19.95" customHeight="1" x14ac:dyDescent="0.3">
      <c r="B1555" s="4" t="str" cm="1">
        <f t="array" ref="B1555">IFERROR(INDEX(EmployeeData[Employee ID], ROW() - 37), "")</f>
        <v/>
      </c>
      <c r="C1555" s="4" t="str" cm="1">
        <f t="array" ref="C1555">IFERROR(INDEX(EmployeeData[Full Name], ROW() - 37), "")</f>
        <v/>
      </c>
      <c r="D1555" s="4" t="str" cm="1">
        <f t="array" ref="D1555">IFERROR(INDEX(EmployeeData[Department], ROW() - 37), "")</f>
        <v/>
      </c>
      <c r="E1555" s="4" t="str" cm="1">
        <f t="array" ref="E1555">IFERROR(INDEX(EmployeeData[Gender], ROW() - 37), "")</f>
        <v/>
      </c>
      <c r="F1555" s="4" t="str" cm="1">
        <f t="array" ref="F1555">IFERROR(INDEX(EmployeeData[Age], ROW() - 37), "")</f>
        <v/>
      </c>
      <c r="G1555" s="6" t="str" cm="1">
        <f t="array" ref="G1555">IFERROR(INDEX(EmployeeData[Join Date], ROW() - 37), "")</f>
        <v/>
      </c>
      <c r="H1555" s="6" t="str" cm="1">
        <f t="array" ref="H1555">IFERROR(IF(INDEX(EmployeeData[Exit Date], ROW() - 37)=0, "",INDEX(EmployeeData[Exit Date], ROW() - 37)),"")</f>
        <v/>
      </c>
      <c r="I1555" s="4" t="str" cm="1">
        <f t="array" ref="I1555">IFERROR(IF(INDEX(EmployeeData[Exit Reason], ROW() - 37)=0, "",INDEX(EmployeeData[Exit Reason], ROW() - 37)),"")</f>
        <v/>
      </c>
      <c r="J1555" s="4" t="str" cm="1">
        <f t="array" ref="J1555">IFERROR(INDEX(EmployeeData[Status], ROW() - 37), "")</f>
        <v/>
      </c>
    </row>
    <row r="1556" spans="2:10" ht="19.95" customHeight="1" x14ac:dyDescent="0.3">
      <c r="B1556" s="4" t="str" cm="1">
        <f t="array" ref="B1556">IFERROR(INDEX(EmployeeData[Employee ID], ROW() - 37), "")</f>
        <v/>
      </c>
      <c r="C1556" s="4" t="str" cm="1">
        <f t="array" ref="C1556">IFERROR(INDEX(EmployeeData[Full Name], ROW() - 37), "")</f>
        <v/>
      </c>
      <c r="D1556" s="4" t="str" cm="1">
        <f t="array" ref="D1556">IFERROR(INDEX(EmployeeData[Department], ROW() - 37), "")</f>
        <v/>
      </c>
      <c r="E1556" s="4" t="str" cm="1">
        <f t="array" ref="E1556">IFERROR(INDEX(EmployeeData[Gender], ROW() - 37), "")</f>
        <v/>
      </c>
      <c r="F1556" s="4" t="str" cm="1">
        <f t="array" ref="F1556">IFERROR(INDEX(EmployeeData[Age], ROW() - 37), "")</f>
        <v/>
      </c>
      <c r="G1556" s="6" t="str" cm="1">
        <f t="array" ref="G1556">IFERROR(INDEX(EmployeeData[Join Date], ROW() - 37), "")</f>
        <v/>
      </c>
      <c r="H1556" s="6" t="str" cm="1">
        <f t="array" ref="H1556">IFERROR(IF(INDEX(EmployeeData[Exit Date], ROW() - 37)=0, "",INDEX(EmployeeData[Exit Date], ROW() - 37)),"")</f>
        <v/>
      </c>
      <c r="I1556" s="4" t="str" cm="1">
        <f t="array" ref="I1556">IFERROR(IF(INDEX(EmployeeData[Exit Reason], ROW() - 37)=0, "",INDEX(EmployeeData[Exit Reason], ROW() - 37)),"")</f>
        <v/>
      </c>
      <c r="J1556" s="4" t="str" cm="1">
        <f t="array" ref="J1556">IFERROR(INDEX(EmployeeData[Status], ROW() - 37), "")</f>
        <v/>
      </c>
    </row>
    <row r="1557" spans="2:10" ht="19.95" customHeight="1" x14ac:dyDescent="0.3">
      <c r="B1557" s="4" t="str" cm="1">
        <f t="array" ref="B1557">IFERROR(INDEX(EmployeeData[Employee ID], ROW() - 37), "")</f>
        <v/>
      </c>
      <c r="C1557" s="4" t="str" cm="1">
        <f t="array" ref="C1557">IFERROR(INDEX(EmployeeData[Full Name], ROW() - 37), "")</f>
        <v/>
      </c>
      <c r="D1557" s="4" t="str" cm="1">
        <f t="array" ref="D1557">IFERROR(INDEX(EmployeeData[Department], ROW() - 37), "")</f>
        <v/>
      </c>
      <c r="E1557" s="4" t="str" cm="1">
        <f t="array" ref="E1557">IFERROR(INDEX(EmployeeData[Gender], ROW() - 37), "")</f>
        <v/>
      </c>
      <c r="F1557" s="4" t="str" cm="1">
        <f t="array" ref="F1557">IFERROR(INDEX(EmployeeData[Age], ROW() - 37), "")</f>
        <v/>
      </c>
      <c r="G1557" s="6" t="str" cm="1">
        <f t="array" ref="G1557">IFERROR(INDEX(EmployeeData[Join Date], ROW() - 37), "")</f>
        <v/>
      </c>
      <c r="H1557" s="6" t="str" cm="1">
        <f t="array" ref="H1557">IFERROR(IF(INDEX(EmployeeData[Exit Date], ROW() - 37)=0, "",INDEX(EmployeeData[Exit Date], ROW() - 37)),"")</f>
        <v/>
      </c>
      <c r="I1557" s="4" t="str" cm="1">
        <f t="array" ref="I1557">IFERROR(IF(INDEX(EmployeeData[Exit Reason], ROW() - 37)=0, "",INDEX(EmployeeData[Exit Reason], ROW() - 37)),"")</f>
        <v/>
      </c>
      <c r="J1557" s="4" t="str" cm="1">
        <f t="array" ref="J1557">IFERROR(INDEX(EmployeeData[Status], ROW() - 37), "")</f>
        <v/>
      </c>
    </row>
    <row r="1558" spans="2:10" ht="19.95" customHeight="1" x14ac:dyDescent="0.3">
      <c r="B1558" s="4" t="str" cm="1">
        <f t="array" ref="B1558">IFERROR(INDEX(EmployeeData[Employee ID], ROW() - 37), "")</f>
        <v/>
      </c>
      <c r="C1558" s="4" t="str" cm="1">
        <f t="array" ref="C1558">IFERROR(INDEX(EmployeeData[Full Name], ROW() - 37), "")</f>
        <v/>
      </c>
      <c r="D1558" s="4" t="str" cm="1">
        <f t="array" ref="D1558">IFERROR(INDEX(EmployeeData[Department], ROW() - 37), "")</f>
        <v/>
      </c>
      <c r="E1558" s="4" t="str" cm="1">
        <f t="array" ref="E1558">IFERROR(INDEX(EmployeeData[Gender], ROW() - 37), "")</f>
        <v/>
      </c>
      <c r="F1558" s="4" t="str" cm="1">
        <f t="array" ref="F1558">IFERROR(INDEX(EmployeeData[Age], ROW() - 37), "")</f>
        <v/>
      </c>
      <c r="G1558" s="6" t="str" cm="1">
        <f t="array" ref="G1558">IFERROR(INDEX(EmployeeData[Join Date], ROW() - 37), "")</f>
        <v/>
      </c>
      <c r="H1558" s="6" t="str" cm="1">
        <f t="array" ref="H1558">IFERROR(IF(INDEX(EmployeeData[Exit Date], ROW() - 37)=0, "",INDEX(EmployeeData[Exit Date], ROW() - 37)),"")</f>
        <v/>
      </c>
      <c r="I1558" s="4" t="str" cm="1">
        <f t="array" ref="I1558">IFERROR(IF(INDEX(EmployeeData[Exit Reason], ROW() - 37)=0, "",INDEX(EmployeeData[Exit Reason], ROW() - 37)),"")</f>
        <v/>
      </c>
      <c r="J1558" s="4" t="str" cm="1">
        <f t="array" ref="J1558">IFERROR(INDEX(EmployeeData[Status], ROW() - 37), "")</f>
        <v/>
      </c>
    </row>
    <row r="1559" spans="2:10" ht="19.95" customHeight="1" x14ac:dyDescent="0.3">
      <c r="B1559" s="4" t="str" cm="1">
        <f t="array" ref="B1559">IFERROR(INDEX(EmployeeData[Employee ID], ROW() - 37), "")</f>
        <v/>
      </c>
      <c r="C1559" s="4" t="str" cm="1">
        <f t="array" ref="C1559">IFERROR(INDEX(EmployeeData[Full Name], ROW() - 37), "")</f>
        <v/>
      </c>
      <c r="D1559" s="4" t="str" cm="1">
        <f t="array" ref="D1559">IFERROR(INDEX(EmployeeData[Department], ROW() - 37), "")</f>
        <v/>
      </c>
      <c r="E1559" s="4" t="str" cm="1">
        <f t="array" ref="E1559">IFERROR(INDEX(EmployeeData[Gender], ROW() - 37), "")</f>
        <v/>
      </c>
      <c r="F1559" s="4" t="str" cm="1">
        <f t="array" ref="F1559">IFERROR(INDEX(EmployeeData[Age], ROW() - 37), "")</f>
        <v/>
      </c>
      <c r="G1559" s="6" t="str" cm="1">
        <f t="array" ref="G1559">IFERROR(INDEX(EmployeeData[Join Date], ROW() - 37), "")</f>
        <v/>
      </c>
      <c r="H1559" s="6" t="str" cm="1">
        <f t="array" ref="H1559">IFERROR(IF(INDEX(EmployeeData[Exit Date], ROW() - 37)=0, "",INDEX(EmployeeData[Exit Date], ROW() - 37)),"")</f>
        <v/>
      </c>
      <c r="I1559" s="4" t="str" cm="1">
        <f t="array" ref="I1559">IFERROR(IF(INDEX(EmployeeData[Exit Reason], ROW() - 37)=0, "",INDEX(EmployeeData[Exit Reason], ROW() - 37)),"")</f>
        <v/>
      </c>
      <c r="J1559" s="4" t="str" cm="1">
        <f t="array" ref="J1559">IFERROR(INDEX(EmployeeData[Status], ROW() - 37), "")</f>
        <v/>
      </c>
    </row>
    <row r="1560" spans="2:10" ht="19.95" customHeight="1" x14ac:dyDescent="0.3">
      <c r="B1560" s="4" t="str" cm="1">
        <f t="array" ref="B1560">IFERROR(INDEX(EmployeeData[Employee ID], ROW() - 37), "")</f>
        <v/>
      </c>
      <c r="C1560" s="4" t="str" cm="1">
        <f t="array" ref="C1560">IFERROR(INDEX(EmployeeData[Full Name], ROW() - 37), "")</f>
        <v/>
      </c>
      <c r="D1560" s="4" t="str" cm="1">
        <f t="array" ref="D1560">IFERROR(INDEX(EmployeeData[Department], ROW() - 37), "")</f>
        <v/>
      </c>
      <c r="E1560" s="4" t="str" cm="1">
        <f t="array" ref="E1560">IFERROR(INDEX(EmployeeData[Gender], ROW() - 37), "")</f>
        <v/>
      </c>
      <c r="F1560" s="4" t="str" cm="1">
        <f t="array" ref="F1560">IFERROR(INDEX(EmployeeData[Age], ROW() - 37), "")</f>
        <v/>
      </c>
      <c r="G1560" s="6" t="str" cm="1">
        <f t="array" ref="G1560">IFERROR(INDEX(EmployeeData[Join Date], ROW() - 37), "")</f>
        <v/>
      </c>
      <c r="H1560" s="6" t="str" cm="1">
        <f t="array" ref="H1560">IFERROR(IF(INDEX(EmployeeData[Exit Date], ROW() - 37)=0, "",INDEX(EmployeeData[Exit Date], ROW() - 37)),"")</f>
        <v/>
      </c>
      <c r="I1560" s="4" t="str" cm="1">
        <f t="array" ref="I1560">IFERROR(IF(INDEX(EmployeeData[Exit Reason], ROW() - 37)=0, "",INDEX(EmployeeData[Exit Reason], ROW() - 37)),"")</f>
        <v/>
      </c>
      <c r="J1560" s="4" t="str" cm="1">
        <f t="array" ref="J1560">IFERROR(INDEX(EmployeeData[Status], ROW() - 37), "")</f>
        <v/>
      </c>
    </row>
    <row r="1561" spans="2:10" ht="19.95" customHeight="1" x14ac:dyDescent="0.3">
      <c r="B1561" s="4" t="str" cm="1">
        <f t="array" ref="B1561">IFERROR(INDEX(EmployeeData[Employee ID], ROW() - 37), "")</f>
        <v/>
      </c>
      <c r="C1561" s="4" t="str" cm="1">
        <f t="array" ref="C1561">IFERROR(INDEX(EmployeeData[Full Name], ROW() - 37), "")</f>
        <v/>
      </c>
      <c r="D1561" s="4" t="str" cm="1">
        <f t="array" ref="D1561">IFERROR(INDEX(EmployeeData[Department], ROW() - 37), "")</f>
        <v/>
      </c>
      <c r="E1561" s="4" t="str" cm="1">
        <f t="array" ref="E1561">IFERROR(INDEX(EmployeeData[Gender], ROW() - 37), "")</f>
        <v/>
      </c>
      <c r="F1561" s="4" t="str" cm="1">
        <f t="array" ref="F1561">IFERROR(INDEX(EmployeeData[Age], ROW() - 37), "")</f>
        <v/>
      </c>
      <c r="G1561" s="6" t="str" cm="1">
        <f t="array" ref="G1561">IFERROR(INDEX(EmployeeData[Join Date], ROW() - 37), "")</f>
        <v/>
      </c>
      <c r="H1561" s="6" t="str" cm="1">
        <f t="array" ref="H1561">IFERROR(IF(INDEX(EmployeeData[Exit Date], ROW() - 37)=0, "",INDEX(EmployeeData[Exit Date], ROW() - 37)),"")</f>
        <v/>
      </c>
      <c r="I1561" s="4" t="str" cm="1">
        <f t="array" ref="I1561">IFERROR(IF(INDEX(EmployeeData[Exit Reason], ROW() - 37)=0, "",INDEX(EmployeeData[Exit Reason], ROW() - 37)),"")</f>
        <v/>
      </c>
      <c r="J1561" s="4" t="str" cm="1">
        <f t="array" ref="J1561">IFERROR(INDEX(EmployeeData[Status], ROW() - 37), "")</f>
        <v/>
      </c>
    </row>
    <row r="1562" spans="2:10" ht="19.95" customHeight="1" x14ac:dyDescent="0.3">
      <c r="B1562" s="4" t="str" cm="1">
        <f t="array" ref="B1562">IFERROR(INDEX(EmployeeData[Employee ID], ROW() - 37), "")</f>
        <v/>
      </c>
      <c r="C1562" s="4" t="str" cm="1">
        <f t="array" ref="C1562">IFERROR(INDEX(EmployeeData[Full Name], ROW() - 37), "")</f>
        <v/>
      </c>
      <c r="D1562" s="4" t="str" cm="1">
        <f t="array" ref="D1562">IFERROR(INDEX(EmployeeData[Department], ROW() - 37), "")</f>
        <v/>
      </c>
      <c r="E1562" s="4" t="str" cm="1">
        <f t="array" ref="E1562">IFERROR(INDEX(EmployeeData[Gender], ROW() - 37), "")</f>
        <v/>
      </c>
      <c r="F1562" s="4" t="str" cm="1">
        <f t="array" ref="F1562">IFERROR(INDEX(EmployeeData[Age], ROW() - 37), "")</f>
        <v/>
      </c>
      <c r="G1562" s="6" t="str" cm="1">
        <f t="array" ref="G1562">IFERROR(INDEX(EmployeeData[Join Date], ROW() - 37), "")</f>
        <v/>
      </c>
      <c r="H1562" s="6" t="str" cm="1">
        <f t="array" ref="H1562">IFERROR(IF(INDEX(EmployeeData[Exit Date], ROW() - 37)=0, "",INDEX(EmployeeData[Exit Date], ROW() - 37)),"")</f>
        <v/>
      </c>
      <c r="I1562" s="4" t="str" cm="1">
        <f t="array" ref="I1562">IFERROR(IF(INDEX(EmployeeData[Exit Reason], ROW() - 37)=0, "",INDEX(EmployeeData[Exit Reason], ROW() - 37)),"")</f>
        <v/>
      </c>
      <c r="J1562" s="4" t="str" cm="1">
        <f t="array" ref="J1562">IFERROR(INDEX(EmployeeData[Status], ROW() - 37), "")</f>
        <v/>
      </c>
    </row>
    <row r="1563" spans="2:10" ht="19.95" customHeight="1" x14ac:dyDescent="0.3">
      <c r="B1563" s="4" t="str" cm="1">
        <f t="array" ref="B1563">IFERROR(INDEX(EmployeeData[Employee ID], ROW() - 37), "")</f>
        <v/>
      </c>
      <c r="C1563" s="4" t="str" cm="1">
        <f t="array" ref="C1563">IFERROR(INDEX(EmployeeData[Full Name], ROW() - 37), "")</f>
        <v/>
      </c>
      <c r="D1563" s="4" t="str" cm="1">
        <f t="array" ref="D1563">IFERROR(INDEX(EmployeeData[Department], ROW() - 37), "")</f>
        <v/>
      </c>
      <c r="E1563" s="4" t="str" cm="1">
        <f t="array" ref="E1563">IFERROR(INDEX(EmployeeData[Gender], ROW() - 37), "")</f>
        <v/>
      </c>
      <c r="F1563" s="4" t="str" cm="1">
        <f t="array" ref="F1563">IFERROR(INDEX(EmployeeData[Age], ROW() - 37), "")</f>
        <v/>
      </c>
      <c r="G1563" s="6" t="str" cm="1">
        <f t="array" ref="G1563">IFERROR(INDEX(EmployeeData[Join Date], ROW() - 37), "")</f>
        <v/>
      </c>
      <c r="H1563" s="6" t="str" cm="1">
        <f t="array" ref="H1563">IFERROR(IF(INDEX(EmployeeData[Exit Date], ROW() - 37)=0, "",INDEX(EmployeeData[Exit Date], ROW() - 37)),"")</f>
        <v/>
      </c>
      <c r="I1563" s="4" t="str" cm="1">
        <f t="array" ref="I1563">IFERROR(IF(INDEX(EmployeeData[Exit Reason], ROW() - 37)=0, "",INDEX(EmployeeData[Exit Reason], ROW() - 37)),"")</f>
        <v/>
      </c>
      <c r="J1563" s="4" t="str" cm="1">
        <f t="array" ref="J1563">IFERROR(INDEX(EmployeeData[Status], ROW() - 37), "")</f>
        <v/>
      </c>
    </row>
    <row r="1564" spans="2:10" ht="19.95" customHeight="1" x14ac:dyDescent="0.3">
      <c r="B1564" s="4" t="str" cm="1">
        <f t="array" ref="B1564">IFERROR(INDEX(EmployeeData[Employee ID], ROW() - 37), "")</f>
        <v/>
      </c>
      <c r="C1564" s="4" t="str" cm="1">
        <f t="array" ref="C1564">IFERROR(INDEX(EmployeeData[Full Name], ROW() - 37), "")</f>
        <v/>
      </c>
      <c r="D1564" s="4" t="str" cm="1">
        <f t="array" ref="D1564">IFERROR(INDEX(EmployeeData[Department], ROW() - 37), "")</f>
        <v/>
      </c>
      <c r="E1564" s="4" t="str" cm="1">
        <f t="array" ref="E1564">IFERROR(INDEX(EmployeeData[Gender], ROW() - 37), "")</f>
        <v/>
      </c>
      <c r="F1564" s="4" t="str" cm="1">
        <f t="array" ref="F1564">IFERROR(INDEX(EmployeeData[Age], ROW() - 37), "")</f>
        <v/>
      </c>
      <c r="G1564" s="6" t="str" cm="1">
        <f t="array" ref="G1564">IFERROR(INDEX(EmployeeData[Join Date], ROW() - 37), "")</f>
        <v/>
      </c>
      <c r="H1564" s="6" t="str" cm="1">
        <f t="array" ref="H1564">IFERROR(IF(INDEX(EmployeeData[Exit Date], ROW() - 37)=0, "",INDEX(EmployeeData[Exit Date], ROW() - 37)),"")</f>
        <v/>
      </c>
      <c r="I1564" s="4" t="str" cm="1">
        <f t="array" ref="I1564">IFERROR(IF(INDEX(EmployeeData[Exit Reason], ROW() - 37)=0, "",INDEX(EmployeeData[Exit Reason], ROW() - 37)),"")</f>
        <v/>
      </c>
      <c r="J1564" s="4" t="str" cm="1">
        <f t="array" ref="J1564">IFERROR(INDEX(EmployeeData[Status], ROW() - 37), "")</f>
        <v/>
      </c>
    </row>
    <row r="1565" spans="2:10" ht="19.95" customHeight="1" x14ac:dyDescent="0.3">
      <c r="B1565" s="4" t="str" cm="1">
        <f t="array" ref="B1565">IFERROR(INDEX(EmployeeData[Employee ID], ROW() - 37), "")</f>
        <v/>
      </c>
      <c r="C1565" s="4" t="str" cm="1">
        <f t="array" ref="C1565">IFERROR(INDEX(EmployeeData[Full Name], ROW() - 37), "")</f>
        <v/>
      </c>
      <c r="D1565" s="4" t="str" cm="1">
        <f t="array" ref="D1565">IFERROR(INDEX(EmployeeData[Department], ROW() - 37), "")</f>
        <v/>
      </c>
      <c r="E1565" s="4" t="str" cm="1">
        <f t="array" ref="E1565">IFERROR(INDEX(EmployeeData[Gender], ROW() - 37), "")</f>
        <v/>
      </c>
      <c r="F1565" s="4" t="str" cm="1">
        <f t="array" ref="F1565">IFERROR(INDEX(EmployeeData[Age], ROW() - 37), "")</f>
        <v/>
      </c>
      <c r="G1565" s="6" t="str" cm="1">
        <f t="array" ref="G1565">IFERROR(INDEX(EmployeeData[Join Date], ROW() - 37), "")</f>
        <v/>
      </c>
      <c r="H1565" s="6" t="str" cm="1">
        <f t="array" ref="H1565">IFERROR(IF(INDEX(EmployeeData[Exit Date], ROW() - 37)=0, "",INDEX(EmployeeData[Exit Date], ROW() - 37)),"")</f>
        <v/>
      </c>
      <c r="I1565" s="4" t="str" cm="1">
        <f t="array" ref="I1565">IFERROR(IF(INDEX(EmployeeData[Exit Reason], ROW() - 37)=0, "",INDEX(EmployeeData[Exit Reason], ROW() - 37)),"")</f>
        <v/>
      </c>
      <c r="J1565" s="4" t="str" cm="1">
        <f t="array" ref="J1565">IFERROR(INDEX(EmployeeData[Status], ROW() - 37), "")</f>
        <v/>
      </c>
    </row>
    <row r="1566" spans="2:10" ht="19.95" customHeight="1" x14ac:dyDescent="0.3">
      <c r="B1566" s="4" t="str" cm="1">
        <f t="array" ref="B1566">IFERROR(INDEX(EmployeeData[Employee ID], ROW() - 37), "")</f>
        <v/>
      </c>
      <c r="C1566" s="4" t="str" cm="1">
        <f t="array" ref="C1566">IFERROR(INDEX(EmployeeData[Full Name], ROW() - 37), "")</f>
        <v/>
      </c>
      <c r="D1566" s="4" t="str" cm="1">
        <f t="array" ref="D1566">IFERROR(INDEX(EmployeeData[Department], ROW() - 37), "")</f>
        <v/>
      </c>
      <c r="E1566" s="4" t="str" cm="1">
        <f t="array" ref="E1566">IFERROR(INDEX(EmployeeData[Gender], ROW() - 37), "")</f>
        <v/>
      </c>
      <c r="F1566" s="4" t="str" cm="1">
        <f t="array" ref="F1566">IFERROR(INDEX(EmployeeData[Age], ROW() - 37), "")</f>
        <v/>
      </c>
      <c r="G1566" s="6" t="str" cm="1">
        <f t="array" ref="G1566">IFERROR(INDEX(EmployeeData[Join Date], ROW() - 37), "")</f>
        <v/>
      </c>
      <c r="H1566" s="6" t="str" cm="1">
        <f t="array" ref="H1566">IFERROR(IF(INDEX(EmployeeData[Exit Date], ROW() - 37)=0, "",INDEX(EmployeeData[Exit Date], ROW() - 37)),"")</f>
        <v/>
      </c>
      <c r="I1566" s="4" t="str" cm="1">
        <f t="array" ref="I1566">IFERROR(IF(INDEX(EmployeeData[Exit Reason], ROW() - 37)=0, "",INDEX(EmployeeData[Exit Reason], ROW() - 37)),"")</f>
        <v/>
      </c>
      <c r="J1566" s="4" t="str" cm="1">
        <f t="array" ref="J1566">IFERROR(INDEX(EmployeeData[Status], ROW() - 37), "")</f>
        <v/>
      </c>
    </row>
    <row r="1567" spans="2:10" ht="19.95" customHeight="1" x14ac:dyDescent="0.3">
      <c r="B1567" s="4" t="str" cm="1">
        <f t="array" ref="B1567">IFERROR(INDEX(EmployeeData[Employee ID], ROW() - 37), "")</f>
        <v/>
      </c>
      <c r="C1567" s="4" t="str" cm="1">
        <f t="array" ref="C1567">IFERROR(INDEX(EmployeeData[Full Name], ROW() - 37), "")</f>
        <v/>
      </c>
      <c r="D1567" s="4" t="str" cm="1">
        <f t="array" ref="D1567">IFERROR(INDEX(EmployeeData[Department], ROW() - 37), "")</f>
        <v/>
      </c>
      <c r="E1567" s="4" t="str" cm="1">
        <f t="array" ref="E1567">IFERROR(INDEX(EmployeeData[Gender], ROW() - 37), "")</f>
        <v/>
      </c>
      <c r="F1567" s="4" t="str" cm="1">
        <f t="array" ref="F1567">IFERROR(INDEX(EmployeeData[Age], ROW() - 37), "")</f>
        <v/>
      </c>
      <c r="G1567" s="6" t="str" cm="1">
        <f t="array" ref="G1567">IFERROR(INDEX(EmployeeData[Join Date], ROW() - 37), "")</f>
        <v/>
      </c>
      <c r="H1567" s="6" t="str" cm="1">
        <f t="array" ref="H1567">IFERROR(IF(INDEX(EmployeeData[Exit Date], ROW() - 37)=0, "",INDEX(EmployeeData[Exit Date], ROW() - 37)),"")</f>
        <v/>
      </c>
      <c r="I1567" s="4" t="str" cm="1">
        <f t="array" ref="I1567">IFERROR(IF(INDEX(EmployeeData[Exit Reason], ROW() - 37)=0, "",INDEX(EmployeeData[Exit Reason], ROW() - 37)),"")</f>
        <v/>
      </c>
      <c r="J1567" s="4" t="str" cm="1">
        <f t="array" ref="J1567">IFERROR(INDEX(EmployeeData[Status], ROW() - 37), "")</f>
        <v/>
      </c>
    </row>
    <row r="1568" spans="2:10" ht="19.95" customHeight="1" x14ac:dyDescent="0.3">
      <c r="B1568" s="4" t="str" cm="1">
        <f t="array" ref="B1568">IFERROR(INDEX(EmployeeData[Employee ID], ROW() - 37), "")</f>
        <v/>
      </c>
      <c r="C1568" s="4" t="str" cm="1">
        <f t="array" ref="C1568">IFERROR(INDEX(EmployeeData[Full Name], ROW() - 37), "")</f>
        <v/>
      </c>
      <c r="D1568" s="4" t="str" cm="1">
        <f t="array" ref="D1568">IFERROR(INDEX(EmployeeData[Department], ROW() - 37), "")</f>
        <v/>
      </c>
      <c r="E1568" s="4" t="str" cm="1">
        <f t="array" ref="E1568">IFERROR(INDEX(EmployeeData[Gender], ROW() - 37), "")</f>
        <v/>
      </c>
      <c r="F1568" s="4" t="str" cm="1">
        <f t="array" ref="F1568">IFERROR(INDEX(EmployeeData[Age], ROW() - 37), "")</f>
        <v/>
      </c>
      <c r="G1568" s="6" t="str" cm="1">
        <f t="array" ref="G1568">IFERROR(INDEX(EmployeeData[Join Date], ROW() - 37), "")</f>
        <v/>
      </c>
      <c r="H1568" s="6" t="str" cm="1">
        <f t="array" ref="H1568">IFERROR(IF(INDEX(EmployeeData[Exit Date], ROW() - 37)=0, "",INDEX(EmployeeData[Exit Date], ROW() - 37)),"")</f>
        <v/>
      </c>
      <c r="I1568" s="4" t="str" cm="1">
        <f t="array" ref="I1568">IFERROR(IF(INDEX(EmployeeData[Exit Reason], ROW() - 37)=0, "",INDEX(EmployeeData[Exit Reason], ROW() - 37)),"")</f>
        <v/>
      </c>
      <c r="J1568" s="4" t="str" cm="1">
        <f t="array" ref="J1568">IFERROR(INDEX(EmployeeData[Status], ROW() - 37), "")</f>
        <v/>
      </c>
    </row>
    <row r="1569" spans="2:10" ht="19.95" customHeight="1" x14ac:dyDescent="0.3">
      <c r="B1569" s="4" t="str" cm="1">
        <f t="array" ref="B1569">IFERROR(INDEX(EmployeeData[Employee ID], ROW() - 37), "")</f>
        <v/>
      </c>
      <c r="C1569" s="4" t="str" cm="1">
        <f t="array" ref="C1569">IFERROR(INDEX(EmployeeData[Full Name], ROW() - 37), "")</f>
        <v/>
      </c>
      <c r="D1569" s="4" t="str" cm="1">
        <f t="array" ref="D1569">IFERROR(INDEX(EmployeeData[Department], ROW() - 37), "")</f>
        <v/>
      </c>
      <c r="E1569" s="4" t="str" cm="1">
        <f t="array" ref="E1569">IFERROR(INDEX(EmployeeData[Gender], ROW() - 37), "")</f>
        <v/>
      </c>
      <c r="F1569" s="4" t="str" cm="1">
        <f t="array" ref="F1569">IFERROR(INDEX(EmployeeData[Age], ROW() - 37), "")</f>
        <v/>
      </c>
      <c r="G1569" s="6" t="str" cm="1">
        <f t="array" ref="G1569">IFERROR(INDEX(EmployeeData[Join Date], ROW() - 37), "")</f>
        <v/>
      </c>
      <c r="H1569" s="6" t="str" cm="1">
        <f t="array" ref="H1569">IFERROR(IF(INDEX(EmployeeData[Exit Date], ROW() - 37)=0, "",INDEX(EmployeeData[Exit Date], ROW() - 37)),"")</f>
        <v/>
      </c>
      <c r="I1569" s="4" t="str" cm="1">
        <f t="array" ref="I1569">IFERROR(IF(INDEX(EmployeeData[Exit Reason], ROW() - 37)=0, "",INDEX(EmployeeData[Exit Reason], ROW() - 37)),"")</f>
        <v/>
      </c>
      <c r="J1569" s="4" t="str" cm="1">
        <f t="array" ref="J1569">IFERROR(INDEX(EmployeeData[Status], ROW() - 37), "")</f>
        <v/>
      </c>
    </row>
    <row r="1570" spans="2:10" ht="19.95" customHeight="1" x14ac:dyDescent="0.3">
      <c r="B1570" s="4" t="str" cm="1">
        <f t="array" ref="B1570">IFERROR(INDEX(EmployeeData[Employee ID], ROW() - 37), "")</f>
        <v/>
      </c>
      <c r="C1570" s="4" t="str" cm="1">
        <f t="array" ref="C1570">IFERROR(INDEX(EmployeeData[Full Name], ROW() - 37), "")</f>
        <v/>
      </c>
      <c r="D1570" s="4" t="str" cm="1">
        <f t="array" ref="D1570">IFERROR(INDEX(EmployeeData[Department], ROW() - 37), "")</f>
        <v/>
      </c>
      <c r="E1570" s="4" t="str" cm="1">
        <f t="array" ref="E1570">IFERROR(INDEX(EmployeeData[Gender], ROW() - 37), "")</f>
        <v/>
      </c>
      <c r="F1570" s="4" t="str" cm="1">
        <f t="array" ref="F1570">IFERROR(INDEX(EmployeeData[Age], ROW() - 37), "")</f>
        <v/>
      </c>
      <c r="G1570" s="6" t="str" cm="1">
        <f t="array" ref="G1570">IFERROR(INDEX(EmployeeData[Join Date], ROW() - 37), "")</f>
        <v/>
      </c>
      <c r="H1570" s="6" t="str" cm="1">
        <f t="array" ref="H1570">IFERROR(IF(INDEX(EmployeeData[Exit Date], ROW() - 37)=0, "",INDEX(EmployeeData[Exit Date], ROW() - 37)),"")</f>
        <v/>
      </c>
      <c r="I1570" s="4" t="str" cm="1">
        <f t="array" ref="I1570">IFERROR(IF(INDEX(EmployeeData[Exit Reason], ROW() - 37)=0, "",INDEX(EmployeeData[Exit Reason], ROW() - 37)),"")</f>
        <v/>
      </c>
      <c r="J1570" s="4" t="str" cm="1">
        <f t="array" ref="J1570">IFERROR(INDEX(EmployeeData[Status], ROW() - 37), "")</f>
        <v/>
      </c>
    </row>
    <row r="1571" spans="2:10" ht="19.95" customHeight="1" x14ac:dyDescent="0.3">
      <c r="B1571" s="4" t="str" cm="1">
        <f t="array" ref="B1571">IFERROR(INDEX(EmployeeData[Employee ID], ROW() - 37), "")</f>
        <v/>
      </c>
      <c r="C1571" s="4" t="str" cm="1">
        <f t="array" ref="C1571">IFERROR(INDEX(EmployeeData[Full Name], ROW() - 37), "")</f>
        <v/>
      </c>
      <c r="D1571" s="4" t="str" cm="1">
        <f t="array" ref="D1571">IFERROR(INDEX(EmployeeData[Department], ROW() - 37), "")</f>
        <v/>
      </c>
      <c r="E1571" s="4" t="str" cm="1">
        <f t="array" ref="E1571">IFERROR(INDEX(EmployeeData[Gender], ROW() - 37), "")</f>
        <v/>
      </c>
      <c r="F1571" s="4" t="str" cm="1">
        <f t="array" ref="F1571">IFERROR(INDEX(EmployeeData[Age], ROW() - 37), "")</f>
        <v/>
      </c>
      <c r="G1571" s="6" t="str" cm="1">
        <f t="array" ref="G1571">IFERROR(INDEX(EmployeeData[Join Date], ROW() - 37), "")</f>
        <v/>
      </c>
      <c r="H1571" s="6" t="str" cm="1">
        <f t="array" ref="H1571">IFERROR(IF(INDEX(EmployeeData[Exit Date], ROW() - 37)=0, "",INDEX(EmployeeData[Exit Date], ROW() - 37)),"")</f>
        <v/>
      </c>
      <c r="I1571" s="4" t="str" cm="1">
        <f t="array" ref="I1571">IFERROR(IF(INDEX(EmployeeData[Exit Reason], ROW() - 37)=0, "",INDEX(EmployeeData[Exit Reason], ROW() - 37)),"")</f>
        <v/>
      </c>
      <c r="J1571" s="4" t="str" cm="1">
        <f t="array" ref="J1571">IFERROR(INDEX(EmployeeData[Status], ROW() - 37), "")</f>
        <v/>
      </c>
    </row>
    <row r="1572" spans="2:10" ht="19.95" customHeight="1" x14ac:dyDescent="0.3">
      <c r="B1572" s="4" t="str" cm="1">
        <f t="array" ref="B1572">IFERROR(INDEX(EmployeeData[Employee ID], ROW() - 37), "")</f>
        <v/>
      </c>
      <c r="C1572" s="4" t="str" cm="1">
        <f t="array" ref="C1572">IFERROR(INDEX(EmployeeData[Full Name], ROW() - 37), "")</f>
        <v/>
      </c>
      <c r="D1572" s="4" t="str" cm="1">
        <f t="array" ref="D1572">IFERROR(INDEX(EmployeeData[Department], ROW() - 37), "")</f>
        <v/>
      </c>
      <c r="E1572" s="4" t="str" cm="1">
        <f t="array" ref="E1572">IFERROR(INDEX(EmployeeData[Gender], ROW() - 37), "")</f>
        <v/>
      </c>
      <c r="F1572" s="4" t="str" cm="1">
        <f t="array" ref="F1572">IFERROR(INDEX(EmployeeData[Age], ROW() - 37), "")</f>
        <v/>
      </c>
      <c r="G1572" s="6" t="str" cm="1">
        <f t="array" ref="G1572">IFERROR(INDEX(EmployeeData[Join Date], ROW() - 37), "")</f>
        <v/>
      </c>
      <c r="H1572" s="6" t="str" cm="1">
        <f t="array" ref="H1572">IFERROR(IF(INDEX(EmployeeData[Exit Date], ROW() - 37)=0, "",INDEX(EmployeeData[Exit Date], ROW() - 37)),"")</f>
        <v/>
      </c>
      <c r="I1572" s="4" t="str" cm="1">
        <f t="array" ref="I1572">IFERROR(IF(INDEX(EmployeeData[Exit Reason], ROW() - 37)=0, "",INDEX(EmployeeData[Exit Reason], ROW() - 37)),"")</f>
        <v/>
      </c>
      <c r="J1572" s="4" t="str" cm="1">
        <f t="array" ref="J1572">IFERROR(INDEX(EmployeeData[Status], ROW() - 37), "")</f>
        <v/>
      </c>
    </row>
    <row r="1573" spans="2:10" ht="19.95" customHeight="1" x14ac:dyDescent="0.3">
      <c r="B1573" s="4" t="str" cm="1">
        <f t="array" ref="B1573">IFERROR(INDEX(EmployeeData[Employee ID], ROW() - 37), "")</f>
        <v/>
      </c>
      <c r="C1573" s="4" t="str" cm="1">
        <f t="array" ref="C1573">IFERROR(INDEX(EmployeeData[Full Name], ROW() - 37), "")</f>
        <v/>
      </c>
      <c r="D1573" s="4" t="str" cm="1">
        <f t="array" ref="D1573">IFERROR(INDEX(EmployeeData[Department], ROW() - 37), "")</f>
        <v/>
      </c>
      <c r="E1573" s="4" t="str" cm="1">
        <f t="array" ref="E1573">IFERROR(INDEX(EmployeeData[Gender], ROW() - 37), "")</f>
        <v/>
      </c>
      <c r="F1573" s="4" t="str" cm="1">
        <f t="array" ref="F1573">IFERROR(INDEX(EmployeeData[Age], ROW() - 37), "")</f>
        <v/>
      </c>
      <c r="G1573" s="6" t="str" cm="1">
        <f t="array" ref="G1573">IFERROR(INDEX(EmployeeData[Join Date], ROW() - 37), "")</f>
        <v/>
      </c>
      <c r="H1573" s="6" t="str" cm="1">
        <f t="array" ref="H1573">IFERROR(IF(INDEX(EmployeeData[Exit Date], ROW() - 37)=0, "",INDEX(EmployeeData[Exit Date], ROW() - 37)),"")</f>
        <v/>
      </c>
      <c r="I1573" s="4" t="str" cm="1">
        <f t="array" ref="I1573">IFERROR(IF(INDEX(EmployeeData[Exit Reason], ROW() - 37)=0, "",INDEX(EmployeeData[Exit Reason], ROW() - 37)),"")</f>
        <v/>
      </c>
      <c r="J1573" s="4" t="str" cm="1">
        <f t="array" ref="J1573">IFERROR(INDEX(EmployeeData[Status], ROW() - 37), "")</f>
        <v/>
      </c>
    </row>
    <row r="1574" spans="2:10" ht="19.95" customHeight="1" x14ac:dyDescent="0.3">
      <c r="B1574" s="4" t="str" cm="1">
        <f t="array" ref="B1574">IFERROR(INDEX(EmployeeData[Employee ID], ROW() - 37), "")</f>
        <v/>
      </c>
      <c r="C1574" s="4" t="str" cm="1">
        <f t="array" ref="C1574">IFERROR(INDEX(EmployeeData[Full Name], ROW() - 37), "")</f>
        <v/>
      </c>
      <c r="D1574" s="4" t="str" cm="1">
        <f t="array" ref="D1574">IFERROR(INDEX(EmployeeData[Department], ROW() - 37), "")</f>
        <v/>
      </c>
      <c r="E1574" s="4" t="str" cm="1">
        <f t="array" ref="E1574">IFERROR(INDEX(EmployeeData[Gender], ROW() - 37), "")</f>
        <v/>
      </c>
      <c r="F1574" s="4" t="str" cm="1">
        <f t="array" ref="F1574">IFERROR(INDEX(EmployeeData[Age], ROW() - 37), "")</f>
        <v/>
      </c>
      <c r="G1574" s="6" t="str" cm="1">
        <f t="array" ref="G1574">IFERROR(INDEX(EmployeeData[Join Date], ROW() - 37), "")</f>
        <v/>
      </c>
      <c r="H1574" s="6" t="str" cm="1">
        <f t="array" ref="H1574">IFERROR(IF(INDEX(EmployeeData[Exit Date], ROW() - 37)=0, "",INDEX(EmployeeData[Exit Date], ROW() - 37)),"")</f>
        <v/>
      </c>
      <c r="I1574" s="4" t="str" cm="1">
        <f t="array" ref="I1574">IFERROR(IF(INDEX(EmployeeData[Exit Reason], ROW() - 37)=0, "",INDEX(EmployeeData[Exit Reason], ROW() - 37)),"")</f>
        <v/>
      </c>
      <c r="J1574" s="4" t="str" cm="1">
        <f t="array" ref="J1574">IFERROR(INDEX(EmployeeData[Status], ROW() - 37), "")</f>
        <v/>
      </c>
    </row>
    <row r="1575" spans="2:10" ht="19.95" customHeight="1" x14ac:dyDescent="0.3">
      <c r="B1575" s="4" t="str" cm="1">
        <f t="array" ref="B1575">IFERROR(INDEX(EmployeeData[Employee ID], ROW() - 37), "")</f>
        <v/>
      </c>
      <c r="C1575" s="4" t="str" cm="1">
        <f t="array" ref="C1575">IFERROR(INDEX(EmployeeData[Full Name], ROW() - 37), "")</f>
        <v/>
      </c>
      <c r="D1575" s="4" t="str" cm="1">
        <f t="array" ref="D1575">IFERROR(INDEX(EmployeeData[Department], ROW() - 37), "")</f>
        <v/>
      </c>
      <c r="E1575" s="4" t="str" cm="1">
        <f t="array" ref="E1575">IFERROR(INDEX(EmployeeData[Gender], ROW() - 37), "")</f>
        <v/>
      </c>
      <c r="F1575" s="4" t="str" cm="1">
        <f t="array" ref="F1575">IFERROR(INDEX(EmployeeData[Age], ROW() - 37), "")</f>
        <v/>
      </c>
      <c r="G1575" s="6" t="str" cm="1">
        <f t="array" ref="G1575">IFERROR(INDEX(EmployeeData[Join Date], ROW() - 37), "")</f>
        <v/>
      </c>
      <c r="H1575" s="6" t="str" cm="1">
        <f t="array" ref="H1575">IFERROR(IF(INDEX(EmployeeData[Exit Date], ROW() - 37)=0, "",INDEX(EmployeeData[Exit Date], ROW() - 37)),"")</f>
        <v/>
      </c>
      <c r="I1575" s="4" t="str" cm="1">
        <f t="array" ref="I1575">IFERROR(IF(INDEX(EmployeeData[Exit Reason], ROW() - 37)=0, "",INDEX(EmployeeData[Exit Reason], ROW() - 37)),"")</f>
        <v/>
      </c>
      <c r="J1575" s="4" t="str" cm="1">
        <f t="array" ref="J1575">IFERROR(INDEX(EmployeeData[Status], ROW() - 37), "")</f>
        <v/>
      </c>
    </row>
    <row r="1576" spans="2:10" ht="19.95" customHeight="1" x14ac:dyDescent="0.3">
      <c r="B1576" s="4" t="str" cm="1">
        <f t="array" ref="B1576">IFERROR(INDEX(EmployeeData[Employee ID], ROW() - 37), "")</f>
        <v/>
      </c>
      <c r="C1576" s="4" t="str" cm="1">
        <f t="array" ref="C1576">IFERROR(INDEX(EmployeeData[Full Name], ROW() - 37), "")</f>
        <v/>
      </c>
      <c r="D1576" s="4" t="str" cm="1">
        <f t="array" ref="D1576">IFERROR(INDEX(EmployeeData[Department], ROW() - 37), "")</f>
        <v/>
      </c>
      <c r="E1576" s="4" t="str" cm="1">
        <f t="array" ref="E1576">IFERROR(INDEX(EmployeeData[Gender], ROW() - 37), "")</f>
        <v/>
      </c>
      <c r="F1576" s="4" t="str" cm="1">
        <f t="array" ref="F1576">IFERROR(INDEX(EmployeeData[Age], ROW() - 37), "")</f>
        <v/>
      </c>
      <c r="G1576" s="6" t="str" cm="1">
        <f t="array" ref="G1576">IFERROR(INDEX(EmployeeData[Join Date], ROW() - 37), "")</f>
        <v/>
      </c>
      <c r="H1576" s="6" t="str" cm="1">
        <f t="array" ref="H1576">IFERROR(IF(INDEX(EmployeeData[Exit Date], ROW() - 37)=0, "",INDEX(EmployeeData[Exit Date], ROW() - 37)),"")</f>
        <v/>
      </c>
      <c r="I1576" s="4" t="str" cm="1">
        <f t="array" ref="I1576">IFERROR(IF(INDEX(EmployeeData[Exit Reason], ROW() - 37)=0, "",INDEX(EmployeeData[Exit Reason], ROW() - 37)),"")</f>
        <v/>
      </c>
      <c r="J1576" s="4" t="str" cm="1">
        <f t="array" ref="J1576">IFERROR(INDEX(EmployeeData[Status], ROW() - 37), "")</f>
        <v/>
      </c>
    </row>
    <row r="1577" spans="2:10" ht="19.95" customHeight="1" x14ac:dyDescent="0.3">
      <c r="B1577" s="4" t="str" cm="1">
        <f t="array" ref="B1577">IFERROR(INDEX(EmployeeData[Employee ID], ROW() - 37), "")</f>
        <v/>
      </c>
      <c r="C1577" s="4" t="str" cm="1">
        <f t="array" ref="C1577">IFERROR(INDEX(EmployeeData[Full Name], ROW() - 37), "")</f>
        <v/>
      </c>
      <c r="D1577" s="4" t="str" cm="1">
        <f t="array" ref="D1577">IFERROR(INDEX(EmployeeData[Department], ROW() - 37), "")</f>
        <v/>
      </c>
      <c r="E1577" s="4" t="str" cm="1">
        <f t="array" ref="E1577">IFERROR(INDEX(EmployeeData[Gender], ROW() - 37), "")</f>
        <v/>
      </c>
      <c r="F1577" s="4" t="str" cm="1">
        <f t="array" ref="F1577">IFERROR(INDEX(EmployeeData[Age], ROW() - 37), "")</f>
        <v/>
      </c>
      <c r="G1577" s="6" t="str" cm="1">
        <f t="array" ref="G1577">IFERROR(INDEX(EmployeeData[Join Date], ROW() - 37), "")</f>
        <v/>
      </c>
      <c r="H1577" s="6" t="str" cm="1">
        <f t="array" ref="H1577">IFERROR(IF(INDEX(EmployeeData[Exit Date], ROW() - 37)=0, "",INDEX(EmployeeData[Exit Date], ROW() - 37)),"")</f>
        <v/>
      </c>
      <c r="I1577" s="4" t="str" cm="1">
        <f t="array" ref="I1577">IFERROR(IF(INDEX(EmployeeData[Exit Reason], ROW() - 37)=0, "",INDEX(EmployeeData[Exit Reason], ROW() - 37)),"")</f>
        <v/>
      </c>
      <c r="J1577" s="4" t="str" cm="1">
        <f t="array" ref="J1577">IFERROR(INDEX(EmployeeData[Status], ROW() - 37), "")</f>
        <v/>
      </c>
    </row>
    <row r="1578" spans="2:10" ht="19.95" customHeight="1" x14ac:dyDescent="0.3">
      <c r="B1578" s="4" t="str" cm="1">
        <f t="array" ref="B1578">IFERROR(INDEX(EmployeeData[Employee ID], ROW() - 37), "")</f>
        <v/>
      </c>
      <c r="C1578" s="4" t="str" cm="1">
        <f t="array" ref="C1578">IFERROR(INDEX(EmployeeData[Full Name], ROW() - 37), "")</f>
        <v/>
      </c>
      <c r="D1578" s="4" t="str" cm="1">
        <f t="array" ref="D1578">IFERROR(INDEX(EmployeeData[Department], ROW() - 37), "")</f>
        <v/>
      </c>
      <c r="E1578" s="4" t="str" cm="1">
        <f t="array" ref="E1578">IFERROR(INDEX(EmployeeData[Gender], ROW() - 37), "")</f>
        <v/>
      </c>
      <c r="F1578" s="4" t="str" cm="1">
        <f t="array" ref="F1578">IFERROR(INDEX(EmployeeData[Age], ROW() - 37), "")</f>
        <v/>
      </c>
      <c r="G1578" s="6" t="str" cm="1">
        <f t="array" ref="G1578">IFERROR(INDEX(EmployeeData[Join Date], ROW() - 37), "")</f>
        <v/>
      </c>
      <c r="H1578" s="6" t="str" cm="1">
        <f t="array" ref="H1578">IFERROR(IF(INDEX(EmployeeData[Exit Date], ROW() - 37)=0, "",INDEX(EmployeeData[Exit Date], ROW() - 37)),"")</f>
        <v/>
      </c>
      <c r="I1578" s="4" t="str" cm="1">
        <f t="array" ref="I1578">IFERROR(IF(INDEX(EmployeeData[Exit Reason], ROW() - 37)=0, "",INDEX(EmployeeData[Exit Reason], ROW() - 37)),"")</f>
        <v/>
      </c>
      <c r="J1578" s="4" t="str" cm="1">
        <f t="array" ref="J1578">IFERROR(INDEX(EmployeeData[Status], ROW() - 37), "")</f>
        <v/>
      </c>
    </row>
    <row r="1579" spans="2:10" ht="19.95" customHeight="1" x14ac:dyDescent="0.3">
      <c r="B1579" s="4" t="str" cm="1">
        <f t="array" ref="B1579">IFERROR(INDEX(EmployeeData[Employee ID], ROW() - 37), "")</f>
        <v/>
      </c>
      <c r="C1579" s="4" t="str" cm="1">
        <f t="array" ref="C1579">IFERROR(INDEX(EmployeeData[Full Name], ROW() - 37), "")</f>
        <v/>
      </c>
      <c r="D1579" s="4" t="str" cm="1">
        <f t="array" ref="D1579">IFERROR(INDEX(EmployeeData[Department], ROW() - 37), "")</f>
        <v/>
      </c>
      <c r="E1579" s="4" t="str" cm="1">
        <f t="array" ref="E1579">IFERROR(INDEX(EmployeeData[Gender], ROW() - 37), "")</f>
        <v/>
      </c>
      <c r="F1579" s="4" t="str" cm="1">
        <f t="array" ref="F1579">IFERROR(INDEX(EmployeeData[Age], ROW() - 37), "")</f>
        <v/>
      </c>
      <c r="G1579" s="6" t="str" cm="1">
        <f t="array" ref="G1579">IFERROR(INDEX(EmployeeData[Join Date], ROW() - 37), "")</f>
        <v/>
      </c>
      <c r="H1579" s="6" t="str" cm="1">
        <f t="array" ref="H1579">IFERROR(IF(INDEX(EmployeeData[Exit Date], ROW() - 37)=0, "",INDEX(EmployeeData[Exit Date], ROW() - 37)),"")</f>
        <v/>
      </c>
      <c r="I1579" s="4" t="str" cm="1">
        <f t="array" ref="I1579">IFERROR(IF(INDEX(EmployeeData[Exit Reason], ROW() - 37)=0, "",INDEX(EmployeeData[Exit Reason], ROW() - 37)),"")</f>
        <v/>
      </c>
      <c r="J1579" s="4" t="str" cm="1">
        <f t="array" ref="J1579">IFERROR(INDEX(EmployeeData[Status], ROW() - 37), "")</f>
        <v/>
      </c>
    </row>
    <row r="1580" spans="2:10" ht="19.95" customHeight="1" x14ac:dyDescent="0.3">
      <c r="B1580" s="4" t="str" cm="1">
        <f t="array" ref="B1580">IFERROR(INDEX(EmployeeData[Employee ID], ROW() - 37), "")</f>
        <v/>
      </c>
      <c r="C1580" s="4" t="str" cm="1">
        <f t="array" ref="C1580">IFERROR(INDEX(EmployeeData[Full Name], ROW() - 37), "")</f>
        <v/>
      </c>
      <c r="D1580" s="4" t="str" cm="1">
        <f t="array" ref="D1580">IFERROR(INDEX(EmployeeData[Department], ROW() - 37), "")</f>
        <v/>
      </c>
      <c r="E1580" s="4" t="str" cm="1">
        <f t="array" ref="E1580">IFERROR(INDEX(EmployeeData[Gender], ROW() - 37), "")</f>
        <v/>
      </c>
      <c r="F1580" s="4" t="str" cm="1">
        <f t="array" ref="F1580">IFERROR(INDEX(EmployeeData[Age], ROW() - 37), "")</f>
        <v/>
      </c>
      <c r="G1580" s="6" t="str" cm="1">
        <f t="array" ref="G1580">IFERROR(INDEX(EmployeeData[Join Date], ROW() - 37), "")</f>
        <v/>
      </c>
      <c r="H1580" s="6" t="str" cm="1">
        <f t="array" ref="H1580">IFERROR(IF(INDEX(EmployeeData[Exit Date], ROW() - 37)=0, "",INDEX(EmployeeData[Exit Date], ROW() - 37)),"")</f>
        <v/>
      </c>
      <c r="I1580" s="4" t="str" cm="1">
        <f t="array" ref="I1580">IFERROR(IF(INDEX(EmployeeData[Exit Reason], ROW() - 37)=0, "",INDEX(EmployeeData[Exit Reason], ROW() - 37)),"")</f>
        <v/>
      </c>
      <c r="J1580" s="4" t="str" cm="1">
        <f t="array" ref="J1580">IFERROR(INDEX(EmployeeData[Status], ROW() - 37), "")</f>
        <v/>
      </c>
    </row>
    <row r="1581" spans="2:10" ht="19.95" customHeight="1" x14ac:dyDescent="0.3">
      <c r="B1581" s="4" t="str" cm="1">
        <f t="array" ref="B1581">IFERROR(INDEX(EmployeeData[Employee ID], ROW() - 37), "")</f>
        <v/>
      </c>
      <c r="C1581" s="4" t="str" cm="1">
        <f t="array" ref="C1581">IFERROR(INDEX(EmployeeData[Full Name], ROW() - 37), "")</f>
        <v/>
      </c>
      <c r="D1581" s="4" t="str" cm="1">
        <f t="array" ref="D1581">IFERROR(INDEX(EmployeeData[Department], ROW() - 37), "")</f>
        <v/>
      </c>
      <c r="E1581" s="4" t="str" cm="1">
        <f t="array" ref="E1581">IFERROR(INDEX(EmployeeData[Gender], ROW() - 37), "")</f>
        <v/>
      </c>
      <c r="F1581" s="4" t="str" cm="1">
        <f t="array" ref="F1581">IFERROR(INDEX(EmployeeData[Age], ROW() - 37), "")</f>
        <v/>
      </c>
      <c r="G1581" s="6" t="str" cm="1">
        <f t="array" ref="G1581">IFERROR(INDEX(EmployeeData[Join Date], ROW() - 37), "")</f>
        <v/>
      </c>
      <c r="H1581" s="6" t="str" cm="1">
        <f t="array" ref="H1581">IFERROR(IF(INDEX(EmployeeData[Exit Date], ROW() - 37)=0, "",INDEX(EmployeeData[Exit Date], ROW() - 37)),"")</f>
        <v/>
      </c>
      <c r="I1581" s="4" t="str" cm="1">
        <f t="array" ref="I1581">IFERROR(IF(INDEX(EmployeeData[Exit Reason], ROW() - 37)=0, "",INDEX(EmployeeData[Exit Reason], ROW() - 37)),"")</f>
        <v/>
      </c>
      <c r="J1581" s="4" t="str" cm="1">
        <f t="array" ref="J1581">IFERROR(INDEX(EmployeeData[Status], ROW() - 37), "")</f>
        <v/>
      </c>
    </row>
    <row r="1582" spans="2:10" ht="19.95" customHeight="1" x14ac:dyDescent="0.3">
      <c r="B1582" s="4" t="str" cm="1">
        <f t="array" ref="B1582">IFERROR(INDEX(EmployeeData[Employee ID], ROW() - 37), "")</f>
        <v/>
      </c>
      <c r="C1582" s="4" t="str" cm="1">
        <f t="array" ref="C1582">IFERROR(INDEX(EmployeeData[Full Name], ROW() - 37), "")</f>
        <v/>
      </c>
      <c r="D1582" s="4" t="str" cm="1">
        <f t="array" ref="D1582">IFERROR(INDEX(EmployeeData[Department], ROW() - 37), "")</f>
        <v/>
      </c>
      <c r="E1582" s="4" t="str" cm="1">
        <f t="array" ref="E1582">IFERROR(INDEX(EmployeeData[Gender], ROW() - 37), "")</f>
        <v/>
      </c>
      <c r="F1582" s="4" t="str" cm="1">
        <f t="array" ref="F1582">IFERROR(INDEX(EmployeeData[Age], ROW() - 37), "")</f>
        <v/>
      </c>
      <c r="G1582" s="6" t="str" cm="1">
        <f t="array" ref="G1582">IFERROR(INDEX(EmployeeData[Join Date], ROW() - 37), "")</f>
        <v/>
      </c>
      <c r="H1582" s="6" t="str" cm="1">
        <f t="array" ref="H1582">IFERROR(IF(INDEX(EmployeeData[Exit Date], ROW() - 37)=0, "",INDEX(EmployeeData[Exit Date], ROW() - 37)),"")</f>
        <v/>
      </c>
      <c r="I1582" s="4" t="str" cm="1">
        <f t="array" ref="I1582">IFERROR(IF(INDEX(EmployeeData[Exit Reason], ROW() - 37)=0, "",INDEX(EmployeeData[Exit Reason], ROW() - 37)),"")</f>
        <v/>
      </c>
      <c r="J1582" s="4" t="str" cm="1">
        <f t="array" ref="J1582">IFERROR(INDEX(EmployeeData[Status], ROW() - 37), "")</f>
        <v/>
      </c>
    </row>
    <row r="1583" spans="2:10" ht="19.95" customHeight="1" x14ac:dyDescent="0.3">
      <c r="B1583" s="4" t="str" cm="1">
        <f t="array" ref="B1583">IFERROR(INDEX(EmployeeData[Employee ID], ROW() - 37), "")</f>
        <v/>
      </c>
      <c r="C1583" s="4" t="str" cm="1">
        <f t="array" ref="C1583">IFERROR(INDEX(EmployeeData[Full Name], ROW() - 37), "")</f>
        <v/>
      </c>
      <c r="D1583" s="4" t="str" cm="1">
        <f t="array" ref="D1583">IFERROR(INDEX(EmployeeData[Department], ROW() - 37), "")</f>
        <v/>
      </c>
      <c r="E1583" s="4" t="str" cm="1">
        <f t="array" ref="E1583">IFERROR(INDEX(EmployeeData[Gender], ROW() - 37), "")</f>
        <v/>
      </c>
      <c r="F1583" s="4" t="str" cm="1">
        <f t="array" ref="F1583">IFERROR(INDEX(EmployeeData[Age], ROW() - 37), "")</f>
        <v/>
      </c>
      <c r="G1583" s="6" t="str" cm="1">
        <f t="array" ref="G1583">IFERROR(INDEX(EmployeeData[Join Date], ROW() - 37), "")</f>
        <v/>
      </c>
      <c r="H1583" s="6" t="str" cm="1">
        <f t="array" ref="H1583">IFERROR(IF(INDEX(EmployeeData[Exit Date], ROW() - 37)=0, "",INDEX(EmployeeData[Exit Date], ROW() - 37)),"")</f>
        <v/>
      </c>
      <c r="I1583" s="4" t="str" cm="1">
        <f t="array" ref="I1583">IFERROR(IF(INDEX(EmployeeData[Exit Reason], ROW() - 37)=0, "",INDEX(EmployeeData[Exit Reason], ROW() - 37)),"")</f>
        <v/>
      </c>
      <c r="J1583" s="4" t="str" cm="1">
        <f t="array" ref="J1583">IFERROR(INDEX(EmployeeData[Status], ROW() - 37), "")</f>
        <v/>
      </c>
    </row>
    <row r="1584" spans="2:10" ht="19.95" customHeight="1" x14ac:dyDescent="0.3">
      <c r="B1584" s="4" t="str" cm="1">
        <f t="array" ref="B1584">IFERROR(INDEX(EmployeeData[Employee ID], ROW() - 37), "")</f>
        <v/>
      </c>
      <c r="C1584" s="4" t="str" cm="1">
        <f t="array" ref="C1584">IFERROR(INDEX(EmployeeData[Full Name], ROW() - 37), "")</f>
        <v/>
      </c>
      <c r="D1584" s="4" t="str" cm="1">
        <f t="array" ref="D1584">IFERROR(INDEX(EmployeeData[Department], ROW() - 37), "")</f>
        <v/>
      </c>
      <c r="E1584" s="4" t="str" cm="1">
        <f t="array" ref="E1584">IFERROR(INDEX(EmployeeData[Gender], ROW() - 37), "")</f>
        <v/>
      </c>
      <c r="F1584" s="4" t="str" cm="1">
        <f t="array" ref="F1584">IFERROR(INDEX(EmployeeData[Age], ROW() - 37), "")</f>
        <v/>
      </c>
      <c r="G1584" s="6" t="str" cm="1">
        <f t="array" ref="G1584">IFERROR(INDEX(EmployeeData[Join Date], ROW() - 37), "")</f>
        <v/>
      </c>
      <c r="H1584" s="6" t="str" cm="1">
        <f t="array" ref="H1584">IFERROR(IF(INDEX(EmployeeData[Exit Date], ROW() - 37)=0, "",INDEX(EmployeeData[Exit Date], ROW() - 37)),"")</f>
        <v/>
      </c>
      <c r="I1584" s="4" t="str" cm="1">
        <f t="array" ref="I1584">IFERROR(IF(INDEX(EmployeeData[Exit Reason], ROW() - 37)=0, "",INDEX(EmployeeData[Exit Reason], ROW() - 37)),"")</f>
        <v/>
      </c>
      <c r="J1584" s="4" t="str" cm="1">
        <f t="array" ref="J1584">IFERROR(INDEX(EmployeeData[Status], ROW() - 37), "")</f>
        <v/>
      </c>
    </row>
    <row r="1585" spans="2:10" ht="19.95" customHeight="1" x14ac:dyDescent="0.3">
      <c r="B1585" s="4" t="str" cm="1">
        <f t="array" ref="B1585">IFERROR(INDEX(EmployeeData[Employee ID], ROW() - 37), "")</f>
        <v/>
      </c>
      <c r="C1585" s="4" t="str" cm="1">
        <f t="array" ref="C1585">IFERROR(INDEX(EmployeeData[Full Name], ROW() - 37), "")</f>
        <v/>
      </c>
      <c r="D1585" s="4" t="str" cm="1">
        <f t="array" ref="D1585">IFERROR(INDEX(EmployeeData[Department], ROW() - 37), "")</f>
        <v/>
      </c>
      <c r="E1585" s="4" t="str" cm="1">
        <f t="array" ref="E1585">IFERROR(INDEX(EmployeeData[Gender], ROW() - 37), "")</f>
        <v/>
      </c>
      <c r="F1585" s="4" t="str" cm="1">
        <f t="array" ref="F1585">IFERROR(INDEX(EmployeeData[Age], ROW() - 37), "")</f>
        <v/>
      </c>
      <c r="G1585" s="6" t="str" cm="1">
        <f t="array" ref="G1585">IFERROR(INDEX(EmployeeData[Join Date], ROW() - 37), "")</f>
        <v/>
      </c>
      <c r="H1585" s="6" t="str" cm="1">
        <f t="array" ref="H1585">IFERROR(IF(INDEX(EmployeeData[Exit Date], ROW() - 37)=0, "",INDEX(EmployeeData[Exit Date], ROW() - 37)),"")</f>
        <v/>
      </c>
      <c r="I1585" s="4" t="str" cm="1">
        <f t="array" ref="I1585">IFERROR(IF(INDEX(EmployeeData[Exit Reason], ROW() - 37)=0, "",INDEX(EmployeeData[Exit Reason], ROW() - 37)),"")</f>
        <v/>
      </c>
      <c r="J1585" s="4" t="str" cm="1">
        <f t="array" ref="J1585">IFERROR(INDEX(EmployeeData[Status], ROW() - 37), "")</f>
        <v/>
      </c>
    </row>
    <row r="1586" spans="2:10" ht="19.95" customHeight="1" x14ac:dyDescent="0.3">
      <c r="B1586" s="4" t="str" cm="1">
        <f t="array" ref="B1586">IFERROR(INDEX(EmployeeData[Employee ID], ROW() - 37), "")</f>
        <v/>
      </c>
      <c r="C1586" s="4" t="str" cm="1">
        <f t="array" ref="C1586">IFERROR(INDEX(EmployeeData[Full Name], ROW() - 37), "")</f>
        <v/>
      </c>
      <c r="D1586" s="4" t="str" cm="1">
        <f t="array" ref="D1586">IFERROR(INDEX(EmployeeData[Department], ROW() - 37), "")</f>
        <v/>
      </c>
      <c r="E1586" s="4" t="str" cm="1">
        <f t="array" ref="E1586">IFERROR(INDEX(EmployeeData[Gender], ROW() - 37), "")</f>
        <v/>
      </c>
      <c r="F1586" s="4" t="str" cm="1">
        <f t="array" ref="F1586">IFERROR(INDEX(EmployeeData[Age], ROW() - 37), "")</f>
        <v/>
      </c>
      <c r="G1586" s="6" t="str" cm="1">
        <f t="array" ref="G1586">IFERROR(INDEX(EmployeeData[Join Date], ROW() - 37), "")</f>
        <v/>
      </c>
      <c r="H1586" s="6" t="str" cm="1">
        <f t="array" ref="H1586">IFERROR(IF(INDEX(EmployeeData[Exit Date], ROW() - 37)=0, "",INDEX(EmployeeData[Exit Date], ROW() - 37)),"")</f>
        <v/>
      </c>
      <c r="I1586" s="4" t="str" cm="1">
        <f t="array" ref="I1586">IFERROR(IF(INDEX(EmployeeData[Exit Reason], ROW() - 37)=0, "",INDEX(EmployeeData[Exit Reason], ROW() - 37)),"")</f>
        <v/>
      </c>
      <c r="J1586" s="4" t="str" cm="1">
        <f t="array" ref="J1586">IFERROR(INDEX(EmployeeData[Status], ROW() - 37), "")</f>
        <v/>
      </c>
    </row>
    <row r="1587" spans="2:10" ht="19.95" customHeight="1" x14ac:dyDescent="0.3">
      <c r="B1587" s="4" t="str" cm="1">
        <f t="array" ref="B1587">IFERROR(INDEX(EmployeeData[Employee ID], ROW() - 37), "")</f>
        <v/>
      </c>
      <c r="C1587" s="4" t="str" cm="1">
        <f t="array" ref="C1587">IFERROR(INDEX(EmployeeData[Full Name], ROW() - 37), "")</f>
        <v/>
      </c>
      <c r="D1587" s="4" t="str" cm="1">
        <f t="array" ref="D1587">IFERROR(INDEX(EmployeeData[Department], ROW() - 37), "")</f>
        <v/>
      </c>
      <c r="E1587" s="4" t="str" cm="1">
        <f t="array" ref="E1587">IFERROR(INDEX(EmployeeData[Gender], ROW() - 37), "")</f>
        <v/>
      </c>
      <c r="F1587" s="4" t="str" cm="1">
        <f t="array" ref="F1587">IFERROR(INDEX(EmployeeData[Age], ROW() - 37), "")</f>
        <v/>
      </c>
      <c r="G1587" s="6" t="str" cm="1">
        <f t="array" ref="G1587">IFERROR(INDEX(EmployeeData[Join Date], ROW() - 37), "")</f>
        <v/>
      </c>
      <c r="H1587" s="6" t="str" cm="1">
        <f t="array" ref="H1587">IFERROR(IF(INDEX(EmployeeData[Exit Date], ROW() - 37)=0, "",INDEX(EmployeeData[Exit Date], ROW() - 37)),"")</f>
        <v/>
      </c>
      <c r="I1587" s="4" t="str" cm="1">
        <f t="array" ref="I1587">IFERROR(IF(INDEX(EmployeeData[Exit Reason], ROW() - 37)=0, "",INDEX(EmployeeData[Exit Reason], ROW() - 37)),"")</f>
        <v/>
      </c>
      <c r="J1587" s="4" t="str" cm="1">
        <f t="array" ref="J1587">IFERROR(INDEX(EmployeeData[Status], ROW() - 37), "")</f>
        <v/>
      </c>
    </row>
    <row r="1588" spans="2:10" ht="19.95" customHeight="1" x14ac:dyDescent="0.3">
      <c r="B1588" s="4" t="str" cm="1">
        <f t="array" ref="B1588">IFERROR(INDEX(EmployeeData[Employee ID], ROW() - 37), "")</f>
        <v/>
      </c>
      <c r="C1588" s="4" t="str" cm="1">
        <f t="array" ref="C1588">IFERROR(INDEX(EmployeeData[Full Name], ROW() - 37), "")</f>
        <v/>
      </c>
      <c r="D1588" s="4" t="str" cm="1">
        <f t="array" ref="D1588">IFERROR(INDEX(EmployeeData[Department], ROW() - 37), "")</f>
        <v/>
      </c>
      <c r="E1588" s="4" t="str" cm="1">
        <f t="array" ref="E1588">IFERROR(INDEX(EmployeeData[Gender], ROW() - 37), "")</f>
        <v/>
      </c>
      <c r="F1588" s="4" t="str" cm="1">
        <f t="array" ref="F1588">IFERROR(INDEX(EmployeeData[Age], ROW() - 37), "")</f>
        <v/>
      </c>
      <c r="G1588" s="6" t="str" cm="1">
        <f t="array" ref="G1588">IFERROR(INDEX(EmployeeData[Join Date], ROW() - 37), "")</f>
        <v/>
      </c>
      <c r="H1588" s="6" t="str" cm="1">
        <f t="array" ref="H1588">IFERROR(IF(INDEX(EmployeeData[Exit Date], ROW() - 37)=0, "",INDEX(EmployeeData[Exit Date], ROW() - 37)),"")</f>
        <v/>
      </c>
      <c r="I1588" s="4" t="str" cm="1">
        <f t="array" ref="I1588">IFERROR(IF(INDEX(EmployeeData[Exit Reason], ROW() - 37)=0, "",INDEX(EmployeeData[Exit Reason], ROW() - 37)),"")</f>
        <v/>
      </c>
      <c r="J1588" s="4" t="str" cm="1">
        <f t="array" ref="J1588">IFERROR(INDEX(EmployeeData[Status], ROW() - 37), "")</f>
        <v/>
      </c>
    </row>
    <row r="1589" spans="2:10" ht="19.95" customHeight="1" x14ac:dyDescent="0.3">
      <c r="B1589" s="4" t="str" cm="1">
        <f t="array" ref="B1589">IFERROR(INDEX(EmployeeData[Employee ID], ROW() - 37), "")</f>
        <v/>
      </c>
      <c r="C1589" s="4" t="str" cm="1">
        <f t="array" ref="C1589">IFERROR(INDEX(EmployeeData[Full Name], ROW() - 37), "")</f>
        <v/>
      </c>
      <c r="D1589" s="4" t="str" cm="1">
        <f t="array" ref="D1589">IFERROR(INDEX(EmployeeData[Department], ROW() - 37), "")</f>
        <v/>
      </c>
      <c r="E1589" s="4" t="str" cm="1">
        <f t="array" ref="E1589">IFERROR(INDEX(EmployeeData[Gender], ROW() - 37), "")</f>
        <v/>
      </c>
      <c r="F1589" s="4" t="str" cm="1">
        <f t="array" ref="F1589">IFERROR(INDEX(EmployeeData[Age], ROW() - 37), "")</f>
        <v/>
      </c>
      <c r="G1589" s="6" t="str" cm="1">
        <f t="array" ref="G1589">IFERROR(INDEX(EmployeeData[Join Date], ROW() - 37), "")</f>
        <v/>
      </c>
      <c r="H1589" s="6" t="str" cm="1">
        <f t="array" ref="H1589">IFERROR(IF(INDEX(EmployeeData[Exit Date], ROW() - 37)=0, "",INDEX(EmployeeData[Exit Date], ROW() - 37)),"")</f>
        <v/>
      </c>
      <c r="I1589" s="4" t="str" cm="1">
        <f t="array" ref="I1589">IFERROR(IF(INDEX(EmployeeData[Exit Reason], ROW() - 37)=0, "",INDEX(EmployeeData[Exit Reason], ROW() - 37)),"")</f>
        <v/>
      </c>
      <c r="J1589" s="4" t="str" cm="1">
        <f t="array" ref="J1589">IFERROR(INDEX(EmployeeData[Status], ROW() - 37), "")</f>
        <v/>
      </c>
    </row>
    <row r="1590" spans="2:10" ht="19.95" customHeight="1" x14ac:dyDescent="0.3">
      <c r="B1590" s="4" t="str" cm="1">
        <f t="array" ref="B1590">IFERROR(INDEX(EmployeeData[Employee ID], ROW() - 37), "")</f>
        <v/>
      </c>
      <c r="C1590" s="4" t="str" cm="1">
        <f t="array" ref="C1590">IFERROR(INDEX(EmployeeData[Full Name], ROW() - 37), "")</f>
        <v/>
      </c>
      <c r="D1590" s="4" t="str" cm="1">
        <f t="array" ref="D1590">IFERROR(INDEX(EmployeeData[Department], ROW() - 37), "")</f>
        <v/>
      </c>
      <c r="E1590" s="4" t="str" cm="1">
        <f t="array" ref="E1590">IFERROR(INDEX(EmployeeData[Gender], ROW() - 37), "")</f>
        <v/>
      </c>
      <c r="F1590" s="4" t="str" cm="1">
        <f t="array" ref="F1590">IFERROR(INDEX(EmployeeData[Age], ROW() - 37), "")</f>
        <v/>
      </c>
      <c r="G1590" s="6" t="str" cm="1">
        <f t="array" ref="G1590">IFERROR(INDEX(EmployeeData[Join Date], ROW() - 37), "")</f>
        <v/>
      </c>
      <c r="H1590" s="6" t="str" cm="1">
        <f t="array" ref="H1590">IFERROR(IF(INDEX(EmployeeData[Exit Date], ROW() - 37)=0, "",INDEX(EmployeeData[Exit Date], ROW() - 37)),"")</f>
        <v/>
      </c>
      <c r="I1590" s="4" t="str" cm="1">
        <f t="array" ref="I1590">IFERROR(IF(INDEX(EmployeeData[Exit Reason], ROW() - 37)=0, "",INDEX(EmployeeData[Exit Reason], ROW() - 37)),"")</f>
        <v/>
      </c>
      <c r="J1590" s="4" t="str" cm="1">
        <f t="array" ref="J1590">IFERROR(INDEX(EmployeeData[Status], ROW() - 37), "")</f>
        <v/>
      </c>
    </row>
    <row r="1591" spans="2:10" ht="19.95" customHeight="1" x14ac:dyDescent="0.3">
      <c r="B1591" s="4" t="str" cm="1">
        <f t="array" ref="B1591">IFERROR(INDEX(EmployeeData[Employee ID], ROW() - 37), "")</f>
        <v/>
      </c>
      <c r="C1591" s="4" t="str" cm="1">
        <f t="array" ref="C1591">IFERROR(INDEX(EmployeeData[Full Name], ROW() - 37), "")</f>
        <v/>
      </c>
      <c r="D1591" s="4" t="str" cm="1">
        <f t="array" ref="D1591">IFERROR(INDEX(EmployeeData[Department], ROW() - 37), "")</f>
        <v/>
      </c>
      <c r="E1591" s="4" t="str" cm="1">
        <f t="array" ref="E1591">IFERROR(INDEX(EmployeeData[Gender], ROW() - 37), "")</f>
        <v/>
      </c>
      <c r="F1591" s="4" t="str" cm="1">
        <f t="array" ref="F1591">IFERROR(INDEX(EmployeeData[Age], ROW() - 37), "")</f>
        <v/>
      </c>
      <c r="G1591" s="6" t="str" cm="1">
        <f t="array" ref="G1591">IFERROR(INDEX(EmployeeData[Join Date], ROW() - 37), "")</f>
        <v/>
      </c>
      <c r="H1591" s="6" t="str" cm="1">
        <f t="array" ref="H1591">IFERROR(IF(INDEX(EmployeeData[Exit Date], ROW() - 37)=0, "",INDEX(EmployeeData[Exit Date], ROW() - 37)),"")</f>
        <v/>
      </c>
      <c r="I1591" s="4" t="str" cm="1">
        <f t="array" ref="I1591">IFERROR(IF(INDEX(EmployeeData[Exit Reason], ROW() - 37)=0, "",INDEX(EmployeeData[Exit Reason], ROW() - 37)),"")</f>
        <v/>
      </c>
      <c r="J1591" s="4" t="str" cm="1">
        <f t="array" ref="J1591">IFERROR(INDEX(EmployeeData[Status], ROW() - 37), "")</f>
        <v/>
      </c>
    </row>
    <row r="1592" spans="2:10" ht="19.95" customHeight="1" x14ac:dyDescent="0.3">
      <c r="B1592" s="4" t="str" cm="1">
        <f t="array" ref="B1592">IFERROR(INDEX(EmployeeData[Employee ID], ROW() - 37), "")</f>
        <v/>
      </c>
      <c r="C1592" s="4" t="str" cm="1">
        <f t="array" ref="C1592">IFERROR(INDEX(EmployeeData[Full Name], ROW() - 37), "")</f>
        <v/>
      </c>
      <c r="D1592" s="4" t="str" cm="1">
        <f t="array" ref="D1592">IFERROR(INDEX(EmployeeData[Department], ROW() - 37), "")</f>
        <v/>
      </c>
      <c r="E1592" s="4" t="str" cm="1">
        <f t="array" ref="E1592">IFERROR(INDEX(EmployeeData[Gender], ROW() - 37), "")</f>
        <v/>
      </c>
      <c r="F1592" s="4" t="str" cm="1">
        <f t="array" ref="F1592">IFERROR(INDEX(EmployeeData[Age], ROW() - 37), "")</f>
        <v/>
      </c>
      <c r="G1592" s="6" t="str" cm="1">
        <f t="array" ref="G1592">IFERROR(INDEX(EmployeeData[Join Date], ROW() - 37), "")</f>
        <v/>
      </c>
      <c r="H1592" s="6" t="str" cm="1">
        <f t="array" ref="H1592">IFERROR(IF(INDEX(EmployeeData[Exit Date], ROW() - 37)=0, "",INDEX(EmployeeData[Exit Date], ROW() - 37)),"")</f>
        <v/>
      </c>
      <c r="I1592" s="4" t="str" cm="1">
        <f t="array" ref="I1592">IFERROR(IF(INDEX(EmployeeData[Exit Reason], ROW() - 37)=0, "",INDEX(EmployeeData[Exit Reason], ROW() - 37)),"")</f>
        <v/>
      </c>
      <c r="J1592" s="4" t="str" cm="1">
        <f t="array" ref="J1592">IFERROR(INDEX(EmployeeData[Status], ROW() - 37), "")</f>
        <v/>
      </c>
    </row>
    <row r="1593" spans="2:10" ht="19.95" customHeight="1" x14ac:dyDescent="0.3">
      <c r="B1593" s="4" t="str" cm="1">
        <f t="array" ref="B1593">IFERROR(INDEX(EmployeeData[Employee ID], ROW() - 37), "")</f>
        <v/>
      </c>
      <c r="C1593" s="4" t="str" cm="1">
        <f t="array" ref="C1593">IFERROR(INDEX(EmployeeData[Full Name], ROW() - 37), "")</f>
        <v/>
      </c>
      <c r="D1593" s="4" t="str" cm="1">
        <f t="array" ref="D1593">IFERROR(INDEX(EmployeeData[Department], ROW() - 37), "")</f>
        <v/>
      </c>
      <c r="E1593" s="4" t="str" cm="1">
        <f t="array" ref="E1593">IFERROR(INDEX(EmployeeData[Gender], ROW() - 37), "")</f>
        <v/>
      </c>
      <c r="F1593" s="4" t="str" cm="1">
        <f t="array" ref="F1593">IFERROR(INDEX(EmployeeData[Age], ROW() - 37), "")</f>
        <v/>
      </c>
      <c r="G1593" s="6" t="str" cm="1">
        <f t="array" ref="G1593">IFERROR(INDEX(EmployeeData[Join Date], ROW() - 37), "")</f>
        <v/>
      </c>
      <c r="H1593" s="6" t="str" cm="1">
        <f t="array" ref="H1593">IFERROR(IF(INDEX(EmployeeData[Exit Date], ROW() - 37)=0, "",INDEX(EmployeeData[Exit Date], ROW() - 37)),"")</f>
        <v/>
      </c>
      <c r="I1593" s="4" t="str" cm="1">
        <f t="array" ref="I1593">IFERROR(IF(INDEX(EmployeeData[Exit Reason], ROW() - 37)=0, "",INDEX(EmployeeData[Exit Reason], ROW() - 37)),"")</f>
        <v/>
      </c>
      <c r="J1593" s="4" t="str" cm="1">
        <f t="array" ref="J1593">IFERROR(INDEX(EmployeeData[Status], ROW() - 37), "")</f>
        <v/>
      </c>
    </row>
    <row r="1594" spans="2:10" ht="19.95" customHeight="1" x14ac:dyDescent="0.3">
      <c r="B1594" s="4" t="str" cm="1">
        <f t="array" ref="B1594">IFERROR(INDEX(EmployeeData[Employee ID], ROW() - 37), "")</f>
        <v/>
      </c>
      <c r="C1594" s="4" t="str" cm="1">
        <f t="array" ref="C1594">IFERROR(INDEX(EmployeeData[Full Name], ROW() - 37), "")</f>
        <v/>
      </c>
      <c r="D1594" s="4" t="str" cm="1">
        <f t="array" ref="D1594">IFERROR(INDEX(EmployeeData[Department], ROW() - 37), "")</f>
        <v/>
      </c>
      <c r="E1594" s="4" t="str" cm="1">
        <f t="array" ref="E1594">IFERROR(INDEX(EmployeeData[Gender], ROW() - 37), "")</f>
        <v/>
      </c>
      <c r="F1594" s="4" t="str" cm="1">
        <f t="array" ref="F1594">IFERROR(INDEX(EmployeeData[Age], ROW() - 37), "")</f>
        <v/>
      </c>
      <c r="G1594" s="6" t="str" cm="1">
        <f t="array" ref="G1594">IFERROR(INDEX(EmployeeData[Join Date], ROW() - 37), "")</f>
        <v/>
      </c>
      <c r="H1594" s="6" t="str" cm="1">
        <f t="array" ref="H1594">IFERROR(IF(INDEX(EmployeeData[Exit Date], ROW() - 37)=0, "",INDEX(EmployeeData[Exit Date], ROW() - 37)),"")</f>
        <v/>
      </c>
      <c r="I1594" s="4" t="str" cm="1">
        <f t="array" ref="I1594">IFERROR(IF(INDEX(EmployeeData[Exit Reason], ROW() - 37)=0, "",INDEX(EmployeeData[Exit Reason], ROW() - 37)),"")</f>
        <v/>
      </c>
      <c r="J1594" s="4" t="str" cm="1">
        <f t="array" ref="J1594">IFERROR(INDEX(EmployeeData[Status], ROW() - 37), "")</f>
        <v/>
      </c>
    </row>
    <row r="1595" spans="2:10" ht="19.95" customHeight="1" x14ac:dyDescent="0.3">
      <c r="B1595" s="4" t="str" cm="1">
        <f t="array" ref="B1595">IFERROR(INDEX(EmployeeData[Employee ID], ROW() - 37), "")</f>
        <v/>
      </c>
      <c r="C1595" s="4" t="str" cm="1">
        <f t="array" ref="C1595">IFERROR(INDEX(EmployeeData[Full Name], ROW() - 37), "")</f>
        <v/>
      </c>
      <c r="D1595" s="4" t="str" cm="1">
        <f t="array" ref="D1595">IFERROR(INDEX(EmployeeData[Department], ROW() - 37), "")</f>
        <v/>
      </c>
      <c r="E1595" s="4" t="str" cm="1">
        <f t="array" ref="E1595">IFERROR(INDEX(EmployeeData[Gender], ROW() - 37), "")</f>
        <v/>
      </c>
      <c r="F1595" s="4" t="str" cm="1">
        <f t="array" ref="F1595">IFERROR(INDEX(EmployeeData[Age], ROW() - 37), "")</f>
        <v/>
      </c>
      <c r="G1595" s="6" t="str" cm="1">
        <f t="array" ref="G1595">IFERROR(INDEX(EmployeeData[Join Date], ROW() - 37), "")</f>
        <v/>
      </c>
      <c r="H1595" s="6" t="str" cm="1">
        <f t="array" ref="H1595">IFERROR(IF(INDEX(EmployeeData[Exit Date], ROW() - 37)=0, "",INDEX(EmployeeData[Exit Date], ROW() - 37)),"")</f>
        <v/>
      </c>
      <c r="I1595" s="4" t="str" cm="1">
        <f t="array" ref="I1595">IFERROR(IF(INDEX(EmployeeData[Exit Reason], ROW() - 37)=0, "",INDEX(EmployeeData[Exit Reason], ROW() - 37)),"")</f>
        <v/>
      </c>
      <c r="J1595" s="4" t="str" cm="1">
        <f t="array" ref="J1595">IFERROR(INDEX(EmployeeData[Status], ROW() - 37), "")</f>
        <v/>
      </c>
    </row>
    <row r="1596" spans="2:10" ht="19.95" customHeight="1" x14ac:dyDescent="0.3">
      <c r="B1596" s="4" t="str" cm="1">
        <f t="array" ref="B1596">IFERROR(INDEX(EmployeeData[Employee ID], ROW() - 37), "")</f>
        <v/>
      </c>
      <c r="C1596" s="4" t="str" cm="1">
        <f t="array" ref="C1596">IFERROR(INDEX(EmployeeData[Full Name], ROW() - 37), "")</f>
        <v/>
      </c>
      <c r="D1596" s="4" t="str" cm="1">
        <f t="array" ref="D1596">IFERROR(INDEX(EmployeeData[Department], ROW() - 37), "")</f>
        <v/>
      </c>
      <c r="E1596" s="4" t="str" cm="1">
        <f t="array" ref="E1596">IFERROR(INDEX(EmployeeData[Gender], ROW() - 37), "")</f>
        <v/>
      </c>
      <c r="F1596" s="4" t="str" cm="1">
        <f t="array" ref="F1596">IFERROR(INDEX(EmployeeData[Age], ROW() - 37), "")</f>
        <v/>
      </c>
      <c r="G1596" s="6" t="str" cm="1">
        <f t="array" ref="G1596">IFERROR(INDEX(EmployeeData[Join Date], ROW() - 37), "")</f>
        <v/>
      </c>
      <c r="H1596" s="6" t="str" cm="1">
        <f t="array" ref="H1596">IFERROR(IF(INDEX(EmployeeData[Exit Date], ROW() - 37)=0, "",INDEX(EmployeeData[Exit Date], ROW() - 37)),"")</f>
        <v/>
      </c>
      <c r="I1596" s="4" t="str" cm="1">
        <f t="array" ref="I1596">IFERROR(IF(INDEX(EmployeeData[Exit Reason], ROW() - 37)=0, "",INDEX(EmployeeData[Exit Reason], ROW() - 37)),"")</f>
        <v/>
      </c>
      <c r="J1596" s="4" t="str" cm="1">
        <f t="array" ref="J1596">IFERROR(INDEX(EmployeeData[Status], ROW() - 37), "")</f>
        <v/>
      </c>
    </row>
    <row r="1597" spans="2:10" ht="19.95" customHeight="1" x14ac:dyDescent="0.3">
      <c r="B1597" s="4" t="str" cm="1">
        <f t="array" ref="B1597">IFERROR(INDEX(EmployeeData[Employee ID], ROW() - 37), "")</f>
        <v/>
      </c>
      <c r="C1597" s="4" t="str" cm="1">
        <f t="array" ref="C1597">IFERROR(INDEX(EmployeeData[Full Name], ROW() - 37), "")</f>
        <v/>
      </c>
      <c r="D1597" s="4" t="str" cm="1">
        <f t="array" ref="D1597">IFERROR(INDEX(EmployeeData[Department], ROW() - 37), "")</f>
        <v/>
      </c>
      <c r="E1597" s="4" t="str" cm="1">
        <f t="array" ref="E1597">IFERROR(INDEX(EmployeeData[Gender], ROW() - 37), "")</f>
        <v/>
      </c>
      <c r="F1597" s="4" t="str" cm="1">
        <f t="array" ref="F1597">IFERROR(INDEX(EmployeeData[Age], ROW() - 37), "")</f>
        <v/>
      </c>
      <c r="G1597" s="6" t="str" cm="1">
        <f t="array" ref="G1597">IFERROR(INDEX(EmployeeData[Join Date], ROW() - 37), "")</f>
        <v/>
      </c>
      <c r="H1597" s="6" t="str" cm="1">
        <f t="array" ref="H1597">IFERROR(IF(INDEX(EmployeeData[Exit Date], ROW() - 37)=0, "",INDEX(EmployeeData[Exit Date], ROW() - 37)),"")</f>
        <v/>
      </c>
      <c r="I1597" s="4" t="str" cm="1">
        <f t="array" ref="I1597">IFERROR(IF(INDEX(EmployeeData[Exit Reason], ROW() - 37)=0, "",INDEX(EmployeeData[Exit Reason], ROW() - 37)),"")</f>
        <v/>
      </c>
      <c r="J1597" s="4" t="str" cm="1">
        <f t="array" ref="J1597">IFERROR(INDEX(EmployeeData[Status], ROW() - 37), "")</f>
        <v/>
      </c>
    </row>
    <row r="1598" spans="2:10" ht="19.95" customHeight="1" x14ac:dyDescent="0.3">
      <c r="B1598" s="4" t="str" cm="1">
        <f t="array" ref="B1598">IFERROR(INDEX(EmployeeData[Employee ID], ROW() - 37), "")</f>
        <v/>
      </c>
      <c r="C1598" s="4" t="str" cm="1">
        <f t="array" ref="C1598">IFERROR(INDEX(EmployeeData[Full Name], ROW() - 37), "")</f>
        <v/>
      </c>
      <c r="D1598" s="4" t="str" cm="1">
        <f t="array" ref="D1598">IFERROR(INDEX(EmployeeData[Department], ROW() - 37), "")</f>
        <v/>
      </c>
      <c r="E1598" s="4" t="str" cm="1">
        <f t="array" ref="E1598">IFERROR(INDEX(EmployeeData[Gender], ROW() - 37), "")</f>
        <v/>
      </c>
      <c r="F1598" s="4" t="str" cm="1">
        <f t="array" ref="F1598">IFERROR(INDEX(EmployeeData[Age], ROW() - 37), "")</f>
        <v/>
      </c>
      <c r="G1598" s="6" t="str" cm="1">
        <f t="array" ref="G1598">IFERROR(INDEX(EmployeeData[Join Date], ROW() - 37), "")</f>
        <v/>
      </c>
      <c r="H1598" s="6" t="str" cm="1">
        <f t="array" ref="H1598">IFERROR(IF(INDEX(EmployeeData[Exit Date], ROW() - 37)=0, "",INDEX(EmployeeData[Exit Date], ROW() - 37)),"")</f>
        <v/>
      </c>
      <c r="I1598" s="4" t="str" cm="1">
        <f t="array" ref="I1598">IFERROR(IF(INDEX(EmployeeData[Exit Reason], ROW() - 37)=0, "",INDEX(EmployeeData[Exit Reason], ROW() - 37)),"")</f>
        <v/>
      </c>
      <c r="J1598" s="4" t="str" cm="1">
        <f t="array" ref="J1598">IFERROR(INDEX(EmployeeData[Status], ROW() - 37), "")</f>
        <v/>
      </c>
    </row>
    <row r="1599" spans="2:10" ht="19.95" customHeight="1" x14ac:dyDescent="0.3">
      <c r="B1599" s="4" t="str" cm="1">
        <f t="array" ref="B1599">IFERROR(INDEX(EmployeeData[Employee ID], ROW() - 37), "")</f>
        <v/>
      </c>
      <c r="C1599" s="4" t="str" cm="1">
        <f t="array" ref="C1599">IFERROR(INDEX(EmployeeData[Full Name], ROW() - 37), "")</f>
        <v/>
      </c>
      <c r="D1599" s="4" t="str" cm="1">
        <f t="array" ref="D1599">IFERROR(INDEX(EmployeeData[Department], ROW() - 37), "")</f>
        <v/>
      </c>
      <c r="E1599" s="4" t="str" cm="1">
        <f t="array" ref="E1599">IFERROR(INDEX(EmployeeData[Gender], ROW() - 37), "")</f>
        <v/>
      </c>
      <c r="F1599" s="4" t="str" cm="1">
        <f t="array" ref="F1599">IFERROR(INDEX(EmployeeData[Age], ROW() - 37), "")</f>
        <v/>
      </c>
      <c r="G1599" s="6" t="str" cm="1">
        <f t="array" ref="G1599">IFERROR(INDEX(EmployeeData[Join Date], ROW() - 37), "")</f>
        <v/>
      </c>
      <c r="H1599" s="6" t="str" cm="1">
        <f t="array" ref="H1599">IFERROR(IF(INDEX(EmployeeData[Exit Date], ROW() - 37)=0, "",INDEX(EmployeeData[Exit Date], ROW() - 37)),"")</f>
        <v/>
      </c>
      <c r="I1599" s="4" t="str" cm="1">
        <f t="array" ref="I1599">IFERROR(IF(INDEX(EmployeeData[Exit Reason], ROW() - 37)=0, "",INDEX(EmployeeData[Exit Reason], ROW() - 37)),"")</f>
        <v/>
      </c>
      <c r="J1599" s="4" t="str" cm="1">
        <f t="array" ref="J1599">IFERROR(INDEX(EmployeeData[Status], ROW() - 37), "")</f>
        <v/>
      </c>
    </row>
    <row r="1600" spans="2:10" ht="19.95" customHeight="1" x14ac:dyDescent="0.3">
      <c r="B1600" s="4" t="str" cm="1">
        <f t="array" ref="B1600">IFERROR(INDEX(EmployeeData[Employee ID], ROW() - 37), "")</f>
        <v/>
      </c>
      <c r="C1600" s="4" t="str" cm="1">
        <f t="array" ref="C1600">IFERROR(INDEX(EmployeeData[Full Name], ROW() - 37), "")</f>
        <v/>
      </c>
      <c r="D1600" s="4" t="str" cm="1">
        <f t="array" ref="D1600">IFERROR(INDEX(EmployeeData[Department], ROW() - 37), "")</f>
        <v/>
      </c>
      <c r="E1600" s="4" t="str" cm="1">
        <f t="array" ref="E1600">IFERROR(INDEX(EmployeeData[Gender], ROW() - 37), "")</f>
        <v/>
      </c>
      <c r="F1600" s="4" t="str" cm="1">
        <f t="array" ref="F1600">IFERROR(INDEX(EmployeeData[Age], ROW() - 37), "")</f>
        <v/>
      </c>
      <c r="G1600" s="6" t="str" cm="1">
        <f t="array" ref="G1600">IFERROR(INDEX(EmployeeData[Join Date], ROW() - 37), "")</f>
        <v/>
      </c>
      <c r="H1600" s="6" t="str" cm="1">
        <f t="array" ref="H1600">IFERROR(IF(INDEX(EmployeeData[Exit Date], ROW() - 37)=0, "",INDEX(EmployeeData[Exit Date], ROW() - 37)),"")</f>
        <v/>
      </c>
      <c r="I1600" s="4" t="str" cm="1">
        <f t="array" ref="I1600">IFERROR(IF(INDEX(EmployeeData[Exit Reason], ROW() - 37)=0, "",INDEX(EmployeeData[Exit Reason], ROW() - 37)),"")</f>
        <v/>
      </c>
      <c r="J1600" s="4" t="str" cm="1">
        <f t="array" ref="J1600">IFERROR(INDEX(EmployeeData[Status], ROW() - 37), "")</f>
        <v/>
      </c>
    </row>
    <row r="1601" spans="2:10" ht="19.95" customHeight="1" x14ac:dyDescent="0.3">
      <c r="B1601" s="4" t="str" cm="1">
        <f t="array" ref="B1601">IFERROR(INDEX(EmployeeData[Employee ID], ROW() - 37), "")</f>
        <v/>
      </c>
      <c r="C1601" s="4" t="str" cm="1">
        <f t="array" ref="C1601">IFERROR(INDEX(EmployeeData[Full Name], ROW() - 37), "")</f>
        <v/>
      </c>
      <c r="D1601" s="4" t="str" cm="1">
        <f t="array" ref="D1601">IFERROR(INDEX(EmployeeData[Department], ROW() - 37), "")</f>
        <v/>
      </c>
      <c r="E1601" s="4" t="str" cm="1">
        <f t="array" ref="E1601">IFERROR(INDEX(EmployeeData[Gender], ROW() - 37), "")</f>
        <v/>
      </c>
      <c r="F1601" s="4" t="str" cm="1">
        <f t="array" ref="F1601">IFERROR(INDEX(EmployeeData[Age], ROW() - 37), "")</f>
        <v/>
      </c>
      <c r="G1601" s="6" t="str" cm="1">
        <f t="array" ref="G1601">IFERROR(INDEX(EmployeeData[Join Date], ROW() - 37), "")</f>
        <v/>
      </c>
      <c r="H1601" s="6" t="str" cm="1">
        <f t="array" ref="H1601">IFERROR(IF(INDEX(EmployeeData[Exit Date], ROW() - 37)=0, "",INDEX(EmployeeData[Exit Date], ROW() - 37)),"")</f>
        <v/>
      </c>
      <c r="I1601" s="4" t="str" cm="1">
        <f t="array" ref="I1601">IFERROR(IF(INDEX(EmployeeData[Exit Reason], ROW() - 37)=0, "",INDEX(EmployeeData[Exit Reason], ROW() - 37)),"")</f>
        <v/>
      </c>
      <c r="J1601" s="4" t="str" cm="1">
        <f t="array" ref="J1601">IFERROR(INDEX(EmployeeData[Status], ROW() - 37), "")</f>
        <v/>
      </c>
    </row>
    <row r="1602" spans="2:10" ht="19.95" customHeight="1" x14ac:dyDescent="0.3">
      <c r="B1602" s="4" t="str" cm="1">
        <f t="array" ref="B1602">IFERROR(INDEX(EmployeeData[Employee ID], ROW() - 37), "")</f>
        <v/>
      </c>
      <c r="C1602" s="4" t="str" cm="1">
        <f t="array" ref="C1602">IFERROR(INDEX(EmployeeData[Full Name], ROW() - 37), "")</f>
        <v/>
      </c>
      <c r="D1602" s="4" t="str" cm="1">
        <f t="array" ref="D1602">IFERROR(INDEX(EmployeeData[Department], ROW() - 37), "")</f>
        <v/>
      </c>
      <c r="E1602" s="4" t="str" cm="1">
        <f t="array" ref="E1602">IFERROR(INDEX(EmployeeData[Gender], ROW() - 37), "")</f>
        <v/>
      </c>
      <c r="F1602" s="4" t="str" cm="1">
        <f t="array" ref="F1602">IFERROR(INDEX(EmployeeData[Age], ROW() - 37), "")</f>
        <v/>
      </c>
      <c r="G1602" s="6" t="str" cm="1">
        <f t="array" ref="G1602">IFERROR(INDEX(EmployeeData[Join Date], ROW() - 37), "")</f>
        <v/>
      </c>
      <c r="H1602" s="6" t="str" cm="1">
        <f t="array" ref="H1602">IFERROR(IF(INDEX(EmployeeData[Exit Date], ROW() - 37)=0, "",INDEX(EmployeeData[Exit Date], ROW() - 37)),"")</f>
        <v/>
      </c>
      <c r="I1602" s="4" t="str" cm="1">
        <f t="array" ref="I1602">IFERROR(IF(INDEX(EmployeeData[Exit Reason], ROW() - 37)=0, "",INDEX(EmployeeData[Exit Reason], ROW() - 37)),"")</f>
        <v/>
      </c>
      <c r="J1602" s="4" t="str" cm="1">
        <f t="array" ref="J1602">IFERROR(INDEX(EmployeeData[Status], ROW() - 37), "")</f>
        <v/>
      </c>
    </row>
    <row r="1603" spans="2:10" ht="19.95" customHeight="1" x14ac:dyDescent="0.3">
      <c r="B1603" s="4" t="str" cm="1">
        <f t="array" ref="B1603">IFERROR(INDEX(EmployeeData[Employee ID], ROW() - 37), "")</f>
        <v/>
      </c>
      <c r="C1603" s="4" t="str" cm="1">
        <f t="array" ref="C1603">IFERROR(INDEX(EmployeeData[Full Name], ROW() - 37), "")</f>
        <v/>
      </c>
      <c r="D1603" s="4" t="str" cm="1">
        <f t="array" ref="D1603">IFERROR(INDEX(EmployeeData[Department], ROW() - 37), "")</f>
        <v/>
      </c>
      <c r="E1603" s="4" t="str" cm="1">
        <f t="array" ref="E1603">IFERROR(INDEX(EmployeeData[Gender], ROW() - 37), "")</f>
        <v/>
      </c>
      <c r="F1603" s="4" t="str" cm="1">
        <f t="array" ref="F1603">IFERROR(INDEX(EmployeeData[Age], ROW() - 37), "")</f>
        <v/>
      </c>
      <c r="G1603" s="6" t="str" cm="1">
        <f t="array" ref="G1603">IFERROR(INDEX(EmployeeData[Join Date], ROW() - 37), "")</f>
        <v/>
      </c>
      <c r="H1603" s="6" t="str" cm="1">
        <f t="array" ref="H1603">IFERROR(IF(INDEX(EmployeeData[Exit Date], ROW() - 37)=0, "",INDEX(EmployeeData[Exit Date], ROW() - 37)),"")</f>
        <v/>
      </c>
      <c r="I1603" s="4" t="str" cm="1">
        <f t="array" ref="I1603">IFERROR(IF(INDEX(EmployeeData[Exit Reason], ROW() - 37)=0, "",INDEX(EmployeeData[Exit Reason], ROW() - 37)),"")</f>
        <v/>
      </c>
      <c r="J1603" s="4" t="str" cm="1">
        <f t="array" ref="J1603">IFERROR(INDEX(EmployeeData[Status], ROW() - 37), "")</f>
        <v/>
      </c>
    </row>
    <row r="1604" spans="2:10" ht="19.95" customHeight="1" x14ac:dyDescent="0.3">
      <c r="B1604" s="4" t="str" cm="1">
        <f t="array" ref="B1604">IFERROR(INDEX(EmployeeData[Employee ID], ROW() - 37), "")</f>
        <v/>
      </c>
      <c r="C1604" s="4" t="str" cm="1">
        <f t="array" ref="C1604">IFERROR(INDEX(EmployeeData[Full Name], ROW() - 37), "")</f>
        <v/>
      </c>
      <c r="D1604" s="4" t="str" cm="1">
        <f t="array" ref="D1604">IFERROR(INDEX(EmployeeData[Department], ROW() - 37), "")</f>
        <v/>
      </c>
      <c r="E1604" s="4" t="str" cm="1">
        <f t="array" ref="E1604">IFERROR(INDEX(EmployeeData[Gender], ROW() - 37), "")</f>
        <v/>
      </c>
      <c r="F1604" s="4" t="str" cm="1">
        <f t="array" ref="F1604">IFERROR(INDEX(EmployeeData[Age], ROW() - 37), "")</f>
        <v/>
      </c>
      <c r="G1604" s="6" t="str" cm="1">
        <f t="array" ref="G1604">IFERROR(INDEX(EmployeeData[Join Date], ROW() - 37), "")</f>
        <v/>
      </c>
      <c r="H1604" s="6" t="str" cm="1">
        <f t="array" ref="H1604">IFERROR(IF(INDEX(EmployeeData[Exit Date], ROW() - 37)=0, "",INDEX(EmployeeData[Exit Date], ROW() - 37)),"")</f>
        <v/>
      </c>
      <c r="I1604" s="4" t="str" cm="1">
        <f t="array" ref="I1604">IFERROR(IF(INDEX(EmployeeData[Exit Reason], ROW() - 37)=0, "",INDEX(EmployeeData[Exit Reason], ROW() - 37)),"")</f>
        <v/>
      </c>
      <c r="J1604" s="4" t="str" cm="1">
        <f t="array" ref="J1604">IFERROR(INDEX(EmployeeData[Status], ROW() - 37), "")</f>
        <v/>
      </c>
    </row>
    <row r="1605" spans="2:10" ht="19.95" customHeight="1" x14ac:dyDescent="0.3">
      <c r="B1605" s="4" t="str" cm="1">
        <f t="array" ref="B1605">IFERROR(INDEX(EmployeeData[Employee ID], ROW() - 37), "")</f>
        <v/>
      </c>
      <c r="C1605" s="4" t="str" cm="1">
        <f t="array" ref="C1605">IFERROR(INDEX(EmployeeData[Full Name], ROW() - 37), "")</f>
        <v/>
      </c>
      <c r="D1605" s="4" t="str" cm="1">
        <f t="array" ref="D1605">IFERROR(INDEX(EmployeeData[Department], ROW() - 37), "")</f>
        <v/>
      </c>
      <c r="E1605" s="4" t="str" cm="1">
        <f t="array" ref="E1605">IFERROR(INDEX(EmployeeData[Gender], ROW() - 37), "")</f>
        <v/>
      </c>
      <c r="F1605" s="4" t="str" cm="1">
        <f t="array" ref="F1605">IFERROR(INDEX(EmployeeData[Age], ROW() - 37), "")</f>
        <v/>
      </c>
      <c r="G1605" s="6" t="str" cm="1">
        <f t="array" ref="G1605">IFERROR(INDEX(EmployeeData[Join Date], ROW() - 37), "")</f>
        <v/>
      </c>
      <c r="H1605" s="6" t="str" cm="1">
        <f t="array" ref="H1605">IFERROR(IF(INDEX(EmployeeData[Exit Date], ROW() - 37)=0, "",INDEX(EmployeeData[Exit Date], ROW() - 37)),"")</f>
        <v/>
      </c>
      <c r="I1605" s="4" t="str" cm="1">
        <f t="array" ref="I1605">IFERROR(IF(INDEX(EmployeeData[Exit Reason], ROW() - 37)=0, "",INDEX(EmployeeData[Exit Reason], ROW() - 37)),"")</f>
        <v/>
      </c>
      <c r="J1605" s="4" t="str" cm="1">
        <f t="array" ref="J1605">IFERROR(INDEX(EmployeeData[Status], ROW() - 37), "")</f>
        <v/>
      </c>
    </row>
    <row r="1606" spans="2:10" ht="19.95" customHeight="1" x14ac:dyDescent="0.3">
      <c r="B1606" s="4" t="str" cm="1">
        <f t="array" ref="B1606">IFERROR(INDEX(EmployeeData[Employee ID], ROW() - 37), "")</f>
        <v/>
      </c>
      <c r="C1606" s="4" t="str" cm="1">
        <f t="array" ref="C1606">IFERROR(INDEX(EmployeeData[Full Name], ROW() - 37), "")</f>
        <v/>
      </c>
      <c r="D1606" s="4" t="str" cm="1">
        <f t="array" ref="D1606">IFERROR(INDEX(EmployeeData[Department], ROW() - 37), "")</f>
        <v/>
      </c>
      <c r="E1606" s="4" t="str" cm="1">
        <f t="array" ref="E1606">IFERROR(INDEX(EmployeeData[Gender], ROW() - 37), "")</f>
        <v/>
      </c>
      <c r="F1606" s="4" t="str" cm="1">
        <f t="array" ref="F1606">IFERROR(INDEX(EmployeeData[Age], ROW() - 37), "")</f>
        <v/>
      </c>
      <c r="G1606" s="6" t="str" cm="1">
        <f t="array" ref="G1606">IFERROR(INDEX(EmployeeData[Join Date], ROW() - 37), "")</f>
        <v/>
      </c>
      <c r="H1606" s="6" t="str" cm="1">
        <f t="array" ref="H1606">IFERROR(IF(INDEX(EmployeeData[Exit Date], ROW() - 37)=0, "",INDEX(EmployeeData[Exit Date], ROW() - 37)),"")</f>
        <v/>
      </c>
      <c r="I1606" s="4" t="str" cm="1">
        <f t="array" ref="I1606">IFERROR(IF(INDEX(EmployeeData[Exit Reason], ROW() - 37)=0, "",INDEX(EmployeeData[Exit Reason], ROW() - 37)),"")</f>
        <v/>
      </c>
      <c r="J1606" s="4" t="str" cm="1">
        <f t="array" ref="J1606">IFERROR(INDEX(EmployeeData[Status], ROW() - 37), "")</f>
        <v/>
      </c>
    </row>
    <row r="1607" spans="2:10" ht="19.95" customHeight="1" x14ac:dyDescent="0.3">
      <c r="B1607" s="4" t="str" cm="1">
        <f t="array" ref="B1607">IFERROR(INDEX(EmployeeData[Employee ID], ROW() - 37), "")</f>
        <v/>
      </c>
      <c r="C1607" s="4" t="str" cm="1">
        <f t="array" ref="C1607">IFERROR(INDEX(EmployeeData[Full Name], ROW() - 37), "")</f>
        <v/>
      </c>
      <c r="D1607" s="4" t="str" cm="1">
        <f t="array" ref="D1607">IFERROR(INDEX(EmployeeData[Department], ROW() - 37), "")</f>
        <v/>
      </c>
      <c r="E1607" s="4" t="str" cm="1">
        <f t="array" ref="E1607">IFERROR(INDEX(EmployeeData[Gender], ROW() - 37), "")</f>
        <v/>
      </c>
      <c r="F1607" s="4" t="str" cm="1">
        <f t="array" ref="F1607">IFERROR(INDEX(EmployeeData[Age], ROW() - 37), "")</f>
        <v/>
      </c>
      <c r="G1607" s="6" t="str" cm="1">
        <f t="array" ref="G1607">IFERROR(INDEX(EmployeeData[Join Date], ROW() - 37), "")</f>
        <v/>
      </c>
      <c r="H1607" s="6" t="str" cm="1">
        <f t="array" ref="H1607">IFERROR(IF(INDEX(EmployeeData[Exit Date], ROW() - 37)=0, "",INDEX(EmployeeData[Exit Date], ROW() - 37)),"")</f>
        <v/>
      </c>
      <c r="I1607" s="4" t="str" cm="1">
        <f t="array" ref="I1607">IFERROR(IF(INDEX(EmployeeData[Exit Reason], ROW() - 37)=0, "",INDEX(EmployeeData[Exit Reason], ROW() - 37)),"")</f>
        <v/>
      </c>
      <c r="J1607" s="4" t="str" cm="1">
        <f t="array" ref="J1607">IFERROR(INDEX(EmployeeData[Status], ROW() - 37), "")</f>
        <v/>
      </c>
    </row>
    <row r="1608" spans="2:10" ht="19.95" customHeight="1" x14ac:dyDescent="0.3">
      <c r="B1608" s="4" t="str" cm="1">
        <f t="array" ref="B1608">IFERROR(INDEX(EmployeeData[Employee ID], ROW() - 37), "")</f>
        <v/>
      </c>
      <c r="C1608" s="4" t="str" cm="1">
        <f t="array" ref="C1608">IFERROR(INDEX(EmployeeData[Full Name], ROW() - 37), "")</f>
        <v/>
      </c>
      <c r="D1608" s="4" t="str" cm="1">
        <f t="array" ref="D1608">IFERROR(INDEX(EmployeeData[Department], ROW() - 37), "")</f>
        <v/>
      </c>
      <c r="E1608" s="4" t="str" cm="1">
        <f t="array" ref="E1608">IFERROR(INDEX(EmployeeData[Gender], ROW() - 37), "")</f>
        <v/>
      </c>
      <c r="F1608" s="4" t="str" cm="1">
        <f t="array" ref="F1608">IFERROR(INDEX(EmployeeData[Age], ROW() - 37), "")</f>
        <v/>
      </c>
      <c r="G1608" s="6" t="str" cm="1">
        <f t="array" ref="G1608">IFERROR(INDEX(EmployeeData[Join Date], ROW() - 37), "")</f>
        <v/>
      </c>
      <c r="H1608" s="6" t="str" cm="1">
        <f t="array" ref="H1608">IFERROR(IF(INDEX(EmployeeData[Exit Date], ROW() - 37)=0, "",INDEX(EmployeeData[Exit Date], ROW() - 37)),"")</f>
        <v/>
      </c>
      <c r="I1608" s="4" t="str" cm="1">
        <f t="array" ref="I1608">IFERROR(IF(INDEX(EmployeeData[Exit Reason], ROW() - 37)=0, "",INDEX(EmployeeData[Exit Reason], ROW() - 37)),"")</f>
        <v/>
      </c>
      <c r="J1608" s="4" t="str" cm="1">
        <f t="array" ref="J1608">IFERROR(INDEX(EmployeeData[Status], ROW() - 37), "")</f>
        <v/>
      </c>
    </row>
    <row r="1609" spans="2:10" ht="19.95" customHeight="1" x14ac:dyDescent="0.3">
      <c r="B1609" s="4" t="str" cm="1">
        <f t="array" ref="B1609">IFERROR(INDEX(EmployeeData[Employee ID], ROW() - 37), "")</f>
        <v/>
      </c>
      <c r="C1609" s="4" t="str" cm="1">
        <f t="array" ref="C1609">IFERROR(INDEX(EmployeeData[Full Name], ROW() - 37), "")</f>
        <v/>
      </c>
      <c r="D1609" s="4" t="str" cm="1">
        <f t="array" ref="D1609">IFERROR(INDEX(EmployeeData[Department], ROW() - 37), "")</f>
        <v/>
      </c>
      <c r="E1609" s="4" t="str" cm="1">
        <f t="array" ref="E1609">IFERROR(INDEX(EmployeeData[Gender], ROW() - 37), "")</f>
        <v/>
      </c>
      <c r="F1609" s="4" t="str" cm="1">
        <f t="array" ref="F1609">IFERROR(INDEX(EmployeeData[Age], ROW() - 37), "")</f>
        <v/>
      </c>
      <c r="G1609" s="6" t="str" cm="1">
        <f t="array" ref="G1609">IFERROR(INDEX(EmployeeData[Join Date], ROW() - 37), "")</f>
        <v/>
      </c>
      <c r="H1609" s="6" t="str" cm="1">
        <f t="array" ref="H1609">IFERROR(IF(INDEX(EmployeeData[Exit Date], ROW() - 37)=0, "",INDEX(EmployeeData[Exit Date], ROW() - 37)),"")</f>
        <v/>
      </c>
      <c r="I1609" s="4" t="str" cm="1">
        <f t="array" ref="I1609">IFERROR(IF(INDEX(EmployeeData[Exit Reason], ROW() - 37)=0, "",INDEX(EmployeeData[Exit Reason], ROW() - 37)),"")</f>
        <v/>
      </c>
      <c r="J1609" s="4" t="str" cm="1">
        <f t="array" ref="J1609">IFERROR(INDEX(EmployeeData[Status], ROW() - 37), "")</f>
        <v/>
      </c>
    </row>
    <row r="1610" spans="2:10" ht="19.95" customHeight="1" x14ac:dyDescent="0.3">
      <c r="B1610" s="4" t="str" cm="1">
        <f t="array" ref="B1610">IFERROR(INDEX(EmployeeData[Employee ID], ROW() - 37), "")</f>
        <v/>
      </c>
      <c r="C1610" s="4" t="str" cm="1">
        <f t="array" ref="C1610">IFERROR(INDEX(EmployeeData[Full Name], ROW() - 37), "")</f>
        <v/>
      </c>
      <c r="D1610" s="4" t="str" cm="1">
        <f t="array" ref="D1610">IFERROR(INDEX(EmployeeData[Department], ROW() - 37), "")</f>
        <v/>
      </c>
      <c r="E1610" s="4" t="str" cm="1">
        <f t="array" ref="E1610">IFERROR(INDEX(EmployeeData[Gender], ROW() - 37), "")</f>
        <v/>
      </c>
      <c r="F1610" s="4" t="str" cm="1">
        <f t="array" ref="F1610">IFERROR(INDEX(EmployeeData[Age], ROW() - 37), "")</f>
        <v/>
      </c>
      <c r="G1610" s="6" t="str" cm="1">
        <f t="array" ref="G1610">IFERROR(INDEX(EmployeeData[Join Date], ROW() - 37), "")</f>
        <v/>
      </c>
      <c r="H1610" s="6" t="str" cm="1">
        <f t="array" ref="H1610">IFERROR(IF(INDEX(EmployeeData[Exit Date], ROW() - 37)=0, "",INDEX(EmployeeData[Exit Date], ROW() - 37)),"")</f>
        <v/>
      </c>
      <c r="I1610" s="4" t="str" cm="1">
        <f t="array" ref="I1610">IFERROR(IF(INDEX(EmployeeData[Exit Reason], ROW() - 37)=0, "",INDEX(EmployeeData[Exit Reason], ROW() - 37)),"")</f>
        <v/>
      </c>
      <c r="J1610" s="4" t="str" cm="1">
        <f t="array" ref="J1610">IFERROR(INDEX(EmployeeData[Status], ROW() - 37), "")</f>
        <v/>
      </c>
    </row>
    <row r="1611" spans="2:10" ht="19.95" customHeight="1" x14ac:dyDescent="0.3">
      <c r="B1611" s="4" t="str" cm="1">
        <f t="array" ref="B1611">IFERROR(INDEX(EmployeeData[Employee ID], ROW() - 37), "")</f>
        <v/>
      </c>
      <c r="C1611" s="4" t="str" cm="1">
        <f t="array" ref="C1611">IFERROR(INDEX(EmployeeData[Full Name], ROW() - 37), "")</f>
        <v/>
      </c>
      <c r="D1611" s="4" t="str" cm="1">
        <f t="array" ref="D1611">IFERROR(INDEX(EmployeeData[Department], ROW() - 37), "")</f>
        <v/>
      </c>
      <c r="E1611" s="4" t="str" cm="1">
        <f t="array" ref="E1611">IFERROR(INDEX(EmployeeData[Gender], ROW() - 37), "")</f>
        <v/>
      </c>
      <c r="F1611" s="4" t="str" cm="1">
        <f t="array" ref="F1611">IFERROR(INDEX(EmployeeData[Age], ROW() - 37), "")</f>
        <v/>
      </c>
      <c r="G1611" s="6" t="str" cm="1">
        <f t="array" ref="G1611">IFERROR(INDEX(EmployeeData[Join Date], ROW() - 37), "")</f>
        <v/>
      </c>
      <c r="H1611" s="6" t="str" cm="1">
        <f t="array" ref="H1611">IFERROR(IF(INDEX(EmployeeData[Exit Date], ROW() - 37)=0, "",INDEX(EmployeeData[Exit Date], ROW() - 37)),"")</f>
        <v/>
      </c>
      <c r="I1611" s="4" t="str" cm="1">
        <f t="array" ref="I1611">IFERROR(IF(INDEX(EmployeeData[Exit Reason], ROW() - 37)=0, "",INDEX(EmployeeData[Exit Reason], ROW() - 37)),"")</f>
        <v/>
      </c>
      <c r="J1611" s="4" t="str" cm="1">
        <f t="array" ref="J1611">IFERROR(INDEX(EmployeeData[Status], ROW() - 37), "")</f>
        <v/>
      </c>
    </row>
    <row r="1612" spans="2:10" ht="19.95" customHeight="1" x14ac:dyDescent="0.3">
      <c r="B1612" s="4" t="str" cm="1">
        <f t="array" ref="B1612">IFERROR(INDEX(EmployeeData[Employee ID], ROW() - 37), "")</f>
        <v/>
      </c>
      <c r="C1612" s="4" t="str" cm="1">
        <f t="array" ref="C1612">IFERROR(INDEX(EmployeeData[Full Name], ROW() - 37), "")</f>
        <v/>
      </c>
      <c r="D1612" s="4" t="str" cm="1">
        <f t="array" ref="D1612">IFERROR(INDEX(EmployeeData[Department], ROW() - 37), "")</f>
        <v/>
      </c>
      <c r="E1612" s="4" t="str" cm="1">
        <f t="array" ref="E1612">IFERROR(INDEX(EmployeeData[Gender], ROW() - 37), "")</f>
        <v/>
      </c>
      <c r="F1612" s="4" t="str" cm="1">
        <f t="array" ref="F1612">IFERROR(INDEX(EmployeeData[Age], ROW() - 37), "")</f>
        <v/>
      </c>
      <c r="G1612" s="6" t="str" cm="1">
        <f t="array" ref="G1612">IFERROR(INDEX(EmployeeData[Join Date], ROW() - 37), "")</f>
        <v/>
      </c>
      <c r="H1612" s="6" t="str" cm="1">
        <f t="array" ref="H1612">IFERROR(IF(INDEX(EmployeeData[Exit Date], ROW() - 37)=0, "",INDEX(EmployeeData[Exit Date], ROW() - 37)),"")</f>
        <v/>
      </c>
      <c r="I1612" s="4" t="str" cm="1">
        <f t="array" ref="I1612">IFERROR(IF(INDEX(EmployeeData[Exit Reason], ROW() - 37)=0, "",INDEX(EmployeeData[Exit Reason], ROW() - 37)),"")</f>
        <v/>
      </c>
      <c r="J1612" s="4" t="str" cm="1">
        <f t="array" ref="J1612">IFERROR(INDEX(EmployeeData[Status], ROW() - 37), "")</f>
        <v/>
      </c>
    </row>
    <row r="1613" spans="2:10" ht="19.95" customHeight="1" x14ac:dyDescent="0.3">
      <c r="B1613" s="4" t="str" cm="1">
        <f t="array" ref="B1613">IFERROR(INDEX(EmployeeData[Employee ID], ROW() - 37), "")</f>
        <v/>
      </c>
      <c r="C1613" s="4" t="str" cm="1">
        <f t="array" ref="C1613">IFERROR(INDEX(EmployeeData[Full Name], ROW() - 37), "")</f>
        <v/>
      </c>
      <c r="D1613" s="4" t="str" cm="1">
        <f t="array" ref="D1613">IFERROR(INDEX(EmployeeData[Department], ROW() - 37), "")</f>
        <v/>
      </c>
      <c r="E1613" s="4" t="str" cm="1">
        <f t="array" ref="E1613">IFERROR(INDEX(EmployeeData[Gender], ROW() - 37), "")</f>
        <v/>
      </c>
      <c r="F1613" s="4" t="str" cm="1">
        <f t="array" ref="F1613">IFERROR(INDEX(EmployeeData[Age], ROW() - 37), "")</f>
        <v/>
      </c>
      <c r="G1613" s="6" t="str" cm="1">
        <f t="array" ref="G1613">IFERROR(INDEX(EmployeeData[Join Date], ROW() - 37), "")</f>
        <v/>
      </c>
      <c r="H1613" s="6" t="str" cm="1">
        <f t="array" ref="H1613">IFERROR(IF(INDEX(EmployeeData[Exit Date], ROW() - 37)=0, "",INDEX(EmployeeData[Exit Date], ROW() - 37)),"")</f>
        <v/>
      </c>
      <c r="I1613" s="4" t="str" cm="1">
        <f t="array" ref="I1613">IFERROR(IF(INDEX(EmployeeData[Exit Reason], ROW() - 37)=0, "",INDEX(EmployeeData[Exit Reason], ROW() - 37)),"")</f>
        <v/>
      </c>
      <c r="J1613" s="4" t="str" cm="1">
        <f t="array" ref="J1613">IFERROR(INDEX(EmployeeData[Status], ROW() - 37), "")</f>
        <v/>
      </c>
    </row>
    <row r="1614" spans="2:10" ht="19.95" customHeight="1" x14ac:dyDescent="0.3">
      <c r="B1614" s="4" t="str" cm="1">
        <f t="array" ref="B1614">IFERROR(INDEX(EmployeeData[Employee ID], ROW() - 37), "")</f>
        <v/>
      </c>
      <c r="C1614" s="4" t="str" cm="1">
        <f t="array" ref="C1614">IFERROR(INDEX(EmployeeData[Full Name], ROW() - 37), "")</f>
        <v/>
      </c>
      <c r="D1614" s="4" t="str" cm="1">
        <f t="array" ref="D1614">IFERROR(INDEX(EmployeeData[Department], ROW() - 37), "")</f>
        <v/>
      </c>
      <c r="E1614" s="4" t="str" cm="1">
        <f t="array" ref="E1614">IFERROR(INDEX(EmployeeData[Gender], ROW() - 37), "")</f>
        <v/>
      </c>
      <c r="F1614" s="4" t="str" cm="1">
        <f t="array" ref="F1614">IFERROR(INDEX(EmployeeData[Age], ROW() - 37), "")</f>
        <v/>
      </c>
      <c r="G1614" s="6" t="str" cm="1">
        <f t="array" ref="G1614">IFERROR(INDEX(EmployeeData[Join Date], ROW() - 37), "")</f>
        <v/>
      </c>
      <c r="H1614" s="6" t="str" cm="1">
        <f t="array" ref="H1614">IFERROR(IF(INDEX(EmployeeData[Exit Date], ROW() - 37)=0, "",INDEX(EmployeeData[Exit Date], ROW() - 37)),"")</f>
        <v/>
      </c>
      <c r="I1614" s="4" t="str" cm="1">
        <f t="array" ref="I1614">IFERROR(IF(INDEX(EmployeeData[Exit Reason], ROW() - 37)=0, "",INDEX(EmployeeData[Exit Reason], ROW() - 37)),"")</f>
        <v/>
      </c>
      <c r="J1614" s="4" t="str" cm="1">
        <f t="array" ref="J1614">IFERROR(INDEX(EmployeeData[Status], ROW() - 37), "")</f>
        <v/>
      </c>
    </row>
    <row r="1615" spans="2:10" ht="19.95" customHeight="1" x14ac:dyDescent="0.3">
      <c r="B1615" s="4" t="str" cm="1">
        <f t="array" ref="B1615">IFERROR(INDEX(EmployeeData[Employee ID], ROW() - 37), "")</f>
        <v/>
      </c>
      <c r="C1615" s="4" t="str" cm="1">
        <f t="array" ref="C1615">IFERROR(INDEX(EmployeeData[Full Name], ROW() - 37), "")</f>
        <v/>
      </c>
      <c r="D1615" s="4" t="str" cm="1">
        <f t="array" ref="D1615">IFERROR(INDEX(EmployeeData[Department], ROW() - 37), "")</f>
        <v/>
      </c>
      <c r="E1615" s="4" t="str" cm="1">
        <f t="array" ref="E1615">IFERROR(INDEX(EmployeeData[Gender], ROW() - 37), "")</f>
        <v/>
      </c>
      <c r="F1615" s="4" t="str" cm="1">
        <f t="array" ref="F1615">IFERROR(INDEX(EmployeeData[Age], ROW() - 37), "")</f>
        <v/>
      </c>
      <c r="G1615" s="6" t="str" cm="1">
        <f t="array" ref="G1615">IFERROR(INDEX(EmployeeData[Join Date], ROW() - 37), "")</f>
        <v/>
      </c>
      <c r="H1615" s="6" t="str" cm="1">
        <f t="array" ref="H1615">IFERROR(IF(INDEX(EmployeeData[Exit Date], ROW() - 37)=0, "",INDEX(EmployeeData[Exit Date], ROW() - 37)),"")</f>
        <v/>
      </c>
      <c r="I1615" s="4" t="str" cm="1">
        <f t="array" ref="I1615">IFERROR(IF(INDEX(EmployeeData[Exit Reason], ROW() - 37)=0, "",INDEX(EmployeeData[Exit Reason], ROW() - 37)),"")</f>
        <v/>
      </c>
      <c r="J1615" s="4" t="str" cm="1">
        <f t="array" ref="J1615">IFERROR(INDEX(EmployeeData[Status], ROW() - 37), "")</f>
        <v/>
      </c>
    </row>
    <row r="1616" spans="2:10" ht="19.95" customHeight="1" x14ac:dyDescent="0.3">
      <c r="B1616" s="4" t="str" cm="1">
        <f t="array" ref="B1616">IFERROR(INDEX(EmployeeData[Employee ID], ROW() - 37), "")</f>
        <v/>
      </c>
      <c r="C1616" s="4" t="str" cm="1">
        <f t="array" ref="C1616">IFERROR(INDEX(EmployeeData[Full Name], ROW() - 37), "")</f>
        <v/>
      </c>
      <c r="D1616" s="4" t="str" cm="1">
        <f t="array" ref="D1616">IFERROR(INDEX(EmployeeData[Department], ROW() - 37), "")</f>
        <v/>
      </c>
      <c r="E1616" s="4" t="str" cm="1">
        <f t="array" ref="E1616">IFERROR(INDEX(EmployeeData[Gender], ROW() - 37), "")</f>
        <v/>
      </c>
      <c r="F1616" s="4" t="str" cm="1">
        <f t="array" ref="F1616">IFERROR(INDEX(EmployeeData[Age], ROW() - 37), "")</f>
        <v/>
      </c>
      <c r="G1616" s="6" t="str" cm="1">
        <f t="array" ref="G1616">IFERROR(INDEX(EmployeeData[Join Date], ROW() - 37), "")</f>
        <v/>
      </c>
      <c r="H1616" s="6" t="str" cm="1">
        <f t="array" ref="H1616">IFERROR(IF(INDEX(EmployeeData[Exit Date], ROW() - 37)=0, "",INDEX(EmployeeData[Exit Date], ROW() - 37)),"")</f>
        <v/>
      </c>
      <c r="I1616" s="4" t="str" cm="1">
        <f t="array" ref="I1616">IFERROR(IF(INDEX(EmployeeData[Exit Reason], ROW() - 37)=0, "",INDEX(EmployeeData[Exit Reason], ROW() - 37)),"")</f>
        <v/>
      </c>
      <c r="J1616" s="4" t="str" cm="1">
        <f t="array" ref="J1616">IFERROR(INDEX(EmployeeData[Status], ROW() - 37), "")</f>
        <v/>
      </c>
    </row>
    <row r="1617" spans="2:10" ht="19.95" customHeight="1" x14ac:dyDescent="0.3">
      <c r="B1617" s="4" t="str" cm="1">
        <f t="array" ref="B1617">IFERROR(INDEX(EmployeeData[Employee ID], ROW() - 37), "")</f>
        <v/>
      </c>
      <c r="C1617" s="4" t="str" cm="1">
        <f t="array" ref="C1617">IFERROR(INDEX(EmployeeData[Full Name], ROW() - 37), "")</f>
        <v/>
      </c>
      <c r="D1617" s="4" t="str" cm="1">
        <f t="array" ref="D1617">IFERROR(INDEX(EmployeeData[Department], ROW() - 37), "")</f>
        <v/>
      </c>
      <c r="E1617" s="4" t="str" cm="1">
        <f t="array" ref="E1617">IFERROR(INDEX(EmployeeData[Gender], ROW() - 37), "")</f>
        <v/>
      </c>
      <c r="F1617" s="4" t="str" cm="1">
        <f t="array" ref="F1617">IFERROR(INDEX(EmployeeData[Age], ROW() - 37), "")</f>
        <v/>
      </c>
      <c r="G1617" s="6" t="str" cm="1">
        <f t="array" ref="G1617">IFERROR(INDEX(EmployeeData[Join Date], ROW() - 37), "")</f>
        <v/>
      </c>
      <c r="H1617" s="6" t="str" cm="1">
        <f t="array" ref="H1617">IFERROR(IF(INDEX(EmployeeData[Exit Date], ROW() - 37)=0, "",INDEX(EmployeeData[Exit Date], ROW() - 37)),"")</f>
        <v/>
      </c>
      <c r="I1617" s="4" t="str" cm="1">
        <f t="array" ref="I1617">IFERROR(IF(INDEX(EmployeeData[Exit Reason], ROW() - 37)=0, "",INDEX(EmployeeData[Exit Reason], ROW() - 37)),"")</f>
        <v/>
      </c>
      <c r="J1617" s="4" t="str" cm="1">
        <f t="array" ref="J1617">IFERROR(INDEX(EmployeeData[Status], ROW() - 37), "")</f>
        <v/>
      </c>
    </row>
    <row r="1618" spans="2:10" ht="19.95" customHeight="1" x14ac:dyDescent="0.3">
      <c r="B1618" s="4" t="str" cm="1">
        <f t="array" ref="B1618">IFERROR(INDEX(EmployeeData[Employee ID], ROW() - 37), "")</f>
        <v/>
      </c>
      <c r="C1618" s="4" t="str" cm="1">
        <f t="array" ref="C1618">IFERROR(INDEX(EmployeeData[Full Name], ROW() - 37), "")</f>
        <v/>
      </c>
      <c r="D1618" s="4" t="str" cm="1">
        <f t="array" ref="D1618">IFERROR(INDEX(EmployeeData[Department], ROW() - 37), "")</f>
        <v/>
      </c>
      <c r="E1618" s="4" t="str" cm="1">
        <f t="array" ref="E1618">IFERROR(INDEX(EmployeeData[Gender], ROW() - 37), "")</f>
        <v/>
      </c>
      <c r="F1618" s="4" t="str" cm="1">
        <f t="array" ref="F1618">IFERROR(INDEX(EmployeeData[Age], ROW() - 37), "")</f>
        <v/>
      </c>
      <c r="G1618" s="6" t="str" cm="1">
        <f t="array" ref="G1618">IFERROR(INDEX(EmployeeData[Join Date], ROW() - 37), "")</f>
        <v/>
      </c>
      <c r="H1618" s="6" t="str" cm="1">
        <f t="array" ref="H1618">IFERROR(IF(INDEX(EmployeeData[Exit Date], ROW() - 37)=0, "",INDEX(EmployeeData[Exit Date], ROW() - 37)),"")</f>
        <v/>
      </c>
      <c r="I1618" s="4" t="str" cm="1">
        <f t="array" ref="I1618">IFERROR(IF(INDEX(EmployeeData[Exit Reason], ROW() - 37)=0, "",INDEX(EmployeeData[Exit Reason], ROW() - 37)),"")</f>
        <v/>
      </c>
      <c r="J1618" s="4" t="str" cm="1">
        <f t="array" ref="J1618">IFERROR(INDEX(EmployeeData[Status], ROW() - 37), "")</f>
        <v/>
      </c>
    </row>
    <row r="1619" spans="2:10" ht="19.95" customHeight="1" x14ac:dyDescent="0.3">
      <c r="B1619" s="4" t="str" cm="1">
        <f t="array" ref="B1619">IFERROR(INDEX(EmployeeData[Employee ID], ROW() - 37), "")</f>
        <v/>
      </c>
      <c r="C1619" s="4" t="str" cm="1">
        <f t="array" ref="C1619">IFERROR(INDEX(EmployeeData[Full Name], ROW() - 37), "")</f>
        <v/>
      </c>
      <c r="D1619" s="4" t="str" cm="1">
        <f t="array" ref="D1619">IFERROR(INDEX(EmployeeData[Department], ROW() - 37), "")</f>
        <v/>
      </c>
      <c r="E1619" s="4" t="str" cm="1">
        <f t="array" ref="E1619">IFERROR(INDEX(EmployeeData[Gender], ROW() - 37), "")</f>
        <v/>
      </c>
      <c r="F1619" s="4" t="str" cm="1">
        <f t="array" ref="F1619">IFERROR(INDEX(EmployeeData[Age], ROW() - 37), "")</f>
        <v/>
      </c>
      <c r="G1619" s="6" t="str" cm="1">
        <f t="array" ref="G1619">IFERROR(INDEX(EmployeeData[Join Date], ROW() - 37), "")</f>
        <v/>
      </c>
      <c r="H1619" s="6" t="str" cm="1">
        <f t="array" ref="H1619">IFERROR(IF(INDEX(EmployeeData[Exit Date], ROW() - 37)=0, "",INDEX(EmployeeData[Exit Date], ROW() - 37)),"")</f>
        <v/>
      </c>
      <c r="I1619" s="4" t="str" cm="1">
        <f t="array" ref="I1619">IFERROR(IF(INDEX(EmployeeData[Exit Reason], ROW() - 37)=0, "",INDEX(EmployeeData[Exit Reason], ROW() - 37)),"")</f>
        <v/>
      </c>
      <c r="J1619" s="4" t="str" cm="1">
        <f t="array" ref="J1619">IFERROR(INDEX(EmployeeData[Status], ROW() - 37), "")</f>
        <v/>
      </c>
    </row>
    <row r="1620" spans="2:10" ht="19.95" customHeight="1" x14ac:dyDescent="0.3">
      <c r="B1620" s="4" t="str" cm="1">
        <f t="array" ref="B1620">IFERROR(INDEX(EmployeeData[Employee ID], ROW() - 37), "")</f>
        <v/>
      </c>
      <c r="C1620" s="4" t="str" cm="1">
        <f t="array" ref="C1620">IFERROR(INDEX(EmployeeData[Full Name], ROW() - 37), "")</f>
        <v/>
      </c>
      <c r="D1620" s="4" t="str" cm="1">
        <f t="array" ref="D1620">IFERROR(INDEX(EmployeeData[Department], ROW() - 37), "")</f>
        <v/>
      </c>
      <c r="E1620" s="4" t="str" cm="1">
        <f t="array" ref="E1620">IFERROR(INDEX(EmployeeData[Gender], ROW() - 37), "")</f>
        <v/>
      </c>
      <c r="F1620" s="4" t="str" cm="1">
        <f t="array" ref="F1620">IFERROR(INDEX(EmployeeData[Age], ROW() - 37), "")</f>
        <v/>
      </c>
      <c r="G1620" s="6" t="str" cm="1">
        <f t="array" ref="G1620">IFERROR(INDEX(EmployeeData[Join Date], ROW() - 37), "")</f>
        <v/>
      </c>
      <c r="H1620" s="6" t="str" cm="1">
        <f t="array" ref="H1620">IFERROR(IF(INDEX(EmployeeData[Exit Date], ROW() - 37)=0, "",INDEX(EmployeeData[Exit Date], ROW() - 37)),"")</f>
        <v/>
      </c>
      <c r="I1620" s="4" t="str" cm="1">
        <f t="array" ref="I1620">IFERROR(IF(INDEX(EmployeeData[Exit Reason], ROW() - 37)=0, "",INDEX(EmployeeData[Exit Reason], ROW() - 37)),"")</f>
        <v/>
      </c>
      <c r="J1620" s="4" t="str" cm="1">
        <f t="array" ref="J1620">IFERROR(INDEX(EmployeeData[Status], ROW() - 37), "")</f>
        <v/>
      </c>
    </row>
    <row r="1621" spans="2:10" ht="19.95" customHeight="1" x14ac:dyDescent="0.3">
      <c r="B1621" s="4" t="str" cm="1">
        <f t="array" ref="B1621">IFERROR(INDEX(EmployeeData[Employee ID], ROW() - 37), "")</f>
        <v/>
      </c>
      <c r="C1621" s="4" t="str" cm="1">
        <f t="array" ref="C1621">IFERROR(INDEX(EmployeeData[Full Name], ROW() - 37), "")</f>
        <v/>
      </c>
      <c r="D1621" s="4" t="str" cm="1">
        <f t="array" ref="D1621">IFERROR(INDEX(EmployeeData[Department], ROW() - 37), "")</f>
        <v/>
      </c>
      <c r="E1621" s="4" t="str" cm="1">
        <f t="array" ref="E1621">IFERROR(INDEX(EmployeeData[Gender], ROW() - 37), "")</f>
        <v/>
      </c>
      <c r="F1621" s="4" t="str" cm="1">
        <f t="array" ref="F1621">IFERROR(INDEX(EmployeeData[Age], ROW() - 37), "")</f>
        <v/>
      </c>
      <c r="G1621" s="6" t="str" cm="1">
        <f t="array" ref="G1621">IFERROR(INDEX(EmployeeData[Join Date], ROW() - 37), "")</f>
        <v/>
      </c>
      <c r="H1621" s="6" t="str" cm="1">
        <f t="array" ref="H1621">IFERROR(IF(INDEX(EmployeeData[Exit Date], ROW() - 37)=0, "",INDEX(EmployeeData[Exit Date], ROW() - 37)),"")</f>
        <v/>
      </c>
      <c r="I1621" s="4" t="str" cm="1">
        <f t="array" ref="I1621">IFERROR(IF(INDEX(EmployeeData[Exit Reason], ROW() - 37)=0, "",INDEX(EmployeeData[Exit Reason], ROW() - 37)),"")</f>
        <v/>
      </c>
      <c r="J1621" s="4" t="str" cm="1">
        <f t="array" ref="J1621">IFERROR(INDEX(EmployeeData[Status], ROW() - 37), "")</f>
        <v/>
      </c>
    </row>
    <row r="1622" spans="2:10" ht="19.95" customHeight="1" x14ac:dyDescent="0.3">
      <c r="B1622" s="4" t="str" cm="1">
        <f t="array" ref="B1622">IFERROR(INDEX(EmployeeData[Employee ID], ROW() - 37), "")</f>
        <v/>
      </c>
      <c r="C1622" s="4" t="str" cm="1">
        <f t="array" ref="C1622">IFERROR(INDEX(EmployeeData[Full Name], ROW() - 37), "")</f>
        <v/>
      </c>
      <c r="D1622" s="4" t="str" cm="1">
        <f t="array" ref="D1622">IFERROR(INDEX(EmployeeData[Department], ROW() - 37), "")</f>
        <v/>
      </c>
      <c r="E1622" s="4" t="str" cm="1">
        <f t="array" ref="E1622">IFERROR(INDEX(EmployeeData[Gender], ROW() - 37), "")</f>
        <v/>
      </c>
      <c r="F1622" s="4" t="str" cm="1">
        <f t="array" ref="F1622">IFERROR(INDEX(EmployeeData[Age], ROW() - 37), "")</f>
        <v/>
      </c>
      <c r="G1622" s="6" t="str" cm="1">
        <f t="array" ref="G1622">IFERROR(INDEX(EmployeeData[Join Date], ROW() - 37), "")</f>
        <v/>
      </c>
      <c r="H1622" s="6" t="str" cm="1">
        <f t="array" ref="H1622">IFERROR(IF(INDEX(EmployeeData[Exit Date], ROW() - 37)=0, "",INDEX(EmployeeData[Exit Date], ROW() - 37)),"")</f>
        <v/>
      </c>
      <c r="I1622" s="4" t="str" cm="1">
        <f t="array" ref="I1622">IFERROR(IF(INDEX(EmployeeData[Exit Reason], ROW() - 37)=0, "",INDEX(EmployeeData[Exit Reason], ROW() - 37)),"")</f>
        <v/>
      </c>
      <c r="J1622" s="4" t="str" cm="1">
        <f t="array" ref="J1622">IFERROR(INDEX(EmployeeData[Status], ROW() - 37), "")</f>
        <v/>
      </c>
    </row>
    <row r="1623" spans="2:10" ht="19.95" customHeight="1" x14ac:dyDescent="0.3">
      <c r="B1623" s="4" t="str" cm="1">
        <f t="array" ref="B1623">IFERROR(INDEX(EmployeeData[Employee ID], ROW() - 37), "")</f>
        <v/>
      </c>
      <c r="C1623" s="4" t="str" cm="1">
        <f t="array" ref="C1623">IFERROR(INDEX(EmployeeData[Full Name], ROW() - 37), "")</f>
        <v/>
      </c>
      <c r="D1623" s="4" t="str" cm="1">
        <f t="array" ref="D1623">IFERROR(INDEX(EmployeeData[Department], ROW() - 37), "")</f>
        <v/>
      </c>
      <c r="E1623" s="4" t="str" cm="1">
        <f t="array" ref="E1623">IFERROR(INDEX(EmployeeData[Gender], ROW() - 37), "")</f>
        <v/>
      </c>
      <c r="F1623" s="4" t="str" cm="1">
        <f t="array" ref="F1623">IFERROR(INDEX(EmployeeData[Age], ROW() - 37), "")</f>
        <v/>
      </c>
      <c r="G1623" s="6" t="str" cm="1">
        <f t="array" ref="G1623">IFERROR(INDEX(EmployeeData[Join Date], ROW() - 37), "")</f>
        <v/>
      </c>
      <c r="H1623" s="6" t="str" cm="1">
        <f t="array" ref="H1623">IFERROR(IF(INDEX(EmployeeData[Exit Date], ROW() - 37)=0, "",INDEX(EmployeeData[Exit Date], ROW() - 37)),"")</f>
        <v/>
      </c>
      <c r="I1623" s="4" t="str" cm="1">
        <f t="array" ref="I1623">IFERROR(IF(INDEX(EmployeeData[Exit Reason], ROW() - 37)=0, "",INDEX(EmployeeData[Exit Reason], ROW() - 37)),"")</f>
        <v/>
      </c>
      <c r="J1623" s="4" t="str" cm="1">
        <f t="array" ref="J1623">IFERROR(INDEX(EmployeeData[Status], ROW() - 37), "")</f>
        <v/>
      </c>
    </row>
    <row r="1624" spans="2:10" ht="19.95" customHeight="1" x14ac:dyDescent="0.3">
      <c r="B1624" s="4" t="str" cm="1">
        <f t="array" ref="B1624">IFERROR(INDEX(EmployeeData[Employee ID], ROW() - 37), "")</f>
        <v/>
      </c>
      <c r="C1624" s="4" t="str" cm="1">
        <f t="array" ref="C1624">IFERROR(INDEX(EmployeeData[Full Name], ROW() - 37), "")</f>
        <v/>
      </c>
      <c r="D1624" s="4" t="str" cm="1">
        <f t="array" ref="D1624">IFERROR(INDEX(EmployeeData[Department], ROW() - 37), "")</f>
        <v/>
      </c>
      <c r="E1624" s="4" t="str" cm="1">
        <f t="array" ref="E1624">IFERROR(INDEX(EmployeeData[Gender], ROW() - 37), "")</f>
        <v/>
      </c>
      <c r="F1624" s="4" t="str" cm="1">
        <f t="array" ref="F1624">IFERROR(INDEX(EmployeeData[Age], ROW() - 37), "")</f>
        <v/>
      </c>
      <c r="G1624" s="6" t="str" cm="1">
        <f t="array" ref="G1624">IFERROR(INDEX(EmployeeData[Join Date], ROW() - 37), "")</f>
        <v/>
      </c>
      <c r="H1624" s="6" t="str" cm="1">
        <f t="array" ref="H1624">IFERROR(IF(INDEX(EmployeeData[Exit Date], ROW() - 37)=0, "",INDEX(EmployeeData[Exit Date], ROW() - 37)),"")</f>
        <v/>
      </c>
      <c r="I1624" s="4" t="str" cm="1">
        <f t="array" ref="I1624">IFERROR(IF(INDEX(EmployeeData[Exit Reason], ROW() - 37)=0, "",INDEX(EmployeeData[Exit Reason], ROW() - 37)),"")</f>
        <v/>
      </c>
      <c r="J1624" s="4" t="str" cm="1">
        <f t="array" ref="J1624">IFERROR(INDEX(EmployeeData[Status], ROW() - 37), "")</f>
        <v/>
      </c>
    </row>
    <row r="1625" spans="2:10" ht="19.95" customHeight="1" x14ac:dyDescent="0.3">
      <c r="B1625" s="4" t="str" cm="1">
        <f t="array" ref="B1625">IFERROR(INDEX(EmployeeData[Employee ID], ROW() - 37), "")</f>
        <v/>
      </c>
      <c r="C1625" s="4" t="str" cm="1">
        <f t="array" ref="C1625">IFERROR(INDEX(EmployeeData[Full Name], ROW() - 37), "")</f>
        <v/>
      </c>
      <c r="D1625" s="4" t="str" cm="1">
        <f t="array" ref="D1625">IFERROR(INDEX(EmployeeData[Department], ROW() - 37), "")</f>
        <v/>
      </c>
      <c r="E1625" s="4" t="str" cm="1">
        <f t="array" ref="E1625">IFERROR(INDEX(EmployeeData[Gender], ROW() - 37), "")</f>
        <v/>
      </c>
      <c r="F1625" s="4" t="str" cm="1">
        <f t="array" ref="F1625">IFERROR(INDEX(EmployeeData[Age], ROW() - 37), "")</f>
        <v/>
      </c>
      <c r="G1625" s="6" t="str" cm="1">
        <f t="array" ref="G1625">IFERROR(INDEX(EmployeeData[Join Date], ROW() - 37), "")</f>
        <v/>
      </c>
      <c r="H1625" s="6" t="str" cm="1">
        <f t="array" ref="H1625">IFERROR(IF(INDEX(EmployeeData[Exit Date], ROW() - 37)=0, "",INDEX(EmployeeData[Exit Date], ROW() - 37)),"")</f>
        <v/>
      </c>
      <c r="I1625" s="4" t="str" cm="1">
        <f t="array" ref="I1625">IFERROR(IF(INDEX(EmployeeData[Exit Reason], ROW() - 37)=0, "",INDEX(EmployeeData[Exit Reason], ROW() - 37)),"")</f>
        <v/>
      </c>
      <c r="J1625" s="4" t="str" cm="1">
        <f t="array" ref="J1625">IFERROR(INDEX(EmployeeData[Status], ROW() - 37), "")</f>
        <v/>
      </c>
    </row>
    <row r="1626" spans="2:10" ht="19.95" customHeight="1" x14ac:dyDescent="0.3">
      <c r="B1626" s="4" t="str" cm="1">
        <f t="array" ref="B1626">IFERROR(INDEX(EmployeeData[Employee ID], ROW() - 37), "")</f>
        <v/>
      </c>
      <c r="C1626" s="4" t="str" cm="1">
        <f t="array" ref="C1626">IFERROR(INDEX(EmployeeData[Full Name], ROW() - 37), "")</f>
        <v/>
      </c>
      <c r="D1626" s="4" t="str" cm="1">
        <f t="array" ref="D1626">IFERROR(INDEX(EmployeeData[Department], ROW() - 37), "")</f>
        <v/>
      </c>
      <c r="E1626" s="4" t="str" cm="1">
        <f t="array" ref="E1626">IFERROR(INDEX(EmployeeData[Gender], ROW() - 37), "")</f>
        <v/>
      </c>
      <c r="F1626" s="4" t="str" cm="1">
        <f t="array" ref="F1626">IFERROR(INDEX(EmployeeData[Age], ROW() - 37), "")</f>
        <v/>
      </c>
      <c r="G1626" s="6" t="str" cm="1">
        <f t="array" ref="G1626">IFERROR(INDEX(EmployeeData[Join Date], ROW() - 37), "")</f>
        <v/>
      </c>
      <c r="H1626" s="6" t="str" cm="1">
        <f t="array" ref="H1626">IFERROR(IF(INDEX(EmployeeData[Exit Date], ROW() - 37)=0, "",INDEX(EmployeeData[Exit Date], ROW() - 37)),"")</f>
        <v/>
      </c>
      <c r="I1626" s="4" t="str" cm="1">
        <f t="array" ref="I1626">IFERROR(IF(INDEX(EmployeeData[Exit Reason], ROW() - 37)=0, "",INDEX(EmployeeData[Exit Reason], ROW() - 37)),"")</f>
        <v/>
      </c>
      <c r="J1626" s="4" t="str" cm="1">
        <f t="array" ref="J1626">IFERROR(INDEX(EmployeeData[Status], ROW() - 37), "")</f>
        <v/>
      </c>
    </row>
    <row r="1627" spans="2:10" ht="19.95" customHeight="1" x14ac:dyDescent="0.3">
      <c r="B1627" s="4" t="str" cm="1">
        <f t="array" ref="B1627">IFERROR(INDEX(EmployeeData[Employee ID], ROW() - 37), "")</f>
        <v/>
      </c>
      <c r="C1627" s="4" t="str" cm="1">
        <f t="array" ref="C1627">IFERROR(INDEX(EmployeeData[Full Name], ROW() - 37), "")</f>
        <v/>
      </c>
      <c r="D1627" s="4" t="str" cm="1">
        <f t="array" ref="D1627">IFERROR(INDEX(EmployeeData[Department], ROW() - 37), "")</f>
        <v/>
      </c>
      <c r="E1627" s="4" t="str" cm="1">
        <f t="array" ref="E1627">IFERROR(INDEX(EmployeeData[Gender], ROW() - 37), "")</f>
        <v/>
      </c>
      <c r="F1627" s="4" t="str" cm="1">
        <f t="array" ref="F1627">IFERROR(INDEX(EmployeeData[Age], ROW() - 37), "")</f>
        <v/>
      </c>
      <c r="G1627" s="6" t="str" cm="1">
        <f t="array" ref="G1627">IFERROR(INDEX(EmployeeData[Join Date], ROW() - 37), "")</f>
        <v/>
      </c>
      <c r="H1627" s="6" t="str" cm="1">
        <f t="array" ref="H1627">IFERROR(IF(INDEX(EmployeeData[Exit Date], ROW() - 37)=0, "",INDEX(EmployeeData[Exit Date], ROW() - 37)),"")</f>
        <v/>
      </c>
      <c r="I1627" s="4" t="str" cm="1">
        <f t="array" ref="I1627">IFERROR(IF(INDEX(EmployeeData[Exit Reason], ROW() - 37)=0, "",INDEX(EmployeeData[Exit Reason], ROW() - 37)),"")</f>
        <v/>
      </c>
      <c r="J1627" s="4" t="str" cm="1">
        <f t="array" ref="J1627">IFERROR(INDEX(EmployeeData[Status], ROW() - 37), "")</f>
        <v/>
      </c>
    </row>
    <row r="1628" spans="2:10" ht="19.95" customHeight="1" x14ac:dyDescent="0.3">
      <c r="B1628" s="4" t="str" cm="1">
        <f t="array" ref="B1628">IFERROR(INDEX(EmployeeData[Employee ID], ROW() - 37), "")</f>
        <v/>
      </c>
      <c r="C1628" s="4" t="str" cm="1">
        <f t="array" ref="C1628">IFERROR(INDEX(EmployeeData[Full Name], ROW() - 37), "")</f>
        <v/>
      </c>
      <c r="D1628" s="4" t="str" cm="1">
        <f t="array" ref="D1628">IFERROR(INDEX(EmployeeData[Department], ROW() - 37), "")</f>
        <v/>
      </c>
      <c r="E1628" s="4" t="str" cm="1">
        <f t="array" ref="E1628">IFERROR(INDEX(EmployeeData[Gender], ROW() - 37), "")</f>
        <v/>
      </c>
      <c r="F1628" s="4" t="str" cm="1">
        <f t="array" ref="F1628">IFERROR(INDEX(EmployeeData[Age], ROW() - 37), "")</f>
        <v/>
      </c>
      <c r="G1628" s="6" t="str" cm="1">
        <f t="array" ref="G1628">IFERROR(INDEX(EmployeeData[Join Date], ROW() - 37), "")</f>
        <v/>
      </c>
      <c r="H1628" s="6" t="str" cm="1">
        <f t="array" ref="H1628">IFERROR(IF(INDEX(EmployeeData[Exit Date], ROW() - 37)=0, "",INDEX(EmployeeData[Exit Date], ROW() - 37)),"")</f>
        <v/>
      </c>
      <c r="I1628" s="4" t="str" cm="1">
        <f t="array" ref="I1628">IFERROR(IF(INDEX(EmployeeData[Exit Reason], ROW() - 37)=0, "",INDEX(EmployeeData[Exit Reason], ROW() - 37)),"")</f>
        <v/>
      </c>
      <c r="J1628" s="4" t="str" cm="1">
        <f t="array" ref="J1628">IFERROR(INDEX(EmployeeData[Status], ROW() - 37), "")</f>
        <v/>
      </c>
    </row>
    <row r="1629" spans="2:10" ht="19.95" customHeight="1" x14ac:dyDescent="0.3">
      <c r="B1629" s="4" t="str" cm="1">
        <f t="array" ref="B1629">IFERROR(INDEX(EmployeeData[Employee ID], ROW() - 37), "")</f>
        <v/>
      </c>
      <c r="C1629" s="4" t="str" cm="1">
        <f t="array" ref="C1629">IFERROR(INDEX(EmployeeData[Full Name], ROW() - 37), "")</f>
        <v/>
      </c>
      <c r="D1629" s="4" t="str" cm="1">
        <f t="array" ref="D1629">IFERROR(INDEX(EmployeeData[Department], ROW() - 37), "")</f>
        <v/>
      </c>
      <c r="E1629" s="4" t="str" cm="1">
        <f t="array" ref="E1629">IFERROR(INDEX(EmployeeData[Gender], ROW() - 37), "")</f>
        <v/>
      </c>
      <c r="F1629" s="4" t="str" cm="1">
        <f t="array" ref="F1629">IFERROR(INDEX(EmployeeData[Age], ROW() - 37), "")</f>
        <v/>
      </c>
      <c r="G1629" s="6" t="str" cm="1">
        <f t="array" ref="G1629">IFERROR(INDEX(EmployeeData[Join Date], ROW() - 37), "")</f>
        <v/>
      </c>
      <c r="H1629" s="6" t="str" cm="1">
        <f t="array" ref="H1629">IFERROR(IF(INDEX(EmployeeData[Exit Date], ROW() - 37)=0, "",INDEX(EmployeeData[Exit Date], ROW() - 37)),"")</f>
        <v/>
      </c>
      <c r="I1629" s="4" t="str" cm="1">
        <f t="array" ref="I1629">IFERROR(IF(INDEX(EmployeeData[Exit Reason], ROW() - 37)=0, "",INDEX(EmployeeData[Exit Reason], ROW() - 37)),"")</f>
        <v/>
      </c>
      <c r="J1629" s="4" t="str" cm="1">
        <f t="array" ref="J1629">IFERROR(INDEX(EmployeeData[Status], ROW() - 37), "")</f>
        <v/>
      </c>
    </row>
    <row r="1630" spans="2:10" ht="19.95" customHeight="1" x14ac:dyDescent="0.3">
      <c r="B1630" s="4" t="str" cm="1">
        <f t="array" ref="B1630">IFERROR(INDEX(EmployeeData[Employee ID], ROW() - 37), "")</f>
        <v/>
      </c>
      <c r="C1630" s="4" t="str" cm="1">
        <f t="array" ref="C1630">IFERROR(INDEX(EmployeeData[Full Name], ROW() - 37), "")</f>
        <v/>
      </c>
      <c r="D1630" s="4" t="str" cm="1">
        <f t="array" ref="D1630">IFERROR(INDEX(EmployeeData[Department], ROW() - 37), "")</f>
        <v/>
      </c>
      <c r="E1630" s="4" t="str" cm="1">
        <f t="array" ref="E1630">IFERROR(INDEX(EmployeeData[Gender], ROW() - 37), "")</f>
        <v/>
      </c>
      <c r="F1630" s="4" t="str" cm="1">
        <f t="array" ref="F1630">IFERROR(INDEX(EmployeeData[Age], ROW() - 37), "")</f>
        <v/>
      </c>
      <c r="G1630" s="6" t="str" cm="1">
        <f t="array" ref="G1630">IFERROR(INDEX(EmployeeData[Join Date], ROW() - 37), "")</f>
        <v/>
      </c>
      <c r="H1630" s="6" t="str" cm="1">
        <f t="array" ref="H1630">IFERROR(IF(INDEX(EmployeeData[Exit Date], ROW() - 37)=0, "",INDEX(EmployeeData[Exit Date], ROW() - 37)),"")</f>
        <v/>
      </c>
      <c r="I1630" s="4" t="str" cm="1">
        <f t="array" ref="I1630">IFERROR(IF(INDEX(EmployeeData[Exit Reason], ROW() - 37)=0, "",INDEX(EmployeeData[Exit Reason], ROW() - 37)),"")</f>
        <v/>
      </c>
      <c r="J1630" s="4" t="str" cm="1">
        <f t="array" ref="J1630">IFERROR(INDEX(EmployeeData[Status], ROW() - 37), "")</f>
        <v/>
      </c>
    </row>
    <row r="1631" spans="2:10" ht="19.95" customHeight="1" x14ac:dyDescent="0.3">
      <c r="B1631" s="4" t="str" cm="1">
        <f t="array" ref="B1631">IFERROR(INDEX(EmployeeData[Employee ID], ROW() - 37), "")</f>
        <v/>
      </c>
      <c r="C1631" s="4" t="str" cm="1">
        <f t="array" ref="C1631">IFERROR(INDEX(EmployeeData[Full Name], ROW() - 37), "")</f>
        <v/>
      </c>
      <c r="D1631" s="4" t="str" cm="1">
        <f t="array" ref="D1631">IFERROR(INDEX(EmployeeData[Department], ROW() - 37), "")</f>
        <v/>
      </c>
      <c r="E1631" s="4" t="str" cm="1">
        <f t="array" ref="E1631">IFERROR(INDEX(EmployeeData[Gender], ROW() - 37), "")</f>
        <v/>
      </c>
      <c r="F1631" s="4" t="str" cm="1">
        <f t="array" ref="F1631">IFERROR(INDEX(EmployeeData[Age], ROW() - 37), "")</f>
        <v/>
      </c>
      <c r="G1631" s="6" t="str" cm="1">
        <f t="array" ref="G1631">IFERROR(INDEX(EmployeeData[Join Date], ROW() - 37), "")</f>
        <v/>
      </c>
      <c r="H1631" s="6" t="str" cm="1">
        <f t="array" ref="H1631">IFERROR(IF(INDEX(EmployeeData[Exit Date], ROW() - 37)=0, "",INDEX(EmployeeData[Exit Date], ROW() - 37)),"")</f>
        <v/>
      </c>
      <c r="I1631" s="4" t="str" cm="1">
        <f t="array" ref="I1631">IFERROR(IF(INDEX(EmployeeData[Exit Reason], ROW() - 37)=0, "",INDEX(EmployeeData[Exit Reason], ROW() - 37)),"")</f>
        <v/>
      </c>
      <c r="J1631" s="4" t="str" cm="1">
        <f t="array" ref="J1631">IFERROR(INDEX(EmployeeData[Status], ROW() - 37), "")</f>
        <v/>
      </c>
    </row>
    <row r="1632" spans="2:10" ht="19.95" customHeight="1" x14ac:dyDescent="0.3">
      <c r="B1632" s="4" t="str" cm="1">
        <f t="array" ref="B1632">IFERROR(INDEX(EmployeeData[Employee ID], ROW() - 37), "")</f>
        <v/>
      </c>
      <c r="C1632" s="4" t="str" cm="1">
        <f t="array" ref="C1632">IFERROR(INDEX(EmployeeData[Full Name], ROW() - 37), "")</f>
        <v/>
      </c>
      <c r="D1632" s="4" t="str" cm="1">
        <f t="array" ref="D1632">IFERROR(INDEX(EmployeeData[Department], ROW() - 37), "")</f>
        <v/>
      </c>
      <c r="E1632" s="4" t="str" cm="1">
        <f t="array" ref="E1632">IFERROR(INDEX(EmployeeData[Gender], ROW() - 37), "")</f>
        <v/>
      </c>
      <c r="F1632" s="4" t="str" cm="1">
        <f t="array" ref="F1632">IFERROR(INDEX(EmployeeData[Age], ROW() - 37), "")</f>
        <v/>
      </c>
      <c r="G1632" s="6" t="str" cm="1">
        <f t="array" ref="G1632">IFERROR(INDEX(EmployeeData[Join Date], ROW() - 37), "")</f>
        <v/>
      </c>
      <c r="H1632" s="6" t="str" cm="1">
        <f t="array" ref="H1632">IFERROR(IF(INDEX(EmployeeData[Exit Date], ROW() - 37)=0, "",INDEX(EmployeeData[Exit Date], ROW() - 37)),"")</f>
        <v/>
      </c>
      <c r="I1632" s="4" t="str" cm="1">
        <f t="array" ref="I1632">IFERROR(IF(INDEX(EmployeeData[Exit Reason], ROW() - 37)=0, "",INDEX(EmployeeData[Exit Reason], ROW() - 37)),"")</f>
        <v/>
      </c>
      <c r="J1632" s="4" t="str" cm="1">
        <f t="array" ref="J1632">IFERROR(INDEX(EmployeeData[Status], ROW() - 37), "")</f>
        <v/>
      </c>
    </row>
    <row r="1633" spans="2:10" ht="19.95" customHeight="1" x14ac:dyDescent="0.3">
      <c r="B1633" s="4" t="str" cm="1">
        <f t="array" ref="B1633">IFERROR(INDEX(EmployeeData[Employee ID], ROW() - 37), "")</f>
        <v/>
      </c>
      <c r="C1633" s="4" t="str" cm="1">
        <f t="array" ref="C1633">IFERROR(INDEX(EmployeeData[Full Name], ROW() - 37), "")</f>
        <v/>
      </c>
      <c r="D1633" s="4" t="str" cm="1">
        <f t="array" ref="D1633">IFERROR(INDEX(EmployeeData[Department], ROW() - 37), "")</f>
        <v/>
      </c>
      <c r="E1633" s="4" t="str" cm="1">
        <f t="array" ref="E1633">IFERROR(INDEX(EmployeeData[Gender], ROW() - 37), "")</f>
        <v/>
      </c>
      <c r="F1633" s="4" t="str" cm="1">
        <f t="array" ref="F1633">IFERROR(INDEX(EmployeeData[Age], ROW() - 37), "")</f>
        <v/>
      </c>
      <c r="G1633" s="6" t="str" cm="1">
        <f t="array" ref="G1633">IFERROR(INDEX(EmployeeData[Join Date], ROW() - 37), "")</f>
        <v/>
      </c>
      <c r="H1633" s="6" t="str" cm="1">
        <f t="array" ref="H1633">IFERROR(IF(INDEX(EmployeeData[Exit Date], ROW() - 37)=0, "",INDEX(EmployeeData[Exit Date], ROW() - 37)),"")</f>
        <v/>
      </c>
      <c r="I1633" s="4" t="str" cm="1">
        <f t="array" ref="I1633">IFERROR(IF(INDEX(EmployeeData[Exit Reason], ROW() - 37)=0, "",INDEX(EmployeeData[Exit Reason], ROW() - 37)),"")</f>
        <v/>
      </c>
      <c r="J1633" s="4" t="str" cm="1">
        <f t="array" ref="J1633">IFERROR(INDEX(EmployeeData[Status], ROW() - 37), "")</f>
        <v/>
      </c>
    </row>
    <row r="1634" spans="2:10" ht="19.95" customHeight="1" x14ac:dyDescent="0.3">
      <c r="B1634" s="4" t="str" cm="1">
        <f t="array" ref="B1634">IFERROR(INDEX(EmployeeData[Employee ID], ROW() - 37), "")</f>
        <v/>
      </c>
      <c r="C1634" s="4" t="str" cm="1">
        <f t="array" ref="C1634">IFERROR(INDEX(EmployeeData[Full Name], ROW() - 37), "")</f>
        <v/>
      </c>
      <c r="D1634" s="4" t="str" cm="1">
        <f t="array" ref="D1634">IFERROR(INDEX(EmployeeData[Department], ROW() - 37), "")</f>
        <v/>
      </c>
      <c r="E1634" s="4" t="str" cm="1">
        <f t="array" ref="E1634">IFERROR(INDEX(EmployeeData[Gender], ROW() - 37), "")</f>
        <v/>
      </c>
      <c r="F1634" s="4" t="str" cm="1">
        <f t="array" ref="F1634">IFERROR(INDEX(EmployeeData[Age], ROW() - 37), "")</f>
        <v/>
      </c>
      <c r="G1634" s="6" t="str" cm="1">
        <f t="array" ref="G1634">IFERROR(INDEX(EmployeeData[Join Date], ROW() - 37), "")</f>
        <v/>
      </c>
      <c r="H1634" s="6" t="str" cm="1">
        <f t="array" ref="H1634">IFERROR(IF(INDEX(EmployeeData[Exit Date], ROW() - 37)=0, "",INDEX(EmployeeData[Exit Date], ROW() - 37)),"")</f>
        <v/>
      </c>
      <c r="I1634" s="4" t="str" cm="1">
        <f t="array" ref="I1634">IFERROR(IF(INDEX(EmployeeData[Exit Reason], ROW() - 37)=0, "",INDEX(EmployeeData[Exit Reason], ROW() - 37)),"")</f>
        <v/>
      </c>
      <c r="J1634" s="4" t="str" cm="1">
        <f t="array" ref="J1634">IFERROR(INDEX(EmployeeData[Status], ROW() - 37), "")</f>
        <v/>
      </c>
    </row>
    <row r="1635" spans="2:10" ht="19.95" customHeight="1" x14ac:dyDescent="0.3">
      <c r="B1635" s="4" t="str" cm="1">
        <f t="array" ref="B1635">IFERROR(INDEX(EmployeeData[Employee ID], ROW() - 37), "")</f>
        <v/>
      </c>
      <c r="C1635" s="4" t="str" cm="1">
        <f t="array" ref="C1635">IFERROR(INDEX(EmployeeData[Full Name], ROW() - 37), "")</f>
        <v/>
      </c>
      <c r="D1635" s="4" t="str" cm="1">
        <f t="array" ref="D1635">IFERROR(INDEX(EmployeeData[Department], ROW() - 37), "")</f>
        <v/>
      </c>
      <c r="E1635" s="4" t="str" cm="1">
        <f t="array" ref="E1635">IFERROR(INDEX(EmployeeData[Gender], ROW() - 37), "")</f>
        <v/>
      </c>
      <c r="F1635" s="4" t="str" cm="1">
        <f t="array" ref="F1635">IFERROR(INDEX(EmployeeData[Age], ROW() - 37), "")</f>
        <v/>
      </c>
      <c r="G1635" s="6" t="str" cm="1">
        <f t="array" ref="G1635">IFERROR(INDEX(EmployeeData[Join Date], ROW() - 37), "")</f>
        <v/>
      </c>
      <c r="H1635" s="6" t="str" cm="1">
        <f t="array" ref="H1635">IFERROR(IF(INDEX(EmployeeData[Exit Date], ROW() - 37)=0, "",INDEX(EmployeeData[Exit Date], ROW() - 37)),"")</f>
        <v/>
      </c>
      <c r="I1635" s="4" t="str" cm="1">
        <f t="array" ref="I1635">IFERROR(IF(INDEX(EmployeeData[Exit Reason], ROW() - 37)=0, "",INDEX(EmployeeData[Exit Reason], ROW() - 37)),"")</f>
        <v/>
      </c>
      <c r="J1635" s="4" t="str" cm="1">
        <f t="array" ref="J1635">IFERROR(INDEX(EmployeeData[Status], ROW() - 37), "")</f>
        <v/>
      </c>
    </row>
    <row r="1636" spans="2:10" ht="19.95" customHeight="1" x14ac:dyDescent="0.3">
      <c r="B1636" s="4" t="str" cm="1">
        <f t="array" ref="B1636">IFERROR(INDEX(EmployeeData[Employee ID], ROW() - 37), "")</f>
        <v/>
      </c>
      <c r="C1636" s="4" t="str" cm="1">
        <f t="array" ref="C1636">IFERROR(INDEX(EmployeeData[Full Name], ROW() - 37), "")</f>
        <v/>
      </c>
      <c r="D1636" s="4" t="str" cm="1">
        <f t="array" ref="D1636">IFERROR(INDEX(EmployeeData[Department], ROW() - 37), "")</f>
        <v/>
      </c>
      <c r="E1636" s="4" t="str" cm="1">
        <f t="array" ref="E1636">IFERROR(INDEX(EmployeeData[Gender], ROW() - 37), "")</f>
        <v/>
      </c>
      <c r="F1636" s="4" t="str" cm="1">
        <f t="array" ref="F1636">IFERROR(INDEX(EmployeeData[Age], ROW() - 37), "")</f>
        <v/>
      </c>
      <c r="G1636" s="6" t="str" cm="1">
        <f t="array" ref="G1636">IFERROR(INDEX(EmployeeData[Join Date], ROW() - 37), "")</f>
        <v/>
      </c>
      <c r="H1636" s="6" t="str" cm="1">
        <f t="array" ref="H1636">IFERROR(IF(INDEX(EmployeeData[Exit Date], ROW() - 37)=0, "",INDEX(EmployeeData[Exit Date], ROW() - 37)),"")</f>
        <v/>
      </c>
      <c r="I1636" s="4" t="str" cm="1">
        <f t="array" ref="I1636">IFERROR(IF(INDEX(EmployeeData[Exit Reason], ROW() - 37)=0, "",INDEX(EmployeeData[Exit Reason], ROW() - 37)),"")</f>
        <v/>
      </c>
      <c r="J1636" s="4" t="str" cm="1">
        <f t="array" ref="J1636">IFERROR(INDEX(EmployeeData[Status], ROW() - 37), "")</f>
        <v/>
      </c>
    </row>
    <row r="1637" spans="2:10" ht="19.95" customHeight="1" x14ac:dyDescent="0.3">
      <c r="B1637" s="4" t="str" cm="1">
        <f t="array" ref="B1637">IFERROR(INDEX(EmployeeData[Employee ID], ROW() - 37), "")</f>
        <v/>
      </c>
      <c r="C1637" s="4" t="str" cm="1">
        <f t="array" ref="C1637">IFERROR(INDEX(EmployeeData[Full Name], ROW() - 37), "")</f>
        <v/>
      </c>
      <c r="D1637" s="4" t="str" cm="1">
        <f t="array" ref="D1637">IFERROR(INDEX(EmployeeData[Department], ROW() - 37), "")</f>
        <v/>
      </c>
      <c r="E1637" s="4" t="str" cm="1">
        <f t="array" ref="E1637">IFERROR(INDEX(EmployeeData[Gender], ROW() - 37), "")</f>
        <v/>
      </c>
      <c r="F1637" s="4" t="str" cm="1">
        <f t="array" ref="F1637">IFERROR(INDEX(EmployeeData[Age], ROW() - 37), "")</f>
        <v/>
      </c>
      <c r="G1637" s="6" t="str" cm="1">
        <f t="array" ref="G1637">IFERROR(INDEX(EmployeeData[Join Date], ROW() - 37), "")</f>
        <v/>
      </c>
      <c r="H1637" s="6" t="str" cm="1">
        <f t="array" ref="H1637">IFERROR(IF(INDEX(EmployeeData[Exit Date], ROW() - 37)=0, "",INDEX(EmployeeData[Exit Date], ROW() - 37)),"")</f>
        <v/>
      </c>
      <c r="I1637" s="4" t="str" cm="1">
        <f t="array" ref="I1637">IFERROR(IF(INDEX(EmployeeData[Exit Reason], ROW() - 37)=0, "",INDEX(EmployeeData[Exit Reason], ROW() - 37)),"")</f>
        <v/>
      </c>
      <c r="J1637" s="4" t="str" cm="1">
        <f t="array" ref="J1637">IFERROR(INDEX(EmployeeData[Status], ROW() - 37), "")</f>
        <v/>
      </c>
    </row>
    <row r="1638" spans="2:10" ht="19.95" customHeight="1" x14ac:dyDescent="0.3">
      <c r="B1638" s="4" t="str" cm="1">
        <f t="array" ref="B1638">IFERROR(INDEX(EmployeeData[Employee ID], ROW() - 37), "")</f>
        <v/>
      </c>
      <c r="C1638" s="4" t="str" cm="1">
        <f t="array" ref="C1638">IFERROR(INDEX(EmployeeData[Full Name], ROW() - 37), "")</f>
        <v/>
      </c>
      <c r="D1638" s="4" t="str" cm="1">
        <f t="array" ref="D1638">IFERROR(INDEX(EmployeeData[Department], ROW() - 37), "")</f>
        <v/>
      </c>
      <c r="E1638" s="4" t="str" cm="1">
        <f t="array" ref="E1638">IFERROR(INDEX(EmployeeData[Gender], ROW() - 37), "")</f>
        <v/>
      </c>
      <c r="F1638" s="4" t="str" cm="1">
        <f t="array" ref="F1638">IFERROR(INDEX(EmployeeData[Age], ROW() - 37), "")</f>
        <v/>
      </c>
      <c r="G1638" s="6" t="str" cm="1">
        <f t="array" ref="G1638">IFERROR(INDEX(EmployeeData[Join Date], ROW() - 37), "")</f>
        <v/>
      </c>
      <c r="H1638" s="6" t="str" cm="1">
        <f t="array" ref="H1638">IFERROR(IF(INDEX(EmployeeData[Exit Date], ROW() - 37)=0, "",INDEX(EmployeeData[Exit Date], ROW() - 37)),"")</f>
        <v/>
      </c>
      <c r="I1638" s="4" t="str" cm="1">
        <f t="array" ref="I1638">IFERROR(IF(INDEX(EmployeeData[Exit Reason], ROW() - 37)=0, "",INDEX(EmployeeData[Exit Reason], ROW() - 37)),"")</f>
        <v/>
      </c>
      <c r="J1638" s="4" t="str" cm="1">
        <f t="array" ref="J1638">IFERROR(INDEX(EmployeeData[Status], ROW() - 37), "")</f>
        <v/>
      </c>
    </row>
    <row r="1639" spans="2:10" ht="19.95" customHeight="1" x14ac:dyDescent="0.3">
      <c r="B1639" s="4" t="str" cm="1">
        <f t="array" ref="B1639">IFERROR(INDEX(EmployeeData[Employee ID], ROW() - 37), "")</f>
        <v/>
      </c>
      <c r="C1639" s="4" t="str" cm="1">
        <f t="array" ref="C1639">IFERROR(INDEX(EmployeeData[Full Name], ROW() - 37), "")</f>
        <v/>
      </c>
      <c r="D1639" s="4" t="str" cm="1">
        <f t="array" ref="D1639">IFERROR(INDEX(EmployeeData[Department], ROW() - 37), "")</f>
        <v/>
      </c>
      <c r="E1639" s="4" t="str" cm="1">
        <f t="array" ref="E1639">IFERROR(INDEX(EmployeeData[Gender], ROW() - 37), "")</f>
        <v/>
      </c>
      <c r="F1639" s="4" t="str" cm="1">
        <f t="array" ref="F1639">IFERROR(INDEX(EmployeeData[Age], ROW() - 37), "")</f>
        <v/>
      </c>
      <c r="G1639" s="6" t="str" cm="1">
        <f t="array" ref="G1639">IFERROR(INDEX(EmployeeData[Join Date], ROW() - 37), "")</f>
        <v/>
      </c>
      <c r="H1639" s="6" t="str" cm="1">
        <f t="array" ref="H1639">IFERROR(IF(INDEX(EmployeeData[Exit Date], ROW() - 37)=0, "",INDEX(EmployeeData[Exit Date], ROW() - 37)),"")</f>
        <v/>
      </c>
      <c r="I1639" s="4" t="str" cm="1">
        <f t="array" ref="I1639">IFERROR(IF(INDEX(EmployeeData[Exit Reason], ROW() - 37)=0, "",INDEX(EmployeeData[Exit Reason], ROW() - 37)),"")</f>
        <v/>
      </c>
      <c r="J1639" s="4" t="str" cm="1">
        <f t="array" ref="J1639">IFERROR(INDEX(EmployeeData[Status], ROW() - 37), "")</f>
        <v/>
      </c>
    </row>
    <row r="1640" spans="2:10" ht="19.95" customHeight="1" x14ac:dyDescent="0.3">
      <c r="B1640" s="4" t="str" cm="1">
        <f t="array" ref="B1640">IFERROR(INDEX(EmployeeData[Employee ID], ROW() - 37), "")</f>
        <v/>
      </c>
      <c r="C1640" s="4" t="str" cm="1">
        <f t="array" ref="C1640">IFERROR(INDEX(EmployeeData[Full Name], ROW() - 37), "")</f>
        <v/>
      </c>
      <c r="D1640" s="4" t="str" cm="1">
        <f t="array" ref="D1640">IFERROR(INDEX(EmployeeData[Department], ROW() - 37), "")</f>
        <v/>
      </c>
      <c r="E1640" s="4" t="str" cm="1">
        <f t="array" ref="E1640">IFERROR(INDEX(EmployeeData[Gender], ROW() - 37), "")</f>
        <v/>
      </c>
      <c r="F1640" s="4" t="str" cm="1">
        <f t="array" ref="F1640">IFERROR(INDEX(EmployeeData[Age], ROW() - 37), "")</f>
        <v/>
      </c>
      <c r="G1640" s="6" t="str" cm="1">
        <f t="array" ref="G1640">IFERROR(INDEX(EmployeeData[Join Date], ROW() - 37), "")</f>
        <v/>
      </c>
      <c r="H1640" s="6" t="str" cm="1">
        <f t="array" ref="H1640">IFERROR(IF(INDEX(EmployeeData[Exit Date], ROW() - 37)=0, "",INDEX(EmployeeData[Exit Date], ROW() - 37)),"")</f>
        <v/>
      </c>
      <c r="I1640" s="4" t="str" cm="1">
        <f t="array" ref="I1640">IFERROR(IF(INDEX(EmployeeData[Exit Reason], ROW() - 37)=0, "",INDEX(EmployeeData[Exit Reason], ROW() - 37)),"")</f>
        <v/>
      </c>
      <c r="J1640" s="4" t="str" cm="1">
        <f t="array" ref="J1640">IFERROR(INDEX(EmployeeData[Status], ROW() - 37), "")</f>
        <v/>
      </c>
    </row>
    <row r="1641" spans="2:10" ht="19.95" customHeight="1" x14ac:dyDescent="0.3">
      <c r="B1641" s="4" t="str" cm="1">
        <f t="array" ref="B1641">IFERROR(INDEX(EmployeeData[Employee ID], ROW() - 37), "")</f>
        <v/>
      </c>
      <c r="C1641" s="4" t="str" cm="1">
        <f t="array" ref="C1641">IFERROR(INDEX(EmployeeData[Full Name], ROW() - 37), "")</f>
        <v/>
      </c>
      <c r="D1641" s="4" t="str" cm="1">
        <f t="array" ref="D1641">IFERROR(INDEX(EmployeeData[Department], ROW() - 37), "")</f>
        <v/>
      </c>
      <c r="E1641" s="4" t="str" cm="1">
        <f t="array" ref="E1641">IFERROR(INDEX(EmployeeData[Gender], ROW() - 37), "")</f>
        <v/>
      </c>
      <c r="F1641" s="4" t="str" cm="1">
        <f t="array" ref="F1641">IFERROR(INDEX(EmployeeData[Age], ROW() - 37), "")</f>
        <v/>
      </c>
      <c r="G1641" s="6" t="str" cm="1">
        <f t="array" ref="G1641">IFERROR(INDEX(EmployeeData[Join Date], ROW() - 37), "")</f>
        <v/>
      </c>
      <c r="H1641" s="6" t="str" cm="1">
        <f t="array" ref="H1641">IFERROR(IF(INDEX(EmployeeData[Exit Date], ROW() - 37)=0, "",INDEX(EmployeeData[Exit Date], ROW() - 37)),"")</f>
        <v/>
      </c>
      <c r="I1641" s="4" t="str" cm="1">
        <f t="array" ref="I1641">IFERROR(IF(INDEX(EmployeeData[Exit Reason], ROW() - 37)=0, "",INDEX(EmployeeData[Exit Reason], ROW() - 37)),"")</f>
        <v/>
      </c>
      <c r="J1641" s="4" t="str" cm="1">
        <f t="array" ref="J1641">IFERROR(INDEX(EmployeeData[Status], ROW() - 37), "")</f>
        <v/>
      </c>
    </row>
    <row r="1642" spans="2:10" ht="19.95" customHeight="1" x14ac:dyDescent="0.3">
      <c r="B1642" s="4" t="str" cm="1">
        <f t="array" ref="B1642">IFERROR(INDEX(EmployeeData[Employee ID], ROW() - 37), "")</f>
        <v/>
      </c>
      <c r="C1642" s="4" t="str" cm="1">
        <f t="array" ref="C1642">IFERROR(INDEX(EmployeeData[Full Name], ROW() - 37), "")</f>
        <v/>
      </c>
      <c r="D1642" s="4" t="str" cm="1">
        <f t="array" ref="D1642">IFERROR(INDEX(EmployeeData[Department], ROW() - 37), "")</f>
        <v/>
      </c>
      <c r="E1642" s="4" t="str" cm="1">
        <f t="array" ref="E1642">IFERROR(INDEX(EmployeeData[Gender], ROW() - 37), "")</f>
        <v/>
      </c>
      <c r="F1642" s="4" t="str" cm="1">
        <f t="array" ref="F1642">IFERROR(INDEX(EmployeeData[Age], ROW() - 37), "")</f>
        <v/>
      </c>
      <c r="G1642" s="6" t="str" cm="1">
        <f t="array" ref="G1642">IFERROR(INDEX(EmployeeData[Join Date], ROW() - 37), "")</f>
        <v/>
      </c>
      <c r="H1642" s="6" t="str" cm="1">
        <f t="array" ref="H1642">IFERROR(IF(INDEX(EmployeeData[Exit Date], ROW() - 37)=0, "",INDEX(EmployeeData[Exit Date], ROW() - 37)),"")</f>
        <v/>
      </c>
      <c r="I1642" s="4" t="str" cm="1">
        <f t="array" ref="I1642">IFERROR(IF(INDEX(EmployeeData[Exit Reason], ROW() - 37)=0, "",INDEX(EmployeeData[Exit Reason], ROW() - 37)),"")</f>
        <v/>
      </c>
      <c r="J1642" s="4" t="str" cm="1">
        <f t="array" ref="J1642">IFERROR(INDEX(EmployeeData[Status], ROW() - 37), "")</f>
        <v/>
      </c>
    </row>
    <row r="1643" spans="2:10" ht="19.95" customHeight="1" x14ac:dyDescent="0.3">
      <c r="B1643" s="4" t="str" cm="1">
        <f t="array" ref="B1643">IFERROR(INDEX(EmployeeData[Employee ID], ROW() - 37), "")</f>
        <v/>
      </c>
      <c r="C1643" s="4" t="str" cm="1">
        <f t="array" ref="C1643">IFERROR(INDEX(EmployeeData[Full Name], ROW() - 37), "")</f>
        <v/>
      </c>
      <c r="D1643" s="4" t="str" cm="1">
        <f t="array" ref="D1643">IFERROR(INDEX(EmployeeData[Department], ROW() - 37), "")</f>
        <v/>
      </c>
      <c r="E1643" s="4" t="str" cm="1">
        <f t="array" ref="E1643">IFERROR(INDEX(EmployeeData[Gender], ROW() - 37), "")</f>
        <v/>
      </c>
      <c r="F1643" s="4" t="str" cm="1">
        <f t="array" ref="F1643">IFERROR(INDEX(EmployeeData[Age], ROW() - 37), "")</f>
        <v/>
      </c>
      <c r="G1643" s="6" t="str" cm="1">
        <f t="array" ref="G1643">IFERROR(INDEX(EmployeeData[Join Date], ROW() - 37), "")</f>
        <v/>
      </c>
      <c r="H1643" s="6" t="str" cm="1">
        <f t="array" ref="H1643">IFERROR(IF(INDEX(EmployeeData[Exit Date], ROW() - 37)=0, "",INDEX(EmployeeData[Exit Date], ROW() - 37)),"")</f>
        <v/>
      </c>
      <c r="I1643" s="4" t="str" cm="1">
        <f t="array" ref="I1643">IFERROR(IF(INDEX(EmployeeData[Exit Reason], ROW() - 37)=0, "",INDEX(EmployeeData[Exit Reason], ROW() - 37)),"")</f>
        <v/>
      </c>
      <c r="J1643" s="4" t="str" cm="1">
        <f t="array" ref="J1643">IFERROR(INDEX(EmployeeData[Status], ROW() - 37), "")</f>
        <v/>
      </c>
    </row>
    <row r="1644" spans="2:10" ht="19.95" customHeight="1" x14ac:dyDescent="0.3">
      <c r="B1644" s="4" t="str" cm="1">
        <f t="array" ref="B1644">IFERROR(INDEX(EmployeeData[Employee ID], ROW() - 37), "")</f>
        <v/>
      </c>
      <c r="C1644" s="4" t="str" cm="1">
        <f t="array" ref="C1644">IFERROR(INDEX(EmployeeData[Full Name], ROW() - 37), "")</f>
        <v/>
      </c>
      <c r="D1644" s="4" t="str" cm="1">
        <f t="array" ref="D1644">IFERROR(INDEX(EmployeeData[Department], ROW() - 37), "")</f>
        <v/>
      </c>
      <c r="E1644" s="4" t="str" cm="1">
        <f t="array" ref="E1644">IFERROR(INDEX(EmployeeData[Gender], ROW() - 37), "")</f>
        <v/>
      </c>
      <c r="F1644" s="4" t="str" cm="1">
        <f t="array" ref="F1644">IFERROR(INDEX(EmployeeData[Age], ROW() - 37), "")</f>
        <v/>
      </c>
      <c r="G1644" s="6" t="str" cm="1">
        <f t="array" ref="G1644">IFERROR(INDEX(EmployeeData[Join Date], ROW() - 37), "")</f>
        <v/>
      </c>
      <c r="H1644" s="6" t="str" cm="1">
        <f t="array" ref="H1644">IFERROR(IF(INDEX(EmployeeData[Exit Date], ROW() - 37)=0, "",INDEX(EmployeeData[Exit Date], ROW() - 37)),"")</f>
        <v/>
      </c>
      <c r="I1644" s="4" t="str" cm="1">
        <f t="array" ref="I1644">IFERROR(IF(INDEX(EmployeeData[Exit Reason], ROW() - 37)=0, "",INDEX(EmployeeData[Exit Reason], ROW() - 37)),"")</f>
        <v/>
      </c>
      <c r="J1644" s="4" t="str" cm="1">
        <f t="array" ref="J1644">IFERROR(INDEX(EmployeeData[Status], ROW() - 37), "")</f>
        <v/>
      </c>
    </row>
    <row r="1645" spans="2:10" ht="19.95" customHeight="1" x14ac:dyDescent="0.3">
      <c r="B1645" s="4" t="str" cm="1">
        <f t="array" ref="B1645">IFERROR(INDEX(EmployeeData[Employee ID], ROW() - 37), "")</f>
        <v/>
      </c>
      <c r="C1645" s="4" t="str" cm="1">
        <f t="array" ref="C1645">IFERROR(INDEX(EmployeeData[Full Name], ROW() - 37), "")</f>
        <v/>
      </c>
      <c r="D1645" s="4" t="str" cm="1">
        <f t="array" ref="D1645">IFERROR(INDEX(EmployeeData[Department], ROW() - 37), "")</f>
        <v/>
      </c>
      <c r="E1645" s="4" t="str" cm="1">
        <f t="array" ref="E1645">IFERROR(INDEX(EmployeeData[Gender], ROW() - 37), "")</f>
        <v/>
      </c>
      <c r="F1645" s="4" t="str" cm="1">
        <f t="array" ref="F1645">IFERROR(INDEX(EmployeeData[Age], ROW() - 37), "")</f>
        <v/>
      </c>
      <c r="G1645" s="6" t="str" cm="1">
        <f t="array" ref="G1645">IFERROR(INDEX(EmployeeData[Join Date], ROW() - 37), "")</f>
        <v/>
      </c>
      <c r="H1645" s="6" t="str" cm="1">
        <f t="array" ref="H1645">IFERROR(IF(INDEX(EmployeeData[Exit Date], ROW() - 37)=0, "",INDEX(EmployeeData[Exit Date], ROW() - 37)),"")</f>
        <v/>
      </c>
      <c r="I1645" s="4" t="str" cm="1">
        <f t="array" ref="I1645">IFERROR(IF(INDEX(EmployeeData[Exit Reason], ROW() - 37)=0, "",INDEX(EmployeeData[Exit Reason], ROW() - 37)),"")</f>
        <v/>
      </c>
      <c r="J1645" s="4" t="str" cm="1">
        <f t="array" ref="J1645">IFERROR(INDEX(EmployeeData[Status], ROW() - 37), "")</f>
        <v/>
      </c>
    </row>
    <row r="1646" spans="2:10" ht="19.95" customHeight="1" x14ac:dyDescent="0.3">
      <c r="B1646" s="4" t="str" cm="1">
        <f t="array" ref="B1646">IFERROR(INDEX(EmployeeData[Employee ID], ROW() - 37), "")</f>
        <v/>
      </c>
      <c r="C1646" s="4" t="str" cm="1">
        <f t="array" ref="C1646">IFERROR(INDEX(EmployeeData[Full Name], ROW() - 37), "")</f>
        <v/>
      </c>
      <c r="D1646" s="4" t="str" cm="1">
        <f t="array" ref="D1646">IFERROR(INDEX(EmployeeData[Department], ROW() - 37), "")</f>
        <v/>
      </c>
      <c r="E1646" s="4" t="str" cm="1">
        <f t="array" ref="E1646">IFERROR(INDEX(EmployeeData[Gender], ROW() - 37), "")</f>
        <v/>
      </c>
      <c r="F1646" s="4" t="str" cm="1">
        <f t="array" ref="F1646">IFERROR(INDEX(EmployeeData[Age], ROW() - 37), "")</f>
        <v/>
      </c>
      <c r="G1646" s="6" t="str" cm="1">
        <f t="array" ref="G1646">IFERROR(INDEX(EmployeeData[Join Date], ROW() - 37), "")</f>
        <v/>
      </c>
      <c r="H1646" s="6" t="str" cm="1">
        <f t="array" ref="H1646">IFERROR(IF(INDEX(EmployeeData[Exit Date], ROW() - 37)=0, "",INDEX(EmployeeData[Exit Date], ROW() - 37)),"")</f>
        <v/>
      </c>
      <c r="I1646" s="4" t="str" cm="1">
        <f t="array" ref="I1646">IFERROR(IF(INDEX(EmployeeData[Exit Reason], ROW() - 37)=0, "",INDEX(EmployeeData[Exit Reason], ROW() - 37)),"")</f>
        <v/>
      </c>
      <c r="J1646" s="4" t="str" cm="1">
        <f t="array" ref="J1646">IFERROR(INDEX(EmployeeData[Status], ROW() - 37), "")</f>
        <v/>
      </c>
    </row>
    <row r="1647" spans="2:10" ht="19.95" customHeight="1" x14ac:dyDescent="0.3">
      <c r="B1647" s="4" t="str" cm="1">
        <f t="array" ref="B1647">IFERROR(INDEX(EmployeeData[Employee ID], ROW() - 37), "")</f>
        <v/>
      </c>
      <c r="C1647" s="4" t="str" cm="1">
        <f t="array" ref="C1647">IFERROR(INDEX(EmployeeData[Full Name], ROW() - 37), "")</f>
        <v/>
      </c>
      <c r="D1647" s="4" t="str" cm="1">
        <f t="array" ref="D1647">IFERROR(INDEX(EmployeeData[Department], ROW() - 37), "")</f>
        <v/>
      </c>
      <c r="E1647" s="4" t="str" cm="1">
        <f t="array" ref="E1647">IFERROR(INDEX(EmployeeData[Gender], ROW() - 37), "")</f>
        <v/>
      </c>
      <c r="F1647" s="4" t="str" cm="1">
        <f t="array" ref="F1647">IFERROR(INDEX(EmployeeData[Age], ROW() - 37), "")</f>
        <v/>
      </c>
      <c r="G1647" s="6" t="str" cm="1">
        <f t="array" ref="G1647">IFERROR(INDEX(EmployeeData[Join Date], ROW() - 37), "")</f>
        <v/>
      </c>
      <c r="H1647" s="6" t="str" cm="1">
        <f t="array" ref="H1647">IFERROR(IF(INDEX(EmployeeData[Exit Date], ROW() - 37)=0, "",INDEX(EmployeeData[Exit Date], ROW() - 37)),"")</f>
        <v/>
      </c>
      <c r="I1647" s="4" t="str" cm="1">
        <f t="array" ref="I1647">IFERROR(IF(INDEX(EmployeeData[Exit Reason], ROW() - 37)=0, "",INDEX(EmployeeData[Exit Reason], ROW() - 37)),"")</f>
        <v/>
      </c>
      <c r="J1647" s="4" t="str" cm="1">
        <f t="array" ref="J1647">IFERROR(INDEX(EmployeeData[Status], ROW() - 37), "")</f>
        <v/>
      </c>
    </row>
    <row r="1648" spans="2:10" ht="19.95" customHeight="1" x14ac:dyDescent="0.3">
      <c r="B1648" s="4" t="str" cm="1">
        <f t="array" ref="B1648">IFERROR(INDEX(EmployeeData[Employee ID], ROW() - 37), "")</f>
        <v/>
      </c>
      <c r="C1648" s="4" t="str" cm="1">
        <f t="array" ref="C1648">IFERROR(INDEX(EmployeeData[Full Name], ROW() - 37), "")</f>
        <v/>
      </c>
      <c r="D1648" s="4" t="str" cm="1">
        <f t="array" ref="D1648">IFERROR(INDEX(EmployeeData[Department], ROW() - 37), "")</f>
        <v/>
      </c>
      <c r="E1648" s="4" t="str" cm="1">
        <f t="array" ref="E1648">IFERROR(INDEX(EmployeeData[Gender], ROW() - 37), "")</f>
        <v/>
      </c>
      <c r="F1648" s="4" t="str" cm="1">
        <f t="array" ref="F1648">IFERROR(INDEX(EmployeeData[Age], ROW() - 37), "")</f>
        <v/>
      </c>
      <c r="G1648" s="6" t="str" cm="1">
        <f t="array" ref="G1648">IFERROR(INDEX(EmployeeData[Join Date], ROW() - 37), "")</f>
        <v/>
      </c>
      <c r="H1648" s="6" t="str" cm="1">
        <f t="array" ref="H1648">IFERROR(IF(INDEX(EmployeeData[Exit Date], ROW() - 37)=0, "",INDEX(EmployeeData[Exit Date], ROW() - 37)),"")</f>
        <v/>
      </c>
      <c r="I1648" s="4" t="str" cm="1">
        <f t="array" ref="I1648">IFERROR(IF(INDEX(EmployeeData[Exit Reason], ROW() - 37)=0, "",INDEX(EmployeeData[Exit Reason], ROW() - 37)),"")</f>
        <v/>
      </c>
      <c r="J1648" s="4" t="str" cm="1">
        <f t="array" ref="J1648">IFERROR(INDEX(EmployeeData[Status], ROW() - 37), "")</f>
        <v/>
      </c>
    </row>
    <row r="1649" spans="2:10" ht="19.95" customHeight="1" x14ac:dyDescent="0.3">
      <c r="B1649" s="4" t="str" cm="1">
        <f t="array" ref="B1649">IFERROR(INDEX(EmployeeData[Employee ID], ROW() - 37), "")</f>
        <v/>
      </c>
      <c r="C1649" s="4" t="str" cm="1">
        <f t="array" ref="C1649">IFERROR(INDEX(EmployeeData[Full Name], ROW() - 37), "")</f>
        <v/>
      </c>
      <c r="D1649" s="4" t="str" cm="1">
        <f t="array" ref="D1649">IFERROR(INDEX(EmployeeData[Department], ROW() - 37), "")</f>
        <v/>
      </c>
      <c r="E1649" s="4" t="str" cm="1">
        <f t="array" ref="E1649">IFERROR(INDEX(EmployeeData[Gender], ROW() - 37), "")</f>
        <v/>
      </c>
      <c r="F1649" s="4" t="str" cm="1">
        <f t="array" ref="F1649">IFERROR(INDEX(EmployeeData[Age], ROW() - 37), "")</f>
        <v/>
      </c>
      <c r="G1649" s="6" t="str" cm="1">
        <f t="array" ref="G1649">IFERROR(INDEX(EmployeeData[Join Date], ROW() - 37), "")</f>
        <v/>
      </c>
      <c r="H1649" s="6" t="str" cm="1">
        <f t="array" ref="H1649">IFERROR(IF(INDEX(EmployeeData[Exit Date], ROW() - 37)=0, "",INDEX(EmployeeData[Exit Date], ROW() - 37)),"")</f>
        <v/>
      </c>
      <c r="I1649" s="4" t="str" cm="1">
        <f t="array" ref="I1649">IFERROR(IF(INDEX(EmployeeData[Exit Reason], ROW() - 37)=0, "",INDEX(EmployeeData[Exit Reason], ROW() - 37)),"")</f>
        <v/>
      </c>
      <c r="J1649" s="4" t="str" cm="1">
        <f t="array" ref="J1649">IFERROR(INDEX(EmployeeData[Status], ROW() - 37), "")</f>
        <v/>
      </c>
    </row>
    <row r="1650" spans="2:10" ht="19.95" customHeight="1" x14ac:dyDescent="0.3">
      <c r="B1650" s="4" t="str" cm="1">
        <f t="array" ref="B1650">IFERROR(INDEX(EmployeeData[Employee ID], ROW() - 37), "")</f>
        <v/>
      </c>
      <c r="C1650" s="4" t="str" cm="1">
        <f t="array" ref="C1650">IFERROR(INDEX(EmployeeData[Full Name], ROW() - 37), "")</f>
        <v/>
      </c>
      <c r="D1650" s="4" t="str" cm="1">
        <f t="array" ref="D1650">IFERROR(INDEX(EmployeeData[Department], ROW() - 37), "")</f>
        <v/>
      </c>
      <c r="E1650" s="4" t="str" cm="1">
        <f t="array" ref="E1650">IFERROR(INDEX(EmployeeData[Gender], ROW() - 37), "")</f>
        <v/>
      </c>
      <c r="F1650" s="4" t="str" cm="1">
        <f t="array" ref="F1650">IFERROR(INDEX(EmployeeData[Age], ROW() - 37), "")</f>
        <v/>
      </c>
      <c r="G1650" s="6" t="str" cm="1">
        <f t="array" ref="G1650">IFERROR(INDEX(EmployeeData[Join Date], ROW() - 37), "")</f>
        <v/>
      </c>
      <c r="H1650" s="6" t="str" cm="1">
        <f t="array" ref="H1650">IFERROR(IF(INDEX(EmployeeData[Exit Date], ROW() - 37)=0, "",INDEX(EmployeeData[Exit Date], ROW() - 37)),"")</f>
        <v/>
      </c>
      <c r="I1650" s="4" t="str" cm="1">
        <f t="array" ref="I1650">IFERROR(IF(INDEX(EmployeeData[Exit Reason], ROW() - 37)=0, "",INDEX(EmployeeData[Exit Reason], ROW() - 37)),"")</f>
        <v/>
      </c>
      <c r="J1650" s="4" t="str" cm="1">
        <f t="array" ref="J1650">IFERROR(INDEX(EmployeeData[Status], ROW() - 37), "")</f>
        <v/>
      </c>
    </row>
    <row r="1651" spans="2:10" ht="19.95" customHeight="1" x14ac:dyDescent="0.3">
      <c r="B1651" s="4" t="str" cm="1">
        <f t="array" ref="B1651">IFERROR(INDEX(EmployeeData[Employee ID], ROW() - 37), "")</f>
        <v/>
      </c>
      <c r="C1651" s="4" t="str" cm="1">
        <f t="array" ref="C1651">IFERROR(INDEX(EmployeeData[Full Name], ROW() - 37), "")</f>
        <v/>
      </c>
      <c r="D1651" s="4" t="str" cm="1">
        <f t="array" ref="D1651">IFERROR(INDEX(EmployeeData[Department], ROW() - 37), "")</f>
        <v/>
      </c>
      <c r="E1651" s="4" t="str" cm="1">
        <f t="array" ref="E1651">IFERROR(INDEX(EmployeeData[Gender], ROW() - 37), "")</f>
        <v/>
      </c>
      <c r="F1651" s="4" t="str" cm="1">
        <f t="array" ref="F1651">IFERROR(INDEX(EmployeeData[Age], ROW() - 37), "")</f>
        <v/>
      </c>
      <c r="G1651" s="6" t="str" cm="1">
        <f t="array" ref="G1651">IFERROR(INDEX(EmployeeData[Join Date], ROW() - 37), "")</f>
        <v/>
      </c>
      <c r="H1651" s="6" t="str" cm="1">
        <f t="array" ref="H1651">IFERROR(IF(INDEX(EmployeeData[Exit Date], ROW() - 37)=0, "",INDEX(EmployeeData[Exit Date], ROW() - 37)),"")</f>
        <v/>
      </c>
      <c r="I1651" s="4" t="str" cm="1">
        <f t="array" ref="I1651">IFERROR(IF(INDEX(EmployeeData[Exit Reason], ROW() - 37)=0, "",INDEX(EmployeeData[Exit Reason], ROW() - 37)),"")</f>
        <v/>
      </c>
      <c r="J1651" s="4" t="str" cm="1">
        <f t="array" ref="J1651">IFERROR(INDEX(EmployeeData[Status], ROW() - 37), "")</f>
        <v/>
      </c>
    </row>
    <row r="1652" spans="2:10" ht="19.95" customHeight="1" x14ac:dyDescent="0.3">
      <c r="B1652" s="4" t="str" cm="1">
        <f t="array" ref="B1652">IFERROR(INDEX(EmployeeData[Employee ID], ROW() - 37), "")</f>
        <v/>
      </c>
      <c r="C1652" s="4" t="str" cm="1">
        <f t="array" ref="C1652">IFERROR(INDEX(EmployeeData[Full Name], ROW() - 37), "")</f>
        <v/>
      </c>
      <c r="D1652" s="4" t="str" cm="1">
        <f t="array" ref="D1652">IFERROR(INDEX(EmployeeData[Department], ROW() - 37), "")</f>
        <v/>
      </c>
      <c r="E1652" s="4" t="str" cm="1">
        <f t="array" ref="E1652">IFERROR(INDEX(EmployeeData[Gender], ROW() - 37), "")</f>
        <v/>
      </c>
      <c r="F1652" s="4" t="str" cm="1">
        <f t="array" ref="F1652">IFERROR(INDEX(EmployeeData[Age], ROW() - 37), "")</f>
        <v/>
      </c>
      <c r="G1652" s="6" t="str" cm="1">
        <f t="array" ref="G1652">IFERROR(INDEX(EmployeeData[Join Date], ROW() - 37), "")</f>
        <v/>
      </c>
      <c r="H1652" s="6" t="str" cm="1">
        <f t="array" ref="H1652">IFERROR(IF(INDEX(EmployeeData[Exit Date], ROW() - 37)=0, "",INDEX(EmployeeData[Exit Date], ROW() - 37)),"")</f>
        <v/>
      </c>
      <c r="I1652" s="4" t="str" cm="1">
        <f t="array" ref="I1652">IFERROR(IF(INDEX(EmployeeData[Exit Reason], ROW() - 37)=0, "",INDEX(EmployeeData[Exit Reason], ROW() - 37)),"")</f>
        <v/>
      </c>
      <c r="J1652" s="4" t="str" cm="1">
        <f t="array" ref="J1652">IFERROR(INDEX(EmployeeData[Status], ROW() - 37), "")</f>
        <v/>
      </c>
    </row>
    <row r="1653" spans="2:10" ht="19.95" customHeight="1" x14ac:dyDescent="0.3">
      <c r="B1653" s="4" t="str" cm="1">
        <f t="array" ref="B1653">IFERROR(INDEX(EmployeeData[Employee ID], ROW() - 37), "")</f>
        <v/>
      </c>
      <c r="C1653" s="4" t="str" cm="1">
        <f t="array" ref="C1653">IFERROR(INDEX(EmployeeData[Full Name], ROW() - 37), "")</f>
        <v/>
      </c>
      <c r="D1653" s="4" t="str" cm="1">
        <f t="array" ref="D1653">IFERROR(INDEX(EmployeeData[Department], ROW() - 37), "")</f>
        <v/>
      </c>
      <c r="E1653" s="4" t="str" cm="1">
        <f t="array" ref="E1653">IFERROR(INDEX(EmployeeData[Gender], ROW() - 37), "")</f>
        <v/>
      </c>
      <c r="F1653" s="4" t="str" cm="1">
        <f t="array" ref="F1653">IFERROR(INDEX(EmployeeData[Age], ROW() - 37), "")</f>
        <v/>
      </c>
      <c r="G1653" s="6" t="str" cm="1">
        <f t="array" ref="G1653">IFERROR(INDEX(EmployeeData[Join Date], ROW() - 37), "")</f>
        <v/>
      </c>
      <c r="H1653" s="6" t="str" cm="1">
        <f t="array" ref="H1653">IFERROR(IF(INDEX(EmployeeData[Exit Date], ROW() - 37)=0, "",INDEX(EmployeeData[Exit Date], ROW() - 37)),"")</f>
        <v/>
      </c>
      <c r="I1653" s="4" t="str" cm="1">
        <f t="array" ref="I1653">IFERROR(IF(INDEX(EmployeeData[Exit Reason], ROW() - 37)=0, "",INDEX(EmployeeData[Exit Reason], ROW() - 37)),"")</f>
        <v/>
      </c>
      <c r="J1653" s="4" t="str" cm="1">
        <f t="array" ref="J1653">IFERROR(INDEX(EmployeeData[Status], ROW() - 37), "")</f>
        <v/>
      </c>
    </row>
    <row r="1654" spans="2:10" ht="19.95" customHeight="1" x14ac:dyDescent="0.3">
      <c r="B1654" s="4" t="str" cm="1">
        <f t="array" ref="B1654">IFERROR(INDEX(EmployeeData[Employee ID], ROW() - 37), "")</f>
        <v/>
      </c>
      <c r="C1654" s="4" t="str" cm="1">
        <f t="array" ref="C1654">IFERROR(INDEX(EmployeeData[Full Name], ROW() - 37), "")</f>
        <v/>
      </c>
      <c r="D1654" s="4" t="str" cm="1">
        <f t="array" ref="D1654">IFERROR(INDEX(EmployeeData[Department], ROW() - 37), "")</f>
        <v/>
      </c>
      <c r="E1654" s="4" t="str" cm="1">
        <f t="array" ref="E1654">IFERROR(INDEX(EmployeeData[Gender], ROW() - 37), "")</f>
        <v/>
      </c>
      <c r="F1654" s="4" t="str" cm="1">
        <f t="array" ref="F1654">IFERROR(INDEX(EmployeeData[Age], ROW() - 37), "")</f>
        <v/>
      </c>
      <c r="G1654" s="6" t="str" cm="1">
        <f t="array" ref="G1654">IFERROR(INDEX(EmployeeData[Join Date], ROW() - 37), "")</f>
        <v/>
      </c>
      <c r="H1654" s="6" t="str" cm="1">
        <f t="array" ref="H1654">IFERROR(IF(INDEX(EmployeeData[Exit Date], ROW() - 37)=0, "",INDEX(EmployeeData[Exit Date], ROW() - 37)),"")</f>
        <v/>
      </c>
      <c r="I1654" s="4" t="str" cm="1">
        <f t="array" ref="I1654">IFERROR(IF(INDEX(EmployeeData[Exit Reason], ROW() - 37)=0, "",INDEX(EmployeeData[Exit Reason], ROW() - 37)),"")</f>
        <v/>
      </c>
      <c r="J1654" s="4" t="str" cm="1">
        <f t="array" ref="J1654">IFERROR(INDEX(EmployeeData[Status], ROW() - 37), "")</f>
        <v/>
      </c>
    </row>
    <row r="1655" spans="2:10" ht="19.95" customHeight="1" x14ac:dyDescent="0.3">
      <c r="B1655" s="4" t="str" cm="1">
        <f t="array" ref="B1655">IFERROR(INDEX(EmployeeData[Employee ID], ROW() - 37), "")</f>
        <v/>
      </c>
      <c r="C1655" s="4" t="str" cm="1">
        <f t="array" ref="C1655">IFERROR(INDEX(EmployeeData[Full Name], ROW() - 37), "")</f>
        <v/>
      </c>
      <c r="D1655" s="4" t="str" cm="1">
        <f t="array" ref="D1655">IFERROR(INDEX(EmployeeData[Department], ROW() - 37), "")</f>
        <v/>
      </c>
      <c r="E1655" s="4" t="str" cm="1">
        <f t="array" ref="E1655">IFERROR(INDEX(EmployeeData[Gender], ROW() - 37), "")</f>
        <v/>
      </c>
      <c r="F1655" s="4" t="str" cm="1">
        <f t="array" ref="F1655">IFERROR(INDEX(EmployeeData[Age], ROW() - 37), "")</f>
        <v/>
      </c>
      <c r="G1655" s="6" t="str" cm="1">
        <f t="array" ref="G1655">IFERROR(INDEX(EmployeeData[Join Date], ROW() - 37), "")</f>
        <v/>
      </c>
      <c r="H1655" s="6" t="str" cm="1">
        <f t="array" ref="H1655">IFERROR(IF(INDEX(EmployeeData[Exit Date], ROW() - 37)=0, "",INDEX(EmployeeData[Exit Date], ROW() - 37)),"")</f>
        <v/>
      </c>
      <c r="I1655" s="4" t="str" cm="1">
        <f t="array" ref="I1655">IFERROR(IF(INDEX(EmployeeData[Exit Reason], ROW() - 37)=0, "",INDEX(EmployeeData[Exit Reason], ROW() - 37)),"")</f>
        <v/>
      </c>
      <c r="J1655" s="4" t="str" cm="1">
        <f t="array" ref="J1655">IFERROR(INDEX(EmployeeData[Status], ROW() - 37), "")</f>
        <v/>
      </c>
    </row>
    <row r="1656" spans="2:10" ht="19.95" customHeight="1" x14ac:dyDescent="0.3">
      <c r="B1656" s="4" t="str" cm="1">
        <f t="array" ref="B1656">IFERROR(INDEX(EmployeeData[Employee ID], ROW() - 37), "")</f>
        <v/>
      </c>
      <c r="C1656" s="4" t="str" cm="1">
        <f t="array" ref="C1656">IFERROR(INDEX(EmployeeData[Full Name], ROW() - 37), "")</f>
        <v/>
      </c>
      <c r="D1656" s="4" t="str" cm="1">
        <f t="array" ref="D1656">IFERROR(INDEX(EmployeeData[Department], ROW() - 37), "")</f>
        <v/>
      </c>
      <c r="E1656" s="4" t="str" cm="1">
        <f t="array" ref="E1656">IFERROR(INDEX(EmployeeData[Gender], ROW() - 37), "")</f>
        <v/>
      </c>
      <c r="F1656" s="4" t="str" cm="1">
        <f t="array" ref="F1656">IFERROR(INDEX(EmployeeData[Age], ROW() - 37), "")</f>
        <v/>
      </c>
      <c r="G1656" s="6" t="str" cm="1">
        <f t="array" ref="G1656">IFERROR(INDEX(EmployeeData[Join Date], ROW() - 37), "")</f>
        <v/>
      </c>
      <c r="H1656" s="6" t="str" cm="1">
        <f t="array" ref="H1656">IFERROR(IF(INDEX(EmployeeData[Exit Date], ROW() - 37)=0, "",INDEX(EmployeeData[Exit Date], ROW() - 37)),"")</f>
        <v/>
      </c>
      <c r="I1656" s="4" t="str" cm="1">
        <f t="array" ref="I1656">IFERROR(IF(INDEX(EmployeeData[Exit Reason], ROW() - 37)=0, "",INDEX(EmployeeData[Exit Reason], ROW() - 37)),"")</f>
        <v/>
      </c>
      <c r="J1656" s="4" t="str" cm="1">
        <f t="array" ref="J1656">IFERROR(INDEX(EmployeeData[Status], ROW() - 37), "")</f>
        <v/>
      </c>
    </row>
    <row r="1657" spans="2:10" ht="19.95" customHeight="1" x14ac:dyDescent="0.3">
      <c r="B1657" s="4" t="str" cm="1">
        <f t="array" ref="B1657">IFERROR(INDEX(EmployeeData[Employee ID], ROW() - 37), "")</f>
        <v/>
      </c>
      <c r="C1657" s="4" t="str" cm="1">
        <f t="array" ref="C1657">IFERROR(INDEX(EmployeeData[Full Name], ROW() - 37), "")</f>
        <v/>
      </c>
      <c r="D1657" s="4" t="str" cm="1">
        <f t="array" ref="D1657">IFERROR(INDEX(EmployeeData[Department], ROW() - 37), "")</f>
        <v/>
      </c>
      <c r="E1657" s="4" t="str" cm="1">
        <f t="array" ref="E1657">IFERROR(INDEX(EmployeeData[Gender], ROW() - 37), "")</f>
        <v/>
      </c>
      <c r="F1657" s="4" t="str" cm="1">
        <f t="array" ref="F1657">IFERROR(INDEX(EmployeeData[Age], ROW() - 37), "")</f>
        <v/>
      </c>
      <c r="G1657" s="6" t="str" cm="1">
        <f t="array" ref="G1657">IFERROR(INDEX(EmployeeData[Join Date], ROW() - 37), "")</f>
        <v/>
      </c>
      <c r="H1657" s="6" t="str" cm="1">
        <f t="array" ref="H1657">IFERROR(IF(INDEX(EmployeeData[Exit Date], ROW() - 37)=0, "",INDEX(EmployeeData[Exit Date], ROW() - 37)),"")</f>
        <v/>
      </c>
      <c r="I1657" s="4" t="str" cm="1">
        <f t="array" ref="I1657">IFERROR(IF(INDEX(EmployeeData[Exit Reason], ROW() - 37)=0, "",INDEX(EmployeeData[Exit Reason], ROW() - 37)),"")</f>
        <v/>
      </c>
      <c r="J1657" s="4" t="str" cm="1">
        <f t="array" ref="J1657">IFERROR(INDEX(EmployeeData[Status], ROW() - 37), "")</f>
        <v/>
      </c>
    </row>
    <row r="1658" spans="2:10" ht="19.95" customHeight="1" x14ac:dyDescent="0.3">
      <c r="B1658" s="4" t="str" cm="1">
        <f t="array" ref="B1658">IFERROR(INDEX(EmployeeData[Employee ID], ROW() - 37), "")</f>
        <v/>
      </c>
      <c r="C1658" s="4" t="str" cm="1">
        <f t="array" ref="C1658">IFERROR(INDEX(EmployeeData[Full Name], ROW() - 37), "")</f>
        <v/>
      </c>
      <c r="D1658" s="4" t="str" cm="1">
        <f t="array" ref="D1658">IFERROR(INDEX(EmployeeData[Department], ROW() - 37), "")</f>
        <v/>
      </c>
      <c r="E1658" s="4" t="str" cm="1">
        <f t="array" ref="E1658">IFERROR(INDEX(EmployeeData[Gender], ROW() - 37), "")</f>
        <v/>
      </c>
      <c r="F1658" s="4" t="str" cm="1">
        <f t="array" ref="F1658">IFERROR(INDEX(EmployeeData[Age], ROW() - 37), "")</f>
        <v/>
      </c>
      <c r="G1658" s="6" t="str" cm="1">
        <f t="array" ref="G1658">IFERROR(INDEX(EmployeeData[Join Date], ROW() - 37), "")</f>
        <v/>
      </c>
      <c r="H1658" s="6" t="str" cm="1">
        <f t="array" ref="H1658">IFERROR(IF(INDEX(EmployeeData[Exit Date], ROW() - 37)=0, "",INDEX(EmployeeData[Exit Date], ROW() - 37)),"")</f>
        <v/>
      </c>
      <c r="I1658" s="4" t="str" cm="1">
        <f t="array" ref="I1658">IFERROR(IF(INDEX(EmployeeData[Exit Reason], ROW() - 37)=0, "",INDEX(EmployeeData[Exit Reason], ROW() - 37)),"")</f>
        <v/>
      </c>
      <c r="J1658" s="4" t="str" cm="1">
        <f t="array" ref="J1658">IFERROR(INDEX(EmployeeData[Status], ROW() - 37), "")</f>
        <v/>
      </c>
    </row>
    <row r="1659" spans="2:10" ht="19.95" customHeight="1" x14ac:dyDescent="0.3">
      <c r="B1659" s="4" t="str" cm="1">
        <f t="array" ref="B1659">IFERROR(INDEX(EmployeeData[Employee ID], ROW() - 37), "")</f>
        <v/>
      </c>
      <c r="C1659" s="4" t="str" cm="1">
        <f t="array" ref="C1659">IFERROR(INDEX(EmployeeData[Full Name], ROW() - 37), "")</f>
        <v/>
      </c>
      <c r="D1659" s="4" t="str" cm="1">
        <f t="array" ref="D1659">IFERROR(INDEX(EmployeeData[Department], ROW() - 37), "")</f>
        <v/>
      </c>
      <c r="E1659" s="4" t="str" cm="1">
        <f t="array" ref="E1659">IFERROR(INDEX(EmployeeData[Gender], ROW() - 37), "")</f>
        <v/>
      </c>
      <c r="F1659" s="4" t="str" cm="1">
        <f t="array" ref="F1659">IFERROR(INDEX(EmployeeData[Age], ROW() - 37), "")</f>
        <v/>
      </c>
      <c r="G1659" s="6" t="str" cm="1">
        <f t="array" ref="G1659">IFERROR(INDEX(EmployeeData[Join Date], ROW() - 37), "")</f>
        <v/>
      </c>
      <c r="H1659" s="6" t="str" cm="1">
        <f t="array" ref="H1659">IFERROR(IF(INDEX(EmployeeData[Exit Date], ROW() - 37)=0, "",INDEX(EmployeeData[Exit Date], ROW() - 37)),"")</f>
        <v/>
      </c>
      <c r="I1659" s="4" t="str" cm="1">
        <f t="array" ref="I1659">IFERROR(IF(INDEX(EmployeeData[Exit Reason], ROW() - 37)=0, "",INDEX(EmployeeData[Exit Reason], ROW() - 37)),"")</f>
        <v/>
      </c>
      <c r="J1659" s="4" t="str" cm="1">
        <f t="array" ref="J1659">IFERROR(INDEX(EmployeeData[Status], ROW() - 37), "")</f>
        <v/>
      </c>
    </row>
    <row r="1660" spans="2:10" ht="19.95" customHeight="1" x14ac:dyDescent="0.3">
      <c r="B1660" s="4" t="str" cm="1">
        <f t="array" ref="B1660">IFERROR(INDEX(EmployeeData[Employee ID], ROW() - 37), "")</f>
        <v/>
      </c>
      <c r="C1660" s="4" t="str" cm="1">
        <f t="array" ref="C1660">IFERROR(INDEX(EmployeeData[Full Name], ROW() - 37), "")</f>
        <v/>
      </c>
      <c r="D1660" s="4" t="str" cm="1">
        <f t="array" ref="D1660">IFERROR(INDEX(EmployeeData[Department], ROW() - 37), "")</f>
        <v/>
      </c>
      <c r="E1660" s="4" t="str" cm="1">
        <f t="array" ref="E1660">IFERROR(INDEX(EmployeeData[Gender], ROW() - 37), "")</f>
        <v/>
      </c>
      <c r="F1660" s="4" t="str" cm="1">
        <f t="array" ref="F1660">IFERROR(INDEX(EmployeeData[Age], ROW() - 37), "")</f>
        <v/>
      </c>
      <c r="G1660" s="6" t="str" cm="1">
        <f t="array" ref="G1660">IFERROR(INDEX(EmployeeData[Join Date], ROW() - 37), "")</f>
        <v/>
      </c>
      <c r="H1660" s="6" t="str" cm="1">
        <f t="array" ref="H1660">IFERROR(IF(INDEX(EmployeeData[Exit Date], ROW() - 37)=0, "",INDEX(EmployeeData[Exit Date], ROW() - 37)),"")</f>
        <v/>
      </c>
      <c r="I1660" s="4" t="str" cm="1">
        <f t="array" ref="I1660">IFERROR(IF(INDEX(EmployeeData[Exit Reason], ROW() - 37)=0, "",INDEX(EmployeeData[Exit Reason], ROW() - 37)),"")</f>
        <v/>
      </c>
      <c r="J1660" s="4" t="str" cm="1">
        <f t="array" ref="J1660">IFERROR(INDEX(EmployeeData[Status], ROW() - 37), "")</f>
        <v/>
      </c>
    </row>
    <row r="1661" spans="2:10" ht="19.95" customHeight="1" x14ac:dyDescent="0.3">
      <c r="B1661" s="4" t="str" cm="1">
        <f t="array" ref="B1661">IFERROR(INDEX(EmployeeData[Employee ID], ROW() - 37), "")</f>
        <v/>
      </c>
      <c r="C1661" s="4" t="str" cm="1">
        <f t="array" ref="C1661">IFERROR(INDEX(EmployeeData[Full Name], ROW() - 37), "")</f>
        <v/>
      </c>
      <c r="D1661" s="4" t="str" cm="1">
        <f t="array" ref="D1661">IFERROR(INDEX(EmployeeData[Department], ROW() - 37), "")</f>
        <v/>
      </c>
      <c r="E1661" s="4" t="str" cm="1">
        <f t="array" ref="E1661">IFERROR(INDEX(EmployeeData[Gender], ROW() - 37), "")</f>
        <v/>
      </c>
      <c r="F1661" s="4" t="str" cm="1">
        <f t="array" ref="F1661">IFERROR(INDEX(EmployeeData[Age], ROW() - 37), "")</f>
        <v/>
      </c>
      <c r="G1661" s="6" t="str" cm="1">
        <f t="array" ref="G1661">IFERROR(INDEX(EmployeeData[Join Date], ROW() - 37), "")</f>
        <v/>
      </c>
      <c r="H1661" s="6" t="str" cm="1">
        <f t="array" ref="H1661">IFERROR(IF(INDEX(EmployeeData[Exit Date], ROW() - 37)=0, "",INDEX(EmployeeData[Exit Date], ROW() - 37)),"")</f>
        <v/>
      </c>
      <c r="I1661" s="4" t="str" cm="1">
        <f t="array" ref="I1661">IFERROR(IF(INDEX(EmployeeData[Exit Reason], ROW() - 37)=0, "",INDEX(EmployeeData[Exit Reason], ROW() - 37)),"")</f>
        <v/>
      </c>
      <c r="J1661" s="4" t="str" cm="1">
        <f t="array" ref="J1661">IFERROR(INDEX(EmployeeData[Status], ROW() - 37), "")</f>
        <v/>
      </c>
    </row>
    <row r="1662" spans="2:10" ht="19.95" customHeight="1" x14ac:dyDescent="0.3">
      <c r="B1662" s="4" t="str" cm="1">
        <f t="array" ref="B1662">IFERROR(INDEX(EmployeeData[Employee ID], ROW() - 37), "")</f>
        <v/>
      </c>
      <c r="C1662" s="4" t="str" cm="1">
        <f t="array" ref="C1662">IFERROR(INDEX(EmployeeData[Full Name], ROW() - 37), "")</f>
        <v/>
      </c>
      <c r="D1662" s="4" t="str" cm="1">
        <f t="array" ref="D1662">IFERROR(INDEX(EmployeeData[Department], ROW() - 37), "")</f>
        <v/>
      </c>
      <c r="E1662" s="4" t="str" cm="1">
        <f t="array" ref="E1662">IFERROR(INDEX(EmployeeData[Gender], ROW() - 37), "")</f>
        <v/>
      </c>
      <c r="F1662" s="4" t="str" cm="1">
        <f t="array" ref="F1662">IFERROR(INDEX(EmployeeData[Age], ROW() - 37), "")</f>
        <v/>
      </c>
      <c r="G1662" s="6" t="str" cm="1">
        <f t="array" ref="G1662">IFERROR(INDEX(EmployeeData[Join Date], ROW() - 37), "")</f>
        <v/>
      </c>
      <c r="H1662" s="6" t="str" cm="1">
        <f t="array" ref="H1662">IFERROR(IF(INDEX(EmployeeData[Exit Date], ROW() - 37)=0, "",INDEX(EmployeeData[Exit Date], ROW() - 37)),"")</f>
        <v/>
      </c>
      <c r="I1662" s="4" t="str" cm="1">
        <f t="array" ref="I1662">IFERROR(IF(INDEX(EmployeeData[Exit Reason], ROW() - 37)=0, "",INDEX(EmployeeData[Exit Reason], ROW() - 37)),"")</f>
        <v/>
      </c>
      <c r="J1662" s="4" t="str" cm="1">
        <f t="array" ref="J1662">IFERROR(INDEX(EmployeeData[Status], ROW() - 37), "")</f>
        <v/>
      </c>
    </row>
    <row r="1663" spans="2:10" ht="19.95" customHeight="1" x14ac:dyDescent="0.3">
      <c r="B1663" s="4" t="str" cm="1">
        <f t="array" ref="B1663">IFERROR(INDEX(EmployeeData[Employee ID], ROW() - 37), "")</f>
        <v/>
      </c>
      <c r="C1663" s="4" t="str" cm="1">
        <f t="array" ref="C1663">IFERROR(INDEX(EmployeeData[Full Name], ROW() - 37), "")</f>
        <v/>
      </c>
      <c r="D1663" s="4" t="str" cm="1">
        <f t="array" ref="D1663">IFERROR(INDEX(EmployeeData[Department], ROW() - 37), "")</f>
        <v/>
      </c>
      <c r="E1663" s="4" t="str" cm="1">
        <f t="array" ref="E1663">IFERROR(INDEX(EmployeeData[Gender], ROW() - 37), "")</f>
        <v/>
      </c>
      <c r="F1663" s="4" t="str" cm="1">
        <f t="array" ref="F1663">IFERROR(INDEX(EmployeeData[Age], ROW() - 37), "")</f>
        <v/>
      </c>
      <c r="G1663" s="6" t="str" cm="1">
        <f t="array" ref="G1663">IFERROR(INDEX(EmployeeData[Join Date], ROW() - 37), "")</f>
        <v/>
      </c>
      <c r="H1663" s="6" t="str" cm="1">
        <f t="array" ref="H1663">IFERROR(IF(INDEX(EmployeeData[Exit Date], ROW() - 37)=0, "",INDEX(EmployeeData[Exit Date], ROW() - 37)),"")</f>
        <v/>
      </c>
      <c r="I1663" s="4" t="str" cm="1">
        <f t="array" ref="I1663">IFERROR(IF(INDEX(EmployeeData[Exit Reason], ROW() - 37)=0, "",INDEX(EmployeeData[Exit Reason], ROW() - 37)),"")</f>
        <v/>
      </c>
      <c r="J1663" s="4" t="str" cm="1">
        <f t="array" ref="J1663">IFERROR(INDEX(EmployeeData[Status], ROW() - 37), "")</f>
        <v/>
      </c>
    </row>
    <row r="1664" spans="2:10" ht="19.95" customHeight="1" x14ac:dyDescent="0.3">
      <c r="B1664" s="4" t="str" cm="1">
        <f t="array" ref="B1664">IFERROR(INDEX(EmployeeData[Employee ID], ROW() - 37), "")</f>
        <v/>
      </c>
      <c r="C1664" s="4" t="str" cm="1">
        <f t="array" ref="C1664">IFERROR(INDEX(EmployeeData[Full Name], ROW() - 37), "")</f>
        <v/>
      </c>
      <c r="D1664" s="4" t="str" cm="1">
        <f t="array" ref="D1664">IFERROR(INDEX(EmployeeData[Department], ROW() - 37), "")</f>
        <v/>
      </c>
      <c r="E1664" s="4" t="str" cm="1">
        <f t="array" ref="E1664">IFERROR(INDEX(EmployeeData[Gender], ROW() - 37), "")</f>
        <v/>
      </c>
      <c r="F1664" s="4" t="str" cm="1">
        <f t="array" ref="F1664">IFERROR(INDEX(EmployeeData[Age], ROW() - 37), "")</f>
        <v/>
      </c>
      <c r="G1664" s="6" t="str" cm="1">
        <f t="array" ref="G1664">IFERROR(INDEX(EmployeeData[Join Date], ROW() - 37), "")</f>
        <v/>
      </c>
      <c r="H1664" s="6" t="str" cm="1">
        <f t="array" ref="H1664">IFERROR(IF(INDEX(EmployeeData[Exit Date], ROW() - 37)=0, "",INDEX(EmployeeData[Exit Date], ROW() - 37)),"")</f>
        <v/>
      </c>
      <c r="I1664" s="4" t="str" cm="1">
        <f t="array" ref="I1664">IFERROR(IF(INDEX(EmployeeData[Exit Reason], ROW() - 37)=0, "",INDEX(EmployeeData[Exit Reason], ROW() - 37)),"")</f>
        <v/>
      </c>
      <c r="J1664" s="4" t="str" cm="1">
        <f t="array" ref="J1664">IFERROR(INDEX(EmployeeData[Status], ROW() - 37), "")</f>
        <v/>
      </c>
    </row>
    <row r="1665" spans="2:10" ht="19.95" customHeight="1" x14ac:dyDescent="0.3">
      <c r="B1665" s="4" t="str" cm="1">
        <f t="array" ref="B1665">IFERROR(INDEX(EmployeeData[Employee ID], ROW() - 37), "")</f>
        <v/>
      </c>
      <c r="C1665" s="4" t="str" cm="1">
        <f t="array" ref="C1665">IFERROR(INDEX(EmployeeData[Full Name], ROW() - 37), "")</f>
        <v/>
      </c>
      <c r="D1665" s="4" t="str" cm="1">
        <f t="array" ref="D1665">IFERROR(INDEX(EmployeeData[Department], ROW() - 37), "")</f>
        <v/>
      </c>
      <c r="E1665" s="4" t="str" cm="1">
        <f t="array" ref="E1665">IFERROR(INDEX(EmployeeData[Gender], ROW() - 37), "")</f>
        <v/>
      </c>
      <c r="F1665" s="4" t="str" cm="1">
        <f t="array" ref="F1665">IFERROR(INDEX(EmployeeData[Age], ROW() - 37), "")</f>
        <v/>
      </c>
      <c r="G1665" s="6" t="str" cm="1">
        <f t="array" ref="G1665">IFERROR(INDEX(EmployeeData[Join Date], ROW() - 37), "")</f>
        <v/>
      </c>
      <c r="H1665" s="6" t="str" cm="1">
        <f t="array" ref="H1665">IFERROR(IF(INDEX(EmployeeData[Exit Date], ROW() - 37)=0, "",INDEX(EmployeeData[Exit Date], ROW() - 37)),"")</f>
        <v/>
      </c>
      <c r="I1665" s="4" t="str" cm="1">
        <f t="array" ref="I1665">IFERROR(IF(INDEX(EmployeeData[Exit Reason], ROW() - 37)=0, "",INDEX(EmployeeData[Exit Reason], ROW() - 37)),"")</f>
        <v/>
      </c>
      <c r="J1665" s="4" t="str" cm="1">
        <f t="array" ref="J1665">IFERROR(INDEX(EmployeeData[Status], ROW() - 37), "")</f>
        <v/>
      </c>
    </row>
    <row r="1666" spans="2:10" ht="19.95" customHeight="1" x14ac:dyDescent="0.3">
      <c r="B1666" s="4" t="str" cm="1">
        <f t="array" ref="B1666">IFERROR(INDEX(EmployeeData[Employee ID], ROW() - 37), "")</f>
        <v/>
      </c>
      <c r="C1666" s="4" t="str" cm="1">
        <f t="array" ref="C1666">IFERROR(INDEX(EmployeeData[Full Name], ROW() - 37), "")</f>
        <v/>
      </c>
      <c r="D1666" s="4" t="str" cm="1">
        <f t="array" ref="D1666">IFERROR(INDEX(EmployeeData[Department], ROW() - 37), "")</f>
        <v/>
      </c>
      <c r="E1666" s="4" t="str" cm="1">
        <f t="array" ref="E1666">IFERROR(INDEX(EmployeeData[Gender], ROW() - 37), "")</f>
        <v/>
      </c>
      <c r="F1666" s="4" t="str" cm="1">
        <f t="array" ref="F1666">IFERROR(INDEX(EmployeeData[Age], ROW() - 37), "")</f>
        <v/>
      </c>
      <c r="G1666" s="6" t="str" cm="1">
        <f t="array" ref="G1666">IFERROR(INDEX(EmployeeData[Join Date], ROW() - 37), "")</f>
        <v/>
      </c>
      <c r="H1666" s="6" t="str" cm="1">
        <f t="array" ref="H1666">IFERROR(IF(INDEX(EmployeeData[Exit Date], ROW() - 37)=0, "",INDEX(EmployeeData[Exit Date], ROW() - 37)),"")</f>
        <v/>
      </c>
      <c r="I1666" s="4" t="str" cm="1">
        <f t="array" ref="I1666">IFERROR(IF(INDEX(EmployeeData[Exit Reason], ROW() - 37)=0, "",INDEX(EmployeeData[Exit Reason], ROW() - 37)),"")</f>
        <v/>
      </c>
      <c r="J1666" s="4" t="str" cm="1">
        <f t="array" ref="J1666">IFERROR(INDEX(EmployeeData[Status], ROW() - 37), "")</f>
        <v/>
      </c>
    </row>
    <row r="1667" spans="2:10" ht="19.95" customHeight="1" x14ac:dyDescent="0.3">
      <c r="B1667" s="4" t="str" cm="1">
        <f t="array" ref="B1667">IFERROR(INDEX(EmployeeData[Employee ID], ROW() - 37), "")</f>
        <v/>
      </c>
      <c r="C1667" s="4" t="str" cm="1">
        <f t="array" ref="C1667">IFERROR(INDEX(EmployeeData[Full Name], ROW() - 37), "")</f>
        <v/>
      </c>
      <c r="D1667" s="4" t="str" cm="1">
        <f t="array" ref="D1667">IFERROR(INDEX(EmployeeData[Department], ROW() - 37), "")</f>
        <v/>
      </c>
      <c r="E1667" s="4" t="str" cm="1">
        <f t="array" ref="E1667">IFERROR(INDEX(EmployeeData[Gender], ROW() - 37), "")</f>
        <v/>
      </c>
      <c r="F1667" s="4" t="str" cm="1">
        <f t="array" ref="F1667">IFERROR(INDEX(EmployeeData[Age], ROW() - 37), "")</f>
        <v/>
      </c>
      <c r="G1667" s="6" t="str" cm="1">
        <f t="array" ref="G1667">IFERROR(INDEX(EmployeeData[Join Date], ROW() - 37), "")</f>
        <v/>
      </c>
      <c r="H1667" s="6" t="str" cm="1">
        <f t="array" ref="H1667">IFERROR(IF(INDEX(EmployeeData[Exit Date], ROW() - 37)=0, "",INDEX(EmployeeData[Exit Date], ROW() - 37)),"")</f>
        <v/>
      </c>
      <c r="I1667" s="4" t="str" cm="1">
        <f t="array" ref="I1667">IFERROR(IF(INDEX(EmployeeData[Exit Reason], ROW() - 37)=0, "",INDEX(EmployeeData[Exit Reason], ROW() - 37)),"")</f>
        <v/>
      </c>
      <c r="J1667" s="4" t="str" cm="1">
        <f t="array" ref="J1667">IFERROR(INDEX(EmployeeData[Status], ROW() - 37), "")</f>
        <v/>
      </c>
    </row>
    <row r="1668" spans="2:10" ht="19.95" customHeight="1" x14ac:dyDescent="0.3">
      <c r="B1668" s="4" t="str" cm="1">
        <f t="array" ref="B1668">IFERROR(INDEX(EmployeeData[Employee ID], ROW() - 37), "")</f>
        <v/>
      </c>
      <c r="C1668" s="4" t="str" cm="1">
        <f t="array" ref="C1668">IFERROR(INDEX(EmployeeData[Full Name], ROW() - 37), "")</f>
        <v/>
      </c>
      <c r="D1668" s="4" t="str" cm="1">
        <f t="array" ref="D1668">IFERROR(INDEX(EmployeeData[Department], ROW() - 37), "")</f>
        <v/>
      </c>
      <c r="E1668" s="4" t="str" cm="1">
        <f t="array" ref="E1668">IFERROR(INDEX(EmployeeData[Gender], ROW() - 37), "")</f>
        <v/>
      </c>
      <c r="F1668" s="4" t="str" cm="1">
        <f t="array" ref="F1668">IFERROR(INDEX(EmployeeData[Age], ROW() - 37), "")</f>
        <v/>
      </c>
      <c r="G1668" s="6" t="str" cm="1">
        <f t="array" ref="G1668">IFERROR(INDEX(EmployeeData[Join Date], ROW() - 37), "")</f>
        <v/>
      </c>
      <c r="H1668" s="6" t="str" cm="1">
        <f t="array" ref="H1668">IFERROR(IF(INDEX(EmployeeData[Exit Date], ROW() - 37)=0, "",INDEX(EmployeeData[Exit Date], ROW() - 37)),"")</f>
        <v/>
      </c>
      <c r="I1668" s="4" t="str" cm="1">
        <f t="array" ref="I1668">IFERROR(IF(INDEX(EmployeeData[Exit Reason], ROW() - 37)=0, "",INDEX(EmployeeData[Exit Reason], ROW() - 37)),"")</f>
        <v/>
      </c>
      <c r="J1668" s="4" t="str" cm="1">
        <f t="array" ref="J1668">IFERROR(INDEX(EmployeeData[Status], ROW() - 37), "")</f>
        <v/>
      </c>
    </row>
    <row r="1669" spans="2:10" ht="19.95" customHeight="1" x14ac:dyDescent="0.3">
      <c r="B1669" s="4" t="str" cm="1">
        <f t="array" ref="B1669">IFERROR(INDEX(EmployeeData[Employee ID], ROW() - 37), "")</f>
        <v/>
      </c>
      <c r="C1669" s="4" t="str" cm="1">
        <f t="array" ref="C1669">IFERROR(INDEX(EmployeeData[Full Name], ROW() - 37), "")</f>
        <v/>
      </c>
      <c r="D1669" s="4" t="str" cm="1">
        <f t="array" ref="D1669">IFERROR(INDEX(EmployeeData[Department], ROW() - 37), "")</f>
        <v/>
      </c>
      <c r="E1669" s="4" t="str" cm="1">
        <f t="array" ref="E1669">IFERROR(INDEX(EmployeeData[Gender], ROW() - 37), "")</f>
        <v/>
      </c>
      <c r="F1669" s="4" t="str" cm="1">
        <f t="array" ref="F1669">IFERROR(INDEX(EmployeeData[Age], ROW() - 37), "")</f>
        <v/>
      </c>
      <c r="G1669" s="6" t="str" cm="1">
        <f t="array" ref="G1669">IFERROR(INDEX(EmployeeData[Join Date], ROW() - 37), "")</f>
        <v/>
      </c>
      <c r="H1669" s="6" t="str" cm="1">
        <f t="array" ref="H1669">IFERROR(IF(INDEX(EmployeeData[Exit Date], ROW() - 37)=0, "",INDEX(EmployeeData[Exit Date], ROW() - 37)),"")</f>
        <v/>
      </c>
      <c r="I1669" s="4" t="str" cm="1">
        <f t="array" ref="I1669">IFERROR(IF(INDEX(EmployeeData[Exit Reason], ROW() - 37)=0, "",INDEX(EmployeeData[Exit Reason], ROW() - 37)),"")</f>
        <v/>
      </c>
      <c r="J1669" s="4" t="str" cm="1">
        <f t="array" ref="J1669">IFERROR(INDEX(EmployeeData[Status], ROW() - 37), "")</f>
        <v/>
      </c>
    </row>
    <row r="1670" spans="2:10" ht="19.95" customHeight="1" x14ac:dyDescent="0.3">
      <c r="B1670" s="4" t="str" cm="1">
        <f t="array" ref="B1670">IFERROR(INDEX(EmployeeData[Employee ID], ROW() - 37), "")</f>
        <v/>
      </c>
      <c r="C1670" s="4" t="str" cm="1">
        <f t="array" ref="C1670">IFERROR(INDEX(EmployeeData[Full Name], ROW() - 37), "")</f>
        <v/>
      </c>
      <c r="D1670" s="4" t="str" cm="1">
        <f t="array" ref="D1670">IFERROR(INDEX(EmployeeData[Department], ROW() - 37), "")</f>
        <v/>
      </c>
      <c r="E1670" s="4" t="str" cm="1">
        <f t="array" ref="E1670">IFERROR(INDEX(EmployeeData[Gender], ROW() - 37), "")</f>
        <v/>
      </c>
      <c r="F1670" s="4" t="str" cm="1">
        <f t="array" ref="F1670">IFERROR(INDEX(EmployeeData[Age], ROW() - 37), "")</f>
        <v/>
      </c>
      <c r="G1670" s="6" t="str" cm="1">
        <f t="array" ref="G1670">IFERROR(INDEX(EmployeeData[Join Date], ROW() - 37), "")</f>
        <v/>
      </c>
      <c r="H1670" s="6" t="str" cm="1">
        <f t="array" ref="H1670">IFERROR(IF(INDEX(EmployeeData[Exit Date], ROW() - 37)=0, "",INDEX(EmployeeData[Exit Date], ROW() - 37)),"")</f>
        <v/>
      </c>
      <c r="I1670" s="4" t="str" cm="1">
        <f t="array" ref="I1670">IFERROR(IF(INDEX(EmployeeData[Exit Reason], ROW() - 37)=0, "",INDEX(EmployeeData[Exit Reason], ROW() - 37)),"")</f>
        <v/>
      </c>
      <c r="J1670" s="4" t="str" cm="1">
        <f t="array" ref="J1670">IFERROR(INDEX(EmployeeData[Status], ROW() - 37), "")</f>
        <v/>
      </c>
    </row>
    <row r="1671" spans="2:10" ht="19.95" customHeight="1" x14ac:dyDescent="0.3">
      <c r="B1671" s="4" t="str" cm="1">
        <f t="array" ref="B1671">IFERROR(INDEX(EmployeeData[Employee ID], ROW() - 37), "")</f>
        <v/>
      </c>
      <c r="C1671" s="4" t="str" cm="1">
        <f t="array" ref="C1671">IFERROR(INDEX(EmployeeData[Full Name], ROW() - 37), "")</f>
        <v/>
      </c>
      <c r="D1671" s="4" t="str" cm="1">
        <f t="array" ref="D1671">IFERROR(INDEX(EmployeeData[Department], ROW() - 37), "")</f>
        <v/>
      </c>
      <c r="E1671" s="4" t="str" cm="1">
        <f t="array" ref="E1671">IFERROR(INDEX(EmployeeData[Gender], ROW() - 37), "")</f>
        <v/>
      </c>
      <c r="F1671" s="4" t="str" cm="1">
        <f t="array" ref="F1671">IFERROR(INDEX(EmployeeData[Age], ROW() - 37), "")</f>
        <v/>
      </c>
      <c r="G1671" s="6" t="str" cm="1">
        <f t="array" ref="G1671">IFERROR(INDEX(EmployeeData[Join Date], ROW() - 37), "")</f>
        <v/>
      </c>
      <c r="H1671" s="6" t="str" cm="1">
        <f t="array" ref="H1671">IFERROR(IF(INDEX(EmployeeData[Exit Date], ROW() - 37)=0, "",INDEX(EmployeeData[Exit Date], ROW() - 37)),"")</f>
        <v/>
      </c>
      <c r="I1671" s="4" t="str" cm="1">
        <f t="array" ref="I1671">IFERROR(IF(INDEX(EmployeeData[Exit Reason], ROW() - 37)=0, "",INDEX(EmployeeData[Exit Reason], ROW() - 37)),"")</f>
        <v/>
      </c>
      <c r="J1671" s="4" t="str" cm="1">
        <f t="array" ref="J1671">IFERROR(INDEX(EmployeeData[Status], ROW() - 37), "")</f>
        <v/>
      </c>
    </row>
    <row r="1672" spans="2:10" ht="19.95" customHeight="1" x14ac:dyDescent="0.3">
      <c r="B1672" s="4" t="str" cm="1">
        <f t="array" ref="B1672">IFERROR(INDEX(EmployeeData[Employee ID], ROW() - 37), "")</f>
        <v/>
      </c>
      <c r="C1672" s="4" t="str" cm="1">
        <f t="array" ref="C1672">IFERROR(INDEX(EmployeeData[Full Name], ROW() - 37), "")</f>
        <v/>
      </c>
      <c r="D1672" s="4" t="str" cm="1">
        <f t="array" ref="D1672">IFERROR(INDEX(EmployeeData[Department], ROW() - 37), "")</f>
        <v/>
      </c>
      <c r="E1672" s="4" t="str" cm="1">
        <f t="array" ref="E1672">IFERROR(INDEX(EmployeeData[Gender], ROW() - 37), "")</f>
        <v/>
      </c>
      <c r="F1672" s="4" t="str" cm="1">
        <f t="array" ref="F1672">IFERROR(INDEX(EmployeeData[Age], ROW() - 37), "")</f>
        <v/>
      </c>
      <c r="G1672" s="6" t="str" cm="1">
        <f t="array" ref="G1672">IFERROR(INDEX(EmployeeData[Join Date], ROW() - 37), "")</f>
        <v/>
      </c>
      <c r="H1672" s="6" t="str" cm="1">
        <f t="array" ref="H1672">IFERROR(IF(INDEX(EmployeeData[Exit Date], ROW() - 37)=0, "",INDEX(EmployeeData[Exit Date], ROW() - 37)),"")</f>
        <v/>
      </c>
      <c r="I1672" s="4" t="str" cm="1">
        <f t="array" ref="I1672">IFERROR(IF(INDEX(EmployeeData[Exit Reason], ROW() - 37)=0, "",INDEX(EmployeeData[Exit Reason], ROW() - 37)),"")</f>
        <v/>
      </c>
      <c r="J1672" s="4" t="str" cm="1">
        <f t="array" ref="J1672">IFERROR(INDEX(EmployeeData[Status], ROW() - 37), "")</f>
        <v/>
      </c>
    </row>
    <row r="1673" spans="2:10" ht="19.95" customHeight="1" x14ac:dyDescent="0.3">
      <c r="B1673" s="4" t="str" cm="1">
        <f t="array" ref="B1673">IFERROR(INDEX(EmployeeData[Employee ID], ROW() - 37), "")</f>
        <v/>
      </c>
      <c r="C1673" s="4" t="str" cm="1">
        <f t="array" ref="C1673">IFERROR(INDEX(EmployeeData[Full Name], ROW() - 37), "")</f>
        <v/>
      </c>
      <c r="D1673" s="4" t="str" cm="1">
        <f t="array" ref="D1673">IFERROR(INDEX(EmployeeData[Department], ROW() - 37), "")</f>
        <v/>
      </c>
      <c r="E1673" s="4" t="str" cm="1">
        <f t="array" ref="E1673">IFERROR(INDEX(EmployeeData[Gender], ROW() - 37), "")</f>
        <v/>
      </c>
      <c r="F1673" s="4" t="str" cm="1">
        <f t="array" ref="F1673">IFERROR(INDEX(EmployeeData[Age], ROW() - 37), "")</f>
        <v/>
      </c>
      <c r="G1673" s="6" t="str" cm="1">
        <f t="array" ref="G1673">IFERROR(INDEX(EmployeeData[Join Date], ROW() - 37), "")</f>
        <v/>
      </c>
      <c r="H1673" s="6" t="str" cm="1">
        <f t="array" ref="H1673">IFERROR(IF(INDEX(EmployeeData[Exit Date], ROW() - 37)=0, "",INDEX(EmployeeData[Exit Date], ROW() - 37)),"")</f>
        <v/>
      </c>
      <c r="I1673" s="4" t="str" cm="1">
        <f t="array" ref="I1673">IFERROR(IF(INDEX(EmployeeData[Exit Reason], ROW() - 37)=0, "",INDEX(EmployeeData[Exit Reason], ROW() - 37)),"")</f>
        <v/>
      </c>
      <c r="J1673" s="4" t="str" cm="1">
        <f t="array" ref="J1673">IFERROR(INDEX(EmployeeData[Status], ROW() - 37), "")</f>
        <v/>
      </c>
    </row>
    <row r="1674" spans="2:10" ht="19.95" customHeight="1" x14ac:dyDescent="0.3">
      <c r="B1674" s="4" t="str" cm="1">
        <f t="array" ref="B1674">IFERROR(INDEX(EmployeeData[Employee ID], ROW() - 37), "")</f>
        <v/>
      </c>
      <c r="C1674" s="4" t="str" cm="1">
        <f t="array" ref="C1674">IFERROR(INDEX(EmployeeData[Full Name], ROW() - 37), "")</f>
        <v/>
      </c>
      <c r="D1674" s="4" t="str" cm="1">
        <f t="array" ref="D1674">IFERROR(INDEX(EmployeeData[Department], ROW() - 37), "")</f>
        <v/>
      </c>
      <c r="E1674" s="4" t="str" cm="1">
        <f t="array" ref="E1674">IFERROR(INDEX(EmployeeData[Gender], ROW() - 37), "")</f>
        <v/>
      </c>
      <c r="F1674" s="4" t="str" cm="1">
        <f t="array" ref="F1674">IFERROR(INDEX(EmployeeData[Age], ROW() - 37), "")</f>
        <v/>
      </c>
      <c r="G1674" s="6" t="str" cm="1">
        <f t="array" ref="G1674">IFERROR(INDEX(EmployeeData[Join Date], ROW() - 37), "")</f>
        <v/>
      </c>
      <c r="H1674" s="6" t="str" cm="1">
        <f t="array" ref="H1674">IFERROR(IF(INDEX(EmployeeData[Exit Date], ROW() - 37)=0, "",INDEX(EmployeeData[Exit Date], ROW() - 37)),"")</f>
        <v/>
      </c>
      <c r="I1674" s="4" t="str" cm="1">
        <f t="array" ref="I1674">IFERROR(IF(INDEX(EmployeeData[Exit Reason], ROW() - 37)=0, "",INDEX(EmployeeData[Exit Reason], ROW() - 37)),"")</f>
        <v/>
      </c>
      <c r="J1674" s="4" t="str" cm="1">
        <f t="array" ref="J1674">IFERROR(INDEX(EmployeeData[Status], ROW() - 37), "")</f>
        <v/>
      </c>
    </row>
    <row r="1675" spans="2:10" ht="19.95" customHeight="1" x14ac:dyDescent="0.3">
      <c r="B1675" s="4" t="str" cm="1">
        <f t="array" ref="B1675">IFERROR(INDEX(EmployeeData[Employee ID], ROW() - 37), "")</f>
        <v/>
      </c>
      <c r="C1675" s="4" t="str" cm="1">
        <f t="array" ref="C1675">IFERROR(INDEX(EmployeeData[Full Name], ROW() - 37), "")</f>
        <v/>
      </c>
      <c r="D1675" s="4" t="str" cm="1">
        <f t="array" ref="D1675">IFERROR(INDEX(EmployeeData[Department], ROW() - 37), "")</f>
        <v/>
      </c>
      <c r="E1675" s="4" t="str" cm="1">
        <f t="array" ref="E1675">IFERROR(INDEX(EmployeeData[Gender], ROW() - 37), "")</f>
        <v/>
      </c>
      <c r="F1675" s="4" t="str" cm="1">
        <f t="array" ref="F1675">IFERROR(INDEX(EmployeeData[Age], ROW() - 37), "")</f>
        <v/>
      </c>
      <c r="G1675" s="6" t="str" cm="1">
        <f t="array" ref="G1675">IFERROR(INDEX(EmployeeData[Join Date], ROW() - 37), "")</f>
        <v/>
      </c>
      <c r="H1675" s="6" t="str" cm="1">
        <f t="array" ref="H1675">IFERROR(IF(INDEX(EmployeeData[Exit Date], ROW() - 37)=0, "",INDEX(EmployeeData[Exit Date], ROW() - 37)),"")</f>
        <v/>
      </c>
      <c r="I1675" s="4" t="str" cm="1">
        <f t="array" ref="I1675">IFERROR(IF(INDEX(EmployeeData[Exit Reason], ROW() - 37)=0, "",INDEX(EmployeeData[Exit Reason], ROW() - 37)),"")</f>
        <v/>
      </c>
      <c r="J1675" s="4" t="str" cm="1">
        <f t="array" ref="J1675">IFERROR(INDEX(EmployeeData[Status], ROW() - 37), "")</f>
        <v/>
      </c>
    </row>
    <row r="1676" spans="2:10" ht="19.95" customHeight="1" x14ac:dyDescent="0.3">
      <c r="B1676" s="4" t="str" cm="1">
        <f t="array" ref="B1676">IFERROR(INDEX(EmployeeData[Employee ID], ROW() - 37), "")</f>
        <v/>
      </c>
      <c r="C1676" s="4" t="str" cm="1">
        <f t="array" ref="C1676">IFERROR(INDEX(EmployeeData[Full Name], ROW() - 37), "")</f>
        <v/>
      </c>
      <c r="D1676" s="4" t="str" cm="1">
        <f t="array" ref="D1676">IFERROR(INDEX(EmployeeData[Department], ROW() - 37), "")</f>
        <v/>
      </c>
      <c r="E1676" s="4" t="str" cm="1">
        <f t="array" ref="E1676">IFERROR(INDEX(EmployeeData[Gender], ROW() - 37), "")</f>
        <v/>
      </c>
      <c r="F1676" s="4" t="str" cm="1">
        <f t="array" ref="F1676">IFERROR(INDEX(EmployeeData[Age], ROW() - 37), "")</f>
        <v/>
      </c>
      <c r="G1676" s="6" t="str" cm="1">
        <f t="array" ref="G1676">IFERROR(INDEX(EmployeeData[Join Date], ROW() - 37), "")</f>
        <v/>
      </c>
      <c r="H1676" s="6" t="str" cm="1">
        <f t="array" ref="H1676">IFERROR(IF(INDEX(EmployeeData[Exit Date], ROW() - 37)=0, "",INDEX(EmployeeData[Exit Date], ROW() - 37)),"")</f>
        <v/>
      </c>
      <c r="I1676" s="4" t="str" cm="1">
        <f t="array" ref="I1676">IFERROR(IF(INDEX(EmployeeData[Exit Reason], ROW() - 37)=0, "",INDEX(EmployeeData[Exit Reason], ROW() - 37)),"")</f>
        <v/>
      </c>
      <c r="J1676" s="4" t="str" cm="1">
        <f t="array" ref="J1676">IFERROR(INDEX(EmployeeData[Status], ROW() - 37), "")</f>
        <v/>
      </c>
    </row>
    <row r="1677" spans="2:10" ht="19.95" customHeight="1" x14ac:dyDescent="0.3">
      <c r="B1677" s="4" t="str" cm="1">
        <f t="array" ref="B1677">IFERROR(INDEX(EmployeeData[Employee ID], ROW() - 37), "")</f>
        <v/>
      </c>
      <c r="C1677" s="4" t="str" cm="1">
        <f t="array" ref="C1677">IFERROR(INDEX(EmployeeData[Full Name], ROW() - 37), "")</f>
        <v/>
      </c>
      <c r="D1677" s="4" t="str" cm="1">
        <f t="array" ref="D1677">IFERROR(INDEX(EmployeeData[Department], ROW() - 37), "")</f>
        <v/>
      </c>
      <c r="E1677" s="4" t="str" cm="1">
        <f t="array" ref="E1677">IFERROR(INDEX(EmployeeData[Gender], ROW() - 37), "")</f>
        <v/>
      </c>
      <c r="F1677" s="4" t="str" cm="1">
        <f t="array" ref="F1677">IFERROR(INDEX(EmployeeData[Age], ROW() - 37), "")</f>
        <v/>
      </c>
      <c r="G1677" s="6" t="str" cm="1">
        <f t="array" ref="G1677">IFERROR(INDEX(EmployeeData[Join Date], ROW() - 37), "")</f>
        <v/>
      </c>
      <c r="H1677" s="6" t="str" cm="1">
        <f t="array" ref="H1677">IFERROR(IF(INDEX(EmployeeData[Exit Date], ROW() - 37)=0, "",INDEX(EmployeeData[Exit Date], ROW() - 37)),"")</f>
        <v/>
      </c>
      <c r="I1677" s="4" t="str" cm="1">
        <f t="array" ref="I1677">IFERROR(IF(INDEX(EmployeeData[Exit Reason], ROW() - 37)=0, "",INDEX(EmployeeData[Exit Reason], ROW() - 37)),"")</f>
        <v/>
      </c>
      <c r="J1677" s="4" t="str" cm="1">
        <f t="array" ref="J1677">IFERROR(INDEX(EmployeeData[Status], ROW() - 37), "")</f>
        <v/>
      </c>
    </row>
    <row r="1678" spans="2:10" ht="19.95" customHeight="1" x14ac:dyDescent="0.3">
      <c r="B1678" s="4" t="str" cm="1">
        <f t="array" ref="B1678">IFERROR(INDEX(EmployeeData[Employee ID], ROW() - 37), "")</f>
        <v/>
      </c>
      <c r="C1678" s="4" t="str" cm="1">
        <f t="array" ref="C1678">IFERROR(INDEX(EmployeeData[Full Name], ROW() - 37), "")</f>
        <v/>
      </c>
      <c r="D1678" s="4" t="str" cm="1">
        <f t="array" ref="D1678">IFERROR(INDEX(EmployeeData[Department], ROW() - 37), "")</f>
        <v/>
      </c>
      <c r="E1678" s="4" t="str" cm="1">
        <f t="array" ref="E1678">IFERROR(INDEX(EmployeeData[Gender], ROW() - 37), "")</f>
        <v/>
      </c>
      <c r="F1678" s="4" t="str" cm="1">
        <f t="array" ref="F1678">IFERROR(INDEX(EmployeeData[Age], ROW() - 37), "")</f>
        <v/>
      </c>
      <c r="G1678" s="6" t="str" cm="1">
        <f t="array" ref="G1678">IFERROR(INDEX(EmployeeData[Join Date], ROW() - 37), "")</f>
        <v/>
      </c>
      <c r="H1678" s="6" t="str" cm="1">
        <f t="array" ref="H1678">IFERROR(IF(INDEX(EmployeeData[Exit Date], ROW() - 37)=0, "",INDEX(EmployeeData[Exit Date], ROW() - 37)),"")</f>
        <v/>
      </c>
      <c r="I1678" s="4" t="str" cm="1">
        <f t="array" ref="I1678">IFERROR(IF(INDEX(EmployeeData[Exit Reason], ROW() - 37)=0, "",INDEX(EmployeeData[Exit Reason], ROW() - 37)),"")</f>
        <v/>
      </c>
      <c r="J1678" s="4" t="str" cm="1">
        <f t="array" ref="J1678">IFERROR(INDEX(EmployeeData[Status], ROW() - 37), "")</f>
        <v/>
      </c>
    </row>
    <row r="1679" spans="2:10" ht="19.95" customHeight="1" x14ac:dyDescent="0.3">
      <c r="B1679" s="4" t="str" cm="1">
        <f t="array" ref="B1679">IFERROR(INDEX(EmployeeData[Employee ID], ROW() - 37), "")</f>
        <v/>
      </c>
      <c r="C1679" s="4" t="str" cm="1">
        <f t="array" ref="C1679">IFERROR(INDEX(EmployeeData[Full Name], ROW() - 37), "")</f>
        <v/>
      </c>
      <c r="D1679" s="4" t="str" cm="1">
        <f t="array" ref="D1679">IFERROR(INDEX(EmployeeData[Department], ROW() - 37), "")</f>
        <v/>
      </c>
      <c r="E1679" s="4" t="str" cm="1">
        <f t="array" ref="E1679">IFERROR(INDEX(EmployeeData[Gender], ROW() - 37), "")</f>
        <v/>
      </c>
      <c r="F1679" s="4" t="str" cm="1">
        <f t="array" ref="F1679">IFERROR(INDEX(EmployeeData[Age], ROW() - 37), "")</f>
        <v/>
      </c>
      <c r="G1679" s="6" t="str" cm="1">
        <f t="array" ref="G1679">IFERROR(INDEX(EmployeeData[Join Date], ROW() - 37), "")</f>
        <v/>
      </c>
      <c r="H1679" s="6" t="str" cm="1">
        <f t="array" ref="H1679">IFERROR(IF(INDEX(EmployeeData[Exit Date], ROW() - 37)=0, "",INDEX(EmployeeData[Exit Date], ROW() - 37)),"")</f>
        <v/>
      </c>
      <c r="I1679" s="4" t="str" cm="1">
        <f t="array" ref="I1679">IFERROR(IF(INDEX(EmployeeData[Exit Reason], ROW() - 37)=0, "",INDEX(EmployeeData[Exit Reason], ROW() - 37)),"")</f>
        <v/>
      </c>
      <c r="J1679" s="4" t="str" cm="1">
        <f t="array" ref="J1679">IFERROR(INDEX(EmployeeData[Status], ROW() - 37), "")</f>
        <v/>
      </c>
    </row>
    <row r="1680" spans="2:10" ht="19.95" customHeight="1" x14ac:dyDescent="0.3">
      <c r="B1680" s="4" t="str" cm="1">
        <f t="array" ref="B1680">IFERROR(INDEX(EmployeeData[Employee ID], ROW() - 37), "")</f>
        <v/>
      </c>
      <c r="C1680" s="4" t="str" cm="1">
        <f t="array" ref="C1680">IFERROR(INDEX(EmployeeData[Full Name], ROW() - 37), "")</f>
        <v/>
      </c>
      <c r="D1680" s="4" t="str" cm="1">
        <f t="array" ref="D1680">IFERROR(INDEX(EmployeeData[Department], ROW() - 37), "")</f>
        <v/>
      </c>
      <c r="E1680" s="4" t="str" cm="1">
        <f t="array" ref="E1680">IFERROR(INDEX(EmployeeData[Gender], ROW() - 37), "")</f>
        <v/>
      </c>
      <c r="F1680" s="4" t="str" cm="1">
        <f t="array" ref="F1680">IFERROR(INDEX(EmployeeData[Age], ROW() - 37), "")</f>
        <v/>
      </c>
      <c r="G1680" s="6" t="str" cm="1">
        <f t="array" ref="G1680">IFERROR(INDEX(EmployeeData[Join Date], ROW() - 37), "")</f>
        <v/>
      </c>
      <c r="H1680" s="6" t="str" cm="1">
        <f t="array" ref="H1680">IFERROR(IF(INDEX(EmployeeData[Exit Date], ROW() - 37)=0, "",INDEX(EmployeeData[Exit Date], ROW() - 37)),"")</f>
        <v/>
      </c>
      <c r="I1680" s="4" t="str" cm="1">
        <f t="array" ref="I1680">IFERROR(IF(INDEX(EmployeeData[Exit Reason], ROW() - 37)=0, "",INDEX(EmployeeData[Exit Reason], ROW() - 37)),"")</f>
        <v/>
      </c>
      <c r="J1680" s="4" t="str" cm="1">
        <f t="array" ref="J1680">IFERROR(INDEX(EmployeeData[Status], ROW() - 37), "")</f>
        <v/>
      </c>
    </row>
    <row r="1681" spans="2:10" ht="19.95" customHeight="1" x14ac:dyDescent="0.3">
      <c r="B1681" s="4" t="str" cm="1">
        <f t="array" ref="B1681">IFERROR(INDEX(EmployeeData[Employee ID], ROW() - 37), "")</f>
        <v/>
      </c>
      <c r="C1681" s="4" t="str" cm="1">
        <f t="array" ref="C1681">IFERROR(INDEX(EmployeeData[Full Name], ROW() - 37), "")</f>
        <v/>
      </c>
      <c r="D1681" s="4" t="str" cm="1">
        <f t="array" ref="D1681">IFERROR(INDEX(EmployeeData[Department], ROW() - 37), "")</f>
        <v/>
      </c>
      <c r="E1681" s="4" t="str" cm="1">
        <f t="array" ref="E1681">IFERROR(INDEX(EmployeeData[Gender], ROW() - 37), "")</f>
        <v/>
      </c>
      <c r="F1681" s="4" t="str" cm="1">
        <f t="array" ref="F1681">IFERROR(INDEX(EmployeeData[Age], ROW() - 37), "")</f>
        <v/>
      </c>
      <c r="G1681" s="6" t="str" cm="1">
        <f t="array" ref="G1681">IFERROR(INDEX(EmployeeData[Join Date], ROW() - 37), "")</f>
        <v/>
      </c>
      <c r="H1681" s="6" t="str" cm="1">
        <f t="array" ref="H1681">IFERROR(IF(INDEX(EmployeeData[Exit Date], ROW() - 37)=0, "",INDEX(EmployeeData[Exit Date], ROW() - 37)),"")</f>
        <v/>
      </c>
      <c r="I1681" s="4" t="str" cm="1">
        <f t="array" ref="I1681">IFERROR(IF(INDEX(EmployeeData[Exit Reason], ROW() - 37)=0, "",INDEX(EmployeeData[Exit Reason], ROW() - 37)),"")</f>
        <v/>
      </c>
      <c r="J1681" s="4" t="str" cm="1">
        <f t="array" ref="J1681">IFERROR(INDEX(EmployeeData[Status], ROW() - 37), "")</f>
        <v/>
      </c>
    </row>
    <row r="1682" spans="2:10" ht="19.95" customHeight="1" x14ac:dyDescent="0.3">
      <c r="B1682" s="4" t="str" cm="1">
        <f t="array" ref="B1682">IFERROR(INDEX(EmployeeData[Employee ID], ROW() - 37), "")</f>
        <v/>
      </c>
      <c r="C1682" s="4" t="str" cm="1">
        <f t="array" ref="C1682">IFERROR(INDEX(EmployeeData[Full Name], ROW() - 37), "")</f>
        <v/>
      </c>
      <c r="D1682" s="4" t="str" cm="1">
        <f t="array" ref="D1682">IFERROR(INDEX(EmployeeData[Department], ROW() - 37), "")</f>
        <v/>
      </c>
      <c r="E1682" s="4" t="str" cm="1">
        <f t="array" ref="E1682">IFERROR(INDEX(EmployeeData[Gender], ROW() - 37), "")</f>
        <v/>
      </c>
      <c r="F1682" s="4" t="str" cm="1">
        <f t="array" ref="F1682">IFERROR(INDEX(EmployeeData[Age], ROW() - 37), "")</f>
        <v/>
      </c>
      <c r="G1682" s="6" t="str" cm="1">
        <f t="array" ref="G1682">IFERROR(INDEX(EmployeeData[Join Date], ROW() - 37), "")</f>
        <v/>
      </c>
      <c r="H1682" s="6" t="str" cm="1">
        <f t="array" ref="H1682">IFERROR(IF(INDEX(EmployeeData[Exit Date], ROW() - 37)=0, "",INDEX(EmployeeData[Exit Date], ROW() - 37)),"")</f>
        <v/>
      </c>
      <c r="I1682" s="4" t="str" cm="1">
        <f t="array" ref="I1682">IFERROR(IF(INDEX(EmployeeData[Exit Reason], ROW() - 37)=0, "",INDEX(EmployeeData[Exit Reason], ROW() - 37)),"")</f>
        <v/>
      </c>
      <c r="J1682" s="4" t="str" cm="1">
        <f t="array" ref="J1682">IFERROR(INDEX(EmployeeData[Status], ROW() - 37), "")</f>
        <v/>
      </c>
    </row>
    <row r="1683" spans="2:10" ht="19.95" customHeight="1" x14ac:dyDescent="0.3">
      <c r="B1683" s="4" t="str" cm="1">
        <f t="array" ref="B1683">IFERROR(INDEX(EmployeeData[Employee ID], ROW() - 37), "")</f>
        <v/>
      </c>
      <c r="C1683" s="4" t="str" cm="1">
        <f t="array" ref="C1683">IFERROR(INDEX(EmployeeData[Full Name], ROW() - 37), "")</f>
        <v/>
      </c>
      <c r="D1683" s="4" t="str" cm="1">
        <f t="array" ref="D1683">IFERROR(INDEX(EmployeeData[Department], ROW() - 37), "")</f>
        <v/>
      </c>
      <c r="E1683" s="4" t="str" cm="1">
        <f t="array" ref="E1683">IFERROR(INDEX(EmployeeData[Gender], ROW() - 37), "")</f>
        <v/>
      </c>
      <c r="F1683" s="4" t="str" cm="1">
        <f t="array" ref="F1683">IFERROR(INDEX(EmployeeData[Age], ROW() - 37), "")</f>
        <v/>
      </c>
      <c r="G1683" s="6" t="str" cm="1">
        <f t="array" ref="G1683">IFERROR(INDEX(EmployeeData[Join Date], ROW() - 37), "")</f>
        <v/>
      </c>
      <c r="H1683" s="6" t="str" cm="1">
        <f t="array" ref="H1683">IFERROR(IF(INDEX(EmployeeData[Exit Date], ROW() - 37)=0, "",INDEX(EmployeeData[Exit Date], ROW() - 37)),"")</f>
        <v/>
      </c>
      <c r="I1683" s="4" t="str" cm="1">
        <f t="array" ref="I1683">IFERROR(IF(INDEX(EmployeeData[Exit Reason], ROW() - 37)=0, "",INDEX(EmployeeData[Exit Reason], ROW() - 37)),"")</f>
        <v/>
      </c>
      <c r="J1683" s="4" t="str" cm="1">
        <f t="array" ref="J1683">IFERROR(INDEX(EmployeeData[Status], ROW() - 37), "")</f>
        <v/>
      </c>
    </row>
    <row r="1684" spans="2:10" ht="19.95" customHeight="1" x14ac:dyDescent="0.3">
      <c r="B1684" s="4" t="str" cm="1">
        <f t="array" ref="B1684">IFERROR(INDEX(EmployeeData[Employee ID], ROW() - 37), "")</f>
        <v/>
      </c>
      <c r="C1684" s="4" t="str" cm="1">
        <f t="array" ref="C1684">IFERROR(INDEX(EmployeeData[Full Name], ROW() - 37), "")</f>
        <v/>
      </c>
      <c r="D1684" s="4" t="str" cm="1">
        <f t="array" ref="D1684">IFERROR(INDEX(EmployeeData[Department], ROW() - 37), "")</f>
        <v/>
      </c>
      <c r="E1684" s="4" t="str" cm="1">
        <f t="array" ref="E1684">IFERROR(INDEX(EmployeeData[Gender], ROW() - 37), "")</f>
        <v/>
      </c>
      <c r="F1684" s="4" t="str" cm="1">
        <f t="array" ref="F1684">IFERROR(INDEX(EmployeeData[Age], ROW() - 37), "")</f>
        <v/>
      </c>
      <c r="G1684" s="6" t="str" cm="1">
        <f t="array" ref="G1684">IFERROR(INDEX(EmployeeData[Join Date], ROW() - 37), "")</f>
        <v/>
      </c>
      <c r="H1684" s="6" t="str" cm="1">
        <f t="array" ref="H1684">IFERROR(IF(INDEX(EmployeeData[Exit Date], ROW() - 37)=0, "",INDEX(EmployeeData[Exit Date], ROW() - 37)),"")</f>
        <v/>
      </c>
      <c r="I1684" s="4" t="str" cm="1">
        <f t="array" ref="I1684">IFERROR(IF(INDEX(EmployeeData[Exit Reason], ROW() - 37)=0, "",INDEX(EmployeeData[Exit Reason], ROW() - 37)),"")</f>
        <v/>
      </c>
      <c r="J1684" s="4" t="str" cm="1">
        <f t="array" ref="J1684">IFERROR(INDEX(EmployeeData[Status], ROW() - 37), "")</f>
        <v/>
      </c>
    </row>
    <row r="1685" spans="2:10" ht="19.95" customHeight="1" x14ac:dyDescent="0.3">
      <c r="B1685" s="4" t="str" cm="1">
        <f t="array" ref="B1685">IFERROR(INDEX(EmployeeData[Employee ID], ROW() - 37), "")</f>
        <v/>
      </c>
      <c r="C1685" s="4" t="str" cm="1">
        <f t="array" ref="C1685">IFERROR(INDEX(EmployeeData[Full Name], ROW() - 37), "")</f>
        <v/>
      </c>
      <c r="D1685" s="4" t="str" cm="1">
        <f t="array" ref="D1685">IFERROR(INDEX(EmployeeData[Department], ROW() - 37), "")</f>
        <v/>
      </c>
      <c r="E1685" s="4" t="str" cm="1">
        <f t="array" ref="E1685">IFERROR(INDEX(EmployeeData[Gender], ROW() - 37), "")</f>
        <v/>
      </c>
      <c r="F1685" s="4" t="str" cm="1">
        <f t="array" ref="F1685">IFERROR(INDEX(EmployeeData[Age], ROW() - 37), "")</f>
        <v/>
      </c>
      <c r="G1685" s="6" t="str" cm="1">
        <f t="array" ref="G1685">IFERROR(INDEX(EmployeeData[Join Date], ROW() - 37), "")</f>
        <v/>
      </c>
      <c r="H1685" s="6" t="str" cm="1">
        <f t="array" ref="H1685">IFERROR(IF(INDEX(EmployeeData[Exit Date], ROW() - 37)=0, "",INDEX(EmployeeData[Exit Date], ROW() - 37)),"")</f>
        <v/>
      </c>
      <c r="I1685" s="4" t="str" cm="1">
        <f t="array" ref="I1685">IFERROR(IF(INDEX(EmployeeData[Exit Reason], ROW() - 37)=0, "",INDEX(EmployeeData[Exit Reason], ROW() - 37)),"")</f>
        <v/>
      </c>
      <c r="J1685" s="4" t="str" cm="1">
        <f t="array" ref="J1685">IFERROR(INDEX(EmployeeData[Status], ROW() - 37), "")</f>
        <v/>
      </c>
    </row>
    <row r="1686" spans="2:10" ht="19.95" customHeight="1" x14ac:dyDescent="0.3">
      <c r="B1686" s="4" t="str" cm="1">
        <f t="array" ref="B1686">IFERROR(INDEX(EmployeeData[Employee ID], ROW() - 37), "")</f>
        <v/>
      </c>
      <c r="C1686" s="4" t="str" cm="1">
        <f t="array" ref="C1686">IFERROR(INDEX(EmployeeData[Full Name], ROW() - 37), "")</f>
        <v/>
      </c>
      <c r="D1686" s="4" t="str" cm="1">
        <f t="array" ref="D1686">IFERROR(INDEX(EmployeeData[Department], ROW() - 37), "")</f>
        <v/>
      </c>
      <c r="E1686" s="4" t="str" cm="1">
        <f t="array" ref="E1686">IFERROR(INDEX(EmployeeData[Gender], ROW() - 37), "")</f>
        <v/>
      </c>
      <c r="F1686" s="4" t="str" cm="1">
        <f t="array" ref="F1686">IFERROR(INDEX(EmployeeData[Age], ROW() - 37), "")</f>
        <v/>
      </c>
      <c r="G1686" s="6" t="str" cm="1">
        <f t="array" ref="G1686">IFERROR(INDEX(EmployeeData[Join Date], ROW() - 37), "")</f>
        <v/>
      </c>
      <c r="H1686" s="6" t="str" cm="1">
        <f t="array" ref="H1686">IFERROR(IF(INDEX(EmployeeData[Exit Date], ROW() - 37)=0, "",INDEX(EmployeeData[Exit Date], ROW() - 37)),"")</f>
        <v/>
      </c>
      <c r="I1686" s="4" t="str" cm="1">
        <f t="array" ref="I1686">IFERROR(IF(INDEX(EmployeeData[Exit Reason], ROW() - 37)=0, "",INDEX(EmployeeData[Exit Reason], ROW() - 37)),"")</f>
        <v/>
      </c>
      <c r="J1686" s="4" t="str" cm="1">
        <f t="array" ref="J1686">IFERROR(INDEX(EmployeeData[Status], ROW() - 37), "")</f>
        <v/>
      </c>
    </row>
    <row r="1687" spans="2:10" ht="19.95" customHeight="1" x14ac:dyDescent="0.3">
      <c r="B1687" s="4" t="str" cm="1">
        <f t="array" ref="B1687">IFERROR(INDEX(EmployeeData[Employee ID], ROW() - 37), "")</f>
        <v/>
      </c>
      <c r="C1687" s="4" t="str" cm="1">
        <f t="array" ref="C1687">IFERROR(INDEX(EmployeeData[Full Name], ROW() - 37), "")</f>
        <v/>
      </c>
      <c r="D1687" s="4" t="str" cm="1">
        <f t="array" ref="D1687">IFERROR(INDEX(EmployeeData[Department], ROW() - 37), "")</f>
        <v/>
      </c>
      <c r="E1687" s="4" t="str" cm="1">
        <f t="array" ref="E1687">IFERROR(INDEX(EmployeeData[Gender], ROW() - 37), "")</f>
        <v/>
      </c>
      <c r="F1687" s="4" t="str" cm="1">
        <f t="array" ref="F1687">IFERROR(INDEX(EmployeeData[Age], ROW() - 37), "")</f>
        <v/>
      </c>
      <c r="G1687" s="6" t="str" cm="1">
        <f t="array" ref="G1687">IFERROR(INDEX(EmployeeData[Join Date], ROW() - 37), "")</f>
        <v/>
      </c>
      <c r="H1687" s="6" t="str" cm="1">
        <f t="array" ref="H1687">IFERROR(IF(INDEX(EmployeeData[Exit Date], ROW() - 37)=0, "",INDEX(EmployeeData[Exit Date], ROW() - 37)),"")</f>
        <v/>
      </c>
      <c r="I1687" s="4" t="str" cm="1">
        <f t="array" ref="I1687">IFERROR(IF(INDEX(EmployeeData[Exit Reason], ROW() - 37)=0, "",INDEX(EmployeeData[Exit Reason], ROW() - 37)),"")</f>
        <v/>
      </c>
      <c r="J1687" s="4" t="str" cm="1">
        <f t="array" ref="J1687">IFERROR(INDEX(EmployeeData[Status], ROW() - 37), "")</f>
        <v/>
      </c>
    </row>
    <row r="1688" spans="2:10" ht="19.95" customHeight="1" x14ac:dyDescent="0.3">
      <c r="B1688" s="4" t="str" cm="1">
        <f t="array" ref="B1688">IFERROR(INDEX(EmployeeData[Employee ID], ROW() - 37), "")</f>
        <v/>
      </c>
      <c r="C1688" s="4" t="str" cm="1">
        <f t="array" ref="C1688">IFERROR(INDEX(EmployeeData[Full Name], ROW() - 37), "")</f>
        <v/>
      </c>
      <c r="D1688" s="4" t="str" cm="1">
        <f t="array" ref="D1688">IFERROR(INDEX(EmployeeData[Department], ROW() - 37), "")</f>
        <v/>
      </c>
      <c r="E1688" s="4" t="str" cm="1">
        <f t="array" ref="E1688">IFERROR(INDEX(EmployeeData[Gender], ROW() - 37), "")</f>
        <v/>
      </c>
      <c r="F1688" s="4" t="str" cm="1">
        <f t="array" ref="F1688">IFERROR(INDEX(EmployeeData[Age], ROW() - 37), "")</f>
        <v/>
      </c>
      <c r="G1688" s="6" t="str" cm="1">
        <f t="array" ref="G1688">IFERROR(INDEX(EmployeeData[Join Date], ROW() - 37), "")</f>
        <v/>
      </c>
      <c r="H1688" s="6" t="str" cm="1">
        <f t="array" ref="H1688">IFERROR(IF(INDEX(EmployeeData[Exit Date], ROW() - 37)=0, "",INDEX(EmployeeData[Exit Date], ROW() - 37)),"")</f>
        <v/>
      </c>
      <c r="I1688" s="4" t="str" cm="1">
        <f t="array" ref="I1688">IFERROR(IF(INDEX(EmployeeData[Exit Reason], ROW() - 37)=0, "",INDEX(EmployeeData[Exit Reason], ROW() - 37)),"")</f>
        <v/>
      </c>
      <c r="J1688" s="4" t="str" cm="1">
        <f t="array" ref="J1688">IFERROR(INDEX(EmployeeData[Status], ROW() - 37), "")</f>
        <v/>
      </c>
    </row>
    <row r="1689" spans="2:10" ht="19.95" customHeight="1" x14ac:dyDescent="0.3">
      <c r="B1689" s="4" t="str" cm="1">
        <f t="array" ref="B1689">IFERROR(INDEX(EmployeeData[Employee ID], ROW() - 37), "")</f>
        <v/>
      </c>
      <c r="C1689" s="4" t="str" cm="1">
        <f t="array" ref="C1689">IFERROR(INDEX(EmployeeData[Full Name], ROW() - 37), "")</f>
        <v/>
      </c>
      <c r="D1689" s="4" t="str" cm="1">
        <f t="array" ref="D1689">IFERROR(INDEX(EmployeeData[Department], ROW() - 37), "")</f>
        <v/>
      </c>
      <c r="E1689" s="4" t="str" cm="1">
        <f t="array" ref="E1689">IFERROR(INDEX(EmployeeData[Gender], ROW() - 37), "")</f>
        <v/>
      </c>
      <c r="F1689" s="4" t="str" cm="1">
        <f t="array" ref="F1689">IFERROR(INDEX(EmployeeData[Age], ROW() - 37), "")</f>
        <v/>
      </c>
      <c r="G1689" s="6" t="str" cm="1">
        <f t="array" ref="G1689">IFERROR(INDEX(EmployeeData[Join Date], ROW() - 37), "")</f>
        <v/>
      </c>
      <c r="H1689" s="6" t="str" cm="1">
        <f t="array" ref="H1689">IFERROR(IF(INDEX(EmployeeData[Exit Date], ROW() - 37)=0, "",INDEX(EmployeeData[Exit Date], ROW() - 37)),"")</f>
        <v/>
      </c>
      <c r="I1689" s="4" t="str" cm="1">
        <f t="array" ref="I1689">IFERROR(IF(INDEX(EmployeeData[Exit Reason], ROW() - 37)=0, "",INDEX(EmployeeData[Exit Reason], ROW() - 37)),"")</f>
        <v/>
      </c>
      <c r="J1689" s="4" t="str" cm="1">
        <f t="array" ref="J1689">IFERROR(INDEX(EmployeeData[Status], ROW() - 37), "")</f>
        <v/>
      </c>
    </row>
    <row r="1690" spans="2:10" ht="19.95" customHeight="1" x14ac:dyDescent="0.3">
      <c r="B1690" s="4" t="str" cm="1">
        <f t="array" ref="B1690">IFERROR(INDEX(EmployeeData[Employee ID], ROW() - 37), "")</f>
        <v/>
      </c>
      <c r="C1690" s="4" t="str" cm="1">
        <f t="array" ref="C1690">IFERROR(INDEX(EmployeeData[Full Name], ROW() - 37), "")</f>
        <v/>
      </c>
      <c r="D1690" s="4" t="str" cm="1">
        <f t="array" ref="D1690">IFERROR(INDEX(EmployeeData[Department], ROW() - 37), "")</f>
        <v/>
      </c>
      <c r="E1690" s="4" t="str" cm="1">
        <f t="array" ref="E1690">IFERROR(INDEX(EmployeeData[Gender], ROW() - 37), "")</f>
        <v/>
      </c>
      <c r="F1690" s="4" t="str" cm="1">
        <f t="array" ref="F1690">IFERROR(INDEX(EmployeeData[Age], ROW() - 37), "")</f>
        <v/>
      </c>
      <c r="G1690" s="6" t="str" cm="1">
        <f t="array" ref="G1690">IFERROR(INDEX(EmployeeData[Join Date], ROW() - 37), "")</f>
        <v/>
      </c>
      <c r="H1690" s="6" t="str" cm="1">
        <f t="array" ref="H1690">IFERROR(IF(INDEX(EmployeeData[Exit Date], ROW() - 37)=0, "",INDEX(EmployeeData[Exit Date], ROW() - 37)),"")</f>
        <v/>
      </c>
      <c r="I1690" s="4" t="str" cm="1">
        <f t="array" ref="I1690">IFERROR(IF(INDEX(EmployeeData[Exit Reason], ROW() - 37)=0, "",INDEX(EmployeeData[Exit Reason], ROW() - 37)),"")</f>
        <v/>
      </c>
      <c r="J1690" s="4" t="str" cm="1">
        <f t="array" ref="J1690">IFERROR(INDEX(EmployeeData[Status], ROW() - 37), "")</f>
        <v/>
      </c>
    </row>
    <row r="1691" spans="2:10" ht="19.95" customHeight="1" x14ac:dyDescent="0.3">
      <c r="B1691" s="4" t="str" cm="1">
        <f t="array" ref="B1691">IFERROR(INDEX(EmployeeData[Employee ID], ROW() - 37), "")</f>
        <v/>
      </c>
      <c r="C1691" s="4" t="str" cm="1">
        <f t="array" ref="C1691">IFERROR(INDEX(EmployeeData[Full Name], ROW() - 37), "")</f>
        <v/>
      </c>
      <c r="D1691" s="4" t="str" cm="1">
        <f t="array" ref="D1691">IFERROR(INDEX(EmployeeData[Department], ROW() - 37), "")</f>
        <v/>
      </c>
      <c r="E1691" s="4" t="str" cm="1">
        <f t="array" ref="E1691">IFERROR(INDEX(EmployeeData[Gender], ROW() - 37), "")</f>
        <v/>
      </c>
      <c r="F1691" s="4" t="str" cm="1">
        <f t="array" ref="F1691">IFERROR(INDEX(EmployeeData[Age], ROW() - 37), "")</f>
        <v/>
      </c>
      <c r="G1691" s="6" t="str" cm="1">
        <f t="array" ref="G1691">IFERROR(INDEX(EmployeeData[Join Date], ROW() - 37), "")</f>
        <v/>
      </c>
      <c r="H1691" s="6" t="str" cm="1">
        <f t="array" ref="H1691">IFERROR(IF(INDEX(EmployeeData[Exit Date], ROW() - 37)=0, "",INDEX(EmployeeData[Exit Date], ROW() - 37)),"")</f>
        <v/>
      </c>
      <c r="I1691" s="4" t="str" cm="1">
        <f t="array" ref="I1691">IFERROR(IF(INDEX(EmployeeData[Exit Reason], ROW() - 37)=0, "",INDEX(EmployeeData[Exit Reason], ROW() - 37)),"")</f>
        <v/>
      </c>
      <c r="J1691" s="4" t="str" cm="1">
        <f t="array" ref="J1691">IFERROR(INDEX(EmployeeData[Status], ROW() - 37), "")</f>
        <v/>
      </c>
    </row>
    <row r="1692" spans="2:10" ht="19.95" customHeight="1" x14ac:dyDescent="0.3">
      <c r="B1692" s="4" t="str" cm="1">
        <f t="array" ref="B1692">IFERROR(INDEX(EmployeeData[Employee ID], ROW() - 37), "")</f>
        <v/>
      </c>
      <c r="C1692" s="4" t="str" cm="1">
        <f t="array" ref="C1692">IFERROR(INDEX(EmployeeData[Full Name], ROW() - 37), "")</f>
        <v/>
      </c>
      <c r="D1692" s="4" t="str" cm="1">
        <f t="array" ref="D1692">IFERROR(INDEX(EmployeeData[Department], ROW() - 37), "")</f>
        <v/>
      </c>
      <c r="E1692" s="4" t="str" cm="1">
        <f t="array" ref="E1692">IFERROR(INDEX(EmployeeData[Gender], ROW() - 37), "")</f>
        <v/>
      </c>
      <c r="F1692" s="4" t="str" cm="1">
        <f t="array" ref="F1692">IFERROR(INDEX(EmployeeData[Age], ROW() - 37), "")</f>
        <v/>
      </c>
      <c r="G1692" s="6" t="str" cm="1">
        <f t="array" ref="G1692">IFERROR(INDEX(EmployeeData[Join Date], ROW() - 37), "")</f>
        <v/>
      </c>
      <c r="H1692" s="6" t="str" cm="1">
        <f t="array" ref="H1692">IFERROR(IF(INDEX(EmployeeData[Exit Date], ROW() - 37)=0, "",INDEX(EmployeeData[Exit Date], ROW() - 37)),"")</f>
        <v/>
      </c>
      <c r="I1692" s="4" t="str" cm="1">
        <f t="array" ref="I1692">IFERROR(IF(INDEX(EmployeeData[Exit Reason], ROW() - 37)=0, "",INDEX(EmployeeData[Exit Reason], ROW() - 37)),"")</f>
        <v/>
      </c>
      <c r="J1692" s="4" t="str" cm="1">
        <f t="array" ref="J1692">IFERROR(INDEX(EmployeeData[Status], ROW() - 37), "")</f>
        <v/>
      </c>
    </row>
    <row r="1693" spans="2:10" ht="19.95" customHeight="1" x14ac:dyDescent="0.3">
      <c r="B1693" s="4" t="str" cm="1">
        <f t="array" ref="B1693">IFERROR(INDEX(EmployeeData[Employee ID], ROW() - 37), "")</f>
        <v/>
      </c>
      <c r="C1693" s="4" t="str" cm="1">
        <f t="array" ref="C1693">IFERROR(INDEX(EmployeeData[Full Name], ROW() - 37), "")</f>
        <v/>
      </c>
      <c r="D1693" s="4" t="str" cm="1">
        <f t="array" ref="D1693">IFERROR(INDEX(EmployeeData[Department], ROW() - 37), "")</f>
        <v/>
      </c>
      <c r="E1693" s="4" t="str" cm="1">
        <f t="array" ref="E1693">IFERROR(INDEX(EmployeeData[Gender], ROW() - 37), "")</f>
        <v/>
      </c>
      <c r="F1693" s="4" t="str" cm="1">
        <f t="array" ref="F1693">IFERROR(INDEX(EmployeeData[Age], ROW() - 37), "")</f>
        <v/>
      </c>
      <c r="G1693" s="6" t="str" cm="1">
        <f t="array" ref="G1693">IFERROR(INDEX(EmployeeData[Join Date], ROW() - 37), "")</f>
        <v/>
      </c>
      <c r="H1693" s="6" t="str" cm="1">
        <f t="array" ref="H1693">IFERROR(IF(INDEX(EmployeeData[Exit Date], ROW() - 37)=0, "",INDEX(EmployeeData[Exit Date], ROW() - 37)),"")</f>
        <v/>
      </c>
      <c r="I1693" s="4" t="str" cm="1">
        <f t="array" ref="I1693">IFERROR(IF(INDEX(EmployeeData[Exit Reason], ROW() - 37)=0, "",INDEX(EmployeeData[Exit Reason], ROW() - 37)),"")</f>
        <v/>
      </c>
      <c r="J1693" s="4" t="str" cm="1">
        <f t="array" ref="J1693">IFERROR(INDEX(EmployeeData[Status], ROW() - 37), "")</f>
        <v/>
      </c>
    </row>
    <row r="1694" spans="2:10" ht="19.95" customHeight="1" x14ac:dyDescent="0.3">
      <c r="B1694" s="4" t="str" cm="1">
        <f t="array" ref="B1694">IFERROR(INDEX(EmployeeData[Employee ID], ROW() - 37), "")</f>
        <v/>
      </c>
      <c r="C1694" s="4" t="str" cm="1">
        <f t="array" ref="C1694">IFERROR(INDEX(EmployeeData[Full Name], ROW() - 37), "")</f>
        <v/>
      </c>
      <c r="D1694" s="4" t="str" cm="1">
        <f t="array" ref="D1694">IFERROR(INDEX(EmployeeData[Department], ROW() - 37), "")</f>
        <v/>
      </c>
      <c r="E1694" s="4" t="str" cm="1">
        <f t="array" ref="E1694">IFERROR(INDEX(EmployeeData[Gender], ROW() - 37), "")</f>
        <v/>
      </c>
      <c r="F1694" s="4" t="str" cm="1">
        <f t="array" ref="F1694">IFERROR(INDEX(EmployeeData[Age], ROW() - 37), "")</f>
        <v/>
      </c>
      <c r="G1694" s="6" t="str" cm="1">
        <f t="array" ref="G1694">IFERROR(INDEX(EmployeeData[Join Date], ROW() - 37), "")</f>
        <v/>
      </c>
      <c r="H1694" s="6" t="str" cm="1">
        <f t="array" ref="H1694">IFERROR(IF(INDEX(EmployeeData[Exit Date], ROW() - 37)=0, "",INDEX(EmployeeData[Exit Date], ROW() - 37)),"")</f>
        <v/>
      </c>
      <c r="I1694" s="4" t="str" cm="1">
        <f t="array" ref="I1694">IFERROR(IF(INDEX(EmployeeData[Exit Reason], ROW() - 37)=0, "",INDEX(EmployeeData[Exit Reason], ROW() - 37)),"")</f>
        <v/>
      </c>
      <c r="J1694" s="4" t="str" cm="1">
        <f t="array" ref="J1694">IFERROR(INDEX(EmployeeData[Status], ROW() - 37), "")</f>
        <v/>
      </c>
    </row>
    <row r="1695" spans="2:10" ht="19.95" customHeight="1" x14ac:dyDescent="0.3">
      <c r="B1695" s="4" t="str" cm="1">
        <f t="array" ref="B1695">IFERROR(INDEX(EmployeeData[Employee ID], ROW() - 37), "")</f>
        <v/>
      </c>
      <c r="C1695" s="4" t="str" cm="1">
        <f t="array" ref="C1695">IFERROR(INDEX(EmployeeData[Full Name], ROW() - 37), "")</f>
        <v/>
      </c>
      <c r="D1695" s="4" t="str" cm="1">
        <f t="array" ref="D1695">IFERROR(INDEX(EmployeeData[Department], ROW() - 37), "")</f>
        <v/>
      </c>
      <c r="E1695" s="4" t="str" cm="1">
        <f t="array" ref="E1695">IFERROR(INDEX(EmployeeData[Gender], ROW() - 37), "")</f>
        <v/>
      </c>
      <c r="F1695" s="4" t="str" cm="1">
        <f t="array" ref="F1695">IFERROR(INDEX(EmployeeData[Age], ROW() - 37), "")</f>
        <v/>
      </c>
      <c r="G1695" s="6" t="str" cm="1">
        <f t="array" ref="G1695">IFERROR(INDEX(EmployeeData[Join Date], ROW() - 37), "")</f>
        <v/>
      </c>
      <c r="H1695" s="6" t="str" cm="1">
        <f t="array" ref="H1695">IFERROR(IF(INDEX(EmployeeData[Exit Date], ROW() - 37)=0, "",INDEX(EmployeeData[Exit Date], ROW() - 37)),"")</f>
        <v/>
      </c>
      <c r="I1695" s="4" t="str" cm="1">
        <f t="array" ref="I1695">IFERROR(IF(INDEX(EmployeeData[Exit Reason], ROW() - 37)=0, "",INDEX(EmployeeData[Exit Reason], ROW() - 37)),"")</f>
        <v/>
      </c>
      <c r="J1695" s="4" t="str" cm="1">
        <f t="array" ref="J1695">IFERROR(INDEX(EmployeeData[Status], ROW() - 37), "")</f>
        <v/>
      </c>
    </row>
    <row r="1696" spans="2:10" ht="19.95" customHeight="1" x14ac:dyDescent="0.3">
      <c r="B1696" s="4" t="str" cm="1">
        <f t="array" ref="B1696">IFERROR(INDEX(EmployeeData[Employee ID], ROW() - 37), "")</f>
        <v/>
      </c>
      <c r="C1696" s="4" t="str" cm="1">
        <f t="array" ref="C1696">IFERROR(INDEX(EmployeeData[Full Name], ROW() - 37), "")</f>
        <v/>
      </c>
      <c r="D1696" s="4" t="str" cm="1">
        <f t="array" ref="D1696">IFERROR(INDEX(EmployeeData[Department], ROW() - 37), "")</f>
        <v/>
      </c>
      <c r="E1696" s="4" t="str" cm="1">
        <f t="array" ref="E1696">IFERROR(INDEX(EmployeeData[Gender], ROW() - 37), "")</f>
        <v/>
      </c>
      <c r="F1696" s="4" t="str" cm="1">
        <f t="array" ref="F1696">IFERROR(INDEX(EmployeeData[Age], ROW() - 37), "")</f>
        <v/>
      </c>
      <c r="G1696" s="6" t="str" cm="1">
        <f t="array" ref="G1696">IFERROR(INDEX(EmployeeData[Join Date], ROW() - 37), "")</f>
        <v/>
      </c>
      <c r="H1696" s="6" t="str" cm="1">
        <f t="array" ref="H1696">IFERROR(IF(INDEX(EmployeeData[Exit Date], ROW() - 37)=0, "",INDEX(EmployeeData[Exit Date], ROW() - 37)),"")</f>
        <v/>
      </c>
      <c r="I1696" s="4" t="str" cm="1">
        <f t="array" ref="I1696">IFERROR(IF(INDEX(EmployeeData[Exit Reason], ROW() - 37)=0, "",INDEX(EmployeeData[Exit Reason], ROW() - 37)),"")</f>
        <v/>
      </c>
      <c r="J1696" s="4" t="str" cm="1">
        <f t="array" ref="J1696">IFERROR(INDEX(EmployeeData[Status], ROW() - 37), "")</f>
        <v/>
      </c>
    </row>
    <row r="1697" spans="2:10" ht="19.95" customHeight="1" x14ac:dyDescent="0.3">
      <c r="B1697" s="4" t="str" cm="1">
        <f t="array" ref="B1697">IFERROR(INDEX(EmployeeData[Employee ID], ROW() - 37), "")</f>
        <v/>
      </c>
      <c r="C1697" s="4" t="str" cm="1">
        <f t="array" ref="C1697">IFERROR(INDEX(EmployeeData[Full Name], ROW() - 37), "")</f>
        <v/>
      </c>
      <c r="D1697" s="4" t="str" cm="1">
        <f t="array" ref="D1697">IFERROR(INDEX(EmployeeData[Department], ROW() - 37), "")</f>
        <v/>
      </c>
      <c r="E1697" s="4" t="str" cm="1">
        <f t="array" ref="E1697">IFERROR(INDEX(EmployeeData[Gender], ROW() - 37), "")</f>
        <v/>
      </c>
      <c r="F1697" s="4" t="str" cm="1">
        <f t="array" ref="F1697">IFERROR(INDEX(EmployeeData[Age], ROW() - 37), "")</f>
        <v/>
      </c>
      <c r="G1697" s="6" t="str" cm="1">
        <f t="array" ref="G1697">IFERROR(INDEX(EmployeeData[Join Date], ROW() - 37), "")</f>
        <v/>
      </c>
      <c r="H1697" s="6" t="str" cm="1">
        <f t="array" ref="H1697">IFERROR(IF(INDEX(EmployeeData[Exit Date], ROW() - 37)=0, "",INDEX(EmployeeData[Exit Date], ROW() - 37)),"")</f>
        <v/>
      </c>
      <c r="I1697" s="4" t="str" cm="1">
        <f t="array" ref="I1697">IFERROR(IF(INDEX(EmployeeData[Exit Reason], ROW() - 37)=0, "",INDEX(EmployeeData[Exit Reason], ROW() - 37)),"")</f>
        <v/>
      </c>
      <c r="J1697" s="4" t="str" cm="1">
        <f t="array" ref="J1697">IFERROR(INDEX(EmployeeData[Status], ROW() - 37), "")</f>
        <v/>
      </c>
    </row>
    <row r="1698" spans="2:10" ht="19.95" customHeight="1" x14ac:dyDescent="0.3">
      <c r="B1698" s="4" t="str" cm="1">
        <f t="array" ref="B1698">IFERROR(INDEX(EmployeeData[Employee ID], ROW() - 37), "")</f>
        <v/>
      </c>
      <c r="C1698" s="4" t="str" cm="1">
        <f t="array" ref="C1698">IFERROR(INDEX(EmployeeData[Full Name], ROW() - 37), "")</f>
        <v/>
      </c>
      <c r="D1698" s="4" t="str" cm="1">
        <f t="array" ref="D1698">IFERROR(INDEX(EmployeeData[Department], ROW() - 37), "")</f>
        <v/>
      </c>
      <c r="E1698" s="4" t="str" cm="1">
        <f t="array" ref="E1698">IFERROR(INDEX(EmployeeData[Gender], ROW() - 37), "")</f>
        <v/>
      </c>
      <c r="F1698" s="4" t="str" cm="1">
        <f t="array" ref="F1698">IFERROR(INDEX(EmployeeData[Age], ROW() - 37), "")</f>
        <v/>
      </c>
      <c r="G1698" s="6" t="str" cm="1">
        <f t="array" ref="G1698">IFERROR(INDEX(EmployeeData[Join Date], ROW() - 37), "")</f>
        <v/>
      </c>
      <c r="H1698" s="6" t="str" cm="1">
        <f t="array" ref="H1698">IFERROR(IF(INDEX(EmployeeData[Exit Date], ROW() - 37)=0, "",INDEX(EmployeeData[Exit Date], ROW() - 37)),"")</f>
        <v/>
      </c>
      <c r="I1698" s="4" t="str" cm="1">
        <f t="array" ref="I1698">IFERROR(IF(INDEX(EmployeeData[Exit Reason], ROW() - 37)=0, "",INDEX(EmployeeData[Exit Reason], ROW() - 37)),"")</f>
        <v/>
      </c>
      <c r="J1698" s="4" t="str" cm="1">
        <f t="array" ref="J1698">IFERROR(INDEX(EmployeeData[Status], ROW() - 37), "")</f>
        <v/>
      </c>
    </row>
    <row r="1699" spans="2:10" ht="19.95" customHeight="1" x14ac:dyDescent="0.3">
      <c r="B1699" s="4" t="str" cm="1">
        <f t="array" ref="B1699">IFERROR(INDEX(EmployeeData[Employee ID], ROW() - 37), "")</f>
        <v/>
      </c>
      <c r="C1699" s="4" t="str" cm="1">
        <f t="array" ref="C1699">IFERROR(INDEX(EmployeeData[Full Name], ROW() - 37), "")</f>
        <v/>
      </c>
      <c r="D1699" s="4" t="str" cm="1">
        <f t="array" ref="D1699">IFERROR(INDEX(EmployeeData[Department], ROW() - 37), "")</f>
        <v/>
      </c>
      <c r="E1699" s="4" t="str" cm="1">
        <f t="array" ref="E1699">IFERROR(INDEX(EmployeeData[Gender], ROW() - 37), "")</f>
        <v/>
      </c>
      <c r="F1699" s="4" t="str" cm="1">
        <f t="array" ref="F1699">IFERROR(INDEX(EmployeeData[Age], ROW() - 37), "")</f>
        <v/>
      </c>
      <c r="G1699" s="6" t="str" cm="1">
        <f t="array" ref="G1699">IFERROR(INDEX(EmployeeData[Join Date], ROW() - 37), "")</f>
        <v/>
      </c>
      <c r="H1699" s="6" t="str" cm="1">
        <f t="array" ref="H1699">IFERROR(IF(INDEX(EmployeeData[Exit Date], ROW() - 37)=0, "",INDEX(EmployeeData[Exit Date], ROW() - 37)),"")</f>
        <v/>
      </c>
      <c r="I1699" s="4" t="str" cm="1">
        <f t="array" ref="I1699">IFERROR(IF(INDEX(EmployeeData[Exit Reason], ROW() - 37)=0, "",INDEX(EmployeeData[Exit Reason], ROW() - 37)),"")</f>
        <v/>
      </c>
      <c r="J1699" s="4" t="str" cm="1">
        <f t="array" ref="J1699">IFERROR(INDEX(EmployeeData[Status], ROW() - 37), "")</f>
        <v/>
      </c>
    </row>
    <row r="1700" spans="2:10" ht="19.95" customHeight="1" x14ac:dyDescent="0.3">
      <c r="B1700" s="4" t="str" cm="1">
        <f t="array" ref="B1700">IFERROR(INDEX(EmployeeData[Employee ID], ROW() - 37), "")</f>
        <v/>
      </c>
      <c r="C1700" s="4" t="str" cm="1">
        <f t="array" ref="C1700">IFERROR(INDEX(EmployeeData[Full Name], ROW() - 37), "")</f>
        <v/>
      </c>
      <c r="D1700" s="4" t="str" cm="1">
        <f t="array" ref="D1700">IFERROR(INDEX(EmployeeData[Department], ROW() - 37), "")</f>
        <v/>
      </c>
      <c r="E1700" s="4" t="str" cm="1">
        <f t="array" ref="E1700">IFERROR(INDEX(EmployeeData[Gender], ROW() - 37), "")</f>
        <v/>
      </c>
      <c r="F1700" s="4" t="str" cm="1">
        <f t="array" ref="F1700">IFERROR(INDEX(EmployeeData[Age], ROW() - 37), "")</f>
        <v/>
      </c>
      <c r="G1700" s="6" t="str" cm="1">
        <f t="array" ref="G1700">IFERROR(INDEX(EmployeeData[Join Date], ROW() - 37), "")</f>
        <v/>
      </c>
      <c r="H1700" s="6" t="str" cm="1">
        <f t="array" ref="H1700">IFERROR(IF(INDEX(EmployeeData[Exit Date], ROW() - 37)=0, "",INDEX(EmployeeData[Exit Date], ROW() - 37)),"")</f>
        <v/>
      </c>
      <c r="I1700" s="4" t="str" cm="1">
        <f t="array" ref="I1700">IFERROR(IF(INDEX(EmployeeData[Exit Reason], ROW() - 37)=0, "",INDEX(EmployeeData[Exit Reason], ROW() - 37)),"")</f>
        <v/>
      </c>
      <c r="J1700" s="4" t="str" cm="1">
        <f t="array" ref="J1700">IFERROR(INDEX(EmployeeData[Status], ROW() - 37), "")</f>
        <v/>
      </c>
    </row>
    <row r="1701" spans="2:10" ht="19.95" customHeight="1" x14ac:dyDescent="0.3">
      <c r="B1701" s="4" t="str" cm="1">
        <f t="array" ref="B1701">IFERROR(INDEX(EmployeeData[Employee ID], ROW() - 37), "")</f>
        <v/>
      </c>
      <c r="C1701" s="4" t="str" cm="1">
        <f t="array" ref="C1701">IFERROR(INDEX(EmployeeData[Full Name], ROW() - 37), "")</f>
        <v/>
      </c>
      <c r="D1701" s="4" t="str" cm="1">
        <f t="array" ref="D1701">IFERROR(INDEX(EmployeeData[Department], ROW() - 37), "")</f>
        <v/>
      </c>
      <c r="E1701" s="4" t="str" cm="1">
        <f t="array" ref="E1701">IFERROR(INDEX(EmployeeData[Gender], ROW() - 37), "")</f>
        <v/>
      </c>
      <c r="F1701" s="4" t="str" cm="1">
        <f t="array" ref="F1701">IFERROR(INDEX(EmployeeData[Age], ROW() - 37), "")</f>
        <v/>
      </c>
      <c r="G1701" s="6" t="str" cm="1">
        <f t="array" ref="G1701">IFERROR(INDEX(EmployeeData[Join Date], ROW() - 37), "")</f>
        <v/>
      </c>
      <c r="H1701" s="6" t="str" cm="1">
        <f t="array" ref="H1701">IFERROR(IF(INDEX(EmployeeData[Exit Date], ROW() - 37)=0, "",INDEX(EmployeeData[Exit Date], ROW() - 37)),"")</f>
        <v/>
      </c>
      <c r="I1701" s="4" t="str" cm="1">
        <f t="array" ref="I1701">IFERROR(IF(INDEX(EmployeeData[Exit Reason], ROW() - 37)=0, "",INDEX(EmployeeData[Exit Reason], ROW() - 37)),"")</f>
        <v/>
      </c>
      <c r="J1701" s="4" t="str" cm="1">
        <f t="array" ref="J1701">IFERROR(INDEX(EmployeeData[Status], ROW() - 37), "")</f>
        <v/>
      </c>
    </row>
    <row r="1702" spans="2:10" ht="19.95" customHeight="1" x14ac:dyDescent="0.3">
      <c r="B1702" s="4" t="str" cm="1">
        <f t="array" ref="B1702">IFERROR(INDEX(EmployeeData[Employee ID], ROW() - 37), "")</f>
        <v/>
      </c>
      <c r="C1702" s="4" t="str" cm="1">
        <f t="array" ref="C1702">IFERROR(INDEX(EmployeeData[Full Name], ROW() - 37), "")</f>
        <v/>
      </c>
      <c r="D1702" s="4" t="str" cm="1">
        <f t="array" ref="D1702">IFERROR(INDEX(EmployeeData[Department], ROW() - 37), "")</f>
        <v/>
      </c>
      <c r="E1702" s="4" t="str" cm="1">
        <f t="array" ref="E1702">IFERROR(INDEX(EmployeeData[Gender], ROW() - 37), "")</f>
        <v/>
      </c>
      <c r="F1702" s="4" t="str" cm="1">
        <f t="array" ref="F1702">IFERROR(INDEX(EmployeeData[Age], ROW() - 37), "")</f>
        <v/>
      </c>
      <c r="G1702" s="6" t="str" cm="1">
        <f t="array" ref="G1702">IFERROR(INDEX(EmployeeData[Join Date], ROW() - 37), "")</f>
        <v/>
      </c>
      <c r="H1702" s="6" t="str" cm="1">
        <f t="array" ref="H1702">IFERROR(IF(INDEX(EmployeeData[Exit Date], ROW() - 37)=0, "",INDEX(EmployeeData[Exit Date], ROW() - 37)),"")</f>
        <v/>
      </c>
      <c r="I1702" s="4" t="str" cm="1">
        <f t="array" ref="I1702">IFERROR(IF(INDEX(EmployeeData[Exit Reason], ROW() - 37)=0, "",INDEX(EmployeeData[Exit Reason], ROW() - 37)),"")</f>
        <v/>
      </c>
      <c r="J1702" s="4" t="str" cm="1">
        <f t="array" ref="J1702">IFERROR(INDEX(EmployeeData[Status], ROW() - 37), "")</f>
        <v/>
      </c>
    </row>
    <row r="1703" spans="2:10" ht="19.95" customHeight="1" x14ac:dyDescent="0.3">
      <c r="B1703" s="4" t="str" cm="1">
        <f t="array" ref="B1703">IFERROR(INDEX(EmployeeData[Employee ID], ROW() - 37), "")</f>
        <v/>
      </c>
      <c r="C1703" s="4" t="str" cm="1">
        <f t="array" ref="C1703">IFERROR(INDEX(EmployeeData[Full Name], ROW() - 37), "")</f>
        <v/>
      </c>
      <c r="D1703" s="4" t="str" cm="1">
        <f t="array" ref="D1703">IFERROR(INDEX(EmployeeData[Department], ROW() - 37), "")</f>
        <v/>
      </c>
      <c r="E1703" s="4" t="str" cm="1">
        <f t="array" ref="E1703">IFERROR(INDEX(EmployeeData[Gender], ROW() - 37), "")</f>
        <v/>
      </c>
      <c r="F1703" s="4" t="str" cm="1">
        <f t="array" ref="F1703">IFERROR(INDEX(EmployeeData[Age], ROW() - 37), "")</f>
        <v/>
      </c>
      <c r="G1703" s="6" t="str" cm="1">
        <f t="array" ref="G1703">IFERROR(INDEX(EmployeeData[Join Date], ROW() - 37), "")</f>
        <v/>
      </c>
      <c r="H1703" s="6" t="str" cm="1">
        <f t="array" ref="H1703">IFERROR(IF(INDEX(EmployeeData[Exit Date], ROW() - 37)=0, "",INDEX(EmployeeData[Exit Date], ROW() - 37)),"")</f>
        <v/>
      </c>
      <c r="I1703" s="4" t="str" cm="1">
        <f t="array" ref="I1703">IFERROR(IF(INDEX(EmployeeData[Exit Reason], ROW() - 37)=0, "",INDEX(EmployeeData[Exit Reason], ROW() - 37)),"")</f>
        <v/>
      </c>
      <c r="J1703" s="4" t="str" cm="1">
        <f t="array" ref="J1703">IFERROR(INDEX(EmployeeData[Status], ROW() - 37), "")</f>
        <v/>
      </c>
    </row>
    <row r="1704" spans="2:10" ht="19.95" customHeight="1" x14ac:dyDescent="0.3">
      <c r="B1704" s="4" t="str" cm="1">
        <f t="array" ref="B1704">IFERROR(INDEX(EmployeeData[Employee ID], ROW() - 37), "")</f>
        <v/>
      </c>
      <c r="C1704" s="4" t="str" cm="1">
        <f t="array" ref="C1704">IFERROR(INDEX(EmployeeData[Full Name], ROW() - 37), "")</f>
        <v/>
      </c>
      <c r="D1704" s="4" t="str" cm="1">
        <f t="array" ref="D1704">IFERROR(INDEX(EmployeeData[Department], ROW() - 37), "")</f>
        <v/>
      </c>
      <c r="E1704" s="4" t="str" cm="1">
        <f t="array" ref="E1704">IFERROR(INDEX(EmployeeData[Gender], ROW() - 37), "")</f>
        <v/>
      </c>
      <c r="F1704" s="4" t="str" cm="1">
        <f t="array" ref="F1704">IFERROR(INDEX(EmployeeData[Age], ROW() - 37), "")</f>
        <v/>
      </c>
      <c r="G1704" s="6" t="str" cm="1">
        <f t="array" ref="G1704">IFERROR(INDEX(EmployeeData[Join Date], ROW() - 37), "")</f>
        <v/>
      </c>
      <c r="H1704" s="6" t="str" cm="1">
        <f t="array" ref="H1704">IFERROR(IF(INDEX(EmployeeData[Exit Date], ROW() - 37)=0, "",INDEX(EmployeeData[Exit Date], ROW() - 37)),"")</f>
        <v/>
      </c>
      <c r="I1704" s="4" t="str" cm="1">
        <f t="array" ref="I1704">IFERROR(IF(INDEX(EmployeeData[Exit Reason], ROW() - 37)=0, "",INDEX(EmployeeData[Exit Reason], ROW() - 37)),"")</f>
        <v/>
      </c>
      <c r="J1704" s="4" t="str" cm="1">
        <f t="array" ref="J1704">IFERROR(INDEX(EmployeeData[Status], ROW() - 37), "")</f>
        <v/>
      </c>
    </row>
    <row r="1705" spans="2:10" ht="19.95" customHeight="1" x14ac:dyDescent="0.3">
      <c r="B1705" s="4" t="str" cm="1">
        <f t="array" ref="B1705">IFERROR(INDEX(EmployeeData[Employee ID], ROW() - 37), "")</f>
        <v/>
      </c>
      <c r="C1705" s="4" t="str" cm="1">
        <f t="array" ref="C1705">IFERROR(INDEX(EmployeeData[Full Name], ROW() - 37), "")</f>
        <v/>
      </c>
      <c r="D1705" s="4" t="str" cm="1">
        <f t="array" ref="D1705">IFERROR(INDEX(EmployeeData[Department], ROW() - 37), "")</f>
        <v/>
      </c>
      <c r="E1705" s="4" t="str" cm="1">
        <f t="array" ref="E1705">IFERROR(INDEX(EmployeeData[Gender], ROW() - 37), "")</f>
        <v/>
      </c>
      <c r="F1705" s="4" t="str" cm="1">
        <f t="array" ref="F1705">IFERROR(INDEX(EmployeeData[Age], ROW() - 37), "")</f>
        <v/>
      </c>
      <c r="G1705" s="6" t="str" cm="1">
        <f t="array" ref="G1705">IFERROR(INDEX(EmployeeData[Join Date], ROW() - 37), "")</f>
        <v/>
      </c>
      <c r="H1705" s="6" t="str" cm="1">
        <f t="array" ref="H1705">IFERROR(IF(INDEX(EmployeeData[Exit Date], ROW() - 37)=0, "",INDEX(EmployeeData[Exit Date], ROW() - 37)),"")</f>
        <v/>
      </c>
      <c r="I1705" s="4" t="str" cm="1">
        <f t="array" ref="I1705">IFERROR(IF(INDEX(EmployeeData[Exit Reason], ROW() - 37)=0, "",INDEX(EmployeeData[Exit Reason], ROW() - 37)),"")</f>
        <v/>
      </c>
      <c r="J1705" s="4" t="str" cm="1">
        <f t="array" ref="J1705">IFERROR(INDEX(EmployeeData[Status], ROW() - 37), "")</f>
        <v/>
      </c>
    </row>
    <row r="1706" spans="2:10" ht="19.95" customHeight="1" x14ac:dyDescent="0.3">
      <c r="B1706" s="4" t="str" cm="1">
        <f t="array" ref="B1706">IFERROR(INDEX(EmployeeData[Employee ID], ROW() - 37), "")</f>
        <v/>
      </c>
      <c r="C1706" s="4" t="str" cm="1">
        <f t="array" ref="C1706">IFERROR(INDEX(EmployeeData[Full Name], ROW() - 37), "")</f>
        <v/>
      </c>
      <c r="D1706" s="4" t="str" cm="1">
        <f t="array" ref="D1706">IFERROR(INDEX(EmployeeData[Department], ROW() - 37), "")</f>
        <v/>
      </c>
      <c r="E1706" s="4" t="str" cm="1">
        <f t="array" ref="E1706">IFERROR(INDEX(EmployeeData[Gender], ROW() - 37), "")</f>
        <v/>
      </c>
      <c r="F1706" s="4" t="str" cm="1">
        <f t="array" ref="F1706">IFERROR(INDEX(EmployeeData[Age], ROW() - 37), "")</f>
        <v/>
      </c>
      <c r="G1706" s="6" t="str" cm="1">
        <f t="array" ref="G1706">IFERROR(INDEX(EmployeeData[Join Date], ROW() - 37), "")</f>
        <v/>
      </c>
      <c r="H1706" s="6" t="str" cm="1">
        <f t="array" ref="H1706">IFERROR(IF(INDEX(EmployeeData[Exit Date], ROW() - 37)=0, "",INDEX(EmployeeData[Exit Date], ROW() - 37)),"")</f>
        <v/>
      </c>
      <c r="I1706" s="4" t="str" cm="1">
        <f t="array" ref="I1706">IFERROR(IF(INDEX(EmployeeData[Exit Reason], ROW() - 37)=0, "",INDEX(EmployeeData[Exit Reason], ROW() - 37)),"")</f>
        <v/>
      </c>
      <c r="J1706" s="4" t="str" cm="1">
        <f t="array" ref="J1706">IFERROR(INDEX(EmployeeData[Status], ROW() - 37), "")</f>
        <v/>
      </c>
    </row>
    <row r="1707" spans="2:10" ht="19.95" customHeight="1" x14ac:dyDescent="0.3">
      <c r="B1707" s="4" t="str" cm="1">
        <f t="array" ref="B1707">IFERROR(INDEX(EmployeeData[Employee ID], ROW() - 37), "")</f>
        <v/>
      </c>
      <c r="C1707" s="4" t="str" cm="1">
        <f t="array" ref="C1707">IFERROR(INDEX(EmployeeData[Full Name], ROW() - 37), "")</f>
        <v/>
      </c>
      <c r="D1707" s="4" t="str" cm="1">
        <f t="array" ref="D1707">IFERROR(INDEX(EmployeeData[Department], ROW() - 37), "")</f>
        <v/>
      </c>
      <c r="E1707" s="4" t="str" cm="1">
        <f t="array" ref="E1707">IFERROR(INDEX(EmployeeData[Gender], ROW() - 37), "")</f>
        <v/>
      </c>
      <c r="F1707" s="4" t="str" cm="1">
        <f t="array" ref="F1707">IFERROR(INDEX(EmployeeData[Age], ROW() - 37), "")</f>
        <v/>
      </c>
      <c r="G1707" s="6" t="str" cm="1">
        <f t="array" ref="G1707">IFERROR(INDEX(EmployeeData[Join Date], ROW() - 37), "")</f>
        <v/>
      </c>
      <c r="H1707" s="6" t="str" cm="1">
        <f t="array" ref="H1707">IFERROR(IF(INDEX(EmployeeData[Exit Date], ROW() - 37)=0, "",INDEX(EmployeeData[Exit Date], ROW() - 37)),"")</f>
        <v/>
      </c>
      <c r="I1707" s="4" t="str" cm="1">
        <f t="array" ref="I1707">IFERROR(IF(INDEX(EmployeeData[Exit Reason], ROW() - 37)=0, "",INDEX(EmployeeData[Exit Reason], ROW() - 37)),"")</f>
        <v/>
      </c>
      <c r="J1707" s="4" t="str" cm="1">
        <f t="array" ref="J1707">IFERROR(INDEX(EmployeeData[Status], ROW() - 37), "")</f>
        <v/>
      </c>
    </row>
    <row r="1708" spans="2:10" ht="19.95" customHeight="1" x14ac:dyDescent="0.3">
      <c r="B1708" s="4" t="str" cm="1">
        <f t="array" ref="B1708">IFERROR(INDEX(EmployeeData[Employee ID], ROW() - 37), "")</f>
        <v/>
      </c>
      <c r="C1708" s="4" t="str" cm="1">
        <f t="array" ref="C1708">IFERROR(INDEX(EmployeeData[Full Name], ROW() - 37), "")</f>
        <v/>
      </c>
      <c r="D1708" s="4" t="str" cm="1">
        <f t="array" ref="D1708">IFERROR(INDEX(EmployeeData[Department], ROW() - 37), "")</f>
        <v/>
      </c>
      <c r="E1708" s="4" t="str" cm="1">
        <f t="array" ref="E1708">IFERROR(INDEX(EmployeeData[Gender], ROW() - 37), "")</f>
        <v/>
      </c>
      <c r="F1708" s="4" t="str" cm="1">
        <f t="array" ref="F1708">IFERROR(INDEX(EmployeeData[Age], ROW() - 37), "")</f>
        <v/>
      </c>
      <c r="G1708" s="6" t="str" cm="1">
        <f t="array" ref="G1708">IFERROR(INDEX(EmployeeData[Join Date], ROW() - 37), "")</f>
        <v/>
      </c>
      <c r="H1708" s="6" t="str" cm="1">
        <f t="array" ref="H1708">IFERROR(IF(INDEX(EmployeeData[Exit Date], ROW() - 37)=0, "",INDEX(EmployeeData[Exit Date], ROW() - 37)),"")</f>
        <v/>
      </c>
      <c r="I1708" s="4" t="str" cm="1">
        <f t="array" ref="I1708">IFERROR(IF(INDEX(EmployeeData[Exit Reason], ROW() - 37)=0, "",INDEX(EmployeeData[Exit Reason], ROW() - 37)),"")</f>
        <v/>
      </c>
      <c r="J1708" s="4" t="str" cm="1">
        <f t="array" ref="J1708">IFERROR(INDEX(EmployeeData[Status], ROW() - 37), "")</f>
        <v/>
      </c>
    </row>
    <row r="1709" spans="2:10" ht="19.95" customHeight="1" x14ac:dyDescent="0.3">
      <c r="B1709" s="4" t="str" cm="1">
        <f t="array" ref="B1709">IFERROR(INDEX(EmployeeData[Employee ID], ROW() - 37), "")</f>
        <v/>
      </c>
      <c r="C1709" s="4" t="str" cm="1">
        <f t="array" ref="C1709">IFERROR(INDEX(EmployeeData[Full Name], ROW() - 37), "")</f>
        <v/>
      </c>
      <c r="D1709" s="4" t="str" cm="1">
        <f t="array" ref="D1709">IFERROR(INDEX(EmployeeData[Department], ROW() - 37), "")</f>
        <v/>
      </c>
      <c r="E1709" s="4" t="str" cm="1">
        <f t="array" ref="E1709">IFERROR(INDEX(EmployeeData[Gender], ROW() - 37), "")</f>
        <v/>
      </c>
      <c r="F1709" s="4" t="str" cm="1">
        <f t="array" ref="F1709">IFERROR(INDEX(EmployeeData[Age], ROW() - 37), "")</f>
        <v/>
      </c>
      <c r="G1709" s="6" t="str" cm="1">
        <f t="array" ref="G1709">IFERROR(INDEX(EmployeeData[Join Date], ROW() - 37), "")</f>
        <v/>
      </c>
      <c r="H1709" s="6" t="str" cm="1">
        <f t="array" ref="H1709">IFERROR(IF(INDEX(EmployeeData[Exit Date], ROW() - 37)=0, "",INDEX(EmployeeData[Exit Date], ROW() - 37)),"")</f>
        <v/>
      </c>
      <c r="I1709" s="4" t="str" cm="1">
        <f t="array" ref="I1709">IFERROR(IF(INDEX(EmployeeData[Exit Reason], ROW() - 37)=0, "",INDEX(EmployeeData[Exit Reason], ROW() - 37)),"")</f>
        <v/>
      </c>
      <c r="J1709" s="4" t="str" cm="1">
        <f t="array" ref="J1709">IFERROR(INDEX(EmployeeData[Status], ROW() - 37), "")</f>
        <v/>
      </c>
    </row>
    <row r="1710" spans="2:10" ht="19.95" customHeight="1" x14ac:dyDescent="0.3">
      <c r="B1710" s="4" t="str" cm="1">
        <f t="array" ref="B1710">IFERROR(INDEX(EmployeeData[Employee ID], ROW() - 37), "")</f>
        <v/>
      </c>
      <c r="C1710" s="4" t="str" cm="1">
        <f t="array" ref="C1710">IFERROR(INDEX(EmployeeData[Full Name], ROW() - 37), "")</f>
        <v/>
      </c>
      <c r="D1710" s="4" t="str" cm="1">
        <f t="array" ref="D1710">IFERROR(INDEX(EmployeeData[Department], ROW() - 37), "")</f>
        <v/>
      </c>
      <c r="E1710" s="4" t="str" cm="1">
        <f t="array" ref="E1710">IFERROR(INDEX(EmployeeData[Gender], ROW() - 37), "")</f>
        <v/>
      </c>
      <c r="F1710" s="4" t="str" cm="1">
        <f t="array" ref="F1710">IFERROR(INDEX(EmployeeData[Age], ROW() - 37), "")</f>
        <v/>
      </c>
      <c r="G1710" s="6" t="str" cm="1">
        <f t="array" ref="G1710">IFERROR(INDEX(EmployeeData[Join Date], ROW() - 37), "")</f>
        <v/>
      </c>
      <c r="H1710" s="6" t="str" cm="1">
        <f t="array" ref="H1710">IFERROR(IF(INDEX(EmployeeData[Exit Date], ROW() - 37)=0, "",INDEX(EmployeeData[Exit Date], ROW() - 37)),"")</f>
        <v/>
      </c>
      <c r="I1710" s="4" t="str" cm="1">
        <f t="array" ref="I1710">IFERROR(IF(INDEX(EmployeeData[Exit Reason], ROW() - 37)=0, "",INDEX(EmployeeData[Exit Reason], ROW() - 37)),"")</f>
        <v/>
      </c>
      <c r="J1710" s="4" t="str" cm="1">
        <f t="array" ref="J1710">IFERROR(INDEX(EmployeeData[Status], ROW() - 37), "")</f>
        <v/>
      </c>
    </row>
    <row r="1711" spans="2:10" ht="19.95" customHeight="1" x14ac:dyDescent="0.3">
      <c r="B1711" s="4" t="str" cm="1">
        <f t="array" ref="B1711">IFERROR(INDEX(EmployeeData[Employee ID], ROW() - 37), "")</f>
        <v/>
      </c>
      <c r="C1711" s="4" t="str" cm="1">
        <f t="array" ref="C1711">IFERROR(INDEX(EmployeeData[Full Name], ROW() - 37), "")</f>
        <v/>
      </c>
      <c r="D1711" s="4" t="str" cm="1">
        <f t="array" ref="D1711">IFERROR(INDEX(EmployeeData[Department], ROW() - 37), "")</f>
        <v/>
      </c>
      <c r="E1711" s="4" t="str" cm="1">
        <f t="array" ref="E1711">IFERROR(INDEX(EmployeeData[Gender], ROW() - 37), "")</f>
        <v/>
      </c>
      <c r="F1711" s="4" t="str" cm="1">
        <f t="array" ref="F1711">IFERROR(INDEX(EmployeeData[Age], ROW() - 37), "")</f>
        <v/>
      </c>
      <c r="G1711" s="6" t="str" cm="1">
        <f t="array" ref="G1711">IFERROR(INDEX(EmployeeData[Join Date], ROW() - 37), "")</f>
        <v/>
      </c>
      <c r="H1711" s="6" t="str" cm="1">
        <f t="array" ref="H1711">IFERROR(IF(INDEX(EmployeeData[Exit Date], ROW() - 37)=0, "",INDEX(EmployeeData[Exit Date], ROW() - 37)),"")</f>
        <v/>
      </c>
      <c r="I1711" s="4" t="str" cm="1">
        <f t="array" ref="I1711">IFERROR(IF(INDEX(EmployeeData[Exit Reason], ROW() - 37)=0, "",INDEX(EmployeeData[Exit Reason], ROW() - 37)),"")</f>
        <v/>
      </c>
      <c r="J1711" s="4" t="str" cm="1">
        <f t="array" ref="J1711">IFERROR(INDEX(EmployeeData[Status], ROW() - 37), "")</f>
        <v/>
      </c>
    </row>
    <row r="1712" spans="2:10" ht="19.95" customHeight="1" x14ac:dyDescent="0.3">
      <c r="B1712" s="4" t="str" cm="1">
        <f t="array" ref="B1712">IFERROR(INDEX(EmployeeData[Employee ID], ROW() - 37), "")</f>
        <v/>
      </c>
      <c r="C1712" s="4" t="str" cm="1">
        <f t="array" ref="C1712">IFERROR(INDEX(EmployeeData[Full Name], ROW() - 37), "")</f>
        <v/>
      </c>
      <c r="D1712" s="4" t="str" cm="1">
        <f t="array" ref="D1712">IFERROR(INDEX(EmployeeData[Department], ROW() - 37), "")</f>
        <v/>
      </c>
      <c r="E1712" s="4" t="str" cm="1">
        <f t="array" ref="E1712">IFERROR(INDEX(EmployeeData[Gender], ROW() - 37), "")</f>
        <v/>
      </c>
      <c r="F1712" s="4" t="str" cm="1">
        <f t="array" ref="F1712">IFERROR(INDEX(EmployeeData[Age], ROW() - 37), "")</f>
        <v/>
      </c>
      <c r="G1712" s="6" t="str" cm="1">
        <f t="array" ref="G1712">IFERROR(INDEX(EmployeeData[Join Date], ROW() - 37), "")</f>
        <v/>
      </c>
      <c r="H1712" s="6" t="str" cm="1">
        <f t="array" ref="H1712">IFERROR(IF(INDEX(EmployeeData[Exit Date], ROW() - 37)=0, "",INDEX(EmployeeData[Exit Date], ROW() - 37)),"")</f>
        <v/>
      </c>
      <c r="I1712" s="4" t="str" cm="1">
        <f t="array" ref="I1712">IFERROR(IF(INDEX(EmployeeData[Exit Reason], ROW() - 37)=0, "",INDEX(EmployeeData[Exit Reason], ROW() - 37)),"")</f>
        <v/>
      </c>
      <c r="J1712" s="4" t="str" cm="1">
        <f t="array" ref="J1712">IFERROR(INDEX(EmployeeData[Status], ROW() - 37), "")</f>
        <v/>
      </c>
    </row>
    <row r="1713" spans="2:10" ht="19.95" customHeight="1" x14ac:dyDescent="0.3">
      <c r="B1713" s="4" t="str" cm="1">
        <f t="array" ref="B1713">IFERROR(INDEX(EmployeeData[Employee ID], ROW() - 37), "")</f>
        <v/>
      </c>
      <c r="C1713" s="4" t="str" cm="1">
        <f t="array" ref="C1713">IFERROR(INDEX(EmployeeData[Full Name], ROW() - 37), "")</f>
        <v/>
      </c>
      <c r="D1713" s="4" t="str" cm="1">
        <f t="array" ref="D1713">IFERROR(INDEX(EmployeeData[Department], ROW() - 37), "")</f>
        <v/>
      </c>
      <c r="E1713" s="4" t="str" cm="1">
        <f t="array" ref="E1713">IFERROR(INDEX(EmployeeData[Gender], ROW() - 37), "")</f>
        <v/>
      </c>
      <c r="F1713" s="4" t="str" cm="1">
        <f t="array" ref="F1713">IFERROR(INDEX(EmployeeData[Age], ROW() - 37), "")</f>
        <v/>
      </c>
      <c r="G1713" s="6" t="str" cm="1">
        <f t="array" ref="G1713">IFERROR(INDEX(EmployeeData[Join Date], ROW() - 37), "")</f>
        <v/>
      </c>
      <c r="H1713" s="6" t="str" cm="1">
        <f t="array" ref="H1713">IFERROR(IF(INDEX(EmployeeData[Exit Date], ROW() - 37)=0, "",INDEX(EmployeeData[Exit Date], ROW() - 37)),"")</f>
        <v/>
      </c>
      <c r="I1713" s="4" t="str" cm="1">
        <f t="array" ref="I1713">IFERROR(IF(INDEX(EmployeeData[Exit Reason], ROW() - 37)=0, "",INDEX(EmployeeData[Exit Reason], ROW() - 37)),"")</f>
        <v/>
      </c>
      <c r="J1713" s="4" t="str" cm="1">
        <f t="array" ref="J1713">IFERROR(INDEX(EmployeeData[Status], ROW() - 37), "")</f>
        <v/>
      </c>
    </row>
    <row r="1714" spans="2:10" ht="19.95" customHeight="1" x14ac:dyDescent="0.3">
      <c r="B1714" s="4" t="str" cm="1">
        <f t="array" ref="B1714">IFERROR(INDEX(EmployeeData[Employee ID], ROW() - 37), "")</f>
        <v/>
      </c>
      <c r="C1714" s="4" t="str" cm="1">
        <f t="array" ref="C1714">IFERROR(INDEX(EmployeeData[Full Name], ROW() - 37), "")</f>
        <v/>
      </c>
      <c r="D1714" s="4" t="str" cm="1">
        <f t="array" ref="D1714">IFERROR(INDEX(EmployeeData[Department], ROW() - 37), "")</f>
        <v/>
      </c>
      <c r="E1714" s="4" t="str" cm="1">
        <f t="array" ref="E1714">IFERROR(INDEX(EmployeeData[Gender], ROW() - 37), "")</f>
        <v/>
      </c>
      <c r="F1714" s="4" t="str" cm="1">
        <f t="array" ref="F1714">IFERROR(INDEX(EmployeeData[Age], ROW() - 37), "")</f>
        <v/>
      </c>
      <c r="G1714" s="6" t="str" cm="1">
        <f t="array" ref="G1714">IFERROR(INDEX(EmployeeData[Join Date], ROW() - 37), "")</f>
        <v/>
      </c>
      <c r="H1714" s="6" t="str" cm="1">
        <f t="array" ref="H1714">IFERROR(IF(INDEX(EmployeeData[Exit Date], ROW() - 37)=0, "",INDEX(EmployeeData[Exit Date], ROW() - 37)),"")</f>
        <v/>
      </c>
      <c r="I1714" s="4" t="str" cm="1">
        <f t="array" ref="I1714">IFERROR(IF(INDEX(EmployeeData[Exit Reason], ROW() - 37)=0, "",INDEX(EmployeeData[Exit Reason], ROW() - 37)),"")</f>
        <v/>
      </c>
      <c r="J1714" s="4" t="str" cm="1">
        <f t="array" ref="J1714">IFERROR(INDEX(EmployeeData[Status], ROW() - 37), "")</f>
        <v/>
      </c>
    </row>
    <row r="1715" spans="2:10" ht="19.95" customHeight="1" x14ac:dyDescent="0.3">
      <c r="B1715" s="4" t="str" cm="1">
        <f t="array" ref="B1715">IFERROR(INDEX(EmployeeData[Employee ID], ROW() - 37), "")</f>
        <v/>
      </c>
      <c r="C1715" s="4" t="str" cm="1">
        <f t="array" ref="C1715">IFERROR(INDEX(EmployeeData[Full Name], ROW() - 37), "")</f>
        <v/>
      </c>
      <c r="D1715" s="4" t="str" cm="1">
        <f t="array" ref="D1715">IFERROR(INDEX(EmployeeData[Department], ROW() - 37), "")</f>
        <v/>
      </c>
      <c r="E1715" s="4" t="str" cm="1">
        <f t="array" ref="E1715">IFERROR(INDEX(EmployeeData[Gender], ROW() - 37), "")</f>
        <v/>
      </c>
      <c r="F1715" s="4" t="str" cm="1">
        <f t="array" ref="F1715">IFERROR(INDEX(EmployeeData[Age], ROW() - 37), "")</f>
        <v/>
      </c>
      <c r="G1715" s="6" t="str" cm="1">
        <f t="array" ref="G1715">IFERROR(INDEX(EmployeeData[Join Date], ROW() - 37), "")</f>
        <v/>
      </c>
      <c r="H1715" s="6" t="str" cm="1">
        <f t="array" ref="H1715">IFERROR(IF(INDEX(EmployeeData[Exit Date], ROW() - 37)=0, "",INDEX(EmployeeData[Exit Date], ROW() - 37)),"")</f>
        <v/>
      </c>
      <c r="I1715" s="4" t="str" cm="1">
        <f t="array" ref="I1715">IFERROR(IF(INDEX(EmployeeData[Exit Reason], ROW() - 37)=0, "",INDEX(EmployeeData[Exit Reason], ROW() - 37)),"")</f>
        <v/>
      </c>
      <c r="J1715" s="4" t="str" cm="1">
        <f t="array" ref="J1715">IFERROR(INDEX(EmployeeData[Status], ROW() - 37), "")</f>
        <v/>
      </c>
    </row>
    <row r="1716" spans="2:10" ht="19.95" customHeight="1" x14ac:dyDescent="0.3">
      <c r="B1716" s="4" t="str" cm="1">
        <f t="array" ref="B1716">IFERROR(INDEX(EmployeeData[Employee ID], ROW() - 37), "")</f>
        <v/>
      </c>
      <c r="C1716" s="4" t="str" cm="1">
        <f t="array" ref="C1716">IFERROR(INDEX(EmployeeData[Full Name], ROW() - 37), "")</f>
        <v/>
      </c>
      <c r="D1716" s="4" t="str" cm="1">
        <f t="array" ref="D1716">IFERROR(INDEX(EmployeeData[Department], ROW() - 37), "")</f>
        <v/>
      </c>
      <c r="E1716" s="4" t="str" cm="1">
        <f t="array" ref="E1716">IFERROR(INDEX(EmployeeData[Gender], ROW() - 37), "")</f>
        <v/>
      </c>
      <c r="F1716" s="4" t="str" cm="1">
        <f t="array" ref="F1716">IFERROR(INDEX(EmployeeData[Age], ROW() - 37), "")</f>
        <v/>
      </c>
      <c r="G1716" s="6" t="str" cm="1">
        <f t="array" ref="G1716">IFERROR(INDEX(EmployeeData[Join Date], ROW() - 37), "")</f>
        <v/>
      </c>
      <c r="H1716" s="6" t="str" cm="1">
        <f t="array" ref="H1716">IFERROR(IF(INDEX(EmployeeData[Exit Date], ROW() - 37)=0, "",INDEX(EmployeeData[Exit Date], ROW() - 37)),"")</f>
        <v/>
      </c>
      <c r="I1716" s="4" t="str" cm="1">
        <f t="array" ref="I1716">IFERROR(IF(INDEX(EmployeeData[Exit Reason], ROW() - 37)=0, "",INDEX(EmployeeData[Exit Reason], ROW() - 37)),"")</f>
        <v/>
      </c>
      <c r="J1716" s="4" t="str" cm="1">
        <f t="array" ref="J1716">IFERROR(INDEX(EmployeeData[Status], ROW() - 37), "")</f>
        <v/>
      </c>
    </row>
    <row r="1717" spans="2:10" ht="19.95" customHeight="1" x14ac:dyDescent="0.3">
      <c r="B1717" s="4" t="str" cm="1">
        <f t="array" ref="B1717">IFERROR(INDEX(EmployeeData[Employee ID], ROW() - 37), "")</f>
        <v/>
      </c>
      <c r="C1717" s="4" t="str" cm="1">
        <f t="array" ref="C1717">IFERROR(INDEX(EmployeeData[Full Name], ROW() - 37), "")</f>
        <v/>
      </c>
      <c r="D1717" s="4" t="str" cm="1">
        <f t="array" ref="D1717">IFERROR(INDEX(EmployeeData[Department], ROW() - 37), "")</f>
        <v/>
      </c>
      <c r="E1717" s="4" t="str" cm="1">
        <f t="array" ref="E1717">IFERROR(INDEX(EmployeeData[Gender], ROW() - 37), "")</f>
        <v/>
      </c>
      <c r="F1717" s="4" t="str" cm="1">
        <f t="array" ref="F1717">IFERROR(INDEX(EmployeeData[Age], ROW() - 37), "")</f>
        <v/>
      </c>
      <c r="G1717" s="6" t="str" cm="1">
        <f t="array" ref="G1717">IFERROR(INDEX(EmployeeData[Join Date], ROW() - 37), "")</f>
        <v/>
      </c>
      <c r="H1717" s="6" t="str" cm="1">
        <f t="array" ref="H1717">IFERROR(IF(INDEX(EmployeeData[Exit Date], ROW() - 37)=0, "",INDEX(EmployeeData[Exit Date], ROW() - 37)),"")</f>
        <v/>
      </c>
      <c r="I1717" s="4" t="str" cm="1">
        <f t="array" ref="I1717">IFERROR(IF(INDEX(EmployeeData[Exit Reason], ROW() - 37)=0, "",INDEX(EmployeeData[Exit Reason], ROW() - 37)),"")</f>
        <v/>
      </c>
      <c r="J1717" s="4" t="str" cm="1">
        <f t="array" ref="J1717">IFERROR(INDEX(EmployeeData[Status], ROW() - 37), "")</f>
        <v/>
      </c>
    </row>
    <row r="1718" spans="2:10" ht="19.95" customHeight="1" x14ac:dyDescent="0.3">
      <c r="B1718" s="4" t="str" cm="1">
        <f t="array" ref="B1718">IFERROR(INDEX(EmployeeData[Employee ID], ROW() - 37), "")</f>
        <v/>
      </c>
      <c r="C1718" s="4" t="str" cm="1">
        <f t="array" ref="C1718">IFERROR(INDEX(EmployeeData[Full Name], ROW() - 37), "")</f>
        <v/>
      </c>
      <c r="D1718" s="4" t="str" cm="1">
        <f t="array" ref="D1718">IFERROR(INDEX(EmployeeData[Department], ROW() - 37), "")</f>
        <v/>
      </c>
      <c r="E1718" s="4" t="str" cm="1">
        <f t="array" ref="E1718">IFERROR(INDEX(EmployeeData[Gender], ROW() - 37), "")</f>
        <v/>
      </c>
      <c r="F1718" s="4" t="str" cm="1">
        <f t="array" ref="F1718">IFERROR(INDEX(EmployeeData[Age], ROW() - 37), "")</f>
        <v/>
      </c>
      <c r="G1718" s="6" t="str" cm="1">
        <f t="array" ref="G1718">IFERROR(INDEX(EmployeeData[Join Date], ROW() - 37), "")</f>
        <v/>
      </c>
      <c r="H1718" s="6" t="str" cm="1">
        <f t="array" ref="H1718">IFERROR(IF(INDEX(EmployeeData[Exit Date], ROW() - 37)=0, "",INDEX(EmployeeData[Exit Date], ROW() - 37)),"")</f>
        <v/>
      </c>
      <c r="I1718" s="4" t="str" cm="1">
        <f t="array" ref="I1718">IFERROR(IF(INDEX(EmployeeData[Exit Reason], ROW() - 37)=0, "",INDEX(EmployeeData[Exit Reason], ROW() - 37)),"")</f>
        <v/>
      </c>
      <c r="J1718" s="4" t="str" cm="1">
        <f t="array" ref="J1718">IFERROR(INDEX(EmployeeData[Status], ROW() - 37), "")</f>
        <v/>
      </c>
    </row>
    <row r="1719" spans="2:10" ht="19.95" customHeight="1" x14ac:dyDescent="0.3">
      <c r="B1719" s="4" t="str" cm="1">
        <f t="array" ref="B1719">IFERROR(INDEX(EmployeeData[Employee ID], ROW() - 37), "")</f>
        <v/>
      </c>
      <c r="C1719" s="4" t="str" cm="1">
        <f t="array" ref="C1719">IFERROR(INDEX(EmployeeData[Full Name], ROW() - 37), "")</f>
        <v/>
      </c>
      <c r="D1719" s="4" t="str" cm="1">
        <f t="array" ref="D1719">IFERROR(INDEX(EmployeeData[Department], ROW() - 37), "")</f>
        <v/>
      </c>
      <c r="E1719" s="4" t="str" cm="1">
        <f t="array" ref="E1719">IFERROR(INDEX(EmployeeData[Gender], ROW() - 37), "")</f>
        <v/>
      </c>
      <c r="F1719" s="4" t="str" cm="1">
        <f t="array" ref="F1719">IFERROR(INDEX(EmployeeData[Age], ROW() - 37), "")</f>
        <v/>
      </c>
      <c r="G1719" s="6" t="str" cm="1">
        <f t="array" ref="G1719">IFERROR(INDEX(EmployeeData[Join Date], ROW() - 37), "")</f>
        <v/>
      </c>
      <c r="H1719" s="6" t="str" cm="1">
        <f t="array" ref="H1719">IFERROR(IF(INDEX(EmployeeData[Exit Date], ROW() - 37)=0, "",INDEX(EmployeeData[Exit Date], ROW() - 37)),"")</f>
        <v/>
      </c>
      <c r="I1719" s="4" t="str" cm="1">
        <f t="array" ref="I1719">IFERROR(IF(INDEX(EmployeeData[Exit Reason], ROW() - 37)=0, "",INDEX(EmployeeData[Exit Reason], ROW() - 37)),"")</f>
        <v/>
      </c>
      <c r="J1719" s="4" t="str" cm="1">
        <f t="array" ref="J1719">IFERROR(INDEX(EmployeeData[Status], ROW() - 37), "")</f>
        <v/>
      </c>
    </row>
    <row r="1720" spans="2:10" ht="19.95" customHeight="1" x14ac:dyDescent="0.3">
      <c r="B1720" s="4" t="str" cm="1">
        <f t="array" ref="B1720">IFERROR(INDEX(EmployeeData[Employee ID], ROW() - 37), "")</f>
        <v/>
      </c>
      <c r="C1720" s="4" t="str" cm="1">
        <f t="array" ref="C1720">IFERROR(INDEX(EmployeeData[Full Name], ROW() - 37), "")</f>
        <v/>
      </c>
      <c r="D1720" s="4" t="str" cm="1">
        <f t="array" ref="D1720">IFERROR(INDEX(EmployeeData[Department], ROW() - 37), "")</f>
        <v/>
      </c>
      <c r="E1720" s="4" t="str" cm="1">
        <f t="array" ref="E1720">IFERROR(INDEX(EmployeeData[Gender], ROW() - 37), "")</f>
        <v/>
      </c>
      <c r="F1720" s="4" t="str" cm="1">
        <f t="array" ref="F1720">IFERROR(INDEX(EmployeeData[Age], ROW() - 37), "")</f>
        <v/>
      </c>
      <c r="G1720" s="6" t="str" cm="1">
        <f t="array" ref="G1720">IFERROR(INDEX(EmployeeData[Join Date], ROW() - 37), "")</f>
        <v/>
      </c>
      <c r="H1720" s="6" t="str" cm="1">
        <f t="array" ref="H1720">IFERROR(IF(INDEX(EmployeeData[Exit Date], ROW() - 37)=0, "",INDEX(EmployeeData[Exit Date], ROW() - 37)),"")</f>
        <v/>
      </c>
      <c r="I1720" s="4" t="str" cm="1">
        <f t="array" ref="I1720">IFERROR(IF(INDEX(EmployeeData[Exit Reason], ROW() - 37)=0, "",INDEX(EmployeeData[Exit Reason], ROW() - 37)),"")</f>
        <v/>
      </c>
      <c r="J1720" s="4" t="str" cm="1">
        <f t="array" ref="J1720">IFERROR(INDEX(EmployeeData[Status], ROW() - 37), "")</f>
        <v/>
      </c>
    </row>
    <row r="1721" spans="2:10" ht="19.95" customHeight="1" x14ac:dyDescent="0.3">
      <c r="B1721" s="4" t="str" cm="1">
        <f t="array" ref="B1721">IFERROR(INDEX(EmployeeData[Employee ID], ROW() - 37), "")</f>
        <v/>
      </c>
      <c r="C1721" s="4" t="str" cm="1">
        <f t="array" ref="C1721">IFERROR(INDEX(EmployeeData[Full Name], ROW() - 37), "")</f>
        <v/>
      </c>
      <c r="D1721" s="4" t="str" cm="1">
        <f t="array" ref="D1721">IFERROR(INDEX(EmployeeData[Department], ROW() - 37), "")</f>
        <v/>
      </c>
      <c r="E1721" s="4" t="str" cm="1">
        <f t="array" ref="E1721">IFERROR(INDEX(EmployeeData[Gender], ROW() - 37), "")</f>
        <v/>
      </c>
      <c r="F1721" s="4" t="str" cm="1">
        <f t="array" ref="F1721">IFERROR(INDEX(EmployeeData[Age], ROW() - 37), "")</f>
        <v/>
      </c>
      <c r="G1721" s="6" t="str" cm="1">
        <f t="array" ref="G1721">IFERROR(INDEX(EmployeeData[Join Date], ROW() - 37), "")</f>
        <v/>
      </c>
      <c r="H1721" s="6" t="str" cm="1">
        <f t="array" ref="H1721">IFERROR(IF(INDEX(EmployeeData[Exit Date], ROW() - 37)=0, "",INDEX(EmployeeData[Exit Date], ROW() - 37)),"")</f>
        <v/>
      </c>
      <c r="I1721" s="4" t="str" cm="1">
        <f t="array" ref="I1721">IFERROR(IF(INDEX(EmployeeData[Exit Reason], ROW() - 37)=0, "",INDEX(EmployeeData[Exit Reason], ROW() - 37)),"")</f>
        <v/>
      </c>
      <c r="J1721" s="4" t="str" cm="1">
        <f t="array" ref="J1721">IFERROR(INDEX(EmployeeData[Status], ROW() - 37), "")</f>
        <v/>
      </c>
    </row>
    <row r="1722" spans="2:10" ht="19.95" customHeight="1" x14ac:dyDescent="0.3">
      <c r="B1722" s="4" t="str" cm="1">
        <f t="array" ref="B1722">IFERROR(INDEX(EmployeeData[Employee ID], ROW() - 37), "")</f>
        <v/>
      </c>
      <c r="C1722" s="4" t="str" cm="1">
        <f t="array" ref="C1722">IFERROR(INDEX(EmployeeData[Full Name], ROW() - 37), "")</f>
        <v/>
      </c>
      <c r="D1722" s="4" t="str" cm="1">
        <f t="array" ref="D1722">IFERROR(INDEX(EmployeeData[Department], ROW() - 37), "")</f>
        <v/>
      </c>
      <c r="E1722" s="4" t="str" cm="1">
        <f t="array" ref="E1722">IFERROR(INDEX(EmployeeData[Gender], ROW() - 37), "")</f>
        <v/>
      </c>
      <c r="F1722" s="4" t="str" cm="1">
        <f t="array" ref="F1722">IFERROR(INDEX(EmployeeData[Age], ROW() - 37), "")</f>
        <v/>
      </c>
      <c r="G1722" s="6" t="str" cm="1">
        <f t="array" ref="G1722">IFERROR(INDEX(EmployeeData[Join Date], ROW() - 37), "")</f>
        <v/>
      </c>
      <c r="H1722" s="6" t="str" cm="1">
        <f t="array" ref="H1722">IFERROR(IF(INDEX(EmployeeData[Exit Date], ROW() - 37)=0, "",INDEX(EmployeeData[Exit Date], ROW() - 37)),"")</f>
        <v/>
      </c>
      <c r="I1722" s="4" t="str" cm="1">
        <f t="array" ref="I1722">IFERROR(IF(INDEX(EmployeeData[Exit Reason], ROW() - 37)=0, "",INDEX(EmployeeData[Exit Reason], ROW() - 37)),"")</f>
        <v/>
      </c>
      <c r="J1722" s="4" t="str" cm="1">
        <f t="array" ref="J1722">IFERROR(INDEX(EmployeeData[Status], ROW() - 37), "")</f>
        <v/>
      </c>
    </row>
    <row r="1723" spans="2:10" ht="19.95" customHeight="1" x14ac:dyDescent="0.3">
      <c r="B1723" s="4" t="str" cm="1">
        <f t="array" ref="B1723">IFERROR(INDEX(EmployeeData[Employee ID], ROW() - 37), "")</f>
        <v/>
      </c>
      <c r="C1723" s="4" t="str" cm="1">
        <f t="array" ref="C1723">IFERROR(INDEX(EmployeeData[Full Name], ROW() - 37), "")</f>
        <v/>
      </c>
      <c r="D1723" s="4" t="str" cm="1">
        <f t="array" ref="D1723">IFERROR(INDEX(EmployeeData[Department], ROW() - 37), "")</f>
        <v/>
      </c>
      <c r="E1723" s="4" t="str" cm="1">
        <f t="array" ref="E1723">IFERROR(INDEX(EmployeeData[Gender], ROW() - 37), "")</f>
        <v/>
      </c>
      <c r="F1723" s="4" t="str" cm="1">
        <f t="array" ref="F1723">IFERROR(INDEX(EmployeeData[Age], ROW() - 37), "")</f>
        <v/>
      </c>
      <c r="G1723" s="6" t="str" cm="1">
        <f t="array" ref="G1723">IFERROR(INDEX(EmployeeData[Join Date], ROW() - 37), "")</f>
        <v/>
      </c>
      <c r="H1723" s="6" t="str" cm="1">
        <f t="array" ref="H1723">IFERROR(IF(INDEX(EmployeeData[Exit Date], ROW() - 37)=0, "",INDEX(EmployeeData[Exit Date], ROW() - 37)),"")</f>
        <v/>
      </c>
      <c r="I1723" s="4" t="str" cm="1">
        <f t="array" ref="I1723">IFERROR(IF(INDEX(EmployeeData[Exit Reason], ROW() - 37)=0, "",INDEX(EmployeeData[Exit Reason], ROW() - 37)),"")</f>
        <v/>
      </c>
      <c r="J1723" s="4" t="str" cm="1">
        <f t="array" ref="J1723">IFERROR(INDEX(EmployeeData[Status], ROW() - 37), "")</f>
        <v/>
      </c>
    </row>
    <row r="1724" spans="2:10" ht="19.95" customHeight="1" x14ac:dyDescent="0.3">
      <c r="B1724" s="4" t="str" cm="1">
        <f t="array" ref="B1724">IFERROR(INDEX(EmployeeData[Employee ID], ROW() - 37), "")</f>
        <v/>
      </c>
      <c r="C1724" s="4" t="str" cm="1">
        <f t="array" ref="C1724">IFERROR(INDEX(EmployeeData[Full Name], ROW() - 37), "")</f>
        <v/>
      </c>
      <c r="D1724" s="4" t="str" cm="1">
        <f t="array" ref="D1724">IFERROR(INDEX(EmployeeData[Department], ROW() - 37), "")</f>
        <v/>
      </c>
      <c r="E1724" s="4" t="str" cm="1">
        <f t="array" ref="E1724">IFERROR(INDEX(EmployeeData[Gender], ROW() - 37), "")</f>
        <v/>
      </c>
      <c r="F1724" s="4" t="str" cm="1">
        <f t="array" ref="F1724">IFERROR(INDEX(EmployeeData[Age], ROW() - 37), "")</f>
        <v/>
      </c>
      <c r="G1724" s="6" t="str" cm="1">
        <f t="array" ref="G1724">IFERROR(INDEX(EmployeeData[Join Date], ROW() - 37), "")</f>
        <v/>
      </c>
      <c r="H1724" s="6" t="str" cm="1">
        <f t="array" ref="H1724">IFERROR(IF(INDEX(EmployeeData[Exit Date], ROW() - 37)=0, "",INDEX(EmployeeData[Exit Date], ROW() - 37)),"")</f>
        <v/>
      </c>
      <c r="I1724" s="4" t="str" cm="1">
        <f t="array" ref="I1724">IFERROR(IF(INDEX(EmployeeData[Exit Reason], ROW() - 37)=0, "",INDEX(EmployeeData[Exit Reason], ROW() - 37)),"")</f>
        <v/>
      </c>
      <c r="J1724" s="4" t="str" cm="1">
        <f t="array" ref="J1724">IFERROR(INDEX(EmployeeData[Status], ROW() - 37), "")</f>
        <v/>
      </c>
    </row>
    <row r="1725" spans="2:10" ht="19.95" customHeight="1" x14ac:dyDescent="0.3">
      <c r="B1725" s="4" t="str" cm="1">
        <f t="array" ref="B1725">IFERROR(INDEX(EmployeeData[Employee ID], ROW() - 37), "")</f>
        <v/>
      </c>
      <c r="C1725" s="4" t="str" cm="1">
        <f t="array" ref="C1725">IFERROR(INDEX(EmployeeData[Full Name], ROW() - 37), "")</f>
        <v/>
      </c>
      <c r="D1725" s="4" t="str" cm="1">
        <f t="array" ref="D1725">IFERROR(INDEX(EmployeeData[Department], ROW() - 37), "")</f>
        <v/>
      </c>
      <c r="E1725" s="4" t="str" cm="1">
        <f t="array" ref="E1725">IFERROR(INDEX(EmployeeData[Gender], ROW() - 37), "")</f>
        <v/>
      </c>
      <c r="F1725" s="4" t="str" cm="1">
        <f t="array" ref="F1725">IFERROR(INDEX(EmployeeData[Age], ROW() - 37), "")</f>
        <v/>
      </c>
      <c r="G1725" s="6" t="str" cm="1">
        <f t="array" ref="G1725">IFERROR(INDEX(EmployeeData[Join Date], ROW() - 37), "")</f>
        <v/>
      </c>
      <c r="H1725" s="6" t="str" cm="1">
        <f t="array" ref="H1725">IFERROR(IF(INDEX(EmployeeData[Exit Date], ROW() - 37)=0, "",INDEX(EmployeeData[Exit Date], ROW() - 37)),"")</f>
        <v/>
      </c>
      <c r="I1725" s="4" t="str" cm="1">
        <f t="array" ref="I1725">IFERROR(IF(INDEX(EmployeeData[Exit Reason], ROW() - 37)=0, "",INDEX(EmployeeData[Exit Reason], ROW() - 37)),"")</f>
        <v/>
      </c>
      <c r="J1725" s="4" t="str" cm="1">
        <f t="array" ref="J1725">IFERROR(INDEX(EmployeeData[Status], ROW() - 37), "")</f>
        <v/>
      </c>
    </row>
    <row r="1726" spans="2:10" ht="19.95" customHeight="1" x14ac:dyDescent="0.3">
      <c r="B1726" s="4" t="str" cm="1">
        <f t="array" ref="B1726">IFERROR(INDEX(EmployeeData[Employee ID], ROW() - 37), "")</f>
        <v/>
      </c>
      <c r="C1726" s="4" t="str" cm="1">
        <f t="array" ref="C1726">IFERROR(INDEX(EmployeeData[Full Name], ROW() - 37), "")</f>
        <v/>
      </c>
      <c r="D1726" s="4" t="str" cm="1">
        <f t="array" ref="D1726">IFERROR(INDEX(EmployeeData[Department], ROW() - 37), "")</f>
        <v/>
      </c>
      <c r="E1726" s="4" t="str" cm="1">
        <f t="array" ref="E1726">IFERROR(INDEX(EmployeeData[Gender], ROW() - 37), "")</f>
        <v/>
      </c>
      <c r="F1726" s="4" t="str" cm="1">
        <f t="array" ref="F1726">IFERROR(INDEX(EmployeeData[Age], ROW() - 37), "")</f>
        <v/>
      </c>
      <c r="G1726" s="6" t="str" cm="1">
        <f t="array" ref="G1726">IFERROR(INDEX(EmployeeData[Join Date], ROW() - 37), "")</f>
        <v/>
      </c>
      <c r="H1726" s="6" t="str" cm="1">
        <f t="array" ref="H1726">IFERROR(IF(INDEX(EmployeeData[Exit Date], ROW() - 37)=0, "",INDEX(EmployeeData[Exit Date], ROW() - 37)),"")</f>
        <v/>
      </c>
      <c r="I1726" s="4" t="str" cm="1">
        <f t="array" ref="I1726">IFERROR(IF(INDEX(EmployeeData[Exit Reason], ROW() - 37)=0, "",INDEX(EmployeeData[Exit Reason], ROW() - 37)),"")</f>
        <v/>
      </c>
      <c r="J1726" s="4" t="str" cm="1">
        <f t="array" ref="J1726">IFERROR(INDEX(EmployeeData[Status], ROW() - 37), "")</f>
        <v/>
      </c>
    </row>
    <row r="1727" spans="2:10" ht="19.95" customHeight="1" x14ac:dyDescent="0.3">
      <c r="B1727" s="4" t="str" cm="1">
        <f t="array" ref="B1727">IFERROR(INDEX(EmployeeData[Employee ID], ROW() - 37), "")</f>
        <v/>
      </c>
      <c r="C1727" s="4" t="str" cm="1">
        <f t="array" ref="C1727">IFERROR(INDEX(EmployeeData[Full Name], ROW() - 37), "")</f>
        <v/>
      </c>
      <c r="D1727" s="4" t="str" cm="1">
        <f t="array" ref="D1727">IFERROR(INDEX(EmployeeData[Department], ROW() - 37), "")</f>
        <v/>
      </c>
      <c r="E1727" s="4" t="str" cm="1">
        <f t="array" ref="E1727">IFERROR(INDEX(EmployeeData[Gender], ROW() - 37), "")</f>
        <v/>
      </c>
      <c r="F1727" s="4" t="str" cm="1">
        <f t="array" ref="F1727">IFERROR(INDEX(EmployeeData[Age], ROW() - 37), "")</f>
        <v/>
      </c>
      <c r="G1727" s="6" t="str" cm="1">
        <f t="array" ref="G1727">IFERROR(INDEX(EmployeeData[Join Date], ROW() - 37), "")</f>
        <v/>
      </c>
      <c r="H1727" s="6" t="str" cm="1">
        <f t="array" ref="H1727">IFERROR(IF(INDEX(EmployeeData[Exit Date], ROW() - 37)=0, "",INDEX(EmployeeData[Exit Date], ROW() - 37)),"")</f>
        <v/>
      </c>
      <c r="I1727" s="4" t="str" cm="1">
        <f t="array" ref="I1727">IFERROR(IF(INDEX(EmployeeData[Exit Reason], ROW() - 37)=0, "",INDEX(EmployeeData[Exit Reason], ROW() - 37)),"")</f>
        <v/>
      </c>
      <c r="J1727" s="4" t="str" cm="1">
        <f t="array" ref="J1727">IFERROR(INDEX(EmployeeData[Status], ROW() - 37), "")</f>
        <v/>
      </c>
    </row>
    <row r="1728" spans="2:10" ht="19.95" customHeight="1" x14ac:dyDescent="0.3">
      <c r="B1728" s="4" t="str" cm="1">
        <f t="array" ref="B1728">IFERROR(INDEX(EmployeeData[Employee ID], ROW() - 37), "")</f>
        <v/>
      </c>
      <c r="C1728" s="4" t="str" cm="1">
        <f t="array" ref="C1728">IFERROR(INDEX(EmployeeData[Full Name], ROW() - 37), "")</f>
        <v/>
      </c>
      <c r="D1728" s="4" t="str" cm="1">
        <f t="array" ref="D1728">IFERROR(INDEX(EmployeeData[Department], ROW() - 37), "")</f>
        <v/>
      </c>
      <c r="E1728" s="4" t="str" cm="1">
        <f t="array" ref="E1728">IFERROR(INDEX(EmployeeData[Gender], ROW() - 37), "")</f>
        <v/>
      </c>
      <c r="F1728" s="4" t="str" cm="1">
        <f t="array" ref="F1728">IFERROR(INDEX(EmployeeData[Age], ROW() - 37), "")</f>
        <v/>
      </c>
      <c r="G1728" s="6" t="str" cm="1">
        <f t="array" ref="G1728">IFERROR(INDEX(EmployeeData[Join Date], ROW() - 37), "")</f>
        <v/>
      </c>
      <c r="H1728" s="6" t="str" cm="1">
        <f t="array" ref="H1728">IFERROR(IF(INDEX(EmployeeData[Exit Date], ROW() - 37)=0, "",INDEX(EmployeeData[Exit Date], ROW() - 37)),"")</f>
        <v/>
      </c>
      <c r="I1728" s="4" t="str" cm="1">
        <f t="array" ref="I1728">IFERROR(IF(INDEX(EmployeeData[Exit Reason], ROW() - 37)=0, "",INDEX(EmployeeData[Exit Reason], ROW() - 37)),"")</f>
        <v/>
      </c>
      <c r="J1728" s="4" t="str" cm="1">
        <f t="array" ref="J1728">IFERROR(INDEX(EmployeeData[Status], ROW() - 37), "")</f>
        <v/>
      </c>
    </row>
    <row r="1729" spans="2:10" ht="19.95" customHeight="1" x14ac:dyDescent="0.3">
      <c r="B1729" s="4" t="str" cm="1">
        <f t="array" ref="B1729">IFERROR(INDEX(EmployeeData[Employee ID], ROW() - 37), "")</f>
        <v/>
      </c>
      <c r="C1729" s="4" t="str" cm="1">
        <f t="array" ref="C1729">IFERROR(INDEX(EmployeeData[Full Name], ROW() - 37), "")</f>
        <v/>
      </c>
      <c r="D1729" s="4" t="str" cm="1">
        <f t="array" ref="D1729">IFERROR(INDEX(EmployeeData[Department], ROW() - 37), "")</f>
        <v/>
      </c>
      <c r="E1729" s="4" t="str" cm="1">
        <f t="array" ref="E1729">IFERROR(INDEX(EmployeeData[Gender], ROW() - 37), "")</f>
        <v/>
      </c>
      <c r="F1729" s="4" t="str" cm="1">
        <f t="array" ref="F1729">IFERROR(INDEX(EmployeeData[Age], ROW() - 37), "")</f>
        <v/>
      </c>
      <c r="G1729" s="6" t="str" cm="1">
        <f t="array" ref="G1729">IFERROR(INDEX(EmployeeData[Join Date], ROW() - 37), "")</f>
        <v/>
      </c>
      <c r="H1729" s="6" t="str" cm="1">
        <f t="array" ref="H1729">IFERROR(IF(INDEX(EmployeeData[Exit Date], ROW() - 37)=0, "",INDEX(EmployeeData[Exit Date], ROW() - 37)),"")</f>
        <v/>
      </c>
      <c r="I1729" s="4" t="str" cm="1">
        <f t="array" ref="I1729">IFERROR(IF(INDEX(EmployeeData[Exit Reason], ROW() - 37)=0, "",INDEX(EmployeeData[Exit Reason], ROW() - 37)),"")</f>
        <v/>
      </c>
      <c r="J1729" s="4" t="str" cm="1">
        <f t="array" ref="J1729">IFERROR(INDEX(EmployeeData[Status], ROW() - 37), "")</f>
        <v/>
      </c>
    </row>
    <row r="1730" spans="2:10" ht="19.95" customHeight="1" x14ac:dyDescent="0.3">
      <c r="B1730" s="4" t="str" cm="1">
        <f t="array" ref="B1730">IFERROR(INDEX(EmployeeData[Employee ID], ROW() - 37), "")</f>
        <v/>
      </c>
      <c r="C1730" s="4" t="str" cm="1">
        <f t="array" ref="C1730">IFERROR(INDEX(EmployeeData[Full Name], ROW() - 37), "")</f>
        <v/>
      </c>
      <c r="D1730" s="4" t="str" cm="1">
        <f t="array" ref="D1730">IFERROR(INDEX(EmployeeData[Department], ROW() - 37), "")</f>
        <v/>
      </c>
      <c r="E1730" s="4" t="str" cm="1">
        <f t="array" ref="E1730">IFERROR(INDEX(EmployeeData[Gender], ROW() - 37), "")</f>
        <v/>
      </c>
      <c r="F1730" s="4" t="str" cm="1">
        <f t="array" ref="F1730">IFERROR(INDEX(EmployeeData[Age], ROW() - 37), "")</f>
        <v/>
      </c>
      <c r="G1730" s="6" t="str" cm="1">
        <f t="array" ref="G1730">IFERROR(INDEX(EmployeeData[Join Date], ROW() - 37), "")</f>
        <v/>
      </c>
      <c r="H1730" s="6" t="str" cm="1">
        <f t="array" ref="H1730">IFERROR(IF(INDEX(EmployeeData[Exit Date], ROW() - 37)=0, "",INDEX(EmployeeData[Exit Date], ROW() - 37)),"")</f>
        <v/>
      </c>
      <c r="I1730" s="4" t="str" cm="1">
        <f t="array" ref="I1730">IFERROR(IF(INDEX(EmployeeData[Exit Reason], ROW() - 37)=0, "",INDEX(EmployeeData[Exit Reason], ROW() - 37)),"")</f>
        <v/>
      </c>
      <c r="J1730" s="4" t="str" cm="1">
        <f t="array" ref="J1730">IFERROR(INDEX(EmployeeData[Status], ROW() - 37), "")</f>
        <v/>
      </c>
    </row>
    <row r="1731" spans="2:10" ht="19.95" customHeight="1" x14ac:dyDescent="0.3">
      <c r="B1731" s="4" t="str" cm="1">
        <f t="array" ref="B1731">IFERROR(INDEX(EmployeeData[Employee ID], ROW() - 37), "")</f>
        <v/>
      </c>
      <c r="C1731" s="4" t="str" cm="1">
        <f t="array" ref="C1731">IFERROR(INDEX(EmployeeData[Full Name], ROW() - 37), "")</f>
        <v/>
      </c>
      <c r="D1731" s="4" t="str" cm="1">
        <f t="array" ref="D1731">IFERROR(INDEX(EmployeeData[Department], ROW() - 37), "")</f>
        <v/>
      </c>
      <c r="E1731" s="4" t="str" cm="1">
        <f t="array" ref="E1731">IFERROR(INDEX(EmployeeData[Gender], ROW() - 37), "")</f>
        <v/>
      </c>
      <c r="F1731" s="4" t="str" cm="1">
        <f t="array" ref="F1731">IFERROR(INDEX(EmployeeData[Age], ROW() - 37), "")</f>
        <v/>
      </c>
      <c r="G1731" s="6" t="str" cm="1">
        <f t="array" ref="G1731">IFERROR(INDEX(EmployeeData[Join Date], ROW() - 37), "")</f>
        <v/>
      </c>
      <c r="H1731" s="6" t="str" cm="1">
        <f t="array" ref="H1731">IFERROR(IF(INDEX(EmployeeData[Exit Date], ROW() - 37)=0, "",INDEX(EmployeeData[Exit Date], ROW() - 37)),"")</f>
        <v/>
      </c>
      <c r="I1731" s="4" t="str" cm="1">
        <f t="array" ref="I1731">IFERROR(IF(INDEX(EmployeeData[Exit Reason], ROW() - 37)=0, "",INDEX(EmployeeData[Exit Reason], ROW() - 37)),"")</f>
        <v/>
      </c>
      <c r="J1731" s="4" t="str" cm="1">
        <f t="array" ref="J1731">IFERROR(INDEX(EmployeeData[Status], ROW() - 37), "")</f>
        <v/>
      </c>
    </row>
    <row r="1732" spans="2:10" ht="19.95" customHeight="1" x14ac:dyDescent="0.3">
      <c r="B1732" s="4" t="str" cm="1">
        <f t="array" ref="B1732">IFERROR(INDEX(EmployeeData[Employee ID], ROW() - 37), "")</f>
        <v/>
      </c>
      <c r="C1732" s="4" t="str" cm="1">
        <f t="array" ref="C1732">IFERROR(INDEX(EmployeeData[Full Name], ROW() - 37), "")</f>
        <v/>
      </c>
      <c r="D1732" s="4" t="str" cm="1">
        <f t="array" ref="D1732">IFERROR(INDEX(EmployeeData[Department], ROW() - 37), "")</f>
        <v/>
      </c>
      <c r="E1732" s="4" t="str" cm="1">
        <f t="array" ref="E1732">IFERROR(INDEX(EmployeeData[Gender], ROW() - 37), "")</f>
        <v/>
      </c>
      <c r="F1732" s="4" t="str" cm="1">
        <f t="array" ref="F1732">IFERROR(INDEX(EmployeeData[Age], ROW() - 37), "")</f>
        <v/>
      </c>
      <c r="G1732" s="6" t="str" cm="1">
        <f t="array" ref="G1732">IFERROR(INDEX(EmployeeData[Join Date], ROW() - 37), "")</f>
        <v/>
      </c>
      <c r="H1732" s="6" t="str" cm="1">
        <f t="array" ref="H1732">IFERROR(IF(INDEX(EmployeeData[Exit Date], ROW() - 37)=0, "",INDEX(EmployeeData[Exit Date], ROW() - 37)),"")</f>
        <v/>
      </c>
      <c r="I1732" s="4" t="str" cm="1">
        <f t="array" ref="I1732">IFERROR(IF(INDEX(EmployeeData[Exit Reason], ROW() - 37)=0, "",INDEX(EmployeeData[Exit Reason], ROW() - 37)),"")</f>
        <v/>
      </c>
      <c r="J1732" s="4" t="str" cm="1">
        <f t="array" ref="J1732">IFERROR(INDEX(EmployeeData[Status], ROW() - 37), "")</f>
        <v/>
      </c>
    </row>
    <row r="1733" spans="2:10" ht="19.95" customHeight="1" x14ac:dyDescent="0.3">
      <c r="B1733" s="4" t="str" cm="1">
        <f t="array" ref="B1733">IFERROR(INDEX(EmployeeData[Employee ID], ROW() - 37), "")</f>
        <v/>
      </c>
      <c r="C1733" s="4" t="str" cm="1">
        <f t="array" ref="C1733">IFERROR(INDEX(EmployeeData[Full Name], ROW() - 37), "")</f>
        <v/>
      </c>
      <c r="D1733" s="4" t="str" cm="1">
        <f t="array" ref="D1733">IFERROR(INDEX(EmployeeData[Department], ROW() - 37), "")</f>
        <v/>
      </c>
      <c r="E1733" s="4" t="str" cm="1">
        <f t="array" ref="E1733">IFERROR(INDEX(EmployeeData[Gender], ROW() - 37), "")</f>
        <v/>
      </c>
      <c r="F1733" s="4" t="str" cm="1">
        <f t="array" ref="F1733">IFERROR(INDEX(EmployeeData[Age], ROW() - 37), "")</f>
        <v/>
      </c>
      <c r="G1733" s="6" t="str" cm="1">
        <f t="array" ref="G1733">IFERROR(INDEX(EmployeeData[Join Date], ROW() - 37), "")</f>
        <v/>
      </c>
      <c r="H1733" s="6" t="str" cm="1">
        <f t="array" ref="H1733">IFERROR(IF(INDEX(EmployeeData[Exit Date], ROW() - 37)=0, "",INDEX(EmployeeData[Exit Date], ROW() - 37)),"")</f>
        <v/>
      </c>
      <c r="I1733" s="4" t="str" cm="1">
        <f t="array" ref="I1733">IFERROR(IF(INDEX(EmployeeData[Exit Reason], ROW() - 37)=0, "",INDEX(EmployeeData[Exit Reason], ROW() - 37)),"")</f>
        <v/>
      </c>
      <c r="J1733" s="4" t="str" cm="1">
        <f t="array" ref="J1733">IFERROR(INDEX(EmployeeData[Status], ROW() - 37), "")</f>
        <v/>
      </c>
    </row>
    <row r="1734" spans="2:10" ht="19.95" customHeight="1" x14ac:dyDescent="0.3">
      <c r="B1734" s="4" t="str" cm="1">
        <f t="array" ref="B1734">IFERROR(INDEX(EmployeeData[Employee ID], ROW() - 37), "")</f>
        <v/>
      </c>
      <c r="C1734" s="4" t="str" cm="1">
        <f t="array" ref="C1734">IFERROR(INDEX(EmployeeData[Full Name], ROW() - 37), "")</f>
        <v/>
      </c>
      <c r="D1734" s="4" t="str" cm="1">
        <f t="array" ref="D1734">IFERROR(INDEX(EmployeeData[Department], ROW() - 37), "")</f>
        <v/>
      </c>
      <c r="E1734" s="4" t="str" cm="1">
        <f t="array" ref="E1734">IFERROR(INDEX(EmployeeData[Gender], ROW() - 37), "")</f>
        <v/>
      </c>
      <c r="F1734" s="4" t="str" cm="1">
        <f t="array" ref="F1734">IFERROR(INDEX(EmployeeData[Age], ROW() - 37), "")</f>
        <v/>
      </c>
      <c r="G1734" s="6" t="str" cm="1">
        <f t="array" ref="G1734">IFERROR(INDEX(EmployeeData[Join Date], ROW() - 37), "")</f>
        <v/>
      </c>
      <c r="H1734" s="6" t="str" cm="1">
        <f t="array" ref="H1734">IFERROR(IF(INDEX(EmployeeData[Exit Date], ROW() - 37)=0, "",INDEX(EmployeeData[Exit Date], ROW() - 37)),"")</f>
        <v/>
      </c>
      <c r="I1734" s="4" t="str" cm="1">
        <f t="array" ref="I1734">IFERROR(IF(INDEX(EmployeeData[Exit Reason], ROW() - 37)=0, "",INDEX(EmployeeData[Exit Reason], ROW() - 37)),"")</f>
        <v/>
      </c>
      <c r="J1734" s="4" t="str" cm="1">
        <f t="array" ref="J1734">IFERROR(INDEX(EmployeeData[Status], ROW() - 37), "")</f>
        <v/>
      </c>
    </row>
    <row r="1735" spans="2:10" ht="19.95" customHeight="1" x14ac:dyDescent="0.3">
      <c r="B1735" s="4" t="str" cm="1">
        <f t="array" ref="B1735">IFERROR(INDEX(EmployeeData[Employee ID], ROW() - 37), "")</f>
        <v/>
      </c>
      <c r="C1735" s="4" t="str" cm="1">
        <f t="array" ref="C1735">IFERROR(INDEX(EmployeeData[Full Name], ROW() - 37), "")</f>
        <v/>
      </c>
      <c r="D1735" s="4" t="str" cm="1">
        <f t="array" ref="D1735">IFERROR(INDEX(EmployeeData[Department], ROW() - 37), "")</f>
        <v/>
      </c>
      <c r="E1735" s="4" t="str" cm="1">
        <f t="array" ref="E1735">IFERROR(INDEX(EmployeeData[Gender], ROW() - 37), "")</f>
        <v/>
      </c>
      <c r="F1735" s="4" t="str" cm="1">
        <f t="array" ref="F1735">IFERROR(INDEX(EmployeeData[Age], ROW() - 37), "")</f>
        <v/>
      </c>
      <c r="G1735" s="6" t="str" cm="1">
        <f t="array" ref="G1735">IFERROR(INDEX(EmployeeData[Join Date], ROW() - 37), "")</f>
        <v/>
      </c>
      <c r="H1735" s="6" t="str" cm="1">
        <f t="array" ref="H1735">IFERROR(IF(INDEX(EmployeeData[Exit Date], ROW() - 37)=0, "",INDEX(EmployeeData[Exit Date], ROW() - 37)),"")</f>
        <v/>
      </c>
      <c r="I1735" s="4" t="str" cm="1">
        <f t="array" ref="I1735">IFERROR(IF(INDEX(EmployeeData[Exit Reason], ROW() - 37)=0, "",INDEX(EmployeeData[Exit Reason], ROW() - 37)),"")</f>
        <v/>
      </c>
      <c r="J1735" s="4" t="str" cm="1">
        <f t="array" ref="J1735">IFERROR(INDEX(EmployeeData[Status], ROW() - 37), "")</f>
        <v/>
      </c>
    </row>
    <row r="1736" spans="2:10" ht="19.95" customHeight="1" x14ac:dyDescent="0.3">
      <c r="B1736" s="4" t="str" cm="1">
        <f t="array" ref="B1736">IFERROR(INDEX(EmployeeData[Employee ID], ROW() - 37), "")</f>
        <v/>
      </c>
      <c r="C1736" s="4" t="str" cm="1">
        <f t="array" ref="C1736">IFERROR(INDEX(EmployeeData[Full Name], ROW() - 37), "")</f>
        <v/>
      </c>
      <c r="D1736" s="4" t="str" cm="1">
        <f t="array" ref="D1736">IFERROR(INDEX(EmployeeData[Department], ROW() - 37), "")</f>
        <v/>
      </c>
      <c r="E1736" s="4" t="str" cm="1">
        <f t="array" ref="E1736">IFERROR(INDEX(EmployeeData[Gender], ROW() - 37), "")</f>
        <v/>
      </c>
      <c r="F1736" s="4" t="str" cm="1">
        <f t="array" ref="F1736">IFERROR(INDEX(EmployeeData[Age], ROW() - 37), "")</f>
        <v/>
      </c>
      <c r="G1736" s="6" t="str" cm="1">
        <f t="array" ref="G1736">IFERROR(INDEX(EmployeeData[Join Date], ROW() - 37), "")</f>
        <v/>
      </c>
      <c r="H1736" s="6" t="str" cm="1">
        <f t="array" ref="H1736">IFERROR(IF(INDEX(EmployeeData[Exit Date], ROW() - 37)=0, "",INDEX(EmployeeData[Exit Date], ROW() - 37)),"")</f>
        <v/>
      </c>
      <c r="I1736" s="4" t="str" cm="1">
        <f t="array" ref="I1736">IFERROR(IF(INDEX(EmployeeData[Exit Reason], ROW() - 37)=0, "",INDEX(EmployeeData[Exit Reason], ROW() - 37)),"")</f>
        <v/>
      </c>
      <c r="J1736" s="4" t="str" cm="1">
        <f t="array" ref="J1736">IFERROR(INDEX(EmployeeData[Status], ROW() - 37), "")</f>
        <v/>
      </c>
    </row>
    <row r="1737" spans="2:10" ht="19.95" customHeight="1" x14ac:dyDescent="0.3">
      <c r="B1737" s="4" t="str" cm="1">
        <f t="array" ref="B1737">IFERROR(INDEX(EmployeeData[Employee ID], ROW() - 37), "")</f>
        <v/>
      </c>
      <c r="C1737" s="4" t="str" cm="1">
        <f t="array" ref="C1737">IFERROR(INDEX(EmployeeData[Full Name], ROW() - 37), "")</f>
        <v/>
      </c>
      <c r="D1737" s="4" t="str" cm="1">
        <f t="array" ref="D1737">IFERROR(INDEX(EmployeeData[Department], ROW() - 37), "")</f>
        <v/>
      </c>
      <c r="E1737" s="4" t="str" cm="1">
        <f t="array" ref="E1737">IFERROR(INDEX(EmployeeData[Gender], ROW() - 37), "")</f>
        <v/>
      </c>
      <c r="F1737" s="4" t="str" cm="1">
        <f t="array" ref="F1737">IFERROR(INDEX(EmployeeData[Age], ROW() - 37), "")</f>
        <v/>
      </c>
      <c r="G1737" s="6" t="str" cm="1">
        <f t="array" ref="G1737">IFERROR(INDEX(EmployeeData[Join Date], ROW() - 37), "")</f>
        <v/>
      </c>
      <c r="H1737" s="6" t="str" cm="1">
        <f t="array" ref="H1737">IFERROR(IF(INDEX(EmployeeData[Exit Date], ROW() - 37)=0, "",INDEX(EmployeeData[Exit Date], ROW() - 37)),"")</f>
        <v/>
      </c>
      <c r="I1737" s="4" t="str" cm="1">
        <f t="array" ref="I1737">IFERROR(IF(INDEX(EmployeeData[Exit Reason], ROW() - 37)=0, "",INDEX(EmployeeData[Exit Reason], ROW() - 37)),"")</f>
        <v/>
      </c>
      <c r="J1737" s="4" t="str" cm="1">
        <f t="array" ref="J1737">IFERROR(INDEX(EmployeeData[Status], ROW() - 37), "")</f>
        <v/>
      </c>
    </row>
    <row r="1738" spans="2:10" ht="19.95" customHeight="1" x14ac:dyDescent="0.3">
      <c r="B1738" s="4" t="str" cm="1">
        <f t="array" ref="B1738">IFERROR(INDEX(EmployeeData[Employee ID], ROW() - 37), "")</f>
        <v/>
      </c>
      <c r="C1738" s="4" t="str" cm="1">
        <f t="array" ref="C1738">IFERROR(INDEX(EmployeeData[Full Name], ROW() - 37), "")</f>
        <v/>
      </c>
      <c r="D1738" s="4" t="str" cm="1">
        <f t="array" ref="D1738">IFERROR(INDEX(EmployeeData[Department], ROW() - 37), "")</f>
        <v/>
      </c>
      <c r="E1738" s="4" t="str" cm="1">
        <f t="array" ref="E1738">IFERROR(INDEX(EmployeeData[Gender], ROW() - 37), "")</f>
        <v/>
      </c>
      <c r="F1738" s="4" t="str" cm="1">
        <f t="array" ref="F1738">IFERROR(INDEX(EmployeeData[Age], ROW() - 37), "")</f>
        <v/>
      </c>
      <c r="G1738" s="6" t="str" cm="1">
        <f t="array" ref="G1738">IFERROR(INDEX(EmployeeData[Join Date], ROW() - 37), "")</f>
        <v/>
      </c>
      <c r="H1738" s="6" t="str" cm="1">
        <f t="array" ref="H1738">IFERROR(IF(INDEX(EmployeeData[Exit Date], ROW() - 37)=0, "",INDEX(EmployeeData[Exit Date], ROW() - 37)),"")</f>
        <v/>
      </c>
      <c r="I1738" s="4" t="str" cm="1">
        <f t="array" ref="I1738">IFERROR(IF(INDEX(EmployeeData[Exit Reason], ROW() - 37)=0, "",INDEX(EmployeeData[Exit Reason], ROW() - 37)),"")</f>
        <v/>
      </c>
      <c r="J1738" s="4" t="str" cm="1">
        <f t="array" ref="J1738">IFERROR(INDEX(EmployeeData[Status], ROW() - 37), "")</f>
        <v/>
      </c>
    </row>
    <row r="1739" spans="2:10" ht="19.95" customHeight="1" x14ac:dyDescent="0.3">
      <c r="B1739" s="4" t="str" cm="1">
        <f t="array" ref="B1739">IFERROR(INDEX(EmployeeData[Employee ID], ROW() - 37), "")</f>
        <v/>
      </c>
      <c r="C1739" s="4" t="str" cm="1">
        <f t="array" ref="C1739">IFERROR(INDEX(EmployeeData[Full Name], ROW() - 37), "")</f>
        <v/>
      </c>
      <c r="D1739" s="4" t="str" cm="1">
        <f t="array" ref="D1739">IFERROR(INDEX(EmployeeData[Department], ROW() - 37), "")</f>
        <v/>
      </c>
      <c r="E1739" s="4" t="str" cm="1">
        <f t="array" ref="E1739">IFERROR(INDEX(EmployeeData[Gender], ROW() - 37), "")</f>
        <v/>
      </c>
      <c r="F1739" s="4" t="str" cm="1">
        <f t="array" ref="F1739">IFERROR(INDEX(EmployeeData[Age], ROW() - 37), "")</f>
        <v/>
      </c>
      <c r="G1739" s="6" t="str" cm="1">
        <f t="array" ref="G1739">IFERROR(INDEX(EmployeeData[Join Date], ROW() - 37), "")</f>
        <v/>
      </c>
      <c r="H1739" s="6" t="str" cm="1">
        <f t="array" ref="H1739">IFERROR(IF(INDEX(EmployeeData[Exit Date], ROW() - 37)=0, "",INDEX(EmployeeData[Exit Date], ROW() - 37)),"")</f>
        <v/>
      </c>
      <c r="I1739" s="4" t="str" cm="1">
        <f t="array" ref="I1739">IFERROR(IF(INDEX(EmployeeData[Exit Reason], ROW() - 37)=0, "",INDEX(EmployeeData[Exit Reason], ROW() - 37)),"")</f>
        <v/>
      </c>
      <c r="J1739" s="4" t="str" cm="1">
        <f t="array" ref="J1739">IFERROR(INDEX(EmployeeData[Status], ROW() - 37), "")</f>
        <v/>
      </c>
    </row>
    <row r="1740" spans="2:10" ht="19.95" customHeight="1" x14ac:dyDescent="0.3">
      <c r="B1740" s="4" t="str" cm="1">
        <f t="array" ref="B1740">IFERROR(INDEX(EmployeeData[Employee ID], ROW() - 37), "")</f>
        <v/>
      </c>
      <c r="C1740" s="4" t="str" cm="1">
        <f t="array" ref="C1740">IFERROR(INDEX(EmployeeData[Full Name], ROW() - 37), "")</f>
        <v/>
      </c>
      <c r="D1740" s="4" t="str" cm="1">
        <f t="array" ref="D1740">IFERROR(INDEX(EmployeeData[Department], ROW() - 37), "")</f>
        <v/>
      </c>
      <c r="E1740" s="4" t="str" cm="1">
        <f t="array" ref="E1740">IFERROR(INDEX(EmployeeData[Gender], ROW() - 37), "")</f>
        <v/>
      </c>
      <c r="F1740" s="4" t="str" cm="1">
        <f t="array" ref="F1740">IFERROR(INDEX(EmployeeData[Age], ROW() - 37), "")</f>
        <v/>
      </c>
      <c r="G1740" s="6" t="str" cm="1">
        <f t="array" ref="G1740">IFERROR(INDEX(EmployeeData[Join Date], ROW() - 37), "")</f>
        <v/>
      </c>
      <c r="H1740" s="6" t="str" cm="1">
        <f t="array" ref="H1740">IFERROR(IF(INDEX(EmployeeData[Exit Date], ROW() - 37)=0, "",INDEX(EmployeeData[Exit Date], ROW() - 37)),"")</f>
        <v/>
      </c>
      <c r="I1740" s="4" t="str" cm="1">
        <f t="array" ref="I1740">IFERROR(IF(INDEX(EmployeeData[Exit Reason], ROW() - 37)=0, "",INDEX(EmployeeData[Exit Reason], ROW() - 37)),"")</f>
        <v/>
      </c>
      <c r="J1740" s="4" t="str" cm="1">
        <f t="array" ref="J1740">IFERROR(INDEX(EmployeeData[Status], ROW() - 37), "")</f>
        <v/>
      </c>
    </row>
    <row r="1741" spans="2:10" ht="19.95" customHeight="1" x14ac:dyDescent="0.3">
      <c r="B1741" s="4" t="str" cm="1">
        <f t="array" ref="B1741">IFERROR(INDEX(EmployeeData[Employee ID], ROW() - 37), "")</f>
        <v/>
      </c>
      <c r="C1741" s="4" t="str" cm="1">
        <f t="array" ref="C1741">IFERROR(INDEX(EmployeeData[Full Name], ROW() - 37), "")</f>
        <v/>
      </c>
      <c r="D1741" s="4" t="str" cm="1">
        <f t="array" ref="D1741">IFERROR(INDEX(EmployeeData[Department], ROW() - 37), "")</f>
        <v/>
      </c>
      <c r="E1741" s="4" t="str" cm="1">
        <f t="array" ref="E1741">IFERROR(INDEX(EmployeeData[Gender], ROW() - 37), "")</f>
        <v/>
      </c>
      <c r="F1741" s="4" t="str" cm="1">
        <f t="array" ref="F1741">IFERROR(INDEX(EmployeeData[Age], ROW() - 37), "")</f>
        <v/>
      </c>
      <c r="G1741" s="6" t="str" cm="1">
        <f t="array" ref="G1741">IFERROR(INDEX(EmployeeData[Join Date], ROW() - 37), "")</f>
        <v/>
      </c>
      <c r="H1741" s="6" t="str" cm="1">
        <f t="array" ref="H1741">IFERROR(IF(INDEX(EmployeeData[Exit Date], ROW() - 37)=0, "",INDEX(EmployeeData[Exit Date], ROW() - 37)),"")</f>
        <v/>
      </c>
      <c r="I1741" s="4" t="str" cm="1">
        <f t="array" ref="I1741">IFERROR(IF(INDEX(EmployeeData[Exit Reason], ROW() - 37)=0, "",INDEX(EmployeeData[Exit Reason], ROW() - 37)),"")</f>
        <v/>
      </c>
      <c r="J1741" s="4" t="str" cm="1">
        <f t="array" ref="J1741">IFERROR(INDEX(EmployeeData[Status], ROW() - 37), "")</f>
        <v/>
      </c>
    </row>
    <row r="1742" spans="2:10" ht="19.95" customHeight="1" x14ac:dyDescent="0.3">
      <c r="B1742" s="4" t="str" cm="1">
        <f t="array" ref="B1742">IFERROR(INDEX(EmployeeData[Employee ID], ROW() - 37), "")</f>
        <v/>
      </c>
      <c r="C1742" s="4" t="str" cm="1">
        <f t="array" ref="C1742">IFERROR(INDEX(EmployeeData[Full Name], ROW() - 37), "")</f>
        <v/>
      </c>
      <c r="D1742" s="4" t="str" cm="1">
        <f t="array" ref="D1742">IFERROR(INDEX(EmployeeData[Department], ROW() - 37), "")</f>
        <v/>
      </c>
      <c r="E1742" s="4" t="str" cm="1">
        <f t="array" ref="E1742">IFERROR(INDEX(EmployeeData[Gender], ROW() - 37), "")</f>
        <v/>
      </c>
      <c r="F1742" s="4" t="str" cm="1">
        <f t="array" ref="F1742">IFERROR(INDEX(EmployeeData[Age], ROW() - 37), "")</f>
        <v/>
      </c>
      <c r="G1742" s="6" t="str" cm="1">
        <f t="array" ref="G1742">IFERROR(INDEX(EmployeeData[Join Date], ROW() - 37), "")</f>
        <v/>
      </c>
      <c r="H1742" s="6" t="str" cm="1">
        <f t="array" ref="H1742">IFERROR(IF(INDEX(EmployeeData[Exit Date], ROW() - 37)=0, "",INDEX(EmployeeData[Exit Date], ROW() - 37)),"")</f>
        <v/>
      </c>
      <c r="I1742" s="4" t="str" cm="1">
        <f t="array" ref="I1742">IFERROR(IF(INDEX(EmployeeData[Exit Reason], ROW() - 37)=0, "",INDEX(EmployeeData[Exit Reason], ROW() - 37)),"")</f>
        <v/>
      </c>
      <c r="J1742" s="4" t="str" cm="1">
        <f t="array" ref="J1742">IFERROR(INDEX(EmployeeData[Status], ROW() - 37), "")</f>
        <v/>
      </c>
    </row>
    <row r="1743" spans="2:10" ht="19.95" customHeight="1" x14ac:dyDescent="0.3">
      <c r="B1743" s="4" t="str" cm="1">
        <f t="array" ref="B1743">IFERROR(INDEX(EmployeeData[Employee ID], ROW() - 37), "")</f>
        <v/>
      </c>
      <c r="C1743" s="4" t="str" cm="1">
        <f t="array" ref="C1743">IFERROR(INDEX(EmployeeData[Full Name], ROW() - 37), "")</f>
        <v/>
      </c>
      <c r="D1743" s="4" t="str" cm="1">
        <f t="array" ref="D1743">IFERROR(INDEX(EmployeeData[Department], ROW() - 37), "")</f>
        <v/>
      </c>
      <c r="E1743" s="4" t="str" cm="1">
        <f t="array" ref="E1743">IFERROR(INDEX(EmployeeData[Gender], ROW() - 37), "")</f>
        <v/>
      </c>
      <c r="F1743" s="4" t="str" cm="1">
        <f t="array" ref="F1743">IFERROR(INDEX(EmployeeData[Age], ROW() - 37), "")</f>
        <v/>
      </c>
      <c r="G1743" s="6" t="str" cm="1">
        <f t="array" ref="G1743">IFERROR(INDEX(EmployeeData[Join Date], ROW() - 37), "")</f>
        <v/>
      </c>
      <c r="H1743" s="6" t="str" cm="1">
        <f t="array" ref="H1743">IFERROR(IF(INDEX(EmployeeData[Exit Date], ROW() - 37)=0, "",INDEX(EmployeeData[Exit Date], ROW() - 37)),"")</f>
        <v/>
      </c>
      <c r="I1743" s="4" t="str" cm="1">
        <f t="array" ref="I1743">IFERROR(IF(INDEX(EmployeeData[Exit Reason], ROW() - 37)=0, "",INDEX(EmployeeData[Exit Reason], ROW() - 37)),"")</f>
        <v/>
      </c>
      <c r="J1743" s="4" t="str" cm="1">
        <f t="array" ref="J1743">IFERROR(INDEX(EmployeeData[Status], ROW() - 37), "")</f>
        <v/>
      </c>
    </row>
    <row r="1744" spans="2:10" ht="19.95" customHeight="1" x14ac:dyDescent="0.3">
      <c r="B1744" s="4" t="str" cm="1">
        <f t="array" ref="B1744">IFERROR(INDEX(EmployeeData[Employee ID], ROW() - 37), "")</f>
        <v/>
      </c>
      <c r="C1744" s="4" t="str" cm="1">
        <f t="array" ref="C1744">IFERROR(INDEX(EmployeeData[Full Name], ROW() - 37), "")</f>
        <v/>
      </c>
      <c r="D1744" s="4" t="str" cm="1">
        <f t="array" ref="D1744">IFERROR(INDEX(EmployeeData[Department], ROW() - 37), "")</f>
        <v/>
      </c>
      <c r="E1744" s="4" t="str" cm="1">
        <f t="array" ref="E1744">IFERROR(INDEX(EmployeeData[Gender], ROW() - 37), "")</f>
        <v/>
      </c>
      <c r="F1744" s="4" t="str" cm="1">
        <f t="array" ref="F1744">IFERROR(INDEX(EmployeeData[Age], ROW() - 37), "")</f>
        <v/>
      </c>
      <c r="G1744" s="6" t="str" cm="1">
        <f t="array" ref="G1744">IFERROR(INDEX(EmployeeData[Join Date], ROW() - 37), "")</f>
        <v/>
      </c>
      <c r="H1744" s="6" t="str" cm="1">
        <f t="array" ref="H1744">IFERROR(IF(INDEX(EmployeeData[Exit Date], ROW() - 37)=0, "",INDEX(EmployeeData[Exit Date], ROW() - 37)),"")</f>
        <v/>
      </c>
      <c r="I1744" s="4" t="str" cm="1">
        <f t="array" ref="I1744">IFERROR(IF(INDEX(EmployeeData[Exit Reason], ROW() - 37)=0, "",INDEX(EmployeeData[Exit Reason], ROW() - 37)),"")</f>
        <v/>
      </c>
      <c r="J1744" s="4" t="str" cm="1">
        <f t="array" ref="J1744">IFERROR(INDEX(EmployeeData[Status], ROW() - 37), "")</f>
        <v/>
      </c>
    </row>
    <row r="1745" spans="2:10" ht="19.95" customHeight="1" x14ac:dyDescent="0.3">
      <c r="B1745" s="4" t="str" cm="1">
        <f t="array" ref="B1745">IFERROR(INDEX(EmployeeData[Employee ID], ROW() - 37), "")</f>
        <v/>
      </c>
      <c r="C1745" s="4" t="str" cm="1">
        <f t="array" ref="C1745">IFERROR(INDEX(EmployeeData[Full Name], ROW() - 37), "")</f>
        <v/>
      </c>
      <c r="D1745" s="4" t="str" cm="1">
        <f t="array" ref="D1745">IFERROR(INDEX(EmployeeData[Department], ROW() - 37), "")</f>
        <v/>
      </c>
      <c r="E1745" s="4" t="str" cm="1">
        <f t="array" ref="E1745">IFERROR(INDEX(EmployeeData[Gender], ROW() - 37), "")</f>
        <v/>
      </c>
      <c r="F1745" s="4" t="str" cm="1">
        <f t="array" ref="F1745">IFERROR(INDEX(EmployeeData[Age], ROW() - 37), "")</f>
        <v/>
      </c>
      <c r="G1745" s="6" t="str" cm="1">
        <f t="array" ref="G1745">IFERROR(INDEX(EmployeeData[Join Date], ROW() - 37), "")</f>
        <v/>
      </c>
      <c r="H1745" s="6" t="str" cm="1">
        <f t="array" ref="H1745">IFERROR(IF(INDEX(EmployeeData[Exit Date], ROW() - 37)=0, "",INDEX(EmployeeData[Exit Date], ROW() - 37)),"")</f>
        <v/>
      </c>
      <c r="I1745" s="4" t="str" cm="1">
        <f t="array" ref="I1745">IFERROR(IF(INDEX(EmployeeData[Exit Reason], ROW() - 37)=0, "",INDEX(EmployeeData[Exit Reason], ROW() - 37)),"")</f>
        <v/>
      </c>
      <c r="J1745" s="4" t="str" cm="1">
        <f t="array" ref="J1745">IFERROR(INDEX(EmployeeData[Status], ROW() - 37), "")</f>
        <v/>
      </c>
    </row>
    <row r="1746" spans="2:10" ht="19.95" customHeight="1" x14ac:dyDescent="0.3">
      <c r="B1746" s="4" t="str" cm="1">
        <f t="array" ref="B1746">IFERROR(INDEX(EmployeeData[Employee ID], ROW() - 37), "")</f>
        <v/>
      </c>
      <c r="C1746" s="4" t="str" cm="1">
        <f t="array" ref="C1746">IFERROR(INDEX(EmployeeData[Full Name], ROW() - 37), "")</f>
        <v/>
      </c>
      <c r="D1746" s="4" t="str" cm="1">
        <f t="array" ref="D1746">IFERROR(INDEX(EmployeeData[Department], ROW() - 37), "")</f>
        <v/>
      </c>
      <c r="E1746" s="4" t="str" cm="1">
        <f t="array" ref="E1746">IFERROR(INDEX(EmployeeData[Gender], ROW() - 37), "")</f>
        <v/>
      </c>
      <c r="F1746" s="4" t="str" cm="1">
        <f t="array" ref="F1746">IFERROR(INDEX(EmployeeData[Age], ROW() - 37), "")</f>
        <v/>
      </c>
      <c r="G1746" s="6" t="str" cm="1">
        <f t="array" ref="G1746">IFERROR(INDEX(EmployeeData[Join Date], ROW() - 37), "")</f>
        <v/>
      </c>
      <c r="H1746" s="6" t="str" cm="1">
        <f t="array" ref="H1746">IFERROR(IF(INDEX(EmployeeData[Exit Date], ROW() - 37)=0, "",INDEX(EmployeeData[Exit Date], ROW() - 37)),"")</f>
        <v/>
      </c>
      <c r="I1746" s="4" t="str" cm="1">
        <f t="array" ref="I1746">IFERROR(IF(INDEX(EmployeeData[Exit Reason], ROW() - 37)=0, "",INDEX(EmployeeData[Exit Reason], ROW() - 37)),"")</f>
        <v/>
      </c>
      <c r="J1746" s="4" t="str" cm="1">
        <f t="array" ref="J1746">IFERROR(INDEX(EmployeeData[Status], ROW() - 37), "")</f>
        <v/>
      </c>
    </row>
    <row r="1747" spans="2:10" ht="19.95" customHeight="1" x14ac:dyDescent="0.3">
      <c r="B1747" s="4" t="str" cm="1">
        <f t="array" ref="B1747">IFERROR(INDEX(EmployeeData[Employee ID], ROW() - 37), "")</f>
        <v/>
      </c>
      <c r="C1747" s="4" t="str" cm="1">
        <f t="array" ref="C1747">IFERROR(INDEX(EmployeeData[Full Name], ROW() - 37), "")</f>
        <v/>
      </c>
      <c r="D1747" s="4" t="str" cm="1">
        <f t="array" ref="D1747">IFERROR(INDEX(EmployeeData[Department], ROW() - 37), "")</f>
        <v/>
      </c>
      <c r="E1747" s="4" t="str" cm="1">
        <f t="array" ref="E1747">IFERROR(INDEX(EmployeeData[Gender], ROW() - 37), "")</f>
        <v/>
      </c>
      <c r="F1747" s="4" t="str" cm="1">
        <f t="array" ref="F1747">IFERROR(INDEX(EmployeeData[Age], ROW() - 37), "")</f>
        <v/>
      </c>
      <c r="G1747" s="6" t="str" cm="1">
        <f t="array" ref="G1747">IFERROR(INDEX(EmployeeData[Join Date], ROW() - 37), "")</f>
        <v/>
      </c>
      <c r="H1747" s="6" t="str" cm="1">
        <f t="array" ref="H1747">IFERROR(IF(INDEX(EmployeeData[Exit Date], ROW() - 37)=0, "",INDEX(EmployeeData[Exit Date], ROW() - 37)),"")</f>
        <v/>
      </c>
      <c r="I1747" s="4" t="str" cm="1">
        <f t="array" ref="I1747">IFERROR(IF(INDEX(EmployeeData[Exit Reason], ROW() - 37)=0, "",INDEX(EmployeeData[Exit Reason], ROW() - 37)),"")</f>
        <v/>
      </c>
      <c r="J1747" s="4" t="str" cm="1">
        <f t="array" ref="J1747">IFERROR(INDEX(EmployeeData[Status], ROW() - 37), "")</f>
        <v/>
      </c>
    </row>
    <row r="1748" spans="2:10" ht="19.95" customHeight="1" x14ac:dyDescent="0.3">
      <c r="B1748" s="4" t="str" cm="1">
        <f t="array" ref="B1748">IFERROR(INDEX(EmployeeData[Employee ID], ROW() - 37), "")</f>
        <v/>
      </c>
      <c r="C1748" s="4" t="str" cm="1">
        <f t="array" ref="C1748">IFERROR(INDEX(EmployeeData[Full Name], ROW() - 37), "")</f>
        <v/>
      </c>
      <c r="D1748" s="4" t="str" cm="1">
        <f t="array" ref="D1748">IFERROR(INDEX(EmployeeData[Department], ROW() - 37), "")</f>
        <v/>
      </c>
      <c r="E1748" s="4" t="str" cm="1">
        <f t="array" ref="E1748">IFERROR(INDEX(EmployeeData[Gender], ROW() - 37), "")</f>
        <v/>
      </c>
      <c r="F1748" s="4" t="str" cm="1">
        <f t="array" ref="F1748">IFERROR(INDEX(EmployeeData[Age], ROW() - 37), "")</f>
        <v/>
      </c>
      <c r="G1748" s="6" t="str" cm="1">
        <f t="array" ref="G1748">IFERROR(INDEX(EmployeeData[Join Date], ROW() - 37), "")</f>
        <v/>
      </c>
      <c r="H1748" s="6" t="str" cm="1">
        <f t="array" ref="H1748">IFERROR(IF(INDEX(EmployeeData[Exit Date], ROW() - 37)=0, "",INDEX(EmployeeData[Exit Date], ROW() - 37)),"")</f>
        <v/>
      </c>
      <c r="I1748" s="4" t="str" cm="1">
        <f t="array" ref="I1748">IFERROR(IF(INDEX(EmployeeData[Exit Reason], ROW() - 37)=0, "",INDEX(EmployeeData[Exit Reason], ROW() - 37)),"")</f>
        <v/>
      </c>
      <c r="J1748" s="4" t="str" cm="1">
        <f t="array" ref="J1748">IFERROR(INDEX(EmployeeData[Status], ROW() - 37), "")</f>
        <v/>
      </c>
    </row>
    <row r="1749" spans="2:10" ht="19.95" customHeight="1" x14ac:dyDescent="0.3">
      <c r="B1749" s="4" t="str" cm="1">
        <f t="array" ref="B1749">IFERROR(INDEX(EmployeeData[Employee ID], ROW() - 37), "")</f>
        <v/>
      </c>
      <c r="C1749" s="4" t="str" cm="1">
        <f t="array" ref="C1749">IFERROR(INDEX(EmployeeData[Full Name], ROW() - 37), "")</f>
        <v/>
      </c>
      <c r="D1749" s="4" t="str" cm="1">
        <f t="array" ref="D1749">IFERROR(INDEX(EmployeeData[Department], ROW() - 37), "")</f>
        <v/>
      </c>
      <c r="E1749" s="4" t="str" cm="1">
        <f t="array" ref="E1749">IFERROR(INDEX(EmployeeData[Gender], ROW() - 37), "")</f>
        <v/>
      </c>
      <c r="F1749" s="4" t="str" cm="1">
        <f t="array" ref="F1749">IFERROR(INDEX(EmployeeData[Age], ROW() - 37), "")</f>
        <v/>
      </c>
      <c r="G1749" s="6" t="str" cm="1">
        <f t="array" ref="G1749">IFERROR(INDEX(EmployeeData[Join Date], ROW() - 37), "")</f>
        <v/>
      </c>
      <c r="H1749" s="6" t="str" cm="1">
        <f t="array" ref="H1749">IFERROR(IF(INDEX(EmployeeData[Exit Date], ROW() - 37)=0, "",INDEX(EmployeeData[Exit Date], ROW() - 37)),"")</f>
        <v/>
      </c>
      <c r="I1749" s="4" t="str" cm="1">
        <f t="array" ref="I1749">IFERROR(IF(INDEX(EmployeeData[Exit Reason], ROW() - 37)=0, "",INDEX(EmployeeData[Exit Reason], ROW() - 37)),"")</f>
        <v/>
      </c>
      <c r="J1749" s="4" t="str" cm="1">
        <f t="array" ref="J1749">IFERROR(INDEX(EmployeeData[Status], ROW() - 37), "")</f>
        <v/>
      </c>
    </row>
    <row r="1750" spans="2:10" ht="19.95" customHeight="1" x14ac:dyDescent="0.3">
      <c r="B1750" s="4" t="str" cm="1">
        <f t="array" ref="B1750">IFERROR(INDEX(EmployeeData[Employee ID], ROW() - 37), "")</f>
        <v/>
      </c>
      <c r="C1750" s="4" t="str" cm="1">
        <f t="array" ref="C1750">IFERROR(INDEX(EmployeeData[Full Name], ROW() - 37), "")</f>
        <v/>
      </c>
      <c r="D1750" s="4" t="str" cm="1">
        <f t="array" ref="D1750">IFERROR(INDEX(EmployeeData[Department], ROW() - 37), "")</f>
        <v/>
      </c>
      <c r="E1750" s="4" t="str" cm="1">
        <f t="array" ref="E1750">IFERROR(INDEX(EmployeeData[Gender], ROW() - 37), "")</f>
        <v/>
      </c>
      <c r="F1750" s="4" t="str" cm="1">
        <f t="array" ref="F1750">IFERROR(INDEX(EmployeeData[Age], ROW() - 37), "")</f>
        <v/>
      </c>
      <c r="G1750" s="6" t="str" cm="1">
        <f t="array" ref="G1750">IFERROR(INDEX(EmployeeData[Join Date], ROW() - 37), "")</f>
        <v/>
      </c>
      <c r="H1750" s="6" t="str" cm="1">
        <f t="array" ref="H1750">IFERROR(IF(INDEX(EmployeeData[Exit Date], ROW() - 37)=0, "",INDEX(EmployeeData[Exit Date], ROW() - 37)),"")</f>
        <v/>
      </c>
      <c r="I1750" s="4" t="str" cm="1">
        <f t="array" ref="I1750">IFERROR(IF(INDEX(EmployeeData[Exit Reason], ROW() - 37)=0, "",INDEX(EmployeeData[Exit Reason], ROW() - 37)),"")</f>
        <v/>
      </c>
      <c r="J1750" s="4" t="str" cm="1">
        <f t="array" ref="J1750">IFERROR(INDEX(EmployeeData[Status], ROW() - 37), "")</f>
        <v/>
      </c>
    </row>
    <row r="1751" spans="2:10" ht="19.95" customHeight="1" x14ac:dyDescent="0.3">
      <c r="B1751" s="4" t="str" cm="1">
        <f t="array" ref="B1751">IFERROR(INDEX(EmployeeData[Employee ID], ROW() - 37), "")</f>
        <v/>
      </c>
      <c r="C1751" s="4" t="str" cm="1">
        <f t="array" ref="C1751">IFERROR(INDEX(EmployeeData[Full Name], ROW() - 37), "")</f>
        <v/>
      </c>
      <c r="D1751" s="4" t="str" cm="1">
        <f t="array" ref="D1751">IFERROR(INDEX(EmployeeData[Department], ROW() - 37), "")</f>
        <v/>
      </c>
      <c r="E1751" s="4" t="str" cm="1">
        <f t="array" ref="E1751">IFERROR(INDEX(EmployeeData[Gender], ROW() - 37), "")</f>
        <v/>
      </c>
      <c r="F1751" s="4" t="str" cm="1">
        <f t="array" ref="F1751">IFERROR(INDEX(EmployeeData[Age], ROW() - 37), "")</f>
        <v/>
      </c>
      <c r="G1751" s="6" t="str" cm="1">
        <f t="array" ref="G1751">IFERROR(INDEX(EmployeeData[Join Date], ROW() - 37), "")</f>
        <v/>
      </c>
      <c r="H1751" s="6" t="str" cm="1">
        <f t="array" ref="H1751">IFERROR(IF(INDEX(EmployeeData[Exit Date], ROW() - 37)=0, "",INDEX(EmployeeData[Exit Date], ROW() - 37)),"")</f>
        <v/>
      </c>
      <c r="I1751" s="4" t="str" cm="1">
        <f t="array" ref="I1751">IFERROR(IF(INDEX(EmployeeData[Exit Reason], ROW() - 37)=0, "",INDEX(EmployeeData[Exit Reason], ROW() - 37)),"")</f>
        <v/>
      </c>
      <c r="J1751" s="4" t="str" cm="1">
        <f t="array" ref="J1751">IFERROR(INDEX(EmployeeData[Status], ROW() - 37), "")</f>
        <v/>
      </c>
    </row>
    <row r="1752" spans="2:10" ht="19.95" customHeight="1" x14ac:dyDescent="0.3">
      <c r="B1752" s="4" t="str" cm="1">
        <f t="array" ref="B1752">IFERROR(INDEX(EmployeeData[Employee ID], ROW() - 37), "")</f>
        <v/>
      </c>
      <c r="C1752" s="4" t="str" cm="1">
        <f t="array" ref="C1752">IFERROR(INDEX(EmployeeData[Full Name], ROW() - 37), "")</f>
        <v/>
      </c>
      <c r="D1752" s="4" t="str" cm="1">
        <f t="array" ref="D1752">IFERROR(INDEX(EmployeeData[Department], ROW() - 37), "")</f>
        <v/>
      </c>
      <c r="E1752" s="4" t="str" cm="1">
        <f t="array" ref="E1752">IFERROR(INDEX(EmployeeData[Gender], ROW() - 37), "")</f>
        <v/>
      </c>
      <c r="F1752" s="4" t="str" cm="1">
        <f t="array" ref="F1752">IFERROR(INDEX(EmployeeData[Age], ROW() - 37), "")</f>
        <v/>
      </c>
      <c r="G1752" s="6" t="str" cm="1">
        <f t="array" ref="G1752">IFERROR(INDEX(EmployeeData[Join Date], ROW() - 37), "")</f>
        <v/>
      </c>
      <c r="H1752" s="6" t="str" cm="1">
        <f t="array" ref="H1752">IFERROR(IF(INDEX(EmployeeData[Exit Date], ROW() - 37)=0, "",INDEX(EmployeeData[Exit Date], ROW() - 37)),"")</f>
        <v/>
      </c>
      <c r="I1752" s="4" t="str" cm="1">
        <f t="array" ref="I1752">IFERROR(IF(INDEX(EmployeeData[Exit Reason], ROW() - 37)=0, "",INDEX(EmployeeData[Exit Reason], ROW() - 37)),"")</f>
        <v/>
      </c>
      <c r="J1752" s="4" t="str" cm="1">
        <f t="array" ref="J1752">IFERROR(INDEX(EmployeeData[Status], ROW() - 37), "")</f>
        <v/>
      </c>
    </row>
    <row r="1753" spans="2:10" ht="19.95" customHeight="1" x14ac:dyDescent="0.3">
      <c r="B1753" s="4" t="str" cm="1">
        <f t="array" ref="B1753">IFERROR(INDEX(EmployeeData[Employee ID], ROW() - 37), "")</f>
        <v/>
      </c>
      <c r="C1753" s="4" t="str" cm="1">
        <f t="array" ref="C1753">IFERROR(INDEX(EmployeeData[Full Name], ROW() - 37), "")</f>
        <v/>
      </c>
      <c r="D1753" s="4" t="str" cm="1">
        <f t="array" ref="D1753">IFERROR(INDEX(EmployeeData[Department], ROW() - 37), "")</f>
        <v/>
      </c>
      <c r="E1753" s="4" t="str" cm="1">
        <f t="array" ref="E1753">IFERROR(INDEX(EmployeeData[Gender], ROW() - 37), "")</f>
        <v/>
      </c>
      <c r="F1753" s="4" t="str" cm="1">
        <f t="array" ref="F1753">IFERROR(INDEX(EmployeeData[Age], ROW() - 37), "")</f>
        <v/>
      </c>
      <c r="G1753" s="6" t="str" cm="1">
        <f t="array" ref="G1753">IFERROR(INDEX(EmployeeData[Join Date], ROW() - 37), "")</f>
        <v/>
      </c>
      <c r="H1753" s="6" t="str" cm="1">
        <f t="array" ref="H1753">IFERROR(IF(INDEX(EmployeeData[Exit Date], ROW() - 37)=0, "",INDEX(EmployeeData[Exit Date], ROW() - 37)),"")</f>
        <v/>
      </c>
      <c r="I1753" s="4" t="str" cm="1">
        <f t="array" ref="I1753">IFERROR(IF(INDEX(EmployeeData[Exit Reason], ROW() - 37)=0, "",INDEX(EmployeeData[Exit Reason], ROW() - 37)),"")</f>
        <v/>
      </c>
      <c r="J1753" s="4" t="str" cm="1">
        <f t="array" ref="J1753">IFERROR(INDEX(EmployeeData[Status], ROW() - 37), "")</f>
        <v/>
      </c>
    </row>
    <row r="1754" spans="2:10" ht="19.95" customHeight="1" x14ac:dyDescent="0.3">
      <c r="B1754" s="4" t="str" cm="1">
        <f t="array" ref="B1754">IFERROR(INDEX(EmployeeData[Employee ID], ROW() - 37), "")</f>
        <v/>
      </c>
      <c r="C1754" s="4" t="str" cm="1">
        <f t="array" ref="C1754">IFERROR(INDEX(EmployeeData[Full Name], ROW() - 37), "")</f>
        <v/>
      </c>
      <c r="D1754" s="4" t="str" cm="1">
        <f t="array" ref="D1754">IFERROR(INDEX(EmployeeData[Department], ROW() - 37), "")</f>
        <v/>
      </c>
      <c r="E1754" s="4" t="str" cm="1">
        <f t="array" ref="E1754">IFERROR(INDEX(EmployeeData[Gender], ROW() - 37), "")</f>
        <v/>
      </c>
      <c r="F1754" s="4" t="str" cm="1">
        <f t="array" ref="F1754">IFERROR(INDEX(EmployeeData[Age], ROW() - 37), "")</f>
        <v/>
      </c>
      <c r="G1754" s="6" t="str" cm="1">
        <f t="array" ref="G1754">IFERROR(INDEX(EmployeeData[Join Date], ROW() - 37), "")</f>
        <v/>
      </c>
      <c r="H1754" s="6" t="str" cm="1">
        <f t="array" ref="H1754">IFERROR(IF(INDEX(EmployeeData[Exit Date], ROW() - 37)=0, "",INDEX(EmployeeData[Exit Date], ROW() - 37)),"")</f>
        <v/>
      </c>
      <c r="I1754" s="4" t="str" cm="1">
        <f t="array" ref="I1754">IFERROR(IF(INDEX(EmployeeData[Exit Reason], ROW() - 37)=0, "",INDEX(EmployeeData[Exit Reason], ROW() - 37)),"")</f>
        <v/>
      </c>
      <c r="J1754" s="4" t="str" cm="1">
        <f t="array" ref="J1754">IFERROR(INDEX(EmployeeData[Status], ROW() - 37), "")</f>
        <v/>
      </c>
    </row>
    <row r="1755" spans="2:10" ht="19.95" customHeight="1" x14ac:dyDescent="0.3">
      <c r="B1755" s="4" t="str" cm="1">
        <f t="array" ref="B1755">IFERROR(INDEX(EmployeeData[Employee ID], ROW() - 37), "")</f>
        <v/>
      </c>
      <c r="C1755" s="4" t="str" cm="1">
        <f t="array" ref="C1755">IFERROR(INDEX(EmployeeData[Full Name], ROW() - 37), "")</f>
        <v/>
      </c>
      <c r="D1755" s="4" t="str" cm="1">
        <f t="array" ref="D1755">IFERROR(INDEX(EmployeeData[Department], ROW() - 37), "")</f>
        <v/>
      </c>
      <c r="E1755" s="4" t="str" cm="1">
        <f t="array" ref="E1755">IFERROR(INDEX(EmployeeData[Gender], ROW() - 37), "")</f>
        <v/>
      </c>
      <c r="F1755" s="4" t="str" cm="1">
        <f t="array" ref="F1755">IFERROR(INDEX(EmployeeData[Age], ROW() - 37), "")</f>
        <v/>
      </c>
      <c r="G1755" s="6" t="str" cm="1">
        <f t="array" ref="G1755">IFERROR(INDEX(EmployeeData[Join Date], ROW() - 37), "")</f>
        <v/>
      </c>
      <c r="H1755" s="6" t="str" cm="1">
        <f t="array" ref="H1755">IFERROR(IF(INDEX(EmployeeData[Exit Date], ROW() - 37)=0, "",INDEX(EmployeeData[Exit Date], ROW() - 37)),"")</f>
        <v/>
      </c>
      <c r="I1755" s="4" t="str" cm="1">
        <f t="array" ref="I1755">IFERROR(IF(INDEX(EmployeeData[Exit Reason], ROW() - 37)=0, "",INDEX(EmployeeData[Exit Reason], ROW() - 37)),"")</f>
        <v/>
      </c>
      <c r="J1755" s="4" t="str" cm="1">
        <f t="array" ref="J1755">IFERROR(INDEX(EmployeeData[Status], ROW() - 37), "")</f>
        <v/>
      </c>
    </row>
    <row r="1756" spans="2:10" ht="19.95" customHeight="1" x14ac:dyDescent="0.3">
      <c r="B1756" s="4" t="str" cm="1">
        <f t="array" ref="B1756">IFERROR(INDEX(EmployeeData[Employee ID], ROW() - 37), "")</f>
        <v/>
      </c>
      <c r="C1756" s="4" t="str" cm="1">
        <f t="array" ref="C1756">IFERROR(INDEX(EmployeeData[Full Name], ROW() - 37), "")</f>
        <v/>
      </c>
      <c r="D1756" s="4" t="str" cm="1">
        <f t="array" ref="D1756">IFERROR(INDEX(EmployeeData[Department], ROW() - 37), "")</f>
        <v/>
      </c>
      <c r="E1756" s="4" t="str" cm="1">
        <f t="array" ref="E1756">IFERROR(INDEX(EmployeeData[Gender], ROW() - 37), "")</f>
        <v/>
      </c>
      <c r="F1756" s="4" t="str" cm="1">
        <f t="array" ref="F1756">IFERROR(INDEX(EmployeeData[Age], ROW() - 37), "")</f>
        <v/>
      </c>
      <c r="G1756" s="6" t="str" cm="1">
        <f t="array" ref="G1756">IFERROR(INDEX(EmployeeData[Join Date], ROW() - 37), "")</f>
        <v/>
      </c>
      <c r="H1756" s="6" t="str" cm="1">
        <f t="array" ref="H1756">IFERROR(IF(INDEX(EmployeeData[Exit Date], ROW() - 37)=0, "",INDEX(EmployeeData[Exit Date], ROW() - 37)),"")</f>
        <v/>
      </c>
      <c r="I1756" s="4" t="str" cm="1">
        <f t="array" ref="I1756">IFERROR(IF(INDEX(EmployeeData[Exit Reason], ROW() - 37)=0, "",INDEX(EmployeeData[Exit Reason], ROW() - 37)),"")</f>
        <v/>
      </c>
      <c r="J1756" s="4" t="str" cm="1">
        <f t="array" ref="J1756">IFERROR(INDEX(EmployeeData[Status], ROW() - 37), "")</f>
        <v/>
      </c>
    </row>
    <row r="1757" spans="2:10" ht="19.95" customHeight="1" x14ac:dyDescent="0.3">
      <c r="B1757" s="4" t="str" cm="1">
        <f t="array" ref="B1757">IFERROR(INDEX(EmployeeData[Employee ID], ROW() - 37), "")</f>
        <v/>
      </c>
      <c r="C1757" s="4" t="str" cm="1">
        <f t="array" ref="C1757">IFERROR(INDEX(EmployeeData[Full Name], ROW() - 37), "")</f>
        <v/>
      </c>
      <c r="D1757" s="4" t="str" cm="1">
        <f t="array" ref="D1757">IFERROR(INDEX(EmployeeData[Department], ROW() - 37), "")</f>
        <v/>
      </c>
      <c r="E1757" s="4" t="str" cm="1">
        <f t="array" ref="E1757">IFERROR(INDEX(EmployeeData[Gender], ROW() - 37), "")</f>
        <v/>
      </c>
      <c r="F1757" s="4" t="str" cm="1">
        <f t="array" ref="F1757">IFERROR(INDEX(EmployeeData[Age], ROW() - 37), "")</f>
        <v/>
      </c>
      <c r="G1757" s="6" t="str" cm="1">
        <f t="array" ref="G1757">IFERROR(INDEX(EmployeeData[Join Date], ROW() - 37), "")</f>
        <v/>
      </c>
      <c r="H1757" s="6" t="str" cm="1">
        <f t="array" ref="H1757">IFERROR(IF(INDEX(EmployeeData[Exit Date], ROW() - 37)=0, "",INDEX(EmployeeData[Exit Date], ROW() - 37)),"")</f>
        <v/>
      </c>
      <c r="I1757" s="4" t="str" cm="1">
        <f t="array" ref="I1757">IFERROR(IF(INDEX(EmployeeData[Exit Reason], ROW() - 37)=0, "",INDEX(EmployeeData[Exit Reason], ROW() - 37)),"")</f>
        <v/>
      </c>
      <c r="J1757" s="4" t="str" cm="1">
        <f t="array" ref="J1757">IFERROR(INDEX(EmployeeData[Status], ROW() - 37), "")</f>
        <v/>
      </c>
    </row>
    <row r="1758" spans="2:10" ht="19.95" customHeight="1" x14ac:dyDescent="0.3">
      <c r="B1758" s="4" t="str" cm="1">
        <f t="array" ref="B1758">IFERROR(INDEX(EmployeeData[Employee ID], ROW() - 37), "")</f>
        <v/>
      </c>
      <c r="C1758" s="4" t="str" cm="1">
        <f t="array" ref="C1758">IFERROR(INDEX(EmployeeData[Full Name], ROW() - 37), "")</f>
        <v/>
      </c>
      <c r="D1758" s="4" t="str" cm="1">
        <f t="array" ref="D1758">IFERROR(INDEX(EmployeeData[Department], ROW() - 37), "")</f>
        <v/>
      </c>
      <c r="E1758" s="4" t="str" cm="1">
        <f t="array" ref="E1758">IFERROR(INDEX(EmployeeData[Gender], ROW() - 37), "")</f>
        <v/>
      </c>
      <c r="F1758" s="4" t="str" cm="1">
        <f t="array" ref="F1758">IFERROR(INDEX(EmployeeData[Age], ROW() - 37), "")</f>
        <v/>
      </c>
      <c r="G1758" s="6" t="str" cm="1">
        <f t="array" ref="G1758">IFERROR(INDEX(EmployeeData[Join Date], ROW() - 37), "")</f>
        <v/>
      </c>
      <c r="H1758" s="6" t="str" cm="1">
        <f t="array" ref="H1758">IFERROR(IF(INDEX(EmployeeData[Exit Date], ROW() - 37)=0, "",INDEX(EmployeeData[Exit Date], ROW() - 37)),"")</f>
        <v/>
      </c>
      <c r="I1758" s="4" t="str" cm="1">
        <f t="array" ref="I1758">IFERROR(IF(INDEX(EmployeeData[Exit Reason], ROW() - 37)=0, "",INDEX(EmployeeData[Exit Reason], ROW() - 37)),"")</f>
        <v/>
      </c>
      <c r="J1758" s="4" t="str" cm="1">
        <f t="array" ref="J1758">IFERROR(INDEX(EmployeeData[Status], ROW() - 37), "")</f>
        <v/>
      </c>
    </row>
    <row r="1759" spans="2:10" ht="19.95" customHeight="1" x14ac:dyDescent="0.3">
      <c r="B1759" s="4" t="str" cm="1">
        <f t="array" ref="B1759">IFERROR(INDEX(EmployeeData[Employee ID], ROW() - 37), "")</f>
        <v/>
      </c>
      <c r="C1759" s="4" t="str" cm="1">
        <f t="array" ref="C1759">IFERROR(INDEX(EmployeeData[Full Name], ROW() - 37), "")</f>
        <v/>
      </c>
      <c r="D1759" s="4" t="str" cm="1">
        <f t="array" ref="D1759">IFERROR(INDEX(EmployeeData[Department], ROW() - 37), "")</f>
        <v/>
      </c>
      <c r="E1759" s="4" t="str" cm="1">
        <f t="array" ref="E1759">IFERROR(INDEX(EmployeeData[Gender], ROW() - 37), "")</f>
        <v/>
      </c>
      <c r="F1759" s="4" t="str" cm="1">
        <f t="array" ref="F1759">IFERROR(INDEX(EmployeeData[Age], ROW() - 37), "")</f>
        <v/>
      </c>
      <c r="G1759" s="6" t="str" cm="1">
        <f t="array" ref="G1759">IFERROR(INDEX(EmployeeData[Join Date], ROW() - 37), "")</f>
        <v/>
      </c>
      <c r="H1759" s="6" t="str" cm="1">
        <f t="array" ref="H1759">IFERROR(IF(INDEX(EmployeeData[Exit Date], ROW() - 37)=0, "",INDEX(EmployeeData[Exit Date], ROW() - 37)),"")</f>
        <v/>
      </c>
      <c r="I1759" s="4" t="str" cm="1">
        <f t="array" ref="I1759">IFERROR(IF(INDEX(EmployeeData[Exit Reason], ROW() - 37)=0, "",INDEX(EmployeeData[Exit Reason], ROW() - 37)),"")</f>
        <v/>
      </c>
      <c r="J1759" s="4" t="str" cm="1">
        <f t="array" ref="J1759">IFERROR(INDEX(EmployeeData[Status], ROW() - 37), "")</f>
        <v/>
      </c>
    </row>
    <row r="1760" spans="2:10" ht="19.95" customHeight="1" x14ac:dyDescent="0.3">
      <c r="B1760" s="4" t="str" cm="1">
        <f t="array" ref="B1760">IFERROR(INDEX(EmployeeData[Employee ID], ROW() - 37), "")</f>
        <v/>
      </c>
      <c r="C1760" s="4" t="str" cm="1">
        <f t="array" ref="C1760">IFERROR(INDEX(EmployeeData[Full Name], ROW() - 37), "")</f>
        <v/>
      </c>
      <c r="D1760" s="4" t="str" cm="1">
        <f t="array" ref="D1760">IFERROR(INDEX(EmployeeData[Department], ROW() - 37), "")</f>
        <v/>
      </c>
      <c r="E1760" s="4" t="str" cm="1">
        <f t="array" ref="E1760">IFERROR(INDEX(EmployeeData[Gender], ROW() - 37), "")</f>
        <v/>
      </c>
      <c r="F1760" s="4" t="str" cm="1">
        <f t="array" ref="F1760">IFERROR(INDEX(EmployeeData[Age], ROW() - 37), "")</f>
        <v/>
      </c>
      <c r="G1760" s="6" t="str" cm="1">
        <f t="array" ref="G1760">IFERROR(INDEX(EmployeeData[Join Date], ROW() - 37), "")</f>
        <v/>
      </c>
      <c r="H1760" s="6" t="str" cm="1">
        <f t="array" ref="H1760">IFERROR(IF(INDEX(EmployeeData[Exit Date], ROW() - 37)=0, "",INDEX(EmployeeData[Exit Date], ROW() - 37)),"")</f>
        <v/>
      </c>
      <c r="I1760" s="4" t="str" cm="1">
        <f t="array" ref="I1760">IFERROR(IF(INDEX(EmployeeData[Exit Reason], ROW() - 37)=0, "",INDEX(EmployeeData[Exit Reason], ROW() - 37)),"")</f>
        <v/>
      </c>
      <c r="J1760" s="4" t="str" cm="1">
        <f t="array" ref="J1760">IFERROR(INDEX(EmployeeData[Status], ROW() - 37), "")</f>
        <v/>
      </c>
    </row>
    <row r="1761" spans="2:10" ht="19.95" customHeight="1" x14ac:dyDescent="0.3">
      <c r="B1761" s="4" t="str" cm="1">
        <f t="array" ref="B1761">IFERROR(INDEX(EmployeeData[Employee ID], ROW() - 37), "")</f>
        <v/>
      </c>
      <c r="C1761" s="4" t="str" cm="1">
        <f t="array" ref="C1761">IFERROR(INDEX(EmployeeData[Full Name], ROW() - 37), "")</f>
        <v/>
      </c>
      <c r="D1761" s="4" t="str" cm="1">
        <f t="array" ref="D1761">IFERROR(INDEX(EmployeeData[Department], ROW() - 37), "")</f>
        <v/>
      </c>
      <c r="E1761" s="4" t="str" cm="1">
        <f t="array" ref="E1761">IFERROR(INDEX(EmployeeData[Gender], ROW() - 37), "")</f>
        <v/>
      </c>
      <c r="F1761" s="4" t="str" cm="1">
        <f t="array" ref="F1761">IFERROR(INDEX(EmployeeData[Age], ROW() - 37), "")</f>
        <v/>
      </c>
      <c r="G1761" s="6" t="str" cm="1">
        <f t="array" ref="G1761">IFERROR(INDEX(EmployeeData[Join Date], ROW() - 37), "")</f>
        <v/>
      </c>
      <c r="H1761" s="6" t="str" cm="1">
        <f t="array" ref="H1761">IFERROR(IF(INDEX(EmployeeData[Exit Date], ROW() - 37)=0, "",INDEX(EmployeeData[Exit Date], ROW() - 37)),"")</f>
        <v/>
      </c>
      <c r="I1761" s="4" t="str" cm="1">
        <f t="array" ref="I1761">IFERROR(IF(INDEX(EmployeeData[Exit Reason], ROW() - 37)=0, "",INDEX(EmployeeData[Exit Reason], ROW() - 37)),"")</f>
        <v/>
      </c>
      <c r="J1761" s="4" t="str" cm="1">
        <f t="array" ref="J1761">IFERROR(INDEX(EmployeeData[Status], ROW() - 37), "")</f>
        <v/>
      </c>
    </row>
    <row r="1762" spans="2:10" ht="19.95" customHeight="1" x14ac:dyDescent="0.3">
      <c r="B1762" s="4" t="str" cm="1">
        <f t="array" ref="B1762">IFERROR(INDEX(EmployeeData[Employee ID], ROW() - 37), "")</f>
        <v/>
      </c>
      <c r="C1762" s="4" t="str" cm="1">
        <f t="array" ref="C1762">IFERROR(INDEX(EmployeeData[Full Name], ROW() - 37), "")</f>
        <v/>
      </c>
      <c r="D1762" s="4" t="str" cm="1">
        <f t="array" ref="D1762">IFERROR(INDEX(EmployeeData[Department], ROW() - 37), "")</f>
        <v/>
      </c>
      <c r="E1762" s="4" t="str" cm="1">
        <f t="array" ref="E1762">IFERROR(INDEX(EmployeeData[Gender], ROW() - 37), "")</f>
        <v/>
      </c>
      <c r="F1762" s="4" t="str" cm="1">
        <f t="array" ref="F1762">IFERROR(INDEX(EmployeeData[Age], ROW() - 37), "")</f>
        <v/>
      </c>
      <c r="G1762" s="6" t="str" cm="1">
        <f t="array" ref="G1762">IFERROR(INDEX(EmployeeData[Join Date], ROW() - 37), "")</f>
        <v/>
      </c>
      <c r="H1762" s="6" t="str" cm="1">
        <f t="array" ref="H1762">IFERROR(IF(INDEX(EmployeeData[Exit Date], ROW() - 37)=0, "",INDEX(EmployeeData[Exit Date], ROW() - 37)),"")</f>
        <v/>
      </c>
      <c r="I1762" s="4" t="str" cm="1">
        <f t="array" ref="I1762">IFERROR(IF(INDEX(EmployeeData[Exit Reason], ROW() - 37)=0, "",INDEX(EmployeeData[Exit Reason], ROW() - 37)),"")</f>
        <v/>
      </c>
      <c r="J1762" s="4" t="str" cm="1">
        <f t="array" ref="J1762">IFERROR(INDEX(EmployeeData[Status], ROW() - 37), "")</f>
        <v/>
      </c>
    </row>
    <row r="1763" spans="2:10" ht="19.95" customHeight="1" x14ac:dyDescent="0.3">
      <c r="B1763" s="4" t="str" cm="1">
        <f t="array" ref="B1763">IFERROR(INDEX(EmployeeData[Employee ID], ROW() - 37), "")</f>
        <v/>
      </c>
      <c r="C1763" s="4" t="str" cm="1">
        <f t="array" ref="C1763">IFERROR(INDEX(EmployeeData[Full Name], ROW() - 37), "")</f>
        <v/>
      </c>
      <c r="D1763" s="4" t="str" cm="1">
        <f t="array" ref="D1763">IFERROR(INDEX(EmployeeData[Department], ROW() - 37), "")</f>
        <v/>
      </c>
      <c r="E1763" s="4" t="str" cm="1">
        <f t="array" ref="E1763">IFERROR(INDEX(EmployeeData[Gender], ROW() - 37), "")</f>
        <v/>
      </c>
      <c r="F1763" s="4" t="str" cm="1">
        <f t="array" ref="F1763">IFERROR(INDEX(EmployeeData[Age], ROW() - 37), "")</f>
        <v/>
      </c>
      <c r="G1763" s="6" t="str" cm="1">
        <f t="array" ref="G1763">IFERROR(INDEX(EmployeeData[Join Date], ROW() - 37), "")</f>
        <v/>
      </c>
      <c r="H1763" s="6" t="str" cm="1">
        <f t="array" ref="H1763">IFERROR(IF(INDEX(EmployeeData[Exit Date], ROW() - 37)=0, "",INDEX(EmployeeData[Exit Date], ROW() - 37)),"")</f>
        <v/>
      </c>
      <c r="I1763" s="4" t="str" cm="1">
        <f t="array" ref="I1763">IFERROR(IF(INDEX(EmployeeData[Exit Reason], ROW() - 37)=0, "",INDEX(EmployeeData[Exit Reason], ROW() - 37)),"")</f>
        <v/>
      </c>
      <c r="J1763" s="4" t="str" cm="1">
        <f t="array" ref="J1763">IFERROR(INDEX(EmployeeData[Status], ROW() - 37), "")</f>
        <v/>
      </c>
    </row>
    <row r="1764" spans="2:10" ht="19.95" customHeight="1" x14ac:dyDescent="0.3">
      <c r="B1764" s="4" t="str" cm="1">
        <f t="array" ref="B1764">IFERROR(INDEX(EmployeeData[Employee ID], ROW() - 37), "")</f>
        <v/>
      </c>
      <c r="C1764" s="4" t="str" cm="1">
        <f t="array" ref="C1764">IFERROR(INDEX(EmployeeData[Full Name], ROW() - 37), "")</f>
        <v/>
      </c>
      <c r="D1764" s="4" t="str" cm="1">
        <f t="array" ref="D1764">IFERROR(INDEX(EmployeeData[Department], ROW() - 37), "")</f>
        <v/>
      </c>
      <c r="E1764" s="4" t="str" cm="1">
        <f t="array" ref="E1764">IFERROR(INDEX(EmployeeData[Gender], ROW() - 37), "")</f>
        <v/>
      </c>
      <c r="F1764" s="4" t="str" cm="1">
        <f t="array" ref="F1764">IFERROR(INDEX(EmployeeData[Age], ROW() - 37), "")</f>
        <v/>
      </c>
      <c r="G1764" s="6" t="str" cm="1">
        <f t="array" ref="G1764">IFERROR(INDEX(EmployeeData[Join Date], ROW() - 37), "")</f>
        <v/>
      </c>
      <c r="H1764" s="6" t="str" cm="1">
        <f t="array" ref="H1764">IFERROR(IF(INDEX(EmployeeData[Exit Date], ROW() - 37)=0, "",INDEX(EmployeeData[Exit Date], ROW() - 37)),"")</f>
        <v/>
      </c>
      <c r="I1764" s="4" t="str" cm="1">
        <f t="array" ref="I1764">IFERROR(IF(INDEX(EmployeeData[Exit Reason], ROW() - 37)=0, "",INDEX(EmployeeData[Exit Reason], ROW() - 37)),"")</f>
        <v/>
      </c>
      <c r="J1764" s="4" t="str" cm="1">
        <f t="array" ref="J1764">IFERROR(INDEX(EmployeeData[Status], ROW() - 37), "")</f>
        <v/>
      </c>
    </row>
    <row r="1765" spans="2:10" ht="19.95" customHeight="1" x14ac:dyDescent="0.3">
      <c r="B1765" s="4" t="str" cm="1">
        <f t="array" ref="B1765">IFERROR(INDEX(EmployeeData[Employee ID], ROW() - 37), "")</f>
        <v/>
      </c>
      <c r="C1765" s="4" t="str" cm="1">
        <f t="array" ref="C1765">IFERROR(INDEX(EmployeeData[Full Name], ROW() - 37), "")</f>
        <v/>
      </c>
      <c r="D1765" s="4" t="str" cm="1">
        <f t="array" ref="D1765">IFERROR(INDEX(EmployeeData[Department], ROW() - 37), "")</f>
        <v/>
      </c>
      <c r="E1765" s="4" t="str" cm="1">
        <f t="array" ref="E1765">IFERROR(INDEX(EmployeeData[Gender], ROW() - 37), "")</f>
        <v/>
      </c>
      <c r="F1765" s="4" t="str" cm="1">
        <f t="array" ref="F1765">IFERROR(INDEX(EmployeeData[Age], ROW() - 37), "")</f>
        <v/>
      </c>
      <c r="G1765" s="6" t="str" cm="1">
        <f t="array" ref="G1765">IFERROR(INDEX(EmployeeData[Join Date], ROW() - 37), "")</f>
        <v/>
      </c>
      <c r="H1765" s="6" t="str" cm="1">
        <f t="array" ref="H1765">IFERROR(IF(INDEX(EmployeeData[Exit Date], ROW() - 37)=0, "",INDEX(EmployeeData[Exit Date], ROW() - 37)),"")</f>
        <v/>
      </c>
      <c r="I1765" s="4" t="str" cm="1">
        <f t="array" ref="I1765">IFERROR(IF(INDEX(EmployeeData[Exit Reason], ROW() - 37)=0, "",INDEX(EmployeeData[Exit Reason], ROW() - 37)),"")</f>
        <v/>
      </c>
      <c r="J1765" s="4" t="str" cm="1">
        <f t="array" ref="J1765">IFERROR(INDEX(EmployeeData[Status], ROW() - 37), "")</f>
        <v/>
      </c>
    </row>
    <row r="1766" spans="2:10" ht="19.95" customHeight="1" x14ac:dyDescent="0.3">
      <c r="B1766" s="4" t="str" cm="1">
        <f t="array" ref="B1766">IFERROR(INDEX(EmployeeData[Employee ID], ROW() - 37), "")</f>
        <v/>
      </c>
      <c r="C1766" s="4" t="str" cm="1">
        <f t="array" ref="C1766">IFERROR(INDEX(EmployeeData[Full Name], ROW() - 37), "")</f>
        <v/>
      </c>
      <c r="D1766" s="4" t="str" cm="1">
        <f t="array" ref="D1766">IFERROR(INDEX(EmployeeData[Department], ROW() - 37), "")</f>
        <v/>
      </c>
      <c r="E1766" s="4" t="str" cm="1">
        <f t="array" ref="E1766">IFERROR(INDEX(EmployeeData[Gender], ROW() - 37), "")</f>
        <v/>
      </c>
      <c r="F1766" s="4" t="str" cm="1">
        <f t="array" ref="F1766">IFERROR(INDEX(EmployeeData[Age], ROW() - 37), "")</f>
        <v/>
      </c>
      <c r="G1766" s="6" t="str" cm="1">
        <f t="array" ref="G1766">IFERROR(INDEX(EmployeeData[Join Date], ROW() - 37), "")</f>
        <v/>
      </c>
      <c r="H1766" s="6" t="str" cm="1">
        <f t="array" ref="H1766">IFERROR(IF(INDEX(EmployeeData[Exit Date], ROW() - 37)=0, "",INDEX(EmployeeData[Exit Date], ROW() - 37)),"")</f>
        <v/>
      </c>
      <c r="I1766" s="4" t="str" cm="1">
        <f t="array" ref="I1766">IFERROR(IF(INDEX(EmployeeData[Exit Reason], ROW() - 37)=0, "",INDEX(EmployeeData[Exit Reason], ROW() - 37)),"")</f>
        <v/>
      </c>
      <c r="J1766" s="4" t="str" cm="1">
        <f t="array" ref="J1766">IFERROR(INDEX(EmployeeData[Status], ROW() - 37), "")</f>
        <v/>
      </c>
    </row>
    <row r="1767" spans="2:10" ht="19.95" customHeight="1" x14ac:dyDescent="0.3">
      <c r="B1767" s="4" t="str" cm="1">
        <f t="array" ref="B1767">IFERROR(INDEX(EmployeeData[Employee ID], ROW() - 37), "")</f>
        <v/>
      </c>
      <c r="C1767" s="4" t="str" cm="1">
        <f t="array" ref="C1767">IFERROR(INDEX(EmployeeData[Full Name], ROW() - 37), "")</f>
        <v/>
      </c>
      <c r="D1767" s="4" t="str" cm="1">
        <f t="array" ref="D1767">IFERROR(INDEX(EmployeeData[Department], ROW() - 37), "")</f>
        <v/>
      </c>
      <c r="E1767" s="4" t="str" cm="1">
        <f t="array" ref="E1767">IFERROR(INDEX(EmployeeData[Gender], ROW() - 37), "")</f>
        <v/>
      </c>
      <c r="F1767" s="4" t="str" cm="1">
        <f t="array" ref="F1767">IFERROR(INDEX(EmployeeData[Age], ROW() - 37), "")</f>
        <v/>
      </c>
      <c r="G1767" s="6" t="str" cm="1">
        <f t="array" ref="G1767">IFERROR(INDEX(EmployeeData[Join Date], ROW() - 37), "")</f>
        <v/>
      </c>
      <c r="H1767" s="6" t="str" cm="1">
        <f t="array" ref="H1767">IFERROR(IF(INDEX(EmployeeData[Exit Date], ROW() - 37)=0, "",INDEX(EmployeeData[Exit Date], ROW() - 37)),"")</f>
        <v/>
      </c>
      <c r="I1767" s="4" t="str" cm="1">
        <f t="array" ref="I1767">IFERROR(IF(INDEX(EmployeeData[Exit Reason], ROW() - 37)=0, "",INDEX(EmployeeData[Exit Reason], ROW() - 37)),"")</f>
        <v/>
      </c>
      <c r="J1767" s="4" t="str" cm="1">
        <f t="array" ref="J1767">IFERROR(INDEX(EmployeeData[Status], ROW() - 37), "")</f>
        <v/>
      </c>
    </row>
    <row r="1768" spans="2:10" ht="19.95" customHeight="1" x14ac:dyDescent="0.3">
      <c r="B1768" s="4" t="str" cm="1">
        <f t="array" ref="B1768">IFERROR(INDEX(EmployeeData[Employee ID], ROW() - 37), "")</f>
        <v/>
      </c>
      <c r="C1768" s="4" t="str" cm="1">
        <f t="array" ref="C1768">IFERROR(INDEX(EmployeeData[Full Name], ROW() - 37), "")</f>
        <v/>
      </c>
      <c r="D1768" s="4" t="str" cm="1">
        <f t="array" ref="D1768">IFERROR(INDEX(EmployeeData[Department], ROW() - 37), "")</f>
        <v/>
      </c>
      <c r="E1768" s="4" t="str" cm="1">
        <f t="array" ref="E1768">IFERROR(INDEX(EmployeeData[Gender], ROW() - 37), "")</f>
        <v/>
      </c>
      <c r="F1768" s="4" t="str" cm="1">
        <f t="array" ref="F1768">IFERROR(INDEX(EmployeeData[Age], ROW() - 37), "")</f>
        <v/>
      </c>
      <c r="G1768" s="6" t="str" cm="1">
        <f t="array" ref="G1768">IFERROR(INDEX(EmployeeData[Join Date], ROW() - 37), "")</f>
        <v/>
      </c>
      <c r="H1768" s="6" t="str" cm="1">
        <f t="array" ref="H1768">IFERROR(IF(INDEX(EmployeeData[Exit Date], ROW() - 37)=0, "",INDEX(EmployeeData[Exit Date], ROW() - 37)),"")</f>
        <v/>
      </c>
      <c r="I1768" s="4" t="str" cm="1">
        <f t="array" ref="I1768">IFERROR(IF(INDEX(EmployeeData[Exit Reason], ROW() - 37)=0, "",INDEX(EmployeeData[Exit Reason], ROW() - 37)),"")</f>
        <v/>
      </c>
      <c r="J1768" s="4" t="str" cm="1">
        <f t="array" ref="J1768">IFERROR(INDEX(EmployeeData[Status], ROW() - 37), "")</f>
        <v/>
      </c>
    </row>
    <row r="1769" spans="2:10" ht="19.95" customHeight="1" x14ac:dyDescent="0.3">
      <c r="B1769" s="4" t="str" cm="1">
        <f t="array" ref="B1769">IFERROR(INDEX(EmployeeData[Employee ID], ROW() - 37), "")</f>
        <v/>
      </c>
      <c r="C1769" s="4" t="str" cm="1">
        <f t="array" ref="C1769">IFERROR(INDEX(EmployeeData[Full Name], ROW() - 37), "")</f>
        <v/>
      </c>
      <c r="D1769" s="4" t="str" cm="1">
        <f t="array" ref="D1769">IFERROR(INDEX(EmployeeData[Department], ROW() - 37), "")</f>
        <v/>
      </c>
      <c r="E1769" s="4" t="str" cm="1">
        <f t="array" ref="E1769">IFERROR(INDEX(EmployeeData[Gender], ROW() - 37), "")</f>
        <v/>
      </c>
      <c r="F1769" s="4" t="str" cm="1">
        <f t="array" ref="F1769">IFERROR(INDEX(EmployeeData[Age], ROW() - 37), "")</f>
        <v/>
      </c>
      <c r="G1769" s="6" t="str" cm="1">
        <f t="array" ref="G1769">IFERROR(INDEX(EmployeeData[Join Date], ROW() - 37), "")</f>
        <v/>
      </c>
      <c r="H1769" s="6" t="str" cm="1">
        <f t="array" ref="H1769">IFERROR(IF(INDEX(EmployeeData[Exit Date], ROW() - 37)=0, "",INDEX(EmployeeData[Exit Date], ROW() - 37)),"")</f>
        <v/>
      </c>
      <c r="I1769" s="4" t="str" cm="1">
        <f t="array" ref="I1769">IFERROR(IF(INDEX(EmployeeData[Exit Reason], ROW() - 37)=0, "",INDEX(EmployeeData[Exit Reason], ROW() - 37)),"")</f>
        <v/>
      </c>
      <c r="J1769" s="4" t="str" cm="1">
        <f t="array" ref="J1769">IFERROR(INDEX(EmployeeData[Status], ROW() - 37), "")</f>
        <v/>
      </c>
    </row>
    <row r="1770" spans="2:10" ht="19.95" customHeight="1" x14ac:dyDescent="0.3">
      <c r="B1770" s="4" t="str" cm="1">
        <f t="array" ref="B1770">IFERROR(INDEX(EmployeeData[Employee ID], ROW() - 37), "")</f>
        <v/>
      </c>
      <c r="C1770" s="4" t="str" cm="1">
        <f t="array" ref="C1770">IFERROR(INDEX(EmployeeData[Full Name], ROW() - 37), "")</f>
        <v/>
      </c>
      <c r="D1770" s="4" t="str" cm="1">
        <f t="array" ref="D1770">IFERROR(INDEX(EmployeeData[Department], ROW() - 37), "")</f>
        <v/>
      </c>
      <c r="E1770" s="4" t="str" cm="1">
        <f t="array" ref="E1770">IFERROR(INDEX(EmployeeData[Gender], ROW() - 37), "")</f>
        <v/>
      </c>
      <c r="F1770" s="4" t="str" cm="1">
        <f t="array" ref="F1770">IFERROR(INDEX(EmployeeData[Age], ROW() - 37), "")</f>
        <v/>
      </c>
      <c r="G1770" s="6" t="str" cm="1">
        <f t="array" ref="G1770">IFERROR(INDEX(EmployeeData[Join Date], ROW() - 37), "")</f>
        <v/>
      </c>
      <c r="H1770" s="6" t="str" cm="1">
        <f t="array" ref="H1770">IFERROR(IF(INDEX(EmployeeData[Exit Date], ROW() - 37)=0, "",INDEX(EmployeeData[Exit Date], ROW() - 37)),"")</f>
        <v/>
      </c>
      <c r="I1770" s="4" t="str" cm="1">
        <f t="array" ref="I1770">IFERROR(IF(INDEX(EmployeeData[Exit Reason], ROW() - 37)=0, "",INDEX(EmployeeData[Exit Reason], ROW() - 37)),"")</f>
        <v/>
      </c>
      <c r="J1770" s="4" t="str" cm="1">
        <f t="array" ref="J1770">IFERROR(INDEX(EmployeeData[Status], ROW() - 37), "")</f>
        <v/>
      </c>
    </row>
    <row r="1771" spans="2:10" ht="19.95" customHeight="1" x14ac:dyDescent="0.3">
      <c r="B1771" s="4" t="str" cm="1">
        <f t="array" ref="B1771">IFERROR(INDEX(EmployeeData[Employee ID], ROW() - 37), "")</f>
        <v/>
      </c>
      <c r="C1771" s="4" t="str" cm="1">
        <f t="array" ref="C1771">IFERROR(INDEX(EmployeeData[Full Name], ROW() - 37), "")</f>
        <v/>
      </c>
      <c r="D1771" s="4" t="str" cm="1">
        <f t="array" ref="D1771">IFERROR(INDEX(EmployeeData[Department], ROW() - 37), "")</f>
        <v/>
      </c>
      <c r="E1771" s="4" t="str" cm="1">
        <f t="array" ref="E1771">IFERROR(INDEX(EmployeeData[Gender], ROW() - 37), "")</f>
        <v/>
      </c>
      <c r="F1771" s="4" t="str" cm="1">
        <f t="array" ref="F1771">IFERROR(INDEX(EmployeeData[Age], ROW() - 37), "")</f>
        <v/>
      </c>
      <c r="G1771" s="6" t="str" cm="1">
        <f t="array" ref="G1771">IFERROR(INDEX(EmployeeData[Join Date], ROW() - 37), "")</f>
        <v/>
      </c>
      <c r="H1771" s="6" t="str" cm="1">
        <f t="array" ref="H1771">IFERROR(IF(INDEX(EmployeeData[Exit Date], ROW() - 37)=0, "",INDEX(EmployeeData[Exit Date], ROW() - 37)),"")</f>
        <v/>
      </c>
      <c r="I1771" s="4" t="str" cm="1">
        <f t="array" ref="I1771">IFERROR(IF(INDEX(EmployeeData[Exit Reason], ROW() - 37)=0, "",INDEX(EmployeeData[Exit Reason], ROW() - 37)),"")</f>
        <v/>
      </c>
      <c r="J1771" s="4" t="str" cm="1">
        <f t="array" ref="J1771">IFERROR(INDEX(EmployeeData[Status], ROW() - 37), "")</f>
        <v/>
      </c>
    </row>
    <row r="1772" spans="2:10" ht="19.95" customHeight="1" x14ac:dyDescent="0.3">
      <c r="B1772" s="4" t="str" cm="1">
        <f t="array" ref="B1772">IFERROR(INDEX(EmployeeData[Employee ID], ROW() - 37), "")</f>
        <v/>
      </c>
      <c r="C1772" s="4" t="str" cm="1">
        <f t="array" ref="C1772">IFERROR(INDEX(EmployeeData[Full Name], ROW() - 37), "")</f>
        <v/>
      </c>
      <c r="D1772" s="4" t="str" cm="1">
        <f t="array" ref="D1772">IFERROR(INDEX(EmployeeData[Department], ROW() - 37), "")</f>
        <v/>
      </c>
      <c r="E1772" s="4" t="str" cm="1">
        <f t="array" ref="E1772">IFERROR(INDEX(EmployeeData[Gender], ROW() - 37), "")</f>
        <v/>
      </c>
      <c r="F1772" s="4" t="str" cm="1">
        <f t="array" ref="F1772">IFERROR(INDEX(EmployeeData[Age], ROW() - 37), "")</f>
        <v/>
      </c>
      <c r="G1772" s="6" t="str" cm="1">
        <f t="array" ref="G1772">IFERROR(INDEX(EmployeeData[Join Date], ROW() - 37), "")</f>
        <v/>
      </c>
      <c r="H1772" s="6" t="str" cm="1">
        <f t="array" ref="H1772">IFERROR(IF(INDEX(EmployeeData[Exit Date], ROW() - 37)=0, "",INDEX(EmployeeData[Exit Date], ROW() - 37)),"")</f>
        <v/>
      </c>
      <c r="I1772" s="4" t="str" cm="1">
        <f t="array" ref="I1772">IFERROR(IF(INDEX(EmployeeData[Exit Reason], ROW() - 37)=0, "",INDEX(EmployeeData[Exit Reason], ROW() - 37)),"")</f>
        <v/>
      </c>
      <c r="J1772" s="4" t="str" cm="1">
        <f t="array" ref="J1772">IFERROR(INDEX(EmployeeData[Status], ROW() - 37), "")</f>
        <v/>
      </c>
    </row>
    <row r="1773" spans="2:10" ht="19.95" customHeight="1" x14ac:dyDescent="0.3">
      <c r="B1773" s="4" t="str" cm="1">
        <f t="array" ref="B1773">IFERROR(INDEX(EmployeeData[Employee ID], ROW() - 37), "")</f>
        <v/>
      </c>
      <c r="C1773" s="4" t="str" cm="1">
        <f t="array" ref="C1773">IFERROR(INDEX(EmployeeData[Full Name], ROW() - 37), "")</f>
        <v/>
      </c>
      <c r="D1773" s="4" t="str" cm="1">
        <f t="array" ref="D1773">IFERROR(INDEX(EmployeeData[Department], ROW() - 37), "")</f>
        <v/>
      </c>
      <c r="E1773" s="4" t="str" cm="1">
        <f t="array" ref="E1773">IFERROR(INDEX(EmployeeData[Gender], ROW() - 37), "")</f>
        <v/>
      </c>
      <c r="F1773" s="4" t="str" cm="1">
        <f t="array" ref="F1773">IFERROR(INDEX(EmployeeData[Age], ROW() - 37), "")</f>
        <v/>
      </c>
      <c r="G1773" s="6" t="str" cm="1">
        <f t="array" ref="G1773">IFERROR(INDEX(EmployeeData[Join Date], ROW() - 37), "")</f>
        <v/>
      </c>
      <c r="H1773" s="6" t="str" cm="1">
        <f t="array" ref="H1773">IFERROR(IF(INDEX(EmployeeData[Exit Date], ROW() - 37)=0, "",INDEX(EmployeeData[Exit Date], ROW() - 37)),"")</f>
        <v/>
      </c>
      <c r="I1773" s="4" t="str" cm="1">
        <f t="array" ref="I1773">IFERROR(IF(INDEX(EmployeeData[Exit Reason], ROW() - 37)=0, "",INDEX(EmployeeData[Exit Reason], ROW() - 37)),"")</f>
        <v/>
      </c>
      <c r="J1773" s="4" t="str" cm="1">
        <f t="array" ref="J1773">IFERROR(INDEX(EmployeeData[Status], ROW() - 37), "")</f>
        <v/>
      </c>
    </row>
    <row r="1774" spans="2:10" ht="19.95" customHeight="1" x14ac:dyDescent="0.3">
      <c r="B1774" s="4" t="str" cm="1">
        <f t="array" ref="B1774">IFERROR(INDEX(EmployeeData[Employee ID], ROW() - 37), "")</f>
        <v/>
      </c>
      <c r="C1774" s="4" t="str" cm="1">
        <f t="array" ref="C1774">IFERROR(INDEX(EmployeeData[Full Name], ROW() - 37), "")</f>
        <v/>
      </c>
      <c r="D1774" s="4" t="str" cm="1">
        <f t="array" ref="D1774">IFERROR(INDEX(EmployeeData[Department], ROW() - 37), "")</f>
        <v/>
      </c>
      <c r="E1774" s="4" t="str" cm="1">
        <f t="array" ref="E1774">IFERROR(INDEX(EmployeeData[Gender], ROW() - 37), "")</f>
        <v/>
      </c>
      <c r="F1774" s="4" t="str" cm="1">
        <f t="array" ref="F1774">IFERROR(INDEX(EmployeeData[Age], ROW() - 37), "")</f>
        <v/>
      </c>
      <c r="G1774" s="6" t="str" cm="1">
        <f t="array" ref="G1774">IFERROR(INDEX(EmployeeData[Join Date], ROW() - 37), "")</f>
        <v/>
      </c>
      <c r="H1774" s="6" t="str" cm="1">
        <f t="array" ref="H1774">IFERROR(IF(INDEX(EmployeeData[Exit Date], ROW() - 37)=0, "",INDEX(EmployeeData[Exit Date], ROW() - 37)),"")</f>
        <v/>
      </c>
      <c r="I1774" s="4" t="str" cm="1">
        <f t="array" ref="I1774">IFERROR(IF(INDEX(EmployeeData[Exit Reason], ROW() - 37)=0, "",INDEX(EmployeeData[Exit Reason], ROW() - 37)),"")</f>
        <v/>
      </c>
      <c r="J1774" s="4" t="str" cm="1">
        <f t="array" ref="J1774">IFERROR(INDEX(EmployeeData[Status], ROW() - 37), "")</f>
        <v/>
      </c>
    </row>
    <row r="1775" spans="2:10" ht="19.95" customHeight="1" x14ac:dyDescent="0.3">
      <c r="B1775" s="4" t="str" cm="1">
        <f t="array" ref="B1775">IFERROR(INDEX(EmployeeData[Employee ID], ROW() - 37), "")</f>
        <v/>
      </c>
      <c r="C1775" s="4" t="str" cm="1">
        <f t="array" ref="C1775">IFERROR(INDEX(EmployeeData[Full Name], ROW() - 37), "")</f>
        <v/>
      </c>
      <c r="D1775" s="4" t="str" cm="1">
        <f t="array" ref="D1775">IFERROR(INDEX(EmployeeData[Department], ROW() - 37), "")</f>
        <v/>
      </c>
      <c r="E1775" s="4" t="str" cm="1">
        <f t="array" ref="E1775">IFERROR(INDEX(EmployeeData[Gender], ROW() - 37), "")</f>
        <v/>
      </c>
      <c r="F1775" s="4" t="str" cm="1">
        <f t="array" ref="F1775">IFERROR(INDEX(EmployeeData[Age], ROW() - 37), "")</f>
        <v/>
      </c>
      <c r="G1775" s="6" t="str" cm="1">
        <f t="array" ref="G1775">IFERROR(INDEX(EmployeeData[Join Date], ROW() - 37), "")</f>
        <v/>
      </c>
      <c r="H1775" s="6" t="str" cm="1">
        <f t="array" ref="H1775">IFERROR(IF(INDEX(EmployeeData[Exit Date], ROW() - 37)=0, "",INDEX(EmployeeData[Exit Date], ROW() - 37)),"")</f>
        <v/>
      </c>
      <c r="I1775" s="4" t="str" cm="1">
        <f t="array" ref="I1775">IFERROR(IF(INDEX(EmployeeData[Exit Reason], ROW() - 37)=0, "",INDEX(EmployeeData[Exit Reason], ROW() - 37)),"")</f>
        <v/>
      </c>
      <c r="J1775" s="4" t="str" cm="1">
        <f t="array" ref="J1775">IFERROR(INDEX(EmployeeData[Status], ROW() - 37), "")</f>
        <v/>
      </c>
    </row>
    <row r="1776" spans="2:10" ht="19.95" customHeight="1" x14ac:dyDescent="0.3">
      <c r="B1776" s="4" t="str" cm="1">
        <f t="array" ref="B1776">IFERROR(INDEX(EmployeeData[Employee ID], ROW() - 37), "")</f>
        <v/>
      </c>
      <c r="C1776" s="4" t="str" cm="1">
        <f t="array" ref="C1776">IFERROR(INDEX(EmployeeData[Full Name], ROW() - 37), "")</f>
        <v/>
      </c>
      <c r="D1776" s="4" t="str" cm="1">
        <f t="array" ref="D1776">IFERROR(INDEX(EmployeeData[Department], ROW() - 37), "")</f>
        <v/>
      </c>
      <c r="E1776" s="4" t="str" cm="1">
        <f t="array" ref="E1776">IFERROR(INDEX(EmployeeData[Gender], ROW() - 37), "")</f>
        <v/>
      </c>
      <c r="F1776" s="4" t="str" cm="1">
        <f t="array" ref="F1776">IFERROR(INDEX(EmployeeData[Age], ROW() - 37), "")</f>
        <v/>
      </c>
      <c r="G1776" s="6" t="str" cm="1">
        <f t="array" ref="G1776">IFERROR(INDEX(EmployeeData[Join Date], ROW() - 37), "")</f>
        <v/>
      </c>
      <c r="H1776" s="6" t="str" cm="1">
        <f t="array" ref="H1776">IFERROR(IF(INDEX(EmployeeData[Exit Date], ROW() - 37)=0, "",INDEX(EmployeeData[Exit Date], ROW() - 37)),"")</f>
        <v/>
      </c>
      <c r="I1776" s="4" t="str" cm="1">
        <f t="array" ref="I1776">IFERROR(IF(INDEX(EmployeeData[Exit Reason], ROW() - 37)=0, "",INDEX(EmployeeData[Exit Reason], ROW() - 37)),"")</f>
        <v/>
      </c>
      <c r="J1776" s="4" t="str" cm="1">
        <f t="array" ref="J1776">IFERROR(INDEX(EmployeeData[Status], ROW() - 37), "")</f>
        <v/>
      </c>
    </row>
    <row r="1777" spans="2:10" ht="19.95" customHeight="1" x14ac:dyDescent="0.3">
      <c r="B1777" s="4" t="str" cm="1">
        <f t="array" ref="B1777">IFERROR(INDEX(EmployeeData[Employee ID], ROW() - 37), "")</f>
        <v/>
      </c>
      <c r="C1777" s="4" t="str" cm="1">
        <f t="array" ref="C1777">IFERROR(INDEX(EmployeeData[Full Name], ROW() - 37), "")</f>
        <v/>
      </c>
      <c r="D1777" s="4" t="str" cm="1">
        <f t="array" ref="D1777">IFERROR(INDEX(EmployeeData[Department], ROW() - 37), "")</f>
        <v/>
      </c>
      <c r="E1777" s="4" t="str" cm="1">
        <f t="array" ref="E1777">IFERROR(INDEX(EmployeeData[Gender], ROW() - 37), "")</f>
        <v/>
      </c>
      <c r="F1777" s="4" t="str" cm="1">
        <f t="array" ref="F1777">IFERROR(INDEX(EmployeeData[Age], ROW() - 37), "")</f>
        <v/>
      </c>
      <c r="G1777" s="6" t="str" cm="1">
        <f t="array" ref="G1777">IFERROR(INDEX(EmployeeData[Join Date], ROW() - 37), "")</f>
        <v/>
      </c>
      <c r="H1777" s="6" t="str" cm="1">
        <f t="array" ref="H1777">IFERROR(IF(INDEX(EmployeeData[Exit Date], ROW() - 37)=0, "",INDEX(EmployeeData[Exit Date], ROW() - 37)),"")</f>
        <v/>
      </c>
      <c r="I1777" s="4" t="str" cm="1">
        <f t="array" ref="I1777">IFERROR(IF(INDEX(EmployeeData[Exit Reason], ROW() - 37)=0, "",INDEX(EmployeeData[Exit Reason], ROW() - 37)),"")</f>
        <v/>
      </c>
      <c r="J1777" s="4" t="str" cm="1">
        <f t="array" ref="J1777">IFERROR(INDEX(EmployeeData[Status], ROW() - 37), "")</f>
        <v/>
      </c>
    </row>
    <row r="1778" spans="2:10" ht="19.95" customHeight="1" x14ac:dyDescent="0.3">
      <c r="B1778" s="4" t="str" cm="1">
        <f t="array" ref="B1778">IFERROR(INDEX(EmployeeData[Employee ID], ROW() - 37), "")</f>
        <v/>
      </c>
      <c r="C1778" s="4" t="str" cm="1">
        <f t="array" ref="C1778">IFERROR(INDEX(EmployeeData[Full Name], ROW() - 37), "")</f>
        <v/>
      </c>
      <c r="D1778" s="4" t="str" cm="1">
        <f t="array" ref="D1778">IFERROR(INDEX(EmployeeData[Department], ROW() - 37), "")</f>
        <v/>
      </c>
      <c r="E1778" s="4" t="str" cm="1">
        <f t="array" ref="E1778">IFERROR(INDEX(EmployeeData[Gender], ROW() - 37), "")</f>
        <v/>
      </c>
      <c r="F1778" s="4" t="str" cm="1">
        <f t="array" ref="F1778">IFERROR(INDEX(EmployeeData[Age], ROW() - 37), "")</f>
        <v/>
      </c>
      <c r="G1778" s="6" t="str" cm="1">
        <f t="array" ref="G1778">IFERROR(INDEX(EmployeeData[Join Date], ROW() - 37), "")</f>
        <v/>
      </c>
      <c r="H1778" s="6" t="str" cm="1">
        <f t="array" ref="H1778">IFERROR(IF(INDEX(EmployeeData[Exit Date], ROW() - 37)=0, "",INDEX(EmployeeData[Exit Date], ROW() - 37)),"")</f>
        <v/>
      </c>
      <c r="I1778" s="4" t="str" cm="1">
        <f t="array" ref="I1778">IFERROR(IF(INDEX(EmployeeData[Exit Reason], ROW() - 37)=0, "",INDEX(EmployeeData[Exit Reason], ROW() - 37)),"")</f>
        <v/>
      </c>
      <c r="J1778" s="4" t="str" cm="1">
        <f t="array" ref="J1778">IFERROR(INDEX(EmployeeData[Status], ROW() - 37), "")</f>
        <v/>
      </c>
    </row>
    <row r="1779" spans="2:10" ht="19.95" customHeight="1" x14ac:dyDescent="0.3">
      <c r="B1779" s="4" t="str" cm="1">
        <f t="array" ref="B1779">IFERROR(INDEX(EmployeeData[Employee ID], ROW() - 37), "")</f>
        <v/>
      </c>
      <c r="C1779" s="4" t="str" cm="1">
        <f t="array" ref="C1779">IFERROR(INDEX(EmployeeData[Full Name], ROW() - 37), "")</f>
        <v/>
      </c>
      <c r="D1779" s="4" t="str" cm="1">
        <f t="array" ref="D1779">IFERROR(INDEX(EmployeeData[Department], ROW() - 37), "")</f>
        <v/>
      </c>
      <c r="E1779" s="4" t="str" cm="1">
        <f t="array" ref="E1779">IFERROR(INDEX(EmployeeData[Gender], ROW() - 37), "")</f>
        <v/>
      </c>
      <c r="F1779" s="4" t="str" cm="1">
        <f t="array" ref="F1779">IFERROR(INDEX(EmployeeData[Age], ROW() - 37), "")</f>
        <v/>
      </c>
      <c r="G1779" s="6" t="str" cm="1">
        <f t="array" ref="G1779">IFERROR(INDEX(EmployeeData[Join Date], ROW() - 37), "")</f>
        <v/>
      </c>
      <c r="H1779" s="6" t="str" cm="1">
        <f t="array" ref="H1779">IFERROR(IF(INDEX(EmployeeData[Exit Date], ROW() - 37)=0, "",INDEX(EmployeeData[Exit Date], ROW() - 37)),"")</f>
        <v/>
      </c>
      <c r="I1779" s="4" t="str" cm="1">
        <f t="array" ref="I1779">IFERROR(IF(INDEX(EmployeeData[Exit Reason], ROW() - 37)=0, "",INDEX(EmployeeData[Exit Reason], ROW() - 37)),"")</f>
        <v/>
      </c>
      <c r="J1779" s="4" t="str" cm="1">
        <f t="array" ref="J1779">IFERROR(INDEX(EmployeeData[Status], ROW() - 37), "")</f>
        <v/>
      </c>
    </row>
    <row r="1780" spans="2:10" ht="19.95" customHeight="1" x14ac:dyDescent="0.3">
      <c r="B1780" s="4" t="str" cm="1">
        <f t="array" ref="B1780">IFERROR(INDEX(EmployeeData[Employee ID], ROW() - 37), "")</f>
        <v/>
      </c>
      <c r="C1780" s="4" t="str" cm="1">
        <f t="array" ref="C1780">IFERROR(INDEX(EmployeeData[Full Name], ROW() - 37), "")</f>
        <v/>
      </c>
      <c r="D1780" s="4" t="str" cm="1">
        <f t="array" ref="D1780">IFERROR(INDEX(EmployeeData[Department], ROW() - 37), "")</f>
        <v/>
      </c>
      <c r="E1780" s="4" t="str" cm="1">
        <f t="array" ref="E1780">IFERROR(INDEX(EmployeeData[Gender], ROW() - 37), "")</f>
        <v/>
      </c>
      <c r="F1780" s="4" t="str" cm="1">
        <f t="array" ref="F1780">IFERROR(INDEX(EmployeeData[Age], ROW() - 37), "")</f>
        <v/>
      </c>
      <c r="G1780" s="6" t="str" cm="1">
        <f t="array" ref="G1780">IFERROR(INDEX(EmployeeData[Join Date], ROW() - 37), "")</f>
        <v/>
      </c>
      <c r="H1780" s="6" t="str" cm="1">
        <f t="array" ref="H1780">IFERROR(IF(INDEX(EmployeeData[Exit Date], ROW() - 37)=0, "",INDEX(EmployeeData[Exit Date], ROW() - 37)),"")</f>
        <v/>
      </c>
      <c r="I1780" s="4" t="str" cm="1">
        <f t="array" ref="I1780">IFERROR(IF(INDEX(EmployeeData[Exit Reason], ROW() - 37)=0, "",INDEX(EmployeeData[Exit Reason], ROW() - 37)),"")</f>
        <v/>
      </c>
      <c r="J1780" s="4" t="str" cm="1">
        <f t="array" ref="J1780">IFERROR(INDEX(EmployeeData[Status], ROW() - 37), "")</f>
        <v/>
      </c>
    </row>
    <row r="1781" spans="2:10" ht="19.95" customHeight="1" x14ac:dyDescent="0.3">
      <c r="B1781" s="4" t="str" cm="1">
        <f t="array" ref="B1781">IFERROR(INDEX(EmployeeData[Employee ID], ROW() - 37), "")</f>
        <v/>
      </c>
      <c r="C1781" s="4" t="str" cm="1">
        <f t="array" ref="C1781">IFERROR(INDEX(EmployeeData[Full Name], ROW() - 37), "")</f>
        <v/>
      </c>
      <c r="D1781" s="4" t="str" cm="1">
        <f t="array" ref="D1781">IFERROR(INDEX(EmployeeData[Department], ROW() - 37), "")</f>
        <v/>
      </c>
      <c r="E1781" s="4" t="str" cm="1">
        <f t="array" ref="E1781">IFERROR(INDEX(EmployeeData[Gender], ROW() - 37), "")</f>
        <v/>
      </c>
      <c r="F1781" s="4" t="str" cm="1">
        <f t="array" ref="F1781">IFERROR(INDEX(EmployeeData[Age], ROW() - 37), "")</f>
        <v/>
      </c>
      <c r="G1781" s="6" t="str" cm="1">
        <f t="array" ref="G1781">IFERROR(INDEX(EmployeeData[Join Date], ROW() - 37), "")</f>
        <v/>
      </c>
      <c r="H1781" s="6" t="str" cm="1">
        <f t="array" ref="H1781">IFERROR(IF(INDEX(EmployeeData[Exit Date], ROW() - 37)=0, "",INDEX(EmployeeData[Exit Date], ROW() - 37)),"")</f>
        <v/>
      </c>
      <c r="I1781" s="4" t="str" cm="1">
        <f t="array" ref="I1781">IFERROR(IF(INDEX(EmployeeData[Exit Reason], ROW() - 37)=0, "",INDEX(EmployeeData[Exit Reason], ROW() - 37)),"")</f>
        <v/>
      </c>
      <c r="J1781" s="4" t="str" cm="1">
        <f t="array" ref="J1781">IFERROR(INDEX(EmployeeData[Status], ROW() - 37), "")</f>
        <v/>
      </c>
    </row>
    <row r="1782" spans="2:10" ht="19.95" customHeight="1" x14ac:dyDescent="0.3">
      <c r="B1782" s="4" t="str" cm="1">
        <f t="array" ref="B1782">IFERROR(INDEX(EmployeeData[Employee ID], ROW() - 37), "")</f>
        <v/>
      </c>
      <c r="C1782" s="4" t="str" cm="1">
        <f t="array" ref="C1782">IFERROR(INDEX(EmployeeData[Full Name], ROW() - 37), "")</f>
        <v/>
      </c>
      <c r="D1782" s="4" t="str" cm="1">
        <f t="array" ref="D1782">IFERROR(INDEX(EmployeeData[Department], ROW() - 37), "")</f>
        <v/>
      </c>
      <c r="E1782" s="4" t="str" cm="1">
        <f t="array" ref="E1782">IFERROR(INDEX(EmployeeData[Gender], ROW() - 37), "")</f>
        <v/>
      </c>
      <c r="F1782" s="4" t="str" cm="1">
        <f t="array" ref="F1782">IFERROR(INDEX(EmployeeData[Age], ROW() - 37), "")</f>
        <v/>
      </c>
      <c r="G1782" s="6" t="str" cm="1">
        <f t="array" ref="G1782">IFERROR(INDEX(EmployeeData[Join Date], ROW() - 37), "")</f>
        <v/>
      </c>
      <c r="H1782" s="6" t="str" cm="1">
        <f t="array" ref="H1782">IFERROR(IF(INDEX(EmployeeData[Exit Date], ROW() - 37)=0, "",INDEX(EmployeeData[Exit Date], ROW() - 37)),"")</f>
        <v/>
      </c>
      <c r="I1782" s="4" t="str" cm="1">
        <f t="array" ref="I1782">IFERROR(IF(INDEX(EmployeeData[Exit Reason], ROW() - 37)=0, "",INDEX(EmployeeData[Exit Reason], ROW() - 37)),"")</f>
        <v/>
      </c>
      <c r="J1782" s="4" t="str" cm="1">
        <f t="array" ref="J1782">IFERROR(INDEX(EmployeeData[Status], ROW() - 37), "")</f>
        <v/>
      </c>
    </row>
    <row r="1783" spans="2:10" ht="19.95" customHeight="1" x14ac:dyDescent="0.3">
      <c r="B1783" s="4" t="str" cm="1">
        <f t="array" ref="B1783">IFERROR(INDEX(EmployeeData[Employee ID], ROW() - 37), "")</f>
        <v/>
      </c>
      <c r="C1783" s="4" t="str" cm="1">
        <f t="array" ref="C1783">IFERROR(INDEX(EmployeeData[Full Name], ROW() - 37), "")</f>
        <v/>
      </c>
      <c r="D1783" s="4" t="str" cm="1">
        <f t="array" ref="D1783">IFERROR(INDEX(EmployeeData[Department], ROW() - 37), "")</f>
        <v/>
      </c>
      <c r="E1783" s="4" t="str" cm="1">
        <f t="array" ref="E1783">IFERROR(INDEX(EmployeeData[Gender], ROW() - 37), "")</f>
        <v/>
      </c>
      <c r="F1783" s="4" t="str" cm="1">
        <f t="array" ref="F1783">IFERROR(INDEX(EmployeeData[Age], ROW() - 37), "")</f>
        <v/>
      </c>
      <c r="G1783" s="6" t="str" cm="1">
        <f t="array" ref="G1783">IFERROR(INDEX(EmployeeData[Join Date], ROW() - 37), "")</f>
        <v/>
      </c>
      <c r="H1783" s="6" t="str" cm="1">
        <f t="array" ref="H1783">IFERROR(IF(INDEX(EmployeeData[Exit Date], ROW() - 37)=0, "",INDEX(EmployeeData[Exit Date], ROW() - 37)),"")</f>
        <v/>
      </c>
      <c r="I1783" s="4" t="str" cm="1">
        <f t="array" ref="I1783">IFERROR(IF(INDEX(EmployeeData[Exit Reason], ROW() - 37)=0, "",INDEX(EmployeeData[Exit Reason], ROW() - 37)),"")</f>
        <v/>
      </c>
      <c r="J1783" s="4" t="str" cm="1">
        <f t="array" ref="J1783">IFERROR(INDEX(EmployeeData[Status], ROW() - 37), "")</f>
        <v/>
      </c>
    </row>
    <row r="1784" spans="2:10" ht="19.95" customHeight="1" x14ac:dyDescent="0.3">
      <c r="B1784" s="4" t="str" cm="1">
        <f t="array" ref="B1784">IFERROR(INDEX(EmployeeData[Employee ID], ROW() - 37), "")</f>
        <v/>
      </c>
      <c r="C1784" s="4" t="str" cm="1">
        <f t="array" ref="C1784">IFERROR(INDEX(EmployeeData[Full Name], ROW() - 37), "")</f>
        <v/>
      </c>
      <c r="D1784" s="4" t="str" cm="1">
        <f t="array" ref="D1784">IFERROR(INDEX(EmployeeData[Department], ROW() - 37), "")</f>
        <v/>
      </c>
      <c r="E1784" s="4" t="str" cm="1">
        <f t="array" ref="E1784">IFERROR(INDEX(EmployeeData[Gender], ROW() - 37), "")</f>
        <v/>
      </c>
      <c r="F1784" s="4" t="str" cm="1">
        <f t="array" ref="F1784">IFERROR(INDEX(EmployeeData[Age], ROW() - 37), "")</f>
        <v/>
      </c>
      <c r="G1784" s="6" t="str" cm="1">
        <f t="array" ref="G1784">IFERROR(INDEX(EmployeeData[Join Date], ROW() - 37), "")</f>
        <v/>
      </c>
      <c r="H1784" s="6" t="str" cm="1">
        <f t="array" ref="H1784">IFERROR(IF(INDEX(EmployeeData[Exit Date], ROW() - 37)=0, "",INDEX(EmployeeData[Exit Date], ROW() - 37)),"")</f>
        <v/>
      </c>
      <c r="I1784" s="4" t="str" cm="1">
        <f t="array" ref="I1784">IFERROR(IF(INDEX(EmployeeData[Exit Reason], ROW() - 37)=0, "",INDEX(EmployeeData[Exit Reason], ROW() - 37)),"")</f>
        <v/>
      </c>
      <c r="J1784" s="4" t="str" cm="1">
        <f t="array" ref="J1784">IFERROR(INDEX(EmployeeData[Status], ROW() - 37), "")</f>
        <v/>
      </c>
    </row>
    <row r="1785" spans="2:10" ht="19.95" customHeight="1" x14ac:dyDescent="0.3">
      <c r="B1785" s="4" t="str" cm="1">
        <f t="array" ref="B1785">IFERROR(INDEX(EmployeeData[Employee ID], ROW() - 37), "")</f>
        <v/>
      </c>
      <c r="C1785" s="4" t="str" cm="1">
        <f t="array" ref="C1785">IFERROR(INDEX(EmployeeData[Full Name], ROW() - 37), "")</f>
        <v/>
      </c>
      <c r="D1785" s="4" t="str" cm="1">
        <f t="array" ref="D1785">IFERROR(INDEX(EmployeeData[Department], ROW() - 37), "")</f>
        <v/>
      </c>
      <c r="E1785" s="4" t="str" cm="1">
        <f t="array" ref="E1785">IFERROR(INDEX(EmployeeData[Gender], ROW() - 37), "")</f>
        <v/>
      </c>
      <c r="F1785" s="4" t="str" cm="1">
        <f t="array" ref="F1785">IFERROR(INDEX(EmployeeData[Age], ROW() - 37), "")</f>
        <v/>
      </c>
      <c r="G1785" s="6" t="str" cm="1">
        <f t="array" ref="G1785">IFERROR(INDEX(EmployeeData[Join Date], ROW() - 37), "")</f>
        <v/>
      </c>
      <c r="H1785" s="6" t="str" cm="1">
        <f t="array" ref="H1785">IFERROR(IF(INDEX(EmployeeData[Exit Date], ROW() - 37)=0, "",INDEX(EmployeeData[Exit Date], ROW() - 37)),"")</f>
        <v/>
      </c>
      <c r="I1785" s="4" t="str" cm="1">
        <f t="array" ref="I1785">IFERROR(IF(INDEX(EmployeeData[Exit Reason], ROW() - 37)=0, "",INDEX(EmployeeData[Exit Reason], ROW() - 37)),"")</f>
        <v/>
      </c>
      <c r="J1785" s="4" t="str" cm="1">
        <f t="array" ref="J1785">IFERROR(INDEX(EmployeeData[Status], ROW() - 37), "")</f>
        <v/>
      </c>
    </row>
    <row r="1786" spans="2:10" ht="19.95" customHeight="1" x14ac:dyDescent="0.3">
      <c r="B1786" s="4" t="str" cm="1">
        <f t="array" ref="B1786">IFERROR(INDEX(EmployeeData[Employee ID], ROW() - 37), "")</f>
        <v/>
      </c>
      <c r="C1786" s="4" t="str" cm="1">
        <f t="array" ref="C1786">IFERROR(INDEX(EmployeeData[Full Name], ROW() - 37), "")</f>
        <v/>
      </c>
      <c r="D1786" s="4" t="str" cm="1">
        <f t="array" ref="D1786">IFERROR(INDEX(EmployeeData[Department], ROW() - 37), "")</f>
        <v/>
      </c>
      <c r="E1786" s="4" t="str" cm="1">
        <f t="array" ref="E1786">IFERROR(INDEX(EmployeeData[Gender], ROW() - 37), "")</f>
        <v/>
      </c>
      <c r="F1786" s="4" t="str" cm="1">
        <f t="array" ref="F1786">IFERROR(INDEX(EmployeeData[Age], ROW() - 37), "")</f>
        <v/>
      </c>
      <c r="G1786" s="6" t="str" cm="1">
        <f t="array" ref="G1786">IFERROR(INDEX(EmployeeData[Join Date], ROW() - 37), "")</f>
        <v/>
      </c>
      <c r="H1786" s="6" t="str" cm="1">
        <f t="array" ref="H1786">IFERROR(IF(INDEX(EmployeeData[Exit Date], ROW() - 37)=0, "",INDEX(EmployeeData[Exit Date], ROW() - 37)),"")</f>
        <v/>
      </c>
      <c r="I1786" s="4" t="str" cm="1">
        <f t="array" ref="I1786">IFERROR(IF(INDEX(EmployeeData[Exit Reason], ROW() - 37)=0, "",INDEX(EmployeeData[Exit Reason], ROW() - 37)),"")</f>
        <v/>
      </c>
      <c r="J1786" s="4" t="str" cm="1">
        <f t="array" ref="J1786">IFERROR(INDEX(EmployeeData[Status], ROW() - 37), "")</f>
        <v/>
      </c>
    </row>
    <row r="1787" spans="2:10" ht="19.95" customHeight="1" x14ac:dyDescent="0.3">
      <c r="B1787" s="4" t="str" cm="1">
        <f t="array" ref="B1787">IFERROR(INDEX(EmployeeData[Employee ID], ROW() - 37), "")</f>
        <v/>
      </c>
      <c r="C1787" s="4" t="str" cm="1">
        <f t="array" ref="C1787">IFERROR(INDEX(EmployeeData[Full Name], ROW() - 37), "")</f>
        <v/>
      </c>
      <c r="D1787" s="4" t="str" cm="1">
        <f t="array" ref="D1787">IFERROR(INDEX(EmployeeData[Department], ROW() - 37), "")</f>
        <v/>
      </c>
      <c r="E1787" s="4" t="str" cm="1">
        <f t="array" ref="E1787">IFERROR(INDEX(EmployeeData[Gender], ROW() - 37), "")</f>
        <v/>
      </c>
      <c r="F1787" s="4" t="str" cm="1">
        <f t="array" ref="F1787">IFERROR(INDEX(EmployeeData[Age], ROW() - 37), "")</f>
        <v/>
      </c>
      <c r="G1787" s="6" t="str" cm="1">
        <f t="array" ref="G1787">IFERROR(INDEX(EmployeeData[Join Date], ROW() - 37), "")</f>
        <v/>
      </c>
      <c r="H1787" s="6" t="str" cm="1">
        <f t="array" ref="H1787">IFERROR(IF(INDEX(EmployeeData[Exit Date], ROW() - 37)=0, "",INDEX(EmployeeData[Exit Date], ROW() - 37)),"")</f>
        <v/>
      </c>
      <c r="I1787" s="4" t="str" cm="1">
        <f t="array" ref="I1787">IFERROR(IF(INDEX(EmployeeData[Exit Reason], ROW() - 37)=0, "",INDEX(EmployeeData[Exit Reason], ROW() - 37)),"")</f>
        <v/>
      </c>
      <c r="J1787" s="4" t="str" cm="1">
        <f t="array" ref="J1787">IFERROR(INDEX(EmployeeData[Status], ROW() - 37), "")</f>
        <v/>
      </c>
    </row>
    <row r="1788" spans="2:10" ht="19.95" customHeight="1" x14ac:dyDescent="0.3">
      <c r="B1788" s="4" t="str" cm="1">
        <f t="array" ref="B1788">IFERROR(INDEX(EmployeeData[Employee ID], ROW() - 37), "")</f>
        <v/>
      </c>
      <c r="C1788" s="4" t="str" cm="1">
        <f t="array" ref="C1788">IFERROR(INDEX(EmployeeData[Full Name], ROW() - 37), "")</f>
        <v/>
      </c>
      <c r="D1788" s="4" t="str" cm="1">
        <f t="array" ref="D1788">IFERROR(INDEX(EmployeeData[Department], ROW() - 37), "")</f>
        <v/>
      </c>
      <c r="E1788" s="4" t="str" cm="1">
        <f t="array" ref="E1788">IFERROR(INDEX(EmployeeData[Gender], ROW() - 37), "")</f>
        <v/>
      </c>
      <c r="F1788" s="4" t="str" cm="1">
        <f t="array" ref="F1788">IFERROR(INDEX(EmployeeData[Age], ROW() - 37), "")</f>
        <v/>
      </c>
      <c r="G1788" s="6" t="str" cm="1">
        <f t="array" ref="G1788">IFERROR(INDEX(EmployeeData[Join Date], ROW() - 37), "")</f>
        <v/>
      </c>
      <c r="H1788" s="6" t="str" cm="1">
        <f t="array" ref="H1788">IFERROR(IF(INDEX(EmployeeData[Exit Date], ROW() - 37)=0, "",INDEX(EmployeeData[Exit Date], ROW() - 37)),"")</f>
        <v/>
      </c>
      <c r="I1788" s="4" t="str" cm="1">
        <f t="array" ref="I1788">IFERROR(IF(INDEX(EmployeeData[Exit Reason], ROW() - 37)=0, "",INDEX(EmployeeData[Exit Reason], ROW() - 37)),"")</f>
        <v/>
      </c>
      <c r="J1788" s="4" t="str" cm="1">
        <f t="array" ref="J1788">IFERROR(INDEX(EmployeeData[Status], ROW() - 37), "")</f>
        <v/>
      </c>
    </row>
    <row r="1789" spans="2:10" ht="19.95" customHeight="1" x14ac:dyDescent="0.3">
      <c r="B1789" s="4" t="str" cm="1">
        <f t="array" ref="B1789">IFERROR(INDEX(EmployeeData[Employee ID], ROW() - 37), "")</f>
        <v/>
      </c>
      <c r="C1789" s="4" t="str" cm="1">
        <f t="array" ref="C1789">IFERROR(INDEX(EmployeeData[Full Name], ROW() - 37), "")</f>
        <v/>
      </c>
      <c r="D1789" s="4" t="str" cm="1">
        <f t="array" ref="D1789">IFERROR(INDEX(EmployeeData[Department], ROW() - 37), "")</f>
        <v/>
      </c>
      <c r="E1789" s="4" t="str" cm="1">
        <f t="array" ref="E1789">IFERROR(INDEX(EmployeeData[Gender], ROW() - 37), "")</f>
        <v/>
      </c>
      <c r="F1789" s="4" t="str" cm="1">
        <f t="array" ref="F1789">IFERROR(INDEX(EmployeeData[Age], ROW() - 37), "")</f>
        <v/>
      </c>
      <c r="G1789" s="6" t="str" cm="1">
        <f t="array" ref="G1789">IFERROR(INDEX(EmployeeData[Join Date], ROW() - 37), "")</f>
        <v/>
      </c>
      <c r="H1789" s="6" t="str" cm="1">
        <f t="array" ref="H1789">IFERROR(IF(INDEX(EmployeeData[Exit Date], ROW() - 37)=0, "",INDEX(EmployeeData[Exit Date], ROW() - 37)),"")</f>
        <v/>
      </c>
      <c r="I1789" s="4" t="str" cm="1">
        <f t="array" ref="I1789">IFERROR(IF(INDEX(EmployeeData[Exit Reason], ROW() - 37)=0, "",INDEX(EmployeeData[Exit Reason], ROW() - 37)),"")</f>
        <v/>
      </c>
      <c r="J1789" s="4" t="str" cm="1">
        <f t="array" ref="J1789">IFERROR(INDEX(EmployeeData[Status], ROW() - 37), "")</f>
        <v/>
      </c>
    </row>
    <row r="1790" spans="2:10" ht="19.95" customHeight="1" x14ac:dyDescent="0.3">
      <c r="B1790" s="4" t="str" cm="1">
        <f t="array" ref="B1790">IFERROR(INDEX(EmployeeData[Employee ID], ROW() - 37), "")</f>
        <v/>
      </c>
      <c r="C1790" s="4" t="str" cm="1">
        <f t="array" ref="C1790">IFERROR(INDEX(EmployeeData[Full Name], ROW() - 37), "")</f>
        <v/>
      </c>
      <c r="D1790" s="4" t="str" cm="1">
        <f t="array" ref="D1790">IFERROR(INDEX(EmployeeData[Department], ROW() - 37), "")</f>
        <v/>
      </c>
      <c r="E1790" s="4" t="str" cm="1">
        <f t="array" ref="E1790">IFERROR(INDEX(EmployeeData[Gender], ROW() - 37), "")</f>
        <v/>
      </c>
      <c r="F1790" s="4" t="str" cm="1">
        <f t="array" ref="F1790">IFERROR(INDEX(EmployeeData[Age], ROW() - 37), "")</f>
        <v/>
      </c>
      <c r="G1790" s="6" t="str" cm="1">
        <f t="array" ref="G1790">IFERROR(INDEX(EmployeeData[Join Date], ROW() - 37), "")</f>
        <v/>
      </c>
      <c r="H1790" s="6" t="str" cm="1">
        <f t="array" ref="H1790">IFERROR(IF(INDEX(EmployeeData[Exit Date], ROW() - 37)=0, "",INDEX(EmployeeData[Exit Date], ROW() - 37)),"")</f>
        <v/>
      </c>
      <c r="I1790" s="4" t="str" cm="1">
        <f t="array" ref="I1790">IFERROR(IF(INDEX(EmployeeData[Exit Reason], ROW() - 37)=0, "",INDEX(EmployeeData[Exit Reason], ROW() - 37)),"")</f>
        <v/>
      </c>
      <c r="J1790" s="4" t="str" cm="1">
        <f t="array" ref="J1790">IFERROR(INDEX(EmployeeData[Status], ROW() - 37), "")</f>
        <v/>
      </c>
    </row>
    <row r="1791" spans="2:10" ht="19.95" customHeight="1" x14ac:dyDescent="0.3">
      <c r="B1791" s="4" t="str" cm="1">
        <f t="array" ref="B1791">IFERROR(INDEX(EmployeeData[Employee ID], ROW() - 37), "")</f>
        <v/>
      </c>
      <c r="C1791" s="4" t="str" cm="1">
        <f t="array" ref="C1791">IFERROR(INDEX(EmployeeData[Full Name], ROW() - 37), "")</f>
        <v/>
      </c>
      <c r="D1791" s="4" t="str" cm="1">
        <f t="array" ref="D1791">IFERROR(INDEX(EmployeeData[Department], ROW() - 37), "")</f>
        <v/>
      </c>
      <c r="E1791" s="4" t="str" cm="1">
        <f t="array" ref="E1791">IFERROR(INDEX(EmployeeData[Gender], ROW() - 37), "")</f>
        <v/>
      </c>
      <c r="F1791" s="4" t="str" cm="1">
        <f t="array" ref="F1791">IFERROR(INDEX(EmployeeData[Age], ROW() - 37), "")</f>
        <v/>
      </c>
      <c r="G1791" s="6" t="str" cm="1">
        <f t="array" ref="G1791">IFERROR(INDEX(EmployeeData[Join Date], ROW() - 37), "")</f>
        <v/>
      </c>
      <c r="H1791" s="6" t="str" cm="1">
        <f t="array" ref="H1791">IFERROR(IF(INDEX(EmployeeData[Exit Date], ROW() - 37)=0, "",INDEX(EmployeeData[Exit Date], ROW() - 37)),"")</f>
        <v/>
      </c>
      <c r="I1791" s="4" t="str" cm="1">
        <f t="array" ref="I1791">IFERROR(IF(INDEX(EmployeeData[Exit Reason], ROW() - 37)=0, "",INDEX(EmployeeData[Exit Reason], ROW() - 37)),"")</f>
        <v/>
      </c>
      <c r="J1791" s="4" t="str" cm="1">
        <f t="array" ref="J1791">IFERROR(INDEX(EmployeeData[Status], ROW() - 37), "")</f>
        <v/>
      </c>
    </row>
    <row r="1792" spans="2:10" ht="19.95" customHeight="1" x14ac:dyDescent="0.3">
      <c r="B1792" s="4" t="str" cm="1">
        <f t="array" ref="B1792">IFERROR(INDEX(EmployeeData[Employee ID], ROW() - 37), "")</f>
        <v/>
      </c>
      <c r="C1792" s="4" t="str" cm="1">
        <f t="array" ref="C1792">IFERROR(INDEX(EmployeeData[Full Name], ROW() - 37), "")</f>
        <v/>
      </c>
      <c r="D1792" s="4" t="str" cm="1">
        <f t="array" ref="D1792">IFERROR(INDEX(EmployeeData[Department], ROW() - 37), "")</f>
        <v/>
      </c>
      <c r="E1792" s="4" t="str" cm="1">
        <f t="array" ref="E1792">IFERROR(INDEX(EmployeeData[Gender], ROW() - 37), "")</f>
        <v/>
      </c>
      <c r="F1792" s="4" t="str" cm="1">
        <f t="array" ref="F1792">IFERROR(INDEX(EmployeeData[Age], ROW() - 37), "")</f>
        <v/>
      </c>
      <c r="G1792" s="6" t="str" cm="1">
        <f t="array" ref="G1792">IFERROR(INDEX(EmployeeData[Join Date], ROW() - 37), "")</f>
        <v/>
      </c>
      <c r="H1792" s="6" t="str" cm="1">
        <f t="array" ref="H1792">IFERROR(IF(INDEX(EmployeeData[Exit Date], ROW() - 37)=0, "",INDEX(EmployeeData[Exit Date], ROW() - 37)),"")</f>
        <v/>
      </c>
      <c r="I1792" s="4" t="str" cm="1">
        <f t="array" ref="I1792">IFERROR(IF(INDEX(EmployeeData[Exit Reason], ROW() - 37)=0, "",INDEX(EmployeeData[Exit Reason], ROW() - 37)),"")</f>
        <v/>
      </c>
      <c r="J1792" s="4" t="str" cm="1">
        <f t="array" ref="J1792">IFERROR(INDEX(EmployeeData[Status], ROW() - 37), "")</f>
        <v/>
      </c>
    </row>
    <row r="1793" spans="2:10" ht="19.95" customHeight="1" x14ac:dyDescent="0.3">
      <c r="B1793" s="4" t="str" cm="1">
        <f t="array" ref="B1793">IFERROR(INDEX(EmployeeData[Employee ID], ROW() - 37), "")</f>
        <v/>
      </c>
      <c r="C1793" s="4" t="str" cm="1">
        <f t="array" ref="C1793">IFERROR(INDEX(EmployeeData[Full Name], ROW() - 37), "")</f>
        <v/>
      </c>
      <c r="D1793" s="4" t="str" cm="1">
        <f t="array" ref="D1793">IFERROR(INDEX(EmployeeData[Department], ROW() - 37), "")</f>
        <v/>
      </c>
      <c r="E1793" s="4" t="str" cm="1">
        <f t="array" ref="E1793">IFERROR(INDEX(EmployeeData[Gender], ROW() - 37), "")</f>
        <v/>
      </c>
      <c r="F1793" s="4" t="str" cm="1">
        <f t="array" ref="F1793">IFERROR(INDEX(EmployeeData[Age], ROW() - 37), "")</f>
        <v/>
      </c>
      <c r="G1793" s="6" t="str" cm="1">
        <f t="array" ref="G1793">IFERROR(INDEX(EmployeeData[Join Date], ROW() - 37), "")</f>
        <v/>
      </c>
      <c r="H1793" s="6" t="str" cm="1">
        <f t="array" ref="H1793">IFERROR(IF(INDEX(EmployeeData[Exit Date], ROW() - 37)=0, "",INDEX(EmployeeData[Exit Date], ROW() - 37)),"")</f>
        <v/>
      </c>
      <c r="I1793" s="4" t="str" cm="1">
        <f t="array" ref="I1793">IFERROR(IF(INDEX(EmployeeData[Exit Reason], ROW() - 37)=0, "",INDEX(EmployeeData[Exit Reason], ROW() - 37)),"")</f>
        <v/>
      </c>
      <c r="J1793" s="4" t="str" cm="1">
        <f t="array" ref="J1793">IFERROR(INDEX(EmployeeData[Status], ROW() - 37), "")</f>
        <v/>
      </c>
    </row>
    <row r="1794" spans="2:10" ht="19.95" customHeight="1" x14ac:dyDescent="0.3">
      <c r="B1794" s="4" t="str" cm="1">
        <f t="array" ref="B1794">IFERROR(INDEX(EmployeeData[Employee ID], ROW() - 37), "")</f>
        <v/>
      </c>
      <c r="C1794" s="4" t="str" cm="1">
        <f t="array" ref="C1794">IFERROR(INDEX(EmployeeData[Full Name], ROW() - 37), "")</f>
        <v/>
      </c>
      <c r="D1794" s="4" t="str" cm="1">
        <f t="array" ref="D1794">IFERROR(INDEX(EmployeeData[Department], ROW() - 37), "")</f>
        <v/>
      </c>
      <c r="E1794" s="4" t="str" cm="1">
        <f t="array" ref="E1794">IFERROR(INDEX(EmployeeData[Gender], ROW() - 37), "")</f>
        <v/>
      </c>
      <c r="F1794" s="4" t="str" cm="1">
        <f t="array" ref="F1794">IFERROR(INDEX(EmployeeData[Age], ROW() - 37), "")</f>
        <v/>
      </c>
      <c r="G1794" s="6" t="str" cm="1">
        <f t="array" ref="G1794">IFERROR(INDEX(EmployeeData[Join Date], ROW() - 37), "")</f>
        <v/>
      </c>
      <c r="H1794" s="6" t="str" cm="1">
        <f t="array" ref="H1794">IFERROR(IF(INDEX(EmployeeData[Exit Date], ROW() - 37)=0, "",INDEX(EmployeeData[Exit Date], ROW() - 37)),"")</f>
        <v/>
      </c>
      <c r="I1794" s="4" t="str" cm="1">
        <f t="array" ref="I1794">IFERROR(IF(INDEX(EmployeeData[Exit Reason], ROW() - 37)=0, "",INDEX(EmployeeData[Exit Reason], ROW() - 37)),"")</f>
        <v/>
      </c>
      <c r="J1794" s="4" t="str" cm="1">
        <f t="array" ref="J1794">IFERROR(INDEX(EmployeeData[Status], ROW() - 37), "")</f>
        <v/>
      </c>
    </row>
    <row r="1795" spans="2:10" ht="19.95" customHeight="1" x14ac:dyDescent="0.3">
      <c r="B1795" s="4" t="str" cm="1">
        <f t="array" ref="B1795">IFERROR(INDEX(EmployeeData[Employee ID], ROW() - 37), "")</f>
        <v/>
      </c>
      <c r="C1795" s="4" t="str" cm="1">
        <f t="array" ref="C1795">IFERROR(INDEX(EmployeeData[Full Name], ROW() - 37), "")</f>
        <v/>
      </c>
      <c r="D1795" s="4" t="str" cm="1">
        <f t="array" ref="D1795">IFERROR(INDEX(EmployeeData[Department], ROW() - 37), "")</f>
        <v/>
      </c>
      <c r="E1795" s="4" t="str" cm="1">
        <f t="array" ref="E1795">IFERROR(INDEX(EmployeeData[Gender], ROW() - 37), "")</f>
        <v/>
      </c>
      <c r="F1795" s="4" t="str" cm="1">
        <f t="array" ref="F1795">IFERROR(INDEX(EmployeeData[Age], ROW() - 37), "")</f>
        <v/>
      </c>
      <c r="G1795" s="6" t="str" cm="1">
        <f t="array" ref="G1795">IFERROR(INDEX(EmployeeData[Join Date], ROW() - 37), "")</f>
        <v/>
      </c>
      <c r="H1795" s="6" t="str" cm="1">
        <f t="array" ref="H1795">IFERROR(IF(INDEX(EmployeeData[Exit Date], ROW() - 37)=0, "",INDEX(EmployeeData[Exit Date], ROW() - 37)),"")</f>
        <v/>
      </c>
      <c r="I1795" s="4" t="str" cm="1">
        <f t="array" ref="I1795">IFERROR(IF(INDEX(EmployeeData[Exit Reason], ROW() - 37)=0, "",INDEX(EmployeeData[Exit Reason], ROW() - 37)),"")</f>
        <v/>
      </c>
      <c r="J1795" s="4" t="str" cm="1">
        <f t="array" ref="J1795">IFERROR(INDEX(EmployeeData[Status], ROW() - 37), "")</f>
        <v/>
      </c>
    </row>
    <row r="1796" spans="2:10" ht="19.95" customHeight="1" x14ac:dyDescent="0.3">
      <c r="B1796" s="4" t="str" cm="1">
        <f t="array" ref="B1796">IFERROR(INDEX(EmployeeData[Employee ID], ROW() - 37), "")</f>
        <v/>
      </c>
      <c r="C1796" s="4" t="str" cm="1">
        <f t="array" ref="C1796">IFERROR(INDEX(EmployeeData[Full Name], ROW() - 37), "")</f>
        <v/>
      </c>
      <c r="D1796" s="4" t="str" cm="1">
        <f t="array" ref="D1796">IFERROR(INDEX(EmployeeData[Department], ROW() - 37), "")</f>
        <v/>
      </c>
      <c r="E1796" s="4" t="str" cm="1">
        <f t="array" ref="E1796">IFERROR(INDEX(EmployeeData[Gender], ROW() - 37), "")</f>
        <v/>
      </c>
      <c r="F1796" s="4" t="str" cm="1">
        <f t="array" ref="F1796">IFERROR(INDEX(EmployeeData[Age], ROW() - 37), "")</f>
        <v/>
      </c>
      <c r="G1796" s="6" t="str" cm="1">
        <f t="array" ref="G1796">IFERROR(INDEX(EmployeeData[Join Date], ROW() - 37), "")</f>
        <v/>
      </c>
      <c r="H1796" s="6" t="str" cm="1">
        <f t="array" ref="H1796">IFERROR(IF(INDEX(EmployeeData[Exit Date], ROW() - 37)=0, "",INDEX(EmployeeData[Exit Date], ROW() - 37)),"")</f>
        <v/>
      </c>
      <c r="I1796" s="4" t="str" cm="1">
        <f t="array" ref="I1796">IFERROR(IF(INDEX(EmployeeData[Exit Reason], ROW() - 37)=0, "",INDEX(EmployeeData[Exit Reason], ROW() - 37)),"")</f>
        <v/>
      </c>
      <c r="J1796" s="4" t="str" cm="1">
        <f t="array" ref="J1796">IFERROR(INDEX(EmployeeData[Status], ROW() - 37), "")</f>
        <v/>
      </c>
    </row>
    <row r="1797" spans="2:10" ht="19.95" customHeight="1" x14ac:dyDescent="0.3">
      <c r="B1797" s="4" t="str" cm="1">
        <f t="array" ref="B1797">IFERROR(INDEX(EmployeeData[Employee ID], ROW() - 37), "")</f>
        <v/>
      </c>
      <c r="C1797" s="4" t="str" cm="1">
        <f t="array" ref="C1797">IFERROR(INDEX(EmployeeData[Full Name], ROW() - 37), "")</f>
        <v/>
      </c>
      <c r="D1797" s="4" t="str" cm="1">
        <f t="array" ref="D1797">IFERROR(INDEX(EmployeeData[Department], ROW() - 37), "")</f>
        <v/>
      </c>
      <c r="E1797" s="4" t="str" cm="1">
        <f t="array" ref="E1797">IFERROR(INDEX(EmployeeData[Gender], ROW() - 37), "")</f>
        <v/>
      </c>
      <c r="F1797" s="4" t="str" cm="1">
        <f t="array" ref="F1797">IFERROR(INDEX(EmployeeData[Age], ROW() - 37), "")</f>
        <v/>
      </c>
      <c r="G1797" s="6" t="str" cm="1">
        <f t="array" ref="G1797">IFERROR(INDEX(EmployeeData[Join Date], ROW() - 37), "")</f>
        <v/>
      </c>
      <c r="H1797" s="6" t="str" cm="1">
        <f t="array" ref="H1797">IFERROR(IF(INDEX(EmployeeData[Exit Date], ROW() - 37)=0, "",INDEX(EmployeeData[Exit Date], ROW() - 37)),"")</f>
        <v/>
      </c>
      <c r="I1797" s="4" t="str" cm="1">
        <f t="array" ref="I1797">IFERROR(IF(INDEX(EmployeeData[Exit Reason], ROW() - 37)=0, "",INDEX(EmployeeData[Exit Reason], ROW() - 37)),"")</f>
        <v/>
      </c>
      <c r="J1797" s="4" t="str" cm="1">
        <f t="array" ref="J1797">IFERROR(INDEX(EmployeeData[Status], ROW() - 37), "")</f>
        <v/>
      </c>
    </row>
    <row r="1798" spans="2:10" ht="19.95" customHeight="1" x14ac:dyDescent="0.3">
      <c r="B1798" s="4" t="str" cm="1">
        <f t="array" ref="B1798">IFERROR(INDEX(EmployeeData[Employee ID], ROW() - 37), "")</f>
        <v/>
      </c>
      <c r="C1798" s="4" t="str" cm="1">
        <f t="array" ref="C1798">IFERROR(INDEX(EmployeeData[Full Name], ROW() - 37), "")</f>
        <v/>
      </c>
      <c r="D1798" s="4" t="str" cm="1">
        <f t="array" ref="D1798">IFERROR(INDEX(EmployeeData[Department], ROW() - 37), "")</f>
        <v/>
      </c>
      <c r="E1798" s="4" t="str" cm="1">
        <f t="array" ref="E1798">IFERROR(INDEX(EmployeeData[Gender], ROW() - 37), "")</f>
        <v/>
      </c>
      <c r="F1798" s="4" t="str" cm="1">
        <f t="array" ref="F1798">IFERROR(INDEX(EmployeeData[Age], ROW() - 37), "")</f>
        <v/>
      </c>
      <c r="G1798" s="6" t="str" cm="1">
        <f t="array" ref="G1798">IFERROR(INDEX(EmployeeData[Join Date], ROW() - 37), "")</f>
        <v/>
      </c>
      <c r="H1798" s="6" t="str" cm="1">
        <f t="array" ref="H1798">IFERROR(IF(INDEX(EmployeeData[Exit Date], ROW() - 37)=0, "",INDEX(EmployeeData[Exit Date], ROW() - 37)),"")</f>
        <v/>
      </c>
      <c r="I1798" s="4" t="str" cm="1">
        <f t="array" ref="I1798">IFERROR(IF(INDEX(EmployeeData[Exit Reason], ROW() - 37)=0, "",INDEX(EmployeeData[Exit Reason], ROW() - 37)),"")</f>
        <v/>
      </c>
      <c r="J1798" s="4" t="str" cm="1">
        <f t="array" ref="J1798">IFERROR(INDEX(EmployeeData[Status], ROW() - 37), "")</f>
        <v/>
      </c>
    </row>
    <row r="1799" spans="2:10" ht="19.95" customHeight="1" x14ac:dyDescent="0.3">
      <c r="B1799" s="4" t="str" cm="1">
        <f t="array" ref="B1799">IFERROR(INDEX(EmployeeData[Employee ID], ROW() - 37), "")</f>
        <v/>
      </c>
      <c r="C1799" s="4" t="str" cm="1">
        <f t="array" ref="C1799">IFERROR(INDEX(EmployeeData[Full Name], ROW() - 37), "")</f>
        <v/>
      </c>
      <c r="D1799" s="4" t="str" cm="1">
        <f t="array" ref="D1799">IFERROR(INDEX(EmployeeData[Department], ROW() - 37), "")</f>
        <v/>
      </c>
      <c r="E1799" s="4" t="str" cm="1">
        <f t="array" ref="E1799">IFERROR(INDEX(EmployeeData[Gender], ROW() - 37), "")</f>
        <v/>
      </c>
      <c r="F1799" s="4" t="str" cm="1">
        <f t="array" ref="F1799">IFERROR(INDEX(EmployeeData[Age], ROW() - 37), "")</f>
        <v/>
      </c>
      <c r="G1799" s="6" t="str" cm="1">
        <f t="array" ref="G1799">IFERROR(INDEX(EmployeeData[Join Date], ROW() - 37), "")</f>
        <v/>
      </c>
      <c r="H1799" s="6" t="str" cm="1">
        <f t="array" ref="H1799">IFERROR(IF(INDEX(EmployeeData[Exit Date], ROW() - 37)=0, "",INDEX(EmployeeData[Exit Date], ROW() - 37)),"")</f>
        <v/>
      </c>
      <c r="I1799" s="4" t="str" cm="1">
        <f t="array" ref="I1799">IFERROR(IF(INDEX(EmployeeData[Exit Reason], ROW() - 37)=0, "",INDEX(EmployeeData[Exit Reason], ROW() - 37)),"")</f>
        <v/>
      </c>
      <c r="J1799" s="4" t="str" cm="1">
        <f t="array" ref="J1799">IFERROR(INDEX(EmployeeData[Status], ROW() - 37), "")</f>
        <v/>
      </c>
    </row>
    <row r="1800" spans="2:10" ht="19.95" customHeight="1" x14ac:dyDescent="0.3">
      <c r="B1800" s="4" t="str" cm="1">
        <f t="array" ref="B1800">IFERROR(INDEX(EmployeeData[Employee ID], ROW() - 37), "")</f>
        <v/>
      </c>
      <c r="C1800" s="4" t="str" cm="1">
        <f t="array" ref="C1800">IFERROR(INDEX(EmployeeData[Full Name], ROW() - 37), "")</f>
        <v/>
      </c>
      <c r="D1800" s="4" t="str" cm="1">
        <f t="array" ref="D1800">IFERROR(INDEX(EmployeeData[Department], ROW() - 37), "")</f>
        <v/>
      </c>
      <c r="E1800" s="4" t="str" cm="1">
        <f t="array" ref="E1800">IFERROR(INDEX(EmployeeData[Gender], ROW() - 37), "")</f>
        <v/>
      </c>
      <c r="F1800" s="4" t="str" cm="1">
        <f t="array" ref="F1800">IFERROR(INDEX(EmployeeData[Age], ROW() - 37), "")</f>
        <v/>
      </c>
      <c r="G1800" s="6" t="str" cm="1">
        <f t="array" ref="G1800">IFERROR(INDEX(EmployeeData[Join Date], ROW() - 37), "")</f>
        <v/>
      </c>
      <c r="H1800" s="6" t="str" cm="1">
        <f t="array" ref="H1800">IFERROR(IF(INDEX(EmployeeData[Exit Date], ROW() - 37)=0, "",INDEX(EmployeeData[Exit Date], ROW() - 37)),"")</f>
        <v/>
      </c>
      <c r="I1800" s="4" t="str" cm="1">
        <f t="array" ref="I1800">IFERROR(IF(INDEX(EmployeeData[Exit Reason], ROW() - 37)=0, "",INDEX(EmployeeData[Exit Reason], ROW() - 37)),"")</f>
        <v/>
      </c>
      <c r="J1800" s="4" t="str" cm="1">
        <f t="array" ref="J1800">IFERROR(INDEX(EmployeeData[Status], ROW() - 37), "")</f>
        <v/>
      </c>
    </row>
    <row r="1801" spans="2:10" ht="19.95" customHeight="1" x14ac:dyDescent="0.3">
      <c r="B1801" s="4" t="str" cm="1">
        <f t="array" ref="B1801">IFERROR(INDEX(EmployeeData[Employee ID], ROW() - 37), "")</f>
        <v/>
      </c>
      <c r="C1801" s="4" t="str" cm="1">
        <f t="array" ref="C1801">IFERROR(INDEX(EmployeeData[Full Name], ROW() - 37), "")</f>
        <v/>
      </c>
      <c r="D1801" s="4" t="str" cm="1">
        <f t="array" ref="D1801">IFERROR(INDEX(EmployeeData[Department], ROW() - 37), "")</f>
        <v/>
      </c>
      <c r="E1801" s="4" t="str" cm="1">
        <f t="array" ref="E1801">IFERROR(INDEX(EmployeeData[Gender], ROW() - 37), "")</f>
        <v/>
      </c>
      <c r="F1801" s="4" t="str" cm="1">
        <f t="array" ref="F1801">IFERROR(INDEX(EmployeeData[Age], ROW() - 37), "")</f>
        <v/>
      </c>
      <c r="G1801" s="6" t="str" cm="1">
        <f t="array" ref="G1801">IFERROR(INDEX(EmployeeData[Join Date], ROW() - 37), "")</f>
        <v/>
      </c>
      <c r="H1801" s="6" t="str" cm="1">
        <f t="array" ref="H1801">IFERROR(IF(INDEX(EmployeeData[Exit Date], ROW() - 37)=0, "",INDEX(EmployeeData[Exit Date], ROW() - 37)),"")</f>
        <v/>
      </c>
      <c r="I1801" s="4" t="str" cm="1">
        <f t="array" ref="I1801">IFERROR(IF(INDEX(EmployeeData[Exit Reason], ROW() - 37)=0, "",INDEX(EmployeeData[Exit Reason], ROW() - 37)),"")</f>
        <v/>
      </c>
      <c r="J1801" s="4" t="str" cm="1">
        <f t="array" ref="J1801">IFERROR(INDEX(EmployeeData[Status], ROW() - 37), "")</f>
        <v/>
      </c>
    </row>
    <row r="1802" spans="2:10" ht="19.95" customHeight="1" x14ac:dyDescent="0.3">
      <c r="B1802" s="4" t="str" cm="1">
        <f t="array" ref="B1802">IFERROR(INDEX(EmployeeData[Employee ID], ROW() - 37), "")</f>
        <v/>
      </c>
      <c r="C1802" s="4" t="str" cm="1">
        <f t="array" ref="C1802">IFERROR(INDEX(EmployeeData[Full Name], ROW() - 37), "")</f>
        <v/>
      </c>
      <c r="D1802" s="4" t="str" cm="1">
        <f t="array" ref="D1802">IFERROR(INDEX(EmployeeData[Department], ROW() - 37), "")</f>
        <v/>
      </c>
      <c r="E1802" s="4" t="str" cm="1">
        <f t="array" ref="E1802">IFERROR(INDEX(EmployeeData[Gender], ROW() - 37), "")</f>
        <v/>
      </c>
      <c r="F1802" s="4" t="str" cm="1">
        <f t="array" ref="F1802">IFERROR(INDEX(EmployeeData[Age], ROW() - 37), "")</f>
        <v/>
      </c>
      <c r="G1802" s="6" t="str" cm="1">
        <f t="array" ref="G1802">IFERROR(INDEX(EmployeeData[Join Date], ROW() - 37), "")</f>
        <v/>
      </c>
      <c r="H1802" s="6" t="str" cm="1">
        <f t="array" ref="H1802">IFERROR(IF(INDEX(EmployeeData[Exit Date], ROW() - 37)=0, "",INDEX(EmployeeData[Exit Date], ROW() - 37)),"")</f>
        <v/>
      </c>
      <c r="I1802" s="4" t="str" cm="1">
        <f t="array" ref="I1802">IFERROR(IF(INDEX(EmployeeData[Exit Reason], ROW() - 37)=0, "",INDEX(EmployeeData[Exit Reason], ROW() - 37)),"")</f>
        <v/>
      </c>
      <c r="J1802" s="4" t="str" cm="1">
        <f t="array" ref="J1802">IFERROR(INDEX(EmployeeData[Status], ROW() - 37), "")</f>
        <v/>
      </c>
    </row>
    <row r="1803" spans="2:10" ht="19.95" customHeight="1" x14ac:dyDescent="0.3">
      <c r="B1803" s="4" t="str" cm="1">
        <f t="array" ref="B1803">IFERROR(INDEX(EmployeeData[Employee ID], ROW() - 37), "")</f>
        <v/>
      </c>
      <c r="C1803" s="4" t="str" cm="1">
        <f t="array" ref="C1803">IFERROR(INDEX(EmployeeData[Full Name], ROW() - 37), "")</f>
        <v/>
      </c>
      <c r="D1803" s="4" t="str" cm="1">
        <f t="array" ref="D1803">IFERROR(INDEX(EmployeeData[Department], ROW() - 37), "")</f>
        <v/>
      </c>
      <c r="E1803" s="4" t="str" cm="1">
        <f t="array" ref="E1803">IFERROR(INDEX(EmployeeData[Gender], ROW() - 37), "")</f>
        <v/>
      </c>
      <c r="F1803" s="4" t="str" cm="1">
        <f t="array" ref="F1803">IFERROR(INDEX(EmployeeData[Age], ROW() - 37), "")</f>
        <v/>
      </c>
      <c r="G1803" s="6" t="str" cm="1">
        <f t="array" ref="G1803">IFERROR(INDEX(EmployeeData[Join Date], ROW() - 37), "")</f>
        <v/>
      </c>
      <c r="H1803" s="6" t="str" cm="1">
        <f t="array" ref="H1803">IFERROR(IF(INDEX(EmployeeData[Exit Date], ROW() - 37)=0, "",INDEX(EmployeeData[Exit Date], ROW() - 37)),"")</f>
        <v/>
      </c>
      <c r="I1803" s="4" t="str" cm="1">
        <f t="array" ref="I1803">IFERROR(IF(INDEX(EmployeeData[Exit Reason], ROW() - 37)=0, "",INDEX(EmployeeData[Exit Reason], ROW() - 37)),"")</f>
        <v/>
      </c>
      <c r="J1803" s="4" t="str" cm="1">
        <f t="array" ref="J1803">IFERROR(INDEX(EmployeeData[Status], ROW() - 37), "")</f>
        <v/>
      </c>
    </row>
    <row r="1804" spans="2:10" ht="19.95" customHeight="1" x14ac:dyDescent="0.3">
      <c r="B1804" s="4" t="str" cm="1">
        <f t="array" ref="B1804">IFERROR(INDEX(EmployeeData[Employee ID], ROW() - 37), "")</f>
        <v/>
      </c>
      <c r="C1804" s="4" t="str" cm="1">
        <f t="array" ref="C1804">IFERROR(INDEX(EmployeeData[Full Name], ROW() - 37), "")</f>
        <v/>
      </c>
      <c r="D1804" s="4" t="str" cm="1">
        <f t="array" ref="D1804">IFERROR(INDEX(EmployeeData[Department], ROW() - 37), "")</f>
        <v/>
      </c>
      <c r="E1804" s="4" t="str" cm="1">
        <f t="array" ref="E1804">IFERROR(INDEX(EmployeeData[Gender], ROW() - 37), "")</f>
        <v/>
      </c>
      <c r="F1804" s="4" t="str" cm="1">
        <f t="array" ref="F1804">IFERROR(INDEX(EmployeeData[Age], ROW() - 37), "")</f>
        <v/>
      </c>
      <c r="G1804" s="6" t="str" cm="1">
        <f t="array" ref="G1804">IFERROR(INDEX(EmployeeData[Join Date], ROW() - 37), "")</f>
        <v/>
      </c>
      <c r="H1804" s="6" t="str" cm="1">
        <f t="array" ref="H1804">IFERROR(IF(INDEX(EmployeeData[Exit Date], ROW() - 37)=0, "",INDEX(EmployeeData[Exit Date], ROW() - 37)),"")</f>
        <v/>
      </c>
      <c r="I1804" s="4" t="str" cm="1">
        <f t="array" ref="I1804">IFERROR(IF(INDEX(EmployeeData[Exit Reason], ROW() - 37)=0, "",INDEX(EmployeeData[Exit Reason], ROW() - 37)),"")</f>
        <v/>
      </c>
      <c r="J1804" s="4" t="str" cm="1">
        <f t="array" ref="J1804">IFERROR(INDEX(EmployeeData[Status], ROW() - 37), "")</f>
        <v/>
      </c>
    </row>
    <row r="1805" spans="2:10" ht="19.95" customHeight="1" x14ac:dyDescent="0.3">
      <c r="B1805" s="4" t="str" cm="1">
        <f t="array" ref="B1805">IFERROR(INDEX(EmployeeData[Employee ID], ROW() - 37), "")</f>
        <v/>
      </c>
      <c r="C1805" s="4" t="str" cm="1">
        <f t="array" ref="C1805">IFERROR(INDEX(EmployeeData[Full Name], ROW() - 37), "")</f>
        <v/>
      </c>
      <c r="D1805" s="4" t="str" cm="1">
        <f t="array" ref="D1805">IFERROR(INDEX(EmployeeData[Department], ROW() - 37), "")</f>
        <v/>
      </c>
      <c r="E1805" s="4" t="str" cm="1">
        <f t="array" ref="E1805">IFERROR(INDEX(EmployeeData[Gender], ROW() - 37), "")</f>
        <v/>
      </c>
      <c r="F1805" s="4" t="str" cm="1">
        <f t="array" ref="F1805">IFERROR(INDEX(EmployeeData[Age], ROW() - 37), "")</f>
        <v/>
      </c>
      <c r="G1805" s="6" t="str" cm="1">
        <f t="array" ref="G1805">IFERROR(INDEX(EmployeeData[Join Date], ROW() - 37), "")</f>
        <v/>
      </c>
      <c r="H1805" s="6" t="str" cm="1">
        <f t="array" ref="H1805">IFERROR(IF(INDEX(EmployeeData[Exit Date], ROW() - 37)=0, "",INDEX(EmployeeData[Exit Date], ROW() - 37)),"")</f>
        <v/>
      </c>
      <c r="I1805" s="4" t="str" cm="1">
        <f t="array" ref="I1805">IFERROR(IF(INDEX(EmployeeData[Exit Reason], ROW() - 37)=0, "",INDEX(EmployeeData[Exit Reason], ROW() - 37)),"")</f>
        <v/>
      </c>
      <c r="J1805" s="4" t="str" cm="1">
        <f t="array" ref="J1805">IFERROR(INDEX(EmployeeData[Status], ROW() - 37), "")</f>
        <v/>
      </c>
    </row>
    <row r="1806" spans="2:10" ht="19.95" customHeight="1" x14ac:dyDescent="0.3">
      <c r="B1806" s="4" t="str" cm="1">
        <f t="array" ref="B1806">IFERROR(INDEX(EmployeeData[Employee ID], ROW() - 37), "")</f>
        <v/>
      </c>
      <c r="C1806" s="4" t="str" cm="1">
        <f t="array" ref="C1806">IFERROR(INDEX(EmployeeData[Full Name], ROW() - 37), "")</f>
        <v/>
      </c>
      <c r="D1806" s="4" t="str" cm="1">
        <f t="array" ref="D1806">IFERROR(INDEX(EmployeeData[Department], ROW() - 37), "")</f>
        <v/>
      </c>
      <c r="E1806" s="4" t="str" cm="1">
        <f t="array" ref="E1806">IFERROR(INDEX(EmployeeData[Gender], ROW() - 37), "")</f>
        <v/>
      </c>
      <c r="F1806" s="4" t="str" cm="1">
        <f t="array" ref="F1806">IFERROR(INDEX(EmployeeData[Age], ROW() - 37), "")</f>
        <v/>
      </c>
      <c r="G1806" s="6" t="str" cm="1">
        <f t="array" ref="G1806">IFERROR(INDEX(EmployeeData[Join Date], ROW() - 37), "")</f>
        <v/>
      </c>
      <c r="H1806" s="6" t="str" cm="1">
        <f t="array" ref="H1806">IFERROR(IF(INDEX(EmployeeData[Exit Date], ROW() - 37)=0, "",INDEX(EmployeeData[Exit Date], ROW() - 37)),"")</f>
        <v/>
      </c>
      <c r="I1806" s="4" t="str" cm="1">
        <f t="array" ref="I1806">IFERROR(IF(INDEX(EmployeeData[Exit Reason], ROW() - 37)=0, "",INDEX(EmployeeData[Exit Reason], ROW() - 37)),"")</f>
        <v/>
      </c>
      <c r="J1806" s="4" t="str" cm="1">
        <f t="array" ref="J1806">IFERROR(INDEX(EmployeeData[Status], ROW() - 37), "")</f>
        <v/>
      </c>
    </row>
    <row r="1807" spans="2:10" ht="19.95" customHeight="1" x14ac:dyDescent="0.3">
      <c r="B1807" s="4" t="str" cm="1">
        <f t="array" ref="B1807">IFERROR(INDEX(EmployeeData[Employee ID], ROW() - 37), "")</f>
        <v/>
      </c>
      <c r="C1807" s="4" t="str" cm="1">
        <f t="array" ref="C1807">IFERROR(INDEX(EmployeeData[Full Name], ROW() - 37), "")</f>
        <v/>
      </c>
      <c r="D1807" s="4" t="str" cm="1">
        <f t="array" ref="D1807">IFERROR(INDEX(EmployeeData[Department], ROW() - 37), "")</f>
        <v/>
      </c>
      <c r="E1807" s="4" t="str" cm="1">
        <f t="array" ref="E1807">IFERROR(INDEX(EmployeeData[Gender], ROW() - 37), "")</f>
        <v/>
      </c>
      <c r="F1807" s="4" t="str" cm="1">
        <f t="array" ref="F1807">IFERROR(INDEX(EmployeeData[Age], ROW() - 37), "")</f>
        <v/>
      </c>
      <c r="G1807" s="6" t="str" cm="1">
        <f t="array" ref="G1807">IFERROR(INDEX(EmployeeData[Join Date], ROW() - 37), "")</f>
        <v/>
      </c>
      <c r="H1807" s="6" t="str" cm="1">
        <f t="array" ref="H1807">IFERROR(IF(INDEX(EmployeeData[Exit Date], ROW() - 37)=0, "",INDEX(EmployeeData[Exit Date], ROW() - 37)),"")</f>
        <v/>
      </c>
      <c r="I1807" s="4" t="str" cm="1">
        <f t="array" ref="I1807">IFERROR(IF(INDEX(EmployeeData[Exit Reason], ROW() - 37)=0, "",INDEX(EmployeeData[Exit Reason], ROW() - 37)),"")</f>
        <v/>
      </c>
      <c r="J1807" s="4" t="str" cm="1">
        <f t="array" ref="J1807">IFERROR(INDEX(EmployeeData[Status], ROW() - 37), "")</f>
        <v/>
      </c>
    </row>
    <row r="1808" spans="2:10" ht="19.95" customHeight="1" x14ac:dyDescent="0.3">
      <c r="B1808" s="4" t="str" cm="1">
        <f t="array" ref="B1808">IFERROR(INDEX(EmployeeData[Employee ID], ROW() - 37), "")</f>
        <v/>
      </c>
      <c r="C1808" s="4" t="str" cm="1">
        <f t="array" ref="C1808">IFERROR(INDEX(EmployeeData[Full Name], ROW() - 37), "")</f>
        <v/>
      </c>
      <c r="D1808" s="4" t="str" cm="1">
        <f t="array" ref="D1808">IFERROR(INDEX(EmployeeData[Department], ROW() - 37), "")</f>
        <v/>
      </c>
      <c r="E1808" s="4" t="str" cm="1">
        <f t="array" ref="E1808">IFERROR(INDEX(EmployeeData[Gender], ROW() - 37), "")</f>
        <v/>
      </c>
      <c r="F1808" s="4" t="str" cm="1">
        <f t="array" ref="F1808">IFERROR(INDEX(EmployeeData[Age], ROW() - 37), "")</f>
        <v/>
      </c>
      <c r="G1808" s="6" t="str" cm="1">
        <f t="array" ref="G1808">IFERROR(INDEX(EmployeeData[Join Date], ROW() - 37), "")</f>
        <v/>
      </c>
      <c r="H1808" s="6" t="str" cm="1">
        <f t="array" ref="H1808">IFERROR(IF(INDEX(EmployeeData[Exit Date], ROW() - 37)=0, "",INDEX(EmployeeData[Exit Date], ROW() - 37)),"")</f>
        <v/>
      </c>
      <c r="I1808" s="4" t="str" cm="1">
        <f t="array" ref="I1808">IFERROR(IF(INDEX(EmployeeData[Exit Reason], ROW() - 37)=0, "",INDEX(EmployeeData[Exit Reason], ROW() - 37)),"")</f>
        <v/>
      </c>
      <c r="J1808" s="4" t="str" cm="1">
        <f t="array" ref="J1808">IFERROR(INDEX(EmployeeData[Status], ROW() - 37), "")</f>
        <v/>
      </c>
    </row>
    <row r="1809" spans="2:10" ht="19.95" customHeight="1" x14ac:dyDescent="0.3">
      <c r="B1809" s="4" t="str" cm="1">
        <f t="array" ref="B1809">IFERROR(INDEX(EmployeeData[Employee ID], ROW() - 37), "")</f>
        <v/>
      </c>
      <c r="C1809" s="4" t="str" cm="1">
        <f t="array" ref="C1809">IFERROR(INDEX(EmployeeData[Full Name], ROW() - 37), "")</f>
        <v/>
      </c>
      <c r="D1809" s="4" t="str" cm="1">
        <f t="array" ref="D1809">IFERROR(INDEX(EmployeeData[Department], ROW() - 37), "")</f>
        <v/>
      </c>
      <c r="E1809" s="4" t="str" cm="1">
        <f t="array" ref="E1809">IFERROR(INDEX(EmployeeData[Gender], ROW() - 37), "")</f>
        <v/>
      </c>
      <c r="F1809" s="4" t="str" cm="1">
        <f t="array" ref="F1809">IFERROR(INDEX(EmployeeData[Age], ROW() - 37), "")</f>
        <v/>
      </c>
      <c r="G1809" s="6" t="str" cm="1">
        <f t="array" ref="G1809">IFERROR(INDEX(EmployeeData[Join Date], ROW() - 37), "")</f>
        <v/>
      </c>
      <c r="H1809" s="6" t="str" cm="1">
        <f t="array" ref="H1809">IFERROR(IF(INDEX(EmployeeData[Exit Date], ROW() - 37)=0, "",INDEX(EmployeeData[Exit Date], ROW() - 37)),"")</f>
        <v/>
      </c>
      <c r="I1809" s="4" t="str" cm="1">
        <f t="array" ref="I1809">IFERROR(IF(INDEX(EmployeeData[Exit Reason], ROW() - 37)=0, "",INDEX(EmployeeData[Exit Reason], ROW() - 37)),"")</f>
        <v/>
      </c>
      <c r="J1809" s="4" t="str" cm="1">
        <f t="array" ref="J1809">IFERROR(INDEX(EmployeeData[Status], ROW() - 37), "")</f>
        <v/>
      </c>
    </row>
    <row r="1810" spans="2:10" ht="19.95" customHeight="1" x14ac:dyDescent="0.3">
      <c r="B1810" s="4" t="str" cm="1">
        <f t="array" ref="B1810">IFERROR(INDEX(EmployeeData[Employee ID], ROW() - 37), "")</f>
        <v/>
      </c>
      <c r="C1810" s="4" t="str" cm="1">
        <f t="array" ref="C1810">IFERROR(INDEX(EmployeeData[Full Name], ROW() - 37), "")</f>
        <v/>
      </c>
      <c r="D1810" s="4" t="str" cm="1">
        <f t="array" ref="D1810">IFERROR(INDEX(EmployeeData[Department], ROW() - 37), "")</f>
        <v/>
      </c>
      <c r="E1810" s="4" t="str" cm="1">
        <f t="array" ref="E1810">IFERROR(INDEX(EmployeeData[Gender], ROW() - 37), "")</f>
        <v/>
      </c>
      <c r="F1810" s="4" t="str" cm="1">
        <f t="array" ref="F1810">IFERROR(INDEX(EmployeeData[Age], ROW() - 37), "")</f>
        <v/>
      </c>
      <c r="G1810" s="6" t="str" cm="1">
        <f t="array" ref="G1810">IFERROR(INDEX(EmployeeData[Join Date], ROW() - 37), "")</f>
        <v/>
      </c>
      <c r="H1810" s="6" t="str" cm="1">
        <f t="array" ref="H1810">IFERROR(IF(INDEX(EmployeeData[Exit Date], ROW() - 37)=0, "",INDEX(EmployeeData[Exit Date], ROW() - 37)),"")</f>
        <v/>
      </c>
      <c r="I1810" s="4" t="str" cm="1">
        <f t="array" ref="I1810">IFERROR(IF(INDEX(EmployeeData[Exit Reason], ROW() - 37)=0, "",INDEX(EmployeeData[Exit Reason], ROW() - 37)),"")</f>
        <v/>
      </c>
      <c r="J1810" s="4" t="str" cm="1">
        <f t="array" ref="J1810">IFERROR(INDEX(EmployeeData[Status], ROW() - 37), "")</f>
        <v/>
      </c>
    </row>
    <row r="1811" spans="2:10" ht="19.95" customHeight="1" x14ac:dyDescent="0.3">
      <c r="B1811" s="4" t="str" cm="1">
        <f t="array" ref="B1811">IFERROR(INDEX(EmployeeData[Employee ID], ROW() - 37), "")</f>
        <v/>
      </c>
      <c r="C1811" s="4" t="str" cm="1">
        <f t="array" ref="C1811">IFERROR(INDEX(EmployeeData[Full Name], ROW() - 37), "")</f>
        <v/>
      </c>
      <c r="D1811" s="4" t="str" cm="1">
        <f t="array" ref="D1811">IFERROR(INDEX(EmployeeData[Department], ROW() - 37), "")</f>
        <v/>
      </c>
      <c r="E1811" s="4" t="str" cm="1">
        <f t="array" ref="E1811">IFERROR(INDEX(EmployeeData[Gender], ROW() - 37), "")</f>
        <v/>
      </c>
      <c r="F1811" s="4" t="str" cm="1">
        <f t="array" ref="F1811">IFERROR(INDEX(EmployeeData[Age], ROW() - 37), "")</f>
        <v/>
      </c>
      <c r="G1811" s="6" t="str" cm="1">
        <f t="array" ref="G1811">IFERROR(INDEX(EmployeeData[Join Date], ROW() - 37), "")</f>
        <v/>
      </c>
      <c r="H1811" s="6" t="str" cm="1">
        <f t="array" ref="H1811">IFERROR(IF(INDEX(EmployeeData[Exit Date], ROW() - 37)=0, "",INDEX(EmployeeData[Exit Date], ROW() - 37)),"")</f>
        <v/>
      </c>
      <c r="I1811" s="4" t="str" cm="1">
        <f t="array" ref="I1811">IFERROR(IF(INDEX(EmployeeData[Exit Reason], ROW() - 37)=0, "",INDEX(EmployeeData[Exit Reason], ROW() - 37)),"")</f>
        <v/>
      </c>
      <c r="J1811" s="4" t="str" cm="1">
        <f t="array" ref="J1811">IFERROR(INDEX(EmployeeData[Status], ROW() - 37), "")</f>
        <v/>
      </c>
    </row>
    <row r="1812" spans="2:10" ht="19.95" customHeight="1" x14ac:dyDescent="0.3">
      <c r="B1812" s="4" t="str" cm="1">
        <f t="array" ref="B1812">IFERROR(INDEX(EmployeeData[Employee ID], ROW() - 37), "")</f>
        <v/>
      </c>
      <c r="C1812" s="4" t="str" cm="1">
        <f t="array" ref="C1812">IFERROR(INDEX(EmployeeData[Full Name], ROW() - 37), "")</f>
        <v/>
      </c>
      <c r="D1812" s="4" t="str" cm="1">
        <f t="array" ref="D1812">IFERROR(INDEX(EmployeeData[Department], ROW() - 37), "")</f>
        <v/>
      </c>
      <c r="E1812" s="4" t="str" cm="1">
        <f t="array" ref="E1812">IFERROR(INDEX(EmployeeData[Gender], ROW() - 37), "")</f>
        <v/>
      </c>
      <c r="F1812" s="4" t="str" cm="1">
        <f t="array" ref="F1812">IFERROR(INDEX(EmployeeData[Age], ROW() - 37), "")</f>
        <v/>
      </c>
      <c r="G1812" s="6" t="str" cm="1">
        <f t="array" ref="G1812">IFERROR(INDEX(EmployeeData[Join Date], ROW() - 37), "")</f>
        <v/>
      </c>
      <c r="H1812" s="6" t="str" cm="1">
        <f t="array" ref="H1812">IFERROR(IF(INDEX(EmployeeData[Exit Date], ROW() - 37)=0, "",INDEX(EmployeeData[Exit Date], ROW() - 37)),"")</f>
        <v/>
      </c>
      <c r="I1812" s="4" t="str" cm="1">
        <f t="array" ref="I1812">IFERROR(IF(INDEX(EmployeeData[Exit Reason], ROW() - 37)=0, "",INDEX(EmployeeData[Exit Reason], ROW() - 37)),"")</f>
        <v/>
      </c>
      <c r="J1812" s="4" t="str" cm="1">
        <f t="array" ref="J1812">IFERROR(INDEX(EmployeeData[Status], ROW() - 37), "")</f>
        <v/>
      </c>
    </row>
    <row r="1813" spans="2:10" ht="19.95" customHeight="1" x14ac:dyDescent="0.3">
      <c r="B1813" s="4" t="str" cm="1">
        <f t="array" ref="B1813">IFERROR(INDEX(EmployeeData[Employee ID], ROW() - 37), "")</f>
        <v/>
      </c>
      <c r="C1813" s="4" t="str" cm="1">
        <f t="array" ref="C1813">IFERROR(INDEX(EmployeeData[Full Name], ROW() - 37), "")</f>
        <v/>
      </c>
      <c r="D1813" s="4" t="str" cm="1">
        <f t="array" ref="D1813">IFERROR(INDEX(EmployeeData[Department], ROW() - 37), "")</f>
        <v/>
      </c>
      <c r="E1813" s="4" t="str" cm="1">
        <f t="array" ref="E1813">IFERROR(INDEX(EmployeeData[Gender], ROW() - 37), "")</f>
        <v/>
      </c>
      <c r="F1813" s="4" t="str" cm="1">
        <f t="array" ref="F1813">IFERROR(INDEX(EmployeeData[Age], ROW() - 37), "")</f>
        <v/>
      </c>
      <c r="G1813" s="6" t="str" cm="1">
        <f t="array" ref="G1813">IFERROR(INDEX(EmployeeData[Join Date], ROW() - 37), "")</f>
        <v/>
      </c>
      <c r="H1813" s="6" t="str" cm="1">
        <f t="array" ref="H1813">IFERROR(IF(INDEX(EmployeeData[Exit Date], ROW() - 37)=0, "",INDEX(EmployeeData[Exit Date], ROW() - 37)),"")</f>
        <v/>
      </c>
      <c r="I1813" s="4" t="str" cm="1">
        <f t="array" ref="I1813">IFERROR(IF(INDEX(EmployeeData[Exit Reason], ROW() - 37)=0, "",INDEX(EmployeeData[Exit Reason], ROW() - 37)),"")</f>
        <v/>
      </c>
      <c r="J1813" s="4" t="str" cm="1">
        <f t="array" ref="J1813">IFERROR(INDEX(EmployeeData[Status], ROW() - 37), "")</f>
        <v/>
      </c>
    </row>
    <row r="1814" spans="2:10" ht="19.95" customHeight="1" x14ac:dyDescent="0.3">
      <c r="B1814" s="4" t="str" cm="1">
        <f t="array" ref="B1814">IFERROR(INDEX(EmployeeData[Employee ID], ROW() - 37), "")</f>
        <v/>
      </c>
      <c r="C1814" s="4" t="str" cm="1">
        <f t="array" ref="C1814">IFERROR(INDEX(EmployeeData[Full Name], ROW() - 37), "")</f>
        <v/>
      </c>
      <c r="D1814" s="4" t="str" cm="1">
        <f t="array" ref="D1814">IFERROR(INDEX(EmployeeData[Department], ROW() - 37), "")</f>
        <v/>
      </c>
      <c r="E1814" s="4" t="str" cm="1">
        <f t="array" ref="E1814">IFERROR(INDEX(EmployeeData[Gender], ROW() - 37), "")</f>
        <v/>
      </c>
      <c r="F1814" s="4" t="str" cm="1">
        <f t="array" ref="F1814">IFERROR(INDEX(EmployeeData[Age], ROW() - 37), "")</f>
        <v/>
      </c>
      <c r="G1814" s="6" t="str" cm="1">
        <f t="array" ref="G1814">IFERROR(INDEX(EmployeeData[Join Date], ROW() - 37), "")</f>
        <v/>
      </c>
      <c r="H1814" s="6" t="str" cm="1">
        <f t="array" ref="H1814">IFERROR(IF(INDEX(EmployeeData[Exit Date], ROW() - 37)=0, "",INDEX(EmployeeData[Exit Date], ROW() - 37)),"")</f>
        <v/>
      </c>
      <c r="I1814" s="4" t="str" cm="1">
        <f t="array" ref="I1814">IFERROR(IF(INDEX(EmployeeData[Exit Reason], ROW() - 37)=0, "",INDEX(EmployeeData[Exit Reason], ROW() - 37)),"")</f>
        <v/>
      </c>
      <c r="J1814" s="4" t="str" cm="1">
        <f t="array" ref="J1814">IFERROR(INDEX(EmployeeData[Status], ROW() - 37), "")</f>
        <v/>
      </c>
    </row>
    <row r="1815" spans="2:10" ht="19.95" customHeight="1" x14ac:dyDescent="0.3">
      <c r="B1815" s="4" t="str" cm="1">
        <f t="array" ref="B1815">IFERROR(INDEX(EmployeeData[Employee ID], ROW() - 37), "")</f>
        <v/>
      </c>
      <c r="C1815" s="4" t="str" cm="1">
        <f t="array" ref="C1815">IFERROR(INDEX(EmployeeData[Full Name], ROW() - 37), "")</f>
        <v/>
      </c>
      <c r="D1815" s="4" t="str" cm="1">
        <f t="array" ref="D1815">IFERROR(INDEX(EmployeeData[Department], ROW() - 37), "")</f>
        <v/>
      </c>
      <c r="E1815" s="4" t="str" cm="1">
        <f t="array" ref="E1815">IFERROR(INDEX(EmployeeData[Gender], ROW() - 37), "")</f>
        <v/>
      </c>
      <c r="F1815" s="4" t="str" cm="1">
        <f t="array" ref="F1815">IFERROR(INDEX(EmployeeData[Age], ROW() - 37), "")</f>
        <v/>
      </c>
      <c r="G1815" s="6" t="str" cm="1">
        <f t="array" ref="G1815">IFERROR(INDEX(EmployeeData[Join Date], ROW() - 37), "")</f>
        <v/>
      </c>
      <c r="H1815" s="6" t="str" cm="1">
        <f t="array" ref="H1815">IFERROR(IF(INDEX(EmployeeData[Exit Date], ROW() - 37)=0, "",INDEX(EmployeeData[Exit Date], ROW() - 37)),"")</f>
        <v/>
      </c>
      <c r="I1815" s="4" t="str" cm="1">
        <f t="array" ref="I1815">IFERROR(IF(INDEX(EmployeeData[Exit Reason], ROW() - 37)=0, "",INDEX(EmployeeData[Exit Reason], ROW() - 37)),"")</f>
        <v/>
      </c>
      <c r="J1815" s="4" t="str" cm="1">
        <f t="array" ref="J1815">IFERROR(INDEX(EmployeeData[Status], ROW() - 37), "")</f>
        <v/>
      </c>
    </row>
    <row r="1816" spans="2:10" ht="19.95" customHeight="1" x14ac:dyDescent="0.3">
      <c r="B1816" s="4" t="str" cm="1">
        <f t="array" ref="B1816">IFERROR(INDEX(EmployeeData[Employee ID], ROW() - 37), "")</f>
        <v/>
      </c>
      <c r="C1816" s="4" t="str" cm="1">
        <f t="array" ref="C1816">IFERROR(INDEX(EmployeeData[Full Name], ROW() - 37), "")</f>
        <v/>
      </c>
      <c r="D1816" s="4" t="str" cm="1">
        <f t="array" ref="D1816">IFERROR(INDEX(EmployeeData[Department], ROW() - 37), "")</f>
        <v/>
      </c>
      <c r="E1816" s="4" t="str" cm="1">
        <f t="array" ref="E1816">IFERROR(INDEX(EmployeeData[Gender], ROW() - 37), "")</f>
        <v/>
      </c>
      <c r="F1816" s="4" t="str" cm="1">
        <f t="array" ref="F1816">IFERROR(INDEX(EmployeeData[Age], ROW() - 37), "")</f>
        <v/>
      </c>
      <c r="G1816" s="6" t="str" cm="1">
        <f t="array" ref="G1816">IFERROR(INDEX(EmployeeData[Join Date], ROW() - 37), "")</f>
        <v/>
      </c>
      <c r="H1816" s="6" t="str" cm="1">
        <f t="array" ref="H1816">IFERROR(IF(INDEX(EmployeeData[Exit Date], ROW() - 37)=0, "",INDEX(EmployeeData[Exit Date], ROW() - 37)),"")</f>
        <v/>
      </c>
      <c r="I1816" s="4" t="str" cm="1">
        <f t="array" ref="I1816">IFERROR(IF(INDEX(EmployeeData[Exit Reason], ROW() - 37)=0, "",INDEX(EmployeeData[Exit Reason], ROW() - 37)),"")</f>
        <v/>
      </c>
      <c r="J1816" s="4" t="str" cm="1">
        <f t="array" ref="J1816">IFERROR(INDEX(EmployeeData[Status], ROW() - 37), "")</f>
        <v/>
      </c>
    </row>
    <row r="1817" spans="2:10" ht="19.95" customHeight="1" x14ac:dyDescent="0.3">
      <c r="B1817" s="4" t="str" cm="1">
        <f t="array" ref="B1817">IFERROR(INDEX(EmployeeData[Employee ID], ROW() - 37), "")</f>
        <v/>
      </c>
      <c r="C1817" s="4" t="str" cm="1">
        <f t="array" ref="C1817">IFERROR(INDEX(EmployeeData[Full Name], ROW() - 37), "")</f>
        <v/>
      </c>
      <c r="D1817" s="4" t="str" cm="1">
        <f t="array" ref="D1817">IFERROR(INDEX(EmployeeData[Department], ROW() - 37), "")</f>
        <v/>
      </c>
      <c r="E1817" s="4" t="str" cm="1">
        <f t="array" ref="E1817">IFERROR(INDEX(EmployeeData[Gender], ROW() - 37), "")</f>
        <v/>
      </c>
      <c r="F1817" s="4" t="str" cm="1">
        <f t="array" ref="F1817">IFERROR(INDEX(EmployeeData[Age], ROW() - 37), "")</f>
        <v/>
      </c>
      <c r="G1817" s="6" t="str" cm="1">
        <f t="array" ref="G1817">IFERROR(INDEX(EmployeeData[Join Date], ROW() - 37), "")</f>
        <v/>
      </c>
      <c r="H1817" s="6" t="str" cm="1">
        <f t="array" ref="H1817">IFERROR(IF(INDEX(EmployeeData[Exit Date], ROW() - 37)=0, "",INDEX(EmployeeData[Exit Date], ROW() - 37)),"")</f>
        <v/>
      </c>
      <c r="I1817" s="4" t="str" cm="1">
        <f t="array" ref="I1817">IFERROR(IF(INDEX(EmployeeData[Exit Reason], ROW() - 37)=0, "",INDEX(EmployeeData[Exit Reason], ROW() - 37)),"")</f>
        <v/>
      </c>
      <c r="J1817" s="4" t="str" cm="1">
        <f t="array" ref="J1817">IFERROR(INDEX(EmployeeData[Status], ROW() - 37), "")</f>
        <v/>
      </c>
    </row>
    <row r="1818" spans="2:10" ht="19.95" customHeight="1" x14ac:dyDescent="0.3">
      <c r="B1818" s="4" t="str" cm="1">
        <f t="array" ref="B1818">IFERROR(INDEX(EmployeeData[Employee ID], ROW() - 37), "")</f>
        <v/>
      </c>
      <c r="C1818" s="4" t="str" cm="1">
        <f t="array" ref="C1818">IFERROR(INDEX(EmployeeData[Full Name], ROW() - 37), "")</f>
        <v/>
      </c>
      <c r="D1818" s="4" t="str" cm="1">
        <f t="array" ref="D1818">IFERROR(INDEX(EmployeeData[Department], ROW() - 37), "")</f>
        <v/>
      </c>
      <c r="E1818" s="4" t="str" cm="1">
        <f t="array" ref="E1818">IFERROR(INDEX(EmployeeData[Gender], ROW() - 37), "")</f>
        <v/>
      </c>
      <c r="F1818" s="4" t="str" cm="1">
        <f t="array" ref="F1818">IFERROR(INDEX(EmployeeData[Age], ROW() - 37), "")</f>
        <v/>
      </c>
      <c r="G1818" s="6" t="str" cm="1">
        <f t="array" ref="G1818">IFERROR(INDEX(EmployeeData[Join Date], ROW() - 37), "")</f>
        <v/>
      </c>
      <c r="H1818" s="6" t="str" cm="1">
        <f t="array" ref="H1818">IFERROR(IF(INDEX(EmployeeData[Exit Date], ROW() - 37)=0, "",INDEX(EmployeeData[Exit Date], ROW() - 37)),"")</f>
        <v/>
      </c>
      <c r="I1818" s="4" t="str" cm="1">
        <f t="array" ref="I1818">IFERROR(IF(INDEX(EmployeeData[Exit Reason], ROW() - 37)=0, "",INDEX(EmployeeData[Exit Reason], ROW() - 37)),"")</f>
        <v/>
      </c>
      <c r="J1818" s="4" t="str" cm="1">
        <f t="array" ref="J1818">IFERROR(INDEX(EmployeeData[Status], ROW() - 37), "")</f>
        <v/>
      </c>
    </row>
    <row r="1819" spans="2:10" ht="19.95" customHeight="1" x14ac:dyDescent="0.3">
      <c r="B1819" s="4" t="str" cm="1">
        <f t="array" ref="B1819">IFERROR(INDEX(EmployeeData[Employee ID], ROW() - 37), "")</f>
        <v/>
      </c>
      <c r="C1819" s="4" t="str" cm="1">
        <f t="array" ref="C1819">IFERROR(INDEX(EmployeeData[Full Name], ROW() - 37), "")</f>
        <v/>
      </c>
      <c r="D1819" s="4" t="str" cm="1">
        <f t="array" ref="D1819">IFERROR(INDEX(EmployeeData[Department], ROW() - 37), "")</f>
        <v/>
      </c>
      <c r="E1819" s="4" t="str" cm="1">
        <f t="array" ref="E1819">IFERROR(INDEX(EmployeeData[Gender], ROW() - 37), "")</f>
        <v/>
      </c>
      <c r="F1819" s="4" t="str" cm="1">
        <f t="array" ref="F1819">IFERROR(INDEX(EmployeeData[Age], ROW() - 37), "")</f>
        <v/>
      </c>
      <c r="G1819" s="6" t="str" cm="1">
        <f t="array" ref="G1819">IFERROR(INDEX(EmployeeData[Join Date], ROW() - 37), "")</f>
        <v/>
      </c>
      <c r="H1819" s="6" t="str" cm="1">
        <f t="array" ref="H1819">IFERROR(IF(INDEX(EmployeeData[Exit Date], ROW() - 37)=0, "",INDEX(EmployeeData[Exit Date], ROW() - 37)),"")</f>
        <v/>
      </c>
      <c r="I1819" s="4" t="str" cm="1">
        <f t="array" ref="I1819">IFERROR(IF(INDEX(EmployeeData[Exit Reason], ROW() - 37)=0, "",INDEX(EmployeeData[Exit Reason], ROW() - 37)),"")</f>
        <v/>
      </c>
      <c r="J1819" s="4" t="str" cm="1">
        <f t="array" ref="J1819">IFERROR(INDEX(EmployeeData[Status], ROW() - 37), "")</f>
        <v/>
      </c>
    </row>
    <row r="1820" spans="2:10" ht="19.95" customHeight="1" x14ac:dyDescent="0.3">
      <c r="B1820" s="4" t="str" cm="1">
        <f t="array" ref="B1820">IFERROR(INDEX(EmployeeData[Employee ID], ROW() - 37), "")</f>
        <v/>
      </c>
      <c r="C1820" s="4" t="str" cm="1">
        <f t="array" ref="C1820">IFERROR(INDEX(EmployeeData[Full Name], ROW() - 37), "")</f>
        <v/>
      </c>
      <c r="D1820" s="4" t="str" cm="1">
        <f t="array" ref="D1820">IFERROR(INDEX(EmployeeData[Department], ROW() - 37), "")</f>
        <v/>
      </c>
      <c r="E1820" s="4" t="str" cm="1">
        <f t="array" ref="E1820">IFERROR(INDEX(EmployeeData[Gender], ROW() - 37), "")</f>
        <v/>
      </c>
      <c r="F1820" s="4" t="str" cm="1">
        <f t="array" ref="F1820">IFERROR(INDEX(EmployeeData[Age], ROW() - 37), "")</f>
        <v/>
      </c>
      <c r="G1820" s="6" t="str" cm="1">
        <f t="array" ref="G1820">IFERROR(INDEX(EmployeeData[Join Date], ROW() - 37), "")</f>
        <v/>
      </c>
      <c r="H1820" s="6" t="str" cm="1">
        <f t="array" ref="H1820">IFERROR(IF(INDEX(EmployeeData[Exit Date], ROW() - 37)=0, "",INDEX(EmployeeData[Exit Date], ROW() - 37)),"")</f>
        <v/>
      </c>
      <c r="I1820" s="4" t="str" cm="1">
        <f t="array" ref="I1820">IFERROR(IF(INDEX(EmployeeData[Exit Reason], ROW() - 37)=0, "",INDEX(EmployeeData[Exit Reason], ROW() - 37)),"")</f>
        <v/>
      </c>
      <c r="J1820" s="4" t="str" cm="1">
        <f t="array" ref="J1820">IFERROR(INDEX(EmployeeData[Status], ROW() - 37), "")</f>
        <v/>
      </c>
    </row>
    <row r="1821" spans="2:10" ht="19.95" customHeight="1" x14ac:dyDescent="0.3">
      <c r="B1821" s="4" t="str" cm="1">
        <f t="array" ref="B1821">IFERROR(INDEX(EmployeeData[Employee ID], ROW() - 37), "")</f>
        <v/>
      </c>
      <c r="C1821" s="4" t="str" cm="1">
        <f t="array" ref="C1821">IFERROR(INDEX(EmployeeData[Full Name], ROW() - 37), "")</f>
        <v/>
      </c>
      <c r="D1821" s="4" t="str" cm="1">
        <f t="array" ref="D1821">IFERROR(INDEX(EmployeeData[Department], ROW() - 37), "")</f>
        <v/>
      </c>
      <c r="E1821" s="4" t="str" cm="1">
        <f t="array" ref="E1821">IFERROR(INDEX(EmployeeData[Gender], ROW() - 37), "")</f>
        <v/>
      </c>
      <c r="F1821" s="4" t="str" cm="1">
        <f t="array" ref="F1821">IFERROR(INDEX(EmployeeData[Age], ROW() - 37), "")</f>
        <v/>
      </c>
      <c r="G1821" s="6" t="str" cm="1">
        <f t="array" ref="G1821">IFERROR(INDEX(EmployeeData[Join Date], ROW() - 37), "")</f>
        <v/>
      </c>
      <c r="H1821" s="6" t="str" cm="1">
        <f t="array" ref="H1821">IFERROR(IF(INDEX(EmployeeData[Exit Date], ROW() - 37)=0, "",INDEX(EmployeeData[Exit Date], ROW() - 37)),"")</f>
        <v/>
      </c>
      <c r="I1821" s="4" t="str" cm="1">
        <f t="array" ref="I1821">IFERROR(IF(INDEX(EmployeeData[Exit Reason], ROW() - 37)=0, "",INDEX(EmployeeData[Exit Reason], ROW() - 37)),"")</f>
        <v/>
      </c>
      <c r="J1821" s="4" t="str" cm="1">
        <f t="array" ref="J1821">IFERROR(INDEX(EmployeeData[Status], ROW() - 37), "")</f>
        <v/>
      </c>
    </row>
    <row r="1822" spans="2:10" ht="19.95" customHeight="1" x14ac:dyDescent="0.3">
      <c r="B1822" s="4" t="str" cm="1">
        <f t="array" ref="B1822">IFERROR(INDEX(EmployeeData[Employee ID], ROW() - 37), "")</f>
        <v/>
      </c>
      <c r="C1822" s="4" t="str" cm="1">
        <f t="array" ref="C1822">IFERROR(INDEX(EmployeeData[Full Name], ROW() - 37), "")</f>
        <v/>
      </c>
      <c r="D1822" s="4" t="str" cm="1">
        <f t="array" ref="D1822">IFERROR(INDEX(EmployeeData[Department], ROW() - 37), "")</f>
        <v/>
      </c>
      <c r="E1822" s="4" t="str" cm="1">
        <f t="array" ref="E1822">IFERROR(INDEX(EmployeeData[Gender], ROW() - 37), "")</f>
        <v/>
      </c>
      <c r="F1822" s="4" t="str" cm="1">
        <f t="array" ref="F1822">IFERROR(INDEX(EmployeeData[Age], ROW() - 37), "")</f>
        <v/>
      </c>
      <c r="G1822" s="6" t="str" cm="1">
        <f t="array" ref="G1822">IFERROR(INDEX(EmployeeData[Join Date], ROW() - 37), "")</f>
        <v/>
      </c>
      <c r="H1822" s="6" t="str" cm="1">
        <f t="array" ref="H1822">IFERROR(IF(INDEX(EmployeeData[Exit Date], ROW() - 37)=0, "",INDEX(EmployeeData[Exit Date], ROW() - 37)),"")</f>
        <v/>
      </c>
      <c r="I1822" s="4" t="str" cm="1">
        <f t="array" ref="I1822">IFERROR(IF(INDEX(EmployeeData[Exit Reason], ROW() - 37)=0, "",INDEX(EmployeeData[Exit Reason], ROW() - 37)),"")</f>
        <v/>
      </c>
      <c r="J1822" s="4" t="str" cm="1">
        <f t="array" ref="J1822">IFERROR(INDEX(EmployeeData[Status], ROW() - 37), "")</f>
        <v/>
      </c>
    </row>
    <row r="1823" spans="2:10" ht="19.95" customHeight="1" x14ac:dyDescent="0.3">
      <c r="B1823" s="4" t="str" cm="1">
        <f t="array" ref="B1823">IFERROR(INDEX(EmployeeData[Employee ID], ROW() - 37), "")</f>
        <v/>
      </c>
      <c r="C1823" s="4" t="str" cm="1">
        <f t="array" ref="C1823">IFERROR(INDEX(EmployeeData[Full Name], ROW() - 37), "")</f>
        <v/>
      </c>
      <c r="D1823" s="4" t="str" cm="1">
        <f t="array" ref="D1823">IFERROR(INDEX(EmployeeData[Department], ROW() - 37), "")</f>
        <v/>
      </c>
      <c r="E1823" s="4" t="str" cm="1">
        <f t="array" ref="E1823">IFERROR(INDEX(EmployeeData[Gender], ROW() - 37), "")</f>
        <v/>
      </c>
      <c r="F1823" s="4" t="str" cm="1">
        <f t="array" ref="F1823">IFERROR(INDEX(EmployeeData[Age], ROW() - 37), "")</f>
        <v/>
      </c>
      <c r="G1823" s="6" t="str" cm="1">
        <f t="array" ref="G1823">IFERROR(INDEX(EmployeeData[Join Date], ROW() - 37), "")</f>
        <v/>
      </c>
      <c r="H1823" s="6" t="str" cm="1">
        <f t="array" ref="H1823">IFERROR(IF(INDEX(EmployeeData[Exit Date], ROW() - 37)=0, "",INDEX(EmployeeData[Exit Date], ROW() - 37)),"")</f>
        <v/>
      </c>
      <c r="I1823" s="4" t="str" cm="1">
        <f t="array" ref="I1823">IFERROR(IF(INDEX(EmployeeData[Exit Reason], ROW() - 37)=0, "",INDEX(EmployeeData[Exit Reason], ROW() - 37)),"")</f>
        <v/>
      </c>
      <c r="J1823" s="4" t="str" cm="1">
        <f t="array" ref="J1823">IFERROR(INDEX(EmployeeData[Status], ROW() - 37), "")</f>
        <v/>
      </c>
    </row>
    <row r="1824" spans="2:10" ht="19.95" customHeight="1" x14ac:dyDescent="0.3">
      <c r="B1824" s="4" t="str" cm="1">
        <f t="array" ref="B1824">IFERROR(INDEX(EmployeeData[Employee ID], ROW() - 37), "")</f>
        <v/>
      </c>
      <c r="C1824" s="4" t="str" cm="1">
        <f t="array" ref="C1824">IFERROR(INDEX(EmployeeData[Full Name], ROW() - 37), "")</f>
        <v/>
      </c>
      <c r="D1824" s="4" t="str" cm="1">
        <f t="array" ref="D1824">IFERROR(INDEX(EmployeeData[Department], ROW() - 37), "")</f>
        <v/>
      </c>
      <c r="E1824" s="4" t="str" cm="1">
        <f t="array" ref="E1824">IFERROR(INDEX(EmployeeData[Gender], ROW() - 37), "")</f>
        <v/>
      </c>
      <c r="F1824" s="4" t="str" cm="1">
        <f t="array" ref="F1824">IFERROR(INDEX(EmployeeData[Age], ROW() - 37), "")</f>
        <v/>
      </c>
      <c r="G1824" s="6" t="str" cm="1">
        <f t="array" ref="G1824">IFERROR(INDEX(EmployeeData[Join Date], ROW() - 37), "")</f>
        <v/>
      </c>
      <c r="H1824" s="6" t="str" cm="1">
        <f t="array" ref="H1824">IFERROR(IF(INDEX(EmployeeData[Exit Date], ROW() - 37)=0, "",INDEX(EmployeeData[Exit Date], ROW() - 37)),"")</f>
        <v/>
      </c>
      <c r="I1824" s="4" t="str" cm="1">
        <f t="array" ref="I1824">IFERROR(IF(INDEX(EmployeeData[Exit Reason], ROW() - 37)=0, "",INDEX(EmployeeData[Exit Reason], ROW() - 37)),"")</f>
        <v/>
      </c>
      <c r="J1824" s="4" t="str" cm="1">
        <f t="array" ref="J1824">IFERROR(INDEX(EmployeeData[Status], ROW() - 37), "")</f>
        <v/>
      </c>
    </row>
    <row r="1825" spans="2:10" ht="19.95" customHeight="1" x14ac:dyDescent="0.3">
      <c r="B1825" s="4" t="str" cm="1">
        <f t="array" ref="B1825">IFERROR(INDEX(EmployeeData[Employee ID], ROW() - 37), "")</f>
        <v/>
      </c>
      <c r="C1825" s="4" t="str" cm="1">
        <f t="array" ref="C1825">IFERROR(INDEX(EmployeeData[Full Name], ROW() - 37), "")</f>
        <v/>
      </c>
      <c r="D1825" s="4" t="str" cm="1">
        <f t="array" ref="D1825">IFERROR(INDEX(EmployeeData[Department], ROW() - 37), "")</f>
        <v/>
      </c>
      <c r="E1825" s="4" t="str" cm="1">
        <f t="array" ref="E1825">IFERROR(INDEX(EmployeeData[Gender], ROW() - 37), "")</f>
        <v/>
      </c>
      <c r="F1825" s="4" t="str" cm="1">
        <f t="array" ref="F1825">IFERROR(INDEX(EmployeeData[Age], ROW() - 37), "")</f>
        <v/>
      </c>
      <c r="G1825" s="6" t="str" cm="1">
        <f t="array" ref="G1825">IFERROR(INDEX(EmployeeData[Join Date], ROW() - 37), "")</f>
        <v/>
      </c>
      <c r="H1825" s="6" t="str" cm="1">
        <f t="array" ref="H1825">IFERROR(IF(INDEX(EmployeeData[Exit Date], ROW() - 37)=0, "",INDEX(EmployeeData[Exit Date], ROW() - 37)),"")</f>
        <v/>
      </c>
      <c r="I1825" s="4" t="str" cm="1">
        <f t="array" ref="I1825">IFERROR(IF(INDEX(EmployeeData[Exit Reason], ROW() - 37)=0, "",INDEX(EmployeeData[Exit Reason], ROW() - 37)),"")</f>
        <v/>
      </c>
      <c r="J1825" s="4" t="str" cm="1">
        <f t="array" ref="J1825">IFERROR(INDEX(EmployeeData[Status], ROW() - 37), "")</f>
        <v/>
      </c>
    </row>
    <row r="1826" spans="2:10" ht="19.95" customHeight="1" x14ac:dyDescent="0.3">
      <c r="B1826" s="4" t="str" cm="1">
        <f t="array" ref="B1826">IFERROR(INDEX(EmployeeData[Employee ID], ROW() - 37), "")</f>
        <v/>
      </c>
      <c r="C1826" s="4" t="str" cm="1">
        <f t="array" ref="C1826">IFERROR(INDEX(EmployeeData[Full Name], ROW() - 37), "")</f>
        <v/>
      </c>
      <c r="D1826" s="4" t="str" cm="1">
        <f t="array" ref="D1826">IFERROR(INDEX(EmployeeData[Department], ROW() - 37), "")</f>
        <v/>
      </c>
      <c r="E1826" s="4" t="str" cm="1">
        <f t="array" ref="E1826">IFERROR(INDEX(EmployeeData[Gender], ROW() - 37), "")</f>
        <v/>
      </c>
      <c r="F1826" s="4" t="str" cm="1">
        <f t="array" ref="F1826">IFERROR(INDEX(EmployeeData[Age], ROW() - 37), "")</f>
        <v/>
      </c>
      <c r="G1826" s="6" t="str" cm="1">
        <f t="array" ref="G1826">IFERROR(INDEX(EmployeeData[Join Date], ROW() - 37), "")</f>
        <v/>
      </c>
      <c r="H1826" s="6" t="str" cm="1">
        <f t="array" ref="H1826">IFERROR(IF(INDEX(EmployeeData[Exit Date], ROW() - 37)=0, "",INDEX(EmployeeData[Exit Date], ROW() - 37)),"")</f>
        <v/>
      </c>
      <c r="I1826" s="4" t="str" cm="1">
        <f t="array" ref="I1826">IFERROR(IF(INDEX(EmployeeData[Exit Reason], ROW() - 37)=0, "",INDEX(EmployeeData[Exit Reason], ROW() - 37)),"")</f>
        <v/>
      </c>
      <c r="J1826" s="4" t="str" cm="1">
        <f t="array" ref="J1826">IFERROR(INDEX(EmployeeData[Status], ROW() - 37), "")</f>
        <v/>
      </c>
    </row>
    <row r="1827" spans="2:10" ht="19.95" customHeight="1" x14ac:dyDescent="0.3">
      <c r="B1827" s="4" t="str" cm="1">
        <f t="array" ref="B1827">IFERROR(INDEX(EmployeeData[Employee ID], ROW() - 37), "")</f>
        <v/>
      </c>
      <c r="C1827" s="4" t="str" cm="1">
        <f t="array" ref="C1827">IFERROR(INDEX(EmployeeData[Full Name], ROW() - 37), "")</f>
        <v/>
      </c>
      <c r="D1827" s="4" t="str" cm="1">
        <f t="array" ref="D1827">IFERROR(INDEX(EmployeeData[Department], ROW() - 37), "")</f>
        <v/>
      </c>
      <c r="E1827" s="4" t="str" cm="1">
        <f t="array" ref="E1827">IFERROR(INDEX(EmployeeData[Gender], ROW() - 37), "")</f>
        <v/>
      </c>
      <c r="F1827" s="4" t="str" cm="1">
        <f t="array" ref="F1827">IFERROR(INDEX(EmployeeData[Age], ROW() - 37), "")</f>
        <v/>
      </c>
      <c r="G1827" s="6" t="str" cm="1">
        <f t="array" ref="G1827">IFERROR(INDEX(EmployeeData[Join Date], ROW() - 37), "")</f>
        <v/>
      </c>
      <c r="H1827" s="6" t="str" cm="1">
        <f t="array" ref="H1827">IFERROR(IF(INDEX(EmployeeData[Exit Date], ROW() - 37)=0, "",INDEX(EmployeeData[Exit Date], ROW() - 37)),"")</f>
        <v/>
      </c>
      <c r="I1827" s="4" t="str" cm="1">
        <f t="array" ref="I1827">IFERROR(IF(INDEX(EmployeeData[Exit Reason], ROW() - 37)=0, "",INDEX(EmployeeData[Exit Reason], ROW() - 37)),"")</f>
        <v/>
      </c>
      <c r="J1827" s="4" t="str" cm="1">
        <f t="array" ref="J1827">IFERROR(INDEX(EmployeeData[Status], ROW() - 37), "")</f>
        <v/>
      </c>
    </row>
    <row r="1828" spans="2:10" ht="19.95" customHeight="1" x14ac:dyDescent="0.3">
      <c r="B1828" s="4" t="str" cm="1">
        <f t="array" ref="B1828">IFERROR(INDEX(EmployeeData[Employee ID], ROW() - 37), "")</f>
        <v/>
      </c>
      <c r="C1828" s="4" t="str" cm="1">
        <f t="array" ref="C1828">IFERROR(INDEX(EmployeeData[Full Name], ROW() - 37), "")</f>
        <v/>
      </c>
      <c r="D1828" s="4" t="str" cm="1">
        <f t="array" ref="D1828">IFERROR(INDEX(EmployeeData[Department], ROW() - 37), "")</f>
        <v/>
      </c>
      <c r="E1828" s="4" t="str" cm="1">
        <f t="array" ref="E1828">IFERROR(INDEX(EmployeeData[Gender], ROW() - 37), "")</f>
        <v/>
      </c>
      <c r="F1828" s="4" t="str" cm="1">
        <f t="array" ref="F1828">IFERROR(INDEX(EmployeeData[Age], ROW() - 37), "")</f>
        <v/>
      </c>
      <c r="G1828" s="6" t="str" cm="1">
        <f t="array" ref="G1828">IFERROR(INDEX(EmployeeData[Join Date], ROW() - 37), "")</f>
        <v/>
      </c>
      <c r="H1828" s="6" t="str" cm="1">
        <f t="array" ref="H1828">IFERROR(IF(INDEX(EmployeeData[Exit Date], ROW() - 37)=0, "",INDEX(EmployeeData[Exit Date], ROW() - 37)),"")</f>
        <v/>
      </c>
      <c r="I1828" s="4" t="str" cm="1">
        <f t="array" ref="I1828">IFERROR(IF(INDEX(EmployeeData[Exit Reason], ROW() - 37)=0, "",INDEX(EmployeeData[Exit Reason], ROW() - 37)),"")</f>
        <v/>
      </c>
      <c r="J1828" s="4" t="str" cm="1">
        <f t="array" ref="J1828">IFERROR(INDEX(EmployeeData[Status], ROW() - 37), "")</f>
        <v/>
      </c>
    </row>
    <row r="1829" spans="2:10" ht="19.95" customHeight="1" x14ac:dyDescent="0.3">
      <c r="B1829" s="4" t="str" cm="1">
        <f t="array" ref="B1829">IFERROR(INDEX(EmployeeData[Employee ID], ROW() - 37), "")</f>
        <v/>
      </c>
      <c r="C1829" s="4" t="str" cm="1">
        <f t="array" ref="C1829">IFERROR(INDEX(EmployeeData[Full Name], ROW() - 37), "")</f>
        <v/>
      </c>
      <c r="D1829" s="4" t="str" cm="1">
        <f t="array" ref="D1829">IFERROR(INDEX(EmployeeData[Department], ROW() - 37), "")</f>
        <v/>
      </c>
      <c r="E1829" s="4" t="str" cm="1">
        <f t="array" ref="E1829">IFERROR(INDEX(EmployeeData[Gender], ROW() - 37), "")</f>
        <v/>
      </c>
      <c r="F1829" s="4" t="str" cm="1">
        <f t="array" ref="F1829">IFERROR(INDEX(EmployeeData[Age], ROW() - 37), "")</f>
        <v/>
      </c>
      <c r="G1829" s="6" t="str" cm="1">
        <f t="array" ref="G1829">IFERROR(INDEX(EmployeeData[Join Date], ROW() - 37), "")</f>
        <v/>
      </c>
      <c r="H1829" s="6" t="str" cm="1">
        <f t="array" ref="H1829">IFERROR(IF(INDEX(EmployeeData[Exit Date], ROW() - 37)=0, "",INDEX(EmployeeData[Exit Date], ROW() - 37)),"")</f>
        <v/>
      </c>
      <c r="I1829" s="4" t="str" cm="1">
        <f t="array" ref="I1829">IFERROR(IF(INDEX(EmployeeData[Exit Reason], ROW() - 37)=0, "",INDEX(EmployeeData[Exit Reason], ROW() - 37)),"")</f>
        <v/>
      </c>
      <c r="J1829" s="4" t="str" cm="1">
        <f t="array" ref="J1829">IFERROR(INDEX(EmployeeData[Status], ROW() - 37), "")</f>
        <v/>
      </c>
    </row>
    <row r="1830" spans="2:10" ht="19.95" customHeight="1" x14ac:dyDescent="0.3">
      <c r="B1830" s="4" t="str" cm="1">
        <f t="array" ref="B1830">IFERROR(INDEX(EmployeeData[Employee ID], ROW() - 37), "")</f>
        <v/>
      </c>
      <c r="C1830" s="4" t="str" cm="1">
        <f t="array" ref="C1830">IFERROR(INDEX(EmployeeData[Full Name], ROW() - 37), "")</f>
        <v/>
      </c>
      <c r="D1830" s="4" t="str" cm="1">
        <f t="array" ref="D1830">IFERROR(INDEX(EmployeeData[Department], ROW() - 37), "")</f>
        <v/>
      </c>
      <c r="E1830" s="4" t="str" cm="1">
        <f t="array" ref="E1830">IFERROR(INDEX(EmployeeData[Gender], ROW() - 37), "")</f>
        <v/>
      </c>
      <c r="F1830" s="4" t="str" cm="1">
        <f t="array" ref="F1830">IFERROR(INDEX(EmployeeData[Age], ROW() - 37), "")</f>
        <v/>
      </c>
      <c r="G1830" s="6" t="str" cm="1">
        <f t="array" ref="G1830">IFERROR(INDEX(EmployeeData[Join Date], ROW() - 37), "")</f>
        <v/>
      </c>
      <c r="H1830" s="6" t="str" cm="1">
        <f t="array" ref="H1830">IFERROR(IF(INDEX(EmployeeData[Exit Date], ROW() - 37)=0, "",INDEX(EmployeeData[Exit Date], ROW() - 37)),"")</f>
        <v/>
      </c>
      <c r="I1830" s="4" t="str" cm="1">
        <f t="array" ref="I1830">IFERROR(IF(INDEX(EmployeeData[Exit Reason], ROW() - 37)=0, "",INDEX(EmployeeData[Exit Reason], ROW() - 37)),"")</f>
        <v/>
      </c>
      <c r="J1830" s="4" t="str" cm="1">
        <f t="array" ref="J1830">IFERROR(INDEX(EmployeeData[Status], ROW() - 37), "")</f>
        <v/>
      </c>
    </row>
    <row r="1831" spans="2:10" ht="19.95" customHeight="1" x14ac:dyDescent="0.3">
      <c r="B1831" s="4" t="str" cm="1">
        <f t="array" ref="B1831">IFERROR(INDEX(EmployeeData[Employee ID], ROW() - 37), "")</f>
        <v/>
      </c>
      <c r="C1831" s="4" t="str" cm="1">
        <f t="array" ref="C1831">IFERROR(INDEX(EmployeeData[Full Name], ROW() - 37), "")</f>
        <v/>
      </c>
      <c r="D1831" s="4" t="str" cm="1">
        <f t="array" ref="D1831">IFERROR(INDEX(EmployeeData[Department], ROW() - 37), "")</f>
        <v/>
      </c>
      <c r="E1831" s="4" t="str" cm="1">
        <f t="array" ref="E1831">IFERROR(INDEX(EmployeeData[Gender], ROW() - 37), "")</f>
        <v/>
      </c>
      <c r="F1831" s="4" t="str" cm="1">
        <f t="array" ref="F1831">IFERROR(INDEX(EmployeeData[Age], ROW() - 37), "")</f>
        <v/>
      </c>
      <c r="G1831" s="6" t="str" cm="1">
        <f t="array" ref="G1831">IFERROR(INDEX(EmployeeData[Join Date], ROW() - 37), "")</f>
        <v/>
      </c>
      <c r="H1831" s="6" t="str" cm="1">
        <f t="array" ref="H1831">IFERROR(IF(INDEX(EmployeeData[Exit Date], ROW() - 37)=0, "",INDEX(EmployeeData[Exit Date], ROW() - 37)),"")</f>
        <v/>
      </c>
      <c r="I1831" s="4" t="str" cm="1">
        <f t="array" ref="I1831">IFERROR(IF(INDEX(EmployeeData[Exit Reason], ROW() - 37)=0, "",INDEX(EmployeeData[Exit Reason], ROW() - 37)),"")</f>
        <v/>
      </c>
      <c r="J1831" s="4" t="str" cm="1">
        <f t="array" ref="J1831">IFERROR(INDEX(EmployeeData[Status], ROW() - 37), "")</f>
        <v/>
      </c>
    </row>
    <row r="1832" spans="2:10" ht="19.95" customHeight="1" x14ac:dyDescent="0.3">
      <c r="B1832" s="4" t="str" cm="1">
        <f t="array" ref="B1832">IFERROR(INDEX(EmployeeData[Employee ID], ROW() - 37), "")</f>
        <v/>
      </c>
      <c r="C1832" s="4" t="str" cm="1">
        <f t="array" ref="C1832">IFERROR(INDEX(EmployeeData[Full Name], ROW() - 37), "")</f>
        <v/>
      </c>
      <c r="D1832" s="4" t="str" cm="1">
        <f t="array" ref="D1832">IFERROR(INDEX(EmployeeData[Department], ROW() - 37), "")</f>
        <v/>
      </c>
      <c r="E1832" s="4" t="str" cm="1">
        <f t="array" ref="E1832">IFERROR(INDEX(EmployeeData[Gender], ROW() - 37), "")</f>
        <v/>
      </c>
      <c r="F1832" s="4" t="str" cm="1">
        <f t="array" ref="F1832">IFERROR(INDEX(EmployeeData[Age], ROW() - 37), "")</f>
        <v/>
      </c>
      <c r="G1832" s="6" t="str" cm="1">
        <f t="array" ref="G1832">IFERROR(INDEX(EmployeeData[Join Date], ROW() - 37), "")</f>
        <v/>
      </c>
      <c r="H1832" s="6" t="str" cm="1">
        <f t="array" ref="H1832">IFERROR(IF(INDEX(EmployeeData[Exit Date], ROW() - 37)=0, "",INDEX(EmployeeData[Exit Date], ROW() - 37)),"")</f>
        <v/>
      </c>
      <c r="I1832" s="4" t="str" cm="1">
        <f t="array" ref="I1832">IFERROR(IF(INDEX(EmployeeData[Exit Reason], ROW() - 37)=0, "",INDEX(EmployeeData[Exit Reason], ROW() - 37)),"")</f>
        <v/>
      </c>
      <c r="J1832" s="4" t="str" cm="1">
        <f t="array" ref="J1832">IFERROR(INDEX(EmployeeData[Status], ROW() - 37), "")</f>
        <v/>
      </c>
    </row>
    <row r="1833" spans="2:10" ht="19.95" customHeight="1" x14ac:dyDescent="0.3">
      <c r="B1833" s="4" t="str" cm="1">
        <f t="array" ref="B1833">IFERROR(INDEX(EmployeeData[Employee ID], ROW() - 37), "")</f>
        <v/>
      </c>
      <c r="C1833" s="4" t="str" cm="1">
        <f t="array" ref="C1833">IFERROR(INDEX(EmployeeData[Full Name], ROW() - 37), "")</f>
        <v/>
      </c>
      <c r="D1833" s="4" t="str" cm="1">
        <f t="array" ref="D1833">IFERROR(INDEX(EmployeeData[Department], ROW() - 37), "")</f>
        <v/>
      </c>
      <c r="E1833" s="4" t="str" cm="1">
        <f t="array" ref="E1833">IFERROR(INDEX(EmployeeData[Gender], ROW() - 37), "")</f>
        <v/>
      </c>
      <c r="F1833" s="4" t="str" cm="1">
        <f t="array" ref="F1833">IFERROR(INDEX(EmployeeData[Age], ROW() - 37), "")</f>
        <v/>
      </c>
      <c r="G1833" s="6" t="str" cm="1">
        <f t="array" ref="G1833">IFERROR(INDEX(EmployeeData[Join Date], ROW() - 37), "")</f>
        <v/>
      </c>
      <c r="H1833" s="6" t="str" cm="1">
        <f t="array" ref="H1833">IFERROR(IF(INDEX(EmployeeData[Exit Date], ROW() - 37)=0, "",INDEX(EmployeeData[Exit Date], ROW() - 37)),"")</f>
        <v/>
      </c>
      <c r="I1833" s="4" t="str" cm="1">
        <f t="array" ref="I1833">IFERROR(IF(INDEX(EmployeeData[Exit Reason], ROW() - 37)=0, "",INDEX(EmployeeData[Exit Reason], ROW() - 37)),"")</f>
        <v/>
      </c>
      <c r="J1833" s="4" t="str" cm="1">
        <f t="array" ref="J1833">IFERROR(INDEX(EmployeeData[Status], ROW() - 37), "")</f>
        <v/>
      </c>
    </row>
    <row r="1834" spans="2:10" ht="19.95" customHeight="1" x14ac:dyDescent="0.3">
      <c r="B1834" s="4" t="str" cm="1">
        <f t="array" ref="B1834">IFERROR(INDEX(EmployeeData[Employee ID], ROW() - 37), "")</f>
        <v/>
      </c>
      <c r="C1834" s="4" t="str" cm="1">
        <f t="array" ref="C1834">IFERROR(INDEX(EmployeeData[Full Name], ROW() - 37), "")</f>
        <v/>
      </c>
      <c r="D1834" s="4" t="str" cm="1">
        <f t="array" ref="D1834">IFERROR(INDEX(EmployeeData[Department], ROW() - 37), "")</f>
        <v/>
      </c>
      <c r="E1834" s="4" t="str" cm="1">
        <f t="array" ref="E1834">IFERROR(INDEX(EmployeeData[Gender], ROW() - 37), "")</f>
        <v/>
      </c>
      <c r="F1834" s="4" t="str" cm="1">
        <f t="array" ref="F1834">IFERROR(INDEX(EmployeeData[Age], ROW() - 37), "")</f>
        <v/>
      </c>
      <c r="G1834" s="6" t="str" cm="1">
        <f t="array" ref="G1834">IFERROR(INDEX(EmployeeData[Join Date], ROW() - 37), "")</f>
        <v/>
      </c>
      <c r="H1834" s="6" t="str" cm="1">
        <f t="array" ref="H1834">IFERROR(IF(INDEX(EmployeeData[Exit Date], ROW() - 37)=0, "",INDEX(EmployeeData[Exit Date], ROW() - 37)),"")</f>
        <v/>
      </c>
      <c r="I1834" s="4" t="str" cm="1">
        <f t="array" ref="I1834">IFERROR(IF(INDEX(EmployeeData[Exit Reason], ROW() - 37)=0, "",INDEX(EmployeeData[Exit Reason], ROW() - 37)),"")</f>
        <v/>
      </c>
      <c r="J1834" s="4" t="str" cm="1">
        <f t="array" ref="J1834">IFERROR(INDEX(EmployeeData[Status], ROW() - 37), "")</f>
        <v/>
      </c>
    </row>
    <row r="1835" spans="2:10" ht="19.95" customHeight="1" x14ac:dyDescent="0.3">
      <c r="B1835" s="4" t="str" cm="1">
        <f t="array" ref="B1835">IFERROR(INDEX(EmployeeData[Employee ID], ROW() - 37), "")</f>
        <v/>
      </c>
      <c r="C1835" s="4" t="str" cm="1">
        <f t="array" ref="C1835">IFERROR(INDEX(EmployeeData[Full Name], ROW() - 37), "")</f>
        <v/>
      </c>
      <c r="D1835" s="4" t="str" cm="1">
        <f t="array" ref="D1835">IFERROR(INDEX(EmployeeData[Department], ROW() - 37), "")</f>
        <v/>
      </c>
      <c r="E1835" s="4" t="str" cm="1">
        <f t="array" ref="E1835">IFERROR(INDEX(EmployeeData[Gender], ROW() - 37), "")</f>
        <v/>
      </c>
      <c r="F1835" s="4" t="str" cm="1">
        <f t="array" ref="F1835">IFERROR(INDEX(EmployeeData[Age], ROW() - 37), "")</f>
        <v/>
      </c>
      <c r="G1835" s="6" t="str" cm="1">
        <f t="array" ref="G1835">IFERROR(INDEX(EmployeeData[Join Date], ROW() - 37), "")</f>
        <v/>
      </c>
      <c r="H1835" s="6" t="str" cm="1">
        <f t="array" ref="H1835">IFERROR(IF(INDEX(EmployeeData[Exit Date], ROW() - 37)=0, "",INDEX(EmployeeData[Exit Date], ROW() - 37)),"")</f>
        <v/>
      </c>
      <c r="I1835" s="4" t="str" cm="1">
        <f t="array" ref="I1835">IFERROR(IF(INDEX(EmployeeData[Exit Reason], ROW() - 37)=0, "",INDEX(EmployeeData[Exit Reason], ROW() - 37)),"")</f>
        <v/>
      </c>
      <c r="J1835" s="4" t="str" cm="1">
        <f t="array" ref="J1835">IFERROR(INDEX(EmployeeData[Status], ROW() - 37), "")</f>
        <v/>
      </c>
    </row>
    <row r="1836" spans="2:10" ht="19.95" customHeight="1" x14ac:dyDescent="0.3">
      <c r="B1836" s="4" t="str" cm="1">
        <f t="array" ref="B1836">IFERROR(INDEX(EmployeeData[Employee ID], ROW() - 37), "")</f>
        <v/>
      </c>
      <c r="C1836" s="4" t="str" cm="1">
        <f t="array" ref="C1836">IFERROR(INDEX(EmployeeData[Full Name], ROW() - 37), "")</f>
        <v/>
      </c>
      <c r="D1836" s="4" t="str" cm="1">
        <f t="array" ref="D1836">IFERROR(INDEX(EmployeeData[Department], ROW() - 37), "")</f>
        <v/>
      </c>
      <c r="E1836" s="4" t="str" cm="1">
        <f t="array" ref="E1836">IFERROR(INDEX(EmployeeData[Gender], ROW() - 37), "")</f>
        <v/>
      </c>
      <c r="F1836" s="4" t="str" cm="1">
        <f t="array" ref="F1836">IFERROR(INDEX(EmployeeData[Age], ROW() - 37), "")</f>
        <v/>
      </c>
      <c r="G1836" s="6" t="str" cm="1">
        <f t="array" ref="G1836">IFERROR(INDEX(EmployeeData[Join Date], ROW() - 37), "")</f>
        <v/>
      </c>
      <c r="H1836" s="6" t="str" cm="1">
        <f t="array" ref="H1836">IFERROR(IF(INDEX(EmployeeData[Exit Date], ROW() - 37)=0, "",INDEX(EmployeeData[Exit Date], ROW() - 37)),"")</f>
        <v/>
      </c>
      <c r="I1836" s="4" t="str" cm="1">
        <f t="array" ref="I1836">IFERROR(IF(INDEX(EmployeeData[Exit Reason], ROW() - 37)=0, "",INDEX(EmployeeData[Exit Reason], ROW() - 37)),"")</f>
        <v/>
      </c>
      <c r="J1836" s="4" t="str" cm="1">
        <f t="array" ref="J1836">IFERROR(INDEX(EmployeeData[Status], ROW() - 37), "")</f>
        <v/>
      </c>
    </row>
    <row r="1837" spans="2:10" ht="19.95" customHeight="1" x14ac:dyDescent="0.3">
      <c r="B1837" s="4" t="str" cm="1">
        <f t="array" ref="B1837">IFERROR(INDEX(EmployeeData[Employee ID], ROW() - 37), "")</f>
        <v/>
      </c>
      <c r="C1837" s="4" t="str" cm="1">
        <f t="array" ref="C1837">IFERROR(INDEX(EmployeeData[Full Name], ROW() - 37), "")</f>
        <v/>
      </c>
      <c r="D1837" s="4" t="str" cm="1">
        <f t="array" ref="D1837">IFERROR(INDEX(EmployeeData[Department], ROW() - 37), "")</f>
        <v/>
      </c>
      <c r="E1837" s="4" t="str" cm="1">
        <f t="array" ref="E1837">IFERROR(INDEX(EmployeeData[Gender], ROW() - 37), "")</f>
        <v/>
      </c>
      <c r="F1837" s="4" t="str" cm="1">
        <f t="array" ref="F1837">IFERROR(INDEX(EmployeeData[Age], ROW() - 37), "")</f>
        <v/>
      </c>
      <c r="G1837" s="6" t="str" cm="1">
        <f t="array" ref="G1837">IFERROR(INDEX(EmployeeData[Join Date], ROW() - 37), "")</f>
        <v/>
      </c>
      <c r="H1837" s="6" t="str" cm="1">
        <f t="array" ref="H1837">IFERROR(IF(INDEX(EmployeeData[Exit Date], ROW() - 37)=0, "",INDEX(EmployeeData[Exit Date], ROW() - 37)),"")</f>
        <v/>
      </c>
      <c r="I1837" s="4" t="str" cm="1">
        <f t="array" ref="I1837">IFERROR(IF(INDEX(EmployeeData[Exit Reason], ROW() - 37)=0, "",INDEX(EmployeeData[Exit Reason], ROW() - 37)),"")</f>
        <v/>
      </c>
      <c r="J1837" s="4" t="str" cm="1">
        <f t="array" ref="J1837">IFERROR(INDEX(EmployeeData[Status], ROW() - 37), "")</f>
        <v/>
      </c>
    </row>
    <row r="1838" spans="2:10" ht="19.95" customHeight="1" x14ac:dyDescent="0.3">
      <c r="B1838" s="4" t="str" cm="1">
        <f t="array" ref="B1838">IFERROR(INDEX(EmployeeData[Employee ID], ROW() - 37), "")</f>
        <v/>
      </c>
      <c r="C1838" s="4" t="str" cm="1">
        <f t="array" ref="C1838">IFERROR(INDEX(EmployeeData[Full Name], ROW() - 37), "")</f>
        <v/>
      </c>
      <c r="D1838" s="4" t="str" cm="1">
        <f t="array" ref="D1838">IFERROR(INDEX(EmployeeData[Department], ROW() - 37), "")</f>
        <v/>
      </c>
      <c r="E1838" s="4" t="str" cm="1">
        <f t="array" ref="E1838">IFERROR(INDEX(EmployeeData[Gender], ROW() - 37), "")</f>
        <v/>
      </c>
      <c r="F1838" s="4" t="str" cm="1">
        <f t="array" ref="F1838">IFERROR(INDEX(EmployeeData[Age], ROW() - 37), "")</f>
        <v/>
      </c>
      <c r="G1838" s="6" t="str" cm="1">
        <f t="array" ref="G1838">IFERROR(INDEX(EmployeeData[Join Date], ROW() - 37), "")</f>
        <v/>
      </c>
      <c r="H1838" s="6" t="str" cm="1">
        <f t="array" ref="H1838">IFERROR(IF(INDEX(EmployeeData[Exit Date], ROW() - 37)=0, "",INDEX(EmployeeData[Exit Date], ROW() - 37)),"")</f>
        <v/>
      </c>
      <c r="I1838" s="4" t="str" cm="1">
        <f t="array" ref="I1838">IFERROR(IF(INDEX(EmployeeData[Exit Reason], ROW() - 37)=0, "",INDEX(EmployeeData[Exit Reason], ROW() - 37)),"")</f>
        <v/>
      </c>
      <c r="J1838" s="4" t="str" cm="1">
        <f t="array" ref="J1838">IFERROR(INDEX(EmployeeData[Status], ROW() - 37), "")</f>
        <v/>
      </c>
    </row>
    <row r="1839" spans="2:10" ht="19.95" customHeight="1" x14ac:dyDescent="0.3">
      <c r="B1839" s="4" t="str" cm="1">
        <f t="array" ref="B1839">IFERROR(INDEX(EmployeeData[Employee ID], ROW() - 37), "")</f>
        <v/>
      </c>
      <c r="C1839" s="4" t="str" cm="1">
        <f t="array" ref="C1839">IFERROR(INDEX(EmployeeData[Full Name], ROW() - 37), "")</f>
        <v/>
      </c>
      <c r="D1839" s="4" t="str" cm="1">
        <f t="array" ref="D1839">IFERROR(INDEX(EmployeeData[Department], ROW() - 37), "")</f>
        <v/>
      </c>
      <c r="E1839" s="4" t="str" cm="1">
        <f t="array" ref="E1839">IFERROR(INDEX(EmployeeData[Gender], ROW() - 37), "")</f>
        <v/>
      </c>
      <c r="F1839" s="4" t="str" cm="1">
        <f t="array" ref="F1839">IFERROR(INDEX(EmployeeData[Age], ROW() - 37), "")</f>
        <v/>
      </c>
      <c r="G1839" s="6" t="str" cm="1">
        <f t="array" ref="G1839">IFERROR(INDEX(EmployeeData[Join Date], ROW() - 37), "")</f>
        <v/>
      </c>
      <c r="H1839" s="6" t="str" cm="1">
        <f t="array" ref="H1839">IFERROR(IF(INDEX(EmployeeData[Exit Date], ROW() - 37)=0, "",INDEX(EmployeeData[Exit Date], ROW() - 37)),"")</f>
        <v/>
      </c>
      <c r="I1839" s="4" t="str" cm="1">
        <f t="array" ref="I1839">IFERROR(IF(INDEX(EmployeeData[Exit Reason], ROW() - 37)=0, "",INDEX(EmployeeData[Exit Reason], ROW() - 37)),"")</f>
        <v/>
      </c>
      <c r="J1839" s="4" t="str" cm="1">
        <f t="array" ref="J1839">IFERROR(INDEX(EmployeeData[Status], ROW() - 37), "")</f>
        <v/>
      </c>
    </row>
    <row r="1840" spans="2:10" ht="19.95" customHeight="1" x14ac:dyDescent="0.3">
      <c r="B1840" s="4" t="str" cm="1">
        <f t="array" ref="B1840">IFERROR(INDEX(EmployeeData[Employee ID], ROW() - 37), "")</f>
        <v/>
      </c>
      <c r="C1840" s="4" t="str" cm="1">
        <f t="array" ref="C1840">IFERROR(INDEX(EmployeeData[Full Name], ROW() - 37), "")</f>
        <v/>
      </c>
      <c r="D1840" s="4" t="str" cm="1">
        <f t="array" ref="D1840">IFERROR(INDEX(EmployeeData[Department], ROW() - 37), "")</f>
        <v/>
      </c>
      <c r="E1840" s="4" t="str" cm="1">
        <f t="array" ref="E1840">IFERROR(INDEX(EmployeeData[Gender], ROW() - 37), "")</f>
        <v/>
      </c>
      <c r="F1840" s="4" t="str" cm="1">
        <f t="array" ref="F1840">IFERROR(INDEX(EmployeeData[Age], ROW() - 37), "")</f>
        <v/>
      </c>
      <c r="G1840" s="6" t="str" cm="1">
        <f t="array" ref="G1840">IFERROR(INDEX(EmployeeData[Join Date], ROW() - 37), "")</f>
        <v/>
      </c>
      <c r="H1840" s="6" t="str" cm="1">
        <f t="array" ref="H1840">IFERROR(IF(INDEX(EmployeeData[Exit Date], ROW() - 37)=0, "",INDEX(EmployeeData[Exit Date], ROW() - 37)),"")</f>
        <v/>
      </c>
      <c r="I1840" s="4" t="str" cm="1">
        <f t="array" ref="I1840">IFERROR(IF(INDEX(EmployeeData[Exit Reason], ROW() - 37)=0, "",INDEX(EmployeeData[Exit Reason], ROW() - 37)),"")</f>
        <v/>
      </c>
      <c r="J1840" s="4" t="str" cm="1">
        <f t="array" ref="J1840">IFERROR(INDEX(EmployeeData[Status], ROW() - 37), "")</f>
        <v/>
      </c>
    </row>
    <row r="1841" spans="2:10" ht="19.95" customHeight="1" x14ac:dyDescent="0.3">
      <c r="B1841" s="4" t="str" cm="1">
        <f t="array" ref="B1841">IFERROR(INDEX(EmployeeData[Employee ID], ROW() - 37), "")</f>
        <v/>
      </c>
      <c r="C1841" s="4" t="str" cm="1">
        <f t="array" ref="C1841">IFERROR(INDEX(EmployeeData[Full Name], ROW() - 37), "")</f>
        <v/>
      </c>
      <c r="D1841" s="4" t="str" cm="1">
        <f t="array" ref="D1841">IFERROR(INDEX(EmployeeData[Department], ROW() - 37), "")</f>
        <v/>
      </c>
      <c r="E1841" s="4" t="str" cm="1">
        <f t="array" ref="E1841">IFERROR(INDEX(EmployeeData[Gender], ROW() - 37), "")</f>
        <v/>
      </c>
      <c r="F1841" s="4" t="str" cm="1">
        <f t="array" ref="F1841">IFERROR(INDEX(EmployeeData[Age], ROW() - 37), "")</f>
        <v/>
      </c>
      <c r="G1841" s="6" t="str" cm="1">
        <f t="array" ref="G1841">IFERROR(INDEX(EmployeeData[Join Date], ROW() - 37), "")</f>
        <v/>
      </c>
      <c r="H1841" s="6" t="str" cm="1">
        <f t="array" ref="H1841">IFERROR(IF(INDEX(EmployeeData[Exit Date], ROW() - 37)=0, "",INDEX(EmployeeData[Exit Date], ROW() - 37)),"")</f>
        <v/>
      </c>
      <c r="I1841" s="4" t="str" cm="1">
        <f t="array" ref="I1841">IFERROR(IF(INDEX(EmployeeData[Exit Reason], ROW() - 37)=0, "",INDEX(EmployeeData[Exit Reason], ROW() - 37)),"")</f>
        <v/>
      </c>
      <c r="J1841" s="4" t="str" cm="1">
        <f t="array" ref="J1841">IFERROR(INDEX(EmployeeData[Status], ROW() - 37), "")</f>
        <v/>
      </c>
    </row>
    <row r="1842" spans="2:10" ht="19.95" customHeight="1" x14ac:dyDescent="0.3">
      <c r="B1842" s="4" t="str" cm="1">
        <f t="array" ref="B1842">IFERROR(INDEX(EmployeeData[Employee ID], ROW() - 37), "")</f>
        <v/>
      </c>
      <c r="C1842" s="4" t="str" cm="1">
        <f t="array" ref="C1842">IFERROR(INDEX(EmployeeData[Full Name], ROW() - 37), "")</f>
        <v/>
      </c>
      <c r="D1842" s="4" t="str" cm="1">
        <f t="array" ref="D1842">IFERROR(INDEX(EmployeeData[Department], ROW() - 37), "")</f>
        <v/>
      </c>
      <c r="E1842" s="4" t="str" cm="1">
        <f t="array" ref="E1842">IFERROR(INDEX(EmployeeData[Gender], ROW() - 37), "")</f>
        <v/>
      </c>
      <c r="F1842" s="4" t="str" cm="1">
        <f t="array" ref="F1842">IFERROR(INDEX(EmployeeData[Age], ROW() - 37), "")</f>
        <v/>
      </c>
      <c r="G1842" s="6" t="str" cm="1">
        <f t="array" ref="G1842">IFERROR(INDEX(EmployeeData[Join Date], ROW() - 37), "")</f>
        <v/>
      </c>
      <c r="H1842" s="6" t="str" cm="1">
        <f t="array" ref="H1842">IFERROR(IF(INDEX(EmployeeData[Exit Date], ROW() - 37)=0, "",INDEX(EmployeeData[Exit Date], ROW() - 37)),"")</f>
        <v/>
      </c>
      <c r="I1842" s="4" t="str" cm="1">
        <f t="array" ref="I1842">IFERROR(IF(INDEX(EmployeeData[Exit Reason], ROW() - 37)=0, "",INDEX(EmployeeData[Exit Reason], ROW() - 37)),"")</f>
        <v/>
      </c>
      <c r="J1842" s="4" t="str" cm="1">
        <f t="array" ref="J1842">IFERROR(INDEX(EmployeeData[Status], ROW() - 37), "")</f>
        <v/>
      </c>
    </row>
    <row r="1843" spans="2:10" ht="19.95" customHeight="1" x14ac:dyDescent="0.3">
      <c r="B1843" s="4" t="str" cm="1">
        <f t="array" ref="B1843">IFERROR(INDEX(EmployeeData[Employee ID], ROW() - 37), "")</f>
        <v/>
      </c>
      <c r="C1843" s="4" t="str" cm="1">
        <f t="array" ref="C1843">IFERROR(INDEX(EmployeeData[Full Name], ROW() - 37), "")</f>
        <v/>
      </c>
      <c r="D1843" s="4" t="str" cm="1">
        <f t="array" ref="D1843">IFERROR(INDEX(EmployeeData[Department], ROW() - 37), "")</f>
        <v/>
      </c>
      <c r="E1843" s="4" t="str" cm="1">
        <f t="array" ref="E1843">IFERROR(INDEX(EmployeeData[Gender], ROW() - 37), "")</f>
        <v/>
      </c>
      <c r="F1843" s="4" t="str" cm="1">
        <f t="array" ref="F1843">IFERROR(INDEX(EmployeeData[Age], ROW() - 37), "")</f>
        <v/>
      </c>
      <c r="G1843" s="6" t="str" cm="1">
        <f t="array" ref="G1843">IFERROR(INDEX(EmployeeData[Join Date], ROW() - 37), "")</f>
        <v/>
      </c>
      <c r="H1843" s="6" t="str" cm="1">
        <f t="array" ref="H1843">IFERROR(IF(INDEX(EmployeeData[Exit Date], ROW() - 37)=0, "",INDEX(EmployeeData[Exit Date], ROW() - 37)),"")</f>
        <v/>
      </c>
      <c r="I1843" s="4" t="str" cm="1">
        <f t="array" ref="I1843">IFERROR(IF(INDEX(EmployeeData[Exit Reason], ROW() - 37)=0, "",INDEX(EmployeeData[Exit Reason], ROW() - 37)),"")</f>
        <v/>
      </c>
      <c r="J1843" s="4" t="str" cm="1">
        <f t="array" ref="J1843">IFERROR(INDEX(EmployeeData[Status], ROW() - 37), "")</f>
        <v/>
      </c>
    </row>
    <row r="1844" spans="2:10" ht="19.95" customHeight="1" x14ac:dyDescent="0.3">
      <c r="B1844" s="4" t="str" cm="1">
        <f t="array" ref="B1844">IFERROR(INDEX(EmployeeData[Employee ID], ROW() - 37), "")</f>
        <v/>
      </c>
      <c r="C1844" s="4" t="str" cm="1">
        <f t="array" ref="C1844">IFERROR(INDEX(EmployeeData[Full Name], ROW() - 37), "")</f>
        <v/>
      </c>
      <c r="D1844" s="4" t="str" cm="1">
        <f t="array" ref="D1844">IFERROR(INDEX(EmployeeData[Department], ROW() - 37), "")</f>
        <v/>
      </c>
      <c r="E1844" s="4" t="str" cm="1">
        <f t="array" ref="E1844">IFERROR(INDEX(EmployeeData[Gender], ROW() - 37), "")</f>
        <v/>
      </c>
      <c r="F1844" s="4" t="str" cm="1">
        <f t="array" ref="F1844">IFERROR(INDEX(EmployeeData[Age], ROW() - 37), "")</f>
        <v/>
      </c>
      <c r="G1844" s="6" t="str" cm="1">
        <f t="array" ref="G1844">IFERROR(INDEX(EmployeeData[Join Date], ROW() - 37), "")</f>
        <v/>
      </c>
      <c r="H1844" s="6" t="str" cm="1">
        <f t="array" ref="H1844">IFERROR(IF(INDEX(EmployeeData[Exit Date], ROW() - 37)=0, "",INDEX(EmployeeData[Exit Date], ROW() - 37)),"")</f>
        <v/>
      </c>
      <c r="I1844" s="4" t="str" cm="1">
        <f t="array" ref="I1844">IFERROR(IF(INDEX(EmployeeData[Exit Reason], ROW() - 37)=0, "",INDEX(EmployeeData[Exit Reason], ROW() - 37)),"")</f>
        <v/>
      </c>
      <c r="J1844" s="4" t="str" cm="1">
        <f t="array" ref="J1844">IFERROR(INDEX(EmployeeData[Status], ROW() - 37), "")</f>
        <v/>
      </c>
    </row>
    <row r="1845" spans="2:10" ht="19.95" customHeight="1" x14ac:dyDescent="0.3">
      <c r="B1845" s="4" t="str" cm="1">
        <f t="array" ref="B1845">IFERROR(INDEX(EmployeeData[Employee ID], ROW() - 37), "")</f>
        <v/>
      </c>
      <c r="C1845" s="4" t="str" cm="1">
        <f t="array" ref="C1845">IFERROR(INDEX(EmployeeData[Full Name], ROW() - 37), "")</f>
        <v/>
      </c>
      <c r="D1845" s="4" t="str" cm="1">
        <f t="array" ref="D1845">IFERROR(INDEX(EmployeeData[Department], ROW() - 37), "")</f>
        <v/>
      </c>
      <c r="E1845" s="4" t="str" cm="1">
        <f t="array" ref="E1845">IFERROR(INDEX(EmployeeData[Gender], ROW() - 37), "")</f>
        <v/>
      </c>
      <c r="F1845" s="4" t="str" cm="1">
        <f t="array" ref="F1845">IFERROR(INDEX(EmployeeData[Age], ROW() - 37), "")</f>
        <v/>
      </c>
      <c r="G1845" s="6" t="str" cm="1">
        <f t="array" ref="G1845">IFERROR(INDEX(EmployeeData[Join Date], ROW() - 37), "")</f>
        <v/>
      </c>
      <c r="H1845" s="6" t="str" cm="1">
        <f t="array" ref="H1845">IFERROR(IF(INDEX(EmployeeData[Exit Date], ROW() - 37)=0, "",INDEX(EmployeeData[Exit Date], ROW() - 37)),"")</f>
        <v/>
      </c>
      <c r="I1845" s="4" t="str" cm="1">
        <f t="array" ref="I1845">IFERROR(IF(INDEX(EmployeeData[Exit Reason], ROW() - 37)=0, "",INDEX(EmployeeData[Exit Reason], ROW() - 37)),"")</f>
        <v/>
      </c>
      <c r="J1845" s="4" t="str" cm="1">
        <f t="array" ref="J1845">IFERROR(INDEX(EmployeeData[Status], ROW() - 37), "")</f>
        <v/>
      </c>
    </row>
    <row r="1846" spans="2:10" ht="19.95" customHeight="1" x14ac:dyDescent="0.3">
      <c r="B1846" s="4" t="str" cm="1">
        <f t="array" ref="B1846">IFERROR(INDEX(EmployeeData[Employee ID], ROW() - 37), "")</f>
        <v/>
      </c>
      <c r="C1846" s="4" t="str" cm="1">
        <f t="array" ref="C1846">IFERROR(INDEX(EmployeeData[Full Name], ROW() - 37), "")</f>
        <v/>
      </c>
      <c r="D1846" s="4" t="str" cm="1">
        <f t="array" ref="D1846">IFERROR(INDEX(EmployeeData[Department], ROW() - 37), "")</f>
        <v/>
      </c>
      <c r="E1846" s="4" t="str" cm="1">
        <f t="array" ref="E1846">IFERROR(INDEX(EmployeeData[Gender], ROW() - 37), "")</f>
        <v/>
      </c>
      <c r="F1846" s="4" t="str" cm="1">
        <f t="array" ref="F1846">IFERROR(INDEX(EmployeeData[Age], ROW() - 37), "")</f>
        <v/>
      </c>
      <c r="G1846" s="6" t="str" cm="1">
        <f t="array" ref="G1846">IFERROR(INDEX(EmployeeData[Join Date], ROW() - 37), "")</f>
        <v/>
      </c>
      <c r="H1846" s="6" t="str" cm="1">
        <f t="array" ref="H1846">IFERROR(IF(INDEX(EmployeeData[Exit Date], ROW() - 37)=0, "",INDEX(EmployeeData[Exit Date], ROW() - 37)),"")</f>
        <v/>
      </c>
      <c r="I1846" s="4" t="str" cm="1">
        <f t="array" ref="I1846">IFERROR(IF(INDEX(EmployeeData[Exit Reason], ROW() - 37)=0, "",INDEX(EmployeeData[Exit Reason], ROW() - 37)),"")</f>
        <v/>
      </c>
      <c r="J1846" s="4" t="str" cm="1">
        <f t="array" ref="J1846">IFERROR(INDEX(EmployeeData[Status], ROW() - 37), "")</f>
        <v/>
      </c>
    </row>
    <row r="1847" spans="2:10" ht="19.95" customHeight="1" x14ac:dyDescent="0.3">
      <c r="B1847" s="4" t="str" cm="1">
        <f t="array" ref="B1847">IFERROR(INDEX(EmployeeData[Employee ID], ROW() - 37), "")</f>
        <v/>
      </c>
      <c r="C1847" s="4" t="str" cm="1">
        <f t="array" ref="C1847">IFERROR(INDEX(EmployeeData[Full Name], ROW() - 37), "")</f>
        <v/>
      </c>
      <c r="D1847" s="4" t="str" cm="1">
        <f t="array" ref="D1847">IFERROR(INDEX(EmployeeData[Department], ROW() - 37), "")</f>
        <v/>
      </c>
      <c r="E1847" s="4" t="str" cm="1">
        <f t="array" ref="E1847">IFERROR(INDEX(EmployeeData[Gender], ROW() - 37), "")</f>
        <v/>
      </c>
      <c r="F1847" s="4" t="str" cm="1">
        <f t="array" ref="F1847">IFERROR(INDEX(EmployeeData[Age], ROW() - 37), "")</f>
        <v/>
      </c>
      <c r="G1847" s="6" t="str" cm="1">
        <f t="array" ref="G1847">IFERROR(INDEX(EmployeeData[Join Date], ROW() - 37), "")</f>
        <v/>
      </c>
      <c r="H1847" s="6" t="str" cm="1">
        <f t="array" ref="H1847">IFERROR(IF(INDEX(EmployeeData[Exit Date], ROW() - 37)=0, "",INDEX(EmployeeData[Exit Date], ROW() - 37)),"")</f>
        <v/>
      </c>
      <c r="I1847" s="4" t="str" cm="1">
        <f t="array" ref="I1847">IFERROR(IF(INDEX(EmployeeData[Exit Reason], ROW() - 37)=0, "",INDEX(EmployeeData[Exit Reason], ROW() - 37)),"")</f>
        <v/>
      </c>
      <c r="J1847" s="4" t="str" cm="1">
        <f t="array" ref="J1847">IFERROR(INDEX(EmployeeData[Status], ROW() - 37), "")</f>
        <v/>
      </c>
    </row>
    <row r="1848" spans="2:10" ht="19.95" customHeight="1" x14ac:dyDescent="0.3">
      <c r="B1848" s="4" t="str" cm="1">
        <f t="array" ref="B1848">IFERROR(INDEX(EmployeeData[Employee ID], ROW() - 37), "")</f>
        <v/>
      </c>
      <c r="C1848" s="4" t="str" cm="1">
        <f t="array" ref="C1848">IFERROR(INDEX(EmployeeData[Full Name], ROW() - 37), "")</f>
        <v/>
      </c>
      <c r="D1848" s="4" t="str" cm="1">
        <f t="array" ref="D1848">IFERROR(INDEX(EmployeeData[Department], ROW() - 37), "")</f>
        <v/>
      </c>
      <c r="E1848" s="4" t="str" cm="1">
        <f t="array" ref="E1848">IFERROR(INDEX(EmployeeData[Gender], ROW() - 37), "")</f>
        <v/>
      </c>
      <c r="F1848" s="4" t="str" cm="1">
        <f t="array" ref="F1848">IFERROR(INDEX(EmployeeData[Age], ROW() - 37), "")</f>
        <v/>
      </c>
      <c r="G1848" s="6" t="str" cm="1">
        <f t="array" ref="G1848">IFERROR(INDEX(EmployeeData[Join Date], ROW() - 37), "")</f>
        <v/>
      </c>
      <c r="H1848" s="6" t="str" cm="1">
        <f t="array" ref="H1848">IFERROR(IF(INDEX(EmployeeData[Exit Date], ROW() - 37)=0, "",INDEX(EmployeeData[Exit Date], ROW() - 37)),"")</f>
        <v/>
      </c>
      <c r="I1848" s="4" t="str" cm="1">
        <f t="array" ref="I1848">IFERROR(IF(INDEX(EmployeeData[Exit Reason], ROW() - 37)=0, "",INDEX(EmployeeData[Exit Reason], ROW() - 37)),"")</f>
        <v/>
      </c>
      <c r="J1848" s="4" t="str" cm="1">
        <f t="array" ref="J1848">IFERROR(INDEX(EmployeeData[Status], ROW() - 37), "")</f>
        <v/>
      </c>
    </row>
    <row r="1849" spans="2:10" ht="19.95" customHeight="1" x14ac:dyDescent="0.3">
      <c r="B1849" s="4" t="str" cm="1">
        <f t="array" ref="B1849">IFERROR(INDEX(EmployeeData[Employee ID], ROW() - 37), "")</f>
        <v/>
      </c>
      <c r="C1849" s="4" t="str" cm="1">
        <f t="array" ref="C1849">IFERROR(INDEX(EmployeeData[Full Name], ROW() - 37), "")</f>
        <v/>
      </c>
      <c r="D1849" s="4" t="str" cm="1">
        <f t="array" ref="D1849">IFERROR(INDEX(EmployeeData[Department], ROW() - 37), "")</f>
        <v/>
      </c>
      <c r="E1849" s="4" t="str" cm="1">
        <f t="array" ref="E1849">IFERROR(INDEX(EmployeeData[Gender], ROW() - 37), "")</f>
        <v/>
      </c>
      <c r="F1849" s="4" t="str" cm="1">
        <f t="array" ref="F1849">IFERROR(INDEX(EmployeeData[Age], ROW() - 37), "")</f>
        <v/>
      </c>
      <c r="G1849" s="6" t="str" cm="1">
        <f t="array" ref="G1849">IFERROR(INDEX(EmployeeData[Join Date], ROW() - 37), "")</f>
        <v/>
      </c>
      <c r="H1849" s="6" t="str" cm="1">
        <f t="array" ref="H1849">IFERROR(IF(INDEX(EmployeeData[Exit Date], ROW() - 37)=0, "",INDEX(EmployeeData[Exit Date], ROW() - 37)),"")</f>
        <v/>
      </c>
      <c r="I1849" s="4" t="str" cm="1">
        <f t="array" ref="I1849">IFERROR(IF(INDEX(EmployeeData[Exit Reason], ROW() - 37)=0, "",INDEX(EmployeeData[Exit Reason], ROW() - 37)),"")</f>
        <v/>
      </c>
      <c r="J1849" s="4" t="str" cm="1">
        <f t="array" ref="J1849">IFERROR(INDEX(EmployeeData[Status], ROW() - 37), "")</f>
        <v/>
      </c>
    </row>
    <row r="1850" spans="2:10" ht="19.95" customHeight="1" x14ac:dyDescent="0.3">
      <c r="B1850" s="4" t="str" cm="1">
        <f t="array" ref="B1850">IFERROR(INDEX(EmployeeData[Employee ID], ROW() - 37), "")</f>
        <v/>
      </c>
      <c r="C1850" s="4" t="str" cm="1">
        <f t="array" ref="C1850">IFERROR(INDEX(EmployeeData[Full Name], ROW() - 37), "")</f>
        <v/>
      </c>
      <c r="D1850" s="4" t="str" cm="1">
        <f t="array" ref="D1850">IFERROR(INDEX(EmployeeData[Department], ROW() - 37), "")</f>
        <v/>
      </c>
      <c r="E1850" s="4" t="str" cm="1">
        <f t="array" ref="E1850">IFERROR(INDEX(EmployeeData[Gender], ROW() - 37), "")</f>
        <v/>
      </c>
      <c r="F1850" s="4" t="str" cm="1">
        <f t="array" ref="F1850">IFERROR(INDEX(EmployeeData[Age], ROW() - 37), "")</f>
        <v/>
      </c>
      <c r="G1850" s="6" t="str" cm="1">
        <f t="array" ref="G1850">IFERROR(INDEX(EmployeeData[Join Date], ROW() - 37), "")</f>
        <v/>
      </c>
      <c r="H1850" s="6" t="str" cm="1">
        <f t="array" ref="H1850">IFERROR(IF(INDEX(EmployeeData[Exit Date], ROW() - 37)=0, "",INDEX(EmployeeData[Exit Date], ROW() - 37)),"")</f>
        <v/>
      </c>
      <c r="I1850" s="4" t="str" cm="1">
        <f t="array" ref="I1850">IFERROR(IF(INDEX(EmployeeData[Exit Reason], ROW() - 37)=0, "",INDEX(EmployeeData[Exit Reason], ROW() - 37)),"")</f>
        <v/>
      </c>
      <c r="J1850" s="4" t="str" cm="1">
        <f t="array" ref="J1850">IFERROR(INDEX(EmployeeData[Status], ROW() - 37), "")</f>
        <v/>
      </c>
    </row>
    <row r="1851" spans="2:10" ht="19.95" customHeight="1" x14ac:dyDescent="0.3">
      <c r="B1851" s="4" t="str" cm="1">
        <f t="array" ref="B1851">IFERROR(INDEX(EmployeeData[Employee ID], ROW() - 37), "")</f>
        <v/>
      </c>
      <c r="C1851" s="4" t="str" cm="1">
        <f t="array" ref="C1851">IFERROR(INDEX(EmployeeData[Full Name], ROW() - 37), "")</f>
        <v/>
      </c>
      <c r="D1851" s="4" t="str" cm="1">
        <f t="array" ref="D1851">IFERROR(INDEX(EmployeeData[Department], ROW() - 37), "")</f>
        <v/>
      </c>
      <c r="E1851" s="4" t="str" cm="1">
        <f t="array" ref="E1851">IFERROR(INDEX(EmployeeData[Gender], ROW() - 37), "")</f>
        <v/>
      </c>
      <c r="F1851" s="4" t="str" cm="1">
        <f t="array" ref="F1851">IFERROR(INDEX(EmployeeData[Age], ROW() - 37), "")</f>
        <v/>
      </c>
      <c r="G1851" s="6" t="str" cm="1">
        <f t="array" ref="G1851">IFERROR(INDEX(EmployeeData[Join Date], ROW() - 37), "")</f>
        <v/>
      </c>
      <c r="H1851" s="6" t="str" cm="1">
        <f t="array" ref="H1851">IFERROR(IF(INDEX(EmployeeData[Exit Date], ROW() - 37)=0, "",INDEX(EmployeeData[Exit Date], ROW() - 37)),"")</f>
        <v/>
      </c>
      <c r="I1851" s="4" t="str" cm="1">
        <f t="array" ref="I1851">IFERROR(IF(INDEX(EmployeeData[Exit Reason], ROW() - 37)=0, "",INDEX(EmployeeData[Exit Reason], ROW() - 37)),"")</f>
        <v/>
      </c>
      <c r="J1851" s="4" t="str" cm="1">
        <f t="array" ref="J1851">IFERROR(INDEX(EmployeeData[Status], ROW() - 37), "")</f>
        <v/>
      </c>
    </row>
    <row r="1852" spans="2:10" ht="19.95" customHeight="1" x14ac:dyDescent="0.3">
      <c r="B1852" s="4" t="str" cm="1">
        <f t="array" ref="B1852">IFERROR(INDEX(EmployeeData[Employee ID], ROW() - 37), "")</f>
        <v/>
      </c>
      <c r="C1852" s="4" t="str" cm="1">
        <f t="array" ref="C1852">IFERROR(INDEX(EmployeeData[Full Name], ROW() - 37), "")</f>
        <v/>
      </c>
      <c r="D1852" s="4" t="str" cm="1">
        <f t="array" ref="D1852">IFERROR(INDEX(EmployeeData[Department], ROW() - 37), "")</f>
        <v/>
      </c>
      <c r="E1852" s="4" t="str" cm="1">
        <f t="array" ref="E1852">IFERROR(INDEX(EmployeeData[Gender], ROW() - 37), "")</f>
        <v/>
      </c>
      <c r="F1852" s="4" t="str" cm="1">
        <f t="array" ref="F1852">IFERROR(INDEX(EmployeeData[Age], ROW() - 37), "")</f>
        <v/>
      </c>
      <c r="G1852" s="6" t="str" cm="1">
        <f t="array" ref="G1852">IFERROR(INDEX(EmployeeData[Join Date], ROW() - 37), "")</f>
        <v/>
      </c>
      <c r="H1852" s="6" t="str" cm="1">
        <f t="array" ref="H1852">IFERROR(IF(INDEX(EmployeeData[Exit Date], ROW() - 37)=0, "",INDEX(EmployeeData[Exit Date], ROW() - 37)),"")</f>
        <v/>
      </c>
      <c r="I1852" s="4" t="str" cm="1">
        <f t="array" ref="I1852">IFERROR(IF(INDEX(EmployeeData[Exit Reason], ROW() - 37)=0, "",INDEX(EmployeeData[Exit Reason], ROW() - 37)),"")</f>
        <v/>
      </c>
      <c r="J1852" s="4" t="str" cm="1">
        <f t="array" ref="J1852">IFERROR(INDEX(EmployeeData[Status], ROW() - 37), "")</f>
        <v/>
      </c>
    </row>
    <row r="1853" spans="2:10" ht="19.95" customHeight="1" x14ac:dyDescent="0.3">
      <c r="B1853" s="4" t="str" cm="1">
        <f t="array" ref="B1853">IFERROR(INDEX(EmployeeData[Employee ID], ROW() - 37), "")</f>
        <v/>
      </c>
      <c r="C1853" s="4" t="str" cm="1">
        <f t="array" ref="C1853">IFERROR(INDEX(EmployeeData[Full Name], ROW() - 37), "")</f>
        <v/>
      </c>
      <c r="D1853" s="4" t="str" cm="1">
        <f t="array" ref="D1853">IFERROR(INDEX(EmployeeData[Department], ROW() - 37), "")</f>
        <v/>
      </c>
      <c r="E1853" s="4" t="str" cm="1">
        <f t="array" ref="E1853">IFERROR(INDEX(EmployeeData[Gender], ROW() - 37), "")</f>
        <v/>
      </c>
      <c r="F1853" s="4" t="str" cm="1">
        <f t="array" ref="F1853">IFERROR(INDEX(EmployeeData[Age], ROW() - 37), "")</f>
        <v/>
      </c>
      <c r="G1853" s="6" t="str" cm="1">
        <f t="array" ref="G1853">IFERROR(INDEX(EmployeeData[Join Date], ROW() - 37), "")</f>
        <v/>
      </c>
      <c r="H1853" s="6" t="str" cm="1">
        <f t="array" ref="H1853">IFERROR(IF(INDEX(EmployeeData[Exit Date], ROW() - 37)=0, "",INDEX(EmployeeData[Exit Date], ROW() - 37)),"")</f>
        <v/>
      </c>
      <c r="I1853" s="4" t="str" cm="1">
        <f t="array" ref="I1853">IFERROR(IF(INDEX(EmployeeData[Exit Reason], ROW() - 37)=0, "",INDEX(EmployeeData[Exit Reason], ROW() - 37)),"")</f>
        <v/>
      </c>
      <c r="J1853" s="4" t="str" cm="1">
        <f t="array" ref="J1853">IFERROR(INDEX(EmployeeData[Status], ROW() - 37), "")</f>
        <v/>
      </c>
    </row>
    <row r="1854" spans="2:10" ht="19.95" customHeight="1" x14ac:dyDescent="0.3">
      <c r="B1854" s="4" t="str" cm="1">
        <f t="array" ref="B1854">IFERROR(INDEX(EmployeeData[Employee ID], ROW() - 37), "")</f>
        <v/>
      </c>
      <c r="C1854" s="4" t="str" cm="1">
        <f t="array" ref="C1854">IFERROR(INDEX(EmployeeData[Full Name], ROW() - 37), "")</f>
        <v/>
      </c>
      <c r="D1854" s="4" t="str" cm="1">
        <f t="array" ref="D1854">IFERROR(INDEX(EmployeeData[Department], ROW() - 37), "")</f>
        <v/>
      </c>
      <c r="E1854" s="4" t="str" cm="1">
        <f t="array" ref="E1854">IFERROR(INDEX(EmployeeData[Gender], ROW() - 37), "")</f>
        <v/>
      </c>
      <c r="F1854" s="4" t="str" cm="1">
        <f t="array" ref="F1854">IFERROR(INDEX(EmployeeData[Age], ROW() - 37), "")</f>
        <v/>
      </c>
      <c r="G1854" s="6" t="str" cm="1">
        <f t="array" ref="G1854">IFERROR(INDEX(EmployeeData[Join Date], ROW() - 37), "")</f>
        <v/>
      </c>
      <c r="H1854" s="6" t="str" cm="1">
        <f t="array" ref="H1854">IFERROR(IF(INDEX(EmployeeData[Exit Date], ROW() - 37)=0, "",INDEX(EmployeeData[Exit Date], ROW() - 37)),"")</f>
        <v/>
      </c>
      <c r="I1854" s="4" t="str" cm="1">
        <f t="array" ref="I1854">IFERROR(IF(INDEX(EmployeeData[Exit Reason], ROW() - 37)=0, "",INDEX(EmployeeData[Exit Reason], ROW() - 37)),"")</f>
        <v/>
      </c>
      <c r="J1854" s="4" t="str" cm="1">
        <f t="array" ref="J1854">IFERROR(INDEX(EmployeeData[Status], ROW() - 37), "")</f>
        <v/>
      </c>
    </row>
    <row r="1855" spans="2:10" ht="19.95" customHeight="1" x14ac:dyDescent="0.3">
      <c r="B1855" s="4" t="str" cm="1">
        <f t="array" ref="B1855">IFERROR(INDEX(EmployeeData[Employee ID], ROW() - 37), "")</f>
        <v/>
      </c>
      <c r="C1855" s="4" t="str" cm="1">
        <f t="array" ref="C1855">IFERROR(INDEX(EmployeeData[Full Name], ROW() - 37), "")</f>
        <v/>
      </c>
      <c r="D1855" s="4" t="str" cm="1">
        <f t="array" ref="D1855">IFERROR(INDEX(EmployeeData[Department], ROW() - 37), "")</f>
        <v/>
      </c>
      <c r="E1855" s="4" t="str" cm="1">
        <f t="array" ref="E1855">IFERROR(INDEX(EmployeeData[Gender], ROW() - 37), "")</f>
        <v/>
      </c>
      <c r="F1855" s="4" t="str" cm="1">
        <f t="array" ref="F1855">IFERROR(INDEX(EmployeeData[Age], ROW() - 37), "")</f>
        <v/>
      </c>
      <c r="G1855" s="6" t="str" cm="1">
        <f t="array" ref="G1855">IFERROR(INDEX(EmployeeData[Join Date], ROW() - 37), "")</f>
        <v/>
      </c>
      <c r="H1855" s="6" t="str" cm="1">
        <f t="array" ref="H1855">IFERROR(IF(INDEX(EmployeeData[Exit Date], ROW() - 37)=0, "",INDEX(EmployeeData[Exit Date], ROW() - 37)),"")</f>
        <v/>
      </c>
      <c r="I1855" s="4" t="str" cm="1">
        <f t="array" ref="I1855">IFERROR(IF(INDEX(EmployeeData[Exit Reason], ROW() - 37)=0, "",INDEX(EmployeeData[Exit Reason], ROW() - 37)),"")</f>
        <v/>
      </c>
      <c r="J1855" s="4" t="str" cm="1">
        <f t="array" ref="J1855">IFERROR(INDEX(EmployeeData[Status], ROW() - 37), "")</f>
        <v/>
      </c>
    </row>
    <row r="1856" spans="2:10" ht="19.95" customHeight="1" x14ac:dyDescent="0.3">
      <c r="B1856" s="4" t="str" cm="1">
        <f t="array" ref="B1856">IFERROR(INDEX(EmployeeData[Employee ID], ROW() - 37), "")</f>
        <v/>
      </c>
      <c r="C1856" s="4" t="str" cm="1">
        <f t="array" ref="C1856">IFERROR(INDEX(EmployeeData[Full Name], ROW() - 37), "")</f>
        <v/>
      </c>
      <c r="D1856" s="4" t="str" cm="1">
        <f t="array" ref="D1856">IFERROR(INDEX(EmployeeData[Department], ROW() - 37), "")</f>
        <v/>
      </c>
      <c r="E1856" s="4" t="str" cm="1">
        <f t="array" ref="E1856">IFERROR(INDEX(EmployeeData[Gender], ROW() - 37), "")</f>
        <v/>
      </c>
      <c r="F1856" s="4" t="str" cm="1">
        <f t="array" ref="F1856">IFERROR(INDEX(EmployeeData[Age], ROW() - 37), "")</f>
        <v/>
      </c>
      <c r="G1856" s="6" t="str" cm="1">
        <f t="array" ref="G1856">IFERROR(INDEX(EmployeeData[Join Date], ROW() - 37), "")</f>
        <v/>
      </c>
      <c r="H1856" s="6" t="str" cm="1">
        <f t="array" ref="H1856">IFERROR(IF(INDEX(EmployeeData[Exit Date], ROW() - 37)=0, "",INDEX(EmployeeData[Exit Date], ROW() - 37)),"")</f>
        <v/>
      </c>
      <c r="I1856" s="4" t="str" cm="1">
        <f t="array" ref="I1856">IFERROR(IF(INDEX(EmployeeData[Exit Reason], ROW() - 37)=0, "",INDEX(EmployeeData[Exit Reason], ROW() - 37)),"")</f>
        <v/>
      </c>
      <c r="J1856" s="4" t="str" cm="1">
        <f t="array" ref="J1856">IFERROR(INDEX(EmployeeData[Status], ROW() - 37), "")</f>
        <v/>
      </c>
    </row>
    <row r="1857" spans="2:10" ht="19.95" customHeight="1" x14ac:dyDescent="0.3">
      <c r="B1857" s="4" t="str" cm="1">
        <f t="array" ref="B1857">IFERROR(INDEX(EmployeeData[Employee ID], ROW() - 37), "")</f>
        <v/>
      </c>
      <c r="C1857" s="4" t="str" cm="1">
        <f t="array" ref="C1857">IFERROR(INDEX(EmployeeData[Full Name], ROW() - 37), "")</f>
        <v/>
      </c>
      <c r="D1857" s="4" t="str" cm="1">
        <f t="array" ref="D1857">IFERROR(INDEX(EmployeeData[Department], ROW() - 37), "")</f>
        <v/>
      </c>
      <c r="E1857" s="4" t="str" cm="1">
        <f t="array" ref="E1857">IFERROR(INDEX(EmployeeData[Gender], ROW() - 37), "")</f>
        <v/>
      </c>
      <c r="F1857" s="4" t="str" cm="1">
        <f t="array" ref="F1857">IFERROR(INDEX(EmployeeData[Age], ROW() - 37), "")</f>
        <v/>
      </c>
      <c r="G1857" s="6" t="str" cm="1">
        <f t="array" ref="G1857">IFERROR(INDEX(EmployeeData[Join Date], ROW() - 37), "")</f>
        <v/>
      </c>
      <c r="H1857" s="6" t="str" cm="1">
        <f t="array" ref="H1857">IFERROR(IF(INDEX(EmployeeData[Exit Date], ROW() - 37)=0, "",INDEX(EmployeeData[Exit Date], ROW() - 37)),"")</f>
        <v/>
      </c>
      <c r="I1857" s="4" t="str" cm="1">
        <f t="array" ref="I1857">IFERROR(IF(INDEX(EmployeeData[Exit Reason], ROW() - 37)=0, "",INDEX(EmployeeData[Exit Reason], ROW() - 37)),"")</f>
        <v/>
      </c>
      <c r="J1857" s="4" t="str" cm="1">
        <f t="array" ref="J1857">IFERROR(INDEX(EmployeeData[Status], ROW() - 37), "")</f>
        <v/>
      </c>
    </row>
    <row r="1858" spans="2:10" ht="19.95" customHeight="1" x14ac:dyDescent="0.3">
      <c r="B1858" s="4" t="str" cm="1">
        <f t="array" ref="B1858">IFERROR(INDEX(EmployeeData[Employee ID], ROW() - 37), "")</f>
        <v/>
      </c>
      <c r="C1858" s="4" t="str" cm="1">
        <f t="array" ref="C1858">IFERROR(INDEX(EmployeeData[Full Name], ROW() - 37), "")</f>
        <v/>
      </c>
      <c r="D1858" s="4" t="str" cm="1">
        <f t="array" ref="D1858">IFERROR(INDEX(EmployeeData[Department], ROW() - 37), "")</f>
        <v/>
      </c>
      <c r="E1858" s="4" t="str" cm="1">
        <f t="array" ref="E1858">IFERROR(INDEX(EmployeeData[Gender], ROW() - 37), "")</f>
        <v/>
      </c>
      <c r="F1858" s="4" t="str" cm="1">
        <f t="array" ref="F1858">IFERROR(INDEX(EmployeeData[Age], ROW() - 37), "")</f>
        <v/>
      </c>
      <c r="G1858" s="6" t="str" cm="1">
        <f t="array" ref="G1858">IFERROR(INDEX(EmployeeData[Join Date], ROW() - 37), "")</f>
        <v/>
      </c>
      <c r="H1858" s="6" t="str" cm="1">
        <f t="array" ref="H1858">IFERROR(IF(INDEX(EmployeeData[Exit Date], ROW() - 37)=0, "",INDEX(EmployeeData[Exit Date], ROW() - 37)),"")</f>
        <v/>
      </c>
      <c r="I1858" s="4" t="str" cm="1">
        <f t="array" ref="I1858">IFERROR(IF(INDEX(EmployeeData[Exit Reason], ROW() - 37)=0, "",INDEX(EmployeeData[Exit Reason], ROW() - 37)),"")</f>
        <v/>
      </c>
      <c r="J1858" s="4" t="str" cm="1">
        <f t="array" ref="J1858">IFERROR(INDEX(EmployeeData[Status], ROW() - 37), "")</f>
        <v/>
      </c>
    </row>
    <row r="1859" spans="2:10" ht="19.95" customHeight="1" x14ac:dyDescent="0.3">
      <c r="B1859" s="4" t="str" cm="1">
        <f t="array" ref="B1859">IFERROR(INDEX(EmployeeData[Employee ID], ROW() - 37), "")</f>
        <v/>
      </c>
      <c r="C1859" s="4" t="str" cm="1">
        <f t="array" ref="C1859">IFERROR(INDEX(EmployeeData[Full Name], ROW() - 37), "")</f>
        <v/>
      </c>
      <c r="D1859" s="4" t="str" cm="1">
        <f t="array" ref="D1859">IFERROR(INDEX(EmployeeData[Department], ROW() - 37), "")</f>
        <v/>
      </c>
      <c r="E1859" s="4" t="str" cm="1">
        <f t="array" ref="E1859">IFERROR(INDEX(EmployeeData[Gender], ROW() - 37), "")</f>
        <v/>
      </c>
      <c r="F1859" s="4" t="str" cm="1">
        <f t="array" ref="F1859">IFERROR(INDEX(EmployeeData[Age], ROW() - 37), "")</f>
        <v/>
      </c>
      <c r="G1859" s="6" t="str" cm="1">
        <f t="array" ref="G1859">IFERROR(INDEX(EmployeeData[Join Date], ROW() - 37), "")</f>
        <v/>
      </c>
      <c r="H1859" s="6" t="str" cm="1">
        <f t="array" ref="H1859">IFERROR(IF(INDEX(EmployeeData[Exit Date], ROW() - 37)=0, "",INDEX(EmployeeData[Exit Date], ROW() - 37)),"")</f>
        <v/>
      </c>
      <c r="I1859" s="4" t="str" cm="1">
        <f t="array" ref="I1859">IFERROR(IF(INDEX(EmployeeData[Exit Reason], ROW() - 37)=0, "",INDEX(EmployeeData[Exit Reason], ROW() - 37)),"")</f>
        <v/>
      </c>
      <c r="J1859" s="4" t="str" cm="1">
        <f t="array" ref="J1859">IFERROR(INDEX(EmployeeData[Status], ROW() - 37), "")</f>
        <v/>
      </c>
    </row>
    <row r="1860" spans="2:10" ht="19.95" customHeight="1" x14ac:dyDescent="0.3">
      <c r="B1860" s="4" t="str" cm="1">
        <f t="array" ref="B1860">IFERROR(INDEX(EmployeeData[Employee ID], ROW() - 37), "")</f>
        <v/>
      </c>
      <c r="C1860" s="4" t="str" cm="1">
        <f t="array" ref="C1860">IFERROR(INDEX(EmployeeData[Full Name], ROW() - 37), "")</f>
        <v/>
      </c>
      <c r="D1860" s="4" t="str" cm="1">
        <f t="array" ref="D1860">IFERROR(INDEX(EmployeeData[Department], ROW() - 37), "")</f>
        <v/>
      </c>
      <c r="E1860" s="4" t="str" cm="1">
        <f t="array" ref="E1860">IFERROR(INDEX(EmployeeData[Gender], ROW() - 37), "")</f>
        <v/>
      </c>
      <c r="F1860" s="4" t="str" cm="1">
        <f t="array" ref="F1860">IFERROR(INDEX(EmployeeData[Age], ROW() - 37), "")</f>
        <v/>
      </c>
      <c r="G1860" s="6" t="str" cm="1">
        <f t="array" ref="G1860">IFERROR(INDEX(EmployeeData[Join Date], ROW() - 37), "")</f>
        <v/>
      </c>
      <c r="H1860" s="6" t="str" cm="1">
        <f t="array" ref="H1860">IFERROR(IF(INDEX(EmployeeData[Exit Date], ROW() - 37)=0, "",INDEX(EmployeeData[Exit Date], ROW() - 37)),"")</f>
        <v/>
      </c>
      <c r="I1860" s="4" t="str" cm="1">
        <f t="array" ref="I1860">IFERROR(IF(INDEX(EmployeeData[Exit Reason], ROW() - 37)=0, "",INDEX(EmployeeData[Exit Reason], ROW() - 37)),"")</f>
        <v/>
      </c>
      <c r="J1860" s="4" t="str" cm="1">
        <f t="array" ref="J1860">IFERROR(INDEX(EmployeeData[Status], ROW() - 37), "")</f>
        <v/>
      </c>
    </row>
    <row r="1861" spans="2:10" ht="19.95" customHeight="1" x14ac:dyDescent="0.3">
      <c r="B1861" s="4" t="str" cm="1">
        <f t="array" ref="B1861">IFERROR(INDEX(EmployeeData[Employee ID], ROW() - 37), "")</f>
        <v/>
      </c>
      <c r="C1861" s="4" t="str" cm="1">
        <f t="array" ref="C1861">IFERROR(INDEX(EmployeeData[Full Name], ROW() - 37), "")</f>
        <v/>
      </c>
      <c r="D1861" s="4" t="str" cm="1">
        <f t="array" ref="D1861">IFERROR(INDEX(EmployeeData[Department], ROW() - 37), "")</f>
        <v/>
      </c>
      <c r="E1861" s="4" t="str" cm="1">
        <f t="array" ref="E1861">IFERROR(INDEX(EmployeeData[Gender], ROW() - 37), "")</f>
        <v/>
      </c>
      <c r="F1861" s="4" t="str" cm="1">
        <f t="array" ref="F1861">IFERROR(INDEX(EmployeeData[Age], ROW() - 37), "")</f>
        <v/>
      </c>
      <c r="G1861" s="6" t="str" cm="1">
        <f t="array" ref="G1861">IFERROR(INDEX(EmployeeData[Join Date], ROW() - 37), "")</f>
        <v/>
      </c>
      <c r="H1861" s="6" t="str" cm="1">
        <f t="array" ref="H1861">IFERROR(IF(INDEX(EmployeeData[Exit Date], ROW() - 37)=0, "",INDEX(EmployeeData[Exit Date], ROW() - 37)),"")</f>
        <v/>
      </c>
      <c r="I1861" s="4" t="str" cm="1">
        <f t="array" ref="I1861">IFERROR(IF(INDEX(EmployeeData[Exit Reason], ROW() - 37)=0, "",INDEX(EmployeeData[Exit Reason], ROW() - 37)),"")</f>
        <v/>
      </c>
      <c r="J1861" s="4" t="str" cm="1">
        <f t="array" ref="J1861">IFERROR(INDEX(EmployeeData[Status], ROW() - 37), "")</f>
        <v/>
      </c>
    </row>
    <row r="1862" spans="2:10" ht="19.95" customHeight="1" x14ac:dyDescent="0.3">
      <c r="B1862" s="4" t="str" cm="1">
        <f t="array" ref="B1862">IFERROR(INDEX(EmployeeData[Employee ID], ROW() - 37), "")</f>
        <v/>
      </c>
      <c r="C1862" s="4" t="str" cm="1">
        <f t="array" ref="C1862">IFERROR(INDEX(EmployeeData[Full Name], ROW() - 37), "")</f>
        <v/>
      </c>
      <c r="D1862" s="4" t="str" cm="1">
        <f t="array" ref="D1862">IFERROR(INDEX(EmployeeData[Department], ROW() - 37), "")</f>
        <v/>
      </c>
      <c r="E1862" s="4" t="str" cm="1">
        <f t="array" ref="E1862">IFERROR(INDEX(EmployeeData[Gender], ROW() - 37), "")</f>
        <v/>
      </c>
      <c r="F1862" s="4" t="str" cm="1">
        <f t="array" ref="F1862">IFERROR(INDEX(EmployeeData[Age], ROW() - 37), "")</f>
        <v/>
      </c>
      <c r="G1862" s="6" t="str" cm="1">
        <f t="array" ref="G1862">IFERROR(INDEX(EmployeeData[Join Date], ROW() - 37), "")</f>
        <v/>
      </c>
      <c r="H1862" s="6" t="str" cm="1">
        <f t="array" ref="H1862">IFERROR(IF(INDEX(EmployeeData[Exit Date], ROW() - 37)=0, "",INDEX(EmployeeData[Exit Date], ROW() - 37)),"")</f>
        <v/>
      </c>
      <c r="I1862" s="4" t="str" cm="1">
        <f t="array" ref="I1862">IFERROR(IF(INDEX(EmployeeData[Exit Reason], ROW() - 37)=0, "",INDEX(EmployeeData[Exit Reason], ROW() - 37)),"")</f>
        <v/>
      </c>
      <c r="J1862" s="4" t="str" cm="1">
        <f t="array" ref="J1862">IFERROR(INDEX(EmployeeData[Status], ROW() - 37), "")</f>
        <v/>
      </c>
    </row>
    <row r="1863" spans="2:10" ht="19.95" customHeight="1" x14ac:dyDescent="0.3">
      <c r="B1863" s="4" t="str" cm="1">
        <f t="array" ref="B1863">IFERROR(INDEX(EmployeeData[Employee ID], ROW() - 37), "")</f>
        <v/>
      </c>
      <c r="C1863" s="4" t="str" cm="1">
        <f t="array" ref="C1863">IFERROR(INDEX(EmployeeData[Full Name], ROW() - 37), "")</f>
        <v/>
      </c>
      <c r="D1863" s="4" t="str" cm="1">
        <f t="array" ref="D1863">IFERROR(INDEX(EmployeeData[Department], ROW() - 37), "")</f>
        <v/>
      </c>
      <c r="E1863" s="4" t="str" cm="1">
        <f t="array" ref="E1863">IFERROR(INDEX(EmployeeData[Gender], ROW() - 37), "")</f>
        <v/>
      </c>
      <c r="F1863" s="4" t="str" cm="1">
        <f t="array" ref="F1863">IFERROR(INDEX(EmployeeData[Age], ROW() - 37), "")</f>
        <v/>
      </c>
      <c r="G1863" s="6" t="str" cm="1">
        <f t="array" ref="G1863">IFERROR(INDEX(EmployeeData[Join Date], ROW() - 37), "")</f>
        <v/>
      </c>
      <c r="H1863" s="6" t="str" cm="1">
        <f t="array" ref="H1863">IFERROR(IF(INDEX(EmployeeData[Exit Date], ROW() - 37)=0, "",INDEX(EmployeeData[Exit Date], ROW() - 37)),"")</f>
        <v/>
      </c>
      <c r="I1863" s="4" t="str" cm="1">
        <f t="array" ref="I1863">IFERROR(IF(INDEX(EmployeeData[Exit Reason], ROW() - 37)=0, "",INDEX(EmployeeData[Exit Reason], ROW() - 37)),"")</f>
        <v/>
      </c>
      <c r="J1863" s="4" t="str" cm="1">
        <f t="array" ref="J1863">IFERROR(INDEX(EmployeeData[Status], ROW() - 37), "")</f>
        <v/>
      </c>
    </row>
    <row r="1864" spans="2:10" ht="19.95" customHeight="1" x14ac:dyDescent="0.3">
      <c r="B1864" s="4" t="str" cm="1">
        <f t="array" ref="B1864">IFERROR(INDEX(EmployeeData[Employee ID], ROW() - 37), "")</f>
        <v/>
      </c>
      <c r="C1864" s="4" t="str" cm="1">
        <f t="array" ref="C1864">IFERROR(INDEX(EmployeeData[Full Name], ROW() - 37), "")</f>
        <v/>
      </c>
      <c r="D1864" s="4" t="str" cm="1">
        <f t="array" ref="D1864">IFERROR(INDEX(EmployeeData[Department], ROW() - 37), "")</f>
        <v/>
      </c>
      <c r="E1864" s="4" t="str" cm="1">
        <f t="array" ref="E1864">IFERROR(INDEX(EmployeeData[Gender], ROW() - 37), "")</f>
        <v/>
      </c>
      <c r="F1864" s="4" t="str" cm="1">
        <f t="array" ref="F1864">IFERROR(INDEX(EmployeeData[Age], ROW() - 37), "")</f>
        <v/>
      </c>
      <c r="G1864" s="6" t="str" cm="1">
        <f t="array" ref="G1864">IFERROR(INDEX(EmployeeData[Join Date], ROW() - 37), "")</f>
        <v/>
      </c>
      <c r="H1864" s="6" t="str" cm="1">
        <f t="array" ref="H1864">IFERROR(IF(INDEX(EmployeeData[Exit Date], ROW() - 37)=0, "",INDEX(EmployeeData[Exit Date], ROW() - 37)),"")</f>
        <v/>
      </c>
      <c r="I1864" s="4" t="str" cm="1">
        <f t="array" ref="I1864">IFERROR(IF(INDEX(EmployeeData[Exit Reason], ROW() - 37)=0, "",INDEX(EmployeeData[Exit Reason], ROW() - 37)),"")</f>
        <v/>
      </c>
      <c r="J1864" s="4" t="str" cm="1">
        <f t="array" ref="J1864">IFERROR(INDEX(EmployeeData[Status], ROW() - 37), "")</f>
        <v/>
      </c>
    </row>
    <row r="1865" spans="2:10" ht="19.95" customHeight="1" x14ac:dyDescent="0.3">
      <c r="B1865" s="4" t="str" cm="1">
        <f t="array" ref="B1865">IFERROR(INDEX(EmployeeData[Employee ID], ROW() - 37), "")</f>
        <v/>
      </c>
      <c r="C1865" s="4" t="str" cm="1">
        <f t="array" ref="C1865">IFERROR(INDEX(EmployeeData[Full Name], ROW() - 37), "")</f>
        <v/>
      </c>
      <c r="D1865" s="4" t="str" cm="1">
        <f t="array" ref="D1865">IFERROR(INDEX(EmployeeData[Department], ROW() - 37), "")</f>
        <v/>
      </c>
      <c r="E1865" s="4" t="str" cm="1">
        <f t="array" ref="E1865">IFERROR(INDEX(EmployeeData[Gender], ROW() - 37), "")</f>
        <v/>
      </c>
      <c r="F1865" s="4" t="str" cm="1">
        <f t="array" ref="F1865">IFERROR(INDEX(EmployeeData[Age], ROW() - 37), "")</f>
        <v/>
      </c>
      <c r="G1865" s="6" t="str" cm="1">
        <f t="array" ref="G1865">IFERROR(INDEX(EmployeeData[Join Date], ROW() - 37), "")</f>
        <v/>
      </c>
      <c r="H1865" s="6" t="str" cm="1">
        <f t="array" ref="H1865">IFERROR(IF(INDEX(EmployeeData[Exit Date], ROW() - 37)=0, "",INDEX(EmployeeData[Exit Date], ROW() - 37)),"")</f>
        <v/>
      </c>
      <c r="I1865" s="4" t="str" cm="1">
        <f t="array" ref="I1865">IFERROR(IF(INDEX(EmployeeData[Exit Reason], ROW() - 37)=0, "",INDEX(EmployeeData[Exit Reason], ROW() - 37)),"")</f>
        <v/>
      </c>
      <c r="J1865" s="4" t="str" cm="1">
        <f t="array" ref="J1865">IFERROR(INDEX(EmployeeData[Status], ROW() - 37), "")</f>
        <v/>
      </c>
    </row>
    <row r="1866" spans="2:10" ht="19.95" customHeight="1" x14ac:dyDescent="0.3">
      <c r="B1866" s="4" t="str" cm="1">
        <f t="array" ref="B1866">IFERROR(INDEX(EmployeeData[Employee ID], ROW() - 37), "")</f>
        <v/>
      </c>
      <c r="C1866" s="4" t="str" cm="1">
        <f t="array" ref="C1866">IFERROR(INDEX(EmployeeData[Full Name], ROW() - 37), "")</f>
        <v/>
      </c>
      <c r="D1866" s="4" t="str" cm="1">
        <f t="array" ref="D1866">IFERROR(INDEX(EmployeeData[Department], ROW() - 37), "")</f>
        <v/>
      </c>
      <c r="E1866" s="4" t="str" cm="1">
        <f t="array" ref="E1866">IFERROR(INDEX(EmployeeData[Gender], ROW() - 37), "")</f>
        <v/>
      </c>
      <c r="F1866" s="4" t="str" cm="1">
        <f t="array" ref="F1866">IFERROR(INDEX(EmployeeData[Age], ROW() - 37), "")</f>
        <v/>
      </c>
      <c r="G1866" s="6" t="str" cm="1">
        <f t="array" ref="G1866">IFERROR(INDEX(EmployeeData[Join Date], ROW() - 37), "")</f>
        <v/>
      </c>
      <c r="H1866" s="6" t="str" cm="1">
        <f t="array" ref="H1866">IFERROR(IF(INDEX(EmployeeData[Exit Date], ROW() - 37)=0, "",INDEX(EmployeeData[Exit Date], ROW() - 37)),"")</f>
        <v/>
      </c>
      <c r="I1866" s="4" t="str" cm="1">
        <f t="array" ref="I1866">IFERROR(IF(INDEX(EmployeeData[Exit Reason], ROW() - 37)=0, "",INDEX(EmployeeData[Exit Reason], ROW() - 37)),"")</f>
        <v/>
      </c>
      <c r="J1866" s="4" t="str" cm="1">
        <f t="array" ref="J1866">IFERROR(INDEX(EmployeeData[Status], ROW() - 37), "")</f>
        <v/>
      </c>
    </row>
    <row r="1867" spans="2:10" ht="19.95" customHeight="1" x14ac:dyDescent="0.3">
      <c r="B1867" s="4" t="str" cm="1">
        <f t="array" ref="B1867">IFERROR(INDEX(EmployeeData[Employee ID], ROW() - 37), "")</f>
        <v/>
      </c>
      <c r="C1867" s="4" t="str" cm="1">
        <f t="array" ref="C1867">IFERROR(INDEX(EmployeeData[Full Name], ROW() - 37), "")</f>
        <v/>
      </c>
      <c r="D1867" s="4" t="str" cm="1">
        <f t="array" ref="D1867">IFERROR(INDEX(EmployeeData[Department], ROW() - 37), "")</f>
        <v/>
      </c>
      <c r="E1867" s="4" t="str" cm="1">
        <f t="array" ref="E1867">IFERROR(INDEX(EmployeeData[Gender], ROW() - 37), "")</f>
        <v/>
      </c>
      <c r="F1867" s="4" t="str" cm="1">
        <f t="array" ref="F1867">IFERROR(INDEX(EmployeeData[Age], ROW() - 37), "")</f>
        <v/>
      </c>
      <c r="G1867" s="6" t="str" cm="1">
        <f t="array" ref="G1867">IFERROR(INDEX(EmployeeData[Join Date], ROW() - 37), "")</f>
        <v/>
      </c>
      <c r="H1867" s="6" t="str" cm="1">
        <f t="array" ref="H1867">IFERROR(IF(INDEX(EmployeeData[Exit Date], ROW() - 37)=0, "",INDEX(EmployeeData[Exit Date], ROW() - 37)),"")</f>
        <v/>
      </c>
      <c r="I1867" s="4" t="str" cm="1">
        <f t="array" ref="I1867">IFERROR(IF(INDEX(EmployeeData[Exit Reason], ROW() - 37)=0, "",INDEX(EmployeeData[Exit Reason], ROW() - 37)),"")</f>
        <v/>
      </c>
      <c r="J1867" s="4" t="str" cm="1">
        <f t="array" ref="J1867">IFERROR(INDEX(EmployeeData[Status], ROW() - 37), "")</f>
        <v/>
      </c>
    </row>
    <row r="1868" spans="2:10" ht="19.95" customHeight="1" x14ac:dyDescent="0.3">
      <c r="B1868" s="4" t="str" cm="1">
        <f t="array" ref="B1868">IFERROR(INDEX(EmployeeData[Employee ID], ROW() - 37), "")</f>
        <v/>
      </c>
      <c r="C1868" s="4" t="str" cm="1">
        <f t="array" ref="C1868">IFERROR(INDEX(EmployeeData[Full Name], ROW() - 37), "")</f>
        <v/>
      </c>
      <c r="D1868" s="4" t="str" cm="1">
        <f t="array" ref="D1868">IFERROR(INDEX(EmployeeData[Department], ROW() - 37), "")</f>
        <v/>
      </c>
      <c r="E1868" s="4" t="str" cm="1">
        <f t="array" ref="E1868">IFERROR(INDEX(EmployeeData[Gender], ROW() - 37), "")</f>
        <v/>
      </c>
      <c r="F1868" s="4" t="str" cm="1">
        <f t="array" ref="F1868">IFERROR(INDEX(EmployeeData[Age], ROW() - 37), "")</f>
        <v/>
      </c>
      <c r="G1868" s="6" t="str" cm="1">
        <f t="array" ref="G1868">IFERROR(INDEX(EmployeeData[Join Date], ROW() - 37), "")</f>
        <v/>
      </c>
      <c r="H1868" s="6" t="str" cm="1">
        <f t="array" ref="H1868">IFERROR(IF(INDEX(EmployeeData[Exit Date], ROW() - 37)=0, "",INDEX(EmployeeData[Exit Date], ROW() - 37)),"")</f>
        <v/>
      </c>
      <c r="I1868" s="4" t="str" cm="1">
        <f t="array" ref="I1868">IFERROR(IF(INDEX(EmployeeData[Exit Reason], ROW() - 37)=0, "",INDEX(EmployeeData[Exit Reason], ROW() - 37)),"")</f>
        <v/>
      </c>
      <c r="J1868" s="4" t="str" cm="1">
        <f t="array" ref="J1868">IFERROR(INDEX(EmployeeData[Status], ROW() - 37), "")</f>
        <v/>
      </c>
    </row>
    <row r="1869" spans="2:10" ht="19.95" customHeight="1" x14ac:dyDescent="0.3">
      <c r="B1869" s="4" t="str" cm="1">
        <f t="array" ref="B1869">IFERROR(INDEX(EmployeeData[Employee ID], ROW() - 37), "")</f>
        <v/>
      </c>
      <c r="C1869" s="4" t="str" cm="1">
        <f t="array" ref="C1869">IFERROR(INDEX(EmployeeData[Full Name], ROW() - 37), "")</f>
        <v/>
      </c>
      <c r="D1869" s="4" t="str" cm="1">
        <f t="array" ref="D1869">IFERROR(INDEX(EmployeeData[Department], ROW() - 37), "")</f>
        <v/>
      </c>
      <c r="E1869" s="4" t="str" cm="1">
        <f t="array" ref="E1869">IFERROR(INDEX(EmployeeData[Gender], ROW() - 37), "")</f>
        <v/>
      </c>
      <c r="F1869" s="4" t="str" cm="1">
        <f t="array" ref="F1869">IFERROR(INDEX(EmployeeData[Age], ROW() - 37), "")</f>
        <v/>
      </c>
      <c r="G1869" s="6" t="str" cm="1">
        <f t="array" ref="G1869">IFERROR(INDEX(EmployeeData[Join Date], ROW() - 37), "")</f>
        <v/>
      </c>
      <c r="H1869" s="6" t="str" cm="1">
        <f t="array" ref="H1869">IFERROR(IF(INDEX(EmployeeData[Exit Date], ROW() - 37)=0, "",INDEX(EmployeeData[Exit Date], ROW() - 37)),"")</f>
        <v/>
      </c>
      <c r="I1869" s="4" t="str" cm="1">
        <f t="array" ref="I1869">IFERROR(IF(INDEX(EmployeeData[Exit Reason], ROW() - 37)=0, "",INDEX(EmployeeData[Exit Reason], ROW() - 37)),"")</f>
        <v/>
      </c>
      <c r="J1869" s="4" t="str" cm="1">
        <f t="array" ref="J1869">IFERROR(INDEX(EmployeeData[Status], ROW() - 37), "")</f>
        <v/>
      </c>
    </row>
    <row r="1870" spans="2:10" ht="19.95" customHeight="1" x14ac:dyDescent="0.3">
      <c r="B1870" s="4" t="str" cm="1">
        <f t="array" ref="B1870">IFERROR(INDEX(EmployeeData[Employee ID], ROW() - 37), "")</f>
        <v/>
      </c>
      <c r="C1870" s="4" t="str" cm="1">
        <f t="array" ref="C1870">IFERROR(INDEX(EmployeeData[Full Name], ROW() - 37), "")</f>
        <v/>
      </c>
      <c r="D1870" s="4" t="str" cm="1">
        <f t="array" ref="D1870">IFERROR(INDEX(EmployeeData[Department], ROW() - 37), "")</f>
        <v/>
      </c>
      <c r="E1870" s="4" t="str" cm="1">
        <f t="array" ref="E1870">IFERROR(INDEX(EmployeeData[Gender], ROW() - 37), "")</f>
        <v/>
      </c>
      <c r="F1870" s="4" t="str" cm="1">
        <f t="array" ref="F1870">IFERROR(INDEX(EmployeeData[Age], ROW() - 37), "")</f>
        <v/>
      </c>
      <c r="G1870" s="6" t="str" cm="1">
        <f t="array" ref="G1870">IFERROR(INDEX(EmployeeData[Join Date], ROW() - 37), "")</f>
        <v/>
      </c>
      <c r="H1870" s="6" t="str" cm="1">
        <f t="array" ref="H1870">IFERROR(IF(INDEX(EmployeeData[Exit Date], ROW() - 37)=0, "",INDEX(EmployeeData[Exit Date], ROW() - 37)),"")</f>
        <v/>
      </c>
      <c r="I1870" s="4" t="str" cm="1">
        <f t="array" ref="I1870">IFERROR(IF(INDEX(EmployeeData[Exit Reason], ROW() - 37)=0, "",INDEX(EmployeeData[Exit Reason], ROW() - 37)),"")</f>
        <v/>
      </c>
      <c r="J1870" s="4" t="str" cm="1">
        <f t="array" ref="J1870">IFERROR(INDEX(EmployeeData[Status], ROW() - 37), "")</f>
        <v/>
      </c>
    </row>
    <row r="1871" spans="2:10" ht="19.95" customHeight="1" x14ac:dyDescent="0.3">
      <c r="B1871" s="4" t="str" cm="1">
        <f t="array" ref="B1871">IFERROR(INDEX(EmployeeData[Employee ID], ROW() - 37), "")</f>
        <v/>
      </c>
      <c r="C1871" s="4" t="str" cm="1">
        <f t="array" ref="C1871">IFERROR(INDEX(EmployeeData[Full Name], ROW() - 37), "")</f>
        <v/>
      </c>
      <c r="D1871" s="4" t="str" cm="1">
        <f t="array" ref="D1871">IFERROR(INDEX(EmployeeData[Department], ROW() - 37), "")</f>
        <v/>
      </c>
      <c r="E1871" s="4" t="str" cm="1">
        <f t="array" ref="E1871">IFERROR(INDEX(EmployeeData[Gender], ROW() - 37), "")</f>
        <v/>
      </c>
      <c r="F1871" s="4" t="str" cm="1">
        <f t="array" ref="F1871">IFERROR(INDEX(EmployeeData[Age], ROW() - 37), "")</f>
        <v/>
      </c>
      <c r="G1871" s="6" t="str" cm="1">
        <f t="array" ref="G1871">IFERROR(INDEX(EmployeeData[Join Date], ROW() - 37), "")</f>
        <v/>
      </c>
      <c r="H1871" s="6" t="str" cm="1">
        <f t="array" ref="H1871">IFERROR(IF(INDEX(EmployeeData[Exit Date], ROW() - 37)=0, "",INDEX(EmployeeData[Exit Date], ROW() - 37)),"")</f>
        <v/>
      </c>
      <c r="I1871" s="4" t="str" cm="1">
        <f t="array" ref="I1871">IFERROR(IF(INDEX(EmployeeData[Exit Reason], ROW() - 37)=0, "",INDEX(EmployeeData[Exit Reason], ROW() - 37)),"")</f>
        <v/>
      </c>
      <c r="J1871" s="4" t="str" cm="1">
        <f t="array" ref="J1871">IFERROR(INDEX(EmployeeData[Status], ROW() - 37), "")</f>
        <v/>
      </c>
    </row>
    <row r="1872" spans="2:10" ht="19.95" customHeight="1" x14ac:dyDescent="0.3">
      <c r="B1872" s="4" t="str" cm="1">
        <f t="array" ref="B1872">IFERROR(INDEX(EmployeeData[Employee ID], ROW() - 37), "")</f>
        <v/>
      </c>
      <c r="C1872" s="4" t="str" cm="1">
        <f t="array" ref="C1872">IFERROR(INDEX(EmployeeData[Full Name], ROW() - 37), "")</f>
        <v/>
      </c>
      <c r="D1872" s="4" t="str" cm="1">
        <f t="array" ref="D1872">IFERROR(INDEX(EmployeeData[Department], ROW() - 37), "")</f>
        <v/>
      </c>
      <c r="E1872" s="4" t="str" cm="1">
        <f t="array" ref="E1872">IFERROR(INDEX(EmployeeData[Gender], ROW() - 37), "")</f>
        <v/>
      </c>
      <c r="F1872" s="4" t="str" cm="1">
        <f t="array" ref="F1872">IFERROR(INDEX(EmployeeData[Age], ROW() - 37), "")</f>
        <v/>
      </c>
      <c r="G1872" s="6" t="str" cm="1">
        <f t="array" ref="G1872">IFERROR(INDEX(EmployeeData[Join Date], ROW() - 37), "")</f>
        <v/>
      </c>
      <c r="H1872" s="6" t="str" cm="1">
        <f t="array" ref="H1872">IFERROR(IF(INDEX(EmployeeData[Exit Date], ROW() - 37)=0, "",INDEX(EmployeeData[Exit Date], ROW() - 37)),"")</f>
        <v/>
      </c>
      <c r="I1872" s="4" t="str" cm="1">
        <f t="array" ref="I1872">IFERROR(IF(INDEX(EmployeeData[Exit Reason], ROW() - 37)=0, "",INDEX(EmployeeData[Exit Reason], ROW() - 37)),"")</f>
        <v/>
      </c>
      <c r="J1872" s="4" t="str" cm="1">
        <f t="array" ref="J1872">IFERROR(INDEX(EmployeeData[Status], ROW() - 37), "")</f>
        <v/>
      </c>
    </row>
    <row r="1873" spans="2:10" ht="19.95" customHeight="1" x14ac:dyDescent="0.3">
      <c r="B1873" s="4" t="str" cm="1">
        <f t="array" ref="B1873">IFERROR(INDEX(EmployeeData[Employee ID], ROW() - 37), "")</f>
        <v/>
      </c>
      <c r="C1873" s="4" t="str" cm="1">
        <f t="array" ref="C1873">IFERROR(INDEX(EmployeeData[Full Name], ROW() - 37), "")</f>
        <v/>
      </c>
      <c r="D1873" s="4" t="str" cm="1">
        <f t="array" ref="D1873">IFERROR(INDEX(EmployeeData[Department], ROW() - 37), "")</f>
        <v/>
      </c>
      <c r="E1873" s="4" t="str" cm="1">
        <f t="array" ref="E1873">IFERROR(INDEX(EmployeeData[Gender], ROW() - 37), "")</f>
        <v/>
      </c>
      <c r="F1873" s="4" t="str" cm="1">
        <f t="array" ref="F1873">IFERROR(INDEX(EmployeeData[Age], ROW() - 37), "")</f>
        <v/>
      </c>
      <c r="G1873" s="6" t="str" cm="1">
        <f t="array" ref="G1873">IFERROR(INDEX(EmployeeData[Join Date], ROW() - 37), "")</f>
        <v/>
      </c>
      <c r="H1873" s="6" t="str" cm="1">
        <f t="array" ref="H1873">IFERROR(IF(INDEX(EmployeeData[Exit Date], ROW() - 37)=0, "",INDEX(EmployeeData[Exit Date], ROW() - 37)),"")</f>
        <v/>
      </c>
      <c r="I1873" s="4" t="str" cm="1">
        <f t="array" ref="I1873">IFERROR(IF(INDEX(EmployeeData[Exit Reason], ROW() - 37)=0, "",INDEX(EmployeeData[Exit Reason], ROW() - 37)),"")</f>
        <v/>
      </c>
      <c r="J1873" s="4" t="str" cm="1">
        <f t="array" ref="J1873">IFERROR(INDEX(EmployeeData[Status], ROW() - 37), "")</f>
        <v/>
      </c>
    </row>
    <row r="1874" spans="2:10" ht="19.95" customHeight="1" x14ac:dyDescent="0.3">
      <c r="B1874" s="4" t="str" cm="1">
        <f t="array" ref="B1874">IFERROR(INDEX(EmployeeData[Employee ID], ROW() - 37), "")</f>
        <v/>
      </c>
      <c r="C1874" s="4" t="str" cm="1">
        <f t="array" ref="C1874">IFERROR(INDEX(EmployeeData[Full Name], ROW() - 37), "")</f>
        <v/>
      </c>
      <c r="D1874" s="4" t="str" cm="1">
        <f t="array" ref="D1874">IFERROR(INDEX(EmployeeData[Department], ROW() - 37), "")</f>
        <v/>
      </c>
      <c r="E1874" s="4" t="str" cm="1">
        <f t="array" ref="E1874">IFERROR(INDEX(EmployeeData[Gender], ROW() - 37), "")</f>
        <v/>
      </c>
      <c r="F1874" s="4" t="str" cm="1">
        <f t="array" ref="F1874">IFERROR(INDEX(EmployeeData[Age], ROW() - 37), "")</f>
        <v/>
      </c>
      <c r="G1874" s="6" t="str" cm="1">
        <f t="array" ref="G1874">IFERROR(INDEX(EmployeeData[Join Date], ROW() - 37), "")</f>
        <v/>
      </c>
      <c r="H1874" s="6" t="str" cm="1">
        <f t="array" ref="H1874">IFERROR(IF(INDEX(EmployeeData[Exit Date], ROW() - 37)=0, "",INDEX(EmployeeData[Exit Date], ROW() - 37)),"")</f>
        <v/>
      </c>
      <c r="I1874" s="4" t="str" cm="1">
        <f t="array" ref="I1874">IFERROR(IF(INDEX(EmployeeData[Exit Reason], ROW() - 37)=0, "",INDEX(EmployeeData[Exit Reason], ROW() - 37)),"")</f>
        <v/>
      </c>
      <c r="J1874" s="4" t="str" cm="1">
        <f t="array" ref="J1874">IFERROR(INDEX(EmployeeData[Status], ROW() - 37), "")</f>
        <v/>
      </c>
    </row>
    <row r="1875" spans="2:10" ht="19.95" customHeight="1" x14ac:dyDescent="0.3">
      <c r="B1875" s="4" t="str" cm="1">
        <f t="array" ref="B1875">IFERROR(INDEX(EmployeeData[Employee ID], ROW() - 37), "")</f>
        <v/>
      </c>
      <c r="C1875" s="4" t="str" cm="1">
        <f t="array" ref="C1875">IFERROR(INDEX(EmployeeData[Full Name], ROW() - 37), "")</f>
        <v/>
      </c>
      <c r="D1875" s="4" t="str" cm="1">
        <f t="array" ref="D1875">IFERROR(INDEX(EmployeeData[Department], ROW() - 37), "")</f>
        <v/>
      </c>
      <c r="E1875" s="4" t="str" cm="1">
        <f t="array" ref="E1875">IFERROR(INDEX(EmployeeData[Gender], ROW() - 37), "")</f>
        <v/>
      </c>
      <c r="F1875" s="4" t="str" cm="1">
        <f t="array" ref="F1875">IFERROR(INDEX(EmployeeData[Age], ROW() - 37), "")</f>
        <v/>
      </c>
      <c r="G1875" s="6" t="str" cm="1">
        <f t="array" ref="G1875">IFERROR(INDEX(EmployeeData[Join Date], ROW() - 37), "")</f>
        <v/>
      </c>
      <c r="H1875" s="6" t="str" cm="1">
        <f t="array" ref="H1875">IFERROR(IF(INDEX(EmployeeData[Exit Date], ROW() - 37)=0, "",INDEX(EmployeeData[Exit Date], ROW() - 37)),"")</f>
        <v/>
      </c>
      <c r="I1875" s="4" t="str" cm="1">
        <f t="array" ref="I1875">IFERROR(IF(INDEX(EmployeeData[Exit Reason], ROW() - 37)=0, "",INDEX(EmployeeData[Exit Reason], ROW() - 37)),"")</f>
        <v/>
      </c>
      <c r="J1875" s="4" t="str" cm="1">
        <f t="array" ref="J1875">IFERROR(INDEX(EmployeeData[Status], ROW() - 37), "")</f>
        <v/>
      </c>
    </row>
    <row r="1876" spans="2:10" ht="19.95" customHeight="1" x14ac:dyDescent="0.3">
      <c r="B1876" s="4" t="str" cm="1">
        <f t="array" ref="B1876">IFERROR(INDEX(EmployeeData[Employee ID], ROW() - 37), "")</f>
        <v/>
      </c>
      <c r="C1876" s="4" t="str" cm="1">
        <f t="array" ref="C1876">IFERROR(INDEX(EmployeeData[Full Name], ROW() - 37), "")</f>
        <v/>
      </c>
      <c r="D1876" s="4" t="str" cm="1">
        <f t="array" ref="D1876">IFERROR(INDEX(EmployeeData[Department], ROW() - 37), "")</f>
        <v/>
      </c>
      <c r="E1876" s="4" t="str" cm="1">
        <f t="array" ref="E1876">IFERROR(INDEX(EmployeeData[Gender], ROW() - 37), "")</f>
        <v/>
      </c>
      <c r="F1876" s="4" t="str" cm="1">
        <f t="array" ref="F1876">IFERROR(INDEX(EmployeeData[Age], ROW() - 37), "")</f>
        <v/>
      </c>
      <c r="G1876" s="6" t="str" cm="1">
        <f t="array" ref="G1876">IFERROR(INDEX(EmployeeData[Join Date], ROW() - 37), "")</f>
        <v/>
      </c>
      <c r="H1876" s="6" t="str" cm="1">
        <f t="array" ref="H1876">IFERROR(IF(INDEX(EmployeeData[Exit Date], ROW() - 37)=0, "",INDEX(EmployeeData[Exit Date], ROW() - 37)),"")</f>
        <v/>
      </c>
      <c r="I1876" s="4" t="str" cm="1">
        <f t="array" ref="I1876">IFERROR(IF(INDEX(EmployeeData[Exit Reason], ROW() - 37)=0, "",INDEX(EmployeeData[Exit Reason], ROW() - 37)),"")</f>
        <v/>
      </c>
      <c r="J1876" s="4" t="str" cm="1">
        <f t="array" ref="J1876">IFERROR(INDEX(EmployeeData[Status], ROW() - 37), "")</f>
        <v/>
      </c>
    </row>
    <row r="1877" spans="2:10" ht="19.95" customHeight="1" x14ac:dyDescent="0.3">
      <c r="B1877" s="4" t="str" cm="1">
        <f t="array" ref="B1877">IFERROR(INDEX(EmployeeData[Employee ID], ROW() - 37), "")</f>
        <v/>
      </c>
      <c r="C1877" s="4" t="str" cm="1">
        <f t="array" ref="C1877">IFERROR(INDEX(EmployeeData[Full Name], ROW() - 37), "")</f>
        <v/>
      </c>
      <c r="D1877" s="4" t="str" cm="1">
        <f t="array" ref="D1877">IFERROR(INDEX(EmployeeData[Department], ROW() - 37), "")</f>
        <v/>
      </c>
      <c r="E1877" s="4" t="str" cm="1">
        <f t="array" ref="E1877">IFERROR(INDEX(EmployeeData[Gender], ROW() - 37), "")</f>
        <v/>
      </c>
      <c r="F1877" s="4" t="str" cm="1">
        <f t="array" ref="F1877">IFERROR(INDEX(EmployeeData[Age], ROW() - 37), "")</f>
        <v/>
      </c>
      <c r="G1877" s="6" t="str" cm="1">
        <f t="array" ref="G1877">IFERROR(INDEX(EmployeeData[Join Date], ROW() - 37), "")</f>
        <v/>
      </c>
      <c r="H1877" s="6" t="str" cm="1">
        <f t="array" ref="H1877">IFERROR(IF(INDEX(EmployeeData[Exit Date], ROW() - 37)=0, "",INDEX(EmployeeData[Exit Date], ROW() - 37)),"")</f>
        <v/>
      </c>
      <c r="I1877" s="4" t="str" cm="1">
        <f t="array" ref="I1877">IFERROR(IF(INDEX(EmployeeData[Exit Reason], ROW() - 37)=0, "",INDEX(EmployeeData[Exit Reason], ROW() - 37)),"")</f>
        <v/>
      </c>
      <c r="J1877" s="4" t="str" cm="1">
        <f t="array" ref="J1877">IFERROR(INDEX(EmployeeData[Status], ROW() - 37), "")</f>
        <v/>
      </c>
    </row>
    <row r="1878" spans="2:10" ht="19.95" customHeight="1" x14ac:dyDescent="0.3">
      <c r="B1878" s="4" t="str" cm="1">
        <f t="array" ref="B1878">IFERROR(INDEX(EmployeeData[Employee ID], ROW() - 37), "")</f>
        <v/>
      </c>
      <c r="C1878" s="4" t="str" cm="1">
        <f t="array" ref="C1878">IFERROR(INDEX(EmployeeData[Full Name], ROW() - 37), "")</f>
        <v/>
      </c>
      <c r="D1878" s="4" t="str" cm="1">
        <f t="array" ref="D1878">IFERROR(INDEX(EmployeeData[Department], ROW() - 37), "")</f>
        <v/>
      </c>
      <c r="E1878" s="4" t="str" cm="1">
        <f t="array" ref="E1878">IFERROR(INDEX(EmployeeData[Gender], ROW() - 37), "")</f>
        <v/>
      </c>
      <c r="F1878" s="4" t="str" cm="1">
        <f t="array" ref="F1878">IFERROR(INDEX(EmployeeData[Age], ROW() - 37), "")</f>
        <v/>
      </c>
      <c r="G1878" s="6" t="str" cm="1">
        <f t="array" ref="G1878">IFERROR(INDEX(EmployeeData[Join Date], ROW() - 37), "")</f>
        <v/>
      </c>
      <c r="H1878" s="6" t="str" cm="1">
        <f t="array" ref="H1878">IFERROR(IF(INDEX(EmployeeData[Exit Date], ROW() - 37)=0, "",INDEX(EmployeeData[Exit Date], ROW() - 37)),"")</f>
        <v/>
      </c>
      <c r="I1878" s="4" t="str" cm="1">
        <f t="array" ref="I1878">IFERROR(IF(INDEX(EmployeeData[Exit Reason], ROW() - 37)=0, "",INDEX(EmployeeData[Exit Reason], ROW() - 37)),"")</f>
        <v/>
      </c>
      <c r="J1878" s="4" t="str" cm="1">
        <f t="array" ref="J1878">IFERROR(INDEX(EmployeeData[Status], ROW() - 37), "")</f>
        <v/>
      </c>
    </row>
    <row r="1879" spans="2:10" ht="19.95" customHeight="1" x14ac:dyDescent="0.3">
      <c r="B1879" s="4" t="str" cm="1">
        <f t="array" ref="B1879">IFERROR(INDEX(EmployeeData[Employee ID], ROW() - 37), "")</f>
        <v/>
      </c>
      <c r="C1879" s="4" t="str" cm="1">
        <f t="array" ref="C1879">IFERROR(INDEX(EmployeeData[Full Name], ROW() - 37), "")</f>
        <v/>
      </c>
      <c r="D1879" s="4" t="str" cm="1">
        <f t="array" ref="D1879">IFERROR(INDEX(EmployeeData[Department], ROW() - 37), "")</f>
        <v/>
      </c>
      <c r="E1879" s="4" t="str" cm="1">
        <f t="array" ref="E1879">IFERROR(INDEX(EmployeeData[Gender], ROW() - 37), "")</f>
        <v/>
      </c>
      <c r="F1879" s="4" t="str" cm="1">
        <f t="array" ref="F1879">IFERROR(INDEX(EmployeeData[Age], ROW() - 37), "")</f>
        <v/>
      </c>
      <c r="G1879" s="6" t="str" cm="1">
        <f t="array" ref="G1879">IFERROR(INDEX(EmployeeData[Join Date], ROW() - 37), "")</f>
        <v/>
      </c>
      <c r="H1879" s="6" t="str" cm="1">
        <f t="array" ref="H1879">IFERROR(IF(INDEX(EmployeeData[Exit Date], ROW() - 37)=0, "",INDEX(EmployeeData[Exit Date], ROW() - 37)),"")</f>
        <v/>
      </c>
      <c r="I1879" s="4" t="str" cm="1">
        <f t="array" ref="I1879">IFERROR(IF(INDEX(EmployeeData[Exit Reason], ROW() - 37)=0, "",INDEX(EmployeeData[Exit Reason], ROW() - 37)),"")</f>
        <v/>
      </c>
      <c r="J1879" s="4" t="str" cm="1">
        <f t="array" ref="J1879">IFERROR(INDEX(EmployeeData[Status], ROW() - 37), "")</f>
        <v/>
      </c>
    </row>
    <row r="1880" spans="2:10" ht="19.95" customHeight="1" x14ac:dyDescent="0.3">
      <c r="B1880" s="4" t="str" cm="1">
        <f t="array" ref="B1880">IFERROR(INDEX(EmployeeData[Employee ID], ROW() - 37), "")</f>
        <v/>
      </c>
      <c r="C1880" s="4" t="str" cm="1">
        <f t="array" ref="C1880">IFERROR(INDEX(EmployeeData[Full Name], ROW() - 37), "")</f>
        <v/>
      </c>
      <c r="D1880" s="4" t="str" cm="1">
        <f t="array" ref="D1880">IFERROR(INDEX(EmployeeData[Department], ROW() - 37), "")</f>
        <v/>
      </c>
      <c r="E1880" s="4" t="str" cm="1">
        <f t="array" ref="E1880">IFERROR(INDEX(EmployeeData[Gender], ROW() - 37), "")</f>
        <v/>
      </c>
      <c r="F1880" s="4" t="str" cm="1">
        <f t="array" ref="F1880">IFERROR(INDEX(EmployeeData[Age], ROW() - 37), "")</f>
        <v/>
      </c>
      <c r="G1880" s="6" t="str" cm="1">
        <f t="array" ref="G1880">IFERROR(INDEX(EmployeeData[Join Date], ROW() - 37), "")</f>
        <v/>
      </c>
      <c r="H1880" s="6" t="str" cm="1">
        <f t="array" ref="H1880">IFERROR(IF(INDEX(EmployeeData[Exit Date], ROW() - 37)=0, "",INDEX(EmployeeData[Exit Date], ROW() - 37)),"")</f>
        <v/>
      </c>
      <c r="I1880" s="4" t="str" cm="1">
        <f t="array" ref="I1880">IFERROR(IF(INDEX(EmployeeData[Exit Reason], ROW() - 37)=0, "",INDEX(EmployeeData[Exit Reason], ROW() - 37)),"")</f>
        <v/>
      </c>
      <c r="J1880" s="4" t="str" cm="1">
        <f t="array" ref="J1880">IFERROR(INDEX(EmployeeData[Status], ROW() - 37), "")</f>
        <v/>
      </c>
    </row>
    <row r="1881" spans="2:10" ht="19.95" customHeight="1" x14ac:dyDescent="0.3">
      <c r="B1881" s="4" t="str" cm="1">
        <f t="array" ref="B1881">IFERROR(INDEX(EmployeeData[Employee ID], ROW() - 37), "")</f>
        <v/>
      </c>
      <c r="C1881" s="4" t="str" cm="1">
        <f t="array" ref="C1881">IFERROR(INDEX(EmployeeData[Full Name], ROW() - 37), "")</f>
        <v/>
      </c>
      <c r="D1881" s="4" t="str" cm="1">
        <f t="array" ref="D1881">IFERROR(INDEX(EmployeeData[Department], ROW() - 37), "")</f>
        <v/>
      </c>
      <c r="E1881" s="4" t="str" cm="1">
        <f t="array" ref="E1881">IFERROR(INDEX(EmployeeData[Gender], ROW() - 37), "")</f>
        <v/>
      </c>
      <c r="F1881" s="4" t="str" cm="1">
        <f t="array" ref="F1881">IFERROR(INDEX(EmployeeData[Age], ROW() - 37), "")</f>
        <v/>
      </c>
      <c r="G1881" s="6" t="str" cm="1">
        <f t="array" ref="G1881">IFERROR(INDEX(EmployeeData[Join Date], ROW() - 37), "")</f>
        <v/>
      </c>
      <c r="H1881" s="6" t="str" cm="1">
        <f t="array" ref="H1881">IFERROR(IF(INDEX(EmployeeData[Exit Date], ROW() - 37)=0, "",INDEX(EmployeeData[Exit Date], ROW() - 37)),"")</f>
        <v/>
      </c>
      <c r="I1881" s="4" t="str" cm="1">
        <f t="array" ref="I1881">IFERROR(IF(INDEX(EmployeeData[Exit Reason], ROW() - 37)=0, "",INDEX(EmployeeData[Exit Reason], ROW() - 37)),"")</f>
        <v/>
      </c>
      <c r="J1881" s="4" t="str" cm="1">
        <f t="array" ref="J1881">IFERROR(INDEX(EmployeeData[Status], ROW() - 37), "")</f>
        <v/>
      </c>
    </row>
    <row r="1882" spans="2:10" ht="19.95" customHeight="1" x14ac:dyDescent="0.3">
      <c r="B1882" s="4" t="str" cm="1">
        <f t="array" ref="B1882">IFERROR(INDEX(EmployeeData[Employee ID], ROW() - 37), "")</f>
        <v/>
      </c>
      <c r="C1882" s="4" t="str" cm="1">
        <f t="array" ref="C1882">IFERROR(INDEX(EmployeeData[Full Name], ROW() - 37), "")</f>
        <v/>
      </c>
      <c r="D1882" s="4" t="str" cm="1">
        <f t="array" ref="D1882">IFERROR(INDEX(EmployeeData[Department], ROW() - 37), "")</f>
        <v/>
      </c>
      <c r="E1882" s="4" t="str" cm="1">
        <f t="array" ref="E1882">IFERROR(INDEX(EmployeeData[Gender], ROW() - 37), "")</f>
        <v/>
      </c>
      <c r="F1882" s="4" t="str" cm="1">
        <f t="array" ref="F1882">IFERROR(INDEX(EmployeeData[Age], ROW() - 37), "")</f>
        <v/>
      </c>
      <c r="G1882" s="6" t="str" cm="1">
        <f t="array" ref="G1882">IFERROR(INDEX(EmployeeData[Join Date], ROW() - 37), "")</f>
        <v/>
      </c>
      <c r="H1882" s="6" t="str" cm="1">
        <f t="array" ref="H1882">IFERROR(IF(INDEX(EmployeeData[Exit Date], ROW() - 37)=0, "",INDEX(EmployeeData[Exit Date], ROW() - 37)),"")</f>
        <v/>
      </c>
      <c r="I1882" s="4" t="str" cm="1">
        <f t="array" ref="I1882">IFERROR(IF(INDEX(EmployeeData[Exit Reason], ROW() - 37)=0, "",INDEX(EmployeeData[Exit Reason], ROW() - 37)),"")</f>
        <v/>
      </c>
      <c r="J1882" s="4" t="str" cm="1">
        <f t="array" ref="J1882">IFERROR(INDEX(EmployeeData[Status], ROW() - 37), "")</f>
        <v/>
      </c>
    </row>
    <row r="1883" spans="2:10" ht="19.95" customHeight="1" x14ac:dyDescent="0.3">
      <c r="B1883" s="4" t="str" cm="1">
        <f t="array" ref="B1883">IFERROR(INDEX(EmployeeData[Employee ID], ROW() - 37), "")</f>
        <v/>
      </c>
      <c r="C1883" s="4" t="str" cm="1">
        <f t="array" ref="C1883">IFERROR(INDEX(EmployeeData[Full Name], ROW() - 37), "")</f>
        <v/>
      </c>
      <c r="D1883" s="4" t="str" cm="1">
        <f t="array" ref="D1883">IFERROR(INDEX(EmployeeData[Department], ROW() - 37), "")</f>
        <v/>
      </c>
      <c r="E1883" s="4" t="str" cm="1">
        <f t="array" ref="E1883">IFERROR(INDEX(EmployeeData[Gender], ROW() - 37), "")</f>
        <v/>
      </c>
      <c r="F1883" s="4" t="str" cm="1">
        <f t="array" ref="F1883">IFERROR(INDEX(EmployeeData[Age], ROW() - 37), "")</f>
        <v/>
      </c>
      <c r="G1883" s="6" t="str" cm="1">
        <f t="array" ref="G1883">IFERROR(INDEX(EmployeeData[Join Date], ROW() - 37), "")</f>
        <v/>
      </c>
      <c r="H1883" s="6" t="str" cm="1">
        <f t="array" ref="H1883">IFERROR(IF(INDEX(EmployeeData[Exit Date], ROW() - 37)=0, "",INDEX(EmployeeData[Exit Date], ROW() - 37)),"")</f>
        <v/>
      </c>
      <c r="I1883" s="4" t="str" cm="1">
        <f t="array" ref="I1883">IFERROR(IF(INDEX(EmployeeData[Exit Reason], ROW() - 37)=0, "",INDEX(EmployeeData[Exit Reason], ROW() - 37)),"")</f>
        <v/>
      </c>
      <c r="J1883" s="4" t="str" cm="1">
        <f t="array" ref="J1883">IFERROR(INDEX(EmployeeData[Status], ROW() - 37), "")</f>
        <v/>
      </c>
    </row>
    <row r="1884" spans="2:10" ht="19.95" customHeight="1" x14ac:dyDescent="0.3">
      <c r="B1884" s="4" t="str" cm="1">
        <f t="array" ref="B1884">IFERROR(INDEX(EmployeeData[Employee ID], ROW() - 37), "")</f>
        <v/>
      </c>
      <c r="C1884" s="4" t="str" cm="1">
        <f t="array" ref="C1884">IFERROR(INDEX(EmployeeData[Full Name], ROW() - 37), "")</f>
        <v/>
      </c>
      <c r="D1884" s="4" t="str" cm="1">
        <f t="array" ref="D1884">IFERROR(INDEX(EmployeeData[Department], ROW() - 37), "")</f>
        <v/>
      </c>
      <c r="E1884" s="4" t="str" cm="1">
        <f t="array" ref="E1884">IFERROR(INDEX(EmployeeData[Gender], ROW() - 37), "")</f>
        <v/>
      </c>
      <c r="F1884" s="4" t="str" cm="1">
        <f t="array" ref="F1884">IFERROR(INDEX(EmployeeData[Age], ROW() - 37), "")</f>
        <v/>
      </c>
      <c r="G1884" s="6" t="str" cm="1">
        <f t="array" ref="G1884">IFERROR(INDEX(EmployeeData[Join Date], ROW() - 37), "")</f>
        <v/>
      </c>
      <c r="H1884" s="6" t="str" cm="1">
        <f t="array" ref="H1884">IFERROR(IF(INDEX(EmployeeData[Exit Date], ROW() - 37)=0, "",INDEX(EmployeeData[Exit Date], ROW() - 37)),"")</f>
        <v/>
      </c>
      <c r="I1884" s="4" t="str" cm="1">
        <f t="array" ref="I1884">IFERROR(IF(INDEX(EmployeeData[Exit Reason], ROW() - 37)=0, "",INDEX(EmployeeData[Exit Reason], ROW() - 37)),"")</f>
        <v/>
      </c>
      <c r="J1884" s="4" t="str" cm="1">
        <f t="array" ref="J1884">IFERROR(INDEX(EmployeeData[Status], ROW() - 37), "")</f>
        <v/>
      </c>
    </row>
    <row r="1885" spans="2:10" ht="19.95" customHeight="1" x14ac:dyDescent="0.3">
      <c r="B1885" s="4" t="str" cm="1">
        <f t="array" ref="B1885">IFERROR(INDEX(EmployeeData[Employee ID], ROW() - 37), "")</f>
        <v/>
      </c>
      <c r="C1885" s="4" t="str" cm="1">
        <f t="array" ref="C1885">IFERROR(INDEX(EmployeeData[Full Name], ROW() - 37), "")</f>
        <v/>
      </c>
      <c r="D1885" s="4" t="str" cm="1">
        <f t="array" ref="D1885">IFERROR(INDEX(EmployeeData[Department], ROW() - 37), "")</f>
        <v/>
      </c>
      <c r="E1885" s="4" t="str" cm="1">
        <f t="array" ref="E1885">IFERROR(INDEX(EmployeeData[Gender], ROW() - 37), "")</f>
        <v/>
      </c>
      <c r="F1885" s="4" t="str" cm="1">
        <f t="array" ref="F1885">IFERROR(INDEX(EmployeeData[Age], ROW() - 37), "")</f>
        <v/>
      </c>
      <c r="G1885" s="6" t="str" cm="1">
        <f t="array" ref="G1885">IFERROR(INDEX(EmployeeData[Join Date], ROW() - 37), "")</f>
        <v/>
      </c>
      <c r="H1885" s="6" t="str" cm="1">
        <f t="array" ref="H1885">IFERROR(IF(INDEX(EmployeeData[Exit Date], ROW() - 37)=0, "",INDEX(EmployeeData[Exit Date], ROW() - 37)),"")</f>
        <v/>
      </c>
      <c r="I1885" s="4" t="str" cm="1">
        <f t="array" ref="I1885">IFERROR(IF(INDEX(EmployeeData[Exit Reason], ROW() - 37)=0, "",INDEX(EmployeeData[Exit Reason], ROW() - 37)),"")</f>
        <v/>
      </c>
      <c r="J1885" s="4" t="str" cm="1">
        <f t="array" ref="J1885">IFERROR(INDEX(EmployeeData[Status], ROW() - 37), "")</f>
        <v/>
      </c>
    </row>
    <row r="1886" spans="2:10" ht="19.95" customHeight="1" x14ac:dyDescent="0.3">
      <c r="B1886" s="4" t="str" cm="1">
        <f t="array" ref="B1886">IFERROR(INDEX(EmployeeData[Employee ID], ROW() - 37), "")</f>
        <v/>
      </c>
      <c r="C1886" s="4" t="str" cm="1">
        <f t="array" ref="C1886">IFERROR(INDEX(EmployeeData[Full Name], ROW() - 37), "")</f>
        <v/>
      </c>
      <c r="D1886" s="4" t="str" cm="1">
        <f t="array" ref="D1886">IFERROR(INDEX(EmployeeData[Department], ROW() - 37), "")</f>
        <v/>
      </c>
      <c r="E1886" s="4" t="str" cm="1">
        <f t="array" ref="E1886">IFERROR(INDEX(EmployeeData[Gender], ROW() - 37), "")</f>
        <v/>
      </c>
      <c r="F1886" s="4" t="str" cm="1">
        <f t="array" ref="F1886">IFERROR(INDEX(EmployeeData[Age], ROW() - 37), "")</f>
        <v/>
      </c>
      <c r="G1886" s="6" t="str" cm="1">
        <f t="array" ref="G1886">IFERROR(INDEX(EmployeeData[Join Date], ROW() - 37), "")</f>
        <v/>
      </c>
      <c r="H1886" s="6" t="str" cm="1">
        <f t="array" ref="H1886">IFERROR(IF(INDEX(EmployeeData[Exit Date], ROW() - 37)=0, "",INDEX(EmployeeData[Exit Date], ROW() - 37)),"")</f>
        <v/>
      </c>
      <c r="I1886" s="4" t="str" cm="1">
        <f t="array" ref="I1886">IFERROR(IF(INDEX(EmployeeData[Exit Reason], ROW() - 37)=0, "",INDEX(EmployeeData[Exit Reason], ROW() - 37)),"")</f>
        <v/>
      </c>
      <c r="J1886" s="4" t="str" cm="1">
        <f t="array" ref="J1886">IFERROR(INDEX(EmployeeData[Status], ROW() - 37), "")</f>
        <v/>
      </c>
    </row>
    <row r="1887" spans="2:10" ht="19.95" customHeight="1" x14ac:dyDescent="0.3">
      <c r="B1887" s="4" t="str" cm="1">
        <f t="array" ref="B1887">IFERROR(INDEX(EmployeeData[Employee ID], ROW() - 37), "")</f>
        <v/>
      </c>
      <c r="C1887" s="4" t="str" cm="1">
        <f t="array" ref="C1887">IFERROR(INDEX(EmployeeData[Full Name], ROW() - 37), "")</f>
        <v/>
      </c>
      <c r="D1887" s="4" t="str" cm="1">
        <f t="array" ref="D1887">IFERROR(INDEX(EmployeeData[Department], ROW() - 37), "")</f>
        <v/>
      </c>
      <c r="E1887" s="4" t="str" cm="1">
        <f t="array" ref="E1887">IFERROR(INDEX(EmployeeData[Gender], ROW() - 37), "")</f>
        <v/>
      </c>
      <c r="F1887" s="4" t="str" cm="1">
        <f t="array" ref="F1887">IFERROR(INDEX(EmployeeData[Age], ROW() - 37), "")</f>
        <v/>
      </c>
      <c r="G1887" s="6" t="str" cm="1">
        <f t="array" ref="G1887">IFERROR(INDEX(EmployeeData[Join Date], ROW() - 37), "")</f>
        <v/>
      </c>
      <c r="H1887" s="6" t="str" cm="1">
        <f t="array" ref="H1887">IFERROR(IF(INDEX(EmployeeData[Exit Date], ROW() - 37)=0, "",INDEX(EmployeeData[Exit Date], ROW() - 37)),"")</f>
        <v/>
      </c>
      <c r="I1887" s="4" t="str" cm="1">
        <f t="array" ref="I1887">IFERROR(IF(INDEX(EmployeeData[Exit Reason], ROW() - 37)=0, "",INDEX(EmployeeData[Exit Reason], ROW() - 37)),"")</f>
        <v/>
      </c>
      <c r="J1887" s="4" t="str" cm="1">
        <f t="array" ref="J1887">IFERROR(INDEX(EmployeeData[Status], ROW() - 37), "")</f>
        <v/>
      </c>
    </row>
    <row r="1888" spans="2:10" ht="19.95" customHeight="1" x14ac:dyDescent="0.3">
      <c r="B1888" s="4" t="str" cm="1">
        <f t="array" ref="B1888">IFERROR(INDEX(EmployeeData[Employee ID], ROW() - 37), "")</f>
        <v/>
      </c>
      <c r="C1888" s="4" t="str" cm="1">
        <f t="array" ref="C1888">IFERROR(INDEX(EmployeeData[Full Name], ROW() - 37), "")</f>
        <v/>
      </c>
      <c r="D1888" s="4" t="str" cm="1">
        <f t="array" ref="D1888">IFERROR(INDEX(EmployeeData[Department], ROW() - 37), "")</f>
        <v/>
      </c>
      <c r="E1888" s="4" t="str" cm="1">
        <f t="array" ref="E1888">IFERROR(INDEX(EmployeeData[Gender], ROW() - 37), "")</f>
        <v/>
      </c>
      <c r="F1888" s="4" t="str" cm="1">
        <f t="array" ref="F1888">IFERROR(INDEX(EmployeeData[Age], ROW() - 37), "")</f>
        <v/>
      </c>
      <c r="G1888" s="6" t="str" cm="1">
        <f t="array" ref="G1888">IFERROR(INDEX(EmployeeData[Join Date], ROW() - 37), "")</f>
        <v/>
      </c>
      <c r="H1888" s="6" t="str" cm="1">
        <f t="array" ref="H1888">IFERROR(IF(INDEX(EmployeeData[Exit Date], ROW() - 37)=0, "",INDEX(EmployeeData[Exit Date], ROW() - 37)),"")</f>
        <v/>
      </c>
      <c r="I1888" s="4" t="str" cm="1">
        <f t="array" ref="I1888">IFERROR(IF(INDEX(EmployeeData[Exit Reason], ROW() - 37)=0, "",INDEX(EmployeeData[Exit Reason], ROW() - 37)),"")</f>
        <v/>
      </c>
      <c r="J1888" s="4" t="str" cm="1">
        <f t="array" ref="J1888">IFERROR(INDEX(EmployeeData[Status], ROW() - 37), "")</f>
        <v/>
      </c>
    </row>
    <row r="1889" spans="2:10" ht="19.95" customHeight="1" x14ac:dyDescent="0.3">
      <c r="B1889" s="4" t="str" cm="1">
        <f t="array" ref="B1889">IFERROR(INDEX(EmployeeData[Employee ID], ROW() - 37), "")</f>
        <v/>
      </c>
      <c r="C1889" s="4" t="str" cm="1">
        <f t="array" ref="C1889">IFERROR(INDEX(EmployeeData[Full Name], ROW() - 37), "")</f>
        <v/>
      </c>
      <c r="D1889" s="4" t="str" cm="1">
        <f t="array" ref="D1889">IFERROR(INDEX(EmployeeData[Department], ROW() - 37), "")</f>
        <v/>
      </c>
      <c r="E1889" s="4" t="str" cm="1">
        <f t="array" ref="E1889">IFERROR(INDEX(EmployeeData[Gender], ROW() - 37), "")</f>
        <v/>
      </c>
      <c r="F1889" s="4" t="str" cm="1">
        <f t="array" ref="F1889">IFERROR(INDEX(EmployeeData[Age], ROW() - 37), "")</f>
        <v/>
      </c>
      <c r="G1889" s="6" t="str" cm="1">
        <f t="array" ref="G1889">IFERROR(INDEX(EmployeeData[Join Date], ROW() - 37), "")</f>
        <v/>
      </c>
      <c r="H1889" s="6" t="str" cm="1">
        <f t="array" ref="H1889">IFERROR(IF(INDEX(EmployeeData[Exit Date], ROW() - 37)=0, "",INDEX(EmployeeData[Exit Date], ROW() - 37)),"")</f>
        <v/>
      </c>
      <c r="I1889" s="4" t="str" cm="1">
        <f t="array" ref="I1889">IFERROR(IF(INDEX(EmployeeData[Exit Reason], ROW() - 37)=0, "",INDEX(EmployeeData[Exit Reason], ROW() - 37)),"")</f>
        <v/>
      </c>
      <c r="J1889" s="4" t="str" cm="1">
        <f t="array" ref="J1889">IFERROR(INDEX(EmployeeData[Status], ROW() - 37), "")</f>
        <v/>
      </c>
    </row>
    <row r="1890" spans="2:10" ht="19.95" customHeight="1" x14ac:dyDescent="0.3">
      <c r="B1890" s="4" t="str" cm="1">
        <f t="array" ref="B1890">IFERROR(INDEX(EmployeeData[Employee ID], ROW() - 37), "")</f>
        <v/>
      </c>
      <c r="C1890" s="4" t="str" cm="1">
        <f t="array" ref="C1890">IFERROR(INDEX(EmployeeData[Full Name], ROW() - 37), "")</f>
        <v/>
      </c>
      <c r="D1890" s="4" t="str" cm="1">
        <f t="array" ref="D1890">IFERROR(INDEX(EmployeeData[Department], ROW() - 37), "")</f>
        <v/>
      </c>
      <c r="E1890" s="4" t="str" cm="1">
        <f t="array" ref="E1890">IFERROR(INDEX(EmployeeData[Gender], ROW() - 37), "")</f>
        <v/>
      </c>
      <c r="F1890" s="4" t="str" cm="1">
        <f t="array" ref="F1890">IFERROR(INDEX(EmployeeData[Age], ROW() - 37), "")</f>
        <v/>
      </c>
      <c r="G1890" s="6" t="str" cm="1">
        <f t="array" ref="G1890">IFERROR(INDEX(EmployeeData[Join Date], ROW() - 37), "")</f>
        <v/>
      </c>
      <c r="H1890" s="6" t="str" cm="1">
        <f t="array" ref="H1890">IFERROR(IF(INDEX(EmployeeData[Exit Date], ROW() - 37)=0, "",INDEX(EmployeeData[Exit Date], ROW() - 37)),"")</f>
        <v/>
      </c>
      <c r="I1890" s="4" t="str" cm="1">
        <f t="array" ref="I1890">IFERROR(IF(INDEX(EmployeeData[Exit Reason], ROW() - 37)=0, "",INDEX(EmployeeData[Exit Reason], ROW() - 37)),"")</f>
        <v/>
      </c>
      <c r="J1890" s="4" t="str" cm="1">
        <f t="array" ref="J1890">IFERROR(INDEX(EmployeeData[Status], ROW() - 37), "")</f>
        <v/>
      </c>
    </row>
    <row r="1891" spans="2:10" ht="19.95" customHeight="1" x14ac:dyDescent="0.3">
      <c r="B1891" s="4" t="str" cm="1">
        <f t="array" ref="B1891">IFERROR(INDEX(EmployeeData[Employee ID], ROW() - 37), "")</f>
        <v/>
      </c>
      <c r="C1891" s="4" t="str" cm="1">
        <f t="array" ref="C1891">IFERROR(INDEX(EmployeeData[Full Name], ROW() - 37), "")</f>
        <v/>
      </c>
      <c r="D1891" s="4" t="str" cm="1">
        <f t="array" ref="D1891">IFERROR(INDEX(EmployeeData[Department], ROW() - 37), "")</f>
        <v/>
      </c>
      <c r="E1891" s="4" t="str" cm="1">
        <f t="array" ref="E1891">IFERROR(INDEX(EmployeeData[Gender], ROW() - 37), "")</f>
        <v/>
      </c>
      <c r="F1891" s="4" t="str" cm="1">
        <f t="array" ref="F1891">IFERROR(INDEX(EmployeeData[Age], ROW() - 37), "")</f>
        <v/>
      </c>
      <c r="G1891" s="6" t="str" cm="1">
        <f t="array" ref="G1891">IFERROR(INDEX(EmployeeData[Join Date], ROW() - 37), "")</f>
        <v/>
      </c>
      <c r="H1891" s="6" t="str" cm="1">
        <f t="array" ref="H1891">IFERROR(IF(INDEX(EmployeeData[Exit Date], ROW() - 37)=0, "",INDEX(EmployeeData[Exit Date], ROW() - 37)),"")</f>
        <v/>
      </c>
      <c r="I1891" s="4" t="str" cm="1">
        <f t="array" ref="I1891">IFERROR(IF(INDEX(EmployeeData[Exit Reason], ROW() - 37)=0, "",INDEX(EmployeeData[Exit Reason], ROW() - 37)),"")</f>
        <v/>
      </c>
      <c r="J1891" s="4" t="str" cm="1">
        <f t="array" ref="J1891">IFERROR(INDEX(EmployeeData[Status], ROW() - 37), "")</f>
        <v/>
      </c>
    </row>
    <row r="1892" spans="2:10" ht="19.95" customHeight="1" x14ac:dyDescent="0.3">
      <c r="B1892" s="4" t="str" cm="1">
        <f t="array" ref="B1892">IFERROR(INDEX(EmployeeData[Employee ID], ROW() - 37), "")</f>
        <v/>
      </c>
      <c r="C1892" s="4" t="str" cm="1">
        <f t="array" ref="C1892">IFERROR(INDEX(EmployeeData[Full Name], ROW() - 37), "")</f>
        <v/>
      </c>
      <c r="D1892" s="4" t="str" cm="1">
        <f t="array" ref="D1892">IFERROR(INDEX(EmployeeData[Department], ROW() - 37), "")</f>
        <v/>
      </c>
      <c r="E1892" s="4" t="str" cm="1">
        <f t="array" ref="E1892">IFERROR(INDEX(EmployeeData[Gender], ROW() - 37), "")</f>
        <v/>
      </c>
      <c r="F1892" s="4" t="str" cm="1">
        <f t="array" ref="F1892">IFERROR(INDEX(EmployeeData[Age], ROW() - 37), "")</f>
        <v/>
      </c>
      <c r="G1892" s="6" t="str" cm="1">
        <f t="array" ref="G1892">IFERROR(INDEX(EmployeeData[Join Date], ROW() - 37), "")</f>
        <v/>
      </c>
      <c r="H1892" s="6" t="str" cm="1">
        <f t="array" ref="H1892">IFERROR(IF(INDEX(EmployeeData[Exit Date], ROW() - 37)=0, "",INDEX(EmployeeData[Exit Date], ROW() - 37)),"")</f>
        <v/>
      </c>
      <c r="I1892" s="4" t="str" cm="1">
        <f t="array" ref="I1892">IFERROR(IF(INDEX(EmployeeData[Exit Reason], ROW() - 37)=0, "",INDEX(EmployeeData[Exit Reason], ROW() - 37)),"")</f>
        <v/>
      </c>
      <c r="J1892" s="4" t="str" cm="1">
        <f t="array" ref="J1892">IFERROR(INDEX(EmployeeData[Status], ROW() - 37), "")</f>
        <v/>
      </c>
    </row>
    <row r="1893" spans="2:10" ht="19.95" customHeight="1" x14ac:dyDescent="0.3">
      <c r="B1893" s="4" t="str" cm="1">
        <f t="array" ref="B1893">IFERROR(INDEX(EmployeeData[Employee ID], ROW() - 37), "")</f>
        <v/>
      </c>
      <c r="C1893" s="4" t="str" cm="1">
        <f t="array" ref="C1893">IFERROR(INDEX(EmployeeData[Full Name], ROW() - 37), "")</f>
        <v/>
      </c>
      <c r="D1893" s="4" t="str" cm="1">
        <f t="array" ref="D1893">IFERROR(INDEX(EmployeeData[Department], ROW() - 37), "")</f>
        <v/>
      </c>
      <c r="E1893" s="4" t="str" cm="1">
        <f t="array" ref="E1893">IFERROR(INDEX(EmployeeData[Gender], ROW() - 37), "")</f>
        <v/>
      </c>
      <c r="F1893" s="4" t="str" cm="1">
        <f t="array" ref="F1893">IFERROR(INDEX(EmployeeData[Age], ROW() - 37), "")</f>
        <v/>
      </c>
      <c r="G1893" s="6" t="str" cm="1">
        <f t="array" ref="G1893">IFERROR(INDEX(EmployeeData[Join Date], ROW() - 37), "")</f>
        <v/>
      </c>
      <c r="H1893" s="6" t="str" cm="1">
        <f t="array" ref="H1893">IFERROR(IF(INDEX(EmployeeData[Exit Date], ROW() - 37)=0, "",INDEX(EmployeeData[Exit Date], ROW() - 37)),"")</f>
        <v/>
      </c>
      <c r="I1893" s="4" t="str" cm="1">
        <f t="array" ref="I1893">IFERROR(IF(INDEX(EmployeeData[Exit Reason], ROW() - 37)=0, "",INDEX(EmployeeData[Exit Reason], ROW() - 37)),"")</f>
        <v/>
      </c>
      <c r="J1893" s="4" t="str" cm="1">
        <f t="array" ref="J1893">IFERROR(INDEX(EmployeeData[Status], ROW() - 37), "")</f>
        <v/>
      </c>
    </row>
    <row r="1894" spans="2:10" ht="19.95" customHeight="1" x14ac:dyDescent="0.3">
      <c r="B1894" s="4" t="str" cm="1">
        <f t="array" ref="B1894">IFERROR(INDEX(EmployeeData[Employee ID], ROW() - 37), "")</f>
        <v/>
      </c>
      <c r="C1894" s="4" t="str" cm="1">
        <f t="array" ref="C1894">IFERROR(INDEX(EmployeeData[Full Name], ROW() - 37), "")</f>
        <v/>
      </c>
      <c r="D1894" s="4" t="str" cm="1">
        <f t="array" ref="D1894">IFERROR(INDEX(EmployeeData[Department], ROW() - 37), "")</f>
        <v/>
      </c>
      <c r="E1894" s="4" t="str" cm="1">
        <f t="array" ref="E1894">IFERROR(INDEX(EmployeeData[Gender], ROW() - 37), "")</f>
        <v/>
      </c>
      <c r="F1894" s="4" t="str" cm="1">
        <f t="array" ref="F1894">IFERROR(INDEX(EmployeeData[Age], ROW() - 37), "")</f>
        <v/>
      </c>
      <c r="G1894" s="6" t="str" cm="1">
        <f t="array" ref="G1894">IFERROR(INDEX(EmployeeData[Join Date], ROW() - 37), "")</f>
        <v/>
      </c>
      <c r="H1894" s="6" t="str" cm="1">
        <f t="array" ref="H1894">IFERROR(IF(INDEX(EmployeeData[Exit Date], ROW() - 37)=0, "",INDEX(EmployeeData[Exit Date], ROW() - 37)),"")</f>
        <v/>
      </c>
      <c r="I1894" s="4" t="str" cm="1">
        <f t="array" ref="I1894">IFERROR(IF(INDEX(EmployeeData[Exit Reason], ROW() - 37)=0, "",INDEX(EmployeeData[Exit Reason], ROW() - 37)),"")</f>
        <v/>
      </c>
      <c r="J1894" s="4" t="str" cm="1">
        <f t="array" ref="J1894">IFERROR(INDEX(EmployeeData[Status], ROW() - 37), "")</f>
        <v/>
      </c>
    </row>
    <row r="1895" spans="2:10" ht="19.95" customHeight="1" x14ac:dyDescent="0.3">
      <c r="B1895" s="4" t="str" cm="1">
        <f t="array" ref="B1895">IFERROR(INDEX(EmployeeData[Employee ID], ROW() - 37), "")</f>
        <v/>
      </c>
      <c r="C1895" s="4" t="str" cm="1">
        <f t="array" ref="C1895">IFERROR(INDEX(EmployeeData[Full Name], ROW() - 37), "")</f>
        <v/>
      </c>
      <c r="D1895" s="4" t="str" cm="1">
        <f t="array" ref="D1895">IFERROR(INDEX(EmployeeData[Department], ROW() - 37), "")</f>
        <v/>
      </c>
      <c r="E1895" s="4" t="str" cm="1">
        <f t="array" ref="E1895">IFERROR(INDEX(EmployeeData[Gender], ROW() - 37), "")</f>
        <v/>
      </c>
      <c r="F1895" s="4" t="str" cm="1">
        <f t="array" ref="F1895">IFERROR(INDEX(EmployeeData[Age], ROW() - 37), "")</f>
        <v/>
      </c>
      <c r="G1895" s="6" t="str" cm="1">
        <f t="array" ref="G1895">IFERROR(INDEX(EmployeeData[Join Date], ROW() - 37), "")</f>
        <v/>
      </c>
      <c r="H1895" s="6" t="str" cm="1">
        <f t="array" ref="H1895">IFERROR(IF(INDEX(EmployeeData[Exit Date], ROW() - 37)=0, "",INDEX(EmployeeData[Exit Date], ROW() - 37)),"")</f>
        <v/>
      </c>
      <c r="I1895" s="4" t="str" cm="1">
        <f t="array" ref="I1895">IFERROR(IF(INDEX(EmployeeData[Exit Reason], ROW() - 37)=0, "",INDEX(EmployeeData[Exit Reason], ROW() - 37)),"")</f>
        <v/>
      </c>
      <c r="J1895" s="4" t="str" cm="1">
        <f t="array" ref="J1895">IFERROR(INDEX(EmployeeData[Status], ROW() - 37), "")</f>
        <v/>
      </c>
    </row>
    <row r="1896" spans="2:10" ht="19.95" customHeight="1" x14ac:dyDescent="0.3">
      <c r="B1896" s="4" t="str" cm="1">
        <f t="array" ref="B1896">IFERROR(INDEX(EmployeeData[Employee ID], ROW() - 37), "")</f>
        <v/>
      </c>
      <c r="C1896" s="4" t="str" cm="1">
        <f t="array" ref="C1896">IFERROR(INDEX(EmployeeData[Full Name], ROW() - 37), "")</f>
        <v/>
      </c>
      <c r="D1896" s="4" t="str" cm="1">
        <f t="array" ref="D1896">IFERROR(INDEX(EmployeeData[Department], ROW() - 37), "")</f>
        <v/>
      </c>
      <c r="E1896" s="4" t="str" cm="1">
        <f t="array" ref="E1896">IFERROR(INDEX(EmployeeData[Gender], ROW() - 37), "")</f>
        <v/>
      </c>
      <c r="F1896" s="4" t="str" cm="1">
        <f t="array" ref="F1896">IFERROR(INDEX(EmployeeData[Age], ROW() - 37), "")</f>
        <v/>
      </c>
      <c r="G1896" s="6" t="str" cm="1">
        <f t="array" ref="G1896">IFERROR(INDEX(EmployeeData[Join Date], ROW() - 37), "")</f>
        <v/>
      </c>
      <c r="H1896" s="6" t="str" cm="1">
        <f t="array" ref="H1896">IFERROR(IF(INDEX(EmployeeData[Exit Date], ROW() - 37)=0, "",INDEX(EmployeeData[Exit Date], ROW() - 37)),"")</f>
        <v/>
      </c>
      <c r="I1896" s="4" t="str" cm="1">
        <f t="array" ref="I1896">IFERROR(IF(INDEX(EmployeeData[Exit Reason], ROW() - 37)=0, "",INDEX(EmployeeData[Exit Reason], ROW() - 37)),"")</f>
        <v/>
      </c>
      <c r="J1896" s="4" t="str" cm="1">
        <f t="array" ref="J1896">IFERROR(INDEX(EmployeeData[Status], ROW() - 37), "")</f>
        <v/>
      </c>
    </row>
    <row r="1897" spans="2:10" ht="19.95" customHeight="1" x14ac:dyDescent="0.3">
      <c r="B1897" s="4" t="str" cm="1">
        <f t="array" ref="B1897">IFERROR(INDEX(EmployeeData[Employee ID], ROW() - 37), "")</f>
        <v/>
      </c>
      <c r="C1897" s="4" t="str" cm="1">
        <f t="array" ref="C1897">IFERROR(INDEX(EmployeeData[Full Name], ROW() - 37), "")</f>
        <v/>
      </c>
      <c r="D1897" s="4" t="str" cm="1">
        <f t="array" ref="D1897">IFERROR(INDEX(EmployeeData[Department], ROW() - 37), "")</f>
        <v/>
      </c>
      <c r="E1897" s="4" t="str" cm="1">
        <f t="array" ref="E1897">IFERROR(INDEX(EmployeeData[Gender], ROW() - 37), "")</f>
        <v/>
      </c>
      <c r="F1897" s="4" t="str" cm="1">
        <f t="array" ref="F1897">IFERROR(INDEX(EmployeeData[Age], ROW() - 37), "")</f>
        <v/>
      </c>
      <c r="G1897" s="6" t="str" cm="1">
        <f t="array" ref="G1897">IFERROR(INDEX(EmployeeData[Join Date], ROW() - 37), "")</f>
        <v/>
      </c>
      <c r="H1897" s="6" t="str" cm="1">
        <f t="array" ref="H1897">IFERROR(IF(INDEX(EmployeeData[Exit Date], ROW() - 37)=0, "",INDEX(EmployeeData[Exit Date], ROW() - 37)),"")</f>
        <v/>
      </c>
      <c r="I1897" s="4" t="str" cm="1">
        <f t="array" ref="I1897">IFERROR(IF(INDEX(EmployeeData[Exit Reason], ROW() - 37)=0, "",INDEX(EmployeeData[Exit Reason], ROW() - 37)),"")</f>
        <v/>
      </c>
      <c r="J1897" s="4" t="str" cm="1">
        <f t="array" ref="J1897">IFERROR(INDEX(EmployeeData[Status], ROW() - 37), "")</f>
        <v/>
      </c>
    </row>
    <row r="1898" spans="2:10" ht="19.95" customHeight="1" x14ac:dyDescent="0.3">
      <c r="B1898" s="4" t="str" cm="1">
        <f t="array" ref="B1898">IFERROR(INDEX(EmployeeData[Employee ID], ROW() - 37), "")</f>
        <v/>
      </c>
      <c r="C1898" s="4" t="str" cm="1">
        <f t="array" ref="C1898">IFERROR(INDEX(EmployeeData[Full Name], ROW() - 37), "")</f>
        <v/>
      </c>
      <c r="D1898" s="4" t="str" cm="1">
        <f t="array" ref="D1898">IFERROR(INDEX(EmployeeData[Department], ROW() - 37), "")</f>
        <v/>
      </c>
      <c r="E1898" s="4" t="str" cm="1">
        <f t="array" ref="E1898">IFERROR(INDEX(EmployeeData[Gender], ROW() - 37), "")</f>
        <v/>
      </c>
      <c r="F1898" s="4" t="str" cm="1">
        <f t="array" ref="F1898">IFERROR(INDEX(EmployeeData[Age], ROW() - 37), "")</f>
        <v/>
      </c>
      <c r="G1898" s="6" t="str" cm="1">
        <f t="array" ref="G1898">IFERROR(INDEX(EmployeeData[Join Date], ROW() - 37), "")</f>
        <v/>
      </c>
      <c r="H1898" s="6" t="str" cm="1">
        <f t="array" ref="H1898">IFERROR(IF(INDEX(EmployeeData[Exit Date], ROW() - 37)=0, "",INDEX(EmployeeData[Exit Date], ROW() - 37)),"")</f>
        <v/>
      </c>
      <c r="I1898" s="4" t="str" cm="1">
        <f t="array" ref="I1898">IFERROR(IF(INDEX(EmployeeData[Exit Reason], ROW() - 37)=0, "",INDEX(EmployeeData[Exit Reason], ROW() - 37)),"")</f>
        <v/>
      </c>
      <c r="J1898" s="4" t="str" cm="1">
        <f t="array" ref="J1898">IFERROR(INDEX(EmployeeData[Status], ROW() - 37), "")</f>
        <v/>
      </c>
    </row>
    <row r="1899" spans="2:10" ht="19.95" customHeight="1" x14ac:dyDescent="0.3">
      <c r="B1899" s="4" t="str" cm="1">
        <f t="array" ref="B1899">IFERROR(INDEX(EmployeeData[Employee ID], ROW() - 37), "")</f>
        <v/>
      </c>
      <c r="C1899" s="4" t="str" cm="1">
        <f t="array" ref="C1899">IFERROR(INDEX(EmployeeData[Full Name], ROW() - 37), "")</f>
        <v/>
      </c>
      <c r="D1899" s="4" t="str" cm="1">
        <f t="array" ref="D1899">IFERROR(INDEX(EmployeeData[Department], ROW() - 37), "")</f>
        <v/>
      </c>
      <c r="E1899" s="4" t="str" cm="1">
        <f t="array" ref="E1899">IFERROR(INDEX(EmployeeData[Gender], ROW() - 37), "")</f>
        <v/>
      </c>
      <c r="F1899" s="4" t="str" cm="1">
        <f t="array" ref="F1899">IFERROR(INDEX(EmployeeData[Age], ROW() - 37), "")</f>
        <v/>
      </c>
      <c r="G1899" s="6" t="str" cm="1">
        <f t="array" ref="G1899">IFERROR(INDEX(EmployeeData[Join Date], ROW() - 37), "")</f>
        <v/>
      </c>
      <c r="H1899" s="6" t="str" cm="1">
        <f t="array" ref="H1899">IFERROR(IF(INDEX(EmployeeData[Exit Date], ROW() - 37)=0, "",INDEX(EmployeeData[Exit Date], ROW() - 37)),"")</f>
        <v/>
      </c>
      <c r="I1899" s="4" t="str" cm="1">
        <f t="array" ref="I1899">IFERROR(IF(INDEX(EmployeeData[Exit Reason], ROW() - 37)=0, "",INDEX(EmployeeData[Exit Reason], ROW() - 37)),"")</f>
        <v/>
      </c>
      <c r="J1899" s="4" t="str" cm="1">
        <f t="array" ref="J1899">IFERROR(INDEX(EmployeeData[Status], ROW() - 37), "")</f>
        <v/>
      </c>
    </row>
    <row r="1900" spans="2:10" ht="19.95" customHeight="1" x14ac:dyDescent="0.3">
      <c r="B1900" s="4" t="str" cm="1">
        <f t="array" ref="B1900">IFERROR(INDEX(EmployeeData[Employee ID], ROW() - 37), "")</f>
        <v/>
      </c>
      <c r="C1900" s="4" t="str" cm="1">
        <f t="array" ref="C1900">IFERROR(INDEX(EmployeeData[Full Name], ROW() - 37), "")</f>
        <v/>
      </c>
      <c r="D1900" s="4" t="str" cm="1">
        <f t="array" ref="D1900">IFERROR(INDEX(EmployeeData[Department], ROW() - 37), "")</f>
        <v/>
      </c>
      <c r="E1900" s="4" t="str" cm="1">
        <f t="array" ref="E1900">IFERROR(INDEX(EmployeeData[Gender], ROW() - 37), "")</f>
        <v/>
      </c>
      <c r="F1900" s="4" t="str" cm="1">
        <f t="array" ref="F1900">IFERROR(INDEX(EmployeeData[Age], ROW() - 37), "")</f>
        <v/>
      </c>
      <c r="G1900" s="6" t="str" cm="1">
        <f t="array" ref="G1900">IFERROR(INDEX(EmployeeData[Join Date], ROW() - 37), "")</f>
        <v/>
      </c>
      <c r="H1900" s="6" t="str" cm="1">
        <f t="array" ref="H1900">IFERROR(IF(INDEX(EmployeeData[Exit Date], ROW() - 37)=0, "",INDEX(EmployeeData[Exit Date], ROW() - 37)),"")</f>
        <v/>
      </c>
      <c r="I1900" s="4" t="str" cm="1">
        <f t="array" ref="I1900">IFERROR(IF(INDEX(EmployeeData[Exit Reason], ROW() - 37)=0, "",INDEX(EmployeeData[Exit Reason], ROW() - 37)),"")</f>
        <v/>
      </c>
      <c r="J1900" s="4" t="str" cm="1">
        <f t="array" ref="J1900">IFERROR(INDEX(EmployeeData[Status], ROW() - 37), "")</f>
        <v/>
      </c>
    </row>
    <row r="1901" spans="2:10" ht="19.95" customHeight="1" x14ac:dyDescent="0.3">
      <c r="B1901" s="4" t="str" cm="1">
        <f t="array" ref="B1901">IFERROR(INDEX(EmployeeData[Employee ID], ROW() - 37), "")</f>
        <v/>
      </c>
      <c r="C1901" s="4" t="str" cm="1">
        <f t="array" ref="C1901">IFERROR(INDEX(EmployeeData[Full Name], ROW() - 37), "")</f>
        <v/>
      </c>
      <c r="D1901" s="4" t="str" cm="1">
        <f t="array" ref="D1901">IFERROR(INDEX(EmployeeData[Department], ROW() - 37), "")</f>
        <v/>
      </c>
      <c r="E1901" s="4" t="str" cm="1">
        <f t="array" ref="E1901">IFERROR(INDEX(EmployeeData[Gender], ROW() - 37), "")</f>
        <v/>
      </c>
      <c r="F1901" s="4" t="str" cm="1">
        <f t="array" ref="F1901">IFERROR(INDEX(EmployeeData[Age], ROW() - 37), "")</f>
        <v/>
      </c>
      <c r="G1901" s="6" t="str" cm="1">
        <f t="array" ref="G1901">IFERROR(INDEX(EmployeeData[Join Date], ROW() - 37), "")</f>
        <v/>
      </c>
      <c r="H1901" s="6" t="str" cm="1">
        <f t="array" ref="H1901">IFERROR(IF(INDEX(EmployeeData[Exit Date], ROW() - 37)=0, "",INDEX(EmployeeData[Exit Date], ROW() - 37)),"")</f>
        <v/>
      </c>
      <c r="I1901" s="4" t="str" cm="1">
        <f t="array" ref="I1901">IFERROR(IF(INDEX(EmployeeData[Exit Reason], ROW() - 37)=0, "",INDEX(EmployeeData[Exit Reason], ROW() - 37)),"")</f>
        <v/>
      </c>
      <c r="J1901" s="4" t="str" cm="1">
        <f t="array" ref="J1901">IFERROR(INDEX(EmployeeData[Status], ROW() - 37), "")</f>
        <v/>
      </c>
    </row>
    <row r="1902" spans="2:10" ht="19.95" customHeight="1" x14ac:dyDescent="0.3">
      <c r="B1902" s="4" t="str" cm="1">
        <f t="array" ref="B1902">IFERROR(INDEX(EmployeeData[Employee ID], ROW() - 37), "")</f>
        <v/>
      </c>
      <c r="C1902" s="4" t="str" cm="1">
        <f t="array" ref="C1902">IFERROR(INDEX(EmployeeData[Full Name], ROW() - 37), "")</f>
        <v/>
      </c>
      <c r="D1902" s="4" t="str" cm="1">
        <f t="array" ref="D1902">IFERROR(INDEX(EmployeeData[Department], ROW() - 37), "")</f>
        <v/>
      </c>
      <c r="E1902" s="4" t="str" cm="1">
        <f t="array" ref="E1902">IFERROR(INDEX(EmployeeData[Gender], ROW() - 37), "")</f>
        <v/>
      </c>
      <c r="F1902" s="4" t="str" cm="1">
        <f t="array" ref="F1902">IFERROR(INDEX(EmployeeData[Age], ROW() - 37), "")</f>
        <v/>
      </c>
      <c r="G1902" s="6" t="str" cm="1">
        <f t="array" ref="G1902">IFERROR(INDEX(EmployeeData[Join Date], ROW() - 37), "")</f>
        <v/>
      </c>
      <c r="H1902" s="6" t="str" cm="1">
        <f t="array" ref="H1902">IFERROR(IF(INDEX(EmployeeData[Exit Date], ROW() - 37)=0, "",INDEX(EmployeeData[Exit Date], ROW() - 37)),"")</f>
        <v/>
      </c>
      <c r="I1902" s="4" t="str" cm="1">
        <f t="array" ref="I1902">IFERROR(IF(INDEX(EmployeeData[Exit Reason], ROW() - 37)=0, "",INDEX(EmployeeData[Exit Reason], ROW() - 37)),"")</f>
        <v/>
      </c>
      <c r="J1902" s="4" t="str" cm="1">
        <f t="array" ref="J1902">IFERROR(INDEX(EmployeeData[Status], ROW() - 37), "")</f>
        <v/>
      </c>
    </row>
    <row r="1903" spans="2:10" ht="19.95" customHeight="1" x14ac:dyDescent="0.3">
      <c r="B1903" s="4" t="str" cm="1">
        <f t="array" ref="B1903">IFERROR(INDEX(EmployeeData[Employee ID], ROW() - 37), "")</f>
        <v/>
      </c>
      <c r="C1903" s="4" t="str" cm="1">
        <f t="array" ref="C1903">IFERROR(INDEX(EmployeeData[Full Name], ROW() - 37), "")</f>
        <v/>
      </c>
      <c r="D1903" s="4" t="str" cm="1">
        <f t="array" ref="D1903">IFERROR(INDEX(EmployeeData[Department], ROW() - 37), "")</f>
        <v/>
      </c>
      <c r="E1903" s="4" t="str" cm="1">
        <f t="array" ref="E1903">IFERROR(INDEX(EmployeeData[Gender], ROW() - 37), "")</f>
        <v/>
      </c>
      <c r="F1903" s="4" t="str" cm="1">
        <f t="array" ref="F1903">IFERROR(INDEX(EmployeeData[Age], ROW() - 37), "")</f>
        <v/>
      </c>
      <c r="G1903" s="6" t="str" cm="1">
        <f t="array" ref="G1903">IFERROR(INDEX(EmployeeData[Join Date], ROW() - 37), "")</f>
        <v/>
      </c>
      <c r="H1903" s="6" t="str" cm="1">
        <f t="array" ref="H1903">IFERROR(IF(INDEX(EmployeeData[Exit Date], ROW() - 37)=0, "",INDEX(EmployeeData[Exit Date], ROW() - 37)),"")</f>
        <v/>
      </c>
      <c r="I1903" s="4" t="str" cm="1">
        <f t="array" ref="I1903">IFERROR(IF(INDEX(EmployeeData[Exit Reason], ROW() - 37)=0, "",INDEX(EmployeeData[Exit Reason], ROW() - 37)),"")</f>
        <v/>
      </c>
      <c r="J1903" s="4" t="str" cm="1">
        <f t="array" ref="J1903">IFERROR(INDEX(EmployeeData[Status], ROW() - 37), "")</f>
        <v/>
      </c>
    </row>
    <row r="1904" spans="2:10" ht="19.95" customHeight="1" x14ac:dyDescent="0.3">
      <c r="B1904" s="4" t="str" cm="1">
        <f t="array" ref="B1904">IFERROR(INDEX(EmployeeData[Employee ID], ROW() - 37), "")</f>
        <v/>
      </c>
      <c r="C1904" s="4" t="str" cm="1">
        <f t="array" ref="C1904">IFERROR(INDEX(EmployeeData[Full Name], ROW() - 37), "")</f>
        <v/>
      </c>
      <c r="D1904" s="4" t="str" cm="1">
        <f t="array" ref="D1904">IFERROR(INDEX(EmployeeData[Department], ROW() - 37), "")</f>
        <v/>
      </c>
      <c r="E1904" s="4" t="str" cm="1">
        <f t="array" ref="E1904">IFERROR(INDEX(EmployeeData[Gender], ROW() - 37), "")</f>
        <v/>
      </c>
      <c r="F1904" s="4" t="str" cm="1">
        <f t="array" ref="F1904">IFERROR(INDEX(EmployeeData[Age], ROW() - 37), "")</f>
        <v/>
      </c>
      <c r="G1904" s="6" t="str" cm="1">
        <f t="array" ref="G1904">IFERROR(INDEX(EmployeeData[Join Date], ROW() - 37), "")</f>
        <v/>
      </c>
      <c r="H1904" s="6" t="str" cm="1">
        <f t="array" ref="H1904">IFERROR(IF(INDEX(EmployeeData[Exit Date], ROW() - 37)=0, "",INDEX(EmployeeData[Exit Date], ROW() - 37)),"")</f>
        <v/>
      </c>
      <c r="I1904" s="4" t="str" cm="1">
        <f t="array" ref="I1904">IFERROR(IF(INDEX(EmployeeData[Exit Reason], ROW() - 37)=0, "",INDEX(EmployeeData[Exit Reason], ROW() - 37)),"")</f>
        <v/>
      </c>
      <c r="J1904" s="4" t="str" cm="1">
        <f t="array" ref="J1904">IFERROR(INDEX(EmployeeData[Status], ROW() - 37), "")</f>
        <v/>
      </c>
    </row>
    <row r="1905" spans="2:10" ht="19.95" customHeight="1" x14ac:dyDescent="0.3">
      <c r="B1905" s="4" t="str" cm="1">
        <f t="array" ref="B1905">IFERROR(INDEX(EmployeeData[Employee ID], ROW() - 37), "")</f>
        <v/>
      </c>
      <c r="C1905" s="4" t="str" cm="1">
        <f t="array" ref="C1905">IFERROR(INDEX(EmployeeData[Full Name], ROW() - 37), "")</f>
        <v/>
      </c>
      <c r="D1905" s="4" t="str" cm="1">
        <f t="array" ref="D1905">IFERROR(INDEX(EmployeeData[Department], ROW() - 37), "")</f>
        <v/>
      </c>
      <c r="E1905" s="4" t="str" cm="1">
        <f t="array" ref="E1905">IFERROR(INDEX(EmployeeData[Gender], ROW() - 37), "")</f>
        <v/>
      </c>
      <c r="F1905" s="4" t="str" cm="1">
        <f t="array" ref="F1905">IFERROR(INDEX(EmployeeData[Age], ROW() - 37), "")</f>
        <v/>
      </c>
      <c r="G1905" s="6" t="str" cm="1">
        <f t="array" ref="G1905">IFERROR(INDEX(EmployeeData[Join Date], ROW() - 37), "")</f>
        <v/>
      </c>
      <c r="H1905" s="6" t="str" cm="1">
        <f t="array" ref="H1905">IFERROR(IF(INDEX(EmployeeData[Exit Date], ROW() - 37)=0, "",INDEX(EmployeeData[Exit Date], ROW() - 37)),"")</f>
        <v/>
      </c>
      <c r="I1905" s="4" t="str" cm="1">
        <f t="array" ref="I1905">IFERROR(IF(INDEX(EmployeeData[Exit Reason], ROW() - 37)=0, "",INDEX(EmployeeData[Exit Reason], ROW() - 37)),"")</f>
        <v/>
      </c>
      <c r="J1905" s="4" t="str" cm="1">
        <f t="array" ref="J1905">IFERROR(INDEX(EmployeeData[Status], ROW() - 37), "")</f>
        <v/>
      </c>
    </row>
    <row r="1906" spans="2:10" ht="19.95" customHeight="1" x14ac:dyDescent="0.3">
      <c r="B1906" s="4" t="str" cm="1">
        <f t="array" ref="B1906">IFERROR(INDEX(EmployeeData[Employee ID], ROW() - 37), "")</f>
        <v/>
      </c>
      <c r="C1906" s="4" t="str" cm="1">
        <f t="array" ref="C1906">IFERROR(INDEX(EmployeeData[Full Name], ROW() - 37), "")</f>
        <v/>
      </c>
      <c r="D1906" s="4" t="str" cm="1">
        <f t="array" ref="D1906">IFERROR(INDEX(EmployeeData[Department], ROW() - 37), "")</f>
        <v/>
      </c>
      <c r="E1906" s="4" t="str" cm="1">
        <f t="array" ref="E1906">IFERROR(INDEX(EmployeeData[Gender], ROW() - 37), "")</f>
        <v/>
      </c>
      <c r="F1906" s="4" t="str" cm="1">
        <f t="array" ref="F1906">IFERROR(INDEX(EmployeeData[Age], ROW() - 37), "")</f>
        <v/>
      </c>
      <c r="G1906" s="6" t="str" cm="1">
        <f t="array" ref="G1906">IFERROR(INDEX(EmployeeData[Join Date], ROW() - 37), "")</f>
        <v/>
      </c>
      <c r="H1906" s="6" t="str" cm="1">
        <f t="array" ref="H1906">IFERROR(IF(INDEX(EmployeeData[Exit Date], ROW() - 37)=0, "",INDEX(EmployeeData[Exit Date], ROW() - 37)),"")</f>
        <v/>
      </c>
      <c r="I1906" s="4" t="str" cm="1">
        <f t="array" ref="I1906">IFERROR(IF(INDEX(EmployeeData[Exit Reason], ROW() - 37)=0, "",INDEX(EmployeeData[Exit Reason], ROW() - 37)),"")</f>
        <v/>
      </c>
      <c r="J1906" s="4" t="str" cm="1">
        <f t="array" ref="J1906">IFERROR(INDEX(EmployeeData[Status], ROW() - 37), "")</f>
        <v/>
      </c>
    </row>
    <row r="1907" spans="2:10" ht="19.95" customHeight="1" x14ac:dyDescent="0.3">
      <c r="B1907" s="4" t="str" cm="1">
        <f t="array" ref="B1907">IFERROR(INDEX(EmployeeData[Employee ID], ROW() - 37), "")</f>
        <v/>
      </c>
      <c r="C1907" s="4" t="str" cm="1">
        <f t="array" ref="C1907">IFERROR(INDEX(EmployeeData[Full Name], ROW() - 37), "")</f>
        <v/>
      </c>
      <c r="D1907" s="4" t="str" cm="1">
        <f t="array" ref="D1907">IFERROR(INDEX(EmployeeData[Department], ROW() - 37), "")</f>
        <v/>
      </c>
      <c r="E1907" s="4" t="str" cm="1">
        <f t="array" ref="E1907">IFERROR(INDEX(EmployeeData[Gender], ROW() - 37), "")</f>
        <v/>
      </c>
      <c r="F1907" s="4" t="str" cm="1">
        <f t="array" ref="F1907">IFERROR(INDEX(EmployeeData[Age], ROW() - 37), "")</f>
        <v/>
      </c>
      <c r="G1907" s="6" t="str" cm="1">
        <f t="array" ref="G1907">IFERROR(INDEX(EmployeeData[Join Date], ROW() - 37), "")</f>
        <v/>
      </c>
      <c r="H1907" s="6" t="str" cm="1">
        <f t="array" ref="H1907">IFERROR(IF(INDEX(EmployeeData[Exit Date], ROW() - 37)=0, "",INDEX(EmployeeData[Exit Date], ROW() - 37)),"")</f>
        <v/>
      </c>
      <c r="I1907" s="4" t="str" cm="1">
        <f t="array" ref="I1907">IFERROR(IF(INDEX(EmployeeData[Exit Reason], ROW() - 37)=0, "",INDEX(EmployeeData[Exit Reason], ROW() - 37)),"")</f>
        <v/>
      </c>
      <c r="J1907" s="4" t="str" cm="1">
        <f t="array" ref="J1907">IFERROR(INDEX(EmployeeData[Status], ROW() - 37), "")</f>
        <v/>
      </c>
    </row>
    <row r="1908" spans="2:10" ht="19.95" customHeight="1" x14ac:dyDescent="0.3">
      <c r="B1908" s="4" t="str" cm="1">
        <f t="array" ref="B1908">IFERROR(INDEX(EmployeeData[Employee ID], ROW() - 37), "")</f>
        <v/>
      </c>
      <c r="C1908" s="4" t="str" cm="1">
        <f t="array" ref="C1908">IFERROR(INDEX(EmployeeData[Full Name], ROW() - 37), "")</f>
        <v/>
      </c>
      <c r="D1908" s="4" t="str" cm="1">
        <f t="array" ref="D1908">IFERROR(INDEX(EmployeeData[Department], ROW() - 37), "")</f>
        <v/>
      </c>
      <c r="E1908" s="4" t="str" cm="1">
        <f t="array" ref="E1908">IFERROR(INDEX(EmployeeData[Gender], ROW() - 37), "")</f>
        <v/>
      </c>
      <c r="F1908" s="4" t="str" cm="1">
        <f t="array" ref="F1908">IFERROR(INDEX(EmployeeData[Age], ROW() - 37), "")</f>
        <v/>
      </c>
      <c r="G1908" s="6" t="str" cm="1">
        <f t="array" ref="G1908">IFERROR(INDEX(EmployeeData[Join Date], ROW() - 37), "")</f>
        <v/>
      </c>
      <c r="H1908" s="6" t="str" cm="1">
        <f t="array" ref="H1908">IFERROR(IF(INDEX(EmployeeData[Exit Date], ROW() - 37)=0, "",INDEX(EmployeeData[Exit Date], ROW() - 37)),"")</f>
        <v/>
      </c>
      <c r="I1908" s="4" t="str" cm="1">
        <f t="array" ref="I1908">IFERROR(IF(INDEX(EmployeeData[Exit Reason], ROW() - 37)=0, "",INDEX(EmployeeData[Exit Reason], ROW() - 37)),"")</f>
        <v/>
      </c>
      <c r="J1908" s="4" t="str" cm="1">
        <f t="array" ref="J1908">IFERROR(INDEX(EmployeeData[Status], ROW() - 37), "")</f>
        <v/>
      </c>
    </row>
    <row r="1909" spans="2:10" ht="19.95" customHeight="1" x14ac:dyDescent="0.3">
      <c r="B1909" s="4" t="str" cm="1">
        <f t="array" ref="B1909">IFERROR(INDEX(EmployeeData[Employee ID], ROW() - 37), "")</f>
        <v/>
      </c>
      <c r="C1909" s="4" t="str" cm="1">
        <f t="array" ref="C1909">IFERROR(INDEX(EmployeeData[Full Name], ROW() - 37), "")</f>
        <v/>
      </c>
      <c r="D1909" s="4" t="str" cm="1">
        <f t="array" ref="D1909">IFERROR(INDEX(EmployeeData[Department], ROW() - 37), "")</f>
        <v/>
      </c>
      <c r="E1909" s="4" t="str" cm="1">
        <f t="array" ref="E1909">IFERROR(INDEX(EmployeeData[Gender], ROW() - 37), "")</f>
        <v/>
      </c>
      <c r="F1909" s="4" t="str" cm="1">
        <f t="array" ref="F1909">IFERROR(INDEX(EmployeeData[Age], ROW() - 37), "")</f>
        <v/>
      </c>
      <c r="G1909" s="6" t="str" cm="1">
        <f t="array" ref="G1909">IFERROR(INDEX(EmployeeData[Join Date], ROW() - 37), "")</f>
        <v/>
      </c>
      <c r="H1909" s="6" t="str" cm="1">
        <f t="array" ref="H1909">IFERROR(IF(INDEX(EmployeeData[Exit Date], ROW() - 37)=0, "",INDEX(EmployeeData[Exit Date], ROW() - 37)),"")</f>
        <v/>
      </c>
      <c r="I1909" s="4" t="str" cm="1">
        <f t="array" ref="I1909">IFERROR(IF(INDEX(EmployeeData[Exit Reason], ROW() - 37)=0, "",INDEX(EmployeeData[Exit Reason], ROW() - 37)),"")</f>
        <v/>
      </c>
      <c r="J1909" s="4" t="str" cm="1">
        <f t="array" ref="J1909">IFERROR(INDEX(EmployeeData[Status], ROW() - 37), "")</f>
        <v/>
      </c>
    </row>
    <row r="1910" spans="2:10" ht="19.95" customHeight="1" x14ac:dyDescent="0.3">
      <c r="B1910" s="4" t="str" cm="1">
        <f t="array" ref="B1910">IFERROR(INDEX(EmployeeData[Employee ID], ROW() - 37), "")</f>
        <v/>
      </c>
      <c r="C1910" s="4" t="str" cm="1">
        <f t="array" ref="C1910">IFERROR(INDEX(EmployeeData[Full Name], ROW() - 37), "")</f>
        <v/>
      </c>
      <c r="D1910" s="4" t="str" cm="1">
        <f t="array" ref="D1910">IFERROR(INDEX(EmployeeData[Department], ROW() - 37), "")</f>
        <v/>
      </c>
      <c r="E1910" s="4" t="str" cm="1">
        <f t="array" ref="E1910">IFERROR(INDEX(EmployeeData[Gender], ROW() - 37), "")</f>
        <v/>
      </c>
      <c r="F1910" s="4" t="str" cm="1">
        <f t="array" ref="F1910">IFERROR(INDEX(EmployeeData[Age], ROW() - 37), "")</f>
        <v/>
      </c>
      <c r="G1910" s="6" t="str" cm="1">
        <f t="array" ref="G1910">IFERROR(INDEX(EmployeeData[Join Date], ROW() - 37), "")</f>
        <v/>
      </c>
      <c r="H1910" s="6" t="str" cm="1">
        <f t="array" ref="H1910">IFERROR(IF(INDEX(EmployeeData[Exit Date], ROW() - 37)=0, "",INDEX(EmployeeData[Exit Date], ROW() - 37)),"")</f>
        <v/>
      </c>
      <c r="I1910" s="4" t="str" cm="1">
        <f t="array" ref="I1910">IFERROR(IF(INDEX(EmployeeData[Exit Reason], ROW() - 37)=0, "",INDEX(EmployeeData[Exit Reason], ROW() - 37)),"")</f>
        <v/>
      </c>
      <c r="J1910" s="4" t="str" cm="1">
        <f t="array" ref="J1910">IFERROR(INDEX(EmployeeData[Status], ROW() - 37), "")</f>
        <v/>
      </c>
    </row>
    <row r="1911" spans="2:10" ht="19.95" customHeight="1" x14ac:dyDescent="0.3">
      <c r="B1911" s="4" t="str" cm="1">
        <f t="array" ref="B1911">IFERROR(INDEX(EmployeeData[Employee ID], ROW() - 37), "")</f>
        <v/>
      </c>
      <c r="C1911" s="4" t="str" cm="1">
        <f t="array" ref="C1911">IFERROR(INDEX(EmployeeData[Full Name], ROW() - 37), "")</f>
        <v/>
      </c>
      <c r="D1911" s="4" t="str" cm="1">
        <f t="array" ref="D1911">IFERROR(INDEX(EmployeeData[Department], ROW() - 37), "")</f>
        <v/>
      </c>
      <c r="E1911" s="4" t="str" cm="1">
        <f t="array" ref="E1911">IFERROR(INDEX(EmployeeData[Gender], ROW() - 37), "")</f>
        <v/>
      </c>
      <c r="F1911" s="4" t="str" cm="1">
        <f t="array" ref="F1911">IFERROR(INDEX(EmployeeData[Age], ROW() - 37), "")</f>
        <v/>
      </c>
      <c r="G1911" s="6" t="str" cm="1">
        <f t="array" ref="G1911">IFERROR(INDEX(EmployeeData[Join Date], ROW() - 37), "")</f>
        <v/>
      </c>
      <c r="H1911" s="6" t="str" cm="1">
        <f t="array" ref="H1911">IFERROR(IF(INDEX(EmployeeData[Exit Date], ROW() - 37)=0, "",INDEX(EmployeeData[Exit Date], ROW() - 37)),"")</f>
        <v/>
      </c>
      <c r="I1911" s="4" t="str" cm="1">
        <f t="array" ref="I1911">IFERROR(IF(INDEX(EmployeeData[Exit Reason], ROW() - 37)=0, "",INDEX(EmployeeData[Exit Reason], ROW() - 37)),"")</f>
        <v/>
      </c>
      <c r="J1911" s="4" t="str" cm="1">
        <f t="array" ref="J1911">IFERROR(INDEX(EmployeeData[Status], ROW() - 37), "")</f>
        <v/>
      </c>
    </row>
    <row r="1912" spans="2:10" ht="19.95" customHeight="1" x14ac:dyDescent="0.3">
      <c r="B1912" s="4" t="str" cm="1">
        <f t="array" ref="B1912">IFERROR(INDEX(EmployeeData[Employee ID], ROW() - 37), "")</f>
        <v/>
      </c>
      <c r="C1912" s="4" t="str" cm="1">
        <f t="array" ref="C1912">IFERROR(INDEX(EmployeeData[Full Name], ROW() - 37), "")</f>
        <v/>
      </c>
      <c r="D1912" s="4" t="str" cm="1">
        <f t="array" ref="D1912">IFERROR(INDEX(EmployeeData[Department], ROW() - 37), "")</f>
        <v/>
      </c>
      <c r="E1912" s="4" t="str" cm="1">
        <f t="array" ref="E1912">IFERROR(INDEX(EmployeeData[Gender], ROW() - 37), "")</f>
        <v/>
      </c>
      <c r="F1912" s="4" t="str" cm="1">
        <f t="array" ref="F1912">IFERROR(INDEX(EmployeeData[Age], ROW() - 37), "")</f>
        <v/>
      </c>
      <c r="G1912" s="6" t="str" cm="1">
        <f t="array" ref="G1912">IFERROR(INDEX(EmployeeData[Join Date], ROW() - 37), "")</f>
        <v/>
      </c>
      <c r="H1912" s="6" t="str" cm="1">
        <f t="array" ref="H1912">IFERROR(IF(INDEX(EmployeeData[Exit Date], ROW() - 37)=0, "",INDEX(EmployeeData[Exit Date], ROW() - 37)),"")</f>
        <v/>
      </c>
      <c r="I1912" s="4" t="str" cm="1">
        <f t="array" ref="I1912">IFERROR(IF(INDEX(EmployeeData[Exit Reason], ROW() - 37)=0, "",INDEX(EmployeeData[Exit Reason], ROW() - 37)),"")</f>
        <v/>
      </c>
      <c r="J1912" s="4" t="str" cm="1">
        <f t="array" ref="J1912">IFERROR(INDEX(EmployeeData[Status], ROW() - 37), "")</f>
        <v/>
      </c>
    </row>
    <row r="1913" spans="2:10" ht="19.95" customHeight="1" x14ac:dyDescent="0.3">
      <c r="B1913" s="4" t="str" cm="1">
        <f t="array" ref="B1913">IFERROR(INDEX(EmployeeData[Employee ID], ROW() - 37), "")</f>
        <v/>
      </c>
      <c r="C1913" s="4" t="str" cm="1">
        <f t="array" ref="C1913">IFERROR(INDEX(EmployeeData[Full Name], ROW() - 37), "")</f>
        <v/>
      </c>
      <c r="D1913" s="4" t="str" cm="1">
        <f t="array" ref="D1913">IFERROR(INDEX(EmployeeData[Department], ROW() - 37), "")</f>
        <v/>
      </c>
      <c r="E1913" s="4" t="str" cm="1">
        <f t="array" ref="E1913">IFERROR(INDEX(EmployeeData[Gender], ROW() - 37), "")</f>
        <v/>
      </c>
      <c r="F1913" s="4" t="str" cm="1">
        <f t="array" ref="F1913">IFERROR(INDEX(EmployeeData[Age], ROW() - 37), "")</f>
        <v/>
      </c>
      <c r="G1913" s="6" t="str" cm="1">
        <f t="array" ref="G1913">IFERROR(INDEX(EmployeeData[Join Date], ROW() - 37), "")</f>
        <v/>
      </c>
      <c r="H1913" s="6" t="str" cm="1">
        <f t="array" ref="H1913">IFERROR(IF(INDEX(EmployeeData[Exit Date], ROW() - 37)=0, "",INDEX(EmployeeData[Exit Date], ROW() - 37)),"")</f>
        <v/>
      </c>
      <c r="I1913" s="4" t="str" cm="1">
        <f t="array" ref="I1913">IFERROR(IF(INDEX(EmployeeData[Exit Reason], ROW() - 37)=0, "",INDEX(EmployeeData[Exit Reason], ROW() - 37)),"")</f>
        <v/>
      </c>
      <c r="J1913" s="4" t="str" cm="1">
        <f t="array" ref="J1913">IFERROR(INDEX(EmployeeData[Status], ROW() - 37), "")</f>
        <v/>
      </c>
    </row>
    <row r="1914" spans="2:10" ht="19.95" customHeight="1" x14ac:dyDescent="0.3">
      <c r="B1914" s="4" t="str" cm="1">
        <f t="array" ref="B1914">IFERROR(INDEX(EmployeeData[Employee ID], ROW() - 37), "")</f>
        <v/>
      </c>
      <c r="C1914" s="4" t="str" cm="1">
        <f t="array" ref="C1914">IFERROR(INDEX(EmployeeData[Full Name], ROW() - 37), "")</f>
        <v/>
      </c>
      <c r="D1914" s="4" t="str" cm="1">
        <f t="array" ref="D1914">IFERROR(INDEX(EmployeeData[Department], ROW() - 37), "")</f>
        <v/>
      </c>
      <c r="E1914" s="4" t="str" cm="1">
        <f t="array" ref="E1914">IFERROR(INDEX(EmployeeData[Gender], ROW() - 37), "")</f>
        <v/>
      </c>
      <c r="F1914" s="4" t="str" cm="1">
        <f t="array" ref="F1914">IFERROR(INDEX(EmployeeData[Age], ROW() - 37), "")</f>
        <v/>
      </c>
      <c r="G1914" s="6" t="str" cm="1">
        <f t="array" ref="G1914">IFERROR(INDEX(EmployeeData[Join Date], ROW() - 37), "")</f>
        <v/>
      </c>
      <c r="H1914" s="6" t="str" cm="1">
        <f t="array" ref="H1914">IFERROR(IF(INDEX(EmployeeData[Exit Date], ROW() - 37)=0, "",INDEX(EmployeeData[Exit Date], ROW() - 37)),"")</f>
        <v/>
      </c>
      <c r="I1914" s="4" t="str" cm="1">
        <f t="array" ref="I1914">IFERROR(IF(INDEX(EmployeeData[Exit Reason], ROW() - 37)=0, "",INDEX(EmployeeData[Exit Reason], ROW() - 37)),"")</f>
        <v/>
      </c>
      <c r="J1914" s="4" t="str" cm="1">
        <f t="array" ref="J1914">IFERROR(INDEX(EmployeeData[Status], ROW() - 37), "")</f>
        <v/>
      </c>
    </row>
    <row r="1915" spans="2:10" ht="19.95" customHeight="1" x14ac:dyDescent="0.3">
      <c r="B1915" s="4" t="str" cm="1">
        <f t="array" ref="B1915">IFERROR(INDEX(EmployeeData[Employee ID], ROW() - 37), "")</f>
        <v/>
      </c>
      <c r="C1915" s="4" t="str" cm="1">
        <f t="array" ref="C1915">IFERROR(INDEX(EmployeeData[Full Name], ROW() - 37), "")</f>
        <v/>
      </c>
      <c r="D1915" s="4" t="str" cm="1">
        <f t="array" ref="D1915">IFERROR(INDEX(EmployeeData[Department], ROW() - 37), "")</f>
        <v/>
      </c>
      <c r="E1915" s="4" t="str" cm="1">
        <f t="array" ref="E1915">IFERROR(INDEX(EmployeeData[Gender], ROW() - 37), "")</f>
        <v/>
      </c>
      <c r="F1915" s="4" t="str" cm="1">
        <f t="array" ref="F1915">IFERROR(INDEX(EmployeeData[Age], ROW() - 37), "")</f>
        <v/>
      </c>
      <c r="G1915" s="6" t="str" cm="1">
        <f t="array" ref="G1915">IFERROR(INDEX(EmployeeData[Join Date], ROW() - 37), "")</f>
        <v/>
      </c>
      <c r="H1915" s="6" t="str" cm="1">
        <f t="array" ref="H1915">IFERROR(IF(INDEX(EmployeeData[Exit Date], ROW() - 37)=0, "",INDEX(EmployeeData[Exit Date], ROW() - 37)),"")</f>
        <v/>
      </c>
      <c r="I1915" s="4" t="str" cm="1">
        <f t="array" ref="I1915">IFERROR(IF(INDEX(EmployeeData[Exit Reason], ROW() - 37)=0, "",INDEX(EmployeeData[Exit Reason], ROW() - 37)),"")</f>
        <v/>
      </c>
      <c r="J1915" s="4" t="str" cm="1">
        <f t="array" ref="J1915">IFERROR(INDEX(EmployeeData[Status], ROW() - 37), "")</f>
        <v/>
      </c>
    </row>
    <row r="1916" spans="2:10" ht="19.95" customHeight="1" x14ac:dyDescent="0.3">
      <c r="B1916" s="4" t="str" cm="1">
        <f t="array" ref="B1916">IFERROR(INDEX(EmployeeData[Employee ID], ROW() - 37), "")</f>
        <v/>
      </c>
      <c r="C1916" s="4" t="str" cm="1">
        <f t="array" ref="C1916">IFERROR(INDEX(EmployeeData[Full Name], ROW() - 37), "")</f>
        <v/>
      </c>
      <c r="D1916" s="4" t="str" cm="1">
        <f t="array" ref="D1916">IFERROR(INDEX(EmployeeData[Department], ROW() - 37), "")</f>
        <v/>
      </c>
      <c r="E1916" s="4" t="str" cm="1">
        <f t="array" ref="E1916">IFERROR(INDEX(EmployeeData[Gender], ROW() - 37), "")</f>
        <v/>
      </c>
      <c r="F1916" s="4" t="str" cm="1">
        <f t="array" ref="F1916">IFERROR(INDEX(EmployeeData[Age], ROW() - 37), "")</f>
        <v/>
      </c>
      <c r="G1916" s="6" t="str" cm="1">
        <f t="array" ref="G1916">IFERROR(INDEX(EmployeeData[Join Date], ROW() - 37), "")</f>
        <v/>
      </c>
      <c r="H1916" s="6" t="str" cm="1">
        <f t="array" ref="H1916">IFERROR(IF(INDEX(EmployeeData[Exit Date], ROW() - 37)=0, "",INDEX(EmployeeData[Exit Date], ROW() - 37)),"")</f>
        <v/>
      </c>
      <c r="I1916" s="4" t="str" cm="1">
        <f t="array" ref="I1916">IFERROR(IF(INDEX(EmployeeData[Exit Reason], ROW() - 37)=0, "",INDEX(EmployeeData[Exit Reason], ROW() - 37)),"")</f>
        <v/>
      </c>
      <c r="J1916" s="4" t="str" cm="1">
        <f t="array" ref="J1916">IFERROR(INDEX(EmployeeData[Status], ROW() - 37), "")</f>
        <v/>
      </c>
    </row>
    <row r="1917" spans="2:10" ht="19.95" customHeight="1" x14ac:dyDescent="0.3">
      <c r="B1917" s="4" t="str" cm="1">
        <f t="array" ref="B1917">IFERROR(INDEX(EmployeeData[Employee ID], ROW() - 37), "")</f>
        <v/>
      </c>
      <c r="C1917" s="4" t="str" cm="1">
        <f t="array" ref="C1917">IFERROR(INDEX(EmployeeData[Full Name], ROW() - 37), "")</f>
        <v/>
      </c>
      <c r="D1917" s="4" t="str" cm="1">
        <f t="array" ref="D1917">IFERROR(INDEX(EmployeeData[Department], ROW() - 37), "")</f>
        <v/>
      </c>
      <c r="E1917" s="4" t="str" cm="1">
        <f t="array" ref="E1917">IFERROR(INDEX(EmployeeData[Gender], ROW() - 37), "")</f>
        <v/>
      </c>
      <c r="F1917" s="4" t="str" cm="1">
        <f t="array" ref="F1917">IFERROR(INDEX(EmployeeData[Age], ROW() - 37), "")</f>
        <v/>
      </c>
      <c r="G1917" s="6" t="str" cm="1">
        <f t="array" ref="G1917">IFERROR(INDEX(EmployeeData[Join Date], ROW() - 37), "")</f>
        <v/>
      </c>
      <c r="H1917" s="6" t="str" cm="1">
        <f t="array" ref="H1917">IFERROR(IF(INDEX(EmployeeData[Exit Date], ROW() - 37)=0, "",INDEX(EmployeeData[Exit Date], ROW() - 37)),"")</f>
        <v/>
      </c>
      <c r="I1917" s="4" t="str" cm="1">
        <f t="array" ref="I1917">IFERROR(IF(INDEX(EmployeeData[Exit Reason], ROW() - 37)=0, "",INDEX(EmployeeData[Exit Reason], ROW() - 37)),"")</f>
        <v/>
      </c>
      <c r="J1917" s="4" t="str" cm="1">
        <f t="array" ref="J1917">IFERROR(INDEX(EmployeeData[Status], ROW() - 37), "")</f>
        <v/>
      </c>
    </row>
    <row r="1918" spans="2:10" ht="19.95" customHeight="1" x14ac:dyDescent="0.3">
      <c r="B1918" s="4" t="str" cm="1">
        <f t="array" ref="B1918">IFERROR(INDEX(EmployeeData[Employee ID], ROW() - 37), "")</f>
        <v/>
      </c>
      <c r="C1918" s="4" t="str" cm="1">
        <f t="array" ref="C1918">IFERROR(INDEX(EmployeeData[Full Name], ROW() - 37), "")</f>
        <v/>
      </c>
      <c r="D1918" s="4" t="str" cm="1">
        <f t="array" ref="D1918">IFERROR(INDEX(EmployeeData[Department], ROW() - 37), "")</f>
        <v/>
      </c>
      <c r="E1918" s="4" t="str" cm="1">
        <f t="array" ref="E1918">IFERROR(INDEX(EmployeeData[Gender], ROW() - 37), "")</f>
        <v/>
      </c>
      <c r="F1918" s="4" t="str" cm="1">
        <f t="array" ref="F1918">IFERROR(INDEX(EmployeeData[Age], ROW() - 37), "")</f>
        <v/>
      </c>
      <c r="G1918" s="6" t="str" cm="1">
        <f t="array" ref="G1918">IFERROR(INDEX(EmployeeData[Join Date], ROW() - 37), "")</f>
        <v/>
      </c>
      <c r="H1918" s="6" t="str" cm="1">
        <f t="array" ref="H1918">IFERROR(IF(INDEX(EmployeeData[Exit Date], ROW() - 37)=0, "",INDEX(EmployeeData[Exit Date], ROW() - 37)),"")</f>
        <v/>
      </c>
      <c r="I1918" s="4" t="str" cm="1">
        <f t="array" ref="I1918">IFERROR(IF(INDEX(EmployeeData[Exit Reason], ROW() - 37)=0, "",INDEX(EmployeeData[Exit Reason], ROW() - 37)),"")</f>
        <v/>
      </c>
      <c r="J1918" s="4" t="str" cm="1">
        <f t="array" ref="J1918">IFERROR(INDEX(EmployeeData[Status], ROW() - 37), "")</f>
        <v/>
      </c>
    </row>
    <row r="1919" spans="2:10" ht="19.95" customHeight="1" x14ac:dyDescent="0.3">
      <c r="B1919" s="4" t="str" cm="1">
        <f t="array" ref="B1919">IFERROR(INDEX(EmployeeData[Employee ID], ROW() - 37), "")</f>
        <v/>
      </c>
      <c r="C1919" s="4" t="str" cm="1">
        <f t="array" ref="C1919">IFERROR(INDEX(EmployeeData[Full Name], ROW() - 37), "")</f>
        <v/>
      </c>
      <c r="D1919" s="4" t="str" cm="1">
        <f t="array" ref="D1919">IFERROR(INDEX(EmployeeData[Department], ROW() - 37), "")</f>
        <v/>
      </c>
      <c r="E1919" s="4" t="str" cm="1">
        <f t="array" ref="E1919">IFERROR(INDEX(EmployeeData[Gender], ROW() - 37), "")</f>
        <v/>
      </c>
      <c r="F1919" s="4" t="str" cm="1">
        <f t="array" ref="F1919">IFERROR(INDEX(EmployeeData[Age], ROW() - 37), "")</f>
        <v/>
      </c>
      <c r="G1919" s="6" t="str" cm="1">
        <f t="array" ref="G1919">IFERROR(INDEX(EmployeeData[Join Date], ROW() - 37), "")</f>
        <v/>
      </c>
      <c r="H1919" s="6" t="str" cm="1">
        <f t="array" ref="H1919">IFERROR(IF(INDEX(EmployeeData[Exit Date], ROW() - 37)=0, "",INDEX(EmployeeData[Exit Date], ROW() - 37)),"")</f>
        <v/>
      </c>
      <c r="I1919" s="4" t="str" cm="1">
        <f t="array" ref="I1919">IFERROR(IF(INDEX(EmployeeData[Exit Reason], ROW() - 37)=0, "",INDEX(EmployeeData[Exit Reason], ROW() - 37)),"")</f>
        <v/>
      </c>
      <c r="J1919" s="4" t="str" cm="1">
        <f t="array" ref="J1919">IFERROR(INDEX(EmployeeData[Status], ROW() - 37), "")</f>
        <v/>
      </c>
    </row>
    <row r="1920" spans="2:10" ht="19.95" customHeight="1" x14ac:dyDescent="0.3">
      <c r="B1920" s="4" t="str" cm="1">
        <f t="array" ref="B1920">IFERROR(INDEX(EmployeeData[Employee ID], ROW() - 37), "")</f>
        <v/>
      </c>
      <c r="C1920" s="4" t="str" cm="1">
        <f t="array" ref="C1920">IFERROR(INDEX(EmployeeData[Full Name], ROW() - 37), "")</f>
        <v/>
      </c>
      <c r="D1920" s="4" t="str" cm="1">
        <f t="array" ref="D1920">IFERROR(INDEX(EmployeeData[Department], ROW() - 37), "")</f>
        <v/>
      </c>
      <c r="E1920" s="4" t="str" cm="1">
        <f t="array" ref="E1920">IFERROR(INDEX(EmployeeData[Gender], ROW() - 37), "")</f>
        <v/>
      </c>
      <c r="F1920" s="4" t="str" cm="1">
        <f t="array" ref="F1920">IFERROR(INDEX(EmployeeData[Age], ROW() - 37), "")</f>
        <v/>
      </c>
      <c r="G1920" s="6" t="str" cm="1">
        <f t="array" ref="G1920">IFERROR(INDEX(EmployeeData[Join Date], ROW() - 37), "")</f>
        <v/>
      </c>
      <c r="H1920" s="6" t="str" cm="1">
        <f t="array" ref="H1920">IFERROR(IF(INDEX(EmployeeData[Exit Date], ROW() - 37)=0, "",INDEX(EmployeeData[Exit Date], ROW() - 37)),"")</f>
        <v/>
      </c>
      <c r="I1920" s="4" t="str" cm="1">
        <f t="array" ref="I1920">IFERROR(IF(INDEX(EmployeeData[Exit Reason], ROW() - 37)=0, "",INDEX(EmployeeData[Exit Reason], ROW() - 37)),"")</f>
        <v/>
      </c>
      <c r="J1920" s="4" t="str" cm="1">
        <f t="array" ref="J1920">IFERROR(INDEX(EmployeeData[Status], ROW() - 37), "")</f>
        <v/>
      </c>
    </row>
    <row r="1921" spans="2:10" ht="19.95" customHeight="1" x14ac:dyDescent="0.3">
      <c r="B1921" s="4" t="str" cm="1">
        <f t="array" ref="B1921">IFERROR(INDEX(EmployeeData[Employee ID], ROW() - 37), "")</f>
        <v/>
      </c>
      <c r="C1921" s="4" t="str" cm="1">
        <f t="array" ref="C1921">IFERROR(INDEX(EmployeeData[Full Name], ROW() - 37), "")</f>
        <v/>
      </c>
      <c r="D1921" s="4" t="str" cm="1">
        <f t="array" ref="D1921">IFERROR(INDEX(EmployeeData[Department], ROW() - 37), "")</f>
        <v/>
      </c>
      <c r="E1921" s="4" t="str" cm="1">
        <f t="array" ref="E1921">IFERROR(INDEX(EmployeeData[Gender], ROW() - 37), "")</f>
        <v/>
      </c>
      <c r="F1921" s="4" t="str" cm="1">
        <f t="array" ref="F1921">IFERROR(INDEX(EmployeeData[Age], ROW() - 37), "")</f>
        <v/>
      </c>
      <c r="G1921" s="6" t="str" cm="1">
        <f t="array" ref="G1921">IFERROR(INDEX(EmployeeData[Join Date], ROW() - 37), "")</f>
        <v/>
      </c>
      <c r="H1921" s="6" t="str" cm="1">
        <f t="array" ref="H1921">IFERROR(IF(INDEX(EmployeeData[Exit Date], ROW() - 37)=0, "",INDEX(EmployeeData[Exit Date], ROW() - 37)),"")</f>
        <v/>
      </c>
      <c r="I1921" s="4" t="str" cm="1">
        <f t="array" ref="I1921">IFERROR(IF(INDEX(EmployeeData[Exit Reason], ROW() - 37)=0, "",INDEX(EmployeeData[Exit Reason], ROW() - 37)),"")</f>
        <v/>
      </c>
      <c r="J1921" s="4" t="str" cm="1">
        <f t="array" ref="J1921">IFERROR(INDEX(EmployeeData[Status], ROW() - 37), "")</f>
        <v/>
      </c>
    </row>
    <row r="1922" spans="2:10" ht="19.95" customHeight="1" x14ac:dyDescent="0.3">
      <c r="B1922" s="4" t="str" cm="1">
        <f t="array" ref="B1922">IFERROR(INDEX(EmployeeData[Employee ID], ROW() - 37), "")</f>
        <v/>
      </c>
      <c r="C1922" s="4" t="str" cm="1">
        <f t="array" ref="C1922">IFERROR(INDEX(EmployeeData[Full Name], ROW() - 37), "")</f>
        <v/>
      </c>
      <c r="D1922" s="4" t="str" cm="1">
        <f t="array" ref="D1922">IFERROR(INDEX(EmployeeData[Department], ROW() - 37), "")</f>
        <v/>
      </c>
      <c r="E1922" s="4" t="str" cm="1">
        <f t="array" ref="E1922">IFERROR(INDEX(EmployeeData[Gender], ROW() - 37), "")</f>
        <v/>
      </c>
      <c r="F1922" s="4" t="str" cm="1">
        <f t="array" ref="F1922">IFERROR(INDEX(EmployeeData[Age], ROW() - 37), "")</f>
        <v/>
      </c>
      <c r="G1922" s="6" t="str" cm="1">
        <f t="array" ref="G1922">IFERROR(INDEX(EmployeeData[Join Date], ROW() - 37), "")</f>
        <v/>
      </c>
      <c r="H1922" s="6" t="str" cm="1">
        <f t="array" ref="H1922">IFERROR(IF(INDEX(EmployeeData[Exit Date], ROW() - 37)=0, "",INDEX(EmployeeData[Exit Date], ROW() - 37)),"")</f>
        <v/>
      </c>
      <c r="I1922" s="4" t="str" cm="1">
        <f t="array" ref="I1922">IFERROR(IF(INDEX(EmployeeData[Exit Reason], ROW() - 37)=0, "",INDEX(EmployeeData[Exit Reason], ROW() - 37)),"")</f>
        <v/>
      </c>
      <c r="J1922" s="4" t="str" cm="1">
        <f t="array" ref="J1922">IFERROR(INDEX(EmployeeData[Status], ROW() - 37), "")</f>
        <v/>
      </c>
    </row>
    <row r="1923" spans="2:10" ht="19.95" customHeight="1" x14ac:dyDescent="0.3">
      <c r="B1923" s="4" t="str" cm="1">
        <f t="array" ref="B1923">IFERROR(INDEX(EmployeeData[Employee ID], ROW() - 37), "")</f>
        <v/>
      </c>
      <c r="C1923" s="4" t="str" cm="1">
        <f t="array" ref="C1923">IFERROR(INDEX(EmployeeData[Full Name], ROW() - 37), "")</f>
        <v/>
      </c>
      <c r="D1923" s="4" t="str" cm="1">
        <f t="array" ref="D1923">IFERROR(INDEX(EmployeeData[Department], ROW() - 37), "")</f>
        <v/>
      </c>
      <c r="E1923" s="4" t="str" cm="1">
        <f t="array" ref="E1923">IFERROR(INDEX(EmployeeData[Gender], ROW() - 37), "")</f>
        <v/>
      </c>
      <c r="F1923" s="4" t="str" cm="1">
        <f t="array" ref="F1923">IFERROR(INDEX(EmployeeData[Age], ROW() - 37), "")</f>
        <v/>
      </c>
      <c r="G1923" s="6" t="str" cm="1">
        <f t="array" ref="G1923">IFERROR(INDEX(EmployeeData[Join Date], ROW() - 37), "")</f>
        <v/>
      </c>
      <c r="H1923" s="6" t="str" cm="1">
        <f t="array" ref="H1923">IFERROR(IF(INDEX(EmployeeData[Exit Date], ROW() - 37)=0, "",INDEX(EmployeeData[Exit Date], ROW() - 37)),"")</f>
        <v/>
      </c>
      <c r="I1923" s="4" t="str" cm="1">
        <f t="array" ref="I1923">IFERROR(IF(INDEX(EmployeeData[Exit Reason], ROW() - 37)=0, "",INDEX(EmployeeData[Exit Reason], ROW() - 37)),"")</f>
        <v/>
      </c>
      <c r="J1923" s="4" t="str" cm="1">
        <f t="array" ref="J1923">IFERROR(INDEX(EmployeeData[Status], ROW() - 37), "")</f>
        <v/>
      </c>
    </row>
    <row r="1924" spans="2:10" ht="19.95" customHeight="1" x14ac:dyDescent="0.3">
      <c r="B1924" s="4" t="str" cm="1">
        <f t="array" ref="B1924">IFERROR(INDEX(EmployeeData[Employee ID], ROW() - 37), "")</f>
        <v/>
      </c>
      <c r="C1924" s="4" t="str" cm="1">
        <f t="array" ref="C1924">IFERROR(INDEX(EmployeeData[Full Name], ROW() - 37), "")</f>
        <v/>
      </c>
      <c r="D1924" s="4" t="str" cm="1">
        <f t="array" ref="D1924">IFERROR(INDEX(EmployeeData[Department], ROW() - 37), "")</f>
        <v/>
      </c>
      <c r="E1924" s="4" t="str" cm="1">
        <f t="array" ref="E1924">IFERROR(INDEX(EmployeeData[Gender], ROW() - 37), "")</f>
        <v/>
      </c>
      <c r="F1924" s="4" t="str" cm="1">
        <f t="array" ref="F1924">IFERROR(INDEX(EmployeeData[Age], ROW() - 37), "")</f>
        <v/>
      </c>
      <c r="G1924" s="6" t="str" cm="1">
        <f t="array" ref="G1924">IFERROR(INDEX(EmployeeData[Join Date], ROW() - 37), "")</f>
        <v/>
      </c>
      <c r="H1924" s="6" t="str" cm="1">
        <f t="array" ref="H1924">IFERROR(IF(INDEX(EmployeeData[Exit Date], ROW() - 37)=0, "",INDEX(EmployeeData[Exit Date], ROW() - 37)),"")</f>
        <v/>
      </c>
      <c r="I1924" s="4" t="str" cm="1">
        <f t="array" ref="I1924">IFERROR(IF(INDEX(EmployeeData[Exit Reason], ROW() - 37)=0, "",INDEX(EmployeeData[Exit Reason], ROW() - 37)),"")</f>
        <v/>
      </c>
      <c r="J1924" s="4" t="str" cm="1">
        <f t="array" ref="J1924">IFERROR(INDEX(EmployeeData[Status], ROW() - 37), "")</f>
        <v/>
      </c>
    </row>
    <row r="1925" spans="2:10" ht="19.95" customHeight="1" x14ac:dyDescent="0.3">
      <c r="B1925" s="4" t="str" cm="1">
        <f t="array" ref="B1925">IFERROR(INDEX(EmployeeData[Employee ID], ROW() - 37), "")</f>
        <v/>
      </c>
      <c r="C1925" s="4" t="str" cm="1">
        <f t="array" ref="C1925">IFERROR(INDEX(EmployeeData[Full Name], ROW() - 37), "")</f>
        <v/>
      </c>
      <c r="D1925" s="4" t="str" cm="1">
        <f t="array" ref="D1925">IFERROR(INDEX(EmployeeData[Department], ROW() - 37), "")</f>
        <v/>
      </c>
      <c r="E1925" s="4" t="str" cm="1">
        <f t="array" ref="E1925">IFERROR(INDEX(EmployeeData[Gender], ROW() - 37), "")</f>
        <v/>
      </c>
      <c r="F1925" s="4" t="str" cm="1">
        <f t="array" ref="F1925">IFERROR(INDEX(EmployeeData[Age], ROW() - 37), "")</f>
        <v/>
      </c>
      <c r="G1925" s="6" t="str" cm="1">
        <f t="array" ref="G1925">IFERROR(INDEX(EmployeeData[Join Date], ROW() - 37), "")</f>
        <v/>
      </c>
      <c r="H1925" s="6" t="str" cm="1">
        <f t="array" ref="H1925">IFERROR(IF(INDEX(EmployeeData[Exit Date], ROW() - 37)=0, "",INDEX(EmployeeData[Exit Date], ROW() - 37)),"")</f>
        <v/>
      </c>
      <c r="I1925" s="4" t="str" cm="1">
        <f t="array" ref="I1925">IFERROR(IF(INDEX(EmployeeData[Exit Reason], ROW() - 37)=0, "",INDEX(EmployeeData[Exit Reason], ROW() - 37)),"")</f>
        <v/>
      </c>
      <c r="J1925" s="4" t="str" cm="1">
        <f t="array" ref="J1925">IFERROR(INDEX(EmployeeData[Status], ROW() - 37), "")</f>
        <v/>
      </c>
    </row>
    <row r="1926" spans="2:10" ht="19.95" customHeight="1" x14ac:dyDescent="0.3">
      <c r="B1926" s="4" t="str" cm="1">
        <f t="array" ref="B1926">IFERROR(INDEX(EmployeeData[Employee ID], ROW() - 37), "")</f>
        <v/>
      </c>
      <c r="C1926" s="4" t="str" cm="1">
        <f t="array" ref="C1926">IFERROR(INDEX(EmployeeData[Full Name], ROW() - 37), "")</f>
        <v/>
      </c>
      <c r="D1926" s="4" t="str" cm="1">
        <f t="array" ref="D1926">IFERROR(INDEX(EmployeeData[Department], ROW() - 37), "")</f>
        <v/>
      </c>
      <c r="E1926" s="4" t="str" cm="1">
        <f t="array" ref="E1926">IFERROR(INDEX(EmployeeData[Gender], ROW() - 37), "")</f>
        <v/>
      </c>
      <c r="F1926" s="4" t="str" cm="1">
        <f t="array" ref="F1926">IFERROR(INDEX(EmployeeData[Age], ROW() - 37), "")</f>
        <v/>
      </c>
      <c r="G1926" s="6" t="str" cm="1">
        <f t="array" ref="G1926">IFERROR(INDEX(EmployeeData[Join Date], ROW() - 37), "")</f>
        <v/>
      </c>
      <c r="H1926" s="6" t="str" cm="1">
        <f t="array" ref="H1926">IFERROR(IF(INDEX(EmployeeData[Exit Date], ROW() - 37)=0, "",INDEX(EmployeeData[Exit Date], ROW() - 37)),"")</f>
        <v/>
      </c>
      <c r="I1926" s="4" t="str" cm="1">
        <f t="array" ref="I1926">IFERROR(IF(INDEX(EmployeeData[Exit Reason], ROW() - 37)=0, "",INDEX(EmployeeData[Exit Reason], ROW() - 37)),"")</f>
        <v/>
      </c>
      <c r="J1926" s="4" t="str" cm="1">
        <f t="array" ref="J1926">IFERROR(INDEX(EmployeeData[Status], ROW() - 37), "")</f>
        <v/>
      </c>
    </row>
    <row r="1927" spans="2:10" ht="19.95" customHeight="1" x14ac:dyDescent="0.3">
      <c r="B1927" s="4" t="str" cm="1">
        <f t="array" ref="B1927">IFERROR(INDEX(EmployeeData[Employee ID], ROW() - 37), "")</f>
        <v/>
      </c>
      <c r="C1927" s="4" t="str" cm="1">
        <f t="array" ref="C1927">IFERROR(INDEX(EmployeeData[Full Name], ROW() - 37), "")</f>
        <v/>
      </c>
      <c r="D1927" s="4" t="str" cm="1">
        <f t="array" ref="D1927">IFERROR(INDEX(EmployeeData[Department], ROW() - 37), "")</f>
        <v/>
      </c>
      <c r="E1927" s="4" t="str" cm="1">
        <f t="array" ref="E1927">IFERROR(INDEX(EmployeeData[Gender], ROW() - 37), "")</f>
        <v/>
      </c>
      <c r="F1927" s="4" t="str" cm="1">
        <f t="array" ref="F1927">IFERROR(INDEX(EmployeeData[Age], ROW() - 37), "")</f>
        <v/>
      </c>
      <c r="G1927" s="6" t="str" cm="1">
        <f t="array" ref="G1927">IFERROR(INDEX(EmployeeData[Join Date], ROW() - 37), "")</f>
        <v/>
      </c>
      <c r="H1927" s="6" t="str" cm="1">
        <f t="array" ref="H1927">IFERROR(IF(INDEX(EmployeeData[Exit Date], ROW() - 37)=0, "",INDEX(EmployeeData[Exit Date], ROW() - 37)),"")</f>
        <v/>
      </c>
      <c r="I1927" s="4" t="str" cm="1">
        <f t="array" ref="I1927">IFERROR(IF(INDEX(EmployeeData[Exit Reason], ROW() - 37)=0, "",INDEX(EmployeeData[Exit Reason], ROW() - 37)),"")</f>
        <v/>
      </c>
      <c r="J1927" s="4" t="str" cm="1">
        <f t="array" ref="J1927">IFERROR(INDEX(EmployeeData[Status], ROW() - 37), "")</f>
        <v/>
      </c>
    </row>
    <row r="1928" spans="2:10" ht="19.95" customHeight="1" x14ac:dyDescent="0.3">
      <c r="B1928" s="4" t="str" cm="1">
        <f t="array" ref="B1928">IFERROR(INDEX(EmployeeData[Employee ID], ROW() - 37), "")</f>
        <v/>
      </c>
      <c r="C1928" s="4" t="str" cm="1">
        <f t="array" ref="C1928">IFERROR(INDEX(EmployeeData[Full Name], ROW() - 37), "")</f>
        <v/>
      </c>
      <c r="D1928" s="4" t="str" cm="1">
        <f t="array" ref="D1928">IFERROR(INDEX(EmployeeData[Department], ROW() - 37), "")</f>
        <v/>
      </c>
      <c r="E1928" s="4" t="str" cm="1">
        <f t="array" ref="E1928">IFERROR(INDEX(EmployeeData[Gender], ROW() - 37), "")</f>
        <v/>
      </c>
      <c r="F1928" s="4" t="str" cm="1">
        <f t="array" ref="F1928">IFERROR(INDEX(EmployeeData[Age], ROW() - 37), "")</f>
        <v/>
      </c>
      <c r="G1928" s="6" t="str" cm="1">
        <f t="array" ref="G1928">IFERROR(INDEX(EmployeeData[Join Date], ROW() - 37), "")</f>
        <v/>
      </c>
      <c r="H1928" s="6" t="str" cm="1">
        <f t="array" ref="H1928">IFERROR(IF(INDEX(EmployeeData[Exit Date], ROW() - 37)=0, "",INDEX(EmployeeData[Exit Date], ROW() - 37)),"")</f>
        <v/>
      </c>
      <c r="I1928" s="4" t="str" cm="1">
        <f t="array" ref="I1928">IFERROR(IF(INDEX(EmployeeData[Exit Reason], ROW() - 37)=0, "",INDEX(EmployeeData[Exit Reason], ROW() - 37)),"")</f>
        <v/>
      </c>
      <c r="J1928" s="4" t="str" cm="1">
        <f t="array" ref="J1928">IFERROR(INDEX(EmployeeData[Status], ROW() - 37), "")</f>
        <v/>
      </c>
    </row>
    <row r="1929" spans="2:10" ht="19.95" customHeight="1" x14ac:dyDescent="0.3">
      <c r="B1929" s="4" t="str" cm="1">
        <f t="array" ref="B1929">IFERROR(INDEX(EmployeeData[Employee ID], ROW() - 37), "")</f>
        <v/>
      </c>
      <c r="C1929" s="4" t="str" cm="1">
        <f t="array" ref="C1929">IFERROR(INDEX(EmployeeData[Full Name], ROW() - 37), "")</f>
        <v/>
      </c>
      <c r="D1929" s="4" t="str" cm="1">
        <f t="array" ref="D1929">IFERROR(INDEX(EmployeeData[Department], ROW() - 37), "")</f>
        <v/>
      </c>
      <c r="E1929" s="4" t="str" cm="1">
        <f t="array" ref="E1929">IFERROR(INDEX(EmployeeData[Gender], ROW() - 37), "")</f>
        <v/>
      </c>
      <c r="F1929" s="4" t="str" cm="1">
        <f t="array" ref="F1929">IFERROR(INDEX(EmployeeData[Age], ROW() - 37), "")</f>
        <v/>
      </c>
      <c r="G1929" s="6" t="str" cm="1">
        <f t="array" ref="G1929">IFERROR(INDEX(EmployeeData[Join Date], ROW() - 37), "")</f>
        <v/>
      </c>
      <c r="H1929" s="6" t="str" cm="1">
        <f t="array" ref="H1929">IFERROR(IF(INDEX(EmployeeData[Exit Date], ROW() - 37)=0, "",INDEX(EmployeeData[Exit Date], ROW() - 37)),"")</f>
        <v/>
      </c>
      <c r="I1929" s="4" t="str" cm="1">
        <f t="array" ref="I1929">IFERROR(IF(INDEX(EmployeeData[Exit Reason], ROW() - 37)=0, "",INDEX(EmployeeData[Exit Reason], ROW() - 37)),"")</f>
        <v/>
      </c>
      <c r="J1929" s="4" t="str" cm="1">
        <f t="array" ref="J1929">IFERROR(INDEX(EmployeeData[Status], ROW() - 37), "")</f>
        <v/>
      </c>
    </row>
    <row r="1930" spans="2:10" ht="19.95" customHeight="1" x14ac:dyDescent="0.3">
      <c r="B1930" s="4" t="str" cm="1">
        <f t="array" ref="B1930">IFERROR(INDEX(EmployeeData[Employee ID], ROW() - 37), "")</f>
        <v/>
      </c>
      <c r="C1930" s="4" t="str" cm="1">
        <f t="array" ref="C1930">IFERROR(INDEX(EmployeeData[Full Name], ROW() - 37), "")</f>
        <v/>
      </c>
      <c r="D1930" s="4" t="str" cm="1">
        <f t="array" ref="D1930">IFERROR(INDEX(EmployeeData[Department], ROW() - 37), "")</f>
        <v/>
      </c>
      <c r="E1930" s="4" t="str" cm="1">
        <f t="array" ref="E1930">IFERROR(INDEX(EmployeeData[Gender], ROW() - 37), "")</f>
        <v/>
      </c>
      <c r="F1930" s="4" t="str" cm="1">
        <f t="array" ref="F1930">IFERROR(INDEX(EmployeeData[Age], ROW() - 37), "")</f>
        <v/>
      </c>
      <c r="G1930" s="6" t="str" cm="1">
        <f t="array" ref="G1930">IFERROR(INDEX(EmployeeData[Join Date], ROW() - 37), "")</f>
        <v/>
      </c>
      <c r="H1930" s="6" t="str" cm="1">
        <f t="array" ref="H1930">IFERROR(IF(INDEX(EmployeeData[Exit Date], ROW() - 37)=0, "",INDEX(EmployeeData[Exit Date], ROW() - 37)),"")</f>
        <v/>
      </c>
      <c r="I1930" s="4" t="str" cm="1">
        <f t="array" ref="I1930">IFERROR(IF(INDEX(EmployeeData[Exit Reason], ROW() - 37)=0, "",INDEX(EmployeeData[Exit Reason], ROW() - 37)),"")</f>
        <v/>
      </c>
      <c r="J1930" s="4" t="str" cm="1">
        <f t="array" ref="J1930">IFERROR(INDEX(EmployeeData[Status], ROW() - 37), "")</f>
        <v/>
      </c>
    </row>
    <row r="1931" spans="2:10" ht="19.95" customHeight="1" x14ac:dyDescent="0.3">
      <c r="B1931" s="4" t="str" cm="1">
        <f t="array" ref="B1931">IFERROR(INDEX(EmployeeData[Employee ID], ROW() - 37), "")</f>
        <v/>
      </c>
      <c r="C1931" s="4" t="str" cm="1">
        <f t="array" ref="C1931">IFERROR(INDEX(EmployeeData[Full Name], ROW() - 37), "")</f>
        <v/>
      </c>
      <c r="D1931" s="4" t="str" cm="1">
        <f t="array" ref="D1931">IFERROR(INDEX(EmployeeData[Department], ROW() - 37), "")</f>
        <v/>
      </c>
      <c r="E1931" s="4" t="str" cm="1">
        <f t="array" ref="E1931">IFERROR(INDEX(EmployeeData[Gender], ROW() - 37), "")</f>
        <v/>
      </c>
      <c r="F1931" s="4" t="str" cm="1">
        <f t="array" ref="F1931">IFERROR(INDEX(EmployeeData[Age], ROW() - 37), "")</f>
        <v/>
      </c>
      <c r="G1931" s="6" t="str" cm="1">
        <f t="array" ref="G1931">IFERROR(INDEX(EmployeeData[Join Date], ROW() - 37), "")</f>
        <v/>
      </c>
      <c r="H1931" s="6" t="str" cm="1">
        <f t="array" ref="H1931">IFERROR(IF(INDEX(EmployeeData[Exit Date], ROW() - 37)=0, "",INDEX(EmployeeData[Exit Date], ROW() - 37)),"")</f>
        <v/>
      </c>
      <c r="I1931" s="4" t="str" cm="1">
        <f t="array" ref="I1931">IFERROR(IF(INDEX(EmployeeData[Exit Reason], ROW() - 37)=0, "",INDEX(EmployeeData[Exit Reason], ROW() - 37)),"")</f>
        <v/>
      </c>
      <c r="J1931" s="4" t="str" cm="1">
        <f t="array" ref="J1931">IFERROR(INDEX(EmployeeData[Status], ROW() - 37), "")</f>
        <v/>
      </c>
    </row>
    <row r="1932" spans="2:10" ht="19.95" customHeight="1" x14ac:dyDescent="0.3">
      <c r="B1932" s="4" t="str" cm="1">
        <f t="array" ref="B1932">IFERROR(INDEX(EmployeeData[Employee ID], ROW() - 37), "")</f>
        <v/>
      </c>
      <c r="C1932" s="4" t="str" cm="1">
        <f t="array" ref="C1932">IFERROR(INDEX(EmployeeData[Full Name], ROW() - 37), "")</f>
        <v/>
      </c>
      <c r="D1932" s="4" t="str" cm="1">
        <f t="array" ref="D1932">IFERROR(INDEX(EmployeeData[Department], ROW() - 37), "")</f>
        <v/>
      </c>
      <c r="E1932" s="4" t="str" cm="1">
        <f t="array" ref="E1932">IFERROR(INDEX(EmployeeData[Gender], ROW() - 37), "")</f>
        <v/>
      </c>
      <c r="F1932" s="4" t="str" cm="1">
        <f t="array" ref="F1932">IFERROR(INDEX(EmployeeData[Age], ROW() - 37), "")</f>
        <v/>
      </c>
      <c r="G1932" s="6" t="str" cm="1">
        <f t="array" ref="G1932">IFERROR(INDEX(EmployeeData[Join Date], ROW() - 37), "")</f>
        <v/>
      </c>
      <c r="H1932" s="6" t="str" cm="1">
        <f t="array" ref="H1932">IFERROR(IF(INDEX(EmployeeData[Exit Date], ROW() - 37)=0, "",INDEX(EmployeeData[Exit Date], ROW() - 37)),"")</f>
        <v/>
      </c>
      <c r="I1932" s="4" t="str" cm="1">
        <f t="array" ref="I1932">IFERROR(IF(INDEX(EmployeeData[Exit Reason], ROW() - 37)=0, "",INDEX(EmployeeData[Exit Reason], ROW() - 37)),"")</f>
        <v/>
      </c>
      <c r="J1932" s="4" t="str" cm="1">
        <f t="array" ref="J1932">IFERROR(INDEX(EmployeeData[Status], ROW() - 37), "")</f>
        <v/>
      </c>
    </row>
    <row r="1933" spans="2:10" ht="19.95" customHeight="1" x14ac:dyDescent="0.3">
      <c r="B1933" s="4" t="str" cm="1">
        <f t="array" ref="B1933">IFERROR(INDEX(EmployeeData[Employee ID], ROW() - 37), "")</f>
        <v/>
      </c>
      <c r="C1933" s="4" t="str" cm="1">
        <f t="array" ref="C1933">IFERROR(INDEX(EmployeeData[Full Name], ROW() - 37), "")</f>
        <v/>
      </c>
      <c r="D1933" s="4" t="str" cm="1">
        <f t="array" ref="D1933">IFERROR(INDEX(EmployeeData[Department], ROW() - 37), "")</f>
        <v/>
      </c>
      <c r="E1933" s="4" t="str" cm="1">
        <f t="array" ref="E1933">IFERROR(INDEX(EmployeeData[Gender], ROW() - 37), "")</f>
        <v/>
      </c>
      <c r="F1933" s="4" t="str" cm="1">
        <f t="array" ref="F1933">IFERROR(INDEX(EmployeeData[Age], ROW() - 37), "")</f>
        <v/>
      </c>
      <c r="G1933" s="6" t="str" cm="1">
        <f t="array" ref="G1933">IFERROR(INDEX(EmployeeData[Join Date], ROW() - 37), "")</f>
        <v/>
      </c>
      <c r="H1933" s="6" t="str" cm="1">
        <f t="array" ref="H1933">IFERROR(IF(INDEX(EmployeeData[Exit Date], ROW() - 37)=0, "",INDEX(EmployeeData[Exit Date], ROW() - 37)),"")</f>
        <v/>
      </c>
      <c r="I1933" s="4" t="str" cm="1">
        <f t="array" ref="I1933">IFERROR(IF(INDEX(EmployeeData[Exit Reason], ROW() - 37)=0, "",INDEX(EmployeeData[Exit Reason], ROW() - 37)),"")</f>
        <v/>
      </c>
      <c r="J1933" s="4" t="str" cm="1">
        <f t="array" ref="J1933">IFERROR(INDEX(EmployeeData[Status], ROW() - 37), "")</f>
        <v/>
      </c>
    </row>
    <row r="1934" spans="2:10" ht="19.95" customHeight="1" x14ac:dyDescent="0.3">
      <c r="B1934" s="4" t="str" cm="1">
        <f t="array" ref="B1934">IFERROR(INDEX(EmployeeData[Employee ID], ROW() - 37), "")</f>
        <v/>
      </c>
      <c r="C1934" s="4" t="str" cm="1">
        <f t="array" ref="C1934">IFERROR(INDEX(EmployeeData[Full Name], ROW() - 37), "")</f>
        <v/>
      </c>
      <c r="D1934" s="4" t="str" cm="1">
        <f t="array" ref="D1934">IFERROR(INDEX(EmployeeData[Department], ROW() - 37), "")</f>
        <v/>
      </c>
      <c r="E1934" s="4" t="str" cm="1">
        <f t="array" ref="E1934">IFERROR(INDEX(EmployeeData[Gender], ROW() - 37), "")</f>
        <v/>
      </c>
      <c r="F1934" s="4" t="str" cm="1">
        <f t="array" ref="F1934">IFERROR(INDEX(EmployeeData[Age], ROW() - 37), "")</f>
        <v/>
      </c>
      <c r="G1934" s="6" t="str" cm="1">
        <f t="array" ref="G1934">IFERROR(INDEX(EmployeeData[Join Date], ROW() - 37), "")</f>
        <v/>
      </c>
      <c r="H1934" s="6" t="str" cm="1">
        <f t="array" ref="H1934">IFERROR(IF(INDEX(EmployeeData[Exit Date], ROW() - 37)=0, "",INDEX(EmployeeData[Exit Date], ROW() - 37)),"")</f>
        <v/>
      </c>
      <c r="I1934" s="4" t="str" cm="1">
        <f t="array" ref="I1934">IFERROR(IF(INDEX(EmployeeData[Exit Reason], ROW() - 37)=0, "",INDEX(EmployeeData[Exit Reason], ROW() - 37)),"")</f>
        <v/>
      </c>
      <c r="J1934" s="4" t="str" cm="1">
        <f t="array" ref="J1934">IFERROR(INDEX(EmployeeData[Status], ROW() - 37), "")</f>
        <v/>
      </c>
    </row>
    <row r="1935" spans="2:10" ht="19.95" customHeight="1" x14ac:dyDescent="0.3">
      <c r="B1935" s="4" t="str" cm="1">
        <f t="array" ref="B1935">IFERROR(INDEX(EmployeeData[Employee ID], ROW() - 37), "")</f>
        <v/>
      </c>
      <c r="C1935" s="4" t="str" cm="1">
        <f t="array" ref="C1935">IFERROR(INDEX(EmployeeData[Full Name], ROW() - 37), "")</f>
        <v/>
      </c>
      <c r="D1935" s="4" t="str" cm="1">
        <f t="array" ref="D1935">IFERROR(INDEX(EmployeeData[Department], ROW() - 37), "")</f>
        <v/>
      </c>
      <c r="E1935" s="4" t="str" cm="1">
        <f t="array" ref="E1935">IFERROR(INDEX(EmployeeData[Gender], ROW() - 37), "")</f>
        <v/>
      </c>
      <c r="F1935" s="4" t="str" cm="1">
        <f t="array" ref="F1935">IFERROR(INDEX(EmployeeData[Age], ROW() - 37), "")</f>
        <v/>
      </c>
      <c r="G1935" s="6" t="str" cm="1">
        <f t="array" ref="G1935">IFERROR(INDEX(EmployeeData[Join Date], ROW() - 37), "")</f>
        <v/>
      </c>
      <c r="H1935" s="6" t="str" cm="1">
        <f t="array" ref="H1935">IFERROR(IF(INDEX(EmployeeData[Exit Date], ROW() - 37)=0, "",INDEX(EmployeeData[Exit Date], ROW() - 37)),"")</f>
        <v/>
      </c>
      <c r="I1935" s="4" t="str" cm="1">
        <f t="array" ref="I1935">IFERROR(IF(INDEX(EmployeeData[Exit Reason], ROW() - 37)=0, "",INDEX(EmployeeData[Exit Reason], ROW() - 37)),"")</f>
        <v/>
      </c>
      <c r="J1935" s="4" t="str" cm="1">
        <f t="array" ref="J1935">IFERROR(INDEX(EmployeeData[Status], ROW() - 37), "")</f>
        <v/>
      </c>
    </row>
    <row r="1936" spans="2:10" ht="19.95" customHeight="1" x14ac:dyDescent="0.3">
      <c r="B1936" s="4" t="str" cm="1">
        <f t="array" ref="B1936">IFERROR(INDEX(EmployeeData[Employee ID], ROW() - 37), "")</f>
        <v/>
      </c>
      <c r="C1936" s="4" t="str" cm="1">
        <f t="array" ref="C1936">IFERROR(INDEX(EmployeeData[Full Name], ROW() - 37), "")</f>
        <v/>
      </c>
      <c r="D1936" s="4" t="str" cm="1">
        <f t="array" ref="D1936">IFERROR(INDEX(EmployeeData[Department], ROW() - 37), "")</f>
        <v/>
      </c>
      <c r="E1936" s="4" t="str" cm="1">
        <f t="array" ref="E1936">IFERROR(INDEX(EmployeeData[Gender], ROW() - 37), "")</f>
        <v/>
      </c>
      <c r="F1936" s="4" t="str" cm="1">
        <f t="array" ref="F1936">IFERROR(INDEX(EmployeeData[Age], ROW() - 37), "")</f>
        <v/>
      </c>
      <c r="G1936" s="6" t="str" cm="1">
        <f t="array" ref="G1936">IFERROR(INDEX(EmployeeData[Join Date], ROW() - 37), "")</f>
        <v/>
      </c>
      <c r="H1936" s="6" t="str" cm="1">
        <f t="array" ref="H1936">IFERROR(IF(INDEX(EmployeeData[Exit Date], ROW() - 37)=0, "",INDEX(EmployeeData[Exit Date], ROW() - 37)),"")</f>
        <v/>
      </c>
      <c r="I1936" s="4" t="str" cm="1">
        <f t="array" ref="I1936">IFERROR(IF(INDEX(EmployeeData[Exit Reason], ROW() - 37)=0, "",INDEX(EmployeeData[Exit Reason], ROW() - 37)),"")</f>
        <v/>
      </c>
      <c r="J1936" s="4" t="str" cm="1">
        <f t="array" ref="J1936">IFERROR(INDEX(EmployeeData[Status], ROW() - 37), "")</f>
        <v/>
      </c>
    </row>
    <row r="1937" spans="2:10" ht="19.95" customHeight="1" x14ac:dyDescent="0.3">
      <c r="B1937" s="4" t="str" cm="1">
        <f t="array" ref="B1937">IFERROR(INDEX(EmployeeData[Employee ID], ROW() - 37), "")</f>
        <v/>
      </c>
      <c r="C1937" s="4" t="str" cm="1">
        <f t="array" ref="C1937">IFERROR(INDEX(EmployeeData[Full Name], ROW() - 37), "")</f>
        <v/>
      </c>
      <c r="D1937" s="4" t="str" cm="1">
        <f t="array" ref="D1937">IFERROR(INDEX(EmployeeData[Department], ROW() - 37), "")</f>
        <v/>
      </c>
      <c r="E1937" s="4" t="str" cm="1">
        <f t="array" ref="E1937">IFERROR(INDEX(EmployeeData[Gender], ROW() - 37), "")</f>
        <v/>
      </c>
      <c r="F1937" s="4" t="str" cm="1">
        <f t="array" ref="F1937">IFERROR(INDEX(EmployeeData[Age], ROW() - 37), "")</f>
        <v/>
      </c>
      <c r="G1937" s="6" t="str" cm="1">
        <f t="array" ref="G1937">IFERROR(INDEX(EmployeeData[Join Date], ROW() - 37), "")</f>
        <v/>
      </c>
      <c r="H1937" s="6" t="str" cm="1">
        <f t="array" ref="H1937">IFERROR(IF(INDEX(EmployeeData[Exit Date], ROW() - 37)=0, "",INDEX(EmployeeData[Exit Date], ROW() - 37)),"")</f>
        <v/>
      </c>
      <c r="I1937" s="4" t="str" cm="1">
        <f t="array" ref="I1937">IFERROR(IF(INDEX(EmployeeData[Exit Reason], ROW() - 37)=0, "",INDEX(EmployeeData[Exit Reason], ROW() - 37)),"")</f>
        <v/>
      </c>
      <c r="J1937" s="4" t="str" cm="1">
        <f t="array" ref="J1937">IFERROR(INDEX(EmployeeData[Status], ROW() - 37), "")</f>
        <v/>
      </c>
    </row>
    <row r="1938" spans="2:10" ht="19.95" customHeight="1" x14ac:dyDescent="0.3">
      <c r="B1938" s="4" t="str" cm="1">
        <f t="array" ref="B1938">IFERROR(INDEX(EmployeeData[Employee ID], ROW() - 37), "")</f>
        <v/>
      </c>
      <c r="C1938" s="4" t="str" cm="1">
        <f t="array" ref="C1938">IFERROR(INDEX(EmployeeData[Full Name], ROW() - 37), "")</f>
        <v/>
      </c>
      <c r="D1938" s="4" t="str" cm="1">
        <f t="array" ref="D1938">IFERROR(INDEX(EmployeeData[Department], ROW() - 37), "")</f>
        <v/>
      </c>
      <c r="E1938" s="4" t="str" cm="1">
        <f t="array" ref="E1938">IFERROR(INDEX(EmployeeData[Gender], ROW() - 37), "")</f>
        <v/>
      </c>
      <c r="F1938" s="4" t="str" cm="1">
        <f t="array" ref="F1938">IFERROR(INDEX(EmployeeData[Age], ROW() - 37), "")</f>
        <v/>
      </c>
      <c r="G1938" s="6" t="str" cm="1">
        <f t="array" ref="G1938">IFERROR(INDEX(EmployeeData[Join Date], ROW() - 37), "")</f>
        <v/>
      </c>
      <c r="H1938" s="6" t="str" cm="1">
        <f t="array" ref="H1938">IFERROR(IF(INDEX(EmployeeData[Exit Date], ROW() - 37)=0, "",INDEX(EmployeeData[Exit Date], ROW() - 37)),"")</f>
        <v/>
      </c>
      <c r="I1938" s="4" t="str" cm="1">
        <f t="array" ref="I1938">IFERROR(IF(INDEX(EmployeeData[Exit Reason], ROW() - 37)=0, "",INDEX(EmployeeData[Exit Reason], ROW() - 37)),"")</f>
        <v/>
      </c>
      <c r="J1938" s="4" t="str" cm="1">
        <f t="array" ref="J1938">IFERROR(INDEX(EmployeeData[Status], ROW() - 37), "")</f>
        <v/>
      </c>
    </row>
    <row r="1939" spans="2:10" ht="19.95" customHeight="1" x14ac:dyDescent="0.3">
      <c r="B1939" s="4" t="str" cm="1">
        <f t="array" ref="B1939">IFERROR(INDEX(EmployeeData[Employee ID], ROW() - 37), "")</f>
        <v/>
      </c>
      <c r="C1939" s="4" t="str" cm="1">
        <f t="array" ref="C1939">IFERROR(INDEX(EmployeeData[Full Name], ROW() - 37), "")</f>
        <v/>
      </c>
      <c r="D1939" s="4" t="str" cm="1">
        <f t="array" ref="D1939">IFERROR(INDEX(EmployeeData[Department], ROW() - 37), "")</f>
        <v/>
      </c>
      <c r="E1939" s="4" t="str" cm="1">
        <f t="array" ref="E1939">IFERROR(INDEX(EmployeeData[Gender], ROW() - 37), "")</f>
        <v/>
      </c>
      <c r="F1939" s="4" t="str" cm="1">
        <f t="array" ref="F1939">IFERROR(INDEX(EmployeeData[Age], ROW() - 37), "")</f>
        <v/>
      </c>
      <c r="G1939" s="6" t="str" cm="1">
        <f t="array" ref="G1939">IFERROR(INDEX(EmployeeData[Join Date], ROW() - 37), "")</f>
        <v/>
      </c>
      <c r="H1939" s="6" t="str" cm="1">
        <f t="array" ref="H1939">IFERROR(IF(INDEX(EmployeeData[Exit Date], ROW() - 37)=0, "",INDEX(EmployeeData[Exit Date], ROW() - 37)),"")</f>
        <v/>
      </c>
      <c r="I1939" s="4" t="str" cm="1">
        <f t="array" ref="I1939">IFERROR(IF(INDEX(EmployeeData[Exit Reason], ROW() - 37)=0, "",INDEX(EmployeeData[Exit Reason], ROW() - 37)),"")</f>
        <v/>
      </c>
      <c r="J1939" s="4" t="str" cm="1">
        <f t="array" ref="J1939">IFERROR(INDEX(EmployeeData[Status], ROW() - 37), "")</f>
        <v/>
      </c>
    </row>
    <row r="1940" spans="2:10" ht="19.95" customHeight="1" x14ac:dyDescent="0.3">
      <c r="B1940" s="4" t="str" cm="1">
        <f t="array" ref="B1940">IFERROR(INDEX(EmployeeData[Employee ID], ROW() - 37), "")</f>
        <v/>
      </c>
      <c r="C1940" s="4" t="str" cm="1">
        <f t="array" ref="C1940">IFERROR(INDEX(EmployeeData[Full Name], ROW() - 37), "")</f>
        <v/>
      </c>
      <c r="D1940" s="4" t="str" cm="1">
        <f t="array" ref="D1940">IFERROR(INDEX(EmployeeData[Department], ROW() - 37), "")</f>
        <v/>
      </c>
      <c r="E1940" s="4" t="str" cm="1">
        <f t="array" ref="E1940">IFERROR(INDEX(EmployeeData[Gender], ROW() - 37), "")</f>
        <v/>
      </c>
      <c r="F1940" s="4" t="str" cm="1">
        <f t="array" ref="F1940">IFERROR(INDEX(EmployeeData[Age], ROW() - 37), "")</f>
        <v/>
      </c>
      <c r="G1940" s="6" t="str" cm="1">
        <f t="array" ref="G1940">IFERROR(INDEX(EmployeeData[Join Date], ROW() - 37), "")</f>
        <v/>
      </c>
      <c r="H1940" s="6" t="str" cm="1">
        <f t="array" ref="H1940">IFERROR(IF(INDEX(EmployeeData[Exit Date], ROW() - 37)=0, "",INDEX(EmployeeData[Exit Date], ROW() - 37)),"")</f>
        <v/>
      </c>
      <c r="I1940" s="4" t="str" cm="1">
        <f t="array" ref="I1940">IFERROR(IF(INDEX(EmployeeData[Exit Reason], ROW() - 37)=0, "",INDEX(EmployeeData[Exit Reason], ROW() - 37)),"")</f>
        <v/>
      </c>
      <c r="J1940" s="4" t="str" cm="1">
        <f t="array" ref="J1940">IFERROR(INDEX(EmployeeData[Status], ROW() - 37), "")</f>
        <v/>
      </c>
    </row>
    <row r="1941" spans="2:10" ht="19.95" customHeight="1" x14ac:dyDescent="0.3">
      <c r="B1941" s="4" t="str" cm="1">
        <f t="array" ref="B1941">IFERROR(INDEX(EmployeeData[Employee ID], ROW() - 37), "")</f>
        <v/>
      </c>
      <c r="C1941" s="4" t="str" cm="1">
        <f t="array" ref="C1941">IFERROR(INDEX(EmployeeData[Full Name], ROW() - 37), "")</f>
        <v/>
      </c>
      <c r="D1941" s="4" t="str" cm="1">
        <f t="array" ref="D1941">IFERROR(INDEX(EmployeeData[Department], ROW() - 37), "")</f>
        <v/>
      </c>
      <c r="E1941" s="4" t="str" cm="1">
        <f t="array" ref="E1941">IFERROR(INDEX(EmployeeData[Gender], ROW() - 37), "")</f>
        <v/>
      </c>
      <c r="F1941" s="4" t="str" cm="1">
        <f t="array" ref="F1941">IFERROR(INDEX(EmployeeData[Age], ROW() - 37), "")</f>
        <v/>
      </c>
      <c r="G1941" s="6" t="str" cm="1">
        <f t="array" ref="G1941">IFERROR(INDEX(EmployeeData[Join Date], ROW() - 37), "")</f>
        <v/>
      </c>
      <c r="H1941" s="6" t="str" cm="1">
        <f t="array" ref="H1941">IFERROR(IF(INDEX(EmployeeData[Exit Date], ROW() - 37)=0, "",INDEX(EmployeeData[Exit Date], ROW() - 37)),"")</f>
        <v/>
      </c>
      <c r="I1941" s="4" t="str" cm="1">
        <f t="array" ref="I1941">IFERROR(IF(INDEX(EmployeeData[Exit Reason], ROW() - 37)=0, "",INDEX(EmployeeData[Exit Reason], ROW() - 37)),"")</f>
        <v/>
      </c>
      <c r="J1941" s="4" t="str" cm="1">
        <f t="array" ref="J1941">IFERROR(INDEX(EmployeeData[Status], ROW() - 37), "")</f>
        <v/>
      </c>
    </row>
    <row r="1942" spans="2:10" ht="19.95" customHeight="1" x14ac:dyDescent="0.3">
      <c r="B1942" s="4" t="str" cm="1">
        <f t="array" ref="B1942">IFERROR(INDEX(EmployeeData[Employee ID], ROW() - 37), "")</f>
        <v/>
      </c>
      <c r="C1942" s="4" t="str" cm="1">
        <f t="array" ref="C1942">IFERROR(INDEX(EmployeeData[Full Name], ROW() - 37), "")</f>
        <v/>
      </c>
      <c r="D1942" s="4" t="str" cm="1">
        <f t="array" ref="D1942">IFERROR(INDEX(EmployeeData[Department], ROW() - 37), "")</f>
        <v/>
      </c>
      <c r="E1942" s="4" t="str" cm="1">
        <f t="array" ref="E1942">IFERROR(INDEX(EmployeeData[Gender], ROW() - 37), "")</f>
        <v/>
      </c>
      <c r="F1942" s="4" t="str" cm="1">
        <f t="array" ref="F1942">IFERROR(INDEX(EmployeeData[Age], ROW() - 37), "")</f>
        <v/>
      </c>
      <c r="G1942" s="6" t="str" cm="1">
        <f t="array" ref="G1942">IFERROR(INDEX(EmployeeData[Join Date], ROW() - 37), "")</f>
        <v/>
      </c>
      <c r="H1942" s="6" t="str" cm="1">
        <f t="array" ref="H1942">IFERROR(IF(INDEX(EmployeeData[Exit Date], ROW() - 37)=0, "",INDEX(EmployeeData[Exit Date], ROW() - 37)),"")</f>
        <v/>
      </c>
      <c r="I1942" s="4" t="str" cm="1">
        <f t="array" ref="I1942">IFERROR(IF(INDEX(EmployeeData[Exit Reason], ROW() - 37)=0, "",INDEX(EmployeeData[Exit Reason], ROW() - 37)),"")</f>
        <v/>
      </c>
      <c r="J1942" s="4" t="str" cm="1">
        <f t="array" ref="J1942">IFERROR(INDEX(EmployeeData[Status], ROW() - 37), "")</f>
        <v/>
      </c>
    </row>
    <row r="1943" spans="2:10" ht="19.95" customHeight="1" x14ac:dyDescent="0.3">
      <c r="B1943" s="4" t="str" cm="1">
        <f t="array" ref="B1943">IFERROR(INDEX(EmployeeData[Employee ID], ROW() - 37), "")</f>
        <v/>
      </c>
      <c r="C1943" s="4" t="str" cm="1">
        <f t="array" ref="C1943">IFERROR(INDEX(EmployeeData[Full Name], ROW() - 37), "")</f>
        <v/>
      </c>
      <c r="D1943" s="4" t="str" cm="1">
        <f t="array" ref="D1943">IFERROR(INDEX(EmployeeData[Department], ROW() - 37), "")</f>
        <v/>
      </c>
      <c r="E1943" s="4" t="str" cm="1">
        <f t="array" ref="E1943">IFERROR(INDEX(EmployeeData[Gender], ROW() - 37), "")</f>
        <v/>
      </c>
      <c r="F1943" s="4" t="str" cm="1">
        <f t="array" ref="F1943">IFERROR(INDEX(EmployeeData[Age], ROW() - 37), "")</f>
        <v/>
      </c>
      <c r="G1943" s="6" t="str" cm="1">
        <f t="array" ref="G1943">IFERROR(INDEX(EmployeeData[Join Date], ROW() - 37), "")</f>
        <v/>
      </c>
      <c r="H1943" s="6" t="str" cm="1">
        <f t="array" ref="H1943">IFERROR(IF(INDEX(EmployeeData[Exit Date], ROW() - 37)=0, "",INDEX(EmployeeData[Exit Date], ROW() - 37)),"")</f>
        <v/>
      </c>
      <c r="I1943" s="4" t="str" cm="1">
        <f t="array" ref="I1943">IFERROR(IF(INDEX(EmployeeData[Exit Reason], ROW() - 37)=0, "",INDEX(EmployeeData[Exit Reason], ROW() - 37)),"")</f>
        <v/>
      </c>
      <c r="J1943" s="4" t="str" cm="1">
        <f t="array" ref="J1943">IFERROR(INDEX(EmployeeData[Status], ROW() - 37), "")</f>
        <v/>
      </c>
    </row>
    <row r="1944" spans="2:10" ht="19.95" customHeight="1" x14ac:dyDescent="0.3">
      <c r="B1944" s="4" t="str" cm="1">
        <f t="array" ref="B1944">IFERROR(INDEX(EmployeeData[Employee ID], ROW() - 37), "")</f>
        <v/>
      </c>
      <c r="C1944" s="4" t="str" cm="1">
        <f t="array" ref="C1944">IFERROR(INDEX(EmployeeData[Full Name], ROW() - 37), "")</f>
        <v/>
      </c>
      <c r="D1944" s="4" t="str" cm="1">
        <f t="array" ref="D1944">IFERROR(INDEX(EmployeeData[Department], ROW() - 37), "")</f>
        <v/>
      </c>
      <c r="E1944" s="4" t="str" cm="1">
        <f t="array" ref="E1944">IFERROR(INDEX(EmployeeData[Gender], ROW() - 37), "")</f>
        <v/>
      </c>
      <c r="F1944" s="4" t="str" cm="1">
        <f t="array" ref="F1944">IFERROR(INDEX(EmployeeData[Age], ROW() - 37), "")</f>
        <v/>
      </c>
      <c r="G1944" s="6" t="str" cm="1">
        <f t="array" ref="G1944">IFERROR(INDEX(EmployeeData[Join Date], ROW() - 37), "")</f>
        <v/>
      </c>
      <c r="H1944" s="6" t="str" cm="1">
        <f t="array" ref="H1944">IFERROR(IF(INDEX(EmployeeData[Exit Date], ROW() - 37)=0, "",INDEX(EmployeeData[Exit Date], ROW() - 37)),"")</f>
        <v/>
      </c>
      <c r="I1944" s="4" t="str" cm="1">
        <f t="array" ref="I1944">IFERROR(IF(INDEX(EmployeeData[Exit Reason], ROW() - 37)=0, "",INDEX(EmployeeData[Exit Reason], ROW() - 37)),"")</f>
        <v/>
      </c>
      <c r="J1944" s="4" t="str" cm="1">
        <f t="array" ref="J1944">IFERROR(INDEX(EmployeeData[Status], ROW() - 37), "")</f>
        <v/>
      </c>
    </row>
    <row r="1945" spans="2:10" ht="19.95" customHeight="1" x14ac:dyDescent="0.3">
      <c r="B1945" s="4" t="str" cm="1">
        <f t="array" ref="B1945">IFERROR(INDEX(EmployeeData[Employee ID], ROW() - 37), "")</f>
        <v/>
      </c>
      <c r="C1945" s="4" t="str" cm="1">
        <f t="array" ref="C1945">IFERROR(INDEX(EmployeeData[Full Name], ROW() - 37), "")</f>
        <v/>
      </c>
      <c r="D1945" s="4" t="str" cm="1">
        <f t="array" ref="D1945">IFERROR(INDEX(EmployeeData[Department], ROW() - 37), "")</f>
        <v/>
      </c>
      <c r="E1945" s="4" t="str" cm="1">
        <f t="array" ref="E1945">IFERROR(INDEX(EmployeeData[Gender], ROW() - 37), "")</f>
        <v/>
      </c>
      <c r="F1945" s="4" t="str" cm="1">
        <f t="array" ref="F1945">IFERROR(INDEX(EmployeeData[Age], ROW() - 37), "")</f>
        <v/>
      </c>
      <c r="G1945" s="6" t="str" cm="1">
        <f t="array" ref="G1945">IFERROR(INDEX(EmployeeData[Join Date], ROW() - 37), "")</f>
        <v/>
      </c>
      <c r="H1945" s="6" t="str" cm="1">
        <f t="array" ref="H1945">IFERROR(IF(INDEX(EmployeeData[Exit Date], ROW() - 37)=0, "",INDEX(EmployeeData[Exit Date], ROW() - 37)),"")</f>
        <v/>
      </c>
      <c r="I1945" s="4" t="str" cm="1">
        <f t="array" ref="I1945">IFERROR(IF(INDEX(EmployeeData[Exit Reason], ROW() - 37)=0, "",INDEX(EmployeeData[Exit Reason], ROW() - 37)),"")</f>
        <v/>
      </c>
      <c r="J1945" s="4" t="str" cm="1">
        <f t="array" ref="J1945">IFERROR(INDEX(EmployeeData[Status], ROW() - 37), "")</f>
        <v/>
      </c>
    </row>
    <row r="1946" spans="2:10" ht="19.95" customHeight="1" x14ac:dyDescent="0.3">
      <c r="B1946" s="4" t="str" cm="1">
        <f t="array" ref="B1946">IFERROR(INDEX(EmployeeData[Employee ID], ROW() - 37), "")</f>
        <v/>
      </c>
      <c r="C1946" s="4" t="str" cm="1">
        <f t="array" ref="C1946">IFERROR(INDEX(EmployeeData[Full Name], ROW() - 37), "")</f>
        <v/>
      </c>
      <c r="D1946" s="4" t="str" cm="1">
        <f t="array" ref="D1946">IFERROR(INDEX(EmployeeData[Department], ROW() - 37), "")</f>
        <v/>
      </c>
      <c r="E1946" s="4" t="str" cm="1">
        <f t="array" ref="E1946">IFERROR(INDEX(EmployeeData[Gender], ROW() - 37), "")</f>
        <v/>
      </c>
      <c r="F1946" s="4" t="str" cm="1">
        <f t="array" ref="F1946">IFERROR(INDEX(EmployeeData[Age], ROW() - 37), "")</f>
        <v/>
      </c>
      <c r="G1946" s="6" t="str" cm="1">
        <f t="array" ref="G1946">IFERROR(INDEX(EmployeeData[Join Date], ROW() - 37), "")</f>
        <v/>
      </c>
      <c r="H1946" s="6" t="str" cm="1">
        <f t="array" ref="H1946">IFERROR(IF(INDEX(EmployeeData[Exit Date], ROW() - 37)=0, "",INDEX(EmployeeData[Exit Date], ROW() - 37)),"")</f>
        <v/>
      </c>
      <c r="I1946" s="4" t="str" cm="1">
        <f t="array" ref="I1946">IFERROR(IF(INDEX(EmployeeData[Exit Reason], ROW() - 37)=0, "",INDEX(EmployeeData[Exit Reason], ROW() - 37)),"")</f>
        <v/>
      </c>
      <c r="J1946" s="4" t="str" cm="1">
        <f t="array" ref="J1946">IFERROR(INDEX(EmployeeData[Status], ROW() - 37), "")</f>
        <v/>
      </c>
    </row>
    <row r="1947" spans="2:10" ht="19.95" customHeight="1" x14ac:dyDescent="0.3">
      <c r="B1947" s="4" t="str" cm="1">
        <f t="array" ref="B1947">IFERROR(INDEX(EmployeeData[Employee ID], ROW() - 37), "")</f>
        <v/>
      </c>
      <c r="C1947" s="4" t="str" cm="1">
        <f t="array" ref="C1947">IFERROR(INDEX(EmployeeData[Full Name], ROW() - 37), "")</f>
        <v/>
      </c>
      <c r="D1947" s="4" t="str" cm="1">
        <f t="array" ref="D1947">IFERROR(INDEX(EmployeeData[Department], ROW() - 37), "")</f>
        <v/>
      </c>
      <c r="E1947" s="4" t="str" cm="1">
        <f t="array" ref="E1947">IFERROR(INDEX(EmployeeData[Gender], ROW() - 37), "")</f>
        <v/>
      </c>
      <c r="F1947" s="4" t="str" cm="1">
        <f t="array" ref="F1947">IFERROR(INDEX(EmployeeData[Age], ROW() - 37), "")</f>
        <v/>
      </c>
      <c r="G1947" s="6" t="str" cm="1">
        <f t="array" ref="G1947">IFERROR(INDEX(EmployeeData[Join Date], ROW() - 37), "")</f>
        <v/>
      </c>
      <c r="H1947" s="6" t="str" cm="1">
        <f t="array" ref="H1947">IFERROR(IF(INDEX(EmployeeData[Exit Date], ROW() - 37)=0, "",INDEX(EmployeeData[Exit Date], ROW() - 37)),"")</f>
        <v/>
      </c>
      <c r="I1947" s="4" t="str" cm="1">
        <f t="array" ref="I1947">IFERROR(IF(INDEX(EmployeeData[Exit Reason], ROW() - 37)=0, "",INDEX(EmployeeData[Exit Reason], ROW() - 37)),"")</f>
        <v/>
      </c>
      <c r="J1947" s="4" t="str" cm="1">
        <f t="array" ref="J1947">IFERROR(INDEX(EmployeeData[Status], ROW() - 37), "")</f>
        <v/>
      </c>
    </row>
    <row r="1948" spans="2:10" ht="19.95" customHeight="1" x14ac:dyDescent="0.3">
      <c r="B1948" s="4" t="str" cm="1">
        <f t="array" ref="B1948">IFERROR(INDEX(EmployeeData[Employee ID], ROW() - 37), "")</f>
        <v/>
      </c>
      <c r="C1948" s="4" t="str" cm="1">
        <f t="array" ref="C1948">IFERROR(INDEX(EmployeeData[Full Name], ROW() - 37), "")</f>
        <v/>
      </c>
      <c r="D1948" s="4" t="str" cm="1">
        <f t="array" ref="D1948">IFERROR(INDEX(EmployeeData[Department], ROW() - 37), "")</f>
        <v/>
      </c>
      <c r="E1948" s="4" t="str" cm="1">
        <f t="array" ref="E1948">IFERROR(INDEX(EmployeeData[Gender], ROW() - 37), "")</f>
        <v/>
      </c>
      <c r="F1948" s="4" t="str" cm="1">
        <f t="array" ref="F1948">IFERROR(INDEX(EmployeeData[Age], ROW() - 37), "")</f>
        <v/>
      </c>
      <c r="G1948" s="6" t="str" cm="1">
        <f t="array" ref="G1948">IFERROR(INDEX(EmployeeData[Join Date], ROW() - 37), "")</f>
        <v/>
      </c>
      <c r="H1948" s="6" t="str" cm="1">
        <f t="array" ref="H1948">IFERROR(IF(INDEX(EmployeeData[Exit Date], ROW() - 37)=0, "",INDEX(EmployeeData[Exit Date], ROW() - 37)),"")</f>
        <v/>
      </c>
      <c r="I1948" s="4" t="str" cm="1">
        <f t="array" ref="I1948">IFERROR(IF(INDEX(EmployeeData[Exit Reason], ROW() - 37)=0, "",INDEX(EmployeeData[Exit Reason], ROW() - 37)),"")</f>
        <v/>
      </c>
      <c r="J1948" s="4" t="str" cm="1">
        <f t="array" ref="J1948">IFERROR(INDEX(EmployeeData[Status], ROW() - 37), "")</f>
        <v/>
      </c>
    </row>
    <row r="1949" spans="2:10" ht="19.95" customHeight="1" x14ac:dyDescent="0.3">
      <c r="B1949" s="4" t="str" cm="1">
        <f t="array" ref="B1949">IFERROR(INDEX(EmployeeData[Employee ID], ROW() - 37), "")</f>
        <v/>
      </c>
      <c r="C1949" s="4" t="str" cm="1">
        <f t="array" ref="C1949">IFERROR(INDEX(EmployeeData[Full Name], ROW() - 37), "")</f>
        <v/>
      </c>
      <c r="D1949" s="4" t="str" cm="1">
        <f t="array" ref="D1949">IFERROR(INDEX(EmployeeData[Department], ROW() - 37), "")</f>
        <v/>
      </c>
      <c r="E1949" s="4" t="str" cm="1">
        <f t="array" ref="E1949">IFERROR(INDEX(EmployeeData[Gender], ROW() - 37), "")</f>
        <v/>
      </c>
      <c r="F1949" s="4" t="str" cm="1">
        <f t="array" ref="F1949">IFERROR(INDEX(EmployeeData[Age], ROW() - 37), "")</f>
        <v/>
      </c>
      <c r="G1949" s="6" t="str" cm="1">
        <f t="array" ref="G1949">IFERROR(INDEX(EmployeeData[Join Date], ROW() - 37), "")</f>
        <v/>
      </c>
      <c r="H1949" s="6" t="str" cm="1">
        <f t="array" ref="H1949">IFERROR(IF(INDEX(EmployeeData[Exit Date], ROW() - 37)=0, "",INDEX(EmployeeData[Exit Date], ROW() - 37)),"")</f>
        <v/>
      </c>
      <c r="I1949" s="4" t="str" cm="1">
        <f t="array" ref="I1949">IFERROR(IF(INDEX(EmployeeData[Exit Reason], ROW() - 37)=0, "",INDEX(EmployeeData[Exit Reason], ROW() - 37)),"")</f>
        <v/>
      </c>
      <c r="J1949" s="4" t="str" cm="1">
        <f t="array" ref="J1949">IFERROR(INDEX(EmployeeData[Status], ROW() - 37), "")</f>
        <v/>
      </c>
    </row>
    <row r="1950" spans="2:10" ht="19.95" customHeight="1" x14ac:dyDescent="0.3">
      <c r="B1950" s="4" t="str" cm="1">
        <f t="array" ref="B1950">IFERROR(INDEX(EmployeeData[Employee ID], ROW() - 37), "")</f>
        <v/>
      </c>
      <c r="C1950" s="4" t="str" cm="1">
        <f t="array" ref="C1950">IFERROR(INDEX(EmployeeData[Full Name], ROW() - 37), "")</f>
        <v/>
      </c>
      <c r="D1950" s="4" t="str" cm="1">
        <f t="array" ref="D1950">IFERROR(INDEX(EmployeeData[Department], ROW() - 37), "")</f>
        <v/>
      </c>
      <c r="E1950" s="4" t="str" cm="1">
        <f t="array" ref="E1950">IFERROR(INDEX(EmployeeData[Gender], ROW() - 37), "")</f>
        <v/>
      </c>
      <c r="F1950" s="4" t="str" cm="1">
        <f t="array" ref="F1950">IFERROR(INDEX(EmployeeData[Age], ROW() - 37), "")</f>
        <v/>
      </c>
      <c r="G1950" s="6" t="str" cm="1">
        <f t="array" ref="G1950">IFERROR(INDEX(EmployeeData[Join Date], ROW() - 37), "")</f>
        <v/>
      </c>
      <c r="H1950" s="6" t="str" cm="1">
        <f t="array" ref="H1950">IFERROR(IF(INDEX(EmployeeData[Exit Date], ROW() - 37)=0, "",INDEX(EmployeeData[Exit Date], ROW() - 37)),"")</f>
        <v/>
      </c>
      <c r="I1950" s="4" t="str" cm="1">
        <f t="array" ref="I1950">IFERROR(IF(INDEX(EmployeeData[Exit Reason], ROW() - 37)=0, "",INDEX(EmployeeData[Exit Reason], ROW() - 37)),"")</f>
        <v/>
      </c>
      <c r="J1950" s="4" t="str" cm="1">
        <f t="array" ref="J1950">IFERROR(INDEX(EmployeeData[Status], ROW() - 37), "")</f>
        <v/>
      </c>
    </row>
    <row r="1951" spans="2:10" ht="19.95" customHeight="1" x14ac:dyDescent="0.3">
      <c r="B1951" s="4" t="str" cm="1">
        <f t="array" ref="B1951">IFERROR(INDEX(EmployeeData[Employee ID], ROW() - 37), "")</f>
        <v/>
      </c>
      <c r="C1951" s="4" t="str" cm="1">
        <f t="array" ref="C1951">IFERROR(INDEX(EmployeeData[Full Name], ROW() - 37), "")</f>
        <v/>
      </c>
      <c r="D1951" s="4" t="str" cm="1">
        <f t="array" ref="D1951">IFERROR(INDEX(EmployeeData[Department], ROW() - 37), "")</f>
        <v/>
      </c>
      <c r="E1951" s="4" t="str" cm="1">
        <f t="array" ref="E1951">IFERROR(INDEX(EmployeeData[Gender], ROW() - 37), "")</f>
        <v/>
      </c>
      <c r="F1951" s="4" t="str" cm="1">
        <f t="array" ref="F1951">IFERROR(INDEX(EmployeeData[Age], ROW() - 37), "")</f>
        <v/>
      </c>
      <c r="G1951" s="6" t="str" cm="1">
        <f t="array" ref="G1951">IFERROR(INDEX(EmployeeData[Join Date], ROW() - 37), "")</f>
        <v/>
      </c>
      <c r="H1951" s="6" t="str" cm="1">
        <f t="array" ref="H1951">IFERROR(IF(INDEX(EmployeeData[Exit Date], ROW() - 37)=0, "",INDEX(EmployeeData[Exit Date], ROW() - 37)),"")</f>
        <v/>
      </c>
      <c r="I1951" s="4" t="str" cm="1">
        <f t="array" ref="I1951">IFERROR(IF(INDEX(EmployeeData[Exit Reason], ROW() - 37)=0, "",INDEX(EmployeeData[Exit Reason], ROW() - 37)),"")</f>
        <v/>
      </c>
      <c r="J1951" s="4" t="str" cm="1">
        <f t="array" ref="J1951">IFERROR(INDEX(EmployeeData[Status], ROW() - 37), "")</f>
        <v/>
      </c>
    </row>
    <row r="1952" spans="2:10" ht="19.95" customHeight="1" x14ac:dyDescent="0.3">
      <c r="B1952" s="4" t="str" cm="1">
        <f t="array" ref="B1952">IFERROR(INDEX(EmployeeData[Employee ID], ROW() - 37), "")</f>
        <v/>
      </c>
      <c r="C1952" s="4" t="str" cm="1">
        <f t="array" ref="C1952">IFERROR(INDEX(EmployeeData[Full Name], ROW() - 37), "")</f>
        <v/>
      </c>
      <c r="D1952" s="4" t="str" cm="1">
        <f t="array" ref="D1952">IFERROR(INDEX(EmployeeData[Department], ROW() - 37), "")</f>
        <v/>
      </c>
      <c r="E1952" s="4" t="str" cm="1">
        <f t="array" ref="E1952">IFERROR(INDEX(EmployeeData[Gender], ROW() - 37), "")</f>
        <v/>
      </c>
      <c r="F1952" s="4" t="str" cm="1">
        <f t="array" ref="F1952">IFERROR(INDEX(EmployeeData[Age], ROW() - 37), "")</f>
        <v/>
      </c>
      <c r="G1952" s="6" t="str" cm="1">
        <f t="array" ref="G1952">IFERROR(INDEX(EmployeeData[Join Date], ROW() - 37), "")</f>
        <v/>
      </c>
      <c r="H1952" s="6" t="str" cm="1">
        <f t="array" ref="H1952">IFERROR(IF(INDEX(EmployeeData[Exit Date], ROW() - 37)=0, "",INDEX(EmployeeData[Exit Date], ROW() - 37)),"")</f>
        <v/>
      </c>
      <c r="I1952" s="4" t="str" cm="1">
        <f t="array" ref="I1952">IFERROR(IF(INDEX(EmployeeData[Exit Reason], ROW() - 37)=0, "",INDEX(EmployeeData[Exit Reason], ROW() - 37)),"")</f>
        <v/>
      </c>
      <c r="J1952" s="4" t="str" cm="1">
        <f t="array" ref="J1952">IFERROR(INDEX(EmployeeData[Status], ROW() - 37), "")</f>
        <v/>
      </c>
    </row>
    <row r="1953" spans="2:10" ht="19.95" customHeight="1" x14ac:dyDescent="0.3">
      <c r="B1953" s="4" t="str" cm="1">
        <f t="array" ref="B1953">IFERROR(INDEX(EmployeeData[Employee ID], ROW() - 37), "")</f>
        <v/>
      </c>
      <c r="C1953" s="4" t="str" cm="1">
        <f t="array" ref="C1953">IFERROR(INDEX(EmployeeData[Full Name], ROW() - 37), "")</f>
        <v/>
      </c>
      <c r="D1953" s="4" t="str" cm="1">
        <f t="array" ref="D1953">IFERROR(INDEX(EmployeeData[Department], ROW() - 37), "")</f>
        <v/>
      </c>
      <c r="E1953" s="4" t="str" cm="1">
        <f t="array" ref="E1953">IFERROR(INDEX(EmployeeData[Gender], ROW() - 37), "")</f>
        <v/>
      </c>
      <c r="F1953" s="4" t="str" cm="1">
        <f t="array" ref="F1953">IFERROR(INDEX(EmployeeData[Age], ROW() - 37), "")</f>
        <v/>
      </c>
      <c r="G1953" s="6" t="str" cm="1">
        <f t="array" ref="G1953">IFERROR(INDEX(EmployeeData[Join Date], ROW() - 37), "")</f>
        <v/>
      </c>
      <c r="H1953" s="6" t="str" cm="1">
        <f t="array" ref="H1953">IFERROR(IF(INDEX(EmployeeData[Exit Date], ROW() - 37)=0, "",INDEX(EmployeeData[Exit Date], ROW() - 37)),"")</f>
        <v/>
      </c>
      <c r="I1953" s="4" t="str" cm="1">
        <f t="array" ref="I1953">IFERROR(IF(INDEX(EmployeeData[Exit Reason], ROW() - 37)=0, "",INDEX(EmployeeData[Exit Reason], ROW() - 37)),"")</f>
        <v/>
      </c>
      <c r="J1953" s="4" t="str" cm="1">
        <f t="array" ref="J1953">IFERROR(INDEX(EmployeeData[Status], ROW() - 37), "")</f>
        <v/>
      </c>
    </row>
    <row r="1954" spans="2:10" ht="19.95" customHeight="1" x14ac:dyDescent="0.3">
      <c r="B1954" s="4" t="str" cm="1">
        <f t="array" ref="B1954">IFERROR(INDEX(EmployeeData[Employee ID], ROW() - 37), "")</f>
        <v/>
      </c>
      <c r="C1954" s="4" t="str" cm="1">
        <f t="array" ref="C1954">IFERROR(INDEX(EmployeeData[Full Name], ROW() - 37), "")</f>
        <v/>
      </c>
      <c r="D1954" s="4" t="str" cm="1">
        <f t="array" ref="D1954">IFERROR(INDEX(EmployeeData[Department], ROW() - 37), "")</f>
        <v/>
      </c>
      <c r="E1954" s="4" t="str" cm="1">
        <f t="array" ref="E1954">IFERROR(INDEX(EmployeeData[Gender], ROW() - 37), "")</f>
        <v/>
      </c>
      <c r="F1954" s="4" t="str" cm="1">
        <f t="array" ref="F1954">IFERROR(INDEX(EmployeeData[Age], ROW() - 37), "")</f>
        <v/>
      </c>
      <c r="G1954" s="6" t="str" cm="1">
        <f t="array" ref="G1954">IFERROR(INDEX(EmployeeData[Join Date], ROW() - 37), "")</f>
        <v/>
      </c>
      <c r="H1954" s="6" t="str" cm="1">
        <f t="array" ref="H1954">IFERROR(IF(INDEX(EmployeeData[Exit Date], ROW() - 37)=0, "",INDEX(EmployeeData[Exit Date], ROW() - 37)),"")</f>
        <v/>
      </c>
      <c r="I1954" s="4" t="str" cm="1">
        <f t="array" ref="I1954">IFERROR(IF(INDEX(EmployeeData[Exit Reason], ROW() - 37)=0, "",INDEX(EmployeeData[Exit Reason], ROW() - 37)),"")</f>
        <v/>
      </c>
      <c r="J1954" s="4" t="str" cm="1">
        <f t="array" ref="J1954">IFERROR(INDEX(EmployeeData[Status], ROW() - 37), "")</f>
        <v/>
      </c>
    </row>
    <row r="1955" spans="2:10" ht="19.95" customHeight="1" x14ac:dyDescent="0.3">
      <c r="B1955" s="4" t="str" cm="1">
        <f t="array" ref="B1955">IFERROR(INDEX(EmployeeData[Employee ID], ROW() - 37), "")</f>
        <v/>
      </c>
      <c r="C1955" s="4" t="str" cm="1">
        <f t="array" ref="C1955">IFERROR(INDEX(EmployeeData[Full Name], ROW() - 37), "")</f>
        <v/>
      </c>
      <c r="D1955" s="4" t="str" cm="1">
        <f t="array" ref="D1955">IFERROR(INDEX(EmployeeData[Department], ROW() - 37), "")</f>
        <v/>
      </c>
      <c r="E1955" s="4" t="str" cm="1">
        <f t="array" ref="E1955">IFERROR(INDEX(EmployeeData[Gender], ROW() - 37), "")</f>
        <v/>
      </c>
      <c r="F1955" s="4" t="str" cm="1">
        <f t="array" ref="F1955">IFERROR(INDEX(EmployeeData[Age], ROW() - 37), "")</f>
        <v/>
      </c>
      <c r="G1955" s="6" t="str" cm="1">
        <f t="array" ref="G1955">IFERROR(INDEX(EmployeeData[Join Date], ROW() - 37), "")</f>
        <v/>
      </c>
      <c r="H1955" s="6" t="str" cm="1">
        <f t="array" ref="H1955">IFERROR(IF(INDEX(EmployeeData[Exit Date], ROW() - 37)=0, "",INDEX(EmployeeData[Exit Date], ROW() - 37)),"")</f>
        <v/>
      </c>
      <c r="I1955" s="4" t="str" cm="1">
        <f t="array" ref="I1955">IFERROR(IF(INDEX(EmployeeData[Exit Reason], ROW() - 37)=0, "",INDEX(EmployeeData[Exit Reason], ROW() - 37)),"")</f>
        <v/>
      </c>
      <c r="J1955" s="4" t="str" cm="1">
        <f t="array" ref="J1955">IFERROR(INDEX(EmployeeData[Status], ROW() - 37), "")</f>
        <v/>
      </c>
    </row>
    <row r="1956" spans="2:10" ht="19.95" customHeight="1" x14ac:dyDescent="0.3">
      <c r="B1956" s="4" t="str" cm="1">
        <f t="array" ref="B1956">IFERROR(INDEX(EmployeeData[Employee ID], ROW() - 37), "")</f>
        <v/>
      </c>
      <c r="C1956" s="4" t="str" cm="1">
        <f t="array" ref="C1956">IFERROR(INDEX(EmployeeData[Full Name], ROW() - 37), "")</f>
        <v/>
      </c>
      <c r="D1956" s="4" t="str" cm="1">
        <f t="array" ref="D1956">IFERROR(INDEX(EmployeeData[Department], ROW() - 37), "")</f>
        <v/>
      </c>
      <c r="E1956" s="4" t="str" cm="1">
        <f t="array" ref="E1956">IFERROR(INDEX(EmployeeData[Gender], ROW() - 37), "")</f>
        <v/>
      </c>
      <c r="F1956" s="4" t="str" cm="1">
        <f t="array" ref="F1956">IFERROR(INDEX(EmployeeData[Age], ROW() - 37), "")</f>
        <v/>
      </c>
      <c r="G1956" s="6" t="str" cm="1">
        <f t="array" ref="G1956">IFERROR(INDEX(EmployeeData[Join Date], ROW() - 37), "")</f>
        <v/>
      </c>
      <c r="H1956" s="6" t="str" cm="1">
        <f t="array" ref="H1956">IFERROR(IF(INDEX(EmployeeData[Exit Date], ROW() - 37)=0, "",INDEX(EmployeeData[Exit Date], ROW() - 37)),"")</f>
        <v/>
      </c>
      <c r="I1956" s="4" t="str" cm="1">
        <f t="array" ref="I1956">IFERROR(IF(INDEX(EmployeeData[Exit Reason], ROW() - 37)=0, "",INDEX(EmployeeData[Exit Reason], ROW() - 37)),"")</f>
        <v/>
      </c>
      <c r="J1956" s="4" t="str" cm="1">
        <f t="array" ref="J1956">IFERROR(INDEX(EmployeeData[Status], ROW() - 37), "")</f>
        <v/>
      </c>
    </row>
    <row r="1957" spans="2:10" ht="19.95" customHeight="1" x14ac:dyDescent="0.3">
      <c r="B1957" s="4" t="str" cm="1">
        <f t="array" ref="B1957">IFERROR(INDEX(EmployeeData[Employee ID], ROW() - 37), "")</f>
        <v/>
      </c>
      <c r="C1957" s="4" t="str" cm="1">
        <f t="array" ref="C1957">IFERROR(INDEX(EmployeeData[Full Name], ROW() - 37), "")</f>
        <v/>
      </c>
      <c r="D1957" s="4" t="str" cm="1">
        <f t="array" ref="D1957">IFERROR(INDEX(EmployeeData[Department], ROW() - 37), "")</f>
        <v/>
      </c>
      <c r="E1957" s="4" t="str" cm="1">
        <f t="array" ref="E1957">IFERROR(INDEX(EmployeeData[Gender], ROW() - 37), "")</f>
        <v/>
      </c>
      <c r="F1957" s="4" t="str" cm="1">
        <f t="array" ref="F1957">IFERROR(INDEX(EmployeeData[Age], ROW() - 37), "")</f>
        <v/>
      </c>
      <c r="G1957" s="6" t="str" cm="1">
        <f t="array" ref="G1957">IFERROR(INDEX(EmployeeData[Join Date], ROW() - 37), "")</f>
        <v/>
      </c>
      <c r="H1957" s="6" t="str" cm="1">
        <f t="array" ref="H1957">IFERROR(IF(INDEX(EmployeeData[Exit Date], ROW() - 37)=0, "",INDEX(EmployeeData[Exit Date], ROW() - 37)),"")</f>
        <v/>
      </c>
      <c r="I1957" s="4" t="str" cm="1">
        <f t="array" ref="I1957">IFERROR(IF(INDEX(EmployeeData[Exit Reason], ROW() - 37)=0, "",INDEX(EmployeeData[Exit Reason], ROW() - 37)),"")</f>
        <v/>
      </c>
      <c r="J1957" s="4" t="str" cm="1">
        <f t="array" ref="J1957">IFERROR(INDEX(EmployeeData[Status], ROW() - 37), "")</f>
        <v/>
      </c>
    </row>
    <row r="1958" spans="2:10" ht="19.95" customHeight="1" x14ac:dyDescent="0.3">
      <c r="B1958" s="4" t="str" cm="1">
        <f t="array" ref="B1958">IFERROR(INDEX(EmployeeData[Employee ID], ROW() - 37), "")</f>
        <v/>
      </c>
      <c r="C1958" s="4" t="str" cm="1">
        <f t="array" ref="C1958">IFERROR(INDEX(EmployeeData[Full Name], ROW() - 37), "")</f>
        <v/>
      </c>
      <c r="D1958" s="4" t="str" cm="1">
        <f t="array" ref="D1958">IFERROR(INDEX(EmployeeData[Department], ROW() - 37), "")</f>
        <v/>
      </c>
      <c r="E1958" s="4" t="str" cm="1">
        <f t="array" ref="E1958">IFERROR(INDEX(EmployeeData[Gender], ROW() - 37), "")</f>
        <v/>
      </c>
      <c r="F1958" s="4" t="str" cm="1">
        <f t="array" ref="F1958">IFERROR(INDEX(EmployeeData[Age], ROW() - 37), "")</f>
        <v/>
      </c>
      <c r="G1958" s="6" t="str" cm="1">
        <f t="array" ref="G1958">IFERROR(INDEX(EmployeeData[Join Date], ROW() - 37), "")</f>
        <v/>
      </c>
      <c r="H1958" s="6" t="str" cm="1">
        <f t="array" ref="H1958">IFERROR(IF(INDEX(EmployeeData[Exit Date], ROW() - 37)=0, "",INDEX(EmployeeData[Exit Date], ROW() - 37)),"")</f>
        <v/>
      </c>
      <c r="I1958" s="4" t="str" cm="1">
        <f t="array" ref="I1958">IFERROR(IF(INDEX(EmployeeData[Exit Reason], ROW() - 37)=0, "",INDEX(EmployeeData[Exit Reason], ROW() - 37)),"")</f>
        <v/>
      </c>
      <c r="J1958" s="4" t="str" cm="1">
        <f t="array" ref="J1958">IFERROR(INDEX(EmployeeData[Status], ROW() - 37), "")</f>
        <v/>
      </c>
    </row>
    <row r="1959" spans="2:10" ht="19.95" customHeight="1" x14ac:dyDescent="0.3">
      <c r="B1959" s="4" t="str" cm="1">
        <f t="array" ref="B1959">IFERROR(INDEX(EmployeeData[Employee ID], ROW() - 37), "")</f>
        <v/>
      </c>
      <c r="C1959" s="4" t="str" cm="1">
        <f t="array" ref="C1959">IFERROR(INDEX(EmployeeData[Full Name], ROW() - 37), "")</f>
        <v/>
      </c>
      <c r="D1959" s="4" t="str" cm="1">
        <f t="array" ref="D1959">IFERROR(INDEX(EmployeeData[Department], ROW() - 37), "")</f>
        <v/>
      </c>
      <c r="E1959" s="4" t="str" cm="1">
        <f t="array" ref="E1959">IFERROR(INDEX(EmployeeData[Gender], ROW() - 37), "")</f>
        <v/>
      </c>
      <c r="F1959" s="4" t="str" cm="1">
        <f t="array" ref="F1959">IFERROR(INDEX(EmployeeData[Age], ROW() - 37), "")</f>
        <v/>
      </c>
      <c r="G1959" s="6" t="str" cm="1">
        <f t="array" ref="G1959">IFERROR(INDEX(EmployeeData[Join Date], ROW() - 37), "")</f>
        <v/>
      </c>
      <c r="H1959" s="6" t="str" cm="1">
        <f t="array" ref="H1959">IFERROR(IF(INDEX(EmployeeData[Exit Date], ROW() - 37)=0, "",INDEX(EmployeeData[Exit Date], ROW() - 37)),"")</f>
        <v/>
      </c>
      <c r="I1959" s="4" t="str" cm="1">
        <f t="array" ref="I1959">IFERROR(IF(INDEX(EmployeeData[Exit Reason], ROW() - 37)=0, "",INDEX(EmployeeData[Exit Reason], ROW() - 37)),"")</f>
        <v/>
      </c>
      <c r="J1959" s="4" t="str" cm="1">
        <f t="array" ref="J1959">IFERROR(INDEX(EmployeeData[Status], ROW() - 37), "")</f>
        <v/>
      </c>
    </row>
    <row r="1960" spans="2:10" ht="19.95" customHeight="1" x14ac:dyDescent="0.3">
      <c r="B1960" s="4" t="str" cm="1">
        <f t="array" ref="B1960">IFERROR(INDEX(EmployeeData[Employee ID], ROW() - 37), "")</f>
        <v/>
      </c>
      <c r="C1960" s="4" t="str" cm="1">
        <f t="array" ref="C1960">IFERROR(INDEX(EmployeeData[Full Name], ROW() - 37), "")</f>
        <v/>
      </c>
      <c r="D1960" s="4" t="str" cm="1">
        <f t="array" ref="D1960">IFERROR(INDEX(EmployeeData[Department], ROW() - 37), "")</f>
        <v/>
      </c>
      <c r="E1960" s="4" t="str" cm="1">
        <f t="array" ref="E1960">IFERROR(INDEX(EmployeeData[Gender], ROW() - 37), "")</f>
        <v/>
      </c>
      <c r="F1960" s="4" t="str" cm="1">
        <f t="array" ref="F1960">IFERROR(INDEX(EmployeeData[Age], ROW() - 37), "")</f>
        <v/>
      </c>
      <c r="G1960" s="6" t="str" cm="1">
        <f t="array" ref="G1960">IFERROR(INDEX(EmployeeData[Join Date], ROW() - 37), "")</f>
        <v/>
      </c>
      <c r="H1960" s="6" t="str" cm="1">
        <f t="array" ref="H1960">IFERROR(IF(INDEX(EmployeeData[Exit Date], ROW() - 37)=0, "",INDEX(EmployeeData[Exit Date], ROW() - 37)),"")</f>
        <v/>
      </c>
      <c r="I1960" s="4" t="str" cm="1">
        <f t="array" ref="I1960">IFERROR(IF(INDEX(EmployeeData[Exit Reason], ROW() - 37)=0, "",INDEX(EmployeeData[Exit Reason], ROW() - 37)),"")</f>
        <v/>
      </c>
      <c r="J1960" s="4" t="str" cm="1">
        <f t="array" ref="J1960">IFERROR(INDEX(EmployeeData[Status], ROW() - 37), "")</f>
        <v/>
      </c>
    </row>
    <row r="1961" spans="2:10" ht="19.95" customHeight="1" x14ac:dyDescent="0.3">
      <c r="B1961" s="4" t="str" cm="1">
        <f t="array" ref="B1961">IFERROR(INDEX(EmployeeData[Employee ID], ROW() - 37), "")</f>
        <v/>
      </c>
      <c r="C1961" s="4" t="str" cm="1">
        <f t="array" ref="C1961">IFERROR(INDEX(EmployeeData[Full Name], ROW() - 37), "")</f>
        <v/>
      </c>
      <c r="D1961" s="4" t="str" cm="1">
        <f t="array" ref="D1961">IFERROR(INDEX(EmployeeData[Department], ROW() - 37), "")</f>
        <v/>
      </c>
      <c r="E1961" s="4" t="str" cm="1">
        <f t="array" ref="E1961">IFERROR(INDEX(EmployeeData[Gender], ROW() - 37), "")</f>
        <v/>
      </c>
      <c r="F1961" s="4" t="str" cm="1">
        <f t="array" ref="F1961">IFERROR(INDEX(EmployeeData[Age], ROW() - 37), "")</f>
        <v/>
      </c>
      <c r="G1961" s="6" t="str" cm="1">
        <f t="array" ref="G1961">IFERROR(INDEX(EmployeeData[Join Date], ROW() - 37), "")</f>
        <v/>
      </c>
      <c r="H1961" s="6" t="str" cm="1">
        <f t="array" ref="H1961">IFERROR(IF(INDEX(EmployeeData[Exit Date], ROW() - 37)=0, "",INDEX(EmployeeData[Exit Date], ROW() - 37)),"")</f>
        <v/>
      </c>
      <c r="I1961" s="4" t="str" cm="1">
        <f t="array" ref="I1961">IFERROR(IF(INDEX(EmployeeData[Exit Reason], ROW() - 37)=0, "",INDEX(EmployeeData[Exit Reason], ROW() - 37)),"")</f>
        <v/>
      </c>
      <c r="J1961" s="4" t="str" cm="1">
        <f t="array" ref="J1961">IFERROR(INDEX(EmployeeData[Status], ROW() - 37), "")</f>
        <v/>
      </c>
    </row>
    <row r="1962" spans="2:10" ht="19.95" customHeight="1" x14ac:dyDescent="0.3">
      <c r="B1962" s="4" t="str" cm="1">
        <f t="array" ref="B1962">IFERROR(INDEX(EmployeeData[Employee ID], ROW() - 37), "")</f>
        <v/>
      </c>
      <c r="C1962" s="4" t="str" cm="1">
        <f t="array" ref="C1962">IFERROR(INDEX(EmployeeData[Full Name], ROW() - 37), "")</f>
        <v/>
      </c>
      <c r="D1962" s="4" t="str" cm="1">
        <f t="array" ref="D1962">IFERROR(INDEX(EmployeeData[Department], ROW() - 37), "")</f>
        <v/>
      </c>
      <c r="E1962" s="4" t="str" cm="1">
        <f t="array" ref="E1962">IFERROR(INDEX(EmployeeData[Gender], ROW() - 37), "")</f>
        <v/>
      </c>
      <c r="F1962" s="4" t="str" cm="1">
        <f t="array" ref="F1962">IFERROR(INDEX(EmployeeData[Age], ROW() - 37), "")</f>
        <v/>
      </c>
      <c r="G1962" s="6" t="str" cm="1">
        <f t="array" ref="G1962">IFERROR(INDEX(EmployeeData[Join Date], ROW() - 37), "")</f>
        <v/>
      </c>
      <c r="H1962" s="6" t="str" cm="1">
        <f t="array" ref="H1962">IFERROR(IF(INDEX(EmployeeData[Exit Date], ROW() - 37)=0, "",INDEX(EmployeeData[Exit Date], ROW() - 37)),"")</f>
        <v/>
      </c>
      <c r="I1962" s="4" t="str" cm="1">
        <f t="array" ref="I1962">IFERROR(IF(INDEX(EmployeeData[Exit Reason], ROW() - 37)=0, "",INDEX(EmployeeData[Exit Reason], ROW() - 37)),"")</f>
        <v/>
      </c>
      <c r="J1962" s="4" t="str" cm="1">
        <f t="array" ref="J1962">IFERROR(INDEX(EmployeeData[Status], ROW() - 37), "")</f>
        <v/>
      </c>
    </row>
    <row r="1963" spans="2:10" ht="19.95" customHeight="1" x14ac:dyDescent="0.3">
      <c r="B1963" s="4" t="str" cm="1">
        <f t="array" ref="B1963">IFERROR(INDEX(EmployeeData[Employee ID], ROW() - 37), "")</f>
        <v/>
      </c>
      <c r="C1963" s="4" t="str" cm="1">
        <f t="array" ref="C1963">IFERROR(INDEX(EmployeeData[Full Name], ROW() - 37), "")</f>
        <v/>
      </c>
      <c r="D1963" s="4" t="str" cm="1">
        <f t="array" ref="D1963">IFERROR(INDEX(EmployeeData[Department], ROW() - 37), "")</f>
        <v/>
      </c>
      <c r="E1963" s="4" t="str" cm="1">
        <f t="array" ref="E1963">IFERROR(INDEX(EmployeeData[Gender], ROW() - 37), "")</f>
        <v/>
      </c>
      <c r="F1963" s="4" t="str" cm="1">
        <f t="array" ref="F1963">IFERROR(INDEX(EmployeeData[Age], ROW() - 37), "")</f>
        <v/>
      </c>
      <c r="G1963" s="6" t="str" cm="1">
        <f t="array" ref="G1963">IFERROR(INDEX(EmployeeData[Join Date], ROW() - 37), "")</f>
        <v/>
      </c>
      <c r="H1963" s="6" t="str" cm="1">
        <f t="array" ref="H1963">IFERROR(IF(INDEX(EmployeeData[Exit Date], ROW() - 37)=0, "",INDEX(EmployeeData[Exit Date], ROW() - 37)),"")</f>
        <v/>
      </c>
      <c r="I1963" s="4" t="str" cm="1">
        <f t="array" ref="I1963">IFERROR(IF(INDEX(EmployeeData[Exit Reason], ROW() - 37)=0, "",INDEX(EmployeeData[Exit Reason], ROW() - 37)),"")</f>
        <v/>
      </c>
      <c r="J1963" s="4" t="str" cm="1">
        <f t="array" ref="J1963">IFERROR(INDEX(EmployeeData[Status], ROW() - 37), "")</f>
        <v/>
      </c>
    </row>
    <row r="1964" spans="2:10" ht="19.95" customHeight="1" x14ac:dyDescent="0.3">
      <c r="B1964" s="4" t="str" cm="1">
        <f t="array" ref="B1964">IFERROR(INDEX(EmployeeData[Employee ID], ROW() - 37), "")</f>
        <v/>
      </c>
      <c r="C1964" s="4" t="str" cm="1">
        <f t="array" ref="C1964">IFERROR(INDEX(EmployeeData[Full Name], ROW() - 37), "")</f>
        <v/>
      </c>
      <c r="D1964" s="4" t="str" cm="1">
        <f t="array" ref="D1964">IFERROR(INDEX(EmployeeData[Department], ROW() - 37), "")</f>
        <v/>
      </c>
      <c r="E1964" s="4" t="str" cm="1">
        <f t="array" ref="E1964">IFERROR(INDEX(EmployeeData[Gender], ROW() - 37), "")</f>
        <v/>
      </c>
      <c r="F1964" s="4" t="str" cm="1">
        <f t="array" ref="F1964">IFERROR(INDEX(EmployeeData[Age], ROW() - 37), "")</f>
        <v/>
      </c>
      <c r="G1964" s="6" t="str" cm="1">
        <f t="array" ref="G1964">IFERROR(INDEX(EmployeeData[Join Date], ROW() - 37), "")</f>
        <v/>
      </c>
      <c r="H1964" s="6" t="str" cm="1">
        <f t="array" ref="H1964">IFERROR(IF(INDEX(EmployeeData[Exit Date], ROW() - 37)=0, "",INDEX(EmployeeData[Exit Date], ROW() - 37)),"")</f>
        <v/>
      </c>
      <c r="I1964" s="4" t="str" cm="1">
        <f t="array" ref="I1964">IFERROR(IF(INDEX(EmployeeData[Exit Reason], ROW() - 37)=0, "",INDEX(EmployeeData[Exit Reason], ROW() - 37)),"")</f>
        <v/>
      </c>
      <c r="J1964" s="4" t="str" cm="1">
        <f t="array" ref="J1964">IFERROR(INDEX(EmployeeData[Status], ROW() - 37), "")</f>
        <v/>
      </c>
    </row>
    <row r="1965" spans="2:10" ht="19.95" customHeight="1" x14ac:dyDescent="0.3">
      <c r="B1965" s="4" t="str" cm="1">
        <f t="array" ref="B1965">IFERROR(INDEX(EmployeeData[Employee ID], ROW() - 37), "")</f>
        <v/>
      </c>
      <c r="C1965" s="4" t="str" cm="1">
        <f t="array" ref="C1965">IFERROR(INDEX(EmployeeData[Full Name], ROW() - 37), "")</f>
        <v/>
      </c>
      <c r="D1965" s="4" t="str" cm="1">
        <f t="array" ref="D1965">IFERROR(INDEX(EmployeeData[Department], ROW() - 37), "")</f>
        <v/>
      </c>
      <c r="E1965" s="4" t="str" cm="1">
        <f t="array" ref="E1965">IFERROR(INDEX(EmployeeData[Gender], ROW() - 37), "")</f>
        <v/>
      </c>
      <c r="F1965" s="4" t="str" cm="1">
        <f t="array" ref="F1965">IFERROR(INDEX(EmployeeData[Age], ROW() - 37), "")</f>
        <v/>
      </c>
      <c r="G1965" s="6" t="str" cm="1">
        <f t="array" ref="G1965">IFERROR(INDEX(EmployeeData[Join Date], ROW() - 37), "")</f>
        <v/>
      </c>
      <c r="H1965" s="6" t="str" cm="1">
        <f t="array" ref="H1965">IFERROR(IF(INDEX(EmployeeData[Exit Date], ROW() - 37)=0, "",INDEX(EmployeeData[Exit Date], ROW() - 37)),"")</f>
        <v/>
      </c>
      <c r="I1965" s="4" t="str" cm="1">
        <f t="array" ref="I1965">IFERROR(IF(INDEX(EmployeeData[Exit Reason], ROW() - 37)=0, "",INDEX(EmployeeData[Exit Reason], ROW() - 37)),"")</f>
        <v/>
      </c>
      <c r="J1965" s="4" t="str" cm="1">
        <f t="array" ref="J1965">IFERROR(INDEX(EmployeeData[Status], ROW() - 37), "")</f>
        <v/>
      </c>
    </row>
    <row r="1966" spans="2:10" ht="19.95" customHeight="1" x14ac:dyDescent="0.3">
      <c r="B1966" s="4" t="str" cm="1">
        <f t="array" ref="B1966">IFERROR(INDEX(EmployeeData[Employee ID], ROW() - 37), "")</f>
        <v/>
      </c>
      <c r="C1966" s="4" t="str" cm="1">
        <f t="array" ref="C1966">IFERROR(INDEX(EmployeeData[Full Name], ROW() - 37), "")</f>
        <v/>
      </c>
      <c r="D1966" s="4" t="str" cm="1">
        <f t="array" ref="D1966">IFERROR(INDEX(EmployeeData[Department], ROW() - 37), "")</f>
        <v/>
      </c>
      <c r="E1966" s="4" t="str" cm="1">
        <f t="array" ref="E1966">IFERROR(INDEX(EmployeeData[Gender], ROW() - 37), "")</f>
        <v/>
      </c>
      <c r="F1966" s="4" t="str" cm="1">
        <f t="array" ref="F1966">IFERROR(INDEX(EmployeeData[Age], ROW() - 37), "")</f>
        <v/>
      </c>
      <c r="G1966" s="6" t="str" cm="1">
        <f t="array" ref="G1966">IFERROR(INDEX(EmployeeData[Join Date], ROW() - 37), "")</f>
        <v/>
      </c>
      <c r="H1966" s="6" t="str" cm="1">
        <f t="array" ref="H1966">IFERROR(IF(INDEX(EmployeeData[Exit Date], ROW() - 37)=0, "",INDEX(EmployeeData[Exit Date], ROW() - 37)),"")</f>
        <v/>
      </c>
      <c r="I1966" s="4" t="str" cm="1">
        <f t="array" ref="I1966">IFERROR(IF(INDEX(EmployeeData[Exit Reason], ROW() - 37)=0, "",INDEX(EmployeeData[Exit Reason], ROW() - 37)),"")</f>
        <v/>
      </c>
      <c r="J1966" s="4" t="str" cm="1">
        <f t="array" ref="J1966">IFERROR(INDEX(EmployeeData[Status], ROW() - 37), "")</f>
        <v/>
      </c>
    </row>
    <row r="1967" spans="2:10" ht="19.95" customHeight="1" x14ac:dyDescent="0.3">
      <c r="B1967" s="4" t="str" cm="1">
        <f t="array" ref="B1967">IFERROR(INDEX(EmployeeData[Employee ID], ROW() - 37), "")</f>
        <v/>
      </c>
      <c r="C1967" s="4" t="str" cm="1">
        <f t="array" ref="C1967">IFERROR(INDEX(EmployeeData[Full Name], ROW() - 37), "")</f>
        <v/>
      </c>
      <c r="D1967" s="4" t="str" cm="1">
        <f t="array" ref="D1967">IFERROR(INDEX(EmployeeData[Department], ROW() - 37), "")</f>
        <v/>
      </c>
      <c r="E1967" s="4" t="str" cm="1">
        <f t="array" ref="E1967">IFERROR(INDEX(EmployeeData[Gender], ROW() - 37), "")</f>
        <v/>
      </c>
      <c r="F1967" s="4" t="str" cm="1">
        <f t="array" ref="F1967">IFERROR(INDEX(EmployeeData[Age], ROW() - 37), "")</f>
        <v/>
      </c>
      <c r="G1967" s="6" t="str" cm="1">
        <f t="array" ref="G1967">IFERROR(INDEX(EmployeeData[Join Date], ROW() - 37), "")</f>
        <v/>
      </c>
      <c r="H1967" s="6" t="str" cm="1">
        <f t="array" ref="H1967">IFERROR(IF(INDEX(EmployeeData[Exit Date], ROW() - 37)=0, "",INDEX(EmployeeData[Exit Date], ROW() - 37)),"")</f>
        <v/>
      </c>
      <c r="I1967" s="4" t="str" cm="1">
        <f t="array" ref="I1967">IFERROR(IF(INDEX(EmployeeData[Exit Reason], ROW() - 37)=0, "",INDEX(EmployeeData[Exit Reason], ROW() - 37)),"")</f>
        <v/>
      </c>
      <c r="J1967" s="4" t="str" cm="1">
        <f t="array" ref="J1967">IFERROR(INDEX(EmployeeData[Status], ROW() - 37), "")</f>
        <v/>
      </c>
    </row>
    <row r="1968" spans="2:10" ht="19.95" customHeight="1" x14ac:dyDescent="0.3">
      <c r="B1968" s="4" t="str" cm="1">
        <f t="array" ref="B1968">IFERROR(INDEX(EmployeeData[Employee ID], ROW() - 37), "")</f>
        <v/>
      </c>
      <c r="C1968" s="4" t="str" cm="1">
        <f t="array" ref="C1968">IFERROR(INDEX(EmployeeData[Full Name], ROW() - 37), "")</f>
        <v/>
      </c>
      <c r="D1968" s="4" t="str" cm="1">
        <f t="array" ref="D1968">IFERROR(INDEX(EmployeeData[Department], ROW() - 37), "")</f>
        <v/>
      </c>
      <c r="E1968" s="4" t="str" cm="1">
        <f t="array" ref="E1968">IFERROR(INDEX(EmployeeData[Gender], ROW() - 37), "")</f>
        <v/>
      </c>
      <c r="F1968" s="4" t="str" cm="1">
        <f t="array" ref="F1968">IFERROR(INDEX(EmployeeData[Age], ROW() - 37), "")</f>
        <v/>
      </c>
      <c r="G1968" s="6" t="str" cm="1">
        <f t="array" ref="G1968">IFERROR(INDEX(EmployeeData[Join Date], ROW() - 37), "")</f>
        <v/>
      </c>
      <c r="H1968" s="6" t="str" cm="1">
        <f t="array" ref="H1968">IFERROR(IF(INDEX(EmployeeData[Exit Date], ROW() - 37)=0, "",INDEX(EmployeeData[Exit Date], ROW() - 37)),"")</f>
        <v/>
      </c>
      <c r="I1968" s="4" t="str" cm="1">
        <f t="array" ref="I1968">IFERROR(IF(INDEX(EmployeeData[Exit Reason], ROW() - 37)=0, "",INDEX(EmployeeData[Exit Reason], ROW() - 37)),"")</f>
        <v/>
      </c>
      <c r="J1968" s="4" t="str" cm="1">
        <f t="array" ref="J1968">IFERROR(INDEX(EmployeeData[Status], ROW() - 37), "")</f>
        <v/>
      </c>
    </row>
    <row r="1969" spans="2:10" ht="19.95" customHeight="1" x14ac:dyDescent="0.3">
      <c r="B1969" s="4" t="str" cm="1">
        <f t="array" ref="B1969">IFERROR(INDEX(EmployeeData[Employee ID], ROW() - 37), "")</f>
        <v/>
      </c>
      <c r="C1969" s="4" t="str" cm="1">
        <f t="array" ref="C1969">IFERROR(INDEX(EmployeeData[Full Name], ROW() - 37), "")</f>
        <v/>
      </c>
      <c r="D1969" s="4" t="str" cm="1">
        <f t="array" ref="D1969">IFERROR(INDEX(EmployeeData[Department], ROW() - 37), "")</f>
        <v/>
      </c>
      <c r="E1969" s="4" t="str" cm="1">
        <f t="array" ref="E1969">IFERROR(INDEX(EmployeeData[Gender], ROW() - 37), "")</f>
        <v/>
      </c>
      <c r="F1969" s="4" t="str" cm="1">
        <f t="array" ref="F1969">IFERROR(INDEX(EmployeeData[Age], ROW() - 37), "")</f>
        <v/>
      </c>
      <c r="G1969" s="6" t="str" cm="1">
        <f t="array" ref="G1969">IFERROR(INDEX(EmployeeData[Join Date], ROW() - 37), "")</f>
        <v/>
      </c>
      <c r="H1969" s="6" t="str" cm="1">
        <f t="array" ref="H1969">IFERROR(IF(INDEX(EmployeeData[Exit Date], ROW() - 37)=0, "",INDEX(EmployeeData[Exit Date], ROW() - 37)),"")</f>
        <v/>
      </c>
      <c r="I1969" s="4" t="str" cm="1">
        <f t="array" ref="I1969">IFERROR(IF(INDEX(EmployeeData[Exit Reason], ROW() - 37)=0, "",INDEX(EmployeeData[Exit Reason], ROW() - 37)),"")</f>
        <v/>
      </c>
      <c r="J1969" s="4" t="str" cm="1">
        <f t="array" ref="J1969">IFERROR(INDEX(EmployeeData[Status], ROW() - 37), "")</f>
        <v/>
      </c>
    </row>
    <row r="1970" spans="2:10" ht="19.95" customHeight="1" x14ac:dyDescent="0.3">
      <c r="B1970" s="4" t="str" cm="1">
        <f t="array" ref="B1970">IFERROR(INDEX(EmployeeData[Employee ID], ROW() - 37), "")</f>
        <v/>
      </c>
      <c r="C1970" s="4" t="str" cm="1">
        <f t="array" ref="C1970">IFERROR(INDEX(EmployeeData[Full Name], ROW() - 37), "")</f>
        <v/>
      </c>
      <c r="D1970" s="4" t="str" cm="1">
        <f t="array" ref="D1970">IFERROR(INDEX(EmployeeData[Department], ROW() - 37), "")</f>
        <v/>
      </c>
      <c r="E1970" s="4" t="str" cm="1">
        <f t="array" ref="E1970">IFERROR(INDEX(EmployeeData[Gender], ROW() - 37), "")</f>
        <v/>
      </c>
      <c r="F1970" s="4" t="str" cm="1">
        <f t="array" ref="F1970">IFERROR(INDEX(EmployeeData[Age], ROW() - 37), "")</f>
        <v/>
      </c>
      <c r="G1970" s="6" t="str" cm="1">
        <f t="array" ref="G1970">IFERROR(INDEX(EmployeeData[Join Date], ROW() - 37), "")</f>
        <v/>
      </c>
      <c r="H1970" s="6" t="str" cm="1">
        <f t="array" ref="H1970">IFERROR(IF(INDEX(EmployeeData[Exit Date], ROW() - 37)=0, "",INDEX(EmployeeData[Exit Date], ROW() - 37)),"")</f>
        <v/>
      </c>
      <c r="I1970" s="4" t="str" cm="1">
        <f t="array" ref="I1970">IFERROR(IF(INDEX(EmployeeData[Exit Reason], ROW() - 37)=0, "",INDEX(EmployeeData[Exit Reason], ROW() - 37)),"")</f>
        <v/>
      </c>
      <c r="J1970" s="4" t="str" cm="1">
        <f t="array" ref="J1970">IFERROR(INDEX(EmployeeData[Status], ROW() - 37), "")</f>
        <v/>
      </c>
    </row>
    <row r="1971" spans="2:10" ht="19.95" customHeight="1" x14ac:dyDescent="0.3">
      <c r="B1971" s="4" t="str" cm="1">
        <f t="array" ref="B1971">IFERROR(INDEX(EmployeeData[Employee ID], ROW() - 37), "")</f>
        <v/>
      </c>
      <c r="C1971" s="4" t="str" cm="1">
        <f t="array" ref="C1971">IFERROR(INDEX(EmployeeData[Full Name], ROW() - 37), "")</f>
        <v/>
      </c>
      <c r="D1971" s="4" t="str" cm="1">
        <f t="array" ref="D1971">IFERROR(INDEX(EmployeeData[Department], ROW() - 37), "")</f>
        <v/>
      </c>
      <c r="E1971" s="4" t="str" cm="1">
        <f t="array" ref="E1971">IFERROR(INDEX(EmployeeData[Gender], ROW() - 37), "")</f>
        <v/>
      </c>
      <c r="F1971" s="4" t="str" cm="1">
        <f t="array" ref="F1971">IFERROR(INDEX(EmployeeData[Age], ROW() - 37), "")</f>
        <v/>
      </c>
      <c r="G1971" s="6" t="str" cm="1">
        <f t="array" ref="G1971">IFERROR(INDEX(EmployeeData[Join Date], ROW() - 37), "")</f>
        <v/>
      </c>
      <c r="H1971" s="6" t="str" cm="1">
        <f t="array" ref="H1971">IFERROR(IF(INDEX(EmployeeData[Exit Date], ROW() - 37)=0, "",INDEX(EmployeeData[Exit Date], ROW() - 37)),"")</f>
        <v/>
      </c>
      <c r="I1971" s="4" t="str" cm="1">
        <f t="array" ref="I1971">IFERROR(IF(INDEX(EmployeeData[Exit Reason], ROW() - 37)=0, "",INDEX(EmployeeData[Exit Reason], ROW() - 37)),"")</f>
        <v/>
      </c>
      <c r="J1971" s="4" t="str" cm="1">
        <f t="array" ref="J1971">IFERROR(INDEX(EmployeeData[Status], ROW() - 37), "")</f>
        <v/>
      </c>
    </row>
    <row r="1972" spans="2:10" ht="19.95" customHeight="1" x14ac:dyDescent="0.3">
      <c r="B1972" s="4" t="str" cm="1">
        <f t="array" ref="B1972">IFERROR(INDEX(EmployeeData[Employee ID], ROW() - 37), "")</f>
        <v/>
      </c>
      <c r="C1972" s="4" t="str" cm="1">
        <f t="array" ref="C1972">IFERROR(INDEX(EmployeeData[Full Name], ROW() - 37), "")</f>
        <v/>
      </c>
      <c r="D1972" s="4" t="str" cm="1">
        <f t="array" ref="D1972">IFERROR(INDEX(EmployeeData[Department], ROW() - 37), "")</f>
        <v/>
      </c>
      <c r="E1972" s="4" t="str" cm="1">
        <f t="array" ref="E1972">IFERROR(INDEX(EmployeeData[Gender], ROW() - 37), "")</f>
        <v/>
      </c>
      <c r="F1972" s="4" t="str" cm="1">
        <f t="array" ref="F1972">IFERROR(INDEX(EmployeeData[Age], ROW() - 37), "")</f>
        <v/>
      </c>
      <c r="G1972" s="6" t="str" cm="1">
        <f t="array" ref="G1972">IFERROR(INDEX(EmployeeData[Join Date], ROW() - 37), "")</f>
        <v/>
      </c>
      <c r="H1972" s="6" t="str" cm="1">
        <f t="array" ref="H1972">IFERROR(IF(INDEX(EmployeeData[Exit Date], ROW() - 37)=0, "",INDEX(EmployeeData[Exit Date], ROW() - 37)),"")</f>
        <v/>
      </c>
      <c r="I1972" s="4" t="str" cm="1">
        <f t="array" ref="I1972">IFERROR(IF(INDEX(EmployeeData[Exit Reason], ROW() - 37)=0, "",INDEX(EmployeeData[Exit Reason], ROW() - 37)),"")</f>
        <v/>
      </c>
      <c r="J1972" s="4" t="str" cm="1">
        <f t="array" ref="J1972">IFERROR(INDEX(EmployeeData[Status], ROW() - 37), "")</f>
        <v/>
      </c>
    </row>
    <row r="1973" spans="2:10" ht="19.95" customHeight="1" x14ac:dyDescent="0.3">
      <c r="B1973" s="4" t="str" cm="1">
        <f t="array" ref="B1973">IFERROR(INDEX(EmployeeData[Employee ID], ROW() - 37), "")</f>
        <v/>
      </c>
      <c r="C1973" s="4" t="str" cm="1">
        <f t="array" ref="C1973">IFERROR(INDEX(EmployeeData[Full Name], ROW() - 37), "")</f>
        <v/>
      </c>
      <c r="D1973" s="4" t="str" cm="1">
        <f t="array" ref="D1973">IFERROR(INDEX(EmployeeData[Department], ROW() - 37), "")</f>
        <v/>
      </c>
      <c r="E1973" s="4" t="str" cm="1">
        <f t="array" ref="E1973">IFERROR(INDEX(EmployeeData[Gender], ROW() - 37), "")</f>
        <v/>
      </c>
      <c r="F1973" s="4" t="str" cm="1">
        <f t="array" ref="F1973">IFERROR(INDEX(EmployeeData[Age], ROW() - 37), "")</f>
        <v/>
      </c>
      <c r="G1973" s="6" t="str" cm="1">
        <f t="array" ref="G1973">IFERROR(INDEX(EmployeeData[Join Date], ROW() - 37), "")</f>
        <v/>
      </c>
      <c r="H1973" s="6" t="str" cm="1">
        <f t="array" ref="H1973">IFERROR(IF(INDEX(EmployeeData[Exit Date], ROW() - 37)=0, "",INDEX(EmployeeData[Exit Date], ROW() - 37)),"")</f>
        <v/>
      </c>
      <c r="I1973" s="4" t="str" cm="1">
        <f t="array" ref="I1973">IFERROR(IF(INDEX(EmployeeData[Exit Reason], ROW() - 37)=0, "",INDEX(EmployeeData[Exit Reason], ROW() - 37)),"")</f>
        <v/>
      </c>
      <c r="J1973" s="4" t="str" cm="1">
        <f t="array" ref="J1973">IFERROR(INDEX(EmployeeData[Status], ROW() - 37), "")</f>
        <v/>
      </c>
    </row>
    <row r="1974" spans="2:10" ht="19.95" customHeight="1" x14ac:dyDescent="0.3">
      <c r="B1974" s="4" t="str" cm="1">
        <f t="array" ref="B1974">IFERROR(INDEX(EmployeeData[Employee ID], ROW() - 37), "")</f>
        <v/>
      </c>
      <c r="C1974" s="4" t="str" cm="1">
        <f t="array" ref="C1974">IFERROR(INDEX(EmployeeData[Full Name], ROW() - 37), "")</f>
        <v/>
      </c>
      <c r="D1974" s="4" t="str" cm="1">
        <f t="array" ref="D1974">IFERROR(INDEX(EmployeeData[Department], ROW() - 37), "")</f>
        <v/>
      </c>
      <c r="E1974" s="4" t="str" cm="1">
        <f t="array" ref="E1974">IFERROR(INDEX(EmployeeData[Gender], ROW() - 37), "")</f>
        <v/>
      </c>
      <c r="F1974" s="4" t="str" cm="1">
        <f t="array" ref="F1974">IFERROR(INDEX(EmployeeData[Age], ROW() - 37), "")</f>
        <v/>
      </c>
      <c r="G1974" s="6" t="str" cm="1">
        <f t="array" ref="G1974">IFERROR(INDEX(EmployeeData[Join Date], ROW() - 37), "")</f>
        <v/>
      </c>
      <c r="H1974" s="6" t="str" cm="1">
        <f t="array" ref="H1974">IFERROR(IF(INDEX(EmployeeData[Exit Date], ROW() - 37)=0, "",INDEX(EmployeeData[Exit Date], ROW() - 37)),"")</f>
        <v/>
      </c>
      <c r="I1974" s="4" t="str" cm="1">
        <f t="array" ref="I1974">IFERROR(IF(INDEX(EmployeeData[Exit Reason], ROW() - 37)=0, "",INDEX(EmployeeData[Exit Reason], ROW() - 37)),"")</f>
        <v/>
      </c>
      <c r="J1974" s="4" t="str" cm="1">
        <f t="array" ref="J1974">IFERROR(INDEX(EmployeeData[Status], ROW() - 37), "")</f>
        <v/>
      </c>
    </row>
    <row r="1975" spans="2:10" ht="19.95" customHeight="1" x14ac:dyDescent="0.3">
      <c r="B1975" s="4" t="str" cm="1">
        <f t="array" ref="B1975">IFERROR(INDEX(EmployeeData[Employee ID], ROW() - 37), "")</f>
        <v/>
      </c>
      <c r="C1975" s="4" t="str" cm="1">
        <f t="array" ref="C1975">IFERROR(INDEX(EmployeeData[Full Name], ROW() - 37), "")</f>
        <v/>
      </c>
      <c r="D1975" s="4" t="str" cm="1">
        <f t="array" ref="D1975">IFERROR(INDEX(EmployeeData[Department], ROW() - 37), "")</f>
        <v/>
      </c>
      <c r="E1975" s="4" t="str" cm="1">
        <f t="array" ref="E1975">IFERROR(INDEX(EmployeeData[Gender], ROW() - 37), "")</f>
        <v/>
      </c>
      <c r="F1975" s="4" t="str" cm="1">
        <f t="array" ref="F1975">IFERROR(INDEX(EmployeeData[Age], ROW() - 37), "")</f>
        <v/>
      </c>
      <c r="G1975" s="6" t="str" cm="1">
        <f t="array" ref="G1975">IFERROR(INDEX(EmployeeData[Join Date], ROW() - 37), "")</f>
        <v/>
      </c>
      <c r="H1975" s="6" t="str" cm="1">
        <f t="array" ref="H1975">IFERROR(IF(INDEX(EmployeeData[Exit Date], ROW() - 37)=0, "",INDEX(EmployeeData[Exit Date], ROW() - 37)),"")</f>
        <v/>
      </c>
      <c r="I1975" s="4" t="str" cm="1">
        <f t="array" ref="I1975">IFERROR(IF(INDEX(EmployeeData[Exit Reason], ROW() - 37)=0, "",INDEX(EmployeeData[Exit Reason], ROW() - 37)),"")</f>
        <v/>
      </c>
      <c r="J1975" s="4" t="str" cm="1">
        <f t="array" ref="J1975">IFERROR(INDEX(EmployeeData[Status], ROW() - 37), "")</f>
        <v/>
      </c>
    </row>
    <row r="1976" spans="2:10" ht="19.95" customHeight="1" x14ac:dyDescent="0.3">
      <c r="B1976" s="4" t="str" cm="1">
        <f t="array" ref="B1976">IFERROR(INDEX(EmployeeData[Employee ID], ROW() - 37), "")</f>
        <v/>
      </c>
      <c r="C1976" s="4" t="str" cm="1">
        <f t="array" ref="C1976">IFERROR(INDEX(EmployeeData[Full Name], ROW() - 37), "")</f>
        <v/>
      </c>
      <c r="D1976" s="4" t="str" cm="1">
        <f t="array" ref="D1976">IFERROR(INDEX(EmployeeData[Department], ROW() - 37), "")</f>
        <v/>
      </c>
      <c r="E1976" s="4" t="str" cm="1">
        <f t="array" ref="E1976">IFERROR(INDEX(EmployeeData[Gender], ROW() - 37), "")</f>
        <v/>
      </c>
      <c r="F1976" s="4" t="str" cm="1">
        <f t="array" ref="F1976">IFERROR(INDEX(EmployeeData[Age], ROW() - 37), "")</f>
        <v/>
      </c>
      <c r="G1976" s="6" t="str" cm="1">
        <f t="array" ref="G1976">IFERROR(INDEX(EmployeeData[Join Date], ROW() - 37), "")</f>
        <v/>
      </c>
      <c r="H1976" s="6" t="str" cm="1">
        <f t="array" ref="H1976">IFERROR(IF(INDEX(EmployeeData[Exit Date], ROW() - 37)=0, "",INDEX(EmployeeData[Exit Date], ROW() - 37)),"")</f>
        <v/>
      </c>
      <c r="I1976" s="4" t="str" cm="1">
        <f t="array" ref="I1976">IFERROR(IF(INDEX(EmployeeData[Exit Reason], ROW() - 37)=0, "",INDEX(EmployeeData[Exit Reason], ROW() - 37)),"")</f>
        <v/>
      </c>
      <c r="J1976" s="4" t="str" cm="1">
        <f t="array" ref="J1976">IFERROR(INDEX(EmployeeData[Status], ROW() - 37), "")</f>
        <v/>
      </c>
    </row>
    <row r="1977" spans="2:10" ht="19.95" customHeight="1" x14ac:dyDescent="0.3">
      <c r="B1977" s="4" t="str" cm="1">
        <f t="array" ref="B1977">IFERROR(INDEX(EmployeeData[Employee ID], ROW() - 37), "")</f>
        <v/>
      </c>
      <c r="C1977" s="4" t="str" cm="1">
        <f t="array" ref="C1977">IFERROR(INDEX(EmployeeData[Full Name], ROW() - 37), "")</f>
        <v/>
      </c>
      <c r="D1977" s="4" t="str" cm="1">
        <f t="array" ref="D1977">IFERROR(INDEX(EmployeeData[Department], ROW() - 37), "")</f>
        <v/>
      </c>
      <c r="E1977" s="4" t="str" cm="1">
        <f t="array" ref="E1977">IFERROR(INDEX(EmployeeData[Gender], ROW() - 37), "")</f>
        <v/>
      </c>
      <c r="F1977" s="4" t="str" cm="1">
        <f t="array" ref="F1977">IFERROR(INDEX(EmployeeData[Age], ROW() - 37), "")</f>
        <v/>
      </c>
      <c r="G1977" s="6" t="str" cm="1">
        <f t="array" ref="G1977">IFERROR(INDEX(EmployeeData[Join Date], ROW() - 37), "")</f>
        <v/>
      </c>
      <c r="H1977" s="6" t="str" cm="1">
        <f t="array" ref="H1977">IFERROR(IF(INDEX(EmployeeData[Exit Date], ROW() - 37)=0, "",INDEX(EmployeeData[Exit Date], ROW() - 37)),"")</f>
        <v/>
      </c>
      <c r="I1977" s="4" t="str" cm="1">
        <f t="array" ref="I1977">IFERROR(IF(INDEX(EmployeeData[Exit Reason], ROW() - 37)=0, "",INDEX(EmployeeData[Exit Reason], ROW() - 37)),"")</f>
        <v/>
      </c>
      <c r="J1977" s="4" t="str" cm="1">
        <f t="array" ref="J1977">IFERROR(INDEX(EmployeeData[Status], ROW() - 37), "")</f>
        <v/>
      </c>
    </row>
    <row r="1978" spans="2:10" ht="19.95" customHeight="1" x14ac:dyDescent="0.3">
      <c r="B1978" s="4" t="str" cm="1">
        <f t="array" ref="B1978">IFERROR(INDEX(EmployeeData[Employee ID], ROW() - 37), "")</f>
        <v/>
      </c>
      <c r="C1978" s="4" t="str" cm="1">
        <f t="array" ref="C1978">IFERROR(INDEX(EmployeeData[Full Name], ROW() - 37), "")</f>
        <v/>
      </c>
      <c r="D1978" s="4" t="str" cm="1">
        <f t="array" ref="D1978">IFERROR(INDEX(EmployeeData[Department], ROW() - 37), "")</f>
        <v/>
      </c>
      <c r="E1978" s="4" t="str" cm="1">
        <f t="array" ref="E1978">IFERROR(INDEX(EmployeeData[Gender], ROW() - 37), "")</f>
        <v/>
      </c>
      <c r="F1978" s="4" t="str" cm="1">
        <f t="array" ref="F1978">IFERROR(INDEX(EmployeeData[Age], ROW() - 37), "")</f>
        <v/>
      </c>
      <c r="G1978" s="6" t="str" cm="1">
        <f t="array" ref="G1978">IFERROR(INDEX(EmployeeData[Join Date], ROW() - 37), "")</f>
        <v/>
      </c>
      <c r="H1978" s="6" t="str" cm="1">
        <f t="array" ref="H1978">IFERROR(IF(INDEX(EmployeeData[Exit Date], ROW() - 37)=0, "",INDEX(EmployeeData[Exit Date], ROW() - 37)),"")</f>
        <v/>
      </c>
      <c r="I1978" s="4" t="str" cm="1">
        <f t="array" ref="I1978">IFERROR(IF(INDEX(EmployeeData[Exit Reason], ROW() - 37)=0, "",INDEX(EmployeeData[Exit Reason], ROW() - 37)),"")</f>
        <v/>
      </c>
      <c r="J1978" s="4" t="str" cm="1">
        <f t="array" ref="J1978">IFERROR(INDEX(EmployeeData[Status], ROW() - 37), "")</f>
        <v/>
      </c>
    </row>
    <row r="1979" spans="2:10" ht="19.95" customHeight="1" x14ac:dyDescent="0.3">
      <c r="B1979" s="4" t="str" cm="1">
        <f t="array" ref="B1979">IFERROR(INDEX(EmployeeData[Employee ID], ROW() - 37), "")</f>
        <v/>
      </c>
      <c r="C1979" s="4" t="str" cm="1">
        <f t="array" ref="C1979">IFERROR(INDEX(EmployeeData[Full Name], ROW() - 37), "")</f>
        <v/>
      </c>
      <c r="D1979" s="4" t="str" cm="1">
        <f t="array" ref="D1979">IFERROR(INDEX(EmployeeData[Department], ROW() - 37), "")</f>
        <v/>
      </c>
      <c r="E1979" s="4" t="str" cm="1">
        <f t="array" ref="E1979">IFERROR(INDEX(EmployeeData[Gender], ROW() - 37), "")</f>
        <v/>
      </c>
      <c r="F1979" s="4" t="str" cm="1">
        <f t="array" ref="F1979">IFERROR(INDEX(EmployeeData[Age], ROW() - 37), "")</f>
        <v/>
      </c>
      <c r="G1979" s="6" t="str" cm="1">
        <f t="array" ref="G1979">IFERROR(INDEX(EmployeeData[Join Date], ROW() - 37), "")</f>
        <v/>
      </c>
      <c r="H1979" s="6" t="str" cm="1">
        <f t="array" ref="H1979">IFERROR(IF(INDEX(EmployeeData[Exit Date], ROW() - 37)=0, "",INDEX(EmployeeData[Exit Date], ROW() - 37)),"")</f>
        <v/>
      </c>
      <c r="I1979" s="4" t="str" cm="1">
        <f t="array" ref="I1979">IFERROR(IF(INDEX(EmployeeData[Exit Reason], ROW() - 37)=0, "",INDEX(EmployeeData[Exit Reason], ROW() - 37)),"")</f>
        <v/>
      </c>
      <c r="J1979" s="4" t="str" cm="1">
        <f t="array" ref="J1979">IFERROR(INDEX(EmployeeData[Status], ROW() - 37), "")</f>
        <v/>
      </c>
    </row>
    <row r="1980" spans="2:10" ht="19.95" customHeight="1" x14ac:dyDescent="0.3">
      <c r="B1980" s="4" t="str" cm="1">
        <f t="array" ref="B1980">IFERROR(INDEX(EmployeeData[Employee ID], ROW() - 37), "")</f>
        <v/>
      </c>
      <c r="C1980" s="4" t="str" cm="1">
        <f t="array" ref="C1980">IFERROR(INDEX(EmployeeData[Full Name], ROW() - 37), "")</f>
        <v/>
      </c>
      <c r="D1980" s="4" t="str" cm="1">
        <f t="array" ref="D1980">IFERROR(INDEX(EmployeeData[Department], ROW() - 37), "")</f>
        <v/>
      </c>
      <c r="E1980" s="4" t="str" cm="1">
        <f t="array" ref="E1980">IFERROR(INDEX(EmployeeData[Gender], ROW() - 37), "")</f>
        <v/>
      </c>
      <c r="F1980" s="4" t="str" cm="1">
        <f t="array" ref="F1980">IFERROR(INDEX(EmployeeData[Age], ROW() - 37), "")</f>
        <v/>
      </c>
      <c r="G1980" s="6" t="str" cm="1">
        <f t="array" ref="G1980">IFERROR(INDEX(EmployeeData[Join Date], ROW() - 37), "")</f>
        <v/>
      </c>
      <c r="H1980" s="6" t="str" cm="1">
        <f t="array" ref="H1980">IFERROR(IF(INDEX(EmployeeData[Exit Date], ROW() - 37)=0, "",INDEX(EmployeeData[Exit Date], ROW() - 37)),"")</f>
        <v/>
      </c>
      <c r="I1980" s="4" t="str" cm="1">
        <f t="array" ref="I1980">IFERROR(IF(INDEX(EmployeeData[Exit Reason], ROW() - 37)=0, "",INDEX(EmployeeData[Exit Reason], ROW() - 37)),"")</f>
        <v/>
      </c>
      <c r="J1980" s="4" t="str" cm="1">
        <f t="array" ref="J1980">IFERROR(INDEX(EmployeeData[Status], ROW() - 37), "")</f>
        <v/>
      </c>
    </row>
    <row r="1981" spans="2:10" ht="19.95" customHeight="1" x14ac:dyDescent="0.3">
      <c r="B1981" s="4" t="str" cm="1">
        <f t="array" ref="B1981">IFERROR(INDEX(EmployeeData[Employee ID], ROW() - 37), "")</f>
        <v/>
      </c>
      <c r="C1981" s="4" t="str" cm="1">
        <f t="array" ref="C1981">IFERROR(INDEX(EmployeeData[Full Name], ROW() - 37), "")</f>
        <v/>
      </c>
      <c r="D1981" s="4" t="str" cm="1">
        <f t="array" ref="D1981">IFERROR(INDEX(EmployeeData[Department], ROW() - 37), "")</f>
        <v/>
      </c>
      <c r="E1981" s="4" t="str" cm="1">
        <f t="array" ref="E1981">IFERROR(INDEX(EmployeeData[Gender], ROW() - 37), "")</f>
        <v/>
      </c>
      <c r="F1981" s="4" t="str" cm="1">
        <f t="array" ref="F1981">IFERROR(INDEX(EmployeeData[Age], ROW() - 37), "")</f>
        <v/>
      </c>
      <c r="G1981" s="6" t="str" cm="1">
        <f t="array" ref="G1981">IFERROR(INDEX(EmployeeData[Join Date], ROW() - 37), "")</f>
        <v/>
      </c>
      <c r="H1981" s="6" t="str" cm="1">
        <f t="array" ref="H1981">IFERROR(IF(INDEX(EmployeeData[Exit Date], ROW() - 37)=0, "",INDEX(EmployeeData[Exit Date], ROW() - 37)),"")</f>
        <v/>
      </c>
      <c r="I1981" s="4" t="str" cm="1">
        <f t="array" ref="I1981">IFERROR(IF(INDEX(EmployeeData[Exit Reason], ROW() - 37)=0, "",INDEX(EmployeeData[Exit Reason], ROW() - 37)),"")</f>
        <v/>
      </c>
      <c r="J1981" s="4" t="str" cm="1">
        <f t="array" ref="J1981">IFERROR(INDEX(EmployeeData[Status], ROW() - 37), "")</f>
        <v/>
      </c>
    </row>
    <row r="1982" spans="2:10" ht="19.95" customHeight="1" x14ac:dyDescent="0.3">
      <c r="B1982" s="4" t="str" cm="1">
        <f t="array" ref="B1982">IFERROR(INDEX(EmployeeData[Employee ID], ROW() - 37), "")</f>
        <v/>
      </c>
      <c r="C1982" s="4" t="str" cm="1">
        <f t="array" ref="C1982">IFERROR(INDEX(EmployeeData[Full Name], ROW() - 37), "")</f>
        <v/>
      </c>
      <c r="D1982" s="4" t="str" cm="1">
        <f t="array" ref="D1982">IFERROR(INDEX(EmployeeData[Department], ROW() - 37), "")</f>
        <v/>
      </c>
      <c r="E1982" s="4" t="str" cm="1">
        <f t="array" ref="E1982">IFERROR(INDEX(EmployeeData[Gender], ROW() - 37), "")</f>
        <v/>
      </c>
      <c r="F1982" s="4" t="str" cm="1">
        <f t="array" ref="F1982">IFERROR(INDEX(EmployeeData[Age], ROW() - 37), "")</f>
        <v/>
      </c>
      <c r="G1982" s="6" t="str" cm="1">
        <f t="array" ref="G1982">IFERROR(INDEX(EmployeeData[Join Date], ROW() - 37), "")</f>
        <v/>
      </c>
      <c r="H1982" s="6" t="str" cm="1">
        <f t="array" ref="H1982">IFERROR(IF(INDEX(EmployeeData[Exit Date], ROW() - 37)=0, "",INDEX(EmployeeData[Exit Date], ROW() - 37)),"")</f>
        <v/>
      </c>
      <c r="I1982" s="4" t="str" cm="1">
        <f t="array" ref="I1982">IFERROR(IF(INDEX(EmployeeData[Exit Reason], ROW() - 37)=0, "",INDEX(EmployeeData[Exit Reason], ROW() - 37)),"")</f>
        <v/>
      </c>
      <c r="J1982" s="4" t="str" cm="1">
        <f t="array" ref="J1982">IFERROR(INDEX(EmployeeData[Status], ROW() - 37), "")</f>
        <v/>
      </c>
    </row>
    <row r="1983" spans="2:10" ht="19.95" customHeight="1" x14ac:dyDescent="0.3">
      <c r="B1983" s="4" t="str" cm="1">
        <f t="array" ref="B1983">IFERROR(INDEX(EmployeeData[Employee ID], ROW() - 37), "")</f>
        <v/>
      </c>
      <c r="C1983" s="4" t="str" cm="1">
        <f t="array" ref="C1983">IFERROR(INDEX(EmployeeData[Full Name], ROW() - 37), "")</f>
        <v/>
      </c>
      <c r="D1983" s="4" t="str" cm="1">
        <f t="array" ref="D1983">IFERROR(INDEX(EmployeeData[Department], ROW() - 37), "")</f>
        <v/>
      </c>
      <c r="E1983" s="4" t="str" cm="1">
        <f t="array" ref="E1983">IFERROR(INDEX(EmployeeData[Gender], ROW() - 37), "")</f>
        <v/>
      </c>
      <c r="F1983" s="4" t="str" cm="1">
        <f t="array" ref="F1983">IFERROR(INDEX(EmployeeData[Age], ROW() - 37), "")</f>
        <v/>
      </c>
      <c r="G1983" s="6" t="str" cm="1">
        <f t="array" ref="G1983">IFERROR(INDEX(EmployeeData[Join Date], ROW() - 37), "")</f>
        <v/>
      </c>
      <c r="H1983" s="6" t="str" cm="1">
        <f t="array" ref="H1983">IFERROR(IF(INDEX(EmployeeData[Exit Date], ROW() - 37)=0, "",INDEX(EmployeeData[Exit Date], ROW() - 37)),"")</f>
        <v/>
      </c>
      <c r="I1983" s="4" t="str" cm="1">
        <f t="array" ref="I1983">IFERROR(IF(INDEX(EmployeeData[Exit Reason], ROW() - 37)=0, "",INDEX(EmployeeData[Exit Reason], ROW() - 37)),"")</f>
        <v/>
      </c>
      <c r="J1983" s="4" t="str" cm="1">
        <f t="array" ref="J1983">IFERROR(INDEX(EmployeeData[Status], ROW() - 37), "")</f>
        <v/>
      </c>
    </row>
    <row r="1984" spans="2:10" ht="19.95" customHeight="1" x14ac:dyDescent="0.3">
      <c r="B1984" s="4" t="str" cm="1">
        <f t="array" ref="B1984">IFERROR(INDEX(EmployeeData[Employee ID], ROW() - 37), "")</f>
        <v/>
      </c>
      <c r="C1984" s="4" t="str" cm="1">
        <f t="array" ref="C1984">IFERROR(INDEX(EmployeeData[Full Name], ROW() - 37), "")</f>
        <v/>
      </c>
      <c r="D1984" s="4" t="str" cm="1">
        <f t="array" ref="D1984">IFERROR(INDEX(EmployeeData[Department], ROW() - 37), "")</f>
        <v/>
      </c>
      <c r="E1984" s="4" t="str" cm="1">
        <f t="array" ref="E1984">IFERROR(INDEX(EmployeeData[Gender], ROW() - 37), "")</f>
        <v/>
      </c>
      <c r="F1984" s="4" t="str" cm="1">
        <f t="array" ref="F1984">IFERROR(INDEX(EmployeeData[Age], ROW() - 37), "")</f>
        <v/>
      </c>
      <c r="G1984" s="6" t="str" cm="1">
        <f t="array" ref="G1984">IFERROR(INDEX(EmployeeData[Join Date], ROW() - 37), "")</f>
        <v/>
      </c>
      <c r="H1984" s="6" t="str" cm="1">
        <f t="array" ref="H1984">IFERROR(IF(INDEX(EmployeeData[Exit Date], ROW() - 37)=0, "",INDEX(EmployeeData[Exit Date], ROW() - 37)),"")</f>
        <v/>
      </c>
      <c r="I1984" s="4" t="str" cm="1">
        <f t="array" ref="I1984">IFERROR(IF(INDEX(EmployeeData[Exit Reason], ROW() - 37)=0, "",INDEX(EmployeeData[Exit Reason], ROW() - 37)),"")</f>
        <v/>
      </c>
      <c r="J1984" s="4" t="str" cm="1">
        <f t="array" ref="J1984">IFERROR(INDEX(EmployeeData[Status], ROW() - 37), "")</f>
        <v/>
      </c>
    </row>
    <row r="1985" spans="2:10" ht="19.95" customHeight="1" x14ac:dyDescent="0.3">
      <c r="B1985" s="4" t="str" cm="1">
        <f t="array" ref="B1985">IFERROR(INDEX(EmployeeData[Employee ID], ROW() - 37), "")</f>
        <v/>
      </c>
      <c r="C1985" s="4" t="str" cm="1">
        <f t="array" ref="C1985">IFERROR(INDEX(EmployeeData[Full Name], ROW() - 37), "")</f>
        <v/>
      </c>
      <c r="D1985" s="4" t="str" cm="1">
        <f t="array" ref="D1985">IFERROR(INDEX(EmployeeData[Department], ROW() - 37), "")</f>
        <v/>
      </c>
      <c r="E1985" s="4" t="str" cm="1">
        <f t="array" ref="E1985">IFERROR(INDEX(EmployeeData[Gender], ROW() - 37), "")</f>
        <v/>
      </c>
      <c r="F1985" s="4" t="str" cm="1">
        <f t="array" ref="F1985">IFERROR(INDEX(EmployeeData[Age], ROW() - 37), "")</f>
        <v/>
      </c>
      <c r="G1985" s="6" t="str" cm="1">
        <f t="array" ref="G1985">IFERROR(INDEX(EmployeeData[Join Date], ROW() - 37), "")</f>
        <v/>
      </c>
      <c r="H1985" s="6" t="str" cm="1">
        <f t="array" ref="H1985">IFERROR(IF(INDEX(EmployeeData[Exit Date], ROW() - 37)=0, "",INDEX(EmployeeData[Exit Date], ROW() - 37)),"")</f>
        <v/>
      </c>
      <c r="I1985" s="4" t="str" cm="1">
        <f t="array" ref="I1985">IFERROR(IF(INDEX(EmployeeData[Exit Reason], ROW() - 37)=0, "",INDEX(EmployeeData[Exit Reason], ROW() - 37)),"")</f>
        <v/>
      </c>
      <c r="J1985" s="4" t="str" cm="1">
        <f t="array" ref="J1985">IFERROR(INDEX(EmployeeData[Status], ROW() - 37), "")</f>
        <v/>
      </c>
    </row>
    <row r="1986" spans="2:10" ht="19.95" customHeight="1" x14ac:dyDescent="0.3">
      <c r="B1986" s="4" t="str" cm="1">
        <f t="array" ref="B1986">IFERROR(INDEX(EmployeeData[Employee ID], ROW() - 37), "")</f>
        <v/>
      </c>
      <c r="C1986" s="4" t="str" cm="1">
        <f t="array" ref="C1986">IFERROR(INDEX(EmployeeData[Full Name], ROW() - 37), "")</f>
        <v/>
      </c>
      <c r="D1986" s="4" t="str" cm="1">
        <f t="array" ref="D1986">IFERROR(INDEX(EmployeeData[Department], ROW() - 37), "")</f>
        <v/>
      </c>
      <c r="E1986" s="4" t="str" cm="1">
        <f t="array" ref="E1986">IFERROR(INDEX(EmployeeData[Gender], ROW() - 37), "")</f>
        <v/>
      </c>
      <c r="F1986" s="4" t="str" cm="1">
        <f t="array" ref="F1986">IFERROR(INDEX(EmployeeData[Age], ROW() - 37), "")</f>
        <v/>
      </c>
      <c r="G1986" s="6" t="str" cm="1">
        <f t="array" ref="G1986">IFERROR(INDEX(EmployeeData[Join Date], ROW() - 37), "")</f>
        <v/>
      </c>
      <c r="H1986" s="6" t="str" cm="1">
        <f t="array" ref="H1986">IFERROR(IF(INDEX(EmployeeData[Exit Date], ROW() - 37)=0, "",INDEX(EmployeeData[Exit Date], ROW() - 37)),"")</f>
        <v/>
      </c>
      <c r="I1986" s="4" t="str" cm="1">
        <f t="array" ref="I1986">IFERROR(IF(INDEX(EmployeeData[Exit Reason], ROW() - 37)=0, "",INDEX(EmployeeData[Exit Reason], ROW() - 37)),"")</f>
        <v/>
      </c>
      <c r="J1986" s="4" t="str" cm="1">
        <f t="array" ref="J1986">IFERROR(INDEX(EmployeeData[Status], ROW() - 37), "")</f>
        <v/>
      </c>
    </row>
    <row r="1987" spans="2:10" ht="19.95" customHeight="1" x14ac:dyDescent="0.3">
      <c r="B1987" s="4" t="str" cm="1">
        <f t="array" ref="B1987">IFERROR(INDEX(EmployeeData[Employee ID], ROW() - 37), "")</f>
        <v/>
      </c>
      <c r="C1987" s="4" t="str" cm="1">
        <f t="array" ref="C1987">IFERROR(INDEX(EmployeeData[Full Name], ROW() - 37), "")</f>
        <v/>
      </c>
      <c r="D1987" s="4" t="str" cm="1">
        <f t="array" ref="D1987">IFERROR(INDEX(EmployeeData[Department], ROW() - 37), "")</f>
        <v/>
      </c>
      <c r="E1987" s="4" t="str" cm="1">
        <f t="array" ref="E1987">IFERROR(INDEX(EmployeeData[Gender], ROW() - 37), "")</f>
        <v/>
      </c>
      <c r="F1987" s="4" t="str" cm="1">
        <f t="array" ref="F1987">IFERROR(INDEX(EmployeeData[Age], ROW() - 37), "")</f>
        <v/>
      </c>
      <c r="G1987" s="6" t="str" cm="1">
        <f t="array" ref="G1987">IFERROR(INDEX(EmployeeData[Join Date], ROW() - 37), "")</f>
        <v/>
      </c>
      <c r="H1987" s="6" t="str" cm="1">
        <f t="array" ref="H1987">IFERROR(IF(INDEX(EmployeeData[Exit Date], ROW() - 37)=0, "",INDEX(EmployeeData[Exit Date], ROW() - 37)),"")</f>
        <v/>
      </c>
      <c r="I1987" s="4" t="str" cm="1">
        <f t="array" ref="I1987">IFERROR(IF(INDEX(EmployeeData[Exit Reason], ROW() - 37)=0, "",INDEX(EmployeeData[Exit Reason], ROW() - 37)),"")</f>
        <v/>
      </c>
      <c r="J1987" s="4" t="str" cm="1">
        <f t="array" ref="J1987">IFERROR(INDEX(EmployeeData[Status], ROW() - 37), "")</f>
        <v/>
      </c>
    </row>
    <row r="1988" spans="2:10" ht="19.95" customHeight="1" x14ac:dyDescent="0.3">
      <c r="B1988" s="4" t="str" cm="1">
        <f t="array" ref="B1988">IFERROR(INDEX(EmployeeData[Employee ID], ROW() - 37), "")</f>
        <v/>
      </c>
      <c r="C1988" s="4" t="str" cm="1">
        <f t="array" ref="C1988">IFERROR(INDEX(EmployeeData[Full Name], ROW() - 37), "")</f>
        <v/>
      </c>
      <c r="D1988" s="4" t="str" cm="1">
        <f t="array" ref="D1988">IFERROR(INDEX(EmployeeData[Department], ROW() - 37), "")</f>
        <v/>
      </c>
      <c r="E1988" s="4" t="str" cm="1">
        <f t="array" ref="E1988">IFERROR(INDEX(EmployeeData[Gender], ROW() - 37), "")</f>
        <v/>
      </c>
      <c r="F1988" s="4" t="str" cm="1">
        <f t="array" ref="F1988">IFERROR(INDEX(EmployeeData[Age], ROW() - 37), "")</f>
        <v/>
      </c>
      <c r="G1988" s="6" t="str" cm="1">
        <f t="array" ref="G1988">IFERROR(INDEX(EmployeeData[Join Date], ROW() - 37), "")</f>
        <v/>
      </c>
      <c r="H1988" s="6" t="str" cm="1">
        <f t="array" ref="H1988">IFERROR(IF(INDEX(EmployeeData[Exit Date], ROW() - 37)=0, "",INDEX(EmployeeData[Exit Date], ROW() - 37)),"")</f>
        <v/>
      </c>
      <c r="I1988" s="4" t="str" cm="1">
        <f t="array" ref="I1988">IFERROR(IF(INDEX(EmployeeData[Exit Reason], ROW() - 37)=0, "",INDEX(EmployeeData[Exit Reason], ROW() - 37)),"")</f>
        <v/>
      </c>
      <c r="J1988" s="4" t="str" cm="1">
        <f t="array" ref="J1988">IFERROR(INDEX(EmployeeData[Status], ROW() - 37), "")</f>
        <v/>
      </c>
    </row>
    <row r="1989" spans="2:10" ht="19.95" customHeight="1" x14ac:dyDescent="0.3">
      <c r="B1989" s="4" t="str" cm="1">
        <f t="array" ref="B1989">IFERROR(INDEX(EmployeeData[Employee ID], ROW() - 37), "")</f>
        <v/>
      </c>
      <c r="C1989" s="4" t="str" cm="1">
        <f t="array" ref="C1989">IFERROR(INDEX(EmployeeData[Full Name], ROW() - 37), "")</f>
        <v/>
      </c>
      <c r="D1989" s="4" t="str" cm="1">
        <f t="array" ref="D1989">IFERROR(INDEX(EmployeeData[Department], ROW() - 37), "")</f>
        <v/>
      </c>
      <c r="E1989" s="4" t="str" cm="1">
        <f t="array" ref="E1989">IFERROR(INDEX(EmployeeData[Gender], ROW() - 37), "")</f>
        <v/>
      </c>
      <c r="F1989" s="4" t="str" cm="1">
        <f t="array" ref="F1989">IFERROR(INDEX(EmployeeData[Age], ROW() - 37), "")</f>
        <v/>
      </c>
      <c r="G1989" s="6" t="str" cm="1">
        <f t="array" ref="G1989">IFERROR(INDEX(EmployeeData[Join Date], ROW() - 37), "")</f>
        <v/>
      </c>
      <c r="H1989" s="6" t="str" cm="1">
        <f t="array" ref="H1989">IFERROR(IF(INDEX(EmployeeData[Exit Date], ROW() - 37)=0, "",INDEX(EmployeeData[Exit Date], ROW() - 37)),"")</f>
        <v/>
      </c>
      <c r="I1989" s="4" t="str" cm="1">
        <f t="array" ref="I1989">IFERROR(IF(INDEX(EmployeeData[Exit Reason], ROW() - 37)=0, "",INDEX(EmployeeData[Exit Reason], ROW() - 37)),"")</f>
        <v/>
      </c>
      <c r="J1989" s="4" t="str" cm="1">
        <f t="array" ref="J1989">IFERROR(INDEX(EmployeeData[Status], ROW() - 37), "")</f>
        <v/>
      </c>
    </row>
    <row r="1990" spans="2:10" ht="19.95" customHeight="1" x14ac:dyDescent="0.3">
      <c r="B1990" s="4" t="str" cm="1">
        <f t="array" ref="B1990">IFERROR(INDEX(EmployeeData[Employee ID], ROW() - 37), "")</f>
        <v/>
      </c>
      <c r="C1990" s="4" t="str" cm="1">
        <f t="array" ref="C1990">IFERROR(INDEX(EmployeeData[Full Name], ROW() - 37), "")</f>
        <v/>
      </c>
      <c r="D1990" s="4" t="str" cm="1">
        <f t="array" ref="D1990">IFERROR(INDEX(EmployeeData[Department], ROW() - 37), "")</f>
        <v/>
      </c>
      <c r="E1990" s="4" t="str" cm="1">
        <f t="array" ref="E1990">IFERROR(INDEX(EmployeeData[Gender], ROW() - 37), "")</f>
        <v/>
      </c>
      <c r="F1990" s="4" t="str" cm="1">
        <f t="array" ref="F1990">IFERROR(INDEX(EmployeeData[Age], ROW() - 37), "")</f>
        <v/>
      </c>
      <c r="G1990" s="6" t="str" cm="1">
        <f t="array" ref="G1990">IFERROR(INDEX(EmployeeData[Join Date], ROW() - 37), "")</f>
        <v/>
      </c>
      <c r="H1990" s="6" t="str" cm="1">
        <f t="array" ref="H1990">IFERROR(IF(INDEX(EmployeeData[Exit Date], ROW() - 37)=0, "",INDEX(EmployeeData[Exit Date], ROW() - 37)),"")</f>
        <v/>
      </c>
      <c r="I1990" s="4" t="str" cm="1">
        <f t="array" ref="I1990">IFERROR(IF(INDEX(EmployeeData[Exit Reason], ROW() - 37)=0, "",INDEX(EmployeeData[Exit Reason], ROW() - 37)),"")</f>
        <v/>
      </c>
      <c r="J1990" s="4" t="str" cm="1">
        <f t="array" ref="J1990">IFERROR(INDEX(EmployeeData[Status], ROW() - 37), "")</f>
        <v/>
      </c>
    </row>
    <row r="1991" spans="2:10" ht="19.95" customHeight="1" x14ac:dyDescent="0.3">
      <c r="B1991" s="4" t="str" cm="1">
        <f t="array" ref="B1991">IFERROR(INDEX(EmployeeData[Employee ID], ROW() - 37), "")</f>
        <v/>
      </c>
      <c r="C1991" s="4" t="str" cm="1">
        <f t="array" ref="C1991">IFERROR(INDEX(EmployeeData[Full Name], ROW() - 37), "")</f>
        <v/>
      </c>
      <c r="D1991" s="4" t="str" cm="1">
        <f t="array" ref="D1991">IFERROR(INDEX(EmployeeData[Department], ROW() - 37), "")</f>
        <v/>
      </c>
      <c r="E1991" s="4" t="str" cm="1">
        <f t="array" ref="E1991">IFERROR(INDEX(EmployeeData[Gender], ROW() - 37), "")</f>
        <v/>
      </c>
      <c r="F1991" s="4" t="str" cm="1">
        <f t="array" ref="F1991">IFERROR(INDEX(EmployeeData[Age], ROW() - 37), "")</f>
        <v/>
      </c>
      <c r="G1991" s="6" t="str" cm="1">
        <f t="array" ref="G1991">IFERROR(INDEX(EmployeeData[Join Date], ROW() - 37), "")</f>
        <v/>
      </c>
      <c r="H1991" s="6" t="str" cm="1">
        <f t="array" ref="H1991">IFERROR(IF(INDEX(EmployeeData[Exit Date], ROW() - 37)=0, "",INDEX(EmployeeData[Exit Date], ROW() - 37)),"")</f>
        <v/>
      </c>
      <c r="I1991" s="4" t="str" cm="1">
        <f t="array" ref="I1991">IFERROR(IF(INDEX(EmployeeData[Exit Reason], ROW() - 37)=0, "",INDEX(EmployeeData[Exit Reason], ROW() - 37)),"")</f>
        <v/>
      </c>
      <c r="J1991" s="4" t="str" cm="1">
        <f t="array" ref="J1991">IFERROR(INDEX(EmployeeData[Status], ROW() - 37), "")</f>
        <v/>
      </c>
    </row>
    <row r="1992" spans="2:10" ht="19.95" customHeight="1" x14ac:dyDescent="0.3">
      <c r="B1992" s="4" t="str" cm="1">
        <f t="array" ref="B1992">IFERROR(INDEX(EmployeeData[Employee ID], ROW() - 37), "")</f>
        <v/>
      </c>
      <c r="C1992" s="4" t="str" cm="1">
        <f t="array" ref="C1992">IFERROR(INDEX(EmployeeData[Full Name], ROW() - 37), "")</f>
        <v/>
      </c>
      <c r="D1992" s="4" t="str" cm="1">
        <f t="array" ref="D1992">IFERROR(INDEX(EmployeeData[Department], ROW() - 37), "")</f>
        <v/>
      </c>
      <c r="E1992" s="4" t="str" cm="1">
        <f t="array" ref="E1992">IFERROR(INDEX(EmployeeData[Gender], ROW() - 37), "")</f>
        <v/>
      </c>
      <c r="F1992" s="4" t="str" cm="1">
        <f t="array" ref="F1992">IFERROR(INDEX(EmployeeData[Age], ROW() - 37), "")</f>
        <v/>
      </c>
      <c r="G1992" s="6" t="str" cm="1">
        <f t="array" ref="G1992">IFERROR(INDEX(EmployeeData[Join Date], ROW() - 37), "")</f>
        <v/>
      </c>
      <c r="H1992" s="6" t="str" cm="1">
        <f t="array" ref="H1992">IFERROR(IF(INDEX(EmployeeData[Exit Date], ROW() - 37)=0, "",INDEX(EmployeeData[Exit Date], ROW() - 37)),"")</f>
        <v/>
      </c>
      <c r="I1992" s="4" t="str" cm="1">
        <f t="array" ref="I1992">IFERROR(IF(INDEX(EmployeeData[Exit Reason], ROW() - 37)=0, "",INDEX(EmployeeData[Exit Reason], ROW() - 37)),"")</f>
        <v/>
      </c>
      <c r="J1992" s="4" t="str" cm="1">
        <f t="array" ref="J1992">IFERROR(INDEX(EmployeeData[Status], ROW() - 37), "")</f>
        <v/>
      </c>
    </row>
    <row r="1993" spans="2:10" ht="19.95" customHeight="1" x14ac:dyDescent="0.3">
      <c r="B1993" s="4" t="str" cm="1">
        <f t="array" ref="B1993">IFERROR(INDEX(EmployeeData[Employee ID], ROW() - 37), "")</f>
        <v/>
      </c>
      <c r="C1993" s="4" t="str" cm="1">
        <f t="array" ref="C1993">IFERROR(INDEX(EmployeeData[Full Name], ROW() - 37), "")</f>
        <v/>
      </c>
      <c r="D1993" s="4" t="str" cm="1">
        <f t="array" ref="D1993">IFERROR(INDEX(EmployeeData[Department], ROW() - 37), "")</f>
        <v/>
      </c>
      <c r="E1993" s="4" t="str" cm="1">
        <f t="array" ref="E1993">IFERROR(INDEX(EmployeeData[Gender], ROW() - 37), "")</f>
        <v/>
      </c>
      <c r="F1993" s="4" t="str" cm="1">
        <f t="array" ref="F1993">IFERROR(INDEX(EmployeeData[Age], ROW() - 37), "")</f>
        <v/>
      </c>
      <c r="G1993" s="6" t="str" cm="1">
        <f t="array" ref="G1993">IFERROR(INDEX(EmployeeData[Join Date], ROW() - 37), "")</f>
        <v/>
      </c>
      <c r="H1993" s="6" t="str" cm="1">
        <f t="array" ref="H1993">IFERROR(IF(INDEX(EmployeeData[Exit Date], ROW() - 37)=0, "",INDEX(EmployeeData[Exit Date], ROW() - 37)),"")</f>
        <v/>
      </c>
      <c r="I1993" s="4" t="str" cm="1">
        <f t="array" ref="I1993">IFERROR(IF(INDEX(EmployeeData[Exit Reason], ROW() - 37)=0, "",INDEX(EmployeeData[Exit Reason], ROW() - 37)),"")</f>
        <v/>
      </c>
      <c r="J1993" s="4" t="str" cm="1">
        <f t="array" ref="J1993">IFERROR(INDEX(EmployeeData[Status], ROW() - 37), "")</f>
        <v/>
      </c>
    </row>
    <row r="1994" spans="2:10" ht="19.95" customHeight="1" x14ac:dyDescent="0.3">
      <c r="B1994" s="4" t="str" cm="1">
        <f t="array" ref="B1994">IFERROR(INDEX(EmployeeData[Employee ID], ROW() - 37), "")</f>
        <v/>
      </c>
      <c r="C1994" s="4" t="str" cm="1">
        <f t="array" ref="C1994">IFERROR(INDEX(EmployeeData[Full Name], ROW() - 37), "")</f>
        <v/>
      </c>
      <c r="D1994" s="4" t="str" cm="1">
        <f t="array" ref="D1994">IFERROR(INDEX(EmployeeData[Department], ROW() - 37), "")</f>
        <v/>
      </c>
      <c r="E1994" s="4" t="str" cm="1">
        <f t="array" ref="E1994">IFERROR(INDEX(EmployeeData[Gender], ROW() - 37), "")</f>
        <v/>
      </c>
      <c r="F1994" s="4" t="str" cm="1">
        <f t="array" ref="F1994">IFERROR(INDEX(EmployeeData[Age], ROW() - 37), "")</f>
        <v/>
      </c>
      <c r="G1994" s="6" t="str" cm="1">
        <f t="array" ref="G1994">IFERROR(INDEX(EmployeeData[Join Date], ROW() - 37), "")</f>
        <v/>
      </c>
      <c r="H1994" s="6" t="str" cm="1">
        <f t="array" ref="H1994">IFERROR(IF(INDEX(EmployeeData[Exit Date], ROW() - 37)=0, "",INDEX(EmployeeData[Exit Date], ROW() - 37)),"")</f>
        <v/>
      </c>
      <c r="I1994" s="4" t="str" cm="1">
        <f t="array" ref="I1994">IFERROR(IF(INDEX(EmployeeData[Exit Reason], ROW() - 37)=0, "",INDEX(EmployeeData[Exit Reason], ROW() - 37)),"")</f>
        <v/>
      </c>
      <c r="J1994" s="4" t="str" cm="1">
        <f t="array" ref="J1994">IFERROR(INDEX(EmployeeData[Status], ROW() - 37), "")</f>
        <v/>
      </c>
    </row>
    <row r="1995" spans="2:10" ht="19.95" customHeight="1" x14ac:dyDescent="0.3">
      <c r="B1995" s="4" t="str" cm="1">
        <f t="array" ref="B1995">IFERROR(INDEX(EmployeeData[Employee ID], ROW() - 37), "")</f>
        <v/>
      </c>
      <c r="C1995" s="4" t="str" cm="1">
        <f t="array" ref="C1995">IFERROR(INDEX(EmployeeData[Full Name], ROW() - 37), "")</f>
        <v/>
      </c>
      <c r="D1995" s="4" t="str" cm="1">
        <f t="array" ref="D1995">IFERROR(INDEX(EmployeeData[Department], ROW() - 37), "")</f>
        <v/>
      </c>
      <c r="E1995" s="4" t="str" cm="1">
        <f t="array" ref="E1995">IFERROR(INDEX(EmployeeData[Gender], ROW() - 37), "")</f>
        <v/>
      </c>
      <c r="F1995" s="4" t="str" cm="1">
        <f t="array" ref="F1995">IFERROR(INDEX(EmployeeData[Age], ROW() - 37), "")</f>
        <v/>
      </c>
      <c r="G1995" s="6" t="str" cm="1">
        <f t="array" ref="G1995">IFERROR(INDEX(EmployeeData[Join Date], ROW() - 37), "")</f>
        <v/>
      </c>
      <c r="H1995" s="6" t="str" cm="1">
        <f t="array" ref="H1995">IFERROR(IF(INDEX(EmployeeData[Exit Date], ROW() - 37)=0, "",INDEX(EmployeeData[Exit Date], ROW() - 37)),"")</f>
        <v/>
      </c>
      <c r="I1995" s="4" t="str" cm="1">
        <f t="array" ref="I1995">IFERROR(IF(INDEX(EmployeeData[Exit Reason], ROW() - 37)=0, "",INDEX(EmployeeData[Exit Reason], ROW() - 37)),"")</f>
        <v/>
      </c>
      <c r="J1995" s="4" t="str" cm="1">
        <f t="array" ref="J1995">IFERROR(INDEX(EmployeeData[Status], ROW() - 37), "")</f>
        <v/>
      </c>
    </row>
    <row r="1996" spans="2:10" ht="19.95" customHeight="1" x14ac:dyDescent="0.3">
      <c r="B1996" s="4" t="str" cm="1">
        <f t="array" ref="B1996">IFERROR(INDEX(EmployeeData[Employee ID], ROW() - 37), "")</f>
        <v/>
      </c>
      <c r="C1996" s="4" t="str" cm="1">
        <f t="array" ref="C1996">IFERROR(INDEX(EmployeeData[Full Name], ROW() - 37), "")</f>
        <v/>
      </c>
      <c r="D1996" s="4" t="str" cm="1">
        <f t="array" ref="D1996">IFERROR(INDEX(EmployeeData[Department], ROW() - 37), "")</f>
        <v/>
      </c>
      <c r="E1996" s="4" t="str" cm="1">
        <f t="array" ref="E1996">IFERROR(INDEX(EmployeeData[Gender], ROW() - 37), "")</f>
        <v/>
      </c>
      <c r="F1996" s="4" t="str" cm="1">
        <f t="array" ref="F1996">IFERROR(INDEX(EmployeeData[Age], ROW() - 37), "")</f>
        <v/>
      </c>
      <c r="G1996" s="6" t="str" cm="1">
        <f t="array" ref="G1996">IFERROR(INDEX(EmployeeData[Join Date], ROW() - 37), "")</f>
        <v/>
      </c>
      <c r="H1996" s="6" t="str" cm="1">
        <f t="array" ref="H1996">IFERROR(IF(INDEX(EmployeeData[Exit Date], ROW() - 37)=0, "",INDEX(EmployeeData[Exit Date], ROW() - 37)),"")</f>
        <v/>
      </c>
      <c r="I1996" s="4" t="str" cm="1">
        <f t="array" ref="I1996">IFERROR(IF(INDEX(EmployeeData[Exit Reason], ROW() - 37)=0, "",INDEX(EmployeeData[Exit Reason], ROW() - 37)),"")</f>
        <v/>
      </c>
      <c r="J1996" s="4" t="str" cm="1">
        <f t="array" ref="J1996">IFERROR(INDEX(EmployeeData[Status], ROW() - 37), "")</f>
        <v/>
      </c>
    </row>
    <row r="1997" spans="2:10" ht="19.95" customHeight="1" x14ac:dyDescent="0.3">
      <c r="B1997" s="4" t="str" cm="1">
        <f t="array" ref="B1997">IFERROR(INDEX(EmployeeData[Employee ID], ROW() - 37), "")</f>
        <v/>
      </c>
      <c r="C1997" s="4" t="str" cm="1">
        <f t="array" ref="C1997">IFERROR(INDEX(EmployeeData[Full Name], ROW() - 37), "")</f>
        <v/>
      </c>
      <c r="D1997" s="4" t="str" cm="1">
        <f t="array" ref="D1997">IFERROR(INDEX(EmployeeData[Department], ROW() - 37), "")</f>
        <v/>
      </c>
      <c r="E1997" s="4" t="str" cm="1">
        <f t="array" ref="E1997">IFERROR(INDEX(EmployeeData[Gender], ROW() - 37), "")</f>
        <v/>
      </c>
      <c r="F1997" s="4" t="str" cm="1">
        <f t="array" ref="F1997">IFERROR(INDEX(EmployeeData[Age], ROW() - 37), "")</f>
        <v/>
      </c>
      <c r="G1997" s="6" t="str" cm="1">
        <f t="array" ref="G1997">IFERROR(INDEX(EmployeeData[Join Date], ROW() - 37), "")</f>
        <v/>
      </c>
      <c r="H1997" s="6" t="str" cm="1">
        <f t="array" ref="H1997">IFERROR(IF(INDEX(EmployeeData[Exit Date], ROW() - 37)=0, "",INDEX(EmployeeData[Exit Date], ROW() - 37)),"")</f>
        <v/>
      </c>
      <c r="I1997" s="4" t="str" cm="1">
        <f t="array" ref="I1997">IFERROR(IF(INDEX(EmployeeData[Exit Reason], ROW() - 37)=0, "",INDEX(EmployeeData[Exit Reason], ROW() - 37)),"")</f>
        <v/>
      </c>
      <c r="J1997" s="4" t="str" cm="1">
        <f t="array" ref="J1997">IFERROR(INDEX(EmployeeData[Status], ROW() - 37), "")</f>
        <v/>
      </c>
    </row>
    <row r="1998" spans="2:10" ht="19.95" customHeight="1" x14ac:dyDescent="0.3">
      <c r="B1998" s="4" t="str" cm="1">
        <f t="array" ref="B1998">IFERROR(INDEX(EmployeeData[Employee ID], ROW() - 37), "")</f>
        <v/>
      </c>
      <c r="C1998" s="4" t="str" cm="1">
        <f t="array" ref="C1998">IFERROR(INDEX(EmployeeData[Full Name], ROW() - 37), "")</f>
        <v/>
      </c>
      <c r="D1998" s="4" t="str" cm="1">
        <f t="array" ref="D1998">IFERROR(INDEX(EmployeeData[Department], ROW() - 37), "")</f>
        <v/>
      </c>
      <c r="E1998" s="4" t="str" cm="1">
        <f t="array" ref="E1998">IFERROR(INDEX(EmployeeData[Gender], ROW() - 37), "")</f>
        <v/>
      </c>
      <c r="F1998" s="4" t="str" cm="1">
        <f t="array" ref="F1998">IFERROR(INDEX(EmployeeData[Age], ROW() - 37), "")</f>
        <v/>
      </c>
      <c r="G1998" s="6" t="str" cm="1">
        <f t="array" ref="G1998">IFERROR(INDEX(EmployeeData[Join Date], ROW() - 37), "")</f>
        <v/>
      </c>
      <c r="H1998" s="6" t="str" cm="1">
        <f t="array" ref="H1998">IFERROR(IF(INDEX(EmployeeData[Exit Date], ROW() - 37)=0, "",INDEX(EmployeeData[Exit Date], ROW() - 37)),"")</f>
        <v/>
      </c>
      <c r="I1998" s="4" t="str" cm="1">
        <f t="array" ref="I1998">IFERROR(IF(INDEX(EmployeeData[Exit Reason], ROW() - 37)=0, "",INDEX(EmployeeData[Exit Reason], ROW() - 37)),"")</f>
        <v/>
      </c>
      <c r="J1998" s="4" t="str" cm="1">
        <f t="array" ref="J1998">IFERROR(INDEX(EmployeeData[Status], ROW() - 37), "")</f>
        <v/>
      </c>
    </row>
    <row r="1999" spans="2:10" ht="19.95" customHeight="1" x14ac:dyDescent="0.3">
      <c r="B1999" s="4" t="str" cm="1">
        <f t="array" ref="B1999">IFERROR(INDEX(EmployeeData[Employee ID], ROW() - 37), "")</f>
        <v/>
      </c>
      <c r="C1999" s="4" t="str" cm="1">
        <f t="array" ref="C1999">IFERROR(INDEX(EmployeeData[Full Name], ROW() - 37), "")</f>
        <v/>
      </c>
      <c r="D1999" s="4" t="str" cm="1">
        <f t="array" ref="D1999">IFERROR(INDEX(EmployeeData[Department], ROW() - 37), "")</f>
        <v/>
      </c>
      <c r="E1999" s="4" t="str" cm="1">
        <f t="array" ref="E1999">IFERROR(INDEX(EmployeeData[Gender], ROW() - 37), "")</f>
        <v/>
      </c>
      <c r="F1999" s="4" t="str" cm="1">
        <f t="array" ref="F1999">IFERROR(INDEX(EmployeeData[Age], ROW() - 37), "")</f>
        <v/>
      </c>
      <c r="G1999" s="6" t="str" cm="1">
        <f t="array" ref="G1999">IFERROR(INDEX(EmployeeData[Join Date], ROW() - 37), "")</f>
        <v/>
      </c>
      <c r="H1999" s="6" t="str" cm="1">
        <f t="array" ref="H1999">IFERROR(IF(INDEX(EmployeeData[Exit Date], ROW() - 37)=0, "",INDEX(EmployeeData[Exit Date], ROW() - 37)),"")</f>
        <v/>
      </c>
      <c r="I1999" s="4" t="str" cm="1">
        <f t="array" ref="I1999">IFERROR(IF(INDEX(EmployeeData[Exit Reason], ROW() - 37)=0, "",INDEX(EmployeeData[Exit Reason], ROW() - 37)),"")</f>
        <v/>
      </c>
      <c r="J1999" s="4" t="str" cm="1">
        <f t="array" ref="J1999">IFERROR(INDEX(EmployeeData[Status], ROW() - 37), "")</f>
        <v/>
      </c>
    </row>
    <row r="2000" spans="2:10" ht="19.95" customHeight="1" x14ac:dyDescent="0.3">
      <c r="B2000" s="4" t="str" cm="1">
        <f t="array" ref="B2000">IFERROR(INDEX(EmployeeData[Employee ID], ROW() - 37), "")</f>
        <v/>
      </c>
      <c r="C2000" s="4" t="str" cm="1">
        <f t="array" ref="C2000">IFERROR(INDEX(EmployeeData[Full Name], ROW() - 37), "")</f>
        <v/>
      </c>
      <c r="D2000" s="4" t="str" cm="1">
        <f t="array" ref="D2000">IFERROR(INDEX(EmployeeData[Department], ROW() - 37), "")</f>
        <v/>
      </c>
      <c r="E2000" s="4" t="str" cm="1">
        <f t="array" ref="E2000">IFERROR(INDEX(EmployeeData[Gender], ROW() - 37), "")</f>
        <v/>
      </c>
      <c r="F2000" s="4" t="str" cm="1">
        <f t="array" ref="F2000">IFERROR(INDEX(EmployeeData[Age], ROW() - 37), "")</f>
        <v/>
      </c>
      <c r="G2000" s="6" t="str" cm="1">
        <f t="array" ref="G2000">IFERROR(INDEX(EmployeeData[Join Date], ROW() - 37), "")</f>
        <v/>
      </c>
      <c r="H2000" s="6" t="str" cm="1">
        <f t="array" ref="H2000">IFERROR(IF(INDEX(EmployeeData[Exit Date], ROW() - 37)=0, "",INDEX(EmployeeData[Exit Date], ROW() - 37)),"")</f>
        <v/>
      </c>
      <c r="I2000" s="4" t="str" cm="1">
        <f t="array" ref="I2000">IFERROR(IF(INDEX(EmployeeData[Exit Reason], ROW() - 37)=0, "",INDEX(EmployeeData[Exit Reason], ROW() - 37)),"")</f>
        <v/>
      </c>
      <c r="J2000" s="4" t="str" cm="1">
        <f t="array" ref="J2000">IFERROR(INDEX(EmployeeData[Status], ROW() - 37), "")</f>
        <v/>
      </c>
    </row>
    <row r="2001" spans="2:10" ht="19.95" customHeight="1" x14ac:dyDescent="0.3">
      <c r="B2001" s="4" t="str" cm="1">
        <f t="array" ref="B2001">IFERROR(INDEX(EmployeeData[Employee ID], ROW() - 37), "")</f>
        <v/>
      </c>
      <c r="C2001" s="4" t="str" cm="1">
        <f t="array" ref="C2001">IFERROR(INDEX(EmployeeData[Full Name], ROW() - 37), "")</f>
        <v/>
      </c>
      <c r="D2001" s="4" t="str" cm="1">
        <f t="array" ref="D2001">IFERROR(INDEX(EmployeeData[Department], ROW() - 37), "")</f>
        <v/>
      </c>
      <c r="E2001" s="4" t="str" cm="1">
        <f t="array" ref="E2001">IFERROR(INDEX(EmployeeData[Gender], ROW() - 37), "")</f>
        <v/>
      </c>
      <c r="F2001" s="4" t="str" cm="1">
        <f t="array" ref="F2001">IFERROR(INDEX(EmployeeData[Age], ROW() - 37), "")</f>
        <v/>
      </c>
      <c r="G2001" s="6" t="str" cm="1">
        <f t="array" ref="G2001">IFERROR(INDEX(EmployeeData[Join Date], ROW() - 37), "")</f>
        <v/>
      </c>
      <c r="H2001" s="6" t="str" cm="1">
        <f t="array" ref="H2001">IFERROR(IF(INDEX(EmployeeData[Exit Date], ROW() - 37)=0, "",INDEX(EmployeeData[Exit Date], ROW() - 37)),"")</f>
        <v/>
      </c>
      <c r="I2001" s="4" t="str" cm="1">
        <f t="array" ref="I2001">IFERROR(IF(INDEX(EmployeeData[Exit Reason], ROW() - 37)=0, "",INDEX(EmployeeData[Exit Reason], ROW() - 37)),"")</f>
        <v/>
      </c>
      <c r="J2001" s="4" t="str" cm="1">
        <f t="array" ref="J2001">IFERROR(INDEX(EmployeeData[Status], ROW() - 37), "")</f>
        <v/>
      </c>
    </row>
    <row r="2002" spans="2:10" ht="19.95" customHeight="1" x14ac:dyDescent="0.3">
      <c r="B2002" s="4" t="str" cm="1">
        <f t="array" ref="B2002">IFERROR(INDEX(EmployeeData[Employee ID], ROW() - 37), "")</f>
        <v/>
      </c>
      <c r="C2002" s="4" t="str" cm="1">
        <f t="array" ref="C2002">IFERROR(INDEX(EmployeeData[Full Name], ROW() - 37), "")</f>
        <v/>
      </c>
      <c r="D2002" s="4" t="str" cm="1">
        <f t="array" ref="D2002">IFERROR(INDEX(EmployeeData[Department], ROW() - 37), "")</f>
        <v/>
      </c>
      <c r="E2002" s="4" t="str" cm="1">
        <f t="array" ref="E2002">IFERROR(INDEX(EmployeeData[Gender], ROW() - 37), "")</f>
        <v/>
      </c>
      <c r="F2002" s="4" t="str" cm="1">
        <f t="array" ref="F2002">IFERROR(INDEX(EmployeeData[Age], ROW() - 37), "")</f>
        <v/>
      </c>
      <c r="G2002" s="6" t="str" cm="1">
        <f t="array" ref="G2002">IFERROR(INDEX(EmployeeData[Join Date], ROW() - 37), "")</f>
        <v/>
      </c>
      <c r="H2002" s="6" t="str" cm="1">
        <f t="array" ref="H2002">IFERROR(IF(INDEX(EmployeeData[Exit Date], ROW() - 37)=0, "",INDEX(EmployeeData[Exit Date], ROW() - 37)),"")</f>
        <v/>
      </c>
      <c r="I2002" s="4" t="str" cm="1">
        <f t="array" ref="I2002">IFERROR(IF(INDEX(EmployeeData[Exit Reason], ROW() - 37)=0, "",INDEX(EmployeeData[Exit Reason], ROW() - 37)),"")</f>
        <v/>
      </c>
      <c r="J2002" s="4" t="str" cm="1">
        <f t="array" ref="J2002">IFERROR(INDEX(EmployeeData[Status], ROW() - 37), "")</f>
        <v/>
      </c>
    </row>
    <row r="2003" spans="2:10" ht="19.95" customHeight="1" x14ac:dyDescent="0.3">
      <c r="B2003" s="4" t="str" cm="1">
        <f t="array" ref="B2003">IFERROR(INDEX(EmployeeData[Employee ID], ROW() - 37), "")</f>
        <v/>
      </c>
      <c r="C2003" s="4" t="str" cm="1">
        <f t="array" ref="C2003">IFERROR(INDEX(EmployeeData[Full Name], ROW() - 37), "")</f>
        <v/>
      </c>
      <c r="D2003" s="4" t="str" cm="1">
        <f t="array" ref="D2003">IFERROR(INDEX(EmployeeData[Department], ROW() - 37), "")</f>
        <v/>
      </c>
      <c r="E2003" s="4" t="str" cm="1">
        <f t="array" ref="E2003">IFERROR(INDEX(EmployeeData[Gender], ROW() - 37), "")</f>
        <v/>
      </c>
      <c r="F2003" s="4" t="str" cm="1">
        <f t="array" ref="F2003">IFERROR(INDEX(EmployeeData[Age], ROW() - 37), "")</f>
        <v/>
      </c>
      <c r="G2003" s="6" t="str" cm="1">
        <f t="array" ref="G2003">IFERROR(INDEX(EmployeeData[Join Date], ROW() - 37), "")</f>
        <v/>
      </c>
      <c r="H2003" s="6" t="str" cm="1">
        <f t="array" ref="H2003">IFERROR(IF(INDEX(EmployeeData[Exit Date], ROW() - 37)=0, "",INDEX(EmployeeData[Exit Date], ROW() - 37)),"")</f>
        <v/>
      </c>
      <c r="I2003" s="4" t="str" cm="1">
        <f t="array" ref="I2003">IFERROR(IF(INDEX(EmployeeData[Exit Reason], ROW() - 37)=0, "",INDEX(EmployeeData[Exit Reason], ROW() - 37)),"")</f>
        <v/>
      </c>
      <c r="J2003" s="4" t="str" cm="1">
        <f t="array" ref="J2003">IFERROR(INDEX(EmployeeData[Status], ROW() - 37), "")</f>
        <v/>
      </c>
    </row>
    <row r="2004" spans="2:10" ht="19.95" customHeight="1" x14ac:dyDescent="0.3">
      <c r="B2004" s="4" t="str" cm="1">
        <f t="array" ref="B2004">IFERROR(INDEX(EmployeeData[Employee ID], ROW() - 37), "")</f>
        <v/>
      </c>
      <c r="C2004" s="4" t="str" cm="1">
        <f t="array" ref="C2004">IFERROR(INDEX(EmployeeData[Full Name], ROW() - 37), "")</f>
        <v/>
      </c>
      <c r="D2004" s="4" t="str" cm="1">
        <f t="array" ref="D2004">IFERROR(INDEX(EmployeeData[Department], ROW() - 37), "")</f>
        <v/>
      </c>
      <c r="E2004" s="4" t="str" cm="1">
        <f t="array" ref="E2004">IFERROR(INDEX(EmployeeData[Gender], ROW() - 37), "")</f>
        <v/>
      </c>
      <c r="F2004" s="4" t="str" cm="1">
        <f t="array" ref="F2004">IFERROR(INDEX(EmployeeData[Age], ROW() - 37), "")</f>
        <v/>
      </c>
      <c r="G2004" s="6" t="str" cm="1">
        <f t="array" ref="G2004">IFERROR(INDEX(EmployeeData[Join Date], ROW() - 37), "")</f>
        <v/>
      </c>
      <c r="H2004" s="6" t="str" cm="1">
        <f t="array" ref="H2004">IFERROR(IF(INDEX(EmployeeData[Exit Date], ROW() - 37)=0, "",INDEX(EmployeeData[Exit Date], ROW() - 37)),"")</f>
        <v/>
      </c>
      <c r="I2004" s="4" t="str" cm="1">
        <f t="array" ref="I2004">IFERROR(IF(INDEX(EmployeeData[Exit Reason], ROW() - 37)=0, "",INDEX(EmployeeData[Exit Reason], ROW() - 37)),"")</f>
        <v/>
      </c>
      <c r="J2004" s="4" t="str" cm="1">
        <f t="array" ref="J2004">IFERROR(INDEX(EmployeeData[Status], ROW() - 37), "")</f>
        <v/>
      </c>
    </row>
    <row r="2005" spans="2:10" ht="19.95" customHeight="1" x14ac:dyDescent="0.3">
      <c r="B2005" s="4" t="str" cm="1">
        <f t="array" ref="B2005">IFERROR(INDEX(EmployeeData[Employee ID], ROW() - 37), "")</f>
        <v/>
      </c>
      <c r="C2005" s="4" t="str" cm="1">
        <f t="array" ref="C2005">IFERROR(INDEX(EmployeeData[Full Name], ROW() - 37), "")</f>
        <v/>
      </c>
      <c r="D2005" s="4" t="str" cm="1">
        <f t="array" ref="D2005">IFERROR(INDEX(EmployeeData[Department], ROW() - 37), "")</f>
        <v/>
      </c>
      <c r="E2005" s="4" t="str" cm="1">
        <f t="array" ref="E2005">IFERROR(INDEX(EmployeeData[Gender], ROW() - 37), "")</f>
        <v/>
      </c>
      <c r="F2005" s="4" t="str" cm="1">
        <f t="array" ref="F2005">IFERROR(INDEX(EmployeeData[Age], ROW() - 37), "")</f>
        <v/>
      </c>
      <c r="G2005" s="6" t="str" cm="1">
        <f t="array" ref="G2005">IFERROR(INDEX(EmployeeData[Join Date], ROW() - 37), "")</f>
        <v/>
      </c>
      <c r="H2005" s="6" t="str" cm="1">
        <f t="array" ref="H2005">IFERROR(IF(INDEX(EmployeeData[Exit Date], ROW() - 37)=0, "",INDEX(EmployeeData[Exit Date], ROW() - 37)),"")</f>
        <v/>
      </c>
      <c r="I2005" s="4" t="str" cm="1">
        <f t="array" ref="I2005">IFERROR(IF(INDEX(EmployeeData[Exit Reason], ROW() - 37)=0, "",INDEX(EmployeeData[Exit Reason], ROW() - 37)),"")</f>
        <v/>
      </c>
      <c r="J2005" s="4" t="str" cm="1">
        <f t="array" ref="J2005">IFERROR(INDEX(EmployeeData[Status], ROW() - 37), "")</f>
        <v/>
      </c>
    </row>
    <row r="2006" spans="2:10" ht="19.95" customHeight="1" x14ac:dyDescent="0.3">
      <c r="B2006" s="4" t="str" cm="1">
        <f t="array" ref="B2006">IFERROR(INDEX(EmployeeData[Employee ID], ROW() - 37), "")</f>
        <v/>
      </c>
      <c r="C2006" s="4" t="str" cm="1">
        <f t="array" ref="C2006">IFERROR(INDEX(EmployeeData[Full Name], ROW() - 37), "")</f>
        <v/>
      </c>
      <c r="D2006" s="4" t="str" cm="1">
        <f t="array" ref="D2006">IFERROR(INDEX(EmployeeData[Department], ROW() - 37), "")</f>
        <v/>
      </c>
      <c r="E2006" s="4" t="str" cm="1">
        <f t="array" ref="E2006">IFERROR(INDEX(EmployeeData[Gender], ROW() - 37), "")</f>
        <v/>
      </c>
      <c r="F2006" s="4" t="str" cm="1">
        <f t="array" ref="F2006">IFERROR(INDEX(EmployeeData[Age], ROW() - 37), "")</f>
        <v/>
      </c>
      <c r="G2006" s="6" t="str" cm="1">
        <f t="array" ref="G2006">IFERROR(INDEX(EmployeeData[Join Date], ROW() - 37), "")</f>
        <v/>
      </c>
      <c r="H2006" s="6" t="str" cm="1">
        <f t="array" ref="H2006">IFERROR(IF(INDEX(EmployeeData[Exit Date], ROW() - 37)=0, "",INDEX(EmployeeData[Exit Date], ROW() - 37)),"")</f>
        <v/>
      </c>
      <c r="I2006" s="4" t="str" cm="1">
        <f t="array" ref="I2006">IFERROR(IF(INDEX(EmployeeData[Exit Reason], ROW() - 37)=0, "",INDEX(EmployeeData[Exit Reason], ROW() - 37)),"")</f>
        <v/>
      </c>
      <c r="J2006" s="4" t="str" cm="1">
        <f t="array" ref="J2006">IFERROR(INDEX(EmployeeData[Status], ROW() - 37), "")</f>
        <v/>
      </c>
    </row>
    <row r="2007" spans="2:10" ht="19.95" customHeight="1" x14ac:dyDescent="0.3">
      <c r="B2007" s="4" t="str" cm="1">
        <f t="array" ref="B2007">IFERROR(INDEX(EmployeeData[Employee ID], ROW() - 37), "")</f>
        <v/>
      </c>
      <c r="C2007" s="4" t="str" cm="1">
        <f t="array" ref="C2007">IFERROR(INDEX(EmployeeData[Full Name], ROW() - 37), "")</f>
        <v/>
      </c>
      <c r="D2007" s="4" t="str" cm="1">
        <f t="array" ref="D2007">IFERROR(INDEX(EmployeeData[Department], ROW() - 37), "")</f>
        <v/>
      </c>
      <c r="E2007" s="4" t="str" cm="1">
        <f t="array" ref="E2007">IFERROR(INDEX(EmployeeData[Gender], ROW() - 37), "")</f>
        <v/>
      </c>
      <c r="F2007" s="4" t="str" cm="1">
        <f t="array" ref="F2007">IFERROR(INDEX(EmployeeData[Age], ROW() - 37), "")</f>
        <v/>
      </c>
      <c r="G2007" s="6" t="str" cm="1">
        <f t="array" ref="G2007">IFERROR(INDEX(EmployeeData[Join Date], ROW() - 37), "")</f>
        <v/>
      </c>
      <c r="H2007" s="6" t="str" cm="1">
        <f t="array" ref="H2007">IFERROR(IF(INDEX(EmployeeData[Exit Date], ROW() - 37)=0, "",INDEX(EmployeeData[Exit Date], ROW() - 37)),"")</f>
        <v/>
      </c>
      <c r="I2007" s="4" t="str" cm="1">
        <f t="array" ref="I2007">IFERROR(IF(INDEX(EmployeeData[Exit Reason], ROW() - 37)=0, "",INDEX(EmployeeData[Exit Reason], ROW() - 37)),"")</f>
        <v/>
      </c>
      <c r="J2007" s="4" t="str" cm="1">
        <f t="array" ref="J2007">IFERROR(INDEX(EmployeeData[Status], ROW() - 37), "")</f>
        <v/>
      </c>
    </row>
    <row r="2008" spans="2:10" ht="19.95" customHeight="1" x14ac:dyDescent="0.3">
      <c r="B2008" s="4" t="str" cm="1">
        <f t="array" ref="B2008">IFERROR(INDEX(EmployeeData[Employee ID], ROW() - 37), "")</f>
        <v/>
      </c>
      <c r="C2008" s="4" t="str" cm="1">
        <f t="array" ref="C2008">IFERROR(INDEX(EmployeeData[Full Name], ROW() - 37), "")</f>
        <v/>
      </c>
      <c r="D2008" s="4" t="str" cm="1">
        <f t="array" ref="D2008">IFERROR(INDEX(EmployeeData[Department], ROW() - 37), "")</f>
        <v/>
      </c>
      <c r="E2008" s="4" t="str" cm="1">
        <f t="array" ref="E2008">IFERROR(INDEX(EmployeeData[Gender], ROW() - 37), "")</f>
        <v/>
      </c>
      <c r="F2008" s="4" t="str" cm="1">
        <f t="array" ref="F2008">IFERROR(INDEX(EmployeeData[Age], ROW() - 37), "")</f>
        <v/>
      </c>
      <c r="G2008" s="6" t="str" cm="1">
        <f t="array" ref="G2008">IFERROR(INDEX(EmployeeData[Join Date], ROW() - 37), "")</f>
        <v/>
      </c>
      <c r="H2008" s="6" t="str" cm="1">
        <f t="array" ref="H2008">IFERROR(IF(INDEX(EmployeeData[Exit Date], ROW() - 37)=0, "",INDEX(EmployeeData[Exit Date], ROW() - 37)),"")</f>
        <v/>
      </c>
      <c r="I2008" s="4" t="str" cm="1">
        <f t="array" ref="I2008">IFERROR(IF(INDEX(EmployeeData[Exit Reason], ROW() - 37)=0, "",INDEX(EmployeeData[Exit Reason], ROW() - 37)),"")</f>
        <v/>
      </c>
      <c r="J2008" s="4" t="str" cm="1">
        <f t="array" ref="J2008">IFERROR(INDEX(EmployeeData[Status], ROW() - 37), "")</f>
        <v/>
      </c>
    </row>
    <row r="2009" spans="2:10" ht="19.95" customHeight="1" x14ac:dyDescent="0.3">
      <c r="B2009" s="4" t="str" cm="1">
        <f t="array" ref="B2009">IFERROR(INDEX(EmployeeData[Employee ID], ROW() - 37), "")</f>
        <v/>
      </c>
      <c r="C2009" s="4" t="str" cm="1">
        <f t="array" ref="C2009">IFERROR(INDEX(EmployeeData[Full Name], ROW() - 37), "")</f>
        <v/>
      </c>
      <c r="D2009" s="4" t="str" cm="1">
        <f t="array" ref="D2009">IFERROR(INDEX(EmployeeData[Department], ROW() - 37), "")</f>
        <v/>
      </c>
      <c r="E2009" s="4" t="str" cm="1">
        <f t="array" ref="E2009">IFERROR(INDEX(EmployeeData[Gender], ROW() - 37), "")</f>
        <v/>
      </c>
      <c r="F2009" s="4" t="str" cm="1">
        <f t="array" ref="F2009">IFERROR(INDEX(EmployeeData[Age], ROW() - 37), "")</f>
        <v/>
      </c>
      <c r="G2009" s="6" t="str" cm="1">
        <f t="array" ref="G2009">IFERROR(INDEX(EmployeeData[Join Date], ROW() - 37), "")</f>
        <v/>
      </c>
      <c r="H2009" s="6" t="str" cm="1">
        <f t="array" ref="H2009">IFERROR(IF(INDEX(EmployeeData[Exit Date], ROW() - 37)=0, "",INDEX(EmployeeData[Exit Date], ROW() - 37)),"")</f>
        <v/>
      </c>
      <c r="I2009" s="4" t="str" cm="1">
        <f t="array" ref="I2009">IFERROR(IF(INDEX(EmployeeData[Exit Reason], ROW() - 37)=0, "",INDEX(EmployeeData[Exit Reason], ROW() - 37)),"")</f>
        <v/>
      </c>
      <c r="J2009" s="4" t="str" cm="1">
        <f t="array" ref="J2009">IFERROR(INDEX(EmployeeData[Status], ROW() - 37), "")</f>
        <v/>
      </c>
    </row>
    <row r="2010" spans="2:10" ht="19.95" customHeight="1" x14ac:dyDescent="0.3">
      <c r="B2010" s="4" t="str" cm="1">
        <f t="array" ref="B2010">IFERROR(INDEX(EmployeeData[Employee ID], ROW() - 37), "")</f>
        <v/>
      </c>
      <c r="C2010" s="4" t="str" cm="1">
        <f t="array" ref="C2010">IFERROR(INDEX(EmployeeData[Full Name], ROW() - 37), "")</f>
        <v/>
      </c>
      <c r="D2010" s="4" t="str" cm="1">
        <f t="array" ref="D2010">IFERROR(INDEX(EmployeeData[Department], ROW() - 37), "")</f>
        <v/>
      </c>
      <c r="E2010" s="4" t="str" cm="1">
        <f t="array" ref="E2010">IFERROR(INDEX(EmployeeData[Gender], ROW() - 37), "")</f>
        <v/>
      </c>
      <c r="F2010" s="4" t="str" cm="1">
        <f t="array" ref="F2010">IFERROR(INDEX(EmployeeData[Age], ROW() - 37), "")</f>
        <v/>
      </c>
      <c r="G2010" s="6" t="str" cm="1">
        <f t="array" ref="G2010">IFERROR(INDEX(EmployeeData[Join Date], ROW() - 37), "")</f>
        <v/>
      </c>
      <c r="H2010" s="6" t="str" cm="1">
        <f t="array" ref="H2010">IFERROR(IF(INDEX(EmployeeData[Exit Date], ROW() - 37)=0, "",INDEX(EmployeeData[Exit Date], ROW() - 37)),"")</f>
        <v/>
      </c>
      <c r="I2010" s="4" t="str" cm="1">
        <f t="array" ref="I2010">IFERROR(IF(INDEX(EmployeeData[Exit Reason], ROW() - 37)=0, "",INDEX(EmployeeData[Exit Reason], ROW() - 37)),"")</f>
        <v/>
      </c>
      <c r="J2010" s="4" t="str" cm="1">
        <f t="array" ref="J2010">IFERROR(INDEX(EmployeeData[Status], ROW() - 37), "")</f>
        <v/>
      </c>
    </row>
    <row r="2011" spans="2:10" ht="19.95" customHeight="1" x14ac:dyDescent="0.3">
      <c r="B2011" s="4" t="str" cm="1">
        <f t="array" ref="B2011">IFERROR(INDEX(EmployeeData[Employee ID], ROW() - 37), "")</f>
        <v/>
      </c>
      <c r="C2011" s="4" t="str" cm="1">
        <f t="array" ref="C2011">IFERROR(INDEX(EmployeeData[Full Name], ROW() - 37), "")</f>
        <v/>
      </c>
      <c r="D2011" s="4" t="str" cm="1">
        <f t="array" ref="D2011">IFERROR(INDEX(EmployeeData[Department], ROW() - 37), "")</f>
        <v/>
      </c>
      <c r="E2011" s="4" t="str" cm="1">
        <f t="array" ref="E2011">IFERROR(INDEX(EmployeeData[Gender], ROW() - 37), "")</f>
        <v/>
      </c>
      <c r="F2011" s="4" t="str" cm="1">
        <f t="array" ref="F2011">IFERROR(INDEX(EmployeeData[Age], ROW() - 37), "")</f>
        <v/>
      </c>
      <c r="G2011" s="6" t="str" cm="1">
        <f t="array" ref="G2011">IFERROR(INDEX(EmployeeData[Join Date], ROW() - 37), "")</f>
        <v/>
      </c>
      <c r="H2011" s="6" t="str" cm="1">
        <f t="array" ref="H2011">IFERROR(IF(INDEX(EmployeeData[Exit Date], ROW() - 37)=0, "",INDEX(EmployeeData[Exit Date], ROW() - 37)),"")</f>
        <v/>
      </c>
      <c r="I2011" s="4" t="str" cm="1">
        <f t="array" ref="I2011">IFERROR(IF(INDEX(EmployeeData[Exit Reason], ROW() - 37)=0, "",INDEX(EmployeeData[Exit Reason], ROW() - 37)),"")</f>
        <v/>
      </c>
      <c r="J2011" s="4" t="str" cm="1">
        <f t="array" ref="J2011">IFERROR(INDEX(EmployeeData[Status], ROW() - 37), "")</f>
        <v/>
      </c>
    </row>
    <row r="2012" spans="2:10" ht="19.95" customHeight="1" x14ac:dyDescent="0.3">
      <c r="B2012" s="4" t="str" cm="1">
        <f t="array" ref="B2012">IFERROR(INDEX(EmployeeData[Employee ID], ROW() - 37), "")</f>
        <v/>
      </c>
      <c r="C2012" s="4" t="str" cm="1">
        <f t="array" ref="C2012">IFERROR(INDEX(EmployeeData[Full Name], ROW() - 37), "")</f>
        <v/>
      </c>
      <c r="D2012" s="4" t="str" cm="1">
        <f t="array" ref="D2012">IFERROR(INDEX(EmployeeData[Department], ROW() - 37), "")</f>
        <v/>
      </c>
      <c r="E2012" s="4" t="str" cm="1">
        <f t="array" ref="E2012">IFERROR(INDEX(EmployeeData[Gender], ROW() - 37), "")</f>
        <v/>
      </c>
      <c r="F2012" s="4" t="str" cm="1">
        <f t="array" ref="F2012">IFERROR(INDEX(EmployeeData[Age], ROW() - 37), "")</f>
        <v/>
      </c>
      <c r="G2012" s="6" t="str" cm="1">
        <f t="array" ref="G2012">IFERROR(INDEX(EmployeeData[Join Date], ROW() - 37), "")</f>
        <v/>
      </c>
      <c r="H2012" s="6" t="str" cm="1">
        <f t="array" ref="H2012">IFERROR(IF(INDEX(EmployeeData[Exit Date], ROW() - 37)=0, "",INDEX(EmployeeData[Exit Date], ROW() - 37)),"")</f>
        <v/>
      </c>
      <c r="I2012" s="4" t="str" cm="1">
        <f t="array" ref="I2012">IFERROR(IF(INDEX(EmployeeData[Exit Reason], ROW() - 37)=0, "",INDEX(EmployeeData[Exit Reason], ROW() - 37)),"")</f>
        <v/>
      </c>
      <c r="J2012" s="4" t="str" cm="1">
        <f t="array" ref="J2012">IFERROR(INDEX(EmployeeData[Status], ROW() - 37), "")</f>
        <v/>
      </c>
    </row>
    <row r="2013" spans="2:10" ht="19.95" customHeight="1" x14ac:dyDescent="0.3">
      <c r="B2013" s="4" t="str" cm="1">
        <f t="array" ref="B2013">IFERROR(INDEX(EmployeeData[Employee ID], ROW() - 37), "")</f>
        <v/>
      </c>
      <c r="C2013" s="4" t="str" cm="1">
        <f t="array" ref="C2013">IFERROR(INDEX(EmployeeData[Full Name], ROW() - 37), "")</f>
        <v/>
      </c>
      <c r="D2013" s="4" t="str" cm="1">
        <f t="array" ref="D2013">IFERROR(INDEX(EmployeeData[Department], ROW() - 37), "")</f>
        <v/>
      </c>
      <c r="E2013" s="4" t="str" cm="1">
        <f t="array" ref="E2013">IFERROR(INDEX(EmployeeData[Gender], ROW() - 37), "")</f>
        <v/>
      </c>
      <c r="F2013" s="4" t="str" cm="1">
        <f t="array" ref="F2013">IFERROR(INDEX(EmployeeData[Age], ROW() - 37), "")</f>
        <v/>
      </c>
      <c r="G2013" s="6" t="str" cm="1">
        <f t="array" ref="G2013">IFERROR(INDEX(EmployeeData[Join Date], ROW() - 37), "")</f>
        <v/>
      </c>
      <c r="H2013" s="6" t="str" cm="1">
        <f t="array" ref="H2013">IFERROR(IF(INDEX(EmployeeData[Exit Date], ROW() - 37)=0, "",INDEX(EmployeeData[Exit Date], ROW() - 37)),"")</f>
        <v/>
      </c>
      <c r="I2013" s="4" t="str" cm="1">
        <f t="array" ref="I2013">IFERROR(IF(INDEX(EmployeeData[Exit Reason], ROW() - 37)=0, "",INDEX(EmployeeData[Exit Reason], ROW() - 37)),"")</f>
        <v/>
      </c>
      <c r="J2013" s="4" t="str" cm="1">
        <f t="array" ref="J2013">IFERROR(INDEX(EmployeeData[Status], ROW() - 37), "")</f>
        <v/>
      </c>
    </row>
    <row r="2014" spans="2:10" ht="19.95" customHeight="1" x14ac:dyDescent="0.3">
      <c r="B2014" s="4" t="str" cm="1">
        <f t="array" ref="B2014">IFERROR(INDEX(EmployeeData[Employee ID], ROW() - 37), "")</f>
        <v/>
      </c>
      <c r="C2014" s="4" t="str" cm="1">
        <f t="array" ref="C2014">IFERROR(INDEX(EmployeeData[Full Name], ROW() - 37), "")</f>
        <v/>
      </c>
      <c r="D2014" s="4" t="str" cm="1">
        <f t="array" ref="D2014">IFERROR(INDEX(EmployeeData[Department], ROW() - 37), "")</f>
        <v/>
      </c>
      <c r="E2014" s="4" t="str" cm="1">
        <f t="array" ref="E2014">IFERROR(INDEX(EmployeeData[Gender], ROW() - 37), "")</f>
        <v/>
      </c>
      <c r="F2014" s="4" t="str" cm="1">
        <f t="array" ref="F2014">IFERROR(INDEX(EmployeeData[Age], ROW() - 37), "")</f>
        <v/>
      </c>
      <c r="G2014" s="6" t="str" cm="1">
        <f t="array" ref="G2014">IFERROR(INDEX(EmployeeData[Join Date], ROW() - 37), "")</f>
        <v/>
      </c>
      <c r="H2014" s="6" t="str" cm="1">
        <f t="array" ref="H2014">IFERROR(IF(INDEX(EmployeeData[Exit Date], ROW() - 37)=0, "",INDEX(EmployeeData[Exit Date], ROW() - 37)),"")</f>
        <v/>
      </c>
      <c r="I2014" s="4" t="str" cm="1">
        <f t="array" ref="I2014">IFERROR(IF(INDEX(EmployeeData[Exit Reason], ROW() - 37)=0, "",INDEX(EmployeeData[Exit Reason], ROW() - 37)),"")</f>
        <v/>
      </c>
      <c r="J2014" s="4" t="str" cm="1">
        <f t="array" ref="J2014">IFERROR(INDEX(EmployeeData[Status], ROW() - 37), "")</f>
        <v/>
      </c>
    </row>
    <row r="2015" spans="2:10" ht="19.95" customHeight="1" x14ac:dyDescent="0.3">
      <c r="B2015" s="4" t="str" cm="1">
        <f t="array" ref="B2015">IFERROR(INDEX(EmployeeData[Employee ID], ROW() - 37), "")</f>
        <v/>
      </c>
      <c r="C2015" s="4" t="str" cm="1">
        <f t="array" ref="C2015">IFERROR(INDEX(EmployeeData[Full Name], ROW() - 37), "")</f>
        <v/>
      </c>
      <c r="D2015" s="4" t="str" cm="1">
        <f t="array" ref="D2015">IFERROR(INDEX(EmployeeData[Department], ROW() - 37), "")</f>
        <v/>
      </c>
      <c r="E2015" s="4" t="str" cm="1">
        <f t="array" ref="E2015">IFERROR(INDEX(EmployeeData[Gender], ROW() - 37), "")</f>
        <v/>
      </c>
      <c r="F2015" s="4" t="str" cm="1">
        <f t="array" ref="F2015">IFERROR(INDEX(EmployeeData[Age], ROW() - 37), "")</f>
        <v/>
      </c>
      <c r="G2015" s="6" t="str" cm="1">
        <f t="array" ref="G2015">IFERROR(INDEX(EmployeeData[Join Date], ROW() - 37), "")</f>
        <v/>
      </c>
      <c r="H2015" s="6" t="str" cm="1">
        <f t="array" ref="H2015">IFERROR(IF(INDEX(EmployeeData[Exit Date], ROW() - 37)=0, "",INDEX(EmployeeData[Exit Date], ROW() - 37)),"")</f>
        <v/>
      </c>
      <c r="I2015" s="4" t="str" cm="1">
        <f t="array" ref="I2015">IFERROR(IF(INDEX(EmployeeData[Exit Reason], ROW() - 37)=0, "",INDEX(EmployeeData[Exit Reason], ROW() - 37)),"")</f>
        <v/>
      </c>
      <c r="J2015" s="4" t="str" cm="1">
        <f t="array" ref="J2015">IFERROR(INDEX(EmployeeData[Status], ROW() - 37), "")</f>
        <v/>
      </c>
    </row>
    <row r="2016" spans="2:10" ht="19.95" customHeight="1" x14ac:dyDescent="0.3">
      <c r="B2016" s="4" t="str" cm="1">
        <f t="array" ref="B2016">IFERROR(INDEX(EmployeeData[Employee ID], ROW() - 37), "")</f>
        <v/>
      </c>
      <c r="C2016" s="4" t="str" cm="1">
        <f t="array" ref="C2016">IFERROR(INDEX(EmployeeData[Full Name], ROW() - 37), "")</f>
        <v/>
      </c>
      <c r="D2016" s="4" t="str" cm="1">
        <f t="array" ref="D2016">IFERROR(INDEX(EmployeeData[Department], ROW() - 37), "")</f>
        <v/>
      </c>
      <c r="E2016" s="4" t="str" cm="1">
        <f t="array" ref="E2016">IFERROR(INDEX(EmployeeData[Gender], ROW() - 37), "")</f>
        <v/>
      </c>
      <c r="F2016" s="4" t="str" cm="1">
        <f t="array" ref="F2016">IFERROR(INDEX(EmployeeData[Age], ROW() - 37), "")</f>
        <v/>
      </c>
      <c r="G2016" s="6" t="str" cm="1">
        <f t="array" ref="G2016">IFERROR(INDEX(EmployeeData[Join Date], ROW() - 37), "")</f>
        <v/>
      </c>
      <c r="H2016" s="6" t="str" cm="1">
        <f t="array" ref="H2016">IFERROR(IF(INDEX(EmployeeData[Exit Date], ROW() - 37)=0, "",INDEX(EmployeeData[Exit Date], ROW() - 37)),"")</f>
        <v/>
      </c>
      <c r="I2016" s="4" t="str" cm="1">
        <f t="array" ref="I2016">IFERROR(IF(INDEX(EmployeeData[Exit Reason], ROW() - 37)=0, "",INDEX(EmployeeData[Exit Reason], ROW() - 37)),"")</f>
        <v/>
      </c>
      <c r="J2016" s="4" t="str" cm="1">
        <f t="array" ref="J2016">IFERROR(INDEX(EmployeeData[Status], ROW() - 37), "")</f>
        <v/>
      </c>
    </row>
    <row r="2017" spans="2:10" ht="19.95" customHeight="1" x14ac:dyDescent="0.3">
      <c r="B2017" s="4" t="str" cm="1">
        <f t="array" ref="B2017">IFERROR(INDEX(EmployeeData[Employee ID], ROW() - 37), "")</f>
        <v/>
      </c>
      <c r="C2017" s="4" t="str" cm="1">
        <f t="array" ref="C2017">IFERROR(INDEX(EmployeeData[Full Name], ROW() - 37), "")</f>
        <v/>
      </c>
      <c r="D2017" s="4" t="str" cm="1">
        <f t="array" ref="D2017">IFERROR(INDEX(EmployeeData[Department], ROW() - 37), "")</f>
        <v/>
      </c>
      <c r="E2017" s="4" t="str" cm="1">
        <f t="array" ref="E2017">IFERROR(INDEX(EmployeeData[Gender], ROW() - 37), "")</f>
        <v/>
      </c>
      <c r="F2017" s="4" t="str" cm="1">
        <f t="array" ref="F2017">IFERROR(INDEX(EmployeeData[Age], ROW() - 37), "")</f>
        <v/>
      </c>
      <c r="G2017" s="6" t="str" cm="1">
        <f t="array" ref="G2017">IFERROR(INDEX(EmployeeData[Join Date], ROW() - 37), "")</f>
        <v/>
      </c>
      <c r="H2017" s="6" t="str" cm="1">
        <f t="array" ref="H2017">IFERROR(IF(INDEX(EmployeeData[Exit Date], ROW() - 37)=0, "",INDEX(EmployeeData[Exit Date], ROW() - 37)),"")</f>
        <v/>
      </c>
      <c r="I2017" s="4" t="str" cm="1">
        <f t="array" ref="I2017">IFERROR(IF(INDEX(EmployeeData[Exit Reason], ROW() - 37)=0, "",INDEX(EmployeeData[Exit Reason], ROW() - 37)),"")</f>
        <v/>
      </c>
      <c r="J2017" s="4" t="str" cm="1">
        <f t="array" ref="J2017">IFERROR(INDEX(EmployeeData[Status], ROW() - 37), "")</f>
        <v/>
      </c>
    </row>
    <row r="2018" spans="2:10" ht="19.95" customHeight="1" x14ac:dyDescent="0.3">
      <c r="B2018" s="4" t="str" cm="1">
        <f t="array" ref="B2018">IFERROR(INDEX(EmployeeData[Employee ID], ROW() - 37), "")</f>
        <v/>
      </c>
      <c r="C2018" s="4" t="str" cm="1">
        <f t="array" ref="C2018">IFERROR(INDEX(EmployeeData[Full Name], ROW() - 37), "")</f>
        <v/>
      </c>
      <c r="D2018" s="4" t="str" cm="1">
        <f t="array" ref="D2018">IFERROR(INDEX(EmployeeData[Department], ROW() - 37), "")</f>
        <v/>
      </c>
      <c r="E2018" s="4" t="str" cm="1">
        <f t="array" ref="E2018">IFERROR(INDEX(EmployeeData[Gender], ROW() - 37), "")</f>
        <v/>
      </c>
      <c r="F2018" s="4" t="str" cm="1">
        <f t="array" ref="F2018">IFERROR(INDEX(EmployeeData[Age], ROW() - 37), "")</f>
        <v/>
      </c>
      <c r="G2018" s="6" t="str" cm="1">
        <f t="array" ref="G2018">IFERROR(INDEX(EmployeeData[Join Date], ROW() - 37), "")</f>
        <v/>
      </c>
      <c r="H2018" s="6" t="str" cm="1">
        <f t="array" ref="H2018">IFERROR(IF(INDEX(EmployeeData[Exit Date], ROW() - 37)=0, "",INDEX(EmployeeData[Exit Date], ROW() - 37)),"")</f>
        <v/>
      </c>
      <c r="I2018" s="4" t="str" cm="1">
        <f t="array" ref="I2018">IFERROR(IF(INDEX(EmployeeData[Exit Reason], ROW() - 37)=0, "",INDEX(EmployeeData[Exit Reason], ROW() - 37)),"")</f>
        <v/>
      </c>
      <c r="J2018" s="4" t="str" cm="1">
        <f t="array" ref="J2018">IFERROR(INDEX(EmployeeData[Status], ROW() - 37), "")</f>
        <v/>
      </c>
    </row>
    <row r="2019" spans="2:10" ht="19.95" customHeight="1" x14ac:dyDescent="0.3">
      <c r="B2019" s="4" t="str" cm="1">
        <f t="array" ref="B2019">IFERROR(INDEX(EmployeeData[Employee ID], ROW() - 37), "")</f>
        <v/>
      </c>
      <c r="C2019" s="4" t="str" cm="1">
        <f t="array" ref="C2019">IFERROR(INDEX(EmployeeData[Full Name], ROW() - 37), "")</f>
        <v/>
      </c>
      <c r="D2019" s="4" t="str" cm="1">
        <f t="array" ref="D2019">IFERROR(INDEX(EmployeeData[Department], ROW() - 37), "")</f>
        <v/>
      </c>
      <c r="E2019" s="4" t="str" cm="1">
        <f t="array" ref="E2019">IFERROR(INDEX(EmployeeData[Gender], ROW() - 37), "")</f>
        <v/>
      </c>
      <c r="F2019" s="4" t="str" cm="1">
        <f t="array" ref="F2019">IFERROR(INDEX(EmployeeData[Age], ROW() - 37), "")</f>
        <v/>
      </c>
      <c r="G2019" s="6" t="str" cm="1">
        <f t="array" ref="G2019">IFERROR(INDEX(EmployeeData[Join Date], ROW() - 37), "")</f>
        <v/>
      </c>
      <c r="H2019" s="6" t="str" cm="1">
        <f t="array" ref="H2019">IFERROR(IF(INDEX(EmployeeData[Exit Date], ROW() - 37)=0, "",INDEX(EmployeeData[Exit Date], ROW() - 37)),"")</f>
        <v/>
      </c>
      <c r="I2019" s="4" t="str" cm="1">
        <f t="array" ref="I2019">IFERROR(IF(INDEX(EmployeeData[Exit Reason], ROW() - 37)=0, "",INDEX(EmployeeData[Exit Reason], ROW() - 37)),"")</f>
        <v/>
      </c>
      <c r="J2019" s="4" t="str" cm="1">
        <f t="array" ref="J2019">IFERROR(INDEX(EmployeeData[Status], ROW() - 37), "")</f>
        <v/>
      </c>
    </row>
    <row r="2020" spans="2:10" ht="19.95" customHeight="1" x14ac:dyDescent="0.3">
      <c r="B2020" s="4" t="str" cm="1">
        <f t="array" ref="B2020">IFERROR(INDEX(EmployeeData[Employee ID], ROW() - 37), "")</f>
        <v/>
      </c>
      <c r="C2020" s="4" t="str" cm="1">
        <f t="array" ref="C2020">IFERROR(INDEX(EmployeeData[Full Name], ROW() - 37), "")</f>
        <v/>
      </c>
      <c r="D2020" s="4" t="str" cm="1">
        <f t="array" ref="D2020">IFERROR(INDEX(EmployeeData[Department], ROW() - 37), "")</f>
        <v/>
      </c>
      <c r="E2020" s="4" t="str" cm="1">
        <f t="array" ref="E2020">IFERROR(INDEX(EmployeeData[Gender], ROW() - 37), "")</f>
        <v/>
      </c>
      <c r="F2020" s="4" t="str" cm="1">
        <f t="array" ref="F2020">IFERROR(INDEX(EmployeeData[Age], ROW() - 37), "")</f>
        <v/>
      </c>
      <c r="G2020" s="6" t="str" cm="1">
        <f t="array" ref="G2020">IFERROR(INDEX(EmployeeData[Join Date], ROW() - 37), "")</f>
        <v/>
      </c>
      <c r="H2020" s="6" t="str" cm="1">
        <f t="array" ref="H2020">IFERROR(IF(INDEX(EmployeeData[Exit Date], ROW() - 37)=0, "",INDEX(EmployeeData[Exit Date], ROW() - 37)),"")</f>
        <v/>
      </c>
      <c r="I2020" s="4" t="str" cm="1">
        <f t="array" ref="I2020">IFERROR(IF(INDEX(EmployeeData[Exit Reason], ROW() - 37)=0, "",INDEX(EmployeeData[Exit Reason], ROW() - 37)),"")</f>
        <v/>
      </c>
      <c r="J2020" s="4" t="str" cm="1">
        <f t="array" ref="J2020">IFERROR(INDEX(EmployeeData[Status], ROW() - 37), "")</f>
        <v/>
      </c>
    </row>
    <row r="2021" spans="2:10" ht="19.95" customHeight="1" x14ac:dyDescent="0.3">
      <c r="B2021" s="4" t="str" cm="1">
        <f t="array" ref="B2021">IFERROR(INDEX(EmployeeData[Employee ID], ROW() - 37), "")</f>
        <v/>
      </c>
      <c r="C2021" s="4" t="str" cm="1">
        <f t="array" ref="C2021">IFERROR(INDEX(EmployeeData[Full Name], ROW() - 37), "")</f>
        <v/>
      </c>
      <c r="D2021" s="4" t="str" cm="1">
        <f t="array" ref="D2021">IFERROR(INDEX(EmployeeData[Department], ROW() - 37), "")</f>
        <v/>
      </c>
      <c r="E2021" s="4" t="str" cm="1">
        <f t="array" ref="E2021">IFERROR(INDEX(EmployeeData[Gender], ROW() - 37), "")</f>
        <v/>
      </c>
      <c r="F2021" s="4" t="str" cm="1">
        <f t="array" ref="F2021">IFERROR(INDEX(EmployeeData[Age], ROW() - 37), "")</f>
        <v/>
      </c>
      <c r="G2021" s="6" t="str" cm="1">
        <f t="array" ref="G2021">IFERROR(INDEX(EmployeeData[Join Date], ROW() - 37), "")</f>
        <v/>
      </c>
      <c r="H2021" s="6" t="str" cm="1">
        <f t="array" ref="H2021">IFERROR(IF(INDEX(EmployeeData[Exit Date], ROW() - 37)=0, "",INDEX(EmployeeData[Exit Date], ROW() - 37)),"")</f>
        <v/>
      </c>
      <c r="I2021" s="4" t="str" cm="1">
        <f t="array" ref="I2021">IFERROR(IF(INDEX(EmployeeData[Exit Reason], ROW() - 37)=0, "",INDEX(EmployeeData[Exit Reason], ROW() - 37)),"")</f>
        <v/>
      </c>
      <c r="J2021" s="4" t="str" cm="1">
        <f t="array" ref="J2021">IFERROR(INDEX(EmployeeData[Status], ROW() - 37), "")</f>
        <v/>
      </c>
    </row>
    <row r="2022" spans="2:10" ht="19.95" customHeight="1" x14ac:dyDescent="0.3">
      <c r="B2022" s="4" t="str" cm="1">
        <f t="array" ref="B2022">IFERROR(INDEX(EmployeeData[Employee ID], ROW() - 37), "")</f>
        <v/>
      </c>
      <c r="C2022" s="4" t="str" cm="1">
        <f t="array" ref="C2022">IFERROR(INDEX(EmployeeData[Full Name], ROW() - 37), "")</f>
        <v/>
      </c>
      <c r="D2022" s="4" t="str" cm="1">
        <f t="array" ref="D2022">IFERROR(INDEX(EmployeeData[Department], ROW() - 37), "")</f>
        <v/>
      </c>
      <c r="E2022" s="4" t="str" cm="1">
        <f t="array" ref="E2022">IFERROR(INDEX(EmployeeData[Gender], ROW() - 37), "")</f>
        <v/>
      </c>
      <c r="F2022" s="4" t="str" cm="1">
        <f t="array" ref="F2022">IFERROR(INDEX(EmployeeData[Age], ROW() - 37), "")</f>
        <v/>
      </c>
      <c r="G2022" s="6" t="str" cm="1">
        <f t="array" ref="G2022">IFERROR(INDEX(EmployeeData[Join Date], ROW() - 37), "")</f>
        <v/>
      </c>
      <c r="H2022" s="6" t="str" cm="1">
        <f t="array" ref="H2022">IFERROR(IF(INDEX(EmployeeData[Exit Date], ROW() - 37)=0, "",INDEX(EmployeeData[Exit Date], ROW() - 37)),"")</f>
        <v/>
      </c>
      <c r="I2022" s="4" t="str" cm="1">
        <f t="array" ref="I2022">IFERROR(IF(INDEX(EmployeeData[Exit Reason], ROW() - 37)=0, "",INDEX(EmployeeData[Exit Reason], ROW() - 37)),"")</f>
        <v/>
      </c>
      <c r="J2022" s="4" t="str" cm="1">
        <f t="array" ref="J2022">IFERROR(INDEX(EmployeeData[Status], ROW() - 37), "")</f>
        <v/>
      </c>
    </row>
    <row r="2023" spans="2:10" ht="19.95" customHeight="1" x14ac:dyDescent="0.3">
      <c r="B2023" s="4" t="str" cm="1">
        <f t="array" ref="B2023">IFERROR(INDEX(EmployeeData[Employee ID], ROW() - 37), "")</f>
        <v/>
      </c>
      <c r="C2023" s="4" t="str" cm="1">
        <f t="array" ref="C2023">IFERROR(INDEX(EmployeeData[Full Name], ROW() - 37), "")</f>
        <v/>
      </c>
      <c r="D2023" s="4" t="str" cm="1">
        <f t="array" ref="D2023">IFERROR(INDEX(EmployeeData[Department], ROW() - 37), "")</f>
        <v/>
      </c>
      <c r="E2023" s="4" t="str" cm="1">
        <f t="array" ref="E2023">IFERROR(INDEX(EmployeeData[Gender], ROW() - 37), "")</f>
        <v/>
      </c>
      <c r="F2023" s="4" t="str" cm="1">
        <f t="array" ref="F2023">IFERROR(INDEX(EmployeeData[Age], ROW() - 37), "")</f>
        <v/>
      </c>
      <c r="G2023" s="6" t="str" cm="1">
        <f t="array" ref="G2023">IFERROR(INDEX(EmployeeData[Join Date], ROW() - 37), "")</f>
        <v/>
      </c>
      <c r="H2023" s="6" t="str" cm="1">
        <f t="array" ref="H2023">IFERROR(IF(INDEX(EmployeeData[Exit Date], ROW() - 37)=0, "",INDEX(EmployeeData[Exit Date], ROW() - 37)),"")</f>
        <v/>
      </c>
      <c r="I2023" s="4" t="str" cm="1">
        <f t="array" ref="I2023">IFERROR(IF(INDEX(EmployeeData[Exit Reason], ROW() - 37)=0, "",INDEX(EmployeeData[Exit Reason], ROW() - 37)),"")</f>
        <v/>
      </c>
      <c r="J2023" s="4" t="str" cm="1">
        <f t="array" ref="J2023">IFERROR(INDEX(EmployeeData[Status], ROW() - 37), "")</f>
        <v/>
      </c>
    </row>
    <row r="2024" spans="2:10" ht="19.95" customHeight="1" x14ac:dyDescent="0.3">
      <c r="B2024" s="4" t="str" cm="1">
        <f t="array" ref="B2024">IFERROR(INDEX(EmployeeData[Employee ID], ROW() - 37), "")</f>
        <v/>
      </c>
      <c r="C2024" s="4" t="str" cm="1">
        <f t="array" ref="C2024">IFERROR(INDEX(EmployeeData[Full Name], ROW() - 37), "")</f>
        <v/>
      </c>
      <c r="D2024" s="4" t="str" cm="1">
        <f t="array" ref="D2024">IFERROR(INDEX(EmployeeData[Department], ROW() - 37), "")</f>
        <v/>
      </c>
      <c r="E2024" s="4" t="str" cm="1">
        <f t="array" ref="E2024">IFERROR(INDEX(EmployeeData[Gender], ROW() - 37), "")</f>
        <v/>
      </c>
      <c r="F2024" s="4" t="str" cm="1">
        <f t="array" ref="F2024">IFERROR(INDEX(EmployeeData[Age], ROW() - 37), "")</f>
        <v/>
      </c>
      <c r="G2024" s="6" t="str" cm="1">
        <f t="array" ref="G2024">IFERROR(INDEX(EmployeeData[Join Date], ROW() - 37), "")</f>
        <v/>
      </c>
      <c r="H2024" s="6" t="str" cm="1">
        <f t="array" ref="H2024">IFERROR(IF(INDEX(EmployeeData[Exit Date], ROW() - 37)=0, "",INDEX(EmployeeData[Exit Date], ROW() - 37)),"")</f>
        <v/>
      </c>
      <c r="I2024" s="4" t="str" cm="1">
        <f t="array" ref="I2024">IFERROR(IF(INDEX(EmployeeData[Exit Reason], ROW() - 37)=0, "",INDEX(EmployeeData[Exit Reason], ROW() - 37)),"")</f>
        <v/>
      </c>
      <c r="J2024" s="4" t="str" cm="1">
        <f t="array" ref="J2024">IFERROR(INDEX(EmployeeData[Status], ROW() - 37), "")</f>
        <v/>
      </c>
    </row>
    <row r="2025" spans="2:10" ht="19.95" customHeight="1" x14ac:dyDescent="0.3">
      <c r="B2025" s="4" t="str" cm="1">
        <f t="array" ref="B2025">IFERROR(INDEX(EmployeeData[Employee ID], ROW() - 37), "")</f>
        <v/>
      </c>
      <c r="C2025" s="4" t="str" cm="1">
        <f t="array" ref="C2025">IFERROR(INDEX(EmployeeData[Full Name], ROW() - 37), "")</f>
        <v/>
      </c>
      <c r="D2025" s="4" t="str" cm="1">
        <f t="array" ref="D2025">IFERROR(INDEX(EmployeeData[Department], ROW() - 37), "")</f>
        <v/>
      </c>
      <c r="E2025" s="4" t="str" cm="1">
        <f t="array" ref="E2025">IFERROR(INDEX(EmployeeData[Gender], ROW() - 37), "")</f>
        <v/>
      </c>
      <c r="F2025" s="4" t="str" cm="1">
        <f t="array" ref="F2025">IFERROR(INDEX(EmployeeData[Age], ROW() - 37), "")</f>
        <v/>
      </c>
      <c r="G2025" s="6" t="str" cm="1">
        <f t="array" ref="G2025">IFERROR(INDEX(EmployeeData[Join Date], ROW() - 37), "")</f>
        <v/>
      </c>
      <c r="H2025" s="6" t="str" cm="1">
        <f t="array" ref="H2025">IFERROR(IF(INDEX(EmployeeData[Exit Date], ROW() - 37)=0, "",INDEX(EmployeeData[Exit Date], ROW() - 37)),"")</f>
        <v/>
      </c>
      <c r="I2025" s="4" t="str" cm="1">
        <f t="array" ref="I2025">IFERROR(IF(INDEX(EmployeeData[Exit Reason], ROW() - 37)=0, "",INDEX(EmployeeData[Exit Reason], ROW() - 37)),"")</f>
        <v/>
      </c>
      <c r="J2025" s="4" t="str" cm="1">
        <f t="array" ref="J2025">IFERROR(INDEX(EmployeeData[Status], ROW() - 37), "")</f>
        <v/>
      </c>
    </row>
    <row r="2026" spans="2:10" ht="19.95" customHeight="1" x14ac:dyDescent="0.3">
      <c r="B2026" s="4" t="str" cm="1">
        <f t="array" ref="B2026">IFERROR(INDEX(EmployeeData[Employee ID], ROW() - 37), "")</f>
        <v/>
      </c>
      <c r="C2026" s="4" t="str" cm="1">
        <f t="array" ref="C2026">IFERROR(INDEX(EmployeeData[Full Name], ROW() - 37), "")</f>
        <v/>
      </c>
      <c r="D2026" s="4" t="str" cm="1">
        <f t="array" ref="D2026">IFERROR(INDEX(EmployeeData[Department], ROW() - 37), "")</f>
        <v/>
      </c>
      <c r="E2026" s="4" t="str" cm="1">
        <f t="array" ref="E2026">IFERROR(INDEX(EmployeeData[Gender], ROW() - 37), "")</f>
        <v/>
      </c>
      <c r="F2026" s="4" t="str" cm="1">
        <f t="array" ref="F2026">IFERROR(INDEX(EmployeeData[Age], ROW() - 37), "")</f>
        <v/>
      </c>
      <c r="G2026" s="6" t="str" cm="1">
        <f t="array" ref="G2026">IFERROR(INDEX(EmployeeData[Join Date], ROW() - 37), "")</f>
        <v/>
      </c>
      <c r="H2026" s="6" t="str" cm="1">
        <f t="array" ref="H2026">IFERROR(IF(INDEX(EmployeeData[Exit Date], ROW() - 37)=0, "",INDEX(EmployeeData[Exit Date], ROW() - 37)),"")</f>
        <v/>
      </c>
      <c r="I2026" s="4" t="str" cm="1">
        <f t="array" ref="I2026">IFERROR(IF(INDEX(EmployeeData[Exit Reason], ROW() - 37)=0, "",INDEX(EmployeeData[Exit Reason], ROW() - 37)),"")</f>
        <v/>
      </c>
      <c r="J2026" s="4" t="str" cm="1">
        <f t="array" ref="J2026">IFERROR(INDEX(EmployeeData[Status], ROW() - 37), "")</f>
        <v/>
      </c>
    </row>
    <row r="2027" spans="2:10" ht="19.95" customHeight="1" x14ac:dyDescent="0.3">
      <c r="B2027" s="4" t="str" cm="1">
        <f t="array" ref="B2027">IFERROR(INDEX(EmployeeData[Employee ID], ROW() - 37), "")</f>
        <v/>
      </c>
      <c r="C2027" s="4" t="str" cm="1">
        <f t="array" ref="C2027">IFERROR(INDEX(EmployeeData[Full Name], ROW() - 37), "")</f>
        <v/>
      </c>
      <c r="D2027" s="4" t="str" cm="1">
        <f t="array" ref="D2027">IFERROR(INDEX(EmployeeData[Department], ROW() - 37), "")</f>
        <v/>
      </c>
      <c r="E2027" s="4" t="str" cm="1">
        <f t="array" ref="E2027">IFERROR(INDEX(EmployeeData[Gender], ROW() - 37), "")</f>
        <v/>
      </c>
      <c r="F2027" s="4" t="str" cm="1">
        <f t="array" ref="F2027">IFERROR(INDEX(EmployeeData[Age], ROW() - 37), "")</f>
        <v/>
      </c>
      <c r="G2027" s="6" t="str" cm="1">
        <f t="array" ref="G2027">IFERROR(INDEX(EmployeeData[Join Date], ROW() - 37), "")</f>
        <v/>
      </c>
      <c r="H2027" s="6" t="str" cm="1">
        <f t="array" ref="H2027">IFERROR(IF(INDEX(EmployeeData[Exit Date], ROW() - 37)=0, "",INDEX(EmployeeData[Exit Date], ROW() - 37)),"")</f>
        <v/>
      </c>
      <c r="I2027" s="4" t="str" cm="1">
        <f t="array" ref="I2027">IFERROR(IF(INDEX(EmployeeData[Exit Reason], ROW() - 37)=0, "",INDEX(EmployeeData[Exit Reason], ROW() - 37)),"")</f>
        <v/>
      </c>
      <c r="J2027" s="4" t="str" cm="1">
        <f t="array" ref="J2027">IFERROR(INDEX(EmployeeData[Status], ROW() - 37), "")</f>
        <v/>
      </c>
    </row>
    <row r="2028" spans="2:10" ht="19.95" customHeight="1" x14ac:dyDescent="0.3">
      <c r="B2028" s="4" t="str" cm="1">
        <f t="array" ref="B2028">IFERROR(INDEX(EmployeeData[Employee ID], ROW() - 37), "")</f>
        <v/>
      </c>
      <c r="C2028" s="4" t="str" cm="1">
        <f t="array" ref="C2028">IFERROR(INDEX(EmployeeData[Full Name], ROW() - 37), "")</f>
        <v/>
      </c>
      <c r="D2028" s="4" t="str" cm="1">
        <f t="array" ref="D2028">IFERROR(INDEX(EmployeeData[Department], ROW() - 37), "")</f>
        <v/>
      </c>
      <c r="E2028" s="4" t="str" cm="1">
        <f t="array" ref="E2028">IFERROR(INDEX(EmployeeData[Gender], ROW() - 37), "")</f>
        <v/>
      </c>
      <c r="F2028" s="4" t="str" cm="1">
        <f t="array" ref="F2028">IFERROR(INDEX(EmployeeData[Age], ROW() - 37), "")</f>
        <v/>
      </c>
      <c r="G2028" s="6" t="str" cm="1">
        <f t="array" ref="G2028">IFERROR(INDEX(EmployeeData[Join Date], ROW() - 37), "")</f>
        <v/>
      </c>
      <c r="H2028" s="6" t="str" cm="1">
        <f t="array" ref="H2028">IFERROR(IF(INDEX(EmployeeData[Exit Date], ROW() - 37)=0, "",INDEX(EmployeeData[Exit Date], ROW() - 37)),"")</f>
        <v/>
      </c>
      <c r="I2028" s="4" t="str" cm="1">
        <f t="array" ref="I2028">IFERROR(IF(INDEX(EmployeeData[Exit Reason], ROW() - 37)=0, "",INDEX(EmployeeData[Exit Reason], ROW() - 37)),"")</f>
        <v/>
      </c>
      <c r="J2028" s="4" t="str" cm="1">
        <f t="array" ref="J2028">IFERROR(INDEX(EmployeeData[Status], ROW() - 37), "")</f>
        <v/>
      </c>
    </row>
    <row r="2029" spans="2:10" ht="19.95" customHeight="1" x14ac:dyDescent="0.3">
      <c r="B2029" s="4" t="str" cm="1">
        <f t="array" ref="B2029">IFERROR(INDEX(EmployeeData[Employee ID], ROW() - 37), "")</f>
        <v/>
      </c>
      <c r="C2029" s="4" t="str" cm="1">
        <f t="array" ref="C2029">IFERROR(INDEX(EmployeeData[Full Name], ROW() - 37), "")</f>
        <v/>
      </c>
      <c r="D2029" s="4" t="str" cm="1">
        <f t="array" ref="D2029">IFERROR(INDEX(EmployeeData[Department], ROW() - 37), "")</f>
        <v/>
      </c>
      <c r="E2029" s="4" t="str" cm="1">
        <f t="array" ref="E2029">IFERROR(INDEX(EmployeeData[Gender], ROW() - 37), "")</f>
        <v/>
      </c>
      <c r="F2029" s="4" t="str" cm="1">
        <f t="array" ref="F2029">IFERROR(INDEX(EmployeeData[Age], ROW() - 37), "")</f>
        <v/>
      </c>
      <c r="G2029" s="6" t="str" cm="1">
        <f t="array" ref="G2029">IFERROR(INDEX(EmployeeData[Join Date], ROW() - 37), "")</f>
        <v/>
      </c>
      <c r="H2029" s="6" t="str" cm="1">
        <f t="array" ref="H2029">IFERROR(IF(INDEX(EmployeeData[Exit Date], ROW() - 37)=0, "",INDEX(EmployeeData[Exit Date], ROW() - 37)),"")</f>
        <v/>
      </c>
      <c r="I2029" s="4" t="str" cm="1">
        <f t="array" ref="I2029">IFERROR(IF(INDEX(EmployeeData[Exit Reason], ROW() - 37)=0, "",INDEX(EmployeeData[Exit Reason], ROW() - 37)),"")</f>
        <v/>
      </c>
      <c r="J2029" s="4" t="str" cm="1">
        <f t="array" ref="J2029">IFERROR(INDEX(EmployeeData[Status], ROW() - 37), "")</f>
        <v/>
      </c>
    </row>
    <row r="2030" spans="2:10" ht="19.95" customHeight="1" x14ac:dyDescent="0.3">
      <c r="B2030" s="4" t="str" cm="1">
        <f t="array" ref="B2030">IFERROR(INDEX(EmployeeData[Employee ID], ROW() - 37), "")</f>
        <v/>
      </c>
      <c r="C2030" s="4" t="str" cm="1">
        <f t="array" ref="C2030">IFERROR(INDEX(EmployeeData[Full Name], ROW() - 37), "")</f>
        <v/>
      </c>
      <c r="D2030" s="4" t="str" cm="1">
        <f t="array" ref="D2030">IFERROR(INDEX(EmployeeData[Department], ROW() - 37), "")</f>
        <v/>
      </c>
      <c r="E2030" s="4" t="str" cm="1">
        <f t="array" ref="E2030">IFERROR(INDEX(EmployeeData[Gender], ROW() - 37), "")</f>
        <v/>
      </c>
      <c r="F2030" s="4" t="str" cm="1">
        <f t="array" ref="F2030">IFERROR(INDEX(EmployeeData[Age], ROW() - 37), "")</f>
        <v/>
      </c>
      <c r="G2030" s="6" t="str" cm="1">
        <f t="array" ref="G2030">IFERROR(INDEX(EmployeeData[Join Date], ROW() - 37), "")</f>
        <v/>
      </c>
      <c r="H2030" s="6" t="str" cm="1">
        <f t="array" ref="H2030">IFERROR(IF(INDEX(EmployeeData[Exit Date], ROW() - 37)=0, "",INDEX(EmployeeData[Exit Date], ROW() - 37)),"")</f>
        <v/>
      </c>
      <c r="I2030" s="4" t="str" cm="1">
        <f t="array" ref="I2030">IFERROR(IF(INDEX(EmployeeData[Exit Reason], ROW() - 37)=0, "",INDEX(EmployeeData[Exit Reason], ROW() - 37)),"")</f>
        <v/>
      </c>
      <c r="J2030" s="4" t="str" cm="1">
        <f t="array" ref="J2030">IFERROR(INDEX(EmployeeData[Status], ROW() - 37), "")</f>
        <v/>
      </c>
    </row>
    <row r="2031" spans="2:10" ht="19.95" customHeight="1" x14ac:dyDescent="0.3">
      <c r="B2031" s="4" t="str" cm="1">
        <f t="array" ref="B2031">IFERROR(INDEX(EmployeeData[Employee ID], ROW() - 37), "")</f>
        <v/>
      </c>
      <c r="C2031" s="4" t="str" cm="1">
        <f t="array" ref="C2031">IFERROR(INDEX(EmployeeData[Full Name], ROW() - 37), "")</f>
        <v/>
      </c>
      <c r="D2031" s="4" t="str" cm="1">
        <f t="array" ref="D2031">IFERROR(INDEX(EmployeeData[Department], ROW() - 37), "")</f>
        <v/>
      </c>
      <c r="E2031" s="4" t="str" cm="1">
        <f t="array" ref="E2031">IFERROR(INDEX(EmployeeData[Gender], ROW() - 37), "")</f>
        <v/>
      </c>
      <c r="F2031" s="4" t="str" cm="1">
        <f t="array" ref="F2031">IFERROR(INDEX(EmployeeData[Age], ROW() - 37), "")</f>
        <v/>
      </c>
      <c r="G2031" s="6" t="str" cm="1">
        <f t="array" ref="G2031">IFERROR(INDEX(EmployeeData[Join Date], ROW() - 37), "")</f>
        <v/>
      </c>
      <c r="H2031" s="6" t="str" cm="1">
        <f t="array" ref="H2031">IFERROR(IF(INDEX(EmployeeData[Exit Date], ROW() - 37)=0, "",INDEX(EmployeeData[Exit Date], ROW() - 37)),"")</f>
        <v/>
      </c>
      <c r="I2031" s="4" t="str" cm="1">
        <f t="array" ref="I2031">IFERROR(IF(INDEX(EmployeeData[Exit Reason], ROW() - 37)=0, "",INDEX(EmployeeData[Exit Reason], ROW() - 37)),"")</f>
        <v/>
      </c>
      <c r="J2031" s="4" t="str" cm="1">
        <f t="array" ref="J2031">IFERROR(INDEX(EmployeeData[Status], ROW() - 37), "")</f>
        <v/>
      </c>
    </row>
    <row r="2032" spans="2:10" ht="19.95" customHeight="1" x14ac:dyDescent="0.3">
      <c r="B2032" s="4" t="str" cm="1">
        <f t="array" ref="B2032">IFERROR(INDEX(EmployeeData[Employee ID], ROW() - 37), "")</f>
        <v/>
      </c>
      <c r="C2032" s="4" t="str" cm="1">
        <f t="array" ref="C2032">IFERROR(INDEX(EmployeeData[Full Name], ROW() - 37), "")</f>
        <v/>
      </c>
      <c r="D2032" s="4" t="str" cm="1">
        <f t="array" ref="D2032">IFERROR(INDEX(EmployeeData[Department], ROW() - 37), "")</f>
        <v/>
      </c>
      <c r="E2032" s="4" t="str" cm="1">
        <f t="array" ref="E2032">IFERROR(INDEX(EmployeeData[Gender], ROW() - 37), "")</f>
        <v/>
      </c>
      <c r="F2032" s="4" t="str" cm="1">
        <f t="array" ref="F2032">IFERROR(INDEX(EmployeeData[Age], ROW() - 37), "")</f>
        <v/>
      </c>
      <c r="G2032" s="6" t="str" cm="1">
        <f t="array" ref="G2032">IFERROR(INDEX(EmployeeData[Join Date], ROW() - 37), "")</f>
        <v/>
      </c>
      <c r="H2032" s="6" t="str" cm="1">
        <f t="array" ref="H2032">IFERROR(IF(INDEX(EmployeeData[Exit Date], ROW() - 37)=0, "",INDEX(EmployeeData[Exit Date], ROW() - 37)),"")</f>
        <v/>
      </c>
      <c r="I2032" s="4" t="str" cm="1">
        <f t="array" ref="I2032">IFERROR(IF(INDEX(EmployeeData[Exit Reason], ROW() - 37)=0, "",INDEX(EmployeeData[Exit Reason], ROW() - 37)),"")</f>
        <v/>
      </c>
      <c r="J2032" s="4" t="str" cm="1">
        <f t="array" ref="J2032">IFERROR(INDEX(EmployeeData[Status], ROW() - 37), "")</f>
        <v/>
      </c>
    </row>
    <row r="2033" spans="2:10" ht="19.95" customHeight="1" x14ac:dyDescent="0.3">
      <c r="B2033" s="4" t="str" cm="1">
        <f t="array" ref="B2033">IFERROR(INDEX(EmployeeData[Employee ID], ROW() - 37), "")</f>
        <v/>
      </c>
      <c r="C2033" s="4" t="str" cm="1">
        <f t="array" ref="C2033">IFERROR(INDEX(EmployeeData[Full Name], ROW() - 37), "")</f>
        <v/>
      </c>
      <c r="D2033" s="4" t="str" cm="1">
        <f t="array" ref="D2033">IFERROR(INDEX(EmployeeData[Department], ROW() - 37), "")</f>
        <v/>
      </c>
      <c r="E2033" s="4" t="str" cm="1">
        <f t="array" ref="E2033">IFERROR(INDEX(EmployeeData[Gender], ROW() - 37), "")</f>
        <v/>
      </c>
      <c r="F2033" s="4" t="str" cm="1">
        <f t="array" ref="F2033">IFERROR(INDEX(EmployeeData[Age], ROW() - 37), "")</f>
        <v/>
      </c>
      <c r="G2033" s="6" t="str" cm="1">
        <f t="array" ref="G2033">IFERROR(INDEX(EmployeeData[Join Date], ROW() - 37), "")</f>
        <v/>
      </c>
      <c r="H2033" s="6" t="str" cm="1">
        <f t="array" ref="H2033">IFERROR(IF(INDEX(EmployeeData[Exit Date], ROW() - 37)=0, "",INDEX(EmployeeData[Exit Date], ROW() - 37)),"")</f>
        <v/>
      </c>
      <c r="I2033" s="4" t="str" cm="1">
        <f t="array" ref="I2033">IFERROR(IF(INDEX(EmployeeData[Exit Reason], ROW() - 37)=0, "",INDEX(EmployeeData[Exit Reason], ROW() - 37)),"")</f>
        <v/>
      </c>
      <c r="J2033" s="4" t="str" cm="1">
        <f t="array" ref="J2033">IFERROR(INDEX(EmployeeData[Status], ROW() - 37), "")</f>
        <v/>
      </c>
    </row>
    <row r="2034" spans="2:10" ht="19.95" customHeight="1" x14ac:dyDescent="0.3">
      <c r="B2034" s="4" t="str" cm="1">
        <f t="array" ref="B2034">IFERROR(INDEX(EmployeeData[Employee ID], ROW() - 37), "")</f>
        <v/>
      </c>
      <c r="C2034" s="4" t="str" cm="1">
        <f t="array" ref="C2034">IFERROR(INDEX(EmployeeData[Full Name], ROW() - 37), "")</f>
        <v/>
      </c>
      <c r="D2034" s="4" t="str" cm="1">
        <f t="array" ref="D2034">IFERROR(INDEX(EmployeeData[Department], ROW() - 37), "")</f>
        <v/>
      </c>
      <c r="E2034" s="4" t="str" cm="1">
        <f t="array" ref="E2034">IFERROR(INDEX(EmployeeData[Gender], ROW() - 37), "")</f>
        <v/>
      </c>
      <c r="F2034" s="4" t="str" cm="1">
        <f t="array" ref="F2034">IFERROR(INDEX(EmployeeData[Age], ROW() - 37), "")</f>
        <v/>
      </c>
      <c r="G2034" s="6" t="str" cm="1">
        <f t="array" ref="G2034">IFERROR(INDEX(EmployeeData[Join Date], ROW() - 37), "")</f>
        <v/>
      </c>
      <c r="H2034" s="6" t="str" cm="1">
        <f t="array" ref="H2034">IFERROR(IF(INDEX(EmployeeData[Exit Date], ROW() - 37)=0, "",INDEX(EmployeeData[Exit Date], ROW() - 37)),"")</f>
        <v/>
      </c>
      <c r="I2034" s="4" t="str" cm="1">
        <f t="array" ref="I2034">IFERROR(IF(INDEX(EmployeeData[Exit Reason], ROW() - 37)=0, "",INDEX(EmployeeData[Exit Reason], ROW() - 37)),"")</f>
        <v/>
      </c>
      <c r="J2034" s="4" t="str" cm="1">
        <f t="array" ref="J2034">IFERROR(INDEX(EmployeeData[Status], ROW() - 37), "")</f>
        <v/>
      </c>
    </row>
    <row r="2035" spans="2:10" ht="19.95" customHeight="1" x14ac:dyDescent="0.3">
      <c r="B2035" s="4" t="str" cm="1">
        <f t="array" ref="B2035">IFERROR(INDEX(EmployeeData[Employee ID], ROW() - 37), "")</f>
        <v/>
      </c>
      <c r="C2035" s="4" t="str" cm="1">
        <f t="array" ref="C2035">IFERROR(INDEX(EmployeeData[Full Name], ROW() - 37), "")</f>
        <v/>
      </c>
      <c r="D2035" s="4" t="str" cm="1">
        <f t="array" ref="D2035">IFERROR(INDEX(EmployeeData[Department], ROW() - 37), "")</f>
        <v/>
      </c>
      <c r="E2035" s="4" t="str" cm="1">
        <f t="array" ref="E2035">IFERROR(INDEX(EmployeeData[Gender], ROW() - 37), "")</f>
        <v/>
      </c>
      <c r="F2035" s="4" t="str" cm="1">
        <f t="array" ref="F2035">IFERROR(INDEX(EmployeeData[Age], ROW() - 37), "")</f>
        <v/>
      </c>
      <c r="G2035" s="6" t="str" cm="1">
        <f t="array" ref="G2035">IFERROR(INDEX(EmployeeData[Join Date], ROW() - 37), "")</f>
        <v/>
      </c>
      <c r="H2035" s="6" t="str" cm="1">
        <f t="array" ref="H2035">IFERROR(IF(INDEX(EmployeeData[Exit Date], ROW() - 37)=0, "",INDEX(EmployeeData[Exit Date], ROW() - 37)),"")</f>
        <v/>
      </c>
      <c r="I2035" s="4" t="str" cm="1">
        <f t="array" ref="I2035">IFERROR(IF(INDEX(EmployeeData[Exit Reason], ROW() - 37)=0, "",INDEX(EmployeeData[Exit Reason], ROW() - 37)),"")</f>
        <v/>
      </c>
      <c r="J2035" s="4" t="str" cm="1">
        <f t="array" ref="J2035">IFERROR(INDEX(EmployeeData[Status], ROW() - 37), "")</f>
        <v/>
      </c>
    </row>
    <row r="2036" spans="2:10" ht="19.95" customHeight="1" x14ac:dyDescent="0.3">
      <c r="B2036" s="4" t="str" cm="1">
        <f t="array" ref="B2036">IFERROR(INDEX(EmployeeData[Employee ID], ROW() - 37), "")</f>
        <v/>
      </c>
      <c r="C2036" s="4" t="str" cm="1">
        <f t="array" ref="C2036">IFERROR(INDEX(EmployeeData[Full Name], ROW() - 37), "")</f>
        <v/>
      </c>
      <c r="D2036" s="4" t="str" cm="1">
        <f t="array" ref="D2036">IFERROR(INDEX(EmployeeData[Department], ROW() - 37), "")</f>
        <v/>
      </c>
      <c r="E2036" s="4" t="str" cm="1">
        <f t="array" ref="E2036">IFERROR(INDEX(EmployeeData[Gender], ROW() - 37), "")</f>
        <v/>
      </c>
      <c r="F2036" s="4" t="str" cm="1">
        <f t="array" ref="F2036">IFERROR(INDEX(EmployeeData[Age], ROW() - 37), "")</f>
        <v/>
      </c>
      <c r="G2036" s="6" t="str" cm="1">
        <f t="array" ref="G2036">IFERROR(INDEX(EmployeeData[Join Date], ROW() - 37), "")</f>
        <v/>
      </c>
      <c r="H2036" s="6" t="str" cm="1">
        <f t="array" ref="H2036">IFERROR(IF(INDEX(EmployeeData[Exit Date], ROW() - 37)=0, "",INDEX(EmployeeData[Exit Date], ROW() - 37)),"")</f>
        <v/>
      </c>
      <c r="I2036" s="4" t="str" cm="1">
        <f t="array" ref="I2036">IFERROR(IF(INDEX(EmployeeData[Exit Reason], ROW() - 37)=0, "",INDEX(EmployeeData[Exit Reason], ROW() - 37)),"")</f>
        <v/>
      </c>
      <c r="J2036" s="4" t="str" cm="1">
        <f t="array" ref="J2036">IFERROR(INDEX(EmployeeData[Status], ROW() - 37), "")</f>
        <v/>
      </c>
    </row>
    <row r="2037" spans="2:10" ht="19.95" customHeight="1" x14ac:dyDescent="0.3">
      <c r="B2037" s="4" t="str" cm="1">
        <f t="array" ref="B2037">IFERROR(INDEX(EmployeeData[Employee ID], ROW() - 37), "")</f>
        <v/>
      </c>
      <c r="C2037" s="4" t="str" cm="1">
        <f t="array" ref="C2037">IFERROR(INDEX(EmployeeData[Full Name], ROW() - 37), "")</f>
        <v/>
      </c>
      <c r="D2037" s="4" t="str" cm="1">
        <f t="array" ref="D2037">IFERROR(INDEX(EmployeeData[Department], ROW() - 37), "")</f>
        <v/>
      </c>
      <c r="E2037" s="4" t="str" cm="1">
        <f t="array" ref="E2037">IFERROR(INDEX(EmployeeData[Gender], ROW() - 37), "")</f>
        <v/>
      </c>
      <c r="F2037" s="4" t="str" cm="1">
        <f t="array" ref="F2037">IFERROR(INDEX(EmployeeData[Age], ROW() - 37), "")</f>
        <v/>
      </c>
      <c r="G2037" s="6" t="str" cm="1">
        <f t="array" ref="G2037">IFERROR(INDEX(EmployeeData[Join Date], ROW() - 37), "")</f>
        <v/>
      </c>
      <c r="H2037" s="6" t="str" cm="1">
        <f t="array" ref="H2037">IFERROR(IF(INDEX(EmployeeData[Exit Date], ROW() - 37)=0, "",INDEX(EmployeeData[Exit Date], ROW() - 37)),"")</f>
        <v/>
      </c>
      <c r="I2037" s="4" t="str" cm="1">
        <f t="array" ref="I2037">IFERROR(IF(INDEX(EmployeeData[Exit Reason], ROW() - 37)=0, "",INDEX(EmployeeData[Exit Reason], ROW() - 37)),"")</f>
        <v/>
      </c>
      <c r="J2037" s="4" t="str" cm="1">
        <f t="array" ref="J2037">IFERROR(INDEX(EmployeeData[Status], ROW() - 37), "")</f>
        <v/>
      </c>
    </row>
    <row r="2038" spans="2:10" ht="19.95" customHeight="1" x14ac:dyDescent="0.3">
      <c r="B2038" s="4" t="str" cm="1">
        <f t="array" ref="B2038">IFERROR(INDEX(EmployeeData[Employee ID], ROW() - 37), "")</f>
        <v/>
      </c>
      <c r="C2038" s="4" t="str" cm="1">
        <f t="array" ref="C2038">IFERROR(INDEX(EmployeeData[Full Name], ROW() - 37), "")</f>
        <v/>
      </c>
      <c r="D2038" s="4" t="str" cm="1">
        <f t="array" ref="D2038">IFERROR(INDEX(EmployeeData[Department], ROW() - 37), "")</f>
        <v/>
      </c>
      <c r="E2038" s="4" t="str" cm="1">
        <f t="array" ref="E2038">IFERROR(INDEX(EmployeeData[Gender], ROW() - 37), "")</f>
        <v/>
      </c>
      <c r="F2038" s="4" t="str" cm="1">
        <f t="array" ref="F2038">IFERROR(INDEX(EmployeeData[Age], ROW() - 37), "")</f>
        <v/>
      </c>
      <c r="G2038" s="6" t="str" cm="1">
        <f t="array" ref="G2038">IFERROR(INDEX(EmployeeData[Join Date], ROW() - 37), "")</f>
        <v/>
      </c>
      <c r="H2038" s="6" t="str" cm="1">
        <f t="array" ref="H2038">IFERROR(IF(INDEX(EmployeeData[Exit Date], ROW() - 37)=0, "",INDEX(EmployeeData[Exit Date], ROW() - 37)),"")</f>
        <v/>
      </c>
      <c r="I2038" s="4" t="str" cm="1">
        <f t="array" ref="I2038">IFERROR(IF(INDEX(EmployeeData[Exit Reason], ROW() - 37)=0, "",INDEX(EmployeeData[Exit Reason], ROW() - 37)),"")</f>
        <v/>
      </c>
      <c r="J2038" s="4" t="str" cm="1">
        <f t="array" ref="J2038">IFERROR(INDEX(EmployeeData[Status], ROW() - 37), "")</f>
        <v/>
      </c>
    </row>
    <row r="2039" spans="2:10" ht="19.95" customHeight="1" x14ac:dyDescent="0.3">
      <c r="B2039" s="4" t="str" cm="1">
        <f t="array" ref="B2039">IFERROR(INDEX(EmployeeData[Employee ID], ROW() - 37), "")</f>
        <v/>
      </c>
      <c r="C2039" s="4" t="str" cm="1">
        <f t="array" ref="C2039">IFERROR(INDEX(EmployeeData[Full Name], ROW() - 37), "")</f>
        <v/>
      </c>
      <c r="D2039" s="4" t="str" cm="1">
        <f t="array" ref="D2039">IFERROR(INDEX(EmployeeData[Department], ROW() - 37), "")</f>
        <v/>
      </c>
      <c r="E2039" s="4" t="str" cm="1">
        <f t="array" ref="E2039">IFERROR(INDEX(EmployeeData[Gender], ROW() - 37), "")</f>
        <v/>
      </c>
      <c r="F2039" s="4" t="str" cm="1">
        <f t="array" ref="F2039">IFERROR(INDEX(EmployeeData[Age], ROW() - 37), "")</f>
        <v/>
      </c>
      <c r="G2039" s="6" t="str" cm="1">
        <f t="array" ref="G2039">IFERROR(INDEX(EmployeeData[Join Date], ROW() - 37), "")</f>
        <v/>
      </c>
      <c r="H2039" s="6" t="str" cm="1">
        <f t="array" ref="H2039">IFERROR(IF(INDEX(EmployeeData[Exit Date], ROW() - 37)=0, "",INDEX(EmployeeData[Exit Date], ROW() - 37)),"")</f>
        <v/>
      </c>
      <c r="I2039" s="4" t="str" cm="1">
        <f t="array" ref="I2039">IFERROR(IF(INDEX(EmployeeData[Exit Reason], ROW() - 37)=0, "",INDEX(EmployeeData[Exit Reason], ROW() - 37)),"")</f>
        <v/>
      </c>
      <c r="J2039" s="4" t="str" cm="1">
        <f t="array" ref="J2039">IFERROR(INDEX(EmployeeData[Status], ROW() - 37), "")</f>
        <v/>
      </c>
    </row>
    <row r="2040" spans="2:10" ht="19.95" customHeight="1" x14ac:dyDescent="0.3">
      <c r="B2040" s="4" t="str" cm="1">
        <f t="array" ref="B2040">IFERROR(INDEX(EmployeeData[Employee ID], ROW() - 37), "")</f>
        <v/>
      </c>
      <c r="C2040" s="4" t="str" cm="1">
        <f t="array" ref="C2040">IFERROR(INDEX(EmployeeData[Full Name], ROW() - 37), "")</f>
        <v/>
      </c>
      <c r="D2040" s="4" t="str" cm="1">
        <f t="array" ref="D2040">IFERROR(INDEX(EmployeeData[Department], ROW() - 37), "")</f>
        <v/>
      </c>
      <c r="E2040" s="4" t="str" cm="1">
        <f t="array" ref="E2040">IFERROR(INDEX(EmployeeData[Gender], ROW() - 37), "")</f>
        <v/>
      </c>
      <c r="F2040" s="4" t="str" cm="1">
        <f t="array" ref="F2040">IFERROR(INDEX(EmployeeData[Age], ROW() - 37), "")</f>
        <v/>
      </c>
      <c r="G2040" s="6" t="str" cm="1">
        <f t="array" ref="G2040">IFERROR(INDEX(EmployeeData[Join Date], ROW() - 37), "")</f>
        <v/>
      </c>
      <c r="H2040" s="6" t="str" cm="1">
        <f t="array" ref="H2040">IFERROR(IF(INDEX(EmployeeData[Exit Date], ROW() - 37)=0, "",INDEX(EmployeeData[Exit Date], ROW() - 37)),"")</f>
        <v/>
      </c>
      <c r="I2040" s="4" t="str" cm="1">
        <f t="array" ref="I2040">IFERROR(IF(INDEX(EmployeeData[Exit Reason], ROW() - 37)=0, "",INDEX(EmployeeData[Exit Reason], ROW() - 37)),"")</f>
        <v/>
      </c>
      <c r="J2040" s="4" t="str" cm="1">
        <f t="array" ref="J2040">IFERROR(INDEX(EmployeeData[Status], ROW() - 37), "")</f>
        <v/>
      </c>
    </row>
    <row r="2041" spans="2:10" ht="19.95" customHeight="1" x14ac:dyDescent="0.3">
      <c r="B2041" s="4" t="str" cm="1">
        <f t="array" ref="B2041">IFERROR(INDEX(EmployeeData[Employee ID], ROW() - 37), "")</f>
        <v/>
      </c>
      <c r="C2041" s="4" t="str" cm="1">
        <f t="array" ref="C2041">IFERROR(INDEX(EmployeeData[Full Name], ROW() - 37), "")</f>
        <v/>
      </c>
      <c r="D2041" s="4" t="str" cm="1">
        <f t="array" ref="D2041">IFERROR(INDEX(EmployeeData[Department], ROW() - 37), "")</f>
        <v/>
      </c>
      <c r="E2041" s="4" t="str" cm="1">
        <f t="array" ref="E2041">IFERROR(INDEX(EmployeeData[Gender], ROW() - 37), "")</f>
        <v/>
      </c>
      <c r="F2041" s="4" t="str" cm="1">
        <f t="array" ref="F2041">IFERROR(INDEX(EmployeeData[Age], ROW() - 37), "")</f>
        <v/>
      </c>
      <c r="G2041" s="6" t="str" cm="1">
        <f t="array" ref="G2041">IFERROR(INDEX(EmployeeData[Join Date], ROW() - 37), "")</f>
        <v/>
      </c>
      <c r="H2041" s="6" t="str" cm="1">
        <f t="array" ref="H2041">IFERROR(IF(INDEX(EmployeeData[Exit Date], ROW() - 37)=0, "",INDEX(EmployeeData[Exit Date], ROW() - 37)),"")</f>
        <v/>
      </c>
      <c r="I2041" s="4" t="str" cm="1">
        <f t="array" ref="I2041">IFERROR(IF(INDEX(EmployeeData[Exit Reason], ROW() - 37)=0, "",INDEX(EmployeeData[Exit Reason], ROW() - 37)),"")</f>
        <v/>
      </c>
      <c r="J2041" s="4" t="str" cm="1">
        <f t="array" ref="J2041">IFERROR(INDEX(EmployeeData[Status], ROW() - 37), "")</f>
        <v/>
      </c>
    </row>
    <row r="2042" spans="2:10" ht="19.95" customHeight="1" x14ac:dyDescent="0.3">
      <c r="B2042" s="4" t="str" cm="1">
        <f t="array" ref="B2042">IFERROR(INDEX(EmployeeData[Employee ID], ROW() - 37), "")</f>
        <v/>
      </c>
      <c r="C2042" s="4" t="str" cm="1">
        <f t="array" ref="C2042">IFERROR(INDEX(EmployeeData[Full Name], ROW() - 37), "")</f>
        <v/>
      </c>
      <c r="D2042" s="4" t="str" cm="1">
        <f t="array" ref="D2042">IFERROR(INDEX(EmployeeData[Department], ROW() - 37), "")</f>
        <v/>
      </c>
      <c r="E2042" s="4" t="str" cm="1">
        <f t="array" ref="E2042">IFERROR(INDEX(EmployeeData[Gender], ROW() - 37), "")</f>
        <v/>
      </c>
      <c r="F2042" s="4" t="str" cm="1">
        <f t="array" ref="F2042">IFERROR(INDEX(EmployeeData[Age], ROW() - 37), "")</f>
        <v/>
      </c>
      <c r="G2042" s="6" t="str" cm="1">
        <f t="array" ref="G2042">IFERROR(INDEX(EmployeeData[Join Date], ROW() - 37), "")</f>
        <v/>
      </c>
      <c r="H2042" s="6" t="str" cm="1">
        <f t="array" ref="H2042">IFERROR(IF(INDEX(EmployeeData[Exit Date], ROW() - 37)=0, "",INDEX(EmployeeData[Exit Date], ROW() - 37)),"")</f>
        <v/>
      </c>
      <c r="I2042" s="4" t="str" cm="1">
        <f t="array" ref="I2042">IFERROR(IF(INDEX(EmployeeData[Exit Reason], ROW() - 37)=0, "",INDEX(EmployeeData[Exit Reason], ROW() - 37)),"")</f>
        <v/>
      </c>
      <c r="J2042" s="4" t="str" cm="1">
        <f t="array" ref="J2042">IFERROR(INDEX(EmployeeData[Status], ROW() - 37), "")</f>
        <v/>
      </c>
    </row>
    <row r="2043" spans="2:10" ht="19.95" customHeight="1" x14ac:dyDescent="0.3">
      <c r="B2043" s="4" t="str" cm="1">
        <f t="array" ref="B2043">IFERROR(INDEX(EmployeeData[Employee ID], ROW() - 37), "")</f>
        <v/>
      </c>
      <c r="C2043" s="4" t="str" cm="1">
        <f t="array" ref="C2043">IFERROR(INDEX(EmployeeData[Full Name], ROW() - 37), "")</f>
        <v/>
      </c>
      <c r="D2043" s="4" t="str" cm="1">
        <f t="array" ref="D2043">IFERROR(INDEX(EmployeeData[Department], ROW() - 37), "")</f>
        <v/>
      </c>
      <c r="E2043" s="4" t="str" cm="1">
        <f t="array" ref="E2043">IFERROR(INDEX(EmployeeData[Gender], ROW() - 37), "")</f>
        <v/>
      </c>
      <c r="F2043" s="4" t="str" cm="1">
        <f t="array" ref="F2043">IFERROR(INDEX(EmployeeData[Age], ROW() - 37), "")</f>
        <v/>
      </c>
      <c r="G2043" s="6" t="str" cm="1">
        <f t="array" ref="G2043">IFERROR(INDEX(EmployeeData[Join Date], ROW() - 37), "")</f>
        <v/>
      </c>
      <c r="H2043" s="6" t="str" cm="1">
        <f t="array" ref="H2043">IFERROR(IF(INDEX(EmployeeData[Exit Date], ROW() - 37)=0, "",INDEX(EmployeeData[Exit Date], ROW() - 37)),"")</f>
        <v/>
      </c>
      <c r="I2043" s="4" t="str" cm="1">
        <f t="array" ref="I2043">IFERROR(IF(INDEX(EmployeeData[Exit Reason], ROW() - 37)=0, "",INDEX(EmployeeData[Exit Reason], ROW() - 37)),"")</f>
        <v/>
      </c>
      <c r="J2043" s="4" t="str" cm="1">
        <f t="array" ref="J2043">IFERROR(INDEX(EmployeeData[Status], ROW() - 37), "")</f>
        <v/>
      </c>
    </row>
    <row r="2044" spans="2:10" ht="19.95" customHeight="1" x14ac:dyDescent="0.3">
      <c r="B2044" s="4" t="str" cm="1">
        <f t="array" ref="B2044">IFERROR(INDEX(EmployeeData[Employee ID], ROW() - 37), "")</f>
        <v/>
      </c>
      <c r="C2044" s="4" t="str" cm="1">
        <f t="array" ref="C2044">IFERROR(INDEX(EmployeeData[Full Name], ROW() - 37), "")</f>
        <v/>
      </c>
      <c r="D2044" s="4" t="str" cm="1">
        <f t="array" ref="D2044">IFERROR(INDEX(EmployeeData[Department], ROW() - 37), "")</f>
        <v/>
      </c>
      <c r="E2044" s="4" t="str" cm="1">
        <f t="array" ref="E2044">IFERROR(INDEX(EmployeeData[Gender], ROW() - 37), "")</f>
        <v/>
      </c>
      <c r="F2044" s="4" t="str" cm="1">
        <f t="array" ref="F2044">IFERROR(INDEX(EmployeeData[Age], ROW() - 37), "")</f>
        <v/>
      </c>
      <c r="G2044" s="6" t="str" cm="1">
        <f t="array" ref="G2044">IFERROR(INDEX(EmployeeData[Join Date], ROW() - 37), "")</f>
        <v/>
      </c>
      <c r="H2044" s="6" t="str" cm="1">
        <f t="array" ref="H2044">IFERROR(IF(INDEX(EmployeeData[Exit Date], ROW() - 37)=0, "",INDEX(EmployeeData[Exit Date], ROW() - 37)),"")</f>
        <v/>
      </c>
      <c r="I2044" s="4" t="str" cm="1">
        <f t="array" ref="I2044">IFERROR(IF(INDEX(EmployeeData[Exit Reason], ROW() - 37)=0, "",INDEX(EmployeeData[Exit Reason], ROW() - 37)),"")</f>
        <v/>
      </c>
      <c r="J2044" s="4" t="str" cm="1">
        <f t="array" ref="J2044">IFERROR(INDEX(EmployeeData[Status], ROW() - 37), "")</f>
        <v/>
      </c>
    </row>
    <row r="2045" spans="2:10" ht="19.95" customHeight="1" x14ac:dyDescent="0.3">
      <c r="B2045" s="4" t="str" cm="1">
        <f t="array" ref="B2045">IFERROR(INDEX(EmployeeData[Employee ID], ROW() - 37), "")</f>
        <v/>
      </c>
      <c r="C2045" s="4" t="str" cm="1">
        <f t="array" ref="C2045">IFERROR(INDEX(EmployeeData[Full Name], ROW() - 37), "")</f>
        <v/>
      </c>
      <c r="D2045" s="4" t="str" cm="1">
        <f t="array" ref="D2045">IFERROR(INDEX(EmployeeData[Department], ROW() - 37), "")</f>
        <v/>
      </c>
      <c r="E2045" s="4" t="str" cm="1">
        <f t="array" ref="E2045">IFERROR(INDEX(EmployeeData[Gender], ROW() - 37), "")</f>
        <v/>
      </c>
      <c r="F2045" s="4" t="str" cm="1">
        <f t="array" ref="F2045">IFERROR(INDEX(EmployeeData[Age], ROW() - 37), "")</f>
        <v/>
      </c>
      <c r="G2045" s="6" t="str" cm="1">
        <f t="array" ref="G2045">IFERROR(INDEX(EmployeeData[Join Date], ROW() - 37), "")</f>
        <v/>
      </c>
      <c r="H2045" s="6" t="str" cm="1">
        <f t="array" ref="H2045">IFERROR(IF(INDEX(EmployeeData[Exit Date], ROW() - 37)=0, "",INDEX(EmployeeData[Exit Date], ROW() - 37)),"")</f>
        <v/>
      </c>
      <c r="I2045" s="4" t="str" cm="1">
        <f t="array" ref="I2045">IFERROR(IF(INDEX(EmployeeData[Exit Reason], ROW() - 37)=0, "",INDEX(EmployeeData[Exit Reason], ROW() - 37)),"")</f>
        <v/>
      </c>
      <c r="J2045" s="4" t="str" cm="1">
        <f t="array" ref="J2045">IFERROR(INDEX(EmployeeData[Status], ROW() - 37), "")</f>
        <v/>
      </c>
    </row>
    <row r="2046" spans="2:10" ht="19.95" customHeight="1" x14ac:dyDescent="0.3">
      <c r="B2046" s="4" t="str" cm="1">
        <f t="array" ref="B2046">IFERROR(INDEX(EmployeeData[Employee ID], ROW() - 37), "")</f>
        <v/>
      </c>
      <c r="C2046" s="4" t="str" cm="1">
        <f t="array" ref="C2046">IFERROR(INDEX(EmployeeData[Full Name], ROW() - 37), "")</f>
        <v/>
      </c>
      <c r="D2046" s="4" t="str" cm="1">
        <f t="array" ref="D2046">IFERROR(INDEX(EmployeeData[Department], ROW() - 37), "")</f>
        <v/>
      </c>
      <c r="E2046" s="4" t="str" cm="1">
        <f t="array" ref="E2046">IFERROR(INDEX(EmployeeData[Gender], ROW() - 37), "")</f>
        <v/>
      </c>
      <c r="F2046" s="4" t="str" cm="1">
        <f t="array" ref="F2046">IFERROR(INDEX(EmployeeData[Age], ROW() - 37), "")</f>
        <v/>
      </c>
      <c r="G2046" s="6" t="str" cm="1">
        <f t="array" ref="G2046">IFERROR(INDEX(EmployeeData[Join Date], ROW() - 37), "")</f>
        <v/>
      </c>
      <c r="H2046" s="6" t="str" cm="1">
        <f t="array" ref="H2046">IFERROR(IF(INDEX(EmployeeData[Exit Date], ROW() - 37)=0, "",INDEX(EmployeeData[Exit Date], ROW() - 37)),"")</f>
        <v/>
      </c>
      <c r="I2046" s="4" t="str" cm="1">
        <f t="array" ref="I2046">IFERROR(IF(INDEX(EmployeeData[Exit Reason], ROW() - 37)=0, "",INDEX(EmployeeData[Exit Reason], ROW() - 37)),"")</f>
        <v/>
      </c>
      <c r="J2046" s="4" t="str" cm="1">
        <f t="array" ref="J2046">IFERROR(INDEX(EmployeeData[Status], ROW() - 37), "")</f>
        <v/>
      </c>
    </row>
    <row r="2047" spans="2:10" ht="19.95" customHeight="1" x14ac:dyDescent="0.3">
      <c r="B2047" s="4" t="str" cm="1">
        <f t="array" ref="B2047">IFERROR(INDEX(EmployeeData[Employee ID], ROW() - 37), "")</f>
        <v/>
      </c>
      <c r="C2047" s="4" t="str" cm="1">
        <f t="array" ref="C2047">IFERROR(INDEX(EmployeeData[Full Name], ROW() - 37), "")</f>
        <v/>
      </c>
      <c r="D2047" s="4" t="str" cm="1">
        <f t="array" ref="D2047">IFERROR(INDEX(EmployeeData[Department], ROW() - 37), "")</f>
        <v/>
      </c>
      <c r="E2047" s="4" t="str" cm="1">
        <f t="array" ref="E2047">IFERROR(INDEX(EmployeeData[Gender], ROW() - 37), "")</f>
        <v/>
      </c>
      <c r="F2047" s="4" t="str" cm="1">
        <f t="array" ref="F2047">IFERROR(INDEX(EmployeeData[Age], ROW() - 37), "")</f>
        <v/>
      </c>
      <c r="G2047" s="6" t="str" cm="1">
        <f t="array" ref="G2047">IFERROR(INDEX(EmployeeData[Join Date], ROW() - 37), "")</f>
        <v/>
      </c>
      <c r="H2047" s="6" t="str" cm="1">
        <f t="array" ref="H2047">IFERROR(IF(INDEX(EmployeeData[Exit Date], ROW() - 37)=0, "",INDEX(EmployeeData[Exit Date], ROW() - 37)),"")</f>
        <v/>
      </c>
      <c r="I2047" s="4" t="str" cm="1">
        <f t="array" ref="I2047">IFERROR(IF(INDEX(EmployeeData[Exit Reason], ROW() - 37)=0, "",INDEX(EmployeeData[Exit Reason], ROW() - 37)),"")</f>
        <v/>
      </c>
      <c r="J2047" s="4" t="str" cm="1">
        <f t="array" ref="J2047">IFERROR(INDEX(EmployeeData[Status], ROW() - 37), "")</f>
        <v/>
      </c>
    </row>
    <row r="2048" spans="2:10" ht="19.95" customHeight="1" x14ac:dyDescent="0.3">
      <c r="B2048" s="4" t="str" cm="1">
        <f t="array" ref="B2048">IFERROR(INDEX(EmployeeData[Employee ID], ROW() - 37), "")</f>
        <v/>
      </c>
      <c r="C2048" s="4" t="str" cm="1">
        <f t="array" ref="C2048">IFERROR(INDEX(EmployeeData[Full Name], ROW() - 37), "")</f>
        <v/>
      </c>
      <c r="D2048" s="4" t="str" cm="1">
        <f t="array" ref="D2048">IFERROR(INDEX(EmployeeData[Department], ROW() - 37), "")</f>
        <v/>
      </c>
      <c r="E2048" s="4" t="str" cm="1">
        <f t="array" ref="E2048">IFERROR(INDEX(EmployeeData[Gender], ROW() - 37), "")</f>
        <v/>
      </c>
      <c r="F2048" s="4" t="str" cm="1">
        <f t="array" ref="F2048">IFERROR(INDEX(EmployeeData[Age], ROW() - 37), "")</f>
        <v/>
      </c>
      <c r="G2048" s="6" t="str" cm="1">
        <f t="array" ref="G2048">IFERROR(INDEX(EmployeeData[Join Date], ROW() - 37), "")</f>
        <v/>
      </c>
      <c r="H2048" s="6" t="str" cm="1">
        <f t="array" ref="H2048">IFERROR(IF(INDEX(EmployeeData[Exit Date], ROW() - 37)=0, "",INDEX(EmployeeData[Exit Date], ROW() - 37)),"")</f>
        <v/>
      </c>
      <c r="I2048" s="4" t="str" cm="1">
        <f t="array" ref="I2048">IFERROR(IF(INDEX(EmployeeData[Exit Reason], ROW() - 37)=0, "",INDEX(EmployeeData[Exit Reason], ROW() - 37)),"")</f>
        <v/>
      </c>
      <c r="J2048" s="4" t="str" cm="1">
        <f t="array" ref="J2048">IFERROR(INDEX(EmployeeData[Status], ROW() - 37), "")</f>
        <v/>
      </c>
    </row>
    <row r="2049" spans="2:10" ht="19.95" customHeight="1" x14ac:dyDescent="0.3">
      <c r="B2049" s="4" t="str" cm="1">
        <f t="array" ref="B2049">IFERROR(INDEX(EmployeeData[Employee ID], ROW() - 37), "")</f>
        <v/>
      </c>
      <c r="C2049" s="4" t="str" cm="1">
        <f t="array" ref="C2049">IFERROR(INDEX(EmployeeData[Full Name], ROW() - 37), "")</f>
        <v/>
      </c>
      <c r="D2049" s="4" t="str" cm="1">
        <f t="array" ref="D2049">IFERROR(INDEX(EmployeeData[Department], ROW() - 37), "")</f>
        <v/>
      </c>
      <c r="E2049" s="4" t="str" cm="1">
        <f t="array" ref="E2049">IFERROR(INDEX(EmployeeData[Gender], ROW() - 37), "")</f>
        <v/>
      </c>
      <c r="F2049" s="4" t="str" cm="1">
        <f t="array" ref="F2049">IFERROR(INDEX(EmployeeData[Age], ROW() - 37), "")</f>
        <v/>
      </c>
      <c r="G2049" s="6" t="str" cm="1">
        <f t="array" ref="G2049">IFERROR(INDEX(EmployeeData[Join Date], ROW() - 37), "")</f>
        <v/>
      </c>
      <c r="H2049" s="6" t="str" cm="1">
        <f t="array" ref="H2049">IFERROR(IF(INDEX(EmployeeData[Exit Date], ROW() - 37)=0, "",INDEX(EmployeeData[Exit Date], ROW() - 37)),"")</f>
        <v/>
      </c>
      <c r="I2049" s="4" t="str" cm="1">
        <f t="array" ref="I2049">IFERROR(IF(INDEX(EmployeeData[Exit Reason], ROW() - 37)=0, "",INDEX(EmployeeData[Exit Reason], ROW() - 37)),"")</f>
        <v/>
      </c>
      <c r="J2049" s="4" t="str" cm="1">
        <f t="array" ref="J2049">IFERROR(INDEX(EmployeeData[Status], ROW() - 37), "")</f>
        <v/>
      </c>
    </row>
    <row r="2050" spans="2:10" ht="19.95" customHeight="1" x14ac:dyDescent="0.3">
      <c r="B2050" s="4" t="str" cm="1">
        <f t="array" ref="B2050">IFERROR(INDEX(EmployeeData[Employee ID], ROW() - 37), "")</f>
        <v/>
      </c>
      <c r="C2050" s="4" t="str" cm="1">
        <f t="array" ref="C2050">IFERROR(INDEX(EmployeeData[Full Name], ROW() - 37), "")</f>
        <v/>
      </c>
      <c r="D2050" s="4" t="str" cm="1">
        <f t="array" ref="D2050">IFERROR(INDEX(EmployeeData[Department], ROW() - 37), "")</f>
        <v/>
      </c>
      <c r="E2050" s="4" t="str" cm="1">
        <f t="array" ref="E2050">IFERROR(INDEX(EmployeeData[Gender], ROW() - 37), "")</f>
        <v/>
      </c>
      <c r="F2050" s="4" t="str" cm="1">
        <f t="array" ref="F2050">IFERROR(INDEX(EmployeeData[Age], ROW() - 37), "")</f>
        <v/>
      </c>
      <c r="G2050" s="6" t="str" cm="1">
        <f t="array" ref="G2050">IFERROR(INDEX(EmployeeData[Join Date], ROW() - 37), "")</f>
        <v/>
      </c>
      <c r="H2050" s="6" t="str" cm="1">
        <f t="array" ref="H2050">IFERROR(IF(INDEX(EmployeeData[Exit Date], ROW() - 37)=0, "",INDEX(EmployeeData[Exit Date], ROW() - 37)),"")</f>
        <v/>
      </c>
      <c r="I2050" s="4" t="str" cm="1">
        <f t="array" ref="I2050">IFERROR(IF(INDEX(EmployeeData[Exit Reason], ROW() - 37)=0, "",INDEX(EmployeeData[Exit Reason], ROW() - 37)),"")</f>
        <v/>
      </c>
      <c r="J2050" s="4" t="str" cm="1">
        <f t="array" ref="J2050">IFERROR(INDEX(EmployeeData[Status], ROW() - 37), "")</f>
        <v/>
      </c>
    </row>
    <row r="2051" spans="2:10" ht="19.95" customHeight="1" x14ac:dyDescent="0.3">
      <c r="B2051" s="4" t="str" cm="1">
        <f t="array" ref="B2051">IFERROR(INDEX(EmployeeData[Employee ID], ROW() - 37), "")</f>
        <v/>
      </c>
      <c r="C2051" s="4" t="str" cm="1">
        <f t="array" ref="C2051">IFERROR(INDEX(EmployeeData[Full Name], ROW() - 37), "")</f>
        <v/>
      </c>
      <c r="D2051" s="4" t="str" cm="1">
        <f t="array" ref="D2051">IFERROR(INDEX(EmployeeData[Department], ROW() - 37), "")</f>
        <v/>
      </c>
      <c r="E2051" s="4" t="str" cm="1">
        <f t="array" ref="E2051">IFERROR(INDEX(EmployeeData[Gender], ROW() - 37), "")</f>
        <v/>
      </c>
      <c r="F2051" s="4" t="str" cm="1">
        <f t="array" ref="F2051">IFERROR(INDEX(EmployeeData[Age], ROW() - 37), "")</f>
        <v/>
      </c>
      <c r="G2051" s="6" t="str" cm="1">
        <f t="array" ref="G2051">IFERROR(INDEX(EmployeeData[Join Date], ROW() - 37), "")</f>
        <v/>
      </c>
      <c r="H2051" s="6" t="str" cm="1">
        <f t="array" ref="H2051">IFERROR(IF(INDEX(EmployeeData[Exit Date], ROW() - 37)=0, "",INDEX(EmployeeData[Exit Date], ROW() - 37)),"")</f>
        <v/>
      </c>
      <c r="I2051" s="4" t="str" cm="1">
        <f t="array" ref="I2051">IFERROR(IF(INDEX(EmployeeData[Exit Reason], ROW() - 37)=0, "",INDEX(EmployeeData[Exit Reason], ROW() - 37)),"")</f>
        <v/>
      </c>
      <c r="J2051" s="4" t="str" cm="1">
        <f t="array" ref="J2051">IFERROR(INDEX(EmployeeData[Status], ROW() - 37), "")</f>
        <v/>
      </c>
    </row>
    <row r="2052" spans="2:10" ht="19.95" customHeight="1" x14ac:dyDescent="0.3">
      <c r="B2052" s="4" t="str" cm="1">
        <f t="array" ref="B2052">IFERROR(INDEX(EmployeeData[Employee ID], ROW() - 37), "")</f>
        <v/>
      </c>
      <c r="C2052" s="4" t="str" cm="1">
        <f t="array" ref="C2052">IFERROR(INDEX(EmployeeData[Full Name], ROW() - 37), "")</f>
        <v/>
      </c>
      <c r="D2052" s="4" t="str" cm="1">
        <f t="array" ref="D2052">IFERROR(INDEX(EmployeeData[Department], ROW() - 37), "")</f>
        <v/>
      </c>
      <c r="E2052" s="4" t="str" cm="1">
        <f t="array" ref="E2052">IFERROR(INDEX(EmployeeData[Gender], ROW() - 37), "")</f>
        <v/>
      </c>
      <c r="F2052" s="4" t="str" cm="1">
        <f t="array" ref="F2052">IFERROR(INDEX(EmployeeData[Age], ROW() - 37), "")</f>
        <v/>
      </c>
      <c r="G2052" s="6" t="str" cm="1">
        <f t="array" ref="G2052">IFERROR(INDEX(EmployeeData[Join Date], ROW() - 37), "")</f>
        <v/>
      </c>
      <c r="H2052" s="6" t="str" cm="1">
        <f t="array" ref="H2052">IFERROR(IF(INDEX(EmployeeData[Exit Date], ROW() - 37)=0, "",INDEX(EmployeeData[Exit Date], ROW() - 37)),"")</f>
        <v/>
      </c>
      <c r="I2052" s="4" t="str" cm="1">
        <f t="array" ref="I2052">IFERROR(IF(INDEX(EmployeeData[Exit Reason], ROW() - 37)=0, "",INDEX(EmployeeData[Exit Reason], ROW() - 37)),"")</f>
        <v/>
      </c>
      <c r="J2052" s="4" t="str" cm="1">
        <f t="array" ref="J2052">IFERROR(INDEX(EmployeeData[Status], ROW() - 37), "")</f>
        <v/>
      </c>
    </row>
    <row r="2053" spans="2:10" ht="19.95" customHeight="1" x14ac:dyDescent="0.3">
      <c r="B2053" s="4" t="str" cm="1">
        <f t="array" ref="B2053">IFERROR(INDEX(EmployeeData[Employee ID], ROW() - 37), "")</f>
        <v/>
      </c>
      <c r="C2053" s="4" t="str" cm="1">
        <f t="array" ref="C2053">IFERROR(INDEX(EmployeeData[Full Name], ROW() - 37), "")</f>
        <v/>
      </c>
      <c r="D2053" s="4" t="str" cm="1">
        <f t="array" ref="D2053">IFERROR(INDEX(EmployeeData[Department], ROW() - 37), "")</f>
        <v/>
      </c>
      <c r="E2053" s="4" t="str" cm="1">
        <f t="array" ref="E2053">IFERROR(INDEX(EmployeeData[Gender], ROW() - 37), "")</f>
        <v/>
      </c>
      <c r="F2053" s="4" t="str" cm="1">
        <f t="array" ref="F2053">IFERROR(INDEX(EmployeeData[Age], ROW() - 37), "")</f>
        <v/>
      </c>
      <c r="G2053" s="6" t="str" cm="1">
        <f t="array" ref="G2053">IFERROR(INDEX(EmployeeData[Join Date], ROW() - 37), "")</f>
        <v/>
      </c>
      <c r="H2053" s="6" t="str" cm="1">
        <f t="array" ref="H2053">IFERROR(IF(INDEX(EmployeeData[Exit Date], ROW() - 37)=0, "",INDEX(EmployeeData[Exit Date], ROW() - 37)),"")</f>
        <v/>
      </c>
      <c r="I2053" s="4" t="str" cm="1">
        <f t="array" ref="I2053">IFERROR(IF(INDEX(EmployeeData[Exit Reason], ROW() - 37)=0, "",INDEX(EmployeeData[Exit Reason], ROW() - 37)),"")</f>
        <v/>
      </c>
      <c r="J2053" s="4" t="str" cm="1">
        <f t="array" ref="J2053">IFERROR(INDEX(EmployeeData[Status], ROW() - 37), "")</f>
        <v/>
      </c>
    </row>
    <row r="2054" spans="2:10" ht="19.95" customHeight="1" x14ac:dyDescent="0.3">
      <c r="B2054" s="4" t="str" cm="1">
        <f t="array" ref="B2054">IFERROR(INDEX(EmployeeData[Employee ID], ROW() - 37), "")</f>
        <v/>
      </c>
      <c r="C2054" s="4" t="str" cm="1">
        <f t="array" ref="C2054">IFERROR(INDEX(EmployeeData[Full Name], ROW() - 37), "")</f>
        <v/>
      </c>
      <c r="D2054" s="4" t="str" cm="1">
        <f t="array" ref="D2054">IFERROR(INDEX(EmployeeData[Department], ROW() - 37), "")</f>
        <v/>
      </c>
      <c r="E2054" s="4" t="str" cm="1">
        <f t="array" ref="E2054">IFERROR(INDEX(EmployeeData[Gender], ROW() - 37), "")</f>
        <v/>
      </c>
      <c r="F2054" s="4" t="str" cm="1">
        <f t="array" ref="F2054">IFERROR(INDEX(EmployeeData[Age], ROW() - 37), "")</f>
        <v/>
      </c>
      <c r="G2054" s="6" t="str" cm="1">
        <f t="array" ref="G2054">IFERROR(INDEX(EmployeeData[Join Date], ROW() - 37), "")</f>
        <v/>
      </c>
      <c r="H2054" s="6" t="str" cm="1">
        <f t="array" ref="H2054">IFERROR(IF(INDEX(EmployeeData[Exit Date], ROW() - 37)=0, "",INDEX(EmployeeData[Exit Date], ROW() - 37)),"")</f>
        <v/>
      </c>
      <c r="I2054" s="4" t="str" cm="1">
        <f t="array" ref="I2054">IFERROR(IF(INDEX(EmployeeData[Exit Reason], ROW() - 37)=0, "",INDEX(EmployeeData[Exit Reason], ROW() - 37)),"")</f>
        <v/>
      </c>
      <c r="J2054" s="4" t="str" cm="1">
        <f t="array" ref="J2054">IFERROR(INDEX(EmployeeData[Status], ROW() - 37), "")</f>
        <v/>
      </c>
    </row>
    <row r="2055" spans="2:10" ht="19.95" customHeight="1" x14ac:dyDescent="0.3">
      <c r="B2055" s="4" t="str" cm="1">
        <f t="array" ref="B2055">IFERROR(INDEX(EmployeeData[Employee ID], ROW() - 37), "")</f>
        <v/>
      </c>
      <c r="C2055" s="4" t="str" cm="1">
        <f t="array" ref="C2055">IFERROR(INDEX(EmployeeData[Full Name], ROW() - 37), "")</f>
        <v/>
      </c>
      <c r="D2055" s="4" t="str" cm="1">
        <f t="array" ref="D2055">IFERROR(INDEX(EmployeeData[Department], ROW() - 37), "")</f>
        <v/>
      </c>
      <c r="E2055" s="4" t="str" cm="1">
        <f t="array" ref="E2055">IFERROR(INDEX(EmployeeData[Gender], ROW() - 37), "")</f>
        <v/>
      </c>
      <c r="F2055" s="4" t="str" cm="1">
        <f t="array" ref="F2055">IFERROR(INDEX(EmployeeData[Age], ROW() - 37), "")</f>
        <v/>
      </c>
      <c r="G2055" s="6" t="str" cm="1">
        <f t="array" ref="G2055">IFERROR(INDEX(EmployeeData[Join Date], ROW() - 37), "")</f>
        <v/>
      </c>
      <c r="H2055" s="6" t="str" cm="1">
        <f t="array" ref="H2055">IFERROR(IF(INDEX(EmployeeData[Exit Date], ROW() - 37)=0, "",INDEX(EmployeeData[Exit Date], ROW() - 37)),"")</f>
        <v/>
      </c>
      <c r="I2055" s="4" t="str" cm="1">
        <f t="array" ref="I2055">IFERROR(IF(INDEX(EmployeeData[Exit Reason], ROW() - 37)=0, "",INDEX(EmployeeData[Exit Reason], ROW() - 37)),"")</f>
        <v/>
      </c>
      <c r="J2055" s="4" t="str" cm="1">
        <f t="array" ref="J2055">IFERROR(INDEX(EmployeeData[Status], ROW() - 37), "")</f>
        <v/>
      </c>
    </row>
    <row r="2056" spans="2:10" ht="19.95" customHeight="1" x14ac:dyDescent="0.3">
      <c r="B2056" s="4" t="str" cm="1">
        <f t="array" ref="B2056">IFERROR(INDEX(EmployeeData[Employee ID], ROW() - 37), "")</f>
        <v/>
      </c>
      <c r="C2056" s="4" t="str" cm="1">
        <f t="array" ref="C2056">IFERROR(INDEX(EmployeeData[Full Name], ROW() - 37), "")</f>
        <v/>
      </c>
      <c r="D2056" s="4" t="str" cm="1">
        <f t="array" ref="D2056">IFERROR(INDEX(EmployeeData[Department], ROW() - 37), "")</f>
        <v/>
      </c>
      <c r="E2056" s="4" t="str" cm="1">
        <f t="array" ref="E2056">IFERROR(INDEX(EmployeeData[Gender], ROW() - 37), "")</f>
        <v/>
      </c>
      <c r="F2056" s="4" t="str" cm="1">
        <f t="array" ref="F2056">IFERROR(INDEX(EmployeeData[Age], ROW() - 37), "")</f>
        <v/>
      </c>
      <c r="G2056" s="6" t="str" cm="1">
        <f t="array" ref="G2056">IFERROR(INDEX(EmployeeData[Join Date], ROW() - 37), "")</f>
        <v/>
      </c>
      <c r="H2056" s="6" t="str" cm="1">
        <f t="array" ref="H2056">IFERROR(IF(INDEX(EmployeeData[Exit Date], ROW() - 37)=0, "",INDEX(EmployeeData[Exit Date], ROW() - 37)),"")</f>
        <v/>
      </c>
      <c r="I2056" s="4" t="str" cm="1">
        <f t="array" ref="I2056">IFERROR(IF(INDEX(EmployeeData[Exit Reason], ROW() - 37)=0, "",INDEX(EmployeeData[Exit Reason], ROW() - 37)),"")</f>
        <v/>
      </c>
      <c r="J2056" s="4" t="str" cm="1">
        <f t="array" ref="J2056">IFERROR(INDEX(EmployeeData[Status], ROW() - 37), "")</f>
        <v/>
      </c>
    </row>
    <row r="2057" spans="2:10" ht="19.95" customHeight="1" x14ac:dyDescent="0.3">
      <c r="B2057" s="4" t="str" cm="1">
        <f t="array" ref="B2057">IFERROR(INDEX(EmployeeData[Employee ID], ROW() - 37), "")</f>
        <v/>
      </c>
      <c r="C2057" s="4" t="str" cm="1">
        <f t="array" ref="C2057">IFERROR(INDEX(EmployeeData[Full Name], ROW() - 37), "")</f>
        <v/>
      </c>
      <c r="D2057" s="4" t="str" cm="1">
        <f t="array" ref="D2057">IFERROR(INDEX(EmployeeData[Department], ROW() - 37), "")</f>
        <v/>
      </c>
      <c r="E2057" s="4" t="str" cm="1">
        <f t="array" ref="E2057">IFERROR(INDEX(EmployeeData[Gender], ROW() - 37), "")</f>
        <v/>
      </c>
      <c r="F2057" s="4" t="str" cm="1">
        <f t="array" ref="F2057">IFERROR(INDEX(EmployeeData[Age], ROW() - 37), "")</f>
        <v/>
      </c>
      <c r="G2057" s="6" t="str" cm="1">
        <f t="array" ref="G2057">IFERROR(INDEX(EmployeeData[Join Date], ROW() - 37), "")</f>
        <v/>
      </c>
      <c r="H2057" s="6" t="str" cm="1">
        <f t="array" ref="H2057">IFERROR(IF(INDEX(EmployeeData[Exit Date], ROW() - 37)=0, "",INDEX(EmployeeData[Exit Date], ROW() - 37)),"")</f>
        <v/>
      </c>
      <c r="I2057" s="4" t="str" cm="1">
        <f t="array" ref="I2057">IFERROR(IF(INDEX(EmployeeData[Exit Reason], ROW() - 37)=0, "",INDEX(EmployeeData[Exit Reason], ROW() - 37)),"")</f>
        <v/>
      </c>
      <c r="J2057" s="4" t="str" cm="1">
        <f t="array" ref="J2057">IFERROR(INDEX(EmployeeData[Status], ROW() - 37), "")</f>
        <v/>
      </c>
    </row>
    <row r="2058" spans="2:10" ht="19.95" customHeight="1" x14ac:dyDescent="0.3">
      <c r="B2058" s="4" t="str" cm="1">
        <f t="array" ref="B2058">IFERROR(INDEX(EmployeeData[Employee ID], ROW() - 37), "")</f>
        <v/>
      </c>
      <c r="C2058" s="4" t="str" cm="1">
        <f t="array" ref="C2058">IFERROR(INDEX(EmployeeData[Full Name], ROW() - 37), "")</f>
        <v/>
      </c>
      <c r="D2058" s="4" t="str" cm="1">
        <f t="array" ref="D2058">IFERROR(INDEX(EmployeeData[Department], ROW() - 37), "")</f>
        <v/>
      </c>
      <c r="E2058" s="4" t="str" cm="1">
        <f t="array" ref="E2058">IFERROR(INDEX(EmployeeData[Gender], ROW() - 37), "")</f>
        <v/>
      </c>
      <c r="F2058" s="4" t="str" cm="1">
        <f t="array" ref="F2058">IFERROR(INDEX(EmployeeData[Age], ROW() - 37), "")</f>
        <v/>
      </c>
      <c r="G2058" s="6" t="str" cm="1">
        <f t="array" ref="G2058">IFERROR(INDEX(EmployeeData[Join Date], ROW() - 37), "")</f>
        <v/>
      </c>
      <c r="H2058" s="6" t="str" cm="1">
        <f t="array" ref="H2058">IFERROR(IF(INDEX(EmployeeData[Exit Date], ROW() - 37)=0, "",INDEX(EmployeeData[Exit Date], ROW() - 37)),"")</f>
        <v/>
      </c>
      <c r="I2058" s="4" t="str" cm="1">
        <f t="array" ref="I2058">IFERROR(IF(INDEX(EmployeeData[Exit Reason], ROW() - 37)=0, "",INDEX(EmployeeData[Exit Reason], ROW() - 37)),"")</f>
        <v/>
      </c>
      <c r="J2058" s="4" t="str" cm="1">
        <f t="array" ref="J2058">IFERROR(INDEX(EmployeeData[Status], ROW() - 37), "")</f>
        <v/>
      </c>
    </row>
    <row r="2059" spans="2:10" ht="19.95" customHeight="1" x14ac:dyDescent="0.3">
      <c r="B2059" s="4" t="str" cm="1">
        <f t="array" ref="B2059">IFERROR(INDEX(EmployeeData[Employee ID], ROW() - 37), "")</f>
        <v/>
      </c>
      <c r="C2059" s="4" t="str" cm="1">
        <f t="array" ref="C2059">IFERROR(INDEX(EmployeeData[Full Name], ROW() - 37), "")</f>
        <v/>
      </c>
      <c r="D2059" s="4" t="str" cm="1">
        <f t="array" ref="D2059">IFERROR(INDEX(EmployeeData[Department], ROW() - 37), "")</f>
        <v/>
      </c>
      <c r="E2059" s="4" t="str" cm="1">
        <f t="array" ref="E2059">IFERROR(INDEX(EmployeeData[Gender], ROW() - 37), "")</f>
        <v/>
      </c>
      <c r="F2059" s="4" t="str" cm="1">
        <f t="array" ref="F2059">IFERROR(INDEX(EmployeeData[Age], ROW() - 37), "")</f>
        <v/>
      </c>
      <c r="G2059" s="6" t="str" cm="1">
        <f t="array" ref="G2059">IFERROR(INDEX(EmployeeData[Join Date], ROW() - 37), "")</f>
        <v/>
      </c>
      <c r="H2059" s="6" t="str" cm="1">
        <f t="array" ref="H2059">IFERROR(IF(INDEX(EmployeeData[Exit Date], ROW() - 37)=0, "",INDEX(EmployeeData[Exit Date], ROW() - 37)),"")</f>
        <v/>
      </c>
      <c r="I2059" s="4" t="str" cm="1">
        <f t="array" ref="I2059">IFERROR(IF(INDEX(EmployeeData[Exit Reason], ROW() - 37)=0, "",INDEX(EmployeeData[Exit Reason], ROW() - 37)),"")</f>
        <v/>
      </c>
      <c r="J2059" s="4" t="str" cm="1">
        <f t="array" ref="J2059">IFERROR(INDEX(EmployeeData[Status], ROW() - 37), "")</f>
        <v/>
      </c>
    </row>
    <row r="2060" spans="2:10" ht="19.95" customHeight="1" x14ac:dyDescent="0.3">
      <c r="B2060" s="4" t="str" cm="1">
        <f t="array" ref="B2060">IFERROR(INDEX(EmployeeData[Employee ID], ROW() - 37), "")</f>
        <v/>
      </c>
      <c r="C2060" s="4" t="str" cm="1">
        <f t="array" ref="C2060">IFERROR(INDEX(EmployeeData[Full Name], ROW() - 37), "")</f>
        <v/>
      </c>
      <c r="D2060" s="4" t="str" cm="1">
        <f t="array" ref="D2060">IFERROR(INDEX(EmployeeData[Department], ROW() - 37), "")</f>
        <v/>
      </c>
      <c r="E2060" s="4" t="str" cm="1">
        <f t="array" ref="E2060">IFERROR(INDEX(EmployeeData[Gender], ROW() - 37), "")</f>
        <v/>
      </c>
      <c r="F2060" s="4" t="str" cm="1">
        <f t="array" ref="F2060">IFERROR(INDEX(EmployeeData[Age], ROW() - 37), "")</f>
        <v/>
      </c>
      <c r="G2060" s="6" t="str" cm="1">
        <f t="array" ref="G2060">IFERROR(INDEX(EmployeeData[Join Date], ROW() - 37), "")</f>
        <v/>
      </c>
      <c r="H2060" s="6" t="str" cm="1">
        <f t="array" ref="H2060">IFERROR(IF(INDEX(EmployeeData[Exit Date], ROW() - 37)=0, "",INDEX(EmployeeData[Exit Date], ROW() - 37)),"")</f>
        <v/>
      </c>
      <c r="I2060" s="4" t="str" cm="1">
        <f t="array" ref="I2060">IFERROR(IF(INDEX(EmployeeData[Exit Reason], ROW() - 37)=0, "",INDEX(EmployeeData[Exit Reason], ROW() - 37)),"")</f>
        <v/>
      </c>
      <c r="J2060" s="4" t="str" cm="1">
        <f t="array" ref="J2060">IFERROR(INDEX(EmployeeData[Status], ROW() - 37), "")</f>
        <v/>
      </c>
    </row>
    <row r="2061" spans="2:10" ht="19.95" customHeight="1" x14ac:dyDescent="0.3">
      <c r="B2061" s="4" t="str" cm="1">
        <f t="array" ref="B2061">IFERROR(INDEX(EmployeeData[Employee ID], ROW() - 37), "")</f>
        <v/>
      </c>
      <c r="C2061" s="4" t="str" cm="1">
        <f t="array" ref="C2061">IFERROR(INDEX(EmployeeData[Full Name], ROW() - 37), "")</f>
        <v/>
      </c>
      <c r="D2061" s="4" t="str" cm="1">
        <f t="array" ref="D2061">IFERROR(INDEX(EmployeeData[Department], ROW() - 37), "")</f>
        <v/>
      </c>
      <c r="E2061" s="4" t="str" cm="1">
        <f t="array" ref="E2061">IFERROR(INDEX(EmployeeData[Gender], ROW() - 37), "")</f>
        <v/>
      </c>
      <c r="F2061" s="4" t="str" cm="1">
        <f t="array" ref="F2061">IFERROR(INDEX(EmployeeData[Age], ROW() - 37), "")</f>
        <v/>
      </c>
      <c r="G2061" s="6" t="str" cm="1">
        <f t="array" ref="G2061">IFERROR(INDEX(EmployeeData[Join Date], ROW() - 37), "")</f>
        <v/>
      </c>
      <c r="H2061" s="6" t="str" cm="1">
        <f t="array" ref="H2061">IFERROR(IF(INDEX(EmployeeData[Exit Date], ROW() - 37)=0, "",INDEX(EmployeeData[Exit Date], ROW() - 37)),"")</f>
        <v/>
      </c>
      <c r="I2061" s="4" t="str" cm="1">
        <f t="array" ref="I2061">IFERROR(IF(INDEX(EmployeeData[Exit Reason], ROW() - 37)=0, "",INDEX(EmployeeData[Exit Reason], ROW() - 37)),"")</f>
        <v/>
      </c>
      <c r="J2061" s="4" t="str" cm="1">
        <f t="array" ref="J2061">IFERROR(INDEX(EmployeeData[Status], ROW() - 37), "")</f>
        <v/>
      </c>
    </row>
    <row r="2062" spans="2:10" ht="19.95" customHeight="1" x14ac:dyDescent="0.3">
      <c r="B2062" s="4" t="str" cm="1">
        <f t="array" ref="B2062">IFERROR(INDEX(EmployeeData[Employee ID], ROW() - 37), "")</f>
        <v/>
      </c>
      <c r="C2062" s="4" t="str" cm="1">
        <f t="array" ref="C2062">IFERROR(INDEX(EmployeeData[Full Name], ROW() - 37), "")</f>
        <v/>
      </c>
      <c r="D2062" s="4" t="str" cm="1">
        <f t="array" ref="D2062">IFERROR(INDEX(EmployeeData[Department], ROW() - 37), "")</f>
        <v/>
      </c>
      <c r="E2062" s="4" t="str" cm="1">
        <f t="array" ref="E2062">IFERROR(INDEX(EmployeeData[Gender], ROW() - 37), "")</f>
        <v/>
      </c>
      <c r="F2062" s="4" t="str" cm="1">
        <f t="array" ref="F2062">IFERROR(INDEX(EmployeeData[Age], ROW() - 37), "")</f>
        <v/>
      </c>
      <c r="G2062" s="6" t="str" cm="1">
        <f t="array" ref="G2062">IFERROR(INDEX(EmployeeData[Join Date], ROW() - 37), "")</f>
        <v/>
      </c>
      <c r="H2062" s="6" t="str" cm="1">
        <f t="array" ref="H2062">IFERROR(IF(INDEX(EmployeeData[Exit Date], ROW() - 37)=0, "",INDEX(EmployeeData[Exit Date], ROW() - 37)),"")</f>
        <v/>
      </c>
      <c r="I2062" s="4" t="str" cm="1">
        <f t="array" ref="I2062">IFERROR(IF(INDEX(EmployeeData[Exit Reason], ROW() - 37)=0, "",INDEX(EmployeeData[Exit Reason], ROW() - 37)),"")</f>
        <v/>
      </c>
      <c r="J2062" s="4" t="str" cm="1">
        <f t="array" ref="J2062">IFERROR(INDEX(EmployeeData[Status], ROW() - 37), "")</f>
        <v/>
      </c>
    </row>
    <row r="2063" spans="2:10" ht="19.95" customHeight="1" x14ac:dyDescent="0.3">
      <c r="B2063" s="4" t="str" cm="1">
        <f t="array" ref="B2063">IFERROR(INDEX(EmployeeData[Employee ID], ROW() - 37), "")</f>
        <v/>
      </c>
      <c r="C2063" s="4" t="str" cm="1">
        <f t="array" ref="C2063">IFERROR(INDEX(EmployeeData[Full Name], ROW() - 37), "")</f>
        <v/>
      </c>
      <c r="D2063" s="4" t="str" cm="1">
        <f t="array" ref="D2063">IFERROR(INDEX(EmployeeData[Department], ROW() - 37), "")</f>
        <v/>
      </c>
      <c r="E2063" s="4" t="str" cm="1">
        <f t="array" ref="E2063">IFERROR(INDEX(EmployeeData[Gender], ROW() - 37), "")</f>
        <v/>
      </c>
      <c r="F2063" s="4" t="str" cm="1">
        <f t="array" ref="F2063">IFERROR(INDEX(EmployeeData[Age], ROW() - 37), "")</f>
        <v/>
      </c>
      <c r="G2063" s="6" t="str" cm="1">
        <f t="array" ref="G2063">IFERROR(INDEX(EmployeeData[Join Date], ROW() - 37), "")</f>
        <v/>
      </c>
      <c r="H2063" s="6" t="str" cm="1">
        <f t="array" ref="H2063">IFERROR(IF(INDEX(EmployeeData[Exit Date], ROW() - 37)=0, "",INDEX(EmployeeData[Exit Date], ROW() - 37)),"")</f>
        <v/>
      </c>
      <c r="I2063" s="4" t="str" cm="1">
        <f t="array" ref="I2063">IFERROR(IF(INDEX(EmployeeData[Exit Reason], ROW() - 37)=0, "",INDEX(EmployeeData[Exit Reason], ROW() - 37)),"")</f>
        <v/>
      </c>
      <c r="J2063" s="4" t="str" cm="1">
        <f t="array" ref="J2063">IFERROR(INDEX(EmployeeData[Status], ROW() - 37), "")</f>
        <v/>
      </c>
    </row>
    <row r="2064" spans="2:10" ht="19.95" customHeight="1" x14ac:dyDescent="0.3">
      <c r="B2064" s="4" t="str" cm="1">
        <f t="array" ref="B2064">IFERROR(INDEX(EmployeeData[Employee ID], ROW() - 37), "")</f>
        <v/>
      </c>
      <c r="C2064" s="4" t="str" cm="1">
        <f t="array" ref="C2064">IFERROR(INDEX(EmployeeData[Full Name], ROW() - 37), "")</f>
        <v/>
      </c>
      <c r="D2064" s="4" t="str" cm="1">
        <f t="array" ref="D2064">IFERROR(INDEX(EmployeeData[Department], ROW() - 37), "")</f>
        <v/>
      </c>
      <c r="E2064" s="4" t="str" cm="1">
        <f t="array" ref="E2064">IFERROR(INDEX(EmployeeData[Gender], ROW() - 37), "")</f>
        <v/>
      </c>
      <c r="F2064" s="4" t="str" cm="1">
        <f t="array" ref="F2064">IFERROR(INDEX(EmployeeData[Age], ROW() - 37), "")</f>
        <v/>
      </c>
      <c r="G2064" s="6" t="str" cm="1">
        <f t="array" ref="G2064">IFERROR(INDEX(EmployeeData[Join Date], ROW() - 37), "")</f>
        <v/>
      </c>
      <c r="H2064" s="6" t="str" cm="1">
        <f t="array" ref="H2064">IFERROR(IF(INDEX(EmployeeData[Exit Date], ROW() - 37)=0, "",INDEX(EmployeeData[Exit Date], ROW() - 37)),"")</f>
        <v/>
      </c>
      <c r="I2064" s="4" t="str" cm="1">
        <f t="array" ref="I2064">IFERROR(IF(INDEX(EmployeeData[Exit Reason], ROW() - 37)=0, "",INDEX(EmployeeData[Exit Reason], ROW() - 37)),"")</f>
        <v/>
      </c>
      <c r="J2064" s="4" t="str" cm="1">
        <f t="array" ref="J2064">IFERROR(INDEX(EmployeeData[Status], ROW() - 37), "")</f>
        <v/>
      </c>
    </row>
    <row r="2065" spans="2:10" ht="19.95" customHeight="1" x14ac:dyDescent="0.3">
      <c r="B2065" s="4" t="str" cm="1">
        <f t="array" ref="B2065">IFERROR(INDEX(EmployeeData[Employee ID], ROW() - 37), "")</f>
        <v/>
      </c>
      <c r="C2065" s="4" t="str" cm="1">
        <f t="array" ref="C2065">IFERROR(INDEX(EmployeeData[Full Name], ROW() - 37), "")</f>
        <v/>
      </c>
      <c r="D2065" s="4" t="str" cm="1">
        <f t="array" ref="D2065">IFERROR(INDEX(EmployeeData[Department], ROW() - 37), "")</f>
        <v/>
      </c>
      <c r="E2065" s="4" t="str" cm="1">
        <f t="array" ref="E2065">IFERROR(INDEX(EmployeeData[Gender], ROW() - 37), "")</f>
        <v/>
      </c>
      <c r="F2065" s="4" t="str" cm="1">
        <f t="array" ref="F2065">IFERROR(INDEX(EmployeeData[Age], ROW() - 37), "")</f>
        <v/>
      </c>
      <c r="G2065" s="6" t="str" cm="1">
        <f t="array" ref="G2065">IFERROR(INDEX(EmployeeData[Join Date], ROW() - 37), "")</f>
        <v/>
      </c>
      <c r="H2065" s="6" t="str" cm="1">
        <f t="array" ref="H2065">IFERROR(IF(INDEX(EmployeeData[Exit Date], ROW() - 37)=0, "",INDEX(EmployeeData[Exit Date], ROW() - 37)),"")</f>
        <v/>
      </c>
      <c r="I2065" s="4" t="str" cm="1">
        <f t="array" ref="I2065">IFERROR(IF(INDEX(EmployeeData[Exit Reason], ROW() - 37)=0, "",INDEX(EmployeeData[Exit Reason], ROW() - 37)),"")</f>
        <v/>
      </c>
      <c r="J2065" s="4" t="str" cm="1">
        <f t="array" ref="J2065">IFERROR(INDEX(EmployeeData[Status], ROW() - 37), "")</f>
        <v/>
      </c>
    </row>
    <row r="2066" spans="2:10" ht="19.95" customHeight="1" x14ac:dyDescent="0.3">
      <c r="B2066" s="4" t="str" cm="1">
        <f t="array" ref="B2066">IFERROR(INDEX(EmployeeData[Employee ID], ROW() - 37), "")</f>
        <v/>
      </c>
      <c r="C2066" s="4" t="str" cm="1">
        <f t="array" ref="C2066">IFERROR(INDEX(EmployeeData[Full Name], ROW() - 37), "")</f>
        <v/>
      </c>
      <c r="D2066" s="4" t="str" cm="1">
        <f t="array" ref="D2066">IFERROR(INDEX(EmployeeData[Department], ROW() - 37), "")</f>
        <v/>
      </c>
      <c r="E2066" s="4" t="str" cm="1">
        <f t="array" ref="E2066">IFERROR(INDEX(EmployeeData[Gender], ROW() - 37), "")</f>
        <v/>
      </c>
      <c r="F2066" s="4" t="str" cm="1">
        <f t="array" ref="F2066">IFERROR(INDEX(EmployeeData[Age], ROW() - 37), "")</f>
        <v/>
      </c>
      <c r="G2066" s="6" t="str" cm="1">
        <f t="array" ref="G2066">IFERROR(INDEX(EmployeeData[Join Date], ROW() - 37), "")</f>
        <v/>
      </c>
      <c r="H2066" s="6" t="str" cm="1">
        <f t="array" ref="H2066">IFERROR(IF(INDEX(EmployeeData[Exit Date], ROW() - 37)=0, "",INDEX(EmployeeData[Exit Date], ROW() - 37)),"")</f>
        <v/>
      </c>
      <c r="I2066" s="4" t="str" cm="1">
        <f t="array" ref="I2066">IFERROR(IF(INDEX(EmployeeData[Exit Reason], ROW() - 37)=0, "",INDEX(EmployeeData[Exit Reason], ROW() - 37)),"")</f>
        <v/>
      </c>
      <c r="J2066" s="4" t="str" cm="1">
        <f t="array" ref="J2066">IFERROR(INDEX(EmployeeData[Status], ROW() - 37), "")</f>
        <v/>
      </c>
    </row>
    <row r="2067" spans="2:10" ht="19.95" customHeight="1" x14ac:dyDescent="0.3">
      <c r="B2067" s="4" t="str" cm="1">
        <f t="array" ref="B2067">IFERROR(INDEX(EmployeeData[Employee ID], ROW() - 37), "")</f>
        <v/>
      </c>
      <c r="C2067" s="4" t="str" cm="1">
        <f t="array" ref="C2067">IFERROR(INDEX(EmployeeData[Full Name], ROW() - 37), "")</f>
        <v/>
      </c>
      <c r="D2067" s="4" t="str" cm="1">
        <f t="array" ref="D2067">IFERROR(INDEX(EmployeeData[Department], ROW() - 37), "")</f>
        <v/>
      </c>
      <c r="E2067" s="4" t="str" cm="1">
        <f t="array" ref="E2067">IFERROR(INDEX(EmployeeData[Gender], ROW() - 37), "")</f>
        <v/>
      </c>
      <c r="F2067" s="4" t="str" cm="1">
        <f t="array" ref="F2067">IFERROR(INDEX(EmployeeData[Age], ROW() - 37), "")</f>
        <v/>
      </c>
      <c r="G2067" s="6" t="str" cm="1">
        <f t="array" ref="G2067">IFERROR(INDEX(EmployeeData[Join Date], ROW() - 37), "")</f>
        <v/>
      </c>
      <c r="H2067" s="6" t="str" cm="1">
        <f t="array" ref="H2067">IFERROR(IF(INDEX(EmployeeData[Exit Date], ROW() - 37)=0, "",INDEX(EmployeeData[Exit Date], ROW() - 37)),"")</f>
        <v/>
      </c>
      <c r="I2067" s="4" t="str" cm="1">
        <f t="array" ref="I2067">IFERROR(IF(INDEX(EmployeeData[Exit Reason], ROW() - 37)=0, "",INDEX(EmployeeData[Exit Reason], ROW() - 37)),"")</f>
        <v/>
      </c>
      <c r="J2067" s="4" t="str" cm="1">
        <f t="array" ref="J2067">IFERROR(INDEX(EmployeeData[Status], ROW() - 37), "")</f>
        <v/>
      </c>
    </row>
    <row r="2068" spans="2:10" ht="19.95" customHeight="1" x14ac:dyDescent="0.3">
      <c r="B2068" s="4" t="str" cm="1">
        <f t="array" ref="B2068">IFERROR(INDEX(EmployeeData[Employee ID], ROW() - 37), "")</f>
        <v/>
      </c>
      <c r="C2068" s="4" t="str" cm="1">
        <f t="array" ref="C2068">IFERROR(INDEX(EmployeeData[Full Name], ROW() - 37), "")</f>
        <v/>
      </c>
      <c r="D2068" s="4" t="str" cm="1">
        <f t="array" ref="D2068">IFERROR(INDEX(EmployeeData[Department], ROW() - 37), "")</f>
        <v/>
      </c>
      <c r="E2068" s="4" t="str" cm="1">
        <f t="array" ref="E2068">IFERROR(INDEX(EmployeeData[Gender], ROW() - 37), "")</f>
        <v/>
      </c>
      <c r="F2068" s="4" t="str" cm="1">
        <f t="array" ref="F2068">IFERROR(INDEX(EmployeeData[Age], ROW() - 37), "")</f>
        <v/>
      </c>
      <c r="G2068" s="6" t="str" cm="1">
        <f t="array" ref="G2068">IFERROR(INDEX(EmployeeData[Join Date], ROW() - 37), "")</f>
        <v/>
      </c>
      <c r="H2068" s="6" t="str" cm="1">
        <f t="array" ref="H2068">IFERROR(IF(INDEX(EmployeeData[Exit Date], ROW() - 37)=0, "",INDEX(EmployeeData[Exit Date], ROW() - 37)),"")</f>
        <v/>
      </c>
      <c r="I2068" s="4" t="str" cm="1">
        <f t="array" ref="I2068">IFERROR(IF(INDEX(EmployeeData[Exit Reason], ROW() - 37)=0, "",INDEX(EmployeeData[Exit Reason], ROW() - 37)),"")</f>
        <v/>
      </c>
      <c r="J2068" s="4" t="str" cm="1">
        <f t="array" ref="J2068">IFERROR(INDEX(EmployeeData[Status], ROW() - 37), "")</f>
        <v/>
      </c>
    </row>
    <row r="2069" spans="2:10" ht="19.95" customHeight="1" x14ac:dyDescent="0.3">
      <c r="B2069" s="4" t="str" cm="1">
        <f t="array" ref="B2069">IFERROR(INDEX(EmployeeData[Employee ID], ROW() - 37), "")</f>
        <v/>
      </c>
      <c r="C2069" s="4" t="str" cm="1">
        <f t="array" ref="C2069">IFERROR(INDEX(EmployeeData[Full Name], ROW() - 37), "")</f>
        <v/>
      </c>
      <c r="D2069" s="4" t="str" cm="1">
        <f t="array" ref="D2069">IFERROR(INDEX(EmployeeData[Department], ROW() - 37), "")</f>
        <v/>
      </c>
      <c r="E2069" s="4" t="str" cm="1">
        <f t="array" ref="E2069">IFERROR(INDEX(EmployeeData[Gender], ROW() - 37), "")</f>
        <v/>
      </c>
      <c r="F2069" s="4" t="str" cm="1">
        <f t="array" ref="F2069">IFERROR(INDEX(EmployeeData[Age], ROW() - 37), "")</f>
        <v/>
      </c>
      <c r="G2069" s="6" t="str" cm="1">
        <f t="array" ref="G2069">IFERROR(INDEX(EmployeeData[Join Date], ROW() - 37), "")</f>
        <v/>
      </c>
      <c r="H2069" s="6" t="str" cm="1">
        <f t="array" ref="H2069">IFERROR(IF(INDEX(EmployeeData[Exit Date], ROW() - 37)=0, "",INDEX(EmployeeData[Exit Date], ROW() - 37)),"")</f>
        <v/>
      </c>
      <c r="I2069" s="4" t="str" cm="1">
        <f t="array" ref="I2069">IFERROR(IF(INDEX(EmployeeData[Exit Reason], ROW() - 37)=0, "",INDEX(EmployeeData[Exit Reason], ROW() - 37)),"")</f>
        <v/>
      </c>
      <c r="J2069" s="4" t="str" cm="1">
        <f t="array" ref="J2069">IFERROR(INDEX(EmployeeData[Status], ROW() - 37), "")</f>
        <v/>
      </c>
    </row>
    <row r="2070" spans="2:10" ht="19.95" customHeight="1" x14ac:dyDescent="0.3">
      <c r="B2070" s="4" t="str" cm="1">
        <f t="array" ref="B2070">IFERROR(INDEX(EmployeeData[Employee ID], ROW() - 37), "")</f>
        <v/>
      </c>
      <c r="C2070" s="4" t="str" cm="1">
        <f t="array" ref="C2070">IFERROR(INDEX(EmployeeData[Full Name], ROW() - 37), "")</f>
        <v/>
      </c>
      <c r="D2070" s="4" t="str" cm="1">
        <f t="array" ref="D2070">IFERROR(INDEX(EmployeeData[Department], ROW() - 37), "")</f>
        <v/>
      </c>
      <c r="E2070" s="4" t="str" cm="1">
        <f t="array" ref="E2070">IFERROR(INDEX(EmployeeData[Gender], ROW() - 37), "")</f>
        <v/>
      </c>
      <c r="F2070" s="4" t="str" cm="1">
        <f t="array" ref="F2070">IFERROR(INDEX(EmployeeData[Age], ROW() - 37), "")</f>
        <v/>
      </c>
      <c r="G2070" s="6" t="str" cm="1">
        <f t="array" ref="G2070">IFERROR(INDEX(EmployeeData[Join Date], ROW() - 37), "")</f>
        <v/>
      </c>
      <c r="H2070" s="6" t="str" cm="1">
        <f t="array" ref="H2070">IFERROR(IF(INDEX(EmployeeData[Exit Date], ROW() - 37)=0, "",INDEX(EmployeeData[Exit Date], ROW() - 37)),"")</f>
        <v/>
      </c>
      <c r="I2070" s="4" t="str" cm="1">
        <f t="array" ref="I2070">IFERROR(IF(INDEX(EmployeeData[Exit Reason], ROW() - 37)=0, "",INDEX(EmployeeData[Exit Reason], ROW() - 37)),"")</f>
        <v/>
      </c>
      <c r="J2070" s="4" t="str" cm="1">
        <f t="array" ref="J2070">IFERROR(INDEX(EmployeeData[Status], ROW() - 37), "")</f>
        <v/>
      </c>
    </row>
    <row r="2071" spans="2:10" ht="19.95" customHeight="1" x14ac:dyDescent="0.3">
      <c r="B2071" s="4" t="str" cm="1">
        <f t="array" ref="B2071">IFERROR(INDEX(EmployeeData[Employee ID], ROW() - 37), "")</f>
        <v/>
      </c>
      <c r="C2071" s="4" t="str" cm="1">
        <f t="array" ref="C2071">IFERROR(INDEX(EmployeeData[Full Name], ROW() - 37), "")</f>
        <v/>
      </c>
      <c r="D2071" s="4" t="str" cm="1">
        <f t="array" ref="D2071">IFERROR(INDEX(EmployeeData[Department], ROW() - 37), "")</f>
        <v/>
      </c>
      <c r="E2071" s="4" t="str" cm="1">
        <f t="array" ref="E2071">IFERROR(INDEX(EmployeeData[Gender], ROW() - 37), "")</f>
        <v/>
      </c>
      <c r="F2071" s="4" t="str" cm="1">
        <f t="array" ref="F2071">IFERROR(INDEX(EmployeeData[Age], ROW() - 37), "")</f>
        <v/>
      </c>
      <c r="G2071" s="6" t="str" cm="1">
        <f t="array" ref="G2071">IFERROR(INDEX(EmployeeData[Join Date], ROW() - 37), "")</f>
        <v/>
      </c>
      <c r="H2071" s="6" t="str" cm="1">
        <f t="array" ref="H2071">IFERROR(IF(INDEX(EmployeeData[Exit Date], ROW() - 37)=0, "",INDEX(EmployeeData[Exit Date], ROW() - 37)),"")</f>
        <v/>
      </c>
      <c r="I2071" s="4" t="str" cm="1">
        <f t="array" ref="I2071">IFERROR(IF(INDEX(EmployeeData[Exit Reason], ROW() - 37)=0, "",INDEX(EmployeeData[Exit Reason], ROW() - 37)),"")</f>
        <v/>
      </c>
      <c r="J2071" s="4" t="str" cm="1">
        <f t="array" ref="J2071">IFERROR(INDEX(EmployeeData[Status], ROW() - 37), "")</f>
        <v/>
      </c>
    </row>
    <row r="2072" spans="2:10" ht="19.95" customHeight="1" x14ac:dyDescent="0.3">
      <c r="B2072" s="4" t="str" cm="1">
        <f t="array" ref="B2072">IFERROR(INDEX(EmployeeData[Employee ID], ROW() - 37), "")</f>
        <v/>
      </c>
      <c r="C2072" s="4" t="str" cm="1">
        <f t="array" ref="C2072">IFERROR(INDEX(EmployeeData[Full Name], ROW() - 37), "")</f>
        <v/>
      </c>
      <c r="D2072" s="4" t="str" cm="1">
        <f t="array" ref="D2072">IFERROR(INDEX(EmployeeData[Department], ROW() - 37), "")</f>
        <v/>
      </c>
      <c r="E2072" s="4" t="str" cm="1">
        <f t="array" ref="E2072">IFERROR(INDEX(EmployeeData[Gender], ROW() - 37), "")</f>
        <v/>
      </c>
      <c r="F2072" s="4" t="str" cm="1">
        <f t="array" ref="F2072">IFERROR(INDEX(EmployeeData[Age], ROW() - 37), "")</f>
        <v/>
      </c>
      <c r="G2072" s="6" t="str" cm="1">
        <f t="array" ref="G2072">IFERROR(INDEX(EmployeeData[Join Date], ROW() - 37), "")</f>
        <v/>
      </c>
      <c r="H2072" s="6" t="str" cm="1">
        <f t="array" ref="H2072">IFERROR(IF(INDEX(EmployeeData[Exit Date], ROW() - 37)=0, "",INDEX(EmployeeData[Exit Date], ROW() - 37)),"")</f>
        <v/>
      </c>
      <c r="I2072" s="4" t="str" cm="1">
        <f t="array" ref="I2072">IFERROR(IF(INDEX(EmployeeData[Exit Reason], ROW() - 37)=0, "",INDEX(EmployeeData[Exit Reason], ROW() - 37)),"")</f>
        <v/>
      </c>
      <c r="J2072" s="4" t="str" cm="1">
        <f t="array" ref="J2072">IFERROR(INDEX(EmployeeData[Status], ROW() - 37), "")</f>
        <v/>
      </c>
    </row>
    <row r="2073" spans="2:10" ht="19.95" customHeight="1" x14ac:dyDescent="0.3">
      <c r="B2073" s="4" t="str" cm="1">
        <f t="array" ref="B2073">IFERROR(INDEX(EmployeeData[Employee ID], ROW() - 37), "")</f>
        <v/>
      </c>
      <c r="C2073" s="4" t="str" cm="1">
        <f t="array" ref="C2073">IFERROR(INDEX(EmployeeData[Full Name], ROW() - 37), "")</f>
        <v/>
      </c>
      <c r="D2073" s="4" t="str" cm="1">
        <f t="array" ref="D2073">IFERROR(INDEX(EmployeeData[Department], ROW() - 37), "")</f>
        <v/>
      </c>
      <c r="E2073" s="4" t="str" cm="1">
        <f t="array" ref="E2073">IFERROR(INDEX(EmployeeData[Gender], ROW() - 37), "")</f>
        <v/>
      </c>
      <c r="F2073" s="4" t="str" cm="1">
        <f t="array" ref="F2073">IFERROR(INDEX(EmployeeData[Age], ROW() - 37), "")</f>
        <v/>
      </c>
      <c r="G2073" s="6" t="str" cm="1">
        <f t="array" ref="G2073">IFERROR(INDEX(EmployeeData[Join Date], ROW() - 37), "")</f>
        <v/>
      </c>
      <c r="H2073" s="6" t="str" cm="1">
        <f t="array" ref="H2073">IFERROR(IF(INDEX(EmployeeData[Exit Date], ROW() - 37)=0, "",INDEX(EmployeeData[Exit Date], ROW() - 37)),"")</f>
        <v/>
      </c>
      <c r="I2073" s="4" t="str" cm="1">
        <f t="array" ref="I2073">IFERROR(IF(INDEX(EmployeeData[Exit Reason], ROW() - 37)=0, "",INDEX(EmployeeData[Exit Reason], ROW() - 37)),"")</f>
        <v/>
      </c>
      <c r="J2073" s="4" t="str" cm="1">
        <f t="array" ref="J2073">IFERROR(INDEX(EmployeeData[Status], ROW() - 37), "")</f>
        <v/>
      </c>
    </row>
    <row r="2074" spans="2:10" ht="19.95" customHeight="1" x14ac:dyDescent="0.3">
      <c r="B2074" s="4" t="str" cm="1">
        <f t="array" ref="B2074">IFERROR(INDEX(EmployeeData[Employee ID], ROW() - 37), "")</f>
        <v/>
      </c>
      <c r="C2074" s="4" t="str" cm="1">
        <f t="array" ref="C2074">IFERROR(INDEX(EmployeeData[Full Name], ROW() - 37), "")</f>
        <v/>
      </c>
      <c r="D2074" s="4" t="str" cm="1">
        <f t="array" ref="D2074">IFERROR(INDEX(EmployeeData[Department], ROW() - 37), "")</f>
        <v/>
      </c>
      <c r="E2074" s="4" t="str" cm="1">
        <f t="array" ref="E2074">IFERROR(INDEX(EmployeeData[Gender], ROW() - 37), "")</f>
        <v/>
      </c>
      <c r="F2074" s="4" t="str" cm="1">
        <f t="array" ref="F2074">IFERROR(INDEX(EmployeeData[Age], ROW() - 37), "")</f>
        <v/>
      </c>
      <c r="G2074" s="6" t="str" cm="1">
        <f t="array" ref="G2074">IFERROR(INDEX(EmployeeData[Join Date], ROW() - 37), "")</f>
        <v/>
      </c>
      <c r="H2074" s="6" t="str" cm="1">
        <f t="array" ref="H2074">IFERROR(IF(INDEX(EmployeeData[Exit Date], ROW() - 37)=0, "",INDEX(EmployeeData[Exit Date], ROW() - 37)),"")</f>
        <v/>
      </c>
      <c r="I2074" s="4" t="str" cm="1">
        <f t="array" ref="I2074">IFERROR(IF(INDEX(EmployeeData[Exit Reason], ROW() - 37)=0, "",INDEX(EmployeeData[Exit Reason], ROW() - 37)),"")</f>
        <v/>
      </c>
      <c r="J2074" s="4" t="str" cm="1">
        <f t="array" ref="J2074">IFERROR(INDEX(EmployeeData[Status], ROW() - 37), "")</f>
        <v/>
      </c>
    </row>
    <row r="2075" spans="2:10" ht="19.95" customHeight="1" x14ac:dyDescent="0.3">
      <c r="B2075" s="4" t="str" cm="1">
        <f t="array" ref="B2075">IFERROR(INDEX(EmployeeData[Employee ID], ROW() - 37), "")</f>
        <v/>
      </c>
      <c r="C2075" s="4" t="str" cm="1">
        <f t="array" ref="C2075">IFERROR(INDEX(EmployeeData[Full Name], ROW() - 37), "")</f>
        <v/>
      </c>
      <c r="D2075" s="4" t="str" cm="1">
        <f t="array" ref="D2075">IFERROR(INDEX(EmployeeData[Department], ROW() - 37), "")</f>
        <v/>
      </c>
      <c r="E2075" s="4" t="str" cm="1">
        <f t="array" ref="E2075">IFERROR(INDEX(EmployeeData[Gender], ROW() - 37), "")</f>
        <v/>
      </c>
      <c r="F2075" s="4" t="str" cm="1">
        <f t="array" ref="F2075">IFERROR(INDEX(EmployeeData[Age], ROW() - 37), "")</f>
        <v/>
      </c>
      <c r="G2075" s="6" t="str" cm="1">
        <f t="array" ref="G2075">IFERROR(INDEX(EmployeeData[Join Date], ROW() - 37), "")</f>
        <v/>
      </c>
      <c r="H2075" s="6" t="str" cm="1">
        <f t="array" ref="H2075">IFERROR(IF(INDEX(EmployeeData[Exit Date], ROW() - 37)=0, "",INDEX(EmployeeData[Exit Date], ROW() - 37)),"")</f>
        <v/>
      </c>
      <c r="I2075" s="4" t="str" cm="1">
        <f t="array" ref="I2075">IFERROR(IF(INDEX(EmployeeData[Exit Reason], ROW() - 37)=0, "",INDEX(EmployeeData[Exit Reason], ROW() - 37)),"")</f>
        <v/>
      </c>
      <c r="J2075" s="4" t="str" cm="1">
        <f t="array" ref="J2075">IFERROR(INDEX(EmployeeData[Status], ROW() - 37), "")</f>
        <v/>
      </c>
    </row>
    <row r="2076" spans="2:10" ht="19.95" customHeight="1" x14ac:dyDescent="0.3">
      <c r="B2076" s="4" t="str" cm="1">
        <f t="array" ref="B2076">IFERROR(INDEX(EmployeeData[Employee ID], ROW() - 37), "")</f>
        <v/>
      </c>
      <c r="C2076" s="4" t="str" cm="1">
        <f t="array" ref="C2076">IFERROR(INDEX(EmployeeData[Full Name], ROW() - 37), "")</f>
        <v/>
      </c>
      <c r="D2076" s="4" t="str" cm="1">
        <f t="array" ref="D2076">IFERROR(INDEX(EmployeeData[Department], ROW() - 37), "")</f>
        <v/>
      </c>
      <c r="E2076" s="4" t="str" cm="1">
        <f t="array" ref="E2076">IFERROR(INDEX(EmployeeData[Gender], ROW() - 37), "")</f>
        <v/>
      </c>
      <c r="F2076" s="4" t="str" cm="1">
        <f t="array" ref="F2076">IFERROR(INDEX(EmployeeData[Age], ROW() - 37), "")</f>
        <v/>
      </c>
      <c r="G2076" s="6" t="str" cm="1">
        <f t="array" ref="G2076">IFERROR(INDEX(EmployeeData[Join Date], ROW() - 37), "")</f>
        <v/>
      </c>
      <c r="H2076" s="6" t="str" cm="1">
        <f t="array" ref="H2076">IFERROR(IF(INDEX(EmployeeData[Exit Date], ROW() - 37)=0, "",INDEX(EmployeeData[Exit Date], ROW() - 37)),"")</f>
        <v/>
      </c>
      <c r="I2076" s="4" t="str" cm="1">
        <f t="array" ref="I2076">IFERROR(IF(INDEX(EmployeeData[Exit Reason], ROW() - 37)=0, "",INDEX(EmployeeData[Exit Reason], ROW() - 37)),"")</f>
        <v/>
      </c>
      <c r="J2076" s="4" t="str" cm="1">
        <f t="array" ref="J2076">IFERROR(INDEX(EmployeeData[Status], ROW() - 37), "")</f>
        <v/>
      </c>
    </row>
    <row r="2077" spans="2:10" ht="19.95" customHeight="1" x14ac:dyDescent="0.3">
      <c r="B2077" s="4" t="str" cm="1">
        <f t="array" ref="B2077">IFERROR(INDEX(EmployeeData[Employee ID], ROW() - 37), "")</f>
        <v/>
      </c>
      <c r="C2077" s="4" t="str" cm="1">
        <f t="array" ref="C2077">IFERROR(INDEX(EmployeeData[Full Name], ROW() - 37), "")</f>
        <v/>
      </c>
      <c r="D2077" s="4" t="str" cm="1">
        <f t="array" ref="D2077">IFERROR(INDEX(EmployeeData[Department], ROW() - 37), "")</f>
        <v/>
      </c>
      <c r="E2077" s="4" t="str" cm="1">
        <f t="array" ref="E2077">IFERROR(INDEX(EmployeeData[Gender], ROW() - 37), "")</f>
        <v/>
      </c>
      <c r="F2077" s="4" t="str" cm="1">
        <f t="array" ref="F2077">IFERROR(INDEX(EmployeeData[Age], ROW() - 37), "")</f>
        <v/>
      </c>
      <c r="G2077" s="6" t="str" cm="1">
        <f t="array" ref="G2077">IFERROR(INDEX(EmployeeData[Join Date], ROW() - 37), "")</f>
        <v/>
      </c>
      <c r="H2077" s="6" t="str" cm="1">
        <f t="array" ref="H2077">IFERROR(IF(INDEX(EmployeeData[Exit Date], ROW() - 37)=0, "",INDEX(EmployeeData[Exit Date], ROW() - 37)),"")</f>
        <v/>
      </c>
      <c r="I2077" s="4" t="str" cm="1">
        <f t="array" ref="I2077">IFERROR(IF(INDEX(EmployeeData[Exit Reason], ROW() - 37)=0, "",INDEX(EmployeeData[Exit Reason], ROW() - 37)),"")</f>
        <v/>
      </c>
      <c r="J2077" s="4" t="str" cm="1">
        <f t="array" ref="J2077">IFERROR(INDEX(EmployeeData[Status], ROW() - 37), "")</f>
        <v/>
      </c>
    </row>
    <row r="2078" spans="2:10" ht="19.95" customHeight="1" x14ac:dyDescent="0.3">
      <c r="B2078" s="4" t="str" cm="1">
        <f t="array" ref="B2078">IFERROR(INDEX(EmployeeData[Employee ID], ROW() - 37), "")</f>
        <v/>
      </c>
      <c r="C2078" s="4" t="str" cm="1">
        <f t="array" ref="C2078">IFERROR(INDEX(EmployeeData[Full Name], ROW() - 37), "")</f>
        <v/>
      </c>
      <c r="D2078" s="4" t="str" cm="1">
        <f t="array" ref="D2078">IFERROR(INDEX(EmployeeData[Department], ROW() - 37), "")</f>
        <v/>
      </c>
      <c r="E2078" s="4" t="str" cm="1">
        <f t="array" ref="E2078">IFERROR(INDEX(EmployeeData[Gender], ROW() - 37), "")</f>
        <v/>
      </c>
      <c r="F2078" s="4" t="str" cm="1">
        <f t="array" ref="F2078">IFERROR(INDEX(EmployeeData[Age], ROW() - 37), "")</f>
        <v/>
      </c>
      <c r="G2078" s="6" t="str" cm="1">
        <f t="array" ref="G2078">IFERROR(INDEX(EmployeeData[Join Date], ROW() - 37), "")</f>
        <v/>
      </c>
      <c r="H2078" s="6" t="str" cm="1">
        <f t="array" ref="H2078">IFERROR(IF(INDEX(EmployeeData[Exit Date], ROW() - 37)=0, "",INDEX(EmployeeData[Exit Date], ROW() - 37)),"")</f>
        <v/>
      </c>
      <c r="I2078" s="4" t="str" cm="1">
        <f t="array" ref="I2078">IFERROR(IF(INDEX(EmployeeData[Exit Reason], ROW() - 37)=0, "",INDEX(EmployeeData[Exit Reason], ROW() - 37)),"")</f>
        <v/>
      </c>
      <c r="J2078" s="4" t="str" cm="1">
        <f t="array" ref="J2078">IFERROR(INDEX(EmployeeData[Status], ROW() - 37), "")</f>
        <v/>
      </c>
    </row>
    <row r="2079" spans="2:10" ht="19.95" customHeight="1" x14ac:dyDescent="0.3">
      <c r="B2079" s="4" t="str" cm="1">
        <f t="array" ref="B2079">IFERROR(INDEX(EmployeeData[Employee ID], ROW() - 37), "")</f>
        <v/>
      </c>
      <c r="C2079" s="4" t="str" cm="1">
        <f t="array" ref="C2079">IFERROR(INDEX(EmployeeData[Full Name], ROW() - 37), "")</f>
        <v/>
      </c>
      <c r="D2079" s="4" t="str" cm="1">
        <f t="array" ref="D2079">IFERROR(INDEX(EmployeeData[Department], ROW() - 37), "")</f>
        <v/>
      </c>
      <c r="E2079" s="4" t="str" cm="1">
        <f t="array" ref="E2079">IFERROR(INDEX(EmployeeData[Gender], ROW() - 37), "")</f>
        <v/>
      </c>
      <c r="F2079" s="4" t="str" cm="1">
        <f t="array" ref="F2079">IFERROR(INDEX(EmployeeData[Age], ROW() - 37), "")</f>
        <v/>
      </c>
      <c r="G2079" s="6" t="str" cm="1">
        <f t="array" ref="G2079">IFERROR(INDEX(EmployeeData[Join Date], ROW() - 37), "")</f>
        <v/>
      </c>
      <c r="H2079" s="6" t="str" cm="1">
        <f t="array" ref="H2079">IFERROR(IF(INDEX(EmployeeData[Exit Date], ROW() - 37)=0, "",INDEX(EmployeeData[Exit Date], ROW() - 37)),"")</f>
        <v/>
      </c>
      <c r="I2079" s="4" t="str" cm="1">
        <f t="array" ref="I2079">IFERROR(IF(INDEX(EmployeeData[Exit Reason], ROW() - 37)=0, "",INDEX(EmployeeData[Exit Reason], ROW() - 37)),"")</f>
        <v/>
      </c>
      <c r="J2079" s="4" t="str" cm="1">
        <f t="array" ref="J2079">IFERROR(INDEX(EmployeeData[Status], ROW() - 37), "")</f>
        <v/>
      </c>
    </row>
    <row r="2080" spans="2:10" ht="19.95" customHeight="1" x14ac:dyDescent="0.3">
      <c r="B2080" s="4" t="str" cm="1">
        <f t="array" ref="B2080">IFERROR(INDEX(EmployeeData[Employee ID], ROW() - 37), "")</f>
        <v/>
      </c>
      <c r="C2080" s="4" t="str" cm="1">
        <f t="array" ref="C2080">IFERROR(INDEX(EmployeeData[Full Name], ROW() - 37), "")</f>
        <v/>
      </c>
      <c r="D2080" s="4" t="str" cm="1">
        <f t="array" ref="D2080">IFERROR(INDEX(EmployeeData[Department], ROW() - 37), "")</f>
        <v/>
      </c>
      <c r="E2080" s="4" t="str" cm="1">
        <f t="array" ref="E2080">IFERROR(INDEX(EmployeeData[Gender], ROW() - 37), "")</f>
        <v/>
      </c>
      <c r="F2080" s="4" t="str" cm="1">
        <f t="array" ref="F2080">IFERROR(INDEX(EmployeeData[Age], ROW() - 37), "")</f>
        <v/>
      </c>
      <c r="G2080" s="6" t="str" cm="1">
        <f t="array" ref="G2080">IFERROR(INDEX(EmployeeData[Join Date], ROW() - 37), "")</f>
        <v/>
      </c>
      <c r="H2080" s="6" t="str" cm="1">
        <f t="array" ref="H2080">IFERROR(IF(INDEX(EmployeeData[Exit Date], ROW() - 37)=0, "",INDEX(EmployeeData[Exit Date], ROW() - 37)),"")</f>
        <v/>
      </c>
      <c r="I2080" s="4" t="str" cm="1">
        <f t="array" ref="I2080">IFERROR(IF(INDEX(EmployeeData[Exit Reason], ROW() - 37)=0, "",INDEX(EmployeeData[Exit Reason], ROW() - 37)),"")</f>
        <v/>
      </c>
      <c r="J2080" s="4" t="str" cm="1">
        <f t="array" ref="J2080">IFERROR(INDEX(EmployeeData[Status], ROW() - 37), "")</f>
        <v/>
      </c>
    </row>
    <row r="2081" spans="2:10" ht="19.95" customHeight="1" x14ac:dyDescent="0.3">
      <c r="B2081" s="4" t="str" cm="1">
        <f t="array" ref="B2081">IFERROR(INDEX(EmployeeData[Employee ID], ROW() - 37), "")</f>
        <v/>
      </c>
      <c r="C2081" s="4" t="str" cm="1">
        <f t="array" ref="C2081">IFERROR(INDEX(EmployeeData[Full Name], ROW() - 37), "")</f>
        <v/>
      </c>
      <c r="D2081" s="4" t="str" cm="1">
        <f t="array" ref="D2081">IFERROR(INDEX(EmployeeData[Department], ROW() - 37), "")</f>
        <v/>
      </c>
      <c r="E2081" s="4" t="str" cm="1">
        <f t="array" ref="E2081">IFERROR(INDEX(EmployeeData[Gender], ROW() - 37), "")</f>
        <v/>
      </c>
      <c r="F2081" s="4" t="str" cm="1">
        <f t="array" ref="F2081">IFERROR(INDEX(EmployeeData[Age], ROW() - 37), "")</f>
        <v/>
      </c>
      <c r="G2081" s="6" t="str" cm="1">
        <f t="array" ref="G2081">IFERROR(INDEX(EmployeeData[Join Date], ROW() - 37), "")</f>
        <v/>
      </c>
      <c r="H2081" s="6" t="str" cm="1">
        <f t="array" ref="H2081">IFERROR(IF(INDEX(EmployeeData[Exit Date], ROW() - 37)=0, "",INDEX(EmployeeData[Exit Date], ROW() - 37)),"")</f>
        <v/>
      </c>
      <c r="I2081" s="4" t="str" cm="1">
        <f t="array" ref="I2081">IFERROR(IF(INDEX(EmployeeData[Exit Reason], ROW() - 37)=0, "",INDEX(EmployeeData[Exit Reason], ROW() - 37)),"")</f>
        <v/>
      </c>
      <c r="J2081" s="4" t="str" cm="1">
        <f t="array" ref="J2081">IFERROR(INDEX(EmployeeData[Status], ROW() - 37), "")</f>
        <v/>
      </c>
    </row>
    <row r="2082" spans="2:10" ht="19.95" customHeight="1" x14ac:dyDescent="0.3">
      <c r="B2082" s="4" t="str" cm="1">
        <f t="array" ref="B2082">IFERROR(INDEX(EmployeeData[Employee ID], ROW() - 37), "")</f>
        <v/>
      </c>
      <c r="C2082" s="4" t="str" cm="1">
        <f t="array" ref="C2082">IFERROR(INDEX(EmployeeData[Full Name], ROW() - 37), "")</f>
        <v/>
      </c>
      <c r="D2082" s="4" t="str" cm="1">
        <f t="array" ref="D2082">IFERROR(INDEX(EmployeeData[Department], ROW() - 37), "")</f>
        <v/>
      </c>
      <c r="E2082" s="4" t="str" cm="1">
        <f t="array" ref="E2082">IFERROR(INDEX(EmployeeData[Gender], ROW() - 37), "")</f>
        <v/>
      </c>
      <c r="F2082" s="4" t="str" cm="1">
        <f t="array" ref="F2082">IFERROR(INDEX(EmployeeData[Age], ROW() - 37), "")</f>
        <v/>
      </c>
      <c r="G2082" s="6" t="str" cm="1">
        <f t="array" ref="G2082">IFERROR(INDEX(EmployeeData[Join Date], ROW() - 37), "")</f>
        <v/>
      </c>
      <c r="H2082" s="6" t="str" cm="1">
        <f t="array" ref="H2082">IFERROR(IF(INDEX(EmployeeData[Exit Date], ROW() - 37)=0, "",INDEX(EmployeeData[Exit Date], ROW() - 37)),"")</f>
        <v/>
      </c>
      <c r="I2082" s="4" t="str" cm="1">
        <f t="array" ref="I2082">IFERROR(IF(INDEX(EmployeeData[Exit Reason], ROW() - 37)=0, "",INDEX(EmployeeData[Exit Reason], ROW() - 37)),"")</f>
        <v/>
      </c>
      <c r="J2082" s="4" t="str" cm="1">
        <f t="array" ref="J2082">IFERROR(INDEX(EmployeeData[Status], ROW() - 37), "")</f>
        <v/>
      </c>
    </row>
    <row r="2083" spans="2:10" ht="19.95" customHeight="1" x14ac:dyDescent="0.3">
      <c r="B2083" s="4" t="str" cm="1">
        <f t="array" ref="B2083">IFERROR(INDEX(EmployeeData[Employee ID], ROW() - 37), "")</f>
        <v/>
      </c>
      <c r="C2083" s="4" t="str" cm="1">
        <f t="array" ref="C2083">IFERROR(INDEX(EmployeeData[Full Name], ROW() - 37), "")</f>
        <v/>
      </c>
      <c r="D2083" s="4" t="str" cm="1">
        <f t="array" ref="D2083">IFERROR(INDEX(EmployeeData[Department], ROW() - 37), "")</f>
        <v/>
      </c>
      <c r="E2083" s="4" t="str" cm="1">
        <f t="array" ref="E2083">IFERROR(INDEX(EmployeeData[Gender], ROW() - 37), "")</f>
        <v/>
      </c>
      <c r="F2083" s="4" t="str" cm="1">
        <f t="array" ref="F2083">IFERROR(INDEX(EmployeeData[Age], ROW() - 37), "")</f>
        <v/>
      </c>
      <c r="G2083" s="6" t="str" cm="1">
        <f t="array" ref="G2083">IFERROR(INDEX(EmployeeData[Join Date], ROW() - 37), "")</f>
        <v/>
      </c>
      <c r="H2083" s="6" t="str" cm="1">
        <f t="array" ref="H2083">IFERROR(IF(INDEX(EmployeeData[Exit Date], ROW() - 37)=0, "",INDEX(EmployeeData[Exit Date], ROW() - 37)),"")</f>
        <v/>
      </c>
      <c r="I2083" s="4" t="str" cm="1">
        <f t="array" ref="I2083">IFERROR(IF(INDEX(EmployeeData[Exit Reason], ROW() - 37)=0, "",INDEX(EmployeeData[Exit Reason], ROW() - 37)),"")</f>
        <v/>
      </c>
      <c r="J2083" s="4" t="str" cm="1">
        <f t="array" ref="J2083">IFERROR(INDEX(EmployeeData[Status], ROW() - 37), "")</f>
        <v/>
      </c>
    </row>
    <row r="2084" spans="2:10" ht="19.95" customHeight="1" x14ac:dyDescent="0.3">
      <c r="B2084" s="4" t="str" cm="1">
        <f t="array" ref="B2084">IFERROR(INDEX(EmployeeData[Employee ID], ROW() - 37), "")</f>
        <v/>
      </c>
      <c r="C2084" s="4" t="str" cm="1">
        <f t="array" ref="C2084">IFERROR(INDEX(EmployeeData[Full Name], ROW() - 37), "")</f>
        <v/>
      </c>
      <c r="D2084" s="4" t="str" cm="1">
        <f t="array" ref="D2084">IFERROR(INDEX(EmployeeData[Department], ROW() - 37), "")</f>
        <v/>
      </c>
      <c r="E2084" s="4" t="str" cm="1">
        <f t="array" ref="E2084">IFERROR(INDEX(EmployeeData[Gender], ROW() - 37), "")</f>
        <v/>
      </c>
      <c r="F2084" s="4" t="str" cm="1">
        <f t="array" ref="F2084">IFERROR(INDEX(EmployeeData[Age], ROW() - 37), "")</f>
        <v/>
      </c>
      <c r="G2084" s="6" t="str" cm="1">
        <f t="array" ref="G2084">IFERROR(INDEX(EmployeeData[Join Date], ROW() - 37), "")</f>
        <v/>
      </c>
      <c r="H2084" s="6" t="str" cm="1">
        <f t="array" ref="H2084">IFERROR(IF(INDEX(EmployeeData[Exit Date], ROW() - 37)=0, "",INDEX(EmployeeData[Exit Date], ROW() - 37)),"")</f>
        <v/>
      </c>
      <c r="I2084" s="4" t="str" cm="1">
        <f t="array" ref="I2084">IFERROR(IF(INDEX(EmployeeData[Exit Reason], ROW() - 37)=0, "",INDEX(EmployeeData[Exit Reason], ROW() - 37)),"")</f>
        <v/>
      </c>
      <c r="J2084" s="4" t="str" cm="1">
        <f t="array" ref="J2084">IFERROR(INDEX(EmployeeData[Status], ROW() - 37), "")</f>
        <v/>
      </c>
    </row>
    <row r="2085" spans="2:10" ht="19.95" customHeight="1" x14ac:dyDescent="0.3">
      <c r="B2085" s="4" t="str" cm="1">
        <f t="array" ref="B2085">IFERROR(INDEX(EmployeeData[Employee ID], ROW() - 37), "")</f>
        <v/>
      </c>
      <c r="C2085" s="4" t="str" cm="1">
        <f t="array" ref="C2085">IFERROR(INDEX(EmployeeData[Full Name], ROW() - 37), "")</f>
        <v/>
      </c>
      <c r="D2085" s="4" t="str" cm="1">
        <f t="array" ref="D2085">IFERROR(INDEX(EmployeeData[Department], ROW() - 37), "")</f>
        <v/>
      </c>
      <c r="E2085" s="4" t="str" cm="1">
        <f t="array" ref="E2085">IFERROR(INDEX(EmployeeData[Gender], ROW() - 37), "")</f>
        <v/>
      </c>
      <c r="F2085" s="4" t="str" cm="1">
        <f t="array" ref="F2085">IFERROR(INDEX(EmployeeData[Age], ROW() - 37), "")</f>
        <v/>
      </c>
      <c r="G2085" s="6" t="str" cm="1">
        <f t="array" ref="G2085">IFERROR(INDEX(EmployeeData[Join Date], ROW() - 37), "")</f>
        <v/>
      </c>
      <c r="H2085" s="6" t="str" cm="1">
        <f t="array" ref="H2085">IFERROR(IF(INDEX(EmployeeData[Exit Date], ROW() - 37)=0, "",INDEX(EmployeeData[Exit Date], ROW() - 37)),"")</f>
        <v/>
      </c>
      <c r="I2085" s="4" t="str" cm="1">
        <f t="array" ref="I2085">IFERROR(IF(INDEX(EmployeeData[Exit Reason], ROW() - 37)=0, "",INDEX(EmployeeData[Exit Reason], ROW() - 37)),"")</f>
        <v/>
      </c>
      <c r="J2085" s="4" t="str" cm="1">
        <f t="array" ref="J2085">IFERROR(INDEX(EmployeeData[Status], ROW() - 37), "")</f>
        <v/>
      </c>
    </row>
    <row r="2086" spans="2:10" ht="19.95" customHeight="1" x14ac:dyDescent="0.3">
      <c r="B2086" s="4" t="str" cm="1">
        <f t="array" ref="B2086">IFERROR(INDEX(EmployeeData[Employee ID], ROW() - 37), "")</f>
        <v/>
      </c>
      <c r="C2086" s="4" t="str" cm="1">
        <f t="array" ref="C2086">IFERROR(INDEX(EmployeeData[Full Name], ROW() - 37), "")</f>
        <v/>
      </c>
      <c r="D2086" s="4" t="str" cm="1">
        <f t="array" ref="D2086">IFERROR(INDEX(EmployeeData[Department], ROW() - 37), "")</f>
        <v/>
      </c>
      <c r="E2086" s="4" t="str" cm="1">
        <f t="array" ref="E2086">IFERROR(INDEX(EmployeeData[Gender], ROW() - 37), "")</f>
        <v/>
      </c>
      <c r="F2086" s="4" t="str" cm="1">
        <f t="array" ref="F2086">IFERROR(INDEX(EmployeeData[Age], ROW() - 37), "")</f>
        <v/>
      </c>
      <c r="G2086" s="6" t="str" cm="1">
        <f t="array" ref="G2086">IFERROR(INDEX(EmployeeData[Join Date], ROW() - 37), "")</f>
        <v/>
      </c>
      <c r="H2086" s="6" t="str" cm="1">
        <f t="array" ref="H2086">IFERROR(IF(INDEX(EmployeeData[Exit Date], ROW() - 37)=0, "",INDEX(EmployeeData[Exit Date], ROW() - 37)),"")</f>
        <v/>
      </c>
      <c r="I2086" s="4" t="str" cm="1">
        <f t="array" ref="I2086">IFERROR(IF(INDEX(EmployeeData[Exit Reason], ROW() - 37)=0, "",INDEX(EmployeeData[Exit Reason], ROW() - 37)),"")</f>
        <v/>
      </c>
      <c r="J2086" s="4" t="str" cm="1">
        <f t="array" ref="J2086">IFERROR(INDEX(EmployeeData[Status], ROW() - 37), "")</f>
        <v/>
      </c>
    </row>
    <row r="2087" spans="2:10" ht="19.95" customHeight="1" x14ac:dyDescent="0.3">
      <c r="B2087" s="4" t="str" cm="1">
        <f t="array" ref="B2087">IFERROR(INDEX(EmployeeData[Employee ID], ROW() - 37), "")</f>
        <v/>
      </c>
      <c r="C2087" s="4" t="str" cm="1">
        <f t="array" ref="C2087">IFERROR(INDEX(EmployeeData[Full Name], ROW() - 37), "")</f>
        <v/>
      </c>
      <c r="D2087" s="4" t="str" cm="1">
        <f t="array" ref="D2087">IFERROR(INDEX(EmployeeData[Department], ROW() - 37), "")</f>
        <v/>
      </c>
      <c r="E2087" s="4" t="str" cm="1">
        <f t="array" ref="E2087">IFERROR(INDEX(EmployeeData[Gender], ROW() - 37), "")</f>
        <v/>
      </c>
      <c r="F2087" s="4" t="str" cm="1">
        <f t="array" ref="F2087">IFERROR(INDEX(EmployeeData[Age], ROW() - 37), "")</f>
        <v/>
      </c>
      <c r="G2087" s="6" t="str" cm="1">
        <f t="array" ref="G2087">IFERROR(INDEX(EmployeeData[Join Date], ROW() - 37), "")</f>
        <v/>
      </c>
      <c r="H2087" s="6" t="str" cm="1">
        <f t="array" ref="H2087">IFERROR(IF(INDEX(EmployeeData[Exit Date], ROW() - 37)=0, "",INDEX(EmployeeData[Exit Date], ROW() - 37)),"")</f>
        <v/>
      </c>
      <c r="I2087" s="4" t="str" cm="1">
        <f t="array" ref="I2087">IFERROR(IF(INDEX(EmployeeData[Exit Reason], ROW() - 37)=0, "",INDEX(EmployeeData[Exit Reason], ROW() - 37)),"")</f>
        <v/>
      </c>
      <c r="J2087" s="4" t="str" cm="1">
        <f t="array" ref="J2087">IFERROR(INDEX(EmployeeData[Status], ROW() - 37), "")</f>
        <v/>
      </c>
    </row>
    <row r="2088" spans="2:10" ht="19.95" customHeight="1" x14ac:dyDescent="0.3">
      <c r="B2088" s="4" t="str" cm="1">
        <f t="array" ref="B2088">IFERROR(INDEX(EmployeeData[Employee ID], ROW() - 37), "")</f>
        <v/>
      </c>
      <c r="C2088" s="4" t="str" cm="1">
        <f t="array" ref="C2088">IFERROR(INDEX(EmployeeData[Full Name], ROW() - 37), "")</f>
        <v/>
      </c>
      <c r="D2088" s="4" t="str" cm="1">
        <f t="array" ref="D2088">IFERROR(INDEX(EmployeeData[Department], ROW() - 37), "")</f>
        <v/>
      </c>
      <c r="E2088" s="4" t="str" cm="1">
        <f t="array" ref="E2088">IFERROR(INDEX(EmployeeData[Gender], ROW() - 37), "")</f>
        <v/>
      </c>
      <c r="F2088" s="4" t="str" cm="1">
        <f t="array" ref="F2088">IFERROR(INDEX(EmployeeData[Age], ROW() - 37), "")</f>
        <v/>
      </c>
      <c r="G2088" s="6" t="str" cm="1">
        <f t="array" ref="G2088">IFERROR(INDEX(EmployeeData[Join Date], ROW() - 37), "")</f>
        <v/>
      </c>
      <c r="H2088" s="6" t="str" cm="1">
        <f t="array" ref="H2088">IFERROR(IF(INDEX(EmployeeData[Exit Date], ROW() - 37)=0, "",INDEX(EmployeeData[Exit Date], ROW() - 37)),"")</f>
        <v/>
      </c>
      <c r="I2088" s="4" t="str" cm="1">
        <f t="array" ref="I2088">IFERROR(IF(INDEX(EmployeeData[Exit Reason], ROW() - 37)=0, "",INDEX(EmployeeData[Exit Reason], ROW() - 37)),"")</f>
        <v/>
      </c>
      <c r="J2088" s="4" t="str" cm="1">
        <f t="array" ref="J2088">IFERROR(INDEX(EmployeeData[Status], ROW() - 37), "")</f>
        <v/>
      </c>
    </row>
    <row r="2089" spans="2:10" ht="19.95" customHeight="1" x14ac:dyDescent="0.3">
      <c r="B2089" s="4" t="str" cm="1">
        <f t="array" ref="B2089">IFERROR(INDEX(EmployeeData[Employee ID], ROW() - 37), "")</f>
        <v/>
      </c>
      <c r="C2089" s="4" t="str" cm="1">
        <f t="array" ref="C2089">IFERROR(INDEX(EmployeeData[Full Name], ROW() - 37), "")</f>
        <v/>
      </c>
      <c r="D2089" s="4" t="str" cm="1">
        <f t="array" ref="D2089">IFERROR(INDEX(EmployeeData[Department], ROW() - 37), "")</f>
        <v/>
      </c>
      <c r="E2089" s="4" t="str" cm="1">
        <f t="array" ref="E2089">IFERROR(INDEX(EmployeeData[Gender], ROW() - 37), "")</f>
        <v/>
      </c>
      <c r="F2089" s="4" t="str" cm="1">
        <f t="array" ref="F2089">IFERROR(INDEX(EmployeeData[Age], ROW() - 37), "")</f>
        <v/>
      </c>
      <c r="G2089" s="6" t="str" cm="1">
        <f t="array" ref="G2089">IFERROR(INDEX(EmployeeData[Join Date], ROW() - 37), "")</f>
        <v/>
      </c>
      <c r="H2089" s="6" t="str" cm="1">
        <f t="array" ref="H2089">IFERROR(IF(INDEX(EmployeeData[Exit Date], ROW() - 37)=0, "",INDEX(EmployeeData[Exit Date], ROW() - 37)),"")</f>
        <v/>
      </c>
      <c r="I2089" s="4" t="str" cm="1">
        <f t="array" ref="I2089">IFERROR(IF(INDEX(EmployeeData[Exit Reason], ROW() - 37)=0, "",INDEX(EmployeeData[Exit Reason], ROW() - 37)),"")</f>
        <v/>
      </c>
      <c r="J2089" s="4" t="str" cm="1">
        <f t="array" ref="J2089">IFERROR(INDEX(EmployeeData[Status], ROW() - 37), "")</f>
        <v/>
      </c>
    </row>
    <row r="2090" spans="2:10" ht="19.95" customHeight="1" x14ac:dyDescent="0.3">
      <c r="B2090" s="4" t="str" cm="1">
        <f t="array" ref="B2090">IFERROR(INDEX(EmployeeData[Employee ID], ROW() - 37), "")</f>
        <v/>
      </c>
      <c r="C2090" s="4" t="str" cm="1">
        <f t="array" ref="C2090">IFERROR(INDEX(EmployeeData[Full Name], ROW() - 37), "")</f>
        <v/>
      </c>
      <c r="D2090" s="4" t="str" cm="1">
        <f t="array" ref="D2090">IFERROR(INDEX(EmployeeData[Department], ROW() - 37), "")</f>
        <v/>
      </c>
      <c r="E2090" s="4" t="str" cm="1">
        <f t="array" ref="E2090">IFERROR(INDEX(EmployeeData[Gender], ROW() - 37), "")</f>
        <v/>
      </c>
      <c r="F2090" s="4" t="str" cm="1">
        <f t="array" ref="F2090">IFERROR(INDEX(EmployeeData[Age], ROW() - 37), "")</f>
        <v/>
      </c>
      <c r="G2090" s="6" t="str" cm="1">
        <f t="array" ref="G2090">IFERROR(INDEX(EmployeeData[Join Date], ROW() - 37), "")</f>
        <v/>
      </c>
      <c r="H2090" s="6" t="str" cm="1">
        <f t="array" ref="H2090">IFERROR(IF(INDEX(EmployeeData[Exit Date], ROW() - 37)=0, "",INDEX(EmployeeData[Exit Date], ROW() - 37)),"")</f>
        <v/>
      </c>
      <c r="I2090" s="4" t="str" cm="1">
        <f t="array" ref="I2090">IFERROR(IF(INDEX(EmployeeData[Exit Reason], ROW() - 37)=0, "",INDEX(EmployeeData[Exit Reason], ROW() - 37)),"")</f>
        <v/>
      </c>
      <c r="J2090" s="4" t="str" cm="1">
        <f t="array" ref="J2090">IFERROR(INDEX(EmployeeData[Status], ROW() - 37), "")</f>
        <v/>
      </c>
    </row>
    <row r="2091" spans="2:10" ht="19.95" customHeight="1" x14ac:dyDescent="0.3">
      <c r="B2091" s="4" t="str" cm="1">
        <f t="array" ref="B2091">IFERROR(INDEX(EmployeeData[Employee ID], ROW() - 37), "")</f>
        <v/>
      </c>
      <c r="C2091" s="4" t="str" cm="1">
        <f t="array" ref="C2091">IFERROR(INDEX(EmployeeData[Full Name], ROW() - 37), "")</f>
        <v/>
      </c>
      <c r="D2091" s="4" t="str" cm="1">
        <f t="array" ref="D2091">IFERROR(INDEX(EmployeeData[Department], ROW() - 37), "")</f>
        <v/>
      </c>
      <c r="E2091" s="4" t="str" cm="1">
        <f t="array" ref="E2091">IFERROR(INDEX(EmployeeData[Gender], ROW() - 37), "")</f>
        <v/>
      </c>
      <c r="F2091" s="4" t="str" cm="1">
        <f t="array" ref="F2091">IFERROR(INDEX(EmployeeData[Age], ROW() - 37), "")</f>
        <v/>
      </c>
      <c r="G2091" s="6" t="str" cm="1">
        <f t="array" ref="G2091">IFERROR(INDEX(EmployeeData[Join Date], ROW() - 37), "")</f>
        <v/>
      </c>
      <c r="H2091" s="6" t="str" cm="1">
        <f t="array" ref="H2091">IFERROR(IF(INDEX(EmployeeData[Exit Date], ROW() - 37)=0, "",INDEX(EmployeeData[Exit Date], ROW() - 37)),"")</f>
        <v/>
      </c>
      <c r="I2091" s="4" t="str" cm="1">
        <f t="array" ref="I2091">IFERROR(IF(INDEX(EmployeeData[Exit Reason], ROW() - 37)=0, "",INDEX(EmployeeData[Exit Reason], ROW() - 37)),"")</f>
        <v/>
      </c>
      <c r="J2091" s="4" t="str" cm="1">
        <f t="array" ref="J2091">IFERROR(INDEX(EmployeeData[Status], ROW() - 37), "")</f>
        <v/>
      </c>
    </row>
    <row r="2092" spans="2:10" ht="19.95" customHeight="1" x14ac:dyDescent="0.3">
      <c r="B2092" s="4" t="str" cm="1">
        <f t="array" ref="B2092">IFERROR(INDEX(EmployeeData[Employee ID], ROW() - 37), "")</f>
        <v/>
      </c>
      <c r="C2092" s="4" t="str" cm="1">
        <f t="array" ref="C2092">IFERROR(INDEX(EmployeeData[Full Name], ROW() - 37), "")</f>
        <v/>
      </c>
      <c r="D2092" s="4" t="str" cm="1">
        <f t="array" ref="D2092">IFERROR(INDEX(EmployeeData[Department], ROW() - 37), "")</f>
        <v/>
      </c>
      <c r="E2092" s="4" t="str" cm="1">
        <f t="array" ref="E2092">IFERROR(INDEX(EmployeeData[Gender], ROW() - 37), "")</f>
        <v/>
      </c>
      <c r="F2092" s="4" t="str" cm="1">
        <f t="array" ref="F2092">IFERROR(INDEX(EmployeeData[Age], ROW() - 37), "")</f>
        <v/>
      </c>
      <c r="G2092" s="6" t="str" cm="1">
        <f t="array" ref="G2092">IFERROR(INDEX(EmployeeData[Join Date], ROW() - 37), "")</f>
        <v/>
      </c>
      <c r="H2092" s="6" t="str" cm="1">
        <f t="array" ref="H2092">IFERROR(IF(INDEX(EmployeeData[Exit Date], ROW() - 37)=0, "",INDEX(EmployeeData[Exit Date], ROW() - 37)),"")</f>
        <v/>
      </c>
      <c r="I2092" s="4" t="str" cm="1">
        <f t="array" ref="I2092">IFERROR(IF(INDEX(EmployeeData[Exit Reason], ROW() - 37)=0, "",INDEX(EmployeeData[Exit Reason], ROW() - 37)),"")</f>
        <v/>
      </c>
      <c r="J2092" s="4" t="str" cm="1">
        <f t="array" ref="J2092">IFERROR(INDEX(EmployeeData[Status], ROW() - 37), "")</f>
        <v/>
      </c>
    </row>
    <row r="2093" spans="2:10" ht="19.95" customHeight="1" x14ac:dyDescent="0.3">
      <c r="B2093" s="4" t="str" cm="1">
        <f t="array" ref="B2093">IFERROR(INDEX(EmployeeData[Employee ID], ROW() - 37), "")</f>
        <v/>
      </c>
      <c r="C2093" s="4" t="str" cm="1">
        <f t="array" ref="C2093">IFERROR(INDEX(EmployeeData[Full Name], ROW() - 37), "")</f>
        <v/>
      </c>
      <c r="D2093" s="4" t="str" cm="1">
        <f t="array" ref="D2093">IFERROR(INDEX(EmployeeData[Department], ROW() - 37), "")</f>
        <v/>
      </c>
      <c r="E2093" s="4" t="str" cm="1">
        <f t="array" ref="E2093">IFERROR(INDEX(EmployeeData[Gender], ROW() - 37), "")</f>
        <v/>
      </c>
      <c r="F2093" s="4" t="str" cm="1">
        <f t="array" ref="F2093">IFERROR(INDEX(EmployeeData[Age], ROW() - 37), "")</f>
        <v/>
      </c>
      <c r="G2093" s="6" t="str" cm="1">
        <f t="array" ref="G2093">IFERROR(INDEX(EmployeeData[Join Date], ROW() - 37), "")</f>
        <v/>
      </c>
      <c r="H2093" s="6" t="str" cm="1">
        <f t="array" ref="H2093">IFERROR(IF(INDEX(EmployeeData[Exit Date], ROW() - 37)=0, "",INDEX(EmployeeData[Exit Date], ROW() - 37)),"")</f>
        <v/>
      </c>
      <c r="I2093" s="4" t="str" cm="1">
        <f t="array" ref="I2093">IFERROR(IF(INDEX(EmployeeData[Exit Reason], ROW() - 37)=0, "",INDEX(EmployeeData[Exit Reason], ROW() - 37)),"")</f>
        <v/>
      </c>
      <c r="J2093" s="4" t="str" cm="1">
        <f t="array" ref="J2093">IFERROR(INDEX(EmployeeData[Status], ROW() - 37), "")</f>
        <v/>
      </c>
    </row>
    <row r="2094" spans="2:10" ht="19.95" customHeight="1" x14ac:dyDescent="0.3">
      <c r="B2094" s="4" t="str" cm="1">
        <f t="array" ref="B2094">IFERROR(INDEX(EmployeeData[Employee ID], ROW() - 37), "")</f>
        <v/>
      </c>
      <c r="C2094" s="4" t="str" cm="1">
        <f t="array" ref="C2094">IFERROR(INDEX(EmployeeData[Full Name], ROW() - 37), "")</f>
        <v/>
      </c>
      <c r="D2094" s="4" t="str" cm="1">
        <f t="array" ref="D2094">IFERROR(INDEX(EmployeeData[Department], ROW() - 37), "")</f>
        <v/>
      </c>
      <c r="E2094" s="4" t="str" cm="1">
        <f t="array" ref="E2094">IFERROR(INDEX(EmployeeData[Gender], ROW() - 37), "")</f>
        <v/>
      </c>
      <c r="F2094" s="4" t="str" cm="1">
        <f t="array" ref="F2094">IFERROR(INDEX(EmployeeData[Age], ROW() - 37), "")</f>
        <v/>
      </c>
      <c r="G2094" s="6" t="str" cm="1">
        <f t="array" ref="G2094">IFERROR(INDEX(EmployeeData[Join Date], ROW() - 37), "")</f>
        <v/>
      </c>
      <c r="H2094" s="6" t="str" cm="1">
        <f t="array" ref="H2094">IFERROR(IF(INDEX(EmployeeData[Exit Date], ROW() - 37)=0, "",INDEX(EmployeeData[Exit Date], ROW() - 37)),"")</f>
        <v/>
      </c>
      <c r="I2094" s="4" t="str" cm="1">
        <f t="array" ref="I2094">IFERROR(IF(INDEX(EmployeeData[Exit Reason], ROW() - 37)=0, "",INDEX(EmployeeData[Exit Reason], ROW() - 37)),"")</f>
        <v/>
      </c>
      <c r="J2094" s="4" t="str" cm="1">
        <f t="array" ref="J2094">IFERROR(INDEX(EmployeeData[Status], ROW() - 37), "")</f>
        <v/>
      </c>
    </row>
    <row r="2095" spans="2:10" ht="19.95" customHeight="1" x14ac:dyDescent="0.3">
      <c r="B2095" s="4" t="str" cm="1">
        <f t="array" ref="B2095">IFERROR(INDEX(EmployeeData[Employee ID], ROW() - 37), "")</f>
        <v/>
      </c>
      <c r="C2095" s="4" t="str" cm="1">
        <f t="array" ref="C2095">IFERROR(INDEX(EmployeeData[Full Name], ROW() - 37), "")</f>
        <v/>
      </c>
      <c r="D2095" s="4" t="str" cm="1">
        <f t="array" ref="D2095">IFERROR(INDEX(EmployeeData[Department], ROW() - 37), "")</f>
        <v/>
      </c>
      <c r="E2095" s="4" t="str" cm="1">
        <f t="array" ref="E2095">IFERROR(INDEX(EmployeeData[Gender], ROW() - 37), "")</f>
        <v/>
      </c>
      <c r="F2095" s="4" t="str" cm="1">
        <f t="array" ref="F2095">IFERROR(INDEX(EmployeeData[Age], ROW() - 37), "")</f>
        <v/>
      </c>
      <c r="G2095" s="6" t="str" cm="1">
        <f t="array" ref="G2095">IFERROR(INDEX(EmployeeData[Join Date], ROW() - 37), "")</f>
        <v/>
      </c>
      <c r="H2095" s="6" t="str" cm="1">
        <f t="array" ref="H2095">IFERROR(IF(INDEX(EmployeeData[Exit Date], ROW() - 37)=0, "",INDEX(EmployeeData[Exit Date], ROW() - 37)),"")</f>
        <v/>
      </c>
      <c r="I2095" s="4" t="str" cm="1">
        <f t="array" ref="I2095">IFERROR(IF(INDEX(EmployeeData[Exit Reason], ROW() - 37)=0, "",INDEX(EmployeeData[Exit Reason], ROW() - 37)),"")</f>
        <v/>
      </c>
      <c r="J2095" s="4" t="str" cm="1">
        <f t="array" ref="J2095">IFERROR(INDEX(EmployeeData[Status], ROW() - 37), "")</f>
        <v/>
      </c>
    </row>
    <row r="2096" spans="2:10" ht="19.95" customHeight="1" x14ac:dyDescent="0.3">
      <c r="B2096" s="4" t="str" cm="1">
        <f t="array" ref="B2096">IFERROR(INDEX(EmployeeData[Employee ID], ROW() - 37), "")</f>
        <v/>
      </c>
      <c r="C2096" s="4" t="str" cm="1">
        <f t="array" ref="C2096">IFERROR(INDEX(EmployeeData[Full Name], ROW() - 37), "")</f>
        <v/>
      </c>
      <c r="D2096" s="4" t="str" cm="1">
        <f t="array" ref="D2096">IFERROR(INDEX(EmployeeData[Department], ROW() - 37), "")</f>
        <v/>
      </c>
      <c r="E2096" s="4" t="str" cm="1">
        <f t="array" ref="E2096">IFERROR(INDEX(EmployeeData[Gender], ROW() - 37), "")</f>
        <v/>
      </c>
      <c r="F2096" s="4" t="str" cm="1">
        <f t="array" ref="F2096">IFERROR(INDEX(EmployeeData[Age], ROW() - 37), "")</f>
        <v/>
      </c>
      <c r="G2096" s="6" t="str" cm="1">
        <f t="array" ref="G2096">IFERROR(INDEX(EmployeeData[Join Date], ROW() - 37), "")</f>
        <v/>
      </c>
      <c r="H2096" s="6" t="str" cm="1">
        <f t="array" ref="H2096">IFERROR(IF(INDEX(EmployeeData[Exit Date], ROW() - 37)=0, "",INDEX(EmployeeData[Exit Date], ROW() - 37)),"")</f>
        <v/>
      </c>
      <c r="I2096" s="4" t="str" cm="1">
        <f t="array" ref="I2096">IFERROR(IF(INDEX(EmployeeData[Exit Reason], ROW() - 37)=0, "",INDEX(EmployeeData[Exit Reason], ROW() - 37)),"")</f>
        <v/>
      </c>
      <c r="J2096" s="4" t="str" cm="1">
        <f t="array" ref="J2096">IFERROR(INDEX(EmployeeData[Status], ROW() - 37), "")</f>
        <v/>
      </c>
    </row>
    <row r="2097" spans="2:10" ht="19.95" customHeight="1" x14ac:dyDescent="0.3">
      <c r="B2097" s="4" t="str" cm="1">
        <f t="array" ref="B2097">IFERROR(INDEX(EmployeeData[Employee ID], ROW() - 37), "")</f>
        <v/>
      </c>
      <c r="C2097" s="4" t="str" cm="1">
        <f t="array" ref="C2097">IFERROR(INDEX(EmployeeData[Full Name], ROW() - 37), "")</f>
        <v/>
      </c>
      <c r="D2097" s="4" t="str" cm="1">
        <f t="array" ref="D2097">IFERROR(INDEX(EmployeeData[Department], ROW() - 37), "")</f>
        <v/>
      </c>
      <c r="E2097" s="4" t="str" cm="1">
        <f t="array" ref="E2097">IFERROR(INDEX(EmployeeData[Gender], ROW() - 37), "")</f>
        <v/>
      </c>
      <c r="F2097" s="4" t="str" cm="1">
        <f t="array" ref="F2097">IFERROR(INDEX(EmployeeData[Age], ROW() - 37), "")</f>
        <v/>
      </c>
      <c r="G2097" s="6" t="str" cm="1">
        <f t="array" ref="G2097">IFERROR(INDEX(EmployeeData[Join Date], ROW() - 37), "")</f>
        <v/>
      </c>
      <c r="H2097" s="6" t="str" cm="1">
        <f t="array" ref="H2097">IFERROR(IF(INDEX(EmployeeData[Exit Date], ROW() - 37)=0, "",INDEX(EmployeeData[Exit Date], ROW() - 37)),"")</f>
        <v/>
      </c>
      <c r="I2097" s="4" t="str" cm="1">
        <f t="array" ref="I2097">IFERROR(IF(INDEX(EmployeeData[Exit Reason], ROW() - 37)=0, "",INDEX(EmployeeData[Exit Reason], ROW() - 37)),"")</f>
        <v/>
      </c>
      <c r="J2097" s="4" t="str" cm="1">
        <f t="array" ref="J2097">IFERROR(INDEX(EmployeeData[Status], ROW() - 37), "")</f>
        <v/>
      </c>
    </row>
    <row r="2098" spans="2:10" ht="19.95" customHeight="1" x14ac:dyDescent="0.3">
      <c r="B2098" s="4" t="str" cm="1">
        <f t="array" ref="B2098">IFERROR(INDEX(EmployeeData[Employee ID], ROW() - 37), "")</f>
        <v/>
      </c>
      <c r="C2098" s="4" t="str" cm="1">
        <f t="array" ref="C2098">IFERROR(INDEX(EmployeeData[Full Name], ROW() - 37), "")</f>
        <v/>
      </c>
      <c r="D2098" s="4" t="str" cm="1">
        <f t="array" ref="D2098">IFERROR(INDEX(EmployeeData[Department], ROW() - 37), "")</f>
        <v/>
      </c>
      <c r="E2098" s="4" t="str" cm="1">
        <f t="array" ref="E2098">IFERROR(INDEX(EmployeeData[Gender], ROW() - 37), "")</f>
        <v/>
      </c>
      <c r="F2098" s="4" t="str" cm="1">
        <f t="array" ref="F2098">IFERROR(INDEX(EmployeeData[Age], ROW() - 37), "")</f>
        <v/>
      </c>
      <c r="G2098" s="6" t="str" cm="1">
        <f t="array" ref="G2098">IFERROR(INDEX(EmployeeData[Join Date], ROW() - 37), "")</f>
        <v/>
      </c>
      <c r="H2098" s="6" t="str" cm="1">
        <f t="array" ref="H2098">IFERROR(IF(INDEX(EmployeeData[Exit Date], ROW() - 37)=0, "",INDEX(EmployeeData[Exit Date], ROW() - 37)),"")</f>
        <v/>
      </c>
      <c r="I2098" s="4" t="str" cm="1">
        <f t="array" ref="I2098">IFERROR(IF(INDEX(EmployeeData[Exit Reason], ROW() - 37)=0, "",INDEX(EmployeeData[Exit Reason], ROW() - 37)),"")</f>
        <v/>
      </c>
      <c r="J2098" s="4" t="str" cm="1">
        <f t="array" ref="J2098">IFERROR(INDEX(EmployeeData[Status], ROW() - 37), "")</f>
        <v/>
      </c>
    </row>
    <row r="2099" spans="2:10" ht="19.95" customHeight="1" x14ac:dyDescent="0.3">
      <c r="B2099" s="4" t="str" cm="1">
        <f t="array" ref="B2099">IFERROR(INDEX(EmployeeData[Employee ID], ROW() - 37), "")</f>
        <v/>
      </c>
      <c r="C2099" s="4" t="str" cm="1">
        <f t="array" ref="C2099">IFERROR(INDEX(EmployeeData[Full Name], ROW() - 37), "")</f>
        <v/>
      </c>
      <c r="D2099" s="4" t="str" cm="1">
        <f t="array" ref="D2099">IFERROR(INDEX(EmployeeData[Department], ROW() - 37), "")</f>
        <v/>
      </c>
      <c r="E2099" s="4" t="str" cm="1">
        <f t="array" ref="E2099">IFERROR(INDEX(EmployeeData[Gender], ROW() - 37), "")</f>
        <v/>
      </c>
      <c r="F2099" s="4" t="str" cm="1">
        <f t="array" ref="F2099">IFERROR(INDEX(EmployeeData[Age], ROW() - 37), "")</f>
        <v/>
      </c>
      <c r="G2099" s="6" t="str" cm="1">
        <f t="array" ref="G2099">IFERROR(INDEX(EmployeeData[Join Date], ROW() - 37), "")</f>
        <v/>
      </c>
      <c r="H2099" s="6" t="str" cm="1">
        <f t="array" ref="H2099">IFERROR(IF(INDEX(EmployeeData[Exit Date], ROW() - 37)=0, "",INDEX(EmployeeData[Exit Date], ROW() - 37)),"")</f>
        <v/>
      </c>
      <c r="I2099" s="4" t="str" cm="1">
        <f t="array" ref="I2099">IFERROR(IF(INDEX(EmployeeData[Exit Reason], ROW() - 37)=0, "",INDEX(EmployeeData[Exit Reason], ROW() - 37)),"")</f>
        <v/>
      </c>
      <c r="J2099" s="4" t="str" cm="1">
        <f t="array" ref="J2099">IFERROR(INDEX(EmployeeData[Status], ROW() - 37), "")</f>
        <v/>
      </c>
    </row>
    <row r="2100" spans="2:10" ht="19.95" customHeight="1" x14ac:dyDescent="0.3">
      <c r="B2100" s="4" t="str" cm="1">
        <f t="array" ref="B2100">IFERROR(INDEX(EmployeeData[Employee ID], ROW() - 37), "")</f>
        <v/>
      </c>
      <c r="C2100" s="4" t="str" cm="1">
        <f t="array" ref="C2100">IFERROR(INDEX(EmployeeData[Full Name], ROW() - 37), "")</f>
        <v/>
      </c>
      <c r="D2100" s="4" t="str" cm="1">
        <f t="array" ref="D2100">IFERROR(INDEX(EmployeeData[Department], ROW() - 37), "")</f>
        <v/>
      </c>
      <c r="E2100" s="4" t="str" cm="1">
        <f t="array" ref="E2100">IFERROR(INDEX(EmployeeData[Gender], ROW() - 37), "")</f>
        <v/>
      </c>
      <c r="F2100" s="4" t="str" cm="1">
        <f t="array" ref="F2100">IFERROR(INDEX(EmployeeData[Age], ROW() - 37), "")</f>
        <v/>
      </c>
      <c r="G2100" s="6" t="str" cm="1">
        <f t="array" ref="G2100">IFERROR(INDEX(EmployeeData[Join Date], ROW() - 37), "")</f>
        <v/>
      </c>
      <c r="H2100" s="6" t="str" cm="1">
        <f t="array" ref="H2100">IFERROR(IF(INDEX(EmployeeData[Exit Date], ROW() - 37)=0, "",INDEX(EmployeeData[Exit Date], ROW() - 37)),"")</f>
        <v/>
      </c>
      <c r="I2100" s="4" t="str" cm="1">
        <f t="array" ref="I2100">IFERROR(IF(INDEX(EmployeeData[Exit Reason], ROW() - 37)=0, "",INDEX(EmployeeData[Exit Reason], ROW() - 37)),"")</f>
        <v/>
      </c>
      <c r="J2100" s="4" t="str" cm="1">
        <f t="array" ref="J2100">IFERROR(INDEX(EmployeeData[Status], ROW() - 37), "")</f>
        <v/>
      </c>
    </row>
    <row r="2101" spans="2:10" ht="19.95" customHeight="1" x14ac:dyDescent="0.3">
      <c r="B2101" s="4" t="str" cm="1">
        <f t="array" ref="B2101">IFERROR(INDEX(EmployeeData[Employee ID], ROW() - 37), "")</f>
        <v/>
      </c>
      <c r="C2101" s="4" t="str" cm="1">
        <f t="array" ref="C2101">IFERROR(INDEX(EmployeeData[Full Name], ROW() - 37), "")</f>
        <v/>
      </c>
      <c r="D2101" s="4" t="str" cm="1">
        <f t="array" ref="D2101">IFERROR(INDEX(EmployeeData[Department], ROW() - 37), "")</f>
        <v/>
      </c>
      <c r="E2101" s="4" t="str" cm="1">
        <f t="array" ref="E2101">IFERROR(INDEX(EmployeeData[Gender], ROW() - 37), "")</f>
        <v/>
      </c>
      <c r="F2101" s="4" t="str" cm="1">
        <f t="array" ref="F2101">IFERROR(INDEX(EmployeeData[Age], ROW() - 37), "")</f>
        <v/>
      </c>
      <c r="G2101" s="6" t="str" cm="1">
        <f t="array" ref="G2101">IFERROR(INDEX(EmployeeData[Join Date], ROW() - 37), "")</f>
        <v/>
      </c>
      <c r="H2101" s="6" t="str" cm="1">
        <f t="array" ref="H2101">IFERROR(IF(INDEX(EmployeeData[Exit Date], ROW() - 37)=0, "",INDEX(EmployeeData[Exit Date], ROW() - 37)),"")</f>
        <v/>
      </c>
      <c r="I2101" s="4" t="str" cm="1">
        <f t="array" ref="I2101">IFERROR(IF(INDEX(EmployeeData[Exit Reason], ROW() - 37)=0, "",INDEX(EmployeeData[Exit Reason], ROW() - 37)),"")</f>
        <v/>
      </c>
      <c r="J2101" s="4" t="str" cm="1">
        <f t="array" ref="J2101">IFERROR(INDEX(EmployeeData[Status], ROW() - 37), "")</f>
        <v/>
      </c>
    </row>
    <row r="2102" spans="2:10" ht="19.95" customHeight="1" x14ac:dyDescent="0.3">
      <c r="B2102" s="4" t="str" cm="1">
        <f t="array" ref="B2102">IFERROR(INDEX(EmployeeData[Employee ID], ROW() - 37), "")</f>
        <v/>
      </c>
      <c r="C2102" s="4" t="str" cm="1">
        <f t="array" ref="C2102">IFERROR(INDEX(EmployeeData[Full Name], ROW() - 37), "")</f>
        <v/>
      </c>
      <c r="D2102" s="4" t="str" cm="1">
        <f t="array" ref="D2102">IFERROR(INDEX(EmployeeData[Department], ROW() - 37), "")</f>
        <v/>
      </c>
      <c r="E2102" s="4" t="str" cm="1">
        <f t="array" ref="E2102">IFERROR(INDEX(EmployeeData[Gender], ROW() - 37), "")</f>
        <v/>
      </c>
      <c r="F2102" s="4" t="str" cm="1">
        <f t="array" ref="F2102">IFERROR(INDEX(EmployeeData[Age], ROW() - 37), "")</f>
        <v/>
      </c>
      <c r="G2102" s="6" t="str" cm="1">
        <f t="array" ref="G2102">IFERROR(INDEX(EmployeeData[Join Date], ROW() - 37), "")</f>
        <v/>
      </c>
      <c r="H2102" s="6" t="str" cm="1">
        <f t="array" ref="H2102">IFERROR(IF(INDEX(EmployeeData[Exit Date], ROW() - 37)=0, "",INDEX(EmployeeData[Exit Date], ROW() - 37)),"")</f>
        <v/>
      </c>
      <c r="I2102" s="4" t="str" cm="1">
        <f t="array" ref="I2102">IFERROR(IF(INDEX(EmployeeData[Exit Reason], ROW() - 37)=0, "",INDEX(EmployeeData[Exit Reason], ROW() - 37)),"")</f>
        <v/>
      </c>
      <c r="J2102" s="4" t="str" cm="1">
        <f t="array" ref="J2102">IFERROR(INDEX(EmployeeData[Status], ROW() - 37), "")</f>
        <v/>
      </c>
    </row>
    <row r="2103" spans="2:10" ht="19.95" customHeight="1" x14ac:dyDescent="0.3">
      <c r="B2103" s="4" t="str" cm="1">
        <f t="array" ref="B2103">IFERROR(INDEX(EmployeeData[Employee ID], ROW() - 37), "")</f>
        <v/>
      </c>
      <c r="C2103" s="4" t="str" cm="1">
        <f t="array" ref="C2103">IFERROR(INDEX(EmployeeData[Full Name], ROW() - 37), "")</f>
        <v/>
      </c>
      <c r="D2103" s="4" t="str" cm="1">
        <f t="array" ref="D2103">IFERROR(INDEX(EmployeeData[Department], ROW() - 37), "")</f>
        <v/>
      </c>
      <c r="E2103" s="4" t="str" cm="1">
        <f t="array" ref="E2103">IFERROR(INDEX(EmployeeData[Gender], ROW() - 37), "")</f>
        <v/>
      </c>
      <c r="F2103" s="4" t="str" cm="1">
        <f t="array" ref="F2103">IFERROR(INDEX(EmployeeData[Age], ROW() - 37), "")</f>
        <v/>
      </c>
      <c r="G2103" s="6" t="str" cm="1">
        <f t="array" ref="G2103">IFERROR(INDEX(EmployeeData[Join Date], ROW() - 37), "")</f>
        <v/>
      </c>
      <c r="H2103" s="6" t="str" cm="1">
        <f t="array" ref="H2103">IFERROR(IF(INDEX(EmployeeData[Exit Date], ROW() - 37)=0, "",INDEX(EmployeeData[Exit Date], ROW() - 37)),"")</f>
        <v/>
      </c>
      <c r="I2103" s="4" t="str" cm="1">
        <f t="array" ref="I2103">IFERROR(IF(INDEX(EmployeeData[Exit Reason], ROW() - 37)=0, "",INDEX(EmployeeData[Exit Reason], ROW() - 37)),"")</f>
        <v/>
      </c>
      <c r="J2103" s="4" t="str" cm="1">
        <f t="array" ref="J2103">IFERROR(INDEX(EmployeeData[Status], ROW() - 37), "")</f>
        <v/>
      </c>
    </row>
    <row r="2104" spans="2:10" ht="19.95" customHeight="1" x14ac:dyDescent="0.3">
      <c r="B2104" s="4" t="str" cm="1">
        <f t="array" ref="B2104">IFERROR(INDEX(EmployeeData[Employee ID], ROW() - 37), "")</f>
        <v/>
      </c>
      <c r="C2104" s="4" t="str" cm="1">
        <f t="array" ref="C2104">IFERROR(INDEX(EmployeeData[Full Name], ROW() - 37), "")</f>
        <v/>
      </c>
      <c r="D2104" s="4" t="str" cm="1">
        <f t="array" ref="D2104">IFERROR(INDEX(EmployeeData[Department], ROW() - 37), "")</f>
        <v/>
      </c>
      <c r="E2104" s="4" t="str" cm="1">
        <f t="array" ref="E2104">IFERROR(INDEX(EmployeeData[Gender], ROW() - 37), "")</f>
        <v/>
      </c>
      <c r="F2104" s="4" t="str" cm="1">
        <f t="array" ref="F2104">IFERROR(INDEX(EmployeeData[Age], ROW() - 37), "")</f>
        <v/>
      </c>
      <c r="G2104" s="6" t="str" cm="1">
        <f t="array" ref="G2104">IFERROR(INDEX(EmployeeData[Join Date], ROW() - 37), "")</f>
        <v/>
      </c>
      <c r="H2104" s="6" t="str" cm="1">
        <f t="array" ref="H2104">IFERROR(IF(INDEX(EmployeeData[Exit Date], ROW() - 37)=0, "",INDEX(EmployeeData[Exit Date], ROW() - 37)),"")</f>
        <v/>
      </c>
      <c r="I2104" s="4" t="str" cm="1">
        <f t="array" ref="I2104">IFERROR(IF(INDEX(EmployeeData[Exit Reason], ROW() - 37)=0, "",INDEX(EmployeeData[Exit Reason], ROW() - 37)),"")</f>
        <v/>
      </c>
      <c r="J2104" s="4" t="str" cm="1">
        <f t="array" ref="J2104">IFERROR(INDEX(EmployeeData[Status], ROW() - 37), "")</f>
        <v/>
      </c>
    </row>
    <row r="2105" spans="2:10" ht="19.95" customHeight="1" x14ac:dyDescent="0.3">
      <c r="B2105" s="4" t="str" cm="1">
        <f t="array" ref="B2105">IFERROR(INDEX(EmployeeData[Employee ID], ROW() - 37), "")</f>
        <v/>
      </c>
      <c r="C2105" s="4" t="str" cm="1">
        <f t="array" ref="C2105">IFERROR(INDEX(EmployeeData[Full Name], ROW() - 37), "")</f>
        <v/>
      </c>
      <c r="D2105" s="4" t="str" cm="1">
        <f t="array" ref="D2105">IFERROR(INDEX(EmployeeData[Department], ROW() - 37), "")</f>
        <v/>
      </c>
      <c r="E2105" s="4" t="str" cm="1">
        <f t="array" ref="E2105">IFERROR(INDEX(EmployeeData[Gender], ROW() - 37), "")</f>
        <v/>
      </c>
      <c r="F2105" s="4" t="str" cm="1">
        <f t="array" ref="F2105">IFERROR(INDEX(EmployeeData[Age], ROW() - 37), "")</f>
        <v/>
      </c>
      <c r="G2105" s="6" t="str" cm="1">
        <f t="array" ref="G2105">IFERROR(INDEX(EmployeeData[Join Date], ROW() - 37), "")</f>
        <v/>
      </c>
      <c r="H2105" s="6" t="str" cm="1">
        <f t="array" ref="H2105">IFERROR(IF(INDEX(EmployeeData[Exit Date], ROW() - 37)=0, "",INDEX(EmployeeData[Exit Date], ROW() - 37)),"")</f>
        <v/>
      </c>
      <c r="I2105" s="4" t="str" cm="1">
        <f t="array" ref="I2105">IFERROR(IF(INDEX(EmployeeData[Exit Reason], ROW() - 37)=0, "",INDEX(EmployeeData[Exit Reason], ROW() - 37)),"")</f>
        <v/>
      </c>
      <c r="J2105" s="4" t="str" cm="1">
        <f t="array" ref="J2105">IFERROR(INDEX(EmployeeData[Status], ROW() - 37), "")</f>
        <v/>
      </c>
    </row>
    <row r="2106" spans="2:10" ht="19.95" customHeight="1" x14ac:dyDescent="0.3">
      <c r="B2106" s="4" t="str" cm="1">
        <f t="array" ref="B2106">IFERROR(INDEX(EmployeeData[Employee ID], ROW() - 37), "")</f>
        <v/>
      </c>
      <c r="C2106" s="4" t="str" cm="1">
        <f t="array" ref="C2106">IFERROR(INDEX(EmployeeData[Full Name], ROW() - 37), "")</f>
        <v/>
      </c>
      <c r="D2106" s="4" t="str" cm="1">
        <f t="array" ref="D2106">IFERROR(INDEX(EmployeeData[Department], ROW() - 37), "")</f>
        <v/>
      </c>
      <c r="E2106" s="4" t="str" cm="1">
        <f t="array" ref="E2106">IFERROR(INDEX(EmployeeData[Gender], ROW() - 37), "")</f>
        <v/>
      </c>
      <c r="F2106" s="4" t="str" cm="1">
        <f t="array" ref="F2106">IFERROR(INDEX(EmployeeData[Age], ROW() - 37), "")</f>
        <v/>
      </c>
      <c r="G2106" s="6" t="str" cm="1">
        <f t="array" ref="G2106">IFERROR(INDEX(EmployeeData[Join Date], ROW() - 37), "")</f>
        <v/>
      </c>
      <c r="H2106" s="6" t="str" cm="1">
        <f t="array" ref="H2106">IFERROR(IF(INDEX(EmployeeData[Exit Date], ROW() - 37)=0, "",INDEX(EmployeeData[Exit Date], ROW() - 37)),"")</f>
        <v/>
      </c>
      <c r="I2106" s="4" t="str" cm="1">
        <f t="array" ref="I2106">IFERROR(IF(INDEX(EmployeeData[Exit Reason], ROW() - 37)=0, "",INDEX(EmployeeData[Exit Reason], ROW() - 37)),"")</f>
        <v/>
      </c>
      <c r="J2106" s="4" t="str" cm="1">
        <f t="array" ref="J2106">IFERROR(INDEX(EmployeeData[Status], ROW() - 37), "")</f>
        <v/>
      </c>
    </row>
    <row r="2107" spans="2:10" ht="19.95" customHeight="1" x14ac:dyDescent="0.3">
      <c r="B2107" s="4" t="str" cm="1">
        <f t="array" ref="B2107">IFERROR(INDEX(EmployeeData[Employee ID], ROW() - 37), "")</f>
        <v/>
      </c>
      <c r="C2107" s="4" t="str" cm="1">
        <f t="array" ref="C2107">IFERROR(INDEX(EmployeeData[Full Name], ROW() - 37), "")</f>
        <v/>
      </c>
      <c r="D2107" s="4" t="str" cm="1">
        <f t="array" ref="D2107">IFERROR(INDEX(EmployeeData[Department], ROW() - 37), "")</f>
        <v/>
      </c>
      <c r="E2107" s="4" t="str" cm="1">
        <f t="array" ref="E2107">IFERROR(INDEX(EmployeeData[Gender], ROW() - 37), "")</f>
        <v/>
      </c>
      <c r="F2107" s="4" t="str" cm="1">
        <f t="array" ref="F2107">IFERROR(INDEX(EmployeeData[Age], ROW() - 37), "")</f>
        <v/>
      </c>
      <c r="G2107" s="6" t="str" cm="1">
        <f t="array" ref="G2107">IFERROR(INDEX(EmployeeData[Join Date], ROW() - 37), "")</f>
        <v/>
      </c>
      <c r="H2107" s="6" t="str" cm="1">
        <f t="array" ref="H2107">IFERROR(IF(INDEX(EmployeeData[Exit Date], ROW() - 37)=0, "",INDEX(EmployeeData[Exit Date], ROW() - 37)),"")</f>
        <v/>
      </c>
      <c r="I2107" s="4" t="str" cm="1">
        <f t="array" ref="I2107">IFERROR(IF(INDEX(EmployeeData[Exit Reason], ROW() - 37)=0, "",INDEX(EmployeeData[Exit Reason], ROW() - 37)),"")</f>
        <v/>
      </c>
      <c r="J2107" s="4" t="str" cm="1">
        <f t="array" ref="J2107">IFERROR(INDEX(EmployeeData[Status], ROW() - 37), "")</f>
        <v/>
      </c>
    </row>
    <row r="2108" spans="2:10" ht="19.95" customHeight="1" x14ac:dyDescent="0.3">
      <c r="B2108" s="4" t="str" cm="1">
        <f t="array" ref="B2108">IFERROR(INDEX(EmployeeData[Employee ID], ROW() - 37), "")</f>
        <v/>
      </c>
      <c r="C2108" s="4" t="str" cm="1">
        <f t="array" ref="C2108">IFERROR(INDEX(EmployeeData[Full Name], ROW() - 37), "")</f>
        <v/>
      </c>
      <c r="D2108" s="4" t="str" cm="1">
        <f t="array" ref="D2108">IFERROR(INDEX(EmployeeData[Department], ROW() - 37), "")</f>
        <v/>
      </c>
      <c r="E2108" s="4" t="str" cm="1">
        <f t="array" ref="E2108">IFERROR(INDEX(EmployeeData[Gender], ROW() - 37), "")</f>
        <v/>
      </c>
      <c r="F2108" s="4" t="str" cm="1">
        <f t="array" ref="F2108">IFERROR(INDEX(EmployeeData[Age], ROW() - 37), "")</f>
        <v/>
      </c>
      <c r="G2108" s="6" t="str" cm="1">
        <f t="array" ref="G2108">IFERROR(INDEX(EmployeeData[Join Date], ROW() - 37), "")</f>
        <v/>
      </c>
      <c r="H2108" s="6" t="str" cm="1">
        <f t="array" ref="H2108">IFERROR(IF(INDEX(EmployeeData[Exit Date], ROW() - 37)=0, "",INDEX(EmployeeData[Exit Date], ROW() - 37)),"")</f>
        <v/>
      </c>
      <c r="I2108" s="4" t="str" cm="1">
        <f t="array" ref="I2108">IFERROR(IF(INDEX(EmployeeData[Exit Reason], ROW() - 37)=0, "",INDEX(EmployeeData[Exit Reason], ROW() - 37)),"")</f>
        <v/>
      </c>
      <c r="J2108" s="4" t="str" cm="1">
        <f t="array" ref="J2108">IFERROR(INDEX(EmployeeData[Status], ROW() - 37), "")</f>
        <v/>
      </c>
    </row>
    <row r="2109" spans="2:10" ht="19.95" customHeight="1" x14ac:dyDescent="0.3">
      <c r="B2109" s="4" t="str" cm="1">
        <f t="array" ref="B2109">IFERROR(INDEX(EmployeeData[Employee ID], ROW() - 37), "")</f>
        <v/>
      </c>
      <c r="C2109" s="4" t="str" cm="1">
        <f t="array" ref="C2109">IFERROR(INDEX(EmployeeData[Full Name], ROW() - 37), "")</f>
        <v/>
      </c>
      <c r="D2109" s="4" t="str" cm="1">
        <f t="array" ref="D2109">IFERROR(INDEX(EmployeeData[Department], ROW() - 37), "")</f>
        <v/>
      </c>
      <c r="E2109" s="4" t="str" cm="1">
        <f t="array" ref="E2109">IFERROR(INDEX(EmployeeData[Gender], ROW() - 37), "")</f>
        <v/>
      </c>
      <c r="F2109" s="4" t="str" cm="1">
        <f t="array" ref="F2109">IFERROR(INDEX(EmployeeData[Age], ROW() - 37), "")</f>
        <v/>
      </c>
      <c r="G2109" s="6" t="str" cm="1">
        <f t="array" ref="G2109">IFERROR(INDEX(EmployeeData[Join Date], ROW() - 37), "")</f>
        <v/>
      </c>
      <c r="H2109" s="6" t="str" cm="1">
        <f t="array" ref="H2109">IFERROR(IF(INDEX(EmployeeData[Exit Date], ROW() - 37)=0, "",INDEX(EmployeeData[Exit Date], ROW() - 37)),"")</f>
        <v/>
      </c>
      <c r="I2109" s="4" t="str" cm="1">
        <f t="array" ref="I2109">IFERROR(IF(INDEX(EmployeeData[Exit Reason], ROW() - 37)=0, "",INDEX(EmployeeData[Exit Reason], ROW() - 37)),"")</f>
        <v/>
      </c>
      <c r="J2109" s="4" t="str" cm="1">
        <f t="array" ref="J2109">IFERROR(INDEX(EmployeeData[Status], ROW() - 37), "")</f>
        <v/>
      </c>
    </row>
    <row r="2110" spans="2:10" ht="19.95" customHeight="1" x14ac:dyDescent="0.3">
      <c r="B2110" s="4" t="str" cm="1">
        <f t="array" ref="B2110">IFERROR(INDEX(EmployeeData[Employee ID], ROW() - 37), "")</f>
        <v/>
      </c>
      <c r="C2110" s="4" t="str" cm="1">
        <f t="array" ref="C2110">IFERROR(INDEX(EmployeeData[Full Name], ROW() - 37), "")</f>
        <v/>
      </c>
      <c r="D2110" s="4" t="str" cm="1">
        <f t="array" ref="D2110">IFERROR(INDEX(EmployeeData[Department], ROW() - 37), "")</f>
        <v/>
      </c>
      <c r="E2110" s="4" t="str" cm="1">
        <f t="array" ref="E2110">IFERROR(INDEX(EmployeeData[Gender], ROW() - 37), "")</f>
        <v/>
      </c>
      <c r="F2110" s="4" t="str" cm="1">
        <f t="array" ref="F2110">IFERROR(INDEX(EmployeeData[Age], ROW() - 37), "")</f>
        <v/>
      </c>
      <c r="G2110" s="6" t="str" cm="1">
        <f t="array" ref="G2110">IFERROR(INDEX(EmployeeData[Join Date], ROW() - 37), "")</f>
        <v/>
      </c>
      <c r="H2110" s="6" t="str" cm="1">
        <f t="array" ref="H2110">IFERROR(IF(INDEX(EmployeeData[Exit Date], ROW() - 37)=0, "",INDEX(EmployeeData[Exit Date], ROW() - 37)),"")</f>
        <v/>
      </c>
      <c r="I2110" s="4" t="str" cm="1">
        <f t="array" ref="I2110">IFERROR(IF(INDEX(EmployeeData[Exit Reason], ROW() - 37)=0, "",INDEX(EmployeeData[Exit Reason], ROW() - 37)),"")</f>
        <v/>
      </c>
      <c r="J2110" s="4" t="str" cm="1">
        <f t="array" ref="J2110">IFERROR(INDEX(EmployeeData[Status], ROW() - 37), "")</f>
        <v/>
      </c>
    </row>
    <row r="2111" spans="2:10" ht="19.95" customHeight="1" x14ac:dyDescent="0.3">
      <c r="B2111" s="4" t="str" cm="1">
        <f t="array" ref="B2111">IFERROR(INDEX(EmployeeData[Employee ID], ROW() - 37), "")</f>
        <v/>
      </c>
      <c r="C2111" s="4" t="str" cm="1">
        <f t="array" ref="C2111">IFERROR(INDEX(EmployeeData[Full Name], ROW() - 37), "")</f>
        <v/>
      </c>
      <c r="D2111" s="4" t="str" cm="1">
        <f t="array" ref="D2111">IFERROR(INDEX(EmployeeData[Department], ROW() - 37), "")</f>
        <v/>
      </c>
      <c r="E2111" s="4" t="str" cm="1">
        <f t="array" ref="E2111">IFERROR(INDEX(EmployeeData[Gender], ROW() - 37), "")</f>
        <v/>
      </c>
      <c r="F2111" s="4" t="str" cm="1">
        <f t="array" ref="F2111">IFERROR(INDEX(EmployeeData[Age], ROW() - 37), "")</f>
        <v/>
      </c>
      <c r="G2111" s="6" t="str" cm="1">
        <f t="array" ref="G2111">IFERROR(INDEX(EmployeeData[Join Date], ROW() - 37), "")</f>
        <v/>
      </c>
      <c r="H2111" s="6" t="str" cm="1">
        <f t="array" ref="H2111">IFERROR(IF(INDEX(EmployeeData[Exit Date], ROW() - 37)=0, "",INDEX(EmployeeData[Exit Date], ROW() - 37)),"")</f>
        <v/>
      </c>
      <c r="I2111" s="4" t="str" cm="1">
        <f t="array" ref="I2111">IFERROR(IF(INDEX(EmployeeData[Exit Reason], ROW() - 37)=0, "",INDEX(EmployeeData[Exit Reason], ROW() - 37)),"")</f>
        <v/>
      </c>
      <c r="J2111" s="4" t="str" cm="1">
        <f t="array" ref="J2111">IFERROR(INDEX(EmployeeData[Status], ROW() - 37), "")</f>
        <v/>
      </c>
    </row>
    <row r="2112" spans="2:10" ht="19.95" customHeight="1" x14ac:dyDescent="0.3">
      <c r="B2112" s="4" t="str" cm="1">
        <f t="array" ref="B2112">IFERROR(INDEX(EmployeeData[Employee ID], ROW() - 37), "")</f>
        <v/>
      </c>
      <c r="C2112" s="4" t="str" cm="1">
        <f t="array" ref="C2112">IFERROR(INDEX(EmployeeData[Full Name], ROW() - 37), "")</f>
        <v/>
      </c>
      <c r="D2112" s="4" t="str" cm="1">
        <f t="array" ref="D2112">IFERROR(INDEX(EmployeeData[Department], ROW() - 37), "")</f>
        <v/>
      </c>
      <c r="E2112" s="4" t="str" cm="1">
        <f t="array" ref="E2112">IFERROR(INDEX(EmployeeData[Gender], ROW() - 37), "")</f>
        <v/>
      </c>
      <c r="F2112" s="4" t="str" cm="1">
        <f t="array" ref="F2112">IFERROR(INDEX(EmployeeData[Age], ROW() - 37), "")</f>
        <v/>
      </c>
      <c r="G2112" s="6" t="str" cm="1">
        <f t="array" ref="G2112">IFERROR(INDEX(EmployeeData[Join Date], ROW() - 37), "")</f>
        <v/>
      </c>
      <c r="H2112" s="6" t="str" cm="1">
        <f t="array" ref="H2112">IFERROR(IF(INDEX(EmployeeData[Exit Date], ROW() - 37)=0, "",INDEX(EmployeeData[Exit Date], ROW() - 37)),"")</f>
        <v/>
      </c>
      <c r="I2112" s="4" t="str" cm="1">
        <f t="array" ref="I2112">IFERROR(IF(INDEX(EmployeeData[Exit Reason], ROW() - 37)=0, "",INDEX(EmployeeData[Exit Reason], ROW() - 37)),"")</f>
        <v/>
      </c>
      <c r="J2112" s="4" t="str" cm="1">
        <f t="array" ref="J2112">IFERROR(INDEX(EmployeeData[Status], ROW() - 37), "")</f>
        <v/>
      </c>
    </row>
    <row r="2113" spans="2:10" ht="19.95" customHeight="1" x14ac:dyDescent="0.3">
      <c r="B2113" s="4" t="str" cm="1">
        <f t="array" ref="B2113">IFERROR(INDEX(EmployeeData[Employee ID], ROW() - 37), "")</f>
        <v/>
      </c>
      <c r="C2113" s="4" t="str" cm="1">
        <f t="array" ref="C2113">IFERROR(INDEX(EmployeeData[Full Name], ROW() - 37), "")</f>
        <v/>
      </c>
      <c r="D2113" s="4" t="str" cm="1">
        <f t="array" ref="D2113">IFERROR(INDEX(EmployeeData[Department], ROW() - 37), "")</f>
        <v/>
      </c>
      <c r="E2113" s="4" t="str" cm="1">
        <f t="array" ref="E2113">IFERROR(INDEX(EmployeeData[Gender], ROW() - 37), "")</f>
        <v/>
      </c>
      <c r="F2113" s="4" t="str" cm="1">
        <f t="array" ref="F2113">IFERROR(INDEX(EmployeeData[Age], ROW() - 37), "")</f>
        <v/>
      </c>
      <c r="G2113" s="6" t="str" cm="1">
        <f t="array" ref="G2113">IFERROR(INDEX(EmployeeData[Join Date], ROW() - 37), "")</f>
        <v/>
      </c>
      <c r="H2113" s="6" t="str" cm="1">
        <f t="array" ref="H2113">IFERROR(IF(INDEX(EmployeeData[Exit Date], ROW() - 37)=0, "",INDEX(EmployeeData[Exit Date], ROW() - 37)),"")</f>
        <v/>
      </c>
      <c r="I2113" s="4" t="str" cm="1">
        <f t="array" ref="I2113">IFERROR(IF(INDEX(EmployeeData[Exit Reason], ROW() - 37)=0, "",INDEX(EmployeeData[Exit Reason], ROW() - 37)),"")</f>
        <v/>
      </c>
      <c r="J2113" s="4" t="str" cm="1">
        <f t="array" ref="J2113">IFERROR(INDEX(EmployeeData[Status], ROW() - 37), "")</f>
        <v/>
      </c>
    </row>
    <row r="2114" spans="2:10" ht="19.95" customHeight="1" x14ac:dyDescent="0.3">
      <c r="B2114" s="4" t="str" cm="1">
        <f t="array" ref="B2114">IFERROR(INDEX(EmployeeData[Employee ID], ROW() - 37), "")</f>
        <v/>
      </c>
      <c r="C2114" s="4" t="str" cm="1">
        <f t="array" ref="C2114">IFERROR(INDEX(EmployeeData[Full Name], ROW() - 37), "")</f>
        <v/>
      </c>
      <c r="D2114" s="4" t="str" cm="1">
        <f t="array" ref="D2114">IFERROR(INDEX(EmployeeData[Department], ROW() - 37), "")</f>
        <v/>
      </c>
      <c r="E2114" s="4" t="str" cm="1">
        <f t="array" ref="E2114">IFERROR(INDEX(EmployeeData[Gender], ROW() - 37), "")</f>
        <v/>
      </c>
      <c r="F2114" s="4" t="str" cm="1">
        <f t="array" ref="F2114">IFERROR(INDEX(EmployeeData[Age], ROW() - 37), "")</f>
        <v/>
      </c>
      <c r="G2114" s="6" t="str" cm="1">
        <f t="array" ref="G2114">IFERROR(INDEX(EmployeeData[Join Date], ROW() - 37), "")</f>
        <v/>
      </c>
      <c r="H2114" s="6" t="str" cm="1">
        <f t="array" ref="H2114">IFERROR(IF(INDEX(EmployeeData[Exit Date], ROW() - 37)=0, "",INDEX(EmployeeData[Exit Date], ROW() - 37)),"")</f>
        <v/>
      </c>
      <c r="I2114" s="4" t="str" cm="1">
        <f t="array" ref="I2114">IFERROR(IF(INDEX(EmployeeData[Exit Reason], ROW() - 37)=0, "",INDEX(EmployeeData[Exit Reason], ROW() - 37)),"")</f>
        <v/>
      </c>
      <c r="J2114" s="4" t="str" cm="1">
        <f t="array" ref="J2114">IFERROR(INDEX(EmployeeData[Status], ROW() - 37), "")</f>
        <v/>
      </c>
    </row>
    <row r="2115" spans="2:10" ht="19.95" customHeight="1" x14ac:dyDescent="0.3">
      <c r="B2115" s="4" t="str" cm="1">
        <f t="array" ref="B2115">IFERROR(INDEX(EmployeeData[Employee ID], ROW() - 37), "")</f>
        <v/>
      </c>
      <c r="C2115" s="4" t="str" cm="1">
        <f t="array" ref="C2115">IFERROR(INDEX(EmployeeData[Full Name], ROW() - 37), "")</f>
        <v/>
      </c>
      <c r="D2115" s="4" t="str" cm="1">
        <f t="array" ref="D2115">IFERROR(INDEX(EmployeeData[Department], ROW() - 37), "")</f>
        <v/>
      </c>
      <c r="E2115" s="4" t="str" cm="1">
        <f t="array" ref="E2115">IFERROR(INDEX(EmployeeData[Gender], ROW() - 37), "")</f>
        <v/>
      </c>
      <c r="F2115" s="4" t="str" cm="1">
        <f t="array" ref="F2115">IFERROR(INDEX(EmployeeData[Age], ROW() - 37), "")</f>
        <v/>
      </c>
      <c r="G2115" s="6" t="str" cm="1">
        <f t="array" ref="G2115">IFERROR(INDEX(EmployeeData[Join Date], ROW() - 37), "")</f>
        <v/>
      </c>
      <c r="H2115" s="6" t="str" cm="1">
        <f t="array" ref="H2115">IFERROR(IF(INDEX(EmployeeData[Exit Date], ROW() - 37)=0, "",INDEX(EmployeeData[Exit Date], ROW() - 37)),"")</f>
        <v/>
      </c>
      <c r="I2115" s="4" t="str" cm="1">
        <f t="array" ref="I2115">IFERROR(IF(INDEX(EmployeeData[Exit Reason], ROW() - 37)=0, "",INDEX(EmployeeData[Exit Reason], ROW() - 37)),"")</f>
        <v/>
      </c>
      <c r="J2115" s="4" t="str" cm="1">
        <f t="array" ref="J2115">IFERROR(INDEX(EmployeeData[Status], ROW() - 37), "")</f>
        <v/>
      </c>
    </row>
    <row r="2116" spans="2:10" ht="19.95" customHeight="1" x14ac:dyDescent="0.3">
      <c r="B2116" s="4" t="str" cm="1">
        <f t="array" ref="B2116">IFERROR(INDEX(EmployeeData[Employee ID], ROW() - 37), "")</f>
        <v/>
      </c>
      <c r="C2116" s="4" t="str" cm="1">
        <f t="array" ref="C2116">IFERROR(INDEX(EmployeeData[Full Name], ROW() - 37), "")</f>
        <v/>
      </c>
      <c r="D2116" s="4" t="str" cm="1">
        <f t="array" ref="D2116">IFERROR(INDEX(EmployeeData[Department], ROW() - 37), "")</f>
        <v/>
      </c>
      <c r="E2116" s="4" t="str" cm="1">
        <f t="array" ref="E2116">IFERROR(INDEX(EmployeeData[Gender], ROW() - 37), "")</f>
        <v/>
      </c>
      <c r="F2116" s="4" t="str" cm="1">
        <f t="array" ref="F2116">IFERROR(INDEX(EmployeeData[Age], ROW() - 37), "")</f>
        <v/>
      </c>
      <c r="G2116" s="6" t="str" cm="1">
        <f t="array" ref="G2116">IFERROR(INDEX(EmployeeData[Join Date], ROW() - 37), "")</f>
        <v/>
      </c>
      <c r="H2116" s="6" t="str" cm="1">
        <f t="array" ref="H2116">IFERROR(IF(INDEX(EmployeeData[Exit Date], ROW() - 37)=0, "",INDEX(EmployeeData[Exit Date], ROW() - 37)),"")</f>
        <v/>
      </c>
      <c r="I2116" s="4" t="str" cm="1">
        <f t="array" ref="I2116">IFERROR(IF(INDEX(EmployeeData[Exit Reason], ROW() - 37)=0, "",INDEX(EmployeeData[Exit Reason], ROW() - 37)),"")</f>
        <v/>
      </c>
      <c r="J2116" s="4" t="str" cm="1">
        <f t="array" ref="J2116">IFERROR(INDEX(EmployeeData[Status], ROW() - 37), "")</f>
        <v/>
      </c>
    </row>
    <row r="2117" spans="2:10" ht="19.95" customHeight="1" x14ac:dyDescent="0.3">
      <c r="B2117" s="4" t="str" cm="1">
        <f t="array" ref="B2117">IFERROR(INDEX(EmployeeData[Employee ID], ROW() - 37), "")</f>
        <v/>
      </c>
      <c r="C2117" s="4" t="str" cm="1">
        <f t="array" ref="C2117">IFERROR(INDEX(EmployeeData[Full Name], ROW() - 37), "")</f>
        <v/>
      </c>
      <c r="D2117" s="4" t="str" cm="1">
        <f t="array" ref="D2117">IFERROR(INDEX(EmployeeData[Department], ROW() - 37), "")</f>
        <v/>
      </c>
      <c r="E2117" s="4" t="str" cm="1">
        <f t="array" ref="E2117">IFERROR(INDEX(EmployeeData[Gender], ROW() - 37), "")</f>
        <v/>
      </c>
      <c r="F2117" s="4" t="str" cm="1">
        <f t="array" ref="F2117">IFERROR(INDEX(EmployeeData[Age], ROW() - 37), "")</f>
        <v/>
      </c>
      <c r="G2117" s="6" t="str" cm="1">
        <f t="array" ref="G2117">IFERROR(INDEX(EmployeeData[Join Date], ROW() - 37), "")</f>
        <v/>
      </c>
      <c r="H2117" s="6" t="str" cm="1">
        <f t="array" ref="H2117">IFERROR(IF(INDEX(EmployeeData[Exit Date], ROW() - 37)=0, "",INDEX(EmployeeData[Exit Date], ROW() - 37)),"")</f>
        <v/>
      </c>
      <c r="I2117" s="4" t="str" cm="1">
        <f t="array" ref="I2117">IFERROR(IF(INDEX(EmployeeData[Exit Reason], ROW() - 37)=0, "",INDEX(EmployeeData[Exit Reason], ROW() - 37)),"")</f>
        <v/>
      </c>
      <c r="J2117" s="4" t="str" cm="1">
        <f t="array" ref="J2117">IFERROR(INDEX(EmployeeData[Status], ROW() - 37), "")</f>
        <v/>
      </c>
    </row>
    <row r="2118" spans="2:10" ht="19.95" customHeight="1" x14ac:dyDescent="0.3">
      <c r="B2118" s="4" t="str" cm="1">
        <f t="array" ref="B2118">IFERROR(INDEX(EmployeeData[Employee ID], ROW() - 37), "")</f>
        <v/>
      </c>
      <c r="C2118" s="4" t="str" cm="1">
        <f t="array" ref="C2118">IFERROR(INDEX(EmployeeData[Full Name], ROW() - 37), "")</f>
        <v/>
      </c>
      <c r="D2118" s="4" t="str" cm="1">
        <f t="array" ref="D2118">IFERROR(INDEX(EmployeeData[Department], ROW() - 37), "")</f>
        <v/>
      </c>
      <c r="E2118" s="4" t="str" cm="1">
        <f t="array" ref="E2118">IFERROR(INDEX(EmployeeData[Gender], ROW() - 37), "")</f>
        <v/>
      </c>
      <c r="F2118" s="4" t="str" cm="1">
        <f t="array" ref="F2118">IFERROR(INDEX(EmployeeData[Age], ROW() - 37), "")</f>
        <v/>
      </c>
      <c r="G2118" s="6" t="str" cm="1">
        <f t="array" ref="G2118">IFERROR(INDEX(EmployeeData[Join Date], ROW() - 37), "")</f>
        <v/>
      </c>
      <c r="H2118" s="6" t="str" cm="1">
        <f t="array" ref="H2118">IFERROR(IF(INDEX(EmployeeData[Exit Date], ROW() - 37)=0, "",INDEX(EmployeeData[Exit Date], ROW() - 37)),"")</f>
        <v/>
      </c>
      <c r="I2118" s="4" t="str" cm="1">
        <f t="array" ref="I2118">IFERROR(IF(INDEX(EmployeeData[Exit Reason], ROW() - 37)=0, "",INDEX(EmployeeData[Exit Reason], ROW() - 37)),"")</f>
        <v/>
      </c>
      <c r="J2118" s="4" t="str" cm="1">
        <f t="array" ref="J2118">IFERROR(INDEX(EmployeeData[Status], ROW() - 37), "")</f>
        <v/>
      </c>
    </row>
    <row r="2119" spans="2:10" ht="19.95" customHeight="1" x14ac:dyDescent="0.3">
      <c r="B2119" s="4" t="str" cm="1">
        <f t="array" ref="B2119">IFERROR(INDEX(EmployeeData[Employee ID], ROW() - 37), "")</f>
        <v/>
      </c>
      <c r="C2119" s="4" t="str" cm="1">
        <f t="array" ref="C2119">IFERROR(INDEX(EmployeeData[Full Name], ROW() - 37), "")</f>
        <v/>
      </c>
      <c r="D2119" s="4" t="str" cm="1">
        <f t="array" ref="D2119">IFERROR(INDEX(EmployeeData[Department], ROW() - 37), "")</f>
        <v/>
      </c>
      <c r="E2119" s="4" t="str" cm="1">
        <f t="array" ref="E2119">IFERROR(INDEX(EmployeeData[Gender], ROW() - 37), "")</f>
        <v/>
      </c>
      <c r="F2119" s="4" t="str" cm="1">
        <f t="array" ref="F2119">IFERROR(INDEX(EmployeeData[Age], ROW() - 37), "")</f>
        <v/>
      </c>
      <c r="G2119" s="6" t="str" cm="1">
        <f t="array" ref="G2119">IFERROR(INDEX(EmployeeData[Join Date], ROW() - 37), "")</f>
        <v/>
      </c>
      <c r="H2119" s="6" t="str" cm="1">
        <f t="array" ref="H2119">IFERROR(IF(INDEX(EmployeeData[Exit Date], ROW() - 37)=0, "",INDEX(EmployeeData[Exit Date], ROW() - 37)),"")</f>
        <v/>
      </c>
      <c r="I2119" s="4" t="str" cm="1">
        <f t="array" ref="I2119">IFERROR(IF(INDEX(EmployeeData[Exit Reason], ROW() - 37)=0, "",INDEX(EmployeeData[Exit Reason], ROW() - 37)),"")</f>
        <v/>
      </c>
      <c r="J2119" s="4" t="str" cm="1">
        <f t="array" ref="J2119">IFERROR(INDEX(EmployeeData[Status], ROW() - 37), "")</f>
        <v/>
      </c>
    </row>
    <row r="2120" spans="2:10" ht="19.95" customHeight="1" x14ac:dyDescent="0.3">
      <c r="B2120" s="4" t="str" cm="1">
        <f t="array" ref="B2120">IFERROR(INDEX(EmployeeData[Employee ID], ROW() - 37), "")</f>
        <v/>
      </c>
      <c r="C2120" s="4" t="str" cm="1">
        <f t="array" ref="C2120">IFERROR(INDEX(EmployeeData[Full Name], ROW() - 37), "")</f>
        <v/>
      </c>
      <c r="D2120" s="4" t="str" cm="1">
        <f t="array" ref="D2120">IFERROR(INDEX(EmployeeData[Department], ROW() - 37), "")</f>
        <v/>
      </c>
      <c r="E2120" s="4" t="str" cm="1">
        <f t="array" ref="E2120">IFERROR(INDEX(EmployeeData[Gender], ROW() - 37), "")</f>
        <v/>
      </c>
      <c r="F2120" s="4" t="str" cm="1">
        <f t="array" ref="F2120">IFERROR(INDEX(EmployeeData[Age], ROW() - 37), "")</f>
        <v/>
      </c>
      <c r="G2120" s="6" t="str" cm="1">
        <f t="array" ref="G2120">IFERROR(INDEX(EmployeeData[Join Date], ROW() - 37), "")</f>
        <v/>
      </c>
      <c r="H2120" s="6" t="str" cm="1">
        <f t="array" ref="H2120">IFERROR(IF(INDEX(EmployeeData[Exit Date], ROW() - 37)=0, "",INDEX(EmployeeData[Exit Date], ROW() - 37)),"")</f>
        <v/>
      </c>
      <c r="I2120" s="4" t="str" cm="1">
        <f t="array" ref="I2120">IFERROR(IF(INDEX(EmployeeData[Exit Reason], ROW() - 37)=0, "",INDEX(EmployeeData[Exit Reason], ROW() - 37)),"")</f>
        <v/>
      </c>
      <c r="J2120" s="4" t="str" cm="1">
        <f t="array" ref="J2120">IFERROR(INDEX(EmployeeData[Status], ROW() - 37), "")</f>
        <v/>
      </c>
    </row>
    <row r="2121" spans="2:10" ht="19.95" customHeight="1" x14ac:dyDescent="0.3">
      <c r="B2121" s="4" t="str" cm="1">
        <f t="array" ref="B2121">IFERROR(INDEX(EmployeeData[Employee ID], ROW() - 37), "")</f>
        <v/>
      </c>
      <c r="C2121" s="4" t="str" cm="1">
        <f t="array" ref="C2121">IFERROR(INDEX(EmployeeData[Full Name], ROW() - 37), "")</f>
        <v/>
      </c>
      <c r="D2121" s="4" t="str" cm="1">
        <f t="array" ref="D2121">IFERROR(INDEX(EmployeeData[Department], ROW() - 37), "")</f>
        <v/>
      </c>
      <c r="E2121" s="4" t="str" cm="1">
        <f t="array" ref="E2121">IFERROR(INDEX(EmployeeData[Gender], ROW() - 37), "")</f>
        <v/>
      </c>
      <c r="F2121" s="4" t="str" cm="1">
        <f t="array" ref="F2121">IFERROR(INDEX(EmployeeData[Age], ROW() - 37), "")</f>
        <v/>
      </c>
      <c r="G2121" s="6" t="str" cm="1">
        <f t="array" ref="G2121">IFERROR(INDEX(EmployeeData[Join Date], ROW() - 37), "")</f>
        <v/>
      </c>
      <c r="H2121" s="6" t="str" cm="1">
        <f t="array" ref="H2121">IFERROR(IF(INDEX(EmployeeData[Exit Date], ROW() - 37)=0, "",INDEX(EmployeeData[Exit Date], ROW() - 37)),"")</f>
        <v/>
      </c>
      <c r="I2121" s="4" t="str" cm="1">
        <f t="array" ref="I2121">IFERROR(IF(INDEX(EmployeeData[Exit Reason], ROW() - 37)=0, "",INDEX(EmployeeData[Exit Reason], ROW() - 37)),"")</f>
        <v/>
      </c>
      <c r="J2121" s="4" t="str" cm="1">
        <f t="array" ref="J2121">IFERROR(INDEX(EmployeeData[Status], ROW() - 37), "")</f>
        <v/>
      </c>
    </row>
    <row r="2122" spans="2:10" ht="19.95" customHeight="1" x14ac:dyDescent="0.3">
      <c r="B2122" s="4" t="str" cm="1">
        <f t="array" ref="B2122">IFERROR(INDEX(EmployeeData[Employee ID], ROW() - 37), "")</f>
        <v/>
      </c>
      <c r="C2122" s="4" t="str" cm="1">
        <f t="array" ref="C2122">IFERROR(INDEX(EmployeeData[Full Name], ROW() - 37), "")</f>
        <v/>
      </c>
      <c r="D2122" s="4" t="str" cm="1">
        <f t="array" ref="D2122">IFERROR(INDEX(EmployeeData[Department], ROW() - 37), "")</f>
        <v/>
      </c>
      <c r="E2122" s="4" t="str" cm="1">
        <f t="array" ref="E2122">IFERROR(INDEX(EmployeeData[Gender], ROW() - 37), "")</f>
        <v/>
      </c>
      <c r="F2122" s="4" t="str" cm="1">
        <f t="array" ref="F2122">IFERROR(INDEX(EmployeeData[Age], ROW() - 37), "")</f>
        <v/>
      </c>
      <c r="G2122" s="6" t="str" cm="1">
        <f t="array" ref="G2122">IFERROR(INDEX(EmployeeData[Join Date], ROW() - 37), "")</f>
        <v/>
      </c>
      <c r="H2122" s="6" t="str" cm="1">
        <f t="array" ref="H2122">IFERROR(IF(INDEX(EmployeeData[Exit Date], ROW() - 37)=0, "",INDEX(EmployeeData[Exit Date], ROW() - 37)),"")</f>
        <v/>
      </c>
      <c r="I2122" s="4" t="str" cm="1">
        <f t="array" ref="I2122">IFERROR(IF(INDEX(EmployeeData[Exit Reason], ROW() - 37)=0, "",INDEX(EmployeeData[Exit Reason], ROW() - 37)),"")</f>
        <v/>
      </c>
      <c r="J2122" s="4" t="str" cm="1">
        <f t="array" ref="J2122">IFERROR(INDEX(EmployeeData[Status], ROW() - 37), "")</f>
        <v/>
      </c>
    </row>
    <row r="2123" spans="2:10" ht="19.95" customHeight="1" x14ac:dyDescent="0.3">
      <c r="B2123" s="4" t="str" cm="1">
        <f t="array" ref="B2123">IFERROR(INDEX(EmployeeData[Employee ID], ROW() - 37), "")</f>
        <v/>
      </c>
      <c r="C2123" s="4" t="str" cm="1">
        <f t="array" ref="C2123">IFERROR(INDEX(EmployeeData[Full Name], ROW() - 37), "")</f>
        <v/>
      </c>
      <c r="D2123" s="4" t="str" cm="1">
        <f t="array" ref="D2123">IFERROR(INDEX(EmployeeData[Department], ROW() - 37), "")</f>
        <v/>
      </c>
      <c r="E2123" s="4" t="str" cm="1">
        <f t="array" ref="E2123">IFERROR(INDEX(EmployeeData[Gender], ROW() - 37), "")</f>
        <v/>
      </c>
      <c r="F2123" s="4" t="str" cm="1">
        <f t="array" ref="F2123">IFERROR(INDEX(EmployeeData[Age], ROW() - 37), "")</f>
        <v/>
      </c>
      <c r="G2123" s="6" t="str" cm="1">
        <f t="array" ref="G2123">IFERROR(INDEX(EmployeeData[Join Date], ROW() - 37), "")</f>
        <v/>
      </c>
      <c r="H2123" s="6" t="str" cm="1">
        <f t="array" ref="H2123">IFERROR(IF(INDEX(EmployeeData[Exit Date], ROW() - 37)=0, "",INDEX(EmployeeData[Exit Date], ROW() - 37)),"")</f>
        <v/>
      </c>
      <c r="I2123" s="4" t="str" cm="1">
        <f t="array" ref="I2123">IFERROR(IF(INDEX(EmployeeData[Exit Reason], ROW() - 37)=0, "",INDEX(EmployeeData[Exit Reason], ROW() - 37)),"")</f>
        <v/>
      </c>
      <c r="J2123" s="4" t="str" cm="1">
        <f t="array" ref="J2123">IFERROR(INDEX(EmployeeData[Status], ROW() - 37), "")</f>
        <v/>
      </c>
    </row>
    <row r="2124" spans="2:10" ht="19.95" customHeight="1" x14ac:dyDescent="0.3">
      <c r="B2124" s="4" t="str" cm="1">
        <f t="array" ref="B2124">IFERROR(INDEX(EmployeeData[Employee ID], ROW() - 37), "")</f>
        <v/>
      </c>
      <c r="C2124" s="4" t="str" cm="1">
        <f t="array" ref="C2124">IFERROR(INDEX(EmployeeData[Full Name], ROW() - 37), "")</f>
        <v/>
      </c>
      <c r="D2124" s="4" t="str" cm="1">
        <f t="array" ref="D2124">IFERROR(INDEX(EmployeeData[Department], ROW() - 37), "")</f>
        <v/>
      </c>
      <c r="E2124" s="4" t="str" cm="1">
        <f t="array" ref="E2124">IFERROR(INDEX(EmployeeData[Gender], ROW() - 37), "")</f>
        <v/>
      </c>
      <c r="F2124" s="4" t="str" cm="1">
        <f t="array" ref="F2124">IFERROR(INDEX(EmployeeData[Age], ROW() - 37), "")</f>
        <v/>
      </c>
      <c r="G2124" s="6" t="str" cm="1">
        <f t="array" ref="G2124">IFERROR(INDEX(EmployeeData[Join Date], ROW() - 37), "")</f>
        <v/>
      </c>
      <c r="H2124" s="6" t="str" cm="1">
        <f t="array" ref="H2124">IFERROR(IF(INDEX(EmployeeData[Exit Date], ROW() - 37)=0, "",INDEX(EmployeeData[Exit Date], ROW() - 37)),"")</f>
        <v/>
      </c>
      <c r="I2124" s="4" t="str" cm="1">
        <f t="array" ref="I2124">IFERROR(IF(INDEX(EmployeeData[Exit Reason], ROW() - 37)=0, "",INDEX(EmployeeData[Exit Reason], ROW() - 37)),"")</f>
        <v/>
      </c>
      <c r="J2124" s="4" t="str" cm="1">
        <f t="array" ref="J2124">IFERROR(INDEX(EmployeeData[Status], ROW() - 37), "")</f>
        <v/>
      </c>
    </row>
    <row r="2125" spans="2:10" ht="19.95" customHeight="1" x14ac:dyDescent="0.3">
      <c r="B2125" s="4" t="str" cm="1">
        <f t="array" ref="B2125">IFERROR(INDEX(EmployeeData[Employee ID], ROW() - 37), "")</f>
        <v/>
      </c>
      <c r="C2125" s="4" t="str" cm="1">
        <f t="array" ref="C2125">IFERROR(INDEX(EmployeeData[Full Name], ROW() - 37), "")</f>
        <v/>
      </c>
      <c r="D2125" s="4" t="str" cm="1">
        <f t="array" ref="D2125">IFERROR(INDEX(EmployeeData[Department], ROW() - 37), "")</f>
        <v/>
      </c>
      <c r="E2125" s="4" t="str" cm="1">
        <f t="array" ref="E2125">IFERROR(INDEX(EmployeeData[Gender], ROW() - 37), "")</f>
        <v/>
      </c>
      <c r="F2125" s="4" t="str" cm="1">
        <f t="array" ref="F2125">IFERROR(INDEX(EmployeeData[Age], ROW() - 37), "")</f>
        <v/>
      </c>
      <c r="G2125" s="6" t="str" cm="1">
        <f t="array" ref="G2125">IFERROR(INDEX(EmployeeData[Join Date], ROW() - 37), "")</f>
        <v/>
      </c>
      <c r="H2125" s="6" t="str" cm="1">
        <f t="array" ref="H2125">IFERROR(IF(INDEX(EmployeeData[Exit Date], ROW() - 37)=0, "",INDEX(EmployeeData[Exit Date], ROW() - 37)),"")</f>
        <v/>
      </c>
      <c r="I2125" s="4" t="str" cm="1">
        <f t="array" ref="I2125">IFERROR(IF(INDEX(EmployeeData[Exit Reason], ROW() - 37)=0, "",INDEX(EmployeeData[Exit Reason], ROW() - 37)),"")</f>
        <v/>
      </c>
      <c r="J2125" s="4" t="str" cm="1">
        <f t="array" ref="J2125">IFERROR(INDEX(EmployeeData[Status], ROW() - 37), "")</f>
        <v/>
      </c>
    </row>
    <row r="2126" spans="2:10" ht="19.95" customHeight="1" x14ac:dyDescent="0.3">
      <c r="B2126" s="4" t="str" cm="1">
        <f t="array" ref="B2126">IFERROR(INDEX(EmployeeData[Employee ID], ROW() - 37), "")</f>
        <v/>
      </c>
      <c r="C2126" s="4" t="str" cm="1">
        <f t="array" ref="C2126">IFERROR(INDEX(EmployeeData[Full Name], ROW() - 37), "")</f>
        <v/>
      </c>
      <c r="D2126" s="4" t="str" cm="1">
        <f t="array" ref="D2126">IFERROR(INDEX(EmployeeData[Department], ROW() - 37), "")</f>
        <v/>
      </c>
      <c r="E2126" s="4" t="str" cm="1">
        <f t="array" ref="E2126">IFERROR(INDEX(EmployeeData[Gender], ROW() - 37), "")</f>
        <v/>
      </c>
      <c r="F2126" s="4" t="str" cm="1">
        <f t="array" ref="F2126">IFERROR(INDEX(EmployeeData[Age], ROW() - 37), "")</f>
        <v/>
      </c>
      <c r="G2126" s="6" t="str" cm="1">
        <f t="array" ref="G2126">IFERROR(INDEX(EmployeeData[Join Date], ROW() - 37), "")</f>
        <v/>
      </c>
      <c r="H2126" s="6" t="str" cm="1">
        <f t="array" ref="H2126">IFERROR(IF(INDEX(EmployeeData[Exit Date], ROW() - 37)=0, "",INDEX(EmployeeData[Exit Date], ROW() - 37)),"")</f>
        <v/>
      </c>
      <c r="I2126" s="4" t="str" cm="1">
        <f t="array" ref="I2126">IFERROR(IF(INDEX(EmployeeData[Exit Reason], ROW() - 37)=0, "",INDEX(EmployeeData[Exit Reason], ROW() - 37)),"")</f>
        <v/>
      </c>
      <c r="J2126" s="4" t="str" cm="1">
        <f t="array" ref="J2126">IFERROR(INDEX(EmployeeData[Status], ROW() - 37), "")</f>
        <v/>
      </c>
    </row>
    <row r="2127" spans="2:10" ht="19.95" customHeight="1" x14ac:dyDescent="0.3">
      <c r="B2127" s="4" t="str" cm="1">
        <f t="array" ref="B2127">IFERROR(INDEX(EmployeeData[Employee ID], ROW() - 37), "")</f>
        <v/>
      </c>
      <c r="C2127" s="4" t="str" cm="1">
        <f t="array" ref="C2127">IFERROR(INDEX(EmployeeData[Full Name], ROW() - 37), "")</f>
        <v/>
      </c>
      <c r="D2127" s="4" t="str" cm="1">
        <f t="array" ref="D2127">IFERROR(INDEX(EmployeeData[Department], ROW() - 37), "")</f>
        <v/>
      </c>
      <c r="E2127" s="4" t="str" cm="1">
        <f t="array" ref="E2127">IFERROR(INDEX(EmployeeData[Gender], ROW() - 37), "")</f>
        <v/>
      </c>
      <c r="F2127" s="4" t="str" cm="1">
        <f t="array" ref="F2127">IFERROR(INDEX(EmployeeData[Age], ROW() - 37), "")</f>
        <v/>
      </c>
      <c r="G2127" s="6" t="str" cm="1">
        <f t="array" ref="G2127">IFERROR(INDEX(EmployeeData[Join Date], ROW() - 37), "")</f>
        <v/>
      </c>
      <c r="H2127" s="6" t="str" cm="1">
        <f t="array" ref="H2127">IFERROR(IF(INDEX(EmployeeData[Exit Date], ROW() - 37)=0, "",INDEX(EmployeeData[Exit Date], ROW() - 37)),"")</f>
        <v/>
      </c>
      <c r="I2127" s="4" t="str" cm="1">
        <f t="array" ref="I2127">IFERROR(IF(INDEX(EmployeeData[Exit Reason], ROW() - 37)=0, "",INDEX(EmployeeData[Exit Reason], ROW() - 37)),"")</f>
        <v/>
      </c>
      <c r="J2127" s="4" t="str" cm="1">
        <f t="array" ref="J2127">IFERROR(INDEX(EmployeeData[Status], ROW() - 37), "")</f>
        <v/>
      </c>
    </row>
    <row r="2128" spans="2:10" ht="19.95" customHeight="1" x14ac:dyDescent="0.3">
      <c r="B2128" s="4" t="str" cm="1">
        <f t="array" ref="B2128">IFERROR(INDEX(EmployeeData[Employee ID], ROW() - 37), "")</f>
        <v/>
      </c>
      <c r="C2128" s="4" t="str" cm="1">
        <f t="array" ref="C2128">IFERROR(INDEX(EmployeeData[Full Name], ROW() - 37), "")</f>
        <v/>
      </c>
      <c r="D2128" s="4" t="str" cm="1">
        <f t="array" ref="D2128">IFERROR(INDEX(EmployeeData[Department], ROW() - 37), "")</f>
        <v/>
      </c>
      <c r="E2128" s="4" t="str" cm="1">
        <f t="array" ref="E2128">IFERROR(INDEX(EmployeeData[Gender], ROW() - 37), "")</f>
        <v/>
      </c>
      <c r="F2128" s="4" t="str" cm="1">
        <f t="array" ref="F2128">IFERROR(INDEX(EmployeeData[Age], ROW() - 37), "")</f>
        <v/>
      </c>
      <c r="G2128" s="6" t="str" cm="1">
        <f t="array" ref="G2128">IFERROR(INDEX(EmployeeData[Join Date], ROW() - 37), "")</f>
        <v/>
      </c>
      <c r="H2128" s="6" t="str" cm="1">
        <f t="array" ref="H2128">IFERROR(IF(INDEX(EmployeeData[Exit Date], ROW() - 37)=0, "",INDEX(EmployeeData[Exit Date], ROW() - 37)),"")</f>
        <v/>
      </c>
      <c r="I2128" s="4" t="str" cm="1">
        <f t="array" ref="I2128">IFERROR(IF(INDEX(EmployeeData[Exit Reason], ROW() - 37)=0, "",INDEX(EmployeeData[Exit Reason], ROW() - 37)),"")</f>
        <v/>
      </c>
      <c r="J2128" s="4" t="str" cm="1">
        <f t="array" ref="J2128">IFERROR(INDEX(EmployeeData[Status], ROW() - 37), "")</f>
        <v/>
      </c>
    </row>
    <row r="2129" spans="2:10" ht="19.95" customHeight="1" x14ac:dyDescent="0.3">
      <c r="B2129" s="4" t="str" cm="1">
        <f t="array" ref="B2129">IFERROR(INDEX(EmployeeData[Employee ID], ROW() - 37), "")</f>
        <v/>
      </c>
      <c r="C2129" s="4" t="str" cm="1">
        <f t="array" ref="C2129">IFERROR(INDEX(EmployeeData[Full Name], ROW() - 37), "")</f>
        <v/>
      </c>
      <c r="D2129" s="4" t="str" cm="1">
        <f t="array" ref="D2129">IFERROR(INDEX(EmployeeData[Department], ROW() - 37), "")</f>
        <v/>
      </c>
      <c r="E2129" s="4" t="str" cm="1">
        <f t="array" ref="E2129">IFERROR(INDEX(EmployeeData[Gender], ROW() - 37), "")</f>
        <v/>
      </c>
      <c r="F2129" s="4" t="str" cm="1">
        <f t="array" ref="F2129">IFERROR(INDEX(EmployeeData[Age], ROW() - 37), "")</f>
        <v/>
      </c>
      <c r="G2129" s="6" t="str" cm="1">
        <f t="array" ref="G2129">IFERROR(INDEX(EmployeeData[Join Date], ROW() - 37), "")</f>
        <v/>
      </c>
      <c r="H2129" s="6" t="str" cm="1">
        <f t="array" ref="H2129">IFERROR(IF(INDEX(EmployeeData[Exit Date], ROW() - 37)=0, "",INDEX(EmployeeData[Exit Date], ROW() - 37)),"")</f>
        <v/>
      </c>
      <c r="I2129" s="4" t="str" cm="1">
        <f t="array" ref="I2129">IFERROR(IF(INDEX(EmployeeData[Exit Reason], ROW() - 37)=0, "",INDEX(EmployeeData[Exit Reason], ROW() - 37)),"")</f>
        <v/>
      </c>
      <c r="J2129" s="4" t="str" cm="1">
        <f t="array" ref="J2129">IFERROR(INDEX(EmployeeData[Status], ROW() - 37), "")</f>
        <v/>
      </c>
    </row>
    <row r="2130" spans="2:10" ht="19.95" customHeight="1" x14ac:dyDescent="0.3">
      <c r="B2130" s="4" t="str" cm="1">
        <f t="array" ref="B2130">IFERROR(INDEX(EmployeeData[Employee ID], ROW() - 37), "")</f>
        <v/>
      </c>
      <c r="C2130" s="4" t="str" cm="1">
        <f t="array" ref="C2130">IFERROR(INDEX(EmployeeData[Full Name], ROW() - 37), "")</f>
        <v/>
      </c>
      <c r="D2130" s="4" t="str" cm="1">
        <f t="array" ref="D2130">IFERROR(INDEX(EmployeeData[Department], ROW() - 37), "")</f>
        <v/>
      </c>
      <c r="E2130" s="4" t="str" cm="1">
        <f t="array" ref="E2130">IFERROR(INDEX(EmployeeData[Gender], ROW() - 37), "")</f>
        <v/>
      </c>
      <c r="F2130" s="4" t="str" cm="1">
        <f t="array" ref="F2130">IFERROR(INDEX(EmployeeData[Age], ROW() - 37), "")</f>
        <v/>
      </c>
      <c r="G2130" s="6" t="str" cm="1">
        <f t="array" ref="G2130">IFERROR(INDEX(EmployeeData[Join Date], ROW() - 37), "")</f>
        <v/>
      </c>
      <c r="H2130" s="6" t="str" cm="1">
        <f t="array" ref="H2130">IFERROR(IF(INDEX(EmployeeData[Exit Date], ROW() - 37)=0, "",INDEX(EmployeeData[Exit Date], ROW() - 37)),"")</f>
        <v/>
      </c>
      <c r="I2130" s="4" t="str" cm="1">
        <f t="array" ref="I2130">IFERROR(IF(INDEX(EmployeeData[Exit Reason], ROW() - 37)=0, "",INDEX(EmployeeData[Exit Reason], ROW() - 37)),"")</f>
        <v/>
      </c>
      <c r="J2130" s="4" t="str" cm="1">
        <f t="array" ref="J2130">IFERROR(INDEX(EmployeeData[Status], ROW() - 37), "")</f>
        <v/>
      </c>
    </row>
    <row r="2131" spans="2:10" ht="19.95" customHeight="1" x14ac:dyDescent="0.3">
      <c r="B2131" s="4" t="str" cm="1">
        <f t="array" ref="B2131">IFERROR(INDEX(EmployeeData[Employee ID], ROW() - 37), "")</f>
        <v/>
      </c>
      <c r="C2131" s="4" t="str" cm="1">
        <f t="array" ref="C2131">IFERROR(INDEX(EmployeeData[Full Name], ROW() - 37), "")</f>
        <v/>
      </c>
      <c r="D2131" s="4" t="str" cm="1">
        <f t="array" ref="D2131">IFERROR(INDEX(EmployeeData[Department], ROW() - 37), "")</f>
        <v/>
      </c>
      <c r="E2131" s="4" t="str" cm="1">
        <f t="array" ref="E2131">IFERROR(INDEX(EmployeeData[Gender], ROW() - 37), "")</f>
        <v/>
      </c>
      <c r="F2131" s="4" t="str" cm="1">
        <f t="array" ref="F2131">IFERROR(INDEX(EmployeeData[Age], ROW() - 37), "")</f>
        <v/>
      </c>
      <c r="G2131" s="6" t="str" cm="1">
        <f t="array" ref="G2131">IFERROR(INDEX(EmployeeData[Join Date], ROW() - 37), "")</f>
        <v/>
      </c>
      <c r="H2131" s="6" t="str" cm="1">
        <f t="array" ref="H2131">IFERROR(IF(INDEX(EmployeeData[Exit Date], ROW() - 37)=0, "",INDEX(EmployeeData[Exit Date], ROW() - 37)),"")</f>
        <v/>
      </c>
      <c r="I2131" s="4" t="str" cm="1">
        <f t="array" ref="I2131">IFERROR(IF(INDEX(EmployeeData[Exit Reason], ROW() - 37)=0, "",INDEX(EmployeeData[Exit Reason], ROW() - 37)),"")</f>
        <v/>
      </c>
      <c r="J2131" s="4" t="str" cm="1">
        <f t="array" ref="J2131">IFERROR(INDEX(EmployeeData[Status], ROW() - 37), "")</f>
        <v/>
      </c>
    </row>
    <row r="2132" spans="2:10" ht="19.95" customHeight="1" x14ac:dyDescent="0.3">
      <c r="B2132" s="4" t="str" cm="1">
        <f t="array" ref="B2132">IFERROR(INDEX(EmployeeData[Employee ID], ROW() - 37), "")</f>
        <v/>
      </c>
      <c r="C2132" s="4" t="str" cm="1">
        <f t="array" ref="C2132">IFERROR(INDEX(EmployeeData[Full Name], ROW() - 37), "")</f>
        <v/>
      </c>
      <c r="D2132" s="4" t="str" cm="1">
        <f t="array" ref="D2132">IFERROR(INDEX(EmployeeData[Department], ROW() - 37), "")</f>
        <v/>
      </c>
      <c r="E2132" s="4" t="str" cm="1">
        <f t="array" ref="E2132">IFERROR(INDEX(EmployeeData[Gender], ROW() - 37), "")</f>
        <v/>
      </c>
      <c r="F2132" s="4" t="str" cm="1">
        <f t="array" ref="F2132">IFERROR(INDEX(EmployeeData[Age], ROW() - 37), "")</f>
        <v/>
      </c>
      <c r="G2132" s="6" t="str" cm="1">
        <f t="array" ref="G2132">IFERROR(INDEX(EmployeeData[Join Date], ROW() - 37), "")</f>
        <v/>
      </c>
      <c r="H2132" s="6" t="str" cm="1">
        <f t="array" ref="H2132">IFERROR(IF(INDEX(EmployeeData[Exit Date], ROW() - 37)=0, "",INDEX(EmployeeData[Exit Date], ROW() - 37)),"")</f>
        <v/>
      </c>
      <c r="I2132" s="4" t="str" cm="1">
        <f t="array" ref="I2132">IFERROR(IF(INDEX(EmployeeData[Exit Reason], ROW() - 37)=0, "",INDEX(EmployeeData[Exit Reason], ROW() - 37)),"")</f>
        <v/>
      </c>
      <c r="J2132" s="4" t="str" cm="1">
        <f t="array" ref="J2132">IFERROR(INDEX(EmployeeData[Status], ROW() - 37), "")</f>
        <v/>
      </c>
    </row>
    <row r="2133" spans="2:10" ht="19.95" customHeight="1" x14ac:dyDescent="0.3">
      <c r="B2133" s="4" t="str" cm="1">
        <f t="array" ref="B2133">IFERROR(INDEX(EmployeeData[Employee ID], ROW() - 37), "")</f>
        <v/>
      </c>
      <c r="C2133" s="4" t="str" cm="1">
        <f t="array" ref="C2133">IFERROR(INDEX(EmployeeData[Full Name], ROW() - 37), "")</f>
        <v/>
      </c>
      <c r="D2133" s="4" t="str" cm="1">
        <f t="array" ref="D2133">IFERROR(INDEX(EmployeeData[Department], ROW() - 37), "")</f>
        <v/>
      </c>
      <c r="E2133" s="4" t="str" cm="1">
        <f t="array" ref="E2133">IFERROR(INDEX(EmployeeData[Gender], ROW() - 37), "")</f>
        <v/>
      </c>
      <c r="F2133" s="4" t="str" cm="1">
        <f t="array" ref="F2133">IFERROR(INDEX(EmployeeData[Age], ROW() - 37), "")</f>
        <v/>
      </c>
      <c r="G2133" s="6" t="str" cm="1">
        <f t="array" ref="G2133">IFERROR(INDEX(EmployeeData[Join Date], ROW() - 37), "")</f>
        <v/>
      </c>
      <c r="H2133" s="6" t="str" cm="1">
        <f t="array" ref="H2133">IFERROR(IF(INDEX(EmployeeData[Exit Date], ROW() - 37)=0, "",INDEX(EmployeeData[Exit Date], ROW() - 37)),"")</f>
        <v/>
      </c>
      <c r="I2133" s="4" t="str" cm="1">
        <f t="array" ref="I2133">IFERROR(IF(INDEX(EmployeeData[Exit Reason], ROW() - 37)=0, "",INDEX(EmployeeData[Exit Reason], ROW() - 37)),"")</f>
        <v/>
      </c>
      <c r="J2133" s="4" t="str" cm="1">
        <f t="array" ref="J2133">IFERROR(INDEX(EmployeeData[Status], ROW() - 37), "")</f>
        <v/>
      </c>
    </row>
    <row r="2134" spans="2:10" ht="19.95" customHeight="1" x14ac:dyDescent="0.3">
      <c r="B2134" s="4" t="str" cm="1">
        <f t="array" ref="B2134">IFERROR(INDEX(EmployeeData[Employee ID], ROW() - 37), "")</f>
        <v/>
      </c>
      <c r="C2134" s="4" t="str" cm="1">
        <f t="array" ref="C2134">IFERROR(INDEX(EmployeeData[Full Name], ROW() - 37), "")</f>
        <v/>
      </c>
      <c r="D2134" s="4" t="str" cm="1">
        <f t="array" ref="D2134">IFERROR(INDEX(EmployeeData[Department], ROW() - 37), "")</f>
        <v/>
      </c>
      <c r="E2134" s="4" t="str" cm="1">
        <f t="array" ref="E2134">IFERROR(INDEX(EmployeeData[Gender], ROW() - 37), "")</f>
        <v/>
      </c>
      <c r="F2134" s="4" t="str" cm="1">
        <f t="array" ref="F2134">IFERROR(INDEX(EmployeeData[Age], ROW() - 37), "")</f>
        <v/>
      </c>
      <c r="G2134" s="6" t="str" cm="1">
        <f t="array" ref="G2134">IFERROR(INDEX(EmployeeData[Join Date], ROW() - 37), "")</f>
        <v/>
      </c>
      <c r="H2134" s="6" t="str" cm="1">
        <f t="array" ref="H2134">IFERROR(IF(INDEX(EmployeeData[Exit Date], ROW() - 37)=0, "",INDEX(EmployeeData[Exit Date], ROW() - 37)),"")</f>
        <v/>
      </c>
      <c r="I2134" s="4" t="str" cm="1">
        <f t="array" ref="I2134">IFERROR(IF(INDEX(EmployeeData[Exit Reason], ROW() - 37)=0, "",INDEX(EmployeeData[Exit Reason], ROW() - 37)),"")</f>
        <v/>
      </c>
      <c r="J2134" s="4" t="str" cm="1">
        <f t="array" ref="J2134">IFERROR(INDEX(EmployeeData[Status], ROW() - 37), "")</f>
        <v/>
      </c>
    </row>
    <row r="2135" spans="2:10" ht="19.95" customHeight="1" x14ac:dyDescent="0.3">
      <c r="B2135" s="4" t="str" cm="1">
        <f t="array" ref="B2135">IFERROR(INDEX(EmployeeData[Employee ID], ROW() - 37), "")</f>
        <v/>
      </c>
      <c r="C2135" s="4" t="str" cm="1">
        <f t="array" ref="C2135">IFERROR(INDEX(EmployeeData[Full Name], ROW() - 37), "")</f>
        <v/>
      </c>
      <c r="D2135" s="4" t="str" cm="1">
        <f t="array" ref="D2135">IFERROR(INDEX(EmployeeData[Department], ROW() - 37), "")</f>
        <v/>
      </c>
      <c r="E2135" s="4" t="str" cm="1">
        <f t="array" ref="E2135">IFERROR(INDEX(EmployeeData[Gender], ROW() - 37), "")</f>
        <v/>
      </c>
      <c r="F2135" s="4" t="str" cm="1">
        <f t="array" ref="F2135">IFERROR(INDEX(EmployeeData[Age], ROW() - 37), "")</f>
        <v/>
      </c>
      <c r="G2135" s="6" t="str" cm="1">
        <f t="array" ref="G2135">IFERROR(INDEX(EmployeeData[Join Date], ROW() - 37), "")</f>
        <v/>
      </c>
      <c r="H2135" s="6" t="str" cm="1">
        <f t="array" ref="H2135">IFERROR(IF(INDEX(EmployeeData[Exit Date], ROW() - 37)=0, "",INDEX(EmployeeData[Exit Date], ROW() - 37)),"")</f>
        <v/>
      </c>
      <c r="I2135" s="4" t="str" cm="1">
        <f t="array" ref="I2135">IFERROR(IF(INDEX(EmployeeData[Exit Reason], ROW() - 37)=0, "",INDEX(EmployeeData[Exit Reason], ROW() - 37)),"")</f>
        <v/>
      </c>
      <c r="J2135" s="4" t="str" cm="1">
        <f t="array" ref="J2135">IFERROR(INDEX(EmployeeData[Status], ROW() - 37), "")</f>
        <v/>
      </c>
    </row>
    <row r="2136" spans="2:10" ht="19.95" customHeight="1" x14ac:dyDescent="0.3">
      <c r="B2136" s="4" t="str" cm="1">
        <f t="array" ref="B2136">IFERROR(INDEX(EmployeeData[Employee ID], ROW() - 37), "")</f>
        <v/>
      </c>
      <c r="C2136" s="4" t="str" cm="1">
        <f t="array" ref="C2136">IFERROR(INDEX(EmployeeData[Full Name], ROW() - 37), "")</f>
        <v/>
      </c>
      <c r="D2136" s="4" t="str" cm="1">
        <f t="array" ref="D2136">IFERROR(INDEX(EmployeeData[Department], ROW() - 37), "")</f>
        <v/>
      </c>
      <c r="E2136" s="4" t="str" cm="1">
        <f t="array" ref="E2136">IFERROR(INDEX(EmployeeData[Gender], ROW() - 37), "")</f>
        <v/>
      </c>
      <c r="F2136" s="4" t="str" cm="1">
        <f t="array" ref="F2136">IFERROR(INDEX(EmployeeData[Age], ROW() - 37), "")</f>
        <v/>
      </c>
      <c r="G2136" s="6" t="str" cm="1">
        <f t="array" ref="G2136">IFERROR(INDEX(EmployeeData[Join Date], ROW() - 37), "")</f>
        <v/>
      </c>
      <c r="H2136" s="6" t="str" cm="1">
        <f t="array" ref="H2136">IFERROR(IF(INDEX(EmployeeData[Exit Date], ROW() - 37)=0, "",INDEX(EmployeeData[Exit Date], ROW() - 37)),"")</f>
        <v/>
      </c>
      <c r="I2136" s="4" t="str" cm="1">
        <f t="array" ref="I2136">IFERROR(IF(INDEX(EmployeeData[Exit Reason], ROW() - 37)=0, "",INDEX(EmployeeData[Exit Reason], ROW() - 37)),"")</f>
        <v/>
      </c>
      <c r="J2136" s="4" t="str" cm="1">
        <f t="array" ref="J2136">IFERROR(INDEX(EmployeeData[Status], ROW() - 37), "")</f>
        <v/>
      </c>
    </row>
    <row r="2137" spans="2:10" ht="19.95" customHeight="1" x14ac:dyDescent="0.3">
      <c r="B2137" s="4" t="str" cm="1">
        <f t="array" ref="B2137">IFERROR(INDEX(EmployeeData[Employee ID], ROW() - 37), "")</f>
        <v/>
      </c>
      <c r="C2137" s="4" t="str" cm="1">
        <f t="array" ref="C2137">IFERROR(INDEX(EmployeeData[Full Name], ROW() - 37), "")</f>
        <v/>
      </c>
      <c r="D2137" s="4" t="str" cm="1">
        <f t="array" ref="D2137">IFERROR(INDEX(EmployeeData[Department], ROW() - 37), "")</f>
        <v/>
      </c>
      <c r="E2137" s="4" t="str" cm="1">
        <f t="array" ref="E2137">IFERROR(INDEX(EmployeeData[Gender], ROW() - 37), "")</f>
        <v/>
      </c>
      <c r="F2137" s="4" t="str" cm="1">
        <f t="array" ref="F2137">IFERROR(INDEX(EmployeeData[Age], ROW() - 37), "")</f>
        <v/>
      </c>
      <c r="G2137" s="6" t="str" cm="1">
        <f t="array" ref="G2137">IFERROR(INDEX(EmployeeData[Join Date], ROW() - 37), "")</f>
        <v/>
      </c>
      <c r="H2137" s="6" t="str" cm="1">
        <f t="array" ref="H2137">IFERROR(IF(INDEX(EmployeeData[Exit Date], ROW() - 37)=0, "",INDEX(EmployeeData[Exit Date], ROW() - 37)),"")</f>
        <v/>
      </c>
      <c r="I2137" s="4" t="str" cm="1">
        <f t="array" ref="I2137">IFERROR(IF(INDEX(EmployeeData[Exit Reason], ROW() - 37)=0, "",INDEX(EmployeeData[Exit Reason], ROW() - 37)),"")</f>
        <v/>
      </c>
      <c r="J2137" s="4" t="str" cm="1">
        <f t="array" ref="J2137">IFERROR(INDEX(EmployeeData[Status], ROW() - 37), "")</f>
        <v/>
      </c>
    </row>
    <row r="2138" spans="2:10" ht="19.95" customHeight="1" x14ac:dyDescent="0.3">
      <c r="B2138" s="4" t="str" cm="1">
        <f t="array" ref="B2138">IFERROR(INDEX(EmployeeData[Employee ID], ROW() - 37), "")</f>
        <v/>
      </c>
      <c r="C2138" s="4" t="str" cm="1">
        <f t="array" ref="C2138">IFERROR(INDEX(EmployeeData[Full Name], ROW() - 37), "")</f>
        <v/>
      </c>
      <c r="D2138" s="4" t="str" cm="1">
        <f t="array" ref="D2138">IFERROR(INDEX(EmployeeData[Department], ROW() - 37), "")</f>
        <v/>
      </c>
      <c r="E2138" s="4" t="str" cm="1">
        <f t="array" ref="E2138">IFERROR(INDEX(EmployeeData[Gender], ROW() - 37), "")</f>
        <v/>
      </c>
      <c r="F2138" s="4" t="str" cm="1">
        <f t="array" ref="F2138">IFERROR(INDEX(EmployeeData[Age], ROW() - 37), "")</f>
        <v/>
      </c>
      <c r="G2138" s="6" t="str" cm="1">
        <f t="array" ref="G2138">IFERROR(INDEX(EmployeeData[Join Date], ROW() - 37), "")</f>
        <v/>
      </c>
      <c r="H2138" s="6" t="str" cm="1">
        <f t="array" ref="H2138">IFERROR(IF(INDEX(EmployeeData[Exit Date], ROW() - 37)=0, "",INDEX(EmployeeData[Exit Date], ROW() - 37)),"")</f>
        <v/>
      </c>
      <c r="I2138" s="4" t="str" cm="1">
        <f t="array" ref="I2138">IFERROR(IF(INDEX(EmployeeData[Exit Reason], ROW() - 37)=0, "",INDEX(EmployeeData[Exit Reason], ROW() - 37)),"")</f>
        <v/>
      </c>
      <c r="J2138" s="4" t="str" cm="1">
        <f t="array" ref="J2138">IFERROR(INDEX(EmployeeData[Status], ROW() - 37), "")</f>
        <v/>
      </c>
    </row>
    <row r="2139" spans="2:10" ht="19.95" customHeight="1" x14ac:dyDescent="0.3">
      <c r="B2139" s="4" t="str" cm="1">
        <f t="array" ref="B2139">IFERROR(INDEX(EmployeeData[Employee ID], ROW() - 37), "")</f>
        <v/>
      </c>
      <c r="C2139" s="4" t="str" cm="1">
        <f t="array" ref="C2139">IFERROR(INDEX(EmployeeData[Full Name], ROW() - 37), "")</f>
        <v/>
      </c>
      <c r="D2139" s="4" t="str" cm="1">
        <f t="array" ref="D2139">IFERROR(INDEX(EmployeeData[Department], ROW() - 37), "")</f>
        <v/>
      </c>
      <c r="E2139" s="4" t="str" cm="1">
        <f t="array" ref="E2139">IFERROR(INDEX(EmployeeData[Gender], ROW() - 37), "")</f>
        <v/>
      </c>
      <c r="F2139" s="4" t="str" cm="1">
        <f t="array" ref="F2139">IFERROR(INDEX(EmployeeData[Age], ROW() - 37), "")</f>
        <v/>
      </c>
      <c r="G2139" s="6" t="str" cm="1">
        <f t="array" ref="G2139">IFERROR(INDEX(EmployeeData[Join Date], ROW() - 37), "")</f>
        <v/>
      </c>
      <c r="H2139" s="6" t="str" cm="1">
        <f t="array" ref="H2139">IFERROR(IF(INDEX(EmployeeData[Exit Date], ROW() - 37)=0, "",INDEX(EmployeeData[Exit Date], ROW() - 37)),"")</f>
        <v/>
      </c>
      <c r="I2139" s="4" t="str" cm="1">
        <f t="array" ref="I2139">IFERROR(IF(INDEX(EmployeeData[Exit Reason], ROW() - 37)=0, "",INDEX(EmployeeData[Exit Reason], ROW() - 37)),"")</f>
        <v/>
      </c>
      <c r="J2139" s="4" t="str" cm="1">
        <f t="array" ref="J2139">IFERROR(INDEX(EmployeeData[Status], ROW() - 37), "")</f>
        <v/>
      </c>
    </row>
    <row r="2140" spans="2:10" ht="19.95" customHeight="1" x14ac:dyDescent="0.3">
      <c r="B2140" s="4" t="str" cm="1">
        <f t="array" ref="B2140">IFERROR(INDEX(EmployeeData[Employee ID], ROW() - 37), "")</f>
        <v/>
      </c>
      <c r="C2140" s="4" t="str" cm="1">
        <f t="array" ref="C2140">IFERROR(INDEX(EmployeeData[Full Name], ROW() - 37), "")</f>
        <v/>
      </c>
      <c r="D2140" s="4" t="str" cm="1">
        <f t="array" ref="D2140">IFERROR(INDEX(EmployeeData[Department], ROW() - 37), "")</f>
        <v/>
      </c>
      <c r="E2140" s="4" t="str" cm="1">
        <f t="array" ref="E2140">IFERROR(INDEX(EmployeeData[Gender], ROW() - 37), "")</f>
        <v/>
      </c>
      <c r="F2140" s="4" t="str" cm="1">
        <f t="array" ref="F2140">IFERROR(INDEX(EmployeeData[Age], ROW() - 37), "")</f>
        <v/>
      </c>
      <c r="G2140" s="6" t="str" cm="1">
        <f t="array" ref="G2140">IFERROR(INDEX(EmployeeData[Join Date], ROW() - 37), "")</f>
        <v/>
      </c>
      <c r="H2140" s="6" t="str" cm="1">
        <f t="array" ref="H2140">IFERROR(IF(INDEX(EmployeeData[Exit Date], ROW() - 37)=0, "",INDEX(EmployeeData[Exit Date], ROW() - 37)),"")</f>
        <v/>
      </c>
      <c r="I2140" s="4" t="str" cm="1">
        <f t="array" ref="I2140">IFERROR(IF(INDEX(EmployeeData[Exit Reason], ROW() - 37)=0, "",INDEX(EmployeeData[Exit Reason], ROW() - 37)),"")</f>
        <v/>
      </c>
      <c r="J2140" s="4" t="str" cm="1">
        <f t="array" ref="J2140">IFERROR(INDEX(EmployeeData[Status], ROW() - 37), "")</f>
        <v/>
      </c>
    </row>
    <row r="2141" spans="2:10" ht="19.95" customHeight="1" x14ac:dyDescent="0.3">
      <c r="B2141" s="4" t="str" cm="1">
        <f t="array" ref="B2141">IFERROR(INDEX(EmployeeData[Employee ID], ROW() - 37), "")</f>
        <v/>
      </c>
      <c r="C2141" s="4" t="str" cm="1">
        <f t="array" ref="C2141">IFERROR(INDEX(EmployeeData[Full Name], ROW() - 37), "")</f>
        <v/>
      </c>
      <c r="D2141" s="4" t="str" cm="1">
        <f t="array" ref="D2141">IFERROR(INDEX(EmployeeData[Department], ROW() - 37), "")</f>
        <v/>
      </c>
      <c r="E2141" s="4" t="str" cm="1">
        <f t="array" ref="E2141">IFERROR(INDEX(EmployeeData[Gender], ROW() - 37), "")</f>
        <v/>
      </c>
      <c r="F2141" s="4" t="str" cm="1">
        <f t="array" ref="F2141">IFERROR(INDEX(EmployeeData[Age], ROW() - 37), "")</f>
        <v/>
      </c>
      <c r="G2141" s="6" t="str" cm="1">
        <f t="array" ref="G2141">IFERROR(INDEX(EmployeeData[Join Date], ROW() - 37), "")</f>
        <v/>
      </c>
      <c r="H2141" s="6" t="str" cm="1">
        <f t="array" ref="H2141">IFERROR(IF(INDEX(EmployeeData[Exit Date], ROW() - 37)=0, "",INDEX(EmployeeData[Exit Date], ROW() - 37)),"")</f>
        <v/>
      </c>
      <c r="I2141" s="4" t="str" cm="1">
        <f t="array" ref="I2141">IFERROR(IF(INDEX(EmployeeData[Exit Reason], ROW() - 37)=0, "",INDEX(EmployeeData[Exit Reason], ROW() - 37)),"")</f>
        <v/>
      </c>
      <c r="J2141" s="4" t="str" cm="1">
        <f t="array" ref="J2141">IFERROR(INDEX(EmployeeData[Status], ROW() - 37), "")</f>
        <v/>
      </c>
    </row>
    <row r="2142" spans="2:10" ht="19.95" customHeight="1" x14ac:dyDescent="0.3">
      <c r="B2142" s="4" t="str" cm="1">
        <f t="array" ref="B2142">IFERROR(INDEX(EmployeeData[Employee ID], ROW() - 37), "")</f>
        <v/>
      </c>
      <c r="C2142" s="4" t="str" cm="1">
        <f t="array" ref="C2142">IFERROR(INDEX(EmployeeData[Full Name], ROW() - 37), "")</f>
        <v/>
      </c>
      <c r="D2142" s="4" t="str" cm="1">
        <f t="array" ref="D2142">IFERROR(INDEX(EmployeeData[Department], ROW() - 37), "")</f>
        <v/>
      </c>
      <c r="E2142" s="4" t="str" cm="1">
        <f t="array" ref="E2142">IFERROR(INDEX(EmployeeData[Gender], ROW() - 37), "")</f>
        <v/>
      </c>
      <c r="F2142" s="4" t="str" cm="1">
        <f t="array" ref="F2142">IFERROR(INDEX(EmployeeData[Age], ROW() - 37), "")</f>
        <v/>
      </c>
      <c r="G2142" s="6" t="str" cm="1">
        <f t="array" ref="G2142">IFERROR(INDEX(EmployeeData[Join Date], ROW() - 37), "")</f>
        <v/>
      </c>
      <c r="H2142" s="6" t="str" cm="1">
        <f t="array" ref="H2142">IFERROR(IF(INDEX(EmployeeData[Exit Date], ROW() - 37)=0, "",INDEX(EmployeeData[Exit Date], ROW() - 37)),"")</f>
        <v/>
      </c>
      <c r="I2142" s="4" t="str" cm="1">
        <f t="array" ref="I2142">IFERROR(IF(INDEX(EmployeeData[Exit Reason], ROW() - 37)=0, "",INDEX(EmployeeData[Exit Reason], ROW() - 37)),"")</f>
        <v/>
      </c>
      <c r="J2142" s="4" t="str" cm="1">
        <f t="array" ref="J2142">IFERROR(INDEX(EmployeeData[Status], ROW() - 37), "")</f>
        <v/>
      </c>
    </row>
    <row r="2143" spans="2:10" ht="19.95" customHeight="1" x14ac:dyDescent="0.3">
      <c r="B2143" s="4" t="str" cm="1">
        <f t="array" ref="B2143">IFERROR(INDEX(EmployeeData[Employee ID], ROW() - 37), "")</f>
        <v/>
      </c>
      <c r="C2143" s="4" t="str" cm="1">
        <f t="array" ref="C2143">IFERROR(INDEX(EmployeeData[Full Name], ROW() - 37), "")</f>
        <v/>
      </c>
      <c r="D2143" s="4" t="str" cm="1">
        <f t="array" ref="D2143">IFERROR(INDEX(EmployeeData[Department], ROW() - 37), "")</f>
        <v/>
      </c>
      <c r="E2143" s="4" t="str" cm="1">
        <f t="array" ref="E2143">IFERROR(INDEX(EmployeeData[Gender], ROW() - 37), "")</f>
        <v/>
      </c>
      <c r="F2143" s="4" t="str" cm="1">
        <f t="array" ref="F2143">IFERROR(INDEX(EmployeeData[Age], ROW() - 37), "")</f>
        <v/>
      </c>
      <c r="G2143" s="6" t="str" cm="1">
        <f t="array" ref="G2143">IFERROR(INDEX(EmployeeData[Join Date], ROW() - 37), "")</f>
        <v/>
      </c>
      <c r="H2143" s="6" t="str" cm="1">
        <f t="array" ref="H2143">IFERROR(IF(INDEX(EmployeeData[Exit Date], ROW() - 37)=0, "",INDEX(EmployeeData[Exit Date], ROW() - 37)),"")</f>
        <v/>
      </c>
      <c r="I2143" s="4" t="str" cm="1">
        <f t="array" ref="I2143">IFERROR(IF(INDEX(EmployeeData[Exit Reason], ROW() - 37)=0, "",INDEX(EmployeeData[Exit Reason], ROW() - 37)),"")</f>
        <v/>
      </c>
      <c r="J2143" s="4" t="str" cm="1">
        <f t="array" ref="J2143">IFERROR(INDEX(EmployeeData[Status], ROW() - 37), "")</f>
        <v/>
      </c>
    </row>
    <row r="2144" spans="2:10" ht="19.95" customHeight="1" x14ac:dyDescent="0.3">
      <c r="B2144" s="4" t="str" cm="1">
        <f t="array" ref="B2144">IFERROR(INDEX(EmployeeData[Employee ID], ROW() - 37), "")</f>
        <v/>
      </c>
      <c r="C2144" s="4" t="str" cm="1">
        <f t="array" ref="C2144">IFERROR(INDEX(EmployeeData[Full Name], ROW() - 37), "")</f>
        <v/>
      </c>
      <c r="D2144" s="4" t="str" cm="1">
        <f t="array" ref="D2144">IFERROR(INDEX(EmployeeData[Department], ROW() - 37), "")</f>
        <v/>
      </c>
      <c r="E2144" s="4" t="str" cm="1">
        <f t="array" ref="E2144">IFERROR(INDEX(EmployeeData[Gender], ROW() - 37), "")</f>
        <v/>
      </c>
      <c r="F2144" s="4" t="str" cm="1">
        <f t="array" ref="F2144">IFERROR(INDEX(EmployeeData[Age], ROW() - 37), "")</f>
        <v/>
      </c>
      <c r="G2144" s="6" t="str" cm="1">
        <f t="array" ref="G2144">IFERROR(INDEX(EmployeeData[Join Date], ROW() - 37), "")</f>
        <v/>
      </c>
      <c r="H2144" s="6" t="str" cm="1">
        <f t="array" ref="H2144">IFERROR(IF(INDEX(EmployeeData[Exit Date], ROW() - 37)=0, "",INDEX(EmployeeData[Exit Date], ROW() - 37)),"")</f>
        <v/>
      </c>
      <c r="I2144" s="4" t="str" cm="1">
        <f t="array" ref="I2144">IFERROR(IF(INDEX(EmployeeData[Exit Reason], ROW() - 37)=0, "",INDEX(EmployeeData[Exit Reason], ROW() - 37)),"")</f>
        <v/>
      </c>
      <c r="J2144" s="4" t="str" cm="1">
        <f t="array" ref="J2144">IFERROR(INDEX(EmployeeData[Status], ROW() - 37), "")</f>
        <v/>
      </c>
    </row>
    <row r="2145" spans="2:10" ht="19.95" customHeight="1" x14ac:dyDescent="0.3">
      <c r="B2145" s="4" t="str" cm="1">
        <f t="array" ref="B2145">IFERROR(INDEX(EmployeeData[Employee ID], ROW() - 37), "")</f>
        <v/>
      </c>
      <c r="C2145" s="4" t="str" cm="1">
        <f t="array" ref="C2145">IFERROR(INDEX(EmployeeData[Full Name], ROW() - 37), "")</f>
        <v/>
      </c>
      <c r="D2145" s="4" t="str" cm="1">
        <f t="array" ref="D2145">IFERROR(INDEX(EmployeeData[Department], ROW() - 37), "")</f>
        <v/>
      </c>
      <c r="E2145" s="4" t="str" cm="1">
        <f t="array" ref="E2145">IFERROR(INDEX(EmployeeData[Gender], ROW() - 37), "")</f>
        <v/>
      </c>
      <c r="F2145" s="4" t="str" cm="1">
        <f t="array" ref="F2145">IFERROR(INDEX(EmployeeData[Age], ROW() - 37), "")</f>
        <v/>
      </c>
      <c r="G2145" s="6" t="str" cm="1">
        <f t="array" ref="G2145">IFERROR(INDEX(EmployeeData[Join Date], ROW() - 37), "")</f>
        <v/>
      </c>
      <c r="H2145" s="6" t="str" cm="1">
        <f t="array" ref="H2145">IFERROR(IF(INDEX(EmployeeData[Exit Date], ROW() - 37)=0, "",INDEX(EmployeeData[Exit Date], ROW() - 37)),"")</f>
        <v/>
      </c>
      <c r="I2145" s="4" t="str" cm="1">
        <f t="array" ref="I2145">IFERROR(IF(INDEX(EmployeeData[Exit Reason], ROW() - 37)=0, "",INDEX(EmployeeData[Exit Reason], ROW() - 37)),"")</f>
        <v/>
      </c>
      <c r="J2145" s="4" t="str" cm="1">
        <f t="array" ref="J2145">IFERROR(INDEX(EmployeeData[Status], ROW() - 37), "")</f>
        <v/>
      </c>
    </row>
    <row r="2146" spans="2:10" ht="19.95" customHeight="1" x14ac:dyDescent="0.3">
      <c r="B2146" s="4" t="str" cm="1">
        <f t="array" ref="B2146">IFERROR(INDEX(EmployeeData[Employee ID], ROW() - 37), "")</f>
        <v/>
      </c>
      <c r="C2146" s="4" t="str" cm="1">
        <f t="array" ref="C2146">IFERROR(INDEX(EmployeeData[Full Name], ROW() - 37), "")</f>
        <v/>
      </c>
      <c r="D2146" s="4" t="str" cm="1">
        <f t="array" ref="D2146">IFERROR(INDEX(EmployeeData[Department], ROW() - 37), "")</f>
        <v/>
      </c>
      <c r="E2146" s="4" t="str" cm="1">
        <f t="array" ref="E2146">IFERROR(INDEX(EmployeeData[Gender], ROW() - 37), "")</f>
        <v/>
      </c>
      <c r="F2146" s="4" t="str" cm="1">
        <f t="array" ref="F2146">IFERROR(INDEX(EmployeeData[Age], ROW() - 37), "")</f>
        <v/>
      </c>
      <c r="G2146" s="6" t="str" cm="1">
        <f t="array" ref="G2146">IFERROR(INDEX(EmployeeData[Join Date], ROW() - 37), "")</f>
        <v/>
      </c>
      <c r="H2146" s="6" t="str" cm="1">
        <f t="array" ref="H2146">IFERROR(IF(INDEX(EmployeeData[Exit Date], ROW() - 37)=0, "",INDEX(EmployeeData[Exit Date], ROW() - 37)),"")</f>
        <v/>
      </c>
      <c r="I2146" s="4" t="str" cm="1">
        <f t="array" ref="I2146">IFERROR(IF(INDEX(EmployeeData[Exit Reason], ROW() - 37)=0, "",INDEX(EmployeeData[Exit Reason], ROW() - 37)),"")</f>
        <v/>
      </c>
      <c r="J2146" s="4" t="str" cm="1">
        <f t="array" ref="J2146">IFERROR(INDEX(EmployeeData[Status], ROW() - 37), "")</f>
        <v/>
      </c>
    </row>
    <row r="2147" spans="2:10" ht="19.95" customHeight="1" x14ac:dyDescent="0.3">
      <c r="B2147" s="4" t="str" cm="1">
        <f t="array" ref="B2147">IFERROR(INDEX(EmployeeData[Employee ID], ROW() - 37), "")</f>
        <v/>
      </c>
      <c r="C2147" s="4" t="str" cm="1">
        <f t="array" ref="C2147">IFERROR(INDEX(EmployeeData[Full Name], ROW() - 37), "")</f>
        <v/>
      </c>
      <c r="D2147" s="4" t="str" cm="1">
        <f t="array" ref="D2147">IFERROR(INDEX(EmployeeData[Department], ROW() - 37), "")</f>
        <v/>
      </c>
      <c r="E2147" s="4" t="str" cm="1">
        <f t="array" ref="E2147">IFERROR(INDEX(EmployeeData[Gender], ROW() - 37), "")</f>
        <v/>
      </c>
      <c r="F2147" s="4" t="str" cm="1">
        <f t="array" ref="F2147">IFERROR(INDEX(EmployeeData[Age], ROW() - 37), "")</f>
        <v/>
      </c>
      <c r="G2147" s="6" t="str" cm="1">
        <f t="array" ref="G2147">IFERROR(INDEX(EmployeeData[Join Date], ROW() - 37), "")</f>
        <v/>
      </c>
      <c r="H2147" s="6" t="str" cm="1">
        <f t="array" ref="H2147">IFERROR(IF(INDEX(EmployeeData[Exit Date], ROW() - 37)=0, "",INDEX(EmployeeData[Exit Date], ROW() - 37)),"")</f>
        <v/>
      </c>
      <c r="I2147" s="4" t="str" cm="1">
        <f t="array" ref="I2147">IFERROR(IF(INDEX(EmployeeData[Exit Reason], ROW() - 37)=0, "",INDEX(EmployeeData[Exit Reason], ROW() - 37)),"")</f>
        <v/>
      </c>
      <c r="J2147" s="4" t="str" cm="1">
        <f t="array" ref="J2147">IFERROR(INDEX(EmployeeData[Status], ROW() - 37), "")</f>
        <v/>
      </c>
    </row>
    <row r="2148" spans="2:10" ht="19.95" customHeight="1" x14ac:dyDescent="0.3">
      <c r="B2148" s="4" t="str" cm="1">
        <f t="array" ref="B2148">IFERROR(INDEX(EmployeeData[Employee ID], ROW() - 37), "")</f>
        <v/>
      </c>
      <c r="C2148" s="4" t="str" cm="1">
        <f t="array" ref="C2148">IFERROR(INDEX(EmployeeData[Full Name], ROW() - 37), "")</f>
        <v/>
      </c>
      <c r="D2148" s="4" t="str" cm="1">
        <f t="array" ref="D2148">IFERROR(INDEX(EmployeeData[Department], ROW() - 37), "")</f>
        <v/>
      </c>
      <c r="E2148" s="4" t="str" cm="1">
        <f t="array" ref="E2148">IFERROR(INDEX(EmployeeData[Gender], ROW() - 37), "")</f>
        <v/>
      </c>
      <c r="F2148" s="4" t="str" cm="1">
        <f t="array" ref="F2148">IFERROR(INDEX(EmployeeData[Age], ROW() - 37), "")</f>
        <v/>
      </c>
      <c r="G2148" s="6" t="str" cm="1">
        <f t="array" ref="G2148">IFERROR(INDEX(EmployeeData[Join Date], ROW() - 37), "")</f>
        <v/>
      </c>
      <c r="H2148" s="6" t="str" cm="1">
        <f t="array" ref="H2148">IFERROR(IF(INDEX(EmployeeData[Exit Date], ROW() - 37)=0, "",INDEX(EmployeeData[Exit Date], ROW() - 37)),"")</f>
        <v/>
      </c>
      <c r="I2148" s="4" t="str" cm="1">
        <f t="array" ref="I2148">IFERROR(IF(INDEX(EmployeeData[Exit Reason], ROW() - 37)=0, "",INDEX(EmployeeData[Exit Reason], ROW() - 37)),"")</f>
        <v/>
      </c>
      <c r="J2148" s="4" t="str" cm="1">
        <f t="array" ref="J2148">IFERROR(INDEX(EmployeeData[Status], ROW() - 37), "")</f>
        <v/>
      </c>
    </row>
    <row r="2149" spans="2:10" ht="19.95" customHeight="1" x14ac:dyDescent="0.3">
      <c r="B2149" s="4" t="str" cm="1">
        <f t="array" ref="B2149">IFERROR(INDEX(EmployeeData[Employee ID], ROW() - 37), "")</f>
        <v/>
      </c>
      <c r="C2149" s="4" t="str" cm="1">
        <f t="array" ref="C2149">IFERROR(INDEX(EmployeeData[Full Name], ROW() - 37), "")</f>
        <v/>
      </c>
      <c r="D2149" s="4" t="str" cm="1">
        <f t="array" ref="D2149">IFERROR(INDEX(EmployeeData[Department], ROW() - 37), "")</f>
        <v/>
      </c>
      <c r="E2149" s="4" t="str" cm="1">
        <f t="array" ref="E2149">IFERROR(INDEX(EmployeeData[Gender], ROW() - 37), "")</f>
        <v/>
      </c>
      <c r="F2149" s="4" t="str" cm="1">
        <f t="array" ref="F2149">IFERROR(INDEX(EmployeeData[Age], ROW() - 37), "")</f>
        <v/>
      </c>
      <c r="G2149" s="6" t="str" cm="1">
        <f t="array" ref="G2149">IFERROR(INDEX(EmployeeData[Join Date], ROW() - 37), "")</f>
        <v/>
      </c>
      <c r="H2149" s="6" t="str" cm="1">
        <f t="array" ref="H2149">IFERROR(IF(INDEX(EmployeeData[Exit Date], ROW() - 37)=0, "",INDEX(EmployeeData[Exit Date], ROW() - 37)),"")</f>
        <v/>
      </c>
      <c r="I2149" s="4" t="str" cm="1">
        <f t="array" ref="I2149">IFERROR(IF(INDEX(EmployeeData[Exit Reason], ROW() - 37)=0, "",INDEX(EmployeeData[Exit Reason], ROW() - 37)),"")</f>
        <v/>
      </c>
      <c r="J2149" s="4" t="str" cm="1">
        <f t="array" ref="J2149">IFERROR(INDEX(EmployeeData[Status], ROW() - 37), "")</f>
        <v/>
      </c>
    </row>
    <row r="2150" spans="2:10" ht="19.95" customHeight="1" x14ac:dyDescent="0.3">
      <c r="B2150" s="4" t="str" cm="1">
        <f t="array" ref="B2150">IFERROR(INDEX(EmployeeData[Employee ID], ROW() - 37), "")</f>
        <v/>
      </c>
      <c r="C2150" s="4" t="str" cm="1">
        <f t="array" ref="C2150">IFERROR(INDEX(EmployeeData[Full Name], ROW() - 37), "")</f>
        <v/>
      </c>
      <c r="D2150" s="4" t="str" cm="1">
        <f t="array" ref="D2150">IFERROR(INDEX(EmployeeData[Department], ROW() - 37), "")</f>
        <v/>
      </c>
      <c r="E2150" s="4" t="str" cm="1">
        <f t="array" ref="E2150">IFERROR(INDEX(EmployeeData[Gender], ROW() - 37), "")</f>
        <v/>
      </c>
      <c r="F2150" s="4" t="str" cm="1">
        <f t="array" ref="F2150">IFERROR(INDEX(EmployeeData[Age], ROW() - 37), "")</f>
        <v/>
      </c>
      <c r="G2150" s="6" t="str" cm="1">
        <f t="array" ref="G2150">IFERROR(INDEX(EmployeeData[Join Date], ROW() - 37), "")</f>
        <v/>
      </c>
      <c r="H2150" s="6" t="str" cm="1">
        <f t="array" ref="H2150">IFERROR(IF(INDEX(EmployeeData[Exit Date], ROW() - 37)=0, "",INDEX(EmployeeData[Exit Date], ROW() - 37)),"")</f>
        <v/>
      </c>
      <c r="I2150" s="4" t="str" cm="1">
        <f t="array" ref="I2150">IFERROR(IF(INDEX(EmployeeData[Exit Reason], ROW() - 37)=0, "",INDEX(EmployeeData[Exit Reason], ROW() - 37)),"")</f>
        <v/>
      </c>
      <c r="J2150" s="4" t="str" cm="1">
        <f t="array" ref="J2150">IFERROR(INDEX(EmployeeData[Status], ROW() - 37), "")</f>
        <v/>
      </c>
    </row>
    <row r="2151" spans="2:10" ht="19.95" customHeight="1" x14ac:dyDescent="0.3">
      <c r="B2151" s="4" t="str" cm="1">
        <f t="array" ref="B2151">IFERROR(INDEX(EmployeeData[Employee ID], ROW() - 37), "")</f>
        <v/>
      </c>
      <c r="C2151" s="4" t="str" cm="1">
        <f t="array" ref="C2151">IFERROR(INDEX(EmployeeData[Full Name], ROW() - 37), "")</f>
        <v/>
      </c>
      <c r="D2151" s="4" t="str" cm="1">
        <f t="array" ref="D2151">IFERROR(INDEX(EmployeeData[Department], ROW() - 37), "")</f>
        <v/>
      </c>
      <c r="E2151" s="4" t="str" cm="1">
        <f t="array" ref="E2151">IFERROR(INDEX(EmployeeData[Gender], ROW() - 37), "")</f>
        <v/>
      </c>
      <c r="F2151" s="4" t="str" cm="1">
        <f t="array" ref="F2151">IFERROR(INDEX(EmployeeData[Age], ROW() - 37), "")</f>
        <v/>
      </c>
      <c r="G2151" s="6" t="str" cm="1">
        <f t="array" ref="G2151">IFERROR(INDEX(EmployeeData[Join Date], ROW() - 37), "")</f>
        <v/>
      </c>
      <c r="H2151" s="6" t="str" cm="1">
        <f t="array" ref="H2151">IFERROR(IF(INDEX(EmployeeData[Exit Date], ROW() - 37)=0, "",INDEX(EmployeeData[Exit Date], ROW() - 37)),"")</f>
        <v/>
      </c>
      <c r="I2151" s="4" t="str" cm="1">
        <f t="array" ref="I2151">IFERROR(IF(INDEX(EmployeeData[Exit Reason], ROW() - 37)=0, "",INDEX(EmployeeData[Exit Reason], ROW() - 37)),"")</f>
        <v/>
      </c>
      <c r="J2151" s="4" t="str" cm="1">
        <f t="array" ref="J2151">IFERROR(INDEX(EmployeeData[Status], ROW() - 37), "")</f>
        <v/>
      </c>
    </row>
    <row r="2152" spans="2:10" ht="19.95" customHeight="1" x14ac:dyDescent="0.3">
      <c r="B2152" s="4" t="str" cm="1">
        <f t="array" ref="B2152">IFERROR(INDEX(EmployeeData[Employee ID], ROW() - 37), "")</f>
        <v/>
      </c>
      <c r="C2152" s="4" t="str" cm="1">
        <f t="array" ref="C2152">IFERROR(INDEX(EmployeeData[Full Name], ROW() - 37), "")</f>
        <v/>
      </c>
      <c r="D2152" s="4" t="str" cm="1">
        <f t="array" ref="D2152">IFERROR(INDEX(EmployeeData[Department], ROW() - 37), "")</f>
        <v/>
      </c>
      <c r="E2152" s="4" t="str" cm="1">
        <f t="array" ref="E2152">IFERROR(INDEX(EmployeeData[Gender], ROW() - 37), "")</f>
        <v/>
      </c>
      <c r="F2152" s="4" t="str" cm="1">
        <f t="array" ref="F2152">IFERROR(INDEX(EmployeeData[Age], ROW() - 37), "")</f>
        <v/>
      </c>
      <c r="G2152" s="6" t="str" cm="1">
        <f t="array" ref="G2152">IFERROR(INDEX(EmployeeData[Join Date], ROW() - 37), "")</f>
        <v/>
      </c>
      <c r="H2152" s="6" t="str" cm="1">
        <f t="array" ref="H2152">IFERROR(IF(INDEX(EmployeeData[Exit Date], ROW() - 37)=0, "",INDEX(EmployeeData[Exit Date], ROW() - 37)),"")</f>
        <v/>
      </c>
      <c r="I2152" s="4" t="str" cm="1">
        <f t="array" ref="I2152">IFERROR(IF(INDEX(EmployeeData[Exit Reason], ROW() - 37)=0, "",INDEX(EmployeeData[Exit Reason], ROW() - 37)),"")</f>
        <v/>
      </c>
      <c r="J2152" s="4" t="str" cm="1">
        <f t="array" ref="J2152">IFERROR(INDEX(EmployeeData[Status], ROW() - 37), "")</f>
        <v/>
      </c>
    </row>
    <row r="2153" spans="2:10" ht="19.95" customHeight="1" x14ac:dyDescent="0.3">
      <c r="B2153" s="4" t="str" cm="1">
        <f t="array" ref="B2153">IFERROR(INDEX(EmployeeData[Employee ID], ROW() - 37), "")</f>
        <v/>
      </c>
      <c r="C2153" s="4" t="str" cm="1">
        <f t="array" ref="C2153">IFERROR(INDEX(EmployeeData[Full Name], ROW() - 37), "")</f>
        <v/>
      </c>
      <c r="D2153" s="4" t="str" cm="1">
        <f t="array" ref="D2153">IFERROR(INDEX(EmployeeData[Department], ROW() - 37), "")</f>
        <v/>
      </c>
      <c r="E2153" s="4" t="str" cm="1">
        <f t="array" ref="E2153">IFERROR(INDEX(EmployeeData[Gender], ROW() - 37), "")</f>
        <v/>
      </c>
      <c r="F2153" s="4" t="str" cm="1">
        <f t="array" ref="F2153">IFERROR(INDEX(EmployeeData[Age], ROW() - 37), "")</f>
        <v/>
      </c>
      <c r="G2153" s="6" t="str" cm="1">
        <f t="array" ref="G2153">IFERROR(INDEX(EmployeeData[Join Date], ROW() - 37), "")</f>
        <v/>
      </c>
      <c r="H2153" s="6" t="str" cm="1">
        <f t="array" ref="H2153">IFERROR(IF(INDEX(EmployeeData[Exit Date], ROW() - 37)=0, "",INDEX(EmployeeData[Exit Date], ROW() - 37)),"")</f>
        <v/>
      </c>
      <c r="I2153" s="4" t="str" cm="1">
        <f t="array" ref="I2153">IFERROR(IF(INDEX(EmployeeData[Exit Reason], ROW() - 37)=0, "",INDEX(EmployeeData[Exit Reason], ROW() - 37)),"")</f>
        <v/>
      </c>
      <c r="J2153" s="4" t="str" cm="1">
        <f t="array" ref="J2153">IFERROR(INDEX(EmployeeData[Status], ROW() - 37), "")</f>
        <v/>
      </c>
    </row>
    <row r="2154" spans="2:10" ht="19.95" customHeight="1" x14ac:dyDescent="0.3">
      <c r="B2154" s="4" t="str" cm="1">
        <f t="array" ref="B2154">IFERROR(INDEX(EmployeeData[Employee ID], ROW() - 37), "")</f>
        <v/>
      </c>
      <c r="C2154" s="4" t="str" cm="1">
        <f t="array" ref="C2154">IFERROR(INDEX(EmployeeData[Full Name], ROW() - 37), "")</f>
        <v/>
      </c>
      <c r="D2154" s="4" t="str" cm="1">
        <f t="array" ref="D2154">IFERROR(INDEX(EmployeeData[Department], ROW() - 37), "")</f>
        <v/>
      </c>
      <c r="E2154" s="4" t="str" cm="1">
        <f t="array" ref="E2154">IFERROR(INDEX(EmployeeData[Gender], ROW() - 37), "")</f>
        <v/>
      </c>
      <c r="F2154" s="4" t="str" cm="1">
        <f t="array" ref="F2154">IFERROR(INDEX(EmployeeData[Age], ROW() - 37), "")</f>
        <v/>
      </c>
      <c r="G2154" s="6" t="str" cm="1">
        <f t="array" ref="G2154">IFERROR(INDEX(EmployeeData[Join Date], ROW() - 37), "")</f>
        <v/>
      </c>
      <c r="H2154" s="6" t="str" cm="1">
        <f t="array" ref="H2154">IFERROR(IF(INDEX(EmployeeData[Exit Date], ROW() - 37)=0, "",INDEX(EmployeeData[Exit Date], ROW() - 37)),"")</f>
        <v/>
      </c>
      <c r="I2154" s="4" t="str" cm="1">
        <f t="array" ref="I2154">IFERROR(IF(INDEX(EmployeeData[Exit Reason], ROW() - 37)=0, "",INDEX(EmployeeData[Exit Reason], ROW() - 37)),"")</f>
        <v/>
      </c>
      <c r="J2154" s="4" t="str" cm="1">
        <f t="array" ref="J2154">IFERROR(INDEX(EmployeeData[Status], ROW() - 37), "")</f>
        <v/>
      </c>
    </row>
    <row r="2155" spans="2:10" ht="19.95" customHeight="1" x14ac:dyDescent="0.3">
      <c r="B2155" s="4" t="str" cm="1">
        <f t="array" ref="B2155">IFERROR(INDEX(EmployeeData[Employee ID], ROW() - 37), "")</f>
        <v/>
      </c>
      <c r="C2155" s="4" t="str" cm="1">
        <f t="array" ref="C2155">IFERROR(INDEX(EmployeeData[Full Name], ROW() - 37), "")</f>
        <v/>
      </c>
      <c r="D2155" s="4" t="str" cm="1">
        <f t="array" ref="D2155">IFERROR(INDEX(EmployeeData[Department], ROW() - 37), "")</f>
        <v/>
      </c>
      <c r="E2155" s="4" t="str" cm="1">
        <f t="array" ref="E2155">IFERROR(INDEX(EmployeeData[Gender], ROW() - 37), "")</f>
        <v/>
      </c>
      <c r="F2155" s="4" t="str" cm="1">
        <f t="array" ref="F2155">IFERROR(INDEX(EmployeeData[Age], ROW() - 37), "")</f>
        <v/>
      </c>
      <c r="G2155" s="6" t="str" cm="1">
        <f t="array" ref="G2155">IFERROR(INDEX(EmployeeData[Join Date], ROW() - 37), "")</f>
        <v/>
      </c>
      <c r="H2155" s="6" t="str" cm="1">
        <f t="array" ref="H2155">IFERROR(IF(INDEX(EmployeeData[Exit Date], ROW() - 37)=0, "",INDEX(EmployeeData[Exit Date], ROW() - 37)),"")</f>
        <v/>
      </c>
      <c r="I2155" s="4" t="str" cm="1">
        <f t="array" ref="I2155">IFERROR(IF(INDEX(EmployeeData[Exit Reason], ROW() - 37)=0, "",INDEX(EmployeeData[Exit Reason], ROW() - 37)),"")</f>
        <v/>
      </c>
      <c r="J2155" s="4" t="str" cm="1">
        <f t="array" ref="J2155">IFERROR(INDEX(EmployeeData[Status], ROW() - 37), "")</f>
        <v/>
      </c>
    </row>
    <row r="2156" spans="2:10" ht="19.95" customHeight="1" x14ac:dyDescent="0.3">
      <c r="B2156" s="4" t="str" cm="1">
        <f t="array" ref="B2156">IFERROR(INDEX(EmployeeData[Employee ID], ROW() - 37), "")</f>
        <v/>
      </c>
      <c r="C2156" s="4" t="str" cm="1">
        <f t="array" ref="C2156">IFERROR(INDEX(EmployeeData[Full Name], ROW() - 37), "")</f>
        <v/>
      </c>
      <c r="D2156" s="4" t="str" cm="1">
        <f t="array" ref="D2156">IFERROR(INDEX(EmployeeData[Department], ROW() - 37), "")</f>
        <v/>
      </c>
      <c r="E2156" s="4" t="str" cm="1">
        <f t="array" ref="E2156">IFERROR(INDEX(EmployeeData[Gender], ROW() - 37), "")</f>
        <v/>
      </c>
      <c r="F2156" s="4" t="str" cm="1">
        <f t="array" ref="F2156">IFERROR(INDEX(EmployeeData[Age], ROW() - 37), "")</f>
        <v/>
      </c>
      <c r="G2156" s="6" t="str" cm="1">
        <f t="array" ref="G2156">IFERROR(INDEX(EmployeeData[Join Date], ROW() - 37), "")</f>
        <v/>
      </c>
      <c r="H2156" s="6" t="str" cm="1">
        <f t="array" ref="H2156">IFERROR(IF(INDEX(EmployeeData[Exit Date], ROW() - 37)=0, "",INDEX(EmployeeData[Exit Date], ROW() - 37)),"")</f>
        <v/>
      </c>
      <c r="I2156" s="4" t="str" cm="1">
        <f t="array" ref="I2156">IFERROR(IF(INDEX(EmployeeData[Exit Reason], ROW() - 37)=0, "",INDEX(EmployeeData[Exit Reason], ROW() - 37)),"")</f>
        <v/>
      </c>
      <c r="J2156" s="4" t="str" cm="1">
        <f t="array" ref="J2156">IFERROR(INDEX(EmployeeData[Status], ROW() - 37), "")</f>
        <v/>
      </c>
    </row>
    <row r="2157" spans="2:10" ht="19.95" customHeight="1" x14ac:dyDescent="0.3">
      <c r="B2157" s="4" t="str" cm="1">
        <f t="array" ref="B2157">IFERROR(INDEX(EmployeeData[Employee ID], ROW() - 37), "")</f>
        <v/>
      </c>
      <c r="C2157" s="4" t="str" cm="1">
        <f t="array" ref="C2157">IFERROR(INDEX(EmployeeData[Full Name], ROW() - 37), "")</f>
        <v/>
      </c>
      <c r="D2157" s="4" t="str" cm="1">
        <f t="array" ref="D2157">IFERROR(INDEX(EmployeeData[Department], ROW() - 37), "")</f>
        <v/>
      </c>
      <c r="E2157" s="4" t="str" cm="1">
        <f t="array" ref="E2157">IFERROR(INDEX(EmployeeData[Gender], ROW() - 37), "")</f>
        <v/>
      </c>
      <c r="F2157" s="4" t="str" cm="1">
        <f t="array" ref="F2157">IFERROR(INDEX(EmployeeData[Age], ROW() - 37), "")</f>
        <v/>
      </c>
      <c r="G2157" s="6" t="str" cm="1">
        <f t="array" ref="G2157">IFERROR(INDEX(EmployeeData[Join Date], ROW() - 37), "")</f>
        <v/>
      </c>
      <c r="H2157" s="6" t="str" cm="1">
        <f t="array" ref="H2157">IFERROR(IF(INDEX(EmployeeData[Exit Date], ROW() - 37)=0, "",INDEX(EmployeeData[Exit Date], ROW() - 37)),"")</f>
        <v/>
      </c>
      <c r="I2157" s="4" t="str" cm="1">
        <f t="array" ref="I2157">IFERROR(IF(INDEX(EmployeeData[Exit Reason], ROW() - 37)=0, "",INDEX(EmployeeData[Exit Reason], ROW() - 37)),"")</f>
        <v/>
      </c>
      <c r="J2157" s="4" t="str" cm="1">
        <f t="array" ref="J2157">IFERROR(INDEX(EmployeeData[Status], ROW() - 37), "")</f>
        <v/>
      </c>
    </row>
    <row r="2158" spans="2:10" ht="19.95" customHeight="1" x14ac:dyDescent="0.3">
      <c r="B2158" s="4" t="str" cm="1">
        <f t="array" ref="B2158">IFERROR(INDEX(EmployeeData[Employee ID], ROW() - 37), "")</f>
        <v/>
      </c>
      <c r="C2158" s="4" t="str" cm="1">
        <f t="array" ref="C2158">IFERROR(INDEX(EmployeeData[Full Name], ROW() - 37), "")</f>
        <v/>
      </c>
      <c r="D2158" s="4" t="str" cm="1">
        <f t="array" ref="D2158">IFERROR(INDEX(EmployeeData[Department], ROW() - 37), "")</f>
        <v/>
      </c>
      <c r="E2158" s="4" t="str" cm="1">
        <f t="array" ref="E2158">IFERROR(INDEX(EmployeeData[Gender], ROW() - 37), "")</f>
        <v/>
      </c>
      <c r="F2158" s="4" t="str" cm="1">
        <f t="array" ref="F2158">IFERROR(INDEX(EmployeeData[Age], ROW() - 37), "")</f>
        <v/>
      </c>
      <c r="G2158" s="6" t="str" cm="1">
        <f t="array" ref="G2158">IFERROR(INDEX(EmployeeData[Join Date], ROW() - 37), "")</f>
        <v/>
      </c>
      <c r="H2158" s="6" t="str" cm="1">
        <f t="array" ref="H2158">IFERROR(IF(INDEX(EmployeeData[Exit Date], ROW() - 37)=0, "",INDEX(EmployeeData[Exit Date], ROW() - 37)),"")</f>
        <v/>
      </c>
      <c r="I2158" s="4" t="str" cm="1">
        <f t="array" ref="I2158">IFERROR(IF(INDEX(EmployeeData[Exit Reason], ROW() - 37)=0, "",INDEX(EmployeeData[Exit Reason], ROW() - 37)),"")</f>
        <v/>
      </c>
      <c r="J2158" s="4" t="str" cm="1">
        <f t="array" ref="J2158">IFERROR(INDEX(EmployeeData[Status], ROW() - 37), "")</f>
        <v/>
      </c>
    </row>
    <row r="2159" spans="2:10" ht="19.95" customHeight="1" x14ac:dyDescent="0.3">
      <c r="B2159" s="4" t="str" cm="1">
        <f t="array" ref="B2159">IFERROR(INDEX(EmployeeData[Employee ID], ROW() - 37), "")</f>
        <v/>
      </c>
      <c r="C2159" s="4" t="str" cm="1">
        <f t="array" ref="C2159">IFERROR(INDEX(EmployeeData[Full Name], ROW() - 37), "")</f>
        <v/>
      </c>
      <c r="D2159" s="4" t="str" cm="1">
        <f t="array" ref="D2159">IFERROR(INDEX(EmployeeData[Department], ROW() - 37), "")</f>
        <v/>
      </c>
      <c r="E2159" s="4" t="str" cm="1">
        <f t="array" ref="E2159">IFERROR(INDEX(EmployeeData[Gender], ROW() - 37), "")</f>
        <v/>
      </c>
      <c r="F2159" s="4" t="str" cm="1">
        <f t="array" ref="F2159">IFERROR(INDEX(EmployeeData[Age], ROW() - 37), "")</f>
        <v/>
      </c>
      <c r="G2159" s="6" t="str" cm="1">
        <f t="array" ref="G2159">IFERROR(INDEX(EmployeeData[Join Date], ROW() - 37), "")</f>
        <v/>
      </c>
      <c r="H2159" s="6" t="str" cm="1">
        <f t="array" ref="H2159">IFERROR(IF(INDEX(EmployeeData[Exit Date], ROW() - 37)=0, "",INDEX(EmployeeData[Exit Date], ROW() - 37)),"")</f>
        <v/>
      </c>
      <c r="I2159" s="4" t="str" cm="1">
        <f t="array" ref="I2159">IFERROR(IF(INDEX(EmployeeData[Exit Reason], ROW() - 37)=0, "",INDEX(EmployeeData[Exit Reason], ROW() - 37)),"")</f>
        <v/>
      </c>
      <c r="J2159" s="4" t="str" cm="1">
        <f t="array" ref="J2159">IFERROR(INDEX(EmployeeData[Status], ROW() - 37), "")</f>
        <v/>
      </c>
    </row>
    <row r="2160" spans="2:10" ht="19.95" customHeight="1" x14ac:dyDescent="0.3">
      <c r="B2160" s="4" t="str" cm="1">
        <f t="array" ref="B2160">IFERROR(INDEX(EmployeeData[Employee ID], ROW() - 37), "")</f>
        <v/>
      </c>
      <c r="C2160" s="4" t="str" cm="1">
        <f t="array" ref="C2160">IFERROR(INDEX(EmployeeData[Full Name], ROW() - 37), "")</f>
        <v/>
      </c>
      <c r="D2160" s="4" t="str" cm="1">
        <f t="array" ref="D2160">IFERROR(INDEX(EmployeeData[Department], ROW() - 37), "")</f>
        <v/>
      </c>
      <c r="E2160" s="4" t="str" cm="1">
        <f t="array" ref="E2160">IFERROR(INDEX(EmployeeData[Gender], ROW() - 37), "")</f>
        <v/>
      </c>
      <c r="F2160" s="4" t="str" cm="1">
        <f t="array" ref="F2160">IFERROR(INDEX(EmployeeData[Age], ROW() - 37), "")</f>
        <v/>
      </c>
      <c r="G2160" s="6" t="str" cm="1">
        <f t="array" ref="G2160">IFERROR(INDEX(EmployeeData[Join Date], ROW() - 37), "")</f>
        <v/>
      </c>
      <c r="H2160" s="6" t="str" cm="1">
        <f t="array" ref="H2160">IFERROR(IF(INDEX(EmployeeData[Exit Date], ROW() - 37)=0, "",INDEX(EmployeeData[Exit Date], ROW() - 37)),"")</f>
        <v/>
      </c>
      <c r="I2160" s="4" t="str" cm="1">
        <f t="array" ref="I2160">IFERROR(IF(INDEX(EmployeeData[Exit Reason], ROW() - 37)=0, "",INDEX(EmployeeData[Exit Reason], ROW() - 37)),"")</f>
        <v/>
      </c>
      <c r="J2160" s="4" t="str" cm="1">
        <f t="array" ref="J2160">IFERROR(INDEX(EmployeeData[Status], ROW() - 37), "")</f>
        <v/>
      </c>
    </row>
    <row r="2161" spans="2:10" ht="19.95" customHeight="1" x14ac:dyDescent="0.3">
      <c r="B2161" s="4" t="str" cm="1">
        <f t="array" ref="B2161">IFERROR(INDEX(EmployeeData[Employee ID], ROW() - 37), "")</f>
        <v/>
      </c>
      <c r="C2161" s="4" t="str" cm="1">
        <f t="array" ref="C2161">IFERROR(INDEX(EmployeeData[Full Name], ROW() - 37), "")</f>
        <v/>
      </c>
      <c r="D2161" s="4" t="str" cm="1">
        <f t="array" ref="D2161">IFERROR(INDEX(EmployeeData[Department], ROW() - 37), "")</f>
        <v/>
      </c>
      <c r="E2161" s="4" t="str" cm="1">
        <f t="array" ref="E2161">IFERROR(INDEX(EmployeeData[Gender], ROW() - 37), "")</f>
        <v/>
      </c>
      <c r="F2161" s="4" t="str" cm="1">
        <f t="array" ref="F2161">IFERROR(INDEX(EmployeeData[Age], ROW() - 37), "")</f>
        <v/>
      </c>
      <c r="G2161" s="6" t="str" cm="1">
        <f t="array" ref="G2161">IFERROR(INDEX(EmployeeData[Join Date], ROW() - 37), "")</f>
        <v/>
      </c>
      <c r="H2161" s="6" t="str" cm="1">
        <f t="array" ref="H2161">IFERROR(IF(INDEX(EmployeeData[Exit Date], ROW() - 37)=0, "",INDEX(EmployeeData[Exit Date], ROW() - 37)),"")</f>
        <v/>
      </c>
      <c r="I2161" s="4" t="str" cm="1">
        <f t="array" ref="I2161">IFERROR(IF(INDEX(EmployeeData[Exit Reason], ROW() - 37)=0, "",INDEX(EmployeeData[Exit Reason], ROW() - 37)),"")</f>
        <v/>
      </c>
      <c r="J2161" s="4" t="str" cm="1">
        <f t="array" ref="J2161">IFERROR(INDEX(EmployeeData[Status], ROW() - 37), "")</f>
        <v/>
      </c>
    </row>
    <row r="2162" spans="2:10" ht="19.95" customHeight="1" x14ac:dyDescent="0.3">
      <c r="B2162" s="4" t="str" cm="1">
        <f t="array" ref="B2162">IFERROR(INDEX(EmployeeData[Employee ID], ROW() - 37), "")</f>
        <v/>
      </c>
      <c r="C2162" s="4" t="str" cm="1">
        <f t="array" ref="C2162">IFERROR(INDEX(EmployeeData[Full Name], ROW() - 37), "")</f>
        <v/>
      </c>
      <c r="D2162" s="4" t="str" cm="1">
        <f t="array" ref="D2162">IFERROR(INDEX(EmployeeData[Department], ROW() - 37), "")</f>
        <v/>
      </c>
      <c r="E2162" s="4" t="str" cm="1">
        <f t="array" ref="E2162">IFERROR(INDEX(EmployeeData[Gender], ROW() - 37), "")</f>
        <v/>
      </c>
      <c r="F2162" s="4" t="str" cm="1">
        <f t="array" ref="F2162">IFERROR(INDEX(EmployeeData[Age], ROW() - 37), "")</f>
        <v/>
      </c>
      <c r="G2162" s="6" t="str" cm="1">
        <f t="array" ref="G2162">IFERROR(INDEX(EmployeeData[Join Date], ROW() - 37), "")</f>
        <v/>
      </c>
      <c r="H2162" s="6" t="str" cm="1">
        <f t="array" ref="H2162">IFERROR(IF(INDEX(EmployeeData[Exit Date], ROW() - 37)=0, "",INDEX(EmployeeData[Exit Date], ROW() - 37)),"")</f>
        <v/>
      </c>
      <c r="I2162" s="4" t="str" cm="1">
        <f t="array" ref="I2162">IFERROR(IF(INDEX(EmployeeData[Exit Reason], ROW() - 37)=0, "",INDEX(EmployeeData[Exit Reason], ROW() - 37)),"")</f>
        <v/>
      </c>
      <c r="J2162" s="4" t="str" cm="1">
        <f t="array" ref="J2162">IFERROR(INDEX(EmployeeData[Status], ROW() - 37), "")</f>
        <v/>
      </c>
    </row>
    <row r="2163" spans="2:10" ht="19.95" customHeight="1" x14ac:dyDescent="0.3">
      <c r="B2163" s="4" t="str" cm="1">
        <f t="array" ref="B2163">IFERROR(INDEX(EmployeeData[Employee ID], ROW() - 37), "")</f>
        <v/>
      </c>
      <c r="C2163" s="4" t="str" cm="1">
        <f t="array" ref="C2163">IFERROR(INDEX(EmployeeData[Full Name], ROW() - 37), "")</f>
        <v/>
      </c>
      <c r="D2163" s="4" t="str" cm="1">
        <f t="array" ref="D2163">IFERROR(INDEX(EmployeeData[Department], ROW() - 37), "")</f>
        <v/>
      </c>
      <c r="E2163" s="4" t="str" cm="1">
        <f t="array" ref="E2163">IFERROR(INDEX(EmployeeData[Gender], ROW() - 37), "")</f>
        <v/>
      </c>
      <c r="F2163" s="4" t="str" cm="1">
        <f t="array" ref="F2163">IFERROR(INDEX(EmployeeData[Age], ROW() - 37), "")</f>
        <v/>
      </c>
      <c r="G2163" s="6" t="str" cm="1">
        <f t="array" ref="G2163">IFERROR(INDEX(EmployeeData[Join Date], ROW() - 37), "")</f>
        <v/>
      </c>
      <c r="H2163" s="6" t="str" cm="1">
        <f t="array" ref="H2163">IFERROR(IF(INDEX(EmployeeData[Exit Date], ROW() - 37)=0, "",INDEX(EmployeeData[Exit Date], ROW() - 37)),"")</f>
        <v/>
      </c>
      <c r="I2163" s="4" t="str" cm="1">
        <f t="array" ref="I2163">IFERROR(IF(INDEX(EmployeeData[Exit Reason], ROW() - 37)=0, "",INDEX(EmployeeData[Exit Reason], ROW() - 37)),"")</f>
        <v/>
      </c>
      <c r="J2163" s="4" t="str" cm="1">
        <f t="array" ref="J2163">IFERROR(INDEX(EmployeeData[Status], ROW() - 37), "")</f>
        <v/>
      </c>
    </row>
    <row r="2164" spans="2:10" ht="19.95" customHeight="1" x14ac:dyDescent="0.3">
      <c r="B2164" s="4" t="str" cm="1">
        <f t="array" ref="B2164">IFERROR(INDEX(EmployeeData[Employee ID], ROW() - 37), "")</f>
        <v/>
      </c>
      <c r="C2164" s="4" t="str" cm="1">
        <f t="array" ref="C2164">IFERROR(INDEX(EmployeeData[Full Name], ROW() - 37), "")</f>
        <v/>
      </c>
      <c r="D2164" s="4" t="str" cm="1">
        <f t="array" ref="D2164">IFERROR(INDEX(EmployeeData[Department], ROW() - 37), "")</f>
        <v/>
      </c>
      <c r="E2164" s="4" t="str" cm="1">
        <f t="array" ref="E2164">IFERROR(INDEX(EmployeeData[Gender], ROW() - 37), "")</f>
        <v/>
      </c>
      <c r="F2164" s="4" t="str" cm="1">
        <f t="array" ref="F2164">IFERROR(INDEX(EmployeeData[Age], ROW() - 37), "")</f>
        <v/>
      </c>
      <c r="G2164" s="6" t="str" cm="1">
        <f t="array" ref="G2164">IFERROR(INDEX(EmployeeData[Join Date], ROW() - 37), "")</f>
        <v/>
      </c>
      <c r="H2164" s="6" t="str" cm="1">
        <f t="array" ref="H2164">IFERROR(IF(INDEX(EmployeeData[Exit Date], ROW() - 37)=0, "",INDEX(EmployeeData[Exit Date], ROW() - 37)),"")</f>
        <v/>
      </c>
      <c r="I2164" s="4" t="str" cm="1">
        <f t="array" ref="I2164">IFERROR(IF(INDEX(EmployeeData[Exit Reason], ROW() - 37)=0, "",INDEX(EmployeeData[Exit Reason], ROW() - 37)),"")</f>
        <v/>
      </c>
      <c r="J2164" s="4" t="str" cm="1">
        <f t="array" ref="J2164">IFERROR(INDEX(EmployeeData[Status], ROW() - 37), "")</f>
        <v/>
      </c>
    </row>
    <row r="2165" spans="2:10" ht="19.95" customHeight="1" x14ac:dyDescent="0.3">
      <c r="B2165" s="4" t="str" cm="1">
        <f t="array" ref="B2165">IFERROR(INDEX(EmployeeData[Employee ID], ROW() - 37), "")</f>
        <v/>
      </c>
      <c r="C2165" s="4" t="str" cm="1">
        <f t="array" ref="C2165">IFERROR(INDEX(EmployeeData[Full Name], ROW() - 37), "")</f>
        <v/>
      </c>
      <c r="D2165" s="4" t="str" cm="1">
        <f t="array" ref="D2165">IFERROR(INDEX(EmployeeData[Department], ROW() - 37), "")</f>
        <v/>
      </c>
      <c r="E2165" s="4" t="str" cm="1">
        <f t="array" ref="E2165">IFERROR(INDEX(EmployeeData[Gender], ROW() - 37), "")</f>
        <v/>
      </c>
      <c r="F2165" s="4" t="str" cm="1">
        <f t="array" ref="F2165">IFERROR(INDEX(EmployeeData[Age], ROW() - 37), "")</f>
        <v/>
      </c>
      <c r="G2165" s="6" t="str" cm="1">
        <f t="array" ref="G2165">IFERROR(INDEX(EmployeeData[Join Date], ROW() - 37), "")</f>
        <v/>
      </c>
      <c r="H2165" s="6" t="str" cm="1">
        <f t="array" ref="H2165">IFERROR(IF(INDEX(EmployeeData[Exit Date], ROW() - 37)=0, "",INDEX(EmployeeData[Exit Date], ROW() - 37)),"")</f>
        <v/>
      </c>
      <c r="I2165" s="4" t="str" cm="1">
        <f t="array" ref="I2165">IFERROR(IF(INDEX(EmployeeData[Exit Reason], ROW() - 37)=0, "",INDEX(EmployeeData[Exit Reason], ROW() - 37)),"")</f>
        <v/>
      </c>
      <c r="J2165" s="4" t="str" cm="1">
        <f t="array" ref="J2165">IFERROR(INDEX(EmployeeData[Status], ROW() - 37), "")</f>
        <v/>
      </c>
    </row>
    <row r="2166" spans="2:10" ht="19.95" customHeight="1" x14ac:dyDescent="0.3">
      <c r="B2166" s="4" t="str" cm="1">
        <f t="array" ref="B2166">IFERROR(INDEX(EmployeeData[Employee ID], ROW() - 37), "")</f>
        <v/>
      </c>
      <c r="C2166" s="4" t="str" cm="1">
        <f t="array" ref="C2166">IFERROR(INDEX(EmployeeData[Full Name], ROW() - 37), "")</f>
        <v/>
      </c>
      <c r="D2166" s="4" t="str" cm="1">
        <f t="array" ref="D2166">IFERROR(INDEX(EmployeeData[Department], ROW() - 37), "")</f>
        <v/>
      </c>
      <c r="E2166" s="4" t="str" cm="1">
        <f t="array" ref="E2166">IFERROR(INDEX(EmployeeData[Gender], ROW() - 37), "")</f>
        <v/>
      </c>
      <c r="F2166" s="4" t="str" cm="1">
        <f t="array" ref="F2166">IFERROR(INDEX(EmployeeData[Age], ROW() - 37), "")</f>
        <v/>
      </c>
      <c r="G2166" s="6" t="str" cm="1">
        <f t="array" ref="G2166">IFERROR(INDEX(EmployeeData[Join Date], ROW() - 37), "")</f>
        <v/>
      </c>
      <c r="H2166" s="6" t="str" cm="1">
        <f t="array" ref="H2166">IFERROR(IF(INDEX(EmployeeData[Exit Date], ROW() - 37)=0, "",INDEX(EmployeeData[Exit Date], ROW() - 37)),"")</f>
        <v/>
      </c>
      <c r="I2166" s="4" t="str" cm="1">
        <f t="array" ref="I2166">IFERROR(IF(INDEX(EmployeeData[Exit Reason], ROW() - 37)=0, "",INDEX(EmployeeData[Exit Reason], ROW() - 37)),"")</f>
        <v/>
      </c>
      <c r="J2166" s="4" t="str" cm="1">
        <f t="array" ref="J2166">IFERROR(INDEX(EmployeeData[Status], ROW() - 37), "")</f>
        <v/>
      </c>
    </row>
    <row r="2167" spans="2:10" ht="19.95" customHeight="1" x14ac:dyDescent="0.3">
      <c r="B2167" s="4" t="str" cm="1">
        <f t="array" ref="B2167">IFERROR(INDEX(EmployeeData[Employee ID], ROW() - 37), "")</f>
        <v/>
      </c>
      <c r="C2167" s="4" t="str" cm="1">
        <f t="array" ref="C2167">IFERROR(INDEX(EmployeeData[Full Name], ROW() - 37), "")</f>
        <v/>
      </c>
      <c r="D2167" s="4" t="str" cm="1">
        <f t="array" ref="D2167">IFERROR(INDEX(EmployeeData[Department], ROW() - 37), "")</f>
        <v/>
      </c>
      <c r="E2167" s="4" t="str" cm="1">
        <f t="array" ref="E2167">IFERROR(INDEX(EmployeeData[Gender], ROW() - 37), "")</f>
        <v/>
      </c>
      <c r="F2167" s="4" t="str" cm="1">
        <f t="array" ref="F2167">IFERROR(INDEX(EmployeeData[Age], ROW() - 37), "")</f>
        <v/>
      </c>
      <c r="G2167" s="6" t="str" cm="1">
        <f t="array" ref="G2167">IFERROR(INDEX(EmployeeData[Join Date], ROW() - 37), "")</f>
        <v/>
      </c>
      <c r="H2167" s="6" t="str" cm="1">
        <f t="array" ref="H2167">IFERROR(IF(INDEX(EmployeeData[Exit Date], ROW() - 37)=0, "",INDEX(EmployeeData[Exit Date], ROW() - 37)),"")</f>
        <v/>
      </c>
      <c r="I2167" s="4" t="str" cm="1">
        <f t="array" ref="I2167">IFERROR(IF(INDEX(EmployeeData[Exit Reason], ROW() - 37)=0, "",INDEX(EmployeeData[Exit Reason], ROW() - 37)),"")</f>
        <v/>
      </c>
      <c r="J2167" s="4" t="str" cm="1">
        <f t="array" ref="J2167">IFERROR(INDEX(EmployeeData[Status], ROW() - 37), "")</f>
        <v/>
      </c>
    </row>
    <row r="2168" spans="2:10" ht="19.95" customHeight="1" x14ac:dyDescent="0.3">
      <c r="B2168" s="4" t="str" cm="1">
        <f t="array" ref="B2168">IFERROR(INDEX(EmployeeData[Employee ID], ROW() - 37), "")</f>
        <v/>
      </c>
      <c r="C2168" s="4" t="str" cm="1">
        <f t="array" ref="C2168">IFERROR(INDEX(EmployeeData[Full Name], ROW() - 37), "")</f>
        <v/>
      </c>
      <c r="D2168" s="4" t="str" cm="1">
        <f t="array" ref="D2168">IFERROR(INDEX(EmployeeData[Department], ROW() - 37), "")</f>
        <v/>
      </c>
      <c r="E2168" s="4" t="str" cm="1">
        <f t="array" ref="E2168">IFERROR(INDEX(EmployeeData[Gender], ROW() - 37), "")</f>
        <v/>
      </c>
      <c r="F2168" s="4" t="str" cm="1">
        <f t="array" ref="F2168">IFERROR(INDEX(EmployeeData[Age], ROW() - 37), "")</f>
        <v/>
      </c>
      <c r="G2168" s="6" t="str" cm="1">
        <f t="array" ref="G2168">IFERROR(INDEX(EmployeeData[Join Date], ROW() - 37), "")</f>
        <v/>
      </c>
      <c r="H2168" s="6" t="str" cm="1">
        <f t="array" ref="H2168">IFERROR(IF(INDEX(EmployeeData[Exit Date], ROW() - 37)=0, "",INDEX(EmployeeData[Exit Date], ROW() - 37)),"")</f>
        <v/>
      </c>
      <c r="I2168" s="4" t="str" cm="1">
        <f t="array" ref="I2168">IFERROR(IF(INDEX(EmployeeData[Exit Reason], ROW() - 37)=0, "",INDEX(EmployeeData[Exit Reason], ROW() - 37)),"")</f>
        <v/>
      </c>
      <c r="J2168" s="4" t="str" cm="1">
        <f t="array" ref="J2168">IFERROR(INDEX(EmployeeData[Status], ROW() - 37), "")</f>
        <v/>
      </c>
    </row>
    <row r="2169" spans="2:10" ht="19.95" customHeight="1" x14ac:dyDescent="0.3">
      <c r="B2169" s="4" t="str" cm="1">
        <f t="array" ref="B2169">IFERROR(INDEX(EmployeeData[Employee ID], ROW() - 37), "")</f>
        <v/>
      </c>
      <c r="C2169" s="4" t="str" cm="1">
        <f t="array" ref="C2169">IFERROR(INDEX(EmployeeData[Full Name], ROW() - 37), "")</f>
        <v/>
      </c>
      <c r="D2169" s="4" t="str" cm="1">
        <f t="array" ref="D2169">IFERROR(INDEX(EmployeeData[Department], ROW() - 37), "")</f>
        <v/>
      </c>
      <c r="E2169" s="4" t="str" cm="1">
        <f t="array" ref="E2169">IFERROR(INDEX(EmployeeData[Gender], ROW() - 37), "")</f>
        <v/>
      </c>
      <c r="F2169" s="4" t="str" cm="1">
        <f t="array" ref="F2169">IFERROR(INDEX(EmployeeData[Age], ROW() - 37), "")</f>
        <v/>
      </c>
      <c r="G2169" s="6" t="str" cm="1">
        <f t="array" ref="G2169">IFERROR(INDEX(EmployeeData[Join Date], ROW() - 37), "")</f>
        <v/>
      </c>
      <c r="H2169" s="6" t="str" cm="1">
        <f t="array" ref="H2169">IFERROR(IF(INDEX(EmployeeData[Exit Date], ROW() - 37)=0, "",INDEX(EmployeeData[Exit Date], ROW() - 37)),"")</f>
        <v/>
      </c>
      <c r="I2169" s="4" t="str" cm="1">
        <f t="array" ref="I2169">IFERROR(IF(INDEX(EmployeeData[Exit Reason], ROW() - 37)=0, "",INDEX(EmployeeData[Exit Reason], ROW() - 37)),"")</f>
        <v/>
      </c>
      <c r="J2169" s="4" t="str" cm="1">
        <f t="array" ref="J2169">IFERROR(INDEX(EmployeeData[Status], ROW() - 37), "")</f>
        <v/>
      </c>
    </row>
    <row r="2170" spans="2:10" ht="19.95" customHeight="1" x14ac:dyDescent="0.3">
      <c r="B2170" s="4" t="str" cm="1">
        <f t="array" ref="B2170">IFERROR(INDEX(EmployeeData[Employee ID], ROW() - 37), "")</f>
        <v/>
      </c>
      <c r="C2170" s="4" t="str" cm="1">
        <f t="array" ref="C2170">IFERROR(INDEX(EmployeeData[Full Name], ROW() - 37), "")</f>
        <v/>
      </c>
      <c r="D2170" s="4" t="str" cm="1">
        <f t="array" ref="D2170">IFERROR(INDEX(EmployeeData[Department], ROW() - 37), "")</f>
        <v/>
      </c>
      <c r="E2170" s="4" t="str" cm="1">
        <f t="array" ref="E2170">IFERROR(INDEX(EmployeeData[Gender], ROW() - 37), "")</f>
        <v/>
      </c>
      <c r="F2170" s="4" t="str" cm="1">
        <f t="array" ref="F2170">IFERROR(INDEX(EmployeeData[Age], ROW() - 37), "")</f>
        <v/>
      </c>
      <c r="G2170" s="6" t="str" cm="1">
        <f t="array" ref="G2170">IFERROR(INDEX(EmployeeData[Join Date], ROW() - 37), "")</f>
        <v/>
      </c>
      <c r="H2170" s="6" t="str" cm="1">
        <f t="array" ref="H2170">IFERROR(IF(INDEX(EmployeeData[Exit Date], ROW() - 37)=0, "",INDEX(EmployeeData[Exit Date], ROW() - 37)),"")</f>
        <v/>
      </c>
      <c r="I2170" s="4" t="str" cm="1">
        <f t="array" ref="I2170">IFERROR(IF(INDEX(EmployeeData[Exit Reason], ROW() - 37)=0, "",INDEX(EmployeeData[Exit Reason], ROW() - 37)),"")</f>
        <v/>
      </c>
      <c r="J2170" s="4" t="str" cm="1">
        <f t="array" ref="J2170">IFERROR(INDEX(EmployeeData[Status], ROW() - 37), "")</f>
        <v/>
      </c>
    </row>
    <row r="2171" spans="2:10" ht="19.95" customHeight="1" x14ac:dyDescent="0.3">
      <c r="B2171" s="4" t="str" cm="1">
        <f t="array" ref="B2171">IFERROR(INDEX(EmployeeData[Employee ID], ROW() - 37), "")</f>
        <v/>
      </c>
      <c r="C2171" s="4" t="str" cm="1">
        <f t="array" ref="C2171">IFERROR(INDEX(EmployeeData[Full Name], ROW() - 37), "")</f>
        <v/>
      </c>
      <c r="D2171" s="4" t="str" cm="1">
        <f t="array" ref="D2171">IFERROR(INDEX(EmployeeData[Department], ROW() - 37), "")</f>
        <v/>
      </c>
      <c r="E2171" s="4" t="str" cm="1">
        <f t="array" ref="E2171">IFERROR(INDEX(EmployeeData[Gender], ROW() - 37), "")</f>
        <v/>
      </c>
      <c r="F2171" s="4" t="str" cm="1">
        <f t="array" ref="F2171">IFERROR(INDEX(EmployeeData[Age], ROW() - 37), "")</f>
        <v/>
      </c>
      <c r="G2171" s="6" t="str" cm="1">
        <f t="array" ref="G2171">IFERROR(INDEX(EmployeeData[Join Date], ROW() - 37), "")</f>
        <v/>
      </c>
      <c r="H2171" s="6" t="str" cm="1">
        <f t="array" ref="H2171">IFERROR(IF(INDEX(EmployeeData[Exit Date], ROW() - 37)=0, "",INDEX(EmployeeData[Exit Date], ROW() - 37)),"")</f>
        <v/>
      </c>
      <c r="I2171" s="4" t="str" cm="1">
        <f t="array" ref="I2171">IFERROR(IF(INDEX(EmployeeData[Exit Reason], ROW() - 37)=0, "",INDEX(EmployeeData[Exit Reason], ROW() - 37)),"")</f>
        <v/>
      </c>
      <c r="J2171" s="4" t="str" cm="1">
        <f t="array" ref="J2171">IFERROR(INDEX(EmployeeData[Status], ROW() - 37), "")</f>
        <v/>
      </c>
    </row>
    <row r="2172" spans="2:10" ht="19.95" customHeight="1" x14ac:dyDescent="0.3">
      <c r="B2172" s="4" t="str" cm="1">
        <f t="array" ref="B2172">IFERROR(INDEX(EmployeeData[Employee ID], ROW() - 37), "")</f>
        <v/>
      </c>
      <c r="C2172" s="4" t="str" cm="1">
        <f t="array" ref="C2172">IFERROR(INDEX(EmployeeData[Full Name], ROW() - 37), "")</f>
        <v/>
      </c>
      <c r="D2172" s="4" t="str" cm="1">
        <f t="array" ref="D2172">IFERROR(INDEX(EmployeeData[Department], ROW() - 37), "")</f>
        <v/>
      </c>
      <c r="E2172" s="4" t="str" cm="1">
        <f t="array" ref="E2172">IFERROR(INDEX(EmployeeData[Gender], ROW() - 37), "")</f>
        <v/>
      </c>
      <c r="F2172" s="4" t="str" cm="1">
        <f t="array" ref="F2172">IFERROR(INDEX(EmployeeData[Age], ROW() - 37), "")</f>
        <v/>
      </c>
      <c r="G2172" s="6" t="str" cm="1">
        <f t="array" ref="G2172">IFERROR(INDEX(EmployeeData[Join Date], ROW() - 37), "")</f>
        <v/>
      </c>
      <c r="H2172" s="6" t="str" cm="1">
        <f t="array" ref="H2172">IFERROR(IF(INDEX(EmployeeData[Exit Date], ROW() - 37)=0, "",INDEX(EmployeeData[Exit Date], ROW() - 37)),"")</f>
        <v/>
      </c>
      <c r="I2172" s="4" t="str" cm="1">
        <f t="array" ref="I2172">IFERROR(IF(INDEX(EmployeeData[Exit Reason], ROW() - 37)=0, "",INDEX(EmployeeData[Exit Reason], ROW() - 37)),"")</f>
        <v/>
      </c>
      <c r="J2172" s="4" t="str" cm="1">
        <f t="array" ref="J2172">IFERROR(INDEX(EmployeeData[Status], ROW() - 37), "")</f>
        <v/>
      </c>
    </row>
    <row r="2173" spans="2:10" ht="19.95" customHeight="1" x14ac:dyDescent="0.3">
      <c r="B2173" s="4" t="str" cm="1">
        <f t="array" ref="B2173">IFERROR(INDEX(EmployeeData[Employee ID], ROW() - 37), "")</f>
        <v/>
      </c>
      <c r="C2173" s="4" t="str" cm="1">
        <f t="array" ref="C2173">IFERROR(INDEX(EmployeeData[Full Name], ROW() - 37), "")</f>
        <v/>
      </c>
      <c r="D2173" s="4" t="str" cm="1">
        <f t="array" ref="D2173">IFERROR(INDEX(EmployeeData[Department], ROW() - 37), "")</f>
        <v/>
      </c>
      <c r="E2173" s="4" t="str" cm="1">
        <f t="array" ref="E2173">IFERROR(INDEX(EmployeeData[Gender], ROW() - 37), "")</f>
        <v/>
      </c>
      <c r="F2173" s="4" t="str" cm="1">
        <f t="array" ref="F2173">IFERROR(INDEX(EmployeeData[Age], ROW() - 37), "")</f>
        <v/>
      </c>
      <c r="G2173" s="6" t="str" cm="1">
        <f t="array" ref="G2173">IFERROR(INDEX(EmployeeData[Join Date], ROW() - 37), "")</f>
        <v/>
      </c>
      <c r="H2173" s="6" t="str" cm="1">
        <f t="array" ref="H2173">IFERROR(IF(INDEX(EmployeeData[Exit Date], ROW() - 37)=0, "",INDEX(EmployeeData[Exit Date], ROW() - 37)),"")</f>
        <v/>
      </c>
      <c r="I2173" s="4" t="str" cm="1">
        <f t="array" ref="I2173">IFERROR(IF(INDEX(EmployeeData[Exit Reason], ROW() - 37)=0, "",INDEX(EmployeeData[Exit Reason], ROW() - 37)),"")</f>
        <v/>
      </c>
      <c r="J2173" s="4" t="str" cm="1">
        <f t="array" ref="J2173">IFERROR(INDEX(EmployeeData[Status], ROW() - 37), "")</f>
        <v/>
      </c>
    </row>
    <row r="2174" spans="2:10" ht="19.95" customHeight="1" x14ac:dyDescent="0.3">
      <c r="B2174" s="4" t="str" cm="1">
        <f t="array" ref="B2174">IFERROR(INDEX(EmployeeData[Employee ID], ROW() - 37), "")</f>
        <v/>
      </c>
      <c r="C2174" s="4" t="str" cm="1">
        <f t="array" ref="C2174">IFERROR(INDEX(EmployeeData[Full Name], ROW() - 37), "")</f>
        <v/>
      </c>
      <c r="D2174" s="4" t="str" cm="1">
        <f t="array" ref="D2174">IFERROR(INDEX(EmployeeData[Department], ROW() - 37), "")</f>
        <v/>
      </c>
      <c r="E2174" s="4" t="str" cm="1">
        <f t="array" ref="E2174">IFERROR(INDEX(EmployeeData[Gender], ROW() - 37), "")</f>
        <v/>
      </c>
      <c r="F2174" s="4" t="str" cm="1">
        <f t="array" ref="F2174">IFERROR(INDEX(EmployeeData[Age], ROW() - 37), "")</f>
        <v/>
      </c>
      <c r="G2174" s="6" t="str" cm="1">
        <f t="array" ref="G2174">IFERROR(INDEX(EmployeeData[Join Date], ROW() - 37), "")</f>
        <v/>
      </c>
      <c r="H2174" s="6" t="str" cm="1">
        <f t="array" ref="H2174">IFERROR(IF(INDEX(EmployeeData[Exit Date], ROW() - 37)=0, "",INDEX(EmployeeData[Exit Date], ROW() - 37)),"")</f>
        <v/>
      </c>
      <c r="I2174" s="4" t="str" cm="1">
        <f t="array" ref="I2174">IFERROR(IF(INDEX(EmployeeData[Exit Reason], ROW() - 37)=0, "",INDEX(EmployeeData[Exit Reason], ROW() - 37)),"")</f>
        <v/>
      </c>
      <c r="J2174" s="4" t="str" cm="1">
        <f t="array" ref="J2174">IFERROR(INDEX(EmployeeData[Status], ROW() - 37), "")</f>
        <v/>
      </c>
    </row>
    <row r="2175" spans="2:10" ht="19.95" customHeight="1" x14ac:dyDescent="0.3">
      <c r="B2175" s="4" t="str" cm="1">
        <f t="array" ref="B2175">IFERROR(INDEX(EmployeeData[Employee ID], ROW() - 37), "")</f>
        <v/>
      </c>
      <c r="C2175" s="4" t="str" cm="1">
        <f t="array" ref="C2175">IFERROR(INDEX(EmployeeData[Full Name], ROW() - 37), "")</f>
        <v/>
      </c>
      <c r="D2175" s="4" t="str" cm="1">
        <f t="array" ref="D2175">IFERROR(INDEX(EmployeeData[Department], ROW() - 37), "")</f>
        <v/>
      </c>
      <c r="E2175" s="4" t="str" cm="1">
        <f t="array" ref="E2175">IFERROR(INDEX(EmployeeData[Gender], ROW() - 37), "")</f>
        <v/>
      </c>
      <c r="F2175" s="4" t="str" cm="1">
        <f t="array" ref="F2175">IFERROR(INDEX(EmployeeData[Age], ROW() - 37), "")</f>
        <v/>
      </c>
      <c r="G2175" s="6" t="str" cm="1">
        <f t="array" ref="G2175">IFERROR(INDEX(EmployeeData[Join Date], ROW() - 37), "")</f>
        <v/>
      </c>
      <c r="H2175" s="6" t="str" cm="1">
        <f t="array" ref="H2175">IFERROR(IF(INDEX(EmployeeData[Exit Date], ROW() - 37)=0, "",INDEX(EmployeeData[Exit Date], ROW() - 37)),"")</f>
        <v/>
      </c>
      <c r="I2175" s="4" t="str" cm="1">
        <f t="array" ref="I2175">IFERROR(IF(INDEX(EmployeeData[Exit Reason], ROW() - 37)=0, "",INDEX(EmployeeData[Exit Reason], ROW() - 37)),"")</f>
        <v/>
      </c>
      <c r="J2175" s="4" t="str" cm="1">
        <f t="array" ref="J2175">IFERROR(INDEX(EmployeeData[Status], ROW() - 37), "")</f>
        <v/>
      </c>
    </row>
    <row r="2176" spans="2:10" ht="19.95" customHeight="1" x14ac:dyDescent="0.3">
      <c r="B2176" s="4" t="str" cm="1">
        <f t="array" ref="B2176">IFERROR(INDEX(EmployeeData[Employee ID], ROW() - 37), "")</f>
        <v/>
      </c>
      <c r="C2176" s="4" t="str" cm="1">
        <f t="array" ref="C2176">IFERROR(INDEX(EmployeeData[Full Name], ROW() - 37), "")</f>
        <v/>
      </c>
      <c r="D2176" s="4" t="str" cm="1">
        <f t="array" ref="D2176">IFERROR(INDEX(EmployeeData[Department], ROW() - 37), "")</f>
        <v/>
      </c>
      <c r="E2176" s="4" t="str" cm="1">
        <f t="array" ref="E2176">IFERROR(INDEX(EmployeeData[Gender], ROW() - 37), "")</f>
        <v/>
      </c>
      <c r="F2176" s="4" t="str" cm="1">
        <f t="array" ref="F2176">IFERROR(INDEX(EmployeeData[Age], ROW() - 37), "")</f>
        <v/>
      </c>
      <c r="G2176" s="6" t="str" cm="1">
        <f t="array" ref="G2176">IFERROR(INDEX(EmployeeData[Join Date], ROW() - 37), "")</f>
        <v/>
      </c>
      <c r="H2176" s="6" t="str" cm="1">
        <f t="array" ref="H2176">IFERROR(IF(INDEX(EmployeeData[Exit Date], ROW() - 37)=0, "",INDEX(EmployeeData[Exit Date], ROW() - 37)),"")</f>
        <v/>
      </c>
      <c r="I2176" s="4" t="str" cm="1">
        <f t="array" ref="I2176">IFERROR(IF(INDEX(EmployeeData[Exit Reason], ROW() - 37)=0, "",INDEX(EmployeeData[Exit Reason], ROW() - 37)),"")</f>
        <v/>
      </c>
      <c r="J2176" s="4" t="str" cm="1">
        <f t="array" ref="J2176">IFERROR(INDEX(EmployeeData[Status], ROW() - 37), "")</f>
        <v/>
      </c>
    </row>
    <row r="2177" spans="2:10" ht="19.95" customHeight="1" x14ac:dyDescent="0.3">
      <c r="B2177" s="4" t="str" cm="1">
        <f t="array" ref="B2177">IFERROR(INDEX(EmployeeData[Employee ID], ROW() - 37), "")</f>
        <v/>
      </c>
      <c r="C2177" s="4" t="str" cm="1">
        <f t="array" ref="C2177">IFERROR(INDEX(EmployeeData[Full Name], ROW() - 37), "")</f>
        <v/>
      </c>
      <c r="D2177" s="4" t="str" cm="1">
        <f t="array" ref="D2177">IFERROR(INDEX(EmployeeData[Department], ROW() - 37), "")</f>
        <v/>
      </c>
      <c r="E2177" s="4" t="str" cm="1">
        <f t="array" ref="E2177">IFERROR(INDEX(EmployeeData[Gender], ROW() - 37), "")</f>
        <v/>
      </c>
      <c r="F2177" s="4" t="str" cm="1">
        <f t="array" ref="F2177">IFERROR(INDEX(EmployeeData[Age], ROW() - 37), "")</f>
        <v/>
      </c>
      <c r="G2177" s="6" t="str" cm="1">
        <f t="array" ref="G2177">IFERROR(INDEX(EmployeeData[Join Date], ROW() - 37), "")</f>
        <v/>
      </c>
      <c r="H2177" s="6" t="str" cm="1">
        <f t="array" ref="H2177">IFERROR(IF(INDEX(EmployeeData[Exit Date], ROW() - 37)=0, "",INDEX(EmployeeData[Exit Date], ROW() - 37)),"")</f>
        <v/>
      </c>
      <c r="I2177" s="4" t="str" cm="1">
        <f t="array" ref="I2177">IFERROR(IF(INDEX(EmployeeData[Exit Reason], ROW() - 37)=0, "",INDEX(EmployeeData[Exit Reason], ROW() - 37)),"")</f>
        <v/>
      </c>
      <c r="J2177" s="4" t="str" cm="1">
        <f t="array" ref="J2177">IFERROR(INDEX(EmployeeData[Status], ROW() - 37), "")</f>
        <v/>
      </c>
    </row>
    <row r="2178" spans="2:10" ht="19.95" customHeight="1" x14ac:dyDescent="0.3">
      <c r="B2178" s="4" t="str" cm="1">
        <f t="array" ref="B2178">IFERROR(INDEX(EmployeeData[Employee ID], ROW() - 37), "")</f>
        <v/>
      </c>
      <c r="C2178" s="4" t="str" cm="1">
        <f t="array" ref="C2178">IFERROR(INDEX(EmployeeData[Full Name], ROW() - 37), "")</f>
        <v/>
      </c>
      <c r="D2178" s="4" t="str" cm="1">
        <f t="array" ref="D2178">IFERROR(INDEX(EmployeeData[Department], ROW() - 37), "")</f>
        <v/>
      </c>
      <c r="E2178" s="4" t="str" cm="1">
        <f t="array" ref="E2178">IFERROR(INDEX(EmployeeData[Gender], ROW() - 37), "")</f>
        <v/>
      </c>
      <c r="F2178" s="4" t="str" cm="1">
        <f t="array" ref="F2178">IFERROR(INDEX(EmployeeData[Age], ROW() - 37), "")</f>
        <v/>
      </c>
      <c r="G2178" s="6" t="str" cm="1">
        <f t="array" ref="G2178">IFERROR(INDEX(EmployeeData[Join Date], ROW() - 37), "")</f>
        <v/>
      </c>
      <c r="H2178" s="6" t="str" cm="1">
        <f t="array" ref="H2178">IFERROR(IF(INDEX(EmployeeData[Exit Date], ROW() - 37)=0, "",INDEX(EmployeeData[Exit Date], ROW() - 37)),"")</f>
        <v/>
      </c>
      <c r="I2178" s="4" t="str" cm="1">
        <f t="array" ref="I2178">IFERROR(IF(INDEX(EmployeeData[Exit Reason], ROW() - 37)=0, "",INDEX(EmployeeData[Exit Reason], ROW() - 37)),"")</f>
        <v/>
      </c>
      <c r="J2178" s="4" t="str" cm="1">
        <f t="array" ref="J2178">IFERROR(INDEX(EmployeeData[Status], ROW() - 37), "")</f>
        <v/>
      </c>
    </row>
    <row r="2179" spans="2:10" ht="19.95" customHeight="1" x14ac:dyDescent="0.3">
      <c r="B2179" s="4" t="str" cm="1">
        <f t="array" ref="B2179">IFERROR(INDEX(EmployeeData[Employee ID], ROW() - 37), "")</f>
        <v/>
      </c>
      <c r="C2179" s="4" t="str" cm="1">
        <f t="array" ref="C2179">IFERROR(INDEX(EmployeeData[Full Name], ROW() - 37), "")</f>
        <v/>
      </c>
      <c r="D2179" s="4" t="str" cm="1">
        <f t="array" ref="D2179">IFERROR(INDEX(EmployeeData[Department], ROW() - 37), "")</f>
        <v/>
      </c>
      <c r="E2179" s="4" t="str" cm="1">
        <f t="array" ref="E2179">IFERROR(INDEX(EmployeeData[Gender], ROW() - 37), "")</f>
        <v/>
      </c>
      <c r="F2179" s="4" t="str" cm="1">
        <f t="array" ref="F2179">IFERROR(INDEX(EmployeeData[Age], ROW() - 37), "")</f>
        <v/>
      </c>
      <c r="G2179" s="6" t="str" cm="1">
        <f t="array" ref="G2179">IFERROR(INDEX(EmployeeData[Join Date], ROW() - 37), "")</f>
        <v/>
      </c>
      <c r="H2179" s="6" t="str" cm="1">
        <f t="array" ref="H2179">IFERROR(IF(INDEX(EmployeeData[Exit Date], ROW() - 37)=0, "",INDEX(EmployeeData[Exit Date], ROW() - 37)),"")</f>
        <v/>
      </c>
      <c r="I2179" s="4" t="str" cm="1">
        <f t="array" ref="I2179">IFERROR(IF(INDEX(EmployeeData[Exit Reason], ROW() - 37)=0, "",INDEX(EmployeeData[Exit Reason], ROW() - 37)),"")</f>
        <v/>
      </c>
      <c r="J2179" s="4" t="str" cm="1">
        <f t="array" ref="J2179">IFERROR(INDEX(EmployeeData[Status], ROW() - 37), "")</f>
        <v/>
      </c>
    </row>
    <row r="2180" spans="2:10" ht="19.95" customHeight="1" x14ac:dyDescent="0.3">
      <c r="B2180" s="4" t="str" cm="1">
        <f t="array" ref="B2180">IFERROR(INDEX(EmployeeData[Employee ID], ROW() - 37), "")</f>
        <v/>
      </c>
      <c r="C2180" s="4" t="str" cm="1">
        <f t="array" ref="C2180">IFERROR(INDEX(EmployeeData[Full Name], ROW() - 37), "")</f>
        <v/>
      </c>
      <c r="D2180" s="4" t="str" cm="1">
        <f t="array" ref="D2180">IFERROR(INDEX(EmployeeData[Department], ROW() - 37), "")</f>
        <v/>
      </c>
      <c r="E2180" s="4" t="str" cm="1">
        <f t="array" ref="E2180">IFERROR(INDEX(EmployeeData[Gender], ROW() - 37), "")</f>
        <v/>
      </c>
      <c r="F2180" s="4" t="str" cm="1">
        <f t="array" ref="F2180">IFERROR(INDEX(EmployeeData[Age], ROW() - 37), "")</f>
        <v/>
      </c>
      <c r="G2180" s="6" t="str" cm="1">
        <f t="array" ref="G2180">IFERROR(INDEX(EmployeeData[Join Date], ROW() - 37), "")</f>
        <v/>
      </c>
      <c r="H2180" s="6" t="str" cm="1">
        <f t="array" ref="H2180">IFERROR(IF(INDEX(EmployeeData[Exit Date], ROW() - 37)=0, "",INDEX(EmployeeData[Exit Date], ROW() - 37)),"")</f>
        <v/>
      </c>
      <c r="I2180" s="4" t="str" cm="1">
        <f t="array" ref="I2180">IFERROR(IF(INDEX(EmployeeData[Exit Reason], ROW() - 37)=0, "",INDEX(EmployeeData[Exit Reason], ROW() - 37)),"")</f>
        <v/>
      </c>
      <c r="J2180" s="4" t="str" cm="1">
        <f t="array" ref="J2180">IFERROR(INDEX(EmployeeData[Status], ROW() - 37), "")</f>
        <v/>
      </c>
    </row>
    <row r="2181" spans="2:10" ht="19.95" customHeight="1" x14ac:dyDescent="0.3">
      <c r="B2181" s="4" t="str" cm="1">
        <f t="array" ref="B2181">IFERROR(INDEX(EmployeeData[Employee ID], ROW() - 37), "")</f>
        <v/>
      </c>
      <c r="C2181" s="4" t="str" cm="1">
        <f t="array" ref="C2181">IFERROR(INDEX(EmployeeData[Full Name], ROW() - 37), "")</f>
        <v/>
      </c>
      <c r="D2181" s="4" t="str" cm="1">
        <f t="array" ref="D2181">IFERROR(INDEX(EmployeeData[Department], ROW() - 37), "")</f>
        <v/>
      </c>
      <c r="E2181" s="4" t="str" cm="1">
        <f t="array" ref="E2181">IFERROR(INDEX(EmployeeData[Gender], ROW() - 37), "")</f>
        <v/>
      </c>
      <c r="F2181" s="4" t="str" cm="1">
        <f t="array" ref="F2181">IFERROR(INDEX(EmployeeData[Age], ROW() - 37), "")</f>
        <v/>
      </c>
      <c r="G2181" s="6" t="str" cm="1">
        <f t="array" ref="G2181">IFERROR(INDEX(EmployeeData[Join Date], ROW() - 37), "")</f>
        <v/>
      </c>
      <c r="H2181" s="6" t="str" cm="1">
        <f t="array" ref="H2181">IFERROR(IF(INDEX(EmployeeData[Exit Date], ROW() - 37)=0, "",INDEX(EmployeeData[Exit Date], ROW() - 37)),"")</f>
        <v/>
      </c>
      <c r="I2181" s="4" t="str" cm="1">
        <f t="array" ref="I2181">IFERROR(IF(INDEX(EmployeeData[Exit Reason], ROW() - 37)=0, "",INDEX(EmployeeData[Exit Reason], ROW() - 37)),"")</f>
        <v/>
      </c>
      <c r="J2181" s="4" t="str" cm="1">
        <f t="array" ref="J2181">IFERROR(INDEX(EmployeeData[Status], ROW() - 37), "")</f>
        <v/>
      </c>
    </row>
    <row r="2182" spans="2:10" ht="19.95" customHeight="1" x14ac:dyDescent="0.3">
      <c r="B2182" s="4" t="str" cm="1">
        <f t="array" ref="B2182">IFERROR(INDEX(EmployeeData[Employee ID], ROW() - 37), "")</f>
        <v/>
      </c>
      <c r="C2182" s="4" t="str" cm="1">
        <f t="array" ref="C2182">IFERROR(INDEX(EmployeeData[Full Name], ROW() - 37), "")</f>
        <v/>
      </c>
      <c r="D2182" s="4" t="str" cm="1">
        <f t="array" ref="D2182">IFERROR(INDEX(EmployeeData[Department], ROW() - 37), "")</f>
        <v/>
      </c>
      <c r="E2182" s="4" t="str" cm="1">
        <f t="array" ref="E2182">IFERROR(INDEX(EmployeeData[Gender], ROW() - 37), "")</f>
        <v/>
      </c>
      <c r="F2182" s="4" t="str" cm="1">
        <f t="array" ref="F2182">IFERROR(INDEX(EmployeeData[Age], ROW() - 37), "")</f>
        <v/>
      </c>
      <c r="G2182" s="6" t="str" cm="1">
        <f t="array" ref="G2182">IFERROR(INDEX(EmployeeData[Join Date], ROW() - 37), "")</f>
        <v/>
      </c>
      <c r="H2182" s="6" t="str" cm="1">
        <f t="array" ref="H2182">IFERROR(IF(INDEX(EmployeeData[Exit Date], ROW() - 37)=0, "",INDEX(EmployeeData[Exit Date], ROW() - 37)),"")</f>
        <v/>
      </c>
      <c r="I2182" s="4" t="str" cm="1">
        <f t="array" ref="I2182">IFERROR(IF(INDEX(EmployeeData[Exit Reason], ROW() - 37)=0, "",INDEX(EmployeeData[Exit Reason], ROW() - 37)),"")</f>
        <v/>
      </c>
      <c r="J2182" s="4" t="str" cm="1">
        <f t="array" ref="J2182">IFERROR(INDEX(EmployeeData[Status], ROW() - 37), "")</f>
        <v/>
      </c>
    </row>
    <row r="2183" spans="2:10" ht="19.95" customHeight="1" x14ac:dyDescent="0.3">
      <c r="B2183" s="4" t="str" cm="1">
        <f t="array" ref="B2183">IFERROR(INDEX(EmployeeData[Employee ID], ROW() - 37), "")</f>
        <v/>
      </c>
      <c r="C2183" s="4" t="str" cm="1">
        <f t="array" ref="C2183">IFERROR(INDEX(EmployeeData[Full Name], ROW() - 37), "")</f>
        <v/>
      </c>
      <c r="D2183" s="4" t="str" cm="1">
        <f t="array" ref="D2183">IFERROR(INDEX(EmployeeData[Department], ROW() - 37), "")</f>
        <v/>
      </c>
      <c r="E2183" s="4" t="str" cm="1">
        <f t="array" ref="E2183">IFERROR(INDEX(EmployeeData[Gender], ROW() - 37), "")</f>
        <v/>
      </c>
      <c r="F2183" s="4" t="str" cm="1">
        <f t="array" ref="F2183">IFERROR(INDEX(EmployeeData[Age], ROW() - 37), "")</f>
        <v/>
      </c>
      <c r="G2183" s="6" t="str" cm="1">
        <f t="array" ref="G2183">IFERROR(INDEX(EmployeeData[Join Date], ROW() - 37), "")</f>
        <v/>
      </c>
      <c r="H2183" s="6" t="str" cm="1">
        <f t="array" ref="H2183">IFERROR(IF(INDEX(EmployeeData[Exit Date], ROW() - 37)=0, "",INDEX(EmployeeData[Exit Date], ROW() - 37)),"")</f>
        <v/>
      </c>
      <c r="I2183" s="4" t="str" cm="1">
        <f t="array" ref="I2183">IFERROR(IF(INDEX(EmployeeData[Exit Reason], ROW() - 37)=0, "",INDEX(EmployeeData[Exit Reason], ROW() - 37)),"")</f>
        <v/>
      </c>
      <c r="J2183" s="4" t="str" cm="1">
        <f t="array" ref="J2183">IFERROR(INDEX(EmployeeData[Status], ROW() - 37), "")</f>
        <v/>
      </c>
    </row>
    <row r="2184" spans="2:10" ht="19.95" customHeight="1" x14ac:dyDescent="0.3">
      <c r="B2184" s="4" t="str" cm="1">
        <f t="array" ref="B2184">IFERROR(INDEX(EmployeeData[Employee ID], ROW() - 37), "")</f>
        <v/>
      </c>
      <c r="C2184" s="4" t="str" cm="1">
        <f t="array" ref="C2184">IFERROR(INDEX(EmployeeData[Full Name], ROW() - 37), "")</f>
        <v/>
      </c>
      <c r="D2184" s="4" t="str" cm="1">
        <f t="array" ref="D2184">IFERROR(INDEX(EmployeeData[Department], ROW() - 37), "")</f>
        <v/>
      </c>
      <c r="E2184" s="4" t="str" cm="1">
        <f t="array" ref="E2184">IFERROR(INDEX(EmployeeData[Gender], ROW() - 37), "")</f>
        <v/>
      </c>
      <c r="F2184" s="4" t="str" cm="1">
        <f t="array" ref="F2184">IFERROR(INDEX(EmployeeData[Age], ROW() - 37), "")</f>
        <v/>
      </c>
      <c r="G2184" s="6" t="str" cm="1">
        <f t="array" ref="G2184">IFERROR(INDEX(EmployeeData[Join Date], ROW() - 37), "")</f>
        <v/>
      </c>
      <c r="H2184" s="6" t="str" cm="1">
        <f t="array" ref="H2184">IFERROR(IF(INDEX(EmployeeData[Exit Date], ROW() - 37)=0, "",INDEX(EmployeeData[Exit Date], ROW() - 37)),"")</f>
        <v/>
      </c>
      <c r="I2184" s="4" t="str" cm="1">
        <f t="array" ref="I2184">IFERROR(IF(INDEX(EmployeeData[Exit Reason], ROW() - 37)=0, "",INDEX(EmployeeData[Exit Reason], ROW() - 37)),"")</f>
        <v/>
      </c>
      <c r="J2184" s="4" t="str" cm="1">
        <f t="array" ref="J2184">IFERROR(INDEX(EmployeeData[Status], ROW() - 37), "")</f>
        <v/>
      </c>
    </row>
    <row r="2185" spans="2:10" ht="19.95" customHeight="1" x14ac:dyDescent="0.3">
      <c r="B2185" s="4" t="str" cm="1">
        <f t="array" ref="B2185">IFERROR(INDEX(EmployeeData[Employee ID], ROW() - 37), "")</f>
        <v/>
      </c>
      <c r="C2185" s="4" t="str" cm="1">
        <f t="array" ref="C2185">IFERROR(INDEX(EmployeeData[Full Name], ROW() - 37), "")</f>
        <v/>
      </c>
      <c r="D2185" s="4" t="str" cm="1">
        <f t="array" ref="D2185">IFERROR(INDEX(EmployeeData[Department], ROW() - 37), "")</f>
        <v/>
      </c>
      <c r="E2185" s="4" t="str" cm="1">
        <f t="array" ref="E2185">IFERROR(INDEX(EmployeeData[Gender], ROW() - 37), "")</f>
        <v/>
      </c>
      <c r="F2185" s="4" t="str" cm="1">
        <f t="array" ref="F2185">IFERROR(INDEX(EmployeeData[Age], ROW() - 37), "")</f>
        <v/>
      </c>
      <c r="G2185" s="6" t="str" cm="1">
        <f t="array" ref="G2185">IFERROR(INDEX(EmployeeData[Join Date], ROW() - 37), "")</f>
        <v/>
      </c>
      <c r="H2185" s="6" t="str" cm="1">
        <f t="array" ref="H2185">IFERROR(IF(INDEX(EmployeeData[Exit Date], ROW() - 37)=0, "",INDEX(EmployeeData[Exit Date], ROW() - 37)),"")</f>
        <v/>
      </c>
      <c r="I2185" s="4" t="str" cm="1">
        <f t="array" ref="I2185">IFERROR(IF(INDEX(EmployeeData[Exit Reason], ROW() - 37)=0, "",INDEX(EmployeeData[Exit Reason], ROW() - 37)),"")</f>
        <v/>
      </c>
      <c r="J2185" s="4" t="str" cm="1">
        <f t="array" ref="J2185">IFERROR(INDEX(EmployeeData[Status], ROW() - 37), "")</f>
        <v/>
      </c>
    </row>
    <row r="2186" spans="2:10" ht="19.95" customHeight="1" x14ac:dyDescent="0.3">
      <c r="B2186" s="4" t="str" cm="1">
        <f t="array" ref="B2186">IFERROR(INDEX(EmployeeData[Employee ID], ROW() - 37), "")</f>
        <v/>
      </c>
      <c r="C2186" s="4" t="str" cm="1">
        <f t="array" ref="C2186">IFERROR(INDEX(EmployeeData[Full Name], ROW() - 37), "")</f>
        <v/>
      </c>
      <c r="D2186" s="4" t="str" cm="1">
        <f t="array" ref="D2186">IFERROR(INDEX(EmployeeData[Department], ROW() - 37), "")</f>
        <v/>
      </c>
      <c r="E2186" s="4" t="str" cm="1">
        <f t="array" ref="E2186">IFERROR(INDEX(EmployeeData[Gender], ROW() - 37), "")</f>
        <v/>
      </c>
      <c r="F2186" s="4" t="str" cm="1">
        <f t="array" ref="F2186">IFERROR(INDEX(EmployeeData[Age], ROW() - 37), "")</f>
        <v/>
      </c>
      <c r="G2186" s="6" t="str" cm="1">
        <f t="array" ref="G2186">IFERROR(INDEX(EmployeeData[Join Date], ROW() - 37), "")</f>
        <v/>
      </c>
      <c r="H2186" s="6" t="str" cm="1">
        <f t="array" ref="H2186">IFERROR(IF(INDEX(EmployeeData[Exit Date], ROW() - 37)=0, "",INDEX(EmployeeData[Exit Date], ROW() - 37)),"")</f>
        <v/>
      </c>
      <c r="I2186" s="4" t="str" cm="1">
        <f t="array" ref="I2186">IFERROR(IF(INDEX(EmployeeData[Exit Reason], ROW() - 37)=0, "",INDEX(EmployeeData[Exit Reason], ROW() - 37)),"")</f>
        <v/>
      </c>
      <c r="J2186" s="4" t="str" cm="1">
        <f t="array" ref="J2186">IFERROR(INDEX(EmployeeData[Status], ROW() - 37), "")</f>
        <v/>
      </c>
    </row>
    <row r="2187" spans="2:10" ht="19.95" customHeight="1" x14ac:dyDescent="0.3">
      <c r="B2187" s="4" t="str" cm="1">
        <f t="array" ref="B2187">IFERROR(INDEX(EmployeeData[Employee ID], ROW() - 37), "")</f>
        <v/>
      </c>
      <c r="C2187" s="4" t="str" cm="1">
        <f t="array" ref="C2187">IFERROR(INDEX(EmployeeData[Full Name], ROW() - 37), "")</f>
        <v/>
      </c>
      <c r="D2187" s="4" t="str" cm="1">
        <f t="array" ref="D2187">IFERROR(INDEX(EmployeeData[Department], ROW() - 37), "")</f>
        <v/>
      </c>
      <c r="E2187" s="4" t="str" cm="1">
        <f t="array" ref="E2187">IFERROR(INDEX(EmployeeData[Gender], ROW() - 37), "")</f>
        <v/>
      </c>
      <c r="F2187" s="4" t="str" cm="1">
        <f t="array" ref="F2187">IFERROR(INDEX(EmployeeData[Age], ROW() - 37), "")</f>
        <v/>
      </c>
      <c r="G2187" s="6" t="str" cm="1">
        <f t="array" ref="G2187">IFERROR(INDEX(EmployeeData[Join Date], ROW() - 37), "")</f>
        <v/>
      </c>
      <c r="H2187" s="6" t="str" cm="1">
        <f t="array" ref="H2187">IFERROR(IF(INDEX(EmployeeData[Exit Date], ROW() - 37)=0, "",INDEX(EmployeeData[Exit Date], ROW() - 37)),"")</f>
        <v/>
      </c>
      <c r="I2187" s="4" t="str" cm="1">
        <f t="array" ref="I2187">IFERROR(IF(INDEX(EmployeeData[Exit Reason], ROW() - 37)=0, "",INDEX(EmployeeData[Exit Reason], ROW() - 37)),"")</f>
        <v/>
      </c>
      <c r="J2187" s="4" t="str" cm="1">
        <f t="array" ref="J2187">IFERROR(INDEX(EmployeeData[Status], ROW() - 37), "")</f>
        <v/>
      </c>
    </row>
    <row r="2188" spans="2:10" ht="19.95" customHeight="1" x14ac:dyDescent="0.3">
      <c r="B2188" s="4" t="str" cm="1">
        <f t="array" ref="B2188">IFERROR(INDEX(EmployeeData[Employee ID], ROW() - 37), "")</f>
        <v/>
      </c>
      <c r="C2188" s="4" t="str" cm="1">
        <f t="array" ref="C2188">IFERROR(INDEX(EmployeeData[Full Name], ROW() - 37), "")</f>
        <v/>
      </c>
      <c r="D2188" s="4" t="str" cm="1">
        <f t="array" ref="D2188">IFERROR(INDEX(EmployeeData[Department], ROW() - 37), "")</f>
        <v/>
      </c>
      <c r="E2188" s="4" t="str" cm="1">
        <f t="array" ref="E2188">IFERROR(INDEX(EmployeeData[Gender], ROW() - 37), "")</f>
        <v/>
      </c>
      <c r="F2188" s="4" t="str" cm="1">
        <f t="array" ref="F2188">IFERROR(INDEX(EmployeeData[Age], ROW() - 37), "")</f>
        <v/>
      </c>
      <c r="G2188" s="6" t="str" cm="1">
        <f t="array" ref="G2188">IFERROR(INDEX(EmployeeData[Join Date], ROW() - 37), "")</f>
        <v/>
      </c>
      <c r="H2188" s="6" t="str" cm="1">
        <f t="array" ref="H2188">IFERROR(IF(INDEX(EmployeeData[Exit Date], ROW() - 37)=0, "",INDEX(EmployeeData[Exit Date], ROW() - 37)),"")</f>
        <v/>
      </c>
      <c r="I2188" s="4" t="str" cm="1">
        <f t="array" ref="I2188">IFERROR(IF(INDEX(EmployeeData[Exit Reason], ROW() - 37)=0, "",INDEX(EmployeeData[Exit Reason], ROW() - 37)),"")</f>
        <v/>
      </c>
      <c r="J2188" s="4" t="str" cm="1">
        <f t="array" ref="J2188">IFERROR(INDEX(EmployeeData[Status], ROW() - 37), "")</f>
        <v/>
      </c>
    </row>
    <row r="2189" spans="2:10" ht="19.95" customHeight="1" x14ac:dyDescent="0.3">
      <c r="B2189" s="4" t="str" cm="1">
        <f t="array" ref="B2189">IFERROR(INDEX(EmployeeData[Employee ID], ROW() - 37), "")</f>
        <v/>
      </c>
      <c r="C2189" s="4" t="str" cm="1">
        <f t="array" ref="C2189">IFERROR(INDEX(EmployeeData[Full Name], ROW() - 37), "")</f>
        <v/>
      </c>
      <c r="D2189" s="4" t="str" cm="1">
        <f t="array" ref="D2189">IFERROR(INDEX(EmployeeData[Department], ROW() - 37), "")</f>
        <v/>
      </c>
      <c r="E2189" s="4" t="str" cm="1">
        <f t="array" ref="E2189">IFERROR(INDEX(EmployeeData[Gender], ROW() - 37), "")</f>
        <v/>
      </c>
      <c r="F2189" s="4" t="str" cm="1">
        <f t="array" ref="F2189">IFERROR(INDEX(EmployeeData[Age], ROW() - 37), "")</f>
        <v/>
      </c>
      <c r="G2189" s="6" t="str" cm="1">
        <f t="array" ref="G2189">IFERROR(INDEX(EmployeeData[Join Date], ROW() - 37), "")</f>
        <v/>
      </c>
      <c r="H2189" s="6" t="str" cm="1">
        <f t="array" ref="H2189">IFERROR(IF(INDEX(EmployeeData[Exit Date], ROW() - 37)=0, "",INDEX(EmployeeData[Exit Date], ROW() - 37)),"")</f>
        <v/>
      </c>
      <c r="I2189" s="4" t="str" cm="1">
        <f t="array" ref="I2189">IFERROR(IF(INDEX(EmployeeData[Exit Reason], ROW() - 37)=0, "",INDEX(EmployeeData[Exit Reason], ROW() - 37)),"")</f>
        <v/>
      </c>
      <c r="J2189" s="4" t="str" cm="1">
        <f t="array" ref="J2189">IFERROR(INDEX(EmployeeData[Status], ROW() - 37), "")</f>
        <v/>
      </c>
    </row>
    <row r="2190" spans="2:10" ht="19.95" customHeight="1" x14ac:dyDescent="0.3">
      <c r="B2190" s="4" t="str" cm="1">
        <f t="array" ref="B2190">IFERROR(INDEX(EmployeeData[Employee ID], ROW() - 37), "")</f>
        <v/>
      </c>
      <c r="C2190" s="4" t="str" cm="1">
        <f t="array" ref="C2190">IFERROR(INDEX(EmployeeData[Full Name], ROW() - 37), "")</f>
        <v/>
      </c>
      <c r="D2190" s="4" t="str" cm="1">
        <f t="array" ref="D2190">IFERROR(INDEX(EmployeeData[Department], ROW() - 37), "")</f>
        <v/>
      </c>
      <c r="E2190" s="4" t="str" cm="1">
        <f t="array" ref="E2190">IFERROR(INDEX(EmployeeData[Gender], ROW() - 37), "")</f>
        <v/>
      </c>
      <c r="F2190" s="4" t="str" cm="1">
        <f t="array" ref="F2190">IFERROR(INDEX(EmployeeData[Age], ROW() - 37), "")</f>
        <v/>
      </c>
      <c r="G2190" s="6" t="str" cm="1">
        <f t="array" ref="G2190">IFERROR(INDEX(EmployeeData[Join Date], ROW() - 37), "")</f>
        <v/>
      </c>
      <c r="H2190" s="6" t="str" cm="1">
        <f t="array" ref="H2190">IFERROR(IF(INDEX(EmployeeData[Exit Date], ROW() - 37)=0, "",INDEX(EmployeeData[Exit Date], ROW() - 37)),"")</f>
        <v/>
      </c>
      <c r="I2190" s="4" t="str" cm="1">
        <f t="array" ref="I2190">IFERROR(IF(INDEX(EmployeeData[Exit Reason], ROW() - 37)=0, "",INDEX(EmployeeData[Exit Reason], ROW() - 37)),"")</f>
        <v/>
      </c>
      <c r="J2190" s="4" t="str" cm="1">
        <f t="array" ref="J2190">IFERROR(INDEX(EmployeeData[Status], ROW() - 37), "")</f>
        <v/>
      </c>
    </row>
    <row r="2191" spans="2:10" ht="19.95" customHeight="1" x14ac:dyDescent="0.3">
      <c r="B2191" s="4" t="str" cm="1">
        <f t="array" ref="B2191">IFERROR(INDEX(EmployeeData[Employee ID], ROW() - 37), "")</f>
        <v/>
      </c>
      <c r="C2191" s="4" t="str" cm="1">
        <f t="array" ref="C2191">IFERROR(INDEX(EmployeeData[Full Name], ROW() - 37), "")</f>
        <v/>
      </c>
      <c r="D2191" s="4" t="str" cm="1">
        <f t="array" ref="D2191">IFERROR(INDEX(EmployeeData[Department], ROW() - 37), "")</f>
        <v/>
      </c>
      <c r="E2191" s="4" t="str" cm="1">
        <f t="array" ref="E2191">IFERROR(INDEX(EmployeeData[Gender], ROW() - 37), "")</f>
        <v/>
      </c>
      <c r="F2191" s="4" t="str" cm="1">
        <f t="array" ref="F2191">IFERROR(INDEX(EmployeeData[Age], ROW() - 37), "")</f>
        <v/>
      </c>
      <c r="G2191" s="6" t="str" cm="1">
        <f t="array" ref="G2191">IFERROR(INDEX(EmployeeData[Join Date], ROW() - 37), "")</f>
        <v/>
      </c>
      <c r="H2191" s="6" t="str" cm="1">
        <f t="array" ref="H2191">IFERROR(IF(INDEX(EmployeeData[Exit Date], ROW() - 37)=0, "",INDEX(EmployeeData[Exit Date], ROW() - 37)),"")</f>
        <v/>
      </c>
      <c r="I2191" s="4" t="str" cm="1">
        <f t="array" ref="I2191">IFERROR(IF(INDEX(EmployeeData[Exit Reason], ROW() - 37)=0, "",INDEX(EmployeeData[Exit Reason], ROW() - 37)),"")</f>
        <v/>
      </c>
      <c r="J2191" s="4" t="str" cm="1">
        <f t="array" ref="J2191">IFERROR(INDEX(EmployeeData[Status], ROW() - 37), "")</f>
        <v/>
      </c>
    </row>
    <row r="2192" spans="2:10" ht="19.95" customHeight="1" x14ac:dyDescent="0.3">
      <c r="B2192" s="4" t="str" cm="1">
        <f t="array" ref="B2192">IFERROR(INDEX(EmployeeData[Employee ID], ROW() - 37), "")</f>
        <v/>
      </c>
      <c r="C2192" s="4" t="str" cm="1">
        <f t="array" ref="C2192">IFERROR(INDEX(EmployeeData[Full Name], ROW() - 37), "")</f>
        <v/>
      </c>
      <c r="D2192" s="4" t="str" cm="1">
        <f t="array" ref="D2192">IFERROR(INDEX(EmployeeData[Department], ROW() - 37), "")</f>
        <v/>
      </c>
      <c r="E2192" s="4" t="str" cm="1">
        <f t="array" ref="E2192">IFERROR(INDEX(EmployeeData[Gender], ROW() - 37), "")</f>
        <v/>
      </c>
      <c r="F2192" s="4" t="str" cm="1">
        <f t="array" ref="F2192">IFERROR(INDEX(EmployeeData[Age], ROW() - 37), "")</f>
        <v/>
      </c>
      <c r="G2192" s="6" t="str" cm="1">
        <f t="array" ref="G2192">IFERROR(INDEX(EmployeeData[Join Date], ROW() - 37), "")</f>
        <v/>
      </c>
      <c r="H2192" s="6" t="str" cm="1">
        <f t="array" ref="H2192">IFERROR(IF(INDEX(EmployeeData[Exit Date], ROW() - 37)=0, "",INDEX(EmployeeData[Exit Date], ROW() - 37)),"")</f>
        <v/>
      </c>
      <c r="I2192" s="4" t="str" cm="1">
        <f t="array" ref="I2192">IFERROR(IF(INDEX(EmployeeData[Exit Reason], ROW() - 37)=0, "",INDEX(EmployeeData[Exit Reason], ROW() - 37)),"")</f>
        <v/>
      </c>
      <c r="J2192" s="4" t="str" cm="1">
        <f t="array" ref="J2192">IFERROR(INDEX(EmployeeData[Status], ROW() - 37), "")</f>
        <v/>
      </c>
    </row>
    <row r="2193" spans="2:10" ht="19.95" customHeight="1" x14ac:dyDescent="0.3">
      <c r="B2193" s="4" t="str" cm="1">
        <f t="array" ref="B2193">IFERROR(INDEX(EmployeeData[Employee ID], ROW() - 37), "")</f>
        <v/>
      </c>
      <c r="C2193" s="4" t="str" cm="1">
        <f t="array" ref="C2193">IFERROR(INDEX(EmployeeData[Full Name], ROW() - 37), "")</f>
        <v/>
      </c>
      <c r="D2193" s="4" t="str" cm="1">
        <f t="array" ref="D2193">IFERROR(INDEX(EmployeeData[Department], ROW() - 37), "")</f>
        <v/>
      </c>
      <c r="E2193" s="4" t="str" cm="1">
        <f t="array" ref="E2193">IFERROR(INDEX(EmployeeData[Gender], ROW() - 37), "")</f>
        <v/>
      </c>
      <c r="F2193" s="4" t="str" cm="1">
        <f t="array" ref="F2193">IFERROR(INDEX(EmployeeData[Age], ROW() - 37), "")</f>
        <v/>
      </c>
      <c r="G2193" s="6" t="str" cm="1">
        <f t="array" ref="G2193">IFERROR(INDEX(EmployeeData[Join Date], ROW() - 37), "")</f>
        <v/>
      </c>
      <c r="H2193" s="6" t="str" cm="1">
        <f t="array" ref="H2193">IFERROR(IF(INDEX(EmployeeData[Exit Date], ROW() - 37)=0, "",INDEX(EmployeeData[Exit Date], ROW() - 37)),"")</f>
        <v/>
      </c>
      <c r="I2193" s="4" t="str" cm="1">
        <f t="array" ref="I2193">IFERROR(IF(INDEX(EmployeeData[Exit Reason], ROW() - 37)=0, "",INDEX(EmployeeData[Exit Reason], ROW() - 37)),"")</f>
        <v/>
      </c>
      <c r="J2193" s="4" t="str" cm="1">
        <f t="array" ref="J2193">IFERROR(INDEX(EmployeeData[Status], ROW() - 37), "")</f>
        <v/>
      </c>
    </row>
    <row r="2194" spans="2:10" ht="19.95" customHeight="1" x14ac:dyDescent="0.3">
      <c r="B2194" s="4" t="str" cm="1">
        <f t="array" ref="B2194">IFERROR(INDEX(EmployeeData[Employee ID], ROW() - 37), "")</f>
        <v/>
      </c>
      <c r="C2194" s="4" t="str" cm="1">
        <f t="array" ref="C2194">IFERROR(INDEX(EmployeeData[Full Name], ROW() - 37), "")</f>
        <v/>
      </c>
      <c r="D2194" s="4" t="str" cm="1">
        <f t="array" ref="D2194">IFERROR(INDEX(EmployeeData[Department], ROW() - 37), "")</f>
        <v/>
      </c>
      <c r="E2194" s="4" t="str" cm="1">
        <f t="array" ref="E2194">IFERROR(INDEX(EmployeeData[Gender], ROW() - 37), "")</f>
        <v/>
      </c>
      <c r="F2194" s="4" t="str" cm="1">
        <f t="array" ref="F2194">IFERROR(INDEX(EmployeeData[Age], ROW() - 37), "")</f>
        <v/>
      </c>
      <c r="G2194" s="6" t="str" cm="1">
        <f t="array" ref="G2194">IFERROR(INDEX(EmployeeData[Join Date], ROW() - 37), "")</f>
        <v/>
      </c>
      <c r="H2194" s="6" t="str" cm="1">
        <f t="array" ref="H2194">IFERROR(IF(INDEX(EmployeeData[Exit Date], ROW() - 37)=0, "",INDEX(EmployeeData[Exit Date], ROW() - 37)),"")</f>
        <v/>
      </c>
      <c r="I2194" s="4" t="str" cm="1">
        <f t="array" ref="I2194">IFERROR(IF(INDEX(EmployeeData[Exit Reason], ROW() - 37)=0, "",INDEX(EmployeeData[Exit Reason], ROW() - 37)),"")</f>
        <v/>
      </c>
      <c r="J2194" s="4" t="str" cm="1">
        <f t="array" ref="J2194">IFERROR(INDEX(EmployeeData[Status], ROW() - 37), "")</f>
        <v/>
      </c>
    </row>
    <row r="2195" spans="2:10" ht="19.95" customHeight="1" x14ac:dyDescent="0.3">
      <c r="B2195" s="4" t="str" cm="1">
        <f t="array" ref="B2195">IFERROR(INDEX(EmployeeData[Employee ID], ROW() - 37), "")</f>
        <v/>
      </c>
      <c r="C2195" s="4" t="str" cm="1">
        <f t="array" ref="C2195">IFERROR(INDEX(EmployeeData[Full Name], ROW() - 37), "")</f>
        <v/>
      </c>
      <c r="D2195" s="4" t="str" cm="1">
        <f t="array" ref="D2195">IFERROR(INDEX(EmployeeData[Department], ROW() - 37), "")</f>
        <v/>
      </c>
      <c r="E2195" s="4" t="str" cm="1">
        <f t="array" ref="E2195">IFERROR(INDEX(EmployeeData[Gender], ROW() - 37), "")</f>
        <v/>
      </c>
      <c r="F2195" s="4" t="str" cm="1">
        <f t="array" ref="F2195">IFERROR(INDEX(EmployeeData[Age], ROW() - 37), "")</f>
        <v/>
      </c>
      <c r="G2195" s="6" t="str" cm="1">
        <f t="array" ref="G2195">IFERROR(INDEX(EmployeeData[Join Date], ROW() - 37), "")</f>
        <v/>
      </c>
      <c r="H2195" s="6" t="str" cm="1">
        <f t="array" ref="H2195">IFERROR(IF(INDEX(EmployeeData[Exit Date], ROW() - 37)=0, "",INDEX(EmployeeData[Exit Date], ROW() - 37)),"")</f>
        <v/>
      </c>
      <c r="I2195" s="4" t="str" cm="1">
        <f t="array" ref="I2195">IFERROR(IF(INDEX(EmployeeData[Exit Reason], ROW() - 37)=0, "",INDEX(EmployeeData[Exit Reason], ROW() - 37)),"")</f>
        <v/>
      </c>
      <c r="J2195" s="4" t="str" cm="1">
        <f t="array" ref="J2195">IFERROR(INDEX(EmployeeData[Status], ROW() - 37), "")</f>
        <v/>
      </c>
    </row>
    <row r="2196" spans="2:10" ht="19.95" customHeight="1" x14ac:dyDescent="0.3">
      <c r="B2196" s="4" t="str" cm="1">
        <f t="array" ref="B2196">IFERROR(INDEX(EmployeeData[Employee ID], ROW() - 37), "")</f>
        <v/>
      </c>
      <c r="C2196" s="4" t="str" cm="1">
        <f t="array" ref="C2196">IFERROR(INDEX(EmployeeData[Full Name], ROW() - 37), "")</f>
        <v/>
      </c>
      <c r="D2196" s="4" t="str" cm="1">
        <f t="array" ref="D2196">IFERROR(INDEX(EmployeeData[Department], ROW() - 37), "")</f>
        <v/>
      </c>
      <c r="E2196" s="4" t="str" cm="1">
        <f t="array" ref="E2196">IFERROR(INDEX(EmployeeData[Gender], ROW() - 37), "")</f>
        <v/>
      </c>
      <c r="F2196" s="4" t="str" cm="1">
        <f t="array" ref="F2196">IFERROR(INDEX(EmployeeData[Age], ROW() - 37), "")</f>
        <v/>
      </c>
      <c r="G2196" s="6" t="str" cm="1">
        <f t="array" ref="G2196">IFERROR(INDEX(EmployeeData[Join Date], ROW() - 37), "")</f>
        <v/>
      </c>
      <c r="H2196" s="6" t="str" cm="1">
        <f t="array" ref="H2196">IFERROR(IF(INDEX(EmployeeData[Exit Date], ROW() - 37)=0, "",INDEX(EmployeeData[Exit Date], ROW() - 37)),"")</f>
        <v/>
      </c>
      <c r="I2196" s="4" t="str" cm="1">
        <f t="array" ref="I2196">IFERROR(IF(INDEX(EmployeeData[Exit Reason], ROW() - 37)=0, "",INDEX(EmployeeData[Exit Reason], ROW() - 37)),"")</f>
        <v/>
      </c>
      <c r="J2196" s="4" t="str" cm="1">
        <f t="array" ref="J2196">IFERROR(INDEX(EmployeeData[Status], ROW() - 37), "")</f>
        <v/>
      </c>
    </row>
    <row r="2197" spans="2:10" ht="19.95" customHeight="1" x14ac:dyDescent="0.3">
      <c r="B2197" s="4" t="str" cm="1">
        <f t="array" ref="B2197">IFERROR(INDEX(EmployeeData[Employee ID], ROW() - 37), "")</f>
        <v/>
      </c>
      <c r="C2197" s="4" t="str" cm="1">
        <f t="array" ref="C2197">IFERROR(INDEX(EmployeeData[Full Name], ROW() - 37), "")</f>
        <v/>
      </c>
      <c r="D2197" s="4" t="str" cm="1">
        <f t="array" ref="D2197">IFERROR(INDEX(EmployeeData[Department], ROW() - 37), "")</f>
        <v/>
      </c>
      <c r="E2197" s="4" t="str" cm="1">
        <f t="array" ref="E2197">IFERROR(INDEX(EmployeeData[Gender], ROW() - 37), "")</f>
        <v/>
      </c>
      <c r="F2197" s="4" t="str" cm="1">
        <f t="array" ref="F2197">IFERROR(INDEX(EmployeeData[Age], ROW() - 37), "")</f>
        <v/>
      </c>
      <c r="G2197" s="6" t="str" cm="1">
        <f t="array" ref="G2197">IFERROR(INDEX(EmployeeData[Join Date], ROW() - 37), "")</f>
        <v/>
      </c>
      <c r="H2197" s="6" t="str" cm="1">
        <f t="array" ref="H2197">IFERROR(IF(INDEX(EmployeeData[Exit Date], ROW() - 37)=0, "",INDEX(EmployeeData[Exit Date], ROW() - 37)),"")</f>
        <v/>
      </c>
      <c r="I2197" s="4" t="str" cm="1">
        <f t="array" ref="I2197">IFERROR(IF(INDEX(EmployeeData[Exit Reason], ROW() - 37)=0, "",INDEX(EmployeeData[Exit Reason], ROW() - 37)),"")</f>
        <v/>
      </c>
      <c r="J2197" s="4" t="str" cm="1">
        <f t="array" ref="J2197">IFERROR(INDEX(EmployeeData[Status], ROW() - 37), "")</f>
        <v/>
      </c>
    </row>
    <row r="2198" spans="2:10" ht="19.95" customHeight="1" x14ac:dyDescent="0.3">
      <c r="B2198" s="4" t="str" cm="1">
        <f t="array" ref="B2198">IFERROR(INDEX(EmployeeData[Employee ID], ROW() - 37), "")</f>
        <v/>
      </c>
      <c r="C2198" s="4" t="str" cm="1">
        <f t="array" ref="C2198">IFERROR(INDEX(EmployeeData[Full Name], ROW() - 37), "")</f>
        <v/>
      </c>
      <c r="D2198" s="4" t="str" cm="1">
        <f t="array" ref="D2198">IFERROR(INDEX(EmployeeData[Department], ROW() - 37), "")</f>
        <v/>
      </c>
      <c r="E2198" s="4" t="str" cm="1">
        <f t="array" ref="E2198">IFERROR(INDEX(EmployeeData[Gender], ROW() - 37), "")</f>
        <v/>
      </c>
      <c r="F2198" s="4" t="str" cm="1">
        <f t="array" ref="F2198">IFERROR(INDEX(EmployeeData[Age], ROW() - 37), "")</f>
        <v/>
      </c>
      <c r="G2198" s="6" t="str" cm="1">
        <f t="array" ref="G2198">IFERROR(INDEX(EmployeeData[Join Date], ROW() - 37), "")</f>
        <v/>
      </c>
      <c r="H2198" s="6" t="str" cm="1">
        <f t="array" ref="H2198">IFERROR(IF(INDEX(EmployeeData[Exit Date], ROW() - 37)=0, "",INDEX(EmployeeData[Exit Date], ROW() - 37)),"")</f>
        <v/>
      </c>
      <c r="I2198" s="4" t="str" cm="1">
        <f t="array" ref="I2198">IFERROR(IF(INDEX(EmployeeData[Exit Reason], ROW() - 37)=0, "",INDEX(EmployeeData[Exit Reason], ROW() - 37)),"")</f>
        <v/>
      </c>
      <c r="J2198" s="4" t="str" cm="1">
        <f t="array" ref="J2198">IFERROR(INDEX(EmployeeData[Status], ROW() - 37), "")</f>
        <v/>
      </c>
    </row>
    <row r="2199" spans="2:10" ht="19.95" customHeight="1" x14ac:dyDescent="0.3">
      <c r="B2199" s="4" t="str" cm="1">
        <f t="array" ref="B2199">IFERROR(INDEX(EmployeeData[Employee ID], ROW() - 37), "")</f>
        <v/>
      </c>
      <c r="C2199" s="4" t="str" cm="1">
        <f t="array" ref="C2199">IFERROR(INDEX(EmployeeData[Full Name], ROW() - 37), "")</f>
        <v/>
      </c>
      <c r="D2199" s="4" t="str" cm="1">
        <f t="array" ref="D2199">IFERROR(INDEX(EmployeeData[Department], ROW() - 37), "")</f>
        <v/>
      </c>
      <c r="E2199" s="4" t="str" cm="1">
        <f t="array" ref="E2199">IFERROR(INDEX(EmployeeData[Gender], ROW() - 37), "")</f>
        <v/>
      </c>
      <c r="F2199" s="4" t="str" cm="1">
        <f t="array" ref="F2199">IFERROR(INDEX(EmployeeData[Age], ROW() - 37), "")</f>
        <v/>
      </c>
      <c r="G2199" s="6" t="str" cm="1">
        <f t="array" ref="G2199">IFERROR(INDEX(EmployeeData[Join Date], ROW() - 37), "")</f>
        <v/>
      </c>
      <c r="H2199" s="6" t="str" cm="1">
        <f t="array" ref="H2199">IFERROR(IF(INDEX(EmployeeData[Exit Date], ROW() - 37)=0, "",INDEX(EmployeeData[Exit Date], ROW() - 37)),"")</f>
        <v/>
      </c>
      <c r="I2199" s="4" t="str" cm="1">
        <f t="array" ref="I2199">IFERROR(IF(INDEX(EmployeeData[Exit Reason], ROW() - 37)=0, "",INDEX(EmployeeData[Exit Reason], ROW() - 37)),"")</f>
        <v/>
      </c>
      <c r="J2199" s="4" t="str" cm="1">
        <f t="array" ref="J2199">IFERROR(INDEX(EmployeeData[Status], ROW() - 37), "")</f>
        <v/>
      </c>
    </row>
    <row r="2200" spans="2:10" ht="19.95" customHeight="1" x14ac:dyDescent="0.3">
      <c r="B2200" s="4" t="str" cm="1">
        <f t="array" ref="B2200">IFERROR(INDEX(EmployeeData[Employee ID], ROW() - 37), "")</f>
        <v/>
      </c>
      <c r="C2200" s="4" t="str" cm="1">
        <f t="array" ref="C2200">IFERROR(INDEX(EmployeeData[Full Name], ROW() - 37), "")</f>
        <v/>
      </c>
      <c r="D2200" s="4" t="str" cm="1">
        <f t="array" ref="D2200">IFERROR(INDEX(EmployeeData[Department], ROW() - 37), "")</f>
        <v/>
      </c>
      <c r="E2200" s="4" t="str" cm="1">
        <f t="array" ref="E2200">IFERROR(INDEX(EmployeeData[Gender], ROW() - 37), "")</f>
        <v/>
      </c>
      <c r="F2200" s="4" t="str" cm="1">
        <f t="array" ref="F2200">IFERROR(INDEX(EmployeeData[Age], ROW() - 37), "")</f>
        <v/>
      </c>
      <c r="G2200" s="6" t="str" cm="1">
        <f t="array" ref="G2200">IFERROR(INDEX(EmployeeData[Join Date], ROW() - 37), "")</f>
        <v/>
      </c>
      <c r="H2200" s="6" t="str" cm="1">
        <f t="array" ref="H2200">IFERROR(IF(INDEX(EmployeeData[Exit Date], ROW() - 37)=0, "",INDEX(EmployeeData[Exit Date], ROW() - 37)),"")</f>
        <v/>
      </c>
      <c r="I2200" s="4" t="str" cm="1">
        <f t="array" ref="I2200">IFERROR(IF(INDEX(EmployeeData[Exit Reason], ROW() - 37)=0, "",INDEX(EmployeeData[Exit Reason], ROW() - 37)),"")</f>
        <v/>
      </c>
      <c r="J2200" s="4" t="str" cm="1">
        <f t="array" ref="J2200">IFERROR(INDEX(EmployeeData[Status], ROW() - 37), "")</f>
        <v/>
      </c>
    </row>
    <row r="2201" spans="2:10" ht="19.95" customHeight="1" x14ac:dyDescent="0.3">
      <c r="B2201" s="4" t="str" cm="1">
        <f t="array" ref="B2201">IFERROR(INDEX(EmployeeData[Employee ID], ROW() - 37), "")</f>
        <v/>
      </c>
      <c r="C2201" s="4" t="str" cm="1">
        <f t="array" ref="C2201">IFERROR(INDEX(EmployeeData[Full Name], ROW() - 37), "")</f>
        <v/>
      </c>
      <c r="D2201" s="4" t="str" cm="1">
        <f t="array" ref="D2201">IFERROR(INDEX(EmployeeData[Department], ROW() - 37), "")</f>
        <v/>
      </c>
      <c r="E2201" s="4" t="str" cm="1">
        <f t="array" ref="E2201">IFERROR(INDEX(EmployeeData[Gender], ROW() - 37), "")</f>
        <v/>
      </c>
      <c r="F2201" s="4" t="str" cm="1">
        <f t="array" ref="F2201">IFERROR(INDEX(EmployeeData[Age], ROW() - 37), "")</f>
        <v/>
      </c>
      <c r="G2201" s="6" t="str" cm="1">
        <f t="array" ref="G2201">IFERROR(INDEX(EmployeeData[Join Date], ROW() - 37), "")</f>
        <v/>
      </c>
      <c r="H2201" s="6" t="str" cm="1">
        <f t="array" ref="H2201">IFERROR(IF(INDEX(EmployeeData[Exit Date], ROW() - 37)=0, "",INDEX(EmployeeData[Exit Date], ROW() - 37)),"")</f>
        <v/>
      </c>
      <c r="I2201" s="4" t="str" cm="1">
        <f t="array" ref="I2201">IFERROR(IF(INDEX(EmployeeData[Exit Reason], ROW() - 37)=0, "",INDEX(EmployeeData[Exit Reason], ROW() - 37)),"")</f>
        <v/>
      </c>
      <c r="J2201" s="4" t="str" cm="1">
        <f t="array" ref="J2201">IFERROR(INDEX(EmployeeData[Status], ROW() - 37), "")</f>
        <v/>
      </c>
    </row>
    <row r="2202" spans="2:10" ht="19.95" customHeight="1" x14ac:dyDescent="0.3">
      <c r="B2202" s="4" t="str" cm="1">
        <f t="array" ref="B2202">IFERROR(INDEX(EmployeeData[Employee ID], ROW() - 37), "")</f>
        <v/>
      </c>
      <c r="C2202" s="4" t="str" cm="1">
        <f t="array" ref="C2202">IFERROR(INDEX(EmployeeData[Full Name], ROW() - 37), "")</f>
        <v/>
      </c>
      <c r="D2202" s="4" t="str" cm="1">
        <f t="array" ref="D2202">IFERROR(INDEX(EmployeeData[Department], ROW() - 37), "")</f>
        <v/>
      </c>
      <c r="E2202" s="4" t="str" cm="1">
        <f t="array" ref="E2202">IFERROR(INDEX(EmployeeData[Gender], ROW() - 37), "")</f>
        <v/>
      </c>
      <c r="F2202" s="4" t="str" cm="1">
        <f t="array" ref="F2202">IFERROR(INDEX(EmployeeData[Age], ROW() - 37), "")</f>
        <v/>
      </c>
      <c r="G2202" s="6" t="str" cm="1">
        <f t="array" ref="G2202">IFERROR(INDEX(EmployeeData[Join Date], ROW() - 37), "")</f>
        <v/>
      </c>
      <c r="H2202" s="6" t="str" cm="1">
        <f t="array" ref="H2202">IFERROR(IF(INDEX(EmployeeData[Exit Date], ROW() - 37)=0, "",INDEX(EmployeeData[Exit Date], ROW() - 37)),"")</f>
        <v/>
      </c>
      <c r="I2202" s="4" t="str" cm="1">
        <f t="array" ref="I2202">IFERROR(IF(INDEX(EmployeeData[Exit Reason], ROW() - 37)=0, "",INDEX(EmployeeData[Exit Reason], ROW() - 37)),"")</f>
        <v/>
      </c>
      <c r="J2202" s="4" t="str" cm="1">
        <f t="array" ref="J2202">IFERROR(INDEX(EmployeeData[Status], ROW() - 37), "")</f>
        <v/>
      </c>
    </row>
    <row r="2203" spans="2:10" ht="19.95" customHeight="1" x14ac:dyDescent="0.3">
      <c r="B2203" s="4" t="str" cm="1">
        <f t="array" ref="B2203">IFERROR(INDEX(EmployeeData[Employee ID], ROW() - 37), "")</f>
        <v/>
      </c>
      <c r="C2203" s="4" t="str" cm="1">
        <f t="array" ref="C2203">IFERROR(INDEX(EmployeeData[Full Name], ROW() - 37), "")</f>
        <v/>
      </c>
      <c r="D2203" s="4" t="str" cm="1">
        <f t="array" ref="D2203">IFERROR(INDEX(EmployeeData[Department], ROW() - 37), "")</f>
        <v/>
      </c>
      <c r="E2203" s="4" t="str" cm="1">
        <f t="array" ref="E2203">IFERROR(INDEX(EmployeeData[Gender], ROW() - 37), "")</f>
        <v/>
      </c>
      <c r="F2203" s="4" t="str" cm="1">
        <f t="array" ref="F2203">IFERROR(INDEX(EmployeeData[Age], ROW() - 37), "")</f>
        <v/>
      </c>
      <c r="G2203" s="6" t="str" cm="1">
        <f t="array" ref="G2203">IFERROR(INDEX(EmployeeData[Join Date], ROW() - 37), "")</f>
        <v/>
      </c>
      <c r="H2203" s="6" t="str" cm="1">
        <f t="array" ref="H2203">IFERROR(IF(INDEX(EmployeeData[Exit Date], ROW() - 37)=0, "",INDEX(EmployeeData[Exit Date], ROW() - 37)),"")</f>
        <v/>
      </c>
      <c r="I2203" s="4" t="str" cm="1">
        <f t="array" ref="I2203">IFERROR(IF(INDEX(EmployeeData[Exit Reason], ROW() - 37)=0, "",INDEX(EmployeeData[Exit Reason], ROW() - 37)),"")</f>
        <v/>
      </c>
      <c r="J2203" s="4" t="str" cm="1">
        <f t="array" ref="J2203">IFERROR(INDEX(EmployeeData[Status], ROW() - 37), "")</f>
        <v/>
      </c>
    </row>
    <row r="2204" spans="2:10" ht="19.95" customHeight="1" x14ac:dyDescent="0.3">
      <c r="B2204" s="4" t="str" cm="1">
        <f t="array" ref="B2204">IFERROR(INDEX(EmployeeData[Employee ID], ROW() - 37), "")</f>
        <v/>
      </c>
      <c r="C2204" s="4" t="str" cm="1">
        <f t="array" ref="C2204">IFERROR(INDEX(EmployeeData[Full Name], ROW() - 37), "")</f>
        <v/>
      </c>
      <c r="D2204" s="4" t="str" cm="1">
        <f t="array" ref="D2204">IFERROR(INDEX(EmployeeData[Department], ROW() - 37), "")</f>
        <v/>
      </c>
      <c r="E2204" s="4" t="str" cm="1">
        <f t="array" ref="E2204">IFERROR(INDEX(EmployeeData[Gender], ROW() - 37), "")</f>
        <v/>
      </c>
      <c r="F2204" s="4" t="str" cm="1">
        <f t="array" ref="F2204">IFERROR(INDEX(EmployeeData[Age], ROW() - 37), "")</f>
        <v/>
      </c>
      <c r="G2204" s="6" t="str" cm="1">
        <f t="array" ref="G2204">IFERROR(INDEX(EmployeeData[Join Date], ROW() - 37), "")</f>
        <v/>
      </c>
      <c r="H2204" s="6" t="str" cm="1">
        <f t="array" ref="H2204">IFERROR(IF(INDEX(EmployeeData[Exit Date], ROW() - 37)=0, "",INDEX(EmployeeData[Exit Date], ROW() - 37)),"")</f>
        <v/>
      </c>
      <c r="I2204" s="4" t="str" cm="1">
        <f t="array" ref="I2204">IFERROR(IF(INDEX(EmployeeData[Exit Reason], ROW() - 37)=0, "",INDEX(EmployeeData[Exit Reason], ROW() - 37)),"")</f>
        <v/>
      </c>
      <c r="J2204" s="4" t="str" cm="1">
        <f t="array" ref="J2204">IFERROR(INDEX(EmployeeData[Status], ROW() - 37), "")</f>
        <v/>
      </c>
    </row>
    <row r="2205" spans="2:10" ht="19.95" customHeight="1" x14ac:dyDescent="0.3">
      <c r="B2205" s="4" t="str" cm="1">
        <f t="array" ref="B2205">IFERROR(INDEX(EmployeeData[Employee ID], ROW() - 37), "")</f>
        <v/>
      </c>
      <c r="C2205" s="4" t="str" cm="1">
        <f t="array" ref="C2205">IFERROR(INDEX(EmployeeData[Full Name], ROW() - 37), "")</f>
        <v/>
      </c>
      <c r="D2205" s="4" t="str" cm="1">
        <f t="array" ref="D2205">IFERROR(INDEX(EmployeeData[Department], ROW() - 37), "")</f>
        <v/>
      </c>
      <c r="E2205" s="4" t="str" cm="1">
        <f t="array" ref="E2205">IFERROR(INDEX(EmployeeData[Gender], ROW() - 37), "")</f>
        <v/>
      </c>
      <c r="F2205" s="4" t="str" cm="1">
        <f t="array" ref="F2205">IFERROR(INDEX(EmployeeData[Age], ROW() - 37), "")</f>
        <v/>
      </c>
      <c r="G2205" s="6" t="str" cm="1">
        <f t="array" ref="G2205">IFERROR(INDEX(EmployeeData[Join Date], ROW() - 37), "")</f>
        <v/>
      </c>
      <c r="H2205" s="6" t="str" cm="1">
        <f t="array" ref="H2205">IFERROR(IF(INDEX(EmployeeData[Exit Date], ROW() - 37)=0, "",INDEX(EmployeeData[Exit Date], ROW() - 37)),"")</f>
        <v/>
      </c>
      <c r="I2205" s="4" t="str" cm="1">
        <f t="array" ref="I2205">IFERROR(IF(INDEX(EmployeeData[Exit Reason], ROW() - 37)=0, "",INDEX(EmployeeData[Exit Reason], ROW() - 37)),"")</f>
        <v/>
      </c>
      <c r="J2205" s="4" t="str" cm="1">
        <f t="array" ref="J2205">IFERROR(INDEX(EmployeeData[Status], ROW() - 37), "")</f>
        <v/>
      </c>
    </row>
    <row r="2206" spans="2:10" ht="19.95" customHeight="1" x14ac:dyDescent="0.3">
      <c r="B2206" s="4" t="str" cm="1">
        <f t="array" ref="B2206">IFERROR(INDEX(EmployeeData[Employee ID], ROW() - 37), "")</f>
        <v/>
      </c>
      <c r="C2206" s="4" t="str" cm="1">
        <f t="array" ref="C2206">IFERROR(INDEX(EmployeeData[Full Name], ROW() - 37), "")</f>
        <v/>
      </c>
      <c r="D2206" s="4" t="str" cm="1">
        <f t="array" ref="D2206">IFERROR(INDEX(EmployeeData[Department], ROW() - 37), "")</f>
        <v/>
      </c>
      <c r="E2206" s="4" t="str" cm="1">
        <f t="array" ref="E2206">IFERROR(INDEX(EmployeeData[Gender], ROW() - 37), "")</f>
        <v/>
      </c>
      <c r="F2206" s="4" t="str" cm="1">
        <f t="array" ref="F2206">IFERROR(INDEX(EmployeeData[Age], ROW() - 37), "")</f>
        <v/>
      </c>
      <c r="G2206" s="6" t="str" cm="1">
        <f t="array" ref="G2206">IFERROR(INDEX(EmployeeData[Join Date], ROW() - 37), "")</f>
        <v/>
      </c>
      <c r="H2206" s="6" t="str" cm="1">
        <f t="array" ref="H2206">IFERROR(IF(INDEX(EmployeeData[Exit Date], ROW() - 37)=0, "",INDEX(EmployeeData[Exit Date], ROW() - 37)),"")</f>
        <v/>
      </c>
      <c r="I2206" s="4" t="str" cm="1">
        <f t="array" ref="I2206">IFERROR(IF(INDEX(EmployeeData[Exit Reason], ROW() - 37)=0, "",INDEX(EmployeeData[Exit Reason], ROW() - 37)),"")</f>
        <v/>
      </c>
      <c r="J2206" s="4" t="str" cm="1">
        <f t="array" ref="J2206">IFERROR(INDEX(EmployeeData[Status], ROW() - 37), "")</f>
        <v/>
      </c>
    </row>
    <row r="2207" spans="2:10" ht="19.95" customHeight="1" x14ac:dyDescent="0.3">
      <c r="B2207" s="4" t="str" cm="1">
        <f t="array" ref="B2207">IFERROR(INDEX(EmployeeData[Employee ID], ROW() - 37), "")</f>
        <v/>
      </c>
      <c r="C2207" s="4" t="str" cm="1">
        <f t="array" ref="C2207">IFERROR(INDEX(EmployeeData[Full Name], ROW() - 37), "")</f>
        <v/>
      </c>
      <c r="D2207" s="4" t="str" cm="1">
        <f t="array" ref="D2207">IFERROR(INDEX(EmployeeData[Department], ROW() - 37), "")</f>
        <v/>
      </c>
      <c r="E2207" s="4" t="str" cm="1">
        <f t="array" ref="E2207">IFERROR(INDEX(EmployeeData[Gender], ROW() - 37), "")</f>
        <v/>
      </c>
      <c r="F2207" s="4" t="str" cm="1">
        <f t="array" ref="F2207">IFERROR(INDEX(EmployeeData[Age], ROW() - 37), "")</f>
        <v/>
      </c>
      <c r="G2207" s="6" t="str" cm="1">
        <f t="array" ref="G2207">IFERROR(INDEX(EmployeeData[Join Date], ROW() - 37), "")</f>
        <v/>
      </c>
      <c r="H2207" s="6" t="str" cm="1">
        <f t="array" ref="H2207">IFERROR(IF(INDEX(EmployeeData[Exit Date], ROW() - 37)=0, "",INDEX(EmployeeData[Exit Date], ROW() - 37)),"")</f>
        <v/>
      </c>
      <c r="I2207" s="4" t="str" cm="1">
        <f t="array" ref="I2207">IFERROR(IF(INDEX(EmployeeData[Exit Reason], ROW() - 37)=0, "",INDEX(EmployeeData[Exit Reason], ROW() - 37)),"")</f>
        <v/>
      </c>
      <c r="J2207" s="4" t="str" cm="1">
        <f t="array" ref="J2207">IFERROR(INDEX(EmployeeData[Status], ROW() - 37), "")</f>
        <v/>
      </c>
    </row>
    <row r="2208" spans="2:10" ht="19.95" customHeight="1" x14ac:dyDescent="0.3">
      <c r="B2208" s="4" t="str" cm="1">
        <f t="array" ref="B2208">IFERROR(INDEX(EmployeeData[Employee ID], ROW() - 37), "")</f>
        <v/>
      </c>
      <c r="C2208" s="4" t="str" cm="1">
        <f t="array" ref="C2208">IFERROR(INDEX(EmployeeData[Full Name], ROW() - 37), "")</f>
        <v/>
      </c>
      <c r="D2208" s="4" t="str" cm="1">
        <f t="array" ref="D2208">IFERROR(INDEX(EmployeeData[Department], ROW() - 37), "")</f>
        <v/>
      </c>
      <c r="E2208" s="4" t="str" cm="1">
        <f t="array" ref="E2208">IFERROR(INDEX(EmployeeData[Gender], ROW() - 37), "")</f>
        <v/>
      </c>
      <c r="F2208" s="4" t="str" cm="1">
        <f t="array" ref="F2208">IFERROR(INDEX(EmployeeData[Age], ROW() - 37), "")</f>
        <v/>
      </c>
      <c r="G2208" s="6" t="str" cm="1">
        <f t="array" ref="G2208">IFERROR(INDEX(EmployeeData[Join Date], ROW() - 37), "")</f>
        <v/>
      </c>
      <c r="H2208" s="6" t="str" cm="1">
        <f t="array" ref="H2208">IFERROR(IF(INDEX(EmployeeData[Exit Date], ROW() - 37)=0, "",INDEX(EmployeeData[Exit Date], ROW() - 37)),"")</f>
        <v/>
      </c>
      <c r="I2208" s="4" t="str" cm="1">
        <f t="array" ref="I2208">IFERROR(IF(INDEX(EmployeeData[Exit Reason], ROW() - 37)=0, "",INDEX(EmployeeData[Exit Reason], ROW() - 37)),"")</f>
        <v/>
      </c>
      <c r="J2208" s="4" t="str" cm="1">
        <f t="array" ref="J2208">IFERROR(INDEX(EmployeeData[Status], ROW() - 37), "")</f>
        <v/>
      </c>
    </row>
    <row r="2209" spans="2:10" ht="19.95" customHeight="1" x14ac:dyDescent="0.3">
      <c r="B2209" s="4" t="str" cm="1">
        <f t="array" ref="B2209">IFERROR(INDEX(EmployeeData[Employee ID], ROW() - 37), "")</f>
        <v/>
      </c>
      <c r="C2209" s="4" t="str" cm="1">
        <f t="array" ref="C2209">IFERROR(INDEX(EmployeeData[Full Name], ROW() - 37), "")</f>
        <v/>
      </c>
      <c r="D2209" s="4" t="str" cm="1">
        <f t="array" ref="D2209">IFERROR(INDEX(EmployeeData[Department], ROW() - 37), "")</f>
        <v/>
      </c>
      <c r="E2209" s="4" t="str" cm="1">
        <f t="array" ref="E2209">IFERROR(INDEX(EmployeeData[Gender], ROW() - 37), "")</f>
        <v/>
      </c>
      <c r="F2209" s="4" t="str" cm="1">
        <f t="array" ref="F2209">IFERROR(INDEX(EmployeeData[Age], ROW() - 37), "")</f>
        <v/>
      </c>
      <c r="G2209" s="6" t="str" cm="1">
        <f t="array" ref="G2209">IFERROR(INDEX(EmployeeData[Join Date], ROW() - 37), "")</f>
        <v/>
      </c>
      <c r="H2209" s="6" t="str" cm="1">
        <f t="array" ref="H2209">IFERROR(IF(INDEX(EmployeeData[Exit Date], ROW() - 37)=0, "",INDEX(EmployeeData[Exit Date], ROW() - 37)),"")</f>
        <v/>
      </c>
      <c r="I2209" s="4" t="str" cm="1">
        <f t="array" ref="I2209">IFERROR(IF(INDEX(EmployeeData[Exit Reason], ROW() - 37)=0, "",INDEX(EmployeeData[Exit Reason], ROW() - 37)),"")</f>
        <v/>
      </c>
      <c r="J2209" s="4" t="str" cm="1">
        <f t="array" ref="J2209">IFERROR(INDEX(EmployeeData[Status], ROW() - 37), "")</f>
        <v/>
      </c>
    </row>
    <row r="2210" spans="2:10" ht="19.95" customHeight="1" x14ac:dyDescent="0.3">
      <c r="B2210" s="4" t="str" cm="1">
        <f t="array" ref="B2210">IFERROR(INDEX(EmployeeData[Employee ID], ROW() - 37), "")</f>
        <v/>
      </c>
      <c r="C2210" s="4" t="str" cm="1">
        <f t="array" ref="C2210">IFERROR(INDEX(EmployeeData[Full Name], ROW() - 37), "")</f>
        <v/>
      </c>
      <c r="D2210" s="4" t="str" cm="1">
        <f t="array" ref="D2210">IFERROR(INDEX(EmployeeData[Department], ROW() - 37), "")</f>
        <v/>
      </c>
      <c r="E2210" s="4" t="str" cm="1">
        <f t="array" ref="E2210">IFERROR(INDEX(EmployeeData[Gender], ROW() - 37), "")</f>
        <v/>
      </c>
      <c r="F2210" s="4" t="str" cm="1">
        <f t="array" ref="F2210">IFERROR(INDEX(EmployeeData[Age], ROW() - 37), "")</f>
        <v/>
      </c>
      <c r="G2210" s="6" t="str" cm="1">
        <f t="array" ref="G2210">IFERROR(INDEX(EmployeeData[Join Date], ROW() - 37), "")</f>
        <v/>
      </c>
      <c r="H2210" s="6" t="str" cm="1">
        <f t="array" ref="H2210">IFERROR(IF(INDEX(EmployeeData[Exit Date], ROW() - 37)=0, "",INDEX(EmployeeData[Exit Date], ROW() - 37)),"")</f>
        <v/>
      </c>
      <c r="I2210" s="4" t="str" cm="1">
        <f t="array" ref="I2210">IFERROR(IF(INDEX(EmployeeData[Exit Reason], ROW() - 37)=0, "",INDEX(EmployeeData[Exit Reason], ROW() - 37)),"")</f>
        <v/>
      </c>
      <c r="J2210" s="4" t="str" cm="1">
        <f t="array" ref="J2210">IFERROR(INDEX(EmployeeData[Status], ROW() - 37), "")</f>
        <v/>
      </c>
    </row>
    <row r="2211" spans="2:10" ht="19.95" customHeight="1" x14ac:dyDescent="0.3">
      <c r="B2211" s="4" t="str" cm="1">
        <f t="array" ref="B2211">IFERROR(INDEX(EmployeeData[Employee ID], ROW() - 37), "")</f>
        <v/>
      </c>
      <c r="C2211" s="4" t="str" cm="1">
        <f t="array" ref="C2211">IFERROR(INDEX(EmployeeData[Full Name], ROW() - 37), "")</f>
        <v/>
      </c>
      <c r="D2211" s="4" t="str" cm="1">
        <f t="array" ref="D2211">IFERROR(INDEX(EmployeeData[Department], ROW() - 37), "")</f>
        <v/>
      </c>
      <c r="E2211" s="4" t="str" cm="1">
        <f t="array" ref="E2211">IFERROR(INDEX(EmployeeData[Gender], ROW() - 37), "")</f>
        <v/>
      </c>
      <c r="F2211" s="4" t="str" cm="1">
        <f t="array" ref="F2211">IFERROR(INDEX(EmployeeData[Age], ROW() - 37), "")</f>
        <v/>
      </c>
      <c r="G2211" s="6" t="str" cm="1">
        <f t="array" ref="G2211">IFERROR(INDEX(EmployeeData[Join Date], ROW() - 37), "")</f>
        <v/>
      </c>
      <c r="H2211" s="6" t="str" cm="1">
        <f t="array" ref="H2211">IFERROR(IF(INDEX(EmployeeData[Exit Date], ROW() - 37)=0, "",INDEX(EmployeeData[Exit Date], ROW() - 37)),"")</f>
        <v/>
      </c>
      <c r="I2211" s="4" t="str" cm="1">
        <f t="array" ref="I2211">IFERROR(IF(INDEX(EmployeeData[Exit Reason], ROW() - 37)=0, "",INDEX(EmployeeData[Exit Reason], ROW() - 37)),"")</f>
        <v/>
      </c>
      <c r="J2211" s="4" t="str" cm="1">
        <f t="array" ref="J2211">IFERROR(INDEX(EmployeeData[Status], ROW() - 37), "")</f>
        <v/>
      </c>
    </row>
    <row r="2212" spans="2:10" ht="19.95" customHeight="1" x14ac:dyDescent="0.3">
      <c r="B2212" s="4" t="str" cm="1">
        <f t="array" ref="B2212">IFERROR(INDEX(EmployeeData[Employee ID], ROW() - 37), "")</f>
        <v/>
      </c>
      <c r="C2212" s="4" t="str" cm="1">
        <f t="array" ref="C2212">IFERROR(INDEX(EmployeeData[Full Name], ROW() - 37), "")</f>
        <v/>
      </c>
      <c r="D2212" s="4" t="str" cm="1">
        <f t="array" ref="D2212">IFERROR(INDEX(EmployeeData[Department], ROW() - 37), "")</f>
        <v/>
      </c>
      <c r="E2212" s="4" t="str" cm="1">
        <f t="array" ref="E2212">IFERROR(INDEX(EmployeeData[Gender], ROW() - 37), "")</f>
        <v/>
      </c>
      <c r="F2212" s="4" t="str" cm="1">
        <f t="array" ref="F2212">IFERROR(INDEX(EmployeeData[Age], ROW() - 37), "")</f>
        <v/>
      </c>
      <c r="G2212" s="6" t="str" cm="1">
        <f t="array" ref="G2212">IFERROR(INDEX(EmployeeData[Join Date], ROW() - 37), "")</f>
        <v/>
      </c>
      <c r="H2212" s="6" t="str" cm="1">
        <f t="array" ref="H2212">IFERROR(IF(INDEX(EmployeeData[Exit Date], ROW() - 37)=0, "",INDEX(EmployeeData[Exit Date], ROW() - 37)),"")</f>
        <v/>
      </c>
      <c r="I2212" s="4" t="str" cm="1">
        <f t="array" ref="I2212">IFERROR(IF(INDEX(EmployeeData[Exit Reason], ROW() - 37)=0, "",INDEX(EmployeeData[Exit Reason], ROW() - 37)),"")</f>
        <v/>
      </c>
      <c r="J2212" s="4" t="str" cm="1">
        <f t="array" ref="J2212">IFERROR(INDEX(EmployeeData[Status], ROW() - 37), "")</f>
        <v/>
      </c>
    </row>
    <row r="2213" spans="2:10" ht="19.95" customHeight="1" x14ac:dyDescent="0.3">
      <c r="B2213" s="4" t="str" cm="1">
        <f t="array" ref="B2213">IFERROR(INDEX(EmployeeData[Employee ID], ROW() - 37), "")</f>
        <v/>
      </c>
      <c r="C2213" s="4" t="str" cm="1">
        <f t="array" ref="C2213">IFERROR(INDEX(EmployeeData[Full Name], ROW() - 37), "")</f>
        <v/>
      </c>
      <c r="D2213" s="4" t="str" cm="1">
        <f t="array" ref="D2213">IFERROR(INDEX(EmployeeData[Department], ROW() - 37), "")</f>
        <v/>
      </c>
      <c r="E2213" s="4" t="str" cm="1">
        <f t="array" ref="E2213">IFERROR(INDEX(EmployeeData[Gender], ROW() - 37), "")</f>
        <v/>
      </c>
      <c r="F2213" s="4" t="str" cm="1">
        <f t="array" ref="F2213">IFERROR(INDEX(EmployeeData[Age], ROW() - 37), "")</f>
        <v/>
      </c>
      <c r="G2213" s="6" t="str" cm="1">
        <f t="array" ref="G2213">IFERROR(INDEX(EmployeeData[Join Date], ROW() - 37), "")</f>
        <v/>
      </c>
      <c r="H2213" s="6" t="str" cm="1">
        <f t="array" ref="H2213">IFERROR(IF(INDEX(EmployeeData[Exit Date], ROW() - 37)=0, "",INDEX(EmployeeData[Exit Date], ROW() - 37)),"")</f>
        <v/>
      </c>
      <c r="I2213" s="4" t="str" cm="1">
        <f t="array" ref="I2213">IFERROR(IF(INDEX(EmployeeData[Exit Reason], ROW() - 37)=0, "",INDEX(EmployeeData[Exit Reason], ROW() - 37)),"")</f>
        <v/>
      </c>
      <c r="J2213" s="4" t="str" cm="1">
        <f t="array" ref="J2213">IFERROR(INDEX(EmployeeData[Status], ROW() - 37), "")</f>
        <v/>
      </c>
    </row>
    <row r="2214" spans="2:10" ht="19.95" customHeight="1" x14ac:dyDescent="0.3">
      <c r="B2214" s="4" t="str" cm="1">
        <f t="array" ref="B2214">IFERROR(INDEX(EmployeeData[Employee ID], ROW() - 37), "")</f>
        <v/>
      </c>
      <c r="C2214" s="4" t="str" cm="1">
        <f t="array" ref="C2214">IFERROR(INDEX(EmployeeData[Full Name], ROW() - 37), "")</f>
        <v/>
      </c>
      <c r="D2214" s="4" t="str" cm="1">
        <f t="array" ref="D2214">IFERROR(INDEX(EmployeeData[Department], ROW() - 37), "")</f>
        <v/>
      </c>
      <c r="E2214" s="4" t="str" cm="1">
        <f t="array" ref="E2214">IFERROR(INDEX(EmployeeData[Gender], ROW() - 37), "")</f>
        <v/>
      </c>
      <c r="F2214" s="4" t="str" cm="1">
        <f t="array" ref="F2214">IFERROR(INDEX(EmployeeData[Age], ROW() - 37), "")</f>
        <v/>
      </c>
      <c r="G2214" s="6" t="str" cm="1">
        <f t="array" ref="G2214">IFERROR(INDEX(EmployeeData[Join Date], ROW() - 37), "")</f>
        <v/>
      </c>
      <c r="H2214" s="6" t="str" cm="1">
        <f t="array" ref="H2214">IFERROR(IF(INDEX(EmployeeData[Exit Date], ROW() - 37)=0, "",INDEX(EmployeeData[Exit Date], ROW() - 37)),"")</f>
        <v/>
      </c>
      <c r="I2214" s="4" t="str" cm="1">
        <f t="array" ref="I2214">IFERROR(IF(INDEX(EmployeeData[Exit Reason], ROW() - 37)=0, "",INDEX(EmployeeData[Exit Reason], ROW() - 37)),"")</f>
        <v/>
      </c>
      <c r="J2214" s="4" t="str" cm="1">
        <f t="array" ref="J2214">IFERROR(INDEX(EmployeeData[Status], ROW() - 37), "")</f>
        <v/>
      </c>
    </row>
    <row r="2215" spans="2:10" ht="19.95" customHeight="1" x14ac:dyDescent="0.3">
      <c r="B2215" s="4" t="str" cm="1">
        <f t="array" ref="B2215">IFERROR(INDEX(EmployeeData[Employee ID], ROW() - 37), "")</f>
        <v/>
      </c>
      <c r="C2215" s="4" t="str" cm="1">
        <f t="array" ref="C2215">IFERROR(INDEX(EmployeeData[Full Name], ROW() - 37), "")</f>
        <v/>
      </c>
      <c r="D2215" s="4" t="str" cm="1">
        <f t="array" ref="D2215">IFERROR(INDEX(EmployeeData[Department], ROW() - 37), "")</f>
        <v/>
      </c>
      <c r="E2215" s="4" t="str" cm="1">
        <f t="array" ref="E2215">IFERROR(INDEX(EmployeeData[Gender], ROW() - 37), "")</f>
        <v/>
      </c>
      <c r="F2215" s="4" t="str" cm="1">
        <f t="array" ref="F2215">IFERROR(INDEX(EmployeeData[Age], ROW() - 37), "")</f>
        <v/>
      </c>
      <c r="G2215" s="6" t="str" cm="1">
        <f t="array" ref="G2215">IFERROR(INDEX(EmployeeData[Join Date], ROW() - 37), "")</f>
        <v/>
      </c>
      <c r="H2215" s="6" t="str" cm="1">
        <f t="array" ref="H2215">IFERROR(IF(INDEX(EmployeeData[Exit Date], ROW() - 37)=0, "",INDEX(EmployeeData[Exit Date], ROW() - 37)),"")</f>
        <v/>
      </c>
      <c r="I2215" s="4" t="str" cm="1">
        <f t="array" ref="I2215">IFERROR(IF(INDEX(EmployeeData[Exit Reason], ROW() - 37)=0, "",INDEX(EmployeeData[Exit Reason], ROW() - 37)),"")</f>
        <v/>
      </c>
      <c r="J2215" s="4" t="str" cm="1">
        <f t="array" ref="J2215">IFERROR(INDEX(EmployeeData[Status], ROW() - 37), "")</f>
        <v/>
      </c>
    </row>
    <row r="2216" spans="2:10" ht="19.95" customHeight="1" x14ac:dyDescent="0.3">
      <c r="B2216" s="4" t="str" cm="1">
        <f t="array" ref="B2216">IFERROR(INDEX(EmployeeData[Employee ID], ROW() - 37), "")</f>
        <v/>
      </c>
      <c r="C2216" s="4" t="str" cm="1">
        <f t="array" ref="C2216">IFERROR(INDEX(EmployeeData[Full Name], ROW() - 37), "")</f>
        <v/>
      </c>
      <c r="D2216" s="4" t="str" cm="1">
        <f t="array" ref="D2216">IFERROR(INDEX(EmployeeData[Department], ROW() - 37), "")</f>
        <v/>
      </c>
      <c r="E2216" s="4" t="str" cm="1">
        <f t="array" ref="E2216">IFERROR(INDEX(EmployeeData[Gender], ROW() - 37), "")</f>
        <v/>
      </c>
      <c r="F2216" s="4" t="str" cm="1">
        <f t="array" ref="F2216">IFERROR(INDEX(EmployeeData[Age], ROW() - 37), "")</f>
        <v/>
      </c>
      <c r="G2216" s="6" t="str" cm="1">
        <f t="array" ref="G2216">IFERROR(INDEX(EmployeeData[Join Date], ROW() - 37), "")</f>
        <v/>
      </c>
      <c r="H2216" s="6" t="str" cm="1">
        <f t="array" ref="H2216">IFERROR(IF(INDEX(EmployeeData[Exit Date], ROW() - 37)=0, "",INDEX(EmployeeData[Exit Date], ROW() - 37)),"")</f>
        <v/>
      </c>
      <c r="I2216" s="4" t="str" cm="1">
        <f t="array" ref="I2216">IFERROR(IF(INDEX(EmployeeData[Exit Reason], ROW() - 37)=0, "",INDEX(EmployeeData[Exit Reason], ROW() - 37)),"")</f>
        <v/>
      </c>
      <c r="J2216" s="4" t="str" cm="1">
        <f t="array" ref="J2216">IFERROR(INDEX(EmployeeData[Status], ROW() - 37), "")</f>
        <v/>
      </c>
    </row>
    <row r="2217" spans="2:10" ht="19.95" customHeight="1" x14ac:dyDescent="0.3">
      <c r="B2217" s="4" t="str" cm="1">
        <f t="array" ref="B2217">IFERROR(INDEX(EmployeeData[Employee ID], ROW() - 37), "")</f>
        <v/>
      </c>
      <c r="C2217" s="4" t="str" cm="1">
        <f t="array" ref="C2217">IFERROR(INDEX(EmployeeData[Full Name], ROW() - 37), "")</f>
        <v/>
      </c>
      <c r="D2217" s="4" t="str" cm="1">
        <f t="array" ref="D2217">IFERROR(INDEX(EmployeeData[Department], ROW() - 37), "")</f>
        <v/>
      </c>
      <c r="E2217" s="4" t="str" cm="1">
        <f t="array" ref="E2217">IFERROR(INDEX(EmployeeData[Gender], ROW() - 37), "")</f>
        <v/>
      </c>
      <c r="F2217" s="4" t="str" cm="1">
        <f t="array" ref="F2217">IFERROR(INDEX(EmployeeData[Age], ROW() - 37), "")</f>
        <v/>
      </c>
      <c r="G2217" s="6" t="str" cm="1">
        <f t="array" ref="G2217">IFERROR(INDEX(EmployeeData[Join Date], ROW() - 37), "")</f>
        <v/>
      </c>
      <c r="H2217" s="6" t="str" cm="1">
        <f t="array" ref="H2217">IFERROR(IF(INDEX(EmployeeData[Exit Date], ROW() - 37)=0, "",INDEX(EmployeeData[Exit Date], ROW() - 37)),"")</f>
        <v/>
      </c>
      <c r="I2217" s="4" t="str" cm="1">
        <f t="array" ref="I2217">IFERROR(IF(INDEX(EmployeeData[Exit Reason], ROW() - 37)=0, "",INDEX(EmployeeData[Exit Reason], ROW() - 37)),"")</f>
        <v/>
      </c>
      <c r="J2217" s="4" t="str" cm="1">
        <f t="array" ref="J2217">IFERROR(INDEX(EmployeeData[Status], ROW() - 37), "")</f>
        <v/>
      </c>
    </row>
    <row r="2218" spans="2:10" ht="19.95" customHeight="1" x14ac:dyDescent="0.3">
      <c r="B2218" s="4" t="str" cm="1">
        <f t="array" ref="B2218">IFERROR(INDEX(EmployeeData[Employee ID], ROW() - 37), "")</f>
        <v/>
      </c>
      <c r="C2218" s="4" t="str" cm="1">
        <f t="array" ref="C2218">IFERROR(INDEX(EmployeeData[Full Name], ROW() - 37), "")</f>
        <v/>
      </c>
      <c r="D2218" s="4" t="str" cm="1">
        <f t="array" ref="D2218">IFERROR(INDEX(EmployeeData[Department], ROW() - 37), "")</f>
        <v/>
      </c>
      <c r="E2218" s="4" t="str" cm="1">
        <f t="array" ref="E2218">IFERROR(INDEX(EmployeeData[Gender], ROW() - 37), "")</f>
        <v/>
      </c>
      <c r="F2218" s="4" t="str" cm="1">
        <f t="array" ref="F2218">IFERROR(INDEX(EmployeeData[Age], ROW() - 37), "")</f>
        <v/>
      </c>
      <c r="G2218" s="6" t="str" cm="1">
        <f t="array" ref="G2218">IFERROR(INDEX(EmployeeData[Join Date], ROW() - 37), "")</f>
        <v/>
      </c>
      <c r="H2218" s="6" t="str" cm="1">
        <f t="array" ref="H2218">IFERROR(IF(INDEX(EmployeeData[Exit Date], ROW() - 37)=0, "",INDEX(EmployeeData[Exit Date], ROW() - 37)),"")</f>
        <v/>
      </c>
      <c r="I2218" s="4" t="str" cm="1">
        <f t="array" ref="I2218">IFERROR(IF(INDEX(EmployeeData[Exit Reason], ROW() - 37)=0, "",INDEX(EmployeeData[Exit Reason], ROW() - 37)),"")</f>
        <v/>
      </c>
      <c r="J2218" s="4" t="str" cm="1">
        <f t="array" ref="J2218">IFERROR(INDEX(EmployeeData[Status], ROW() - 37), "")</f>
        <v/>
      </c>
    </row>
    <row r="2219" spans="2:10" ht="19.95" customHeight="1" x14ac:dyDescent="0.3">
      <c r="B2219" s="4" t="str" cm="1">
        <f t="array" ref="B2219">IFERROR(INDEX(EmployeeData[Employee ID], ROW() - 37), "")</f>
        <v/>
      </c>
      <c r="C2219" s="4" t="str" cm="1">
        <f t="array" ref="C2219">IFERROR(INDEX(EmployeeData[Full Name], ROW() - 37), "")</f>
        <v/>
      </c>
      <c r="D2219" s="4" t="str" cm="1">
        <f t="array" ref="D2219">IFERROR(INDEX(EmployeeData[Department], ROW() - 37), "")</f>
        <v/>
      </c>
      <c r="E2219" s="4" t="str" cm="1">
        <f t="array" ref="E2219">IFERROR(INDEX(EmployeeData[Gender], ROW() - 37), "")</f>
        <v/>
      </c>
      <c r="F2219" s="4" t="str" cm="1">
        <f t="array" ref="F2219">IFERROR(INDEX(EmployeeData[Age], ROW() - 37), "")</f>
        <v/>
      </c>
      <c r="G2219" s="6" t="str" cm="1">
        <f t="array" ref="G2219">IFERROR(INDEX(EmployeeData[Join Date], ROW() - 37), "")</f>
        <v/>
      </c>
      <c r="H2219" s="6" t="str" cm="1">
        <f t="array" ref="H2219">IFERROR(IF(INDEX(EmployeeData[Exit Date], ROW() - 37)=0, "",INDEX(EmployeeData[Exit Date], ROW() - 37)),"")</f>
        <v/>
      </c>
      <c r="I2219" s="4" t="str" cm="1">
        <f t="array" ref="I2219">IFERROR(IF(INDEX(EmployeeData[Exit Reason], ROW() - 37)=0, "",INDEX(EmployeeData[Exit Reason], ROW() - 37)),"")</f>
        <v/>
      </c>
      <c r="J2219" s="4" t="str" cm="1">
        <f t="array" ref="J2219">IFERROR(INDEX(EmployeeData[Status], ROW() - 37), "")</f>
        <v/>
      </c>
    </row>
    <row r="2220" spans="2:10" ht="19.95" customHeight="1" x14ac:dyDescent="0.3">
      <c r="B2220" s="4" t="str" cm="1">
        <f t="array" ref="B2220">IFERROR(INDEX(EmployeeData[Employee ID], ROW() - 37), "")</f>
        <v/>
      </c>
      <c r="C2220" s="4" t="str" cm="1">
        <f t="array" ref="C2220">IFERROR(INDEX(EmployeeData[Full Name], ROW() - 37), "")</f>
        <v/>
      </c>
      <c r="D2220" s="4" t="str" cm="1">
        <f t="array" ref="D2220">IFERROR(INDEX(EmployeeData[Department], ROW() - 37), "")</f>
        <v/>
      </c>
      <c r="E2220" s="4" t="str" cm="1">
        <f t="array" ref="E2220">IFERROR(INDEX(EmployeeData[Gender], ROW() - 37), "")</f>
        <v/>
      </c>
      <c r="F2220" s="4" t="str" cm="1">
        <f t="array" ref="F2220">IFERROR(INDEX(EmployeeData[Age], ROW() - 37), "")</f>
        <v/>
      </c>
      <c r="G2220" s="6" t="str" cm="1">
        <f t="array" ref="G2220">IFERROR(INDEX(EmployeeData[Join Date], ROW() - 37), "")</f>
        <v/>
      </c>
      <c r="H2220" s="6" t="str" cm="1">
        <f t="array" ref="H2220">IFERROR(IF(INDEX(EmployeeData[Exit Date], ROW() - 37)=0, "",INDEX(EmployeeData[Exit Date], ROW() - 37)),"")</f>
        <v/>
      </c>
      <c r="I2220" s="4" t="str" cm="1">
        <f t="array" ref="I2220">IFERROR(IF(INDEX(EmployeeData[Exit Reason], ROW() - 37)=0, "",INDEX(EmployeeData[Exit Reason], ROW() - 37)),"")</f>
        <v/>
      </c>
      <c r="J2220" s="4" t="str" cm="1">
        <f t="array" ref="J2220">IFERROR(INDEX(EmployeeData[Status], ROW() - 37), "")</f>
        <v/>
      </c>
    </row>
    <row r="2221" spans="2:10" ht="19.95" customHeight="1" x14ac:dyDescent="0.3">
      <c r="B2221" s="4" t="str" cm="1">
        <f t="array" ref="B2221">IFERROR(INDEX(EmployeeData[Employee ID], ROW() - 37), "")</f>
        <v/>
      </c>
      <c r="C2221" s="4" t="str" cm="1">
        <f t="array" ref="C2221">IFERROR(INDEX(EmployeeData[Full Name], ROW() - 37), "")</f>
        <v/>
      </c>
      <c r="D2221" s="4" t="str" cm="1">
        <f t="array" ref="D2221">IFERROR(INDEX(EmployeeData[Department], ROW() - 37), "")</f>
        <v/>
      </c>
      <c r="E2221" s="4" t="str" cm="1">
        <f t="array" ref="E2221">IFERROR(INDEX(EmployeeData[Gender], ROW() - 37), "")</f>
        <v/>
      </c>
      <c r="F2221" s="4" t="str" cm="1">
        <f t="array" ref="F2221">IFERROR(INDEX(EmployeeData[Age], ROW() - 37), "")</f>
        <v/>
      </c>
      <c r="G2221" s="6" t="str" cm="1">
        <f t="array" ref="G2221">IFERROR(INDEX(EmployeeData[Join Date], ROW() - 37), "")</f>
        <v/>
      </c>
      <c r="H2221" s="6" t="str" cm="1">
        <f t="array" ref="H2221">IFERROR(IF(INDEX(EmployeeData[Exit Date], ROW() - 37)=0, "",INDEX(EmployeeData[Exit Date], ROW() - 37)),"")</f>
        <v/>
      </c>
      <c r="I2221" s="4" t="str" cm="1">
        <f t="array" ref="I2221">IFERROR(IF(INDEX(EmployeeData[Exit Reason], ROW() - 37)=0, "",INDEX(EmployeeData[Exit Reason], ROW() - 37)),"")</f>
        <v/>
      </c>
      <c r="J2221" s="4" t="str" cm="1">
        <f t="array" ref="J2221">IFERROR(INDEX(EmployeeData[Status], ROW() - 37), "")</f>
        <v/>
      </c>
    </row>
    <row r="2222" spans="2:10" ht="19.95" customHeight="1" x14ac:dyDescent="0.3">
      <c r="B2222" s="4" t="str" cm="1">
        <f t="array" ref="B2222">IFERROR(INDEX(EmployeeData[Employee ID], ROW() - 37), "")</f>
        <v/>
      </c>
      <c r="C2222" s="4" t="str" cm="1">
        <f t="array" ref="C2222">IFERROR(INDEX(EmployeeData[Full Name], ROW() - 37), "")</f>
        <v/>
      </c>
      <c r="D2222" s="4" t="str" cm="1">
        <f t="array" ref="D2222">IFERROR(INDEX(EmployeeData[Department], ROW() - 37), "")</f>
        <v/>
      </c>
      <c r="E2222" s="4" t="str" cm="1">
        <f t="array" ref="E2222">IFERROR(INDEX(EmployeeData[Gender], ROW() - 37), "")</f>
        <v/>
      </c>
      <c r="F2222" s="4" t="str" cm="1">
        <f t="array" ref="F2222">IFERROR(INDEX(EmployeeData[Age], ROW() - 37), "")</f>
        <v/>
      </c>
      <c r="G2222" s="6" t="str" cm="1">
        <f t="array" ref="G2222">IFERROR(INDEX(EmployeeData[Join Date], ROW() - 37), "")</f>
        <v/>
      </c>
      <c r="H2222" s="6" t="str" cm="1">
        <f t="array" ref="H2222">IFERROR(IF(INDEX(EmployeeData[Exit Date], ROW() - 37)=0, "",INDEX(EmployeeData[Exit Date], ROW() - 37)),"")</f>
        <v/>
      </c>
      <c r="I2222" s="4" t="str" cm="1">
        <f t="array" ref="I2222">IFERROR(IF(INDEX(EmployeeData[Exit Reason], ROW() - 37)=0, "",INDEX(EmployeeData[Exit Reason], ROW() - 37)),"")</f>
        <v/>
      </c>
      <c r="J2222" s="4" t="str" cm="1">
        <f t="array" ref="J2222">IFERROR(INDEX(EmployeeData[Status], ROW() - 37), "")</f>
        <v/>
      </c>
    </row>
    <row r="2223" spans="2:10" ht="19.95" customHeight="1" x14ac:dyDescent="0.3">
      <c r="B2223" s="4" t="str" cm="1">
        <f t="array" ref="B2223">IFERROR(INDEX(EmployeeData[Employee ID], ROW() - 37), "")</f>
        <v/>
      </c>
      <c r="C2223" s="4" t="str" cm="1">
        <f t="array" ref="C2223">IFERROR(INDEX(EmployeeData[Full Name], ROW() - 37), "")</f>
        <v/>
      </c>
      <c r="D2223" s="4" t="str" cm="1">
        <f t="array" ref="D2223">IFERROR(INDEX(EmployeeData[Department], ROW() - 37), "")</f>
        <v/>
      </c>
      <c r="E2223" s="4" t="str" cm="1">
        <f t="array" ref="E2223">IFERROR(INDEX(EmployeeData[Gender], ROW() - 37), "")</f>
        <v/>
      </c>
      <c r="F2223" s="4" t="str" cm="1">
        <f t="array" ref="F2223">IFERROR(INDEX(EmployeeData[Age], ROW() - 37), "")</f>
        <v/>
      </c>
      <c r="G2223" s="6" t="str" cm="1">
        <f t="array" ref="G2223">IFERROR(INDEX(EmployeeData[Join Date], ROW() - 37), "")</f>
        <v/>
      </c>
      <c r="H2223" s="6" t="str" cm="1">
        <f t="array" ref="H2223">IFERROR(IF(INDEX(EmployeeData[Exit Date], ROW() - 37)=0, "",INDEX(EmployeeData[Exit Date], ROW() - 37)),"")</f>
        <v/>
      </c>
      <c r="I2223" s="4" t="str" cm="1">
        <f t="array" ref="I2223">IFERROR(IF(INDEX(EmployeeData[Exit Reason], ROW() - 37)=0, "",INDEX(EmployeeData[Exit Reason], ROW() - 37)),"")</f>
        <v/>
      </c>
      <c r="J2223" s="4" t="str" cm="1">
        <f t="array" ref="J2223">IFERROR(INDEX(EmployeeData[Status], ROW() - 37), "")</f>
        <v/>
      </c>
    </row>
    <row r="2224" spans="2:10" ht="19.95" customHeight="1" x14ac:dyDescent="0.3">
      <c r="B2224" s="4" t="str" cm="1">
        <f t="array" ref="B2224">IFERROR(INDEX(EmployeeData[Employee ID], ROW() - 37), "")</f>
        <v/>
      </c>
      <c r="C2224" s="4" t="str" cm="1">
        <f t="array" ref="C2224">IFERROR(INDEX(EmployeeData[Full Name], ROW() - 37), "")</f>
        <v/>
      </c>
      <c r="D2224" s="4" t="str" cm="1">
        <f t="array" ref="D2224">IFERROR(INDEX(EmployeeData[Department], ROW() - 37), "")</f>
        <v/>
      </c>
      <c r="E2224" s="4" t="str" cm="1">
        <f t="array" ref="E2224">IFERROR(INDEX(EmployeeData[Gender], ROW() - 37), "")</f>
        <v/>
      </c>
      <c r="F2224" s="4" t="str" cm="1">
        <f t="array" ref="F2224">IFERROR(INDEX(EmployeeData[Age], ROW() - 37), "")</f>
        <v/>
      </c>
      <c r="G2224" s="6" t="str" cm="1">
        <f t="array" ref="G2224">IFERROR(INDEX(EmployeeData[Join Date], ROW() - 37), "")</f>
        <v/>
      </c>
      <c r="H2224" s="6" t="str" cm="1">
        <f t="array" ref="H2224">IFERROR(IF(INDEX(EmployeeData[Exit Date], ROW() - 37)=0, "",INDEX(EmployeeData[Exit Date], ROW() - 37)),"")</f>
        <v/>
      </c>
      <c r="I2224" s="4" t="str" cm="1">
        <f t="array" ref="I2224">IFERROR(IF(INDEX(EmployeeData[Exit Reason], ROW() - 37)=0, "",INDEX(EmployeeData[Exit Reason], ROW() - 37)),"")</f>
        <v/>
      </c>
      <c r="J2224" s="4" t="str" cm="1">
        <f t="array" ref="J2224">IFERROR(INDEX(EmployeeData[Status], ROW() - 37), "")</f>
        <v/>
      </c>
    </row>
    <row r="2225" spans="2:10" ht="19.95" customHeight="1" x14ac:dyDescent="0.3">
      <c r="B2225" s="4" t="str" cm="1">
        <f t="array" ref="B2225">IFERROR(INDEX(EmployeeData[Employee ID], ROW() - 37), "")</f>
        <v/>
      </c>
      <c r="C2225" s="4" t="str" cm="1">
        <f t="array" ref="C2225">IFERROR(INDEX(EmployeeData[Full Name], ROW() - 37), "")</f>
        <v/>
      </c>
      <c r="D2225" s="4" t="str" cm="1">
        <f t="array" ref="D2225">IFERROR(INDEX(EmployeeData[Department], ROW() - 37), "")</f>
        <v/>
      </c>
      <c r="E2225" s="4" t="str" cm="1">
        <f t="array" ref="E2225">IFERROR(INDEX(EmployeeData[Gender], ROW() - 37), "")</f>
        <v/>
      </c>
      <c r="F2225" s="4" t="str" cm="1">
        <f t="array" ref="F2225">IFERROR(INDEX(EmployeeData[Age], ROW() - 37), "")</f>
        <v/>
      </c>
      <c r="G2225" s="6" t="str" cm="1">
        <f t="array" ref="G2225">IFERROR(INDEX(EmployeeData[Join Date], ROW() - 37), "")</f>
        <v/>
      </c>
      <c r="H2225" s="6" t="str" cm="1">
        <f t="array" ref="H2225">IFERROR(IF(INDEX(EmployeeData[Exit Date], ROW() - 37)=0, "",INDEX(EmployeeData[Exit Date], ROW() - 37)),"")</f>
        <v/>
      </c>
      <c r="I2225" s="4" t="str" cm="1">
        <f t="array" ref="I2225">IFERROR(IF(INDEX(EmployeeData[Exit Reason], ROW() - 37)=0, "",INDEX(EmployeeData[Exit Reason], ROW() - 37)),"")</f>
        <v/>
      </c>
      <c r="J2225" s="4" t="str" cm="1">
        <f t="array" ref="J2225">IFERROR(INDEX(EmployeeData[Status], ROW() - 37), "")</f>
        <v/>
      </c>
    </row>
    <row r="2226" spans="2:10" ht="19.95" customHeight="1" x14ac:dyDescent="0.3">
      <c r="B2226" s="4" t="str" cm="1">
        <f t="array" ref="B2226">IFERROR(INDEX(EmployeeData[Employee ID], ROW() - 37), "")</f>
        <v/>
      </c>
      <c r="C2226" s="4" t="str" cm="1">
        <f t="array" ref="C2226">IFERROR(INDEX(EmployeeData[Full Name], ROW() - 37), "")</f>
        <v/>
      </c>
      <c r="D2226" s="4" t="str" cm="1">
        <f t="array" ref="D2226">IFERROR(INDEX(EmployeeData[Department], ROW() - 37), "")</f>
        <v/>
      </c>
      <c r="E2226" s="4" t="str" cm="1">
        <f t="array" ref="E2226">IFERROR(INDEX(EmployeeData[Gender], ROW() - 37), "")</f>
        <v/>
      </c>
      <c r="F2226" s="4" t="str" cm="1">
        <f t="array" ref="F2226">IFERROR(INDEX(EmployeeData[Age], ROW() - 37), "")</f>
        <v/>
      </c>
      <c r="G2226" s="6" t="str" cm="1">
        <f t="array" ref="G2226">IFERROR(INDEX(EmployeeData[Join Date], ROW() - 37), "")</f>
        <v/>
      </c>
      <c r="H2226" s="6" t="str" cm="1">
        <f t="array" ref="H2226">IFERROR(IF(INDEX(EmployeeData[Exit Date], ROW() - 37)=0, "",INDEX(EmployeeData[Exit Date], ROW() - 37)),"")</f>
        <v/>
      </c>
      <c r="I2226" s="4" t="str" cm="1">
        <f t="array" ref="I2226">IFERROR(IF(INDEX(EmployeeData[Exit Reason], ROW() - 37)=0, "",INDEX(EmployeeData[Exit Reason], ROW() - 37)),"")</f>
        <v/>
      </c>
      <c r="J2226" s="4" t="str" cm="1">
        <f t="array" ref="J2226">IFERROR(INDEX(EmployeeData[Status], ROW() - 37), "")</f>
        <v/>
      </c>
    </row>
    <row r="2227" spans="2:10" ht="19.95" customHeight="1" x14ac:dyDescent="0.3">
      <c r="B2227" s="4" t="str" cm="1">
        <f t="array" ref="B2227">IFERROR(INDEX(EmployeeData[Employee ID], ROW() - 37), "")</f>
        <v/>
      </c>
      <c r="C2227" s="4" t="str" cm="1">
        <f t="array" ref="C2227">IFERROR(INDEX(EmployeeData[Full Name], ROW() - 37), "")</f>
        <v/>
      </c>
      <c r="D2227" s="4" t="str" cm="1">
        <f t="array" ref="D2227">IFERROR(INDEX(EmployeeData[Department], ROW() - 37), "")</f>
        <v/>
      </c>
      <c r="E2227" s="4" t="str" cm="1">
        <f t="array" ref="E2227">IFERROR(INDEX(EmployeeData[Gender], ROW() - 37), "")</f>
        <v/>
      </c>
      <c r="F2227" s="4" t="str" cm="1">
        <f t="array" ref="F2227">IFERROR(INDEX(EmployeeData[Age], ROW() - 37), "")</f>
        <v/>
      </c>
      <c r="G2227" s="6" t="str" cm="1">
        <f t="array" ref="G2227">IFERROR(INDEX(EmployeeData[Join Date], ROW() - 37), "")</f>
        <v/>
      </c>
      <c r="H2227" s="6" t="str" cm="1">
        <f t="array" ref="H2227">IFERROR(IF(INDEX(EmployeeData[Exit Date], ROW() - 37)=0, "",INDEX(EmployeeData[Exit Date], ROW() - 37)),"")</f>
        <v/>
      </c>
      <c r="I2227" s="4" t="str" cm="1">
        <f t="array" ref="I2227">IFERROR(IF(INDEX(EmployeeData[Exit Reason], ROW() - 37)=0, "",INDEX(EmployeeData[Exit Reason], ROW() - 37)),"")</f>
        <v/>
      </c>
      <c r="J2227" s="4" t="str" cm="1">
        <f t="array" ref="J2227">IFERROR(INDEX(EmployeeData[Status], ROW() - 37), "")</f>
        <v/>
      </c>
    </row>
    <row r="2228" spans="2:10" ht="19.95" customHeight="1" x14ac:dyDescent="0.3">
      <c r="B2228" s="4" t="str" cm="1">
        <f t="array" ref="B2228">IFERROR(INDEX(EmployeeData[Employee ID], ROW() - 37), "")</f>
        <v/>
      </c>
      <c r="C2228" s="4" t="str" cm="1">
        <f t="array" ref="C2228">IFERROR(INDEX(EmployeeData[Full Name], ROW() - 37), "")</f>
        <v/>
      </c>
      <c r="D2228" s="4" t="str" cm="1">
        <f t="array" ref="D2228">IFERROR(INDEX(EmployeeData[Department], ROW() - 37), "")</f>
        <v/>
      </c>
      <c r="E2228" s="4" t="str" cm="1">
        <f t="array" ref="E2228">IFERROR(INDEX(EmployeeData[Gender], ROW() - 37), "")</f>
        <v/>
      </c>
      <c r="F2228" s="4" t="str" cm="1">
        <f t="array" ref="F2228">IFERROR(INDEX(EmployeeData[Age], ROW() - 37), "")</f>
        <v/>
      </c>
      <c r="G2228" s="6" t="str" cm="1">
        <f t="array" ref="G2228">IFERROR(INDEX(EmployeeData[Join Date], ROW() - 37), "")</f>
        <v/>
      </c>
      <c r="H2228" s="6" t="str" cm="1">
        <f t="array" ref="H2228">IFERROR(IF(INDEX(EmployeeData[Exit Date], ROW() - 37)=0, "",INDEX(EmployeeData[Exit Date], ROW() - 37)),"")</f>
        <v/>
      </c>
      <c r="I2228" s="4" t="str" cm="1">
        <f t="array" ref="I2228">IFERROR(IF(INDEX(EmployeeData[Exit Reason], ROW() - 37)=0, "",INDEX(EmployeeData[Exit Reason], ROW() - 37)),"")</f>
        <v/>
      </c>
      <c r="J2228" s="4" t="str" cm="1">
        <f t="array" ref="J2228">IFERROR(INDEX(EmployeeData[Status], ROW() - 37), "")</f>
        <v/>
      </c>
    </row>
    <row r="2229" spans="2:10" ht="19.95" customHeight="1" x14ac:dyDescent="0.3">
      <c r="B2229" s="4" t="str" cm="1">
        <f t="array" ref="B2229">IFERROR(INDEX(EmployeeData[Employee ID], ROW() - 37), "")</f>
        <v/>
      </c>
      <c r="C2229" s="4" t="str" cm="1">
        <f t="array" ref="C2229">IFERROR(INDEX(EmployeeData[Full Name], ROW() - 37), "")</f>
        <v/>
      </c>
      <c r="D2229" s="4" t="str" cm="1">
        <f t="array" ref="D2229">IFERROR(INDEX(EmployeeData[Department], ROW() - 37), "")</f>
        <v/>
      </c>
      <c r="E2229" s="4" t="str" cm="1">
        <f t="array" ref="E2229">IFERROR(INDEX(EmployeeData[Gender], ROW() - 37), "")</f>
        <v/>
      </c>
      <c r="F2229" s="4" t="str" cm="1">
        <f t="array" ref="F2229">IFERROR(INDEX(EmployeeData[Age], ROW() - 37), "")</f>
        <v/>
      </c>
      <c r="G2229" s="6" t="str" cm="1">
        <f t="array" ref="G2229">IFERROR(INDEX(EmployeeData[Join Date], ROW() - 37), "")</f>
        <v/>
      </c>
      <c r="H2229" s="6" t="str" cm="1">
        <f t="array" ref="H2229">IFERROR(IF(INDEX(EmployeeData[Exit Date], ROW() - 37)=0, "",INDEX(EmployeeData[Exit Date], ROW() - 37)),"")</f>
        <v/>
      </c>
      <c r="I2229" s="4" t="str" cm="1">
        <f t="array" ref="I2229">IFERROR(IF(INDEX(EmployeeData[Exit Reason], ROW() - 37)=0, "",INDEX(EmployeeData[Exit Reason], ROW() - 37)),"")</f>
        <v/>
      </c>
      <c r="J2229" s="4" t="str" cm="1">
        <f t="array" ref="J2229">IFERROR(INDEX(EmployeeData[Status], ROW() - 37), "")</f>
        <v/>
      </c>
    </row>
    <row r="2230" spans="2:10" ht="19.95" customHeight="1" x14ac:dyDescent="0.3">
      <c r="B2230" s="4" t="str" cm="1">
        <f t="array" ref="B2230">IFERROR(INDEX(EmployeeData[Employee ID], ROW() - 37), "")</f>
        <v/>
      </c>
      <c r="C2230" s="4" t="str" cm="1">
        <f t="array" ref="C2230">IFERROR(INDEX(EmployeeData[Full Name], ROW() - 37), "")</f>
        <v/>
      </c>
      <c r="D2230" s="4" t="str" cm="1">
        <f t="array" ref="D2230">IFERROR(INDEX(EmployeeData[Department], ROW() - 37), "")</f>
        <v/>
      </c>
      <c r="E2230" s="4" t="str" cm="1">
        <f t="array" ref="E2230">IFERROR(INDEX(EmployeeData[Gender], ROW() - 37), "")</f>
        <v/>
      </c>
      <c r="F2230" s="4" t="str" cm="1">
        <f t="array" ref="F2230">IFERROR(INDEX(EmployeeData[Age], ROW() - 37), "")</f>
        <v/>
      </c>
      <c r="G2230" s="6" t="str" cm="1">
        <f t="array" ref="G2230">IFERROR(INDEX(EmployeeData[Join Date], ROW() - 37), "")</f>
        <v/>
      </c>
      <c r="H2230" s="6" t="str" cm="1">
        <f t="array" ref="H2230">IFERROR(IF(INDEX(EmployeeData[Exit Date], ROW() - 37)=0, "",INDEX(EmployeeData[Exit Date], ROW() - 37)),"")</f>
        <v/>
      </c>
      <c r="I2230" s="4" t="str" cm="1">
        <f t="array" ref="I2230">IFERROR(IF(INDEX(EmployeeData[Exit Reason], ROW() - 37)=0, "",INDEX(EmployeeData[Exit Reason], ROW() - 37)),"")</f>
        <v/>
      </c>
      <c r="J2230" s="4" t="str" cm="1">
        <f t="array" ref="J2230">IFERROR(INDEX(EmployeeData[Status], ROW() - 37), "")</f>
        <v/>
      </c>
    </row>
    <row r="2231" spans="2:10" ht="19.95" customHeight="1" x14ac:dyDescent="0.3">
      <c r="B2231" s="4" t="str" cm="1">
        <f t="array" ref="B2231">IFERROR(INDEX(EmployeeData[Employee ID], ROW() - 37), "")</f>
        <v/>
      </c>
      <c r="C2231" s="4" t="str" cm="1">
        <f t="array" ref="C2231">IFERROR(INDEX(EmployeeData[Full Name], ROW() - 37), "")</f>
        <v/>
      </c>
      <c r="D2231" s="4" t="str" cm="1">
        <f t="array" ref="D2231">IFERROR(INDEX(EmployeeData[Department], ROW() - 37), "")</f>
        <v/>
      </c>
      <c r="E2231" s="4" t="str" cm="1">
        <f t="array" ref="E2231">IFERROR(INDEX(EmployeeData[Gender], ROW() - 37), "")</f>
        <v/>
      </c>
      <c r="F2231" s="4" t="str" cm="1">
        <f t="array" ref="F2231">IFERROR(INDEX(EmployeeData[Age], ROW() - 37), "")</f>
        <v/>
      </c>
      <c r="G2231" s="6" t="str" cm="1">
        <f t="array" ref="G2231">IFERROR(INDEX(EmployeeData[Join Date], ROW() - 37), "")</f>
        <v/>
      </c>
      <c r="H2231" s="6" t="str" cm="1">
        <f t="array" ref="H2231">IFERROR(IF(INDEX(EmployeeData[Exit Date], ROW() - 37)=0, "",INDEX(EmployeeData[Exit Date], ROW() - 37)),"")</f>
        <v/>
      </c>
      <c r="I2231" s="4" t="str" cm="1">
        <f t="array" ref="I2231">IFERROR(IF(INDEX(EmployeeData[Exit Reason], ROW() - 37)=0, "",INDEX(EmployeeData[Exit Reason], ROW() - 37)),"")</f>
        <v/>
      </c>
      <c r="J2231" s="4" t="str" cm="1">
        <f t="array" ref="J2231">IFERROR(INDEX(EmployeeData[Status], ROW() - 37), "")</f>
        <v/>
      </c>
    </row>
    <row r="2232" spans="2:10" ht="19.95" customHeight="1" x14ac:dyDescent="0.3">
      <c r="B2232" s="4" t="str" cm="1">
        <f t="array" ref="B2232">IFERROR(INDEX(EmployeeData[Employee ID], ROW() - 37), "")</f>
        <v/>
      </c>
      <c r="C2232" s="4" t="str" cm="1">
        <f t="array" ref="C2232">IFERROR(INDEX(EmployeeData[Full Name], ROW() - 37), "")</f>
        <v/>
      </c>
      <c r="D2232" s="4" t="str" cm="1">
        <f t="array" ref="D2232">IFERROR(INDEX(EmployeeData[Department], ROW() - 37), "")</f>
        <v/>
      </c>
      <c r="E2232" s="4" t="str" cm="1">
        <f t="array" ref="E2232">IFERROR(INDEX(EmployeeData[Gender], ROW() - 37), "")</f>
        <v/>
      </c>
      <c r="F2232" s="4" t="str" cm="1">
        <f t="array" ref="F2232">IFERROR(INDEX(EmployeeData[Age], ROW() - 37), "")</f>
        <v/>
      </c>
      <c r="G2232" s="6" t="str" cm="1">
        <f t="array" ref="G2232">IFERROR(INDEX(EmployeeData[Join Date], ROW() - 37), "")</f>
        <v/>
      </c>
      <c r="H2232" s="6" t="str" cm="1">
        <f t="array" ref="H2232">IFERROR(IF(INDEX(EmployeeData[Exit Date], ROW() - 37)=0, "",INDEX(EmployeeData[Exit Date], ROW() - 37)),"")</f>
        <v/>
      </c>
      <c r="I2232" s="4" t="str" cm="1">
        <f t="array" ref="I2232">IFERROR(IF(INDEX(EmployeeData[Exit Reason], ROW() - 37)=0, "",INDEX(EmployeeData[Exit Reason], ROW() - 37)),"")</f>
        <v/>
      </c>
      <c r="J2232" s="4" t="str" cm="1">
        <f t="array" ref="J2232">IFERROR(INDEX(EmployeeData[Status], ROW() - 37), "")</f>
        <v/>
      </c>
    </row>
    <row r="2233" spans="2:10" ht="19.95" customHeight="1" x14ac:dyDescent="0.3">
      <c r="B2233" s="4" t="str" cm="1">
        <f t="array" ref="B2233">IFERROR(INDEX(EmployeeData[Employee ID], ROW() - 37), "")</f>
        <v/>
      </c>
      <c r="C2233" s="4" t="str" cm="1">
        <f t="array" ref="C2233">IFERROR(INDEX(EmployeeData[Full Name], ROW() - 37), "")</f>
        <v/>
      </c>
      <c r="D2233" s="4" t="str" cm="1">
        <f t="array" ref="D2233">IFERROR(INDEX(EmployeeData[Department], ROW() - 37), "")</f>
        <v/>
      </c>
      <c r="E2233" s="4" t="str" cm="1">
        <f t="array" ref="E2233">IFERROR(INDEX(EmployeeData[Gender], ROW() - 37), "")</f>
        <v/>
      </c>
      <c r="F2233" s="4" t="str" cm="1">
        <f t="array" ref="F2233">IFERROR(INDEX(EmployeeData[Age], ROW() - 37), "")</f>
        <v/>
      </c>
      <c r="G2233" s="6" t="str" cm="1">
        <f t="array" ref="G2233">IFERROR(INDEX(EmployeeData[Join Date], ROW() - 37), "")</f>
        <v/>
      </c>
      <c r="H2233" s="6" t="str" cm="1">
        <f t="array" ref="H2233">IFERROR(IF(INDEX(EmployeeData[Exit Date], ROW() - 37)=0, "",INDEX(EmployeeData[Exit Date], ROW() - 37)),"")</f>
        <v/>
      </c>
      <c r="I2233" s="4" t="str" cm="1">
        <f t="array" ref="I2233">IFERROR(IF(INDEX(EmployeeData[Exit Reason], ROW() - 37)=0, "",INDEX(EmployeeData[Exit Reason], ROW() - 37)),"")</f>
        <v/>
      </c>
      <c r="J2233" s="4" t="str" cm="1">
        <f t="array" ref="J2233">IFERROR(INDEX(EmployeeData[Status], ROW() - 37), "")</f>
        <v/>
      </c>
    </row>
    <row r="2234" spans="2:10" ht="19.95" customHeight="1" x14ac:dyDescent="0.3">
      <c r="B2234" s="4" t="str" cm="1">
        <f t="array" ref="B2234">IFERROR(INDEX(EmployeeData[Employee ID], ROW() - 37), "")</f>
        <v/>
      </c>
      <c r="C2234" s="4" t="str" cm="1">
        <f t="array" ref="C2234">IFERROR(INDEX(EmployeeData[Full Name], ROW() - 37), "")</f>
        <v/>
      </c>
      <c r="D2234" s="4" t="str" cm="1">
        <f t="array" ref="D2234">IFERROR(INDEX(EmployeeData[Department], ROW() - 37), "")</f>
        <v/>
      </c>
      <c r="E2234" s="4" t="str" cm="1">
        <f t="array" ref="E2234">IFERROR(INDEX(EmployeeData[Gender], ROW() - 37), "")</f>
        <v/>
      </c>
      <c r="F2234" s="4" t="str" cm="1">
        <f t="array" ref="F2234">IFERROR(INDEX(EmployeeData[Age], ROW() - 37), "")</f>
        <v/>
      </c>
      <c r="G2234" s="6" t="str" cm="1">
        <f t="array" ref="G2234">IFERROR(INDEX(EmployeeData[Join Date], ROW() - 37), "")</f>
        <v/>
      </c>
      <c r="H2234" s="6" t="str" cm="1">
        <f t="array" ref="H2234">IFERROR(IF(INDEX(EmployeeData[Exit Date], ROW() - 37)=0, "",INDEX(EmployeeData[Exit Date], ROW() - 37)),"")</f>
        <v/>
      </c>
      <c r="I2234" s="4" t="str" cm="1">
        <f t="array" ref="I2234">IFERROR(IF(INDEX(EmployeeData[Exit Reason], ROW() - 37)=0, "",INDEX(EmployeeData[Exit Reason], ROW() - 37)),"")</f>
        <v/>
      </c>
      <c r="J2234" s="4" t="str" cm="1">
        <f t="array" ref="J2234">IFERROR(INDEX(EmployeeData[Status], ROW() - 37), "")</f>
        <v/>
      </c>
    </row>
    <row r="2235" spans="2:10" ht="19.95" customHeight="1" x14ac:dyDescent="0.3">
      <c r="B2235" s="4" t="str" cm="1">
        <f t="array" ref="B2235">IFERROR(INDEX(EmployeeData[Employee ID], ROW() - 37), "")</f>
        <v/>
      </c>
      <c r="C2235" s="4" t="str" cm="1">
        <f t="array" ref="C2235">IFERROR(INDEX(EmployeeData[Full Name], ROW() - 37), "")</f>
        <v/>
      </c>
      <c r="D2235" s="4" t="str" cm="1">
        <f t="array" ref="D2235">IFERROR(INDEX(EmployeeData[Department], ROW() - 37), "")</f>
        <v/>
      </c>
      <c r="E2235" s="4" t="str" cm="1">
        <f t="array" ref="E2235">IFERROR(INDEX(EmployeeData[Gender], ROW() - 37), "")</f>
        <v/>
      </c>
      <c r="F2235" s="4" t="str" cm="1">
        <f t="array" ref="F2235">IFERROR(INDEX(EmployeeData[Age], ROW() - 37), "")</f>
        <v/>
      </c>
      <c r="G2235" s="6" t="str" cm="1">
        <f t="array" ref="G2235">IFERROR(INDEX(EmployeeData[Join Date], ROW() - 37), "")</f>
        <v/>
      </c>
      <c r="H2235" s="6" t="str" cm="1">
        <f t="array" ref="H2235">IFERROR(IF(INDEX(EmployeeData[Exit Date], ROW() - 37)=0, "",INDEX(EmployeeData[Exit Date], ROW() - 37)),"")</f>
        <v/>
      </c>
      <c r="I2235" s="4" t="str" cm="1">
        <f t="array" ref="I2235">IFERROR(IF(INDEX(EmployeeData[Exit Reason], ROW() - 37)=0, "",INDEX(EmployeeData[Exit Reason], ROW() - 37)),"")</f>
        <v/>
      </c>
      <c r="J2235" s="4" t="str" cm="1">
        <f t="array" ref="J2235">IFERROR(INDEX(EmployeeData[Status], ROW() - 37), "")</f>
        <v/>
      </c>
    </row>
    <row r="2236" spans="2:10" ht="19.95" customHeight="1" x14ac:dyDescent="0.3">
      <c r="B2236" s="4" t="str" cm="1">
        <f t="array" ref="B2236">IFERROR(INDEX(EmployeeData[Employee ID], ROW() - 37), "")</f>
        <v/>
      </c>
      <c r="C2236" s="4" t="str" cm="1">
        <f t="array" ref="C2236">IFERROR(INDEX(EmployeeData[Full Name], ROW() - 37), "")</f>
        <v/>
      </c>
      <c r="D2236" s="4" t="str" cm="1">
        <f t="array" ref="D2236">IFERROR(INDEX(EmployeeData[Department], ROW() - 37), "")</f>
        <v/>
      </c>
      <c r="E2236" s="4" t="str" cm="1">
        <f t="array" ref="E2236">IFERROR(INDEX(EmployeeData[Gender], ROW() - 37), "")</f>
        <v/>
      </c>
      <c r="F2236" s="4" t="str" cm="1">
        <f t="array" ref="F2236">IFERROR(INDEX(EmployeeData[Age], ROW() - 37), "")</f>
        <v/>
      </c>
      <c r="G2236" s="6" t="str" cm="1">
        <f t="array" ref="G2236">IFERROR(INDEX(EmployeeData[Join Date], ROW() - 37), "")</f>
        <v/>
      </c>
      <c r="H2236" s="6" t="str" cm="1">
        <f t="array" ref="H2236">IFERROR(IF(INDEX(EmployeeData[Exit Date], ROW() - 37)=0, "",INDEX(EmployeeData[Exit Date], ROW() - 37)),"")</f>
        <v/>
      </c>
      <c r="I2236" s="4" t="str" cm="1">
        <f t="array" ref="I2236">IFERROR(IF(INDEX(EmployeeData[Exit Reason], ROW() - 37)=0, "",INDEX(EmployeeData[Exit Reason], ROW() - 37)),"")</f>
        <v/>
      </c>
      <c r="J2236" s="4" t="str" cm="1">
        <f t="array" ref="J2236">IFERROR(INDEX(EmployeeData[Status], ROW() - 37), "")</f>
        <v/>
      </c>
    </row>
    <row r="2237" spans="2:10" ht="19.95" customHeight="1" x14ac:dyDescent="0.3">
      <c r="B2237" s="4" t="str" cm="1">
        <f t="array" ref="B2237">IFERROR(INDEX(EmployeeData[Employee ID], ROW() - 37), "")</f>
        <v/>
      </c>
      <c r="C2237" s="4" t="str" cm="1">
        <f t="array" ref="C2237">IFERROR(INDEX(EmployeeData[Full Name], ROW() - 37), "")</f>
        <v/>
      </c>
      <c r="D2237" s="4" t="str" cm="1">
        <f t="array" ref="D2237">IFERROR(INDEX(EmployeeData[Department], ROW() - 37), "")</f>
        <v/>
      </c>
      <c r="E2237" s="4" t="str" cm="1">
        <f t="array" ref="E2237">IFERROR(INDEX(EmployeeData[Gender], ROW() - 37), "")</f>
        <v/>
      </c>
      <c r="F2237" s="4" t="str" cm="1">
        <f t="array" ref="F2237">IFERROR(INDEX(EmployeeData[Age], ROW() - 37), "")</f>
        <v/>
      </c>
      <c r="G2237" s="6" t="str" cm="1">
        <f t="array" ref="G2237">IFERROR(INDEX(EmployeeData[Join Date], ROW() - 37), "")</f>
        <v/>
      </c>
      <c r="H2237" s="6" t="str" cm="1">
        <f t="array" ref="H2237">IFERROR(IF(INDEX(EmployeeData[Exit Date], ROW() - 37)=0, "",INDEX(EmployeeData[Exit Date], ROW() - 37)),"")</f>
        <v/>
      </c>
      <c r="I2237" s="4" t="str" cm="1">
        <f t="array" ref="I2237">IFERROR(IF(INDEX(EmployeeData[Exit Reason], ROW() - 37)=0, "",INDEX(EmployeeData[Exit Reason], ROW() - 37)),"")</f>
        <v/>
      </c>
      <c r="J2237" s="4" t="str" cm="1">
        <f t="array" ref="J2237">IFERROR(INDEX(EmployeeData[Status], ROW() - 37), "")</f>
        <v/>
      </c>
    </row>
    <row r="2238" spans="2:10" ht="19.95" customHeight="1" x14ac:dyDescent="0.3">
      <c r="B2238" s="4" t="str" cm="1">
        <f t="array" ref="B2238">IFERROR(INDEX(EmployeeData[Employee ID], ROW() - 37), "")</f>
        <v/>
      </c>
      <c r="C2238" s="4" t="str" cm="1">
        <f t="array" ref="C2238">IFERROR(INDEX(EmployeeData[Full Name], ROW() - 37), "")</f>
        <v/>
      </c>
      <c r="D2238" s="4" t="str" cm="1">
        <f t="array" ref="D2238">IFERROR(INDEX(EmployeeData[Department], ROW() - 37), "")</f>
        <v/>
      </c>
      <c r="E2238" s="4" t="str" cm="1">
        <f t="array" ref="E2238">IFERROR(INDEX(EmployeeData[Gender], ROW() - 37), "")</f>
        <v/>
      </c>
      <c r="F2238" s="4" t="str" cm="1">
        <f t="array" ref="F2238">IFERROR(INDEX(EmployeeData[Age], ROW() - 37), "")</f>
        <v/>
      </c>
      <c r="G2238" s="6" t="str" cm="1">
        <f t="array" ref="G2238">IFERROR(INDEX(EmployeeData[Join Date], ROW() - 37), "")</f>
        <v/>
      </c>
      <c r="H2238" s="6" t="str" cm="1">
        <f t="array" ref="H2238">IFERROR(IF(INDEX(EmployeeData[Exit Date], ROW() - 37)=0, "",INDEX(EmployeeData[Exit Date], ROW() - 37)),"")</f>
        <v/>
      </c>
      <c r="I2238" s="4" t="str" cm="1">
        <f t="array" ref="I2238">IFERROR(IF(INDEX(EmployeeData[Exit Reason], ROW() - 37)=0, "",INDEX(EmployeeData[Exit Reason], ROW() - 37)),"")</f>
        <v/>
      </c>
      <c r="J2238" s="4" t="str" cm="1">
        <f t="array" ref="J2238">IFERROR(INDEX(EmployeeData[Status], ROW() - 37), "")</f>
        <v/>
      </c>
    </row>
    <row r="2239" spans="2:10" ht="19.95" customHeight="1" x14ac:dyDescent="0.3">
      <c r="B2239" s="4" t="str" cm="1">
        <f t="array" ref="B2239">IFERROR(INDEX(EmployeeData[Employee ID], ROW() - 37), "")</f>
        <v/>
      </c>
      <c r="C2239" s="4" t="str" cm="1">
        <f t="array" ref="C2239">IFERROR(INDEX(EmployeeData[Full Name], ROW() - 37), "")</f>
        <v/>
      </c>
      <c r="D2239" s="4" t="str" cm="1">
        <f t="array" ref="D2239">IFERROR(INDEX(EmployeeData[Department], ROW() - 37), "")</f>
        <v/>
      </c>
      <c r="E2239" s="4" t="str" cm="1">
        <f t="array" ref="E2239">IFERROR(INDEX(EmployeeData[Gender], ROW() - 37), "")</f>
        <v/>
      </c>
      <c r="F2239" s="4" t="str" cm="1">
        <f t="array" ref="F2239">IFERROR(INDEX(EmployeeData[Age], ROW() - 37), "")</f>
        <v/>
      </c>
      <c r="G2239" s="6" t="str" cm="1">
        <f t="array" ref="G2239">IFERROR(INDEX(EmployeeData[Join Date], ROW() - 37), "")</f>
        <v/>
      </c>
      <c r="H2239" s="6" t="str" cm="1">
        <f t="array" ref="H2239">IFERROR(IF(INDEX(EmployeeData[Exit Date], ROW() - 37)=0, "",INDEX(EmployeeData[Exit Date], ROW() - 37)),"")</f>
        <v/>
      </c>
      <c r="I2239" s="4" t="str" cm="1">
        <f t="array" ref="I2239">IFERROR(IF(INDEX(EmployeeData[Exit Reason], ROW() - 37)=0, "",INDEX(EmployeeData[Exit Reason], ROW() - 37)),"")</f>
        <v/>
      </c>
      <c r="J2239" s="4" t="str" cm="1">
        <f t="array" ref="J2239">IFERROR(INDEX(EmployeeData[Status], ROW() - 37), "")</f>
        <v/>
      </c>
    </row>
    <row r="2240" spans="2:10" ht="19.95" customHeight="1" x14ac:dyDescent="0.3">
      <c r="B2240" s="4" t="str" cm="1">
        <f t="array" ref="B2240">IFERROR(INDEX(EmployeeData[Employee ID], ROW() - 37), "")</f>
        <v/>
      </c>
      <c r="C2240" s="4" t="str" cm="1">
        <f t="array" ref="C2240">IFERROR(INDEX(EmployeeData[Full Name], ROW() - 37), "")</f>
        <v/>
      </c>
      <c r="D2240" s="4" t="str" cm="1">
        <f t="array" ref="D2240">IFERROR(INDEX(EmployeeData[Department], ROW() - 37), "")</f>
        <v/>
      </c>
      <c r="E2240" s="4" t="str" cm="1">
        <f t="array" ref="E2240">IFERROR(INDEX(EmployeeData[Gender], ROW() - 37), "")</f>
        <v/>
      </c>
      <c r="F2240" s="4" t="str" cm="1">
        <f t="array" ref="F2240">IFERROR(INDEX(EmployeeData[Age], ROW() - 37), "")</f>
        <v/>
      </c>
      <c r="G2240" s="6" t="str" cm="1">
        <f t="array" ref="G2240">IFERROR(INDEX(EmployeeData[Join Date], ROW() - 37), "")</f>
        <v/>
      </c>
      <c r="H2240" s="6" t="str" cm="1">
        <f t="array" ref="H2240">IFERROR(IF(INDEX(EmployeeData[Exit Date], ROW() - 37)=0, "",INDEX(EmployeeData[Exit Date], ROW() - 37)),"")</f>
        <v/>
      </c>
      <c r="I2240" s="4" t="str" cm="1">
        <f t="array" ref="I2240">IFERROR(IF(INDEX(EmployeeData[Exit Reason], ROW() - 37)=0, "",INDEX(EmployeeData[Exit Reason], ROW() - 37)),"")</f>
        <v/>
      </c>
      <c r="J2240" s="4" t="str" cm="1">
        <f t="array" ref="J2240">IFERROR(INDEX(EmployeeData[Status], ROW() - 37), "")</f>
        <v/>
      </c>
    </row>
    <row r="2241" spans="2:10" ht="19.95" customHeight="1" x14ac:dyDescent="0.3">
      <c r="B2241" s="4" t="str" cm="1">
        <f t="array" ref="B2241">IFERROR(INDEX(EmployeeData[Employee ID], ROW() - 37), "")</f>
        <v/>
      </c>
      <c r="C2241" s="4" t="str" cm="1">
        <f t="array" ref="C2241">IFERROR(INDEX(EmployeeData[Full Name], ROW() - 37), "")</f>
        <v/>
      </c>
      <c r="D2241" s="4" t="str" cm="1">
        <f t="array" ref="D2241">IFERROR(INDEX(EmployeeData[Department], ROW() - 37), "")</f>
        <v/>
      </c>
      <c r="E2241" s="4" t="str" cm="1">
        <f t="array" ref="E2241">IFERROR(INDEX(EmployeeData[Gender], ROW() - 37), "")</f>
        <v/>
      </c>
      <c r="F2241" s="4" t="str" cm="1">
        <f t="array" ref="F2241">IFERROR(INDEX(EmployeeData[Age], ROW() - 37), "")</f>
        <v/>
      </c>
      <c r="G2241" s="6" t="str" cm="1">
        <f t="array" ref="G2241">IFERROR(INDEX(EmployeeData[Join Date], ROW() - 37), "")</f>
        <v/>
      </c>
      <c r="H2241" s="6" t="str" cm="1">
        <f t="array" ref="H2241">IFERROR(IF(INDEX(EmployeeData[Exit Date], ROW() - 37)=0, "",INDEX(EmployeeData[Exit Date], ROW() - 37)),"")</f>
        <v/>
      </c>
      <c r="I2241" s="4" t="str" cm="1">
        <f t="array" ref="I2241">IFERROR(IF(INDEX(EmployeeData[Exit Reason], ROW() - 37)=0, "",INDEX(EmployeeData[Exit Reason], ROW() - 37)),"")</f>
        <v/>
      </c>
      <c r="J2241" s="4" t="str" cm="1">
        <f t="array" ref="J2241">IFERROR(INDEX(EmployeeData[Status], ROW() - 37), "")</f>
        <v/>
      </c>
    </row>
    <row r="2242" spans="2:10" ht="19.95" customHeight="1" x14ac:dyDescent="0.3">
      <c r="B2242" s="4" t="str" cm="1">
        <f t="array" ref="B2242">IFERROR(INDEX(EmployeeData[Employee ID], ROW() - 37), "")</f>
        <v/>
      </c>
      <c r="C2242" s="4" t="str" cm="1">
        <f t="array" ref="C2242">IFERROR(INDEX(EmployeeData[Full Name], ROW() - 37), "")</f>
        <v/>
      </c>
      <c r="D2242" s="4" t="str" cm="1">
        <f t="array" ref="D2242">IFERROR(INDEX(EmployeeData[Department], ROW() - 37), "")</f>
        <v/>
      </c>
      <c r="E2242" s="4" t="str" cm="1">
        <f t="array" ref="E2242">IFERROR(INDEX(EmployeeData[Gender], ROW() - 37), "")</f>
        <v/>
      </c>
      <c r="F2242" s="4" t="str" cm="1">
        <f t="array" ref="F2242">IFERROR(INDEX(EmployeeData[Age], ROW() - 37), "")</f>
        <v/>
      </c>
      <c r="G2242" s="6" t="str" cm="1">
        <f t="array" ref="G2242">IFERROR(INDEX(EmployeeData[Join Date], ROW() - 37), "")</f>
        <v/>
      </c>
      <c r="H2242" s="6" t="str" cm="1">
        <f t="array" ref="H2242">IFERROR(IF(INDEX(EmployeeData[Exit Date], ROW() - 37)=0, "",INDEX(EmployeeData[Exit Date], ROW() - 37)),"")</f>
        <v/>
      </c>
      <c r="I2242" s="4" t="str" cm="1">
        <f t="array" ref="I2242">IFERROR(IF(INDEX(EmployeeData[Exit Reason], ROW() - 37)=0, "",INDEX(EmployeeData[Exit Reason], ROW() - 37)),"")</f>
        <v/>
      </c>
      <c r="J2242" s="4" t="str" cm="1">
        <f t="array" ref="J2242">IFERROR(INDEX(EmployeeData[Status], ROW() - 37), "")</f>
        <v/>
      </c>
    </row>
    <row r="2243" spans="2:10" ht="19.95" customHeight="1" x14ac:dyDescent="0.3">
      <c r="B2243" s="4" t="str" cm="1">
        <f t="array" ref="B2243">IFERROR(INDEX(EmployeeData[Employee ID], ROW() - 37), "")</f>
        <v/>
      </c>
      <c r="C2243" s="4" t="str" cm="1">
        <f t="array" ref="C2243">IFERROR(INDEX(EmployeeData[Full Name], ROW() - 37), "")</f>
        <v/>
      </c>
      <c r="D2243" s="4" t="str" cm="1">
        <f t="array" ref="D2243">IFERROR(INDEX(EmployeeData[Department], ROW() - 37), "")</f>
        <v/>
      </c>
      <c r="E2243" s="4" t="str" cm="1">
        <f t="array" ref="E2243">IFERROR(INDEX(EmployeeData[Gender], ROW() - 37), "")</f>
        <v/>
      </c>
      <c r="F2243" s="4" t="str" cm="1">
        <f t="array" ref="F2243">IFERROR(INDEX(EmployeeData[Age], ROW() - 37), "")</f>
        <v/>
      </c>
      <c r="G2243" s="6" t="str" cm="1">
        <f t="array" ref="G2243">IFERROR(INDEX(EmployeeData[Join Date], ROW() - 37), "")</f>
        <v/>
      </c>
      <c r="H2243" s="6" t="str" cm="1">
        <f t="array" ref="H2243">IFERROR(IF(INDEX(EmployeeData[Exit Date], ROW() - 37)=0, "",INDEX(EmployeeData[Exit Date], ROW() - 37)),"")</f>
        <v/>
      </c>
      <c r="I2243" s="4" t="str" cm="1">
        <f t="array" ref="I2243">IFERROR(IF(INDEX(EmployeeData[Exit Reason], ROW() - 37)=0, "",INDEX(EmployeeData[Exit Reason], ROW() - 37)),"")</f>
        <v/>
      </c>
      <c r="J2243" s="4" t="str" cm="1">
        <f t="array" ref="J2243">IFERROR(INDEX(EmployeeData[Status], ROW() - 37), "")</f>
        <v/>
      </c>
    </row>
    <row r="2244" spans="2:10" ht="19.95" customHeight="1" x14ac:dyDescent="0.3">
      <c r="B2244" s="4" t="str" cm="1">
        <f t="array" ref="B2244">IFERROR(INDEX(EmployeeData[Employee ID], ROW() - 37), "")</f>
        <v/>
      </c>
      <c r="C2244" s="4" t="str" cm="1">
        <f t="array" ref="C2244">IFERROR(INDEX(EmployeeData[Full Name], ROW() - 37), "")</f>
        <v/>
      </c>
      <c r="D2244" s="4" t="str" cm="1">
        <f t="array" ref="D2244">IFERROR(INDEX(EmployeeData[Department], ROW() - 37), "")</f>
        <v/>
      </c>
      <c r="E2244" s="4" t="str" cm="1">
        <f t="array" ref="E2244">IFERROR(INDEX(EmployeeData[Gender], ROW() - 37), "")</f>
        <v/>
      </c>
      <c r="F2244" s="4" t="str" cm="1">
        <f t="array" ref="F2244">IFERROR(INDEX(EmployeeData[Age], ROW() - 37), "")</f>
        <v/>
      </c>
      <c r="G2244" s="6" t="str" cm="1">
        <f t="array" ref="G2244">IFERROR(INDEX(EmployeeData[Join Date], ROW() - 37), "")</f>
        <v/>
      </c>
      <c r="H2244" s="6" t="str" cm="1">
        <f t="array" ref="H2244">IFERROR(IF(INDEX(EmployeeData[Exit Date], ROW() - 37)=0, "",INDEX(EmployeeData[Exit Date], ROW() - 37)),"")</f>
        <v/>
      </c>
      <c r="I2244" s="4" t="str" cm="1">
        <f t="array" ref="I2244">IFERROR(IF(INDEX(EmployeeData[Exit Reason], ROW() - 37)=0, "",INDEX(EmployeeData[Exit Reason], ROW() - 37)),"")</f>
        <v/>
      </c>
      <c r="J2244" s="4" t="str" cm="1">
        <f t="array" ref="J2244">IFERROR(INDEX(EmployeeData[Status], ROW() - 37), "")</f>
        <v/>
      </c>
    </row>
    <row r="2245" spans="2:10" ht="19.95" customHeight="1" x14ac:dyDescent="0.3">
      <c r="B2245" s="4" t="str" cm="1">
        <f t="array" ref="B2245">IFERROR(INDEX(EmployeeData[Employee ID], ROW() - 37), "")</f>
        <v/>
      </c>
      <c r="C2245" s="4" t="str" cm="1">
        <f t="array" ref="C2245">IFERROR(INDEX(EmployeeData[Full Name], ROW() - 37), "")</f>
        <v/>
      </c>
      <c r="D2245" s="4" t="str" cm="1">
        <f t="array" ref="D2245">IFERROR(INDEX(EmployeeData[Department], ROW() - 37), "")</f>
        <v/>
      </c>
      <c r="E2245" s="4" t="str" cm="1">
        <f t="array" ref="E2245">IFERROR(INDEX(EmployeeData[Gender], ROW() - 37), "")</f>
        <v/>
      </c>
      <c r="F2245" s="4" t="str" cm="1">
        <f t="array" ref="F2245">IFERROR(INDEX(EmployeeData[Age], ROW() - 37), "")</f>
        <v/>
      </c>
      <c r="G2245" s="6" t="str" cm="1">
        <f t="array" ref="G2245">IFERROR(INDEX(EmployeeData[Join Date], ROW() - 37), "")</f>
        <v/>
      </c>
      <c r="H2245" s="6" t="str" cm="1">
        <f t="array" ref="H2245">IFERROR(IF(INDEX(EmployeeData[Exit Date], ROW() - 37)=0, "",INDEX(EmployeeData[Exit Date], ROW() - 37)),"")</f>
        <v/>
      </c>
      <c r="I2245" s="4" t="str" cm="1">
        <f t="array" ref="I2245">IFERROR(IF(INDEX(EmployeeData[Exit Reason], ROW() - 37)=0, "",INDEX(EmployeeData[Exit Reason], ROW() - 37)),"")</f>
        <v/>
      </c>
      <c r="J2245" s="4" t="str" cm="1">
        <f t="array" ref="J2245">IFERROR(INDEX(EmployeeData[Status], ROW() - 37), "")</f>
        <v/>
      </c>
    </row>
    <row r="2246" spans="2:10" ht="19.95" customHeight="1" x14ac:dyDescent="0.3">
      <c r="B2246" s="4" t="str" cm="1">
        <f t="array" ref="B2246">IFERROR(INDEX(EmployeeData[Employee ID], ROW() - 37), "")</f>
        <v/>
      </c>
      <c r="C2246" s="4" t="str" cm="1">
        <f t="array" ref="C2246">IFERROR(INDEX(EmployeeData[Full Name], ROW() - 37), "")</f>
        <v/>
      </c>
      <c r="D2246" s="4" t="str" cm="1">
        <f t="array" ref="D2246">IFERROR(INDEX(EmployeeData[Department], ROW() - 37), "")</f>
        <v/>
      </c>
      <c r="E2246" s="4" t="str" cm="1">
        <f t="array" ref="E2246">IFERROR(INDEX(EmployeeData[Gender], ROW() - 37), "")</f>
        <v/>
      </c>
      <c r="F2246" s="4" t="str" cm="1">
        <f t="array" ref="F2246">IFERROR(INDEX(EmployeeData[Age], ROW() - 37), "")</f>
        <v/>
      </c>
      <c r="G2246" s="6" t="str" cm="1">
        <f t="array" ref="G2246">IFERROR(INDEX(EmployeeData[Join Date], ROW() - 37), "")</f>
        <v/>
      </c>
      <c r="H2246" s="6" t="str" cm="1">
        <f t="array" ref="H2246">IFERROR(IF(INDEX(EmployeeData[Exit Date], ROW() - 37)=0, "",INDEX(EmployeeData[Exit Date], ROW() - 37)),"")</f>
        <v/>
      </c>
      <c r="I2246" s="4" t="str" cm="1">
        <f t="array" ref="I2246">IFERROR(IF(INDEX(EmployeeData[Exit Reason], ROW() - 37)=0, "",INDEX(EmployeeData[Exit Reason], ROW() - 37)),"")</f>
        <v/>
      </c>
      <c r="J2246" s="4" t="str" cm="1">
        <f t="array" ref="J2246">IFERROR(INDEX(EmployeeData[Status], ROW() - 37), "")</f>
        <v/>
      </c>
    </row>
    <row r="2247" spans="2:10" ht="19.95" customHeight="1" x14ac:dyDescent="0.3">
      <c r="B2247" s="4" t="str" cm="1">
        <f t="array" ref="B2247">IFERROR(INDEX(EmployeeData[Employee ID], ROW() - 37), "")</f>
        <v/>
      </c>
      <c r="C2247" s="4" t="str" cm="1">
        <f t="array" ref="C2247">IFERROR(INDEX(EmployeeData[Full Name], ROW() - 37), "")</f>
        <v/>
      </c>
      <c r="D2247" s="4" t="str" cm="1">
        <f t="array" ref="D2247">IFERROR(INDEX(EmployeeData[Department], ROW() - 37), "")</f>
        <v/>
      </c>
      <c r="E2247" s="4" t="str" cm="1">
        <f t="array" ref="E2247">IFERROR(INDEX(EmployeeData[Gender], ROW() - 37), "")</f>
        <v/>
      </c>
      <c r="F2247" s="4" t="str" cm="1">
        <f t="array" ref="F2247">IFERROR(INDEX(EmployeeData[Age], ROW() - 37), "")</f>
        <v/>
      </c>
      <c r="G2247" s="6" t="str" cm="1">
        <f t="array" ref="G2247">IFERROR(INDEX(EmployeeData[Join Date], ROW() - 37), "")</f>
        <v/>
      </c>
      <c r="H2247" s="6" t="str" cm="1">
        <f t="array" ref="H2247">IFERROR(IF(INDEX(EmployeeData[Exit Date], ROW() - 37)=0, "",INDEX(EmployeeData[Exit Date], ROW() - 37)),"")</f>
        <v/>
      </c>
      <c r="I2247" s="4" t="str" cm="1">
        <f t="array" ref="I2247">IFERROR(IF(INDEX(EmployeeData[Exit Reason], ROW() - 37)=0, "",INDEX(EmployeeData[Exit Reason], ROW() - 37)),"")</f>
        <v/>
      </c>
      <c r="J2247" s="4" t="str" cm="1">
        <f t="array" ref="J2247">IFERROR(INDEX(EmployeeData[Status], ROW() - 37), "")</f>
        <v/>
      </c>
    </row>
    <row r="2248" spans="2:10" ht="19.95" customHeight="1" x14ac:dyDescent="0.3">
      <c r="B2248" s="4" t="str" cm="1">
        <f t="array" ref="B2248">IFERROR(INDEX(EmployeeData[Employee ID], ROW() - 37), "")</f>
        <v/>
      </c>
      <c r="C2248" s="4" t="str" cm="1">
        <f t="array" ref="C2248">IFERROR(INDEX(EmployeeData[Full Name], ROW() - 37), "")</f>
        <v/>
      </c>
      <c r="D2248" s="4" t="str" cm="1">
        <f t="array" ref="D2248">IFERROR(INDEX(EmployeeData[Department], ROW() - 37), "")</f>
        <v/>
      </c>
      <c r="E2248" s="4" t="str" cm="1">
        <f t="array" ref="E2248">IFERROR(INDEX(EmployeeData[Gender], ROW() - 37), "")</f>
        <v/>
      </c>
      <c r="F2248" s="4" t="str" cm="1">
        <f t="array" ref="F2248">IFERROR(INDEX(EmployeeData[Age], ROW() - 37), "")</f>
        <v/>
      </c>
      <c r="G2248" s="6" t="str" cm="1">
        <f t="array" ref="G2248">IFERROR(INDEX(EmployeeData[Join Date], ROW() - 37), "")</f>
        <v/>
      </c>
      <c r="H2248" s="6" t="str" cm="1">
        <f t="array" ref="H2248">IFERROR(IF(INDEX(EmployeeData[Exit Date], ROW() - 37)=0, "",INDEX(EmployeeData[Exit Date], ROW() - 37)),"")</f>
        <v/>
      </c>
      <c r="I2248" s="4" t="str" cm="1">
        <f t="array" ref="I2248">IFERROR(IF(INDEX(EmployeeData[Exit Reason], ROW() - 37)=0, "",INDEX(EmployeeData[Exit Reason], ROW() - 37)),"")</f>
        <v/>
      </c>
      <c r="J2248" s="4" t="str" cm="1">
        <f t="array" ref="J2248">IFERROR(INDEX(EmployeeData[Status], ROW() - 37), "")</f>
        <v/>
      </c>
    </row>
    <row r="2249" spans="2:10" ht="19.95" customHeight="1" x14ac:dyDescent="0.3">
      <c r="B2249" s="4" t="str" cm="1">
        <f t="array" ref="B2249">IFERROR(INDEX(EmployeeData[Employee ID], ROW() - 37), "")</f>
        <v/>
      </c>
      <c r="C2249" s="4" t="str" cm="1">
        <f t="array" ref="C2249">IFERROR(INDEX(EmployeeData[Full Name], ROW() - 37), "")</f>
        <v/>
      </c>
      <c r="D2249" s="4" t="str" cm="1">
        <f t="array" ref="D2249">IFERROR(INDEX(EmployeeData[Department], ROW() - 37), "")</f>
        <v/>
      </c>
      <c r="E2249" s="4" t="str" cm="1">
        <f t="array" ref="E2249">IFERROR(INDEX(EmployeeData[Gender], ROW() - 37), "")</f>
        <v/>
      </c>
      <c r="F2249" s="4" t="str" cm="1">
        <f t="array" ref="F2249">IFERROR(INDEX(EmployeeData[Age], ROW() - 37), "")</f>
        <v/>
      </c>
      <c r="G2249" s="6" t="str" cm="1">
        <f t="array" ref="G2249">IFERROR(INDEX(EmployeeData[Join Date], ROW() - 37), "")</f>
        <v/>
      </c>
      <c r="H2249" s="6" t="str" cm="1">
        <f t="array" ref="H2249">IFERROR(IF(INDEX(EmployeeData[Exit Date], ROW() - 37)=0, "",INDEX(EmployeeData[Exit Date], ROW() - 37)),"")</f>
        <v/>
      </c>
      <c r="I2249" s="4" t="str" cm="1">
        <f t="array" ref="I2249">IFERROR(IF(INDEX(EmployeeData[Exit Reason], ROW() - 37)=0, "",INDEX(EmployeeData[Exit Reason], ROW() - 37)),"")</f>
        <v/>
      </c>
      <c r="J2249" s="4" t="str" cm="1">
        <f t="array" ref="J2249">IFERROR(INDEX(EmployeeData[Status], ROW() - 37), "")</f>
        <v/>
      </c>
    </row>
    <row r="2250" spans="2:10" ht="19.95" customHeight="1" x14ac:dyDescent="0.3">
      <c r="B2250" s="4" t="str" cm="1">
        <f t="array" ref="B2250">IFERROR(INDEX(EmployeeData[Employee ID], ROW() - 37), "")</f>
        <v/>
      </c>
      <c r="C2250" s="4" t="str" cm="1">
        <f t="array" ref="C2250">IFERROR(INDEX(EmployeeData[Full Name], ROW() - 37), "")</f>
        <v/>
      </c>
      <c r="D2250" s="4" t="str" cm="1">
        <f t="array" ref="D2250">IFERROR(INDEX(EmployeeData[Department], ROW() - 37), "")</f>
        <v/>
      </c>
      <c r="E2250" s="4" t="str" cm="1">
        <f t="array" ref="E2250">IFERROR(INDEX(EmployeeData[Gender], ROW() - 37), "")</f>
        <v/>
      </c>
      <c r="F2250" s="4" t="str" cm="1">
        <f t="array" ref="F2250">IFERROR(INDEX(EmployeeData[Age], ROW() - 37), "")</f>
        <v/>
      </c>
      <c r="G2250" s="6" t="str" cm="1">
        <f t="array" ref="G2250">IFERROR(INDEX(EmployeeData[Join Date], ROW() - 37), "")</f>
        <v/>
      </c>
      <c r="H2250" s="6" t="str" cm="1">
        <f t="array" ref="H2250">IFERROR(IF(INDEX(EmployeeData[Exit Date], ROW() - 37)=0, "",INDEX(EmployeeData[Exit Date], ROW() - 37)),"")</f>
        <v/>
      </c>
      <c r="I2250" s="4" t="str" cm="1">
        <f t="array" ref="I2250">IFERROR(IF(INDEX(EmployeeData[Exit Reason], ROW() - 37)=0, "",INDEX(EmployeeData[Exit Reason], ROW() - 37)),"")</f>
        <v/>
      </c>
      <c r="J2250" s="4" t="str" cm="1">
        <f t="array" ref="J2250">IFERROR(INDEX(EmployeeData[Status], ROW() - 37), "")</f>
        <v/>
      </c>
    </row>
    <row r="2251" spans="2:10" ht="19.95" customHeight="1" x14ac:dyDescent="0.3">
      <c r="B2251" s="4" t="str" cm="1">
        <f t="array" ref="B2251">IFERROR(INDEX(EmployeeData[Employee ID], ROW() - 37), "")</f>
        <v/>
      </c>
      <c r="C2251" s="4" t="str" cm="1">
        <f t="array" ref="C2251">IFERROR(INDEX(EmployeeData[Full Name], ROW() - 37), "")</f>
        <v/>
      </c>
      <c r="D2251" s="4" t="str" cm="1">
        <f t="array" ref="D2251">IFERROR(INDEX(EmployeeData[Department], ROW() - 37), "")</f>
        <v/>
      </c>
      <c r="E2251" s="4" t="str" cm="1">
        <f t="array" ref="E2251">IFERROR(INDEX(EmployeeData[Gender], ROW() - 37), "")</f>
        <v/>
      </c>
      <c r="F2251" s="4" t="str" cm="1">
        <f t="array" ref="F2251">IFERROR(INDEX(EmployeeData[Age], ROW() - 37), "")</f>
        <v/>
      </c>
      <c r="G2251" s="6" t="str" cm="1">
        <f t="array" ref="G2251">IFERROR(INDEX(EmployeeData[Join Date], ROW() - 37), "")</f>
        <v/>
      </c>
      <c r="H2251" s="6" t="str" cm="1">
        <f t="array" ref="H2251">IFERROR(IF(INDEX(EmployeeData[Exit Date], ROW() - 37)=0, "",INDEX(EmployeeData[Exit Date], ROW() - 37)),"")</f>
        <v/>
      </c>
      <c r="I2251" s="4" t="str" cm="1">
        <f t="array" ref="I2251">IFERROR(IF(INDEX(EmployeeData[Exit Reason], ROW() - 37)=0, "",INDEX(EmployeeData[Exit Reason], ROW() - 37)),"")</f>
        <v/>
      </c>
      <c r="J2251" s="4" t="str" cm="1">
        <f t="array" ref="J2251">IFERROR(INDEX(EmployeeData[Status], ROW() - 37), "")</f>
        <v/>
      </c>
    </row>
    <row r="2252" spans="2:10" ht="19.95" customHeight="1" x14ac:dyDescent="0.3">
      <c r="B2252" s="4" t="str" cm="1">
        <f t="array" ref="B2252">IFERROR(INDEX(EmployeeData[Employee ID], ROW() - 37), "")</f>
        <v/>
      </c>
      <c r="C2252" s="4" t="str" cm="1">
        <f t="array" ref="C2252">IFERROR(INDEX(EmployeeData[Full Name], ROW() - 37), "")</f>
        <v/>
      </c>
      <c r="D2252" s="4" t="str" cm="1">
        <f t="array" ref="D2252">IFERROR(INDEX(EmployeeData[Department], ROW() - 37), "")</f>
        <v/>
      </c>
      <c r="E2252" s="4" t="str" cm="1">
        <f t="array" ref="E2252">IFERROR(INDEX(EmployeeData[Gender], ROW() - 37), "")</f>
        <v/>
      </c>
      <c r="F2252" s="4" t="str" cm="1">
        <f t="array" ref="F2252">IFERROR(INDEX(EmployeeData[Age], ROW() - 37), "")</f>
        <v/>
      </c>
      <c r="G2252" s="6" t="str" cm="1">
        <f t="array" ref="G2252">IFERROR(INDEX(EmployeeData[Join Date], ROW() - 37), "")</f>
        <v/>
      </c>
      <c r="H2252" s="6" t="str" cm="1">
        <f t="array" ref="H2252">IFERROR(IF(INDEX(EmployeeData[Exit Date], ROW() - 37)=0, "",INDEX(EmployeeData[Exit Date], ROW() - 37)),"")</f>
        <v/>
      </c>
      <c r="I2252" s="4" t="str" cm="1">
        <f t="array" ref="I2252">IFERROR(IF(INDEX(EmployeeData[Exit Reason], ROW() - 37)=0, "",INDEX(EmployeeData[Exit Reason], ROW() - 37)),"")</f>
        <v/>
      </c>
      <c r="J2252" s="4" t="str" cm="1">
        <f t="array" ref="J2252">IFERROR(INDEX(EmployeeData[Status], ROW() - 37), "")</f>
        <v/>
      </c>
    </row>
    <row r="2253" spans="2:10" ht="19.95" customHeight="1" x14ac:dyDescent="0.3">
      <c r="B2253" s="4" t="str" cm="1">
        <f t="array" ref="B2253">IFERROR(INDEX(EmployeeData[Employee ID], ROW() - 37), "")</f>
        <v/>
      </c>
      <c r="C2253" s="4" t="str" cm="1">
        <f t="array" ref="C2253">IFERROR(INDEX(EmployeeData[Full Name], ROW() - 37), "")</f>
        <v/>
      </c>
      <c r="D2253" s="4" t="str" cm="1">
        <f t="array" ref="D2253">IFERROR(INDEX(EmployeeData[Department], ROW() - 37), "")</f>
        <v/>
      </c>
      <c r="E2253" s="4" t="str" cm="1">
        <f t="array" ref="E2253">IFERROR(INDEX(EmployeeData[Gender], ROW() - 37), "")</f>
        <v/>
      </c>
      <c r="F2253" s="4" t="str" cm="1">
        <f t="array" ref="F2253">IFERROR(INDEX(EmployeeData[Age], ROW() - 37), "")</f>
        <v/>
      </c>
      <c r="G2253" s="6" t="str" cm="1">
        <f t="array" ref="G2253">IFERROR(INDEX(EmployeeData[Join Date], ROW() - 37), "")</f>
        <v/>
      </c>
      <c r="H2253" s="6" t="str" cm="1">
        <f t="array" ref="H2253">IFERROR(IF(INDEX(EmployeeData[Exit Date], ROW() - 37)=0, "",INDEX(EmployeeData[Exit Date], ROW() - 37)),"")</f>
        <v/>
      </c>
      <c r="I2253" s="4" t="str" cm="1">
        <f t="array" ref="I2253">IFERROR(IF(INDEX(EmployeeData[Exit Reason], ROW() - 37)=0, "",INDEX(EmployeeData[Exit Reason], ROW() - 37)),"")</f>
        <v/>
      </c>
      <c r="J2253" s="4" t="str" cm="1">
        <f t="array" ref="J2253">IFERROR(INDEX(EmployeeData[Status], ROW() - 37), "")</f>
        <v/>
      </c>
    </row>
    <row r="2254" spans="2:10" ht="19.95" customHeight="1" x14ac:dyDescent="0.3">
      <c r="B2254" s="4" t="str" cm="1">
        <f t="array" ref="B2254">IFERROR(INDEX(EmployeeData[Employee ID], ROW() - 37), "")</f>
        <v/>
      </c>
      <c r="C2254" s="4" t="str" cm="1">
        <f t="array" ref="C2254">IFERROR(INDEX(EmployeeData[Full Name], ROW() - 37), "")</f>
        <v/>
      </c>
      <c r="D2254" s="4" t="str" cm="1">
        <f t="array" ref="D2254">IFERROR(INDEX(EmployeeData[Department], ROW() - 37), "")</f>
        <v/>
      </c>
      <c r="E2254" s="4" t="str" cm="1">
        <f t="array" ref="E2254">IFERROR(INDEX(EmployeeData[Gender], ROW() - 37), "")</f>
        <v/>
      </c>
      <c r="F2254" s="4" t="str" cm="1">
        <f t="array" ref="F2254">IFERROR(INDEX(EmployeeData[Age], ROW() - 37), "")</f>
        <v/>
      </c>
      <c r="G2254" s="6" t="str" cm="1">
        <f t="array" ref="G2254">IFERROR(INDEX(EmployeeData[Join Date], ROW() - 37), "")</f>
        <v/>
      </c>
      <c r="H2254" s="6" t="str" cm="1">
        <f t="array" ref="H2254">IFERROR(IF(INDEX(EmployeeData[Exit Date], ROW() - 37)=0, "",INDEX(EmployeeData[Exit Date], ROW() - 37)),"")</f>
        <v/>
      </c>
      <c r="I2254" s="4" t="str" cm="1">
        <f t="array" ref="I2254">IFERROR(IF(INDEX(EmployeeData[Exit Reason], ROW() - 37)=0, "",INDEX(EmployeeData[Exit Reason], ROW() - 37)),"")</f>
        <v/>
      </c>
      <c r="J2254" s="4" t="str" cm="1">
        <f t="array" ref="J2254">IFERROR(INDEX(EmployeeData[Status], ROW() - 37), "")</f>
        <v/>
      </c>
    </row>
    <row r="2255" spans="2:10" ht="19.95" customHeight="1" x14ac:dyDescent="0.3">
      <c r="B2255" s="4" t="str" cm="1">
        <f t="array" ref="B2255">IFERROR(INDEX(EmployeeData[Employee ID], ROW() - 37), "")</f>
        <v/>
      </c>
      <c r="C2255" s="4" t="str" cm="1">
        <f t="array" ref="C2255">IFERROR(INDEX(EmployeeData[Full Name], ROW() - 37), "")</f>
        <v/>
      </c>
      <c r="D2255" s="4" t="str" cm="1">
        <f t="array" ref="D2255">IFERROR(INDEX(EmployeeData[Department], ROW() - 37), "")</f>
        <v/>
      </c>
      <c r="E2255" s="4" t="str" cm="1">
        <f t="array" ref="E2255">IFERROR(INDEX(EmployeeData[Gender], ROW() - 37), "")</f>
        <v/>
      </c>
      <c r="F2255" s="4" t="str" cm="1">
        <f t="array" ref="F2255">IFERROR(INDEX(EmployeeData[Age], ROW() - 37), "")</f>
        <v/>
      </c>
      <c r="G2255" s="6" t="str" cm="1">
        <f t="array" ref="G2255">IFERROR(INDEX(EmployeeData[Join Date], ROW() - 37), "")</f>
        <v/>
      </c>
      <c r="H2255" s="6" t="str" cm="1">
        <f t="array" ref="H2255">IFERROR(IF(INDEX(EmployeeData[Exit Date], ROW() - 37)=0, "",INDEX(EmployeeData[Exit Date], ROW() - 37)),"")</f>
        <v/>
      </c>
      <c r="I2255" s="4" t="str" cm="1">
        <f t="array" ref="I2255">IFERROR(IF(INDEX(EmployeeData[Exit Reason], ROW() - 37)=0, "",INDEX(EmployeeData[Exit Reason], ROW() - 37)),"")</f>
        <v/>
      </c>
      <c r="J2255" s="4" t="str" cm="1">
        <f t="array" ref="J2255">IFERROR(INDEX(EmployeeData[Status], ROW() - 37), "")</f>
        <v/>
      </c>
    </row>
    <row r="2256" spans="2:10" ht="19.95" customHeight="1" x14ac:dyDescent="0.3">
      <c r="B2256" s="4" t="str" cm="1">
        <f t="array" ref="B2256">IFERROR(INDEX(EmployeeData[Employee ID], ROW() - 37), "")</f>
        <v/>
      </c>
      <c r="C2256" s="4" t="str" cm="1">
        <f t="array" ref="C2256">IFERROR(INDEX(EmployeeData[Full Name], ROW() - 37), "")</f>
        <v/>
      </c>
      <c r="D2256" s="4" t="str" cm="1">
        <f t="array" ref="D2256">IFERROR(INDEX(EmployeeData[Department], ROW() - 37), "")</f>
        <v/>
      </c>
      <c r="E2256" s="4" t="str" cm="1">
        <f t="array" ref="E2256">IFERROR(INDEX(EmployeeData[Gender], ROW() - 37), "")</f>
        <v/>
      </c>
      <c r="F2256" s="4" t="str" cm="1">
        <f t="array" ref="F2256">IFERROR(INDEX(EmployeeData[Age], ROW() - 37), "")</f>
        <v/>
      </c>
      <c r="G2256" s="6" t="str" cm="1">
        <f t="array" ref="G2256">IFERROR(INDEX(EmployeeData[Join Date], ROW() - 37), "")</f>
        <v/>
      </c>
      <c r="H2256" s="6" t="str" cm="1">
        <f t="array" ref="H2256">IFERROR(IF(INDEX(EmployeeData[Exit Date], ROW() - 37)=0, "",INDEX(EmployeeData[Exit Date], ROW() - 37)),"")</f>
        <v/>
      </c>
      <c r="I2256" s="4" t="str" cm="1">
        <f t="array" ref="I2256">IFERROR(IF(INDEX(EmployeeData[Exit Reason], ROW() - 37)=0, "",INDEX(EmployeeData[Exit Reason], ROW() - 37)),"")</f>
        <v/>
      </c>
      <c r="J2256" s="4" t="str" cm="1">
        <f t="array" ref="J2256">IFERROR(INDEX(EmployeeData[Status], ROW() - 37), "")</f>
        <v/>
      </c>
    </row>
    <row r="2257" spans="2:10" ht="19.95" customHeight="1" x14ac:dyDescent="0.3">
      <c r="B2257" s="4" t="str" cm="1">
        <f t="array" ref="B2257">IFERROR(INDEX(EmployeeData[Employee ID], ROW() - 37), "")</f>
        <v/>
      </c>
      <c r="C2257" s="4" t="str" cm="1">
        <f t="array" ref="C2257">IFERROR(INDEX(EmployeeData[Full Name], ROW() - 37), "")</f>
        <v/>
      </c>
      <c r="D2257" s="4" t="str" cm="1">
        <f t="array" ref="D2257">IFERROR(INDEX(EmployeeData[Department], ROW() - 37), "")</f>
        <v/>
      </c>
      <c r="E2257" s="4" t="str" cm="1">
        <f t="array" ref="E2257">IFERROR(INDEX(EmployeeData[Gender], ROW() - 37), "")</f>
        <v/>
      </c>
      <c r="F2257" s="4" t="str" cm="1">
        <f t="array" ref="F2257">IFERROR(INDEX(EmployeeData[Age], ROW() - 37), "")</f>
        <v/>
      </c>
      <c r="G2257" s="6" t="str" cm="1">
        <f t="array" ref="G2257">IFERROR(INDEX(EmployeeData[Join Date], ROW() - 37), "")</f>
        <v/>
      </c>
      <c r="H2257" s="6" t="str" cm="1">
        <f t="array" ref="H2257">IFERROR(IF(INDEX(EmployeeData[Exit Date], ROW() - 37)=0, "",INDEX(EmployeeData[Exit Date], ROW() - 37)),"")</f>
        <v/>
      </c>
      <c r="I2257" s="4" t="str" cm="1">
        <f t="array" ref="I2257">IFERROR(IF(INDEX(EmployeeData[Exit Reason], ROW() - 37)=0, "",INDEX(EmployeeData[Exit Reason], ROW() - 37)),"")</f>
        <v/>
      </c>
      <c r="J2257" s="4" t="str" cm="1">
        <f t="array" ref="J2257">IFERROR(INDEX(EmployeeData[Status], ROW() - 37), "")</f>
        <v/>
      </c>
    </row>
    <row r="2258" spans="2:10" ht="19.95" customHeight="1" x14ac:dyDescent="0.3">
      <c r="B2258" s="4" t="str" cm="1">
        <f t="array" ref="B2258">IFERROR(INDEX(EmployeeData[Employee ID], ROW() - 37), "")</f>
        <v/>
      </c>
      <c r="C2258" s="4" t="str" cm="1">
        <f t="array" ref="C2258">IFERROR(INDEX(EmployeeData[Full Name], ROW() - 37), "")</f>
        <v/>
      </c>
      <c r="D2258" s="4" t="str" cm="1">
        <f t="array" ref="D2258">IFERROR(INDEX(EmployeeData[Department], ROW() - 37), "")</f>
        <v/>
      </c>
      <c r="E2258" s="4" t="str" cm="1">
        <f t="array" ref="E2258">IFERROR(INDEX(EmployeeData[Gender], ROW() - 37), "")</f>
        <v/>
      </c>
      <c r="F2258" s="4" t="str" cm="1">
        <f t="array" ref="F2258">IFERROR(INDEX(EmployeeData[Age], ROW() - 37), "")</f>
        <v/>
      </c>
      <c r="G2258" s="6" t="str" cm="1">
        <f t="array" ref="G2258">IFERROR(INDEX(EmployeeData[Join Date], ROW() - 37), "")</f>
        <v/>
      </c>
      <c r="H2258" s="6" t="str" cm="1">
        <f t="array" ref="H2258">IFERROR(IF(INDEX(EmployeeData[Exit Date], ROW() - 37)=0, "",INDEX(EmployeeData[Exit Date], ROW() - 37)),"")</f>
        <v/>
      </c>
      <c r="I2258" s="4" t="str" cm="1">
        <f t="array" ref="I2258">IFERROR(IF(INDEX(EmployeeData[Exit Reason], ROW() - 37)=0, "",INDEX(EmployeeData[Exit Reason], ROW() - 37)),"")</f>
        <v/>
      </c>
      <c r="J2258" s="4" t="str" cm="1">
        <f t="array" ref="J2258">IFERROR(INDEX(EmployeeData[Status], ROW() - 37), "")</f>
        <v/>
      </c>
    </row>
    <row r="2259" spans="2:10" ht="19.95" customHeight="1" x14ac:dyDescent="0.3">
      <c r="B2259" s="4" t="str" cm="1">
        <f t="array" ref="B2259">IFERROR(INDEX(EmployeeData[Employee ID], ROW() - 37), "")</f>
        <v/>
      </c>
      <c r="C2259" s="4" t="str" cm="1">
        <f t="array" ref="C2259">IFERROR(INDEX(EmployeeData[Full Name], ROW() - 37), "")</f>
        <v/>
      </c>
      <c r="D2259" s="4" t="str" cm="1">
        <f t="array" ref="D2259">IFERROR(INDEX(EmployeeData[Department], ROW() - 37), "")</f>
        <v/>
      </c>
      <c r="E2259" s="4" t="str" cm="1">
        <f t="array" ref="E2259">IFERROR(INDEX(EmployeeData[Gender], ROW() - 37), "")</f>
        <v/>
      </c>
      <c r="F2259" s="4" t="str" cm="1">
        <f t="array" ref="F2259">IFERROR(INDEX(EmployeeData[Age], ROW() - 37), "")</f>
        <v/>
      </c>
      <c r="G2259" s="6" t="str" cm="1">
        <f t="array" ref="G2259">IFERROR(INDEX(EmployeeData[Join Date], ROW() - 37), "")</f>
        <v/>
      </c>
      <c r="H2259" s="6" t="str" cm="1">
        <f t="array" ref="H2259">IFERROR(IF(INDEX(EmployeeData[Exit Date], ROW() - 37)=0, "",INDEX(EmployeeData[Exit Date], ROW() - 37)),"")</f>
        <v/>
      </c>
      <c r="I2259" s="4" t="str" cm="1">
        <f t="array" ref="I2259">IFERROR(IF(INDEX(EmployeeData[Exit Reason], ROW() - 37)=0, "",INDEX(EmployeeData[Exit Reason], ROW() - 37)),"")</f>
        <v/>
      </c>
      <c r="J2259" s="4" t="str" cm="1">
        <f t="array" ref="J2259">IFERROR(INDEX(EmployeeData[Status], ROW() - 37), "")</f>
        <v/>
      </c>
    </row>
    <row r="2260" spans="2:10" ht="19.95" customHeight="1" x14ac:dyDescent="0.3">
      <c r="B2260" s="4" t="str" cm="1">
        <f t="array" ref="B2260">IFERROR(INDEX(EmployeeData[Employee ID], ROW() - 37), "")</f>
        <v/>
      </c>
      <c r="C2260" s="4" t="str" cm="1">
        <f t="array" ref="C2260">IFERROR(INDEX(EmployeeData[Full Name], ROW() - 37), "")</f>
        <v/>
      </c>
      <c r="D2260" s="4" t="str" cm="1">
        <f t="array" ref="D2260">IFERROR(INDEX(EmployeeData[Department], ROW() - 37), "")</f>
        <v/>
      </c>
      <c r="E2260" s="4" t="str" cm="1">
        <f t="array" ref="E2260">IFERROR(INDEX(EmployeeData[Gender], ROW() - 37), "")</f>
        <v/>
      </c>
      <c r="F2260" s="4" t="str" cm="1">
        <f t="array" ref="F2260">IFERROR(INDEX(EmployeeData[Age], ROW() - 37), "")</f>
        <v/>
      </c>
      <c r="G2260" s="6" t="str" cm="1">
        <f t="array" ref="G2260">IFERROR(INDEX(EmployeeData[Join Date], ROW() - 37), "")</f>
        <v/>
      </c>
      <c r="H2260" s="6" t="str" cm="1">
        <f t="array" ref="H2260">IFERROR(IF(INDEX(EmployeeData[Exit Date], ROW() - 37)=0, "",INDEX(EmployeeData[Exit Date], ROW() - 37)),"")</f>
        <v/>
      </c>
      <c r="I2260" s="4" t="str" cm="1">
        <f t="array" ref="I2260">IFERROR(IF(INDEX(EmployeeData[Exit Reason], ROW() - 37)=0, "",INDEX(EmployeeData[Exit Reason], ROW() - 37)),"")</f>
        <v/>
      </c>
      <c r="J2260" s="4" t="str" cm="1">
        <f t="array" ref="J2260">IFERROR(INDEX(EmployeeData[Status], ROW() - 37), "")</f>
        <v/>
      </c>
    </row>
    <row r="2261" spans="2:10" ht="19.95" customHeight="1" x14ac:dyDescent="0.3">
      <c r="B2261" s="4" t="str" cm="1">
        <f t="array" ref="B2261">IFERROR(INDEX(EmployeeData[Employee ID], ROW() - 37), "")</f>
        <v/>
      </c>
      <c r="C2261" s="4" t="str" cm="1">
        <f t="array" ref="C2261">IFERROR(INDEX(EmployeeData[Full Name], ROW() - 37), "")</f>
        <v/>
      </c>
      <c r="D2261" s="4" t="str" cm="1">
        <f t="array" ref="D2261">IFERROR(INDEX(EmployeeData[Department], ROW() - 37), "")</f>
        <v/>
      </c>
      <c r="E2261" s="4" t="str" cm="1">
        <f t="array" ref="E2261">IFERROR(INDEX(EmployeeData[Gender], ROW() - 37), "")</f>
        <v/>
      </c>
      <c r="F2261" s="4" t="str" cm="1">
        <f t="array" ref="F2261">IFERROR(INDEX(EmployeeData[Age], ROW() - 37), "")</f>
        <v/>
      </c>
      <c r="G2261" s="6" t="str" cm="1">
        <f t="array" ref="G2261">IFERROR(INDEX(EmployeeData[Join Date], ROW() - 37), "")</f>
        <v/>
      </c>
      <c r="H2261" s="6" t="str" cm="1">
        <f t="array" ref="H2261">IFERROR(IF(INDEX(EmployeeData[Exit Date], ROW() - 37)=0, "",INDEX(EmployeeData[Exit Date], ROW() - 37)),"")</f>
        <v/>
      </c>
      <c r="I2261" s="4" t="str" cm="1">
        <f t="array" ref="I2261">IFERROR(IF(INDEX(EmployeeData[Exit Reason], ROW() - 37)=0, "",INDEX(EmployeeData[Exit Reason], ROW() - 37)),"")</f>
        <v/>
      </c>
      <c r="J2261" s="4" t="str" cm="1">
        <f t="array" ref="J2261">IFERROR(INDEX(EmployeeData[Status], ROW() - 37), "")</f>
        <v/>
      </c>
    </row>
    <row r="2262" spans="2:10" ht="19.95" customHeight="1" x14ac:dyDescent="0.3">
      <c r="B2262" s="4" t="str" cm="1">
        <f t="array" ref="B2262">IFERROR(INDEX(EmployeeData[Employee ID], ROW() - 37), "")</f>
        <v/>
      </c>
      <c r="C2262" s="4" t="str" cm="1">
        <f t="array" ref="C2262">IFERROR(INDEX(EmployeeData[Full Name], ROW() - 37), "")</f>
        <v/>
      </c>
      <c r="D2262" s="4" t="str" cm="1">
        <f t="array" ref="D2262">IFERROR(INDEX(EmployeeData[Department], ROW() - 37), "")</f>
        <v/>
      </c>
      <c r="E2262" s="4" t="str" cm="1">
        <f t="array" ref="E2262">IFERROR(INDEX(EmployeeData[Gender], ROW() - 37), "")</f>
        <v/>
      </c>
      <c r="F2262" s="4" t="str" cm="1">
        <f t="array" ref="F2262">IFERROR(INDEX(EmployeeData[Age], ROW() - 37), "")</f>
        <v/>
      </c>
      <c r="G2262" s="6" t="str" cm="1">
        <f t="array" ref="G2262">IFERROR(INDEX(EmployeeData[Join Date], ROW() - 37), "")</f>
        <v/>
      </c>
      <c r="H2262" s="6" t="str" cm="1">
        <f t="array" ref="H2262">IFERROR(IF(INDEX(EmployeeData[Exit Date], ROW() - 37)=0, "",INDEX(EmployeeData[Exit Date], ROW() - 37)),"")</f>
        <v/>
      </c>
      <c r="I2262" s="4" t="str" cm="1">
        <f t="array" ref="I2262">IFERROR(IF(INDEX(EmployeeData[Exit Reason], ROW() - 37)=0, "",INDEX(EmployeeData[Exit Reason], ROW() - 37)),"")</f>
        <v/>
      </c>
      <c r="J2262" s="4" t="str" cm="1">
        <f t="array" ref="J2262">IFERROR(INDEX(EmployeeData[Status], ROW() - 37), "")</f>
        <v/>
      </c>
    </row>
    <row r="2263" spans="2:10" ht="19.95" customHeight="1" x14ac:dyDescent="0.3">
      <c r="B2263" s="4" t="str" cm="1">
        <f t="array" ref="B2263">IFERROR(INDEX(EmployeeData[Employee ID], ROW() - 37), "")</f>
        <v/>
      </c>
      <c r="C2263" s="4" t="str" cm="1">
        <f t="array" ref="C2263">IFERROR(INDEX(EmployeeData[Full Name], ROW() - 37), "")</f>
        <v/>
      </c>
      <c r="D2263" s="4" t="str" cm="1">
        <f t="array" ref="D2263">IFERROR(INDEX(EmployeeData[Department], ROW() - 37), "")</f>
        <v/>
      </c>
      <c r="E2263" s="4" t="str" cm="1">
        <f t="array" ref="E2263">IFERROR(INDEX(EmployeeData[Gender], ROW() - 37), "")</f>
        <v/>
      </c>
      <c r="F2263" s="4" t="str" cm="1">
        <f t="array" ref="F2263">IFERROR(INDEX(EmployeeData[Age], ROW() - 37), "")</f>
        <v/>
      </c>
      <c r="G2263" s="6" t="str" cm="1">
        <f t="array" ref="G2263">IFERROR(INDEX(EmployeeData[Join Date], ROW() - 37), "")</f>
        <v/>
      </c>
      <c r="H2263" s="6" t="str" cm="1">
        <f t="array" ref="H2263">IFERROR(IF(INDEX(EmployeeData[Exit Date], ROW() - 37)=0, "",INDEX(EmployeeData[Exit Date], ROW() - 37)),"")</f>
        <v/>
      </c>
      <c r="I2263" s="4" t="str" cm="1">
        <f t="array" ref="I2263">IFERROR(IF(INDEX(EmployeeData[Exit Reason], ROW() - 37)=0, "",INDEX(EmployeeData[Exit Reason], ROW() - 37)),"")</f>
        <v/>
      </c>
      <c r="J2263" s="4" t="str" cm="1">
        <f t="array" ref="J2263">IFERROR(INDEX(EmployeeData[Status], ROW() - 37), "")</f>
        <v/>
      </c>
    </row>
    <row r="2264" spans="2:10" ht="19.95" customHeight="1" x14ac:dyDescent="0.3">
      <c r="B2264" s="4" t="str" cm="1">
        <f t="array" ref="B2264">IFERROR(INDEX(EmployeeData[Employee ID], ROW() - 37), "")</f>
        <v/>
      </c>
      <c r="C2264" s="4" t="str" cm="1">
        <f t="array" ref="C2264">IFERROR(INDEX(EmployeeData[Full Name], ROW() - 37), "")</f>
        <v/>
      </c>
      <c r="D2264" s="4" t="str" cm="1">
        <f t="array" ref="D2264">IFERROR(INDEX(EmployeeData[Department], ROW() - 37), "")</f>
        <v/>
      </c>
      <c r="E2264" s="4" t="str" cm="1">
        <f t="array" ref="E2264">IFERROR(INDEX(EmployeeData[Gender], ROW() - 37), "")</f>
        <v/>
      </c>
      <c r="F2264" s="4" t="str" cm="1">
        <f t="array" ref="F2264">IFERROR(INDEX(EmployeeData[Age], ROW() - 37), "")</f>
        <v/>
      </c>
      <c r="G2264" s="6" t="str" cm="1">
        <f t="array" ref="G2264">IFERROR(INDEX(EmployeeData[Join Date], ROW() - 37), "")</f>
        <v/>
      </c>
      <c r="H2264" s="6" t="str" cm="1">
        <f t="array" ref="H2264">IFERROR(IF(INDEX(EmployeeData[Exit Date], ROW() - 37)=0, "",INDEX(EmployeeData[Exit Date], ROW() - 37)),"")</f>
        <v/>
      </c>
      <c r="I2264" s="4" t="str" cm="1">
        <f t="array" ref="I2264">IFERROR(IF(INDEX(EmployeeData[Exit Reason], ROW() - 37)=0, "",INDEX(EmployeeData[Exit Reason], ROW() - 37)),"")</f>
        <v/>
      </c>
      <c r="J2264" s="4" t="str" cm="1">
        <f t="array" ref="J2264">IFERROR(INDEX(EmployeeData[Status], ROW() - 37), "")</f>
        <v/>
      </c>
    </row>
    <row r="2265" spans="2:10" ht="19.95" customHeight="1" x14ac:dyDescent="0.3">
      <c r="B2265" s="4" t="str" cm="1">
        <f t="array" ref="B2265">IFERROR(INDEX(EmployeeData[Employee ID], ROW() - 37), "")</f>
        <v/>
      </c>
      <c r="C2265" s="4" t="str" cm="1">
        <f t="array" ref="C2265">IFERROR(INDEX(EmployeeData[Full Name], ROW() - 37), "")</f>
        <v/>
      </c>
      <c r="D2265" s="4" t="str" cm="1">
        <f t="array" ref="D2265">IFERROR(INDEX(EmployeeData[Department], ROW() - 37), "")</f>
        <v/>
      </c>
      <c r="E2265" s="4" t="str" cm="1">
        <f t="array" ref="E2265">IFERROR(INDEX(EmployeeData[Gender], ROW() - 37), "")</f>
        <v/>
      </c>
      <c r="F2265" s="4" t="str" cm="1">
        <f t="array" ref="F2265">IFERROR(INDEX(EmployeeData[Age], ROW() - 37), "")</f>
        <v/>
      </c>
      <c r="G2265" s="6" t="str" cm="1">
        <f t="array" ref="G2265">IFERROR(INDEX(EmployeeData[Join Date], ROW() - 37), "")</f>
        <v/>
      </c>
      <c r="H2265" s="6" t="str" cm="1">
        <f t="array" ref="H2265">IFERROR(IF(INDEX(EmployeeData[Exit Date], ROW() - 37)=0, "",INDEX(EmployeeData[Exit Date], ROW() - 37)),"")</f>
        <v/>
      </c>
      <c r="I2265" s="4" t="str" cm="1">
        <f t="array" ref="I2265">IFERROR(IF(INDEX(EmployeeData[Exit Reason], ROW() - 37)=0, "",INDEX(EmployeeData[Exit Reason], ROW() - 37)),"")</f>
        <v/>
      </c>
      <c r="J2265" s="4" t="str" cm="1">
        <f t="array" ref="J2265">IFERROR(INDEX(EmployeeData[Status], ROW() - 37), "")</f>
        <v/>
      </c>
    </row>
    <row r="2266" spans="2:10" ht="19.95" customHeight="1" x14ac:dyDescent="0.3">
      <c r="B2266" s="4" t="str" cm="1">
        <f t="array" ref="B2266">IFERROR(INDEX(EmployeeData[Employee ID], ROW() - 37), "")</f>
        <v/>
      </c>
      <c r="C2266" s="4" t="str" cm="1">
        <f t="array" ref="C2266">IFERROR(INDEX(EmployeeData[Full Name], ROW() - 37), "")</f>
        <v/>
      </c>
      <c r="D2266" s="4" t="str" cm="1">
        <f t="array" ref="D2266">IFERROR(INDEX(EmployeeData[Department], ROW() - 37), "")</f>
        <v/>
      </c>
      <c r="E2266" s="4" t="str" cm="1">
        <f t="array" ref="E2266">IFERROR(INDEX(EmployeeData[Gender], ROW() - 37), "")</f>
        <v/>
      </c>
      <c r="F2266" s="4" t="str" cm="1">
        <f t="array" ref="F2266">IFERROR(INDEX(EmployeeData[Age], ROW() - 37), "")</f>
        <v/>
      </c>
      <c r="G2266" s="6" t="str" cm="1">
        <f t="array" ref="G2266">IFERROR(INDEX(EmployeeData[Join Date], ROW() - 37), "")</f>
        <v/>
      </c>
      <c r="H2266" s="6" t="str" cm="1">
        <f t="array" ref="H2266">IFERROR(IF(INDEX(EmployeeData[Exit Date], ROW() - 37)=0, "",INDEX(EmployeeData[Exit Date], ROW() - 37)),"")</f>
        <v/>
      </c>
      <c r="I2266" s="4" t="str" cm="1">
        <f t="array" ref="I2266">IFERROR(IF(INDEX(EmployeeData[Exit Reason], ROW() - 37)=0, "",INDEX(EmployeeData[Exit Reason], ROW() - 37)),"")</f>
        <v/>
      </c>
      <c r="J2266" s="4" t="str" cm="1">
        <f t="array" ref="J2266">IFERROR(INDEX(EmployeeData[Status], ROW() - 37), "")</f>
        <v/>
      </c>
    </row>
    <row r="2267" spans="2:10" ht="19.95" customHeight="1" x14ac:dyDescent="0.3">
      <c r="B2267" s="4" t="str" cm="1">
        <f t="array" ref="B2267">IFERROR(INDEX(EmployeeData[Employee ID], ROW() - 37), "")</f>
        <v/>
      </c>
      <c r="C2267" s="4" t="str" cm="1">
        <f t="array" ref="C2267">IFERROR(INDEX(EmployeeData[Full Name], ROW() - 37), "")</f>
        <v/>
      </c>
      <c r="D2267" s="4" t="str" cm="1">
        <f t="array" ref="D2267">IFERROR(INDEX(EmployeeData[Department], ROW() - 37), "")</f>
        <v/>
      </c>
      <c r="E2267" s="4" t="str" cm="1">
        <f t="array" ref="E2267">IFERROR(INDEX(EmployeeData[Gender], ROW() - 37), "")</f>
        <v/>
      </c>
      <c r="F2267" s="4" t="str" cm="1">
        <f t="array" ref="F2267">IFERROR(INDEX(EmployeeData[Age], ROW() - 37), "")</f>
        <v/>
      </c>
      <c r="G2267" s="6" t="str" cm="1">
        <f t="array" ref="G2267">IFERROR(INDEX(EmployeeData[Join Date], ROW() - 37), "")</f>
        <v/>
      </c>
      <c r="H2267" s="6" t="str" cm="1">
        <f t="array" ref="H2267">IFERROR(IF(INDEX(EmployeeData[Exit Date], ROW() - 37)=0, "",INDEX(EmployeeData[Exit Date], ROW() - 37)),"")</f>
        <v/>
      </c>
      <c r="I2267" s="4" t="str" cm="1">
        <f t="array" ref="I2267">IFERROR(IF(INDEX(EmployeeData[Exit Reason], ROW() - 37)=0, "",INDEX(EmployeeData[Exit Reason], ROW() - 37)),"")</f>
        <v/>
      </c>
      <c r="J2267" s="4" t="str" cm="1">
        <f t="array" ref="J2267">IFERROR(INDEX(EmployeeData[Status], ROW() - 37), "")</f>
        <v/>
      </c>
    </row>
    <row r="2268" spans="2:10" ht="19.95" customHeight="1" x14ac:dyDescent="0.3">
      <c r="B2268" s="4" t="str" cm="1">
        <f t="array" ref="B2268">IFERROR(INDEX(EmployeeData[Employee ID], ROW() - 37), "")</f>
        <v/>
      </c>
      <c r="C2268" s="4" t="str" cm="1">
        <f t="array" ref="C2268">IFERROR(INDEX(EmployeeData[Full Name], ROW() - 37), "")</f>
        <v/>
      </c>
      <c r="D2268" s="4" t="str" cm="1">
        <f t="array" ref="D2268">IFERROR(INDEX(EmployeeData[Department], ROW() - 37), "")</f>
        <v/>
      </c>
      <c r="E2268" s="4" t="str" cm="1">
        <f t="array" ref="E2268">IFERROR(INDEX(EmployeeData[Gender], ROW() - 37), "")</f>
        <v/>
      </c>
      <c r="F2268" s="4" t="str" cm="1">
        <f t="array" ref="F2268">IFERROR(INDEX(EmployeeData[Age], ROW() - 37), "")</f>
        <v/>
      </c>
      <c r="G2268" s="6" t="str" cm="1">
        <f t="array" ref="G2268">IFERROR(INDEX(EmployeeData[Join Date], ROW() - 37), "")</f>
        <v/>
      </c>
      <c r="H2268" s="6" t="str" cm="1">
        <f t="array" ref="H2268">IFERROR(IF(INDEX(EmployeeData[Exit Date], ROW() - 37)=0, "",INDEX(EmployeeData[Exit Date], ROW() - 37)),"")</f>
        <v/>
      </c>
      <c r="I2268" s="4" t="str" cm="1">
        <f t="array" ref="I2268">IFERROR(IF(INDEX(EmployeeData[Exit Reason], ROW() - 37)=0, "",INDEX(EmployeeData[Exit Reason], ROW() - 37)),"")</f>
        <v/>
      </c>
      <c r="J2268" s="4" t="str" cm="1">
        <f t="array" ref="J2268">IFERROR(INDEX(EmployeeData[Status], ROW() - 37), "")</f>
        <v/>
      </c>
    </row>
    <row r="2269" spans="2:10" ht="19.95" customHeight="1" x14ac:dyDescent="0.3">
      <c r="B2269" s="4" t="str" cm="1">
        <f t="array" ref="B2269">IFERROR(INDEX(EmployeeData[Employee ID], ROW() - 37), "")</f>
        <v/>
      </c>
      <c r="C2269" s="4" t="str" cm="1">
        <f t="array" ref="C2269">IFERROR(INDEX(EmployeeData[Full Name], ROW() - 37), "")</f>
        <v/>
      </c>
      <c r="D2269" s="4" t="str" cm="1">
        <f t="array" ref="D2269">IFERROR(INDEX(EmployeeData[Department], ROW() - 37), "")</f>
        <v/>
      </c>
      <c r="E2269" s="4" t="str" cm="1">
        <f t="array" ref="E2269">IFERROR(INDEX(EmployeeData[Gender], ROW() - 37), "")</f>
        <v/>
      </c>
      <c r="F2269" s="4" t="str" cm="1">
        <f t="array" ref="F2269">IFERROR(INDEX(EmployeeData[Age], ROW() - 37), "")</f>
        <v/>
      </c>
      <c r="G2269" s="6" t="str" cm="1">
        <f t="array" ref="G2269">IFERROR(INDEX(EmployeeData[Join Date], ROW() - 37), "")</f>
        <v/>
      </c>
      <c r="H2269" s="6" t="str" cm="1">
        <f t="array" ref="H2269">IFERROR(IF(INDEX(EmployeeData[Exit Date], ROW() - 37)=0, "",INDEX(EmployeeData[Exit Date], ROW() - 37)),"")</f>
        <v/>
      </c>
      <c r="I2269" s="4" t="str" cm="1">
        <f t="array" ref="I2269">IFERROR(IF(INDEX(EmployeeData[Exit Reason], ROW() - 37)=0, "",INDEX(EmployeeData[Exit Reason], ROW() - 37)),"")</f>
        <v/>
      </c>
      <c r="J2269" s="4" t="str" cm="1">
        <f t="array" ref="J2269">IFERROR(INDEX(EmployeeData[Status], ROW() - 37), "")</f>
        <v/>
      </c>
    </row>
    <row r="2270" spans="2:10" ht="19.95" customHeight="1" x14ac:dyDescent="0.3">
      <c r="B2270" s="4" t="str" cm="1">
        <f t="array" ref="B2270">IFERROR(INDEX(EmployeeData[Employee ID], ROW() - 37), "")</f>
        <v/>
      </c>
      <c r="C2270" s="4" t="str" cm="1">
        <f t="array" ref="C2270">IFERROR(INDEX(EmployeeData[Full Name], ROW() - 37), "")</f>
        <v/>
      </c>
      <c r="D2270" s="4" t="str" cm="1">
        <f t="array" ref="D2270">IFERROR(INDEX(EmployeeData[Department], ROW() - 37), "")</f>
        <v/>
      </c>
      <c r="E2270" s="4" t="str" cm="1">
        <f t="array" ref="E2270">IFERROR(INDEX(EmployeeData[Gender], ROW() - 37), "")</f>
        <v/>
      </c>
      <c r="F2270" s="4" t="str" cm="1">
        <f t="array" ref="F2270">IFERROR(INDEX(EmployeeData[Age], ROW() - 37), "")</f>
        <v/>
      </c>
      <c r="G2270" s="6" t="str" cm="1">
        <f t="array" ref="G2270">IFERROR(INDEX(EmployeeData[Join Date], ROW() - 37), "")</f>
        <v/>
      </c>
      <c r="H2270" s="6" t="str" cm="1">
        <f t="array" ref="H2270">IFERROR(IF(INDEX(EmployeeData[Exit Date], ROW() - 37)=0, "",INDEX(EmployeeData[Exit Date], ROW() - 37)),"")</f>
        <v/>
      </c>
      <c r="I2270" s="4" t="str" cm="1">
        <f t="array" ref="I2270">IFERROR(IF(INDEX(EmployeeData[Exit Reason], ROW() - 37)=0, "",INDEX(EmployeeData[Exit Reason], ROW() - 37)),"")</f>
        <v/>
      </c>
      <c r="J2270" s="4" t="str" cm="1">
        <f t="array" ref="J2270">IFERROR(INDEX(EmployeeData[Status], ROW() - 37), "")</f>
        <v/>
      </c>
    </row>
    <row r="2271" spans="2:10" ht="19.95" customHeight="1" x14ac:dyDescent="0.3">
      <c r="B2271" s="4" t="str" cm="1">
        <f t="array" ref="B2271">IFERROR(INDEX(EmployeeData[Employee ID], ROW() - 37), "")</f>
        <v/>
      </c>
      <c r="C2271" s="4" t="str" cm="1">
        <f t="array" ref="C2271">IFERROR(INDEX(EmployeeData[Full Name], ROW() - 37), "")</f>
        <v/>
      </c>
      <c r="D2271" s="4" t="str" cm="1">
        <f t="array" ref="D2271">IFERROR(INDEX(EmployeeData[Department], ROW() - 37), "")</f>
        <v/>
      </c>
      <c r="E2271" s="4" t="str" cm="1">
        <f t="array" ref="E2271">IFERROR(INDEX(EmployeeData[Gender], ROW() - 37), "")</f>
        <v/>
      </c>
      <c r="F2271" s="4" t="str" cm="1">
        <f t="array" ref="F2271">IFERROR(INDEX(EmployeeData[Age], ROW() - 37), "")</f>
        <v/>
      </c>
      <c r="G2271" s="6" t="str" cm="1">
        <f t="array" ref="G2271">IFERROR(INDEX(EmployeeData[Join Date], ROW() - 37), "")</f>
        <v/>
      </c>
      <c r="H2271" s="6" t="str" cm="1">
        <f t="array" ref="H2271">IFERROR(IF(INDEX(EmployeeData[Exit Date], ROW() - 37)=0, "",INDEX(EmployeeData[Exit Date], ROW() - 37)),"")</f>
        <v/>
      </c>
      <c r="I2271" s="4" t="str" cm="1">
        <f t="array" ref="I2271">IFERROR(IF(INDEX(EmployeeData[Exit Reason], ROW() - 37)=0, "",INDEX(EmployeeData[Exit Reason], ROW() - 37)),"")</f>
        <v/>
      </c>
      <c r="J2271" s="4" t="str" cm="1">
        <f t="array" ref="J2271">IFERROR(INDEX(EmployeeData[Status], ROW() - 37), "")</f>
        <v/>
      </c>
    </row>
    <row r="2272" spans="2:10" ht="19.95" customHeight="1" x14ac:dyDescent="0.3">
      <c r="B2272" s="4" t="str" cm="1">
        <f t="array" ref="B2272">IFERROR(INDEX(EmployeeData[Employee ID], ROW() - 37), "")</f>
        <v/>
      </c>
      <c r="C2272" s="4" t="str" cm="1">
        <f t="array" ref="C2272">IFERROR(INDEX(EmployeeData[Full Name], ROW() - 37), "")</f>
        <v/>
      </c>
      <c r="D2272" s="4" t="str" cm="1">
        <f t="array" ref="D2272">IFERROR(INDEX(EmployeeData[Department], ROW() - 37), "")</f>
        <v/>
      </c>
      <c r="E2272" s="4" t="str" cm="1">
        <f t="array" ref="E2272">IFERROR(INDEX(EmployeeData[Gender], ROW() - 37), "")</f>
        <v/>
      </c>
      <c r="F2272" s="4" t="str" cm="1">
        <f t="array" ref="F2272">IFERROR(INDEX(EmployeeData[Age], ROW() - 37), "")</f>
        <v/>
      </c>
      <c r="G2272" s="6" t="str" cm="1">
        <f t="array" ref="G2272">IFERROR(INDEX(EmployeeData[Join Date], ROW() - 37), "")</f>
        <v/>
      </c>
      <c r="H2272" s="6" t="str" cm="1">
        <f t="array" ref="H2272">IFERROR(IF(INDEX(EmployeeData[Exit Date], ROW() - 37)=0, "",INDEX(EmployeeData[Exit Date], ROW() - 37)),"")</f>
        <v/>
      </c>
      <c r="I2272" s="4" t="str" cm="1">
        <f t="array" ref="I2272">IFERROR(IF(INDEX(EmployeeData[Exit Reason], ROW() - 37)=0, "",INDEX(EmployeeData[Exit Reason], ROW() - 37)),"")</f>
        <v/>
      </c>
      <c r="J2272" s="4" t="str" cm="1">
        <f t="array" ref="J2272">IFERROR(INDEX(EmployeeData[Status], ROW() - 37), "")</f>
        <v/>
      </c>
    </row>
    <row r="2273" spans="2:10" ht="19.95" customHeight="1" x14ac:dyDescent="0.3">
      <c r="B2273" s="4" t="str" cm="1">
        <f t="array" ref="B2273">IFERROR(INDEX(EmployeeData[Employee ID], ROW() - 37), "")</f>
        <v/>
      </c>
      <c r="C2273" s="4" t="str" cm="1">
        <f t="array" ref="C2273">IFERROR(INDEX(EmployeeData[Full Name], ROW() - 37), "")</f>
        <v/>
      </c>
      <c r="D2273" s="4" t="str" cm="1">
        <f t="array" ref="D2273">IFERROR(INDEX(EmployeeData[Department], ROW() - 37), "")</f>
        <v/>
      </c>
      <c r="E2273" s="4" t="str" cm="1">
        <f t="array" ref="E2273">IFERROR(INDEX(EmployeeData[Gender], ROW() - 37), "")</f>
        <v/>
      </c>
      <c r="F2273" s="4" t="str" cm="1">
        <f t="array" ref="F2273">IFERROR(INDEX(EmployeeData[Age], ROW() - 37), "")</f>
        <v/>
      </c>
      <c r="G2273" s="6" t="str" cm="1">
        <f t="array" ref="G2273">IFERROR(INDEX(EmployeeData[Join Date], ROW() - 37), "")</f>
        <v/>
      </c>
      <c r="H2273" s="6" t="str" cm="1">
        <f t="array" ref="H2273">IFERROR(IF(INDEX(EmployeeData[Exit Date], ROW() - 37)=0, "",INDEX(EmployeeData[Exit Date], ROW() - 37)),"")</f>
        <v/>
      </c>
      <c r="I2273" s="4" t="str" cm="1">
        <f t="array" ref="I2273">IFERROR(IF(INDEX(EmployeeData[Exit Reason], ROW() - 37)=0, "",INDEX(EmployeeData[Exit Reason], ROW() - 37)),"")</f>
        <v/>
      </c>
      <c r="J2273" s="4" t="str" cm="1">
        <f t="array" ref="J2273">IFERROR(INDEX(EmployeeData[Status], ROW() - 37), "")</f>
        <v/>
      </c>
    </row>
    <row r="2274" spans="2:10" ht="19.95" customHeight="1" x14ac:dyDescent="0.3">
      <c r="B2274" s="4" t="str" cm="1">
        <f t="array" ref="B2274">IFERROR(INDEX(EmployeeData[Employee ID], ROW() - 37), "")</f>
        <v/>
      </c>
      <c r="C2274" s="4" t="str" cm="1">
        <f t="array" ref="C2274">IFERROR(INDEX(EmployeeData[Full Name], ROW() - 37), "")</f>
        <v/>
      </c>
      <c r="D2274" s="4" t="str" cm="1">
        <f t="array" ref="D2274">IFERROR(INDEX(EmployeeData[Department], ROW() - 37), "")</f>
        <v/>
      </c>
      <c r="E2274" s="4" t="str" cm="1">
        <f t="array" ref="E2274">IFERROR(INDEX(EmployeeData[Gender], ROW() - 37), "")</f>
        <v/>
      </c>
      <c r="F2274" s="4" t="str" cm="1">
        <f t="array" ref="F2274">IFERROR(INDEX(EmployeeData[Age], ROW() - 37), "")</f>
        <v/>
      </c>
      <c r="G2274" s="6" t="str" cm="1">
        <f t="array" ref="G2274">IFERROR(INDEX(EmployeeData[Join Date], ROW() - 37), "")</f>
        <v/>
      </c>
      <c r="H2274" s="6" t="str" cm="1">
        <f t="array" ref="H2274">IFERROR(IF(INDEX(EmployeeData[Exit Date], ROW() - 37)=0, "",INDEX(EmployeeData[Exit Date], ROW() - 37)),"")</f>
        <v/>
      </c>
      <c r="I2274" s="4" t="str" cm="1">
        <f t="array" ref="I2274">IFERROR(IF(INDEX(EmployeeData[Exit Reason], ROW() - 37)=0, "",INDEX(EmployeeData[Exit Reason], ROW() - 37)),"")</f>
        <v/>
      </c>
      <c r="J2274" s="4" t="str" cm="1">
        <f t="array" ref="J2274">IFERROR(INDEX(EmployeeData[Status], ROW() - 37), "")</f>
        <v/>
      </c>
    </row>
    <row r="2275" spans="2:10" ht="19.95" customHeight="1" x14ac:dyDescent="0.3">
      <c r="B2275" s="4" t="str" cm="1">
        <f t="array" ref="B2275">IFERROR(INDEX(EmployeeData[Employee ID], ROW() - 37), "")</f>
        <v/>
      </c>
      <c r="C2275" s="4" t="str" cm="1">
        <f t="array" ref="C2275">IFERROR(INDEX(EmployeeData[Full Name], ROW() - 37), "")</f>
        <v/>
      </c>
      <c r="D2275" s="4" t="str" cm="1">
        <f t="array" ref="D2275">IFERROR(INDEX(EmployeeData[Department], ROW() - 37), "")</f>
        <v/>
      </c>
      <c r="E2275" s="4" t="str" cm="1">
        <f t="array" ref="E2275">IFERROR(INDEX(EmployeeData[Gender], ROW() - 37), "")</f>
        <v/>
      </c>
      <c r="F2275" s="4" t="str" cm="1">
        <f t="array" ref="F2275">IFERROR(INDEX(EmployeeData[Age], ROW() - 37), "")</f>
        <v/>
      </c>
      <c r="G2275" s="6" t="str" cm="1">
        <f t="array" ref="G2275">IFERROR(INDEX(EmployeeData[Join Date], ROW() - 37), "")</f>
        <v/>
      </c>
      <c r="H2275" s="6" t="str" cm="1">
        <f t="array" ref="H2275">IFERROR(IF(INDEX(EmployeeData[Exit Date], ROW() - 37)=0, "",INDEX(EmployeeData[Exit Date], ROW() - 37)),"")</f>
        <v/>
      </c>
      <c r="I2275" s="4" t="str" cm="1">
        <f t="array" ref="I2275">IFERROR(IF(INDEX(EmployeeData[Exit Reason], ROW() - 37)=0, "",INDEX(EmployeeData[Exit Reason], ROW() - 37)),"")</f>
        <v/>
      </c>
      <c r="J2275" s="4" t="str" cm="1">
        <f t="array" ref="J2275">IFERROR(INDEX(EmployeeData[Status], ROW() - 37), "")</f>
        <v/>
      </c>
    </row>
    <row r="2276" spans="2:10" ht="19.95" customHeight="1" x14ac:dyDescent="0.3">
      <c r="B2276" s="4" t="str" cm="1">
        <f t="array" ref="B2276">IFERROR(INDEX(EmployeeData[Employee ID], ROW() - 37), "")</f>
        <v/>
      </c>
      <c r="C2276" s="4" t="str" cm="1">
        <f t="array" ref="C2276">IFERROR(INDEX(EmployeeData[Full Name], ROW() - 37), "")</f>
        <v/>
      </c>
      <c r="D2276" s="4" t="str" cm="1">
        <f t="array" ref="D2276">IFERROR(INDEX(EmployeeData[Department], ROW() - 37), "")</f>
        <v/>
      </c>
      <c r="E2276" s="4" t="str" cm="1">
        <f t="array" ref="E2276">IFERROR(INDEX(EmployeeData[Gender], ROW() - 37), "")</f>
        <v/>
      </c>
      <c r="F2276" s="4" t="str" cm="1">
        <f t="array" ref="F2276">IFERROR(INDEX(EmployeeData[Age], ROW() - 37), "")</f>
        <v/>
      </c>
      <c r="G2276" s="6" t="str" cm="1">
        <f t="array" ref="G2276">IFERROR(INDEX(EmployeeData[Join Date], ROW() - 37), "")</f>
        <v/>
      </c>
      <c r="H2276" s="6" t="str" cm="1">
        <f t="array" ref="H2276">IFERROR(IF(INDEX(EmployeeData[Exit Date], ROW() - 37)=0, "",INDEX(EmployeeData[Exit Date], ROW() - 37)),"")</f>
        <v/>
      </c>
      <c r="I2276" s="4" t="str" cm="1">
        <f t="array" ref="I2276">IFERROR(IF(INDEX(EmployeeData[Exit Reason], ROW() - 37)=0, "",INDEX(EmployeeData[Exit Reason], ROW() - 37)),"")</f>
        <v/>
      </c>
      <c r="J2276" s="4" t="str" cm="1">
        <f t="array" ref="J2276">IFERROR(INDEX(EmployeeData[Status], ROW() - 37), "")</f>
        <v/>
      </c>
    </row>
    <row r="2277" spans="2:10" ht="19.95" customHeight="1" x14ac:dyDescent="0.3">
      <c r="B2277" s="4" t="str" cm="1">
        <f t="array" ref="B2277">IFERROR(INDEX(EmployeeData[Employee ID], ROW() - 37), "")</f>
        <v/>
      </c>
      <c r="C2277" s="4" t="str" cm="1">
        <f t="array" ref="C2277">IFERROR(INDEX(EmployeeData[Full Name], ROW() - 37), "")</f>
        <v/>
      </c>
      <c r="D2277" s="4" t="str" cm="1">
        <f t="array" ref="D2277">IFERROR(INDEX(EmployeeData[Department], ROW() - 37), "")</f>
        <v/>
      </c>
      <c r="E2277" s="4" t="str" cm="1">
        <f t="array" ref="E2277">IFERROR(INDEX(EmployeeData[Gender], ROW() - 37), "")</f>
        <v/>
      </c>
      <c r="F2277" s="4" t="str" cm="1">
        <f t="array" ref="F2277">IFERROR(INDEX(EmployeeData[Age], ROW() - 37), "")</f>
        <v/>
      </c>
      <c r="G2277" s="6" t="str" cm="1">
        <f t="array" ref="G2277">IFERROR(INDEX(EmployeeData[Join Date], ROW() - 37), "")</f>
        <v/>
      </c>
      <c r="H2277" s="6" t="str" cm="1">
        <f t="array" ref="H2277">IFERROR(IF(INDEX(EmployeeData[Exit Date], ROW() - 37)=0, "",INDEX(EmployeeData[Exit Date], ROW() - 37)),"")</f>
        <v/>
      </c>
      <c r="I2277" s="4" t="str" cm="1">
        <f t="array" ref="I2277">IFERROR(IF(INDEX(EmployeeData[Exit Reason], ROW() - 37)=0, "",INDEX(EmployeeData[Exit Reason], ROW() - 37)),"")</f>
        <v/>
      </c>
      <c r="J2277" s="4" t="str" cm="1">
        <f t="array" ref="J2277">IFERROR(INDEX(EmployeeData[Status], ROW() - 37), "")</f>
        <v/>
      </c>
    </row>
    <row r="2278" spans="2:10" ht="19.95" customHeight="1" x14ac:dyDescent="0.3">
      <c r="B2278" s="4" t="str" cm="1">
        <f t="array" ref="B2278">IFERROR(INDEX(EmployeeData[Employee ID], ROW() - 37), "")</f>
        <v/>
      </c>
      <c r="C2278" s="4" t="str" cm="1">
        <f t="array" ref="C2278">IFERROR(INDEX(EmployeeData[Full Name], ROW() - 37), "")</f>
        <v/>
      </c>
      <c r="D2278" s="4" t="str" cm="1">
        <f t="array" ref="D2278">IFERROR(INDEX(EmployeeData[Department], ROW() - 37), "")</f>
        <v/>
      </c>
      <c r="E2278" s="4" t="str" cm="1">
        <f t="array" ref="E2278">IFERROR(INDEX(EmployeeData[Gender], ROW() - 37), "")</f>
        <v/>
      </c>
      <c r="F2278" s="4" t="str" cm="1">
        <f t="array" ref="F2278">IFERROR(INDEX(EmployeeData[Age], ROW() - 37), "")</f>
        <v/>
      </c>
      <c r="G2278" s="6" t="str" cm="1">
        <f t="array" ref="G2278">IFERROR(INDEX(EmployeeData[Join Date], ROW() - 37), "")</f>
        <v/>
      </c>
      <c r="H2278" s="6" t="str" cm="1">
        <f t="array" ref="H2278">IFERROR(IF(INDEX(EmployeeData[Exit Date], ROW() - 37)=0, "",INDEX(EmployeeData[Exit Date], ROW() - 37)),"")</f>
        <v/>
      </c>
      <c r="I2278" s="4" t="str" cm="1">
        <f t="array" ref="I2278">IFERROR(IF(INDEX(EmployeeData[Exit Reason], ROW() - 37)=0, "",INDEX(EmployeeData[Exit Reason], ROW() - 37)),"")</f>
        <v/>
      </c>
      <c r="J2278" s="4" t="str" cm="1">
        <f t="array" ref="J2278">IFERROR(INDEX(EmployeeData[Status], ROW() - 37), "")</f>
        <v/>
      </c>
    </row>
    <row r="2279" spans="2:10" ht="19.95" customHeight="1" x14ac:dyDescent="0.3">
      <c r="B2279" s="4" t="str" cm="1">
        <f t="array" ref="B2279">IFERROR(INDEX(EmployeeData[Employee ID], ROW() - 37), "")</f>
        <v/>
      </c>
      <c r="C2279" s="4" t="str" cm="1">
        <f t="array" ref="C2279">IFERROR(INDEX(EmployeeData[Full Name], ROW() - 37), "")</f>
        <v/>
      </c>
      <c r="D2279" s="4" t="str" cm="1">
        <f t="array" ref="D2279">IFERROR(INDEX(EmployeeData[Department], ROW() - 37), "")</f>
        <v/>
      </c>
      <c r="E2279" s="4" t="str" cm="1">
        <f t="array" ref="E2279">IFERROR(INDEX(EmployeeData[Gender], ROW() - 37), "")</f>
        <v/>
      </c>
      <c r="F2279" s="4" t="str" cm="1">
        <f t="array" ref="F2279">IFERROR(INDEX(EmployeeData[Age], ROW() - 37), "")</f>
        <v/>
      </c>
      <c r="G2279" s="6" t="str" cm="1">
        <f t="array" ref="G2279">IFERROR(INDEX(EmployeeData[Join Date], ROW() - 37), "")</f>
        <v/>
      </c>
      <c r="H2279" s="6" t="str" cm="1">
        <f t="array" ref="H2279">IFERROR(IF(INDEX(EmployeeData[Exit Date], ROW() - 37)=0, "",INDEX(EmployeeData[Exit Date], ROW() - 37)),"")</f>
        <v/>
      </c>
      <c r="I2279" s="4" t="str" cm="1">
        <f t="array" ref="I2279">IFERROR(IF(INDEX(EmployeeData[Exit Reason], ROW() - 37)=0, "",INDEX(EmployeeData[Exit Reason], ROW() - 37)),"")</f>
        <v/>
      </c>
      <c r="J2279" s="4" t="str" cm="1">
        <f t="array" ref="J2279">IFERROR(INDEX(EmployeeData[Status], ROW() - 37), "")</f>
        <v/>
      </c>
    </row>
    <row r="2280" spans="2:10" ht="19.95" customHeight="1" x14ac:dyDescent="0.3">
      <c r="B2280" s="4" t="str" cm="1">
        <f t="array" ref="B2280">IFERROR(INDEX(EmployeeData[Employee ID], ROW() - 37), "")</f>
        <v/>
      </c>
      <c r="C2280" s="4" t="str" cm="1">
        <f t="array" ref="C2280">IFERROR(INDEX(EmployeeData[Full Name], ROW() - 37), "")</f>
        <v/>
      </c>
      <c r="D2280" s="4" t="str" cm="1">
        <f t="array" ref="D2280">IFERROR(INDEX(EmployeeData[Department], ROW() - 37), "")</f>
        <v/>
      </c>
      <c r="E2280" s="4" t="str" cm="1">
        <f t="array" ref="E2280">IFERROR(INDEX(EmployeeData[Gender], ROW() - 37), "")</f>
        <v/>
      </c>
      <c r="F2280" s="4" t="str" cm="1">
        <f t="array" ref="F2280">IFERROR(INDEX(EmployeeData[Age], ROW() - 37), "")</f>
        <v/>
      </c>
      <c r="G2280" s="6" t="str" cm="1">
        <f t="array" ref="G2280">IFERROR(INDEX(EmployeeData[Join Date], ROW() - 37), "")</f>
        <v/>
      </c>
      <c r="H2280" s="6" t="str" cm="1">
        <f t="array" ref="H2280">IFERROR(IF(INDEX(EmployeeData[Exit Date], ROW() - 37)=0, "",INDEX(EmployeeData[Exit Date], ROW() - 37)),"")</f>
        <v/>
      </c>
      <c r="I2280" s="4" t="str" cm="1">
        <f t="array" ref="I2280">IFERROR(IF(INDEX(EmployeeData[Exit Reason], ROW() - 37)=0, "",INDEX(EmployeeData[Exit Reason], ROW() - 37)),"")</f>
        <v/>
      </c>
      <c r="J2280" s="4" t="str" cm="1">
        <f t="array" ref="J2280">IFERROR(INDEX(EmployeeData[Status], ROW() - 37), "")</f>
        <v/>
      </c>
    </row>
    <row r="2281" spans="2:10" ht="19.95" customHeight="1" x14ac:dyDescent="0.3">
      <c r="B2281" s="4" t="str" cm="1">
        <f t="array" ref="B2281">IFERROR(INDEX(EmployeeData[Employee ID], ROW() - 37), "")</f>
        <v/>
      </c>
      <c r="C2281" s="4" t="str" cm="1">
        <f t="array" ref="C2281">IFERROR(INDEX(EmployeeData[Full Name], ROW() - 37), "")</f>
        <v/>
      </c>
      <c r="D2281" s="4" t="str" cm="1">
        <f t="array" ref="D2281">IFERROR(INDEX(EmployeeData[Department], ROW() - 37), "")</f>
        <v/>
      </c>
      <c r="E2281" s="4" t="str" cm="1">
        <f t="array" ref="E2281">IFERROR(INDEX(EmployeeData[Gender], ROW() - 37), "")</f>
        <v/>
      </c>
      <c r="F2281" s="4" t="str" cm="1">
        <f t="array" ref="F2281">IFERROR(INDEX(EmployeeData[Age], ROW() - 37), "")</f>
        <v/>
      </c>
      <c r="G2281" s="6" t="str" cm="1">
        <f t="array" ref="G2281">IFERROR(INDEX(EmployeeData[Join Date], ROW() - 37), "")</f>
        <v/>
      </c>
      <c r="H2281" s="6" t="str" cm="1">
        <f t="array" ref="H2281">IFERROR(IF(INDEX(EmployeeData[Exit Date], ROW() - 37)=0, "",INDEX(EmployeeData[Exit Date], ROW() - 37)),"")</f>
        <v/>
      </c>
      <c r="I2281" s="4" t="str" cm="1">
        <f t="array" ref="I2281">IFERROR(IF(INDEX(EmployeeData[Exit Reason], ROW() - 37)=0, "",INDEX(EmployeeData[Exit Reason], ROW() - 37)),"")</f>
        <v/>
      </c>
      <c r="J2281" s="4" t="str" cm="1">
        <f t="array" ref="J2281">IFERROR(INDEX(EmployeeData[Status], ROW() - 37), "")</f>
        <v/>
      </c>
    </row>
    <row r="2282" spans="2:10" ht="19.95" customHeight="1" x14ac:dyDescent="0.3">
      <c r="B2282" s="4" t="str" cm="1">
        <f t="array" ref="B2282">IFERROR(INDEX(EmployeeData[Employee ID], ROW() - 37), "")</f>
        <v/>
      </c>
      <c r="C2282" s="4" t="str" cm="1">
        <f t="array" ref="C2282">IFERROR(INDEX(EmployeeData[Full Name], ROW() - 37), "")</f>
        <v/>
      </c>
      <c r="D2282" s="4" t="str" cm="1">
        <f t="array" ref="D2282">IFERROR(INDEX(EmployeeData[Department], ROW() - 37), "")</f>
        <v/>
      </c>
      <c r="E2282" s="4" t="str" cm="1">
        <f t="array" ref="E2282">IFERROR(INDEX(EmployeeData[Gender], ROW() - 37), "")</f>
        <v/>
      </c>
      <c r="F2282" s="4" t="str" cm="1">
        <f t="array" ref="F2282">IFERROR(INDEX(EmployeeData[Age], ROW() - 37), "")</f>
        <v/>
      </c>
      <c r="G2282" s="6" t="str" cm="1">
        <f t="array" ref="G2282">IFERROR(INDEX(EmployeeData[Join Date], ROW() - 37), "")</f>
        <v/>
      </c>
      <c r="H2282" s="6" t="str" cm="1">
        <f t="array" ref="H2282">IFERROR(IF(INDEX(EmployeeData[Exit Date], ROW() - 37)=0, "",INDEX(EmployeeData[Exit Date], ROW() - 37)),"")</f>
        <v/>
      </c>
      <c r="I2282" s="4" t="str" cm="1">
        <f t="array" ref="I2282">IFERROR(IF(INDEX(EmployeeData[Exit Reason], ROW() - 37)=0, "",INDEX(EmployeeData[Exit Reason], ROW() - 37)),"")</f>
        <v/>
      </c>
      <c r="J2282" s="4" t="str" cm="1">
        <f t="array" ref="J2282">IFERROR(INDEX(EmployeeData[Status], ROW() - 37), "")</f>
        <v/>
      </c>
    </row>
    <row r="2283" spans="2:10" ht="19.95" customHeight="1" x14ac:dyDescent="0.3">
      <c r="B2283" s="4" t="str" cm="1">
        <f t="array" ref="B2283">IFERROR(INDEX(EmployeeData[Employee ID], ROW() - 37), "")</f>
        <v/>
      </c>
      <c r="C2283" s="4" t="str" cm="1">
        <f t="array" ref="C2283">IFERROR(INDEX(EmployeeData[Full Name], ROW() - 37), "")</f>
        <v/>
      </c>
      <c r="D2283" s="4" t="str" cm="1">
        <f t="array" ref="D2283">IFERROR(INDEX(EmployeeData[Department], ROW() - 37), "")</f>
        <v/>
      </c>
      <c r="E2283" s="4" t="str" cm="1">
        <f t="array" ref="E2283">IFERROR(INDEX(EmployeeData[Gender], ROW() - 37), "")</f>
        <v/>
      </c>
      <c r="F2283" s="4" t="str" cm="1">
        <f t="array" ref="F2283">IFERROR(INDEX(EmployeeData[Age], ROW() - 37), "")</f>
        <v/>
      </c>
      <c r="G2283" s="6" t="str" cm="1">
        <f t="array" ref="G2283">IFERROR(INDEX(EmployeeData[Join Date], ROW() - 37), "")</f>
        <v/>
      </c>
      <c r="H2283" s="6" t="str" cm="1">
        <f t="array" ref="H2283">IFERROR(IF(INDEX(EmployeeData[Exit Date], ROW() - 37)=0, "",INDEX(EmployeeData[Exit Date], ROW() - 37)),"")</f>
        <v/>
      </c>
      <c r="I2283" s="4" t="str" cm="1">
        <f t="array" ref="I2283">IFERROR(IF(INDEX(EmployeeData[Exit Reason], ROW() - 37)=0, "",INDEX(EmployeeData[Exit Reason], ROW() - 37)),"")</f>
        <v/>
      </c>
      <c r="J2283" s="4" t="str" cm="1">
        <f t="array" ref="J2283">IFERROR(INDEX(EmployeeData[Status], ROW() - 37), "")</f>
        <v/>
      </c>
    </row>
    <row r="2284" spans="2:10" ht="19.95" customHeight="1" x14ac:dyDescent="0.3">
      <c r="B2284" s="4" t="str" cm="1">
        <f t="array" ref="B2284">IFERROR(INDEX(EmployeeData[Employee ID], ROW() - 37), "")</f>
        <v/>
      </c>
      <c r="C2284" s="4" t="str" cm="1">
        <f t="array" ref="C2284">IFERROR(INDEX(EmployeeData[Full Name], ROW() - 37), "")</f>
        <v/>
      </c>
      <c r="D2284" s="4" t="str" cm="1">
        <f t="array" ref="D2284">IFERROR(INDEX(EmployeeData[Department], ROW() - 37), "")</f>
        <v/>
      </c>
      <c r="E2284" s="4" t="str" cm="1">
        <f t="array" ref="E2284">IFERROR(INDEX(EmployeeData[Gender], ROW() - 37), "")</f>
        <v/>
      </c>
      <c r="F2284" s="4" t="str" cm="1">
        <f t="array" ref="F2284">IFERROR(INDEX(EmployeeData[Age], ROW() - 37), "")</f>
        <v/>
      </c>
      <c r="G2284" s="6" t="str" cm="1">
        <f t="array" ref="G2284">IFERROR(INDEX(EmployeeData[Join Date], ROW() - 37), "")</f>
        <v/>
      </c>
      <c r="H2284" s="6" t="str" cm="1">
        <f t="array" ref="H2284">IFERROR(IF(INDEX(EmployeeData[Exit Date], ROW() - 37)=0, "",INDEX(EmployeeData[Exit Date], ROW() - 37)),"")</f>
        <v/>
      </c>
      <c r="I2284" s="4" t="str" cm="1">
        <f t="array" ref="I2284">IFERROR(IF(INDEX(EmployeeData[Exit Reason], ROW() - 37)=0, "",INDEX(EmployeeData[Exit Reason], ROW() - 37)),"")</f>
        <v/>
      </c>
      <c r="J2284" s="4" t="str" cm="1">
        <f t="array" ref="J2284">IFERROR(INDEX(EmployeeData[Status], ROW() - 37), "")</f>
        <v/>
      </c>
    </row>
    <row r="2285" spans="2:10" ht="19.95" customHeight="1" x14ac:dyDescent="0.3">
      <c r="B2285" s="4" t="str" cm="1">
        <f t="array" ref="B2285">IFERROR(INDEX(EmployeeData[Employee ID], ROW() - 37), "")</f>
        <v/>
      </c>
      <c r="C2285" s="4" t="str" cm="1">
        <f t="array" ref="C2285">IFERROR(INDEX(EmployeeData[Full Name], ROW() - 37), "")</f>
        <v/>
      </c>
      <c r="D2285" s="4" t="str" cm="1">
        <f t="array" ref="D2285">IFERROR(INDEX(EmployeeData[Department], ROW() - 37), "")</f>
        <v/>
      </c>
      <c r="E2285" s="4" t="str" cm="1">
        <f t="array" ref="E2285">IFERROR(INDEX(EmployeeData[Gender], ROW() - 37), "")</f>
        <v/>
      </c>
      <c r="F2285" s="4" t="str" cm="1">
        <f t="array" ref="F2285">IFERROR(INDEX(EmployeeData[Age], ROW() - 37), "")</f>
        <v/>
      </c>
      <c r="G2285" s="6" t="str" cm="1">
        <f t="array" ref="G2285">IFERROR(INDEX(EmployeeData[Join Date], ROW() - 37), "")</f>
        <v/>
      </c>
      <c r="H2285" s="6" t="str" cm="1">
        <f t="array" ref="H2285">IFERROR(IF(INDEX(EmployeeData[Exit Date], ROW() - 37)=0, "",INDEX(EmployeeData[Exit Date], ROW() - 37)),"")</f>
        <v/>
      </c>
      <c r="I2285" s="4" t="str" cm="1">
        <f t="array" ref="I2285">IFERROR(IF(INDEX(EmployeeData[Exit Reason], ROW() - 37)=0, "",INDEX(EmployeeData[Exit Reason], ROW() - 37)),"")</f>
        <v/>
      </c>
      <c r="J2285" s="4" t="str" cm="1">
        <f t="array" ref="J2285">IFERROR(INDEX(EmployeeData[Status], ROW() - 37), "")</f>
        <v/>
      </c>
    </row>
    <row r="2286" spans="2:10" ht="19.95" customHeight="1" x14ac:dyDescent="0.3">
      <c r="B2286" s="4" t="str" cm="1">
        <f t="array" ref="B2286">IFERROR(INDEX(EmployeeData[Employee ID], ROW() - 37), "")</f>
        <v/>
      </c>
      <c r="C2286" s="4" t="str" cm="1">
        <f t="array" ref="C2286">IFERROR(INDEX(EmployeeData[Full Name], ROW() - 37), "")</f>
        <v/>
      </c>
      <c r="D2286" s="4" t="str" cm="1">
        <f t="array" ref="D2286">IFERROR(INDEX(EmployeeData[Department], ROW() - 37), "")</f>
        <v/>
      </c>
      <c r="E2286" s="4" t="str" cm="1">
        <f t="array" ref="E2286">IFERROR(INDEX(EmployeeData[Gender], ROW() - 37), "")</f>
        <v/>
      </c>
      <c r="F2286" s="4" t="str" cm="1">
        <f t="array" ref="F2286">IFERROR(INDEX(EmployeeData[Age], ROW() - 37), "")</f>
        <v/>
      </c>
      <c r="G2286" s="6" t="str" cm="1">
        <f t="array" ref="G2286">IFERROR(INDEX(EmployeeData[Join Date], ROW() - 37), "")</f>
        <v/>
      </c>
      <c r="H2286" s="6" t="str" cm="1">
        <f t="array" ref="H2286">IFERROR(IF(INDEX(EmployeeData[Exit Date], ROW() - 37)=0, "",INDEX(EmployeeData[Exit Date], ROW() - 37)),"")</f>
        <v/>
      </c>
      <c r="I2286" s="4" t="str" cm="1">
        <f t="array" ref="I2286">IFERROR(IF(INDEX(EmployeeData[Exit Reason], ROW() - 37)=0, "",INDEX(EmployeeData[Exit Reason], ROW() - 37)),"")</f>
        <v/>
      </c>
      <c r="J2286" s="4" t="str" cm="1">
        <f t="array" ref="J2286">IFERROR(INDEX(EmployeeData[Status], ROW() - 37), "")</f>
        <v/>
      </c>
    </row>
    <row r="2287" spans="2:10" ht="19.95" customHeight="1" x14ac:dyDescent="0.3">
      <c r="B2287" s="4" t="str" cm="1">
        <f t="array" ref="B2287">IFERROR(INDEX(EmployeeData[Employee ID], ROW() - 37), "")</f>
        <v/>
      </c>
      <c r="C2287" s="4" t="str" cm="1">
        <f t="array" ref="C2287">IFERROR(INDEX(EmployeeData[Full Name], ROW() - 37), "")</f>
        <v/>
      </c>
      <c r="D2287" s="4" t="str" cm="1">
        <f t="array" ref="D2287">IFERROR(INDEX(EmployeeData[Department], ROW() - 37), "")</f>
        <v/>
      </c>
      <c r="E2287" s="4" t="str" cm="1">
        <f t="array" ref="E2287">IFERROR(INDEX(EmployeeData[Gender], ROW() - 37), "")</f>
        <v/>
      </c>
      <c r="F2287" s="4" t="str" cm="1">
        <f t="array" ref="F2287">IFERROR(INDEX(EmployeeData[Age], ROW() - 37), "")</f>
        <v/>
      </c>
      <c r="G2287" s="6" t="str" cm="1">
        <f t="array" ref="G2287">IFERROR(INDEX(EmployeeData[Join Date], ROW() - 37), "")</f>
        <v/>
      </c>
      <c r="H2287" s="6" t="str" cm="1">
        <f t="array" ref="H2287">IFERROR(IF(INDEX(EmployeeData[Exit Date], ROW() - 37)=0, "",INDEX(EmployeeData[Exit Date], ROW() - 37)),"")</f>
        <v/>
      </c>
      <c r="I2287" s="4" t="str" cm="1">
        <f t="array" ref="I2287">IFERROR(IF(INDEX(EmployeeData[Exit Reason], ROW() - 37)=0, "",INDEX(EmployeeData[Exit Reason], ROW() - 37)),"")</f>
        <v/>
      </c>
      <c r="J2287" s="4" t="str" cm="1">
        <f t="array" ref="J2287">IFERROR(INDEX(EmployeeData[Status], ROW() - 37), "")</f>
        <v/>
      </c>
    </row>
    <row r="2288" spans="2:10" ht="19.95" customHeight="1" x14ac:dyDescent="0.3">
      <c r="B2288" s="4" t="str" cm="1">
        <f t="array" ref="B2288">IFERROR(INDEX(EmployeeData[Employee ID], ROW() - 37), "")</f>
        <v/>
      </c>
      <c r="C2288" s="4" t="str" cm="1">
        <f t="array" ref="C2288">IFERROR(INDEX(EmployeeData[Full Name], ROW() - 37), "")</f>
        <v/>
      </c>
      <c r="D2288" s="4" t="str" cm="1">
        <f t="array" ref="D2288">IFERROR(INDEX(EmployeeData[Department], ROW() - 37), "")</f>
        <v/>
      </c>
      <c r="E2288" s="4" t="str" cm="1">
        <f t="array" ref="E2288">IFERROR(INDEX(EmployeeData[Gender], ROW() - 37), "")</f>
        <v/>
      </c>
      <c r="F2288" s="4" t="str" cm="1">
        <f t="array" ref="F2288">IFERROR(INDEX(EmployeeData[Age], ROW() - 37), "")</f>
        <v/>
      </c>
      <c r="G2288" s="6" t="str" cm="1">
        <f t="array" ref="G2288">IFERROR(INDEX(EmployeeData[Join Date], ROW() - 37), "")</f>
        <v/>
      </c>
      <c r="H2288" s="6" t="str" cm="1">
        <f t="array" ref="H2288">IFERROR(IF(INDEX(EmployeeData[Exit Date], ROW() - 37)=0, "",INDEX(EmployeeData[Exit Date], ROW() - 37)),"")</f>
        <v/>
      </c>
      <c r="I2288" s="4" t="str" cm="1">
        <f t="array" ref="I2288">IFERROR(IF(INDEX(EmployeeData[Exit Reason], ROW() - 37)=0, "",INDEX(EmployeeData[Exit Reason], ROW() - 37)),"")</f>
        <v/>
      </c>
      <c r="J2288" s="4" t="str" cm="1">
        <f t="array" ref="J2288">IFERROR(INDEX(EmployeeData[Status], ROW() - 37), "")</f>
        <v/>
      </c>
    </row>
    <row r="2289" spans="2:10" ht="19.95" customHeight="1" x14ac:dyDescent="0.3">
      <c r="B2289" s="4" t="str" cm="1">
        <f t="array" ref="B2289">IFERROR(INDEX(EmployeeData[Employee ID], ROW() - 37), "")</f>
        <v/>
      </c>
      <c r="C2289" s="4" t="str" cm="1">
        <f t="array" ref="C2289">IFERROR(INDEX(EmployeeData[Full Name], ROW() - 37), "")</f>
        <v/>
      </c>
      <c r="D2289" s="4" t="str" cm="1">
        <f t="array" ref="D2289">IFERROR(INDEX(EmployeeData[Department], ROW() - 37), "")</f>
        <v/>
      </c>
      <c r="E2289" s="4" t="str" cm="1">
        <f t="array" ref="E2289">IFERROR(INDEX(EmployeeData[Gender], ROW() - 37), "")</f>
        <v/>
      </c>
      <c r="F2289" s="4" t="str" cm="1">
        <f t="array" ref="F2289">IFERROR(INDEX(EmployeeData[Age], ROW() - 37), "")</f>
        <v/>
      </c>
      <c r="G2289" s="6" t="str" cm="1">
        <f t="array" ref="G2289">IFERROR(INDEX(EmployeeData[Join Date], ROW() - 37), "")</f>
        <v/>
      </c>
      <c r="H2289" s="6" t="str" cm="1">
        <f t="array" ref="H2289">IFERROR(IF(INDEX(EmployeeData[Exit Date], ROW() - 37)=0, "",INDEX(EmployeeData[Exit Date], ROW() - 37)),"")</f>
        <v/>
      </c>
      <c r="I2289" s="4" t="str" cm="1">
        <f t="array" ref="I2289">IFERROR(IF(INDEX(EmployeeData[Exit Reason], ROW() - 37)=0, "",INDEX(EmployeeData[Exit Reason], ROW() - 37)),"")</f>
        <v/>
      </c>
      <c r="J2289" s="4" t="str" cm="1">
        <f t="array" ref="J2289">IFERROR(INDEX(EmployeeData[Status], ROW() - 37), "")</f>
        <v/>
      </c>
    </row>
    <row r="2290" spans="2:10" ht="19.95" customHeight="1" x14ac:dyDescent="0.3">
      <c r="B2290" s="4" t="str" cm="1">
        <f t="array" ref="B2290">IFERROR(INDEX(EmployeeData[Employee ID], ROW() - 37), "")</f>
        <v/>
      </c>
      <c r="C2290" s="4" t="str" cm="1">
        <f t="array" ref="C2290">IFERROR(INDEX(EmployeeData[Full Name], ROW() - 37), "")</f>
        <v/>
      </c>
      <c r="D2290" s="4" t="str" cm="1">
        <f t="array" ref="D2290">IFERROR(INDEX(EmployeeData[Department], ROW() - 37), "")</f>
        <v/>
      </c>
      <c r="E2290" s="4" t="str" cm="1">
        <f t="array" ref="E2290">IFERROR(INDEX(EmployeeData[Gender], ROW() - 37), "")</f>
        <v/>
      </c>
      <c r="F2290" s="4" t="str" cm="1">
        <f t="array" ref="F2290">IFERROR(INDEX(EmployeeData[Age], ROW() - 37), "")</f>
        <v/>
      </c>
      <c r="G2290" s="6" t="str" cm="1">
        <f t="array" ref="G2290">IFERROR(INDEX(EmployeeData[Join Date], ROW() - 37), "")</f>
        <v/>
      </c>
      <c r="H2290" s="6" t="str" cm="1">
        <f t="array" ref="H2290">IFERROR(IF(INDEX(EmployeeData[Exit Date], ROW() - 37)=0, "",INDEX(EmployeeData[Exit Date], ROW() - 37)),"")</f>
        <v/>
      </c>
      <c r="I2290" s="4" t="str" cm="1">
        <f t="array" ref="I2290">IFERROR(IF(INDEX(EmployeeData[Exit Reason], ROW() - 37)=0, "",INDEX(EmployeeData[Exit Reason], ROW() - 37)),"")</f>
        <v/>
      </c>
      <c r="J2290" s="4" t="str" cm="1">
        <f t="array" ref="J2290">IFERROR(INDEX(EmployeeData[Status], ROW() - 37), "")</f>
        <v/>
      </c>
    </row>
    <row r="2291" spans="2:10" ht="19.95" customHeight="1" x14ac:dyDescent="0.3">
      <c r="B2291" s="4" t="str" cm="1">
        <f t="array" ref="B2291">IFERROR(INDEX(EmployeeData[Employee ID], ROW() - 37), "")</f>
        <v/>
      </c>
      <c r="C2291" s="4" t="str" cm="1">
        <f t="array" ref="C2291">IFERROR(INDEX(EmployeeData[Full Name], ROW() - 37), "")</f>
        <v/>
      </c>
      <c r="D2291" s="4" t="str" cm="1">
        <f t="array" ref="D2291">IFERROR(INDEX(EmployeeData[Department], ROW() - 37), "")</f>
        <v/>
      </c>
      <c r="E2291" s="4" t="str" cm="1">
        <f t="array" ref="E2291">IFERROR(INDEX(EmployeeData[Gender], ROW() - 37), "")</f>
        <v/>
      </c>
      <c r="F2291" s="4" t="str" cm="1">
        <f t="array" ref="F2291">IFERROR(INDEX(EmployeeData[Age], ROW() - 37), "")</f>
        <v/>
      </c>
      <c r="G2291" s="6" t="str" cm="1">
        <f t="array" ref="G2291">IFERROR(INDEX(EmployeeData[Join Date], ROW() - 37), "")</f>
        <v/>
      </c>
      <c r="H2291" s="6" t="str" cm="1">
        <f t="array" ref="H2291">IFERROR(IF(INDEX(EmployeeData[Exit Date], ROW() - 37)=0, "",INDEX(EmployeeData[Exit Date], ROW() - 37)),"")</f>
        <v/>
      </c>
      <c r="I2291" s="4" t="str" cm="1">
        <f t="array" ref="I2291">IFERROR(IF(INDEX(EmployeeData[Exit Reason], ROW() - 37)=0, "",INDEX(EmployeeData[Exit Reason], ROW() - 37)),"")</f>
        <v/>
      </c>
      <c r="J2291" s="4" t="str" cm="1">
        <f t="array" ref="J2291">IFERROR(INDEX(EmployeeData[Status], ROW() - 37), "")</f>
        <v/>
      </c>
    </row>
    <row r="2292" spans="2:10" ht="19.95" customHeight="1" x14ac:dyDescent="0.3">
      <c r="B2292" s="4" t="str" cm="1">
        <f t="array" ref="B2292">IFERROR(INDEX(EmployeeData[Employee ID], ROW() - 37), "")</f>
        <v/>
      </c>
      <c r="C2292" s="4" t="str" cm="1">
        <f t="array" ref="C2292">IFERROR(INDEX(EmployeeData[Full Name], ROW() - 37), "")</f>
        <v/>
      </c>
      <c r="D2292" s="4" t="str" cm="1">
        <f t="array" ref="D2292">IFERROR(INDEX(EmployeeData[Department], ROW() - 37), "")</f>
        <v/>
      </c>
      <c r="E2292" s="4" t="str" cm="1">
        <f t="array" ref="E2292">IFERROR(INDEX(EmployeeData[Gender], ROW() - 37), "")</f>
        <v/>
      </c>
      <c r="F2292" s="4" t="str" cm="1">
        <f t="array" ref="F2292">IFERROR(INDEX(EmployeeData[Age], ROW() - 37), "")</f>
        <v/>
      </c>
      <c r="G2292" s="6" t="str" cm="1">
        <f t="array" ref="G2292">IFERROR(INDEX(EmployeeData[Join Date], ROW() - 37), "")</f>
        <v/>
      </c>
      <c r="H2292" s="6" t="str" cm="1">
        <f t="array" ref="H2292">IFERROR(IF(INDEX(EmployeeData[Exit Date], ROW() - 37)=0, "",INDEX(EmployeeData[Exit Date], ROW() - 37)),"")</f>
        <v/>
      </c>
      <c r="I2292" s="4" t="str" cm="1">
        <f t="array" ref="I2292">IFERROR(IF(INDEX(EmployeeData[Exit Reason], ROW() - 37)=0, "",INDEX(EmployeeData[Exit Reason], ROW() - 37)),"")</f>
        <v/>
      </c>
      <c r="J2292" s="4" t="str" cm="1">
        <f t="array" ref="J2292">IFERROR(INDEX(EmployeeData[Status], ROW() - 37), "")</f>
        <v/>
      </c>
    </row>
    <row r="2293" spans="2:10" ht="19.95" customHeight="1" x14ac:dyDescent="0.3">
      <c r="B2293" s="4" t="str" cm="1">
        <f t="array" ref="B2293">IFERROR(INDEX(EmployeeData[Employee ID], ROW() - 37), "")</f>
        <v/>
      </c>
      <c r="C2293" s="4" t="str" cm="1">
        <f t="array" ref="C2293">IFERROR(INDEX(EmployeeData[Full Name], ROW() - 37), "")</f>
        <v/>
      </c>
      <c r="D2293" s="4" t="str" cm="1">
        <f t="array" ref="D2293">IFERROR(INDEX(EmployeeData[Department], ROW() - 37), "")</f>
        <v/>
      </c>
      <c r="E2293" s="4" t="str" cm="1">
        <f t="array" ref="E2293">IFERROR(INDEX(EmployeeData[Gender], ROW() - 37), "")</f>
        <v/>
      </c>
      <c r="F2293" s="4" t="str" cm="1">
        <f t="array" ref="F2293">IFERROR(INDEX(EmployeeData[Age], ROW() - 37), "")</f>
        <v/>
      </c>
      <c r="G2293" s="6" t="str" cm="1">
        <f t="array" ref="G2293">IFERROR(INDEX(EmployeeData[Join Date], ROW() - 37), "")</f>
        <v/>
      </c>
      <c r="H2293" s="6" t="str" cm="1">
        <f t="array" ref="H2293">IFERROR(IF(INDEX(EmployeeData[Exit Date], ROW() - 37)=0, "",INDEX(EmployeeData[Exit Date], ROW() - 37)),"")</f>
        <v/>
      </c>
      <c r="I2293" s="4" t="str" cm="1">
        <f t="array" ref="I2293">IFERROR(IF(INDEX(EmployeeData[Exit Reason], ROW() - 37)=0, "",INDEX(EmployeeData[Exit Reason], ROW() - 37)),"")</f>
        <v/>
      </c>
      <c r="J2293" s="4" t="str" cm="1">
        <f t="array" ref="J2293">IFERROR(INDEX(EmployeeData[Status], ROW() - 37), "")</f>
        <v/>
      </c>
    </row>
    <row r="2294" spans="2:10" ht="19.95" customHeight="1" x14ac:dyDescent="0.3">
      <c r="B2294" s="4" t="str" cm="1">
        <f t="array" ref="B2294">IFERROR(INDEX(EmployeeData[Employee ID], ROW() - 37), "")</f>
        <v/>
      </c>
      <c r="C2294" s="4" t="str" cm="1">
        <f t="array" ref="C2294">IFERROR(INDEX(EmployeeData[Full Name], ROW() - 37), "")</f>
        <v/>
      </c>
      <c r="D2294" s="4" t="str" cm="1">
        <f t="array" ref="D2294">IFERROR(INDEX(EmployeeData[Department], ROW() - 37), "")</f>
        <v/>
      </c>
      <c r="E2294" s="4" t="str" cm="1">
        <f t="array" ref="E2294">IFERROR(INDEX(EmployeeData[Gender], ROW() - 37), "")</f>
        <v/>
      </c>
      <c r="F2294" s="4" t="str" cm="1">
        <f t="array" ref="F2294">IFERROR(INDEX(EmployeeData[Age], ROW() - 37), "")</f>
        <v/>
      </c>
      <c r="G2294" s="6" t="str" cm="1">
        <f t="array" ref="G2294">IFERROR(INDEX(EmployeeData[Join Date], ROW() - 37), "")</f>
        <v/>
      </c>
      <c r="H2294" s="6" t="str" cm="1">
        <f t="array" ref="H2294">IFERROR(IF(INDEX(EmployeeData[Exit Date], ROW() - 37)=0, "",INDEX(EmployeeData[Exit Date], ROW() - 37)),"")</f>
        <v/>
      </c>
      <c r="I2294" s="4" t="str" cm="1">
        <f t="array" ref="I2294">IFERROR(IF(INDEX(EmployeeData[Exit Reason], ROW() - 37)=0, "",INDEX(EmployeeData[Exit Reason], ROW() - 37)),"")</f>
        <v/>
      </c>
      <c r="J2294" s="4" t="str" cm="1">
        <f t="array" ref="J2294">IFERROR(INDEX(EmployeeData[Status], ROW() - 37), "")</f>
        <v/>
      </c>
    </row>
    <row r="2295" spans="2:10" ht="19.95" customHeight="1" x14ac:dyDescent="0.3">
      <c r="B2295" s="4" t="str" cm="1">
        <f t="array" ref="B2295">IFERROR(INDEX(EmployeeData[Employee ID], ROW() - 37), "")</f>
        <v/>
      </c>
      <c r="C2295" s="4" t="str" cm="1">
        <f t="array" ref="C2295">IFERROR(INDEX(EmployeeData[Full Name], ROW() - 37), "")</f>
        <v/>
      </c>
      <c r="D2295" s="4" t="str" cm="1">
        <f t="array" ref="D2295">IFERROR(INDEX(EmployeeData[Department], ROW() - 37), "")</f>
        <v/>
      </c>
      <c r="E2295" s="4" t="str" cm="1">
        <f t="array" ref="E2295">IFERROR(INDEX(EmployeeData[Gender], ROW() - 37), "")</f>
        <v/>
      </c>
      <c r="F2295" s="4" t="str" cm="1">
        <f t="array" ref="F2295">IFERROR(INDEX(EmployeeData[Age], ROW() - 37), "")</f>
        <v/>
      </c>
      <c r="G2295" s="6" t="str" cm="1">
        <f t="array" ref="G2295">IFERROR(INDEX(EmployeeData[Join Date], ROW() - 37), "")</f>
        <v/>
      </c>
      <c r="H2295" s="6" t="str" cm="1">
        <f t="array" ref="H2295">IFERROR(IF(INDEX(EmployeeData[Exit Date], ROW() - 37)=0, "",INDEX(EmployeeData[Exit Date], ROW() - 37)),"")</f>
        <v/>
      </c>
      <c r="I2295" s="4" t="str" cm="1">
        <f t="array" ref="I2295">IFERROR(IF(INDEX(EmployeeData[Exit Reason], ROW() - 37)=0, "",INDEX(EmployeeData[Exit Reason], ROW() - 37)),"")</f>
        <v/>
      </c>
      <c r="J2295" s="4" t="str" cm="1">
        <f t="array" ref="J2295">IFERROR(INDEX(EmployeeData[Status], ROW() - 37), "")</f>
        <v/>
      </c>
    </row>
    <row r="2296" spans="2:10" ht="19.95" customHeight="1" x14ac:dyDescent="0.3">
      <c r="B2296" s="4" t="str" cm="1">
        <f t="array" ref="B2296">IFERROR(INDEX(EmployeeData[Employee ID], ROW() - 37), "")</f>
        <v/>
      </c>
      <c r="C2296" s="4" t="str" cm="1">
        <f t="array" ref="C2296">IFERROR(INDEX(EmployeeData[Full Name], ROW() - 37), "")</f>
        <v/>
      </c>
      <c r="D2296" s="4" t="str" cm="1">
        <f t="array" ref="D2296">IFERROR(INDEX(EmployeeData[Department], ROW() - 37), "")</f>
        <v/>
      </c>
      <c r="E2296" s="4" t="str" cm="1">
        <f t="array" ref="E2296">IFERROR(INDEX(EmployeeData[Gender], ROW() - 37), "")</f>
        <v/>
      </c>
      <c r="F2296" s="4" t="str" cm="1">
        <f t="array" ref="F2296">IFERROR(INDEX(EmployeeData[Age], ROW() - 37), "")</f>
        <v/>
      </c>
      <c r="G2296" s="6" t="str" cm="1">
        <f t="array" ref="G2296">IFERROR(INDEX(EmployeeData[Join Date], ROW() - 37), "")</f>
        <v/>
      </c>
      <c r="H2296" s="6" t="str" cm="1">
        <f t="array" ref="H2296">IFERROR(IF(INDEX(EmployeeData[Exit Date], ROW() - 37)=0, "",INDEX(EmployeeData[Exit Date], ROW() - 37)),"")</f>
        <v/>
      </c>
      <c r="I2296" s="4" t="str" cm="1">
        <f t="array" ref="I2296">IFERROR(IF(INDEX(EmployeeData[Exit Reason], ROW() - 37)=0, "",INDEX(EmployeeData[Exit Reason], ROW() - 37)),"")</f>
        <v/>
      </c>
      <c r="J2296" s="4" t="str" cm="1">
        <f t="array" ref="J2296">IFERROR(INDEX(EmployeeData[Status], ROW() - 37), "")</f>
        <v/>
      </c>
    </row>
    <row r="2297" spans="2:10" ht="19.95" customHeight="1" x14ac:dyDescent="0.3">
      <c r="B2297" s="4" t="str" cm="1">
        <f t="array" ref="B2297">IFERROR(INDEX(EmployeeData[Employee ID], ROW() - 37), "")</f>
        <v/>
      </c>
      <c r="C2297" s="4" t="str" cm="1">
        <f t="array" ref="C2297">IFERROR(INDEX(EmployeeData[Full Name], ROW() - 37), "")</f>
        <v/>
      </c>
      <c r="D2297" s="4" t="str" cm="1">
        <f t="array" ref="D2297">IFERROR(INDEX(EmployeeData[Department], ROW() - 37), "")</f>
        <v/>
      </c>
      <c r="E2297" s="4" t="str" cm="1">
        <f t="array" ref="E2297">IFERROR(INDEX(EmployeeData[Gender], ROW() - 37), "")</f>
        <v/>
      </c>
      <c r="F2297" s="4" t="str" cm="1">
        <f t="array" ref="F2297">IFERROR(INDEX(EmployeeData[Age], ROW() - 37), "")</f>
        <v/>
      </c>
      <c r="G2297" s="6" t="str" cm="1">
        <f t="array" ref="G2297">IFERROR(INDEX(EmployeeData[Join Date], ROW() - 37), "")</f>
        <v/>
      </c>
      <c r="H2297" s="6" t="str" cm="1">
        <f t="array" ref="H2297">IFERROR(IF(INDEX(EmployeeData[Exit Date], ROW() - 37)=0, "",INDEX(EmployeeData[Exit Date], ROW() - 37)),"")</f>
        <v/>
      </c>
      <c r="I2297" s="4" t="str" cm="1">
        <f t="array" ref="I2297">IFERROR(IF(INDEX(EmployeeData[Exit Reason], ROW() - 37)=0, "",INDEX(EmployeeData[Exit Reason], ROW() - 37)),"")</f>
        <v/>
      </c>
      <c r="J2297" s="4" t="str" cm="1">
        <f t="array" ref="J2297">IFERROR(INDEX(EmployeeData[Status], ROW() - 37), "")</f>
        <v/>
      </c>
    </row>
    <row r="2298" spans="2:10" ht="19.95" customHeight="1" x14ac:dyDescent="0.3">
      <c r="B2298" s="4" t="str" cm="1">
        <f t="array" ref="B2298">IFERROR(INDEX(EmployeeData[Employee ID], ROW() - 37), "")</f>
        <v/>
      </c>
      <c r="C2298" s="4" t="str" cm="1">
        <f t="array" ref="C2298">IFERROR(INDEX(EmployeeData[Full Name], ROW() - 37), "")</f>
        <v/>
      </c>
      <c r="D2298" s="4" t="str" cm="1">
        <f t="array" ref="D2298">IFERROR(INDEX(EmployeeData[Department], ROW() - 37), "")</f>
        <v/>
      </c>
      <c r="E2298" s="4" t="str" cm="1">
        <f t="array" ref="E2298">IFERROR(INDEX(EmployeeData[Gender], ROW() - 37), "")</f>
        <v/>
      </c>
      <c r="F2298" s="4" t="str" cm="1">
        <f t="array" ref="F2298">IFERROR(INDEX(EmployeeData[Age], ROW() - 37), "")</f>
        <v/>
      </c>
      <c r="G2298" s="6" t="str" cm="1">
        <f t="array" ref="G2298">IFERROR(INDEX(EmployeeData[Join Date], ROW() - 37), "")</f>
        <v/>
      </c>
      <c r="H2298" s="6" t="str" cm="1">
        <f t="array" ref="H2298">IFERROR(IF(INDEX(EmployeeData[Exit Date], ROW() - 37)=0, "",INDEX(EmployeeData[Exit Date], ROW() - 37)),"")</f>
        <v/>
      </c>
      <c r="I2298" s="4" t="str" cm="1">
        <f t="array" ref="I2298">IFERROR(IF(INDEX(EmployeeData[Exit Reason], ROW() - 37)=0, "",INDEX(EmployeeData[Exit Reason], ROW() - 37)),"")</f>
        <v/>
      </c>
      <c r="J2298" s="4" t="str" cm="1">
        <f t="array" ref="J2298">IFERROR(INDEX(EmployeeData[Status], ROW() - 37), "")</f>
        <v/>
      </c>
    </row>
    <row r="2299" spans="2:10" ht="19.95" customHeight="1" x14ac:dyDescent="0.3">
      <c r="B2299" s="4" t="str" cm="1">
        <f t="array" ref="B2299">IFERROR(INDEX(EmployeeData[Employee ID], ROW() - 37), "")</f>
        <v/>
      </c>
      <c r="C2299" s="4" t="str" cm="1">
        <f t="array" ref="C2299">IFERROR(INDEX(EmployeeData[Full Name], ROW() - 37), "")</f>
        <v/>
      </c>
      <c r="D2299" s="4" t="str" cm="1">
        <f t="array" ref="D2299">IFERROR(INDEX(EmployeeData[Department], ROW() - 37), "")</f>
        <v/>
      </c>
      <c r="E2299" s="4" t="str" cm="1">
        <f t="array" ref="E2299">IFERROR(INDEX(EmployeeData[Gender], ROW() - 37), "")</f>
        <v/>
      </c>
      <c r="F2299" s="4" t="str" cm="1">
        <f t="array" ref="F2299">IFERROR(INDEX(EmployeeData[Age], ROW() - 37), "")</f>
        <v/>
      </c>
      <c r="G2299" s="6" t="str" cm="1">
        <f t="array" ref="G2299">IFERROR(INDEX(EmployeeData[Join Date], ROW() - 37), "")</f>
        <v/>
      </c>
      <c r="H2299" s="6" t="str" cm="1">
        <f t="array" ref="H2299">IFERROR(IF(INDEX(EmployeeData[Exit Date], ROW() - 37)=0, "",INDEX(EmployeeData[Exit Date], ROW() - 37)),"")</f>
        <v/>
      </c>
      <c r="I2299" s="4" t="str" cm="1">
        <f t="array" ref="I2299">IFERROR(IF(INDEX(EmployeeData[Exit Reason], ROW() - 37)=0, "",INDEX(EmployeeData[Exit Reason], ROW() - 37)),"")</f>
        <v/>
      </c>
      <c r="J2299" s="4" t="str" cm="1">
        <f t="array" ref="J2299">IFERROR(INDEX(EmployeeData[Status], ROW() - 37), "")</f>
        <v/>
      </c>
    </row>
    <row r="2300" spans="2:10" ht="19.95" customHeight="1" x14ac:dyDescent="0.3">
      <c r="B2300" s="4" t="str" cm="1">
        <f t="array" ref="B2300">IFERROR(INDEX(EmployeeData[Employee ID], ROW() - 37), "")</f>
        <v/>
      </c>
      <c r="C2300" s="4" t="str" cm="1">
        <f t="array" ref="C2300">IFERROR(INDEX(EmployeeData[Full Name], ROW() - 37), "")</f>
        <v/>
      </c>
      <c r="D2300" s="4" t="str" cm="1">
        <f t="array" ref="D2300">IFERROR(INDEX(EmployeeData[Department], ROW() - 37), "")</f>
        <v/>
      </c>
      <c r="E2300" s="4" t="str" cm="1">
        <f t="array" ref="E2300">IFERROR(INDEX(EmployeeData[Gender], ROW() - 37), "")</f>
        <v/>
      </c>
      <c r="F2300" s="4" t="str" cm="1">
        <f t="array" ref="F2300">IFERROR(INDEX(EmployeeData[Age], ROW() - 37), "")</f>
        <v/>
      </c>
      <c r="G2300" s="6" t="str" cm="1">
        <f t="array" ref="G2300">IFERROR(INDEX(EmployeeData[Join Date], ROW() - 37), "")</f>
        <v/>
      </c>
      <c r="H2300" s="6" t="str" cm="1">
        <f t="array" ref="H2300">IFERROR(IF(INDEX(EmployeeData[Exit Date], ROW() - 37)=0, "",INDEX(EmployeeData[Exit Date], ROW() - 37)),"")</f>
        <v/>
      </c>
      <c r="I2300" s="4" t="str" cm="1">
        <f t="array" ref="I2300">IFERROR(IF(INDEX(EmployeeData[Exit Reason], ROW() - 37)=0, "",INDEX(EmployeeData[Exit Reason], ROW() - 37)),"")</f>
        <v/>
      </c>
      <c r="J2300" s="4" t="str" cm="1">
        <f t="array" ref="J2300">IFERROR(INDEX(EmployeeData[Status], ROW() - 37), "")</f>
        <v/>
      </c>
    </row>
    <row r="2301" spans="2:10" ht="19.95" customHeight="1" x14ac:dyDescent="0.3">
      <c r="B2301" s="4" t="str" cm="1">
        <f t="array" ref="B2301">IFERROR(INDEX(EmployeeData[Employee ID], ROW() - 37), "")</f>
        <v/>
      </c>
      <c r="C2301" s="4" t="str" cm="1">
        <f t="array" ref="C2301">IFERROR(INDEX(EmployeeData[Full Name], ROW() - 37), "")</f>
        <v/>
      </c>
      <c r="D2301" s="4" t="str" cm="1">
        <f t="array" ref="D2301">IFERROR(INDEX(EmployeeData[Department], ROW() - 37), "")</f>
        <v/>
      </c>
      <c r="E2301" s="4" t="str" cm="1">
        <f t="array" ref="E2301">IFERROR(INDEX(EmployeeData[Gender], ROW() - 37), "")</f>
        <v/>
      </c>
      <c r="F2301" s="4" t="str" cm="1">
        <f t="array" ref="F2301">IFERROR(INDEX(EmployeeData[Age], ROW() - 37), "")</f>
        <v/>
      </c>
      <c r="G2301" s="6" t="str" cm="1">
        <f t="array" ref="G2301">IFERROR(INDEX(EmployeeData[Join Date], ROW() - 37), "")</f>
        <v/>
      </c>
      <c r="H2301" s="6" t="str" cm="1">
        <f t="array" ref="H2301">IFERROR(IF(INDEX(EmployeeData[Exit Date], ROW() - 37)=0, "",INDEX(EmployeeData[Exit Date], ROW() - 37)),"")</f>
        <v/>
      </c>
      <c r="I2301" s="4" t="str" cm="1">
        <f t="array" ref="I2301">IFERROR(IF(INDEX(EmployeeData[Exit Reason], ROW() - 37)=0, "",INDEX(EmployeeData[Exit Reason], ROW() - 37)),"")</f>
        <v/>
      </c>
      <c r="J2301" s="4" t="str" cm="1">
        <f t="array" ref="J2301">IFERROR(INDEX(EmployeeData[Status], ROW() - 37), "")</f>
        <v/>
      </c>
    </row>
    <row r="2302" spans="2:10" ht="19.95" customHeight="1" x14ac:dyDescent="0.3">
      <c r="B2302" s="4" t="str" cm="1">
        <f t="array" ref="B2302">IFERROR(INDEX(EmployeeData[Employee ID], ROW() - 37), "")</f>
        <v/>
      </c>
      <c r="C2302" s="4" t="str" cm="1">
        <f t="array" ref="C2302">IFERROR(INDEX(EmployeeData[Full Name], ROW() - 37), "")</f>
        <v/>
      </c>
      <c r="D2302" s="4" t="str" cm="1">
        <f t="array" ref="D2302">IFERROR(INDEX(EmployeeData[Department], ROW() - 37), "")</f>
        <v/>
      </c>
      <c r="E2302" s="4" t="str" cm="1">
        <f t="array" ref="E2302">IFERROR(INDEX(EmployeeData[Gender], ROW() - 37), "")</f>
        <v/>
      </c>
      <c r="F2302" s="4" t="str" cm="1">
        <f t="array" ref="F2302">IFERROR(INDEX(EmployeeData[Age], ROW() - 37), "")</f>
        <v/>
      </c>
      <c r="G2302" s="6" t="str" cm="1">
        <f t="array" ref="G2302">IFERROR(INDEX(EmployeeData[Join Date], ROW() - 37), "")</f>
        <v/>
      </c>
      <c r="H2302" s="6" t="str" cm="1">
        <f t="array" ref="H2302">IFERROR(IF(INDEX(EmployeeData[Exit Date], ROW() - 37)=0, "",INDEX(EmployeeData[Exit Date], ROW() - 37)),"")</f>
        <v/>
      </c>
      <c r="I2302" s="4" t="str" cm="1">
        <f t="array" ref="I2302">IFERROR(IF(INDEX(EmployeeData[Exit Reason], ROW() - 37)=0, "",INDEX(EmployeeData[Exit Reason], ROW() - 37)),"")</f>
        <v/>
      </c>
      <c r="J2302" s="4" t="str" cm="1">
        <f t="array" ref="J2302">IFERROR(INDEX(EmployeeData[Status], ROW() - 37), "")</f>
        <v/>
      </c>
    </row>
    <row r="2303" spans="2:10" ht="19.95" customHeight="1" x14ac:dyDescent="0.3">
      <c r="B2303" s="4" t="str" cm="1">
        <f t="array" ref="B2303">IFERROR(INDEX(EmployeeData[Employee ID], ROW() - 37), "")</f>
        <v/>
      </c>
      <c r="C2303" s="4" t="str" cm="1">
        <f t="array" ref="C2303">IFERROR(INDEX(EmployeeData[Full Name], ROW() - 37), "")</f>
        <v/>
      </c>
      <c r="D2303" s="4" t="str" cm="1">
        <f t="array" ref="D2303">IFERROR(INDEX(EmployeeData[Department], ROW() - 37), "")</f>
        <v/>
      </c>
      <c r="E2303" s="4" t="str" cm="1">
        <f t="array" ref="E2303">IFERROR(INDEX(EmployeeData[Gender], ROW() - 37), "")</f>
        <v/>
      </c>
      <c r="F2303" s="4" t="str" cm="1">
        <f t="array" ref="F2303">IFERROR(INDEX(EmployeeData[Age], ROW() - 37), "")</f>
        <v/>
      </c>
      <c r="G2303" s="6" t="str" cm="1">
        <f t="array" ref="G2303">IFERROR(INDEX(EmployeeData[Join Date], ROW() - 37), "")</f>
        <v/>
      </c>
      <c r="H2303" s="6" t="str" cm="1">
        <f t="array" ref="H2303">IFERROR(IF(INDEX(EmployeeData[Exit Date], ROW() - 37)=0, "",INDEX(EmployeeData[Exit Date], ROW() - 37)),"")</f>
        <v/>
      </c>
      <c r="I2303" s="4" t="str" cm="1">
        <f t="array" ref="I2303">IFERROR(IF(INDEX(EmployeeData[Exit Reason], ROW() - 37)=0, "",INDEX(EmployeeData[Exit Reason], ROW() - 37)),"")</f>
        <v/>
      </c>
      <c r="J2303" s="4" t="str" cm="1">
        <f t="array" ref="J2303">IFERROR(INDEX(EmployeeData[Status], ROW() - 37), "")</f>
        <v/>
      </c>
    </row>
    <row r="2304" spans="2:10" ht="19.95" customHeight="1" x14ac:dyDescent="0.3">
      <c r="B2304" s="4" t="str" cm="1">
        <f t="array" ref="B2304">IFERROR(INDEX(EmployeeData[Employee ID], ROW() - 37), "")</f>
        <v/>
      </c>
      <c r="C2304" s="4" t="str" cm="1">
        <f t="array" ref="C2304">IFERROR(INDEX(EmployeeData[Full Name], ROW() - 37), "")</f>
        <v/>
      </c>
      <c r="D2304" s="4" t="str" cm="1">
        <f t="array" ref="D2304">IFERROR(INDEX(EmployeeData[Department], ROW() - 37), "")</f>
        <v/>
      </c>
      <c r="E2304" s="4" t="str" cm="1">
        <f t="array" ref="E2304">IFERROR(INDEX(EmployeeData[Gender], ROW() - 37), "")</f>
        <v/>
      </c>
      <c r="F2304" s="4" t="str" cm="1">
        <f t="array" ref="F2304">IFERROR(INDEX(EmployeeData[Age], ROW() - 37), "")</f>
        <v/>
      </c>
      <c r="G2304" s="6" t="str" cm="1">
        <f t="array" ref="G2304">IFERROR(INDEX(EmployeeData[Join Date], ROW() - 37), "")</f>
        <v/>
      </c>
      <c r="H2304" s="6" t="str" cm="1">
        <f t="array" ref="H2304">IFERROR(IF(INDEX(EmployeeData[Exit Date], ROW() - 37)=0, "",INDEX(EmployeeData[Exit Date], ROW() - 37)),"")</f>
        <v/>
      </c>
      <c r="I2304" s="4" t="str" cm="1">
        <f t="array" ref="I2304">IFERROR(IF(INDEX(EmployeeData[Exit Reason], ROW() - 37)=0, "",INDEX(EmployeeData[Exit Reason], ROW() - 37)),"")</f>
        <v/>
      </c>
      <c r="J2304" s="4" t="str" cm="1">
        <f t="array" ref="J2304">IFERROR(INDEX(EmployeeData[Status], ROW() - 37), "")</f>
        <v/>
      </c>
    </row>
    <row r="2305" spans="2:10" ht="19.95" customHeight="1" x14ac:dyDescent="0.3">
      <c r="B2305" s="4" t="str" cm="1">
        <f t="array" ref="B2305">IFERROR(INDEX(EmployeeData[Employee ID], ROW() - 37), "")</f>
        <v/>
      </c>
      <c r="C2305" s="4" t="str" cm="1">
        <f t="array" ref="C2305">IFERROR(INDEX(EmployeeData[Full Name], ROW() - 37), "")</f>
        <v/>
      </c>
      <c r="D2305" s="4" t="str" cm="1">
        <f t="array" ref="D2305">IFERROR(INDEX(EmployeeData[Department], ROW() - 37), "")</f>
        <v/>
      </c>
      <c r="E2305" s="4" t="str" cm="1">
        <f t="array" ref="E2305">IFERROR(INDEX(EmployeeData[Gender], ROW() - 37), "")</f>
        <v/>
      </c>
      <c r="F2305" s="4" t="str" cm="1">
        <f t="array" ref="F2305">IFERROR(INDEX(EmployeeData[Age], ROW() - 37), "")</f>
        <v/>
      </c>
      <c r="G2305" s="6" t="str" cm="1">
        <f t="array" ref="G2305">IFERROR(INDEX(EmployeeData[Join Date], ROW() - 37), "")</f>
        <v/>
      </c>
      <c r="H2305" s="6" t="str" cm="1">
        <f t="array" ref="H2305">IFERROR(IF(INDEX(EmployeeData[Exit Date], ROW() - 37)=0, "",INDEX(EmployeeData[Exit Date], ROW() - 37)),"")</f>
        <v/>
      </c>
      <c r="I2305" s="4" t="str" cm="1">
        <f t="array" ref="I2305">IFERROR(IF(INDEX(EmployeeData[Exit Reason], ROW() - 37)=0, "",INDEX(EmployeeData[Exit Reason], ROW() - 37)),"")</f>
        <v/>
      </c>
      <c r="J2305" s="4" t="str" cm="1">
        <f t="array" ref="J2305">IFERROR(INDEX(EmployeeData[Status], ROW() - 37), "")</f>
        <v/>
      </c>
    </row>
    <row r="2306" spans="2:10" ht="19.95" customHeight="1" x14ac:dyDescent="0.3">
      <c r="B2306" s="4" t="str" cm="1">
        <f t="array" ref="B2306">IFERROR(INDEX(EmployeeData[Employee ID], ROW() - 37), "")</f>
        <v/>
      </c>
      <c r="C2306" s="4" t="str" cm="1">
        <f t="array" ref="C2306">IFERROR(INDEX(EmployeeData[Full Name], ROW() - 37), "")</f>
        <v/>
      </c>
      <c r="D2306" s="4" t="str" cm="1">
        <f t="array" ref="D2306">IFERROR(INDEX(EmployeeData[Department], ROW() - 37), "")</f>
        <v/>
      </c>
      <c r="E2306" s="4" t="str" cm="1">
        <f t="array" ref="E2306">IFERROR(INDEX(EmployeeData[Gender], ROW() - 37), "")</f>
        <v/>
      </c>
      <c r="F2306" s="4" t="str" cm="1">
        <f t="array" ref="F2306">IFERROR(INDEX(EmployeeData[Age], ROW() - 37), "")</f>
        <v/>
      </c>
      <c r="G2306" s="6" t="str" cm="1">
        <f t="array" ref="G2306">IFERROR(INDEX(EmployeeData[Join Date], ROW() - 37), "")</f>
        <v/>
      </c>
      <c r="H2306" s="6" t="str" cm="1">
        <f t="array" ref="H2306">IFERROR(IF(INDEX(EmployeeData[Exit Date], ROW() - 37)=0, "",INDEX(EmployeeData[Exit Date], ROW() - 37)),"")</f>
        <v/>
      </c>
      <c r="I2306" s="4" t="str" cm="1">
        <f t="array" ref="I2306">IFERROR(IF(INDEX(EmployeeData[Exit Reason], ROW() - 37)=0, "",INDEX(EmployeeData[Exit Reason], ROW() - 37)),"")</f>
        <v/>
      </c>
      <c r="J2306" s="4" t="str" cm="1">
        <f t="array" ref="J2306">IFERROR(INDEX(EmployeeData[Status], ROW() - 37), "")</f>
        <v/>
      </c>
    </row>
    <row r="2307" spans="2:10" ht="19.95" customHeight="1" x14ac:dyDescent="0.3">
      <c r="B2307" s="4" t="str" cm="1">
        <f t="array" ref="B2307">IFERROR(INDEX(EmployeeData[Employee ID], ROW() - 37), "")</f>
        <v/>
      </c>
      <c r="C2307" s="4" t="str" cm="1">
        <f t="array" ref="C2307">IFERROR(INDEX(EmployeeData[Full Name], ROW() - 37), "")</f>
        <v/>
      </c>
      <c r="D2307" s="4" t="str" cm="1">
        <f t="array" ref="D2307">IFERROR(INDEX(EmployeeData[Department], ROW() - 37), "")</f>
        <v/>
      </c>
      <c r="E2307" s="4" t="str" cm="1">
        <f t="array" ref="E2307">IFERROR(INDEX(EmployeeData[Gender], ROW() - 37), "")</f>
        <v/>
      </c>
      <c r="F2307" s="4" t="str" cm="1">
        <f t="array" ref="F2307">IFERROR(INDEX(EmployeeData[Age], ROW() - 37), "")</f>
        <v/>
      </c>
      <c r="G2307" s="6" t="str" cm="1">
        <f t="array" ref="G2307">IFERROR(INDEX(EmployeeData[Join Date], ROW() - 37), "")</f>
        <v/>
      </c>
      <c r="H2307" s="6" t="str" cm="1">
        <f t="array" ref="H2307">IFERROR(IF(INDEX(EmployeeData[Exit Date], ROW() - 37)=0, "",INDEX(EmployeeData[Exit Date], ROW() - 37)),"")</f>
        <v/>
      </c>
      <c r="I2307" s="4" t="str" cm="1">
        <f t="array" ref="I2307">IFERROR(IF(INDEX(EmployeeData[Exit Reason], ROW() - 37)=0, "",INDEX(EmployeeData[Exit Reason], ROW() - 37)),"")</f>
        <v/>
      </c>
      <c r="J2307" s="4" t="str" cm="1">
        <f t="array" ref="J2307">IFERROR(INDEX(EmployeeData[Status], ROW() - 37), "")</f>
        <v/>
      </c>
    </row>
    <row r="2308" spans="2:10" ht="19.95" customHeight="1" x14ac:dyDescent="0.3">
      <c r="B2308" s="4" t="str" cm="1">
        <f t="array" ref="B2308">IFERROR(INDEX(EmployeeData[Employee ID], ROW() - 37), "")</f>
        <v/>
      </c>
      <c r="C2308" s="4" t="str" cm="1">
        <f t="array" ref="C2308">IFERROR(INDEX(EmployeeData[Full Name], ROW() - 37), "")</f>
        <v/>
      </c>
      <c r="D2308" s="4" t="str" cm="1">
        <f t="array" ref="D2308">IFERROR(INDEX(EmployeeData[Department], ROW() - 37), "")</f>
        <v/>
      </c>
      <c r="E2308" s="4" t="str" cm="1">
        <f t="array" ref="E2308">IFERROR(INDEX(EmployeeData[Gender], ROW() - 37), "")</f>
        <v/>
      </c>
      <c r="F2308" s="4" t="str" cm="1">
        <f t="array" ref="F2308">IFERROR(INDEX(EmployeeData[Age], ROW() - 37), "")</f>
        <v/>
      </c>
      <c r="G2308" s="6" t="str" cm="1">
        <f t="array" ref="G2308">IFERROR(INDEX(EmployeeData[Join Date], ROW() - 37), "")</f>
        <v/>
      </c>
      <c r="H2308" s="6" t="str" cm="1">
        <f t="array" ref="H2308">IFERROR(IF(INDEX(EmployeeData[Exit Date], ROW() - 37)=0, "",INDEX(EmployeeData[Exit Date], ROW() - 37)),"")</f>
        <v/>
      </c>
      <c r="I2308" s="4" t="str" cm="1">
        <f t="array" ref="I2308">IFERROR(IF(INDEX(EmployeeData[Exit Reason], ROW() - 37)=0, "",INDEX(EmployeeData[Exit Reason], ROW() - 37)),"")</f>
        <v/>
      </c>
      <c r="J2308" s="4" t="str" cm="1">
        <f t="array" ref="J2308">IFERROR(INDEX(EmployeeData[Status], ROW() - 37), "")</f>
        <v/>
      </c>
    </row>
    <row r="2309" spans="2:10" ht="19.95" customHeight="1" x14ac:dyDescent="0.3">
      <c r="B2309" s="4" t="str" cm="1">
        <f t="array" ref="B2309">IFERROR(INDEX(EmployeeData[Employee ID], ROW() - 37), "")</f>
        <v/>
      </c>
      <c r="C2309" s="4" t="str" cm="1">
        <f t="array" ref="C2309">IFERROR(INDEX(EmployeeData[Full Name], ROW() - 37), "")</f>
        <v/>
      </c>
      <c r="D2309" s="4" t="str" cm="1">
        <f t="array" ref="D2309">IFERROR(INDEX(EmployeeData[Department], ROW() - 37), "")</f>
        <v/>
      </c>
      <c r="E2309" s="4" t="str" cm="1">
        <f t="array" ref="E2309">IFERROR(INDEX(EmployeeData[Gender], ROW() - 37), "")</f>
        <v/>
      </c>
      <c r="F2309" s="4" t="str" cm="1">
        <f t="array" ref="F2309">IFERROR(INDEX(EmployeeData[Age], ROW() - 37), "")</f>
        <v/>
      </c>
      <c r="G2309" s="6" t="str" cm="1">
        <f t="array" ref="G2309">IFERROR(INDEX(EmployeeData[Join Date], ROW() - 37), "")</f>
        <v/>
      </c>
      <c r="H2309" s="6" t="str" cm="1">
        <f t="array" ref="H2309">IFERROR(IF(INDEX(EmployeeData[Exit Date], ROW() - 37)=0, "",INDEX(EmployeeData[Exit Date], ROW() - 37)),"")</f>
        <v/>
      </c>
      <c r="I2309" s="4" t="str" cm="1">
        <f t="array" ref="I2309">IFERROR(IF(INDEX(EmployeeData[Exit Reason], ROW() - 37)=0, "",INDEX(EmployeeData[Exit Reason], ROW() - 37)),"")</f>
        <v/>
      </c>
      <c r="J2309" s="4" t="str" cm="1">
        <f t="array" ref="J2309">IFERROR(INDEX(EmployeeData[Status], ROW() - 37), "")</f>
        <v/>
      </c>
    </row>
    <row r="2310" spans="2:10" ht="19.95" customHeight="1" x14ac:dyDescent="0.3">
      <c r="B2310" s="4" t="str" cm="1">
        <f t="array" ref="B2310">IFERROR(INDEX(EmployeeData[Employee ID], ROW() - 37), "")</f>
        <v/>
      </c>
      <c r="C2310" s="4" t="str" cm="1">
        <f t="array" ref="C2310">IFERROR(INDEX(EmployeeData[Full Name], ROW() - 37), "")</f>
        <v/>
      </c>
      <c r="D2310" s="4" t="str" cm="1">
        <f t="array" ref="D2310">IFERROR(INDEX(EmployeeData[Department], ROW() - 37), "")</f>
        <v/>
      </c>
      <c r="E2310" s="4" t="str" cm="1">
        <f t="array" ref="E2310">IFERROR(INDEX(EmployeeData[Gender], ROW() - 37), "")</f>
        <v/>
      </c>
      <c r="F2310" s="4" t="str" cm="1">
        <f t="array" ref="F2310">IFERROR(INDEX(EmployeeData[Age], ROW() - 37), "")</f>
        <v/>
      </c>
      <c r="G2310" s="6" t="str" cm="1">
        <f t="array" ref="G2310">IFERROR(INDEX(EmployeeData[Join Date], ROW() - 37), "")</f>
        <v/>
      </c>
      <c r="H2310" s="6" t="str" cm="1">
        <f t="array" ref="H2310">IFERROR(IF(INDEX(EmployeeData[Exit Date], ROW() - 37)=0, "",INDEX(EmployeeData[Exit Date], ROW() - 37)),"")</f>
        <v/>
      </c>
      <c r="I2310" s="4" t="str" cm="1">
        <f t="array" ref="I2310">IFERROR(IF(INDEX(EmployeeData[Exit Reason], ROW() - 37)=0, "",INDEX(EmployeeData[Exit Reason], ROW() - 37)),"")</f>
        <v/>
      </c>
      <c r="J2310" s="4" t="str" cm="1">
        <f t="array" ref="J2310">IFERROR(INDEX(EmployeeData[Status], ROW() - 37), "")</f>
        <v/>
      </c>
    </row>
    <row r="2311" spans="2:10" ht="19.95" customHeight="1" x14ac:dyDescent="0.3">
      <c r="B2311" s="4" t="str" cm="1">
        <f t="array" ref="B2311">IFERROR(INDEX(EmployeeData[Employee ID], ROW() - 37), "")</f>
        <v/>
      </c>
      <c r="C2311" s="4" t="str" cm="1">
        <f t="array" ref="C2311">IFERROR(INDEX(EmployeeData[Full Name], ROW() - 37), "")</f>
        <v/>
      </c>
      <c r="D2311" s="4" t="str" cm="1">
        <f t="array" ref="D2311">IFERROR(INDEX(EmployeeData[Department], ROW() - 37), "")</f>
        <v/>
      </c>
      <c r="E2311" s="4" t="str" cm="1">
        <f t="array" ref="E2311">IFERROR(INDEX(EmployeeData[Gender], ROW() - 37), "")</f>
        <v/>
      </c>
      <c r="F2311" s="4" t="str" cm="1">
        <f t="array" ref="F2311">IFERROR(INDEX(EmployeeData[Age], ROW() - 37), "")</f>
        <v/>
      </c>
      <c r="G2311" s="6" t="str" cm="1">
        <f t="array" ref="G2311">IFERROR(INDEX(EmployeeData[Join Date], ROW() - 37), "")</f>
        <v/>
      </c>
      <c r="H2311" s="6" t="str" cm="1">
        <f t="array" ref="H2311">IFERROR(IF(INDEX(EmployeeData[Exit Date], ROW() - 37)=0, "",INDEX(EmployeeData[Exit Date], ROW() - 37)),"")</f>
        <v/>
      </c>
      <c r="I2311" s="4" t="str" cm="1">
        <f t="array" ref="I2311">IFERROR(IF(INDEX(EmployeeData[Exit Reason], ROW() - 37)=0, "",INDEX(EmployeeData[Exit Reason], ROW() - 37)),"")</f>
        <v/>
      </c>
      <c r="J2311" s="4" t="str" cm="1">
        <f t="array" ref="J2311">IFERROR(INDEX(EmployeeData[Status], ROW() - 37), "")</f>
        <v/>
      </c>
    </row>
    <row r="2312" spans="2:10" ht="19.95" customHeight="1" x14ac:dyDescent="0.3">
      <c r="B2312" s="4" t="str" cm="1">
        <f t="array" ref="B2312">IFERROR(INDEX(EmployeeData[Employee ID], ROW() - 37), "")</f>
        <v/>
      </c>
      <c r="C2312" s="4" t="str" cm="1">
        <f t="array" ref="C2312">IFERROR(INDEX(EmployeeData[Full Name], ROW() - 37), "")</f>
        <v/>
      </c>
      <c r="D2312" s="4" t="str" cm="1">
        <f t="array" ref="D2312">IFERROR(INDEX(EmployeeData[Department], ROW() - 37), "")</f>
        <v/>
      </c>
      <c r="E2312" s="4" t="str" cm="1">
        <f t="array" ref="E2312">IFERROR(INDEX(EmployeeData[Gender], ROW() - 37), "")</f>
        <v/>
      </c>
      <c r="F2312" s="4" t="str" cm="1">
        <f t="array" ref="F2312">IFERROR(INDEX(EmployeeData[Age], ROW() - 37), "")</f>
        <v/>
      </c>
      <c r="G2312" s="6" t="str" cm="1">
        <f t="array" ref="G2312">IFERROR(INDEX(EmployeeData[Join Date], ROW() - 37), "")</f>
        <v/>
      </c>
      <c r="H2312" s="6" t="str" cm="1">
        <f t="array" ref="H2312">IFERROR(IF(INDEX(EmployeeData[Exit Date], ROW() - 37)=0, "",INDEX(EmployeeData[Exit Date], ROW() - 37)),"")</f>
        <v/>
      </c>
      <c r="I2312" s="4" t="str" cm="1">
        <f t="array" ref="I2312">IFERROR(IF(INDEX(EmployeeData[Exit Reason], ROW() - 37)=0, "",INDEX(EmployeeData[Exit Reason], ROW() - 37)),"")</f>
        <v/>
      </c>
      <c r="J2312" s="4" t="str" cm="1">
        <f t="array" ref="J2312">IFERROR(INDEX(EmployeeData[Status], ROW() - 37), "")</f>
        <v/>
      </c>
    </row>
    <row r="2313" spans="2:10" ht="19.95" customHeight="1" x14ac:dyDescent="0.3">
      <c r="B2313" s="4" t="str" cm="1">
        <f t="array" ref="B2313">IFERROR(INDEX(EmployeeData[Employee ID], ROW() - 37), "")</f>
        <v/>
      </c>
      <c r="C2313" s="4" t="str" cm="1">
        <f t="array" ref="C2313">IFERROR(INDEX(EmployeeData[Full Name], ROW() - 37), "")</f>
        <v/>
      </c>
      <c r="D2313" s="4" t="str" cm="1">
        <f t="array" ref="D2313">IFERROR(INDEX(EmployeeData[Department], ROW() - 37), "")</f>
        <v/>
      </c>
      <c r="E2313" s="4" t="str" cm="1">
        <f t="array" ref="E2313">IFERROR(INDEX(EmployeeData[Gender], ROW() - 37), "")</f>
        <v/>
      </c>
      <c r="F2313" s="4" t="str" cm="1">
        <f t="array" ref="F2313">IFERROR(INDEX(EmployeeData[Age], ROW() - 37), "")</f>
        <v/>
      </c>
      <c r="G2313" s="6" t="str" cm="1">
        <f t="array" ref="G2313">IFERROR(INDEX(EmployeeData[Join Date], ROW() - 37), "")</f>
        <v/>
      </c>
      <c r="H2313" s="6" t="str" cm="1">
        <f t="array" ref="H2313">IFERROR(IF(INDEX(EmployeeData[Exit Date], ROW() - 37)=0, "",INDEX(EmployeeData[Exit Date], ROW() - 37)),"")</f>
        <v/>
      </c>
      <c r="I2313" s="4" t="str" cm="1">
        <f t="array" ref="I2313">IFERROR(IF(INDEX(EmployeeData[Exit Reason], ROW() - 37)=0, "",INDEX(EmployeeData[Exit Reason], ROW() - 37)),"")</f>
        <v/>
      </c>
      <c r="J2313" s="4" t="str" cm="1">
        <f t="array" ref="J2313">IFERROR(INDEX(EmployeeData[Status], ROW() - 37), "")</f>
        <v/>
      </c>
    </row>
    <row r="2314" spans="2:10" ht="19.95" customHeight="1" x14ac:dyDescent="0.3">
      <c r="B2314" s="4" t="str" cm="1">
        <f t="array" ref="B2314">IFERROR(INDEX(EmployeeData[Employee ID], ROW() - 37), "")</f>
        <v/>
      </c>
      <c r="C2314" s="4" t="str" cm="1">
        <f t="array" ref="C2314">IFERROR(INDEX(EmployeeData[Full Name], ROW() - 37), "")</f>
        <v/>
      </c>
      <c r="D2314" s="4" t="str" cm="1">
        <f t="array" ref="D2314">IFERROR(INDEX(EmployeeData[Department], ROW() - 37), "")</f>
        <v/>
      </c>
      <c r="E2314" s="4" t="str" cm="1">
        <f t="array" ref="E2314">IFERROR(INDEX(EmployeeData[Gender], ROW() - 37), "")</f>
        <v/>
      </c>
      <c r="F2314" s="4" t="str" cm="1">
        <f t="array" ref="F2314">IFERROR(INDEX(EmployeeData[Age], ROW() - 37), "")</f>
        <v/>
      </c>
      <c r="G2314" s="6" t="str" cm="1">
        <f t="array" ref="G2314">IFERROR(INDEX(EmployeeData[Join Date], ROW() - 37), "")</f>
        <v/>
      </c>
      <c r="H2314" s="6" t="str" cm="1">
        <f t="array" ref="H2314">IFERROR(IF(INDEX(EmployeeData[Exit Date], ROW() - 37)=0, "",INDEX(EmployeeData[Exit Date], ROW() - 37)),"")</f>
        <v/>
      </c>
      <c r="I2314" s="4" t="str" cm="1">
        <f t="array" ref="I2314">IFERROR(IF(INDEX(EmployeeData[Exit Reason], ROW() - 37)=0, "",INDEX(EmployeeData[Exit Reason], ROW() - 37)),"")</f>
        <v/>
      </c>
      <c r="J2314" s="4" t="str" cm="1">
        <f t="array" ref="J2314">IFERROR(INDEX(EmployeeData[Status], ROW() - 37), "")</f>
        <v/>
      </c>
    </row>
    <row r="2315" spans="2:10" ht="19.95" customHeight="1" x14ac:dyDescent="0.3">
      <c r="B2315" s="4" t="str" cm="1">
        <f t="array" ref="B2315">IFERROR(INDEX(EmployeeData[Employee ID], ROW() - 37), "")</f>
        <v/>
      </c>
      <c r="C2315" s="4" t="str" cm="1">
        <f t="array" ref="C2315">IFERROR(INDEX(EmployeeData[Full Name], ROW() - 37), "")</f>
        <v/>
      </c>
      <c r="D2315" s="4" t="str" cm="1">
        <f t="array" ref="D2315">IFERROR(INDEX(EmployeeData[Department], ROW() - 37), "")</f>
        <v/>
      </c>
      <c r="E2315" s="4" t="str" cm="1">
        <f t="array" ref="E2315">IFERROR(INDEX(EmployeeData[Gender], ROW() - 37), "")</f>
        <v/>
      </c>
      <c r="F2315" s="4" t="str" cm="1">
        <f t="array" ref="F2315">IFERROR(INDEX(EmployeeData[Age], ROW() - 37), "")</f>
        <v/>
      </c>
      <c r="G2315" s="6" t="str" cm="1">
        <f t="array" ref="G2315">IFERROR(INDEX(EmployeeData[Join Date], ROW() - 37), "")</f>
        <v/>
      </c>
      <c r="H2315" s="6" t="str" cm="1">
        <f t="array" ref="H2315">IFERROR(IF(INDEX(EmployeeData[Exit Date], ROW() - 37)=0, "",INDEX(EmployeeData[Exit Date], ROW() - 37)),"")</f>
        <v/>
      </c>
      <c r="I2315" s="4" t="str" cm="1">
        <f t="array" ref="I2315">IFERROR(IF(INDEX(EmployeeData[Exit Reason], ROW() - 37)=0, "",INDEX(EmployeeData[Exit Reason], ROW() - 37)),"")</f>
        <v/>
      </c>
      <c r="J2315" s="4" t="str" cm="1">
        <f t="array" ref="J2315">IFERROR(INDEX(EmployeeData[Status], ROW() - 37), "")</f>
        <v/>
      </c>
    </row>
    <row r="2316" spans="2:10" ht="19.95" customHeight="1" x14ac:dyDescent="0.3">
      <c r="B2316" s="4" t="str" cm="1">
        <f t="array" ref="B2316">IFERROR(INDEX(EmployeeData[Employee ID], ROW() - 37), "")</f>
        <v/>
      </c>
      <c r="C2316" s="4" t="str" cm="1">
        <f t="array" ref="C2316">IFERROR(INDEX(EmployeeData[Full Name], ROW() - 37), "")</f>
        <v/>
      </c>
      <c r="D2316" s="4" t="str" cm="1">
        <f t="array" ref="D2316">IFERROR(INDEX(EmployeeData[Department], ROW() - 37), "")</f>
        <v/>
      </c>
      <c r="E2316" s="4" t="str" cm="1">
        <f t="array" ref="E2316">IFERROR(INDEX(EmployeeData[Gender], ROW() - 37), "")</f>
        <v/>
      </c>
      <c r="F2316" s="4" t="str" cm="1">
        <f t="array" ref="F2316">IFERROR(INDEX(EmployeeData[Age], ROW() - 37), "")</f>
        <v/>
      </c>
      <c r="G2316" s="6" t="str" cm="1">
        <f t="array" ref="G2316">IFERROR(INDEX(EmployeeData[Join Date], ROW() - 37), "")</f>
        <v/>
      </c>
      <c r="H2316" s="6" t="str" cm="1">
        <f t="array" ref="H2316">IFERROR(IF(INDEX(EmployeeData[Exit Date], ROW() - 37)=0, "",INDEX(EmployeeData[Exit Date], ROW() - 37)),"")</f>
        <v/>
      </c>
      <c r="I2316" s="4" t="str" cm="1">
        <f t="array" ref="I2316">IFERROR(IF(INDEX(EmployeeData[Exit Reason], ROW() - 37)=0, "",INDEX(EmployeeData[Exit Reason], ROW() - 37)),"")</f>
        <v/>
      </c>
      <c r="J2316" s="4" t="str" cm="1">
        <f t="array" ref="J2316">IFERROR(INDEX(EmployeeData[Status], ROW() - 37), "")</f>
        <v/>
      </c>
    </row>
    <row r="2317" spans="2:10" ht="19.95" customHeight="1" x14ac:dyDescent="0.3">
      <c r="B2317" s="4" t="str" cm="1">
        <f t="array" ref="B2317">IFERROR(INDEX(EmployeeData[Employee ID], ROW() - 37), "")</f>
        <v/>
      </c>
      <c r="C2317" s="4" t="str" cm="1">
        <f t="array" ref="C2317">IFERROR(INDEX(EmployeeData[Full Name], ROW() - 37), "")</f>
        <v/>
      </c>
      <c r="D2317" s="4" t="str" cm="1">
        <f t="array" ref="D2317">IFERROR(INDEX(EmployeeData[Department], ROW() - 37), "")</f>
        <v/>
      </c>
      <c r="E2317" s="4" t="str" cm="1">
        <f t="array" ref="E2317">IFERROR(INDEX(EmployeeData[Gender], ROW() - 37), "")</f>
        <v/>
      </c>
      <c r="F2317" s="4" t="str" cm="1">
        <f t="array" ref="F2317">IFERROR(INDEX(EmployeeData[Age], ROW() - 37), "")</f>
        <v/>
      </c>
      <c r="G2317" s="6" t="str" cm="1">
        <f t="array" ref="G2317">IFERROR(INDEX(EmployeeData[Join Date], ROW() - 37), "")</f>
        <v/>
      </c>
      <c r="H2317" s="6" t="str" cm="1">
        <f t="array" ref="H2317">IFERROR(IF(INDEX(EmployeeData[Exit Date], ROW() - 37)=0, "",INDEX(EmployeeData[Exit Date], ROW() - 37)),"")</f>
        <v/>
      </c>
      <c r="I2317" s="4" t="str" cm="1">
        <f t="array" ref="I2317">IFERROR(IF(INDEX(EmployeeData[Exit Reason], ROW() - 37)=0, "",INDEX(EmployeeData[Exit Reason], ROW() - 37)),"")</f>
        <v/>
      </c>
      <c r="J2317" s="4" t="str" cm="1">
        <f t="array" ref="J2317">IFERROR(INDEX(EmployeeData[Status], ROW() - 37), "")</f>
        <v/>
      </c>
    </row>
    <row r="2318" spans="2:10" ht="19.95" customHeight="1" x14ac:dyDescent="0.3">
      <c r="B2318" s="4" t="str" cm="1">
        <f t="array" ref="B2318">IFERROR(INDEX(EmployeeData[Employee ID], ROW() - 37), "")</f>
        <v/>
      </c>
      <c r="C2318" s="4" t="str" cm="1">
        <f t="array" ref="C2318">IFERROR(INDEX(EmployeeData[Full Name], ROW() - 37), "")</f>
        <v/>
      </c>
      <c r="D2318" s="4" t="str" cm="1">
        <f t="array" ref="D2318">IFERROR(INDEX(EmployeeData[Department], ROW() - 37), "")</f>
        <v/>
      </c>
      <c r="E2318" s="4" t="str" cm="1">
        <f t="array" ref="E2318">IFERROR(INDEX(EmployeeData[Gender], ROW() - 37), "")</f>
        <v/>
      </c>
      <c r="F2318" s="4" t="str" cm="1">
        <f t="array" ref="F2318">IFERROR(INDEX(EmployeeData[Age], ROW() - 37), "")</f>
        <v/>
      </c>
      <c r="G2318" s="6" t="str" cm="1">
        <f t="array" ref="G2318">IFERROR(INDEX(EmployeeData[Join Date], ROW() - 37), "")</f>
        <v/>
      </c>
      <c r="H2318" s="6" t="str" cm="1">
        <f t="array" ref="H2318">IFERROR(IF(INDEX(EmployeeData[Exit Date], ROW() - 37)=0, "",INDEX(EmployeeData[Exit Date], ROW() - 37)),"")</f>
        <v/>
      </c>
      <c r="I2318" s="4" t="str" cm="1">
        <f t="array" ref="I2318">IFERROR(IF(INDEX(EmployeeData[Exit Reason], ROW() - 37)=0, "",INDEX(EmployeeData[Exit Reason], ROW() - 37)),"")</f>
        <v/>
      </c>
      <c r="J2318" s="4" t="str" cm="1">
        <f t="array" ref="J2318">IFERROR(INDEX(EmployeeData[Status], ROW() - 37), "")</f>
        <v/>
      </c>
    </row>
    <row r="2319" spans="2:10" ht="19.95" customHeight="1" x14ac:dyDescent="0.3">
      <c r="B2319" s="4" t="str" cm="1">
        <f t="array" ref="B2319">IFERROR(INDEX(EmployeeData[Employee ID], ROW() - 37), "")</f>
        <v/>
      </c>
      <c r="C2319" s="4" t="str" cm="1">
        <f t="array" ref="C2319">IFERROR(INDEX(EmployeeData[Full Name], ROW() - 37), "")</f>
        <v/>
      </c>
      <c r="D2319" s="4" t="str" cm="1">
        <f t="array" ref="D2319">IFERROR(INDEX(EmployeeData[Department], ROW() - 37), "")</f>
        <v/>
      </c>
      <c r="E2319" s="4" t="str" cm="1">
        <f t="array" ref="E2319">IFERROR(INDEX(EmployeeData[Gender], ROW() - 37), "")</f>
        <v/>
      </c>
      <c r="F2319" s="4" t="str" cm="1">
        <f t="array" ref="F2319">IFERROR(INDEX(EmployeeData[Age], ROW() - 37), "")</f>
        <v/>
      </c>
      <c r="G2319" s="6" t="str" cm="1">
        <f t="array" ref="G2319">IFERROR(INDEX(EmployeeData[Join Date], ROW() - 37), "")</f>
        <v/>
      </c>
      <c r="H2319" s="6" t="str" cm="1">
        <f t="array" ref="H2319">IFERROR(IF(INDEX(EmployeeData[Exit Date], ROW() - 37)=0, "",INDEX(EmployeeData[Exit Date], ROW() - 37)),"")</f>
        <v/>
      </c>
      <c r="I2319" s="4" t="str" cm="1">
        <f t="array" ref="I2319">IFERROR(IF(INDEX(EmployeeData[Exit Reason], ROW() - 37)=0, "",INDEX(EmployeeData[Exit Reason], ROW() - 37)),"")</f>
        <v/>
      </c>
      <c r="J2319" s="4" t="str" cm="1">
        <f t="array" ref="J2319">IFERROR(INDEX(EmployeeData[Status], ROW() - 37), "")</f>
        <v/>
      </c>
    </row>
    <row r="2320" spans="2:10" ht="19.95" customHeight="1" x14ac:dyDescent="0.3">
      <c r="B2320" s="4" t="str" cm="1">
        <f t="array" ref="B2320">IFERROR(INDEX(EmployeeData[Employee ID], ROW() - 37), "")</f>
        <v/>
      </c>
      <c r="C2320" s="4" t="str" cm="1">
        <f t="array" ref="C2320">IFERROR(INDEX(EmployeeData[Full Name], ROW() - 37), "")</f>
        <v/>
      </c>
      <c r="D2320" s="4" t="str" cm="1">
        <f t="array" ref="D2320">IFERROR(INDEX(EmployeeData[Department], ROW() - 37), "")</f>
        <v/>
      </c>
      <c r="E2320" s="4" t="str" cm="1">
        <f t="array" ref="E2320">IFERROR(INDEX(EmployeeData[Gender], ROW() - 37), "")</f>
        <v/>
      </c>
      <c r="F2320" s="4" t="str" cm="1">
        <f t="array" ref="F2320">IFERROR(INDEX(EmployeeData[Age], ROW() - 37), "")</f>
        <v/>
      </c>
      <c r="G2320" s="6" t="str" cm="1">
        <f t="array" ref="G2320">IFERROR(INDEX(EmployeeData[Join Date], ROW() - 37), "")</f>
        <v/>
      </c>
      <c r="H2320" s="6" t="str" cm="1">
        <f t="array" ref="H2320">IFERROR(IF(INDEX(EmployeeData[Exit Date], ROW() - 37)=0, "",INDEX(EmployeeData[Exit Date], ROW() - 37)),"")</f>
        <v/>
      </c>
      <c r="I2320" s="4" t="str" cm="1">
        <f t="array" ref="I2320">IFERROR(IF(INDEX(EmployeeData[Exit Reason], ROW() - 37)=0, "",INDEX(EmployeeData[Exit Reason], ROW() - 37)),"")</f>
        <v/>
      </c>
      <c r="J2320" s="4" t="str" cm="1">
        <f t="array" ref="J2320">IFERROR(INDEX(EmployeeData[Status], ROW() - 37), "")</f>
        <v/>
      </c>
    </row>
    <row r="2321" spans="2:10" ht="19.95" customHeight="1" x14ac:dyDescent="0.3">
      <c r="B2321" s="4" t="str" cm="1">
        <f t="array" ref="B2321">IFERROR(INDEX(EmployeeData[Employee ID], ROW() - 37), "")</f>
        <v/>
      </c>
      <c r="C2321" s="4" t="str" cm="1">
        <f t="array" ref="C2321">IFERROR(INDEX(EmployeeData[Full Name], ROW() - 37), "")</f>
        <v/>
      </c>
      <c r="D2321" s="4" t="str" cm="1">
        <f t="array" ref="D2321">IFERROR(INDEX(EmployeeData[Department], ROW() - 37), "")</f>
        <v/>
      </c>
      <c r="E2321" s="4" t="str" cm="1">
        <f t="array" ref="E2321">IFERROR(INDEX(EmployeeData[Gender], ROW() - 37), "")</f>
        <v/>
      </c>
      <c r="F2321" s="4" t="str" cm="1">
        <f t="array" ref="F2321">IFERROR(INDEX(EmployeeData[Age], ROW() - 37), "")</f>
        <v/>
      </c>
      <c r="G2321" s="6" t="str" cm="1">
        <f t="array" ref="G2321">IFERROR(INDEX(EmployeeData[Join Date], ROW() - 37), "")</f>
        <v/>
      </c>
      <c r="H2321" s="6" t="str" cm="1">
        <f t="array" ref="H2321">IFERROR(IF(INDEX(EmployeeData[Exit Date], ROW() - 37)=0, "",INDEX(EmployeeData[Exit Date], ROW() - 37)),"")</f>
        <v/>
      </c>
      <c r="I2321" s="4" t="str" cm="1">
        <f t="array" ref="I2321">IFERROR(IF(INDEX(EmployeeData[Exit Reason], ROW() - 37)=0, "",INDEX(EmployeeData[Exit Reason], ROW() - 37)),"")</f>
        <v/>
      </c>
      <c r="J2321" s="4" t="str" cm="1">
        <f t="array" ref="J2321">IFERROR(INDEX(EmployeeData[Status], ROW() - 37), "")</f>
        <v/>
      </c>
    </row>
    <row r="2322" spans="2:10" ht="19.95" customHeight="1" x14ac:dyDescent="0.3">
      <c r="B2322" s="4" t="str" cm="1">
        <f t="array" ref="B2322">IFERROR(INDEX(EmployeeData[Employee ID], ROW() - 37), "")</f>
        <v/>
      </c>
      <c r="C2322" s="4" t="str" cm="1">
        <f t="array" ref="C2322">IFERROR(INDEX(EmployeeData[Full Name], ROW() - 37), "")</f>
        <v/>
      </c>
      <c r="D2322" s="4" t="str" cm="1">
        <f t="array" ref="D2322">IFERROR(INDEX(EmployeeData[Department], ROW() - 37), "")</f>
        <v/>
      </c>
      <c r="E2322" s="4" t="str" cm="1">
        <f t="array" ref="E2322">IFERROR(INDEX(EmployeeData[Gender], ROW() - 37), "")</f>
        <v/>
      </c>
      <c r="F2322" s="4" t="str" cm="1">
        <f t="array" ref="F2322">IFERROR(INDEX(EmployeeData[Age], ROW() - 37), "")</f>
        <v/>
      </c>
      <c r="G2322" s="6" t="str" cm="1">
        <f t="array" ref="G2322">IFERROR(INDEX(EmployeeData[Join Date], ROW() - 37), "")</f>
        <v/>
      </c>
      <c r="H2322" s="6" t="str" cm="1">
        <f t="array" ref="H2322">IFERROR(IF(INDEX(EmployeeData[Exit Date], ROW() - 37)=0, "",INDEX(EmployeeData[Exit Date], ROW() - 37)),"")</f>
        <v/>
      </c>
      <c r="I2322" s="4" t="str" cm="1">
        <f t="array" ref="I2322">IFERROR(IF(INDEX(EmployeeData[Exit Reason], ROW() - 37)=0, "",INDEX(EmployeeData[Exit Reason], ROW() - 37)),"")</f>
        <v/>
      </c>
      <c r="J2322" s="4" t="str" cm="1">
        <f t="array" ref="J2322">IFERROR(INDEX(EmployeeData[Status], ROW() - 37), "")</f>
        <v/>
      </c>
    </row>
    <row r="2323" spans="2:10" ht="19.95" customHeight="1" x14ac:dyDescent="0.3">
      <c r="B2323" s="4" t="str" cm="1">
        <f t="array" ref="B2323">IFERROR(INDEX(EmployeeData[Employee ID], ROW() - 37), "")</f>
        <v/>
      </c>
      <c r="C2323" s="4" t="str" cm="1">
        <f t="array" ref="C2323">IFERROR(INDEX(EmployeeData[Full Name], ROW() - 37), "")</f>
        <v/>
      </c>
      <c r="D2323" s="4" t="str" cm="1">
        <f t="array" ref="D2323">IFERROR(INDEX(EmployeeData[Department], ROW() - 37), "")</f>
        <v/>
      </c>
      <c r="E2323" s="4" t="str" cm="1">
        <f t="array" ref="E2323">IFERROR(INDEX(EmployeeData[Gender], ROW() - 37), "")</f>
        <v/>
      </c>
      <c r="F2323" s="4" t="str" cm="1">
        <f t="array" ref="F2323">IFERROR(INDEX(EmployeeData[Age], ROW() - 37), "")</f>
        <v/>
      </c>
      <c r="G2323" s="6" t="str" cm="1">
        <f t="array" ref="G2323">IFERROR(INDEX(EmployeeData[Join Date], ROW() - 37), "")</f>
        <v/>
      </c>
      <c r="H2323" s="6" t="str" cm="1">
        <f t="array" ref="H2323">IFERROR(IF(INDEX(EmployeeData[Exit Date], ROW() - 37)=0, "",INDEX(EmployeeData[Exit Date], ROW() - 37)),"")</f>
        <v/>
      </c>
      <c r="I2323" s="4" t="str" cm="1">
        <f t="array" ref="I2323">IFERROR(IF(INDEX(EmployeeData[Exit Reason], ROW() - 37)=0, "",INDEX(EmployeeData[Exit Reason], ROW() - 37)),"")</f>
        <v/>
      </c>
      <c r="J2323" s="4" t="str" cm="1">
        <f t="array" ref="J2323">IFERROR(INDEX(EmployeeData[Status], ROW() - 37), "")</f>
        <v/>
      </c>
    </row>
    <row r="2324" spans="2:10" ht="19.95" customHeight="1" x14ac:dyDescent="0.3">
      <c r="B2324" s="4" t="str" cm="1">
        <f t="array" ref="B2324">IFERROR(INDEX(EmployeeData[Employee ID], ROW() - 37), "")</f>
        <v/>
      </c>
      <c r="C2324" s="4" t="str" cm="1">
        <f t="array" ref="C2324">IFERROR(INDEX(EmployeeData[Full Name], ROW() - 37), "")</f>
        <v/>
      </c>
      <c r="D2324" s="4" t="str" cm="1">
        <f t="array" ref="D2324">IFERROR(INDEX(EmployeeData[Department], ROW() - 37), "")</f>
        <v/>
      </c>
      <c r="E2324" s="4" t="str" cm="1">
        <f t="array" ref="E2324">IFERROR(INDEX(EmployeeData[Gender], ROW() - 37), "")</f>
        <v/>
      </c>
      <c r="F2324" s="4" t="str" cm="1">
        <f t="array" ref="F2324">IFERROR(INDEX(EmployeeData[Age], ROW() - 37), "")</f>
        <v/>
      </c>
      <c r="G2324" s="6" t="str" cm="1">
        <f t="array" ref="G2324">IFERROR(INDEX(EmployeeData[Join Date], ROW() - 37), "")</f>
        <v/>
      </c>
      <c r="H2324" s="6" t="str" cm="1">
        <f t="array" ref="H2324">IFERROR(IF(INDEX(EmployeeData[Exit Date], ROW() - 37)=0, "",INDEX(EmployeeData[Exit Date], ROW() - 37)),"")</f>
        <v/>
      </c>
      <c r="I2324" s="4" t="str" cm="1">
        <f t="array" ref="I2324">IFERROR(IF(INDEX(EmployeeData[Exit Reason], ROW() - 37)=0, "",INDEX(EmployeeData[Exit Reason], ROW() - 37)),"")</f>
        <v/>
      </c>
      <c r="J2324" s="4" t="str" cm="1">
        <f t="array" ref="J2324">IFERROR(INDEX(EmployeeData[Status], ROW() - 37), "")</f>
        <v/>
      </c>
    </row>
    <row r="2325" spans="2:10" ht="19.95" customHeight="1" x14ac:dyDescent="0.3">
      <c r="B2325" s="4" t="str" cm="1">
        <f t="array" ref="B2325">IFERROR(INDEX(EmployeeData[Employee ID], ROW() - 37), "")</f>
        <v/>
      </c>
      <c r="C2325" s="4" t="str" cm="1">
        <f t="array" ref="C2325">IFERROR(INDEX(EmployeeData[Full Name], ROW() - 37), "")</f>
        <v/>
      </c>
      <c r="D2325" s="4" t="str" cm="1">
        <f t="array" ref="D2325">IFERROR(INDEX(EmployeeData[Department], ROW() - 37), "")</f>
        <v/>
      </c>
      <c r="E2325" s="4" t="str" cm="1">
        <f t="array" ref="E2325">IFERROR(INDEX(EmployeeData[Gender], ROW() - 37), "")</f>
        <v/>
      </c>
      <c r="F2325" s="4" t="str" cm="1">
        <f t="array" ref="F2325">IFERROR(INDEX(EmployeeData[Age], ROW() - 37), "")</f>
        <v/>
      </c>
      <c r="G2325" s="6" t="str" cm="1">
        <f t="array" ref="G2325">IFERROR(INDEX(EmployeeData[Join Date], ROW() - 37), "")</f>
        <v/>
      </c>
      <c r="H2325" s="6" t="str" cm="1">
        <f t="array" ref="H2325">IFERROR(IF(INDEX(EmployeeData[Exit Date], ROW() - 37)=0, "",INDEX(EmployeeData[Exit Date], ROW() - 37)),"")</f>
        <v/>
      </c>
      <c r="I2325" s="4" t="str" cm="1">
        <f t="array" ref="I2325">IFERROR(IF(INDEX(EmployeeData[Exit Reason], ROW() - 37)=0, "",INDEX(EmployeeData[Exit Reason], ROW() - 37)),"")</f>
        <v/>
      </c>
      <c r="J2325" s="4" t="str" cm="1">
        <f t="array" ref="J2325">IFERROR(INDEX(EmployeeData[Status], ROW() - 37), "")</f>
        <v/>
      </c>
    </row>
    <row r="2326" spans="2:10" ht="19.95" customHeight="1" x14ac:dyDescent="0.3">
      <c r="B2326" s="4" t="str" cm="1">
        <f t="array" ref="B2326">IFERROR(INDEX(EmployeeData[Employee ID], ROW() - 37), "")</f>
        <v/>
      </c>
      <c r="C2326" s="4" t="str" cm="1">
        <f t="array" ref="C2326">IFERROR(INDEX(EmployeeData[Full Name], ROW() - 37), "")</f>
        <v/>
      </c>
      <c r="D2326" s="4" t="str" cm="1">
        <f t="array" ref="D2326">IFERROR(INDEX(EmployeeData[Department], ROW() - 37), "")</f>
        <v/>
      </c>
      <c r="E2326" s="4" t="str" cm="1">
        <f t="array" ref="E2326">IFERROR(INDEX(EmployeeData[Gender], ROW() - 37), "")</f>
        <v/>
      </c>
      <c r="F2326" s="4" t="str" cm="1">
        <f t="array" ref="F2326">IFERROR(INDEX(EmployeeData[Age], ROW() - 37), "")</f>
        <v/>
      </c>
      <c r="G2326" s="6" t="str" cm="1">
        <f t="array" ref="G2326">IFERROR(INDEX(EmployeeData[Join Date], ROW() - 37), "")</f>
        <v/>
      </c>
      <c r="H2326" s="6" t="str" cm="1">
        <f t="array" ref="H2326">IFERROR(IF(INDEX(EmployeeData[Exit Date], ROW() - 37)=0, "",INDEX(EmployeeData[Exit Date], ROW() - 37)),"")</f>
        <v/>
      </c>
      <c r="I2326" s="4" t="str" cm="1">
        <f t="array" ref="I2326">IFERROR(IF(INDEX(EmployeeData[Exit Reason], ROW() - 37)=0, "",INDEX(EmployeeData[Exit Reason], ROW() - 37)),"")</f>
        <v/>
      </c>
      <c r="J2326" s="4" t="str" cm="1">
        <f t="array" ref="J2326">IFERROR(INDEX(EmployeeData[Status], ROW() - 37), "")</f>
        <v/>
      </c>
    </row>
    <row r="2327" spans="2:10" ht="19.95" customHeight="1" x14ac:dyDescent="0.3">
      <c r="B2327" s="4" t="str" cm="1">
        <f t="array" ref="B2327">IFERROR(INDEX(EmployeeData[Employee ID], ROW() - 37), "")</f>
        <v/>
      </c>
      <c r="C2327" s="4" t="str" cm="1">
        <f t="array" ref="C2327">IFERROR(INDEX(EmployeeData[Full Name], ROW() - 37), "")</f>
        <v/>
      </c>
      <c r="D2327" s="4" t="str" cm="1">
        <f t="array" ref="D2327">IFERROR(INDEX(EmployeeData[Department], ROW() - 37), "")</f>
        <v/>
      </c>
      <c r="E2327" s="4" t="str" cm="1">
        <f t="array" ref="E2327">IFERROR(INDEX(EmployeeData[Gender], ROW() - 37), "")</f>
        <v/>
      </c>
      <c r="F2327" s="4" t="str" cm="1">
        <f t="array" ref="F2327">IFERROR(INDEX(EmployeeData[Age], ROW() - 37), "")</f>
        <v/>
      </c>
      <c r="G2327" s="6" t="str" cm="1">
        <f t="array" ref="G2327">IFERROR(INDEX(EmployeeData[Join Date], ROW() - 37), "")</f>
        <v/>
      </c>
      <c r="H2327" s="6" t="str" cm="1">
        <f t="array" ref="H2327">IFERROR(IF(INDEX(EmployeeData[Exit Date], ROW() - 37)=0, "",INDEX(EmployeeData[Exit Date], ROW() - 37)),"")</f>
        <v/>
      </c>
      <c r="I2327" s="4" t="str" cm="1">
        <f t="array" ref="I2327">IFERROR(IF(INDEX(EmployeeData[Exit Reason], ROW() - 37)=0, "",INDEX(EmployeeData[Exit Reason], ROW() - 37)),"")</f>
        <v/>
      </c>
      <c r="J2327" s="4" t="str" cm="1">
        <f t="array" ref="J2327">IFERROR(INDEX(EmployeeData[Status], ROW() - 37), "")</f>
        <v/>
      </c>
    </row>
    <row r="2328" spans="2:10" ht="19.95" customHeight="1" x14ac:dyDescent="0.3">
      <c r="B2328" s="4" t="str" cm="1">
        <f t="array" ref="B2328">IFERROR(INDEX(EmployeeData[Employee ID], ROW() - 37), "")</f>
        <v/>
      </c>
      <c r="C2328" s="4" t="str" cm="1">
        <f t="array" ref="C2328">IFERROR(INDEX(EmployeeData[Full Name], ROW() - 37), "")</f>
        <v/>
      </c>
      <c r="D2328" s="4" t="str" cm="1">
        <f t="array" ref="D2328">IFERROR(INDEX(EmployeeData[Department], ROW() - 37), "")</f>
        <v/>
      </c>
      <c r="E2328" s="4" t="str" cm="1">
        <f t="array" ref="E2328">IFERROR(INDEX(EmployeeData[Gender], ROW() - 37), "")</f>
        <v/>
      </c>
      <c r="F2328" s="4" t="str" cm="1">
        <f t="array" ref="F2328">IFERROR(INDEX(EmployeeData[Age], ROW() - 37), "")</f>
        <v/>
      </c>
      <c r="G2328" s="6" t="str" cm="1">
        <f t="array" ref="G2328">IFERROR(INDEX(EmployeeData[Join Date], ROW() - 37), "")</f>
        <v/>
      </c>
      <c r="H2328" s="6" t="str" cm="1">
        <f t="array" ref="H2328">IFERROR(IF(INDEX(EmployeeData[Exit Date], ROW() - 37)=0, "",INDEX(EmployeeData[Exit Date], ROW() - 37)),"")</f>
        <v/>
      </c>
      <c r="I2328" s="4" t="str" cm="1">
        <f t="array" ref="I2328">IFERROR(IF(INDEX(EmployeeData[Exit Reason], ROW() - 37)=0, "",INDEX(EmployeeData[Exit Reason], ROW() - 37)),"")</f>
        <v/>
      </c>
      <c r="J2328" s="4" t="str" cm="1">
        <f t="array" ref="J2328">IFERROR(INDEX(EmployeeData[Status], ROW() - 37), "")</f>
        <v/>
      </c>
    </row>
    <row r="2329" spans="2:10" ht="19.95" customHeight="1" x14ac:dyDescent="0.3">
      <c r="B2329" s="4" t="str" cm="1">
        <f t="array" ref="B2329">IFERROR(INDEX(EmployeeData[Employee ID], ROW() - 37), "")</f>
        <v/>
      </c>
      <c r="C2329" s="4" t="str" cm="1">
        <f t="array" ref="C2329">IFERROR(INDEX(EmployeeData[Full Name], ROW() - 37), "")</f>
        <v/>
      </c>
      <c r="D2329" s="4" t="str" cm="1">
        <f t="array" ref="D2329">IFERROR(INDEX(EmployeeData[Department], ROW() - 37), "")</f>
        <v/>
      </c>
      <c r="E2329" s="4" t="str" cm="1">
        <f t="array" ref="E2329">IFERROR(INDEX(EmployeeData[Gender], ROW() - 37), "")</f>
        <v/>
      </c>
      <c r="F2329" s="4" t="str" cm="1">
        <f t="array" ref="F2329">IFERROR(INDEX(EmployeeData[Age], ROW() - 37), "")</f>
        <v/>
      </c>
      <c r="G2329" s="6" t="str" cm="1">
        <f t="array" ref="G2329">IFERROR(INDEX(EmployeeData[Join Date], ROW() - 37), "")</f>
        <v/>
      </c>
      <c r="H2329" s="6" t="str" cm="1">
        <f t="array" ref="H2329">IFERROR(IF(INDEX(EmployeeData[Exit Date], ROW() - 37)=0, "",INDEX(EmployeeData[Exit Date], ROW() - 37)),"")</f>
        <v/>
      </c>
      <c r="I2329" s="4" t="str" cm="1">
        <f t="array" ref="I2329">IFERROR(IF(INDEX(EmployeeData[Exit Reason], ROW() - 37)=0, "",INDEX(EmployeeData[Exit Reason], ROW() - 37)),"")</f>
        <v/>
      </c>
      <c r="J2329" s="4" t="str" cm="1">
        <f t="array" ref="J2329">IFERROR(INDEX(EmployeeData[Status], ROW() - 37), "")</f>
        <v/>
      </c>
    </row>
    <row r="2330" spans="2:10" ht="19.95" customHeight="1" x14ac:dyDescent="0.3">
      <c r="B2330" s="4" t="str" cm="1">
        <f t="array" ref="B2330">IFERROR(INDEX(EmployeeData[Employee ID], ROW() - 37), "")</f>
        <v/>
      </c>
      <c r="C2330" s="4" t="str" cm="1">
        <f t="array" ref="C2330">IFERROR(INDEX(EmployeeData[Full Name], ROW() - 37), "")</f>
        <v/>
      </c>
      <c r="D2330" s="4" t="str" cm="1">
        <f t="array" ref="D2330">IFERROR(INDEX(EmployeeData[Department], ROW() - 37), "")</f>
        <v/>
      </c>
      <c r="E2330" s="4" t="str" cm="1">
        <f t="array" ref="E2330">IFERROR(INDEX(EmployeeData[Gender], ROW() - 37), "")</f>
        <v/>
      </c>
      <c r="F2330" s="4" t="str" cm="1">
        <f t="array" ref="F2330">IFERROR(INDEX(EmployeeData[Age], ROW() - 37), "")</f>
        <v/>
      </c>
      <c r="G2330" s="6" t="str" cm="1">
        <f t="array" ref="G2330">IFERROR(INDEX(EmployeeData[Join Date], ROW() - 37), "")</f>
        <v/>
      </c>
      <c r="H2330" s="6" t="str" cm="1">
        <f t="array" ref="H2330">IFERROR(IF(INDEX(EmployeeData[Exit Date], ROW() - 37)=0, "",INDEX(EmployeeData[Exit Date], ROW() - 37)),"")</f>
        <v/>
      </c>
      <c r="I2330" s="4" t="str" cm="1">
        <f t="array" ref="I2330">IFERROR(IF(INDEX(EmployeeData[Exit Reason], ROW() - 37)=0, "",INDEX(EmployeeData[Exit Reason], ROW() - 37)),"")</f>
        <v/>
      </c>
      <c r="J2330" s="4" t="str" cm="1">
        <f t="array" ref="J2330">IFERROR(INDEX(EmployeeData[Status], ROW() - 37), "")</f>
        <v/>
      </c>
    </row>
    <row r="2331" spans="2:10" ht="19.95" customHeight="1" x14ac:dyDescent="0.3">
      <c r="B2331" s="4" t="str" cm="1">
        <f t="array" ref="B2331">IFERROR(INDEX(EmployeeData[Employee ID], ROW() - 37), "")</f>
        <v/>
      </c>
      <c r="C2331" s="4" t="str" cm="1">
        <f t="array" ref="C2331">IFERROR(INDEX(EmployeeData[Full Name], ROW() - 37), "")</f>
        <v/>
      </c>
      <c r="D2331" s="4" t="str" cm="1">
        <f t="array" ref="D2331">IFERROR(INDEX(EmployeeData[Department], ROW() - 37), "")</f>
        <v/>
      </c>
      <c r="E2331" s="4" t="str" cm="1">
        <f t="array" ref="E2331">IFERROR(INDEX(EmployeeData[Gender], ROW() - 37), "")</f>
        <v/>
      </c>
      <c r="F2331" s="4" t="str" cm="1">
        <f t="array" ref="F2331">IFERROR(INDEX(EmployeeData[Age], ROW() - 37), "")</f>
        <v/>
      </c>
      <c r="G2331" s="6" t="str" cm="1">
        <f t="array" ref="G2331">IFERROR(INDEX(EmployeeData[Join Date], ROW() - 37), "")</f>
        <v/>
      </c>
      <c r="H2331" s="6" t="str" cm="1">
        <f t="array" ref="H2331">IFERROR(IF(INDEX(EmployeeData[Exit Date], ROW() - 37)=0, "",INDEX(EmployeeData[Exit Date], ROW() - 37)),"")</f>
        <v/>
      </c>
      <c r="I2331" s="4" t="str" cm="1">
        <f t="array" ref="I2331">IFERROR(IF(INDEX(EmployeeData[Exit Reason], ROW() - 37)=0, "",INDEX(EmployeeData[Exit Reason], ROW() - 37)),"")</f>
        <v/>
      </c>
      <c r="J2331" s="4" t="str" cm="1">
        <f t="array" ref="J2331">IFERROR(INDEX(EmployeeData[Status], ROW() - 37), "")</f>
        <v/>
      </c>
    </row>
    <row r="2332" spans="2:10" ht="19.95" customHeight="1" x14ac:dyDescent="0.3">
      <c r="B2332" s="4" t="str" cm="1">
        <f t="array" ref="B2332">IFERROR(INDEX(EmployeeData[Employee ID], ROW() - 37), "")</f>
        <v/>
      </c>
      <c r="C2332" s="4" t="str" cm="1">
        <f t="array" ref="C2332">IFERROR(INDEX(EmployeeData[Full Name], ROW() - 37), "")</f>
        <v/>
      </c>
      <c r="D2332" s="4" t="str" cm="1">
        <f t="array" ref="D2332">IFERROR(INDEX(EmployeeData[Department], ROW() - 37), "")</f>
        <v/>
      </c>
      <c r="E2332" s="4" t="str" cm="1">
        <f t="array" ref="E2332">IFERROR(INDEX(EmployeeData[Gender], ROW() - 37), "")</f>
        <v/>
      </c>
      <c r="F2332" s="4" t="str" cm="1">
        <f t="array" ref="F2332">IFERROR(INDEX(EmployeeData[Age], ROW() - 37), "")</f>
        <v/>
      </c>
      <c r="G2332" s="6" t="str" cm="1">
        <f t="array" ref="G2332">IFERROR(INDEX(EmployeeData[Join Date], ROW() - 37), "")</f>
        <v/>
      </c>
      <c r="H2332" s="6" t="str" cm="1">
        <f t="array" ref="H2332">IFERROR(IF(INDEX(EmployeeData[Exit Date], ROW() - 37)=0, "",INDEX(EmployeeData[Exit Date], ROW() - 37)),"")</f>
        <v/>
      </c>
      <c r="I2332" s="4" t="str" cm="1">
        <f t="array" ref="I2332">IFERROR(IF(INDEX(EmployeeData[Exit Reason], ROW() - 37)=0, "",INDEX(EmployeeData[Exit Reason], ROW() - 37)),"")</f>
        <v/>
      </c>
      <c r="J2332" s="4" t="str" cm="1">
        <f t="array" ref="J2332">IFERROR(INDEX(EmployeeData[Status], ROW() - 37), "")</f>
        <v/>
      </c>
    </row>
    <row r="2333" spans="2:10" ht="19.95" customHeight="1" x14ac:dyDescent="0.3">
      <c r="B2333" s="4" t="str" cm="1">
        <f t="array" ref="B2333">IFERROR(INDEX(EmployeeData[Employee ID], ROW() - 37), "")</f>
        <v/>
      </c>
      <c r="C2333" s="4" t="str" cm="1">
        <f t="array" ref="C2333">IFERROR(INDEX(EmployeeData[Full Name], ROW() - 37), "")</f>
        <v/>
      </c>
      <c r="D2333" s="4" t="str" cm="1">
        <f t="array" ref="D2333">IFERROR(INDEX(EmployeeData[Department], ROW() - 37), "")</f>
        <v/>
      </c>
      <c r="E2333" s="4" t="str" cm="1">
        <f t="array" ref="E2333">IFERROR(INDEX(EmployeeData[Gender], ROW() - 37), "")</f>
        <v/>
      </c>
      <c r="F2333" s="4" t="str" cm="1">
        <f t="array" ref="F2333">IFERROR(INDEX(EmployeeData[Age], ROW() - 37), "")</f>
        <v/>
      </c>
      <c r="G2333" s="6" t="str" cm="1">
        <f t="array" ref="G2333">IFERROR(INDEX(EmployeeData[Join Date], ROW() - 37), "")</f>
        <v/>
      </c>
      <c r="H2333" s="6" t="str" cm="1">
        <f t="array" ref="H2333">IFERROR(IF(INDEX(EmployeeData[Exit Date], ROW() - 37)=0, "",INDEX(EmployeeData[Exit Date], ROW() - 37)),"")</f>
        <v/>
      </c>
      <c r="I2333" s="4" t="str" cm="1">
        <f t="array" ref="I2333">IFERROR(IF(INDEX(EmployeeData[Exit Reason], ROW() - 37)=0, "",INDEX(EmployeeData[Exit Reason], ROW() - 37)),"")</f>
        <v/>
      </c>
      <c r="J2333" s="4" t="str" cm="1">
        <f t="array" ref="J2333">IFERROR(INDEX(EmployeeData[Status], ROW() - 37), "")</f>
        <v/>
      </c>
    </row>
    <row r="2334" spans="2:10" ht="19.95" customHeight="1" x14ac:dyDescent="0.3">
      <c r="B2334" s="4" t="str" cm="1">
        <f t="array" ref="B2334">IFERROR(INDEX(EmployeeData[Employee ID], ROW() - 37), "")</f>
        <v/>
      </c>
      <c r="C2334" s="4" t="str" cm="1">
        <f t="array" ref="C2334">IFERROR(INDEX(EmployeeData[Full Name], ROW() - 37), "")</f>
        <v/>
      </c>
      <c r="D2334" s="4" t="str" cm="1">
        <f t="array" ref="D2334">IFERROR(INDEX(EmployeeData[Department], ROW() - 37), "")</f>
        <v/>
      </c>
      <c r="E2334" s="4" t="str" cm="1">
        <f t="array" ref="E2334">IFERROR(INDEX(EmployeeData[Gender], ROW() - 37), "")</f>
        <v/>
      </c>
      <c r="F2334" s="4" t="str" cm="1">
        <f t="array" ref="F2334">IFERROR(INDEX(EmployeeData[Age], ROW() - 37), "")</f>
        <v/>
      </c>
      <c r="G2334" s="6" t="str" cm="1">
        <f t="array" ref="G2334">IFERROR(INDEX(EmployeeData[Join Date], ROW() - 37), "")</f>
        <v/>
      </c>
      <c r="H2334" s="6" t="str" cm="1">
        <f t="array" ref="H2334">IFERROR(IF(INDEX(EmployeeData[Exit Date], ROW() - 37)=0, "",INDEX(EmployeeData[Exit Date], ROW() - 37)),"")</f>
        <v/>
      </c>
      <c r="I2334" s="4" t="str" cm="1">
        <f t="array" ref="I2334">IFERROR(IF(INDEX(EmployeeData[Exit Reason], ROW() - 37)=0, "",INDEX(EmployeeData[Exit Reason], ROW() - 37)),"")</f>
        <v/>
      </c>
      <c r="J2334" s="4" t="str" cm="1">
        <f t="array" ref="J2334">IFERROR(INDEX(EmployeeData[Status], ROW() - 37), "")</f>
        <v/>
      </c>
    </row>
    <row r="2335" spans="2:10" ht="19.95" customHeight="1" x14ac:dyDescent="0.3">
      <c r="B2335" s="4" t="str" cm="1">
        <f t="array" ref="B2335">IFERROR(INDEX(EmployeeData[Employee ID], ROW() - 37), "")</f>
        <v/>
      </c>
      <c r="C2335" s="4" t="str" cm="1">
        <f t="array" ref="C2335">IFERROR(INDEX(EmployeeData[Full Name], ROW() - 37), "")</f>
        <v/>
      </c>
      <c r="D2335" s="4" t="str" cm="1">
        <f t="array" ref="D2335">IFERROR(INDEX(EmployeeData[Department], ROW() - 37), "")</f>
        <v/>
      </c>
      <c r="E2335" s="4" t="str" cm="1">
        <f t="array" ref="E2335">IFERROR(INDEX(EmployeeData[Gender], ROW() - 37), "")</f>
        <v/>
      </c>
      <c r="F2335" s="4" t="str" cm="1">
        <f t="array" ref="F2335">IFERROR(INDEX(EmployeeData[Age], ROW() - 37), "")</f>
        <v/>
      </c>
      <c r="G2335" s="6" t="str" cm="1">
        <f t="array" ref="G2335">IFERROR(INDEX(EmployeeData[Join Date], ROW() - 37), "")</f>
        <v/>
      </c>
      <c r="H2335" s="6" t="str" cm="1">
        <f t="array" ref="H2335">IFERROR(IF(INDEX(EmployeeData[Exit Date], ROW() - 37)=0, "",INDEX(EmployeeData[Exit Date], ROW() - 37)),"")</f>
        <v/>
      </c>
      <c r="I2335" s="4" t="str" cm="1">
        <f t="array" ref="I2335">IFERROR(IF(INDEX(EmployeeData[Exit Reason], ROW() - 37)=0, "",INDEX(EmployeeData[Exit Reason], ROW() - 37)),"")</f>
        <v/>
      </c>
      <c r="J2335" s="4" t="str" cm="1">
        <f t="array" ref="J2335">IFERROR(INDEX(EmployeeData[Status], ROW() - 37), "")</f>
        <v/>
      </c>
    </row>
    <row r="2336" spans="2:10" ht="19.95" customHeight="1" x14ac:dyDescent="0.3">
      <c r="B2336" s="4" t="str" cm="1">
        <f t="array" ref="B2336">IFERROR(INDEX(EmployeeData[Employee ID], ROW() - 37), "")</f>
        <v/>
      </c>
      <c r="C2336" s="4" t="str" cm="1">
        <f t="array" ref="C2336">IFERROR(INDEX(EmployeeData[Full Name], ROW() - 37), "")</f>
        <v/>
      </c>
      <c r="D2336" s="4" t="str" cm="1">
        <f t="array" ref="D2336">IFERROR(INDEX(EmployeeData[Department], ROW() - 37), "")</f>
        <v/>
      </c>
      <c r="E2336" s="4" t="str" cm="1">
        <f t="array" ref="E2336">IFERROR(INDEX(EmployeeData[Gender], ROW() - 37), "")</f>
        <v/>
      </c>
      <c r="F2336" s="4" t="str" cm="1">
        <f t="array" ref="F2336">IFERROR(INDEX(EmployeeData[Age], ROW() - 37), "")</f>
        <v/>
      </c>
      <c r="G2336" s="6" t="str" cm="1">
        <f t="array" ref="G2336">IFERROR(INDEX(EmployeeData[Join Date], ROW() - 37), "")</f>
        <v/>
      </c>
      <c r="H2336" s="6" t="str" cm="1">
        <f t="array" ref="H2336">IFERROR(IF(INDEX(EmployeeData[Exit Date], ROW() - 37)=0, "",INDEX(EmployeeData[Exit Date], ROW() - 37)),"")</f>
        <v/>
      </c>
      <c r="I2336" s="4" t="str" cm="1">
        <f t="array" ref="I2336">IFERROR(IF(INDEX(EmployeeData[Exit Reason], ROW() - 37)=0, "",INDEX(EmployeeData[Exit Reason], ROW() - 37)),"")</f>
        <v/>
      </c>
      <c r="J2336" s="4" t="str" cm="1">
        <f t="array" ref="J2336">IFERROR(INDEX(EmployeeData[Status], ROW() - 37), "")</f>
        <v/>
      </c>
    </row>
    <row r="2337" spans="2:10" ht="19.95" customHeight="1" x14ac:dyDescent="0.3">
      <c r="B2337" s="4" t="str" cm="1">
        <f t="array" ref="B2337">IFERROR(INDEX(EmployeeData[Employee ID], ROW() - 37), "")</f>
        <v/>
      </c>
      <c r="C2337" s="4" t="str" cm="1">
        <f t="array" ref="C2337">IFERROR(INDEX(EmployeeData[Full Name], ROW() - 37), "")</f>
        <v/>
      </c>
      <c r="D2337" s="4" t="str" cm="1">
        <f t="array" ref="D2337">IFERROR(INDEX(EmployeeData[Department], ROW() - 37), "")</f>
        <v/>
      </c>
      <c r="E2337" s="4" t="str" cm="1">
        <f t="array" ref="E2337">IFERROR(INDEX(EmployeeData[Gender], ROW() - 37), "")</f>
        <v/>
      </c>
      <c r="F2337" s="4" t="str" cm="1">
        <f t="array" ref="F2337">IFERROR(INDEX(EmployeeData[Age], ROW() - 37), "")</f>
        <v/>
      </c>
      <c r="G2337" s="6" t="str" cm="1">
        <f t="array" ref="G2337">IFERROR(INDEX(EmployeeData[Join Date], ROW() - 37), "")</f>
        <v/>
      </c>
      <c r="H2337" s="6" t="str" cm="1">
        <f t="array" ref="H2337">IFERROR(IF(INDEX(EmployeeData[Exit Date], ROW() - 37)=0, "",INDEX(EmployeeData[Exit Date], ROW() - 37)),"")</f>
        <v/>
      </c>
      <c r="I2337" s="4" t="str" cm="1">
        <f t="array" ref="I2337">IFERROR(IF(INDEX(EmployeeData[Exit Reason], ROW() - 37)=0, "",INDEX(EmployeeData[Exit Reason], ROW() - 37)),"")</f>
        <v/>
      </c>
      <c r="J2337" s="4" t="str" cm="1">
        <f t="array" ref="J2337">IFERROR(INDEX(EmployeeData[Status], ROW() - 37), "")</f>
        <v/>
      </c>
    </row>
    <row r="2338" spans="2:10" ht="19.95" customHeight="1" x14ac:dyDescent="0.3">
      <c r="B2338" s="4" t="str" cm="1">
        <f t="array" ref="B2338">IFERROR(INDEX(EmployeeData[Employee ID], ROW() - 37), "")</f>
        <v/>
      </c>
      <c r="C2338" s="4" t="str" cm="1">
        <f t="array" ref="C2338">IFERROR(INDEX(EmployeeData[Full Name], ROW() - 37), "")</f>
        <v/>
      </c>
      <c r="D2338" s="4" t="str" cm="1">
        <f t="array" ref="D2338">IFERROR(INDEX(EmployeeData[Department], ROW() - 37), "")</f>
        <v/>
      </c>
      <c r="E2338" s="4" t="str" cm="1">
        <f t="array" ref="E2338">IFERROR(INDEX(EmployeeData[Gender], ROW() - 37), "")</f>
        <v/>
      </c>
      <c r="F2338" s="4" t="str" cm="1">
        <f t="array" ref="F2338">IFERROR(INDEX(EmployeeData[Age], ROW() - 37), "")</f>
        <v/>
      </c>
      <c r="G2338" s="6" t="str" cm="1">
        <f t="array" ref="G2338">IFERROR(INDEX(EmployeeData[Join Date], ROW() - 37), "")</f>
        <v/>
      </c>
      <c r="H2338" s="6" t="str" cm="1">
        <f t="array" ref="H2338">IFERROR(IF(INDEX(EmployeeData[Exit Date], ROW() - 37)=0, "",INDEX(EmployeeData[Exit Date], ROW() - 37)),"")</f>
        <v/>
      </c>
      <c r="I2338" s="4" t="str" cm="1">
        <f t="array" ref="I2338">IFERROR(IF(INDEX(EmployeeData[Exit Reason], ROW() - 37)=0, "",INDEX(EmployeeData[Exit Reason], ROW() - 37)),"")</f>
        <v/>
      </c>
      <c r="J2338" s="4" t="str" cm="1">
        <f t="array" ref="J2338">IFERROR(INDEX(EmployeeData[Status], ROW() - 37), "")</f>
        <v/>
      </c>
    </row>
    <row r="2339" spans="2:10" ht="19.95" customHeight="1" x14ac:dyDescent="0.3">
      <c r="B2339" s="4" t="str" cm="1">
        <f t="array" ref="B2339">IFERROR(INDEX(EmployeeData[Employee ID], ROW() - 37), "")</f>
        <v/>
      </c>
      <c r="C2339" s="4" t="str" cm="1">
        <f t="array" ref="C2339">IFERROR(INDEX(EmployeeData[Full Name], ROW() - 37), "")</f>
        <v/>
      </c>
      <c r="D2339" s="4" t="str" cm="1">
        <f t="array" ref="D2339">IFERROR(INDEX(EmployeeData[Department], ROW() - 37), "")</f>
        <v/>
      </c>
      <c r="E2339" s="4" t="str" cm="1">
        <f t="array" ref="E2339">IFERROR(INDEX(EmployeeData[Gender], ROW() - 37), "")</f>
        <v/>
      </c>
      <c r="F2339" s="4" t="str" cm="1">
        <f t="array" ref="F2339">IFERROR(INDEX(EmployeeData[Age], ROW() - 37), "")</f>
        <v/>
      </c>
      <c r="G2339" s="6" t="str" cm="1">
        <f t="array" ref="G2339">IFERROR(INDEX(EmployeeData[Join Date], ROW() - 37), "")</f>
        <v/>
      </c>
      <c r="H2339" s="6" t="str" cm="1">
        <f t="array" ref="H2339">IFERROR(IF(INDEX(EmployeeData[Exit Date], ROW() - 37)=0, "",INDEX(EmployeeData[Exit Date], ROW() - 37)),"")</f>
        <v/>
      </c>
      <c r="I2339" s="4" t="str" cm="1">
        <f t="array" ref="I2339">IFERROR(IF(INDEX(EmployeeData[Exit Reason], ROW() - 37)=0, "",INDEX(EmployeeData[Exit Reason], ROW() - 37)),"")</f>
        <v/>
      </c>
      <c r="J2339" s="4" t="str" cm="1">
        <f t="array" ref="J2339">IFERROR(INDEX(EmployeeData[Status], ROW() - 37), "")</f>
        <v/>
      </c>
    </row>
    <row r="2340" spans="2:10" ht="19.95" customHeight="1" x14ac:dyDescent="0.3">
      <c r="B2340" s="4" t="str" cm="1">
        <f t="array" ref="B2340">IFERROR(INDEX(EmployeeData[Employee ID], ROW() - 37), "")</f>
        <v/>
      </c>
      <c r="C2340" s="4" t="str" cm="1">
        <f t="array" ref="C2340">IFERROR(INDEX(EmployeeData[Full Name], ROW() - 37), "")</f>
        <v/>
      </c>
      <c r="D2340" s="4" t="str" cm="1">
        <f t="array" ref="D2340">IFERROR(INDEX(EmployeeData[Department], ROW() - 37), "")</f>
        <v/>
      </c>
      <c r="E2340" s="4" t="str" cm="1">
        <f t="array" ref="E2340">IFERROR(INDEX(EmployeeData[Gender], ROW() - 37), "")</f>
        <v/>
      </c>
      <c r="F2340" s="4" t="str" cm="1">
        <f t="array" ref="F2340">IFERROR(INDEX(EmployeeData[Age], ROW() - 37), "")</f>
        <v/>
      </c>
      <c r="G2340" s="6" t="str" cm="1">
        <f t="array" ref="G2340">IFERROR(INDEX(EmployeeData[Join Date], ROW() - 37), "")</f>
        <v/>
      </c>
      <c r="H2340" s="6" t="str" cm="1">
        <f t="array" ref="H2340">IFERROR(IF(INDEX(EmployeeData[Exit Date], ROW() - 37)=0, "",INDEX(EmployeeData[Exit Date], ROW() - 37)),"")</f>
        <v/>
      </c>
      <c r="I2340" s="4" t="str" cm="1">
        <f t="array" ref="I2340">IFERROR(IF(INDEX(EmployeeData[Exit Reason], ROW() - 37)=0, "",INDEX(EmployeeData[Exit Reason], ROW() - 37)),"")</f>
        <v/>
      </c>
      <c r="J2340" s="4" t="str" cm="1">
        <f t="array" ref="J2340">IFERROR(INDEX(EmployeeData[Status], ROW() - 37), "")</f>
        <v/>
      </c>
    </row>
    <row r="2341" spans="2:10" ht="19.95" customHeight="1" x14ac:dyDescent="0.3">
      <c r="B2341" s="4" t="str" cm="1">
        <f t="array" ref="B2341">IFERROR(INDEX(EmployeeData[Employee ID], ROW() - 37), "")</f>
        <v/>
      </c>
      <c r="C2341" s="4" t="str" cm="1">
        <f t="array" ref="C2341">IFERROR(INDEX(EmployeeData[Full Name], ROW() - 37), "")</f>
        <v/>
      </c>
      <c r="D2341" s="4" t="str" cm="1">
        <f t="array" ref="D2341">IFERROR(INDEX(EmployeeData[Department], ROW() - 37), "")</f>
        <v/>
      </c>
      <c r="E2341" s="4" t="str" cm="1">
        <f t="array" ref="E2341">IFERROR(INDEX(EmployeeData[Gender], ROW() - 37), "")</f>
        <v/>
      </c>
      <c r="F2341" s="4" t="str" cm="1">
        <f t="array" ref="F2341">IFERROR(INDEX(EmployeeData[Age], ROW() - 37), "")</f>
        <v/>
      </c>
      <c r="G2341" s="6" t="str" cm="1">
        <f t="array" ref="G2341">IFERROR(INDEX(EmployeeData[Join Date], ROW() - 37), "")</f>
        <v/>
      </c>
      <c r="H2341" s="6" t="str" cm="1">
        <f t="array" ref="H2341">IFERROR(IF(INDEX(EmployeeData[Exit Date], ROW() - 37)=0, "",INDEX(EmployeeData[Exit Date], ROW() - 37)),"")</f>
        <v/>
      </c>
      <c r="I2341" s="4" t="str" cm="1">
        <f t="array" ref="I2341">IFERROR(IF(INDEX(EmployeeData[Exit Reason], ROW() - 37)=0, "",INDEX(EmployeeData[Exit Reason], ROW() - 37)),"")</f>
        <v/>
      </c>
      <c r="J2341" s="4" t="str" cm="1">
        <f t="array" ref="J2341">IFERROR(INDEX(EmployeeData[Status], ROW() - 37), "")</f>
        <v/>
      </c>
    </row>
    <row r="2342" spans="2:10" ht="19.95" customHeight="1" x14ac:dyDescent="0.3">
      <c r="B2342" s="4" t="str" cm="1">
        <f t="array" ref="B2342">IFERROR(INDEX(EmployeeData[Employee ID], ROW() - 37), "")</f>
        <v/>
      </c>
      <c r="C2342" s="4" t="str" cm="1">
        <f t="array" ref="C2342">IFERROR(INDEX(EmployeeData[Full Name], ROW() - 37), "")</f>
        <v/>
      </c>
      <c r="D2342" s="4" t="str" cm="1">
        <f t="array" ref="D2342">IFERROR(INDEX(EmployeeData[Department], ROW() - 37), "")</f>
        <v/>
      </c>
      <c r="E2342" s="4" t="str" cm="1">
        <f t="array" ref="E2342">IFERROR(INDEX(EmployeeData[Gender], ROW() - 37), "")</f>
        <v/>
      </c>
      <c r="F2342" s="4" t="str" cm="1">
        <f t="array" ref="F2342">IFERROR(INDEX(EmployeeData[Age], ROW() - 37), "")</f>
        <v/>
      </c>
      <c r="G2342" s="6" t="str" cm="1">
        <f t="array" ref="G2342">IFERROR(INDEX(EmployeeData[Join Date], ROW() - 37), "")</f>
        <v/>
      </c>
      <c r="H2342" s="6" t="str" cm="1">
        <f t="array" ref="H2342">IFERROR(IF(INDEX(EmployeeData[Exit Date], ROW() - 37)=0, "",INDEX(EmployeeData[Exit Date], ROW() - 37)),"")</f>
        <v/>
      </c>
      <c r="I2342" s="4" t="str" cm="1">
        <f t="array" ref="I2342">IFERROR(IF(INDEX(EmployeeData[Exit Reason], ROW() - 37)=0, "",INDEX(EmployeeData[Exit Reason], ROW() - 37)),"")</f>
        <v/>
      </c>
      <c r="J2342" s="4" t="str" cm="1">
        <f t="array" ref="J2342">IFERROR(INDEX(EmployeeData[Status], ROW() - 37), "")</f>
        <v/>
      </c>
    </row>
    <row r="2343" spans="2:10" ht="19.95" customHeight="1" x14ac:dyDescent="0.3">
      <c r="B2343" s="4" t="str" cm="1">
        <f t="array" ref="B2343">IFERROR(INDEX(EmployeeData[Employee ID], ROW() - 37), "")</f>
        <v/>
      </c>
      <c r="C2343" s="4" t="str" cm="1">
        <f t="array" ref="C2343">IFERROR(INDEX(EmployeeData[Full Name], ROW() - 37), "")</f>
        <v/>
      </c>
      <c r="D2343" s="4" t="str" cm="1">
        <f t="array" ref="D2343">IFERROR(INDEX(EmployeeData[Department], ROW() - 37), "")</f>
        <v/>
      </c>
      <c r="E2343" s="4" t="str" cm="1">
        <f t="array" ref="E2343">IFERROR(INDEX(EmployeeData[Gender], ROW() - 37), "")</f>
        <v/>
      </c>
      <c r="F2343" s="4" t="str" cm="1">
        <f t="array" ref="F2343">IFERROR(INDEX(EmployeeData[Age], ROW() - 37), "")</f>
        <v/>
      </c>
      <c r="G2343" s="6" t="str" cm="1">
        <f t="array" ref="G2343">IFERROR(INDEX(EmployeeData[Join Date], ROW() - 37), "")</f>
        <v/>
      </c>
      <c r="H2343" s="6" t="str" cm="1">
        <f t="array" ref="H2343">IFERROR(IF(INDEX(EmployeeData[Exit Date], ROW() - 37)=0, "",INDEX(EmployeeData[Exit Date], ROW() - 37)),"")</f>
        <v/>
      </c>
      <c r="I2343" s="4" t="str" cm="1">
        <f t="array" ref="I2343">IFERROR(IF(INDEX(EmployeeData[Exit Reason], ROW() - 37)=0, "",INDEX(EmployeeData[Exit Reason], ROW() - 37)),"")</f>
        <v/>
      </c>
      <c r="J2343" s="4" t="str" cm="1">
        <f t="array" ref="J2343">IFERROR(INDEX(EmployeeData[Status], ROW() - 37), "")</f>
        <v/>
      </c>
    </row>
    <row r="2344" spans="2:10" ht="19.95" customHeight="1" x14ac:dyDescent="0.3">
      <c r="B2344" s="4" t="str" cm="1">
        <f t="array" ref="B2344">IFERROR(INDEX(EmployeeData[Employee ID], ROW() - 37), "")</f>
        <v/>
      </c>
      <c r="C2344" s="4" t="str" cm="1">
        <f t="array" ref="C2344">IFERROR(INDEX(EmployeeData[Full Name], ROW() - 37), "")</f>
        <v/>
      </c>
      <c r="D2344" s="4" t="str" cm="1">
        <f t="array" ref="D2344">IFERROR(INDEX(EmployeeData[Department], ROW() - 37), "")</f>
        <v/>
      </c>
      <c r="E2344" s="4" t="str" cm="1">
        <f t="array" ref="E2344">IFERROR(INDEX(EmployeeData[Gender], ROW() - 37), "")</f>
        <v/>
      </c>
      <c r="F2344" s="4" t="str" cm="1">
        <f t="array" ref="F2344">IFERROR(INDEX(EmployeeData[Age], ROW() - 37), "")</f>
        <v/>
      </c>
      <c r="G2344" s="6" t="str" cm="1">
        <f t="array" ref="G2344">IFERROR(INDEX(EmployeeData[Join Date], ROW() - 37), "")</f>
        <v/>
      </c>
      <c r="H2344" s="6" t="str" cm="1">
        <f t="array" ref="H2344">IFERROR(IF(INDEX(EmployeeData[Exit Date], ROW() - 37)=0, "",INDEX(EmployeeData[Exit Date], ROW() - 37)),"")</f>
        <v/>
      </c>
      <c r="I2344" s="4" t="str" cm="1">
        <f t="array" ref="I2344">IFERROR(IF(INDEX(EmployeeData[Exit Reason], ROW() - 37)=0, "",INDEX(EmployeeData[Exit Reason], ROW() - 37)),"")</f>
        <v/>
      </c>
      <c r="J2344" s="4" t="str" cm="1">
        <f t="array" ref="J2344">IFERROR(INDEX(EmployeeData[Status], ROW() - 37), "")</f>
        <v/>
      </c>
    </row>
    <row r="2345" spans="2:10" ht="19.95" customHeight="1" x14ac:dyDescent="0.3">
      <c r="B2345" s="4" t="str" cm="1">
        <f t="array" ref="B2345">IFERROR(INDEX(EmployeeData[Employee ID], ROW() - 37), "")</f>
        <v/>
      </c>
      <c r="C2345" s="4" t="str" cm="1">
        <f t="array" ref="C2345">IFERROR(INDEX(EmployeeData[Full Name], ROW() - 37), "")</f>
        <v/>
      </c>
      <c r="D2345" s="4" t="str" cm="1">
        <f t="array" ref="D2345">IFERROR(INDEX(EmployeeData[Department], ROW() - 37), "")</f>
        <v/>
      </c>
      <c r="E2345" s="4" t="str" cm="1">
        <f t="array" ref="E2345">IFERROR(INDEX(EmployeeData[Gender], ROW() - 37), "")</f>
        <v/>
      </c>
      <c r="F2345" s="4" t="str" cm="1">
        <f t="array" ref="F2345">IFERROR(INDEX(EmployeeData[Age], ROW() - 37), "")</f>
        <v/>
      </c>
      <c r="G2345" s="6" t="str" cm="1">
        <f t="array" ref="G2345">IFERROR(INDEX(EmployeeData[Join Date], ROW() - 37), "")</f>
        <v/>
      </c>
      <c r="H2345" s="6" t="str" cm="1">
        <f t="array" ref="H2345">IFERROR(IF(INDEX(EmployeeData[Exit Date], ROW() - 37)=0, "",INDEX(EmployeeData[Exit Date], ROW() - 37)),"")</f>
        <v/>
      </c>
      <c r="I2345" s="4" t="str" cm="1">
        <f t="array" ref="I2345">IFERROR(IF(INDEX(EmployeeData[Exit Reason], ROW() - 37)=0, "",INDEX(EmployeeData[Exit Reason], ROW() - 37)),"")</f>
        <v/>
      </c>
      <c r="J2345" s="4" t="str" cm="1">
        <f t="array" ref="J2345">IFERROR(INDEX(EmployeeData[Status], ROW() - 37), "")</f>
        <v/>
      </c>
    </row>
    <row r="2346" spans="2:10" ht="19.95" customHeight="1" x14ac:dyDescent="0.3">
      <c r="B2346" s="4" t="str" cm="1">
        <f t="array" ref="B2346">IFERROR(INDEX(EmployeeData[Employee ID], ROW() - 37), "")</f>
        <v/>
      </c>
      <c r="C2346" s="4" t="str" cm="1">
        <f t="array" ref="C2346">IFERROR(INDEX(EmployeeData[Full Name], ROW() - 37), "")</f>
        <v/>
      </c>
      <c r="D2346" s="4" t="str" cm="1">
        <f t="array" ref="D2346">IFERROR(INDEX(EmployeeData[Department], ROW() - 37), "")</f>
        <v/>
      </c>
      <c r="E2346" s="4" t="str" cm="1">
        <f t="array" ref="E2346">IFERROR(INDEX(EmployeeData[Gender], ROW() - 37), "")</f>
        <v/>
      </c>
      <c r="F2346" s="4" t="str" cm="1">
        <f t="array" ref="F2346">IFERROR(INDEX(EmployeeData[Age], ROW() - 37), "")</f>
        <v/>
      </c>
      <c r="G2346" s="6" t="str" cm="1">
        <f t="array" ref="G2346">IFERROR(INDEX(EmployeeData[Join Date], ROW() - 37), "")</f>
        <v/>
      </c>
      <c r="H2346" s="6" t="str" cm="1">
        <f t="array" ref="H2346">IFERROR(IF(INDEX(EmployeeData[Exit Date], ROW() - 37)=0, "",INDEX(EmployeeData[Exit Date], ROW() - 37)),"")</f>
        <v/>
      </c>
      <c r="I2346" s="4" t="str" cm="1">
        <f t="array" ref="I2346">IFERROR(IF(INDEX(EmployeeData[Exit Reason], ROW() - 37)=0, "",INDEX(EmployeeData[Exit Reason], ROW() - 37)),"")</f>
        <v/>
      </c>
      <c r="J2346" s="4" t="str" cm="1">
        <f t="array" ref="J2346">IFERROR(INDEX(EmployeeData[Status], ROW() - 37), "")</f>
        <v/>
      </c>
    </row>
    <row r="2347" spans="2:10" ht="19.95" customHeight="1" x14ac:dyDescent="0.3">
      <c r="B2347" s="4" t="str" cm="1">
        <f t="array" ref="B2347">IFERROR(INDEX(EmployeeData[Employee ID], ROW() - 37), "")</f>
        <v/>
      </c>
      <c r="C2347" s="4" t="str" cm="1">
        <f t="array" ref="C2347">IFERROR(INDEX(EmployeeData[Full Name], ROW() - 37), "")</f>
        <v/>
      </c>
      <c r="D2347" s="4" t="str" cm="1">
        <f t="array" ref="D2347">IFERROR(INDEX(EmployeeData[Department], ROW() - 37), "")</f>
        <v/>
      </c>
      <c r="E2347" s="4" t="str" cm="1">
        <f t="array" ref="E2347">IFERROR(INDEX(EmployeeData[Gender], ROW() - 37), "")</f>
        <v/>
      </c>
      <c r="F2347" s="4" t="str" cm="1">
        <f t="array" ref="F2347">IFERROR(INDEX(EmployeeData[Age], ROW() - 37), "")</f>
        <v/>
      </c>
      <c r="G2347" s="6" t="str" cm="1">
        <f t="array" ref="G2347">IFERROR(INDEX(EmployeeData[Join Date], ROW() - 37), "")</f>
        <v/>
      </c>
      <c r="H2347" s="6" t="str" cm="1">
        <f t="array" ref="H2347">IFERROR(IF(INDEX(EmployeeData[Exit Date], ROW() - 37)=0, "",INDEX(EmployeeData[Exit Date], ROW() - 37)),"")</f>
        <v/>
      </c>
      <c r="I2347" s="4" t="str" cm="1">
        <f t="array" ref="I2347">IFERROR(IF(INDEX(EmployeeData[Exit Reason], ROW() - 37)=0, "",INDEX(EmployeeData[Exit Reason], ROW() - 37)),"")</f>
        <v/>
      </c>
      <c r="J2347" s="4" t="str" cm="1">
        <f t="array" ref="J2347">IFERROR(INDEX(EmployeeData[Status], ROW() - 37), "")</f>
        <v/>
      </c>
    </row>
    <row r="2348" spans="2:10" ht="19.95" customHeight="1" x14ac:dyDescent="0.3">
      <c r="B2348" s="4" t="str" cm="1">
        <f t="array" ref="B2348">IFERROR(INDEX(EmployeeData[Employee ID], ROW() - 37), "")</f>
        <v/>
      </c>
      <c r="C2348" s="4" t="str" cm="1">
        <f t="array" ref="C2348">IFERROR(INDEX(EmployeeData[Full Name], ROW() - 37), "")</f>
        <v/>
      </c>
      <c r="D2348" s="4" t="str" cm="1">
        <f t="array" ref="D2348">IFERROR(INDEX(EmployeeData[Department], ROW() - 37), "")</f>
        <v/>
      </c>
      <c r="E2348" s="4" t="str" cm="1">
        <f t="array" ref="E2348">IFERROR(INDEX(EmployeeData[Gender], ROW() - 37), "")</f>
        <v/>
      </c>
      <c r="F2348" s="4" t="str" cm="1">
        <f t="array" ref="F2348">IFERROR(INDEX(EmployeeData[Age], ROW() - 37), "")</f>
        <v/>
      </c>
      <c r="G2348" s="6" t="str" cm="1">
        <f t="array" ref="G2348">IFERROR(INDEX(EmployeeData[Join Date], ROW() - 37), "")</f>
        <v/>
      </c>
      <c r="H2348" s="6" t="str" cm="1">
        <f t="array" ref="H2348">IFERROR(IF(INDEX(EmployeeData[Exit Date], ROW() - 37)=0, "",INDEX(EmployeeData[Exit Date], ROW() - 37)),"")</f>
        <v/>
      </c>
      <c r="I2348" s="4" t="str" cm="1">
        <f t="array" ref="I2348">IFERROR(IF(INDEX(EmployeeData[Exit Reason], ROW() - 37)=0, "",INDEX(EmployeeData[Exit Reason], ROW() - 37)),"")</f>
        <v/>
      </c>
      <c r="J2348" s="4" t="str" cm="1">
        <f t="array" ref="J2348">IFERROR(INDEX(EmployeeData[Status], ROW() - 37), "")</f>
        <v/>
      </c>
    </row>
    <row r="2349" spans="2:10" ht="19.95" customHeight="1" x14ac:dyDescent="0.3">
      <c r="B2349" s="4" t="str" cm="1">
        <f t="array" ref="B2349">IFERROR(INDEX(EmployeeData[Employee ID], ROW() - 37), "")</f>
        <v/>
      </c>
      <c r="C2349" s="4" t="str" cm="1">
        <f t="array" ref="C2349">IFERROR(INDEX(EmployeeData[Full Name], ROW() - 37), "")</f>
        <v/>
      </c>
      <c r="D2349" s="4" t="str" cm="1">
        <f t="array" ref="D2349">IFERROR(INDEX(EmployeeData[Department], ROW() - 37), "")</f>
        <v/>
      </c>
      <c r="E2349" s="4" t="str" cm="1">
        <f t="array" ref="E2349">IFERROR(INDEX(EmployeeData[Gender], ROW() - 37), "")</f>
        <v/>
      </c>
      <c r="F2349" s="4" t="str" cm="1">
        <f t="array" ref="F2349">IFERROR(INDEX(EmployeeData[Age], ROW() - 37), "")</f>
        <v/>
      </c>
      <c r="G2349" s="6" t="str" cm="1">
        <f t="array" ref="G2349">IFERROR(INDEX(EmployeeData[Join Date], ROW() - 37), "")</f>
        <v/>
      </c>
      <c r="H2349" s="6" t="str" cm="1">
        <f t="array" ref="H2349">IFERROR(IF(INDEX(EmployeeData[Exit Date], ROW() - 37)=0, "",INDEX(EmployeeData[Exit Date], ROW() - 37)),"")</f>
        <v/>
      </c>
      <c r="I2349" s="4" t="str" cm="1">
        <f t="array" ref="I2349">IFERROR(IF(INDEX(EmployeeData[Exit Reason], ROW() - 37)=0, "",INDEX(EmployeeData[Exit Reason], ROW() - 37)),"")</f>
        <v/>
      </c>
      <c r="J2349" s="4" t="str" cm="1">
        <f t="array" ref="J2349">IFERROR(INDEX(EmployeeData[Status], ROW() - 37), "")</f>
        <v/>
      </c>
    </row>
    <row r="2350" spans="2:10" ht="19.95" customHeight="1" x14ac:dyDescent="0.3">
      <c r="B2350" s="4" t="str" cm="1">
        <f t="array" ref="B2350">IFERROR(INDEX(EmployeeData[Employee ID], ROW() - 37), "")</f>
        <v/>
      </c>
      <c r="C2350" s="4" t="str" cm="1">
        <f t="array" ref="C2350">IFERROR(INDEX(EmployeeData[Full Name], ROW() - 37), "")</f>
        <v/>
      </c>
      <c r="D2350" s="4" t="str" cm="1">
        <f t="array" ref="D2350">IFERROR(INDEX(EmployeeData[Department], ROW() - 37), "")</f>
        <v/>
      </c>
      <c r="E2350" s="4" t="str" cm="1">
        <f t="array" ref="E2350">IFERROR(INDEX(EmployeeData[Gender], ROW() - 37), "")</f>
        <v/>
      </c>
      <c r="F2350" s="4" t="str" cm="1">
        <f t="array" ref="F2350">IFERROR(INDEX(EmployeeData[Age], ROW() - 37), "")</f>
        <v/>
      </c>
      <c r="G2350" s="6" t="str" cm="1">
        <f t="array" ref="G2350">IFERROR(INDEX(EmployeeData[Join Date], ROW() - 37), "")</f>
        <v/>
      </c>
      <c r="H2350" s="6" t="str" cm="1">
        <f t="array" ref="H2350">IFERROR(IF(INDEX(EmployeeData[Exit Date], ROW() - 37)=0, "",INDEX(EmployeeData[Exit Date], ROW() - 37)),"")</f>
        <v/>
      </c>
      <c r="I2350" s="4" t="str" cm="1">
        <f t="array" ref="I2350">IFERROR(IF(INDEX(EmployeeData[Exit Reason], ROW() - 37)=0, "",INDEX(EmployeeData[Exit Reason], ROW() - 37)),"")</f>
        <v/>
      </c>
      <c r="J2350" s="4" t="str" cm="1">
        <f t="array" ref="J2350">IFERROR(INDEX(EmployeeData[Status], ROW() - 37), "")</f>
        <v/>
      </c>
    </row>
    <row r="2351" spans="2:10" ht="19.95" customHeight="1" x14ac:dyDescent="0.3">
      <c r="B2351" s="4" t="str" cm="1">
        <f t="array" ref="B2351">IFERROR(INDEX(EmployeeData[Employee ID], ROW() - 37), "")</f>
        <v/>
      </c>
      <c r="C2351" s="4" t="str" cm="1">
        <f t="array" ref="C2351">IFERROR(INDEX(EmployeeData[Full Name], ROW() - 37), "")</f>
        <v/>
      </c>
      <c r="D2351" s="4" t="str" cm="1">
        <f t="array" ref="D2351">IFERROR(INDEX(EmployeeData[Department], ROW() - 37), "")</f>
        <v/>
      </c>
      <c r="E2351" s="4" t="str" cm="1">
        <f t="array" ref="E2351">IFERROR(INDEX(EmployeeData[Gender], ROW() - 37), "")</f>
        <v/>
      </c>
      <c r="F2351" s="4" t="str" cm="1">
        <f t="array" ref="F2351">IFERROR(INDEX(EmployeeData[Age], ROW() - 37), "")</f>
        <v/>
      </c>
      <c r="G2351" s="6" t="str" cm="1">
        <f t="array" ref="G2351">IFERROR(INDEX(EmployeeData[Join Date], ROW() - 37), "")</f>
        <v/>
      </c>
      <c r="H2351" s="6" t="str" cm="1">
        <f t="array" ref="H2351">IFERROR(IF(INDEX(EmployeeData[Exit Date], ROW() - 37)=0, "",INDEX(EmployeeData[Exit Date], ROW() - 37)),"")</f>
        <v/>
      </c>
      <c r="I2351" s="4" t="str" cm="1">
        <f t="array" ref="I2351">IFERROR(IF(INDEX(EmployeeData[Exit Reason], ROW() - 37)=0, "",INDEX(EmployeeData[Exit Reason], ROW() - 37)),"")</f>
        <v/>
      </c>
      <c r="J2351" s="4" t="str" cm="1">
        <f t="array" ref="J2351">IFERROR(INDEX(EmployeeData[Status], ROW() - 37), "")</f>
        <v/>
      </c>
    </row>
    <row r="2352" spans="2:10" ht="19.95" customHeight="1" x14ac:dyDescent="0.3">
      <c r="B2352" s="4" t="str" cm="1">
        <f t="array" ref="B2352">IFERROR(INDEX(EmployeeData[Employee ID], ROW() - 37), "")</f>
        <v/>
      </c>
      <c r="C2352" s="4" t="str" cm="1">
        <f t="array" ref="C2352">IFERROR(INDEX(EmployeeData[Full Name], ROW() - 37), "")</f>
        <v/>
      </c>
      <c r="D2352" s="4" t="str" cm="1">
        <f t="array" ref="D2352">IFERROR(INDEX(EmployeeData[Department], ROW() - 37), "")</f>
        <v/>
      </c>
      <c r="E2352" s="4" t="str" cm="1">
        <f t="array" ref="E2352">IFERROR(INDEX(EmployeeData[Gender], ROW() - 37), "")</f>
        <v/>
      </c>
      <c r="F2352" s="4" t="str" cm="1">
        <f t="array" ref="F2352">IFERROR(INDEX(EmployeeData[Age], ROW() - 37), "")</f>
        <v/>
      </c>
      <c r="G2352" s="6" t="str" cm="1">
        <f t="array" ref="G2352">IFERROR(INDEX(EmployeeData[Join Date], ROW() - 37), "")</f>
        <v/>
      </c>
      <c r="H2352" s="6" t="str" cm="1">
        <f t="array" ref="H2352">IFERROR(IF(INDEX(EmployeeData[Exit Date], ROW() - 37)=0, "",INDEX(EmployeeData[Exit Date], ROW() - 37)),"")</f>
        <v/>
      </c>
      <c r="I2352" s="4" t="str" cm="1">
        <f t="array" ref="I2352">IFERROR(IF(INDEX(EmployeeData[Exit Reason], ROW() - 37)=0, "",INDEX(EmployeeData[Exit Reason], ROW() - 37)),"")</f>
        <v/>
      </c>
      <c r="J2352" s="4" t="str" cm="1">
        <f t="array" ref="J2352">IFERROR(INDEX(EmployeeData[Status], ROW() - 37), "")</f>
        <v/>
      </c>
    </row>
    <row r="2353" spans="2:10" ht="19.95" customHeight="1" x14ac:dyDescent="0.3">
      <c r="B2353" s="4" t="str" cm="1">
        <f t="array" ref="B2353">IFERROR(INDEX(EmployeeData[Employee ID], ROW() - 37), "")</f>
        <v/>
      </c>
      <c r="C2353" s="4" t="str" cm="1">
        <f t="array" ref="C2353">IFERROR(INDEX(EmployeeData[Full Name], ROW() - 37), "")</f>
        <v/>
      </c>
      <c r="D2353" s="4" t="str" cm="1">
        <f t="array" ref="D2353">IFERROR(INDEX(EmployeeData[Department], ROW() - 37), "")</f>
        <v/>
      </c>
      <c r="E2353" s="4" t="str" cm="1">
        <f t="array" ref="E2353">IFERROR(INDEX(EmployeeData[Gender], ROW() - 37), "")</f>
        <v/>
      </c>
      <c r="F2353" s="4" t="str" cm="1">
        <f t="array" ref="F2353">IFERROR(INDEX(EmployeeData[Age], ROW() - 37), "")</f>
        <v/>
      </c>
      <c r="G2353" s="6" t="str" cm="1">
        <f t="array" ref="G2353">IFERROR(INDEX(EmployeeData[Join Date], ROW() - 37), "")</f>
        <v/>
      </c>
      <c r="H2353" s="6" t="str" cm="1">
        <f t="array" ref="H2353">IFERROR(IF(INDEX(EmployeeData[Exit Date], ROW() - 37)=0, "",INDEX(EmployeeData[Exit Date], ROW() - 37)),"")</f>
        <v/>
      </c>
      <c r="I2353" s="4" t="str" cm="1">
        <f t="array" ref="I2353">IFERROR(IF(INDEX(EmployeeData[Exit Reason], ROW() - 37)=0, "",INDEX(EmployeeData[Exit Reason], ROW() - 37)),"")</f>
        <v/>
      </c>
      <c r="J2353" s="4" t="str" cm="1">
        <f t="array" ref="J2353">IFERROR(INDEX(EmployeeData[Status], ROW() - 37), "")</f>
        <v/>
      </c>
    </row>
    <row r="2354" spans="2:10" ht="19.95" customHeight="1" x14ac:dyDescent="0.3">
      <c r="B2354" s="4" t="str" cm="1">
        <f t="array" ref="B2354">IFERROR(INDEX(EmployeeData[Employee ID], ROW() - 37), "")</f>
        <v/>
      </c>
      <c r="C2354" s="4" t="str" cm="1">
        <f t="array" ref="C2354">IFERROR(INDEX(EmployeeData[Full Name], ROW() - 37), "")</f>
        <v/>
      </c>
      <c r="D2354" s="4" t="str" cm="1">
        <f t="array" ref="D2354">IFERROR(INDEX(EmployeeData[Department], ROW() - 37), "")</f>
        <v/>
      </c>
      <c r="E2354" s="4" t="str" cm="1">
        <f t="array" ref="E2354">IFERROR(INDEX(EmployeeData[Gender], ROW() - 37), "")</f>
        <v/>
      </c>
      <c r="F2354" s="4" t="str" cm="1">
        <f t="array" ref="F2354">IFERROR(INDEX(EmployeeData[Age], ROW() - 37), "")</f>
        <v/>
      </c>
      <c r="G2354" s="6" t="str" cm="1">
        <f t="array" ref="G2354">IFERROR(INDEX(EmployeeData[Join Date], ROW() - 37), "")</f>
        <v/>
      </c>
      <c r="H2354" s="6" t="str" cm="1">
        <f t="array" ref="H2354">IFERROR(IF(INDEX(EmployeeData[Exit Date], ROW() - 37)=0, "",INDEX(EmployeeData[Exit Date], ROW() - 37)),"")</f>
        <v/>
      </c>
      <c r="I2354" s="4" t="str" cm="1">
        <f t="array" ref="I2354">IFERROR(IF(INDEX(EmployeeData[Exit Reason], ROW() - 37)=0, "",INDEX(EmployeeData[Exit Reason], ROW() - 37)),"")</f>
        <v/>
      </c>
      <c r="J2354" s="4" t="str" cm="1">
        <f t="array" ref="J2354">IFERROR(INDEX(EmployeeData[Status], ROW() - 37), "")</f>
        <v/>
      </c>
    </row>
    <row r="2355" spans="2:10" ht="19.95" customHeight="1" x14ac:dyDescent="0.3">
      <c r="B2355" s="4" t="str" cm="1">
        <f t="array" ref="B2355">IFERROR(INDEX(EmployeeData[Employee ID], ROW() - 37), "")</f>
        <v/>
      </c>
      <c r="C2355" s="4" t="str" cm="1">
        <f t="array" ref="C2355">IFERROR(INDEX(EmployeeData[Full Name], ROW() - 37), "")</f>
        <v/>
      </c>
      <c r="D2355" s="4" t="str" cm="1">
        <f t="array" ref="D2355">IFERROR(INDEX(EmployeeData[Department], ROW() - 37), "")</f>
        <v/>
      </c>
      <c r="E2355" s="4" t="str" cm="1">
        <f t="array" ref="E2355">IFERROR(INDEX(EmployeeData[Gender], ROW() - 37), "")</f>
        <v/>
      </c>
      <c r="F2355" s="4" t="str" cm="1">
        <f t="array" ref="F2355">IFERROR(INDEX(EmployeeData[Age], ROW() - 37), "")</f>
        <v/>
      </c>
      <c r="G2355" s="6" t="str" cm="1">
        <f t="array" ref="G2355">IFERROR(INDEX(EmployeeData[Join Date], ROW() - 37), "")</f>
        <v/>
      </c>
      <c r="H2355" s="6" t="str" cm="1">
        <f t="array" ref="H2355">IFERROR(IF(INDEX(EmployeeData[Exit Date], ROW() - 37)=0, "",INDEX(EmployeeData[Exit Date], ROW() - 37)),"")</f>
        <v/>
      </c>
      <c r="I2355" s="4" t="str" cm="1">
        <f t="array" ref="I2355">IFERROR(IF(INDEX(EmployeeData[Exit Reason], ROW() - 37)=0, "",INDEX(EmployeeData[Exit Reason], ROW() - 37)),"")</f>
        <v/>
      </c>
      <c r="J2355" s="4" t="str" cm="1">
        <f t="array" ref="J2355">IFERROR(INDEX(EmployeeData[Status], ROW() - 37), "")</f>
        <v/>
      </c>
    </row>
    <row r="2356" spans="2:10" ht="19.95" customHeight="1" x14ac:dyDescent="0.3">
      <c r="B2356" s="4" t="str" cm="1">
        <f t="array" ref="B2356">IFERROR(INDEX(EmployeeData[Employee ID], ROW() - 37), "")</f>
        <v/>
      </c>
      <c r="C2356" s="4" t="str" cm="1">
        <f t="array" ref="C2356">IFERROR(INDEX(EmployeeData[Full Name], ROW() - 37), "")</f>
        <v/>
      </c>
      <c r="D2356" s="4" t="str" cm="1">
        <f t="array" ref="D2356">IFERROR(INDEX(EmployeeData[Department], ROW() - 37), "")</f>
        <v/>
      </c>
      <c r="E2356" s="4" t="str" cm="1">
        <f t="array" ref="E2356">IFERROR(INDEX(EmployeeData[Gender], ROW() - 37), "")</f>
        <v/>
      </c>
      <c r="F2356" s="4" t="str" cm="1">
        <f t="array" ref="F2356">IFERROR(INDEX(EmployeeData[Age], ROW() - 37), "")</f>
        <v/>
      </c>
      <c r="G2356" s="6" t="str" cm="1">
        <f t="array" ref="G2356">IFERROR(INDEX(EmployeeData[Join Date], ROW() - 37), "")</f>
        <v/>
      </c>
      <c r="H2356" s="6" t="str" cm="1">
        <f t="array" ref="H2356">IFERROR(IF(INDEX(EmployeeData[Exit Date], ROW() - 37)=0, "",INDEX(EmployeeData[Exit Date], ROW() - 37)),"")</f>
        <v/>
      </c>
      <c r="I2356" s="4" t="str" cm="1">
        <f t="array" ref="I2356">IFERROR(IF(INDEX(EmployeeData[Exit Reason], ROW() - 37)=0, "",INDEX(EmployeeData[Exit Reason], ROW() - 37)),"")</f>
        <v/>
      </c>
      <c r="J2356" s="4" t="str" cm="1">
        <f t="array" ref="J2356">IFERROR(INDEX(EmployeeData[Status], ROW() - 37), "")</f>
        <v/>
      </c>
    </row>
    <row r="2357" spans="2:10" ht="19.95" customHeight="1" x14ac:dyDescent="0.3">
      <c r="B2357" s="4" t="str" cm="1">
        <f t="array" ref="B2357">IFERROR(INDEX(EmployeeData[Employee ID], ROW() - 37), "")</f>
        <v/>
      </c>
      <c r="C2357" s="4" t="str" cm="1">
        <f t="array" ref="C2357">IFERROR(INDEX(EmployeeData[Full Name], ROW() - 37), "")</f>
        <v/>
      </c>
      <c r="D2357" s="4" t="str" cm="1">
        <f t="array" ref="D2357">IFERROR(INDEX(EmployeeData[Department], ROW() - 37), "")</f>
        <v/>
      </c>
      <c r="E2357" s="4" t="str" cm="1">
        <f t="array" ref="E2357">IFERROR(INDEX(EmployeeData[Gender], ROW() - 37), "")</f>
        <v/>
      </c>
      <c r="F2357" s="4" t="str" cm="1">
        <f t="array" ref="F2357">IFERROR(INDEX(EmployeeData[Age], ROW() - 37), "")</f>
        <v/>
      </c>
      <c r="G2357" s="6" t="str" cm="1">
        <f t="array" ref="G2357">IFERROR(INDEX(EmployeeData[Join Date], ROW() - 37), "")</f>
        <v/>
      </c>
      <c r="H2357" s="6" t="str" cm="1">
        <f t="array" ref="H2357">IFERROR(IF(INDEX(EmployeeData[Exit Date], ROW() - 37)=0, "",INDEX(EmployeeData[Exit Date], ROW() - 37)),"")</f>
        <v/>
      </c>
      <c r="I2357" s="4" t="str" cm="1">
        <f t="array" ref="I2357">IFERROR(IF(INDEX(EmployeeData[Exit Reason], ROW() - 37)=0, "",INDEX(EmployeeData[Exit Reason], ROW() - 37)),"")</f>
        <v/>
      </c>
      <c r="J2357" s="4" t="str" cm="1">
        <f t="array" ref="J2357">IFERROR(INDEX(EmployeeData[Status], ROW() - 37), "")</f>
        <v/>
      </c>
    </row>
    <row r="2358" spans="2:10" ht="19.95" customHeight="1" x14ac:dyDescent="0.3">
      <c r="B2358" s="4" t="str" cm="1">
        <f t="array" ref="B2358">IFERROR(INDEX(EmployeeData[Employee ID], ROW() - 37), "")</f>
        <v/>
      </c>
      <c r="C2358" s="4" t="str" cm="1">
        <f t="array" ref="C2358">IFERROR(INDEX(EmployeeData[Full Name], ROW() - 37), "")</f>
        <v/>
      </c>
      <c r="D2358" s="4" t="str" cm="1">
        <f t="array" ref="D2358">IFERROR(INDEX(EmployeeData[Department], ROW() - 37), "")</f>
        <v/>
      </c>
      <c r="E2358" s="4" t="str" cm="1">
        <f t="array" ref="E2358">IFERROR(INDEX(EmployeeData[Gender], ROW() - 37), "")</f>
        <v/>
      </c>
      <c r="F2358" s="4" t="str" cm="1">
        <f t="array" ref="F2358">IFERROR(INDEX(EmployeeData[Age], ROW() - 37), "")</f>
        <v/>
      </c>
      <c r="G2358" s="6" t="str" cm="1">
        <f t="array" ref="G2358">IFERROR(INDEX(EmployeeData[Join Date], ROW() - 37), "")</f>
        <v/>
      </c>
      <c r="H2358" s="6" t="str" cm="1">
        <f t="array" ref="H2358">IFERROR(IF(INDEX(EmployeeData[Exit Date], ROW() - 37)=0, "",INDEX(EmployeeData[Exit Date], ROW() - 37)),"")</f>
        <v/>
      </c>
      <c r="I2358" s="4" t="str" cm="1">
        <f t="array" ref="I2358">IFERROR(IF(INDEX(EmployeeData[Exit Reason], ROW() - 37)=0, "",INDEX(EmployeeData[Exit Reason], ROW() - 37)),"")</f>
        <v/>
      </c>
      <c r="J2358" s="4" t="str" cm="1">
        <f t="array" ref="J2358">IFERROR(INDEX(EmployeeData[Status], ROW() - 37), "")</f>
        <v/>
      </c>
    </row>
    <row r="2359" spans="2:10" ht="19.95" customHeight="1" x14ac:dyDescent="0.3">
      <c r="B2359" s="4" t="str" cm="1">
        <f t="array" ref="B2359">IFERROR(INDEX(EmployeeData[Employee ID], ROW() - 37), "")</f>
        <v/>
      </c>
      <c r="C2359" s="4" t="str" cm="1">
        <f t="array" ref="C2359">IFERROR(INDEX(EmployeeData[Full Name], ROW() - 37), "")</f>
        <v/>
      </c>
      <c r="D2359" s="4" t="str" cm="1">
        <f t="array" ref="D2359">IFERROR(INDEX(EmployeeData[Department], ROW() - 37), "")</f>
        <v/>
      </c>
      <c r="E2359" s="4" t="str" cm="1">
        <f t="array" ref="E2359">IFERROR(INDEX(EmployeeData[Gender], ROW() - 37), "")</f>
        <v/>
      </c>
      <c r="F2359" s="4" t="str" cm="1">
        <f t="array" ref="F2359">IFERROR(INDEX(EmployeeData[Age], ROW() - 37), "")</f>
        <v/>
      </c>
      <c r="G2359" s="6" t="str" cm="1">
        <f t="array" ref="G2359">IFERROR(INDEX(EmployeeData[Join Date], ROW() - 37), "")</f>
        <v/>
      </c>
      <c r="H2359" s="6" t="str" cm="1">
        <f t="array" ref="H2359">IFERROR(IF(INDEX(EmployeeData[Exit Date], ROW() - 37)=0, "",INDEX(EmployeeData[Exit Date], ROW() - 37)),"")</f>
        <v/>
      </c>
      <c r="I2359" s="4" t="str" cm="1">
        <f t="array" ref="I2359">IFERROR(IF(INDEX(EmployeeData[Exit Reason], ROW() - 37)=0, "",INDEX(EmployeeData[Exit Reason], ROW() - 37)),"")</f>
        <v/>
      </c>
      <c r="J2359" s="4" t="str" cm="1">
        <f t="array" ref="J2359">IFERROR(INDEX(EmployeeData[Status], ROW() - 37), "")</f>
        <v/>
      </c>
    </row>
    <row r="2360" spans="2:10" ht="19.95" customHeight="1" x14ac:dyDescent="0.3">
      <c r="B2360" s="4" t="str" cm="1">
        <f t="array" ref="B2360">IFERROR(INDEX(EmployeeData[Employee ID], ROW() - 37), "")</f>
        <v/>
      </c>
      <c r="C2360" s="4" t="str" cm="1">
        <f t="array" ref="C2360">IFERROR(INDEX(EmployeeData[Full Name], ROW() - 37), "")</f>
        <v/>
      </c>
      <c r="D2360" s="4" t="str" cm="1">
        <f t="array" ref="D2360">IFERROR(INDEX(EmployeeData[Department], ROW() - 37), "")</f>
        <v/>
      </c>
      <c r="E2360" s="4" t="str" cm="1">
        <f t="array" ref="E2360">IFERROR(INDEX(EmployeeData[Gender], ROW() - 37), "")</f>
        <v/>
      </c>
      <c r="F2360" s="4" t="str" cm="1">
        <f t="array" ref="F2360">IFERROR(INDEX(EmployeeData[Age], ROW() - 37), "")</f>
        <v/>
      </c>
      <c r="G2360" s="6" t="str" cm="1">
        <f t="array" ref="G2360">IFERROR(INDEX(EmployeeData[Join Date], ROW() - 37), "")</f>
        <v/>
      </c>
      <c r="H2360" s="6" t="str" cm="1">
        <f t="array" ref="H2360">IFERROR(IF(INDEX(EmployeeData[Exit Date], ROW() - 37)=0, "",INDEX(EmployeeData[Exit Date], ROW() - 37)),"")</f>
        <v/>
      </c>
      <c r="I2360" s="4" t="str" cm="1">
        <f t="array" ref="I2360">IFERROR(IF(INDEX(EmployeeData[Exit Reason], ROW() - 37)=0, "",INDEX(EmployeeData[Exit Reason], ROW() - 37)),"")</f>
        <v/>
      </c>
      <c r="J2360" s="4" t="str" cm="1">
        <f t="array" ref="J2360">IFERROR(INDEX(EmployeeData[Status], ROW() - 37), "")</f>
        <v/>
      </c>
    </row>
    <row r="2361" spans="2:10" ht="19.95" customHeight="1" x14ac:dyDescent="0.3">
      <c r="B2361" s="4" t="str" cm="1">
        <f t="array" ref="B2361">IFERROR(INDEX(EmployeeData[Employee ID], ROW() - 37), "")</f>
        <v/>
      </c>
      <c r="C2361" s="4" t="str" cm="1">
        <f t="array" ref="C2361">IFERROR(INDEX(EmployeeData[Full Name], ROW() - 37), "")</f>
        <v/>
      </c>
      <c r="D2361" s="4" t="str" cm="1">
        <f t="array" ref="D2361">IFERROR(INDEX(EmployeeData[Department], ROW() - 37), "")</f>
        <v/>
      </c>
      <c r="E2361" s="4" t="str" cm="1">
        <f t="array" ref="E2361">IFERROR(INDEX(EmployeeData[Gender], ROW() - 37), "")</f>
        <v/>
      </c>
      <c r="F2361" s="4" t="str" cm="1">
        <f t="array" ref="F2361">IFERROR(INDEX(EmployeeData[Age], ROW() - 37), "")</f>
        <v/>
      </c>
      <c r="G2361" s="6" t="str" cm="1">
        <f t="array" ref="G2361">IFERROR(INDEX(EmployeeData[Join Date], ROW() - 37), "")</f>
        <v/>
      </c>
      <c r="H2361" s="6" t="str" cm="1">
        <f t="array" ref="H2361">IFERROR(IF(INDEX(EmployeeData[Exit Date], ROW() - 37)=0, "",INDEX(EmployeeData[Exit Date], ROW() - 37)),"")</f>
        <v/>
      </c>
      <c r="I2361" s="4" t="str" cm="1">
        <f t="array" ref="I2361">IFERROR(IF(INDEX(EmployeeData[Exit Reason], ROW() - 37)=0, "",INDEX(EmployeeData[Exit Reason], ROW() - 37)),"")</f>
        <v/>
      </c>
      <c r="J2361" s="4" t="str" cm="1">
        <f t="array" ref="J2361">IFERROR(INDEX(EmployeeData[Status], ROW() - 37), "")</f>
        <v/>
      </c>
    </row>
    <row r="2362" spans="2:10" ht="19.95" customHeight="1" x14ac:dyDescent="0.3">
      <c r="B2362" s="4" t="str" cm="1">
        <f t="array" ref="B2362">IFERROR(INDEX(EmployeeData[Employee ID], ROW() - 37), "")</f>
        <v/>
      </c>
      <c r="C2362" s="4" t="str" cm="1">
        <f t="array" ref="C2362">IFERROR(INDEX(EmployeeData[Full Name], ROW() - 37), "")</f>
        <v/>
      </c>
      <c r="D2362" s="4" t="str" cm="1">
        <f t="array" ref="D2362">IFERROR(INDEX(EmployeeData[Department], ROW() - 37), "")</f>
        <v/>
      </c>
      <c r="E2362" s="4" t="str" cm="1">
        <f t="array" ref="E2362">IFERROR(INDEX(EmployeeData[Gender], ROW() - 37), "")</f>
        <v/>
      </c>
      <c r="F2362" s="4" t="str" cm="1">
        <f t="array" ref="F2362">IFERROR(INDEX(EmployeeData[Age], ROW() - 37), "")</f>
        <v/>
      </c>
      <c r="G2362" s="6" t="str" cm="1">
        <f t="array" ref="G2362">IFERROR(INDEX(EmployeeData[Join Date], ROW() - 37), "")</f>
        <v/>
      </c>
      <c r="H2362" s="6" t="str" cm="1">
        <f t="array" ref="H2362">IFERROR(IF(INDEX(EmployeeData[Exit Date], ROW() - 37)=0, "",INDEX(EmployeeData[Exit Date], ROW() - 37)),"")</f>
        <v/>
      </c>
      <c r="I2362" s="4" t="str" cm="1">
        <f t="array" ref="I2362">IFERROR(IF(INDEX(EmployeeData[Exit Reason], ROW() - 37)=0, "",INDEX(EmployeeData[Exit Reason], ROW() - 37)),"")</f>
        <v/>
      </c>
      <c r="J2362" s="4" t="str" cm="1">
        <f t="array" ref="J2362">IFERROR(INDEX(EmployeeData[Status], ROW() - 37), "")</f>
        <v/>
      </c>
    </row>
    <row r="2363" spans="2:10" ht="19.95" customHeight="1" x14ac:dyDescent="0.3">
      <c r="B2363" s="4" t="str" cm="1">
        <f t="array" ref="B2363">IFERROR(INDEX(EmployeeData[Employee ID], ROW() - 37), "")</f>
        <v/>
      </c>
      <c r="C2363" s="4" t="str" cm="1">
        <f t="array" ref="C2363">IFERROR(INDEX(EmployeeData[Full Name], ROW() - 37), "")</f>
        <v/>
      </c>
      <c r="D2363" s="4" t="str" cm="1">
        <f t="array" ref="D2363">IFERROR(INDEX(EmployeeData[Department], ROW() - 37), "")</f>
        <v/>
      </c>
      <c r="E2363" s="4" t="str" cm="1">
        <f t="array" ref="E2363">IFERROR(INDEX(EmployeeData[Gender], ROW() - 37), "")</f>
        <v/>
      </c>
      <c r="F2363" s="4" t="str" cm="1">
        <f t="array" ref="F2363">IFERROR(INDEX(EmployeeData[Age], ROW() - 37), "")</f>
        <v/>
      </c>
      <c r="G2363" s="6" t="str" cm="1">
        <f t="array" ref="G2363">IFERROR(INDEX(EmployeeData[Join Date], ROW() - 37), "")</f>
        <v/>
      </c>
      <c r="H2363" s="6" t="str" cm="1">
        <f t="array" ref="H2363">IFERROR(IF(INDEX(EmployeeData[Exit Date], ROW() - 37)=0, "",INDEX(EmployeeData[Exit Date], ROW() - 37)),"")</f>
        <v/>
      </c>
      <c r="I2363" s="4" t="str" cm="1">
        <f t="array" ref="I2363">IFERROR(IF(INDEX(EmployeeData[Exit Reason], ROW() - 37)=0, "",INDEX(EmployeeData[Exit Reason], ROW() - 37)),"")</f>
        <v/>
      </c>
      <c r="J2363" s="4" t="str" cm="1">
        <f t="array" ref="J2363">IFERROR(INDEX(EmployeeData[Status], ROW() - 37), "")</f>
        <v/>
      </c>
    </row>
    <row r="2364" spans="2:10" ht="19.95" customHeight="1" x14ac:dyDescent="0.3">
      <c r="B2364" s="4" t="str" cm="1">
        <f t="array" ref="B2364">IFERROR(INDEX(EmployeeData[Employee ID], ROW() - 37), "")</f>
        <v/>
      </c>
      <c r="C2364" s="4" t="str" cm="1">
        <f t="array" ref="C2364">IFERROR(INDEX(EmployeeData[Full Name], ROW() - 37), "")</f>
        <v/>
      </c>
      <c r="D2364" s="4" t="str" cm="1">
        <f t="array" ref="D2364">IFERROR(INDEX(EmployeeData[Department], ROW() - 37), "")</f>
        <v/>
      </c>
      <c r="E2364" s="4" t="str" cm="1">
        <f t="array" ref="E2364">IFERROR(INDEX(EmployeeData[Gender], ROW() - 37), "")</f>
        <v/>
      </c>
      <c r="F2364" s="4" t="str" cm="1">
        <f t="array" ref="F2364">IFERROR(INDEX(EmployeeData[Age], ROW() - 37), "")</f>
        <v/>
      </c>
      <c r="G2364" s="6" t="str" cm="1">
        <f t="array" ref="G2364">IFERROR(INDEX(EmployeeData[Join Date], ROW() - 37), "")</f>
        <v/>
      </c>
      <c r="H2364" s="6" t="str" cm="1">
        <f t="array" ref="H2364">IFERROR(IF(INDEX(EmployeeData[Exit Date], ROW() - 37)=0, "",INDEX(EmployeeData[Exit Date], ROW() - 37)),"")</f>
        <v/>
      </c>
      <c r="I2364" s="4" t="str" cm="1">
        <f t="array" ref="I2364">IFERROR(IF(INDEX(EmployeeData[Exit Reason], ROW() - 37)=0, "",INDEX(EmployeeData[Exit Reason], ROW() - 37)),"")</f>
        <v/>
      </c>
      <c r="J2364" s="4" t="str" cm="1">
        <f t="array" ref="J2364">IFERROR(INDEX(EmployeeData[Status], ROW() - 37), "")</f>
        <v/>
      </c>
    </row>
    <row r="2365" spans="2:10" ht="19.95" customHeight="1" x14ac:dyDescent="0.3">
      <c r="B2365" s="4" t="str" cm="1">
        <f t="array" ref="B2365">IFERROR(INDEX(EmployeeData[Employee ID], ROW() - 37), "")</f>
        <v/>
      </c>
      <c r="C2365" s="4" t="str" cm="1">
        <f t="array" ref="C2365">IFERROR(INDEX(EmployeeData[Full Name], ROW() - 37), "")</f>
        <v/>
      </c>
      <c r="D2365" s="4" t="str" cm="1">
        <f t="array" ref="D2365">IFERROR(INDEX(EmployeeData[Department], ROW() - 37), "")</f>
        <v/>
      </c>
      <c r="E2365" s="4" t="str" cm="1">
        <f t="array" ref="E2365">IFERROR(INDEX(EmployeeData[Gender], ROW() - 37), "")</f>
        <v/>
      </c>
      <c r="F2365" s="4" t="str" cm="1">
        <f t="array" ref="F2365">IFERROR(INDEX(EmployeeData[Age], ROW() - 37), "")</f>
        <v/>
      </c>
      <c r="G2365" s="6" t="str" cm="1">
        <f t="array" ref="G2365">IFERROR(INDEX(EmployeeData[Join Date], ROW() - 37), "")</f>
        <v/>
      </c>
      <c r="H2365" s="6" t="str" cm="1">
        <f t="array" ref="H2365">IFERROR(IF(INDEX(EmployeeData[Exit Date], ROW() - 37)=0, "",INDEX(EmployeeData[Exit Date], ROW() - 37)),"")</f>
        <v/>
      </c>
      <c r="I2365" s="4" t="str" cm="1">
        <f t="array" ref="I2365">IFERROR(IF(INDEX(EmployeeData[Exit Reason], ROW() - 37)=0, "",INDEX(EmployeeData[Exit Reason], ROW() - 37)),"")</f>
        <v/>
      </c>
      <c r="J2365" s="4" t="str" cm="1">
        <f t="array" ref="J2365">IFERROR(INDEX(EmployeeData[Status], ROW() - 37), "")</f>
        <v/>
      </c>
    </row>
    <row r="2366" spans="2:10" ht="19.95" customHeight="1" x14ac:dyDescent="0.3">
      <c r="B2366" s="4" t="str" cm="1">
        <f t="array" ref="B2366">IFERROR(INDEX(EmployeeData[Employee ID], ROW() - 37), "")</f>
        <v/>
      </c>
      <c r="C2366" s="4" t="str" cm="1">
        <f t="array" ref="C2366">IFERROR(INDEX(EmployeeData[Full Name], ROW() - 37), "")</f>
        <v/>
      </c>
      <c r="D2366" s="4" t="str" cm="1">
        <f t="array" ref="D2366">IFERROR(INDEX(EmployeeData[Department], ROW() - 37), "")</f>
        <v/>
      </c>
      <c r="E2366" s="4" t="str" cm="1">
        <f t="array" ref="E2366">IFERROR(INDEX(EmployeeData[Gender], ROW() - 37), "")</f>
        <v/>
      </c>
      <c r="F2366" s="4" t="str" cm="1">
        <f t="array" ref="F2366">IFERROR(INDEX(EmployeeData[Age], ROW() - 37), "")</f>
        <v/>
      </c>
      <c r="G2366" s="6" t="str" cm="1">
        <f t="array" ref="G2366">IFERROR(INDEX(EmployeeData[Join Date], ROW() - 37), "")</f>
        <v/>
      </c>
      <c r="H2366" s="6" t="str" cm="1">
        <f t="array" ref="H2366">IFERROR(IF(INDEX(EmployeeData[Exit Date], ROW() - 37)=0, "",INDEX(EmployeeData[Exit Date], ROW() - 37)),"")</f>
        <v/>
      </c>
      <c r="I2366" s="4" t="str" cm="1">
        <f t="array" ref="I2366">IFERROR(IF(INDEX(EmployeeData[Exit Reason], ROW() - 37)=0, "",INDEX(EmployeeData[Exit Reason], ROW() - 37)),"")</f>
        <v/>
      </c>
      <c r="J2366" s="4" t="str" cm="1">
        <f t="array" ref="J2366">IFERROR(INDEX(EmployeeData[Status], ROW() - 37), "")</f>
        <v/>
      </c>
    </row>
    <row r="2367" spans="2:10" ht="19.95" customHeight="1" x14ac:dyDescent="0.3">
      <c r="B2367" s="4" t="str" cm="1">
        <f t="array" ref="B2367">IFERROR(INDEX(EmployeeData[Employee ID], ROW() - 37), "")</f>
        <v/>
      </c>
      <c r="C2367" s="4" t="str" cm="1">
        <f t="array" ref="C2367">IFERROR(INDEX(EmployeeData[Full Name], ROW() - 37), "")</f>
        <v/>
      </c>
      <c r="D2367" s="4" t="str" cm="1">
        <f t="array" ref="D2367">IFERROR(INDEX(EmployeeData[Department], ROW() - 37), "")</f>
        <v/>
      </c>
      <c r="E2367" s="4" t="str" cm="1">
        <f t="array" ref="E2367">IFERROR(INDEX(EmployeeData[Gender], ROW() - 37), "")</f>
        <v/>
      </c>
      <c r="F2367" s="4" t="str" cm="1">
        <f t="array" ref="F2367">IFERROR(INDEX(EmployeeData[Age], ROW() - 37), "")</f>
        <v/>
      </c>
      <c r="G2367" s="6" t="str" cm="1">
        <f t="array" ref="G2367">IFERROR(INDEX(EmployeeData[Join Date], ROW() - 37), "")</f>
        <v/>
      </c>
      <c r="H2367" s="6" t="str" cm="1">
        <f t="array" ref="H2367">IFERROR(IF(INDEX(EmployeeData[Exit Date], ROW() - 37)=0, "",INDEX(EmployeeData[Exit Date], ROW() - 37)),"")</f>
        <v/>
      </c>
      <c r="I2367" s="4" t="str" cm="1">
        <f t="array" ref="I2367">IFERROR(IF(INDEX(EmployeeData[Exit Reason], ROW() - 37)=0, "",INDEX(EmployeeData[Exit Reason], ROW() - 37)),"")</f>
        <v/>
      </c>
      <c r="J2367" s="4" t="str" cm="1">
        <f t="array" ref="J2367">IFERROR(INDEX(EmployeeData[Status], ROW() - 37), "")</f>
        <v/>
      </c>
    </row>
    <row r="2368" spans="2:10" ht="19.95" customHeight="1" x14ac:dyDescent="0.3">
      <c r="B2368" s="4" t="str" cm="1">
        <f t="array" ref="B2368">IFERROR(INDEX(EmployeeData[Employee ID], ROW() - 37), "")</f>
        <v/>
      </c>
      <c r="C2368" s="4" t="str" cm="1">
        <f t="array" ref="C2368">IFERROR(INDEX(EmployeeData[Full Name], ROW() - 37), "")</f>
        <v/>
      </c>
      <c r="D2368" s="4" t="str" cm="1">
        <f t="array" ref="D2368">IFERROR(INDEX(EmployeeData[Department], ROW() - 37), "")</f>
        <v/>
      </c>
      <c r="E2368" s="4" t="str" cm="1">
        <f t="array" ref="E2368">IFERROR(INDEX(EmployeeData[Gender], ROW() - 37), "")</f>
        <v/>
      </c>
      <c r="F2368" s="4" t="str" cm="1">
        <f t="array" ref="F2368">IFERROR(INDEX(EmployeeData[Age], ROW() - 37), "")</f>
        <v/>
      </c>
      <c r="G2368" s="6" t="str" cm="1">
        <f t="array" ref="G2368">IFERROR(INDEX(EmployeeData[Join Date], ROW() - 37), "")</f>
        <v/>
      </c>
      <c r="H2368" s="6" t="str" cm="1">
        <f t="array" ref="H2368">IFERROR(IF(INDEX(EmployeeData[Exit Date], ROW() - 37)=0, "",INDEX(EmployeeData[Exit Date], ROW() - 37)),"")</f>
        <v/>
      </c>
      <c r="I2368" s="4" t="str" cm="1">
        <f t="array" ref="I2368">IFERROR(IF(INDEX(EmployeeData[Exit Reason], ROW() - 37)=0, "",INDEX(EmployeeData[Exit Reason], ROW() - 37)),"")</f>
        <v/>
      </c>
      <c r="J2368" s="4" t="str" cm="1">
        <f t="array" ref="J2368">IFERROR(INDEX(EmployeeData[Status], ROW() - 37), "")</f>
        <v/>
      </c>
    </row>
    <row r="2369" spans="2:10" ht="19.95" customHeight="1" x14ac:dyDescent="0.3">
      <c r="B2369" s="4" t="str" cm="1">
        <f t="array" ref="B2369">IFERROR(INDEX(EmployeeData[Employee ID], ROW() - 37), "")</f>
        <v/>
      </c>
      <c r="C2369" s="4" t="str" cm="1">
        <f t="array" ref="C2369">IFERROR(INDEX(EmployeeData[Full Name], ROW() - 37), "")</f>
        <v/>
      </c>
      <c r="D2369" s="4" t="str" cm="1">
        <f t="array" ref="D2369">IFERROR(INDEX(EmployeeData[Department], ROW() - 37), "")</f>
        <v/>
      </c>
      <c r="E2369" s="4" t="str" cm="1">
        <f t="array" ref="E2369">IFERROR(INDEX(EmployeeData[Gender], ROW() - 37), "")</f>
        <v/>
      </c>
      <c r="F2369" s="4" t="str" cm="1">
        <f t="array" ref="F2369">IFERROR(INDEX(EmployeeData[Age], ROW() - 37), "")</f>
        <v/>
      </c>
      <c r="G2369" s="6" t="str" cm="1">
        <f t="array" ref="G2369">IFERROR(INDEX(EmployeeData[Join Date], ROW() - 37), "")</f>
        <v/>
      </c>
      <c r="H2369" s="6" t="str" cm="1">
        <f t="array" ref="H2369">IFERROR(IF(INDEX(EmployeeData[Exit Date], ROW() - 37)=0, "",INDEX(EmployeeData[Exit Date], ROW() - 37)),"")</f>
        <v/>
      </c>
      <c r="I2369" s="4" t="str" cm="1">
        <f t="array" ref="I2369">IFERROR(IF(INDEX(EmployeeData[Exit Reason], ROW() - 37)=0, "",INDEX(EmployeeData[Exit Reason], ROW() - 37)),"")</f>
        <v/>
      </c>
      <c r="J2369" s="4" t="str" cm="1">
        <f t="array" ref="J2369">IFERROR(INDEX(EmployeeData[Status], ROW() - 37), "")</f>
        <v/>
      </c>
    </row>
    <row r="2370" spans="2:10" ht="19.95" customHeight="1" x14ac:dyDescent="0.3">
      <c r="B2370" s="4" t="str" cm="1">
        <f t="array" ref="B2370">IFERROR(INDEX(EmployeeData[Employee ID], ROW() - 37), "")</f>
        <v/>
      </c>
      <c r="C2370" s="4" t="str" cm="1">
        <f t="array" ref="C2370">IFERROR(INDEX(EmployeeData[Full Name], ROW() - 37), "")</f>
        <v/>
      </c>
      <c r="D2370" s="4" t="str" cm="1">
        <f t="array" ref="D2370">IFERROR(INDEX(EmployeeData[Department], ROW() - 37), "")</f>
        <v/>
      </c>
      <c r="E2370" s="4" t="str" cm="1">
        <f t="array" ref="E2370">IFERROR(INDEX(EmployeeData[Gender], ROW() - 37), "")</f>
        <v/>
      </c>
      <c r="F2370" s="4" t="str" cm="1">
        <f t="array" ref="F2370">IFERROR(INDEX(EmployeeData[Age], ROW() - 37), "")</f>
        <v/>
      </c>
      <c r="G2370" s="6" t="str" cm="1">
        <f t="array" ref="G2370">IFERROR(INDEX(EmployeeData[Join Date], ROW() - 37), "")</f>
        <v/>
      </c>
      <c r="H2370" s="6" t="str" cm="1">
        <f t="array" ref="H2370">IFERROR(IF(INDEX(EmployeeData[Exit Date], ROW() - 37)=0, "",INDEX(EmployeeData[Exit Date], ROW() - 37)),"")</f>
        <v/>
      </c>
      <c r="I2370" s="4" t="str" cm="1">
        <f t="array" ref="I2370">IFERROR(IF(INDEX(EmployeeData[Exit Reason], ROW() - 37)=0, "",INDEX(EmployeeData[Exit Reason], ROW() - 37)),"")</f>
        <v/>
      </c>
      <c r="J2370" s="4" t="str" cm="1">
        <f t="array" ref="J2370">IFERROR(INDEX(EmployeeData[Status], ROW() - 37), "")</f>
        <v/>
      </c>
    </row>
    <row r="2371" spans="2:10" ht="19.95" customHeight="1" x14ac:dyDescent="0.3">
      <c r="B2371" s="4" t="str" cm="1">
        <f t="array" ref="B2371">IFERROR(INDEX(EmployeeData[Employee ID], ROW() - 37), "")</f>
        <v/>
      </c>
      <c r="C2371" s="4" t="str" cm="1">
        <f t="array" ref="C2371">IFERROR(INDEX(EmployeeData[Full Name], ROW() - 37), "")</f>
        <v/>
      </c>
      <c r="D2371" s="4" t="str" cm="1">
        <f t="array" ref="D2371">IFERROR(INDEX(EmployeeData[Department], ROW() - 37), "")</f>
        <v/>
      </c>
      <c r="E2371" s="4" t="str" cm="1">
        <f t="array" ref="E2371">IFERROR(INDEX(EmployeeData[Gender], ROW() - 37), "")</f>
        <v/>
      </c>
      <c r="F2371" s="4" t="str" cm="1">
        <f t="array" ref="F2371">IFERROR(INDEX(EmployeeData[Age], ROW() - 37), "")</f>
        <v/>
      </c>
      <c r="G2371" s="6" t="str" cm="1">
        <f t="array" ref="G2371">IFERROR(INDEX(EmployeeData[Join Date], ROW() - 37), "")</f>
        <v/>
      </c>
      <c r="H2371" s="6" t="str" cm="1">
        <f t="array" ref="H2371">IFERROR(IF(INDEX(EmployeeData[Exit Date], ROW() - 37)=0, "",INDEX(EmployeeData[Exit Date], ROW() - 37)),"")</f>
        <v/>
      </c>
      <c r="I2371" s="4" t="str" cm="1">
        <f t="array" ref="I2371">IFERROR(IF(INDEX(EmployeeData[Exit Reason], ROW() - 37)=0, "",INDEX(EmployeeData[Exit Reason], ROW() - 37)),"")</f>
        <v/>
      </c>
      <c r="J2371" s="4" t="str" cm="1">
        <f t="array" ref="J2371">IFERROR(INDEX(EmployeeData[Status], ROW() - 37), "")</f>
        <v/>
      </c>
    </row>
    <row r="2372" spans="2:10" ht="19.95" customHeight="1" x14ac:dyDescent="0.3">
      <c r="B2372" s="4" t="str" cm="1">
        <f t="array" ref="B2372">IFERROR(INDEX(EmployeeData[Employee ID], ROW() - 37), "")</f>
        <v/>
      </c>
      <c r="C2372" s="4" t="str" cm="1">
        <f t="array" ref="C2372">IFERROR(INDEX(EmployeeData[Full Name], ROW() - 37), "")</f>
        <v/>
      </c>
      <c r="D2372" s="4" t="str" cm="1">
        <f t="array" ref="D2372">IFERROR(INDEX(EmployeeData[Department], ROW() - 37), "")</f>
        <v/>
      </c>
      <c r="E2372" s="4" t="str" cm="1">
        <f t="array" ref="E2372">IFERROR(INDEX(EmployeeData[Gender], ROW() - 37), "")</f>
        <v/>
      </c>
      <c r="F2372" s="4" t="str" cm="1">
        <f t="array" ref="F2372">IFERROR(INDEX(EmployeeData[Age], ROW() - 37), "")</f>
        <v/>
      </c>
      <c r="G2372" s="6" t="str" cm="1">
        <f t="array" ref="G2372">IFERROR(INDEX(EmployeeData[Join Date], ROW() - 37), "")</f>
        <v/>
      </c>
      <c r="H2372" s="6" t="str" cm="1">
        <f t="array" ref="H2372">IFERROR(IF(INDEX(EmployeeData[Exit Date], ROW() - 37)=0, "",INDEX(EmployeeData[Exit Date], ROW() - 37)),"")</f>
        <v/>
      </c>
      <c r="I2372" s="4" t="str" cm="1">
        <f t="array" ref="I2372">IFERROR(IF(INDEX(EmployeeData[Exit Reason], ROW() - 37)=0, "",INDEX(EmployeeData[Exit Reason], ROW() - 37)),"")</f>
        <v/>
      </c>
      <c r="J2372" s="4" t="str" cm="1">
        <f t="array" ref="J2372">IFERROR(INDEX(EmployeeData[Status], ROW() - 37), "")</f>
        <v/>
      </c>
    </row>
    <row r="2373" spans="2:10" ht="19.95" customHeight="1" x14ac:dyDescent="0.3">
      <c r="B2373" s="4" t="str" cm="1">
        <f t="array" ref="B2373">IFERROR(INDEX(EmployeeData[Employee ID], ROW() - 37), "")</f>
        <v/>
      </c>
      <c r="C2373" s="4" t="str" cm="1">
        <f t="array" ref="C2373">IFERROR(INDEX(EmployeeData[Full Name], ROW() - 37), "")</f>
        <v/>
      </c>
      <c r="D2373" s="4" t="str" cm="1">
        <f t="array" ref="D2373">IFERROR(INDEX(EmployeeData[Department], ROW() - 37), "")</f>
        <v/>
      </c>
      <c r="E2373" s="4" t="str" cm="1">
        <f t="array" ref="E2373">IFERROR(INDEX(EmployeeData[Gender], ROW() - 37), "")</f>
        <v/>
      </c>
      <c r="F2373" s="4" t="str" cm="1">
        <f t="array" ref="F2373">IFERROR(INDEX(EmployeeData[Age], ROW() - 37), "")</f>
        <v/>
      </c>
      <c r="G2373" s="6" t="str" cm="1">
        <f t="array" ref="G2373">IFERROR(INDEX(EmployeeData[Join Date], ROW() - 37), "")</f>
        <v/>
      </c>
      <c r="H2373" s="6" t="str" cm="1">
        <f t="array" ref="H2373">IFERROR(IF(INDEX(EmployeeData[Exit Date], ROW() - 37)=0, "",INDEX(EmployeeData[Exit Date], ROW() - 37)),"")</f>
        <v/>
      </c>
      <c r="I2373" s="4" t="str" cm="1">
        <f t="array" ref="I2373">IFERROR(IF(INDEX(EmployeeData[Exit Reason], ROW() - 37)=0, "",INDEX(EmployeeData[Exit Reason], ROW() - 37)),"")</f>
        <v/>
      </c>
      <c r="J2373" s="4" t="str" cm="1">
        <f t="array" ref="J2373">IFERROR(INDEX(EmployeeData[Status], ROW() - 37), "")</f>
        <v/>
      </c>
    </row>
    <row r="2374" spans="2:10" ht="19.95" customHeight="1" x14ac:dyDescent="0.3">
      <c r="B2374" s="4" t="str" cm="1">
        <f t="array" ref="B2374">IFERROR(INDEX(EmployeeData[Employee ID], ROW() - 37), "")</f>
        <v/>
      </c>
      <c r="C2374" s="4" t="str" cm="1">
        <f t="array" ref="C2374">IFERROR(INDEX(EmployeeData[Full Name], ROW() - 37), "")</f>
        <v/>
      </c>
      <c r="D2374" s="4" t="str" cm="1">
        <f t="array" ref="D2374">IFERROR(INDEX(EmployeeData[Department], ROW() - 37), "")</f>
        <v/>
      </c>
      <c r="E2374" s="4" t="str" cm="1">
        <f t="array" ref="E2374">IFERROR(INDEX(EmployeeData[Gender], ROW() - 37), "")</f>
        <v/>
      </c>
      <c r="F2374" s="4" t="str" cm="1">
        <f t="array" ref="F2374">IFERROR(INDEX(EmployeeData[Age], ROW() - 37), "")</f>
        <v/>
      </c>
      <c r="G2374" s="6" t="str" cm="1">
        <f t="array" ref="G2374">IFERROR(INDEX(EmployeeData[Join Date], ROW() - 37), "")</f>
        <v/>
      </c>
      <c r="H2374" s="6" t="str" cm="1">
        <f t="array" ref="H2374">IFERROR(IF(INDEX(EmployeeData[Exit Date], ROW() - 37)=0, "",INDEX(EmployeeData[Exit Date], ROW() - 37)),"")</f>
        <v/>
      </c>
      <c r="I2374" s="4" t="str" cm="1">
        <f t="array" ref="I2374">IFERROR(IF(INDEX(EmployeeData[Exit Reason], ROW() - 37)=0, "",INDEX(EmployeeData[Exit Reason], ROW() - 37)),"")</f>
        <v/>
      </c>
      <c r="J2374" s="4" t="str" cm="1">
        <f t="array" ref="J2374">IFERROR(INDEX(EmployeeData[Status], ROW() - 37), "")</f>
        <v/>
      </c>
    </row>
    <row r="2375" spans="2:10" ht="19.95" customHeight="1" x14ac:dyDescent="0.3">
      <c r="B2375" s="4" t="str" cm="1">
        <f t="array" ref="B2375">IFERROR(INDEX(EmployeeData[Employee ID], ROW() - 37), "")</f>
        <v/>
      </c>
      <c r="C2375" s="4" t="str" cm="1">
        <f t="array" ref="C2375">IFERROR(INDEX(EmployeeData[Full Name], ROW() - 37), "")</f>
        <v/>
      </c>
      <c r="D2375" s="4" t="str" cm="1">
        <f t="array" ref="D2375">IFERROR(INDEX(EmployeeData[Department], ROW() - 37), "")</f>
        <v/>
      </c>
      <c r="E2375" s="4" t="str" cm="1">
        <f t="array" ref="E2375">IFERROR(INDEX(EmployeeData[Gender], ROW() - 37), "")</f>
        <v/>
      </c>
      <c r="F2375" s="4" t="str" cm="1">
        <f t="array" ref="F2375">IFERROR(INDEX(EmployeeData[Age], ROW() - 37), "")</f>
        <v/>
      </c>
      <c r="G2375" s="6" t="str" cm="1">
        <f t="array" ref="G2375">IFERROR(INDEX(EmployeeData[Join Date], ROW() - 37), "")</f>
        <v/>
      </c>
      <c r="H2375" s="6" t="str" cm="1">
        <f t="array" ref="H2375">IFERROR(IF(INDEX(EmployeeData[Exit Date], ROW() - 37)=0, "",INDEX(EmployeeData[Exit Date], ROW() - 37)),"")</f>
        <v/>
      </c>
      <c r="I2375" s="4" t="str" cm="1">
        <f t="array" ref="I2375">IFERROR(IF(INDEX(EmployeeData[Exit Reason], ROW() - 37)=0, "",INDEX(EmployeeData[Exit Reason], ROW() - 37)),"")</f>
        <v/>
      </c>
      <c r="J2375" s="4" t="str" cm="1">
        <f t="array" ref="J2375">IFERROR(INDEX(EmployeeData[Status], ROW() - 37), "")</f>
        <v/>
      </c>
    </row>
    <row r="2376" spans="2:10" ht="19.95" customHeight="1" x14ac:dyDescent="0.3">
      <c r="B2376" s="4" t="str" cm="1">
        <f t="array" ref="B2376">IFERROR(INDEX(EmployeeData[Employee ID], ROW() - 37), "")</f>
        <v/>
      </c>
      <c r="C2376" s="4" t="str" cm="1">
        <f t="array" ref="C2376">IFERROR(INDEX(EmployeeData[Full Name], ROW() - 37), "")</f>
        <v/>
      </c>
      <c r="D2376" s="4" t="str" cm="1">
        <f t="array" ref="D2376">IFERROR(INDEX(EmployeeData[Department], ROW() - 37), "")</f>
        <v/>
      </c>
      <c r="E2376" s="4" t="str" cm="1">
        <f t="array" ref="E2376">IFERROR(INDEX(EmployeeData[Gender], ROW() - 37), "")</f>
        <v/>
      </c>
      <c r="F2376" s="4" t="str" cm="1">
        <f t="array" ref="F2376">IFERROR(INDEX(EmployeeData[Age], ROW() - 37), "")</f>
        <v/>
      </c>
      <c r="G2376" s="6" t="str" cm="1">
        <f t="array" ref="G2376">IFERROR(INDEX(EmployeeData[Join Date], ROW() - 37), "")</f>
        <v/>
      </c>
      <c r="H2376" s="6" t="str" cm="1">
        <f t="array" ref="H2376">IFERROR(IF(INDEX(EmployeeData[Exit Date], ROW() - 37)=0, "",INDEX(EmployeeData[Exit Date], ROW() - 37)),"")</f>
        <v/>
      </c>
      <c r="I2376" s="4" t="str" cm="1">
        <f t="array" ref="I2376">IFERROR(IF(INDEX(EmployeeData[Exit Reason], ROW() - 37)=0, "",INDEX(EmployeeData[Exit Reason], ROW() - 37)),"")</f>
        <v/>
      </c>
      <c r="J2376" s="4" t="str" cm="1">
        <f t="array" ref="J2376">IFERROR(INDEX(EmployeeData[Status], ROW() - 37), "")</f>
        <v/>
      </c>
    </row>
    <row r="2377" spans="2:10" ht="19.95" customHeight="1" x14ac:dyDescent="0.3">
      <c r="B2377" s="4" t="str" cm="1">
        <f t="array" ref="B2377">IFERROR(INDEX(EmployeeData[Employee ID], ROW() - 37), "")</f>
        <v/>
      </c>
      <c r="C2377" s="4" t="str" cm="1">
        <f t="array" ref="C2377">IFERROR(INDEX(EmployeeData[Full Name], ROW() - 37), "")</f>
        <v/>
      </c>
      <c r="D2377" s="4" t="str" cm="1">
        <f t="array" ref="D2377">IFERROR(INDEX(EmployeeData[Department], ROW() - 37), "")</f>
        <v/>
      </c>
      <c r="E2377" s="4" t="str" cm="1">
        <f t="array" ref="E2377">IFERROR(INDEX(EmployeeData[Gender], ROW() - 37), "")</f>
        <v/>
      </c>
      <c r="F2377" s="4" t="str" cm="1">
        <f t="array" ref="F2377">IFERROR(INDEX(EmployeeData[Age], ROW() - 37), "")</f>
        <v/>
      </c>
      <c r="G2377" s="6" t="str" cm="1">
        <f t="array" ref="G2377">IFERROR(INDEX(EmployeeData[Join Date], ROW() - 37), "")</f>
        <v/>
      </c>
      <c r="H2377" s="6" t="str" cm="1">
        <f t="array" ref="H2377">IFERROR(IF(INDEX(EmployeeData[Exit Date], ROW() - 37)=0, "",INDEX(EmployeeData[Exit Date], ROW() - 37)),"")</f>
        <v/>
      </c>
      <c r="I2377" s="4" t="str" cm="1">
        <f t="array" ref="I2377">IFERROR(IF(INDEX(EmployeeData[Exit Reason], ROW() - 37)=0, "",INDEX(EmployeeData[Exit Reason], ROW() - 37)),"")</f>
        <v/>
      </c>
      <c r="J2377" s="4" t="str" cm="1">
        <f t="array" ref="J2377">IFERROR(INDEX(EmployeeData[Status], ROW() - 37), "")</f>
        <v/>
      </c>
    </row>
    <row r="2378" spans="2:10" ht="19.95" customHeight="1" x14ac:dyDescent="0.3">
      <c r="B2378" s="4" t="str" cm="1">
        <f t="array" ref="B2378">IFERROR(INDEX(EmployeeData[Employee ID], ROW() - 37), "")</f>
        <v/>
      </c>
      <c r="C2378" s="4" t="str" cm="1">
        <f t="array" ref="C2378">IFERROR(INDEX(EmployeeData[Full Name], ROW() - 37), "")</f>
        <v/>
      </c>
      <c r="D2378" s="4" t="str" cm="1">
        <f t="array" ref="D2378">IFERROR(INDEX(EmployeeData[Department], ROW() - 37), "")</f>
        <v/>
      </c>
      <c r="E2378" s="4" t="str" cm="1">
        <f t="array" ref="E2378">IFERROR(INDEX(EmployeeData[Gender], ROW() - 37), "")</f>
        <v/>
      </c>
      <c r="F2378" s="4" t="str" cm="1">
        <f t="array" ref="F2378">IFERROR(INDEX(EmployeeData[Age], ROW() - 37), "")</f>
        <v/>
      </c>
      <c r="G2378" s="6" t="str" cm="1">
        <f t="array" ref="G2378">IFERROR(INDEX(EmployeeData[Join Date], ROW() - 37), "")</f>
        <v/>
      </c>
      <c r="H2378" s="6" t="str" cm="1">
        <f t="array" ref="H2378">IFERROR(IF(INDEX(EmployeeData[Exit Date], ROW() - 37)=0, "",INDEX(EmployeeData[Exit Date], ROW() - 37)),"")</f>
        <v/>
      </c>
      <c r="I2378" s="4" t="str" cm="1">
        <f t="array" ref="I2378">IFERROR(IF(INDEX(EmployeeData[Exit Reason], ROW() - 37)=0, "",INDEX(EmployeeData[Exit Reason], ROW() - 37)),"")</f>
        <v/>
      </c>
      <c r="J2378" s="4" t="str" cm="1">
        <f t="array" ref="J2378">IFERROR(INDEX(EmployeeData[Status], ROW() - 37), "")</f>
        <v/>
      </c>
    </row>
    <row r="2379" spans="2:10" ht="19.95" customHeight="1" x14ac:dyDescent="0.3">
      <c r="B2379" s="4" t="str" cm="1">
        <f t="array" ref="B2379">IFERROR(INDEX(EmployeeData[Employee ID], ROW() - 37), "")</f>
        <v/>
      </c>
      <c r="C2379" s="4" t="str" cm="1">
        <f t="array" ref="C2379">IFERROR(INDEX(EmployeeData[Full Name], ROW() - 37), "")</f>
        <v/>
      </c>
      <c r="D2379" s="4" t="str" cm="1">
        <f t="array" ref="D2379">IFERROR(INDEX(EmployeeData[Department], ROW() - 37), "")</f>
        <v/>
      </c>
      <c r="E2379" s="4" t="str" cm="1">
        <f t="array" ref="E2379">IFERROR(INDEX(EmployeeData[Gender], ROW() - 37), "")</f>
        <v/>
      </c>
      <c r="F2379" s="4" t="str" cm="1">
        <f t="array" ref="F2379">IFERROR(INDEX(EmployeeData[Age], ROW() - 37), "")</f>
        <v/>
      </c>
      <c r="G2379" s="6" t="str" cm="1">
        <f t="array" ref="G2379">IFERROR(INDEX(EmployeeData[Join Date], ROW() - 37), "")</f>
        <v/>
      </c>
      <c r="H2379" s="6" t="str" cm="1">
        <f t="array" ref="H2379">IFERROR(IF(INDEX(EmployeeData[Exit Date], ROW() - 37)=0, "",INDEX(EmployeeData[Exit Date], ROW() - 37)),"")</f>
        <v/>
      </c>
      <c r="I2379" s="4" t="str" cm="1">
        <f t="array" ref="I2379">IFERROR(IF(INDEX(EmployeeData[Exit Reason], ROW() - 37)=0, "",INDEX(EmployeeData[Exit Reason], ROW() - 37)),"")</f>
        <v/>
      </c>
      <c r="J2379" s="4" t="str" cm="1">
        <f t="array" ref="J2379">IFERROR(INDEX(EmployeeData[Status], ROW() - 37), "")</f>
        <v/>
      </c>
    </row>
    <row r="2380" spans="2:10" ht="19.95" customHeight="1" x14ac:dyDescent="0.3">
      <c r="B2380" s="4" t="str" cm="1">
        <f t="array" ref="B2380">IFERROR(INDEX(EmployeeData[Employee ID], ROW() - 37), "")</f>
        <v/>
      </c>
      <c r="C2380" s="4" t="str" cm="1">
        <f t="array" ref="C2380">IFERROR(INDEX(EmployeeData[Full Name], ROW() - 37), "")</f>
        <v/>
      </c>
      <c r="D2380" s="4" t="str" cm="1">
        <f t="array" ref="D2380">IFERROR(INDEX(EmployeeData[Department], ROW() - 37), "")</f>
        <v/>
      </c>
      <c r="E2380" s="4" t="str" cm="1">
        <f t="array" ref="E2380">IFERROR(INDEX(EmployeeData[Gender], ROW() - 37), "")</f>
        <v/>
      </c>
      <c r="F2380" s="4" t="str" cm="1">
        <f t="array" ref="F2380">IFERROR(INDEX(EmployeeData[Age], ROW() - 37), "")</f>
        <v/>
      </c>
      <c r="G2380" s="6" t="str" cm="1">
        <f t="array" ref="G2380">IFERROR(INDEX(EmployeeData[Join Date], ROW() - 37), "")</f>
        <v/>
      </c>
      <c r="H2380" s="6" t="str" cm="1">
        <f t="array" ref="H2380">IFERROR(IF(INDEX(EmployeeData[Exit Date], ROW() - 37)=0, "",INDEX(EmployeeData[Exit Date], ROW() - 37)),"")</f>
        <v/>
      </c>
      <c r="I2380" s="4" t="str" cm="1">
        <f t="array" ref="I2380">IFERROR(IF(INDEX(EmployeeData[Exit Reason], ROW() - 37)=0, "",INDEX(EmployeeData[Exit Reason], ROW() - 37)),"")</f>
        <v/>
      </c>
      <c r="J2380" s="4" t="str" cm="1">
        <f t="array" ref="J2380">IFERROR(INDEX(EmployeeData[Status], ROW() - 37), "")</f>
        <v/>
      </c>
    </row>
    <row r="2381" spans="2:10" ht="19.95" customHeight="1" x14ac:dyDescent="0.3">
      <c r="B2381" s="4" t="str" cm="1">
        <f t="array" ref="B2381">IFERROR(INDEX(EmployeeData[Employee ID], ROW() - 37), "")</f>
        <v/>
      </c>
      <c r="C2381" s="4" t="str" cm="1">
        <f t="array" ref="C2381">IFERROR(INDEX(EmployeeData[Full Name], ROW() - 37), "")</f>
        <v/>
      </c>
      <c r="D2381" s="4" t="str" cm="1">
        <f t="array" ref="D2381">IFERROR(INDEX(EmployeeData[Department], ROW() - 37), "")</f>
        <v/>
      </c>
      <c r="E2381" s="4" t="str" cm="1">
        <f t="array" ref="E2381">IFERROR(INDEX(EmployeeData[Gender], ROW() - 37), "")</f>
        <v/>
      </c>
      <c r="F2381" s="4" t="str" cm="1">
        <f t="array" ref="F2381">IFERROR(INDEX(EmployeeData[Age], ROW() - 37), "")</f>
        <v/>
      </c>
      <c r="G2381" s="6" t="str" cm="1">
        <f t="array" ref="G2381">IFERROR(INDEX(EmployeeData[Join Date], ROW() - 37), "")</f>
        <v/>
      </c>
      <c r="H2381" s="6" t="str" cm="1">
        <f t="array" ref="H2381">IFERROR(IF(INDEX(EmployeeData[Exit Date], ROW() - 37)=0, "",INDEX(EmployeeData[Exit Date], ROW() - 37)),"")</f>
        <v/>
      </c>
      <c r="I2381" s="4" t="str" cm="1">
        <f t="array" ref="I2381">IFERROR(IF(INDEX(EmployeeData[Exit Reason], ROW() - 37)=0, "",INDEX(EmployeeData[Exit Reason], ROW() - 37)),"")</f>
        <v/>
      </c>
      <c r="J2381" s="4" t="str" cm="1">
        <f t="array" ref="J2381">IFERROR(INDEX(EmployeeData[Status], ROW() - 37), "")</f>
        <v/>
      </c>
    </row>
    <row r="2382" spans="2:10" ht="19.95" customHeight="1" x14ac:dyDescent="0.3">
      <c r="B2382" s="4" t="str" cm="1">
        <f t="array" ref="B2382">IFERROR(INDEX(EmployeeData[Employee ID], ROW() - 37), "")</f>
        <v/>
      </c>
      <c r="C2382" s="4" t="str" cm="1">
        <f t="array" ref="C2382">IFERROR(INDEX(EmployeeData[Full Name], ROW() - 37), "")</f>
        <v/>
      </c>
      <c r="D2382" s="4" t="str" cm="1">
        <f t="array" ref="D2382">IFERROR(INDEX(EmployeeData[Department], ROW() - 37), "")</f>
        <v/>
      </c>
      <c r="E2382" s="4" t="str" cm="1">
        <f t="array" ref="E2382">IFERROR(INDEX(EmployeeData[Gender], ROW() - 37), "")</f>
        <v/>
      </c>
      <c r="F2382" s="4" t="str" cm="1">
        <f t="array" ref="F2382">IFERROR(INDEX(EmployeeData[Age], ROW() - 37), "")</f>
        <v/>
      </c>
      <c r="G2382" s="6" t="str" cm="1">
        <f t="array" ref="G2382">IFERROR(INDEX(EmployeeData[Join Date], ROW() - 37), "")</f>
        <v/>
      </c>
      <c r="H2382" s="6" t="str" cm="1">
        <f t="array" ref="H2382">IFERROR(IF(INDEX(EmployeeData[Exit Date], ROW() - 37)=0, "",INDEX(EmployeeData[Exit Date], ROW() - 37)),"")</f>
        <v/>
      </c>
      <c r="I2382" s="4" t="str" cm="1">
        <f t="array" ref="I2382">IFERROR(IF(INDEX(EmployeeData[Exit Reason], ROW() - 37)=0, "",INDEX(EmployeeData[Exit Reason], ROW() - 37)),"")</f>
        <v/>
      </c>
      <c r="J2382" s="4" t="str" cm="1">
        <f t="array" ref="J2382">IFERROR(INDEX(EmployeeData[Status], ROW() - 37), "")</f>
        <v/>
      </c>
    </row>
    <row r="2383" spans="2:10" ht="19.95" customHeight="1" x14ac:dyDescent="0.3">
      <c r="B2383" s="4" t="str" cm="1">
        <f t="array" ref="B2383">IFERROR(INDEX(EmployeeData[Employee ID], ROW() - 37), "")</f>
        <v/>
      </c>
      <c r="C2383" s="4" t="str" cm="1">
        <f t="array" ref="C2383">IFERROR(INDEX(EmployeeData[Full Name], ROW() - 37), "")</f>
        <v/>
      </c>
      <c r="D2383" s="4" t="str" cm="1">
        <f t="array" ref="D2383">IFERROR(INDEX(EmployeeData[Department], ROW() - 37), "")</f>
        <v/>
      </c>
      <c r="E2383" s="4" t="str" cm="1">
        <f t="array" ref="E2383">IFERROR(INDEX(EmployeeData[Gender], ROW() - 37), "")</f>
        <v/>
      </c>
      <c r="F2383" s="4" t="str" cm="1">
        <f t="array" ref="F2383">IFERROR(INDEX(EmployeeData[Age], ROW() - 37), "")</f>
        <v/>
      </c>
      <c r="G2383" s="6" t="str" cm="1">
        <f t="array" ref="G2383">IFERROR(INDEX(EmployeeData[Join Date], ROW() - 37), "")</f>
        <v/>
      </c>
      <c r="H2383" s="6" t="str" cm="1">
        <f t="array" ref="H2383">IFERROR(IF(INDEX(EmployeeData[Exit Date], ROW() - 37)=0, "",INDEX(EmployeeData[Exit Date], ROW() - 37)),"")</f>
        <v/>
      </c>
      <c r="I2383" s="4" t="str" cm="1">
        <f t="array" ref="I2383">IFERROR(IF(INDEX(EmployeeData[Exit Reason], ROW() - 37)=0, "",INDEX(EmployeeData[Exit Reason], ROW() - 37)),"")</f>
        <v/>
      </c>
      <c r="J2383" s="4" t="str" cm="1">
        <f t="array" ref="J2383">IFERROR(INDEX(EmployeeData[Status], ROW() - 37), "")</f>
        <v/>
      </c>
    </row>
    <row r="2384" spans="2:10" ht="19.95" customHeight="1" x14ac:dyDescent="0.3">
      <c r="B2384" s="4" t="str" cm="1">
        <f t="array" ref="B2384">IFERROR(INDEX(EmployeeData[Employee ID], ROW() - 37), "")</f>
        <v/>
      </c>
      <c r="C2384" s="4" t="str" cm="1">
        <f t="array" ref="C2384">IFERROR(INDEX(EmployeeData[Full Name], ROW() - 37), "")</f>
        <v/>
      </c>
      <c r="D2384" s="4" t="str" cm="1">
        <f t="array" ref="D2384">IFERROR(INDEX(EmployeeData[Department], ROW() - 37), "")</f>
        <v/>
      </c>
      <c r="E2384" s="4" t="str" cm="1">
        <f t="array" ref="E2384">IFERROR(INDEX(EmployeeData[Gender], ROW() - 37), "")</f>
        <v/>
      </c>
      <c r="F2384" s="4" t="str" cm="1">
        <f t="array" ref="F2384">IFERROR(INDEX(EmployeeData[Age], ROW() - 37), "")</f>
        <v/>
      </c>
      <c r="G2384" s="6" t="str" cm="1">
        <f t="array" ref="G2384">IFERROR(INDEX(EmployeeData[Join Date], ROW() - 37), "")</f>
        <v/>
      </c>
      <c r="H2384" s="6" t="str" cm="1">
        <f t="array" ref="H2384">IFERROR(IF(INDEX(EmployeeData[Exit Date], ROW() - 37)=0, "",INDEX(EmployeeData[Exit Date], ROW() - 37)),"")</f>
        <v/>
      </c>
      <c r="I2384" s="4" t="str" cm="1">
        <f t="array" ref="I2384">IFERROR(IF(INDEX(EmployeeData[Exit Reason], ROW() - 37)=0, "",INDEX(EmployeeData[Exit Reason], ROW() - 37)),"")</f>
        <v/>
      </c>
      <c r="J2384" s="4" t="str" cm="1">
        <f t="array" ref="J2384">IFERROR(INDEX(EmployeeData[Status], ROW() - 37), "")</f>
        <v/>
      </c>
    </row>
    <row r="2385" spans="2:10" ht="19.95" customHeight="1" x14ac:dyDescent="0.3">
      <c r="B2385" s="4" t="str" cm="1">
        <f t="array" ref="B2385">IFERROR(INDEX(EmployeeData[Employee ID], ROW() - 37), "")</f>
        <v/>
      </c>
      <c r="C2385" s="4" t="str" cm="1">
        <f t="array" ref="C2385">IFERROR(INDEX(EmployeeData[Full Name], ROW() - 37), "")</f>
        <v/>
      </c>
      <c r="D2385" s="4" t="str" cm="1">
        <f t="array" ref="D2385">IFERROR(INDEX(EmployeeData[Department], ROW() - 37), "")</f>
        <v/>
      </c>
      <c r="E2385" s="4" t="str" cm="1">
        <f t="array" ref="E2385">IFERROR(INDEX(EmployeeData[Gender], ROW() - 37), "")</f>
        <v/>
      </c>
      <c r="F2385" s="4" t="str" cm="1">
        <f t="array" ref="F2385">IFERROR(INDEX(EmployeeData[Age], ROW() - 37), "")</f>
        <v/>
      </c>
      <c r="G2385" s="6" t="str" cm="1">
        <f t="array" ref="G2385">IFERROR(INDEX(EmployeeData[Join Date], ROW() - 37), "")</f>
        <v/>
      </c>
      <c r="H2385" s="6" t="str" cm="1">
        <f t="array" ref="H2385">IFERROR(IF(INDEX(EmployeeData[Exit Date], ROW() - 37)=0, "",INDEX(EmployeeData[Exit Date], ROW() - 37)),"")</f>
        <v/>
      </c>
      <c r="I2385" s="4" t="str" cm="1">
        <f t="array" ref="I2385">IFERROR(IF(INDEX(EmployeeData[Exit Reason], ROW() - 37)=0, "",INDEX(EmployeeData[Exit Reason], ROW() - 37)),"")</f>
        <v/>
      </c>
      <c r="J2385" s="4" t="str" cm="1">
        <f t="array" ref="J2385">IFERROR(INDEX(EmployeeData[Status], ROW() - 37), "")</f>
        <v/>
      </c>
    </row>
    <row r="2386" spans="2:10" ht="19.95" customHeight="1" x14ac:dyDescent="0.3">
      <c r="B2386" s="4" t="str" cm="1">
        <f t="array" ref="B2386">IFERROR(INDEX(EmployeeData[Employee ID], ROW() - 37), "")</f>
        <v/>
      </c>
      <c r="C2386" s="4" t="str" cm="1">
        <f t="array" ref="C2386">IFERROR(INDEX(EmployeeData[Full Name], ROW() - 37), "")</f>
        <v/>
      </c>
      <c r="D2386" s="4" t="str" cm="1">
        <f t="array" ref="D2386">IFERROR(INDEX(EmployeeData[Department], ROW() - 37), "")</f>
        <v/>
      </c>
      <c r="E2386" s="4" t="str" cm="1">
        <f t="array" ref="E2386">IFERROR(INDEX(EmployeeData[Gender], ROW() - 37), "")</f>
        <v/>
      </c>
      <c r="F2386" s="4" t="str" cm="1">
        <f t="array" ref="F2386">IFERROR(INDEX(EmployeeData[Age], ROW() - 37), "")</f>
        <v/>
      </c>
      <c r="G2386" s="6" t="str" cm="1">
        <f t="array" ref="G2386">IFERROR(INDEX(EmployeeData[Join Date], ROW() - 37), "")</f>
        <v/>
      </c>
      <c r="H2386" s="6" t="str" cm="1">
        <f t="array" ref="H2386">IFERROR(IF(INDEX(EmployeeData[Exit Date], ROW() - 37)=0, "",INDEX(EmployeeData[Exit Date], ROW() - 37)),"")</f>
        <v/>
      </c>
      <c r="I2386" s="4" t="str" cm="1">
        <f t="array" ref="I2386">IFERROR(IF(INDEX(EmployeeData[Exit Reason], ROW() - 37)=0, "",INDEX(EmployeeData[Exit Reason], ROW() - 37)),"")</f>
        <v/>
      </c>
      <c r="J2386" s="4" t="str" cm="1">
        <f t="array" ref="J2386">IFERROR(INDEX(EmployeeData[Status], ROW() - 37), "")</f>
        <v/>
      </c>
    </row>
    <row r="2387" spans="2:10" ht="19.95" customHeight="1" x14ac:dyDescent="0.3">
      <c r="B2387" s="4" t="str" cm="1">
        <f t="array" ref="B2387">IFERROR(INDEX(EmployeeData[Employee ID], ROW() - 37), "")</f>
        <v/>
      </c>
      <c r="C2387" s="4" t="str" cm="1">
        <f t="array" ref="C2387">IFERROR(INDEX(EmployeeData[Full Name], ROW() - 37), "")</f>
        <v/>
      </c>
      <c r="D2387" s="4" t="str" cm="1">
        <f t="array" ref="D2387">IFERROR(INDEX(EmployeeData[Department], ROW() - 37), "")</f>
        <v/>
      </c>
      <c r="E2387" s="4" t="str" cm="1">
        <f t="array" ref="E2387">IFERROR(INDEX(EmployeeData[Gender], ROW() - 37), "")</f>
        <v/>
      </c>
      <c r="F2387" s="4" t="str" cm="1">
        <f t="array" ref="F2387">IFERROR(INDEX(EmployeeData[Age], ROW() - 37), "")</f>
        <v/>
      </c>
      <c r="G2387" s="6" t="str" cm="1">
        <f t="array" ref="G2387">IFERROR(INDEX(EmployeeData[Join Date], ROW() - 37), "")</f>
        <v/>
      </c>
      <c r="H2387" s="6" t="str" cm="1">
        <f t="array" ref="H2387">IFERROR(IF(INDEX(EmployeeData[Exit Date], ROW() - 37)=0, "",INDEX(EmployeeData[Exit Date], ROW() - 37)),"")</f>
        <v/>
      </c>
      <c r="I2387" s="4" t="str" cm="1">
        <f t="array" ref="I2387">IFERROR(IF(INDEX(EmployeeData[Exit Reason], ROW() - 37)=0, "",INDEX(EmployeeData[Exit Reason], ROW() - 37)),"")</f>
        <v/>
      </c>
      <c r="J2387" s="4" t="str" cm="1">
        <f t="array" ref="J2387">IFERROR(INDEX(EmployeeData[Status], ROW() - 37), "")</f>
        <v/>
      </c>
    </row>
    <row r="2388" spans="2:10" ht="19.95" customHeight="1" x14ac:dyDescent="0.3">
      <c r="B2388" s="4" t="str" cm="1">
        <f t="array" ref="B2388">IFERROR(INDEX(EmployeeData[Employee ID], ROW() - 37), "")</f>
        <v/>
      </c>
      <c r="C2388" s="4" t="str" cm="1">
        <f t="array" ref="C2388">IFERROR(INDEX(EmployeeData[Full Name], ROW() - 37), "")</f>
        <v/>
      </c>
      <c r="D2388" s="4" t="str" cm="1">
        <f t="array" ref="D2388">IFERROR(INDEX(EmployeeData[Department], ROW() - 37), "")</f>
        <v/>
      </c>
      <c r="E2388" s="4" t="str" cm="1">
        <f t="array" ref="E2388">IFERROR(INDEX(EmployeeData[Gender], ROW() - 37), "")</f>
        <v/>
      </c>
      <c r="F2388" s="4" t="str" cm="1">
        <f t="array" ref="F2388">IFERROR(INDEX(EmployeeData[Age], ROW() - 37), "")</f>
        <v/>
      </c>
      <c r="G2388" s="6" t="str" cm="1">
        <f t="array" ref="G2388">IFERROR(INDEX(EmployeeData[Join Date], ROW() - 37), "")</f>
        <v/>
      </c>
      <c r="H2388" s="6" t="str" cm="1">
        <f t="array" ref="H2388">IFERROR(IF(INDEX(EmployeeData[Exit Date], ROW() - 37)=0, "",INDEX(EmployeeData[Exit Date], ROW() - 37)),"")</f>
        <v/>
      </c>
      <c r="I2388" s="4" t="str" cm="1">
        <f t="array" ref="I2388">IFERROR(IF(INDEX(EmployeeData[Exit Reason], ROW() - 37)=0, "",INDEX(EmployeeData[Exit Reason], ROW() - 37)),"")</f>
        <v/>
      </c>
      <c r="J2388" s="4" t="str" cm="1">
        <f t="array" ref="J2388">IFERROR(INDEX(EmployeeData[Status], ROW() - 37), "")</f>
        <v/>
      </c>
    </row>
    <row r="2389" spans="2:10" ht="19.95" customHeight="1" x14ac:dyDescent="0.3">
      <c r="B2389" s="4" t="str" cm="1">
        <f t="array" ref="B2389">IFERROR(INDEX(EmployeeData[Employee ID], ROW() - 37), "")</f>
        <v/>
      </c>
      <c r="C2389" s="4" t="str" cm="1">
        <f t="array" ref="C2389">IFERROR(INDEX(EmployeeData[Full Name], ROW() - 37), "")</f>
        <v/>
      </c>
      <c r="D2389" s="4" t="str" cm="1">
        <f t="array" ref="D2389">IFERROR(INDEX(EmployeeData[Department], ROW() - 37), "")</f>
        <v/>
      </c>
      <c r="E2389" s="4" t="str" cm="1">
        <f t="array" ref="E2389">IFERROR(INDEX(EmployeeData[Gender], ROW() - 37), "")</f>
        <v/>
      </c>
      <c r="F2389" s="4" t="str" cm="1">
        <f t="array" ref="F2389">IFERROR(INDEX(EmployeeData[Age], ROW() - 37), "")</f>
        <v/>
      </c>
      <c r="G2389" s="6" t="str" cm="1">
        <f t="array" ref="G2389">IFERROR(INDEX(EmployeeData[Join Date], ROW() - 37), "")</f>
        <v/>
      </c>
      <c r="H2389" s="6" t="str" cm="1">
        <f t="array" ref="H2389">IFERROR(IF(INDEX(EmployeeData[Exit Date], ROW() - 37)=0, "",INDEX(EmployeeData[Exit Date], ROW() - 37)),"")</f>
        <v/>
      </c>
      <c r="I2389" s="4" t="str" cm="1">
        <f t="array" ref="I2389">IFERROR(IF(INDEX(EmployeeData[Exit Reason], ROW() - 37)=0, "",INDEX(EmployeeData[Exit Reason], ROW() - 37)),"")</f>
        <v/>
      </c>
      <c r="J2389" s="4" t="str" cm="1">
        <f t="array" ref="J2389">IFERROR(INDEX(EmployeeData[Status], ROW() - 37), "")</f>
        <v/>
      </c>
    </row>
    <row r="2390" spans="2:10" ht="19.95" customHeight="1" x14ac:dyDescent="0.3">
      <c r="B2390" s="4" t="str" cm="1">
        <f t="array" ref="B2390">IFERROR(INDEX(EmployeeData[Employee ID], ROW() - 37), "")</f>
        <v/>
      </c>
      <c r="C2390" s="4" t="str" cm="1">
        <f t="array" ref="C2390">IFERROR(INDEX(EmployeeData[Full Name], ROW() - 37), "")</f>
        <v/>
      </c>
      <c r="D2390" s="4" t="str" cm="1">
        <f t="array" ref="D2390">IFERROR(INDEX(EmployeeData[Department], ROW() - 37), "")</f>
        <v/>
      </c>
      <c r="E2390" s="4" t="str" cm="1">
        <f t="array" ref="E2390">IFERROR(INDEX(EmployeeData[Gender], ROW() - 37), "")</f>
        <v/>
      </c>
      <c r="F2390" s="4" t="str" cm="1">
        <f t="array" ref="F2390">IFERROR(INDEX(EmployeeData[Age], ROW() - 37), "")</f>
        <v/>
      </c>
      <c r="G2390" s="6" t="str" cm="1">
        <f t="array" ref="G2390">IFERROR(INDEX(EmployeeData[Join Date], ROW() - 37), "")</f>
        <v/>
      </c>
      <c r="H2390" s="6" t="str" cm="1">
        <f t="array" ref="H2390">IFERROR(IF(INDEX(EmployeeData[Exit Date], ROW() - 37)=0, "",INDEX(EmployeeData[Exit Date], ROW() - 37)),"")</f>
        <v/>
      </c>
      <c r="I2390" s="4" t="str" cm="1">
        <f t="array" ref="I2390">IFERROR(IF(INDEX(EmployeeData[Exit Reason], ROW() - 37)=0, "",INDEX(EmployeeData[Exit Reason], ROW() - 37)),"")</f>
        <v/>
      </c>
      <c r="J2390" s="4" t="str" cm="1">
        <f t="array" ref="J2390">IFERROR(INDEX(EmployeeData[Status], ROW() - 37), "")</f>
        <v/>
      </c>
    </row>
    <row r="2391" spans="2:10" ht="19.95" customHeight="1" x14ac:dyDescent="0.3">
      <c r="B2391" s="4" t="str" cm="1">
        <f t="array" ref="B2391">IFERROR(INDEX(EmployeeData[Employee ID], ROW() - 37), "")</f>
        <v/>
      </c>
      <c r="C2391" s="4" t="str" cm="1">
        <f t="array" ref="C2391">IFERROR(INDEX(EmployeeData[Full Name], ROW() - 37), "")</f>
        <v/>
      </c>
      <c r="D2391" s="4" t="str" cm="1">
        <f t="array" ref="D2391">IFERROR(INDEX(EmployeeData[Department], ROW() - 37), "")</f>
        <v/>
      </c>
      <c r="E2391" s="4" t="str" cm="1">
        <f t="array" ref="E2391">IFERROR(INDEX(EmployeeData[Gender], ROW() - 37), "")</f>
        <v/>
      </c>
      <c r="F2391" s="4" t="str" cm="1">
        <f t="array" ref="F2391">IFERROR(INDEX(EmployeeData[Age], ROW() - 37), "")</f>
        <v/>
      </c>
      <c r="G2391" s="6" t="str" cm="1">
        <f t="array" ref="G2391">IFERROR(INDEX(EmployeeData[Join Date], ROW() - 37), "")</f>
        <v/>
      </c>
      <c r="H2391" s="6" t="str" cm="1">
        <f t="array" ref="H2391">IFERROR(IF(INDEX(EmployeeData[Exit Date], ROW() - 37)=0, "",INDEX(EmployeeData[Exit Date], ROW() - 37)),"")</f>
        <v/>
      </c>
      <c r="I2391" s="4" t="str" cm="1">
        <f t="array" ref="I2391">IFERROR(IF(INDEX(EmployeeData[Exit Reason], ROW() - 37)=0, "",INDEX(EmployeeData[Exit Reason], ROW() - 37)),"")</f>
        <v/>
      </c>
      <c r="J2391" s="4" t="str" cm="1">
        <f t="array" ref="J2391">IFERROR(INDEX(EmployeeData[Status], ROW() - 37), "")</f>
        <v/>
      </c>
    </row>
    <row r="2392" spans="2:10" ht="19.95" customHeight="1" x14ac:dyDescent="0.3">
      <c r="B2392" s="4" t="str" cm="1">
        <f t="array" ref="B2392">IFERROR(INDEX(EmployeeData[Employee ID], ROW() - 37), "")</f>
        <v/>
      </c>
      <c r="C2392" s="4" t="str" cm="1">
        <f t="array" ref="C2392">IFERROR(INDEX(EmployeeData[Full Name], ROW() - 37), "")</f>
        <v/>
      </c>
      <c r="D2392" s="4" t="str" cm="1">
        <f t="array" ref="D2392">IFERROR(INDEX(EmployeeData[Department], ROW() - 37), "")</f>
        <v/>
      </c>
      <c r="E2392" s="4" t="str" cm="1">
        <f t="array" ref="E2392">IFERROR(INDEX(EmployeeData[Gender], ROW() - 37), "")</f>
        <v/>
      </c>
      <c r="F2392" s="4" t="str" cm="1">
        <f t="array" ref="F2392">IFERROR(INDEX(EmployeeData[Age], ROW() - 37), "")</f>
        <v/>
      </c>
      <c r="G2392" s="6" t="str" cm="1">
        <f t="array" ref="G2392">IFERROR(INDEX(EmployeeData[Join Date], ROW() - 37), "")</f>
        <v/>
      </c>
      <c r="H2392" s="6" t="str" cm="1">
        <f t="array" ref="H2392">IFERROR(IF(INDEX(EmployeeData[Exit Date], ROW() - 37)=0, "",INDEX(EmployeeData[Exit Date], ROW() - 37)),"")</f>
        <v/>
      </c>
      <c r="I2392" s="4" t="str" cm="1">
        <f t="array" ref="I2392">IFERROR(IF(INDEX(EmployeeData[Exit Reason], ROW() - 37)=0, "",INDEX(EmployeeData[Exit Reason], ROW() - 37)),"")</f>
        <v/>
      </c>
      <c r="J2392" s="4" t="str" cm="1">
        <f t="array" ref="J2392">IFERROR(INDEX(EmployeeData[Status], ROW() - 37), "")</f>
        <v/>
      </c>
    </row>
    <row r="2393" spans="2:10" ht="19.95" customHeight="1" x14ac:dyDescent="0.3">
      <c r="B2393" s="4" t="str" cm="1">
        <f t="array" ref="B2393">IFERROR(INDEX(EmployeeData[Employee ID], ROW() - 37), "")</f>
        <v/>
      </c>
      <c r="C2393" s="4" t="str" cm="1">
        <f t="array" ref="C2393">IFERROR(INDEX(EmployeeData[Full Name], ROW() - 37), "")</f>
        <v/>
      </c>
      <c r="D2393" s="4" t="str" cm="1">
        <f t="array" ref="D2393">IFERROR(INDEX(EmployeeData[Department], ROW() - 37), "")</f>
        <v/>
      </c>
      <c r="E2393" s="4" t="str" cm="1">
        <f t="array" ref="E2393">IFERROR(INDEX(EmployeeData[Gender], ROW() - 37), "")</f>
        <v/>
      </c>
      <c r="F2393" s="4" t="str" cm="1">
        <f t="array" ref="F2393">IFERROR(INDEX(EmployeeData[Age], ROW() - 37), "")</f>
        <v/>
      </c>
      <c r="G2393" s="6" t="str" cm="1">
        <f t="array" ref="G2393">IFERROR(INDEX(EmployeeData[Join Date], ROW() - 37), "")</f>
        <v/>
      </c>
      <c r="H2393" s="6" t="str" cm="1">
        <f t="array" ref="H2393">IFERROR(IF(INDEX(EmployeeData[Exit Date], ROW() - 37)=0, "",INDEX(EmployeeData[Exit Date], ROW() - 37)),"")</f>
        <v/>
      </c>
      <c r="I2393" s="4" t="str" cm="1">
        <f t="array" ref="I2393">IFERROR(IF(INDEX(EmployeeData[Exit Reason], ROW() - 37)=0, "",INDEX(EmployeeData[Exit Reason], ROW() - 37)),"")</f>
        <v/>
      </c>
      <c r="J2393" s="4" t="str" cm="1">
        <f t="array" ref="J2393">IFERROR(INDEX(EmployeeData[Status], ROW() - 37), "")</f>
        <v/>
      </c>
    </row>
    <row r="2394" spans="2:10" ht="19.95" customHeight="1" x14ac:dyDescent="0.3">
      <c r="B2394" s="4" t="str" cm="1">
        <f t="array" ref="B2394">IFERROR(INDEX(EmployeeData[Employee ID], ROW() - 37), "")</f>
        <v/>
      </c>
      <c r="C2394" s="4" t="str" cm="1">
        <f t="array" ref="C2394">IFERROR(INDEX(EmployeeData[Full Name], ROW() - 37), "")</f>
        <v/>
      </c>
      <c r="D2394" s="4" t="str" cm="1">
        <f t="array" ref="D2394">IFERROR(INDEX(EmployeeData[Department], ROW() - 37), "")</f>
        <v/>
      </c>
      <c r="E2394" s="4" t="str" cm="1">
        <f t="array" ref="E2394">IFERROR(INDEX(EmployeeData[Gender], ROW() - 37), "")</f>
        <v/>
      </c>
      <c r="F2394" s="4" t="str" cm="1">
        <f t="array" ref="F2394">IFERROR(INDEX(EmployeeData[Age], ROW() - 37), "")</f>
        <v/>
      </c>
      <c r="G2394" s="6" t="str" cm="1">
        <f t="array" ref="G2394">IFERROR(INDEX(EmployeeData[Join Date], ROW() - 37), "")</f>
        <v/>
      </c>
      <c r="H2394" s="6" t="str" cm="1">
        <f t="array" ref="H2394">IFERROR(IF(INDEX(EmployeeData[Exit Date], ROW() - 37)=0, "",INDEX(EmployeeData[Exit Date], ROW() - 37)),"")</f>
        <v/>
      </c>
      <c r="I2394" s="4" t="str" cm="1">
        <f t="array" ref="I2394">IFERROR(IF(INDEX(EmployeeData[Exit Reason], ROW() - 37)=0, "",INDEX(EmployeeData[Exit Reason], ROW() - 37)),"")</f>
        <v/>
      </c>
      <c r="J2394" s="4" t="str" cm="1">
        <f t="array" ref="J2394">IFERROR(INDEX(EmployeeData[Status], ROW() - 37), "")</f>
        <v/>
      </c>
    </row>
    <row r="2395" spans="2:10" ht="19.95" customHeight="1" x14ac:dyDescent="0.3">
      <c r="B2395" s="4" t="str" cm="1">
        <f t="array" ref="B2395">IFERROR(INDEX(EmployeeData[Employee ID], ROW() - 37), "")</f>
        <v/>
      </c>
      <c r="C2395" s="4" t="str" cm="1">
        <f t="array" ref="C2395">IFERROR(INDEX(EmployeeData[Full Name], ROW() - 37), "")</f>
        <v/>
      </c>
      <c r="D2395" s="4" t="str" cm="1">
        <f t="array" ref="D2395">IFERROR(INDEX(EmployeeData[Department], ROW() - 37), "")</f>
        <v/>
      </c>
      <c r="E2395" s="4" t="str" cm="1">
        <f t="array" ref="E2395">IFERROR(INDEX(EmployeeData[Gender], ROW() - 37), "")</f>
        <v/>
      </c>
      <c r="F2395" s="4" t="str" cm="1">
        <f t="array" ref="F2395">IFERROR(INDEX(EmployeeData[Age], ROW() - 37), "")</f>
        <v/>
      </c>
      <c r="G2395" s="6" t="str" cm="1">
        <f t="array" ref="G2395">IFERROR(INDEX(EmployeeData[Join Date], ROW() - 37), "")</f>
        <v/>
      </c>
      <c r="H2395" s="6" t="str" cm="1">
        <f t="array" ref="H2395">IFERROR(IF(INDEX(EmployeeData[Exit Date], ROW() - 37)=0, "",INDEX(EmployeeData[Exit Date], ROW() - 37)),"")</f>
        <v/>
      </c>
      <c r="I2395" s="4" t="str" cm="1">
        <f t="array" ref="I2395">IFERROR(IF(INDEX(EmployeeData[Exit Reason], ROW() - 37)=0, "",INDEX(EmployeeData[Exit Reason], ROW() - 37)),"")</f>
        <v/>
      </c>
      <c r="J2395" s="4" t="str" cm="1">
        <f t="array" ref="J2395">IFERROR(INDEX(EmployeeData[Status], ROW() - 37), "")</f>
        <v/>
      </c>
    </row>
    <row r="2396" spans="2:10" ht="19.95" customHeight="1" x14ac:dyDescent="0.3">
      <c r="B2396" s="4" t="str" cm="1">
        <f t="array" ref="B2396">IFERROR(INDEX(EmployeeData[Employee ID], ROW() - 37), "")</f>
        <v/>
      </c>
      <c r="C2396" s="4" t="str" cm="1">
        <f t="array" ref="C2396">IFERROR(INDEX(EmployeeData[Full Name], ROW() - 37), "")</f>
        <v/>
      </c>
      <c r="D2396" s="4" t="str" cm="1">
        <f t="array" ref="D2396">IFERROR(INDEX(EmployeeData[Department], ROW() - 37), "")</f>
        <v/>
      </c>
      <c r="E2396" s="4" t="str" cm="1">
        <f t="array" ref="E2396">IFERROR(INDEX(EmployeeData[Gender], ROW() - 37), "")</f>
        <v/>
      </c>
      <c r="F2396" s="4" t="str" cm="1">
        <f t="array" ref="F2396">IFERROR(INDEX(EmployeeData[Age], ROW() - 37), "")</f>
        <v/>
      </c>
      <c r="G2396" s="6" t="str" cm="1">
        <f t="array" ref="G2396">IFERROR(INDEX(EmployeeData[Join Date], ROW() - 37), "")</f>
        <v/>
      </c>
      <c r="H2396" s="6" t="str" cm="1">
        <f t="array" ref="H2396">IFERROR(IF(INDEX(EmployeeData[Exit Date], ROW() - 37)=0, "",INDEX(EmployeeData[Exit Date], ROW() - 37)),"")</f>
        <v/>
      </c>
      <c r="I2396" s="4" t="str" cm="1">
        <f t="array" ref="I2396">IFERROR(IF(INDEX(EmployeeData[Exit Reason], ROW() - 37)=0, "",INDEX(EmployeeData[Exit Reason], ROW() - 37)),"")</f>
        <v/>
      </c>
      <c r="J2396" s="4" t="str" cm="1">
        <f t="array" ref="J2396">IFERROR(INDEX(EmployeeData[Status], ROW() - 37), "")</f>
        <v/>
      </c>
    </row>
    <row r="2397" spans="2:10" ht="19.95" customHeight="1" x14ac:dyDescent="0.3">
      <c r="B2397" s="4" t="str" cm="1">
        <f t="array" ref="B2397">IFERROR(INDEX(EmployeeData[Employee ID], ROW() - 37), "")</f>
        <v/>
      </c>
      <c r="C2397" s="4" t="str" cm="1">
        <f t="array" ref="C2397">IFERROR(INDEX(EmployeeData[Full Name], ROW() - 37), "")</f>
        <v/>
      </c>
      <c r="D2397" s="4" t="str" cm="1">
        <f t="array" ref="D2397">IFERROR(INDEX(EmployeeData[Department], ROW() - 37), "")</f>
        <v/>
      </c>
      <c r="E2397" s="4" t="str" cm="1">
        <f t="array" ref="E2397">IFERROR(INDEX(EmployeeData[Gender], ROW() - 37), "")</f>
        <v/>
      </c>
      <c r="F2397" s="4" t="str" cm="1">
        <f t="array" ref="F2397">IFERROR(INDEX(EmployeeData[Age], ROW() - 37), "")</f>
        <v/>
      </c>
      <c r="G2397" s="6" t="str" cm="1">
        <f t="array" ref="G2397">IFERROR(INDEX(EmployeeData[Join Date], ROW() - 37), "")</f>
        <v/>
      </c>
      <c r="H2397" s="6" t="str" cm="1">
        <f t="array" ref="H2397">IFERROR(IF(INDEX(EmployeeData[Exit Date], ROW() - 37)=0, "",INDEX(EmployeeData[Exit Date], ROW() - 37)),"")</f>
        <v/>
      </c>
      <c r="I2397" s="4" t="str" cm="1">
        <f t="array" ref="I2397">IFERROR(IF(INDEX(EmployeeData[Exit Reason], ROW() - 37)=0, "",INDEX(EmployeeData[Exit Reason], ROW() - 37)),"")</f>
        <v/>
      </c>
      <c r="J2397" s="4" t="str" cm="1">
        <f t="array" ref="J2397">IFERROR(INDEX(EmployeeData[Status], ROW() - 37), "")</f>
        <v/>
      </c>
    </row>
    <row r="2398" spans="2:10" ht="19.95" customHeight="1" x14ac:dyDescent="0.3">
      <c r="B2398" s="4" t="str" cm="1">
        <f t="array" ref="B2398">IFERROR(INDEX(EmployeeData[Employee ID], ROW() - 37), "")</f>
        <v/>
      </c>
      <c r="C2398" s="4" t="str" cm="1">
        <f t="array" ref="C2398">IFERROR(INDEX(EmployeeData[Full Name], ROW() - 37), "")</f>
        <v/>
      </c>
      <c r="D2398" s="4" t="str" cm="1">
        <f t="array" ref="D2398">IFERROR(INDEX(EmployeeData[Department], ROW() - 37), "")</f>
        <v/>
      </c>
      <c r="E2398" s="4" t="str" cm="1">
        <f t="array" ref="E2398">IFERROR(INDEX(EmployeeData[Gender], ROW() - 37), "")</f>
        <v/>
      </c>
      <c r="F2398" s="4" t="str" cm="1">
        <f t="array" ref="F2398">IFERROR(INDEX(EmployeeData[Age], ROW() - 37), "")</f>
        <v/>
      </c>
      <c r="G2398" s="6" t="str" cm="1">
        <f t="array" ref="G2398">IFERROR(INDEX(EmployeeData[Join Date], ROW() - 37), "")</f>
        <v/>
      </c>
      <c r="H2398" s="6" t="str" cm="1">
        <f t="array" ref="H2398">IFERROR(IF(INDEX(EmployeeData[Exit Date], ROW() - 37)=0, "",INDEX(EmployeeData[Exit Date], ROW() - 37)),"")</f>
        <v/>
      </c>
      <c r="I2398" s="4" t="str" cm="1">
        <f t="array" ref="I2398">IFERROR(IF(INDEX(EmployeeData[Exit Reason], ROW() - 37)=0, "",INDEX(EmployeeData[Exit Reason], ROW() - 37)),"")</f>
        <v/>
      </c>
      <c r="J2398" s="4" t="str" cm="1">
        <f t="array" ref="J2398">IFERROR(INDEX(EmployeeData[Status], ROW() - 37), "")</f>
        <v/>
      </c>
    </row>
    <row r="2399" spans="2:10" ht="19.95" customHeight="1" x14ac:dyDescent="0.3">
      <c r="B2399" s="4" t="str" cm="1">
        <f t="array" ref="B2399">IFERROR(INDEX(EmployeeData[Employee ID], ROW() - 37), "")</f>
        <v/>
      </c>
      <c r="C2399" s="4" t="str" cm="1">
        <f t="array" ref="C2399">IFERROR(INDEX(EmployeeData[Full Name], ROW() - 37), "")</f>
        <v/>
      </c>
      <c r="D2399" s="4" t="str" cm="1">
        <f t="array" ref="D2399">IFERROR(INDEX(EmployeeData[Department], ROW() - 37), "")</f>
        <v/>
      </c>
      <c r="E2399" s="4" t="str" cm="1">
        <f t="array" ref="E2399">IFERROR(INDEX(EmployeeData[Gender], ROW() - 37), "")</f>
        <v/>
      </c>
      <c r="F2399" s="4" t="str" cm="1">
        <f t="array" ref="F2399">IFERROR(INDEX(EmployeeData[Age], ROW() - 37), "")</f>
        <v/>
      </c>
      <c r="G2399" s="6" t="str" cm="1">
        <f t="array" ref="G2399">IFERROR(INDEX(EmployeeData[Join Date], ROW() - 37), "")</f>
        <v/>
      </c>
      <c r="H2399" s="6" t="str" cm="1">
        <f t="array" ref="H2399">IFERROR(IF(INDEX(EmployeeData[Exit Date], ROW() - 37)=0, "",INDEX(EmployeeData[Exit Date], ROW() - 37)),"")</f>
        <v/>
      </c>
      <c r="I2399" s="4" t="str" cm="1">
        <f t="array" ref="I2399">IFERROR(IF(INDEX(EmployeeData[Exit Reason], ROW() - 37)=0, "",INDEX(EmployeeData[Exit Reason], ROW() - 37)),"")</f>
        <v/>
      </c>
      <c r="J2399" s="4" t="str" cm="1">
        <f t="array" ref="J2399">IFERROR(INDEX(EmployeeData[Status], ROW() - 37), "")</f>
        <v/>
      </c>
    </row>
    <row r="2400" spans="2:10" ht="19.95" customHeight="1" x14ac:dyDescent="0.3">
      <c r="B2400" s="4" t="str" cm="1">
        <f t="array" ref="B2400">IFERROR(INDEX(EmployeeData[Employee ID], ROW() - 37), "")</f>
        <v/>
      </c>
      <c r="C2400" s="4" t="str" cm="1">
        <f t="array" ref="C2400">IFERROR(INDEX(EmployeeData[Full Name], ROW() - 37), "")</f>
        <v/>
      </c>
      <c r="D2400" s="4" t="str" cm="1">
        <f t="array" ref="D2400">IFERROR(INDEX(EmployeeData[Department], ROW() - 37), "")</f>
        <v/>
      </c>
      <c r="E2400" s="4" t="str" cm="1">
        <f t="array" ref="E2400">IFERROR(INDEX(EmployeeData[Gender], ROW() - 37), "")</f>
        <v/>
      </c>
      <c r="F2400" s="4" t="str" cm="1">
        <f t="array" ref="F2400">IFERROR(INDEX(EmployeeData[Age], ROW() - 37), "")</f>
        <v/>
      </c>
      <c r="G2400" s="6" t="str" cm="1">
        <f t="array" ref="G2400">IFERROR(INDEX(EmployeeData[Join Date], ROW() - 37), "")</f>
        <v/>
      </c>
      <c r="H2400" s="6" t="str" cm="1">
        <f t="array" ref="H2400">IFERROR(IF(INDEX(EmployeeData[Exit Date], ROW() - 37)=0, "",INDEX(EmployeeData[Exit Date], ROW() - 37)),"")</f>
        <v/>
      </c>
      <c r="I2400" s="4" t="str" cm="1">
        <f t="array" ref="I2400">IFERROR(IF(INDEX(EmployeeData[Exit Reason], ROW() - 37)=0, "",INDEX(EmployeeData[Exit Reason], ROW() - 37)),"")</f>
        <v/>
      </c>
      <c r="J2400" s="4" t="str" cm="1">
        <f t="array" ref="J2400">IFERROR(INDEX(EmployeeData[Status], ROW() - 37), "")</f>
        <v/>
      </c>
    </row>
    <row r="2401" spans="2:10" ht="19.95" customHeight="1" x14ac:dyDescent="0.3">
      <c r="B2401" s="4" t="str" cm="1">
        <f t="array" ref="B2401">IFERROR(INDEX(EmployeeData[Employee ID], ROW() - 37), "")</f>
        <v/>
      </c>
      <c r="C2401" s="4" t="str" cm="1">
        <f t="array" ref="C2401">IFERROR(INDEX(EmployeeData[Full Name], ROW() - 37), "")</f>
        <v/>
      </c>
      <c r="D2401" s="4" t="str" cm="1">
        <f t="array" ref="D2401">IFERROR(INDEX(EmployeeData[Department], ROW() - 37), "")</f>
        <v/>
      </c>
      <c r="E2401" s="4" t="str" cm="1">
        <f t="array" ref="E2401">IFERROR(INDEX(EmployeeData[Gender], ROW() - 37), "")</f>
        <v/>
      </c>
      <c r="F2401" s="4" t="str" cm="1">
        <f t="array" ref="F2401">IFERROR(INDEX(EmployeeData[Age], ROW() - 37), "")</f>
        <v/>
      </c>
      <c r="G2401" s="6" t="str" cm="1">
        <f t="array" ref="G2401">IFERROR(INDEX(EmployeeData[Join Date], ROW() - 37), "")</f>
        <v/>
      </c>
      <c r="H2401" s="6" t="str" cm="1">
        <f t="array" ref="H2401">IFERROR(IF(INDEX(EmployeeData[Exit Date], ROW() - 37)=0, "",INDEX(EmployeeData[Exit Date], ROW() - 37)),"")</f>
        <v/>
      </c>
      <c r="I2401" s="4" t="str" cm="1">
        <f t="array" ref="I2401">IFERROR(IF(INDEX(EmployeeData[Exit Reason], ROW() - 37)=0, "",INDEX(EmployeeData[Exit Reason], ROW() - 37)),"")</f>
        <v/>
      </c>
      <c r="J2401" s="4" t="str" cm="1">
        <f t="array" ref="J2401">IFERROR(INDEX(EmployeeData[Status], ROW() - 37), "")</f>
        <v/>
      </c>
    </row>
    <row r="2402" spans="2:10" ht="19.95" customHeight="1" x14ac:dyDescent="0.3">
      <c r="B2402" s="4" t="str" cm="1">
        <f t="array" ref="B2402">IFERROR(INDEX(EmployeeData[Employee ID], ROW() - 37), "")</f>
        <v/>
      </c>
      <c r="C2402" s="4" t="str" cm="1">
        <f t="array" ref="C2402">IFERROR(INDEX(EmployeeData[Full Name], ROW() - 37), "")</f>
        <v/>
      </c>
      <c r="D2402" s="4" t="str" cm="1">
        <f t="array" ref="D2402">IFERROR(INDEX(EmployeeData[Department], ROW() - 37), "")</f>
        <v/>
      </c>
      <c r="E2402" s="4" t="str" cm="1">
        <f t="array" ref="E2402">IFERROR(INDEX(EmployeeData[Gender], ROW() - 37), "")</f>
        <v/>
      </c>
      <c r="F2402" s="4" t="str" cm="1">
        <f t="array" ref="F2402">IFERROR(INDEX(EmployeeData[Age], ROW() - 37), "")</f>
        <v/>
      </c>
      <c r="G2402" s="6" t="str" cm="1">
        <f t="array" ref="G2402">IFERROR(INDEX(EmployeeData[Join Date], ROW() - 37), "")</f>
        <v/>
      </c>
      <c r="H2402" s="6" t="str" cm="1">
        <f t="array" ref="H2402">IFERROR(IF(INDEX(EmployeeData[Exit Date], ROW() - 37)=0, "",INDEX(EmployeeData[Exit Date], ROW() - 37)),"")</f>
        <v/>
      </c>
      <c r="I2402" s="4" t="str" cm="1">
        <f t="array" ref="I2402">IFERROR(IF(INDEX(EmployeeData[Exit Reason], ROW() - 37)=0, "",INDEX(EmployeeData[Exit Reason], ROW() - 37)),"")</f>
        <v/>
      </c>
      <c r="J2402" s="4" t="str" cm="1">
        <f t="array" ref="J2402">IFERROR(INDEX(EmployeeData[Status], ROW() - 37), "")</f>
        <v/>
      </c>
    </row>
    <row r="2403" spans="2:10" ht="19.95" customHeight="1" x14ac:dyDescent="0.3">
      <c r="B2403" s="4" t="str" cm="1">
        <f t="array" ref="B2403">IFERROR(INDEX(EmployeeData[Employee ID], ROW() - 37), "")</f>
        <v/>
      </c>
      <c r="C2403" s="4" t="str" cm="1">
        <f t="array" ref="C2403">IFERROR(INDEX(EmployeeData[Full Name], ROW() - 37), "")</f>
        <v/>
      </c>
      <c r="D2403" s="4" t="str" cm="1">
        <f t="array" ref="D2403">IFERROR(INDEX(EmployeeData[Department], ROW() - 37), "")</f>
        <v/>
      </c>
      <c r="E2403" s="4" t="str" cm="1">
        <f t="array" ref="E2403">IFERROR(INDEX(EmployeeData[Gender], ROW() - 37), "")</f>
        <v/>
      </c>
      <c r="F2403" s="4" t="str" cm="1">
        <f t="array" ref="F2403">IFERROR(INDEX(EmployeeData[Age], ROW() - 37), "")</f>
        <v/>
      </c>
      <c r="G2403" s="6" t="str" cm="1">
        <f t="array" ref="G2403">IFERROR(INDEX(EmployeeData[Join Date], ROW() - 37), "")</f>
        <v/>
      </c>
      <c r="H2403" s="6" t="str" cm="1">
        <f t="array" ref="H2403">IFERROR(IF(INDEX(EmployeeData[Exit Date], ROW() - 37)=0, "",INDEX(EmployeeData[Exit Date], ROW() - 37)),"")</f>
        <v/>
      </c>
      <c r="I2403" s="4" t="str" cm="1">
        <f t="array" ref="I2403">IFERROR(IF(INDEX(EmployeeData[Exit Reason], ROW() - 37)=0, "",INDEX(EmployeeData[Exit Reason], ROW() - 37)),"")</f>
        <v/>
      </c>
      <c r="J2403" s="4" t="str" cm="1">
        <f t="array" ref="J2403">IFERROR(INDEX(EmployeeData[Status], ROW() - 37), "")</f>
        <v/>
      </c>
    </row>
    <row r="2404" spans="2:10" ht="19.95" customHeight="1" x14ac:dyDescent="0.3">
      <c r="B2404" s="4" t="str" cm="1">
        <f t="array" ref="B2404">IFERROR(INDEX(EmployeeData[Employee ID], ROW() - 37), "")</f>
        <v/>
      </c>
      <c r="C2404" s="4" t="str" cm="1">
        <f t="array" ref="C2404">IFERROR(INDEX(EmployeeData[Full Name], ROW() - 37), "")</f>
        <v/>
      </c>
      <c r="D2404" s="4" t="str" cm="1">
        <f t="array" ref="D2404">IFERROR(INDEX(EmployeeData[Department], ROW() - 37), "")</f>
        <v/>
      </c>
      <c r="E2404" s="4" t="str" cm="1">
        <f t="array" ref="E2404">IFERROR(INDEX(EmployeeData[Gender], ROW() - 37), "")</f>
        <v/>
      </c>
      <c r="F2404" s="4" t="str" cm="1">
        <f t="array" ref="F2404">IFERROR(INDEX(EmployeeData[Age], ROW() - 37), "")</f>
        <v/>
      </c>
      <c r="G2404" s="6" t="str" cm="1">
        <f t="array" ref="G2404">IFERROR(INDEX(EmployeeData[Join Date], ROW() - 37), "")</f>
        <v/>
      </c>
      <c r="H2404" s="6" t="str" cm="1">
        <f t="array" ref="H2404">IFERROR(IF(INDEX(EmployeeData[Exit Date], ROW() - 37)=0, "",INDEX(EmployeeData[Exit Date], ROW() - 37)),"")</f>
        <v/>
      </c>
      <c r="I2404" s="4" t="str" cm="1">
        <f t="array" ref="I2404">IFERROR(IF(INDEX(EmployeeData[Exit Reason], ROW() - 37)=0, "",INDEX(EmployeeData[Exit Reason], ROW() - 37)),"")</f>
        <v/>
      </c>
      <c r="J2404" s="4" t="str" cm="1">
        <f t="array" ref="J2404">IFERROR(INDEX(EmployeeData[Status], ROW() - 37), "")</f>
        <v/>
      </c>
    </row>
    <row r="2405" spans="2:10" ht="19.95" customHeight="1" x14ac:dyDescent="0.3">
      <c r="B2405" s="4" t="str" cm="1">
        <f t="array" ref="B2405">IFERROR(INDEX(EmployeeData[Employee ID], ROW() - 37), "")</f>
        <v/>
      </c>
      <c r="C2405" s="4" t="str" cm="1">
        <f t="array" ref="C2405">IFERROR(INDEX(EmployeeData[Full Name], ROW() - 37), "")</f>
        <v/>
      </c>
      <c r="D2405" s="4" t="str" cm="1">
        <f t="array" ref="D2405">IFERROR(INDEX(EmployeeData[Department], ROW() - 37), "")</f>
        <v/>
      </c>
      <c r="E2405" s="4" t="str" cm="1">
        <f t="array" ref="E2405">IFERROR(INDEX(EmployeeData[Gender], ROW() - 37), "")</f>
        <v/>
      </c>
      <c r="F2405" s="4" t="str" cm="1">
        <f t="array" ref="F2405">IFERROR(INDEX(EmployeeData[Age], ROW() - 37), "")</f>
        <v/>
      </c>
      <c r="G2405" s="6" t="str" cm="1">
        <f t="array" ref="G2405">IFERROR(INDEX(EmployeeData[Join Date], ROW() - 37), "")</f>
        <v/>
      </c>
      <c r="H2405" s="6" t="str" cm="1">
        <f t="array" ref="H2405">IFERROR(IF(INDEX(EmployeeData[Exit Date], ROW() - 37)=0, "",INDEX(EmployeeData[Exit Date], ROW() - 37)),"")</f>
        <v/>
      </c>
      <c r="I2405" s="4" t="str" cm="1">
        <f t="array" ref="I2405">IFERROR(IF(INDEX(EmployeeData[Exit Reason], ROW() - 37)=0, "",INDEX(EmployeeData[Exit Reason], ROW() - 37)),"")</f>
        <v/>
      </c>
      <c r="J2405" s="4" t="str" cm="1">
        <f t="array" ref="J2405">IFERROR(INDEX(EmployeeData[Status], ROW() - 37), "")</f>
        <v/>
      </c>
    </row>
    <row r="2406" spans="2:10" ht="19.95" customHeight="1" x14ac:dyDescent="0.3">
      <c r="B2406" s="4" t="str" cm="1">
        <f t="array" ref="B2406">IFERROR(INDEX(EmployeeData[Employee ID], ROW() - 37), "")</f>
        <v/>
      </c>
      <c r="C2406" s="4" t="str" cm="1">
        <f t="array" ref="C2406">IFERROR(INDEX(EmployeeData[Full Name], ROW() - 37), "")</f>
        <v/>
      </c>
      <c r="D2406" s="4" t="str" cm="1">
        <f t="array" ref="D2406">IFERROR(INDEX(EmployeeData[Department], ROW() - 37), "")</f>
        <v/>
      </c>
      <c r="E2406" s="4" t="str" cm="1">
        <f t="array" ref="E2406">IFERROR(INDEX(EmployeeData[Gender], ROW() - 37), "")</f>
        <v/>
      </c>
      <c r="F2406" s="4" t="str" cm="1">
        <f t="array" ref="F2406">IFERROR(INDEX(EmployeeData[Age], ROW() - 37), "")</f>
        <v/>
      </c>
      <c r="G2406" s="6" t="str" cm="1">
        <f t="array" ref="G2406">IFERROR(INDEX(EmployeeData[Join Date], ROW() - 37), "")</f>
        <v/>
      </c>
      <c r="H2406" s="6" t="str" cm="1">
        <f t="array" ref="H2406">IFERROR(IF(INDEX(EmployeeData[Exit Date], ROW() - 37)=0, "",INDEX(EmployeeData[Exit Date], ROW() - 37)),"")</f>
        <v/>
      </c>
      <c r="I2406" s="4" t="str" cm="1">
        <f t="array" ref="I2406">IFERROR(IF(INDEX(EmployeeData[Exit Reason], ROW() - 37)=0, "",INDEX(EmployeeData[Exit Reason], ROW() - 37)),"")</f>
        <v/>
      </c>
      <c r="J2406" s="4" t="str" cm="1">
        <f t="array" ref="J2406">IFERROR(INDEX(EmployeeData[Status], ROW() - 37), "")</f>
        <v/>
      </c>
    </row>
    <row r="2407" spans="2:10" ht="19.95" customHeight="1" x14ac:dyDescent="0.3">
      <c r="B2407" s="4" t="str" cm="1">
        <f t="array" ref="B2407">IFERROR(INDEX(EmployeeData[Employee ID], ROW() - 37), "")</f>
        <v/>
      </c>
      <c r="C2407" s="4" t="str" cm="1">
        <f t="array" ref="C2407">IFERROR(INDEX(EmployeeData[Full Name], ROW() - 37), "")</f>
        <v/>
      </c>
      <c r="D2407" s="4" t="str" cm="1">
        <f t="array" ref="D2407">IFERROR(INDEX(EmployeeData[Department], ROW() - 37), "")</f>
        <v/>
      </c>
      <c r="E2407" s="4" t="str" cm="1">
        <f t="array" ref="E2407">IFERROR(INDEX(EmployeeData[Gender], ROW() - 37), "")</f>
        <v/>
      </c>
      <c r="F2407" s="4" t="str" cm="1">
        <f t="array" ref="F2407">IFERROR(INDEX(EmployeeData[Age], ROW() - 37), "")</f>
        <v/>
      </c>
      <c r="G2407" s="6" t="str" cm="1">
        <f t="array" ref="G2407">IFERROR(INDEX(EmployeeData[Join Date], ROW() - 37), "")</f>
        <v/>
      </c>
      <c r="H2407" s="6" t="str" cm="1">
        <f t="array" ref="H2407">IFERROR(IF(INDEX(EmployeeData[Exit Date], ROW() - 37)=0, "",INDEX(EmployeeData[Exit Date], ROW() - 37)),"")</f>
        <v/>
      </c>
      <c r="I2407" s="4" t="str" cm="1">
        <f t="array" ref="I2407">IFERROR(IF(INDEX(EmployeeData[Exit Reason], ROW() - 37)=0, "",INDEX(EmployeeData[Exit Reason], ROW() - 37)),"")</f>
        <v/>
      </c>
      <c r="J2407" s="4" t="str" cm="1">
        <f t="array" ref="J2407">IFERROR(INDEX(EmployeeData[Status], ROW() - 37), "")</f>
        <v/>
      </c>
    </row>
    <row r="2408" spans="2:10" ht="19.95" customHeight="1" x14ac:dyDescent="0.3">
      <c r="B2408" s="4" t="str" cm="1">
        <f t="array" ref="B2408">IFERROR(INDEX(EmployeeData[Employee ID], ROW() - 37), "")</f>
        <v/>
      </c>
      <c r="C2408" s="4" t="str" cm="1">
        <f t="array" ref="C2408">IFERROR(INDEX(EmployeeData[Full Name], ROW() - 37), "")</f>
        <v/>
      </c>
      <c r="D2408" s="4" t="str" cm="1">
        <f t="array" ref="D2408">IFERROR(INDEX(EmployeeData[Department], ROW() - 37), "")</f>
        <v/>
      </c>
      <c r="E2408" s="4" t="str" cm="1">
        <f t="array" ref="E2408">IFERROR(INDEX(EmployeeData[Gender], ROW() - 37), "")</f>
        <v/>
      </c>
      <c r="F2408" s="4" t="str" cm="1">
        <f t="array" ref="F2408">IFERROR(INDEX(EmployeeData[Age], ROW() - 37), "")</f>
        <v/>
      </c>
      <c r="G2408" s="6" t="str" cm="1">
        <f t="array" ref="G2408">IFERROR(INDEX(EmployeeData[Join Date], ROW() - 37), "")</f>
        <v/>
      </c>
      <c r="H2408" s="6" t="str" cm="1">
        <f t="array" ref="H2408">IFERROR(IF(INDEX(EmployeeData[Exit Date], ROW() - 37)=0, "",INDEX(EmployeeData[Exit Date], ROW() - 37)),"")</f>
        <v/>
      </c>
      <c r="I2408" s="4" t="str" cm="1">
        <f t="array" ref="I2408">IFERROR(IF(INDEX(EmployeeData[Exit Reason], ROW() - 37)=0, "",INDEX(EmployeeData[Exit Reason], ROW() - 37)),"")</f>
        <v/>
      </c>
      <c r="J2408" s="4" t="str" cm="1">
        <f t="array" ref="J2408">IFERROR(INDEX(EmployeeData[Status], ROW() - 37), "")</f>
        <v/>
      </c>
    </row>
    <row r="2409" spans="2:10" ht="19.95" customHeight="1" x14ac:dyDescent="0.3">
      <c r="B2409" s="4" t="str" cm="1">
        <f t="array" ref="B2409">IFERROR(INDEX(EmployeeData[Employee ID], ROW() - 37), "")</f>
        <v/>
      </c>
      <c r="C2409" s="4" t="str" cm="1">
        <f t="array" ref="C2409">IFERROR(INDEX(EmployeeData[Full Name], ROW() - 37), "")</f>
        <v/>
      </c>
      <c r="D2409" s="4" t="str" cm="1">
        <f t="array" ref="D2409">IFERROR(INDEX(EmployeeData[Department], ROW() - 37), "")</f>
        <v/>
      </c>
      <c r="E2409" s="4" t="str" cm="1">
        <f t="array" ref="E2409">IFERROR(INDEX(EmployeeData[Gender], ROW() - 37), "")</f>
        <v/>
      </c>
      <c r="F2409" s="4" t="str" cm="1">
        <f t="array" ref="F2409">IFERROR(INDEX(EmployeeData[Age], ROW() - 37), "")</f>
        <v/>
      </c>
      <c r="G2409" s="6" t="str" cm="1">
        <f t="array" ref="G2409">IFERROR(INDEX(EmployeeData[Join Date], ROW() - 37), "")</f>
        <v/>
      </c>
      <c r="H2409" s="6" t="str" cm="1">
        <f t="array" ref="H2409">IFERROR(IF(INDEX(EmployeeData[Exit Date], ROW() - 37)=0, "",INDEX(EmployeeData[Exit Date], ROW() - 37)),"")</f>
        <v/>
      </c>
      <c r="I2409" s="4" t="str" cm="1">
        <f t="array" ref="I2409">IFERROR(IF(INDEX(EmployeeData[Exit Reason], ROW() - 37)=0, "",INDEX(EmployeeData[Exit Reason], ROW() - 37)),"")</f>
        <v/>
      </c>
      <c r="J2409" s="4" t="str" cm="1">
        <f t="array" ref="J2409">IFERROR(INDEX(EmployeeData[Status], ROW() - 37), "")</f>
        <v/>
      </c>
    </row>
    <row r="2410" spans="2:10" ht="19.95" customHeight="1" x14ac:dyDescent="0.3">
      <c r="B2410" s="4" t="str" cm="1">
        <f t="array" ref="B2410">IFERROR(INDEX(EmployeeData[Employee ID], ROW() - 37), "")</f>
        <v/>
      </c>
      <c r="C2410" s="4" t="str" cm="1">
        <f t="array" ref="C2410">IFERROR(INDEX(EmployeeData[Full Name], ROW() - 37), "")</f>
        <v/>
      </c>
      <c r="D2410" s="4" t="str" cm="1">
        <f t="array" ref="D2410">IFERROR(INDEX(EmployeeData[Department], ROW() - 37), "")</f>
        <v/>
      </c>
      <c r="E2410" s="4" t="str" cm="1">
        <f t="array" ref="E2410">IFERROR(INDEX(EmployeeData[Gender], ROW() - 37), "")</f>
        <v/>
      </c>
      <c r="F2410" s="4" t="str" cm="1">
        <f t="array" ref="F2410">IFERROR(INDEX(EmployeeData[Age], ROW() - 37), "")</f>
        <v/>
      </c>
      <c r="G2410" s="6" t="str" cm="1">
        <f t="array" ref="G2410">IFERROR(INDEX(EmployeeData[Join Date], ROW() - 37), "")</f>
        <v/>
      </c>
      <c r="H2410" s="6" t="str" cm="1">
        <f t="array" ref="H2410">IFERROR(IF(INDEX(EmployeeData[Exit Date], ROW() - 37)=0, "",INDEX(EmployeeData[Exit Date], ROW() - 37)),"")</f>
        <v/>
      </c>
      <c r="I2410" s="4" t="str" cm="1">
        <f t="array" ref="I2410">IFERROR(IF(INDEX(EmployeeData[Exit Reason], ROW() - 37)=0, "",INDEX(EmployeeData[Exit Reason], ROW() - 37)),"")</f>
        <v/>
      </c>
      <c r="J2410" s="4" t="str" cm="1">
        <f t="array" ref="J2410">IFERROR(INDEX(EmployeeData[Status], ROW() - 37), "")</f>
        <v/>
      </c>
    </row>
    <row r="2411" spans="2:10" ht="19.95" customHeight="1" x14ac:dyDescent="0.3">
      <c r="B2411" s="4" t="str" cm="1">
        <f t="array" ref="B2411">IFERROR(INDEX(EmployeeData[Employee ID], ROW() - 37), "")</f>
        <v/>
      </c>
      <c r="C2411" s="4" t="str" cm="1">
        <f t="array" ref="C2411">IFERROR(INDEX(EmployeeData[Full Name], ROW() - 37), "")</f>
        <v/>
      </c>
      <c r="D2411" s="4" t="str" cm="1">
        <f t="array" ref="D2411">IFERROR(INDEX(EmployeeData[Department], ROW() - 37), "")</f>
        <v/>
      </c>
      <c r="E2411" s="4" t="str" cm="1">
        <f t="array" ref="E2411">IFERROR(INDEX(EmployeeData[Gender], ROW() - 37), "")</f>
        <v/>
      </c>
      <c r="F2411" s="4" t="str" cm="1">
        <f t="array" ref="F2411">IFERROR(INDEX(EmployeeData[Age], ROW() - 37), "")</f>
        <v/>
      </c>
      <c r="G2411" s="6" t="str" cm="1">
        <f t="array" ref="G2411">IFERROR(INDEX(EmployeeData[Join Date], ROW() - 37), "")</f>
        <v/>
      </c>
      <c r="H2411" s="6" t="str" cm="1">
        <f t="array" ref="H2411">IFERROR(IF(INDEX(EmployeeData[Exit Date], ROW() - 37)=0, "",INDEX(EmployeeData[Exit Date], ROW() - 37)),"")</f>
        <v/>
      </c>
      <c r="I2411" s="4" t="str" cm="1">
        <f t="array" ref="I2411">IFERROR(IF(INDEX(EmployeeData[Exit Reason], ROW() - 37)=0, "",INDEX(EmployeeData[Exit Reason], ROW() - 37)),"")</f>
        <v/>
      </c>
      <c r="J2411" s="4" t="str" cm="1">
        <f t="array" ref="J2411">IFERROR(INDEX(EmployeeData[Status], ROW() - 37), "")</f>
        <v/>
      </c>
    </row>
    <row r="2412" spans="2:10" ht="19.95" customHeight="1" x14ac:dyDescent="0.3">
      <c r="B2412" s="4" t="str" cm="1">
        <f t="array" ref="B2412">IFERROR(INDEX(EmployeeData[Employee ID], ROW() - 37), "")</f>
        <v/>
      </c>
      <c r="C2412" s="4" t="str" cm="1">
        <f t="array" ref="C2412">IFERROR(INDEX(EmployeeData[Full Name], ROW() - 37), "")</f>
        <v/>
      </c>
      <c r="D2412" s="4" t="str" cm="1">
        <f t="array" ref="D2412">IFERROR(INDEX(EmployeeData[Department], ROW() - 37), "")</f>
        <v/>
      </c>
      <c r="E2412" s="4" t="str" cm="1">
        <f t="array" ref="E2412">IFERROR(INDEX(EmployeeData[Gender], ROW() - 37), "")</f>
        <v/>
      </c>
      <c r="F2412" s="4" t="str" cm="1">
        <f t="array" ref="F2412">IFERROR(INDEX(EmployeeData[Age], ROW() - 37), "")</f>
        <v/>
      </c>
      <c r="G2412" s="6" t="str" cm="1">
        <f t="array" ref="G2412">IFERROR(INDEX(EmployeeData[Join Date], ROW() - 37), "")</f>
        <v/>
      </c>
      <c r="H2412" s="6" t="str" cm="1">
        <f t="array" ref="H2412">IFERROR(IF(INDEX(EmployeeData[Exit Date], ROW() - 37)=0, "",INDEX(EmployeeData[Exit Date], ROW() - 37)),"")</f>
        <v/>
      </c>
      <c r="I2412" s="4" t="str" cm="1">
        <f t="array" ref="I2412">IFERROR(IF(INDEX(EmployeeData[Exit Reason], ROW() - 37)=0, "",INDEX(EmployeeData[Exit Reason], ROW() - 37)),"")</f>
        <v/>
      </c>
      <c r="J2412" s="4" t="str" cm="1">
        <f t="array" ref="J2412">IFERROR(INDEX(EmployeeData[Status], ROW() - 37), "")</f>
        <v/>
      </c>
    </row>
    <row r="2413" spans="2:10" ht="19.95" customHeight="1" x14ac:dyDescent="0.3">
      <c r="B2413" s="4" t="str" cm="1">
        <f t="array" ref="B2413">IFERROR(INDEX(EmployeeData[Employee ID], ROW() - 37), "")</f>
        <v/>
      </c>
      <c r="C2413" s="4" t="str" cm="1">
        <f t="array" ref="C2413">IFERROR(INDEX(EmployeeData[Full Name], ROW() - 37), "")</f>
        <v/>
      </c>
      <c r="D2413" s="4" t="str" cm="1">
        <f t="array" ref="D2413">IFERROR(INDEX(EmployeeData[Department], ROW() - 37), "")</f>
        <v/>
      </c>
      <c r="E2413" s="4" t="str" cm="1">
        <f t="array" ref="E2413">IFERROR(INDEX(EmployeeData[Gender], ROW() - 37), "")</f>
        <v/>
      </c>
      <c r="F2413" s="4" t="str" cm="1">
        <f t="array" ref="F2413">IFERROR(INDEX(EmployeeData[Age], ROW() - 37), "")</f>
        <v/>
      </c>
      <c r="G2413" s="6" t="str" cm="1">
        <f t="array" ref="G2413">IFERROR(INDEX(EmployeeData[Join Date], ROW() - 37), "")</f>
        <v/>
      </c>
      <c r="H2413" s="6" t="str" cm="1">
        <f t="array" ref="H2413">IFERROR(IF(INDEX(EmployeeData[Exit Date], ROW() - 37)=0, "",INDEX(EmployeeData[Exit Date], ROW() - 37)),"")</f>
        <v/>
      </c>
      <c r="I2413" s="4" t="str" cm="1">
        <f t="array" ref="I2413">IFERROR(IF(INDEX(EmployeeData[Exit Reason], ROW() - 37)=0, "",INDEX(EmployeeData[Exit Reason], ROW() - 37)),"")</f>
        <v/>
      </c>
      <c r="J2413" s="4" t="str" cm="1">
        <f t="array" ref="J2413">IFERROR(INDEX(EmployeeData[Status], ROW() - 37), "")</f>
        <v/>
      </c>
    </row>
    <row r="2414" spans="2:10" ht="19.95" customHeight="1" x14ac:dyDescent="0.3">
      <c r="B2414" s="4" t="str" cm="1">
        <f t="array" ref="B2414">IFERROR(INDEX(EmployeeData[Employee ID], ROW() - 37), "")</f>
        <v/>
      </c>
      <c r="C2414" s="4" t="str" cm="1">
        <f t="array" ref="C2414">IFERROR(INDEX(EmployeeData[Full Name], ROW() - 37), "")</f>
        <v/>
      </c>
      <c r="D2414" s="4" t="str" cm="1">
        <f t="array" ref="D2414">IFERROR(INDEX(EmployeeData[Department], ROW() - 37), "")</f>
        <v/>
      </c>
      <c r="E2414" s="4" t="str" cm="1">
        <f t="array" ref="E2414">IFERROR(INDEX(EmployeeData[Gender], ROW() - 37), "")</f>
        <v/>
      </c>
      <c r="F2414" s="4" t="str" cm="1">
        <f t="array" ref="F2414">IFERROR(INDEX(EmployeeData[Age], ROW() - 37), "")</f>
        <v/>
      </c>
      <c r="G2414" s="6" t="str" cm="1">
        <f t="array" ref="G2414">IFERROR(INDEX(EmployeeData[Join Date], ROW() - 37), "")</f>
        <v/>
      </c>
      <c r="H2414" s="6" t="str" cm="1">
        <f t="array" ref="H2414">IFERROR(IF(INDEX(EmployeeData[Exit Date], ROW() - 37)=0, "",INDEX(EmployeeData[Exit Date], ROW() - 37)),"")</f>
        <v/>
      </c>
      <c r="I2414" s="4" t="str" cm="1">
        <f t="array" ref="I2414">IFERROR(IF(INDEX(EmployeeData[Exit Reason], ROW() - 37)=0, "",INDEX(EmployeeData[Exit Reason], ROW() - 37)),"")</f>
        <v/>
      </c>
      <c r="J2414" s="4" t="str" cm="1">
        <f t="array" ref="J2414">IFERROR(INDEX(EmployeeData[Status], ROW() - 37), "")</f>
        <v/>
      </c>
    </row>
    <row r="2415" spans="2:10" ht="19.95" customHeight="1" x14ac:dyDescent="0.3">
      <c r="B2415" s="4" t="str" cm="1">
        <f t="array" ref="B2415">IFERROR(INDEX(EmployeeData[Employee ID], ROW() - 37), "")</f>
        <v/>
      </c>
      <c r="C2415" s="4" t="str" cm="1">
        <f t="array" ref="C2415">IFERROR(INDEX(EmployeeData[Full Name], ROW() - 37), "")</f>
        <v/>
      </c>
      <c r="D2415" s="4" t="str" cm="1">
        <f t="array" ref="D2415">IFERROR(INDEX(EmployeeData[Department], ROW() - 37), "")</f>
        <v/>
      </c>
      <c r="E2415" s="4" t="str" cm="1">
        <f t="array" ref="E2415">IFERROR(INDEX(EmployeeData[Gender], ROW() - 37), "")</f>
        <v/>
      </c>
      <c r="F2415" s="4" t="str" cm="1">
        <f t="array" ref="F2415">IFERROR(INDEX(EmployeeData[Age], ROW() - 37), "")</f>
        <v/>
      </c>
      <c r="G2415" s="6" t="str" cm="1">
        <f t="array" ref="G2415">IFERROR(INDEX(EmployeeData[Join Date], ROW() - 37), "")</f>
        <v/>
      </c>
      <c r="H2415" s="6" t="str" cm="1">
        <f t="array" ref="H2415">IFERROR(IF(INDEX(EmployeeData[Exit Date], ROW() - 37)=0, "",INDEX(EmployeeData[Exit Date], ROW() - 37)),"")</f>
        <v/>
      </c>
      <c r="I2415" s="4" t="str" cm="1">
        <f t="array" ref="I2415">IFERROR(IF(INDEX(EmployeeData[Exit Reason], ROW() - 37)=0, "",INDEX(EmployeeData[Exit Reason], ROW() - 37)),"")</f>
        <v/>
      </c>
      <c r="J2415" s="4" t="str" cm="1">
        <f t="array" ref="J2415">IFERROR(INDEX(EmployeeData[Status], ROW() - 37), "")</f>
        <v/>
      </c>
    </row>
    <row r="2416" spans="2:10" ht="19.95" customHeight="1" x14ac:dyDescent="0.3">
      <c r="B2416" s="4" t="str" cm="1">
        <f t="array" ref="B2416">IFERROR(INDEX(EmployeeData[Employee ID], ROW() - 37), "")</f>
        <v/>
      </c>
      <c r="C2416" s="4" t="str" cm="1">
        <f t="array" ref="C2416">IFERROR(INDEX(EmployeeData[Full Name], ROW() - 37), "")</f>
        <v/>
      </c>
      <c r="D2416" s="4" t="str" cm="1">
        <f t="array" ref="D2416">IFERROR(INDEX(EmployeeData[Department], ROW() - 37), "")</f>
        <v/>
      </c>
      <c r="E2416" s="4" t="str" cm="1">
        <f t="array" ref="E2416">IFERROR(INDEX(EmployeeData[Gender], ROW() - 37), "")</f>
        <v/>
      </c>
      <c r="F2416" s="4" t="str" cm="1">
        <f t="array" ref="F2416">IFERROR(INDEX(EmployeeData[Age], ROW() - 37), "")</f>
        <v/>
      </c>
      <c r="G2416" s="6" t="str" cm="1">
        <f t="array" ref="G2416">IFERROR(INDEX(EmployeeData[Join Date], ROW() - 37), "")</f>
        <v/>
      </c>
      <c r="H2416" s="6" t="str" cm="1">
        <f t="array" ref="H2416">IFERROR(IF(INDEX(EmployeeData[Exit Date], ROW() - 37)=0, "",INDEX(EmployeeData[Exit Date], ROW() - 37)),"")</f>
        <v/>
      </c>
      <c r="I2416" s="4" t="str" cm="1">
        <f t="array" ref="I2416">IFERROR(IF(INDEX(EmployeeData[Exit Reason], ROW() - 37)=0, "",INDEX(EmployeeData[Exit Reason], ROW() - 37)),"")</f>
        <v/>
      </c>
      <c r="J2416" s="4" t="str" cm="1">
        <f t="array" ref="J2416">IFERROR(INDEX(EmployeeData[Status], ROW() - 37), "")</f>
        <v/>
      </c>
    </row>
    <row r="2417" spans="2:10" ht="19.95" customHeight="1" x14ac:dyDescent="0.3">
      <c r="B2417" s="4" t="str" cm="1">
        <f t="array" ref="B2417">IFERROR(INDEX(EmployeeData[Employee ID], ROW() - 37), "")</f>
        <v/>
      </c>
      <c r="C2417" s="4" t="str" cm="1">
        <f t="array" ref="C2417">IFERROR(INDEX(EmployeeData[Full Name], ROW() - 37), "")</f>
        <v/>
      </c>
      <c r="D2417" s="4" t="str" cm="1">
        <f t="array" ref="D2417">IFERROR(INDEX(EmployeeData[Department], ROW() - 37), "")</f>
        <v/>
      </c>
      <c r="E2417" s="4" t="str" cm="1">
        <f t="array" ref="E2417">IFERROR(INDEX(EmployeeData[Gender], ROW() - 37), "")</f>
        <v/>
      </c>
      <c r="F2417" s="4" t="str" cm="1">
        <f t="array" ref="F2417">IFERROR(INDEX(EmployeeData[Age], ROW() - 37), "")</f>
        <v/>
      </c>
      <c r="G2417" s="6" t="str" cm="1">
        <f t="array" ref="G2417">IFERROR(INDEX(EmployeeData[Join Date], ROW() - 37), "")</f>
        <v/>
      </c>
      <c r="H2417" s="6" t="str" cm="1">
        <f t="array" ref="H2417">IFERROR(IF(INDEX(EmployeeData[Exit Date], ROW() - 37)=0, "",INDEX(EmployeeData[Exit Date], ROW() - 37)),"")</f>
        <v/>
      </c>
      <c r="I2417" s="4" t="str" cm="1">
        <f t="array" ref="I2417">IFERROR(IF(INDEX(EmployeeData[Exit Reason], ROW() - 37)=0, "",INDEX(EmployeeData[Exit Reason], ROW() - 37)),"")</f>
        <v/>
      </c>
      <c r="J2417" s="4" t="str" cm="1">
        <f t="array" ref="J2417">IFERROR(INDEX(EmployeeData[Status], ROW() - 37), "")</f>
        <v/>
      </c>
    </row>
    <row r="2418" spans="2:10" ht="19.95" customHeight="1" x14ac:dyDescent="0.3">
      <c r="B2418" s="4" t="str" cm="1">
        <f t="array" ref="B2418">IFERROR(INDEX(EmployeeData[Employee ID], ROW() - 37), "")</f>
        <v/>
      </c>
      <c r="C2418" s="4" t="str" cm="1">
        <f t="array" ref="C2418">IFERROR(INDEX(EmployeeData[Full Name], ROW() - 37), "")</f>
        <v/>
      </c>
      <c r="D2418" s="4" t="str" cm="1">
        <f t="array" ref="D2418">IFERROR(INDEX(EmployeeData[Department], ROW() - 37), "")</f>
        <v/>
      </c>
      <c r="E2418" s="4" t="str" cm="1">
        <f t="array" ref="E2418">IFERROR(INDEX(EmployeeData[Gender], ROW() - 37), "")</f>
        <v/>
      </c>
      <c r="F2418" s="4" t="str" cm="1">
        <f t="array" ref="F2418">IFERROR(INDEX(EmployeeData[Age], ROW() - 37), "")</f>
        <v/>
      </c>
      <c r="G2418" s="6" t="str" cm="1">
        <f t="array" ref="G2418">IFERROR(INDEX(EmployeeData[Join Date], ROW() - 37), "")</f>
        <v/>
      </c>
      <c r="H2418" s="6" t="str" cm="1">
        <f t="array" ref="H2418">IFERROR(IF(INDEX(EmployeeData[Exit Date], ROW() - 37)=0, "",INDEX(EmployeeData[Exit Date], ROW() - 37)),"")</f>
        <v/>
      </c>
      <c r="I2418" s="4" t="str" cm="1">
        <f t="array" ref="I2418">IFERROR(IF(INDEX(EmployeeData[Exit Reason], ROW() - 37)=0, "",INDEX(EmployeeData[Exit Reason], ROW() - 37)),"")</f>
        <v/>
      </c>
      <c r="J2418" s="4" t="str" cm="1">
        <f t="array" ref="J2418">IFERROR(INDEX(EmployeeData[Status], ROW() - 37), "")</f>
        <v/>
      </c>
    </row>
    <row r="2419" spans="2:10" ht="19.95" customHeight="1" x14ac:dyDescent="0.3">
      <c r="B2419" s="4" t="str" cm="1">
        <f t="array" ref="B2419">IFERROR(INDEX(EmployeeData[Employee ID], ROW() - 37), "")</f>
        <v/>
      </c>
      <c r="C2419" s="4" t="str" cm="1">
        <f t="array" ref="C2419">IFERROR(INDEX(EmployeeData[Full Name], ROW() - 37), "")</f>
        <v/>
      </c>
      <c r="D2419" s="4" t="str" cm="1">
        <f t="array" ref="D2419">IFERROR(INDEX(EmployeeData[Department], ROW() - 37), "")</f>
        <v/>
      </c>
      <c r="E2419" s="4" t="str" cm="1">
        <f t="array" ref="E2419">IFERROR(INDEX(EmployeeData[Gender], ROW() - 37), "")</f>
        <v/>
      </c>
      <c r="F2419" s="4" t="str" cm="1">
        <f t="array" ref="F2419">IFERROR(INDEX(EmployeeData[Age], ROW() - 37), "")</f>
        <v/>
      </c>
      <c r="G2419" s="6" t="str" cm="1">
        <f t="array" ref="G2419">IFERROR(INDEX(EmployeeData[Join Date], ROW() - 37), "")</f>
        <v/>
      </c>
      <c r="H2419" s="6" t="str" cm="1">
        <f t="array" ref="H2419">IFERROR(IF(INDEX(EmployeeData[Exit Date], ROW() - 37)=0, "",INDEX(EmployeeData[Exit Date], ROW() - 37)),"")</f>
        <v/>
      </c>
      <c r="I2419" s="4" t="str" cm="1">
        <f t="array" ref="I2419">IFERROR(IF(INDEX(EmployeeData[Exit Reason], ROW() - 37)=0, "",INDEX(EmployeeData[Exit Reason], ROW() - 37)),"")</f>
        <v/>
      </c>
      <c r="J2419" s="4" t="str" cm="1">
        <f t="array" ref="J2419">IFERROR(INDEX(EmployeeData[Status], ROW() - 37), "")</f>
        <v/>
      </c>
    </row>
    <row r="2420" spans="2:10" ht="19.95" customHeight="1" x14ac:dyDescent="0.3">
      <c r="B2420" s="4" t="str" cm="1">
        <f t="array" ref="B2420">IFERROR(INDEX(EmployeeData[Employee ID], ROW() - 37), "")</f>
        <v/>
      </c>
      <c r="C2420" s="4" t="str" cm="1">
        <f t="array" ref="C2420">IFERROR(INDEX(EmployeeData[Full Name], ROW() - 37), "")</f>
        <v/>
      </c>
      <c r="D2420" s="4" t="str" cm="1">
        <f t="array" ref="D2420">IFERROR(INDEX(EmployeeData[Department], ROW() - 37), "")</f>
        <v/>
      </c>
      <c r="E2420" s="4" t="str" cm="1">
        <f t="array" ref="E2420">IFERROR(INDEX(EmployeeData[Gender], ROW() - 37), "")</f>
        <v/>
      </c>
      <c r="F2420" s="4" t="str" cm="1">
        <f t="array" ref="F2420">IFERROR(INDEX(EmployeeData[Age], ROW() - 37), "")</f>
        <v/>
      </c>
      <c r="G2420" s="6" t="str" cm="1">
        <f t="array" ref="G2420">IFERROR(INDEX(EmployeeData[Join Date], ROW() - 37), "")</f>
        <v/>
      </c>
      <c r="H2420" s="6" t="str" cm="1">
        <f t="array" ref="H2420">IFERROR(IF(INDEX(EmployeeData[Exit Date], ROW() - 37)=0, "",INDEX(EmployeeData[Exit Date], ROW() - 37)),"")</f>
        <v/>
      </c>
      <c r="I2420" s="4" t="str" cm="1">
        <f t="array" ref="I2420">IFERROR(IF(INDEX(EmployeeData[Exit Reason], ROW() - 37)=0, "",INDEX(EmployeeData[Exit Reason], ROW() - 37)),"")</f>
        <v/>
      </c>
      <c r="J2420" s="4" t="str" cm="1">
        <f t="array" ref="J2420">IFERROR(INDEX(EmployeeData[Status], ROW() - 37), "")</f>
        <v/>
      </c>
    </row>
    <row r="2421" spans="2:10" ht="19.95" customHeight="1" x14ac:dyDescent="0.3">
      <c r="B2421" s="4" t="str" cm="1">
        <f t="array" ref="B2421">IFERROR(INDEX(EmployeeData[Employee ID], ROW() - 37), "")</f>
        <v/>
      </c>
      <c r="C2421" s="4" t="str" cm="1">
        <f t="array" ref="C2421">IFERROR(INDEX(EmployeeData[Full Name], ROW() - 37), "")</f>
        <v/>
      </c>
      <c r="D2421" s="4" t="str" cm="1">
        <f t="array" ref="D2421">IFERROR(INDEX(EmployeeData[Department], ROW() - 37), "")</f>
        <v/>
      </c>
      <c r="E2421" s="4" t="str" cm="1">
        <f t="array" ref="E2421">IFERROR(INDEX(EmployeeData[Gender], ROW() - 37), "")</f>
        <v/>
      </c>
      <c r="F2421" s="4" t="str" cm="1">
        <f t="array" ref="F2421">IFERROR(INDEX(EmployeeData[Age], ROW() - 37), "")</f>
        <v/>
      </c>
      <c r="G2421" s="6" t="str" cm="1">
        <f t="array" ref="G2421">IFERROR(INDEX(EmployeeData[Join Date], ROW() - 37), "")</f>
        <v/>
      </c>
      <c r="H2421" s="6" t="str" cm="1">
        <f t="array" ref="H2421">IFERROR(IF(INDEX(EmployeeData[Exit Date], ROW() - 37)=0, "",INDEX(EmployeeData[Exit Date], ROW() - 37)),"")</f>
        <v/>
      </c>
      <c r="I2421" s="4" t="str" cm="1">
        <f t="array" ref="I2421">IFERROR(IF(INDEX(EmployeeData[Exit Reason], ROW() - 37)=0, "",INDEX(EmployeeData[Exit Reason], ROW() - 37)),"")</f>
        <v/>
      </c>
      <c r="J2421" s="4" t="str" cm="1">
        <f t="array" ref="J2421">IFERROR(INDEX(EmployeeData[Status], ROW() - 37), "")</f>
        <v/>
      </c>
    </row>
    <row r="2422" spans="2:10" ht="19.95" customHeight="1" x14ac:dyDescent="0.3">
      <c r="B2422" s="4" t="str" cm="1">
        <f t="array" ref="B2422">IFERROR(INDEX(EmployeeData[Employee ID], ROW() - 37), "")</f>
        <v/>
      </c>
      <c r="C2422" s="4" t="str" cm="1">
        <f t="array" ref="C2422">IFERROR(INDEX(EmployeeData[Full Name], ROW() - 37), "")</f>
        <v/>
      </c>
      <c r="D2422" s="4" t="str" cm="1">
        <f t="array" ref="D2422">IFERROR(INDEX(EmployeeData[Department], ROW() - 37), "")</f>
        <v/>
      </c>
      <c r="E2422" s="4" t="str" cm="1">
        <f t="array" ref="E2422">IFERROR(INDEX(EmployeeData[Gender], ROW() - 37), "")</f>
        <v/>
      </c>
      <c r="F2422" s="4" t="str" cm="1">
        <f t="array" ref="F2422">IFERROR(INDEX(EmployeeData[Age], ROW() - 37), "")</f>
        <v/>
      </c>
      <c r="G2422" s="6" t="str" cm="1">
        <f t="array" ref="G2422">IFERROR(INDEX(EmployeeData[Join Date], ROW() - 37), "")</f>
        <v/>
      </c>
      <c r="H2422" s="6" t="str" cm="1">
        <f t="array" ref="H2422">IFERROR(IF(INDEX(EmployeeData[Exit Date], ROW() - 37)=0, "",INDEX(EmployeeData[Exit Date], ROW() - 37)),"")</f>
        <v/>
      </c>
      <c r="I2422" s="4" t="str" cm="1">
        <f t="array" ref="I2422">IFERROR(IF(INDEX(EmployeeData[Exit Reason], ROW() - 37)=0, "",INDEX(EmployeeData[Exit Reason], ROW() - 37)),"")</f>
        <v/>
      </c>
      <c r="J2422" s="4" t="str" cm="1">
        <f t="array" ref="J2422">IFERROR(INDEX(EmployeeData[Status], ROW() - 37), "")</f>
        <v/>
      </c>
    </row>
    <row r="2423" spans="2:10" ht="19.95" customHeight="1" x14ac:dyDescent="0.3">
      <c r="B2423" s="4" t="str" cm="1">
        <f t="array" ref="B2423">IFERROR(INDEX(EmployeeData[Employee ID], ROW() - 37), "")</f>
        <v/>
      </c>
      <c r="C2423" s="4" t="str" cm="1">
        <f t="array" ref="C2423">IFERROR(INDEX(EmployeeData[Full Name], ROW() - 37), "")</f>
        <v/>
      </c>
      <c r="D2423" s="4" t="str" cm="1">
        <f t="array" ref="D2423">IFERROR(INDEX(EmployeeData[Department], ROW() - 37), "")</f>
        <v/>
      </c>
      <c r="E2423" s="4" t="str" cm="1">
        <f t="array" ref="E2423">IFERROR(INDEX(EmployeeData[Gender], ROW() - 37), "")</f>
        <v/>
      </c>
      <c r="F2423" s="4" t="str" cm="1">
        <f t="array" ref="F2423">IFERROR(INDEX(EmployeeData[Age], ROW() - 37), "")</f>
        <v/>
      </c>
      <c r="G2423" s="6" t="str" cm="1">
        <f t="array" ref="G2423">IFERROR(INDEX(EmployeeData[Join Date], ROW() - 37), "")</f>
        <v/>
      </c>
      <c r="H2423" s="6" t="str" cm="1">
        <f t="array" ref="H2423">IFERROR(IF(INDEX(EmployeeData[Exit Date], ROW() - 37)=0, "",INDEX(EmployeeData[Exit Date], ROW() - 37)),"")</f>
        <v/>
      </c>
      <c r="I2423" s="4" t="str" cm="1">
        <f t="array" ref="I2423">IFERROR(IF(INDEX(EmployeeData[Exit Reason], ROW() - 37)=0, "",INDEX(EmployeeData[Exit Reason], ROW() - 37)),"")</f>
        <v/>
      </c>
      <c r="J2423" s="4" t="str" cm="1">
        <f t="array" ref="J2423">IFERROR(INDEX(EmployeeData[Status], ROW() - 37), "")</f>
        <v/>
      </c>
    </row>
    <row r="2424" spans="2:10" ht="19.95" customHeight="1" x14ac:dyDescent="0.3">
      <c r="B2424" s="4" t="str" cm="1">
        <f t="array" ref="B2424">IFERROR(INDEX(EmployeeData[Employee ID], ROW() - 37), "")</f>
        <v/>
      </c>
      <c r="C2424" s="4" t="str" cm="1">
        <f t="array" ref="C2424">IFERROR(INDEX(EmployeeData[Full Name], ROW() - 37), "")</f>
        <v/>
      </c>
      <c r="D2424" s="4" t="str" cm="1">
        <f t="array" ref="D2424">IFERROR(INDEX(EmployeeData[Department], ROW() - 37), "")</f>
        <v/>
      </c>
      <c r="E2424" s="4" t="str" cm="1">
        <f t="array" ref="E2424">IFERROR(INDEX(EmployeeData[Gender], ROW() - 37), "")</f>
        <v/>
      </c>
      <c r="F2424" s="4" t="str" cm="1">
        <f t="array" ref="F2424">IFERROR(INDEX(EmployeeData[Age], ROW() - 37), "")</f>
        <v/>
      </c>
      <c r="G2424" s="6" t="str" cm="1">
        <f t="array" ref="G2424">IFERROR(INDEX(EmployeeData[Join Date], ROW() - 37), "")</f>
        <v/>
      </c>
      <c r="H2424" s="6" t="str" cm="1">
        <f t="array" ref="H2424">IFERROR(IF(INDEX(EmployeeData[Exit Date], ROW() - 37)=0, "",INDEX(EmployeeData[Exit Date], ROW() - 37)),"")</f>
        <v/>
      </c>
      <c r="I2424" s="4" t="str" cm="1">
        <f t="array" ref="I2424">IFERROR(IF(INDEX(EmployeeData[Exit Reason], ROW() - 37)=0, "",INDEX(EmployeeData[Exit Reason], ROW() - 37)),"")</f>
        <v/>
      </c>
      <c r="J2424" s="4" t="str" cm="1">
        <f t="array" ref="J2424">IFERROR(INDEX(EmployeeData[Status], ROW() - 37), "")</f>
        <v/>
      </c>
    </row>
    <row r="2425" spans="2:10" ht="19.95" customHeight="1" x14ac:dyDescent="0.3">
      <c r="B2425" s="4" t="str" cm="1">
        <f t="array" ref="B2425">IFERROR(INDEX(EmployeeData[Employee ID], ROW() - 37), "")</f>
        <v/>
      </c>
      <c r="C2425" s="4" t="str" cm="1">
        <f t="array" ref="C2425">IFERROR(INDEX(EmployeeData[Full Name], ROW() - 37), "")</f>
        <v/>
      </c>
      <c r="D2425" s="4" t="str" cm="1">
        <f t="array" ref="D2425">IFERROR(INDEX(EmployeeData[Department], ROW() - 37), "")</f>
        <v/>
      </c>
      <c r="E2425" s="4" t="str" cm="1">
        <f t="array" ref="E2425">IFERROR(INDEX(EmployeeData[Gender], ROW() - 37), "")</f>
        <v/>
      </c>
      <c r="F2425" s="4" t="str" cm="1">
        <f t="array" ref="F2425">IFERROR(INDEX(EmployeeData[Age], ROW() - 37), "")</f>
        <v/>
      </c>
      <c r="G2425" s="6" t="str" cm="1">
        <f t="array" ref="G2425">IFERROR(INDEX(EmployeeData[Join Date], ROW() - 37), "")</f>
        <v/>
      </c>
      <c r="H2425" s="6" t="str" cm="1">
        <f t="array" ref="H2425">IFERROR(IF(INDEX(EmployeeData[Exit Date], ROW() - 37)=0, "",INDEX(EmployeeData[Exit Date], ROW() - 37)),"")</f>
        <v/>
      </c>
      <c r="I2425" s="4" t="str" cm="1">
        <f t="array" ref="I2425">IFERROR(IF(INDEX(EmployeeData[Exit Reason], ROW() - 37)=0, "",INDEX(EmployeeData[Exit Reason], ROW() - 37)),"")</f>
        <v/>
      </c>
      <c r="J2425" s="4" t="str" cm="1">
        <f t="array" ref="J2425">IFERROR(INDEX(EmployeeData[Status], ROW() - 37), "")</f>
        <v/>
      </c>
    </row>
    <row r="2426" spans="2:10" ht="19.95" customHeight="1" x14ac:dyDescent="0.3">
      <c r="B2426" s="4" t="str" cm="1">
        <f t="array" ref="B2426">IFERROR(INDEX(EmployeeData[Employee ID], ROW() - 37), "")</f>
        <v/>
      </c>
      <c r="C2426" s="4" t="str" cm="1">
        <f t="array" ref="C2426">IFERROR(INDEX(EmployeeData[Full Name], ROW() - 37), "")</f>
        <v/>
      </c>
      <c r="D2426" s="4" t="str" cm="1">
        <f t="array" ref="D2426">IFERROR(INDEX(EmployeeData[Department], ROW() - 37), "")</f>
        <v/>
      </c>
      <c r="E2426" s="4" t="str" cm="1">
        <f t="array" ref="E2426">IFERROR(INDEX(EmployeeData[Gender], ROW() - 37), "")</f>
        <v/>
      </c>
      <c r="F2426" s="4" t="str" cm="1">
        <f t="array" ref="F2426">IFERROR(INDEX(EmployeeData[Age], ROW() - 37), "")</f>
        <v/>
      </c>
      <c r="G2426" s="6" t="str" cm="1">
        <f t="array" ref="G2426">IFERROR(INDEX(EmployeeData[Join Date], ROW() - 37), "")</f>
        <v/>
      </c>
      <c r="H2426" s="6" t="str" cm="1">
        <f t="array" ref="H2426">IFERROR(IF(INDEX(EmployeeData[Exit Date], ROW() - 37)=0, "",INDEX(EmployeeData[Exit Date], ROW() - 37)),"")</f>
        <v/>
      </c>
      <c r="I2426" s="4" t="str" cm="1">
        <f t="array" ref="I2426">IFERROR(IF(INDEX(EmployeeData[Exit Reason], ROW() - 37)=0, "",INDEX(EmployeeData[Exit Reason], ROW() - 37)),"")</f>
        <v/>
      </c>
      <c r="J2426" s="4" t="str" cm="1">
        <f t="array" ref="J2426">IFERROR(INDEX(EmployeeData[Status], ROW() - 37), "")</f>
        <v/>
      </c>
    </row>
    <row r="2427" spans="2:10" ht="19.95" customHeight="1" x14ac:dyDescent="0.3">
      <c r="B2427" s="4" t="str" cm="1">
        <f t="array" ref="B2427">IFERROR(INDEX(EmployeeData[Employee ID], ROW() - 37), "")</f>
        <v/>
      </c>
      <c r="C2427" s="4" t="str" cm="1">
        <f t="array" ref="C2427">IFERROR(INDEX(EmployeeData[Full Name], ROW() - 37), "")</f>
        <v/>
      </c>
      <c r="D2427" s="4" t="str" cm="1">
        <f t="array" ref="D2427">IFERROR(INDEX(EmployeeData[Department], ROW() - 37), "")</f>
        <v/>
      </c>
      <c r="E2427" s="4" t="str" cm="1">
        <f t="array" ref="E2427">IFERROR(INDEX(EmployeeData[Gender], ROW() - 37), "")</f>
        <v/>
      </c>
      <c r="F2427" s="4" t="str" cm="1">
        <f t="array" ref="F2427">IFERROR(INDEX(EmployeeData[Age], ROW() - 37), "")</f>
        <v/>
      </c>
      <c r="G2427" s="6" t="str" cm="1">
        <f t="array" ref="G2427">IFERROR(INDEX(EmployeeData[Join Date], ROW() - 37), "")</f>
        <v/>
      </c>
      <c r="H2427" s="6" t="str" cm="1">
        <f t="array" ref="H2427">IFERROR(IF(INDEX(EmployeeData[Exit Date], ROW() - 37)=0, "",INDEX(EmployeeData[Exit Date], ROW() - 37)),"")</f>
        <v/>
      </c>
      <c r="I2427" s="4" t="str" cm="1">
        <f t="array" ref="I2427">IFERROR(IF(INDEX(EmployeeData[Exit Reason], ROW() - 37)=0, "",INDEX(EmployeeData[Exit Reason], ROW() - 37)),"")</f>
        <v/>
      </c>
      <c r="J2427" s="4" t="str" cm="1">
        <f t="array" ref="J2427">IFERROR(INDEX(EmployeeData[Status], ROW() - 37), "")</f>
        <v/>
      </c>
    </row>
    <row r="2428" spans="2:10" ht="19.95" customHeight="1" x14ac:dyDescent="0.3">
      <c r="B2428" s="4" t="str" cm="1">
        <f t="array" ref="B2428">IFERROR(INDEX(EmployeeData[Employee ID], ROW() - 37), "")</f>
        <v/>
      </c>
      <c r="C2428" s="4" t="str" cm="1">
        <f t="array" ref="C2428">IFERROR(INDEX(EmployeeData[Full Name], ROW() - 37), "")</f>
        <v/>
      </c>
      <c r="D2428" s="4" t="str" cm="1">
        <f t="array" ref="D2428">IFERROR(INDEX(EmployeeData[Department], ROW() - 37), "")</f>
        <v/>
      </c>
      <c r="E2428" s="4" t="str" cm="1">
        <f t="array" ref="E2428">IFERROR(INDEX(EmployeeData[Gender], ROW() - 37), "")</f>
        <v/>
      </c>
      <c r="F2428" s="4" t="str" cm="1">
        <f t="array" ref="F2428">IFERROR(INDEX(EmployeeData[Age], ROW() - 37), "")</f>
        <v/>
      </c>
      <c r="G2428" s="6" t="str" cm="1">
        <f t="array" ref="G2428">IFERROR(INDEX(EmployeeData[Join Date], ROW() - 37), "")</f>
        <v/>
      </c>
      <c r="H2428" s="6" t="str" cm="1">
        <f t="array" ref="H2428">IFERROR(IF(INDEX(EmployeeData[Exit Date], ROW() - 37)=0, "",INDEX(EmployeeData[Exit Date], ROW() - 37)),"")</f>
        <v/>
      </c>
      <c r="I2428" s="4" t="str" cm="1">
        <f t="array" ref="I2428">IFERROR(IF(INDEX(EmployeeData[Exit Reason], ROW() - 37)=0, "",INDEX(EmployeeData[Exit Reason], ROW() - 37)),"")</f>
        <v/>
      </c>
      <c r="J2428" s="4" t="str" cm="1">
        <f t="array" ref="J2428">IFERROR(INDEX(EmployeeData[Status], ROW() - 37), "")</f>
        <v/>
      </c>
    </row>
    <row r="2429" spans="2:10" ht="19.95" customHeight="1" x14ac:dyDescent="0.3">
      <c r="B2429" s="4" t="str" cm="1">
        <f t="array" ref="B2429">IFERROR(INDEX(EmployeeData[Employee ID], ROW() - 37), "")</f>
        <v/>
      </c>
      <c r="C2429" s="4" t="str" cm="1">
        <f t="array" ref="C2429">IFERROR(INDEX(EmployeeData[Full Name], ROW() - 37), "")</f>
        <v/>
      </c>
      <c r="D2429" s="4" t="str" cm="1">
        <f t="array" ref="D2429">IFERROR(INDEX(EmployeeData[Department], ROW() - 37), "")</f>
        <v/>
      </c>
      <c r="E2429" s="4" t="str" cm="1">
        <f t="array" ref="E2429">IFERROR(INDEX(EmployeeData[Gender], ROW() - 37), "")</f>
        <v/>
      </c>
      <c r="F2429" s="4" t="str" cm="1">
        <f t="array" ref="F2429">IFERROR(INDEX(EmployeeData[Age], ROW() - 37), "")</f>
        <v/>
      </c>
      <c r="G2429" s="6" t="str" cm="1">
        <f t="array" ref="G2429">IFERROR(INDEX(EmployeeData[Join Date], ROW() - 37), "")</f>
        <v/>
      </c>
      <c r="H2429" s="6" t="str" cm="1">
        <f t="array" ref="H2429">IFERROR(IF(INDEX(EmployeeData[Exit Date], ROW() - 37)=0, "",INDEX(EmployeeData[Exit Date], ROW() - 37)),"")</f>
        <v/>
      </c>
      <c r="I2429" s="4" t="str" cm="1">
        <f t="array" ref="I2429">IFERROR(IF(INDEX(EmployeeData[Exit Reason], ROW() - 37)=0, "",INDEX(EmployeeData[Exit Reason], ROW() - 37)),"")</f>
        <v/>
      </c>
      <c r="J2429" s="4" t="str" cm="1">
        <f t="array" ref="J2429">IFERROR(INDEX(EmployeeData[Status], ROW() - 37), "")</f>
        <v/>
      </c>
    </row>
    <row r="2430" spans="2:10" ht="19.95" customHeight="1" x14ac:dyDescent="0.3">
      <c r="B2430" s="4" t="str" cm="1">
        <f t="array" ref="B2430">IFERROR(INDEX(EmployeeData[Employee ID], ROW() - 37), "")</f>
        <v/>
      </c>
      <c r="C2430" s="4" t="str" cm="1">
        <f t="array" ref="C2430">IFERROR(INDEX(EmployeeData[Full Name], ROW() - 37), "")</f>
        <v/>
      </c>
      <c r="D2430" s="4" t="str" cm="1">
        <f t="array" ref="D2430">IFERROR(INDEX(EmployeeData[Department], ROW() - 37), "")</f>
        <v/>
      </c>
      <c r="E2430" s="4" t="str" cm="1">
        <f t="array" ref="E2430">IFERROR(INDEX(EmployeeData[Gender], ROW() - 37), "")</f>
        <v/>
      </c>
      <c r="F2430" s="4" t="str" cm="1">
        <f t="array" ref="F2430">IFERROR(INDEX(EmployeeData[Age], ROW() - 37), "")</f>
        <v/>
      </c>
      <c r="G2430" s="6" t="str" cm="1">
        <f t="array" ref="G2430">IFERROR(INDEX(EmployeeData[Join Date], ROW() - 37), "")</f>
        <v/>
      </c>
      <c r="H2430" s="6" t="str" cm="1">
        <f t="array" ref="H2430">IFERROR(IF(INDEX(EmployeeData[Exit Date], ROW() - 37)=0, "",INDEX(EmployeeData[Exit Date], ROW() - 37)),"")</f>
        <v/>
      </c>
      <c r="I2430" s="4" t="str" cm="1">
        <f t="array" ref="I2430">IFERROR(IF(INDEX(EmployeeData[Exit Reason], ROW() - 37)=0, "",INDEX(EmployeeData[Exit Reason], ROW() - 37)),"")</f>
        <v/>
      </c>
      <c r="J2430" s="4" t="str" cm="1">
        <f t="array" ref="J2430">IFERROR(INDEX(EmployeeData[Status], ROW() - 37), "")</f>
        <v/>
      </c>
    </row>
    <row r="2431" spans="2:10" ht="19.95" customHeight="1" x14ac:dyDescent="0.3">
      <c r="B2431" s="4" t="str" cm="1">
        <f t="array" ref="B2431">IFERROR(INDEX(EmployeeData[Employee ID], ROW() - 37), "")</f>
        <v/>
      </c>
      <c r="C2431" s="4" t="str" cm="1">
        <f t="array" ref="C2431">IFERROR(INDEX(EmployeeData[Full Name], ROW() - 37), "")</f>
        <v/>
      </c>
      <c r="D2431" s="4" t="str" cm="1">
        <f t="array" ref="D2431">IFERROR(INDEX(EmployeeData[Department], ROW() - 37), "")</f>
        <v/>
      </c>
      <c r="E2431" s="4" t="str" cm="1">
        <f t="array" ref="E2431">IFERROR(INDEX(EmployeeData[Gender], ROW() - 37), "")</f>
        <v/>
      </c>
      <c r="F2431" s="4" t="str" cm="1">
        <f t="array" ref="F2431">IFERROR(INDEX(EmployeeData[Age], ROW() - 37), "")</f>
        <v/>
      </c>
      <c r="G2431" s="6" t="str" cm="1">
        <f t="array" ref="G2431">IFERROR(INDEX(EmployeeData[Join Date], ROW() - 37), "")</f>
        <v/>
      </c>
      <c r="H2431" s="6" t="str" cm="1">
        <f t="array" ref="H2431">IFERROR(IF(INDEX(EmployeeData[Exit Date], ROW() - 37)=0, "",INDEX(EmployeeData[Exit Date], ROW() - 37)),"")</f>
        <v/>
      </c>
      <c r="I2431" s="4" t="str" cm="1">
        <f t="array" ref="I2431">IFERROR(IF(INDEX(EmployeeData[Exit Reason], ROW() - 37)=0, "",INDEX(EmployeeData[Exit Reason], ROW() - 37)),"")</f>
        <v/>
      </c>
      <c r="J2431" s="4" t="str" cm="1">
        <f t="array" ref="J2431">IFERROR(INDEX(EmployeeData[Status], ROW() - 37), "")</f>
        <v/>
      </c>
    </row>
    <row r="2432" spans="2:10" ht="19.95" customHeight="1" x14ac:dyDescent="0.3">
      <c r="B2432" s="4" t="str" cm="1">
        <f t="array" ref="B2432">IFERROR(INDEX(EmployeeData[Employee ID], ROW() - 37), "")</f>
        <v/>
      </c>
      <c r="C2432" s="4" t="str" cm="1">
        <f t="array" ref="C2432">IFERROR(INDEX(EmployeeData[Full Name], ROW() - 37), "")</f>
        <v/>
      </c>
      <c r="D2432" s="4" t="str" cm="1">
        <f t="array" ref="D2432">IFERROR(INDEX(EmployeeData[Department], ROW() - 37), "")</f>
        <v/>
      </c>
      <c r="E2432" s="4" t="str" cm="1">
        <f t="array" ref="E2432">IFERROR(INDEX(EmployeeData[Gender], ROW() - 37), "")</f>
        <v/>
      </c>
      <c r="F2432" s="4" t="str" cm="1">
        <f t="array" ref="F2432">IFERROR(INDEX(EmployeeData[Age], ROW() - 37), "")</f>
        <v/>
      </c>
      <c r="G2432" s="6" t="str" cm="1">
        <f t="array" ref="G2432">IFERROR(INDEX(EmployeeData[Join Date], ROW() - 37), "")</f>
        <v/>
      </c>
      <c r="H2432" s="6" t="str" cm="1">
        <f t="array" ref="H2432">IFERROR(IF(INDEX(EmployeeData[Exit Date], ROW() - 37)=0, "",INDEX(EmployeeData[Exit Date], ROW() - 37)),"")</f>
        <v/>
      </c>
      <c r="I2432" s="4" t="str" cm="1">
        <f t="array" ref="I2432">IFERROR(IF(INDEX(EmployeeData[Exit Reason], ROW() - 37)=0, "",INDEX(EmployeeData[Exit Reason], ROW() - 37)),"")</f>
        <v/>
      </c>
      <c r="J2432" s="4" t="str" cm="1">
        <f t="array" ref="J2432">IFERROR(INDEX(EmployeeData[Status], ROW() - 37), "")</f>
        <v/>
      </c>
    </row>
    <row r="2433" spans="2:10" ht="19.95" customHeight="1" x14ac:dyDescent="0.3">
      <c r="B2433" s="4" t="str" cm="1">
        <f t="array" ref="B2433">IFERROR(INDEX(EmployeeData[Employee ID], ROW() - 37), "")</f>
        <v/>
      </c>
      <c r="C2433" s="4" t="str" cm="1">
        <f t="array" ref="C2433">IFERROR(INDEX(EmployeeData[Full Name], ROW() - 37), "")</f>
        <v/>
      </c>
      <c r="D2433" s="4" t="str" cm="1">
        <f t="array" ref="D2433">IFERROR(INDEX(EmployeeData[Department], ROW() - 37), "")</f>
        <v/>
      </c>
      <c r="E2433" s="4" t="str" cm="1">
        <f t="array" ref="E2433">IFERROR(INDEX(EmployeeData[Gender], ROW() - 37), "")</f>
        <v/>
      </c>
      <c r="F2433" s="4" t="str" cm="1">
        <f t="array" ref="F2433">IFERROR(INDEX(EmployeeData[Age], ROW() - 37), "")</f>
        <v/>
      </c>
      <c r="G2433" s="6" t="str" cm="1">
        <f t="array" ref="G2433">IFERROR(INDEX(EmployeeData[Join Date], ROW() - 37), "")</f>
        <v/>
      </c>
      <c r="H2433" s="6" t="str" cm="1">
        <f t="array" ref="H2433">IFERROR(IF(INDEX(EmployeeData[Exit Date], ROW() - 37)=0, "",INDEX(EmployeeData[Exit Date], ROW() - 37)),"")</f>
        <v/>
      </c>
      <c r="I2433" s="4" t="str" cm="1">
        <f t="array" ref="I2433">IFERROR(IF(INDEX(EmployeeData[Exit Reason], ROW() - 37)=0, "",INDEX(EmployeeData[Exit Reason], ROW() - 37)),"")</f>
        <v/>
      </c>
      <c r="J2433" s="4" t="str" cm="1">
        <f t="array" ref="J2433">IFERROR(INDEX(EmployeeData[Status], ROW() - 37), "")</f>
        <v/>
      </c>
    </row>
    <row r="2434" spans="2:10" ht="19.95" customHeight="1" x14ac:dyDescent="0.3">
      <c r="B2434" s="4" t="str" cm="1">
        <f t="array" ref="B2434">IFERROR(INDEX(EmployeeData[Employee ID], ROW() - 37), "")</f>
        <v/>
      </c>
      <c r="C2434" s="4" t="str" cm="1">
        <f t="array" ref="C2434">IFERROR(INDEX(EmployeeData[Full Name], ROW() - 37), "")</f>
        <v/>
      </c>
      <c r="D2434" s="4" t="str" cm="1">
        <f t="array" ref="D2434">IFERROR(INDEX(EmployeeData[Department], ROW() - 37), "")</f>
        <v/>
      </c>
      <c r="E2434" s="4" t="str" cm="1">
        <f t="array" ref="E2434">IFERROR(INDEX(EmployeeData[Gender], ROW() - 37), "")</f>
        <v/>
      </c>
      <c r="F2434" s="4" t="str" cm="1">
        <f t="array" ref="F2434">IFERROR(INDEX(EmployeeData[Age], ROW() - 37), "")</f>
        <v/>
      </c>
      <c r="G2434" s="6" t="str" cm="1">
        <f t="array" ref="G2434">IFERROR(INDEX(EmployeeData[Join Date], ROW() - 37), "")</f>
        <v/>
      </c>
      <c r="H2434" s="6" t="str" cm="1">
        <f t="array" ref="H2434">IFERROR(IF(INDEX(EmployeeData[Exit Date], ROW() - 37)=0, "",INDEX(EmployeeData[Exit Date], ROW() - 37)),"")</f>
        <v/>
      </c>
      <c r="I2434" s="4" t="str" cm="1">
        <f t="array" ref="I2434">IFERROR(IF(INDEX(EmployeeData[Exit Reason], ROW() - 37)=0, "",INDEX(EmployeeData[Exit Reason], ROW() - 37)),"")</f>
        <v/>
      </c>
      <c r="J2434" s="4" t="str" cm="1">
        <f t="array" ref="J2434">IFERROR(INDEX(EmployeeData[Status], ROW() - 37), "")</f>
        <v/>
      </c>
    </row>
    <row r="2435" spans="2:10" ht="19.95" customHeight="1" x14ac:dyDescent="0.3">
      <c r="B2435" s="4" t="str" cm="1">
        <f t="array" ref="B2435">IFERROR(INDEX(EmployeeData[Employee ID], ROW() - 37), "")</f>
        <v/>
      </c>
      <c r="C2435" s="4" t="str" cm="1">
        <f t="array" ref="C2435">IFERROR(INDEX(EmployeeData[Full Name], ROW() - 37), "")</f>
        <v/>
      </c>
      <c r="D2435" s="4" t="str" cm="1">
        <f t="array" ref="D2435">IFERROR(INDEX(EmployeeData[Department], ROW() - 37), "")</f>
        <v/>
      </c>
      <c r="E2435" s="4" t="str" cm="1">
        <f t="array" ref="E2435">IFERROR(INDEX(EmployeeData[Gender], ROW() - 37), "")</f>
        <v/>
      </c>
      <c r="F2435" s="4" t="str" cm="1">
        <f t="array" ref="F2435">IFERROR(INDEX(EmployeeData[Age], ROW() - 37), "")</f>
        <v/>
      </c>
      <c r="G2435" s="6" t="str" cm="1">
        <f t="array" ref="G2435">IFERROR(INDEX(EmployeeData[Join Date], ROW() - 37), "")</f>
        <v/>
      </c>
      <c r="H2435" s="6" t="str" cm="1">
        <f t="array" ref="H2435">IFERROR(IF(INDEX(EmployeeData[Exit Date], ROW() - 37)=0, "",INDEX(EmployeeData[Exit Date], ROW() - 37)),"")</f>
        <v/>
      </c>
      <c r="I2435" s="4" t="str" cm="1">
        <f t="array" ref="I2435">IFERROR(IF(INDEX(EmployeeData[Exit Reason], ROW() - 37)=0, "",INDEX(EmployeeData[Exit Reason], ROW() - 37)),"")</f>
        <v/>
      </c>
      <c r="J2435" s="4" t="str" cm="1">
        <f t="array" ref="J2435">IFERROR(INDEX(EmployeeData[Status], ROW() - 37), "")</f>
        <v/>
      </c>
    </row>
    <row r="2436" spans="2:10" ht="19.95" customHeight="1" x14ac:dyDescent="0.3">
      <c r="B2436" s="4" t="str" cm="1">
        <f t="array" ref="B2436">IFERROR(INDEX(EmployeeData[Employee ID], ROW() - 37), "")</f>
        <v/>
      </c>
      <c r="C2436" s="4" t="str" cm="1">
        <f t="array" ref="C2436">IFERROR(INDEX(EmployeeData[Full Name], ROW() - 37), "")</f>
        <v/>
      </c>
      <c r="D2436" s="4" t="str" cm="1">
        <f t="array" ref="D2436">IFERROR(INDEX(EmployeeData[Department], ROW() - 37), "")</f>
        <v/>
      </c>
      <c r="E2436" s="4" t="str" cm="1">
        <f t="array" ref="E2436">IFERROR(INDEX(EmployeeData[Gender], ROW() - 37), "")</f>
        <v/>
      </c>
      <c r="F2436" s="4" t="str" cm="1">
        <f t="array" ref="F2436">IFERROR(INDEX(EmployeeData[Age], ROW() - 37), "")</f>
        <v/>
      </c>
      <c r="G2436" s="6" t="str" cm="1">
        <f t="array" ref="G2436">IFERROR(INDEX(EmployeeData[Join Date], ROW() - 37), "")</f>
        <v/>
      </c>
      <c r="H2436" s="6" t="str" cm="1">
        <f t="array" ref="H2436">IFERROR(IF(INDEX(EmployeeData[Exit Date], ROW() - 37)=0, "",INDEX(EmployeeData[Exit Date], ROW() - 37)),"")</f>
        <v/>
      </c>
      <c r="I2436" s="4" t="str" cm="1">
        <f t="array" ref="I2436">IFERROR(IF(INDEX(EmployeeData[Exit Reason], ROW() - 37)=0, "",INDEX(EmployeeData[Exit Reason], ROW() - 37)),"")</f>
        <v/>
      </c>
      <c r="J2436" s="4" t="str" cm="1">
        <f t="array" ref="J2436">IFERROR(INDEX(EmployeeData[Status], ROW() - 37), "")</f>
        <v/>
      </c>
    </row>
    <row r="2437" spans="2:10" ht="19.95" customHeight="1" x14ac:dyDescent="0.3">
      <c r="B2437" s="4" t="str" cm="1">
        <f t="array" ref="B2437">IFERROR(INDEX(EmployeeData[Employee ID], ROW() - 37), "")</f>
        <v/>
      </c>
      <c r="C2437" s="4" t="str" cm="1">
        <f t="array" ref="C2437">IFERROR(INDEX(EmployeeData[Full Name], ROW() - 37), "")</f>
        <v/>
      </c>
      <c r="D2437" s="4" t="str" cm="1">
        <f t="array" ref="D2437">IFERROR(INDEX(EmployeeData[Department], ROW() - 37), "")</f>
        <v/>
      </c>
      <c r="E2437" s="4" t="str" cm="1">
        <f t="array" ref="E2437">IFERROR(INDEX(EmployeeData[Gender], ROW() - 37), "")</f>
        <v/>
      </c>
      <c r="F2437" s="4" t="str" cm="1">
        <f t="array" ref="F2437">IFERROR(INDEX(EmployeeData[Age], ROW() - 37), "")</f>
        <v/>
      </c>
      <c r="G2437" s="6" t="str" cm="1">
        <f t="array" ref="G2437">IFERROR(INDEX(EmployeeData[Join Date], ROW() - 37), "")</f>
        <v/>
      </c>
      <c r="H2437" s="6" t="str" cm="1">
        <f t="array" ref="H2437">IFERROR(IF(INDEX(EmployeeData[Exit Date], ROW() - 37)=0, "",INDEX(EmployeeData[Exit Date], ROW() - 37)),"")</f>
        <v/>
      </c>
      <c r="I2437" s="4" t="str" cm="1">
        <f t="array" ref="I2437">IFERROR(IF(INDEX(EmployeeData[Exit Reason], ROW() - 37)=0, "",INDEX(EmployeeData[Exit Reason], ROW() - 37)),"")</f>
        <v/>
      </c>
      <c r="J2437" s="4" t="str" cm="1">
        <f t="array" ref="J2437">IFERROR(INDEX(EmployeeData[Status], ROW() - 37), "")</f>
        <v/>
      </c>
    </row>
    <row r="2438" spans="2:10" ht="19.95" customHeight="1" x14ac:dyDescent="0.3">
      <c r="B2438" s="4" t="str" cm="1">
        <f t="array" ref="B2438">IFERROR(INDEX(EmployeeData[Employee ID], ROW() - 37), "")</f>
        <v/>
      </c>
      <c r="C2438" s="4" t="str" cm="1">
        <f t="array" ref="C2438">IFERROR(INDEX(EmployeeData[Full Name], ROW() - 37), "")</f>
        <v/>
      </c>
      <c r="D2438" s="4" t="str" cm="1">
        <f t="array" ref="D2438">IFERROR(INDEX(EmployeeData[Department], ROW() - 37), "")</f>
        <v/>
      </c>
      <c r="E2438" s="4" t="str" cm="1">
        <f t="array" ref="E2438">IFERROR(INDEX(EmployeeData[Gender], ROW() - 37), "")</f>
        <v/>
      </c>
      <c r="F2438" s="4" t="str" cm="1">
        <f t="array" ref="F2438">IFERROR(INDEX(EmployeeData[Age], ROW() - 37), "")</f>
        <v/>
      </c>
      <c r="G2438" s="6" t="str" cm="1">
        <f t="array" ref="G2438">IFERROR(INDEX(EmployeeData[Join Date], ROW() - 37), "")</f>
        <v/>
      </c>
      <c r="H2438" s="6" t="str" cm="1">
        <f t="array" ref="H2438">IFERROR(IF(INDEX(EmployeeData[Exit Date], ROW() - 37)=0, "",INDEX(EmployeeData[Exit Date], ROW() - 37)),"")</f>
        <v/>
      </c>
      <c r="I2438" s="4" t="str" cm="1">
        <f t="array" ref="I2438">IFERROR(IF(INDEX(EmployeeData[Exit Reason], ROW() - 37)=0, "",INDEX(EmployeeData[Exit Reason], ROW() - 37)),"")</f>
        <v/>
      </c>
      <c r="J2438" s="4" t="str" cm="1">
        <f t="array" ref="J2438">IFERROR(INDEX(EmployeeData[Status], ROW() - 37), "")</f>
        <v/>
      </c>
    </row>
    <row r="2439" spans="2:10" ht="19.95" customHeight="1" x14ac:dyDescent="0.3">
      <c r="B2439" s="4" t="str" cm="1">
        <f t="array" ref="B2439">IFERROR(INDEX(EmployeeData[Employee ID], ROW() - 37), "")</f>
        <v/>
      </c>
      <c r="C2439" s="4" t="str" cm="1">
        <f t="array" ref="C2439">IFERROR(INDEX(EmployeeData[Full Name], ROW() - 37), "")</f>
        <v/>
      </c>
      <c r="D2439" s="4" t="str" cm="1">
        <f t="array" ref="D2439">IFERROR(INDEX(EmployeeData[Department], ROW() - 37), "")</f>
        <v/>
      </c>
      <c r="E2439" s="4" t="str" cm="1">
        <f t="array" ref="E2439">IFERROR(INDEX(EmployeeData[Gender], ROW() - 37), "")</f>
        <v/>
      </c>
      <c r="F2439" s="4" t="str" cm="1">
        <f t="array" ref="F2439">IFERROR(INDEX(EmployeeData[Age], ROW() - 37), "")</f>
        <v/>
      </c>
      <c r="G2439" s="6" t="str" cm="1">
        <f t="array" ref="G2439">IFERROR(INDEX(EmployeeData[Join Date], ROW() - 37), "")</f>
        <v/>
      </c>
      <c r="H2439" s="6" t="str" cm="1">
        <f t="array" ref="H2439">IFERROR(IF(INDEX(EmployeeData[Exit Date], ROW() - 37)=0, "",INDEX(EmployeeData[Exit Date], ROW() - 37)),"")</f>
        <v/>
      </c>
      <c r="I2439" s="4" t="str" cm="1">
        <f t="array" ref="I2439">IFERROR(IF(INDEX(EmployeeData[Exit Reason], ROW() - 37)=0, "",INDEX(EmployeeData[Exit Reason], ROW() - 37)),"")</f>
        <v/>
      </c>
      <c r="J2439" s="4" t="str" cm="1">
        <f t="array" ref="J2439">IFERROR(INDEX(EmployeeData[Status], ROW() - 37), "")</f>
        <v/>
      </c>
    </row>
    <row r="2440" spans="2:10" ht="19.95" customHeight="1" x14ac:dyDescent="0.3">
      <c r="B2440" s="4" t="str" cm="1">
        <f t="array" ref="B2440">IFERROR(INDEX(EmployeeData[Employee ID], ROW() - 37), "")</f>
        <v/>
      </c>
      <c r="C2440" s="4" t="str" cm="1">
        <f t="array" ref="C2440">IFERROR(INDEX(EmployeeData[Full Name], ROW() - 37), "")</f>
        <v/>
      </c>
      <c r="D2440" s="4" t="str" cm="1">
        <f t="array" ref="D2440">IFERROR(INDEX(EmployeeData[Department], ROW() - 37), "")</f>
        <v/>
      </c>
      <c r="E2440" s="4" t="str" cm="1">
        <f t="array" ref="E2440">IFERROR(INDEX(EmployeeData[Gender], ROW() - 37), "")</f>
        <v/>
      </c>
      <c r="F2440" s="4" t="str" cm="1">
        <f t="array" ref="F2440">IFERROR(INDEX(EmployeeData[Age], ROW() - 37), "")</f>
        <v/>
      </c>
      <c r="G2440" s="6" t="str" cm="1">
        <f t="array" ref="G2440">IFERROR(INDEX(EmployeeData[Join Date], ROW() - 37), "")</f>
        <v/>
      </c>
      <c r="H2440" s="6" t="str" cm="1">
        <f t="array" ref="H2440">IFERROR(IF(INDEX(EmployeeData[Exit Date], ROW() - 37)=0, "",INDEX(EmployeeData[Exit Date], ROW() - 37)),"")</f>
        <v/>
      </c>
      <c r="I2440" s="4" t="str" cm="1">
        <f t="array" ref="I2440">IFERROR(IF(INDEX(EmployeeData[Exit Reason], ROW() - 37)=0, "",INDEX(EmployeeData[Exit Reason], ROW() - 37)),"")</f>
        <v/>
      </c>
      <c r="J2440" s="4" t="str" cm="1">
        <f t="array" ref="J2440">IFERROR(INDEX(EmployeeData[Status], ROW() - 37), "")</f>
        <v/>
      </c>
    </row>
    <row r="2441" spans="2:10" ht="19.95" customHeight="1" x14ac:dyDescent="0.3">
      <c r="B2441" s="4" t="str" cm="1">
        <f t="array" ref="B2441">IFERROR(INDEX(EmployeeData[Employee ID], ROW() - 37), "")</f>
        <v/>
      </c>
      <c r="C2441" s="4" t="str" cm="1">
        <f t="array" ref="C2441">IFERROR(INDEX(EmployeeData[Full Name], ROW() - 37), "")</f>
        <v/>
      </c>
      <c r="D2441" s="4" t="str" cm="1">
        <f t="array" ref="D2441">IFERROR(INDEX(EmployeeData[Department], ROW() - 37), "")</f>
        <v/>
      </c>
      <c r="E2441" s="4" t="str" cm="1">
        <f t="array" ref="E2441">IFERROR(INDEX(EmployeeData[Gender], ROW() - 37), "")</f>
        <v/>
      </c>
      <c r="F2441" s="4" t="str" cm="1">
        <f t="array" ref="F2441">IFERROR(INDEX(EmployeeData[Age], ROW() - 37), "")</f>
        <v/>
      </c>
      <c r="G2441" s="6" t="str" cm="1">
        <f t="array" ref="G2441">IFERROR(INDEX(EmployeeData[Join Date], ROW() - 37), "")</f>
        <v/>
      </c>
      <c r="H2441" s="6" t="str" cm="1">
        <f t="array" ref="H2441">IFERROR(IF(INDEX(EmployeeData[Exit Date], ROW() - 37)=0, "",INDEX(EmployeeData[Exit Date], ROW() - 37)),"")</f>
        <v/>
      </c>
      <c r="I2441" s="4" t="str" cm="1">
        <f t="array" ref="I2441">IFERROR(IF(INDEX(EmployeeData[Exit Reason], ROW() - 37)=0, "",INDEX(EmployeeData[Exit Reason], ROW() - 37)),"")</f>
        <v/>
      </c>
      <c r="J2441" s="4" t="str" cm="1">
        <f t="array" ref="J2441">IFERROR(INDEX(EmployeeData[Status], ROW() - 37), "")</f>
        <v/>
      </c>
    </row>
    <row r="2442" spans="2:10" ht="19.95" customHeight="1" x14ac:dyDescent="0.3">
      <c r="B2442" s="4" t="str" cm="1">
        <f t="array" ref="B2442">IFERROR(INDEX(EmployeeData[Employee ID], ROW() - 37), "")</f>
        <v/>
      </c>
      <c r="C2442" s="4" t="str" cm="1">
        <f t="array" ref="C2442">IFERROR(INDEX(EmployeeData[Full Name], ROW() - 37), "")</f>
        <v/>
      </c>
      <c r="D2442" s="4" t="str" cm="1">
        <f t="array" ref="D2442">IFERROR(INDEX(EmployeeData[Department], ROW() - 37), "")</f>
        <v/>
      </c>
      <c r="E2442" s="4" t="str" cm="1">
        <f t="array" ref="E2442">IFERROR(INDEX(EmployeeData[Gender], ROW() - 37), "")</f>
        <v/>
      </c>
      <c r="F2442" s="4" t="str" cm="1">
        <f t="array" ref="F2442">IFERROR(INDEX(EmployeeData[Age], ROW() - 37), "")</f>
        <v/>
      </c>
      <c r="G2442" s="6" t="str" cm="1">
        <f t="array" ref="G2442">IFERROR(INDEX(EmployeeData[Join Date], ROW() - 37), "")</f>
        <v/>
      </c>
      <c r="H2442" s="6" t="str" cm="1">
        <f t="array" ref="H2442">IFERROR(IF(INDEX(EmployeeData[Exit Date], ROW() - 37)=0, "",INDEX(EmployeeData[Exit Date], ROW() - 37)),"")</f>
        <v/>
      </c>
      <c r="I2442" s="4" t="str" cm="1">
        <f t="array" ref="I2442">IFERROR(IF(INDEX(EmployeeData[Exit Reason], ROW() - 37)=0, "",INDEX(EmployeeData[Exit Reason], ROW() - 37)),"")</f>
        <v/>
      </c>
      <c r="J2442" s="4" t="str" cm="1">
        <f t="array" ref="J2442">IFERROR(INDEX(EmployeeData[Status], ROW() - 37), "")</f>
        <v/>
      </c>
    </row>
    <row r="2443" spans="2:10" ht="19.95" customHeight="1" x14ac:dyDescent="0.3">
      <c r="B2443" s="4" t="str" cm="1">
        <f t="array" ref="B2443">IFERROR(INDEX(EmployeeData[Employee ID], ROW() - 37), "")</f>
        <v/>
      </c>
      <c r="C2443" s="4" t="str" cm="1">
        <f t="array" ref="C2443">IFERROR(INDEX(EmployeeData[Full Name], ROW() - 37), "")</f>
        <v/>
      </c>
      <c r="D2443" s="4" t="str" cm="1">
        <f t="array" ref="D2443">IFERROR(INDEX(EmployeeData[Department], ROW() - 37), "")</f>
        <v/>
      </c>
      <c r="E2443" s="4" t="str" cm="1">
        <f t="array" ref="E2443">IFERROR(INDEX(EmployeeData[Gender], ROW() - 37), "")</f>
        <v/>
      </c>
      <c r="F2443" s="4" t="str" cm="1">
        <f t="array" ref="F2443">IFERROR(INDEX(EmployeeData[Age], ROW() - 37), "")</f>
        <v/>
      </c>
      <c r="G2443" s="6" t="str" cm="1">
        <f t="array" ref="G2443">IFERROR(INDEX(EmployeeData[Join Date], ROW() - 37), "")</f>
        <v/>
      </c>
      <c r="H2443" s="6" t="str" cm="1">
        <f t="array" ref="H2443">IFERROR(IF(INDEX(EmployeeData[Exit Date], ROW() - 37)=0, "",INDEX(EmployeeData[Exit Date], ROW() - 37)),"")</f>
        <v/>
      </c>
      <c r="I2443" s="4" t="str" cm="1">
        <f t="array" ref="I2443">IFERROR(IF(INDEX(EmployeeData[Exit Reason], ROW() - 37)=0, "",INDEX(EmployeeData[Exit Reason], ROW() - 37)),"")</f>
        <v/>
      </c>
      <c r="J2443" s="4" t="str" cm="1">
        <f t="array" ref="J2443">IFERROR(INDEX(EmployeeData[Status], ROW() - 37), "")</f>
        <v/>
      </c>
    </row>
    <row r="2444" spans="2:10" ht="19.95" customHeight="1" x14ac:dyDescent="0.3">
      <c r="B2444" s="4" t="str" cm="1">
        <f t="array" ref="B2444">IFERROR(INDEX(EmployeeData[Employee ID], ROW() - 37), "")</f>
        <v/>
      </c>
      <c r="C2444" s="4" t="str" cm="1">
        <f t="array" ref="C2444">IFERROR(INDEX(EmployeeData[Full Name], ROW() - 37), "")</f>
        <v/>
      </c>
      <c r="D2444" s="4" t="str" cm="1">
        <f t="array" ref="D2444">IFERROR(INDEX(EmployeeData[Department], ROW() - 37), "")</f>
        <v/>
      </c>
      <c r="E2444" s="4" t="str" cm="1">
        <f t="array" ref="E2444">IFERROR(INDEX(EmployeeData[Gender], ROW() - 37), "")</f>
        <v/>
      </c>
      <c r="F2444" s="4" t="str" cm="1">
        <f t="array" ref="F2444">IFERROR(INDEX(EmployeeData[Age], ROW() - 37), "")</f>
        <v/>
      </c>
      <c r="G2444" s="6" t="str" cm="1">
        <f t="array" ref="G2444">IFERROR(INDEX(EmployeeData[Join Date], ROW() - 37), "")</f>
        <v/>
      </c>
      <c r="H2444" s="6" t="str" cm="1">
        <f t="array" ref="H2444">IFERROR(IF(INDEX(EmployeeData[Exit Date], ROW() - 37)=0, "",INDEX(EmployeeData[Exit Date], ROW() - 37)),"")</f>
        <v/>
      </c>
      <c r="I2444" s="4" t="str" cm="1">
        <f t="array" ref="I2444">IFERROR(IF(INDEX(EmployeeData[Exit Reason], ROW() - 37)=0, "",INDEX(EmployeeData[Exit Reason], ROW() - 37)),"")</f>
        <v/>
      </c>
      <c r="J2444" s="4" t="str" cm="1">
        <f t="array" ref="J2444">IFERROR(INDEX(EmployeeData[Status], ROW() - 37), "")</f>
        <v/>
      </c>
    </row>
    <row r="2445" spans="2:10" ht="19.95" customHeight="1" x14ac:dyDescent="0.3">
      <c r="B2445" s="4" t="str" cm="1">
        <f t="array" ref="B2445">IFERROR(INDEX(EmployeeData[Employee ID], ROW() - 37), "")</f>
        <v/>
      </c>
      <c r="C2445" s="4" t="str" cm="1">
        <f t="array" ref="C2445">IFERROR(INDEX(EmployeeData[Full Name], ROW() - 37), "")</f>
        <v/>
      </c>
      <c r="D2445" s="4" t="str" cm="1">
        <f t="array" ref="D2445">IFERROR(INDEX(EmployeeData[Department], ROW() - 37), "")</f>
        <v/>
      </c>
      <c r="E2445" s="4" t="str" cm="1">
        <f t="array" ref="E2445">IFERROR(INDEX(EmployeeData[Gender], ROW() - 37), "")</f>
        <v/>
      </c>
      <c r="F2445" s="4" t="str" cm="1">
        <f t="array" ref="F2445">IFERROR(INDEX(EmployeeData[Age], ROW() - 37), "")</f>
        <v/>
      </c>
      <c r="G2445" s="6" t="str" cm="1">
        <f t="array" ref="G2445">IFERROR(INDEX(EmployeeData[Join Date], ROW() - 37), "")</f>
        <v/>
      </c>
      <c r="H2445" s="6" t="str" cm="1">
        <f t="array" ref="H2445">IFERROR(IF(INDEX(EmployeeData[Exit Date], ROW() - 37)=0, "",INDEX(EmployeeData[Exit Date], ROW() - 37)),"")</f>
        <v/>
      </c>
      <c r="I2445" s="4" t="str" cm="1">
        <f t="array" ref="I2445">IFERROR(IF(INDEX(EmployeeData[Exit Reason], ROW() - 37)=0, "",INDEX(EmployeeData[Exit Reason], ROW() - 37)),"")</f>
        <v/>
      </c>
      <c r="J2445" s="4" t="str" cm="1">
        <f t="array" ref="J2445">IFERROR(INDEX(EmployeeData[Status], ROW() - 37), "")</f>
        <v/>
      </c>
    </row>
    <row r="2446" spans="2:10" ht="19.95" customHeight="1" x14ac:dyDescent="0.3">
      <c r="B2446" s="4" t="str" cm="1">
        <f t="array" ref="B2446">IFERROR(INDEX(EmployeeData[Employee ID], ROW() - 37), "")</f>
        <v/>
      </c>
      <c r="C2446" s="4" t="str" cm="1">
        <f t="array" ref="C2446">IFERROR(INDEX(EmployeeData[Full Name], ROW() - 37), "")</f>
        <v/>
      </c>
      <c r="D2446" s="4" t="str" cm="1">
        <f t="array" ref="D2446">IFERROR(INDEX(EmployeeData[Department], ROW() - 37), "")</f>
        <v/>
      </c>
      <c r="E2446" s="4" t="str" cm="1">
        <f t="array" ref="E2446">IFERROR(INDEX(EmployeeData[Gender], ROW() - 37), "")</f>
        <v/>
      </c>
      <c r="F2446" s="4" t="str" cm="1">
        <f t="array" ref="F2446">IFERROR(INDEX(EmployeeData[Age], ROW() - 37), "")</f>
        <v/>
      </c>
      <c r="G2446" s="6" t="str" cm="1">
        <f t="array" ref="G2446">IFERROR(INDEX(EmployeeData[Join Date], ROW() - 37), "")</f>
        <v/>
      </c>
      <c r="H2446" s="6" t="str" cm="1">
        <f t="array" ref="H2446">IFERROR(IF(INDEX(EmployeeData[Exit Date], ROW() - 37)=0, "",INDEX(EmployeeData[Exit Date], ROW() - 37)),"")</f>
        <v/>
      </c>
      <c r="I2446" s="4" t="str" cm="1">
        <f t="array" ref="I2446">IFERROR(IF(INDEX(EmployeeData[Exit Reason], ROW() - 37)=0, "",INDEX(EmployeeData[Exit Reason], ROW() - 37)),"")</f>
        <v/>
      </c>
      <c r="J2446" s="4" t="str" cm="1">
        <f t="array" ref="J2446">IFERROR(INDEX(EmployeeData[Status], ROW() - 37), "")</f>
        <v/>
      </c>
    </row>
    <row r="2447" spans="2:10" ht="19.95" customHeight="1" x14ac:dyDescent="0.3">
      <c r="B2447" s="4" t="str" cm="1">
        <f t="array" ref="B2447">IFERROR(INDEX(EmployeeData[Employee ID], ROW() - 37), "")</f>
        <v/>
      </c>
      <c r="C2447" s="4" t="str" cm="1">
        <f t="array" ref="C2447">IFERROR(INDEX(EmployeeData[Full Name], ROW() - 37), "")</f>
        <v/>
      </c>
      <c r="D2447" s="4" t="str" cm="1">
        <f t="array" ref="D2447">IFERROR(INDEX(EmployeeData[Department], ROW() - 37), "")</f>
        <v/>
      </c>
      <c r="E2447" s="4" t="str" cm="1">
        <f t="array" ref="E2447">IFERROR(INDEX(EmployeeData[Gender], ROW() - 37), "")</f>
        <v/>
      </c>
      <c r="F2447" s="4" t="str" cm="1">
        <f t="array" ref="F2447">IFERROR(INDEX(EmployeeData[Age], ROW() - 37), "")</f>
        <v/>
      </c>
      <c r="G2447" s="6" t="str" cm="1">
        <f t="array" ref="G2447">IFERROR(INDEX(EmployeeData[Join Date], ROW() - 37), "")</f>
        <v/>
      </c>
      <c r="H2447" s="6" t="str" cm="1">
        <f t="array" ref="H2447">IFERROR(IF(INDEX(EmployeeData[Exit Date], ROW() - 37)=0, "",INDEX(EmployeeData[Exit Date], ROW() - 37)),"")</f>
        <v/>
      </c>
      <c r="I2447" s="4" t="str" cm="1">
        <f t="array" ref="I2447">IFERROR(IF(INDEX(EmployeeData[Exit Reason], ROW() - 37)=0, "",INDEX(EmployeeData[Exit Reason], ROW() - 37)),"")</f>
        <v/>
      </c>
      <c r="J2447" s="4" t="str" cm="1">
        <f t="array" ref="J2447">IFERROR(INDEX(EmployeeData[Status], ROW() - 37), "")</f>
        <v/>
      </c>
    </row>
    <row r="2448" spans="2:10" ht="19.95" customHeight="1" x14ac:dyDescent="0.3">
      <c r="B2448" s="4" t="str" cm="1">
        <f t="array" ref="B2448">IFERROR(INDEX(EmployeeData[Employee ID], ROW() - 37), "")</f>
        <v/>
      </c>
      <c r="C2448" s="4" t="str" cm="1">
        <f t="array" ref="C2448">IFERROR(INDEX(EmployeeData[Full Name], ROW() - 37), "")</f>
        <v/>
      </c>
      <c r="D2448" s="4" t="str" cm="1">
        <f t="array" ref="D2448">IFERROR(INDEX(EmployeeData[Department], ROW() - 37), "")</f>
        <v/>
      </c>
      <c r="E2448" s="4" t="str" cm="1">
        <f t="array" ref="E2448">IFERROR(INDEX(EmployeeData[Gender], ROW() - 37), "")</f>
        <v/>
      </c>
      <c r="F2448" s="4" t="str" cm="1">
        <f t="array" ref="F2448">IFERROR(INDEX(EmployeeData[Age], ROW() - 37), "")</f>
        <v/>
      </c>
      <c r="G2448" s="6" t="str" cm="1">
        <f t="array" ref="G2448">IFERROR(INDEX(EmployeeData[Join Date], ROW() - 37), "")</f>
        <v/>
      </c>
      <c r="H2448" s="6" t="str" cm="1">
        <f t="array" ref="H2448">IFERROR(IF(INDEX(EmployeeData[Exit Date], ROW() - 37)=0, "",INDEX(EmployeeData[Exit Date], ROW() - 37)),"")</f>
        <v/>
      </c>
      <c r="I2448" s="4" t="str" cm="1">
        <f t="array" ref="I2448">IFERROR(IF(INDEX(EmployeeData[Exit Reason], ROW() - 37)=0, "",INDEX(EmployeeData[Exit Reason], ROW() - 37)),"")</f>
        <v/>
      </c>
      <c r="J2448" s="4" t="str" cm="1">
        <f t="array" ref="J2448">IFERROR(INDEX(EmployeeData[Status], ROW() - 37), "")</f>
        <v/>
      </c>
    </row>
    <row r="2449" spans="2:10" ht="19.95" customHeight="1" x14ac:dyDescent="0.3">
      <c r="B2449" s="4" t="str" cm="1">
        <f t="array" ref="B2449">IFERROR(INDEX(EmployeeData[Employee ID], ROW() - 37), "")</f>
        <v/>
      </c>
      <c r="C2449" s="4" t="str" cm="1">
        <f t="array" ref="C2449">IFERROR(INDEX(EmployeeData[Full Name], ROW() - 37), "")</f>
        <v/>
      </c>
      <c r="D2449" s="4" t="str" cm="1">
        <f t="array" ref="D2449">IFERROR(INDEX(EmployeeData[Department], ROW() - 37), "")</f>
        <v/>
      </c>
      <c r="E2449" s="4" t="str" cm="1">
        <f t="array" ref="E2449">IFERROR(INDEX(EmployeeData[Gender], ROW() - 37), "")</f>
        <v/>
      </c>
      <c r="F2449" s="4" t="str" cm="1">
        <f t="array" ref="F2449">IFERROR(INDEX(EmployeeData[Age], ROW() - 37), "")</f>
        <v/>
      </c>
      <c r="G2449" s="6" t="str" cm="1">
        <f t="array" ref="G2449">IFERROR(INDEX(EmployeeData[Join Date], ROW() - 37), "")</f>
        <v/>
      </c>
      <c r="H2449" s="6" t="str" cm="1">
        <f t="array" ref="H2449">IFERROR(IF(INDEX(EmployeeData[Exit Date], ROW() - 37)=0, "",INDEX(EmployeeData[Exit Date], ROW() - 37)),"")</f>
        <v/>
      </c>
      <c r="I2449" s="4" t="str" cm="1">
        <f t="array" ref="I2449">IFERROR(IF(INDEX(EmployeeData[Exit Reason], ROW() - 37)=0, "",INDEX(EmployeeData[Exit Reason], ROW() - 37)),"")</f>
        <v/>
      </c>
      <c r="J2449" s="4" t="str" cm="1">
        <f t="array" ref="J2449">IFERROR(INDEX(EmployeeData[Status], ROW() - 37), "")</f>
        <v/>
      </c>
    </row>
    <row r="2450" spans="2:10" ht="19.95" customHeight="1" x14ac:dyDescent="0.3">
      <c r="B2450" s="4" t="str" cm="1">
        <f t="array" ref="B2450">IFERROR(INDEX(EmployeeData[Employee ID], ROW() - 37), "")</f>
        <v/>
      </c>
      <c r="C2450" s="4" t="str" cm="1">
        <f t="array" ref="C2450">IFERROR(INDEX(EmployeeData[Full Name], ROW() - 37), "")</f>
        <v/>
      </c>
      <c r="D2450" s="4" t="str" cm="1">
        <f t="array" ref="D2450">IFERROR(INDEX(EmployeeData[Department], ROW() - 37), "")</f>
        <v/>
      </c>
      <c r="E2450" s="4" t="str" cm="1">
        <f t="array" ref="E2450">IFERROR(INDEX(EmployeeData[Gender], ROW() - 37), "")</f>
        <v/>
      </c>
      <c r="F2450" s="4" t="str" cm="1">
        <f t="array" ref="F2450">IFERROR(INDEX(EmployeeData[Age], ROW() - 37), "")</f>
        <v/>
      </c>
      <c r="G2450" s="6" t="str" cm="1">
        <f t="array" ref="G2450">IFERROR(INDEX(EmployeeData[Join Date], ROW() - 37), "")</f>
        <v/>
      </c>
      <c r="H2450" s="6" t="str" cm="1">
        <f t="array" ref="H2450">IFERROR(IF(INDEX(EmployeeData[Exit Date], ROW() - 37)=0, "",INDEX(EmployeeData[Exit Date], ROW() - 37)),"")</f>
        <v/>
      </c>
      <c r="I2450" s="4" t="str" cm="1">
        <f t="array" ref="I2450">IFERROR(IF(INDEX(EmployeeData[Exit Reason], ROW() - 37)=0, "",INDEX(EmployeeData[Exit Reason], ROW() - 37)),"")</f>
        <v/>
      </c>
      <c r="J2450" s="4" t="str" cm="1">
        <f t="array" ref="J2450">IFERROR(INDEX(EmployeeData[Status], ROW() - 37), "")</f>
        <v/>
      </c>
    </row>
    <row r="2451" spans="2:10" ht="19.95" customHeight="1" x14ac:dyDescent="0.3">
      <c r="B2451" s="4" t="str" cm="1">
        <f t="array" ref="B2451">IFERROR(INDEX(EmployeeData[Employee ID], ROW() - 37), "")</f>
        <v/>
      </c>
      <c r="C2451" s="4" t="str" cm="1">
        <f t="array" ref="C2451">IFERROR(INDEX(EmployeeData[Full Name], ROW() - 37), "")</f>
        <v/>
      </c>
      <c r="D2451" s="4" t="str" cm="1">
        <f t="array" ref="D2451">IFERROR(INDEX(EmployeeData[Department], ROW() - 37), "")</f>
        <v/>
      </c>
      <c r="E2451" s="4" t="str" cm="1">
        <f t="array" ref="E2451">IFERROR(INDEX(EmployeeData[Gender], ROW() - 37), "")</f>
        <v/>
      </c>
      <c r="F2451" s="4" t="str" cm="1">
        <f t="array" ref="F2451">IFERROR(INDEX(EmployeeData[Age], ROW() - 37), "")</f>
        <v/>
      </c>
      <c r="G2451" s="6" t="str" cm="1">
        <f t="array" ref="G2451">IFERROR(INDEX(EmployeeData[Join Date], ROW() - 37), "")</f>
        <v/>
      </c>
      <c r="H2451" s="6" t="str" cm="1">
        <f t="array" ref="H2451">IFERROR(IF(INDEX(EmployeeData[Exit Date], ROW() - 37)=0, "",INDEX(EmployeeData[Exit Date], ROW() - 37)),"")</f>
        <v/>
      </c>
      <c r="I2451" s="4" t="str" cm="1">
        <f t="array" ref="I2451">IFERROR(IF(INDEX(EmployeeData[Exit Reason], ROW() - 37)=0, "",INDEX(EmployeeData[Exit Reason], ROW() - 37)),"")</f>
        <v/>
      </c>
      <c r="J2451" s="4" t="str" cm="1">
        <f t="array" ref="J2451">IFERROR(INDEX(EmployeeData[Status], ROW() - 37), "")</f>
        <v/>
      </c>
    </row>
    <row r="2452" spans="2:10" ht="19.95" customHeight="1" x14ac:dyDescent="0.3">
      <c r="B2452" s="4" t="str" cm="1">
        <f t="array" ref="B2452">IFERROR(INDEX(EmployeeData[Employee ID], ROW() - 37), "")</f>
        <v/>
      </c>
      <c r="C2452" s="4" t="str" cm="1">
        <f t="array" ref="C2452">IFERROR(INDEX(EmployeeData[Full Name], ROW() - 37), "")</f>
        <v/>
      </c>
      <c r="D2452" s="4" t="str" cm="1">
        <f t="array" ref="D2452">IFERROR(INDEX(EmployeeData[Department], ROW() - 37), "")</f>
        <v/>
      </c>
      <c r="E2452" s="4" t="str" cm="1">
        <f t="array" ref="E2452">IFERROR(INDEX(EmployeeData[Gender], ROW() - 37), "")</f>
        <v/>
      </c>
      <c r="F2452" s="4" t="str" cm="1">
        <f t="array" ref="F2452">IFERROR(INDEX(EmployeeData[Age], ROW() - 37), "")</f>
        <v/>
      </c>
      <c r="G2452" s="6" t="str" cm="1">
        <f t="array" ref="G2452">IFERROR(INDEX(EmployeeData[Join Date], ROW() - 37), "")</f>
        <v/>
      </c>
      <c r="H2452" s="6" t="str" cm="1">
        <f t="array" ref="H2452">IFERROR(IF(INDEX(EmployeeData[Exit Date], ROW() - 37)=0, "",INDEX(EmployeeData[Exit Date], ROW() - 37)),"")</f>
        <v/>
      </c>
      <c r="I2452" s="4" t="str" cm="1">
        <f t="array" ref="I2452">IFERROR(IF(INDEX(EmployeeData[Exit Reason], ROW() - 37)=0, "",INDEX(EmployeeData[Exit Reason], ROW() - 37)),"")</f>
        <v/>
      </c>
      <c r="J2452" s="4" t="str" cm="1">
        <f t="array" ref="J2452">IFERROR(INDEX(EmployeeData[Status], ROW() - 37), "")</f>
        <v/>
      </c>
    </row>
    <row r="2453" spans="2:10" ht="19.95" customHeight="1" x14ac:dyDescent="0.3">
      <c r="B2453" s="4" t="str" cm="1">
        <f t="array" ref="B2453">IFERROR(INDEX(EmployeeData[Employee ID], ROW() - 37), "")</f>
        <v/>
      </c>
      <c r="C2453" s="4" t="str" cm="1">
        <f t="array" ref="C2453">IFERROR(INDEX(EmployeeData[Full Name], ROW() - 37), "")</f>
        <v/>
      </c>
      <c r="D2453" s="4" t="str" cm="1">
        <f t="array" ref="D2453">IFERROR(INDEX(EmployeeData[Department], ROW() - 37), "")</f>
        <v/>
      </c>
      <c r="E2453" s="4" t="str" cm="1">
        <f t="array" ref="E2453">IFERROR(INDEX(EmployeeData[Gender], ROW() - 37), "")</f>
        <v/>
      </c>
      <c r="F2453" s="4" t="str" cm="1">
        <f t="array" ref="F2453">IFERROR(INDEX(EmployeeData[Age], ROW() - 37), "")</f>
        <v/>
      </c>
      <c r="G2453" s="6" t="str" cm="1">
        <f t="array" ref="G2453">IFERROR(INDEX(EmployeeData[Join Date], ROW() - 37), "")</f>
        <v/>
      </c>
      <c r="H2453" s="6" t="str" cm="1">
        <f t="array" ref="H2453">IFERROR(IF(INDEX(EmployeeData[Exit Date], ROW() - 37)=0, "",INDEX(EmployeeData[Exit Date], ROW() - 37)),"")</f>
        <v/>
      </c>
      <c r="I2453" s="4" t="str" cm="1">
        <f t="array" ref="I2453">IFERROR(IF(INDEX(EmployeeData[Exit Reason], ROW() - 37)=0, "",INDEX(EmployeeData[Exit Reason], ROW() - 37)),"")</f>
        <v/>
      </c>
      <c r="J2453" s="4" t="str" cm="1">
        <f t="array" ref="J2453">IFERROR(INDEX(EmployeeData[Status], ROW() - 37), "")</f>
        <v/>
      </c>
    </row>
    <row r="2454" spans="2:10" ht="19.95" customHeight="1" x14ac:dyDescent="0.3">
      <c r="B2454" s="4" t="str" cm="1">
        <f t="array" ref="B2454">IFERROR(INDEX(EmployeeData[Employee ID], ROW() - 37), "")</f>
        <v/>
      </c>
      <c r="C2454" s="4" t="str" cm="1">
        <f t="array" ref="C2454">IFERROR(INDEX(EmployeeData[Full Name], ROW() - 37), "")</f>
        <v/>
      </c>
      <c r="D2454" s="4" t="str" cm="1">
        <f t="array" ref="D2454">IFERROR(INDEX(EmployeeData[Department], ROW() - 37), "")</f>
        <v/>
      </c>
      <c r="E2454" s="4" t="str" cm="1">
        <f t="array" ref="E2454">IFERROR(INDEX(EmployeeData[Gender], ROW() - 37), "")</f>
        <v/>
      </c>
      <c r="F2454" s="4" t="str" cm="1">
        <f t="array" ref="F2454">IFERROR(INDEX(EmployeeData[Age], ROW() - 37), "")</f>
        <v/>
      </c>
      <c r="G2454" s="6" t="str" cm="1">
        <f t="array" ref="G2454">IFERROR(INDEX(EmployeeData[Join Date], ROW() - 37), "")</f>
        <v/>
      </c>
      <c r="H2454" s="6" t="str" cm="1">
        <f t="array" ref="H2454">IFERROR(IF(INDEX(EmployeeData[Exit Date], ROW() - 37)=0, "",INDEX(EmployeeData[Exit Date], ROW() - 37)),"")</f>
        <v/>
      </c>
      <c r="I2454" s="4" t="str" cm="1">
        <f t="array" ref="I2454">IFERROR(IF(INDEX(EmployeeData[Exit Reason], ROW() - 37)=0, "",INDEX(EmployeeData[Exit Reason], ROW() - 37)),"")</f>
        <v/>
      </c>
      <c r="J2454" s="4" t="str" cm="1">
        <f t="array" ref="J2454">IFERROR(INDEX(EmployeeData[Status], ROW() - 37), "")</f>
        <v/>
      </c>
    </row>
    <row r="2455" spans="2:10" ht="19.95" customHeight="1" x14ac:dyDescent="0.3">
      <c r="B2455" s="4" t="str" cm="1">
        <f t="array" ref="B2455">IFERROR(INDEX(EmployeeData[Employee ID], ROW() - 37), "")</f>
        <v/>
      </c>
      <c r="C2455" s="4" t="str" cm="1">
        <f t="array" ref="C2455">IFERROR(INDEX(EmployeeData[Full Name], ROW() - 37), "")</f>
        <v/>
      </c>
      <c r="D2455" s="4" t="str" cm="1">
        <f t="array" ref="D2455">IFERROR(INDEX(EmployeeData[Department], ROW() - 37), "")</f>
        <v/>
      </c>
      <c r="E2455" s="4" t="str" cm="1">
        <f t="array" ref="E2455">IFERROR(INDEX(EmployeeData[Gender], ROW() - 37), "")</f>
        <v/>
      </c>
      <c r="F2455" s="4" t="str" cm="1">
        <f t="array" ref="F2455">IFERROR(INDEX(EmployeeData[Age], ROW() - 37), "")</f>
        <v/>
      </c>
      <c r="G2455" s="6" t="str" cm="1">
        <f t="array" ref="G2455">IFERROR(INDEX(EmployeeData[Join Date], ROW() - 37), "")</f>
        <v/>
      </c>
      <c r="H2455" s="6" t="str" cm="1">
        <f t="array" ref="H2455">IFERROR(IF(INDEX(EmployeeData[Exit Date], ROW() - 37)=0, "",INDEX(EmployeeData[Exit Date], ROW() - 37)),"")</f>
        <v/>
      </c>
      <c r="I2455" s="4" t="str" cm="1">
        <f t="array" ref="I2455">IFERROR(IF(INDEX(EmployeeData[Exit Reason], ROW() - 37)=0, "",INDEX(EmployeeData[Exit Reason], ROW() - 37)),"")</f>
        <v/>
      </c>
      <c r="J2455" s="4" t="str" cm="1">
        <f t="array" ref="J2455">IFERROR(INDEX(EmployeeData[Status], ROW() - 37), "")</f>
        <v/>
      </c>
    </row>
    <row r="2456" spans="2:10" ht="19.95" customHeight="1" x14ac:dyDescent="0.3">
      <c r="B2456" s="4" t="str" cm="1">
        <f t="array" ref="B2456">IFERROR(INDEX(EmployeeData[Employee ID], ROW() - 37), "")</f>
        <v/>
      </c>
      <c r="C2456" s="4" t="str" cm="1">
        <f t="array" ref="C2456">IFERROR(INDEX(EmployeeData[Full Name], ROW() - 37), "")</f>
        <v/>
      </c>
      <c r="D2456" s="4" t="str" cm="1">
        <f t="array" ref="D2456">IFERROR(INDEX(EmployeeData[Department], ROW() - 37), "")</f>
        <v/>
      </c>
      <c r="E2456" s="4" t="str" cm="1">
        <f t="array" ref="E2456">IFERROR(INDEX(EmployeeData[Gender], ROW() - 37), "")</f>
        <v/>
      </c>
      <c r="F2456" s="4" t="str" cm="1">
        <f t="array" ref="F2456">IFERROR(INDEX(EmployeeData[Age], ROW() - 37), "")</f>
        <v/>
      </c>
      <c r="G2456" s="6" t="str" cm="1">
        <f t="array" ref="G2456">IFERROR(INDEX(EmployeeData[Join Date], ROW() - 37), "")</f>
        <v/>
      </c>
      <c r="H2456" s="6" t="str" cm="1">
        <f t="array" ref="H2456">IFERROR(IF(INDEX(EmployeeData[Exit Date], ROW() - 37)=0, "",INDEX(EmployeeData[Exit Date], ROW() - 37)),"")</f>
        <v/>
      </c>
      <c r="I2456" s="4" t="str" cm="1">
        <f t="array" ref="I2456">IFERROR(IF(INDEX(EmployeeData[Exit Reason], ROW() - 37)=0, "",INDEX(EmployeeData[Exit Reason], ROW() - 37)),"")</f>
        <v/>
      </c>
      <c r="J2456" s="4" t="str" cm="1">
        <f t="array" ref="J2456">IFERROR(INDEX(EmployeeData[Status], ROW() - 37), "")</f>
        <v/>
      </c>
    </row>
    <row r="2457" spans="2:10" ht="19.95" customHeight="1" x14ac:dyDescent="0.3">
      <c r="B2457" s="4" t="str" cm="1">
        <f t="array" ref="B2457">IFERROR(INDEX(EmployeeData[Employee ID], ROW() - 37), "")</f>
        <v/>
      </c>
      <c r="C2457" s="4" t="str" cm="1">
        <f t="array" ref="C2457">IFERROR(INDEX(EmployeeData[Full Name], ROW() - 37), "")</f>
        <v/>
      </c>
      <c r="D2457" s="4" t="str" cm="1">
        <f t="array" ref="D2457">IFERROR(INDEX(EmployeeData[Department], ROW() - 37), "")</f>
        <v/>
      </c>
      <c r="E2457" s="4" t="str" cm="1">
        <f t="array" ref="E2457">IFERROR(INDEX(EmployeeData[Gender], ROW() - 37), "")</f>
        <v/>
      </c>
      <c r="F2457" s="4" t="str" cm="1">
        <f t="array" ref="F2457">IFERROR(INDEX(EmployeeData[Age], ROW() - 37), "")</f>
        <v/>
      </c>
      <c r="G2457" s="6" t="str" cm="1">
        <f t="array" ref="G2457">IFERROR(INDEX(EmployeeData[Join Date], ROW() - 37), "")</f>
        <v/>
      </c>
      <c r="H2457" s="6" t="str" cm="1">
        <f t="array" ref="H2457">IFERROR(IF(INDEX(EmployeeData[Exit Date], ROW() - 37)=0, "",INDEX(EmployeeData[Exit Date], ROW() - 37)),"")</f>
        <v/>
      </c>
      <c r="I2457" s="4" t="str" cm="1">
        <f t="array" ref="I2457">IFERROR(IF(INDEX(EmployeeData[Exit Reason], ROW() - 37)=0, "",INDEX(EmployeeData[Exit Reason], ROW() - 37)),"")</f>
        <v/>
      </c>
      <c r="J2457" s="4" t="str" cm="1">
        <f t="array" ref="J2457">IFERROR(INDEX(EmployeeData[Status], ROW() - 37), "")</f>
        <v/>
      </c>
    </row>
    <row r="2458" spans="2:10" ht="19.95" customHeight="1" x14ac:dyDescent="0.3">
      <c r="B2458" s="4" t="str" cm="1">
        <f t="array" ref="B2458">IFERROR(INDEX(EmployeeData[Employee ID], ROW() - 37), "")</f>
        <v/>
      </c>
      <c r="C2458" s="4" t="str" cm="1">
        <f t="array" ref="C2458">IFERROR(INDEX(EmployeeData[Full Name], ROW() - 37), "")</f>
        <v/>
      </c>
      <c r="D2458" s="4" t="str" cm="1">
        <f t="array" ref="D2458">IFERROR(INDEX(EmployeeData[Department], ROW() - 37), "")</f>
        <v/>
      </c>
      <c r="E2458" s="4" t="str" cm="1">
        <f t="array" ref="E2458">IFERROR(INDEX(EmployeeData[Gender], ROW() - 37), "")</f>
        <v/>
      </c>
      <c r="F2458" s="4" t="str" cm="1">
        <f t="array" ref="F2458">IFERROR(INDEX(EmployeeData[Age], ROW() - 37), "")</f>
        <v/>
      </c>
      <c r="G2458" s="6" t="str" cm="1">
        <f t="array" ref="G2458">IFERROR(INDEX(EmployeeData[Join Date], ROW() - 37), "")</f>
        <v/>
      </c>
      <c r="H2458" s="6" t="str" cm="1">
        <f t="array" ref="H2458">IFERROR(IF(INDEX(EmployeeData[Exit Date], ROW() - 37)=0, "",INDEX(EmployeeData[Exit Date], ROW() - 37)),"")</f>
        <v/>
      </c>
      <c r="I2458" s="4" t="str" cm="1">
        <f t="array" ref="I2458">IFERROR(IF(INDEX(EmployeeData[Exit Reason], ROW() - 37)=0, "",INDEX(EmployeeData[Exit Reason], ROW() - 37)),"")</f>
        <v/>
      </c>
      <c r="J2458" s="4" t="str" cm="1">
        <f t="array" ref="J2458">IFERROR(INDEX(EmployeeData[Status], ROW() - 37), "")</f>
        <v/>
      </c>
    </row>
    <row r="2459" spans="2:10" ht="19.95" customHeight="1" x14ac:dyDescent="0.3">
      <c r="B2459" s="4" t="str" cm="1">
        <f t="array" ref="B2459">IFERROR(INDEX(EmployeeData[Employee ID], ROW() - 37), "")</f>
        <v/>
      </c>
      <c r="C2459" s="4" t="str" cm="1">
        <f t="array" ref="C2459">IFERROR(INDEX(EmployeeData[Full Name], ROW() - 37), "")</f>
        <v/>
      </c>
      <c r="D2459" s="4" t="str" cm="1">
        <f t="array" ref="D2459">IFERROR(INDEX(EmployeeData[Department], ROW() - 37), "")</f>
        <v/>
      </c>
      <c r="E2459" s="4" t="str" cm="1">
        <f t="array" ref="E2459">IFERROR(INDEX(EmployeeData[Gender], ROW() - 37), "")</f>
        <v/>
      </c>
      <c r="F2459" s="4" t="str" cm="1">
        <f t="array" ref="F2459">IFERROR(INDEX(EmployeeData[Age], ROW() - 37), "")</f>
        <v/>
      </c>
      <c r="G2459" s="6" t="str" cm="1">
        <f t="array" ref="G2459">IFERROR(INDEX(EmployeeData[Join Date], ROW() - 37), "")</f>
        <v/>
      </c>
      <c r="H2459" s="6" t="str" cm="1">
        <f t="array" ref="H2459">IFERROR(IF(INDEX(EmployeeData[Exit Date], ROW() - 37)=0, "",INDEX(EmployeeData[Exit Date], ROW() - 37)),"")</f>
        <v/>
      </c>
      <c r="I2459" s="4" t="str" cm="1">
        <f t="array" ref="I2459">IFERROR(IF(INDEX(EmployeeData[Exit Reason], ROW() - 37)=0, "",INDEX(EmployeeData[Exit Reason], ROW() - 37)),"")</f>
        <v/>
      </c>
      <c r="J2459" s="4" t="str" cm="1">
        <f t="array" ref="J2459">IFERROR(INDEX(EmployeeData[Status], ROW() - 37), "")</f>
        <v/>
      </c>
    </row>
    <row r="2460" spans="2:10" ht="19.95" customHeight="1" x14ac:dyDescent="0.3">
      <c r="B2460" s="4" t="str" cm="1">
        <f t="array" ref="B2460">IFERROR(INDEX(EmployeeData[Employee ID], ROW() - 37), "")</f>
        <v/>
      </c>
      <c r="C2460" s="4" t="str" cm="1">
        <f t="array" ref="C2460">IFERROR(INDEX(EmployeeData[Full Name], ROW() - 37), "")</f>
        <v/>
      </c>
      <c r="D2460" s="4" t="str" cm="1">
        <f t="array" ref="D2460">IFERROR(INDEX(EmployeeData[Department], ROW() - 37), "")</f>
        <v/>
      </c>
      <c r="E2460" s="4" t="str" cm="1">
        <f t="array" ref="E2460">IFERROR(INDEX(EmployeeData[Gender], ROW() - 37), "")</f>
        <v/>
      </c>
      <c r="F2460" s="4" t="str" cm="1">
        <f t="array" ref="F2460">IFERROR(INDEX(EmployeeData[Age], ROW() - 37), "")</f>
        <v/>
      </c>
      <c r="G2460" s="6" t="str" cm="1">
        <f t="array" ref="G2460">IFERROR(INDEX(EmployeeData[Join Date], ROW() - 37), "")</f>
        <v/>
      </c>
      <c r="H2460" s="6" t="str" cm="1">
        <f t="array" ref="H2460">IFERROR(IF(INDEX(EmployeeData[Exit Date], ROW() - 37)=0, "",INDEX(EmployeeData[Exit Date], ROW() - 37)),"")</f>
        <v/>
      </c>
      <c r="I2460" s="4" t="str" cm="1">
        <f t="array" ref="I2460">IFERROR(IF(INDEX(EmployeeData[Exit Reason], ROW() - 37)=0, "",INDEX(EmployeeData[Exit Reason], ROW() - 37)),"")</f>
        <v/>
      </c>
      <c r="J2460" s="4" t="str" cm="1">
        <f t="array" ref="J2460">IFERROR(INDEX(EmployeeData[Status], ROW() - 37), "")</f>
        <v/>
      </c>
    </row>
    <row r="2461" spans="2:10" ht="19.95" customHeight="1" x14ac:dyDescent="0.3">
      <c r="B2461" s="4" t="str" cm="1">
        <f t="array" ref="B2461">IFERROR(INDEX(EmployeeData[Employee ID], ROW() - 37), "")</f>
        <v/>
      </c>
      <c r="C2461" s="4" t="str" cm="1">
        <f t="array" ref="C2461">IFERROR(INDEX(EmployeeData[Full Name], ROW() - 37), "")</f>
        <v/>
      </c>
      <c r="D2461" s="4" t="str" cm="1">
        <f t="array" ref="D2461">IFERROR(INDEX(EmployeeData[Department], ROW() - 37), "")</f>
        <v/>
      </c>
      <c r="E2461" s="4" t="str" cm="1">
        <f t="array" ref="E2461">IFERROR(INDEX(EmployeeData[Gender], ROW() - 37), "")</f>
        <v/>
      </c>
      <c r="F2461" s="4" t="str" cm="1">
        <f t="array" ref="F2461">IFERROR(INDEX(EmployeeData[Age], ROW() - 37), "")</f>
        <v/>
      </c>
      <c r="G2461" s="6" t="str" cm="1">
        <f t="array" ref="G2461">IFERROR(INDEX(EmployeeData[Join Date], ROW() - 37), "")</f>
        <v/>
      </c>
      <c r="H2461" s="6" t="str" cm="1">
        <f t="array" ref="H2461">IFERROR(IF(INDEX(EmployeeData[Exit Date], ROW() - 37)=0, "",INDEX(EmployeeData[Exit Date], ROW() - 37)),"")</f>
        <v/>
      </c>
      <c r="I2461" s="4" t="str" cm="1">
        <f t="array" ref="I2461">IFERROR(IF(INDEX(EmployeeData[Exit Reason], ROW() - 37)=0, "",INDEX(EmployeeData[Exit Reason], ROW() - 37)),"")</f>
        <v/>
      </c>
      <c r="J2461" s="4" t="str" cm="1">
        <f t="array" ref="J2461">IFERROR(INDEX(EmployeeData[Status], ROW() - 37), "")</f>
        <v/>
      </c>
    </row>
    <row r="2462" spans="2:10" ht="19.95" customHeight="1" x14ac:dyDescent="0.3">
      <c r="B2462" s="4" t="str" cm="1">
        <f t="array" ref="B2462">IFERROR(INDEX(EmployeeData[Employee ID], ROW() - 37), "")</f>
        <v/>
      </c>
      <c r="C2462" s="4" t="str" cm="1">
        <f t="array" ref="C2462">IFERROR(INDEX(EmployeeData[Full Name], ROW() - 37), "")</f>
        <v/>
      </c>
      <c r="D2462" s="4" t="str" cm="1">
        <f t="array" ref="D2462">IFERROR(INDEX(EmployeeData[Department], ROW() - 37), "")</f>
        <v/>
      </c>
      <c r="E2462" s="4" t="str" cm="1">
        <f t="array" ref="E2462">IFERROR(INDEX(EmployeeData[Gender], ROW() - 37), "")</f>
        <v/>
      </c>
      <c r="F2462" s="4" t="str" cm="1">
        <f t="array" ref="F2462">IFERROR(INDEX(EmployeeData[Age], ROW() - 37), "")</f>
        <v/>
      </c>
      <c r="G2462" s="6" t="str" cm="1">
        <f t="array" ref="G2462">IFERROR(INDEX(EmployeeData[Join Date], ROW() - 37), "")</f>
        <v/>
      </c>
      <c r="H2462" s="6" t="str" cm="1">
        <f t="array" ref="H2462">IFERROR(IF(INDEX(EmployeeData[Exit Date], ROW() - 37)=0, "",INDEX(EmployeeData[Exit Date], ROW() - 37)),"")</f>
        <v/>
      </c>
      <c r="I2462" s="4" t="str" cm="1">
        <f t="array" ref="I2462">IFERROR(IF(INDEX(EmployeeData[Exit Reason], ROW() - 37)=0, "",INDEX(EmployeeData[Exit Reason], ROW() - 37)),"")</f>
        <v/>
      </c>
      <c r="J2462" s="4" t="str" cm="1">
        <f t="array" ref="J2462">IFERROR(INDEX(EmployeeData[Status], ROW() - 37), "")</f>
        <v/>
      </c>
    </row>
    <row r="2463" spans="2:10" ht="19.95" customHeight="1" x14ac:dyDescent="0.3">
      <c r="B2463" s="4" t="str" cm="1">
        <f t="array" ref="B2463">IFERROR(INDEX(EmployeeData[Employee ID], ROW() - 37), "")</f>
        <v/>
      </c>
      <c r="C2463" s="4" t="str" cm="1">
        <f t="array" ref="C2463">IFERROR(INDEX(EmployeeData[Full Name], ROW() - 37), "")</f>
        <v/>
      </c>
      <c r="D2463" s="4" t="str" cm="1">
        <f t="array" ref="D2463">IFERROR(INDEX(EmployeeData[Department], ROW() - 37), "")</f>
        <v/>
      </c>
      <c r="E2463" s="4" t="str" cm="1">
        <f t="array" ref="E2463">IFERROR(INDEX(EmployeeData[Gender], ROW() - 37), "")</f>
        <v/>
      </c>
      <c r="F2463" s="4" t="str" cm="1">
        <f t="array" ref="F2463">IFERROR(INDEX(EmployeeData[Age], ROW() - 37), "")</f>
        <v/>
      </c>
      <c r="G2463" s="6" t="str" cm="1">
        <f t="array" ref="G2463">IFERROR(INDEX(EmployeeData[Join Date], ROW() - 37), "")</f>
        <v/>
      </c>
      <c r="H2463" s="6" t="str" cm="1">
        <f t="array" ref="H2463">IFERROR(IF(INDEX(EmployeeData[Exit Date], ROW() - 37)=0, "",INDEX(EmployeeData[Exit Date], ROW() - 37)),"")</f>
        <v/>
      </c>
      <c r="I2463" s="4" t="str" cm="1">
        <f t="array" ref="I2463">IFERROR(IF(INDEX(EmployeeData[Exit Reason], ROW() - 37)=0, "",INDEX(EmployeeData[Exit Reason], ROW() - 37)),"")</f>
        <v/>
      </c>
      <c r="J2463" s="4" t="str" cm="1">
        <f t="array" ref="J2463">IFERROR(INDEX(EmployeeData[Status], ROW() - 37), "")</f>
        <v/>
      </c>
    </row>
    <row r="2464" spans="2:10" ht="19.95" customHeight="1" x14ac:dyDescent="0.3">
      <c r="B2464" s="4" t="str" cm="1">
        <f t="array" ref="B2464">IFERROR(INDEX(EmployeeData[Employee ID], ROW() - 37), "")</f>
        <v/>
      </c>
      <c r="C2464" s="4" t="str" cm="1">
        <f t="array" ref="C2464">IFERROR(INDEX(EmployeeData[Full Name], ROW() - 37), "")</f>
        <v/>
      </c>
      <c r="D2464" s="4" t="str" cm="1">
        <f t="array" ref="D2464">IFERROR(INDEX(EmployeeData[Department], ROW() - 37), "")</f>
        <v/>
      </c>
      <c r="E2464" s="4" t="str" cm="1">
        <f t="array" ref="E2464">IFERROR(INDEX(EmployeeData[Gender], ROW() - 37), "")</f>
        <v/>
      </c>
      <c r="F2464" s="4" t="str" cm="1">
        <f t="array" ref="F2464">IFERROR(INDEX(EmployeeData[Age], ROW() - 37), "")</f>
        <v/>
      </c>
      <c r="G2464" s="6" t="str" cm="1">
        <f t="array" ref="G2464">IFERROR(INDEX(EmployeeData[Join Date], ROW() - 37), "")</f>
        <v/>
      </c>
      <c r="H2464" s="6" t="str" cm="1">
        <f t="array" ref="H2464">IFERROR(IF(INDEX(EmployeeData[Exit Date], ROW() - 37)=0, "",INDEX(EmployeeData[Exit Date], ROW() - 37)),"")</f>
        <v/>
      </c>
      <c r="I2464" s="4" t="str" cm="1">
        <f t="array" ref="I2464">IFERROR(IF(INDEX(EmployeeData[Exit Reason], ROW() - 37)=0, "",INDEX(EmployeeData[Exit Reason], ROW() - 37)),"")</f>
        <v/>
      </c>
      <c r="J2464" s="4" t="str" cm="1">
        <f t="array" ref="J2464">IFERROR(INDEX(EmployeeData[Status], ROW() - 37), "")</f>
        <v/>
      </c>
    </row>
    <row r="2465" spans="2:10" ht="19.95" customHeight="1" x14ac:dyDescent="0.3">
      <c r="B2465" s="4" t="str" cm="1">
        <f t="array" ref="B2465">IFERROR(INDEX(EmployeeData[Employee ID], ROW() - 37), "")</f>
        <v/>
      </c>
      <c r="C2465" s="4" t="str" cm="1">
        <f t="array" ref="C2465">IFERROR(INDEX(EmployeeData[Full Name], ROW() - 37), "")</f>
        <v/>
      </c>
      <c r="D2465" s="4" t="str" cm="1">
        <f t="array" ref="D2465">IFERROR(INDEX(EmployeeData[Department], ROW() - 37), "")</f>
        <v/>
      </c>
      <c r="E2465" s="4" t="str" cm="1">
        <f t="array" ref="E2465">IFERROR(INDEX(EmployeeData[Gender], ROW() - 37), "")</f>
        <v/>
      </c>
      <c r="F2465" s="4" t="str" cm="1">
        <f t="array" ref="F2465">IFERROR(INDEX(EmployeeData[Age], ROW() - 37), "")</f>
        <v/>
      </c>
      <c r="G2465" s="6" t="str" cm="1">
        <f t="array" ref="G2465">IFERROR(INDEX(EmployeeData[Join Date], ROW() - 37), "")</f>
        <v/>
      </c>
      <c r="H2465" s="6" t="str" cm="1">
        <f t="array" ref="H2465">IFERROR(IF(INDEX(EmployeeData[Exit Date], ROW() - 37)=0, "",INDEX(EmployeeData[Exit Date], ROW() - 37)),"")</f>
        <v/>
      </c>
      <c r="I2465" s="4" t="str" cm="1">
        <f t="array" ref="I2465">IFERROR(IF(INDEX(EmployeeData[Exit Reason], ROW() - 37)=0, "",INDEX(EmployeeData[Exit Reason], ROW() - 37)),"")</f>
        <v/>
      </c>
      <c r="J2465" s="4" t="str" cm="1">
        <f t="array" ref="J2465">IFERROR(INDEX(EmployeeData[Status], ROW() - 37), "")</f>
        <v/>
      </c>
    </row>
    <row r="2466" spans="2:10" ht="19.95" customHeight="1" x14ac:dyDescent="0.3">
      <c r="B2466" s="4" t="str" cm="1">
        <f t="array" ref="B2466">IFERROR(INDEX(EmployeeData[Employee ID], ROW() - 37), "")</f>
        <v/>
      </c>
      <c r="C2466" s="4" t="str" cm="1">
        <f t="array" ref="C2466">IFERROR(INDEX(EmployeeData[Full Name], ROW() - 37), "")</f>
        <v/>
      </c>
      <c r="D2466" s="4" t="str" cm="1">
        <f t="array" ref="D2466">IFERROR(INDEX(EmployeeData[Department], ROW() - 37), "")</f>
        <v/>
      </c>
      <c r="E2466" s="4" t="str" cm="1">
        <f t="array" ref="E2466">IFERROR(INDEX(EmployeeData[Gender], ROW() - 37), "")</f>
        <v/>
      </c>
      <c r="F2466" s="4" t="str" cm="1">
        <f t="array" ref="F2466">IFERROR(INDEX(EmployeeData[Age], ROW() - 37), "")</f>
        <v/>
      </c>
      <c r="G2466" s="6" t="str" cm="1">
        <f t="array" ref="G2466">IFERROR(INDEX(EmployeeData[Join Date], ROW() - 37), "")</f>
        <v/>
      </c>
      <c r="H2466" s="6" t="str" cm="1">
        <f t="array" ref="H2466">IFERROR(IF(INDEX(EmployeeData[Exit Date], ROW() - 37)=0, "",INDEX(EmployeeData[Exit Date], ROW() - 37)),"")</f>
        <v/>
      </c>
      <c r="I2466" s="4" t="str" cm="1">
        <f t="array" ref="I2466">IFERROR(IF(INDEX(EmployeeData[Exit Reason], ROW() - 37)=0, "",INDEX(EmployeeData[Exit Reason], ROW() - 37)),"")</f>
        <v/>
      </c>
      <c r="J2466" s="4" t="str" cm="1">
        <f t="array" ref="J2466">IFERROR(INDEX(EmployeeData[Status], ROW() - 37), "")</f>
        <v/>
      </c>
    </row>
    <row r="2467" spans="2:10" ht="19.95" customHeight="1" x14ac:dyDescent="0.3">
      <c r="B2467" s="4" t="str" cm="1">
        <f t="array" ref="B2467">IFERROR(INDEX(EmployeeData[Employee ID], ROW() - 37), "")</f>
        <v/>
      </c>
      <c r="C2467" s="4" t="str" cm="1">
        <f t="array" ref="C2467">IFERROR(INDEX(EmployeeData[Full Name], ROW() - 37), "")</f>
        <v/>
      </c>
      <c r="D2467" s="4" t="str" cm="1">
        <f t="array" ref="D2467">IFERROR(INDEX(EmployeeData[Department], ROW() - 37), "")</f>
        <v/>
      </c>
      <c r="E2467" s="4" t="str" cm="1">
        <f t="array" ref="E2467">IFERROR(INDEX(EmployeeData[Gender], ROW() - 37), "")</f>
        <v/>
      </c>
      <c r="F2467" s="4" t="str" cm="1">
        <f t="array" ref="F2467">IFERROR(INDEX(EmployeeData[Age], ROW() - 37), "")</f>
        <v/>
      </c>
      <c r="G2467" s="6" t="str" cm="1">
        <f t="array" ref="G2467">IFERROR(INDEX(EmployeeData[Join Date], ROW() - 37), "")</f>
        <v/>
      </c>
      <c r="H2467" s="6" t="str" cm="1">
        <f t="array" ref="H2467">IFERROR(IF(INDEX(EmployeeData[Exit Date], ROW() - 37)=0, "",INDEX(EmployeeData[Exit Date], ROW() - 37)),"")</f>
        <v/>
      </c>
      <c r="I2467" s="4" t="str" cm="1">
        <f t="array" ref="I2467">IFERROR(IF(INDEX(EmployeeData[Exit Reason], ROW() - 37)=0, "",INDEX(EmployeeData[Exit Reason], ROW() - 37)),"")</f>
        <v/>
      </c>
      <c r="J2467" s="4" t="str" cm="1">
        <f t="array" ref="J2467">IFERROR(INDEX(EmployeeData[Status], ROW() - 37), "")</f>
        <v/>
      </c>
    </row>
    <row r="2468" spans="2:10" ht="19.95" customHeight="1" x14ac:dyDescent="0.3">
      <c r="B2468" s="4" t="str" cm="1">
        <f t="array" ref="B2468">IFERROR(INDEX(EmployeeData[Employee ID], ROW() - 37), "")</f>
        <v/>
      </c>
      <c r="C2468" s="4" t="str" cm="1">
        <f t="array" ref="C2468">IFERROR(INDEX(EmployeeData[Full Name], ROW() - 37), "")</f>
        <v/>
      </c>
      <c r="D2468" s="4" t="str" cm="1">
        <f t="array" ref="D2468">IFERROR(INDEX(EmployeeData[Department], ROW() - 37), "")</f>
        <v/>
      </c>
      <c r="E2468" s="4" t="str" cm="1">
        <f t="array" ref="E2468">IFERROR(INDEX(EmployeeData[Gender], ROW() - 37), "")</f>
        <v/>
      </c>
      <c r="F2468" s="4" t="str" cm="1">
        <f t="array" ref="F2468">IFERROR(INDEX(EmployeeData[Age], ROW() - 37), "")</f>
        <v/>
      </c>
      <c r="G2468" s="6" t="str" cm="1">
        <f t="array" ref="G2468">IFERROR(INDEX(EmployeeData[Join Date], ROW() - 37), "")</f>
        <v/>
      </c>
      <c r="H2468" s="6" t="str" cm="1">
        <f t="array" ref="H2468">IFERROR(IF(INDEX(EmployeeData[Exit Date], ROW() - 37)=0, "",INDEX(EmployeeData[Exit Date], ROW() - 37)),"")</f>
        <v/>
      </c>
      <c r="I2468" s="4" t="str" cm="1">
        <f t="array" ref="I2468">IFERROR(IF(INDEX(EmployeeData[Exit Reason], ROW() - 37)=0, "",INDEX(EmployeeData[Exit Reason], ROW() - 37)),"")</f>
        <v/>
      </c>
      <c r="J2468" s="4" t="str" cm="1">
        <f t="array" ref="J2468">IFERROR(INDEX(EmployeeData[Status], ROW() - 37), "")</f>
        <v/>
      </c>
    </row>
    <row r="2469" spans="2:10" ht="19.95" customHeight="1" x14ac:dyDescent="0.3">
      <c r="B2469" s="4" t="str" cm="1">
        <f t="array" ref="B2469">IFERROR(INDEX(EmployeeData[Employee ID], ROW() - 37), "")</f>
        <v/>
      </c>
      <c r="C2469" s="4" t="str" cm="1">
        <f t="array" ref="C2469">IFERROR(INDEX(EmployeeData[Full Name], ROW() - 37), "")</f>
        <v/>
      </c>
      <c r="D2469" s="4" t="str" cm="1">
        <f t="array" ref="D2469">IFERROR(INDEX(EmployeeData[Department], ROW() - 37), "")</f>
        <v/>
      </c>
      <c r="E2469" s="4" t="str" cm="1">
        <f t="array" ref="E2469">IFERROR(INDEX(EmployeeData[Gender], ROW() - 37), "")</f>
        <v/>
      </c>
      <c r="F2469" s="4" t="str" cm="1">
        <f t="array" ref="F2469">IFERROR(INDEX(EmployeeData[Age], ROW() - 37), "")</f>
        <v/>
      </c>
      <c r="G2469" s="6" t="str" cm="1">
        <f t="array" ref="G2469">IFERROR(INDEX(EmployeeData[Join Date], ROW() - 37), "")</f>
        <v/>
      </c>
      <c r="H2469" s="6" t="str" cm="1">
        <f t="array" ref="H2469">IFERROR(IF(INDEX(EmployeeData[Exit Date], ROW() - 37)=0, "",INDEX(EmployeeData[Exit Date], ROW() - 37)),"")</f>
        <v/>
      </c>
      <c r="I2469" s="4" t="str" cm="1">
        <f t="array" ref="I2469">IFERROR(IF(INDEX(EmployeeData[Exit Reason], ROW() - 37)=0, "",INDEX(EmployeeData[Exit Reason], ROW() - 37)),"")</f>
        <v/>
      </c>
      <c r="J2469" s="4" t="str" cm="1">
        <f t="array" ref="J2469">IFERROR(INDEX(EmployeeData[Status], ROW() - 37), "")</f>
        <v/>
      </c>
    </row>
    <row r="2470" spans="2:10" ht="19.95" customHeight="1" x14ac:dyDescent="0.3">
      <c r="B2470" s="4" t="str" cm="1">
        <f t="array" ref="B2470">IFERROR(INDEX(EmployeeData[Employee ID], ROW() - 37), "")</f>
        <v/>
      </c>
      <c r="C2470" s="4" t="str" cm="1">
        <f t="array" ref="C2470">IFERROR(INDEX(EmployeeData[Full Name], ROW() - 37), "")</f>
        <v/>
      </c>
      <c r="D2470" s="4" t="str" cm="1">
        <f t="array" ref="D2470">IFERROR(INDEX(EmployeeData[Department], ROW() - 37), "")</f>
        <v/>
      </c>
      <c r="E2470" s="4" t="str" cm="1">
        <f t="array" ref="E2470">IFERROR(INDEX(EmployeeData[Gender], ROW() - 37), "")</f>
        <v/>
      </c>
      <c r="F2470" s="4" t="str" cm="1">
        <f t="array" ref="F2470">IFERROR(INDEX(EmployeeData[Age], ROW() - 37), "")</f>
        <v/>
      </c>
      <c r="G2470" s="6" t="str" cm="1">
        <f t="array" ref="G2470">IFERROR(INDEX(EmployeeData[Join Date], ROW() - 37), "")</f>
        <v/>
      </c>
      <c r="H2470" s="6" t="str" cm="1">
        <f t="array" ref="H2470">IFERROR(IF(INDEX(EmployeeData[Exit Date], ROW() - 37)=0, "",INDEX(EmployeeData[Exit Date], ROW() - 37)),"")</f>
        <v/>
      </c>
      <c r="I2470" s="4" t="str" cm="1">
        <f t="array" ref="I2470">IFERROR(IF(INDEX(EmployeeData[Exit Reason], ROW() - 37)=0, "",INDEX(EmployeeData[Exit Reason], ROW() - 37)),"")</f>
        <v/>
      </c>
      <c r="J2470" s="4" t="str" cm="1">
        <f t="array" ref="J2470">IFERROR(INDEX(EmployeeData[Status], ROW() - 37), "")</f>
        <v/>
      </c>
    </row>
    <row r="2471" spans="2:10" ht="19.95" customHeight="1" x14ac:dyDescent="0.3">
      <c r="B2471" s="4" t="str" cm="1">
        <f t="array" ref="B2471">IFERROR(INDEX(EmployeeData[Employee ID], ROW() - 37), "")</f>
        <v/>
      </c>
      <c r="C2471" s="4" t="str" cm="1">
        <f t="array" ref="C2471">IFERROR(INDEX(EmployeeData[Full Name], ROW() - 37), "")</f>
        <v/>
      </c>
      <c r="D2471" s="4" t="str" cm="1">
        <f t="array" ref="D2471">IFERROR(INDEX(EmployeeData[Department], ROW() - 37), "")</f>
        <v/>
      </c>
      <c r="E2471" s="4" t="str" cm="1">
        <f t="array" ref="E2471">IFERROR(INDEX(EmployeeData[Gender], ROW() - 37), "")</f>
        <v/>
      </c>
      <c r="F2471" s="4" t="str" cm="1">
        <f t="array" ref="F2471">IFERROR(INDEX(EmployeeData[Age], ROW() - 37), "")</f>
        <v/>
      </c>
      <c r="G2471" s="6" t="str" cm="1">
        <f t="array" ref="G2471">IFERROR(INDEX(EmployeeData[Join Date], ROW() - 37), "")</f>
        <v/>
      </c>
      <c r="H2471" s="6" t="str" cm="1">
        <f t="array" ref="H2471">IFERROR(IF(INDEX(EmployeeData[Exit Date], ROW() - 37)=0, "",INDEX(EmployeeData[Exit Date], ROW() - 37)),"")</f>
        <v/>
      </c>
      <c r="I2471" s="4" t="str" cm="1">
        <f t="array" ref="I2471">IFERROR(IF(INDEX(EmployeeData[Exit Reason], ROW() - 37)=0, "",INDEX(EmployeeData[Exit Reason], ROW() - 37)),"")</f>
        <v/>
      </c>
      <c r="J2471" s="4" t="str" cm="1">
        <f t="array" ref="J2471">IFERROR(INDEX(EmployeeData[Status], ROW() - 37), "")</f>
        <v/>
      </c>
    </row>
    <row r="2472" spans="2:10" ht="19.95" customHeight="1" x14ac:dyDescent="0.3">
      <c r="B2472" s="4" t="str" cm="1">
        <f t="array" ref="B2472">IFERROR(INDEX(EmployeeData[Employee ID], ROW() - 37), "")</f>
        <v/>
      </c>
      <c r="C2472" s="4" t="str" cm="1">
        <f t="array" ref="C2472">IFERROR(INDEX(EmployeeData[Full Name], ROW() - 37), "")</f>
        <v/>
      </c>
      <c r="D2472" s="4" t="str" cm="1">
        <f t="array" ref="D2472">IFERROR(INDEX(EmployeeData[Department], ROW() - 37), "")</f>
        <v/>
      </c>
      <c r="E2472" s="4" t="str" cm="1">
        <f t="array" ref="E2472">IFERROR(INDEX(EmployeeData[Gender], ROW() - 37), "")</f>
        <v/>
      </c>
      <c r="F2472" s="4" t="str" cm="1">
        <f t="array" ref="F2472">IFERROR(INDEX(EmployeeData[Age], ROW() - 37), "")</f>
        <v/>
      </c>
      <c r="G2472" s="6" t="str" cm="1">
        <f t="array" ref="G2472">IFERROR(INDEX(EmployeeData[Join Date], ROW() - 37), "")</f>
        <v/>
      </c>
      <c r="H2472" s="6" t="str" cm="1">
        <f t="array" ref="H2472">IFERROR(IF(INDEX(EmployeeData[Exit Date], ROW() - 37)=0, "",INDEX(EmployeeData[Exit Date], ROW() - 37)),"")</f>
        <v/>
      </c>
      <c r="I2472" s="4" t="str" cm="1">
        <f t="array" ref="I2472">IFERROR(IF(INDEX(EmployeeData[Exit Reason], ROW() - 37)=0, "",INDEX(EmployeeData[Exit Reason], ROW() - 37)),"")</f>
        <v/>
      </c>
      <c r="J2472" s="4" t="str" cm="1">
        <f t="array" ref="J2472">IFERROR(INDEX(EmployeeData[Status], ROW() - 37), "")</f>
        <v/>
      </c>
    </row>
    <row r="2473" spans="2:10" ht="19.95" customHeight="1" x14ac:dyDescent="0.3">
      <c r="B2473" s="4" t="str" cm="1">
        <f t="array" ref="B2473">IFERROR(INDEX(EmployeeData[Employee ID], ROW() - 37), "")</f>
        <v/>
      </c>
      <c r="C2473" s="4" t="str" cm="1">
        <f t="array" ref="C2473">IFERROR(INDEX(EmployeeData[Full Name], ROW() - 37), "")</f>
        <v/>
      </c>
      <c r="D2473" s="4" t="str" cm="1">
        <f t="array" ref="D2473">IFERROR(INDEX(EmployeeData[Department], ROW() - 37), "")</f>
        <v/>
      </c>
      <c r="E2473" s="4" t="str" cm="1">
        <f t="array" ref="E2473">IFERROR(INDEX(EmployeeData[Gender], ROW() - 37), "")</f>
        <v/>
      </c>
      <c r="F2473" s="4" t="str" cm="1">
        <f t="array" ref="F2473">IFERROR(INDEX(EmployeeData[Age], ROW() - 37), "")</f>
        <v/>
      </c>
      <c r="G2473" s="6" t="str" cm="1">
        <f t="array" ref="G2473">IFERROR(INDEX(EmployeeData[Join Date], ROW() - 37), "")</f>
        <v/>
      </c>
      <c r="H2473" s="6" t="str" cm="1">
        <f t="array" ref="H2473">IFERROR(IF(INDEX(EmployeeData[Exit Date], ROW() - 37)=0, "",INDEX(EmployeeData[Exit Date], ROW() - 37)),"")</f>
        <v/>
      </c>
      <c r="I2473" s="4" t="str" cm="1">
        <f t="array" ref="I2473">IFERROR(IF(INDEX(EmployeeData[Exit Reason], ROW() - 37)=0, "",INDEX(EmployeeData[Exit Reason], ROW() - 37)),"")</f>
        <v/>
      </c>
      <c r="J2473" s="4" t="str" cm="1">
        <f t="array" ref="J2473">IFERROR(INDEX(EmployeeData[Status], ROW() - 37), "")</f>
        <v/>
      </c>
    </row>
    <row r="2474" spans="2:10" ht="19.95" customHeight="1" x14ac:dyDescent="0.3">
      <c r="B2474" s="4" t="str" cm="1">
        <f t="array" ref="B2474">IFERROR(INDEX(EmployeeData[Employee ID], ROW() - 37), "")</f>
        <v/>
      </c>
      <c r="C2474" s="4" t="str" cm="1">
        <f t="array" ref="C2474">IFERROR(INDEX(EmployeeData[Full Name], ROW() - 37), "")</f>
        <v/>
      </c>
      <c r="D2474" s="4" t="str" cm="1">
        <f t="array" ref="D2474">IFERROR(INDEX(EmployeeData[Department], ROW() - 37), "")</f>
        <v/>
      </c>
      <c r="E2474" s="4" t="str" cm="1">
        <f t="array" ref="E2474">IFERROR(INDEX(EmployeeData[Gender], ROW() - 37), "")</f>
        <v/>
      </c>
      <c r="F2474" s="4" t="str" cm="1">
        <f t="array" ref="F2474">IFERROR(INDEX(EmployeeData[Age], ROW() - 37), "")</f>
        <v/>
      </c>
      <c r="G2474" s="6" t="str" cm="1">
        <f t="array" ref="G2474">IFERROR(INDEX(EmployeeData[Join Date], ROW() - 37), "")</f>
        <v/>
      </c>
      <c r="H2474" s="6" t="str" cm="1">
        <f t="array" ref="H2474">IFERROR(IF(INDEX(EmployeeData[Exit Date], ROW() - 37)=0, "",INDEX(EmployeeData[Exit Date], ROW() - 37)),"")</f>
        <v/>
      </c>
      <c r="I2474" s="4" t="str" cm="1">
        <f t="array" ref="I2474">IFERROR(IF(INDEX(EmployeeData[Exit Reason], ROW() - 37)=0, "",INDEX(EmployeeData[Exit Reason], ROW() - 37)),"")</f>
        <v/>
      </c>
      <c r="J2474" s="4" t="str" cm="1">
        <f t="array" ref="J2474">IFERROR(INDEX(EmployeeData[Status], ROW() - 37), "")</f>
        <v/>
      </c>
    </row>
    <row r="2475" spans="2:10" ht="19.95" customHeight="1" x14ac:dyDescent="0.3">
      <c r="B2475" s="4" t="str" cm="1">
        <f t="array" ref="B2475">IFERROR(INDEX(EmployeeData[Employee ID], ROW() - 37), "")</f>
        <v/>
      </c>
      <c r="C2475" s="4" t="str" cm="1">
        <f t="array" ref="C2475">IFERROR(INDEX(EmployeeData[Full Name], ROW() - 37), "")</f>
        <v/>
      </c>
      <c r="D2475" s="4" t="str" cm="1">
        <f t="array" ref="D2475">IFERROR(INDEX(EmployeeData[Department], ROW() - 37), "")</f>
        <v/>
      </c>
      <c r="E2475" s="4" t="str" cm="1">
        <f t="array" ref="E2475">IFERROR(INDEX(EmployeeData[Gender], ROW() - 37), "")</f>
        <v/>
      </c>
      <c r="F2475" s="4" t="str" cm="1">
        <f t="array" ref="F2475">IFERROR(INDEX(EmployeeData[Age], ROW() - 37), "")</f>
        <v/>
      </c>
      <c r="G2475" s="6" t="str" cm="1">
        <f t="array" ref="G2475">IFERROR(INDEX(EmployeeData[Join Date], ROW() - 37), "")</f>
        <v/>
      </c>
      <c r="H2475" s="6" t="str" cm="1">
        <f t="array" ref="H2475">IFERROR(IF(INDEX(EmployeeData[Exit Date], ROW() - 37)=0, "",INDEX(EmployeeData[Exit Date], ROW() - 37)),"")</f>
        <v/>
      </c>
      <c r="I2475" s="4" t="str" cm="1">
        <f t="array" ref="I2475">IFERROR(IF(INDEX(EmployeeData[Exit Reason], ROW() - 37)=0, "",INDEX(EmployeeData[Exit Reason], ROW() - 37)),"")</f>
        <v/>
      </c>
      <c r="J2475" s="4" t="str" cm="1">
        <f t="array" ref="J2475">IFERROR(INDEX(EmployeeData[Status], ROW() - 37), "")</f>
        <v/>
      </c>
    </row>
    <row r="2476" spans="2:10" ht="19.95" customHeight="1" x14ac:dyDescent="0.3">
      <c r="B2476" s="4" t="str" cm="1">
        <f t="array" ref="B2476">IFERROR(INDEX(EmployeeData[Employee ID], ROW() - 37), "")</f>
        <v/>
      </c>
      <c r="C2476" s="4" t="str" cm="1">
        <f t="array" ref="C2476">IFERROR(INDEX(EmployeeData[Full Name], ROW() - 37), "")</f>
        <v/>
      </c>
      <c r="D2476" s="4" t="str" cm="1">
        <f t="array" ref="D2476">IFERROR(INDEX(EmployeeData[Department], ROW() - 37), "")</f>
        <v/>
      </c>
      <c r="E2476" s="4" t="str" cm="1">
        <f t="array" ref="E2476">IFERROR(INDEX(EmployeeData[Gender], ROW() - 37), "")</f>
        <v/>
      </c>
      <c r="F2476" s="4" t="str" cm="1">
        <f t="array" ref="F2476">IFERROR(INDEX(EmployeeData[Age], ROW() - 37), "")</f>
        <v/>
      </c>
      <c r="G2476" s="6" t="str" cm="1">
        <f t="array" ref="G2476">IFERROR(INDEX(EmployeeData[Join Date], ROW() - 37), "")</f>
        <v/>
      </c>
      <c r="H2476" s="6" t="str" cm="1">
        <f t="array" ref="H2476">IFERROR(IF(INDEX(EmployeeData[Exit Date], ROW() - 37)=0, "",INDEX(EmployeeData[Exit Date], ROW() - 37)),"")</f>
        <v/>
      </c>
      <c r="I2476" s="4" t="str" cm="1">
        <f t="array" ref="I2476">IFERROR(IF(INDEX(EmployeeData[Exit Reason], ROW() - 37)=0, "",INDEX(EmployeeData[Exit Reason], ROW() - 37)),"")</f>
        <v/>
      </c>
      <c r="J2476" s="4" t="str" cm="1">
        <f t="array" ref="J2476">IFERROR(INDEX(EmployeeData[Status], ROW() - 37), "")</f>
        <v/>
      </c>
    </row>
    <row r="2477" spans="2:10" ht="19.95" customHeight="1" x14ac:dyDescent="0.3">
      <c r="B2477" s="4" t="str" cm="1">
        <f t="array" ref="B2477">IFERROR(INDEX(EmployeeData[Employee ID], ROW() - 37), "")</f>
        <v/>
      </c>
      <c r="C2477" s="4" t="str" cm="1">
        <f t="array" ref="C2477">IFERROR(INDEX(EmployeeData[Full Name], ROW() - 37), "")</f>
        <v/>
      </c>
      <c r="D2477" s="4" t="str" cm="1">
        <f t="array" ref="D2477">IFERROR(INDEX(EmployeeData[Department], ROW() - 37), "")</f>
        <v/>
      </c>
      <c r="E2477" s="4" t="str" cm="1">
        <f t="array" ref="E2477">IFERROR(INDEX(EmployeeData[Gender], ROW() - 37), "")</f>
        <v/>
      </c>
      <c r="F2477" s="4" t="str" cm="1">
        <f t="array" ref="F2477">IFERROR(INDEX(EmployeeData[Age], ROW() - 37), "")</f>
        <v/>
      </c>
      <c r="G2477" s="6" t="str" cm="1">
        <f t="array" ref="G2477">IFERROR(INDEX(EmployeeData[Join Date], ROW() - 37), "")</f>
        <v/>
      </c>
      <c r="H2477" s="6" t="str" cm="1">
        <f t="array" ref="H2477">IFERROR(IF(INDEX(EmployeeData[Exit Date], ROW() - 37)=0, "",INDEX(EmployeeData[Exit Date], ROW() - 37)),"")</f>
        <v/>
      </c>
      <c r="I2477" s="4" t="str" cm="1">
        <f t="array" ref="I2477">IFERROR(IF(INDEX(EmployeeData[Exit Reason], ROW() - 37)=0, "",INDEX(EmployeeData[Exit Reason], ROW() - 37)),"")</f>
        <v/>
      </c>
      <c r="J2477" s="4" t="str" cm="1">
        <f t="array" ref="J2477">IFERROR(INDEX(EmployeeData[Status], ROW() - 37), "")</f>
        <v/>
      </c>
    </row>
    <row r="2478" spans="2:10" ht="19.95" customHeight="1" x14ac:dyDescent="0.3">
      <c r="B2478" s="4" t="str" cm="1">
        <f t="array" ref="B2478">IFERROR(INDEX(EmployeeData[Employee ID], ROW() - 37), "")</f>
        <v/>
      </c>
      <c r="C2478" s="4" t="str" cm="1">
        <f t="array" ref="C2478">IFERROR(INDEX(EmployeeData[Full Name], ROW() - 37), "")</f>
        <v/>
      </c>
      <c r="D2478" s="4" t="str" cm="1">
        <f t="array" ref="D2478">IFERROR(INDEX(EmployeeData[Department], ROW() - 37), "")</f>
        <v/>
      </c>
      <c r="E2478" s="4" t="str" cm="1">
        <f t="array" ref="E2478">IFERROR(INDEX(EmployeeData[Gender], ROW() - 37), "")</f>
        <v/>
      </c>
      <c r="F2478" s="4" t="str" cm="1">
        <f t="array" ref="F2478">IFERROR(INDEX(EmployeeData[Age], ROW() - 37), "")</f>
        <v/>
      </c>
      <c r="G2478" s="6" t="str" cm="1">
        <f t="array" ref="G2478">IFERROR(INDEX(EmployeeData[Join Date], ROW() - 37), "")</f>
        <v/>
      </c>
      <c r="H2478" s="6" t="str" cm="1">
        <f t="array" ref="H2478">IFERROR(IF(INDEX(EmployeeData[Exit Date], ROW() - 37)=0, "",INDEX(EmployeeData[Exit Date], ROW() - 37)),"")</f>
        <v/>
      </c>
      <c r="I2478" s="4" t="str" cm="1">
        <f t="array" ref="I2478">IFERROR(IF(INDEX(EmployeeData[Exit Reason], ROW() - 37)=0, "",INDEX(EmployeeData[Exit Reason], ROW() - 37)),"")</f>
        <v/>
      </c>
      <c r="J2478" s="4" t="str" cm="1">
        <f t="array" ref="J2478">IFERROR(INDEX(EmployeeData[Status], ROW() - 37), "")</f>
        <v/>
      </c>
    </row>
    <row r="2479" spans="2:10" ht="19.95" customHeight="1" x14ac:dyDescent="0.3">
      <c r="B2479" s="4" t="str" cm="1">
        <f t="array" ref="B2479">IFERROR(INDEX(EmployeeData[Employee ID], ROW() - 37), "")</f>
        <v/>
      </c>
      <c r="C2479" s="4" t="str" cm="1">
        <f t="array" ref="C2479">IFERROR(INDEX(EmployeeData[Full Name], ROW() - 37), "")</f>
        <v/>
      </c>
      <c r="D2479" s="4" t="str" cm="1">
        <f t="array" ref="D2479">IFERROR(INDEX(EmployeeData[Department], ROW() - 37), "")</f>
        <v/>
      </c>
      <c r="E2479" s="4" t="str" cm="1">
        <f t="array" ref="E2479">IFERROR(INDEX(EmployeeData[Gender], ROW() - 37), "")</f>
        <v/>
      </c>
      <c r="F2479" s="4" t="str" cm="1">
        <f t="array" ref="F2479">IFERROR(INDEX(EmployeeData[Age], ROW() - 37), "")</f>
        <v/>
      </c>
      <c r="G2479" s="6" t="str" cm="1">
        <f t="array" ref="G2479">IFERROR(INDEX(EmployeeData[Join Date], ROW() - 37), "")</f>
        <v/>
      </c>
      <c r="H2479" s="6" t="str" cm="1">
        <f t="array" ref="H2479">IFERROR(IF(INDEX(EmployeeData[Exit Date], ROW() - 37)=0, "",INDEX(EmployeeData[Exit Date], ROW() - 37)),"")</f>
        <v/>
      </c>
      <c r="I2479" s="4" t="str" cm="1">
        <f t="array" ref="I2479">IFERROR(IF(INDEX(EmployeeData[Exit Reason], ROW() - 37)=0, "",INDEX(EmployeeData[Exit Reason], ROW() - 37)),"")</f>
        <v/>
      </c>
      <c r="J2479" s="4" t="str" cm="1">
        <f t="array" ref="J2479">IFERROR(INDEX(EmployeeData[Status], ROW() - 37), "")</f>
        <v/>
      </c>
    </row>
    <row r="2480" spans="2:10" ht="19.95" customHeight="1" x14ac:dyDescent="0.3">
      <c r="B2480" s="4" t="str" cm="1">
        <f t="array" ref="B2480">IFERROR(INDEX(EmployeeData[Employee ID], ROW() - 37), "")</f>
        <v/>
      </c>
      <c r="C2480" s="4" t="str" cm="1">
        <f t="array" ref="C2480">IFERROR(INDEX(EmployeeData[Full Name], ROW() - 37), "")</f>
        <v/>
      </c>
      <c r="D2480" s="4" t="str" cm="1">
        <f t="array" ref="D2480">IFERROR(INDEX(EmployeeData[Department], ROW() - 37), "")</f>
        <v/>
      </c>
      <c r="E2480" s="4" t="str" cm="1">
        <f t="array" ref="E2480">IFERROR(INDEX(EmployeeData[Gender], ROW() - 37), "")</f>
        <v/>
      </c>
      <c r="F2480" s="4" t="str" cm="1">
        <f t="array" ref="F2480">IFERROR(INDEX(EmployeeData[Age], ROW() - 37), "")</f>
        <v/>
      </c>
      <c r="G2480" s="6" t="str" cm="1">
        <f t="array" ref="G2480">IFERROR(INDEX(EmployeeData[Join Date], ROW() - 37), "")</f>
        <v/>
      </c>
      <c r="H2480" s="6" t="str" cm="1">
        <f t="array" ref="H2480">IFERROR(IF(INDEX(EmployeeData[Exit Date], ROW() - 37)=0, "",INDEX(EmployeeData[Exit Date], ROW() - 37)),"")</f>
        <v/>
      </c>
      <c r="I2480" s="4" t="str" cm="1">
        <f t="array" ref="I2480">IFERROR(IF(INDEX(EmployeeData[Exit Reason], ROW() - 37)=0, "",INDEX(EmployeeData[Exit Reason], ROW() - 37)),"")</f>
        <v/>
      </c>
      <c r="J2480" s="4" t="str" cm="1">
        <f t="array" ref="J2480">IFERROR(INDEX(EmployeeData[Status], ROW() - 37), "")</f>
        <v/>
      </c>
    </row>
    <row r="2481" spans="2:10" ht="19.95" customHeight="1" x14ac:dyDescent="0.3">
      <c r="B2481" s="4" t="str" cm="1">
        <f t="array" ref="B2481">IFERROR(INDEX(EmployeeData[Employee ID], ROW() - 37), "")</f>
        <v/>
      </c>
      <c r="C2481" s="4" t="str" cm="1">
        <f t="array" ref="C2481">IFERROR(INDEX(EmployeeData[Full Name], ROW() - 37), "")</f>
        <v/>
      </c>
      <c r="D2481" s="4" t="str" cm="1">
        <f t="array" ref="D2481">IFERROR(INDEX(EmployeeData[Department], ROW() - 37), "")</f>
        <v/>
      </c>
      <c r="E2481" s="4" t="str" cm="1">
        <f t="array" ref="E2481">IFERROR(INDEX(EmployeeData[Gender], ROW() - 37), "")</f>
        <v/>
      </c>
      <c r="F2481" s="4" t="str" cm="1">
        <f t="array" ref="F2481">IFERROR(INDEX(EmployeeData[Age], ROW() - 37), "")</f>
        <v/>
      </c>
      <c r="G2481" s="6" t="str" cm="1">
        <f t="array" ref="G2481">IFERROR(INDEX(EmployeeData[Join Date], ROW() - 37), "")</f>
        <v/>
      </c>
      <c r="H2481" s="6" t="str" cm="1">
        <f t="array" ref="H2481">IFERROR(IF(INDEX(EmployeeData[Exit Date], ROW() - 37)=0, "",INDEX(EmployeeData[Exit Date], ROW() - 37)),"")</f>
        <v/>
      </c>
      <c r="I2481" s="4" t="str" cm="1">
        <f t="array" ref="I2481">IFERROR(IF(INDEX(EmployeeData[Exit Reason], ROW() - 37)=0, "",INDEX(EmployeeData[Exit Reason], ROW() - 37)),"")</f>
        <v/>
      </c>
      <c r="J2481" s="4" t="str" cm="1">
        <f t="array" ref="J2481">IFERROR(INDEX(EmployeeData[Status], ROW() - 37), "")</f>
        <v/>
      </c>
    </row>
    <row r="2482" spans="2:10" ht="19.95" customHeight="1" x14ac:dyDescent="0.3">
      <c r="B2482" s="4" t="str" cm="1">
        <f t="array" ref="B2482">IFERROR(INDEX(EmployeeData[Employee ID], ROW() - 37), "")</f>
        <v/>
      </c>
      <c r="C2482" s="4" t="str" cm="1">
        <f t="array" ref="C2482">IFERROR(INDEX(EmployeeData[Full Name], ROW() - 37), "")</f>
        <v/>
      </c>
      <c r="D2482" s="4" t="str" cm="1">
        <f t="array" ref="D2482">IFERROR(INDEX(EmployeeData[Department], ROW() - 37), "")</f>
        <v/>
      </c>
      <c r="E2482" s="4" t="str" cm="1">
        <f t="array" ref="E2482">IFERROR(INDEX(EmployeeData[Gender], ROW() - 37), "")</f>
        <v/>
      </c>
      <c r="F2482" s="4" t="str" cm="1">
        <f t="array" ref="F2482">IFERROR(INDEX(EmployeeData[Age], ROW() - 37), "")</f>
        <v/>
      </c>
      <c r="G2482" s="6" t="str" cm="1">
        <f t="array" ref="G2482">IFERROR(INDEX(EmployeeData[Join Date], ROW() - 37), "")</f>
        <v/>
      </c>
      <c r="H2482" s="6" t="str" cm="1">
        <f t="array" ref="H2482">IFERROR(IF(INDEX(EmployeeData[Exit Date], ROW() - 37)=0, "",INDEX(EmployeeData[Exit Date], ROW() - 37)),"")</f>
        <v/>
      </c>
      <c r="I2482" s="4" t="str" cm="1">
        <f t="array" ref="I2482">IFERROR(IF(INDEX(EmployeeData[Exit Reason], ROW() - 37)=0, "",INDEX(EmployeeData[Exit Reason], ROW() - 37)),"")</f>
        <v/>
      </c>
      <c r="J2482" s="4" t="str" cm="1">
        <f t="array" ref="J2482">IFERROR(INDEX(EmployeeData[Status], ROW() - 37), "")</f>
        <v/>
      </c>
    </row>
    <row r="2483" spans="2:10" ht="19.95" customHeight="1" x14ac:dyDescent="0.3">
      <c r="B2483" s="4" t="str" cm="1">
        <f t="array" ref="B2483">IFERROR(INDEX(EmployeeData[Employee ID], ROW() - 37), "")</f>
        <v/>
      </c>
      <c r="C2483" s="4" t="str" cm="1">
        <f t="array" ref="C2483">IFERROR(INDEX(EmployeeData[Full Name], ROW() - 37), "")</f>
        <v/>
      </c>
      <c r="D2483" s="4" t="str" cm="1">
        <f t="array" ref="D2483">IFERROR(INDEX(EmployeeData[Department], ROW() - 37), "")</f>
        <v/>
      </c>
      <c r="E2483" s="4" t="str" cm="1">
        <f t="array" ref="E2483">IFERROR(INDEX(EmployeeData[Gender], ROW() - 37), "")</f>
        <v/>
      </c>
      <c r="F2483" s="4" t="str" cm="1">
        <f t="array" ref="F2483">IFERROR(INDEX(EmployeeData[Age], ROW() - 37), "")</f>
        <v/>
      </c>
      <c r="G2483" s="6" t="str" cm="1">
        <f t="array" ref="G2483">IFERROR(INDEX(EmployeeData[Join Date], ROW() - 37), "")</f>
        <v/>
      </c>
      <c r="H2483" s="6" t="str" cm="1">
        <f t="array" ref="H2483">IFERROR(IF(INDEX(EmployeeData[Exit Date], ROW() - 37)=0, "",INDEX(EmployeeData[Exit Date], ROW() - 37)),"")</f>
        <v/>
      </c>
      <c r="I2483" s="4" t="str" cm="1">
        <f t="array" ref="I2483">IFERROR(IF(INDEX(EmployeeData[Exit Reason], ROW() - 37)=0, "",INDEX(EmployeeData[Exit Reason], ROW() - 37)),"")</f>
        <v/>
      </c>
      <c r="J2483" s="4" t="str" cm="1">
        <f t="array" ref="J2483">IFERROR(INDEX(EmployeeData[Status], ROW() - 37), "")</f>
        <v/>
      </c>
    </row>
    <row r="2484" spans="2:10" ht="19.95" customHeight="1" x14ac:dyDescent="0.3">
      <c r="B2484" s="4" t="str" cm="1">
        <f t="array" ref="B2484">IFERROR(INDEX(EmployeeData[Employee ID], ROW() - 37), "")</f>
        <v/>
      </c>
      <c r="C2484" s="4" t="str" cm="1">
        <f t="array" ref="C2484">IFERROR(INDEX(EmployeeData[Full Name], ROW() - 37), "")</f>
        <v/>
      </c>
      <c r="D2484" s="4" t="str" cm="1">
        <f t="array" ref="D2484">IFERROR(INDEX(EmployeeData[Department], ROW() - 37), "")</f>
        <v/>
      </c>
      <c r="E2484" s="4" t="str" cm="1">
        <f t="array" ref="E2484">IFERROR(INDEX(EmployeeData[Gender], ROW() - 37), "")</f>
        <v/>
      </c>
      <c r="F2484" s="4" t="str" cm="1">
        <f t="array" ref="F2484">IFERROR(INDEX(EmployeeData[Age], ROW() - 37), "")</f>
        <v/>
      </c>
      <c r="G2484" s="6" t="str" cm="1">
        <f t="array" ref="G2484">IFERROR(INDEX(EmployeeData[Join Date], ROW() - 37), "")</f>
        <v/>
      </c>
      <c r="H2484" s="6" t="str" cm="1">
        <f t="array" ref="H2484">IFERROR(IF(INDEX(EmployeeData[Exit Date], ROW() - 37)=0, "",INDEX(EmployeeData[Exit Date], ROW() - 37)),"")</f>
        <v/>
      </c>
      <c r="I2484" s="4" t="str" cm="1">
        <f t="array" ref="I2484">IFERROR(IF(INDEX(EmployeeData[Exit Reason], ROW() - 37)=0, "",INDEX(EmployeeData[Exit Reason], ROW() - 37)),"")</f>
        <v/>
      </c>
      <c r="J2484" s="4" t="str" cm="1">
        <f t="array" ref="J2484">IFERROR(INDEX(EmployeeData[Status], ROW() - 37), "")</f>
        <v/>
      </c>
    </row>
    <row r="2485" spans="2:10" ht="19.95" customHeight="1" x14ac:dyDescent="0.3">
      <c r="B2485" s="4" t="str" cm="1">
        <f t="array" ref="B2485">IFERROR(INDEX(EmployeeData[Employee ID], ROW() - 37), "")</f>
        <v/>
      </c>
      <c r="C2485" s="4" t="str" cm="1">
        <f t="array" ref="C2485">IFERROR(INDEX(EmployeeData[Full Name], ROW() - 37), "")</f>
        <v/>
      </c>
      <c r="D2485" s="4" t="str" cm="1">
        <f t="array" ref="D2485">IFERROR(INDEX(EmployeeData[Department], ROW() - 37), "")</f>
        <v/>
      </c>
      <c r="E2485" s="4" t="str" cm="1">
        <f t="array" ref="E2485">IFERROR(INDEX(EmployeeData[Gender], ROW() - 37), "")</f>
        <v/>
      </c>
      <c r="F2485" s="4" t="str" cm="1">
        <f t="array" ref="F2485">IFERROR(INDEX(EmployeeData[Age], ROW() - 37), "")</f>
        <v/>
      </c>
      <c r="G2485" s="6" t="str" cm="1">
        <f t="array" ref="G2485">IFERROR(INDEX(EmployeeData[Join Date], ROW() - 37), "")</f>
        <v/>
      </c>
      <c r="H2485" s="6" t="str" cm="1">
        <f t="array" ref="H2485">IFERROR(IF(INDEX(EmployeeData[Exit Date], ROW() - 37)=0, "",INDEX(EmployeeData[Exit Date], ROW() - 37)),"")</f>
        <v/>
      </c>
      <c r="I2485" s="4" t="str" cm="1">
        <f t="array" ref="I2485">IFERROR(IF(INDEX(EmployeeData[Exit Reason], ROW() - 37)=0, "",INDEX(EmployeeData[Exit Reason], ROW() - 37)),"")</f>
        <v/>
      </c>
      <c r="J2485" s="4" t="str" cm="1">
        <f t="array" ref="J2485">IFERROR(INDEX(EmployeeData[Status], ROW() - 37), "")</f>
        <v/>
      </c>
    </row>
    <row r="2486" spans="2:10" ht="19.95" customHeight="1" x14ac:dyDescent="0.3">
      <c r="B2486" s="4" t="str" cm="1">
        <f t="array" ref="B2486">IFERROR(INDEX(EmployeeData[Employee ID], ROW() - 37), "")</f>
        <v/>
      </c>
      <c r="C2486" s="4" t="str" cm="1">
        <f t="array" ref="C2486">IFERROR(INDEX(EmployeeData[Full Name], ROW() - 37), "")</f>
        <v/>
      </c>
      <c r="D2486" s="4" t="str" cm="1">
        <f t="array" ref="D2486">IFERROR(INDEX(EmployeeData[Department], ROW() - 37), "")</f>
        <v/>
      </c>
      <c r="E2486" s="4" t="str" cm="1">
        <f t="array" ref="E2486">IFERROR(INDEX(EmployeeData[Gender], ROW() - 37), "")</f>
        <v/>
      </c>
      <c r="F2486" s="4" t="str" cm="1">
        <f t="array" ref="F2486">IFERROR(INDEX(EmployeeData[Age], ROW() - 37), "")</f>
        <v/>
      </c>
      <c r="G2486" s="6" t="str" cm="1">
        <f t="array" ref="G2486">IFERROR(INDEX(EmployeeData[Join Date], ROW() - 37), "")</f>
        <v/>
      </c>
      <c r="H2486" s="6" t="str" cm="1">
        <f t="array" ref="H2486">IFERROR(IF(INDEX(EmployeeData[Exit Date], ROW() - 37)=0, "",INDEX(EmployeeData[Exit Date], ROW() - 37)),"")</f>
        <v/>
      </c>
      <c r="I2486" s="4" t="str" cm="1">
        <f t="array" ref="I2486">IFERROR(IF(INDEX(EmployeeData[Exit Reason], ROW() - 37)=0, "",INDEX(EmployeeData[Exit Reason], ROW() - 37)),"")</f>
        <v/>
      </c>
      <c r="J2486" s="4" t="str" cm="1">
        <f t="array" ref="J2486">IFERROR(INDEX(EmployeeData[Status], ROW() - 37), "")</f>
        <v/>
      </c>
    </row>
    <row r="2487" spans="2:10" ht="19.95" customHeight="1" x14ac:dyDescent="0.3">
      <c r="B2487" s="4" t="str" cm="1">
        <f t="array" ref="B2487">IFERROR(INDEX(EmployeeData[Employee ID], ROW() - 37), "")</f>
        <v/>
      </c>
      <c r="C2487" s="4" t="str" cm="1">
        <f t="array" ref="C2487">IFERROR(INDEX(EmployeeData[Full Name], ROW() - 37), "")</f>
        <v/>
      </c>
      <c r="D2487" s="4" t="str" cm="1">
        <f t="array" ref="D2487">IFERROR(INDEX(EmployeeData[Department], ROW() - 37), "")</f>
        <v/>
      </c>
      <c r="E2487" s="4" t="str" cm="1">
        <f t="array" ref="E2487">IFERROR(INDEX(EmployeeData[Gender], ROW() - 37), "")</f>
        <v/>
      </c>
      <c r="F2487" s="4" t="str" cm="1">
        <f t="array" ref="F2487">IFERROR(INDEX(EmployeeData[Age], ROW() - 37), "")</f>
        <v/>
      </c>
      <c r="G2487" s="6" t="str" cm="1">
        <f t="array" ref="G2487">IFERROR(INDEX(EmployeeData[Join Date], ROW() - 37), "")</f>
        <v/>
      </c>
      <c r="H2487" s="6" t="str" cm="1">
        <f t="array" ref="H2487">IFERROR(IF(INDEX(EmployeeData[Exit Date], ROW() - 37)=0, "",INDEX(EmployeeData[Exit Date], ROW() - 37)),"")</f>
        <v/>
      </c>
      <c r="I2487" s="4" t="str" cm="1">
        <f t="array" ref="I2487">IFERROR(IF(INDEX(EmployeeData[Exit Reason], ROW() - 37)=0, "",INDEX(EmployeeData[Exit Reason], ROW() - 37)),"")</f>
        <v/>
      </c>
      <c r="J2487" s="4" t="str" cm="1">
        <f t="array" ref="J2487">IFERROR(INDEX(EmployeeData[Status], ROW() - 37), "")</f>
        <v/>
      </c>
    </row>
    <row r="2488" spans="2:10" ht="19.95" customHeight="1" x14ac:dyDescent="0.3">
      <c r="B2488" s="4" t="str" cm="1">
        <f t="array" ref="B2488">IFERROR(INDEX(EmployeeData[Employee ID], ROW() - 37), "")</f>
        <v/>
      </c>
      <c r="C2488" s="4" t="str" cm="1">
        <f t="array" ref="C2488">IFERROR(INDEX(EmployeeData[Full Name], ROW() - 37), "")</f>
        <v/>
      </c>
      <c r="D2488" s="4" t="str" cm="1">
        <f t="array" ref="D2488">IFERROR(INDEX(EmployeeData[Department], ROW() - 37), "")</f>
        <v/>
      </c>
      <c r="E2488" s="4" t="str" cm="1">
        <f t="array" ref="E2488">IFERROR(INDEX(EmployeeData[Gender], ROW() - 37), "")</f>
        <v/>
      </c>
      <c r="F2488" s="4" t="str" cm="1">
        <f t="array" ref="F2488">IFERROR(INDEX(EmployeeData[Age], ROW() - 37), "")</f>
        <v/>
      </c>
      <c r="G2488" s="6" t="str" cm="1">
        <f t="array" ref="G2488">IFERROR(INDEX(EmployeeData[Join Date], ROW() - 37), "")</f>
        <v/>
      </c>
      <c r="H2488" s="6" t="str" cm="1">
        <f t="array" ref="H2488">IFERROR(IF(INDEX(EmployeeData[Exit Date], ROW() - 37)=0, "",INDEX(EmployeeData[Exit Date], ROW() - 37)),"")</f>
        <v/>
      </c>
      <c r="I2488" s="4" t="str" cm="1">
        <f t="array" ref="I2488">IFERROR(IF(INDEX(EmployeeData[Exit Reason], ROW() - 37)=0, "",INDEX(EmployeeData[Exit Reason], ROW() - 37)),"")</f>
        <v/>
      </c>
      <c r="J2488" s="4" t="str" cm="1">
        <f t="array" ref="J2488">IFERROR(INDEX(EmployeeData[Status], ROW() - 37), "")</f>
        <v/>
      </c>
    </row>
    <row r="2489" spans="2:10" ht="19.95" customHeight="1" x14ac:dyDescent="0.3">
      <c r="B2489" s="4" t="str" cm="1">
        <f t="array" ref="B2489">IFERROR(INDEX(EmployeeData[Employee ID], ROW() - 37), "")</f>
        <v/>
      </c>
      <c r="C2489" s="4" t="str" cm="1">
        <f t="array" ref="C2489">IFERROR(INDEX(EmployeeData[Full Name], ROW() - 37), "")</f>
        <v/>
      </c>
      <c r="D2489" s="4" t="str" cm="1">
        <f t="array" ref="D2489">IFERROR(INDEX(EmployeeData[Department], ROW() - 37), "")</f>
        <v/>
      </c>
      <c r="E2489" s="4" t="str" cm="1">
        <f t="array" ref="E2489">IFERROR(INDEX(EmployeeData[Gender], ROW() - 37), "")</f>
        <v/>
      </c>
      <c r="F2489" s="4" t="str" cm="1">
        <f t="array" ref="F2489">IFERROR(INDEX(EmployeeData[Age], ROW() - 37), "")</f>
        <v/>
      </c>
      <c r="G2489" s="6" t="str" cm="1">
        <f t="array" ref="G2489">IFERROR(INDEX(EmployeeData[Join Date], ROW() - 37), "")</f>
        <v/>
      </c>
      <c r="H2489" s="6" t="str" cm="1">
        <f t="array" ref="H2489">IFERROR(IF(INDEX(EmployeeData[Exit Date], ROW() - 37)=0, "",INDEX(EmployeeData[Exit Date], ROW() - 37)),"")</f>
        <v/>
      </c>
      <c r="I2489" s="4" t="str" cm="1">
        <f t="array" ref="I2489">IFERROR(IF(INDEX(EmployeeData[Exit Reason], ROW() - 37)=0, "",INDEX(EmployeeData[Exit Reason], ROW() - 37)),"")</f>
        <v/>
      </c>
      <c r="J2489" s="4" t="str" cm="1">
        <f t="array" ref="J2489">IFERROR(INDEX(EmployeeData[Status], ROW() - 37), "")</f>
        <v/>
      </c>
    </row>
    <row r="2490" spans="2:10" ht="19.95" customHeight="1" x14ac:dyDescent="0.3">
      <c r="B2490" s="4" t="str" cm="1">
        <f t="array" ref="B2490">IFERROR(INDEX(EmployeeData[Employee ID], ROW() - 37), "")</f>
        <v/>
      </c>
      <c r="C2490" s="4" t="str" cm="1">
        <f t="array" ref="C2490">IFERROR(INDEX(EmployeeData[Full Name], ROW() - 37), "")</f>
        <v/>
      </c>
      <c r="D2490" s="4" t="str" cm="1">
        <f t="array" ref="D2490">IFERROR(INDEX(EmployeeData[Department], ROW() - 37), "")</f>
        <v/>
      </c>
      <c r="E2490" s="4" t="str" cm="1">
        <f t="array" ref="E2490">IFERROR(INDEX(EmployeeData[Gender], ROW() - 37), "")</f>
        <v/>
      </c>
      <c r="F2490" s="4" t="str" cm="1">
        <f t="array" ref="F2490">IFERROR(INDEX(EmployeeData[Age], ROW() - 37), "")</f>
        <v/>
      </c>
      <c r="G2490" s="6" t="str" cm="1">
        <f t="array" ref="G2490">IFERROR(INDEX(EmployeeData[Join Date], ROW() - 37), "")</f>
        <v/>
      </c>
      <c r="H2490" s="6" t="str" cm="1">
        <f t="array" ref="H2490">IFERROR(IF(INDEX(EmployeeData[Exit Date], ROW() - 37)=0, "",INDEX(EmployeeData[Exit Date], ROW() - 37)),"")</f>
        <v/>
      </c>
      <c r="I2490" s="4" t="str" cm="1">
        <f t="array" ref="I2490">IFERROR(IF(INDEX(EmployeeData[Exit Reason], ROW() - 37)=0, "",INDEX(EmployeeData[Exit Reason], ROW() - 37)),"")</f>
        <v/>
      </c>
      <c r="J2490" s="4" t="str" cm="1">
        <f t="array" ref="J2490">IFERROR(INDEX(EmployeeData[Status], ROW() - 37), "")</f>
        <v/>
      </c>
    </row>
    <row r="2491" spans="2:10" ht="19.95" customHeight="1" x14ac:dyDescent="0.3">
      <c r="B2491" s="4" t="str" cm="1">
        <f t="array" ref="B2491">IFERROR(INDEX(EmployeeData[Employee ID], ROW() - 37), "")</f>
        <v/>
      </c>
      <c r="C2491" s="4" t="str" cm="1">
        <f t="array" ref="C2491">IFERROR(INDEX(EmployeeData[Full Name], ROW() - 37), "")</f>
        <v/>
      </c>
      <c r="D2491" s="4" t="str" cm="1">
        <f t="array" ref="D2491">IFERROR(INDEX(EmployeeData[Department], ROW() - 37), "")</f>
        <v/>
      </c>
      <c r="E2491" s="4" t="str" cm="1">
        <f t="array" ref="E2491">IFERROR(INDEX(EmployeeData[Gender], ROW() - 37), "")</f>
        <v/>
      </c>
      <c r="F2491" s="4" t="str" cm="1">
        <f t="array" ref="F2491">IFERROR(INDEX(EmployeeData[Age], ROW() - 37), "")</f>
        <v/>
      </c>
      <c r="G2491" s="6" t="str" cm="1">
        <f t="array" ref="G2491">IFERROR(INDEX(EmployeeData[Join Date], ROW() - 37), "")</f>
        <v/>
      </c>
      <c r="H2491" s="6" t="str" cm="1">
        <f t="array" ref="H2491">IFERROR(IF(INDEX(EmployeeData[Exit Date], ROW() - 37)=0, "",INDEX(EmployeeData[Exit Date], ROW() - 37)),"")</f>
        <v/>
      </c>
      <c r="I2491" s="4" t="str" cm="1">
        <f t="array" ref="I2491">IFERROR(IF(INDEX(EmployeeData[Exit Reason], ROW() - 37)=0, "",INDEX(EmployeeData[Exit Reason], ROW() - 37)),"")</f>
        <v/>
      </c>
      <c r="J2491" s="4" t="str" cm="1">
        <f t="array" ref="J2491">IFERROR(INDEX(EmployeeData[Status], ROW() - 37), "")</f>
        <v/>
      </c>
    </row>
    <row r="2492" spans="2:10" ht="19.95" customHeight="1" x14ac:dyDescent="0.3">
      <c r="B2492" s="4" t="str" cm="1">
        <f t="array" ref="B2492">IFERROR(INDEX(EmployeeData[Employee ID], ROW() - 37), "")</f>
        <v/>
      </c>
      <c r="C2492" s="4" t="str" cm="1">
        <f t="array" ref="C2492">IFERROR(INDEX(EmployeeData[Full Name], ROW() - 37), "")</f>
        <v/>
      </c>
      <c r="D2492" s="4" t="str" cm="1">
        <f t="array" ref="D2492">IFERROR(INDEX(EmployeeData[Department], ROW() - 37), "")</f>
        <v/>
      </c>
      <c r="E2492" s="4" t="str" cm="1">
        <f t="array" ref="E2492">IFERROR(INDEX(EmployeeData[Gender], ROW() - 37), "")</f>
        <v/>
      </c>
      <c r="F2492" s="4" t="str" cm="1">
        <f t="array" ref="F2492">IFERROR(INDEX(EmployeeData[Age], ROW() - 37), "")</f>
        <v/>
      </c>
      <c r="G2492" s="6" t="str" cm="1">
        <f t="array" ref="G2492">IFERROR(INDEX(EmployeeData[Join Date], ROW() - 37), "")</f>
        <v/>
      </c>
      <c r="H2492" s="6" t="str" cm="1">
        <f t="array" ref="H2492">IFERROR(IF(INDEX(EmployeeData[Exit Date], ROW() - 37)=0, "",INDEX(EmployeeData[Exit Date], ROW() - 37)),"")</f>
        <v/>
      </c>
      <c r="I2492" s="4" t="str" cm="1">
        <f t="array" ref="I2492">IFERROR(IF(INDEX(EmployeeData[Exit Reason], ROW() - 37)=0, "",INDEX(EmployeeData[Exit Reason], ROW() - 37)),"")</f>
        <v/>
      </c>
      <c r="J2492" s="4" t="str" cm="1">
        <f t="array" ref="J2492">IFERROR(INDEX(EmployeeData[Status], ROW() - 37), "")</f>
        <v/>
      </c>
    </row>
    <row r="2493" spans="2:10" ht="19.95" customHeight="1" x14ac:dyDescent="0.3">
      <c r="B2493" s="4" t="str" cm="1">
        <f t="array" ref="B2493">IFERROR(INDEX(EmployeeData[Employee ID], ROW() - 37), "")</f>
        <v/>
      </c>
      <c r="C2493" s="4" t="str" cm="1">
        <f t="array" ref="C2493">IFERROR(INDEX(EmployeeData[Full Name], ROW() - 37), "")</f>
        <v/>
      </c>
      <c r="D2493" s="4" t="str" cm="1">
        <f t="array" ref="D2493">IFERROR(INDEX(EmployeeData[Department], ROW() - 37), "")</f>
        <v/>
      </c>
      <c r="E2493" s="4" t="str" cm="1">
        <f t="array" ref="E2493">IFERROR(INDEX(EmployeeData[Gender], ROW() - 37), "")</f>
        <v/>
      </c>
      <c r="F2493" s="4" t="str" cm="1">
        <f t="array" ref="F2493">IFERROR(INDEX(EmployeeData[Age], ROW() - 37), "")</f>
        <v/>
      </c>
      <c r="G2493" s="6" t="str" cm="1">
        <f t="array" ref="G2493">IFERROR(INDEX(EmployeeData[Join Date], ROW() - 37), "")</f>
        <v/>
      </c>
      <c r="H2493" s="6" t="str" cm="1">
        <f t="array" ref="H2493">IFERROR(IF(INDEX(EmployeeData[Exit Date], ROW() - 37)=0, "",INDEX(EmployeeData[Exit Date], ROW() - 37)),"")</f>
        <v/>
      </c>
      <c r="I2493" s="4" t="str" cm="1">
        <f t="array" ref="I2493">IFERROR(IF(INDEX(EmployeeData[Exit Reason], ROW() - 37)=0, "",INDEX(EmployeeData[Exit Reason], ROW() - 37)),"")</f>
        <v/>
      </c>
      <c r="J2493" s="4" t="str" cm="1">
        <f t="array" ref="J2493">IFERROR(INDEX(EmployeeData[Status], ROW() - 37), "")</f>
        <v/>
      </c>
    </row>
    <row r="2494" spans="2:10" ht="19.95" customHeight="1" x14ac:dyDescent="0.3">
      <c r="B2494" s="4" t="str" cm="1">
        <f t="array" ref="B2494">IFERROR(INDEX(EmployeeData[Employee ID], ROW() - 37), "")</f>
        <v/>
      </c>
      <c r="C2494" s="4" t="str" cm="1">
        <f t="array" ref="C2494">IFERROR(INDEX(EmployeeData[Full Name], ROW() - 37), "")</f>
        <v/>
      </c>
      <c r="D2494" s="4" t="str" cm="1">
        <f t="array" ref="D2494">IFERROR(INDEX(EmployeeData[Department], ROW() - 37), "")</f>
        <v/>
      </c>
      <c r="E2494" s="4" t="str" cm="1">
        <f t="array" ref="E2494">IFERROR(INDEX(EmployeeData[Gender], ROW() - 37), "")</f>
        <v/>
      </c>
      <c r="F2494" s="4" t="str" cm="1">
        <f t="array" ref="F2494">IFERROR(INDEX(EmployeeData[Age], ROW() - 37), "")</f>
        <v/>
      </c>
      <c r="G2494" s="6" t="str" cm="1">
        <f t="array" ref="G2494">IFERROR(INDEX(EmployeeData[Join Date], ROW() - 37), "")</f>
        <v/>
      </c>
      <c r="H2494" s="6" t="str" cm="1">
        <f t="array" ref="H2494">IFERROR(IF(INDEX(EmployeeData[Exit Date], ROW() - 37)=0, "",INDEX(EmployeeData[Exit Date], ROW() - 37)),"")</f>
        <v/>
      </c>
      <c r="I2494" s="4" t="str" cm="1">
        <f t="array" ref="I2494">IFERROR(IF(INDEX(EmployeeData[Exit Reason], ROW() - 37)=0, "",INDEX(EmployeeData[Exit Reason], ROW() - 37)),"")</f>
        <v/>
      </c>
      <c r="J2494" s="4" t="str" cm="1">
        <f t="array" ref="J2494">IFERROR(INDEX(EmployeeData[Status], ROW() - 37), "")</f>
        <v/>
      </c>
    </row>
    <row r="2495" spans="2:10" ht="19.95" customHeight="1" x14ac:dyDescent="0.3">
      <c r="B2495" s="4" t="str" cm="1">
        <f t="array" ref="B2495">IFERROR(INDEX(EmployeeData[Employee ID], ROW() - 37), "")</f>
        <v/>
      </c>
      <c r="C2495" s="4" t="str" cm="1">
        <f t="array" ref="C2495">IFERROR(INDEX(EmployeeData[Full Name], ROW() - 37), "")</f>
        <v/>
      </c>
      <c r="D2495" s="4" t="str" cm="1">
        <f t="array" ref="D2495">IFERROR(INDEX(EmployeeData[Department], ROW() - 37), "")</f>
        <v/>
      </c>
      <c r="E2495" s="4" t="str" cm="1">
        <f t="array" ref="E2495">IFERROR(INDEX(EmployeeData[Gender], ROW() - 37), "")</f>
        <v/>
      </c>
      <c r="F2495" s="4" t="str" cm="1">
        <f t="array" ref="F2495">IFERROR(INDEX(EmployeeData[Age], ROW() - 37), "")</f>
        <v/>
      </c>
      <c r="G2495" s="6" t="str" cm="1">
        <f t="array" ref="G2495">IFERROR(INDEX(EmployeeData[Join Date], ROW() - 37), "")</f>
        <v/>
      </c>
      <c r="H2495" s="6" t="str" cm="1">
        <f t="array" ref="H2495">IFERROR(IF(INDEX(EmployeeData[Exit Date], ROW() - 37)=0, "",INDEX(EmployeeData[Exit Date], ROW() - 37)),"")</f>
        <v/>
      </c>
      <c r="I2495" s="4" t="str" cm="1">
        <f t="array" ref="I2495">IFERROR(IF(INDEX(EmployeeData[Exit Reason], ROW() - 37)=0, "",INDEX(EmployeeData[Exit Reason], ROW() - 37)),"")</f>
        <v/>
      </c>
      <c r="J2495" s="4" t="str" cm="1">
        <f t="array" ref="J2495">IFERROR(INDEX(EmployeeData[Status], ROW() - 37), "")</f>
        <v/>
      </c>
    </row>
    <row r="2496" spans="2:10" ht="19.95" customHeight="1" x14ac:dyDescent="0.3">
      <c r="B2496" s="4" t="str" cm="1">
        <f t="array" ref="B2496">IFERROR(INDEX(EmployeeData[Employee ID], ROW() - 37), "")</f>
        <v/>
      </c>
      <c r="C2496" s="4" t="str" cm="1">
        <f t="array" ref="C2496">IFERROR(INDEX(EmployeeData[Full Name], ROW() - 37), "")</f>
        <v/>
      </c>
      <c r="D2496" s="4" t="str" cm="1">
        <f t="array" ref="D2496">IFERROR(INDEX(EmployeeData[Department], ROW() - 37), "")</f>
        <v/>
      </c>
      <c r="E2496" s="4" t="str" cm="1">
        <f t="array" ref="E2496">IFERROR(INDEX(EmployeeData[Gender], ROW() - 37), "")</f>
        <v/>
      </c>
      <c r="F2496" s="4" t="str" cm="1">
        <f t="array" ref="F2496">IFERROR(INDEX(EmployeeData[Age], ROW() - 37), "")</f>
        <v/>
      </c>
      <c r="G2496" s="6" t="str" cm="1">
        <f t="array" ref="G2496">IFERROR(INDEX(EmployeeData[Join Date], ROW() - 37), "")</f>
        <v/>
      </c>
      <c r="H2496" s="6" t="str" cm="1">
        <f t="array" ref="H2496">IFERROR(IF(INDEX(EmployeeData[Exit Date], ROW() - 37)=0, "",INDEX(EmployeeData[Exit Date], ROW() - 37)),"")</f>
        <v/>
      </c>
      <c r="I2496" s="4" t="str" cm="1">
        <f t="array" ref="I2496">IFERROR(IF(INDEX(EmployeeData[Exit Reason], ROW() - 37)=0, "",INDEX(EmployeeData[Exit Reason], ROW() - 37)),"")</f>
        <v/>
      </c>
      <c r="J2496" s="4" t="str" cm="1">
        <f t="array" ref="J2496">IFERROR(INDEX(EmployeeData[Status], ROW() - 37), "")</f>
        <v/>
      </c>
    </row>
    <row r="2497" spans="2:10" ht="19.95" customHeight="1" x14ac:dyDescent="0.3">
      <c r="B2497" s="4" t="str" cm="1">
        <f t="array" ref="B2497">IFERROR(INDEX(EmployeeData[Employee ID], ROW() - 37), "")</f>
        <v/>
      </c>
      <c r="C2497" s="4" t="str" cm="1">
        <f t="array" ref="C2497">IFERROR(INDEX(EmployeeData[Full Name], ROW() - 37), "")</f>
        <v/>
      </c>
      <c r="D2497" s="4" t="str" cm="1">
        <f t="array" ref="D2497">IFERROR(INDEX(EmployeeData[Department], ROW() - 37), "")</f>
        <v/>
      </c>
      <c r="E2497" s="4" t="str" cm="1">
        <f t="array" ref="E2497">IFERROR(INDEX(EmployeeData[Gender], ROW() - 37), "")</f>
        <v/>
      </c>
      <c r="F2497" s="4" t="str" cm="1">
        <f t="array" ref="F2497">IFERROR(INDEX(EmployeeData[Age], ROW() - 37), "")</f>
        <v/>
      </c>
      <c r="G2497" s="6" t="str" cm="1">
        <f t="array" ref="G2497">IFERROR(INDEX(EmployeeData[Join Date], ROW() - 37), "")</f>
        <v/>
      </c>
      <c r="H2497" s="6" t="str" cm="1">
        <f t="array" ref="H2497">IFERROR(IF(INDEX(EmployeeData[Exit Date], ROW() - 37)=0, "",INDEX(EmployeeData[Exit Date], ROW() - 37)),"")</f>
        <v/>
      </c>
      <c r="I2497" s="4" t="str" cm="1">
        <f t="array" ref="I2497">IFERROR(IF(INDEX(EmployeeData[Exit Reason], ROW() - 37)=0, "",INDEX(EmployeeData[Exit Reason], ROW() - 37)),"")</f>
        <v/>
      </c>
      <c r="J2497" s="4" t="str" cm="1">
        <f t="array" ref="J2497">IFERROR(INDEX(EmployeeData[Status], ROW() - 37), "")</f>
        <v/>
      </c>
    </row>
    <row r="2498" spans="2:10" ht="19.95" customHeight="1" x14ac:dyDescent="0.3">
      <c r="B2498" s="4" t="str" cm="1">
        <f t="array" ref="B2498">IFERROR(INDEX(EmployeeData[Employee ID], ROW() - 37), "")</f>
        <v/>
      </c>
      <c r="C2498" s="4" t="str" cm="1">
        <f t="array" ref="C2498">IFERROR(INDEX(EmployeeData[Full Name], ROW() - 37), "")</f>
        <v/>
      </c>
      <c r="D2498" s="4" t="str" cm="1">
        <f t="array" ref="D2498">IFERROR(INDEX(EmployeeData[Department], ROW() - 37), "")</f>
        <v/>
      </c>
      <c r="E2498" s="4" t="str" cm="1">
        <f t="array" ref="E2498">IFERROR(INDEX(EmployeeData[Gender], ROW() - 37), "")</f>
        <v/>
      </c>
      <c r="F2498" s="4" t="str" cm="1">
        <f t="array" ref="F2498">IFERROR(INDEX(EmployeeData[Age], ROW() - 37), "")</f>
        <v/>
      </c>
      <c r="G2498" s="6" t="str" cm="1">
        <f t="array" ref="G2498">IFERROR(INDEX(EmployeeData[Join Date], ROW() - 37), "")</f>
        <v/>
      </c>
      <c r="H2498" s="6" t="str" cm="1">
        <f t="array" ref="H2498">IFERROR(IF(INDEX(EmployeeData[Exit Date], ROW() - 37)=0, "",INDEX(EmployeeData[Exit Date], ROW() - 37)),"")</f>
        <v/>
      </c>
      <c r="I2498" s="4" t="str" cm="1">
        <f t="array" ref="I2498">IFERROR(IF(INDEX(EmployeeData[Exit Reason], ROW() - 37)=0, "",INDEX(EmployeeData[Exit Reason], ROW() - 37)),"")</f>
        <v/>
      </c>
      <c r="J2498" s="4" t="str" cm="1">
        <f t="array" ref="J2498">IFERROR(INDEX(EmployeeData[Status], ROW() - 37), "")</f>
        <v/>
      </c>
    </row>
    <row r="2499" spans="2:10" ht="19.95" customHeight="1" x14ac:dyDescent="0.3">
      <c r="B2499" s="4" t="str" cm="1">
        <f t="array" ref="B2499">IFERROR(INDEX(EmployeeData[Employee ID], ROW() - 37), "")</f>
        <v/>
      </c>
      <c r="C2499" s="4" t="str" cm="1">
        <f t="array" ref="C2499">IFERROR(INDEX(EmployeeData[Full Name], ROW() - 37), "")</f>
        <v/>
      </c>
      <c r="D2499" s="4" t="str" cm="1">
        <f t="array" ref="D2499">IFERROR(INDEX(EmployeeData[Department], ROW() - 37), "")</f>
        <v/>
      </c>
      <c r="E2499" s="4" t="str" cm="1">
        <f t="array" ref="E2499">IFERROR(INDEX(EmployeeData[Gender], ROW() - 37), "")</f>
        <v/>
      </c>
      <c r="F2499" s="4" t="str" cm="1">
        <f t="array" ref="F2499">IFERROR(INDEX(EmployeeData[Age], ROW() - 37), "")</f>
        <v/>
      </c>
      <c r="G2499" s="6" t="str" cm="1">
        <f t="array" ref="G2499">IFERROR(INDEX(EmployeeData[Join Date], ROW() - 37), "")</f>
        <v/>
      </c>
      <c r="H2499" s="6" t="str" cm="1">
        <f t="array" ref="H2499">IFERROR(IF(INDEX(EmployeeData[Exit Date], ROW() - 37)=0, "",INDEX(EmployeeData[Exit Date], ROW() - 37)),"")</f>
        <v/>
      </c>
      <c r="I2499" s="4" t="str" cm="1">
        <f t="array" ref="I2499">IFERROR(IF(INDEX(EmployeeData[Exit Reason], ROW() - 37)=0, "",INDEX(EmployeeData[Exit Reason], ROW() - 37)),"")</f>
        <v/>
      </c>
      <c r="J2499" s="4" t="str" cm="1">
        <f t="array" ref="J2499">IFERROR(INDEX(EmployeeData[Status], ROW() - 37), "")</f>
        <v/>
      </c>
    </row>
    <row r="2500" spans="2:10" ht="19.95" customHeight="1" x14ac:dyDescent="0.3">
      <c r="B2500" s="4" t="str" cm="1">
        <f t="array" ref="B2500">IFERROR(INDEX(EmployeeData[Employee ID], ROW() - 37), "")</f>
        <v/>
      </c>
      <c r="C2500" s="4" t="str" cm="1">
        <f t="array" ref="C2500">IFERROR(INDEX(EmployeeData[Full Name], ROW() - 37), "")</f>
        <v/>
      </c>
      <c r="D2500" s="4" t="str" cm="1">
        <f t="array" ref="D2500">IFERROR(INDEX(EmployeeData[Department], ROW() - 37), "")</f>
        <v/>
      </c>
      <c r="E2500" s="4" t="str" cm="1">
        <f t="array" ref="E2500">IFERROR(INDEX(EmployeeData[Gender], ROW() - 37), "")</f>
        <v/>
      </c>
      <c r="F2500" s="4" t="str" cm="1">
        <f t="array" ref="F2500">IFERROR(INDEX(EmployeeData[Age], ROW() - 37), "")</f>
        <v/>
      </c>
      <c r="G2500" s="6" t="str" cm="1">
        <f t="array" ref="G2500">IFERROR(INDEX(EmployeeData[Join Date], ROW() - 37), "")</f>
        <v/>
      </c>
      <c r="H2500" s="6" t="str" cm="1">
        <f t="array" ref="H2500">IFERROR(IF(INDEX(EmployeeData[Exit Date], ROW() - 37)=0, "",INDEX(EmployeeData[Exit Date], ROW() - 37)),"")</f>
        <v/>
      </c>
      <c r="I2500" s="4" t="str" cm="1">
        <f t="array" ref="I2500">IFERROR(IF(INDEX(EmployeeData[Exit Reason], ROW() - 37)=0, "",INDEX(EmployeeData[Exit Reason], ROW() - 37)),"")</f>
        <v/>
      </c>
      <c r="J2500" s="4" t="str" cm="1">
        <f t="array" ref="J2500">IFERROR(INDEX(EmployeeData[Status], ROW() - 37), "")</f>
        <v/>
      </c>
    </row>
    <row r="2501" spans="2:10" ht="19.95" customHeight="1" x14ac:dyDescent="0.3">
      <c r="B2501" s="4" t="str" cm="1">
        <f t="array" ref="B2501">IFERROR(INDEX(EmployeeData[Employee ID], ROW() - 37), "")</f>
        <v/>
      </c>
      <c r="C2501" s="4" t="str" cm="1">
        <f t="array" ref="C2501">IFERROR(INDEX(EmployeeData[Full Name], ROW() - 37), "")</f>
        <v/>
      </c>
      <c r="D2501" s="4" t="str" cm="1">
        <f t="array" ref="D2501">IFERROR(INDEX(EmployeeData[Department], ROW() - 37), "")</f>
        <v/>
      </c>
      <c r="E2501" s="4" t="str" cm="1">
        <f t="array" ref="E2501">IFERROR(INDEX(EmployeeData[Gender], ROW() - 37), "")</f>
        <v/>
      </c>
      <c r="F2501" s="4" t="str" cm="1">
        <f t="array" ref="F2501">IFERROR(INDEX(EmployeeData[Age], ROW() - 37), "")</f>
        <v/>
      </c>
      <c r="G2501" s="6" t="str" cm="1">
        <f t="array" ref="G2501">IFERROR(INDEX(EmployeeData[Join Date], ROW() - 37), "")</f>
        <v/>
      </c>
      <c r="H2501" s="6" t="str" cm="1">
        <f t="array" ref="H2501">IFERROR(IF(INDEX(EmployeeData[Exit Date], ROW() - 37)=0, "",INDEX(EmployeeData[Exit Date], ROW() - 37)),"")</f>
        <v/>
      </c>
      <c r="I2501" s="4" t="str" cm="1">
        <f t="array" ref="I2501">IFERROR(IF(INDEX(EmployeeData[Exit Reason], ROW() - 37)=0, "",INDEX(EmployeeData[Exit Reason], ROW() - 37)),"")</f>
        <v/>
      </c>
      <c r="J2501" s="4" t="str" cm="1">
        <f t="array" ref="J2501">IFERROR(INDEX(EmployeeData[Status], ROW() - 37), "")</f>
        <v/>
      </c>
    </row>
    <row r="2502" spans="2:10" ht="19.95" customHeight="1" x14ac:dyDescent="0.3">
      <c r="B2502" s="4" t="str" cm="1">
        <f t="array" ref="B2502">IFERROR(INDEX(EmployeeData[Employee ID], ROW() - 37), "")</f>
        <v/>
      </c>
      <c r="C2502" s="4" t="str" cm="1">
        <f t="array" ref="C2502">IFERROR(INDEX(EmployeeData[Full Name], ROW() - 37), "")</f>
        <v/>
      </c>
      <c r="D2502" s="4" t="str" cm="1">
        <f t="array" ref="D2502">IFERROR(INDEX(EmployeeData[Department], ROW() - 37), "")</f>
        <v/>
      </c>
      <c r="E2502" s="4" t="str" cm="1">
        <f t="array" ref="E2502">IFERROR(INDEX(EmployeeData[Gender], ROW() - 37), "")</f>
        <v/>
      </c>
      <c r="F2502" s="4" t="str" cm="1">
        <f t="array" ref="F2502">IFERROR(INDEX(EmployeeData[Age], ROW() - 37), "")</f>
        <v/>
      </c>
      <c r="G2502" s="6" t="str" cm="1">
        <f t="array" ref="G2502">IFERROR(INDEX(EmployeeData[Join Date], ROW() - 37), "")</f>
        <v/>
      </c>
      <c r="H2502" s="6" t="str" cm="1">
        <f t="array" ref="H2502">IFERROR(IF(INDEX(EmployeeData[Exit Date], ROW() - 37)=0, "",INDEX(EmployeeData[Exit Date], ROW() - 37)),"")</f>
        <v/>
      </c>
      <c r="I2502" s="4" t="str" cm="1">
        <f t="array" ref="I2502">IFERROR(IF(INDEX(EmployeeData[Exit Reason], ROW() - 37)=0, "",INDEX(EmployeeData[Exit Reason], ROW() - 37)),"")</f>
        <v/>
      </c>
      <c r="J2502" s="4" t="str" cm="1">
        <f t="array" ref="J2502">IFERROR(INDEX(EmployeeData[Status], ROW() - 37), "")</f>
        <v/>
      </c>
    </row>
    <row r="2503" spans="2:10" ht="19.95" customHeight="1" x14ac:dyDescent="0.3">
      <c r="B2503" s="4" t="str" cm="1">
        <f t="array" ref="B2503">IFERROR(INDEX(EmployeeData[Employee ID], ROW() - 37), "")</f>
        <v/>
      </c>
      <c r="C2503" s="4" t="str" cm="1">
        <f t="array" ref="C2503">IFERROR(INDEX(EmployeeData[Full Name], ROW() - 37), "")</f>
        <v/>
      </c>
      <c r="D2503" s="4" t="str" cm="1">
        <f t="array" ref="D2503">IFERROR(INDEX(EmployeeData[Department], ROW() - 37), "")</f>
        <v/>
      </c>
      <c r="E2503" s="4" t="str" cm="1">
        <f t="array" ref="E2503">IFERROR(INDEX(EmployeeData[Gender], ROW() - 37), "")</f>
        <v/>
      </c>
      <c r="F2503" s="4" t="str" cm="1">
        <f t="array" ref="F2503">IFERROR(INDEX(EmployeeData[Age], ROW() - 37), "")</f>
        <v/>
      </c>
      <c r="G2503" s="6" t="str" cm="1">
        <f t="array" ref="G2503">IFERROR(INDEX(EmployeeData[Join Date], ROW() - 37), "")</f>
        <v/>
      </c>
      <c r="H2503" s="6" t="str" cm="1">
        <f t="array" ref="H2503">IFERROR(IF(INDEX(EmployeeData[Exit Date], ROW() - 37)=0, "",INDEX(EmployeeData[Exit Date], ROW() - 37)),"")</f>
        <v/>
      </c>
      <c r="I2503" s="4" t="str" cm="1">
        <f t="array" ref="I2503">IFERROR(IF(INDEX(EmployeeData[Exit Reason], ROW() - 37)=0, "",INDEX(EmployeeData[Exit Reason], ROW() - 37)),"")</f>
        <v/>
      </c>
      <c r="J2503" s="4" t="str" cm="1">
        <f t="array" ref="J2503">IFERROR(INDEX(EmployeeData[Status], ROW() - 37), "")</f>
        <v/>
      </c>
    </row>
    <row r="2504" spans="2:10" ht="19.95" customHeight="1" x14ac:dyDescent="0.3">
      <c r="B2504" s="4" t="str" cm="1">
        <f t="array" ref="B2504">IFERROR(INDEX(EmployeeData[Employee ID], ROW() - 37), "")</f>
        <v/>
      </c>
      <c r="C2504" s="4" t="str" cm="1">
        <f t="array" ref="C2504">IFERROR(INDEX(EmployeeData[Full Name], ROW() - 37), "")</f>
        <v/>
      </c>
      <c r="D2504" s="4" t="str" cm="1">
        <f t="array" ref="D2504">IFERROR(INDEX(EmployeeData[Department], ROW() - 37), "")</f>
        <v/>
      </c>
      <c r="E2504" s="4" t="str" cm="1">
        <f t="array" ref="E2504">IFERROR(INDEX(EmployeeData[Gender], ROW() - 37), "")</f>
        <v/>
      </c>
      <c r="F2504" s="4" t="str" cm="1">
        <f t="array" ref="F2504">IFERROR(INDEX(EmployeeData[Age], ROW() - 37), "")</f>
        <v/>
      </c>
      <c r="G2504" s="6" t="str" cm="1">
        <f t="array" ref="G2504">IFERROR(INDEX(EmployeeData[Join Date], ROW() - 37), "")</f>
        <v/>
      </c>
      <c r="H2504" s="6" t="str" cm="1">
        <f t="array" ref="H2504">IFERROR(IF(INDEX(EmployeeData[Exit Date], ROW() - 37)=0, "",INDEX(EmployeeData[Exit Date], ROW() - 37)),"")</f>
        <v/>
      </c>
      <c r="I2504" s="4" t="str" cm="1">
        <f t="array" ref="I2504">IFERROR(IF(INDEX(EmployeeData[Exit Reason], ROW() - 37)=0, "",INDEX(EmployeeData[Exit Reason], ROW() - 37)),"")</f>
        <v/>
      </c>
      <c r="J2504" s="4" t="str" cm="1">
        <f t="array" ref="J2504">IFERROR(INDEX(EmployeeData[Status], ROW() - 37), "")</f>
        <v/>
      </c>
    </row>
    <row r="2505" spans="2:10" ht="19.95" customHeight="1" x14ac:dyDescent="0.3">
      <c r="B2505" s="4" t="str" cm="1">
        <f t="array" ref="B2505">IFERROR(INDEX(EmployeeData[Employee ID], ROW() - 37), "")</f>
        <v/>
      </c>
      <c r="C2505" s="4" t="str" cm="1">
        <f t="array" ref="C2505">IFERROR(INDEX(EmployeeData[Full Name], ROW() - 37), "")</f>
        <v/>
      </c>
      <c r="D2505" s="4" t="str" cm="1">
        <f t="array" ref="D2505">IFERROR(INDEX(EmployeeData[Department], ROW() - 37), "")</f>
        <v/>
      </c>
      <c r="E2505" s="4" t="str" cm="1">
        <f t="array" ref="E2505">IFERROR(INDEX(EmployeeData[Gender], ROW() - 37), "")</f>
        <v/>
      </c>
      <c r="F2505" s="4" t="str" cm="1">
        <f t="array" ref="F2505">IFERROR(INDEX(EmployeeData[Age], ROW() - 37), "")</f>
        <v/>
      </c>
      <c r="G2505" s="6" t="str" cm="1">
        <f t="array" ref="G2505">IFERROR(INDEX(EmployeeData[Join Date], ROW() - 37), "")</f>
        <v/>
      </c>
      <c r="H2505" s="6" t="str" cm="1">
        <f t="array" ref="H2505">IFERROR(IF(INDEX(EmployeeData[Exit Date], ROW() - 37)=0, "",INDEX(EmployeeData[Exit Date], ROW() - 37)),"")</f>
        <v/>
      </c>
      <c r="I2505" s="4" t="str" cm="1">
        <f t="array" ref="I2505">IFERROR(IF(INDEX(EmployeeData[Exit Reason], ROW() - 37)=0, "",INDEX(EmployeeData[Exit Reason], ROW() - 37)),"")</f>
        <v/>
      </c>
      <c r="J2505" s="4" t="str" cm="1">
        <f t="array" ref="J2505">IFERROR(INDEX(EmployeeData[Status], ROW() - 37), "")</f>
        <v/>
      </c>
    </row>
    <row r="2506" spans="2:10" ht="19.95" customHeight="1" x14ac:dyDescent="0.3">
      <c r="B2506" s="4" t="str" cm="1">
        <f t="array" ref="B2506">IFERROR(INDEX(EmployeeData[Employee ID], ROW() - 37), "")</f>
        <v/>
      </c>
      <c r="C2506" s="4" t="str" cm="1">
        <f t="array" ref="C2506">IFERROR(INDEX(EmployeeData[Full Name], ROW() - 37), "")</f>
        <v/>
      </c>
      <c r="D2506" s="4" t="str" cm="1">
        <f t="array" ref="D2506">IFERROR(INDEX(EmployeeData[Department], ROW() - 37), "")</f>
        <v/>
      </c>
      <c r="E2506" s="4" t="str" cm="1">
        <f t="array" ref="E2506">IFERROR(INDEX(EmployeeData[Gender], ROW() - 37), "")</f>
        <v/>
      </c>
      <c r="F2506" s="4" t="str" cm="1">
        <f t="array" ref="F2506">IFERROR(INDEX(EmployeeData[Age], ROW() - 37), "")</f>
        <v/>
      </c>
      <c r="G2506" s="6" t="str" cm="1">
        <f t="array" ref="G2506">IFERROR(INDEX(EmployeeData[Join Date], ROW() - 37), "")</f>
        <v/>
      </c>
      <c r="H2506" s="6" t="str" cm="1">
        <f t="array" ref="H2506">IFERROR(IF(INDEX(EmployeeData[Exit Date], ROW() - 37)=0, "",INDEX(EmployeeData[Exit Date], ROW() - 37)),"")</f>
        <v/>
      </c>
      <c r="I2506" s="4" t="str" cm="1">
        <f t="array" ref="I2506">IFERROR(IF(INDEX(EmployeeData[Exit Reason], ROW() - 37)=0, "",INDEX(EmployeeData[Exit Reason], ROW() - 37)),"")</f>
        <v/>
      </c>
      <c r="J2506" s="4" t="str" cm="1">
        <f t="array" ref="J2506">IFERROR(INDEX(EmployeeData[Status], ROW() - 37), "")</f>
        <v/>
      </c>
    </row>
    <row r="2507" spans="2:10" ht="19.95" customHeight="1" x14ac:dyDescent="0.3">
      <c r="B2507" s="4" t="str" cm="1">
        <f t="array" ref="B2507">IFERROR(INDEX(EmployeeData[Employee ID], ROW() - 37), "")</f>
        <v/>
      </c>
      <c r="C2507" s="4" t="str" cm="1">
        <f t="array" ref="C2507">IFERROR(INDEX(EmployeeData[Full Name], ROW() - 37), "")</f>
        <v/>
      </c>
      <c r="D2507" s="4" t="str" cm="1">
        <f t="array" ref="D2507">IFERROR(INDEX(EmployeeData[Department], ROW() - 37), "")</f>
        <v/>
      </c>
      <c r="E2507" s="4" t="str" cm="1">
        <f t="array" ref="E2507">IFERROR(INDEX(EmployeeData[Gender], ROW() - 37), "")</f>
        <v/>
      </c>
      <c r="F2507" s="4" t="str" cm="1">
        <f t="array" ref="F2507">IFERROR(INDEX(EmployeeData[Age], ROW() - 37), "")</f>
        <v/>
      </c>
      <c r="G2507" s="6" t="str" cm="1">
        <f t="array" ref="G2507">IFERROR(INDEX(EmployeeData[Join Date], ROW() - 37), "")</f>
        <v/>
      </c>
      <c r="H2507" s="6" t="str" cm="1">
        <f t="array" ref="H2507">IFERROR(IF(INDEX(EmployeeData[Exit Date], ROW() - 37)=0, "",INDEX(EmployeeData[Exit Date], ROW() - 37)),"")</f>
        <v/>
      </c>
      <c r="I2507" s="4" t="str" cm="1">
        <f t="array" ref="I2507">IFERROR(IF(INDEX(EmployeeData[Exit Reason], ROW() - 37)=0, "",INDEX(EmployeeData[Exit Reason], ROW() - 37)),"")</f>
        <v/>
      </c>
      <c r="J2507" s="4" t="str" cm="1">
        <f t="array" ref="J2507">IFERROR(INDEX(EmployeeData[Status], ROW() - 37), "")</f>
        <v/>
      </c>
    </row>
    <row r="2508" spans="2:10" ht="19.95" customHeight="1" x14ac:dyDescent="0.3">
      <c r="B2508" s="4" t="str" cm="1">
        <f t="array" ref="B2508">IFERROR(INDEX(EmployeeData[Employee ID], ROW() - 37), "")</f>
        <v/>
      </c>
      <c r="C2508" s="4" t="str" cm="1">
        <f t="array" ref="C2508">IFERROR(INDEX(EmployeeData[Full Name], ROW() - 37), "")</f>
        <v/>
      </c>
      <c r="D2508" s="4" t="str" cm="1">
        <f t="array" ref="D2508">IFERROR(INDEX(EmployeeData[Department], ROW() - 37), "")</f>
        <v/>
      </c>
      <c r="E2508" s="4" t="str" cm="1">
        <f t="array" ref="E2508">IFERROR(INDEX(EmployeeData[Gender], ROW() - 37), "")</f>
        <v/>
      </c>
      <c r="F2508" s="4" t="str" cm="1">
        <f t="array" ref="F2508">IFERROR(INDEX(EmployeeData[Age], ROW() - 37), "")</f>
        <v/>
      </c>
      <c r="G2508" s="6" t="str" cm="1">
        <f t="array" ref="G2508">IFERROR(INDEX(EmployeeData[Join Date], ROW() - 37), "")</f>
        <v/>
      </c>
      <c r="H2508" s="6" t="str" cm="1">
        <f t="array" ref="H2508">IFERROR(IF(INDEX(EmployeeData[Exit Date], ROW() - 37)=0, "",INDEX(EmployeeData[Exit Date], ROW() - 37)),"")</f>
        <v/>
      </c>
      <c r="I2508" s="4" t="str" cm="1">
        <f t="array" ref="I2508">IFERROR(IF(INDEX(EmployeeData[Exit Reason], ROW() - 37)=0, "",INDEX(EmployeeData[Exit Reason], ROW() - 37)),"")</f>
        <v/>
      </c>
      <c r="J2508" s="4" t="str" cm="1">
        <f t="array" ref="J2508">IFERROR(INDEX(EmployeeData[Status], ROW() - 37), "")</f>
        <v/>
      </c>
    </row>
    <row r="2509" spans="2:10" ht="19.95" customHeight="1" x14ac:dyDescent="0.3">
      <c r="B2509" s="4" t="str" cm="1">
        <f t="array" ref="B2509">IFERROR(INDEX(EmployeeData[Employee ID], ROW() - 37), "")</f>
        <v/>
      </c>
      <c r="C2509" s="4" t="str" cm="1">
        <f t="array" ref="C2509">IFERROR(INDEX(EmployeeData[Full Name], ROW() - 37), "")</f>
        <v/>
      </c>
      <c r="D2509" s="4" t="str" cm="1">
        <f t="array" ref="D2509">IFERROR(INDEX(EmployeeData[Department], ROW() - 37), "")</f>
        <v/>
      </c>
      <c r="E2509" s="4" t="str" cm="1">
        <f t="array" ref="E2509">IFERROR(INDEX(EmployeeData[Gender], ROW() - 37), "")</f>
        <v/>
      </c>
      <c r="F2509" s="4" t="str" cm="1">
        <f t="array" ref="F2509">IFERROR(INDEX(EmployeeData[Age], ROW() - 37), "")</f>
        <v/>
      </c>
      <c r="G2509" s="6" t="str" cm="1">
        <f t="array" ref="G2509">IFERROR(INDEX(EmployeeData[Join Date], ROW() - 37), "")</f>
        <v/>
      </c>
      <c r="H2509" s="6" t="str" cm="1">
        <f t="array" ref="H2509">IFERROR(IF(INDEX(EmployeeData[Exit Date], ROW() - 37)=0, "",INDEX(EmployeeData[Exit Date], ROW() - 37)),"")</f>
        <v/>
      </c>
      <c r="I2509" s="4" t="str" cm="1">
        <f t="array" ref="I2509">IFERROR(IF(INDEX(EmployeeData[Exit Reason], ROW() - 37)=0, "",INDEX(EmployeeData[Exit Reason], ROW() - 37)),"")</f>
        <v/>
      </c>
      <c r="J2509" s="4" t="str" cm="1">
        <f t="array" ref="J2509">IFERROR(INDEX(EmployeeData[Status], ROW() - 37), "")</f>
        <v/>
      </c>
    </row>
    <row r="2510" spans="2:10" ht="19.95" customHeight="1" x14ac:dyDescent="0.3">
      <c r="B2510" s="4" t="str" cm="1">
        <f t="array" ref="B2510">IFERROR(INDEX(EmployeeData[Employee ID], ROW() - 37), "")</f>
        <v/>
      </c>
      <c r="C2510" s="4" t="str" cm="1">
        <f t="array" ref="C2510">IFERROR(INDEX(EmployeeData[Full Name], ROW() - 37), "")</f>
        <v/>
      </c>
      <c r="D2510" s="4" t="str" cm="1">
        <f t="array" ref="D2510">IFERROR(INDEX(EmployeeData[Department], ROW() - 37), "")</f>
        <v/>
      </c>
      <c r="E2510" s="4" t="str" cm="1">
        <f t="array" ref="E2510">IFERROR(INDEX(EmployeeData[Gender], ROW() - 37), "")</f>
        <v/>
      </c>
      <c r="F2510" s="4" t="str" cm="1">
        <f t="array" ref="F2510">IFERROR(INDEX(EmployeeData[Age], ROW() - 37), "")</f>
        <v/>
      </c>
      <c r="G2510" s="6" t="str" cm="1">
        <f t="array" ref="G2510">IFERROR(INDEX(EmployeeData[Join Date], ROW() - 37), "")</f>
        <v/>
      </c>
      <c r="H2510" s="6" t="str" cm="1">
        <f t="array" ref="H2510">IFERROR(IF(INDEX(EmployeeData[Exit Date], ROW() - 37)=0, "",INDEX(EmployeeData[Exit Date], ROW() - 37)),"")</f>
        <v/>
      </c>
      <c r="I2510" s="4" t="str" cm="1">
        <f t="array" ref="I2510">IFERROR(IF(INDEX(EmployeeData[Exit Reason], ROW() - 37)=0, "",INDEX(EmployeeData[Exit Reason], ROW() - 37)),"")</f>
        <v/>
      </c>
      <c r="J2510" s="4" t="str" cm="1">
        <f t="array" ref="J2510">IFERROR(INDEX(EmployeeData[Status], ROW() - 37), "")</f>
        <v/>
      </c>
    </row>
    <row r="2511" spans="2:10" ht="19.95" customHeight="1" x14ac:dyDescent="0.3">
      <c r="B2511" s="4" t="str" cm="1">
        <f t="array" ref="B2511">IFERROR(INDEX(EmployeeData[Employee ID], ROW() - 37), "")</f>
        <v/>
      </c>
      <c r="C2511" s="4" t="str" cm="1">
        <f t="array" ref="C2511">IFERROR(INDEX(EmployeeData[Full Name], ROW() - 37), "")</f>
        <v/>
      </c>
      <c r="D2511" s="4" t="str" cm="1">
        <f t="array" ref="D2511">IFERROR(INDEX(EmployeeData[Department], ROW() - 37), "")</f>
        <v/>
      </c>
      <c r="E2511" s="4" t="str" cm="1">
        <f t="array" ref="E2511">IFERROR(INDEX(EmployeeData[Gender], ROW() - 37), "")</f>
        <v/>
      </c>
      <c r="F2511" s="4" t="str" cm="1">
        <f t="array" ref="F2511">IFERROR(INDEX(EmployeeData[Age], ROW() - 37), "")</f>
        <v/>
      </c>
      <c r="G2511" s="6" t="str" cm="1">
        <f t="array" ref="G2511">IFERROR(INDEX(EmployeeData[Join Date], ROW() - 37), "")</f>
        <v/>
      </c>
      <c r="H2511" s="6" t="str" cm="1">
        <f t="array" ref="H2511">IFERROR(IF(INDEX(EmployeeData[Exit Date], ROW() - 37)=0, "",INDEX(EmployeeData[Exit Date], ROW() - 37)),"")</f>
        <v/>
      </c>
      <c r="I2511" s="4" t="str" cm="1">
        <f t="array" ref="I2511">IFERROR(IF(INDEX(EmployeeData[Exit Reason], ROW() - 37)=0, "",INDEX(EmployeeData[Exit Reason], ROW() - 37)),"")</f>
        <v/>
      </c>
      <c r="J2511" s="4" t="str" cm="1">
        <f t="array" ref="J2511">IFERROR(INDEX(EmployeeData[Status], ROW() - 37), "")</f>
        <v/>
      </c>
    </row>
    <row r="2512" spans="2:10" ht="19.95" customHeight="1" x14ac:dyDescent="0.3">
      <c r="B2512" s="4" t="str" cm="1">
        <f t="array" ref="B2512">IFERROR(INDEX(EmployeeData[Employee ID], ROW() - 37), "")</f>
        <v/>
      </c>
      <c r="C2512" s="4" t="str" cm="1">
        <f t="array" ref="C2512">IFERROR(INDEX(EmployeeData[Full Name], ROW() - 37), "")</f>
        <v/>
      </c>
      <c r="D2512" s="4" t="str" cm="1">
        <f t="array" ref="D2512">IFERROR(INDEX(EmployeeData[Department], ROW() - 37), "")</f>
        <v/>
      </c>
      <c r="E2512" s="4" t="str" cm="1">
        <f t="array" ref="E2512">IFERROR(INDEX(EmployeeData[Gender], ROW() - 37), "")</f>
        <v/>
      </c>
      <c r="F2512" s="4" t="str" cm="1">
        <f t="array" ref="F2512">IFERROR(INDEX(EmployeeData[Age], ROW() - 37), "")</f>
        <v/>
      </c>
      <c r="G2512" s="6" t="str" cm="1">
        <f t="array" ref="G2512">IFERROR(INDEX(EmployeeData[Join Date], ROW() - 37), "")</f>
        <v/>
      </c>
      <c r="H2512" s="6" t="str" cm="1">
        <f t="array" ref="H2512">IFERROR(IF(INDEX(EmployeeData[Exit Date], ROW() - 37)=0, "",INDEX(EmployeeData[Exit Date], ROW() - 37)),"")</f>
        <v/>
      </c>
      <c r="I2512" s="4" t="str" cm="1">
        <f t="array" ref="I2512">IFERROR(IF(INDEX(EmployeeData[Exit Reason], ROW() - 37)=0, "",INDEX(EmployeeData[Exit Reason], ROW() - 37)),"")</f>
        <v/>
      </c>
      <c r="J2512" s="4" t="str" cm="1">
        <f t="array" ref="J2512">IFERROR(INDEX(EmployeeData[Status], ROW() - 37), "")</f>
        <v/>
      </c>
    </row>
    <row r="2513" spans="2:10" ht="19.95" customHeight="1" x14ac:dyDescent="0.3">
      <c r="B2513" s="4" t="str" cm="1">
        <f t="array" ref="B2513">IFERROR(INDEX(EmployeeData[Employee ID], ROW() - 37), "")</f>
        <v/>
      </c>
      <c r="C2513" s="4" t="str" cm="1">
        <f t="array" ref="C2513">IFERROR(INDEX(EmployeeData[Full Name], ROW() - 37), "")</f>
        <v/>
      </c>
      <c r="D2513" s="4" t="str" cm="1">
        <f t="array" ref="D2513">IFERROR(INDEX(EmployeeData[Department], ROW() - 37), "")</f>
        <v/>
      </c>
      <c r="E2513" s="4" t="str" cm="1">
        <f t="array" ref="E2513">IFERROR(INDEX(EmployeeData[Gender], ROW() - 37), "")</f>
        <v/>
      </c>
      <c r="F2513" s="4" t="str" cm="1">
        <f t="array" ref="F2513">IFERROR(INDEX(EmployeeData[Age], ROW() - 37), "")</f>
        <v/>
      </c>
      <c r="G2513" s="6" t="str" cm="1">
        <f t="array" ref="G2513">IFERROR(INDEX(EmployeeData[Join Date], ROW() - 37), "")</f>
        <v/>
      </c>
      <c r="H2513" s="6" t="str" cm="1">
        <f t="array" ref="H2513">IFERROR(IF(INDEX(EmployeeData[Exit Date], ROW() - 37)=0, "",INDEX(EmployeeData[Exit Date], ROW() - 37)),"")</f>
        <v/>
      </c>
      <c r="I2513" s="4" t="str" cm="1">
        <f t="array" ref="I2513">IFERROR(IF(INDEX(EmployeeData[Exit Reason], ROW() - 37)=0, "",INDEX(EmployeeData[Exit Reason], ROW() - 37)),"")</f>
        <v/>
      </c>
      <c r="J2513" s="4" t="str" cm="1">
        <f t="array" ref="J2513">IFERROR(INDEX(EmployeeData[Status], ROW() - 37), "")</f>
        <v/>
      </c>
    </row>
    <row r="2514" spans="2:10" ht="19.95" customHeight="1" x14ac:dyDescent="0.3">
      <c r="B2514" s="4" t="str" cm="1">
        <f t="array" ref="B2514">IFERROR(INDEX(EmployeeData[Employee ID], ROW() - 37), "")</f>
        <v/>
      </c>
      <c r="C2514" s="4" t="str" cm="1">
        <f t="array" ref="C2514">IFERROR(INDEX(EmployeeData[Full Name], ROW() - 37), "")</f>
        <v/>
      </c>
      <c r="D2514" s="4" t="str" cm="1">
        <f t="array" ref="D2514">IFERROR(INDEX(EmployeeData[Department], ROW() - 37), "")</f>
        <v/>
      </c>
      <c r="E2514" s="4" t="str" cm="1">
        <f t="array" ref="E2514">IFERROR(INDEX(EmployeeData[Gender], ROW() - 37), "")</f>
        <v/>
      </c>
      <c r="F2514" s="4" t="str" cm="1">
        <f t="array" ref="F2514">IFERROR(INDEX(EmployeeData[Age], ROW() - 37), "")</f>
        <v/>
      </c>
      <c r="G2514" s="6" t="str" cm="1">
        <f t="array" ref="G2514">IFERROR(INDEX(EmployeeData[Join Date], ROW() - 37), "")</f>
        <v/>
      </c>
      <c r="H2514" s="6" t="str" cm="1">
        <f t="array" ref="H2514">IFERROR(IF(INDEX(EmployeeData[Exit Date], ROW() - 37)=0, "",INDEX(EmployeeData[Exit Date], ROW() - 37)),"")</f>
        <v/>
      </c>
      <c r="I2514" s="4" t="str" cm="1">
        <f t="array" ref="I2514">IFERROR(IF(INDEX(EmployeeData[Exit Reason], ROW() - 37)=0, "",INDEX(EmployeeData[Exit Reason], ROW() - 37)),"")</f>
        <v/>
      </c>
      <c r="J2514" s="4" t="str" cm="1">
        <f t="array" ref="J2514">IFERROR(INDEX(EmployeeData[Status], ROW() - 37), "")</f>
        <v/>
      </c>
    </row>
    <row r="2515" spans="2:10" ht="19.95" customHeight="1" x14ac:dyDescent="0.3">
      <c r="B2515" s="4" t="str" cm="1">
        <f t="array" ref="B2515">IFERROR(INDEX(EmployeeData[Employee ID], ROW() - 37), "")</f>
        <v/>
      </c>
      <c r="C2515" s="4" t="str" cm="1">
        <f t="array" ref="C2515">IFERROR(INDEX(EmployeeData[Full Name], ROW() - 37), "")</f>
        <v/>
      </c>
      <c r="D2515" s="4" t="str" cm="1">
        <f t="array" ref="D2515">IFERROR(INDEX(EmployeeData[Department], ROW() - 37), "")</f>
        <v/>
      </c>
      <c r="E2515" s="4" t="str" cm="1">
        <f t="array" ref="E2515">IFERROR(INDEX(EmployeeData[Gender], ROW() - 37), "")</f>
        <v/>
      </c>
      <c r="F2515" s="4" t="str" cm="1">
        <f t="array" ref="F2515">IFERROR(INDEX(EmployeeData[Age], ROW() - 37), "")</f>
        <v/>
      </c>
      <c r="G2515" s="6" t="str" cm="1">
        <f t="array" ref="G2515">IFERROR(INDEX(EmployeeData[Join Date], ROW() - 37), "")</f>
        <v/>
      </c>
      <c r="H2515" s="6" t="str" cm="1">
        <f t="array" ref="H2515">IFERROR(IF(INDEX(EmployeeData[Exit Date], ROW() - 37)=0, "",INDEX(EmployeeData[Exit Date], ROW() - 37)),"")</f>
        <v/>
      </c>
      <c r="I2515" s="4" t="str" cm="1">
        <f t="array" ref="I2515">IFERROR(IF(INDEX(EmployeeData[Exit Reason], ROW() - 37)=0, "",INDEX(EmployeeData[Exit Reason], ROW() - 37)),"")</f>
        <v/>
      </c>
      <c r="J2515" s="4" t="str" cm="1">
        <f t="array" ref="J2515">IFERROR(INDEX(EmployeeData[Status], ROW() - 37), "")</f>
        <v/>
      </c>
    </row>
    <row r="2516" spans="2:10" ht="19.95" customHeight="1" x14ac:dyDescent="0.3">
      <c r="B2516" s="4" t="str" cm="1">
        <f t="array" ref="B2516">IFERROR(INDEX(EmployeeData[Employee ID], ROW() - 37), "")</f>
        <v/>
      </c>
      <c r="C2516" s="4" t="str" cm="1">
        <f t="array" ref="C2516">IFERROR(INDEX(EmployeeData[Full Name], ROW() - 37), "")</f>
        <v/>
      </c>
      <c r="D2516" s="4" t="str" cm="1">
        <f t="array" ref="D2516">IFERROR(INDEX(EmployeeData[Department], ROW() - 37), "")</f>
        <v/>
      </c>
      <c r="E2516" s="4" t="str" cm="1">
        <f t="array" ref="E2516">IFERROR(INDEX(EmployeeData[Gender], ROW() - 37), "")</f>
        <v/>
      </c>
      <c r="F2516" s="4" t="str" cm="1">
        <f t="array" ref="F2516">IFERROR(INDEX(EmployeeData[Age], ROW() - 37), "")</f>
        <v/>
      </c>
      <c r="G2516" s="6" t="str" cm="1">
        <f t="array" ref="G2516">IFERROR(INDEX(EmployeeData[Join Date], ROW() - 37), "")</f>
        <v/>
      </c>
      <c r="H2516" s="6" t="str" cm="1">
        <f t="array" ref="H2516">IFERROR(IF(INDEX(EmployeeData[Exit Date], ROW() - 37)=0, "",INDEX(EmployeeData[Exit Date], ROW() - 37)),"")</f>
        <v/>
      </c>
      <c r="I2516" s="4" t="str" cm="1">
        <f t="array" ref="I2516">IFERROR(IF(INDEX(EmployeeData[Exit Reason], ROW() - 37)=0, "",INDEX(EmployeeData[Exit Reason], ROW() - 37)),"")</f>
        <v/>
      </c>
      <c r="J2516" s="4" t="str" cm="1">
        <f t="array" ref="J2516">IFERROR(INDEX(EmployeeData[Status], ROW() - 37), "")</f>
        <v/>
      </c>
    </row>
    <row r="2517" spans="2:10" ht="19.95" customHeight="1" x14ac:dyDescent="0.3">
      <c r="B2517" s="4" t="str" cm="1">
        <f t="array" ref="B2517">IFERROR(INDEX(EmployeeData[Employee ID], ROW() - 37), "")</f>
        <v/>
      </c>
      <c r="C2517" s="4" t="str" cm="1">
        <f t="array" ref="C2517">IFERROR(INDEX(EmployeeData[Full Name], ROW() - 37), "")</f>
        <v/>
      </c>
      <c r="D2517" s="4" t="str" cm="1">
        <f t="array" ref="D2517">IFERROR(INDEX(EmployeeData[Department], ROW() - 37), "")</f>
        <v/>
      </c>
      <c r="E2517" s="4" t="str" cm="1">
        <f t="array" ref="E2517">IFERROR(INDEX(EmployeeData[Gender], ROW() - 37), "")</f>
        <v/>
      </c>
      <c r="F2517" s="4" t="str" cm="1">
        <f t="array" ref="F2517">IFERROR(INDEX(EmployeeData[Age], ROW() - 37), "")</f>
        <v/>
      </c>
      <c r="G2517" s="6" t="str" cm="1">
        <f t="array" ref="G2517">IFERROR(INDEX(EmployeeData[Join Date], ROW() - 37), "")</f>
        <v/>
      </c>
      <c r="H2517" s="6" t="str" cm="1">
        <f t="array" ref="H2517">IFERROR(IF(INDEX(EmployeeData[Exit Date], ROW() - 37)=0, "",INDEX(EmployeeData[Exit Date], ROW() - 37)),"")</f>
        <v/>
      </c>
      <c r="I2517" s="4" t="str" cm="1">
        <f t="array" ref="I2517">IFERROR(IF(INDEX(EmployeeData[Exit Reason], ROW() - 37)=0, "",INDEX(EmployeeData[Exit Reason], ROW() - 37)),"")</f>
        <v/>
      </c>
      <c r="J2517" s="4" t="str" cm="1">
        <f t="array" ref="J2517">IFERROR(INDEX(EmployeeData[Status], ROW() - 37), "")</f>
        <v/>
      </c>
    </row>
    <row r="2518" spans="2:10" ht="19.95" customHeight="1" x14ac:dyDescent="0.3">
      <c r="B2518" s="4" t="str" cm="1">
        <f t="array" ref="B2518">IFERROR(INDEX(EmployeeData[Employee ID], ROW() - 37), "")</f>
        <v/>
      </c>
      <c r="C2518" s="4" t="str" cm="1">
        <f t="array" ref="C2518">IFERROR(INDEX(EmployeeData[Full Name], ROW() - 37), "")</f>
        <v/>
      </c>
      <c r="D2518" s="4" t="str" cm="1">
        <f t="array" ref="D2518">IFERROR(INDEX(EmployeeData[Department], ROW() - 37), "")</f>
        <v/>
      </c>
      <c r="E2518" s="4" t="str" cm="1">
        <f t="array" ref="E2518">IFERROR(INDEX(EmployeeData[Gender], ROW() - 37), "")</f>
        <v/>
      </c>
      <c r="F2518" s="4" t="str" cm="1">
        <f t="array" ref="F2518">IFERROR(INDEX(EmployeeData[Age], ROW() - 37), "")</f>
        <v/>
      </c>
      <c r="G2518" s="6" t="str" cm="1">
        <f t="array" ref="G2518">IFERROR(INDEX(EmployeeData[Join Date], ROW() - 37), "")</f>
        <v/>
      </c>
      <c r="H2518" s="6" t="str" cm="1">
        <f t="array" ref="H2518">IFERROR(IF(INDEX(EmployeeData[Exit Date], ROW() - 37)=0, "",INDEX(EmployeeData[Exit Date], ROW() - 37)),"")</f>
        <v/>
      </c>
      <c r="I2518" s="4" t="str" cm="1">
        <f t="array" ref="I2518">IFERROR(IF(INDEX(EmployeeData[Exit Reason], ROW() - 37)=0, "",INDEX(EmployeeData[Exit Reason], ROW() - 37)),"")</f>
        <v/>
      </c>
      <c r="J2518" s="4" t="str" cm="1">
        <f t="array" ref="J2518">IFERROR(INDEX(EmployeeData[Status], ROW() - 37), "")</f>
        <v/>
      </c>
    </row>
    <row r="2519" spans="2:10" ht="19.95" customHeight="1" x14ac:dyDescent="0.3">
      <c r="B2519" s="4" t="str" cm="1">
        <f t="array" ref="B2519">IFERROR(INDEX(EmployeeData[Employee ID], ROW() - 37), "")</f>
        <v/>
      </c>
      <c r="C2519" s="4" t="str" cm="1">
        <f t="array" ref="C2519">IFERROR(INDEX(EmployeeData[Full Name], ROW() - 37), "")</f>
        <v/>
      </c>
      <c r="D2519" s="4" t="str" cm="1">
        <f t="array" ref="D2519">IFERROR(INDEX(EmployeeData[Department], ROW() - 37), "")</f>
        <v/>
      </c>
      <c r="E2519" s="4" t="str" cm="1">
        <f t="array" ref="E2519">IFERROR(INDEX(EmployeeData[Gender], ROW() - 37), "")</f>
        <v/>
      </c>
      <c r="F2519" s="4" t="str" cm="1">
        <f t="array" ref="F2519">IFERROR(INDEX(EmployeeData[Age], ROW() - 37), "")</f>
        <v/>
      </c>
      <c r="G2519" s="6" t="str" cm="1">
        <f t="array" ref="G2519">IFERROR(INDEX(EmployeeData[Join Date], ROW() - 37), "")</f>
        <v/>
      </c>
      <c r="H2519" s="6" t="str" cm="1">
        <f t="array" ref="H2519">IFERROR(IF(INDEX(EmployeeData[Exit Date], ROW() - 37)=0, "",INDEX(EmployeeData[Exit Date], ROW() - 37)),"")</f>
        <v/>
      </c>
      <c r="I2519" s="4" t="str" cm="1">
        <f t="array" ref="I2519">IFERROR(IF(INDEX(EmployeeData[Exit Reason], ROW() - 37)=0, "",INDEX(EmployeeData[Exit Reason], ROW() - 37)),"")</f>
        <v/>
      </c>
      <c r="J2519" s="4" t="str" cm="1">
        <f t="array" ref="J2519">IFERROR(INDEX(EmployeeData[Status], ROW() - 37), "")</f>
        <v/>
      </c>
    </row>
    <row r="2520" spans="2:10" ht="19.95" customHeight="1" x14ac:dyDescent="0.3">
      <c r="B2520" s="4" t="str" cm="1">
        <f t="array" ref="B2520">IFERROR(INDEX(EmployeeData[Employee ID], ROW() - 37), "")</f>
        <v/>
      </c>
      <c r="C2520" s="4" t="str" cm="1">
        <f t="array" ref="C2520">IFERROR(INDEX(EmployeeData[Full Name], ROW() - 37), "")</f>
        <v/>
      </c>
      <c r="D2520" s="4" t="str" cm="1">
        <f t="array" ref="D2520">IFERROR(INDEX(EmployeeData[Department], ROW() - 37), "")</f>
        <v/>
      </c>
      <c r="E2520" s="4" t="str" cm="1">
        <f t="array" ref="E2520">IFERROR(INDEX(EmployeeData[Gender], ROW() - 37), "")</f>
        <v/>
      </c>
      <c r="F2520" s="4" t="str" cm="1">
        <f t="array" ref="F2520">IFERROR(INDEX(EmployeeData[Age], ROW() - 37), "")</f>
        <v/>
      </c>
      <c r="G2520" s="6" t="str" cm="1">
        <f t="array" ref="G2520">IFERROR(INDEX(EmployeeData[Join Date], ROW() - 37), "")</f>
        <v/>
      </c>
      <c r="H2520" s="6" t="str" cm="1">
        <f t="array" ref="H2520">IFERROR(IF(INDEX(EmployeeData[Exit Date], ROW() - 37)=0, "",INDEX(EmployeeData[Exit Date], ROW() - 37)),"")</f>
        <v/>
      </c>
      <c r="I2520" s="4" t="str" cm="1">
        <f t="array" ref="I2520">IFERROR(IF(INDEX(EmployeeData[Exit Reason], ROW() - 37)=0, "",INDEX(EmployeeData[Exit Reason], ROW() - 37)),"")</f>
        <v/>
      </c>
      <c r="J2520" s="4" t="str" cm="1">
        <f t="array" ref="J2520">IFERROR(INDEX(EmployeeData[Status], ROW() - 37), "")</f>
        <v/>
      </c>
    </row>
    <row r="2521" spans="2:10" ht="19.95" customHeight="1" x14ac:dyDescent="0.3">
      <c r="B2521" s="4" t="str" cm="1">
        <f t="array" ref="B2521">IFERROR(INDEX(EmployeeData[Employee ID], ROW() - 37), "")</f>
        <v/>
      </c>
      <c r="C2521" s="4" t="str" cm="1">
        <f t="array" ref="C2521">IFERROR(INDEX(EmployeeData[Full Name], ROW() - 37), "")</f>
        <v/>
      </c>
      <c r="D2521" s="4" t="str" cm="1">
        <f t="array" ref="D2521">IFERROR(INDEX(EmployeeData[Department], ROW() - 37), "")</f>
        <v/>
      </c>
      <c r="E2521" s="4" t="str" cm="1">
        <f t="array" ref="E2521">IFERROR(INDEX(EmployeeData[Gender], ROW() - 37), "")</f>
        <v/>
      </c>
      <c r="F2521" s="4" t="str" cm="1">
        <f t="array" ref="F2521">IFERROR(INDEX(EmployeeData[Age], ROW() - 37), "")</f>
        <v/>
      </c>
      <c r="G2521" s="6" t="str" cm="1">
        <f t="array" ref="G2521">IFERROR(INDEX(EmployeeData[Join Date], ROW() - 37), "")</f>
        <v/>
      </c>
      <c r="H2521" s="6" t="str" cm="1">
        <f t="array" ref="H2521">IFERROR(IF(INDEX(EmployeeData[Exit Date], ROW() - 37)=0, "",INDEX(EmployeeData[Exit Date], ROW() - 37)),"")</f>
        <v/>
      </c>
      <c r="I2521" s="4" t="str" cm="1">
        <f t="array" ref="I2521">IFERROR(IF(INDEX(EmployeeData[Exit Reason], ROW() - 37)=0, "",INDEX(EmployeeData[Exit Reason], ROW() - 37)),"")</f>
        <v/>
      </c>
      <c r="J2521" s="4" t="str" cm="1">
        <f t="array" ref="J2521">IFERROR(INDEX(EmployeeData[Status], ROW() - 37), "")</f>
        <v/>
      </c>
    </row>
    <row r="2522" spans="2:10" ht="19.95" customHeight="1" x14ac:dyDescent="0.3">
      <c r="B2522" s="4" t="str" cm="1">
        <f t="array" ref="B2522">IFERROR(INDEX(EmployeeData[Employee ID], ROW() - 37), "")</f>
        <v/>
      </c>
      <c r="C2522" s="4" t="str" cm="1">
        <f t="array" ref="C2522">IFERROR(INDEX(EmployeeData[Full Name], ROW() - 37), "")</f>
        <v/>
      </c>
      <c r="D2522" s="4" t="str" cm="1">
        <f t="array" ref="D2522">IFERROR(INDEX(EmployeeData[Department], ROW() - 37), "")</f>
        <v/>
      </c>
      <c r="E2522" s="4" t="str" cm="1">
        <f t="array" ref="E2522">IFERROR(INDEX(EmployeeData[Gender], ROW() - 37), "")</f>
        <v/>
      </c>
      <c r="F2522" s="4" t="str" cm="1">
        <f t="array" ref="F2522">IFERROR(INDEX(EmployeeData[Age], ROW() - 37), "")</f>
        <v/>
      </c>
      <c r="G2522" s="6" t="str" cm="1">
        <f t="array" ref="G2522">IFERROR(INDEX(EmployeeData[Join Date], ROW() - 37), "")</f>
        <v/>
      </c>
      <c r="H2522" s="6" t="str" cm="1">
        <f t="array" ref="H2522">IFERROR(IF(INDEX(EmployeeData[Exit Date], ROW() - 37)=0, "",INDEX(EmployeeData[Exit Date], ROW() - 37)),"")</f>
        <v/>
      </c>
      <c r="I2522" s="4" t="str" cm="1">
        <f t="array" ref="I2522">IFERROR(IF(INDEX(EmployeeData[Exit Reason], ROW() - 37)=0, "",INDEX(EmployeeData[Exit Reason], ROW() - 37)),"")</f>
        <v/>
      </c>
      <c r="J2522" s="4" t="str" cm="1">
        <f t="array" ref="J2522">IFERROR(INDEX(EmployeeData[Status], ROW() - 37), "")</f>
        <v/>
      </c>
    </row>
    <row r="2523" spans="2:10" ht="19.95" customHeight="1" x14ac:dyDescent="0.3">
      <c r="B2523" s="4" t="str" cm="1">
        <f t="array" ref="B2523">IFERROR(INDEX(EmployeeData[Employee ID], ROW() - 37), "")</f>
        <v/>
      </c>
      <c r="C2523" s="4" t="str" cm="1">
        <f t="array" ref="C2523">IFERROR(INDEX(EmployeeData[Full Name], ROW() - 37), "")</f>
        <v/>
      </c>
      <c r="D2523" s="4" t="str" cm="1">
        <f t="array" ref="D2523">IFERROR(INDEX(EmployeeData[Department], ROW() - 37), "")</f>
        <v/>
      </c>
      <c r="E2523" s="4" t="str" cm="1">
        <f t="array" ref="E2523">IFERROR(INDEX(EmployeeData[Gender], ROW() - 37), "")</f>
        <v/>
      </c>
      <c r="F2523" s="4" t="str" cm="1">
        <f t="array" ref="F2523">IFERROR(INDEX(EmployeeData[Age], ROW() - 37), "")</f>
        <v/>
      </c>
      <c r="G2523" s="6" t="str" cm="1">
        <f t="array" ref="G2523">IFERROR(INDEX(EmployeeData[Join Date], ROW() - 37), "")</f>
        <v/>
      </c>
      <c r="H2523" s="6" t="str" cm="1">
        <f t="array" ref="H2523">IFERROR(IF(INDEX(EmployeeData[Exit Date], ROW() - 37)=0, "",INDEX(EmployeeData[Exit Date], ROW() - 37)),"")</f>
        <v/>
      </c>
      <c r="I2523" s="4" t="str" cm="1">
        <f t="array" ref="I2523">IFERROR(IF(INDEX(EmployeeData[Exit Reason], ROW() - 37)=0, "",INDEX(EmployeeData[Exit Reason], ROW() - 37)),"")</f>
        <v/>
      </c>
      <c r="J2523" s="4" t="str" cm="1">
        <f t="array" ref="J2523">IFERROR(INDEX(EmployeeData[Status], ROW() - 37), "")</f>
        <v/>
      </c>
    </row>
    <row r="2524" spans="2:10" ht="19.95" customHeight="1" x14ac:dyDescent="0.3">
      <c r="B2524" s="4" t="str" cm="1">
        <f t="array" ref="B2524">IFERROR(INDEX(EmployeeData[Employee ID], ROW() - 37), "")</f>
        <v/>
      </c>
      <c r="C2524" s="4" t="str" cm="1">
        <f t="array" ref="C2524">IFERROR(INDEX(EmployeeData[Full Name], ROW() - 37), "")</f>
        <v/>
      </c>
      <c r="D2524" s="4" t="str" cm="1">
        <f t="array" ref="D2524">IFERROR(INDEX(EmployeeData[Department], ROW() - 37), "")</f>
        <v/>
      </c>
      <c r="E2524" s="4" t="str" cm="1">
        <f t="array" ref="E2524">IFERROR(INDEX(EmployeeData[Gender], ROW() - 37), "")</f>
        <v/>
      </c>
      <c r="F2524" s="4" t="str" cm="1">
        <f t="array" ref="F2524">IFERROR(INDEX(EmployeeData[Age], ROW() - 37), "")</f>
        <v/>
      </c>
      <c r="G2524" s="6" t="str" cm="1">
        <f t="array" ref="G2524">IFERROR(INDEX(EmployeeData[Join Date], ROW() - 37), "")</f>
        <v/>
      </c>
      <c r="H2524" s="6" t="str" cm="1">
        <f t="array" ref="H2524">IFERROR(IF(INDEX(EmployeeData[Exit Date], ROW() - 37)=0, "",INDEX(EmployeeData[Exit Date], ROW() - 37)),"")</f>
        <v/>
      </c>
      <c r="I2524" s="4" t="str" cm="1">
        <f t="array" ref="I2524">IFERROR(IF(INDEX(EmployeeData[Exit Reason], ROW() - 37)=0, "",INDEX(EmployeeData[Exit Reason], ROW() - 37)),"")</f>
        <v/>
      </c>
      <c r="J2524" s="4" t="str" cm="1">
        <f t="array" ref="J2524">IFERROR(INDEX(EmployeeData[Status], ROW() - 37), "")</f>
        <v/>
      </c>
    </row>
    <row r="2525" spans="2:10" ht="19.95" customHeight="1" x14ac:dyDescent="0.3">
      <c r="B2525" s="4" t="str" cm="1">
        <f t="array" ref="B2525">IFERROR(INDEX(EmployeeData[Employee ID], ROW() - 37), "")</f>
        <v/>
      </c>
      <c r="C2525" s="4" t="str" cm="1">
        <f t="array" ref="C2525">IFERROR(INDEX(EmployeeData[Full Name], ROW() - 37), "")</f>
        <v/>
      </c>
      <c r="D2525" s="4" t="str" cm="1">
        <f t="array" ref="D2525">IFERROR(INDEX(EmployeeData[Department], ROW() - 37), "")</f>
        <v/>
      </c>
      <c r="E2525" s="4" t="str" cm="1">
        <f t="array" ref="E2525">IFERROR(INDEX(EmployeeData[Gender], ROW() - 37), "")</f>
        <v/>
      </c>
      <c r="F2525" s="4" t="str" cm="1">
        <f t="array" ref="F2525">IFERROR(INDEX(EmployeeData[Age], ROW() - 37), "")</f>
        <v/>
      </c>
      <c r="G2525" s="6" t="str" cm="1">
        <f t="array" ref="G2525">IFERROR(INDEX(EmployeeData[Join Date], ROW() - 37), "")</f>
        <v/>
      </c>
      <c r="H2525" s="6" t="str" cm="1">
        <f t="array" ref="H2525">IFERROR(IF(INDEX(EmployeeData[Exit Date], ROW() - 37)=0, "",INDEX(EmployeeData[Exit Date], ROW() - 37)),"")</f>
        <v/>
      </c>
      <c r="I2525" s="4" t="str" cm="1">
        <f t="array" ref="I2525">IFERROR(IF(INDEX(EmployeeData[Exit Reason], ROW() - 37)=0, "",INDEX(EmployeeData[Exit Reason], ROW() - 37)),"")</f>
        <v/>
      </c>
      <c r="J2525" s="4" t="str" cm="1">
        <f t="array" ref="J2525">IFERROR(INDEX(EmployeeData[Status], ROW() - 37), "")</f>
        <v/>
      </c>
    </row>
    <row r="2526" spans="2:10" ht="19.95" customHeight="1" x14ac:dyDescent="0.3">
      <c r="B2526" s="4" t="str" cm="1">
        <f t="array" ref="B2526">IFERROR(INDEX(EmployeeData[Employee ID], ROW() - 37), "")</f>
        <v/>
      </c>
      <c r="C2526" s="4" t="str" cm="1">
        <f t="array" ref="C2526">IFERROR(INDEX(EmployeeData[Full Name], ROW() - 37), "")</f>
        <v/>
      </c>
      <c r="D2526" s="4" t="str" cm="1">
        <f t="array" ref="D2526">IFERROR(INDEX(EmployeeData[Department], ROW() - 37), "")</f>
        <v/>
      </c>
      <c r="E2526" s="4" t="str" cm="1">
        <f t="array" ref="E2526">IFERROR(INDEX(EmployeeData[Gender], ROW() - 37), "")</f>
        <v/>
      </c>
      <c r="F2526" s="4" t="str" cm="1">
        <f t="array" ref="F2526">IFERROR(INDEX(EmployeeData[Age], ROW() - 37), "")</f>
        <v/>
      </c>
      <c r="G2526" s="6" t="str" cm="1">
        <f t="array" ref="G2526">IFERROR(INDEX(EmployeeData[Join Date], ROW() - 37), "")</f>
        <v/>
      </c>
      <c r="H2526" s="6" t="str" cm="1">
        <f t="array" ref="H2526">IFERROR(IF(INDEX(EmployeeData[Exit Date], ROW() - 37)=0, "",INDEX(EmployeeData[Exit Date], ROW() - 37)),"")</f>
        <v/>
      </c>
      <c r="I2526" s="4" t="str" cm="1">
        <f t="array" ref="I2526">IFERROR(IF(INDEX(EmployeeData[Exit Reason], ROW() - 37)=0, "",INDEX(EmployeeData[Exit Reason], ROW() - 37)),"")</f>
        <v/>
      </c>
      <c r="J2526" s="4" t="str" cm="1">
        <f t="array" ref="J2526">IFERROR(INDEX(EmployeeData[Status], ROW() - 37), "")</f>
        <v/>
      </c>
    </row>
    <row r="2527" spans="2:10" ht="19.95" customHeight="1" x14ac:dyDescent="0.3">
      <c r="B2527" s="4" t="str" cm="1">
        <f t="array" ref="B2527">IFERROR(INDEX(EmployeeData[Employee ID], ROW() - 37), "")</f>
        <v/>
      </c>
      <c r="C2527" s="4" t="str" cm="1">
        <f t="array" ref="C2527">IFERROR(INDEX(EmployeeData[Full Name], ROW() - 37), "")</f>
        <v/>
      </c>
      <c r="D2527" s="4" t="str" cm="1">
        <f t="array" ref="D2527">IFERROR(INDEX(EmployeeData[Department], ROW() - 37), "")</f>
        <v/>
      </c>
      <c r="E2527" s="4" t="str" cm="1">
        <f t="array" ref="E2527">IFERROR(INDEX(EmployeeData[Gender], ROW() - 37), "")</f>
        <v/>
      </c>
      <c r="F2527" s="4" t="str" cm="1">
        <f t="array" ref="F2527">IFERROR(INDEX(EmployeeData[Age], ROW() - 37), "")</f>
        <v/>
      </c>
      <c r="G2527" s="6" t="str" cm="1">
        <f t="array" ref="G2527">IFERROR(INDEX(EmployeeData[Join Date], ROW() - 37), "")</f>
        <v/>
      </c>
      <c r="H2527" s="6" t="str" cm="1">
        <f t="array" ref="H2527">IFERROR(IF(INDEX(EmployeeData[Exit Date], ROW() - 37)=0, "",INDEX(EmployeeData[Exit Date], ROW() - 37)),"")</f>
        <v/>
      </c>
      <c r="I2527" s="4" t="str" cm="1">
        <f t="array" ref="I2527">IFERROR(IF(INDEX(EmployeeData[Exit Reason], ROW() - 37)=0, "",INDEX(EmployeeData[Exit Reason], ROW() - 37)),"")</f>
        <v/>
      </c>
      <c r="J2527" s="4" t="str" cm="1">
        <f t="array" ref="J2527">IFERROR(INDEX(EmployeeData[Status], ROW() - 37), "")</f>
        <v/>
      </c>
    </row>
    <row r="2528" spans="2:10" ht="19.95" customHeight="1" x14ac:dyDescent="0.3">
      <c r="B2528" s="4" t="str" cm="1">
        <f t="array" ref="B2528">IFERROR(INDEX(EmployeeData[Employee ID], ROW() - 37), "")</f>
        <v/>
      </c>
      <c r="C2528" s="4" t="str" cm="1">
        <f t="array" ref="C2528">IFERROR(INDEX(EmployeeData[Full Name], ROW() - 37), "")</f>
        <v/>
      </c>
      <c r="D2528" s="4" t="str" cm="1">
        <f t="array" ref="D2528">IFERROR(INDEX(EmployeeData[Department], ROW() - 37), "")</f>
        <v/>
      </c>
      <c r="E2528" s="4" t="str" cm="1">
        <f t="array" ref="E2528">IFERROR(INDEX(EmployeeData[Gender], ROW() - 37), "")</f>
        <v/>
      </c>
      <c r="F2528" s="4" t="str" cm="1">
        <f t="array" ref="F2528">IFERROR(INDEX(EmployeeData[Age], ROW() - 37), "")</f>
        <v/>
      </c>
      <c r="G2528" s="6" t="str" cm="1">
        <f t="array" ref="G2528">IFERROR(INDEX(EmployeeData[Join Date], ROW() - 37), "")</f>
        <v/>
      </c>
      <c r="H2528" s="6" t="str" cm="1">
        <f t="array" ref="H2528">IFERROR(IF(INDEX(EmployeeData[Exit Date], ROW() - 37)=0, "",INDEX(EmployeeData[Exit Date], ROW() - 37)),"")</f>
        <v/>
      </c>
      <c r="I2528" s="4" t="str" cm="1">
        <f t="array" ref="I2528">IFERROR(IF(INDEX(EmployeeData[Exit Reason], ROW() - 37)=0, "",INDEX(EmployeeData[Exit Reason], ROW() - 37)),"")</f>
        <v/>
      </c>
      <c r="J2528" s="4" t="str" cm="1">
        <f t="array" ref="J2528">IFERROR(INDEX(EmployeeData[Status], ROW() - 37), "")</f>
        <v/>
      </c>
    </row>
    <row r="2529" spans="2:10" ht="19.95" customHeight="1" x14ac:dyDescent="0.3">
      <c r="B2529" s="4" t="str" cm="1">
        <f t="array" ref="B2529">IFERROR(INDEX(EmployeeData[Employee ID], ROW() - 37), "")</f>
        <v/>
      </c>
      <c r="C2529" s="4" t="str" cm="1">
        <f t="array" ref="C2529">IFERROR(INDEX(EmployeeData[Full Name], ROW() - 37), "")</f>
        <v/>
      </c>
      <c r="D2529" s="4" t="str" cm="1">
        <f t="array" ref="D2529">IFERROR(INDEX(EmployeeData[Department], ROW() - 37), "")</f>
        <v/>
      </c>
      <c r="E2529" s="4" t="str" cm="1">
        <f t="array" ref="E2529">IFERROR(INDEX(EmployeeData[Gender], ROW() - 37), "")</f>
        <v/>
      </c>
      <c r="F2529" s="4" t="str" cm="1">
        <f t="array" ref="F2529">IFERROR(INDEX(EmployeeData[Age], ROW() - 37), "")</f>
        <v/>
      </c>
      <c r="G2529" s="6" t="str" cm="1">
        <f t="array" ref="G2529">IFERROR(INDEX(EmployeeData[Join Date], ROW() - 37), "")</f>
        <v/>
      </c>
      <c r="H2529" s="6" t="str" cm="1">
        <f t="array" ref="H2529">IFERROR(IF(INDEX(EmployeeData[Exit Date], ROW() - 37)=0, "",INDEX(EmployeeData[Exit Date], ROW() - 37)),"")</f>
        <v/>
      </c>
      <c r="I2529" s="4" t="str" cm="1">
        <f t="array" ref="I2529">IFERROR(IF(INDEX(EmployeeData[Exit Reason], ROW() - 37)=0, "",INDEX(EmployeeData[Exit Reason], ROW() - 37)),"")</f>
        <v/>
      </c>
      <c r="J2529" s="4" t="str" cm="1">
        <f t="array" ref="J2529">IFERROR(INDEX(EmployeeData[Status], ROW() - 37), "")</f>
        <v/>
      </c>
    </row>
    <row r="2530" spans="2:10" ht="19.95" customHeight="1" x14ac:dyDescent="0.3">
      <c r="B2530" s="4" t="str" cm="1">
        <f t="array" ref="B2530">IFERROR(INDEX(EmployeeData[Employee ID], ROW() - 37), "")</f>
        <v/>
      </c>
      <c r="C2530" s="4" t="str" cm="1">
        <f t="array" ref="C2530">IFERROR(INDEX(EmployeeData[Full Name], ROW() - 37), "")</f>
        <v/>
      </c>
      <c r="D2530" s="4" t="str" cm="1">
        <f t="array" ref="D2530">IFERROR(INDEX(EmployeeData[Department], ROW() - 37), "")</f>
        <v/>
      </c>
      <c r="E2530" s="4" t="str" cm="1">
        <f t="array" ref="E2530">IFERROR(INDEX(EmployeeData[Gender], ROW() - 37), "")</f>
        <v/>
      </c>
      <c r="F2530" s="4" t="str" cm="1">
        <f t="array" ref="F2530">IFERROR(INDEX(EmployeeData[Age], ROW() - 37), "")</f>
        <v/>
      </c>
      <c r="G2530" s="6" t="str" cm="1">
        <f t="array" ref="G2530">IFERROR(INDEX(EmployeeData[Join Date], ROW() - 37), "")</f>
        <v/>
      </c>
      <c r="H2530" s="6" t="str" cm="1">
        <f t="array" ref="H2530">IFERROR(IF(INDEX(EmployeeData[Exit Date], ROW() - 37)=0, "",INDEX(EmployeeData[Exit Date], ROW() - 37)),"")</f>
        <v/>
      </c>
      <c r="I2530" s="4" t="str" cm="1">
        <f t="array" ref="I2530">IFERROR(IF(INDEX(EmployeeData[Exit Reason], ROW() - 37)=0, "",INDEX(EmployeeData[Exit Reason], ROW() - 37)),"")</f>
        <v/>
      </c>
      <c r="J2530" s="4" t="str" cm="1">
        <f t="array" ref="J2530">IFERROR(INDEX(EmployeeData[Status], ROW() - 37), "")</f>
        <v/>
      </c>
    </row>
    <row r="2531" spans="2:10" ht="19.95" customHeight="1" x14ac:dyDescent="0.3">
      <c r="B2531" s="4" t="str" cm="1">
        <f t="array" ref="B2531">IFERROR(INDEX(EmployeeData[Employee ID], ROW() - 37), "")</f>
        <v/>
      </c>
      <c r="C2531" s="4" t="str" cm="1">
        <f t="array" ref="C2531">IFERROR(INDEX(EmployeeData[Full Name], ROW() - 37), "")</f>
        <v/>
      </c>
      <c r="D2531" s="4" t="str" cm="1">
        <f t="array" ref="D2531">IFERROR(INDEX(EmployeeData[Department], ROW() - 37), "")</f>
        <v/>
      </c>
      <c r="E2531" s="4" t="str" cm="1">
        <f t="array" ref="E2531">IFERROR(INDEX(EmployeeData[Gender], ROW() - 37), "")</f>
        <v/>
      </c>
      <c r="F2531" s="4" t="str" cm="1">
        <f t="array" ref="F2531">IFERROR(INDEX(EmployeeData[Age], ROW() - 37), "")</f>
        <v/>
      </c>
      <c r="G2531" s="6" t="str" cm="1">
        <f t="array" ref="G2531">IFERROR(INDEX(EmployeeData[Join Date], ROW() - 37), "")</f>
        <v/>
      </c>
      <c r="H2531" s="6" t="str" cm="1">
        <f t="array" ref="H2531">IFERROR(IF(INDEX(EmployeeData[Exit Date], ROW() - 37)=0, "",INDEX(EmployeeData[Exit Date], ROW() - 37)),"")</f>
        <v/>
      </c>
      <c r="I2531" s="4" t="str" cm="1">
        <f t="array" ref="I2531">IFERROR(IF(INDEX(EmployeeData[Exit Reason], ROW() - 37)=0, "",INDEX(EmployeeData[Exit Reason], ROW() - 37)),"")</f>
        <v/>
      </c>
      <c r="J2531" s="4" t="str" cm="1">
        <f t="array" ref="J2531">IFERROR(INDEX(EmployeeData[Status], ROW() - 37), "")</f>
        <v/>
      </c>
    </row>
    <row r="2532" spans="2:10" ht="19.95" customHeight="1" x14ac:dyDescent="0.3">
      <c r="B2532" s="4" t="str" cm="1">
        <f t="array" ref="B2532">IFERROR(INDEX(EmployeeData[Employee ID], ROW() - 37), "")</f>
        <v/>
      </c>
      <c r="C2532" s="4" t="str" cm="1">
        <f t="array" ref="C2532">IFERROR(INDEX(EmployeeData[Full Name], ROW() - 37), "")</f>
        <v/>
      </c>
      <c r="D2532" s="4" t="str" cm="1">
        <f t="array" ref="D2532">IFERROR(INDEX(EmployeeData[Department], ROW() - 37), "")</f>
        <v/>
      </c>
      <c r="E2532" s="4" t="str" cm="1">
        <f t="array" ref="E2532">IFERROR(INDEX(EmployeeData[Gender], ROW() - 37), "")</f>
        <v/>
      </c>
      <c r="F2532" s="4" t="str" cm="1">
        <f t="array" ref="F2532">IFERROR(INDEX(EmployeeData[Age], ROW() - 37), "")</f>
        <v/>
      </c>
      <c r="G2532" s="6" t="str" cm="1">
        <f t="array" ref="G2532">IFERROR(INDEX(EmployeeData[Join Date], ROW() - 37), "")</f>
        <v/>
      </c>
      <c r="H2532" s="6" t="str" cm="1">
        <f t="array" ref="H2532">IFERROR(IF(INDEX(EmployeeData[Exit Date], ROW() - 37)=0, "",INDEX(EmployeeData[Exit Date], ROW() - 37)),"")</f>
        <v/>
      </c>
      <c r="I2532" s="4" t="str" cm="1">
        <f t="array" ref="I2532">IFERROR(IF(INDEX(EmployeeData[Exit Reason], ROW() - 37)=0, "",INDEX(EmployeeData[Exit Reason], ROW() - 37)),"")</f>
        <v/>
      </c>
      <c r="J2532" s="4" t="str" cm="1">
        <f t="array" ref="J2532">IFERROR(INDEX(EmployeeData[Status], ROW() - 37), "")</f>
        <v/>
      </c>
    </row>
    <row r="2533" spans="2:10" ht="19.95" customHeight="1" x14ac:dyDescent="0.3">
      <c r="B2533" s="4" t="str" cm="1">
        <f t="array" ref="B2533">IFERROR(INDEX(EmployeeData[Employee ID], ROW() - 37), "")</f>
        <v/>
      </c>
      <c r="C2533" s="4" t="str" cm="1">
        <f t="array" ref="C2533">IFERROR(INDEX(EmployeeData[Full Name], ROW() - 37), "")</f>
        <v/>
      </c>
      <c r="D2533" s="4" t="str" cm="1">
        <f t="array" ref="D2533">IFERROR(INDEX(EmployeeData[Department], ROW() - 37), "")</f>
        <v/>
      </c>
      <c r="E2533" s="4" t="str" cm="1">
        <f t="array" ref="E2533">IFERROR(INDEX(EmployeeData[Gender], ROW() - 37), "")</f>
        <v/>
      </c>
      <c r="F2533" s="4" t="str" cm="1">
        <f t="array" ref="F2533">IFERROR(INDEX(EmployeeData[Age], ROW() - 37), "")</f>
        <v/>
      </c>
      <c r="G2533" s="6" t="str" cm="1">
        <f t="array" ref="G2533">IFERROR(INDEX(EmployeeData[Join Date], ROW() - 37), "")</f>
        <v/>
      </c>
      <c r="H2533" s="6" t="str" cm="1">
        <f t="array" ref="H2533">IFERROR(IF(INDEX(EmployeeData[Exit Date], ROW() - 37)=0, "",INDEX(EmployeeData[Exit Date], ROW() - 37)),"")</f>
        <v/>
      </c>
      <c r="I2533" s="4" t="str" cm="1">
        <f t="array" ref="I2533">IFERROR(IF(INDEX(EmployeeData[Exit Reason], ROW() - 37)=0, "",INDEX(EmployeeData[Exit Reason], ROW() - 37)),"")</f>
        <v/>
      </c>
      <c r="J2533" s="4" t="str" cm="1">
        <f t="array" ref="J2533">IFERROR(INDEX(EmployeeData[Status], ROW() - 37), "")</f>
        <v/>
      </c>
    </row>
    <row r="2534" spans="2:10" ht="19.95" customHeight="1" x14ac:dyDescent="0.3">
      <c r="B2534" s="4" t="str" cm="1">
        <f t="array" ref="B2534">IFERROR(INDEX(EmployeeData[Employee ID], ROW() - 37), "")</f>
        <v/>
      </c>
      <c r="C2534" s="4" t="str" cm="1">
        <f t="array" ref="C2534">IFERROR(INDEX(EmployeeData[Full Name], ROW() - 37), "")</f>
        <v/>
      </c>
      <c r="D2534" s="4" t="str" cm="1">
        <f t="array" ref="D2534">IFERROR(INDEX(EmployeeData[Department], ROW() - 37), "")</f>
        <v/>
      </c>
      <c r="E2534" s="4" t="str" cm="1">
        <f t="array" ref="E2534">IFERROR(INDEX(EmployeeData[Gender], ROW() - 37), "")</f>
        <v/>
      </c>
      <c r="F2534" s="4" t="str" cm="1">
        <f t="array" ref="F2534">IFERROR(INDEX(EmployeeData[Age], ROW() - 37), "")</f>
        <v/>
      </c>
      <c r="G2534" s="6" t="str" cm="1">
        <f t="array" ref="G2534">IFERROR(INDEX(EmployeeData[Join Date], ROW() - 37), "")</f>
        <v/>
      </c>
      <c r="H2534" s="6" t="str" cm="1">
        <f t="array" ref="H2534">IFERROR(IF(INDEX(EmployeeData[Exit Date], ROW() - 37)=0, "",INDEX(EmployeeData[Exit Date], ROW() - 37)),"")</f>
        <v/>
      </c>
      <c r="I2534" s="4" t="str" cm="1">
        <f t="array" ref="I2534">IFERROR(IF(INDEX(EmployeeData[Exit Reason], ROW() - 37)=0, "",INDEX(EmployeeData[Exit Reason], ROW() - 37)),"")</f>
        <v/>
      </c>
      <c r="J2534" s="4" t="str" cm="1">
        <f t="array" ref="J2534">IFERROR(INDEX(EmployeeData[Status], ROW() - 37), "")</f>
        <v/>
      </c>
    </row>
    <row r="2535" spans="2:10" ht="19.95" customHeight="1" x14ac:dyDescent="0.3">
      <c r="B2535" s="4" t="str" cm="1">
        <f t="array" ref="B2535">IFERROR(INDEX(EmployeeData[Employee ID], ROW() - 37), "")</f>
        <v/>
      </c>
      <c r="C2535" s="4" t="str" cm="1">
        <f t="array" ref="C2535">IFERROR(INDEX(EmployeeData[Full Name], ROW() - 37), "")</f>
        <v/>
      </c>
      <c r="D2535" s="4" t="str" cm="1">
        <f t="array" ref="D2535">IFERROR(INDEX(EmployeeData[Department], ROW() - 37), "")</f>
        <v/>
      </c>
      <c r="E2535" s="4" t="str" cm="1">
        <f t="array" ref="E2535">IFERROR(INDEX(EmployeeData[Gender], ROW() - 37), "")</f>
        <v/>
      </c>
      <c r="F2535" s="4" t="str" cm="1">
        <f t="array" ref="F2535">IFERROR(INDEX(EmployeeData[Age], ROW() - 37), "")</f>
        <v/>
      </c>
      <c r="G2535" s="6" t="str" cm="1">
        <f t="array" ref="G2535">IFERROR(INDEX(EmployeeData[Join Date], ROW() - 37), "")</f>
        <v/>
      </c>
      <c r="H2535" s="6" t="str" cm="1">
        <f t="array" ref="H2535">IFERROR(IF(INDEX(EmployeeData[Exit Date], ROW() - 37)=0, "",INDEX(EmployeeData[Exit Date], ROW() - 37)),"")</f>
        <v/>
      </c>
      <c r="I2535" s="4" t="str" cm="1">
        <f t="array" ref="I2535">IFERROR(IF(INDEX(EmployeeData[Exit Reason], ROW() - 37)=0, "",INDEX(EmployeeData[Exit Reason], ROW() - 37)),"")</f>
        <v/>
      </c>
      <c r="J2535" s="4" t="str" cm="1">
        <f t="array" ref="J2535">IFERROR(INDEX(EmployeeData[Status], ROW() - 37), "")</f>
        <v/>
      </c>
    </row>
    <row r="2536" spans="2:10" ht="19.95" customHeight="1" x14ac:dyDescent="0.3">
      <c r="B2536" s="4" t="str" cm="1">
        <f t="array" ref="B2536">IFERROR(INDEX(EmployeeData[Employee ID], ROW() - 37), "")</f>
        <v/>
      </c>
      <c r="C2536" s="4" t="str" cm="1">
        <f t="array" ref="C2536">IFERROR(INDEX(EmployeeData[Full Name], ROW() - 37), "")</f>
        <v/>
      </c>
      <c r="D2536" s="4" t="str" cm="1">
        <f t="array" ref="D2536">IFERROR(INDEX(EmployeeData[Department], ROW() - 37), "")</f>
        <v/>
      </c>
      <c r="E2536" s="4" t="str" cm="1">
        <f t="array" ref="E2536">IFERROR(INDEX(EmployeeData[Gender], ROW() - 37), "")</f>
        <v/>
      </c>
      <c r="F2536" s="4" t="str" cm="1">
        <f t="array" ref="F2536">IFERROR(INDEX(EmployeeData[Age], ROW() - 37), "")</f>
        <v/>
      </c>
      <c r="G2536" s="6" t="str" cm="1">
        <f t="array" ref="G2536">IFERROR(INDEX(EmployeeData[Join Date], ROW() - 37), "")</f>
        <v/>
      </c>
      <c r="H2536" s="6" t="str" cm="1">
        <f t="array" ref="H2536">IFERROR(IF(INDEX(EmployeeData[Exit Date], ROW() - 37)=0, "",INDEX(EmployeeData[Exit Date], ROW() - 37)),"")</f>
        <v/>
      </c>
      <c r="I2536" s="4" t="str" cm="1">
        <f t="array" ref="I2536">IFERROR(IF(INDEX(EmployeeData[Exit Reason], ROW() - 37)=0, "",INDEX(EmployeeData[Exit Reason], ROW() - 37)),"")</f>
        <v/>
      </c>
      <c r="J2536" s="4" t="str" cm="1">
        <f t="array" ref="J2536">IFERROR(INDEX(EmployeeData[Status], ROW() - 37), "")</f>
        <v/>
      </c>
    </row>
    <row r="2537" spans="2:10" ht="19.95" customHeight="1" x14ac:dyDescent="0.3">
      <c r="B2537" s="4" t="str" cm="1">
        <f t="array" ref="B2537">IFERROR(INDEX(EmployeeData[Employee ID], ROW() - 37), "")</f>
        <v/>
      </c>
      <c r="C2537" s="4" t="str" cm="1">
        <f t="array" ref="C2537">IFERROR(INDEX(EmployeeData[Full Name], ROW() - 37), "")</f>
        <v/>
      </c>
      <c r="D2537" s="4" t="str" cm="1">
        <f t="array" ref="D2537">IFERROR(INDEX(EmployeeData[Department], ROW() - 37), "")</f>
        <v/>
      </c>
      <c r="E2537" s="4" t="str" cm="1">
        <f t="array" ref="E2537">IFERROR(INDEX(EmployeeData[Gender], ROW() - 37), "")</f>
        <v/>
      </c>
      <c r="F2537" s="4" t="str" cm="1">
        <f t="array" ref="F2537">IFERROR(INDEX(EmployeeData[Age], ROW() - 37), "")</f>
        <v/>
      </c>
      <c r="G2537" s="6" t="str" cm="1">
        <f t="array" ref="G2537">IFERROR(INDEX(EmployeeData[Join Date], ROW() - 37), "")</f>
        <v/>
      </c>
      <c r="H2537" s="6" t="str" cm="1">
        <f t="array" ref="H2537">IFERROR(IF(INDEX(EmployeeData[Exit Date], ROW() - 37)=0, "",INDEX(EmployeeData[Exit Date], ROW() - 37)),"")</f>
        <v/>
      </c>
      <c r="I2537" s="4" t="str" cm="1">
        <f t="array" ref="I2537">IFERROR(IF(INDEX(EmployeeData[Exit Reason], ROW() - 37)=0, "",INDEX(EmployeeData[Exit Reason], ROW() - 37)),"")</f>
        <v/>
      </c>
      <c r="J2537" s="4" t="str" cm="1">
        <f t="array" ref="J2537">IFERROR(INDEX(EmployeeData[Status], ROW() - 37), "")</f>
        <v/>
      </c>
    </row>
    <row r="2538" spans="2:10" ht="19.95" customHeight="1" x14ac:dyDescent="0.3">
      <c r="B2538" s="4" t="str" cm="1">
        <f t="array" ref="B2538">IFERROR(INDEX(EmployeeData[Employee ID], ROW() - 37), "")</f>
        <v/>
      </c>
      <c r="C2538" s="4" t="str" cm="1">
        <f t="array" ref="C2538">IFERROR(INDEX(EmployeeData[Full Name], ROW() - 37), "")</f>
        <v/>
      </c>
      <c r="D2538" s="4" t="str" cm="1">
        <f t="array" ref="D2538">IFERROR(INDEX(EmployeeData[Department], ROW() - 37), "")</f>
        <v/>
      </c>
      <c r="E2538" s="4" t="str" cm="1">
        <f t="array" ref="E2538">IFERROR(INDEX(EmployeeData[Gender], ROW() - 37), "")</f>
        <v/>
      </c>
      <c r="F2538" s="4" t="str" cm="1">
        <f t="array" ref="F2538">IFERROR(INDEX(EmployeeData[Age], ROW() - 37), "")</f>
        <v/>
      </c>
      <c r="G2538" s="6" t="str" cm="1">
        <f t="array" ref="G2538">IFERROR(INDEX(EmployeeData[Join Date], ROW() - 37), "")</f>
        <v/>
      </c>
      <c r="H2538" s="6" t="str" cm="1">
        <f t="array" ref="H2538">IFERROR(IF(INDEX(EmployeeData[Exit Date], ROW() - 37)=0, "",INDEX(EmployeeData[Exit Date], ROW() - 37)),"")</f>
        <v/>
      </c>
      <c r="I2538" s="4" t="str" cm="1">
        <f t="array" ref="I2538">IFERROR(IF(INDEX(EmployeeData[Exit Reason], ROW() - 37)=0, "",INDEX(EmployeeData[Exit Reason], ROW() - 37)),"")</f>
        <v/>
      </c>
      <c r="J2538" s="4" t="str" cm="1">
        <f t="array" ref="J2538">IFERROR(INDEX(EmployeeData[Status], ROW() - 37), "")</f>
        <v/>
      </c>
    </row>
    <row r="2539" spans="2:10" ht="19.95" customHeight="1" x14ac:dyDescent="0.3">
      <c r="B2539" s="4" t="str" cm="1">
        <f t="array" ref="B2539">IFERROR(INDEX(EmployeeData[Employee ID], ROW() - 37), "")</f>
        <v/>
      </c>
      <c r="C2539" s="4" t="str" cm="1">
        <f t="array" ref="C2539">IFERROR(INDEX(EmployeeData[Full Name], ROW() - 37), "")</f>
        <v/>
      </c>
      <c r="D2539" s="4" t="str" cm="1">
        <f t="array" ref="D2539">IFERROR(INDEX(EmployeeData[Department], ROW() - 37), "")</f>
        <v/>
      </c>
      <c r="E2539" s="4" t="str" cm="1">
        <f t="array" ref="E2539">IFERROR(INDEX(EmployeeData[Gender], ROW() - 37), "")</f>
        <v/>
      </c>
      <c r="F2539" s="4" t="str" cm="1">
        <f t="array" ref="F2539">IFERROR(INDEX(EmployeeData[Age], ROW() - 37), "")</f>
        <v/>
      </c>
      <c r="G2539" s="6" t="str" cm="1">
        <f t="array" ref="G2539">IFERROR(INDEX(EmployeeData[Join Date], ROW() - 37), "")</f>
        <v/>
      </c>
      <c r="H2539" s="6" t="str" cm="1">
        <f t="array" ref="H2539">IFERROR(IF(INDEX(EmployeeData[Exit Date], ROW() - 37)=0, "",INDEX(EmployeeData[Exit Date], ROW() - 37)),"")</f>
        <v/>
      </c>
      <c r="I2539" s="4" t="str" cm="1">
        <f t="array" ref="I2539">IFERROR(IF(INDEX(EmployeeData[Exit Reason], ROW() - 37)=0, "",INDEX(EmployeeData[Exit Reason], ROW() - 37)),"")</f>
        <v/>
      </c>
      <c r="J2539" s="4" t="str" cm="1">
        <f t="array" ref="J2539">IFERROR(INDEX(EmployeeData[Status], ROW() - 37), "")</f>
        <v/>
      </c>
    </row>
    <row r="2540" spans="2:10" ht="19.95" customHeight="1" x14ac:dyDescent="0.3">
      <c r="B2540" s="4" t="str" cm="1">
        <f t="array" ref="B2540">IFERROR(INDEX(EmployeeData[Employee ID], ROW() - 37), "")</f>
        <v/>
      </c>
      <c r="C2540" s="4" t="str" cm="1">
        <f t="array" ref="C2540">IFERROR(INDEX(EmployeeData[Full Name], ROW() - 37), "")</f>
        <v/>
      </c>
      <c r="D2540" s="4" t="str" cm="1">
        <f t="array" ref="D2540">IFERROR(INDEX(EmployeeData[Department], ROW() - 37), "")</f>
        <v/>
      </c>
      <c r="E2540" s="4" t="str" cm="1">
        <f t="array" ref="E2540">IFERROR(INDEX(EmployeeData[Gender], ROW() - 37), "")</f>
        <v/>
      </c>
      <c r="F2540" s="4" t="str" cm="1">
        <f t="array" ref="F2540">IFERROR(INDEX(EmployeeData[Age], ROW() - 37), "")</f>
        <v/>
      </c>
      <c r="G2540" s="6" t="str" cm="1">
        <f t="array" ref="G2540">IFERROR(INDEX(EmployeeData[Join Date], ROW() - 37), "")</f>
        <v/>
      </c>
      <c r="H2540" s="6" t="str" cm="1">
        <f t="array" ref="H2540">IFERROR(IF(INDEX(EmployeeData[Exit Date], ROW() - 37)=0, "",INDEX(EmployeeData[Exit Date], ROW() - 37)),"")</f>
        <v/>
      </c>
      <c r="I2540" s="4" t="str" cm="1">
        <f t="array" ref="I2540">IFERROR(IF(INDEX(EmployeeData[Exit Reason], ROW() - 37)=0, "",INDEX(EmployeeData[Exit Reason], ROW() - 37)),"")</f>
        <v/>
      </c>
      <c r="J2540" s="4" t="str" cm="1">
        <f t="array" ref="J2540">IFERROR(INDEX(EmployeeData[Status], ROW() - 37), "")</f>
        <v/>
      </c>
    </row>
    <row r="2541" spans="2:10" ht="19.95" customHeight="1" x14ac:dyDescent="0.3">
      <c r="B2541" s="4" t="str" cm="1">
        <f t="array" ref="B2541">IFERROR(INDEX(EmployeeData[Employee ID], ROW() - 37), "")</f>
        <v/>
      </c>
      <c r="C2541" s="4" t="str" cm="1">
        <f t="array" ref="C2541">IFERROR(INDEX(EmployeeData[Full Name], ROW() - 37), "")</f>
        <v/>
      </c>
      <c r="D2541" s="4" t="str" cm="1">
        <f t="array" ref="D2541">IFERROR(INDEX(EmployeeData[Department], ROW() - 37), "")</f>
        <v/>
      </c>
      <c r="E2541" s="4" t="str" cm="1">
        <f t="array" ref="E2541">IFERROR(INDEX(EmployeeData[Gender], ROW() - 37), "")</f>
        <v/>
      </c>
      <c r="F2541" s="4" t="str" cm="1">
        <f t="array" ref="F2541">IFERROR(INDEX(EmployeeData[Age], ROW() - 37), "")</f>
        <v/>
      </c>
      <c r="G2541" s="6" t="str" cm="1">
        <f t="array" ref="G2541">IFERROR(INDEX(EmployeeData[Join Date], ROW() - 37), "")</f>
        <v/>
      </c>
      <c r="H2541" s="6" t="str" cm="1">
        <f t="array" ref="H2541">IFERROR(IF(INDEX(EmployeeData[Exit Date], ROW() - 37)=0, "",INDEX(EmployeeData[Exit Date], ROW() - 37)),"")</f>
        <v/>
      </c>
      <c r="I2541" s="4" t="str" cm="1">
        <f t="array" ref="I2541">IFERROR(IF(INDEX(EmployeeData[Exit Reason], ROW() - 37)=0, "",INDEX(EmployeeData[Exit Reason], ROW() - 37)),"")</f>
        <v/>
      </c>
      <c r="J2541" s="4" t="str" cm="1">
        <f t="array" ref="J2541">IFERROR(INDEX(EmployeeData[Status], ROW() - 37), "")</f>
        <v/>
      </c>
    </row>
    <row r="2542" spans="2:10" ht="19.95" customHeight="1" x14ac:dyDescent="0.3">
      <c r="B2542" s="4" t="str" cm="1">
        <f t="array" ref="B2542">IFERROR(INDEX(EmployeeData[Employee ID], ROW() - 37), "")</f>
        <v/>
      </c>
      <c r="C2542" s="4" t="str" cm="1">
        <f t="array" ref="C2542">IFERROR(INDEX(EmployeeData[Full Name], ROW() - 37), "")</f>
        <v/>
      </c>
      <c r="D2542" s="4" t="str" cm="1">
        <f t="array" ref="D2542">IFERROR(INDEX(EmployeeData[Department], ROW() - 37), "")</f>
        <v/>
      </c>
      <c r="E2542" s="4" t="str" cm="1">
        <f t="array" ref="E2542">IFERROR(INDEX(EmployeeData[Gender], ROW() - 37), "")</f>
        <v/>
      </c>
      <c r="F2542" s="4" t="str" cm="1">
        <f t="array" ref="F2542">IFERROR(INDEX(EmployeeData[Age], ROW() - 37), "")</f>
        <v/>
      </c>
      <c r="G2542" s="6" t="str" cm="1">
        <f t="array" ref="G2542">IFERROR(INDEX(EmployeeData[Join Date], ROW() - 37), "")</f>
        <v/>
      </c>
      <c r="H2542" s="6" t="str" cm="1">
        <f t="array" ref="H2542">IFERROR(IF(INDEX(EmployeeData[Exit Date], ROW() - 37)=0, "",INDEX(EmployeeData[Exit Date], ROW() - 37)),"")</f>
        <v/>
      </c>
      <c r="I2542" s="4" t="str" cm="1">
        <f t="array" ref="I2542">IFERROR(IF(INDEX(EmployeeData[Exit Reason], ROW() - 37)=0, "",INDEX(EmployeeData[Exit Reason], ROW() - 37)),"")</f>
        <v/>
      </c>
      <c r="J2542" s="4" t="str" cm="1">
        <f t="array" ref="J2542">IFERROR(INDEX(EmployeeData[Status], ROW() - 37), "")</f>
        <v/>
      </c>
    </row>
    <row r="2543" spans="2:10" ht="19.95" customHeight="1" x14ac:dyDescent="0.3">
      <c r="B2543" s="4" t="str" cm="1">
        <f t="array" ref="B2543">IFERROR(INDEX(EmployeeData[Employee ID], ROW() - 37), "")</f>
        <v/>
      </c>
      <c r="C2543" s="4" t="str" cm="1">
        <f t="array" ref="C2543">IFERROR(INDEX(EmployeeData[Full Name], ROW() - 37), "")</f>
        <v/>
      </c>
      <c r="D2543" s="4" t="str" cm="1">
        <f t="array" ref="D2543">IFERROR(INDEX(EmployeeData[Department], ROW() - 37), "")</f>
        <v/>
      </c>
      <c r="E2543" s="4" t="str" cm="1">
        <f t="array" ref="E2543">IFERROR(INDEX(EmployeeData[Gender], ROW() - 37), "")</f>
        <v/>
      </c>
      <c r="F2543" s="4" t="str" cm="1">
        <f t="array" ref="F2543">IFERROR(INDEX(EmployeeData[Age], ROW() - 37), "")</f>
        <v/>
      </c>
      <c r="G2543" s="6" t="str" cm="1">
        <f t="array" ref="G2543">IFERROR(INDEX(EmployeeData[Join Date], ROW() - 37), "")</f>
        <v/>
      </c>
      <c r="H2543" s="6" t="str" cm="1">
        <f t="array" ref="H2543">IFERROR(IF(INDEX(EmployeeData[Exit Date], ROW() - 37)=0, "",INDEX(EmployeeData[Exit Date], ROW() - 37)),"")</f>
        <v/>
      </c>
      <c r="I2543" s="4" t="str" cm="1">
        <f t="array" ref="I2543">IFERROR(IF(INDEX(EmployeeData[Exit Reason], ROW() - 37)=0, "",INDEX(EmployeeData[Exit Reason], ROW() - 37)),"")</f>
        <v/>
      </c>
      <c r="J2543" s="4" t="str" cm="1">
        <f t="array" ref="J2543">IFERROR(INDEX(EmployeeData[Status], ROW() - 37), "")</f>
        <v/>
      </c>
    </row>
    <row r="2544" spans="2:10" ht="19.95" customHeight="1" x14ac:dyDescent="0.3">
      <c r="B2544" s="4" t="str" cm="1">
        <f t="array" ref="B2544">IFERROR(INDEX(EmployeeData[Employee ID], ROW() - 37), "")</f>
        <v/>
      </c>
      <c r="C2544" s="4" t="str" cm="1">
        <f t="array" ref="C2544">IFERROR(INDEX(EmployeeData[Full Name], ROW() - 37), "")</f>
        <v/>
      </c>
      <c r="D2544" s="4" t="str" cm="1">
        <f t="array" ref="D2544">IFERROR(INDEX(EmployeeData[Department], ROW() - 37), "")</f>
        <v/>
      </c>
      <c r="E2544" s="4" t="str" cm="1">
        <f t="array" ref="E2544">IFERROR(INDEX(EmployeeData[Gender], ROW() - 37), "")</f>
        <v/>
      </c>
      <c r="F2544" s="4" t="str" cm="1">
        <f t="array" ref="F2544">IFERROR(INDEX(EmployeeData[Age], ROW() - 37), "")</f>
        <v/>
      </c>
      <c r="G2544" s="6" t="str" cm="1">
        <f t="array" ref="G2544">IFERROR(INDEX(EmployeeData[Join Date], ROW() - 37), "")</f>
        <v/>
      </c>
      <c r="H2544" s="6" t="str" cm="1">
        <f t="array" ref="H2544">IFERROR(IF(INDEX(EmployeeData[Exit Date], ROW() - 37)=0, "",INDEX(EmployeeData[Exit Date], ROW() - 37)),"")</f>
        <v/>
      </c>
      <c r="I2544" s="4" t="str" cm="1">
        <f t="array" ref="I2544">IFERROR(IF(INDEX(EmployeeData[Exit Reason], ROW() - 37)=0, "",INDEX(EmployeeData[Exit Reason], ROW() - 37)),"")</f>
        <v/>
      </c>
      <c r="J2544" s="4" t="str" cm="1">
        <f t="array" ref="J2544">IFERROR(INDEX(EmployeeData[Status], ROW() - 37), "")</f>
        <v/>
      </c>
    </row>
    <row r="2545" spans="2:10" ht="19.95" customHeight="1" x14ac:dyDescent="0.3">
      <c r="B2545" s="4" t="str" cm="1">
        <f t="array" ref="B2545">IFERROR(INDEX(EmployeeData[Employee ID], ROW() - 37), "")</f>
        <v/>
      </c>
      <c r="C2545" s="4" t="str" cm="1">
        <f t="array" ref="C2545">IFERROR(INDEX(EmployeeData[Full Name], ROW() - 37), "")</f>
        <v/>
      </c>
      <c r="D2545" s="4" t="str" cm="1">
        <f t="array" ref="D2545">IFERROR(INDEX(EmployeeData[Department], ROW() - 37), "")</f>
        <v/>
      </c>
      <c r="E2545" s="4" t="str" cm="1">
        <f t="array" ref="E2545">IFERROR(INDEX(EmployeeData[Gender], ROW() - 37), "")</f>
        <v/>
      </c>
      <c r="F2545" s="4" t="str" cm="1">
        <f t="array" ref="F2545">IFERROR(INDEX(EmployeeData[Age], ROW() - 37), "")</f>
        <v/>
      </c>
      <c r="G2545" s="6" t="str" cm="1">
        <f t="array" ref="G2545">IFERROR(INDEX(EmployeeData[Join Date], ROW() - 37), "")</f>
        <v/>
      </c>
      <c r="H2545" s="6" t="str" cm="1">
        <f t="array" ref="H2545">IFERROR(IF(INDEX(EmployeeData[Exit Date], ROW() - 37)=0, "",INDEX(EmployeeData[Exit Date], ROW() - 37)),"")</f>
        <v/>
      </c>
      <c r="I2545" s="4" t="str" cm="1">
        <f t="array" ref="I2545">IFERROR(IF(INDEX(EmployeeData[Exit Reason], ROW() - 37)=0, "",INDEX(EmployeeData[Exit Reason], ROW() - 37)),"")</f>
        <v/>
      </c>
      <c r="J2545" s="4" t="str" cm="1">
        <f t="array" ref="J2545">IFERROR(INDEX(EmployeeData[Status], ROW() - 37), "")</f>
        <v/>
      </c>
    </row>
    <row r="2546" spans="2:10" ht="19.95" customHeight="1" x14ac:dyDescent="0.3">
      <c r="B2546" s="4" t="str" cm="1">
        <f t="array" ref="B2546">IFERROR(INDEX(EmployeeData[Employee ID], ROW() - 37), "")</f>
        <v/>
      </c>
      <c r="C2546" s="4" t="str" cm="1">
        <f t="array" ref="C2546">IFERROR(INDEX(EmployeeData[Full Name], ROW() - 37), "")</f>
        <v/>
      </c>
      <c r="D2546" s="4" t="str" cm="1">
        <f t="array" ref="D2546">IFERROR(INDEX(EmployeeData[Department], ROW() - 37), "")</f>
        <v/>
      </c>
      <c r="E2546" s="4" t="str" cm="1">
        <f t="array" ref="E2546">IFERROR(INDEX(EmployeeData[Gender], ROW() - 37), "")</f>
        <v/>
      </c>
      <c r="F2546" s="4" t="str" cm="1">
        <f t="array" ref="F2546">IFERROR(INDEX(EmployeeData[Age], ROW() - 37), "")</f>
        <v/>
      </c>
      <c r="G2546" s="6" t="str" cm="1">
        <f t="array" ref="G2546">IFERROR(INDEX(EmployeeData[Join Date], ROW() - 37), "")</f>
        <v/>
      </c>
      <c r="H2546" s="6" t="str" cm="1">
        <f t="array" ref="H2546">IFERROR(IF(INDEX(EmployeeData[Exit Date], ROW() - 37)=0, "",INDEX(EmployeeData[Exit Date], ROW() - 37)),"")</f>
        <v/>
      </c>
      <c r="I2546" s="4" t="str" cm="1">
        <f t="array" ref="I2546">IFERROR(IF(INDEX(EmployeeData[Exit Reason], ROW() - 37)=0, "",INDEX(EmployeeData[Exit Reason], ROW() - 37)),"")</f>
        <v/>
      </c>
      <c r="J2546" s="4" t="str" cm="1">
        <f t="array" ref="J2546">IFERROR(INDEX(EmployeeData[Status], ROW() - 37), "")</f>
        <v/>
      </c>
    </row>
    <row r="2547" spans="2:10" ht="19.95" customHeight="1" x14ac:dyDescent="0.3">
      <c r="B2547" s="4" t="str" cm="1">
        <f t="array" ref="B2547">IFERROR(INDEX(EmployeeData[Employee ID], ROW() - 37), "")</f>
        <v/>
      </c>
      <c r="C2547" s="4" t="str" cm="1">
        <f t="array" ref="C2547">IFERROR(INDEX(EmployeeData[Full Name], ROW() - 37), "")</f>
        <v/>
      </c>
      <c r="D2547" s="4" t="str" cm="1">
        <f t="array" ref="D2547">IFERROR(INDEX(EmployeeData[Department], ROW() - 37), "")</f>
        <v/>
      </c>
      <c r="E2547" s="4" t="str" cm="1">
        <f t="array" ref="E2547">IFERROR(INDEX(EmployeeData[Gender], ROW() - 37), "")</f>
        <v/>
      </c>
      <c r="F2547" s="4" t="str" cm="1">
        <f t="array" ref="F2547">IFERROR(INDEX(EmployeeData[Age], ROW() - 37), "")</f>
        <v/>
      </c>
      <c r="G2547" s="6" t="str" cm="1">
        <f t="array" ref="G2547">IFERROR(INDEX(EmployeeData[Join Date], ROW() - 37), "")</f>
        <v/>
      </c>
      <c r="H2547" s="6" t="str" cm="1">
        <f t="array" ref="H2547">IFERROR(IF(INDEX(EmployeeData[Exit Date], ROW() - 37)=0, "",INDEX(EmployeeData[Exit Date], ROW() - 37)),"")</f>
        <v/>
      </c>
      <c r="I2547" s="4" t="str" cm="1">
        <f t="array" ref="I2547">IFERROR(IF(INDEX(EmployeeData[Exit Reason], ROW() - 37)=0, "",INDEX(EmployeeData[Exit Reason], ROW() - 37)),"")</f>
        <v/>
      </c>
      <c r="J2547" s="4" t="str" cm="1">
        <f t="array" ref="J2547">IFERROR(INDEX(EmployeeData[Status], ROW() - 37), "")</f>
        <v/>
      </c>
    </row>
    <row r="2548" spans="2:10" ht="19.95" customHeight="1" x14ac:dyDescent="0.3">
      <c r="B2548" s="4" t="str" cm="1">
        <f t="array" ref="B2548">IFERROR(INDEX(EmployeeData[Employee ID], ROW() - 37), "")</f>
        <v/>
      </c>
      <c r="C2548" s="4" t="str" cm="1">
        <f t="array" ref="C2548">IFERROR(INDEX(EmployeeData[Full Name], ROW() - 37), "")</f>
        <v/>
      </c>
      <c r="D2548" s="4" t="str" cm="1">
        <f t="array" ref="D2548">IFERROR(INDEX(EmployeeData[Department], ROW() - 37), "")</f>
        <v/>
      </c>
      <c r="E2548" s="4" t="str" cm="1">
        <f t="array" ref="E2548">IFERROR(INDEX(EmployeeData[Gender], ROW() - 37), "")</f>
        <v/>
      </c>
      <c r="F2548" s="4" t="str" cm="1">
        <f t="array" ref="F2548">IFERROR(INDEX(EmployeeData[Age], ROW() - 37), "")</f>
        <v/>
      </c>
      <c r="G2548" s="6" t="str" cm="1">
        <f t="array" ref="G2548">IFERROR(INDEX(EmployeeData[Join Date], ROW() - 37), "")</f>
        <v/>
      </c>
      <c r="H2548" s="6" t="str" cm="1">
        <f t="array" ref="H2548">IFERROR(IF(INDEX(EmployeeData[Exit Date], ROW() - 37)=0, "",INDEX(EmployeeData[Exit Date], ROW() - 37)),"")</f>
        <v/>
      </c>
      <c r="I2548" s="4" t="str" cm="1">
        <f t="array" ref="I2548">IFERROR(IF(INDEX(EmployeeData[Exit Reason], ROW() - 37)=0, "",INDEX(EmployeeData[Exit Reason], ROW() - 37)),"")</f>
        <v/>
      </c>
      <c r="J2548" s="4" t="str" cm="1">
        <f t="array" ref="J2548">IFERROR(INDEX(EmployeeData[Status], ROW() - 37), "")</f>
        <v/>
      </c>
    </row>
    <row r="2549" spans="2:10" ht="19.95" customHeight="1" x14ac:dyDescent="0.3">
      <c r="B2549" s="4" t="str" cm="1">
        <f t="array" ref="B2549">IFERROR(INDEX(EmployeeData[Employee ID], ROW() - 37), "")</f>
        <v/>
      </c>
      <c r="C2549" s="4" t="str" cm="1">
        <f t="array" ref="C2549">IFERROR(INDEX(EmployeeData[Full Name], ROW() - 37), "")</f>
        <v/>
      </c>
      <c r="D2549" s="4" t="str" cm="1">
        <f t="array" ref="D2549">IFERROR(INDEX(EmployeeData[Department], ROW() - 37), "")</f>
        <v/>
      </c>
      <c r="E2549" s="4" t="str" cm="1">
        <f t="array" ref="E2549">IFERROR(INDEX(EmployeeData[Gender], ROW() - 37), "")</f>
        <v/>
      </c>
      <c r="F2549" s="4" t="str" cm="1">
        <f t="array" ref="F2549">IFERROR(INDEX(EmployeeData[Age], ROW() - 37), "")</f>
        <v/>
      </c>
      <c r="G2549" s="6" t="str" cm="1">
        <f t="array" ref="G2549">IFERROR(INDEX(EmployeeData[Join Date], ROW() - 37), "")</f>
        <v/>
      </c>
      <c r="H2549" s="6" t="str" cm="1">
        <f t="array" ref="H2549">IFERROR(IF(INDEX(EmployeeData[Exit Date], ROW() - 37)=0, "",INDEX(EmployeeData[Exit Date], ROW() - 37)),"")</f>
        <v/>
      </c>
      <c r="I2549" s="4" t="str" cm="1">
        <f t="array" ref="I2549">IFERROR(IF(INDEX(EmployeeData[Exit Reason], ROW() - 37)=0, "",INDEX(EmployeeData[Exit Reason], ROW() - 37)),"")</f>
        <v/>
      </c>
      <c r="J2549" s="4" t="str" cm="1">
        <f t="array" ref="J2549">IFERROR(INDEX(EmployeeData[Status], ROW() - 37), "")</f>
        <v/>
      </c>
    </row>
    <row r="2550" spans="2:10" ht="19.95" customHeight="1" x14ac:dyDescent="0.3">
      <c r="B2550" s="4" t="str" cm="1">
        <f t="array" ref="B2550">IFERROR(INDEX(EmployeeData[Employee ID], ROW() - 37), "")</f>
        <v/>
      </c>
      <c r="C2550" s="4" t="str" cm="1">
        <f t="array" ref="C2550">IFERROR(INDEX(EmployeeData[Full Name], ROW() - 37), "")</f>
        <v/>
      </c>
      <c r="D2550" s="4" t="str" cm="1">
        <f t="array" ref="D2550">IFERROR(INDEX(EmployeeData[Department], ROW() - 37), "")</f>
        <v/>
      </c>
      <c r="E2550" s="4" t="str" cm="1">
        <f t="array" ref="E2550">IFERROR(INDEX(EmployeeData[Gender], ROW() - 37), "")</f>
        <v/>
      </c>
      <c r="F2550" s="4" t="str" cm="1">
        <f t="array" ref="F2550">IFERROR(INDEX(EmployeeData[Age], ROW() - 37), "")</f>
        <v/>
      </c>
      <c r="G2550" s="6" t="str" cm="1">
        <f t="array" ref="G2550">IFERROR(INDEX(EmployeeData[Join Date], ROW() - 37), "")</f>
        <v/>
      </c>
      <c r="H2550" s="6" t="str" cm="1">
        <f t="array" ref="H2550">IFERROR(IF(INDEX(EmployeeData[Exit Date], ROW() - 37)=0, "",INDEX(EmployeeData[Exit Date], ROW() - 37)),"")</f>
        <v/>
      </c>
      <c r="I2550" s="4" t="str" cm="1">
        <f t="array" ref="I2550">IFERROR(IF(INDEX(EmployeeData[Exit Reason], ROW() - 37)=0, "",INDEX(EmployeeData[Exit Reason], ROW() - 37)),"")</f>
        <v/>
      </c>
      <c r="J2550" s="4" t="str" cm="1">
        <f t="array" ref="J2550">IFERROR(INDEX(EmployeeData[Status], ROW() - 37), "")</f>
        <v/>
      </c>
    </row>
    <row r="2551" spans="2:10" ht="19.95" customHeight="1" x14ac:dyDescent="0.3">
      <c r="B2551" s="4" t="str" cm="1">
        <f t="array" ref="B2551">IFERROR(INDEX(EmployeeData[Employee ID], ROW() - 37), "")</f>
        <v/>
      </c>
      <c r="C2551" s="4" t="str" cm="1">
        <f t="array" ref="C2551">IFERROR(INDEX(EmployeeData[Full Name], ROW() - 37), "")</f>
        <v/>
      </c>
      <c r="D2551" s="4" t="str" cm="1">
        <f t="array" ref="D2551">IFERROR(INDEX(EmployeeData[Department], ROW() - 37), "")</f>
        <v/>
      </c>
      <c r="E2551" s="4" t="str" cm="1">
        <f t="array" ref="E2551">IFERROR(INDEX(EmployeeData[Gender], ROW() - 37), "")</f>
        <v/>
      </c>
      <c r="F2551" s="4" t="str" cm="1">
        <f t="array" ref="F2551">IFERROR(INDEX(EmployeeData[Age], ROW() - 37), "")</f>
        <v/>
      </c>
      <c r="G2551" s="6" t="str" cm="1">
        <f t="array" ref="G2551">IFERROR(INDEX(EmployeeData[Join Date], ROW() - 37), "")</f>
        <v/>
      </c>
      <c r="H2551" s="6" t="str" cm="1">
        <f t="array" ref="H2551">IFERROR(IF(INDEX(EmployeeData[Exit Date], ROW() - 37)=0, "",INDEX(EmployeeData[Exit Date], ROW() - 37)),"")</f>
        <v/>
      </c>
      <c r="I2551" s="4" t="str" cm="1">
        <f t="array" ref="I2551">IFERROR(IF(INDEX(EmployeeData[Exit Reason], ROW() - 37)=0, "",INDEX(EmployeeData[Exit Reason], ROW() - 37)),"")</f>
        <v/>
      </c>
      <c r="J2551" s="4" t="str" cm="1">
        <f t="array" ref="J2551">IFERROR(INDEX(EmployeeData[Status], ROW() - 37), "")</f>
        <v/>
      </c>
    </row>
    <row r="2552" spans="2:10" ht="19.95" customHeight="1" x14ac:dyDescent="0.3">
      <c r="B2552" s="4" t="str" cm="1">
        <f t="array" ref="B2552">IFERROR(INDEX(EmployeeData[Employee ID], ROW() - 37), "")</f>
        <v/>
      </c>
      <c r="C2552" s="4" t="str" cm="1">
        <f t="array" ref="C2552">IFERROR(INDEX(EmployeeData[Full Name], ROW() - 37), "")</f>
        <v/>
      </c>
      <c r="D2552" s="4" t="str" cm="1">
        <f t="array" ref="D2552">IFERROR(INDEX(EmployeeData[Department], ROW() - 37), "")</f>
        <v/>
      </c>
      <c r="E2552" s="4" t="str" cm="1">
        <f t="array" ref="E2552">IFERROR(INDEX(EmployeeData[Gender], ROW() - 37), "")</f>
        <v/>
      </c>
      <c r="F2552" s="4" t="str" cm="1">
        <f t="array" ref="F2552">IFERROR(INDEX(EmployeeData[Age], ROW() - 37), "")</f>
        <v/>
      </c>
      <c r="G2552" s="6" t="str" cm="1">
        <f t="array" ref="G2552">IFERROR(INDEX(EmployeeData[Join Date], ROW() - 37), "")</f>
        <v/>
      </c>
      <c r="H2552" s="6" t="str" cm="1">
        <f t="array" ref="H2552">IFERROR(IF(INDEX(EmployeeData[Exit Date], ROW() - 37)=0, "",INDEX(EmployeeData[Exit Date], ROW() - 37)),"")</f>
        <v/>
      </c>
      <c r="I2552" s="4" t="str" cm="1">
        <f t="array" ref="I2552">IFERROR(IF(INDEX(EmployeeData[Exit Reason], ROW() - 37)=0, "",INDEX(EmployeeData[Exit Reason], ROW() - 37)),"")</f>
        <v/>
      </c>
      <c r="J2552" s="4" t="str" cm="1">
        <f t="array" ref="J2552">IFERROR(INDEX(EmployeeData[Status], ROW() - 37), "")</f>
        <v/>
      </c>
    </row>
    <row r="2553" spans="2:10" ht="19.95" customHeight="1" x14ac:dyDescent="0.3">
      <c r="B2553" s="4" t="str" cm="1">
        <f t="array" ref="B2553">IFERROR(INDEX(EmployeeData[Employee ID], ROW() - 37), "")</f>
        <v/>
      </c>
      <c r="C2553" s="4" t="str" cm="1">
        <f t="array" ref="C2553">IFERROR(INDEX(EmployeeData[Full Name], ROW() - 37), "")</f>
        <v/>
      </c>
      <c r="D2553" s="4" t="str" cm="1">
        <f t="array" ref="D2553">IFERROR(INDEX(EmployeeData[Department], ROW() - 37), "")</f>
        <v/>
      </c>
      <c r="E2553" s="4" t="str" cm="1">
        <f t="array" ref="E2553">IFERROR(INDEX(EmployeeData[Gender], ROW() - 37), "")</f>
        <v/>
      </c>
      <c r="F2553" s="4" t="str" cm="1">
        <f t="array" ref="F2553">IFERROR(INDEX(EmployeeData[Age], ROW() - 37), "")</f>
        <v/>
      </c>
      <c r="G2553" s="6" t="str" cm="1">
        <f t="array" ref="G2553">IFERROR(INDEX(EmployeeData[Join Date], ROW() - 37), "")</f>
        <v/>
      </c>
      <c r="H2553" s="6" t="str" cm="1">
        <f t="array" ref="H2553">IFERROR(IF(INDEX(EmployeeData[Exit Date], ROW() - 37)=0, "",INDEX(EmployeeData[Exit Date], ROW() - 37)),"")</f>
        <v/>
      </c>
      <c r="I2553" s="4" t="str" cm="1">
        <f t="array" ref="I2553">IFERROR(IF(INDEX(EmployeeData[Exit Reason], ROW() - 37)=0, "",INDEX(EmployeeData[Exit Reason], ROW() - 37)),"")</f>
        <v/>
      </c>
      <c r="J2553" s="4" t="str" cm="1">
        <f t="array" ref="J2553">IFERROR(INDEX(EmployeeData[Status], ROW() - 37), "")</f>
        <v/>
      </c>
    </row>
    <row r="2554" spans="2:10" ht="19.95" customHeight="1" x14ac:dyDescent="0.3">
      <c r="B2554" s="4" t="str" cm="1">
        <f t="array" ref="B2554">IFERROR(INDEX(EmployeeData[Employee ID], ROW() - 37), "")</f>
        <v/>
      </c>
      <c r="C2554" s="4" t="str" cm="1">
        <f t="array" ref="C2554">IFERROR(INDEX(EmployeeData[Full Name], ROW() - 37), "")</f>
        <v/>
      </c>
      <c r="D2554" s="4" t="str" cm="1">
        <f t="array" ref="D2554">IFERROR(INDEX(EmployeeData[Department], ROW() - 37), "")</f>
        <v/>
      </c>
      <c r="E2554" s="4" t="str" cm="1">
        <f t="array" ref="E2554">IFERROR(INDEX(EmployeeData[Gender], ROW() - 37), "")</f>
        <v/>
      </c>
      <c r="F2554" s="4" t="str" cm="1">
        <f t="array" ref="F2554">IFERROR(INDEX(EmployeeData[Age], ROW() - 37), "")</f>
        <v/>
      </c>
      <c r="G2554" s="6" t="str" cm="1">
        <f t="array" ref="G2554">IFERROR(INDEX(EmployeeData[Join Date], ROW() - 37), "")</f>
        <v/>
      </c>
      <c r="H2554" s="6" t="str" cm="1">
        <f t="array" ref="H2554">IFERROR(IF(INDEX(EmployeeData[Exit Date], ROW() - 37)=0, "",INDEX(EmployeeData[Exit Date], ROW() - 37)),"")</f>
        <v/>
      </c>
      <c r="I2554" s="4" t="str" cm="1">
        <f t="array" ref="I2554">IFERROR(IF(INDEX(EmployeeData[Exit Reason], ROW() - 37)=0, "",INDEX(EmployeeData[Exit Reason], ROW() - 37)),"")</f>
        <v/>
      </c>
      <c r="J2554" s="4" t="str" cm="1">
        <f t="array" ref="J2554">IFERROR(INDEX(EmployeeData[Status], ROW() - 37), "")</f>
        <v/>
      </c>
    </row>
    <row r="2555" spans="2:10" ht="19.95" customHeight="1" x14ac:dyDescent="0.3">
      <c r="B2555" s="4" t="str" cm="1">
        <f t="array" ref="B2555">IFERROR(INDEX(EmployeeData[Employee ID], ROW() - 37), "")</f>
        <v/>
      </c>
      <c r="C2555" s="4" t="str" cm="1">
        <f t="array" ref="C2555">IFERROR(INDEX(EmployeeData[Full Name], ROW() - 37), "")</f>
        <v/>
      </c>
      <c r="D2555" s="4" t="str" cm="1">
        <f t="array" ref="D2555">IFERROR(INDEX(EmployeeData[Department], ROW() - 37), "")</f>
        <v/>
      </c>
      <c r="E2555" s="4" t="str" cm="1">
        <f t="array" ref="E2555">IFERROR(INDEX(EmployeeData[Gender], ROW() - 37), "")</f>
        <v/>
      </c>
      <c r="F2555" s="4" t="str" cm="1">
        <f t="array" ref="F2555">IFERROR(INDEX(EmployeeData[Age], ROW() - 37), "")</f>
        <v/>
      </c>
      <c r="G2555" s="6" t="str" cm="1">
        <f t="array" ref="G2555">IFERROR(INDEX(EmployeeData[Join Date], ROW() - 37), "")</f>
        <v/>
      </c>
      <c r="H2555" s="6" t="str" cm="1">
        <f t="array" ref="H2555">IFERROR(IF(INDEX(EmployeeData[Exit Date], ROW() - 37)=0, "",INDEX(EmployeeData[Exit Date], ROW() - 37)),"")</f>
        <v/>
      </c>
      <c r="I2555" s="4" t="str" cm="1">
        <f t="array" ref="I2555">IFERROR(IF(INDEX(EmployeeData[Exit Reason], ROW() - 37)=0, "",INDEX(EmployeeData[Exit Reason], ROW() - 37)),"")</f>
        <v/>
      </c>
      <c r="J2555" s="4" t="str" cm="1">
        <f t="array" ref="J2555">IFERROR(INDEX(EmployeeData[Status], ROW() - 37), "")</f>
        <v/>
      </c>
    </row>
    <row r="2556" spans="2:10" ht="19.95" customHeight="1" x14ac:dyDescent="0.3">
      <c r="B2556" s="4" t="str" cm="1">
        <f t="array" ref="B2556">IFERROR(INDEX(EmployeeData[Employee ID], ROW() - 37), "")</f>
        <v/>
      </c>
      <c r="C2556" s="4" t="str" cm="1">
        <f t="array" ref="C2556">IFERROR(INDEX(EmployeeData[Full Name], ROW() - 37), "")</f>
        <v/>
      </c>
      <c r="D2556" s="4" t="str" cm="1">
        <f t="array" ref="D2556">IFERROR(INDEX(EmployeeData[Department], ROW() - 37), "")</f>
        <v/>
      </c>
      <c r="E2556" s="4" t="str" cm="1">
        <f t="array" ref="E2556">IFERROR(INDEX(EmployeeData[Gender], ROW() - 37), "")</f>
        <v/>
      </c>
      <c r="F2556" s="4" t="str" cm="1">
        <f t="array" ref="F2556">IFERROR(INDEX(EmployeeData[Age], ROW() - 37), "")</f>
        <v/>
      </c>
      <c r="G2556" s="6" t="str" cm="1">
        <f t="array" ref="G2556">IFERROR(INDEX(EmployeeData[Join Date], ROW() - 37), "")</f>
        <v/>
      </c>
      <c r="H2556" s="6" t="str" cm="1">
        <f t="array" ref="H2556">IFERROR(IF(INDEX(EmployeeData[Exit Date], ROW() - 37)=0, "",INDEX(EmployeeData[Exit Date], ROW() - 37)),"")</f>
        <v/>
      </c>
      <c r="I2556" s="4" t="str" cm="1">
        <f t="array" ref="I2556">IFERROR(IF(INDEX(EmployeeData[Exit Reason], ROW() - 37)=0, "",INDEX(EmployeeData[Exit Reason], ROW() - 37)),"")</f>
        <v/>
      </c>
      <c r="J2556" s="4" t="str" cm="1">
        <f t="array" ref="J2556">IFERROR(INDEX(EmployeeData[Status], ROW() - 37), "")</f>
        <v/>
      </c>
    </row>
    <row r="2557" spans="2:10" ht="19.95" customHeight="1" x14ac:dyDescent="0.3">
      <c r="B2557" s="4" t="str" cm="1">
        <f t="array" ref="B2557">IFERROR(INDEX(EmployeeData[Employee ID], ROW() - 37), "")</f>
        <v/>
      </c>
      <c r="C2557" s="4" t="str" cm="1">
        <f t="array" ref="C2557">IFERROR(INDEX(EmployeeData[Full Name], ROW() - 37), "")</f>
        <v/>
      </c>
      <c r="D2557" s="4" t="str" cm="1">
        <f t="array" ref="D2557">IFERROR(INDEX(EmployeeData[Department], ROW() - 37), "")</f>
        <v/>
      </c>
      <c r="E2557" s="4" t="str" cm="1">
        <f t="array" ref="E2557">IFERROR(INDEX(EmployeeData[Gender], ROW() - 37), "")</f>
        <v/>
      </c>
      <c r="F2557" s="4" t="str" cm="1">
        <f t="array" ref="F2557">IFERROR(INDEX(EmployeeData[Age], ROW() - 37), "")</f>
        <v/>
      </c>
      <c r="G2557" s="6" t="str" cm="1">
        <f t="array" ref="G2557">IFERROR(INDEX(EmployeeData[Join Date], ROW() - 37), "")</f>
        <v/>
      </c>
      <c r="H2557" s="6" t="str" cm="1">
        <f t="array" ref="H2557">IFERROR(IF(INDEX(EmployeeData[Exit Date], ROW() - 37)=0, "",INDEX(EmployeeData[Exit Date], ROW() - 37)),"")</f>
        <v/>
      </c>
      <c r="I2557" s="4" t="str" cm="1">
        <f t="array" ref="I2557">IFERROR(IF(INDEX(EmployeeData[Exit Reason], ROW() - 37)=0, "",INDEX(EmployeeData[Exit Reason], ROW() - 37)),"")</f>
        <v/>
      </c>
      <c r="J2557" s="4" t="str" cm="1">
        <f t="array" ref="J2557">IFERROR(INDEX(EmployeeData[Status], ROW() - 37), "")</f>
        <v/>
      </c>
    </row>
    <row r="2558" spans="2:10" ht="19.95" customHeight="1" x14ac:dyDescent="0.3">
      <c r="B2558" s="4" t="str" cm="1">
        <f t="array" ref="B2558">IFERROR(INDEX(EmployeeData[Employee ID], ROW() - 37), "")</f>
        <v/>
      </c>
      <c r="C2558" s="4" t="str" cm="1">
        <f t="array" ref="C2558">IFERROR(INDEX(EmployeeData[Full Name], ROW() - 37), "")</f>
        <v/>
      </c>
      <c r="D2558" s="4" t="str" cm="1">
        <f t="array" ref="D2558">IFERROR(INDEX(EmployeeData[Department], ROW() - 37), "")</f>
        <v/>
      </c>
      <c r="E2558" s="4" t="str" cm="1">
        <f t="array" ref="E2558">IFERROR(INDEX(EmployeeData[Gender], ROW() - 37), "")</f>
        <v/>
      </c>
      <c r="F2558" s="4" t="str" cm="1">
        <f t="array" ref="F2558">IFERROR(INDEX(EmployeeData[Age], ROW() - 37), "")</f>
        <v/>
      </c>
      <c r="G2558" s="6" t="str" cm="1">
        <f t="array" ref="G2558">IFERROR(INDEX(EmployeeData[Join Date], ROW() - 37), "")</f>
        <v/>
      </c>
      <c r="H2558" s="6" t="str" cm="1">
        <f t="array" ref="H2558">IFERROR(IF(INDEX(EmployeeData[Exit Date], ROW() - 37)=0, "",INDEX(EmployeeData[Exit Date], ROW() - 37)),"")</f>
        <v/>
      </c>
      <c r="I2558" s="4" t="str" cm="1">
        <f t="array" ref="I2558">IFERROR(IF(INDEX(EmployeeData[Exit Reason], ROW() - 37)=0, "",INDEX(EmployeeData[Exit Reason], ROW() - 37)),"")</f>
        <v/>
      </c>
      <c r="J2558" s="4" t="str" cm="1">
        <f t="array" ref="J2558">IFERROR(INDEX(EmployeeData[Status], ROW() - 37), "")</f>
        <v/>
      </c>
    </row>
    <row r="2559" spans="2:10" ht="19.95" customHeight="1" x14ac:dyDescent="0.3">
      <c r="B2559" s="4" t="str" cm="1">
        <f t="array" ref="B2559">IFERROR(INDEX(EmployeeData[Employee ID], ROW() - 37), "")</f>
        <v/>
      </c>
      <c r="C2559" s="4" t="str" cm="1">
        <f t="array" ref="C2559">IFERROR(INDEX(EmployeeData[Full Name], ROW() - 37), "")</f>
        <v/>
      </c>
      <c r="D2559" s="4" t="str" cm="1">
        <f t="array" ref="D2559">IFERROR(INDEX(EmployeeData[Department], ROW() - 37), "")</f>
        <v/>
      </c>
      <c r="E2559" s="4" t="str" cm="1">
        <f t="array" ref="E2559">IFERROR(INDEX(EmployeeData[Gender], ROW() - 37), "")</f>
        <v/>
      </c>
      <c r="F2559" s="4" t="str" cm="1">
        <f t="array" ref="F2559">IFERROR(INDEX(EmployeeData[Age], ROW() - 37), "")</f>
        <v/>
      </c>
      <c r="G2559" s="6" t="str" cm="1">
        <f t="array" ref="G2559">IFERROR(INDEX(EmployeeData[Join Date], ROW() - 37), "")</f>
        <v/>
      </c>
      <c r="H2559" s="6" t="str" cm="1">
        <f t="array" ref="H2559">IFERROR(IF(INDEX(EmployeeData[Exit Date], ROW() - 37)=0, "",INDEX(EmployeeData[Exit Date], ROW() - 37)),"")</f>
        <v/>
      </c>
      <c r="I2559" s="4" t="str" cm="1">
        <f t="array" ref="I2559">IFERROR(IF(INDEX(EmployeeData[Exit Reason], ROW() - 37)=0, "",INDEX(EmployeeData[Exit Reason], ROW() - 37)),"")</f>
        <v/>
      </c>
      <c r="J2559" s="4" t="str" cm="1">
        <f t="array" ref="J2559">IFERROR(INDEX(EmployeeData[Status], ROW() - 37), "")</f>
        <v/>
      </c>
    </row>
    <row r="2560" spans="2:10" ht="19.95" customHeight="1" x14ac:dyDescent="0.3">
      <c r="B2560" s="4" t="str" cm="1">
        <f t="array" ref="B2560">IFERROR(INDEX(EmployeeData[Employee ID], ROW() - 37), "")</f>
        <v/>
      </c>
      <c r="C2560" s="4" t="str" cm="1">
        <f t="array" ref="C2560">IFERROR(INDEX(EmployeeData[Full Name], ROW() - 37), "")</f>
        <v/>
      </c>
      <c r="D2560" s="4" t="str" cm="1">
        <f t="array" ref="D2560">IFERROR(INDEX(EmployeeData[Department], ROW() - 37), "")</f>
        <v/>
      </c>
      <c r="E2560" s="4" t="str" cm="1">
        <f t="array" ref="E2560">IFERROR(INDEX(EmployeeData[Gender], ROW() - 37), "")</f>
        <v/>
      </c>
      <c r="F2560" s="4" t="str" cm="1">
        <f t="array" ref="F2560">IFERROR(INDEX(EmployeeData[Age], ROW() - 37), "")</f>
        <v/>
      </c>
      <c r="G2560" s="6" t="str" cm="1">
        <f t="array" ref="G2560">IFERROR(INDEX(EmployeeData[Join Date], ROW() - 37), "")</f>
        <v/>
      </c>
      <c r="H2560" s="6" t="str" cm="1">
        <f t="array" ref="H2560">IFERROR(IF(INDEX(EmployeeData[Exit Date], ROW() - 37)=0, "",INDEX(EmployeeData[Exit Date], ROW() - 37)),"")</f>
        <v/>
      </c>
      <c r="I2560" s="4" t="str" cm="1">
        <f t="array" ref="I2560">IFERROR(IF(INDEX(EmployeeData[Exit Reason], ROW() - 37)=0, "",INDEX(EmployeeData[Exit Reason], ROW() - 37)),"")</f>
        <v/>
      </c>
      <c r="J2560" s="4" t="str" cm="1">
        <f t="array" ref="J2560">IFERROR(INDEX(EmployeeData[Status], ROW() - 37), "")</f>
        <v/>
      </c>
    </row>
    <row r="2561" spans="2:10" ht="19.95" customHeight="1" x14ac:dyDescent="0.3">
      <c r="B2561" s="4" t="str" cm="1">
        <f t="array" ref="B2561">IFERROR(INDEX(EmployeeData[Employee ID], ROW() - 37), "")</f>
        <v/>
      </c>
      <c r="C2561" s="4" t="str" cm="1">
        <f t="array" ref="C2561">IFERROR(INDEX(EmployeeData[Full Name], ROW() - 37), "")</f>
        <v/>
      </c>
      <c r="D2561" s="4" t="str" cm="1">
        <f t="array" ref="D2561">IFERROR(INDEX(EmployeeData[Department], ROW() - 37), "")</f>
        <v/>
      </c>
      <c r="E2561" s="4" t="str" cm="1">
        <f t="array" ref="E2561">IFERROR(INDEX(EmployeeData[Gender], ROW() - 37), "")</f>
        <v/>
      </c>
      <c r="F2561" s="4" t="str" cm="1">
        <f t="array" ref="F2561">IFERROR(INDEX(EmployeeData[Age], ROW() - 37), "")</f>
        <v/>
      </c>
      <c r="G2561" s="6" t="str" cm="1">
        <f t="array" ref="G2561">IFERROR(INDEX(EmployeeData[Join Date], ROW() - 37), "")</f>
        <v/>
      </c>
      <c r="H2561" s="6" t="str" cm="1">
        <f t="array" ref="H2561">IFERROR(IF(INDEX(EmployeeData[Exit Date], ROW() - 37)=0, "",INDEX(EmployeeData[Exit Date], ROW() - 37)),"")</f>
        <v/>
      </c>
      <c r="I2561" s="4" t="str" cm="1">
        <f t="array" ref="I2561">IFERROR(IF(INDEX(EmployeeData[Exit Reason], ROW() - 37)=0, "",INDEX(EmployeeData[Exit Reason], ROW() - 37)),"")</f>
        <v/>
      </c>
      <c r="J2561" s="4" t="str" cm="1">
        <f t="array" ref="J2561">IFERROR(INDEX(EmployeeData[Status], ROW() - 37), "")</f>
        <v/>
      </c>
    </row>
    <row r="2562" spans="2:10" ht="19.95" customHeight="1" x14ac:dyDescent="0.3">
      <c r="B2562" s="4" t="str" cm="1">
        <f t="array" ref="B2562">IFERROR(INDEX(EmployeeData[Employee ID], ROW() - 37), "")</f>
        <v/>
      </c>
      <c r="C2562" s="4" t="str" cm="1">
        <f t="array" ref="C2562">IFERROR(INDEX(EmployeeData[Full Name], ROW() - 37), "")</f>
        <v/>
      </c>
      <c r="D2562" s="4" t="str" cm="1">
        <f t="array" ref="D2562">IFERROR(INDEX(EmployeeData[Department], ROW() - 37), "")</f>
        <v/>
      </c>
      <c r="E2562" s="4" t="str" cm="1">
        <f t="array" ref="E2562">IFERROR(INDEX(EmployeeData[Gender], ROW() - 37), "")</f>
        <v/>
      </c>
      <c r="F2562" s="4" t="str" cm="1">
        <f t="array" ref="F2562">IFERROR(INDEX(EmployeeData[Age], ROW() - 37), "")</f>
        <v/>
      </c>
      <c r="G2562" s="6" t="str" cm="1">
        <f t="array" ref="G2562">IFERROR(INDEX(EmployeeData[Join Date], ROW() - 37), "")</f>
        <v/>
      </c>
      <c r="H2562" s="6" t="str" cm="1">
        <f t="array" ref="H2562">IFERROR(IF(INDEX(EmployeeData[Exit Date], ROW() - 37)=0, "",INDEX(EmployeeData[Exit Date], ROW() - 37)),"")</f>
        <v/>
      </c>
      <c r="I2562" s="4" t="str" cm="1">
        <f t="array" ref="I2562">IFERROR(IF(INDEX(EmployeeData[Exit Reason], ROW() - 37)=0, "",INDEX(EmployeeData[Exit Reason], ROW() - 37)),"")</f>
        <v/>
      </c>
      <c r="J2562" s="4" t="str" cm="1">
        <f t="array" ref="J2562">IFERROR(INDEX(EmployeeData[Status], ROW() - 37), "")</f>
        <v/>
      </c>
    </row>
    <row r="2563" spans="2:10" ht="19.95" customHeight="1" x14ac:dyDescent="0.3">
      <c r="B2563" s="4" t="str" cm="1">
        <f t="array" ref="B2563">IFERROR(INDEX(EmployeeData[Employee ID], ROW() - 37), "")</f>
        <v/>
      </c>
      <c r="C2563" s="4" t="str" cm="1">
        <f t="array" ref="C2563">IFERROR(INDEX(EmployeeData[Full Name], ROW() - 37), "")</f>
        <v/>
      </c>
      <c r="D2563" s="4" t="str" cm="1">
        <f t="array" ref="D2563">IFERROR(INDEX(EmployeeData[Department], ROW() - 37), "")</f>
        <v/>
      </c>
      <c r="E2563" s="4" t="str" cm="1">
        <f t="array" ref="E2563">IFERROR(INDEX(EmployeeData[Gender], ROW() - 37), "")</f>
        <v/>
      </c>
      <c r="F2563" s="4" t="str" cm="1">
        <f t="array" ref="F2563">IFERROR(INDEX(EmployeeData[Age], ROW() - 37), "")</f>
        <v/>
      </c>
      <c r="G2563" s="6" t="str" cm="1">
        <f t="array" ref="G2563">IFERROR(INDEX(EmployeeData[Join Date], ROW() - 37), "")</f>
        <v/>
      </c>
      <c r="H2563" s="6" t="str" cm="1">
        <f t="array" ref="H2563">IFERROR(IF(INDEX(EmployeeData[Exit Date], ROW() - 37)=0, "",INDEX(EmployeeData[Exit Date], ROW() - 37)),"")</f>
        <v/>
      </c>
      <c r="I2563" s="4" t="str" cm="1">
        <f t="array" ref="I2563">IFERROR(IF(INDEX(EmployeeData[Exit Reason], ROW() - 37)=0, "",INDEX(EmployeeData[Exit Reason], ROW() - 37)),"")</f>
        <v/>
      </c>
      <c r="J2563" s="4" t="str" cm="1">
        <f t="array" ref="J2563">IFERROR(INDEX(EmployeeData[Status], ROW() - 37), "")</f>
        <v/>
      </c>
    </row>
    <row r="2564" spans="2:10" ht="19.95" customHeight="1" x14ac:dyDescent="0.3">
      <c r="B2564" s="4" t="str" cm="1">
        <f t="array" ref="B2564">IFERROR(INDEX(EmployeeData[Employee ID], ROW() - 37), "")</f>
        <v/>
      </c>
      <c r="C2564" s="4" t="str" cm="1">
        <f t="array" ref="C2564">IFERROR(INDEX(EmployeeData[Full Name], ROW() - 37), "")</f>
        <v/>
      </c>
      <c r="D2564" s="4" t="str" cm="1">
        <f t="array" ref="D2564">IFERROR(INDEX(EmployeeData[Department], ROW() - 37), "")</f>
        <v/>
      </c>
      <c r="E2564" s="4" t="str" cm="1">
        <f t="array" ref="E2564">IFERROR(INDEX(EmployeeData[Gender], ROW() - 37), "")</f>
        <v/>
      </c>
      <c r="F2564" s="4" t="str" cm="1">
        <f t="array" ref="F2564">IFERROR(INDEX(EmployeeData[Age], ROW() - 37), "")</f>
        <v/>
      </c>
      <c r="G2564" s="6" t="str" cm="1">
        <f t="array" ref="G2564">IFERROR(INDEX(EmployeeData[Join Date], ROW() - 37), "")</f>
        <v/>
      </c>
      <c r="H2564" s="6" t="str" cm="1">
        <f t="array" ref="H2564">IFERROR(IF(INDEX(EmployeeData[Exit Date], ROW() - 37)=0, "",INDEX(EmployeeData[Exit Date], ROW() - 37)),"")</f>
        <v/>
      </c>
      <c r="I2564" s="4" t="str" cm="1">
        <f t="array" ref="I2564">IFERROR(IF(INDEX(EmployeeData[Exit Reason], ROW() - 37)=0, "",INDEX(EmployeeData[Exit Reason], ROW() - 37)),"")</f>
        <v/>
      </c>
      <c r="J2564" s="4" t="str" cm="1">
        <f t="array" ref="J2564">IFERROR(INDEX(EmployeeData[Status], ROW() - 37), "")</f>
        <v/>
      </c>
    </row>
    <row r="2565" spans="2:10" ht="19.95" customHeight="1" x14ac:dyDescent="0.3">
      <c r="B2565" s="4" t="str" cm="1">
        <f t="array" ref="B2565">IFERROR(INDEX(EmployeeData[Employee ID], ROW() - 37), "")</f>
        <v/>
      </c>
      <c r="C2565" s="4" t="str" cm="1">
        <f t="array" ref="C2565">IFERROR(INDEX(EmployeeData[Full Name], ROW() - 37), "")</f>
        <v/>
      </c>
      <c r="D2565" s="4" t="str" cm="1">
        <f t="array" ref="D2565">IFERROR(INDEX(EmployeeData[Department], ROW() - 37), "")</f>
        <v/>
      </c>
      <c r="E2565" s="4" t="str" cm="1">
        <f t="array" ref="E2565">IFERROR(INDEX(EmployeeData[Gender], ROW() - 37), "")</f>
        <v/>
      </c>
      <c r="F2565" s="4" t="str" cm="1">
        <f t="array" ref="F2565">IFERROR(INDEX(EmployeeData[Age], ROW() - 37), "")</f>
        <v/>
      </c>
      <c r="G2565" s="6" t="str" cm="1">
        <f t="array" ref="G2565">IFERROR(INDEX(EmployeeData[Join Date], ROW() - 37), "")</f>
        <v/>
      </c>
      <c r="H2565" s="6" t="str" cm="1">
        <f t="array" ref="H2565">IFERROR(IF(INDEX(EmployeeData[Exit Date], ROW() - 37)=0, "",INDEX(EmployeeData[Exit Date], ROW() - 37)),"")</f>
        <v/>
      </c>
      <c r="I2565" s="4" t="str" cm="1">
        <f t="array" ref="I2565">IFERROR(IF(INDEX(EmployeeData[Exit Reason], ROW() - 37)=0, "",INDEX(EmployeeData[Exit Reason], ROW() - 37)),"")</f>
        <v/>
      </c>
      <c r="J2565" s="4" t="str" cm="1">
        <f t="array" ref="J2565">IFERROR(INDEX(EmployeeData[Status], ROW() - 37), "")</f>
        <v/>
      </c>
    </row>
    <row r="2566" spans="2:10" ht="19.95" customHeight="1" x14ac:dyDescent="0.3">
      <c r="B2566" s="4" t="str" cm="1">
        <f t="array" ref="B2566">IFERROR(INDEX(EmployeeData[Employee ID], ROW() - 37), "")</f>
        <v/>
      </c>
      <c r="C2566" s="4" t="str" cm="1">
        <f t="array" ref="C2566">IFERROR(INDEX(EmployeeData[Full Name], ROW() - 37), "")</f>
        <v/>
      </c>
      <c r="D2566" s="4" t="str" cm="1">
        <f t="array" ref="D2566">IFERROR(INDEX(EmployeeData[Department], ROW() - 37), "")</f>
        <v/>
      </c>
      <c r="E2566" s="4" t="str" cm="1">
        <f t="array" ref="E2566">IFERROR(INDEX(EmployeeData[Gender], ROW() - 37), "")</f>
        <v/>
      </c>
      <c r="F2566" s="4" t="str" cm="1">
        <f t="array" ref="F2566">IFERROR(INDEX(EmployeeData[Age], ROW() - 37), "")</f>
        <v/>
      </c>
      <c r="G2566" s="6" t="str" cm="1">
        <f t="array" ref="G2566">IFERROR(INDEX(EmployeeData[Join Date], ROW() - 37), "")</f>
        <v/>
      </c>
      <c r="H2566" s="6" t="str" cm="1">
        <f t="array" ref="H2566">IFERROR(IF(INDEX(EmployeeData[Exit Date], ROW() - 37)=0, "",INDEX(EmployeeData[Exit Date], ROW() - 37)),"")</f>
        <v/>
      </c>
      <c r="I2566" s="4" t="str" cm="1">
        <f t="array" ref="I2566">IFERROR(IF(INDEX(EmployeeData[Exit Reason], ROW() - 37)=0, "",INDEX(EmployeeData[Exit Reason], ROW() - 37)),"")</f>
        <v/>
      </c>
      <c r="J2566" s="4" t="str" cm="1">
        <f t="array" ref="J2566">IFERROR(INDEX(EmployeeData[Status], ROW() - 37), "")</f>
        <v/>
      </c>
    </row>
    <row r="2567" spans="2:10" ht="19.95" customHeight="1" x14ac:dyDescent="0.3">
      <c r="B2567" s="4" t="str" cm="1">
        <f t="array" ref="B2567">IFERROR(INDEX(EmployeeData[Employee ID], ROW() - 37), "")</f>
        <v/>
      </c>
      <c r="C2567" s="4" t="str" cm="1">
        <f t="array" ref="C2567">IFERROR(INDEX(EmployeeData[Full Name], ROW() - 37), "")</f>
        <v/>
      </c>
      <c r="D2567" s="4" t="str" cm="1">
        <f t="array" ref="D2567">IFERROR(INDEX(EmployeeData[Department], ROW() - 37), "")</f>
        <v/>
      </c>
      <c r="E2567" s="4" t="str" cm="1">
        <f t="array" ref="E2567">IFERROR(INDEX(EmployeeData[Gender], ROW() - 37), "")</f>
        <v/>
      </c>
      <c r="F2567" s="4" t="str" cm="1">
        <f t="array" ref="F2567">IFERROR(INDEX(EmployeeData[Age], ROW() - 37), "")</f>
        <v/>
      </c>
      <c r="G2567" s="6" t="str" cm="1">
        <f t="array" ref="G2567">IFERROR(INDEX(EmployeeData[Join Date], ROW() - 37), "")</f>
        <v/>
      </c>
      <c r="H2567" s="6" t="str" cm="1">
        <f t="array" ref="H2567">IFERROR(IF(INDEX(EmployeeData[Exit Date], ROW() - 37)=0, "",INDEX(EmployeeData[Exit Date], ROW() - 37)),"")</f>
        <v/>
      </c>
      <c r="I2567" s="4" t="str" cm="1">
        <f t="array" ref="I2567">IFERROR(IF(INDEX(EmployeeData[Exit Reason], ROW() - 37)=0, "",INDEX(EmployeeData[Exit Reason], ROW() - 37)),"")</f>
        <v/>
      </c>
      <c r="J2567" s="4" t="str" cm="1">
        <f t="array" ref="J2567">IFERROR(INDEX(EmployeeData[Status], ROW() - 37), "")</f>
        <v/>
      </c>
    </row>
    <row r="2568" spans="2:10" ht="19.95" customHeight="1" x14ac:dyDescent="0.3">
      <c r="B2568" s="4" t="str" cm="1">
        <f t="array" ref="B2568">IFERROR(INDEX(EmployeeData[Employee ID], ROW() - 37), "")</f>
        <v/>
      </c>
      <c r="C2568" s="4" t="str" cm="1">
        <f t="array" ref="C2568">IFERROR(INDEX(EmployeeData[Full Name], ROW() - 37), "")</f>
        <v/>
      </c>
      <c r="D2568" s="4" t="str" cm="1">
        <f t="array" ref="D2568">IFERROR(INDEX(EmployeeData[Department], ROW() - 37), "")</f>
        <v/>
      </c>
      <c r="E2568" s="4" t="str" cm="1">
        <f t="array" ref="E2568">IFERROR(INDEX(EmployeeData[Gender], ROW() - 37), "")</f>
        <v/>
      </c>
      <c r="F2568" s="4" t="str" cm="1">
        <f t="array" ref="F2568">IFERROR(INDEX(EmployeeData[Age], ROW() - 37), "")</f>
        <v/>
      </c>
      <c r="G2568" s="6" t="str" cm="1">
        <f t="array" ref="G2568">IFERROR(INDEX(EmployeeData[Join Date], ROW() - 37), "")</f>
        <v/>
      </c>
      <c r="H2568" s="6" t="str" cm="1">
        <f t="array" ref="H2568">IFERROR(IF(INDEX(EmployeeData[Exit Date], ROW() - 37)=0, "",INDEX(EmployeeData[Exit Date], ROW() - 37)),"")</f>
        <v/>
      </c>
      <c r="I2568" s="4" t="str" cm="1">
        <f t="array" ref="I2568">IFERROR(IF(INDEX(EmployeeData[Exit Reason], ROW() - 37)=0, "",INDEX(EmployeeData[Exit Reason], ROW() - 37)),"")</f>
        <v/>
      </c>
      <c r="J2568" s="4" t="str" cm="1">
        <f t="array" ref="J2568">IFERROR(INDEX(EmployeeData[Status], ROW() - 37), "")</f>
        <v/>
      </c>
    </row>
    <row r="2569" spans="2:10" ht="19.95" customHeight="1" x14ac:dyDescent="0.3">
      <c r="B2569" s="4" t="str" cm="1">
        <f t="array" ref="B2569">IFERROR(INDEX(EmployeeData[Employee ID], ROW() - 37), "")</f>
        <v/>
      </c>
      <c r="C2569" s="4" t="str" cm="1">
        <f t="array" ref="C2569">IFERROR(INDEX(EmployeeData[Full Name], ROW() - 37), "")</f>
        <v/>
      </c>
      <c r="D2569" s="4" t="str" cm="1">
        <f t="array" ref="D2569">IFERROR(INDEX(EmployeeData[Department], ROW() - 37), "")</f>
        <v/>
      </c>
      <c r="E2569" s="4" t="str" cm="1">
        <f t="array" ref="E2569">IFERROR(INDEX(EmployeeData[Gender], ROW() - 37), "")</f>
        <v/>
      </c>
      <c r="F2569" s="4" t="str" cm="1">
        <f t="array" ref="F2569">IFERROR(INDEX(EmployeeData[Age], ROW() - 37), "")</f>
        <v/>
      </c>
      <c r="G2569" s="6" t="str" cm="1">
        <f t="array" ref="G2569">IFERROR(INDEX(EmployeeData[Join Date], ROW() - 37), "")</f>
        <v/>
      </c>
      <c r="H2569" s="6" t="str" cm="1">
        <f t="array" ref="H2569">IFERROR(IF(INDEX(EmployeeData[Exit Date], ROW() - 37)=0, "",INDEX(EmployeeData[Exit Date], ROW() - 37)),"")</f>
        <v/>
      </c>
      <c r="I2569" s="4" t="str" cm="1">
        <f t="array" ref="I2569">IFERROR(IF(INDEX(EmployeeData[Exit Reason], ROW() - 37)=0, "",INDEX(EmployeeData[Exit Reason], ROW() - 37)),"")</f>
        <v/>
      </c>
      <c r="J2569" s="4" t="str" cm="1">
        <f t="array" ref="J2569">IFERROR(INDEX(EmployeeData[Status], ROW() - 37), "")</f>
        <v/>
      </c>
    </row>
    <row r="2570" spans="2:10" ht="19.95" customHeight="1" x14ac:dyDescent="0.3">
      <c r="B2570" s="4" t="str" cm="1">
        <f t="array" ref="B2570">IFERROR(INDEX(EmployeeData[Employee ID], ROW() - 37), "")</f>
        <v/>
      </c>
      <c r="C2570" s="4" t="str" cm="1">
        <f t="array" ref="C2570">IFERROR(INDEX(EmployeeData[Full Name], ROW() - 37), "")</f>
        <v/>
      </c>
      <c r="D2570" s="4" t="str" cm="1">
        <f t="array" ref="D2570">IFERROR(INDEX(EmployeeData[Department], ROW() - 37), "")</f>
        <v/>
      </c>
      <c r="E2570" s="4" t="str" cm="1">
        <f t="array" ref="E2570">IFERROR(INDEX(EmployeeData[Gender], ROW() - 37), "")</f>
        <v/>
      </c>
      <c r="F2570" s="4" t="str" cm="1">
        <f t="array" ref="F2570">IFERROR(INDEX(EmployeeData[Age], ROW() - 37), "")</f>
        <v/>
      </c>
      <c r="G2570" s="6" t="str" cm="1">
        <f t="array" ref="G2570">IFERROR(INDEX(EmployeeData[Join Date], ROW() - 37), "")</f>
        <v/>
      </c>
      <c r="H2570" s="6" t="str" cm="1">
        <f t="array" ref="H2570">IFERROR(IF(INDEX(EmployeeData[Exit Date], ROW() - 37)=0, "",INDEX(EmployeeData[Exit Date], ROW() - 37)),"")</f>
        <v/>
      </c>
      <c r="I2570" s="4" t="str" cm="1">
        <f t="array" ref="I2570">IFERROR(IF(INDEX(EmployeeData[Exit Reason], ROW() - 37)=0, "",INDEX(EmployeeData[Exit Reason], ROW() - 37)),"")</f>
        <v/>
      </c>
      <c r="J2570" s="4" t="str" cm="1">
        <f t="array" ref="J2570">IFERROR(INDEX(EmployeeData[Status], ROW() - 37), "")</f>
        <v/>
      </c>
    </row>
    <row r="2571" spans="2:10" ht="19.95" customHeight="1" x14ac:dyDescent="0.3">
      <c r="B2571" s="4" t="str" cm="1">
        <f t="array" ref="B2571">IFERROR(INDEX(EmployeeData[Employee ID], ROW() - 37), "")</f>
        <v/>
      </c>
      <c r="C2571" s="4" t="str" cm="1">
        <f t="array" ref="C2571">IFERROR(INDEX(EmployeeData[Full Name], ROW() - 37), "")</f>
        <v/>
      </c>
      <c r="D2571" s="4" t="str" cm="1">
        <f t="array" ref="D2571">IFERROR(INDEX(EmployeeData[Department], ROW() - 37), "")</f>
        <v/>
      </c>
      <c r="E2571" s="4" t="str" cm="1">
        <f t="array" ref="E2571">IFERROR(INDEX(EmployeeData[Gender], ROW() - 37), "")</f>
        <v/>
      </c>
      <c r="F2571" s="4" t="str" cm="1">
        <f t="array" ref="F2571">IFERROR(INDEX(EmployeeData[Age], ROW() - 37), "")</f>
        <v/>
      </c>
      <c r="G2571" s="6" t="str" cm="1">
        <f t="array" ref="G2571">IFERROR(INDEX(EmployeeData[Join Date], ROW() - 37), "")</f>
        <v/>
      </c>
      <c r="H2571" s="6" t="str" cm="1">
        <f t="array" ref="H2571">IFERROR(IF(INDEX(EmployeeData[Exit Date], ROW() - 37)=0, "",INDEX(EmployeeData[Exit Date], ROW() - 37)),"")</f>
        <v/>
      </c>
      <c r="I2571" s="4" t="str" cm="1">
        <f t="array" ref="I2571">IFERROR(IF(INDEX(EmployeeData[Exit Reason], ROW() - 37)=0, "",INDEX(EmployeeData[Exit Reason], ROW() - 37)),"")</f>
        <v/>
      </c>
      <c r="J2571" s="4" t="str" cm="1">
        <f t="array" ref="J2571">IFERROR(INDEX(EmployeeData[Status], ROW() - 37), "")</f>
        <v/>
      </c>
    </row>
    <row r="2572" spans="2:10" ht="19.95" customHeight="1" x14ac:dyDescent="0.3">
      <c r="B2572" s="4" t="str" cm="1">
        <f t="array" ref="B2572">IFERROR(INDEX(EmployeeData[Employee ID], ROW() - 37), "")</f>
        <v/>
      </c>
      <c r="C2572" s="4" t="str" cm="1">
        <f t="array" ref="C2572">IFERROR(INDEX(EmployeeData[Full Name], ROW() - 37), "")</f>
        <v/>
      </c>
      <c r="D2572" s="4" t="str" cm="1">
        <f t="array" ref="D2572">IFERROR(INDEX(EmployeeData[Department], ROW() - 37), "")</f>
        <v/>
      </c>
      <c r="E2572" s="4" t="str" cm="1">
        <f t="array" ref="E2572">IFERROR(INDEX(EmployeeData[Gender], ROW() - 37), "")</f>
        <v/>
      </c>
      <c r="F2572" s="4" t="str" cm="1">
        <f t="array" ref="F2572">IFERROR(INDEX(EmployeeData[Age], ROW() - 37), "")</f>
        <v/>
      </c>
      <c r="G2572" s="6" t="str" cm="1">
        <f t="array" ref="G2572">IFERROR(INDEX(EmployeeData[Join Date], ROW() - 37), "")</f>
        <v/>
      </c>
      <c r="H2572" s="6" t="str" cm="1">
        <f t="array" ref="H2572">IFERROR(IF(INDEX(EmployeeData[Exit Date], ROW() - 37)=0, "",INDEX(EmployeeData[Exit Date], ROW() - 37)),"")</f>
        <v/>
      </c>
      <c r="I2572" s="4" t="str" cm="1">
        <f t="array" ref="I2572">IFERROR(IF(INDEX(EmployeeData[Exit Reason], ROW() - 37)=0, "",INDEX(EmployeeData[Exit Reason], ROW() - 37)),"")</f>
        <v/>
      </c>
      <c r="J2572" s="4" t="str" cm="1">
        <f t="array" ref="J2572">IFERROR(INDEX(EmployeeData[Status], ROW() - 37), "")</f>
        <v/>
      </c>
    </row>
    <row r="2573" spans="2:10" ht="19.95" customHeight="1" x14ac:dyDescent="0.3">
      <c r="B2573" s="4" t="str" cm="1">
        <f t="array" ref="B2573">IFERROR(INDEX(EmployeeData[Employee ID], ROW() - 37), "")</f>
        <v/>
      </c>
      <c r="C2573" s="4" t="str" cm="1">
        <f t="array" ref="C2573">IFERROR(INDEX(EmployeeData[Full Name], ROW() - 37), "")</f>
        <v/>
      </c>
      <c r="D2573" s="4" t="str" cm="1">
        <f t="array" ref="D2573">IFERROR(INDEX(EmployeeData[Department], ROW() - 37), "")</f>
        <v/>
      </c>
      <c r="E2573" s="4" t="str" cm="1">
        <f t="array" ref="E2573">IFERROR(INDEX(EmployeeData[Gender], ROW() - 37), "")</f>
        <v/>
      </c>
      <c r="F2573" s="4" t="str" cm="1">
        <f t="array" ref="F2573">IFERROR(INDEX(EmployeeData[Age], ROW() - 37), "")</f>
        <v/>
      </c>
      <c r="G2573" s="6" t="str" cm="1">
        <f t="array" ref="G2573">IFERROR(INDEX(EmployeeData[Join Date], ROW() - 37), "")</f>
        <v/>
      </c>
      <c r="H2573" s="6" t="str" cm="1">
        <f t="array" ref="H2573">IFERROR(IF(INDEX(EmployeeData[Exit Date], ROW() - 37)=0, "",INDEX(EmployeeData[Exit Date], ROW() - 37)),"")</f>
        <v/>
      </c>
      <c r="I2573" s="4" t="str" cm="1">
        <f t="array" ref="I2573">IFERROR(IF(INDEX(EmployeeData[Exit Reason], ROW() - 37)=0, "",INDEX(EmployeeData[Exit Reason], ROW() - 37)),"")</f>
        <v/>
      </c>
      <c r="J2573" s="4" t="str" cm="1">
        <f t="array" ref="J2573">IFERROR(INDEX(EmployeeData[Status], ROW() - 37), "")</f>
        <v/>
      </c>
    </row>
    <row r="2574" spans="2:10" ht="19.95" customHeight="1" x14ac:dyDescent="0.3">
      <c r="B2574" s="4" t="str" cm="1">
        <f t="array" ref="B2574">IFERROR(INDEX(EmployeeData[Employee ID], ROW() - 37), "")</f>
        <v/>
      </c>
      <c r="C2574" s="4" t="str" cm="1">
        <f t="array" ref="C2574">IFERROR(INDEX(EmployeeData[Full Name], ROW() - 37), "")</f>
        <v/>
      </c>
      <c r="D2574" s="4" t="str" cm="1">
        <f t="array" ref="D2574">IFERROR(INDEX(EmployeeData[Department], ROW() - 37), "")</f>
        <v/>
      </c>
      <c r="E2574" s="4" t="str" cm="1">
        <f t="array" ref="E2574">IFERROR(INDEX(EmployeeData[Gender], ROW() - 37), "")</f>
        <v/>
      </c>
      <c r="F2574" s="4" t="str" cm="1">
        <f t="array" ref="F2574">IFERROR(INDEX(EmployeeData[Age], ROW() - 37), "")</f>
        <v/>
      </c>
      <c r="G2574" s="6" t="str" cm="1">
        <f t="array" ref="G2574">IFERROR(INDEX(EmployeeData[Join Date], ROW() - 37), "")</f>
        <v/>
      </c>
      <c r="H2574" s="6" t="str" cm="1">
        <f t="array" ref="H2574">IFERROR(IF(INDEX(EmployeeData[Exit Date], ROW() - 37)=0, "",INDEX(EmployeeData[Exit Date], ROW() - 37)),"")</f>
        <v/>
      </c>
      <c r="I2574" s="4" t="str" cm="1">
        <f t="array" ref="I2574">IFERROR(IF(INDEX(EmployeeData[Exit Reason], ROW() - 37)=0, "",INDEX(EmployeeData[Exit Reason], ROW() - 37)),"")</f>
        <v/>
      </c>
      <c r="J2574" s="4" t="str" cm="1">
        <f t="array" ref="J2574">IFERROR(INDEX(EmployeeData[Status], ROW() - 37), "")</f>
        <v/>
      </c>
    </row>
    <row r="2575" spans="2:10" ht="19.95" customHeight="1" x14ac:dyDescent="0.3">
      <c r="B2575" s="4" t="str" cm="1">
        <f t="array" ref="B2575">IFERROR(INDEX(EmployeeData[Employee ID], ROW() - 37), "")</f>
        <v/>
      </c>
      <c r="C2575" s="4" t="str" cm="1">
        <f t="array" ref="C2575">IFERROR(INDEX(EmployeeData[Full Name], ROW() - 37), "")</f>
        <v/>
      </c>
      <c r="D2575" s="4" t="str" cm="1">
        <f t="array" ref="D2575">IFERROR(INDEX(EmployeeData[Department], ROW() - 37), "")</f>
        <v/>
      </c>
      <c r="E2575" s="4" t="str" cm="1">
        <f t="array" ref="E2575">IFERROR(INDEX(EmployeeData[Gender], ROW() - 37), "")</f>
        <v/>
      </c>
      <c r="F2575" s="4" t="str" cm="1">
        <f t="array" ref="F2575">IFERROR(INDEX(EmployeeData[Age], ROW() - 37), "")</f>
        <v/>
      </c>
      <c r="G2575" s="6" t="str" cm="1">
        <f t="array" ref="G2575">IFERROR(INDEX(EmployeeData[Join Date], ROW() - 37), "")</f>
        <v/>
      </c>
      <c r="H2575" s="6" t="str" cm="1">
        <f t="array" ref="H2575">IFERROR(IF(INDEX(EmployeeData[Exit Date], ROW() - 37)=0, "",INDEX(EmployeeData[Exit Date], ROW() - 37)),"")</f>
        <v/>
      </c>
      <c r="I2575" s="4" t="str" cm="1">
        <f t="array" ref="I2575">IFERROR(IF(INDEX(EmployeeData[Exit Reason], ROW() - 37)=0, "",INDEX(EmployeeData[Exit Reason], ROW() - 37)),"")</f>
        <v/>
      </c>
      <c r="J2575" s="4" t="str" cm="1">
        <f t="array" ref="J2575">IFERROR(INDEX(EmployeeData[Status], ROW() - 37), "")</f>
        <v/>
      </c>
    </row>
    <row r="2576" spans="2:10" ht="19.95" customHeight="1" x14ac:dyDescent="0.3">
      <c r="B2576" s="4" t="str" cm="1">
        <f t="array" ref="B2576">IFERROR(INDEX(EmployeeData[Employee ID], ROW() - 37), "")</f>
        <v/>
      </c>
      <c r="C2576" s="4" t="str" cm="1">
        <f t="array" ref="C2576">IFERROR(INDEX(EmployeeData[Full Name], ROW() - 37), "")</f>
        <v/>
      </c>
      <c r="D2576" s="4" t="str" cm="1">
        <f t="array" ref="D2576">IFERROR(INDEX(EmployeeData[Department], ROW() - 37), "")</f>
        <v/>
      </c>
      <c r="E2576" s="4" t="str" cm="1">
        <f t="array" ref="E2576">IFERROR(INDEX(EmployeeData[Gender], ROW() - 37), "")</f>
        <v/>
      </c>
      <c r="F2576" s="4" t="str" cm="1">
        <f t="array" ref="F2576">IFERROR(INDEX(EmployeeData[Age], ROW() - 37), "")</f>
        <v/>
      </c>
      <c r="G2576" s="6" t="str" cm="1">
        <f t="array" ref="G2576">IFERROR(INDEX(EmployeeData[Join Date], ROW() - 37), "")</f>
        <v/>
      </c>
      <c r="H2576" s="6" t="str" cm="1">
        <f t="array" ref="H2576">IFERROR(IF(INDEX(EmployeeData[Exit Date], ROW() - 37)=0, "",INDEX(EmployeeData[Exit Date], ROW() - 37)),"")</f>
        <v/>
      </c>
      <c r="I2576" s="4" t="str" cm="1">
        <f t="array" ref="I2576">IFERROR(IF(INDEX(EmployeeData[Exit Reason], ROW() - 37)=0, "",INDEX(EmployeeData[Exit Reason], ROW() - 37)),"")</f>
        <v/>
      </c>
      <c r="J2576" s="4" t="str" cm="1">
        <f t="array" ref="J2576">IFERROR(INDEX(EmployeeData[Status], ROW() - 37), "")</f>
        <v/>
      </c>
    </row>
    <row r="2577" spans="2:10" ht="19.95" customHeight="1" x14ac:dyDescent="0.3">
      <c r="B2577" s="4" t="str" cm="1">
        <f t="array" ref="B2577">IFERROR(INDEX(EmployeeData[Employee ID], ROW() - 37), "")</f>
        <v/>
      </c>
      <c r="C2577" s="4" t="str" cm="1">
        <f t="array" ref="C2577">IFERROR(INDEX(EmployeeData[Full Name], ROW() - 37), "")</f>
        <v/>
      </c>
      <c r="D2577" s="4" t="str" cm="1">
        <f t="array" ref="D2577">IFERROR(INDEX(EmployeeData[Department], ROW() - 37), "")</f>
        <v/>
      </c>
      <c r="E2577" s="4" t="str" cm="1">
        <f t="array" ref="E2577">IFERROR(INDEX(EmployeeData[Gender], ROW() - 37), "")</f>
        <v/>
      </c>
      <c r="F2577" s="4" t="str" cm="1">
        <f t="array" ref="F2577">IFERROR(INDEX(EmployeeData[Age], ROW() - 37), "")</f>
        <v/>
      </c>
      <c r="G2577" s="6" t="str" cm="1">
        <f t="array" ref="G2577">IFERROR(INDEX(EmployeeData[Join Date], ROW() - 37), "")</f>
        <v/>
      </c>
      <c r="H2577" s="6" t="str" cm="1">
        <f t="array" ref="H2577">IFERROR(IF(INDEX(EmployeeData[Exit Date], ROW() - 37)=0, "",INDEX(EmployeeData[Exit Date], ROW() - 37)),"")</f>
        <v/>
      </c>
      <c r="I2577" s="4" t="str" cm="1">
        <f t="array" ref="I2577">IFERROR(IF(INDEX(EmployeeData[Exit Reason], ROW() - 37)=0, "",INDEX(EmployeeData[Exit Reason], ROW() - 37)),"")</f>
        <v/>
      </c>
      <c r="J2577" s="4" t="str" cm="1">
        <f t="array" ref="J2577">IFERROR(INDEX(EmployeeData[Status], ROW() - 37), "")</f>
        <v/>
      </c>
    </row>
    <row r="2578" spans="2:10" ht="19.95" customHeight="1" x14ac:dyDescent="0.3">
      <c r="B2578" s="4" t="str" cm="1">
        <f t="array" ref="B2578">IFERROR(INDEX(EmployeeData[Employee ID], ROW() - 37), "")</f>
        <v/>
      </c>
      <c r="C2578" s="4" t="str" cm="1">
        <f t="array" ref="C2578">IFERROR(INDEX(EmployeeData[Full Name], ROW() - 37), "")</f>
        <v/>
      </c>
      <c r="D2578" s="4" t="str" cm="1">
        <f t="array" ref="D2578">IFERROR(INDEX(EmployeeData[Department], ROW() - 37), "")</f>
        <v/>
      </c>
      <c r="E2578" s="4" t="str" cm="1">
        <f t="array" ref="E2578">IFERROR(INDEX(EmployeeData[Gender], ROW() - 37), "")</f>
        <v/>
      </c>
      <c r="F2578" s="4" t="str" cm="1">
        <f t="array" ref="F2578">IFERROR(INDEX(EmployeeData[Age], ROW() - 37), "")</f>
        <v/>
      </c>
      <c r="G2578" s="6" t="str" cm="1">
        <f t="array" ref="G2578">IFERROR(INDEX(EmployeeData[Join Date], ROW() - 37), "")</f>
        <v/>
      </c>
      <c r="H2578" s="6" t="str" cm="1">
        <f t="array" ref="H2578">IFERROR(IF(INDEX(EmployeeData[Exit Date], ROW() - 37)=0, "",INDEX(EmployeeData[Exit Date], ROW() - 37)),"")</f>
        <v/>
      </c>
      <c r="I2578" s="4" t="str" cm="1">
        <f t="array" ref="I2578">IFERROR(IF(INDEX(EmployeeData[Exit Reason], ROW() - 37)=0, "",INDEX(EmployeeData[Exit Reason], ROW() - 37)),"")</f>
        <v/>
      </c>
      <c r="J2578" s="4" t="str" cm="1">
        <f t="array" ref="J2578">IFERROR(INDEX(EmployeeData[Status], ROW() - 37), "")</f>
        <v/>
      </c>
    </row>
    <row r="2579" spans="2:10" ht="19.95" customHeight="1" x14ac:dyDescent="0.3">
      <c r="B2579" s="4" t="str" cm="1">
        <f t="array" ref="B2579">IFERROR(INDEX(EmployeeData[Employee ID], ROW() - 37), "")</f>
        <v/>
      </c>
      <c r="C2579" s="4" t="str" cm="1">
        <f t="array" ref="C2579">IFERROR(INDEX(EmployeeData[Full Name], ROW() - 37), "")</f>
        <v/>
      </c>
      <c r="D2579" s="4" t="str" cm="1">
        <f t="array" ref="D2579">IFERROR(INDEX(EmployeeData[Department], ROW() - 37), "")</f>
        <v/>
      </c>
      <c r="E2579" s="4" t="str" cm="1">
        <f t="array" ref="E2579">IFERROR(INDEX(EmployeeData[Gender], ROW() - 37), "")</f>
        <v/>
      </c>
      <c r="F2579" s="4" t="str" cm="1">
        <f t="array" ref="F2579">IFERROR(INDEX(EmployeeData[Age], ROW() - 37), "")</f>
        <v/>
      </c>
      <c r="G2579" s="6" t="str" cm="1">
        <f t="array" ref="G2579">IFERROR(INDEX(EmployeeData[Join Date], ROW() - 37), "")</f>
        <v/>
      </c>
      <c r="H2579" s="6" t="str" cm="1">
        <f t="array" ref="H2579">IFERROR(IF(INDEX(EmployeeData[Exit Date], ROW() - 37)=0, "",INDEX(EmployeeData[Exit Date], ROW() - 37)),"")</f>
        <v/>
      </c>
      <c r="I2579" s="4" t="str" cm="1">
        <f t="array" ref="I2579">IFERROR(IF(INDEX(EmployeeData[Exit Reason], ROW() - 37)=0, "",INDEX(EmployeeData[Exit Reason], ROW() - 37)),"")</f>
        <v/>
      </c>
      <c r="J2579" s="4" t="str" cm="1">
        <f t="array" ref="J2579">IFERROR(INDEX(EmployeeData[Status], ROW() - 37), "")</f>
        <v/>
      </c>
    </row>
    <row r="2580" spans="2:10" ht="19.95" customHeight="1" x14ac:dyDescent="0.3">
      <c r="B2580" s="4" t="str" cm="1">
        <f t="array" ref="B2580">IFERROR(INDEX(EmployeeData[Employee ID], ROW() - 37), "")</f>
        <v/>
      </c>
      <c r="C2580" s="4" t="str" cm="1">
        <f t="array" ref="C2580">IFERROR(INDEX(EmployeeData[Full Name], ROW() - 37), "")</f>
        <v/>
      </c>
      <c r="D2580" s="4" t="str" cm="1">
        <f t="array" ref="D2580">IFERROR(INDEX(EmployeeData[Department], ROW() - 37), "")</f>
        <v/>
      </c>
      <c r="E2580" s="4" t="str" cm="1">
        <f t="array" ref="E2580">IFERROR(INDEX(EmployeeData[Gender], ROW() - 37), "")</f>
        <v/>
      </c>
      <c r="F2580" s="4" t="str" cm="1">
        <f t="array" ref="F2580">IFERROR(INDEX(EmployeeData[Age], ROW() - 37), "")</f>
        <v/>
      </c>
      <c r="G2580" s="6" t="str" cm="1">
        <f t="array" ref="G2580">IFERROR(INDEX(EmployeeData[Join Date], ROW() - 37), "")</f>
        <v/>
      </c>
      <c r="H2580" s="6" t="str" cm="1">
        <f t="array" ref="H2580">IFERROR(IF(INDEX(EmployeeData[Exit Date], ROW() - 37)=0, "",INDEX(EmployeeData[Exit Date], ROW() - 37)),"")</f>
        <v/>
      </c>
      <c r="I2580" s="4" t="str" cm="1">
        <f t="array" ref="I2580">IFERROR(IF(INDEX(EmployeeData[Exit Reason], ROW() - 37)=0, "",INDEX(EmployeeData[Exit Reason], ROW() - 37)),"")</f>
        <v/>
      </c>
      <c r="J2580" s="4" t="str" cm="1">
        <f t="array" ref="J2580">IFERROR(INDEX(EmployeeData[Status], ROW() - 37), "")</f>
        <v/>
      </c>
    </row>
    <row r="2581" spans="2:10" ht="19.95" customHeight="1" x14ac:dyDescent="0.3">
      <c r="B2581" s="4" t="str" cm="1">
        <f t="array" ref="B2581">IFERROR(INDEX(EmployeeData[Employee ID], ROW() - 37), "")</f>
        <v/>
      </c>
      <c r="C2581" s="4" t="str" cm="1">
        <f t="array" ref="C2581">IFERROR(INDEX(EmployeeData[Full Name], ROW() - 37), "")</f>
        <v/>
      </c>
      <c r="D2581" s="4" t="str" cm="1">
        <f t="array" ref="D2581">IFERROR(INDEX(EmployeeData[Department], ROW() - 37), "")</f>
        <v/>
      </c>
      <c r="E2581" s="4" t="str" cm="1">
        <f t="array" ref="E2581">IFERROR(INDEX(EmployeeData[Gender], ROW() - 37), "")</f>
        <v/>
      </c>
      <c r="F2581" s="4" t="str" cm="1">
        <f t="array" ref="F2581">IFERROR(INDEX(EmployeeData[Age], ROW() - 37), "")</f>
        <v/>
      </c>
      <c r="G2581" s="6" t="str" cm="1">
        <f t="array" ref="G2581">IFERROR(INDEX(EmployeeData[Join Date], ROW() - 37), "")</f>
        <v/>
      </c>
      <c r="H2581" s="6" t="str" cm="1">
        <f t="array" ref="H2581">IFERROR(IF(INDEX(EmployeeData[Exit Date], ROW() - 37)=0, "",INDEX(EmployeeData[Exit Date], ROW() - 37)),"")</f>
        <v/>
      </c>
      <c r="I2581" s="4" t="str" cm="1">
        <f t="array" ref="I2581">IFERROR(IF(INDEX(EmployeeData[Exit Reason], ROW() - 37)=0, "",INDEX(EmployeeData[Exit Reason], ROW() - 37)),"")</f>
        <v/>
      </c>
      <c r="J2581" s="4" t="str" cm="1">
        <f t="array" ref="J2581">IFERROR(INDEX(EmployeeData[Status], ROW() - 37), "")</f>
        <v/>
      </c>
    </row>
    <row r="2582" spans="2:10" ht="19.95" customHeight="1" x14ac:dyDescent="0.3">
      <c r="B2582" s="4" t="str" cm="1">
        <f t="array" ref="B2582">IFERROR(INDEX(EmployeeData[Employee ID], ROW() - 37), "")</f>
        <v/>
      </c>
      <c r="C2582" s="4" t="str" cm="1">
        <f t="array" ref="C2582">IFERROR(INDEX(EmployeeData[Full Name], ROW() - 37), "")</f>
        <v/>
      </c>
      <c r="D2582" s="4" t="str" cm="1">
        <f t="array" ref="D2582">IFERROR(INDEX(EmployeeData[Department], ROW() - 37), "")</f>
        <v/>
      </c>
      <c r="E2582" s="4" t="str" cm="1">
        <f t="array" ref="E2582">IFERROR(INDEX(EmployeeData[Gender], ROW() - 37), "")</f>
        <v/>
      </c>
      <c r="F2582" s="4" t="str" cm="1">
        <f t="array" ref="F2582">IFERROR(INDEX(EmployeeData[Age], ROW() - 37), "")</f>
        <v/>
      </c>
      <c r="G2582" s="6" t="str" cm="1">
        <f t="array" ref="G2582">IFERROR(INDEX(EmployeeData[Join Date], ROW() - 37), "")</f>
        <v/>
      </c>
      <c r="H2582" s="6" t="str" cm="1">
        <f t="array" ref="H2582">IFERROR(IF(INDEX(EmployeeData[Exit Date], ROW() - 37)=0, "",INDEX(EmployeeData[Exit Date], ROW() - 37)),"")</f>
        <v/>
      </c>
      <c r="I2582" s="4" t="str" cm="1">
        <f t="array" ref="I2582">IFERROR(IF(INDEX(EmployeeData[Exit Reason], ROW() - 37)=0, "",INDEX(EmployeeData[Exit Reason], ROW() - 37)),"")</f>
        <v/>
      </c>
      <c r="J2582" s="4" t="str" cm="1">
        <f t="array" ref="J2582">IFERROR(INDEX(EmployeeData[Status], ROW() - 37), "")</f>
        <v/>
      </c>
    </row>
    <row r="2583" spans="2:10" ht="19.95" customHeight="1" x14ac:dyDescent="0.3">
      <c r="B2583" s="4" t="str" cm="1">
        <f t="array" ref="B2583">IFERROR(INDEX(EmployeeData[Employee ID], ROW() - 37), "")</f>
        <v/>
      </c>
      <c r="C2583" s="4" t="str" cm="1">
        <f t="array" ref="C2583">IFERROR(INDEX(EmployeeData[Full Name], ROW() - 37), "")</f>
        <v/>
      </c>
      <c r="D2583" s="4" t="str" cm="1">
        <f t="array" ref="D2583">IFERROR(INDEX(EmployeeData[Department], ROW() - 37), "")</f>
        <v/>
      </c>
      <c r="E2583" s="4" t="str" cm="1">
        <f t="array" ref="E2583">IFERROR(INDEX(EmployeeData[Gender], ROW() - 37), "")</f>
        <v/>
      </c>
      <c r="F2583" s="4" t="str" cm="1">
        <f t="array" ref="F2583">IFERROR(INDEX(EmployeeData[Age], ROW() - 37), "")</f>
        <v/>
      </c>
      <c r="G2583" s="6" t="str" cm="1">
        <f t="array" ref="G2583">IFERROR(INDEX(EmployeeData[Join Date], ROW() - 37), "")</f>
        <v/>
      </c>
      <c r="H2583" s="6" t="str" cm="1">
        <f t="array" ref="H2583">IFERROR(IF(INDEX(EmployeeData[Exit Date], ROW() - 37)=0, "",INDEX(EmployeeData[Exit Date], ROW() - 37)),"")</f>
        <v/>
      </c>
      <c r="I2583" s="4" t="str" cm="1">
        <f t="array" ref="I2583">IFERROR(IF(INDEX(EmployeeData[Exit Reason], ROW() - 37)=0, "",INDEX(EmployeeData[Exit Reason], ROW() - 37)),"")</f>
        <v/>
      </c>
      <c r="J2583" s="4" t="str" cm="1">
        <f t="array" ref="J2583">IFERROR(INDEX(EmployeeData[Status], ROW() - 37), "")</f>
        <v/>
      </c>
    </row>
    <row r="2584" spans="2:10" ht="19.95" customHeight="1" x14ac:dyDescent="0.3">
      <c r="B2584" s="4" t="str" cm="1">
        <f t="array" ref="B2584">IFERROR(INDEX(EmployeeData[Employee ID], ROW() - 37), "")</f>
        <v/>
      </c>
      <c r="C2584" s="4" t="str" cm="1">
        <f t="array" ref="C2584">IFERROR(INDEX(EmployeeData[Full Name], ROW() - 37), "")</f>
        <v/>
      </c>
      <c r="D2584" s="4" t="str" cm="1">
        <f t="array" ref="D2584">IFERROR(INDEX(EmployeeData[Department], ROW() - 37), "")</f>
        <v/>
      </c>
      <c r="E2584" s="4" t="str" cm="1">
        <f t="array" ref="E2584">IFERROR(INDEX(EmployeeData[Gender], ROW() - 37), "")</f>
        <v/>
      </c>
      <c r="F2584" s="4" t="str" cm="1">
        <f t="array" ref="F2584">IFERROR(INDEX(EmployeeData[Age], ROW() - 37), "")</f>
        <v/>
      </c>
      <c r="G2584" s="6" t="str" cm="1">
        <f t="array" ref="G2584">IFERROR(INDEX(EmployeeData[Join Date], ROW() - 37), "")</f>
        <v/>
      </c>
      <c r="H2584" s="6" t="str" cm="1">
        <f t="array" ref="H2584">IFERROR(IF(INDEX(EmployeeData[Exit Date], ROW() - 37)=0, "",INDEX(EmployeeData[Exit Date], ROW() - 37)),"")</f>
        <v/>
      </c>
      <c r="I2584" s="4" t="str" cm="1">
        <f t="array" ref="I2584">IFERROR(IF(INDEX(EmployeeData[Exit Reason], ROW() - 37)=0, "",INDEX(EmployeeData[Exit Reason], ROW() - 37)),"")</f>
        <v/>
      </c>
      <c r="J2584" s="4" t="str" cm="1">
        <f t="array" ref="J2584">IFERROR(INDEX(EmployeeData[Status], ROW() - 37), "")</f>
        <v/>
      </c>
    </row>
    <row r="2585" spans="2:10" ht="19.95" customHeight="1" x14ac:dyDescent="0.3">
      <c r="B2585" s="4" t="str" cm="1">
        <f t="array" ref="B2585">IFERROR(INDEX(EmployeeData[Employee ID], ROW() - 37), "")</f>
        <v/>
      </c>
      <c r="C2585" s="4" t="str" cm="1">
        <f t="array" ref="C2585">IFERROR(INDEX(EmployeeData[Full Name], ROW() - 37), "")</f>
        <v/>
      </c>
      <c r="D2585" s="4" t="str" cm="1">
        <f t="array" ref="D2585">IFERROR(INDEX(EmployeeData[Department], ROW() - 37), "")</f>
        <v/>
      </c>
      <c r="E2585" s="4" t="str" cm="1">
        <f t="array" ref="E2585">IFERROR(INDEX(EmployeeData[Gender], ROW() - 37), "")</f>
        <v/>
      </c>
      <c r="F2585" s="4" t="str" cm="1">
        <f t="array" ref="F2585">IFERROR(INDEX(EmployeeData[Age], ROW() - 37), "")</f>
        <v/>
      </c>
      <c r="G2585" s="6" t="str" cm="1">
        <f t="array" ref="G2585">IFERROR(INDEX(EmployeeData[Join Date], ROW() - 37), "")</f>
        <v/>
      </c>
      <c r="H2585" s="6" t="str" cm="1">
        <f t="array" ref="H2585">IFERROR(IF(INDEX(EmployeeData[Exit Date], ROW() - 37)=0, "",INDEX(EmployeeData[Exit Date], ROW() - 37)),"")</f>
        <v/>
      </c>
      <c r="I2585" s="4" t="str" cm="1">
        <f t="array" ref="I2585">IFERROR(IF(INDEX(EmployeeData[Exit Reason], ROW() - 37)=0, "",INDEX(EmployeeData[Exit Reason], ROW() - 37)),"")</f>
        <v/>
      </c>
      <c r="J2585" s="4" t="str" cm="1">
        <f t="array" ref="J2585">IFERROR(INDEX(EmployeeData[Status], ROW() - 37), "")</f>
        <v/>
      </c>
    </row>
    <row r="2586" spans="2:10" ht="19.95" customHeight="1" x14ac:dyDescent="0.3">
      <c r="B2586" s="4" t="str" cm="1">
        <f t="array" ref="B2586">IFERROR(INDEX(EmployeeData[Employee ID], ROW() - 37), "")</f>
        <v/>
      </c>
      <c r="C2586" s="4" t="str" cm="1">
        <f t="array" ref="C2586">IFERROR(INDEX(EmployeeData[Full Name], ROW() - 37), "")</f>
        <v/>
      </c>
      <c r="D2586" s="4" t="str" cm="1">
        <f t="array" ref="D2586">IFERROR(INDEX(EmployeeData[Department], ROW() - 37), "")</f>
        <v/>
      </c>
      <c r="E2586" s="4" t="str" cm="1">
        <f t="array" ref="E2586">IFERROR(INDEX(EmployeeData[Gender], ROW() - 37), "")</f>
        <v/>
      </c>
      <c r="F2586" s="4" t="str" cm="1">
        <f t="array" ref="F2586">IFERROR(INDEX(EmployeeData[Age], ROW() - 37), "")</f>
        <v/>
      </c>
      <c r="G2586" s="6" t="str" cm="1">
        <f t="array" ref="G2586">IFERROR(INDEX(EmployeeData[Join Date], ROW() - 37), "")</f>
        <v/>
      </c>
      <c r="H2586" s="6" t="str" cm="1">
        <f t="array" ref="H2586">IFERROR(IF(INDEX(EmployeeData[Exit Date], ROW() - 37)=0, "",INDEX(EmployeeData[Exit Date], ROW() - 37)),"")</f>
        <v/>
      </c>
      <c r="I2586" s="4" t="str" cm="1">
        <f t="array" ref="I2586">IFERROR(IF(INDEX(EmployeeData[Exit Reason], ROW() - 37)=0, "",INDEX(EmployeeData[Exit Reason], ROW() - 37)),"")</f>
        <v/>
      </c>
      <c r="J2586" s="4" t="str" cm="1">
        <f t="array" ref="J2586">IFERROR(INDEX(EmployeeData[Status], ROW() - 37), "")</f>
        <v/>
      </c>
    </row>
    <row r="2587" spans="2:10" ht="19.95" customHeight="1" x14ac:dyDescent="0.3">
      <c r="B2587" s="4" t="str" cm="1">
        <f t="array" ref="B2587">IFERROR(INDEX(EmployeeData[Employee ID], ROW() - 37), "")</f>
        <v/>
      </c>
      <c r="C2587" s="4" t="str" cm="1">
        <f t="array" ref="C2587">IFERROR(INDEX(EmployeeData[Full Name], ROW() - 37), "")</f>
        <v/>
      </c>
      <c r="D2587" s="4" t="str" cm="1">
        <f t="array" ref="D2587">IFERROR(INDEX(EmployeeData[Department], ROW() - 37), "")</f>
        <v/>
      </c>
      <c r="E2587" s="4" t="str" cm="1">
        <f t="array" ref="E2587">IFERROR(INDEX(EmployeeData[Gender], ROW() - 37), "")</f>
        <v/>
      </c>
      <c r="F2587" s="4" t="str" cm="1">
        <f t="array" ref="F2587">IFERROR(INDEX(EmployeeData[Age], ROW() - 37), "")</f>
        <v/>
      </c>
      <c r="G2587" s="6" t="str" cm="1">
        <f t="array" ref="G2587">IFERROR(INDEX(EmployeeData[Join Date], ROW() - 37), "")</f>
        <v/>
      </c>
      <c r="H2587" s="6" t="str" cm="1">
        <f t="array" ref="H2587">IFERROR(IF(INDEX(EmployeeData[Exit Date], ROW() - 37)=0, "",INDEX(EmployeeData[Exit Date], ROW() - 37)),"")</f>
        <v/>
      </c>
      <c r="I2587" s="4" t="str" cm="1">
        <f t="array" ref="I2587">IFERROR(IF(INDEX(EmployeeData[Exit Reason], ROW() - 37)=0, "",INDEX(EmployeeData[Exit Reason], ROW() - 37)),"")</f>
        <v/>
      </c>
      <c r="J2587" s="4" t="str" cm="1">
        <f t="array" ref="J2587">IFERROR(INDEX(EmployeeData[Status], ROW() - 37), "")</f>
        <v/>
      </c>
    </row>
    <row r="2588" spans="2:10" ht="19.95" customHeight="1" x14ac:dyDescent="0.3">
      <c r="B2588" s="4" t="str" cm="1">
        <f t="array" ref="B2588">IFERROR(INDEX(EmployeeData[Employee ID], ROW() - 37), "")</f>
        <v/>
      </c>
      <c r="C2588" s="4" t="str" cm="1">
        <f t="array" ref="C2588">IFERROR(INDEX(EmployeeData[Full Name], ROW() - 37), "")</f>
        <v/>
      </c>
      <c r="D2588" s="4" t="str" cm="1">
        <f t="array" ref="D2588">IFERROR(INDEX(EmployeeData[Department], ROW() - 37), "")</f>
        <v/>
      </c>
      <c r="E2588" s="4" t="str" cm="1">
        <f t="array" ref="E2588">IFERROR(INDEX(EmployeeData[Gender], ROW() - 37), "")</f>
        <v/>
      </c>
      <c r="F2588" s="4" t="str" cm="1">
        <f t="array" ref="F2588">IFERROR(INDEX(EmployeeData[Age], ROW() - 37), "")</f>
        <v/>
      </c>
      <c r="G2588" s="6" t="str" cm="1">
        <f t="array" ref="G2588">IFERROR(INDEX(EmployeeData[Join Date], ROW() - 37), "")</f>
        <v/>
      </c>
      <c r="H2588" s="6" t="str" cm="1">
        <f t="array" ref="H2588">IFERROR(IF(INDEX(EmployeeData[Exit Date], ROW() - 37)=0, "",INDEX(EmployeeData[Exit Date], ROW() - 37)),"")</f>
        <v/>
      </c>
      <c r="I2588" s="4" t="str" cm="1">
        <f t="array" ref="I2588">IFERROR(IF(INDEX(EmployeeData[Exit Reason], ROW() - 37)=0, "",INDEX(EmployeeData[Exit Reason], ROW() - 37)),"")</f>
        <v/>
      </c>
      <c r="J2588" s="4" t="str" cm="1">
        <f t="array" ref="J2588">IFERROR(INDEX(EmployeeData[Status], ROW() - 37), "")</f>
        <v/>
      </c>
    </row>
    <row r="2589" spans="2:10" ht="19.95" customHeight="1" x14ac:dyDescent="0.3">
      <c r="B2589" s="4" t="str" cm="1">
        <f t="array" ref="B2589">IFERROR(INDEX(EmployeeData[Employee ID], ROW() - 37), "")</f>
        <v/>
      </c>
      <c r="C2589" s="4" t="str" cm="1">
        <f t="array" ref="C2589">IFERROR(INDEX(EmployeeData[Full Name], ROW() - 37), "")</f>
        <v/>
      </c>
      <c r="D2589" s="4" t="str" cm="1">
        <f t="array" ref="D2589">IFERROR(INDEX(EmployeeData[Department], ROW() - 37), "")</f>
        <v/>
      </c>
      <c r="E2589" s="4" t="str" cm="1">
        <f t="array" ref="E2589">IFERROR(INDEX(EmployeeData[Gender], ROW() - 37), "")</f>
        <v/>
      </c>
      <c r="F2589" s="4" t="str" cm="1">
        <f t="array" ref="F2589">IFERROR(INDEX(EmployeeData[Age], ROW() - 37), "")</f>
        <v/>
      </c>
      <c r="G2589" s="6" t="str" cm="1">
        <f t="array" ref="G2589">IFERROR(INDEX(EmployeeData[Join Date], ROW() - 37), "")</f>
        <v/>
      </c>
      <c r="H2589" s="6" t="str" cm="1">
        <f t="array" ref="H2589">IFERROR(IF(INDEX(EmployeeData[Exit Date], ROW() - 37)=0, "",INDEX(EmployeeData[Exit Date], ROW() - 37)),"")</f>
        <v/>
      </c>
      <c r="I2589" s="4" t="str" cm="1">
        <f t="array" ref="I2589">IFERROR(IF(INDEX(EmployeeData[Exit Reason], ROW() - 37)=0, "",INDEX(EmployeeData[Exit Reason], ROW() - 37)),"")</f>
        <v/>
      </c>
      <c r="J2589" s="4" t="str" cm="1">
        <f t="array" ref="J2589">IFERROR(INDEX(EmployeeData[Status], ROW() - 37), "")</f>
        <v/>
      </c>
    </row>
    <row r="2590" spans="2:10" ht="19.95" customHeight="1" x14ac:dyDescent="0.3">
      <c r="B2590" s="4" t="str" cm="1">
        <f t="array" ref="B2590">IFERROR(INDEX(EmployeeData[Employee ID], ROW() - 37), "")</f>
        <v/>
      </c>
      <c r="C2590" s="4" t="str" cm="1">
        <f t="array" ref="C2590">IFERROR(INDEX(EmployeeData[Full Name], ROW() - 37), "")</f>
        <v/>
      </c>
      <c r="D2590" s="4" t="str" cm="1">
        <f t="array" ref="D2590">IFERROR(INDEX(EmployeeData[Department], ROW() - 37), "")</f>
        <v/>
      </c>
      <c r="E2590" s="4" t="str" cm="1">
        <f t="array" ref="E2590">IFERROR(INDEX(EmployeeData[Gender], ROW() - 37), "")</f>
        <v/>
      </c>
      <c r="F2590" s="4" t="str" cm="1">
        <f t="array" ref="F2590">IFERROR(INDEX(EmployeeData[Age], ROW() - 37), "")</f>
        <v/>
      </c>
      <c r="G2590" s="6" t="str" cm="1">
        <f t="array" ref="G2590">IFERROR(INDEX(EmployeeData[Join Date], ROW() - 37), "")</f>
        <v/>
      </c>
      <c r="H2590" s="6" t="str" cm="1">
        <f t="array" ref="H2590">IFERROR(IF(INDEX(EmployeeData[Exit Date], ROW() - 37)=0, "",INDEX(EmployeeData[Exit Date], ROW() - 37)),"")</f>
        <v/>
      </c>
      <c r="I2590" s="4" t="str" cm="1">
        <f t="array" ref="I2590">IFERROR(IF(INDEX(EmployeeData[Exit Reason], ROW() - 37)=0, "",INDEX(EmployeeData[Exit Reason], ROW() - 37)),"")</f>
        <v/>
      </c>
      <c r="J2590" s="4" t="str" cm="1">
        <f t="array" ref="J2590">IFERROR(INDEX(EmployeeData[Status], ROW() - 37), "")</f>
        <v/>
      </c>
    </row>
    <row r="2591" spans="2:10" ht="19.95" customHeight="1" x14ac:dyDescent="0.3">
      <c r="B2591" s="4" t="str" cm="1">
        <f t="array" ref="B2591">IFERROR(INDEX(EmployeeData[Employee ID], ROW() - 37), "")</f>
        <v/>
      </c>
      <c r="C2591" s="4" t="str" cm="1">
        <f t="array" ref="C2591">IFERROR(INDEX(EmployeeData[Full Name], ROW() - 37), "")</f>
        <v/>
      </c>
      <c r="D2591" s="4" t="str" cm="1">
        <f t="array" ref="D2591">IFERROR(INDEX(EmployeeData[Department], ROW() - 37), "")</f>
        <v/>
      </c>
      <c r="E2591" s="4" t="str" cm="1">
        <f t="array" ref="E2591">IFERROR(INDEX(EmployeeData[Gender], ROW() - 37), "")</f>
        <v/>
      </c>
      <c r="F2591" s="4" t="str" cm="1">
        <f t="array" ref="F2591">IFERROR(INDEX(EmployeeData[Age], ROW() - 37), "")</f>
        <v/>
      </c>
      <c r="G2591" s="6" t="str" cm="1">
        <f t="array" ref="G2591">IFERROR(INDEX(EmployeeData[Join Date], ROW() - 37), "")</f>
        <v/>
      </c>
      <c r="H2591" s="6" t="str" cm="1">
        <f t="array" ref="H2591">IFERROR(IF(INDEX(EmployeeData[Exit Date], ROW() - 37)=0, "",INDEX(EmployeeData[Exit Date], ROW() - 37)),"")</f>
        <v/>
      </c>
      <c r="I2591" s="4" t="str" cm="1">
        <f t="array" ref="I2591">IFERROR(IF(INDEX(EmployeeData[Exit Reason], ROW() - 37)=0, "",INDEX(EmployeeData[Exit Reason], ROW() - 37)),"")</f>
        <v/>
      </c>
      <c r="J2591" s="4" t="str" cm="1">
        <f t="array" ref="J2591">IFERROR(INDEX(EmployeeData[Status], ROW() - 37), "")</f>
        <v/>
      </c>
    </row>
    <row r="2592" spans="2:10" ht="19.95" customHeight="1" x14ac:dyDescent="0.3">
      <c r="B2592" s="4" t="str" cm="1">
        <f t="array" ref="B2592">IFERROR(INDEX(EmployeeData[Employee ID], ROW() - 37), "")</f>
        <v/>
      </c>
      <c r="C2592" s="4" t="str" cm="1">
        <f t="array" ref="C2592">IFERROR(INDEX(EmployeeData[Full Name], ROW() - 37), "")</f>
        <v/>
      </c>
      <c r="D2592" s="4" t="str" cm="1">
        <f t="array" ref="D2592">IFERROR(INDEX(EmployeeData[Department], ROW() - 37), "")</f>
        <v/>
      </c>
      <c r="E2592" s="4" t="str" cm="1">
        <f t="array" ref="E2592">IFERROR(INDEX(EmployeeData[Gender], ROW() - 37), "")</f>
        <v/>
      </c>
      <c r="F2592" s="4" t="str" cm="1">
        <f t="array" ref="F2592">IFERROR(INDEX(EmployeeData[Age], ROW() - 37), "")</f>
        <v/>
      </c>
      <c r="G2592" s="6" t="str" cm="1">
        <f t="array" ref="G2592">IFERROR(INDEX(EmployeeData[Join Date], ROW() - 37), "")</f>
        <v/>
      </c>
      <c r="H2592" s="6" t="str" cm="1">
        <f t="array" ref="H2592">IFERROR(IF(INDEX(EmployeeData[Exit Date], ROW() - 37)=0, "",INDEX(EmployeeData[Exit Date], ROW() - 37)),"")</f>
        <v/>
      </c>
      <c r="I2592" s="4" t="str" cm="1">
        <f t="array" ref="I2592">IFERROR(IF(INDEX(EmployeeData[Exit Reason], ROW() - 37)=0, "",INDEX(EmployeeData[Exit Reason], ROW() - 37)),"")</f>
        <v/>
      </c>
      <c r="J2592" s="4" t="str" cm="1">
        <f t="array" ref="J2592">IFERROR(INDEX(EmployeeData[Status], ROW() - 37), "")</f>
        <v/>
      </c>
    </row>
    <row r="2593" spans="2:10" ht="19.95" customHeight="1" x14ac:dyDescent="0.3">
      <c r="B2593" s="4" t="str" cm="1">
        <f t="array" ref="B2593">IFERROR(INDEX(EmployeeData[Employee ID], ROW() - 37), "")</f>
        <v/>
      </c>
      <c r="C2593" s="4" t="str" cm="1">
        <f t="array" ref="C2593">IFERROR(INDEX(EmployeeData[Full Name], ROW() - 37), "")</f>
        <v/>
      </c>
      <c r="D2593" s="4" t="str" cm="1">
        <f t="array" ref="D2593">IFERROR(INDEX(EmployeeData[Department], ROW() - 37), "")</f>
        <v/>
      </c>
      <c r="E2593" s="4" t="str" cm="1">
        <f t="array" ref="E2593">IFERROR(INDEX(EmployeeData[Gender], ROW() - 37), "")</f>
        <v/>
      </c>
      <c r="F2593" s="4" t="str" cm="1">
        <f t="array" ref="F2593">IFERROR(INDEX(EmployeeData[Age], ROW() - 37), "")</f>
        <v/>
      </c>
      <c r="G2593" s="6" t="str" cm="1">
        <f t="array" ref="G2593">IFERROR(INDEX(EmployeeData[Join Date], ROW() - 37), "")</f>
        <v/>
      </c>
      <c r="H2593" s="6" t="str" cm="1">
        <f t="array" ref="H2593">IFERROR(IF(INDEX(EmployeeData[Exit Date], ROW() - 37)=0, "",INDEX(EmployeeData[Exit Date], ROW() - 37)),"")</f>
        <v/>
      </c>
      <c r="I2593" s="4" t="str" cm="1">
        <f t="array" ref="I2593">IFERROR(IF(INDEX(EmployeeData[Exit Reason], ROW() - 37)=0, "",INDEX(EmployeeData[Exit Reason], ROW() - 37)),"")</f>
        <v/>
      </c>
      <c r="J2593" s="4" t="str" cm="1">
        <f t="array" ref="J2593">IFERROR(INDEX(EmployeeData[Status], ROW() - 37), "")</f>
        <v/>
      </c>
    </row>
    <row r="2594" spans="2:10" ht="19.95" customHeight="1" x14ac:dyDescent="0.3">
      <c r="B2594" s="4" t="str" cm="1">
        <f t="array" ref="B2594">IFERROR(INDEX(EmployeeData[Employee ID], ROW() - 37), "")</f>
        <v/>
      </c>
      <c r="C2594" s="4" t="str" cm="1">
        <f t="array" ref="C2594">IFERROR(INDEX(EmployeeData[Full Name], ROW() - 37), "")</f>
        <v/>
      </c>
      <c r="D2594" s="4" t="str" cm="1">
        <f t="array" ref="D2594">IFERROR(INDEX(EmployeeData[Department], ROW() - 37), "")</f>
        <v/>
      </c>
      <c r="E2594" s="4" t="str" cm="1">
        <f t="array" ref="E2594">IFERROR(INDEX(EmployeeData[Gender], ROW() - 37), "")</f>
        <v/>
      </c>
      <c r="F2594" s="4" t="str" cm="1">
        <f t="array" ref="F2594">IFERROR(INDEX(EmployeeData[Age], ROW() - 37), "")</f>
        <v/>
      </c>
      <c r="G2594" s="6" t="str" cm="1">
        <f t="array" ref="G2594">IFERROR(INDEX(EmployeeData[Join Date], ROW() - 37), "")</f>
        <v/>
      </c>
      <c r="H2594" s="6" t="str" cm="1">
        <f t="array" ref="H2594">IFERROR(IF(INDEX(EmployeeData[Exit Date], ROW() - 37)=0, "",INDEX(EmployeeData[Exit Date], ROW() - 37)),"")</f>
        <v/>
      </c>
      <c r="I2594" s="4" t="str" cm="1">
        <f t="array" ref="I2594">IFERROR(IF(INDEX(EmployeeData[Exit Reason], ROW() - 37)=0, "",INDEX(EmployeeData[Exit Reason], ROW() - 37)),"")</f>
        <v/>
      </c>
      <c r="J2594" s="4" t="str" cm="1">
        <f t="array" ref="J2594">IFERROR(INDEX(EmployeeData[Status], ROW() - 37), "")</f>
        <v/>
      </c>
    </row>
    <row r="2595" spans="2:10" ht="19.95" customHeight="1" x14ac:dyDescent="0.3">
      <c r="B2595" s="4" t="str" cm="1">
        <f t="array" ref="B2595">IFERROR(INDEX(EmployeeData[Employee ID], ROW() - 37), "")</f>
        <v/>
      </c>
      <c r="C2595" s="4" t="str" cm="1">
        <f t="array" ref="C2595">IFERROR(INDEX(EmployeeData[Full Name], ROW() - 37), "")</f>
        <v/>
      </c>
      <c r="D2595" s="4" t="str" cm="1">
        <f t="array" ref="D2595">IFERROR(INDEX(EmployeeData[Department], ROW() - 37), "")</f>
        <v/>
      </c>
      <c r="E2595" s="4" t="str" cm="1">
        <f t="array" ref="E2595">IFERROR(INDEX(EmployeeData[Gender], ROW() - 37), "")</f>
        <v/>
      </c>
      <c r="F2595" s="4" t="str" cm="1">
        <f t="array" ref="F2595">IFERROR(INDEX(EmployeeData[Age], ROW() - 37), "")</f>
        <v/>
      </c>
      <c r="G2595" s="6" t="str" cm="1">
        <f t="array" ref="G2595">IFERROR(INDEX(EmployeeData[Join Date], ROW() - 37), "")</f>
        <v/>
      </c>
      <c r="H2595" s="6" t="str" cm="1">
        <f t="array" ref="H2595">IFERROR(IF(INDEX(EmployeeData[Exit Date], ROW() - 37)=0, "",INDEX(EmployeeData[Exit Date], ROW() - 37)),"")</f>
        <v/>
      </c>
      <c r="I2595" s="4" t="str" cm="1">
        <f t="array" ref="I2595">IFERROR(IF(INDEX(EmployeeData[Exit Reason], ROW() - 37)=0, "",INDEX(EmployeeData[Exit Reason], ROW() - 37)),"")</f>
        <v/>
      </c>
      <c r="J2595" s="4" t="str" cm="1">
        <f t="array" ref="J2595">IFERROR(INDEX(EmployeeData[Status], ROW() - 37), "")</f>
        <v/>
      </c>
    </row>
    <row r="2596" spans="2:10" ht="19.95" customHeight="1" x14ac:dyDescent="0.3">
      <c r="B2596" s="4" t="str" cm="1">
        <f t="array" ref="B2596">IFERROR(INDEX(EmployeeData[Employee ID], ROW() - 37), "")</f>
        <v/>
      </c>
      <c r="C2596" s="4" t="str" cm="1">
        <f t="array" ref="C2596">IFERROR(INDEX(EmployeeData[Full Name], ROW() - 37), "")</f>
        <v/>
      </c>
      <c r="D2596" s="4" t="str" cm="1">
        <f t="array" ref="D2596">IFERROR(INDEX(EmployeeData[Department], ROW() - 37), "")</f>
        <v/>
      </c>
      <c r="E2596" s="4" t="str" cm="1">
        <f t="array" ref="E2596">IFERROR(INDEX(EmployeeData[Gender], ROW() - 37), "")</f>
        <v/>
      </c>
      <c r="F2596" s="4" t="str" cm="1">
        <f t="array" ref="F2596">IFERROR(INDEX(EmployeeData[Age], ROW() - 37), "")</f>
        <v/>
      </c>
      <c r="G2596" s="6" t="str" cm="1">
        <f t="array" ref="G2596">IFERROR(INDEX(EmployeeData[Join Date], ROW() - 37), "")</f>
        <v/>
      </c>
      <c r="H2596" s="6" t="str" cm="1">
        <f t="array" ref="H2596">IFERROR(IF(INDEX(EmployeeData[Exit Date], ROW() - 37)=0, "",INDEX(EmployeeData[Exit Date], ROW() - 37)),"")</f>
        <v/>
      </c>
      <c r="I2596" s="4" t="str" cm="1">
        <f t="array" ref="I2596">IFERROR(IF(INDEX(EmployeeData[Exit Reason], ROW() - 37)=0, "",INDEX(EmployeeData[Exit Reason], ROW() - 37)),"")</f>
        <v/>
      </c>
      <c r="J2596" s="4" t="str" cm="1">
        <f t="array" ref="J2596">IFERROR(INDEX(EmployeeData[Status], ROW() - 37), "")</f>
        <v/>
      </c>
    </row>
    <row r="2597" spans="2:10" ht="19.95" customHeight="1" x14ac:dyDescent="0.3">
      <c r="B2597" s="4" t="str" cm="1">
        <f t="array" ref="B2597">IFERROR(INDEX(EmployeeData[Employee ID], ROW() - 37), "")</f>
        <v/>
      </c>
      <c r="C2597" s="4" t="str" cm="1">
        <f t="array" ref="C2597">IFERROR(INDEX(EmployeeData[Full Name], ROW() - 37), "")</f>
        <v/>
      </c>
      <c r="D2597" s="4" t="str" cm="1">
        <f t="array" ref="D2597">IFERROR(INDEX(EmployeeData[Department], ROW() - 37), "")</f>
        <v/>
      </c>
      <c r="E2597" s="4" t="str" cm="1">
        <f t="array" ref="E2597">IFERROR(INDEX(EmployeeData[Gender], ROW() - 37), "")</f>
        <v/>
      </c>
      <c r="F2597" s="4" t="str" cm="1">
        <f t="array" ref="F2597">IFERROR(INDEX(EmployeeData[Age], ROW() - 37), "")</f>
        <v/>
      </c>
      <c r="G2597" s="6" t="str" cm="1">
        <f t="array" ref="G2597">IFERROR(INDEX(EmployeeData[Join Date], ROW() - 37), "")</f>
        <v/>
      </c>
      <c r="H2597" s="6" t="str" cm="1">
        <f t="array" ref="H2597">IFERROR(IF(INDEX(EmployeeData[Exit Date], ROW() - 37)=0, "",INDEX(EmployeeData[Exit Date], ROW() - 37)),"")</f>
        <v/>
      </c>
      <c r="I2597" s="4" t="str" cm="1">
        <f t="array" ref="I2597">IFERROR(IF(INDEX(EmployeeData[Exit Reason], ROW() - 37)=0, "",INDEX(EmployeeData[Exit Reason], ROW() - 37)),"")</f>
        <v/>
      </c>
      <c r="J2597" s="4" t="str" cm="1">
        <f t="array" ref="J2597">IFERROR(INDEX(EmployeeData[Status], ROW() - 37), "")</f>
        <v/>
      </c>
    </row>
    <row r="2598" spans="2:10" ht="19.95" customHeight="1" x14ac:dyDescent="0.3">
      <c r="B2598" s="4" t="str" cm="1">
        <f t="array" ref="B2598">IFERROR(INDEX(EmployeeData[Employee ID], ROW() - 37), "")</f>
        <v/>
      </c>
      <c r="C2598" s="4" t="str" cm="1">
        <f t="array" ref="C2598">IFERROR(INDEX(EmployeeData[Full Name], ROW() - 37), "")</f>
        <v/>
      </c>
      <c r="D2598" s="4" t="str" cm="1">
        <f t="array" ref="D2598">IFERROR(INDEX(EmployeeData[Department], ROW() - 37), "")</f>
        <v/>
      </c>
      <c r="E2598" s="4" t="str" cm="1">
        <f t="array" ref="E2598">IFERROR(INDEX(EmployeeData[Gender], ROW() - 37), "")</f>
        <v/>
      </c>
      <c r="F2598" s="4" t="str" cm="1">
        <f t="array" ref="F2598">IFERROR(INDEX(EmployeeData[Age], ROW() - 37), "")</f>
        <v/>
      </c>
      <c r="G2598" s="6" t="str" cm="1">
        <f t="array" ref="G2598">IFERROR(INDEX(EmployeeData[Join Date], ROW() - 37), "")</f>
        <v/>
      </c>
      <c r="H2598" s="6" t="str" cm="1">
        <f t="array" ref="H2598">IFERROR(IF(INDEX(EmployeeData[Exit Date], ROW() - 37)=0, "",INDEX(EmployeeData[Exit Date], ROW() - 37)),"")</f>
        <v/>
      </c>
      <c r="I2598" s="4" t="str" cm="1">
        <f t="array" ref="I2598">IFERROR(IF(INDEX(EmployeeData[Exit Reason], ROW() - 37)=0, "",INDEX(EmployeeData[Exit Reason], ROW() - 37)),"")</f>
        <v/>
      </c>
      <c r="J2598" s="4" t="str" cm="1">
        <f t="array" ref="J2598">IFERROR(INDEX(EmployeeData[Status], ROW() - 37), "")</f>
        <v/>
      </c>
    </row>
    <row r="2599" spans="2:10" ht="19.95" customHeight="1" x14ac:dyDescent="0.3">
      <c r="B2599" s="4" t="str" cm="1">
        <f t="array" ref="B2599">IFERROR(INDEX(EmployeeData[Employee ID], ROW() - 37), "")</f>
        <v/>
      </c>
      <c r="C2599" s="4" t="str" cm="1">
        <f t="array" ref="C2599">IFERROR(INDEX(EmployeeData[Full Name], ROW() - 37), "")</f>
        <v/>
      </c>
      <c r="D2599" s="4" t="str" cm="1">
        <f t="array" ref="D2599">IFERROR(INDEX(EmployeeData[Department], ROW() - 37), "")</f>
        <v/>
      </c>
      <c r="E2599" s="4" t="str" cm="1">
        <f t="array" ref="E2599">IFERROR(INDEX(EmployeeData[Gender], ROW() - 37), "")</f>
        <v/>
      </c>
      <c r="F2599" s="4" t="str" cm="1">
        <f t="array" ref="F2599">IFERROR(INDEX(EmployeeData[Age], ROW() - 37), "")</f>
        <v/>
      </c>
      <c r="G2599" s="6" t="str" cm="1">
        <f t="array" ref="G2599">IFERROR(INDEX(EmployeeData[Join Date], ROW() - 37), "")</f>
        <v/>
      </c>
      <c r="H2599" s="6" t="str" cm="1">
        <f t="array" ref="H2599">IFERROR(IF(INDEX(EmployeeData[Exit Date], ROW() - 37)=0, "",INDEX(EmployeeData[Exit Date], ROW() - 37)),"")</f>
        <v/>
      </c>
      <c r="I2599" s="4" t="str" cm="1">
        <f t="array" ref="I2599">IFERROR(IF(INDEX(EmployeeData[Exit Reason], ROW() - 37)=0, "",INDEX(EmployeeData[Exit Reason], ROW() - 37)),"")</f>
        <v/>
      </c>
      <c r="J2599" s="4" t="str" cm="1">
        <f t="array" ref="J2599">IFERROR(INDEX(EmployeeData[Status], ROW() - 37), "")</f>
        <v/>
      </c>
    </row>
    <row r="2600" spans="2:10" ht="19.95" customHeight="1" x14ac:dyDescent="0.3">
      <c r="B2600" s="4" t="str" cm="1">
        <f t="array" ref="B2600">IFERROR(INDEX(EmployeeData[Employee ID], ROW() - 37), "")</f>
        <v/>
      </c>
      <c r="C2600" s="4" t="str" cm="1">
        <f t="array" ref="C2600">IFERROR(INDEX(EmployeeData[Full Name], ROW() - 37), "")</f>
        <v/>
      </c>
      <c r="D2600" s="4" t="str" cm="1">
        <f t="array" ref="D2600">IFERROR(INDEX(EmployeeData[Department], ROW() - 37), "")</f>
        <v/>
      </c>
      <c r="E2600" s="4" t="str" cm="1">
        <f t="array" ref="E2600">IFERROR(INDEX(EmployeeData[Gender], ROW() - 37), "")</f>
        <v/>
      </c>
      <c r="F2600" s="4" t="str" cm="1">
        <f t="array" ref="F2600">IFERROR(INDEX(EmployeeData[Age], ROW() - 37), "")</f>
        <v/>
      </c>
      <c r="G2600" s="6" t="str" cm="1">
        <f t="array" ref="G2600">IFERROR(INDEX(EmployeeData[Join Date], ROW() - 37), "")</f>
        <v/>
      </c>
      <c r="H2600" s="6" t="str" cm="1">
        <f t="array" ref="H2600">IFERROR(IF(INDEX(EmployeeData[Exit Date], ROW() - 37)=0, "",INDEX(EmployeeData[Exit Date], ROW() - 37)),"")</f>
        <v/>
      </c>
      <c r="I2600" s="4" t="str" cm="1">
        <f t="array" ref="I2600">IFERROR(IF(INDEX(EmployeeData[Exit Reason], ROW() - 37)=0, "",INDEX(EmployeeData[Exit Reason], ROW() - 37)),"")</f>
        <v/>
      </c>
      <c r="J2600" s="4" t="str" cm="1">
        <f t="array" ref="J2600">IFERROR(INDEX(EmployeeData[Status], ROW() - 37), "")</f>
        <v/>
      </c>
    </row>
    <row r="2601" spans="2:10" ht="19.95" customHeight="1" x14ac:dyDescent="0.3">
      <c r="B2601" s="4" t="str" cm="1">
        <f t="array" ref="B2601">IFERROR(INDEX(EmployeeData[Employee ID], ROW() - 37), "")</f>
        <v/>
      </c>
      <c r="C2601" s="4" t="str" cm="1">
        <f t="array" ref="C2601">IFERROR(INDEX(EmployeeData[Full Name], ROW() - 37), "")</f>
        <v/>
      </c>
      <c r="D2601" s="4" t="str" cm="1">
        <f t="array" ref="D2601">IFERROR(INDEX(EmployeeData[Department], ROW() - 37), "")</f>
        <v/>
      </c>
      <c r="E2601" s="4" t="str" cm="1">
        <f t="array" ref="E2601">IFERROR(INDEX(EmployeeData[Gender], ROW() - 37), "")</f>
        <v/>
      </c>
      <c r="F2601" s="4" t="str" cm="1">
        <f t="array" ref="F2601">IFERROR(INDEX(EmployeeData[Age], ROW() - 37), "")</f>
        <v/>
      </c>
      <c r="G2601" s="6" t="str" cm="1">
        <f t="array" ref="G2601">IFERROR(INDEX(EmployeeData[Join Date], ROW() - 37), "")</f>
        <v/>
      </c>
      <c r="H2601" s="6" t="str" cm="1">
        <f t="array" ref="H2601">IFERROR(IF(INDEX(EmployeeData[Exit Date], ROW() - 37)=0, "",INDEX(EmployeeData[Exit Date], ROW() - 37)),"")</f>
        <v/>
      </c>
      <c r="I2601" s="4" t="str" cm="1">
        <f t="array" ref="I2601">IFERROR(IF(INDEX(EmployeeData[Exit Reason], ROW() - 37)=0, "",INDEX(EmployeeData[Exit Reason], ROW() - 37)),"")</f>
        <v/>
      </c>
      <c r="J2601" s="4" t="str" cm="1">
        <f t="array" ref="J2601">IFERROR(INDEX(EmployeeData[Status], ROW() - 37), "")</f>
        <v/>
      </c>
    </row>
    <row r="2602" spans="2:10" ht="19.95" customHeight="1" x14ac:dyDescent="0.3">
      <c r="B2602" s="4" t="str" cm="1">
        <f t="array" ref="B2602">IFERROR(INDEX(EmployeeData[Employee ID], ROW() - 37), "")</f>
        <v/>
      </c>
      <c r="C2602" s="4" t="str" cm="1">
        <f t="array" ref="C2602">IFERROR(INDEX(EmployeeData[Full Name], ROW() - 37), "")</f>
        <v/>
      </c>
      <c r="D2602" s="4" t="str" cm="1">
        <f t="array" ref="D2602">IFERROR(INDEX(EmployeeData[Department], ROW() - 37), "")</f>
        <v/>
      </c>
      <c r="E2602" s="4" t="str" cm="1">
        <f t="array" ref="E2602">IFERROR(INDEX(EmployeeData[Gender], ROW() - 37), "")</f>
        <v/>
      </c>
      <c r="F2602" s="4" t="str" cm="1">
        <f t="array" ref="F2602">IFERROR(INDEX(EmployeeData[Age], ROW() - 37), "")</f>
        <v/>
      </c>
      <c r="G2602" s="6" t="str" cm="1">
        <f t="array" ref="G2602">IFERROR(INDEX(EmployeeData[Join Date], ROW() - 37), "")</f>
        <v/>
      </c>
      <c r="H2602" s="6" t="str" cm="1">
        <f t="array" ref="H2602">IFERROR(IF(INDEX(EmployeeData[Exit Date], ROW() - 37)=0, "",INDEX(EmployeeData[Exit Date], ROW() - 37)),"")</f>
        <v/>
      </c>
      <c r="I2602" s="4" t="str" cm="1">
        <f t="array" ref="I2602">IFERROR(IF(INDEX(EmployeeData[Exit Reason], ROW() - 37)=0, "",INDEX(EmployeeData[Exit Reason], ROW() - 37)),"")</f>
        <v/>
      </c>
      <c r="J2602" s="4" t="str" cm="1">
        <f t="array" ref="J2602">IFERROR(INDEX(EmployeeData[Status], ROW() - 37), "")</f>
        <v/>
      </c>
    </row>
    <row r="2603" spans="2:10" ht="19.95" customHeight="1" x14ac:dyDescent="0.3">
      <c r="B2603" s="4" t="str" cm="1">
        <f t="array" ref="B2603">IFERROR(INDEX(EmployeeData[Employee ID], ROW() - 37), "")</f>
        <v/>
      </c>
      <c r="C2603" s="4" t="str" cm="1">
        <f t="array" ref="C2603">IFERROR(INDEX(EmployeeData[Full Name], ROW() - 37), "")</f>
        <v/>
      </c>
      <c r="D2603" s="4" t="str" cm="1">
        <f t="array" ref="D2603">IFERROR(INDEX(EmployeeData[Department], ROW() - 37), "")</f>
        <v/>
      </c>
      <c r="E2603" s="4" t="str" cm="1">
        <f t="array" ref="E2603">IFERROR(INDEX(EmployeeData[Gender], ROW() - 37), "")</f>
        <v/>
      </c>
      <c r="F2603" s="4" t="str" cm="1">
        <f t="array" ref="F2603">IFERROR(INDEX(EmployeeData[Age], ROW() - 37), "")</f>
        <v/>
      </c>
      <c r="G2603" s="6" t="str" cm="1">
        <f t="array" ref="G2603">IFERROR(INDEX(EmployeeData[Join Date], ROW() - 37), "")</f>
        <v/>
      </c>
      <c r="H2603" s="6" t="str" cm="1">
        <f t="array" ref="H2603">IFERROR(IF(INDEX(EmployeeData[Exit Date], ROW() - 37)=0, "",INDEX(EmployeeData[Exit Date], ROW() - 37)),"")</f>
        <v/>
      </c>
      <c r="I2603" s="4" t="str" cm="1">
        <f t="array" ref="I2603">IFERROR(IF(INDEX(EmployeeData[Exit Reason], ROW() - 37)=0, "",INDEX(EmployeeData[Exit Reason], ROW() - 37)),"")</f>
        <v/>
      </c>
      <c r="J2603" s="4" t="str" cm="1">
        <f t="array" ref="J2603">IFERROR(INDEX(EmployeeData[Status], ROW() - 37), "")</f>
        <v/>
      </c>
    </row>
    <row r="2604" spans="2:10" ht="19.95" customHeight="1" x14ac:dyDescent="0.3">
      <c r="B2604" s="4" t="str" cm="1">
        <f t="array" ref="B2604">IFERROR(INDEX(EmployeeData[Employee ID], ROW() - 37), "")</f>
        <v/>
      </c>
      <c r="C2604" s="4" t="str" cm="1">
        <f t="array" ref="C2604">IFERROR(INDEX(EmployeeData[Full Name], ROW() - 37), "")</f>
        <v/>
      </c>
      <c r="D2604" s="4" t="str" cm="1">
        <f t="array" ref="D2604">IFERROR(INDEX(EmployeeData[Department], ROW() - 37), "")</f>
        <v/>
      </c>
      <c r="E2604" s="4" t="str" cm="1">
        <f t="array" ref="E2604">IFERROR(INDEX(EmployeeData[Gender], ROW() - 37), "")</f>
        <v/>
      </c>
      <c r="F2604" s="4" t="str" cm="1">
        <f t="array" ref="F2604">IFERROR(INDEX(EmployeeData[Age], ROW() - 37), "")</f>
        <v/>
      </c>
      <c r="G2604" s="6" t="str" cm="1">
        <f t="array" ref="G2604">IFERROR(INDEX(EmployeeData[Join Date], ROW() - 37), "")</f>
        <v/>
      </c>
      <c r="H2604" s="6" t="str" cm="1">
        <f t="array" ref="H2604">IFERROR(IF(INDEX(EmployeeData[Exit Date], ROW() - 37)=0, "",INDEX(EmployeeData[Exit Date], ROW() - 37)),"")</f>
        <v/>
      </c>
      <c r="I2604" s="4" t="str" cm="1">
        <f t="array" ref="I2604">IFERROR(IF(INDEX(EmployeeData[Exit Reason], ROW() - 37)=0, "",INDEX(EmployeeData[Exit Reason], ROW() - 37)),"")</f>
        <v/>
      </c>
      <c r="J2604" s="4" t="str" cm="1">
        <f t="array" ref="J2604">IFERROR(INDEX(EmployeeData[Status], ROW() - 37), "")</f>
        <v/>
      </c>
    </row>
    <row r="2605" spans="2:10" ht="19.95" customHeight="1" x14ac:dyDescent="0.3">
      <c r="B2605" s="4" t="str" cm="1">
        <f t="array" ref="B2605">IFERROR(INDEX(EmployeeData[Employee ID], ROW() - 37), "")</f>
        <v/>
      </c>
      <c r="C2605" s="4" t="str" cm="1">
        <f t="array" ref="C2605">IFERROR(INDEX(EmployeeData[Full Name], ROW() - 37), "")</f>
        <v/>
      </c>
      <c r="D2605" s="4" t="str" cm="1">
        <f t="array" ref="D2605">IFERROR(INDEX(EmployeeData[Department], ROW() - 37), "")</f>
        <v/>
      </c>
      <c r="E2605" s="4" t="str" cm="1">
        <f t="array" ref="E2605">IFERROR(INDEX(EmployeeData[Gender], ROW() - 37), "")</f>
        <v/>
      </c>
      <c r="F2605" s="4" t="str" cm="1">
        <f t="array" ref="F2605">IFERROR(INDEX(EmployeeData[Age], ROW() - 37), "")</f>
        <v/>
      </c>
      <c r="G2605" s="6" t="str" cm="1">
        <f t="array" ref="G2605">IFERROR(INDEX(EmployeeData[Join Date], ROW() - 37), "")</f>
        <v/>
      </c>
      <c r="H2605" s="6" t="str" cm="1">
        <f t="array" ref="H2605">IFERROR(IF(INDEX(EmployeeData[Exit Date], ROW() - 37)=0, "",INDEX(EmployeeData[Exit Date], ROW() - 37)),"")</f>
        <v/>
      </c>
      <c r="I2605" s="4" t="str" cm="1">
        <f t="array" ref="I2605">IFERROR(IF(INDEX(EmployeeData[Exit Reason], ROW() - 37)=0, "",INDEX(EmployeeData[Exit Reason], ROW() - 37)),"")</f>
        <v/>
      </c>
      <c r="J2605" s="4" t="str" cm="1">
        <f t="array" ref="J2605">IFERROR(INDEX(EmployeeData[Status], ROW() - 37), "")</f>
        <v/>
      </c>
    </row>
    <row r="2606" spans="2:10" ht="19.95" customHeight="1" x14ac:dyDescent="0.3">
      <c r="B2606" s="4" t="str" cm="1">
        <f t="array" ref="B2606">IFERROR(INDEX(EmployeeData[Employee ID], ROW() - 37), "")</f>
        <v/>
      </c>
      <c r="C2606" s="4" t="str" cm="1">
        <f t="array" ref="C2606">IFERROR(INDEX(EmployeeData[Full Name], ROW() - 37), "")</f>
        <v/>
      </c>
      <c r="D2606" s="4" t="str" cm="1">
        <f t="array" ref="D2606">IFERROR(INDEX(EmployeeData[Department], ROW() - 37), "")</f>
        <v/>
      </c>
      <c r="E2606" s="4" t="str" cm="1">
        <f t="array" ref="E2606">IFERROR(INDEX(EmployeeData[Gender], ROW() - 37), "")</f>
        <v/>
      </c>
      <c r="F2606" s="4" t="str" cm="1">
        <f t="array" ref="F2606">IFERROR(INDEX(EmployeeData[Age], ROW() - 37), "")</f>
        <v/>
      </c>
      <c r="G2606" s="6" t="str" cm="1">
        <f t="array" ref="G2606">IFERROR(INDEX(EmployeeData[Join Date], ROW() - 37), "")</f>
        <v/>
      </c>
      <c r="H2606" s="6" t="str" cm="1">
        <f t="array" ref="H2606">IFERROR(IF(INDEX(EmployeeData[Exit Date], ROW() - 37)=0, "",INDEX(EmployeeData[Exit Date], ROW() - 37)),"")</f>
        <v/>
      </c>
      <c r="I2606" s="4" t="str" cm="1">
        <f t="array" ref="I2606">IFERROR(IF(INDEX(EmployeeData[Exit Reason], ROW() - 37)=0, "",INDEX(EmployeeData[Exit Reason], ROW() - 37)),"")</f>
        <v/>
      </c>
      <c r="J2606" s="4" t="str" cm="1">
        <f t="array" ref="J2606">IFERROR(INDEX(EmployeeData[Status], ROW() - 37), "")</f>
        <v/>
      </c>
    </row>
    <row r="2607" spans="2:10" ht="19.95" customHeight="1" x14ac:dyDescent="0.3">
      <c r="B2607" s="4" t="str" cm="1">
        <f t="array" ref="B2607">IFERROR(INDEX(EmployeeData[Employee ID], ROW() - 37), "")</f>
        <v/>
      </c>
      <c r="C2607" s="4" t="str" cm="1">
        <f t="array" ref="C2607">IFERROR(INDEX(EmployeeData[Full Name], ROW() - 37), "")</f>
        <v/>
      </c>
      <c r="D2607" s="4" t="str" cm="1">
        <f t="array" ref="D2607">IFERROR(INDEX(EmployeeData[Department], ROW() - 37), "")</f>
        <v/>
      </c>
      <c r="E2607" s="4" t="str" cm="1">
        <f t="array" ref="E2607">IFERROR(INDEX(EmployeeData[Gender], ROW() - 37), "")</f>
        <v/>
      </c>
      <c r="F2607" s="4" t="str" cm="1">
        <f t="array" ref="F2607">IFERROR(INDEX(EmployeeData[Age], ROW() - 37), "")</f>
        <v/>
      </c>
      <c r="G2607" s="6" t="str" cm="1">
        <f t="array" ref="G2607">IFERROR(INDEX(EmployeeData[Join Date], ROW() - 37), "")</f>
        <v/>
      </c>
      <c r="H2607" s="6" t="str" cm="1">
        <f t="array" ref="H2607">IFERROR(IF(INDEX(EmployeeData[Exit Date], ROW() - 37)=0, "",INDEX(EmployeeData[Exit Date], ROW() - 37)),"")</f>
        <v/>
      </c>
      <c r="I2607" s="4" t="str" cm="1">
        <f t="array" ref="I2607">IFERROR(IF(INDEX(EmployeeData[Exit Reason], ROW() - 37)=0, "",INDEX(EmployeeData[Exit Reason], ROW() - 37)),"")</f>
        <v/>
      </c>
      <c r="J2607" s="4" t="str" cm="1">
        <f t="array" ref="J2607">IFERROR(INDEX(EmployeeData[Status], ROW() - 37), "")</f>
        <v/>
      </c>
    </row>
    <row r="2608" spans="2:10" ht="19.95" customHeight="1" x14ac:dyDescent="0.3">
      <c r="B2608" s="4" t="str" cm="1">
        <f t="array" ref="B2608">IFERROR(INDEX(EmployeeData[Employee ID], ROW() - 37), "")</f>
        <v/>
      </c>
      <c r="C2608" s="4" t="str" cm="1">
        <f t="array" ref="C2608">IFERROR(INDEX(EmployeeData[Full Name], ROW() - 37), "")</f>
        <v/>
      </c>
      <c r="D2608" s="4" t="str" cm="1">
        <f t="array" ref="D2608">IFERROR(INDEX(EmployeeData[Department], ROW() - 37), "")</f>
        <v/>
      </c>
      <c r="E2608" s="4" t="str" cm="1">
        <f t="array" ref="E2608">IFERROR(INDEX(EmployeeData[Gender], ROW() - 37), "")</f>
        <v/>
      </c>
      <c r="F2608" s="4" t="str" cm="1">
        <f t="array" ref="F2608">IFERROR(INDEX(EmployeeData[Age], ROW() - 37), "")</f>
        <v/>
      </c>
      <c r="G2608" s="6" t="str" cm="1">
        <f t="array" ref="G2608">IFERROR(INDEX(EmployeeData[Join Date], ROW() - 37), "")</f>
        <v/>
      </c>
      <c r="H2608" s="6" t="str" cm="1">
        <f t="array" ref="H2608">IFERROR(IF(INDEX(EmployeeData[Exit Date], ROW() - 37)=0, "",INDEX(EmployeeData[Exit Date], ROW() - 37)),"")</f>
        <v/>
      </c>
      <c r="I2608" s="4" t="str" cm="1">
        <f t="array" ref="I2608">IFERROR(IF(INDEX(EmployeeData[Exit Reason], ROW() - 37)=0, "",INDEX(EmployeeData[Exit Reason], ROW() - 37)),"")</f>
        <v/>
      </c>
      <c r="J2608" s="4" t="str" cm="1">
        <f t="array" ref="J2608">IFERROR(INDEX(EmployeeData[Status], ROW() - 37), "")</f>
        <v/>
      </c>
    </row>
    <row r="2609" spans="2:10" ht="19.95" customHeight="1" x14ac:dyDescent="0.3">
      <c r="B2609" s="4" t="str" cm="1">
        <f t="array" ref="B2609">IFERROR(INDEX(EmployeeData[Employee ID], ROW() - 37), "")</f>
        <v/>
      </c>
      <c r="C2609" s="4" t="str" cm="1">
        <f t="array" ref="C2609">IFERROR(INDEX(EmployeeData[Full Name], ROW() - 37), "")</f>
        <v/>
      </c>
      <c r="D2609" s="4" t="str" cm="1">
        <f t="array" ref="D2609">IFERROR(INDEX(EmployeeData[Department], ROW() - 37), "")</f>
        <v/>
      </c>
      <c r="E2609" s="4" t="str" cm="1">
        <f t="array" ref="E2609">IFERROR(INDEX(EmployeeData[Gender], ROW() - 37), "")</f>
        <v/>
      </c>
      <c r="F2609" s="4" t="str" cm="1">
        <f t="array" ref="F2609">IFERROR(INDEX(EmployeeData[Age], ROW() - 37), "")</f>
        <v/>
      </c>
      <c r="G2609" s="6" t="str" cm="1">
        <f t="array" ref="G2609">IFERROR(INDEX(EmployeeData[Join Date], ROW() - 37), "")</f>
        <v/>
      </c>
      <c r="H2609" s="6" t="str" cm="1">
        <f t="array" ref="H2609">IFERROR(IF(INDEX(EmployeeData[Exit Date], ROW() - 37)=0, "",INDEX(EmployeeData[Exit Date], ROW() - 37)),"")</f>
        <v/>
      </c>
      <c r="I2609" s="4" t="str" cm="1">
        <f t="array" ref="I2609">IFERROR(IF(INDEX(EmployeeData[Exit Reason], ROW() - 37)=0, "",INDEX(EmployeeData[Exit Reason], ROW() - 37)),"")</f>
        <v/>
      </c>
      <c r="J2609" s="4" t="str" cm="1">
        <f t="array" ref="J2609">IFERROR(INDEX(EmployeeData[Status], ROW() - 37), "")</f>
        <v/>
      </c>
    </row>
    <row r="2610" spans="2:10" ht="19.95" customHeight="1" x14ac:dyDescent="0.3">
      <c r="B2610" s="4" t="str" cm="1">
        <f t="array" ref="B2610">IFERROR(INDEX(EmployeeData[Employee ID], ROW() - 37), "")</f>
        <v/>
      </c>
      <c r="C2610" s="4" t="str" cm="1">
        <f t="array" ref="C2610">IFERROR(INDEX(EmployeeData[Full Name], ROW() - 37), "")</f>
        <v/>
      </c>
      <c r="D2610" s="4" t="str" cm="1">
        <f t="array" ref="D2610">IFERROR(INDEX(EmployeeData[Department], ROW() - 37), "")</f>
        <v/>
      </c>
      <c r="E2610" s="4" t="str" cm="1">
        <f t="array" ref="E2610">IFERROR(INDEX(EmployeeData[Gender], ROW() - 37), "")</f>
        <v/>
      </c>
      <c r="F2610" s="4" t="str" cm="1">
        <f t="array" ref="F2610">IFERROR(INDEX(EmployeeData[Age], ROW() - 37), "")</f>
        <v/>
      </c>
      <c r="G2610" s="6" t="str" cm="1">
        <f t="array" ref="G2610">IFERROR(INDEX(EmployeeData[Join Date], ROW() - 37), "")</f>
        <v/>
      </c>
      <c r="H2610" s="6" t="str" cm="1">
        <f t="array" ref="H2610">IFERROR(IF(INDEX(EmployeeData[Exit Date], ROW() - 37)=0, "",INDEX(EmployeeData[Exit Date], ROW() - 37)),"")</f>
        <v/>
      </c>
      <c r="I2610" s="4" t="str" cm="1">
        <f t="array" ref="I2610">IFERROR(IF(INDEX(EmployeeData[Exit Reason], ROW() - 37)=0, "",INDEX(EmployeeData[Exit Reason], ROW() - 37)),"")</f>
        <v/>
      </c>
      <c r="J2610" s="4" t="str" cm="1">
        <f t="array" ref="J2610">IFERROR(INDEX(EmployeeData[Status], ROW() - 37), "")</f>
        <v/>
      </c>
    </row>
    <row r="2611" spans="2:10" ht="19.95" customHeight="1" x14ac:dyDescent="0.3">
      <c r="B2611" s="4" t="str" cm="1">
        <f t="array" ref="B2611">IFERROR(INDEX(EmployeeData[Employee ID], ROW() - 37), "")</f>
        <v/>
      </c>
      <c r="C2611" s="4" t="str" cm="1">
        <f t="array" ref="C2611">IFERROR(INDEX(EmployeeData[Full Name], ROW() - 37), "")</f>
        <v/>
      </c>
      <c r="D2611" s="4" t="str" cm="1">
        <f t="array" ref="D2611">IFERROR(INDEX(EmployeeData[Department], ROW() - 37), "")</f>
        <v/>
      </c>
      <c r="E2611" s="4" t="str" cm="1">
        <f t="array" ref="E2611">IFERROR(INDEX(EmployeeData[Gender], ROW() - 37), "")</f>
        <v/>
      </c>
      <c r="F2611" s="4" t="str" cm="1">
        <f t="array" ref="F2611">IFERROR(INDEX(EmployeeData[Age], ROW() - 37), "")</f>
        <v/>
      </c>
      <c r="G2611" s="6" t="str" cm="1">
        <f t="array" ref="G2611">IFERROR(INDEX(EmployeeData[Join Date], ROW() - 37), "")</f>
        <v/>
      </c>
      <c r="H2611" s="6" t="str" cm="1">
        <f t="array" ref="H2611">IFERROR(IF(INDEX(EmployeeData[Exit Date], ROW() - 37)=0, "",INDEX(EmployeeData[Exit Date], ROW() - 37)),"")</f>
        <v/>
      </c>
      <c r="I2611" s="4" t="str" cm="1">
        <f t="array" ref="I2611">IFERROR(IF(INDEX(EmployeeData[Exit Reason], ROW() - 37)=0, "",INDEX(EmployeeData[Exit Reason], ROW() - 37)),"")</f>
        <v/>
      </c>
      <c r="J2611" s="4" t="str" cm="1">
        <f t="array" ref="J2611">IFERROR(INDEX(EmployeeData[Status], ROW() - 37), "")</f>
        <v/>
      </c>
    </row>
    <row r="2612" spans="2:10" ht="19.95" customHeight="1" x14ac:dyDescent="0.3">
      <c r="B2612" s="4" t="str" cm="1">
        <f t="array" ref="B2612">IFERROR(INDEX(EmployeeData[Employee ID], ROW() - 37), "")</f>
        <v/>
      </c>
      <c r="C2612" s="4" t="str" cm="1">
        <f t="array" ref="C2612">IFERROR(INDEX(EmployeeData[Full Name], ROW() - 37), "")</f>
        <v/>
      </c>
      <c r="D2612" s="4" t="str" cm="1">
        <f t="array" ref="D2612">IFERROR(INDEX(EmployeeData[Department], ROW() - 37), "")</f>
        <v/>
      </c>
      <c r="E2612" s="4" t="str" cm="1">
        <f t="array" ref="E2612">IFERROR(INDEX(EmployeeData[Gender], ROW() - 37), "")</f>
        <v/>
      </c>
      <c r="F2612" s="4" t="str" cm="1">
        <f t="array" ref="F2612">IFERROR(INDEX(EmployeeData[Age], ROW() - 37), "")</f>
        <v/>
      </c>
      <c r="G2612" s="6" t="str" cm="1">
        <f t="array" ref="G2612">IFERROR(INDEX(EmployeeData[Join Date], ROW() - 37), "")</f>
        <v/>
      </c>
      <c r="H2612" s="6" t="str" cm="1">
        <f t="array" ref="H2612">IFERROR(IF(INDEX(EmployeeData[Exit Date], ROW() - 37)=0, "",INDEX(EmployeeData[Exit Date], ROW() - 37)),"")</f>
        <v/>
      </c>
      <c r="I2612" s="4" t="str" cm="1">
        <f t="array" ref="I2612">IFERROR(IF(INDEX(EmployeeData[Exit Reason], ROW() - 37)=0, "",INDEX(EmployeeData[Exit Reason], ROW() - 37)),"")</f>
        <v/>
      </c>
      <c r="J2612" s="4" t="str" cm="1">
        <f t="array" ref="J2612">IFERROR(INDEX(EmployeeData[Status], ROW() - 37), "")</f>
        <v/>
      </c>
    </row>
    <row r="2613" spans="2:10" ht="19.95" customHeight="1" x14ac:dyDescent="0.3">
      <c r="B2613" s="4" t="str" cm="1">
        <f t="array" ref="B2613">IFERROR(INDEX(EmployeeData[Employee ID], ROW() - 37), "")</f>
        <v/>
      </c>
      <c r="C2613" s="4" t="str" cm="1">
        <f t="array" ref="C2613">IFERROR(INDEX(EmployeeData[Full Name], ROW() - 37), "")</f>
        <v/>
      </c>
      <c r="D2613" s="4" t="str" cm="1">
        <f t="array" ref="D2613">IFERROR(INDEX(EmployeeData[Department], ROW() - 37), "")</f>
        <v/>
      </c>
      <c r="E2613" s="4" t="str" cm="1">
        <f t="array" ref="E2613">IFERROR(INDEX(EmployeeData[Gender], ROW() - 37), "")</f>
        <v/>
      </c>
      <c r="F2613" s="4" t="str" cm="1">
        <f t="array" ref="F2613">IFERROR(INDEX(EmployeeData[Age], ROW() - 37), "")</f>
        <v/>
      </c>
      <c r="G2613" s="6" t="str" cm="1">
        <f t="array" ref="G2613">IFERROR(INDEX(EmployeeData[Join Date], ROW() - 37), "")</f>
        <v/>
      </c>
      <c r="H2613" s="6" t="str" cm="1">
        <f t="array" ref="H2613">IFERROR(IF(INDEX(EmployeeData[Exit Date], ROW() - 37)=0, "",INDEX(EmployeeData[Exit Date], ROW() - 37)),"")</f>
        <v/>
      </c>
      <c r="I2613" s="4" t="str" cm="1">
        <f t="array" ref="I2613">IFERROR(IF(INDEX(EmployeeData[Exit Reason], ROW() - 37)=0, "",INDEX(EmployeeData[Exit Reason], ROW() - 37)),"")</f>
        <v/>
      </c>
      <c r="J2613" s="4" t="str" cm="1">
        <f t="array" ref="J2613">IFERROR(INDEX(EmployeeData[Status], ROW() - 37), "")</f>
        <v/>
      </c>
    </row>
    <row r="2614" spans="2:10" ht="19.95" customHeight="1" x14ac:dyDescent="0.3">
      <c r="B2614" s="4" t="str" cm="1">
        <f t="array" ref="B2614">IFERROR(INDEX(EmployeeData[Employee ID], ROW() - 37), "")</f>
        <v/>
      </c>
      <c r="C2614" s="4" t="str" cm="1">
        <f t="array" ref="C2614">IFERROR(INDEX(EmployeeData[Full Name], ROW() - 37), "")</f>
        <v/>
      </c>
      <c r="D2614" s="4" t="str" cm="1">
        <f t="array" ref="D2614">IFERROR(INDEX(EmployeeData[Department], ROW() - 37), "")</f>
        <v/>
      </c>
      <c r="E2614" s="4" t="str" cm="1">
        <f t="array" ref="E2614">IFERROR(INDEX(EmployeeData[Gender], ROW() - 37), "")</f>
        <v/>
      </c>
      <c r="F2614" s="4" t="str" cm="1">
        <f t="array" ref="F2614">IFERROR(INDEX(EmployeeData[Age], ROW() - 37), "")</f>
        <v/>
      </c>
      <c r="G2614" s="6" t="str" cm="1">
        <f t="array" ref="G2614">IFERROR(INDEX(EmployeeData[Join Date], ROW() - 37), "")</f>
        <v/>
      </c>
      <c r="H2614" s="6" t="str" cm="1">
        <f t="array" ref="H2614">IFERROR(IF(INDEX(EmployeeData[Exit Date], ROW() - 37)=0, "",INDEX(EmployeeData[Exit Date], ROW() - 37)),"")</f>
        <v/>
      </c>
      <c r="I2614" s="4" t="str" cm="1">
        <f t="array" ref="I2614">IFERROR(IF(INDEX(EmployeeData[Exit Reason], ROW() - 37)=0, "",INDEX(EmployeeData[Exit Reason], ROW() - 37)),"")</f>
        <v/>
      </c>
      <c r="J2614" s="4" t="str" cm="1">
        <f t="array" ref="J2614">IFERROR(INDEX(EmployeeData[Status], ROW() - 37), "")</f>
        <v/>
      </c>
    </row>
    <row r="2615" spans="2:10" ht="19.95" customHeight="1" x14ac:dyDescent="0.3">
      <c r="B2615" s="4" t="str" cm="1">
        <f t="array" ref="B2615">IFERROR(INDEX(EmployeeData[Employee ID], ROW() - 37), "")</f>
        <v/>
      </c>
      <c r="C2615" s="4" t="str" cm="1">
        <f t="array" ref="C2615">IFERROR(INDEX(EmployeeData[Full Name], ROW() - 37), "")</f>
        <v/>
      </c>
      <c r="D2615" s="4" t="str" cm="1">
        <f t="array" ref="D2615">IFERROR(INDEX(EmployeeData[Department], ROW() - 37), "")</f>
        <v/>
      </c>
      <c r="E2615" s="4" t="str" cm="1">
        <f t="array" ref="E2615">IFERROR(INDEX(EmployeeData[Gender], ROW() - 37), "")</f>
        <v/>
      </c>
      <c r="F2615" s="4" t="str" cm="1">
        <f t="array" ref="F2615">IFERROR(INDEX(EmployeeData[Age], ROW() - 37), "")</f>
        <v/>
      </c>
      <c r="G2615" s="6" t="str" cm="1">
        <f t="array" ref="G2615">IFERROR(INDEX(EmployeeData[Join Date], ROW() - 37), "")</f>
        <v/>
      </c>
      <c r="H2615" s="6" t="str" cm="1">
        <f t="array" ref="H2615">IFERROR(IF(INDEX(EmployeeData[Exit Date], ROW() - 37)=0, "",INDEX(EmployeeData[Exit Date], ROW() - 37)),"")</f>
        <v/>
      </c>
      <c r="I2615" s="4" t="str" cm="1">
        <f t="array" ref="I2615">IFERROR(IF(INDEX(EmployeeData[Exit Reason], ROW() - 37)=0, "",INDEX(EmployeeData[Exit Reason], ROW() - 37)),"")</f>
        <v/>
      </c>
      <c r="J2615" s="4" t="str" cm="1">
        <f t="array" ref="J2615">IFERROR(INDEX(EmployeeData[Status], ROW() - 37), "")</f>
        <v/>
      </c>
    </row>
    <row r="2616" spans="2:10" ht="19.95" customHeight="1" x14ac:dyDescent="0.3">
      <c r="B2616" s="4" t="str" cm="1">
        <f t="array" ref="B2616">IFERROR(INDEX(EmployeeData[Employee ID], ROW() - 37), "")</f>
        <v/>
      </c>
      <c r="C2616" s="4" t="str" cm="1">
        <f t="array" ref="C2616">IFERROR(INDEX(EmployeeData[Full Name], ROW() - 37), "")</f>
        <v/>
      </c>
      <c r="D2616" s="4" t="str" cm="1">
        <f t="array" ref="D2616">IFERROR(INDEX(EmployeeData[Department], ROW() - 37), "")</f>
        <v/>
      </c>
      <c r="E2616" s="4" t="str" cm="1">
        <f t="array" ref="E2616">IFERROR(INDEX(EmployeeData[Gender], ROW() - 37), "")</f>
        <v/>
      </c>
      <c r="F2616" s="4" t="str" cm="1">
        <f t="array" ref="F2616">IFERROR(INDEX(EmployeeData[Age], ROW() - 37), "")</f>
        <v/>
      </c>
      <c r="G2616" s="6" t="str" cm="1">
        <f t="array" ref="G2616">IFERROR(INDEX(EmployeeData[Join Date], ROW() - 37), "")</f>
        <v/>
      </c>
      <c r="H2616" s="6" t="str" cm="1">
        <f t="array" ref="H2616">IFERROR(IF(INDEX(EmployeeData[Exit Date], ROW() - 37)=0, "",INDEX(EmployeeData[Exit Date], ROW() - 37)),"")</f>
        <v/>
      </c>
      <c r="I2616" s="4" t="str" cm="1">
        <f t="array" ref="I2616">IFERROR(IF(INDEX(EmployeeData[Exit Reason], ROW() - 37)=0, "",INDEX(EmployeeData[Exit Reason], ROW() - 37)),"")</f>
        <v/>
      </c>
      <c r="J2616" s="4" t="str" cm="1">
        <f t="array" ref="J2616">IFERROR(INDEX(EmployeeData[Status], ROW() - 37), "")</f>
        <v/>
      </c>
    </row>
    <row r="2617" spans="2:10" ht="19.95" customHeight="1" x14ac:dyDescent="0.3">
      <c r="B2617" s="4" t="str" cm="1">
        <f t="array" ref="B2617">IFERROR(INDEX(EmployeeData[Employee ID], ROW() - 37), "")</f>
        <v/>
      </c>
      <c r="C2617" s="4" t="str" cm="1">
        <f t="array" ref="C2617">IFERROR(INDEX(EmployeeData[Full Name], ROW() - 37), "")</f>
        <v/>
      </c>
      <c r="D2617" s="4" t="str" cm="1">
        <f t="array" ref="D2617">IFERROR(INDEX(EmployeeData[Department], ROW() - 37), "")</f>
        <v/>
      </c>
      <c r="E2617" s="4" t="str" cm="1">
        <f t="array" ref="E2617">IFERROR(INDEX(EmployeeData[Gender], ROW() - 37), "")</f>
        <v/>
      </c>
      <c r="F2617" s="4" t="str" cm="1">
        <f t="array" ref="F2617">IFERROR(INDEX(EmployeeData[Age], ROW() - 37), "")</f>
        <v/>
      </c>
      <c r="G2617" s="6" t="str" cm="1">
        <f t="array" ref="G2617">IFERROR(INDEX(EmployeeData[Join Date], ROW() - 37), "")</f>
        <v/>
      </c>
      <c r="H2617" s="6" t="str" cm="1">
        <f t="array" ref="H2617">IFERROR(IF(INDEX(EmployeeData[Exit Date], ROW() - 37)=0, "",INDEX(EmployeeData[Exit Date], ROW() - 37)),"")</f>
        <v/>
      </c>
      <c r="I2617" s="4" t="str" cm="1">
        <f t="array" ref="I2617">IFERROR(IF(INDEX(EmployeeData[Exit Reason], ROW() - 37)=0, "",INDEX(EmployeeData[Exit Reason], ROW() - 37)),"")</f>
        <v/>
      </c>
      <c r="J2617" s="4" t="str" cm="1">
        <f t="array" ref="J2617">IFERROR(INDEX(EmployeeData[Status], ROW() - 37), "")</f>
        <v/>
      </c>
    </row>
    <row r="2618" spans="2:10" ht="19.95" customHeight="1" x14ac:dyDescent="0.3">
      <c r="B2618" s="4" t="str" cm="1">
        <f t="array" ref="B2618">IFERROR(INDEX(EmployeeData[Employee ID], ROW() - 37), "")</f>
        <v/>
      </c>
      <c r="C2618" s="4" t="str" cm="1">
        <f t="array" ref="C2618">IFERROR(INDEX(EmployeeData[Full Name], ROW() - 37), "")</f>
        <v/>
      </c>
      <c r="D2618" s="4" t="str" cm="1">
        <f t="array" ref="D2618">IFERROR(INDEX(EmployeeData[Department], ROW() - 37), "")</f>
        <v/>
      </c>
      <c r="E2618" s="4" t="str" cm="1">
        <f t="array" ref="E2618">IFERROR(INDEX(EmployeeData[Gender], ROW() - 37), "")</f>
        <v/>
      </c>
      <c r="F2618" s="4" t="str" cm="1">
        <f t="array" ref="F2618">IFERROR(INDEX(EmployeeData[Age], ROW() - 37), "")</f>
        <v/>
      </c>
      <c r="G2618" s="6" t="str" cm="1">
        <f t="array" ref="G2618">IFERROR(INDEX(EmployeeData[Join Date], ROW() - 37), "")</f>
        <v/>
      </c>
      <c r="H2618" s="6" t="str" cm="1">
        <f t="array" ref="H2618">IFERROR(IF(INDEX(EmployeeData[Exit Date], ROW() - 37)=0, "",INDEX(EmployeeData[Exit Date], ROW() - 37)),"")</f>
        <v/>
      </c>
      <c r="I2618" s="4" t="str" cm="1">
        <f t="array" ref="I2618">IFERROR(IF(INDEX(EmployeeData[Exit Reason], ROW() - 37)=0, "",INDEX(EmployeeData[Exit Reason], ROW() - 37)),"")</f>
        <v/>
      </c>
      <c r="J2618" s="4" t="str" cm="1">
        <f t="array" ref="J2618">IFERROR(INDEX(EmployeeData[Status], ROW() - 37), "")</f>
        <v/>
      </c>
    </row>
    <row r="2619" spans="2:10" ht="19.95" customHeight="1" x14ac:dyDescent="0.3">
      <c r="B2619" s="4" t="str" cm="1">
        <f t="array" ref="B2619">IFERROR(INDEX(EmployeeData[Employee ID], ROW() - 37), "")</f>
        <v/>
      </c>
      <c r="C2619" s="4" t="str" cm="1">
        <f t="array" ref="C2619">IFERROR(INDEX(EmployeeData[Full Name], ROW() - 37), "")</f>
        <v/>
      </c>
      <c r="D2619" s="4" t="str" cm="1">
        <f t="array" ref="D2619">IFERROR(INDEX(EmployeeData[Department], ROW() - 37), "")</f>
        <v/>
      </c>
      <c r="E2619" s="4" t="str" cm="1">
        <f t="array" ref="E2619">IFERROR(INDEX(EmployeeData[Gender], ROW() - 37), "")</f>
        <v/>
      </c>
      <c r="F2619" s="4" t="str" cm="1">
        <f t="array" ref="F2619">IFERROR(INDEX(EmployeeData[Age], ROW() - 37), "")</f>
        <v/>
      </c>
      <c r="G2619" s="6" t="str" cm="1">
        <f t="array" ref="G2619">IFERROR(INDEX(EmployeeData[Join Date], ROW() - 37), "")</f>
        <v/>
      </c>
      <c r="H2619" s="6" t="str" cm="1">
        <f t="array" ref="H2619">IFERROR(IF(INDEX(EmployeeData[Exit Date], ROW() - 37)=0, "",INDEX(EmployeeData[Exit Date], ROW() - 37)),"")</f>
        <v/>
      </c>
      <c r="I2619" s="4" t="str" cm="1">
        <f t="array" ref="I2619">IFERROR(IF(INDEX(EmployeeData[Exit Reason], ROW() - 37)=0, "",INDEX(EmployeeData[Exit Reason], ROW() - 37)),"")</f>
        <v/>
      </c>
      <c r="J2619" s="4" t="str" cm="1">
        <f t="array" ref="J2619">IFERROR(INDEX(EmployeeData[Status], ROW() - 37), "")</f>
        <v/>
      </c>
    </row>
    <row r="2620" spans="2:10" ht="19.95" customHeight="1" x14ac:dyDescent="0.3">
      <c r="B2620" s="4" t="str" cm="1">
        <f t="array" ref="B2620">IFERROR(INDEX(EmployeeData[Employee ID], ROW() - 37), "")</f>
        <v/>
      </c>
      <c r="C2620" s="4" t="str" cm="1">
        <f t="array" ref="C2620">IFERROR(INDEX(EmployeeData[Full Name], ROW() - 37), "")</f>
        <v/>
      </c>
      <c r="D2620" s="4" t="str" cm="1">
        <f t="array" ref="D2620">IFERROR(INDEX(EmployeeData[Department], ROW() - 37), "")</f>
        <v/>
      </c>
      <c r="E2620" s="4" t="str" cm="1">
        <f t="array" ref="E2620">IFERROR(INDEX(EmployeeData[Gender], ROW() - 37), "")</f>
        <v/>
      </c>
      <c r="F2620" s="4" t="str" cm="1">
        <f t="array" ref="F2620">IFERROR(INDEX(EmployeeData[Age], ROW() - 37), "")</f>
        <v/>
      </c>
      <c r="G2620" s="6" t="str" cm="1">
        <f t="array" ref="G2620">IFERROR(INDEX(EmployeeData[Join Date], ROW() - 37), "")</f>
        <v/>
      </c>
      <c r="H2620" s="6" t="str" cm="1">
        <f t="array" ref="H2620">IFERROR(IF(INDEX(EmployeeData[Exit Date], ROW() - 37)=0, "",INDEX(EmployeeData[Exit Date], ROW() - 37)),"")</f>
        <v/>
      </c>
      <c r="I2620" s="4" t="str" cm="1">
        <f t="array" ref="I2620">IFERROR(IF(INDEX(EmployeeData[Exit Reason], ROW() - 37)=0, "",INDEX(EmployeeData[Exit Reason], ROW() - 37)),"")</f>
        <v/>
      </c>
      <c r="J2620" s="4" t="str" cm="1">
        <f t="array" ref="J2620">IFERROR(INDEX(EmployeeData[Status], ROW() - 37), "")</f>
        <v/>
      </c>
    </row>
    <row r="2621" spans="2:10" ht="19.95" customHeight="1" x14ac:dyDescent="0.3">
      <c r="B2621" s="4" t="str" cm="1">
        <f t="array" ref="B2621">IFERROR(INDEX(EmployeeData[Employee ID], ROW() - 37), "")</f>
        <v/>
      </c>
      <c r="C2621" s="4" t="str" cm="1">
        <f t="array" ref="C2621">IFERROR(INDEX(EmployeeData[Full Name], ROW() - 37), "")</f>
        <v/>
      </c>
      <c r="D2621" s="4" t="str" cm="1">
        <f t="array" ref="D2621">IFERROR(INDEX(EmployeeData[Department], ROW() - 37), "")</f>
        <v/>
      </c>
      <c r="E2621" s="4" t="str" cm="1">
        <f t="array" ref="E2621">IFERROR(INDEX(EmployeeData[Gender], ROW() - 37), "")</f>
        <v/>
      </c>
      <c r="F2621" s="4" t="str" cm="1">
        <f t="array" ref="F2621">IFERROR(INDEX(EmployeeData[Age], ROW() - 37), "")</f>
        <v/>
      </c>
      <c r="G2621" s="6" t="str" cm="1">
        <f t="array" ref="G2621">IFERROR(INDEX(EmployeeData[Join Date], ROW() - 37), "")</f>
        <v/>
      </c>
      <c r="H2621" s="6" t="str" cm="1">
        <f t="array" ref="H2621">IFERROR(IF(INDEX(EmployeeData[Exit Date], ROW() - 37)=0, "",INDEX(EmployeeData[Exit Date], ROW() - 37)),"")</f>
        <v/>
      </c>
      <c r="I2621" s="4" t="str" cm="1">
        <f t="array" ref="I2621">IFERROR(IF(INDEX(EmployeeData[Exit Reason], ROW() - 37)=0, "",INDEX(EmployeeData[Exit Reason], ROW() - 37)),"")</f>
        <v/>
      </c>
      <c r="J2621" s="4" t="str" cm="1">
        <f t="array" ref="J2621">IFERROR(INDEX(EmployeeData[Status], ROW() - 37), "")</f>
        <v/>
      </c>
    </row>
    <row r="2622" spans="2:10" ht="19.95" customHeight="1" x14ac:dyDescent="0.3">
      <c r="B2622" s="4" t="str" cm="1">
        <f t="array" ref="B2622">IFERROR(INDEX(EmployeeData[Employee ID], ROW() - 37), "")</f>
        <v/>
      </c>
      <c r="C2622" s="4" t="str" cm="1">
        <f t="array" ref="C2622">IFERROR(INDEX(EmployeeData[Full Name], ROW() - 37), "")</f>
        <v/>
      </c>
      <c r="D2622" s="4" t="str" cm="1">
        <f t="array" ref="D2622">IFERROR(INDEX(EmployeeData[Department], ROW() - 37), "")</f>
        <v/>
      </c>
      <c r="E2622" s="4" t="str" cm="1">
        <f t="array" ref="E2622">IFERROR(INDEX(EmployeeData[Gender], ROW() - 37), "")</f>
        <v/>
      </c>
      <c r="F2622" s="4" t="str" cm="1">
        <f t="array" ref="F2622">IFERROR(INDEX(EmployeeData[Age], ROW() - 37), "")</f>
        <v/>
      </c>
      <c r="G2622" s="6" t="str" cm="1">
        <f t="array" ref="G2622">IFERROR(INDEX(EmployeeData[Join Date], ROW() - 37), "")</f>
        <v/>
      </c>
      <c r="H2622" s="6" t="str" cm="1">
        <f t="array" ref="H2622">IFERROR(IF(INDEX(EmployeeData[Exit Date], ROW() - 37)=0, "",INDEX(EmployeeData[Exit Date], ROW() - 37)),"")</f>
        <v/>
      </c>
      <c r="I2622" s="4" t="str" cm="1">
        <f t="array" ref="I2622">IFERROR(IF(INDEX(EmployeeData[Exit Reason], ROW() - 37)=0, "",INDEX(EmployeeData[Exit Reason], ROW() - 37)),"")</f>
        <v/>
      </c>
      <c r="J2622" s="4" t="str" cm="1">
        <f t="array" ref="J2622">IFERROR(INDEX(EmployeeData[Status], ROW() - 37), "")</f>
        <v/>
      </c>
    </row>
    <row r="2623" spans="2:10" ht="19.95" customHeight="1" x14ac:dyDescent="0.3">
      <c r="B2623" s="4" t="str" cm="1">
        <f t="array" ref="B2623">IFERROR(INDEX(EmployeeData[Employee ID], ROW() - 37), "")</f>
        <v/>
      </c>
      <c r="C2623" s="4" t="str" cm="1">
        <f t="array" ref="C2623">IFERROR(INDEX(EmployeeData[Full Name], ROW() - 37), "")</f>
        <v/>
      </c>
      <c r="D2623" s="4" t="str" cm="1">
        <f t="array" ref="D2623">IFERROR(INDEX(EmployeeData[Department], ROW() - 37), "")</f>
        <v/>
      </c>
      <c r="E2623" s="4" t="str" cm="1">
        <f t="array" ref="E2623">IFERROR(INDEX(EmployeeData[Gender], ROW() - 37), "")</f>
        <v/>
      </c>
      <c r="F2623" s="4" t="str" cm="1">
        <f t="array" ref="F2623">IFERROR(INDEX(EmployeeData[Age], ROW() - 37), "")</f>
        <v/>
      </c>
      <c r="G2623" s="6" t="str" cm="1">
        <f t="array" ref="G2623">IFERROR(INDEX(EmployeeData[Join Date], ROW() - 37), "")</f>
        <v/>
      </c>
      <c r="H2623" s="6" t="str" cm="1">
        <f t="array" ref="H2623">IFERROR(IF(INDEX(EmployeeData[Exit Date], ROW() - 37)=0, "",INDEX(EmployeeData[Exit Date], ROW() - 37)),"")</f>
        <v/>
      </c>
      <c r="I2623" s="4" t="str" cm="1">
        <f t="array" ref="I2623">IFERROR(IF(INDEX(EmployeeData[Exit Reason], ROW() - 37)=0, "",INDEX(EmployeeData[Exit Reason], ROW() - 37)),"")</f>
        <v/>
      </c>
      <c r="J2623" s="4" t="str" cm="1">
        <f t="array" ref="J2623">IFERROR(INDEX(EmployeeData[Status], ROW() - 37), "")</f>
        <v/>
      </c>
    </row>
    <row r="2624" spans="2:10" ht="19.95" customHeight="1" x14ac:dyDescent="0.3">
      <c r="B2624" s="4" t="str" cm="1">
        <f t="array" ref="B2624">IFERROR(INDEX(EmployeeData[Employee ID], ROW() - 37), "")</f>
        <v/>
      </c>
      <c r="C2624" s="4" t="str" cm="1">
        <f t="array" ref="C2624">IFERROR(INDEX(EmployeeData[Full Name], ROW() - 37), "")</f>
        <v/>
      </c>
      <c r="D2624" s="4" t="str" cm="1">
        <f t="array" ref="D2624">IFERROR(INDEX(EmployeeData[Department], ROW() - 37), "")</f>
        <v/>
      </c>
      <c r="E2624" s="4" t="str" cm="1">
        <f t="array" ref="E2624">IFERROR(INDEX(EmployeeData[Gender], ROW() - 37), "")</f>
        <v/>
      </c>
      <c r="F2624" s="4" t="str" cm="1">
        <f t="array" ref="F2624">IFERROR(INDEX(EmployeeData[Age], ROW() - 37), "")</f>
        <v/>
      </c>
      <c r="G2624" s="6" t="str" cm="1">
        <f t="array" ref="G2624">IFERROR(INDEX(EmployeeData[Join Date], ROW() - 37), "")</f>
        <v/>
      </c>
      <c r="H2624" s="6" t="str" cm="1">
        <f t="array" ref="H2624">IFERROR(IF(INDEX(EmployeeData[Exit Date], ROW() - 37)=0, "",INDEX(EmployeeData[Exit Date], ROW() - 37)),"")</f>
        <v/>
      </c>
      <c r="I2624" s="4" t="str" cm="1">
        <f t="array" ref="I2624">IFERROR(IF(INDEX(EmployeeData[Exit Reason], ROW() - 37)=0, "",INDEX(EmployeeData[Exit Reason], ROW() - 37)),"")</f>
        <v/>
      </c>
      <c r="J2624" s="4" t="str" cm="1">
        <f t="array" ref="J2624">IFERROR(INDEX(EmployeeData[Status], ROW() - 37), "")</f>
        <v/>
      </c>
    </row>
    <row r="2625" spans="2:10" ht="19.95" customHeight="1" x14ac:dyDescent="0.3">
      <c r="B2625" s="4" t="str" cm="1">
        <f t="array" ref="B2625">IFERROR(INDEX(EmployeeData[Employee ID], ROW() - 37), "")</f>
        <v/>
      </c>
      <c r="C2625" s="4" t="str" cm="1">
        <f t="array" ref="C2625">IFERROR(INDEX(EmployeeData[Full Name], ROW() - 37), "")</f>
        <v/>
      </c>
      <c r="D2625" s="4" t="str" cm="1">
        <f t="array" ref="D2625">IFERROR(INDEX(EmployeeData[Department], ROW() - 37), "")</f>
        <v/>
      </c>
      <c r="E2625" s="4" t="str" cm="1">
        <f t="array" ref="E2625">IFERROR(INDEX(EmployeeData[Gender], ROW() - 37), "")</f>
        <v/>
      </c>
      <c r="F2625" s="4" t="str" cm="1">
        <f t="array" ref="F2625">IFERROR(INDEX(EmployeeData[Age], ROW() - 37), "")</f>
        <v/>
      </c>
      <c r="G2625" s="6" t="str" cm="1">
        <f t="array" ref="G2625">IFERROR(INDEX(EmployeeData[Join Date], ROW() - 37), "")</f>
        <v/>
      </c>
      <c r="H2625" s="6" t="str" cm="1">
        <f t="array" ref="H2625">IFERROR(IF(INDEX(EmployeeData[Exit Date], ROW() - 37)=0, "",INDEX(EmployeeData[Exit Date], ROW() - 37)),"")</f>
        <v/>
      </c>
      <c r="I2625" s="4" t="str" cm="1">
        <f t="array" ref="I2625">IFERROR(IF(INDEX(EmployeeData[Exit Reason], ROW() - 37)=0, "",INDEX(EmployeeData[Exit Reason], ROW() - 37)),"")</f>
        <v/>
      </c>
      <c r="J2625" s="4" t="str" cm="1">
        <f t="array" ref="J2625">IFERROR(INDEX(EmployeeData[Status], ROW() - 37), "")</f>
        <v/>
      </c>
    </row>
    <row r="2626" spans="2:10" ht="19.95" customHeight="1" x14ac:dyDescent="0.3">
      <c r="B2626" s="4" t="str" cm="1">
        <f t="array" ref="B2626">IFERROR(INDEX(EmployeeData[Employee ID], ROW() - 37), "")</f>
        <v/>
      </c>
      <c r="C2626" s="4" t="str" cm="1">
        <f t="array" ref="C2626">IFERROR(INDEX(EmployeeData[Full Name], ROW() - 37), "")</f>
        <v/>
      </c>
      <c r="D2626" s="4" t="str" cm="1">
        <f t="array" ref="D2626">IFERROR(INDEX(EmployeeData[Department], ROW() - 37), "")</f>
        <v/>
      </c>
      <c r="E2626" s="4" t="str" cm="1">
        <f t="array" ref="E2626">IFERROR(INDEX(EmployeeData[Gender], ROW() - 37), "")</f>
        <v/>
      </c>
      <c r="F2626" s="4" t="str" cm="1">
        <f t="array" ref="F2626">IFERROR(INDEX(EmployeeData[Age], ROW() - 37), "")</f>
        <v/>
      </c>
      <c r="G2626" s="6" t="str" cm="1">
        <f t="array" ref="G2626">IFERROR(INDEX(EmployeeData[Join Date], ROW() - 37), "")</f>
        <v/>
      </c>
      <c r="H2626" s="6" t="str" cm="1">
        <f t="array" ref="H2626">IFERROR(IF(INDEX(EmployeeData[Exit Date], ROW() - 37)=0, "",INDEX(EmployeeData[Exit Date], ROW() - 37)),"")</f>
        <v/>
      </c>
      <c r="I2626" s="4" t="str" cm="1">
        <f t="array" ref="I2626">IFERROR(IF(INDEX(EmployeeData[Exit Reason], ROW() - 37)=0, "",INDEX(EmployeeData[Exit Reason], ROW() - 37)),"")</f>
        <v/>
      </c>
      <c r="J2626" s="4" t="str" cm="1">
        <f t="array" ref="J2626">IFERROR(INDEX(EmployeeData[Status], ROW() - 37), "")</f>
        <v/>
      </c>
    </row>
    <row r="2627" spans="2:10" ht="19.95" customHeight="1" x14ac:dyDescent="0.3">
      <c r="B2627" s="4" t="str" cm="1">
        <f t="array" ref="B2627">IFERROR(INDEX(EmployeeData[Employee ID], ROW() - 37), "")</f>
        <v/>
      </c>
      <c r="C2627" s="4" t="str" cm="1">
        <f t="array" ref="C2627">IFERROR(INDEX(EmployeeData[Full Name], ROW() - 37), "")</f>
        <v/>
      </c>
      <c r="D2627" s="4" t="str" cm="1">
        <f t="array" ref="D2627">IFERROR(INDEX(EmployeeData[Department], ROW() - 37), "")</f>
        <v/>
      </c>
      <c r="E2627" s="4" t="str" cm="1">
        <f t="array" ref="E2627">IFERROR(INDEX(EmployeeData[Gender], ROW() - 37), "")</f>
        <v/>
      </c>
      <c r="F2627" s="4" t="str" cm="1">
        <f t="array" ref="F2627">IFERROR(INDEX(EmployeeData[Age], ROW() - 37), "")</f>
        <v/>
      </c>
      <c r="G2627" s="6" t="str" cm="1">
        <f t="array" ref="G2627">IFERROR(INDEX(EmployeeData[Join Date], ROW() - 37), "")</f>
        <v/>
      </c>
      <c r="H2627" s="6" t="str" cm="1">
        <f t="array" ref="H2627">IFERROR(IF(INDEX(EmployeeData[Exit Date], ROW() - 37)=0, "",INDEX(EmployeeData[Exit Date], ROW() - 37)),"")</f>
        <v/>
      </c>
      <c r="I2627" s="4" t="str" cm="1">
        <f t="array" ref="I2627">IFERROR(IF(INDEX(EmployeeData[Exit Reason], ROW() - 37)=0, "",INDEX(EmployeeData[Exit Reason], ROW() - 37)),"")</f>
        <v/>
      </c>
      <c r="J2627" s="4" t="str" cm="1">
        <f t="array" ref="J2627">IFERROR(INDEX(EmployeeData[Status], ROW() - 37), "")</f>
        <v/>
      </c>
    </row>
    <row r="2628" spans="2:10" ht="19.95" customHeight="1" x14ac:dyDescent="0.3">
      <c r="B2628" s="4" t="str" cm="1">
        <f t="array" ref="B2628">IFERROR(INDEX(EmployeeData[Employee ID], ROW() - 37), "")</f>
        <v/>
      </c>
      <c r="C2628" s="4" t="str" cm="1">
        <f t="array" ref="C2628">IFERROR(INDEX(EmployeeData[Full Name], ROW() - 37), "")</f>
        <v/>
      </c>
      <c r="D2628" s="4" t="str" cm="1">
        <f t="array" ref="D2628">IFERROR(INDEX(EmployeeData[Department], ROW() - 37), "")</f>
        <v/>
      </c>
      <c r="E2628" s="4" t="str" cm="1">
        <f t="array" ref="E2628">IFERROR(INDEX(EmployeeData[Gender], ROW() - 37), "")</f>
        <v/>
      </c>
      <c r="F2628" s="4" t="str" cm="1">
        <f t="array" ref="F2628">IFERROR(INDEX(EmployeeData[Age], ROW() - 37), "")</f>
        <v/>
      </c>
      <c r="G2628" s="6" t="str" cm="1">
        <f t="array" ref="G2628">IFERROR(INDEX(EmployeeData[Join Date], ROW() - 37), "")</f>
        <v/>
      </c>
      <c r="H2628" s="6" t="str" cm="1">
        <f t="array" ref="H2628">IFERROR(IF(INDEX(EmployeeData[Exit Date], ROW() - 37)=0, "",INDEX(EmployeeData[Exit Date], ROW() - 37)),"")</f>
        <v/>
      </c>
      <c r="I2628" s="4" t="str" cm="1">
        <f t="array" ref="I2628">IFERROR(IF(INDEX(EmployeeData[Exit Reason], ROW() - 37)=0, "",INDEX(EmployeeData[Exit Reason], ROW() - 37)),"")</f>
        <v/>
      </c>
      <c r="J2628" s="4" t="str" cm="1">
        <f t="array" ref="J2628">IFERROR(INDEX(EmployeeData[Status], ROW() - 37), "")</f>
        <v/>
      </c>
    </row>
    <row r="2629" spans="2:10" ht="19.95" customHeight="1" x14ac:dyDescent="0.3">
      <c r="B2629" s="4" t="str" cm="1">
        <f t="array" ref="B2629">IFERROR(INDEX(EmployeeData[Employee ID], ROW() - 37), "")</f>
        <v/>
      </c>
      <c r="C2629" s="4" t="str" cm="1">
        <f t="array" ref="C2629">IFERROR(INDEX(EmployeeData[Full Name], ROW() - 37), "")</f>
        <v/>
      </c>
      <c r="D2629" s="4" t="str" cm="1">
        <f t="array" ref="D2629">IFERROR(INDEX(EmployeeData[Department], ROW() - 37), "")</f>
        <v/>
      </c>
      <c r="E2629" s="4" t="str" cm="1">
        <f t="array" ref="E2629">IFERROR(INDEX(EmployeeData[Gender], ROW() - 37), "")</f>
        <v/>
      </c>
      <c r="F2629" s="4" t="str" cm="1">
        <f t="array" ref="F2629">IFERROR(INDEX(EmployeeData[Age], ROW() - 37), "")</f>
        <v/>
      </c>
      <c r="G2629" s="6" t="str" cm="1">
        <f t="array" ref="G2629">IFERROR(INDEX(EmployeeData[Join Date], ROW() - 37), "")</f>
        <v/>
      </c>
      <c r="H2629" s="6" t="str" cm="1">
        <f t="array" ref="H2629">IFERROR(IF(INDEX(EmployeeData[Exit Date], ROW() - 37)=0, "",INDEX(EmployeeData[Exit Date], ROW() - 37)),"")</f>
        <v/>
      </c>
      <c r="I2629" s="4" t="str" cm="1">
        <f t="array" ref="I2629">IFERROR(IF(INDEX(EmployeeData[Exit Reason], ROW() - 37)=0, "",INDEX(EmployeeData[Exit Reason], ROW() - 37)),"")</f>
        <v/>
      </c>
      <c r="J2629" s="4" t="str" cm="1">
        <f t="array" ref="J2629">IFERROR(INDEX(EmployeeData[Status], ROW() - 37), "")</f>
        <v/>
      </c>
    </row>
    <row r="2630" spans="2:10" ht="19.95" customHeight="1" x14ac:dyDescent="0.3">
      <c r="B2630" s="4" t="str" cm="1">
        <f t="array" ref="B2630">IFERROR(INDEX(EmployeeData[Employee ID], ROW() - 37), "")</f>
        <v/>
      </c>
      <c r="C2630" s="4" t="str" cm="1">
        <f t="array" ref="C2630">IFERROR(INDEX(EmployeeData[Full Name], ROW() - 37), "")</f>
        <v/>
      </c>
      <c r="D2630" s="4" t="str" cm="1">
        <f t="array" ref="D2630">IFERROR(INDEX(EmployeeData[Department], ROW() - 37), "")</f>
        <v/>
      </c>
      <c r="E2630" s="4" t="str" cm="1">
        <f t="array" ref="E2630">IFERROR(INDEX(EmployeeData[Gender], ROW() - 37), "")</f>
        <v/>
      </c>
      <c r="F2630" s="4" t="str" cm="1">
        <f t="array" ref="F2630">IFERROR(INDEX(EmployeeData[Age], ROW() - 37), "")</f>
        <v/>
      </c>
      <c r="G2630" s="6" t="str" cm="1">
        <f t="array" ref="G2630">IFERROR(INDEX(EmployeeData[Join Date], ROW() - 37), "")</f>
        <v/>
      </c>
      <c r="H2630" s="6" t="str" cm="1">
        <f t="array" ref="H2630">IFERROR(IF(INDEX(EmployeeData[Exit Date], ROW() - 37)=0, "",INDEX(EmployeeData[Exit Date], ROW() - 37)),"")</f>
        <v/>
      </c>
      <c r="I2630" s="4" t="str" cm="1">
        <f t="array" ref="I2630">IFERROR(IF(INDEX(EmployeeData[Exit Reason], ROW() - 37)=0, "",INDEX(EmployeeData[Exit Reason], ROW() - 37)),"")</f>
        <v/>
      </c>
      <c r="J2630" s="4" t="str" cm="1">
        <f t="array" ref="J2630">IFERROR(INDEX(EmployeeData[Status], ROW() - 37), "")</f>
        <v/>
      </c>
    </row>
    <row r="2631" spans="2:10" ht="19.95" customHeight="1" x14ac:dyDescent="0.3">
      <c r="B2631" s="4" t="str" cm="1">
        <f t="array" ref="B2631">IFERROR(INDEX(EmployeeData[Employee ID], ROW() - 37), "")</f>
        <v/>
      </c>
      <c r="C2631" s="4" t="str" cm="1">
        <f t="array" ref="C2631">IFERROR(INDEX(EmployeeData[Full Name], ROW() - 37), "")</f>
        <v/>
      </c>
      <c r="D2631" s="4" t="str" cm="1">
        <f t="array" ref="D2631">IFERROR(INDEX(EmployeeData[Department], ROW() - 37), "")</f>
        <v/>
      </c>
      <c r="E2631" s="4" t="str" cm="1">
        <f t="array" ref="E2631">IFERROR(INDEX(EmployeeData[Gender], ROW() - 37), "")</f>
        <v/>
      </c>
      <c r="F2631" s="4" t="str" cm="1">
        <f t="array" ref="F2631">IFERROR(INDEX(EmployeeData[Age], ROW() - 37), "")</f>
        <v/>
      </c>
      <c r="G2631" s="6" t="str" cm="1">
        <f t="array" ref="G2631">IFERROR(INDEX(EmployeeData[Join Date], ROW() - 37), "")</f>
        <v/>
      </c>
      <c r="H2631" s="6" t="str" cm="1">
        <f t="array" ref="H2631">IFERROR(IF(INDEX(EmployeeData[Exit Date], ROW() - 37)=0, "",INDEX(EmployeeData[Exit Date], ROW() - 37)),"")</f>
        <v/>
      </c>
      <c r="I2631" s="4" t="str" cm="1">
        <f t="array" ref="I2631">IFERROR(IF(INDEX(EmployeeData[Exit Reason], ROW() - 37)=0, "",INDEX(EmployeeData[Exit Reason], ROW() - 37)),"")</f>
        <v/>
      </c>
      <c r="J2631" s="4" t="str" cm="1">
        <f t="array" ref="J2631">IFERROR(INDEX(EmployeeData[Status], ROW() - 37), "")</f>
        <v/>
      </c>
    </row>
    <row r="2632" spans="2:10" ht="19.95" customHeight="1" x14ac:dyDescent="0.3">
      <c r="B2632" s="4" t="str" cm="1">
        <f t="array" ref="B2632">IFERROR(INDEX(EmployeeData[Employee ID], ROW() - 37), "")</f>
        <v/>
      </c>
      <c r="C2632" s="4" t="str" cm="1">
        <f t="array" ref="C2632">IFERROR(INDEX(EmployeeData[Full Name], ROW() - 37), "")</f>
        <v/>
      </c>
      <c r="D2632" s="4" t="str" cm="1">
        <f t="array" ref="D2632">IFERROR(INDEX(EmployeeData[Department], ROW() - 37), "")</f>
        <v/>
      </c>
      <c r="E2632" s="4" t="str" cm="1">
        <f t="array" ref="E2632">IFERROR(INDEX(EmployeeData[Gender], ROW() - 37), "")</f>
        <v/>
      </c>
      <c r="F2632" s="4" t="str" cm="1">
        <f t="array" ref="F2632">IFERROR(INDEX(EmployeeData[Age], ROW() - 37), "")</f>
        <v/>
      </c>
      <c r="G2632" s="6" t="str" cm="1">
        <f t="array" ref="G2632">IFERROR(INDEX(EmployeeData[Join Date], ROW() - 37), "")</f>
        <v/>
      </c>
      <c r="H2632" s="6" t="str" cm="1">
        <f t="array" ref="H2632">IFERROR(IF(INDEX(EmployeeData[Exit Date], ROW() - 37)=0, "",INDEX(EmployeeData[Exit Date], ROW() - 37)),"")</f>
        <v/>
      </c>
      <c r="I2632" s="4" t="str" cm="1">
        <f t="array" ref="I2632">IFERROR(IF(INDEX(EmployeeData[Exit Reason], ROW() - 37)=0, "",INDEX(EmployeeData[Exit Reason], ROW() - 37)),"")</f>
        <v/>
      </c>
      <c r="J2632" s="4" t="str" cm="1">
        <f t="array" ref="J2632">IFERROR(INDEX(EmployeeData[Status], ROW() - 37), "")</f>
        <v/>
      </c>
    </row>
    <row r="2633" spans="2:10" ht="19.95" customHeight="1" x14ac:dyDescent="0.3">
      <c r="B2633" s="4" t="str" cm="1">
        <f t="array" ref="B2633">IFERROR(INDEX(EmployeeData[Employee ID], ROW() - 37), "")</f>
        <v/>
      </c>
      <c r="C2633" s="4" t="str" cm="1">
        <f t="array" ref="C2633">IFERROR(INDEX(EmployeeData[Full Name], ROW() - 37), "")</f>
        <v/>
      </c>
      <c r="D2633" s="4" t="str" cm="1">
        <f t="array" ref="D2633">IFERROR(INDEX(EmployeeData[Department], ROW() - 37), "")</f>
        <v/>
      </c>
      <c r="E2633" s="4" t="str" cm="1">
        <f t="array" ref="E2633">IFERROR(INDEX(EmployeeData[Gender], ROW() - 37), "")</f>
        <v/>
      </c>
      <c r="F2633" s="4" t="str" cm="1">
        <f t="array" ref="F2633">IFERROR(INDEX(EmployeeData[Age], ROW() - 37), "")</f>
        <v/>
      </c>
      <c r="G2633" s="6" t="str" cm="1">
        <f t="array" ref="G2633">IFERROR(INDEX(EmployeeData[Join Date], ROW() - 37), "")</f>
        <v/>
      </c>
      <c r="H2633" s="6" t="str" cm="1">
        <f t="array" ref="H2633">IFERROR(IF(INDEX(EmployeeData[Exit Date], ROW() - 37)=0, "",INDEX(EmployeeData[Exit Date], ROW() - 37)),"")</f>
        <v/>
      </c>
      <c r="I2633" s="4" t="str" cm="1">
        <f t="array" ref="I2633">IFERROR(IF(INDEX(EmployeeData[Exit Reason], ROW() - 37)=0, "",INDEX(EmployeeData[Exit Reason], ROW() - 37)),"")</f>
        <v/>
      </c>
      <c r="J2633" s="4" t="str" cm="1">
        <f t="array" ref="J2633">IFERROR(INDEX(EmployeeData[Status], ROW() - 37), "")</f>
        <v/>
      </c>
    </row>
    <row r="2634" spans="2:10" ht="19.95" customHeight="1" x14ac:dyDescent="0.3">
      <c r="B2634" s="4" t="str" cm="1">
        <f t="array" ref="B2634">IFERROR(INDEX(EmployeeData[Employee ID], ROW() - 37), "")</f>
        <v/>
      </c>
      <c r="C2634" s="4" t="str" cm="1">
        <f t="array" ref="C2634">IFERROR(INDEX(EmployeeData[Full Name], ROW() - 37), "")</f>
        <v/>
      </c>
      <c r="D2634" s="4" t="str" cm="1">
        <f t="array" ref="D2634">IFERROR(INDEX(EmployeeData[Department], ROW() - 37), "")</f>
        <v/>
      </c>
      <c r="E2634" s="4" t="str" cm="1">
        <f t="array" ref="E2634">IFERROR(INDEX(EmployeeData[Gender], ROW() - 37), "")</f>
        <v/>
      </c>
      <c r="F2634" s="4" t="str" cm="1">
        <f t="array" ref="F2634">IFERROR(INDEX(EmployeeData[Age], ROW() - 37), "")</f>
        <v/>
      </c>
      <c r="G2634" s="6" t="str" cm="1">
        <f t="array" ref="G2634">IFERROR(INDEX(EmployeeData[Join Date], ROW() - 37), "")</f>
        <v/>
      </c>
      <c r="H2634" s="6" t="str" cm="1">
        <f t="array" ref="H2634">IFERROR(IF(INDEX(EmployeeData[Exit Date], ROW() - 37)=0, "",INDEX(EmployeeData[Exit Date], ROW() - 37)),"")</f>
        <v/>
      </c>
      <c r="I2634" s="4" t="str" cm="1">
        <f t="array" ref="I2634">IFERROR(IF(INDEX(EmployeeData[Exit Reason], ROW() - 37)=0, "",INDEX(EmployeeData[Exit Reason], ROW() - 37)),"")</f>
        <v/>
      </c>
      <c r="J2634" s="4" t="str" cm="1">
        <f t="array" ref="J2634">IFERROR(INDEX(EmployeeData[Status], ROW() - 37), "")</f>
        <v/>
      </c>
    </row>
    <row r="2635" spans="2:10" ht="19.95" customHeight="1" x14ac:dyDescent="0.3">
      <c r="B2635" s="4" t="str" cm="1">
        <f t="array" ref="B2635">IFERROR(INDEX(EmployeeData[Employee ID], ROW() - 37), "")</f>
        <v/>
      </c>
      <c r="C2635" s="4" t="str" cm="1">
        <f t="array" ref="C2635">IFERROR(INDEX(EmployeeData[Full Name], ROW() - 37), "")</f>
        <v/>
      </c>
      <c r="D2635" s="4" t="str" cm="1">
        <f t="array" ref="D2635">IFERROR(INDEX(EmployeeData[Department], ROW() - 37), "")</f>
        <v/>
      </c>
      <c r="E2635" s="4" t="str" cm="1">
        <f t="array" ref="E2635">IFERROR(INDEX(EmployeeData[Gender], ROW() - 37), "")</f>
        <v/>
      </c>
      <c r="F2635" s="4" t="str" cm="1">
        <f t="array" ref="F2635">IFERROR(INDEX(EmployeeData[Age], ROW() - 37), "")</f>
        <v/>
      </c>
      <c r="G2635" s="6" t="str" cm="1">
        <f t="array" ref="G2635">IFERROR(INDEX(EmployeeData[Join Date], ROW() - 37), "")</f>
        <v/>
      </c>
      <c r="H2635" s="6" t="str" cm="1">
        <f t="array" ref="H2635">IFERROR(IF(INDEX(EmployeeData[Exit Date], ROW() - 37)=0, "",INDEX(EmployeeData[Exit Date], ROW() - 37)),"")</f>
        <v/>
      </c>
      <c r="I2635" s="4" t="str" cm="1">
        <f t="array" ref="I2635">IFERROR(IF(INDEX(EmployeeData[Exit Reason], ROW() - 37)=0, "",INDEX(EmployeeData[Exit Reason], ROW() - 37)),"")</f>
        <v/>
      </c>
      <c r="J2635" s="4" t="str" cm="1">
        <f t="array" ref="J2635">IFERROR(INDEX(EmployeeData[Status], ROW() - 37), "")</f>
        <v/>
      </c>
    </row>
    <row r="2636" spans="2:10" ht="19.95" customHeight="1" x14ac:dyDescent="0.3">
      <c r="B2636" s="4" t="str" cm="1">
        <f t="array" ref="B2636">IFERROR(INDEX(EmployeeData[Employee ID], ROW() - 37), "")</f>
        <v/>
      </c>
      <c r="C2636" s="4" t="str" cm="1">
        <f t="array" ref="C2636">IFERROR(INDEX(EmployeeData[Full Name], ROW() - 37), "")</f>
        <v/>
      </c>
      <c r="D2636" s="4" t="str" cm="1">
        <f t="array" ref="D2636">IFERROR(INDEX(EmployeeData[Department], ROW() - 37), "")</f>
        <v/>
      </c>
      <c r="E2636" s="4" t="str" cm="1">
        <f t="array" ref="E2636">IFERROR(INDEX(EmployeeData[Gender], ROW() - 37), "")</f>
        <v/>
      </c>
      <c r="F2636" s="4" t="str" cm="1">
        <f t="array" ref="F2636">IFERROR(INDEX(EmployeeData[Age], ROW() - 37), "")</f>
        <v/>
      </c>
      <c r="G2636" s="6" t="str" cm="1">
        <f t="array" ref="G2636">IFERROR(INDEX(EmployeeData[Join Date], ROW() - 37), "")</f>
        <v/>
      </c>
      <c r="H2636" s="6" t="str" cm="1">
        <f t="array" ref="H2636">IFERROR(IF(INDEX(EmployeeData[Exit Date], ROW() - 37)=0, "",INDEX(EmployeeData[Exit Date], ROW() - 37)),"")</f>
        <v/>
      </c>
      <c r="I2636" s="4" t="str" cm="1">
        <f t="array" ref="I2636">IFERROR(IF(INDEX(EmployeeData[Exit Reason], ROW() - 37)=0, "",INDEX(EmployeeData[Exit Reason], ROW() - 37)),"")</f>
        <v/>
      </c>
      <c r="J2636" s="4" t="str" cm="1">
        <f t="array" ref="J2636">IFERROR(INDEX(EmployeeData[Status], ROW() - 37), "")</f>
        <v/>
      </c>
    </row>
    <row r="2637" spans="2:10" ht="19.95" customHeight="1" x14ac:dyDescent="0.3">
      <c r="B2637" s="4" t="str" cm="1">
        <f t="array" ref="B2637">IFERROR(INDEX(EmployeeData[Employee ID], ROW() - 37), "")</f>
        <v/>
      </c>
      <c r="C2637" s="4" t="str" cm="1">
        <f t="array" ref="C2637">IFERROR(INDEX(EmployeeData[Full Name], ROW() - 37), "")</f>
        <v/>
      </c>
      <c r="D2637" s="4" t="str" cm="1">
        <f t="array" ref="D2637">IFERROR(INDEX(EmployeeData[Department], ROW() - 37), "")</f>
        <v/>
      </c>
      <c r="E2637" s="4" t="str" cm="1">
        <f t="array" ref="E2637">IFERROR(INDEX(EmployeeData[Gender], ROW() - 37), "")</f>
        <v/>
      </c>
      <c r="F2637" s="4" t="str" cm="1">
        <f t="array" ref="F2637">IFERROR(INDEX(EmployeeData[Age], ROW() - 37), "")</f>
        <v/>
      </c>
      <c r="G2637" s="6" t="str" cm="1">
        <f t="array" ref="G2637">IFERROR(INDEX(EmployeeData[Join Date], ROW() - 37), "")</f>
        <v/>
      </c>
      <c r="H2637" s="6" t="str" cm="1">
        <f t="array" ref="H2637">IFERROR(IF(INDEX(EmployeeData[Exit Date], ROW() - 37)=0, "",INDEX(EmployeeData[Exit Date], ROW() - 37)),"")</f>
        <v/>
      </c>
      <c r="I2637" s="4" t="str" cm="1">
        <f t="array" ref="I2637">IFERROR(IF(INDEX(EmployeeData[Exit Reason], ROW() - 37)=0, "",INDEX(EmployeeData[Exit Reason], ROW() - 37)),"")</f>
        <v/>
      </c>
      <c r="J2637" s="4" t="str" cm="1">
        <f t="array" ref="J2637">IFERROR(INDEX(EmployeeData[Status], ROW() - 37), "")</f>
        <v/>
      </c>
    </row>
    <row r="2638" spans="2:10" ht="19.95" customHeight="1" x14ac:dyDescent="0.3">
      <c r="B2638" s="4" t="str" cm="1">
        <f t="array" ref="B2638">IFERROR(INDEX(EmployeeData[Employee ID], ROW() - 37), "")</f>
        <v/>
      </c>
      <c r="C2638" s="4" t="str" cm="1">
        <f t="array" ref="C2638">IFERROR(INDEX(EmployeeData[Full Name], ROW() - 37), "")</f>
        <v/>
      </c>
      <c r="D2638" s="4" t="str" cm="1">
        <f t="array" ref="D2638">IFERROR(INDEX(EmployeeData[Department], ROW() - 37), "")</f>
        <v/>
      </c>
      <c r="E2638" s="4" t="str" cm="1">
        <f t="array" ref="E2638">IFERROR(INDEX(EmployeeData[Gender], ROW() - 37), "")</f>
        <v/>
      </c>
      <c r="F2638" s="4" t="str" cm="1">
        <f t="array" ref="F2638">IFERROR(INDEX(EmployeeData[Age], ROW() - 37), "")</f>
        <v/>
      </c>
      <c r="G2638" s="6" t="str" cm="1">
        <f t="array" ref="G2638">IFERROR(INDEX(EmployeeData[Join Date], ROW() - 37), "")</f>
        <v/>
      </c>
      <c r="H2638" s="6" t="str" cm="1">
        <f t="array" ref="H2638">IFERROR(IF(INDEX(EmployeeData[Exit Date], ROW() - 37)=0, "",INDEX(EmployeeData[Exit Date], ROW() - 37)),"")</f>
        <v/>
      </c>
      <c r="I2638" s="4" t="str" cm="1">
        <f t="array" ref="I2638">IFERROR(IF(INDEX(EmployeeData[Exit Reason], ROW() - 37)=0, "",INDEX(EmployeeData[Exit Reason], ROW() - 37)),"")</f>
        <v/>
      </c>
      <c r="J2638" s="4" t="str" cm="1">
        <f t="array" ref="J2638">IFERROR(INDEX(EmployeeData[Status], ROW() - 37), "")</f>
        <v/>
      </c>
    </row>
    <row r="2639" spans="2:10" ht="19.95" customHeight="1" x14ac:dyDescent="0.3">
      <c r="B2639" s="4" t="str" cm="1">
        <f t="array" ref="B2639">IFERROR(INDEX(EmployeeData[Employee ID], ROW() - 37), "")</f>
        <v/>
      </c>
      <c r="C2639" s="4" t="str" cm="1">
        <f t="array" ref="C2639">IFERROR(INDEX(EmployeeData[Full Name], ROW() - 37), "")</f>
        <v/>
      </c>
      <c r="D2639" s="4" t="str" cm="1">
        <f t="array" ref="D2639">IFERROR(INDEX(EmployeeData[Department], ROW() - 37), "")</f>
        <v/>
      </c>
      <c r="E2639" s="4" t="str" cm="1">
        <f t="array" ref="E2639">IFERROR(INDEX(EmployeeData[Gender], ROW() - 37), "")</f>
        <v/>
      </c>
      <c r="F2639" s="4" t="str" cm="1">
        <f t="array" ref="F2639">IFERROR(INDEX(EmployeeData[Age], ROW() - 37), "")</f>
        <v/>
      </c>
      <c r="G2639" s="6" t="str" cm="1">
        <f t="array" ref="G2639">IFERROR(INDEX(EmployeeData[Join Date], ROW() - 37), "")</f>
        <v/>
      </c>
      <c r="H2639" s="6" t="str" cm="1">
        <f t="array" ref="H2639">IFERROR(IF(INDEX(EmployeeData[Exit Date], ROW() - 37)=0, "",INDEX(EmployeeData[Exit Date], ROW() - 37)),"")</f>
        <v/>
      </c>
      <c r="I2639" s="4" t="str" cm="1">
        <f t="array" ref="I2639">IFERROR(IF(INDEX(EmployeeData[Exit Reason], ROW() - 37)=0, "",INDEX(EmployeeData[Exit Reason], ROW() - 37)),"")</f>
        <v/>
      </c>
      <c r="J2639" s="4" t="str" cm="1">
        <f t="array" ref="J2639">IFERROR(INDEX(EmployeeData[Status], ROW() - 37), "")</f>
        <v/>
      </c>
    </row>
    <row r="2640" spans="2:10" ht="19.95" customHeight="1" x14ac:dyDescent="0.3">
      <c r="B2640" s="4" t="str" cm="1">
        <f t="array" ref="B2640">IFERROR(INDEX(EmployeeData[Employee ID], ROW() - 37), "")</f>
        <v/>
      </c>
      <c r="C2640" s="4" t="str" cm="1">
        <f t="array" ref="C2640">IFERROR(INDEX(EmployeeData[Full Name], ROW() - 37), "")</f>
        <v/>
      </c>
      <c r="D2640" s="4" t="str" cm="1">
        <f t="array" ref="D2640">IFERROR(INDEX(EmployeeData[Department], ROW() - 37), "")</f>
        <v/>
      </c>
      <c r="E2640" s="4" t="str" cm="1">
        <f t="array" ref="E2640">IFERROR(INDEX(EmployeeData[Gender], ROW() - 37), "")</f>
        <v/>
      </c>
      <c r="F2640" s="4" t="str" cm="1">
        <f t="array" ref="F2640">IFERROR(INDEX(EmployeeData[Age], ROW() - 37), "")</f>
        <v/>
      </c>
      <c r="G2640" s="6" t="str" cm="1">
        <f t="array" ref="G2640">IFERROR(INDEX(EmployeeData[Join Date], ROW() - 37), "")</f>
        <v/>
      </c>
      <c r="H2640" s="6" t="str" cm="1">
        <f t="array" ref="H2640">IFERROR(IF(INDEX(EmployeeData[Exit Date], ROW() - 37)=0, "",INDEX(EmployeeData[Exit Date], ROW() - 37)),"")</f>
        <v/>
      </c>
      <c r="I2640" s="4" t="str" cm="1">
        <f t="array" ref="I2640">IFERROR(IF(INDEX(EmployeeData[Exit Reason], ROW() - 37)=0, "",INDEX(EmployeeData[Exit Reason], ROW() - 37)),"")</f>
        <v/>
      </c>
      <c r="J2640" s="4" t="str" cm="1">
        <f t="array" ref="J2640">IFERROR(INDEX(EmployeeData[Status], ROW() - 37), "")</f>
        <v/>
      </c>
    </row>
    <row r="2641" spans="2:10" ht="19.95" customHeight="1" x14ac:dyDescent="0.3">
      <c r="B2641" s="4" t="str" cm="1">
        <f t="array" ref="B2641">IFERROR(INDEX(EmployeeData[Employee ID], ROW() - 37), "")</f>
        <v/>
      </c>
      <c r="C2641" s="4" t="str" cm="1">
        <f t="array" ref="C2641">IFERROR(INDEX(EmployeeData[Full Name], ROW() - 37), "")</f>
        <v/>
      </c>
      <c r="D2641" s="4" t="str" cm="1">
        <f t="array" ref="D2641">IFERROR(INDEX(EmployeeData[Department], ROW() - 37), "")</f>
        <v/>
      </c>
      <c r="E2641" s="4" t="str" cm="1">
        <f t="array" ref="E2641">IFERROR(INDEX(EmployeeData[Gender], ROW() - 37), "")</f>
        <v/>
      </c>
      <c r="F2641" s="4" t="str" cm="1">
        <f t="array" ref="F2641">IFERROR(INDEX(EmployeeData[Age], ROW() - 37), "")</f>
        <v/>
      </c>
      <c r="G2641" s="6" t="str" cm="1">
        <f t="array" ref="G2641">IFERROR(INDEX(EmployeeData[Join Date], ROW() - 37), "")</f>
        <v/>
      </c>
      <c r="H2641" s="6" t="str" cm="1">
        <f t="array" ref="H2641">IFERROR(IF(INDEX(EmployeeData[Exit Date], ROW() - 37)=0, "",INDEX(EmployeeData[Exit Date], ROW() - 37)),"")</f>
        <v/>
      </c>
      <c r="I2641" s="4" t="str" cm="1">
        <f t="array" ref="I2641">IFERROR(IF(INDEX(EmployeeData[Exit Reason], ROW() - 37)=0, "",INDEX(EmployeeData[Exit Reason], ROW() - 37)),"")</f>
        <v/>
      </c>
      <c r="J2641" s="4" t="str" cm="1">
        <f t="array" ref="J2641">IFERROR(INDEX(EmployeeData[Status], ROW() - 37), "")</f>
        <v/>
      </c>
    </row>
    <row r="2642" spans="2:10" ht="19.95" customHeight="1" x14ac:dyDescent="0.3">
      <c r="B2642" s="4" t="str" cm="1">
        <f t="array" ref="B2642">IFERROR(INDEX(EmployeeData[Employee ID], ROW() - 37), "")</f>
        <v/>
      </c>
      <c r="C2642" s="4" t="str" cm="1">
        <f t="array" ref="C2642">IFERROR(INDEX(EmployeeData[Full Name], ROW() - 37), "")</f>
        <v/>
      </c>
      <c r="D2642" s="4" t="str" cm="1">
        <f t="array" ref="D2642">IFERROR(INDEX(EmployeeData[Department], ROW() - 37), "")</f>
        <v/>
      </c>
      <c r="E2642" s="4" t="str" cm="1">
        <f t="array" ref="E2642">IFERROR(INDEX(EmployeeData[Gender], ROW() - 37), "")</f>
        <v/>
      </c>
      <c r="F2642" s="4" t="str" cm="1">
        <f t="array" ref="F2642">IFERROR(INDEX(EmployeeData[Age], ROW() - 37), "")</f>
        <v/>
      </c>
      <c r="G2642" s="6" t="str" cm="1">
        <f t="array" ref="G2642">IFERROR(INDEX(EmployeeData[Join Date], ROW() - 37), "")</f>
        <v/>
      </c>
      <c r="H2642" s="6" t="str" cm="1">
        <f t="array" ref="H2642">IFERROR(IF(INDEX(EmployeeData[Exit Date], ROW() - 37)=0, "",INDEX(EmployeeData[Exit Date], ROW() - 37)),"")</f>
        <v/>
      </c>
      <c r="I2642" s="4" t="str" cm="1">
        <f t="array" ref="I2642">IFERROR(IF(INDEX(EmployeeData[Exit Reason], ROW() - 37)=0, "",INDEX(EmployeeData[Exit Reason], ROW() - 37)),"")</f>
        <v/>
      </c>
      <c r="J2642" s="4" t="str" cm="1">
        <f t="array" ref="J2642">IFERROR(INDEX(EmployeeData[Status], ROW() - 37), "")</f>
        <v/>
      </c>
    </row>
    <row r="2643" spans="2:10" ht="19.95" customHeight="1" x14ac:dyDescent="0.3">
      <c r="B2643" s="4" t="str" cm="1">
        <f t="array" ref="B2643">IFERROR(INDEX(EmployeeData[Employee ID], ROW() - 37), "")</f>
        <v/>
      </c>
      <c r="C2643" s="4" t="str" cm="1">
        <f t="array" ref="C2643">IFERROR(INDEX(EmployeeData[Full Name], ROW() - 37), "")</f>
        <v/>
      </c>
      <c r="D2643" s="4" t="str" cm="1">
        <f t="array" ref="D2643">IFERROR(INDEX(EmployeeData[Department], ROW() - 37), "")</f>
        <v/>
      </c>
      <c r="E2643" s="4" t="str" cm="1">
        <f t="array" ref="E2643">IFERROR(INDEX(EmployeeData[Gender], ROW() - 37), "")</f>
        <v/>
      </c>
      <c r="F2643" s="4" t="str" cm="1">
        <f t="array" ref="F2643">IFERROR(INDEX(EmployeeData[Age], ROW() - 37), "")</f>
        <v/>
      </c>
      <c r="G2643" s="6" t="str" cm="1">
        <f t="array" ref="G2643">IFERROR(INDEX(EmployeeData[Join Date], ROW() - 37), "")</f>
        <v/>
      </c>
      <c r="H2643" s="6" t="str" cm="1">
        <f t="array" ref="H2643">IFERROR(IF(INDEX(EmployeeData[Exit Date], ROW() - 37)=0, "",INDEX(EmployeeData[Exit Date], ROW() - 37)),"")</f>
        <v/>
      </c>
      <c r="I2643" s="4" t="str" cm="1">
        <f t="array" ref="I2643">IFERROR(IF(INDEX(EmployeeData[Exit Reason], ROW() - 37)=0, "",INDEX(EmployeeData[Exit Reason], ROW() - 37)),"")</f>
        <v/>
      </c>
      <c r="J2643" s="4" t="str" cm="1">
        <f t="array" ref="J2643">IFERROR(INDEX(EmployeeData[Status], ROW() - 37), "")</f>
        <v/>
      </c>
    </row>
    <row r="2644" spans="2:10" ht="19.95" customHeight="1" x14ac:dyDescent="0.3">
      <c r="B2644" s="4" t="str" cm="1">
        <f t="array" ref="B2644">IFERROR(INDEX(EmployeeData[Employee ID], ROW() - 37), "")</f>
        <v/>
      </c>
      <c r="C2644" s="4" t="str" cm="1">
        <f t="array" ref="C2644">IFERROR(INDEX(EmployeeData[Full Name], ROW() - 37), "")</f>
        <v/>
      </c>
      <c r="D2644" s="4" t="str" cm="1">
        <f t="array" ref="D2644">IFERROR(INDEX(EmployeeData[Department], ROW() - 37), "")</f>
        <v/>
      </c>
      <c r="E2644" s="4" t="str" cm="1">
        <f t="array" ref="E2644">IFERROR(INDEX(EmployeeData[Gender], ROW() - 37), "")</f>
        <v/>
      </c>
      <c r="F2644" s="4" t="str" cm="1">
        <f t="array" ref="F2644">IFERROR(INDEX(EmployeeData[Age], ROW() - 37), "")</f>
        <v/>
      </c>
      <c r="G2644" s="6" t="str" cm="1">
        <f t="array" ref="G2644">IFERROR(INDEX(EmployeeData[Join Date], ROW() - 37), "")</f>
        <v/>
      </c>
      <c r="H2644" s="6" t="str" cm="1">
        <f t="array" ref="H2644">IFERROR(IF(INDEX(EmployeeData[Exit Date], ROW() - 37)=0, "",INDEX(EmployeeData[Exit Date], ROW() - 37)),"")</f>
        <v/>
      </c>
      <c r="I2644" s="4" t="str" cm="1">
        <f t="array" ref="I2644">IFERROR(IF(INDEX(EmployeeData[Exit Reason], ROW() - 37)=0, "",INDEX(EmployeeData[Exit Reason], ROW() - 37)),"")</f>
        <v/>
      </c>
      <c r="J2644" s="4" t="str" cm="1">
        <f t="array" ref="J2644">IFERROR(INDEX(EmployeeData[Status], ROW() - 37), "")</f>
        <v/>
      </c>
    </row>
    <row r="2645" spans="2:10" ht="19.95" customHeight="1" x14ac:dyDescent="0.3">
      <c r="B2645" s="4" t="str" cm="1">
        <f t="array" ref="B2645">IFERROR(INDEX(EmployeeData[Employee ID], ROW() - 37), "")</f>
        <v/>
      </c>
      <c r="C2645" s="4" t="str" cm="1">
        <f t="array" ref="C2645">IFERROR(INDEX(EmployeeData[Full Name], ROW() - 37), "")</f>
        <v/>
      </c>
      <c r="D2645" s="4" t="str" cm="1">
        <f t="array" ref="D2645">IFERROR(INDEX(EmployeeData[Department], ROW() - 37), "")</f>
        <v/>
      </c>
      <c r="E2645" s="4" t="str" cm="1">
        <f t="array" ref="E2645">IFERROR(INDEX(EmployeeData[Gender], ROW() - 37), "")</f>
        <v/>
      </c>
      <c r="F2645" s="4" t="str" cm="1">
        <f t="array" ref="F2645">IFERROR(INDEX(EmployeeData[Age], ROW() - 37), "")</f>
        <v/>
      </c>
      <c r="G2645" s="6" t="str" cm="1">
        <f t="array" ref="G2645">IFERROR(INDEX(EmployeeData[Join Date], ROW() - 37), "")</f>
        <v/>
      </c>
      <c r="H2645" s="6" t="str" cm="1">
        <f t="array" ref="H2645">IFERROR(IF(INDEX(EmployeeData[Exit Date], ROW() - 37)=0, "",INDEX(EmployeeData[Exit Date], ROW() - 37)),"")</f>
        <v/>
      </c>
      <c r="I2645" s="4" t="str" cm="1">
        <f t="array" ref="I2645">IFERROR(IF(INDEX(EmployeeData[Exit Reason], ROW() - 37)=0, "",INDEX(EmployeeData[Exit Reason], ROW() - 37)),"")</f>
        <v/>
      </c>
      <c r="J2645" s="4" t="str" cm="1">
        <f t="array" ref="J2645">IFERROR(INDEX(EmployeeData[Status], ROW() - 37), "")</f>
        <v/>
      </c>
    </row>
    <row r="2646" spans="2:10" ht="19.95" customHeight="1" x14ac:dyDescent="0.3">
      <c r="B2646" s="4" t="str" cm="1">
        <f t="array" ref="B2646">IFERROR(INDEX(EmployeeData[Employee ID], ROW() - 37), "")</f>
        <v/>
      </c>
      <c r="C2646" s="4" t="str" cm="1">
        <f t="array" ref="C2646">IFERROR(INDEX(EmployeeData[Full Name], ROW() - 37), "")</f>
        <v/>
      </c>
      <c r="D2646" s="4" t="str" cm="1">
        <f t="array" ref="D2646">IFERROR(INDEX(EmployeeData[Department], ROW() - 37), "")</f>
        <v/>
      </c>
      <c r="E2646" s="4" t="str" cm="1">
        <f t="array" ref="E2646">IFERROR(INDEX(EmployeeData[Gender], ROW() - 37), "")</f>
        <v/>
      </c>
      <c r="F2646" s="4" t="str" cm="1">
        <f t="array" ref="F2646">IFERROR(INDEX(EmployeeData[Age], ROW() - 37), "")</f>
        <v/>
      </c>
      <c r="G2646" s="6" t="str" cm="1">
        <f t="array" ref="G2646">IFERROR(INDEX(EmployeeData[Join Date], ROW() - 37), "")</f>
        <v/>
      </c>
      <c r="H2646" s="6" t="str" cm="1">
        <f t="array" ref="H2646">IFERROR(IF(INDEX(EmployeeData[Exit Date], ROW() - 37)=0, "",INDEX(EmployeeData[Exit Date], ROW() - 37)),"")</f>
        <v/>
      </c>
      <c r="I2646" s="4" t="str" cm="1">
        <f t="array" ref="I2646">IFERROR(IF(INDEX(EmployeeData[Exit Reason], ROW() - 37)=0, "",INDEX(EmployeeData[Exit Reason], ROW() - 37)),"")</f>
        <v/>
      </c>
      <c r="J2646" s="4" t="str" cm="1">
        <f t="array" ref="J2646">IFERROR(INDEX(EmployeeData[Status], ROW() - 37), "")</f>
        <v/>
      </c>
    </row>
    <row r="2647" spans="2:10" ht="19.95" customHeight="1" x14ac:dyDescent="0.3">
      <c r="B2647" s="4" t="str" cm="1">
        <f t="array" ref="B2647">IFERROR(INDEX(EmployeeData[Employee ID], ROW() - 37), "")</f>
        <v/>
      </c>
      <c r="C2647" s="4" t="str" cm="1">
        <f t="array" ref="C2647">IFERROR(INDEX(EmployeeData[Full Name], ROW() - 37), "")</f>
        <v/>
      </c>
      <c r="D2647" s="4" t="str" cm="1">
        <f t="array" ref="D2647">IFERROR(INDEX(EmployeeData[Department], ROW() - 37), "")</f>
        <v/>
      </c>
      <c r="E2647" s="4" t="str" cm="1">
        <f t="array" ref="E2647">IFERROR(INDEX(EmployeeData[Gender], ROW() - 37), "")</f>
        <v/>
      </c>
      <c r="F2647" s="4" t="str" cm="1">
        <f t="array" ref="F2647">IFERROR(INDEX(EmployeeData[Age], ROW() - 37), "")</f>
        <v/>
      </c>
      <c r="G2647" s="6" t="str" cm="1">
        <f t="array" ref="G2647">IFERROR(INDEX(EmployeeData[Join Date], ROW() - 37), "")</f>
        <v/>
      </c>
      <c r="H2647" s="6" t="str" cm="1">
        <f t="array" ref="H2647">IFERROR(IF(INDEX(EmployeeData[Exit Date], ROW() - 37)=0, "",INDEX(EmployeeData[Exit Date], ROW() - 37)),"")</f>
        <v/>
      </c>
      <c r="I2647" s="4" t="str" cm="1">
        <f t="array" ref="I2647">IFERROR(IF(INDEX(EmployeeData[Exit Reason], ROW() - 37)=0, "",INDEX(EmployeeData[Exit Reason], ROW() - 37)),"")</f>
        <v/>
      </c>
      <c r="J2647" s="4" t="str" cm="1">
        <f t="array" ref="J2647">IFERROR(INDEX(EmployeeData[Status], ROW() - 37), "")</f>
        <v/>
      </c>
    </row>
    <row r="2648" spans="2:10" ht="19.95" customHeight="1" x14ac:dyDescent="0.3">
      <c r="B2648" s="4" t="str" cm="1">
        <f t="array" ref="B2648">IFERROR(INDEX(EmployeeData[Employee ID], ROW() - 37), "")</f>
        <v/>
      </c>
      <c r="C2648" s="4" t="str" cm="1">
        <f t="array" ref="C2648">IFERROR(INDEX(EmployeeData[Full Name], ROW() - 37), "")</f>
        <v/>
      </c>
      <c r="D2648" s="4" t="str" cm="1">
        <f t="array" ref="D2648">IFERROR(INDEX(EmployeeData[Department], ROW() - 37), "")</f>
        <v/>
      </c>
      <c r="E2648" s="4" t="str" cm="1">
        <f t="array" ref="E2648">IFERROR(INDEX(EmployeeData[Gender], ROW() - 37), "")</f>
        <v/>
      </c>
      <c r="F2648" s="4" t="str" cm="1">
        <f t="array" ref="F2648">IFERROR(INDEX(EmployeeData[Age], ROW() - 37), "")</f>
        <v/>
      </c>
      <c r="G2648" s="6" t="str" cm="1">
        <f t="array" ref="G2648">IFERROR(INDEX(EmployeeData[Join Date], ROW() - 37), "")</f>
        <v/>
      </c>
      <c r="H2648" s="6" t="str" cm="1">
        <f t="array" ref="H2648">IFERROR(IF(INDEX(EmployeeData[Exit Date], ROW() - 37)=0, "",INDEX(EmployeeData[Exit Date], ROW() - 37)),"")</f>
        <v/>
      </c>
      <c r="I2648" s="4" t="str" cm="1">
        <f t="array" ref="I2648">IFERROR(IF(INDEX(EmployeeData[Exit Reason], ROW() - 37)=0, "",INDEX(EmployeeData[Exit Reason], ROW() - 37)),"")</f>
        <v/>
      </c>
      <c r="J2648" s="4" t="str" cm="1">
        <f t="array" ref="J2648">IFERROR(INDEX(EmployeeData[Status], ROW() - 37), "")</f>
        <v/>
      </c>
    </row>
    <row r="2649" spans="2:10" ht="19.95" customHeight="1" x14ac:dyDescent="0.3">
      <c r="B2649" s="4" t="str" cm="1">
        <f t="array" ref="B2649">IFERROR(INDEX(EmployeeData[Employee ID], ROW() - 37), "")</f>
        <v/>
      </c>
      <c r="C2649" s="4" t="str" cm="1">
        <f t="array" ref="C2649">IFERROR(INDEX(EmployeeData[Full Name], ROW() - 37), "")</f>
        <v/>
      </c>
      <c r="D2649" s="4" t="str" cm="1">
        <f t="array" ref="D2649">IFERROR(INDEX(EmployeeData[Department], ROW() - 37), "")</f>
        <v/>
      </c>
      <c r="E2649" s="4" t="str" cm="1">
        <f t="array" ref="E2649">IFERROR(INDEX(EmployeeData[Gender], ROW() - 37), "")</f>
        <v/>
      </c>
      <c r="F2649" s="4" t="str" cm="1">
        <f t="array" ref="F2649">IFERROR(INDEX(EmployeeData[Age], ROW() - 37), "")</f>
        <v/>
      </c>
      <c r="G2649" s="6" t="str" cm="1">
        <f t="array" ref="G2649">IFERROR(INDEX(EmployeeData[Join Date], ROW() - 37), "")</f>
        <v/>
      </c>
      <c r="H2649" s="6" t="str" cm="1">
        <f t="array" ref="H2649">IFERROR(IF(INDEX(EmployeeData[Exit Date], ROW() - 37)=0, "",INDEX(EmployeeData[Exit Date], ROW() - 37)),"")</f>
        <v/>
      </c>
      <c r="I2649" s="4" t="str" cm="1">
        <f t="array" ref="I2649">IFERROR(IF(INDEX(EmployeeData[Exit Reason], ROW() - 37)=0, "",INDEX(EmployeeData[Exit Reason], ROW() - 37)),"")</f>
        <v/>
      </c>
      <c r="J2649" s="4" t="str" cm="1">
        <f t="array" ref="J2649">IFERROR(INDEX(EmployeeData[Status], ROW() - 37), "")</f>
        <v/>
      </c>
    </row>
    <row r="2650" spans="2:10" ht="19.95" customHeight="1" x14ac:dyDescent="0.3">
      <c r="B2650" s="4" t="str" cm="1">
        <f t="array" ref="B2650">IFERROR(INDEX(EmployeeData[Employee ID], ROW() - 37), "")</f>
        <v/>
      </c>
      <c r="C2650" s="4" t="str" cm="1">
        <f t="array" ref="C2650">IFERROR(INDEX(EmployeeData[Full Name], ROW() - 37), "")</f>
        <v/>
      </c>
      <c r="D2650" s="4" t="str" cm="1">
        <f t="array" ref="D2650">IFERROR(INDEX(EmployeeData[Department], ROW() - 37), "")</f>
        <v/>
      </c>
      <c r="E2650" s="4" t="str" cm="1">
        <f t="array" ref="E2650">IFERROR(INDEX(EmployeeData[Gender], ROW() - 37), "")</f>
        <v/>
      </c>
      <c r="F2650" s="4" t="str" cm="1">
        <f t="array" ref="F2650">IFERROR(INDEX(EmployeeData[Age], ROW() - 37), "")</f>
        <v/>
      </c>
      <c r="G2650" s="6" t="str" cm="1">
        <f t="array" ref="G2650">IFERROR(INDEX(EmployeeData[Join Date], ROW() - 37), "")</f>
        <v/>
      </c>
      <c r="H2650" s="6" t="str" cm="1">
        <f t="array" ref="H2650">IFERROR(IF(INDEX(EmployeeData[Exit Date], ROW() - 37)=0, "",INDEX(EmployeeData[Exit Date], ROW() - 37)),"")</f>
        <v/>
      </c>
      <c r="I2650" s="4" t="str" cm="1">
        <f t="array" ref="I2650">IFERROR(IF(INDEX(EmployeeData[Exit Reason], ROW() - 37)=0, "",INDEX(EmployeeData[Exit Reason], ROW() - 37)),"")</f>
        <v/>
      </c>
      <c r="J2650" s="4" t="str" cm="1">
        <f t="array" ref="J2650">IFERROR(INDEX(EmployeeData[Status], ROW() - 37), "")</f>
        <v/>
      </c>
    </row>
    <row r="2651" spans="2:10" ht="19.95" customHeight="1" x14ac:dyDescent="0.3">
      <c r="B2651" s="4" t="str" cm="1">
        <f t="array" ref="B2651">IFERROR(INDEX(EmployeeData[Employee ID], ROW() - 37), "")</f>
        <v/>
      </c>
      <c r="C2651" s="4" t="str" cm="1">
        <f t="array" ref="C2651">IFERROR(INDEX(EmployeeData[Full Name], ROW() - 37), "")</f>
        <v/>
      </c>
      <c r="D2651" s="4" t="str" cm="1">
        <f t="array" ref="D2651">IFERROR(INDEX(EmployeeData[Department], ROW() - 37), "")</f>
        <v/>
      </c>
      <c r="E2651" s="4" t="str" cm="1">
        <f t="array" ref="E2651">IFERROR(INDEX(EmployeeData[Gender], ROW() - 37), "")</f>
        <v/>
      </c>
      <c r="F2651" s="4" t="str" cm="1">
        <f t="array" ref="F2651">IFERROR(INDEX(EmployeeData[Age], ROW() - 37), "")</f>
        <v/>
      </c>
      <c r="G2651" s="6" t="str" cm="1">
        <f t="array" ref="G2651">IFERROR(INDEX(EmployeeData[Join Date], ROW() - 37), "")</f>
        <v/>
      </c>
      <c r="H2651" s="6" t="str" cm="1">
        <f t="array" ref="H2651">IFERROR(IF(INDEX(EmployeeData[Exit Date], ROW() - 37)=0, "",INDEX(EmployeeData[Exit Date], ROW() - 37)),"")</f>
        <v/>
      </c>
      <c r="I2651" s="4" t="str" cm="1">
        <f t="array" ref="I2651">IFERROR(IF(INDEX(EmployeeData[Exit Reason], ROW() - 37)=0, "",INDEX(EmployeeData[Exit Reason], ROW() - 37)),"")</f>
        <v/>
      </c>
      <c r="J2651" s="4" t="str" cm="1">
        <f t="array" ref="J2651">IFERROR(INDEX(EmployeeData[Status], ROW() - 37), "")</f>
        <v/>
      </c>
    </row>
    <row r="2652" spans="2:10" ht="19.95" customHeight="1" x14ac:dyDescent="0.3">
      <c r="B2652" s="4" t="str" cm="1">
        <f t="array" ref="B2652">IFERROR(INDEX(EmployeeData[Employee ID], ROW() - 37), "")</f>
        <v/>
      </c>
      <c r="C2652" s="4" t="str" cm="1">
        <f t="array" ref="C2652">IFERROR(INDEX(EmployeeData[Full Name], ROW() - 37), "")</f>
        <v/>
      </c>
      <c r="D2652" s="4" t="str" cm="1">
        <f t="array" ref="D2652">IFERROR(INDEX(EmployeeData[Department], ROW() - 37), "")</f>
        <v/>
      </c>
      <c r="E2652" s="4" t="str" cm="1">
        <f t="array" ref="E2652">IFERROR(INDEX(EmployeeData[Gender], ROW() - 37), "")</f>
        <v/>
      </c>
      <c r="F2652" s="4" t="str" cm="1">
        <f t="array" ref="F2652">IFERROR(INDEX(EmployeeData[Age], ROW() - 37), "")</f>
        <v/>
      </c>
      <c r="G2652" s="6" t="str" cm="1">
        <f t="array" ref="G2652">IFERROR(INDEX(EmployeeData[Join Date], ROW() - 37), "")</f>
        <v/>
      </c>
      <c r="H2652" s="6" t="str" cm="1">
        <f t="array" ref="H2652">IFERROR(IF(INDEX(EmployeeData[Exit Date], ROW() - 37)=0, "",INDEX(EmployeeData[Exit Date], ROW() - 37)),"")</f>
        <v/>
      </c>
      <c r="I2652" s="4" t="str" cm="1">
        <f t="array" ref="I2652">IFERROR(IF(INDEX(EmployeeData[Exit Reason], ROW() - 37)=0, "",INDEX(EmployeeData[Exit Reason], ROW() - 37)),"")</f>
        <v/>
      </c>
      <c r="J2652" s="4" t="str" cm="1">
        <f t="array" ref="J2652">IFERROR(INDEX(EmployeeData[Status], ROW() - 37), "")</f>
        <v/>
      </c>
    </row>
    <row r="2653" spans="2:10" ht="19.95" customHeight="1" x14ac:dyDescent="0.3">
      <c r="B2653" s="4" t="str" cm="1">
        <f t="array" ref="B2653">IFERROR(INDEX(EmployeeData[Employee ID], ROW() - 37), "")</f>
        <v/>
      </c>
      <c r="C2653" s="4" t="str" cm="1">
        <f t="array" ref="C2653">IFERROR(INDEX(EmployeeData[Full Name], ROW() - 37), "")</f>
        <v/>
      </c>
      <c r="D2653" s="4" t="str" cm="1">
        <f t="array" ref="D2653">IFERROR(INDEX(EmployeeData[Department], ROW() - 37), "")</f>
        <v/>
      </c>
      <c r="E2653" s="4" t="str" cm="1">
        <f t="array" ref="E2653">IFERROR(INDEX(EmployeeData[Gender], ROW() - 37), "")</f>
        <v/>
      </c>
      <c r="F2653" s="4" t="str" cm="1">
        <f t="array" ref="F2653">IFERROR(INDEX(EmployeeData[Age], ROW() - 37), "")</f>
        <v/>
      </c>
      <c r="G2653" s="6" t="str" cm="1">
        <f t="array" ref="G2653">IFERROR(INDEX(EmployeeData[Join Date], ROW() - 37), "")</f>
        <v/>
      </c>
      <c r="H2653" s="6" t="str" cm="1">
        <f t="array" ref="H2653">IFERROR(IF(INDEX(EmployeeData[Exit Date], ROW() - 37)=0, "",INDEX(EmployeeData[Exit Date], ROW() - 37)),"")</f>
        <v/>
      </c>
      <c r="I2653" s="4" t="str" cm="1">
        <f t="array" ref="I2653">IFERROR(IF(INDEX(EmployeeData[Exit Reason], ROW() - 37)=0, "",INDEX(EmployeeData[Exit Reason], ROW() - 37)),"")</f>
        <v/>
      </c>
      <c r="J2653" s="4" t="str" cm="1">
        <f t="array" ref="J2653">IFERROR(INDEX(EmployeeData[Status], ROW() - 37), "")</f>
        <v/>
      </c>
    </row>
    <row r="2654" spans="2:10" ht="19.95" customHeight="1" x14ac:dyDescent="0.3">
      <c r="B2654" s="4" t="str" cm="1">
        <f t="array" ref="B2654">IFERROR(INDEX(EmployeeData[Employee ID], ROW() - 37), "")</f>
        <v/>
      </c>
      <c r="C2654" s="4" t="str" cm="1">
        <f t="array" ref="C2654">IFERROR(INDEX(EmployeeData[Full Name], ROW() - 37), "")</f>
        <v/>
      </c>
      <c r="D2654" s="4" t="str" cm="1">
        <f t="array" ref="D2654">IFERROR(INDEX(EmployeeData[Department], ROW() - 37), "")</f>
        <v/>
      </c>
      <c r="E2654" s="4" t="str" cm="1">
        <f t="array" ref="E2654">IFERROR(INDEX(EmployeeData[Gender], ROW() - 37), "")</f>
        <v/>
      </c>
      <c r="F2654" s="4" t="str" cm="1">
        <f t="array" ref="F2654">IFERROR(INDEX(EmployeeData[Age], ROW() - 37), "")</f>
        <v/>
      </c>
      <c r="G2654" s="6" t="str" cm="1">
        <f t="array" ref="G2654">IFERROR(INDEX(EmployeeData[Join Date], ROW() - 37), "")</f>
        <v/>
      </c>
      <c r="H2654" s="6" t="str" cm="1">
        <f t="array" ref="H2654">IFERROR(IF(INDEX(EmployeeData[Exit Date], ROW() - 37)=0, "",INDEX(EmployeeData[Exit Date], ROW() - 37)),"")</f>
        <v/>
      </c>
      <c r="I2654" s="4" t="str" cm="1">
        <f t="array" ref="I2654">IFERROR(IF(INDEX(EmployeeData[Exit Reason], ROW() - 37)=0, "",INDEX(EmployeeData[Exit Reason], ROW() - 37)),"")</f>
        <v/>
      </c>
      <c r="J2654" s="4" t="str" cm="1">
        <f t="array" ref="J2654">IFERROR(INDEX(EmployeeData[Status], ROW() - 37), "")</f>
        <v/>
      </c>
    </row>
    <row r="2655" spans="2:10" ht="19.95" customHeight="1" x14ac:dyDescent="0.3">
      <c r="B2655" s="4" t="str" cm="1">
        <f t="array" ref="B2655">IFERROR(INDEX(EmployeeData[Employee ID], ROW() - 37), "")</f>
        <v/>
      </c>
      <c r="C2655" s="4" t="str" cm="1">
        <f t="array" ref="C2655">IFERROR(INDEX(EmployeeData[Full Name], ROW() - 37), "")</f>
        <v/>
      </c>
      <c r="D2655" s="4" t="str" cm="1">
        <f t="array" ref="D2655">IFERROR(INDEX(EmployeeData[Department], ROW() - 37), "")</f>
        <v/>
      </c>
      <c r="E2655" s="4" t="str" cm="1">
        <f t="array" ref="E2655">IFERROR(INDEX(EmployeeData[Gender], ROW() - 37), "")</f>
        <v/>
      </c>
      <c r="F2655" s="4" t="str" cm="1">
        <f t="array" ref="F2655">IFERROR(INDEX(EmployeeData[Age], ROW() - 37), "")</f>
        <v/>
      </c>
      <c r="G2655" s="6" t="str" cm="1">
        <f t="array" ref="G2655">IFERROR(INDEX(EmployeeData[Join Date], ROW() - 37), "")</f>
        <v/>
      </c>
      <c r="H2655" s="6" t="str" cm="1">
        <f t="array" ref="H2655">IFERROR(IF(INDEX(EmployeeData[Exit Date], ROW() - 37)=0, "",INDEX(EmployeeData[Exit Date], ROW() - 37)),"")</f>
        <v/>
      </c>
      <c r="I2655" s="4" t="str" cm="1">
        <f t="array" ref="I2655">IFERROR(IF(INDEX(EmployeeData[Exit Reason], ROW() - 37)=0, "",INDEX(EmployeeData[Exit Reason], ROW() - 37)),"")</f>
        <v/>
      </c>
      <c r="J2655" s="4" t="str" cm="1">
        <f t="array" ref="J2655">IFERROR(INDEX(EmployeeData[Status], ROW() - 37), "")</f>
        <v/>
      </c>
    </row>
    <row r="2656" spans="2:10" ht="19.95" customHeight="1" x14ac:dyDescent="0.3">
      <c r="B2656" s="4" t="str" cm="1">
        <f t="array" ref="B2656">IFERROR(INDEX(EmployeeData[Employee ID], ROW() - 37), "")</f>
        <v/>
      </c>
      <c r="C2656" s="4" t="str" cm="1">
        <f t="array" ref="C2656">IFERROR(INDEX(EmployeeData[Full Name], ROW() - 37), "")</f>
        <v/>
      </c>
      <c r="D2656" s="4" t="str" cm="1">
        <f t="array" ref="D2656">IFERROR(INDEX(EmployeeData[Department], ROW() - 37), "")</f>
        <v/>
      </c>
      <c r="E2656" s="4" t="str" cm="1">
        <f t="array" ref="E2656">IFERROR(INDEX(EmployeeData[Gender], ROW() - 37), "")</f>
        <v/>
      </c>
      <c r="F2656" s="4" t="str" cm="1">
        <f t="array" ref="F2656">IFERROR(INDEX(EmployeeData[Age], ROW() - 37), "")</f>
        <v/>
      </c>
      <c r="G2656" s="6" t="str" cm="1">
        <f t="array" ref="G2656">IFERROR(INDEX(EmployeeData[Join Date], ROW() - 37), "")</f>
        <v/>
      </c>
      <c r="H2656" s="6" t="str" cm="1">
        <f t="array" ref="H2656">IFERROR(IF(INDEX(EmployeeData[Exit Date], ROW() - 37)=0, "",INDEX(EmployeeData[Exit Date], ROW() - 37)),"")</f>
        <v/>
      </c>
      <c r="I2656" s="4" t="str" cm="1">
        <f t="array" ref="I2656">IFERROR(IF(INDEX(EmployeeData[Exit Reason], ROW() - 37)=0, "",INDEX(EmployeeData[Exit Reason], ROW() - 37)),"")</f>
        <v/>
      </c>
      <c r="J2656" s="4" t="str" cm="1">
        <f t="array" ref="J2656">IFERROR(INDEX(EmployeeData[Status], ROW() - 37), "")</f>
        <v/>
      </c>
    </row>
    <row r="2657" spans="2:10" ht="19.95" customHeight="1" x14ac:dyDescent="0.3">
      <c r="B2657" s="4" t="str" cm="1">
        <f t="array" ref="B2657">IFERROR(INDEX(EmployeeData[Employee ID], ROW() - 37), "")</f>
        <v/>
      </c>
      <c r="C2657" s="4" t="str" cm="1">
        <f t="array" ref="C2657">IFERROR(INDEX(EmployeeData[Full Name], ROW() - 37), "")</f>
        <v/>
      </c>
      <c r="D2657" s="4" t="str" cm="1">
        <f t="array" ref="D2657">IFERROR(INDEX(EmployeeData[Department], ROW() - 37), "")</f>
        <v/>
      </c>
      <c r="E2657" s="4" t="str" cm="1">
        <f t="array" ref="E2657">IFERROR(INDEX(EmployeeData[Gender], ROW() - 37), "")</f>
        <v/>
      </c>
      <c r="F2657" s="4" t="str" cm="1">
        <f t="array" ref="F2657">IFERROR(INDEX(EmployeeData[Age], ROW() - 37), "")</f>
        <v/>
      </c>
      <c r="G2657" s="6" t="str" cm="1">
        <f t="array" ref="G2657">IFERROR(INDEX(EmployeeData[Join Date], ROW() - 37), "")</f>
        <v/>
      </c>
      <c r="H2657" s="6" t="str" cm="1">
        <f t="array" ref="H2657">IFERROR(IF(INDEX(EmployeeData[Exit Date], ROW() - 37)=0, "",INDEX(EmployeeData[Exit Date], ROW() - 37)),"")</f>
        <v/>
      </c>
      <c r="I2657" s="4" t="str" cm="1">
        <f t="array" ref="I2657">IFERROR(IF(INDEX(EmployeeData[Exit Reason], ROW() - 37)=0, "",INDEX(EmployeeData[Exit Reason], ROW() - 37)),"")</f>
        <v/>
      </c>
      <c r="J2657" s="4" t="str" cm="1">
        <f t="array" ref="J2657">IFERROR(INDEX(EmployeeData[Status], ROW() - 37), "")</f>
        <v/>
      </c>
    </row>
    <row r="2658" spans="2:10" ht="19.95" customHeight="1" x14ac:dyDescent="0.3">
      <c r="B2658" s="4" t="str" cm="1">
        <f t="array" ref="B2658">IFERROR(INDEX(EmployeeData[Employee ID], ROW() - 37), "")</f>
        <v/>
      </c>
      <c r="C2658" s="4" t="str" cm="1">
        <f t="array" ref="C2658">IFERROR(INDEX(EmployeeData[Full Name], ROW() - 37), "")</f>
        <v/>
      </c>
      <c r="D2658" s="4" t="str" cm="1">
        <f t="array" ref="D2658">IFERROR(INDEX(EmployeeData[Department], ROW() - 37), "")</f>
        <v/>
      </c>
      <c r="E2658" s="4" t="str" cm="1">
        <f t="array" ref="E2658">IFERROR(INDEX(EmployeeData[Gender], ROW() - 37), "")</f>
        <v/>
      </c>
      <c r="F2658" s="4" t="str" cm="1">
        <f t="array" ref="F2658">IFERROR(INDEX(EmployeeData[Age], ROW() - 37), "")</f>
        <v/>
      </c>
      <c r="G2658" s="6" t="str" cm="1">
        <f t="array" ref="G2658">IFERROR(INDEX(EmployeeData[Join Date], ROW() - 37), "")</f>
        <v/>
      </c>
      <c r="H2658" s="6" t="str" cm="1">
        <f t="array" ref="H2658">IFERROR(IF(INDEX(EmployeeData[Exit Date], ROW() - 37)=0, "",INDEX(EmployeeData[Exit Date], ROW() - 37)),"")</f>
        <v/>
      </c>
      <c r="I2658" s="4" t="str" cm="1">
        <f t="array" ref="I2658">IFERROR(IF(INDEX(EmployeeData[Exit Reason], ROW() - 37)=0, "",INDEX(EmployeeData[Exit Reason], ROW() - 37)),"")</f>
        <v/>
      </c>
      <c r="J2658" s="4" t="str" cm="1">
        <f t="array" ref="J2658">IFERROR(INDEX(EmployeeData[Status], ROW() - 37), "")</f>
        <v/>
      </c>
    </row>
    <row r="2659" spans="2:10" ht="19.95" customHeight="1" x14ac:dyDescent="0.3">
      <c r="B2659" s="4" t="str" cm="1">
        <f t="array" ref="B2659">IFERROR(INDEX(EmployeeData[Employee ID], ROW() - 37), "")</f>
        <v/>
      </c>
      <c r="C2659" s="4" t="str" cm="1">
        <f t="array" ref="C2659">IFERROR(INDEX(EmployeeData[Full Name], ROW() - 37), "")</f>
        <v/>
      </c>
      <c r="D2659" s="4" t="str" cm="1">
        <f t="array" ref="D2659">IFERROR(INDEX(EmployeeData[Department], ROW() - 37), "")</f>
        <v/>
      </c>
      <c r="E2659" s="4" t="str" cm="1">
        <f t="array" ref="E2659">IFERROR(INDEX(EmployeeData[Gender], ROW() - 37), "")</f>
        <v/>
      </c>
      <c r="F2659" s="4" t="str" cm="1">
        <f t="array" ref="F2659">IFERROR(INDEX(EmployeeData[Age], ROW() - 37), "")</f>
        <v/>
      </c>
      <c r="G2659" s="6" t="str" cm="1">
        <f t="array" ref="G2659">IFERROR(INDEX(EmployeeData[Join Date], ROW() - 37), "")</f>
        <v/>
      </c>
      <c r="H2659" s="6" t="str" cm="1">
        <f t="array" ref="H2659">IFERROR(IF(INDEX(EmployeeData[Exit Date], ROW() - 37)=0, "",INDEX(EmployeeData[Exit Date], ROW() - 37)),"")</f>
        <v/>
      </c>
      <c r="I2659" s="4" t="str" cm="1">
        <f t="array" ref="I2659">IFERROR(IF(INDEX(EmployeeData[Exit Reason], ROW() - 37)=0, "",INDEX(EmployeeData[Exit Reason], ROW() - 37)),"")</f>
        <v/>
      </c>
      <c r="J2659" s="4" t="str" cm="1">
        <f t="array" ref="J2659">IFERROR(INDEX(EmployeeData[Status], ROW() - 37), "")</f>
        <v/>
      </c>
    </row>
    <row r="2660" spans="2:10" ht="19.95" customHeight="1" x14ac:dyDescent="0.3">
      <c r="B2660" s="4" t="str" cm="1">
        <f t="array" ref="B2660">IFERROR(INDEX(EmployeeData[Employee ID], ROW() - 37), "")</f>
        <v/>
      </c>
      <c r="C2660" s="4" t="str" cm="1">
        <f t="array" ref="C2660">IFERROR(INDEX(EmployeeData[Full Name], ROW() - 37), "")</f>
        <v/>
      </c>
      <c r="D2660" s="4" t="str" cm="1">
        <f t="array" ref="D2660">IFERROR(INDEX(EmployeeData[Department], ROW() - 37), "")</f>
        <v/>
      </c>
      <c r="E2660" s="4" t="str" cm="1">
        <f t="array" ref="E2660">IFERROR(INDEX(EmployeeData[Gender], ROW() - 37), "")</f>
        <v/>
      </c>
      <c r="F2660" s="4" t="str" cm="1">
        <f t="array" ref="F2660">IFERROR(INDEX(EmployeeData[Age], ROW() - 37), "")</f>
        <v/>
      </c>
      <c r="G2660" s="6" t="str" cm="1">
        <f t="array" ref="G2660">IFERROR(INDEX(EmployeeData[Join Date], ROW() - 37), "")</f>
        <v/>
      </c>
      <c r="H2660" s="6" t="str" cm="1">
        <f t="array" ref="H2660">IFERROR(IF(INDEX(EmployeeData[Exit Date], ROW() - 37)=0, "",INDEX(EmployeeData[Exit Date], ROW() - 37)),"")</f>
        <v/>
      </c>
      <c r="I2660" s="4" t="str" cm="1">
        <f t="array" ref="I2660">IFERROR(IF(INDEX(EmployeeData[Exit Reason], ROW() - 37)=0, "",INDEX(EmployeeData[Exit Reason], ROW() - 37)),"")</f>
        <v/>
      </c>
      <c r="J2660" s="4" t="str" cm="1">
        <f t="array" ref="J2660">IFERROR(INDEX(EmployeeData[Status], ROW() - 37), "")</f>
        <v/>
      </c>
    </row>
    <row r="2661" spans="2:10" ht="19.95" customHeight="1" x14ac:dyDescent="0.3">
      <c r="B2661" s="4" t="str" cm="1">
        <f t="array" ref="B2661">IFERROR(INDEX(EmployeeData[Employee ID], ROW() - 37), "")</f>
        <v/>
      </c>
      <c r="C2661" s="4" t="str" cm="1">
        <f t="array" ref="C2661">IFERROR(INDEX(EmployeeData[Full Name], ROW() - 37), "")</f>
        <v/>
      </c>
      <c r="D2661" s="4" t="str" cm="1">
        <f t="array" ref="D2661">IFERROR(INDEX(EmployeeData[Department], ROW() - 37), "")</f>
        <v/>
      </c>
      <c r="E2661" s="4" t="str" cm="1">
        <f t="array" ref="E2661">IFERROR(INDEX(EmployeeData[Gender], ROW() - 37), "")</f>
        <v/>
      </c>
      <c r="F2661" s="4" t="str" cm="1">
        <f t="array" ref="F2661">IFERROR(INDEX(EmployeeData[Age], ROW() - 37), "")</f>
        <v/>
      </c>
      <c r="G2661" s="6" t="str" cm="1">
        <f t="array" ref="G2661">IFERROR(INDEX(EmployeeData[Join Date], ROW() - 37), "")</f>
        <v/>
      </c>
      <c r="H2661" s="6" t="str" cm="1">
        <f t="array" ref="H2661">IFERROR(IF(INDEX(EmployeeData[Exit Date], ROW() - 37)=0, "",INDEX(EmployeeData[Exit Date], ROW() - 37)),"")</f>
        <v/>
      </c>
      <c r="I2661" s="4" t="str" cm="1">
        <f t="array" ref="I2661">IFERROR(IF(INDEX(EmployeeData[Exit Reason], ROW() - 37)=0, "",INDEX(EmployeeData[Exit Reason], ROW() - 37)),"")</f>
        <v/>
      </c>
      <c r="J2661" s="4" t="str" cm="1">
        <f t="array" ref="J2661">IFERROR(INDEX(EmployeeData[Status], ROW() - 37), "")</f>
        <v/>
      </c>
    </row>
    <row r="2662" spans="2:10" ht="19.95" customHeight="1" x14ac:dyDescent="0.3">
      <c r="B2662" s="4" t="str" cm="1">
        <f t="array" ref="B2662">IFERROR(INDEX(EmployeeData[Employee ID], ROW() - 37), "")</f>
        <v/>
      </c>
      <c r="C2662" s="4" t="str" cm="1">
        <f t="array" ref="C2662">IFERROR(INDEX(EmployeeData[Full Name], ROW() - 37), "")</f>
        <v/>
      </c>
      <c r="D2662" s="4" t="str" cm="1">
        <f t="array" ref="D2662">IFERROR(INDEX(EmployeeData[Department], ROW() - 37), "")</f>
        <v/>
      </c>
      <c r="E2662" s="4" t="str" cm="1">
        <f t="array" ref="E2662">IFERROR(INDEX(EmployeeData[Gender], ROW() - 37), "")</f>
        <v/>
      </c>
      <c r="F2662" s="4" t="str" cm="1">
        <f t="array" ref="F2662">IFERROR(INDEX(EmployeeData[Age], ROW() - 37), "")</f>
        <v/>
      </c>
      <c r="G2662" s="6" t="str" cm="1">
        <f t="array" ref="G2662">IFERROR(INDEX(EmployeeData[Join Date], ROW() - 37), "")</f>
        <v/>
      </c>
      <c r="H2662" s="6" t="str" cm="1">
        <f t="array" ref="H2662">IFERROR(IF(INDEX(EmployeeData[Exit Date], ROW() - 37)=0, "",INDEX(EmployeeData[Exit Date], ROW() - 37)),"")</f>
        <v/>
      </c>
      <c r="I2662" s="4" t="str" cm="1">
        <f t="array" ref="I2662">IFERROR(IF(INDEX(EmployeeData[Exit Reason], ROW() - 37)=0, "",INDEX(EmployeeData[Exit Reason], ROW() - 37)),"")</f>
        <v/>
      </c>
      <c r="J2662" s="4" t="str" cm="1">
        <f t="array" ref="J2662">IFERROR(INDEX(EmployeeData[Status], ROW() - 37), "")</f>
        <v/>
      </c>
    </row>
    <row r="2663" spans="2:10" ht="19.95" customHeight="1" x14ac:dyDescent="0.3">
      <c r="B2663" s="4" t="str" cm="1">
        <f t="array" ref="B2663">IFERROR(INDEX(EmployeeData[Employee ID], ROW() - 37), "")</f>
        <v/>
      </c>
      <c r="C2663" s="4" t="str" cm="1">
        <f t="array" ref="C2663">IFERROR(INDEX(EmployeeData[Full Name], ROW() - 37), "")</f>
        <v/>
      </c>
      <c r="D2663" s="4" t="str" cm="1">
        <f t="array" ref="D2663">IFERROR(INDEX(EmployeeData[Department], ROW() - 37), "")</f>
        <v/>
      </c>
      <c r="E2663" s="4" t="str" cm="1">
        <f t="array" ref="E2663">IFERROR(INDEX(EmployeeData[Gender], ROW() - 37), "")</f>
        <v/>
      </c>
      <c r="F2663" s="4" t="str" cm="1">
        <f t="array" ref="F2663">IFERROR(INDEX(EmployeeData[Age], ROW() - 37), "")</f>
        <v/>
      </c>
      <c r="G2663" s="6" t="str" cm="1">
        <f t="array" ref="G2663">IFERROR(INDEX(EmployeeData[Join Date], ROW() - 37), "")</f>
        <v/>
      </c>
      <c r="H2663" s="6" t="str" cm="1">
        <f t="array" ref="H2663">IFERROR(IF(INDEX(EmployeeData[Exit Date], ROW() - 37)=0, "",INDEX(EmployeeData[Exit Date], ROW() - 37)),"")</f>
        <v/>
      </c>
      <c r="I2663" s="4" t="str" cm="1">
        <f t="array" ref="I2663">IFERROR(IF(INDEX(EmployeeData[Exit Reason], ROW() - 37)=0, "",INDEX(EmployeeData[Exit Reason], ROW() - 37)),"")</f>
        <v/>
      </c>
      <c r="J2663" s="4" t="str" cm="1">
        <f t="array" ref="J2663">IFERROR(INDEX(EmployeeData[Status], ROW() - 37), "")</f>
        <v/>
      </c>
    </row>
    <row r="2664" spans="2:10" ht="19.95" customHeight="1" x14ac:dyDescent="0.3">
      <c r="B2664" s="4" t="str" cm="1">
        <f t="array" ref="B2664">IFERROR(INDEX(EmployeeData[Employee ID], ROW() - 37), "")</f>
        <v/>
      </c>
      <c r="C2664" s="4" t="str" cm="1">
        <f t="array" ref="C2664">IFERROR(INDEX(EmployeeData[Full Name], ROW() - 37), "")</f>
        <v/>
      </c>
      <c r="D2664" s="4" t="str" cm="1">
        <f t="array" ref="D2664">IFERROR(INDEX(EmployeeData[Department], ROW() - 37), "")</f>
        <v/>
      </c>
      <c r="E2664" s="4" t="str" cm="1">
        <f t="array" ref="E2664">IFERROR(INDEX(EmployeeData[Gender], ROW() - 37), "")</f>
        <v/>
      </c>
      <c r="F2664" s="4" t="str" cm="1">
        <f t="array" ref="F2664">IFERROR(INDEX(EmployeeData[Age], ROW() - 37), "")</f>
        <v/>
      </c>
      <c r="G2664" s="6" t="str" cm="1">
        <f t="array" ref="G2664">IFERROR(INDEX(EmployeeData[Join Date], ROW() - 37), "")</f>
        <v/>
      </c>
      <c r="H2664" s="6" t="str" cm="1">
        <f t="array" ref="H2664">IFERROR(IF(INDEX(EmployeeData[Exit Date], ROW() - 37)=0, "",INDEX(EmployeeData[Exit Date], ROW() - 37)),"")</f>
        <v/>
      </c>
      <c r="I2664" s="4" t="str" cm="1">
        <f t="array" ref="I2664">IFERROR(IF(INDEX(EmployeeData[Exit Reason], ROW() - 37)=0, "",INDEX(EmployeeData[Exit Reason], ROW() - 37)),"")</f>
        <v/>
      </c>
      <c r="J2664" s="4" t="str" cm="1">
        <f t="array" ref="J2664">IFERROR(INDEX(EmployeeData[Status], ROW() - 37), "")</f>
        <v/>
      </c>
    </row>
    <row r="2665" spans="2:10" ht="19.95" customHeight="1" x14ac:dyDescent="0.3">
      <c r="B2665" s="4" t="str" cm="1">
        <f t="array" ref="B2665">IFERROR(INDEX(EmployeeData[Employee ID], ROW() - 37), "")</f>
        <v/>
      </c>
      <c r="C2665" s="4" t="str" cm="1">
        <f t="array" ref="C2665">IFERROR(INDEX(EmployeeData[Full Name], ROW() - 37), "")</f>
        <v/>
      </c>
      <c r="D2665" s="4" t="str" cm="1">
        <f t="array" ref="D2665">IFERROR(INDEX(EmployeeData[Department], ROW() - 37), "")</f>
        <v/>
      </c>
      <c r="E2665" s="4" t="str" cm="1">
        <f t="array" ref="E2665">IFERROR(INDEX(EmployeeData[Gender], ROW() - 37), "")</f>
        <v/>
      </c>
      <c r="F2665" s="4" t="str" cm="1">
        <f t="array" ref="F2665">IFERROR(INDEX(EmployeeData[Age], ROW() - 37), "")</f>
        <v/>
      </c>
      <c r="G2665" s="6" t="str" cm="1">
        <f t="array" ref="G2665">IFERROR(INDEX(EmployeeData[Join Date], ROW() - 37), "")</f>
        <v/>
      </c>
      <c r="H2665" s="6" t="str" cm="1">
        <f t="array" ref="H2665">IFERROR(IF(INDEX(EmployeeData[Exit Date], ROW() - 37)=0, "",INDEX(EmployeeData[Exit Date], ROW() - 37)),"")</f>
        <v/>
      </c>
      <c r="I2665" s="4" t="str" cm="1">
        <f t="array" ref="I2665">IFERROR(IF(INDEX(EmployeeData[Exit Reason], ROW() - 37)=0, "",INDEX(EmployeeData[Exit Reason], ROW() - 37)),"")</f>
        <v/>
      </c>
      <c r="J2665" s="4" t="str" cm="1">
        <f t="array" ref="J2665">IFERROR(INDEX(EmployeeData[Status], ROW() - 37), "")</f>
        <v/>
      </c>
    </row>
    <row r="2666" spans="2:10" ht="19.95" customHeight="1" x14ac:dyDescent="0.3">
      <c r="B2666" s="4" t="str" cm="1">
        <f t="array" ref="B2666">IFERROR(INDEX(EmployeeData[Employee ID], ROW() - 37), "")</f>
        <v/>
      </c>
      <c r="C2666" s="4" t="str" cm="1">
        <f t="array" ref="C2666">IFERROR(INDEX(EmployeeData[Full Name], ROW() - 37), "")</f>
        <v/>
      </c>
      <c r="D2666" s="4" t="str" cm="1">
        <f t="array" ref="D2666">IFERROR(INDEX(EmployeeData[Department], ROW() - 37), "")</f>
        <v/>
      </c>
      <c r="E2666" s="4" t="str" cm="1">
        <f t="array" ref="E2666">IFERROR(INDEX(EmployeeData[Gender], ROW() - 37), "")</f>
        <v/>
      </c>
      <c r="F2666" s="4" t="str" cm="1">
        <f t="array" ref="F2666">IFERROR(INDEX(EmployeeData[Age], ROW() - 37), "")</f>
        <v/>
      </c>
      <c r="G2666" s="6" t="str" cm="1">
        <f t="array" ref="G2666">IFERROR(INDEX(EmployeeData[Join Date], ROW() - 37), "")</f>
        <v/>
      </c>
      <c r="H2666" s="6" t="str" cm="1">
        <f t="array" ref="H2666">IFERROR(IF(INDEX(EmployeeData[Exit Date], ROW() - 37)=0, "",INDEX(EmployeeData[Exit Date], ROW() - 37)),"")</f>
        <v/>
      </c>
      <c r="I2666" s="4" t="str" cm="1">
        <f t="array" ref="I2666">IFERROR(IF(INDEX(EmployeeData[Exit Reason], ROW() - 37)=0, "",INDEX(EmployeeData[Exit Reason], ROW() - 37)),"")</f>
        <v/>
      </c>
      <c r="J2666" s="4" t="str" cm="1">
        <f t="array" ref="J2666">IFERROR(INDEX(EmployeeData[Status], ROW() - 37), "")</f>
        <v/>
      </c>
    </row>
    <row r="2667" spans="2:10" ht="19.95" customHeight="1" x14ac:dyDescent="0.3">
      <c r="B2667" s="4" t="str" cm="1">
        <f t="array" ref="B2667">IFERROR(INDEX(EmployeeData[Employee ID], ROW() - 37), "")</f>
        <v/>
      </c>
      <c r="C2667" s="4" t="str" cm="1">
        <f t="array" ref="C2667">IFERROR(INDEX(EmployeeData[Full Name], ROW() - 37), "")</f>
        <v/>
      </c>
      <c r="D2667" s="4" t="str" cm="1">
        <f t="array" ref="D2667">IFERROR(INDEX(EmployeeData[Department], ROW() - 37), "")</f>
        <v/>
      </c>
      <c r="E2667" s="4" t="str" cm="1">
        <f t="array" ref="E2667">IFERROR(INDEX(EmployeeData[Gender], ROW() - 37), "")</f>
        <v/>
      </c>
      <c r="F2667" s="4" t="str" cm="1">
        <f t="array" ref="F2667">IFERROR(INDEX(EmployeeData[Age], ROW() - 37), "")</f>
        <v/>
      </c>
      <c r="G2667" s="6" t="str" cm="1">
        <f t="array" ref="G2667">IFERROR(INDEX(EmployeeData[Join Date], ROW() - 37), "")</f>
        <v/>
      </c>
      <c r="H2667" s="6" t="str" cm="1">
        <f t="array" ref="H2667">IFERROR(IF(INDEX(EmployeeData[Exit Date], ROW() - 37)=0, "",INDEX(EmployeeData[Exit Date], ROW() - 37)),"")</f>
        <v/>
      </c>
      <c r="I2667" s="4" t="str" cm="1">
        <f t="array" ref="I2667">IFERROR(IF(INDEX(EmployeeData[Exit Reason], ROW() - 37)=0, "",INDEX(EmployeeData[Exit Reason], ROW() - 37)),"")</f>
        <v/>
      </c>
      <c r="J2667" s="4" t="str" cm="1">
        <f t="array" ref="J2667">IFERROR(INDEX(EmployeeData[Status], ROW() - 37), "")</f>
        <v/>
      </c>
    </row>
    <row r="2668" spans="2:10" ht="19.95" customHeight="1" x14ac:dyDescent="0.3">
      <c r="B2668" s="4" t="str" cm="1">
        <f t="array" ref="B2668">IFERROR(INDEX(EmployeeData[Employee ID], ROW() - 37), "")</f>
        <v/>
      </c>
      <c r="C2668" s="4" t="str" cm="1">
        <f t="array" ref="C2668">IFERROR(INDEX(EmployeeData[Full Name], ROW() - 37), "")</f>
        <v/>
      </c>
      <c r="D2668" s="4" t="str" cm="1">
        <f t="array" ref="D2668">IFERROR(INDEX(EmployeeData[Department], ROW() - 37), "")</f>
        <v/>
      </c>
      <c r="E2668" s="4" t="str" cm="1">
        <f t="array" ref="E2668">IFERROR(INDEX(EmployeeData[Gender], ROW() - 37), "")</f>
        <v/>
      </c>
      <c r="F2668" s="4" t="str" cm="1">
        <f t="array" ref="F2668">IFERROR(INDEX(EmployeeData[Age], ROW() - 37), "")</f>
        <v/>
      </c>
      <c r="G2668" s="6" t="str" cm="1">
        <f t="array" ref="G2668">IFERROR(INDEX(EmployeeData[Join Date], ROW() - 37), "")</f>
        <v/>
      </c>
      <c r="H2668" s="6" t="str" cm="1">
        <f t="array" ref="H2668">IFERROR(IF(INDEX(EmployeeData[Exit Date], ROW() - 37)=0, "",INDEX(EmployeeData[Exit Date], ROW() - 37)),"")</f>
        <v/>
      </c>
      <c r="I2668" s="4" t="str" cm="1">
        <f t="array" ref="I2668">IFERROR(IF(INDEX(EmployeeData[Exit Reason], ROW() - 37)=0, "",INDEX(EmployeeData[Exit Reason], ROW() - 37)),"")</f>
        <v/>
      </c>
      <c r="J2668" s="4" t="str" cm="1">
        <f t="array" ref="J2668">IFERROR(INDEX(EmployeeData[Status], ROW() - 37), "")</f>
        <v/>
      </c>
    </row>
    <row r="2669" spans="2:10" ht="19.95" customHeight="1" x14ac:dyDescent="0.3">
      <c r="B2669" s="4" t="str" cm="1">
        <f t="array" ref="B2669">IFERROR(INDEX(EmployeeData[Employee ID], ROW() - 37), "")</f>
        <v/>
      </c>
      <c r="C2669" s="4" t="str" cm="1">
        <f t="array" ref="C2669">IFERROR(INDEX(EmployeeData[Full Name], ROW() - 37), "")</f>
        <v/>
      </c>
      <c r="D2669" s="4" t="str" cm="1">
        <f t="array" ref="D2669">IFERROR(INDEX(EmployeeData[Department], ROW() - 37), "")</f>
        <v/>
      </c>
      <c r="E2669" s="4" t="str" cm="1">
        <f t="array" ref="E2669">IFERROR(INDEX(EmployeeData[Gender], ROW() - 37), "")</f>
        <v/>
      </c>
      <c r="F2669" s="4" t="str" cm="1">
        <f t="array" ref="F2669">IFERROR(INDEX(EmployeeData[Age], ROW() - 37), "")</f>
        <v/>
      </c>
      <c r="G2669" s="6" t="str" cm="1">
        <f t="array" ref="G2669">IFERROR(INDEX(EmployeeData[Join Date], ROW() - 37), "")</f>
        <v/>
      </c>
      <c r="H2669" s="6" t="str" cm="1">
        <f t="array" ref="H2669">IFERROR(IF(INDEX(EmployeeData[Exit Date], ROW() - 37)=0, "",INDEX(EmployeeData[Exit Date], ROW() - 37)),"")</f>
        <v/>
      </c>
      <c r="I2669" s="4" t="str" cm="1">
        <f t="array" ref="I2669">IFERROR(IF(INDEX(EmployeeData[Exit Reason], ROW() - 37)=0, "",INDEX(EmployeeData[Exit Reason], ROW() - 37)),"")</f>
        <v/>
      </c>
      <c r="J2669" s="4" t="str" cm="1">
        <f t="array" ref="J2669">IFERROR(INDEX(EmployeeData[Status], ROW() - 37), "")</f>
        <v/>
      </c>
    </row>
    <row r="2670" spans="2:10" ht="19.95" customHeight="1" x14ac:dyDescent="0.3">
      <c r="B2670" s="4" t="str" cm="1">
        <f t="array" ref="B2670">IFERROR(INDEX(EmployeeData[Employee ID], ROW() - 37), "")</f>
        <v/>
      </c>
      <c r="C2670" s="4" t="str" cm="1">
        <f t="array" ref="C2670">IFERROR(INDEX(EmployeeData[Full Name], ROW() - 37), "")</f>
        <v/>
      </c>
      <c r="D2670" s="4" t="str" cm="1">
        <f t="array" ref="D2670">IFERROR(INDEX(EmployeeData[Department], ROW() - 37), "")</f>
        <v/>
      </c>
      <c r="E2670" s="4" t="str" cm="1">
        <f t="array" ref="E2670">IFERROR(INDEX(EmployeeData[Gender], ROW() - 37), "")</f>
        <v/>
      </c>
      <c r="F2670" s="4" t="str" cm="1">
        <f t="array" ref="F2670">IFERROR(INDEX(EmployeeData[Age], ROW() - 37), "")</f>
        <v/>
      </c>
      <c r="G2670" s="6" t="str" cm="1">
        <f t="array" ref="G2670">IFERROR(INDEX(EmployeeData[Join Date], ROW() - 37), "")</f>
        <v/>
      </c>
      <c r="H2670" s="6" t="str" cm="1">
        <f t="array" ref="H2670">IFERROR(IF(INDEX(EmployeeData[Exit Date], ROW() - 37)=0, "",INDEX(EmployeeData[Exit Date], ROW() - 37)),"")</f>
        <v/>
      </c>
      <c r="I2670" s="4" t="str" cm="1">
        <f t="array" ref="I2670">IFERROR(IF(INDEX(EmployeeData[Exit Reason], ROW() - 37)=0, "",INDEX(EmployeeData[Exit Reason], ROW() - 37)),"")</f>
        <v/>
      </c>
      <c r="J2670" s="4" t="str" cm="1">
        <f t="array" ref="J2670">IFERROR(INDEX(EmployeeData[Status], ROW() - 37), "")</f>
        <v/>
      </c>
    </row>
    <row r="2671" spans="2:10" ht="19.95" customHeight="1" x14ac:dyDescent="0.3">
      <c r="B2671" s="4" t="str" cm="1">
        <f t="array" ref="B2671">IFERROR(INDEX(EmployeeData[Employee ID], ROW() - 37), "")</f>
        <v/>
      </c>
      <c r="C2671" s="4" t="str" cm="1">
        <f t="array" ref="C2671">IFERROR(INDEX(EmployeeData[Full Name], ROW() - 37), "")</f>
        <v/>
      </c>
      <c r="D2671" s="4" t="str" cm="1">
        <f t="array" ref="D2671">IFERROR(INDEX(EmployeeData[Department], ROW() - 37), "")</f>
        <v/>
      </c>
      <c r="E2671" s="4" t="str" cm="1">
        <f t="array" ref="E2671">IFERROR(INDEX(EmployeeData[Gender], ROW() - 37), "")</f>
        <v/>
      </c>
      <c r="F2671" s="4" t="str" cm="1">
        <f t="array" ref="F2671">IFERROR(INDEX(EmployeeData[Age], ROW() - 37), "")</f>
        <v/>
      </c>
      <c r="G2671" s="6" t="str" cm="1">
        <f t="array" ref="G2671">IFERROR(INDEX(EmployeeData[Join Date], ROW() - 37), "")</f>
        <v/>
      </c>
      <c r="H2671" s="6" t="str" cm="1">
        <f t="array" ref="H2671">IFERROR(IF(INDEX(EmployeeData[Exit Date], ROW() - 37)=0, "",INDEX(EmployeeData[Exit Date], ROW() - 37)),"")</f>
        <v/>
      </c>
      <c r="I2671" s="4" t="str" cm="1">
        <f t="array" ref="I2671">IFERROR(IF(INDEX(EmployeeData[Exit Reason], ROW() - 37)=0, "",INDEX(EmployeeData[Exit Reason], ROW() - 37)),"")</f>
        <v/>
      </c>
      <c r="J2671" s="4" t="str" cm="1">
        <f t="array" ref="J2671">IFERROR(INDEX(EmployeeData[Status], ROW() - 37), "")</f>
        <v/>
      </c>
    </row>
    <row r="2672" spans="2:10" ht="19.95" customHeight="1" x14ac:dyDescent="0.3">
      <c r="B2672" s="4" t="str" cm="1">
        <f t="array" ref="B2672">IFERROR(INDEX(EmployeeData[Employee ID], ROW() - 37), "")</f>
        <v/>
      </c>
      <c r="C2672" s="4" t="str" cm="1">
        <f t="array" ref="C2672">IFERROR(INDEX(EmployeeData[Full Name], ROW() - 37), "")</f>
        <v/>
      </c>
      <c r="D2672" s="4" t="str" cm="1">
        <f t="array" ref="D2672">IFERROR(INDEX(EmployeeData[Department], ROW() - 37), "")</f>
        <v/>
      </c>
      <c r="E2672" s="4" t="str" cm="1">
        <f t="array" ref="E2672">IFERROR(INDEX(EmployeeData[Gender], ROW() - 37), "")</f>
        <v/>
      </c>
      <c r="F2672" s="4" t="str" cm="1">
        <f t="array" ref="F2672">IFERROR(INDEX(EmployeeData[Age], ROW() - 37), "")</f>
        <v/>
      </c>
      <c r="G2672" s="6" t="str" cm="1">
        <f t="array" ref="G2672">IFERROR(INDEX(EmployeeData[Join Date], ROW() - 37), "")</f>
        <v/>
      </c>
      <c r="H2672" s="6" t="str" cm="1">
        <f t="array" ref="H2672">IFERROR(IF(INDEX(EmployeeData[Exit Date], ROW() - 37)=0, "",INDEX(EmployeeData[Exit Date], ROW() - 37)),"")</f>
        <v/>
      </c>
      <c r="I2672" s="4" t="str" cm="1">
        <f t="array" ref="I2672">IFERROR(IF(INDEX(EmployeeData[Exit Reason], ROW() - 37)=0, "",INDEX(EmployeeData[Exit Reason], ROW() - 37)),"")</f>
        <v/>
      </c>
      <c r="J2672" s="4" t="str" cm="1">
        <f t="array" ref="J2672">IFERROR(INDEX(EmployeeData[Status], ROW() - 37), "")</f>
        <v/>
      </c>
    </row>
    <row r="2673" spans="2:10" ht="19.95" customHeight="1" x14ac:dyDescent="0.3">
      <c r="B2673" s="4" t="str" cm="1">
        <f t="array" ref="B2673">IFERROR(INDEX(EmployeeData[Employee ID], ROW() - 37), "")</f>
        <v/>
      </c>
      <c r="C2673" s="4" t="str" cm="1">
        <f t="array" ref="C2673">IFERROR(INDEX(EmployeeData[Full Name], ROW() - 37), "")</f>
        <v/>
      </c>
      <c r="D2673" s="4" t="str" cm="1">
        <f t="array" ref="D2673">IFERROR(INDEX(EmployeeData[Department], ROW() - 37), "")</f>
        <v/>
      </c>
      <c r="E2673" s="4" t="str" cm="1">
        <f t="array" ref="E2673">IFERROR(INDEX(EmployeeData[Gender], ROW() - 37), "")</f>
        <v/>
      </c>
      <c r="F2673" s="4" t="str" cm="1">
        <f t="array" ref="F2673">IFERROR(INDEX(EmployeeData[Age], ROW() - 37), "")</f>
        <v/>
      </c>
      <c r="G2673" s="6" t="str" cm="1">
        <f t="array" ref="G2673">IFERROR(INDEX(EmployeeData[Join Date], ROW() - 37), "")</f>
        <v/>
      </c>
      <c r="H2673" s="6" t="str" cm="1">
        <f t="array" ref="H2673">IFERROR(IF(INDEX(EmployeeData[Exit Date], ROW() - 37)=0, "",INDEX(EmployeeData[Exit Date], ROW() - 37)),"")</f>
        <v/>
      </c>
      <c r="I2673" s="4" t="str" cm="1">
        <f t="array" ref="I2673">IFERROR(IF(INDEX(EmployeeData[Exit Reason], ROW() - 37)=0, "",INDEX(EmployeeData[Exit Reason], ROW() - 37)),"")</f>
        <v/>
      </c>
      <c r="J2673" s="4" t="str" cm="1">
        <f t="array" ref="J2673">IFERROR(INDEX(EmployeeData[Status], ROW() - 37), "")</f>
        <v/>
      </c>
    </row>
    <row r="2674" spans="2:10" ht="19.95" customHeight="1" x14ac:dyDescent="0.3">
      <c r="B2674" s="4" t="str" cm="1">
        <f t="array" ref="B2674">IFERROR(INDEX(EmployeeData[Employee ID], ROW() - 37), "")</f>
        <v/>
      </c>
      <c r="C2674" s="4" t="str" cm="1">
        <f t="array" ref="C2674">IFERROR(INDEX(EmployeeData[Full Name], ROW() - 37), "")</f>
        <v/>
      </c>
      <c r="D2674" s="4" t="str" cm="1">
        <f t="array" ref="D2674">IFERROR(INDEX(EmployeeData[Department], ROW() - 37), "")</f>
        <v/>
      </c>
      <c r="E2674" s="4" t="str" cm="1">
        <f t="array" ref="E2674">IFERROR(INDEX(EmployeeData[Gender], ROW() - 37), "")</f>
        <v/>
      </c>
      <c r="F2674" s="4" t="str" cm="1">
        <f t="array" ref="F2674">IFERROR(INDEX(EmployeeData[Age], ROW() - 37), "")</f>
        <v/>
      </c>
      <c r="G2674" s="6" t="str" cm="1">
        <f t="array" ref="G2674">IFERROR(INDEX(EmployeeData[Join Date], ROW() - 37), "")</f>
        <v/>
      </c>
      <c r="H2674" s="6" t="str" cm="1">
        <f t="array" ref="H2674">IFERROR(IF(INDEX(EmployeeData[Exit Date], ROW() - 37)=0, "",INDEX(EmployeeData[Exit Date], ROW() - 37)),"")</f>
        <v/>
      </c>
      <c r="I2674" s="4" t="str" cm="1">
        <f t="array" ref="I2674">IFERROR(IF(INDEX(EmployeeData[Exit Reason], ROW() - 37)=0, "",INDEX(EmployeeData[Exit Reason], ROW() - 37)),"")</f>
        <v/>
      </c>
      <c r="J2674" s="4" t="str" cm="1">
        <f t="array" ref="J2674">IFERROR(INDEX(EmployeeData[Status], ROW() - 37), "")</f>
        <v/>
      </c>
    </row>
    <row r="2675" spans="2:10" ht="19.95" customHeight="1" x14ac:dyDescent="0.3">
      <c r="B2675" s="4" t="str" cm="1">
        <f t="array" ref="B2675">IFERROR(INDEX(EmployeeData[Employee ID], ROW() - 37), "")</f>
        <v/>
      </c>
      <c r="C2675" s="4" t="str" cm="1">
        <f t="array" ref="C2675">IFERROR(INDEX(EmployeeData[Full Name], ROW() - 37), "")</f>
        <v/>
      </c>
      <c r="D2675" s="4" t="str" cm="1">
        <f t="array" ref="D2675">IFERROR(INDEX(EmployeeData[Department], ROW() - 37), "")</f>
        <v/>
      </c>
      <c r="E2675" s="4" t="str" cm="1">
        <f t="array" ref="E2675">IFERROR(INDEX(EmployeeData[Gender], ROW() - 37), "")</f>
        <v/>
      </c>
      <c r="F2675" s="4" t="str" cm="1">
        <f t="array" ref="F2675">IFERROR(INDEX(EmployeeData[Age], ROW() - 37), "")</f>
        <v/>
      </c>
      <c r="G2675" s="6" t="str" cm="1">
        <f t="array" ref="G2675">IFERROR(INDEX(EmployeeData[Join Date], ROW() - 37), "")</f>
        <v/>
      </c>
      <c r="H2675" s="6" t="str" cm="1">
        <f t="array" ref="H2675">IFERROR(IF(INDEX(EmployeeData[Exit Date], ROW() - 37)=0, "",INDEX(EmployeeData[Exit Date], ROW() - 37)),"")</f>
        <v/>
      </c>
      <c r="I2675" s="4" t="str" cm="1">
        <f t="array" ref="I2675">IFERROR(IF(INDEX(EmployeeData[Exit Reason], ROW() - 37)=0, "",INDEX(EmployeeData[Exit Reason], ROW() - 37)),"")</f>
        <v/>
      </c>
      <c r="J2675" s="4" t="str" cm="1">
        <f t="array" ref="J2675">IFERROR(INDEX(EmployeeData[Status], ROW() - 37), "")</f>
        <v/>
      </c>
    </row>
    <row r="2676" spans="2:10" ht="19.95" customHeight="1" x14ac:dyDescent="0.3">
      <c r="B2676" s="4" t="str" cm="1">
        <f t="array" ref="B2676">IFERROR(INDEX(EmployeeData[Employee ID], ROW() - 37), "")</f>
        <v/>
      </c>
      <c r="C2676" s="4" t="str" cm="1">
        <f t="array" ref="C2676">IFERROR(INDEX(EmployeeData[Full Name], ROW() - 37), "")</f>
        <v/>
      </c>
      <c r="D2676" s="4" t="str" cm="1">
        <f t="array" ref="D2676">IFERROR(INDEX(EmployeeData[Department], ROW() - 37), "")</f>
        <v/>
      </c>
      <c r="E2676" s="4" t="str" cm="1">
        <f t="array" ref="E2676">IFERROR(INDEX(EmployeeData[Gender], ROW() - 37), "")</f>
        <v/>
      </c>
      <c r="F2676" s="4" t="str" cm="1">
        <f t="array" ref="F2676">IFERROR(INDEX(EmployeeData[Age], ROW() - 37), "")</f>
        <v/>
      </c>
      <c r="G2676" s="6" t="str" cm="1">
        <f t="array" ref="G2676">IFERROR(INDEX(EmployeeData[Join Date], ROW() - 37), "")</f>
        <v/>
      </c>
      <c r="H2676" s="6" t="str" cm="1">
        <f t="array" ref="H2676">IFERROR(IF(INDEX(EmployeeData[Exit Date], ROW() - 37)=0, "",INDEX(EmployeeData[Exit Date], ROW() - 37)),"")</f>
        <v/>
      </c>
      <c r="I2676" s="4" t="str" cm="1">
        <f t="array" ref="I2676">IFERROR(IF(INDEX(EmployeeData[Exit Reason], ROW() - 37)=0, "",INDEX(EmployeeData[Exit Reason], ROW() - 37)),"")</f>
        <v/>
      </c>
      <c r="J2676" s="4" t="str" cm="1">
        <f t="array" ref="J2676">IFERROR(INDEX(EmployeeData[Status], ROW() - 37), "")</f>
        <v/>
      </c>
    </row>
    <row r="2677" spans="2:10" ht="19.95" customHeight="1" x14ac:dyDescent="0.3">
      <c r="B2677" s="4" t="str" cm="1">
        <f t="array" ref="B2677">IFERROR(INDEX(EmployeeData[Employee ID], ROW() - 37), "")</f>
        <v/>
      </c>
      <c r="C2677" s="4" t="str" cm="1">
        <f t="array" ref="C2677">IFERROR(INDEX(EmployeeData[Full Name], ROW() - 37), "")</f>
        <v/>
      </c>
      <c r="D2677" s="4" t="str" cm="1">
        <f t="array" ref="D2677">IFERROR(INDEX(EmployeeData[Department], ROW() - 37), "")</f>
        <v/>
      </c>
      <c r="E2677" s="4" t="str" cm="1">
        <f t="array" ref="E2677">IFERROR(INDEX(EmployeeData[Gender], ROW() - 37), "")</f>
        <v/>
      </c>
      <c r="F2677" s="4" t="str" cm="1">
        <f t="array" ref="F2677">IFERROR(INDEX(EmployeeData[Age], ROW() - 37), "")</f>
        <v/>
      </c>
      <c r="G2677" s="6" t="str" cm="1">
        <f t="array" ref="G2677">IFERROR(INDEX(EmployeeData[Join Date], ROW() - 37), "")</f>
        <v/>
      </c>
      <c r="H2677" s="6" t="str" cm="1">
        <f t="array" ref="H2677">IFERROR(IF(INDEX(EmployeeData[Exit Date], ROW() - 37)=0, "",INDEX(EmployeeData[Exit Date], ROW() - 37)),"")</f>
        <v/>
      </c>
      <c r="I2677" s="4" t="str" cm="1">
        <f t="array" ref="I2677">IFERROR(IF(INDEX(EmployeeData[Exit Reason], ROW() - 37)=0, "",INDEX(EmployeeData[Exit Reason], ROW() - 37)),"")</f>
        <v/>
      </c>
      <c r="J2677" s="4" t="str" cm="1">
        <f t="array" ref="J2677">IFERROR(INDEX(EmployeeData[Status], ROW() - 37), "")</f>
        <v/>
      </c>
    </row>
    <row r="2678" spans="2:10" ht="19.95" customHeight="1" x14ac:dyDescent="0.3">
      <c r="B2678" s="4" t="str" cm="1">
        <f t="array" ref="B2678">IFERROR(INDEX(EmployeeData[Employee ID], ROW() - 37), "")</f>
        <v/>
      </c>
      <c r="C2678" s="4" t="str" cm="1">
        <f t="array" ref="C2678">IFERROR(INDEX(EmployeeData[Full Name], ROW() - 37), "")</f>
        <v/>
      </c>
      <c r="D2678" s="4" t="str" cm="1">
        <f t="array" ref="D2678">IFERROR(INDEX(EmployeeData[Department], ROW() - 37), "")</f>
        <v/>
      </c>
      <c r="E2678" s="4" t="str" cm="1">
        <f t="array" ref="E2678">IFERROR(INDEX(EmployeeData[Gender], ROW() - 37), "")</f>
        <v/>
      </c>
      <c r="F2678" s="4" t="str" cm="1">
        <f t="array" ref="F2678">IFERROR(INDEX(EmployeeData[Age], ROW() - 37), "")</f>
        <v/>
      </c>
      <c r="G2678" s="6" t="str" cm="1">
        <f t="array" ref="G2678">IFERROR(INDEX(EmployeeData[Join Date], ROW() - 37), "")</f>
        <v/>
      </c>
      <c r="H2678" s="6" t="str" cm="1">
        <f t="array" ref="H2678">IFERROR(IF(INDEX(EmployeeData[Exit Date], ROW() - 37)=0, "",INDEX(EmployeeData[Exit Date], ROW() - 37)),"")</f>
        <v/>
      </c>
      <c r="I2678" s="4" t="str" cm="1">
        <f t="array" ref="I2678">IFERROR(IF(INDEX(EmployeeData[Exit Reason], ROW() - 37)=0, "",INDEX(EmployeeData[Exit Reason], ROW() - 37)),"")</f>
        <v/>
      </c>
      <c r="J2678" s="4" t="str" cm="1">
        <f t="array" ref="J2678">IFERROR(INDEX(EmployeeData[Status], ROW() - 37), "")</f>
        <v/>
      </c>
    </row>
    <row r="2679" spans="2:10" ht="19.95" customHeight="1" x14ac:dyDescent="0.3">
      <c r="B2679" s="4" t="str" cm="1">
        <f t="array" ref="B2679">IFERROR(INDEX(EmployeeData[Employee ID], ROW() - 37), "")</f>
        <v/>
      </c>
      <c r="C2679" s="4" t="str" cm="1">
        <f t="array" ref="C2679">IFERROR(INDEX(EmployeeData[Full Name], ROW() - 37), "")</f>
        <v/>
      </c>
      <c r="D2679" s="4" t="str" cm="1">
        <f t="array" ref="D2679">IFERROR(INDEX(EmployeeData[Department], ROW() - 37), "")</f>
        <v/>
      </c>
      <c r="E2679" s="4" t="str" cm="1">
        <f t="array" ref="E2679">IFERROR(INDEX(EmployeeData[Gender], ROW() - 37), "")</f>
        <v/>
      </c>
      <c r="F2679" s="4" t="str" cm="1">
        <f t="array" ref="F2679">IFERROR(INDEX(EmployeeData[Age], ROW() - 37), "")</f>
        <v/>
      </c>
      <c r="G2679" s="6" t="str" cm="1">
        <f t="array" ref="G2679">IFERROR(INDEX(EmployeeData[Join Date], ROW() - 37), "")</f>
        <v/>
      </c>
      <c r="H2679" s="6" t="str" cm="1">
        <f t="array" ref="H2679">IFERROR(IF(INDEX(EmployeeData[Exit Date], ROW() - 37)=0, "",INDEX(EmployeeData[Exit Date], ROW() - 37)),"")</f>
        <v/>
      </c>
      <c r="I2679" s="4" t="str" cm="1">
        <f t="array" ref="I2679">IFERROR(IF(INDEX(EmployeeData[Exit Reason], ROW() - 37)=0, "",INDEX(EmployeeData[Exit Reason], ROW() - 37)),"")</f>
        <v/>
      </c>
      <c r="J2679" s="4" t="str" cm="1">
        <f t="array" ref="J2679">IFERROR(INDEX(EmployeeData[Status], ROW() - 37), "")</f>
        <v/>
      </c>
    </row>
    <row r="2680" spans="2:10" ht="19.95" customHeight="1" x14ac:dyDescent="0.3">
      <c r="B2680" s="4" t="str" cm="1">
        <f t="array" ref="B2680">IFERROR(INDEX(EmployeeData[Employee ID], ROW() - 37), "")</f>
        <v/>
      </c>
      <c r="C2680" s="4" t="str" cm="1">
        <f t="array" ref="C2680">IFERROR(INDEX(EmployeeData[Full Name], ROW() - 37), "")</f>
        <v/>
      </c>
      <c r="D2680" s="4" t="str" cm="1">
        <f t="array" ref="D2680">IFERROR(INDEX(EmployeeData[Department], ROW() - 37), "")</f>
        <v/>
      </c>
      <c r="E2680" s="4" t="str" cm="1">
        <f t="array" ref="E2680">IFERROR(INDEX(EmployeeData[Gender], ROW() - 37), "")</f>
        <v/>
      </c>
      <c r="F2680" s="4" t="str" cm="1">
        <f t="array" ref="F2680">IFERROR(INDEX(EmployeeData[Age], ROW() - 37), "")</f>
        <v/>
      </c>
      <c r="G2680" s="6" t="str" cm="1">
        <f t="array" ref="G2680">IFERROR(INDEX(EmployeeData[Join Date], ROW() - 37), "")</f>
        <v/>
      </c>
      <c r="H2680" s="6" t="str" cm="1">
        <f t="array" ref="H2680">IFERROR(IF(INDEX(EmployeeData[Exit Date], ROW() - 37)=0, "",INDEX(EmployeeData[Exit Date], ROW() - 37)),"")</f>
        <v/>
      </c>
      <c r="I2680" s="4" t="str" cm="1">
        <f t="array" ref="I2680">IFERROR(IF(INDEX(EmployeeData[Exit Reason], ROW() - 37)=0, "",INDEX(EmployeeData[Exit Reason], ROW() - 37)),"")</f>
        <v/>
      </c>
      <c r="J2680" s="4" t="str" cm="1">
        <f t="array" ref="J2680">IFERROR(INDEX(EmployeeData[Status], ROW() - 37), "")</f>
        <v/>
      </c>
    </row>
    <row r="2681" spans="2:10" ht="19.95" customHeight="1" x14ac:dyDescent="0.3">
      <c r="B2681" s="4" t="str" cm="1">
        <f t="array" ref="B2681">IFERROR(INDEX(EmployeeData[Employee ID], ROW() - 37), "")</f>
        <v/>
      </c>
      <c r="C2681" s="4" t="str" cm="1">
        <f t="array" ref="C2681">IFERROR(INDEX(EmployeeData[Full Name], ROW() - 37), "")</f>
        <v/>
      </c>
      <c r="D2681" s="4" t="str" cm="1">
        <f t="array" ref="D2681">IFERROR(INDEX(EmployeeData[Department], ROW() - 37), "")</f>
        <v/>
      </c>
      <c r="E2681" s="4" t="str" cm="1">
        <f t="array" ref="E2681">IFERROR(INDEX(EmployeeData[Gender], ROW() - 37), "")</f>
        <v/>
      </c>
      <c r="F2681" s="4" t="str" cm="1">
        <f t="array" ref="F2681">IFERROR(INDEX(EmployeeData[Age], ROW() - 37), "")</f>
        <v/>
      </c>
      <c r="G2681" s="6" t="str" cm="1">
        <f t="array" ref="G2681">IFERROR(INDEX(EmployeeData[Join Date], ROW() - 37), "")</f>
        <v/>
      </c>
      <c r="H2681" s="6" t="str" cm="1">
        <f t="array" ref="H2681">IFERROR(IF(INDEX(EmployeeData[Exit Date], ROW() - 37)=0, "",INDEX(EmployeeData[Exit Date], ROW() - 37)),"")</f>
        <v/>
      </c>
      <c r="I2681" s="4" t="str" cm="1">
        <f t="array" ref="I2681">IFERROR(IF(INDEX(EmployeeData[Exit Reason], ROW() - 37)=0, "",INDEX(EmployeeData[Exit Reason], ROW() - 37)),"")</f>
        <v/>
      </c>
      <c r="J2681" s="4" t="str" cm="1">
        <f t="array" ref="J2681">IFERROR(INDEX(EmployeeData[Status], ROW() - 37), "")</f>
        <v/>
      </c>
    </row>
    <row r="2682" spans="2:10" ht="19.95" customHeight="1" x14ac:dyDescent="0.3">
      <c r="B2682" s="4" t="str" cm="1">
        <f t="array" ref="B2682">IFERROR(INDEX(EmployeeData[Employee ID], ROW() - 37), "")</f>
        <v/>
      </c>
      <c r="C2682" s="4" t="str" cm="1">
        <f t="array" ref="C2682">IFERROR(INDEX(EmployeeData[Full Name], ROW() - 37), "")</f>
        <v/>
      </c>
      <c r="D2682" s="4" t="str" cm="1">
        <f t="array" ref="D2682">IFERROR(INDEX(EmployeeData[Department], ROW() - 37), "")</f>
        <v/>
      </c>
      <c r="E2682" s="4" t="str" cm="1">
        <f t="array" ref="E2682">IFERROR(INDEX(EmployeeData[Gender], ROW() - 37), "")</f>
        <v/>
      </c>
      <c r="F2682" s="4" t="str" cm="1">
        <f t="array" ref="F2682">IFERROR(INDEX(EmployeeData[Age], ROW() - 37), "")</f>
        <v/>
      </c>
      <c r="G2682" s="6" t="str" cm="1">
        <f t="array" ref="G2682">IFERROR(INDEX(EmployeeData[Join Date], ROW() - 37), "")</f>
        <v/>
      </c>
      <c r="H2682" s="6" t="str" cm="1">
        <f t="array" ref="H2682">IFERROR(IF(INDEX(EmployeeData[Exit Date], ROW() - 37)=0, "",INDEX(EmployeeData[Exit Date], ROW() - 37)),"")</f>
        <v/>
      </c>
      <c r="I2682" s="4" t="str" cm="1">
        <f t="array" ref="I2682">IFERROR(IF(INDEX(EmployeeData[Exit Reason], ROW() - 37)=0, "",INDEX(EmployeeData[Exit Reason], ROW() - 37)),"")</f>
        <v/>
      </c>
      <c r="J2682" s="4" t="str" cm="1">
        <f t="array" ref="J2682">IFERROR(INDEX(EmployeeData[Status], ROW() - 37), "")</f>
        <v/>
      </c>
    </row>
    <row r="2683" spans="2:10" ht="19.95" customHeight="1" x14ac:dyDescent="0.3">
      <c r="B2683" s="4" t="str" cm="1">
        <f t="array" ref="B2683">IFERROR(INDEX(EmployeeData[Employee ID], ROW() - 37), "")</f>
        <v/>
      </c>
      <c r="C2683" s="4" t="str" cm="1">
        <f t="array" ref="C2683">IFERROR(INDEX(EmployeeData[Full Name], ROW() - 37), "")</f>
        <v/>
      </c>
      <c r="D2683" s="4" t="str" cm="1">
        <f t="array" ref="D2683">IFERROR(INDEX(EmployeeData[Department], ROW() - 37), "")</f>
        <v/>
      </c>
      <c r="E2683" s="4" t="str" cm="1">
        <f t="array" ref="E2683">IFERROR(INDEX(EmployeeData[Gender], ROW() - 37), "")</f>
        <v/>
      </c>
      <c r="F2683" s="4" t="str" cm="1">
        <f t="array" ref="F2683">IFERROR(INDEX(EmployeeData[Age], ROW() - 37), "")</f>
        <v/>
      </c>
      <c r="G2683" s="6" t="str" cm="1">
        <f t="array" ref="G2683">IFERROR(INDEX(EmployeeData[Join Date], ROW() - 37), "")</f>
        <v/>
      </c>
      <c r="H2683" s="6" t="str" cm="1">
        <f t="array" ref="H2683">IFERROR(IF(INDEX(EmployeeData[Exit Date], ROW() - 37)=0, "",INDEX(EmployeeData[Exit Date], ROW() - 37)),"")</f>
        <v/>
      </c>
      <c r="I2683" s="4" t="str" cm="1">
        <f t="array" ref="I2683">IFERROR(IF(INDEX(EmployeeData[Exit Reason], ROW() - 37)=0, "",INDEX(EmployeeData[Exit Reason], ROW() - 37)),"")</f>
        <v/>
      </c>
      <c r="J2683" s="4" t="str" cm="1">
        <f t="array" ref="J2683">IFERROR(INDEX(EmployeeData[Status], ROW() - 37), "")</f>
        <v/>
      </c>
    </row>
    <row r="2684" spans="2:10" ht="19.95" customHeight="1" x14ac:dyDescent="0.3">
      <c r="B2684" s="4" t="str" cm="1">
        <f t="array" ref="B2684">IFERROR(INDEX(EmployeeData[Employee ID], ROW() - 37), "")</f>
        <v/>
      </c>
      <c r="C2684" s="4" t="str" cm="1">
        <f t="array" ref="C2684">IFERROR(INDEX(EmployeeData[Full Name], ROW() - 37), "")</f>
        <v/>
      </c>
      <c r="D2684" s="4" t="str" cm="1">
        <f t="array" ref="D2684">IFERROR(INDEX(EmployeeData[Department], ROW() - 37), "")</f>
        <v/>
      </c>
      <c r="E2684" s="4" t="str" cm="1">
        <f t="array" ref="E2684">IFERROR(INDEX(EmployeeData[Gender], ROW() - 37), "")</f>
        <v/>
      </c>
      <c r="F2684" s="4" t="str" cm="1">
        <f t="array" ref="F2684">IFERROR(INDEX(EmployeeData[Age], ROW() - 37), "")</f>
        <v/>
      </c>
      <c r="G2684" s="6" t="str" cm="1">
        <f t="array" ref="G2684">IFERROR(INDEX(EmployeeData[Join Date], ROW() - 37), "")</f>
        <v/>
      </c>
      <c r="H2684" s="6" t="str" cm="1">
        <f t="array" ref="H2684">IFERROR(IF(INDEX(EmployeeData[Exit Date], ROW() - 37)=0, "",INDEX(EmployeeData[Exit Date], ROW() - 37)),"")</f>
        <v/>
      </c>
      <c r="I2684" s="4" t="str" cm="1">
        <f t="array" ref="I2684">IFERROR(IF(INDEX(EmployeeData[Exit Reason], ROW() - 37)=0, "",INDEX(EmployeeData[Exit Reason], ROW() - 37)),"")</f>
        <v/>
      </c>
      <c r="J2684" s="4" t="str" cm="1">
        <f t="array" ref="J2684">IFERROR(INDEX(EmployeeData[Status], ROW() - 37), "")</f>
        <v/>
      </c>
    </row>
    <row r="2685" spans="2:10" ht="19.95" customHeight="1" x14ac:dyDescent="0.3">
      <c r="B2685" s="4" t="str" cm="1">
        <f t="array" ref="B2685">IFERROR(INDEX(EmployeeData[Employee ID], ROW() - 37), "")</f>
        <v/>
      </c>
      <c r="C2685" s="4" t="str" cm="1">
        <f t="array" ref="C2685">IFERROR(INDEX(EmployeeData[Full Name], ROW() - 37), "")</f>
        <v/>
      </c>
      <c r="D2685" s="4" t="str" cm="1">
        <f t="array" ref="D2685">IFERROR(INDEX(EmployeeData[Department], ROW() - 37), "")</f>
        <v/>
      </c>
      <c r="E2685" s="4" t="str" cm="1">
        <f t="array" ref="E2685">IFERROR(INDEX(EmployeeData[Gender], ROW() - 37), "")</f>
        <v/>
      </c>
      <c r="F2685" s="4" t="str" cm="1">
        <f t="array" ref="F2685">IFERROR(INDEX(EmployeeData[Age], ROW() - 37), "")</f>
        <v/>
      </c>
      <c r="G2685" s="6" t="str" cm="1">
        <f t="array" ref="G2685">IFERROR(INDEX(EmployeeData[Join Date], ROW() - 37), "")</f>
        <v/>
      </c>
      <c r="H2685" s="6" t="str" cm="1">
        <f t="array" ref="H2685">IFERROR(IF(INDEX(EmployeeData[Exit Date], ROW() - 37)=0, "",INDEX(EmployeeData[Exit Date], ROW() - 37)),"")</f>
        <v/>
      </c>
      <c r="I2685" s="4" t="str" cm="1">
        <f t="array" ref="I2685">IFERROR(IF(INDEX(EmployeeData[Exit Reason], ROW() - 37)=0, "",INDEX(EmployeeData[Exit Reason], ROW() - 37)),"")</f>
        <v/>
      </c>
      <c r="J2685" s="4" t="str" cm="1">
        <f t="array" ref="J2685">IFERROR(INDEX(EmployeeData[Status], ROW() - 37), "")</f>
        <v/>
      </c>
    </row>
    <row r="2686" spans="2:10" ht="19.95" customHeight="1" x14ac:dyDescent="0.3">
      <c r="B2686" s="4" t="str" cm="1">
        <f t="array" ref="B2686">IFERROR(INDEX(EmployeeData[Employee ID], ROW() - 37), "")</f>
        <v/>
      </c>
      <c r="C2686" s="4" t="str" cm="1">
        <f t="array" ref="C2686">IFERROR(INDEX(EmployeeData[Full Name], ROW() - 37), "")</f>
        <v/>
      </c>
      <c r="D2686" s="4" t="str" cm="1">
        <f t="array" ref="D2686">IFERROR(INDEX(EmployeeData[Department], ROW() - 37), "")</f>
        <v/>
      </c>
      <c r="E2686" s="4" t="str" cm="1">
        <f t="array" ref="E2686">IFERROR(INDEX(EmployeeData[Gender], ROW() - 37), "")</f>
        <v/>
      </c>
      <c r="F2686" s="4" t="str" cm="1">
        <f t="array" ref="F2686">IFERROR(INDEX(EmployeeData[Age], ROW() - 37), "")</f>
        <v/>
      </c>
      <c r="G2686" s="6" t="str" cm="1">
        <f t="array" ref="G2686">IFERROR(INDEX(EmployeeData[Join Date], ROW() - 37), "")</f>
        <v/>
      </c>
      <c r="H2686" s="6" t="str" cm="1">
        <f t="array" ref="H2686">IFERROR(IF(INDEX(EmployeeData[Exit Date], ROW() - 37)=0, "",INDEX(EmployeeData[Exit Date], ROW() - 37)),"")</f>
        <v/>
      </c>
      <c r="I2686" s="4" t="str" cm="1">
        <f t="array" ref="I2686">IFERROR(IF(INDEX(EmployeeData[Exit Reason], ROW() - 37)=0, "",INDEX(EmployeeData[Exit Reason], ROW() - 37)),"")</f>
        <v/>
      </c>
      <c r="J2686" s="4" t="str" cm="1">
        <f t="array" ref="J2686">IFERROR(INDEX(EmployeeData[Status], ROW() - 37), "")</f>
        <v/>
      </c>
    </row>
    <row r="2687" spans="2:10" ht="19.95" customHeight="1" x14ac:dyDescent="0.3">
      <c r="B2687" s="4" t="str" cm="1">
        <f t="array" ref="B2687">IFERROR(INDEX(EmployeeData[Employee ID], ROW() - 37), "")</f>
        <v/>
      </c>
      <c r="C2687" s="4" t="str" cm="1">
        <f t="array" ref="C2687">IFERROR(INDEX(EmployeeData[Full Name], ROW() - 37), "")</f>
        <v/>
      </c>
      <c r="D2687" s="4" t="str" cm="1">
        <f t="array" ref="D2687">IFERROR(INDEX(EmployeeData[Department], ROW() - 37), "")</f>
        <v/>
      </c>
      <c r="E2687" s="4" t="str" cm="1">
        <f t="array" ref="E2687">IFERROR(INDEX(EmployeeData[Gender], ROW() - 37), "")</f>
        <v/>
      </c>
      <c r="F2687" s="4" t="str" cm="1">
        <f t="array" ref="F2687">IFERROR(INDEX(EmployeeData[Age], ROW() - 37), "")</f>
        <v/>
      </c>
      <c r="G2687" s="6" t="str" cm="1">
        <f t="array" ref="G2687">IFERROR(INDEX(EmployeeData[Join Date], ROW() - 37), "")</f>
        <v/>
      </c>
      <c r="H2687" s="6" t="str" cm="1">
        <f t="array" ref="H2687">IFERROR(IF(INDEX(EmployeeData[Exit Date], ROW() - 37)=0, "",INDEX(EmployeeData[Exit Date], ROW() - 37)),"")</f>
        <v/>
      </c>
      <c r="I2687" s="4" t="str" cm="1">
        <f t="array" ref="I2687">IFERROR(IF(INDEX(EmployeeData[Exit Reason], ROW() - 37)=0, "",INDEX(EmployeeData[Exit Reason], ROW() - 37)),"")</f>
        <v/>
      </c>
      <c r="J2687" s="4" t="str" cm="1">
        <f t="array" ref="J2687">IFERROR(INDEX(EmployeeData[Status], ROW() - 37), "")</f>
        <v/>
      </c>
    </row>
    <row r="2688" spans="2:10" ht="19.95" customHeight="1" x14ac:dyDescent="0.3">
      <c r="B2688" s="4" t="str" cm="1">
        <f t="array" ref="B2688">IFERROR(INDEX(EmployeeData[Employee ID], ROW() - 37), "")</f>
        <v/>
      </c>
      <c r="C2688" s="4" t="str" cm="1">
        <f t="array" ref="C2688">IFERROR(INDEX(EmployeeData[Full Name], ROW() - 37), "")</f>
        <v/>
      </c>
      <c r="D2688" s="4" t="str" cm="1">
        <f t="array" ref="D2688">IFERROR(INDEX(EmployeeData[Department], ROW() - 37), "")</f>
        <v/>
      </c>
      <c r="E2688" s="4" t="str" cm="1">
        <f t="array" ref="E2688">IFERROR(INDEX(EmployeeData[Gender], ROW() - 37), "")</f>
        <v/>
      </c>
      <c r="F2688" s="4" t="str" cm="1">
        <f t="array" ref="F2688">IFERROR(INDEX(EmployeeData[Age], ROW() - 37), "")</f>
        <v/>
      </c>
      <c r="G2688" s="6" t="str" cm="1">
        <f t="array" ref="G2688">IFERROR(INDEX(EmployeeData[Join Date], ROW() - 37), "")</f>
        <v/>
      </c>
      <c r="H2688" s="6" t="str" cm="1">
        <f t="array" ref="H2688">IFERROR(IF(INDEX(EmployeeData[Exit Date], ROW() - 37)=0, "",INDEX(EmployeeData[Exit Date], ROW() - 37)),"")</f>
        <v/>
      </c>
      <c r="I2688" s="4" t="str" cm="1">
        <f t="array" ref="I2688">IFERROR(IF(INDEX(EmployeeData[Exit Reason], ROW() - 37)=0, "",INDEX(EmployeeData[Exit Reason], ROW() - 37)),"")</f>
        <v/>
      </c>
      <c r="J2688" s="4" t="str" cm="1">
        <f t="array" ref="J2688">IFERROR(INDEX(EmployeeData[Status], ROW() - 37), "")</f>
        <v/>
      </c>
    </row>
    <row r="2689" spans="2:10" ht="19.95" customHeight="1" x14ac:dyDescent="0.3">
      <c r="B2689" s="4" t="str" cm="1">
        <f t="array" ref="B2689">IFERROR(INDEX(EmployeeData[Employee ID], ROW() - 37), "")</f>
        <v/>
      </c>
      <c r="C2689" s="4" t="str" cm="1">
        <f t="array" ref="C2689">IFERROR(INDEX(EmployeeData[Full Name], ROW() - 37), "")</f>
        <v/>
      </c>
      <c r="D2689" s="4" t="str" cm="1">
        <f t="array" ref="D2689">IFERROR(INDEX(EmployeeData[Department], ROW() - 37), "")</f>
        <v/>
      </c>
      <c r="E2689" s="4" t="str" cm="1">
        <f t="array" ref="E2689">IFERROR(INDEX(EmployeeData[Gender], ROW() - 37), "")</f>
        <v/>
      </c>
      <c r="F2689" s="4" t="str" cm="1">
        <f t="array" ref="F2689">IFERROR(INDEX(EmployeeData[Age], ROW() - 37), "")</f>
        <v/>
      </c>
      <c r="G2689" s="6" t="str" cm="1">
        <f t="array" ref="G2689">IFERROR(INDEX(EmployeeData[Join Date], ROW() - 37), "")</f>
        <v/>
      </c>
      <c r="H2689" s="6" t="str" cm="1">
        <f t="array" ref="H2689">IFERROR(IF(INDEX(EmployeeData[Exit Date], ROW() - 37)=0, "",INDEX(EmployeeData[Exit Date], ROW() - 37)),"")</f>
        <v/>
      </c>
      <c r="I2689" s="4" t="str" cm="1">
        <f t="array" ref="I2689">IFERROR(IF(INDEX(EmployeeData[Exit Reason], ROW() - 37)=0, "",INDEX(EmployeeData[Exit Reason], ROW() - 37)),"")</f>
        <v/>
      </c>
      <c r="J2689" s="4" t="str" cm="1">
        <f t="array" ref="J2689">IFERROR(INDEX(EmployeeData[Status], ROW() - 37), "")</f>
        <v/>
      </c>
    </row>
    <row r="2690" spans="2:10" ht="19.95" customHeight="1" x14ac:dyDescent="0.3">
      <c r="B2690" s="4" t="str" cm="1">
        <f t="array" ref="B2690">IFERROR(INDEX(EmployeeData[Employee ID], ROW() - 37), "")</f>
        <v/>
      </c>
      <c r="C2690" s="4" t="str" cm="1">
        <f t="array" ref="C2690">IFERROR(INDEX(EmployeeData[Full Name], ROW() - 37), "")</f>
        <v/>
      </c>
      <c r="D2690" s="4" t="str" cm="1">
        <f t="array" ref="D2690">IFERROR(INDEX(EmployeeData[Department], ROW() - 37), "")</f>
        <v/>
      </c>
      <c r="E2690" s="4" t="str" cm="1">
        <f t="array" ref="E2690">IFERROR(INDEX(EmployeeData[Gender], ROW() - 37), "")</f>
        <v/>
      </c>
      <c r="F2690" s="4" t="str" cm="1">
        <f t="array" ref="F2690">IFERROR(INDEX(EmployeeData[Age], ROW() - 37), "")</f>
        <v/>
      </c>
      <c r="G2690" s="6" t="str" cm="1">
        <f t="array" ref="G2690">IFERROR(INDEX(EmployeeData[Join Date], ROW() - 37), "")</f>
        <v/>
      </c>
      <c r="H2690" s="6" t="str" cm="1">
        <f t="array" ref="H2690">IFERROR(IF(INDEX(EmployeeData[Exit Date], ROW() - 37)=0, "",INDEX(EmployeeData[Exit Date], ROW() - 37)),"")</f>
        <v/>
      </c>
      <c r="I2690" s="4" t="str" cm="1">
        <f t="array" ref="I2690">IFERROR(IF(INDEX(EmployeeData[Exit Reason], ROW() - 37)=0, "",INDEX(EmployeeData[Exit Reason], ROW() - 37)),"")</f>
        <v/>
      </c>
      <c r="J2690" s="4" t="str" cm="1">
        <f t="array" ref="J2690">IFERROR(INDEX(EmployeeData[Status], ROW() - 37), "")</f>
        <v/>
      </c>
    </row>
    <row r="2691" spans="2:10" ht="19.95" customHeight="1" x14ac:dyDescent="0.3">
      <c r="B2691" s="4" t="str" cm="1">
        <f t="array" ref="B2691">IFERROR(INDEX(EmployeeData[Employee ID], ROW() - 37), "")</f>
        <v/>
      </c>
      <c r="C2691" s="4" t="str" cm="1">
        <f t="array" ref="C2691">IFERROR(INDEX(EmployeeData[Full Name], ROW() - 37), "")</f>
        <v/>
      </c>
      <c r="D2691" s="4" t="str" cm="1">
        <f t="array" ref="D2691">IFERROR(INDEX(EmployeeData[Department], ROW() - 37), "")</f>
        <v/>
      </c>
      <c r="E2691" s="4" t="str" cm="1">
        <f t="array" ref="E2691">IFERROR(INDEX(EmployeeData[Gender], ROW() - 37), "")</f>
        <v/>
      </c>
      <c r="F2691" s="4" t="str" cm="1">
        <f t="array" ref="F2691">IFERROR(INDEX(EmployeeData[Age], ROW() - 37), "")</f>
        <v/>
      </c>
      <c r="G2691" s="6" t="str" cm="1">
        <f t="array" ref="G2691">IFERROR(INDEX(EmployeeData[Join Date], ROW() - 37), "")</f>
        <v/>
      </c>
      <c r="H2691" s="6" t="str" cm="1">
        <f t="array" ref="H2691">IFERROR(IF(INDEX(EmployeeData[Exit Date], ROW() - 37)=0, "",INDEX(EmployeeData[Exit Date], ROW() - 37)),"")</f>
        <v/>
      </c>
      <c r="I2691" s="4" t="str" cm="1">
        <f t="array" ref="I2691">IFERROR(IF(INDEX(EmployeeData[Exit Reason], ROW() - 37)=0, "",INDEX(EmployeeData[Exit Reason], ROW() - 37)),"")</f>
        <v/>
      </c>
      <c r="J2691" s="4" t="str" cm="1">
        <f t="array" ref="J2691">IFERROR(INDEX(EmployeeData[Status], ROW() - 37), "")</f>
        <v/>
      </c>
    </row>
    <row r="2692" spans="2:10" ht="19.95" customHeight="1" x14ac:dyDescent="0.3">
      <c r="B2692" s="4" t="str" cm="1">
        <f t="array" ref="B2692">IFERROR(INDEX(EmployeeData[Employee ID], ROW() - 37), "")</f>
        <v/>
      </c>
      <c r="C2692" s="4" t="str" cm="1">
        <f t="array" ref="C2692">IFERROR(INDEX(EmployeeData[Full Name], ROW() - 37), "")</f>
        <v/>
      </c>
      <c r="D2692" s="4" t="str" cm="1">
        <f t="array" ref="D2692">IFERROR(INDEX(EmployeeData[Department], ROW() - 37), "")</f>
        <v/>
      </c>
      <c r="E2692" s="4" t="str" cm="1">
        <f t="array" ref="E2692">IFERROR(INDEX(EmployeeData[Gender], ROW() - 37), "")</f>
        <v/>
      </c>
      <c r="F2692" s="4" t="str" cm="1">
        <f t="array" ref="F2692">IFERROR(INDEX(EmployeeData[Age], ROW() - 37), "")</f>
        <v/>
      </c>
      <c r="G2692" s="6" t="str" cm="1">
        <f t="array" ref="G2692">IFERROR(INDEX(EmployeeData[Join Date], ROW() - 37), "")</f>
        <v/>
      </c>
      <c r="H2692" s="6" t="str" cm="1">
        <f t="array" ref="H2692">IFERROR(IF(INDEX(EmployeeData[Exit Date], ROW() - 37)=0, "",INDEX(EmployeeData[Exit Date], ROW() - 37)),"")</f>
        <v/>
      </c>
      <c r="I2692" s="4" t="str" cm="1">
        <f t="array" ref="I2692">IFERROR(IF(INDEX(EmployeeData[Exit Reason], ROW() - 37)=0, "",INDEX(EmployeeData[Exit Reason], ROW() - 37)),"")</f>
        <v/>
      </c>
      <c r="J2692" s="4" t="str" cm="1">
        <f t="array" ref="J2692">IFERROR(INDEX(EmployeeData[Status], ROW() - 37), "")</f>
        <v/>
      </c>
    </row>
    <row r="2693" spans="2:10" ht="19.95" customHeight="1" x14ac:dyDescent="0.3">
      <c r="B2693" s="4" t="str" cm="1">
        <f t="array" ref="B2693">IFERROR(INDEX(EmployeeData[Employee ID], ROW() - 37), "")</f>
        <v/>
      </c>
      <c r="C2693" s="4" t="str" cm="1">
        <f t="array" ref="C2693">IFERROR(INDEX(EmployeeData[Full Name], ROW() - 37), "")</f>
        <v/>
      </c>
      <c r="D2693" s="4" t="str" cm="1">
        <f t="array" ref="D2693">IFERROR(INDEX(EmployeeData[Department], ROW() - 37), "")</f>
        <v/>
      </c>
      <c r="E2693" s="4" t="str" cm="1">
        <f t="array" ref="E2693">IFERROR(INDEX(EmployeeData[Gender], ROW() - 37), "")</f>
        <v/>
      </c>
      <c r="F2693" s="4" t="str" cm="1">
        <f t="array" ref="F2693">IFERROR(INDEX(EmployeeData[Age], ROW() - 37), "")</f>
        <v/>
      </c>
      <c r="G2693" s="6" t="str" cm="1">
        <f t="array" ref="G2693">IFERROR(INDEX(EmployeeData[Join Date], ROW() - 37), "")</f>
        <v/>
      </c>
      <c r="H2693" s="6" t="str" cm="1">
        <f t="array" ref="H2693">IFERROR(IF(INDEX(EmployeeData[Exit Date], ROW() - 37)=0, "",INDEX(EmployeeData[Exit Date], ROW() - 37)),"")</f>
        <v/>
      </c>
      <c r="I2693" s="4" t="str" cm="1">
        <f t="array" ref="I2693">IFERROR(IF(INDEX(EmployeeData[Exit Reason], ROW() - 37)=0, "",INDEX(EmployeeData[Exit Reason], ROW() - 37)),"")</f>
        <v/>
      </c>
      <c r="J2693" s="4" t="str" cm="1">
        <f t="array" ref="J2693">IFERROR(INDEX(EmployeeData[Status], ROW() - 37), "")</f>
        <v/>
      </c>
    </row>
    <row r="2694" spans="2:10" ht="19.95" customHeight="1" x14ac:dyDescent="0.3">
      <c r="B2694" s="4" t="str" cm="1">
        <f t="array" ref="B2694">IFERROR(INDEX(EmployeeData[Employee ID], ROW() - 37), "")</f>
        <v/>
      </c>
      <c r="C2694" s="4" t="str" cm="1">
        <f t="array" ref="C2694">IFERROR(INDEX(EmployeeData[Full Name], ROW() - 37), "")</f>
        <v/>
      </c>
      <c r="D2694" s="4" t="str" cm="1">
        <f t="array" ref="D2694">IFERROR(INDEX(EmployeeData[Department], ROW() - 37), "")</f>
        <v/>
      </c>
      <c r="E2694" s="4" t="str" cm="1">
        <f t="array" ref="E2694">IFERROR(INDEX(EmployeeData[Gender], ROW() - 37), "")</f>
        <v/>
      </c>
      <c r="F2694" s="4" t="str" cm="1">
        <f t="array" ref="F2694">IFERROR(INDEX(EmployeeData[Age], ROW() - 37), "")</f>
        <v/>
      </c>
      <c r="G2694" s="6" t="str" cm="1">
        <f t="array" ref="G2694">IFERROR(INDEX(EmployeeData[Join Date], ROW() - 37), "")</f>
        <v/>
      </c>
      <c r="H2694" s="6" t="str" cm="1">
        <f t="array" ref="H2694">IFERROR(IF(INDEX(EmployeeData[Exit Date], ROW() - 37)=0, "",INDEX(EmployeeData[Exit Date], ROW() - 37)),"")</f>
        <v/>
      </c>
      <c r="I2694" s="4" t="str" cm="1">
        <f t="array" ref="I2694">IFERROR(IF(INDEX(EmployeeData[Exit Reason], ROW() - 37)=0, "",INDEX(EmployeeData[Exit Reason], ROW() - 37)),"")</f>
        <v/>
      </c>
      <c r="J2694" s="4" t="str" cm="1">
        <f t="array" ref="J2694">IFERROR(INDEX(EmployeeData[Status], ROW() - 37), "")</f>
        <v/>
      </c>
    </row>
    <row r="2695" spans="2:10" ht="19.95" customHeight="1" x14ac:dyDescent="0.3">
      <c r="B2695" s="4" t="str" cm="1">
        <f t="array" ref="B2695">IFERROR(INDEX(EmployeeData[Employee ID], ROW() - 37), "")</f>
        <v/>
      </c>
      <c r="C2695" s="4" t="str" cm="1">
        <f t="array" ref="C2695">IFERROR(INDEX(EmployeeData[Full Name], ROW() - 37), "")</f>
        <v/>
      </c>
      <c r="D2695" s="4" t="str" cm="1">
        <f t="array" ref="D2695">IFERROR(INDEX(EmployeeData[Department], ROW() - 37), "")</f>
        <v/>
      </c>
      <c r="E2695" s="4" t="str" cm="1">
        <f t="array" ref="E2695">IFERROR(INDEX(EmployeeData[Gender], ROW() - 37), "")</f>
        <v/>
      </c>
      <c r="F2695" s="4" t="str" cm="1">
        <f t="array" ref="F2695">IFERROR(INDEX(EmployeeData[Age], ROW() - 37), "")</f>
        <v/>
      </c>
      <c r="G2695" s="6" t="str" cm="1">
        <f t="array" ref="G2695">IFERROR(INDEX(EmployeeData[Join Date], ROW() - 37), "")</f>
        <v/>
      </c>
      <c r="H2695" s="6" t="str" cm="1">
        <f t="array" ref="H2695">IFERROR(IF(INDEX(EmployeeData[Exit Date], ROW() - 37)=0, "",INDEX(EmployeeData[Exit Date], ROW() - 37)),"")</f>
        <v/>
      </c>
      <c r="I2695" s="4" t="str" cm="1">
        <f t="array" ref="I2695">IFERROR(IF(INDEX(EmployeeData[Exit Reason], ROW() - 37)=0, "",INDEX(EmployeeData[Exit Reason], ROW() - 37)),"")</f>
        <v/>
      </c>
      <c r="J2695" s="4" t="str" cm="1">
        <f t="array" ref="J2695">IFERROR(INDEX(EmployeeData[Status], ROW() - 37), "")</f>
        <v/>
      </c>
    </row>
    <row r="2696" spans="2:10" ht="19.95" customHeight="1" x14ac:dyDescent="0.3">
      <c r="B2696" s="4" t="str" cm="1">
        <f t="array" ref="B2696">IFERROR(INDEX(EmployeeData[Employee ID], ROW() - 37), "")</f>
        <v/>
      </c>
      <c r="C2696" s="4" t="str" cm="1">
        <f t="array" ref="C2696">IFERROR(INDEX(EmployeeData[Full Name], ROW() - 37), "")</f>
        <v/>
      </c>
      <c r="D2696" s="4" t="str" cm="1">
        <f t="array" ref="D2696">IFERROR(INDEX(EmployeeData[Department], ROW() - 37), "")</f>
        <v/>
      </c>
      <c r="E2696" s="4" t="str" cm="1">
        <f t="array" ref="E2696">IFERROR(INDEX(EmployeeData[Gender], ROW() - 37), "")</f>
        <v/>
      </c>
      <c r="F2696" s="4" t="str" cm="1">
        <f t="array" ref="F2696">IFERROR(INDEX(EmployeeData[Age], ROW() - 37), "")</f>
        <v/>
      </c>
      <c r="G2696" s="6" t="str" cm="1">
        <f t="array" ref="G2696">IFERROR(INDEX(EmployeeData[Join Date], ROW() - 37), "")</f>
        <v/>
      </c>
      <c r="H2696" s="6" t="str" cm="1">
        <f t="array" ref="H2696">IFERROR(IF(INDEX(EmployeeData[Exit Date], ROW() - 37)=0, "",INDEX(EmployeeData[Exit Date], ROW() - 37)),"")</f>
        <v/>
      </c>
      <c r="I2696" s="4" t="str" cm="1">
        <f t="array" ref="I2696">IFERROR(IF(INDEX(EmployeeData[Exit Reason], ROW() - 37)=0, "",INDEX(EmployeeData[Exit Reason], ROW() - 37)),"")</f>
        <v/>
      </c>
      <c r="J2696" s="4" t="str" cm="1">
        <f t="array" ref="J2696">IFERROR(INDEX(EmployeeData[Status], ROW() - 37), "")</f>
        <v/>
      </c>
    </row>
    <row r="2697" spans="2:10" ht="19.95" customHeight="1" x14ac:dyDescent="0.3">
      <c r="B2697" s="4" t="str" cm="1">
        <f t="array" ref="B2697">IFERROR(INDEX(EmployeeData[Employee ID], ROW() - 37), "")</f>
        <v/>
      </c>
      <c r="C2697" s="4" t="str" cm="1">
        <f t="array" ref="C2697">IFERROR(INDEX(EmployeeData[Full Name], ROW() - 37), "")</f>
        <v/>
      </c>
      <c r="D2697" s="4" t="str" cm="1">
        <f t="array" ref="D2697">IFERROR(INDEX(EmployeeData[Department], ROW() - 37), "")</f>
        <v/>
      </c>
      <c r="E2697" s="4" t="str" cm="1">
        <f t="array" ref="E2697">IFERROR(INDEX(EmployeeData[Gender], ROW() - 37), "")</f>
        <v/>
      </c>
      <c r="F2697" s="4" t="str" cm="1">
        <f t="array" ref="F2697">IFERROR(INDEX(EmployeeData[Age], ROW() - 37), "")</f>
        <v/>
      </c>
      <c r="G2697" s="6" t="str" cm="1">
        <f t="array" ref="G2697">IFERROR(INDEX(EmployeeData[Join Date], ROW() - 37), "")</f>
        <v/>
      </c>
      <c r="H2697" s="6" t="str" cm="1">
        <f t="array" ref="H2697">IFERROR(IF(INDEX(EmployeeData[Exit Date], ROW() - 37)=0, "",INDEX(EmployeeData[Exit Date], ROW() - 37)),"")</f>
        <v/>
      </c>
      <c r="I2697" s="4" t="str" cm="1">
        <f t="array" ref="I2697">IFERROR(IF(INDEX(EmployeeData[Exit Reason], ROW() - 37)=0, "",INDEX(EmployeeData[Exit Reason], ROW() - 37)),"")</f>
        <v/>
      </c>
      <c r="J2697" s="4" t="str" cm="1">
        <f t="array" ref="J2697">IFERROR(INDEX(EmployeeData[Status], ROW() - 37), "")</f>
        <v/>
      </c>
    </row>
    <row r="2698" spans="2:10" ht="19.95" customHeight="1" x14ac:dyDescent="0.3">
      <c r="B2698" s="4" t="str" cm="1">
        <f t="array" ref="B2698">IFERROR(INDEX(EmployeeData[Employee ID], ROW() - 37), "")</f>
        <v/>
      </c>
      <c r="C2698" s="4" t="str" cm="1">
        <f t="array" ref="C2698">IFERROR(INDEX(EmployeeData[Full Name], ROW() - 37), "")</f>
        <v/>
      </c>
      <c r="D2698" s="4" t="str" cm="1">
        <f t="array" ref="D2698">IFERROR(INDEX(EmployeeData[Department], ROW() - 37), "")</f>
        <v/>
      </c>
      <c r="E2698" s="4" t="str" cm="1">
        <f t="array" ref="E2698">IFERROR(INDEX(EmployeeData[Gender], ROW() - 37), "")</f>
        <v/>
      </c>
      <c r="F2698" s="4" t="str" cm="1">
        <f t="array" ref="F2698">IFERROR(INDEX(EmployeeData[Age], ROW() - 37), "")</f>
        <v/>
      </c>
      <c r="G2698" s="6" t="str" cm="1">
        <f t="array" ref="G2698">IFERROR(INDEX(EmployeeData[Join Date], ROW() - 37), "")</f>
        <v/>
      </c>
      <c r="H2698" s="6" t="str" cm="1">
        <f t="array" ref="H2698">IFERROR(IF(INDEX(EmployeeData[Exit Date], ROW() - 37)=0, "",INDEX(EmployeeData[Exit Date], ROW() - 37)),"")</f>
        <v/>
      </c>
      <c r="I2698" s="4" t="str" cm="1">
        <f t="array" ref="I2698">IFERROR(IF(INDEX(EmployeeData[Exit Reason], ROW() - 37)=0, "",INDEX(EmployeeData[Exit Reason], ROW() - 37)),"")</f>
        <v/>
      </c>
      <c r="J2698" s="4" t="str" cm="1">
        <f t="array" ref="J2698">IFERROR(INDEX(EmployeeData[Status], ROW() - 37), "")</f>
        <v/>
      </c>
    </row>
    <row r="2699" spans="2:10" ht="19.95" customHeight="1" x14ac:dyDescent="0.3">
      <c r="B2699" s="4" t="str" cm="1">
        <f t="array" ref="B2699">IFERROR(INDEX(EmployeeData[Employee ID], ROW() - 37), "")</f>
        <v/>
      </c>
      <c r="C2699" s="4" t="str" cm="1">
        <f t="array" ref="C2699">IFERROR(INDEX(EmployeeData[Full Name], ROW() - 37), "")</f>
        <v/>
      </c>
      <c r="D2699" s="4" t="str" cm="1">
        <f t="array" ref="D2699">IFERROR(INDEX(EmployeeData[Department], ROW() - 37), "")</f>
        <v/>
      </c>
      <c r="E2699" s="4" t="str" cm="1">
        <f t="array" ref="E2699">IFERROR(INDEX(EmployeeData[Gender], ROW() - 37), "")</f>
        <v/>
      </c>
      <c r="F2699" s="4" t="str" cm="1">
        <f t="array" ref="F2699">IFERROR(INDEX(EmployeeData[Age], ROW() - 37), "")</f>
        <v/>
      </c>
      <c r="G2699" s="6" t="str" cm="1">
        <f t="array" ref="G2699">IFERROR(INDEX(EmployeeData[Join Date], ROW() - 37), "")</f>
        <v/>
      </c>
      <c r="H2699" s="6" t="str" cm="1">
        <f t="array" ref="H2699">IFERROR(IF(INDEX(EmployeeData[Exit Date], ROW() - 37)=0, "",INDEX(EmployeeData[Exit Date], ROW() - 37)),"")</f>
        <v/>
      </c>
      <c r="I2699" s="4" t="str" cm="1">
        <f t="array" ref="I2699">IFERROR(IF(INDEX(EmployeeData[Exit Reason], ROW() - 37)=0, "",INDEX(EmployeeData[Exit Reason], ROW() - 37)),"")</f>
        <v/>
      </c>
      <c r="J2699" s="4" t="str" cm="1">
        <f t="array" ref="J2699">IFERROR(INDEX(EmployeeData[Status], ROW() - 37), "")</f>
        <v/>
      </c>
    </row>
    <row r="2700" spans="2:10" ht="19.95" customHeight="1" x14ac:dyDescent="0.3">
      <c r="B2700" s="4" t="str" cm="1">
        <f t="array" ref="B2700">IFERROR(INDEX(EmployeeData[Employee ID], ROW() - 37), "")</f>
        <v/>
      </c>
      <c r="C2700" s="4" t="str" cm="1">
        <f t="array" ref="C2700">IFERROR(INDEX(EmployeeData[Full Name], ROW() - 37), "")</f>
        <v/>
      </c>
      <c r="D2700" s="4" t="str" cm="1">
        <f t="array" ref="D2700">IFERROR(INDEX(EmployeeData[Department], ROW() - 37), "")</f>
        <v/>
      </c>
      <c r="E2700" s="4" t="str" cm="1">
        <f t="array" ref="E2700">IFERROR(INDEX(EmployeeData[Gender], ROW() - 37), "")</f>
        <v/>
      </c>
      <c r="F2700" s="4" t="str" cm="1">
        <f t="array" ref="F2700">IFERROR(INDEX(EmployeeData[Age], ROW() - 37), "")</f>
        <v/>
      </c>
      <c r="G2700" s="6" t="str" cm="1">
        <f t="array" ref="G2700">IFERROR(INDEX(EmployeeData[Join Date], ROW() - 37), "")</f>
        <v/>
      </c>
      <c r="H2700" s="6" t="str" cm="1">
        <f t="array" ref="H2700">IFERROR(IF(INDEX(EmployeeData[Exit Date], ROW() - 37)=0, "",INDEX(EmployeeData[Exit Date], ROW() - 37)),"")</f>
        <v/>
      </c>
      <c r="I2700" s="4" t="str" cm="1">
        <f t="array" ref="I2700">IFERROR(IF(INDEX(EmployeeData[Exit Reason], ROW() - 37)=0, "",INDEX(EmployeeData[Exit Reason], ROW() - 37)),"")</f>
        <v/>
      </c>
      <c r="J2700" s="4" t="str" cm="1">
        <f t="array" ref="J2700">IFERROR(INDEX(EmployeeData[Status], ROW() - 37), "")</f>
        <v/>
      </c>
    </row>
    <row r="2701" spans="2:10" ht="19.95" customHeight="1" x14ac:dyDescent="0.3">
      <c r="B2701" s="4" t="str" cm="1">
        <f t="array" ref="B2701">IFERROR(INDEX(EmployeeData[Employee ID], ROW() - 37), "")</f>
        <v/>
      </c>
      <c r="C2701" s="4" t="str" cm="1">
        <f t="array" ref="C2701">IFERROR(INDEX(EmployeeData[Full Name], ROW() - 37), "")</f>
        <v/>
      </c>
      <c r="D2701" s="4" t="str" cm="1">
        <f t="array" ref="D2701">IFERROR(INDEX(EmployeeData[Department], ROW() - 37), "")</f>
        <v/>
      </c>
      <c r="E2701" s="4" t="str" cm="1">
        <f t="array" ref="E2701">IFERROR(INDEX(EmployeeData[Gender], ROW() - 37), "")</f>
        <v/>
      </c>
      <c r="F2701" s="4" t="str" cm="1">
        <f t="array" ref="F2701">IFERROR(INDEX(EmployeeData[Age], ROW() - 37), "")</f>
        <v/>
      </c>
      <c r="G2701" s="6" t="str" cm="1">
        <f t="array" ref="G2701">IFERROR(INDEX(EmployeeData[Join Date], ROW() - 37), "")</f>
        <v/>
      </c>
      <c r="H2701" s="6" t="str" cm="1">
        <f t="array" ref="H2701">IFERROR(IF(INDEX(EmployeeData[Exit Date], ROW() - 37)=0, "",INDEX(EmployeeData[Exit Date], ROW() - 37)),"")</f>
        <v/>
      </c>
      <c r="I2701" s="4" t="str" cm="1">
        <f t="array" ref="I2701">IFERROR(IF(INDEX(EmployeeData[Exit Reason], ROW() - 37)=0, "",INDEX(EmployeeData[Exit Reason], ROW() - 37)),"")</f>
        <v/>
      </c>
      <c r="J2701" s="4" t="str" cm="1">
        <f t="array" ref="J2701">IFERROR(INDEX(EmployeeData[Status], ROW() - 37), "")</f>
        <v/>
      </c>
    </row>
    <row r="2702" spans="2:10" ht="19.95" customHeight="1" x14ac:dyDescent="0.3">
      <c r="B2702" s="4" t="str" cm="1">
        <f t="array" ref="B2702">IFERROR(INDEX(EmployeeData[Employee ID], ROW() - 37), "")</f>
        <v/>
      </c>
      <c r="C2702" s="4" t="str" cm="1">
        <f t="array" ref="C2702">IFERROR(INDEX(EmployeeData[Full Name], ROW() - 37), "")</f>
        <v/>
      </c>
      <c r="D2702" s="4" t="str" cm="1">
        <f t="array" ref="D2702">IFERROR(INDEX(EmployeeData[Department], ROW() - 37), "")</f>
        <v/>
      </c>
      <c r="E2702" s="4" t="str" cm="1">
        <f t="array" ref="E2702">IFERROR(INDEX(EmployeeData[Gender], ROW() - 37), "")</f>
        <v/>
      </c>
      <c r="F2702" s="4" t="str" cm="1">
        <f t="array" ref="F2702">IFERROR(INDEX(EmployeeData[Age], ROW() - 37), "")</f>
        <v/>
      </c>
      <c r="G2702" s="6" t="str" cm="1">
        <f t="array" ref="G2702">IFERROR(INDEX(EmployeeData[Join Date], ROW() - 37), "")</f>
        <v/>
      </c>
      <c r="H2702" s="6" t="str" cm="1">
        <f t="array" ref="H2702">IFERROR(IF(INDEX(EmployeeData[Exit Date], ROW() - 37)=0, "",INDEX(EmployeeData[Exit Date], ROW() - 37)),"")</f>
        <v/>
      </c>
      <c r="I2702" s="4" t="str" cm="1">
        <f t="array" ref="I2702">IFERROR(IF(INDEX(EmployeeData[Exit Reason], ROW() - 37)=0, "",INDEX(EmployeeData[Exit Reason], ROW() - 37)),"")</f>
        <v/>
      </c>
      <c r="J2702" s="4" t="str" cm="1">
        <f t="array" ref="J2702">IFERROR(INDEX(EmployeeData[Status], ROW() - 37), "")</f>
        <v/>
      </c>
    </row>
    <row r="2703" spans="2:10" ht="19.95" customHeight="1" x14ac:dyDescent="0.3">
      <c r="B2703" s="4" t="str" cm="1">
        <f t="array" ref="B2703">IFERROR(INDEX(EmployeeData[Employee ID], ROW() - 37), "")</f>
        <v/>
      </c>
      <c r="C2703" s="4" t="str" cm="1">
        <f t="array" ref="C2703">IFERROR(INDEX(EmployeeData[Full Name], ROW() - 37), "")</f>
        <v/>
      </c>
      <c r="D2703" s="4" t="str" cm="1">
        <f t="array" ref="D2703">IFERROR(INDEX(EmployeeData[Department], ROW() - 37), "")</f>
        <v/>
      </c>
      <c r="E2703" s="4" t="str" cm="1">
        <f t="array" ref="E2703">IFERROR(INDEX(EmployeeData[Gender], ROW() - 37), "")</f>
        <v/>
      </c>
      <c r="F2703" s="4" t="str" cm="1">
        <f t="array" ref="F2703">IFERROR(INDEX(EmployeeData[Age], ROW() - 37), "")</f>
        <v/>
      </c>
      <c r="G2703" s="6" t="str" cm="1">
        <f t="array" ref="G2703">IFERROR(INDEX(EmployeeData[Join Date], ROW() - 37), "")</f>
        <v/>
      </c>
      <c r="H2703" s="6" t="str" cm="1">
        <f t="array" ref="H2703">IFERROR(IF(INDEX(EmployeeData[Exit Date], ROW() - 37)=0, "",INDEX(EmployeeData[Exit Date], ROW() - 37)),"")</f>
        <v/>
      </c>
      <c r="I2703" s="4" t="str" cm="1">
        <f t="array" ref="I2703">IFERROR(IF(INDEX(EmployeeData[Exit Reason], ROW() - 37)=0, "",INDEX(EmployeeData[Exit Reason], ROW() - 37)),"")</f>
        <v/>
      </c>
      <c r="J2703" s="4" t="str" cm="1">
        <f t="array" ref="J2703">IFERROR(INDEX(EmployeeData[Status], ROW() - 37), "")</f>
        <v/>
      </c>
    </row>
    <row r="2704" spans="2:10" ht="19.95" customHeight="1" x14ac:dyDescent="0.3">
      <c r="B2704" s="4" t="str" cm="1">
        <f t="array" ref="B2704">IFERROR(INDEX(EmployeeData[Employee ID], ROW() - 37), "")</f>
        <v/>
      </c>
      <c r="C2704" s="4" t="str" cm="1">
        <f t="array" ref="C2704">IFERROR(INDEX(EmployeeData[Full Name], ROW() - 37), "")</f>
        <v/>
      </c>
      <c r="D2704" s="4" t="str" cm="1">
        <f t="array" ref="D2704">IFERROR(INDEX(EmployeeData[Department], ROW() - 37), "")</f>
        <v/>
      </c>
      <c r="E2704" s="4" t="str" cm="1">
        <f t="array" ref="E2704">IFERROR(INDEX(EmployeeData[Gender], ROW() - 37), "")</f>
        <v/>
      </c>
      <c r="F2704" s="4" t="str" cm="1">
        <f t="array" ref="F2704">IFERROR(INDEX(EmployeeData[Age], ROW() - 37), "")</f>
        <v/>
      </c>
      <c r="G2704" s="6" t="str" cm="1">
        <f t="array" ref="G2704">IFERROR(INDEX(EmployeeData[Join Date], ROW() - 37), "")</f>
        <v/>
      </c>
      <c r="H2704" s="6" t="str" cm="1">
        <f t="array" ref="H2704">IFERROR(IF(INDEX(EmployeeData[Exit Date], ROW() - 37)=0, "",INDEX(EmployeeData[Exit Date], ROW() - 37)),"")</f>
        <v/>
      </c>
      <c r="I2704" s="4" t="str" cm="1">
        <f t="array" ref="I2704">IFERROR(IF(INDEX(EmployeeData[Exit Reason], ROW() - 37)=0, "",INDEX(EmployeeData[Exit Reason], ROW() - 37)),"")</f>
        <v/>
      </c>
      <c r="J2704" s="4" t="str" cm="1">
        <f t="array" ref="J2704">IFERROR(INDEX(EmployeeData[Status], ROW() - 37), "")</f>
        <v/>
      </c>
    </row>
    <row r="2705" spans="2:10" ht="19.95" customHeight="1" x14ac:dyDescent="0.3">
      <c r="B2705" s="4" t="str" cm="1">
        <f t="array" ref="B2705">IFERROR(INDEX(EmployeeData[Employee ID], ROW() - 37), "")</f>
        <v/>
      </c>
      <c r="C2705" s="4" t="str" cm="1">
        <f t="array" ref="C2705">IFERROR(INDEX(EmployeeData[Full Name], ROW() - 37), "")</f>
        <v/>
      </c>
      <c r="D2705" s="4" t="str" cm="1">
        <f t="array" ref="D2705">IFERROR(INDEX(EmployeeData[Department], ROW() - 37), "")</f>
        <v/>
      </c>
      <c r="E2705" s="4" t="str" cm="1">
        <f t="array" ref="E2705">IFERROR(INDEX(EmployeeData[Gender], ROW() - 37), "")</f>
        <v/>
      </c>
      <c r="F2705" s="4" t="str" cm="1">
        <f t="array" ref="F2705">IFERROR(INDEX(EmployeeData[Age], ROW() - 37), "")</f>
        <v/>
      </c>
      <c r="G2705" s="6" t="str" cm="1">
        <f t="array" ref="G2705">IFERROR(INDEX(EmployeeData[Join Date], ROW() - 37), "")</f>
        <v/>
      </c>
      <c r="H2705" s="6" t="str" cm="1">
        <f t="array" ref="H2705">IFERROR(IF(INDEX(EmployeeData[Exit Date], ROW() - 37)=0, "",INDEX(EmployeeData[Exit Date], ROW() - 37)),"")</f>
        <v/>
      </c>
      <c r="I2705" s="4" t="str" cm="1">
        <f t="array" ref="I2705">IFERROR(IF(INDEX(EmployeeData[Exit Reason], ROW() - 37)=0, "",INDEX(EmployeeData[Exit Reason], ROW() - 37)),"")</f>
        <v/>
      </c>
      <c r="J2705" s="4" t="str" cm="1">
        <f t="array" ref="J2705">IFERROR(INDEX(EmployeeData[Status], ROW() - 37), "")</f>
        <v/>
      </c>
    </row>
    <row r="2706" spans="2:10" ht="19.95" customHeight="1" x14ac:dyDescent="0.3">
      <c r="B2706" s="4" t="str" cm="1">
        <f t="array" ref="B2706">IFERROR(INDEX(EmployeeData[Employee ID], ROW() - 37), "")</f>
        <v/>
      </c>
      <c r="C2706" s="4" t="str" cm="1">
        <f t="array" ref="C2706">IFERROR(INDEX(EmployeeData[Full Name], ROW() - 37), "")</f>
        <v/>
      </c>
      <c r="D2706" s="4" t="str" cm="1">
        <f t="array" ref="D2706">IFERROR(INDEX(EmployeeData[Department], ROW() - 37), "")</f>
        <v/>
      </c>
      <c r="E2706" s="4" t="str" cm="1">
        <f t="array" ref="E2706">IFERROR(INDEX(EmployeeData[Gender], ROW() - 37), "")</f>
        <v/>
      </c>
      <c r="F2706" s="4" t="str" cm="1">
        <f t="array" ref="F2706">IFERROR(INDEX(EmployeeData[Age], ROW() - 37), "")</f>
        <v/>
      </c>
      <c r="G2706" s="6" t="str" cm="1">
        <f t="array" ref="G2706">IFERROR(INDEX(EmployeeData[Join Date], ROW() - 37), "")</f>
        <v/>
      </c>
      <c r="H2706" s="6" t="str" cm="1">
        <f t="array" ref="H2706">IFERROR(IF(INDEX(EmployeeData[Exit Date], ROW() - 37)=0, "",INDEX(EmployeeData[Exit Date], ROW() - 37)),"")</f>
        <v/>
      </c>
      <c r="I2706" s="4" t="str" cm="1">
        <f t="array" ref="I2706">IFERROR(IF(INDEX(EmployeeData[Exit Reason], ROW() - 37)=0, "",INDEX(EmployeeData[Exit Reason], ROW() - 37)),"")</f>
        <v/>
      </c>
      <c r="J2706" s="4" t="str" cm="1">
        <f t="array" ref="J2706">IFERROR(INDEX(EmployeeData[Status], ROW() - 37), "")</f>
        <v/>
      </c>
    </row>
    <row r="2707" spans="2:10" ht="19.95" customHeight="1" x14ac:dyDescent="0.3">
      <c r="B2707" s="4" t="str" cm="1">
        <f t="array" ref="B2707">IFERROR(INDEX(EmployeeData[Employee ID], ROW() - 37), "")</f>
        <v/>
      </c>
      <c r="C2707" s="4" t="str" cm="1">
        <f t="array" ref="C2707">IFERROR(INDEX(EmployeeData[Full Name], ROW() - 37), "")</f>
        <v/>
      </c>
      <c r="D2707" s="4" t="str" cm="1">
        <f t="array" ref="D2707">IFERROR(INDEX(EmployeeData[Department], ROW() - 37), "")</f>
        <v/>
      </c>
      <c r="E2707" s="4" t="str" cm="1">
        <f t="array" ref="E2707">IFERROR(INDEX(EmployeeData[Gender], ROW() - 37), "")</f>
        <v/>
      </c>
      <c r="F2707" s="4" t="str" cm="1">
        <f t="array" ref="F2707">IFERROR(INDEX(EmployeeData[Age], ROW() - 37), "")</f>
        <v/>
      </c>
      <c r="G2707" s="6" t="str" cm="1">
        <f t="array" ref="G2707">IFERROR(INDEX(EmployeeData[Join Date], ROW() - 37), "")</f>
        <v/>
      </c>
      <c r="H2707" s="6" t="str" cm="1">
        <f t="array" ref="H2707">IFERROR(IF(INDEX(EmployeeData[Exit Date], ROW() - 37)=0, "",INDEX(EmployeeData[Exit Date], ROW() - 37)),"")</f>
        <v/>
      </c>
      <c r="I2707" s="4" t="str" cm="1">
        <f t="array" ref="I2707">IFERROR(IF(INDEX(EmployeeData[Exit Reason], ROW() - 37)=0, "",INDEX(EmployeeData[Exit Reason], ROW() - 37)),"")</f>
        <v/>
      </c>
      <c r="J2707" s="4" t="str" cm="1">
        <f t="array" ref="J2707">IFERROR(INDEX(EmployeeData[Status], ROW() - 37), "")</f>
        <v/>
      </c>
    </row>
    <row r="2708" spans="2:10" ht="19.95" customHeight="1" x14ac:dyDescent="0.3">
      <c r="B2708" s="4" t="str" cm="1">
        <f t="array" ref="B2708">IFERROR(INDEX(EmployeeData[Employee ID], ROW() - 37), "")</f>
        <v/>
      </c>
      <c r="C2708" s="4" t="str" cm="1">
        <f t="array" ref="C2708">IFERROR(INDEX(EmployeeData[Full Name], ROW() - 37), "")</f>
        <v/>
      </c>
      <c r="D2708" s="4" t="str" cm="1">
        <f t="array" ref="D2708">IFERROR(INDEX(EmployeeData[Department], ROW() - 37), "")</f>
        <v/>
      </c>
      <c r="E2708" s="4" t="str" cm="1">
        <f t="array" ref="E2708">IFERROR(INDEX(EmployeeData[Gender], ROW() - 37), "")</f>
        <v/>
      </c>
      <c r="F2708" s="4" t="str" cm="1">
        <f t="array" ref="F2708">IFERROR(INDEX(EmployeeData[Age], ROW() - 37), "")</f>
        <v/>
      </c>
      <c r="G2708" s="6" t="str" cm="1">
        <f t="array" ref="G2708">IFERROR(INDEX(EmployeeData[Join Date], ROW() - 37), "")</f>
        <v/>
      </c>
      <c r="H2708" s="6" t="str" cm="1">
        <f t="array" ref="H2708">IFERROR(IF(INDEX(EmployeeData[Exit Date], ROW() - 37)=0, "",INDEX(EmployeeData[Exit Date], ROW() - 37)),"")</f>
        <v/>
      </c>
      <c r="I2708" s="4" t="str" cm="1">
        <f t="array" ref="I2708">IFERROR(IF(INDEX(EmployeeData[Exit Reason], ROW() - 37)=0, "",INDEX(EmployeeData[Exit Reason], ROW() - 37)),"")</f>
        <v/>
      </c>
      <c r="J2708" s="4" t="str" cm="1">
        <f t="array" ref="J2708">IFERROR(INDEX(EmployeeData[Status], ROW() - 37), "")</f>
        <v/>
      </c>
    </row>
    <row r="2709" spans="2:10" ht="19.95" customHeight="1" x14ac:dyDescent="0.3">
      <c r="B2709" s="4" t="str" cm="1">
        <f t="array" ref="B2709">IFERROR(INDEX(EmployeeData[Employee ID], ROW() - 37), "")</f>
        <v/>
      </c>
      <c r="C2709" s="4" t="str" cm="1">
        <f t="array" ref="C2709">IFERROR(INDEX(EmployeeData[Full Name], ROW() - 37), "")</f>
        <v/>
      </c>
      <c r="D2709" s="4" t="str" cm="1">
        <f t="array" ref="D2709">IFERROR(INDEX(EmployeeData[Department], ROW() - 37), "")</f>
        <v/>
      </c>
      <c r="E2709" s="4" t="str" cm="1">
        <f t="array" ref="E2709">IFERROR(INDEX(EmployeeData[Gender], ROW() - 37), "")</f>
        <v/>
      </c>
      <c r="F2709" s="4" t="str" cm="1">
        <f t="array" ref="F2709">IFERROR(INDEX(EmployeeData[Age], ROW() - 37), "")</f>
        <v/>
      </c>
      <c r="G2709" s="6" t="str" cm="1">
        <f t="array" ref="G2709">IFERROR(INDEX(EmployeeData[Join Date], ROW() - 37), "")</f>
        <v/>
      </c>
      <c r="H2709" s="6" t="str" cm="1">
        <f t="array" ref="H2709">IFERROR(IF(INDEX(EmployeeData[Exit Date], ROW() - 37)=0, "",INDEX(EmployeeData[Exit Date], ROW() - 37)),"")</f>
        <v/>
      </c>
      <c r="I2709" s="4" t="str" cm="1">
        <f t="array" ref="I2709">IFERROR(IF(INDEX(EmployeeData[Exit Reason], ROW() - 37)=0, "",INDEX(EmployeeData[Exit Reason], ROW() - 37)),"")</f>
        <v/>
      </c>
      <c r="J2709" s="4" t="str" cm="1">
        <f t="array" ref="J2709">IFERROR(INDEX(EmployeeData[Status], ROW() - 37), "")</f>
        <v/>
      </c>
    </row>
    <row r="2710" spans="2:10" ht="19.95" customHeight="1" x14ac:dyDescent="0.3">
      <c r="B2710" s="4" t="str" cm="1">
        <f t="array" ref="B2710">IFERROR(INDEX(EmployeeData[Employee ID], ROW() - 37), "")</f>
        <v/>
      </c>
      <c r="C2710" s="4" t="str" cm="1">
        <f t="array" ref="C2710">IFERROR(INDEX(EmployeeData[Full Name], ROW() - 37), "")</f>
        <v/>
      </c>
      <c r="D2710" s="4" t="str" cm="1">
        <f t="array" ref="D2710">IFERROR(INDEX(EmployeeData[Department], ROW() - 37), "")</f>
        <v/>
      </c>
      <c r="E2710" s="4" t="str" cm="1">
        <f t="array" ref="E2710">IFERROR(INDEX(EmployeeData[Gender], ROW() - 37), "")</f>
        <v/>
      </c>
      <c r="F2710" s="4" t="str" cm="1">
        <f t="array" ref="F2710">IFERROR(INDEX(EmployeeData[Age], ROW() - 37), "")</f>
        <v/>
      </c>
      <c r="G2710" s="6" t="str" cm="1">
        <f t="array" ref="G2710">IFERROR(INDEX(EmployeeData[Join Date], ROW() - 37), "")</f>
        <v/>
      </c>
      <c r="H2710" s="6" t="str" cm="1">
        <f t="array" ref="H2710">IFERROR(IF(INDEX(EmployeeData[Exit Date], ROW() - 37)=0, "",INDEX(EmployeeData[Exit Date], ROW() - 37)),"")</f>
        <v/>
      </c>
      <c r="I2710" s="4" t="str" cm="1">
        <f t="array" ref="I2710">IFERROR(IF(INDEX(EmployeeData[Exit Reason], ROW() - 37)=0, "",INDEX(EmployeeData[Exit Reason], ROW() - 37)),"")</f>
        <v/>
      </c>
      <c r="J2710" s="4" t="str" cm="1">
        <f t="array" ref="J2710">IFERROR(INDEX(EmployeeData[Status], ROW() - 37), "")</f>
        <v/>
      </c>
    </row>
    <row r="2711" spans="2:10" ht="19.95" customHeight="1" x14ac:dyDescent="0.3">
      <c r="B2711" s="4" t="str" cm="1">
        <f t="array" ref="B2711">IFERROR(INDEX(EmployeeData[Employee ID], ROW() - 37), "")</f>
        <v/>
      </c>
      <c r="C2711" s="4" t="str" cm="1">
        <f t="array" ref="C2711">IFERROR(INDEX(EmployeeData[Full Name], ROW() - 37), "")</f>
        <v/>
      </c>
      <c r="D2711" s="4" t="str" cm="1">
        <f t="array" ref="D2711">IFERROR(INDEX(EmployeeData[Department], ROW() - 37), "")</f>
        <v/>
      </c>
      <c r="E2711" s="4" t="str" cm="1">
        <f t="array" ref="E2711">IFERROR(INDEX(EmployeeData[Gender], ROW() - 37), "")</f>
        <v/>
      </c>
      <c r="F2711" s="4" t="str" cm="1">
        <f t="array" ref="F2711">IFERROR(INDEX(EmployeeData[Age], ROW() - 37), "")</f>
        <v/>
      </c>
      <c r="G2711" s="6" t="str" cm="1">
        <f t="array" ref="G2711">IFERROR(INDEX(EmployeeData[Join Date], ROW() - 37), "")</f>
        <v/>
      </c>
      <c r="H2711" s="6" t="str" cm="1">
        <f t="array" ref="H2711">IFERROR(IF(INDEX(EmployeeData[Exit Date], ROW() - 37)=0, "",INDEX(EmployeeData[Exit Date], ROW() - 37)),"")</f>
        <v/>
      </c>
      <c r="I2711" s="4" t="str" cm="1">
        <f t="array" ref="I2711">IFERROR(IF(INDEX(EmployeeData[Exit Reason], ROW() - 37)=0, "",INDEX(EmployeeData[Exit Reason], ROW() - 37)),"")</f>
        <v/>
      </c>
      <c r="J2711" s="4" t="str" cm="1">
        <f t="array" ref="J2711">IFERROR(INDEX(EmployeeData[Status], ROW() - 37), "")</f>
        <v/>
      </c>
    </row>
    <row r="2712" spans="2:10" ht="19.95" customHeight="1" x14ac:dyDescent="0.3">
      <c r="B2712" s="4" t="str" cm="1">
        <f t="array" ref="B2712">IFERROR(INDEX(EmployeeData[Employee ID], ROW() - 37), "")</f>
        <v/>
      </c>
      <c r="C2712" s="4" t="str" cm="1">
        <f t="array" ref="C2712">IFERROR(INDEX(EmployeeData[Full Name], ROW() - 37), "")</f>
        <v/>
      </c>
      <c r="D2712" s="4" t="str" cm="1">
        <f t="array" ref="D2712">IFERROR(INDEX(EmployeeData[Department], ROW() - 37), "")</f>
        <v/>
      </c>
      <c r="E2712" s="4" t="str" cm="1">
        <f t="array" ref="E2712">IFERROR(INDEX(EmployeeData[Gender], ROW() - 37), "")</f>
        <v/>
      </c>
      <c r="F2712" s="4" t="str" cm="1">
        <f t="array" ref="F2712">IFERROR(INDEX(EmployeeData[Age], ROW() - 37), "")</f>
        <v/>
      </c>
      <c r="G2712" s="6" t="str" cm="1">
        <f t="array" ref="G2712">IFERROR(INDEX(EmployeeData[Join Date], ROW() - 37), "")</f>
        <v/>
      </c>
      <c r="H2712" s="6" t="str" cm="1">
        <f t="array" ref="H2712">IFERROR(IF(INDEX(EmployeeData[Exit Date], ROW() - 37)=0, "",INDEX(EmployeeData[Exit Date], ROW() - 37)),"")</f>
        <v/>
      </c>
      <c r="I2712" s="4" t="str" cm="1">
        <f t="array" ref="I2712">IFERROR(IF(INDEX(EmployeeData[Exit Reason], ROW() - 37)=0, "",INDEX(EmployeeData[Exit Reason], ROW() - 37)),"")</f>
        <v/>
      </c>
      <c r="J2712" s="4" t="str" cm="1">
        <f t="array" ref="J2712">IFERROR(INDEX(EmployeeData[Status], ROW() - 37), "")</f>
        <v/>
      </c>
    </row>
    <row r="2713" spans="2:10" ht="19.95" customHeight="1" x14ac:dyDescent="0.3">
      <c r="B2713" s="4" t="str" cm="1">
        <f t="array" ref="B2713">IFERROR(INDEX(EmployeeData[Employee ID], ROW() - 37), "")</f>
        <v/>
      </c>
      <c r="C2713" s="4" t="str" cm="1">
        <f t="array" ref="C2713">IFERROR(INDEX(EmployeeData[Full Name], ROW() - 37), "")</f>
        <v/>
      </c>
      <c r="D2713" s="4" t="str" cm="1">
        <f t="array" ref="D2713">IFERROR(INDEX(EmployeeData[Department], ROW() - 37), "")</f>
        <v/>
      </c>
      <c r="E2713" s="4" t="str" cm="1">
        <f t="array" ref="E2713">IFERROR(INDEX(EmployeeData[Gender], ROW() - 37), "")</f>
        <v/>
      </c>
      <c r="F2713" s="4" t="str" cm="1">
        <f t="array" ref="F2713">IFERROR(INDEX(EmployeeData[Age], ROW() - 37), "")</f>
        <v/>
      </c>
      <c r="G2713" s="6" t="str" cm="1">
        <f t="array" ref="G2713">IFERROR(INDEX(EmployeeData[Join Date], ROW() - 37), "")</f>
        <v/>
      </c>
      <c r="H2713" s="6" t="str" cm="1">
        <f t="array" ref="H2713">IFERROR(IF(INDEX(EmployeeData[Exit Date], ROW() - 37)=0, "",INDEX(EmployeeData[Exit Date], ROW() - 37)),"")</f>
        <v/>
      </c>
      <c r="I2713" s="4" t="str" cm="1">
        <f t="array" ref="I2713">IFERROR(IF(INDEX(EmployeeData[Exit Reason], ROW() - 37)=0, "",INDEX(EmployeeData[Exit Reason], ROW() - 37)),"")</f>
        <v/>
      </c>
      <c r="J2713" s="4" t="str" cm="1">
        <f t="array" ref="J2713">IFERROR(INDEX(EmployeeData[Status], ROW() - 37), "")</f>
        <v/>
      </c>
    </row>
    <row r="2714" spans="2:10" ht="19.95" customHeight="1" x14ac:dyDescent="0.3">
      <c r="B2714" s="4" t="str" cm="1">
        <f t="array" ref="B2714">IFERROR(INDEX(EmployeeData[Employee ID], ROW() - 37), "")</f>
        <v/>
      </c>
      <c r="C2714" s="4" t="str" cm="1">
        <f t="array" ref="C2714">IFERROR(INDEX(EmployeeData[Full Name], ROW() - 37), "")</f>
        <v/>
      </c>
      <c r="D2714" s="4" t="str" cm="1">
        <f t="array" ref="D2714">IFERROR(INDEX(EmployeeData[Department], ROW() - 37), "")</f>
        <v/>
      </c>
      <c r="E2714" s="4" t="str" cm="1">
        <f t="array" ref="E2714">IFERROR(INDEX(EmployeeData[Gender], ROW() - 37), "")</f>
        <v/>
      </c>
      <c r="F2714" s="4" t="str" cm="1">
        <f t="array" ref="F2714">IFERROR(INDEX(EmployeeData[Age], ROW() - 37), "")</f>
        <v/>
      </c>
      <c r="G2714" s="6" t="str" cm="1">
        <f t="array" ref="G2714">IFERROR(INDEX(EmployeeData[Join Date], ROW() - 37), "")</f>
        <v/>
      </c>
      <c r="H2714" s="6" t="str" cm="1">
        <f t="array" ref="H2714">IFERROR(IF(INDEX(EmployeeData[Exit Date], ROW() - 37)=0, "",INDEX(EmployeeData[Exit Date], ROW() - 37)),"")</f>
        <v/>
      </c>
      <c r="I2714" s="4" t="str" cm="1">
        <f t="array" ref="I2714">IFERROR(IF(INDEX(EmployeeData[Exit Reason], ROW() - 37)=0, "",INDEX(EmployeeData[Exit Reason], ROW() - 37)),"")</f>
        <v/>
      </c>
      <c r="J2714" s="4" t="str" cm="1">
        <f t="array" ref="J2714">IFERROR(INDEX(EmployeeData[Status], ROW() - 37), "")</f>
        <v/>
      </c>
    </row>
    <row r="2715" spans="2:10" ht="19.95" customHeight="1" x14ac:dyDescent="0.3">
      <c r="B2715" s="4" t="str" cm="1">
        <f t="array" ref="B2715">IFERROR(INDEX(EmployeeData[Employee ID], ROW() - 37), "")</f>
        <v/>
      </c>
      <c r="C2715" s="4" t="str" cm="1">
        <f t="array" ref="C2715">IFERROR(INDEX(EmployeeData[Full Name], ROW() - 37), "")</f>
        <v/>
      </c>
      <c r="D2715" s="4" t="str" cm="1">
        <f t="array" ref="D2715">IFERROR(INDEX(EmployeeData[Department], ROW() - 37), "")</f>
        <v/>
      </c>
      <c r="E2715" s="4" t="str" cm="1">
        <f t="array" ref="E2715">IFERROR(INDEX(EmployeeData[Gender], ROW() - 37), "")</f>
        <v/>
      </c>
      <c r="F2715" s="4" t="str" cm="1">
        <f t="array" ref="F2715">IFERROR(INDEX(EmployeeData[Age], ROW() - 37), "")</f>
        <v/>
      </c>
      <c r="G2715" s="6" t="str" cm="1">
        <f t="array" ref="G2715">IFERROR(INDEX(EmployeeData[Join Date], ROW() - 37), "")</f>
        <v/>
      </c>
      <c r="H2715" s="6" t="str" cm="1">
        <f t="array" ref="H2715">IFERROR(IF(INDEX(EmployeeData[Exit Date], ROW() - 37)=0, "",INDEX(EmployeeData[Exit Date], ROW() - 37)),"")</f>
        <v/>
      </c>
      <c r="I2715" s="4" t="str" cm="1">
        <f t="array" ref="I2715">IFERROR(IF(INDEX(EmployeeData[Exit Reason], ROW() - 37)=0, "",INDEX(EmployeeData[Exit Reason], ROW() - 37)),"")</f>
        <v/>
      </c>
      <c r="J2715" s="4" t="str" cm="1">
        <f t="array" ref="J2715">IFERROR(INDEX(EmployeeData[Status], ROW() - 37), "")</f>
        <v/>
      </c>
    </row>
    <row r="2716" spans="2:10" ht="19.95" customHeight="1" x14ac:dyDescent="0.3">
      <c r="B2716" s="4" t="str" cm="1">
        <f t="array" ref="B2716">IFERROR(INDEX(EmployeeData[Employee ID], ROW() - 37), "")</f>
        <v/>
      </c>
      <c r="C2716" s="4" t="str" cm="1">
        <f t="array" ref="C2716">IFERROR(INDEX(EmployeeData[Full Name], ROW() - 37), "")</f>
        <v/>
      </c>
      <c r="D2716" s="4" t="str" cm="1">
        <f t="array" ref="D2716">IFERROR(INDEX(EmployeeData[Department], ROW() - 37), "")</f>
        <v/>
      </c>
      <c r="E2716" s="4" t="str" cm="1">
        <f t="array" ref="E2716">IFERROR(INDEX(EmployeeData[Gender], ROW() - 37), "")</f>
        <v/>
      </c>
      <c r="F2716" s="4" t="str" cm="1">
        <f t="array" ref="F2716">IFERROR(INDEX(EmployeeData[Age], ROW() - 37), "")</f>
        <v/>
      </c>
      <c r="G2716" s="6" t="str" cm="1">
        <f t="array" ref="G2716">IFERROR(INDEX(EmployeeData[Join Date], ROW() - 37), "")</f>
        <v/>
      </c>
      <c r="H2716" s="6" t="str" cm="1">
        <f t="array" ref="H2716">IFERROR(IF(INDEX(EmployeeData[Exit Date], ROW() - 37)=0, "",INDEX(EmployeeData[Exit Date], ROW() - 37)),"")</f>
        <v/>
      </c>
      <c r="I2716" s="4" t="str" cm="1">
        <f t="array" ref="I2716">IFERROR(IF(INDEX(EmployeeData[Exit Reason], ROW() - 37)=0, "",INDEX(EmployeeData[Exit Reason], ROW() - 37)),"")</f>
        <v/>
      </c>
      <c r="J2716" s="4" t="str" cm="1">
        <f t="array" ref="J2716">IFERROR(INDEX(EmployeeData[Status], ROW() - 37), "")</f>
        <v/>
      </c>
    </row>
    <row r="2717" spans="2:10" ht="19.95" customHeight="1" x14ac:dyDescent="0.3">
      <c r="B2717" s="4" t="str" cm="1">
        <f t="array" ref="B2717">IFERROR(INDEX(EmployeeData[Employee ID], ROW() - 37), "")</f>
        <v/>
      </c>
      <c r="C2717" s="4" t="str" cm="1">
        <f t="array" ref="C2717">IFERROR(INDEX(EmployeeData[Full Name], ROW() - 37), "")</f>
        <v/>
      </c>
      <c r="D2717" s="4" t="str" cm="1">
        <f t="array" ref="D2717">IFERROR(INDEX(EmployeeData[Department], ROW() - 37), "")</f>
        <v/>
      </c>
      <c r="E2717" s="4" t="str" cm="1">
        <f t="array" ref="E2717">IFERROR(INDEX(EmployeeData[Gender], ROW() - 37), "")</f>
        <v/>
      </c>
      <c r="F2717" s="4" t="str" cm="1">
        <f t="array" ref="F2717">IFERROR(INDEX(EmployeeData[Age], ROW() - 37), "")</f>
        <v/>
      </c>
      <c r="G2717" s="6" t="str" cm="1">
        <f t="array" ref="G2717">IFERROR(INDEX(EmployeeData[Join Date], ROW() - 37), "")</f>
        <v/>
      </c>
      <c r="H2717" s="6" t="str" cm="1">
        <f t="array" ref="H2717">IFERROR(IF(INDEX(EmployeeData[Exit Date], ROW() - 37)=0, "",INDEX(EmployeeData[Exit Date], ROW() - 37)),"")</f>
        <v/>
      </c>
      <c r="I2717" s="4" t="str" cm="1">
        <f t="array" ref="I2717">IFERROR(IF(INDEX(EmployeeData[Exit Reason], ROW() - 37)=0, "",INDEX(EmployeeData[Exit Reason], ROW() - 37)),"")</f>
        <v/>
      </c>
      <c r="J2717" s="4" t="str" cm="1">
        <f t="array" ref="J2717">IFERROR(INDEX(EmployeeData[Status], ROW() - 37), "")</f>
        <v/>
      </c>
    </row>
    <row r="2718" spans="2:10" ht="19.95" customHeight="1" x14ac:dyDescent="0.3">
      <c r="B2718" s="4" t="str" cm="1">
        <f t="array" ref="B2718">IFERROR(INDEX(EmployeeData[Employee ID], ROW() - 37), "")</f>
        <v/>
      </c>
      <c r="C2718" s="4" t="str" cm="1">
        <f t="array" ref="C2718">IFERROR(INDEX(EmployeeData[Full Name], ROW() - 37), "")</f>
        <v/>
      </c>
      <c r="D2718" s="4" t="str" cm="1">
        <f t="array" ref="D2718">IFERROR(INDEX(EmployeeData[Department], ROW() - 37), "")</f>
        <v/>
      </c>
      <c r="E2718" s="4" t="str" cm="1">
        <f t="array" ref="E2718">IFERROR(INDEX(EmployeeData[Gender], ROW() - 37), "")</f>
        <v/>
      </c>
      <c r="F2718" s="4" t="str" cm="1">
        <f t="array" ref="F2718">IFERROR(INDEX(EmployeeData[Age], ROW() - 37), "")</f>
        <v/>
      </c>
      <c r="G2718" s="6" t="str" cm="1">
        <f t="array" ref="G2718">IFERROR(INDEX(EmployeeData[Join Date], ROW() - 37), "")</f>
        <v/>
      </c>
      <c r="H2718" s="6" t="str" cm="1">
        <f t="array" ref="H2718">IFERROR(IF(INDEX(EmployeeData[Exit Date], ROW() - 37)=0, "",INDEX(EmployeeData[Exit Date], ROW() - 37)),"")</f>
        <v/>
      </c>
      <c r="I2718" s="4" t="str" cm="1">
        <f t="array" ref="I2718">IFERROR(IF(INDEX(EmployeeData[Exit Reason], ROW() - 37)=0, "",INDEX(EmployeeData[Exit Reason], ROW() - 37)),"")</f>
        <v/>
      </c>
      <c r="J2718" s="4" t="str" cm="1">
        <f t="array" ref="J2718">IFERROR(INDEX(EmployeeData[Status], ROW() - 37), "")</f>
        <v/>
      </c>
    </row>
    <row r="2719" spans="2:10" ht="19.95" customHeight="1" x14ac:dyDescent="0.3">
      <c r="B2719" s="4" t="str" cm="1">
        <f t="array" ref="B2719">IFERROR(INDEX(EmployeeData[Employee ID], ROW() - 37), "")</f>
        <v/>
      </c>
      <c r="C2719" s="4" t="str" cm="1">
        <f t="array" ref="C2719">IFERROR(INDEX(EmployeeData[Full Name], ROW() - 37), "")</f>
        <v/>
      </c>
      <c r="D2719" s="4" t="str" cm="1">
        <f t="array" ref="D2719">IFERROR(INDEX(EmployeeData[Department], ROW() - 37), "")</f>
        <v/>
      </c>
      <c r="E2719" s="4" t="str" cm="1">
        <f t="array" ref="E2719">IFERROR(INDEX(EmployeeData[Gender], ROW() - 37), "")</f>
        <v/>
      </c>
      <c r="F2719" s="4" t="str" cm="1">
        <f t="array" ref="F2719">IFERROR(INDEX(EmployeeData[Age], ROW() - 37), "")</f>
        <v/>
      </c>
      <c r="G2719" s="6" t="str" cm="1">
        <f t="array" ref="G2719">IFERROR(INDEX(EmployeeData[Join Date], ROW() - 37), "")</f>
        <v/>
      </c>
      <c r="H2719" s="6" t="str" cm="1">
        <f t="array" ref="H2719">IFERROR(IF(INDEX(EmployeeData[Exit Date], ROW() - 37)=0, "",INDEX(EmployeeData[Exit Date], ROW() - 37)),"")</f>
        <v/>
      </c>
      <c r="I2719" s="4" t="str" cm="1">
        <f t="array" ref="I2719">IFERROR(IF(INDEX(EmployeeData[Exit Reason], ROW() - 37)=0, "",INDEX(EmployeeData[Exit Reason], ROW() - 37)),"")</f>
        <v/>
      </c>
      <c r="J2719" s="4" t="str" cm="1">
        <f t="array" ref="J2719">IFERROR(INDEX(EmployeeData[Status], ROW() - 37), "")</f>
        <v/>
      </c>
    </row>
    <row r="2720" spans="2:10" ht="19.95" customHeight="1" x14ac:dyDescent="0.3">
      <c r="B2720" s="4" t="str" cm="1">
        <f t="array" ref="B2720">IFERROR(INDEX(EmployeeData[Employee ID], ROW() - 37), "")</f>
        <v/>
      </c>
      <c r="C2720" s="4" t="str" cm="1">
        <f t="array" ref="C2720">IFERROR(INDEX(EmployeeData[Full Name], ROW() - 37), "")</f>
        <v/>
      </c>
      <c r="D2720" s="4" t="str" cm="1">
        <f t="array" ref="D2720">IFERROR(INDEX(EmployeeData[Department], ROW() - 37), "")</f>
        <v/>
      </c>
      <c r="E2720" s="4" t="str" cm="1">
        <f t="array" ref="E2720">IFERROR(INDEX(EmployeeData[Gender], ROW() - 37), "")</f>
        <v/>
      </c>
      <c r="F2720" s="4" t="str" cm="1">
        <f t="array" ref="F2720">IFERROR(INDEX(EmployeeData[Age], ROW() - 37), "")</f>
        <v/>
      </c>
      <c r="G2720" s="6" t="str" cm="1">
        <f t="array" ref="G2720">IFERROR(INDEX(EmployeeData[Join Date], ROW() - 37), "")</f>
        <v/>
      </c>
      <c r="H2720" s="6" t="str" cm="1">
        <f t="array" ref="H2720">IFERROR(IF(INDEX(EmployeeData[Exit Date], ROW() - 37)=0, "",INDEX(EmployeeData[Exit Date], ROW() - 37)),"")</f>
        <v/>
      </c>
      <c r="I2720" s="4" t="str" cm="1">
        <f t="array" ref="I2720">IFERROR(IF(INDEX(EmployeeData[Exit Reason], ROW() - 37)=0, "",INDEX(EmployeeData[Exit Reason], ROW() - 37)),"")</f>
        <v/>
      </c>
      <c r="J2720" s="4" t="str" cm="1">
        <f t="array" ref="J2720">IFERROR(INDEX(EmployeeData[Status], ROW() - 37), "")</f>
        <v/>
      </c>
    </row>
    <row r="2721" spans="2:10" ht="19.95" customHeight="1" x14ac:dyDescent="0.3">
      <c r="B2721" s="4" t="str" cm="1">
        <f t="array" ref="B2721">IFERROR(INDEX(EmployeeData[Employee ID], ROW() - 37), "")</f>
        <v/>
      </c>
      <c r="C2721" s="4" t="str" cm="1">
        <f t="array" ref="C2721">IFERROR(INDEX(EmployeeData[Full Name], ROW() - 37), "")</f>
        <v/>
      </c>
      <c r="D2721" s="4" t="str" cm="1">
        <f t="array" ref="D2721">IFERROR(INDEX(EmployeeData[Department], ROW() - 37), "")</f>
        <v/>
      </c>
      <c r="E2721" s="4" t="str" cm="1">
        <f t="array" ref="E2721">IFERROR(INDEX(EmployeeData[Gender], ROW() - 37), "")</f>
        <v/>
      </c>
      <c r="F2721" s="4" t="str" cm="1">
        <f t="array" ref="F2721">IFERROR(INDEX(EmployeeData[Age], ROW() - 37), "")</f>
        <v/>
      </c>
      <c r="G2721" s="6" t="str" cm="1">
        <f t="array" ref="G2721">IFERROR(INDEX(EmployeeData[Join Date], ROW() - 37), "")</f>
        <v/>
      </c>
      <c r="H2721" s="6" t="str" cm="1">
        <f t="array" ref="H2721">IFERROR(IF(INDEX(EmployeeData[Exit Date], ROW() - 37)=0, "",INDEX(EmployeeData[Exit Date], ROW() - 37)),"")</f>
        <v/>
      </c>
      <c r="I2721" s="4" t="str" cm="1">
        <f t="array" ref="I2721">IFERROR(IF(INDEX(EmployeeData[Exit Reason], ROW() - 37)=0, "",INDEX(EmployeeData[Exit Reason], ROW() - 37)),"")</f>
        <v/>
      </c>
      <c r="J2721" s="4" t="str" cm="1">
        <f t="array" ref="J2721">IFERROR(INDEX(EmployeeData[Status], ROW() - 37), "")</f>
        <v/>
      </c>
    </row>
    <row r="2722" spans="2:10" ht="19.95" customHeight="1" x14ac:dyDescent="0.3">
      <c r="B2722" s="4" t="str" cm="1">
        <f t="array" ref="B2722">IFERROR(INDEX(EmployeeData[Employee ID], ROW() - 37), "")</f>
        <v/>
      </c>
      <c r="C2722" s="4" t="str" cm="1">
        <f t="array" ref="C2722">IFERROR(INDEX(EmployeeData[Full Name], ROW() - 37), "")</f>
        <v/>
      </c>
      <c r="D2722" s="4" t="str" cm="1">
        <f t="array" ref="D2722">IFERROR(INDEX(EmployeeData[Department], ROW() - 37), "")</f>
        <v/>
      </c>
      <c r="E2722" s="4" t="str" cm="1">
        <f t="array" ref="E2722">IFERROR(INDEX(EmployeeData[Gender], ROW() - 37), "")</f>
        <v/>
      </c>
      <c r="F2722" s="4" t="str" cm="1">
        <f t="array" ref="F2722">IFERROR(INDEX(EmployeeData[Age], ROW() - 37), "")</f>
        <v/>
      </c>
      <c r="G2722" s="6" t="str" cm="1">
        <f t="array" ref="G2722">IFERROR(INDEX(EmployeeData[Join Date], ROW() - 37), "")</f>
        <v/>
      </c>
      <c r="H2722" s="6" t="str" cm="1">
        <f t="array" ref="H2722">IFERROR(IF(INDEX(EmployeeData[Exit Date], ROW() - 37)=0, "",INDEX(EmployeeData[Exit Date], ROW() - 37)),"")</f>
        <v/>
      </c>
      <c r="I2722" s="4" t="str" cm="1">
        <f t="array" ref="I2722">IFERROR(IF(INDEX(EmployeeData[Exit Reason], ROW() - 37)=0, "",INDEX(EmployeeData[Exit Reason], ROW() - 37)),"")</f>
        <v/>
      </c>
      <c r="J2722" s="4" t="str" cm="1">
        <f t="array" ref="J2722">IFERROR(INDEX(EmployeeData[Status], ROW() - 37), "")</f>
        <v/>
      </c>
    </row>
    <row r="2723" spans="2:10" ht="19.95" customHeight="1" x14ac:dyDescent="0.3">
      <c r="B2723" s="4" t="str" cm="1">
        <f t="array" ref="B2723">IFERROR(INDEX(EmployeeData[Employee ID], ROW() - 37), "")</f>
        <v/>
      </c>
      <c r="C2723" s="4" t="str" cm="1">
        <f t="array" ref="C2723">IFERROR(INDEX(EmployeeData[Full Name], ROW() - 37), "")</f>
        <v/>
      </c>
      <c r="D2723" s="4" t="str" cm="1">
        <f t="array" ref="D2723">IFERROR(INDEX(EmployeeData[Department], ROW() - 37), "")</f>
        <v/>
      </c>
      <c r="E2723" s="4" t="str" cm="1">
        <f t="array" ref="E2723">IFERROR(INDEX(EmployeeData[Gender], ROW() - 37), "")</f>
        <v/>
      </c>
      <c r="F2723" s="4" t="str" cm="1">
        <f t="array" ref="F2723">IFERROR(INDEX(EmployeeData[Age], ROW() - 37), "")</f>
        <v/>
      </c>
      <c r="G2723" s="6" t="str" cm="1">
        <f t="array" ref="G2723">IFERROR(INDEX(EmployeeData[Join Date], ROW() - 37), "")</f>
        <v/>
      </c>
      <c r="H2723" s="6" t="str" cm="1">
        <f t="array" ref="H2723">IFERROR(IF(INDEX(EmployeeData[Exit Date], ROW() - 37)=0, "",INDEX(EmployeeData[Exit Date], ROW() - 37)),"")</f>
        <v/>
      </c>
      <c r="I2723" s="4" t="str" cm="1">
        <f t="array" ref="I2723">IFERROR(IF(INDEX(EmployeeData[Exit Reason], ROW() - 37)=0, "",INDEX(EmployeeData[Exit Reason], ROW() - 37)),"")</f>
        <v/>
      </c>
      <c r="J2723" s="4" t="str" cm="1">
        <f t="array" ref="J2723">IFERROR(INDEX(EmployeeData[Status], ROW() - 37), "")</f>
        <v/>
      </c>
    </row>
    <row r="2724" spans="2:10" ht="19.95" customHeight="1" x14ac:dyDescent="0.3">
      <c r="B2724" s="4" t="str" cm="1">
        <f t="array" ref="B2724">IFERROR(INDEX(EmployeeData[Employee ID], ROW() - 37), "")</f>
        <v/>
      </c>
      <c r="C2724" s="4" t="str" cm="1">
        <f t="array" ref="C2724">IFERROR(INDEX(EmployeeData[Full Name], ROW() - 37), "")</f>
        <v/>
      </c>
      <c r="D2724" s="4" t="str" cm="1">
        <f t="array" ref="D2724">IFERROR(INDEX(EmployeeData[Department], ROW() - 37), "")</f>
        <v/>
      </c>
      <c r="E2724" s="4" t="str" cm="1">
        <f t="array" ref="E2724">IFERROR(INDEX(EmployeeData[Gender], ROW() - 37), "")</f>
        <v/>
      </c>
      <c r="F2724" s="4" t="str" cm="1">
        <f t="array" ref="F2724">IFERROR(INDEX(EmployeeData[Age], ROW() - 37), "")</f>
        <v/>
      </c>
      <c r="G2724" s="6" t="str" cm="1">
        <f t="array" ref="G2724">IFERROR(INDEX(EmployeeData[Join Date], ROW() - 37), "")</f>
        <v/>
      </c>
      <c r="H2724" s="6" t="str" cm="1">
        <f t="array" ref="H2724">IFERROR(IF(INDEX(EmployeeData[Exit Date], ROW() - 37)=0, "",INDEX(EmployeeData[Exit Date], ROW() - 37)),"")</f>
        <v/>
      </c>
      <c r="I2724" s="4" t="str" cm="1">
        <f t="array" ref="I2724">IFERROR(IF(INDEX(EmployeeData[Exit Reason], ROW() - 37)=0, "",INDEX(EmployeeData[Exit Reason], ROW() - 37)),"")</f>
        <v/>
      </c>
      <c r="J2724" s="4" t="str" cm="1">
        <f t="array" ref="J2724">IFERROR(INDEX(EmployeeData[Status], ROW() - 37), "")</f>
        <v/>
      </c>
    </row>
    <row r="2725" spans="2:10" ht="19.95" customHeight="1" x14ac:dyDescent="0.3">
      <c r="B2725" s="4" t="str" cm="1">
        <f t="array" ref="B2725">IFERROR(INDEX(EmployeeData[Employee ID], ROW() - 37), "")</f>
        <v/>
      </c>
      <c r="C2725" s="4" t="str" cm="1">
        <f t="array" ref="C2725">IFERROR(INDEX(EmployeeData[Full Name], ROW() - 37), "")</f>
        <v/>
      </c>
      <c r="D2725" s="4" t="str" cm="1">
        <f t="array" ref="D2725">IFERROR(INDEX(EmployeeData[Department], ROW() - 37), "")</f>
        <v/>
      </c>
      <c r="E2725" s="4" t="str" cm="1">
        <f t="array" ref="E2725">IFERROR(INDEX(EmployeeData[Gender], ROW() - 37), "")</f>
        <v/>
      </c>
      <c r="F2725" s="4" t="str" cm="1">
        <f t="array" ref="F2725">IFERROR(INDEX(EmployeeData[Age], ROW() - 37), "")</f>
        <v/>
      </c>
      <c r="G2725" s="6" t="str" cm="1">
        <f t="array" ref="G2725">IFERROR(INDEX(EmployeeData[Join Date], ROW() - 37), "")</f>
        <v/>
      </c>
      <c r="H2725" s="6" t="str" cm="1">
        <f t="array" ref="H2725">IFERROR(IF(INDEX(EmployeeData[Exit Date], ROW() - 37)=0, "",INDEX(EmployeeData[Exit Date], ROW() - 37)),"")</f>
        <v/>
      </c>
      <c r="I2725" s="4" t="str" cm="1">
        <f t="array" ref="I2725">IFERROR(IF(INDEX(EmployeeData[Exit Reason], ROW() - 37)=0, "",INDEX(EmployeeData[Exit Reason], ROW() - 37)),"")</f>
        <v/>
      </c>
      <c r="J2725" s="4" t="str" cm="1">
        <f t="array" ref="J2725">IFERROR(INDEX(EmployeeData[Status], ROW() - 37), "")</f>
        <v/>
      </c>
    </row>
    <row r="2726" spans="2:10" ht="19.95" customHeight="1" x14ac:dyDescent="0.3">
      <c r="B2726" s="4" t="str" cm="1">
        <f t="array" ref="B2726">IFERROR(INDEX(EmployeeData[Employee ID], ROW() - 37), "")</f>
        <v/>
      </c>
      <c r="C2726" s="4" t="str" cm="1">
        <f t="array" ref="C2726">IFERROR(INDEX(EmployeeData[Full Name], ROW() - 37), "")</f>
        <v/>
      </c>
      <c r="D2726" s="4" t="str" cm="1">
        <f t="array" ref="D2726">IFERROR(INDEX(EmployeeData[Department], ROW() - 37), "")</f>
        <v/>
      </c>
      <c r="E2726" s="4" t="str" cm="1">
        <f t="array" ref="E2726">IFERROR(INDEX(EmployeeData[Gender], ROW() - 37), "")</f>
        <v/>
      </c>
      <c r="F2726" s="4" t="str" cm="1">
        <f t="array" ref="F2726">IFERROR(INDEX(EmployeeData[Age], ROW() - 37), "")</f>
        <v/>
      </c>
      <c r="G2726" s="6" t="str" cm="1">
        <f t="array" ref="G2726">IFERROR(INDEX(EmployeeData[Join Date], ROW() - 37), "")</f>
        <v/>
      </c>
      <c r="H2726" s="6" t="str" cm="1">
        <f t="array" ref="H2726">IFERROR(IF(INDEX(EmployeeData[Exit Date], ROW() - 37)=0, "",INDEX(EmployeeData[Exit Date], ROW() - 37)),"")</f>
        <v/>
      </c>
      <c r="I2726" s="4" t="str" cm="1">
        <f t="array" ref="I2726">IFERROR(IF(INDEX(EmployeeData[Exit Reason], ROW() - 37)=0, "",INDEX(EmployeeData[Exit Reason], ROW() - 37)),"")</f>
        <v/>
      </c>
      <c r="J2726" s="4" t="str" cm="1">
        <f t="array" ref="J2726">IFERROR(INDEX(EmployeeData[Status], ROW() - 37), "")</f>
        <v/>
      </c>
    </row>
    <row r="2727" spans="2:10" ht="19.95" customHeight="1" x14ac:dyDescent="0.3">
      <c r="B2727" s="4" t="str" cm="1">
        <f t="array" ref="B2727">IFERROR(INDEX(EmployeeData[Employee ID], ROW() - 37), "")</f>
        <v/>
      </c>
      <c r="C2727" s="4" t="str" cm="1">
        <f t="array" ref="C2727">IFERROR(INDEX(EmployeeData[Full Name], ROW() - 37), "")</f>
        <v/>
      </c>
      <c r="D2727" s="4" t="str" cm="1">
        <f t="array" ref="D2727">IFERROR(INDEX(EmployeeData[Department], ROW() - 37), "")</f>
        <v/>
      </c>
      <c r="E2727" s="4" t="str" cm="1">
        <f t="array" ref="E2727">IFERROR(INDEX(EmployeeData[Gender], ROW() - 37), "")</f>
        <v/>
      </c>
      <c r="F2727" s="4" t="str" cm="1">
        <f t="array" ref="F2727">IFERROR(INDEX(EmployeeData[Age], ROW() - 37), "")</f>
        <v/>
      </c>
      <c r="G2727" s="6" t="str" cm="1">
        <f t="array" ref="G2727">IFERROR(INDEX(EmployeeData[Join Date], ROW() - 37), "")</f>
        <v/>
      </c>
      <c r="H2727" s="6" t="str" cm="1">
        <f t="array" ref="H2727">IFERROR(IF(INDEX(EmployeeData[Exit Date], ROW() - 37)=0, "",INDEX(EmployeeData[Exit Date], ROW() - 37)),"")</f>
        <v/>
      </c>
      <c r="I2727" s="4" t="str" cm="1">
        <f t="array" ref="I2727">IFERROR(IF(INDEX(EmployeeData[Exit Reason], ROW() - 37)=0, "",INDEX(EmployeeData[Exit Reason], ROW() - 37)),"")</f>
        <v/>
      </c>
      <c r="J2727" s="4" t="str" cm="1">
        <f t="array" ref="J2727">IFERROR(INDEX(EmployeeData[Status], ROW() - 37), "")</f>
        <v/>
      </c>
    </row>
    <row r="2728" spans="2:10" ht="19.95" customHeight="1" x14ac:dyDescent="0.3">
      <c r="B2728" s="4" t="str" cm="1">
        <f t="array" ref="B2728">IFERROR(INDEX(EmployeeData[Employee ID], ROW() - 37), "")</f>
        <v/>
      </c>
      <c r="C2728" s="4" t="str" cm="1">
        <f t="array" ref="C2728">IFERROR(INDEX(EmployeeData[Full Name], ROW() - 37), "")</f>
        <v/>
      </c>
      <c r="D2728" s="4" t="str" cm="1">
        <f t="array" ref="D2728">IFERROR(INDEX(EmployeeData[Department], ROW() - 37), "")</f>
        <v/>
      </c>
      <c r="E2728" s="4" t="str" cm="1">
        <f t="array" ref="E2728">IFERROR(INDEX(EmployeeData[Gender], ROW() - 37), "")</f>
        <v/>
      </c>
      <c r="F2728" s="4" t="str" cm="1">
        <f t="array" ref="F2728">IFERROR(INDEX(EmployeeData[Age], ROW() - 37), "")</f>
        <v/>
      </c>
      <c r="G2728" s="6" t="str" cm="1">
        <f t="array" ref="G2728">IFERROR(INDEX(EmployeeData[Join Date], ROW() - 37), "")</f>
        <v/>
      </c>
      <c r="H2728" s="6" t="str" cm="1">
        <f t="array" ref="H2728">IFERROR(IF(INDEX(EmployeeData[Exit Date], ROW() - 37)=0, "",INDEX(EmployeeData[Exit Date], ROW() - 37)),"")</f>
        <v/>
      </c>
      <c r="I2728" s="4" t="str" cm="1">
        <f t="array" ref="I2728">IFERROR(IF(INDEX(EmployeeData[Exit Reason], ROW() - 37)=0, "",INDEX(EmployeeData[Exit Reason], ROW() - 37)),"")</f>
        <v/>
      </c>
      <c r="J2728" s="4" t="str" cm="1">
        <f t="array" ref="J2728">IFERROR(INDEX(EmployeeData[Status], ROW() - 37), "")</f>
        <v/>
      </c>
    </row>
    <row r="2729" spans="2:10" ht="19.95" customHeight="1" x14ac:dyDescent="0.3">
      <c r="B2729" s="4" t="str" cm="1">
        <f t="array" ref="B2729">IFERROR(INDEX(EmployeeData[Employee ID], ROW() - 37), "")</f>
        <v/>
      </c>
      <c r="C2729" s="4" t="str" cm="1">
        <f t="array" ref="C2729">IFERROR(INDEX(EmployeeData[Full Name], ROW() - 37), "")</f>
        <v/>
      </c>
      <c r="D2729" s="4" t="str" cm="1">
        <f t="array" ref="D2729">IFERROR(INDEX(EmployeeData[Department], ROW() - 37), "")</f>
        <v/>
      </c>
      <c r="E2729" s="4" t="str" cm="1">
        <f t="array" ref="E2729">IFERROR(INDEX(EmployeeData[Gender], ROW() - 37), "")</f>
        <v/>
      </c>
      <c r="F2729" s="4" t="str" cm="1">
        <f t="array" ref="F2729">IFERROR(INDEX(EmployeeData[Age], ROW() - 37), "")</f>
        <v/>
      </c>
      <c r="G2729" s="6" t="str" cm="1">
        <f t="array" ref="G2729">IFERROR(INDEX(EmployeeData[Join Date], ROW() - 37), "")</f>
        <v/>
      </c>
      <c r="H2729" s="6" t="str" cm="1">
        <f t="array" ref="H2729">IFERROR(IF(INDEX(EmployeeData[Exit Date], ROW() - 37)=0, "",INDEX(EmployeeData[Exit Date], ROW() - 37)),"")</f>
        <v/>
      </c>
      <c r="I2729" s="4" t="str" cm="1">
        <f t="array" ref="I2729">IFERROR(IF(INDEX(EmployeeData[Exit Reason], ROW() - 37)=0, "",INDEX(EmployeeData[Exit Reason], ROW() - 37)),"")</f>
        <v/>
      </c>
      <c r="J2729" s="4" t="str" cm="1">
        <f t="array" ref="J2729">IFERROR(INDEX(EmployeeData[Status], ROW() - 37), "")</f>
        <v/>
      </c>
    </row>
    <row r="2730" spans="2:10" ht="19.95" customHeight="1" x14ac:dyDescent="0.3">
      <c r="B2730" s="4" t="str" cm="1">
        <f t="array" ref="B2730">IFERROR(INDEX(EmployeeData[Employee ID], ROW() - 37), "")</f>
        <v/>
      </c>
      <c r="C2730" s="4" t="str" cm="1">
        <f t="array" ref="C2730">IFERROR(INDEX(EmployeeData[Full Name], ROW() - 37), "")</f>
        <v/>
      </c>
      <c r="D2730" s="4" t="str" cm="1">
        <f t="array" ref="D2730">IFERROR(INDEX(EmployeeData[Department], ROW() - 37), "")</f>
        <v/>
      </c>
      <c r="E2730" s="4" t="str" cm="1">
        <f t="array" ref="E2730">IFERROR(INDEX(EmployeeData[Gender], ROW() - 37), "")</f>
        <v/>
      </c>
      <c r="F2730" s="4" t="str" cm="1">
        <f t="array" ref="F2730">IFERROR(INDEX(EmployeeData[Age], ROW() - 37), "")</f>
        <v/>
      </c>
      <c r="G2730" s="6" t="str" cm="1">
        <f t="array" ref="G2730">IFERROR(INDEX(EmployeeData[Join Date], ROW() - 37), "")</f>
        <v/>
      </c>
      <c r="H2730" s="6" t="str" cm="1">
        <f t="array" ref="H2730">IFERROR(IF(INDEX(EmployeeData[Exit Date], ROW() - 37)=0, "",INDEX(EmployeeData[Exit Date], ROW() - 37)),"")</f>
        <v/>
      </c>
      <c r="I2730" s="4" t="str" cm="1">
        <f t="array" ref="I2730">IFERROR(IF(INDEX(EmployeeData[Exit Reason], ROW() - 37)=0, "",INDEX(EmployeeData[Exit Reason], ROW() - 37)),"")</f>
        <v/>
      </c>
      <c r="J2730" s="4" t="str" cm="1">
        <f t="array" ref="J2730">IFERROR(INDEX(EmployeeData[Status], ROW() - 37), "")</f>
        <v/>
      </c>
    </row>
    <row r="2731" spans="2:10" ht="19.95" customHeight="1" x14ac:dyDescent="0.3">
      <c r="B2731" s="4" t="str" cm="1">
        <f t="array" ref="B2731">IFERROR(INDEX(EmployeeData[Employee ID], ROW() - 37), "")</f>
        <v/>
      </c>
      <c r="C2731" s="4" t="str" cm="1">
        <f t="array" ref="C2731">IFERROR(INDEX(EmployeeData[Full Name], ROW() - 37), "")</f>
        <v/>
      </c>
      <c r="D2731" s="4" t="str" cm="1">
        <f t="array" ref="D2731">IFERROR(INDEX(EmployeeData[Department], ROW() - 37), "")</f>
        <v/>
      </c>
      <c r="E2731" s="4" t="str" cm="1">
        <f t="array" ref="E2731">IFERROR(INDEX(EmployeeData[Gender], ROW() - 37), "")</f>
        <v/>
      </c>
      <c r="F2731" s="4" t="str" cm="1">
        <f t="array" ref="F2731">IFERROR(INDEX(EmployeeData[Age], ROW() - 37), "")</f>
        <v/>
      </c>
      <c r="G2731" s="6" t="str" cm="1">
        <f t="array" ref="G2731">IFERROR(INDEX(EmployeeData[Join Date], ROW() - 37), "")</f>
        <v/>
      </c>
      <c r="H2731" s="6" t="str" cm="1">
        <f t="array" ref="H2731">IFERROR(IF(INDEX(EmployeeData[Exit Date], ROW() - 37)=0, "",INDEX(EmployeeData[Exit Date], ROW() - 37)),"")</f>
        <v/>
      </c>
      <c r="I2731" s="4" t="str" cm="1">
        <f t="array" ref="I2731">IFERROR(IF(INDEX(EmployeeData[Exit Reason], ROW() - 37)=0, "",INDEX(EmployeeData[Exit Reason], ROW() - 37)),"")</f>
        <v/>
      </c>
      <c r="J2731" s="4" t="str" cm="1">
        <f t="array" ref="J2731">IFERROR(INDEX(EmployeeData[Status], ROW() - 37), "")</f>
        <v/>
      </c>
    </row>
    <row r="2732" spans="2:10" ht="19.95" customHeight="1" x14ac:dyDescent="0.3">
      <c r="B2732" s="4" t="str" cm="1">
        <f t="array" ref="B2732">IFERROR(INDEX(EmployeeData[Employee ID], ROW() - 37), "")</f>
        <v/>
      </c>
      <c r="C2732" s="4" t="str" cm="1">
        <f t="array" ref="C2732">IFERROR(INDEX(EmployeeData[Full Name], ROW() - 37), "")</f>
        <v/>
      </c>
      <c r="D2732" s="4" t="str" cm="1">
        <f t="array" ref="D2732">IFERROR(INDEX(EmployeeData[Department], ROW() - 37), "")</f>
        <v/>
      </c>
      <c r="E2732" s="4" t="str" cm="1">
        <f t="array" ref="E2732">IFERROR(INDEX(EmployeeData[Gender], ROW() - 37), "")</f>
        <v/>
      </c>
      <c r="F2732" s="4" t="str" cm="1">
        <f t="array" ref="F2732">IFERROR(INDEX(EmployeeData[Age], ROW() - 37), "")</f>
        <v/>
      </c>
      <c r="G2732" s="6" t="str" cm="1">
        <f t="array" ref="G2732">IFERROR(INDEX(EmployeeData[Join Date], ROW() - 37), "")</f>
        <v/>
      </c>
      <c r="H2732" s="6" t="str" cm="1">
        <f t="array" ref="H2732">IFERROR(IF(INDEX(EmployeeData[Exit Date], ROW() - 37)=0, "",INDEX(EmployeeData[Exit Date], ROW() - 37)),"")</f>
        <v/>
      </c>
      <c r="I2732" s="4" t="str" cm="1">
        <f t="array" ref="I2732">IFERROR(IF(INDEX(EmployeeData[Exit Reason], ROW() - 37)=0, "",INDEX(EmployeeData[Exit Reason], ROW() - 37)),"")</f>
        <v/>
      </c>
      <c r="J2732" s="4" t="str" cm="1">
        <f t="array" ref="J2732">IFERROR(INDEX(EmployeeData[Status], ROW() - 37), "")</f>
        <v/>
      </c>
    </row>
    <row r="2733" spans="2:10" ht="19.95" customHeight="1" x14ac:dyDescent="0.3">
      <c r="B2733" s="4" t="str" cm="1">
        <f t="array" ref="B2733">IFERROR(INDEX(EmployeeData[Employee ID], ROW() - 37), "")</f>
        <v/>
      </c>
      <c r="C2733" s="4" t="str" cm="1">
        <f t="array" ref="C2733">IFERROR(INDEX(EmployeeData[Full Name], ROW() - 37), "")</f>
        <v/>
      </c>
      <c r="D2733" s="4" t="str" cm="1">
        <f t="array" ref="D2733">IFERROR(INDEX(EmployeeData[Department], ROW() - 37), "")</f>
        <v/>
      </c>
      <c r="E2733" s="4" t="str" cm="1">
        <f t="array" ref="E2733">IFERROR(INDEX(EmployeeData[Gender], ROW() - 37), "")</f>
        <v/>
      </c>
      <c r="F2733" s="4" t="str" cm="1">
        <f t="array" ref="F2733">IFERROR(INDEX(EmployeeData[Age], ROW() - 37), "")</f>
        <v/>
      </c>
      <c r="G2733" s="6" t="str" cm="1">
        <f t="array" ref="G2733">IFERROR(INDEX(EmployeeData[Join Date], ROW() - 37), "")</f>
        <v/>
      </c>
      <c r="H2733" s="6" t="str" cm="1">
        <f t="array" ref="H2733">IFERROR(IF(INDEX(EmployeeData[Exit Date], ROW() - 37)=0, "",INDEX(EmployeeData[Exit Date], ROW() - 37)),"")</f>
        <v/>
      </c>
      <c r="I2733" s="4" t="str" cm="1">
        <f t="array" ref="I2733">IFERROR(IF(INDEX(EmployeeData[Exit Reason], ROW() - 37)=0, "",INDEX(EmployeeData[Exit Reason], ROW() - 37)),"")</f>
        <v/>
      </c>
      <c r="J2733" s="4" t="str" cm="1">
        <f t="array" ref="J2733">IFERROR(INDEX(EmployeeData[Status], ROW() - 37), "")</f>
        <v/>
      </c>
    </row>
    <row r="2734" spans="2:10" ht="19.95" customHeight="1" x14ac:dyDescent="0.3">
      <c r="B2734" s="4" t="str" cm="1">
        <f t="array" ref="B2734">IFERROR(INDEX(EmployeeData[Employee ID], ROW() - 37), "")</f>
        <v/>
      </c>
      <c r="C2734" s="4" t="str" cm="1">
        <f t="array" ref="C2734">IFERROR(INDEX(EmployeeData[Full Name], ROW() - 37), "")</f>
        <v/>
      </c>
      <c r="D2734" s="4" t="str" cm="1">
        <f t="array" ref="D2734">IFERROR(INDEX(EmployeeData[Department], ROW() - 37), "")</f>
        <v/>
      </c>
      <c r="E2734" s="4" t="str" cm="1">
        <f t="array" ref="E2734">IFERROR(INDEX(EmployeeData[Gender], ROW() - 37), "")</f>
        <v/>
      </c>
      <c r="F2734" s="4" t="str" cm="1">
        <f t="array" ref="F2734">IFERROR(INDEX(EmployeeData[Age], ROW() - 37), "")</f>
        <v/>
      </c>
      <c r="G2734" s="6" t="str" cm="1">
        <f t="array" ref="G2734">IFERROR(INDEX(EmployeeData[Join Date], ROW() - 37), "")</f>
        <v/>
      </c>
      <c r="H2734" s="6" t="str" cm="1">
        <f t="array" ref="H2734">IFERROR(IF(INDEX(EmployeeData[Exit Date], ROW() - 37)=0, "",INDEX(EmployeeData[Exit Date], ROW() - 37)),"")</f>
        <v/>
      </c>
      <c r="I2734" s="4" t="str" cm="1">
        <f t="array" ref="I2734">IFERROR(IF(INDEX(EmployeeData[Exit Reason], ROW() - 37)=0, "",INDEX(EmployeeData[Exit Reason], ROW() - 37)),"")</f>
        <v/>
      </c>
      <c r="J2734" s="4" t="str" cm="1">
        <f t="array" ref="J2734">IFERROR(INDEX(EmployeeData[Status], ROW() - 37), "")</f>
        <v/>
      </c>
    </row>
    <row r="2735" spans="2:10" ht="19.95" customHeight="1" x14ac:dyDescent="0.3">
      <c r="B2735" s="4" t="str" cm="1">
        <f t="array" ref="B2735">IFERROR(INDEX(EmployeeData[Employee ID], ROW() - 37), "")</f>
        <v/>
      </c>
      <c r="C2735" s="4" t="str" cm="1">
        <f t="array" ref="C2735">IFERROR(INDEX(EmployeeData[Full Name], ROW() - 37), "")</f>
        <v/>
      </c>
      <c r="D2735" s="4" t="str" cm="1">
        <f t="array" ref="D2735">IFERROR(INDEX(EmployeeData[Department], ROW() - 37), "")</f>
        <v/>
      </c>
      <c r="E2735" s="4" t="str" cm="1">
        <f t="array" ref="E2735">IFERROR(INDEX(EmployeeData[Gender], ROW() - 37), "")</f>
        <v/>
      </c>
      <c r="F2735" s="4" t="str" cm="1">
        <f t="array" ref="F2735">IFERROR(INDEX(EmployeeData[Age], ROW() - 37), "")</f>
        <v/>
      </c>
      <c r="G2735" s="6" t="str" cm="1">
        <f t="array" ref="G2735">IFERROR(INDEX(EmployeeData[Join Date], ROW() - 37), "")</f>
        <v/>
      </c>
      <c r="H2735" s="6" t="str" cm="1">
        <f t="array" ref="H2735">IFERROR(IF(INDEX(EmployeeData[Exit Date], ROW() - 37)=0, "",INDEX(EmployeeData[Exit Date], ROW() - 37)),"")</f>
        <v/>
      </c>
      <c r="I2735" s="4" t="str" cm="1">
        <f t="array" ref="I2735">IFERROR(IF(INDEX(EmployeeData[Exit Reason], ROW() - 37)=0, "",INDEX(EmployeeData[Exit Reason], ROW() - 37)),"")</f>
        <v/>
      </c>
      <c r="J2735" s="4" t="str" cm="1">
        <f t="array" ref="J2735">IFERROR(INDEX(EmployeeData[Status], ROW() - 37), "")</f>
        <v/>
      </c>
    </row>
    <row r="2736" spans="2:10" ht="19.95" customHeight="1" x14ac:dyDescent="0.3">
      <c r="B2736" s="4" t="str" cm="1">
        <f t="array" ref="B2736">IFERROR(INDEX(EmployeeData[Employee ID], ROW() - 37), "")</f>
        <v/>
      </c>
      <c r="C2736" s="4" t="str" cm="1">
        <f t="array" ref="C2736">IFERROR(INDEX(EmployeeData[Full Name], ROW() - 37), "")</f>
        <v/>
      </c>
      <c r="D2736" s="4" t="str" cm="1">
        <f t="array" ref="D2736">IFERROR(INDEX(EmployeeData[Department], ROW() - 37), "")</f>
        <v/>
      </c>
      <c r="E2736" s="4" t="str" cm="1">
        <f t="array" ref="E2736">IFERROR(INDEX(EmployeeData[Gender], ROW() - 37), "")</f>
        <v/>
      </c>
      <c r="F2736" s="4" t="str" cm="1">
        <f t="array" ref="F2736">IFERROR(INDEX(EmployeeData[Age], ROW() - 37), "")</f>
        <v/>
      </c>
      <c r="G2736" s="6" t="str" cm="1">
        <f t="array" ref="G2736">IFERROR(INDEX(EmployeeData[Join Date], ROW() - 37), "")</f>
        <v/>
      </c>
      <c r="H2736" s="6" t="str" cm="1">
        <f t="array" ref="H2736">IFERROR(IF(INDEX(EmployeeData[Exit Date], ROW() - 37)=0, "",INDEX(EmployeeData[Exit Date], ROW() - 37)),"")</f>
        <v/>
      </c>
      <c r="I2736" s="4" t="str" cm="1">
        <f t="array" ref="I2736">IFERROR(IF(INDEX(EmployeeData[Exit Reason], ROW() - 37)=0, "",INDEX(EmployeeData[Exit Reason], ROW() - 37)),"")</f>
        <v/>
      </c>
      <c r="J2736" s="4" t="str" cm="1">
        <f t="array" ref="J2736">IFERROR(INDEX(EmployeeData[Status], ROW() - 37), "")</f>
        <v/>
      </c>
    </row>
    <row r="2737" spans="2:10" ht="19.95" customHeight="1" x14ac:dyDescent="0.3">
      <c r="B2737" s="4" t="str" cm="1">
        <f t="array" ref="B2737">IFERROR(INDEX(EmployeeData[Employee ID], ROW() - 37), "")</f>
        <v/>
      </c>
      <c r="C2737" s="4" t="str" cm="1">
        <f t="array" ref="C2737">IFERROR(INDEX(EmployeeData[Full Name], ROW() - 37), "")</f>
        <v/>
      </c>
      <c r="D2737" s="4" t="str" cm="1">
        <f t="array" ref="D2737">IFERROR(INDEX(EmployeeData[Department], ROW() - 37), "")</f>
        <v/>
      </c>
      <c r="E2737" s="4" t="str" cm="1">
        <f t="array" ref="E2737">IFERROR(INDEX(EmployeeData[Gender], ROW() - 37), "")</f>
        <v/>
      </c>
      <c r="F2737" s="4" t="str" cm="1">
        <f t="array" ref="F2737">IFERROR(INDEX(EmployeeData[Age], ROW() - 37), "")</f>
        <v/>
      </c>
      <c r="G2737" s="6" t="str" cm="1">
        <f t="array" ref="G2737">IFERROR(INDEX(EmployeeData[Join Date], ROW() - 37), "")</f>
        <v/>
      </c>
      <c r="H2737" s="6" t="str" cm="1">
        <f t="array" ref="H2737">IFERROR(IF(INDEX(EmployeeData[Exit Date], ROW() - 37)=0, "",INDEX(EmployeeData[Exit Date], ROW() - 37)),"")</f>
        <v/>
      </c>
      <c r="I2737" s="4" t="str" cm="1">
        <f t="array" ref="I2737">IFERROR(IF(INDEX(EmployeeData[Exit Reason], ROW() - 37)=0, "",INDEX(EmployeeData[Exit Reason], ROW() - 37)),"")</f>
        <v/>
      </c>
      <c r="J2737" s="4" t="str" cm="1">
        <f t="array" ref="J2737">IFERROR(INDEX(EmployeeData[Status], ROW() - 37), "")</f>
        <v/>
      </c>
    </row>
    <row r="2738" spans="2:10" ht="19.95" customHeight="1" x14ac:dyDescent="0.3">
      <c r="B2738" s="4" t="str" cm="1">
        <f t="array" ref="B2738">IFERROR(INDEX(EmployeeData[Employee ID], ROW() - 37), "")</f>
        <v/>
      </c>
      <c r="C2738" s="4" t="str" cm="1">
        <f t="array" ref="C2738">IFERROR(INDEX(EmployeeData[Full Name], ROW() - 37), "")</f>
        <v/>
      </c>
      <c r="D2738" s="4" t="str" cm="1">
        <f t="array" ref="D2738">IFERROR(INDEX(EmployeeData[Department], ROW() - 37), "")</f>
        <v/>
      </c>
      <c r="E2738" s="4" t="str" cm="1">
        <f t="array" ref="E2738">IFERROR(INDEX(EmployeeData[Gender], ROW() - 37), "")</f>
        <v/>
      </c>
      <c r="F2738" s="4" t="str" cm="1">
        <f t="array" ref="F2738">IFERROR(INDEX(EmployeeData[Age], ROW() - 37), "")</f>
        <v/>
      </c>
      <c r="G2738" s="6" t="str" cm="1">
        <f t="array" ref="G2738">IFERROR(INDEX(EmployeeData[Join Date], ROW() - 37), "")</f>
        <v/>
      </c>
      <c r="H2738" s="6" t="str" cm="1">
        <f t="array" ref="H2738">IFERROR(IF(INDEX(EmployeeData[Exit Date], ROW() - 37)=0, "",INDEX(EmployeeData[Exit Date], ROW() - 37)),"")</f>
        <v/>
      </c>
      <c r="I2738" s="4" t="str" cm="1">
        <f t="array" ref="I2738">IFERROR(IF(INDEX(EmployeeData[Exit Reason], ROW() - 37)=0, "",INDEX(EmployeeData[Exit Reason], ROW() - 37)),"")</f>
        <v/>
      </c>
      <c r="J2738" s="4" t="str" cm="1">
        <f t="array" ref="J2738">IFERROR(INDEX(EmployeeData[Status], ROW() - 37), "")</f>
        <v/>
      </c>
    </row>
    <row r="2739" spans="2:10" ht="19.95" customHeight="1" x14ac:dyDescent="0.3">
      <c r="B2739" s="4" t="str" cm="1">
        <f t="array" ref="B2739">IFERROR(INDEX(EmployeeData[Employee ID], ROW() - 37), "")</f>
        <v/>
      </c>
      <c r="C2739" s="4" t="str" cm="1">
        <f t="array" ref="C2739">IFERROR(INDEX(EmployeeData[Full Name], ROW() - 37), "")</f>
        <v/>
      </c>
      <c r="D2739" s="4" t="str" cm="1">
        <f t="array" ref="D2739">IFERROR(INDEX(EmployeeData[Department], ROW() - 37), "")</f>
        <v/>
      </c>
      <c r="E2739" s="4" t="str" cm="1">
        <f t="array" ref="E2739">IFERROR(INDEX(EmployeeData[Gender], ROW() - 37), "")</f>
        <v/>
      </c>
      <c r="F2739" s="4" t="str" cm="1">
        <f t="array" ref="F2739">IFERROR(INDEX(EmployeeData[Age], ROW() - 37), "")</f>
        <v/>
      </c>
      <c r="G2739" s="6" t="str" cm="1">
        <f t="array" ref="G2739">IFERROR(INDEX(EmployeeData[Join Date], ROW() - 37), "")</f>
        <v/>
      </c>
      <c r="H2739" s="6" t="str" cm="1">
        <f t="array" ref="H2739">IFERROR(IF(INDEX(EmployeeData[Exit Date], ROW() - 37)=0, "",INDEX(EmployeeData[Exit Date], ROW() - 37)),"")</f>
        <v/>
      </c>
      <c r="I2739" s="4" t="str" cm="1">
        <f t="array" ref="I2739">IFERROR(IF(INDEX(EmployeeData[Exit Reason], ROW() - 37)=0, "",INDEX(EmployeeData[Exit Reason], ROW() - 37)),"")</f>
        <v/>
      </c>
      <c r="J2739" s="4" t="str" cm="1">
        <f t="array" ref="J2739">IFERROR(INDEX(EmployeeData[Status], ROW() - 37), "")</f>
        <v/>
      </c>
    </row>
    <row r="2740" spans="2:10" ht="19.95" customHeight="1" x14ac:dyDescent="0.3">
      <c r="B2740" s="4" t="str" cm="1">
        <f t="array" ref="B2740">IFERROR(INDEX(EmployeeData[Employee ID], ROW() - 37), "")</f>
        <v/>
      </c>
      <c r="C2740" s="4" t="str" cm="1">
        <f t="array" ref="C2740">IFERROR(INDEX(EmployeeData[Full Name], ROW() - 37), "")</f>
        <v/>
      </c>
      <c r="D2740" s="4" t="str" cm="1">
        <f t="array" ref="D2740">IFERROR(INDEX(EmployeeData[Department], ROW() - 37), "")</f>
        <v/>
      </c>
      <c r="E2740" s="4" t="str" cm="1">
        <f t="array" ref="E2740">IFERROR(INDEX(EmployeeData[Gender], ROW() - 37), "")</f>
        <v/>
      </c>
      <c r="F2740" s="4" t="str" cm="1">
        <f t="array" ref="F2740">IFERROR(INDEX(EmployeeData[Age], ROW() - 37), "")</f>
        <v/>
      </c>
      <c r="G2740" s="6" t="str" cm="1">
        <f t="array" ref="G2740">IFERROR(INDEX(EmployeeData[Join Date], ROW() - 37), "")</f>
        <v/>
      </c>
      <c r="H2740" s="6" t="str" cm="1">
        <f t="array" ref="H2740">IFERROR(IF(INDEX(EmployeeData[Exit Date], ROW() - 37)=0, "",INDEX(EmployeeData[Exit Date], ROW() - 37)),"")</f>
        <v/>
      </c>
      <c r="I2740" s="4" t="str" cm="1">
        <f t="array" ref="I2740">IFERROR(IF(INDEX(EmployeeData[Exit Reason], ROW() - 37)=0, "",INDEX(EmployeeData[Exit Reason], ROW() - 37)),"")</f>
        <v/>
      </c>
      <c r="J2740" s="4" t="str" cm="1">
        <f t="array" ref="J2740">IFERROR(INDEX(EmployeeData[Status], ROW() - 37), "")</f>
        <v/>
      </c>
    </row>
    <row r="2741" spans="2:10" ht="19.95" customHeight="1" x14ac:dyDescent="0.3">
      <c r="B2741" s="4" t="str" cm="1">
        <f t="array" ref="B2741">IFERROR(INDEX(EmployeeData[Employee ID], ROW() - 37), "")</f>
        <v/>
      </c>
      <c r="C2741" s="4" t="str" cm="1">
        <f t="array" ref="C2741">IFERROR(INDEX(EmployeeData[Full Name], ROW() - 37), "")</f>
        <v/>
      </c>
      <c r="D2741" s="4" t="str" cm="1">
        <f t="array" ref="D2741">IFERROR(INDEX(EmployeeData[Department], ROW() - 37), "")</f>
        <v/>
      </c>
      <c r="E2741" s="4" t="str" cm="1">
        <f t="array" ref="E2741">IFERROR(INDEX(EmployeeData[Gender], ROW() - 37), "")</f>
        <v/>
      </c>
      <c r="F2741" s="4" t="str" cm="1">
        <f t="array" ref="F2741">IFERROR(INDEX(EmployeeData[Age], ROW() - 37), "")</f>
        <v/>
      </c>
      <c r="G2741" s="6" t="str" cm="1">
        <f t="array" ref="G2741">IFERROR(INDEX(EmployeeData[Join Date], ROW() - 37), "")</f>
        <v/>
      </c>
      <c r="H2741" s="6" t="str" cm="1">
        <f t="array" ref="H2741">IFERROR(IF(INDEX(EmployeeData[Exit Date], ROW() - 37)=0, "",INDEX(EmployeeData[Exit Date], ROW() - 37)),"")</f>
        <v/>
      </c>
      <c r="I2741" s="4" t="str" cm="1">
        <f t="array" ref="I2741">IFERROR(IF(INDEX(EmployeeData[Exit Reason], ROW() - 37)=0, "",INDEX(EmployeeData[Exit Reason], ROW() - 37)),"")</f>
        <v/>
      </c>
      <c r="J2741" s="4" t="str" cm="1">
        <f t="array" ref="J2741">IFERROR(INDEX(EmployeeData[Status], ROW() - 37), "")</f>
        <v/>
      </c>
    </row>
    <row r="2742" spans="2:10" ht="19.95" customHeight="1" x14ac:dyDescent="0.3">
      <c r="B2742" s="4" t="str" cm="1">
        <f t="array" ref="B2742">IFERROR(INDEX(EmployeeData[Employee ID], ROW() - 37), "")</f>
        <v/>
      </c>
      <c r="C2742" s="4" t="str" cm="1">
        <f t="array" ref="C2742">IFERROR(INDEX(EmployeeData[Full Name], ROW() - 37), "")</f>
        <v/>
      </c>
      <c r="D2742" s="4" t="str" cm="1">
        <f t="array" ref="D2742">IFERROR(INDEX(EmployeeData[Department], ROW() - 37), "")</f>
        <v/>
      </c>
      <c r="E2742" s="4" t="str" cm="1">
        <f t="array" ref="E2742">IFERROR(INDEX(EmployeeData[Gender], ROW() - 37), "")</f>
        <v/>
      </c>
      <c r="F2742" s="4" t="str" cm="1">
        <f t="array" ref="F2742">IFERROR(INDEX(EmployeeData[Age], ROW() - 37), "")</f>
        <v/>
      </c>
      <c r="G2742" s="6" t="str" cm="1">
        <f t="array" ref="G2742">IFERROR(INDEX(EmployeeData[Join Date], ROW() - 37), "")</f>
        <v/>
      </c>
      <c r="H2742" s="6" t="str" cm="1">
        <f t="array" ref="H2742">IFERROR(IF(INDEX(EmployeeData[Exit Date], ROW() - 37)=0, "",INDEX(EmployeeData[Exit Date], ROW() - 37)),"")</f>
        <v/>
      </c>
      <c r="I2742" s="4" t="str" cm="1">
        <f t="array" ref="I2742">IFERROR(IF(INDEX(EmployeeData[Exit Reason], ROW() - 37)=0, "",INDEX(EmployeeData[Exit Reason], ROW() - 37)),"")</f>
        <v/>
      </c>
      <c r="J2742" s="4" t="str" cm="1">
        <f t="array" ref="J2742">IFERROR(INDEX(EmployeeData[Status], ROW() - 37), "")</f>
        <v/>
      </c>
    </row>
    <row r="2743" spans="2:10" ht="19.95" customHeight="1" x14ac:dyDescent="0.3">
      <c r="B2743" s="4" t="str" cm="1">
        <f t="array" ref="B2743">IFERROR(INDEX(EmployeeData[Employee ID], ROW() - 37), "")</f>
        <v/>
      </c>
      <c r="C2743" s="4" t="str" cm="1">
        <f t="array" ref="C2743">IFERROR(INDEX(EmployeeData[Full Name], ROW() - 37), "")</f>
        <v/>
      </c>
      <c r="D2743" s="4" t="str" cm="1">
        <f t="array" ref="D2743">IFERROR(INDEX(EmployeeData[Department], ROW() - 37), "")</f>
        <v/>
      </c>
      <c r="E2743" s="4" t="str" cm="1">
        <f t="array" ref="E2743">IFERROR(INDEX(EmployeeData[Gender], ROW() - 37), "")</f>
        <v/>
      </c>
      <c r="F2743" s="4" t="str" cm="1">
        <f t="array" ref="F2743">IFERROR(INDEX(EmployeeData[Age], ROW() - 37), "")</f>
        <v/>
      </c>
      <c r="G2743" s="6" t="str" cm="1">
        <f t="array" ref="G2743">IFERROR(INDEX(EmployeeData[Join Date], ROW() - 37), "")</f>
        <v/>
      </c>
      <c r="H2743" s="6" t="str" cm="1">
        <f t="array" ref="H2743">IFERROR(IF(INDEX(EmployeeData[Exit Date], ROW() - 37)=0, "",INDEX(EmployeeData[Exit Date], ROW() - 37)),"")</f>
        <v/>
      </c>
      <c r="I2743" s="4" t="str" cm="1">
        <f t="array" ref="I2743">IFERROR(IF(INDEX(EmployeeData[Exit Reason], ROW() - 37)=0, "",INDEX(EmployeeData[Exit Reason], ROW() - 37)),"")</f>
        <v/>
      </c>
      <c r="J2743" s="4" t="str" cm="1">
        <f t="array" ref="J2743">IFERROR(INDEX(EmployeeData[Status], ROW() - 37), "")</f>
        <v/>
      </c>
    </row>
    <row r="2744" spans="2:10" ht="19.95" customHeight="1" x14ac:dyDescent="0.3">
      <c r="B2744" s="4" t="str" cm="1">
        <f t="array" ref="B2744">IFERROR(INDEX(EmployeeData[Employee ID], ROW() - 37), "")</f>
        <v/>
      </c>
      <c r="C2744" s="4" t="str" cm="1">
        <f t="array" ref="C2744">IFERROR(INDEX(EmployeeData[Full Name], ROW() - 37), "")</f>
        <v/>
      </c>
      <c r="D2744" s="4" t="str" cm="1">
        <f t="array" ref="D2744">IFERROR(INDEX(EmployeeData[Department], ROW() - 37), "")</f>
        <v/>
      </c>
      <c r="E2744" s="4" t="str" cm="1">
        <f t="array" ref="E2744">IFERROR(INDEX(EmployeeData[Gender], ROW() - 37), "")</f>
        <v/>
      </c>
      <c r="F2744" s="4" t="str" cm="1">
        <f t="array" ref="F2744">IFERROR(INDEX(EmployeeData[Age], ROW() - 37), "")</f>
        <v/>
      </c>
      <c r="G2744" s="6" t="str" cm="1">
        <f t="array" ref="G2744">IFERROR(INDEX(EmployeeData[Join Date], ROW() - 37), "")</f>
        <v/>
      </c>
      <c r="H2744" s="6" t="str" cm="1">
        <f t="array" ref="H2744">IFERROR(IF(INDEX(EmployeeData[Exit Date], ROW() - 37)=0, "",INDEX(EmployeeData[Exit Date], ROW() - 37)),"")</f>
        <v/>
      </c>
      <c r="I2744" s="4" t="str" cm="1">
        <f t="array" ref="I2744">IFERROR(IF(INDEX(EmployeeData[Exit Reason], ROW() - 37)=0, "",INDEX(EmployeeData[Exit Reason], ROW() - 37)),"")</f>
        <v/>
      </c>
      <c r="J2744" s="4" t="str" cm="1">
        <f t="array" ref="J2744">IFERROR(INDEX(EmployeeData[Status], ROW() - 37), "")</f>
        <v/>
      </c>
    </row>
    <row r="2745" spans="2:10" ht="19.95" customHeight="1" x14ac:dyDescent="0.3">
      <c r="B2745" s="4" t="str" cm="1">
        <f t="array" ref="B2745">IFERROR(INDEX(EmployeeData[Employee ID], ROW() - 37), "")</f>
        <v/>
      </c>
      <c r="C2745" s="4" t="str" cm="1">
        <f t="array" ref="C2745">IFERROR(INDEX(EmployeeData[Full Name], ROW() - 37), "")</f>
        <v/>
      </c>
      <c r="D2745" s="4" t="str" cm="1">
        <f t="array" ref="D2745">IFERROR(INDEX(EmployeeData[Department], ROW() - 37), "")</f>
        <v/>
      </c>
      <c r="E2745" s="4" t="str" cm="1">
        <f t="array" ref="E2745">IFERROR(INDEX(EmployeeData[Gender], ROW() - 37), "")</f>
        <v/>
      </c>
      <c r="F2745" s="4" t="str" cm="1">
        <f t="array" ref="F2745">IFERROR(INDEX(EmployeeData[Age], ROW() - 37), "")</f>
        <v/>
      </c>
      <c r="G2745" s="6" t="str" cm="1">
        <f t="array" ref="G2745">IFERROR(INDEX(EmployeeData[Join Date], ROW() - 37), "")</f>
        <v/>
      </c>
      <c r="H2745" s="6" t="str" cm="1">
        <f t="array" ref="H2745">IFERROR(IF(INDEX(EmployeeData[Exit Date], ROW() - 37)=0, "",INDEX(EmployeeData[Exit Date], ROW() - 37)),"")</f>
        <v/>
      </c>
      <c r="I2745" s="4" t="str" cm="1">
        <f t="array" ref="I2745">IFERROR(IF(INDEX(EmployeeData[Exit Reason], ROW() - 37)=0, "",INDEX(EmployeeData[Exit Reason], ROW() - 37)),"")</f>
        <v/>
      </c>
      <c r="J2745" s="4" t="str" cm="1">
        <f t="array" ref="J2745">IFERROR(INDEX(EmployeeData[Status], ROW() - 37), "")</f>
        <v/>
      </c>
    </row>
    <row r="2746" spans="2:10" ht="19.95" customHeight="1" x14ac:dyDescent="0.3">
      <c r="B2746" s="4" t="str" cm="1">
        <f t="array" ref="B2746">IFERROR(INDEX(EmployeeData[Employee ID], ROW() - 37), "")</f>
        <v/>
      </c>
      <c r="C2746" s="4" t="str" cm="1">
        <f t="array" ref="C2746">IFERROR(INDEX(EmployeeData[Full Name], ROW() - 37), "")</f>
        <v/>
      </c>
      <c r="D2746" s="4" t="str" cm="1">
        <f t="array" ref="D2746">IFERROR(INDEX(EmployeeData[Department], ROW() - 37), "")</f>
        <v/>
      </c>
      <c r="E2746" s="4" t="str" cm="1">
        <f t="array" ref="E2746">IFERROR(INDEX(EmployeeData[Gender], ROW() - 37), "")</f>
        <v/>
      </c>
      <c r="F2746" s="4" t="str" cm="1">
        <f t="array" ref="F2746">IFERROR(INDEX(EmployeeData[Age], ROW() - 37), "")</f>
        <v/>
      </c>
      <c r="G2746" s="6" t="str" cm="1">
        <f t="array" ref="G2746">IFERROR(INDEX(EmployeeData[Join Date], ROW() - 37), "")</f>
        <v/>
      </c>
      <c r="H2746" s="6" t="str" cm="1">
        <f t="array" ref="H2746">IFERROR(IF(INDEX(EmployeeData[Exit Date], ROW() - 37)=0, "",INDEX(EmployeeData[Exit Date], ROW() - 37)),"")</f>
        <v/>
      </c>
      <c r="I2746" s="4" t="str" cm="1">
        <f t="array" ref="I2746">IFERROR(IF(INDEX(EmployeeData[Exit Reason], ROW() - 37)=0, "",INDEX(EmployeeData[Exit Reason], ROW() - 37)),"")</f>
        <v/>
      </c>
      <c r="J2746" s="4" t="str" cm="1">
        <f t="array" ref="J2746">IFERROR(INDEX(EmployeeData[Status], ROW() - 37), "")</f>
        <v/>
      </c>
    </row>
    <row r="2747" spans="2:10" ht="19.95" customHeight="1" x14ac:dyDescent="0.3">
      <c r="B2747" s="4" t="str" cm="1">
        <f t="array" ref="B2747">IFERROR(INDEX(EmployeeData[Employee ID], ROW() - 37), "")</f>
        <v/>
      </c>
      <c r="C2747" s="4" t="str" cm="1">
        <f t="array" ref="C2747">IFERROR(INDEX(EmployeeData[Full Name], ROW() - 37), "")</f>
        <v/>
      </c>
      <c r="D2747" s="4" t="str" cm="1">
        <f t="array" ref="D2747">IFERROR(INDEX(EmployeeData[Department], ROW() - 37), "")</f>
        <v/>
      </c>
      <c r="E2747" s="4" t="str" cm="1">
        <f t="array" ref="E2747">IFERROR(INDEX(EmployeeData[Gender], ROW() - 37), "")</f>
        <v/>
      </c>
      <c r="F2747" s="4" t="str" cm="1">
        <f t="array" ref="F2747">IFERROR(INDEX(EmployeeData[Age], ROW() - 37), "")</f>
        <v/>
      </c>
      <c r="G2747" s="6" t="str" cm="1">
        <f t="array" ref="G2747">IFERROR(INDEX(EmployeeData[Join Date], ROW() - 37), "")</f>
        <v/>
      </c>
      <c r="H2747" s="6" t="str" cm="1">
        <f t="array" ref="H2747">IFERROR(IF(INDEX(EmployeeData[Exit Date], ROW() - 37)=0, "",INDEX(EmployeeData[Exit Date], ROW() - 37)),"")</f>
        <v/>
      </c>
      <c r="I2747" s="4" t="str" cm="1">
        <f t="array" ref="I2747">IFERROR(IF(INDEX(EmployeeData[Exit Reason], ROW() - 37)=0, "",INDEX(EmployeeData[Exit Reason], ROW() - 37)),"")</f>
        <v/>
      </c>
      <c r="J2747" s="4" t="str" cm="1">
        <f t="array" ref="J2747">IFERROR(INDEX(EmployeeData[Status], ROW() - 37), "")</f>
        <v/>
      </c>
    </row>
    <row r="2748" spans="2:10" ht="19.95" customHeight="1" x14ac:dyDescent="0.3">
      <c r="B2748" s="4" t="str" cm="1">
        <f t="array" ref="B2748">IFERROR(INDEX(EmployeeData[Employee ID], ROW() - 37), "")</f>
        <v/>
      </c>
      <c r="C2748" s="4" t="str" cm="1">
        <f t="array" ref="C2748">IFERROR(INDEX(EmployeeData[Full Name], ROW() - 37), "")</f>
        <v/>
      </c>
      <c r="D2748" s="4" t="str" cm="1">
        <f t="array" ref="D2748">IFERROR(INDEX(EmployeeData[Department], ROW() - 37), "")</f>
        <v/>
      </c>
      <c r="E2748" s="4" t="str" cm="1">
        <f t="array" ref="E2748">IFERROR(INDEX(EmployeeData[Gender], ROW() - 37), "")</f>
        <v/>
      </c>
      <c r="F2748" s="4" t="str" cm="1">
        <f t="array" ref="F2748">IFERROR(INDEX(EmployeeData[Age], ROW() - 37), "")</f>
        <v/>
      </c>
      <c r="G2748" s="6" t="str" cm="1">
        <f t="array" ref="G2748">IFERROR(INDEX(EmployeeData[Join Date], ROW() - 37), "")</f>
        <v/>
      </c>
      <c r="H2748" s="6" t="str" cm="1">
        <f t="array" ref="H2748">IFERROR(IF(INDEX(EmployeeData[Exit Date], ROW() - 37)=0, "",INDEX(EmployeeData[Exit Date], ROW() - 37)),"")</f>
        <v/>
      </c>
      <c r="I2748" s="4" t="str" cm="1">
        <f t="array" ref="I2748">IFERROR(IF(INDEX(EmployeeData[Exit Reason], ROW() - 37)=0, "",INDEX(EmployeeData[Exit Reason], ROW() - 37)),"")</f>
        <v/>
      </c>
      <c r="J2748" s="4" t="str" cm="1">
        <f t="array" ref="J2748">IFERROR(INDEX(EmployeeData[Status], ROW() - 37), "")</f>
        <v/>
      </c>
    </row>
    <row r="2749" spans="2:10" ht="19.95" customHeight="1" x14ac:dyDescent="0.3">
      <c r="B2749" s="4" t="str" cm="1">
        <f t="array" ref="B2749">IFERROR(INDEX(EmployeeData[Employee ID], ROW() - 37), "")</f>
        <v/>
      </c>
      <c r="C2749" s="4" t="str" cm="1">
        <f t="array" ref="C2749">IFERROR(INDEX(EmployeeData[Full Name], ROW() - 37), "")</f>
        <v/>
      </c>
      <c r="D2749" s="4" t="str" cm="1">
        <f t="array" ref="D2749">IFERROR(INDEX(EmployeeData[Department], ROW() - 37), "")</f>
        <v/>
      </c>
      <c r="E2749" s="4" t="str" cm="1">
        <f t="array" ref="E2749">IFERROR(INDEX(EmployeeData[Gender], ROW() - 37), "")</f>
        <v/>
      </c>
      <c r="F2749" s="4" t="str" cm="1">
        <f t="array" ref="F2749">IFERROR(INDEX(EmployeeData[Age], ROW() - 37), "")</f>
        <v/>
      </c>
      <c r="G2749" s="6" t="str" cm="1">
        <f t="array" ref="G2749">IFERROR(INDEX(EmployeeData[Join Date], ROW() - 37), "")</f>
        <v/>
      </c>
      <c r="H2749" s="6" t="str" cm="1">
        <f t="array" ref="H2749">IFERROR(IF(INDEX(EmployeeData[Exit Date], ROW() - 37)=0, "",INDEX(EmployeeData[Exit Date], ROW() - 37)),"")</f>
        <v/>
      </c>
      <c r="I2749" s="4" t="str" cm="1">
        <f t="array" ref="I2749">IFERROR(IF(INDEX(EmployeeData[Exit Reason], ROW() - 37)=0, "",INDEX(EmployeeData[Exit Reason], ROW() - 37)),"")</f>
        <v/>
      </c>
      <c r="J2749" s="4" t="str" cm="1">
        <f t="array" ref="J2749">IFERROR(INDEX(EmployeeData[Status], ROW() - 37), "")</f>
        <v/>
      </c>
    </row>
    <row r="2750" spans="2:10" ht="19.95" customHeight="1" x14ac:dyDescent="0.3">
      <c r="B2750" s="4" t="str" cm="1">
        <f t="array" ref="B2750">IFERROR(INDEX(EmployeeData[Employee ID], ROW() - 37), "")</f>
        <v/>
      </c>
      <c r="C2750" s="4" t="str" cm="1">
        <f t="array" ref="C2750">IFERROR(INDEX(EmployeeData[Full Name], ROW() - 37), "")</f>
        <v/>
      </c>
      <c r="D2750" s="4" t="str" cm="1">
        <f t="array" ref="D2750">IFERROR(INDEX(EmployeeData[Department], ROW() - 37), "")</f>
        <v/>
      </c>
      <c r="E2750" s="4" t="str" cm="1">
        <f t="array" ref="E2750">IFERROR(INDEX(EmployeeData[Gender], ROW() - 37), "")</f>
        <v/>
      </c>
      <c r="F2750" s="4" t="str" cm="1">
        <f t="array" ref="F2750">IFERROR(INDEX(EmployeeData[Age], ROW() - 37), "")</f>
        <v/>
      </c>
      <c r="G2750" s="6" t="str" cm="1">
        <f t="array" ref="G2750">IFERROR(INDEX(EmployeeData[Join Date], ROW() - 37), "")</f>
        <v/>
      </c>
      <c r="H2750" s="6" t="str" cm="1">
        <f t="array" ref="H2750">IFERROR(IF(INDEX(EmployeeData[Exit Date], ROW() - 37)=0, "",INDEX(EmployeeData[Exit Date], ROW() - 37)),"")</f>
        <v/>
      </c>
      <c r="I2750" s="4" t="str" cm="1">
        <f t="array" ref="I2750">IFERROR(IF(INDEX(EmployeeData[Exit Reason], ROW() - 37)=0, "",INDEX(EmployeeData[Exit Reason], ROW() - 37)),"")</f>
        <v/>
      </c>
      <c r="J2750" s="4" t="str" cm="1">
        <f t="array" ref="J2750">IFERROR(INDEX(EmployeeData[Status], ROW() - 37), "")</f>
        <v/>
      </c>
    </row>
    <row r="2751" spans="2:10" ht="19.95" customHeight="1" x14ac:dyDescent="0.3">
      <c r="B2751" s="4" t="str" cm="1">
        <f t="array" ref="B2751">IFERROR(INDEX(EmployeeData[Employee ID], ROW() - 37), "")</f>
        <v/>
      </c>
      <c r="C2751" s="4" t="str" cm="1">
        <f t="array" ref="C2751">IFERROR(INDEX(EmployeeData[Full Name], ROW() - 37), "")</f>
        <v/>
      </c>
      <c r="D2751" s="4" t="str" cm="1">
        <f t="array" ref="D2751">IFERROR(INDEX(EmployeeData[Department], ROW() - 37), "")</f>
        <v/>
      </c>
      <c r="E2751" s="4" t="str" cm="1">
        <f t="array" ref="E2751">IFERROR(INDEX(EmployeeData[Gender], ROW() - 37), "")</f>
        <v/>
      </c>
      <c r="F2751" s="4" t="str" cm="1">
        <f t="array" ref="F2751">IFERROR(INDEX(EmployeeData[Age], ROW() - 37), "")</f>
        <v/>
      </c>
      <c r="G2751" s="6" t="str" cm="1">
        <f t="array" ref="G2751">IFERROR(INDEX(EmployeeData[Join Date], ROW() - 37), "")</f>
        <v/>
      </c>
      <c r="H2751" s="6" t="str" cm="1">
        <f t="array" ref="H2751">IFERROR(IF(INDEX(EmployeeData[Exit Date], ROW() - 37)=0, "",INDEX(EmployeeData[Exit Date], ROW() - 37)),"")</f>
        <v/>
      </c>
      <c r="I2751" s="4" t="str" cm="1">
        <f t="array" ref="I2751">IFERROR(IF(INDEX(EmployeeData[Exit Reason], ROW() - 37)=0, "",INDEX(EmployeeData[Exit Reason], ROW() - 37)),"")</f>
        <v/>
      </c>
      <c r="J2751" s="4" t="str" cm="1">
        <f t="array" ref="J2751">IFERROR(INDEX(EmployeeData[Status], ROW() - 37), "")</f>
        <v/>
      </c>
    </row>
    <row r="2752" spans="2:10" ht="19.95" customHeight="1" x14ac:dyDescent="0.3">
      <c r="B2752" s="4" t="str" cm="1">
        <f t="array" ref="B2752">IFERROR(INDEX(EmployeeData[Employee ID], ROW() - 37), "")</f>
        <v/>
      </c>
      <c r="C2752" s="4" t="str" cm="1">
        <f t="array" ref="C2752">IFERROR(INDEX(EmployeeData[Full Name], ROW() - 37), "")</f>
        <v/>
      </c>
      <c r="D2752" s="4" t="str" cm="1">
        <f t="array" ref="D2752">IFERROR(INDEX(EmployeeData[Department], ROW() - 37), "")</f>
        <v/>
      </c>
      <c r="E2752" s="4" t="str" cm="1">
        <f t="array" ref="E2752">IFERROR(INDEX(EmployeeData[Gender], ROW() - 37), "")</f>
        <v/>
      </c>
      <c r="F2752" s="4" t="str" cm="1">
        <f t="array" ref="F2752">IFERROR(INDEX(EmployeeData[Age], ROW() - 37), "")</f>
        <v/>
      </c>
      <c r="G2752" s="6" t="str" cm="1">
        <f t="array" ref="G2752">IFERROR(INDEX(EmployeeData[Join Date], ROW() - 37), "")</f>
        <v/>
      </c>
      <c r="H2752" s="6" t="str" cm="1">
        <f t="array" ref="H2752">IFERROR(IF(INDEX(EmployeeData[Exit Date], ROW() - 37)=0, "",INDEX(EmployeeData[Exit Date], ROW() - 37)),"")</f>
        <v/>
      </c>
      <c r="I2752" s="4" t="str" cm="1">
        <f t="array" ref="I2752">IFERROR(IF(INDEX(EmployeeData[Exit Reason], ROW() - 37)=0, "",INDEX(EmployeeData[Exit Reason], ROW() - 37)),"")</f>
        <v/>
      </c>
      <c r="J2752" s="4" t="str" cm="1">
        <f t="array" ref="J2752">IFERROR(INDEX(EmployeeData[Status], ROW() - 37), "")</f>
        <v/>
      </c>
    </row>
    <row r="2753" spans="2:10" ht="19.95" customHeight="1" x14ac:dyDescent="0.3">
      <c r="B2753" s="4" t="str" cm="1">
        <f t="array" ref="B2753">IFERROR(INDEX(EmployeeData[Employee ID], ROW() - 37), "")</f>
        <v/>
      </c>
      <c r="C2753" s="4" t="str" cm="1">
        <f t="array" ref="C2753">IFERROR(INDEX(EmployeeData[Full Name], ROW() - 37), "")</f>
        <v/>
      </c>
      <c r="D2753" s="4" t="str" cm="1">
        <f t="array" ref="D2753">IFERROR(INDEX(EmployeeData[Department], ROW() - 37), "")</f>
        <v/>
      </c>
      <c r="E2753" s="4" t="str" cm="1">
        <f t="array" ref="E2753">IFERROR(INDEX(EmployeeData[Gender], ROW() - 37), "")</f>
        <v/>
      </c>
      <c r="F2753" s="4" t="str" cm="1">
        <f t="array" ref="F2753">IFERROR(INDEX(EmployeeData[Age], ROW() - 37), "")</f>
        <v/>
      </c>
      <c r="G2753" s="6" t="str" cm="1">
        <f t="array" ref="G2753">IFERROR(INDEX(EmployeeData[Join Date], ROW() - 37), "")</f>
        <v/>
      </c>
      <c r="H2753" s="6" t="str" cm="1">
        <f t="array" ref="H2753">IFERROR(IF(INDEX(EmployeeData[Exit Date], ROW() - 37)=0, "",INDEX(EmployeeData[Exit Date], ROW() - 37)),"")</f>
        <v/>
      </c>
      <c r="I2753" s="4" t="str" cm="1">
        <f t="array" ref="I2753">IFERROR(IF(INDEX(EmployeeData[Exit Reason], ROW() - 37)=0, "",INDEX(EmployeeData[Exit Reason], ROW() - 37)),"")</f>
        <v/>
      </c>
      <c r="J2753" s="4" t="str" cm="1">
        <f t="array" ref="J2753">IFERROR(INDEX(EmployeeData[Status], ROW() - 37), "")</f>
        <v/>
      </c>
    </row>
    <row r="2754" spans="2:10" ht="19.95" customHeight="1" x14ac:dyDescent="0.3">
      <c r="B2754" s="4" t="str" cm="1">
        <f t="array" ref="B2754">IFERROR(INDEX(EmployeeData[Employee ID], ROW() - 37), "")</f>
        <v/>
      </c>
      <c r="C2754" s="4" t="str" cm="1">
        <f t="array" ref="C2754">IFERROR(INDEX(EmployeeData[Full Name], ROW() - 37), "")</f>
        <v/>
      </c>
      <c r="D2754" s="4" t="str" cm="1">
        <f t="array" ref="D2754">IFERROR(INDEX(EmployeeData[Department], ROW() - 37), "")</f>
        <v/>
      </c>
      <c r="E2754" s="4" t="str" cm="1">
        <f t="array" ref="E2754">IFERROR(INDEX(EmployeeData[Gender], ROW() - 37), "")</f>
        <v/>
      </c>
      <c r="F2754" s="4" t="str" cm="1">
        <f t="array" ref="F2754">IFERROR(INDEX(EmployeeData[Age], ROW() - 37), "")</f>
        <v/>
      </c>
      <c r="G2754" s="6" t="str" cm="1">
        <f t="array" ref="G2754">IFERROR(INDEX(EmployeeData[Join Date], ROW() - 37), "")</f>
        <v/>
      </c>
      <c r="H2754" s="6" t="str" cm="1">
        <f t="array" ref="H2754">IFERROR(IF(INDEX(EmployeeData[Exit Date], ROW() - 37)=0, "",INDEX(EmployeeData[Exit Date], ROW() - 37)),"")</f>
        <v/>
      </c>
      <c r="I2754" s="4" t="str" cm="1">
        <f t="array" ref="I2754">IFERROR(IF(INDEX(EmployeeData[Exit Reason], ROW() - 37)=0, "",INDEX(EmployeeData[Exit Reason], ROW() - 37)),"")</f>
        <v/>
      </c>
      <c r="J2754" s="4" t="str" cm="1">
        <f t="array" ref="J2754">IFERROR(INDEX(EmployeeData[Status], ROW() - 37), "")</f>
        <v/>
      </c>
    </row>
    <row r="2755" spans="2:10" ht="19.95" customHeight="1" x14ac:dyDescent="0.3">
      <c r="B2755" s="4" t="str" cm="1">
        <f t="array" ref="B2755">IFERROR(INDEX(EmployeeData[Employee ID], ROW() - 37), "")</f>
        <v/>
      </c>
      <c r="C2755" s="4" t="str" cm="1">
        <f t="array" ref="C2755">IFERROR(INDEX(EmployeeData[Full Name], ROW() - 37), "")</f>
        <v/>
      </c>
      <c r="D2755" s="4" t="str" cm="1">
        <f t="array" ref="D2755">IFERROR(INDEX(EmployeeData[Department], ROW() - 37), "")</f>
        <v/>
      </c>
      <c r="E2755" s="4" t="str" cm="1">
        <f t="array" ref="E2755">IFERROR(INDEX(EmployeeData[Gender], ROW() - 37), "")</f>
        <v/>
      </c>
      <c r="F2755" s="4" t="str" cm="1">
        <f t="array" ref="F2755">IFERROR(INDEX(EmployeeData[Age], ROW() - 37), "")</f>
        <v/>
      </c>
      <c r="G2755" s="6" t="str" cm="1">
        <f t="array" ref="G2755">IFERROR(INDEX(EmployeeData[Join Date], ROW() - 37), "")</f>
        <v/>
      </c>
      <c r="H2755" s="6" t="str" cm="1">
        <f t="array" ref="H2755">IFERROR(IF(INDEX(EmployeeData[Exit Date], ROW() - 37)=0, "",INDEX(EmployeeData[Exit Date], ROW() - 37)),"")</f>
        <v/>
      </c>
      <c r="I2755" s="4" t="str" cm="1">
        <f t="array" ref="I2755">IFERROR(IF(INDEX(EmployeeData[Exit Reason], ROW() - 37)=0, "",INDEX(EmployeeData[Exit Reason], ROW() - 37)),"")</f>
        <v/>
      </c>
      <c r="J2755" s="4" t="str" cm="1">
        <f t="array" ref="J2755">IFERROR(INDEX(EmployeeData[Status], ROW() - 37), "")</f>
        <v/>
      </c>
    </row>
    <row r="2756" spans="2:10" ht="19.95" customHeight="1" x14ac:dyDescent="0.3">
      <c r="B2756" s="4" t="str" cm="1">
        <f t="array" ref="B2756">IFERROR(INDEX(EmployeeData[Employee ID], ROW() - 37), "")</f>
        <v/>
      </c>
      <c r="C2756" s="4" t="str" cm="1">
        <f t="array" ref="C2756">IFERROR(INDEX(EmployeeData[Full Name], ROW() - 37), "")</f>
        <v/>
      </c>
      <c r="D2756" s="4" t="str" cm="1">
        <f t="array" ref="D2756">IFERROR(INDEX(EmployeeData[Department], ROW() - 37), "")</f>
        <v/>
      </c>
      <c r="E2756" s="4" t="str" cm="1">
        <f t="array" ref="E2756">IFERROR(INDEX(EmployeeData[Gender], ROW() - 37), "")</f>
        <v/>
      </c>
      <c r="F2756" s="4" t="str" cm="1">
        <f t="array" ref="F2756">IFERROR(INDEX(EmployeeData[Age], ROW() - 37), "")</f>
        <v/>
      </c>
      <c r="G2756" s="6" t="str" cm="1">
        <f t="array" ref="G2756">IFERROR(INDEX(EmployeeData[Join Date], ROW() - 37), "")</f>
        <v/>
      </c>
      <c r="H2756" s="6" t="str" cm="1">
        <f t="array" ref="H2756">IFERROR(IF(INDEX(EmployeeData[Exit Date], ROW() - 37)=0, "",INDEX(EmployeeData[Exit Date], ROW() - 37)),"")</f>
        <v/>
      </c>
      <c r="I2756" s="4" t="str" cm="1">
        <f t="array" ref="I2756">IFERROR(IF(INDEX(EmployeeData[Exit Reason], ROW() - 37)=0, "",INDEX(EmployeeData[Exit Reason], ROW() - 37)),"")</f>
        <v/>
      </c>
      <c r="J2756" s="4" t="str" cm="1">
        <f t="array" ref="J2756">IFERROR(INDEX(EmployeeData[Status], ROW() - 37), "")</f>
        <v/>
      </c>
    </row>
    <row r="2757" spans="2:10" ht="19.95" customHeight="1" x14ac:dyDescent="0.3">
      <c r="B2757" s="4" t="str" cm="1">
        <f t="array" ref="B2757">IFERROR(INDEX(EmployeeData[Employee ID], ROW() - 37), "")</f>
        <v/>
      </c>
      <c r="C2757" s="4" t="str" cm="1">
        <f t="array" ref="C2757">IFERROR(INDEX(EmployeeData[Full Name], ROW() - 37), "")</f>
        <v/>
      </c>
      <c r="D2757" s="4" t="str" cm="1">
        <f t="array" ref="D2757">IFERROR(INDEX(EmployeeData[Department], ROW() - 37), "")</f>
        <v/>
      </c>
      <c r="E2757" s="4" t="str" cm="1">
        <f t="array" ref="E2757">IFERROR(INDEX(EmployeeData[Gender], ROW() - 37), "")</f>
        <v/>
      </c>
      <c r="F2757" s="4" t="str" cm="1">
        <f t="array" ref="F2757">IFERROR(INDEX(EmployeeData[Age], ROW() - 37), "")</f>
        <v/>
      </c>
      <c r="G2757" s="6" t="str" cm="1">
        <f t="array" ref="G2757">IFERROR(INDEX(EmployeeData[Join Date], ROW() - 37), "")</f>
        <v/>
      </c>
      <c r="H2757" s="6" t="str" cm="1">
        <f t="array" ref="H2757">IFERROR(IF(INDEX(EmployeeData[Exit Date], ROW() - 37)=0, "",INDEX(EmployeeData[Exit Date], ROW() - 37)),"")</f>
        <v/>
      </c>
      <c r="I2757" s="4" t="str" cm="1">
        <f t="array" ref="I2757">IFERROR(IF(INDEX(EmployeeData[Exit Reason], ROW() - 37)=0, "",INDEX(EmployeeData[Exit Reason], ROW() - 37)),"")</f>
        <v/>
      </c>
      <c r="J2757" s="4" t="str" cm="1">
        <f t="array" ref="J2757">IFERROR(INDEX(EmployeeData[Status], ROW() - 37), "")</f>
        <v/>
      </c>
    </row>
    <row r="2758" spans="2:10" ht="19.95" customHeight="1" x14ac:dyDescent="0.3">
      <c r="B2758" s="4" t="str" cm="1">
        <f t="array" ref="B2758">IFERROR(INDEX(EmployeeData[Employee ID], ROW() - 37), "")</f>
        <v/>
      </c>
      <c r="C2758" s="4" t="str" cm="1">
        <f t="array" ref="C2758">IFERROR(INDEX(EmployeeData[Full Name], ROW() - 37), "")</f>
        <v/>
      </c>
      <c r="D2758" s="4" t="str" cm="1">
        <f t="array" ref="D2758">IFERROR(INDEX(EmployeeData[Department], ROW() - 37), "")</f>
        <v/>
      </c>
      <c r="E2758" s="4" t="str" cm="1">
        <f t="array" ref="E2758">IFERROR(INDEX(EmployeeData[Gender], ROW() - 37), "")</f>
        <v/>
      </c>
      <c r="F2758" s="4" t="str" cm="1">
        <f t="array" ref="F2758">IFERROR(INDEX(EmployeeData[Age], ROW() - 37), "")</f>
        <v/>
      </c>
      <c r="G2758" s="6" t="str" cm="1">
        <f t="array" ref="G2758">IFERROR(INDEX(EmployeeData[Join Date], ROW() - 37), "")</f>
        <v/>
      </c>
      <c r="H2758" s="6" t="str" cm="1">
        <f t="array" ref="H2758">IFERROR(IF(INDEX(EmployeeData[Exit Date], ROW() - 37)=0, "",INDEX(EmployeeData[Exit Date], ROW() - 37)),"")</f>
        <v/>
      </c>
      <c r="I2758" s="4" t="str" cm="1">
        <f t="array" ref="I2758">IFERROR(IF(INDEX(EmployeeData[Exit Reason], ROW() - 37)=0, "",INDEX(EmployeeData[Exit Reason], ROW() - 37)),"")</f>
        <v/>
      </c>
      <c r="J2758" s="4" t="str" cm="1">
        <f t="array" ref="J2758">IFERROR(INDEX(EmployeeData[Status], ROW() - 37), "")</f>
        <v/>
      </c>
    </row>
    <row r="2759" spans="2:10" ht="19.95" customHeight="1" x14ac:dyDescent="0.3">
      <c r="B2759" s="4" t="str" cm="1">
        <f t="array" ref="B2759">IFERROR(INDEX(EmployeeData[Employee ID], ROW() - 37), "")</f>
        <v/>
      </c>
      <c r="C2759" s="4" t="str" cm="1">
        <f t="array" ref="C2759">IFERROR(INDEX(EmployeeData[Full Name], ROW() - 37), "")</f>
        <v/>
      </c>
      <c r="D2759" s="4" t="str" cm="1">
        <f t="array" ref="D2759">IFERROR(INDEX(EmployeeData[Department], ROW() - 37), "")</f>
        <v/>
      </c>
      <c r="E2759" s="4" t="str" cm="1">
        <f t="array" ref="E2759">IFERROR(INDEX(EmployeeData[Gender], ROW() - 37), "")</f>
        <v/>
      </c>
      <c r="F2759" s="4" t="str" cm="1">
        <f t="array" ref="F2759">IFERROR(INDEX(EmployeeData[Age], ROW() - 37), "")</f>
        <v/>
      </c>
      <c r="G2759" s="6" t="str" cm="1">
        <f t="array" ref="G2759">IFERROR(INDEX(EmployeeData[Join Date], ROW() - 37), "")</f>
        <v/>
      </c>
      <c r="H2759" s="6" t="str" cm="1">
        <f t="array" ref="H2759">IFERROR(IF(INDEX(EmployeeData[Exit Date], ROW() - 37)=0, "",INDEX(EmployeeData[Exit Date], ROW() - 37)),"")</f>
        <v/>
      </c>
      <c r="I2759" s="4" t="str" cm="1">
        <f t="array" ref="I2759">IFERROR(IF(INDEX(EmployeeData[Exit Reason], ROW() - 37)=0, "",INDEX(EmployeeData[Exit Reason], ROW() - 37)),"")</f>
        <v/>
      </c>
      <c r="J2759" s="4" t="str" cm="1">
        <f t="array" ref="J2759">IFERROR(INDEX(EmployeeData[Status], ROW() - 37), "")</f>
        <v/>
      </c>
    </row>
    <row r="2760" spans="2:10" ht="19.95" customHeight="1" x14ac:dyDescent="0.3">
      <c r="B2760" s="4" t="str" cm="1">
        <f t="array" ref="B2760">IFERROR(INDEX(EmployeeData[Employee ID], ROW() - 37), "")</f>
        <v/>
      </c>
      <c r="C2760" s="4" t="str" cm="1">
        <f t="array" ref="C2760">IFERROR(INDEX(EmployeeData[Full Name], ROW() - 37), "")</f>
        <v/>
      </c>
      <c r="D2760" s="4" t="str" cm="1">
        <f t="array" ref="D2760">IFERROR(INDEX(EmployeeData[Department], ROW() - 37), "")</f>
        <v/>
      </c>
      <c r="E2760" s="4" t="str" cm="1">
        <f t="array" ref="E2760">IFERROR(INDEX(EmployeeData[Gender], ROW() - 37), "")</f>
        <v/>
      </c>
      <c r="F2760" s="4" t="str" cm="1">
        <f t="array" ref="F2760">IFERROR(INDEX(EmployeeData[Age], ROW() - 37), "")</f>
        <v/>
      </c>
      <c r="G2760" s="6" t="str" cm="1">
        <f t="array" ref="G2760">IFERROR(INDEX(EmployeeData[Join Date], ROW() - 37), "")</f>
        <v/>
      </c>
      <c r="H2760" s="6" t="str" cm="1">
        <f t="array" ref="H2760">IFERROR(IF(INDEX(EmployeeData[Exit Date], ROW() - 37)=0, "",INDEX(EmployeeData[Exit Date], ROW() - 37)),"")</f>
        <v/>
      </c>
      <c r="I2760" s="4" t="str" cm="1">
        <f t="array" ref="I2760">IFERROR(IF(INDEX(EmployeeData[Exit Reason], ROW() - 37)=0, "",INDEX(EmployeeData[Exit Reason], ROW() - 37)),"")</f>
        <v/>
      </c>
      <c r="J2760" s="4" t="str" cm="1">
        <f t="array" ref="J2760">IFERROR(INDEX(EmployeeData[Status], ROW() - 37), "")</f>
        <v/>
      </c>
    </row>
    <row r="2761" spans="2:10" ht="19.95" customHeight="1" x14ac:dyDescent="0.3">
      <c r="B2761" s="4" t="str" cm="1">
        <f t="array" ref="B2761">IFERROR(INDEX(EmployeeData[Employee ID], ROW() - 37), "")</f>
        <v/>
      </c>
      <c r="C2761" s="4" t="str" cm="1">
        <f t="array" ref="C2761">IFERROR(INDEX(EmployeeData[Full Name], ROW() - 37), "")</f>
        <v/>
      </c>
      <c r="D2761" s="4" t="str" cm="1">
        <f t="array" ref="D2761">IFERROR(INDEX(EmployeeData[Department], ROW() - 37), "")</f>
        <v/>
      </c>
      <c r="E2761" s="4" t="str" cm="1">
        <f t="array" ref="E2761">IFERROR(INDEX(EmployeeData[Gender], ROW() - 37), "")</f>
        <v/>
      </c>
      <c r="F2761" s="4" t="str" cm="1">
        <f t="array" ref="F2761">IFERROR(INDEX(EmployeeData[Age], ROW() - 37), "")</f>
        <v/>
      </c>
      <c r="G2761" s="6" t="str" cm="1">
        <f t="array" ref="G2761">IFERROR(INDEX(EmployeeData[Join Date], ROW() - 37), "")</f>
        <v/>
      </c>
      <c r="H2761" s="6" t="str" cm="1">
        <f t="array" ref="H2761">IFERROR(IF(INDEX(EmployeeData[Exit Date], ROW() - 37)=0, "",INDEX(EmployeeData[Exit Date], ROW() - 37)),"")</f>
        <v/>
      </c>
      <c r="I2761" s="4" t="str" cm="1">
        <f t="array" ref="I2761">IFERROR(IF(INDEX(EmployeeData[Exit Reason], ROW() - 37)=0, "",INDEX(EmployeeData[Exit Reason], ROW() - 37)),"")</f>
        <v/>
      </c>
      <c r="J2761" s="4" t="str" cm="1">
        <f t="array" ref="J2761">IFERROR(INDEX(EmployeeData[Status], ROW() - 37), "")</f>
        <v/>
      </c>
    </row>
    <row r="2762" spans="2:10" ht="19.95" customHeight="1" x14ac:dyDescent="0.3">
      <c r="B2762" s="4" t="str" cm="1">
        <f t="array" ref="B2762">IFERROR(INDEX(EmployeeData[Employee ID], ROW() - 37), "")</f>
        <v/>
      </c>
      <c r="C2762" s="4" t="str" cm="1">
        <f t="array" ref="C2762">IFERROR(INDEX(EmployeeData[Full Name], ROW() - 37), "")</f>
        <v/>
      </c>
      <c r="D2762" s="4" t="str" cm="1">
        <f t="array" ref="D2762">IFERROR(INDEX(EmployeeData[Department], ROW() - 37), "")</f>
        <v/>
      </c>
      <c r="E2762" s="4" t="str" cm="1">
        <f t="array" ref="E2762">IFERROR(INDEX(EmployeeData[Gender], ROW() - 37), "")</f>
        <v/>
      </c>
      <c r="F2762" s="4" t="str" cm="1">
        <f t="array" ref="F2762">IFERROR(INDEX(EmployeeData[Age], ROW() - 37), "")</f>
        <v/>
      </c>
      <c r="G2762" s="6" t="str" cm="1">
        <f t="array" ref="G2762">IFERROR(INDEX(EmployeeData[Join Date], ROW() - 37), "")</f>
        <v/>
      </c>
      <c r="H2762" s="6" t="str" cm="1">
        <f t="array" ref="H2762">IFERROR(IF(INDEX(EmployeeData[Exit Date], ROW() - 37)=0, "",INDEX(EmployeeData[Exit Date], ROW() - 37)),"")</f>
        <v/>
      </c>
      <c r="I2762" s="4" t="str" cm="1">
        <f t="array" ref="I2762">IFERROR(IF(INDEX(EmployeeData[Exit Reason], ROW() - 37)=0, "",INDEX(EmployeeData[Exit Reason], ROW() - 37)),"")</f>
        <v/>
      </c>
      <c r="J2762" s="4" t="str" cm="1">
        <f t="array" ref="J2762">IFERROR(INDEX(EmployeeData[Status], ROW() - 37), "")</f>
        <v/>
      </c>
    </row>
    <row r="2763" spans="2:10" ht="19.95" customHeight="1" x14ac:dyDescent="0.3">
      <c r="B2763" s="4" t="str" cm="1">
        <f t="array" ref="B2763">IFERROR(INDEX(EmployeeData[Employee ID], ROW() - 37), "")</f>
        <v/>
      </c>
      <c r="C2763" s="4" t="str" cm="1">
        <f t="array" ref="C2763">IFERROR(INDEX(EmployeeData[Full Name], ROW() - 37), "")</f>
        <v/>
      </c>
      <c r="D2763" s="4" t="str" cm="1">
        <f t="array" ref="D2763">IFERROR(INDEX(EmployeeData[Department], ROW() - 37), "")</f>
        <v/>
      </c>
      <c r="E2763" s="4" t="str" cm="1">
        <f t="array" ref="E2763">IFERROR(INDEX(EmployeeData[Gender], ROW() - 37), "")</f>
        <v/>
      </c>
      <c r="F2763" s="4" t="str" cm="1">
        <f t="array" ref="F2763">IFERROR(INDEX(EmployeeData[Age], ROW() - 37), "")</f>
        <v/>
      </c>
      <c r="G2763" s="6" t="str" cm="1">
        <f t="array" ref="G2763">IFERROR(INDEX(EmployeeData[Join Date], ROW() - 37), "")</f>
        <v/>
      </c>
      <c r="H2763" s="6" t="str" cm="1">
        <f t="array" ref="H2763">IFERROR(IF(INDEX(EmployeeData[Exit Date], ROW() - 37)=0, "",INDEX(EmployeeData[Exit Date], ROW() - 37)),"")</f>
        <v/>
      </c>
      <c r="I2763" s="4" t="str" cm="1">
        <f t="array" ref="I2763">IFERROR(IF(INDEX(EmployeeData[Exit Reason], ROW() - 37)=0, "",INDEX(EmployeeData[Exit Reason], ROW() - 37)),"")</f>
        <v/>
      </c>
      <c r="J2763" s="4" t="str" cm="1">
        <f t="array" ref="J2763">IFERROR(INDEX(EmployeeData[Status], ROW() - 37), "")</f>
        <v/>
      </c>
    </row>
    <row r="2764" spans="2:10" ht="19.95" customHeight="1" x14ac:dyDescent="0.3">
      <c r="B2764" s="4" t="str" cm="1">
        <f t="array" ref="B2764">IFERROR(INDEX(EmployeeData[Employee ID], ROW() - 37), "")</f>
        <v/>
      </c>
      <c r="C2764" s="4" t="str" cm="1">
        <f t="array" ref="C2764">IFERROR(INDEX(EmployeeData[Full Name], ROW() - 37), "")</f>
        <v/>
      </c>
      <c r="D2764" s="4" t="str" cm="1">
        <f t="array" ref="D2764">IFERROR(INDEX(EmployeeData[Department], ROW() - 37), "")</f>
        <v/>
      </c>
      <c r="E2764" s="4" t="str" cm="1">
        <f t="array" ref="E2764">IFERROR(INDEX(EmployeeData[Gender], ROW() - 37), "")</f>
        <v/>
      </c>
      <c r="F2764" s="4" t="str" cm="1">
        <f t="array" ref="F2764">IFERROR(INDEX(EmployeeData[Age], ROW() - 37), "")</f>
        <v/>
      </c>
      <c r="G2764" s="6" t="str" cm="1">
        <f t="array" ref="G2764">IFERROR(INDEX(EmployeeData[Join Date], ROW() - 37), "")</f>
        <v/>
      </c>
      <c r="H2764" s="6" t="str" cm="1">
        <f t="array" ref="H2764">IFERROR(IF(INDEX(EmployeeData[Exit Date], ROW() - 37)=0, "",INDEX(EmployeeData[Exit Date], ROW() - 37)),"")</f>
        <v/>
      </c>
      <c r="I2764" s="4" t="str" cm="1">
        <f t="array" ref="I2764">IFERROR(IF(INDEX(EmployeeData[Exit Reason], ROW() - 37)=0, "",INDEX(EmployeeData[Exit Reason], ROW() - 37)),"")</f>
        <v/>
      </c>
      <c r="J2764" s="4" t="str" cm="1">
        <f t="array" ref="J2764">IFERROR(INDEX(EmployeeData[Status], ROW() - 37), "")</f>
        <v/>
      </c>
    </row>
    <row r="2765" spans="2:10" ht="19.95" customHeight="1" x14ac:dyDescent="0.3">
      <c r="B2765" s="4" t="str" cm="1">
        <f t="array" ref="B2765">IFERROR(INDEX(EmployeeData[Employee ID], ROW() - 37), "")</f>
        <v/>
      </c>
      <c r="C2765" s="4" t="str" cm="1">
        <f t="array" ref="C2765">IFERROR(INDEX(EmployeeData[Full Name], ROW() - 37), "")</f>
        <v/>
      </c>
      <c r="D2765" s="4" t="str" cm="1">
        <f t="array" ref="D2765">IFERROR(INDEX(EmployeeData[Department], ROW() - 37), "")</f>
        <v/>
      </c>
      <c r="E2765" s="4" t="str" cm="1">
        <f t="array" ref="E2765">IFERROR(INDEX(EmployeeData[Gender], ROW() - 37), "")</f>
        <v/>
      </c>
      <c r="F2765" s="4" t="str" cm="1">
        <f t="array" ref="F2765">IFERROR(INDEX(EmployeeData[Age], ROW() - 37), "")</f>
        <v/>
      </c>
      <c r="G2765" s="6" t="str" cm="1">
        <f t="array" ref="G2765">IFERROR(INDEX(EmployeeData[Join Date], ROW() - 37), "")</f>
        <v/>
      </c>
      <c r="H2765" s="6" t="str" cm="1">
        <f t="array" ref="H2765">IFERROR(IF(INDEX(EmployeeData[Exit Date], ROW() - 37)=0, "",INDEX(EmployeeData[Exit Date], ROW() - 37)),"")</f>
        <v/>
      </c>
      <c r="I2765" s="4" t="str" cm="1">
        <f t="array" ref="I2765">IFERROR(IF(INDEX(EmployeeData[Exit Reason], ROW() - 37)=0, "",INDEX(EmployeeData[Exit Reason], ROW() - 37)),"")</f>
        <v/>
      </c>
      <c r="J2765" s="4" t="str" cm="1">
        <f t="array" ref="J2765">IFERROR(INDEX(EmployeeData[Status], ROW() - 37), "")</f>
        <v/>
      </c>
    </row>
    <row r="2766" spans="2:10" ht="19.95" customHeight="1" x14ac:dyDescent="0.3">
      <c r="B2766" s="4" t="str" cm="1">
        <f t="array" ref="B2766">IFERROR(INDEX(EmployeeData[Employee ID], ROW() - 37), "")</f>
        <v/>
      </c>
      <c r="C2766" s="4" t="str" cm="1">
        <f t="array" ref="C2766">IFERROR(INDEX(EmployeeData[Full Name], ROW() - 37), "")</f>
        <v/>
      </c>
      <c r="D2766" s="4" t="str" cm="1">
        <f t="array" ref="D2766">IFERROR(INDEX(EmployeeData[Department], ROW() - 37), "")</f>
        <v/>
      </c>
      <c r="E2766" s="4" t="str" cm="1">
        <f t="array" ref="E2766">IFERROR(INDEX(EmployeeData[Gender], ROW() - 37), "")</f>
        <v/>
      </c>
      <c r="F2766" s="4" t="str" cm="1">
        <f t="array" ref="F2766">IFERROR(INDEX(EmployeeData[Age], ROW() - 37), "")</f>
        <v/>
      </c>
      <c r="G2766" s="6" t="str" cm="1">
        <f t="array" ref="G2766">IFERROR(INDEX(EmployeeData[Join Date], ROW() - 37), "")</f>
        <v/>
      </c>
      <c r="H2766" s="6" t="str" cm="1">
        <f t="array" ref="H2766">IFERROR(IF(INDEX(EmployeeData[Exit Date], ROW() - 37)=0, "",INDEX(EmployeeData[Exit Date], ROW() - 37)),"")</f>
        <v/>
      </c>
      <c r="I2766" s="4" t="str" cm="1">
        <f t="array" ref="I2766">IFERROR(IF(INDEX(EmployeeData[Exit Reason], ROW() - 37)=0, "",INDEX(EmployeeData[Exit Reason], ROW() - 37)),"")</f>
        <v/>
      </c>
      <c r="J2766" s="4" t="str" cm="1">
        <f t="array" ref="J2766">IFERROR(INDEX(EmployeeData[Status], ROW() - 37), "")</f>
        <v/>
      </c>
    </row>
    <row r="2767" spans="2:10" ht="19.95" customHeight="1" x14ac:dyDescent="0.3">
      <c r="B2767" s="4" t="str" cm="1">
        <f t="array" ref="B2767">IFERROR(INDEX(EmployeeData[Employee ID], ROW() - 37), "")</f>
        <v/>
      </c>
      <c r="C2767" s="4" t="str" cm="1">
        <f t="array" ref="C2767">IFERROR(INDEX(EmployeeData[Full Name], ROW() - 37), "")</f>
        <v/>
      </c>
      <c r="D2767" s="4" t="str" cm="1">
        <f t="array" ref="D2767">IFERROR(INDEX(EmployeeData[Department], ROW() - 37), "")</f>
        <v/>
      </c>
      <c r="E2767" s="4" t="str" cm="1">
        <f t="array" ref="E2767">IFERROR(INDEX(EmployeeData[Gender], ROW() - 37), "")</f>
        <v/>
      </c>
      <c r="F2767" s="4" t="str" cm="1">
        <f t="array" ref="F2767">IFERROR(INDEX(EmployeeData[Age], ROW() - 37), "")</f>
        <v/>
      </c>
      <c r="G2767" s="6" t="str" cm="1">
        <f t="array" ref="G2767">IFERROR(INDEX(EmployeeData[Join Date], ROW() - 37), "")</f>
        <v/>
      </c>
      <c r="H2767" s="6" t="str" cm="1">
        <f t="array" ref="H2767">IFERROR(IF(INDEX(EmployeeData[Exit Date], ROW() - 37)=0, "",INDEX(EmployeeData[Exit Date], ROW() - 37)),"")</f>
        <v/>
      </c>
      <c r="I2767" s="4" t="str" cm="1">
        <f t="array" ref="I2767">IFERROR(IF(INDEX(EmployeeData[Exit Reason], ROW() - 37)=0, "",INDEX(EmployeeData[Exit Reason], ROW() - 37)),"")</f>
        <v/>
      </c>
      <c r="J2767" s="4" t="str" cm="1">
        <f t="array" ref="J2767">IFERROR(INDEX(EmployeeData[Status], ROW() - 37), "")</f>
        <v/>
      </c>
    </row>
    <row r="2768" spans="2:10" ht="19.95" customHeight="1" x14ac:dyDescent="0.3">
      <c r="B2768" s="4" t="str" cm="1">
        <f t="array" ref="B2768">IFERROR(INDEX(EmployeeData[Employee ID], ROW() - 37), "")</f>
        <v/>
      </c>
      <c r="C2768" s="4" t="str" cm="1">
        <f t="array" ref="C2768">IFERROR(INDEX(EmployeeData[Full Name], ROW() - 37), "")</f>
        <v/>
      </c>
      <c r="D2768" s="4" t="str" cm="1">
        <f t="array" ref="D2768">IFERROR(INDEX(EmployeeData[Department], ROW() - 37), "")</f>
        <v/>
      </c>
      <c r="E2768" s="4" t="str" cm="1">
        <f t="array" ref="E2768">IFERROR(INDEX(EmployeeData[Gender], ROW() - 37), "")</f>
        <v/>
      </c>
      <c r="F2768" s="4" t="str" cm="1">
        <f t="array" ref="F2768">IFERROR(INDEX(EmployeeData[Age], ROW() - 37), "")</f>
        <v/>
      </c>
      <c r="G2768" s="6" t="str" cm="1">
        <f t="array" ref="G2768">IFERROR(INDEX(EmployeeData[Join Date], ROW() - 37), "")</f>
        <v/>
      </c>
      <c r="H2768" s="6" t="str" cm="1">
        <f t="array" ref="H2768">IFERROR(IF(INDEX(EmployeeData[Exit Date], ROW() - 37)=0, "",INDEX(EmployeeData[Exit Date], ROW() - 37)),"")</f>
        <v/>
      </c>
      <c r="I2768" s="4" t="str" cm="1">
        <f t="array" ref="I2768">IFERROR(IF(INDEX(EmployeeData[Exit Reason], ROW() - 37)=0, "",INDEX(EmployeeData[Exit Reason], ROW() - 37)),"")</f>
        <v/>
      </c>
      <c r="J2768" s="4" t="str" cm="1">
        <f t="array" ref="J2768">IFERROR(INDEX(EmployeeData[Status], ROW() - 37), "")</f>
        <v/>
      </c>
    </row>
    <row r="2769" spans="2:10" ht="19.95" customHeight="1" x14ac:dyDescent="0.3">
      <c r="B2769" s="4" t="str" cm="1">
        <f t="array" ref="B2769">IFERROR(INDEX(EmployeeData[Employee ID], ROW() - 37), "")</f>
        <v/>
      </c>
      <c r="C2769" s="4" t="str" cm="1">
        <f t="array" ref="C2769">IFERROR(INDEX(EmployeeData[Full Name], ROW() - 37), "")</f>
        <v/>
      </c>
      <c r="D2769" s="4" t="str" cm="1">
        <f t="array" ref="D2769">IFERROR(INDEX(EmployeeData[Department], ROW() - 37), "")</f>
        <v/>
      </c>
      <c r="E2769" s="4" t="str" cm="1">
        <f t="array" ref="E2769">IFERROR(INDEX(EmployeeData[Gender], ROW() - 37), "")</f>
        <v/>
      </c>
      <c r="F2769" s="4" t="str" cm="1">
        <f t="array" ref="F2769">IFERROR(INDEX(EmployeeData[Age], ROW() - 37), "")</f>
        <v/>
      </c>
      <c r="G2769" s="6" t="str" cm="1">
        <f t="array" ref="G2769">IFERROR(INDEX(EmployeeData[Join Date], ROW() - 37), "")</f>
        <v/>
      </c>
      <c r="H2769" s="6" t="str" cm="1">
        <f t="array" ref="H2769">IFERROR(IF(INDEX(EmployeeData[Exit Date], ROW() - 37)=0, "",INDEX(EmployeeData[Exit Date], ROW() - 37)),"")</f>
        <v/>
      </c>
      <c r="I2769" s="4" t="str" cm="1">
        <f t="array" ref="I2769">IFERROR(IF(INDEX(EmployeeData[Exit Reason], ROW() - 37)=0, "",INDEX(EmployeeData[Exit Reason], ROW() - 37)),"")</f>
        <v/>
      </c>
      <c r="J2769" s="4" t="str" cm="1">
        <f t="array" ref="J2769">IFERROR(INDEX(EmployeeData[Status], ROW() - 37), "")</f>
        <v/>
      </c>
    </row>
    <row r="2770" spans="2:10" ht="19.95" customHeight="1" x14ac:dyDescent="0.3">
      <c r="B2770" s="4" t="str" cm="1">
        <f t="array" ref="B2770">IFERROR(INDEX(EmployeeData[Employee ID], ROW() - 37), "")</f>
        <v/>
      </c>
      <c r="C2770" s="4" t="str" cm="1">
        <f t="array" ref="C2770">IFERROR(INDEX(EmployeeData[Full Name], ROW() - 37), "")</f>
        <v/>
      </c>
      <c r="D2770" s="4" t="str" cm="1">
        <f t="array" ref="D2770">IFERROR(INDEX(EmployeeData[Department], ROW() - 37), "")</f>
        <v/>
      </c>
      <c r="E2770" s="4" t="str" cm="1">
        <f t="array" ref="E2770">IFERROR(INDEX(EmployeeData[Gender], ROW() - 37), "")</f>
        <v/>
      </c>
      <c r="F2770" s="4" t="str" cm="1">
        <f t="array" ref="F2770">IFERROR(INDEX(EmployeeData[Age], ROW() - 37), "")</f>
        <v/>
      </c>
      <c r="G2770" s="6" t="str" cm="1">
        <f t="array" ref="G2770">IFERROR(INDEX(EmployeeData[Join Date], ROW() - 37), "")</f>
        <v/>
      </c>
      <c r="H2770" s="6" t="str" cm="1">
        <f t="array" ref="H2770">IFERROR(IF(INDEX(EmployeeData[Exit Date], ROW() - 37)=0, "",INDEX(EmployeeData[Exit Date], ROW() - 37)),"")</f>
        <v/>
      </c>
      <c r="I2770" s="4" t="str" cm="1">
        <f t="array" ref="I2770">IFERROR(IF(INDEX(EmployeeData[Exit Reason], ROW() - 37)=0, "",INDEX(EmployeeData[Exit Reason], ROW() - 37)),"")</f>
        <v/>
      </c>
      <c r="J2770" s="4" t="str" cm="1">
        <f t="array" ref="J2770">IFERROR(INDEX(EmployeeData[Status], ROW() - 37), "")</f>
        <v/>
      </c>
    </row>
    <row r="2771" spans="2:10" ht="19.95" customHeight="1" x14ac:dyDescent="0.3">
      <c r="B2771" s="4" t="str" cm="1">
        <f t="array" ref="B2771">IFERROR(INDEX(EmployeeData[Employee ID], ROW() - 37), "")</f>
        <v/>
      </c>
      <c r="C2771" s="4" t="str" cm="1">
        <f t="array" ref="C2771">IFERROR(INDEX(EmployeeData[Full Name], ROW() - 37), "")</f>
        <v/>
      </c>
      <c r="D2771" s="4" t="str" cm="1">
        <f t="array" ref="D2771">IFERROR(INDEX(EmployeeData[Department], ROW() - 37), "")</f>
        <v/>
      </c>
      <c r="E2771" s="4" t="str" cm="1">
        <f t="array" ref="E2771">IFERROR(INDEX(EmployeeData[Gender], ROW() - 37), "")</f>
        <v/>
      </c>
      <c r="F2771" s="4" t="str" cm="1">
        <f t="array" ref="F2771">IFERROR(INDEX(EmployeeData[Age], ROW() - 37), "")</f>
        <v/>
      </c>
      <c r="G2771" s="6" t="str" cm="1">
        <f t="array" ref="G2771">IFERROR(INDEX(EmployeeData[Join Date], ROW() - 37), "")</f>
        <v/>
      </c>
      <c r="H2771" s="6" t="str" cm="1">
        <f t="array" ref="H2771">IFERROR(IF(INDEX(EmployeeData[Exit Date], ROW() - 37)=0, "",INDEX(EmployeeData[Exit Date], ROW() - 37)),"")</f>
        <v/>
      </c>
      <c r="I2771" s="4" t="str" cm="1">
        <f t="array" ref="I2771">IFERROR(IF(INDEX(EmployeeData[Exit Reason], ROW() - 37)=0, "",INDEX(EmployeeData[Exit Reason], ROW() - 37)),"")</f>
        <v/>
      </c>
      <c r="J2771" s="4" t="str" cm="1">
        <f t="array" ref="J2771">IFERROR(INDEX(EmployeeData[Status], ROW() - 37), "")</f>
        <v/>
      </c>
    </row>
    <row r="2772" spans="2:10" ht="19.95" customHeight="1" x14ac:dyDescent="0.3">
      <c r="B2772" s="4" t="str" cm="1">
        <f t="array" ref="B2772">IFERROR(INDEX(EmployeeData[Employee ID], ROW() - 37), "")</f>
        <v/>
      </c>
      <c r="C2772" s="4" t="str" cm="1">
        <f t="array" ref="C2772">IFERROR(INDEX(EmployeeData[Full Name], ROW() - 37), "")</f>
        <v/>
      </c>
      <c r="D2772" s="4" t="str" cm="1">
        <f t="array" ref="D2772">IFERROR(INDEX(EmployeeData[Department], ROW() - 37), "")</f>
        <v/>
      </c>
      <c r="E2772" s="4" t="str" cm="1">
        <f t="array" ref="E2772">IFERROR(INDEX(EmployeeData[Gender], ROW() - 37), "")</f>
        <v/>
      </c>
      <c r="F2772" s="4" t="str" cm="1">
        <f t="array" ref="F2772">IFERROR(INDEX(EmployeeData[Age], ROW() - 37), "")</f>
        <v/>
      </c>
      <c r="G2772" s="6" t="str" cm="1">
        <f t="array" ref="G2772">IFERROR(INDEX(EmployeeData[Join Date], ROW() - 37), "")</f>
        <v/>
      </c>
      <c r="H2772" s="6" t="str" cm="1">
        <f t="array" ref="H2772">IFERROR(IF(INDEX(EmployeeData[Exit Date], ROW() - 37)=0, "",INDEX(EmployeeData[Exit Date], ROW() - 37)),"")</f>
        <v/>
      </c>
      <c r="I2772" s="4" t="str" cm="1">
        <f t="array" ref="I2772">IFERROR(IF(INDEX(EmployeeData[Exit Reason], ROW() - 37)=0, "",INDEX(EmployeeData[Exit Reason], ROW() - 37)),"")</f>
        <v/>
      </c>
      <c r="J2772" s="4" t="str" cm="1">
        <f t="array" ref="J2772">IFERROR(INDEX(EmployeeData[Status], ROW() - 37), "")</f>
        <v/>
      </c>
    </row>
    <row r="2773" spans="2:10" ht="19.95" customHeight="1" x14ac:dyDescent="0.3">
      <c r="B2773" s="4" t="str" cm="1">
        <f t="array" ref="B2773">IFERROR(INDEX(EmployeeData[Employee ID], ROW() - 37), "")</f>
        <v/>
      </c>
      <c r="C2773" s="4" t="str" cm="1">
        <f t="array" ref="C2773">IFERROR(INDEX(EmployeeData[Full Name], ROW() - 37), "")</f>
        <v/>
      </c>
      <c r="D2773" s="4" t="str" cm="1">
        <f t="array" ref="D2773">IFERROR(INDEX(EmployeeData[Department], ROW() - 37), "")</f>
        <v/>
      </c>
      <c r="E2773" s="4" t="str" cm="1">
        <f t="array" ref="E2773">IFERROR(INDEX(EmployeeData[Gender], ROW() - 37), "")</f>
        <v/>
      </c>
      <c r="F2773" s="4" t="str" cm="1">
        <f t="array" ref="F2773">IFERROR(INDEX(EmployeeData[Age], ROW() - 37), "")</f>
        <v/>
      </c>
      <c r="G2773" s="6" t="str" cm="1">
        <f t="array" ref="G2773">IFERROR(INDEX(EmployeeData[Join Date], ROW() - 37), "")</f>
        <v/>
      </c>
      <c r="H2773" s="6" t="str" cm="1">
        <f t="array" ref="H2773">IFERROR(IF(INDEX(EmployeeData[Exit Date], ROW() - 37)=0, "",INDEX(EmployeeData[Exit Date], ROW() - 37)),"")</f>
        <v/>
      </c>
      <c r="I2773" s="4" t="str" cm="1">
        <f t="array" ref="I2773">IFERROR(IF(INDEX(EmployeeData[Exit Reason], ROW() - 37)=0, "",INDEX(EmployeeData[Exit Reason], ROW() - 37)),"")</f>
        <v/>
      </c>
      <c r="J2773" s="4" t="str" cm="1">
        <f t="array" ref="J2773">IFERROR(INDEX(EmployeeData[Status], ROW() - 37), "")</f>
        <v/>
      </c>
    </row>
    <row r="2774" spans="2:10" ht="19.95" customHeight="1" x14ac:dyDescent="0.3">
      <c r="B2774" s="4" t="str" cm="1">
        <f t="array" ref="B2774">IFERROR(INDEX(EmployeeData[Employee ID], ROW() - 37), "")</f>
        <v/>
      </c>
      <c r="C2774" s="4" t="str" cm="1">
        <f t="array" ref="C2774">IFERROR(INDEX(EmployeeData[Full Name], ROW() - 37), "")</f>
        <v/>
      </c>
      <c r="D2774" s="4" t="str" cm="1">
        <f t="array" ref="D2774">IFERROR(INDEX(EmployeeData[Department], ROW() - 37), "")</f>
        <v/>
      </c>
      <c r="E2774" s="4" t="str" cm="1">
        <f t="array" ref="E2774">IFERROR(INDEX(EmployeeData[Gender], ROW() - 37), "")</f>
        <v/>
      </c>
      <c r="F2774" s="4" t="str" cm="1">
        <f t="array" ref="F2774">IFERROR(INDEX(EmployeeData[Age], ROW() - 37), "")</f>
        <v/>
      </c>
      <c r="G2774" s="6" t="str" cm="1">
        <f t="array" ref="G2774">IFERROR(INDEX(EmployeeData[Join Date], ROW() - 37), "")</f>
        <v/>
      </c>
      <c r="H2774" s="6" t="str" cm="1">
        <f t="array" ref="H2774">IFERROR(IF(INDEX(EmployeeData[Exit Date], ROW() - 37)=0, "",INDEX(EmployeeData[Exit Date], ROW() - 37)),"")</f>
        <v/>
      </c>
      <c r="I2774" s="4" t="str" cm="1">
        <f t="array" ref="I2774">IFERROR(IF(INDEX(EmployeeData[Exit Reason], ROW() - 37)=0, "",INDEX(EmployeeData[Exit Reason], ROW() - 37)),"")</f>
        <v/>
      </c>
      <c r="J2774" s="4" t="str" cm="1">
        <f t="array" ref="J2774">IFERROR(INDEX(EmployeeData[Status], ROW() - 37), "")</f>
        <v/>
      </c>
    </row>
    <row r="2775" spans="2:10" ht="19.95" customHeight="1" x14ac:dyDescent="0.3">
      <c r="B2775" s="4" t="str" cm="1">
        <f t="array" ref="B2775">IFERROR(INDEX(EmployeeData[Employee ID], ROW() - 37), "")</f>
        <v/>
      </c>
      <c r="C2775" s="4" t="str" cm="1">
        <f t="array" ref="C2775">IFERROR(INDEX(EmployeeData[Full Name], ROW() - 37), "")</f>
        <v/>
      </c>
      <c r="D2775" s="4" t="str" cm="1">
        <f t="array" ref="D2775">IFERROR(INDEX(EmployeeData[Department], ROW() - 37), "")</f>
        <v/>
      </c>
      <c r="E2775" s="4" t="str" cm="1">
        <f t="array" ref="E2775">IFERROR(INDEX(EmployeeData[Gender], ROW() - 37), "")</f>
        <v/>
      </c>
      <c r="F2775" s="4" t="str" cm="1">
        <f t="array" ref="F2775">IFERROR(INDEX(EmployeeData[Age], ROW() - 37), "")</f>
        <v/>
      </c>
      <c r="G2775" s="6" t="str" cm="1">
        <f t="array" ref="G2775">IFERROR(INDEX(EmployeeData[Join Date], ROW() - 37), "")</f>
        <v/>
      </c>
      <c r="H2775" s="6" t="str" cm="1">
        <f t="array" ref="H2775">IFERROR(IF(INDEX(EmployeeData[Exit Date], ROW() - 37)=0, "",INDEX(EmployeeData[Exit Date], ROW() - 37)),"")</f>
        <v/>
      </c>
      <c r="I2775" s="4" t="str" cm="1">
        <f t="array" ref="I2775">IFERROR(IF(INDEX(EmployeeData[Exit Reason], ROW() - 37)=0, "",INDEX(EmployeeData[Exit Reason], ROW() - 37)),"")</f>
        <v/>
      </c>
      <c r="J2775" s="4" t="str" cm="1">
        <f t="array" ref="J2775">IFERROR(INDEX(EmployeeData[Status], ROW() - 37), "")</f>
        <v/>
      </c>
    </row>
    <row r="2776" spans="2:10" ht="19.95" customHeight="1" x14ac:dyDescent="0.3">
      <c r="B2776" s="4" t="str" cm="1">
        <f t="array" ref="B2776">IFERROR(INDEX(EmployeeData[Employee ID], ROW() - 37), "")</f>
        <v/>
      </c>
      <c r="C2776" s="4" t="str" cm="1">
        <f t="array" ref="C2776">IFERROR(INDEX(EmployeeData[Full Name], ROW() - 37), "")</f>
        <v/>
      </c>
      <c r="D2776" s="4" t="str" cm="1">
        <f t="array" ref="D2776">IFERROR(INDEX(EmployeeData[Department], ROW() - 37), "")</f>
        <v/>
      </c>
      <c r="E2776" s="4" t="str" cm="1">
        <f t="array" ref="E2776">IFERROR(INDEX(EmployeeData[Gender], ROW() - 37), "")</f>
        <v/>
      </c>
      <c r="F2776" s="4" t="str" cm="1">
        <f t="array" ref="F2776">IFERROR(INDEX(EmployeeData[Age], ROW() - 37), "")</f>
        <v/>
      </c>
      <c r="G2776" s="6" t="str" cm="1">
        <f t="array" ref="G2776">IFERROR(INDEX(EmployeeData[Join Date], ROW() - 37), "")</f>
        <v/>
      </c>
      <c r="H2776" s="6" t="str" cm="1">
        <f t="array" ref="H2776">IFERROR(IF(INDEX(EmployeeData[Exit Date], ROW() - 37)=0, "",INDEX(EmployeeData[Exit Date], ROW() - 37)),"")</f>
        <v/>
      </c>
      <c r="I2776" s="4" t="str" cm="1">
        <f t="array" ref="I2776">IFERROR(IF(INDEX(EmployeeData[Exit Reason], ROW() - 37)=0, "",INDEX(EmployeeData[Exit Reason], ROW() - 37)),"")</f>
        <v/>
      </c>
      <c r="J2776" s="4" t="str" cm="1">
        <f t="array" ref="J2776">IFERROR(INDEX(EmployeeData[Status], ROW() - 37), "")</f>
        <v/>
      </c>
    </row>
    <row r="2777" spans="2:10" ht="19.95" customHeight="1" x14ac:dyDescent="0.3">
      <c r="B2777" s="4" t="str" cm="1">
        <f t="array" ref="B2777">IFERROR(INDEX(EmployeeData[Employee ID], ROW() - 37), "")</f>
        <v/>
      </c>
      <c r="C2777" s="4" t="str" cm="1">
        <f t="array" ref="C2777">IFERROR(INDEX(EmployeeData[Full Name], ROW() - 37), "")</f>
        <v/>
      </c>
      <c r="D2777" s="4" t="str" cm="1">
        <f t="array" ref="D2777">IFERROR(INDEX(EmployeeData[Department], ROW() - 37), "")</f>
        <v/>
      </c>
      <c r="E2777" s="4" t="str" cm="1">
        <f t="array" ref="E2777">IFERROR(INDEX(EmployeeData[Gender], ROW() - 37), "")</f>
        <v/>
      </c>
      <c r="F2777" s="4" t="str" cm="1">
        <f t="array" ref="F2777">IFERROR(INDEX(EmployeeData[Age], ROW() - 37), "")</f>
        <v/>
      </c>
      <c r="G2777" s="6" t="str" cm="1">
        <f t="array" ref="G2777">IFERROR(INDEX(EmployeeData[Join Date], ROW() - 37), "")</f>
        <v/>
      </c>
      <c r="H2777" s="6" t="str" cm="1">
        <f t="array" ref="H2777">IFERROR(IF(INDEX(EmployeeData[Exit Date], ROW() - 37)=0, "",INDEX(EmployeeData[Exit Date], ROW() - 37)),"")</f>
        <v/>
      </c>
      <c r="I2777" s="4" t="str" cm="1">
        <f t="array" ref="I2777">IFERROR(IF(INDEX(EmployeeData[Exit Reason], ROW() - 37)=0, "",INDEX(EmployeeData[Exit Reason], ROW() - 37)),"")</f>
        <v/>
      </c>
      <c r="J2777" s="4" t="str" cm="1">
        <f t="array" ref="J2777">IFERROR(INDEX(EmployeeData[Status], ROW() - 37), "")</f>
        <v/>
      </c>
    </row>
    <row r="2778" spans="2:10" ht="19.95" customHeight="1" x14ac:dyDescent="0.3">
      <c r="B2778" s="4" t="str" cm="1">
        <f t="array" ref="B2778">IFERROR(INDEX(EmployeeData[Employee ID], ROW() - 37), "")</f>
        <v/>
      </c>
      <c r="C2778" s="4" t="str" cm="1">
        <f t="array" ref="C2778">IFERROR(INDEX(EmployeeData[Full Name], ROW() - 37), "")</f>
        <v/>
      </c>
      <c r="D2778" s="4" t="str" cm="1">
        <f t="array" ref="D2778">IFERROR(INDEX(EmployeeData[Department], ROW() - 37), "")</f>
        <v/>
      </c>
      <c r="E2778" s="4" t="str" cm="1">
        <f t="array" ref="E2778">IFERROR(INDEX(EmployeeData[Gender], ROW() - 37), "")</f>
        <v/>
      </c>
      <c r="F2778" s="4" t="str" cm="1">
        <f t="array" ref="F2778">IFERROR(INDEX(EmployeeData[Age], ROW() - 37), "")</f>
        <v/>
      </c>
      <c r="G2778" s="6" t="str" cm="1">
        <f t="array" ref="G2778">IFERROR(INDEX(EmployeeData[Join Date], ROW() - 37), "")</f>
        <v/>
      </c>
      <c r="H2778" s="6" t="str" cm="1">
        <f t="array" ref="H2778">IFERROR(IF(INDEX(EmployeeData[Exit Date], ROW() - 37)=0, "",INDEX(EmployeeData[Exit Date], ROW() - 37)),"")</f>
        <v/>
      </c>
      <c r="I2778" s="4" t="str" cm="1">
        <f t="array" ref="I2778">IFERROR(IF(INDEX(EmployeeData[Exit Reason], ROW() - 37)=0, "",INDEX(EmployeeData[Exit Reason], ROW() - 37)),"")</f>
        <v/>
      </c>
      <c r="J2778" s="4" t="str" cm="1">
        <f t="array" ref="J2778">IFERROR(INDEX(EmployeeData[Status], ROW() - 37), "")</f>
        <v/>
      </c>
    </row>
    <row r="2779" spans="2:10" ht="19.95" customHeight="1" x14ac:dyDescent="0.3">
      <c r="B2779" s="4" t="str" cm="1">
        <f t="array" ref="B2779">IFERROR(INDEX(EmployeeData[Employee ID], ROW() - 37), "")</f>
        <v/>
      </c>
      <c r="C2779" s="4" t="str" cm="1">
        <f t="array" ref="C2779">IFERROR(INDEX(EmployeeData[Full Name], ROW() - 37), "")</f>
        <v/>
      </c>
      <c r="D2779" s="4" t="str" cm="1">
        <f t="array" ref="D2779">IFERROR(INDEX(EmployeeData[Department], ROW() - 37), "")</f>
        <v/>
      </c>
      <c r="E2779" s="4" t="str" cm="1">
        <f t="array" ref="E2779">IFERROR(INDEX(EmployeeData[Gender], ROW() - 37), "")</f>
        <v/>
      </c>
      <c r="F2779" s="4" t="str" cm="1">
        <f t="array" ref="F2779">IFERROR(INDEX(EmployeeData[Age], ROW() - 37), "")</f>
        <v/>
      </c>
      <c r="G2779" s="6" t="str" cm="1">
        <f t="array" ref="G2779">IFERROR(INDEX(EmployeeData[Join Date], ROW() - 37), "")</f>
        <v/>
      </c>
      <c r="H2779" s="6" t="str" cm="1">
        <f t="array" ref="H2779">IFERROR(IF(INDEX(EmployeeData[Exit Date], ROW() - 37)=0, "",INDEX(EmployeeData[Exit Date], ROW() - 37)),"")</f>
        <v/>
      </c>
      <c r="I2779" s="4" t="str" cm="1">
        <f t="array" ref="I2779">IFERROR(IF(INDEX(EmployeeData[Exit Reason], ROW() - 37)=0, "",INDEX(EmployeeData[Exit Reason], ROW() - 37)),"")</f>
        <v/>
      </c>
      <c r="J2779" s="4" t="str" cm="1">
        <f t="array" ref="J2779">IFERROR(INDEX(EmployeeData[Status], ROW() - 37), "")</f>
        <v/>
      </c>
    </row>
    <row r="2780" spans="2:10" ht="19.95" customHeight="1" x14ac:dyDescent="0.3">
      <c r="B2780" s="4" t="str" cm="1">
        <f t="array" ref="B2780">IFERROR(INDEX(EmployeeData[Employee ID], ROW() - 37), "")</f>
        <v/>
      </c>
      <c r="C2780" s="4" t="str" cm="1">
        <f t="array" ref="C2780">IFERROR(INDEX(EmployeeData[Full Name], ROW() - 37), "")</f>
        <v/>
      </c>
      <c r="D2780" s="4" t="str" cm="1">
        <f t="array" ref="D2780">IFERROR(INDEX(EmployeeData[Department], ROW() - 37), "")</f>
        <v/>
      </c>
      <c r="E2780" s="4" t="str" cm="1">
        <f t="array" ref="E2780">IFERROR(INDEX(EmployeeData[Gender], ROW() - 37), "")</f>
        <v/>
      </c>
      <c r="F2780" s="4" t="str" cm="1">
        <f t="array" ref="F2780">IFERROR(INDEX(EmployeeData[Age], ROW() - 37), "")</f>
        <v/>
      </c>
      <c r="G2780" s="6" t="str" cm="1">
        <f t="array" ref="G2780">IFERROR(INDEX(EmployeeData[Join Date], ROW() - 37), "")</f>
        <v/>
      </c>
      <c r="H2780" s="6" t="str" cm="1">
        <f t="array" ref="H2780">IFERROR(IF(INDEX(EmployeeData[Exit Date], ROW() - 37)=0, "",INDEX(EmployeeData[Exit Date], ROW() - 37)),"")</f>
        <v/>
      </c>
      <c r="I2780" s="4" t="str" cm="1">
        <f t="array" ref="I2780">IFERROR(IF(INDEX(EmployeeData[Exit Reason], ROW() - 37)=0, "",INDEX(EmployeeData[Exit Reason], ROW() - 37)),"")</f>
        <v/>
      </c>
      <c r="J2780" s="4" t="str" cm="1">
        <f t="array" ref="J2780">IFERROR(INDEX(EmployeeData[Status], ROW() - 37), "")</f>
        <v/>
      </c>
    </row>
    <row r="2781" spans="2:10" ht="19.95" customHeight="1" x14ac:dyDescent="0.3">
      <c r="B2781" s="4" t="str" cm="1">
        <f t="array" ref="B2781">IFERROR(INDEX(EmployeeData[Employee ID], ROW() - 37), "")</f>
        <v/>
      </c>
      <c r="C2781" s="4" t="str" cm="1">
        <f t="array" ref="C2781">IFERROR(INDEX(EmployeeData[Full Name], ROW() - 37), "")</f>
        <v/>
      </c>
      <c r="D2781" s="4" t="str" cm="1">
        <f t="array" ref="D2781">IFERROR(INDEX(EmployeeData[Department], ROW() - 37), "")</f>
        <v/>
      </c>
      <c r="E2781" s="4" t="str" cm="1">
        <f t="array" ref="E2781">IFERROR(INDEX(EmployeeData[Gender], ROW() - 37), "")</f>
        <v/>
      </c>
      <c r="F2781" s="4" t="str" cm="1">
        <f t="array" ref="F2781">IFERROR(INDEX(EmployeeData[Age], ROW() - 37), "")</f>
        <v/>
      </c>
      <c r="G2781" s="6" t="str" cm="1">
        <f t="array" ref="G2781">IFERROR(INDEX(EmployeeData[Join Date], ROW() - 37), "")</f>
        <v/>
      </c>
      <c r="H2781" s="6" t="str" cm="1">
        <f t="array" ref="H2781">IFERROR(IF(INDEX(EmployeeData[Exit Date], ROW() - 37)=0, "",INDEX(EmployeeData[Exit Date], ROW() - 37)),"")</f>
        <v/>
      </c>
      <c r="I2781" s="4" t="str" cm="1">
        <f t="array" ref="I2781">IFERROR(IF(INDEX(EmployeeData[Exit Reason], ROW() - 37)=0, "",INDEX(EmployeeData[Exit Reason], ROW() - 37)),"")</f>
        <v/>
      </c>
      <c r="J2781" s="4" t="str" cm="1">
        <f t="array" ref="J2781">IFERROR(INDEX(EmployeeData[Status], ROW() - 37), "")</f>
        <v/>
      </c>
    </row>
    <row r="2782" spans="2:10" ht="19.95" customHeight="1" x14ac:dyDescent="0.3">
      <c r="B2782" s="4" t="str" cm="1">
        <f t="array" ref="B2782">IFERROR(INDEX(EmployeeData[Employee ID], ROW() - 37), "")</f>
        <v/>
      </c>
      <c r="C2782" s="4" t="str" cm="1">
        <f t="array" ref="C2782">IFERROR(INDEX(EmployeeData[Full Name], ROW() - 37), "")</f>
        <v/>
      </c>
      <c r="D2782" s="4" t="str" cm="1">
        <f t="array" ref="D2782">IFERROR(INDEX(EmployeeData[Department], ROW() - 37), "")</f>
        <v/>
      </c>
      <c r="E2782" s="4" t="str" cm="1">
        <f t="array" ref="E2782">IFERROR(INDEX(EmployeeData[Gender], ROW() - 37), "")</f>
        <v/>
      </c>
      <c r="F2782" s="4" t="str" cm="1">
        <f t="array" ref="F2782">IFERROR(INDEX(EmployeeData[Age], ROW() - 37), "")</f>
        <v/>
      </c>
      <c r="G2782" s="6" t="str" cm="1">
        <f t="array" ref="G2782">IFERROR(INDEX(EmployeeData[Join Date], ROW() - 37), "")</f>
        <v/>
      </c>
      <c r="H2782" s="6" t="str" cm="1">
        <f t="array" ref="H2782">IFERROR(IF(INDEX(EmployeeData[Exit Date], ROW() - 37)=0, "",INDEX(EmployeeData[Exit Date], ROW() - 37)),"")</f>
        <v/>
      </c>
      <c r="I2782" s="4" t="str" cm="1">
        <f t="array" ref="I2782">IFERROR(IF(INDEX(EmployeeData[Exit Reason], ROW() - 37)=0, "",INDEX(EmployeeData[Exit Reason], ROW() - 37)),"")</f>
        <v/>
      </c>
      <c r="J2782" s="4" t="str" cm="1">
        <f t="array" ref="J2782">IFERROR(INDEX(EmployeeData[Status], ROW() - 37), "")</f>
        <v/>
      </c>
    </row>
    <row r="2783" spans="2:10" ht="19.95" customHeight="1" x14ac:dyDescent="0.3">
      <c r="B2783" s="4" t="str" cm="1">
        <f t="array" ref="B2783">IFERROR(INDEX(EmployeeData[Employee ID], ROW() - 37), "")</f>
        <v/>
      </c>
      <c r="C2783" s="4" t="str" cm="1">
        <f t="array" ref="C2783">IFERROR(INDEX(EmployeeData[Full Name], ROW() - 37), "")</f>
        <v/>
      </c>
      <c r="D2783" s="4" t="str" cm="1">
        <f t="array" ref="D2783">IFERROR(INDEX(EmployeeData[Department], ROW() - 37), "")</f>
        <v/>
      </c>
      <c r="E2783" s="4" t="str" cm="1">
        <f t="array" ref="E2783">IFERROR(INDEX(EmployeeData[Gender], ROW() - 37), "")</f>
        <v/>
      </c>
      <c r="F2783" s="4" t="str" cm="1">
        <f t="array" ref="F2783">IFERROR(INDEX(EmployeeData[Age], ROW() - 37), "")</f>
        <v/>
      </c>
      <c r="G2783" s="6" t="str" cm="1">
        <f t="array" ref="G2783">IFERROR(INDEX(EmployeeData[Join Date], ROW() - 37), "")</f>
        <v/>
      </c>
      <c r="H2783" s="6" t="str" cm="1">
        <f t="array" ref="H2783">IFERROR(IF(INDEX(EmployeeData[Exit Date], ROW() - 37)=0, "",INDEX(EmployeeData[Exit Date], ROW() - 37)),"")</f>
        <v/>
      </c>
      <c r="I2783" s="4" t="str" cm="1">
        <f t="array" ref="I2783">IFERROR(IF(INDEX(EmployeeData[Exit Reason], ROW() - 37)=0, "",INDEX(EmployeeData[Exit Reason], ROW() - 37)),"")</f>
        <v/>
      </c>
      <c r="J2783" s="4" t="str" cm="1">
        <f t="array" ref="J2783">IFERROR(INDEX(EmployeeData[Status], ROW() - 37), "")</f>
        <v/>
      </c>
    </row>
    <row r="2784" spans="2:10" ht="19.95" customHeight="1" x14ac:dyDescent="0.3">
      <c r="B2784" s="4" t="str" cm="1">
        <f t="array" ref="B2784">IFERROR(INDEX(EmployeeData[Employee ID], ROW() - 37), "")</f>
        <v/>
      </c>
      <c r="C2784" s="4" t="str" cm="1">
        <f t="array" ref="C2784">IFERROR(INDEX(EmployeeData[Full Name], ROW() - 37), "")</f>
        <v/>
      </c>
      <c r="D2784" s="4" t="str" cm="1">
        <f t="array" ref="D2784">IFERROR(INDEX(EmployeeData[Department], ROW() - 37), "")</f>
        <v/>
      </c>
      <c r="E2784" s="4" t="str" cm="1">
        <f t="array" ref="E2784">IFERROR(INDEX(EmployeeData[Gender], ROW() - 37), "")</f>
        <v/>
      </c>
      <c r="F2784" s="4" t="str" cm="1">
        <f t="array" ref="F2784">IFERROR(INDEX(EmployeeData[Age], ROW() - 37), "")</f>
        <v/>
      </c>
      <c r="G2784" s="6" t="str" cm="1">
        <f t="array" ref="G2784">IFERROR(INDEX(EmployeeData[Join Date], ROW() - 37), "")</f>
        <v/>
      </c>
      <c r="H2784" s="6" t="str" cm="1">
        <f t="array" ref="H2784">IFERROR(IF(INDEX(EmployeeData[Exit Date], ROW() - 37)=0, "",INDEX(EmployeeData[Exit Date], ROW() - 37)),"")</f>
        <v/>
      </c>
      <c r="I2784" s="4" t="str" cm="1">
        <f t="array" ref="I2784">IFERROR(IF(INDEX(EmployeeData[Exit Reason], ROW() - 37)=0, "",INDEX(EmployeeData[Exit Reason], ROW() - 37)),"")</f>
        <v/>
      </c>
      <c r="J2784" s="4" t="str" cm="1">
        <f t="array" ref="J2784">IFERROR(INDEX(EmployeeData[Status], ROW() - 37), "")</f>
        <v/>
      </c>
    </row>
    <row r="2785" spans="2:10" ht="19.95" customHeight="1" x14ac:dyDescent="0.3">
      <c r="B2785" s="4" t="str" cm="1">
        <f t="array" ref="B2785">IFERROR(INDEX(EmployeeData[Employee ID], ROW() - 37), "")</f>
        <v/>
      </c>
      <c r="C2785" s="4" t="str" cm="1">
        <f t="array" ref="C2785">IFERROR(INDEX(EmployeeData[Full Name], ROW() - 37), "")</f>
        <v/>
      </c>
      <c r="D2785" s="4" t="str" cm="1">
        <f t="array" ref="D2785">IFERROR(INDEX(EmployeeData[Department], ROW() - 37), "")</f>
        <v/>
      </c>
      <c r="E2785" s="4" t="str" cm="1">
        <f t="array" ref="E2785">IFERROR(INDEX(EmployeeData[Gender], ROW() - 37), "")</f>
        <v/>
      </c>
      <c r="F2785" s="4" t="str" cm="1">
        <f t="array" ref="F2785">IFERROR(INDEX(EmployeeData[Age], ROW() - 37), "")</f>
        <v/>
      </c>
      <c r="G2785" s="6" t="str" cm="1">
        <f t="array" ref="G2785">IFERROR(INDEX(EmployeeData[Join Date], ROW() - 37), "")</f>
        <v/>
      </c>
      <c r="H2785" s="6" t="str" cm="1">
        <f t="array" ref="H2785">IFERROR(IF(INDEX(EmployeeData[Exit Date], ROW() - 37)=0, "",INDEX(EmployeeData[Exit Date], ROW() - 37)),"")</f>
        <v/>
      </c>
      <c r="I2785" s="4" t="str" cm="1">
        <f t="array" ref="I2785">IFERROR(IF(INDEX(EmployeeData[Exit Reason], ROW() - 37)=0, "",INDEX(EmployeeData[Exit Reason], ROW() - 37)),"")</f>
        <v/>
      </c>
      <c r="J2785" s="4" t="str" cm="1">
        <f t="array" ref="J2785">IFERROR(INDEX(EmployeeData[Status], ROW() - 37), "")</f>
        <v/>
      </c>
    </row>
    <row r="2786" spans="2:10" ht="19.95" customHeight="1" x14ac:dyDescent="0.3">
      <c r="B2786" s="4" t="str" cm="1">
        <f t="array" ref="B2786">IFERROR(INDEX(EmployeeData[Employee ID], ROW() - 37), "")</f>
        <v/>
      </c>
      <c r="C2786" s="4" t="str" cm="1">
        <f t="array" ref="C2786">IFERROR(INDEX(EmployeeData[Full Name], ROW() - 37), "")</f>
        <v/>
      </c>
      <c r="D2786" s="4" t="str" cm="1">
        <f t="array" ref="D2786">IFERROR(INDEX(EmployeeData[Department], ROW() - 37), "")</f>
        <v/>
      </c>
      <c r="E2786" s="4" t="str" cm="1">
        <f t="array" ref="E2786">IFERROR(INDEX(EmployeeData[Gender], ROW() - 37), "")</f>
        <v/>
      </c>
      <c r="F2786" s="4" t="str" cm="1">
        <f t="array" ref="F2786">IFERROR(INDEX(EmployeeData[Age], ROW() - 37), "")</f>
        <v/>
      </c>
      <c r="G2786" s="6" t="str" cm="1">
        <f t="array" ref="G2786">IFERROR(INDEX(EmployeeData[Join Date], ROW() - 37), "")</f>
        <v/>
      </c>
      <c r="H2786" s="6" t="str" cm="1">
        <f t="array" ref="H2786">IFERROR(IF(INDEX(EmployeeData[Exit Date], ROW() - 37)=0, "",INDEX(EmployeeData[Exit Date], ROW() - 37)),"")</f>
        <v/>
      </c>
      <c r="I2786" s="4" t="str" cm="1">
        <f t="array" ref="I2786">IFERROR(IF(INDEX(EmployeeData[Exit Reason], ROW() - 37)=0, "",INDEX(EmployeeData[Exit Reason], ROW() - 37)),"")</f>
        <v/>
      </c>
      <c r="J2786" s="4" t="str" cm="1">
        <f t="array" ref="J2786">IFERROR(INDEX(EmployeeData[Status], ROW() - 37), "")</f>
        <v/>
      </c>
    </row>
    <row r="2787" spans="2:10" ht="19.95" customHeight="1" x14ac:dyDescent="0.3">
      <c r="B2787" s="4" t="str" cm="1">
        <f t="array" ref="B2787">IFERROR(INDEX(EmployeeData[Employee ID], ROW() - 37), "")</f>
        <v/>
      </c>
      <c r="C2787" s="4" t="str" cm="1">
        <f t="array" ref="C2787">IFERROR(INDEX(EmployeeData[Full Name], ROW() - 37), "")</f>
        <v/>
      </c>
      <c r="D2787" s="4" t="str" cm="1">
        <f t="array" ref="D2787">IFERROR(INDEX(EmployeeData[Department], ROW() - 37), "")</f>
        <v/>
      </c>
      <c r="E2787" s="4" t="str" cm="1">
        <f t="array" ref="E2787">IFERROR(INDEX(EmployeeData[Gender], ROW() - 37), "")</f>
        <v/>
      </c>
      <c r="F2787" s="4" t="str" cm="1">
        <f t="array" ref="F2787">IFERROR(INDEX(EmployeeData[Age], ROW() - 37), "")</f>
        <v/>
      </c>
      <c r="G2787" s="6" t="str" cm="1">
        <f t="array" ref="G2787">IFERROR(INDEX(EmployeeData[Join Date], ROW() - 37), "")</f>
        <v/>
      </c>
      <c r="H2787" s="6" t="str" cm="1">
        <f t="array" ref="H2787">IFERROR(IF(INDEX(EmployeeData[Exit Date], ROW() - 37)=0, "",INDEX(EmployeeData[Exit Date], ROW() - 37)),"")</f>
        <v/>
      </c>
      <c r="I2787" s="4" t="str" cm="1">
        <f t="array" ref="I2787">IFERROR(IF(INDEX(EmployeeData[Exit Reason], ROW() - 37)=0, "",INDEX(EmployeeData[Exit Reason], ROW() - 37)),"")</f>
        <v/>
      </c>
      <c r="J2787" s="4" t="str" cm="1">
        <f t="array" ref="J2787">IFERROR(INDEX(EmployeeData[Status], ROW() - 37), "")</f>
        <v/>
      </c>
    </row>
    <row r="2788" spans="2:10" ht="19.95" customHeight="1" x14ac:dyDescent="0.3">
      <c r="B2788" s="4" t="str" cm="1">
        <f t="array" ref="B2788">IFERROR(INDEX(EmployeeData[Employee ID], ROW() - 37), "")</f>
        <v/>
      </c>
      <c r="C2788" s="4" t="str" cm="1">
        <f t="array" ref="C2788">IFERROR(INDEX(EmployeeData[Full Name], ROW() - 37), "")</f>
        <v/>
      </c>
      <c r="D2788" s="4" t="str" cm="1">
        <f t="array" ref="D2788">IFERROR(INDEX(EmployeeData[Department], ROW() - 37), "")</f>
        <v/>
      </c>
      <c r="E2788" s="4" t="str" cm="1">
        <f t="array" ref="E2788">IFERROR(INDEX(EmployeeData[Gender], ROW() - 37), "")</f>
        <v/>
      </c>
      <c r="F2788" s="4" t="str" cm="1">
        <f t="array" ref="F2788">IFERROR(INDEX(EmployeeData[Age], ROW() - 37), "")</f>
        <v/>
      </c>
      <c r="G2788" s="6" t="str" cm="1">
        <f t="array" ref="G2788">IFERROR(INDEX(EmployeeData[Join Date], ROW() - 37), "")</f>
        <v/>
      </c>
      <c r="H2788" s="6" t="str" cm="1">
        <f t="array" ref="H2788">IFERROR(IF(INDEX(EmployeeData[Exit Date], ROW() - 37)=0, "",INDEX(EmployeeData[Exit Date], ROW() - 37)),"")</f>
        <v/>
      </c>
      <c r="I2788" s="4" t="str" cm="1">
        <f t="array" ref="I2788">IFERROR(IF(INDEX(EmployeeData[Exit Reason], ROW() - 37)=0, "",INDEX(EmployeeData[Exit Reason], ROW() - 37)),"")</f>
        <v/>
      </c>
      <c r="J2788" s="4" t="str" cm="1">
        <f t="array" ref="J2788">IFERROR(INDEX(EmployeeData[Status], ROW() - 37), "")</f>
        <v/>
      </c>
    </row>
    <row r="2789" spans="2:10" ht="19.95" customHeight="1" x14ac:dyDescent="0.3">
      <c r="B2789" s="4" t="str" cm="1">
        <f t="array" ref="B2789">IFERROR(INDEX(EmployeeData[Employee ID], ROW() - 37), "")</f>
        <v/>
      </c>
      <c r="C2789" s="4" t="str" cm="1">
        <f t="array" ref="C2789">IFERROR(INDEX(EmployeeData[Full Name], ROW() - 37), "")</f>
        <v/>
      </c>
      <c r="D2789" s="4" t="str" cm="1">
        <f t="array" ref="D2789">IFERROR(INDEX(EmployeeData[Department], ROW() - 37), "")</f>
        <v/>
      </c>
      <c r="E2789" s="4" t="str" cm="1">
        <f t="array" ref="E2789">IFERROR(INDEX(EmployeeData[Gender], ROW() - 37), "")</f>
        <v/>
      </c>
      <c r="F2789" s="4" t="str" cm="1">
        <f t="array" ref="F2789">IFERROR(INDEX(EmployeeData[Age], ROW() - 37), "")</f>
        <v/>
      </c>
      <c r="G2789" s="6" t="str" cm="1">
        <f t="array" ref="G2789">IFERROR(INDEX(EmployeeData[Join Date], ROW() - 37), "")</f>
        <v/>
      </c>
      <c r="H2789" s="6" t="str" cm="1">
        <f t="array" ref="H2789">IFERROR(IF(INDEX(EmployeeData[Exit Date], ROW() - 37)=0, "",INDEX(EmployeeData[Exit Date], ROW() - 37)),"")</f>
        <v/>
      </c>
      <c r="I2789" s="4" t="str" cm="1">
        <f t="array" ref="I2789">IFERROR(IF(INDEX(EmployeeData[Exit Reason], ROW() - 37)=0, "",INDEX(EmployeeData[Exit Reason], ROW() - 37)),"")</f>
        <v/>
      </c>
      <c r="J2789" s="4" t="str" cm="1">
        <f t="array" ref="J2789">IFERROR(INDEX(EmployeeData[Status], ROW() - 37), "")</f>
        <v/>
      </c>
    </row>
    <row r="2790" spans="2:10" ht="19.95" customHeight="1" x14ac:dyDescent="0.3">
      <c r="B2790" s="4" t="str" cm="1">
        <f t="array" ref="B2790">IFERROR(INDEX(EmployeeData[Employee ID], ROW() - 37), "")</f>
        <v/>
      </c>
      <c r="C2790" s="4" t="str" cm="1">
        <f t="array" ref="C2790">IFERROR(INDEX(EmployeeData[Full Name], ROW() - 37), "")</f>
        <v/>
      </c>
      <c r="D2790" s="4" t="str" cm="1">
        <f t="array" ref="D2790">IFERROR(INDEX(EmployeeData[Department], ROW() - 37), "")</f>
        <v/>
      </c>
      <c r="E2790" s="4" t="str" cm="1">
        <f t="array" ref="E2790">IFERROR(INDEX(EmployeeData[Gender], ROW() - 37), "")</f>
        <v/>
      </c>
      <c r="F2790" s="4" t="str" cm="1">
        <f t="array" ref="F2790">IFERROR(INDEX(EmployeeData[Age], ROW() - 37), "")</f>
        <v/>
      </c>
      <c r="G2790" s="6" t="str" cm="1">
        <f t="array" ref="G2790">IFERROR(INDEX(EmployeeData[Join Date], ROW() - 37), "")</f>
        <v/>
      </c>
      <c r="H2790" s="6" t="str" cm="1">
        <f t="array" ref="H2790">IFERROR(IF(INDEX(EmployeeData[Exit Date], ROW() - 37)=0, "",INDEX(EmployeeData[Exit Date], ROW() - 37)),"")</f>
        <v/>
      </c>
      <c r="I2790" s="4" t="str" cm="1">
        <f t="array" ref="I2790">IFERROR(IF(INDEX(EmployeeData[Exit Reason], ROW() - 37)=0, "",INDEX(EmployeeData[Exit Reason], ROW() - 37)),"")</f>
        <v/>
      </c>
      <c r="J2790" s="4" t="str" cm="1">
        <f t="array" ref="J2790">IFERROR(INDEX(EmployeeData[Status], ROW() - 37), "")</f>
        <v/>
      </c>
    </row>
    <row r="2791" spans="2:10" ht="19.95" customHeight="1" x14ac:dyDescent="0.3">
      <c r="B2791" s="4" t="str" cm="1">
        <f t="array" ref="B2791">IFERROR(INDEX(EmployeeData[Employee ID], ROW() - 37), "")</f>
        <v/>
      </c>
      <c r="C2791" s="4" t="str" cm="1">
        <f t="array" ref="C2791">IFERROR(INDEX(EmployeeData[Full Name], ROW() - 37), "")</f>
        <v/>
      </c>
      <c r="D2791" s="4" t="str" cm="1">
        <f t="array" ref="D2791">IFERROR(INDEX(EmployeeData[Department], ROW() - 37), "")</f>
        <v/>
      </c>
      <c r="E2791" s="4" t="str" cm="1">
        <f t="array" ref="E2791">IFERROR(INDEX(EmployeeData[Gender], ROW() - 37), "")</f>
        <v/>
      </c>
      <c r="F2791" s="4" t="str" cm="1">
        <f t="array" ref="F2791">IFERROR(INDEX(EmployeeData[Age], ROW() - 37), "")</f>
        <v/>
      </c>
      <c r="G2791" s="6" t="str" cm="1">
        <f t="array" ref="G2791">IFERROR(INDEX(EmployeeData[Join Date], ROW() - 37), "")</f>
        <v/>
      </c>
      <c r="H2791" s="6" t="str" cm="1">
        <f t="array" ref="H2791">IFERROR(IF(INDEX(EmployeeData[Exit Date], ROW() - 37)=0, "",INDEX(EmployeeData[Exit Date], ROW() - 37)),"")</f>
        <v/>
      </c>
      <c r="I2791" s="4" t="str" cm="1">
        <f t="array" ref="I2791">IFERROR(IF(INDEX(EmployeeData[Exit Reason], ROW() - 37)=0, "",INDEX(EmployeeData[Exit Reason], ROW() - 37)),"")</f>
        <v/>
      </c>
      <c r="J2791" s="4" t="str" cm="1">
        <f t="array" ref="J2791">IFERROR(INDEX(EmployeeData[Status], ROW() - 37), "")</f>
        <v/>
      </c>
    </row>
    <row r="2792" spans="2:10" ht="19.95" customHeight="1" x14ac:dyDescent="0.3">
      <c r="B2792" s="4" t="str" cm="1">
        <f t="array" ref="B2792">IFERROR(INDEX(EmployeeData[Employee ID], ROW() - 37), "")</f>
        <v/>
      </c>
      <c r="C2792" s="4" t="str" cm="1">
        <f t="array" ref="C2792">IFERROR(INDEX(EmployeeData[Full Name], ROW() - 37), "")</f>
        <v/>
      </c>
      <c r="D2792" s="4" t="str" cm="1">
        <f t="array" ref="D2792">IFERROR(INDEX(EmployeeData[Department], ROW() - 37), "")</f>
        <v/>
      </c>
      <c r="E2792" s="4" t="str" cm="1">
        <f t="array" ref="E2792">IFERROR(INDEX(EmployeeData[Gender], ROW() - 37), "")</f>
        <v/>
      </c>
      <c r="F2792" s="4" t="str" cm="1">
        <f t="array" ref="F2792">IFERROR(INDEX(EmployeeData[Age], ROW() - 37), "")</f>
        <v/>
      </c>
      <c r="G2792" s="6" t="str" cm="1">
        <f t="array" ref="G2792">IFERROR(INDEX(EmployeeData[Join Date], ROW() - 37), "")</f>
        <v/>
      </c>
      <c r="H2792" s="6" t="str" cm="1">
        <f t="array" ref="H2792">IFERROR(IF(INDEX(EmployeeData[Exit Date], ROW() - 37)=0, "",INDEX(EmployeeData[Exit Date], ROW() - 37)),"")</f>
        <v/>
      </c>
      <c r="I2792" s="4" t="str" cm="1">
        <f t="array" ref="I2792">IFERROR(IF(INDEX(EmployeeData[Exit Reason], ROW() - 37)=0, "",INDEX(EmployeeData[Exit Reason], ROW() - 37)),"")</f>
        <v/>
      </c>
      <c r="J2792" s="4" t="str" cm="1">
        <f t="array" ref="J2792">IFERROR(INDEX(EmployeeData[Status], ROW() - 37), "")</f>
        <v/>
      </c>
    </row>
    <row r="2793" spans="2:10" ht="19.95" customHeight="1" x14ac:dyDescent="0.3">
      <c r="B2793" s="4" t="str" cm="1">
        <f t="array" ref="B2793">IFERROR(INDEX(EmployeeData[Employee ID], ROW() - 37), "")</f>
        <v/>
      </c>
      <c r="C2793" s="4" t="str" cm="1">
        <f t="array" ref="C2793">IFERROR(INDEX(EmployeeData[Full Name], ROW() - 37), "")</f>
        <v/>
      </c>
      <c r="D2793" s="4" t="str" cm="1">
        <f t="array" ref="D2793">IFERROR(INDEX(EmployeeData[Department], ROW() - 37), "")</f>
        <v/>
      </c>
      <c r="E2793" s="4" t="str" cm="1">
        <f t="array" ref="E2793">IFERROR(INDEX(EmployeeData[Gender], ROW() - 37), "")</f>
        <v/>
      </c>
      <c r="F2793" s="4" t="str" cm="1">
        <f t="array" ref="F2793">IFERROR(INDEX(EmployeeData[Age], ROW() - 37), "")</f>
        <v/>
      </c>
      <c r="G2793" s="6" t="str" cm="1">
        <f t="array" ref="G2793">IFERROR(INDEX(EmployeeData[Join Date], ROW() - 37), "")</f>
        <v/>
      </c>
      <c r="H2793" s="6" t="str" cm="1">
        <f t="array" ref="H2793">IFERROR(IF(INDEX(EmployeeData[Exit Date], ROW() - 37)=0, "",INDEX(EmployeeData[Exit Date], ROW() - 37)),"")</f>
        <v/>
      </c>
      <c r="I2793" s="4" t="str" cm="1">
        <f t="array" ref="I2793">IFERROR(IF(INDEX(EmployeeData[Exit Reason], ROW() - 37)=0, "",INDEX(EmployeeData[Exit Reason], ROW() - 37)),"")</f>
        <v/>
      </c>
      <c r="J2793" s="4" t="str" cm="1">
        <f t="array" ref="J2793">IFERROR(INDEX(EmployeeData[Status], ROW() - 37), "")</f>
        <v/>
      </c>
    </row>
    <row r="2794" spans="2:10" ht="19.95" customHeight="1" x14ac:dyDescent="0.3">
      <c r="B2794" s="4" t="str" cm="1">
        <f t="array" ref="B2794">IFERROR(INDEX(EmployeeData[Employee ID], ROW() - 37), "")</f>
        <v/>
      </c>
      <c r="C2794" s="4" t="str" cm="1">
        <f t="array" ref="C2794">IFERROR(INDEX(EmployeeData[Full Name], ROW() - 37), "")</f>
        <v/>
      </c>
      <c r="D2794" s="4" t="str" cm="1">
        <f t="array" ref="D2794">IFERROR(INDEX(EmployeeData[Department], ROW() - 37), "")</f>
        <v/>
      </c>
      <c r="E2794" s="4" t="str" cm="1">
        <f t="array" ref="E2794">IFERROR(INDEX(EmployeeData[Gender], ROW() - 37), "")</f>
        <v/>
      </c>
      <c r="F2794" s="4" t="str" cm="1">
        <f t="array" ref="F2794">IFERROR(INDEX(EmployeeData[Age], ROW() - 37), "")</f>
        <v/>
      </c>
      <c r="G2794" s="6" t="str" cm="1">
        <f t="array" ref="G2794">IFERROR(INDEX(EmployeeData[Join Date], ROW() - 37), "")</f>
        <v/>
      </c>
      <c r="H2794" s="6" t="str" cm="1">
        <f t="array" ref="H2794">IFERROR(IF(INDEX(EmployeeData[Exit Date], ROW() - 37)=0, "",INDEX(EmployeeData[Exit Date], ROW() - 37)),"")</f>
        <v/>
      </c>
      <c r="I2794" s="4" t="str" cm="1">
        <f t="array" ref="I2794">IFERROR(IF(INDEX(EmployeeData[Exit Reason], ROW() - 37)=0, "",INDEX(EmployeeData[Exit Reason], ROW() - 37)),"")</f>
        <v/>
      </c>
      <c r="J2794" s="4" t="str" cm="1">
        <f t="array" ref="J2794">IFERROR(INDEX(EmployeeData[Status], ROW() - 37), "")</f>
        <v/>
      </c>
    </row>
    <row r="2795" spans="2:10" ht="19.95" customHeight="1" x14ac:dyDescent="0.3">
      <c r="B2795" s="4" t="str" cm="1">
        <f t="array" ref="B2795">IFERROR(INDEX(EmployeeData[Employee ID], ROW() - 37), "")</f>
        <v/>
      </c>
      <c r="C2795" s="4" t="str" cm="1">
        <f t="array" ref="C2795">IFERROR(INDEX(EmployeeData[Full Name], ROW() - 37), "")</f>
        <v/>
      </c>
      <c r="D2795" s="4" t="str" cm="1">
        <f t="array" ref="D2795">IFERROR(INDEX(EmployeeData[Department], ROW() - 37), "")</f>
        <v/>
      </c>
      <c r="E2795" s="4" t="str" cm="1">
        <f t="array" ref="E2795">IFERROR(INDEX(EmployeeData[Gender], ROW() - 37), "")</f>
        <v/>
      </c>
      <c r="F2795" s="4" t="str" cm="1">
        <f t="array" ref="F2795">IFERROR(INDEX(EmployeeData[Age], ROW() - 37), "")</f>
        <v/>
      </c>
      <c r="G2795" s="6" t="str" cm="1">
        <f t="array" ref="G2795">IFERROR(INDEX(EmployeeData[Join Date], ROW() - 37), "")</f>
        <v/>
      </c>
      <c r="H2795" s="6" t="str" cm="1">
        <f t="array" ref="H2795">IFERROR(IF(INDEX(EmployeeData[Exit Date], ROW() - 37)=0, "",INDEX(EmployeeData[Exit Date], ROW() - 37)),"")</f>
        <v/>
      </c>
      <c r="I2795" s="4" t="str" cm="1">
        <f t="array" ref="I2795">IFERROR(IF(INDEX(EmployeeData[Exit Reason], ROW() - 37)=0, "",INDEX(EmployeeData[Exit Reason], ROW() - 37)),"")</f>
        <v/>
      </c>
      <c r="J2795" s="4" t="str" cm="1">
        <f t="array" ref="J2795">IFERROR(INDEX(EmployeeData[Status], ROW() - 37), "")</f>
        <v/>
      </c>
    </row>
    <row r="2796" spans="2:10" ht="19.95" customHeight="1" x14ac:dyDescent="0.3">
      <c r="B2796" s="4" t="str" cm="1">
        <f t="array" ref="B2796">IFERROR(INDEX(EmployeeData[Employee ID], ROW() - 37), "")</f>
        <v/>
      </c>
      <c r="C2796" s="4" t="str" cm="1">
        <f t="array" ref="C2796">IFERROR(INDEX(EmployeeData[Full Name], ROW() - 37), "")</f>
        <v/>
      </c>
      <c r="D2796" s="4" t="str" cm="1">
        <f t="array" ref="D2796">IFERROR(INDEX(EmployeeData[Department], ROW() - 37), "")</f>
        <v/>
      </c>
      <c r="E2796" s="4" t="str" cm="1">
        <f t="array" ref="E2796">IFERROR(INDEX(EmployeeData[Gender], ROW() - 37), "")</f>
        <v/>
      </c>
      <c r="F2796" s="4" t="str" cm="1">
        <f t="array" ref="F2796">IFERROR(INDEX(EmployeeData[Age], ROW() - 37), "")</f>
        <v/>
      </c>
      <c r="G2796" s="6" t="str" cm="1">
        <f t="array" ref="G2796">IFERROR(INDEX(EmployeeData[Join Date], ROW() - 37), "")</f>
        <v/>
      </c>
      <c r="H2796" s="6" t="str" cm="1">
        <f t="array" ref="H2796">IFERROR(IF(INDEX(EmployeeData[Exit Date], ROW() - 37)=0, "",INDEX(EmployeeData[Exit Date], ROW() - 37)),"")</f>
        <v/>
      </c>
      <c r="I2796" s="4" t="str" cm="1">
        <f t="array" ref="I2796">IFERROR(IF(INDEX(EmployeeData[Exit Reason], ROW() - 37)=0, "",INDEX(EmployeeData[Exit Reason], ROW() - 37)),"")</f>
        <v/>
      </c>
      <c r="J2796" s="4" t="str" cm="1">
        <f t="array" ref="J2796">IFERROR(INDEX(EmployeeData[Status], ROW() - 37), "")</f>
        <v/>
      </c>
    </row>
    <row r="2797" spans="2:10" ht="19.95" customHeight="1" x14ac:dyDescent="0.3">
      <c r="B2797" s="4" t="str" cm="1">
        <f t="array" ref="B2797">IFERROR(INDEX(EmployeeData[Employee ID], ROW() - 37), "")</f>
        <v/>
      </c>
      <c r="C2797" s="4" t="str" cm="1">
        <f t="array" ref="C2797">IFERROR(INDEX(EmployeeData[Full Name], ROW() - 37), "")</f>
        <v/>
      </c>
      <c r="D2797" s="4" t="str" cm="1">
        <f t="array" ref="D2797">IFERROR(INDEX(EmployeeData[Department], ROW() - 37), "")</f>
        <v/>
      </c>
      <c r="E2797" s="4" t="str" cm="1">
        <f t="array" ref="E2797">IFERROR(INDEX(EmployeeData[Gender], ROW() - 37), "")</f>
        <v/>
      </c>
      <c r="F2797" s="4" t="str" cm="1">
        <f t="array" ref="F2797">IFERROR(INDEX(EmployeeData[Age], ROW() - 37), "")</f>
        <v/>
      </c>
      <c r="G2797" s="6" t="str" cm="1">
        <f t="array" ref="G2797">IFERROR(INDEX(EmployeeData[Join Date], ROW() - 37), "")</f>
        <v/>
      </c>
      <c r="H2797" s="6" t="str" cm="1">
        <f t="array" ref="H2797">IFERROR(IF(INDEX(EmployeeData[Exit Date], ROW() - 37)=0, "",INDEX(EmployeeData[Exit Date], ROW() - 37)),"")</f>
        <v/>
      </c>
      <c r="I2797" s="4" t="str" cm="1">
        <f t="array" ref="I2797">IFERROR(IF(INDEX(EmployeeData[Exit Reason], ROW() - 37)=0, "",INDEX(EmployeeData[Exit Reason], ROW() - 37)),"")</f>
        <v/>
      </c>
      <c r="J2797" s="4" t="str" cm="1">
        <f t="array" ref="J2797">IFERROR(INDEX(EmployeeData[Status], ROW() - 37), "")</f>
        <v/>
      </c>
    </row>
    <row r="2798" spans="2:10" ht="19.95" customHeight="1" x14ac:dyDescent="0.3">
      <c r="B2798" s="4" t="str" cm="1">
        <f t="array" ref="B2798">IFERROR(INDEX(EmployeeData[Employee ID], ROW() - 37), "")</f>
        <v/>
      </c>
      <c r="C2798" s="4" t="str" cm="1">
        <f t="array" ref="C2798">IFERROR(INDEX(EmployeeData[Full Name], ROW() - 37), "")</f>
        <v/>
      </c>
      <c r="D2798" s="4" t="str" cm="1">
        <f t="array" ref="D2798">IFERROR(INDEX(EmployeeData[Department], ROW() - 37), "")</f>
        <v/>
      </c>
      <c r="E2798" s="4" t="str" cm="1">
        <f t="array" ref="E2798">IFERROR(INDEX(EmployeeData[Gender], ROW() - 37), "")</f>
        <v/>
      </c>
      <c r="F2798" s="4" t="str" cm="1">
        <f t="array" ref="F2798">IFERROR(INDEX(EmployeeData[Age], ROW() - 37), "")</f>
        <v/>
      </c>
      <c r="G2798" s="6" t="str" cm="1">
        <f t="array" ref="G2798">IFERROR(INDEX(EmployeeData[Join Date], ROW() - 37), "")</f>
        <v/>
      </c>
      <c r="H2798" s="6" t="str" cm="1">
        <f t="array" ref="H2798">IFERROR(IF(INDEX(EmployeeData[Exit Date], ROW() - 37)=0, "",INDEX(EmployeeData[Exit Date], ROW() - 37)),"")</f>
        <v/>
      </c>
      <c r="I2798" s="4" t="str" cm="1">
        <f t="array" ref="I2798">IFERROR(IF(INDEX(EmployeeData[Exit Reason], ROW() - 37)=0, "",INDEX(EmployeeData[Exit Reason], ROW() - 37)),"")</f>
        <v/>
      </c>
      <c r="J2798" s="4" t="str" cm="1">
        <f t="array" ref="J2798">IFERROR(INDEX(EmployeeData[Status], ROW() - 37), "")</f>
        <v/>
      </c>
    </row>
    <row r="2799" spans="2:10" ht="19.95" customHeight="1" x14ac:dyDescent="0.3">
      <c r="B2799" s="4" t="str" cm="1">
        <f t="array" ref="B2799">IFERROR(INDEX(EmployeeData[Employee ID], ROW() - 37), "")</f>
        <v/>
      </c>
      <c r="C2799" s="4" t="str" cm="1">
        <f t="array" ref="C2799">IFERROR(INDEX(EmployeeData[Full Name], ROW() - 37), "")</f>
        <v/>
      </c>
      <c r="D2799" s="4" t="str" cm="1">
        <f t="array" ref="D2799">IFERROR(INDEX(EmployeeData[Department], ROW() - 37), "")</f>
        <v/>
      </c>
      <c r="E2799" s="4" t="str" cm="1">
        <f t="array" ref="E2799">IFERROR(INDEX(EmployeeData[Gender], ROW() - 37), "")</f>
        <v/>
      </c>
      <c r="F2799" s="4" t="str" cm="1">
        <f t="array" ref="F2799">IFERROR(INDEX(EmployeeData[Age], ROW() - 37), "")</f>
        <v/>
      </c>
      <c r="G2799" s="6" t="str" cm="1">
        <f t="array" ref="G2799">IFERROR(INDEX(EmployeeData[Join Date], ROW() - 37), "")</f>
        <v/>
      </c>
      <c r="H2799" s="6" t="str" cm="1">
        <f t="array" ref="H2799">IFERROR(IF(INDEX(EmployeeData[Exit Date], ROW() - 37)=0, "",INDEX(EmployeeData[Exit Date], ROW() - 37)),"")</f>
        <v/>
      </c>
      <c r="I2799" s="4" t="str" cm="1">
        <f t="array" ref="I2799">IFERROR(IF(INDEX(EmployeeData[Exit Reason], ROW() - 37)=0, "",INDEX(EmployeeData[Exit Reason], ROW() - 37)),"")</f>
        <v/>
      </c>
      <c r="J2799" s="4" t="str" cm="1">
        <f t="array" ref="J2799">IFERROR(INDEX(EmployeeData[Status], ROW() - 37), "")</f>
        <v/>
      </c>
    </row>
    <row r="2800" spans="2:10" ht="19.95" customHeight="1" x14ac:dyDescent="0.3">
      <c r="B2800" s="4" t="str" cm="1">
        <f t="array" ref="B2800">IFERROR(INDEX(EmployeeData[Employee ID], ROW() - 37), "")</f>
        <v/>
      </c>
      <c r="C2800" s="4" t="str" cm="1">
        <f t="array" ref="C2800">IFERROR(INDEX(EmployeeData[Full Name], ROW() - 37), "")</f>
        <v/>
      </c>
      <c r="D2800" s="4" t="str" cm="1">
        <f t="array" ref="D2800">IFERROR(INDEX(EmployeeData[Department], ROW() - 37), "")</f>
        <v/>
      </c>
      <c r="E2800" s="4" t="str" cm="1">
        <f t="array" ref="E2800">IFERROR(INDEX(EmployeeData[Gender], ROW() - 37), "")</f>
        <v/>
      </c>
      <c r="F2800" s="4" t="str" cm="1">
        <f t="array" ref="F2800">IFERROR(INDEX(EmployeeData[Age], ROW() - 37), "")</f>
        <v/>
      </c>
      <c r="G2800" s="6" t="str" cm="1">
        <f t="array" ref="G2800">IFERROR(INDEX(EmployeeData[Join Date], ROW() - 37), "")</f>
        <v/>
      </c>
      <c r="H2800" s="6" t="str" cm="1">
        <f t="array" ref="H2800">IFERROR(IF(INDEX(EmployeeData[Exit Date], ROW() - 37)=0, "",INDEX(EmployeeData[Exit Date], ROW() - 37)),"")</f>
        <v/>
      </c>
      <c r="I2800" s="4" t="str" cm="1">
        <f t="array" ref="I2800">IFERROR(IF(INDEX(EmployeeData[Exit Reason], ROW() - 37)=0, "",INDEX(EmployeeData[Exit Reason], ROW() - 37)),"")</f>
        <v/>
      </c>
      <c r="J2800" s="4" t="str" cm="1">
        <f t="array" ref="J2800">IFERROR(INDEX(EmployeeData[Status], ROW() - 37), "")</f>
        <v/>
      </c>
    </row>
    <row r="2801" spans="2:10" ht="19.95" customHeight="1" x14ac:dyDescent="0.3">
      <c r="B2801" s="4" t="str" cm="1">
        <f t="array" ref="B2801">IFERROR(INDEX(EmployeeData[Employee ID], ROW() - 37), "")</f>
        <v/>
      </c>
      <c r="C2801" s="4" t="str" cm="1">
        <f t="array" ref="C2801">IFERROR(INDEX(EmployeeData[Full Name], ROW() - 37), "")</f>
        <v/>
      </c>
      <c r="D2801" s="4" t="str" cm="1">
        <f t="array" ref="D2801">IFERROR(INDEX(EmployeeData[Department], ROW() - 37), "")</f>
        <v/>
      </c>
      <c r="E2801" s="4" t="str" cm="1">
        <f t="array" ref="E2801">IFERROR(INDEX(EmployeeData[Gender], ROW() - 37), "")</f>
        <v/>
      </c>
      <c r="F2801" s="4" t="str" cm="1">
        <f t="array" ref="F2801">IFERROR(INDEX(EmployeeData[Age], ROW() - 37), "")</f>
        <v/>
      </c>
      <c r="G2801" s="6" t="str" cm="1">
        <f t="array" ref="G2801">IFERROR(INDEX(EmployeeData[Join Date], ROW() - 37), "")</f>
        <v/>
      </c>
      <c r="H2801" s="6" t="str" cm="1">
        <f t="array" ref="H2801">IFERROR(IF(INDEX(EmployeeData[Exit Date], ROW() - 37)=0, "",INDEX(EmployeeData[Exit Date], ROW() - 37)),"")</f>
        <v/>
      </c>
      <c r="I2801" s="4" t="str" cm="1">
        <f t="array" ref="I2801">IFERROR(IF(INDEX(EmployeeData[Exit Reason], ROW() - 37)=0, "",INDEX(EmployeeData[Exit Reason], ROW() - 37)),"")</f>
        <v/>
      </c>
      <c r="J2801" s="4" t="str" cm="1">
        <f t="array" ref="J2801">IFERROR(INDEX(EmployeeData[Status], ROW() - 37), "")</f>
        <v/>
      </c>
    </row>
    <row r="2802" spans="2:10" ht="19.95" customHeight="1" x14ac:dyDescent="0.3">
      <c r="B2802" s="4" t="str" cm="1">
        <f t="array" ref="B2802">IFERROR(INDEX(EmployeeData[Employee ID], ROW() - 37), "")</f>
        <v/>
      </c>
      <c r="C2802" s="4" t="str" cm="1">
        <f t="array" ref="C2802">IFERROR(INDEX(EmployeeData[Full Name], ROW() - 37), "")</f>
        <v/>
      </c>
      <c r="D2802" s="4" t="str" cm="1">
        <f t="array" ref="D2802">IFERROR(INDEX(EmployeeData[Department], ROW() - 37), "")</f>
        <v/>
      </c>
      <c r="E2802" s="4" t="str" cm="1">
        <f t="array" ref="E2802">IFERROR(INDEX(EmployeeData[Gender], ROW() - 37), "")</f>
        <v/>
      </c>
      <c r="F2802" s="4" t="str" cm="1">
        <f t="array" ref="F2802">IFERROR(INDEX(EmployeeData[Age], ROW() - 37), "")</f>
        <v/>
      </c>
      <c r="G2802" s="6" t="str" cm="1">
        <f t="array" ref="G2802">IFERROR(INDEX(EmployeeData[Join Date], ROW() - 37), "")</f>
        <v/>
      </c>
      <c r="H2802" s="6" t="str" cm="1">
        <f t="array" ref="H2802">IFERROR(IF(INDEX(EmployeeData[Exit Date], ROW() - 37)=0, "",INDEX(EmployeeData[Exit Date], ROW() - 37)),"")</f>
        <v/>
      </c>
      <c r="I2802" s="4" t="str" cm="1">
        <f t="array" ref="I2802">IFERROR(IF(INDEX(EmployeeData[Exit Reason], ROW() - 37)=0, "",INDEX(EmployeeData[Exit Reason], ROW() - 37)),"")</f>
        <v/>
      </c>
      <c r="J2802" s="4" t="str" cm="1">
        <f t="array" ref="J2802">IFERROR(INDEX(EmployeeData[Status], ROW() - 37), "")</f>
        <v/>
      </c>
    </row>
    <row r="2803" spans="2:10" ht="19.95" customHeight="1" x14ac:dyDescent="0.3">
      <c r="B2803" s="4" t="str" cm="1">
        <f t="array" ref="B2803">IFERROR(INDEX(EmployeeData[Employee ID], ROW() - 37), "")</f>
        <v/>
      </c>
      <c r="C2803" s="4" t="str" cm="1">
        <f t="array" ref="C2803">IFERROR(INDEX(EmployeeData[Full Name], ROW() - 37), "")</f>
        <v/>
      </c>
      <c r="D2803" s="4" t="str" cm="1">
        <f t="array" ref="D2803">IFERROR(INDEX(EmployeeData[Department], ROW() - 37), "")</f>
        <v/>
      </c>
      <c r="E2803" s="4" t="str" cm="1">
        <f t="array" ref="E2803">IFERROR(INDEX(EmployeeData[Gender], ROW() - 37), "")</f>
        <v/>
      </c>
      <c r="F2803" s="4" t="str" cm="1">
        <f t="array" ref="F2803">IFERROR(INDEX(EmployeeData[Age], ROW() - 37), "")</f>
        <v/>
      </c>
      <c r="G2803" s="6" t="str" cm="1">
        <f t="array" ref="G2803">IFERROR(INDEX(EmployeeData[Join Date], ROW() - 37), "")</f>
        <v/>
      </c>
      <c r="H2803" s="6" t="str" cm="1">
        <f t="array" ref="H2803">IFERROR(IF(INDEX(EmployeeData[Exit Date], ROW() - 37)=0, "",INDEX(EmployeeData[Exit Date], ROW() - 37)),"")</f>
        <v/>
      </c>
      <c r="I2803" s="4" t="str" cm="1">
        <f t="array" ref="I2803">IFERROR(IF(INDEX(EmployeeData[Exit Reason], ROW() - 37)=0, "",INDEX(EmployeeData[Exit Reason], ROW() - 37)),"")</f>
        <v/>
      </c>
      <c r="J2803" s="4" t="str" cm="1">
        <f t="array" ref="J2803">IFERROR(INDEX(EmployeeData[Status], ROW() - 37), "")</f>
        <v/>
      </c>
    </row>
    <row r="2804" spans="2:10" ht="19.95" customHeight="1" x14ac:dyDescent="0.3">
      <c r="B2804" s="4" t="str" cm="1">
        <f t="array" ref="B2804">IFERROR(INDEX(EmployeeData[Employee ID], ROW() - 37), "")</f>
        <v/>
      </c>
      <c r="C2804" s="4" t="str" cm="1">
        <f t="array" ref="C2804">IFERROR(INDEX(EmployeeData[Full Name], ROW() - 37), "")</f>
        <v/>
      </c>
      <c r="D2804" s="4" t="str" cm="1">
        <f t="array" ref="D2804">IFERROR(INDEX(EmployeeData[Department], ROW() - 37), "")</f>
        <v/>
      </c>
      <c r="E2804" s="4" t="str" cm="1">
        <f t="array" ref="E2804">IFERROR(INDEX(EmployeeData[Gender], ROW() - 37), "")</f>
        <v/>
      </c>
      <c r="F2804" s="4" t="str" cm="1">
        <f t="array" ref="F2804">IFERROR(INDEX(EmployeeData[Age], ROW() - 37), "")</f>
        <v/>
      </c>
      <c r="G2804" s="6" t="str" cm="1">
        <f t="array" ref="G2804">IFERROR(INDEX(EmployeeData[Join Date], ROW() - 37), "")</f>
        <v/>
      </c>
      <c r="H2804" s="6" t="str" cm="1">
        <f t="array" ref="H2804">IFERROR(IF(INDEX(EmployeeData[Exit Date], ROW() - 37)=0, "",INDEX(EmployeeData[Exit Date], ROW() - 37)),"")</f>
        <v/>
      </c>
      <c r="I2804" s="4" t="str" cm="1">
        <f t="array" ref="I2804">IFERROR(IF(INDEX(EmployeeData[Exit Reason], ROW() - 37)=0, "",INDEX(EmployeeData[Exit Reason], ROW() - 37)),"")</f>
        <v/>
      </c>
      <c r="J2804" s="4" t="str" cm="1">
        <f t="array" ref="J2804">IFERROR(INDEX(EmployeeData[Status], ROW() - 37), "")</f>
        <v/>
      </c>
    </row>
    <row r="2805" spans="2:10" ht="19.95" customHeight="1" x14ac:dyDescent="0.3">
      <c r="B2805" s="4" t="str" cm="1">
        <f t="array" ref="B2805">IFERROR(INDEX(EmployeeData[Employee ID], ROW() - 37), "")</f>
        <v/>
      </c>
      <c r="C2805" s="4" t="str" cm="1">
        <f t="array" ref="C2805">IFERROR(INDEX(EmployeeData[Full Name], ROW() - 37), "")</f>
        <v/>
      </c>
      <c r="D2805" s="4" t="str" cm="1">
        <f t="array" ref="D2805">IFERROR(INDEX(EmployeeData[Department], ROW() - 37), "")</f>
        <v/>
      </c>
      <c r="E2805" s="4" t="str" cm="1">
        <f t="array" ref="E2805">IFERROR(INDEX(EmployeeData[Gender], ROW() - 37), "")</f>
        <v/>
      </c>
      <c r="F2805" s="4" t="str" cm="1">
        <f t="array" ref="F2805">IFERROR(INDEX(EmployeeData[Age], ROW() - 37), "")</f>
        <v/>
      </c>
      <c r="G2805" s="6" t="str" cm="1">
        <f t="array" ref="G2805">IFERROR(INDEX(EmployeeData[Join Date], ROW() - 37), "")</f>
        <v/>
      </c>
      <c r="H2805" s="6" t="str" cm="1">
        <f t="array" ref="H2805">IFERROR(IF(INDEX(EmployeeData[Exit Date], ROW() - 37)=0, "",INDEX(EmployeeData[Exit Date], ROW() - 37)),"")</f>
        <v/>
      </c>
      <c r="I2805" s="4" t="str" cm="1">
        <f t="array" ref="I2805">IFERROR(IF(INDEX(EmployeeData[Exit Reason], ROW() - 37)=0, "",INDEX(EmployeeData[Exit Reason], ROW() - 37)),"")</f>
        <v/>
      </c>
      <c r="J2805" s="4" t="str" cm="1">
        <f t="array" ref="J2805">IFERROR(INDEX(EmployeeData[Status], ROW() - 37), "")</f>
        <v/>
      </c>
    </row>
    <row r="2806" spans="2:10" ht="19.95" customHeight="1" x14ac:dyDescent="0.3">
      <c r="B2806" s="4" t="str" cm="1">
        <f t="array" ref="B2806">IFERROR(INDEX(EmployeeData[Employee ID], ROW() - 37), "")</f>
        <v/>
      </c>
      <c r="C2806" s="4" t="str" cm="1">
        <f t="array" ref="C2806">IFERROR(INDEX(EmployeeData[Full Name], ROW() - 37), "")</f>
        <v/>
      </c>
      <c r="D2806" s="4" t="str" cm="1">
        <f t="array" ref="D2806">IFERROR(INDEX(EmployeeData[Department], ROW() - 37), "")</f>
        <v/>
      </c>
      <c r="E2806" s="4" t="str" cm="1">
        <f t="array" ref="E2806">IFERROR(INDEX(EmployeeData[Gender], ROW() - 37), "")</f>
        <v/>
      </c>
      <c r="F2806" s="4" t="str" cm="1">
        <f t="array" ref="F2806">IFERROR(INDEX(EmployeeData[Age], ROW() - 37), "")</f>
        <v/>
      </c>
      <c r="G2806" s="6" t="str" cm="1">
        <f t="array" ref="G2806">IFERROR(INDEX(EmployeeData[Join Date], ROW() - 37), "")</f>
        <v/>
      </c>
      <c r="H2806" s="6" t="str" cm="1">
        <f t="array" ref="H2806">IFERROR(IF(INDEX(EmployeeData[Exit Date], ROW() - 37)=0, "",INDEX(EmployeeData[Exit Date], ROW() - 37)),"")</f>
        <v/>
      </c>
      <c r="I2806" s="4" t="str" cm="1">
        <f t="array" ref="I2806">IFERROR(IF(INDEX(EmployeeData[Exit Reason], ROW() - 37)=0, "",INDEX(EmployeeData[Exit Reason], ROW() - 37)),"")</f>
        <v/>
      </c>
      <c r="J2806" s="4" t="str" cm="1">
        <f t="array" ref="J2806">IFERROR(INDEX(EmployeeData[Status], ROW() - 37), "")</f>
        <v/>
      </c>
    </row>
    <row r="2807" spans="2:10" ht="19.95" customHeight="1" x14ac:dyDescent="0.3">
      <c r="B2807" s="4" t="str" cm="1">
        <f t="array" ref="B2807">IFERROR(INDEX(EmployeeData[Employee ID], ROW() - 37), "")</f>
        <v/>
      </c>
      <c r="C2807" s="4" t="str" cm="1">
        <f t="array" ref="C2807">IFERROR(INDEX(EmployeeData[Full Name], ROW() - 37), "")</f>
        <v/>
      </c>
      <c r="D2807" s="4" t="str" cm="1">
        <f t="array" ref="D2807">IFERROR(INDEX(EmployeeData[Department], ROW() - 37), "")</f>
        <v/>
      </c>
      <c r="E2807" s="4" t="str" cm="1">
        <f t="array" ref="E2807">IFERROR(INDEX(EmployeeData[Gender], ROW() - 37), "")</f>
        <v/>
      </c>
      <c r="F2807" s="4" t="str" cm="1">
        <f t="array" ref="F2807">IFERROR(INDEX(EmployeeData[Age], ROW() - 37), "")</f>
        <v/>
      </c>
      <c r="G2807" s="6" t="str" cm="1">
        <f t="array" ref="G2807">IFERROR(INDEX(EmployeeData[Join Date], ROW() - 37), "")</f>
        <v/>
      </c>
      <c r="H2807" s="6" t="str" cm="1">
        <f t="array" ref="H2807">IFERROR(IF(INDEX(EmployeeData[Exit Date], ROW() - 37)=0, "",INDEX(EmployeeData[Exit Date], ROW() - 37)),"")</f>
        <v/>
      </c>
      <c r="I2807" s="4" t="str" cm="1">
        <f t="array" ref="I2807">IFERROR(IF(INDEX(EmployeeData[Exit Reason], ROW() - 37)=0, "",INDEX(EmployeeData[Exit Reason], ROW() - 37)),"")</f>
        <v/>
      </c>
      <c r="J2807" s="4" t="str" cm="1">
        <f t="array" ref="J2807">IFERROR(INDEX(EmployeeData[Status], ROW() - 37), "")</f>
        <v/>
      </c>
    </row>
    <row r="2808" spans="2:10" ht="19.95" customHeight="1" x14ac:dyDescent="0.3">
      <c r="B2808" s="4" t="str" cm="1">
        <f t="array" ref="B2808">IFERROR(INDEX(EmployeeData[Employee ID], ROW() - 37), "")</f>
        <v/>
      </c>
      <c r="C2808" s="4" t="str" cm="1">
        <f t="array" ref="C2808">IFERROR(INDEX(EmployeeData[Full Name], ROW() - 37), "")</f>
        <v/>
      </c>
      <c r="D2808" s="4" t="str" cm="1">
        <f t="array" ref="D2808">IFERROR(INDEX(EmployeeData[Department], ROW() - 37), "")</f>
        <v/>
      </c>
      <c r="E2808" s="4" t="str" cm="1">
        <f t="array" ref="E2808">IFERROR(INDEX(EmployeeData[Gender], ROW() - 37), "")</f>
        <v/>
      </c>
      <c r="F2808" s="4" t="str" cm="1">
        <f t="array" ref="F2808">IFERROR(INDEX(EmployeeData[Age], ROW() - 37), "")</f>
        <v/>
      </c>
      <c r="G2808" s="6" t="str" cm="1">
        <f t="array" ref="G2808">IFERROR(INDEX(EmployeeData[Join Date], ROW() - 37), "")</f>
        <v/>
      </c>
      <c r="H2808" s="6" t="str" cm="1">
        <f t="array" ref="H2808">IFERROR(IF(INDEX(EmployeeData[Exit Date], ROW() - 37)=0, "",INDEX(EmployeeData[Exit Date], ROW() - 37)),"")</f>
        <v/>
      </c>
      <c r="I2808" s="4" t="str" cm="1">
        <f t="array" ref="I2808">IFERROR(IF(INDEX(EmployeeData[Exit Reason], ROW() - 37)=0, "",INDEX(EmployeeData[Exit Reason], ROW() - 37)),"")</f>
        <v/>
      </c>
      <c r="J2808" s="4" t="str" cm="1">
        <f t="array" ref="J2808">IFERROR(INDEX(EmployeeData[Status], ROW() - 37), "")</f>
        <v/>
      </c>
    </row>
    <row r="2809" spans="2:10" ht="19.95" customHeight="1" x14ac:dyDescent="0.3">
      <c r="B2809" s="4" t="str" cm="1">
        <f t="array" ref="B2809">IFERROR(INDEX(EmployeeData[Employee ID], ROW() - 37), "")</f>
        <v/>
      </c>
      <c r="C2809" s="4" t="str" cm="1">
        <f t="array" ref="C2809">IFERROR(INDEX(EmployeeData[Full Name], ROW() - 37), "")</f>
        <v/>
      </c>
      <c r="D2809" s="4" t="str" cm="1">
        <f t="array" ref="D2809">IFERROR(INDEX(EmployeeData[Department], ROW() - 37), "")</f>
        <v/>
      </c>
      <c r="E2809" s="4" t="str" cm="1">
        <f t="array" ref="E2809">IFERROR(INDEX(EmployeeData[Gender], ROW() - 37), "")</f>
        <v/>
      </c>
      <c r="F2809" s="4" t="str" cm="1">
        <f t="array" ref="F2809">IFERROR(INDEX(EmployeeData[Age], ROW() - 37), "")</f>
        <v/>
      </c>
      <c r="G2809" s="6" t="str" cm="1">
        <f t="array" ref="G2809">IFERROR(INDEX(EmployeeData[Join Date], ROW() - 37), "")</f>
        <v/>
      </c>
      <c r="H2809" s="6" t="str" cm="1">
        <f t="array" ref="H2809">IFERROR(IF(INDEX(EmployeeData[Exit Date], ROW() - 37)=0, "",INDEX(EmployeeData[Exit Date], ROW() - 37)),"")</f>
        <v/>
      </c>
      <c r="I2809" s="4" t="str" cm="1">
        <f t="array" ref="I2809">IFERROR(IF(INDEX(EmployeeData[Exit Reason], ROW() - 37)=0, "",INDEX(EmployeeData[Exit Reason], ROW() - 37)),"")</f>
        <v/>
      </c>
      <c r="J2809" s="4" t="str" cm="1">
        <f t="array" ref="J2809">IFERROR(INDEX(EmployeeData[Status], ROW() - 37), "")</f>
        <v/>
      </c>
    </row>
    <row r="2810" spans="2:10" ht="19.95" customHeight="1" x14ac:dyDescent="0.3">
      <c r="B2810" s="4" t="str" cm="1">
        <f t="array" ref="B2810">IFERROR(INDEX(EmployeeData[Employee ID], ROW() - 37), "")</f>
        <v/>
      </c>
      <c r="C2810" s="4" t="str" cm="1">
        <f t="array" ref="C2810">IFERROR(INDEX(EmployeeData[Full Name], ROW() - 37), "")</f>
        <v/>
      </c>
      <c r="D2810" s="4" t="str" cm="1">
        <f t="array" ref="D2810">IFERROR(INDEX(EmployeeData[Department], ROW() - 37), "")</f>
        <v/>
      </c>
      <c r="E2810" s="4" t="str" cm="1">
        <f t="array" ref="E2810">IFERROR(INDEX(EmployeeData[Gender], ROW() - 37), "")</f>
        <v/>
      </c>
      <c r="F2810" s="4" t="str" cm="1">
        <f t="array" ref="F2810">IFERROR(INDEX(EmployeeData[Age], ROW() - 37), "")</f>
        <v/>
      </c>
      <c r="G2810" s="6" t="str" cm="1">
        <f t="array" ref="G2810">IFERROR(INDEX(EmployeeData[Join Date], ROW() - 37), "")</f>
        <v/>
      </c>
      <c r="H2810" s="6" t="str" cm="1">
        <f t="array" ref="H2810">IFERROR(IF(INDEX(EmployeeData[Exit Date], ROW() - 37)=0, "",INDEX(EmployeeData[Exit Date], ROW() - 37)),"")</f>
        <v/>
      </c>
      <c r="I2810" s="4" t="str" cm="1">
        <f t="array" ref="I2810">IFERROR(IF(INDEX(EmployeeData[Exit Reason], ROW() - 37)=0, "",INDEX(EmployeeData[Exit Reason], ROW() - 37)),"")</f>
        <v/>
      </c>
      <c r="J2810" s="4" t="str" cm="1">
        <f t="array" ref="J2810">IFERROR(INDEX(EmployeeData[Status], ROW() - 37), "")</f>
        <v/>
      </c>
    </row>
    <row r="2811" spans="2:10" ht="19.95" customHeight="1" x14ac:dyDescent="0.3">
      <c r="B2811" s="4" t="str" cm="1">
        <f t="array" ref="B2811">IFERROR(INDEX(EmployeeData[Employee ID], ROW() - 37), "")</f>
        <v/>
      </c>
      <c r="C2811" s="4" t="str" cm="1">
        <f t="array" ref="C2811">IFERROR(INDEX(EmployeeData[Full Name], ROW() - 37), "")</f>
        <v/>
      </c>
      <c r="D2811" s="4" t="str" cm="1">
        <f t="array" ref="D2811">IFERROR(INDEX(EmployeeData[Department], ROW() - 37), "")</f>
        <v/>
      </c>
      <c r="E2811" s="4" t="str" cm="1">
        <f t="array" ref="E2811">IFERROR(INDEX(EmployeeData[Gender], ROW() - 37), "")</f>
        <v/>
      </c>
      <c r="F2811" s="4" t="str" cm="1">
        <f t="array" ref="F2811">IFERROR(INDEX(EmployeeData[Age], ROW() - 37), "")</f>
        <v/>
      </c>
      <c r="G2811" s="6" t="str" cm="1">
        <f t="array" ref="G2811">IFERROR(INDEX(EmployeeData[Join Date], ROW() - 37), "")</f>
        <v/>
      </c>
      <c r="H2811" s="6" t="str" cm="1">
        <f t="array" ref="H2811">IFERROR(IF(INDEX(EmployeeData[Exit Date], ROW() - 37)=0, "",INDEX(EmployeeData[Exit Date], ROW() - 37)),"")</f>
        <v/>
      </c>
      <c r="I2811" s="4" t="str" cm="1">
        <f t="array" ref="I2811">IFERROR(IF(INDEX(EmployeeData[Exit Reason], ROW() - 37)=0, "",INDEX(EmployeeData[Exit Reason], ROW() - 37)),"")</f>
        <v/>
      </c>
      <c r="J2811" s="4" t="str" cm="1">
        <f t="array" ref="J2811">IFERROR(INDEX(EmployeeData[Status], ROW() - 37), "")</f>
        <v/>
      </c>
    </row>
    <row r="2812" spans="2:10" ht="19.95" customHeight="1" x14ac:dyDescent="0.3">
      <c r="B2812" s="4" t="str" cm="1">
        <f t="array" ref="B2812">IFERROR(INDEX(EmployeeData[Employee ID], ROW() - 37), "")</f>
        <v/>
      </c>
      <c r="C2812" s="4" t="str" cm="1">
        <f t="array" ref="C2812">IFERROR(INDEX(EmployeeData[Full Name], ROW() - 37), "")</f>
        <v/>
      </c>
      <c r="D2812" s="4" t="str" cm="1">
        <f t="array" ref="D2812">IFERROR(INDEX(EmployeeData[Department], ROW() - 37), "")</f>
        <v/>
      </c>
      <c r="E2812" s="4" t="str" cm="1">
        <f t="array" ref="E2812">IFERROR(INDEX(EmployeeData[Gender], ROW() - 37), "")</f>
        <v/>
      </c>
      <c r="F2812" s="4" t="str" cm="1">
        <f t="array" ref="F2812">IFERROR(INDEX(EmployeeData[Age], ROW() - 37), "")</f>
        <v/>
      </c>
      <c r="G2812" s="6" t="str" cm="1">
        <f t="array" ref="G2812">IFERROR(INDEX(EmployeeData[Join Date], ROW() - 37), "")</f>
        <v/>
      </c>
      <c r="H2812" s="6" t="str" cm="1">
        <f t="array" ref="H2812">IFERROR(IF(INDEX(EmployeeData[Exit Date], ROW() - 37)=0, "",INDEX(EmployeeData[Exit Date], ROW() - 37)),"")</f>
        <v/>
      </c>
      <c r="I2812" s="4" t="str" cm="1">
        <f t="array" ref="I2812">IFERROR(IF(INDEX(EmployeeData[Exit Reason], ROW() - 37)=0, "",INDEX(EmployeeData[Exit Reason], ROW() - 37)),"")</f>
        <v/>
      </c>
      <c r="J2812" s="4" t="str" cm="1">
        <f t="array" ref="J2812">IFERROR(INDEX(EmployeeData[Status], ROW() - 37), "")</f>
        <v/>
      </c>
    </row>
    <row r="2813" spans="2:10" ht="19.95" customHeight="1" x14ac:dyDescent="0.3">
      <c r="B2813" s="4" t="str" cm="1">
        <f t="array" ref="B2813">IFERROR(INDEX(EmployeeData[Employee ID], ROW() - 37), "")</f>
        <v/>
      </c>
      <c r="C2813" s="4" t="str" cm="1">
        <f t="array" ref="C2813">IFERROR(INDEX(EmployeeData[Full Name], ROW() - 37), "")</f>
        <v/>
      </c>
      <c r="D2813" s="4" t="str" cm="1">
        <f t="array" ref="D2813">IFERROR(INDEX(EmployeeData[Department], ROW() - 37), "")</f>
        <v/>
      </c>
      <c r="E2813" s="4" t="str" cm="1">
        <f t="array" ref="E2813">IFERROR(INDEX(EmployeeData[Gender], ROW() - 37), "")</f>
        <v/>
      </c>
      <c r="F2813" s="4" t="str" cm="1">
        <f t="array" ref="F2813">IFERROR(INDEX(EmployeeData[Age], ROW() - 37), "")</f>
        <v/>
      </c>
      <c r="G2813" s="6" t="str" cm="1">
        <f t="array" ref="G2813">IFERROR(INDEX(EmployeeData[Join Date], ROW() - 37), "")</f>
        <v/>
      </c>
      <c r="H2813" s="6" t="str" cm="1">
        <f t="array" ref="H2813">IFERROR(IF(INDEX(EmployeeData[Exit Date], ROW() - 37)=0, "",INDEX(EmployeeData[Exit Date], ROW() - 37)),"")</f>
        <v/>
      </c>
      <c r="I2813" s="4" t="str" cm="1">
        <f t="array" ref="I2813">IFERROR(IF(INDEX(EmployeeData[Exit Reason], ROW() - 37)=0, "",INDEX(EmployeeData[Exit Reason], ROW() - 37)),"")</f>
        <v/>
      </c>
      <c r="J2813" s="4" t="str" cm="1">
        <f t="array" ref="J2813">IFERROR(INDEX(EmployeeData[Status], ROW() - 37), "")</f>
        <v/>
      </c>
    </row>
    <row r="2814" spans="2:10" ht="19.95" customHeight="1" x14ac:dyDescent="0.3">
      <c r="B2814" s="4" t="str" cm="1">
        <f t="array" ref="B2814">IFERROR(INDEX(EmployeeData[Employee ID], ROW() - 37), "")</f>
        <v/>
      </c>
      <c r="C2814" s="4" t="str" cm="1">
        <f t="array" ref="C2814">IFERROR(INDEX(EmployeeData[Full Name], ROW() - 37), "")</f>
        <v/>
      </c>
      <c r="D2814" s="4" t="str" cm="1">
        <f t="array" ref="D2814">IFERROR(INDEX(EmployeeData[Department], ROW() - 37), "")</f>
        <v/>
      </c>
      <c r="E2814" s="4" t="str" cm="1">
        <f t="array" ref="E2814">IFERROR(INDEX(EmployeeData[Gender], ROW() - 37), "")</f>
        <v/>
      </c>
      <c r="F2814" s="4" t="str" cm="1">
        <f t="array" ref="F2814">IFERROR(INDEX(EmployeeData[Age], ROW() - 37), "")</f>
        <v/>
      </c>
      <c r="G2814" s="6" t="str" cm="1">
        <f t="array" ref="G2814">IFERROR(INDEX(EmployeeData[Join Date], ROW() - 37), "")</f>
        <v/>
      </c>
      <c r="H2814" s="6" t="str" cm="1">
        <f t="array" ref="H2814">IFERROR(IF(INDEX(EmployeeData[Exit Date], ROW() - 37)=0, "",INDEX(EmployeeData[Exit Date], ROW() - 37)),"")</f>
        <v/>
      </c>
      <c r="I2814" s="4" t="str" cm="1">
        <f t="array" ref="I2814">IFERROR(IF(INDEX(EmployeeData[Exit Reason], ROW() - 37)=0, "",INDEX(EmployeeData[Exit Reason], ROW() - 37)),"")</f>
        <v/>
      </c>
      <c r="J2814" s="4" t="str" cm="1">
        <f t="array" ref="J2814">IFERROR(INDEX(EmployeeData[Status], ROW() - 37), "")</f>
        <v/>
      </c>
    </row>
    <row r="2815" spans="2:10" ht="19.95" customHeight="1" x14ac:dyDescent="0.3">
      <c r="B2815" s="4" t="str" cm="1">
        <f t="array" ref="B2815">IFERROR(INDEX(EmployeeData[Employee ID], ROW() - 37), "")</f>
        <v/>
      </c>
      <c r="C2815" s="4" t="str" cm="1">
        <f t="array" ref="C2815">IFERROR(INDEX(EmployeeData[Full Name], ROW() - 37), "")</f>
        <v/>
      </c>
      <c r="D2815" s="4" t="str" cm="1">
        <f t="array" ref="D2815">IFERROR(INDEX(EmployeeData[Department], ROW() - 37), "")</f>
        <v/>
      </c>
      <c r="E2815" s="4" t="str" cm="1">
        <f t="array" ref="E2815">IFERROR(INDEX(EmployeeData[Gender], ROW() - 37), "")</f>
        <v/>
      </c>
      <c r="F2815" s="4" t="str" cm="1">
        <f t="array" ref="F2815">IFERROR(INDEX(EmployeeData[Age], ROW() - 37), "")</f>
        <v/>
      </c>
      <c r="G2815" s="6" t="str" cm="1">
        <f t="array" ref="G2815">IFERROR(INDEX(EmployeeData[Join Date], ROW() - 37), "")</f>
        <v/>
      </c>
      <c r="H2815" s="6" t="str" cm="1">
        <f t="array" ref="H2815">IFERROR(IF(INDEX(EmployeeData[Exit Date], ROW() - 37)=0, "",INDEX(EmployeeData[Exit Date], ROW() - 37)),"")</f>
        <v/>
      </c>
      <c r="I2815" s="4" t="str" cm="1">
        <f t="array" ref="I2815">IFERROR(IF(INDEX(EmployeeData[Exit Reason], ROW() - 37)=0, "",INDEX(EmployeeData[Exit Reason], ROW() - 37)),"")</f>
        <v/>
      </c>
      <c r="J2815" s="4" t="str" cm="1">
        <f t="array" ref="J2815">IFERROR(INDEX(EmployeeData[Status], ROW() - 37), "")</f>
        <v/>
      </c>
    </row>
    <row r="2816" spans="2:10" ht="19.95" customHeight="1" x14ac:dyDescent="0.3">
      <c r="B2816" s="4" t="str" cm="1">
        <f t="array" ref="B2816">IFERROR(INDEX(EmployeeData[Employee ID], ROW() - 37), "")</f>
        <v/>
      </c>
      <c r="C2816" s="4" t="str" cm="1">
        <f t="array" ref="C2816">IFERROR(INDEX(EmployeeData[Full Name], ROW() - 37), "")</f>
        <v/>
      </c>
      <c r="D2816" s="4" t="str" cm="1">
        <f t="array" ref="D2816">IFERROR(INDEX(EmployeeData[Department], ROW() - 37), "")</f>
        <v/>
      </c>
      <c r="E2816" s="4" t="str" cm="1">
        <f t="array" ref="E2816">IFERROR(INDEX(EmployeeData[Gender], ROW() - 37), "")</f>
        <v/>
      </c>
      <c r="F2816" s="4" t="str" cm="1">
        <f t="array" ref="F2816">IFERROR(INDEX(EmployeeData[Age], ROW() - 37), "")</f>
        <v/>
      </c>
      <c r="G2816" s="6" t="str" cm="1">
        <f t="array" ref="G2816">IFERROR(INDEX(EmployeeData[Join Date], ROW() - 37), "")</f>
        <v/>
      </c>
      <c r="H2816" s="6" t="str" cm="1">
        <f t="array" ref="H2816">IFERROR(IF(INDEX(EmployeeData[Exit Date], ROW() - 37)=0, "",INDEX(EmployeeData[Exit Date], ROW() - 37)),"")</f>
        <v/>
      </c>
      <c r="I2816" s="4" t="str" cm="1">
        <f t="array" ref="I2816">IFERROR(IF(INDEX(EmployeeData[Exit Reason], ROW() - 37)=0, "",INDEX(EmployeeData[Exit Reason], ROW() - 37)),"")</f>
        <v/>
      </c>
      <c r="J2816" s="4" t="str" cm="1">
        <f t="array" ref="J2816">IFERROR(INDEX(EmployeeData[Status], ROW() - 37), "")</f>
        <v/>
      </c>
    </row>
    <row r="2817" spans="2:10" ht="19.95" customHeight="1" x14ac:dyDescent="0.3">
      <c r="B2817" s="4" t="str" cm="1">
        <f t="array" ref="B2817">IFERROR(INDEX(EmployeeData[Employee ID], ROW() - 37), "")</f>
        <v/>
      </c>
      <c r="C2817" s="4" t="str" cm="1">
        <f t="array" ref="C2817">IFERROR(INDEX(EmployeeData[Full Name], ROW() - 37), "")</f>
        <v/>
      </c>
      <c r="D2817" s="4" t="str" cm="1">
        <f t="array" ref="D2817">IFERROR(INDEX(EmployeeData[Department], ROW() - 37), "")</f>
        <v/>
      </c>
      <c r="E2817" s="4" t="str" cm="1">
        <f t="array" ref="E2817">IFERROR(INDEX(EmployeeData[Gender], ROW() - 37), "")</f>
        <v/>
      </c>
      <c r="F2817" s="4" t="str" cm="1">
        <f t="array" ref="F2817">IFERROR(INDEX(EmployeeData[Age], ROW() - 37), "")</f>
        <v/>
      </c>
      <c r="G2817" s="6" t="str" cm="1">
        <f t="array" ref="G2817">IFERROR(INDEX(EmployeeData[Join Date], ROW() - 37), "")</f>
        <v/>
      </c>
      <c r="H2817" s="6" t="str" cm="1">
        <f t="array" ref="H2817">IFERROR(IF(INDEX(EmployeeData[Exit Date], ROW() - 37)=0, "",INDEX(EmployeeData[Exit Date], ROW() - 37)),"")</f>
        <v/>
      </c>
      <c r="I2817" s="4" t="str" cm="1">
        <f t="array" ref="I2817">IFERROR(IF(INDEX(EmployeeData[Exit Reason], ROW() - 37)=0, "",INDEX(EmployeeData[Exit Reason], ROW() - 37)),"")</f>
        <v/>
      </c>
      <c r="J2817" s="4" t="str" cm="1">
        <f t="array" ref="J2817">IFERROR(INDEX(EmployeeData[Status], ROW() - 37), "")</f>
        <v/>
      </c>
    </row>
    <row r="2818" spans="2:10" ht="19.95" customHeight="1" x14ac:dyDescent="0.3">
      <c r="B2818" s="4" t="str" cm="1">
        <f t="array" ref="B2818">IFERROR(INDEX(EmployeeData[Employee ID], ROW() - 37), "")</f>
        <v/>
      </c>
      <c r="C2818" s="4" t="str" cm="1">
        <f t="array" ref="C2818">IFERROR(INDEX(EmployeeData[Full Name], ROW() - 37), "")</f>
        <v/>
      </c>
      <c r="D2818" s="4" t="str" cm="1">
        <f t="array" ref="D2818">IFERROR(INDEX(EmployeeData[Department], ROW() - 37), "")</f>
        <v/>
      </c>
      <c r="E2818" s="4" t="str" cm="1">
        <f t="array" ref="E2818">IFERROR(INDEX(EmployeeData[Gender], ROW() - 37), "")</f>
        <v/>
      </c>
      <c r="F2818" s="4" t="str" cm="1">
        <f t="array" ref="F2818">IFERROR(INDEX(EmployeeData[Age], ROW() - 37), "")</f>
        <v/>
      </c>
      <c r="G2818" s="6" t="str" cm="1">
        <f t="array" ref="G2818">IFERROR(INDEX(EmployeeData[Join Date], ROW() - 37), "")</f>
        <v/>
      </c>
      <c r="H2818" s="6" t="str" cm="1">
        <f t="array" ref="H2818">IFERROR(IF(INDEX(EmployeeData[Exit Date], ROW() - 37)=0, "",INDEX(EmployeeData[Exit Date], ROW() - 37)),"")</f>
        <v/>
      </c>
      <c r="I2818" s="4" t="str" cm="1">
        <f t="array" ref="I2818">IFERROR(IF(INDEX(EmployeeData[Exit Reason], ROW() - 37)=0, "",INDEX(EmployeeData[Exit Reason], ROW() - 37)),"")</f>
        <v/>
      </c>
      <c r="J2818" s="4" t="str" cm="1">
        <f t="array" ref="J2818">IFERROR(INDEX(EmployeeData[Status], ROW() - 37), "")</f>
        <v/>
      </c>
    </row>
    <row r="2819" spans="2:10" ht="19.95" customHeight="1" x14ac:dyDescent="0.3">
      <c r="B2819" s="4" t="str" cm="1">
        <f t="array" ref="B2819">IFERROR(INDEX(EmployeeData[Employee ID], ROW() - 37), "")</f>
        <v/>
      </c>
      <c r="C2819" s="4" t="str" cm="1">
        <f t="array" ref="C2819">IFERROR(INDEX(EmployeeData[Full Name], ROW() - 37), "")</f>
        <v/>
      </c>
      <c r="D2819" s="4" t="str" cm="1">
        <f t="array" ref="D2819">IFERROR(INDEX(EmployeeData[Department], ROW() - 37), "")</f>
        <v/>
      </c>
      <c r="E2819" s="4" t="str" cm="1">
        <f t="array" ref="E2819">IFERROR(INDEX(EmployeeData[Gender], ROW() - 37), "")</f>
        <v/>
      </c>
      <c r="F2819" s="4" t="str" cm="1">
        <f t="array" ref="F2819">IFERROR(INDEX(EmployeeData[Age], ROW() - 37), "")</f>
        <v/>
      </c>
      <c r="G2819" s="6" t="str" cm="1">
        <f t="array" ref="G2819">IFERROR(INDEX(EmployeeData[Join Date], ROW() - 37), "")</f>
        <v/>
      </c>
      <c r="H2819" s="6" t="str" cm="1">
        <f t="array" ref="H2819">IFERROR(IF(INDEX(EmployeeData[Exit Date], ROW() - 37)=0, "",INDEX(EmployeeData[Exit Date], ROW() - 37)),"")</f>
        <v/>
      </c>
      <c r="I2819" s="4" t="str" cm="1">
        <f t="array" ref="I2819">IFERROR(IF(INDEX(EmployeeData[Exit Reason], ROW() - 37)=0, "",INDEX(EmployeeData[Exit Reason], ROW() - 37)),"")</f>
        <v/>
      </c>
      <c r="J2819" s="4" t="str" cm="1">
        <f t="array" ref="J2819">IFERROR(INDEX(EmployeeData[Status], ROW() - 37), "")</f>
        <v/>
      </c>
    </row>
    <row r="2820" spans="2:10" ht="19.95" customHeight="1" x14ac:dyDescent="0.3">
      <c r="B2820" s="4" t="str" cm="1">
        <f t="array" ref="B2820">IFERROR(INDEX(EmployeeData[Employee ID], ROW() - 37), "")</f>
        <v/>
      </c>
      <c r="C2820" s="4" t="str" cm="1">
        <f t="array" ref="C2820">IFERROR(INDEX(EmployeeData[Full Name], ROW() - 37), "")</f>
        <v/>
      </c>
      <c r="D2820" s="4" t="str" cm="1">
        <f t="array" ref="D2820">IFERROR(INDEX(EmployeeData[Department], ROW() - 37), "")</f>
        <v/>
      </c>
      <c r="E2820" s="4" t="str" cm="1">
        <f t="array" ref="E2820">IFERROR(INDEX(EmployeeData[Gender], ROW() - 37), "")</f>
        <v/>
      </c>
      <c r="F2820" s="4" t="str" cm="1">
        <f t="array" ref="F2820">IFERROR(INDEX(EmployeeData[Age], ROW() - 37), "")</f>
        <v/>
      </c>
      <c r="G2820" s="6" t="str" cm="1">
        <f t="array" ref="G2820">IFERROR(INDEX(EmployeeData[Join Date], ROW() - 37), "")</f>
        <v/>
      </c>
      <c r="H2820" s="6" t="str" cm="1">
        <f t="array" ref="H2820">IFERROR(IF(INDEX(EmployeeData[Exit Date], ROW() - 37)=0, "",INDEX(EmployeeData[Exit Date], ROW() - 37)),"")</f>
        <v/>
      </c>
      <c r="I2820" s="4" t="str" cm="1">
        <f t="array" ref="I2820">IFERROR(IF(INDEX(EmployeeData[Exit Reason], ROW() - 37)=0, "",INDEX(EmployeeData[Exit Reason], ROW() - 37)),"")</f>
        <v/>
      </c>
      <c r="J2820" s="4" t="str" cm="1">
        <f t="array" ref="J2820">IFERROR(INDEX(EmployeeData[Status], ROW() - 37), "")</f>
        <v/>
      </c>
    </row>
    <row r="2821" spans="2:10" ht="19.95" customHeight="1" x14ac:dyDescent="0.3">
      <c r="B2821" s="4" t="str" cm="1">
        <f t="array" ref="B2821">IFERROR(INDEX(EmployeeData[Employee ID], ROW() - 37), "")</f>
        <v/>
      </c>
      <c r="C2821" s="4" t="str" cm="1">
        <f t="array" ref="C2821">IFERROR(INDEX(EmployeeData[Full Name], ROW() - 37), "")</f>
        <v/>
      </c>
      <c r="D2821" s="4" t="str" cm="1">
        <f t="array" ref="D2821">IFERROR(INDEX(EmployeeData[Department], ROW() - 37), "")</f>
        <v/>
      </c>
      <c r="E2821" s="4" t="str" cm="1">
        <f t="array" ref="E2821">IFERROR(INDEX(EmployeeData[Gender], ROW() - 37), "")</f>
        <v/>
      </c>
      <c r="F2821" s="4" t="str" cm="1">
        <f t="array" ref="F2821">IFERROR(INDEX(EmployeeData[Age], ROW() - 37), "")</f>
        <v/>
      </c>
      <c r="G2821" s="6" t="str" cm="1">
        <f t="array" ref="G2821">IFERROR(INDEX(EmployeeData[Join Date], ROW() - 37), "")</f>
        <v/>
      </c>
      <c r="H2821" s="6" t="str" cm="1">
        <f t="array" ref="H2821">IFERROR(IF(INDEX(EmployeeData[Exit Date], ROW() - 37)=0, "",INDEX(EmployeeData[Exit Date], ROW() - 37)),"")</f>
        <v/>
      </c>
      <c r="I2821" s="4" t="str" cm="1">
        <f t="array" ref="I2821">IFERROR(IF(INDEX(EmployeeData[Exit Reason], ROW() - 37)=0, "",INDEX(EmployeeData[Exit Reason], ROW() - 37)),"")</f>
        <v/>
      </c>
      <c r="J2821" s="4" t="str" cm="1">
        <f t="array" ref="J2821">IFERROR(INDEX(EmployeeData[Status], ROW() - 37), "")</f>
        <v/>
      </c>
    </row>
    <row r="2822" spans="2:10" ht="19.95" customHeight="1" x14ac:dyDescent="0.3">
      <c r="B2822" s="4" t="str" cm="1">
        <f t="array" ref="B2822">IFERROR(INDEX(EmployeeData[Employee ID], ROW() - 37), "")</f>
        <v/>
      </c>
      <c r="C2822" s="4" t="str" cm="1">
        <f t="array" ref="C2822">IFERROR(INDEX(EmployeeData[Full Name], ROW() - 37), "")</f>
        <v/>
      </c>
      <c r="D2822" s="4" t="str" cm="1">
        <f t="array" ref="D2822">IFERROR(INDEX(EmployeeData[Department], ROW() - 37), "")</f>
        <v/>
      </c>
      <c r="E2822" s="4" t="str" cm="1">
        <f t="array" ref="E2822">IFERROR(INDEX(EmployeeData[Gender], ROW() - 37), "")</f>
        <v/>
      </c>
      <c r="F2822" s="4" t="str" cm="1">
        <f t="array" ref="F2822">IFERROR(INDEX(EmployeeData[Age], ROW() - 37), "")</f>
        <v/>
      </c>
      <c r="G2822" s="6" t="str" cm="1">
        <f t="array" ref="G2822">IFERROR(INDEX(EmployeeData[Join Date], ROW() - 37), "")</f>
        <v/>
      </c>
      <c r="H2822" s="6" t="str" cm="1">
        <f t="array" ref="H2822">IFERROR(IF(INDEX(EmployeeData[Exit Date], ROW() - 37)=0, "",INDEX(EmployeeData[Exit Date], ROW() - 37)),"")</f>
        <v/>
      </c>
      <c r="I2822" s="4" t="str" cm="1">
        <f t="array" ref="I2822">IFERROR(IF(INDEX(EmployeeData[Exit Reason], ROW() - 37)=0, "",INDEX(EmployeeData[Exit Reason], ROW() - 37)),"")</f>
        <v/>
      </c>
      <c r="J2822" s="4" t="str" cm="1">
        <f t="array" ref="J2822">IFERROR(INDEX(EmployeeData[Status], ROW() - 37), "")</f>
        <v/>
      </c>
    </row>
    <row r="2823" spans="2:10" ht="19.95" customHeight="1" x14ac:dyDescent="0.3">
      <c r="B2823" s="4" t="str" cm="1">
        <f t="array" ref="B2823">IFERROR(INDEX(EmployeeData[Employee ID], ROW() - 37), "")</f>
        <v/>
      </c>
      <c r="C2823" s="4" t="str" cm="1">
        <f t="array" ref="C2823">IFERROR(INDEX(EmployeeData[Full Name], ROW() - 37), "")</f>
        <v/>
      </c>
      <c r="D2823" s="4" t="str" cm="1">
        <f t="array" ref="D2823">IFERROR(INDEX(EmployeeData[Department], ROW() - 37), "")</f>
        <v/>
      </c>
      <c r="E2823" s="4" t="str" cm="1">
        <f t="array" ref="E2823">IFERROR(INDEX(EmployeeData[Gender], ROW() - 37), "")</f>
        <v/>
      </c>
      <c r="F2823" s="4" t="str" cm="1">
        <f t="array" ref="F2823">IFERROR(INDEX(EmployeeData[Age], ROW() - 37), "")</f>
        <v/>
      </c>
      <c r="G2823" s="6" t="str" cm="1">
        <f t="array" ref="G2823">IFERROR(INDEX(EmployeeData[Join Date], ROW() - 37), "")</f>
        <v/>
      </c>
      <c r="H2823" s="6" t="str" cm="1">
        <f t="array" ref="H2823">IFERROR(IF(INDEX(EmployeeData[Exit Date], ROW() - 37)=0, "",INDEX(EmployeeData[Exit Date], ROW() - 37)),"")</f>
        <v/>
      </c>
      <c r="I2823" s="4" t="str" cm="1">
        <f t="array" ref="I2823">IFERROR(IF(INDEX(EmployeeData[Exit Reason], ROW() - 37)=0, "",INDEX(EmployeeData[Exit Reason], ROW() - 37)),"")</f>
        <v/>
      </c>
      <c r="J2823" s="4" t="str" cm="1">
        <f t="array" ref="J2823">IFERROR(INDEX(EmployeeData[Status], ROW() - 37), "")</f>
        <v/>
      </c>
    </row>
    <row r="2824" spans="2:10" ht="19.95" customHeight="1" x14ac:dyDescent="0.3">
      <c r="B2824" s="4" t="str" cm="1">
        <f t="array" ref="B2824">IFERROR(INDEX(EmployeeData[Employee ID], ROW() - 37), "")</f>
        <v/>
      </c>
      <c r="C2824" s="4" t="str" cm="1">
        <f t="array" ref="C2824">IFERROR(INDEX(EmployeeData[Full Name], ROW() - 37), "")</f>
        <v/>
      </c>
      <c r="D2824" s="4" t="str" cm="1">
        <f t="array" ref="D2824">IFERROR(INDEX(EmployeeData[Department], ROW() - 37), "")</f>
        <v/>
      </c>
      <c r="E2824" s="4" t="str" cm="1">
        <f t="array" ref="E2824">IFERROR(INDEX(EmployeeData[Gender], ROW() - 37), "")</f>
        <v/>
      </c>
      <c r="F2824" s="4" t="str" cm="1">
        <f t="array" ref="F2824">IFERROR(INDEX(EmployeeData[Age], ROW() - 37), "")</f>
        <v/>
      </c>
      <c r="G2824" s="6" t="str" cm="1">
        <f t="array" ref="G2824">IFERROR(INDEX(EmployeeData[Join Date], ROW() - 37), "")</f>
        <v/>
      </c>
      <c r="H2824" s="6" t="str" cm="1">
        <f t="array" ref="H2824">IFERROR(IF(INDEX(EmployeeData[Exit Date], ROW() - 37)=0, "",INDEX(EmployeeData[Exit Date], ROW() - 37)),"")</f>
        <v/>
      </c>
      <c r="I2824" s="4" t="str" cm="1">
        <f t="array" ref="I2824">IFERROR(IF(INDEX(EmployeeData[Exit Reason], ROW() - 37)=0, "",INDEX(EmployeeData[Exit Reason], ROW() - 37)),"")</f>
        <v/>
      </c>
      <c r="J2824" s="4" t="str" cm="1">
        <f t="array" ref="J2824">IFERROR(INDEX(EmployeeData[Status], ROW() - 37), "")</f>
        <v/>
      </c>
    </row>
    <row r="2825" spans="2:10" ht="19.95" customHeight="1" x14ac:dyDescent="0.3">
      <c r="B2825" s="4" t="str" cm="1">
        <f t="array" ref="B2825">IFERROR(INDEX(EmployeeData[Employee ID], ROW() - 37), "")</f>
        <v/>
      </c>
      <c r="C2825" s="4" t="str" cm="1">
        <f t="array" ref="C2825">IFERROR(INDEX(EmployeeData[Full Name], ROW() - 37), "")</f>
        <v/>
      </c>
      <c r="D2825" s="4" t="str" cm="1">
        <f t="array" ref="D2825">IFERROR(INDEX(EmployeeData[Department], ROW() - 37), "")</f>
        <v/>
      </c>
      <c r="E2825" s="4" t="str" cm="1">
        <f t="array" ref="E2825">IFERROR(INDEX(EmployeeData[Gender], ROW() - 37), "")</f>
        <v/>
      </c>
      <c r="F2825" s="4" t="str" cm="1">
        <f t="array" ref="F2825">IFERROR(INDEX(EmployeeData[Age], ROW() - 37), "")</f>
        <v/>
      </c>
      <c r="G2825" s="6" t="str" cm="1">
        <f t="array" ref="G2825">IFERROR(INDEX(EmployeeData[Join Date], ROW() - 37), "")</f>
        <v/>
      </c>
      <c r="H2825" s="6" t="str" cm="1">
        <f t="array" ref="H2825">IFERROR(IF(INDEX(EmployeeData[Exit Date], ROW() - 37)=0, "",INDEX(EmployeeData[Exit Date], ROW() - 37)),"")</f>
        <v/>
      </c>
      <c r="I2825" s="4" t="str" cm="1">
        <f t="array" ref="I2825">IFERROR(IF(INDEX(EmployeeData[Exit Reason], ROW() - 37)=0, "",INDEX(EmployeeData[Exit Reason], ROW() - 37)),"")</f>
        <v/>
      </c>
      <c r="J2825" s="4" t="str" cm="1">
        <f t="array" ref="J2825">IFERROR(INDEX(EmployeeData[Status], ROW() - 37), "")</f>
        <v/>
      </c>
    </row>
    <row r="2826" spans="2:10" ht="19.95" customHeight="1" x14ac:dyDescent="0.3">
      <c r="B2826" s="4" t="str" cm="1">
        <f t="array" ref="B2826">IFERROR(INDEX(EmployeeData[Employee ID], ROW() - 37), "")</f>
        <v/>
      </c>
      <c r="C2826" s="4" t="str" cm="1">
        <f t="array" ref="C2826">IFERROR(INDEX(EmployeeData[Full Name], ROW() - 37), "")</f>
        <v/>
      </c>
      <c r="D2826" s="4" t="str" cm="1">
        <f t="array" ref="D2826">IFERROR(INDEX(EmployeeData[Department], ROW() - 37), "")</f>
        <v/>
      </c>
      <c r="E2826" s="4" t="str" cm="1">
        <f t="array" ref="E2826">IFERROR(INDEX(EmployeeData[Gender], ROW() - 37), "")</f>
        <v/>
      </c>
      <c r="F2826" s="4" t="str" cm="1">
        <f t="array" ref="F2826">IFERROR(INDEX(EmployeeData[Age], ROW() - 37), "")</f>
        <v/>
      </c>
      <c r="G2826" s="6" t="str" cm="1">
        <f t="array" ref="G2826">IFERROR(INDEX(EmployeeData[Join Date], ROW() - 37), "")</f>
        <v/>
      </c>
      <c r="H2826" s="6" t="str" cm="1">
        <f t="array" ref="H2826">IFERROR(IF(INDEX(EmployeeData[Exit Date], ROW() - 37)=0, "",INDEX(EmployeeData[Exit Date], ROW() - 37)),"")</f>
        <v/>
      </c>
      <c r="I2826" s="4" t="str" cm="1">
        <f t="array" ref="I2826">IFERROR(IF(INDEX(EmployeeData[Exit Reason], ROW() - 37)=0, "",INDEX(EmployeeData[Exit Reason], ROW() - 37)),"")</f>
        <v/>
      </c>
      <c r="J2826" s="4" t="str" cm="1">
        <f t="array" ref="J2826">IFERROR(INDEX(EmployeeData[Status], ROW() - 37), "")</f>
        <v/>
      </c>
    </row>
    <row r="2827" spans="2:10" ht="19.95" customHeight="1" x14ac:dyDescent="0.3">
      <c r="B2827" s="4" t="str" cm="1">
        <f t="array" ref="B2827">IFERROR(INDEX(EmployeeData[Employee ID], ROW() - 37), "")</f>
        <v/>
      </c>
      <c r="C2827" s="4" t="str" cm="1">
        <f t="array" ref="C2827">IFERROR(INDEX(EmployeeData[Full Name], ROW() - 37), "")</f>
        <v/>
      </c>
      <c r="D2827" s="4" t="str" cm="1">
        <f t="array" ref="D2827">IFERROR(INDEX(EmployeeData[Department], ROW() - 37), "")</f>
        <v/>
      </c>
      <c r="E2827" s="4" t="str" cm="1">
        <f t="array" ref="E2827">IFERROR(INDEX(EmployeeData[Gender], ROW() - 37), "")</f>
        <v/>
      </c>
      <c r="F2827" s="4" t="str" cm="1">
        <f t="array" ref="F2827">IFERROR(INDEX(EmployeeData[Age], ROW() - 37), "")</f>
        <v/>
      </c>
      <c r="G2827" s="6" t="str" cm="1">
        <f t="array" ref="G2827">IFERROR(INDEX(EmployeeData[Join Date], ROW() - 37), "")</f>
        <v/>
      </c>
      <c r="H2827" s="6" t="str" cm="1">
        <f t="array" ref="H2827">IFERROR(IF(INDEX(EmployeeData[Exit Date], ROW() - 37)=0, "",INDEX(EmployeeData[Exit Date], ROW() - 37)),"")</f>
        <v/>
      </c>
      <c r="I2827" s="4" t="str" cm="1">
        <f t="array" ref="I2827">IFERROR(IF(INDEX(EmployeeData[Exit Reason], ROW() - 37)=0, "",INDEX(EmployeeData[Exit Reason], ROW() - 37)),"")</f>
        <v/>
      </c>
      <c r="J2827" s="4" t="str" cm="1">
        <f t="array" ref="J2827">IFERROR(INDEX(EmployeeData[Status], ROW() - 37), "")</f>
        <v/>
      </c>
    </row>
    <row r="2828" spans="2:10" ht="19.95" customHeight="1" x14ac:dyDescent="0.3">
      <c r="B2828" s="4" t="str" cm="1">
        <f t="array" ref="B2828">IFERROR(INDEX(EmployeeData[Employee ID], ROW() - 37), "")</f>
        <v/>
      </c>
      <c r="C2828" s="4" t="str" cm="1">
        <f t="array" ref="C2828">IFERROR(INDEX(EmployeeData[Full Name], ROW() - 37), "")</f>
        <v/>
      </c>
      <c r="D2828" s="4" t="str" cm="1">
        <f t="array" ref="D2828">IFERROR(INDEX(EmployeeData[Department], ROW() - 37), "")</f>
        <v/>
      </c>
      <c r="E2828" s="4" t="str" cm="1">
        <f t="array" ref="E2828">IFERROR(INDEX(EmployeeData[Gender], ROW() - 37), "")</f>
        <v/>
      </c>
      <c r="F2828" s="4" t="str" cm="1">
        <f t="array" ref="F2828">IFERROR(INDEX(EmployeeData[Age], ROW() - 37), "")</f>
        <v/>
      </c>
      <c r="G2828" s="6" t="str" cm="1">
        <f t="array" ref="G2828">IFERROR(INDEX(EmployeeData[Join Date], ROW() - 37), "")</f>
        <v/>
      </c>
      <c r="H2828" s="6" t="str" cm="1">
        <f t="array" ref="H2828">IFERROR(IF(INDEX(EmployeeData[Exit Date], ROW() - 37)=0, "",INDEX(EmployeeData[Exit Date], ROW() - 37)),"")</f>
        <v/>
      </c>
      <c r="I2828" s="4" t="str" cm="1">
        <f t="array" ref="I2828">IFERROR(IF(INDEX(EmployeeData[Exit Reason], ROW() - 37)=0, "",INDEX(EmployeeData[Exit Reason], ROW() - 37)),"")</f>
        <v/>
      </c>
      <c r="J2828" s="4" t="str" cm="1">
        <f t="array" ref="J2828">IFERROR(INDEX(EmployeeData[Status], ROW() - 37), "")</f>
        <v/>
      </c>
    </row>
    <row r="2829" spans="2:10" ht="19.95" customHeight="1" x14ac:dyDescent="0.3">
      <c r="B2829" s="4" t="str" cm="1">
        <f t="array" ref="B2829">IFERROR(INDEX(EmployeeData[Employee ID], ROW() - 37), "")</f>
        <v/>
      </c>
      <c r="C2829" s="4" t="str" cm="1">
        <f t="array" ref="C2829">IFERROR(INDEX(EmployeeData[Full Name], ROW() - 37), "")</f>
        <v/>
      </c>
      <c r="D2829" s="4" t="str" cm="1">
        <f t="array" ref="D2829">IFERROR(INDEX(EmployeeData[Department], ROW() - 37), "")</f>
        <v/>
      </c>
      <c r="E2829" s="4" t="str" cm="1">
        <f t="array" ref="E2829">IFERROR(INDEX(EmployeeData[Gender], ROW() - 37), "")</f>
        <v/>
      </c>
      <c r="F2829" s="4" t="str" cm="1">
        <f t="array" ref="F2829">IFERROR(INDEX(EmployeeData[Age], ROW() - 37), "")</f>
        <v/>
      </c>
      <c r="G2829" s="6" t="str" cm="1">
        <f t="array" ref="G2829">IFERROR(INDEX(EmployeeData[Join Date], ROW() - 37), "")</f>
        <v/>
      </c>
      <c r="H2829" s="6" t="str" cm="1">
        <f t="array" ref="H2829">IFERROR(IF(INDEX(EmployeeData[Exit Date], ROW() - 37)=0, "",INDEX(EmployeeData[Exit Date], ROW() - 37)),"")</f>
        <v/>
      </c>
      <c r="I2829" s="4" t="str" cm="1">
        <f t="array" ref="I2829">IFERROR(IF(INDEX(EmployeeData[Exit Reason], ROW() - 37)=0, "",INDEX(EmployeeData[Exit Reason], ROW() - 37)),"")</f>
        <v/>
      </c>
      <c r="J2829" s="4" t="str" cm="1">
        <f t="array" ref="J2829">IFERROR(INDEX(EmployeeData[Status], ROW() - 37), "")</f>
        <v/>
      </c>
    </row>
    <row r="2830" spans="2:10" ht="19.95" customHeight="1" x14ac:dyDescent="0.3">
      <c r="B2830" s="4" t="str" cm="1">
        <f t="array" ref="B2830">IFERROR(INDEX(EmployeeData[Employee ID], ROW() - 37), "")</f>
        <v/>
      </c>
      <c r="C2830" s="4" t="str" cm="1">
        <f t="array" ref="C2830">IFERROR(INDEX(EmployeeData[Full Name], ROW() - 37), "")</f>
        <v/>
      </c>
      <c r="D2830" s="4" t="str" cm="1">
        <f t="array" ref="D2830">IFERROR(INDEX(EmployeeData[Department], ROW() - 37), "")</f>
        <v/>
      </c>
      <c r="E2830" s="4" t="str" cm="1">
        <f t="array" ref="E2830">IFERROR(INDEX(EmployeeData[Gender], ROW() - 37), "")</f>
        <v/>
      </c>
      <c r="F2830" s="4" t="str" cm="1">
        <f t="array" ref="F2830">IFERROR(INDEX(EmployeeData[Age], ROW() - 37), "")</f>
        <v/>
      </c>
      <c r="G2830" s="6" t="str" cm="1">
        <f t="array" ref="G2830">IFERROR(INDEX(EmployeeData[Join Date], ROW() - 37), "")</f>
        <v/>
      </c>
      <c r="H2830" s="6" t="str" cm="1">
        <f t="array" ref="H2830">IFERROR(IF(INDEX(EmployeeData[Exit Date], ROW() - 37)=0, "",INDEX(EmployeeData[Exit Date], ROW() - 37)),"")</f>
        <v/>
      </c>
      <c r="I2830" s="4" t="str" cm="1">
        <f t="array" ref="I2830">IFERROR(IF(INDEX(EmployeeData[Exit Reason], ROW() - 37)=0, "",INDEX(EmployeeData[Exit Reason], ROW() - 37)),"")</f>
        <v/>
      </c>
      <c r="J2830" s="4" t="str" cm="1">
        <f t="array" ref="J2830">IFERROR(INDEX(EmployeeData[Status], ROW() - 37), "")</f>
        <v/>
      </c>
    </row>
    <row r="2831" spans="2:10" ht="19.95" customHeight="1" x14ac:dyDescent="0.3">
      <c r="B2831" s="4" t="str" cm="1">
        <f t="array" ref="B2831">IFERROR(INDEX(EmployeeData[Employee ID], ROW() - 37), "")</f>
        <v/>
      </c>
      <c r="C2831" s="4" t="str" cm="1">
        <f t="array" ref="C2831">IFERROR(INDEX(EmployeeData[Full Name], ROW() - 37), "")</f>
        <v/>
      </c>
      <c r="D2831" s="4" t="str" cm="1">
        <f t="array" ref="D2831">IFERROR(INDEX(EmployeeData[Department], ROW() - 37), "")</f>
        <v/>
      </c>
      <c r="E2831" s="4" t="str" cm="1">
        <f t="array" ref="E2831">IFERROR(INDEX(EmployeeData[Gender], ROW() - 37), "")</f>
        <v/>
      </c>
      <c r="F2831" s="4" t="str" cm="1">
        <f t="array" ref="F2831">IFERROR(INDEX(EmployeeData[Age], ROW() - 37), "")</f>
        <v/>
      </c>
      <c r="G2831" s="6" t="str" cm="1">
        <f t="array" ref="G2831">IFERROR(INDEX(EmployeeData[Join Date], ROW() - 37), "")</f>
        <v/>
      </c>
      <c r="H2831" s="6" t="str" cm="1">
        <f t="array" ref="H2831">IFERROR(IF(INDEX(EmployeeData[Exit Date], ROW() - 37)=0, "",INDEX(EmployeeData[Exit Date], ROW() - 37)),"")</f>
        <v/>
      </c>
      <c r="I2831" s="4" t="str" cm="1">
        <f t="array" ref="I2831">IFERROR(IF(INDEX(EmployeeData[Exit Reason], ROW() - 37)=0, "",INDEX(EmployeeData[Exit Reason], ROW() - 37)),"")</f>
        <v/>
      </c>
      <c r="J2831" s="4" t="str" cm="1">
        <f t="array" ref="J2831">IFERROR(INDEX(EmployeeData[Status], ROW() - 37), "")</f>
        <v/>
      </c>
    </row>
    <row r="2832" spans="2:10" ht="19.95" customHeight="1" x14ac:dyDescent="0.3">
      <c r="B2832" s="4" t="str" cm="1">
        <f t="array" ref="B2832">IFERROR(INDEX(EmployeeData[Employee ID], ROW() - 37), "")</f>
        <v/>
      </c>
      <c r="C2832" s="4" t="str" cm="1">
        <f t="array" ref="C2832">IFERROR(INDEX(EmployeeData[Full Name], ROW() - 37), "")</f>
        <v/>
      </c>
      <c r="D2832" s="4" t="str" cm="1">
        <f t="array" ref="D2832">IFERROR(INDEX(EmployeeData[Department], ROW() - 37), "")</f>
        <v/>
      </c>
      <c r="E2832" s="4" t="str" cm="1">
        <f t="array" ref="E2832">IFERROR(INDEX(EmployeeData[Gender], ROW() - 37), "")</f>
        <v/>
      </c>
      <c r="F2832" s="4" t="str" cm="1">
        <f t="array" ref="F2832">IFERROR(INDEX(EmployeeData[Age], ROW() - 37), "")</f>
        <v/>
      </c>
      <c r="G2832" s="6" t="str" cm="1">
        <f t="array" ref="G2832">IFERROR(INDEX(EmployeeData[Join Date], ROW() - 37), "")</f>
        <v/>
      </c>
      <c r="H2832" s="6" t="str" cm="1">
        <f t="array" ref="H2832">IFERROR(IF(INDEX(EmployeeData[Exit Date], ROW() - 37)=0, "",INDEX(EmployeeData[Exit Date], ROW() - 37)),"")</f>
        <v/>
      </c>
      <c r="I2832" s="4" t="str" cm="1">
        <f t="array" ref="I2832">IFERROR(IF(INDEX(EmployeeData[Exit Reason], ROW() - 37)=0, "",INDEX(EmployeeData[Exit Reason], ROW() - 37)),"")</f>
        <v/>
      </c>
      <c r="J2832" s="4" t="str" cm="1">
        <f t="array" ref="J2832">IFERROR(INDEX(EmployeeData[Status], ROW() - 37), "")</f>
        <v/>
      </c>
    </row>
    <row r="2833" spans="2:10" ht="19.95" customHeight="1" x14ac:dyDescent="0.3">
      <c r="B2833" s="4" t="str" cm="1">
        <f t="array" ref="B2833">IFERROR(INDEX(EmployeeData[Employee ID], ROW() - 37), "")</f>
        <v/>
      </c>
      <c r="C2833" s="4" t="str" cm="1">
        <f t="array" ref="C2833">IFERROR(INDEX(EmployeeData[Full Name], ROW() - 37), "")</f>
        <v/>
      </c>
      <c r="D2833" s="4" t="str" cm="1">
        <f t="array" ref="D2833">IFERROR(INDEX(EmployeeData[Department], ROW() - 37), "")</f>
        <v/>
      </c>
      <c r="E2833" s="4" t="str" cm="1">
        <f t="array" ref="E2833">IFERROR(INDEX(EmployeeData[Gender], ROW() - 37), "")</f>
        <v/>
      </c>
      <c r="F2833" s="4" t="str" cm="1">
        <f t="array" ref="F2833">IFERROR(INDEX(EmployeeData[Age], ROW() - 37), "")</f>
        <v/>
      </c>
      <c r="G2833" s="6" t="str" cm="1">
        <f t="array" ref="G2833">IFERROR(INDEX(EmployeeData[Join Date], ROW() - 37), "")</f>
        <v/>
      </c>
      <c r="H2833" s="6" t="str" cm="1">
        <f t="array" ref="H2833">IFERROR(IF(INDEX(EmployeeData[Exit Date], ROW() - 37)=0, "",INDEX(EmployeeData[Exit Date], ROW() - 37)),"")</f>
        <v/>
      </c>
      <c r="I2833" s="4" t="str" cm="1">
        <f t="array" ref="I2833">IFERROR(IF(INDEX(EmployeeData[Exit Reason], ROW() - 37)=0, "",INDEX(EmployeeData[Exit Reason], ROW() - 37)),"")</f>
        <v/>
      </c>
      <c r="J2833" s="4" t="str" cm="1">
        <f t="array" ref="J2833">IFERROR(INDEX(EmployeeData[Status], ROW() - 37), "")</f>
        <v/>
      </c>
    </row>
    <row r="2834" spans="2:10" ht="19.95" customHeight="1" x14ac:dyDescent="0.3">
      <c r="B2834" s="4" t="str" cm="1">
        <f t="array" ref="B2834">IFERROR(INDEX(EmployeeData[Employee ID], ROW() - 37), "")</f>
        <v/>
      </c>
      <c r="C2834" s="4" t="str" cm="1">
        <f t="array" ref="C2834">IFERROR(INDEX(EmployeeData[Full Name], ROW() - 37), "")</f>
        <v/>
      </c>
      <c r="D2834" s="4" t="str" cm="1">
        <f t="array" ref="D2834">IFERROR(INDEX(EmployeeData[Department], ROW() - 37), "")</f>
        <v/>
      </c>
      <c r="E2834" s="4" t="str" cm="1">
        <f t="array" ref="E2834">IFERROR(INDEX(EmployeeData[Gender], ROW() - 37), "")</f>
        <v/>
      </c>
      <c r="F2834" s="4" t="str" cm="1">
        <f t="array" ref="F2834">IFERROR(INDEX(EmployeeData[Age], ROW() - 37), "")</f>
        <v/>
      </c>
      <c r="G2834" s="6" t="str" cm="1">
        <f t="array" ref="G2834">IFERROR(INDEX(EmployeeData[Join Date], ROW() - 37), "")</f>
        <v/>
      </c>
      <c r="H2834" s="6" t="str" cm="1">
        <f t="array" ref="H2834">IFERROR(IF(INDEX(EmployeeData[Exit Date], ROW() - 37)=0, "",INDEX(EmployeeData[Exit Date], ROW() - 37)),"")</f>
        <v/>
      </c>
      <c r="I2834" s="4" t="str" cm="1">
        <f t="array" ref="I2834">IFERROR(IF(INDEX(EmployeeData[Exit Reason], ROW() - 37)=0, "",INDEX(EmployeeData[Exit Reason], ROW() - 37)),"")</f>
        <v/>
      </c>
      <c r="J2834" s="4" t="str" cm="1">
        <f t="array" ref="J2834">IFERROR(INDEX(EmployeeData[Status], ROW() - 37), "")</f>
        <v/>
      </c>
    </row>
    <row r="2835" spans="2:10" ht="19.95" customHeight="1" x14ac:dyDescent="0.3">
      <c r="B2835" s="4" t="str" cm="1">
        <f t="array" ref="B2835">IFERROR(INDEX(EmployeeData[Employee ID], ROW() - 37), "")</f>
        <v/>
      </c>
      <c r="C2835" s="4" t="str" cm="1">
        <f t="array" ref="C2835">IFERROR(INDEX(EmployeeData[Full Name], ROW() - 37), "")</f>
        <v/>
      </c>
      <c r="D2835" s="4" t="str" cm="1">
        <f t="array" ref="D2835">IFERROR(INDEX(EmployeeData[Department], ROW() - 37), "")</f>
        <v/>
      </c>
      <c r="E2835" s="4" t="str" cm="1">
        <f t="array" ref="E2835">IFERROR(INDEX(EmployeeData[Gender], ROW() - 37), "")</f>
        <v/>
      </c>
      <c r="F2835" s="4" t="str" cm="1">
        <f t="array" ref="F2835">IFERROR(INDEX(EmployeeData[Age], ROW() - 37), "")</f>
        <v/>
      </c>
      <c r="G2835" s="6" t="str" cm="1">
        <f t="array" ref="G2835">IFERROR(INDEX(EmployeeData[Join Date], ROW() - 37), "")</f>
        <v/>
      </c>
      <c r="H2835" s="6" t="str" cm="1">
        <f t="array" ref="H2835">IFERROR(IF(INDEX(EmployeeData[Exit Date], ROW() - 37)=0, "",INDEX(EmployeeData[Exit Date], ROW() - 37)),"")</f>
        <v/>
      </c>
      <c r="I2835" s="4" t="str" cm="1">
        <f t="array" ref="I2835">IFERROR(IF(INDEX(EmployeeData[Exit Reason], ROW() - 37)=0, "",INDEX(EmployeeData[Exit Reason], ROW() - 37)),"")</f>
        <v/>
      </c>
      <c r="J2835" s="4" t="str" cm="1">
        <f t="array" ref="J2835">IFERROR(INDEX(EmployeeData[Status], ROW() - 37), "")</f>
        <v/>
      </c>
    </row>
    <row r="2836" spans="2:10" ht="19.95" customHeight="1" x14ac:dyDescent="0.3">
      <c r="B2836" s="4" t="str" cm="1">
        <f t="array" ref="B2836">IFERROR(INDEX(EmployeeData[Employee ID], ROW() - 37), "")</f>
        <v/>
      </c>
      <c r="C2836" s="4" t="str" cm="1">
        <f t="array" ref="C2836">IFERROR(INDEX(EmployeeData[Full Name], ROW() - 37), "")</f>
        <v/>
      </c>
      <c r="D2836" s="4" t="str" cm="1">
        <f t="array" ref="D2836">IFERROR(INDEX(EmployeeData[Department], ROW() - 37), "")</f>
        <v/>
      </c>
      <c r="E2836" s="4" t="str" cm="1">
        <f t="array" ref="E2836">IFERROR(INDEX(EmployeeData[Gender], ROW() - 37), "")</f>
        <v/>
      </c>
      <c r="F2836" s="4" t="str" cm="1">
        <f t="array" ref="F2836">IFERROR(INDEX(EmployeeData[Age], ROW() - 37), "")</f>
        <v/>
      </c>
      <c r="G2836" s="6" t="str" cm="1">
        <f t="array" ref="G2836">IFERROR(INDEX(EmployeeData[Join Date], ROW() - 37), "")</f>
        <v/>
      </c>
      <c r="H2836" s="6" t="str" cm="1">
        <f t="array" ref="H2836">IFERROR(IF(INDEX(EmployeeData[Exit Date], ROW() - 37)=0, "",INDEX(EmployeeData[Exit Date], ROW() - 37)),"")</f>
        <v/>
      </c>
      <c r="I2836" s="4" t="str" cm="1">
        <f t="array" ref="I2836">IFERROR(IF(INDEX(EmployeeData[Exit Reason], ROW() - 37)=0, "",INDEX(EmployeeData[Exit Reason], ROW() - 37)),"")</f>
        <v/>
      </c>
      <c r="J2836" s="4" t="str" cm="1">
        <f t="array" ref="J2836">IFERROR(INDEX(EmployeeData[Status], ROW() - 37), "")</f>
        <v/>
      </c>
    </row>
    <row r="2837" spans="2:10" ht="19.95" customHeight="1" x14ac:dyDescent="0.3">
      <c r="B2837" s="4" t="str" cm="1">
        <f t="array" ref="B2837">IFERROR(INDEX(EmployeeData[Employee ID], ROW() - 37), "")</f>
        <v/>
      </c>
      <c r="C2837" s="4" t="str" cm="1">
        <f t="array" ref="C2837">IFERROR(INDEX(EmployeeData[Full Name], ROW() - 37), "")</f>
        <v/>
      </c>
      <c r="D2837" s="4" t="str" cm="1">
        <f t="array" ref="D2837">IFERROR(INDEX(EmployeeData[Department], ROW() - 37), "")</f>
        <v/>
      </c>
      <c r="E2837" s="4" t="str" cm="1">
        <f t="array" ref="E2837">IFERROR(INDEX(EmployeeData[Gender], ROW() - 37), "")</f>
        <v/>
      </c>
      <c r="F2837" s="4" t="str" cm="1">
        <f t="array" ref="F2837">IFERROR(INDEX(EmployeeData[Age], ROW() - 37), "")</f>
        <v/>
      </c>
      <c r="G2837" s="6" t="str" cm="1">
        <f t="array" ref="G2837">IFERROR(INDEX(EmployeeData[Join Date], ROW() - 37), "")</f>
        <v/>
      </c>
      <c r="H2837" s="6" t="str" cm="1">
        <f t="array" ref="H2837">IFERROR(IF(INDEX(EmployeeData[Exit Date], ROW() - 37)=0, "",INDEX(EmployeeData[Exit Date], ROW() - 37)),"")</f>
        <v/>
      </c>
      <c r="I2837" s="4" t="str" cm="1">
        <f t="array" ref="I2837">IFERROR(IF(INDEX(EmployeeData[Exit Reason], ROW() - 37)=0, "",INDEX(EmployeeData[Exit Reason], ROW() - 37)),"")</f>
        <v/>
      </c>
      <c r="J2837" s="4" t="str" cm="1">
        <f t="array" ref="J2837">IFERROR(INDEX(EmployeeData[Status], ROW() - 37), "")</f>
        <v/>
      </c>
    </row>
    <row r="2838" spans="2:10" ht="19.95" customHeight="1" x14ac:dyDescent="0.3">
      <c r="B2838" s="4" t="str" cm="1">
        <f t="array" ref="B2838">IFERROR(INDEX(EmployeeData[Employee ID], ROW() - 37), "")</f>
        <v/>
      </c>
      <c r="C2838" s="4" t="str" cm="1">
        <f t="array" ref="C2838">IFERROR(INDEX(EmployeeData[Full Name], ROW() - 37), "")</f>
        <v/>
      </c>
      <c r="D2838" s="4" t="str" cm="1">
        <f t="array" ref="D2838">IFERROR(INDEX(EmployeeData[Department], ROW() - 37), "")</f>
        <v/>
      </c>
      <c r="E2838" s="4" t="str" cm="1">
        <f t="array" ref="E2838">IFERROR(INDEX(EmployeeData[Gender], ROW() - 37), "")</f>
        <v/>
      </c>
      <c r="F2838" s="4" t="str" cm="1">
        <f t="array" ref="F2838">IFERROR(INDEX(EmployeeData[Age], ROW() - 37), "")</f>
        <v/>
      </c>
      <c r="G2838" s="6" t="str" cm="1">
        <f t="array" ref="G2838">IFERROR(INDEX(EmployeeData[Join Date], ROW() - 37), "")</f>
        <v/>
      </c>
      <c r="H2838" s="6" t="str" cm="1">
        <f t="array" ref="H2838">IFERROR(IF(INDEX(EmployeeData[Exit Date], ROW() - 37)=0, "",INDEX(EmployeeData[Exit Date], ROW() - 37)),"")</f>
        <v/>
      </c>
      <c r="I2838" s="4" t="str" cm="1">
        <f t="array" ref="I2838">IFERROR(IF(INDEX(EmployeeData[Exit Reason], ROW() - 37)=0, "",INDEX(EmployeeData[Exit Reason], ROW() - 37)),"")</f>
        <v/>
      </c>
      <c r="J2838" s="4" t="str" cm="1">
        <f t="array" ref="J2838">IFERROR(INDEX(EmployeeData[Status], ROW() - 37), "")</f>
        <v/>
      </c>
    </row>
    <row r="2839" spans="2:10" ht="19.95" customHeight="1" x14ac:dyDescent="0.3">
      <c r="B2839" s="4" t="str" cm="1">
        <f t="array" ref="B2839">IFERROR(INDEX(EmployeeData[Employee ID], ROW() - 37), "")</f>
        <v/>
      </c>
      <c r="C2839" s="4" t="str" cm="1">
        <f t="array" ref="C2839">IFERROR(INDEX(EmployeeData[Full Name], ROW() - 37), "")</f>
        <v/>
      </c>
      <c r="D2839" s="4" t="str" cm="1">
        <f t="array" ref="D2839">IFERROR(INDEX(EmployeeData[Department], ROW() - 37), "")</f>
        <v/>
      </c>
      <c r="E2839" s="4" t="str" cm="1">
        <f t="array" ref="E2839">IFERROR(INDEX(EmployeeData[Gender], ROW() - 37), "")</f>
        <v/>
      </c>
      <c r="F2839" s="4" t="str" cm="1">
        <f t="array" ref="F2839">IFERROR(INDEX(EmployeeData[Age], ROW() - 37), "")</f>
        <v/>
      </c>
      <c r="G2839" s="6" t="str" cm="1">
        <f t="array" ref="G2839">IFERROR(INDEX(EmployeeData[Join Date], ROW() - 37), "")</f>
        <v/>
      </c>
      <c r="H2839" s="6" t="str" cm="1">
        <f t="array" ref="H2839">IFERROR(IF(INDEX(EmployeeData[Exit Date], ROW() - 37)=0, "",INDEX(EmployeeData[Exit Date], ROW() - 37)),"")</f>
        <v/>
      </c>
      <c r="I2839" s="4" t="str" cm="1">
        <f t="array" ref="I2839">IFERROR(IF(INDEX(EmployeeData[Exit Reason], ROW() - 37)=0, "",INDEX(EmployeeData[Exit Reason], ROW() - 37)),"")</f>
        <v/>
      </c>
      <c r="J2839" s="4" t="str" cm="1">
        <f t="array" ref="J2839">IFERROR(INDEX(EmployeeData[Status], ROW() - 37), "")</f>
        <v/>
      </c>
    </row>
    <row r="2840" spans="2:10" ht="19.95" customHeight="1" x14ac:dyDescent="0.3">
      <c r="B2840" s="4" t="str" cm="1">
        <f t="array" ref="B2840">IFERROR(INDEX(EmployeeData[Employee ID], ROW() - 37), "")</f>
        <v/>
      </c>
      <c r="C2840" s="4" t="str" cm="1">
        <f t="array" ref="C2840">IFERROR(INDEX(EmployeeData[Full Name], ROW() - 37), "")</f>
        <v/>
      </c>
      <c r="D2840" s="4" t="str" cm="1">
        <f t="array" ref="D2840">IFERROR(INDEX(EmployeeData[Department], ROW() - 37), "")</f>
        <v/>
      </c>
      <c r="E2840" s="4" t="str" cm="1">
        <f t="array" ref="E2840">IFERROR(INDEX(EmployeeData[Gender], ROW() - 37), "")</f>
        <v/>
      </c>
      <c r="F2840" s="4" t="str" cm="1">
        <f t="array" ref="F2840">IFERROR(INDEX(EmployeeData[Age], ROW() - 37), "")</f>
        <v/>
      </c>
      <c r="G2840" s="6" t="str" cm="1">
        <f t="array" ref="G2840">IFERROR(INDEX(EmployeeData[Join Date], ROW() - 37), "")</f>
        <v/>
      </c>
      <c r="H2840" s="6" t="str" cm="1">
        <f t="array" ref="H2840">IFERROR(IF(INDEX(EmployeeData[Exit Date], ROW() - 37)=0, "",INDEX(EmployeeData[Exit Date], ROW() - 37)),"")</f>
        <v/>
      </c>
      <c r="I2840" s="4" t="str" cm="1">
        <f t="array" ref="I2840">IFERROR(IF(INDEX(EmployeeData[Exit Reason], ROW() - 37)=0, "",INDEX(EmployeeData[Exit Reason], ROW() - 37)),"")</f>
        <v/>
      </c>
      <c r="J2840" s="4" t="str" cm="1">
        <f t="array" ref="J2840">IFERROR(INDEX(EmployeeData[Status], ROW() - 37), "")</f>
        <v/>
      </c>
    </row>
    <row r="2841" spans="2:10" ht="19.95" customHeight="1" x14ac:dyDescent="0.3">
      <c r="B2841" s="4" t="str" cm="1">
        <f t="array" ref="B2841">IFERROR(INDEX(EmployeeData[Employee ID], ROW() - 37), "")</f>
        <v/>
      </c>
      <c r="C2841" s="4" t="str" cm="1">
        <f t="array" ref="C2841">IFERROR(INDEX(EmployeeData[Full Name], ROW() - 37), "")</f>
        <v/>
      </c>
      <c r="D2841" s="4" t="str" cm="1">
        <f t="array" ref="D2841">IFERROR(INDEX(EmployeeData[Department], ROW() - 37), "")</f>
        <v/>
      </c>
      <c r="E2841" s="4" t="str" cm="1">
        <f t="array" ref="E2841">IFERROR(INDEX(EmployeeData[Gender], ROW() - 37), "")</f>
        <v/>
      </c>
      <c r="F2841" s="4" t="str" cm="1">
        <f t="array" ref="F2841">IFERROR(INDEX(EmployeeData[Age], ROW() - 37), "")</f>
        <v/>
      </c>
      <c r="G2841" s="6" t="str" cm="1">
        <f t="array" ref="G2841">IFERROR(INDEX(EmployeeData[Join Date], ROW() - 37), "")</f>
        <v/>
      </c>
      <c r="H2841" s="6" t="str" cm="1">
        <f t="array" ref="H2841">IFERROR(IF(INDEX(EmployeeData[Exit Date], ROW() - 37)=0, "",INDEX(EmployeeData[Exit Date], ROW() - 37)),"")</f>
        <v/>
      </c>
      <c r="I2841" s="4" t="str" cm="1">
        <f t="array" ref="I2841">IFERROR(IF(INDEX(EmployeeData[Exit Reason], ROW() - 37)=0, "",INDEX(EmployeeData[Exit Reason], ROW() - 37)),"")</f>
        <v/>
      </c>
      <c r="J2841" s="4" t="str" cm="1">
        <f t="array" ref="J2841">IFERROR(INDEX(EmployeeData[Status], ROW() - 37), "")</f>
        <v/>
      </c>
    </row>
    <row r="2842" spans="2:10" ht="19.95" customHeight="1" x14ac:dyDescent="0.3">
      <c r="B2842" s="4" t="str" cm="1">
        <f t="array" ref="B2842">IFERROR(INDEX(EmployeeData[Employee ID], ROW() - 37), "")</f>
        <v/>
      </c>
      <c r="C2842" s="4" t="str" cm="1">
        <f t="array" ref="C2842">IFERROR(INDEX(EmployeeData[Full Name], ROW() - 37), "")</f>
        <v/>
      </c>
      <c r="D2842" s="4" t="str" cm="1">
        <f t="array" ref="D2842">IFERROR(INDEX(EmployeeData[Department], ROW() - 37), "")</f>
        <v/>
      </c>
      <c r="E2842" s="4" t="str" cm="1">
        <f t="array" ref="E2842">IFERROR(INDEX(EmployeeData[Gender], ROW() - 37), "")</f>
        <v/>
      </c>
      <c r="F2842" s="4" t="str" cm="1">
        <f t="array" ref="F2842">IFERROR(INDEX(EmployeeData[Age], ROW() - 37), "")</f>
        <v/>
      </c>
      <c r="G2842" s="6" t="str" cm="1">
        <f t="array" ref="G2842">IFERROR(INDEX(EmployeeData[Join Date], ROW() - 37), "")</f>
        <v/>
      </c>
      <c r="H2842" s="6" t="str" cm="1">
        <f t="array" ref="H2842">IFERROR(IF(INDEX(EmployeeData[Exit Date], ROW() - 37)=0, "",INDEX(EmployeeData[Exit Date], ROW() - 37)),"")</f>
        <v/>
      </c>
      <c r="I2842" s="4" t="str" cm="1">
        <f t="array" ref="I2842">IFERROR(IF(INDEX(EmployeeData[Exit Reason], ROW() - 37)=0, "",INDEX(EmployeeData[Exit Reason], ROW() - 37)),"")</f>
        <v/>
      </c>
      <c r="J2842" s="4" t="str" cm="1">
        <f t="array" ref="J2842">IFERROR(INDEX(EmployeeData[Status], ROW() - 37), "")</f>
        <v/>
      </c>
    </row>
    <row r="2843" spans="2:10" ht="19.95" customHeight="1" x14ac:dyDescent="0.3">
      <c r="B2843" s="4" t="str" cm="1">
        <f t="array" ref="B2843">IFERROR(INDEX(EmployeeData[Employee ID], ROW() - 37), "")</f>
        <v/>
      </c>
      <c r="C2843" s="4" t="str" cm="1">
        <f t="array" ref="C2843">IFERROR(INDEX(EmployeeData[Full Name], ROW() - 37), "")</f>
        <v/>
      </c>
      <c r="D2843" s="4" t="str" cm="1">
        <f t="array" ref="D2843">IFERROR(INDEX(EmployeeData[Department], ROW() - 37), "")</f>
        <v/>
      </c>
      <c r="E2843" s="4" t="str" cm="1">
        <f t="array" ref="E2843">IFERROR(INDEX(EmployeeData[Gender], ROW() - 37), "")</f>
        <v/>
      </c>
      <c r="F2843" s="4" t="str" cm="1">
        <f t="array" ref="F2843">IFERROR(INDEX(EmployeeData[Age], ROW() - 37), "")</f>
        <v/>
      </c>
      <c r="G2843" s="6" t="str" cm="1">
        <f t="array" ref="G2843">IFERROR(INDEX(EmployeeData[Join Date], ROW() - 37), "")</f>
        <v/>
      </c>
      <c r="H2843" s="6" t="str" cm="1">
        <f t="array" ref="H2843">IFERROR(IF(INDEX(EmployeeData[Exit Date], ROW() - 37)=0, "",INDEX(EmployeeData[Exit Date], ROW() - 37)),"")</f>
        <v/>
      </c>
      <c r="I2843" s="4" t="str" cm="1">
        <f t="array" ref="I2843">IFERROR(IF(INDEX(EmployeeData[Exit Reason], ROW() - 37)=0, "",INDEX(EmployeeData[Exit Reason], ROW() - 37)),"")</f>
        <v/>
      </c>
      <c r="J2843" s="4" t="str" cm="1">
        <f t="array" ref="J2843">IFERROR(INDEX(EmployeeData[Status], ROW() - 37), "")</f>
        <v/>
      </c>
    </row>
    <row r="2844" spans="2:10" ht="19.95" customHeight="1" x14ac:dyDescent="0.3">
      <c r="B2844" s="4" t="str" cm="1">
        <f t="array" ref="B2844">IFERROR(INDEX(EmployeeData[Employee ID], ROW() - 37), "")</f>
        <v/>
      </c>
      <c r="C2844" s="4" t="str" cm="1">
        <f t="array" ref="C2844">IFERROR(INDEX(EmployeeData[Full Name], ROW() - 37), "")</f>
        <v/>
      </c>
      <c r="D2844" s="4" t="str" cm="1">
        <f t="array" ref="D2844">IFERROR(INDEX(EmployeeData[Department], ROW() - 37), "")</f>
        <v/>
      </c>
      <c r="E2844" s="4" t="str" cm="1">
        <f t="array" ref="E2844">IFERROR(INDEX(EmployeeData[Gender], ROW() - 37), "")</f>
        <v/>
      </c>
      <c r="F2844" s="4" t="str" cm="1">
        <f t="array" ref="F2844">IFERROR(INDEX(EmployeeData[Age], ROW() - 37), "")</f>
        <v/>
      </c>
      <c r="G2844" s="6" t="str" cm="1">
        <f t="array" ref="G2844">IFERROR(INDEX(EmployeeData[Join Date], ROW() - 37), "")</f>
        <v/>
      </c>
      <c r="H2844" s="6" t="str" cm="1">
        <f t="array" ref="H2844">IFERROR(IF(INDEX(EmployeeData[Exit Date], ROW() - 37)=0, "",INDEX(EmployeeData[Exit Date], ROW() - 37)),"")</f>
        <v/>
      </c>
      <c r="I2844" s="4" t="str" cm="1">
        <f t="array" ref="I2844">IFERROR(IF(INDEX(EmployeeData[Exit Reason], ROW() - 37)=0, "",INDEX(EmployeeData[Exit Reason], ROW() - 37)),"")</f>
        <v/>
      </c>
      <c r="J2844" s="4" t="str" cm="1">
        <f t="array" ref="J2844">IFERROR(INDEX(EmployeeData[Status], ROW() - 37), "")</f>
        <v/>
      </c>
    </row>
    <row r="2845" spans="2:10" ht="19.95" customHeight="1" x14ac:dyDescent="0.3">
      <c r="B2845" s="4" t="str" cm="1">
        <f t="array" ref="B2845">IFERROR(INDEX(EmployeeData[Employee ID], ROW() - 37), "")</f>
        <v/>
      </c>
      <c r="C2845" s="4" t="str" cm="1">
        <f t="array" ref="C2845">IFERROR(INDEX(EmployeeData[Full Name], ROW() - 37), "")</f>
        <v/>
      </c>
      <c r="D2845" s="4" t="str" cm="1">
        <f t="array" ref="D2845">IFERROR(INDEX(EmployeeData[Department], ROW() - 37), "")</f>
        <v/>
      </c>
      <c r="E2845" s="4" t="str" cm="1">
        <f t="array" ref="E2845">IFERROR(INDEX(EmployeeData[Gender], ROW() - 37), "")</f>
        <v/>
      </c>
      <c r="F2845" s="4" t="str" cm="1">
        <f t="array" ref="F2845">IFERROR(INDEX(EmployeeData[Age], ROW() - 37), "")</f>
        <v/>
      </c>
      <c r="G2845" s="6" t="str" cm="1">
        <f t="array" ref="G2845">IFERROR(INDEX(EmployeeData[Join Date], ROW() - 37), "")</f>
        <v/>
      </c>
      <c r="H2845" s="6" t="str" cm="1">
        <f t="array" ref="H2845">IFERROR(IF(INDEX(EmployeeData[Exit Date], ROW() - 37)=0, "",INDEX(EmployeeData[Exit Date], ROW() - 37)),"")</f>
        <v/>
      </c>
      <c r="I2845" s="4" t="str" cm="1">
        <f t="array" ref="I2845">IFERROR(IF(INDEX(EmployeeData[Exit Reason], ROW() - 37)=0, "",INDEX(EmployeeData[Exit Reason], ROW() - 37)),"")</f>
        <v/>
      </c>
      <c r="J2845" s="4" t="str" cm="1">
        <f t="array" ref="J2845">IFERROR(INDEX(EmployeeData[Status], ROW() - 37), "")</f>
        <v/>
      </c>
    </row>
    <row r="2846" spans="2:10" ht="19.95" customHeight="1" x14ac:dyDescent="0.3">
      <c r="B2846" s="4" t="str" cm="1">
        <f t="array" ref="B2846">IFERROR(INDEX(EmployeeData[Employee ID], ROW() - 37), "")</f>
        <v/>
      </c>
      <c r="C2846" s="4" t="str" cm="1">
        <f t="array" ref="C2846">IFERROR(INDEX(EmployeeData[Full Name], ROW() - 37), "")</f>
        <v/>
      </c>
      <c r="D2846" s="4" t="str" cm="1">
        <f t="array" ref="D2846">IFERROR(INDEX(EmployeeData[Department], ROW() - 37), "")</f>
        <v/>
      </c>
      <c r="E2846" s="4" t="str" cm="1">
        <f t="array" ref="E2846">IFERROR(INDEX(EmployeeData[Gender], ROW() - 37), "")</f>
        <v/>
      </c>
      <c r="F2846" s="4" t="str" cm="1">
        <f t="array" ref="F2846">IFERROR(INDEX(EmployeeData[Age], ROW() - 37), "")</f>
        <v/>
      </c>
      <c r="G2846" s="6" t="str" cm="1">
        <f t="array" ref="G2846">IFERROR(INDEX(EmployeeData[Join Date], ROW() - 37), "")</f>
        <v/>
      </c>
      <c r="H2846" s="6" t="str" cm="1">
        <f t="array" ref="H2846">IFERROR(IF(INDEX(EmployeeData[Exit Date], ROW() - 37)=0, "",INDEX(EmployeeData[Exit Date], ROW() - 37)),"")</f>
        <v/>
      </c>
      <c r="I2846" s="4" t="str" cm="1">
        <f t="array" ref="I2846">IFERROR(IF(INDEX(EmployeeData[Exit Reason], ROW() - 37)=0, "",INDEX(EmployeeData[Exit Reason], ROW() - 37)),"")</f>
        <v/>
      </c>
      <c r="J2846" s="4" t="str" cm="1">
        <f t="array" ref="J2846">IFERROR(INDEX(EmployeeData[Status], ROW() - 37), "")</f>
        <v/>
      </c>
    </row>
    <row r="2847" spans="2:10" ht="19.95" customHeight="1" x14ac:dyDescent="0.3">
      <c r="B2847" s="4" t="str" cm="1">
        <f t="array" ref="B2847">IFERROR(INDEX(EmployeeData[Employee ID], ROW() - 37), "")</f>
        <v/>
      </c>
      <c r="C2847" s="4" t="str" cm="1">
        <f t="array" ref="C2847">IFERROR(INDEX(EmployeeData[Full Name], ROW() - 37), "")</f>
        <v/>
      </c>
      <c r="D2847" s="4" t="str" cm="1">
        <f t="array" ref="D2847">IFERROR(INDEX(EmployeeData[Department], ROW() - 37), "")</f>
        <v/>
      </c>
      <c r="E2847" s="4" t="str" cm="1">
        <f t="array" ref="E2847">IFERROR(INDEX(EmployeeData[Gender], ROW() - 37), "")</f>
        <v/>
      </c>
      <c r="F2847" s="4" t="str" cm="1">
        <f t="array" ref="F2847">IFERROR(INDEX(EmployeeData[Age], ROW() - 37), "")</f>
        <v/>
      </c>
      <c r="G2847" s="6" t="str" cm="1">
        <f t="array" ref="G2847">IFERROR(INDEX(EmployeeData[Join Date], ROW() - 37), "")</f>
        <v/>
      </c>
      <c r="H2847" s="6" t="str" cm="1">
        <f t="array" ref="H2847">IFERROR(IF(INDEX(EmployeeData[Exit Date], ROW() - 37)=0, "",INDEX(EmployeeData[Exit Date], ROW() - 37)),"")</f>
        <v/>
      </c>
      <c r="I2847" s="4" t="str" cm="1">
        <f t="array" ref="I2847">IFERROR(IF(INDEX(EmployeeData[Exit Reason], ROW() - 37)=0, "",INDEX(EmployeeData[Exit Reason], ROW() - 37)),"")</f>
        <v/>
      </c>
      <c r="J2847" s="4" t="str" cm="1">
        <f t="array" ref="J2847">IFERROR(INDEX(EmployeeData[Status], ROW() - 37), "")</f>
        <v/>
      </c>
    </row>
    <row r="2848" spans="2:10" ht="19.95" customHeight="1" x14ac:dyDescent="0.3">
      <c r="B2848" s="4" t="str" cm="1">
        <f t="array" ref="B2848">IFERROR(INDEX(EmployeeData[Employee ID], ROW() - 37), "")</f>
        <v/>
      </c>
      <c r="C2848" s="4" t="str" cm="1">
        <f t="array" ref="C2848">IFERROR(INDEX(EmployeeData[Full Name], ROW() - 37), "")</f>
        <v/>
      </c>
      <c r="D2848" s="4" t="str" cm="1">
        <f t="array" ref="D2848">IFERROR(INDEX(EmployeeData[Department], ROW() - 37), "")</f>
        <v/>
      </c>
      <c r="E2848" s="4" t="str" cm="1">
        <f t="array" ref="E2848">IFERROR(INDEX(EmployeeData[Gender], ROW() - 37), "")</f>
        <v/>
      </c>
      <c r="F2848" s="4" t="str" cm="1">
        <f t="array" ref="F2848">IFERROR(INDEX(EmployeeData[Age], ROW() - 37), "")</f>
        <v/>
      </c>
      <c r="G2848" s="6" t="str" cm="1">
        <f t="array" ref="G2848">IFERROR(INDEX(EmployeeData[Join Date], ROW() - 37), "")</f>
        <v/>
      </c>
      <c r="H2848" s="6" t="str" cm="1">
        <f t="array" ref="H2848">IFERROR(IF(INDEX(EmployeeData[Exit Date], ROW() - 37)=0, "",INDEX(EmployeeData[Exit Date], ROW() - 37)),"")</f>
        <v/>
      </c>
      <c r="I2848" s="4" t="str" cm="1">
        <f t="array" ref="I2848">IFERROR(IF(INDEX(EmployeeData[Exit Reason], ROW() - 37)=0, "",INDEX(EmployeeData[Exit Reason], ROW() - 37)),"")</f>
        <v/>
      </c>
      <c r="J2848" s="4" t="str" cm="1">
        <f t="array" ref="J2848">IFERROR(INDEX(EmployeeData[Status], ROW() - 37), "")</f>
        <v/>
      </c>
    </row>
    <row r="2849" spans="2:10" ht="19.95" customHeight="1" x14ac:dyDescent="0.3">
      <c r="B2849" s="4" t="str" cm="1">
        <f t="array" ref="B2849">IFERROR(INDEX(EmployeeData[Employee ID], ROW() - 37), "")</f>
        <v/>
      </c>
      <c r="C2849" s="4" t="str" cm="1">
        <f t="array" ref="C2849">IFERROR(INDEX(EmployeeData[Full Name], ROW() - 37), "")</f>
        <v/>
      </c>
      <c r="D2849" s="4" t="str" cm="1">
        <f t="array" ref="D2849">IFERROR(INDEX(EmployeeData[Department], ROW() - 37), "")</f>
        <v/>
      </c>
      <c r="E2849" s="4" t="str" cm="1">
        <f t="array" ref="E2849">IFERROR(INDEX(EmployeeData[Gender], ROW() - 37), "")</f>
        <v/>
      </c>
      <c r="F2849" s="4" t="str" cm="1">
        <f t="array" ref="F2849">IFERROR(INDEX(EmployeeData[Age], ROW() - 37), "")</f>
        <v/>
      </c>
      <c r="G2849" s="6" t="str" cm="1">
        <f t="array" ref="G2849">IFERROR(INDEX(EmployeeData[Join Date], ROW() - 37), "")</f>
        <v/>
      </c>
      <c r="H2849" s="6" t="str" cm="1">
        <f t="array" ref="H2849">IFERROR(IF(INDEX(EmployeeData[Exit Date], ROW() - 37)=0, "",INDEX(EmployeeData[Exit Date], ROW() - 37)),"")</f>
        <v/>
      </c>
      <c r="I2849" s="4" t="str" cm="1">
        <f t="array" ref="I2849">IFERROR(IF(INDEX(EmployeeData[Exit Reason], ROW() - 37)=0, "",INDEX(EmployeeData[Exit Reason], ROW() - 37)),"")</f>
        <v/>
      </c>
      <c r="J2849" s="4" t="str" cm="1">
        <f t="array" ref="J2849">IFERROR(INDEX(EmployeeData[Status], ROW() - 37), "")</f>
        <v/>
      </c>
    </row>
    <row r="2850" spans="2:10" ht="19.95" customHeight="1" x14ac:dyDescent="0.3">
      <c r="B2850" s="4" t="str" cm="1">
        <f t="array" ref="B2850">IFERROR(INDEX(EmployeeData[Employee ID], ROW() - 37), "")</f>
        <v/>
      </c>
      <c r="C2850" s="4" t="str" cm="1">
        <f t="array" ref="C2850">IFERROR(INDEX(EmployeeData[Full Name], ROW() - 37), "")</f>
        <v/>
      </c>
      <c r="D2850" s="4" t="str" cm="1">
        <f t="array" ref="D2850">IFERROR(INDEX(EmployeeData[Department], ROW() - 37), "")</f>
        <v/>
      </c>
      <c r="E2850" s="4" t="str" cm="1">
        <f t="array" ref="E2850">IFERROR(INDEX(EmployeeData[Gender], ROW() - 37), "")</f>
        <v/>
      </c>
      <c r="F2850" s="4" t="str" cm="1">
        <f t="array" ref="F2850">IFERROR(INDEX(EmployeeData[Age], ROW() - 37), "")</f>
        <v/>
      </c>
      <c r="G2850" s="6" t="str" cm="1">
        <f t="array" ref="G2850">IFERROR(INDEX(EmployeeData[Join Date], ROW() - 37), "")</f>
        <v/>
      </c>
      <c r="H2850" s="6" t="str" cm="1">
        <f t="array" ref="H2850">IFERROR(IF(INDEX(EmployeeData[Exit Date], ROW() - 37)=0, "",INDEX(EmployeeData[Exit Date], ROW() - 37)),"")</f>
        <v/>
      </c>
      <c r="I2850" s="4" t="str" cm="1">
        <f t="array" ref="I2850">IFERROR(IF(INDEX(EmployeeData[Exit Reason], ROW() - 37)=0, "",INDEX(EmployeeData[Exit Reason], ROW() - 37)),"")</f>
        <v/>
      </c>
      <c r="J2850" s="4" t="str" cm="1">
        <f t="array" ref="J2850">IFERROR(INDEX(EmployeeData[Status], ROW() - 37), "")</f>
        <v/>
      </c>
    </row>
    <row r="2851" spans="2:10" ht="19.95" customHeight="1" x14ac:dyDescent="0.3">
      <c r="B2851" s="4" t="str" cm="1">
        <f t="array" ref="B2851">IFERROR(INDEX(EmployeeData[Employee ID], ROW() - 37), "")</f>
        <v/>
      </c>
      <c r="C2851" s="4" t="str" cm="1">
        <f t="array" ref="C2851">IFERROR(INDEX(EmployeeData[Full Name], ROW() - 37), "")</f>
        <v/>
      </c>
      <c r="D2851" s="4" t="str" cm="1">
        <f t="array" ref="D2851">IFERROR(INDEX(EmployeeData[Department], ROW() - 37), "")</f>
        <v/>
      </c>
      <c r="E2851" s="4" t="str" cm="1">
        <f t="array" ref="E2851">IFERROR(INDEX(EmployeeData[Gender], ROW() - 37), "")</f>
        <v/>
      </c>
      <c r="F2851" s="4" t="str" cm="1">
        <f t="array" ref="F2851">IFERROR(INDEX(EmployeeData[Age], ROW() - 37), "")</f>
        <v/>
      </c>
      <c r="G2851" s="6" t="str" cm="1">
        <f t="array" ref="G2851">IFERROR(INDEX(EmployeeData[Join Date], ROW() - 37), "")</f>
        <v/>
      </c>
      <c r="H2851" s="6" t="str" cm="1">
        <f t="array" ref="H2851">IFERROR(IF(INDEX(EmployeeData[Exit Date], ROW() - 37)=0, "",INDEX(EmployeeData[Exit Date], ROW() - 37)),"")</f>
        <v/>
      </c>
      <c r="I2851" s="4" t="str" cm="1">
        <f t="array" ref="I2851">IFERROR(IF(INDEX(EmployeeData[Exit Reason], ROW() - 37)=0, "",INDEX(EmployeeData[Exit Reason], ROW() - 37)),"")</f>
        <v/>
      </c>
      <c r="J2851" s="4" t="str" cm="1">
        <f t="array" ref="J2851">IFERROR(INDEX(EmployeeData[Status], ROW() - 37), "")</f>
        <v/>
      </c>
    </row>
    <row r="2852" spans="2:10" ht="19.95" customHeight="1" x14ac:dyDescent="0.3">
      <c r="B2852" s="4" t="str" cm="1">
        <f t="array" ref="B2852">IFERROR(INDEX(EmployeeData[Employee ID], ROW() - 37), "")</f>
        <v/>
      </c>
      <c r="C2852" s="4" t="str" cm="1">
        <f t="array" ref="C2852">IFERROR(INDEX(EmployeeData[Full Name], ROW() - 37), "")</f>
        <v/>
      </c>
      <c r="D2852" s="4" t="str" cm="1">
        <f t="array" ref="D2852">IFERROR(INDEX(EmployeeData[Department], ROW() - 37), "")</f>
        <v/>
      </c>
      <c r="E2852" s="4" t="str" cm="1">
        <f t="array" ref="E2852">IFERROR(INDEX(EmployeeData[Gender], ROW() - 37), "")</f>
        <v/>
      </c>
      <c r="F2852" s="4" t="str" cm="1">
        <f t="array" ref="F2852">IFERROR(INDEX(EmployeeData[Age], ROW() - 37), "")</f>
        <v/>
      </c>
      <c r="G2852" s="6" t="str" cm="1">
        <f t="array" ref="G2852">IFERROR(INDEX(EmployeeData[Join Date], ROW() - 37), "")</f>
        <v/>
      </c>
      <c r="H2852" s="6" t="str" cm="1">
        <f t="array" ref="H2852">IFERROR(IF(INDEX(EmployeeData[Exit Date], ROW() - 37)=0, "",INDEX(EmployeeData[Exit Date], ROW() - 37)),"")</f>
        <v/>
      </c>
      <c r="I2852" s="4" t="str" cm="1">
        <f t="array" ref="I2852">IFERROR(IF(INDEX(EmployeeData[Exit Reason], ROW() - 37)=0, "",INDEX(EmployeeData[Exit Reason], ROW() - 37)),"")</f>
        <v/>
      </c>
      <c r="J2852" s="4" t="str" cm="1">
        <f t="array" ref="J2852">IFERROR(INDEX(EmployeeData[Status], ROW() - 37), "")</f>
        <v/>
      </c>
    </row>
    <row r="2853" spans="2:10" ht="19.95" customHeight="1" x14ac:dyDescent="0.3">
      <c r="B2853" s="4" t="str" cm="1">
        <f t="array" ref="B2853">IFERROR(INDEX(EmployeeData[Employee ID], ROW() - 37), "")</f>
        <v/>
      </c>
      <c r="C2853" s="4" t="str" cm="1">
        <f t="array" ref="C2853">IFERROR(INDEX(EmployeeData[Full Name], ROW() - 37), "")</f>
        <v/>
      </c>
      <c r="D2853" s="4" t="str" cm="1">
        <f t="array" ref="D2853">IFERROR(INDEX(EmployeeData[Department], ROW() - 37), "")</f>
        <v/>
      </c>
      <c r="E2853" s="4" t="str" cm="1">
        <f t="array" ref="E2853">IFERROR(INDEX(EmployeeData[Gender], ROW() - 37), "")</f>
        <v/>
      </c>
      <c r="F2853" s="4" t="str" cm="1">
        <f t="array" ref="F2853">IFERROR(INDEX(EmployeeData[Age], ROW() - 37), "")</f>
        <v/>
      </c>
      <c r="G2853" s="6" t="str" cm="1">
        <f t="array" ref="G2853">IFERROR(INDEX(EmployeeData[Join Date], ROW() - 37), "")</f>
        <v/>
      </c>
      <c r="H2853" s="6" t="str" cm="1">
        <f t="array" ref="H2853">IFERROR(IF(INDEX(EmployeeData[Exit Date], ROW() - 37)=0, "",INDEX(EmployeeData[Exit Date], ROW() - 37)),"")</f>
        <v/>
      </c>
      <c r="I2853" s="4" t="str" cm="1">
        <f t="array" ref="I2853">IFERROR(IF(INDEX(EmployeeData[Exit Reason], ROW() - 37)=0, "",INDEX(EmployeeData[Exit Reason], ROW() - 37)),"")</f>
        <v/>
      </c>
      <c r="J2853" s="4" t="str" cm="1">
        <f t="array" ref="J2853">IFERROR(INDEX(EmployeeData[Status], ROW() - 37), "")</f>
        <v/>
      </c>
    </row>
    <row r="2854" spans="2:10" ht="19.95" customHeight="1" x14ac:dyDescent="0.3">
      <c r="B2854" s="4" t="str" cm="1">
        <f t="array" ref="B2854">IFERROR(INDEX(EmployeeData[Employee ID], ROW() - 37), "")</f>
        <v/>
      </c>
      <c r="C2854" s="4" t="str" cm="1">
        <f t="array" ref="C2854">IFERROR(INDEX(EmployeeData[Full Name], ROW() - 37), "")</f>
        <v/>
      </c>
      <c r="D2854" s="4" t="str" cm="1">
        <f t="array" ref="D2854">IFERROR(INDEX(EmployeeData[Department], ROW() - 37), "")</f>
        <v/>
      </c>
      <c r="E2854" s="4" t="str" cm="1">
        <f t="array" ref="E2854">IFERROR(INDEX(EmployeeData[Gender], ROW() - 37), "")</f>
        <v/>
      </c>
      <c r="F2854" s="4" t="str" cm="1">
        <f t="array" ref="F2854">IFERROR(INDEX(EmployeeData[Age], ROW() - 37), "")</f>
        <v/>
      </c>
      <c r="G2854" s="6" t="str" cm="1">
        <f t="array" ref="G2854">IFERROR(INDEX(EmployeeData[Join Date], ROW() - 37), "")</f>
        <v/>
      </c>
      <c r="H2854" s="6" t="str" cm="1">
        <f t="array" ref="H2854">IFERROR(IF(INDEX(EmployeeData[Exit Date], ROW() - 37)=0, "",INDEX(EmployeeData[Exit Date], ROW() - 37)),"")</f>
        <v/>
      </c>
      <c r="I2854" s="4" t="str" cm="1">
        <f t="array" ref="I2854">IFERROR(IF(INDEX(EmployeeData[Exit Reason], ROW() - 37)=0, "",INDEX(EmployeeData[Exit Reason], ROW() - 37)),"")</f>
        <v/>
      </c>
      <c r="J2854" s="4" t="str" cm="1">
        <f t="array" ref="J2854">IFERROR(INDEX(EmployeeData[Status], ROW() - 37), "")</f>
        <v/>
      </c>
    </row>
    <row r="2855" spans="2:10" ht="19.95" customHeight="1" x14ac:dyDescent="0.3">
      <c r="B2855" s="4" t="str" cm="1">
        <f t="array" ref="B2855">IFERROR(INDEX(EmployeeData[Employee ID], ROW() - 37), "")</f>
        <v/>
      </c>
      <c r="C2855" s="4" t="str" cm="1">
        <f t="array" ref="C2855">IFERROR(INDEX(EmployeeData[Full Name], ROW() - 37), "")</f>
        <v/>
      </c>
      <c r="D2855" s="4" t="str" cm="1">
        <f t="array" ref="D2855">IFERROR(INDEX(EmployeeData[Department], ROW() - 37), "")</f>
        <v/>
      </c>
      <c r="E2855" s="4" t="str" cm="1">
        <f t="array" ref="E2855">IFERROR(INDEX(EmployeeData[Gender], ROW() - 37), "")</f>
        <v/>
      </c>
      <c r="F2855" s="4" t="str" cm="1">
        <f t="array" ref="F2855">IFERROR(INDEX(EmployeeData[Age], ROW() - 37), "")</f>
        <v/>
      </c>
      <c r="G2855" s="6" t="str" cm="1">
        <f t="array" ref="G2855">IFERROR(INDEX(EmployeeData[Join Date], ROW() - 37), "")</f>
        <v/>
      </c>
      <c r="H2855" s="6" t="str" cm="1">
        <f t="array" ref="H2855">IFERROR(IF(INDEX(EmployeeData[Exit Date], ROW() - 37)=0, "",INDEX(EmployeeData[Exit Date], ROW() - 37)),"")</f>
        <v/>
      </c>
      <c r="I2855" s="4" t="str" cm="1">
        <f t="array" ref="I2855">IFERROR(IF(INDEX(EmployeeData[Exit Reason], ROW() - 37)=0, "",INDEX(EmployeeData[Exit Reason], ROW() - 37)),"")</f>
        <v/>
      </c>
      <c r="J2855" s="4" t="str" cm="1">
        <f t="array" ref="J2855">IFERROR(INDEX(EmployeeData[Status], ROW() - 37), "")</f>
        <v/>
      </c>
    </row>
    <row r="2856" spans="2:10" ht="19.95" customHeight="1" x14ac:dyDescent="0.3">
      <c r="B2856" s="4" t="str" cm="1">
        <f t="array" ref="B2856">IFERROR(INDEX(EmployeeData[Employee ID], ROW() - 37), "")</f>
        <v/>
      </c>
      <c r="C2856" s="4" t="str" cm="1">
        <f t="array" ref="C2856">IFERROR(INDEX(EmployeeData[Full Name], ROW() - 37), "")</f>
        <v/>
      </c>
      <c r="D2856" s="4" t="str" cm="1">
        <f t="array" ref="D2856">IFERROR(INDEX(EmployeeData[Department], ROW() - 37), "")</f>
        <v/>
      </c>
      <c r="E2856" s="4" t="str" cm="1">
        <f t="array" ref="E2856">IFERROR(INDEX(EmployeeData[Gender], ROW() - 37), "")</f>
        <v/>
      </c>
      <c r="F2856" s="4" t="str" cm="1">
        <f t="array" ref="F2856">IFERROR(INDEX(EmployeeData[Age], ROW() - 37), "")</f>
        <v/>
      </c>
      <c r="G2856" s="6" t="str" cm="1">
        <f t="array" ref="G2856">IFERROR(INDEX(EmployeeData[Join Date], ROW() - 37), "")</f>
        <v/>
      </c>
      <c r="H2856" s="6" t="str" cm="1">
        <f t="array" ref="H2856">IFERROR(IF(INDEX(EmployeeData[Exit Date], ROW() - 37)=0, "",INDEX(EmployeeData[Exit Date], ROW() - 37)),"")</f>
        <v/>
      </c>
      <c r="I2856" s="4" t="str" cm="1">
        <f t="array" ref="I2856">IFERROR(IF(INDEX(EmployeeData[Exit Reason], ROW() - 37)=0, "",INDEX(EmployeeData[Exit Reason], ROW() - 37)),"")</f>
        <v/>
      </c>
      <c r="J2856" s="4" t="str" cm="1">
        <f t="array" ref="J2856">IFERROR(INDEX(EmployeeData[Status], ROW() - 37), "")</f>
        <v/>
      </c>
    </row>
    <row r="2857" spans="2:10" ht="19.95" customHeight="1" x14ac:dyDescent="0.3">
      <c r="B2857" s="4" t="str" cm="1">
        <f t="array" ref="B2857">IFERROR(INDEX(EmployeeData[Employee ID], ROW() - 37), "")</f>
        <v/>
      </c>
      <c r="C2857" s="4" t="str" cm="1">
        <f t="array" ref="C2857">IFERROR(INDEX(EmployeeData[Full Name], ROW() - 37), "")</f>
        <v/>
      </c>
      <c r="D2857" s="4" t="str" cm="1">
        <f t="array" ref="D2857">IFERROR(INDEX(EmployeeData[Department], ROW() - 37), "")</f>
        <v/>
      </c>
      <c r="E2857" s="4" t="str" cm="1">
        <f t="array" ref="E2857">IFERROR(INDEX(EmployeeData[Gender], ROW() - 37), "")</f>
        <v/>
      </c>
      <c r="F2857" s="4" t="str" cm="1">
        <f t="array" ref="F2857">IFERROR(INDEX(EmployeeData[Age], ROW() - 37), "")</f>
        <v/>
      </c>
      <c r="G2857" s="6" t="str" cm="1">
        <f t="array" ref="G2857">IFERROR(INDEX(EmployeeData[Join Date], ROW() - 37), "")</f>
        <v/>
      </c>
      <c r="H2857" s="6" t="str" cm="1">
        <f t="array" ref="H2857">IFERROR(IF(INDEX(EmployeeData[Exit Date], ROW() - 37)=0, "",INDEX(EmployeeData[Exit Date], ROW() - 37)),"")</f>
        <v/>
      </c>
      <c r="I2857" s="4" t="str" cm="1">
        <f t="array" ref="I2857">IFERROR(IF(INDEX(EmployeeData[Exit Reason], ROW() - 37)=0, "",INDEX(EmployeeData[Exit Reason], ROW() - 37)),"")</f>
        <v/>
      </c>
      <c r="J2857" s="4" t="str" cm="1">
        <f t="array" ref="J2857">IFERROR(INDEX(EmployeeData[Status], ROW() - 37), "")</f>
        <v/>
      </c>
    </row>
    <row r="2858" spans="2:10" ht="19.95" customHeight="1" x14ac:dyDescent="0.3">
      <c r="B2858" s="4" t="str" cm="1">
        <f t="array" ref="B2858">IFERROR(INDEX(EmployeeData[Employee ID], ROW() - 37), "")</f>
        <v/>
      </c>
      <c r="C2858" s="4" t="str" cm="1">
        <f t="array" ref="C2858">IFERROR(INDEX(EmployeeData[Full Name], ROW() - 37), "")</f>
        <v/>
      </c>
      <c r="D2858" s="4" t="str" cm="1">
        <f t="array" ref="D2858">IFERROR(INDEX(EmployeeData[Department], ROW() - 37), "")</f>
        <v/>
      </c>
      <c r="E2858" s="4" t="str" cm="1">
        <f t="array" ref="E2858">IFERROR(INDEX(EmployeeData[Gender], ROW() - 37), "")</f>
        <v/>
      </c>
      <c r="F2858" s="4" t="str" cm="1">
        <f t="array" ref="F2858">IFERROR(INDEX(EmployeeData[Age], ROW() - 37), "")</f>
        <v/>
      </c>
      <c r="G2858" s="6" t="str" cm="1">
        <f t="array" ref="G2858">IFERROR(INDEX(EmployeeData[Join Date], ROW() - 37), "")</f>
        <v/>
      </c>
      <c r="H2858" s="6" t="str" cm="1">
        <f t="array" ref="H2858">IFERROR(IF(INDEX(EmployeeData[Exit Date], ROW() - 37)=0, "",INDEX(EmployeeData[Exit Date], ROW() - 37)),"")</f>
        <v/>
      </c>
      <c r="I2858" s="4" t="str" cm="1">
        <f t="array" ref="I2858">IFERROR(IF(INDEX(EmployeeData[Exit Reason], ROW() - 37)=0, "",INDEX(EmployeeData[Exit Reason], ROW() - 37)),"")</f>
        <v/>
      </c>
      <c r="J2858" s="4" t="str" cm="1">
        <f t="array" ref="J2858">IFERROR(INDEX(EmployeeData[Status], ROW() - 37), "")</f>
        <v/>
      </c>
    </row>
    <row r="2859" spans="2:10" ht="19.95" customHeight="1" x14ac:dyDescent="0.3">
      <c r="B2859" s="4" t="str" cm="1">
        <f t="array" ref="B2859">IFERROR(INDEX(EmployeeData[Employee ID], ROW() - 37), "")</f>
        <v/>
      </c>
      <c r="C2859" s="4" t="str" cm="1">
        <f t="array" ref="C2859">IFERROR(INDEX(EmployeeData[Full Name], ROW() - 37), "")</f>
        <v/>
      </c>
      <c r="D2859" s="4" t="str" cm="1">
        <f t="array" ref="D2859">IFERROR(INDEX(EmployeeData[Department], ROW() - 37), "")</f>
        <v/>
      </c>
      <c r="E2859" s="4" t="str" cm="1">
        <f t="array" ref="E2859">IFERROR(INDEX(EmployeeData[Gender], ROW() - 37), "")</f>
        <v/>
      </c>
      <c r="F2859" s="4" t="str" cm="1">
        <f t="array" ref="F2859">IFERROR(INDEX(EmployeeData[Age], ROW() - 37), "")</f>
        <v/>
      </c>
      <c r="G2859" s="6" t="str" cm="1">
        <f t="array" ref="G2859">IFERROR(INDEX(EmployeeData[Join Date], ROW() - 37), "")</f>
        <v/>
      </c>
      <c r="H2859" s="6" t="str" cm="1">
        <f t="array" ref="H2859">IFERROR(IF(INDEX(EmployeeData[Exit Date], ROW() - 37)=0, "",INDEX(EmployeeData[Exit Date], ROW() - 37)),"")</f>
        <v/>
      </c>
      <c r="I2859" s="4" t="str" cm="1">
        <f t="array" ref="I2859">IFERROR(IF(INDEX(EmployeeData[Exit Reason], ROW() - 37)=0, "",INDEX(EmployeeData[Exit Reason], ROW() - 37)),"")</f>
        <v/>
      </c>
      <c r="J2859" s="4" t="str" cm="1">
        <f t="array" ref="J2859">IFERROR(INDEX(EmployeeData[Status], ROW() - 37), "")</f>
        <v/>
      </c>
    </row>
    <row r="2860" spans="2:10" ht="19.95" customHeight="1" x14ac:dyDescent="0.3">
      <c r="B2860" s="4" t="str" cm="1">
        <f t="array" ref="B2860">IFERROR(INDEX(EmployeeData[Employee ID], ROW() - 37), "")</f>
        <v/>
      </c>
      <c r="C2860" s="4" t="str" cm="1">
        <f t="array" ref="C2860">IFERROR(INDEX(EmployeeData[Full Name], ROW() - 37), "")</f>
        <v/>
      </c>
      <c r="D2860" s="4" t="str" cm="1">
        <f t="array" ref="D2860">IFERROR(INDEX(EmployeeData[Department], ROW() - 37), "")</f>
        <v/>
      </c>
      <c r="E2860" s="4" t="str" cm="1">
        <f t="array" ref="E2860">IFERROR(INDEX(EmployeeData[Gender], ROW() - 37), "")</f>
        <v/>
      </c>
      <c r="F2860" s="4" t="str" cm="1">
        <f t="array" ref="F2860">IFERROR(INDEX(EmployeeData[Age], ROW() - 37), "")</f>
        <v/>
      </c>
      <c r="G2860" s="6" t="str" cm="1">
        <f t="array" ref="G2860">IFERROR(INDEX(EmployeeData[Join Date], ROW() - 37), "")</f>
        <v/>
      </c>
      <c r="H2860" s="6" t="str" cm="1">
        <f t="array" ref="H2860">IFERROR(IF(INDEX(EmployeeData[Exit Date], ROW() - 37)=0, "",INDEX(EmployeeData[Exit Date], ROW() - 37)),"")</f>
        <v/>
      </c>
      <c r="I2860" s="4" t="str" cm="1">
        <f t="array" ref="I2860">IFERROR(IF(INDEX(EmployeeData[Exit Reason], ROW() - 37)=0, "",INDEX(EmployeeData[Exit Reason], ROW() - 37)),"")</f>
        <v/>
      </c>
      <c r="J2860" s="4" t="str" cm="1">
        <f t="array" ref="J2860">IFERROR(INDEX(EmployeeData[Status], ROW() - 37), "")</f>
        <v/>
      </c>
    </row>
    <row r="2861" spans="2:10" ht="19.95" customHeight="1" x14ac:dyDescent="0.3">
      <c r="B2861" s="4" t="str" cm="1">
        <f t="array" ref="B2861">IFERROR(INDEX(EmployeeData[Employee ID], ROW() - 37), "")</f>
        <v/>
      </c>
      <c r="C2861" s="4" t="str" cm="1">
        <f t="array" ref="C2861">IFERROR(INDEX(EmployeeData[Full Name], ROW() - 37), "")</f>
        <v/>
      </c>
      <c r="D2861" s="4" t="str" cm="1">
        <f t="array" ref="D2861">IFERROR(INDEX(EmployeeData[Department], ROW() - 37), "")</f>
        <v/>
      </c>
      <c r="E2861" s="4" t="str" cm="1">
        <f t="array" ref="E2861">IFERROR(INDEX(EmployeeData[Gender], ROW() - 37), "")</f>
        <v/>
      </c>
      <c r="F2861" s="4" t="str" cm="1">
        <f t="array" ref="F2861">IFERROR(INDEX(EmployeeData[Age], ROW() - 37), "")</f>
        <v/>
      </c>
      <c r="G2861" s="6" t="str" cm="1">
        <f t="array" ref="G2861">IFERROR(INDEX(EmployeeData[Join Date], ROW() - 37), "")</f>
        <v/>
      </c>
      <c r="H2861" s="6" t="str" cm="1">
        <f t="array" ref="H2861">IFERROR(IF(INDEX(EmployeeData[Exit Date], ROW() - 37)=0, "",INDEX(EmployeeData[Exit Date], ROW() - 37)),"")</f>
        <v/>
      </c>
      <c r="I2861" s="4" t="str" cm="1">
        <f t="array" ref="I2861">IFERROR(IF(INDEX(EmployeeData[Exit Reason], ROW() - 37)=0, "",INDEX(EmployeeData[Exit Reason], ROW() - 37)),"")</f>
        <v/>
      </c>
      <c r="J2861" s="4" t="str" cm="1">
        <f t="array" ref="J2861">IFERROR(INDEX(EmployeeData[Status], ROW() - 37), "")</f>
        <v/>
      </c>
    </row>
    <row r="2862" spans="2:10" ht="19.95" customHeight="1" x14ac:dyDescent="0.3">
      <c r="B2862" s="4" t="str" cm="1">
        <f t="array" ref="B2862">IFERROR(INDEX(EmployeeData[Employee ID], ROW() - 37), "")</f>
        <v/>
      </c>
      <c r="C2862" s="4" t="str" cm="1">
        <f t="array" ref="C2862">IFERROR(INDEX(EmployeeData[Full Name], ROW() - 37), "")</f>
        <v/>
      </c>
      <c r="D2862" s="4" t="str" cm="1">
        <f t="array" ref="D2862">IFERROR(INDEX(EmployeeData[Department], ROW() - 37), "")</f>
        <v/>
      </c>
      <c r="E2862" s="4" t="str" cm="1">
        <f t="array" ref="E2862">IFERROR(INDEX(EmployeeData[Gender], ROW() - 37), "")</f>
        <v/>
      </c>
      <c r="F2862" s="4" t="str" cm="1">
        <f t="array" ref="F2862">IFERROR(INDEX(EmployeeData[Age], ROW() - 37), "")</f>
        <v/>
      </c>
      <c r="G2862" s="6" t="str" cm="1">
        <f t="array" ref="G2862">IFERROR(INDEX(EmployeeData[Join Date], ROW() - 37), "")</f>
        <v/>
      </c>
      <c r="H2862" s="6" t="str" cm="1">
        <f t="array" ref="H2862">IFERROR(IF(INDEX(EmployeeData[Exit Date], ROW() - 37)=0, "",INDEX(EmployeeData[Exit Date], ROW() - 37)),"")</f>
        <v/>
      </c>
      <c r="I2862" s="4" t="str" cm="1">
        <f t="array" ref="I2862">IFERROR(IF(INDEX(EmployeeData[Exit Reason], ROW() - 37)=0, "",INDEX(EmployeeData[Exit Reason], ROW() - 37)),"")</f>
        <v/>
      </c>
      <c r="J2862" s="4" t="str" cm="1">
        <f t="array" ref="J2862">IFERROR(INDEX(EmployeeData[Status], ROW() - 37), "")</f>
        <v/>
      </c>
    </row>
    <row r="2863" spans="2:10" ht="19.95" customHeight="1" x14ac:dyDescent="0.3">
      <c r="B2863" s="4" t="str" cm="1">
        <f t="array" ref="B2863">IFERROR(INDEX(EmployeeData[Employee ID], ROW() - 37), "")</f>
        <v/>
      </c>
      <c r="C2863" s="4" t="str" cm="1">
        <f t="array" ref="C2863">IFERROR(INDEX(EmployeeData[Full Name], ROW() - 37), "")</f>
        <v/>
      </c>
      <c r="D2863" s="4" t="str" cm="1">
        <f t="array" ref="D2863">IFERROR(INDEX(EmployeeData[Department], ROW() - 37), "")</f>
        <v/>
      </c>
      <c r="E2863" s="4" t="str" cm="1">
        <f t="array" ref="E2863">IFERROR(INDEX(EmployeeData[Gender], ROW() - 37), "")</f>
        <v/>
      </c>
      <c r="F2863" s="4" t="str" cm="1">
        <f t="array" ref="F2863">IFERROR(INDEX(EmployeeData[Age], ROW() - 37), "")</f>
        <v/>
      </c>
      <c r="G2863" s="6" t="str" cm="1">
        <f t="array" ref="G2863">IFERROR(INDEX(EmployeeData[Join Date], ROW() - 37), "")</f>
        <v/>
      </c>
      <c r="H2863" s="6" t="str" cm="1">
        <f t="array" ref="H2863">IFERROR(IF(INDEX(EmployeeData[Exit Date], ROW() - 37)=0, "",INDEX(EmployeeData[Exit Date], ROW() - 37)),"")</f>
        <v/>
      </c>
      <c r="I2863" s="4" t="str" cm="1">
        <f t="array" ref="I2863">IFERROR(IF(INDEX(EmployeeData[Exit Reason], ROW() - 37)=0, "",INDEX(EmployeeData[Exit Reason], ROW() - 37)),"")</f>
        <v/>
      </c>
      <c r="J2863" s="4" t="str" cm="1">
        <f t="array" ref="J2863">IFERROR(INDEX(EmployeeData[Status], ROW() - 37), "")</f>
        <v/>
      </c>
    </row>
    <row r="2864" spans="2:10" ht="19.95" customHeight="1" x14ac:dyDescent="0.3">
      <c r="B2864" s="4" t="str" cm="1">
        <f t="array" ref="B2864">IFERROR(INDEX(EmployeeData[Employee ID], ROW() - 37), "")</f>
        <v/>
      </c>
      <c r="C2864" s="4" t="str" cm="1">
        <f t="array" ref="C2864">IFERROR(INDEX(EmployeeData[Full Name], ROW() - 37), "")</f>
        <v/>
      </c>
      <c r="D2864" s="4" t="str" cm="1">
        <f t="array" ref="D2864">IFERROR(INDEX(EmployeeData[Department], ROW() - 37), "")</f>
        <v/>
      </c>
      <c r="E2864" s="4" t="str" cm="1">
        <f t="array" ref="E2864">IFERROR(INDEX(EmployeeData[Gender], ROW() - 37), "")</f>
        <v/>
      </c>
      <c r="F2864" s="4" t="str" cm="1">
        <f t="array" ref="F2864">IFERROR(INDEX(EmployeeData[Age], ROW() - 37), "")</f>
        <v/>
      </c>
      <c r="G2864" s="6" t="str" cm="1">
        <f t="array" ref="G2864">IFERROR(INDEX(EmployeeData[Join Date], ROW() - 37), "")</f>
        <v/>
      </c>
      <c r="H2864" s="6" t="str" cm="1">
        <f t="array" ref="H2864">IFERROR(IF(INDEX(EmployeeData[Exit Date], ROW() - 37)=0, "",INDEX(EmployeeData[Exit Date], ROW() - 37)),"")</f>
        <v/>
      </c>
      <c r="I2864" s="4" t="str" cm="1">
        <f t="array" ref="I2864">IFERROR(IF(INDEX(EmployeeData[Exit Reason], ROW() - 37)=0, "",INDEX(EmployeeData[Exit Reason], ROW() - 37)),"")</f>
        <v/>
      </c>
      <c r="J2864" s="4" t="str" cm="1">
        <f t="array" ref="J2864">IFERROR(INDEX(EmployeeData[Status], ROW() - 37), "")</f>
        <v/>
      </c>
    </row>
    <row r="2865" spans="2:10" ht="19.95" customHeight="1" x14ac:dyDescent="0.3">
      <c r="B2865" s="4" t="str" cm="1">
        <f t="array" ref="B2865">IFERROR(INDEX(EmployeeData[Employee ID], ROW() - 37), "")</f>
        <v/>
      </c>
      <c r="C2865" s="4" t="str" cm="1">
        <f t="array" ref="C2865">IFERROR(INDEX(EmployeeData[Full Name], ROW() - 37), "")</f>
        <v/>
      </c>
      <c r="D2865" s="4" t="str" cm="1">
        <f t="array" ref="D2865">IFERROR(INDEX(EmployeeData[Department], ROW() - 37), "")</f>
        <v/>
      </c>
      <c r="E2865" s="4" t="str" cm="1">
        <f t="array" ref="E2865">IFERROR(INDEX(EmployeeData[Gender], ROW() - 37), "")</f>
        <v/>
      </c>
      <c r="F2865" s="4" t="str" cm="1">
        <f t="array" ref="F2865">IFERROR(INDEX(EmployeeData[Age], ROW() - 37), "")</f>
        <v/>
      </c>
      <c r="G2865" s="6" t="str" cm="1">
        <f t="array" ref="G2865">IFERROR(INDEX(EmployeeData[Join Date], ROW() - 37), "")</f>
        <v/>
      </c>
      <c r="H2865" s="6" t="str" cm="1">
        <f t="array" ref="H2865">IFERROR(IF(INDEX(EmployeeData[Exit Date], ROW() - 37)=0, "",INDEX(EmployeeData[Exit Date], ROW() - 37)),"")</f>
        <v/>
      </c>
      <c r="I2865" s="4" t="str" cm="1">
        <f t="array" ref="I2865">IFERROR(IF(INDEX(EmployeeData[Exit Reason], ROW() - 37)=0, "",INDEX(EmployeeData[Exit Reason], ROW() - 37)),"")</f>
        <v/>
      </c>
      <c r="J2865" s="4" t="str" cm="1">
        <f t="array" ref="J2865">IFERROR(INDEX(EmployeeData[Status], ROW() - 37), "")</f>
        <v/>
      </c>
    </row>
    <row r="2866" spans="2:10" ht="19.95" customHeight="1" x14ac:dyDescent="0.3">
      <c r="B2866" s="4" t="str" cm="1">
        <f t="array" ref="B2866">IFERROR(INDEX(EmployeeData[Employee ID], ROW() - 37), "")</f>
        <v/>
      </c>
      <c r="C2866" s="4" t="str" cm="1">
        <f t="array" ref="C2866">IFERROR(INDEX(EmployeeData[Full Name], ROW() - 37), "")</f>
        <v/>
      </c>
      <c r="D2866" s="4" t="str" cm="1">
        <f t="array" ref="D2866">IFERROR(INDEX(EmployeeData[Department], ROW() - 37), "")</f>
        <v/>
      </c>
      <c r="E2866" s="4" t="str" cm="1">
        <f t="array" ref="E2866">IFERROR(INDEX(EmployeeData[Gender], ROW() - 37), "")</f>
        <v/>
      </c>
      <c r="F2866" s="4" t="str" cm="1">
        <f t="array" ref="F2866">IFERROR(INDEX(EmployeeData[Age], ROW() - 37), "")</f>
        <v/>
      </c>
      <c r="G2866" s="6" t="str" cm="1">
        <f t="array" ref="G2866">IFERROR(INDEX(EmployeeData[Join Date], ROW() - 37), "")</f>
        <v/>
      </c>
      <c r="H2866" s="6" t="str" cm="1">
        <f t="array" ref="H2866">IFERROR(IF(INDEX(EmployeeData[Exit Date], ROW() - 37)=0, "",INDEX(EmployeeData[Exit Date], ROW() - 37)),"")</f>
        <v/>
      </c>
      <c r="I2866" s="4" t="str" cm="1">
        <f t="array" ref="I2866">IFERROR(IF(INDEX(EmployeeData[Exit Reason], ROW() - 37)=0, "",INDEX(EmployeeData[Exit Reason], ROW() - 37)),"")</f>
        <v/>
      </c>
      <c r="J2866" s="4" t="str" cm="1">
        <f t="array" ref="J2866">IFERROR(INDEX(EmployeeData[Status], ROW() - 37), "")</f>
        <v/>
      </c>
    </row>
    <row r="2867" spans="2:10" ht="19.95" customHeight="1" x14ac:dyDescent="0.3">
      <c r="B2867" s="4" t="str" cm="1">
        <f t="array" ref="B2867">IFERROR(INDEX(EmployeeData[Employee ID], ROW() - 37), "")</f>
        <v/>
      </c>
      <c r="C2867" s="4" t="str" cm="1">
        <f t="array" ref="C2867">IFERROR(INDEX(EmployeeData[Full Name], ROW() - 37), "")</f>
        <v/>
      </c>
      <c r="D2867" s="4" t="str" cm="1">
        <f t="array" ref="D2867">IFERROR(INDEX(EmployeeData[Department], ROW() - 37), "")</f>
        <v/>
      </c>
      <c r="E2867" s="4" t="str" cm="1">
        <f t="array" ref="E2867">IFERROR(INDEX(EmployeeData[Gender], ROW() - 37), "")</f>
        <v/>
      </c>
      <c r="F2867" s="4" t="str" cm="1">
        <f t="array" ref="F2867">IFERROR(INDEX(EmployeeData[Age], ROW() - 37), "")</f>
        <v/>
      </c>
      <c r="G2867" s="6" t="str" cm="1">
        <f t="array" ref="G2867">IFERROR(INDEX(EmployeeData[Join Date], ROW() - 37), "")</f>
        <v/>
      </c>
      <c r="H2867" s="6" t="str" cm="1">
        <f t="array" ref="H2867">IFERROR(IF(INDEX(EmployeeData[Exit Date], ROW() - 37)=0, "",INDEX(EmployeeData[Exit Date], ROW() - 37)),"")</f>
        <v/>
      </c>
      <c r="I2867" s="4" t="str" cm="1">
        <f t="array" ref="I2867">IFERROR(IF(INDEX(EmployeeData[Exit Reason], ROW() - 37)=0, "",INDEX(EmployeeData[Exit Reason], ROW() - 37)),"")</f>
        <v/>
      </c>
      <c r="J2867" s="4" t="str" cm="1">
        <f t="array" ref="J2867">IFERROR(INDEX(EmployeeData[Status], ROW() - 37), "")</f>
        <v/>
      </c>
    </row>
    <row r="2868" spans="2:10" ht="19.95" customHeight="1" x14ac:dyDescent="0.3">
      <c r="B2868" s="4" t="str" cm="1">
        <f t="array" ref="B2868">IFERROR(INDEX(EmployeeData[Employee ID], ROW() - 37), "")</f>
        <v/>
      </c>
      <c r="C2868" s="4" t="str" cm="1">
        <f t="array" ref="C2868">IFERROR(INDEX(EmployeeData[Full Name], ROW() - 37), "")</f>
        <v/>
      </c>
      <c r="D2868" s="4" t="str" cm="1">
        <f t="array" ref="D2868">IFERROR(INDEX(EmployeeData[Department], ROW() - 37), "")</f>
        <v/>
      </c>
      <c r="E2868" s="4" t="str" cm="1">
        <f t="array" ref="E2868">IFERROR(INDEX(EmployeeData[Gender], ROW() - 37), "")</f>
        <v/>
      </c>
      <c r="F2868" s="4" t="str" cm="1">
        <f t="array" ref="F2868">IFERROR(INDEX(EmployeeData[Age], ROW() - 37), "")</f>
        <v/>
      </c>
      <c r="G2868" s="6" t="str" cm="1">
        <f t="array" ref="G2868">IFERROR(INDEX(EmployeeData[Join Date], ROW() - 37), "")</f>
        <v/>
      </c>
      <c r="H2868" s="6" t="str" cm="1">
        <f t="array" ref="H2868">IFERROR(IF(INDEX(EmployeeData[Exit Date], ROW() - 37)=0, "",INDEX(EmployeeData[Exit Date], ROW() - 37)),"")</f>
        <v/>
      </c>
      <c r="I2868" s="4" t="str" cm="1">
        <f t="array" ref="I2868">IFERROR(IF(INDEX(EmployeeData[Exit Reason], ROW() - 37)=0, "",INDEX(EmployeeData[Exit Reason], ROW() - 37)),"")</f>
        <v/>
      </c>
      <c r="J2868" s="4" t="str" cm="1">
        <f t="array" ref="J2868">IFERROR(INDEX(EmployeeData[Status], ROW() - 37), "")</f>
        <v/>
      </c>
    </row>
    <row r="2869" spans="2:10" ht="19.95" customHeight="1" x14ac:dyDescent="0.3">
      <c r="B2869" s="4" t="str" cm="1">
        <f t="array" ref="B2869">IFERROR(INDEX(EmployeeData[Employee ID], ROW() - 37), "")</f>
        <v/>
      </c>
      <c r="C2869" s="4" t="str" cm="1">
        <f t="array" ref="C2869">IFERROR(INDEX(EmployeeData[Full Name], ROW() - 37), "")</f>
        <v/>
      </c>
      <c r="D2869" s="4" t="str" cm="1">
        <f t="array" ref="D2869">IFERROR(INDEX(EmployeeData[Department], ROW() - 37), "")</f>
        <v/>
      </c>
      <c r="E2869" s="4" t="str" cm="1">
        <f t="array" ref="E2869">IFERROR(INDEX(EmployeeData[Gender], ROW() - 37), "")</f>
        <v/>
      </c>
      <c r="F2869" s="4" t="str" cm="1">
        <f t="array" ref="F2869">IFERROR(INDEX(EmployeeData[Age], ROW() - 37), "")</f>
        <v/>
      </c>
      <c r="G2869" s="6" t="str" cm="1">
        <f t="array" ref="G2869">IFERROR(INDEX(EmployeeData[Join Date], ROW() - 37), "")</f>
        <v/>
      </c>
      <c r="H2869" s="6" t="str" cm="1">
        <f t="array" ref="H2869">IFERROR(IF(INDEX(EmployeeData[Exit Date], ROW() - 37)=0, "",INDEX(EmployeeData[Exit Date], ROW() - 37)),"")</f>
        <v/>
      </c>
      <c r="I2869" s="4" t="str" cm="1">
        <f t="array" ref="I2869">IFERROR(IF(INDEX(EmployeeData[Exit Reason], ROW() - 37)=0, "",INDEX(EmployeeData[Exit Reason], ROW() - 37)),"")</f>
        <v/>
      </c>
      <c r="J2869" s="4" t="str" cm="1">
        <f t="array" ref="J2869">IFERROR(INDEX(EmployeeData[Status], ROW() - 37), "")</f>
        <v/>
      </c>
    </row>
    <row r="2870" spans="2:10" ht="19.95" customHeight="1" x14ac:dyDescent="0.3">
      <c r="B2870" s="4" t="str" cm="1">
        <f t="array" ref="B2870">IFERROR(INDEX(EmployeeData[Employee ID], ROW() - 37), "")</f>
        <v/>
      </c>
      <c r="C2870" s="4" t="str" cm="1">
        <f t="array" ref="C2870">IFERROR(INDEX(EmployeeData[Full Name], ROW() - 37), "")</f>
        <v/>
      </c>
      <c r="D2870" s="4" t="str" cm="1">
        <f t="array" ref="D2870">IFERROR(INDEX(EmployeeData[Department], ROW() - 37), "")</f>
        <v/>
      </c>
      <c r="E2870" s="4" t="str" cm="1">
        <f t="array" ref="E2870">IFERROR(INDEX(EmployeeData[Gender], ROW() - 37), "")</f>
        <v/>
      </c>
      <c r="F2870" s="4" t="str" cm="1">
        <f t="array" ref="F2870">IFERROR(INDEX(EmployeeData[Age], ROW() - 37), "")</f>
        <v/>
      </c>
      <c r="G2870" s="6" t="str" cm="1">
        <f t="array" ref="G2870">IFERROR(INDEX(EmployeeData[Join Date], ROW() - 37), "")</f>
        <v/>
      </c>
      <c r="H2870" s="6" t="str" cm="1">
        <f t="array" ref="H2870">IFERROR(IF(INDEX(EmployeeData[Exit Date], ROW() - 37)=0, "",INDEX(EmployeeData[Exit Date], ROW() - 37)),"")</f>
        <v/>
      </c>
      <c r="I2870" s="4" t="str" cm="1">
        <f t="array" ref="I2870">IFERROR(IF(INDEX(EmployeeData[Exit Reason], ROW() - 37)=0, "",INDEX(EmployeeData[Exit Reason], ROW() - 37)),"")</f>
        <v/>
      </c>
      <c r="J2870" s="4" t="str" cm="1">
        <f t="array" ref="J2870">IFERROR(INDEX(EmployeeData[Status], ROW() - 37), "")</f>
        <v/>
      </c>
    </row>
    <row r="2871" spans="2:10" ht="19.95" customHeight="1" x14ac:dyDescent="0.3">
      <c r="B2871" s="4" t="str" cm="1">
        <f t="array" ref="B2871">IFERROR(INDEX(EmployeeData[Employee ID], ROW() - 37), "")</f>
        <v/>
      </c>
      <c r="C2871" s="4" t="str" cm="1">
        <f t="array" ref="C2871">IFERROR(INDEX(EmployeeData[Full Name], ROW() - 37), "")</f>
        <v/>
      </c>
      <c r="D2871" s="4" t="str" cm="1">
        <f t="array" ref="D2871">IFERROR(INDEX(EmployeeData[Department], ROW() - 37), "")</f>
        <v/>
      </c>
      <c r="E2871" s="4" t="str" cm="1">
        <f t="array" ref="E2871">IFERROR(INDEX(EmployeeData[Gender], ROW() - 37), "")</f>
        <v/>
      </c>
      <c r="F2871" s="4" t="str" cm="1">
        <f t="array" ref="F2871">IFERROR(INDEX(EmployeeData[Age], ROW() - 37), "")</f>
        <v/>
      </c>
      <c r="G2871" s="6" t="str" cm="1">
        <f t="array" ref="G2871">IFERROR(INDEX(EmployeeData[Join Date], ROW() - 37), "")</f>
        <v/>
      </c>
      <c r="H2871" s="6" t="str" cm="1">
        <f t="array" ref="H2871">IFERROR(IF(INDEX(EmployeeData[Exit Date], ROW() - 37)=0, "",INDEX(EmployeeData[Exit Date], ROW() - 37)),"")</f>
        <v/>
      </c>
      <c r="I2871" s="4" t="str" cm="1">
        <f t="array" ref="I2871">IFERROR(IF(INDEX(EmployeeData[Exit Reason], ROW() - 37)=0, "",INDEX(EmployeeData[Exit Reason], ROW() - 37)),"")</f>
        <v/>
      </c>
      <c r="J2871" s="4" t="str" cm="1">
        <f t="array" ref="J2871">IFERROR(INDEX(EmployeeData[Status], ROW() - 37), "")</f>
        <v/>
      </c>
    </row>
    <row r="2872" spans="2:10" ht="19.95" customHeight="1" x14ac:dyDescent="0.3">
      <c r="B2872" s="4" t="str" cm="1">
        <f t="array" ref="B2872">IFERROR(INDEX(EmployeeData[Employee ID], ROW() - 37), "")</f>
        <v/>
      </c>
      <c r="C2872" s="4" t="str" cm="1">
        <f t="array" ref="C2872">IFERROR(INDEX(EmployeeData[Full Name], ROW() - 37), "")</f>
        <v/>
      </c>
      <c r="D2872" s="4" t="str" cm="1">
        <f t="array" ref="D2872">IFERROR(INDEX(EmployeeData[Department], ROW() - 37), "")</f>
        <v/>
      </c>
      <c r="E2872" s="4" t="str" cm="1">
        <f t="array" ref="E2872">IFERROR(INDEX(EmployeeData[Gender], ROW() - 37), "")</f>
        <v/>
      </c>
      <c r="F2872" s="4" t="str" cm="1">
        <f t="array" ref="F2872">IFERROR(INDEX(EmployeeData[Age], ROW() - 37), "")</f>
        <v/>
      </c>
      <c r="G2872" s="6" t="str" cm="1">
        <f t="array" ref="G2872">IFERROR(INDEX(EmployeeData[Join Date], ROW() - 37), "")</f>
        <v/>
      </c>
      <c r="H2872" s="6" t="str" cm="1">
        <f t="array" ref="H2872">IFERROR(IF(INDEX(EmployeeData[Exit Date], ROW() - 37)=0, "",INDEX(EmployeeData[Exit Date], ROW() - 37)),"")</f>
        <v/>
      </c>
      <c r="I2872" s="4" t="str" cm="1">
        <f t="array" ref="I2872">IFERROR(IF(INDEX(EmployeeData[Exit Reason], ROW() - 37)=0, "",INDEX(EmployeeData[Exit Reason], ROW() - 37)),"")</f>
        <v/>
      </c>
      <c r="J2872" s="4" t="str" cm="1">
        <f t="array" ref="J2872">IFERROR(INDEX(EmployeeData[Status], ROW() - 37), "")</f>
        <v/>
      </c>
    </row>
    <row r="2873" spans="2:10" ht="19.95" customHeight="1" x14ac:dyDescent="0.3">
      <c r="B2873" s="4" t="str" cm="1">
        <f t="array" ref="B2873">IFERROR(INDEX(EmployeeData[Employee ID], ROW() - 37), "")</f>
        <v/>
      </c>
      <c r="C2873" s="4" t="str" cm="1">
        <f t="array" ref="C2873">IFERROR(INDEX(EmployeeData[Full Name], ROW() - 37), "")</f>
        <v/>
      </c>
      <c r="D2873" s="4" t="str" cm="1">
        <f t="array" ref="D2873">IFERROR(INDEX(EmployeeData[Department], ROW() - 37), "")</f>
        <v/>
      </c>
      <c r="E2873" s="4" t="str" cm="1">
        <f t="array" ref="E2873">IFERROR(INDEX(EmployeeData[Gender], ROW() - 37), "")</f>
        <v/>
      </c>
      <c r="F2873" s="4" t="str" cm="1">
        <f t="array" ref="F2873">IFERROR(INDEX(EmployeeData[Age], ROW() - 37), "")</f>
        <v/>
      </c>
      <c r="G2873" s="6" t="str" cm="1">
        <f t="array" ref="G2873">IFERROR(INDEX(EmployeeData[Join Date], ROW() - 37), "")</f>
        <v/>
      </c>
      <c r="H2873" s="6" t="str" cm="1">
        <f t="array" ref="H2873">IFERROR(IF(INDEX(EmployeeData[Exit Date], ROW() - 37)=0, "",INDEX(EmployeeData[Exit Date], ROW() - 37)),"")</f>
        <v/>
      </c>
      <c r="I2873" s="4" t="str" cm="1">
        <f t="array" ref="I2873">IFERROR(IF(INDEX(EmployeeData[Exit Reason], ROW() - 37)=0, "",INDEX(EmployeeData[Exit Reason], ROW() - 37)),"")</f>
        <v/>
      </c>
      <c r="J2873" s="4" t="str" cm="1">
        <f t="array" ref="J2873">IFERROR(INDEX(EmployeeData[Status], ROW() - 37), "")</f>
        <v/>
      </c>
    </row>
    <row r="2874" spans="2:10" ht="19.95" customHeight="1" x14ac:dyDescent="0.3">
      <c r="B2874" s="4" t="str" cm="1">
        <f t="array" ref="B2874">IFERROR(INDEX(EmployeeData[Employee ID], ROW() - 37), "")</f>
        <v/>
      </c>
      <c r="C2874" s="4" t="str" cm="1">
        <f t="array" ref="C2874">IFERROR(INDEX(EmployeeData[Full Name], ROW() - 37), "")</f>
        <v/>
      </c>
      <c r="D2874" s="4" t="str" cm="1">
        <f t="array" ref="D2874">IFERROR(INDEX(EmployeeData[Department], ROW() - 37), "")</f>
        <v/>
      </c>
      <c r="E2874" s="4" t="str" cm="1">
        <f t="array" ref="E2874">IFERROR(INDEX(EmployeeData[Gender], ROW() - 37), "")</f>
        <v/>
      </c>
      <c r="F2874" s="4" t="str" cm="1">
        <f t="array" ref="F2874">IFERROR(INDEX(EmployeeData[Age], ROW() - 37), "")</f>
        <v/>
      </c>
      <c r="G2874" s="6" t="str" cm="1">
        <f t="array" ref="G2874">IFERROR(INDEX(EmployeeData[Join Date], ROW() - 37), "")</f>
        <v/>
      </c>
      <c r="H2874" s="6" t="str" cm="1">
        <f t="array" ref="H2874">IFERROR(IF(INDEX(EmployeeData[Exit Date], ROW() - 37)=0, "",INDEX(EmployeeData[Exit Date], ROW() - 37)),"")</f>
        <v/>
      </c>
      <c r="I2874" s="4" t="str" cm="1">
        <f t="array" ref="I2874">IFERROR(IF(INDEX(EmployeeData[Exit Reason], ROW() - 37)=0, "",INDEX(EmployeeData[Exit Reason], ROW() - 37)),"")</f>
        <v/>
      </c>
      <c r="J2874" s="4" t="str" cm="1">
        <f t="array" ref="J2874">IFERROR(INDEX(EmployeeData[Status], ROW() - 37), "")</f>
        <v/>
      </c>
    </row>
    <row r="2875" spans="2:10" ht="19.95" customHeight="1" x14ac:dyDescent="0.3">
      <c r="B2875" s="4" t="str" cm="1">
        <f t="array" ref="B2875">IFERROR(INDEX(EmployeeData[Employee ID], ROW() - 37), "")</f>
        <v/>
      </c>
      <c r="C2875" s="4" t="str" cm="1">
        <f t="array" ref="C2875">IFERROR(INDEX(EmployeeData[Full Name], ROW() - 37), "")</f>
        <v/>
      </c>
      <c r="D2875" s="4" t="str" cm="1">
        <f t="array" ref="D2875">IFERROR(INDEX(EmployeeData[Department], ROW() - 37), "")</f>
        <v/>
      </c>
      <c r="E2875" s="4" t="str" cm="1">
        <f t="array" ref="E2875">IFERROR(INDEX(EmployeeData[Gender], ROW() - 37), "")</f>
        <v/>
      </c>
      <c r="F2875" s="4" t="str" cm="1">
        <f t="array" ref="F2875">IFERROR(INDEX(EmployeeData[Age], ROW() - 37), "")</f>
        <v/>
      </c>
      <c r="G2875" s="6" t="str" cm="1">
        <f t="array" ref="G2875">IFERROR(INDEX(EmployeeData[Join Date], ROW() - 37), "")</f>
        <v/>
      </c>
      <c r="H2875" s="6" t="str" cm="1">
        <f t="array" ref="H2875">IFERROR(IF(INDEX(EmployeeData[Exit Date], ROW() - 37)=0, "",INDEX(EmployeeData[Exit Date], ROW() - 37)),"")</f>
        <v/>
      </c>
      <c r="I2875" s="4" t="str" cm="1">
        <f t="array" ref="I2875">IFERROR(IF(INDEX(EmployeeData[Exit Reason], ROW() - 37)=0, "",INDEX(EmployeeData[Exit Reason], ROW() - 37)),"")</f>
        <v/>
      </c>
      <c r="J2875" s="4" t="str" cm="1">
        <f t="array" ref="J2875">IFERROR(INDEX(EmployeeData[Status], ROW() - 37), "")</f>
        <v/>
      </c>
    </row>
    <row r="2876" spans="2:10" ht="19.95" customHeight="1" x14ac:dyDescent="0.3">
      <c r="B2876" s="4" t="str" cm="1">
        <f t="array" ref="B2876">IFERROR(INDEX(EmployeeData[Employee ID], ROW() - 37), "")</f>
        <v/>
      </c>
      <c r="C2876" s="4" t="str" cm="1">
        <f t="array" ref="C2876">IFERROR(INDEX(EmployeeData[Full Name], ROW() - 37), "")</f>
        <v/>
      </c>
      <c r="D2876" s="4" t="str" cm="1">
        <f t="array" ref="D2876">IFERROR(INDEX(EmployeeData[Department], ROW() - 37), "")</f>
        <v/>
      </c>
      <c r="E2876" s="4" t="str" cm="1">
        <f t="array" ref="E2876">IFERROR(INDEX(EmployeeData[Gender], ROW() - 37), "")</f>
        <v/>
      </c>
      <c r="F2876" s="4" t="str" cm="1">
        <f t="array" ref="F2876">IFERROR(INDEX(EmployeeData[Age], ROW() - 37), "")</f>
        <v/>
      </c>
      <c r="G2876" s="6" t="str" cm="1">
        <f t="array" ref="G2876">IFERROR(INDEX(EmployeeData[Join Date], ROW() - 37), "")</f>
        <v/>
      </c>
      <c r="H2876" s="6" t="str" cm="1">
        <f t="array" ref="H2876">IFERROR(IF(INDEX(EmployeeData[Exit Date], ROW() - 37)=0, "",INDEX(EmployeeData[Exit Date], ROW() - 37)),"")</f>
        <v/>
      </c>
      <c r="I2876" s="4" t="str" cm="1">
        <f t="array" ref="I2876">IFERROR(IF(INDEX(EmployeeData[Exit Reason], ROW() - 37)=0, "",INDEX(EmployeeData[Exit Reason], ROW() - 37)),"")</f>
        <v/>
      </c>
      <c r="J2876" s="4" t="str" cm="1">
        <f t="array" ref="J2876">IFERROR(INDEX(EmployeeData[Status], ROW() - 37), "")</f>
        <v/>
      </c>
    </row>
    <row r="2877" spans="2:10" ht="19.95" customHeight="1" x14ac:dyDescent="0.3">
      <c r="B2877" s="4" t="str" cm="1">
        <f t="array" ref="B2877">IFERROR(INDEX(EmployeeData[Employee ID], ROW() - 37), "")</f>
        <v/>
      </c>
      <c r="C2877" s="4" t="str" cm="1">
        <f t="array" ref="C2877">IFERROR(INDEX(EmployeeData[Full Name], ROW() - 37), "")</f>
        <v/>
      </c>
      <c r="D2877" s="4" t="str" cm="1">
        <f t="array" ref="D2877">IFERROR(INDEX(EmployeeData[Department], ROW() - 37), "")</f>
        <v/>
      </c>
      <c r="E2877" s="4" t="str" cm="1">
        <f t="array" ref="E2877">IFERROR(INDEX(EmployeeData[Gender], ROW() - 37), "")</f>
        <v/>
      </c>
      <c r="F2877" s="4" t="str" cm="1">
        <f t="array" ref="F2877">IFERROR(INDEX(EmployeeData[Age], ROW() - 37), "")</f>
        <v/>
      </c>
      <c r="G2877" s="6" t="str" cm="1">
        <f t="array" ref="G2877">IFERROR(INDEX(EmployeeData[Join Date], ROW() - 37), "")</f>
        <v/>
      </c>
      <c r="H2877" s="6" t="str" cm="1">
        <f t="array" ref="H2877">IFERROR(IF(INDEX(EmployeeData[Exit Date], ROW() - 37)=0, "",INDEX(EmployeeData[Exit Date], ROW() - 37)),"")</f>
        <v/>
      </c>
      <c r="I2877" s="4" t="str" cm="1">
        <f t="array" ref="I2877">IFERROR(IF(INDEX(EmployeeData[Exit Reason], ROW() - 37)=0, "",INDEX(EmployeeData[Exit Reason], ROW() - 37)),"")</f>
        <v/>
      </c>
      <c r="J2877" s="4" t="str" cm="1">
        <f t="array" ref="J2877">IFERROR(INDEX(EmployeeData[Status], ROW() - 37), "")</f>
        <v/>
      </c>
    </row>
    <row r="2878" spans="2:10" ht="19.95" customHeight="1" x14ac:dyDescent="0.3">
      <c r="B2878" s="4" t="str" cm="1">
        <f t="array" ref="B2878">IFERROR(INDEX(EmployeeData[Employee ID], ROW() - 37), "")</f>
        <v/>
      </c>
      <c r="C2878" s="4" t="str" cm="1">
        <f t="array" ref="C2878">IFERROR(INDEX(EmployeeData[Full Name], ROW() - 37), "")</f>
        <v/>
      </c>
      <c r="D2878" s="4" t="str" cm="1">
        <f t="array" ref="D2878">IFERROR(INDEX(EmployeeData[Department], ROW() - 37), "")</f>
        <v/>
      </c>
      <c r="E2878" s="4" t="str" cm="1">
        <f t="array" ref="E2878">IFERROR(INDEX(EmployeeData[Gender], ROW() - 37), "")</f>
        <v/>
      </c>
      <c r="F2878" s="4" t="str" cm="1">
        <f t="array" ref="F2878">IFERROR(INDEX(EmployeeData[Age], ROW() - 37), "")</f>
        <v/>
      </c>
      <c r="G2878" s="6" t="str" cm="1">
        <f t="array" ref="G2878">IFERROR(INDEX(EmployeeData[Join Date], ROW() - 37), "")</f>
        <v/>
      </c>
      <c r="H2878" s="6" t="str" cm="1">
        <f t="array" ref="H2878">IFERROR(IF(INDEX(EmployeeData[Exit Date], ROW() - 37)=0, "",INDEX(EmployeeData[Exit Date], ROW() - 37)),"")</f>
        <v/>
      </c>
      <c r="I2878" s="4" t="str" cm="1">
        <f t="array" ref="I2878">IFERROR(IF(INDEX(EmployeeData[Exit Reason], ROW() - 37)=0, "",INDEX(EmployeeData[Exit Reason], ROW() - 37)),"")</f>
        <v/>
      </c>
      <c r="J2878" s="4" t="str" cm="1">
        <f t="array" ref="J2878">IFERROR(INDEX(EmployeeData[Status], ROW() - 37), "")</f>
        <v/>
      </c>
    </row>
    <row r="2879" spans="2:10" ht="19.95" customHeight="1" x14ac:dyDescent="0.3">
      <c r="B2879" s="4" t="str" cm="1">
        <f t="array" ref="B2879">IFERROR(INDEX(EmployeeData[Employee ID], ROW() - 37), "")</f>
        <v/>
      </c>
      <c r="C2879" s="4" t="str" cm="1">
        <f t="array" ref="C2879">IFERROR(INDEX(EmployeeData[Full Name], ROW() - 37), "")</f>
        <v/>
      </c>
      <c r="D2879" s="4" t="str" cm="1">
        <f t="array" ref="D2879">IFERROR(INDEX(EmployeeData[Department], ROW() - 37), "")</f>
        <v/>
      </c>
      <c r="E2879" s="4" t="str" cm="1">
        <f t="array" ref="E2879">IFERROR(INDEX(EmployeeData[Gender], ROW() - 37), "")</f>
        <v/>
      </c>
      <c r="F2879" s="4" t="str" cm="1">
        <f t="array" ref="F2879">IFERROR(INDEX(EmployeeData[Age], ROW() - 37), "")</f>
        <v/>
      </c>
      <c r="G2879" s="6" t="str" cm="1">
        <f t="array" ref="G2879">IFERROR(INDEX(EmployeeData[Join Date], ROW() - 37), "")</f>
        <v/>
      </c>
      <c r="H2879" s="6" t="str" cm="1">
        <f t="array" ref="H2879">IFERROR(IF(INDEX(EmployeeData[Exit Date], ROW() - 37)=0, "",INDEX(EmployeeData[Exit Date], ROW() - 37)),"")</f>
        <v/>
      </c>
      <c r="I2879" s="4" t="str" cm="1">
        <f t="array" ref="I2879">IFERROR(IF(INDEX(EmployeeData[Exit Reason], ROW() - 37)=0, "",INDEX(EmployeeData[Exit Reason], ROW() - 37)),"")</f>
        <v/>
      </c>
      <c r="J2879" s="4" t="str" cm="1">
        <f t="array" ref="J2879">IFERROR(INDEX(EmployeeData[Status], ROW() - 37), "")</f>
        <v/>
      </c>
    </row>
    <row r="2880" spans="2:10" ht="19.95" customHeight="1" x14ac:dyDescent="0.3">
      <c r="B2880" s="4" t="str" cm="1">
        <f t="array" ref="B2880">IFERROR(INDEX(EmployeeData[Employee ID], ROW() - 37), "")</f>
        <v/>
      </c>
      <c r="C2880" s="4" t="str" cm="1">
        <f t="array" ref="C2880">IFERROR(INDEX(EmployeeData[Full Name], ROW() - 37), "")</f>
        <v/>
      </c>
      <c r="D2880" s="4" t="str" cm="1">
        <f t="array" ref="D2880">IFERROR(INDEX(EmployeeData[Department], ROW() - 37), "")</f>
        <v/>
      </c>
      <c r="E2880" s="4" t="str" cm="1">
        <f t="array" ref="E2880">IFERROR(INDEX(EmployeeData[Gender], ROW() - 37), "")</f>
        <v/>
      </c>
      <c r="F2880" s="4" t="str" cm="1">
        <f t="array" ref="F2880">IFERROR(INDEX(EmployeeData[Age], ROW() - 37), "")</f>
        <v/>
      </c>
      <c r="G2880" s="6" t="str" cm="1">
        <f t="array" ref="G2880">IFERROR(INDEX(EmployeeData[Join Date], ROW() - 37), "")</f>
        <v/>
      </c>
      <c r="H2880" s="6" t="str" cm="1">
        <f t="array" ref="H2880">IFERROR(IF(INDEX(EmployeeData[Exit Date], ROW() - 37)=0, "",INDEX(EmployeeData[Exit Date], ROW() - 37)),"")</f>
        <v/>
      </c>
      <c r="I2880" s="4" t="str" cm="1">
        <f t="array" ref="I2880">IFERROR(IF(INDEX(EmployeeData[Exit Reason], ROW() - 37)=0, "",INDEX(EmployeeData[Exit Reason], ROW() - 37)),"")</f>
        <v/>
      </c>
      <c r="J2880" s="4" t="str" cm="1">
        <f t="array" ref="J2880">IFERROR(INDEX(EmployeeData[Status], ROW() - 37), "")</f>
        <v/>
      </c>
    </row>
    <row r="2881" spans="2:10" ht="19.95" customHeight="1" x14ac:dyDescent="0.3">
      <c r="B2881" s="4" t="str" cm="1">
        <f t="array" ref="B2881">IFERROR(INDEX(EmployeeData[Employee ID], ROW() - 37), "")</f>
        <v/>
      </c>
      <c r="C2881" s="4" t="str" cm="1">
        <f t="array" ref="C2881">IFERROR(INDEX(EmployeeData[Full Name], ROW() - 37), "")</f>
        <v/>
      </c>
      <c r="D2881" s="4" t="str" cm="1">
        <f t="array" ref="D2881">IFERROR(INDEX(EmployeeData[Department], ROW() - 37), "")</f>
        <v/>
      </c>
      <c r="E2881" s="4" t="str" cm="1">
        <f t="array" ref="E2881">IFERROR(INDEX(EmployeeData[Gender], ROW() - 37), "")</f>
        <v/>
      </c>
      <c r="F2881" s="4" t="str" cm="1">
        <f t="array" ref="F2881">IFERROR(INDEX(EmployeeData[Age], ROW() - 37), "")</f>
        <v/>
      </c>
      <c r="G2881" s="6" t="str" cm="1">
        <f t="array" ref="G2881">IFERROR(INDEX(EmployeeData[Join Date], ROW() - 37), "")</f>
        <v/>
      </c>
      <c r="H2881" s="6" t="str" cm="1">
        <f t="array" ref="H2881">IFERROR(IF(INDEX(EmployeeData[Exit Date], ROW() - 37)=0, "",INDEX(EmployeeData[Exit Date], ROW() - 37)),"")</f>
        <v/>
      </c>
      <c r="I2881" s="4" t="str" cm="1">
        <f t="array" ref="I2881">IFERROR(IF(INDEX(EmployeeData[Exit Reason], ROW() - 37)=0, "",INDEX(EmployeeData[Exit Reason], ROW() - 37)),"")</f>
        <v/>
      </c>
      <c r="J2881" s="4" t="str" cm="1">
        <f t="array" ref="J2881">IFERROR(INDEX(EmployeeData[Status], ROW() - 37), "")</f>
        <v/>
      </c>
    </row>
    <row r="2882" spans="2:10" ht="19.95" customHeight="1" x14ac:dyDescent="0.3">
      <c r="B2882" s="4" t="str" cm="1">
        <f t="array" ref="B2882">IFERROR(INDEX(EmployeeData[Employee ID], ROW() - 37), "")</f>
        <v/>
      </c>
      <c r="C2882" s="4" t="str" cm="1">
        <f t="array" ref="C2882">IFERROR(INDEX(EmployeeData[Full Name], ROW() - 37), "")</f>
        <v/>
      </c>
      <c r="D2882" s="4" t="str" cm="1">
        <f t="array" ref="D2882">IFERROR(INDEX(EmployeeData[Department], ROW() - 37), "")</f>
        <v/>
      </c>
      <c r="E2882" s="4" t="str" cm="1">
        <f t="array" ref="E2882">IFERROR(INDEX(EmployeeData[Gender], ROW() - 37), "")</f>
        <v/>
      </c>
      <c r="F2882" s="4" t="str" cm="1">
        <f t="array" ref="F2882">IFERROR(INDEX(EmployeeData[Age], ROW() - 37), "")</f>
        <v/>
      </c>
      <c r="G2882" s="6" t="str" cm="1">
        <f t="array" ref="G2882">IFERROR(INDEX(EmployeeData[Join Date], ROW() - 37), "")</f>
        <v/>
      </c>
      <c r="H2882" s="6" t="str" cm="1">
        <f t="array" ref="H2882">IFERROR(IF(INDEX(EmployeeData[Exit Date], ROW() - 37)=0, "",INDEX(EmployeeData[Exit Date], ROW() - 37)),"")</f>
        <v/>
      </c>
      <c r="I2882" s="4" t="str" cm="1">
        <f t="array" ref="I2882">IFERROR(IF(INDEX(EmployeeData[Exit Reason], ROW() - 37)=0, "",INDEX(EmployeeData[Exit Reason], ROW() - 37)),"")</f>
        <v/>
      </c>
      <c r="J2882" s="4" t="str" cm="1">
        <f t="array" ref="J2882">IFERROR(INDEX(EmployeeData[Status], ROW() - 37), "")</f>
        <v/>
      </c>
    </row>
    <row r="2883" spans="2:10" ht="19.95" customHeight="1" x14ac:dyDescent="0.3">
      <c r="B2883" s="4" t="str" cm="1">
        <f t="array" ref="B2883">IFERROR(INDEX(EmployeeData[Employee ID], ROW() - 37), "")</f>
        <v/>
      </c>
      <c r="C2883" s="4" t="str" cm="1">
        <f t="array" ref="C2883">IFERROR(INDEX(EmployeeData[Full Name], ROW() - 37), "")</f>
        <v/>
      </c>
      <c r="D2883" s="4" t="str" cm="1">
        <f t="array" ref="D2883">IFERROR(INDEX(EmployeeData[Department], ROW() - 37), "")</f>
        <v/>
      </c>
      <c r="E2883" s="4" t="str" cm="1">
        <f t="array" ref="E2883">IFERROR(INDEX(EmployeeData[Gender], ROW() - 37), "")</f>
        <v/>
      </c>
      <c r="F2883" s="4" t="str" cm="1">
        <f t="array" ref="F2883">IFERROR(INDEX(EmployeeData[Age], ROW() - 37), "")</f>
        <v/>
      </c>
      <c r="G2883" s="6" t="str" cm="1">
        <f t="array" ref="G2883">IFERROR(INDEX(EmployeeData[Join Date], ROW() - 37), "")</f>
        <v/>
      </c>
      <c r="H2883" s="6" t="str" cm="1">
        <f t="array" ref="H2883">IFERROR(IF(INDEX(EmployeeData[Exit Date], ROW() - 37)=0, "",INDEX(EmployeeData[Exit Date], ROW() - 37)),"")</f>
        <v/>
      </c>
      <c r="I2883" s="4" t="str" cm="1">
        <f t="array" ref="I2883">IFERROR(IF(INDEX(EmployeeData[Exit Reason], ROW() - 37)=0, "",INDEX(EmployeeData[Exit Reason], ROW() - 37)),"")</f>
        <v/>
      </c>
      <c r="J2883" s="4" t="str" cm="1">
        <f t="array" ref="J2883">IFERROR(INDEX(EmployeeData[Status], ROW() - 37), "")</f>
        <v/>
      </c>
    </row>
    <row r="2884" spans="2:10" ht="19.95" customHeight="1" x14ac:dyDescent="0.3">
      <c r="B2884" s="4" t="str" cm="1">
        <f t="array" ref="B2884">IFERROR(INDEX(EmployeeData[Employee ID], ROW() - 37), "")</f>
        <v/>
      </c>
      <c r="C2884" s="4" t="str" cm="1">
        <f t="array" ref="C2884">IFERROR(INDEX(EmployeeData[Full Name], ROW() - 37), "")</f>
        <v/>
      </c>
      <c r="D2884" s="4" t="str" cm="1">
        <f t="array" ref="D2884">IFERROR(INDEX(EmployeeData[Department], ROW() - 37), "")</f>
        <v/>
      </c>
      <c r="E2884" s="4" t="str" cm="1">
        <f t="array" ref="E2884">IFERROR(INDEX(EmployeeData[Gender], ROW() - 37), "")</f>
        <v/>
      </c>
      <c r="F2884" s="4" t="str" cm="1">
        <f t="array" ref="F2884">IFERROR(INDEX(EmployeeData[Age], ROW() - 37), "")</f>
        <v/>
      </c>
      <c r="G2884" s="6" t="str" cm="1">
        <f t="array" ref="G2884">IFERROR(INDEX(EmployeeData[Join Date], ROW() - 37), "")</f>
        <v/>
      </c>
      <c r="H2884" s="6" t="str" cm="1">
        <f t="array" ref="H2884">IFERROR(IF(INDEX(EmployeeData[Exit Date], ROW() - 37)=0, "",INDEX(EmployeeData[Exit Date], ROW() - 37)),"")</f>
        <v/>
      </c>
      <c r="I2884" s="4" t="str" cm="1">
        <f t="array" ref="I2884">IFERROR(IF(INDEX(EmployeeData[Exit Reason], ROW() - 37)=0, "",INDEX(EmployeeData[Exit Reason], ROW() - 37)),"")</f>
        <v/>
      </c>
      <c r="J2884" s="4" t="str" cm="1">
        <f t="array" ref="J2884">IFERROR(INDEX(EmployeeData[Status], ROW() - 37), "")</f>
        <v/>
      </c>
    </row>
    <row r="2885" spans="2:10" ht="19.95" customHeight="1" x14ac:dyDescent="0.3">
      <c r="B2885" s="4" t="str" cm="1">
        <f t="array" ref="B2885">IFERROR(INDEX(EmployeeData[Employee ID], ROW() - 37), "")</f>
        <v/>
      </c>
      <c r="C2885" s="4" t="str" cm="1">
        <f t="array" ref="C2885">IFERROR(INDEX(EmployeeData[Full Name], ROW() - 37), "")</f>
        <v/>
      </c>
      <c r="D2885" s="4" t="str" cm="1">
        <f t="array" ref="D2885">IFERROR(INDEX(EmployeeData[Department], ROW() - 37), "")</f>
        <v/>
      </c>
      <c r="E2885" s="4" t="str" cm="1">
        <f t="array" ref="E2885">IFERROR(INDEX(EmployeeData[Gender], ROW() - 37), "")</f>
        <v/>
      </c>
      <c r="F2885" s="4" t="str" cm="1">
        <f t="array" ref="F2885">IFERROR(INDEX(EmployeeData[Age], ROW() - 37), "")</f>
        <v/>
      </c>
      <c r="G2885" s="6" t="str" cm="1">
        <f t="array" ref="G2885">IFERROR(INDEX(EmployeeData[Join Date], ROW() - 37), "")</f>
        <v/>
      </c>
      <c r="H2885" s="6" t="str" cm="1">
        <f t="array" ref="H2885">IFERROR(IF(INDEX(EmployeeData[Exit Date], ROW() - 37)=0, "",INDEX(EmployeeData[Exit Date], ROW() - 37)),"")</f>
        <v/>
      </c>
      <c r="I2885" s="4" t="str" cm="1">
        <f t="array" ref="I2885">IFERROR(IF(INDEX(EmployeeData[Exit Reason], ROW() - 37)=0, "",INDEX(EmployeeData[Exit Reason], ROW() - 37)),"")</f>
        <v/>
      </c>
      <c r="J2885" s="4" t="str" cm="1">
        <f t="array" ref="J2885">IFERROR(INDEX(EmployeeData[Status], ROW() - 37), "")</f>
        <v/>
      </c>
    </row>
    <row r="2886" spans="2:10" ht="19.95" customHeight="1" x14ac:dyDescent="0.3">
      <c r="B2886" s="4" t="str" cm="1">
        <f t="array" ref="B2886">IFERROR(INDEX(EmployeeData[Employee ID], ROW() - 37), "")</f>
        <v/>
      </c>
      <c r="C2886" s="4" t="str" cm="1">
        <f t="array" ref="C2886">IFERROR(INDEX(EmployeeData[Full Name], ROW() - 37), "")</f>
        <v/>
      </c>
      <c r="D2886" s="4" t="str" cm="1">
        <f t="array" ref="D2886">IFERROR(INDEX(EmployeeData[Department], ROW() - 37), "")</f>
        <v/>
      </c>
      <c r="E2886" s="4" t="str" cm="1">
        <f t="array" ref="E2886">IFERROR(INDEX(EmployeeData[Gender], ROW() - 37), "")</f>
        <v/>
      </c>
      <c r="F2886" s="4" t="str" cm="1">
        <f t="array" ref="F2886">IFERROR(INDEX(EmployeeData[Age], ROW() - 37), "")</f>
        <v/>
      </c>
      <c r="G2886" s="6" t="str" cm="1">
        <f t="array" ref="G2886">IFERROR(INDEX(EmployeeData[Join Date], ROW() - 37), "")</f>
        <v/>
      </c>
      <c r="H2886" s="6" t="str" cm="1">
        <f t="array" ref="H2886">IFERROR(IF(INDEX(EmployeeData[Exit Date], ROW() - 37)=0, "",INDEX(EmployeeData[Exit Date], ROW() - 37)),"")</f>
        <v/>
      </c>
      <c r="I2886" s="4" t="str" cm="1">
        <f t="array" ref="I2886">IFERROR(IF(INDEX(EmployeeData[Exit Reason], ROW() - 37)=0, "",INDEX(EmployeeData[Exit Reason], ROW() - 37)),"")</f>
        <v/>
      </c>
      <c r="J2886" s="4" t="str" cm="1">
        <f t="array" ref="J2886">IFERROR(INDEX(EmployeeData[Status], ROW() - 37), "")</f>
        <v/>
      </c>
    </row>
    <row r="2887" spans="2:10" ht="19.95" customHeight="1" x14ac:dyDescent="0.3">
      <c r="B2887" s="4" t="str" cm="1">
        <f t="array" ref="B2887">IFERROR(INDEX(EmployeeData[Employee ID], ROW() - 37), "")</f>
        <v/>
      </c>
      <c r="C2887" s="4" t="str" cm="1">
        <f t="array" ref="C2887">IFERROR(INDEX(EmployeeData[Full Name], ROW() - 37), "")</f>
        <v/>
      </c>
      <c r="D2887" s="4" t="str" cm="1">
        <f t="array" ref="D2887">IFERROR(INDEX(EmployeeData[Department], ROW() - 37), "")</f>
        <v/>
      </c>
      <c r="E2887" s="4" t="str" cm="1">
        <f t="array" ref="E2887">IFERROR(INDEX(EmployeeData[Gender], ROW() - 37), "")</f>
        <v/>
      </c>
      <c r="F2887" s="4" t="str" cm="1">
        <f t="array" ref="F2887">IFERROR(INDEX(EmployeeData[Age], ROW() - 37), "")</f>
        <v/>
      </c>
      <c r="G2887" s="6" t="str" cm="1">
        <f t="array" ref="G2887">IFERROR(INDEX(EmployeeData[Join Date], ROW() - 37), "")</f>
        <v/>
      </c>
      <c r="H2887" s="6" t="str" cm="1">
        <f t="array" ref="H2887">IFERROR(IF(INDEX(EmployeeData[Exit Date], ROW() - 37)=0, "",INDEX(EmployeeData[Exit Date], ROW() - 37)),"")</f>
        <v/>
      </c>
      <c r="I2887" s="4" t="str" cm="1">
        <f t="array" ref="I2887">IFERROR(IF(INDEX(EmployeeData[Exit Reason], ROW() - 37)=0, "",INDEX(EmployeeData[Exit Reason], ROW() - 37)),"")</f>
        <v/>
      </c>
      <c r="J2887" s="4" t="str" cm="1">
        <f t="array" ref="J2887">IFERROR(INDEX(EmployeeData[Status], ROW() - 37), "")</f>
        <v/>
      </c>
    </row>
    <row r="2888" spans="2:10" ht="19.95" customHeight="1" x14ac:dyDescent="0.3">
      <c r="B2888" s="4" t="str" cm="1">
        <f t="array" ref="B2888">IFERROR(INDEX(EmployeeData[Employee ID], ROW() - 37), "")</f>
        <v/>
      </c>
      <c r="C2888" s="4" t="str" cm="1">
        <f t="array" ref="C2888">IFERROR(INDEX(EmployeeData[Full Name], ROW() - 37), "")</f>
        <v/>
      </c>
      <c r="D2888" s="4" t="str" cm="1">
        <f t="array" ref="D2888">IFERROR(INDEX(EmployeeData[Department], ROW() - 37), "")</f>
        <v/>
      </c>
      <c r="E2888" s="4" t="str" cm="1">
        <f t="array" ref="E2888">IFERROR(INDEX(EmployeeData[Gender], ROW() - 37), "")</f>
        <v/>
      </c>
      <c r="F2888" s="4" t="str" cm="1">
        <f t="array" ref="F2888">IFERROR(INDEX(EmployeeData[Age], ROW() - 37), "")</f>
        <v/>
      </c>
      <c r="G2888" s="6" t="str" cm="1">
        <f t="array" ref="G2888">IFERROR(INDEX(EmployeeData[Join Date], ROW() - 37), "")</f>
        <v/>
      </c>
      <c r="H2888" s="6" t="str" cm="1">
        <f t="array" ref="H2888">IFERROR(IF(INDEX(EmployeeData[Exit Date], ROW() - 37)=0, "",INDEX(EmployeeData[Exit Date], ROW() - 37)),"")</f>
        <v/>
      </c>
      <c r="I2888" s="4" t="str" cm="1">
        <f t="array" ref="I2888">IFERROR(IF(INDEX(EmployeeData[Exit Reason], ROW() - 37)=0, "",INDEX(EmployeeData[Exit Reason], ROW() - 37)),"")</f>
        <v/>
      </c>
      <c r="J2888" s="4" t="str" cm="1">
        <f t="array" ref="J2888">IFERROR(INDEX(EmployeeData[Status], ROW() - 37), "")</f>
        <v/>
      </c>
    </row>
    <row r="2889" spans="2:10" ht="19.95" customHeight="1" x14ac:dyDescent="0.3">
      <c r="B2889" s="4" t="str" cm="1">
        <f t="array" ref="B2889">IFERROR(INDEX(EmployeeData[Employee ID], ROW() - 37), "")</f>
        <v/>
      </c>
      <c r="C2889" s="4" t="str" cm="1">
        <f t="array" ref="C2889">IFERROR(INDEX(EmployeeData[Full Name], ROW() - 37), "")</f>
        <v/>
      </c>
      <c r="D2889" s="4" t="str" cm="1">
        <f t="array" ref="D2889">IFERROR(INDEX(EmployeeData[Department], ROW() - 37), "")</f>
        <v/>
      </c>
      <c r="E2889" s="4" t="str" cm="1">
        <f t="array" ref="E2889">IFERROR(INDEX(EmployeeData[Gender], ROW() - 37), "")</f>
        <v/>
      </c>
      <c r="F2889" s="4" t="str" cm="1">
        <f t="array" ref="F2889">IFERROR(INDEX(EmployeeData[Age], ROW() - 37), "")</f>
        <v/>
      </c>
      <c r="G2889" s="6" t="str" cm="1">
        <f t="array" ref="G2889">IFERROR(INDEX(EmployeeData[Join Date], ROW() - 37), "")</f>
        <v/>
      </c>
      <c r="H2889" s="6" t="str" cm="1">
        <f t="array" ref="H2889">IFERROR(IF(INDEX(EmployeeData[Exit Date], ROW() - 37)=0, "",INDEX(EmployeeData[Exit Date], ROW() - 37)),"")</f>
        <v/>
      </c>
      <c r="I2889" s="4" t="str" cm="1">
        <f t="array" ref="I2889">IFERROR(IF(INDEX(EmployeeData[Exit Reason], ROW() - 37)=0, "",INDEX(EmployeeData[Exit Reason], ROW() - 37)),"")</f>
        <v/>
      </c>
      <c r="J2889" s="4" t="str" cm="1">
        <f t="array" ref="J2889">IFERROR(INDEX(EmployeeData[Status], ROW() - 37), "")</f>
        <v/>
      </c>
    </row>
    <row r="2890" spans="2:10" ht="19.95" customHeight="1" x14ac:dyDescent="0.3">
      <c r="B2890" s="4" t="str" cm="1">
        <f t="array" ref="B2890">IFERROR(INDEX(EmployeeData[Employee ID], ROW() - 37), "")</f>
        <v/>
      </c>
      <c r="C2890" s="4" t="str" cm="1">
        <f t="array" ref="C2890">IFERROR(INDEX(EmployeeData[Full Name], ROW() - 37), "")</f>
        <v/>
      </c>
      <c r="D2890" s="4" t="str" cm="1">
        <f t="array" ref="D2890">IFERROR(INDEX(EmployeeData[Department], ROW() - 37), "")</f>
        <v/>
      </c>
      <c r="E2890" s="4" t="str" cm="1">
        <f t="array" ref="E2890">IFERROR(INDEX(EmployeeData[Gender], ROW() - 37), "")</f>
        <v/>
      </c>
      <c r="F2890" s="4" t="str" cm="1">
        <f t="array" ref="F2890">IFERROR(INDEX(EmployeeData[Age], ROW() - 37), "")</f>
        <v/>
      </c>
      <c r="G2890" s="6" t="str" cm="1">
        <f t="array" ref="G2890">IFERROR(INDEX(EmployeeData[Join Date], ROW() - 37), "")</f>
        <v/>
      </c>
      <c r="H2890" s="6" t="str" cm="1">
        <f t="array" ref="H2890">IFERROR(IF(INDEX(EmployeeData[Exit Date], ROW() - 37)=0, "",INDEX(EmployeeData[Exit Date], ROW() - 37)),"")</f>
        <v/>
      </c>
      <c r="I2890" s="4" t="str" cm="1">
        <f t="array" ref="I2890">IFERROR(IF(INDEX(EmployeeData[Exit Reason], ROW() - 37)=0, "",INDEX(EmployeeData[Exit Reason], ROW() - 37)),"")</f>
        <v/>
      </c>
      <c r="J2890" s="4" t="str" cm="1">
        <f t="array" ref="J2890">IFERROR(INDEX(EmployeeData[Status], ROW() - 37), "")</f>
        <v/>
      </c>
    </row>
    <row r="2891" spans="2:10" ht="19.95" customHeight="1" x14ac:dyDescent="0.3">
      <c r="B2891" s="4" t="str" cm="1">
        <f t="array" ref="B2891">IFERROR(INDEX(EmployeeData[Employee ID], ROW() - 37), "")</f>
        <v/>
      </c>
      <c r="C2891" s="4" t="str" cm="1">
        <f t="array" ref="C2891">IFERROR(INDEX(EmployeeData[Full Name], ROW() - 37), "")</f>
        <v/>
      </c>
      <c r="D2891" s="4" t="str" cm="1">
        <f t="array" ref="D2891">IFERROR(INDEX(EmployeeData[Department], ROW() - 37), "")</f>
        <v/>
      </c>
      <c r="E2891" s="4" t="str" cm="1">
        <f t="array" ref="E2891">IFERROR(INDEX(EmployeeData[Gender], ROW() - 37), "")</f>
        <v/>
      </c>
      <c r="F2891" s="4" t="str" cm="1">
        <f t="array" ref="F2891">IFERROR(INDEX(EmployeeData[Age], ROW() - 37), "")</f>
        <v/>
      </c>
      <c r="G2891" s="6" t="str" cm="1">
        <f t="array" ref="G2891">IFERROR(INDEX(EmployeeData[Join Date], ROW() - 37), "")</f>
        <v/>
      </c>
      <c r="H2891" s="6" t="str" cm="1">
        <f t="array" ref="H2891">IFERROR(IF(INDEX(EmployeeData[Exit Date], ROW() - 37)=0, "",INDEX(EmployeeData[Exit Date], ROW() - 37)),"")</f>
        <v/>
      </c>
      <c r="I2891" s="4" t="str" cm="1">
        <f t="array" ref="I2891">IFERROR(IF(INDEX(EmployeeData[Exit Reason], ROW() - 37)=0, "",INDEX(EmployeeData[Exit Reason], ROW() - 37)),"")</f>
        <v/>
      </c>
      <c r="J2891" s="4" t="str" cm="1">
        <f t="array" ref="J2891">IFERROR(INDEX(EmployeeData[Status], ROW() - 37), "")</f>
        <v/>
      </c>
    </row>
    <row r="2892" spans="2:10" ht="19.95" customHeight="1" x14ac:dyDescent="0.3">
      <c r="B2892" s="4" t="str" cm="1">
        <f t="array" ref="B2892">IFERROR(INDEX(EmployeeData[Employee ID], ROW() - 37), "")</f>
        <v/>
      </c>
      <c r="C2892" s="4" t="str" cm="1">
        <f t="array" ref="C2892">IFERROR(INDEX(EmployeeData[Full Name], ROW() - 37), "")</f>
        <v/>
      </c>
      <c r="D2892" s="4" t="str" cm="1">
        <f t="array" ref="D2892">IFERROR(INDEX(EmployeeData[Department], ROW() - 37), "")</f>
        <v/>
      </c>
      <c r="E2892" s="4" t="str" cm="1">
        <f t="array" ref="E2892">IFERROR(INDEX(EmployeeData[Gender], ROW() - 37), "")</f>
        <v/>
      </c>
      <c r="F2892" s="4" t="str" cm="1">
        <f t="array" ref="F2892">IFERROR(INDEX(EmployeeData[Age], ROW() - 37), "")</f>
        <v/>
      </c>
      <c r="G2892" s="6" t="str" cm="1">
        <f t="array" ref="G2892">IFERROR(INDEX(EmployeeData[Join Date], ROW() - 37), "")</f>
        <v/>
      </c>
      <c r="H2892" s="6" t="str" cm="1">
        <f t="array" ref="H2892">IFERROR(IF(INDEX(EmployeeData[Exit Date], ROW() - 37)=0, "",INDEX(EmployeeData[Exit Date], ROW() - 37)),"")</f>
        <v/>
      </c>
      <c r="I2892" s="4" t="str" cm="1">
        <f t="array" ref="I2892">IFERROR(IF(INDEX(EmployeeData[Exit Reason], ROW() - 37)=0, "",INDEX(EmployeeData[Exit Reason], ROW() - 37)),"")</f>
        <v/>
      </c>
      <c r="J2892" s="4" t="str" cm="1">
        <f t="array" ref="J2892">IFERROR(INDEX(EmployeeData[Status], ROW() - 37), "")</f>
        <v/>
      </c>
    </row>
    <row r="2893" spans="2:10" ht="19.95" customHeight="1" x14ac:dyDescent="0.3">
      <c r="B2893" s="4" t="str" cm="1">
        <f t="array" ref="B2893">IFERROR(INDEX(EmployeeData[Employee ID], ROW() - 37), "")</f>
        <v/>
      </c>
      <c r="C2893" s="4" t="str" cm="1">
        <f t="array" ref="C2893">IFERROR(INDEX(EmployeeData[Full Name], ROW() - 37), "")</f>
        <v/>
      </c>
      <c r="D2893" s="4" t="str" cm="1">
        <f t="array" ref="D2893">IFERROR(INDEX(EmployeeData[Department], ROW() - 37), "")</f>
        <v/>
      </c>
      <c r="E2893" s="4" t="str" cm="1">
        <f t="array" ref="E2893">IFERROR(INDEX(EmployeeData[Gender], ROW() - 37), "")</f>
        <v/>
      </c>
      <c r="F2893" s="4" t="str" cm="1">
        <f t="array" ref="F2893">IFERROR(INDEX(EmployeeData[Age], ROW() - 37), "")</f>
        <v/>
      </c>
      <c r="G2893" s="6" t="str" cm="1">
        <f t="array" ref="G2893">IFERROR(INDEX(EmployeeData[Join Date], ROW() - 37), "")</f>
        <v/>
      </c>
      <c r="H2893" s="6" t="str" cm="1">
        <f t="array" ref="H2893">IFERROR(IF(INDEX(EmployeeData[Exit Date], ROW() - 37)=0, "",INDEX(EmployeeData[Exit Date], ROW() - 37)),"")</f>
        <v/>
      </c>
      <c r="I2893" s="4" t="str" cm="1">
        <f t="array" ref="I2893">IFERROR(IF(INDEX(EmployeeData[Exit Reason], ROW() - 37)=0, "",INDEX(EmployeeData[Exit Reason], ROW() - 37)),"")</f>
        <v/>
      </c>
      <c r="J2893" s="4" t="str" cm="1">
        <f t="array" ref="J2893">IFERROR(INDEX(EmployeeData[Status], ROW() - 37), "")</f>
        <v/>
      </c>
    </row>
    <row r="2894" spans="2:10" ht="19.95" customHeight="1" x14ac:dyDescent="0.3">
      <c r="B2894" s="4" t="str" cm="1">
        <f t="array" ref="B2894">IFERROR(INDEX(EmployeeData[Employee ID], ROW() - 37), "")</f>
        <v/>
      </c>
      <c r="C2894" s="4" t="str" cm="1">
        <f t="array" ref="C2894">IFERROR(INDEX(EmployeeData[Full Name], ROW() - 37), "")</f>
        <v/>
      </c>
      <c r="D2894" s="4" t="str" cm="1">
        <f t="array" ref="D2894">IFERROR(INDEX(EmployeeData[Department], ROW() - 37), "")</f>
        <v/>
      </c>
      <c r="E2894" s="4" t="str" cm="1">
        <f t="array" ref="E2894">IFERROR(INDEX(EmployeeData[Gender], ROW() - 37), "")</f>
        <v/>
      </c>
      <c r="F2894" s="4" t="str" cm="1">
        <f t="array" ref="F2894">IFERROR(INDEX(EmployeeData[Age], ROW() - 37), "")</f>
        <v/>
      </c>
      <c r="G2894" s="6" t="str" cm="1">
        <f t="array" ref="G2894">IFERROR(INDEX(EmployeeData[Join Date], ROW() - 37), "")</f>
        <v/>
      </c>
      <c r="H2894" s="6" t="str" cm="1">
        <f t="array" ref="H2894">IFERROR(IF(INDEX(EmployeeData[Exit Date], ROW() - 37)=0, "",INDEX(EmployeeData[Exit Date], ROW() - 37)),"")</f>
        <v/>
      </c>
      <c r="I2894" s="4" t="str" cm="1">
        <f t="array" ref="I2894">IFERROR(IF(INDEX(EmployeeData[Exit Reason], ROW() - 37)=0, "",INDEX(EmployeeData[Exit Reason], ROW() - 37)),"")</f>
        <v/>
      </c>
      <c r="J2894" s="4" t="str" cm="1">
        <f t="array" ref="J2894">IFERROR(INDEX(EmployeeData[Status], ROW() - 37), "")</f>
        <v/>
      </c>
    </row>
    <row r="2895" spans="2:10" ht="19.95" customHeight="1" x14ac:dyDescent="0.3">
      <c r="B2895" s="4" t="str" cm="1">
        <f t="array" ref="B2895">IFERROR(INDEX(EmployeeData[Employee ID], ROW() - 37), "")</f>
        <v/>
      </c>
      <c r="C2895" s="4" t="str" cm="1">
        <f t="array" ref="C2895">IFERROR(INDEX(EmployeeData[Full Name], ROW() - 37), "")</f>
        <v/>
      </c>
      <c r="D2895" s="4" t="str" cm="1">
        <f t="array" ref="D2895">IFERROR(INDEX(EmployeeData[Department], ROW() - 37), "")</f>
        <v/>
      </c>
      <c r="E2895" s="4" t="str" cm="1">
        <f t="array" ref="E2895">IFERROR(INDEX(EmployeeData[Gender], ROW() - 37), "")</f>
        <v/>
      </c>
      <c r="F2895" s="4" t="str" cm="1">
        <f t="array" ref="F2895">IFERROR(INDEX(EmployeeData[Age], ROW() - 37), "")</f>
        <v/>
      </c>
      <c r="G2895" s="6" t="str" cm="1">
        <f t="array" ref="G2895">IFERROR(INDEX(EmployeeData[Join Date], ROW() - 37), "")</f>
        <v/>
      </c>
      <c r="H2895" s="6" t="str" cm="1">
        <f t="array" ref="H2895">IFERROR(IF(INDEX(EmployeeData[Exit Date], ROW() - 37)=0, "",INDEX(EmployeeData[Exit Date], ROW() - 37)),"")</f>
        <v/>
      </c>
      <c r="I2895" s="4" t="str" cm="1">
        <f t="array" ref="I2895">IFERROR(IF(INDEX(EmployeeData[Exit Reason], ROW() - 37)=0, "",INDEX(EmployeeData[Exit Reason], ROW() - 37)),"")</f>
        <v/>
      </c>
      <c r="J2895" s="4" t="str" cm="1">
        <f t="array" ref="J2895">IFERROR(INDEX(EmployeeData[Status], ROW() - 37), "")</f>
        <v/>
      </c>
    </row>
    <row r="2896" spans="2:10" ht="19.95" customHeight="1" x14ac:dyDescent="0.3">
      <c r="B2896" s="4" t="str" cm="1">
        <f t="array" ref="B2896">IFERROR(INDEX(EmployeeData[Employee ID], ROW() - 37), "")</f>
        <v/>
      </c>
      <c r="C2896" s="4" t="str" cm="1">
        <f t="array" ref="C2896">IFERROR(INDEX(EmployeeData[Full Name], ROW() - 37), "")</f>
        <v/>
      </c>
      <c r="D2896" s="4" t="str" cm="1">
        <f t="array" ref="D2896">IFERROR(INDEX(EmployeeData[Department], ROW() - 37), "")</f>
        <v/>
      </c>
      <c r="E2896" s="4" t="str" cm="1">
        <f t="array" ref="E2896">IFERROR(INDEX(EmployeeData[Gender], ROW() - 37), "")</f>
        <v/>
      </c>
      <c r="F2896" s="4" t="str" cm="1">
        <f t="array" ref="F2896">IFERROR(INDEX(EmployeeData[Age], ROW() - 37), "")</f>
        <v/>
      </c>
      <c r="G2896" s="6" t="str" cm="1">
        <f t="array" ref="G2896">IFERROR(INDEX(EmployeeData[Join Date], ROW() - 37), "")</f>
        <v/>
      </c>
      <c r="H2896" s="6" t="str" cm="1">
        <f t="array" ref="H2896">IFERROR(IF(INDEX(EmployeeData[Exit Date], ROW() - 37)=0, "",INDEX(EmployeeData[Exit Date], ROW() - 37)),"")</f>
        <v/>
      </c>
      <c r="I2896" s="4" t="str" cm="1">
        <f t="array" ref="I2896">IFERROR(IF(INDEX(EmployeeData[Exit Reason], ROW() - 37)=0, "",INDEX(EmployeeData[Exit Reason], ROW() - 37)),"")</f>
        <v/>
      </c>
      <c r="J2896" s="4" t="str" cm="1">
        <f t="array" ref="J2896">IFERROR(INDEX(EmployeeData[Status], ROW() - 37), "")</f>
        <v/>
      </c>
    </row>
    <row r="2897" spans="2:10" ht="19.95" customHeight="1" x14ac:dyDescent="0.3">
      <c r="B2897" s="4" t="str" cm="1">
        <f t="array" ref="B2897">IFERROR(INDEX(EmployeeData[Employee ID], ROW() - 37), "")</f>
        <v/>
      </c>
      <c r="C2897" s="4" t="str" cm="1">
        <f t="array" ref="C2897">IFERROR(INDEX(EmployeeData[Full Name], ROW() - 37), "")</f>
        <v/>
      </c>
      <c r="D2897" s="4" t="str" cm="1">
        <f t="array" ref="D2897">IFERROR(INDEX(EmployeeData[Department], ROW() - 37), "")</f>
        <v/>
      </c>
      <c r="E2897" s="4" t="str" cm="1">
        <f t="array" ref="E2897">IFERROR(INDEX(EmployeeData[Gender], ROW() - 37), "")</f>
        <v/>
      </c>
      <c r="F2897" s="4" t="str" cm="1">
        <f t="array" ref="F2897">IFERROR(INDEX(EmployeeData[Age], ROW() - 37), "")</f>
        <v/>
      </c>
      <c r="G2897" s="6" t="str" cm="1">
        <f t="array" ref="G2897">IFERROR(INDEX(EmployeeData[Join Date], ROW() - 37), "")</f>
        <v/>
      </c>
      <c r="H2897" s="6" t="str" cm="1">
        <f t="array" ref="H2897">IFERROR(IF(INDEX(EmployeeData[Exit Date], ROW() - 37)=0, "",INDEX(EmployeeData[Exit Date], ROW() - 37)),"")</f>
        <v/>
      </c>
      <c r="I2897" s="4" t="str" cm="1">
        <f t="array" ref="I2897">IFERROR(IF(INDEX(EmployeeData[Exit Reason], ROW() - 37)=0, "",INDEX(EmployeeData[Exit Reason], ROW() - 37)),"")</f>
        <v/>
      </c>
      <c r="J2897" s="4" t="str" cm="1">
        <f t="array" ref="J2897">IFERROR(INDEX(EmployeeData[Status], ROW() - 37), "")</f>
        <v/>
      </c>
    </row>
    <row r="2898" spans="2:10" ht="19.95" customHeight="1" x14ac:dyDescent="0.3">
      <c r="B2898" s="4" t="str" cm="1">
        <f t="array" ref="B2898">IFERROR(INDEX(EmployeeData[Employee ID], ROW() - 37), "")</f>
        <v/>
      </c>
      <c r="C2898" s="4" t="str" cm="1">
        <f t="array" ref="C2898">IFERROR(INDEX(EmployeeData[Full Name], ROW() - 37), "")</f>
        <v/>
      </c>
      <c r="D2898" s="4" t="str" cm="1">
        <f t="array" ref="D2898">IFERROR(INDEX(EmployeeData[Department], ROW() - 37), "")</f>
        <v/>
      </c>
      <c r="E2898" s="4" t="str" cm="1">
        <f t="array" ref="E2898">IFERROR(INDEX(EmployeeData[Gender], ROW() - 37), "")</f>
        <v/>
      </c>
      <c r="F2898" s="4" t="str" cm="1">
        <f t="array" ref="F2898">IFERROR(INDEX(EmployeeData[Age], ROW() - 37), "")</f>
        <v/>
      </c>
      <c r="G2898" s="6" t="str" cm="1">
        <f t="array" ref="G2898">IFERROR(INDEX(EmployeeData[Join Date], ROW() - 37), "")</f>
        <v/>
      </c>
      <c r="H2898" s="6" t="str" cm="1">
        <f t="array" ref="H2898">IFERROR(IF(INDEX(EmployeeData[Exit Date], ROW() - 37)=0, "",INDEX(EmployeeData[Exit Date], ROW() - 37)),"")</f>
        <v/>
      </c>
      <c r="I2898" s="4" t="str" cm="1">
        <f t="array" ref="I2898">IFERROR(IF(INDEX(EmployeeData[Exit Reason], ROW() - 37)=0, "",INDEX(EmployeeData[Exit Reason], ROW() - 37)),"")</f>
        <v/>
      </c>
      <c r="J2898" s="4" t="str" cm="1">
        <f t="array" ref="J2898">IFERROR(INDEX(EmployeeData[Status], ROW() - 37), "")</f>
        <v/>
      </c>
    </row>
    <row r="2899" spans="2:10" ht="19.95" customHeight="1" x14ac:dyDescent="0.3">
      <c r="B2899" s="4" t="str" cm="1">
        <f t="array" ref="B2899">IFERROR(INDEX(EmployeeData[Employee ID], ROW() - 37), "")</f>
        <v/>
      </c>
      <c r="C2899" s="4" t="str" cm="1">
        <f t="array" ref="C2899">IFERROR(INDEX(EmployeeData[Full Name], ROW() - 37), "")</f>
        <v/>
      </c>
      <c r="D2899" s="4" t="str" cm="1">
        <f t="array" ref="D2899">IFERROR(INDEX(EmployeeData[Department], ROW() - 37), "")</f>
        <v/>
      </c>
      <c r="E2899" s="4" t="str" cm="1">
        <f t="array" ref="E2899">IFERROR(INDEX(EmployeeData[Gender], ROW() - 37), "")</f>
        <v/>
      </c>
      <c r="F2899" s="4" t="str" cm="1">
        <f t="array" ref="F2899">IFERROR(INDEX(EmployeeData[Age], ROW() - 37), "")</f>
        <v/>
      </c>
      <c r="G2899" s="6" t="str" cm="1">
        <f t="array" ref="G2899">IFERROR(INDEX(EmployeeData[Join Date], ROW() - 37), "")</f>
        <v/>
      </c>
      <c r="H2899" s="6" t="str" cm="1">
        <f t="array" ref="H2899">IFERROR(IF(INDEX(EmployeeData[Exit Date], ROW() - 37)=0, "",INDEX(EmployeeData[Exit Date], ROW() - 37)),"")</f>
        <v/>
      </c>
      <c r="I2899" s="4" t="str" cm="1">
        <f t="array" ref="I2899">IFERROR(IF(INDEX(EmployeeData[Exit Reason], ROW() - 37)=0, "",INDEX(EmployeeData[Exit Reason], ROW() - 37)),"")</f>
        <v/>
      </c>
      <c r="J2899" s="4" t="str" cm="1">
        <f t="array" ref="J2899">IFERROR(INDEX(EmployeeData[Status], ROW() - 37), "")</f>
        <v/>
      </c>
    </row>
    <row r="2900" spans="2:10" ht="19.95" customHeight="1" x14ac:dyDescent="0.3">
      <c r="B2900" s="4" t="str" cm="1">
        <f t="array" ref="B2900">IFERROR(INDEX(EmployeeData[Employee ID], ROW() - 37), "")</f>
        <v/>
      </c>
      <c r="C2900" s="4" t="str" cm="1">
        <f t="array" ref="C2900">IFERROR(INDEX(EmployeeData[Full Name], ROW() - 37), "")</f>
        <v/>
      </c>
      <c r="D2900" s="4" t="str" cm="1">
        <f t="array" ref="D2900">IFERROR(INDEX(EmployeeData[Department], ROW() - 37), "")</f>
        <v/>
      </c>
      <c r="E2900" s="4" t="str" cm="1">
        <f t="array" ref="E2900">IFERROR(INDEX(EmployeeData[Gender], ROW() - 37), "")</f>
        <v/>
      </c>
      <c r="F2900" s="4" t="str" cm="1">
        <f t="array" ref="F2900">IFERROR(INDEX(EmployeeData[Age], ROW() - 37), "")</f>
        <v/>
      </c>
      <c r="G2900" s="6" t="str" cm="1">
        <f t="array" ref="G2900">IFERROR(INDEX(EmployeeData[Join Date], ROW() - 37), "")</f>
        <v/>
      </c>
      <c r="H2900" s="6" t="str" cm="1">
        <f t="array" ref="H2900">IFERROR(IF(INDEX(EmployeeData[Exit Date], ROW() - 37)=0, "",INDEX(EmployeeData[Exit Date], ROW() - 37)),"")</f>
        <v/>
      </c>
      <c r="I2900" s="4" t="str" cm="1">
        <f t="array" ref="I2900">IFERROR(IF(INDEX(EmployeeData[Exit Reason], ROW() - 37)=0, "",INDEX(EmployeeData[Exit Reason], ROW() - 37)),"")</f>
        <v/>
      </c>
      <c r="J2900" s="4" t="str" cm="1">
        <f t="array" ref="J2900">IFERROR(INDEX(EmployeeData[Status], ROW() - 37), "")</f>
        <v/>
      </c>
    </row>
    <row r="2901" spans="2:10" ht="19.95" customHeight="1" x14ac:dyDescent="0.3">
      <c r="B2901" s="4" t="str" cm="1">
        <f t="array" ref="B2901">IFERROR(INDEX(EmployeeData[Employee ID], ROW() - 37), "")</f>
        <v/>
      </c>
      <c r="C2901" s="4" t="str" cm="1">
        <f t="array" ref="C2901">IFERROR(INDEX(EmployeeData[Full Name], ROW() - 37), "")</f>
        <v/>
      </c>
      <c r="D2901" s="4" t="str" cm="1">
        <f t="array" ref="D2901">IFERROR(INDEX(EmployeeData[Department], ROW() - 37), "")</f>
        <v/>
      </c>
      <c r="E2901" s="4" t="str" cm="1">
        <f t="array" ref="E2901">IFERROR(INDEX(EmployeeData[Gender], ROW() - 37), "")</f>
        <v/>
      </c>
      <c r="F2901" s="4" t="str" cm="1">
        <f t="array" ref="F2901">IFERROR(INDEX(EmployeeData[Age], ROW() - 37), "")</f>
        <v/>
      </c>
      <c r="G2901" s="6" t="str" cm="1">
        <f t="array" ref="G2901">IFERROR(INDEX(EmployeeData[Join Date], ROW() - 37), "")</f>
        <v/>
      </c>
      <c r="H2901" s="6" t="str" cm="1">
        <f t="array" ref="H2901">IFERROR(IF(INDEX(EmployeeData[Exit Date], ROW() - 37)=0, "",INDEX(EmployeeData[Exit Date], ROW() - 37)),"")</f>
        <v/>
      </c>
      <c r="I2901" s="4" t="str" cm="1">
        <f t="array" ref="I2901">IFERROR(IF(INDEX(EmployeeData[Exit Reason], ROW() - 37)=0, "",INDEX(EmployeeData[Exit Reason], ROW() - 37)),"")</f>
        <v/>
      </c>
      <c r="J2901" s="4" t="str" cm="1">
        <f t="array" ref="J2901">IFERROR(INDEX(EmployeeData[Status], ROW() - 37), "")</f>
        <v/>
      </c>
    </row>
    <row r="2902" spans="2:10" ht="19.95" customHeight="1" x14ac:dyDescent="0.3">
      <c r="B2902" s="4" t="str" cm="1">
        <f t="array" ref="B2902">IFERROR(INDEX(EmployeeData[Employee ID], ROW() - 37), "")</f>
        <v/>
      </c>
      <c r="C2902" s="4" t="str" cm="1">
        <f t="array" ref="C2902">IFERROR(INDEX(EmployeeData[Full Name], ROW() - 37), "")</f>
        <v/>
      </c>
      <c r="D2902" s="4" t="str" cm="1">
        <f t="array" ref="D2902">IFERROR(INDEX(EmployeeData[Department], ROW() - 37), "")</f>
        <v/>
      </c>
      <c r="E2902" s="4" t="str" cm="1">
        <f t="array" ref="E2902">IFERROR(INDEX(EmployeeData[Gender], ROW() - 37), "")</f>
        <v/>
      </c>
      <c r="F2902" s="4" t="str" cm="1">
        <f t="array" ref="F2902">IFERROR(INDEX(EmployeeData[Age], ROW() - 37), "")</f>
        <v/>
      </c>
      <c r="G2902" s="6" t="str" cm="1">
        <f t="array" ref="G2902">IFERROR(INDEX(EmployeeData[Join Date], ROW() - 37), "")</f>
        <v/>
      </c>
      <c r="H2902" s="6" t="str" cm="1">
        <f t="array" ref="H2902">IFERROR(IF(INDEX(EmployeeData[Exit Date], ROW() - 37)=0, "",INDEX(EmployeeData[Exit Date], ROW() - 37)),"")</f>
        <v/>
      </c>
      <c r="I2902" s="4" t="str" cm="1">
        <f t="array" ref="I2902">IFERROR(IF(INDEX(EmployeeData[Exit Reason], ROW() - 37)=0, "",INDEX(EmployeeData[Exit Reason], ROW() - 37)),"")</f>
        <v/>
      </c>
      <c r="J2902" s="4" t="str" cm="1">
        <f t="array" ref="J2902">IFERROR(INDEX(EmployeeData[Status], ROW() - 37), "")</f>
        <v/>
      </c>
    </row>
    <row r="2903" spans="2:10" ht="19.95" customHeight="1" x14ac:dyDescent="0.3">
      <c r="B2903" s="4" t="str" cm="1">
        <f t="array" ref="B2903">IFERROR(INDEX(EmployeeData[Employee ID], ROW() - 37), "")</f>
        <v/>
      </c>
      <c r="C2903" s="4" t="str" cm="1">
        <f t="array" ref="C2903">IFERROR(INDEX(EmployeeData[Full Name], ROW() - 37), "")</f>
        <v/>
      </c>
      <c r="D2903" s="4" t="str" cm="1">
        <f t="array" ref="D2903">IFERROR(INDEX(EmployeeData[Department], ROW() - 37), "")</f>
        <v/>
      </c>
      <c r="E2903" s="4" t="str" cm="1">
        <f t="array" ref="E2903">IFERROR(INDEX(EmployeeData[Gender], ROW() - 37), "")</f>
        <v/>
      </c>
      <c r="F2903" s="4" t="str" cm="1">
        <f t="array" ref="F2903">IFERROR(INDEX(EmployeeData[Age], ROW() - 37), "")</f>
        <v/>
      </c>
      <c r="G2903" s="6" t="str" cm="1">
        <f t="array" ref="G2903">IFERROR(INDEX(EmployeeData[Join Date], ROW() - 37), "")</f>
        <v/>
      </c>
      <c r="H2903" s="6" t="str" cm="1">
        <f t="array" ref="H2903">IFERROR(IF(INDEX(EmployeeData[Exit Date], ROW() - 37)=0, "",INDEX(EmployeeData[Exit Date], ROW() - 37)),"")</f>
        <v/>
      </c>
      <c r="I2903" s="4" t="str" cm="1">
        <f t="array" ref="I2903">IFERROR(IF(INDEX(EmployeeData[Exit Reason], ROW() - 37)=0, "",INDEX(EmployeeData[Exit Reason], ROW() - 37)),"")</f>
        <v/>
      </c>
      <c r="J2903" s="4" t="str" cm="1">
        <f t="array" ref="J2903">IFERROR(INDEX(EmployeeData[Status], ROW() - 37), "")</f>
        <v/>
      </c>
    </row>
    <row r="2904" spans="2:10" ht="19.95" customHeight="1" x14ac:dyDescent="0.3">
      <c r="B2904" s="4" t="str" cm="1">
        <f t="array" ref="B2904">IFERROR(INDEX(EmployeeData[Employee ID], ROW() - 37), "")</f>
        <v/>
      </c>
      <c r="C2904" s="4" t="str" cm="1">
        <f t="array" ref="C2904">IFERROR(INDEX(EmployeeData[Full Name], ROW() - 37), "")</f>
        <v/>
      </c>
      <c r="D2904" s="4" t="str" cm="1">
        <f t="array" ref="D2904">IFERROR(INDEX(EmployeeData[Department], ROW() - 37), "")</f>
        <v/>
      </c>
      <c r="E2904" s="4" t="str" cm="1">
        <f t="array" ref="E2904">IFERROR(INDEX(EmployeeData[Gender], ROW() - 37), "")</f>
        <v/>
      </c>
      <c r="F2904" s="4" t="str" cm="1">
        <f t="array" ref="F2904">IFERROR(INDEX(EmployeeData[Age], ROW() - 37), "")</f>
        <v/>
      </c>
      <c r="G2904" s="6" t="str" cm="1">
        <f t="array" ref="G2904">IFERROR(INDEX(EmployeeData[Join Date], ROW() - 37), "")</f>
        <v/>
      </c>
      <c r="H2904" s="6" t="str" cm="1">
        <f t="array" ref="H2904">IFERROR(IF(INDEX(EmployeeData[Exit Date], ROW() - 37)=0, "",INDEX(EmployeeData[Exit Date], ROW() - 37)),"")</f>
        <v/>
      </c>
      <c r="I2904" s="4" t="str" cm="1">
        <f t="array" ref="I2904">IFERROR(IF(INDEX(EmployeeData[Exit Reason], ROW() - 37)=0, "",INDEX(EmployeeData[Exit Reason], ROW() - 37)),"")</f>
        <v/>
      </c>
      <c r="J2904" s="4" t="str" cm="1">
        <f t="array" ref="J2904">IFERROR(INDEX(EmployeeData[Status], ROW() - 37), "")</f>
        <v/>
      </c>
    </row>
    <row r="2905" spans="2:10" ht="19.95" customHeight="1" x14ac:dyDescent="0.3">
      <c r="B2905" s="4" t="str" cm="1">
        <f t="array" ref="B2905">IFERROR(INDEX(EmployeeData[Employee ID], ROW() - 37), "")</f>
        <v/>
      </c>
      <c r="C2905" s="4" t="str" cm="1">
        <f t="array" ref="C2905">IFERROR(INDEX(EmployeeData[Full Name], ROW() - 37), "")</f>
        <v/>
      </c>
      <c r="D2905" s="4" t="str" cm="1">
        <f t="array" ref="D2905">IFERROR(INDEX(EmployeeData[Department], ROW() - 37), "")</f>
        <v/>
      </c>
      <c r="E2905" s="4" t="str" cm="1">
        <f t="array" ref="E2905">IFERROR(INDEX(EmployeeData[Gender], ROW() - 37), "")</f>
        <v/>
      </c>
      <c r="F2905" s="4" t="str" cm="1">
        <f t="array" ref="F2905">IFERROR(INDEX(EmployeeData[Age], ROW() - 37), "")</f>
        <v/>
      </c>
      <c r="G2905" s="6" t="str" cm="1">
        <f t="array" ref="G2905">IFERROR(INDEX(EmployeeData[Join Date], ROW() - 37), "")</f>
        <v/>
      </c>
      <c r="H2905" s="6" t="str" cm="1">
        <f t="array" ref="H2905">IFERROR(IF(INDEX(EmployeeData[Exit Date], ROW() - 37)=0, "",INDEX(EmployeeData[Exit Date], ROW() - 37)),"")</f>
        <v/>
      </c>
      <c r="I2905" s="4" t="str" cm="1">
        <f t="array" ref="I2905">IFERROR(IF(INDEX(EmployeeData[Exit Reason], ROW() - 37)=0, "",INDEX(EmployeeData[Exit Reason], ROW() - 37)),"")</f>
        <v/>
      </c>
      <c r="J2905" s="4" t="str" cm="1">
        <f t="array" ref="J2905">IFERROR(INDEX(EmployeeData[Status], ROW() - 37), "")</f>
        <v/>
      </c>
    </row>
    <row r="2906" spans="2:10" ht="19.95" customHeight="1" x14ac:dyDescent="0.3">
      <c r="B2906" s="4" t="str" cm="1">
        <f t="array" ref="B2906">IFERROR(INDEX(EmployeeData[Employee ID], ROW() - 37), "")</f>
        <v/>
      </c>
      <c r="C2906" s="4" t="str" cm="1">
        <f t="array" ref="C2906">IFERROR(INDEX(EmployeeData[Full Name], ROW() - 37), "")</f>
        <v/>
      </c>
      <c r="D2906" s="4" t="str" cm="1">
        <f t="array" ref="D2906">IFERROR(INDEX(EmployeeData[Department], ROW() - 37), "")</f>
        <v/>
      </c>
      <c r="E2906" s="4" t="str" cm="1">
        <f t="array" ref="E2906">IFERROR(INDEX(EmployeeData[Gender], ROW() - 37), "")</f>
        <v/>
      </c>
      <c r="F2906" s="4" t="str" cm="1">
        <f t="array" ref="F2906">IFERROR(INDEX(EmployeeData[Age], ROW() - 37), "")</f>
        <v/>
      </c>
      <c r="G2906" s="6" t="str" cm="1">
        <f t="array" ref="G2906">IFERROR(INDEX(EmployeeData[Join Date], ROW() - 37), "")</f>
        <v/>
      </c>
      <c r="H2906" s="6" t="str" cm="1">
        <f t="array" ref="H2906">IFERROR(IF(INDEX(EmployeeData[Exit Date], ROW() - 37)=0, "",INDEX(EmployeeData[Exit Date], ROW() - 37)),"")</f>
        <v/>
      </c>
      <c r="I2906" s="4" t="str" cm="1">
        <f t="array" ref="I2906">IFERROR(IF(INDEX(EmployeeData[Exit Reason], ROW() - 37)=0, "",INDEX(EmployeeData[Exit Reason], ROW() - 37)),"")</f>
        <v/>
      </c>
      <c r="J2906" s="4" t="str" cm="1">
        <f t="array" ref="J2906">IFERROR(INDEX(EmployeeData[Status], ROW() - 37), "")</f>
        <v/>
      </c>
    </row>
    <row r="2907" spans="2:10" ht="19.95" customHeight="1" x14ac:dyDescent="0.3">
      <c r="B2907" s="4" t="str" cm="1">
        <f t="array" ref="B2907">IFERROR(INDEX(EmployeeData[Employee ID], ROW() - 37), "")</f>
        <v/>
      </c>
      <c r="C2907" s="4" t="str" cm="1">
        <f t="array" ref="C2907">IFERROR(INDEX(EmployeeData[Full Name], ROW() - 37), "")</f>
        <v/>
      </c>
      <c r="D2907" s="4" t="str" cm="1">
        <f t="array" ref="D2907">IFERROR(INDEX(EmployeeData[Department], ROW() - 37), "")</f>
        <v/>
      </c>
      <c r="E2907" s="4" t="str" cm="1">
        <f t="array" ref="E2907">IFERROR(INDEX(EmployeeData[Gender], ROW() - 37), "")</f>
        <v/>
      </c>
      <c r="F2907" s="4" t="str" cm="1">
        <f t="array" ref="F2907">IFERROR(INDEX(EmployeeData[Age], ROW() - 37), "")</f>
        <v/>
      </c>
      <c r="G2907" s="6" t="str" cm="1">
        <f t="array" ref="G2907">IFERROR(INDEX(EmployeeData[Join Date], ROW() - 37), "")</f>
        <v/>
      </c>
      <c r="H2907" s="6" t="str" cm="1">
        <f t="array" ref="H2907">IFERROR(IF(INDEX(EmployeeData[Exit Date], ROW() - 37)=0, "",INDEX(EmployeeData[Exit Date], ROW() - 37)),"")</f>
        <v/>
      </c>
      <c r="I2907" s="4" t="str" cm="1">
        <f t="array" ref="I2907">IFERROR(IF(INDEX(EmployeeData[Exit Reason], ROW() - 37)=0, "",INDEX(EmployeeData[Exit Reason], ROW() - 37)),"")</f>
        <v/>
      </c>
      <c r="J2907" s="4" t="str" cm="1">
        <f t="array" ref="J2907">IFERROR(INDEX(EmployeeData[Status], ROW() - 37), "")</f>
        <v/>
      </c>
    </row>
    <row r="2908" spans="2:10" ht="19.95" customHeight="1" x14ac:dyDescent="0.3">
      <c r="B2908" s="4" t="str" cm="1">
        <f t="array" ref="B2908">IFERROR(INDEX(EmployeeData[Employee ID], ROW() - 37), "")</f>
        <v/>
      </c>
      <c r="C2908" s="4" t="str" cm="1">
        <f t="array" ref="C2908">IFERROR(INDEX(EmployeeData[Full Name], ROW() - 37), "")</f>
        <v/>
      </c>
      <c r="D2908" s="4" t="str" cm="1">
        <f t="array" ref="D2908">IFERROR(INDEX(EmployeeData[Department], ROW() - 37), "")</f>
        <v/>
      </c>
      <c r="E2908" s="4" t="str" cm="1">
        <f t="array" ref="E2908">IFERROR(INDEX(EmployeeData[Gender], ROW() - 37), "")</f>
        <v/>
      </c>
      <c r="F2908" s="4" t="str" cm="1">
        <f t="array" ref="F2908">IFERROR(INDEX(EmployeeData[Age], ROW() - 37), "")</f>
        <v/>
      </c>
      <c r="G2908" s="6" t="str" cm="1">
        <f t="array" ref="G2908">IFERROR(INDEX(EmployeeData[Join Date], ROW() - 37), "")</f>
        <v/>
      </c>
      <c r="H2908" s="6" t="str" cm="1">
        <f t="array" ref="H2908">IFERROR(IF(INDEX(EmployeeData[Exit Date], ROW() - 37)=0, "",INDEX(EmployeeData[Exit Date], ROW() - 37)),"")</f>
        <v/>
      </c>
      <c r="I2908" s="4" t="str" cm="1">
        <f t="array" ref="I2908">IFERROR(IF(INDEX(EmployeeData[Exit Reason], ROW() - 37)=0, "",INDEX(EmployeeData[Exit Reason], ROW() - 37)),"")</f>
        <v/>
      </c>
      <c r="J2908" s="4" t="str" cm="1">
        <f t="array" ref="J2908">IFERROR(INDEX(EmployeeData[Status], ROW() - 37), "")</f>
        <v/>
      </c>
    </row>
    <row r="2909" spans="2:10" ht="19.95" customHeight="1" x14ac:dyDescent="0.3">
      <c r="B2909" s="4" t="str" cm="1">
        <f t="array" ref="B2909">IFERROR(INDEX(EmployeeData[Employee ID], ROW() - 37), "")</f>
        <v/>
      </c>
      <c r="C2909" s="4" t="str" cm="1">
        <f t="array" ref="C2909">IFERROR(INDEX(EmployeeData[Full Name], ROW() - 37), "")</f>
        <v/>
      </c>
      <c r="D2909" s="4" t="str" cm="1">
        <f t="array" ref="D2909">IFERROR(INDEX(EmployeeData[Department], ROW() - 37), "")</f>
        <v/>
      </c>
      <c r="E2909" s="4" t="str" cm="1">
        <f t="array" ref="E2909">IFERROR(INDEX(EmployeeData[Gender], ROW() - 37), "")</f>
        <v/>
      </c>
      <c r="F2909" s="4" t="str" cm="1">
        <f t="array" ref="F2909">IFERROR(INDEX(EmployeeData[Age], ROW() - 37), "")</f>
        <v/>
      </c>
      <c r="G2909" s="6" t="str" cm="1">
        <f t="array" ref="G2909">IFERROR(INDEX(EmployeeData[Join Date], ROW() - 37), "")</f>
        <v/>
      </c>
      <c r="H2909" s="6" t="str" cm="1">
        <f t="array" ref="H2909">IFERROR(IF(INDEX(EmployeeData[Exit Date], ROW() - 37)=0, "",INDEX(EmployeeData[Exit Date], ROW() - 37)),"")</f>
        <v/>
      </c>
      <c r="I2909" s="4" t="str" cm="1">
        <f t="array" ref="I2909">IFERROR(IF(INDEX(EmployeeData[Exit Reason], ROW() - 37)=0, "",INDEX(EmployeeData[Exit Reason], ROW() - 37)),"")</f>
        <v/>
      </c>
      <c r="J2909" s="4" t="str" cm="1">
        <f t="array" ref="J2909">IFERROR(INDEX(EmployeeData[Status], ROW() - 37), "")</f>
        <v/>
      </c>
    </row>
    <row r="2910" spans="2:10" ht="19.95" customHeight="1" x14ac:dyDescent="0.3">
      <c r="B2910" s="4" t="str" cm="1">
        <f t="array" ref="B2910">IFERROR(INDEX(EmployeeData[Employee ID], ROW() - 37), "")</f>
        <v/>
      </c>
      <c r="C2910" s="4" t="str" cm="1">
        <f t="array" ref="C2910">IFERROR(INDEX(EmployeeData[Full Name], ROW() - 37), "")</f>
        <v/>
      </c>
      <c r="D2910" s="4" t="str" cm="1">
        <f t="array" ref="D2910">IFERROR(INDEX(EmployeeData[Department], ROW() - 37), "")</f>
        <v/>
      </c>
      <c r="E2910" s="4" t="str" cm="1">
        <f t="array" ref="E2910">IFERROR(INDEX(EmployeeData[Gender], ROW() - 37), "")</f>
        <v/>
      </c>
      <c r="F2910" s="4" t="str" cm="1">
        <f t="array" ref="F2910">IFERROR(INDEX(EmployeeData[Age], ROW() - 37), "")</f>
        <v/>
      </c>
      <c r="G2910" s="6" t="str" cm="1">
        <f t="array" ref="G2910">IFERROR(INDEX(EmployeeData[Join Date], ROW() - 37), "")</f>
        <v/>
      </c>
      <c r="H2910" s="6" t="str" cm="1">
        <f t="array" ref="H2910">IFERROR(IF(INDEX(EmployeeData[Exit Date], ROW() - 37)=0, "",INDEX(EmployeeData[Exit Date], ROW() - 37)),"")</f>
        <v/>
      </c>
      <c r="I2910" s="4" t="str" cm="1">
        <f t="array" ref="I2910">IFERROR(IF(INDEX(EmployeeData[Exit Reason], ROW() - 37)=0, "",INDEX(EmployeeData[Exit Reason], ROW() - 37)),"")</f>
        <v/>
      </c>
      <c r="J2910" s="4" t="str" cm="1">
        <f t="array" ref="J2910">IFERROR(INDEX(EmployeeData[Status], ROW() - 37), "")</f>
        <v/>
      </c>
    </row>
    <row r="2911" spans="2:10" ht="19.95" customHeight="1" x14ac:dyDescent="0.3">
      <c r="B2911" s="4" t="str" cm="1">
        <f t="array" ref="B2911">IFERROR(INDEX(EmployeeData[Employee ID], ROW() - 37), "")</f>
        <v/>
      </c>
      <c r="C2911" s="4" t="str" cm="1">
        <f t="array" ref="C2911">IFERROR(INDEX(EmployeeData[Full Name], ROW() - 37), "")</f>
        <v/>
      </c>
      <c r="D2911" s="4" t="str" cm="1">
        <f t="array" ref="D2911">IFERROR(INDEX(EmployeeData[Department], ROW() - 37), "")</f>
        <v/>
      </c>
      <c r="E2911" s="4" t="str" cm="1">
        <f t="array" ref="E2911">IFERROR(INDEX(EmployeeData[Gender], ROW() - 37), "")</f>
        <v/>
      </c>
      <c r="F2911" s="4" t="str" cm="1">
        <f t="array" ref="F2911">IFERROR(INDEX(EmployeeData[Age], ROW() - 37), "")</f>
        <v/>
      </c>
      <c r="G2911" s="6" t="str" cm="1">
        <f t="array" ref="G2911">IFERROR(INDEX(EmployeeData[Join Date], ROW() - 37), "")</f>
        <v/>
      </c>
      <c r="H2911" s="6" t="str" cm="1">
        <f t="array" ref="H2911">IFERROR(IF(INDEX(EmployeeData[Exit Date], ROW() - 37)=0, "",INDEX(EmployeeData[Exit Date], ROW() - 37)),"")</f>
        <v/>
      </c>
      <c r="I2911" s="4" t="str" cm="1">
        <f t="array" ref="I2911">IFERROR(IF(INDEX(EmployeeData[Exit Reason], ROW() - 37)=0, "",INDEX(EmployeeData[Exit Reason], ROW() - 37)),"")</f>
        <v/>
      </c>
      <c r="J2911" s="4" t="str" cm="1">
        <f t="array" ref="J2911">IFERROR(INDEX(EmployeeData[Status], ROW() - 37), "")</f>
        <v/>
      </c>
    </row>
    <row r="2912" spans="2:10" ht="19.95" customHeight="1" x14ac:dyDescent="0.3">
      <c r="B2912" s="4" t="str" cm="1">
        <f t="array" ref="B2912">IFERROR(INDEX(EmployeeData[Employee ID], ROW() - 37), "")</f>
        <v/>
      </c>
      <c r="C2912" s="4" t="str" cm="1">
        <f t="array" ref="C2912">IFERROR(INDEX(EmployeeData[Full Name], ROW() - 37), "")</f>
        <v/>
      </c>
      <c r="D2912" s="4" t="str" cm="1">
        <f t="array" ref="D2912">IFERROR(INDEX(EmployeeData[Department], ROW() - 37), "")</f>
        <v/>
      </c>
      <c r="E2912" s="4" t="str" cm="1">
        <f t="array" ref="E2912">IFERROR(INDEX(EmployeeData[Gender], ROW() - 37), "")</f>
        <v/>
      </c>
      <c r="F2912" s="4" t="str" cm="1">
        <f t="array" ref="F2912">IFERROR(INDEX(EmployeeData[Age], ROW() - 37), "")</f>
        <v/>
      </c>
      <c r="G2912" s="6" t="str" cm="1">
        <f t="array" ref="G2912">IFERROR(INDEX(EmployeeData[Join Date], ROW() - 37), "")</f>
        <v/>
      </c>
      <c r="H2912" s="6" t="str" cm="1">
        <f t="array" ref="H2912">IFERROR(IF(INDEX(EmployeeData[Exit Date], ROW() - 37)=0, "",INDEX(EmployeeData[Exit Date], ROW() - 37)),"")</f>
        <v/>
      </c>
      <c r="I2912" s="4" t="str" cm="1">
        <f t="array" ref="I2912">IFERROR(IF(INDEX(EmployeeData[Exit Reason], ROW() - 37)=0, "",INDEX(EmployeeData[Exit Reason], ROW() - 37)),"")</f>
        <v/>
      </c>
      <c r="J2912" s="4" t="str" cm="1">
        <f t="array" ref="J2912">IFERROR(INDEX(EmployeeData[Status], ROW() - 37), "")</f>
        <v/>
      </c>
    </row>
    <row r="2913" spans="2:10" ht="19.95" customHeight="1" x14ac:dyDescent="0.3">
      <c r="B2913" s="4" t="str" cm="1">
        <f t="array" ref="B2913">IFERROR(INDEX(EmployeeData[Employee ID], ROW() - 37), "")</f>
        <v/>
      </c>
      <c r="C2913" s="4" t="str" cm="1">
        <f t="array" ref="C2913">IFERROR(INDEX(EmployeeData[Full Name], ROW() - 37), "")</f>
        <v/>
      </c>
      <c r="D2913" s="4" t="str" cm="1">
        <f t="array" ref="D2913">IFERROR(INDEX(EmployeeData[Department], ROW() - 37), "")</f>
        <v/>
      </c>
      <c r="E2913" s="4" t="str" cm="1">
        <f t="array" ref="E2913">IFERROR(INDEX(EmployeeData[Gender], ROW() - 37), "")</f>
        <v/>
      </c>
      <c r="F2913" s="4" t="str" cm="1">
        <f t="array" ref="F2913">IFERROR(INDEX(EmployeeData[Age], ROW() - 37), "")</f>
        <v/>
      </c>
      <c r="G2913" s="6" t="str" cm="1">
        <f t="array" ref="G2913">IFERROR(INDEX(EmployeeData[Join Date], ROW() - 37), "")</f>
        <v/>
      </c>
      <c r="H2913" s="6" t="str" cm="1">
        <f t="array" ref="H2913">IFERROR(IF(INDEX(EmployeeData[Exit Date], ROW() - 37)=0, "",INDEX(EmployeeData[Exit Date], ROW() - 37)),"")</f>
        <v/>
      </c>
      <c r="I2913" s="4" t="str" cm="1">
        <f t="array" ref="I2913">IFERROR(IF(INDEX(EmployeeData[Exit Reason], ROW() - 37)=0, "",INDEX(EmployeeData[Exit Reason], ROW() - 37)),"")</f>
        <v/>
      </c>
      <c r="J2913" s="4" t="str" cm="1">
        <f t="array" ref="J2913">IFERROR(INDEX(EmployeeData[Status], ROW() - 37), "")</f>
        <v/>
      </c>
    </row>
    <row r="2914" spans="2:10" ht="19.95" customHeight="1" x14ac:dyDescent="0.3">
      <c r="B2914" s="4" t="str" cm="1">
        <f t="array" ref="B2914">IFERROR(INDEX(EmployeeData[Employee ID], ROW() - 37), "")</f>
        <v/>
      </c>
      <c r="C2914" s="4" t="str" cm="1">
        <f t="array" ref="C2914">IFERROR(INDEX(EmployeeData[Full Name], ROW() - 37), "")</f>
        <v/>
      </c>
      <c r="D2914" s="4" t="str" cm="1">
        <f t="array" ref="D2914">IFERROR(INDEX(EmployeeData[Department], ROW() - 37), "")</f>
        <v/>
      </c>
      <c r="E2914" s="4" t="str" cm="1">
        <f t="array" ref="E2914">IFERROR(INDEX(EmployeeData[Gender], ROW() - 37), "")</f>
        <v/>
      </c>
      <c r="F2914" s="4" t="str" cm="1">
        <f t="array" ref="F2914">IFERROR(INDEX(EmployeeData[Age], ROW() - 37), "")</f>
        <v/>
      </c>
      <c r="G2914" s="6" t="str" cm="1">
        <f t="array" ref="G2914">IFERROR(INDEX(EmployeeData[Join Date], ROW() - 37), "")</f>
        <v/>
      </c>
      <c r="H2914" s="6" t="str" cm="1">
        <f t="array" ref="H2914">IFERROR(IF(INDEX(EmployeeData[Exit Date], ROW() - 37)=0, "",INDEX(EmployeeData[Exit Date], ROW() - 37)),"")</f>
        <v/>
      </c>
      <c r="I2914" s="4" t="str" cm="1">
        <f t="array" ref="I2914">IFERROR(IF(INDEX(EmployeeData[Exit Reason], ROW() - 37)=0, "",INDEX(EmployeeData[Exit Reason], ROW() - 37)),"")</f>
        <v/>
      </c>
      <c r="J2914" s="4" t="str" cm="1">
        <f t="array" ref="J2914">IFERROR(INDEX(EmployeeData[Status], ROW() - 37), "")</f>
        <v/>
      </c>
    </row>
    <row r="2915" spans="2:10" ht="19.95" customHeight="1" x14ac:dyDescent="0.3">
      <c r="B2915" s="4" t="str" cm="1">
        <f t="array" ref="B2915">IFERROR(INDEX(EmployeeData[Employee ID], ROW() - 37), "")</f>
        <v/>
      </c>
      <c r="C2915" s="4" t="str" cm="1">
        <f t="array" ref="C2915">IFERROR(INDEX(EmployeeData[Full Name], ROW() - 37), "")</f>
        <v/>
      </c>
      <c r="D2915" s="4" t="str" cm="1">
        <f t="array" ref="D2915">IFERROR(INDEX(EmployeeData[Department], ROW() - 37), "")</f>
        <v/>
      </c>
      <c r="E2915" s="4" t="str" cm="1">
        <f t="array" ref="E2915">IFERROR(INDEX(EmployeeData[Gender], ROW() - 37), "")</f>
        <v/>
      </c>
      <c r="F2915" s="4" t="str" cm="1">
        <f t="array" ref="F2915">IFERROR(INDEX(EmployeeData[Age], ROW() - 37), "")</f>
        <v/>
      </c>
      <c r="G2915" s="6" t="str" cm="1">
        <f t="array" ref="G2915">IFERROR(INDEX(EmployeeData[Join Date], ROW() - 37), "")</f>
        <v/>
      </c>
      <c r="H2915" s="6" t="str" cm="1">
        <f t="array" ref="H2915">IFERROR(IF(INDEX(EmployeeData[Exit Date], ROW() - 37)=0, "",INDEX(EmployeeData[Exit Date], ROW() - 37)),"")</f>
        <v/>
      </c>
      <c r="I2915" s="4" t="str" cm="1">
        <f t="array" ref="I2915">IFERROR(IF(INDEX(EmployeeData[Exit Reason], ROW() - 37)=0, "",INDEX(EmployeeData[Exit Reason], ROW() - 37)),"")</f>
        <v/>
      </c>
      <c r="J2915" s="4" t="str" cm="1">
        <f t="array" ref="J2915">IFERROR(INDEX(EmployeeData[Status], ROW() - 37), "")</f>
        <v/>
      </c>
    </row>
    <row r="2916" spans="2:10" ht="19.95" customHeight="1" x14ac:dyDescent="0.3">
      <c r="B2916" s="4" t="str" cm="1">
        <f t="array" ref="B2916">IFERROR(INDEX(EmployeeData[Employee ID], ROW() - 37), "")</f>
        <v/>
      </c>
      <c r="C2916" s="4" t="str" cm="1">
        <f t="array" ref="C2916">IFERROR(INDEX(EmployeeData[Full Name], ROW() - 37), "")</f>
        <v/>
      </c>
      <c r="D2916" s="4" t="str" cm="1">
        <f t="array" ref="D2916">IFERROR(INDEX(EmployeeData[Department], ROW() - 37), "")</f>
        <v/>
      </c>
      <c r="E2916" s="4" t="str" cm="1">
        <f t="array" ref="E2916">IFERROR(INDEX(EmployeeData[Gender], ROW() - 37), "")</f>
        <v/>
      </c>
      <c r="F2916" s="4" t="str" cm="1">
        <f t="array" ref="F2916">IFERROR(INDEX(EmployeeData[Age], ROW() - 37), "")</f>
        <v/>
      </c>
      <c r="G2916" s="6" t="str" cm="1">
        <f t="array" ref="G2916">IFERROR(INDEX(EmployeeData[Join Date], ROW() - 37), "")</f>
        <v/>
      </c>
      <c r="H2916" s="6" t="str" cm="1">
        <f t="array" ref="H2916">IFERROR(IF(INDEX(EmployeeData[Exit Date], ROW() - 37)=0, "",INDEX(EmployeeData[Exit Date], ROW() - 37)),"")</f>
        <v/>
      </c>
      <c r="I2916" s="4" t="str" cm="1">
        <f t="array" ref="I2916">IFERROR(IF(INDEX(EmployeeData[Exit Reason], ROW() - 37)=0, "",INDEX(EmployeeData[Exit Reason], ROW() - 37)),"")</f>
        <v/>
      </c>
      <c r="J2916" s="4" t="str" cm="1">
        <f t="array" ref="J2916">IFERROR(INDEX(EmployeeData[Status], ROW() - 37), "")</f>
        <v/>
      </c>
    </row>
    <row r="2917" spans="2:10" ht="19.95" customHeight="1" x14ac:dyDescent="0.3">
      <c r="B2917" s="4" t="str" cm="1">
        <f t="array" ref="B2917">IFERROR(INDEX(EmployeeData[Employee ID], ROW() - 37), "")</f>
        <v/>
      </c>
      <c r="C2917" s="4" t="str" cm="1">
        <f t="array" ref="C2917">IFERROR(INDEX(EmployeeData[Full Name], ROW() - 37), "")</f>
        <v/>
      </c>
      <c r="D2917" s="4" t="str" cm="1">
        <f t="array" ref="D2917">IFERROR(INDEX(EmployeeData[Department], ROW() - 37), "")</f>
        <v/>
      </c>
      <c r="E2917" s="4" t="str" cm="1">
        <f t="array" ref="E2917">IFERROR(INDEX(EmployeeData[Gender], ROW() - 37), "")</f>
        <v/>
      </c>
      <c r="F2917" s="4" t="str" cm="1">
        <f t="array" ref="F2917">IFERROR(INDEX(EmployeeData[Age], ROW() - 37), "")</f>
        <v/>
      </c>
      <c r="G2917" s="6" t="str" cm="1">
        <f t="array" ref="G2917">IFERROR(INDEX(EmployeeData[Join Date], ROW() - 37), "")</f>
        <v/>
      </c>
      <c r="H2917" s="6" t="str" cm="1">
        <f t="array" ref="H2917">IFERROR(IF(INDEX(EmployeeData[Exit Date], ROW() - 37)=0, "",INDEX(EmployeeData[Exit Date], ROW() - 37)),"")</f>
        <v/>
      </c>
      <c r="I2917" s="4" t="str" cm="1">
        <f t="array" ref="I2917">IFERROR(IF(INDEX(EmployeeData[Exit Reason], ROW() - 37)=0, "",INDEX(EmployeeData[Exit Reason], ROW() - 37)),"")</f>
        <v/>
      </c>
      <c r="J2917" s="4" t="str" cm="1">
        <f t="array" ref="J2917">IFERROR(INDEX(EmployeeData[Status], ROW() - 37), "")</f>
        <v/>
      </c>
    </row>
    <row r="2918" spans="2:10" ht="19.95" customHeight="1" x14ac:dyDescent="0.3">
      <c r="B2918" s="4" t="str" cm="1">
        <f t="array" ref="B2918">IFERROR(INDEX(EmployeeData[Employee ID], ROW() - 37), "")</f>
        <v/>
      </c>
      <c r="C2918" s="4" t="str" cm="1">
        <f t="array" ref="C2918">IFERROR(INDEX(EmployeeData[Full Name], ROW() - 37), "")</f>
        <v/>
      </c>
      <c r="D2918" s="4" t="str" cm="1">
        <f t="array" ref="D2918">IFERROR(INDEX(EmployeeData[Department], ROW() - 37), "")</f>
        <v/>
      </c>
      <c r="E2918" s="4" t="str" cm="1">
        <f t="array" ref="E2918">IFERROR(INDEX(EmployeeData[Gender], ROW() - 37), "")</f>
        <v/>
      </c>
      <c r="F2918" s="4" t="str" cm="1">
        <f t="array" ref="F2918">IFERROR(INDEX(EmployeeData[Age], ROW() - 37), "")</f>
        <v/>
      </c>
      <c r="G2918" s="6" t="str" cm="1">
        <f t="array" ref="G2918">IFERROR(INDEX(EmployeeData[Join Date], ROW() - 37), "")</f>
        <v/>
      </c>
      <c r="H2918" s="6" t="str" cm="1">
        <f t="array" ref="H2918">IFERROR(IF(INDEX(EmployeeData[Exit Date], ROW() - 37)=0, "",INDEX(EmployeeData[Exit Date], ROW() - 37)),"")</f>
        <v/>
      </c>
      <c r="I2918" s="4" t="str" cm="1">
        <f t="array" ref="I2918">IFERROR(IF(INDEX(EmployeeData[Exit Reason], ROW() - 37)=0, "",INDEX(EmployeeData[Exit Reason], ROW() - 37)),"")</f>
        <v/>
      </c>
      <c r="J2918" s="4" t="str" cm="1">
        <f t="array" ref="J2918">IFERROR(INDEX(EmployeeData[Status], ROW() - 37), "")</f>
        <v/>
      </c>
    </row>
    <row r="2919" spans="2:10" ht="19.95" customHeight="1" x14ac:dyDescent="0.3">
      <c r="B2919" s="4" t="str" cm="1">
        <f t="array" ref="B2919">IFERROR(INDEX(EmployeeData[Employee ID], ROW() - 37), "")</f>
        <v/>
      </c>
      <c r="C2919" s="4" t="str" cm="1">
        <f t="array" ref="C2919">IFERROR(INDEX(EmployeeData[Full Name], ROW() - 37), "")</f>
        <v/>
      </c>
      <c r="D2919" s="4" t="str" cm="1">
        <f t="array" ref="D2919">IFERROR(INDEX(EmployeeData[Department], ROW() - 37), "")</f>
        <v/>
      </c>
      <c r="E2919" s="4" t="str" cm="1">
        <f t="array" ref="E2919">IFERROR(INDEX(EmployeeData[Gender], ROW() - 37), "")</f>
        <v/>
      </c>
      <c r="F2919" s="4" t="str" cm="1">
        <f t="array" ref="F2919">IFERROR(INDEX(EmployeeData[Age], ROW() - 37), "")</f>
        <v/>
      </c>
      <c r="G2919" s="6" t="str" cm="1">
        <f t="array" ref="G2919">IFERROR(INDEX(EmployeeData[Join Date], ROW() - 37), "")</f>
        <v/>
      </c>
      <c r="H2919" s="6" t="str" cm="1">
        <f t="array" ref="H2919">IFERROR(IF(INDEX(EmployeeData[Exit Date], ROW() - 37)=0, "",INDEX(EmployeeData[Exit Date], ROW() - 37)),"")</f>
        <v/>
      </c>
      <c r="I2919" s="4" t="str" cm="1">
        <f t="array" ref="I2919">IFERROR(IF(INDEX(EmployeeData[Exit Reason], ROW() - 37)=0, "",INDEX(EmployeeData[Exit Reason], ROW() - 37)),"")</f>
        <v/>
      </c>
      <c r="J2919" s="4" t="str" cm="1">
        <f t="array" ref="J2919">IFERROR(INDEX(EmployeeData[Status], ROW() - 37), "")</f>
        <v/>
      </c>
    </row>
    <row r="2920" spans="2:10" ht="19.95" customHeight="1" x14ac:dyDescent="0.3">
      <c r="B2920" s="4" t="str" cm="1">
        <f t="array" ref="B2920">IFERROR(INDEX(EmployeeData[Employee ID], ROW() - 37), "")</f>
        <v/>
      </c>
      <c r="C2920" s="4" t="str" cm="1">
        <f t="array" ref="C2920">IFERROR(INDEX(EmployeeData[Full Name], ROW() - 37), "")</f>
        <v/>
      </c>
      <c r="D2920" s="4" t="str" cm="1">
        <f t="array" ref="D2920">IFERROR(INDEX(EmployeeData[Department], ROW() - 37), "")</f>
        <v/>
      </c>
      <c r="E2920" s="4" t="str" cm="1">
        <f t="array" ref="E2920">IFERROR(INDEX(EmployeeData[Gender], ROW() - 37), "")</f>
        <v/>
      </c>
      <c r="F2920" s="4" t="str" cm="1">
        <f t="array" ref="F2920">IFERROR(INDEX(EmployeeData[Age], ROW() - 37), "")</f>
        <v/>
      </c>
      <c r="G2920" s="6" t="str" cm="1">
        <f t="array" ref="G2920">IFERROR(INDEX(EmployeeData[Join Date], ROW() - 37), "")</f>
        <v/>
      </c>
      <c r="H2920" s="6" t="str" cm="1">
        <f t="array" ref="H2920">IFERROR(IF(INDEX(EmployeeData[Exit Date], ROW() - 37)=0, "",INDEX(EmployeeData[Exit Date], ROW() - 37)),"")</f>
        <v/>
      </c>
      <c r="I2920" s="4" t="str" cm="1">
        <f t="array" ref="I2920">IFERROR(IF(INDEX(EmployeeData[Exit Reason], ROW() - 37)=0, "",INDEX(EmployeeData[Exit Reason], ROW() - 37)),"")</f>
        <v/>
      </c>
      <c r="J2920" s="4" t="str" cm="1">
        <f t="array" ref="J2920">IFERROR(INDEX(EmployeeData[Status], ROW() - 37), "")</f>
        <v/>
      </c>
    </row>
    <row r="2921" spans="2:10" ht="19.95" customHeight="1" x14ac:dyDescent="0.3">
      <c r="B2921" s="4" t="str" cm="1">
        <f t="array" ref="B2921">IFERROR(INDEX(EmployeeData[Employee ID], ROW() - 37), "")</f>
        <v/>
      </c>
      <c r="C2921" s="4" t="str" cm="1">
        <f t="array" ref="C2921">IFERROR(INDEX(EmployeeData[Full Name], ROW() - 37), "")</f>
        <v/>
      </c>
      <c r="D2921" s="4" t="str" cm="1">
        <f t="array" ref="D2921">IFERROR(INDEX(EmployeeData[Department], ROW() - 37), "")</f>
        <v/>
      </c>
      <c r="E2921" s="4" t="str" cm="1">
        <f t="array" ref="E2921">IFERROR(INDEX(EmployeeData[Gender], ROW() - 37), "")</f>
        <v/>
      </c>
      <c r="F2921" s="4" t="str" cm="1">
        <f t="array" ref="F2921">IFERROR(INDEX(EmployeeData[Age], ROW() - 37), "")</f>
        <v/>
      </c>
      <c r="G2921" s="6" t="str" cm="1">
        <f t="array" ref="G2921">IFERROR(INDEX(EmployeeData[Join Date], ROW() - 37), "")</f>
        <v/>
      </c>
      <c r="H2921" s="6" t="str" cm="1">
        <f t="array" ref="H2921">IFERROR(IF(INDEX(EmployeeData[Exit Date], ROW() - 37)=0, "",INDEX(EmployeeData[Exit Date], ROW() - 37)),"")</f>
        <v/>
      </c>
      <c r="I2921" s="4" t="str" cm="1">
        <f t="array" ref="I2921">IFERROR(IF(INDEX(EmployeeData[Exit Reason], ROW() - 37)=0, "",INDEX(EmployeeData[Exit Reason], ROW() - 37)),"")</f>
        <v/>
      </c>
      <c r="J2921" s="4" t="str" cm="1">
        <f t="array" ref="J2921">IFERROR(INDEX(EmployeeData[Status], ROW() - 37), "")</f>
        <v/>
      </c>
    </row>
    <row r="2922" spans="2:10" ht="19.95" customHeight="1" x14ac:dyDescent="0.3">
      <c r="B2922" s="4" t="str" cm="1">
        <f t="array" ref="B2922">IFERROR(INDEX(EmployeeData[Employee ID], ROW() - 37), "")</f>
        <v/>
      </c>
      <c r="C2922" s="4" t="str" cm="1">
        <f t="array" ref="C2922">IFERROR(INDEX(EmployeeData[Full Name], ROW() - 37), "")</f>
        <v/>
      </c>
      <c r="D2922" s="4" t="str" cm="1">
        <f t="array" ref="D2922">IFERROR(INDEX(EmployeeData[Department], ROW() - 37), "")</f>
        <v/>
      </c>
      <c r="E2922" s="4" t="str" cm="1">
        <f t="array" ref="E2922">IFERROR(INDEX(EmployeeData[Gender], ROW() - 37), "")</f>
        <v/>
      </c>
      <c r="F2922" s="4" t="str" cm="1">
        <f t="array" ref="F2922">IFERROR(INDEX(EmployeeData[Age], ROW() - 37), "")</f>
        <v/>
      </c>
      <c r="G2922" s="6" t="str" cm="1">
        <f t="array" ref="G2922">IFERROR(INDEX(EmployeeData[Join Date], ROW() - 37), "")</f>
        <v/>
      </c>
      <c r="H2922" s="6" t="str" cm="1">
        <f t="array" ref="H2922">IFERROR(IF(INDEX(EmployeeData[Exit Date], ROW() - 37)=0, "",INDEX(EmployeeData[Exit Date], ROW() - 37)),"")</f>
        <v/>
      </c>
      <c r="I2922" s="4" t="str" cm="1">
        <f t="array" ref="I2922">IFERROR(IF(INDEX(EmployeeData[Exit Reason], ROW() - 37)=0, "",INDEX(EmployeeData[Exit Reason], ROW() - 37)),"")</f>
        <v/>
      </c>
      <c r="J2922" s="4" t="str" cm="1">
        <f t="array" ref="J2922">IFERROR(INDEX(EmployeeData[Status], ROW() - 37), "")</f>
        <v/>
      </c>
    </row>
    <row r="2923" spans="2:10" ht="19.95" customHeight="1" x14ac:dyDescent="0.3">
      <c r="B2923" s="4" t="str" cm="1">
        <f t="array" ref="B2923">IFERROR(INDEX(EmployeeData[Employee ID], ROW() - 37), "")</f>
        <v/>
      </c>
      <c r="C2923" s="4" t="str" cm="1">
        <f t="array" ref="C2923">IFERROR(INDEX(EmployeeData[Full Name], ROW() - 37), "")</f>
        <v/>
      </c>
      <c r="D2923" s="4" t="str" cm="1">
        <f t="array" ref="D2923">IFERROR(INDEX(EmployeeData[Department], ROW() - 37), "")</f>
        <v/>
      </c>
      <c r="E2923" s="4" t="str" cm="1">
        <f t="array" ref="E2923">IFERROR(INDEX(EmployeeData[Gender], ROW() - 37), "")</f>
        <v/>
      </c>
      <c r="F2923" s="4" t="str" cm="1">
        <f t="array" ref="F2923">IFERROR(INDEX(EmployeeData[Age], ROW() - 37), "")</f>
        <v/>
      </c>
      <c r="G2923" s="6" t="str" cm="1">
        <f t="array" ref="G2923">IFERROR(INDEX(EmployeeData[Join Date], ROW() - 37), "")</f>
        <v/>
      </c>
      <c r="H2923" s="6" t="str" cm="1">
        <f t="array" ref="H2923">IFERROR(IF(INDEX(EmployeeData[Exit Date], ROW() - 37)=0, "",INDEX(EmployeeData[Exit Date], ROW() - 37)),"")</f>
        <v/>
      </c>
      <c r="I2923" s="4" t="str" cm="1">
        <f t="array" ref="I2923">IFERROR(IF(INDEX(EmployeeData[Exit Reason], ROW() - 37)=0, "",INDEX(EmployeeData[Exit Reason], ROW() - 37)),"")</f>
        <v/>
      </c>
      <c r="J2923" s="4" t="str" cm="1">
        <f t="array" ref="J2923">IFERROR(INDEX(EmployeeData[Status], ROW() - 37), "")</f>
        <v/>
      </c>
    </row>
    <row r="2924" spans="2:10" ht="19.95" customHeight="1" x14ac:dyDescent="0.3">
      <c r="B2924" s="4" t="str" cm="1">
        <f t="array" ref="B2924">IFERROR(INDEX(EmployeeData[Employee ID], ROW() - 37), "")</f>
        <v/>
      </c>
      <c r="C2924" s="4" t="str" cm="1">
        <f t="array" ref="C2924">IFERROR(INDEX(EmployeeData[Full Name], ROW() - 37), "")</f>
        <v/>
      </c>
      <c r="D2924" s="4" t="str" cm="1">
        <f t="array" ref="D2924">IFERROR(INDEX(EmployeeData[Department], ROW() - 37), "")</f>
        <v/>
      </c>
      <c r="E2924" s="4" t="str" cm="1">
        <f t="array" ref="E2924">IFERROR(INDEX(EmployeeData[Gender], ROW() - 37), "")</f>
        <v/>
      </c>
      <c r="F2924" s="4" t="str" cm="1">
        <f t="array" ref="F2924">IFERROR(INDEX(EmployeeData[Age], ROW() - 37), "")</f>
        <v/>
      </c>
      <c r="G2924" s="6" t="str" cm="1">
        <f t="array" ref="G2924">IFERROR(INDEX(EmployeeData[Join Date], ROW() - 37), "")</f>
        <v/>
      </c>
      <c r="H2924" s="6" t="str" cm="1">
        <f t="array" ref="H2924">IFERROR(IF(INDEX(EmployeeData[Exit Date], ROW() - 37)=0, "",INDEX(EmployeeData[Exit Date], ROW() - 37)),"")</f>
        <v/>
      </c>
      <c r="I2924" s="4" t="str" cm="1">
        <f t="array" ref="I2924">IFERROR(IF(INDEX(EmployeeData[Exit Reason], ROW() - 37)=0, "",INDEX(EmployeeData[Exit Reason], ROW() - 37)),"")</f>
        <v/>
      </c>
      <c r="J2924" s="4" t="str" cm="1">
        <f t="array" ref="J2924">IFERROR(INDEX(EmployeeData[Status], ROW() - 37), "")</f>
        <v/>
      </c>
    </row>
    <row r="2925" spans="2:10" ht="19.95" customHeight="1" x14ac:dyDescent="0.3">
      <c r="B2925" s="4" t="str" cm="1">
        <f t="array" ref="B2925">IFERROR(INDEX(EmployeeData[Employee ID], ROW() - 37), "")</f>
        <v/>
      </c>
      <c r="C2925" s="4" t="str" cm="1">
        <f t="array" ref="C2925">IFERROR(INDEX(EmployeeData[Full Name], ROW() - 37), "")</f>
        <v/>
      </c>
      <c r="D2925" s="4" t="str" cm="1">
        <f t="array" ref="D2925">IFERROR(INDEX(EmployeeData[Department], ROW() - 37), "")</f>
        <v/>
      </c>
      <c r="E2925" s="4" t="str" cm="1">
        <f t="array" ref="E2925">IFERROR(INDEX(EmployeeData[Gender], ROW() - 37), "")</f>
        <v/>
      </c>
      <c r="F2925" s="4" t="str" cm="1">
        <f t="array" ref="F2925">IFERROR(INDEX(EmployeeData[Age], ROW() - 37), "")</f>
        <v/>
      </c>
      <c r="G2925" s="6" t="str" cm="1">
        <f t="array" ref="G2925">IFERROR(INDEX(EmployeeData[Join Date], ROW() - 37), "")</f>
        <v/>
      </c>
      <c r="H2925" s="6" t="str" cm="1">
        <f t="array" ref="H2925">IFERROR(IF(INDEX(EmployeeData[Exit Date], ROW() - 37)=0, "",INDEX(EmployeeData[Exit Date], ROW() - 37)),"")</f>
        <v/>
      </c>
      <c r="I2925" s="4" t="str" cm="1">
        <f t="array" ref="I2925">IFERROR(IF(INDEX(EmployeeData[Exit Reason], ROW() - 37)=0, "",INDEX(EmployeeData[Exit Reason], ROW() - 37)),"")</f>
        <v/>
      </c>
      <c r="J2925" s="4" t="str" cm="1">
        <f t="array" ref="J2925">IFERROR(INDEX(EmployeeData[Status], ROW() - 37), "")</f>
        <v/>
      </c>
    </row>
    <row r="2926" spans="2:10" ht="19.95" customHeight="1" x14ac:dyDescent="0.3">
      <c r="B2926" s="4" t="str" cm="1">
        <f t="array" ref="B2926">IFERROR(INDEX(EmployeeData[Employee ID], ROW() - 37), "")</f>
        <v/>
      </c>
      <c r="C2926" s="4" t="str" cm="1">
        <f t="array" ref="C2926">IFERROR(INDEX(EmployeeData[Full Name], ROW() - 37), "")</f>
        <v/>
      </c>
      <c r="D2926" s="4" t="str" cm="1">
        <f t="array" ref="D2926">IFERROR(INDEX(EmployeeData[Department], ROW() - 37), "")</f>
        <v/>
      </c>
      <c r="E2926" s="4" t="str" cm="1">
        <f t="array" ref="E2926">IFERROR(INDEX(EmployeeData[Gender], ROW() - 37), "")</f>
        <v/>
      </c>
      <c r="F2926" s="4" t="str" cm="1">
        <f t="array" ref="F2926">IFERROR(INDEX(EmployeeData[Age], ROW() - 37), "")</f>
        <v/>
      </c>
      <c r="G2926" s="6" t="str" cm="1">
        <f t="array" ref="G2926">IFERROR(INDEX(EmployeeData[Join Date], ROW() - 37), "")</f>
        <v/>
      </c>
      <c r="H2926" s="6" t="str" cm="1">
        <f t="array" ref="H2926">IFERROR(IF(INDEX(EmployeeData[Exit Date], ROW() - 37)=0, "",INDEX(EmployeeData[Exit Date], ROW() - 37)),"")</f>
        <v/>
      </c>
      <c r="I2926" s="4" t="str" cm="1">
        <f t="array" ref="I2926">IFERROR(IF(INDEX(EmployeeData[Exit Reason], ROW() - 37)=0, "",INDEX(EmployeeData[Exit Reason], ROW() - 37)),"")</f>
        <v/>
      </c>
      <c r="J2926" s="4" t="str" cm="1">
        <f t="array" ref="J2926">IFERROR(INDEX(EmployeeData[Status], ROW() - 37), "")</f>
        <v/>
      </c>
    </row>
    <row r="2927" spans="2:10" ht="19.95" customHeight="1" x14ac:dyDescent="0.3">
      <c r="B2927" s="4" t="str" cm="1">
        <f t="array" ref="B2927">IFERROR(INDEX(EmployeeData[Employee ID], ROW() - 37), "")</f>
        <v/>
      </c>
      <c r="C2927" s="4" t="str" cm="1">
        <f t="array" ref="C2927">IFERROR(INDEX(EmployeeData[Full Name], ROW() - 37), "")</f>
        <v/>
      </c>
      <c r="D2927" s="4" t="str" cm="1">
        <f t="array" ref="D2927">IFERROR(INDEX(EmployeeData[Department], ROW() - 37), "")</f>
        <v/>
      </c>
      <c r="E2927" s="4" t="str" cm="1">
        <f t="array" ref="E2927">IFERROR(INDEX(EmployeeData[Gender], ROW() - 37), "")</f>
        <v/>
      </c>
      <c r="F2927" s="4" t="str" cm="1">
        <f t="array" ref="F2927">IFERROR(INDEX(EmployeeData[Age], ROW() - 37), "")</f>
        <v/>
      </c>
      <c r="G2927" s="6" t="str" cm="1">
        <f t="array" ref="G2927">IFERROR(INDEX(EmployeeData[Join Date], ROW() - 37), "")</f>
        <v/>
      </c>
      <c r="H2927" s="6" t="str" cm="1">
        <f t="array" ref="H2927">IFERROR(IF(INDEX(EmployeeData[Exit Date], ROW() - 37)=0, "",INDEX(EmployeeData[Exit Date], ROW() - 37)),"")</f>
        <v/>
      </c>
      <c r="I2927" s="4" t="str" cm="1">
        <f t="array" ref="I2927">IFERROR(IF(INDEX(EmployeeData[Exit Reason], ROW() - 37)=0, "",INDEX(EmployeeData[Exit Reason], ROW() - 37)),"")</f>
        <v/>
      </c>
      <c r="J2927" s="4" t="str" cm="1">
        <f t="array" ref="J2927">IFERROR(INDEX(EmployeeData[Status], ROW() - 37), "")</f>
        <v/>
      </c>
    </row>
    <row r="2928" spans="2:10" ht="19.95" customHeight="1" x14ac:dyDescent="0.3">
      <c r="B2928" s="4" t="str" cm="1">
        <f t="array" ref="B2928">IFERROR(INDEX(EmployeeData[Employee ID], ROW() - 37), "")</f>
        <v/>
      </c>
      <c r="C2928" s="4" t="str" cm="1">
        <f t="array" ref="C2928">IFERROR(INDEX(EmployeeData[Full Name], ROW() - 37), "")</f>
        <v/>
      </c>
      <c r="D2928" s="4" t="str" cm="1">
        <f t="array" ref="D2928">IFERROR(INDEX(EmployeeData[Department], ROW() - 37), "")</f>
        <v/>
      </c>
      <c r="E2928" s="4" t="str" cm="1">
        <f t="array" ref="E2928">IFERROR(INDEX(EmployeeData[Gender], ROW() - 37), "")</f>
        <v/>
      </c>
      <c r="F2928" s="4" t="str" cm="1">
        <f t="array" ref="F2928">IFERROR(INDEX(EmployeeData[Age], ROW() - 37), "")</f>
        <v/>
      </c>
      <c r="G2928" s="6" t="str" cm="1">
        <f t="array" ref="G2928">IFERROR(INDEX(EmployeeData[Join Date], ROW() - 37), "")</f>
        <v/>
      </c>
      <c r="H2928" s="6" t="str" cm="1">
        <f t="array" ref="H2928">IFERROR(IF(INDEX(EmployeeData[Exit Date], ROW() - 37)=0, "",INDEX(EmployeeData[Exit Date], ROW() - 37)),"")</f>
        <v/>
      </c>
      <c r="I2928" s="4" t="str" cm="1">
        <f t="array" ref="I2928">IFERROR(IF(INDEX(EmployeeData[Exit Reason], ROW() - 37)=0, "",INDEX(EmployeeData[Exit Reason], ROW() - 37)),"")</f>
        <v/>
      </c>
      <c r="J2928" s="4" t="str" cm="1">
        <f t="array" ref="J2928">IFERROR(INDEX(EmployeeData[Status], ROW() - 37), "")</f>
        <v/>
      </c>
    </row>
    <row r="2929" spans="2:10" ht="19.95" customHeight="1" x14ac:dyDescent="0.3">
      <c r="B2929" s="4" t="str" cm="1">
        <f t="array" ref="B2929">IFERROR(INDEX(EmployeeData[Employee ID], ROW() - 37), "")</f>
        <v/>
      </c>
      <c r="C2929" s="4" t="str" cm="1">
        <f t="array" ref="C2929">IFERROR(INDEX(EmployeeData[Full Name], ROW() - 37), "")</f>
        <v/>
      </c>
      <c r="D2929" s="4" t="str" cm="1">
        <f t="array" ref="D2929">IFERROR(INDEX(EmployeeData[Department], ROW() - 37), "")</f>
        <v/>
      </c>
      <c r="E2929" s="4" t="str" cm="1">
        <f t="array" ref="E2929">IFERROR(INDEX(EmployeeData[Gender], ROW() - 37), "")</f>
        <v/>
      </c>
      <c r="F2929" s="4" t="str" cm="1">
        <f t="array" ref="F2929">IFERROR(INDEX(EmployeeData[Age], ROW() - 37), "")</f>
        <v/>
      </c>
      <c r="G2929" s="6" t="str" cm="1">
        <f t="array" ref="G2929">IFERROR(INDEX(EmployeeData[Join Date], ROW() - 37), "")</f>
        <v/>
      </c>
      <c r="H2929" s="6" t="str" cm="1">
        <f t="array" ref="H2929">IFERROR(IF(INDEX(EmployeeData[Exit Date], ROW() - 37)=0, "",INDEX(EmployeeData[Exit Date], ROW() - 37)),"")</f>
        <v/>
      </c>
      <c r="I2929" s="4" t="str" cm="1">
        <f t="array" ref="I2929">IFERROR(IF(INDEX(EmployeeData[Exit Reason], ROW() - 37)=0, "",INDEX(EmployeeData[Exit Reason], ROW() - 37)),"")</f>
        <v/>
      </c>
      <c r="J2929" s="4" t="str" cm="1">
        <f t="array" ref="J2929">IFERROR(INDEX(EmployeeData[Status], ROW() - 37), "")</f>
        <v/>
      </c>
    </row>
    <row r="2930" spans="2:10" ht="19.95" customHeight="1" x14ac:dyDescent="0.3">
      <c r="B2930" s="4" t="str" cm="1">
        <f t="array" ref="B2930">IFERROR(INDEX(EmployeeData[Employee ID], ROW() - 37), "")</f>
        <v/>
      </c>
      <c r="C2930" s="4" t="str" cm="1">
        <f t="array" ref="C2930">IFERROR(INDEX(EmployeeData[Full Name], ROW() - 37), "")</f>
        <v/>
      </c>
      <c r="D2930" s="4" t="str" cm="1">
        <f t="array" ref="D2930">IFERROR(INDEX(EmployeeData[Department], ROW() - 37), "")</f>
        <v/>
      </c>
      <c r="E2930" s="4" t="str" cm="1">
        <f t="array" ref="E2930">IFERROR(INDEX(EmployeeData[Gender], ROW() - 37), "")</f>
        <v/>
      </c>
      <c r="F2930" s="4" t="str" cm="1">
        <f t="array" ref="F2930">IFERROR(INDEX(EmployeeData[Age], ROW() - 37), "")</f>
        <v/>
      </c>
      <c r="G2930" s="6" t="str" cm="1">
        <f t="array" ref="G2930">IFERROR(INDEX(EmployeeData[Join Date], ROW() - 37), "")</f>
        <v/>
      </c>
      <c r="H2930" s="6" t="str" cm="1">
        <f t="array" ref="H2930">IFERROR(IF(INDEX(EmployeeData[Exit Date], ROW() - 37)=0, "",INDEX(EmployeeData[Exit Date], ROW() - 37)),"")</f>
        <v/>
      </c>
      <c r="I2930" s="4" t="str" cm="1">
        <f t="array" ref="I2930">IFERROR(IF(INDEX(EmployeeData[Exit Reason], ROW() - 37)=0, "",INDEX(EmployeeData[Exit Reason], ROW() - 37)),"")</f>
        <v/>
      </c>
      <c r="J2930" s="4" t="str" cm="1">
        <f t="array" ref="J2930">IFERROR(INDEX(EmployeeData[Status], ROW() - 37), "")</f>
        <v/>
      </c>
    </row>
    <row r="2931" spans="2:10" ht="19.95" customHeight="1" x14ac:dyDescent="0.3">
      <c r="B2931" s="4" t="str" cm="1">
        <f t="array" ref="B2931">IFERROR(INDEX(EmployeeData[Employee ID], ROW() - 37), "")</f>
        <v/>
      </c>
      <c r="C2931" s="4" t="str" cm="1">
        <f t="array" ref="C2931">IFERROR(INDEX(EmployeeData[Full Name], ROW() - 37), "")</f>
        <v/>
      </c>
      <c r="D2931" s="4" t="str" cm="1">
        <f t="array" ref="D2931">IFERROR(INDEX(EmployeeData[Department], ROW() - 37), "")</f>
        <v/>
      </c>
      <c r="E2931" s="4" t="str" cm="1">
        <f t="array" ref="E2931">IFERROR(INDEX(EmployeeData[Gender], ROW() - 37), "")</f>
        <v/>
      </c>
      <c r="F2931" s="4" t="str" cm="1">
        <f t="array" ref="F2931">IFERROR(INDEX(EmployeeData[Age], ROW() - 37), "")</f>
        <v/>
      </c>
      <c r="G2931" s="6" t="str" cm="1">
        <f t="array" ref="G2931">IFERROR(INDEX(EmployeeData[Join Date], ROW() - 37), "")</f>
        <v/>
      </c>
      <c r="H2931" s="6" t="str" cm="1">
        <f t="array" ref="H2931">IFERROR(IF(INDEX(EmployeeData[Exit Date], ROW() - 37)=0, "",INDEX(EmployeeData[Exit Date], ROW() - 37)),"")</f>
        <v/>
      </c>
      <c r="I2931" s="4" t="str" cm="1">
        <f t="array" ref="I2931">IFERROR(IF(INDEX(EmployeeData[Exit Reason], ROW() - 37)=0, "",INDEX(EmployeeData[Exit Reason], ROW() - 37)),"")</f>
        <v/>
      </c>
      <c r="J2931" s="4" t="str" cm="1">
        <f t="array" ref="J2931">IFERROR(INDEX(EmployeeData[Status], ROW() - 37), "")</f>
        <v/>
      </c>
    </row>
    <row r="2932" spans="2:10" ht="19.95" customHeight="1" x14ac:dyDescent="0.3">
      <c r="B2932" s="4" t="str" cm="1">
        <f t="array" ref="B2932">IFERROR(INDEX(EmployeeData[Employee ID], ROW() - 37), "")</f>
        <v/>
      </c>
      <c r="C2932" s="4" t="str" cm="1">
        <f t="array" ref="C2932">IFERROR(INDEX(EmployeeData[Full Name], ROW() - 37), "")</f>
        <v/>
      </c>
      <c r="D2932" s="4" t="str" cm="1">
        <f t="array" ref="D2932">IFERROR(INDEX(EmployeeData[Department], ROW() - 37), "")</f>
        <v/>
      </c>
      <c r="E2932" s="4" t="str" cm="1">
        <f t="array" ref="E2932">IFERROR(INDEX(EmployeeData[Gender], ROW() - 37), "")</f>
        <v/>
      </c>
      <c r="F2932" s="4" t="str" cm="1">
        <f t="array" ref="F2932">IFERROR(INDEX(EmployeeData[Age], ROW() - 37), "")</f>
        <v/>
      </c>
      <c r="G2932" s="6" t="str" cm="1">
        <f t="array" ref="G2932">IFERROR(INDEX(EmployeeData[Join Date], ROW() - 37), "")</f>
        <v/>
      </c>
      <c r="H2932" s="6" t="str" cm="1">
        <f t="array" ref="H2932">IFERROR(IF(INDEX(EmployeeData[Exit Date], ROW() - 37)=0, "",INDEX(EmployeeData[Exit Date], ROW() - 37)),"")</f>
        <v/>
      </c>
      <c r="I2932" s="4" t="str" cm="1">
        <f t="array" ref="I2932">IFERROR(IF(INDEX(EmployeeData[Exit Reason], ROW() - 37)=0, "",INDEX(EmployeeData[Exit Reason], ROW() - 37)),"")</f>
        <v/>
      </c>
      <c r="J2932" s="4" t="str" cm="1">
        <f t="array" ref="J2932">IFERROR(INDEX(EmployeeData[Status], ROW() - 37), "")</f>
        <v/>
      </c>
    </row>
    <row r="2933" spans="2:10" ht="19.95" customHeight="1" x14ac:dyDescent="0.3">
      <c r="B2933" s="4" t="str" cm="1">
        <f t="array" ref="B2933">IFERROR(INDEX(EmployeeData[Employee ID], ROW() - 37), "")</f>
        <v/>
      </c>
      <c r="C2933" s="4" t="str" cm="1">
        <f t="array" ref="C2933">IFERROR(INDEX(EmployeeData[Full Name], ROW() - 37), "")</f>
        <v/>
      </c>
      <c r="D2933" s="4" t="str" cm="1">
        <f t="array" ref="D2933">IFERROR(INDEX(EmployeeData[Department], ROW() - 37), "")</f>
        <v/>
      </c>
      <c r="E2933" s="4" t="str" cm="1">
        <f t="array" ref="E2933">IFERROR(INDEX(EmployeeData[Gender], ROW() - 37), "")</f>
        <v/>
      </c>
      <c r="F2933" s="4" t="str" cm="1">
        <f t="array" ref="F2933">IFERROR(INDEX(EmployeeData[Age], ROW() - 37), "")</f>
        <v/>
      </c>
      <c r="G2933" s="6" t="str" cm="1">
        <f t="array" ref="G2933">IFERROR(INDEX(EmployeeData[Join Date], ROW() - 37), "")</f>
        <v/>
      </c>
      <c r="H2933" s="6" t="str" cm="1">
        <f t="array" ref="H2933">IFERROR(IF(INDEX(EmployeeData[Exit Date], ROW() - 37)=0, "",INDEX(EmployeeData[Exit Date], ROW() - 37)),"")</f>
        <v/>
      </c>
      <c r="I2933" s="4" t="str" cm="1">
        <f t="array" ref="I2933">IFERROR(IF(INDEX(EmployeeData[Exit Reason], ROW() - 37)=0, "",INDEX(EmployeeData[Exit Reason], ROW() - 37)),"")</f>
        <v/>
      </c>
      <c r="J2933" s="4" t="str" cm="1">
        <f t="array" ref="J2933">IFERROR(INDEX(EmployeeData[Status], ROW() - 37), "")</f>
        <v/>
      </c>
    </row>
    <row r="2934" spans="2:10" ht="19.95" customHeight="1" x14ac:dyDescent="0.3">
      <c r="B2934" s="4" t="str" cm="1">
        <f t="array" ref="B2934">IFERROR(INDEX(EmployeeData[Employee ID], ROW() - 37), "")</f>
        <v/>
      </c>
      <c r="C2934" s="4" t="str" cm="1">
        <f t="array" ref="C2934">IFERROR(INDEX(EmployeeData[Full Name], ROW() - 37), "")</f>
        <v/>
      </c>
      <c r="D2934" s="4" t="str" cm="1">
        <f t="array" ref="D2934">IFERROR(INDEX(EmployeeData[Department], ROW() - 37), "")</f>
        <v/>
      </c>
      <c r="E2934" s="4" t="str" cm="1">
        <f t="array" ref="E2934">IFERROR(INDEX(EmployeeData[Gender], ROW() - 37), "")</f>
        <v/>
      </c>
      <c r="F2934" s="4" t="str" cm="1">
        <f t="array" ref="F2934">IFERROR(INDEX(EmployeeData[Age], ROW() - 37), "")</f>
        <v/>
      </c>
      <c r="G2934" s="6" t="str" cm="1">
        <f t="array" ref="G2934">IFERROR(INDEX(EmployeeData[Join Date], ROW() - 37), "")</f>
        <v/>
      </c>
      <c r="H2934" s="6" t="str" cm="1">
        <f t="array" ref="H2934">IFERROR(IF(INDEX(EmployeeData[Exit Date], ROW() - 37)=0, "",INDEX(EmployeeData[Exit Date], ROW() - 37)),"")</f>
        <v/>
      </c>
      <c r="I2934" s="4" t="str" cm="1">
        <f t="array" ref="I2934">IFERROR(IF(INDEX(EmployeeData[Exit Reason], ROW() - 37)=0, "",INDEX(EmployeeData[Exit Reason], ROW() - 37)),"")</f>
        <v/>
      </c>
      <c r="J2934" s="4" t="str" cm="1">
        <f t="array" ref="J2934">IFERROR(INDEX(EmployeeData[Status], ROW() - 37), "")</f>
        <v/>
      </c>
    </row>
    <row r="2935" spans="2:10" ht="19.95" customHeight="1" x14ac:dyDescent="0.3">
      <c r="B2935" s="4" t="str" cm="1">
        <f t="array" ref="B2935">IFERROR(INDEX(EmployeeData[Employee ID], ROW() - 37), "")</f>
        <v/>
      </c>
      <c r="C2935" s="4" t="str" cm="1">
        <f t="array" ref="C2935">IFERROR(INDEX(EmployeeData[Full Name], ROW() - 37), "")</f>
        <v/>
      </c>
      <c r="D2935" s="4" t="str" cm="1">
        <f t="array" ref="D2935">IFERROR(INDEX(EmployeeData[Department], ROW() - 37), "")</f>
        <v/>
      </c>
      <c r="E2935" s="4" t="str" cm="1">
        <f t="array" ref="E2935">IFERROR(INDEX(EmployeeData[Gender], ROW() - 37), "")</f>
        <v/>
      </c>
      <c r="F2935" s="4" t="str" cm="1">
        <f t="array" ref="F2935">IFERROR(INDEX(EmployeeData[Age], ROW() - 37), "")</f>
        <v/>
      </c>
      <c r="G2935" s="6" t="str" cm="1">
        <f t="array" ref="G2935">IFERROR(INDEX(EmployeeData[Join Date], ROW() - 37), "")</f>
        <v/>
      </c>
      <c r="H2935" s="6" t="str" cm="1">
        <f t="array" ref="H2935">IFERROR(IF(INDEX(EmployeeData[Exit Date], ROW() - 37)=0, "",INDEX(EmployeeData[Exit Date], ROW() - 37)),"")</f>
        <v/>
      </c>
      <c r="I2935" s="4" t="str" cm="1">
        <f t="array" ref="I2935">IFERROR(IF(INDEX(EmployeeData[Exit Reason], ROW() - 37)=0, "",INDEX(EmployeeData[Exit Reason], ROW() - 37)),"")</f>
        <v/>
      </c>
      <c r="J2935" s="4" t="str" cm="1">
        <f t="array" ref="J2935">IFERROR(INDEX(EmployeeData[Status], ROW() - 37), "")</f>
        <v/>
      </c>
    </row>
    <row r="2936" spans="2:10" ht="19.95" customHeight="1" x14ac:dyDescent="0.3">
      <c r="B2936" s="4" t="str" cm="1">
        <f t="array" ref="B2936">IFERROR(INDEX(EmployeeData[Employee ID], ROW() - 37), "")</f>
        <v/>
      </c>
      <c r="C2936" s="4" t="str" cm="1">
        <f t="array" ref="C2936">IFERROR(INDEX(EmployeeData[Full Name], ROW() - 37), "")</f>
        <v/>
      </c>
      <c r="D2936" s="4" t="str" cm="1">
        <f t="array" ref="D2936">IFERROR(INDEX(EmployeeData[Department], ROW() - 37), "")</f>
        <v/>
      </c>
      <c r="E2936" s="4" t="str" cm="1">
        <f t="array" ref="E2936">IFERROR(INDEX(EmployeeData[Gender], ROW() - 37), "")</f>
        <v/>
      </c>
      <c r="F2936" s="4" t="str" cm="1">
        <f t="array" ref="F2936">IFERROR(INDEX(EmployeeData[Age], ROW() - 37), "")</f>
        <v/>
      </c>
      <c r="G2936" s="6" t="str" cm="1">
        <f t="array" ref="G2936">IFERROR(INDEX(EmployeeData[Join Date], ROW() - 37), "")</f>
        <v/>
      </c>
      <c r="H2936" s="6" t="str" cm="1">
        <f t="array" ref="H2936">IFERROR(IF(INDEX(EmployeeData[Exit Date], ROW() - 37)=0, "",INDEX(EmployeeData[Exit Date], ROW() - 37)),"")</f>
        <v/>
      </c>
      <c r="I2936" s="4" t="str" cm="1">
        <f t="array" ref="I2936">IFERROR(IF(INDEX(EmployeeData[Exit Reason], ROW() - 37)=0, "",INDEX(EmployeeData[Exit Reason], ROW() - 37)),"")</f>
        <v/>
      </c>
      <c r="J2936" s="4" t="str" cm="1">
        <f t="array" ref="J2936">IFERROR(INDEX(EmployeeData[Status], ROW() - 37), "")</f>
        <v/>
      </c>
    </row>
    <row r="2937" spans="2:10" ht="19.95" customHeight="1" x14ac:dyDescent="0.3">
      <c r="B2937" s="4" t="str" cm="1">
        <f t="array" ref="B2937">IFERROR(INDEX(EmployeeData[Employee ID], ROW() - 37), "")</f>
        <v/>
      </c>
      <c r="C2937" s="4" t="str" cm="1">
        <f t="array" ref="C2937">IFERROR(INDEX(EmployeeData[Full Name], ROW() - 37), "")</f>
        <v/>
      </c>
      <c r="D2937" s="4" t="str" cm="1">
        <f t="array" ref="D2937">IFERROR(INDEX(EmployeeData[Department], ROW() - 37), "")</f>
        <v/>
      </c>
      <c r="E2937" s="4" t="str" cm="1">
        <f t="array" ref="E2937">IFERROR(INDEX(EmployeeData[Gender], ROW() - 37), "")</f>
        <v/>
      </c>
      <c r="F2937" s="4" t="str" cm="1">
        <f t="array" ref="F2937">IFERROR(INDEX(EmployeeData[Age], ROW() - 37), "")</f>
        <v/>
      </c>
      <c r="G2937" s="6" t="str" cm="1">
        <f t="array" ref="G2937">IFERROR(INDEX(EmployeeData[Join Date], ROW() - 37), "")</f>
        <v/>
      </c>
      <c r="H2937" s="6" t="str" cm="1">
        <f t="array" ref="H2937">IFERROR(IF(INDEX(EmployeeData[Exit Date], ROW() - 37)=0, "",INDEX(EmployeeData[Exit Date], ROW() - 37)),"")</f>
        <v/>
      </c>
      <c r="I2937" s="4" t="str" cm="1">
        <f t="array" ref="I2937">IFERROR(IF(INDEX(EmployeeData[Exit Reason], ROW() - 37)=0, "",INDEX(EmployeeData[Exit Reason], ROW() - 37)),"")</f>
        <v/>
      </c>
      <c r="J2937" s="4" t="str" cm="1">
        <f t="array" ref="J2937">IFERROR(INDEX(EmployeeData[Status], ROW() - 37), "")</f>
        <v/>
      </c>
    </row>
    <row r="2938" spans="2:10" ht="19.95" customHeight="1" x14ac:dyDescent="0.3">
      <c r="B2938" s="4" t="str" cm="1">
        <f t="array" ref="B2938">IFERROR(INDEX(EmployeeData[Employee ID], ROW() - 37), "")</f>
        <v/>
      </c>
      <c r="C2938" s="4" t="str" cm="1">
        <f t="array" ref="C2938">IFERROR(INDEX(EmployeeData[Full Name], ROW() - 37), "")</f>
        <v/>
      </c>
      <c r="D2938" s="4" t="str" cm="1">
        <f t="array" ref="D2938">IFERROR(INDEX(EmployeeData[Department], ROW() - 37), "")</f>
        <v/>
      </c>
      <c r="E2938" s="4" t="str" cm="1">
        <f t="array" ref="E2938">IFERROR(INDEX(EmployeeData[Gender], ROW() - 37), "")</f>
        <v/>
      </c>
      <c r="F2938" s="4" t="str" cm="1">
        <f t="array" ref="F2938">IFERROR(INDEX(EmployeeData[Age], ROW() - 37), "")</f>
        <v/>
      </c>
      <c r="G2938" s="6" t="str" cm="1">
        <f t="array" ref="G2938">IFERROR(INDEX(EmployeeData[Join Date], ROW() - 37), "")</f>
        <v/>
      </c>
      <c r="H2938" s="6" t="str" cm="1">
        <f t="array" ref="H2938">IFERROR(IF(INDEX(EmployeeData[Exit Date], ROW() - 37)=0, "",INDEX(EmployeeData[Exit Date], ROW() - 37)),"")</f>
        <v/>
      </c>
      <c r="I2938" s="4" t="str" cm="1">
        <f t="array" ref="I2938">IFERROR(IF(INDEX(EmployeeData[Exit Reason], ROW() - 37)=0, "",INDEX(EmployeeData[Exit Reason], ROW() - 37)),"")</f>
        <v/>
      </c>
      <c r="J2938" s="4" t="str" cm="1">
        <f t="array" ref="J2938">IFERROR(INDEX(EmployeeData[Status], ROW() - 37), "")</f>
        <v/>
      </c>
    </row>
    <row r="2939" spans="2:10" ht="19.95" customHeight="1" x14ac:dyDescent="0.3">
      <c r="B2939" s="4" t="str" cm="1">
        <f t="array" ref="B2939">IFERROR(INDEX(EmployeeData[Employee ID], ROW() - 37), "")</f>
        <v/>
      </c>
      <c r="C2939" s="4" t="str" cm="1">
        <f t="array" ref="C2939">IFERROR(INDEX(EmployeeData[Full Name], ROW() - 37), "")</f>
        <v/>
      </c>
      <c r="D2939" s="4" t="str" cm="1">
        <f t="array" ref="D2939">IFERROR(INDEX(EmployeeData[Department], ROW() - 37), "")</f>
        <v/>
      </c>
      <c r="E2939" s="4" t="str" cm="1">
        <f t="array" ref="E2939">IFERROR(INDEX(EmployeeData[Gender], ROW() - 37), "")</f>
        <v/>
      </c>
      <c r="F2939" s="4" t="str" cm="1">
        <f t="array" ref="F2939">IFERROR(INDEX(EmployeeData[Age], ROW() - 37), "")</f>
        <v/>
      </c>
      <c r="G2939" s="6" t="str" cm="1">
        <f t="array" ref="G2939">IFERROR(INDEX(EmployeeData[Join Date], ROW() - 37), "")</f>
        <v/>
      </c>
      <c r="H2939" s="6" t="str" cm="1">
        <f t="array" ref="H2939">IFERROR(IF(INDEX(EmployeeData[Exit Date], ROW() - 37)=0, "",INDEX(EmployeeData[Exit Date], ROW() - 37)),"")</f>
        <v/>
      </c>
      <c r="I2939" s="4" t="str" cm="1">
        <f t="array" ref="I2939">IFERROR(IF(INDEX(EmployeeData[Exit Reason], ROW() - 37)=0, "",INDEX(EmployeeData[Exit Reason], ROW() - 37)),"")</f>
        <v/>
      </c>
      <c r="J2939" s="4" t="str" cm="1">
        <f t="array" ref="J2939">IFERROR(INDEX(EmployeeData[Status], ROW() - 37), "")</f>
        <v/>
      </c>
    </row>
    <row r="2940" spans="2:10" ht="19.95" customHeight="1" x14ac:dyDescent="0.3">
      <c r="B2940" s="4" t="str" cm="1">
        <f t="array" ref="B2940">IFERROR(INDEX(EmployeeData[Employee ID], ROW() - 37), "")</f>
        <v/>
      </c>
      <c r="C2940" s="4" t="str" cm="1">
        <f t="array" ref="C2940">IFERROR(INDEX(EmployeeData[Full Name], ROW() - 37), "")</f>
        <v/>
      </c>
      <c r="D2940" s="4" t="str" cm="1">
        <f t="array" ref="D2940">IFERROR(INDEX(EmployeeData[Department], ROW() - 37), "")</f>
        <v/>
      </c>
      <c r="E2940" s="4" t="str" cm="1">
        <f t="array" ref="E2940">IFERROR(INDEX(EmployeeData[Gender], ROW() - 37), "")</f>
        <v/>
      </c>
      <c r="F2940" s="4" t="str" cm="1">
        <f t="array" ref="F2940">IFERROR(INDEX(EmployeeData[Age], ROW() - 37), "")</f>
        <v/>
      </c>
      <c r="G2940" s="6" t="str" cm="1">
        <f t="array" ref="G2940">IFERROR(INDEX(EmployeeData[Join Date], ROW() - 37), "")</f>
        <v/>
      </c>
      <c r="H2940" s="6" t="str" cm="1">
        <f t="array" ref="H2940">IFERROR(IF(INDEX(EmployeeData[Exit Date], ROW() - 37)=0, "",INDEX(EmployeeData[Exit Date], ROW() - 37)),"")</f>
        <v/>
      </c>
      <c r="I2940" s="4" t="str" cm="1">
        <f t="array" ref="I2940">IFERROR(IF(INDEX(EmployeeData[Exit Reason], ROW() - 37)=0, "",INDEX(EmployeeData[Exit Reason], ROW() - 37)),"")</f>
        <v/>
      </c>
      <c r="J2940" s="4" t="str" cm="1">
        <f t="array" ref="J2940">IFERROR(INDEX(EmployeeData[Status], ROW() - 37), "")</f>
        <v/>
      </c>
    </row>
    <row r="2941" spans="2:10" ht="19.95" customHeight="1" x14ac:dyDescent="0.3">
      <c r="B2941" s="4" t="str" cm="1">
        <f t="array" ref="B2941">IFERROR(INDEX(EmployeeData[Employee ID], ROW() - 37), "")</f>
        <v/>
      </c>
      <c r="C2941" s="4" t="str" cm="1">
        <f t="array" ref="C2941">IFERROR(INDEX(EmployeeData[Full Name], ROW() - 37), "")</f>
        <v/>
      </c>
      <c r="D2941" s="4" t="str" cm="1">
        <f t="array" ref="D2941">IFERROR(INDEX(EmployeeData[Department], ROW() - 37), "")</f>
        <v/>
      </c>
      <c r="E2941" s="4" t="str" cm="1">
        <f t="array" ref="E2941">IFERROR(INDEX(EmployeeData[Gender], ROW() - 37), "")</f>
        <v/>
      </c>
      <c r="F2941" s="4" t="str" cm="1">
        <f t="array" ref="F2941">IFERROR(INDEX(EmployeeData[Age], ROW() - 37), "")</f>
        <v/>
      </c>
      <c r="G2941" s="6" t="str" cm="1">
        <f t="array" ref="G2941">IFERROR(INDEX(EmployeeData[Join Date], ROW() - 37), "")</f>
        <v/>
      </c>
      <c r="H2941" s="6" t="str" cm="1">
        <f t="array" ref="H2941">IFERROR(IF(INDEX(EmployeeData[Exit Date], ROW() - 37)=0, "",INDEX(EmployeeData[Exit Date], ROW() - 37)),"")</f>
        <v/>
      </c>
      <c r="I2941" s="4" t="str" cm="1">
        <f t="array" ref="I2941">IFERROR(IF(INDEX(EmployeeData[Exit Reason], ROW() - 37)=0, "",INDEX(EmployeeData[Exit Reason], ROW() - 37)),"")</f>
        <v/>
      </c>
      <c r="J2941" s="4" t="str" cm="1">
        <f t="array" ref="J2941">IFERROR(INDEX(EmployeeData[Status], ROW() - 37), "")</f>
        <v/>
      </c>
    </row>
    <row r="2942" spans="2:10" ht="19.95" customHeight="1" x14ac:dyDescent="0.3">
      <c r="B2942" s="4" t="str" cm="1">
        <f t="array" ref="B2942">IFERROR(INDEX(EmployeeData[Employee ID], ROW() - 37), "")</f>
        <v/>
      </c>
      <c r="C2942" s="4" t="str" cm="1">
        <f t="array" ref="C2942">IFERROR(INDEX(EmployeeData[Full Name], ROW() - 37), "")</f>
        <v/>
      </c>
      <c r="D2942" s="4" t="str" cm="1">
        <f t="array" ref="D2942">IFERROR(INDEX(EmployeeData[Department], ROW() - 37), "")</f>
        <v/>
      </c>
      <c r="E2942" s="4" t="str" cm="1">
        <f t="array" ref="E2942">IFERROR(INDEX(EmployeeData[Gender], ROW() - 37), "")</f>
        <v/>
      </c>
      <c r="F2942" s="4" t="str" cm="1">
        <f t="array" ref="F2942">IFERROR(INDEX(EmployeeData[Age], ROW() - 37), "")</f>
        <v/>
      </c>
      <c r="G2942" s="6" t="str" cm="1">
        <f t="array" ref="G2942">IFERROR(INDEX(EmployeeData[Join Date], ROW() - 37), "")</f>
        <v/>
      </c>
      <c r="H2942" s="6" t="str" cm="1">
        <f t="array" ref="H2942">IFERROR(IF(INDEX(EmployeeData[Exit Date], ROW() - 37)=0, "",INDEX(EmployeeData[Exit Date], ROW() - 37)),"")</f>
        <v/>
      </c>
      <c r="I2942" s="4" t="str" cm="1">
        <f t="array" ref="I2942">IFERROR(IF(INDEX(EmployeeData[Exit Reason], ROW() - 37)=0, "",INDEX(EmployeeData[Exit Reason], ROW() - 37)),"")</f>
        <v/>
      </c>
      <c r="J2942" s="4" t="str" cm="1">
        <f t="array" ref="J2942">IFERROR(INDEX(EmployeeData[Status], ROW() - 37), "")</f>
        <v/>
      </c>
    </row>
    <row r="2943" spans="2:10" ht="19.95" customHeight="1" x14ac:dyDescent="0.3">
      <c r="B2943" s="4" t="str" cm="1">
        <f t="array" ref="B2943">IFERROR(INDEX(EmployeeData[Employee ID], ROW() - 37), "")</f>
        <v/>
      </c>
      <c r="C2943" s="4" t="str" cm="1">
        <f t="array" ref="C2943">IFERROR(INDEX(EmployeeData[Full Name], ROW() - 37), "")</f>
        <v/>
      </c>
      <c r="D2943" s="4" t="str" cm="1">
        <f t="array" ref="D2943">IFERROR(INDEX(EmployeeData[Department], ROW() - 37), "")</f>
        <v/>
      </c>
      <c r="E2943" s="4" t="str" cm="1">
        <f t="array" ref="E2943">IFERROR(INDEX(EmployeeData[Gender], ROW() - 37), "")</f>
        <v/>
      </c>
      <c r="F2943" s="4" t="str" cm="1">
        <f t="array" ref="F2943">IFERROR(INDEX(EmployeeData[Age], ROW() - 37), "")</f>
        <v/>
      </c>
      <c r="G2943" s="6" t="str" cm="1">
        <f t="array" ref="G2943">IFERROR(INDEX(EmployeeData[Join Date], ROW() - 37), "")</f>
        <v/>
      </c>
      <c r="H2943" s="6" t="str" cm="1">
        <f t="array" ref="H2943">IFERROR(IF(INDEX(EmployeeData[Exit Date], ROW() - 37)=0, "",INDEX(EmployeeData[Exit Date], ROW() - 37)),"")</f>
        <v/>
      </c>
      <c r="I2943" s="4" t="str" cm="1">
        <f t="array" ref="I2943">IFERROR(IF(INDEX(EmployeeData[Exit Reason], ROW() - 37)=0, "",INDEX(EmployeeData[Exit Reason], ROW() - 37)),"")</f>
        <v/>
      </c>
      <c r="J2943" s="4" t="str" cm="1">
        <f t="array" ref="J2943">IFERROR(INDEX(EmployeeData[Status], ROW() - 37), "")</f>
        <v/>
      </c>
    </row>
    <row r="2944" spans="2:10" ht="19.95" customHeight="1" x14ac:dyDescent="0.3">
      <c r="B2944" s="4" t="str" cm="1">
        <f t="array" ref="B2944">IFERROR(INDEX(EmployeeData[Employee ID], ROW() - 37), "")</f>
        <v/>
      </c>
      <c r="C2944" s="4" t="str" cm="1">
        <f t="array" ref="C2944">IFERROR(INDEX(EmployeeData[Full Name], ROW() - 37), "")</f>
        <v/>
      </c>
      <c r="D2944" s="4" t="str" cm="1">
        <f t="array" ref="D2944">IFERROR(INDEX(EmployeeData[Department], ROW() - 37), "")</f>
        <v/>
      </c>
      <c r="E2944" s="4" t="str" cm="1">
        <f t="array" ref="E2944">IFERROR(INDEX(EmployeeData[Gender], ROW() - 37), "")</f>
        <v/>
      </c>
      <c r="F2944" s="4" t="str" cm="1">
        <f t="array" ref="F2944">IFERROR(INDEX(EmployeeData[Age], ROW() - 37), "")</f>
        <v/>
      </c>
      <c r="G2944" s="6" t="str" cm="1">
        <f t="array" ref="G2944">IFERROR(INDEX(EmployeeData[Join Date], ROW() - 37), "")</f>
        <v/>
      </c>
      <c r="H2944" s="6" t="str" cm="1">
        <f t="array" ref="H2944">IFERROR(IF(INDEX(EmployeeData[Exit Date], ROW() - 37)=0, "",INDEX(EmployeeData[Exit Date], ROW() - 37)),"")</f>
        <v/>
      </c>
      <c r="I2944" s="4" t="str" cm="1">
        <f t="array" ref="I2944">IFERROR(IF(INDEX(EmployeeData[Exit Reason], ROW() - 37)=0, "",INDEX(EmployeeData[Exit Reason], ROW() - 37)),"")</f>
        <v/>
      </c>
      <c r="J2944" s="4" t="str" cm="1">
        <f t="array" ref="J2944">IFERROR(INDEX(EmployeeData[Status], ROW() - 37), "")</f>
        <v/>
      </c>
    </row>
    <row r="2945" spans="2:10" ht="19.95" customHeight="1" x14ac:dyDescent="0.3">
      <c r="B2945" s="4" t="str" cm="1">
        <f t="array" ref="B2945">IFERROR(INDEX(EmployeeData[Employee ID], ROW() - 37), "")</f>
        <v/>
      </c>
      <c r="C2945" s="4" t="str" cm="1">
        <f t="array" ref="C2945">IFERROR(INDEX(EmployeeData[Full Name], ROW() - 37), "")</f>
        <v/>
      </c>
      <c r="D2945" s="4" t="str" cm="1">
        <f t="array" ref="D2945">IFERROR(INDEX(EmployeeData[Department], ROW() - 37), "")</f>
        <v/>
      </c>
      <c r="E2945" s="4" t="str" cm="1">
        <f t="array" ref="E2945">IFERROR(INDEX(EmployeeData[Gender], ROW() - 37), "")</f>
        <v/>
      </c>
      <c r="F2945" s="4" t="str" cm="1">
        <f t="array" ref="F2945">IFERROR(INDEX(EmployeeData[Age], ROW() - 37), "")</f>
        <v/>
      </c>
      <c r="G2945" s="6" t="str" cm="1">
        <f t="array" ref="G2945">IFERROR(INDEX(EmployeeData[Join Date], ROW() - 37), "")</f>
        <v/>
      </c>
      <c r="H2945" s="6" t="str" cm="1">
        <f t="array" ref="H2945">IFERROR(IF(INDEX(EmployeeData[Exit Date], ROW() - 37)=0, "",INDEX(EmployeeData[Exit Date], ROW() - 37)),"")</f>
        <v/>
      </c>
      <c r="I2945" s="4" t="str" cm="1">
        <f t="array" ref="I2945">IFERROR(IF(INDEX(EmployeeData[Exit Reason], ROW() - 37)=0, "",INDEX(EmployeeData[Exit Reason], ROW() - 37)),"")</f>
        <v/>
      </c>
      <c r="J2945" s="4" t="str" cm="1">
        <f t="array" ref="J2945">IFERROR(INDEX(EmployeeData[Status], ROW() - 37), "")</f>
        <v/>
      </c>
    </row>
    <row r="2946" spans="2:10" ht="19.95" customHeight="1" x14ac:dyDescent="0.3">
      <c r="B2946" s="4" t="str" cm="1">
        <f t="array" ref="B2946">IFERROR(INDEX(EmployeeData[Employee ID], ROW() - 37), "")</f>
        <v/>
      </c>
      <c r="C2946" s="4" t="str" cm="1">
        <f t="array" ref="C2946">IFERROR(INDEX(EmployeeData[Full Name], ROW() - 37), "")</f>
        <v/>
      </c>
      <c r="D2946" s="4" t="str" cm="1">
        <f t="array" ref="D2946">IFERROR(INDEX(EmployeeData[Department], ROW() - 37), "")</f>
        <v/>
      </c>
      <c r="E2946" s="4" t="str" cm="1">
        <f t="array" ref="E2946">IFERROR(INDEX(EmployeeData[Gender], ROW() - 37), "")</f>
        <v/>
      </c>
      <c r="F2946" s="4" t="str" cm="1">
        <f t="array" ref="F2946">IFERROR(INDEX(EmployeeData[Age], ROW() - 37), "")</f>
        <v/>
      </c>
      <c r="G2946" s="6" t="str" cm="1">
        <f t="array" ref="G2946">IFERROR(INDEX(EmployeeData[Join Date], ROW() - 37), "")</f>
        <v/>
      </c>
      <c r="H2946" s="6" t="str" cm="1">
        <f t="array" ref="H2946">IFERROR(IF(INDEX(EmployeeData[Exit Date], ROW() - 37)=0, "",INDEX(EmployeeData[Exit Date], ROW() - 37)),"")</f>
        <v/>
      </c>
      <c r="I2946" s="4" t="str" cm="1">
        <f t="array" ref="I2946">IFERROR(IF(INDEX(EmployeeData[Exit Reason], ROW() - 37)=0, "",INDEX(EmployeeData[Exit Reason], ROW() - 37)),"")</f>
        <v/>
      </c>
      <c r="J2946" s="4" t="str" cm="1">
        <f t="array" ref="J2946">IFERROR(INDEX(EmployeeData[Status], ROW() - 37), "")</f>
        <v/>
      </c>
    </row>
    <row r="2947" spans="2:10" ht="19.95" customHeight="1" x14ac:dyDescent="0.3">
      <c r="B2947" s="4" t="str" cm="1">
        <f t="array" ref="B2947">IFERROR(INDEX(EmployeeData[Employee ID], ROW() - 37), "")</f>
        <v/>
      </c>
      <c r="C2947" s="4" t="str" cm="1">
        <f t="array" ref="C2947">IFERROR(INDEX(EmployeeData[Full Name], ROW() - 37), "")</f>
        <v/>
      </c>
      <c r="D2947" s="4" t="str" cm="1">
        <f t="array" ref="D2947">IFERROR(INDEX(EmployeeData[Department], ROW() - 37), "")</f>
        <v/>
      </c>
      <c r="E2947" s="4" t="str" cm="1">
        <f t="array" ref="E2947">IFERROR(INDEX(EmployeeData[Gender], ROW() - 37), "")</f>
        <v/>
      </c>
      <c r="F2947" s="4" t="str" cm="1">
        <f t="array" ref="F2947">IFERROR(INDEX(EmployeeData[Age], ROW() - 37), "")</f>
        <v/>
      </c>
      <c r="G2947" s="6" t="str" cm="1">
        <f t="array" ref="G2947">IFERROR(INDEX(EmployeeData[Join Date], ROW() - 37), "")</f>
        <v/>
      </c>
      <c r="H2947" s="6" t="str" cm="1">
        <f t="array" ref="H2947">IFERROR(IF(INDEX(EmployeeData[Exit Date], ROW() - 37)=0, "",INDEX(EmployeeData[Exit Date], ROW() - 37)),"")</f>
        <v/>
      </c>
      <c r="I2947" s="4" t="str" cm="1">
        <f t="array" ref="I2947">IFERROR(IF(INDEX(EmployeeData[Exit Reason], ROW() - 37)=0, "",INDEX(EmployeeData[Exit Reason], ROW() - 37)),"")</f>
        <v/>
      </c>
      <c r="J2947" s="4" t="str" cm="1">
        <f t="array" ref="J2947">IFERROR(INDEX(EmployeeData[Status], ROW() - 37), "")</f>
        <v/>
      </c>
    </row>
    <row r="2948" spans="2:10" ht="19.95" customHeight="1" x14ac:dyDescent="0.3">
      <c r="B2948" s="4" t="str" cm="1">
        <f t="array" ref="B2948">IFERROR(INDEX(EmployeeData[Employee ID], ROW() - 37), "")</f>
        <v/>
      </c>
      <c r="C2948" s="4" t="str" cm="1">
        <f t="array" ref="C2948">IFERROR(INDEX(EmployeeData[Full Name], ROW() - 37), "")</f>
        <v/>
      </c>
      <c r="D2948" s="4" t="str" cm="1">
        <f t="array" ref="D2948">IFERROR(INDEX(EmployeeData[Department], ROW() - 37), "")</f>
        <v/>
      </c>
      <c r="E2948" s="4" t="str" cm="1">
        <f t="array" ref="E2948">IFERROR(INDEX(EmployeeData[Gender], ROW() - 37), "")</f>
        <v/>
      </c>
      <c r="F2948" s="4" t="str" cm="1">
        <f t="array" ref="F2948">IFERROR(INDEX(EmployeeData[Age], ROW() - 37), "")</f>
        <v/>
      </c>
      <c r="G2948" s="6" t="str" cm="1">
        <f t="array" ref="G2948">IFERROR(INDEX(EmployeeData[Join Date], ROW() - 37), "")</f>
        <v/>
      </c>
      <c r="H2948" s="6" t="str" cm="1">
        <f t="array" ref="H2948">IFERROR(IF(INDEX(EmployeeData[Exit Date], ROW() - 37)=0, "",INDEX(EmployeeData[Exit Date], ROW() - 37)),"")</f>
        <v/>
      </c>
      <c r="I2948" s="4" t="str" cm="1">
        <f t="array" ref="I2948">IFERROR(IF(INDEX(EmployeeData[Exit Reason], ROW() - 37)=0, "",INDEX(EmployeeData[Exit Reason], ROW() - 37)),"")</f>
        <v/>
      </c>
      <c r="J2948" s="4" t="str" cm="1">
        <f t="array" ref="J2948">IFERROR(INDEX(EmployeeData[Status], ROW() - 37), "")</f>
        <v/>
      </c>
    </row>
    <row r="2949" spans="2:10" ht="19.95" customHeight="1" x14ac:dyDescent="0.3">
      <c r="B2949" s="4" t="str" cm="1">
        <f t="array" ref="B2949">IFERROR(INDEX(EmployeeData[Employee ID], ROW() - 37), "")</f>
        <v/>
      </c>
      <c r="C2949" s="4" t="str" cm="1">
        <f t="array" ref="C2949">IFERROR(INDEX(EmployeeData[Full Name], ROW() - 37), "")</f>
        <v/>
      </c>
      <c r="D2949" s="4" t="str" cm="1">
        <f t="array" ref="D2949">IFERROR(INDEX(EmployeeData[Department], ROW() - 37), "")</f>
        <v/>
      </c>
      <c r="E2949" s="4" t="str" cm="1">
        <f t="array" ref="E2949">IFERROR(INDEX(EmployeeData[Gender], ROW() - 37), "")</f>
        <v/>
      </c>
      <c r="F2949" s="4" t="str" cm="1">
        <f t="array" ref="F2949">IFERROR(INDEX(EmployeeData[Age], ROW() - 37), "")</f>
        <v/>
      </c>
      <c r="G2949" s="6" t="str" cm="1">
        <f t="array" ref="G2949">IFERROR(INDEX(EmployeeData[Join Date], ROW() - 37), "")</f>
        <v/>
      </c>
      <c r="H2949" s="6" t="str" cm="1">
        <f t="array" ref="H2949">IFERROR(IF(INDEX(EmployeeData[Exit Date], ROW() - 37)=0, "",INDEX(EmployeeData[Exit Date], ROW() - 37)),"")</f>
        <v/>
      </c>
      <c r="I2949" s="4" t="str" cm="1">
        <f t="array" ref="I2949">IFERROR(IF(INDEX(EmployeeData[Exit Reason], ROW() - 37)=0, "",INDEX(EmployeeData[Exit Reason], ROW() - 37)),"")</f>
        <v/>
      </c>
      <c r="J2949" s="4" t="str" cm="1">
        <f t="array" ref="J2949">IFERROR(INDEX(EmployeeData[Status], ROW() - 37), "")</f>
        <v/>
      </c>
    </row>
    <row r="2950" spans="2:10" ht="19.95" customHeight="1" x14ac:dyDescent="0.3">
      <c r="B2950" s="4" t="str" cm="1">
        <f t="array" ref="B2950">IFERROR(INDEX(EmployeeData[Employee ID], ROW() - 37), "")</f>
        <v/>
      </c>
      <c r="C2950" s="4" t="str" cm="1">
        <f t="array" ref="C2950">IFERROR(INDEX(EmployeeData[Full Name], ROW() - 37), "")</f>
        <v/>
      </c>
      <c r="D2950" s="4" t="str" cm="1">
        <f t="array" ref="D2950">IFERROR(INDEX(EmployeeData[Department], ROW() - 37), "")</f>
        <v/>
      </c>
      <c r="E2950" s="4" t="str" cm="1">
        <f t="array" ref="E2950">IFERROR(INDEX(EmployeeData[Gender], ROW() - 37), "")</f>
        <v/>
      </c>
      <c r="F2950" s="4" t="str" cm="1">
        <f t="array" ref="F2950">IFERROR(INDEX(EmployeeData[Age], ROW() - 37), "")</f>
        <v/>
      </c>
      <c r="G2950" s="6" t="str" cm="1">
        <f t="array" ref="G2950">IFERROR(INDEX(EmployeeData[Join Date], ROW() - 37), "")</f>
        <v/>
      </c>
      <c r="H2950" s="6" t="str" cm="1">
        <f t="array" ref="H2950">IFERROR(IF(INDEX(EmployeeData[Exit Date], ROW() - 37)=0, "",INDEX(EmployeeData[Exit Date], ROW() - 37)),"")</f>
        <v/>
      </c>
      <c r="I2950" s="4" t="str" cm="1">
        <f t="array" ref="I2950">IFERROR(IF(INDEX(EmployeeData[Exit Reason], ROW() - 37)=0, "",INDEX(EmployeeData[Exit Reason], ROW() - 37)),"")</f>
        <v/>
      </c>
      <c r="J2950" s="4" t="str" cm="1">
        <f t="array" ref="J2950">IFERROR(INDEX(EmployeeData[Status], ROW() - 37), "")</f>
        <v/>
      </c>
    </row>
    <row r="2951" spans="2:10" ht="19.95" customHeight="1" x14ac:dyDescent="0.3">
      <c r="B2951" s="4" t="str" cm="1">
        <f t="array" ref="B2951">IFERROR(INDEX(EmployeeData[Employee ID], ROW() - 37), "")</f>
        <v/>
      </c>
      <c r="C2951" s="4" t="str" cm="1">
        <f t="array" ref="C2951">IFERROR(INDEX(EmployeeData[Full Name], ROW() - 37), "")</f>
        <v/>
      </c>
      <c r="D2951" s="4" t="str" cm="1">
        <f t="array" ref="D2951">IFERROR(INDEX(EmployeeData[Department], ROW() - 37), "")</f>
        <v/>
      </c>
      <c r="E2951" s="4" t="str" cm="1">
        <f t="array" ref="E2951">IFERROR(INDEX(EmployeeData[Gender], ROW() - 37), "")</f>
        <v/>
      </c>
      <c r="F2951" s="4" t="str" cm="1">
        <f t="array" ref="F2951">IFERROR(INDEX(EmployeeData[Age], ROW() - 37), "")</f>
        <v/>
      </c>
      <c r="G2951" s="6" t="str" cm="1">
        <f t="array" ref="G2951">IFERROR(INDEX(EmployeeData[Join Date], ROW() - 37), "")</f>
        <v/>
      </c>
      <c r="H2951" s="6" t="str" cm="1">
        <f t="array" ref="H2951">IFERROR(IF(INDEX(EmployeeData[Exit Date], ROW() - 37)=0, "",INDEX(EmployeeData[Exit Date], ROW() - 37)),"")</f>
        <v/>
      </c>
      <c r="I2951" s="4" t="str" cm="1">
        <f t="array" ref="I2951">IFERROR(IF(INDEX(EmployeeData[Exit Reason], ROW() - 37)=0, "",INDEX(EmployeeData[Exit Reason], ROW() - 37)),"")</f>
        <v/>
      </c>
      <c r="J2951" s="4" t="str" cm="1">
        <f t="array" ref="J2951">IFERROR(INDEX(EmployeeData[Status], ROW() - 37), "")</f>
        <v/>
      </c>
    </row>
    <row r="2952" spans="2:10" ht="19.95" customHeight="1" x14ac:dyDescent="0.3">
      <c r="B2952" s="4" t="str" cm="1">
        <f t="array" ref="B2952">IFERROR(INDEX(EmployeeData[Employee ID], ROW() - 37), "")</f>
        <v/>
      </c>
      <c r="C2952" s="4" t="str" cm="1">
        <f t="array" ref="C2952">IFERROR(INDEX(EmployeeData[Full Name], ROW() - 37), "")</f>
        <v/>
      </c>
      <c r="D2952" s="4" t="str" cm="1">
        <f t="array" ref="D2952">IFERROR(INDEX(EmployeeData[Department], ROW() - 37), "")</f>
        <v/>
      </c>
      <c r="E2952" s="4" t="str" cm="1">
        <f t="array" ref="E2952">IFERROR(INDEX(EmployeeData[Gender], ROW() - 37), "")</f>
        <v/>
      </c>
      <c r="F2952" s="4" t="str" cm="1">
        <f t="array" ref="F2952">IFERROR(INDEX(EmployeeData[Age], ROW() - 37), "")</f>
        <v/>
      </c>
      <c r="G2952" s="6" t="str" cm="1">
        <f t="array" ref="G2952">IFERROR(INDEX(EmployeeData[Join Date], ROW() - 37), "")</f>
        <v/>
      </c>
      <c r="H2952" s="6" t="str" cm="1">
        <f t="array" ref="H2952">IFERROR(IF(INDEX(EmployeeData[Exit Date], ROW() - 37)=0, "",INDEX(EmployeeData[Exit Date], ROW() - 37)),"")</f>
        <v/>
      </c>
      <c r="I2952" s="4" t="str" cm="1">
        <f t="array" ref="I2952">IFERROR(IF(INDEX(EmployeeData[Exit Reason], ROW() - 37)=0, "",INDEX(EmployeeData[Exit Reason], ROW() - 37)),"")</f>
        <v/>
      </c>
      <c r="J2952" s="4" t="str" cm="1">
        <f t="array" ref="J2952">IFERROR(INDEX(EmployeeData[Status], ROW() - 37), "")</f>
        <v/>
      </c>
    </row>
    <row r="2953" spans="2:10" ht="19.95" customHeight="1" x14ac:dyDescent="0.3">
      <c r="B2953" s="4" t="str" cm="1">
        <f t="array" ref="B2953">IFERROR(INDEX(EmployeeData[Employee ID], ROW() - 37), "")</f>
        <v/>
      </c>
      <c r="C2953" s="4" t="str" cm="1">
        <f t="array" ref="C2953">IFERROR(INDEX(EmployeeData[Full Name], ROW() - 37), "")</f>
        <v/>
      </c>
      <c r="D2953" s="4" t="str" cm="1">
        <f t="array" ref="D2953">IFERROR(INDEX(EmployeeData[Department], ROW() - 37), "")</f>
        <v/>
      </c>
      <c r="E2953" s="4" t="str" cm="1">
        <f t="array" ref="E2953">IFERROR(INDEX(EmployeeData[Gender], ROW() - 37), "")</f>
        <v/>
      </c>
      <c r="F2953" s="4" t="str" cm="1">
        <f t="array" ref="F2953">IFERROR(INDEX(EmployeeData[Age], ROW() - 37), "")</f>
        <v/>
      </c>
      <c r="G2953" s="6" t="str" cm="1">
        <f t="array" ref="G2953">IFERROR(INDEX(EmployeeData[Join Date], ROW() - 37), "")</f>
        <v/>
      </c>
      <c r="H2953" s="6" t="str" cm="1">
        <f t="array" ref="H2953">IFERROR(IF(INDEX(EmployeeData[Exit Date], ROW() - 37)=0, "",INDEX(EmployeeData[Exit Date], ROW() - 37)),"")</f>
        <v/>
      </c>
      <c r="I2953" s="4" t="str" cm="1">
        <f t="array" ref="I2953">IFERROR(IF(INDEX(EmployeeData[Exit Reason], ROW() - 37)=0, "",INDEX(EmployeeData[Exit Reason], ROW() - 37)),"")</f>
        <v/>
      </c>
      <c r="J2953" s="4" t="str" cm="1">
        <f t="array" ref="J2953">IFERROR(INDEX(EmployeeData[Status], ROW() - 37), "")</f>
        <v/>
      </c>
    </row>
    <row r="2954" spans="2:10" ht="19.95" customHeight="1" x14ac:dyDescent="0.3">
      <c r="B2954" s="4" t="str" cm="1">
        <f t="array" ref="B2954">IFERROR(INDEX(EmployeeData[Employee ID], ROW() - 37), "")</f>
        <v/>
      </c>
      <c r="C2954" s="4" t="str" cm="1">
        <f t="array" ref="C2954">IFERROR(INDEX(EmployeeData[Full Name], ROW() - 37), "")</f>
        <v/>
      </c>
      <c r="D2954" s="4" t="str" cm="1">
        <f t="array" ref="D2954">IFERROR(INDEX(EmployeeData[Department], ROW() - 37), "")</f>
        <v/>
      </c>
      <c r="E2954" s="4" t="str" cm="1">
        <f t="array" ref="E2954">IFERROR(INDEX(EmployeeData[Gender], ROW() - 37), "")</f>
        <v/>
      </c>
      <c r="F2954" s="4" t="str" cm="1">
        <f t="array" ref="F2954">IFERROR(INDEX(EmployeeData[Age], ROW() - 37), "")</f>
        <v/>
      </c>
      <c r="G2954" s="6" t="str" cm="1">
        <f t="array" ref="G2954">IFERROR(INDEX(EmployeeData[Join Date], ROW() - 37), "")</f>
        <v/>
      </c>
      <c r="H2954" s="6" t="str" cm="1">
        <f t="array" ref="H2954">IFERROR(IF(INDEX(EmployeeData[Exit Date], ROW() - 37)=0, "",INDEX(EmployeeData[Exit Date], ROW() - 37)),"")</f>
        <v/>
      </c>
      <c r="I2954" s="4" t="str" cm="1">
        <f t="array" ref="I2954">IFERROR(IF(INDEX(EmployeeData[Exit Reason], ROW() - 37)=0, "",INDEX(EmployeeData[Exit Reason], ROW() - 37)),"")</f>
        <v/>
      </c>
      <c r="J2954" s="4" t="str" cm="1">
        <f t="array" ref="J2954">IFERROR(INDEX(EmployeeData[Status], ROW() - 37), "")</f>
        <v/>
      </c>
    </row>
    <row r="2955" spans="2:10" ht="19.95" customHeight="1" x14ac:dyDescent="0.3">
      <c r="B2955" s="4" t="str" cm="1">
        <f t="array" ref="B2955">IFERROR(INDEX(EmployeeData[Employee ID], ROW() - 37), "")</f>
        <v/>
      </c>
      <c r="C2955" s="4" t="str" cm="1">
        <f t="array" ref="C2955">IFERROR(INDEX(EmployeeData[Full Name], ROW() - 37), "")</f>
        <v/>
      </c>
      <c r="D2955" s="4" t="str" cm="1">
        <f t="array" ref="D2955">IFERROR(INDEX(EmployeeData[Department], ROW() - 37), "")</f>
        <v/>
      </c>
      <c r="E2955" s="4" t="str" cm="1">
        <f t="array" ref="E2955">IFERROR(INDEX(EmployeeData[Gender], ROW() - 37), "")</f>
        <v/>
      </c>
      <c r="F2955" s="4" t="str" cm="1">
        <f t="array" ref="F2955">IFERROR(INDEX(EmployeeData[Age], ROW() - 37), "")</f>
        <v/>
      </c>
      <c r="G2955" s="6" t="str" cm="1">
        <f t="array" ref="G2955">IFERROR(INDEX(EmployeeData[Join Date], ROW() - 37), "")</f>
        <v/>
      </c>
      <c r="H2955" s="6" t="str" cm="1">
        <f t="array" ref="H2955">IFERROR(IF(INDEX(EmployeeData[Exit Date], ROW() - 37)=0, "",INDEX(EmployeeData[Exit Date], ROW() - 37)),"")</f>
        <v/>
      </c>
      <c r="I2955" s="4" t="str" cm="1">
        <f t="array" ref="I2955">IFERROR(IF(INDEX(EmployeeData[Exit Reason], ROW() - 37)=0, "",INDEX(EmployeeData[Exit Reason], ROW() - 37)),"")</f>
        <v/>
      </c>
      <c r="J2955" s="4" t="str" cm="1">
        <f t="array" ref="J2955">IFERROR(INDEX(EmployeeData[Status], ROW() - 37), "")</f>
        <v/>
      </c>
    </row>
    <row r="2956" spans="2:10" ht="19.95" customHeight="1" x14ac:dyDescent="0.3">
      <c r="B2956" s="4" t="str" cm="1">
        <f t="array" ref="B2956">IFERROR(INDEX(EmployeeData[Employee ID], ROW() - 37), "")</f>
        <v/>
      </c>
      <c r="C2956" s="4" t="str" cm="1">
        <f t="array" ref="C2956">IFERROR(INDEX(EmployeeData[Full Name], ROW() - 37), "")</f>
        <v/>
      </c>
      <c r="D2956" s="4" t="str" cm="1">
        <f t="array" ref="D2956">IFERROR(INDEX(EmployeeData[Department], ROW() - 37), "")</f>
        <v/>
      </c>
      <c r="E2956" s="4" t="str" cm="1">
        <f t="array" ref="E2956">IFERROR(INDEX(EmployeeData[Gender], ROW() - 37), "")</f>
        <v/>
      </c>
      <c r="F2956" s="4" t="str" cm="1">
        <f t="array" ref="F2956">IFERROR(INDEX(EmployeeData[Age], ROW() - 37), "")</f>
        <v/>
      </c>
      <c r="G2956" s="6" t="str" cm="1">
        <f t="array" ref="G2956">IFERROR(INDEX(EmployeeData[Join Date], ROW() - 37), "")</f>
        <v/>
      </c>
      <c r="H2956" s="6" t="str" cm="1">
        <f t="array" ref="H2956">IFERROR(IF(INDEX(EmployeeData[Exit Date], ROW() - 37)=0, "",INDEX(EmployeeData[Exit Date], ROW() - 37)),"")</f>
        <v/>
      </c>
      <c r="I2956" s="4" t="str" cm="1">
        <f t="array" ref="I2956">IFERROR(IF(INDEX(EmployeeData[Exit Reason], ROW() - 37)=0, "",INDEX(EmployeeData[Exit Reason], ROW() - 37)),"")</f>
        <v/>
      </c>
      <c r="J2956" s="4" t="str" cm="1">
        <f t="array" ref="J2956">IFERROR(INDEX(EmployeeData[Status], ROW() - 37), "")</f>
        <v/>
      </c>
    </row>
    <row r="2957" spans="2:10" ht="19.95" customHeight="1" x14ac:dyDescent="0.3">
      <c r="B2957" s="4" t="str" cm="1">
        <f t="array" ref="B2957">IFERROR(INDEX(EmployeeData[Employee ID], ROW() - 37), "")</f>
        <v/>
      </c>
      <c r="C2957" s="4" t="str" cm="1">
        <f t="array" ref="C2957">IFERROR(INDEX(EmployeeData[Full Name], ROW() - 37), "")</f>
        <v/>
      </c>
      <c r="D2957" s="4" t="str" cm="1">
        <f t="array" ref="D2957">IFERROR(INDEX(EmployeeData[Department], ROW() - 37), "")</f>
        <v/>
      </c>
      <c r="E2957" s="4" t="str" cm="1">
        <f t="array" ref="E2957">IFERROR(INDEX(EmployeeData[Gender], ROW() - 37), "")</f>
        <v/>
      </c>
      <c r="F2957" s="4" t="str" cm="1">
        <f t="array" ref="F2957">IFERROR(INDEX(EmployeeData[Age], ROW() - 37), "")</f>
        <v/>
      </c>
      <c r="G2957" s="6" t="str" cm="1">
        <f t="array" ref="G2957">IFERROR(INDEX(EmployeeData[Join Date], ROW() - 37), "")</f>
        <v/>
      </c>
      <c r="H2957" s="6" t="str" cm="1">
        <f t="array" ref="H2957">IFERROR(IF(INDEX(EmployeeData[Exit Date], ROW() - 37)=0, "",INDEX(EmployeeData[Exit Date], ROW() - 37)),"")</f>
        <v/>
      </c>
      <c r="I2957" s="4" t="str" cm="1">
        <f t="array" ref="I2957">IFERROR(IF(INDEX(EmployeeData[Exit Reason], ROW() - 37)=0, "",INDEX(EmployeeData[Exit Reason], ROW() - 37)),"")</f>
        <v/>
      </c>
      <c r="J2957" s="4" t="str" cm="1">
        <f t="array" ref="J2957">IFERROR(INDEX(EmployeeData[Status], ROW() - 37), "")</f>
        <v/>
      </c>
    </row>
    <row r="2958" spans="2:10" ht="19.95" customHeight="1" x14ac:dyDescent="0.3">
      <c r="B2958" s="4" t="str" cm="1">
        <f t="array" ref="B2958">IFERROR(INDEX(EmployeeData[Employee ID], ROW() - 37), "")</f>
        <v/>
      </c>
      <c r="C2958" s="4" t="str" cm="1">
        <f t="array" ref="C2958">IFERROR(INDEX(EmployeeData[Full Name], ROW() - 37), "")</f>
        <v/>
      </c>
      <c r="D2958" s="4" t="str" cm="1">
        <f t="array" ref="D2958">IFERROR(INDEX(EmployeeData[Department], ROW() - 37), "")</f>
        <v/>
      </c>
      <c r="E2958" s="4" t="str" cm="1">
        <f t="array" ref="E2958">IFERROR(INDEX(EmployeeData[Gender], ROW() - 37), "")</f>
        <v/>
      </c>
      <c r="F2958" s="4" t="str" cm="1">
        <f t="array" ref="F2958">IFERROR(INDEX(EmployeeData[Age], ROW() - 37), "")</f>
        <v/>
      </c>
      <c r="G2958" s="6" t="str" cm="1">
        <f t="array" ref="G2958">IFERROR(INDEX(EmployeeData[Join Date], ROW() - 37), "")</f>
        <v/>
      </c>
      <c r="H2958" s="6" t="str" cm="1">
        <f t="array" ref="H2958">IFERROR(IF(INDEX(EmployeeData[Exit Date], ROW() - 37)=0, "",INDEX(EmployeeData[Exit Date], ROW() - 37)),"")</f>
        <v/>
      </c>
      <c r="I2958" s="4" t="str" cm="1">
        <f t="array" ref="I2958">IFERROR(IF(INDEX(EmployeeData[Exit Reason], ROW() - 37)=0, "",INDEX(EmployeeData[Exit Reason], ROW() - 37)),"")</f>
        <v/>
      </c>
      <c r="J2958" s="4" t="str" cm="1">
        <f t="array" ref="J2958">IFERROR(INDEX(EmployeeData[Status], ROW() - 37), "")</f>
        <v/>
      </c>
    </row>
    <row r="2959" spans="2:10" ht="19.95" customHeight="1" x14ac:dyDescent="0.3">
      <c r="B2959" s="4" t="str" cm="1">
        <f t="array" ref="B2959">IFERROR(INDEX(EmployeeData[Employee ID], ROW() - 37), "")</f>
        <v/>
      </c>
      <c r="C2959" s="4" t="str" cm="1">
        <f t="array" ref="C2959">IFERROR(INDEX(EmployeeData[Full Name], ROW() - 37), "")</f>
        <v/>
      </c>
      <c r="D2959" s="4" t="str" cm="1">
        <f t="array" ref="D2959">IFERROR(INDEX(EmployeeData[Department], ROW() - 37), "")</f>
        <v/>
      </c>
      <c r="E2959" s="4" t="str" cm="1">
        <f t="array" ref="E2959">IFERROR(INDEX(EmployeeData[Gender], ROW() - 37), "")</f>
        <v/>
      </c>
      <c r="F2959" s="4" t="str" cm="1">
        <f t="array" ref="F2959">IFERROR(INDEX(EmployeeData[Age], ROW() - 37), "")</f>
        <v/>
      </c>
      <c r="G2959" s="6" t="str" cm="1">
        <f t="array" ref="G2959">IFERROR(INDEX(EmployeeData[Join Date], ROW() - 37), "")</f>
        <v/>
      </c>
      <c r="H2959" s="6" t="str" cm="1">
        <f t="array" ref="H2959">IFERROR(IF(INDEX(EmployeeData[Exit Date], ROW() - 37)=0, "",INDEX(EmployeeData[Exit Date], ROW() - 37)),"")</f>
        <v/>
      </c>
      <c r="I2959" s="4" t="str" cm="1">
        <f t="array" ref="I2959">IFERROR(IF(INDEX(EmployeeData[Exit Reason], ROW() - 37)=0, "",INDEX(EmployeeData[Exit Reason], ROW() - 37)),"")</f>
        <v/>
      </c>
      <c r="J2959" s="4" t="str" cm="1">
        <f t="array" ref="J2959">IFERROR(INDEX(EmployeeData[Status], ROW() - 37), "")</f>
        <v/>
      </c>
    </row>
    <row r="2960" spans="2:10" ht="19.95" customHeight="1" x14ac:dyDescent="0.3">
      <c r="B2960" s="4" t="str" cm="1">
        <f t="array" ref="B2960">IFERROR(INDEX(EmployeeData[Employee ID], ROW() - 37), "")</f>
        <v/>
      </c>
      <c r="C2960" s="4" t="str" cm="1">
        <f t="array" ref="C2960">IFERROR(INDEX(EmployeeData[Full Name], ROW() - 37), "")</f>
        <v/>
      </c>
      <c r="D2960" s="4" t="str" cm="1">
        <f t="array" ref="D2960">IFERROR(INDEX(EmployeeData[Department], ROW() - 37), "")</f>
        <v/>
      </c>
      <c r="E2960" s="4" t="str" cm="1">
        <f t="array" ref="E2960">IFERROR(INDEX(EmployeeData[Gender], ROW() - 37), "")</f>
        <v/>
      </c>
      <c r="F2960" s="4" t="str" cm="1">
        <f t="array" ref="F2960">IFERROR(INDEX(EmployeeData[Age], ROW() - 37), "")</f>
        <v/>
      </c>
      <c r="G2960" s="6" t="str" cm="1">
        <f t="array" ref="G2960">IFERROR(INDEX(EmployeeData[Join Date], ROW() - 37), "")</f>
        <v/>
      </c>
      <c r="H2960" s="6" t="str" cm="1">
        <f t="array" ref="H2960">IFERROR(IF(INDEX(EmployeeData[Exit Date], ROW() - 37)=0, "",INDEX(EmployeeData[Exit Date], ROW() - 37)),"")</f>
        <v/>
      </c>
      <c r="I2960" s="4" t="str" cm="1">
        <f t="array" ref="I2960">IFERROR(IF(INDEX(EmployeeData[Exit Reason], ROW() - 37)=0, "",INDEX(EmployeeData[Exit Reason], ROW() - 37)),"")</f>
        <v/>
      </c>
      <c r="J2960" s="4" t="str" cm="1">
        <f t="array" ref="J2960">IFERROR(INDEX(EmployeeData[Status], ROW() - 37), "")</f>
        <v/>
      </c>
    </row>
    <row r="2961" spans="2:10" ht="19.95" customHeight="1" x14ac:dyDescent="0.3">
      <c r="B2961" s="4" t="str" cm="1">
        <f t="array" ref="B2961">IFERROR(INDEX(EmployeeData[Employee ID], ROW() - 37), "")</f>
        <v/>
      </c>
      <c r="C2961" s="4" t="str" cm="1">
        <f t="array" ref="C2961">IFERROR(INDEX(EmployeeData[Full Name], ROW() - 37), "")</f>
        <v/>
      </c>
      <c r="D2961" s="4" t="str" cm="1">
        <f t="array" ref="D2961">IFERROR(INDEX(EmployeeData[Department], ROW() - 37), "")</f>
        <v/>
      </c>
      <c r="E2961" s="4" t="str" cm="1">
        <f t="array" ref="E2961">IFERROR(INDEX(EmployeeData[Gender], ROW() - 37), "")</f>
        <v/>
      </c>
      <c r="F2961" s="4" t="str" cm="1">
        <f t="array" ref="F2961">IFERROR(INDEX(EmployeeData[Age], ROW() - 37), "")</f>
        <v/>
      </c>
      <c r="G2961" s="6" t="str" cm="1">
        <f t="array" ref="G2961">IFERROR(INDEX(EmployeeData[Join Date], ROW() - 37), "")</f>
        <v/>
      </c>
      <c r="H2961" s="6" t="str" cm="1">
        <f t="array" ref="H2961">IFERROR(IF(INDEX(EmployeeData[Exit Date], ROW() - 37)=0, "",INDEX(EmployeeData[Exit Date], ROW() - 37)),"")</f>
        <v/>
      </c>
      <c r="I2961" s="4" t="str" cm="1">
        <f t="array" ref="I2961">IFERROR(IF(INDEX(EmployeeData[Exit Reason], ROW() - 37)=0, "",INDEX(EmployeeData[Exit Reason], ROW() - 37)),"")</f>
        <v/>
      </c>
      <c r="J2961" s="4" t="str" cm="1">
        <f t="array" ref="J2961">IFERROR(INDEX(EmployeeData[Status], ROW() - 37), "")</f>
        <v/>
      </c>
    </row>
    <row r="2962" spans="2:10" ht="19.95" customHeight="1" x14ac:dyDescent="0.3">
      <c r="B2962" s="4" t="str" cm="1">
        <f t="array" ref="B2962">IFERROR(INDEX(EmployeeData[Employee ID], ROW() - 37), "")</f>
        <v/>
      </c>
      <c r="C2962" s="4" t="str" cm="1">
        <f t="array" ref="C2962">IFERROR(INDEX(EmployeeData[Full Name], ROW() - 37), "")</f>
        <v/>
      </c>
      <c r="D2962" s="4" t="str" cm="1">
        <f t="array" ref="D2962">IFERROR(INDEX(EmployeeData[Department], ROW() - 37), "")</f>
        <v/>
      </c>
      <c r="E2962" s="4" t="str" cm="1">
        <f t="array" ref="E2962">IFERROR(INDEX(EmployeeData[Gender], ROW() - 37), "")</f>
        <v/>
      </c>
      <c r="F2962" s="4" t="str" cm="1">
        <f t="array" ref="F2962">IFERROR(INDEX(EmployeeData[Age], ROW() - 37), "")</f>
        <v/>
      </c>
      <c r="G2962" s="6" t="str" cm="1">
        <f t="array" ref="G2962">IFERROR(INDEX(EmployeeData[Join Date], ROW() - 37), "")</f>
        <v/>
      </c>
      <c r="H2962" s="6" t="str" cm="1">
        <f t="array" ref="H2962">IFERROR(IF(INDEX(EmployeeData[Exit Date], ROW() - 37)=0, "",INDEX(EmployeeData[Exit Date], ROW() - 37)),"")</f>
        <v/>
      </c>
      <c r="I2962" s="4" t="str" cm="1">
        <f t="array" ref="I2962">IFERROR(IF(INDEX(EmployeeData[Exit Reason], ROW() - 37)=0, "",INDEX(EmployeeData[Exit Reason], ROW() - 37)),"")</f>
        <v/>
      </c>
      <c r="J2962" s="4" t="str" cm="1">
        <f t="array" ref="J2962">IFERROR(INDEX(EmployeeData[Status], ROW() - 37), "")</f>
        <v/>
      </c>
    </row>
    <row r="2963" spans="2:10" ht="19.95" customHeight="1" x14ac:dyDescent="0.3">
      <c r="B2963" s="4" t="str" cm="1">
        <f t="array" ref="B2963">IFERROR(INDEX(EmployeeData[Employee ID], ROW() - 37), "")</f>
        <v/>
      </c>
      <c r="C2963" s="4" t="str" cm="1">
        <f t="array" ref="C2963">IFERROR(INDEX(EmployeeData[Full Name], ROW() - 37), "")</f>
        <v/>
      </c>
      <c r="D2963" s="4" t="str" cm="1">
        <f t="array" ref="D2963">IFERROR(INDEX(EmployeeData[Department], ROW() - 37), "")</f>
        <v/>
      </c>
      <c r="E2963" s="4" t="str" cm="1">
        <f t="array" ref="E2963">IFERROR(INDEX(EmployeeData[Gender], ROW() - 37), "")</f>
        <v/>
      </c>
      <c r="F2963" s="4" t="str" cm="1">
        <f t="array" ref="F2963">IFERROR(INDEX(EmployeeData[Age], ROW() - 37), "")</f>
        <v/>
      </c>
      <c r="G2963" s="6" t="str" cm="1">
        <f t="array" ref="G2963">IFERROR(INDEX(EmployeeData[Join Date], ROW() - 37), "")</f>
        <v/>
      </c>
      <c r="H2963" s="6" t="str" cm="1">
        <f t="array" ref="H2963">IFERROR(IF(INDEX(EmployeeData[Exit Date], ROW() - 37)=0, "",INDEX(EmployeeData[Exit Date], ROW() - 37)),"")</f>
        <v/>
      </c>
      <c r="I2963" s="4" t="str" cm="1">
        <f t="array" ref="I2963">IFERROR(IF(INDEX(EmployeeData[Exit Reason], ROW() - 37)=0, "",INDEX(EmployeeData[Exit Reason], ROW() - 37)),"")</f>
        <v/>
      </c>
      <c r="J2963" s="4" t="str" cm="1">
        <f t="array" ref="J2963">IFERROR(INDEX(EmployeeData[Status], ROW() - 37), "")</f>
        <v/>
      </c>
    </row>
    <row r="2964" spans="2:10" ht="19.95" customHeight="1" x14ac:dyDescent="0.3">
      <c r="B2964" s="4" t="str" cm="1">
        <f t="array" ref="B2964">IFERROR(INDEX(EmployeeData[Employee ID], ROW() - 37), "")</f>
        <v/>
      </c>
      <c r="C2964" s="4" t="str" cm="1">
        <f t="array" ref="C2964">IFERROR(INDEX(EmployeeData[Full Name], ROW() - 37), "")</f>
        <v/>
      </c>
      <c r="D2964" s="4" t="str" cm="1">
        <f t="array" ref="D2964">IFERROR(INDEX(EmployeeData[Department], ROW() - 37), "")</f>
        <v/>
      </c>
      <c r="E2964" s="4" t="str" cm="1">
        <f t="array" ref="E2964">IFERROR(INDEX(EmployeeData[Gender], ROW() - 37), "")</f>
        <v/>
      </c>
      <c r="F2964" s="4" t="str" cm="1">
        <f t="array" ref="F2964">IFERROR(INDEX(EmployeeData[Age], ROW() - 37), "")</f>
        <v/>
      </c>
      <c r="G2964" s="6" t="str" cm="1">
        <f t="array" ref="G2964">IFERROR(INDEX(EmployeeData[Join Date], ROW() - 37), "")</f>
        <v/>
      </c>
      <c r="H2964" s="6" t="str" cm="1">
        <f t="array" ref="H2964">IFERROR(IF(INDEX(EmployeeData[Exit Date], ROW() - 37)=0, "",INDEX(EmployeeData[Exit Date], ROW() - 37)),"")</f>
        <v/>
      </c>
      <c r="I2964" s="4" t="str" cm="1">
        <f t="array" ref="I2964">IFERROR(IF(INDEX(EmployeeData[Exit Reason], ROW() - 37)=0, "",INDEX(EmployeeData[Exit Reason], ROW() - 37)),"")</f>
        <v/>
      </c>
      <c r="J2964" s="4" t="str" cm="1">
        <f t="array" ref="J2964">IFERROR(INDEX(EmployeeData[Status], ROW() - 37), "")</f>
        <v/>
      </c>
    </row>
    <row r="2965" spans="2:10" ht="19.95" customHeight="1" x14ac:dyDescent="0.3">
      <c r="B2965" s="4" t="str" cm="1">
        <f t="array" ref="B2965">IFERROR(INDEX(EmployeeData[Employee ID], ROW() - 37), "")</f>
        <v/>
      </c>
      <c r="C2965" s="4" t="str" cm="1">
        <f t="array" ref="C2965">IFERROR(INDEX(EmployeeData[Full Name], ROW() - 37), "")</f>
        <v/>
      </c>
      <c r="D2965" s="4" t="str" cm="1">
        <f t="array" ref="D2965">IFERROR(INDEX(EmployeeData[Department], ROW() - 37), "")</f>
        <v/>
      </c>
      <c r="E2965" s="4" t="str" cm="1">
        <f t="array" ref="E2965">IFERROR(INDEX(EmployeeData[Gender], ROW() - 37), "")</f>
        <v/>
      </c>
      <c r="F2965" s="4" t="str" cm="1">
        <f t="array" ref="F2965">IFERROR(INDEX(EmployeeData[Age], ROW() - 37), "")</f>
        <v/>
      </c>
      <c r="G2965" s="6" t="str" cm="1">
        <f t="array" ref="G2965">IFERROR(INDEX(EmployeeData[Join Date], ROW() - 37), "")</f>
        <v/>
      </c>
      <c r="H2965" s="6" t="str" cm="1">
        <f t="array" ref="H2965">IFERROR(IF(INDEX(EmployeeData[Exit Date], ROW() - 37)=0, "",INDEX(EmployeeData[Exit Date], ROW() - 37)),"")</f>
        <v/>
      </c>
      <c r="I2965" s="4" t="str" cm="1">
        <f t="array" ref="I2965">IFERROR(IF(INDEX(EmployeeData[Exit Reason], ROW() - 37)=0, "",INDEX(EmployeeData[Exit Reason], ROW() - 37)),"")</f>
        <v/>
      </c>
      <c r="J2965" s="4" t="str" cm="1">
        <f t="array" ref="J2965">IFERROR(INDEX(EmployeeData[Status], ROW() - 37), "")</f>
        <v/>
      </c>
    </row>
    <row r="2966" spans="2:10" ht="19.95" customHeight="1" x14ac:dyDescent="0.3">
      <c r="B2966" s="4" t="str" cm="1">
        <f t="array" ref="B2966">IFERROR(INDEX(EmployeeData[Employee ID], ROW() - 37), "")</f>
        <v/>
      </c>
      <c r="C2966" s="4" t="str" cm="1">
        <f t="array" ref="C2966">IFERROR(INDEX(EmployeeData[Full Name], ROW() - 37), "")</f>
        <v/>
      </c>
      <c r="D2966" s="4" t="str" cm="1">
        <f t="array" ref="D2966">IFERROR(INDEX(EmployeeData[Department], ROW() - 37), "")</f>
        <v/>
      </c>
      <c r="E2966" s="4" t="str" cm="1">
        <f t="array" ref="E2966">IFERROR(INDEX(EmployeeData[Gender], ROW() - 37), "")</f>
        <v/>
      </c>
      <c r="F2966" s="4" t="str" cm="1">
        <f t="array" ref="F2966">IFERROR(INDEX(EmployeeData[Age], ROW() - 37), "")</f>
        <v/>
      </c>
      <c r="G2966" s="6" t="str" cm="1">
        <f t="array" ref="G2966">IFERROR(INDEX(EmployeeData[Join Date], ROW() - 37), "")</f>
        <v/>
      </c>
      <c r="H2966" s="6" t="str" cm="1">
        <f t="array" ref="H2966">IFERROR(IF(INDEX(EmployeeData[Exit Date], ROW() - 37)=0, "",INDEX(EmployeeData[Exit Date], ROW() - 37)),"")</f>
        <v/>
      </c>
      <c r="I2966" s="4" t="str" cm="1">
        <f t="array" ref="I2966">IFERROR(IF(INDEX(EmployeeData[Exit Reason], ROW() - 37)=0, "",INDEX(EmployeeData[Exit Reason], ROW() - 37)),"")</f>
        <v/>
      </c>
      <c r="J2966" s="4" t="str" cm="1">
        <f t="array" ref="J2966">IFERROR(INDEX(EmployeeData[Status], ROW() - 37), "")</f>
        <v/>
      </c>
    </row>
    <row r="2967" spans="2:10" ht="19.95" customHeight="1" x14ac:dyDescent="0.3">
      <c r="B2967" s="4" t="str" cm="1">
        <f t="array" ref="B2967">IFERROR(INDEX(EmployeeData[Employee ID], ROW() - 37), "")</f>
        <v/>
      </c>
      <c r="C2967" s="4" t="str" cm="1">
        <f t="array" ref="C2967">IFERROR(INDEX(EmployeeData[Full Name], ROW() - 37), "")</f>
        <v/>
      </c>
      <c r="D2967" s="4" t="str" cm="1">
        <f t="array" ref="D2967">IFERROR(INDEX(EmployeeData[Department], ROW() - 37), "")</f>
        <v/>
      </c>
      <c r="E2967" s="4" t="str" cm="1">
        <f t="array" ref="E2967">IFERROR(INDEX(EmployeeData[Gender], ROW() - 37), "")</f>
        <v/>
      </c>
      <c r="F2967" s="4" t="str" cm="1">
        <f t="array" ref="F2967">IFERROR(INDEX(EmployeeData[Age], ROW() - 37), "")</f>
        <v/>
      </c>
      <c r="G2967" s="6" t="str" cm="1">
        <f t="array" ref="G2967">IFERROR(INDEX(EmployeeData[Join Date], ROW() - 37), "")</f>
        <v/>
      </c>
      <c r="H2967" s="6" t="str" cm="1">
        <f t="array" ref="H2967">IFERROR(IF(INDEX(EmployeeData[Exit Date], ROW() - 37)=0, "",INDEX(EmployeeData[Exit Date], ROW() - 37)),"")</f>
        <v/>
      </c>
      <c r="I2967" s="4" t="str" cm="1">
        <f t="array" ref="I2967">IFERROR(IF(INDEX(EmployeeData[Exit Reason], ROW() - 37)=0, "",INDEX(EmployeeData[Exit Reason], ROW() - 37)),"")</f>
        <v/>
      </c>
      <c r="J2967" s="4" t="str" cm="1">
        <f t="array" ref="J2967">IFERROR(INDEX(EmployeeData[Status], ROW() - 37), "")</f>
        <v/>
      </c>
    </row>
    <row r="2968" spans="2:10" ht="19.95" customHeight="1" x14ac:dyDescent="0.3">
      <c r="B2968" s="4" t="str" cm="1">
        <f t="array" ref="B2968">IFERROR(INDEX(EmployeeData[Employee ID], ROW() - 37), "")</f>
        <v/>
      </c>
      <c r="C2968" s="4" t="str" cm="1">
        <f t="array" ref="C2968">IFERROR(INDEX(EmployeeData[Full Name], ROW() - 37), "")</f>
        <v/>
      </c>
      <c r="D2968" s="4" t="str" cm="1">
        <f t="array" ref="D2968">IFERROR(INDEX(EmployeeData[Department], ROW() - 37), "")</f>
        <v/>
      </c>
      <c r="E2968" s="4" t="str" cm="1">
        <f t="array" ref="E2968">IFERROR(INDEX(EmployeeData[Gender], ROW() - 37), "")</f>
        <v/>
      </c>
      <c r="F2968" s="4" t="str" cm="1">
        <f t="array" ref="F2968">IFERROR(INDEX(EmployeeData[Age], ROW() - 37), "")</f>
        <v/>
      </c>
      <c r="G2968" s="6" t="str" cm="1">
        <f t="array" ref="G2968">IFERROR(INDEX(EmployeeData[Join Date], ROW() - 37), "")</f>
        <v/>
      </c>
      <c r="H2968" s="6" t="str" cm="1">
        <f t="array" ref="H2968">IFERROR(IF(INDEX(EmployeeData[Exit Date], ROW() - 37)=0, "",INDEX(EmployeeData[Exit Date], ROW() - 37)),"")</f>
        <v/>
      </c>
      <c r="I2968" s="4" t="str" cm="1">
        <f t="array" ref="I2968">IFERROR(IF(INDEX(EmployeeData[Exit Reason], ROW() - 37)=0, "",INDEX(EmployeeData[Exit Reason], ROW() - 37)),"")</f>
        <v/>
      </c>
      <c r="J2968" s="4" t="str" cm="1">
        <f t="array" ref="J2968">IFERROR(INDEX(EmployeeData[Status], ROW() - 37), "")</f>
        <v/>
      </c>
    </row>
    <row r="2969" spans="2:10" ht="19.95" customHeight="1" x14ac:dyDescent="0.3">
      <c r="B2969" s="4" t="str" cm="1">
        <f t="array" ref="B2969">IFERROR(INDEX(EmployeeData[Employee ID], ROW() - 37), "")</f>
        <v/>
      </c>
      <c r="C2969" s="4" t="str" cm="1">
        <f t="array" ref="C2969">IFERROR(INDEX(EmployeeData[Full Name], ROW() - 37), "")</f>
        <v/>
      </c>
      <c r="D2969" s="4" t="str" cm="1">
        <f t="array" ref="D2969">IFERROR(INDEX(EmployeeData[Department], ROW() - 37), "")</f>
        <v/>
      </c>
      <c r="E2969" s="4" t="str" cm="1">
        <f t="array" ref="E2969">IFERROR(INDEX(EmployeeData[Gender], ROW() - 37), "")</f>
        <v/>
      </c>
      <c r="F2969" s="4" t="str" cm="1">
        <f t="array" ref="F2969">IFERROR(INDEX(EmployeeData[Age], ROW() - 37), "")</f>
        <v/>
      </c>
      <c r="G2969" s="6" t="str" cm="1">
        <f t="array" ref="G2969">IFERROR(INDEX(EmployeeData[Join Date], ROW() - 37), "")</f>
        <v/>
      </c>
      <c r="H2969" s="6" t="str" cm="1">
        <f t="array" ref="H2969">IFERROR(IF(INDEX(EmployeeData[Exit Date], ROW() - 37)=0, "",INDEX(EmployeeData[Exit Date], ROW() - 37)),"")</f>
        <v/>
      </c>
      <c r="I2969" s="4" t="str" cm="1">
        <f t="array" ref="I2969">IFERROR(IF(INDEX(EmployeeData[Exit Reason], ROW() - 37)=0, "",INDEX(EmployeeData[Exit Reason], ROW() - 37)),"")</f>
        <v/>
      </c>
      <c r="J2969" s="4" t="str" cm="1">
        <f t="array" ref="J2969">IFERROR(INDEX(EmployeeData[Status], ROW() - 37), "")</f>
        <v/>
      </c>
    </row>
    <row r="2970" spans="2:10" ht="19.95" customHeight="1" x14ac:dyDescent="0.3">
      <c r="B2970" s="4" t="str" cm="1">
        <f t="array" ref="B2970">IFERROR(INDEX(EmployeeData[Employee ID], ROW() - 37), "")</f>
        <v/>
      </c>
      <c r="C2970" s="4" t="str" cm="1">
        <f t="array" ref="C2970">IFERROR(INDEX(EmployeeData[Full Name], ROW() - 37), "")</f>
        <v/>
      </c>
      <c r="D2970" s="4" t="str" cm="1">
        <f t="array" ref="D2970">IFERROR(INDEX(EmployeeData[Department], ROW() - 37), "")</f>
        <v/>
      </c>
      <c r="E2970" s="4" t="str" cm="1">
        <f t="array" ref="E2970">IFERROR(INDEX(EmployeeData[Gender], ROW() - 37), "")</f>
        <v/>
      </c>
      <c r="F2970" s="4" t="str" cm="1">
        <f t="array" ref="F2970">IFERROR(INDEX(EmployeeData[Age], ROW() - 37), "")</f>
        <v/>
      </c>
      <c r="G2970" s="6" t="str" cm="1">
        <f t="array" ref="G2970">IFERROR(INDEX(EmployeeData[Join Date], ROW() - 37), "")</f>
        <v/>
      </c>
      <c r="H2970" s="6" t="str" cm="1">
        <f t="array" ref="H2970">IFERROR(IF(INDEX(EmployeeData[Exit Date], ROW() - 37)=0, "",INDEX(EmployeeData[Exit Date], ROW() - 37)),"")</f>
        <v/>
      </c>
      <c r="I2970" s="4" t="str" cm="1">
        <f t="array" ref="I2970">IFERROR(IF(INDEX(EmployeeData[Exit Reason], ROW() - 37)=0, "",INDEX(EmployeeData[Exit Reason], ROW() - 37)),"")</f>
        <v/>
      </c>
      <c r="J2970" s="4" t="str" cm="1">
        <f t="array" ref="J2970">IFERROR(INDEX(EmployeeData[Status], ROW() - 37), "")</f>
        <v/>
      </c>
    </row>
    <row r="2971" spans="2:10" ht="19.95" customHeight="1" x14ac:dyDescent="0.3">
      <c r="B2971" s="4" t="str" cm="1">
        <f t="array" ref="B2971">IFERROR(INDEX(EmployeeData[Employee ID], ROW() - 37), "")</f>
        <v/>
      </c>
      <c r="C2971" s="4" t="str" cm="1">
        <f t="array" ref="C2971">IFERROR(INDEX(EmployeeData[Full Name], ROW() - 37), "")</f>
        <v/>
      </c>
      <c r="D2971" s="4" t="str" cm="1">
        <f t="array" ref="D2971">IFERROR(INDEX(EmployeeData[Department], ROW() - 37), "")</f>
        <v/>
      </c>
      <c r="E2971" s="4" t="str" cm="1">
        <f t="array" ref="E2971">IFERROR(INDEX(EmployeeData[Gender], ROW() - 37), "")</f>
        <v/>
      </c>
      <c r="F2971" s="4" t="str" cm="1">
        <f t="array" ref="F2971">IFERROR(INDEX(EmployeeData[Age], ROW() - 37), "")</f>
        <v/>
      </c>
      <c r="G2971" s="6" t="str" cm="1">
        <f t="array" ref="G2971">IFERROR(INDEX(EmployeeData[Join Date], ROW() - 37), "")</f>
        <v/>
      </c>
      <c r="H2971" s="6" t="str" cm="1">
        <f t="array" ref="H2971">IFERROR(IF(INDEX(EmployeeData[Exit Date], ROW() - 37)=0, "",INDEX(EmployeeData[Exit Date], ROW() - 37)),"")</f>
        <v/>
      </c>
      <c r="I2971" s="4" t="str" cm="1">
        <f t="array" ref="I2971">IFERROR(IF(INDEX(EmployeeData[Exit Reason], ROW() - 37)=0, "",INDEX(EmployeeData[Exit Reason], ROW() - 37)),"")</f>
        <v/>
      </c>
      <c r="J2971" s="4" t="str" cm="1">
        <f t="array" ref="J2971">IFERROR(INDEX(EmployeeData[Status], ROW() - 37), "")</f>
        <v/>
      </c>
    </row>
    <row r="2972" spans="2:10" ht="19.95" customHeight="1" x14ac:dyDescent="0.3">
      <c r="B2972" s="4" t="str" cm="1">
        <f t="array" ref="B2972">IFERROR(INDEX(EmployeeData[Employee ID], ROW() - 37), "")</f>
        <v/>
      </c>
      <c r="C2972" s="4" t="str" cm="1">
        <f t="array" ref="C2972">IFERROR(INDEX(EmployeeData[Full Name], ROW() - 37), "")</f>
        <v/>
      </c>
      <c r="D2972" s="4" t="str" cm="1">
        <f t="array" ref="D2972">IFERROR(INDEX(EmployeeData[Department], ROW() - 37), "")</f>
        <v/>
      </c>
      <c r="E2972" s="4" t="str" cm="1">
        <f t="array" ref="E2972">IFERROR(INDEX(EmployeeData[Gender], ROW() - 37), "")</f>
        <v/>
      </c>
      <c r="F2972" s="4" t="str" cm="1">
        <f t="array" ref="F2972">IFERROR(INDEX(EmployeeData[Age], ROW() - 37), "")</f>
        <v/>
      </c>
      <c r="G2972" s="6" t="str" cm="1">
        <f t="array" ref="G2972">IFERROR(INDEX(EmployeeData[Join Date], ROW() - 37), "")</f>
        <v/>
      </c>
      <c r="H2972" s="6" t="str" cm="1">
        <f t="array" ref="H2972">IFERROR(IF(INDEX(EmployeeData[Exit Date], ROW() - 37)=0, "",INDEX(EmployeeData[Exit Date], ROW() - 37)),"")</f>
        <v/>
      </c>
      <c r="I2972" s="4" t="str" cm="1">
        <f t="array" ref="I2972">IFERROR(IF(INDEX(EmployeeData[Exit Reason], ROW() - 37)=0, "",INDEX(EmployeeData[Exit Reason], ROW() - 37)),"")</f>
        <v/>
      </c>
      <c r="J2972" s="4" t="str" cm="1">
        <f t="array" ref="J2972">IFERROR(INDEX(EmployeeData[Status], ROW() - 37), "")</f>
        <v/>
      </c>
    </row>
    <row r="2973" spans="2:10" ht="19.95" customHeight="1" x14ac:dyDescent="0.3">
      <c r="B2973" s="4" t="str" cm="1">
        <f t="array" ref="B2973">IFERROR(INDEX(EmployeeData[Employee ID], ROW() - 37), "")</f>
        <v/>
      </c>
      <c r="C2973" s="4" t="str" cm="1">
        <f t="array" ref="C2973">IFERROR(INDEX(EmployeeData[Full Name], ROW() - 37), "")</f>
        <v/>
      </c>
      <c r="D2973" s="4" t="str" cm="1">
        <f t="array" ref="D2973">IFERROR(INDEX(EmployeeData[Department], ROW() - 37), "")</f>
        <v/>
      </c>
      <c r="E2973" s="4" t="str" cm="1">
        <f t="array" ref="E2973">IFERROR(INDEX(EmployeeData[Gender], ROW() - 37), "")</f>
        <v/>
      </c>
      <c r="F2973" s="4" t="str" cm="1">
        <f t="array" ref="F2973">IFERROR(INDEX(EmployeeData[Age], ROW() - 37), "")</f>
        <v/>
      </c>
      <c r="G2973" s="6" t="str" cm="1">
        <f t="array" ref="G2973">IFERROR(INDEX(EmployeeData[Join Date], ROW() - 37), "")</f>
        <v/>
      </c>
      <c r="H2973" s="6" t="str" cm="1">
        <f t="array" ref="H2973">IFERROR(IF(INDEX(EmployeeData[Exit Date], ROW() - 37)=0, "",INDEX(EmployeeData[Exit Date], ROW() - 37)),"")</f>
        <v/>
      </c>
      <c r="I2973" s="4" t="str" cm="1">
        <f t="array" ref="I2973">IFERROR(IF(INDEX(EmployeeData[Exit Reason], ROW() - 37)=0, "",INDEX(EmployeeData[Exit Reason], ROW() - 37)),"")</f>
        <v/>
      </c>
      <c r="J2973" s="4" t="str" cm="1">
        <f t="array" ref="J2973">IFERROR(INDEX(EmployeeData[Status], ROW() - 37), "")</f>
        <v/>
      </c>
    </row>
    <row r="2974" spans="2:10" ht="19.95" customHeight="1" x14ac:dyDescent="0.3">
      <c r="B2974" s="4" t="str" cm="1">
        <f t="array" ref="B2974">IFERROR(INDEX(EmployeeData[Employee ID], ROW() - 37), "")</f>
        <v/>
      </c>
      <c r="C2974" s="4" t="str" cm="1">
        <f t="array" ref="C2974">IFERROR(INDEX(EmployeeData[Full Name], ROW() - 37), "")</f>
        <v/>
      </c>
      <c r="D2974" s="4" t="str" cm="1">
        <f t="array" ref="D2974">IFERROR(INDEX(EmployeeData[Department], ROW() - 37), "")</f>
        <v/>
      </c>
      <c r="E2974" s="4" t="str" cm="1">
        <f t="array" ref="E2974">IFERROR(INDEX(EmployeeData[Gender], ROW() - 37), "")</f>
        <v/>
      </c>
      <c r="F2974" s="4" t="str" cm="1">
        <f t="array" ref="F2974">IFERROR(INDEX(EmployeeData[Age], ROW() - 37), "")</f>
        <v/>
      </c>
      <c r="G2974" s="6" t="str" cm="1">
        <f t="array" ref="G2974">IFERROR(INDEX(EmployeeData[Join Date], ROW() - 37), "")</f>
        <v/>
      </c>
      <c r="H2974" s="6" t="str" cm="1">
        <f t="array" ref="H2974">IFERROR(IF(INDEX(EmployeeData[Exit Date], ROW() - 37)=0, "",INDEX(EmployeeData[Exit Date], ROW() - 37)),"")</f>
        <v/>
      </c>
      <c r="I2974" s="4" t="str" cm="1">
        <f t="array" ref="I2974">IFERROR(IF(INDEX(EmployeeData[Exit Reason], ROW() - 37)=0, "",INDEX(EmployeeData[Exit Reason], ROW() - 37)),"")</f>
        <v/>
      </c>
      <c r="J2974" s="4" t="str" cm="1">
        <f t="array" ref="J2974">IFERROR(INDEX(EmployeeData[Status], ROW() - 37), "")</f>
        <v/>
      </c>
    </row>
    <row r="2975" spans="2:10" ht="19.95" customHeight="1" x14ac:dyDescent="0.3">
      <c r="B2975" s="4" t="str" cm="1">
        <f t="array" ref="B2975">IFERROR(INDEX(EmployeeData[Employee ID], ROW() - 37), "")</f>
        <v/>
      </c>
      <c r="C2975" s="4" t="str" cm="1">
        <f t="array" ref="C2975">IFERROR(INDEX(EmployeeData[Full Name], ROW() - 37), "")</f>
        <v/>
      </c>
      <c r="D2975" s="4" t="str" cm="1">
        <f t="array" ref="D2975">IFERROR(INDEX(EmployeeData[Department], ROW() - 37), "")</f>
        <v/>
      </c>
      <c r="E2975" s="4" t="str" cm="1">
        <f t="array" ref="E2975">IFERROR(INDEX(EmployeeData[Gender], ROW() - 37), "")</f>
        <v/>
      </c>
      <c r="F2975" s="4" t="str" cm="1">
        <f t="array" ref="F2975">IFERROR(INDEX(EmployeeData[Age], ROW() - 37), "")</f>
        <v/>
      </c>
      <c r="G2975" s="6" t="str" cm="1">
        <f t="array" ref="G2975">IFERROR(INDEX(EmployeeData[Join Date], ROW() - 37), "")</f>
        <v/>
      </c>
      <c r="H2975" s="6" t="str" cm="1">
        <f t="array" ref="H2975">IFERROR(IF(INDEX(EmployeeData[Exit Date], ROW() - 37)=0, "",INDEX(EmployeeData[Exit Date], ROW() - 37)),"")</f>
        <v/>
      </c>
      <c r="I2975" s="4" t="str" cm="1">
        <f t="array" ref="I2975">IFERROR(IF(INDEX(EmployeeData[Exit Reason], ROW() - 37)=0, "",INDEX(EmployeeData[Exit Reason], ROW() - 37)),"")</f>
        <v/>
      </c>
      <c r="J2975" s="4" t="str" cm="1">
        <f t="array" ref="J2975">IFERROR(INDEX(EmployeeData[Status], ROW() - 37), "")</f>
        <v/>
      </c>
    </row>
    <row r="2976" spans="2:10" ht="19.95" customHeight="1" x14ac:dyDescent="0.3">
      <c r="B2976" s="4" t="str" cm="1">
        <f t="array" ref="B2976">IFERROR(INDEX(EmployeeData[Employee ID], ROW() - 37), "")</f>
        <v/>
      </c>
      <c r="C2976" s="4" t="str" cm="1">
        <f t="array" ref="C2976">IFERROR(INDEX(EmployeeData[Full Name], ROW() - 37), "")</f>
        <v/>
      </c>
      <c r="D2976" s="4" t="str" cm="1">
        <f t="array" ref="D2976">IFERROR(INDEX(EmployeeData[Department], ROW() - 37), "")</f>
        <v/>
      </c>
      <c r="E2976" s="4" t="str" cm="1">
        <f t="array" ref="E2976">IFERROR(INDEX(EmployeeData[Gender], ROW() - 37), "")</f>
        <v/>
      </c>
      <c r="F2976" s="4" t="str" cm="1">
        <f t="array" ref="F2976">IFERROR(INDEX(EmployeeData[Age], ROW() - 37), "")</f>
        <v/>
      </c>
      <c r="G2976" s="6" t="str" cm="1">
        <f t="array" ref="G2976">IFERROR(INDEX(EmployeeData[Join Date], ROW() - 37), "")</f>
        <v/>
      </c>
      <c r="H2976" s="6" t="str" cm="1">
        <f t="array" ref="H2976">IFERROR(IF(INDEX(EmployeeData[Exit Date], ROW() - 37)=0, "",INDEX(EmployeeData[Exit Date], ROW() - 37)),"")</f>
        <v/>
      </c>
      <c r="I2976" s="4" t="str" cm="1">
        <f t="array" ref="I2976">IFERROR(IF(INDEX(EmployeeData[Exit Reason], ROW() - 37)=0, "",INDEX(EmployeeData[Exit Reason], ROW() - 37)),"")</f>
        <v/>
      </c>
      <c r="J2976" s="4" t="str" cm="1">
        <f t="array" ref="J2976">IFERROR(INDEX(EmployeeData[Status], ROW() - 37), "")</f>
        <v/>
      </c>
    </row>
    <row r="2977" spans="2:10" ht="19.95" customHeight="1" x14ac:dyDescent="0.3">
      <c r="B2977" s="4" t="str" cm="1">
        <f t="array" ref="B2977">IFERROR(INDEX(EmployeeData[Employee ID], ROW() - 37), "")</f>
        <v/>
      </c>
      <c r="C2977" s="4" t="str" cm="1">
        <f t="array" ref="C2977">IFERROR(INDEX(EmployeeData[Full Name], ROW() - 37), "")</f>
        <v/>
      </c>
      <c r="D2977" s="4" t="str" cm="1">
        <f t="array" ref="D2977">IFERROR(INDEX(EmployeeData[Department], ROW() - 37), "")</f>
        <v/>
      </c>
      <c r="E2977" s="4" t="str" cm="1">
        <f t="array" ref="E2977">IFERROR(INDEX(EmployeeData[Gender], ROW() - 37), "")</f>
        <v/>
      </c>
      <c r="F2977" s="4" t="str" cm="1">
        <f t="array" ref="F2977">IFERROR(INDEX(EmployeeData[Age], ROW() - 37), "")</f>
        <v/>
      </c>
      <c r="G2977" s="6" t="str" cm="1">
        <f t="array" ref="G2977">IFERROR(INDEX(EmployeeData[Join Date], ROW() - 37), "")</f>
        <v/>
      </c>
      <c r="H2977" s="6" t="str" cm="1">
        <f t="array" ref="H2977">IFERROR(IF(INDEX(EmployeeData[Exit Date], ROW() - 37)=0, "",INDEX(EmployeeData[Exit Date], ROW() - 37)),"")</f>
        <v/>
      </c>
      <c r="I2977" s="4" t="str" cm="1">
        <f t="array" ref="I2977">IFERROR(IF(INDEX(EmployeeData[Exit Reason], ROW() - 37)=0, "",INDEX(EmployeeData[Exit Reason], ROW() - 37)),"")</f>
        <v/>
      </c>
      <c r="J2977" s="4" t="str" cm="1">
        <f t="array" ref="J2977">IFERROR(INDEX(EmployeeData[Status], ROW() - 37), "")</f>
        <v/>
      </c>
    </row>
    <row r="2978" spans="2:10" ht="19.95" customHeight="1" x14ac:dyDescent="0.3">
      <c r="B2978" s="4" t="str" cm="1">
        <f t="array" ref="B2978">IFERROR(INDEX(EmployeeData[Employee ID], ROW() - 37), "")</f>
        <v/>
      </c>
      <c r="C2978" s="4" t="str" cm="1">
        <f t="array" ref="C2978">IFERROR(INDEX(EmployeeData[Full Name], ROW() - 37), "")</f>
        <v/>
      </c>
      <c r="D2978" s="4" t="str" cm="1">
        <f t="array" ref="D2978">IFERROR(INDEX(EmployeeData[Department], ROW() - 37), "")</f>
        <v/>
      </c>
      <c r="E2978" s="4" t="str" cm="1">
        <f t="array" ref="E2978">IFERROR(INDEX(EmployeeData[Gender], ROW() - 37), "")</f>
        <v/>
      </c>
      <c r="F2978" s="4" t="str" cm="1">
        <f t="array" ref="F2978">IFERROR(INDEX(EmployeeData[Age], ROW() - 37), "")</f>
        <v/>
      </c>
      <c r="G2978" s="6" t="str" cm="1">
        <f t="array" ref="G2978">IFERROR(INDEX(EmployeeData[Join Date], ROW() - 37), "")</f>
        <v/>
      </c>
      <c r="H2978" s="6" t="str" cm="1">
        <f t="array" ref="H2978">IFERROR(IF(INDEX(EmployeeData[Exit Date], ROW() - 37)=0, "",INDEX(EmployeeData[Exit Date], ROW() - 37)),"")</f>
        <v/>
      </c>
      <c r="I2978" s="4" t="str" cm="1">
        <f t="array" ref="I2978">IFERROR(IF(INDEX(EmployeeData[Exit Reason], ROW() - 37)=0, "",INDEX(EmployeeData[Exit Reason], ROW() - 37)),"")</f>
        <v/>
      </c>
      <c r="J2978" s="4" t="str" cm="1">
        <f t="array" ref="J2978">IFERROR(INDEX(EmployeeData[Status], ROW() - 37), "")</f>
        <v/>
      </c>
    </row>
    <row r="2979" spans="2:10" ht="19.95" customHeight="1" x14ac:dyDescent="0.3">
      <c r="B2979" s="4" t="str" cm="1">
        <f t="array" ref="B2979">IFERROR(INDEX(EmployeeData[Employee ID], ROW() - 37), "")</f>
        <v/>
      </c>
      <c r="C2979" s="4" t="str" cm="1">
        <f t="array" ref="C2979">IFERROR(INDEX(EmployeeData[Full Name], ROW() - 37), "")</f>
        <v/>
      </c>
      <c r="D2979" s="4" t="str" cm="1">
        <f t="array" ref="D2979">IFERROR(INDEX(EmployeeData[Department], ROW() - 37), "")</f>
        <v/>
      </c>
      <c r="E2979" s="4" t="str" cm="1">
        <f t="array" ref="E2979">IFERROR(INDEX(EmployeeData[Gender], ROW() - 37), "")</f>
        <v/>
      </c>
      <c r="F2979" s="4" t="str" cm="1">
        <f t="array" ref="F2979">IFERROR(INDEX(EmployeeData[Age], ROW() - 37), "")</f>
        <v/>
      </c>
      <c r="G2979" s="6" t="str" cm="1">
        <f t="array" ref="G2979">IFERROR(INDEX(EmployeeData[Join Date], ROW() - 37), "")</f>
        <v/>
      </c>
      <c r="H2979" s="6" t="str" cm="1">
        <f t="array" ref="H2979">IFERROR(IF(INDEX(EmployeeData[Exit Date], ROW() - 37)=0, "",INDEX(EmployeeData[Exit Date], ROW() - 37)),"")</f>
        <v/>
      </c>
      <c r="I2979" s="4" t="str" cm="1">
        <f t="array" ref="I2979">IFERROR(IF(INDEX(EmployeeData[Exit Reason], ROW() - 37)=0, "",INDEX(EmployeeData[Exit Reason], ROW() - 37)),"")</f>
        <v/>
      </c>
      <c r="J2979" s="4" t="str" cm="1">
        <f t="array" ref="J2979">IFERROR(INDEX(EmployeeData[Status], ROW() - 37), "")</f>
        <v/>
      </c>
    </row>
    <row r="2980" spans="2:10" ht="19.95" customHeight="1" x14ac:dyDescent="0.3">
      <c r="B2980" s="4" t="str" cm="1">
        <f t="array" ref="B2980">IFERROR(INDEX(EmployeeData[Employee ID], ROW() - 37), "")</f>
        <v/>
      </c>
      <c r="C2980" s="4" t="str" cm="1">
        <f t="array" ref="C2980">IFERROR(INDEX(EmployeeData[Full Name], ROW() - 37), "")</f>
        <v/>
      </c>
      <c r="D2980" s="4" t="str" cm="1">
        <f t="array" ref="D2980">IFERROR(INDEX(EmployeeData[Department], ROW() - 37), "")</f>
        <v/>
      </c>
      <c r="E2980" s="4" t="str" cm="1">
        <f t="array" ref="E2980">IFERROR(INDEX(EmployeeData[Gender], ROW() - 37), "")</f>
        <v/>
      </c>
      <c r="F2980" s="4" t="str" cm="1">
        <f t="array" ref="F2980">IFERROR(INDEX(EmployeeData[Age], ROW() - 37), "")</f>
        <v/>
      </c>
      <c r="G2980" s="6" t="str" cm="1">
        <f t="array" ref="G2980">IFERROR(INDEX(EmployeeData[Join Date], ROW() - 37), "")</f>
        <v/>
      </c>
      <c r="H2980" s="6" t="str" cm="1">
        <f t="array" ref="H2980">IFERROR(IF(INDEX(EmployeeData[Exit Date], ROW() - 37)=0, "",INDEX(EmployeeData[Exit Date], ROW() - 37)),"")</f>
        <v/>
      </c>
      <c r="I2980" s="4" t="str" cm="1">
        <f t="array" ref="I2980">IFERROR(IF(INDEX(EmployeeData[Exit Reason], ROW() - 37)=0, "",INDEX(EmployeeData[Exit Reason], ROW() - 37)),"")</f>
        <v/>
      </c>
      <c r="J2980" s="4" t="str" cm="1">
        <f t="array" ref="J2980">IFERROR(INDEX(EmployeeData[Status], ROW() - 37), "")</f>
        <v/>
      </c>
    </row>
    <row r="2981" spans="2:10" ht="19.95" customHeight="1" x14ac:dyDescent="0.3">
      <c r="B2981" s="4" t="str" cm="1">
        <f t="array" ref="B2981">IFERROR(INDEX(EmployeeData[Employee ID], ROW() - 37), "")</f>
        <v/>
      </c>
      <c r="C2981" s="4" t="str" cm="1">
        <f t="array" ref="C2981">IFERROR(INDEX(EmployeeData[Full Name], ROW() - 37), "")</f>
        <v/>
      </c>
      <c r="D2981" s="4" t="str" cm="1">
        <f t="array" ref="D2981">IFERROR(INDEX(EmployeeData[Department], ROW() - 37), "")</f>
        <v/>
      </c>
      <c r="E2981" s="4" t="str" cm="1">
        <f t="array" ref="E2981">IFERROR(INDEX(EmployeeData[Gender], ROW() - 37), "")</f>
        <v/>
      </c>
      <c r="F2981" s="4" t="str" cm="1">
        <f t="array" ref="F2981">IFERROR(INDEX(EmployeeData[Age], ROW() - 37), "")</f>
        <v/>
      </c>
      <c r="G2981" s="6" t="str" cm="1">
        <f t="array" ref="G2981">IFERROR(INDEX(EmployeeData[Join Date], ROW() - 37), "")</f>
        <v/>
      </c>
      <c r="H2981" s="6" t="str" cm="1">
        <f t="array" ref="H2981">IFERROR(IF(INDEX(EmployeeData[Exit Date], ROW() - 37)=0, "",INDEX(EmployeeData[Exit Date], ROW() - 37)),"")</f>
        <v/>
      </c>
      <c r="I2981" s="4" t="str" cm="1">
        <f t="array" ref="I2981">IFERROR(IF(INDEX(EmployeeData[Exit Reason], ROW() - 37)=0, "",INDEX(EmployeeData[Exit Reason], ROW() - 37)),"")</f>
        <v/>
      </c>
      <c r="J2981" s="4" t="str" cm="1">
        <f t="array" ref="J2981">IFERROR(INDEX(EmployeeData[Status], ROW() - 37), "")</f>
        <v/>
      </c>
    </row>
    <row r="2982" spans="2:10" ht="19.95" customHeight="1" x14ac:dyDescent="0.3">
      <c r="B2982" s="4" t="str" cm="1">
        <f t="array" ref="B2982">IFERROR(INDEX(EmployeeData[Employee ID], ROW() - 37), "")</f>
        <v/>
      </c>
      <c r="C2982" s="4" t="str" cm="1">
        <f t="array" ref="C2982">IFERROR(INDEX(EmployeeData[Full Name], ROW() - 37), "")</f>
        <v/>
      </c>
      <c r="D2982" s="4" t="str" cm="1">
        <f t="array" ref="D2982">IFERROR(INDEX(EmployeeData[Department], ROW() - 37), "")</f>
        <v/>
      </c>
      <c r="E2982" s="4" t="str" cm="1">
        <f t="array" ref="E2982">IFERROR(INDEX(EmployeeData[Gender], ROW() - 37), "")</f>
        <v/>
      </c>
      <c r="F2982" s="4" t="str" cm="1">
        <f t="array" ref="F2982">IFERROR(INDEX(EmployeeData[Age], ROW() - 37), "")</f>
        <v/>
      </c>
      <c r="G2982" s="6" t="str" cm="1">
        <f t="array" ref="G2982">IFERROR(INDEX(EmployeeData[Join Date], ROW() - 37), "")</f>
        <v/>
      </c>
      <c r="H2982" s="6" t="str" cm="1">
        <f t="array" ref="H2982">IFERROR(IF(INDEX(EmployeeData[Exit Date], ROW() - 37)=0, "",INDEX(EmployeeData[Exit Date], ROW() - 37)),"")</f>
        <v/>
      </c>
      <c r="I2982" s="4" t="str" cm="1">
        <f t="array" ref="I2982">IFERROR(IF(INDEX(EmployeeData[Exit Reason], ROW() - 37)=0, "",INDEX(EmployeeData[Exit Reason], ROW() - 37)),"")</f>
        <v/>
      </c>
      <c r="J2982" s="4" t="str" cm="1">
        <f t="array" ref="J2982">IFERROR(INDEX(EmployeeData[Status], ROW() - 37), "")</f>
        <v/>
      </c>
    </row>
    <row r="2983" spans="2:10" ht="19.95" customHeight="1" x14ac:dyDescent="0.3">
      <c r="B2983" s="4" t="str" cm="1">
        <f t="array" ref="B2983">IFERROR(INDEX(EmployeeData[Employee ID], ROW() - 37), "")</f>
        <v/>
      </c>
      <c r="C2983" s="4" t="str" cm="1">
        <f t="array" ref="C2983">IFERROR(INDEX(EmployeeData[Full Name], ROW() - 37), "")</f>
        <v/>
      </c>
      <c r="D2983" s="4" t="str" cm="1">
        <f t="array" ref="D2983">IFERROR(INDEX(EmployeeData[Department], ROW() - 37), "")</f>
        <v/>
      </c>
      <c r="E2983" s="4" t="str" cm="1">
        <f t="array" ref="E2983">IFERROR(INDEX(EmployeeData[Gender], ROW() - 37), "")</f>
        <v/>
      </c>
      <c r="F2983" s="4" t="str" cm="1">
        <f t="array" ref="F2983">IFERROR(INDEX(EmployeeData[Age], ROW() - 37), "")</f>
        <v/>
      </c>
      <c r="G2983" s="6" t="str" cm="1">
        <f t="array" ref="G2983">IFERROR(INDEX(EmployeeData[Join Date], ROW() - 37), "")</f>
        <v/>
      </c>
      <c r="H2983" s="6" t="str" cm="1">
        <f t="array" ref="H2983">IFERROR(IF(INDEX(EmployeeData[Exit Date], ROW() - 37)=0, "",INDEX(EmployeeData[Exit Date], ROW() - 37)),"")</f>
        <v/>
      </c>
      <c r="I2983" s="4" t="str" cm="1">
        <f t="array" ref="I2983">IFERROR(IF(INDEX(EmployeeData[Exit Reason], ROW() - 37)=0, "",INDEX(EmployeeData[Exit Reason], ROW() - 37)),"")</f>
        <v/>
      </c>
      <c r="J2983" s="4" t="str" cm="1">
        <f t="array" ref="J2983">IFERROR(INDEX(EmployeeData[Status], ROW() - 37), "")</f>
        <v/>
      </c>
    </row>
    <row r="2984" spans="2:10" ht="19.95" customHeight="1" x14ac:dyDescent="0.3">
      <c r="B2984" s="4" t="str" cm="1">
        <f t="array" ref="B2984">IFERROR(INDEX(EmployeeData[Employee ID], ROW() - 37), "")</f>
        <v/>
      </c>
      <c r="C2984" s="4" t="str" cm="1">
        <f t="array" ref="C2984">IFERROR(INDEX(EmployeeData[Full Name], ROW() - 37), "")</f>
        <v/>
      </c>
      <c r="D2984" s="4" t="str" cm="1">
        <f t="array" ref="D2984">IFERROR(INDEX(EmployeeData[Department], ROW() - 37), "")</f>
        <v/>
      </c>
      <c r="E2984" s="4" t="str" cm="1">
        <f t="array" ref="E2984">IFERROR(INDEX(EmployeeData[Gender], ROW() - 37), "")</f>
        <v/>
      </c>
      <c r="F2984" s="4" t="str" cm="1">
        <f t="array" ref="F2984">IFERROR(INDEX(EmployeeData[Age], ROW() - 37), "")</f>
        <v/>
      </c>
      <c r="G2984" s="6" t="str" cm="1">
        <f t="array" ref="G2984">IFERROR(INDEX(EmployeeData[Join Date], ROW() - 37), "")</f>
        <v/>
      </c>
      <c r="H2984" s="6" t="str" cm="1">
        <f t="array" ref="H2984">IFERROR(IF(INDEX(EmployeeData[Exit Date], ROW() - 37)=0, "",INDEX(EmployeeData[Exit Date], ROW() - 37)),"")</f>
        <v/>
      </c>
      <c r="I2984" s="4" t="str" cm="1">
        <f t="array" ref="I2984">IFERROR(IF(INDEX(EmployeeData[Exit Reason], ROW() - 37)=0, "",INDEX(EmployeeData[Exit Reason], ROW() - 37)),"")</f>
        <v/>
      </c>
      <c r="J2984" s="4" t="str" cm="1">
        <f t="array" ref="J2984">IFERROR(INDEX(EmployeeData[Status], ROW() - 37), "")</f>
        <v/>
      </c>
    </row>
    <row r="2985" spans="2:10" ht="19.95" customHeight="1" x14ac:dyDescent="0.3">
      <c r="B2985" s="4" t="str" cm="1">
        <f t="array" ref="B2985">IFERROR(INDEX(EmployeeData[Employee ID], ROW() - 37), "")</f>
        <v/>
      </c>
      <c r="C2985" s="4" t="str" cm="1">
        <f t="array" ref="C2985">IFERROR(INDEX(EmployeeData[Full Name], ROW() - 37), "")</f>
        <v/>
      </c>
      <c r="D2985" s="4" t="str" cm="1">
        <f t="array" ref="D2985">IFERROR(INDEX(EmployeeData[Department], ROW() - 37), "")</f>
        <v/>
      </c>
      <c r="E2985" s="4" t="str" cm="1">
        <f t="array" ref="E2985">IFERROR(INDEX(EmployeeData[Gender], ROW() - 37), "")</f>
        <v/>
      </c>
      <c r="F2985" s="4" t="str" cm="1">
        <f t="array" ref="F2985">IFERROR(INDEX(EmployeeData[Age], ROW() - 37), "")</f>
        <v/>
      </c>
      <c r="G2985" s="6" t="str" cm="1">
        <f t="array" ref="G2985">IFERROR(INDEX(EmployeeData[Join Date], ROW() - 37), "")</f>
        <v/>
      </c>
      <c r="H2985" s="6" t="str" cm="1">
        <f t="array" ref="H2985">IFERROR(IF(INDEX(EmployeeData[Exit Date], ROW() - 37)=0, "",INDEX(EmployeeData[Exit Date], ROW() - 37)),"")</f>
        <v/>
      </c>
      <c r="I2985" s="4" t="str" cm="1">
        <f t="array" ref="I2985">IFERROR(IF(INDEX(EmployeeData[Exit Reason], ROW() - 37)=0, "",INDEX(EmployeeData[Exit Reason], ROW() - 37)),"")</f>
        <v/>
      </c>
      <c r="J2985" s="4" t="str" cm="1">
        <f t="array" ref="J2985">IFERROR(INDEX(EmployeeData[Status], ROW() - 37), "")</f>
        <v/>
      </c>
    </row>
    <row r="2986" spans="2:10" ht="19.95" customHeight="1" x14ac:dyDescent="0.3">
      <c r="B2986" s="4" t="str" cm="1">
        <f t="array" ref="B2986">IFERROR(INDEX(EmployeeData[Employee ID], ROW() - 37), "")</f>
        <v/>
      </c>
      <c r="C2986" s="4" t="str" cm="1">
        <f t="array" ref="C2986">IFERROR(INDEX(EmployeeData[Full Name], ROW() - 37), "")</f>
        <v/>
      </c>
      <c r="D2986" s="4" t="str" cm="1">
        <f t="array" ref="D2986">IFERROR(INDEX(EmployeeData[Department], ROW() - 37), "")</f>
        <v/>
      </c>
      <c r="E2986" s="4" t="str" cm="1">
        <f t="array" ref="E2986">IFERROR(INDEX(EmployeeData[Gender], ROW() - 37), "")</f>
        <v/>
      </c>
      <c r="F2986" s="4" t="str" cm="1">
        <f t="array" ref="F2986">IFERROR(INDEX(EmployeeData[Age], ROW() - 37), "")</f>
        <v/>
      </c>
      <c r="G2986" s="6" t="str" cm="1">
        <f t="array" ref="G2986">IFERROR(INDEX(EmployeeData[Join Date], ROW() - 37), "")</f>
        <v/>
      </c>
      <c r="H2986" s="6" t="str" cm="1">
        <f t="array" ref="H2986">IFERROR(IF(INDEX(EmployeeData[Exit Date], ROW() - 37)=0, "",INDEX(EmployeeData[Exit Date], ROW() - 37)),"")</f>
        <v/>
      </c>
      <c r="I2986" s="4" t="str" cm="1">
        <f t="array" ref="I2986">IFERROR(IF(INDEX(EmployeeData[Exit Reason], ROW() - 37)=0, "",INDEX(EmployeeData[Exit Reason], ROW() - 37)),"")</f>
        <v/>
      </c>
      <c r="J2986" s="4" t="str" cm="1">
        <f t="array" ref="J2986">IFERROR(INDEX(EmployeeData[Status], ROW() - 37), "")</f>
        <v/>
      </c>
    </row>
    <row r="2987" spans="2:10" ht="19.95" customHeight="1" x14ac:dyDescent="0.3">
      <c r="B2987" s="4" t="str" cm="1">
        <f t="array" ref="B2987">IFERROR(INDEX(EmployeeData[Employee ID], ROW() - 37), "")</f>
        <v/>
      </c>
      <c r="C2987" s="4" t="str" cm="1">
        <f t="array" ref="C2987">IFERROR(INDEX(EmployeeData[Full Name], ROW() - 37), "")</f>
        <v/>
      </c>
      <c r="D2987" s="4" t="str" cm="1">
        <f t="array" ref="D2987">IFERROR(INDEX(EmployeeData[Department], ROW() - 37), "")</f>
        <v/>
      </c>
      <c r="E2987" s="4" t="str" cm="1">
        <f t="array" ref="E2987">IFERROR(INDEX(EmployeeData[Gender], ROW() - 37), "")</f>
        <v/>
      </c>
      <c r="F2987" s="4" t="str" cm="1">
        <f t="array" ref="F2987">IFERROR(INDEX(EmployeeData[Age], ROW() - 37), "")</f>
        <v/>
      </c>
      <c r="G2987" s="6" t="str" cm="1">
        <f t="array" ref="G2987">IFERROR(INDEX(EmployeeData[Join Date], ROW() - 37), "")</f>
        <v/>
      </c>
      <c r="H2987" s="6" t="str" cm="1">
        <f t="array" ref="H2987">IFERROR(IF(INDEX(EmployeeData[Exit Date], ROW() - 37)=0, "",INDEX(EmployeeData[Exit Date], ROW() - 37)),"")</f>
        <v/>
      </c>
      <c r="I2987" s="4" t="str" cm="1">
        <f t="array" ref="I2987">IFERROR(IF(INDEX(EmployeeData[Exit Reason], ROW() - 37)=0, "",INDEX(EmployeeData[Exit Reason], ROW() - 37)),"")</f>
        <v/>
      </c>
      <c r="J2987" s="4" t="str" cm="1">
        <f t="array" ref="J2987">IFERROR(INDEX(EmployeeData[Status], ROW() - 37), "")</f>
        <v/>
      </c>
    </row>
    <row r="2988" spans="2:10" ht="19.95" customHeight="1" x14ac:dyDescent="0.3">
      <c r="B2988" s="4" t="str" cm="1">
        <f t="array" ref="B2988">IFERROR(INDEX(EmployeeData[Employee ID], ROW() - 37), "")</f>
        <v/>
      </c>
      <c r="C2988" s="4" t="str" cm="1">
        <f t="array" ref="C2988">IFERROR(INDEX(EmployeeData[Full Name], ROW() - 37), "")</f>
        <v/>
      </c>
      <c r="D2988" s="4" t="str" cm="1">
        <f t="array" ref="D2988">IFERROR(INDEX(EmployeeData[Department], ROW() - 37), "")</f>
        <v/>
      </c>
      <c r="E2988" s="4" t="str" cm="1">
        <f t="array" ref="E2988">IFERROR(INDEX(EmployeeData[Gender], ROW() - 37), "")</f>
        <v/>
      </c>
      <c r="F2988" s="4" t="str" cm="1">
        <f t="array" ref="F2988">IFERROR(INDEX(EmployeeData[Age], ROW() - 37), "")</f>
        <v/>
      </c>
      <c r="G2988" s="6" t="str" cm="1">
        <f t="array" ref="G2988">IFERROR(INDEX(EmployeeData[Join Date], ROW() - 37), "")</f>
        <v/>
      </c>
      <c r="H2988" s="6" t="str" cm="1">
        <f t="array" ref="H2988">IFERROR(IF(INDEX(EmployeeData[Exit Date], ROW() - 37)=0, "",INDEX(EmployeeData[Exit Date], ROW() - 37)),"")</f>
        <v/>
      </c>
      <c r="I2988" s="4" t="str" cm="1">
        <f t="array" ref="I2988">IFERROR(IF(INDEX(EmployeeData[Exit Reason], ROW() - 37)=0, "",INDEX(EmployeeData[Exit Reason], ROW() - 37)),"")</f>
        <v/>
      </c>
      <c r="J2988" s="4" t="str" cm="1">
        <f t="array" ref="J2988">IFERROR(INDEX(EmployeeData[Status], ROW() - 37), "")</f>
        <v/>
      </c>
    </row>
    <row r="2989" spans="2:10" ht="19.95" customHeight="1" x14ac:dyDescent="0.3">
      <c r="B2989" s="4" t="str" cm="1">
        <f t="array" ref="B2989">IFERROR(INDEX(EmployeeData[Employee ID], ROW() - 37), "")</f>
        <v/>
      </c>
      <c r="C2989" s="4" t="str" cm="1">
        <f t="array" ref="C2989">IFERROR(INDEX(EmployeeData[Full Name], ROW() - 37), "")</f>
        <v/>
      </c>
      <c r="D2989" s="4" t="str" cm="1">
        <f t="array" ref="D2989">IFERROR(INDEX(EmployeeData[Department], ROW() - 37), "")</f>
        <v/>
      </c>
      <c r="E2989" s="4" t="str" cm="1">
        <f t="array" ref="E2989">IFERROR(INDEX(EmployeeData[Gender], ROW() - 37), "")</f>
        <v/>
      </c>
      <c r="F2989" s="4" t="str" cm="1">
        <f t="array" ref="F2989">IFERROR(INDEX(EmployeeData[Age], ROW() - 37), "")</f>
        <v/>
      </c>
      <c r="G2989" s="6" t="str" cm="1">
        <f t="array" ref="G2989">IFERROR(INDEX(EmployeeData[Join Date], ROW() - 37), "")</f>
        <v/>
      </c>
      <c r="H2989" s="6" t="str" cm="1">
        <f t="array" ref="H2989">IFERROR(IF(INDEX(EmployeeData[Exit Date], ROW() - 37)=0, "",INDEX(EmployeeData[Exit Date], ROW() - 37)),"")</f>
        <v/>
      </c>
      <c r="I2989" s="4" t="str" cm="1">
        <f t="array" ref="I2989">IFERROR(IF(INDEX(EmployeeData[Exit Reason], ROW() - 37)=0, "",INDEX(EmployeeData[Exit Reason], ROW() - 37)),"")</f>
        <v/>
      </c>
      <c r="J2989" s="4" t="str" cm="1">
        <f t="array" ref="J2989">IFERROR(INDEX(EmployeeData[Status], ROW() - 37), "")</f>
        <v/>
      </c>
    </row>
    <row r="2990" spans="2:10" ht="19.95" customHeight="1" x14ac:dyDescent="0.3">
      <c r="B2990" s="4" t="str" cm="1">
        <f t="array" ref="B2990">IFERROR(INDEX(EmployeeData[Employee ID], ROW() - 37), "")</f>
        <v/>
      </c>
      <c r="C2990" s="4" t="str" cm="1">
        <f t="array" ref="C2990">IFERROR(INDEX(EmployeeData[Full Name], ROW() - 37), "")</f>
        <v/>
      </c>
      <c r="D2990" s="4" t="str" cm="1">
        <f t="array" ref="D2990">IFERROR(INDEX(EmployeeData[Department], ROW() - 37), "")</f>
        <v/>
      </c>
      <c r="E2990" s="4" t="str" cm="1">
        <f t="array" ref="E2990">IFERROR(INDEX(EmployeeData[Gender], ROW() - 37), "")</f>
        <v/>
      </c>
      <c r="F2990" s="4" t="str" cm="1">
        <f t="array" ref="F2990">IFERROR(INDEX(EmployeeData[Age], ROW() - 37), "")</f>
        <v/>
      </c>
      <c r="G2990" s="6" t="str" cm="1">
        <f t="array" ref="G2990">IFERROR(INDEX(EmployeeData[Join Date], ROW() - 37), "")</f>
        <v/>
      </c>
      <c r="H2990" s="6" t="str" cm="1">
        <f t="array" ref="H2990">IFERROR(IF(INDEX(EmployeeData[Exit Date], ROW() - 37)=0, "",INDEX(EmployeeData[Exit Date], ROW() - 37)),"")</f>
        <v/>
      </c>
      <c r="I2990" s="4" t="str" cm="1">
        <f t="array" ref="I2990">IFERROR(IF(INDEX(EmployeeData[Exit Reason], ROW() - 37)=0, "",INDEX(EmployeeData[Exit Reason], ROW() - 37)),"")</f>
        <v/>
      </c>
      <c r="J2990" s="4" t="str" cm="1">
        <f t="array" ref="J2990">IFERROR(INDEX(EmployeeData[Status], ROW() - 37), "")</f>
        <v/>
      </c>
    </row>
    <row r="2991" spans="2:10" ht="19.95" customHeight="1" x14ac:dyDescent="0.3">
      <c r="B2991" s="4" t="str" cm="1">
        <f t="array" ref="B2991">IFERROR(INDEX(EmployeeData[Employee ID], ROW() - 37), "")</f>
        <v/>
      </c>
      <c r="C2991" s="4" t="str" cm="1">
        <f t="array" ref="C2991">IFERROR(INDEX(EmployeeData[Full Name], ROW() - 37), "")</f>
        <v/>
      </c>
      <c r="D2991" s="4" t="str" cm="1">
        <f t="array" ref="D2991">IFERROR(INDEX(EmployeeData[Department], ROW() - 37), "")</f>
        <v/>
      </c>
      <c r="E2991" s="4" t="str" cm="1">
        <f t="array" ref="E2991">IFERROR(INDEX(EmployeeData[Gender], ROW() - 37), "")</f>
        <v/>
      </c>
      <c r="F2991" s="4" t="str" cm="1">
        <f t="array" ref="F2991">IFERROR(INDEX(EmployeeData[Age], ROW() - 37), "")</f>
        <v/>
      </c>
      <c r="G2991" s="6" t="str" cm="1">
        <f t="array" ref="G2991">IFERROR(INDEX(EmployeeData[Join Date], ROW() - 37), "")</f>
        <v/>
      </c>
      <c r="H2991" s="6" t="str" cm="1">
        <f t="array" ref="H2991">IFERROR(IF(INDEX(EmployeeData[Exit Date], ROW() - 37)=0, "",INDEX(EmployeeData[Exit Date], ROW() - 37)),"")</f>
        <v/>
      </c>
      <c r="I2991" s="4" t="str" cm="1">
        <f t="array" ref="I2991">IFERROR(IF(INDEX(EmployeeData[Exit Reason], ROW() - 37)=0, "",INDEX(EmployeeData[Exit Reason], ROW() - 37)),"")</f>
        <v/>
      </c>
      <c r="J2991" s="4" t="str" cm="1">
        <f t="array" ref="J2991">IFERROR(INDEX(EmployeeData[Status], ROW() - 37), "")</f>
        <v/>
      </c>
    </row>
    <row r="2992" spans="2:10" ht="19.95" customHeight="1" x14ac:dyDescent="0.3">
      <c r="B2992" s="4" t="str" cm="1">
        <f t="array" ref="B2992">IFERROR(INDEX(EmployeeData[Employee ID], ROW() - 37), "")</f>
        <v/>
      </c>
      <c r="C2992" s="4" t="str" cm="1">
        <f t="array" ref="C2992">IFERROR(INDEX(EmployeeData[Full Name], ROW() - 37), "")</f>
        <v/>
      </c>
      <c r="D2992" s="4" t="str" cm="1">
        <f t="array" ref="D2992">IFERROR(INDEX(EmployeeData[Department], ROW() - 37), "")</f>
        <v/>
      </c>
      <c r="E2992" s="4" t="str" cm="1">
        <f t="array" ref="E2992">IFERROR(INDEX(EmployeeData[Gender], ROW() - 37), "")</f>
        <v/>
      </c>
      <c r="F2992" s="4" t="str" cm="1">
        <f t="array" ref="F2992">IFERROR(INDEX(EmployeeData[Age], ROW() - 37), "")</f>
        <v/>
      </c>
      <c r="G2992" s="6" t="str" cm="1">
        <f t="array" ref="G2992">IFERROR(INDEX(EmployeeData[Join Date], ROW() - 37), "")</f>
        <v/>
      </c>
      <c r="H2992" s="6" t="str" cm="1">
        <f t="array" ref="H2992">IFERROR(IF(INDEX(EmployeeData[Exit Date], ROW() - 37)=0, "",INDEX(EmployeeData[Exit Date], ROW() - 37)),"")</f>
        <v/>
      </c>
      <c r="I2992" s="4" t="str" cm="1">
        <f t="array" ref="I2992">IFERROR(IF(INDEX(EmployeeData[Exit Reason], ROW() - 37)=0, "",INDEX(EmployeeData[Exit Reason], ROW() - 37)),"")</f>
        <v/>
      </c>
      <c r="J2992" s="4" t="str" cm="1">
        <f t="array" ref="J2992">IFERROR(INDEX(EmployeeData[Status], ROW() - 37), "")</f>
        <v/>
      </c>
    </row>
    <row r="2993" spans="2:10" ht="19.95" customHeight="1" x14ac:dyDescent="0.3">
      <c r="B2993" s="4" t="str" cm="1">
        <f t="array" ref="B2993">IFERROR(INDEX(EmployeeData[Employee ID], ROW() - 37), "")</f>
        <v/>
      </c>
      <c r="C2993" s="4" t="str" cm="1">
        <f t="array" ref="C2993">IFERROR(INDEX(EmployeeData[Full Name], ROW() - 37), "")</f>
        <v/>
      </c>
      <c r="D2993" s="4" t="str" cm="1">
        <f t="array" ref="D2993">IFERROR(INDEX(EmployeeData[Department], ROW() - 37), "")</f>
        <v/>
      </c>
      <c r="E2993" s="4" t="str" cm="1">
        <f t="array" ref="E2993">IFERROR(INDEX(EmployeeData[Gender], ROW() - 37), "")</f>
        <v/>
      </c>
      <c r="F2993" s="4" t="str" cm="1">
        <f t="array" ref="F2993">IFERROR(INDEX(EmployeeData[Age], ROW() - 37), "")</f>
        <v/>
      </c>
      <c r="G2993" s="6" t="str" cm="1">
        <f t="array" ref="G2993">IFERROR(INDEX(EmployeeData[Join Date], ROW() - 37), "")</f>
        <v/>
      </c>
      <c r="H2993" s="6" t="str" cm="1">
        <f t="array" ref="H2993">IFERROR(IF(INDEX(EmployeeData[Exit Date], ROW() - 37)=0, "",INDEX(EmployeeData[Exit Date], ROW() - 37)),"")</f>
        <v/>
      </c>
      <c r="I2993" s="4" t="str" cm="1">
        <f t="array" ref="I2993">IFERROR(IF(INDEX(EmployeeData[Exit Reason], ROW() - 37)=0, "",INDEX(EmployeeData[Exit Reason], ROW() - 37)),"")</f>
        <v/>
      </c>
      <c r="J2993" s="4" t="str" cm="1">
        <f t="array" ref="J2993">IFERROR(INDEX(EmployeeData[Status], ROW() - 37), "")</f>
        <v/>
      </c>
    </row>
    <row r="2994" spans="2:10" ht="19.95" customHeight="1" x14ac:dyDescent="0.3">
      <c r="B2994" s="4" t="str" cm="1">
        <f t="array" ref="B2994">IFERROR(INDEX(EmployeeData[Employee ID], ROW() - 37), "")</f>
        <v/>
      </c>
      <c r="C2994" s="4" t="str" cm="1">
        <f t="array" ref="C2994">IFERROR(INDEX(EmployeeData[Full Name], ROW() - 37), "")</f>
        <v/>
      </c>
      <c r="D2994" s="4" t="str" cm="1">
        <f t="array" ref="D2994">IFERROR(INDEX(EmployeeData[Department], ROW() - 37), "")</f>
        <v/>
      </c>
      <c r="E2994" s="4" t="str" cm="1">
        <f t="array" ref="E2994">IFERROR(INDEX(EmployeeData[Gender], ROW() - 37), "")</f>
        <v/>
      </c>
      <c r="F2994" s="4" t="str" cm="1">
        <f t="array" ref="F2994">IFERROR(INDEX(EmployeeData[Age], ROW() - 37), "")</f>
        <v/>
      </c>
      <c r="G2994" s="6" t="str" cm="1">
        <f t="array" ref="G2994">IFERROR(INDEX(EmployeeData[Join Date], ROW() - 37), "")</f>
        <v/>
      </c>
      <c r="H2994" s="6" t="str" cm="1">
        <f t="array" ref="H2994">IFERROR(IF(INDEX(EmployeeData[Exit Date], ROW() - 37)=0, "",INDEX(EmployeeData[Exit Date], ROW() - 37)),"")</f>
        <v/>
      </c>
      <c r="I2994" s="4" t="str" cm="1">
        <f t="array" ref="I2994">IFERROR(IF(INDEX(EmployeeData[Exit Reason], ROW() - 37)=0, "",INDEX(EmployeeData[Exit Reason], ROW() - 37)),"")</f>
        <v/>
      </c>
      <c r="J2994" s="4" t="str" cm="1">
        <f t="array" ref="J2994">IFERROR(INDEX(EmployeeData[Status], ROW() - 37), "")</f>
        <v/>
      </c>
    </row>
    <row r="2995" spans="2:10" ht="19.95" customHeight="1" x14ac:dyDescent="0.3">
      <c r="B2995" s="4" t="str" cm="1">
        <f t="array" ref="B2995">IFERROR(INDEX(EmployeeData[Employee ID], ROW() - 37), "")</f>
        <v/>
      </c>
      <c r="C2995" s="4" t="str" cm="1">
        <f t="array" ref="C2995">IFERROR(INDEX(EmployeeData[Full Name], ROW() - 37), "")</f>
        <v/>
      </c>
      <c r="D2995" s="4" t="str" cm="1">
        <f t="array" ref="D2995">IFERROR(INDEX(EmployeeData[Department], ROW() - 37), "")</f>
        <v/>
      </c>
      <c r="E2995" s="4" t="str" cm="1">
        <f t="array" ref="E2995">IFERROR(INDEX(EmployeeData[Gender], ROW() - 37), "")</f>
        <v/>
      </c>
      <c r="F2995" s="4" t="str" cm="1">
        <f t="array" ref="F2995">IFERROR(INDEX(EmployeeData[Age], ROW() - 37), "")</f>
        <v/>
      </c>
      <c r="G2995" s="6" t="str" cm="1">
        <f t="array" ref="G2995">IFERROR(INDEX(EmployeeData[Join Date], ROW() - 37), "")</f>
        <v/>
      </c>
      <c r="H2995" s="6" t="str" cm="1">
        <f t="array" ref="H2995">IFERROR(IF(INDEX(EmployeeData[Exit Date], ROW() - 37)=0, "",INDEX(EmployeeData[Exit Date], ROW() - 37)),"")</f>
        <v/>
      </c>
      <c r="I2995" s="4" t="str" cm="1">
        <f t="array" ref="I2995">IFERROR(IF(INDEX(EmployeeData[Exit Reason], ROW() - 37)=0, "",INDEX(EmployeeData[Exit Reason], ROW() - 37)),"")</f>
        <v/>
      </c>
      <c r="J2995" s="4" t="str" cm="1">
        <f t="array" ref="J2995">IFERROR(INDEX(EmployeeData[Status], ROW() - 37), "")</f>
        <v/>
      </c>
    </row>
    <row r="2996" spans="2:10" ht="19.95" customHeight="1" x14ac:dyDescent="0.3">
      <c r="B2996" s="4" t="str" cm="1">
        <f t="array" ref="B2996">IFERROR(INDEX(EmployeeData[Employee ID], ROW() - 37), "")</f>
        <v/>
      </c>
      <c r="C2996" s="4" t="str" cm="1">
        <f t="array" ref="C2996">IFERROR(INDEX(EmployeeData[Full Name], ROW() - 37), "")</f>
        <v/>
      </c>
      <c r="D2996" s="4" t="str" cm="1">
        <f t="array" ref="D2996">IFERROR(INDEX(EmployeeData[Department], ROW() - 37), "")</f>
        <v/>
      </c>
      <c r="E2996" s="4" t="str" cm="1">
        <f t="array" ref="E2996">IFERROR(INDEX(EmployeeData[Gender], ROW() - 37), "")</f>
        <v/>
      </c>
      <c r="F2996" s="4" t="str" cm="1">
        <f t="array" ref="F2996">IFERROR(INDEX(EmployeeData[Age], ROW() - 37), "")</f>
        <v/>
      </c>
      <c r="G2996" s="6" t="str" cm="1">
        <f t="array" ref="G2996">IFERROR(INDEX(EmployeeData[Join Date], ROW() - 37), "")</f>
        <v/>
      </c>
      <c r="H2996" s="6" t="str" cm="1">
        <f t="array" ref="H2996">IFERROR(IF(INDEX(EmployeeData[Exit Date], ROW() - 37)=0, "",INDEX(EmployeeData[Exit Date], ROW() - 37)),"")</f>
        <v/>
      </c>
      <c r="I2996" s="4" t="str" cm="1">
        <f t="array" ref="I2996">IFERROR(IF(INDEX(EmployeeData[Exit Reason], ROW() - 37)=0, "",INDEX(EmployeeData[Exit Reason], ROW() - 37)),"")</f>
        <v/>
      </c>
      <c r="J2996" s="4" t="str" cm="1">
        <f t="array" ref="J2996">IFERROR(INDEX(EmployeeData[Status], ROW() - 37), "")</f>
        <v/>
      </c>
    </row>
    <row r="2997" spans="2:10" ht="19.95" customHeight="1" x14ac:dyDescent="0.3">
      <c r="B2997" s="4" t="str" cm="1">
        <f t="array" ref="B2997">IFERROR(INDEX(EmployeeData[Employee ID], ROW() - 37), "")</f>
        <v/>
      </c>
      <c r="C2997" s="4" t="str" cm="1">
        <f t="array" ref="C2997">IFERROR(INDEX(EmployeeData[Full Name], ROW() - 37), "")</f>
        <v/>
      </c>
      <c r="D2997" s="4" t="str" cm="1">
        <f t="array" ref="D2997">IFERROR(INDEX(EmployeeData[Department], ROW() - 37), "")</f>
        <v/>
      </c>
      <c r="E2997" s="4" t="str" cm="1">
        <f t="array" ref="E2997">IFERROR(INDEX(EmployeeData[Gender], ROW() - 37), "")</f>
        <v/>
      </c>
      <c r="F2997" s="4" t="str" cm="1">
        <f t="array" ref="F2997">IFERROR(INDEX(EmployeeData[Age], ROW() - 37), "")</f>
        <v/>
      </c>
      <c r="G2997" s="6" t="str" cm="1">
        <f t="array" ref="G2997">IFERROR(INDEX(EmployeeData[Join Date], ROW() - 37), "")</f>
        <v/>
      </c>
      <c r="H2997" s="6" t="str" cm="1">
        <f t="array" ref="H2997">IFERROR(IF(INDEX(EmployeeData[Exit Date], ROW() - 37)=0, "",INDEX(EmployeeData[Exit Date], ROW() - 37)),"")</f>
        <v/>
      </c>
      <c r="I2997" s="4" t="str" cm="1">
        <f t="array" ref="I2997">IFERROR(IF(INDEX(EmployeeData[Exit Reason], ROW() - 37)=0, "",INDEX(EmployeeData[Exit Reason], ROW() - 37)),"")</f>
        <v/>
      </c>
      <c r="J2997" s="4" t="str" cm="1">
        <f t="array" ref="J2997">IFERROR(INDEX(EmployeeData[Status], ROW() - 37), "")</f>
        <v/>
      </c>
    </row>
    <row r="2998" spans="2:10" ht="19.95" customHeight="1" x14ac:dyDescent="0.3">
      <c r="B2998" s="4" t="str" cm="1">
        <f t="array" ref="B2998">IFERROR(INDEX(EmployeeData[Employee ID], ROW() - 37), "")</f>
        <v/>
      </c>
      <c r="C2998" s="4" t="str" cm="1">
        <f t="array" ref="C2998">IFERROR(INDEX(EmployeeData[Full Name], ROW() - 37), "")</f>
        <v/>
      </c>
      <c r="D2998" s="4" t="str" cm="1">
        <f t="array" ref="D2998">IFERROR(INDEX(EmployeeData[Department], ROW() - 37), "")</f>
        <v/>
      </c>
      <c r="E2998" s="4" t="str" cm="1">
        <f t="array" ref="E2998">IFERROR(INDEX(EmployeeData[Gender], ROW() - 37), "")</f>
        <v/>
      </c>
      <c r="F2998" s="4" t="str" cm="1">
        <f t="array" ref="F2998">IFERROR(INDEX(EmployeeData[Age], ROW() - 37), "")</f>
        <v/>
      </c>
      <c r="G2998" s="6" t="str" cm="1">
        <f t="array" ref="G2998">IFERROR(INDEX(EmployeeData[Join Date], ROW() - 37), "")</f>
        <v/>
      </c>
      <c r="H2998" s="6" t="str" cm="1">
        <f t="array" ref="H2998">IFERROR(IF(INDEX(EmployeeData[Exit Date], ROW() - 37)=0, "",INDEX(EmployeeData[Exit Date], ROW() - 37)),"")</f>
        <v/>
      </c>
      <c r="I2998" s="4" t="str" cm="1">
        <f t="array" ref="I2998">IFERROR(IF(INDEX(EmployeeData[Exit Reason], ROW() - 37)=0, "",INDEX(EmployeeData[Exit Reason], ROW() - 37)),"")</f>
        <v/>
      </c>
      <c r="J2998" s="4" t="str" cm="1">
        <f t="array" ref="J2998">IFERROR(INDEX(EmployeeData[Status], ROW() - 37), "")</f>
        <v/>
      </c>
    </row>
    <row r="2999" spans="2:10" ht="19.95" customHeight="1" x14ac:dyDescent="0.3">
      <c r="B2999" s="4" t="str" cm="1">
        <f t="array" ref="B2999">IFERROR(INDEX(EmployeeData[Employee ID], ROW() - 37), "")</f>
        <v/>
      </c>
      <c r="C2999" s="4" t="str" cm="1">
        <f t="array" ref="C2999">IFERROR(INDEX(EmployeeData[Full Name], ROW() - 37), "")</f>
        <v/>
      </c>
      <c r="D2999" s="4" t="str" cm="1">
        <f t="array" ref="D2999">IFERROR(INDEX(EmployeeData[Department], ROW() - 37), "")</f>
        <v/>
      </c>
      <c r="E2999" s="4" t="str" cm="1">
        <f t="array" ref="E2999">IFERROR(INDEX(EmployeeData[Gender], ROW() - 37), "")</f>
        <v/>
      </c>
      <c r="F2999" s="4" t="str" cm="1">
        <f t="array" ref="F2999">IFERROR(INDEX(EmployeeData[Age], ROW() - 37), "")</f>
        <v/>
      </c>
      <c r="G2999" s="6" t="str" cm="1">
        <f t="array" ref="G2999">IFERROR(INDEX(EmployeeData[Join Date], ROW() - 37), "")</f>
        <v/>
      </c>
      <c r="H2999" s="6" t="str" cm="1">
        <f t="array" ref="H2999">IFERROR(IF(INDEX(EmployeeData[Exit Date], ROW() - 37)=0, "",INDEX(EmployeeData[Exit Date], ROW() - 37)),"")</f>
        <v/>
      </c>
      <c r="I2999" s="4" t="str" cm="1">
        <f t="array" ref="I2999">IFERROR(IF(INDEX(EmployeeData[Exit Reason], ROW() - 37)=0, "",INDEX(EmployeeData[Exit Reason], ROW() - 37)),"")</f>
        <v/>
      </c>
      <c r="J2999" s="4" t="str" cm="1">
        <f t="array" ref="J2999">IFERROR(INDEX(EmployeeData[Status], ROW() - 37), "")</f>
        <v/>
      </c>
    </row>
    <row r="3000" spans="2:10" ht="19.95" customHeight="1" x14ac:dyDescent="0.3">
      <c r="B3000" s="4" t="str" cm="1">
        <f t="array" ref="B3000">IFERROR(INDEX(EmployeeData[Employee ID], ROW() - 37), "")</f>
        <v/>
      </c>
      <c r="C3000" s="4" t="str" cm="1">
        <f t="array" ref="C3000">IFERROR(INDEX(EmployeeData[Full Name], ROW() - 37), "")</f>
        <v/>
      </c>
      <c r="D3000" s="4" t="str" cm="1">
        <f t="array" ref="D3000">IFERROR(INDEX(EmployeeData[Department], ROW() - 37), "")</f>
        <v/>
      </c>
      <c r="E3000" s="4" t="str" cm="1">
        <f t="array" ref="E3000">IFERROR(INDEX(EmployeeData[Gender], ROW() - 37), "")</f>
        <v/>
      </c>
      <c r="F3000" s="4" t="str" cm="1">
        <f t="array" ref="F3000">IFERROR(INDEX(EmployeeData[Age], ROW() - 37), "")</f>
        <v/>
      </c>
      <c r="G3000" s="6" t="str" cm="1">
        <f t="array" ref="G3000">IFERROR(INDEX(EmployeeData[Join Date], ROW() - 37), "")</f>
        <v/>
      </c>
      <c r="H3000" s="6" t="str" cm="1">
        <f t="array" ref="H3000">IFERROR(IF(INDEX(EmployeeData[Exit Date], ROW() - 37)=0, "",INDEX(EmployeeData[Exit Date], ROW() - 37)),"")</f>
        <v/>
      </c>
      <c r="I3000" s="4" t="str" cm="1">
        <f t="array" ref="I3000">IFERROR(IF(INDEX(EmployeeData[Exit Reason], ROW() - 37)=0, "",INDEX(EmployeeData[Exit Reason], ROW() - 37)),"")</f>
        <v/>
      </c>
      <c r="J3000" s="4" t="str" cm="1">
        <f t="array" ref="J3000">IFERROR(INDEX(EmployeeData[Status], ROW() - 37), "")</f>
        <v/>
      </c>
    </row>
    <row r="3001" spans="2:10" ht="19.95" customHeight="1" x14ac:dyDescent="0.3">
      <c r="B3001" s="4" t="str" cm="1">
        <f t="array" ref="B3001">IFERROR(INDEX(EmployeeData[Employee ID], ROW() - 37), "")</f>
        <v/>
      </c>
      <c r="C3001" s="4" t="str" cm="1">
        <f t="array" ref="C3001">IFERROR(INDEX(EmployeeData[Full Name], ROW() - 37), "")</f>
        <v/>
      </c>
      <c r="D3001" s="4" t="str" cm="1">
        <f t="array" ref="D3001">IFERROR(INDEX(EmployeeData[Department], ROW() - 37), "")</f>
        <v/>
      </c>
      <c r="E3001" s="4" t="str" cm="1">
        <f t="array" ref="E3001">IFERROR(INDEX(EmployeeData[Gender], ROW() - 37), "")</f>
        <v/>
      </c>
      <c r="F3001" s="4" t="str" cm="1">
        <f t="array" ref="F3001">IFERROR(INDEX(EmployeeData[Age], ROW() - 37), "")</f>
        <v/>
      </c>
      <c r="G3001" s="6" t="str" cm="1">
        <f t="array" ref="G3001">IFERROR(INDEX(EmployeeData[Join Date], ROW() - 37), "")</f>
        <v/>
      </c>
      <c r="H3001" s="6" t="str" cm="1">
        <f t="array" ref="H3001">IFERROR(IF(INDEX(EmployeeData[Exit Date], ROW() - 37)=0, "",INDEX(EmployeeData[Exit Date], ROW() - 37)),"")</f>
        <v/>
      </c>
      <c r="I3001" s="4" t="str" cm="1">
        <f t="array" ref="I3001">IFERROR(IF(INDEX(EmployeeData[Exit Reason], ROW() - 37)=0, "",INDEX(EmployeeData[Exit Reason], ROW() - 37)),"")</f>
        <v/>
      </c>
      <c r="J3001" s="4" t="str" cm="1">
        <f t="array" ref="J3001">IFERROR(INDEX(EmployeeData[Status], ROW() - 37), "")</f>
        <v/>
      </c>
    </row>
    <row r="3002" spans="2:10" ht="19.95" customHeight="1" x14ac:dyDescent="0.3">
      <c r="B3002" s="4" t="str" cm="1">
        <f t="array" ref="B3002">IFERROR(INDEX(EmployeeData[Employee ID], ROW() - 37), "")</f>
        <v/>
      </c>
      <c r="C3002" s="4" t="str" cm="1">
        <f t="array" ref="C3002">IFERROR(INDEX(EmployeeData[Full Name], ROW() - 37), "")</f>
        <v/>
      </c>
      <c r="D3002" s="4" t="str" cm="1">
        <f t="array" ref="D3002">IFERROR(INDEX(EmployeeData[Department], ROW() - 37), "")</f>
        <v/>
      </c>
      <c r="E3002" s="4" t="str" cm="1">
        <f t="array" ref="E3002">IFERROR(INDEX(EmployeeData[Gender], ROW() - 37), "")</f>
        <v/>
      </c>
      <c r="F3002" s="4" t="str" cm="1">
        <f t="array" ref="F3002">IFERROR(INDEX(EmployeeData[Age], ROW() - 37), "")</f>
        <v/>
      </c>
      <c r="G3002" s="6" t="str" cm="1">
        <f t="array" ref="G3002">IFERROR(INDEX(EmployeeData[Join Date], ROW() - 37), "")</f>
        <v/>
      </c>
      <c r="H3002" s="6" t="str" cm="1">
        <f t="array" ref="H3002">IFERROR(IF(INDEX(EmployeeData[Exit Date], ROW() - 37)=0, "",INDEX(EmployeeData[Exit Date], ROW() - 37)),"")</f>
        <v/>
      </c>
      <c r="I3002" s="4" t="str" cm="1">
        <f t="array" ref="I3002">IFERROR(IF(INDEX(EmployeeData[Exit Reason], ROW() - 37)=0, "",INDEX(EmployeeData[Exit Reason], ROW() - 37)),"")</f>
        <v/>
      </c>
      <c r="J3002" s="4" t="str" cm="1">
        <f t="array" ref="J3002">IFERROR(INDEX(EmployeeData[Status], ROW() - 37), "")</f>
        <v/>
      </c>
    </row>
    <row r="3003" spans="2:10" ht="19.95" customHeight="1" x14ac:dyDescent="0.3">
      <c r="B3003" s="4" t="str" cm="1">
        <f t="array" ref="B3003">IFERROR(INDEX(EmployeeData[Employee ID], ROW() - 37), "")</f>
        <v/>
      </c>
      <c r="C3003" s="4" t="str" cm="1">
        <f t="array" ref="C3003">IFERROR(INDEX(EmployeeData[Full Name], ROW() - 37), "")</f>
        <v/>
      </c>
      <c r="D3003" s="4" t="str" cm="1">
        <f t="array" ref="D3003">IFERROR(INDEX(EmployeeData[Department], ROW() - 37), "")</f>
        <v/>
      </c>
      <c r="E3003" s="4" t="str" cm="1">
        <f t="array" ref="E3003">IFERROR(INDEX(EmployeeData[Gender], ROW() - 37), "")</f>
        <v/>
      </c>
      <c r="F3003" s="4" t="str" cm="1">
        <f t="array" ref="F3003">IFERROR(INDEX(EmployeeData[Age], ROW() - 37), "")</f>
        <v/>
      </c>
      <c r="G3003" s="6" t="str" cm="1">
        <f t="array" ref="G3003">IFERROR(INDEX(EmployeeData[Join Date], ROW() - 37), "")</f>
        <v/>
      </c>
      <c r="H3003" s="6" t="str" cm="1">
        <f t="array" ref="H3003">IFERROR(IF(INDEX(EmployeeData[Exit Date], ROW() - 37)=0, "",INDEX(EmployeeData[Exit Date], ROW() - 37)),"")</f>
        <v/>
      </c>
      <c r="I3003" s="4" t="str" cm="1">
        <f t="array" ref="I3003">IFERROR(IF(INDEX(EmployeeData[Exit Reason], ROW() - 37)=0, "",INDEX(EmployeeData[Exit Reason], ROW() - 37)),"")</f>
        <v/>
      </c>
      <c r="J3003" s="4" t="str" cm="1">
        <f t="array" ref="J3003">IFERROR(INDEX(EmployeeData[Status], ROW() - 37), "")</f>
        <v/>
      </c>
    </row>
    <row r="3004" spans="2:10" ht="19.95" customHeight="1" x14ac:dyDescent="0.3">
      <c r="B3004" s="4" t="str" cm="1">
        <f t="array" ref="B3004">IFERROR(INDEX(EmployeeData[Employee ID], ROW() - 37), "")</f>
        <v/>
      </c>
      <c r="C3004" s="4" t="str" cm="1">
        <f t="array" ref="C3004">IFERROR(INDEX(EmployeeData[Full Name], ROW() - 37), "")</f>
        <v/>
      </c>
      <c r="D3004" s="4" t="str" cm="1">
        <f t="array" ref="D3004">IFERROR(INDEX(EmployeeData[Department], ROW() - 37), "")</f>
        <v/>
      </c>
      <c r="E3004" s="4" t="str" cm="1">
        <f t="array" ref="E3004">IFERROR(INDEX(EmployeeData[Gender], ROW() - 37), "")</f>
        <v/>
      </c>
      <c r="F3004" s="4" t="str" cm="1">
        <f t="array" ref="F3004">IFERROR(INDEX(EmployeeData[Age], ROW() - 37), "")</f>
        <v/>
      </c>
      <c r="G3004" s="6" t="str" cm="1">
        <f t="array" ref="G3004">IFERROR(INDEX(EmployeeData[Join Date], ROW() - 37), "")</f>
        <v/>
      </c>
      <c r="H3004" s="6" t="str" cm="1">
        <f t="array" ref="H3004">IFERROR(IF(INDEX(EmployeeData[Exit Date], ROW() - 37)=0, "",INDEX(EmployeeData[Exit Date], ROW() - 37)),"")</f>
        <v/>
      </c>
      <c r="I3004" s="4" t="str" cm="1">
        <f t="array" ref="I3004">IFERROR(IF(INDEX(EmployeeData[Exit Reason], ROW() - 37)=0, "",INDEX(EmployeeData[Exit Reason], ROW() - 37)),"")</f>
        <v/>
      </c>
      <c r="J3004" s="4" t="str" cm="1">
        <f t="array" ref="J3004">IFERROR(INDEX(EmployeeData[Status], ROW() - 37), "")</f>
        <v/>
      </c>
    </row>
    <row r="3005" spans="2:10" ht="19.95" customHeight="1" x14ac:dyDescent="0.3">
      <c r="B3005" s="4" t="str" cm="1">
        <f t="array" ref="B3005">IFERROR(INDEX(EmployeeData[Employee ID], ROW() - 37), "")</f>
        <v/>
      </c>
      <c r="C3005" s="4" t="str" cm="1">
        <f t="array" ref="C3005">IFERROR(INDEX(EmployeeData[Full Name], ROW() - 37), "")</f>
        <v/>
      </c>
      <c r="D3005" s="4" t="str" cm="1">
        <f t="array" ref="D3005">IFERROR(INDEX(EmployeeData[Department], ROW() - 37), "")</f>
        <v/>
      </c>
      <c r="E3005" s="4" t="str" cm="1">
        <f t="array" ref="E3005">IFERROR(INDEX(EmployeeData[Gender], ROW() - 37), "")</f>
        <v/>
      </c>
      <c r="F3005" s="4" t="str" cm="1">
        <f t="array" ref="F3005">IFERROR(INDEX(EmployeeData[Age], ROW() - 37), "")</f>
        <v/>
      </c>
      <c r="G3005" s="6" t="str" cm="1">
        <f t="array" ref="G3005">IFERROR(INDEX(EmployeeData[Join Date], ROW() - 37), "")</f>
        <v/>
      </c>
      <c r="H3005" s="6" t="str" cm="1">
        <f t="array" ref="H3005">IFERROR(IF(INDEX(EmployeeData[Exit Date], ROW() - 37)=0, "",INDEX(EmployeeData[Exit Date], ROW() - 37)),"")</f>
        <v/>
      </c>
      <c r="I3005" s="4" t="str" cm="1">
        <f t="array" ref="I3005">IFERROR(IF(INDEX(EmployeeData[Exit Reason], ROW() - 37)=0, "",INDEX(EmployeeData[Exit Reason], ROW() - 37)),"")</f>
        <v/>
      </c>
      <c r="J3005" s="4" t="str" cm="1">
        <f t="array" ref="J3005">IFERROR(INDEX(EmployeeData[Status], ROW() - 37), "")</f>
        <v/>
      </c>
    </row>
    <row r="3006" spans="2:10" ht="19.95" customHeight="1" x14ac:dyDescent="0.3">
      <c r="B3006" s="4" t="str" cm="1">
        <f t="array" ref="B3006">IFERROR(INDEX(EmployeeData[Employee ID], ROW() - 37), "")</f>
        <v/>
      </c>
      <c r="C3006" s="4" t="str" cm="1">
        <f t="array" ref="C3006">IFERROR(INDEX(EmployeeData[Full Name], ROW() - 37), "")</f>
        <v/>
      </c>
      <c r="D3006" s="4" t="str" cm="1">
        <f t="array" ref="D3006">IFERROR(INDEX(EmployeeData[Department], ROW() - 37), "")</f>
        <v/>
      </c>
      <c r="E3006" s="4" t="str" cm="1">
        <f t="array" ref="E3006">IFERROR(INDEX(EmployeeData[Gender], ROW() - 37), "")</f>
        <v/>
      </c>
      <c r="F3006" s="4" t="str" cm="1">
        <f t="array" ref="F3006">IFERROR(INDEX(EmployeeData[Age], ROW() - 37), "")</f>
        <v/>
      </c>
      <c r="G3006" s="6" t="str" cm="1">
        <f t="array" ref="G3006">IFERROR(INDEX(EmployeeData[Join Date], ROW() - 37), "")</f>
        <v/>
      </c>
      <c r="H3006" s="6" t="str" cm="1">
        <f t="array" ref="H3006">IFERROR(IF(INDEX(EmployeeData[Exit Date], ROW() - 37)=0, "",INDEX(EmployeeData[Exit Date], ROW() - 37)),"")</f>
        <v/>
      </c>
      <c r="I3006" s="4" t="str" cm="1">
        <f t="array" ref="I3006">IFERROR(IF(INDEX(EmployeeData[Exit Reason], ROW() - 37)=0, "",INDEX(EmployeeData[Exit Reason], ROW() - 37)),"")</f>
        <v/>
      </c>
      <c r="J3006" s="4" t="str" cm="1">
        <f t="array" ref="J3006">IFERROR(INDEX(EmployeeData[Status], ROW() - 37), "")</f>
        <v/>
      </c>
    </row>
    <row r="3007" spans="2:10" ht="19.95" customHeight="1" x14ac:dyDescent="0.3">
      <c r="B3007" s="4" t="str" cm="1">
        <f t="array" ref="B3007">IFERROR(INDEX(EmployeeData[Employee ID], ROW() - 37), "")</f>
        <v/>
      </c>
      <c r="C3007" s="4" t="str" cm="1">
        <f t="array" ref="C3007">IFERROR(INDEX(EmployeeData[Full Name], ROW() - 37), "")</f>
        <v/>
      </c>
      <c r="D3007" s="4" t="str" cm="1">
        <f t="array" ref="D3007">IFERROR(INDEX(EmployeeData[Department], ROW() - 37), "")</f>
        <v/>
      </c>
      <c r="E3007" s="4" t="str" cm="1">
        <f t="array" ref="E3007">IFERROR(INDEX(EmployeeData[Gender], ROW() - 37), "")</f>
        <v/>
      </c>
      <c r="F3007" s="4" t="str" cm="1">
        <f t="array" ref="F3007">IFERROR(INDEX(EmployeeData[Age], ROW() - 37), "")</f>
        <v/>
      </c>
      <c r="G3007" s="6" t="str" cm="1">
        <f t="array" ref="G3007">IFERROR(INDEX(EmployeeData[Join Date], ROW() - 37), "")</f>
        <v/>
      </c>
      <c r="H3007" s="6" t="str" cm="1">
        <f t="array" ref="H3007">IFERROR(IF(INDEX(EmployeeData[Exit Date], ROW() - 37)=0, "",INDEX(EmployeeData[Exit Date], ROW() - 37)),"")</f>
        <v/>
      </c>
      <c r="I3007" s="4" t="str" cm="1">
        <f t="array" ref="I3007">IFERROR(IF(INDEX(EmployeeData[Exit Reason], ROW() - 37)=0, "",INDEX(EmployeeData[Exit Reason], ROW() - 37)),"")</f>
        <v/>
      </c>
      <c r="J3007" s="4" t="str" cm="1">
        <f t="array" ref="J3007">IFERROR(INDEX(EmployeeData[Status], ROW() - 37), "")</f>
        <v/>
      </c>
    </row>
    <row r="3008" spans="2:10" ht="19.95" customHeight="1" x14ac:dyDescent="0.3">
      <c r="B3008" s="4" t="str" cm="1">
        <f t="array" ref="B3008">IFERROR(INDEX(EmployeeData[Employee ID], ROW() - 37), "")</f>
        <v/>
      </c>
      <c r="C3008" s="4" t="str" cm="1">
        <f t="array" ref="C3008">IFERROR(INDEX(EmployeeData[Full Name], ROW() - 37), "")</f>
        <v/>
      </c>
      <c r="D3008" s="4" t="str" cm="1">
        <f t="array" ref="D3008">IFERROR(INDEX(EmployeeData[Department], ROW() - 37), "")</f>
        <v/>
      </c>
      <c r="E3008" s="4" t="str" cm="1">
        <f t="array" ref="E3008">IFERROR(INDEX(EmployeeData[Gender], ROW() - 37), "")</f>
        <v/>
      </c>
      <c r="F3008" s="4" t="str" cm="1">
        <f t="array" ref="F3008">IFERROR(INDEX(EmployeeData[Age], ROW() - 37), "")</f>
        <v/>
      </c>
      <c r="G3008" s="6" t="str" cm="1">
        <f t="array" ref="G3008">IFERROR(INDEX(EmployeeData[Join Date], ROW() - 37), "")</f>
        <v/>
      </c>
      <c r="H3008" s="6" t="str" cm="1">
        <f t="array" ref="H3008">IFERROR(IF(INDEX(EmployeeData[Exit Date], ROW() - 37)=0, "",INDEX(EmployeeData[Exit Date], ROW() - 37)),"")</f>
        <v/>
      </c>
      <c r="I3008" s="4" t="str" cm="1">
        <f t="array" ref="I3008">IFERROR(IF(INDEX(EmployeeData[Exit Reason], ROW() - 37)=0, "",INDEX(EmployeeData[Exit Reason], ROW() - 37)),"")</f>
        <v/>
      </c>
      <c r="J3008" s="4" t="str" cm="1">
        <f t="array" ref="J3008">IFERROR(INDEX(EmployeeData[Status], ROW() - 37), "")</f>
        <v/>
      </c>
    </row>
    <row r="3009" spans="2:10" ht="19.95" customHeight="1" x14ac:dyDescent="0.3">
      <c r="B3009" s="4" t="str" cm="1">
        <f t="array" ref="B3009">IFERROR(INDEX(EmployeeData[Employee ID], ROW() - 37), "")</f>
        <v/>
      </c>
      <c r="C3009" s="4" t="str" cm="1">
        <f t="array" ref="C3009">IFERROR(INDEX(EmployeeData[Full Name], ROW() - 37), "")</f>
        <v/>
      </c>
      <c r="D3009" s="4" t="str" cm="1">
        <f t="array" ref="D3009">IFERROR(INDEX(EmployeeData[Department], ROW() - 37), "")</f>
        <v/>
      </c>
      <c r="E3009" s="4" t="str" cm="1">
        <f t="array" ref="E3009">IFERROR(INDEX(EmployeeData[Gender], ROW() - 37), "")</f>
        <v/>
      </c>
      <c r="F3009" s="4" t="str" cm="1">
        <f t="array" ref="F3009">IFERROR(INDEX(EmployeeData[Age], ROW() - 37), "")</f>
        <v/>
      </c>
      <c r="G3009" s="6" t="str" cm="1">
        <f t="array" ref="G3009">IFERROR(INDEX(EmployeeData[Join Date], ROW() - 37), "")</f>
        <v/>
      </c>
      <c r="H3009" s="6" t="str" cm="1">
        <f t="array" ref="H3009">IFERROR(IF(INDEX(EmployeeData[Exit Date], ROW() - 37)=0, "",INDEX(EmployeeData[Exit Date], ROW() - 37)),"")</f>
        <v/>
      </c>
      <c r="I3009" s="4" t="str" cm="1">
        <f t="array" ref="I3009">IFERROR(IF(INDEX(EmployeeData[Exit Reason], ROW() - 37)=0, "",INDEX(EmployeeData[Exit Reason], ROW() - 37)),"")</f>
        <v/>
      </c>
      <c r="J3009" s="4" t="str" cm="1">
        <f t="array" ref="J3009">IFERROR(INDEX(EmployeeData[Status], ROW() - 37), "")</f>
        <v/>
      </c>
    </row>
    <row r="3010" spans="2:10" ht="19.95" customHeight="1" x14ac:dyDescent="0.3">
      <c r="B3010" s="4" t="str" cm="1">
        <f t="array" ref="B3010">IFERROR(INDEX(EmployeeData[Employee ID], ROW() - 37), "")</f>
        <v/>
      </c>
      <c r="C3010" s="4" t="str" cm="1">
        <f t="array" ref="C3010">IFERROR(INDEX(EmployeeData[Full Name], ROW() - 37), "")</f>
        <v/>
      </c>
      <c r="D3010" s="4" t="str" cm="1">
        <f t="array" ref="D3010">IFERROR(INDEX(EmployeeData[Department], ROW() - 37), "")</f>
        <v/>
      </c>
      <c r="E3010" s="4" t="str" cm="1">
        <f t="array" ref="E3010">IFERROR(INDEX(EmployeeData[Gender], ROW() - 37), "")</f>
        <v/>
      </c>
      <c r="F3010" s="4" t="str" cm="1">
        <f t="array" ref="F3010">IFERROR(INDEX(EmployeeData[Age], ROW() - 37), "")</f>
        <v/>
      </c>
      <c r="G3010" s="6" t="str" cm="1">
        <f t="array" ref="G3010">IFERROR(INDEX(EmployeeData[Join Date], ROW() - 37), "")</f>
        <v/>
      </c>
      <c r="H3010" s="6" t="str" cm="1">
        <f t="array" ref="H3010">IFERROR(IF(INDEX(EmployeeData[Exit Date], ROW() - 37)=0, "",INDEX(EmployeeData[Exit Date], ROW() - 37)),"")</f>
        <v/>
      </c>
      <c r="I3010" s="4" t="str" cm="1">
        <f t="array" ref="I3010">IFERROR(IF(INDEX(EmployeeData[Exit Reason], ROW() - 37)=0, "",INDEX(EmployeeData[Exit Reason], ROW() - 37)),"")</f>
        <v/>
      </c>
      <c r="J3010" s="4" t="str" cm="1">
        <f t="array" ref="J3010">IFERROR(INDEX(EmployeeData[Status], ROW() - 37), "")</f>
        <v/>
      </c>
    </row>
    <row r="3011" spans="2:10" ht="19.95" customHeight="1" x14ac:dyDescent="0.3">
      <c r="B3011" s="4" t="str" cm="1">
        <f t="array" ref="B3011">IFERROR(INDEX(EmployeeData[Employee ID], ROW() - 37), "")</f>
        <v/>
      </c>
      <c r="C3011" s="4" t="str" cm="1">
        <f t="array" ref="C3011">IFERROR(INDEX(EmployeeData[Full Name], ROW() - 37), "")</f>
        <v/>
      </c>
      <c r="D3011" s="4" t="str" cm="1">
        <f t="array" ref="D3011">IFERROR(INDEX(EmployeeData[Department], ROW() - 37), "")</f>
        <v/>
      </c>
      <c r="E3011" s="4" t="str" cm="1">
        <f t="array" ref="E3011">IFERROR(INDEX(EmployeeData[Gender], ROW() - 37), "")</f>
        <v/>
      </c>
      <c r="F3011" s="4" t="str" cm="1">
        <f t="array" ref="F3011">IFERROR(INDEX(EmployeeData[Age], ROW() - 37), "")</f>
        <v/>
      </c>
      <c r="G3011" s="6" t="str" cm="1">
        <f t="array" ref="G3011">IFERROR(INDEX(EmployeeData[Join Date], ROW() - 37), "")</f>
        <v/>
      </c>
      <c r="H3011" s="6" t="str" cm="1">
        <f t="array" ref="H3011">IFERROR(IF(INDEX(EmployeeData[Exit Date], ROW() - 37)=0, "",INDEX(EmployeeData[Exit Date], ROW() - 37)),"")</f>
        <v/>
      </c>
      <c r="I3011" s="4" t="str" cm="1">
        <f t="array" ref="I3011">IFERROR(IF(INDEX(EmployeeData[Exit Reason], ROW() - 37)=0, "",INDEX(EmployeeData[Exit Reason], ROW() - 37)),"")</f>
        <v/>
      </c>
      <c r="J3011" s="4" t="str" cm="1">
        <f t="array" ref="J3011">IFERROR(INDEX(EmployeeData[Status], ROW() - 37), "")</f>
        <v/>
      </c>
    </row>
    <row r="3012" spans="2:10" ht="19.95" customHeight="1" x14ac:dyDescent="0.3">
      <c r="B3012" s="4" t="str" cm="1">
        <f t="array" ref="B3012">IFERROR(INDEX(EmployeeData[Employee ID], ROW() - 37), "")</f>
        <v/>
      </c>
      <c r="C3012" s="4" t="str" cm="1">
        <f t="array" ref="C3012">IFERROR(INDEX(EmployeeData[Full Name], ROW() - 37), "")</f>
        <v/>
      </c>
      <c r="D3012" s="4" t="str" cm="1">
        <f t="array" ref="D3012">IFERROR(INDEX(EmployeeData[Department], ROW() - 37), "")</f>
        <v/>
      </c>
      <c r="E3012" s="4" t="str" cm="1">
        <f t="array" ref="E3012">IFERROR(INDEX(EmployeeData[Gender], ROW() - 37), "")</f>
        <v/>
      </c>
      <c r="F3012" s="4" t="str" cm="1">
        <f t="array" ref="F3012">IFERROR(INDEX(EmployeeData[Age], ROW() - 37), "")</f>
        <v/>
      </c>
      <c r="G3012" s="6" t="str" cm="1">
        <f t="array" ref="G3012">IFERROR(INDEX(EmployeeData[Join Date], ROW() - 37), "")</f>
        <v/>
      </c>
      <c r="H3012" s="6" t="str" cm="1">
        <f t="array" ref="H3012">IFERROR(IF(INDEX(EmployeeData[Exit Date], ROW() - 37)=0, "",INDEX(EmployeeData[Exit Date], ROW() - 37)),"")</f>
        <v/>
      </c>
      <c r="I3012" s="4" t="str" cm="1">
        <f t="array" ref="I3012">IFERROR(IF(INDEX(EmployeeData[Exit Reason], ROW() - 37)=0, "",INDEX(EmployeeData[Exit Reason], ROW() - 37)),"")</f>
        <v/>
      </c>
      <c r="J3012" s="4" t="str" cm="1">
        <f t="array" ref="J3012">IFERROR(INDEX(EmployeeData[Status], ROW() - 37), "")</f>
        <v/>
      </c>
    </row>
    <row r="3013" spans="2:10" ht="19.95" customHeight="1" x14ac:dyDescent="0.3">
      <c r="B3013" s="4" t="str" cm="1">
        <f t="array" ref="B3013">IFERROR(INDEX(EmployeeData[Employee ID], ROW() - 37), "")</f>
        <v/>
      </c>
      <c r="C3013" s="4" t="str" cm="1">
        <f t="array" ref="C3013">IFERROR(INDEX(EmployeeData[Full Name], ROW() - 37), "")</f>
        <v/>
      </c>
      <c r="D3013" s="4" t="str" cm="1">
        <f t="array" ref="D3013">IFERROR(INDEX(EmployeeData[Department], ROW() - 37), "")</f>
        <v/>
      </c>
      <c r="E3013" s="4" t="str" cm="1">
        <f t="array" ref="E3013">IFERROR(INDEX(EmployeeData[Gender], ROW() - 37), "")</f>
        <v/>
      </c>
      <c r="F3013" s="4" t="str" cm="1">
        <f t="array" ref="F3013">IFERROR(INDEX(EmployeeData[Age], ROW() - 37), "")</f>
        <v/>
      </c>
      <c r="G3013" s="6" t="str" cm="1">
        <f t="array" ref="G3013">IFERROR(INDEX(EmployeeData[Join Date], ROW() - 37), "")</f>
        <v/>
      </c>
      <c r="H3013" s="6" t="str" cm="1">
        <f t="array" ref="H3013">IFERROR(IF(INDEX(EmployeeData[Exit Date], ROW() - 37)=0, "",INDEX(EmployeeData[Exit Date], ROW() - 37)),"")</f>
        <v/>
      </c>
      <c r="I3013" s="4" t="str" cm="1">
        <f t="array" ref="I3013">IFERROR(IF(INDEX(EmployeeData[Exit Reason], ROW() - 37)=0, "",INDEX(EmployeeData[Exit Reason], ROW() - 37)),"")</f>
        <v/>
      </c>
      <c r="J3013" s="4" t="str" cm="1">
        <f t="array" ref="J3013">IFERROR(INDEX(EmployeeData[Status], ROW() - 37), "")</f>
        <v/>
      </c>
    </row>
    <row r="3014" spans="2:10" ht="19.95" customHeight="1" x14ac:dyDescent="0.3">
      <c r="B3014" s="4" t="str" cm="1">
        <f t="array" ref="B3014">IFERROR(INDEX(EmployeeData[Employee ID], ROW() - 37), "")</f>
        <v/>
      </c>
      <c r="C3014" s="4" t="str" cm="1">
        <f t="array" ref="C3014">IFERROR(INDEX(EmployeeData[Full Name], ROW() - 37), "")</f>
        <v/>
      </c>
      <c r="D3014" s="4" t="str" cm="1">
        <f t="array" ref="D3014">IFERROR(INDEX(EmployeeData[Department], ROW() - 37), "")</f>
        <v/>
      </c>
      <c r="E3014" s="4" t="str" cm="1">
        <f t="array" ref="E3014">IFERROR(INDEX(EmployeeData[Gender], ROW() - 37), "")</f>
        <v/>
      </c>
      <c r="F3014" s="4" t="str" cm="1">
        <f t="array" ref="F3014">IFERROR(INDEX(EmployeeData[Age], ROW() - 37), "")</f>
        <v/>
      </c>
      <c r="G3014" s="6" t="str" cm="1">
        <f t="array" ref="G3014">IFERROR(INDEX(EmployeeData[Join Date], ROW() - 37), "")</f>
        <v/>
      </c>
      <c r="H3014" s="6" t="str" cm="1">
        <f t="array" ref="H3014">IFERROR(IF(INDEX(EmployeeData[Exit Date], ROW() - 37)=0, "",INDEX(EmployeeData[Exit Date], ROW() - 37)),"")</f>
        <v/>
      </c>
      <c r="I3014" s="4" t="str" cm="1">
        <f t="array" ref="I3014">IFERROR(IF(INDEX(EmployeeData[Exit Reason], ROW() - 37)=0, "",INDEX(EmployeeData[Exit Reason], ROW() - 37)),"")</f>
        <v/>
      </c>
      <c r="J3014" s="4" t="str" cm="1">
        <f t="array" ref="J3014">IFERROR(INDEX(EmployeeData[Status], ROW() - 37), "")</f>
        <v/>
      </c>
    </row>
    <row r="3015" spans="2:10" ht="19.95" customHeight="1" x14ac:dyDescent="0.3">
      <c r="B3015" s="4" t="str" cm="1">
        <f t="array" ref="B3015">IFERROR(INDEX(EmployeeData[Employee ID], ROW() - 37), "")</f>
        <v/>
      </c>
      <c r="C3015" s="4" t="str" cm="1">
        <f t="array" ref="C3015">IFERROR(INDEX(EmployeeData[Full Name], ROW() - 37), "")</f>
        <v/>
      </c>
      <c r="D3015" s="4" t="str" cm="1">
        <f t="array" ref="D3015">IFERROR(INDEX(EmployeeData[Department], ROW() - 37), "")</f>
        <v/>
      </c>
      <c r="E3015" s="4" t="str" cm="1">
        <f t="array" ref="E3015">IFERROR(INDEX(EmployeeData[Gender], ROW() - 37), "")</f>
        <v/>
      </c>
      <c r="F3015" s="4" t="str" cm="1">
        <f t="array" ref="F3015">IFERROR(INDEX(EmployeeData[Age], ROW() - 37), "")</f>
        <v/>
      </c>
      <c r="G3015" s="6" t="str" cm="1">
        <f t="array" ref="G3015">IFERROR(INDEX(EmployeeData[Join Date], ROW() - 37), "")</f>
        <v/>
      </c>
      <c r="H3015" s="6" t="str" cm="1">
        <f t="array" ref="H3015">IFERROR(IF(INDEX(EmployeeData[Exit Date], ROW() - 37)=0, "",INDEX(EmployeeData[Exit Date], ROW() - 37)),"")</f>
        <v/>
      </c>
      <c r="I3015" s="4" t="str" cm="1">
        <f t="array" ref="I3015">IFERROR(IF(INDEX(EmployeeData[Exit Reason], ROW() - 37)=0, "",INDEX(EmployeeData[Exit Reason], ROW() - 37)),"")</f>
        <v/>
      </c>
      <c r="J3015" s="4" t="str" cm="1">
        <f t="array" ref="J3015">IFERROR(INDEX(EmployeeData[Status], ROW() - 37), "")</f>
        <v/>
      </c>
    </row>
    <row r="3016" spans="2:10" ht="19.95" customHeight="1" x14ac:dyDescent="0.3">
      <c r="B3016" s="4" t="str" cm="1">
        <f t="array" ref="B3016">IFERROR(INDEX(EmployeeData[Employee ID], ROW() - 37), "")</f>
        <v/>
      </c>
      <c r="C3016" s="4" t="str" cm="1">
        <f t="array" ref="C3016">IFERROR(INDEX(EmployeeData[Full Name], ROW() - 37), "")</f>
        <v/>
      </c>
      <c r="D3016" s="4" t="str" cm="1">
        <f t="array" ref="D3016">IFERROR(INDEX(EmployeeData[Department], ROW() - 37), "")</f>
        <v/>
      </c>
      <c r="E3016" s="4" t="str" cm="1">
        <f t="array" ref="E3016">IFERROR(INDEX(EmployeeData[Gender], ROW() - 37), "")</f>
        <v/>
      </c>
      <c r="F3016" s="4" t="str" cm="1">
        <f t="array" ref="F3016">IFERROR(INDEX(EmployeeData[Age], ROW() - 37), "")</f>
        <v/>
      </c>
      <c r="G3016" s="6" t="str" cm="1">
        <f t="array" ref="G3016">IFERROR(INDEX(EmployeeData[Join Date], ROW() - 37), "")</f>
        <v/>
      </c>
      <c r="H3016" s="6" t="str" cm="1">
        <f t="array" ref="H3016">IFERROR(IF(INDEX(EmployeeData[Exit Date], ROW() - 37)=0, "",INDEX(EmployeeData[Exit Date], ROW() - 37)),"")</f>
        <v/>
      </c>
      <c r="I3016" s="4" t="str" cm="1">
        <f t="array" ref="I3016">IFERROR(IF(INDEX(EmployeeData[Exit Reason], ROW() - 37)=0, "",INDEX(EmployeeData[Exit Reason], ROW() - 37)),"")</f>
        <v/>
      </c>
      <c r="J3016" s="4" t="str" cm="1">
        <f t="array" ref="J3016">IFERROR(INDEX(EmployeeData[Status], ROW() - 37), "")</f>
        <v/>
      </c>
    </row>
    <row r="3017" spans="2:10" ht="19.95" customHeight="1" x14ac:dyDescent="0.3">
      <c r="B3017" s="4" t="str" cm="1">
        <f t="array" ref="B3017">IFERROR(INDEX(EmployeeData[Employee ID], ROW() - 37), "")</f>
        <v/>
      </c>
      <c r="C3017" s="4" t="str" cm="1">
        <f t="array" ref="C3017">IFERROR(INDEX(EmployeeData[Full Name], ROW() - 37), "")</f>
        <v/>
      </c>
      <c r="D3017" s="4" t="str" cm="1">
        <f t="array" ref="D3017">IFERROR(INDEX(EmployeeData[Department], ROW() - 37), "")</f>
        <v/>
      </c>
      <c r="E3017" s="4" t="str" cm="1">
        <f t="array" ref="E3017">IFERROR(INDEX(EmployeeData[Gender], ROW() - 37), "")</f>
        <v/>
      </c>
      <c r="F3017" s="4" t="str" cm="1">
        <f t="array" ref="F3017">IFERROR(INDEX(EmployeeData[Age], ROW() - 37), "")</f>
        <v/>
      </c>
      <c r="G3017" s="6" t="str" cm="1">
        <f t="array" ref="G3017">IFERROR(INDEX(EmployeeData[Join Date], ROW() - 37), "")</f>
        <v/>
      </c>
      <c r="H3017" s="6" t="str" cm="1">
        <f t="array" ref="H3017">IFERROR(IF(INDEX(EmployeeData[Exit Date], ROW() - 37)=0, "",INDEX(EmployeeData[Exit Date], ROW() - 37)),"")</f>
        <v/>
      </c>
      <c r="I3017" s="4" t="str" cm="1">
        <f t="array" ref="I3017">IFERROR(IF(INDEX(EmployeeData[Exit Reason], ROW() - 37)=0, "",INDEX(EmployeeData[Exit Reason], ROW() - 37)),"")</f>
        <v/>
      </c>
      <c r="J3017" s="4" t="str" cm="1">
        <f t="array" ref="J3017">IFERROR(INDEX(EmployeeData[Status], ROW() - 37), "")</f>
        <v/>
      </c>
    </row>
    <row r="3018" spans="2:10" ht="19.95" customHeight="1" x14ac:dyDescent="0.3">
      <c r="B3018" s="4" t="str" cm="1">
        <f t="array" ref="B3018">IFERROR(INDEX(EmployeeData[Employee ID], ROW() - 37), "")</f>
        <v/>
      </c>
      <c r="C3018" s="4" t="str" cm="1">
        <f t="array" ref="C3018">IFERROR(INDEX(EmployeeData[Full Name], ROW() - 37), "")</f>
        <v/>
      </c>
      <c r="D3018" s="4" t="str" cm="1">
        <f t="array" ref="D3018">IFERROR(INDEX(EmployeeData[Department], ROW() - 37), "")</f>
        <v/>
      </c>
      <c r="E3018" s="4" t="str" cm="1">
        <f t="array" ref="E3018">IFERROR(INDEX(EmployeeData[Gender], ROW() - 37), "")</f>
        <v/>
      </c>
      <c r="F3018" s="4" t="str" cm="1">
        <f t="array" ref="F3018">IFERROR(INDEX(EmployeeData[Age], ROW() - 37), "")</f>
        <v/>
      </c>
      <c r="G3018" s="6" t="str" cm="1">
        <f t="array" ref="G3018">IFERROR(INDEX(EmployeeData[Join Date], ROW() - 37), "")</f>
        <v/>
      </c>
      <c r="H3018" s="6" t="str" cm="1">
        <f t="array" ref="H3018">IFERROR(IF(INDEX(EmployeeData[Exit Date], ROW() - 37)=0, "",INDEX(EmployeeData[Exit Date], ROW() - 37)),"")</f>
        <v/>
      </c>
      <c r="I3018" s="4" t="str" cm="1">
        <f t="array" ref="I3018">IFERROR(IF(INDEX(EmployeeData[Exit Reason], ROW() - 37)=0, "",INDEX(EmployeeData[Exit Reason], ROW() - 37)),"")</f>
        <v/>
      </c>
      <c r="J3018" s="4" t="str" cm="1">
        <f t="array" ref="J3018">IFERROR(INDEX(EmployeeData[Status], ROW() - 37), "")</f>
        <v/>
      </c>
    </row>
    <row r="3019" spans="2:10" ht="19.95" customHeight="1" x14ac:dyDescent="0.3">
      <c r="B3019" s="4" t="str" cm="1">
        <f t="array" ref="B3019">IFERROR(INDEX(EmployeeData[Employee ID], ROW() - 37), "")</f>
        <v/>
      </c>
      <c r="C3019" s="4" t="str" cm="1">
        <f t="array" ref="C3019">IFERROR(INDEX(EmployeeData[Full Name], ROW() - 37), "")</f>
        <v/>
      </c>
      <c r="D3019" s="4" t="str" cm="1">
        <f t="array" ref="D3019">IFERROR(INDEX(EmployeeData[Department], ROW() - 37), "")</f>
        <v/>
      </c>
      <c r="E3019" s="4" t="str" cm="1">
        <f t="array" ref="E3019">IFERROR(INDEX(EmployeeData[Gender], ROW() - 37), "")</f>
        <v/>
      </c>
      <c r="F3019" s="4" t="str" cm="1">
        <f t="array" ref="F3019">IFERROR(INDEX(EmployeeData[Age], ROW() - 37), "")</f>
        <v/>
      </c>
      <c r="G3019" s="6" t="str" cm="1">
        <f t="array" ref="G3019">IFERROR(INDEX(EmployeeData[Join Date], ROW() - 37), "")</f>
        <v/>
      </c>
      <c r="H3019" s="6" t="str" cm="1">
        <f t="array" ref="H3019">IFERROR(IF(INDEX(EmployeeData[Exit Date], ROW() - 37)=0, "",INDEX(EmployeeData[Exit Date], ROW() - 37)),"")</f>
        <v/>
      </c>
      <c r="I3019" s="4" t="str" cm="1">
        <f t="array" ref="I3019">IFERROR(IF(INDEX(EmployeeData[Exit Reason], ROW() - 37)=0, "",INDEX(EmployeeData[Exit Reason], ROW() - 37)),"")</f>
        <v/>
      </c>
      <c r="J3019" s="4" t="str" cm="1">
        <f t="array" ref="J3019">IFERROR(INDEX(EmployeeData[Status], ROW() - 37), "")</f>
        <v/>
      </c>
    </row>
    <row r="3020" spans="2:10" ht="19.95" customHeight="1" x14ac:dyDescent="0.3">
      <c r="B3020" s="4" t="str" cm="1">
        <f t="array" ref="B3020">IFERROR(INDEX(EmployeeData[Employee ID], ROW() - 37), "")</f>
        <v/>
      </c>
      <c r="C3020" s="4" t="str" cm="1">
        <f t="array" ref="C3020">IFERROR(INDEX(EmployeeData[Full Name], ROW() - 37), "")</f>
        <v/>
      </c>
      <c r="D3020" s="4" t="str" cm="1">
        <f t="array" ref="D3020">IFERROR(INDEX(EmployeeData[Department], ROW() - 37), "")</f>
        <v/>
      </c>
      <c r="E3020" s="4" t="str" cm="1">
        <f t="array" ref="E3020">IFERROR(INDEX(EmployeeData[Gender], ROW() - 37), "")</f>
        <v/>
      </c>
      <c r="F3020" s="4" t="str" cm="1">
        <f t="array" ref="F3020">IFERROR(INDEX(EmployeeData[Age], ROW() - 37), "")</f>
        <v/>
      </c>
      <c r="G3020" s="6" t="str" cm="1">
        <f t="array" ref="G3020">IFERROR(INDEX(EmployeeData[Join Date], ROW() - 37), "")</f>
        <v/>
      </c>
      <c r="H3020" s="6" t="str" cm="1">
        <f t="array" ref="H3020">IFERROR(IF(INDEX(EmployeeData[Exit Date], ROW() - 37)=0, "",INDEX(EmployeeData[Exit Date], ROW() - 37)),"")</f>
        <v/>
      </c>
      <c r="I3020" s="4" t="str" cm="1">
        <f t="array" ref="I3020">IFERROR(IF(INDEX(EmployeeData[Exit Reason], ROW() - 37)=0, "",INDEX(EmployeeData[Exit Reason], ROW() - 37)),"")</f>
        <v/>
      </c>
      <c r="J3020" s="4" t="str" cm="1">
        <f t="array" ref="J3020">IFERROR(INDEX(EmployeeData[Status], ROW() - 37), "")</f>
        <v/>
      </c>
    </row>
    <row r="3021" spans="2:10" ht="19.95" customHeight="1" x14ac:dyDescent="0.3">
      <c r="B3021" s="4" t="str" cm="1">
        <f t="array" ref="B3021">IFERROR(INDEX(EmployeeData[Employee ID], ROW() - 37), "")</f>
        <v/>
      </c>
      <c r="C3021" s="4" t="str" cm="1">
        <f t="array" ref="C3021">IFERROR(INDEX(EmployeeData[Full Name], ROW() - 37), "")</f>
        <v/>
      </c>
      <c r="D3021" s="4" t="str" cm="1">
        <f t="array" ref="D3021">IFERROR(INDEX(EmployeeData[Department], ROW() - 37), "")</f>
        <v/>
      </c>
      <c r="E3021" s="4" t="str" cm="1">
        <f t="array" ref="E3021">IFERROR(INDEX(EmployeeData[Gender], ROW() - 37), "")</f>
        <v/>
      </c>
      <c r="F3021" s="4" t="str" cm="1">
        <f t="array" ref="F3021">IFERROR(INDEX(EmployeeData[Age], ROW() - 37), "")</f>
        <v/>
      </c>
      <c r="G3021" s="6" t="str" cm="1">
        <f t="array" ref="G3021">IFERROR(INDEX(EmployeeData[Join Date], ROW() - 37), "")</f>
        <v/>
      </c>
      <c r="H3021" s="6" t="str" cm="1">
        <f t="array" ref="H3021">IFERROR(IF(INDEX(EmployeeData[Exit Date], ROW() - 37)=0, "",INDEX(EmployeeData[Exit Date], ROW() - 37)),"")</f>
        <v/>
      </c>
      <c r="I3021" s="4" t="str" cm="1">
        <f t="array" ref="I3021">IFERROR(IF(INDEX(EmployeeData[Exit Reason], ROW() - 37)=0, "",INDEX(EmployeeData[Exit Reason], ROW() - 37)),"")</f>
        <v/>
      </c>
      <c r="J3021" s="4" t="str" cm="1">
        <f t="array" ref="J3021">IFERROR(INDEX(EmployeeData[Status], ROW() - 37), "")</f>
        <v/>
      </c>
    </row>
    <row r="3022" spans="2:10" ht="19.95" customHeight="1" x14ac:dyDescent="0.3">
      <c r="B3022" s="4" t="str" cm="1">
        <f t="array" ref="B3022">IFERROR(INDEX(EmployeeData[Employee ID], ROW() - 37), "")</f>
        <v/>
      </c>
      <c r="C3022" s="4" t="str" cm="1">
        <f t="array" ref="C3022">IFERROR(INDEX(EmployeeData[Full Name], ROW() - 37), "")</f>
        <v/>
      </c>
      <c r="D3022" s="4" t="str" cm="1">
        <f t="array" ref="D3022">IFERROR(INDEX(EmployeeData[Department], ROW() - 37), "")</f>
        <v/>
      </c>
      <c r="E3022" s="4" t="str" cm="1">
        <f t="array" ref="E3022">IFERROR(INDEX(EmployeeData[Gender], ROW() - 37), "")</f>
        <v/>
      </c>
      <c r="F3022" s="4" t="str" cm="1">
        <f t="array" ref="F3022">IFERROR(INDEX(EmployeeData[Age], ROW() - 37), "")</f>
        <v/>
      </c>
      <c r="G3022" s="6" t="str" cm="1">
        <f t="array" ref="G3022">IFERROR(INDEX(EmployeeData[Join Date], ROW() - 37), "")</f>
        <v/>
      </c>
      <c r="H3022" s="6" t="str" cm="1">
        <f t="array" ref="H3022">IFERROR(IF(INDEX(EmployeeData[Exit Date], ROW() - 37)=0, "",INDEX(EmployeeData[Exit Date], ROW() - 37)),"")</f>
        <v/>
      </c>
      <c r="I3022" s="4" t="str" cm="1">
        <f t="array" ref="I3022">IFERROR(IF(INDEX(EmployeeData[Exit Reason], ROW() - 37)=0, "",INDEX(EmployeeData[Exit Reason], ROW() - 37)),"")</f>
        <v/>
      </c>
      <c r="J3022" s="4" t="str" cm="1">
        <f t="array" ref="J3022">IFERROR(INDEX(EmployeeData[Status], ROW() - 37), "")</f>
        <v/>
      </c>
    </row>
    <row r="3023" spans="2:10" ht="19.95" customHeight="1" x14ac:dyDescent="0.3">
      <c r="B3023" s="4" t="str" cm="1">
        <f t="array" ref="B3023">IFERROR(INDEX(EmployeeData[Employee ID], ROW() - 37), "")</f>
        <v/>
      </c>
      <c r="C3023" s="4" t="str" cm="1">
        <f t="array" ref="C3023">IFERROR(INDEX(EmployeeData[Full Name], ROW() - 37), "")</f>
        <v/>
      </c>
      <c r="D3023" s="4" t="str" cm="1">
        <f t="array" ref="D3023">IFERROR(INDEX(EmployeeData[Department], ROW() - 37), "")</f>
        <v/>
      </c>
      <c r="E3023" s="4" t="str" cm="1">
        <f t="array" ref="E3023">IFERROR(INDEX(EmployeeData[Gender], ROW() - 37), "")</f>
        <v/>
      </c>
      <c r="F3023" s="4" t="str" cm="1">
        <f t="array" ref="F3023">IFERROR(INDEX(EmployeeData[Age], ROW() - 37), "")</f>
        <v/>
      </c>
      <c r="G3023" s="6" t="str" cm="1">
        <f t="array" ref="G3023">IFERROR(INDEX(EmployeeData[Join Date], ROW() - 37), "")</f>
        <v/>
      </c>
      <c r="H3023" s="6" t="str" cm="1">
        <f t="array" ref="H3023">IFERROR(IF(INDEX(EmployeeData[Exit Date], ROW() - 37)=0, "",INDEX(EmployeeData[Exit Date], ROW() - 37)),"")</f>
        <v/>
      </c>
      <c r="I3023" s="4" t="str" cm="1">
        <f t="array" ref="I3023">IFERROR(IF(INDEX(EmployeeData[Exit Reason], ROW() - 37)=0, "",INDEX(EmployeeData[Exit Reason], ROW() - 37)),"")</f>
        <v/>
      </c>
      <c r="J3023" s="4" t="str" cm="1">
        <f t="array" ref="J3023">IFERROR(INDEX(EmployeeData[Status], ROW() - 37), "")</f>
        <v/>
      </c>
    </row>
    <row r="3024" spans="2:10" ht="19.95" customHeight="1" x14ac:dyDescent="0.3">
      <c r="B3024" s="4" t="str" cm="1">
        <f t="array" ref="B3024">IFERROR(INDEX(EmployeeData[Employee ID], ROW() - 37), "")</f>
        <v/>
      </c>
      <c r="C3024" s="4" t="str" cm="1">
        <f t="array" ref="C3024">IFERROR(INDEX(EmployeeData[Full Name], ROW() - 37), "")</f>
        <v/>
      </c>
      <c r="D3024" s="4" t="str" cm="1">
        <f t="array" ref="D3024">IFERROR(INDEX(EmployeeData[Department], ROW() - 37), "")</f>
        <v/>
      </c>
      <c r="E3024" s="4" t="str" cm="1">
        <f t="array" ref="E3024">IFERROR(INDEX(EmployeeData[Gender], ROW() - 37), "")</f>
        <v/>
      </c>
      <c r="F3024" s="4" t="str" cm="1">
        <f t="array" ref="F3024">IFERROR(INDEX(EmployeeData[Age], ROW() - 37), "")</f>
        <v/>
      </c>
      <c r="G3024" s="6" t="str" cm="1">
        <f t="array" ref="G3024">IFERROR(INDEX(EmployeeData[Join Date], ROW() - 37), "")</f>
        <v/>
      </c>
      <c r="H3024" s="6" t="str" cm="1">
        <f t="array" ref="H3024">IFERROR(IF(INDEX(EmployeeData[Exit Date], ROW() - 37)=0, "",INDEX(EmployeeData[Exit Date], ROW() - 37)),"")</f>
        <v/>
      </c>
      <c r="I3024" s="4" t="str" cm="1">
        <f t="array" ref="I3024">IFERROR(IF(INDEX(EmployeeData[Exit Reason], ROW() - 37)=0, "",INDEX(EmployeeData[Exit Reason], ROW() - 37)),"")</f>
        <v/>
      </c>
      <c r="J3024" s="4" t="str" cm="1">
        <f t="array" ref="J3024">IFERROR(INDEX(EmployeeData[Status], ROW() - 37), "")</f>
        <v/>
      </c>
    </row>
    <row r="3025" spans="2:10" ht="19.95" customHeight="1" x14ac:dyDescent="0.3">
      <c r="B3025" s="4" t="str" cm="1">
        <f t="array" ref="B3025">IFERROR(INDEX(EmployeeData[Employee ID], ROW() - 37), "")</f>
        <v/>
      </c>
      <c r="C3025" s="4" t="str" cm="1">
        <f t="array" ref="C3025">IFERROR(INDEX(EmployeeData[Full Name], ROW() - 37), "")</f>
        <v/>
      </c>
      <c r="D3025" s="4" t="str" cm="1">
        <f t="array" ref="D3025">IFERROR(INDEX(EmployeeData[Department], ROW() - 37), "")</f>
        <v/>
      </c>
      <c r="E3025" s="4" t="str" cm="1">
        <f t="array" ref="E3025">IFERROR(INDEX(EmployeeData[Gender], ROW() - 37), "")</f>
        <v/>
      </c>
      <c r="F3025" s="4" t="str" cm="1">
        <f t="array" ref="F3025">IFERROR(INDEX(EmployeeData[Age], ROW() - 37), "")</f>
        <v/>
      </c>
      <c r="G3025" s="6" t="str" cm="1">
        <f t="array" ref="G3025">IFERROR(INDEX(EmployeeData[Join Date], ROW() - 37), "")</f>
        <v/>
      </c>
      <c r="H3025" s="6" t="str" cm="1">
        <f t="array" ref="H3025">IFERROR(IF(INDEX(EmployeeData[Exit Date], ROW() - 37)=0, "",INDEX(EmployeeData[Exit Date], ROW() - 37)),"")</f>
        <v/>
      </c>
      <c r="I3025" s="4" t="str" cm="1">
        <f t="array" ref="I3025">IFERROR(IF(INDEX(EmployeeData[Exit Reason], ROW() - 37)=0, "",INDEX(EmployeeData[Exit Reason], ROW() - 37)),"")</f>
        <v/>
      </c>
      <c r="J3025" s="4" t="str" cm="1">
        <f t="array" ref="J3025">IFERROR(INDEX(EmployeeData[Status], ROW() - 37), "")</f>
        <v/>
      </c>
    </row>
    <row r="3026" spans="2:10" ht="19.95" customHeight="1" x14ac:dyDescent="0.3">
      <c r="B3026" s="4" t="str" cm="1">
        <f t="array" ref="B3026">IFERROR(INDEX(EmployeeData[Employee ID], ROW() - 37), "")</f>
        <v/>
      </c>
      <c r="C3026" s="4" t="str" cm="1">
        <f t="array" ref="C3026">IFERROR(INDEX(EmployeeData[Full Name], ROW() - 37), "")</f>
        <v/>
      </c>
      <c r="D3026" s="4" t="str" cm="1">
        <f t="array" ref="D3026">IFERROR(INDEX(EmployeeData[Department], ROW() - 37), "")</f>
        <v/>
      </c>
      <c r="E3026" s="4" t="str" cm="1">
        <f t="array" ref="E3026">IFERROR(INDEX(EmployeeData[Gender], ROW() - 37), "")</f>
        <v/>
      </c>
      <c r="F3026" s="4" t="str" cm="1">
        <f t="array" ref="F3026">IFERROR(INDEX(EmployeeData[Age], ROW() - 37), "")</f>
        <v/>
      </c>
      <c r="G3026" s="6" t="str" cm="1">
        <f t="array" ref="G3026">IFERROR(INDEX(EmployeeData[Join Date], ROW() - 37), "")</f>
        <v/>
      </c>
      <c r="H3026" s="6" t="str" cm="1">
        <f t="array" ref="H3026">IFERROR(IF(INDEX(EmployeeData[Exit Date], ROW() - 37)=0, "",INDEX(EmployeeData[Exit Date], ROW() - 37)),"")</f>
        <v/>
      </c>
      <c r="I3026" s="4" t="str" cm="1">
        <f t="array" ref="I3026">IFERROR(IF(INDEX(EmployeeData[Exit Reason], ROW() - 37)=0, "",INDEX(EmployeeData[Exit Reason], ROW() - 37)),"")</f>
        <v/>
      </c>
      <c r="J3026" s="4" t="str" cm="1">
        <f t="array" ref="J3026">IFERROR(INDEX(EmployeeData[Status], ROW() - 37), "")</f>
        <v/>
      </c>
    </row>
    <row r="3027" spans="2:10" ht="19.95" customHeight="1" x14ac:dyDescent="0.3">
      <c r="B3027" s="4" t="str" cm="1">
        <f t="array" ref="B3027">IFERROR(INDEX(EmployeeData[Employee ID], ROW() - 37), "")</f>
        <v/>
      </c>
      <c r="C3027" s="4" t="str" cm="1">
        <f t="array" ref="C3027">IFERROR(INDEX(EmployeeData[Full Name], ROW() - 37), "")</f>
        <v/>
      </c>
      <c r="D3027" s="4" t="str" cm="1">
        <f t="array" ref="D3027">IFERROR(INDEX(EmployeeData[Department], ROW() - 37), "")</f>
        <v/>
      </c>
      <c r="E3027" s="4" t="str" cm="1">
        <f t="array" ref="E3027">IFERROR(INDEX(EmployeeData[Gender], ROW() - 37), "")</f>
        <v/>
      </c>
      <c r="F3027" s="4" t="str" cm="1">
        <f t="array" ref="F3027">IFERROR(INDEX(EmployeeData[Age], ROW() - 37), "")</f>
        <v/>
      </c>
      <c r="G3027" s="6" t="str" cm="1">
        <f t="array" ref="G3027">IFERROR(INDEX(EmployeeData[Join Date], ROW() - 37), "")</f>
        <v/>
      </c>
      <c r="H3027" s="6" t="str" cm="1">
        <f t="array" ref="H3027">IFERROR(IF(INDEX(EmployeeData[Exit Date], ROW() - 37)=0, "",INDEX(EmployeeData[Exit Date], ROW() - 37)),"")</f>
        <v/>
      </c>
      <c r="I3027" s="4" t="str" cm="1">
        <f t="array" ref="I3027">IFERROR(IF(INDEX(EmployeeData[Exit Reason], ROW() - 37)=0, "",INDEX(EmployeeData[Exit Reason], ROW() - 37)),"")</f>
        <v/>
      </c>
      <c r="J3027" s="4" t="str" cm="1">
        <f t="array" ref="J3027">IFERROR(INDEX(EmployeeData[Status], ROW() - 37), "")</f>
        <v/>
      </c>
    </row>
    <row r="3028" spans="2:10" ht="19.95" customHeight="1" x14ac:dyDescent="0.3">
      <c r="B3028" s="4" t="str" cm="1">
        <f t="array" ref="B3028">IFERROR(INDEX(EmployeeData[Employee ID], ROW() - 37), "")</f>
        <v/>
      </c>
      <c r="C3028" s="4" t="str" cm="1">
        <f t="array" ref="C3028">IFERROR(INDEX(EmployeeData[Full Name], ROW() - 37), "")</f>
        <v/>
      </c>
      <c r="D3028" s="4" t="str" cm="1">
        <f t="array" ref="D3028">IFERROR(INDEX(EmployeeData[Department], ROW() - 37), "")</f>
        <v/>
      </c>
      <c r="E3028" s="4" t="str" cm="1">
        <f t="array" ref="E3028">IFERROR(INDEX(EmployeeData[Gender], ROW() - 37), "")</f>
        <v/>
      </c>
      <c r="F3028" s="4" t="str" cm="1">
        <f t="array" ref="F3028">IFERROR(INDEX(EmployeeData[Age], ROW() - 37), "")</f>
        <v/>
      </c>
      <c r="G3028" s="6" t="str" cm="1">
        <f t="array" ref="G3028">IFERROR(INDEX(EmployeeData[Join Date], ROW() - 37), "")</f>
        <v/>
      </c>
      <c r="H3028" s="6" t="str" cm="1">
        <f t="array" ref="H3028">IFERROR(IF(INDEX(EmployeeData[Exit Date], ROW() - 37)=0, "",INDEX(EmployeeData[Exit Date], ROW() - 37)),"")</f>
        <v/>
      </c>
      <c r="I3028" s="4" t="str" cm="1">
        <f t="array" ref="I3028">IFERROR(IF(INDEX(EmployeeData[Exit Reason], ROW() - 37)=0, "",INDEX(EmployeeData[Exit Reason], ROW() - 37)),"")</f>
        <v/>
      </c>
      <c r="J3028" s="4" t="str" cm="1">
        <f t="array" ref="J3028">IFERROR(INDEX(EmployeeData[Status], ROW() - 37), "")</f>
        <v/>
      </c>
    </row>
    <row r="3029" spans="2:10" ht="19.95" customHeight="1" x14ac:dyDescent="0.3">
      <c r="B3029" s="4" t="str" cm="1">
        <f t="array" ref="B3029">IFERROR(INDEX(EmployeeData[Employee ID], ROW() - 37), "")</f>
        <v/>
      </c>
      <c r="C3029" s="4" t="str" cm="1">
        <f t="array" ref="C3029">IFERROR(INDEX(EmployeeData[Full Name], ROW() - 37), "")</f>
        <v/>
      </c>
      <c r="D3029" s="4" t="str" cm="1">
        <f t="array" ref="D3029">IFERROR(INDEX(EmployeeData[Department], ROW() - 37), "")</f>
        <v/>
      </c>
      <c r="E3029" s="4" t="str" cm="1">
        <f t="array" ref="E3029">IFERROR(INDEX(EmployeeData[Gender], ROW() - 37), "")</f>
        <v/>
      </c>
      <c r="F3029" s="4" t="str" cm="1">
        <f t="array" ref="F3029">IFERROR(INDEX(EmployeeData[Age], ROW() - 37), "")</f>
        <v/>
      </c>
      <c r="G3029" s="6" t="str" cm="1">
        <f t="array" ref="G3029">IFERROR(INDEX(EmployeeData[Join Date], ROW() - 37), "")</f>
        <v/>
      </c>
      <c r="H3029" s="6" t="str" cm="1">
        <f t="array" ref="H3029">IFERROR(IF(INDEX(EmployeeData[Exit Date], ROW() - 37)=0, "",INDEX(EmployeeData[Exit Date], ROW() - 37)),"")</f>
        <v/>
      </c>
      <c r="I3029" s="4" t="str" cm="1">
        <f t="array" ref="I3029">IFERROR(IF(INDEX(EmployeeData[Exit Reason], ROW() - 37)=0, "",INDEX(EmployeeData[Exit Reason], ROW() - 37)),"")</f>
        <v/>
      </c>
      <c r="J3029" s="4" t="str" cm="1">
        <f t="array" ref="J3029">IFERROR(INDEX(EmployeeData[Status], ROW() - 37), "")</f>
        <v/>
      </c>
    </row>
    <row r="3030" spans="2:10" ht="19.95" customHeight="1" x14ac:dyDescent="0.3">
      <c r="B3030" s="4" t="str" cm="1">
        <f t="array" ref="B3030">IFERROR(INDEX(EmployeeData[Employee ID], ROW() - 37), "")</f>
        <v/>
      </c>
      <c r="C3030" s="4" t="str" cm="1">
        <f t="array" ref="C3030">IFERROR(INDEX(EmployeeData[Full Name], ROW() - 37), "")</f>
        <v/>
      </c>
      <c r="D3030" s="4" t="str" cm="1">
        <f t="array" ref="D3030">IFERROR(INDEX(EmployeeData[Department], ROW() - 37), "")</f>
        <v/>
      </c>
      <c r="E3030" s="4" t="str" cm="1">
        <f t="array" ref="E3030">IFERROR(INDEX(EmployeeData[Gender], ROW() - 37), "")</f>
        <v/>
      </c>
      <c r="F3030" s="4" t="str" cm="1">
        <f t="array" ref="F3030">IFERROR(INDEX(EmployeeData[Age], ROW() - 37), "")</f>
        <v/>
      </c>
      <c r="G3030" s="6" t="str" cm="1">
        <f t="array" ref="G3030">IFERROR(INDEX(EmployeeData[Join Date], ROW() - 37), "")</f>
        <v/>
      </c>
      <c r="H3030" s="6" t="str" cm="1">
        <f t="array" ref="H3030">IFERROR(IF(INDEX(EmployeeData[Exit Date], ROW() - 37)=0, "",INDEX(EmployeeData[Exit Date], ROW() - 37)),"")</f>
        <v/>
      </c>
      <c r="I3030" s="4" t="str" cm="1">
        <f t="array" ref="I3030">IFERROR(IF(INDEX(EmployeeData[Exit Reason], ROW() - 37)=0, "",INDEX(EmployeeData[Exit Reason], ROW() - 37)),"")</f>
        <v/>
      </c>
      <c r="J3030" s="4" t="str" cm="1">
        <f t="array" ref="J3030">IFERROR(INDEX(EmployeeData[Status], ROW() - 37), "")</f>
        <v/>
      </c>
    </row>
    <row r="3031" spans="2:10" ht="19.95" customHeight="1" x14ac:dyDescent="0.3">
      <c r="B3031" s="4" t="str" cm="1">
        <f t="array" ref="B3031">IFERROR(INDEX(EmployeeData[Employee ID], ROW() - 37), "")</f>
        <v/>
      </c>
      <c r="C3031" s="4" t="str" cm="1">
        <f t="array" ref="C3031">IFERROR(INDEX(EmployeeData[Full Name], ROW() - 37), "")</f>
        <v/>
      </c>
      <c r="D3031" s="4" t="str" cm="1">
        <f t="array" ref="D3031">IFERROR(INDEX(EmployeeData[Department], ROW() - 37), "")</f>
        <v/>
      </c>
      <c r="E3031" s="4" t="str" cm="1">
        <f t="array" ref="E3031">IFERROR(INDEX(EmployeeData[Gender], ROW() - 37), "")</f>
        <v/>
      </c>
      <c r="F3031" s="4" t="str" cm="1">
        <f t="array" ref="F3031">IFERROR(INDEX(EmployeeData[Age], ROW() - 37), "")</f>
        <v/>
      </c>
      <c r="G3031" s="6" t="str" cm="1">
        <f t="array" ref="G3031">IFERROR(INDEX(EmployeeData[Join Date], ROW() - 37), "")</f>
        <v/>
      </c>
      <c r="H3031" s="6" t="str" cm="1">
        <f t="array" ref="H3031">IFERROR(IF(INDEX(EmployeeData[Exit Date], ROW() - 37)=0, "",INDEX(EmployeeData[Exit Date], ROW() - 37)),"")</f>
        <v/>
      </c>
      <c r="I3031" s="4" t="str" cm="1">
        <f t="array" ref="I3031">IFERROR(IF(INDEX(EmployeeData[Exit Reason], ROW() - 37)=0, "",INDEX(EmployeeData[Exit Reason], ROW() - 37)),"")</f>
        <v/>
      </c>
      <c r="J3031" s="4" t="str" cm="1">
        <f t="array" ref="J3031">IFERROR(INDEX(EmployeeData[Status], ROW() - 37), "")</f>
        <v/>
      </c>
    </row>
    <row r="3032" spans="2:10" ht="19.95" customHeight="1" x14ac:dyDescent="0.3">
      <c r="B3032" s="4" t="str" cm="1">
        <f t="array" ref="B3032">IFERROR(INDEX(EmployeeData[Employee ID], ROW() - 37), "")</f>
        <v/>
      </c>
      <c r="C3032" s="4" t="str" cm="1">
        <f t="array" ref="C3032">IFERROR(INDEX(EmployeeData[Full Name], ROW() - 37), "")</f>
        <v/>
      </c>
      <c r="D3032" s="4" t="str" cm="1">
        <f t="array" ref="D3032">IFERROR(INDEX(EmployeeData[Department], ROW() - 37), "")</f>
        <v/>
      </c>
      <c r="E3032" s="4" t="str" cm="1">
        <f t="array" ref="E3032">IFERROR(INDEX(EmployeeData[Gender], ROW() - 37), "")</f>
        <v/>
      </c>
      <c r="F3032" s="4" t="str" cm="1">
        <f t="array" ref="F3032">IFERROR(INDEX(EmployeeData[Age], ROW() - 37), "")</f>
        <v/>
      </c>
      <c r="G3032" s="6" t="str" cm="1">
        <f t="array" ref="G3032">IFERROR(INDEX(EmployeeData[Join Date], ROW() - 37), "")</f>
        <v/>
      </c>
      <c r="H3032" s="6" t="str" cm="1">
        <f t="array" ref="H3032">IFERROR(IF(INDEX(EmployeeData[Exit Date], ROW() - 37)=0, "",INDEX(EmployeeData[Exit Date], ROW() - 37)),"")</f>
        <v/>
      </c>
      <c r="I3032" s="4" t="str" cm="1">
        <f t="array" ref="I3032">IFERROR(IF(INDEX(EmployeeData[Exit Reason], ROW() - 37)=0, "",INDEX(EmployeeData[Exit Reason], ROW() - 37)),"")</f>
        <v/>
      </c>
      <c r="J3032" s="4" t="str" cm="1">
        <f t="array" ref="J3032">IFERROR(INDEX(EmployeeData[Status], ROW() - 37), "")</f>
        <v/>
      </c>
    </row>
    <row r="3033" spans="2:10" ht="19.95" customHeight="1" x14ac:dyDescent="0.3">
      <c r="B3033" s="4" t="str" cm="1">
        <f t="array" ref="B3033">IFERROR(INDEX(EmployeeData[Employee ID], ROW() - 37), "")</f>
        <v/>
      </c>
      <c r="C3033" s="4" t="str" cm="1">
        <f t="array" ref="C3033">IFERROR(INDEX(EmployeeData[Full Name], ROW() - 37), "")</f>
        <v/>
      </c>
      <c r="D3033" s="4" t="str" cm="1">
        <f t="array" ref="D3033">IFERROR(INDEX(EmployeeData[Department], ROW() - 37), "")</f>
        <v/>
      </c>
      <c r="E3033" s="4" t="str" cm="1">
        <f t="array" ref="E3033">IFERROR(INDEX(EmployeeData[Gender], ROW() - 37), "")</f>
        <v/>
      </c>
      <c r="F3033" s="4" t="str" cm="1">
        <f t="array" ref="F3033">IFERROR(INDEX(EmployeeData[Age], ROW() - 37), "")</f>
        <v/>
      </c>
      <c r="G3033" s="6" t="str" cm="1">
        <f t="array" ref="G3033">IFERROR(INDEX(EmployeeData[Join Date], ROW() - 37), "")</f>
        <v/>
      </c>
      <c r="H3033" s="6" t="str" cm="1">
        <f t="array" ref="H3033">IFERROR(IF(INDEX(EmployeeData[Exit Date], ROW() - 37)=0, "",INDEX(EmployeeData[Exit Date], ROW() - 37)),"")</f>
        <v/>
      </c>
      <c r="I3033" s="4" t="str" cm="1">
        <f t="array" ref="I3033">IFERROR(IF(INDEX(EmployeeData[Exit Reason], ROW() - 37)=0, "",INDEX(EmployeeData[Exit Reason], ROW() - 37)),"")</f>
        <v/>
      </c>
      <c r="J3033" s="4" t="str" cm="1">
        <f t="array" ref="J3033">IFERROR(INDEX(EmployeeData[Status], ROW() - 37), "")</f>
        <v/>
      </c>
    </row>
    <row r="3034" spans="2:10" ht="19.95" customHeight="1" x14ac:dyDescent="0.3">
      <c r="B3034" s="4" t="str" cm="1">
        <f t="array" ref="B3034">IFERROR(INDEX(EmployeeData[Employee ID], ROW() - 37), "")</f>
        <v/>
      </c>
      <c r="C3034" s="4" t="str" cm="1">
        <f t="array" ref="C3034">IFERROR(INDEX(EmployeeData[Full Name], ROW() - 37), "")</f>
        <v/>
      </c>
      <c r="D3034" s="4" t="str" cm="1">
        <f t="array" ref="D3034">IFERROR(INDEX(EmployeeData[Department], ROW() - 37), "")</f>
        <v/>
      </c>
      <c r="E3034" s="4" t="str" cm="1">
        <f t="array" ref="E3034">IFERROR(INDEX(EmployeeData[Gender], ROW() - 37), "")</f>
        <v/>
      </c>
      <c r="F3034" s="4" t="str" cm="1">
        <f t="array" ref="F3034">IFERROR(INDEX(EmployeeData[Age], ROW() - 37), "")</f>
        <v/>
      </c>
      <c r="G3034" s="6" t="str" cm="1">
        <f t="array" ref="G3034">IFERROR(INDEX(EmployeeData[Join Date], ROW() - 37), "")</f>
        <v/>
      </c>
      <c r="H3034" s="6" t="str" cm="1">
        <f t="array" ref="H3034">IFERROR(IF(INDEX(EmployeeData[Exit Date], ROW() - 37)=0, "",INDEX(EmployeeData[Exit Date], ROW() - 37)),"")</f>
        <v/>
      </c>
      <c r="I3034" s="4" t="str" cm="1">
        <f t="array" ref="I3034">IFERROR(IF(INDEX(EmployeeData[Exit Reason], ROW() - 37)=0, "",INDEX(EmployeeData[Exit Reason], ROW() - 37)),"")</f>
        <v/>
      </c>
      <c r="J3034" s="4" t="str" cm="1">
        <f t="array" ref="J3034">IFERROR(INDEX(EmployeeData[Status], ROW() - 37), "")</f>
        <v/>
      </c>
    </row>
    <row r="3035" spans="2:10" ht="19.95" customHeight="1" x14ac:dyDescent="0.3">
      <c r="B3035" s="4" t="str" cm="1">
        <f t="array" ref="B3035">IFERROR(INDEX(EmployeeData[Employee ID], ROW() - 37), "")</f>
        <v/>
      </c>
      <c r="C3035" s="4" t="str" cm="1">
        <f t="array" ref="C3035">IFERROR(INDEX(EmployeeData[Full Name], ROW() - 37), "")</f>
        <v/>
      </c>
      <c r="D3035" s="4" t="str" cm="1">
        <f t="array" ref="D3035">IFERROR(INDEX(EmployeeData[Department], ROW() - 37), "")</f>
        <v/>
      </c>
      <c r="E3035" s="4" t="str" cm="1">
        <f t="array" ref="E3035">IFERROR(INDEX(EmployeeData[Gender], ROW() - 37), "")</f>
        <v/>
      </c>
      <c r="F3035" s="4" t="str" cm="1">
        <f t="array" ref="F3035">IFERROR(INDEX(EmployeeData[Age], ROW() - 37), "")</f>
        <v/>
      </c>
      <c r="G3035" s="6" t="str" cm="1">
        <f t="array" ref="G3035">IFERROR(INDEX(EmployeeData[Join Date], ROW() - 37), "")</f>
        <v/>
      </c>
      <c r="H3035" s="6" t="str" cm="1">
        <f t="array" ref="H3035">IFERROR(IF(INDEX(EmployeeData[Exit Date], ROW() - 37)=0, "",INDEX(EmployeeData[Exit Date], ROW() - 37)),"")</f>
        <v/>
      </c>
      <c r="I3035" s="4" t="str" cm="1">
        <f t="array" ref="I3035">IFERROR(IF(INDEX(EmployeeData[Exit Reason], ROW() - 37)=0, "",INDEX(EmployeeData[Exit Reason], ROW() - 37)),"")</f>
        <v/>
      </c>
      <c r="J3035" s="4" t="str" cm="1">
        <f t="array" ref="J3035">IFERROR(INDEX(EmployeeData[Status], ROW() - 37), "")</f>
        <v/>
      </c>
    </row>
    <row r="3036" spans="2:10" ht="19.95" customHeight="1" x14ac:dyDescent="0.3">
      <c r="B3036" s="4" t="str" cm="1">
        <f t="array" ref="B3036">IFERROR(INDEX(EmployeeData[Employee ID], ROW() - 37), "")</f>
        <v/>
      </c>
      <c r="C3036" s="4" t="str" cm="1">
        <f t="array" ref="C3036">IFERROR(INDEX(EmployeeData[Full Name], ROW() - 37), "")</f>
        <v/>
      </c>
      <c r="D3036" s="4" t="str" cm="1">
        <f t="array" ref="D3036">IFERROR(INDEX(EmployeeData[Department], ROW() - 37), "")</f>
        <v/>
      </c>
      <c r="E3036" s="4" t="str" cm="1">
        <f t="array" ref="E3036">IFERROR(INDEX(EmployeeData[Gender], ROW() - 37), "")</f>
        <v/>
      </c>
      <c r="F3036" s="4" t="str" cm="1">
        <f t="array" ref="F3036">IFERROR(INDEX(EmployeeData[Age], ROW() - 37), "")</f>
        <v/>
      </c>
      <c r="G3036" s="6" t="str" cm="1">
        <f t="array" ref="G3036">IFERROR(INDEX(EmployeeData[Join Date], ROW() - 37), "")</f>
        <v/>
      </c>
      <c r="H3036" s="6" t="str" cm="1">
        <f t="array" ref="H3036">IFERROR(IF(INDEX(EmployeeData[Exit Date], ROW() - 37)=0, "",INDEX(EmployeeData[Exit Date], ROW() - 37)),"")</f>
        <v/>
      </c>
      <c r="I3036" s="4" t="str" cm="1">
        <f t="array" ref="I3036">IFERROR(IF(INDEX(EmployeeData[Exit Reason], ROW() - 37)=0, "",INDEX(EmployeeData[Exit Reason], ROW() - 37)),"")</f>
        <v/>
      </c>
      <c r="J3036" s="4" t="str" cm="1">
        <f t="array" ref="J3036">IFERROR(INDEX(EmployeeData[Status], ROW() - 37), "")</f>
        <v/>
      </c>
    </row>
    <row r="3037" spans="2:10" ht="19.95" customHeight="1" x14ac:dyDescent="0.3">
      <c r="B3037" s="4" t="str" cm="1">
        <f t="array" ref="B3037">IFERROR(INDEX(EmployeeData[Employee ID], ROW() - 37), "")</f>
        <v/>
      </c>
      <c r="C3037" s="4" t="str" cm="1">
        <f t="array" ref="C3037">IFERROR(INDEX(EmployeeData[Full Name], ROW() - 37), "")</f>
        <v/>
      </c>
      <c r="D3037" s="4" t="str" cm="1">
        <f t="array" ref="D3037">IFERROR(INDEX(EmployeeData[Department], ROW() - 37), "")</f>
        <v/>
      </c>
      <c r="E3037" s="4" t="str" cm="1">
        <f t="array" ref="E3037">IFERROR(INDEX(EmployeeData[Gender], ROW() - 37), "")</f>
        <v/>
      </c>
      <c r="F3037" s="4" t="str" cm="1">
        <f t="array" ref="F3037">IFERROR(INDEX(EmployeeData[Age], ROW() - 37), "")</f>
        <v/>
      </c>
      <c r="G3037" s="6" t="str" cm="1">
        <f t="array" ref="G3037">IFERROR(INDEX(EmployeeData[Join Date], ROW() - 37), "")</f>
        <v/>
      </c>
      <c r="H3037" s="6" t="str" cm="1">
        <f t="array" ref="H3037">IFERROR(IF(INDEX(EmployeeData[Exit Date], ROW() - 37)=0, "",INDEX(EmployeeData[Exit Date], ROW() - 37)),"")</f>
        <v/>
      </c>
      <c r="I3037" s="4" t="str" cm="1">
        <f t="array" ref="I3037">IFERROR(IF(INDEX(EmployeeData[Exit Reason], ROW() - 37)=0, "",INDEX(EmployeeData[Exit Reason], ROW() - 37)),"")</f>
        <v/>
      </c>
      <c r="J3037" s="4" t="str" cm="1">
        <f t="array" ref="J3037">IFERROR(INDEX(EmployeeData[Status], ROW() - 37), "")</f>
        <v/>
      </c>
    </row>
    <row r="3038" spans="2:10" ht="19.95" customHeight="1" x14ac:dyDescent="0.3">
      <c r="B3038" s="4" t="str" cm="1">
        <f t="array" ref="B3038">IFERROR(INDEX(EmployeeData[Employee ID], ROW() - 37), "")</f>
        <v/>
      </c>
      <c r="C3038" s="4" t="str" cm="1">
        <f t="array" ref="C3038">IFERROR(INDEX(EmployeeData[Full Name], ROW() - 37), "")</f>
        <v/>
      </c>
      <c r="D3038" s="4" t="str" cm="1">
        <f t="array" ref="D3038">IFERROR(INDEX(EmployeeData[Department], ROW() - 37), "")</f>
        <v/>
      </c>
      <c r="E3038" s="4" t="str" cm="1">
        <f t="array" ref="E3038">IFERROR(INDEX(EmployeeData[Gender], ROW() - 37), "")</f>
        <v/>
      </c>
      <c r="F3038" s="4" t="str" cm="1">
        <f t="array" ref="F3038">IFERROR(INDEX(EmployeeData[Age], ROW() - 37), "")</f>
        <v/>
      </c>
      <c r="G3038" s="6" t="str" cm="1">
        <f t="array" ref="G3038">IFERROR(INDEX(EmployeeData[Join Date], ROW() - 37), "")</f>
        <v/>
      </c>
      <c r="H3038" s="6" t="str" cm="1">
        <f t="array" ref="H3038">IFERROR(IF(INDEX(EmployeeData[Exit Date], ROW() - 37)=0, "",INDEX(EmployeeData[Exit Date], ROW() - 37)),"")</f>
        <v/>
      </c>
      <c r="I3038" s="4" t="str" cm="1">
        <f t="array" ref="I3038">IFERROR(IF(INDEX(EmployeeData[Exit Reason], ROW() - 37)=0, "",INDEX(EmployeeData[Exit Reason], ROW() - 37)),"")</f>
        <v/>
      </c>
      <c r="J3038" s="4" t="str" cm="1">
        <f t="array" ref="J3038">IFERROR(INDEX(EmployeeData[Status], ROW() - 37), "")</f>
        <v/>
      </c>
    </row>
    <row r="3039" spans="2:10" ht="19.95" customHeight="1" x14ac:dyDescent="0.3">
      <c r="B3039" s="4" t="str" cm="1">
        <f t="array" ref="B3039">IFERROR(INDEX(EmployeeData[Employee ID], ROW() - 37), "")</f>
        <v/>
      </c>
      <c r="C3039" s="4" t="str" cm="1">
        <f t="array" ref="C3039">IFERROR(INDEX(EmployeeData[Full Name], ROW() - 37), "")</f>
        <v/>
      </c>
      <c r="D3039" s="4" t="str" cm="1">
        <f t="array" ref="D3039">IFERROR(INDEX(EmployeeData[Department], ROW() - 37), "")</f>
        <v/>
      </c>
      <c r="E3039" s="4" t="str" cm="1">
        <f t="array" ref="E3039">IFERROR(INDEX(EmployeeData[Gender], ROW() - 37), "")</f>
        <v/>
      </c>
      <c r="F3039" s="4" t="str" cm="1">
        <f t="array" ref="F3039">IFERROR(INDEX(EmployeeData[Age], ROW() - 37), "")</f>
        <v/>
      </c>
      <c r="G3039" s="6" t="str" cm="1">
        <f t="array" ref="G3039">IFERROR(INDEX(EmployeeData[Join Date], ROW() - 37), "")</f>
        <v/>
      </c>
      <c r="H3039" s="6" t="str" cm="1">
        <f t="array" ref="H3039">IFERROR(IF(INDEX(EmployeeData[Exit Date], ROW() - 37)=0, "",INDEX(EmployeeData[Exit Date], ROW() - 37)),"")</f>
        <v/>
      </c>
      <c r="I3039" s="4" t="str" cm="1">
        <f t="array" ref="I3039">IFERROR(IF(INDEX(EmployeeData[Exit Reason], ROW() - 37)=0, "",INDEX(EmployeeData[Exit Reason], ROW() - 37)),"")</f>
        <v/>
      </c>
      <c r="J3039" s="4" t="str" cm="1">
        <f t="array" ref="J3039">IFERROR(INDEX(EmployeeData[Status], ROW() - 37), "")</f>
        <v/>
      </c>
    </row>
    <row r="3040" spans="2:10" ht="19.95" customHeight="1" x14ac:dyDescent="0.3">
      <c r="B3040" s="4" t="str" cm="1">
        <f t="array" ref="B3040">IFERROR(INDEX(EmployeeData[Employee ID], ROW() - 37), "")</f>
        <v/>
      </c>
      <c r="C3040" s="4" t="str" cm="1">
        <f t="array" ref="C3040">IFERROR(INDEX(EmployeeData[Full Name], ROW() - 37), "")</f>
        <v/>
      </c>
      <c r="D3040" s="4" t="str" cm="1">
        <f t="array" ref="D3040">IFERROR(INDEX(EmployeeData[Department], ROW() - 37), "")</f>
        <v/>
      </c>
      <c r="E3040" s="4" t="str" cm="1">
        <f t="array" ref="E3040">IFERROR(INDEX(EmployeeData[Gender], ROW() - 37), "")</f>
        <v/>
      </c>
      <c r="F3040" s="4" t="str" cm="1">
        <f t="array" ref="F3040">IFERROR(INDEX(EmployeeData[Age], ROW() - 37), "")</f>
        <v/>
      </c>
      <c r="G3040" s="6" t="str" cm="1">
        <f t="array" ref="G3040">IFERROR(INDEX(EmployeeData[Join Date], ROW() - 37), "")</f>
        <v/>
      </c>
      <c r="H3040" s="6" t="str" cm="1">
        <f t="array" ref="H3040">IFERROR(IF(INDEX(EmployeeData[Exit Date], ROW() - 37)=0, "",INDEX(EmployeeData[Exit Date], ROW() - 37)),"")</f>
        <v/>
      </c>
      <c r="I3040" s="4" t="str" cm="1">
        <f t="array" ref="I3040">IFERROR(IF(INDEX(EmployeeData[Exit Reason], ROW() - 37)=0, "",INDEX(EmployeeData[Exit Reason], ROW() - 37)),"")</f>
        <v/>
      </c>
      <c r="J3040" s="4" t="str" cm="1">
        <f t="array" ref="J3040">IFERROR(INDEX(EmployeeData[Status], ROW() - 37), "")</f>
        <v/>
      </c>
    </row>
    <row r="3041" spans="2:10" ht="19.95" customHeight="1" x14ac:dyDescent="0.3">
      <c r="B3041" s="4" t="str" cm="1">
        <f t="array" ref="B3041">IFERROR(INDEX(EmployeeData[Employee ID], ROW() - 37), "")</f>
        <v/>
      </c>
      <c r="C3041" s="4" t="str" cm="1">
        <f t="array" ref="C3041">IFERROR(INDEX(EmployeeData[Full Name], ROW() - 37), "")</f>
        <v/>
      </c>
      <c r="D3041" s="4" t="str" cm="1">
        <f t="array" ref="D3041">IFERROR(INDEX(EmployeeData[Department], ROW() - 37), "")</f>
        <v/>
      </c>
      <c r="E3041" s="4" t="str" cm="1">
        <f t="array" ref="E3041">IFERROR(INDEX(EmployeeData[Gender], ROW() - 37), "")</f>
        <v/>
      </c>
      <c r="F3041" s="4" t="str" cm="1">
        <f t="array" ref="F3041">IFERROR(INDEX(EmployeeData[Age], ROW() - 37), "")</f>
        <v/>
      </c>
      <c r="G3041" s="6" t="str" cm="1">
        <f t="array" ref="G3041">IFERROR(INDEX(EmployeeData[Join Date], ROW() - 37), "")</f>
        <v/>
      </c>
      <c r="H3041" s="6" t="str" cm="1">
        <f t="array" ref="H3041">IFERROR(IF(INDEX(EmployeeData[Exit Date], ROW() - 37)=0, "",INDEX(EmployeeData[Exit Date], ROW() - 37)),"")</f>
        <v/>
      </c>
      <c r="I3041" s="4" t="str" cm="1">
        <f t="array" ref="I3041">IFERROR(IF(INDEX(EmployeeData[Exit Reason], ROW() - 37)=0, "",INDEX(EmployeeData[Exit Reason], ROW() - 37)),"")</f>
        <v/>
      </c>
      <c r="J3041" s="4" t="str" cm="1">
        <f t="array" ref="J3041">IFERROR(INDEX(EmployeeData[Status], ROW() - 37), "")</f>
        <v/>
      </c>
    </row>
    <row r="3042" spans="2:10" ht="19.95" customHeight="1" x14ac:dyDescent="0.3">
      <c r="B3042" s="4" t="str" cm="1">
        <f t="array" ref="B3042">IFERROR(INDEX(EmployeeData[Employee ID], ROW() - 37), "")</f>
        <v/>
      </c>
      <c r="C3042" s="4" t="str" cm="1">
        <f t="array" ref="C3042">IFERROR(INDEX(EmployeeData[Full Name], ROW() - 37), "")</f>
        <v/>
      </c>
      <c r="D3042" s="4" t="str" cm="1">
        <f t="array" ref="D3042">IFERROR(INDEX(EmployeeData[Department], ROW() - 37), "")</f>
        <v/>
      </c>
      <c r="E3042" s="4" t="str" cm="1">
        <f t="array" ref="E3042">IFERROR(INDEX(EmployeeData[Gender], ROW() - 37), "")</f>
        <v/>
      </c>
      <c r="F3042" s="4" t="str" cm="1">
        <f t="array" ref="F3042">IFERROR(INDEX(EmployeeData[Age], ROW() - 37), "")</f>
        <v/>
      </c>
      <c r="G3042" s="6" t="str" cm="1">
        <f t="array" ref="G3042">IFERROR(INDEX(EmployeeData[Join Date], ROW() - 37), "")</f>
        <v/>
      </c>
      <c r="H3042" s="6" t="str" cm="1">
        <f t="array" ref="H3042">IFERROR(IF(INDEX(EmployeeData[Exit Date], ROW() - 37)=0, "",INDEX(EmployeeData[Exit Date], ROW() - 37)),"")</f>
        <v/>
      </c>
      <c r="I3042" s="4" t="str" cm="1">
        <f t="array" ref="I3042">IFERROR(IF(INDEX(EmployeeData[Exit Reason], ROW() - 37)=0, "",INDEX(EmployeeData[Exit Reason], ROW() - 37)),"")</f>
        <v/>
      </c>
      <c r="J3042" s="4" t="str" cm="1">
        <f t="array" ref="J3042">IFERROR(INDEX(EmployeeData[Status], ROW() - 37), "")</f>
        <v/>
      </c>
    </row>
    <row r="3043" spans="2:10" ht="19.95" customHeight="1" x14ac:dyDescent="0.3">
      <c r="B3043" s="4" t="str" cm="1">
        <f t="array" ref="B3043">IFERROR(INDEX(EmployeeData[Employee ID], ROW() - 37), "")</f>
        <v/>
      </c>
      <c r="C3043" s="4" t="str" cm="1">
        <f t="array" ref="C3043">IFERROR(INDEX(EmployeeData[Full Name], ROW() - 37), "")</f>
        <v/>
      </c>
      <c r="D3043" s="4" t="str" cm="1">
        <f t="array" ref="D3043">IFERROR(INDEX(EmployeeData[Department], ROW() - 37), "")</f>
        <v/>
      </c>
      <c r="E3043" s="4" t="str" cm="1">
        <f t="array" ref="E3043">IFERROR(INDEX(EmployeeData[Gender], ROW() - 37), "")</f>
        <v/>
      </c>
      <c r="F3043" s="4" t="str" cm="1">
        <f t="array" ref="F3043">IFERROR(INDEX(EmployeeData[Age], ROW() - 37), "")</f>
        <v/>
      </c>
      <c r="G3043" s="6" t="str" cm="1">
        <f t="array" ref="G3043">IFERROR(INDEX(EmployeeData[Join Date], ROW() - 37), "")</f>
        <v/>
      </c>
      <c r="H3043" s="6" t="str" cm="1">
        <f t="array" ref="H3043">IFERROR(IF(INDEX(EmployeeData[Exit Date], ROW() - 37)=0, "",INDEX(EmployeeData[Exit Date], ROW() - 37)),"")</f>
        <v/>
      </c>
      <c r="I3043" s="4" t="str" cm="1">
        <f t="array" ref="I3043">IFERROR(IF(INDEX(EmployeeData[Exit Reason], ROW() - 37)=0, "",INDEX(EmployeeData[Exit Reason], ROW() - 37)),"")</f>
        <v/>
      </c>
      <c r="J3043" s="4" t="str" cm="1">
        <f t="array" ref="J3043">IFERROR(INDEX(EmployeeData[Status], ROW() - 37), "")</f>
        <v/>
      </c>
    </row>
    <row r="3044" spans="2:10" ht="19.95" customHeight="1" x14ac:dyDescent="0.3">
      <c r="B3044" s="4" t="str" cm="1">
        <f t="array" ref="B3044">IFERROR(INDEX(EmployeeData[Employee ID], ROW() - 37), "")</f>
        <v/>
      </c>
      <c r="C3044" s="4" t="str" cm="1">
        <f t="array" ref="C3044">IFERROR(INDEX(EmployeeData[Full Name], ROW() - 37), "")</f>
        <v/>
      </c>
      <c r="D3044" s="4" t="str" cm="1">
        <f t="array" ref="D3044">IFERROR(INDEX(EmployeeData[Department], ROW() - 37), "")</f>
        <v/>
      </c>
      <c r="E3044" s="4" t="str" cm="1">
        <f t="array" ref="E3044">IFERROR(INDEX(EmployeeData[Gender], ROW() - 37), "")</f>
        <v/>
      </c>
      <c r="F3044" s="4" t="str" cm="1">
        <f t="array" ref="F3044">IFERROR(INDEX(EmployeeData[Age], ROW() - 37), "")</f>
        <v/>
      </c>
      <c r="G3044" s="6" t="str" cm="1">
        <f t="array" ref="G3044">IFERROR(INDEX(EmployeeData[Join Date], ROW() - 37), "")</f>
        <v/>
      </c>
      <c r="H3044" s="6" t="str" cm="1">
        <f t="array" ref="H3044">IFERROR(IF(INDEX(EmployeeData[Exit Date], ROW() - 37)=0, "",INDEX(EmployeeData[Exit Date], ROW() - 37)),"")</f>
        <v/>
      </c>
      <c r="I3044" s="4" t="str" cm="1">
        <f t="array" ref="I3044">IFERROR(IF(INDEX(EmployeeData[Exit Reason], ROW() - 37)=0, "",INDEX(EmployeeData[Exit Reason], ROW() - 37)),"")</f>
        <v/>
      </c>
      <c r="J3044" s="4" t="str" cm="1">
        <f t="array" ref="J3044">IFERROR(INDEX(EmployeeData[Status], ROW() - 37), "")</f>
        <v/>
      </c>
    </row>
    <row r="3045" spans="2:10" ht="19.95" customHeight="1" x14ac:dyDescent="0.3">
      <c r="B3045" s="4" t="str" cm="1">
        <f t="array" ref="B3045">IFERROR(INDEX(EmployeeData[Employee ID], ROW() - 37), "")</f>
        <v/>
      </c>
      <c r="C3045" s="4" t="str" cm="1">
        <f t="array" ref="C3045">IFERROR(INDEX(EmployeeData[Full Name], ROW() - 37), "")</f>
        <v/>
      </c>
      <c r="D3045" s="4" t="str" cm="1">
        <f t="array" ref="D3045">IFERROR(INDEX(EmployeeData[Department], ROW() - 37), "")</f>
        <v/>
      </c>
      <c r="E3045" s="4" t="str" cm="1">
        <f t="array" ref="E3045">IFERROR(INDEX(EmployeeData[Gender], ROW() - 37), "")</f>
        <v/>
      </c>
      <c r="F3045" s="4" t="str" cm="1">
        <f t="array" ref="F3045">IFERROR(INDEX(EmployeeData[Age], ROW() - 37), "")</f>
        <v/>
      </c>
      <c r="G3045" s="6" t="str" cm="1">
        <f t="array" ref="G3045">IFERROR(INDEX(EmployeeData[Join Date], ROW() - 37), "")</f>
        <v/>
      </c>
      <c r="H3045" s="6" t="str" cm="1">
        <f t="array" ref="H3045">IFERROR(IF(INDEX(EmployeeData[Exit Date], ROW() - 37)=0, "",INDEX(EmployeeData[Exit Date], ROW() - 37)),"")</f>
        <v/>
      </c>
      <c r="I3045" s="4" t="str" cm="1">
        <f t="array" ref="I3045">IFERROR(IF(INDEX(EmployeeData[Exit Reason], ROW() - 37)=0, "",INDEX(EmployeeData[Exit Reason], ROW() - 37)),"")</f>
        <v/>
      </c>
      <c r="J3045" s="4" t="str" cm="1">
        <f t="array" ref="J3045">IFERROR(INDEX(EmployeeData[Status], ROW() - 37), "")</f>
        <v/>
      </c>
    </row>
    <row r="3046" spans="2:10" ht="19.95" customHeight="1" x14ac:dyDescent="0.3">
      <c r="B3046" s="4" t="str" cm="1">
        <f t="array" ref="B3046">IFERROR(INDEX(EmployeeData[Employee ID], ROW() - 37), "")</f>
        <v/>
      </c>
      <c r="C3046" s="4" t="str" cm="1">
        <f t="array" ref="C3046">IFERROR(INDEX(EmployeeData[Full Name], ROW() - 37), "")</f>
        <v/>
      </c>
      <c r="D3046" s="4" t="str" cm="1">
        <f t="array" ref="D3046">IFERROR(INDEX(EmployeeData[Department], ROW() - 37), "")</f>
        <v/>
      </c>
      <c r="E3046" s="4" t="str" cm="1">
        <f t="array" ref="E3046">IFERROR(INDEX(EmployeeData[Gender], ROW() - 37), "")</f>
        <v/>
      </c>
      <c r="F3046" s="4" t="str" cm="1">
        <f t="array" ref="F3046">IFERROR(INDEX(EmployeeData[Age], ROW() - 37), "")</f>
        <v/>
      </c>
      <c r="G3046" s="6" t="str" cm="1">
        <f t="array" ref="G3046">IFERROR(INDEX(EmployeeData[Join Date], ROW() - 37), "")</f>
        <v/>
      </c>
      <c r="H3046" s="6" t="str" cm="1">
        <f t="array" ref="H3046">IFERROR(IF(INDEX(EmployeeData[Exit Date], ROW() - 37)=0, "",INDEX(EmployeeData[Exit Date], ROW() - 37)),"")</f>
        <v/>
      </c>
      <c r="I3046" s="4" t="str" cm="1">
        <f t="array" ref="I3046">IFERROR(IF(INDEX(EmployeeData[Exit Reason], ROW() - 37)=0, "",INDEX(EmployeeData[Exit Reason], ROW() - 37)),"")</f>
        <v/>
      </c>
      <c r="J3046" s="4" t="str" cm="1">
        <f t="array" ref="J3046">IFERROR(INDEX(EmployeeData[Status], ROW() - 37), "")</f>
        <v/>
      </c>
    </row>
    <row r="3047" spans="2:10" ht="19.95" customHeight="1" x14ac:dyDescent="0.3">
      <c r="B3047" s="4" t="str" cm="1">
        <f t="array" ref="B3047">IFERROR(INDEX(EmployeeData[Employee ID], ROW() - 37), "")</f>
        <v/>
      </c>
      <c r="C3047" s="4" t="str" cm="1">
        <f t="array" ref="C3047">IFERROR(INDEX(EmployeeData[Full Name], ROW() - 37), "")</f>
        <v/>
      </c>
      <c r="D3047" s="4" t="str" cm="1">
        <f t="array" ref="D3047">IFERROR(INDEX(EmployeeData[Department], ROW() - 37), "")</f>
        <v/>
      </c>
      <c r="E3047" s="4" t="str" cm="1">
        <f t="array" ref="E3047">IFERROR(INDEX(EmployeeData[Gender], ROW() - 37), "")</f>
        <v/>
      </c>
      <c r="F3047" s="4" t="str" cm="1">
        <f t="array" ref="F3047">IFERROR(INDEX(EmployeeData[Age], ROW() - 37), "")</f>
        <v/>
      </c>
      <c r="G3047" s="6" t="str" cm="1">
        <f t="array" ref="G3047">IFERROR(INDEX(EmployeeData[Join Date], ROW() - 37), "")</f>
        <v/>
      </c>
      <c r="H3047" s="6" t="str" cm="1">
        <f t="array" ref="H3047">IFERROR(IF(INDEX(EmployeeData[Exit Date], ROW() - 37)=0, "",INDEX(EmployeeData[Exit Date], ROW() - 37)),"")</f>
        <v/>
      </c>
      <c r="I3047" s="4" t="str" cm="1">
        <f t="array" ref="I3047">IFERROR(IF(INDEX(EmployeeData[Exit Reason], ROW() - 37)=0, "",INDEX(EmployeeData[Exit Reason], ROW() - 37)),"")</f>
        <v/>
      </c>
      <c r="J3047" s="4" t="str" cm="1">
        <f t="array" ref="J3047">IFERROR(INDEX(EmployeeData[Status], ROW() - 37), "")</f>
        <v/>
      </c>
    </row>
    <row r="3048" spans="2:10" ht="19.95" customHeight="1" x14ac:dyDescent="0.3">
      <c r="B3048" s="4" t="str" cm="1">
        <f t="array" ref="B3048">IFERROR(INDEX(EmployeeData[Employee ID], ROW() - 37), "")</f>
        <v/>
      </c>
      <c r="C3048" s="4" t="str" cm="1">
        <f t="array" ref="C3048">IFERROR(INDEX(EmployeeData[Full Name], ROW() - 37), "")</f>
        <v/>
      </c>
      <c r="D3048" s="4" t="str" cm="1">
        <f t="array" ref="D3048">IFERROR(INDEX(EmployeeData[Department], ROW() - 37), "")</f>
        <v/>
      </c>
      <c r="E3048" s="4" t="str" cm="1">
        <f t="array" ref="E3048">IFERROR(INDEX(EmployeeData[Gender], ROW() - 37), "")</f>
        <v/>
      </c>
      <c r="F3048" s="4" t="str" cm="1">
        <f t="array" ref="F3048">IFERROR(INDEX(EmployeeData[Age], ROW() - 37), "")</f>
        <v/>
      </c>
      <c r="G3048" s="6" t="str" cm="1">
        <f t="array" ref="G3048">IFERROR(INDEX(EmployeeData[Join Date], ROW() - 37), "")</f>
        <v/>
      </c>
      <c r="H3048" s="6" t="str" cm="1">
        <f t="array" ref="H3048">IFERROR(IF(INDEX(EmployeeData[Exit Date], ROW() - 37)=0, "",INDEX(EmployeeData[Exit Date], ROW() - 37)),"")</f>
        <v/>
      </c>
      <c r="I3048" s="4" t="str" cm="1">
        <f t="array" ref="I3048">IFERROR(IF(INDEX(EmployeeData[Exit Reason], ROW() - 37)=0, "",INDEX(EmployeeData[Exit Reason], ROW() - 37)),"")</f>
        <v/>
      </c>
      <c r="J3048" s="4" t="str" cm="1">
        <f t="array" ref="J3048">IFERROR(INDEX(EmployeeData[Status], ROW() - 37), "")</f>
        <v/>
      </c>
    </row>
    <row r="3049" spans="2:10" ht="19.95" customHeight="1" x14ac:dyDescent="0.3">
      <c r="B3049" s="4" t="str" cm="1">
        <f t="array" ref="B3049">IFERROR(INDEX(EmployeeData[Employee ID], ROW() - 37), "")</f>
        <v/>
      </c>
      <c r="C3049" s="4" t="str" cm="1">
        <f t="array" ref="C3049">IFERROR(INDEX(EmployeeData[Full Name], ROW() - 37), "")</f>
        <v/>
      </c>
      <c r="D3049" s="4" t="str" cm="1">
        <f t="array" ref="D3049">IFERROR(INDEX(EmployeeData[Department], ROW() - 37), "")</f>
        <v/>
      </c>
      <c r="E3049" s="4" t="str" cm="1">
        <f t="array" ref="E3049">IFERROR(INDEX(EmployeeData[Gender], ROW() - 37), "")</f>
        <v/>
      </c>
      <c r="F3049" s="4" t="str" cm="1">
        <f t="array" ref="F3049">IFERROR(INDEX(EmployeeData[Age], ROW() - 37), "")</f>
        <v/>
      </c>
      <c r="G3049" s="6" t="str" cm="1">
        <f t="array" ref="G3049">IFERROR(INDEX(EmployeeData[Join Date], ROW() - 37), "")</f>
        <v/>
      </c>
      <c r="H3049" s="6" t="str" cm="1">
        <f t="array" ref="H3049">IFERROR(IF(INDEX(EmployeeData[Exit Date], ROW() - 37)=0, "",INDEX(EmployeeData[Exit Date], ROW() - 37)),"")</f>
        <v/>
      </c>
      <c r="I3049" s="4" t="str" cm="1">
        <f t="array" ref="I3049">IFERROR(IF(INDEX(EmployeeData[Exit Reason], ROW() - 37)=0, "",INDEX(EmployeeData[Exit Reason], ROW() - 37)),"")</f>
        <v/>
      </c>
      <c r="J3049" s="4" t="str" cm="1">
        <f t="array" ref="J3049">IFERROR(INDEX(EmployeeData[Status], ROW() - 37), "")</f>
        <v/>
      </c>
    </row>
    <row r="3050" spans="2:10" ht="19.95" customHeight="1" x14ac:dyDescent="0.3">
      <c r="B3050" s="4" t="str" cm="1">
        <f t="array" ref="B3050">IFERROR(INDEX(EmployeeData[Employee ID], ROW() - 37), "")</f>
        <v/>
      </c>
      <c r="C3050" s="4" t="str" cm="1">
        <f t="array" ref="C3050">IFERROR(INDEX(EmployeeData[Full Name], ROW() - 37), "")</f>
        <v/>
      </c>
      <c r="D3050" s="4" t="str" cm="1">
        <f t="array" ref="D3050">IFERROR(INDEX(EmployeeData[Department], ROW() - 37), "")</f>
        <v/>
      </c>
      <c r="E3050" s="4" t="str" cm="1">
        <f t="array" ref="E3050">IFERROR(INDEX(EmployeeData[Gender], ROW() - 37), "")</f>
        <v/>
      </c>
      <c r="F3050" s="4" t="str" cm="1">
        <f t="array" ref="F3050">IFERROR(INDEX(EmployeeData[Age], ROW() - 37), "")</f>
        <v/>
      </c>
      <c r="G3050" s="6" t="str" cm="1">
        <f t="array" ref="G3050">IFERROR(INDEX(EmployeeData[Join Date], ROW() - 37), "")</f>
        <v/>
      </c>
      <c r="H3050" s="6" t="str" cm="1">
        <f t="array" ref="H3050">IFERROR(IF(INDEX(EmployeeData[Exit Date], ROW() - 37)=0, "",INDEX(EmployeeData[Exit Date], ROW() - 37)),"")</f>
        <v/>
      </c>
      <c r="I3050" s="4" t="str" cm="1">
        <f t="array" ref="I3050">IFERROR(IF(INDEX(EmployeeData[Exit Reason], ROW() - 37)=0, "",INDEX(EmployeeData[Exit Reason], ROW() - 37)),"")</f>
        <v/>
      </c>
      <c r="J3050" s="4" t="str" cm="1">
        <f t="array" ref="J3050">IFERROR(INDEX(EmployeeData[Status], ROW() - 37), "")</f>
        <v/>
      </c>
    </row>
    <row r="3051" spans="2:10" ht="19.95" customHeight="1" x14ac:dyDescent="0.3">
      <c r="B3051" s="4" t="str" cm="1">
        <f t="array" ref="B3051">IFERROR(INDEX(EmployeeData[Employee ID], ROW() - 37), "")</f>
        <v/>
      </c>
      <c r="C3051" s="4" t="str" cm="1">
        <f t="array" ref="C3051">IFERROR(INDEX(EmployeeData[Full Name], ROW() - 37), "")</f>
        <v/>
      </c>
      <c r="D3051" s="4" t="str" cm="1">
        <f t="array" ref="D3051">IFERROR(INDEX(EmployeeData[Department], ROW() - 37), "")</f>
        <v/>
      </c>
      <c r="E3051" s="4" t="str" cm="1">
        <f t="array" ref="E3051">IFERROR(INDEX(EmployeeData[Gender], ROW() - 37), "")</f>
        <v/>
      </c>
      <c r="F3051" s="4" t="str" cm="1">
        <f t="array" ref="F3051">IFERROR(INDEX(EmployeeData[Age], ROW() - 37), "")</f>
        <v/>
      </c>
      <c r="G3051" s="6" t="str" cm="1">
        <f t="array" ref="G3051">IFERROR(INDEX(EmployeeData[Join Date], ROW() - 37), "")</f>
        <v/>
      </c>
      <c r="H3051" s="6" t="str" cm="1">
        <f t="array" ref="H3051">IFERROR(IF(INDEX(EmployeeData[Exit Date], ROW() - 37)=0, "",INDEX(EmployeeData[Exit Date], ROW() - 37)),"")</f>
        <v/>
      </c>
      <c r="I3051" s="4" t="str" cm="1">
        <f t="array" ref="I3051">IFERROR(IF(INDEX(EmployeeData[Exit Reason], ROW() - 37)=0, "",INDEX(EmployeeData[Exit Reason], ROW() - 37)),"")</f>
        <v/>
      </c>
      <c r="J3051" s="4" t="str" cm="1">
        <f t="array" ref="J3051">IFERROR(INDEX(EmployeeData[Status], ROW() - 37), "")</f>
        <v/>
      </c>
    </row>
    <row r="3052" spans="2:10" ht="19.95" customHeight="1" x14ac:dyDescent="0.3">
      <c r="B3052" s="4" t="str" cm="1">
        <f t="array" ref="B3052">IFERROR(INDEX(EmployeeData[Employee ID], ROW() - 37), "")</f>
        <v/>
      </c>
      <c r="C3052" s="4" t="str" cm="1">
        <f t="array" ref="C3052">IFERROR(INDEX(EmployeeData[Full Name], ROW() - 37), "")</f>
        <v/>
      </c>
      <c r="D3052" s="4" t="str" cm="1">
        <f t="array" ref="D3052">IFERROR(INDEX(EmployeeData[Department], ROW() - 37), "")</f>
        <v/>
      </c>
      <c r="E3052" s="4" t="str" cm="1">
        <f t="array" ref="E3052">IFERROR(INDEX(EmployeeData[Gender], ROW() - 37), "")</f>
        <v/>
      </c>
      <c r="F3052" s="4" t="str" cm="1">
        <f t="array" ref="F3052">IFERROR(INDEX(EmployeeData[Age], ROW() - 37), "")</f>
        <v/>
      </c>
      <c r="G3052" s="6" t="str" cm="1">
        <f t="array" ref="G3052">IFERROR(INDEX(EmployeeData[Join Date], ROW() - 37), "")</f>
        <v/>
      </c>
      <c r="H3052" s="6" t="str" cm="1">
        <f t="array" ref="H3052">IFERROR(IF(INDEX(EmployeeData[Exit Date], ROW() - 37)=0, "",INDEX(EmployeeData[Exit Date], ROW() - 37)),"")</f>
        <v/>
      </c>
      <c r="I3052" s="4" t="str" cm="1">
        <f t="array" ref="I3052">IFERROR(IF(INDEX(EmployeeData[Exit Reason], ROW() - 37)=0, "",INDEX(EmployeeData[Exit Reason], ROW() - 37)),"")</f>
        <v/>
      </c>
      <c r="J3052" s="4" t="str" cm="1">
        <f t="array" ref="J3052">IFERROR(INDEX(EmployeeData[Status], ROW() - 37), "")</f>
        <v/>
      </c>
    </row>
    <row r="3053" spans="2:10" ht="19.95" customHeight="1" x14ac:dyDescent="0.3">
      <c r="B3053" s="4" t="str" cm="1">
        <f t="array" ref="B3053">IFERROR(INDEX(EmployeeData[Employee ID], ROW() - 37), "")</f>
        <v/>
      </c>
      <c r="C3053" s="4" t="str" cm="1">
        <f t="array" ref="C3053">IFERROR(INDEX(EmployeeData[Full Name], ROW() - 37), "")</f>
        <v/>
      </c>
      <c r="D3053" s="4" t="str" cm="1">
        <f t="array" ref="D3053">IFERROR(INDEX(EmployeeData[Department], ROW() - 37), "")</f>
        <v/>
      </c>
      <c r="E3053" s="4" t="str" cm="1">
        <f t="array" ref="E3053">IFERROR(INDEX(EmployeeData[Gender], ROW() - 37), "")</f>
        <v/>
      </c>
      <c r="F3053" s="4" t="str" cm="1">
        <f t="array" ref="F3053">IFERROR(INDEX(EmployeeData[Age], ROW() - 37), "")</f>
        <v/>
      </c>
      <c r="G3053" s="6" t="str" cm="1">
        <f t="array" ref="G3053">IFERROR(INDEX(EmployeeData[Join Date], ROW() - 37), "")</f>
        <v/>
      </c>
      <c r="H3053" s="6" t="str" cm="1">
        <f t="array" ref="H3053">IFERROR(IF(INDEX(EmployeeData[Exit Date], ROW() - 37)=0, "",INDEX(EmployeeData[Exit Date], ROW() - 37)),"")</f>
        <v/>
      </c>
      <c r="I3053" s="4" t="str" cm="1">
        <f t="array" ref="I3053">IFERROR(IF(INDEX(EmployeeData[Exit Reason], ROW() - 37)=0, "",INDEX(EmployeeData[Exit Reason], ROW() - 37)),"")</f>
        <v/>
      </c>
      <c r="J3053" s="4" t="str" cm="1">
        <f t="array" ref="J3053">IFERROR(INDEX(EmployeeData[Status], ROW() - 37), "")</f>
        <v/>
      </c>
    </row>
    <row r="3054" spans="2:10" ht="19.95" customHeight="1" x14ac:dyDescent="0.3">
      <c r="B3054" s="4" t="str" cm="1">
        <f t="array" ref="B3054">IFERROR(INDEX(EmployeeData[Employee ID], ROW() - 37), "")</f>
        <v/>
      </c>
      <c r="C3054" s="4" t="str" cm="1">
        <f t="array" ref="C3054">IFERROR(INDEX(EmployeeData[Full Name], ROW() - 37), "")</f>
        <v/>
      </c>
      <c r="D3054" s="4" t="str" cm="1">
        <f t="array" ref="D3054">IFERROR(INDEX(EmployeeData[Department], ROW() - 37), "")</f>
        <v/>
      </c>
      <c r="E3054" s="4" t="str" cm="1">
        <f t="array" ref="E3054">IFERROR(INDEX(EmployeeData[Gender], ROW() - 37), "")</f>
        <v/>
      </c>
      <c r="F3054" s="4" t="str" cm="1">
        <f t="array" ref="F3054">IFERROR(INDEX(EmployeeData[Age], ROW() - 37), "")</f>
        <v/>
      </c>
      <c r="G3054" s="6" t="str" cm="1">
        <f t="array" ref="G3054">IFERROR(INDEX(EmployeeData[Join Date], ROW() - 37), "")</f>
        <v/>
      </c>
      <c r="H3054" s="6" t="str" cm="1">
        <f t="array" ref="H3054">IFERROR(IF(INDEX(EmployeeData[Exit Date], ROW() - 37)=0, "",INDEX(EmployeeData[Exit Date], ROW() - 37)),"")</f>
        <v/>
      </c>
      <c r="I3054" s="4" t="str" cm="1">
        <f t="array" ref="I3054">IFERROR(IF(INDEX(EmployeeData[Exit Reason], ROW() - 37)=0, "",INDEX(EmployeeData[Exit Reason], ROW() - 37)),"")</f>
        <v/>
      </c>
      <c r="J3054" s="4" t="str" cm="1">
        <f t="array" ref="J3054">IFERROR(INDEX(EmployeeData[Status], ROW() - 37), "")</f>
        <v/>
      </c>
    </row>
    <row r="3055" spans="2:10" ht="19.95" customHeight="1" x14ac:dyDescent="0.3">
      <c r="B3055" s="4" t="str" cm="1">
        <f t="array" ref="B3055">IFERROR(INDEX(EmployeeData[Employee ID], ROW() - 37), "")</f>
        <v/>
      </c>
      <c r="C3055" s="4" t="str" cm="1">
        <f t="array" ref="C3055">IFERROR(INDEX(EmployeeData[Full Name], ROW() - 37), "")</f>
        <v/>
      </c>
      <c r="D3055" s="4" t="str" cm="1">
        <f t="array" ref="D3055">IFERROR(INDEX(EmployeeData[Department], ROW() - 37), "")</f>
        <v/>
      </c>
      <c r="E3055" s="4" t="str" cm="1">
        <f t="array" ref="E3055">IFERROR(INDEX(EmployeeData[Gender], ROW() - 37), "")</f>
        <v/>
      </c>
      <c r="F3055" s="4" t="str" cm="1">
        <f t="array" ref="F3055">IFERROR(INDEX(EmployeeData[Age], ROW() - 37), "")</f>
        <v/>
      </c>
      <c r="G3055" s="6" t="str" cm="1">
        <f t="array" ref="G3055">IFERROR(INDEX(EmployeeData[Join Date], ROW() - 37), "")</f>
        <v/>
      </c>
      <c r="H3055" s="6" t="str" cm="1">
        <f t="array" ref="H3055">IFERROR(IF(INDEX(EmployeeData[Exit Date], ROW() - 37)=0, "",INDEX(EmployeeData[Exit Date], ROW() - 37)),"")</f>
        <v/>
      </c>
      <c r="I3055" s="4" t="str" cm="1">
        <f t="array" ref="I3055">IFERROR(IF(INDEX(EmployeeData[Exit Reason], ROW() - 37)=0, "",INDEX(EmployeeData[Exit Reason], ROW() - 37)),"")</f>
        <v/>
      </c>
      <c r="J3055" s="4" t="str" cm="1">
        <f t="array" ref="J3055">IFERROR(INDEX(EmployeeData[Status], ROW() - 37), "")</f>
        <v/>
      </c>
    </row>
    <row r="3056" spans="2:10" ht="19.95" customHeight="1" x14ac:dyDescent="0.3">
      <c r="B3056" s="4" t="str" cm="1">
        <f t="array" ref="B3056">IFERROR(INDEX(EmployeeData[Employee ID], ROW() - 37), "")</f>
        <v/>
      </c>
      <c r="C3056" s="4" t="str" cm="1">
        <f t="array" ref="C3056">IFERROR(INDEX(EmployeeData[Full Name], ROW() - 37), "")</f>
        <v/>
      </c>
      <c r="D3056" s="4" t="str" cm="1">
        <f t="array" ref="D3056">IFERROR(INDEX(EmployeeData[Department], ROW() - 37), "")</f>
        <v/>
      </c>
      <c r="E3056" s="4" t="str" cm="1">
        <f t="array" ref="E3056">IFERROR(INDEX(EmployeeData[Gender], ROW() - 37), "")</f>
        <v/>
      </c>
      <c r="F3056" s="4" t="str" cm="1">
        <f t="array" ref="F3056">IFERROR(INDEX(EmployeeData[Age], ROW() - 37), "")</f>
        <v/>
      </c>
      <c r="G3056" s="6" t="str" cm="1">
        <f t="array" ref="G3056">IFERROR(INDEX(EmployeeData[Join Date], ROW() - 37), "")</f>
        <v/>
      </c>
      <c r="H3056" s="6" t="str" cm="1">
        <f t="array" ref="H3056">IFERROR(IF(INDEX(EmployeeData[Exit Date], ROW() - 37)=0, "",INDEX(EmployeeData[Exit Date], ROW() - 37)),"")</f>
        <v/>
      </c>
      <c r="I3056" s="4" t="str" cm="1">
        <f t="array" ref="I3056">IFERROR(IF(INDEX(EmployeeData[Exit Reason], ROW() - 37)=0, "",INDEX(EmployeeData[Exit Reason], ROW() - 37)),"")</f>
        <v/>
      </c>
      <c r="J3056" s="4" t="str" cm="1">
        <f t="array" ref="J3056">IFERROR(INDEX(EmployeeData[Status], ROW() - 37), "")</f>
        <v/>
      </c>
    </row>
    <row r="3057" spans="2:10" ht="19.95" customHeight="1" x14ac:dyDescent="0.3">
      <c r="B3057" s="4" t="str" cm="1">
        <f t="array" ref="B3057">IFERROR(INDEX(EmployeeData[Employee ID], ROW() - 37), "")</f>
        <v/>
      </c>
      <c r="C3057" s="4" t="str" cm="1">
        <f t="array" ref="C3057">IFERROR(INDEX(EmployeeData[Full Name], ROW() - 37), "")</f>
        <v/>
      </c>
      <c r="D3057" s="4" t="str" cm="1">
        <f t="array" ref="D3057">IFERROR(INDEX(EmployeeData[Department], ROW() - 37), "")</f>
        <v/>
      </c>
      <c r="E3057" s="4" t="str" cm="1">
        <f t="array" ref="E3057">IFERROR(INDEX(EmployeeData[Gender], ROW() - 37), "")</f>
        <v/>
      </c>
      <c r="F3057" s="4" t="str" cm="1">
        <f t="array" ref="F3057">IFERROR(INDEX(EmployeeData[Age], ROW() - 37), "")</f>
        <v/>
      </c>
      <c r="G3057" s="6" t="str" cm="1">
        <f t="array" ref="G3057">IFERROR(INDEX(EmployeeData[Join Date], ROW() - 37), "")</f>
        <v/>
      </c>
      <c r="H3057" s="6" t="str" cm="1">
        <f t="array" ref="H3057">IFERROR(IF(INDEX(EmployeeData[Exit Date], ROW() - 37)=0, "",INDEX(EmployeeData[Exit Date], ROW() - 37)),"")</f>
        <v/>
      </c>
      <c r="I3057" s="4" t="str" cm="1">
        <f t="array" ref="I3057">IFERROR(IF(INDEX(EmployeeData[Exit Reason], ROW() - 37)=0, "",INDEX(EmployeeData[Exit Reason], ROW() - 37)),"")</f>
        <v/>
      </c>
      <c r="J3057" s="4" t="str" cm="1">
        <f t="array" ref="J3057">IFERROR(INDEX(EmployeeData[Status], ROW() - 37), "")</f>
        <v/>
      </c>
    </row>
    <row r="3058" spans="2:10" ht="19.95" customHeight="1" x14ac:dyDescent="0.3">
      <c r="B3058" s="4" t="str" cm="1">
        <f t="array" ref="B3058">IFERROR(INDEX(EmployeeData[Employee ID], ROW() - 37), "")</f>
        <v/>
      </c>
      <c r="C3058" s="4" t="str" cm="1">
        <f t="array" ref="C3058">IFERROR(INDEX(EmployeeData[Full Name], ROW() - 37), "")</f>
        <v/>
      </c>
      <c r="D3058" s="4" t="str" cm="1">
        <f t="array" ref="D3058">IFERROR(INDEX(EmployeeData[Department], ROW() - 37), "")</f>
        <v/>
      </c>
      <c r="E3058" s="4" t="str" cm="1">
        <f t="array" ref="E3058">IFERROR(INDEX(EmployeeData[Gender], ROW() - 37), "")</f>
        <v/>
      </c>
      <c r="F3058" s="4" t="str" cm="1">
        <f t="array" ref="F3058">IFERROR(INDEX(EmployeeData[Age], ROW() - 37), "")</f>
        <v/>
      </c>
      <c r="G3058" s="6" t="str" cm="1">
        <f t="array" ref="G3058">IFERROR(INDEX(EmployeeData[Join Date], ROW() - 37), "")</f>
        <v/>
      </c>
      <c r="H3058" s="6" t="str" cm="1">
        <f t="array" ref="H3058">IFERROR(IF(INDEX(EmployeeData[Exit Date], ROW() - 37)=0, "",INDEX(EmployeeData[Exit Date], ROW() - 37)),"")</f>
        <v/>
      </c>
      <c r="I3058" s="4" t="str" cm="1">
        <f t="array" ref="I3058">IFERROR(IF(INDEX(EmployeeData[Exit Reason], ROW() - 37)=0, "",INDEX(EmployeeData[Exit Reason], ROW() - 37)),"")</f>
        <v/>
      </c>
      <c r="J3058" s="4" t="str" cm="1">
        <f t="array" ref="J3058">IFERROR(INDEX(EmployeeData[Status], ROW() - 37), "")</f>
        <v/>
      </c>
    </row>
    <row r="3059" spans="2:10" ht="19.95" customHeight="1" x14ac:dyDescent="0.3">
      <c r="B3059" s="4" t="str" cm="1">
        <f t="array" ref="B3059">IFERROR(INDEX(EmployeeData[Employee ID], ROW() - 37), "")</f>
        <v/>
      </c>
      <c r="C3059" s="4" t="str" cm="1">
        <f t="array" ref="C3059">IFERROR(INDEX(EmployeeData[Full Name], ROW() - 37), "")</f>
        <v/>
      </c>
      <c r="D3059" s="4" t="str" cm="1">
        <f t="array" ref="D3059">IFERROR(INDEX(EmployeeData[Department], ROW() - 37), "")</f>
        <v/>
      </c>
      <c r="E3059" s="4" t="str" cm="1">
        <f t="array" ref="E3059">IFERROR(INDEX(EmployeeData[Gender], ROW() - 37), "")</f>
        <v/>
      </c>
      <c r="F3059" s="4" t="str" cm="1">
        <f t="array" ref="F3059">IFERROR(INDEX(EmployeeData[Age], ROW() - 37), "")</f>
        <v/>
      </c>
      <c r="G3059" s="6" t="str" cm="1">
        <f t="array" ref="G3059">IFERROR(INDEX(EmployeeData[Join Date], ROW() - 37), "")</f>
        <v/>
      </c>
      <c r="H3059" s="6" t="str" cm="1">
        <f t="array" ref="H3059">IFERROR(IF(INDEX(EmployeeData[Exit Date], ROW() - 37)=0, "",INDEX(EmployeeData[Exit Date], ROW() - 37)),"")</f>
        <v/>
      </c>
      <c r="I3059" s="4" t="str" cm="1">
        <f t="array" ref="I3059">IFERROR(IF(INDEX(EmployeeData[Exit Reason], ROW() - 37)=0, "",INDEX(EmployeeData[Exit Reason], ROW() - 37)),"")</f>
        <v/>
      </c>
      <c r="J3059" s="4" t="str" cm="1">
        <f t="array" ref="J3059">IFERROR(INDEX(EmployeeData[Status], ROW() - 37), "")</f>
        <v/>
      </c>
    </row>
    <row r="3060" spans="2:10" ht="19.95" customHeight="1" x14ac:dyDescent="0.3">
      <c r="B3060" s="4" t="str" cm="1">
        <f t="array" ref="B3060">IFERROR(INDEX(EmployeeData[Employee ID], ROW() - 37), "")</f>
        <v/>
      </c>
      <c r="C3060" s="4" t="str" cm="1">
        <f t="array" ref="C3060">IFERROR(INDEX(EmployeeData[Full Name], ROW() - 37), "")</f>
        <v/>
      </c>
      <c r="D3060" s="4" t="str" cm="1">
        <f t="array" ref="D3060">IFERROR(INDEX(EmployeeData[Department], ROW() - 37), "")</f>
        <v/>
      </c>
      <c r="E3060" s="4" t="str" cm="1">
        <f t="array" ref="E3060">IFERROR(INDEX(EmployeeData[Gender], ROW() - 37), "")</f>
        <v/>
      </c>
      <c r="F3060" s="4" t="str" cm="1">
        <f t="array" ref="F3060">IFERROR(INDEX(EmployeeData[Age], ROW() - 37), "")</f>
        <v/>
      </c>
      <c r="G3060" s="6" t="str" cm="1">
        <f t="array" ref="G3060">IFERROR(INDEX(EmployeeData[Join Date], ROW() - 37), "")</f>
        <v/>
      </c>
      <c r="H3060" s="6" t="str" cm="1">
        <f t="array" ref="H3060">IFERROR(IF(INDEX(EmployeeData[Exit Date], ROW() - 37)=0, "",INDEX(EmployeeData[Exit Date], ROW() - 37)),"")</f>
        <v/>
      </c>
      <c r="I3060" s="4" t="str" cm="1">
        <f t="array" ref="I3060">IFERROR(IF(INDEX(EmployeeData[Exit Reason], ROW() - 37)=0, "",INDEX(EmployeeData[Exit Reason], ROW() - 37)),"")</f>
        <v/>
      </c>
      <c r="J3060" s="4" t="str" cm="1">
        <f t="array" ref="J3060">IFERROR(INDEX(EmployeeData[Status], ROW() - 37), "")</f>
        <v/>
      </c>
    </row>
    <row r="3061" spans="2:10" ht="19.95" customHeight="1" x14ac:dyDescent="0.3">
      <c r="B3061" s="4" t="str" cm="1">
        <f t="array" ref="B3061">IFERROR(INDEX(EmployeeData[Employee ID], ROW() - 37), "")</f>
        <v/>
      </c>
      <c r="C3061" s="4" t="str" cm="1">
        <f t="array" ref="C3061">IFERROR(INDEX(EmployeeData[Full Name], ROW() - 37), "")</f>
        <v/>
      </c>
      <c r="D3061" s="4" t="str" cm="1">
        <f t="array" ref="D3061">IFERROR(INDEX(EmployeeData[Department], ROW() - 37), "")</f>
        <v/>
      </c>
      <c r="E3061" s="4" t="str" cm="1">
        <f t="array" ref="E3061">IFERROR(INDEX(EmployeeData[Gender], ROW() - 37), "")</f>
        <v/>
      </c>
      <c r="F3061" s="4" t="str" cm="1">
        <f t="array" ref="F3061">IFERROR(INDEX(EmployeeData[Age], ROW() - 37), "")</f>
        <v/>
      </c>
      <c r="G3061" s="6" t="str" cm="1">
        <f t="array" ref="G3061">IFERROR(INDEX(EmployeeData[Join Date], ROW() - 37), "")</f>
        <v/>
      </c>
      <c r="H3061" s="6" t="str" cm="1">
        <f t="array" ref="H3061">IFERROR(IF(INDEX(EmployeeData[Exit Date], ROW() - 37)=0, "",INDEX(EmployeeData[Exit Date], ROW() - 37)),"")</f>
        <v/>
      </c>
      <c r="I3061" s="4" t="str" cm="1">
        <f t="array" ref="I3061">IFERROR(IF(INDEX(EmployeeData[Exit Reason], ROW() - 37)=0, "",INDEX(EmployeeData[Exit Reason], ROW() - 37)),"")</f>
        <v/>
      </c>
      <c r="J3061" s="4" t="str" cm="1">
        <f t="array" ref="J3061">IFERROR(INDEX(EmployeeData[Status], ROW() - 37), "")</f>
        <v/>
      </c>
    </row>
    <row r="3062" spans="2:10" ht="19.95" customHeight="1" x14ac:dyDescent="0.3">
      <c r="B3062" s="4" t="str" cm="1">
        <f t="array" ref="B3062">IFERROR(INDEX(EmployeeData[Employee ID], ROW() - 37), "")</f>
        <v/>
      </c>
      <c r="C3062" s="4" t="str" cm="1">
        <f t="array" ref="C3062">IFERROR(INDEX(EmployeeData[Full Name], ROW() - 37), "")</f>
        <v/>
      </c>
      <c r="D3062" s="4" t="str" cm="1">
        <f t="array" ref="D3062">IFERROR(INDEX(EmployeeData[Department], ROW() - 37), "")</f>
        <v/>
      </c>
      <c r="E3062" s="4" t="str" cm="1">
        <f t="array" ref="E3062">IFERROR(INDEX(EmployeeData[Gender], ROW() - 37), "")</f>
        <v/>
      </c>
      <c r="F3062" s="4" t="str" cm="1">
        <f t="array" ref="F3062">IFERROR(INDEX(EmployeeData[Age], ROW() - 37), "")</f>
        <v/>
      </c>
      <c r="G3062" s="6" t="str" cm="1">
        <f t="array" ref="G3062">IFERROR(INDEX(EmployeeData[Join Date], ROW() - 37), "")</f>
        <v/>
      </c>
      <c r="H3062" s="6" t="str" cm="1">
        <f t="array" ref="H3062">IFERROR(IF(INDEX(EmployeeData[Exit Date], ROW() - 37)=0, "",INDEX(EmployeeData[Exit Date], ROW() - 37)),"")</f>
        <v/>
      </c>
      <c r="I3062" s="4" t="str" cm="1">
        <f t="array" ref="I3062">IFERROR(IF(INDEX(EmployeeData[Exit Reason], ROW() - 37)=0, "",INDEX(EmployeeData[Exit Reason], ROW() - 37)),"")</f>
        <v/>
      </c>
      <c r="J3062" s="4" t="str" cm="1">
        <f t="array" ref="J3062">IFERROR(INDEX(EmployeeData[Status], ROW() - 37), "")</f>
        <v/>
      </c>
    </row>
    <row r="3063" spans="2:10" ht="19.95" customHeight="1" x14ac:dyDescent="0.3">
      <c r="B3063" s="4" t="str" cm="1">
        <f t="array" ref="B3063">IFERROR(INDEX(EmployeeData[Employee ID], ROW() - 37), "")</f>
        <v/>
      </c>
      <c r="C3063" s="4" t="str" cm="1">
        <f t="array" ref="C3063">IFERROR(INDEX(EmployeeData[Full Name], ROW() - 37), "")</f>
        <v/>
      </c>
      <c r="D3063" s="4" t="str" cm="1">
        <f t="array" ref="D3063">IFERROR(INDEX(EmployeeData[Department], ROW() - 37), "")</f>
        <v/>
      </c>
      <c r="E3063" s="4" t="str" cm="1">
        <f t="array" ref="E3063">IFERROR(INDEX(EmployeeData[Gender], ROW() - 37), "")</f>
        <v/>
      </c>
      <c r="F3063" s="4" t="str" cm="1">
        <f t="array" ref="F3063">IFERROR(INDEX(EmployeeData[Age], ROW() - 37), "")</f>
        <v/>
      </c>
      <c r="G3063" s="6" t="str" cm="1">
        <f t="array" ref="G3063">IFERROR(INDEX(EmployeeData[Join Date], ROW() - 37), "")</f>
        <v/>
      </c>
      <c r="H3063" s="6" t="str" cm="1">
        <f t="array" ref="H3063">IFERROR(IF(INDEX(EmployeeData[Exit Date], ROW() - 37)=0, "",INDEX(EmployeeData[Exit Date], ROW() - 37)),"")</f>
        <v/>
      </c>
      <c r="I3063" s="4" t="str" cm="1">
        <f t="array" ref="I3063">IFERROR(IF(INDEX(EmployeeData[Exit Reason], ROW() - 37)=0, "",INDEX(EmployeeData[Exit Reason], ROW() - 37)),"")</f>
        <v/>
      </c>
      <c r="J3063" s="4" t="str" cm="1">
        <f t="array" ref="J3063">IFERROR(INDEX(EmployeeData[Status], ROW() - 37), "")</f>
        <v/>
      </c>
    </row>
    <row r="3064" spans="2:10" ht="19.95" customHeight="1" x14ac:dyDescent="0.3">
      <c r="B3064" s="4" t="str" cm="1">
        <f t="array" ref="B3064">IFERROR(INDEX(EmployeeData[Employee ID], ROW() - 37), "")</f>
        <v/>
      </c>
      <c r="C3064" s="4" t="str" cm="1">
        <f t="array" ref="C3064">IFERROR(INDEX(EmployeeData[Full Name], ROW() - 37), "")</f>
        <v/>
      </c>
      <c r="D3064" s="4" t="str" cm="1">
        <f t="array" ref="D3064">IFERROR(INDEX(EmployeeData[Department], ROW() - 37), "")</f>
        <v/>
      </c>
      <c r="E3064" s="4" t="str" cm="1">
        <f t="array" ref="E3064">IFERROR(INDEX(EmployeeData[Gender], ROW() - 37), "")</f>
        <v/>
      </c>
      <c r="F3064" s="4" t="str" cm="1">
        <f t="array" ref="F3064">IFERROR(INDEX(EmployeeData[Age], ROW() - 37), "")</f>
        <v/>
      </c>
      <c r="G3064" s="6" t="str" cm="1">
        <f t="array" ref="G3064">IFERROR(INDEX(EmployeeData[Join Date], ROW() - 37), "")</f>
        <v/>
      </c>
      <c r="H3064" s="6" t="str" cm="1">
        <f t="array" ref="H3064">IFERROR(IF(INDEX(EmployeeData[Exit Date], ROW() - 37)=0, "",INDEX(EmployeeData[Exit Date], ROW() - 37)),"")</f>
        <v/>
      </c>
      <c r="I3064" s="4" t="str" cm="1">
        <f t="array" ref="I3064">IFERROR(IF(INDEX(EmployeeData[Exit Reason], ROW() - 37)=0, "",INDEX(EmployeeData[Exit Reason], ROW() - 37)),"")</f>
        <v/>
      </c>
      <c r="J3064" s="4" t="str" cm="1">
        <f t="array" ref="J3064">IFERROR(INDEX(EmployeeData[Status], ROW() - 37), "")</f>
        <v/>
      </c>
    </row>
    <row r="3065" spans="2:10" ht="19.95" customHeight="1" x14ac:dyDescent="0.3">
      <c r="B3065" s="4" t="str" cm="1">
        <f t="array" ref="B3065">IFERROR(INDEX(EmployeeData[Employee ID], ROW() - 37), "")</f>
        <v/>
      </c>
      <c r="C3065" s="4" t="str" cm="1">
        <f t="array" ref="C3065">IFERROR(INDEX(EmployeeData[Full Name], ROW() - 37), "")</f>
        <v/>
      </c>
      <c r="D3065" s="4" t="str" cm="1">
        <f t="array" ref="D3065">IFERROR(INDEX(EmployeeData[Department], ROW() - 37), "")</f>
        <v/>
      </c>
      <c r="E3065" s="4" t="str" cm="1">
        <f t="array" ref="E3065">IFERROR(INDEX(EmployeeData[Gender], ROW() - 37), "")</f>
        <v/>
      </c>
      <c r="F3065" s="4" t="str" cm="1">
        <f t="array" ref="F3065">IFERROR(INDEX(EmployeeData[Age], ROW() - 37), "")</f>
        <v/>
      </c>
      <c r="G3065" s="6" t="str" cm="1">
        <f t="array" ref="G3065">IFERROR(INDEX(EmployeeData[Join Date], ROW() - 37), "")</f>
        <v/>
      </c>
      <c r="H3065" s="6" t="str" cm="1">
        <f t="array" ref="H3065">IFERROR(IF(INDEX(EmployeeData[Exit Date], ROW() - 37)=0, "",INDEX(EmployeeData[Exit Date], ROW() - 37)),"")</f>
        <v/>
      </c>
      <c r="I3065" s="4" t="str" cm="1">
        <f t="array" ref="I3065">IFERROR(IF(INDEX(EmployeeData[Exit Reason], ROW() - 37)=0, "",INDEX(EmployeeData[Exit Reason], ROW() - 37)),"")</f>
        <v/>
      </c>
      <c r="J3065" s="4" t="str" cm="1">
        <f t="array" ref="J3065">IFERROR(INDEX(EmployeeData[Status], ROW() - 37), "")</f>
        <v/>
      </c>
    </row>
    <row r="3066" spans="2:10" ht="19.95" customHeight="1" x14ac:dyDescent="0.3">
      <c r="B3066" s="4" t="str" cm="1">
        <f t="array" ref="B3066">IFERROR(INDEX(EmployeeData[Employee ID], ROW() - 37), "")</f>
        <v/>
      </c>
      <c r="C3066" s="4" t="str" cm="1">
        <f t="array" ref="C3066">IFERROR(INDEX(EmployeeData[Full Name], ROW() - 37), "")</f>
        <v/>
      </c>
      <c r="D3066" s="4" t="str" cm="1">
        <f t="array" ref="D3066">IFERROR(INDEX(EmployeeData[Department], ROW() - 37), "")</f>
        <v/>
      </c>
      <c r="E3066" s="4" t="str" cm="1">
        <f t="array" ref="E3066">IFERROR(INDEX(EmployeeData[Gender], ROW() - 37), "")</f>
        <v/>
      </c>
      <c r="F3066" s="4" t="str" cm="1">
        <f t="array" ref="F3066">IFERROR(INDEX(EmployeeData[Age], ROW() - 37), "")</f>
        <v/>
      </c>
      <c r="G3066" s="6" t="str" cm="1">
        <f t="array" ref="G3066">IFERROR(INDEX(EmployeeData[Join Date], ROW() - 37), "")</f>
        <v/>
      </c>
      <c r="H3066" s="6" t="str" cm="1">
        <f t="array" ref="H3066">IFERROR(IF(INDEX(EmployeeData[Exit Date], ROW() - 37)=0, "",INDEX(EmployeeData[Exit Date], ROW() - 37)),"")</f>
        <v/>
      </c>
      <c r="I3066" s="4" t="str" cm="1">
        <f t="array" ref="I3066">IFERROR(IF(INDEX(EmployeeData[Exit Reason], ROW() - 37)=0, "",INDEX(EmployeeData[Exit Reason], ROW() - 37)),"")</f>
        <v/>
      </c>
      <c r="J3066" s="4" t="str" cm="1">
        <f t="array" ref="J3066">IFERROR(INDEX(EmployeeData[Status], ROW() - 37), "")</f>
        <v/>
      </c>
    </row>
    <row r="3067" spans="2:10" ht="19.95" customHeight="1" x14ac:dyDescent="0.3">
      <c r="B3067" s="4" t="str" cm="1">
        <f t="array" ref="B3067">IFERROR(INDEX(EmployeeData[Employee ID], ROW() - 37), "")</f>
        <v/>
      </c>
      <c r="C3067" s="4" t="str" cm="1">
        <f t="array" ref="C3067">IFERROR(INDEX(EmployeeData[Full Name], ROW() - 37), "")</f>
        <v/>
      </c>
      <c r="D3067" s="4" t="str" cm="1">
        <f t="array" ref="D3067">IFERROR(INDEX(EmployeeData[Department], ROW() - 37), "")</f>
        <v/>
      </c>
      <c r="E3067" s="4" t="str" cm="1">
        <f t="array" ref="E3067">IFERROR(INDEX(EmployeeData[Gender], ROW() - 37), "")</f>
        <v/>
      </c>
      <c r="F3067" s="4" t="str" cm="1">
        <f t="array" ref="F3067">IFERROR(INDEX(EmployeeData[Age], ROW() - 37), "")</f>
        <v/>
      </c>
      <c r="G3067" s="6" t="str" cm="1">
        <f t="array" ref="G3067">IFERROR(INDEX(EmployeeData[Join Date], ROW() - 37), "")</f>
        <v/>
      </c>
      <c r="H3067" s="6" t="str" cm="1">
        <f t="array" ref="H3067">IFERROR(IF(INDEX(EmployeeData[Exit Date], ROW() - 37)=0, "",INDEX(EmployeeData[Exit Date], ROW() - 37)),"")</f>
        <v/>
      </c>
      <c r="I3067" s="4" t="str" cm="1">
        <f t="array" ref="I3067">IFERROR(IF(INDEX(EmployeeData[Exit Reason], ROW() - 37)=0, "",INDEX(EmployeeData[Exit Reason], ROW() - 37)),"")</f>
        <v/>
      </c>
      <c r="J3067" s="4" t="str" cm="1">
        <f t="array" ref="J3067">IFERROR(INDEX(EmployeeData[Status], ROW() - 37), "")</f>
        <v/>
      </c>
    </row>
    <row r="3068" spans="2:10" ht="19.95" customHeight="1" x14ac:dyDescent="0.3">
      <c r="B3068" s="4" t="str" cm="1">
        <f t="array" ref="B3068">IFERROR(INDEX(EmployeeData[Employee ID], ROW() - 37), "")</f>
        <v/>
      </c>
      <c r="C3068" s="4" t="str" cm="1">
        <f t="array" ref="C3068">IFERROR(INDEX(EmployeeData[Full Name], ROW() - 37), "")</f>
        <v/>
      </c>
      <c r="D3068" s="4" t="str" cm="1">
        <f t="array" ref="D3068">IFERROR(INDEX(EmployeeData[Department], ROW() - 37), "")</f>
        <v/>
      </c>
      <c r="E3068" s="4" t="str" cm="1">
        <f t="array" ref="E3068">IFERROR(INDEX(EmployeeData[Gender], ROW() - 37), "")</f>
        <v/>
      </c>
      <c r="F3068" s="4" t="str" cm="1">
        <f t="array" ref="F3068">IFERROR(INDEX(EmployeeData[Age], ROW() - 37), "")</f>
        <v/>
      </c>
      <c r="G3068" s="6" t="str" cm="1">
        <f t="array" ref="G3068">IFERROR(INDEX(EmployeeData[Join Date], ROW() - 37), "")</f>
        <v/>
      </c>
      <c r="H3068" s="6" t="str" cm="1">
        <f t="array" ref="H3068">IFERROR(IF(INDEX(EmployeeData[Exit Date], ROW() - 37)=0, "",INDEX(EmployeeData[Exit Date], ROW() - 37)),"")</f>
        <v/>
      </c>
      <c r="I3068" s="4" t="str" cm="1">
        <f t="array" ref="I3068">IFERROR(IF(INDEX(EmployeeData[Exit Reason], ROW() - 37)=0, "",INDEX(EmployeeData[Exit Reason], ROW() - 37)),"")</f>
        <v/>
      </c>
      <c r="J3068" s="4" t="str" cm="1">
        <f t="array" ref="J3068">IFERROR(INDEX(EmployeeData[Status], ROW() - 37), "")</f>
        <v/>
      </c>
    </row>
    <row r="3069" spans="2:10" ht="19.95" customHeight="1" x14ac:dyDescent="0.3">
      <c r="B3069" s="4" t="str" cm="1">
        <f t="array" ref="B3069">IFERROR(INDEX(EmployeeData[Employee ID], ROW() - 37), "")</f>
        <v/>
      </c>
      <c r="C3069" s="4" t="str" cm="1">
        <f t="array" ref="C3069">IFERROR(INDEX(EmployeeData[Full Name], ROW() - 37), "")</f>
        <v/>
      </c>
      <c r="D3069" s="4" t="str" cm="1">
        <f t="array" ref="D3069">IFERROR(INDEX(EmployeeData[Department], ROW() - 37), "")</f>
        <v/>
      </c>
      <c r="E3069" s="4" t="str" cm="1">
        <f t="array" ref="E3069">IFERROR(INDEX(EmployeeData[Gender], ROW() - 37), "")</f>
        <v/>
      </c>
      <c r="F3069" s="4" t="str" cm="1">
        <f t="array" ref="F3069">IFERROR(INDEX(EmployeeData[Age], ROW() - 37), "")</f>
        <v/>
      </c>
      <c r="G3069" s="6" t="str" cm="1">
        <f t="array" ref="G3069">IFERROR(INDEX(EmployeeData[Join Date], ROW() - 37), "")</f>
        <v/>
      </c>
      <c r="H3069" s="6" t="str" cm="1">
        <f t="array" ref="H3069">IFERROR(IF(INDEX(EmployeeData[Exit Date], ROW() - 37)=0, "",INDEX(EmployeeData[Exit Date], ROW() - 37)),"")</f>
        <v/>
      </c>
      <c r="I3069" s="4" t="str" cm="1">
        <f t="array" ref="I3069">IFERROR(IF(INDEX(EmployeeData[Exit Reason], ROW() - 37)=0, "",INDEX(EmployeeData[Exit Reason], ROW() - 37)),"")</f>
        <v/>
      </c>
      <c r="J3069" s="4" t="str" cm="1">
        <f t="array" ref="J3069">IFERROR(INDEX(EmployeeData[Status], ROW() - 37), "")</f>
        <v/>
      </c>
    </row>
    <row r="3070" spans="2:10" ht="19.95" customHeight="1" x14ac:dyDescent="0.3">
      <c r="B3070" s="4" t="str" cm="1">
        <f t="array" ref="B3070">IFERROR(INDEX(EmployeeData[Employee ID], ROW() - 37), "")</f>
        <v/>
      </c>
      <c r="C3070" s="4" t="str" cm="1">
        <f t="array" ref="C3070">IFERROR(INDEX(EmployeeData[Full Name], ROW() - 37), "")</f>
        <v/>
      </c>
      <c r="D3070" s="4" t="str" cm="1">
        <f t="array" ref="D3070">IFERROR(INDEX(EmployeeData[Department], ROW() - 37), "")</f>
        <v/>
      </c>
      <c r="E3070" s="4" t="str" cm="1">
        <f t="array" ref="E3070">IFERROR(INDEX(EmployeeData[Gender], ROW() - 37), "")</f>
        <v/>
      </c>
      <c r="F3070" s="4" t="str" cm="1">
        <f t="array" ref="F3070">IFERROR(INDEX(EmployeeData[Age], ROW() - 37), "")</f>
        <v/>
      </c>
      <c r="G3070" s="6" t="str" cm="1">
        <f t="array" ref="G3070">IFERROR(INDEX(EmployeeData[Join Date], ROW() - 37), "")</f>
        <v/>
      </c>
      <c r="H3070" s="6" t="str" cm="1">
        <f t="array" ref="H3070">IFERROR(IF(INDEX(EmployeeData[Exit Date], ROW() - 37)=0, "",INDEX(EmployeeData[Exit Date], ROW() - 37)),"")</f>
        <v/>
      </c>
      <c r="I3070" s="4" t="str" cm="1">
        <f t="array" ref="I3070">IFERROR(IF(INDEX(EmployeeData[Exit Reason], ROW() - 37)=0, "",INDEX(EmployeeData[Exit Reason], ROW() - 37)),"")</f>
        <v/>
      </c>
      <c r="J3070" s="4" t="str" cm="1">
        <f t="array" ref="J3070">IFERROR(INDEX(EmployeeData[Status], ROW() - 37), "")</f>
        <v/>
      </c>
    </row>
    <row r="3071" spans="2:10" ht="19.95" customHeight="1" x14ac:dyDescent="0.3">
      <c r="B3071" s="4" t="str" cm="1">
        <f t="array" ref="B3071">IFERROR(INDEX(EmployeeData[Employee ID], ROW() - 37), "")</f>
        <v/>
      </c>
      <c r="C3071" s="4" t="str" cm="1">
        <f t="array" ref="C3071">IFERROR(INDEX(EmployeeData[Full Name], ROW() - 37), "")</f>
        <v/>
      </c>
      <c r="D3071" s="4" t="str" cm="1">
        <f t="array" ref="D3071">IFERROR(INDEX(EmployeeData[Department], ROW() - 37), "")</f>
        <v/>
      </c>
      <c r="E3071" s="4" t="str" cm="1">
        <f t="array" ref="E3071">IFERROR(INDEX(EmployeeData[Gender], ROW() - 37), "")</f>
        <v/>
      </c>
      <c r="F3071" s="4" t="str" cm="1">
        <f t="array" ref="F3071">IFERROR(INDEX(EmployeeData[Age], ROW() - 37), "")</f>
        <v/>
      </c>
      <c r="G3071" s="6" t="str" cm="1">
        <f t="array" ref="G3071">IFERROR(INDEX(EmployeeData[Join Date], ROW() - 37), "")</f>
        <v/>
      </c>
      <c r="H3071" s="6" t="str" cm="1">
        <f t="array" ref="H3071">IFERROR(IF(INDEX(EmployeeData[Exit Date], ROW() - 37)=0, "",INDEX(EmployeeData[Exit Date], ROW() - 37)),"")</f>
        <v/>
      </c>
      <c r="I3071" s="4" t="str" cm="1">
        <f t="array" ref="I3071">IFERROR(IF(INDEX(EmployeeData[Exit Reason], ROW() - 37)=0, "",INDEX(EmployeeData[Exit Reason], ROW() - 37)),"")</f>
        <v/>
      </c>
      <c r="J3071" s="4" t="str" cm="1">
        <f t="array" ref="J3071">IFERROR(INDEX(EmployeeData[Status], ROW() - 37), "")</f>
        <v/>
      </c>
    </row>
    <row r="3072" spans="2:10" ht="19.95" customHeight="1" x14ac:dyDescent="0.3">
      <c r="B3072" s="4" t="str" cm="1">
        <f t="array" ref="B3072">IFERROR(INDEX(EmployeeData[Employee ID], ROW() - 37), "")</f>
        <v/>
      </c>
      <c r="C3072" s="4" t="str" cm="1">
        <f t="array" ref="C3072">IFERROR(INDEX(EmployeeData[Full Name], ROW() - 37), "")</f>
        <v/>
      </c>
      <c r="D3072" s="4" t="str" cm="1">
        <f t="array" ref="D3072">IFERROR(INDEX(EmployeeData[Department], ROW() - 37), "")</f>
        <v/>
      </c>
      <c r="E3072" s="4" t="str" cm="1">
        <f t="array" ref="E3072">IFERROR(INDEX(EmployeeData[Gender], ROW() - 37), "")</f>
        <v/>
      </c>
      <c r="F3072" s="4" t="str" cm="1">
        <f t="array" ref="F3072">IFERROR(INDEX(EmployeeData[Age], ROW() - 37), "")</f>
        <v/>
      </c>
      <c r="G3072" s="6" t="str" cm="1">
        <f t="array" ref="G3072">IFERROR(INDEX(EmployeeData[Join Date], ROW() - 37), "")</f>
        <v/>
      </c>
      <c r="H3072" s="6" t="str" cm="1">
        <f t="array" ref="H3072">IFERROR(IF(INDEX(EmployeeData[Exit Date], ROW() - 37)=0, "",INDEX(EmployeeData[Exit Date], ROW() - 37)),"")</f>
        <v/>
      </c>
      <c r="I3072" s="4" t="str" cm="1">
        <f t="array" ref="I3072">IFERROR(IF(INDEX(EmployeeData[Exit Reason], ROW() - 37)=0, "",INDEX(EmployeeData[Exit Reason], ROW() - 37)),"")</f>
        <v/>
      </c>
      <c r="J3072" s="4" t="str" cm="1">
        <f t="array" ref="J3072">IFERROR(INDEX(EmployeeData[Status], ROW() - 37), "")</f>
        <v/>
      </c>
    </row>
    <row r="3073" spans="2:10" ht="19.95" customHeight="1" x14ac:dyDescent="0.3">
      <c r="B3073" s="4" t="str" cm="1">
        <f t="array" ref="B3073">IFERROR(INDEX(EmployeeData[Employee ID], ROW() - 37), "")</f>
        <v/>
      </c>
      <c r="C3073" s="4" t="str" cm="1">
        <f t="array" ref="C3073">IFERROR(INDEX(EmployeeData[Full Name], ROW() - 37), "")</f>
        <v/>
      </c>
      <c r="D3073" s="4" t="str" cm="1">
        <f t="array" ref="D3073">IFERROR(INDEX(EmployeeData[Department], ROW() - 37), "")</f>
        <v/>
      </c>
      <c r="E3073" s="4" t="str" cm="1">
        <f t="array" ref="E3073">IFERROR(INDEX(EmployeeData[Gender], ROW() - 37), "")</f>
        <v/>
      </c>
      <c r="F3073" s="4" t="str" cm="1">
        <f t="array" ref="F3073">IFERROR(INDEX(EmployeeData[Age], ROW() - 37), "")</f>
        <v/>
      </c>
      <c r="G3073" s="6" t="str" cm="1">
        <f t="array" ref="G3073">IFERROR(INDEX(EmployeeData[Join Date], ROW() - 37), "")</f>
        <v/>
      </c>
      <c r="H3073" s="6" t="str" cm="1">
        <f t="array" ref="H3073">IFERROR(IF(INDEX(EmployeeData[Exit Date], ROW() - 37)=0, "",INDEX(EmployeeData[Exit Date], ROW() - 37)),"")</f>
        <v/>
      </c>
      <c r="I3073" s="4" t="str" cm="1">
        <f t="array" ref="I3073">IFERROR(IF(INDEX(EmployeeData[Exit Reason], ROW() - 37)=0, "",INDEX(EmployeeData[Exit Reason], ROW() - 37)),"")</f>
        <v/>
      </c>
      <c r="J3073" s="4" t="str" cm="1">
        <f t="array" ref="J3073">IFERROR(INDEX(EmployeeData[Status], ROW() - 37), "")</f>
        <v/>
      </c>
    </row>
    <row r="3074" spans="2:10" ht="19.95" customHeight="1" x14ac:dyDescent="0.3">
      <c r="B3074" s="4" t="str" cm="1">
        <f t="array" ref="B3074">IFERROR(INDEX(EmployeeData[Employee ID], ROW() - 37), "")</f>
        <v/>
      </c>
      <c r="C3074" s="4" t="str" cm="1">
        <f t="array" ref="C3074">IFERROR(INDEX(EmployeeData[Full Name], ROW() - 37), "")</f>
        <v/>
      </c>
      <c r="D3074" s="4" t="str" cm="1">
        <f t="array" ref="D3074">IFERROR(INDEX(EmployeeData[Department], ROW() - 37), "")</f>
        <v/>
      </c>
      <c r="E3074" s="4" t="str" cm="1">
        <f t="array" ref="E3074">IFERROR(INDEX(EmployeeData[Gender], ROW() - 37), "")</f>
        <v/>
      </c>
      <c r="F3074" s="4" t="str" cm="1">
        <f t="array" ref="F3074">IFERROR(INDEX(EmployeeData[Age], ROW() - 37), "")</f>
        <v/>
      </c>
      <c r="G3074" s="6" t="str" cm="1">
        <f t="array" ref="G3074">IFERROR(INDEX(EmployeeData[Join Date], ROW() - 37), "")</f>
        <v/>
      </c>
      <c r="H3074" s="6" t="str" cm="1">
        <f t="array" ref="H3074">IFERROR(IF(INDEX(EmployeeData[Exit Date], ROW() - 37)=0, "",INDEX(EmployeeData[Exit Date], ROW() - 37)),"")</f>
        <v/>
      </c>
      <c r="I3074" s="4" t="str" cm="1">
        <f t="array" ref="I3074">IFERROR(IF(INDEX(EmployeeData[Exit Reason], ROW() - 37)=0, "",INDEX(EmployeeData[Exit Reason], ROW() - 37)),"")</f>
        <v/>
      </c>
      <c r="J3074" s="4" t="str" cm="1">
        <f t="array" ref="J3074">IFERROR(INDEX(EmployeeData[Status], ROW() - 37), "")</f>
        <v/>
      </c>
    </row>
    <row r="3075" spans="2:10" ht="19.95" customHeight="1" x14ac:dyDescent="0.3">
      <c r="B3075" s="4" t="str" cm="1">
        <f t="array" ref="B3075">IFERROR(INDEX(EmployeeData[Employee ID], ROW() - 37), "")</f>
        <v/>
      </c>
      <c r="C3075" s="4" t="str" cm="1">
        <f t="array" ref="C3075">IFERROR(INDEX(EmployeeData[Full Name], ROW() - 37), "")</f>
        <v/>
      </c>
      <c r="D3075" s="4" t="str" cm="1">
        <f t="array" ref="D3075">IFERROR(INDEX(EmployeeData[Department], ROW() - 37), "")</f>
        <v/>
      </c>
      <c r="E3075" s="4" t="str" cm="1">
        <f t="array" ref="E3075">IFERROR(INDEX(EmployeeData[Gender], ROW() - 37), "")</f>
        <v/>
      </c>
      <c r="F3075" s="4" t="str" cm="1">
        <f t="array" ref="F3075">IFERROR(INDEX(EmployeeData[Age], ROW() - 37), "")</f>
        <v/>
      </c>
      <c r="G3075" s="6" t="str" cm="1">
        <f t="array" ref="G3075">IFERROR(INDEX(EmployeeData[Join Date], ROW() - 37), "")</f>
        <v/>
      </c>
      <c r="H3075" s="6" t="str" cm="1">
        <f t="array" ref="H3075">IFERROR(IF(INDEX(EmployeeData[Exit Date], ROW() - 37)=0, "",INDEX(EmployeeData[Exit Date], ROW() - 37)),"")</f>
        <v/>
      </c>
      <c r="I3075" s="4" t="str" cm="1">
        <f t="array" ref="I3075">IFERROR(IF(INDEX(EmployeeData[Exit Reason], ROW() - 37)=0, "",INDEX(EmployeeData[Exit Reason], ROW() - 37)),"")</f>
        <v/>
      </c>
      <c r="J3075" s="4" t="str" cm="1">
        <f t="array" ref="J3075">IFERROR(INDEX(EmployeeData[Status], ROW() - 37), "")</f>
        <v/>
      </c>
    </row>
    <row r="3076" spans="2:10" ht="19.95" customHeight="1" x14ac:dyDescent="0.3">
      <c r="B3076" s="4" t="str" cm="1">
        <f t="array" ref="B3076">IFERROR(INDEX(EmployeeData[Employee ID], ROW() - 37), "")</f>
        <v/>
      </c>
      <c r="C3076" s="4" t="str" cm="1">
        <f t="array" ref="C3076">IFERROR(INDEX(EmployeeData[Full Name], ROW() - 37), "")</f>
        <v/>
      </c>
      <c r="D3076" s="4" t="str" cm="1">
        <f t="array" ref="D3076">IFERROR(INDEX(EmployeeData[Department], ROW() - 37), "")</f>
        <v/>
      </c>
      <c r="E3076" s="4" t="str" cm="1">
        <f t="array" ref="E3076">IFERROR(INDEX(EmployeeData[Gender], ROW() - 37), "")</f>
        <v/>
      </c>
      <c r="F3076" s="4" t="str" cm="1">
        <f t="array" ref="F3076">IFERROR(INDEX(EmployeeData[Age], ROW() - 37), "")</f>
        <v/>
      </c>
      <c r="G3076" s="6" t="str" cm="1">
        <f t="array" ref="G3076">IFERROR(INDEX(EmployeeData[Join Date], ROW() - 37), "")</f>
        <v/>
      </c>
      <c r="H3076" s="6" t="str" cm="1">
        <f t="array" ref="H3076">IFERROR(IF(INDEX(EmployeeData[Exit Date], ROW() - 37)=0, "",INDEX(EmployeeData[Exit Date], ROW() - 37)),"")</f>
        <v/>
      </c>
      <c r="I3076" s="4" t="str" cm="1">
        <f t="array" ref="I3076">IFERROR(IF(INDEX(EmployeeData[Exit Reason], ROW() - 37)=0, "",INDEX(EmployeeData[Exit Reason], ROW() - 37)),"")</f>
        <v/>
      </c>
      <c r="J3076" s="4" t="str" cm="1">
        <f t="array" ref="J3076">IFERROR(INDEX(EmployeeData[Status], ROW() - 37), "")</f>
        <v/>
      </c>
    </row>
    <row r="3077" spans="2:10" ht="19.95" customHeight="1" x14ac:dyDescent="0.3">
      <c r="B3077" s="4" t="str" cm="1">
        <f t="array" ref="B3077">IFERROR(INDEX(EmployeeData[Employee ID], ROW() - 37), "")</f>
        <v/>
      </c>
      <c r="C3077" s="4" t="str" cm="1">
        <f t="array" ref="C3077">IFERROR(INDEX(EmployeeData[Full Name], ROW() - 37), "")</f>
        <v/>
      </c>
      <c r="D3077" s="4" t="str" cm="1">
        <f t="array" ref="D3077">IFERROR(INDEX(EmployeeData[Department], ROW() - 37), "")</f>
        <v/>
      </c>
      <c r="E3077" s="4" t="str" cm="1">
        <f t="array" ref="E3077">IFERROR(INDEX(EmployeeData[Gender], ROW() - 37), "")</f>
        <v/>
      </c>
      <c r="F3077" s="4" t="str" cm="1">
        <f t="array" ref="F3077">IFERROR(INDEX(EmployeeData[Age], ROW() - 37), "")</f>
        <v/>
      </c>
      <c r="G3077" s="6" t="str" cm="1">
        <f t="array" ref="G3077">IFERROR(INDEX(EmployeeData[Join Date], ROW() - 37), "")</f>
        <v/>
      </c>
      <c r="H3077" s="6" t="str" cm="1">
        <f t="array" ref="H3077">IFERROR(IF(INDEX(EmployeeData[Exit Date], ROW() - 37)=0, "",INDEX(EmployeeData[Exit Date], ROW() - 37)),"")</f>
        <v/>
      </c>
      <c r="I3077" s="4" t="str" cm="1">
        <f t="array" ref="I3077">IFERROR(IF(INDEX(EmployeeData[Exit Reason], ROW() - 37)=0, "",INDEX(EmployeeData[Exit Reason], ROW() - 37)),"")</f>
        <v/>
      </c>
      <c r="J3077" s="4" t="str" cm="1">
        <f t="array" ref="J3077">IFERROR(INDEX(EmployeeData[Status], ROW() - 37), "")</f>
        <v/>
      </c>
    </row>
    <row r="3078" spans="2:10" ht="19.95" customHeight="1" x14ac:dyDescent="0.3">
      <c r="B3078" s="4" t="str" cm="1">
        <f t="array" ref="B3078">IFERROR(INDEX(EmployeeData[Employee ID], ROW() - 37), "")</f>
        <v/>
      </c>
      <c r="C3078" s="4" t="str" cm="1">
        <f t="array" ref="C3078">IFERROR(INDEX(EmployeeData[Full Name], ROW() - 37), "")</f>
        <v/>
      </c>
      <c r="D3078" s="4" t="str" cm="1">
        <f t="array" ref="D3078">IFERROR(INDEX(EmployeeData[Department], ROW() - 37), "")</f>
        <v/>
      </c>
      <c r="E3078" s="4" t="str" cm="1">
        <f t="array" ref="E3078">IFERROR(INDEX(EmployeeData[Gender], ROW() - 37), "")</f>
        <v/>
      </c>
      <c r="F3078" s="4" t="str" cm="1">
        <f t="array" ref="F3078">IFERROR(INDEX(EmployeeData[Age], ROW() - 37), "")</f>
        <v/>
      </c>
      <c r="G3078" s="6" t="str" cm="1">
        <f t="array" ref="G3078">IFERROR(INDEX(EmployeeData[Join Date], ROW() - 37), "")</f>
        <v/>
      </c>
      <c r="H3078" s="6" t="str" cm="1">
        <f t="array" ref="H3078">IFERROR(IF(INDEX(EmployeeData[Exit Date], ROW() - 37)=0, "",INDEX(EmployeeData[Exit Date], ROW() - 37)),"")</f>
        <v/>
      </c>
      <c r="I3078" s="4" t="str" cm="1">
        <f t="array" ref="I3078">IFERROR(IF(INDEX(EmployeeData[Exit Reason], ROW() - 37)=0, "",INDEX(EmployeeData[Exit Reason], ROW() - 37)),"")</f>
        <v/>
      </c>
      <c r="J3078" s="4" t="str" cm="1">
        <f t="array" ref="J3078">IFERROR(INDEX(EmployeeData[Status], ROW() - 37), "")</f>
        <v/>
      </c>
    </row>
    <row r="3079" spans="2:10" ht="19.95" customHeight="1" x14ac:dyDescent="0.3">
      <c r="B3079" s="4" t="str" cm="1">
        <f t="array" ref="B3079">IFERROR(INDEX(EmployeeData[Employee ID], ROW() - 37), "")</f>
        <v/>
      </c>
      <c r="C3079" s="4" t="str" cm="1">
        <f t="array" ref="C3079">IFERROR(INDEX(EmployeeData[Full Name], ROW() - 37), "")</f>
        <v/>
      </c>
      <c r="D3079" s="4" t="str" cm="1">
        <f t="array" ref="D3079">IFERROR(INDEX(EmployeeData[Department], ROW() - 37), "")</f>
        <v/>
      </c>
      <c r="E3079" s="4" t="str" cm="1">
        <f t="array" ref="E3079">IFERROR(INDEX(EmployeeData[Gender], ROW() - 37), "")</f>
        <v/>
      </c>
      <c r="F3079" s="4" t="str" cm="1">
        <f t="array" ref="F3079">IFERROR(INDEX(EmployeeData[Age], ROW() - 37), "")</f>
        <v/>
      </c>
      <c r="G3079" s="6" t="str" cm="1">
        <f t="array" ref="G3079">IFERROR(INDEX(EmployeeData[Join Date], ROW() - 37), "")</f>
        <v/>
      </c>
      <c r="H3079" s="6" t="str" cm="1">
        <f t="array" ref="H3079">IFERROR(IF(INDEX(EmployeeData[Exit Date], ROW() - 37)=0, "",INDEX(EmployeeData[Exit Date], ROW() - 37)),"")</f>
        <v/>
      </c>
      <c r="I3079" s="4" t="str" cm="1">
        <f t="array" ref="I3079">IFERROR(IF(INDEX(EmployeeData[Exit Reason], ROW() - 37)=0, "",INDEX(EmployeeData[Exit Reason], ROW() - 37)),"")</f>
        <v/>
      </c>
      <c r="J3079" s="4" t="str" cm="1">
        <f t="array" ref="J3079">IFERROR(INDEX(EmployeeData[Status], ROW() - 37), "")</f>
        <v/>
      </c>
    </row>
    <row r="3080" spans="2:10" ht="19.95" customHeight="1" x14ac:dyDescent="0.3">
      <c r="B3080" s="4" t="str" cm="1">
        <f t="array" ref="B3080">IFERROR(INDEX(EmployeeData[Employee ID], ROW() - 37), "")</f>
        <v/>
      </c>
      <c r="C3080" s="4" t="str" cm="1">
        <f t="array" ref="C3080">IFERROR(INDEX(EmployeeData[Full Name], ROW() - 37), "")</f>
        <v/>
      </c>
      <c r="D3080" s="4" t="str" cm="1">
        <f t="array" ref="D3080">IFERROR(INDEX(EmployeeData[Department], ROW() - 37), "")</f>
        <v/>
      </c>
      <c r="E3080" s="4" t="str" cm="1">
        <f t="array" ref="E3080">IFERROR(INDEX(EmployeeData[Gender], ROW() - 37), "")</f>
        <v/>
      </c>
      <c r="F3080" s="4" t="str" cm="1">
        <f t="array" ref="F3080">IFERROR(INDEX(EmployeeData[Age], ROW() - 37), "")</f>
        <v/>
      </c>
      <c r="G3080" s="6" t="str" cm="1">
        <f t="array" ref="G3080">IFERROR(INDEX(EmployeeData[Join Date], ROW() - 37), "")</f>
        <v/>
      </c>
      <c r="H3080" s="6" t="str" cm="1">
        <f t="array" ref="H3080">IFERROR(IF(INDEX(EmployeeData[Exit Date], ROW() - 37)=0, "",INDEX(EmployeeData[Exit Date], ROW() - 37)),"")</f>
        <v/>
      </c>
      <c r="I3080" s="4" t="str" cm="1">
        <f t="array" ref="I3080">IFERROR(IF(INDEX(EmployeeData[Exit Reason], ROW() - 37)=0, "",INDEX(EmployeeData[Exit Reason], ROW() - 37)),"")</f>
        <v/>
      </c>
      <c r="J3080" s="4" t="str" cm="1">
        <f t="array" ref="J3080">IFERROR(INDEX(EmployeeData[Status], ROW() - 37), "")</f>
        <v/>
      </c>
    </row>
    <row r="3081" spans="2:10" ht="19.95" customHeight="1" x14ac:dyDescent="0.3">
      <c r="B3081" s="4" t="str" cm="1">
        <f t="array" ref="B3081">IFERROR(INDEX(EmployeeData[Employee ID], ROW() - 37), "")</f>
        <v/>
      </c>
      <c r="C3081" s="4" t="str" cm="1">
        <f t="array" ref="C3081">IFERROR(INDEX(EmployeeData[Full Name], ROW() - 37), "")</f>
        <v/>
      </c>
      <c r="D3081" s="4" t="str" cm="1">
        <f t="array" ref="D3081">IFERROR(INDEX(EmployeeData[Department], ROW() - 37), "")</f>
        <v/>
      </c>
      <c r="E3081" s="4" t="str" cm="1">
        <f t="array" ref="E3081">IFERROR(INDEX(EmployeeData[Gender], ROW() - 37), "")</f>
        <v/>
      </c>
      <c r="F3081" s="4" t="str" cm="1">
        <f t="array" ref="F3081">IFERROR(INDEX(EmployeeData[Age], ROW() - 37), "")</f>
        <v/>
      </c>
      <c r="G3081" s="6" t="str" cm="1">
        <f t="array" ref="G3081">IFERROR(INDEX(EmployeeData[Join Date], ROW() - 37), "")</f>
        <v/>
      </c>
      <c r="H3081" s="6" t="str" cm="1">
        <f t="array" ref="H3081">IFERROR(IF(INDEX(EmployeeData[Exit Date], ROW() - 37)=0, "",INDEX(EmployeeData[Exit Date], ROW() - 37)),"")</f>
        <v/>
      </c>
      <c r="I3081" s="4" t="str" cm="1">
        <f t="array" ref="I3081">IFERROR(IF(INDEX(EmployeeData[Exit Reason], ROW() - 37)=0, "",INDEX(EmployeeData[Exit Reason], ROW() - 37)),"")</f>
        <v/>
      </c>
      <c r="J3081" s="4" t="str" cm="1">
        <f t="array" ref="J3081">IFERROR(INDEX(EmployeeData[Status], ROW() - 37), "")</f>
        <v/>
      </c>
    </row>
    <row r="3082" spans="2:10" ht="19.95" customHeight="1" x14ac:dyDescent="0.3">
      <c r="B3082" s="4" t="str" cm="1">
        <f t="array" ref="B3082">IFERROR(INDEX(EmployeeData[Employee ID], ROW() - 37), "")</f>
        <v/>
      </c>
      <c r="C3082" s="4" t="str" cm="1">
        <f t="array" ref="C3082">IFERROR(INDEX(EmployeeData[Full Name], ROW() - 37), "")</f>
        <v/>
      </c>
      <c r="D3082" s="4" t="str" cm="1">
        <f t="array" ref="D3082">IFERROR(INDEX(EmployeeData[Department], ROW() - 37), "")</f>
        <v/>
      </c>
      <c r="E3082" s="4" t="str" cm="1">
        <f t="array" ref="E3082">IFERROR(INDEX(EmployeeData[Gender], ROW() - 37), "")</f>
        <v/>
      </c>
      <c r="F3082" s="4" t="str" cm="1">
        <f t="array" ref="F3082">IFERROR(INDEX(EmployeeData[Age], ROW() - 37), "")</f>
        <v/>
      </c>
      <c r="G3082" s="6" t="str" cm="1">
        <f t="array" ref="G3082">IFERROR(INDEX(EmployeeData[Join Date], ROW() - 37), "")</f>
        <v/>
      </c>
      <c r="H3082" s="6" t="str" cm="1">
        <f t="array" ref="H3082">IFERROR(IF(INDEX(EmployeeData[Exit Date], ROW() - 37)=0, "",INDEX(EmployeeData[Exit Date], ROW() - 37)),"")</f>
        <v/>
      </c>
      <c r="I3082" s="4" t="str" cm="1">
        <f t="array" ref="I3082">IFERROR(IF(INDEX(EmployeeData[Exit Reason], ROW() - 37)=0, "",INDEX(EmployeeData[Exit Reason], ROW() - 37)),"")</f>
        <v/>
      </c>
      <c r="J3082" s="4" t="str" cm="1">
        <f t="array" ref="J3082">IFERROR(INDEX(EmployeeData[Status], ROW() - 37), "")</f>
        <v/>
      </c>
    </row>
    <row r="3083" spans="2:10" ht="19.95" customHeight="1" x14ac:dyDescent="0.3">
      <c r="B3083" s="4" t="str" cm="1">
        <f t="array" ref="B3083">IFERROR(INDEX(EmployeeData[Employee ID], ROW() - 37), "")</f>
        <v/>
      </c>
      <c r="C3083" s="4" t="str" cm="1">
        <f t="array" ref="C3083">IFERROR(INDEX(EmployeeData[Full Name], ROW() - 37), "")</f>
        <v/>
      </c>
      <c r="D3083" s="4" t="str" cm="1">
        <f t="array" ref="D3083">IFERROR(INDEX(EmployeeData[Department], ROW() - 37), "")</f>
        <v/>
      </c>
      <c r="E3083" s="4" t="str" cm="1">
        <f t="array" ref="E3083">IFERROR(INDEX(EmployeeData[Gender], ROW() - 37), "")</f>
        <v/>
      </c>
      <c r="F3083" s="4" t="str" cm="1">
        <f t="array" ref="F3083">IFERROR(INDEX(EmployeeData[Age], ROW() - 37), "")</f>
        <v/>
      </c>
      <c r="G3083" s="6" t="str" cm="1">
        <f t="array" ref="G3083">IFERROR(INDEX(EmployeeData[Join Date], ROW() - 37), "")</f>
        <v/>
      </c>
      <c r="H3083" s="6" t="str" cm="1">
        <f t="array" ref="H3083">IFERROR(IF(INDEX(EmployeeData[Exit Date], ROW() - 37)=0, "",INDEX(EmployeeData[Exit Date], ROW() - 37)),"")</f>
        <v/>
      </c>
      <c r="I3083" s="4" t="str" cm="1">
        <f t="array" ref="I3083">IFERROR(IF(INDEX(EmployeeData[Exit Reason], ROW() - 37)=0, "",INDEX(EmployeeData[Exit Reason], ROW() - 37)),"")</f>
        <v/>
      </c>
      <c r="J3083" s="4" t="str" cm="1">
        <f t="array" ref="J3083">IFERROR(INDEX(EmployeeData[Status], ROW() - 37), "")</f>
        <v/>
      </c>
    </row>
    <row r="3084" spans="2:10" ht="19.95" customHeight="1" x14ac:dyDescent="0.3">
      <c r="B3084" s="4" t="str" cm="1">
        <f t="array" ref="B3084">IFERROR(INDEX(EmployeeData[Employee ID], ROW() - 37), "")</f>
        <v/>
      </c>
      <c r="C3084" s="4" t="str" cm="1">
        <f t="array" ref="C3084">IFERROR(INDEX(EmployeeData[Full Name], ROW() - 37), "")</f>
        <v/>
      </c>
      <c r="D3084" s="4" t="str" cm="1">
        <f t="array" ref="D3084">IFERROR(INDEX(EmployeeData[Department], ROW() - 37), "")</f>
        <v/>
      </c>
      <c r="E3084" s="4" t="str" cm="1">
        <f t="array" ref="E3084">IFERROR(INDEX(EmployeeData[Gender], ROW() - 37), "")</f>
        <v/>
      </c>
      <c r="F3084" s="4" t="str" cm="1">
        <f t="array" ref="F3084">IFERROR(INDEX(EmployeeData[Age], ROW() - 37), "")</f>
        <v/>
      </c>
      <c r="G3084" s="6" t="str" cm="1">
        <f t="array" ref="G3084">IFERROR(INDEX(EmployeeData[Join Date], ROW() - 37), "")</f>
        <v/>
      </c>
      <c r="H3084" s="6" t="str" cm="1">
        <f t="array" ref="H3084">IFERROR(IF(INDEX(EmployeeData[Exit Date], ROW() - 37)=0, "",INDEX(EmployeeData[Exit Date], ROW() - 37)),"")</f>
        <v/>
      </c>
      <c r="I3084" s="4" t="str" cm="1">
        <f t="array" ref="I3084">IFERROR(IF(INDEX(EmployeeData[Exit Reason], ROW() - 37)=0, "",INDEX(EmployeeData[Exit Reason], ROW() - 37)),"")</f>
        <v/>
      </c>
      <c r="J3084" s="4" t="str" cm="1">
        <f t="array" ref="J3084">IFERROR(INDEX(EmployeeData[Status], ROW() - 37), "")</f>
        <v/>
      </c>
    </row>
    <row r="3085" spans="2:10" ht="19.95" customHeight="1" x14ac:dyDescent="0.3">
      <c r="B3085" s="4" t="str" cm="1">
        <f t="array" ref="B3085">IFERROR(INDEX(EmployeeData[Employee ID], ROW() - 37), "")</f>
        <v/>
      </c>
      <c r="C3085" s="4" t="str" cm="1">
        <f t="array" ref="C3085">IFERROR(INDEX(EmployeeData[Full Name], ROW() - 37), "")</f>
        <v/>
      </c>
      <c r="D3085" s="4" t="str" cm="1">
        <f t="array" ref="D3085">IFERROR(INDEX(EmployeeData[Department], ROW() - 37), "")</f>
        <v/>
      </c>
      <c r="E3085" s="4" t="str" cm="1">
        <f t="array" ref="E3085">IFERROR(INDEX(EmployeeData[Gender], ROW() - 37), "")</f>
        <v/>
      </c>
      <c r="F3085" s="4" t="str" cm="1">
        <f t="array" ref="F3085">IFERROR(INDEX(EmployeeData[Age], ROW() - 37), "")</f>
        <v/>
      </c>
      <c r="G3085" s="6" t="str" cm="1">
        <f t="array" ref="G3085">IFERROR(INDEX(EmployeeData[Join Date], ROW() - 37), "")</f>
        <v/>
      </c>
      <c r="H3085" s="6" t="str" cm="1">
        <f t="array" ref="H3085">IFERROR(IF(INDEX(EmployeeData[Exit Date], ROW() - 37)=0, "",INDEX(EmployeeData[Exit Date], ROW() - 37)),"")</f>
        <v/>
      </c>
      <c r="I3085" s="4" t="str" cm="1">
        <f t="array" ref="I3085">IFERROR(IF(INDEX(EmployeeData[Exit Reason], ROW() - 37)=0, "",INDEX(EmployeeData[Exit Reason], ROW() - 37)),"")</f>
        <v/>
      </c>
      <c r="J3085" s="4" t="str" cm="1">
        <f t="array" ref="J3085">IFERROR(INDEX(EmployeeData[Status], ROW() - 37), "")</f>
        <v/>
      </c>
    </row>
    <row r="3086" spans="2:10" ht="19.95" customHeight="1" x14ac:dyDescent="0.3">
      <c r="B3086" s="4" t="str" cm="1">
        <f t="array" ref="B3086">IFERROR(INDEX(EmployeeData[Employee ID], ROW() - 37), "")</f>
        <v/>
      </c>
      <c r="C3086" s="4" t="str" cm="1">
        <f t="array" ref="C3086">IFERROR(INDEX(EmployeeData[Full Name], ROW() - 37), "")</f>
        <v/>
      </c>
      <c r="D3086" s="4" t="str" cm="1">
        <f t="array" ref="D3086">IFERROR(INDEX(EmployeeData[Department], ROW() - 37), "")</f>
        <v/>
      </c>
      <c r="E3086" s="4" t="str" cm="1">
        <f t="array" ref="E3086">IFERROR(INDEX(EmployeeData[Gender], ROW() - 37), "")</f>
        <v/>
      </c>
      <c r="F3086" s="4" t="str" cm="1">
        <f t="array" ref="F3086">IFERROR(INDEX(EmployeeData[Age], ROW() - 37), "")</f>
        <v/>
      </c>
      <c r="G3086" s="6" t="str" cm="1">
        <f t="array" ref="G3086">IFERROR(INDEX(EmployeeData[Join Date], ROW() - 37), "")</f>
        <v/>
      </c>
      <c r="H3086" s="6" t="str" cm="1">
        <f t="array" ref="H3086">IFERROR(IF(INDEX(EmployeeData[Exit Date], ROW() - 37)=0, "",INDEX(EmployeeData[Exit Date], ROW() - 37)),"")</f>
        <v/>
      </c>
      <c r="I3086" s="4" t="str" cm="1">
        <f t="array" ref="I3086">IFERROR(IF(INDEX(EmployeeData[Exit Reason], ROW() - 37)=0, "",INDEX(EmployeeData[Exit Reason], ROW() - 37)),"")</f>
        <v/>
      </c>
      <c r="J3086" s="4" t="str" cm="1">
        <f t="array" ref="J3086">IFERROR(INDEX(EmployeeData[Status], ROW() - 37), "")</f>
        <v/>
      </c>
    </row>
    <row r="3087" spans="2:10" ht="19.95" customHeight="1" x14ac:dyDescent="0.3">
      <c r="B3087" s="4" t="str" cm="1">
        <f t="array" ref="B3087">IFERROR(INDEX(EmployeeData[Employee ID], ROW() - 37), "")</f>
        <v/>
      </c>
      <c r="C3087" s="4" t="str" cm="1">
        <f t="array" ref="C3087">IFERROR(INDEX(EmployeeData[Full Name], ROW() - 37), "")</f>
        <v/>
      </c>
      <c r="D3087" s="4" t="str" cm="1">
        <f t="array" ref="D3087">IFERROR(INDEX(EmployeeData[Department], ROW() - 37), "")</f>
        <v/>
      </c>
      <c r="E3087" s="4" t="str" cm="1">
        <f t="array" ref="E3087">IFERROR(INDEX(EmployeeData[Gender], ROW() - 37), "")</f>
        <v/>
      </c>
      <c r="F3087" s="4" t="str" cm="1">
        <f t="array" ref="F3087">IFERROR(INDEX(EmployeeData[Age], ROW() - 37), "")</f>
        <v/>
      </c>
      <c r="G3087" s="6" t="str" cm="1">
        <f t="array" ref="G3087">IFERROR(INDEX(EmployeeData[Join Date], ROW() - 37), "")</f>
        <v/>
      </c>
      <c r="H3087" s="6" t="str" cm="1">
        <f t="array" ref="H3087">IFERROR(IF(INDEX(EmployeeData[Exit Date], ROW() - 37)=0, "",INDEX(EmployeeData[Exit Date], ROW() - 37)),"")</f>
        <v/>
      </c>
      <c r="I3087" s="4" t="str" cm="1">
        <f t="array" ref="I3087">IFERROR(IF(INDEX(EmployeeData[Exit Reason], ROW() - 37)=0, "",INDEX(EmployeeData[Exit Reason], ROW() - 37)),"")</f>
        <v/>
      </c>
      <c r="J3087" s="4" t="str" cm="1">
        <f t="array" ref="J3087">IFERROR(INDEX(EmployeeData[Status], ROW() - 37), "")</f>
        <v/>
      </c>
    </row>
    <row r="3088" spans="2:10" ht="19.95" customHeight="1" x14ac:dyDescent="0.3">
      <c r="B3088" s="4" t="str" cm="1">
        <f t="array" ref="B3088">IFERROR(INDEX(EmployeeData[Employee ID], ROW() - 37), "")</f>
        <v/>
      </c>
      <c r="C3088" s="4" t="str" cm="1">
        <f t="array" ref="C3088">IFERROR(INDEX(EmployeeData[Full Name], ROW() - 37), "")</f>
        <v/>
      </c>
      <c r="D3088" s="4" t="str" cm="1">
        <f t="array" ref="D3088">IFERROR(INDEX(EmployeeData[Department], ROW() - 37), "")</f>
        <v/>
      </c>
      <c r="E3088" s="4" t="str" cm="1">
        <f t="array" ref="E3088">IFERROR(INDEX(EmployeeData[Gender], ROW() - 37), "")</f>
        <v/>
      </c>
      <c r="F3088" s="4" t="str" cm="1">
        <f t="array" ref="F3088">IFERROR(INDEX(EmployeeData[Age], ROW() - 37), "")</f>
        <v/>
      </c>
      <c r="G3088" s="6" t="str" cm="1">
        <f t="array" ref="G3088">IFERROR(INDEX(EmployeeData[Join Date], ROW() - 37), "")</f>
        <v/>
      </c>
      <c r="H3088" s="6" t="str" cm="1">
        <f t="array" ref="H3088">IFERROR(IF(INDEX(EmployeeData[Exit Date], ROW() - 37)=0, "",INDEX(EmployeeData[Exit Date], ROW() - 37)),"")</f>
        <v/>
      </c>
      <c r="I3088" s="4" t="str" cm="1">
        <f t="array" ref="I3088">IFERROR(IF(INDEX(EmployeeData[Exit Reason], ROW() - 37)=0, "",INDEX(EmployeeData[Exit Reason], ROW() - 37)),"")</f>
        <v/>
      </c>
      <c r="J3088" s="4" t="str" cm="1">
        <f t="array" ref="J3088">IFERROR(INDEX(EmployeeData[Status], ROW() - 37), "")</f>
        <v/>
      </c>
    </row>
    <row r="3089" spans="2:10" ht="19.95" customHeight="1" x14ac:dyDescent="0.3">
      <c r="B3089" s="4" t="str" cm="1">
        <f t="array" ref="B3089">IFERROR(INDEX(EmployeeData[Employee ID], ROW() - 37), "")</f>
        <v/>
      </c>
      <c r="C3089" s="4" t="str" cm="1">
        <f t="array" ref="C3089">IFERROR(INDEX(EmployeeData[Full Name], ROW() - 37), "")</f>
        <v/>
      </c>
      <c r="D3089" s="4" t="str" cm="1">
        <f t="array" ref="D3089">IFERROR(INDEX(EmployeeData[Department], ROW() - 37), "")</f>
        <v/>
      </c>
      <c r="E3089" s="4" t="str" cm="1">
        <f t="array" ref="E3089">IFERROR(INDEX(EmployeeData[Gender], ROW() - 37), "")</f>
        <v/>
      </c>
      <c r="F3089" s="4" t="str" cm="1">
        <f t="array" ref="F3089">IFERROR(INDEX(EmployeeData[Age], ROW() - 37), "")</f>
        <v/>
      </c>
      <c r="G3089" s="6" t="str" cm="1">
        <f t="array" ref="G3089">IFERROR(INDEX(EmployeeData[Join Date], ROW() - 37), "")</f>
        <v/>
      </c>
      <c r="H3089" s="6" t="str" cm="1">
        <f t="array" ref="H3089">IFERROR(IF(INDEX(EmployeeData[Exit Date], ROW() - 37)=0, "",INDEX(EmployeeData[Exit Date], ROW() - 37)),"")</f>
        <v/>
      </c>
      <c r="I3089" s="4" t="str" cm="1">
        <f t="array" ref="I3089">IFERROR(IF(INDEX(EmployeeData[Exit Reason], ROW() - 37)=0, "",INDEX(EmployeeData[Exit Reason], ROW() - 37)),"")</f>
        <v/>
      </c>
      <c r="J3089" s="4" t="str" cm="1">
        <f t="array" ref="J3089">IFERROR(INDEX(EmployeeData[Status], ROW() - 37), "")</f>
        <v/>
      </c>
    </row>
    <row r="3090" spans="2:10" ht="19.95" customHeight="1" x14ac:dyDescent="0.3">
      <c r="B3090" s="4" t="str" cm="1">
        <f t="array" ref="B3090">IFERROR(INDEX(EmployeeData[Employee ID], ROW() - 37), "")</f>
        <v/>
      </c>
      <c r="C3090" s="4" t="str" cm="1">
        <f t="array" ref="C3090">IFERROR(INDEX(EmployeeData[Full Name], ROW() - 37), "")</f>
        <v/>
      </c>
      <c r="D3090" s="4" t="str" cm="1">
        <f t="array" ref="D3090">IFERROR(INDEX(EmployeeData[Department], ROW() - 37), "")</f>
        <v/>
      </c>
      <c r="E3090" s="4" t="str" cm="1">
        <f t="array" ref="E3090">IFERROR(INDEX(EmployeeData[Gender], ROW() - 37), "")</f>
        <v/>
      </c>
      <c r="F3090" s="4" t="str" cm="1">
        <f t="array" ref="F3090">IFERROR(INDEX(EmployeeData[Age], ROW() - 37), "")</f>
        <v/>
      </c>
      <c r="G3090" s="6" t="str" cm="1">
        <f t="array" ref="G3090">IFERROR(INDEX(EmployeeData[Join Date], ROW() - 37), "")</f>
        <v/>
      </c>
      <c r="H3090" s="6" t="str" cm="1">
        <f t="array" ref="H3090">IFERROR(IF(INDEX(EmployeeData[Exit Date], ROW() - 37)=0, "",INDEX(EmployeeData[Exit Date], ROW() - 37)),"")</f>
        <v/>
      </c>
      <c r="I3090" s="4" t="str" cm="1">
        <f t="array" ref="I3090">IFERROR(IF(INDEX(EmployeeData[Exit Reason], ROW() - 37)=0, "",INDEX(EmployeeData[Exit Reason], ROW() - 37)),"")</f>
        <v/>
      </c>
      <c r="J3090" s="4" t="str" cm="1">
        <f t="array" ref="J3090">IFERROR(INDEX(EmployeeData[Status], ROW() - 37), "")</f>
        <v/>
      </c>
    </row>
    <row r="3091" spans="2:10" ht="19.95" customHeight="1" x14ac:dyDescent="0.3">
      <c r="B3091" s="4" t="str" cm="1">
        <f t="array" ref="B3091">IFERROR(INDEX(EmployeeData[Employee ID], ROW() - 37), "")</f>
        <v/>
      </c>
      <c r="C3091" s="4" t="str" cm="1">
        <f t="array" ref="C3091">IFERROR(INDEX(EmployeeData[Full Name], ROW() - 37), "")</f>
        <v/>
      </c>
      <c r="D3091" s="4" t="str" cm="1">
        <f t="array" ref="D3091">IFERROR(INDEX(EmployeeData[Department], ROW() - 37), "")</f>
        <v/>
      </c>
      <c r="E3091" s="4" t="str" cm="1">
        <f t="array" ref="E3091">IFERROR(INDEX(EmployeeData[Gender], ROW() - 37), "")</f>
        <v/>
      </c>
      <c r="F3091" s="4" t="str" cm="1">
        <f t="array" ref="F3091">IFERROR(INDEX(EmployeeData[Age], ROW() - 37), "")</f>
        <v/>
      </c>
      <c r="G3091" s="6" t="str" cm="1">
        <f t="array" ref="G3091">IFERROR(INDEX(EmployeeData[Join Date], ROW() - 37), "")</f>
        <v/>
      </c>
      <c r="H3091" s="6" t="str" cm="1">
        <f t="array" ref="H3091">IFERROR(IF(INDEX(EmployeeData[Exit Date], ROW() - 37)=0, "",INDEX(EmployeeData[Exit Date], ROW() - 37)),"")</f>
        <v/>
      </c>
      <c r="I3091" s="4" t="str" cm="1">
        <f t="array" ref="I3091">IFERROR(IF(INDEX(EmployeeData[Exit Reason], ROW() - 37)=0, "",INDEX(EmployeeData[Exit Reason], ROW() - 37)),"")</f>
        <v/>
      </c>
      <c r="J3091" s="4" t="str" cm="1">
        <f t="array" ref="J3091">IFERROR(INDEX(EmployeeData[Status], ROW() - 37), "")</f>
        <v/>
      </c>
    </row>
    <row r="3092" spans="2:10" ht="19.95" customHeight="1" x14ac:dyDescent="0.3">
      <c r="B3092" s="4" t="str" cm="1">
        <f t="array" ref="B3092">IFERROR(INDEX(EmployeeData[Employee ID], ROW() - 37), "")</f>
        <v/>
      </c>
      <c r="C3092" s="4" t="str" cm="1">
        <f t="array" ref="C3092">IFERROR(INDEX(EmployeeData[Full Name], ROW() - 37), "")</f>
        <v/>
      </c>
      <c r="D3092" s="4" t="str" cm="1">
        <f t="array" ref="D3092">IFERROR(INDEX(EmployeeData[Department], ROW() - 37), "")</f>
        <v/>
      </c>
      <c r="E3092" s="4" t="str" cm="1">
        <f t="array" ref="E3092">IFERROR(INDEX(EmployeeData[Gender], ROW() - 37), "")</f>
        <v/>
      </c>
      <c r="F3092" s="4" t="str" cm="1">
        <f t="array" ref="F3092">IFERROR(INDEX(EmployeeData[Age], ROW() - 37), "")</f>
        <v/>
      </c>
      <c r="G3092" s="6" t="str" cm="1">
        <f t="array" ref="G3092">IFERROR(INDEX(EmployeeData[Join Date], ROW() - 37), "")</f>
        <v/>
      </c>
      <c r="H3092" s="6" t="str" cm="1">
        <f t="array" ref="H3092">IFERROR(IF(INDEX(EmployeeData[Exit Date], ROW() - 37)=0, "",INDEX(EmployeeData[Exit Date], ROW() - 37)),"")</f>
        <v/>
      </c>
      <c r="I3092" s="4" t="str" cm="1">
        <f t="array" ref="I3092">IFERROR(IF(INDEX(EmployeeData[Exit Reason], ROW() - 37)=0, "",INDEX(EmployeeData[Exit Reason], ROW() - 37)),"")</f>
        <v/>
      </c>
      <c r="J3092" s="4" t="str" cm="1">
        <f t="array" ref="J3092">IFERROR(INDEX(EmployeeData[Status], ROW() - 37), "")</f>
        <v/>
      </c>
    </row>
    <row r="3093" spans="2:10" ht="19.95" customHeight="1" x14ac:dyDescent="0.3">
      <c r="B3093" s="4" t="str" cm="1">
        <f t="array" ref="B3093">IFERROR(INDEX(EmployeeData[Employee ID], ROW() - 37), "")</f>
        <v/>
      </c>
      <c r="C3093" s="4" t="str" cm="1">
        <f t="array" ref="C3093">IFERROR(INDEX(EmployeeData[Full Name], ROW() - 37), "")</f>
        <v/>
      </c>
      <c r="D3093" s="4" t="str" cm="1">
        <f t="array" ref="D3093">IFERROR(INDEX(EmployeeData[Department], ROW() - 37), "")</f>
        <v/>
      </c>
      <c r="E3093" s="4" t="str" cm="1">
        <f t="array" ref="E3093">IFERROR(INDEX(EmployeeData[Gender], ROW() - 37), "")</f>
        <v/>
      </c>
      <c r="F3093" s="4" t="str" cm="1">
        <f t="array" ref="F3093">IFERROR(INDEX(EmployeeData[Age], ROW() - 37), "")</f>
        <v/>
      </c>
      <c r="G3093" s="6" t="str" cm="1">
        <f t="array" ref="G3093">IFERROR(INDEX(EmployeeData[Join Date], ROW() - 37), "")</f>
        <v/>
      </c>
      <c r="H3093" s="6" t="str" cm="1">
        <f t="array" ref="H3093">IFERROR(IF(INDEX(EmployeeData[Exit Date], ROW() - 37)=0, "",INDEX(EmployeeData[Exit Date], ROW() - 37)),"")</f>
        <v/>
      </c>
      <c r="I3093" s="4" t="str" cm="1">
        <f t="array" ref="I3093">IFERROR(IF(INDEX(EmployeeData[Exit Reason], ROW() - 37)=0, "",INDEX(EmployeeData[Exit Reason], ROW() - 37)),"")</f>
        <v/>
      </c>
      <c r="J3093" s="4" t="str" cm="1">
        <f t="array" ref="J3093">IFERROR(INDEX(EmployeeData[Status], ROW() - 37), "")</f>
        <v/>
      </c>
    </row>
    <row r="3094" spans="2:10" ht="19.95" customHeight="1" x14ac:dyDescent="0.3">
      <c r="B3094" s="4" t="str" cm="1">
        <f t="array" ref="B3094">IFERROR(INDEX(EmployeeData[Employee ID], ROW() - 37), "")</f>
        <v/>
      </c>
      <c r="C3094" s="4" t="str" cm="1">
        <f t="array" ref="C3094">IFERROR(INDEX(EmployeeData[Full Name], ROW() - 37), "")</f>
        <v/>
      </c>
      <c r="D3094" s="4" t="str" cm="1">
        <f t="array" ref="D3094">IFERROR(INDEX(EmployeeData[Department], ROW() - 37), "")</f>
        <v/>
      </c>
      <c r="E3094" s="4" t="str" cm="1">
        <f t="array" ref="E3094">IFERROR(INDEX(EmployeeData[Gender], ROW() - 37), "")</f>
        <v/>
      </c>
      <c r="F3094" s="4" t="str" cm="1">
        <f t="array" ref="F3094">IFERROR(INDEX(EmployeeData[Age], ROW() - 37), "")</f>
        <v/>
      </c>
      <c r="G3094" s="6" t="str" cm="1">
        <f t="array" ref="G3094">IFERROR(INDEX(EmployeeData[Join Date], ROW() - 37), "")</f>
        <v/>
      </c>
      <c r="H3094" s="6" t="str" cm="1">
        <f t="array" ref="H3094">IFERROR(IF(INDEX(EmployeeData[Exit Date], ROW() - 37)=0, "",INDEX(EmployeeData[Exit Date], ROW() - 37)),"")</f>
        <v/>
      </c>
      <c r="I3094" s="4" t="str" cm="1">
        <f t="array" ref="I3094">IFERROR(IF(INDEX(EmployeeData[Exit Reason], ROW() - 37)=0, "",INDEX(EmployeeData[Exit Reason], ROW() - 37)),"")</f>
        <v/>
      </c>
      <c r="J3094" s="4" t="str" cm="1">
        <f t="array" ref="J3094">IFERROR(INDEX(EmployeeData[Status], ROW() - 37), "")</f>
        <v/>
      </c>
    </row>
    <row r="3095" spans="2:10" ht="19.95" customHeight="1" x14ac:dyDescent="0.3">
      <c r="B3095" s="4" t="str" cm="1">
        <f t="array" ref="B3095">IFERROR(INDEX(EmployeeData[Employee ID], ROW() - 37), "")</f>
        <v/>
      </c>
      <c r="C3095" s="4" t="str" cm="1">
        <f t="array" ref="C3095">IFERROR(INDEX(EmployeeData[Full Name], ROW() - 37), "")</f>
        <v/>
      </c>
      <c r="D3095" s="4" t="str" cm="1">
        <f t="array" ref="D3095">IFERROR(INDEX(EmployeeData[Department], ROW() - 37), "")</f>
        <v/>
      </c>
      <c r="E3095" s="4" t="str" cm="1">
        <f t="array" ref="E3095">IFERROR(INDEX(EmployeeData[Gender], ROW() - 37), "")</f>
        <v/>
      </c>
      <c r="F3095" s="4" t="str" cm="1">
        <f t="array" ref="F3095">IFERROR(INDEX(EmployeeData[Age], ROW() - 37), "")</f>
        <v/>
      </c>
      <c r="G3095" s="6" t="str" cm="1">
        <f t="array" ref="G3095">IFERROR(INDEX(EmployeeData[Join Date], ROW() - 37), "")</f>
        <v/>
      </c>
      <c r="H3095" s="6" t="str" cm="1">
        <f t="array" ref="H3095">IFERROR(IF(INDEX(EmployeeData[Exit Date], ROW() - 37)=0, "",INDEX(EmployeeData[Exit Date], ROW() - 37)),"")</f>
        <v/>
      </c>
      <c r="I3095" s="4" t="str" cm="1">
        <f t="array" ref="I3095">IFERROR(IF(INDEX(EmployeeData[Exit Reason], ROW() - 37)=0, "",INDEX(EmployeeData[Exit Reason], ROW() - 37)),"")</f>
        <v/>
      </c>
      <c r="J3095" s="4" t="str" cm="1">
        <f t="array" ref="J3095">IFERROR(INDEX(EmployeeData[Status], ROW() - 37), "")</f>
        <v/>
      </c>
    </row>
    <row r="3096" spans="2:10" ht="19.95" customHeight="1" x14ac:dyDescent="0.3">
      <c r="B3096" s="4" t="str" cm="1">
        <f t="array" ref="B3096">IFERROR(INDEX(EmployeeData[Employee ID], ROW() - 37), "")</f>
        <v/>
      </c>
      <c r="C3096" s="4" t="str" cm="1">
        <f t="array" ref="C3096">IFERROR(INDEX(EmployeeData[Full Name], ROW() - 37), "")</f>
        <v/>
      </c>
      <c r="D3096" s="4" t="str" cm="1">
        <f t="array" ref="D3096">IFERROR(INDEX(EmployeeData[Department], ROW() - 37), "")</f>
        <v/>
      </c>
      <c r="E3096" s="4" t="str" cm="1">
        <f t="array" ref="E3096">IFERROR(INDEX(EmployeeData[Gender], ROW() - 37), "")</f>
        <v/>
      </c>
      <c r="F3096" s="4" t="str" cm="1">
        <f t="array" ref="F3096">IFERROR(INDEX(EmployeeData[Age], ROW() - 37), "")</f>
        <v/>
      </c>
      <c r="G3096" s="6" t="str" cm="1">
        <f t="array" ref="G3096">IFERROR(INDEX(EmployeeData[Join Date], ROW() - 37), "")</f>
        <v/>
      </c>
      <c r="H3096" s="6" t="str" cm="1">
        <f t="array" ref="H3096">IFERROR(IF(INDEX(EmployeeData[Exit Date], ROW() - 37)=0, "",INDEX(EmployeeData[Exit Date], ROW() - 37)),"")</f>
        <v/>
      </c>
      <c r="I3096" s="4" t="str" cm="1">
        <f t="array" ref="I3096">IFERROR(IF(INDEX(EmployeeData[Exit Reason], ROW() - 37)=0, "",INDEX(EmployeeData[Exit Reason], ROW() - 37)),"")</f>
        <v/>
      </c>
      <c r="J3096" s="4" t="str" cm="1">
        <f t="array" ref="J3096">IFERROR(INDEX(EmployeeData[Status], ROW() - 37), "")</f>
        <v/>
      </c>
    </row>
    <row r="3097" spans="2:10" ht="19.95" customHeight="1" x14ac:dyDescent="0.3">
      <c r="B3097" s="4" t="str" cm="1">
        <f t="array" ref="B3097">IFERROR(INDEX(EmployeeData[Employee ID], ROW() - 37), "")</f>
        <v/>
      </c>
      <c r="C3097" s="4" t="str" cm="1">
        <f t="array" ref="C3097">IFERROR(INDEX(EmployeeData[Full Name], ROW() - 37), "")</f>
        <v/>
      </c>
      <c r="D3097" s="4" t="str" cm="1">
        <f t="array" ref="D3097">IFERROR(INDEX(EmployeeData[Department], ROW() - 37), "")</f>
        <v/>
      </c>
      <c r="E3097" s="4" t="str" cm="1">
        <f t="array" ref="E3097">IFERROR(INDEX(EmployeeData[Gender], ROW() - 37), "")</f>
        <v/>
      </c>
      <c r="F3097" s="4" t="str" cm="1">
        <f t="array" ref="F3097">IFERROR(INDEX(EmployeeData[Age], ROW() - 37), "")</f>
        <v/>
      </c>
      <c r="G3097" s="6" t="str" cm="1">
        <f t="array" ref="G3097">IFERROR(INDEX(EmployeeData[Join Date], ROW() - 37), "")</f>
        <v/>
      </c>
      <c r="H3097" s="6" t="str" cm="1">
        <f t="array" ref="H3097">IFERROR(IF(INDEX(EmployeeData[Exit Date], ROW() - 37)=0, "",INDEX(EmployeeData[Exit Date], ROW() - 37)),"")</f>
        <v/>
      </c>
      <c r="I3097" s="4" t="str" cm="1">
        <f t="array" ref="I3097">IFERROR(IF(INDEX(EmployeeData[Exit Reason], ROW() - 37)=0, "",INDEX(EmployeeData[Exit Reason], ROW() - 37)),"")</f>
        <v/>
      </c>
      <c r="J3097" s="4" t="str" cm="1">
        <f t="array" ref="J3097">IFERROR(INDEX(EmployeeData[Status], ROW() - 37), "")</f>
        <v/>
      </c>
    </row>
    <row r="3098" spans="2:10" ht="19.95" customHeight="1" x14ac:dyDescent="0.3">
      <c r="B3098" s="4" t="str" cm="1">
        <f t="array" ref="B3098">IFERROR(INDEX(EmployeeData[Employee ID], ROW() - 37), "")</f>
        <v/>
      </c>
      <c r="C3098" s="4" t="str" cm="1">
        <f t="array" ref="C3098">IFERROR(INDEX(EmployeeData[Full Name], ROW() - 37), "")</f>
        <v/>
      </c>
      <c r="D3098" s="4" t="str" cm="1">
        <f t="array" ref="D3098">IFERROR(INDEX(EmployeeData[Department], ROW() - 37), "")</f>
        <v/>
      </c>
      <c r="E3098" s="4" t="str" cm="1">
        <f t="array" ref="E3098">IFERROR(INDEX(EmployeeData[Gender], ROW() - 37), "")</f>
        <v/>
      </c>
      <c r="F3098" s="4" t="str" cm="1">
        <f t="array" ref="F3098">IFERROR(INDEX(EmployeeData[Age], ROW() - 37), "")</f>
        <v/>
      </c>
      <c r="G3098" s="6" t="str" cm="1">
        <f t="array" ref="G3098">IFERROR(INDEX(EmployeeData[Join Date], ROW() - 37), "")</f>
        <v/>
      </c>
      <c r="H3098" s="6" t="str" cm="1">
        <f t="array" ref="H3098">IFERROR(IF(INDEX(EmployeeData[Exit Date], ROW() - 37)=0, "",INDEX(EmployeeData[Exit Date], ROW() - 37)),"")</f>
        <v/>
      </c>
      <c r="I3098" s="4" t="str" cm="1">
        <f t="array" ref="I3098">IFERROR(IF(INDEX(EmployeeData[Exit Reason], ROW() - 37)=0, "",INDEX(EmployeeData[Exit Reason], ROW() - 37)),"")</f>
        <v/>
      </c>
      <c r="J3098" s="4" t="str" cm="1">
        <f t="array" ref="J3098">IFERROR(INDEX(EmployeeData[Status], ROW() - 37), "")</f>
        <v/>
      </c>
    </row>
    <row r="3099" spans="2:10" ht="19.95" customHeight="1" x14ac:dyDescent="0.3">
      <c r="B3099" s="4" t="str" cm="1">
        <f t="array" ref="B3099">IFERROR(INDEX(EmployeeData[Employee ID], ROW() - 37), "")</f>
        <v/>
      </c>
      <c r="C3099" s="4" t="str" cm="1">
        <f t="array" ref="C3099">IFERROR(INDEX(EmployeeData[Full Name], ROW() - 37), "")</f>
        <v/>
      </c>
      <c r="D3099" s="4" t="str" cm="1">
        <f t="array" ref="D3099">IFERROR(INDEX(EmployeeData[Department], ROW() - 37), "")</f>
        <v/>
      </c>
      <c r="E3099" s="4" t="str" cm="1">
        <f t="array" ref="E3099">IFERROR(INDEX(EmployeeData[Gender], ROW() - 37), "")</f>
        <v/>
      </c>
      <c r="F3099" s="4" t="str" cm="1">
        <f t="array" ref="F3099">IFERROR(INDEX(EmployeeData[Age], ROW() - 37), "")</f>
        <v/>
      </c>
      <c r="G3099" s="6" t="str" cm="1">
        <f t="array" ref="G3099">IFERROR(INDEX(EmployeeData[Join Date], ROW() - 37), "")</f>
        <v/>
      </c>
      <c r="H3099" s="6" t="str" cm="1">
        <f t="array" ref="H3099">IFERROR(IF(INDEX(EmployeeData[Exit Date], ROW() - 37)=0, "",INDEX(EmployeeData[Exit Date], ROW() - 37)),"")</f>
        <v/>
      </c>
      <c r="I3099" s="4" t="str" cm="1">
        <f t="array" ref="I3099">IFERROR(IF(INDEX(EmployeeData[Exit Reason], ROW() - 37)=0, "",INDEX(EmployeeData[Exit Reason], ROW() - 37)),"")</f>
        <v/>
      </c>
      <c r="J3099" s="4" t="str" cm="1">
        <f t="array" ref="J3099">IFERROR(INDEX(EmployeeData[Status], ROW() - 37), "")</f>
        <v/>
      </c>
    </row>
    <row r="3100" spans="2:10" ht="19.95" customHeight="1" x14ac:dyDescent="0.3">
      <c r="B3100" s="4" t="str" cm="1">
        <f t="array" ref="B3100">IFERROR(INDEX(EmployeeData[Employee ID], ROW() - 37), "")</f>
        <v/>
      </c>
      <c r="C3100" s="4" t="str" cm="1">
        <f t="array" ref="C3100">IFERROR(INDEX(EmployeeData[Full Name], ROW() - 37), "")</f>
        <v/>
      </c>
      <c r="D3100" s="4" t="str" cm="1">
        <f t="array" ref="D3100">IFERROR(INDEX(EmployeeData[Department], ROW() - 37), "")</f>
        <v/>
      </c>
      <c r="E3100" s="4" t="str" cm="1">
        <f t="array" ref="E3100">IFERROR(INDEX(EmployeeData[Gender], ROW() - 37), "")</f>
        <v/>
      </c>
      <c r="F3100" s="4" t="str" cm="1">
        <f t="array" ref="F3100">IFERROR(INDEX(EmployeeData[Age], ROW() - 37), "")</f>
        <v/>
      </c>
      <c r="G3100" s="6" t="str" cm="1">
        <f t="array" ref="G3100">IFERROR(INDEX(EmployeeData[Join Date], ROW() - 37), "")</f>
        <v/>
      </c>
      <c r="H3100" s="6" t="str" cm="1">
        <f t="array" ref="H3100">IFERROR(IF(INDEX(EmployeeData[Exit Date], ROW() - 37)=0, "",INDEX(EmployeeData[Exit Date], ROW() - 37)),"")</f>
        <v/>
      </c>
      <c r="I3100" s="4" t="str" cm="1">
        <f t="array" ref="I3100">IFERROR(IF(INDEX(EmployeeData[Exit Reason], ROW() - 37)=0, "",INDEX(EmployeeData[Exit Reason], ROW() - 37)),"")</f>
        <v/>
      </c>
      <c r="J3100" s="4" t="str" cm="1">
        <f t="array" ref="J3100">IFERROR(INDEX(EmployeeData[Status], ROW() - 37), "")</f>
        <v/>
      </c>
    </row>
    <row r="3101" spans="2:10" ht="19.95" customHeight="1" x14ac:dyDescent="0.3">
      <c r="B3101" s="4" t="str" cm="1">
        <f t="array" ref="B3101">IFERROR(INDEX(EmployeeData[Employee ID], ROW() - 37), "")</f>
        <v/>
      </c>
      <c r="C3101" s="4" t="str" cm="1">
        <f t="array" ref="C3101">IFERROR(INDEX(EmployeeData[Full Name], ROW() - 37), "")</f>
        <v/>
      </c>
      <c r="D3101" s="4" t="str" cm="1">
        <f t="array" ref="D3101">IFERROR(INDEX(EmployeeData[Department], ROW() - 37), "")</f>
        <v/>
      </c>
      <c r="E3101" s="4" t="str" cm="1">
        <f t="array" ref="E3101">IFERROR(INDEX(EmployeeData[Gender], ROW() - 37), "")</f>
        <v/>
      </c>
      <c r="F3101" s="4" t="str" cm="1">
        <f t="array" ref="F3101">IFERROR(INDEX(EmployeeData[Age], ROW() - 37), "")</f>
        <v/>
      </c>
      <c r="G3101" s="6" t="str" cm="1">
        <f t="array" ref="G3101">IFERROR(INDEX(EmployeeData[Join Date], ROW() - 37), "")</f>
        <v/>
      </c>
      <c r="H3101" s="6" t="str" cm="1">
        <f t="array" ref="H3101">IFERROR(IF(INDEX(EmployeeData[Exit Date], ROW() - 37)=0, "",INDEX(EmployeeData[Exit Date], ROW() - 37)),"")</f>
        <v/>
      </c>
      <c r="I3101" s="4" t="str" cm="1">
        <f t="array" ref="I3101">IFERROR(IF(INDEX(EmployeeData[Exit Reason], ROW() - 37)=0, "",INDEX(EmployeeData[Exit Reason], ROW() - 37)),"")</f>
        <v/>
      </c>
      <c r="J3101" s="4" t="str" cm="1">
        <f t="array" ref="J3101">IFERROR(INDEX(EmployeeData[Status], ROW() - 37), "")</f>
        <v/>
      </c>
    </row>
    <row r="3102" spans="2:10" ht="19.95" customHeight="1" x14ac:dyDescent="0.3">
      <c r="B3102" s="4" t="str" cm="1">
        <f t="array" ref="B3102">IFERROR(INDEX(EmployeeData[Employee ID], ROW() - 37), "")</f>
        <v/>
      </c>
      <c r="C3102" s="4" t="str" cm="1">
        <f t="array" ref="C3102">IFERROR(INDEX(EmployeeData[Full Name], ROW() - 37), "")</f>
        <v/>
      </c>
      <c r="D3102" s="4" t="str" cm="1">
        <f t="array" ref="D3102">IFERROR(INDEX(EmployeeData[Department], ROW() - 37), "")</f>
        <v/>
      </c>
      <c r="E3102" s="4" t="str" cm="1">
        <f t="array" ref="E3102">IFERROR(INDEX(EmployeeData[Gender], ROW() - 37), "")</f>
        <v/>
      </c>
      <c r="F3102" s="4" t="str" cm="1">
        <f t="array" ref="F3102">IFERROR(INDEX(EmployeeData[Age], ROW() - 37), "")</f>
        <v/>
      </c>
      <c r="G3102" s="6" t="str" cm="1">
        <f t="array" ref="G3102">IFERROR(INDEX(EmployeeData[Join Date], ROW() - 37), "")</f>
        <v/>
      </c>
      <c r="H3102" s="6" t="str" cm="1">
        <f t="array" ref="H3102">IFERROR(IF(INDEX(EmployeeData[Exit Date], ROW() - 37)=0, "",INDEX(EmployeeData[Exit Date], ROW() - 37)),"")</f>
        <v/>
      </c>
      <c r="I3102" s="4" t="str" cm="1">
        <f t="array" ref="I3102">IFERROR(IF(INDEX(EmployeeData[Exit Reason], ROW() - 37)=0, "",INDEX(EmployeeData[Exit Reason], ROW() - 37)),"")</f>
        <v/>
      </c>
      <c r="J3102" s="4" t="str" cm="1">
        <f t="array" ref="J3102">IFERROR(INDEX(EmployeeData[Status], ROW() - 37), "")</f>
        <v/>
      </c>
    </row>
    <row r="3103" spans="2:10" ht="19.95" customHeight="1" x14ac:dyDescent="0.3">
      <c r="B3103" s="4" t="str" cm="1">
        <f t="array" ref="B3103">IFERROR(INDEX(EmployeeData[Employee ID], ROW() - 37), "")</f>
        <v/>
      </c>
      <c r="C3103" s="4" t="str" cm="1">
        <f t="array" ref="C3103">IFERROR(INDEX(EmployeeData[Full Name], ROW() - 37), "")</f>
        <v/>
      </c>
      <c r="D3103" s="4" t="str" cm="1">
        <f t="array" ref="D3103">IFERROR(INDEX(EmployeeData[Department], ROW() - 37), "")</f>
        <v/>
      </c>
      <c r="E3103" s="4" t="str" cm="1">
        <f t="array" ref="E3103">IFERROR(INDEX(EmployeeData[Gender], ROW() - 37), "")</f>
        <v/>
      </c>
      <c r="F3103" s="4" t="str" cm="1">
        <f t="array" ref="F3103">IFERROR(INDEX(EmployeeData[Age], ROW() - 37), "")</f>
        <v/>
      </c>
      <c r="G3103" s="6" t="str" cm="1">
        <f t="array" ref="G3103">IFERROR(INDEX(EmployeeData[Join Date], ROW() - 37), "")</f>
        <v/>
      </c>
      <c r="H3103" s="6" t="str" cm="1">
        <f t="array" ref="H3103">IFERROR(IF(INDEX(EmployeeData[Exit Date], ROW() - 37)=0, "",INDEX(EmployeeData[Exit Date], ROW() - 37)),"")</f>
        <v/>
      </c>
      <c r="I3103" s="4" t="str" cm="1">
        <f t="array" ref="I3103">IFERROR(IF(INDEX(EmployeeData[Exit Reason], ROW() - 37)=0, "",INDEX(EmployeeData[Exit Reason], ROW() - 37)),"")</f>
        <v/>
      </c>
      <c r="J3103" s="4" t="str" cm="1">
        <f t="array" ref="J3103">IFERROR(INDEX(EmployeeData[Status], ROW() - 37), "")</f>
        <v/>
      </c>
    </row>
    <row r="3104" spans="2:10" ht="19.95" customHeight="1" x14ac:dyDescent="0.3">
      <c r="B3104" s="4" t="str" cm="1">
        <f t="array" ref="B3104">IFERROR(INDEX(EmployeeData[Employee ID], ROW() - 37), "")</f>
        <v/>
      </c>
      <c r="C3104" s="4" t="str" cm="1">
        <f t="array" ref="C3104">IFERROR(INDEX(EmployeeData[Full Name], ROW() - 37), "")</f>
        <v/>
      </c>
      <c r="D3104" s="4" t="str" cm="1">
        <f t="array" ref="D3104">IFERROR(INDEX(EmployeeData[Department], ROW() - 37), "")</f>
        <v/>
      </c>
      <c r="E3104" s="4" t="str" cm="1">
        <f t="array" ref="E3104">IFERROR(INDEX(EmployeeData[Gender], ROW() - 37), "")</f>
        <v/>
      </c>
      <c r="F3104" s="4" t="str" cm="1">
        <f t="array" ref="F3104">IFERROR(INDEX(EmployeeData[Age], ROW() - 37), "")</f>
        <v/>
      </c>
      <c r="G3104" s="6" t="str" cm="1">
        <f t="array" ref="G3104">IFERROR(INDEX(EmployeeData[Join Date], ROW() - 37), "")</f>
        <v/>
      </c>
      <c r="H3104" s="6" t="str" cm="1">
        <f t="array" ref="H3104">IFERROR(IF(INDEX(EmployeeData[Exit Date], ROW() - 37)=0, "",INDEX(EmployeeData[Exit Date], ROW() - 37)),"")</f>
        <v/>
      </c>
      <c r="I3104" s="4" t="str" cm="1">
        <f t="array" ref="I3104">IFERROR(IF(INDEX(EmployeeData[Exit Reason], ROW() - 37)=0, "",INDEX(EmployeeData[Exit Reason], ROW() - 37)),"")</f>
        <v/>
      </c>
      <c r="J3104" s="4" t="str" cm="1">
        <f t="array" ref="J3104">IFERROR(INDEX(EmployeeData[Status], ROW() - 37), "")</f>
        <v/>
      </c>
    </row>
    <row r="3105" spans="2:10" ht="19.95" customHeight="1" x14ac:dyDescent="0.3">
      <c r="B3105" s="4" t="str" cm="1">
        <f t="array" ref="B3105">IFERROR(INDEX(EmployeeData[Employee ID], ROW() - 37), "")</f>
        <v/>
      </c>
      <c r="C3105" s="4" t="str" cm="1">
        <f t="array" ref="C3105">IFERROR(INDEX(EmployeeData[Full Name], ROW() - 37), "")</f>
        <v/>
      </c>
      <c r="D3105" s="4" t="str" cm="1">
        <f t="array" ref="D3105">IFERROR(INDEX(EmployeeData[Department], ROW() - 37), "")</f>
        <v/>
      </c>
      <c r="E3105" s="4" t="str" cm="1">
        <f t="array" ref="E3105">IFERROR(INDEX(EmployeeData[Gender], ROW() - 37), "")</f>
        <v/>
      </c>
      <c r="F3105" s="4" t="str" cm="1">
        <f t="array" ref="F3105">IFERROR(INDEX(EmployeeData[Age], ROW() - 37), "")</f>
        <v/>
      </c>
      <c r="G3105" s="6" t="str" cm="1">
        <f t="array" ref="G3105">IFERROR(INDEX(EmployeeData[Join Date], ROW() - 37), "")</f>
        <v/>
      </c>
      <c r="H3105" s="6" t="str" cm="1">
        <f t="array" ref="H3105">IFERROR(IF(INDEX(EmployeeData[Exit Date], ROW() - 37)=0, "",INDEX(EmployeeData[Exit Date], ROW() - 37)),"")</f>
        <v/>
      </c>
      <c r="I3105" s="4" t="str" cm="1">
        <f t="array" ref="I3105">IFERROR(IF(INDEX(EmployeeData[Exit Reason], ROW() - 37)=0, "",INDEX(EmployeeData[Exit Reason], ROW() - 37)),"")</f>
        <v/>
      </c>
      <c r="J3105" s="4" t="str" cm="1">
        <f t="array" ref="J3105">IFERROR(INDEX(EmployeeData[Status], ROW() - 37), "")</f>
        <v/>
      </c>
    </row>
    <row r="3106" spans="2:10" ht="19.95" customHeight="1" x14ac:dyDescent="0.3">
      <c r="B3106" s="4" t="str" cm="1">
        <f t="array" ref="B3106">IFERROR(INDEX(EmployeeData[Employee ID], ROW() - 37), "")</f>
        <v/>
      </c>
      <c r="C3106" s="4" t="str" cm="1">
        <f t="array" ref="C3106">IFERROR(INDEX(EmployeeData[Full Name], ROW() - 37), "")</f>
        <v/>
      </c>
      <c r="D3106" s="4" t="str" cm="1">
        <f t="array" ref="D3106">IFERROR(INDEX(EmployeeData[Department], ROW() - 37), "")</f>
        <v/>
      </c>
      <c r="E3106" s="4" t="str" cm="1">
        <f t="array" ref="E3106">IFERROR(INDEX(EmployeeData[Gender], ROW() - 37), "")</f>
        <v/>
      </c>
      <c r="F3106" s="4" t="str" cm="1">
        <f t="array" ref="F3106">IFERROR(INDEX(EmployeeData[Age], ROW() - 37), "")</f>
        <v/>
      </c>
      <c r="G3106" s="6" t="str" cm="1">
        <f t="array" ref="G3106">IFERROR(INDEX(EmployeeData[Join Date], ROW() - 37), "")</f>
        <v/>
      </c>
      <c r="H3106" s="6" t="str" cm="1">
        <f t="array" ref="H3106">IFERROR(IF(INDEX(EmployeeData[Exit Date], ROW() - 37)=0, "",INDEX(EmployeeData[Exit Date], ROW() - 37)),"")</f>
        <v/>
      </c>
      <c r="I3106" s="4" t="str" cm="1">
        <f t="array" ref="I3106">IFERROR(IF(INDEX(EmployeeData[Exit Reason], ROW() - 37)=0, "",INDEX(EmployeeData[Exit Reason], ROW() - 37)),"")</f>
        <v/>
      </c>
      <c r="J3106" s="4" t="str" cm="1">
        <f t="array" ref="J3106">IFERROR(INDEX(EmployeeData[Status], ROW() - 37), "")</f>
        <v/>
      </c>
    </row>
    <row r="3107" spans="2:10" ht="19.95" customHeight="1" x14ac:dyDescent="0.3">
      <c r="B3107" s="4" t="str" cm="1">
        <f t="array" ref="B3107">IFERROR(INDEX(EmployeeData[Employee ID], ROW() - 37), "")</f>
        <v/>
      </c>
      <c r="C3107" s="4" t="str" cm="1">
        <f t="array" ref="C3107">IFERROR(INDEX(EmployeeData[Full Name], ROW() - 37), "")</f>
        <v/>
      </c>
      <c r="D3107" s="4" t="str" cm="1">
        <f t="array" ref="D3107">IFERROR(INDEX(EmployeeData[Department], ROW() - 37), "")</f>
        <v/>
      </c>
      <c r="E3107" s="4" t="str" cm="1">
        <f t="array" ref="E3107">IFERROR(INDEX(EmployeeData[Gender], ROW() - 37), "")</f>
        <v/>
      </c>
      <c r="F3107" s="4" t="str" cm="1">
        <f t="array" ref="F3107">IFERROR(INDEX(EmployeeData[Age], ROW() - 37), "")</f>
        <v/>
      </c>
      <c r="G3107" s="6" t="str" cm="1">
        <f t="array" ref="G3107">IFERROR(INDEX(EmployeeData[Join Date], ROW() - 37), "")</f>
        <v/>
      </c>
      <c r="H3107" s="6" t="str" cm="1">
        <f t="array" ref="H3107">IFERROR(IF(INDEX(EmployeeData[Exit Date], ROW() - 37)=0, "",INDEX(EmployeeData[Exit Date], ROW() - 37)),"")</f>
        <v/>
      </c>
      <c r="I3107" s="4" t="str" cm="1">
        <f t="array" ref="I3107">IFERROR(IF(INDEX(EmployeeData[Exit Reason], ROW() - 37)=0, "",INDEX(EmployeeData[Exit Reason], ROW() - 37)),"")</f>
        <v/>
      </c>
      <c r="J3107" s="4" t="str" cm="1">
        <f t="array" ref="J3107">IFERROR(INDEX(EmployeeData[Status], ROW() - 37), "")</f>
        <v/>
      </c>
    </row>
    <row r="3108" spans="2:10" ht="19.95" customHeight="1" x14ac:dyDescent="0.3">
      <c r="B3108" s="4" t="str" cm="1">
        <f t="array" ref="B3108">IFERROR(INDEX(EmployeeData[Employee ID], ROW() - 37), "")</f>
        <v/>
      </c>
      <c r="C3108" s="4" t="str" cm="1">
        <f t="array" ref="C3108">IFERROR(INDEX(EmployeeData[Full Name], ROW() - 37), "")</f>
        <v/>
      </c>
      <c r="D3108" s="4" t="str" cm="1">
        <f t="array" ref="D3108">IFERROR(INDEX(EmployeeData[Department], ROW() - 37), "")</f>
        <v/>
      </c>
      <c r="E3108" s="4" t="str" cm="1">
        <f t="array" ref="E3108">IFERROR(INDEX(EmployeeData[Gender], ROW() - 37), "")</f>
        <v/>
      </c>
      <c r="F3108" s="4" t="str" cm="1">
        <f t="array" ref="F3108">IFERROR(INDEX(EmployeeData[Age], ROW() - 37), "")</f>
        <v/>
      </c>
      <c r="G3108" s="6" t="str" cm="1">
        <f t="array" ref="G3108">IFERROR(INDEX(EmployeeData[Join Date], ROW() - 37), "")</f>
        <v/>
      </c>
      <c r="H3108" s="6" t="str" cm="1">
        <f t="array" ref="H3108">IFERROR(IF(INDEX(EmployeeData[Exit Date], ROW() - 37)=0, "",INDEX(EmployeeData[Exit Date], ROW() - 37)),"")</f>
        <v/>
      </c>
      <c r="I3108" s="4" t="str" cm="1">
        <f t="array" ref="I3108">IFERROR(IF(INDEX(EmployeeData[Exit Reason], ROW() - 37)=0, "",INDEX(EmployeeData[Exit Reason], ROW() - 37)),"")</f>
        <v/>
      </c>
      <c r="J3108" s="4" t="str" cm="1">
        <f t="array" ref="J3108">IFERROR(INDEX(EmployeeData[Status], ROW() - 37), "")</f>
        <v/>
      </c>
    </row>
    <row r="3109" spans="2:10" ht="19.95" customHeight="1" x14ac:dyDescent="0.3">
      <c r="B3109" s="4" t="str" cm="1">
        <f t="array" ref="B3109">IFERROR(INDEX(EmployeeData[Employee ID], ROW() - 37), "")</f>
        <v/>
      </c>
      <c r="C3109" s="4" t="str" cm="1">
        <f t="array" ref="C3109">IFERROR(INDEX(EmployeeData[Full Name], ROW() - 37), "")</f>
        <v/>
      </c>
      <c r="D3109" s="4" t="str" cm="1">
        <f t="array" ref="D3109">IFERROR(INDEX(EmployeeData[Department], ROW() - 37), "")</f>
        <v/>
      </c>
      <c r="E3109" s="4" t="str" cm="1">
        <f t="array" ref="E3109">IFERROR(INDEX(EmployeeData[Gender], ROW() - 37), "")</f>
        <v/>
      </c>
      <c r="F3109" s="4" t="str" cm="1">
        <f t="array" ref="F3109">IFERROR(INDEX(EmployeeData[Age], ROW() - 37), "")</f>
        <v/>
      </c>
      <c r="G3109" s="6" t="str" cm="1">
        <f t="array" ref="G3109">IFERROR(INDEX(EmployeeData[Join Date], ROW() - 37), "")</f>
        <v/>
      </c>
      <c r="H3109" s="6" t="str" cm="1">
        <f t="array" ref="H3109">IFERROR(IF(INDEX(EmployeeData[Exit Date], ROW() - 37)=0, "",INDEX(EmployeeData[Exit Date], ROW() - 37)),"")</f>
        <v/>
      </c>
      <c r="I3109" s="4" t="str" cm="1">
        <f t="array" ref="I3109">IFERROR(IF(INDEX(EmployeeData[Exit Reason], ROW() - 37)=0, "",INDEX(EmployeeData[Exit Reason], ROW() - 37)),"")</f>
        <v/>
      </c>
      <c r="J3109" s="4" t="str" cm="1">
        <f t="array" ref="J3109">IFERROR(INDEX(EmployeeData[Status], ROW() - 37), "")</f>
        <v/>
      </c>
    </row>
    <row r="3110" spans="2:10" ht="19.95" customHeight="1" x14ac:dyDescent="0.3">
      <c r="B3110" s="4" t="str" cm="1">
        <f t="array" ref="B3110">IFERROR(INDEX(EmployeeData[Employee ID], ROW() - 37), "")</f>
        <v/>
      </c>
      <c r="C3110" s="4" t="str" cm="1">
        <f t="array" ref="C3110">IFERROR(INDEX(EmployeeData[Full Name], ROW() - 37), "")</f>
        <v/>
      </c>
      <c r="D3110" s="4" t="str" cm="1">
        <f t="array" ref="D3110">IFERROR(INDEX(EmployeeData[Department], ROW() - 37), "")</f>
        <v/>
      </c>
      <c r="E3110" s="4" t="str" cm="1">
        <f t="array" ref="E3110">IFERROR(INDEX(EmployeeData[Gender], ROW() - 37), "")</f>
        <v/>
      </c>
      <c r="F3110" s="4" t="str" cm="1">
        <f t="array" ref="F3110">IFERROR(INDEX(EmployeeData[Age], ROW() - 37), "")</f>
        <v/>
      </c>
      <c r="G3110" s="6" t="str" cm="1">
        <f t="array" ref="G3110">IFERROR(INDEX(EmployeeData[Join Date], ROW() - 37), "")</f>
        <v/>
      </c>
      <c r="H3110" s="6" t="str" cm="1">
        <f t="array" ref="H3110">IFERROR(IF(INDEX(EmployeeData[Exit Date], ROW() - 37)=0, "",INDEX(EmployeeData[Exit Date], ROW() - 37)),"")</f>
        <v/>
      </c>
      <c r="I3110" s="4" t="str" cm="1">
        <f t="array" ref="I3110">IFERROR(IF(INDEX(EmployeeData[Exit Reason], ROW() - 37)=0, "",INDEX(EmployeeData[Exit Reason], ROW() - 37)),"")</f>
        <v/>
      </c>
      <c r="J3110" s="4" t="str" cm="1">
        <f t="array" ref="J3110">IFERROR(INDEX(EmployeeData[Status], ROW() - 37), "")</f>
        <v/>
      </c>
    </row>
    <row r="3111" spans="2:10" ht="19.95" customHeight="1" x14ac:dyDescent="0.3">
      <c r="B3111" s="4" t="str" cm="1">
        <f t="array" ref="B3111">IFERROR(INDEX(EmployeeData[Employee ID], ROW() - 37), "")</f>
        <v/>
      </c>
      <c r="C3111" s="4" t="str" cm="1">
        <f t="array" ref="C3111">IFERROR(INDEX(EmployeeData[Full Name], ROW() - 37), "")</f>
        <v/>
      </c>
      <c r="D3111" s="4" t="str" cm="1">
        <f t="array" ref="D3111">IFERROR(INDEX(EmployeeData[Department], ROW() - 37), "")</f>
        <v/>
      </c>
      <c r="E3111" s="4" t="str" cm="1">
        <f t="array" ref="E3111">IFERROR(INDEX(EmployeeData[Gender], ROW() - 37), "")</f>
        <v/>
      </c>
      <c r="F3111" s="4" t="str" cm="1">
        <f t="array" ref="F3111">IFERROR(INDEX(EmployeeData[Age], ROW() - 37), "")</f>
        <v/>
      </c>
      <c r="G3111" s="6" t="str" cm="1">
        <f t="array" ref="G3111">IFERROR(INDEX(EmployeeData[Join Date], ROW() - 37), "")</f>
        <v/>
      </c>
      <c r="H3111" s="6" t="str" cm="1">
        <f t="array" ref="H3111">IFERROR(IF(INDEX(EmployeeData[Exit Date], ROW() - 37)=0, "",INDEX(EmployeeData[Exit Date], ROW() - 37)),"")</f>
        <v/>
      </c>
      <c r="I3111" s="4" t="str" cm="1">
        <f t="array" ref="I3111">IFERROR(IF(INDEX(EmployeeData[Exit Reason], ROW() - 37)=0, "",INDEX(EmployeeData[Exit Reason], ROW() - 37)),"")</f>
        <v/>
      </c>
      <c r="J3111" s="4" t="str" cm="1">
        <f t="array" ref="J3111">IFERROR(INDEX(EmployeeData[Status], ROW() - 37), "")</f>
        <v/>
      </c>
    </row>
    <row r="3112" spans="2:10" ht="19.95" customHeight="1" x14ac:dyDescent="0.3">
      <c r="B3112" s="4" t="str" cm="1">
        <f t="array" ref="B3112">IFERROR(INDEX(EmployeeData[Employee ID], ROW() - 37), "")</f>
        <v/>
      </c>
      <c r="C3112" s="4" t="str" cm="1">
        <f t="array" ref="C3112">IFERROR(INDEX(EmployeeData[Full Name], ROW() - 37), "")</f>
        <v/>
      </c>
      <c r="D3112" s="4" t="str" cm="1">
        <f t="array" ref="D3112">IFERROR(INDEX(EmployeeData[Department], ROW() - 37), "")</f>
        <v/>
      </c>
      <c r="E3112" s="4" t="str" cm="1">
        <f t="array" ref="E3112">IFERROR(INDEX(EmployeeData[Gender], ROW() - 37), "")</f>
        <v/>
      </c>
      <c r="F3112" s="4" t="str" cm="1">
        <f t="array" ref="F3112">IFERROR(INDEX(EmployeeData[Age], ROW() - 37), "")</f>
        <v/>
      </c>
      <c r="G3112" s="6" t="str" cm="1">
        <f t="array" ref="G3112">IFERROR(INDEX(EmployeeData[Join Date], ROW() - 37), "")</f>
        <v/>
      </c>
      <c r="H3112" s="6" t="str" cm="1">
        <f t="array" ref="H3112">IFERROR(IF(INDEX(EmployeeData[Exit Date], ROW() - 37)=0, "",INDEX(EmployeeData[Exit Date], ROW() - 37)),"")</f>
        <v/>
      </c>
      <c r="I3112" s="4" t="str" cm="1">
        <f t="array" ref="I3112">IFERROR(IF(INDEX(EmployeeData[Exit Reason], ROW() - 37)=0, "",INDEX(EmployeeData[Exit Reason], ROW() - 37)),"")</f>
        <v/>
      </c>
      <c r="J3112" s="4" t="str" cm="1">
        <f t="array" ref="J3112">IFERROR(INDEX(EmployeeData[Status], ROW() - 37), "")</f>
        <v/>
      </c>
    </row>
    <row r="3113" spans="2:10" ht="19.95" customHeight="1" x14ac:dyDescent="0.3">
      <c r="B3113" s="4" t="str" cm="1">
        <f t="array" ref="B3113">IFERROR(INDEX(EmployeeData[Employee ID], ROW() - 37), "")</f>
        <v/>
      </c>
      <c r="C3113" s="4" t="str" cm="1">
        <f t="array" ref="C3113">IFERROR(INDEX(EmployeeData[Full Name], ROW() - 37), "")</f>
        <v/>
      </c>
      <c r="D3113" s="4" t="str" cm="1">
        <f t="array" ref="D3113">IFERROR(INDEX(EmployeeData[Department], ROW() - 37), "")</f>
        <v/>
      </c>
      <c r="E3113" s="4" t="str" cm="1">
        <f t="array" ref="E3113">IFERROR(INDEX(EmployeeData[Gender], ROW() - 37), "")</f>
        <v/>
      </c>
      <c r="F3113" s="4" t="str" cm="1">
        <f t="array" ref="F3113">IFERROR(INDEX(EmployeeData[Age], ROW() - 37), "")</f>
        <v/>
      </c>
      <c r="G3113" s="6" t="str" cm="1">
        <f t="array" ref="G3113">IFERROR(INDEX(EmployeeData[Join Date], ROW() - 37), "")</f>
        <v/>
      </c>
      <c r="H3113" s="6" t="str" cm="1">
        <f t="array" ref="H3113">IFERROR(IF(INDEX(EmployeeData[Exit Date], ROW() - 37)=0, "",INDEX(EmployeeData[Exit Date], ROW() - 37)),"")</f>
        <v/>
      </c>
      <c r="I3113" s="4" t="str" cm="1">
        <f t="array" ref="I3113">IFERROR(IF(INDEX(EmployeeData[Exit Reason], ROW() - 37)=0, "",INDEX(EmployeeData[Exit Reason], ROW() - 37)),"")</f>
        <v/>
      </c>
      <c r="J3113" s="4" t="str" cm="1">
        <f t="array" ref="J3113">IFERROR(INDEX(EmployeeData[Status], ROW() - 37), "")</f>
        <v/>
      </c>
    </row>
    <row r="3114" spans="2:10" ht="19.95" customHeight="1" x14ac:dyDescent="0.3">
      <c r="B3114" s="4" t="str" cm="1">
        <f t="array" ref="B3114">IFERROR(INDEX(EmployeeData[Employee ID], ROW() - 37), "")</f>
        <v/>
      </c>
      <c r="C3114" s="4" t="str" cm="1">
        <f t="array" ref="C3114">IFERROR(INDEX(EmployeeData[Full Name], ROW() - 37), "")</f>
        <v/>
      </c>
      <c r="D3114" s="4" t="str" cm="1">
        <f t="array" ref="D3114">IFERROR(INDEX(EmployeeData[Department], ROW() - 37), "")</f>
        <v/>
      </c>
      <c r="E3114" s="4" t="str" cm="1">
        <f t="array" ref="E3114">IFERROR(INDEX(EmployeeData[Gender], ROW() - 37), "")</f>
        <v/>
      </c>
      <c r="F3114" s="4" t="str" cm="1">
        <f t="array" ref="F3114">IFERROR(INDEX(EmployeeData[Age], ROW() - 37), "")</f>
        <v/>
      </c>
      <c r="G3114" s="6" t="str" cm="1">
        <f t="array" ref="G3114">IFERROR(INDEX(EmployeeData[Join Date], ROW() - 37), "")</f>
        <v/>
      </c>
      <c r="H3114" s="6" t="str" cm="1">
        <f t="array" ref="H3114">IFERROR(IF(INDEX(EmployeeData[Exit Date], ROW() - 37)=0, "",INDEX(EmployeeData[Exit Date], ROW() - 37)),"")</f>
        <v/>
      </c>
      <c r="I3114" s="4" t="str" cm="1">
        <f t="array" ref="I3114">IFERROR(IF(INDEX(EmployeeData[Exit Reason], ROW() - 37)=0, "",INDEX(EmployeeData[Exit Reason], ROW() - 37)),"")</f>
        <v/>
      </c>
      <c r="J3114" s="4" t="str" cm="1">
        <f t="array" ref="J3114">IFERROR(INDEX(EmployeeData[Status], ROW() - 37), "")</f>
        <v/>
      </c>
    </row>
    <row r="3115" spans="2:10" ht="19.95" customHeight="1" x14ac:dyDescent="0.3">
      <c r="B3115" s="4" t="str" cm="1">
        <f t="array" ref="B3115">IFERROR(INDEX(EmployeeData[Employee ID], ROW() - 37), "")</f>
        <v/>
      </c>
      <c r="C3115" s="4" t="str" cm="1">
        <f t="array" ref="C3115">IFERROR(INDEX(EmployeeData[Full Name], ROW() - 37), "")</f>
        <v/>
      </c>
      <c r="D3115" s="4" t="str" cm="1">
        <f t="array" ref="D3115">IFERROR(INDEX(EmployeeData[Department], ROW() - 37), "")</f>
        <v/>
      </c>
      <c r="E3115" s="4" t="str" cm="1">
        <f t="array" ref="E3115">IFERROR(INDEX(EmployeeData[Gender], ROW() - 37), "")</f>
        <v/>
      </c>
      <c r="F3115" s="4" t="str" cm="1">
        <f t="array" ref="F3115">IFERROR(INDEX(EmployeeData[Age], ROW() - 37), "")</f>
        <v/>
      </c>
      <c r="G3115" s="6" t="str" cm="1">
        <f t="array" ref="G3115">IFERROR(INDEX(EmployeeData[Join Date], ROW() - 37), "")</f>
        <v/>
      </c>
      <c r="H3115" s="6" t="str" cm="1">
        <f t="array" ref="H3115">IFERROR(IF(INDEX(EmployeeData[Exit Date], ROW() - 37)=0, "",INDEX(EmployeeData[Exit Date], ROW() - 37)),"")</f>
        <v/>
      </c>
      <c r="I3115" s="4" t="str" cm="1">
        <f t="array" ref="I3115">IFERROR(IF(INDEX(EmployeeData[Exit Reason], ROW() - 37)=0, "",INDEX(EmployeeData[Exit Reason], ROW() - 37)),"")</f>
        <v/>
      </c>
      <c r="J3115" s="4" t="str" cm="1">
        <f t="array" ref="J3115">IFERROR(INDEX(EmployeeData[Status], ROW() - 37), "")</f>
        <v/>
      </c>
    </row>
    <row r="3116" spans="2:10" ht="19.95" customHeight="1" x14ac:dyDescent="0.3">
      <c r="B3116" s="4" t="str" cm="1">
        <f t="array" ref="B3116">IFERROR(INDEX(EmployeeData[Employee ID], ROW() - 37), "")</f>
        <v/>
      </c>
      <c r="C3116" s="4" t="str" cm="1">
        <f t="array" ref="C3116">IFERROR(INDEX(EmployeeData[Full Name], ROW() - 37), "")</f>
        <v/>
      </c>
      <c r="D3116" s="4" t="str" cm="1">
        <f t="array" ref="D3116">IFERROR(INDEX(EmployeeData[Department], ROW() - 37), "")</f>
        <v/>
      </c>
      <c r="E3116" s="4" t="str" cm="1">
        <f t="array" ref="E3116">IFERROR(INDEX(EmployeeData[Gender], ROW() - 37), "")</f>
        <v/>
      </c>
      <c r="F3116" s="4" t="str" cm="1">
        <f t="array" ref="F3116">IFERROR(INDEX(EmployeeData[Age], ROW() - 37), "")</f>
        <v/>
      </c>
      <c r="G3116" s="6" t="str" cm="1">
        <f t="array" ref="G3116">IFERROR(INDEX(EmployeeData[Join Date], ROW() - 37), "")</f>
        <v/>
      </c>
      <c r="H3116" s="6" t="str" cm="1">
        <f t="array" ref="H3116">IFERROR(IF(INDEX(EmployeeData[Exit Date], ROW() - 37)=0, "",INDEX(EmployeeData[Exit Date], ROW() - 37)),"")</f>
        <v/>
      </c>
      <c r="I3116" s="4" t="str" cm="1">
        <f t="array" ref="I3116">IFERROR(IF(INDEX(EmployeeData[Exit Reason], ROW() - 37)=0, "",INDEX(EmployeeData[Exit Reason], ROW() - 37)),"")</f>
        <v/>
      </c>
      <c r="J3116" s="4" t="str" cm="1">
        <f t="array" ref="J3116">IFERROR(INDEX(EmployeeData[Status], ROW() - 37), "")</f>
        <v/>
      </c>
    </row>
    <row r="3117" spans="2:10" ht="19.95" customHeight="1" x14ac:dyDescent="0.3">
      <c r="B3117" s="4" t="str" cm="1">
        <f t="array" ref="B3117">IFERROR(INDEX(EmployeeData[Employee ID], ROW() - 37), "")</f>
        <v/>
      </c>
      <c r="C3117" s="4" t="str" cm="1">
        <f t="array" ref="C3117">IFERROR(INDEX(EmployeeData[Full Name], ROW() - 37), "")</f>
        <v/>
      </c>
      <c r="D3117" s="4" t="str" cm="1">
        <f t="array" ref="D3117">IFERROR(INDEX(EmployeeData[Department], ROW() - 37), "")</f>
        <v/>
      </c>
      <c r="E3117" s="4" t="str" cm="1">
        <f t="array" ref="E3117">IFERROR(INDEX(EmployeeData[Gender], ROW() - 37), "")</f>
        <v/>
      </c>
      <c r="F3117" s="4" t="str" cm="1">
        <f t="array" ref="F3117">IFERROR(INDEX(EmployeeData[Age], ROW() - 37), "")</f>
        <v/>
      </c>
      <c r="G3117" s="6" t="str" cm="1">
        <f t="array" ref="G3117">IFERROR(INDEX(EmployeeData[Join Date], ROW() - 37), "")</f>
        <v/>
      </c>
      <c r="H3117" s="6" t="str" cm="1">
        <f t="array" ref="H3117">IFERROR(IF(INDEX(EmployeeData[Exit Date], ROW() - 37)=0, "",INDEX(EmployeeData[Exit Date], ROW() - 37)),"")</f>
        <v/>
      </c>
      <c r="I3117" s="4" t="str" cm="1">
        <f t="array" ref="I3117">IFERROR(IF(INDEX(EmployeeData[Exit Reason], ROW() - 37)=0, "",INDEX(EmployeeData[Exit Reason], ROW() - 37)),"")</f>
        <v/>
      </c>
      <c r="J3117" s="4" t="str" cm="1">
        <f t="array" ref="J3117">IFERROR(INDEX(EmployeeData[Status], ROW() - 37), "")</f>
        <v/>
      </c>
    </row>
    <row r="3118" spans="2:10" ht="19.95" customHeight="1" x14ac:dyDescent="0.3">
      <c r="B3118" s="4" t="str" cm="1">
        <f t="array" ref="B3118">IFERROR(INDEX(EmployeeData[Employee ID], ROW() - 37), "")</f>
        <v/>
      </c>
      <c r="C3118" s="4" t="str" cm="1">
        <f t="array" ref="C3118">IFERROR(INDEX(EmployeeData[Full Name], ROW() - 37), "")</f>
        <v/>
      </c>
      <c r="D3118" s="4" t="str" cm="1">
        <f t="array" ref="D3118">IFERROR(INDEX(EmployeeData[Department], ROW() - 37), "")</f>
        <v/>
      </c>
      <c r="E3118" s="4" t="str" cm="1">
        <f t="array" ref="E3118">IFERROR(INDEX(EmployeeData[Gender], ROW() - 37), "")</f>
        <v/>
      </c>
      <c r="F3118" s="4" t="str" cm="1">
        <f t="array" ref="F3118">IFERROR(INDEX(EmployeeData[Age], ROW() - 37), "")</f>
        <v/>
      </c>
      <c r="G3118" s="6" t="str" cm="1">
        <f t="array" ref="G3118">IFERROR(INDEX(EmployeeData[Join Date], ROW() - 37), "")</f>
        <v/>
      </c>
      <c r="H3118" s="6" t="str" cm="1">
        <f t="array" ref="H3118">IFERROR(IF(INDEX(EmployeeData[Exit Date], ROW() - 37)=0, "",INDEX(EmployeeData[Exit Date], ROW() - 37)),"")</f>
        <v/>
      </c>
      <c r="I3118" s="4" t="str" cm="1">
        <f t="array" ref="I3118">IFERROR(IF(INDEX(EmployeeData[Exit Reason], ROW() - 37)=0, "",INDEX(EmployeeData[Exit Reason], ROW() - 37)),"")</f>
        <v/>
      </c>
      <c r="J3118" s="4" t="str" cm="1">
        <f t="array" ref="J3118">IFERROR(INDEX(EmployeeData[Status], ROW() - 37), "")</f>
        <v/>
      </c>
    </row>
    <row r="3119" spans="2:10" ht="19.95" customHeight="1" x14ac:dyDescent="0.3">
      <c r="B3119" s="4" t="str" cm="1">
        <f t="array" ref="B3119">IFERROR(INDEX(EmployeeData[Employee ID], ROW() - 37), "")</f>
        <v/>
      </c>
      <c r="C3119" s="4" t="str" cm="1">
        <f t="array" ref="C3119">IFERROR(INDEX(EmployeeData[Full Name], ROW() - 37), "")</f>
        <v/>
      </c>
      <c r="D3119" s="4" t="str" cm="1">
        <f t="array" ref="D3119">IFERROR(INDEX(EmployeeData[Department], ROW() - 37), "")</f>
        <v/>
      </c>
      <c r="E3119" s="4" t="str" cm="1">
        <f t="array" ref="E3119">IFERROR(INDEX(EmployeeData[Gender], ROW() - 37), "")</f>
        <v/>
      </c>
      <c r="F3119" s="4" t="str" cm="1">
        <f t="array" ref="F3119">IFERROR(INDEX(EmployeeData[Age], ROW() - 37), "")</f>
        <v/>
      </c>
      <c r="G3119" s="6" t="str" cm="1">
        <f t="array" ref="G3119">IFERROR(INDEX(EmployeeData[Join Date], ROW() - 37), "")</f>
        <v/>
      </c>
      <c r="H3119" s="6" t="str" cm="1">
        <f t="array" ref="H3119">IFERROR(IF(INDEX(EmployeeData[Exit Date], ROW() - 37)=0, "",INDEX(EmployeeData[Exit Date], ROW() - 37)),"")</f>
        <v/>
      </c>
      <c r="I3119" s="4" t="str" cm="1">
        <f t="array" ref="I3119">IFERROR(IF(INDEX(EmployeeData[Exit Reason], ROW() - 37)=0, "",INDEX(EmployeeData[Exit Reason], ROW() - 37)),"")</f>
        <v/>
      </c>
      <c r="J3119" s="4" t="str" cm="1">
        <f t="array" ref="J3119">IFERROR(INDEX(EmployeeData[Status], ROW() - 37), "")</f>
        <v/>
      </c>
    </row>
    <row r="3120" spans="2:10" ht="19.95" customHeight="1" x14ac:dyDescent="0.3">
      <c r="B3120" s="4" t="str" cm="1">
        <f t="array" ref="B3120">IFERROR(INDEX(EmployeeData[Employee ID], ROW() - 37), "")</f>
        <v/>
      </c>
      <c r="C3120" s="4" t="str" cm="1">
        <f t="array" ref="C3120">IFERROR(INDEX(EmployeeData[Full Name], ROW() - 37), "")</f>
        <v/>
      </c>
      <c r="D3120" s="4" t="str" cm="1">
        <f t="array" ref="D3120">IFERROR(INDEX(EmployeeData[Department], ROW() - 37), "")</f>
        <v/>
      </c>
      <c r="E3120" s="4" t="str" cm="1">
        <f t="array" ref="E3120">IFERROR(INDEX(EmployeeData[Gender], ROW() - 37), "")</f>
        <v/>
      </c>
      <c r="F3120" s="4" t="str" cm="1">
        <f t="array" ref="F3120">IFERROR(INDEX(EmployeeData[Age], ROW() - 37), "")</f>
        <v/>
      </c>
      <c r="G3120" s="6" t="str" cm="1">
        <f t="array" ref="G3120">IFERROR(INDEX(EmployeeData[Join Date], ROW() - 37), "")</f>
        <v/>
      </c>
      <c r="H3120" s="6" t="str" cm="1">
        <f t="array" ref="H3120">IFERROR(IF(INDEX(EmployeeData[Exit Date], ROW() - 37)=0, "",INDEX(EmployeeData[Exit Date], ROW() - 37)),"")</f>
        <v/>
      </c>
      <c r="I3120" s="4" t="str" cm="1">
        <f t="array" ref="I3120">IFERROR(IF(INDEX(EmployeeData[Exit Reason], ROW() - 37)=0, "",INDEX(EmployeeData[Exit Reason], ROW() - 37)),"")</f>
        <v/>
      </c>
      <c r="J3120" s="4" t="str" cm="1">
        <f t="array" ref="J3120">IFERROR(INDEX(EmployeeData[Status], ROW() - 37), "")</f>
        <v/>
      </c>
    </row>
    <row r="3121" spans="2:10" ht="19.95" customHeight="1" x14ac:dyDescent="0.3">
      <c r="B3121" s="4" t="str" cm="1">
        <f t="array" ref="B3121">IFERROR(INDEX(EmployeeData[Employee ID], ROW() - 37), "")</f>
        <v/>
      </c>
      <c r="C3121" s="4" t="str" cm="1">
        <f t="array" ref="C3121">IFERROR(INDEX(EmployeeData[Full Name], ROW() - 37), "")</f>
        <v/>
      </c>
      <c r="D3121" s="4" t="str" cm="1">
        <f t="array" ref="D3121">IFERROR(INDEX(EmployeeData[Department], ROW() - 37), "")</f>
        <v/>
      </c>
      <c r="E3121" s="4" t="str" cm="1">
        <f t="array" ref="E3121">IFERROR(INDEX(EmployeeData[Gender], ROW() - 37), "")</f>
        <v/>
      </c>
      <c r="F3121" s="4" t="str" cm="1">
        <f t="array" ref="F3121">IFERROR(INDEX(EmployeeData[Age], ROW() - 37), "")</f>
        <v/>
      </c>
      <c r="G3121" s="6" t="str" cm="1">
        <f t="array" ref="G3121">IFERROR(INDEX(EmployeeData[Join Date], ROW() - 37), "")</f>
        <v/>
      </c>
      <c r="H3121" s="6" t="str" cm="1">
        <f t="array" ref="H3121">IFERROR(IF(INDEX(EmployeeData[Exit Date], ROW() - 37)=0, "",INDEX(EmployeeData[Exit Date], ROW() - 37)),"")</f>
        <v/>
      </c>
      <c r="I3121" s="4" t="str" cm="1">
        <f t="array" ref="I3121">IFERROR(IF(INDEX(EmployeeData[Exit Reason], ROW() - 37)=0, "",INDEX(EmployeeData[Exit Reason], ROW() - 37)),"")</f>
        <v/>
      </c>
      <c r="J3121" s="4" t="str" cm="1">
        <f t="array" ref="J3121">IFERROR(INDEX(EmployeeData[Status], ROW() - 37), "")</f>
        <v/>
      </c>
    </row>
    <row r="3122" spans="2:10" ht="19.95" customHeight="1" x14ac:dyDescent="0.3">
      <c r="B3122" s="4" t="str" cm="1">
        <f t="array" ref="B3122">IFERROR(INDEX(EmployeeData[Employee ID], ROW() - 37), "")</f>
        <v/>
      </c>
      <c r="C3122" s="4" t="str" cm="1">
        <f t="array" ref="C3122">IFERROR(INDEX(EmployeeData[Full Name], ROW() - 37), "")</f>
        <v/>
      </c>
      <c r="D3122" s="4" t="str" cm="1">
        <f t="array" ref="D3122">IFERROR(INDEX(EmployeeData[Department], ROW() - 37), "")</f>
        <v/>
      </c>
      <c r="E3122" s="4" t="str" cm="1">
        <f t="array" ref="E3122">IFERROR(INDEX(EmployeeData[Gender], ROW() - 37), "")</f>
        <v/>
      </c>
      <c r="F3122" s="4" t="str" cm="1">
        <f t="array" ref="F3122">IFERROR(INDEX(EmployeeData[Age], ROW() - 37), "")</f>
        <v/>
      </c>
      <c r="G3122" s="6" t="str" cm="1">
        <f t="array" ref="G3122">IFERROR(INDEX(EmployeeData[Join Date], ROW() - 37), "")</f>
        <v/>
      </c>
      <c r="H3122" s="6" t="str" cm="1">
        <f t="array" ref="H3122">IFERROR(IF(INDEX(EmployeeData[Exit Date], ROW() - 37)=0, "",INDEX(EmployeeData[Exit Date], ROW() - 37)),"")</f>
        <v/>
      </c>
      <c r="I3122" s="4" t="str" cm="1">
        <f t="array" ref="I3122">IFERROR(IF(INDEX(EmployeeData[Exit Reason], ROW() - 37)=0, "",INDEX(EmployeeData[Exit Reason], ROW() - 37)),"")</f>
        <v/>
      </c>
      <c r="J3122" s="4" t="str" cm="1">
        <f t="array" ref="J3122">IFERROR(INDEX(EmployeeData[Status], ROW() - 37), "")</f>
        <v/>
      </c>
    </row>
    <row r="3123" spans="2:10" ht="19.95" customHeight="1" x14ac:dyDescent="0.3">
      <c r="B3123" s="4" t="str" cm="1">
        <f t="array" ref="B3123">IFERROR(INDEX(EmployeeData[Employee ID], ROW() - 37), "")</f>
        <v/>
      </c>
      <c r="C3123" s="4" t="str" cm="1">
        <f t="array" ref="C3123">IFERROR(INDEX(EmployeeData[Full Name], ROW() - 37), "")</f>
        <v/>
      </c>
      <c r="D3123" s="4" t="str" cm="1">
        <f t="array" ref="D3123">IFERROR(INDEX(EmployeeData[Department], ROW() - 37), "")</f>
        <v/>
      </c>
      <c r="E3123" s="4" t="str" cm="1">
        <f t="array" ref="E3123">IFERROR(INDEX(EmployeeData[Gender], ROW() - 37), "")</f>
        <v/>
      </c>
      <c r="F3123" s="4" t="str" cm="1">
        <f t="array" ref="F3123">IFERROR(INDEX(EmployeeData[Age], ROW() - 37), "")</f>
        <v/>
      </c>
      <c r="G3123" s="6" t="str" cm="1">
        <f t="array" ref="G3123">IFERROR(INDEX(EmployeeData[Join Date], ROW() - 37), "")</f>
        <v/>
      </c>
      <c r="H3123" s="6" t="str" cm="1">
        <f t="array" ref="H3123">IFERROR(IF(INDEX(EmployeeData[Exit Date], ROW() - 37)=0, "",INDEX(EmployeeData[Exit Date], ROW() - 37)),"")</f>
        <v/>
      </c>
      <c r="I3123" s="4" t="str" cm="1">
        <f t="array" ref="I3123">IFERROR(IF(INDEX(EmployeeData[Exit Reason], ROW() - 37)=0, "",INDEX(EmployeeData[Exit Reason], ROW() - 37)),"")</f>
        <v/>
      </c>
      <c r="J3123" s="4" t="str" cm="1">
        <f t="array" ref="J3123">IFERROR(INDEX(EmployeeData[Status], ROW() - 37), "")</f>
        <v/>
      </c>
    </row>
    <row r="3124" spans="2:10" ht="19.95" customHeight="1" x14ac:dyDescent="0.3">
      <c r="B3124" s="4" t="str" cm="1">
        <f t="array" ref="B3124">IFERROR(INDEX(EmployeeData[Employee ID], ROW() - 37), "")</f>
        <v/>
      </c>
      <c r="C3124" s="4" t="str" cm="1">
        <f t="array" ref="C3124">IFERROR(INDEX(EmployeeData[Full Name], ROW() - 37), "")</f>
        <v/>
      </c>
      <c r="D3124" s="4" t="str" cm="1">
        <f t="array" ref="D3124">IFERROR(INDEX(EmployeeData[Department], ROW() - 37), "")</f>
        <v/>
      </c>
      <c r="E3124" s="4" t="str" cm="1">
        <f t="array" ref="E3124">IFERROR(INDEX(EmployeeData[Gender], ROW() - 37), "")</f>
        <v/>
      </c>
      <c r="F3124" s="4" t="str" cm="1">
        <f t="array" ref="F3124">IFERROR(INDEX(EmployeeData[Age], ROW() - 37), "")</f>
        <v/>
      </c>
      <c r="G3124" s="6" t="str" cm="1">
        <f t="array" ref="G3124">IFERROR(INDEX(EmployeeData[Join Date], ROW() - 37), "")</f>
        <v/>
      </c>
      <c r="H3124" s="6" t="str" cm="1">
        <f t="array" ref="H3124">IFERROR(IF(INDEX(EmployeeData[Exit Date], ROW() - 37)=0, "",INDEX(EmployeeData[Exit Date], ROW() - 37)),"")</f>
        <v/>
      </c>
      <c r="I3124" s="4" t="str" cm="1">
        <f t="array" ref="I3124">IFERROR(IF(INDEX(EmployeeData[Exit Reason], ROW() - 37)=0, "",INDEX(EmployeeData[Exit Reason], ROW() - 37)),"")</f>
        <v/>
      </c>
      <c r="J3124" s="4" t="str" cm="1">
        <f t="array" ref="J3124">IFERROR(INDEX(EmployeeData[Status], ROW() - 37), "")</f>
        <v/>
      </c>
    </row>
    <row r="3125" spans="2:10" ht="19.95" customHeight="1" x14ac:dyDescent="0.3">
      <c r="B3125" s="4" t="str" cm="1">
        <f t="array" ref="B3125">IFERROR(INDEX(EmployeeData[Employee ID], ROW() - 37), "")</f>
        <v/>
      </c>
      <c r="C3125" s="4" t="str" cm="1">
        <f t="array" ref="C3125">IFERROR(INDEX(EmployeeData[Full Name], ROW() - 37), "")</f>
        <v/>
      </c>
      <c r="D3125" s="4" t="str" cm="1">
        <f t="array" ref="D3125">IFERROR(INDEX(EmployeeData[Department], ROW() - 37), "")</f>
        <v/>
      </c>
      <c r="E3125" s="4" t="str" cm="1">
        <f t="array" ref="E3125">IFERROR(INDEX(EmployeeData[Gender], ROW() - 37), "")</f>
        <v/>
      </c>
      <c r="F3125" s="4" t="str" cm="1">
        <f t="array" ref="F3125">IFERROR(INDEX(EmployeeData[Age], ROW() - 37), "")</f>
        <v/>
      </c>
      <c r="G3125" s="6" t="str" cm="1">
        <f t="array" ref="G3125">IFERROR(INDEX(EmployeeData[Join Date], ROW() - 37), "")</f>
        <v/>
      </c>
      <c r="H3125" s="6" t="str" cm="1">
        <f t="array" ref="H3125">IFERROR(IF(INDEX(EmployeeData[Exit Date], ROW() - 37)=0, "",INDEX(EmployeeData[Exit Date], ROW() - 37)),"")</f>
        <v/>
      </c>
      <c r="I3125" s="4" t="str" cm="1">
        <f t="array" ref="I3125">IFERROR(IF(INDEX(EmployeeData[Exit Reason], ROW() - 37)=0, "",INDEX(EmployeeData[Exit Reason], ROW() - 37)),"")</f>
        <v/>
      </c>
      <c r="J3125" s="4" t="str" cm="1">
        <f t="array" ref="J3125">IFERROR(INDEX(EmployeeData[Status], ROW() - 37), "")</f>
        <v/>
      </c>
    </row>
    <row r="3126" spans="2:10" ht="19.95" customHeight="1" x14ac:dyDescent="0.3">
      <c r="B3126" s="4" t="str" cm="1">
        <f t="array" ref="B3126">IFERROR(INDEX(EmployeeData[Employee ID], ROW() - 37), "")</f>
        <v/>
      </c>
      <c r="C3126" s="4" t="str" cm="1">
        <f t="array" ref="C3126">IFERROR(INDEX(EmployeeData[Full Name], ROW() - 37), "")</f>
        <v/>
      </c>
      <c r="D3126" s="4" t="str" cm="1">
        <f t="array" ref="D3126">IFERROR(INDEX(EmployeeData[Department], ROW() - 37), "")</f>
        <v/>
      </c>
      <c r="E3126" s="4" t="str" cm="1">
        <f t="array" ref="E3126">IFERROR(INDEX(EmployeeData[Gender], ROW() - 37), "")</f>
        <v/>
      </c>
      <c r="F3126" s="4" t="str" cm="1">
        <f t="array" ref="F3126">IFERROR(INDEX(EmployeeData[Age], ROW() - 37), "")</f>
        <v/>
      </c>
      <c r="G3126" s="6" t="str" cm="1">
        <f t="array" ref="G3126">IFERROR(INDEX(EmployeeData[Join Date], ROW() - 37), "")</f>
        <v/>
      </c>
      <c r="H3126" s="6" t="str" cm="1">
        <f t="array" ref="H3126">IFERROR(IF(INDEX(EmployeeData[Exit Date], ROW() - 37)=0, "",INDEX(EmployeeData[Exit Date], ROW() - 37)),"")</f>
        <v/>
      </c>
      <c r="I3126" s="4" t="str" cm="1">
        <f t="array" ref="I3126">IFERROR(IF(INDEX(EmployeeData[Exit Reason], ROW() - 37)=0, "",INDEX(EmployeeData[Exit Reason], ROW() - 37)),"")</f>
        <v/>
      </c>
      <c r="J3126" s="4" t="str" cm="1">
        <f t="array" ref="J3126">IFERROR(INDEX(EmployeeData[Status], ROW() - 37), "")</f>
        <v/>
      </c>
    </row>
    <row r="3127" spans="2:10" ht="19.95" customHeight="1" x14ac:dyDescent="0.3">
      <c r="B3127" s="4" t="str" cm="1">
        <f t="array" ref="B3127">IFERROR(INDEX(EmployeeData[Employee ID], ROW() - 37), "")</f>
        <v/>
      </c>
      <c r="C3127" s="4" t="str" cm="1">
        <f t="array" ref="C3127">IFERROR(INDEX(EmployeeData[Full Name], ROW() - 37), "")</f>
        <v/>
      </c>
      <c r="D3127" s="4" t="str" cm="1">
        <f t="array" ref="D3127">IFERROR(INDEX(EmployeeData[Department], ROW() - 37), "")</f>
        <v/>
      </c>
      <c r="E3127" s="4" t="str" cm="1">
        <f t="array" ref="E3127">IFERROR(INDEX(EmployeeData[Gender], ROW() - 37), "")</f>
        <v/>
      </c>
      <c r="F3127" s="4" t="str" cm="1">
        <f t="array" ref="F3127">IFERROR(INDEX(EmployeeData[Age], ROW() - 37), "")</f>
        <v/>
      </c>
      <c r="G3127" s="6" t="str" cm="1">
        <f t="array" ref="G3127">IFERROR(INDEX(EmployeeData[Join Date], ROW() - 37), "")</f>
        <v/>
      </c>
      <c r="H3127" s="6" t="str" cm="1">
        <f t="array" ref="H3127">IFERROR(IF(INDEX(EmployeeData[Exit Date], ROW() - 37)=0, "",INDEX(EmployeeData[Exit Date], ROW() - 37)),"")</f>
        <v/>
      </c>
      <c r="I3127" s="4" t="str" cm="1">
        <f t="array" ref="I3127">IFERROR(IF(INDEX(EmployeeData[Exit Reason], ROW() - 37)=0, "",INDEX(EmployeeData[Exit Reason], ROW() - 37)),"")</f>
        <v/>
      </c>
      <c r="J3127" s="4" t="str" cm="1">
        <f t="array" ref="J3127">IFERROR(INDEX(EmployeeData[Status], ROW() - 37), "")</f>
        <v/>
      </c>
    </row>
    <row r="3128" spans="2:10" ht="19.95" customHeight="1" x14ac:dyDescent="0.3">
      <c r="B3128" s="4" t="str" cm="1">
        <f t="array" ref="B3128">IFERROR(INDEX(EmployeeData[Employee ID], ROW() - 37), "")</f>
        <v/>
      </c>
      <c r="C3128" s="4" t="str" cm="1">
        <f t="array" ref="C3128">IFERROR(INDEX(EmployeeData[Full Name], ROW() - 37), "")</f>
        <v/>
      </c>
      <c r="D3128" s="4" t="str" cm="1">
        <f t="array" ref="D3128">IFERROR(INDEX(EmployeeData[Department], ROW() - 37), "")</f>
        <v/>
      </c>
      <c r="E3128" s="4" t="str" cm="1">
        <f t="array" ref="E3128">IFERROR(INDEX(EmployeeData[Gender], ROW() - 37), "")</f>
        <v/>
      </c>
      <c r="F3128" s="4" t="str" cm="1">
        <f t="array" ref="F3128">IFERROR(INDEX(EmployeeData[Age], ROW() - 37), "")</f>
        <v/>
      </c>
      <c r="G3128" s="6" t="str" cm="1">
        <f t="array" ref="G3128">IFERROR(INDEX(EmployeeData[Join Date], ROW() - 37), "")</f>
        <v/>
      </c>
      <c r="H3128" s="6" t="str" cm="1">
        <f t="array" ref="H3128">IFERROR(IF(INDEX(EmployeeData[Exit Date], ROW() - 37)=0, "",INDEX(EmployeeData[Exit Date], ROW() - 37)),"")</f>
        <v/>
      </c>
      <c r="I3128" s="4" t="str" cm="1">
        <f t="array" ref="I3128">IFERROR(IF(INDEX(EmployeeData[Exit Reason], ROW() - 37)=0, "",INDEX(EmployeeData[Exit Reason], ROW() - 37)),"")</f>
        <v/>
      </c>
      <c r="J3128" s="4" t="str" cm="1">
        <f t="array" ref="J3128">IFERROR(INDEX(EmployeeData[Status], ROW() - 37), "")</f>
        <v/>
      </c>
    </row>
    <row r="3129" spans="2:10" ht="19.95" customHeight="1" x14ac:dyDescent="0.3">
      <c r="B3129" s="4" t="str" cm="1">
        <f t="array" ref="B3129">IFERROR(INDEX(EmployeeData[Employee ID], ROW() - 37), "")</f>
        <v/>
      </c>
      <c r="C3129" s="4" t="str" cm="1">
        <f t="array" ref="C3129">IFERROR(INDEX(EmployeeData[Full Name], ROW() - 37), "")</f>
        <v/>
      </c>
      <c r="D3129" s="4" t="str" cm="1">
        <f t="array" ref="D3129">IFERROR(INDEX(EmployeeData[Department], ROW() - 37), "")</f>
        <v/>
      </c>
      <c r="E3129" s="4" t="str" cm="1">
        <f t="array" ref="E3129">IFERROR(INDEX(EmployeeData[Gender], ROW() - 37), "")</f>
        <v/>
      </c>
      <c r="F3129" s="4" t="str" cm="1">
        <f t="array" ref="F3129">IFERROR(INDEX(EmployeeData[Age], ROW() - 37), "")</f>
        <v/>
      </c>
      <c r="G3129" s="6" t="str" cm="1">
        <f t="array" ref="G3129">IFERROR(INDEX(EmployeeData[Join Date], ROW() - 37), "")</f>
        <v/>
      </c>
      <c r="H3129" s="6" t="str" cm="1">
        <f t="array" ref="H3129">IFERROR(IF(INDEX(EmployeeData[Exit Date], ROW() - 37)=0, "",INDEX(EmployeeData[Exit Date], ROW() - 37)),"")</f>
        <v/>
      </c>
      <c r="I3129" s="4" t="str" cm="1">
        <f t="array" ref="I3129">IFERROR(IF(INDEX(EmployeeData[Exit Reason], ROW() - 37)=0, "",INDEX(EmployeeData[Exit Reason], ROW() - 37)),"")</f>
        <v/>
      </c>
      <c r="J3129" s="4" t="str" cm="1">
        <f t="array" ref="J3129">IFERROR(INDEX(EmployeeData[Status], ROW() - 37), "")</f>
        <v/>
      </c>
    </row>
    <row r="3130" spans="2:10" ht="19.95" customHeight="1" x14ac:dyDescent="0.3">
      <c r="B3130" s="4" t="str" cm="1">
        <f t="array" ref="B3130">IFERROR(INDEX(EmployeeData[Employee ID], ROW() - 37), "")</f>
        <v/>
      </c>
      <c r="C3130" s="4" t="str" cm="1">
        <f t="array" ref="C3130">IFERROR(INDEX(EmployeeData[Full Name], ROW() - 37), "")</f>
        <v/>
      </c>
      <c r="D3130" s="4" t="str" cm="1">
        <f t="array" ref="D3130">IFERROR(INDEX(EmployeeData[Department], ROW() - 37), "")</f>
        <v/>
      </c>
      <c r="E3130" s="4" t="str" cm="1">
        <f t="array" ref="E3130">IFERROR(INDEX(EmployeeData[Gender], ROW() - 37), "")</f>
        <v/>
      </c>
      <c r="F3130" s="4" t="str" cm="1">
        <f t="array" ref="F3130">IFERROR(INDEX(EmployeeData[Age], ROW() - 37), "")</f>
        <v/>
      </c>
      <c r="G3130" s="6" t="str" cm="1">
        <f t="array" ref="G3130">IFERROR(INDEX(EmployeeData[Join Date], ROW() - 37), "")</f>
        <v/>
      </c>
      <c r="H3130" s="6" t="str" cm="1">
        <f t="array" ref="H3130">IFERROR(IF(INDEX(EmployeeData[Exit Date], ROW() - 37)=0, "",INDEX(EmployeeData[Exit Date], ROW() - 37)),"")</f>
        <v/>
      </c>
      <c r="I3130" s="4" t="str" cm="1">
        <f t="array" ref="I3130">IFERROR(IF(INDEX(EmployeeData[Exit Reason], ROW() - 37)=0, "",INDEX(EmployeeData[Exit Reason], ROW() - 37)),"")</f>
        <v/>
      </c>
      <c r="J3130" s="4" t="str" cm="1">
        <f t="array" ref="J3130">IFERROR(INDEX(EmployeeData[Status], ROW() - 37), "")</f>
        <v/>
      </c>
    </row>
    <row r="3131" spans="2:10" ht="19.95" customHeight="1" x14ac:dyDescent="0.3">
      <c r="B3131" s="4" t="str" cm="1">
        <f t="array" ref="B3131">IFERROR(INDEX(EmployeeData[Employee ID], ROW() - 37), "")</f>
        <v/>
      </c>
      <c r="C3131" s="4" t="str" cm="1">
        <f t="array" ref="C3131">IFERROR(INDEX(EmployeeData[Full Name], ROW() - 37), "")</f>
        <v/>
      </c>
      <c r="D3131" s="4" t="str" cm="1">
        <f t="array" ref="D3131">IFERROR(INDEX(EmployeeData[Department], ROW() - 37), "")</f>
        <v/>
      </c>
      <c r="E3131" s="4" t="str" cm="1">
        <f t="array" ref="E3131">IFERROR(INDEX(EmployeeData[Gender], ROW() - 37), "")</f>
        <v/>
      </c>
      <c r="F3131" s="4" t="str" cm="1">
        <f t="array" ref="F3131">IFERROR(INDEX(EmployeeData[Age], ROW() - 37), "")</f>
        <v/>
      </c>
      <c r="G3131" s="6" t="str" cm="1">
        <f t="array" ref="G3131">IFERROR(INDEX(EmployeeData[Join Date], ROW() - 37), "")</f>
        <v/>
      </c>
      <c r="H3131" s="6" t="str" cm="1">
        <f t="array" ref="H3131">IFERROR(IF(INDEX(EmployeeData[Exit Date], ROW() - 37)=0, "",INDEX(EmployeeData[Exit Date], ROW() - 37)),"")</f>
        <v/>
      </c>
      <c r="I3131" s="4" t="str" cm="1">
        <f t="array" ref="I3131">IFERROR(IF(INDEX(EmployeeData[Exit Reason], ROW() - 37)=0, "",INDEX(EmployeeData[Exit Reason], ROW() - 37)),"")</f>
        <v/>
      </c>
      <c r="J3131" s="4" t="str" cm="1">
        <f t="array" ref="J3131">IFERROR(INDEX(EmployeeData[Status], ROW() - 37), "")</f>
        <v/>
      </c>
    </row>
    <row r="3132" spans="2:10" ht="19.95" customHeight="1" x14ac:dyDescent="0.3">
      <c r="B3132" s="4" t="str" cm="1">
        <f t="array" ref="B3132">IFERROR(INDEX(EmployeeData[Employee ID], ROW() - 37), "")</f>
        <v/>
      </c>
      <c r="C3132" s="4" t="str" cm="1">
        <f t="array" ref="C3132">IFERROR(INDEX(EmployeeData[Full Name], ROW() - 37), "")</f>
        <v/>
      </c>
      <c r="D3132" s="4" t="str" cm="1">
        <f t="array" ref="D3132">IFERROR(INDEX(EmployeeData[Department], ROW() - 37), "")</f>
        <v/>
      </c>
      <c r="E3132" s="4" t="str" cm="1">
        <f t="array" ref="E3132">IFERROR(INDEX(EmployeeData[Gender], ROW() - 37), "")</f>
        <v/>
      </c>
      <c r="F3132" s="4" t="str" cm="1">
        <f t="array" ref="F3132">IFERROR(INDEX(EmployeeData[Age], ROW() - 37), "")</f>
        <v/>
      </c>
      <c r="G3132" s="6" t="str" cm="1">
        <f t="array" ref="G3132">IFERROR(INDEX(EmployeeData[Join Date], ROW() - 37), "")</f>
        <v/>
      </c>
      <c r="H3132" s="6" t="str" cm="1">
        <f t="array" ref="H3132">IFERROR(IF(INDEX(EmployeeData[Exit Date], ROW() - 37)=0, "",INDEX(EmployeeData[Exit Date], ROW() - 37)),"")</f>
        <v/>
      </c>
      <c r="I3132" s="4" t="str" cm="1">
        <f t="array" ref="I3132">IFERROR(IF(INDEX(EmployeeData[Exit Reason], ROW() - 37)=0, "",INDEX(EmployeeData[Exit Reason], ROW() - 37)),"")</f>
        <v/>
      </c>
      <c r="J3132" s="4" t="str" cm="1">
        <f t="array" ref="J3132">IFERROR(INDEX(EmployeeData[Status], ROW() - 37), "")</f>
        <v/>
      </c>
    </row>
    <row r="3133" spans="2:10" ht="19.95" customHeight="1" x14ac:dyDescent="0.3">
      <c r="B3133" s="4" t="str" cm="1">
        <f t="array" ref="B3133">IFERROR(INDEX(EmployeeData[Employee ID], ROW() - 37), "")</f>
        <v/>
      </c>
      <c r="C3133" s="4" t="str" cm="1">
        <f t="array" ref="C3133">IFERROR(INDEX(EmployeeData[Full Name], ROW() - 37), "")</f>
        <v/>
      </c>
      <c r="D3133" s="4" t="str" cm="1">
        <f t="array" ref="D3133">IFERROR(INDEX(EmployeeData[Department], ROW() - 37), "")</f>
        <v/>
      </c>
      <c r="E3133" s="4" t="str" cm="1">
        <f t="array" ref="E3133">IFERROR(INDEX(EmployeeData[Gender], ROW() - 37), "")</f>
        <v/>
      </c>
      <c r="F3133" s="4" t="str" cm="1">
        <f t="array" ref="F3133">IFERROR(INDEX(EmployeeData[Age], ROW() - 37), "")</f>
        <v/>
      </c>
      <c r="G3133" s="6" t="str" cm="1">
        <f t="array" ref="G3133">IFERROR(INDEX(EmployeeData[Join Date], ROW() - 37), "")</f>
        <v/>
      </c>
      <c r="H3133" s="6" t="str" cm="1">
        <f t="array" ref="H3133">IFERROR(IF(INDEX(EmployeeData[Exit Date], ROW() - 37)=0, "",INDEX(EmployeeData[Exit Date], ROW() - 37)),"")</f>
        <v/>
      </c>
      <c r="I3133" s="4" t="str" cm="1">
        <f t="array" ref="I3133">IFERROR(IF(INDEX(EmployeeData[Exit Reason], ROW() - 37)=0, "",INDEX(EmployeeData[Exit Reason], ROW() - 37)),"")</f>
        <v/>
      </c>
      <c r="J3133" s="4" t="str" cm="1">
        <f t="array" ref="J3133">IFERROR(INDEX(EmployeeData[Status], ROW() - 37), "")</f>
        <v/>
      </c>
    </row>
    <row r="3134" spans="2:10" ht="19.95" customHeight="1" x14ac:dyDescent="0.3">
      <c r="B3134" s="4" t="str" cm="1">
        <f t="array" ref="B3134">IFERROR(INDEX(EmployeeData[Employee ID], ROW() - 37), "")</f>
        <v/>
      </c>
      <c r="C3134" s="4" t="str" cm="1">
        <f t="array" ref="C3134">IFERROR(INDEX(EmployeeData[Full Name], ROW() - 37), "")</f>
        <v/>
      </c>
      <c r="D3134" s="4" t="str" cm="1">
        <f t="array" ref="D3134">IFERROR(INDEX(EmployeeData[Department], ROW() - 37), "")</f>
        <v/>
      </c>
      <c r="E3134" s="4" t="str" cm="1">
        <f t="array" ref="E3134">IFERROR(INDEX(EmployeeData[Gender], ROW() - 37), "")</f>
        <v/>
      </c>
      <c r="F3134" s="4" t="str" cm="1">
        <f t="array" ref="F3134">IFERROR(INDEX(EmployeeData[Age], ROW() - 37), "")</f>
        <v/>
      </c>
      <c r="G3134" s="6" t="str" cm="1">
        <f t="array" ref="G3134">IFERROR(INDEX(EmployeeData[Join Date], ROW() - 37), "")</f>
        <v/>
      </c>
      <c r="H3134" s="6" t="str" cm="1">
        <f t="array" ref="H3134">IFERROR(IF(INDEX(EmployeeData[Exit Date], ROW() - 37)=0, "",INDEX(EmployeeData[Exit Date], ROW() - 37)),"")</f>
        <v/>
      </c>
      <c r="I3134" s="4" t="str" cm="1">
        <f t="array" ref="I3134">IFERROR(IF(INDEX(EmployeeData[Exit Reason], ROW() - 37)=0, "",INDEX(EmployeeData[Exit Reason], ROW() - 37)),"")</f>
        <v/>
      </c>
      <c r="J3134" s="4" t="str" cm="1">
        <f t="array" ref="J3134">IFERROR(INDEX(EmployeeData[Status], ROW() - 37), "")</f>
        <v/>
      </c>
    </row>
    <row r="3135" spans="2:10" ht="19.95" customHeight="1" x14ac:dyDescent="0.3">
      <c r="B3135" s="4" t="str" cm="1">
        <f t="array" ref="B3135">IFERROR(INDEX(EmployeeData[Employee ID], ROW() - 37), "")</f>
        <v/>
      </c>
      <c r="C3135" s="4" t="str" cm="1">
        <f t="array" ref="C3135">IFERROR(INDEX(EmployeeData[Full Name], ROW() - 37), "")</f>
        <v/>
      </c>
      <c r="D3135" s="4" t="str" cm="1">
        <f t="array" ref="D3135">IFERROR(INDEX(EmployeeData[Department], ROW() - 37), "")</f>
        <v/>
      </c>
      <c r="E3135" s="4" t="str" cm="1">
        <f t="array" ref="E3135">IFERROR(INDEX(EmployeeData[Gender], ROW() - 37), "")</f>
        <v/>
      </c>
      <c r="F3135" s="4" t="str" cm="1">
        <f t="array" ref="F3135">IFERROR(INDEX(EmployeeData[Age], ROW() - 37), "")</f>
        <v/>
      </c>
      <c r="G3135" s="6" t="str" cm="1">
        <f t="array" ref="G3135">IFERROR(INDEX(EmployeeData[Join Date], ROW() - 37), "")</f>
        <v/>
      </c>
      <c r="H3135" s="6" t="str" cm="1">
        <f t="array" ref="H3135">IFERROR(IF(INDEX(EmployeeData[Exit Date], ROW() - 37)=0, "",INDEX(EmployeeData[Exit Date], ROW() - 37)),"")</f>
        <v/>
      </c>
      <c r="I3135" s="4" t="str" cm="1">
        <f t="array" ref="I3135">IFERROR(IF(INDEX(EmployeeData[Exit Reason], ROW() - 37)=0, "",INDEX(EmployeeData[Exit Reason], ROW() - 37)),"")</f>
        <v/>
      </c>
      <c r="J3135" s="4" t="str" cm="1">
        <f t="array" ref="J3135">IFERROR(INDEX(EmployeeData[Status], ROW() - 37), "")</f>
        <v/>
      </c>
    </row>
    <row r="3136" spans="2:10" ht="19.95" customHeight="1" x14ac:dyDescent="0.3">
      <c r="B3136" s="4" t="str" cm="1">
        <f t="array" ref="B3136">IFERROR(INDEX(EmployeeData[Employee ID], ROW() - 37), "")</f>
        <v/>
      </c>
      <c r="C3136" s="4" t="str" cm="1">
        <f t="array" ref="C3136">IFERROR(INDEX(EmployeeData[Full Name], ROW() - 37), "")</f>
        <v/>
      </c>
      <c r="D3136" s="4" t="str" cm="1">
        <f t="array" ref="D3136">IFERROR(INDEX(EmployeeData[Department], ROW() - 37), "")</f>
        <v/>
      </c>
      <c r="E3136" s="4" t="str" cm="1">
        <f t="array" ref="E3136">IFERROR(INDEX(EmployeeData[Gender], ROW() - 37), "")</f>
        <v/>
      </c>
      <c r="F3136" s="4" t="str" cm="1">
        <f t="array" ref="F3136">IFERROR(INDEX(EmployeeData[Age], ROW() - 37), "")</f>
        <v/>
      </c>
      <c r="G3136" s="6" t="str" cm="1">
        <f t="array" ref="G3136">IFERROR(INDEX(EmployeeData[Join Date], ROW() - 37), "")</f>
        <v/>
      </c>
      <c r="H3136" s="6" t="str" cm="1">
        <f t="array" ref="H3136">IFERROR(IF(INDEX(EmployeeData[Exit Date], ROW() - 37)=0, "",INDEX(EmployeeData[Exit Date], ROW() - 37)),"")</f>
        <v/>
      </c>
      <c r="I3136" s="4" t="str" cm="1">
        <f t="array" ref="I3136">IFERROR(IF(INDEX(EmployeeData[Exit Reason], ROW() - 37)=0, "",INDEX(EmployeeData[Exit Reason], ROW() - 37)),"")</f>
        <v/>
      </c>
      <c r="J3136" s="4" t="str" cm="1">
        <f t="array" ref="J3136">IFERROR(INDEX(EmployeeData[Status], ROW() - 37), "")</f>
        <v/>
      </c>
    </row>
    <row r="3137" spans="2:10" ht="19.95" customHeight="1" x14ac:dyDescent="0.3">
      <c r="B3137" s="4" t="str" cm="1">
        <f t="array" ref="B3137">IFERROR(INDEX(EmployeeData[Employee ID], ROW() - 37), "")</f>
        <v/>
      </c>
      <c r="C3137" s="4" t="str" cm="1">
        <f t="array" ref="C3137">IFERROR(INDEX(EmployeeData[Full Name], ROW() - 37), "")</f>
        <v/>
      </c>
      <c r="D3137" s="4" t="str" cm="1">
        <f t="array" ref="D3137">IFERROR(INDEX(EmployeeData[Department], ROW() - 37), "")</f>
        <v/>
      </c>
      <c r="E3137" s="4" t="str" cm="1">
        <f t="array" ref="E3137">IFERROR(INDEX(EmployeeData[Gender], ROW() - 37), "")</f>
        <v/>
      </c>
      <c r="F3137" s="4" t="str" cm="1">
        <f t="array" ref="F3137">IFERROR(INDEX(EmployeeData[Age], ROW() - 37), "")</f>
        <v/>
      </c>
      <c r="G3137" s="6" t="str" cm="1">
        <f t="array" ref="G3137">IFERROR(INDEX(EmployeeData[Join Date], ROW() - 37), "")</f>
        <v/>
      </c>
      <c r="H3137" s="6" t="str" cm="1">
        <f t="array" ref="H3137">IFERROR(IF(INDEX(EmployeeData[Exit Date], ROW() - 37)=0, "",INDEX(EmployeeData[Exit Date], ROW() - 37)),"")</f>
        <v/>
      </c>
      <c r="I3137" s="4" t="str" cm="1">
        <f t="array" ref="I3137">IFERROR(IF(INDEX(EmployeeData[Exit Reason], ROW() - 37)=0, "",INDEX(EmployeeData[Exit Reason], ROW() - 37)),"")</f>
        <v/>
      </c>
      <c r="J3137" s="4" t="str" cm="1">
        <f t="array" ref="J3137">IFERROR(INDEX(EmployeeData[Status], ROW() - 37), "")</f>
        <v/>
      </c>
    </row>
    <row r="3138" spans="2:10" ht="19.95" customHeight="1" x14ac:dyDescent="0.3">
      <c r="B3138" s="4" t="str" cm="1">
        <f t="array" ref="B3138">IFERROR(INDEX(EmployeeData[Employee ID], ROW() - 37), "")</f>
        <v/>
      </c>
      <c r="C3138" s="4" t="str" cm="1">
        <f t="array" ref="C3138">IFERROR(INDEX(EmployeeData[Full Name], ROW() - 37), "")</f>
        <v/>
      </c>
      <c r="D3138" s="4" t="str" cm="1">
        <f t="array" ref="D3138">IFERROR(INDEX(EmployeeData[Department], ROW() - 37), "")</f>
        <v/>
      </c>
      <c r="E3138" s="4" t="str" cm="1">
        <f t="array" ref="E3138">IFERROR(INDEX(EmployeeData[Gender], ROW() - 37), "")</f>
        <v/>
      </c>
      <c r="F3138" s="4" t="str" cm="1">
        <f t="array" ref="F3138">IFERROR(INDEX(EmployeeData[Age], ROW() - 37), "")</f>
        <v/>
      </c>
      <c r="G3138" s="6" t="str" cm="1">
        <f t="array" ref="G3138">IFERROR(INDEX(EmployeeData[Join Date], ROW() - 37), "")</f>
        <v/>
      </c>
      <c r="H3138" s="6" t="str" cm="1">
        <f t="array" ref="H3138">IFERROR(IF(INDEX(EmployeeData[Exit Date], ROW() - 37)=0, "",INDEX(EmployeeData[Exit Date], ROW() - 37)),"")</f>
        <v/>
      </c>
      <c r="I3138" s="4" t="str" cm="1">
        <f t="array" ref="I3138">IFERROR(IF(INDEX(EmployeeData[Exit Reason], ROW() - 37)=0, "",INDEX(EmployeeData[Exit Reason], ROW() - 37)),"")</f>
        <v/>
      </c>
      <c r="J3138" s="4" t="str" cm="1">
        <f t="array" ref="J3138">IFERROR(INDEX(EmployeeData[Status], ROW() - 37), "")</f>
        <v/>
      </c>
    </row>
    <row r="3139" spans="2:10" ht="19.95" customHeight="1" x14ac:dyDescent="0.3">
      <c r="B3139" s="4" t="str" cm="1">
        <f t="array" ref="B3139">IFERROR(INDEX(EmployeeData[Employee ID], ROW() - 37), "")</f>
        <v/>
      </c>
      <c r="C3139" s="4" t="str" cm="1">
        <f t="array" ref="C3139">IFERROR(INDEX(EmployeeData[Full Name], ROW() - 37), "")</f>
        <v/>
      </c>
      <c r="D3139" s="4" t="str" cm="1">
        <f t="array" ref="D3139">IFERROR(INDEX(EmployeeData[Department], ROW() - 37), "")</f>
        <v/>
      </c>
      <c r="E3139" s="4" t="str" cm="1">
        <f t="array" ref="E3139">IFERROR(INDEX(EmployeeData[Gender], ROW() - 37), "")</f>
        <v/>
      </c>
      <c r="F3139" s="4" t="str" cm="1">
        <f t="array" ref="F3139">IFERROR(INDEX(EmployeeData[Age], ROW() - 37), "")</f>
        <v/>
      </c>
      <c r="G3139" s="6" t="str" cm="1">
        <f t="array" ref="G3139">IFERROR(INDEX(EmployeeData[Join Date], ROW() - 37), "")</f>
        <v/>
      </c>
      <c r="H3139" s="6" t="str" cm="1">
        <f t="array" ref="H3139">IFERROR(IF(INDEX(EmployeeData[Exit Date], ROW() - 37)=0, "",INDEX(EmployeeData[Exit Date], ROW() - 37)),"")</f>
        <v/>
      </c>
      <c r="I3139" s="4" t="str" cm="1">
        <f t="array" ref="I3139">IFERROR(IF(INDEX(EmployeeData[Exit Reason], ROW() - 37)=0, "",INDEX(EmployeeData[Exit Reason], ROW() - 37)),"")</f>
        <v/>
      </c>
      <c r="J3139" s="4" t="str" cm="1">
        <f t="array" ref="J3139">IFERROR(INDEX(EmployeeData[Status], ROW() - 37), "")</f>
        <v/>
      </c>
    </row>
    <row r="3140" spans="2:10" ht="19.95" customHeight="1" x14ac:dyDescent="0.3">
      <c r="B3140" s="4" t="str" cm="1">
        <f t="array" ref="B3140">IFERROR(INDEX(EmployeeData[Employee ID], ROW() - 37), "")</f>
        <v/>
      </c>
      <c r="C3140" s="4" t="str" cm="1">
        <f t="array" ref="C3140">IFERROR(INDEX(EmployeeData[Full Name], ROW() - 37), "")</f>
        <v/>
      </c>
      <c r="D3140" s="4" t="str" cm="1">
        <f t="array" ref="D3140">IFERROR(INDEX(EmployeeData[Department], ROW() - 37), "")</f>
        <v/>
      </c>
      <c r="E3140" s="4" t="str" cm="1">
        <f t="array" ref="E3140">IFERROR(INDEX(EmployeeData[Gender], ROW() - 37), "")</f>
        <v/>
      </c>
      <c r="F3140" s="4" t="str" cm="1">
        <f t="array" ref="F3140">IFERROR(INDEX(EmployeeData[Age], ROW() - 37), "")</f>
        <v/>
      </c>
      <c r="G3140" s="6" t="str" cm="1">
        <f t="array" ref="G3140">IFERROR(INDEX(EmployeeData[Join Date], ROW() - 37), "")</f>
        <v/>
      </c>
      <c r="H3140" s="6" t="str" cm="1">
        <f t="array" ref="H3140">IFERROR(IF(INDEX(EmployeeData[Exit Date], ROW() - 37)=0, "",INDEX(EmployeeData[Exit Date], ROW() - 37)),"")</f>
        <v/>
      </c>
      <c r="I3140" s="4" t="str" cm="1">
        <f t="array" ref="I3140">IFERROR(IF(INDEX(EmployeeData[Exit Reason], ROW() - 37)=0, "",INDEX(EmployeeData[Exit Reason], ROW() - 37)),"")</f>
        <v/>
      </c>
      <c r="J3140" s="4" t="str" cm="1">
        <f t="array" ref="J3140">IFERROR(INDEX(EmployeeData[Status], ROW() - 37), "")</f>
        <v/>
      </c>
    </row>
    <row r="3141" spans="2:10" ht="19.95" customHeight="1" x14ac:dyDescent="0.3">
      <c r="B3141" s="4" t="str" cm="1">
        <f t="array" ref="B3141">IFERROR(INDEX(EmployeeData[Employee ID], ROW() - 37), "")</f>
        <v/>
      </c>
      <c r="C3141" s="4" t="str" cm="1">
        <f t="array" ref="C3141">IFERROR(INDEX(EmployeeData[Full Name], ROW() - 37), "")</f>
        <v/>
      </c>
      <c r="D3141" s="4" t="str" cm="1">
        <f t="array" ref="D3141">IFERROR(INDEX(EmployeeData[Department], ROW() - 37), "")</f>
        <v/>
      </c>
      <c r="E3141" s="4" t="str" cm="1">
        <f t="array" ref="E3141">IFERROR(INDEX(EmployeeData[Gender], ROW() - 37), "")</f>
        <v/>
      </c>
      <c r="F3141" s="4" t="str" cm="1">
        <f t="array" ref="F3141">IFERROR(INDEX(EmployeeData[Age], ROW() - 37), "")</f>
        <v/>
      </c>
      <c r="G3141" s="6" t="str" cm="1">
        <f t="array" ref="G3141">IFERROR(INDEX(EmployeeData[Join Date], ROW() - 37), "")</f>
        <v/>
      </c>
      <c r="H3141" s="6" t="str" cm="1">
        <f t="array" ref="H3141">IFERROR(IF(INDEX(EmployeeData[Exit Date], ROW() - 37)=0, "",INDEX(EmployeeData[Exit Date], ROW() - 37)),"")</f>
        <v/>
      </c>
      <c r="I3141" s="4" t="str" cm="1">
        <f t="array" ref="I3141">IFERROR(IF(INDEX(EmployeeData[Exit Reason], ROW() - 37)=0, "",INDEX(EmployeeData[Exit Reason], ROW() - 37)),"")</f>
        <v/>
      </c>
      <c r="J3141" s="4" t="str" cm="1">
        <f t="array" ref="J3141">IFERROR(INDEX(EmployeeData[Status], ROW() - 37), "")</f>
        <v/>
      </c>
    </row>
    <row r="3142" spans="2:10" ht="19.95" customHeight="1" x14ac:dyDescent="0.3">
      <c r="B3142" s="4" t="str" cm="1">
        <f t="array" ref="B3142">IFERROR(INDEX(EmployeeData[Employee ID], ROW() - 37), "")</f>
        <v/>
      </c>
      <c r="C3142" s="4" t="str" cm="1">
        <f t="array" ref="C3142">IFERROR(INDEX(EmployeeData[Full Name], ROW() - 37), "")</f>
        <v/>
      </c>
      <c r="D3142" s="4" t="str" cm="1">
        <f t="array" ref="D3142">IFERROR(INDEX(EmployeeData[Department], ROW() - 37), "")</f>
        <v/>
      </c>
      <c r="E3142" s="4" t="str" cm="1">
        <f t="array" ref="E3142">IFERROR(INDEX(EmployeeData[Gender], ROW() - 37), "")</f>
        <v/>
      </c>
      <c r="F3142" s="4" t="str" cm="1">
        <f t="array" ref="F3142">IFERROR(INDEX(EmployeeData[Age], ROW() - 37), "")</f>
        <v/>
      </c>
      <c r="G3142" s="6" t="str" cm="1">
        <f t="array" ref="G3142">IFERROR(INDEX(EmployeeData[Join Date], ROW() - 37), "")</f>
        <v/>
      </c>
      <c r="H3142" s="6" t="str" cm="1">
        <f t="array" ref="H3142">IFERROR(IF(INDEX(EmployeeData[Exit Date], ROW() - 37)=0, "",INDEX(EmployeeData[Exit Date], ROW() - 37)),"")</f>
        <v/>
      </c>
      <c r="I3142" s="4" t="str" cm="1">
        <f t="array" ref="I3142">IFERROR(IF(INDEX(EmployeeData[Exit Reason], ROW() - 37)=0, "",INDEX(EmployeeData[Exit Reason], ROW() - 37)),"")</f>
        <v/>
      </c>
      <c r="J3142" s="4" t="str" cm="1">
        <f t="array" ref="J3142">IFERROR(INDEX(EmployeeData[Status], ROW() - 37), "")</f>
        <v/>
      </c>
    </row>
    <row r="3143" spans="2:10" ht="19.95" customHeight="1" x14ac:dyDescent="0.3">
      <c r="B3143" s="4" t="str" cm="1">
        <f t="array" ref="B3143">IFERROR(INDEX(EmployeeData[Employee ID], ROW() - 37), "")</f>
        <v/>
      </c>
      <c r="C3143" s="4" t="str" cm="1">
        <f t="array" ref="C3143">IFERROR(INDEX(EmployeeData[Full Name], ROW() - 37), "")</f>
        <v/>
      </c>
      <c r="D3143" s="4" t="str" cm="1">
        <f t="array" ref="D3143">IFERROR(INDEX(EmployeeData[Department], ROW() - 37), "")</f>
        <v/>
      </c>
      <c r="E3143" s="4" t="str" cm="1">
        <f t="array" ref="E3143">IFERROR(INDEX(EmployeeData[Gender], ROW() - 37), "")</f>
        <v/>
      </c>
      <c r="F3143" s="4" t="str" cm="1">
        <f t="array" ref="F3143">IFERROR(INDEX(EmployeeData[Age], ROW() - 37), "")</f>
        <v/>
      </c>
      <c r="G3143" s="6" t="str" cm="1">
        <f t="array" ref="G3143">IFERROR(INDEX(EmployeeData[Join Date], ROW() - 37), "")</f>
        <v/>
      </c>
      <c r="H3143" s="6" t="str" cm="1">
        <f t="array" ref="H3143">IFERROR(IF(INDEX(EmployeeData[Exit Date], ROW() - 37)=0, "",INDEX(EmployeeData[Exit Date], ROW() - 37)),"")</f>
        <v/>
      </c>
      <c r="I3143" s="4" t="str" cm="1">
        <f t="array" ref="I3143">IFERROR(IF(INDEX(EmployeeData[Exit Reason], ROW() - 37)=0, "",INDEX(EmployeeData[Exit Reason], ROW() - 37)),"")</f>
        <v/>
      </c>
      <c r="J3143" s="4" t="str" cm="1">
        <f t="array" ref="J3143">IFERROR(INDEX(EmployeeData[Status], ROW() - 37), "")</f>
        <v/>
      </c>
    </row>
    <row r="3144" spans="2:10" ht="19.95" customHeight="1" x14ac:dyDescent="0.3">
      <c r="B3144" s="4" t="str" cm="1">
        <f t="array" ref="B3144">IFERROR(INDEX(EmployeeData[Employee ID], ROW() - 37), "")</f>
        <v/>
      </c>
      <c r="C3144" s="4" t="str" cm="1">
        <f t="array" ref="C3144">IFERROR(INDEX(EmployeeData[Full Name], ROW() - 37), "")</f>
        <v/>
      </c>
      <c r="D3144" s="4" t="str" cm="1">
        <f t="array" ref="D3144">IFERROR(INDEX(EmployeeData[Department], ROW() - 37), "")</f>
        <v/>
      </c>
      <c r="E3144" s="4" t="str" cm="1">
        <f t="array" ref="E3144">IFERROR(INDEX(EmployeeData[Gender], ROW() - 37), "")</f>
        <v/>
      </c>
      <c r="F3144" s="4" t="str" cm="1">
        <f t="array" ref="F3144">IFERROR(INDEX(EmployeeData[Age], ROW() - 37), "")</f>
        <v/>
      </c>
      <c r="G3144" s="6" t="str" cm="1">
        <f t="array" ref="G3144">IFERROR(INDEX(EmployeeData[Join Date], ROW() - 37), "")</f>
        <v/>
      </c>
      <c r="H3144" s="6" t="str" cm="1">
        <f t="array" ref="H3144">IFERROR(IF(INDEX(EmployeeData[Exit Date], ROW() - 37)=0, "",INDEX(EmployeeData[Exit Date], ROW() - 37)),"")</f>
        <v/>
      </c>
      <c r="I3144" s="4" t="str" cm="1">
        <f t="array" ref="I3144">IFERROR(IF(INDEX(EmployeeData[Exit Reason], ROW() - 37)=0, "",INDEX(EmployeeData[Exit Reason], ROW() - 37)),"")</f>
        <v/>
      </c>
      <c r="J3144" s="4" t="str" cm="1">
        <f t="array" ref="J3144">IFERROR(INDEX(EmployeeData[Status], ROW() - 37), "")</f>
        <v/>
      </c>
    </row>
    <row r="3145" spans="2:10" ht="19.95" customHeight="1" x14ac:dyDescent="0.3">
      <c r="B3145" s="4" t="str" cm="1">
        <f t="array" ref="B3145">IFERROR(INDEX(EmployeeData[Employee ID], ROW() - 37), "")</f>
        <v/>
      </c>
      <c r="C3145" s="4" t="str" cm="1">
        <f t="array" ref="C3145">IFERROR(INDEX(EmployeeData[Full Name], ROW() - 37), "")</f>
        <v/>
      </c>
      <c r="D3145" s="4" t="str" cm="1">
        <f t="array" ref="D3145">IFERROR(INDEX(EmployeeData[Department], ROW() - 37), "")</f>
        <v/>
      </c>
      <c r="E3145" s="4" t="str" cm="1">
        <f t="array" ref="E3145">IFERROR(INDEX(EmployeeData[Gender], ROW() - 37), "")</f>
        <v/>
      </c>
      <c r="F3145" s="4" t="str" cm="1">
        <f t="array" ref="F3145">IFERROR(INDEX(EmployeeData[Age], ROW() - 37), "")</f>
        <v/>
      </c>
      <c r="G3145" s="6" t="str" cm="1">
        <f t="array" ref="G3145">IFERROR(INDEX(EmployeeData[Join Date], ROW() - 37), "")</f>
        <v/>
      </c>
      <c r="H3145" s="6" t="str" cm="1">
        <f t="array" ref="H3145">IFERROR(IF(INDEX(EmployeeData[Exit Date], ROW() - 37)=0, "",INDEX(EmployeeData[Exit Date], ROW() - 37)),"")</f>
        <v/>
      </c>
      <c r="I3145" s="4" t="str" cm="1">
        <f t="array" ref="I3145">IFERROR(IF(INDEX(EmployeeData[Exit Reason], ROW() - 37)=0, "",INDEX(EmployeeData[Exit Reason], ROW() - 37)),"")</f>
        <v/>
      </c>
      <c r="J3145" s="4" t="str" cm="1">
        <f t="array" ref="J3145">IFERROR(INDEX(EmployeeData[Status], ROW() - 37), "")</f>
        <v/>
      </c>
    </row>
    <row r="3146" spans="2:10" ht="19.95" customHeight="1" x14ac:dyDescent="0.3">
      <c r="B3146" s="4" t="str" cm="1">
        <f t="array" ref="B3146">IFERROR(INDEX(EmployeeData[Employee ID], ROW() - 37), "")</f>
        <v/>
      </c>
      <c r="C3146" s="4" t="str" cm="1">
        <f t="array" ref="C3146">IFERROR(INDEX(EmployeeData[Full Name], ROW() - 37), "")</f>
        <v/>
      </c>
      <c r="D3146" s="4" t="str" cm="1">
        <f t="array" ref="D3146">IFERROR(INDEX(EmployeeData[Department], ROW() - 37), "")</f>
        <v/>
      </c>
      <c r="E3146" s="4" t="str" cm="1">
        <f t="array" ref="E3146">IFERROR(INDEX(EmployeeData[Gender], ROW() - 37), "")</f>
        <v/>
      </c>
      <c r="F3146" s="4" t="str" cm="1">
        <f t="array" ref="F3146">IFERROR(INDEX(EmployeeData[Age], ROW() - 37), "")</f>
        <v/>
      </c>
      <c r="G3146" s="6" t="str" cm="1">
        <f t="array" ref="G3146">IFERROR(INDEX(EmployeeData[Join Date], ROW() - 37), "")</f>
        <v/>
      </c>
      <c r="H3146" s="6" t="str" cm="1">
        <f t="array" ref="H3146">IFERROR(IF(INDEX(EmployeeData[Exit Date], ROW() - 37)=0, "",INDEX(EmployeeData[Exit Date], ROW() - 37)),"")</f>
        <v/>
      </c>
      <c r="I3146" s="4" t="str" cm="1">
        <f t="array" ref="I3146">IFERROR(IF(INDEX(EmployeeData[Exit Reason], ROW() - 37)=0, "",INDEX(EmployeeData[Exit Reason], ROW() - 37)),"")</f>
        <v/>
      </c>
      <c r="J3146" s="4" t="str" cm="1">
        <f t="array" ref="J3146">IFERROR(INDEX(EmployeeData[Status], ROW() - 37), "")</f>
        <v/>
      </c>
    </row>
    <row r="3147" spans="2:10" ht="19.95" customHeight="1" x14ac:dyDescent="0.3">
      <c r="B3147" s="4" t="str" cm="1">
        <f t="array" ref="B3147">IFERROR(INDEX(EmployeeData[Employee ID], ROW() - 37), "")</f>
        <v/>
      </c>
      <c r="C3147" s="4" t="str" cm="1">
        <f t="array" ref="C3147">IFERROR(INDEX(EmployeeData[Full Name], ROW() - 37), "")</f>
        <v/>
      </c>
      <c r="D3147" s="4" t="str" cm="1">
        <f t="array" ref="D3147">IFERROR(INDEX(EmployeeData[Department], ROW() - 37), "")</f>
        <v/>
      </c>
      <c r="E3147" s="4" t="str" cm="1">
        <f t="array" ref="E3147">IFERROR(INDEX(EmployeeData[Gender], ROW() - 37), "")</f>
        <v/>
      </c>
      <c r="F3147" s="4" t="str" cm="1">
        <f t="array" ref="F3147">IFERROR(INDEX(EmployeeData[Age], ROW() - 37), "")</f>
        <v/>
      </c>
      <c r="G3147" s="6" t="str" cm="1">
        <f t="array" ref="G3147">IFERROR(INDEX(EmployeeData[Join Date], ROW() - 37), "")</f>
        <v/>
      </c>
      <c r="H3147" s="6" t="str" cm="1">
        <f t="array" ref="H3147">IFERROR(IF(INDEX(EmployeeData[Exit Date], ROW() - 37)=0, "",INDEX(EmployeeData[Exit Date], ROW() - 37)),"")</f>
        <v/>
      </c>
      <c r="I3147" s="4" t="str" cm="1">
        <f t="array" ref="I3147">IFERROR(IF(INDEX(EmployeeData[Exit Reason], ROW() - 37)=0, "",INDEX(EmployeeData[Exit Reason], ROW() - 37)),"")</f>
        <v/>
      </c>
      <c r="J3147" s="4" t="str" cm="1">
        <f t="array" ref="J3147">IFERROR(INDEX(EmployeeData[Status], ROW() - 37), "")</f>
        <v/>
      </c>
    </row>
    <row r="3148" spans="2:10" ht="19.95" customHeight="1" x14ac:dyDescent="0.3">
      <c r="B3148" s="4" t="str" cm="1">
        <f t="array" ref="B3148">IFERROR(INDEX(EmployeeData[Employee ID], ROW() - 37), "")</f>
        <v/>
      </c>
      <c r="C3148" s="4" t="str" cm="1">
        <f t="array" ref="C3148">IFERROR(INDEX(EmployeeData[Full Name], ROW() - 37), "")</f>
        <v/>
      </c>
      <c r="D3148" s="4" t="str" cm="1">
        <f t="array" ref="D3148">IFERROR(INDEX(EmployeeData[Department], ROW() - 37), "")</f>
        <v/>
      </c>
      <c r="E3148" s="4" t="str" cm="1">
        <f t="array" ref="E3148">IFERROR(INDEX(EmployeeData[Gender], ROW() - 37), "")</f>
        <v/>
      </c>
      <c r="F3148" s="4" t="str" cm="1">
        <f t="array" ref="F3148">IFERROR(INDEX(EmployeeData[Age], ROW() - 37), "")</f>
        <v/>
      </c>
      <c r="G3148" s="6" t="str" cm="1">
        <f t="array" ref="G3148">IFERROR(INDEX(EmployeeData[Join Date], ROW() - 37), "")</f>
        <v/>
      </c>
      <c r="H3148" s="6" t="str" cm="1">
        <f t="array" ref="H3148">IFERROR(IF(INDEX(EmployeeData[Exit Date], ROW() - 37)=0, "",INDEX(EmployeeData[Exit Date], ROW() - 37)),"")</f>
        <v/>
      </c>
      <c r="I3148" s="4" t="str" cm="1">
        <f t="array" ref="I3148">IFERROR(IF(INDEX(EmployeeData[Exit Reason], ROW() - 37)=0, "",INDEX(EmployeeData[Exit Reason], ROW() - 37)),"")</f>
        <v/>
      </c>
      <c r="J3148" s="4" t="str" cm="1">
        <f t="array" ref="J3148">IFERROR(INDEX(EmployeeData[Status], ROW() - 37), "")</f>
        <v/>
      </c>
    </row>
    <row r="3149" spans="2:10" ht="19.95" customHeight="1" x14ac:dyDescent="0.3">
      <c r="B3149" s="4" t="str" cm="1">
        <f t="array" ref="B3149">IFERROR(INDEX(EmployeeData[Employee ID], ROW() - 37), "")</f>
        <v/>
      </c>
      <c r="C3149" s="4" t="str" cm="1">
        <f t="array" ref="C3149">IFERROR(INDEX(EmployeeData[Full Name], ROW() - 37), "")</f>
        <v/>
      </c>
      <c r="D3149" s="4" t="str" cm="1">
        <f t="array" ref="D3149">IFERROR(INDEX(EmployeeData[Department], ROW() - 37), "")</f>
        <v/>
      </c>
      <c r="E3149" s="4" t="str" cm="1">
        <f t="array" ref="E3149">IFERROR(INDEX(EmployeeData[Gender], ROW() - 37), "")</f>
        <v/>
      </c>
      <c r="F3149" s="4" t="str" cm="1">
        <f t="array" ref="F3149">IFERROR(INDEX(EmployeeData[Age], ROW() - 37), "")</f>
        <v/>
      </c>
      <c r="G3149" s="6" t="str" cm="1">
        <f t="array" ref="G3149">IFERROR(INDEX(EmployeeData[Join Date], ROW() - 37), "")</f>
        <v/>
      </c>
      <c r="H3149" s="6" t="str" cm="1">
        <f t="array" ref="H3149">IFERROR(IF(INDEX(EmployeeData[Exit Date], ROW() - 37)=0, "",INDEX(EmployeeData[Exit Date], ROW() - 37)),"")</f>
        <v/>
      </c>
      <c r="I3149" s="4" t="str" cm="1">
        <f t="array" ref="I3149">IFERROR(IF(INDEX(EmployeeData[Exit Reason], ROW() - 37)=0, "",INDEX(EmployeeData[Exit Reason], ROW() - 37)),"")</f>
        <v/>
      </c>
      <c r="J3149" s="4" t="str" cm="1">
        <f t="array" ref="J3149">IFERROR(INDEX(EmployeeData[Status], ROW() - 37), "")</f>
        <v/>
      </c>
    </row>
    <row r="3150" spans="2:10" ht="19.95" customHeight="1" x14ac:dyDescent="0.3">
      <c r="B3150" s="4" t="str" cm="1">
        <f t="array" ref="B3150">IFERROR(INDEX(EmployeeData[Employee ID], ROW() - 37), "")</f>
        <v/>
      </c>
      <c r="C3150" s="4" t="str" cm="1">
        <f t="array" ref="C3150">IFERROR(INDEX(EmployeeData[Full Name], ROW() - 37), "")</f>
        <v/>
      </c>
      <c r="D3150" s="4" t="str" cm="1">
        <f t="array" ref="D3150">IFERROR(INDEX(EmployeeData[Department], ROW() - 37), "")</f>
        <v/>
      </c>
      <c r="E3150" s="4" t="str" cm="1">
        <f t="array" ref="E3150">IFERROR(INDEX(EmployeeData[Gender], ROW() - 37), "")</f>
        <v/>
      </c>
      <c r="F3150" s="4" t="str" cm="1">
        <f t="array" ref="F3150">IFERROR(INDEX(EmployeeData[Age], ROW() - 37), "")</f>
        <v/>
      </c>
      <c r="G3150" s="6" t="str" cm="1">
        <f t="array" ref="G3150">IFERROR(INDEX(EmployeeData[Join Date], ROW() - 37), "")</f>
        <v/>
      </c>
      <c r="H3150" s="6" t="str" cm="1">
        <f t="array" ref="H3150">IFERROR(IF(INDEX(EmployeeData[Exit Date], ROW() - 37)=0, "",INDEX(EmployeeData[Exit Date], ROW() - 37)),"")</f>
        <v/>
      </c>
      <c r="I3150" s="4" t="str" cm="1">
        <f t="array" ref="I3150">IFERROR(IF(INDEX(EmployeeData[Exit Reason], ROW() - 37)=0, "",INDEX(EmployeeData[Exit Reason], ROW() - 37)),"")</f>
        <v/>
      </c>
      <c r="J3150" s="4" t="str" cm="1">
        <f t="array" ref="J3150">IFERROR(INDEX(EmployeeData[Status], ROW() - 37), "")</f>
        <v/>
      </c>
    </row>
    <row r="3151" spans="2:10" ht="19.95" customHeight="1" x14ac:dyDescent="0.3">
      <c r="B3151" s="4" t="str" cm="1">
        <f t="array" ref="B3151">IFERROR(INDEX(EmployeeData[Employee ID], ROW() - 37), "")</f>
        <v/>
      </c>
      <c r="C3151" s="4" t="str" cm="1">
        <f t="array" ref="C3151">IFERROR(INDEX(EmployeeData[Full Name], ROW() - 37), "")</f>
        <v/>
      </c>
      <c r="D3151" s="4" t="str" cm="1">
        <f t="array" ref="D3151">IFERROR(INDEX(EmployeeData[Department], ROW() - 37), "")</f>
        <v/>
      </c>
      <c r="E3151" s="4" t="str" cm="1">
        <f t="array" ref="E3151">IFERROR(INDEX(EmployeeData[Gender], ROW() - 37), "")</f>
        <v/>
      </c>
      <c r="F3151" s="4" t="str" cm="1">
        <f t="array" ref="F3151">IFERROR(INDEX(EmployeeData[Age], ROW() - 37), "")</f>
        <v/>
      </c>
      <c r="G3151" s="6" t="str" cm="1">
        <f t="array" ref="G3151">IFERROR(INDEX(EmployeeData[Join Date], ROW() - 37), "")</f>
        <v/>
      </c>
      <c r="H3151" s="6" t="str" cm="1">
        <f t="array" ref="H3151">IFERROR(IF(INDEX(EmployeeData[Exit Date], ROW() - 37)=0, "",INDEX(EmployeeData[Exit Date], ROW() - 37)),"")</f>
        <v/>
      </c>
      <c r="I3151" s="4" t="str" cm="1">
        <f t="array" ref="I3151">IFERROR(IF(INDEX(EmployeeData[Exit Reason], ROW() - 37)=0, "",INDEX(EmployeeData[Exit Reason], ROW() - 37)),"")</f>
        <v/>
      </c>
      <c r="J3151" s="4" t="str" cm="1">
        <f t="array" ref="J3151">IFERROR(INDEX(EmployeeData[Status], ROW() - 37), "")</f>
        <v/>
      </c>
    </row>
    <row r="3152" spans="2:10" ht="19.95" customHeight="1" x14ac:dyDescent="0.3">
      <c r="B3152" s="4" t="str" cm="1">
        <f t="array" ref="B3152">IFERROR(INDEX(EmployeeData[Employee ID], ROW() - 37), "")</f>
        <v/>
      </c>
      <c r="C3152" s="4" t="str" cm="1">
        <f t="array" ref="C3152">IFERROR(INDEX(EmployeeData[Full Name], ROW() - 37), "")</f>
        <v/>
      </c>
      <c r="D3152" s="4" t="str" cm="1">
        <f t="array" ref="D3152">IFERROR(INDEX(EmployeeData[Department], ROW() - 37), "")</f>
        <v/>
      </c>
      <c r="E3152" s="4" t="str" cm="1">
        <f t="array" ref="E3152">IFERROR(INDEX(EmployeeData[Gender], ROW() - 37), "")</f>
        <v/>
      </c>
      <c r="F3152" s="4" t="str" cm="1">
        <f t="array" ref="F3152">IFERROR(INDEX(EmployeeData[Age], ROW() - 37), "")</f>
        <v/>
      </c>
      <c r="G3152" s="6" t="str" cm="1">
        <f t="array" ref="G3152">IFERROR(INDEX(EmployeeData[Join Date], ROW() - 37), "")</f>
        <v/>
      </c>
      <c r="H3152" s="6" t="str" cm="1">
        <f t="array" ref="H3152">IFERROR(IF(INDEX(EmployeeData[Exit Date], ROW() - 37)=0, "",INDEX(EmployeeData[Exit Date], ROW() - 37)),"")</f>
        <v/>
      </c>
      <c r="I3152" s="4" t="str" cm="1">
        <f t="array" ref="I3152">IFERROR(IF(INDEX(EmployeeData[Exit Reason], ROW() - 37)=0, "",INDEX(EmployeeData[Exit Reason], ROW() - 37)),"")</f>
        <v/>
      </c>
      <c r="J3152" s="4" t="str" cm="1">
        <f t="array" ref="J3152">IFERROR(INDEX(EmployeeData[Status], ROW() - 37), "")</f>
        <v/>
      </c>
    </row>
    <row r="3153" spans="2:10" ht="19.95" customHeight="1" x14ac:dyDescent="0.3">
      <c r="B3153" s="4" t="str" cm="1">
        <f t="array" ref="B3153">IFERROR(INDEX(EmployeeData[Employee ID], ROW() - 37), "")</f>
        <v/>
      </c>
      <c r="C3153" s="4" t="str" cm="1">
        <f t="array" ref="C3153">IFERROR(INDEX(EmployeeData[Full Name], ROW() - 37), "")</f>
        <v/>
      </c>
      <c r="D3153" s="4" t="str" cm="1">
        <f t="array" ref="D3153">IFERROR(INDEX(EmployeeData[Department], ROW() - 37), "")</f>
        <v/>
      </c>
      <c r="E3153" s="4" t="str" cm="1">
        <f t="array" ref="E3153">IFERROR(INDEX(EmployeeData[Gender], ROW() - 37), "")</f>
        <v/>
      </c>
      <c r="F3153" s="4" t="str" cm="1">
        <f t="array" ref="F3153">IFERROR(INDEX(EmployeeData[Age], ROW() - 37), "")</f>
        <v/>
      </c>
      <c r="G3153" s="6" t="str" cm="1">
        <f t="array" ref="G3153">IFERROR(INDEX(EmployeeData[Join Date], ROW() - 37), "")</f>
        <v/>
      </c>
      <c r="H3153" s="6" t="str" cm="1">
        <f t="array" ref="H3153">IFERROR(IF(INDEX(EmployeeData[Exit Date], ROW() - 37)=0, "",INDEX(EmployeeData[Exit Date], ROW() - 37)),"")</f>
        <v/>
      </c>
      <c r="I3153" s="4" t="str" cm="1">
        <f t="array" ref="I3153">IFERROR(IF(INDEX(EmployeeData[Exit Reason], ROW() - 37)=0, "",INDEX(EmployeeData[Exit Reason], ROW() - 37)),"")</f>
        <v/>
      </c>
      <c r="J3153" s="4" t="str" cm="1">
        <f t="array" ref="J3153">IFERROR(INDEX(EmployeeData[Status], ROW() - 37), "")</f>
        <v/>
      </c>
    </row>
    <row r="3154" spans="2:10" ht="19.95" customHeight="1" x14ac:dyDescent="0.3">
      <c r="B3154" s="4" t="str" cm="1">
        <f t="array" ref="B3154">IFERROR(INDEX(EmployeeData[Employee ID], ROW() - 37), "")</f>
        <v/>
      </c>
      <c r="C3154" s="4" t="str" cm="1">
        <f t="array" ref="C3154">IFERROR(INDEX(EmployeeData[Full Name], ROW() - 37), "")</f>
        <v/>
      </c>
      <c r="D3154" s="4" t="str" cm="1">
        <f t="array" ref="D3154">IFERROR(INDEX(EmployeeData[Department], ROW() - 37), "")</f>
        <v/>
      </c>
      <c r="E3154" s="4" t="str" cm="1">
        <f t="array" ref="E3154">IFERROR(INDEX(EmployeeData[Gender], ROW() - 37), "")</f>
        <v/>
      </c>
      <c r="F3154" s="4" t="str" cm="1">
        <f t="array" ref="F3154">IFERROR(INDEX(EmployeeData[Age], ROW() - 37), "")</f>
        <v/>
      </c>
      <c r="G3154" s="6" t="str" cm="1">
        <f t="array" ref="G3154">IFERROR(INDEX(EmployeeData[Join Date], ROW() - 37), "")</f>
        <v/>
      </c>
      <c r="H3154" s="6" t="str" cm="1">
        <f t="array" ref="H3154">IFERROR(IF(INDEX(EmployeeData[Exit Date], ROW() - 37)=0, "",INDEX(EmployeeData[Exit Date], ROW() - 37)),"")</f>
        <v/>
      </c>
      <c r="I3154" s="4" t="str" cm="1">
        <f t="array" ref="I3154">IFERROR(IF(INDEX(EmployeeData[Exit Reason], ROW() - 37)=0, "",INDEX(EmployeeData[Exit Reason], ROW() - 37)),"")</f>
        <v/>
      </c>
      <c r="J3154" s="4" t="str" cm="1">
        <f t="array" ref="J3154">IFERROR(INDEX(EmployeeData[Status], ROW() - 37), "")</f>
        <v/>
      </c>
    </row>
    <row r="3155" spans="2:10" ht="19.95" customHeight="1" x14ac:dyDescent="0.3">
      <c r="B3155" s="4" t="str" cm="1">
        <f t="array" ref="B3155">IFERROR(INDEX(EmployeeData[Employee ID], ROW() - 37), "")</f>
        <v/>
      </c>
      <c r="C3155" s="4" t="str" cm="1">
        <f t="array" ref="C3155">IFERROR(INDEX(EmployeeData[Full Name], ROW() - 37), "")</f>
        <v/>
      </c>
      <c r="D3155" s="4" t="str" cm="1">
        <f t="array" ref="D3155">IFERROR(INDEX(EmployeeData[Department], ROW() - 37), "")</f>
        <v/>
      </c>
      <c r="E3155" s="4" t="str" cm="1">
        <f t="array" ref="E3155">IFERROR(INDEX(EmployeeData[Gender], ROW() - 37), "")</f>
        <v/>
      </c>
      <c r="F3155" s="4" t="str" cm="1">
        <f t="array" ref="F3155">IFERROR(INDEX(EmployeeData[Age], ROW() - 37), "")</f>
        <v/>
      </c>
      <c r="G3155" s="6" t="str" cm="1">
        <f t="array" ref="G3155">IFERROR(INDEX(EmployeeData[Join Date], ROW() - 37), "")</f>
        <v/>
      </c>
      <c r="H3155" s="6" t="str" cm="1">
        <f t="array" ref="H3155">IFERROR(IF(INDEX(EmployeeData[Exit Date], ROW() - 37)=0, "",INDEX(EmployeeData[Exit Date], ROW() - 37)),"")</f>
        <v/>
      </c>
      <c r="I3155" s="4" t="str" cm="1">
        <f t="array" ref="I3155">IFERROR(IF(INDEX(EmployeeData[Exit Reason], ROW() - 37)=0, "",INDEX(EmployeeData[Exit Reason], ROW() - 37)),"")</f>
        <v/>
      </c>
      <c r="J3155" s="4" t="str" cm="1">
        <f t="array" ref="J3155">IFERROR(INDEX(EmployeeData[Status], ROW() - 37), "")</f>
        <v/>
      </c>
    </row>
    <row r="3156" spans="2:10" ht="19.95" customHeight="1" x14ac:dyDescent="0.3">
      <c r="B3156" s="4" t="str" cm="1">
        <f t="array" ref="B3156">IFERROR(INDEX(EmployeeData[Employee ID], ROW() - 37), "")</f>
        <v/>
      </c>
      <c r="C3156" s="4" t="str" cm="1">
        <f t="array" ref="C3156">IFERROR(INDEX(EmployeeData[Full Name], ROW() - 37), "")</f>
        <v/>
      </c>
      <c r="D3156" s="4" t="str" cm="1">
        <f t="array" ref="D3156">IFERROR(INDEX(EmployeeData[Department], ROW() - 37), "")</f>
        <v/>
      </c>
      <c r="E3156" s="4" t="str" cm="1">
        <f t="array" ref="E3156">IFERROR(INDEX(EmployeeData[Gender], ROW() - 37), "")</f>
        <v/>
      </c>
      <c r="F3156" s="4" t="str" cm="1">
        <f t="array" ref="F3156">IFERROR(INDEX(EmployeeData[Age], ROW() - 37), "")</f>
        <v/>
      </c>
      <c r="G3156" s="6" t="str" cm="1">
        <f t="array" ref="G3156">IFERROR(INDEX(EmployeeData[Join Date], ROW() - 37), "")</f>
        <v/>
      </c>
      <c r="H3156" s="6" t="str" cm="1">
        <f t="array" ref="H3156">IFERROR(IF(INDEX(EmployeeData[Exit Date], ROW() - 37)=0, "",INDEX(EmployeeData[Exit Date], ROW() - 37)),"")</f>
        <v/>
      </c>
      <c r="I3156" s="4" t="str" cm="1">
        <f t="array" ref="I3156">IFERROR(IF(INDEX(EmployeeData[Exit Reason], ROW() - 37)=0, "",INDEX(EmployeeData[Exit Reason], ROW() - 37)),"")</f>
        <v/>
      </c>
      <c r="J3156" s="4" t="str" cm="1">
        <f t="array" ref="J3156">IFERROR(INDEX(EmployeeData[Status], ROW() - 37), "")</f>
        <v/>
      </c>
    </row>
    <row r="3157" spans="2:10" ht="19.95" customHeight="1" x14ac:dyDescent="0.3">
      <c r="B3157" s="4" t="str" cm="1">
        <f t="array" ref="B3157">IFERROR(INDEX(EmployeeData[Employee ID], ROW() - 37), "")</f>
        <v/>
      </c>
      <c r="C3157" s="4" t="str" cm="1">
        <f t="array" ref="C3157">IFERROR(INDEX(EmployeeData[Full Name], ROW() - 37), "")</f>
        <v/>
      </c>
      <c r="D3157" s="4" t="str" cm="1">
        <f t="array" ref="D3157">IFERROR(INDEX(EmployeeData[Department], ROW() - 37), "")</f>
        <v/>
      </c>
      <c r="E3157" s="4" t="str" cm="1">
        <f t="array" ref="E3157">IFERROR(INDEX(EmployeeData[Gender], ROW() - 37), "")</f>
        <v/>
      </c>
      <c r="F3157" s="4" t="str" cm="1">
        <f t="array" ref="F3157">IFERROR(INDEX(EmployeeData[Age], ROW() - 37), "")</f>
        <v/>
      </c>
      <c r="G3157" s="6" t="str" cm="1">
        <f t="array" ref="G3157">IFERROR(INDEX(EmployeeData[Join Date], ROW() - 37), "")</f>
        <v/>
      </c>
      <c r="H3157" s="6" t="str" cm="1">
        <f t="array" ref="H3157">IFERROR(IF(INDEX(EmployeeData[Exit Date], ROW() - 37)=0, "",INDEX(EmployeeData[Exit Date], ROW() - 37)),"")</f>
        <v/>
      </c>
      <c r="I3157" s="4" t="str" cm="1">
        <f t="array" ref="I3157">IFERROR(IF(INDEX(EmployeeData[Exit Reason], ROW() - 37)=0, "",INDEX(EmployeeData[Exit Reason], ROW() - 37)),"")</f>
        <v/>
      </c>
      <c r="J3157" s="4" t="str" cm="1">
        <f t="array" ref="J3157">IFERROR(INDEX(EmployeeData[Status], ROW() - 37), "")</f>
        <v/>
      </c>
    </row>
    <row r="3158" spans="2:10" ht="19.95" customHeight="1" x14ac:dyDescent="0.3">
      <c r="B3158" s="4" t="str" cm="1">
        <f t="array" ref="B3158">IFERROR(INDEX(EmployeeData[Employee ID], ROW() - 37), "")</f>
        <v/>
      </c>
      <c r="C3158" s="4" t="str" cm="1">
        <f t="array" ref="C3158">IFERROR(INDEX(EmployeeData[Full Name], ROW() - 37), "")</f>
        <v/>
      </c>
      <c r="D3158" s="4" t="str" cm="1">
        <f t="array" ref="D3158">IFERROR(INDEX(EmployeeData[Department], ROW() - 37), "")</f>
        <v/>
      </c>
      <c r="E3158" s="4" t="str" cm="1">
        <f t="array" ref="E3158">IFERROR(INDEX(EmployeeData[Gender], ROW() - 37), "")</f>
        <v/>
      </c>
      <c r="F3158" s="4" t="str" cm="1">
        <f t="array" ref="F3158">IFERROR(INDEX(EmployeeData[Age], ROW() - 37), "")</f>
        <v/>
      </c>
      <c r="G3158" s="6" t="str" cm="1">
        <f t="array" ref="G3158">IFERROR(INDEX(EmployeeData[Join Date], ROW() - 37), "")</f>
        <v/>
      </c>
      <c r="H3158" s="6" t="str" cm="1">
        <f t="array" ref="H3158">IFERROR(IF(INDEX(EmployeeData[Exit Date], ROW() - 37)=0, "",INDEX(EmployeeData[Exit Date], ROW() - 37)),"")</f>
        <v/>
      </c>
      <c r="I3158" s="4" t="str" cm="1">
        <f t="array" ref="I3158">IFERROR(IF(INDEX(EmployeeData[Exit Reason], ROW() - 37)=0, "",INDEX(EmployeeData[Exit Reason], ROW() - 37)),"")</f>
        <v/>
      </c>
      <c r="J3158" s="4" t="str" cm="1">
        <f t="array" ref="J3158">IFERROR(INDEX(EmployeeData[Status], ROW() - 37), "")</f>
        <v/>
      </c>
    </row>
    <row r="3159" spans="2:10" ht="19.95" customHeight="1" x14ac:dyDescent="0.3">
      <c r="B3159" s="4" t="str" cm="1">
        <f t="array" ref="B3159">IFERROR(INDEX(EmployeeData[Employee ID], ROW() - 37), "")</f>
        <v/>
      </c>
      <c r="C3159" s="4" t="str" cm="1">
        <f t="array" ref="C3159">IFERROR(INDEX(EmployeeData[Full Name], ROW() - 37), "")</f>
        <v/>
      </c>
      <c r="D3159" s="4" t="str" cm="1">
        <f t="array" ref="D3159">IFERROR(INDEX(EmployeeData[Department], ROW() - 37), "")</f>
        <v/>
      </c>
      <c r="E3159" s="4" t="str" cm="1">
        <f t="array" ref="E3159">IFERROR(INDEX(EmployeeData[Gender], ROW() - 37), "")</f>
        <v/>
      </c>
      <c r="F3159" s="4" t="str" cm="1">
        <f t="array" ref="F3159">IFERROR(INDEX(EmployeeData[Age], ROW() - 37), "")</f>
        <v/>
      </c>
      <c r="G3159" s="6" t="str" cm="1">
        <f t="array" ref="G3159">IFERROR(INDEX(EmployeeData[Join Date], ROW() - 37), "")</f>
        <v/>
      </c>
      <c r="H3159" s="6" t="str" cm="1">
        <f t="array" ref="H3159">IFERROR(IF(INDEX(EmployeeData[Exit Date], ROW() - 37)=0, "",INDEX(EmployeeData[Exit Date], ROW() - 37)),"")</f>
        <v/>
      </c>
      <c r="I3159" s="4" t="str" cm="1">
        <f t="array" ref="I3159">IFERROR(IF(INDEX(EmployeeData[Exit Reason], ROW() - 37)=0, "",INDEX(EmployeeData[Exit Reason], ROW() - 37)),"")</f>
        <v/>
      </c>
      <c r="J3159" s="4" t="str" cm="1">
        <f t="array" ref="J3159">IFERROR(INDEX(EmployeeData[Status], ROW() - 37), "")</f>
        <v/>
      </c>
    </row>
    <row r="3160" spans="2:10" ht="19.95" customHeight="1" x14ac:dyDescent="0.3">
      <c r="B3160" s="4" t="str" cm="1">
        <f t="array" ref="B3160">IFERROR(INDEX(EmployeeData[Employee ID], ROW() - 37), "")</f>
        <v/>
      </c>
      <c r="C3160" s="4" t="str" cm="1">
        <f t="array" ref="C3160">IFERROR(INDEX(EmployeeData[Full Name], ROW() - 37), "")</f>
        <v/>
      </c>
      <c r="D3160" s="4" t="str" cm="1">
        <f t="array" ref="D3160">IFERROR(INDEX(EmployeeData[Department], ROW() - 37), "")</f>
        <v/>
      </c>
      <c r="E3160" s="4" t="str" cm="1">
        <f t="array" ref="E3160">IFERROR(INDEX(EmployeeData[Gender], ROW() - 37), "")</f>
        <v/>
      </c>
      <c r="F3160" s="4" t="str" cm="1">
        <f t="array" ref="F3160">IFERROR(INDEX(EmployeeData[Age], ROW() - 37), "")</f>
        <v/>
      </c>
      <c r="G3160" s="6" t="str" cm="1">
        <f t="array" ref="G3160">IFERROR(INDEX(EmployeeData[Join Date], ROW() - 37), "")</f>
        <v/>
      </c>
      <c r="H3160" s="6" t="str" cm="1">
        <f t="array" ref="H3160">IFERROR(IF(INDEX(EmployeeData[Exit Date], ROW() - 37)=0, "",INDEX(EmployeeData[Exit Date], ROW() - 37)),"")</f>
        <v/>
      </c>
      <c r="I3160" s="4" t="str" cm="1">
        <f t="array" ref="I3160">IFERROR(IF(INDEX(EmployeeData[Exit Reason], ROW() - 37)=0, "",INDEX(EmployeeData[Exit Reason], ROW() - 37)),"")</f>
        <v/>
      </c>
      <c r="J3160" s="4" t="str" cm="1">
        <f t="array" ref="J3160">IFERROR(INDEX(EmployeeData[Status], ROW() - 37), "")</f>
        <v/>
      </c>
    </row>
    <row r="3161" spans="2:10" ht="19.95" customHeight="1" x14ac:dyDescent="0.3">
      <c r="B3161" s="4" t="str" cm="1">
        <f t="array" ref="B3161">IFERROR(INDEX(EmployeeData[Employee ID], ROW() - 37), "")</f>
        <v/>
      </c>
      <c r="C3161" s="4" t="str" cm="1">
        <f t="array" ref="C3161">IFERROR(INDEX(EmployeeData[Full Name], ROW() - 37), "")</f>
        <v/>
      </c>
      <c r="D3161" s="4" t="str" cm="1">
        <f t="array" ref="D3161">IFERROR(INDEX(EmployeeData[Department], ROW() - 37), "")</f>
        <v/>
      </c>
      <c r="E3161" s="4" t="str" cm="1">
        <f t="array" ref="E3161">IFERROR(INDEX(EmployeeData[Gender], ROW() - 37), "")</f>
        <v/>
      </c>
      <c r="F3161" s="4" t="str" cm="1">
        <f t="array" ref="F3161">IFERROR(INDEX(EmployeeData[Age], ROW() - 37), "")</f>
        <v/>
      </c>
      <c r="G3161" s="6" t="str" cm="1">
        <f t="array" ref="G3161">IFERROR(INDEX(EmployeeData[Join Date], ROW() - 37), "")</f>
        <v/>
      </c>
      <c r="H3161" s="6" t="str" cm="1">
        <f t="array" ref="H3161">IFERROR(IF(INDEX(EmployeeData[Exit Date], ROW() - 37)=0, "",INDEX(EmployeeData[Exit Date], ROW() - 37)),"")</f>
        <v/>
      </c>
      <c r="I3161" s="4" t="str" cm="1">
        <f t="array" ref="I3161">IFERROR(IF(INDEX(EmployeeData[Exit Reason], ROW() - 37)=0, "",INDEX(EmployeeData[Exit Reason], ROW() - 37)),"")</f>
        <v/>
      </c>
      <c r="J3161" s="4" t="str" cm="1">
        <f t="array" ref="J3161">IFERROR(INDEX(EmployeeData[Status], ROW() - 37), "")</f>
        <v/>
      </c>
    </row>
    <row r="3162" spans="2:10" ht="19.95" customHeight="1" x14ac:dyDescent="0.3">
      <c r="B3162" s="4" t="str" cm="1">
        <f t="array" ref="B3162">IFERROR(INDEX(EmployeeData[Employee ID], ROW() - 37), "")</f>
        <v/>
      </c>
      <c r="C3162" s="4" t="str" cm="1">
        <f t="array" ref="C3162">IFERROR(INDEX(EmployeeData[Full Name], ROW() - 37), "")</f>
        <v/>
      </c>
      <c r="D3162" s="4" t="str" cm="1">
        <f t="array" ref="D3162">IFERROR(INDEX(EmployeeData[Department], ROW() - 37), "")</f>
        <v/>
      </c>
      <c r="E3162" s="4" t="str" cm="1">
        <f t="array" ref="E3162">IFERROR(INDEX(EmployeeData[Gender], ROW() - 37), "")</f>
        <v/>
      </c>
      <c r="F3162" s="4" t="str" cm="1">
        <f t="array" ref="F3162">IFERROR(INDEX(EmployeeData[Age], ROW() - 37), "")</f>
        <v/>
      </c>
      <c r="G3162" s="6" t="str" cm="1">
        <f t="array" ref="G3162">IFERROR(INDEX(EmployeeData[Join Date], ROW() - 37), "")</f>
        <v/>
      </c>
      <c r="H3162" s="6" t="str" cm="1">
        <f t="array" ref="H3162">IFERROR(IF(INDEX(EmployeeData[Exit Date], ROW() - 37)=0, "",INDEX(EmployeeData[Exit Date], ROW() - 37)),"")</f>
        <v/>
      </c>
      <c r="I3162" s="4" t="str" cm="1">
        <f t="array" ref="I3162">IFERROR(IF(INDEX(EmployeeData[Exit Reason], ROW() - 37)=0, "",INDEX(EmployeeData[Exit Reason], ROW() - 37)),"")</f>
        <v/>
      </c>
      <c r="J3162" s="4" t="str" cm="1">
        <f t="array" ref="J3162">IFERROR(INDEX(EmployeeData[Status], ROW() - 37), "")</f>
        <v/>
      </c>
    </row>
    <row r="3163" spans="2:10" ht="19.95" customHeight="1" x14ac:dyDescent="0.3">
      <c r="B3163" s="4" t="str" cm="1">
        <f t="array" ref="B3163">IFERROR(INDEX(EmployeeData[Employee ID], ROW() - 37), "")</f>
        <v/>
      </c>
      <c r="C3163" s="4" t="str" cm="1">
        <f t="array" ref="C3163">IFERROR(INDEX(EmployeeData[Full Name], ROW() - 37), "")</f>
        <v/>
      </c>
      <c r="D3163" s="4" t="str" cm="1">
        <f t="array" ref="D3163">IFERROR(INDEX(EmployeeData[Department], ROW() - 37), "")</f>
        <v/>
      </c>
      <c r="E3163" s="4" t="str" cm="1">
        <f t="array" ref="E3163">IFERROR(INDEX(EmployeeData[Gender], ROW() - 37), "")</f>
        <v/>
      </c>
      <c r="F3163" s="4" t="str" cm="1">
        <f t="array" ref="F3163">IFERROR(INDEX(EmployeeData[Age], ROW() - 37), "")</f>
        <v/>
      </c>
      <c r="G3163" s="6" t="str" cm="1">
        <f t="array" ref="G3163">IFERROR(INDEX(EmployeeData[Join Date], ROW() - 37), "")</f>
        <v/>
      </c>
      <c r="H3163" s="6" t="str" cm="1">
        <f t="array" ref="H3163">IFERROR(IF(INDEX(EmployeeData[Exit Date], ROW() - 37)=0, "",INDEX(EmployeeData[Exit Date], ROW() - 37)),"")</f>
        <v/>
      </c>
      <c r="I3163" s="4" t="str" cm="1">
        <f t="array" ref="I3163">IFERROR(IF(INDEX(EmployeeData[Exit Reason], ROW() - 37)=0, "",INDEX(EmployeeData[Exit Reason], ROW() - 37)),"")</f>
        <v/>
      </c>
      <c r="J3163" s="4" t="str" cm="1">
        <f t="array" ref="J3163">IFERROR(INDEX(EmployeeData[Status], ROW() - 37), "")</f>
        <v/>
      </c>
    </row>
    <row r="3164" spans="2:10" ht="19.95" customHeight="1" x14ac:dyDescent="0.3">
      <c r="B3164" s="4" t="str" cm="1">
        <f t="array" ref="B3164">IFERROR(INDEX(EmployeeData[Employee ID], ROW() - 37), "")</f>
        <v/>
      </c>
      <c r="C3164" s="4" t="str" cm="1">
        <f t="array" ref="C3164">IFERROR(INDEX(EmployeeData[Full Name], ROW() - 37), "")</f>
        <v/>
      </c>
      <c r="D3164" s="4" t="str" cm="1">
        <f t="array" ref="D3164">IFERROR(INDEX(EmployeeData[Department], ROW() - 37), "")</f>
        <v/>
      </c>
      <c r="E3164" s="4" t="str" cm="1">
        <f t="array" ref="E3164">IFERROR(INDEX(EmployeeData[Gender], ROW() - 37), "")</f>
        <v/>
      </c>
      <c r="F3164" s="4" t="str" cm="1">
        <f t="array" ref="F3164">IFERROR(INDEX(EmployeeData[Age], ROW() - 37), "")</f>
        <v/>
      </c>
      <c r="G3164" s="6" t="str" cm="1">
        <f t="array" ref="G3164">IFERROR(INDEX(EmployeeData[Join Date], ROW() - 37), "")</f>
        <v/>
      </c>
      <c r="H3164" s="6" t="str" cm="1">
        <f t="array" ref="H3164">IFERROR(IF(INDEX(EmployeeData[Exit Date], ROW() - 37)=0, "",INDEX(EmployeeData[Exit Date], ROW() - 37)),"")</f>
        <v/>
      </c>
      <c r="I3164" s="4" t="str" cm="1">
        <f t="array" ref="I3164">IFERROR(IF(INDEX(EmployeeData[Exit Reason], ROW() - 37)=0, "",INDEX(EmployeeData[Exit Reason], ROW() - 37)),"")</f>
        <v/>
      </c>
      <c r="J3164" s="4" t="str" cm="1">
        <f t="array" ref="J3164">IFERROR(INDEX(EmployeeData[Status], ROW() - 37), "")</f>
        <v/>
      </c>
    </row>
    <row r="3165" spans="2:10" ht="19.95" customHeight="1" x14ac:dyDescent="0.3">
      <c r="B3165" s="4" t="str" cm="1">
        <f t="array" ref="B3165">IFERROR(INDEX(EmployeeData[Employee ID], ROW() - 37), "")</f>
        <v/>
      </c>
      <c r="C3165" s="4" t="str" cm="1">
        <f t="array" ref="C3165">IFERROR(INDEX(EmployeeData[Full Name], ROW() - 37), "")</f>
        <v/>
      </c>
      <c r="D3165" s="4" t="str" cm="1">
        <f t="array" ref="D3165">IFERROR(INDEX(EmployeeData[Department], ROW() - 37), "")</f>
        <v/>
      </c>
      <c r="E3165" s="4" t="str" cm="1">
        <f t="array" ref="E3165">IFERROR(INDEX(EmployeeData[Gender], ROW() - 37), "")</f>
        <v/>
      </c>
      <c r="F3165" s="4" t="str" cm="1">
        <f t="array" ref="F3165">IFERROR(INDEX(EmployeeData[Age], ROW() - 37), "")</f>
        <v/>
      </c>
      <c r="G3165" s="6" t="str" cm="1">
        <f t="array" ref="G3165">IFERROR(INDEX(EmployeeData[Join Date], ROW() - 37), "")</f>
        <v/>
      </c>
      <c r="H3165" s="6" t="str" cm="1">
        <f t="array" ref="H3165">IFERROR(IF(INDEX(EmployeeData[Exit Date], ROW() - 37)=0, "",INDEX(EmployeeData[Exit Date], ROW() - 37)),"")</f>
        <v/>
      </c>
      <c r="I3165" s="4" t="str" cm="1">
        <f t="array" ref="I3165">IFERROR(IF(INDEX(EmployeeData[Exit Reason], ROW() - 37)=0, "",INDEX(EmployeeData[Exit Reason], ROW() - 37)),"")</f>
        <v/>
      </c>
      <c r="J3165" s="4" t="str" cm="1">
        <f t="array" ref="J3165">IFERROR(INDEX(EmployeeData[Status], ROW() - 37), "")</f>
        <v/>
      </c>
    </row>
    <row r="3166" spans="2:10" ht="19.95" customHeight="1" x14ac:dyDescent="0.3">
      <c r="B3166" s="4" t="str" cm="1">
        <f t="array" ref="B3166">IFERROR(INDEX(EmployeeData[Employee ID], ROW() - 37), "")</f>
        <v/>
      </c>
      <c r="C3166" s="4" t="str" cm="1">
        <f t="array" ref="C3166">IFERROR(INDEX(EmployeeData[Full Name], ROW() - 37), "")</f>
        <v/>
      </c>
      <c r="D3166" s="4" t="str" cm="1">
        <f t="array" ref="D3166">IFERROR(INDEX(EmployeeData[Department], ROW() - 37), "")</f>
        <v/>
      </c>
      <c r="E3166" s="4" t="str" cm="1">
        <f t="array" ref="E3166">IFERROR(INDEX(EmployeeData[Gender], ROW() - 37), "")</f>
        <v/>
      </c>
      <c r="F3166" s="4" t="str" cm="1">
        <f t="array" ref="F3166">IFERROR(INDEX(EmployeeData[Age], ROW() - 37), "")</f>
        <v/>
      </c>
      <c r="G3166" s="6" t="str" cm="1">
        <f t="array" ref="G3166">IFERROR(INDEX(EmployeeData[Join Date], ROW() - 37), "")</f>
        <v/>
      </c>
      <c r="H3166" s="6" t="str" cm="1">
        <f t="array" ref="H3166">IFERROR(IF(INDEX(EmployeeData[Exit Date], ROW() - 37)=0, "",INDEX(EmployeeData[Exit Date], ROW() - 37)),"")</f>
        <v/>
      </c>
      <c r="I3166" s="4" t="str" cm="1">
        <f t="array" ref="I3166">IFERROR(IF(INDEX(EmployeeData[Exit Reason], ROW() - 37)=0, "",INDEX(EmployeeData[Exit Reason], ROW() - 37)),"")</f>
        <v/>
      </c>
      <c r="J3166" s="4" t="str" cm="1">
        <f t="array" ref="J3166">IFERROR(INDEX(EmployeeData[Status], ROW() - 37), "")</f>
        <v/>
      </c>
    </row>
    <row r="3167" spans="2:10" ht="19.95" customHeight="1" x14ac:dyDescent="0.3">
      <c r="B3167" s="4" t="str" cm="1">
        <f t="array" ref="B3167">IFERROR(INDEX(EmployeeData[Employee ID], ROW() - 37), "")</f>
        <v/>
      </c>
      <c r="C3167" s="4" t="str" cm="1">
        <f t="array" ref="C3167">IFERROR(INDEX(EmployeeData[Full Name], ROW() - 37), "")</f>
        <v/>
      </c>
      <c r="D3167" s="4" t="str" cm="1">
        <f t="array" ref="D3167">IFERROR(INDEX(EmployeeData[Department], ROW() - 37), "")</f>
        <v/>
      </c>
      <c r="E3167" s="4" t="str" cm="1">
        <f t="array" ref="E3167">IFERROR(INDEX(EmployeeData[Gender], ROW() - 37), "")</f>
        <v/>
      </c>
      <c r="F3167" s="4" t="str" cm="1">
        <f t="array" ref="F3167">IFERROR(INDEX(EmployeeData[Age], ROW() - 37), "")</f>
        <v/>
      </c>
      <c r="G3167" s="6" t="str" cm="1">
        <f t="array" ref="G3167">IFERROR(INDEX(EmployeeData[Join Date], ROW() - 37), "")</f>
        <v/>
      </c>
      <c r="H3167" s="6" t="str" cm="1">
        <f t="array" ref="H3167">IFERROR(IF(INDEX(EmployeeData[Exit Date], ROW() - 37)=0, "",INDEX(EmployeeData[Exit Date], ROW() - 37)),"")</f>
        <v/>
      </c>
      <c r="I3167" s="4" t="str" cm="1">
        <f t="array" ref="I3167">IFERROR(IF(INDEX(EmployeeData[Exit Reason], ROW() - 37)=0, "",INDEX(EmployeeData[Exit Reason], ROW() - 37)),"")</f>
        <v/>
      </c>
      <c r="J3167" s="4" t="str" cm="1">
        <f t="array" ref="J3167">IFERROR(INDEX(EmployeeData[Status], ROW() - 37), "")</f>
        <v/>
      </c>
    </row>
    <row r="3168" spans="2:10" ht="19.95" customHeight="1" x14ac:dyDescent="0.3">
      <c r="B3168" s="4" t="str" cm="1">
        <f t="array" ref="B3168">IFERROR(INDEX(EmployeeData[Employee ID], ROW() - 37), "")</f>
        <v/>
      </c>
      <c r="C3168" s="4" t="str" cm="1">
        <f t="array" ref="C3168">IFERROR(INDEX(EmployeeData[Full Name], ROW() - 37), "")</f>
        <v/>
      </c>
      <c r="D3168" s="4" t="str" cm="1">
        <f t="array" ref="D3168">IFERROR(INDEX(EmployeeData[Department], ROW() - 37), "")</f>
        <v/>
      </c>
      <c r="E3168" s="4" t="str" cm="1">
        <f t="array" ref="E3168">IFERROR(INDEX(EmployeeData[Gender], ROW() - 37), "")</f>
        <v/>
      </c>
      <c r="F3168" s="4" t="str" cm="1">
        <f t="array" ref="F3168">IFERROR(INDEX(EmployeeData[Age], ROW() - 37), "")</f>
        <v/>
      </c>
      <c r="G3168" s="6" t="str" cm="1">
        <f t="array" ref="G3168">IFERROR(INDEX(EmployeeData[Join Date], ROW() - 37), "")</f>
        <v/>
      </c>
      <c r="H3168" s="6" t="str" cm="1">
        <f t="array" ref="H3168">IFERROR(IF(INDEX(EmployeeData[Exit Date], ROW() - 37)=0, "",INDEX(EmployeeData[Exit Date], ROW() - 37)),"")</f>
        <v/>
      </c>
      <c r="I3168" s="4" t="str" cm="1">
        <f t="array" ref="I3168">IFERROR(IF(INDEX(EmployeeData[Exit Reason], ROW() - 37)=0, "",INDEX(EmployeeData[Exit Reason], ROW() - 37)),"")</f>
        <v/>
      </c>
      <c r="J3168" s="4" t="str" cm="1">
        <f t="array" ref="J3168">IFERROR(INDEX(EmployeeData[Status], ROW() - 37), "")</f>
        <v/>
      </c>
    </row>
    <row r="3169" spans="2:10" ht="19.95" customHeight="1" x14ac:dyDescent="0.3">
      <c r="B3169" s="4" t="str" cm="1">
        <f t="array" ref="B3169">IFERROR(INDEX(EmployeeData[Employee ID], ROW() - 37), "")</f>
        <v/>
      </c>
      <c r="C3169" s="4" t="str" cm="1">
        <f t="array" ref="C3169">IFERROR(INDEX(EmployeeData[Full Name], ROW() - 37), "")</f>
        <v/>
      </c>
      <c r="D3169" s="4" t="str" cm="1">
        <f t="array" ref="D3169">IFERROR(INDEX(EmployeeData[Department], ROW() - 37), "")</f>
        <v/>
      </c>
      <c r="E3169" s="4" t="str" cm="1">
        <f t="array" ref="E3169">IFERROR(INDEX(EmployeeData[Gender], ROW() - 37), "")</f>
        <v/>
      </c>
      <c r="F3169" s="4" t="str" cm="1">
        <f t="array" ref="F3169">IFERROR(INDEX(EmployeeData[Age], ROW() - 37), "")</f>
        <v/>
      </c>
      <c r="G3169" s="6" t="str" cm="1">
        <f t="array" ref="G3169">IFERROR(INDEX(EmployeeData[Join Date], ROW() - 37), "")</f>
        <v/>
      </c>
      <c r="H3169" s="6" t="str" cm="1">
        <f t="array" ref="H3169">IFERROR(IF(INDEX(EmployeeData[Exit Date], ROW() - 37)=0, "",INDEX(EmployeeData[Exit Date], ROW() - 37)),"")</f>
        <v/>
      </c>
      <c r="I3169" s="4" t="str" cm="1">
        <f t="array" ref="I3169">IFERROR(IF(INDEX(EmployeeData[Exit Reason], ROW() - 37)=0, "",INDEX(EmployeeData[Exit Reason], ROW() - 37)),"")</f>
        <v/>
      </c>
      <c r="J3169" s="4" t="str" cm="1">
        <f t="array" ref="J3169">IFERROR(INDEX(EmployeeData[Status], ROW() - 37), "")</f>
        <v/>
      </c>
    </row>
    <row r="3170" spans="2:10" ht="19.95" customHeight="1" x14ac:dyDescent="0.3">
      <c r="B3170" s="4" t="str" cm="1">
        <f t="array" ref="B3170">IFERROR(INDEX(EmployeeData[Employee ID], ROW() - 37), "")</f>
        <v/>
      </c>
      <c r="C3170" s="4" t="str" cm="1">
        <f t="array" ref="C3170">IFERROR(INDEX(EmployeeData[Full Name], ROW() - 37), "")</f>
        <v/>
      </c>
      <c r="D3170" s="4" t="str" cm="1">
        <f t="array" ref="D3170">IFERROR(INDEX(EmployeeData[Department], ROW() - 37), "")</f>
        <v/>
      </c>
      <c r="E3170" s="4" t="str" cm="1">
        <f t="array" ref="E3170">IFERROR(INDEX(EmployeeData[Gender], ROW() - 37), "")</f>
        <v/>
      </c>
      <c r="F3170" s="4" t="str" cm="1">
        <f t="array" ref="F3170">IFERROR(INDEX(EmployeeData[Age], ROW() - 37), "")</f>
        <v/>
      </c>
      <c r="G3170" s="6" t="str" cm="1">
        <f t="array" ref="G3170">IFERROR(INDEX(EmployeeData[Join Date], ROW() - 37), "")</f>
        <v/>
      </c>
      <c r="H3170" s="6" t="str" cm="1">
        <f t="array" ref="H3170">IFERROR(IF(INDEX(EmployeeData[Exit Date], ROW() - 37)=0, "",INDEX(EmployeeData[Exit Date], ROW() - 37)),"")</f>
        <v/>
      </c>
      <c r="I3170" s="4" t="str" cm="1">
        <f t="array" ref="I3170">IFERROR(IF(INDEX(EmployeeData[Exit Reason], ROW() - 37)=0, "",INDEX(EmployeeData[Exit Reason], ROW() - 37)),"")</f>
        <v/>
      </c>
      <c r="J3170" s="4" t="str" cm="1">
        <f t="array" ref="J3170">IFERROR(INDEX(EmployeeData[Status], ROW() - 37), "")</f>
        <v/>
      </c>
    </row>
    <row r="3171" spans="2:10" ht="19.95" customHeight="1" x14ac:dyDescent="0.3">
      <c r="B3171" s="4" t="str" cm="1">
        <f t="array" ref="B3171">IFERROR(INDEX(EmployeeData[Employee ID], ROW() - 37), "")</f>
        <v/>
      </c>
      <c r="C3171" s="4" t="str" cm="1">
        <f t="array" ref="C3171">IFERROR(INDEX(EmployeeData[Full Name], ROW() - 37), "")</f>
        <v/>
      </c>
      <c r="D3171" s="4" t="str" cm="1">
        <f t="array" ref="D3171">IFERROR(INDEX(EmployeeData[Department], ROW() - 37), "")</f>
        <v/>
      </c>
      <c r="E3171" s="4" t="str" cm="1">
        <f t="array" ref="E3171">IFERROR(INDEX(EmployeeData[Gender], ROW() - 37), "")</f>
        <v/>
      </c>
      <c r="F3171" s="4" t="str" cm="1">
        <f t="array" ref="F3171">IFERROR(INDEX(EmployeeData[Age], ROW() - 37), "")</f>
        <v/>
      </c>
      <c r="G3171" s="6" t="str" cm="1">
        <f t="array" ref="G3171">IFERROR(INDEX(EmployeeData[Join Date], ROW() - 37), "")</f>
        <v/>
      </c>
      <c r="H3171" s="6" t="str" cm="1">
        <f t="array" ref="H3171">IFERROR(IF(INDEX(EmployeeData[Exit Date], ROW() - 37)=0, "",INDEX(EmployeeData[Exit Date], ROW() - 37)),"")</f>
        <v/>
      </c>
      <c r="I3171" s="4" t="str" cm="1">
        <f t="array" ref="I3171">IFERROR(IF(INDEX(EmployeeData[Exit Reason], ROW() - 37)=0, "",INDEX(EmployeeData[Exit Reason], ROW() - 37)),"")</f>
        <v/>
      </c>
      <c r="J3171" s="4" t="str" cm="1">
        <f t="array" ref="J3171">IFERROR(INDEX(EmployeeData[Status], ROW() - 37), "")</f>
        <v/>
      </c>
    </row>
    <row r="3172" spans="2:10" ht="19.95" customHeight="1" x14ac:dyDescent="0.3">
      <c r="B3172" s="4" t="str" cm="1">
        <f t="array" ref="B3172">IFERROR(INDEX(EmployeeData[Employee ID], ROW() - 37), "")</f>
        <v/>
      </c>
      <c r="C3172" s="4" t="str" cm="1">
        <f t="array" ref="C3172">IFERROR(INDEX(EmployeeData[Full Name], ROW() - 37), "")</f>
        <v/>
      </c>
      <c r="D3172" s="4" t="str" cm="1">
        <f t="array" ref="D3172">IFERROR(INDEX(EmployeeData[Department], ROW() - 37), "")</f>
        <v/>
      </c>
      <c r="E3172" s="4" t="str" cm="1">
        <f t="array" ref="E3172">IFERROR(INDEX(EmployeeData[Gender], ROW() - 37), "")</f>
        <v/>
      </c>
      <c r="F3172" s="4" t="str" cm="1">
        <f t="array" ref="F3172">IFERROR(INDEX(EmployeeData[Age], ROW() - 37), "")</f>
        <v/>
      </c>
      <c r="G3172" s="6" t="str" cm="1">
        <f t="array" ref="G3172">IFERROR(INDEX(EmployeeData[Join Date], ROW() - 37), "")</f>
        <v/>
      </c>
      <c r="H3172" s="6" t="str" cm="1">
        <f t="array" ref="H3172">IFERROR(IF(INDEX(EmployeeData[Exit Date], ROW() - 37)=0, "",INDEX(EmployeeData[Exit Date], ROW() - 37)),"")</f>
        <v/>
      </c>
      <c r="I3172" s="4" t="str" cm="1">
        <f t="array" ref="I3172">IFERROR(IF(INDEX(EmployeeData[Exit Reason], ROW() - 37)=0, "",INDEX(EmployeeData[Exit Reason], ROW() - 37)),"")</f>
        <v/>
      </c>
      <c r="J3172" s="4" t="str" cm="1">
        <f t="array" ref="J3172">IFERROR(INDEX(EmployeeData[Status], ROW() - 37), "")</f>
        <v/>
      </c>
    </row>
    <row r="3173" spans="2:10" ht="19.95" customHeight="1" x14ac:dyDescent="0.3">
      <c r="B3173" s="4" t="str" cm="1">
        <f t="array" ref="B3173">IFERROR(INDEX(EmployeeData[Employee ID], ROW() - 37), "")</f>
        <v/>
      </c>
      <c r="C3173" s="4" t="str" cm="1">
        <f t="array" ref="C3173">IFERROR(INDEX(EmployeeData[Full Name], ROW() - 37), "")</f>
        <v/>
      </c>
      <c r="D3173" s="4" t="str" cm="1">
        <f t="array" ref="D3173">IFERROR(INDEX(EmployeeData[Department], ROW() - 37), "")</f>
        <v/>
      </c>
      <c r="E3173" s="4" t="str" cm="1">
        <f t="array" ref="E3173">IFERROR(INDEX(EmployeeData[Gender], ROW() - 37), "")</f>
        <v/>
      </c>
      <c r="F3173" s="4" t="str" cm="1">
        <f t="array" ref="F3173">IFERROR(INDEX(EmployeeData[Age], ROW() - 37), "")</f>
        <v/>
      </c>
      <c r="G3173" s="6" t="str" cm="1">
        <f t="array" ref="G3173">IFERROR(INDEX(EmployeeData[Join Date], ROW() - 37), "")</f>
        <v/>
      </c>
      <c r="H3173" s="6" t="str" cm="1">
        <f t="array" ref="H3173">IFERROR(IF(INDEX(EmployeeData[Exit Date], ROW() - 37)=0, "",INDEX(EmployeeData[Exit Date], ROW() - 37)),"")</f>
        <v/>
      </c>
      <c r="I3173" s="4" t="str" cm="1">
        <f t="array" ref="I3173">IFERROR(IF(INDEX(EmployeeData[Exit Reason], ROW() - 37)=0, "",INDEX(EmployeeData[Exit Reason], ROW() - 37)),"")</f>
        <v/>
      </c>
      <c r="J3173" s="4" t="str" cm="1">
        <f t="array" ref="J3173">IFERROR(INDEX(EmployeeData[Status], ROW() - 37), "")</f>
        <v/>
      </c>
    </row>
    <row r="3174" spans="2:10" ht="19.95" customHeight="1" x14ac:dyDescent="0.3">
      <c r="B3174" s="4" t="str" cm="1">
        <f t="array" ref="B3174">IFERROR(INDEX(EmployeeData[Employee ID], ROW() - 37), "")</f>
        <v/>
      </c>
      <c r="C3174" s="4" t="str" cm="1">
        <f t="array" ref="C3174">IFERROR(INDEX(EmployeeData[Full Name], ROW() - 37), "")</f>
        <v/>
      </c>
      <c r="D3174" s="4" t="str" cm="1">
        <f t="array" ref="D3174">IFERROR(INDEX(EmployeeData[Department], ROW() - 37), "")</f>
        <v/>
      </c>
      <c r="E3174" s="4" t="str" cm="1">
        <f t="array" ref="E3174">IFERROR(INDEX(EmployeeData[Gender], ROW() - 37), "")</f>
        <v/>
      </c>
      <c r="F3174" s="4" t="str" cm="1">
        <f t="array" ref="F3174">IFERROR(INDEX(EmployeeData[Age], ROW() - 37), "")</f>
        <v/>
      </c>
      <c r="G3174" s="6" t="str" cm="1">
        <f t="array" ref="G3174">IFERROR(INDEX(EmployeeData[Join Date], ROW() - 37), "")</f>
        <v/>
      </c>
      <c r="H3174" s="6" t="str" cm="1">
        <f t="array" ref="H3174">IFERROR(IF(INDEX(EmployeeData[Exit Date], ROW() - 37)=0, "",INDEX(EmployeeData[Exit Date], ROW() - 37)),"")</f>
        <v/>
      </c>
      <c r="I3174" s="4" t="str" cm="1">
        <f t="array" ref="I3174">IFERROR(IF(INDEX(EmployeeData[Exit Reason], ROW() - 37)=0, "",INDEX(EmployeeData[Exit Reason], ROW() - 37)),"")</f>
        <v/>
      </c>
      <c r="J3174" s="4" t="str" cm="1">
        <f t="array" ref="J3174">IFERROR(INDEX(EmployeeData[Status], ROW() - 37), "")</f>
        <v/>
      </c>
    </row>
    <row r="3175" spans="2:10" ht="19.95" customHeight="1" x14ac:dyDescent="0.3">
      <c r="B3175" s="4" t="str" cm="1">
        <f t="array" ref="B3175">IFERROR(INDEX(EmployeeData[Employee ID], ROW() - 37), "")</f>
        <v/>
      </c>
      <c r="C3175" s="4" t="str" cm="1">
        <f t="array" ref="C3175">IFERROR(INDEX(EmployeeData[Full Name], ROW() - 37), "")</f>
        <v/>
      </c>
      <c r="D3175" s="4" t="str" cm="1">
        <f t="array" ref="D3175">IFERROR(INDEX(EmployeeData[Department], ROW() - 37), "")</f>
        <v/>
      </c>
      <c r="E3175" s="4" t="str" cm="1">
        <f t="array" ref="E3175">IFERROR(INDEX(EmployeeData[Gender], ROW() - 37), "")</f>
        <v/>
      </c>
      <c r="F3175" s="4" t="str" cm="1">
        <f t="array" ref="F3175">IFERROR(INDEX(EmployeeData[Age], ROW() - 37), "")</f>
        <v/>
      </c>
      <c r="G3175" s="6" t="str" cm="1">
        <f t="array" ref="G3175">IFERROR(INDEX(EmployeeData[Join Date], ROW() - 37), "")</f>
        <v/>
      </c>
      <c r="H3175" s="6" t="str" cm="1">
        <f t="array" ref="H3175">IFERROR(IF(INDEX(EmployeeData[Exit Date], ROW() - 37)=0, "",INDEX(EmployeeData[Exit Date], ROW() - 37)),"")</f>
        <v/>
      </c>
      <c r="I3175" s="4" t="str" cm="1">
        <f t="array" ref="I3175">IFERROR(IF(INDEX(EmployeeData[Exit Reason], ROW() - 37)=0, "",INDEX(EmployeeData[Exit Reason], ROW() - 37)),"")</f>
        <v/>
      </c>
      <c r="J3175" s="4" t="str" cm="1">
        <f t="array" ref="J3175">IFERROR(INDEX(EmployeeData[Status], ROW() - 37), "")</f>
        <v/>
      </c>
    </row>
    <row r="3176" spans="2:10" ht="19.95" customHeight="1" x14ac:dyDescent="0.3">
      <c r="B3176" s="4" t="str" cm="1">
        <f t="array" ref="B3176">IFERROR(INDEX(EmployeeData[Employee ID], ROW() - 37), "")</f>
        <v/>
      </c>
      <c r="C3176" s="4" t="str" cm="1">
        <f t="array" ref="C3176">IFERROR(INDEX(EmployeeData[Full Name], ROW() - 37), "")</f>
        <v/>
      </c>
      <c r="D3176" s="4" t="str" cm="1">
        <f t="array" ref="D3176">IFERROR(INDEX(EmployeeData[Department], ROW() - 37), "")</f>
        <v/>
      </c>
      <c r="E3176" s="4" t="str" cm="1">
        <f t="array" ref="E3176">IFERROR(INDEX(EmployeeData[Gender], ROW() - 37), "")</f>
        <v/>
      </c>
      <c r="F3176" s="4" t="str" cm="1">
        <f t="array" ref="F3176">IFERROR(INDEX(EmployeeData[Age], ROW() - 37), "")</f>
        <v/>
      </c>
      <c r="G3176" s="6" t="str" cm="1">
        <f t="array" ref="G3176">IFERROR(INDEX(EmployeeData[Join Date], ROW() - 37), "")</f>
        <v/>
      </c>
      <c r="H3176" s="6" t="str" cm="1">
        <f t="array" ref="H3176">IFERROR(IF(INDEX(EmployeeData[Exit Date], ROW() - 37)=0, "",INDEX(EmployeeData[Exit Date], ROW() - 37)),"")</f>
        <v/>
      </c>
      <c r="I3176" s="4" t="str" cm="1">
        <f t="array" ref="I3176">IFERROR(IF(INDEX(EmployeeData[Exit Reason], ROW() - 37)=0, "",INDEX(EmployeeData[Exit Reason], ROW() - 37)),"")</f>
        <v/>
      </c>
      <c r="J3176" s="4" t="str" cm="1">
        <f t="array" ref="J3176">IFERROR(INDEX(EmployeeData[Status], ROW() - 37), "")</f>
        <v/>
      </c>
    </row>
    <row r="3177" spans="2:10" ht="19.95" customHeight="1" x14ac:dyDescent="0.3">
      <c r="B3177" s="4" t="str" cm="1">
        <f t="array" ref="B3177">IFERROR(INDEX(EmployeeData[Employee ID], ROW() - 37), "")</f>
        <v/>
      </c>
      <c r="C3177" s="4" t="str" cm="1">
        <f t="array" ref="C3177">IFERROR(INDEX(EmployeeData[Full Name], ROW() - 37), "")</f>
        <v/>
      </c>
      <c r="D3177" s="4" t="str" cm="1">
        <f t="array" ref="D3177">IFERROR(INDEX(EmployeeData[Department], ROW() - 37), "")</f>
        <v/>
      </c>
      <c r="E3177" s="4" t="str" cm="1">
        <f t="array" ref="E3177">IFERROR(INDEX(EmployeeData[Gender], ROW() - 37), "")</f>
        <v/>
      </c>
      <c r="F3177" s="4" t="str" cm="1">
        <f t="array" ref="F3177">IFERROR(INDEX(EmployeeData[Age], ROW() - 37), "")</f>
        <v/>
      </c>
      <c r="G3177" s="6" t="str" cm="1">
        <f t="array" ref="G3177">IFERROR(INDEX(EmployeeData[Join Date], ROW() - 37), "")</f>
        <v/>
      </c>
      <c r="H3177" s="6" t="str" cm="1">
        <f t="array" ref="H3177">IFERROR(IF(INDEX(EmployeeData[Exit Date], ROW() - 37)=0, "",INDEX(EmployeeData[Exit Date], ROW() - 37)),"")</f>
        <v/>
      </c>
      <c r="I3177" s="4" t="str" cm="1">
        <f t="array" ref="I3177">IFERROR(IF(INDEX(EmployeeData[Exit Reason], ROW() - 37)=0, "",INDEX(EmployeeData[Exit Reason], ROW() - 37)),"")</f>
        <v/>
      </c>
      <c r="J3177" s="4" t="str" cm="1">
        <f t="array" ref="J3177">IFERROR(INDEX(EmployeeData[Status], ROW() - 37), "")</f>
        <v/>
      </c>
    </row>
    <row r="3178" spans="2:10" ht="19.95" customHeight="1" x14ac:dyDescent="0.3">
      <c r="B3178" s="4" t="str" cm="1">
        <f t="array" ref="B3178">IFERROR(INDEX(EmployeeData[Employee ID], ROW() - 37), "")</f>
        <v/>
      </c>
      <c r="C3178" s="4" t="str" cm="1">
        <f t="array" ref="C3178">IFERROR(INDEX(EmployeeData[Full Name], ROW() - 37), "")</f>
        <v/>
      </c>
      <c r="D3178" s="4" t="str" cm="1">
        <f t="array" ref="D3178">IFERROR(INDEX(EmployeeData[Department], ROW() - 37), "")</f>
        <v/>
      </c>
      <c r="E3178" s="4" t="str" cm="1">
        <f t="array" ref="E3178">IFERROR(INDEX(EmployeeData[Gender], ROW() - 37), "")</f>
        <v/>
      </c>
      <c r="F3178" s="4" t="str" cm="1">
        <f t="array" ref="F3178">IFERROR(INDEX(EmployeeData[Age], ROW() - 37), "")</f>
        <v/>
      </c>
      <c r="G3178" s="6" t="str" cm="1">
        <f t="array" ref="G3178">IFERROR(INDEX(EmployeeData[Join Date], ROW() - 37), "")</f>
        <v/>
      </c>
      <c r="H3178" s="6" t="str" cm="1">
        <f t="array" ref="H3178">IFERROR(IF(INDEX(EmployeeData[Exit Date], ROW() - 37)=0, "",INDEX(EmployeeData[Exit Date], ROW() - 37)),"")</f>
        <v/>
      </c>
      <c r="I3178" s="4" t="str" cm="1">
        <f t="array" ref="I3178">IFERROR(IF(INDEX(EmployeeData[Exit Reason], ROW() - 37)=0, "",INDEX(EmployeeData[Exit Reason], ROW() - 37)),"")</f>
        <v/>
      </c>
      <c r="J3178" s="4" t="str" cm="1">
        <f t="array" ref="J3178">IFERROR(INDEX(EmployeeData[Status], ROW() - 37), "")</f>
        <v/>
      </c>
    </row>
    <row r="3179" spans="2:10" ht="19.95" customHeight="1" x14ac:dyDescent="0.3">
      <c r="B3179" s="4" t="str" cm="1">
        <f t="array" ref="B3179">IFERROR(INDEX(EmployeeData[Employee ID], ROW() - 37), "")</f>
        <v/>
      </c>
      <c r="C3179" s="4" t="str" cm="1">
        <f t="array" ref="C3179">IFERROR(INDEX(EmployeeData[Full Name], ROW() - 37), "")</f>
        <v/>
      </c>
      <c r="D3179" s="4" t="str" cm="1">
        <f t="array" ref="D3179">IFERROR(INDEX(EmployeeData[Department], ROW() - 37), "")</f>
        <v/>
      </c>
      <c r="E3179" s="4" t="str" cm="1">
        <f t="array" ref="E3179">IFERROR(INDEX(EmployeeData[Gender], ROW() - 37), "")</f>
        <v/>
      </c>
      <c r="F3179" s="4" t="str" cm="1">
        <f t="array" ref="F3179">IFERROR(INDEX(EmployeeData[Age], ROW() - 37), "")</f>
        <v/>
      </c>
      <c r="G3179" s="6" t="str" cm="1">
        <f t="array" ref="G3179">IFERROR(INDEX(EmployeeData[Join Date], ROW() - 37), "")</f>
        <v/>
      </c>
      <c r="H3179" s="6" t="str" cm="1">
        <f t="array" ref="H3179">IFERROR(IF(INDEX(EmployeeData[Exit Date], ROW() - 37)=0, "",INDEX(EmployeeData[Exit Date], ROW() - 37)),"")</f>
        <v/>
      </c>
      <c r="I3179" s="4" t="str" cm="1">
        <f t="array" ref="I3179">IFERROR(IF(INDEX(EmployeeData[Exit Reason], ROW() - 37)=0, "",INDEX(EmployeeData[Exit Reason], ROW() - 37)),"")</f>
        <v/>
      </c>
      <c r="J3179" s="4" t="str" cm="1">
        <f t="array" ref="J3179">IFERROR(INDEX(EmployeeData[Status], ROW() - 37), "")</f>
        <v/>
      </c>
    </row>
    <row r="3180" spans="2:10" ht="19.95" customHeight="1" x14ac:dyDescent="0.3">
      <c r="B3180" s="4" t="str" cm="1">
        <f t="array" ref="B3180">IFERROR(INDEX(EmployeeData[Employee ID], ROW() - 37), "")</f>
        <v/>
      </c>
      <c r="C3180" s="4" t="str" cm="1">
        <f t="array" ref="C3180">IFERROR(INDEX(EmployeeData[Full Name], ROW() - 37), "")</f>
        <v/>
      </c>
      <c r="D3180" s="4" t="str" cm="1">
        <f t="array" ref="D3180">IFERROR(INDEX(EmployeeData[Department], ROW() - 37), "")</f>
        <v/>
      </c>
      <c r="E3180" s="4" t="str" cm="1">
        <f t="array" ref="E3180">IFERROR(INDEX(EmployeeData[Gender], ROW() - 37), "")</f>
        <v/>
      </c>
      <c r="F3180" s="4" t="str" cm="1">
        <f t="array" ref="F3180">IFERROR(INDEX(EmployeeData[Age], ROW() - 37), "")</f>
        <v/>
      </c>
      <c r="G3180" s="6" t="str" cm="1">
        <f t="array" ref="G3180">IFERROR(INDEX(EmployeeData[Join Date], ROW() - 37), "")</f>
        <v/>
      </c>
      <c r="H3180" s="6" t="str" cm="1">
        <f t="array" ref="H3180">IFERROR(IF(INDEX(EmployeeData[Exit Date], ROW() - 37)=0, "",INDEX(EmployeeData[Exit Date], ROW() - 37)),"")</f>
        <v/>
      </c>
      <c r="I3180" s="4" t="str" cm="1">
        <f t="array" ref="I3180">IFERROR(IF(INDEX(EmployeeData[Exit Reason], ROW() - 37)=0, "",INDEX(EmployeeData[Exit Reason], ROW() - 37)),"")</f>
        <v/>
      </c>
      <c r="J3180" s="4" t="str" cm="1">
        <f t="array" ref="J3180">IFERROR(INDEX(EmployeeData[Status], ROW() - 37), "")</f>
        <v/>
      </c>
    </row>
    <row r="3181" spans="2:10" ht="19.95" customHeight="1" x14ac:dyDescent="0.3">
      <c r="B3181" s="4" t="str" cm="1">
        <f t="array" ref="B3181">IFERROR(INDEX(EmployeeData[Employee ID], ROW() - 37), "")</f>
        <v/>
      </c>
      <c r="C3181" s="4" t="str" cm="1">
        <f t="array" ref="C3181">IFERROR(INDEX(EmployeeData[Full Name], ROW() - 37), "")</f>
        <v/>
      </c>
      <c r="D3181" s="4" t="str" cm="1">
        <f t="array" ref="D3181">IFERROR(INDEX(EmployeeData[Department], ROW() - 37), "")</f>
        <v/>
      </c>
      <c r="E3181" s="4" t="str" cm="1">
        <f t="array" ref="E3181">IFERROR(INDEX(EmployeeData[Gender], ROW() - 37), "")</f>
        <v/>
      </c>
      <c r="F3181" s="4" t="str" cm="1">
        <f t="array" ref="F3181">IFERROR(INDEX(EmployeeData[Age], ROW() - 37), "")</f>
        <v/>
      </c>
      <c r="G3181" s="6" t="str" cm="1">
        <f t="array" ref="G3181">IFERROR(INDEX(EmployeeData[Join Date], ROW() - 37), "")</f>
        <v/>
      </c>
      <c r="H3181" s="6" t="str" cm="1">
        <f t="array" ref="H3181">IFERROR(IF(INDEX(EmployeeData[Exit Date], ROW() - 37)=0, "",INDEX(EmployeeData[Exit Date], ROW() - 37)),"")</f>
        <v/>
      </c>
      <c r="I3181" s="4" t="str" cm="1">
        <f t="array" ref="I3181">IFERROR(IF(INDEX(EmployeeData[Exit Reason], ROW() - 37)=0, "",INDEX(EmployeeData[Exit Reason], ROW() - 37)),"")</f>
        <v/>
      </c>
      <c r="J3181" s="4" t="str" cm="1">
        <f t="array" ref="J3181">IFERROR(INDEX(EmployeeData[Status], ROW() - 37), "")</f>
        <v/>
      </c>
    </row>
    <row r="3182" spans="2:10" ht="19.95" customHeight="1" x14ac:dyDescent="0.3">
      <c r="B3182" s="4" t="str" cm="1">
        <f t="array" ref="B3182">IFERROR(INDEX(EmployeeData[Employee ID], ROW() - 37), "")</f>
        <v/>
      </c>
      <c r="C3182" s="4" t="str" cm="1">
        <f t="array" ref="C3182">IFERROR(INDEX(EmployeeData[Full Name], ROW() - 37), "")</f>
        <v/>
      </c>
      <c r="D3182" s="4" t="str" cm="1">
        <f t="array" ref="D3182">IFERROR(INDEX(EmployeeData[Department], ROW() - 37), "")</f>
        <v/>
      </c>
      <c r="E3182" s="4" t="str" cm="1">
        <f t="array" ref="E3182">IFERROR(INDEX(EmployeeData[Gender], ROW() - 37), "")</f>
        <v/>
      </c>
      <c r="F3182" s="4" t="str" cm="1">
        <f t="array" ref="F3182">IFERROR(INDEX(EmployeeData[Age], ROW() - 37), "")</f>
        <v/>
      </c>
      <c r="G3182" s="6" t="str" cm="1">
        <f t="array" ref="G3182">IFERROR(INDEX(EmployeeData[Join Date], ROW() - 37), "")</f>
        <v/>
      </c>
      <c r="H3182" s="6" t="str" cm="1">
        <f t="array" ref="H3182">IFERROR(IF(INDEX(EmployeeData[Exit Date], ROW() - 37)=0, "",INDEX(EmployeeData[Exit Date], ROW() - 37)),"")</f>
        <v/>
      </c>
      <c r="I3182" s="4" t="str" cm="1">
        <f t="array" ref="I3182">IFERROR(IF(INDEX(EmployeeData[Exit Reason], ROW() - 37)=0, "",INDEX(EmployeeData[Exit Reason], ROW() - 37)),"")</f>
        <v/>
      </c>
      <c r="J3182" s="4" t="str" cm="1">
        <f t="array" ref="J3182">IFERROR(INDEX(EmployeeData[Status], ROW() - 37), "")</f>
        <v/>
      </c>
    </row>
    <row r="3183" spans="2:10" ht="19.95" customHeight="1" x14ac:dyDescent="0.3">
      <c r="B3183" s="4" t="str" cm="1">
        <f t="array" ref="B3183">IFERROR(INDEX(EmployeeData[Employee ID], ROW() - 37), "")</f>
        <v/>
      </c>
      <c r="C3183" s="4" t="str" cm="1">
        <f t="array" ref="C3183">IFERROR(INDEX(EmployeeData[Full Name], ROW() - 37), "")</f>
        <v/>
      </c>
      <c r="D3183" s="4" t="str" cm="1">
        <f t="array" ref="D3183">IFERROR(INDEX(EmployeeData[Department], ROW() - 37), "")</f>
        <v/>
      </c>
      <c r="E3183" s="4" t="str" cm="1">
        <f t="array" ref="E3183">IFERROR(INDEX(EmployeeData[Gender], ROW() - 37), "")</f>
        <v/>
      </c>
      <c r="F3183" s="4" t="str" cm="1">
        <f t="array" ref="F3183">IFERROR(INDEX(EmployeeData[Age], ROW() - 37), "")</f>
        <v/>
      </c>
      <c r="G3183" s="6" t="str" cm="1">
        <f t="array" ref="G3183">IFERROR(INDEX(EmployeeData[Join Date], ROW() - 37), "")</f>
        <v/>
      </c>
      <c r="H3183" s="6" t="str" cm="1">
        <f t="array" ref="H3183">IFERROR(IF(INDEX(EmployeeData[Exit Date], ROW() - 37)=0, "",INDEX(EmployeeData[Exit Date], ROW() - 37)),"")</f>
        <v/>
      </c>
      <c r="I3183" s="4" t="str" cm="1">
        <f t="array" ref="I3183">IFERROR(IF(INDEX(EmployeeData[Exit Reason], ROW() - 37)=0, "",INDEX(EmployeeData[Exit Reason], ROW() - 37)),"")</f>
        <v/>
      </c>
      <c r="J3183" s="4" t="str" cm="1">
        <f t="array" ref="J3183">IFERROR(INDEX(EmployeeData[Status], ROW() - 37), "")</f>
        <v/>
      </c>
    </row>
    <row r="3184" spans="2:10" ht="19.95" customHeight="1" x14ac:dyDescent="0.3">
      <c r="B3184" s="4" t="str" cm="1">
        <f t="array" ref="B3184">IFERROR(INDEX(EmployeeData[Employee ID], ROW() - 37), "")</f>
        <v/>
      </c>
      <c r="C3184" s="4" t="str" cm="1">
        <f t="array" ref="C3184">IFERROR(INDEX(EmployeeData[Full Name], ROW() - 37), "")</f>
        <v/>
      </c>
      <c r="D3184" s="4" t="str" cm="1">
        <f t="array" ref="D3184">IFERROR(INDEX(EmployeeData[Department], ROW() - 37), "")</f>
        <v/>
      </c>
      <c r="E3184" s="4" t="str" cm="1">
        <f t="array" ref="E3184">IFERROR(INDEX(EmployeeData[Gender], ROW() - 37), "")</f>
        <v/>
      </c>
      <c r="F3184" s="4" t="str" cm="1">
        <f t="array" ref="F3184">IFERROR(INDEX(EmployeeData[Age], ROW() - 37), "")</f>
        <v/>
      </c>
      <c r="G3184" s="6" t="str" cm="1">
        <f t="array" ref="G3184">IFERROR(INDEX(EmployeeData[Join Date], ROW() - 37), "")</f>
        <v/>
      </c>
      <c r="H3184" s="6" t="str" cm="1">
        <f t="array" ref="H3184">IFERROR(IF(INDEX(EmployeeData[Exit Date], ROW() - 37)=0, "",INDEX(EmployeeData[Exit Date], ROW() - 37)),"")</f>
        <v/>
      </c>
      <c r="I3184" s="4" t="str" cm="1">
        <f t="array" ref="I3184">IFERROR(IF(INDEX(EmployeeData[Exit Reason], ROW() - 37)=0, "",INDEX(EmployeeData[Exit Reason], ROW() - 37)),"")</f>
        <v/>
      </c>
      <c r="J3184" s="4" t="str" cm="1">
        <f t="array" ref="J3184">IFERROR(INDEX(EmployeeData[Status], ROW() - 37), "")</f>
        <v/>
      </c>
    </row>
    <row r="3185" spans="2:10" ht="19.95" customHeight="1" x14ac:dyDescent="0.3">
      <c r="B3185" s="4" t="str" cm="1">
        <f t="array" ref="B3185">IFERROR(INDEX(EmployeeData[Employee ID], ROW() - 37), "")</f>
        <v/>
      </c>
      <c r="C3185" s="4" t="str" cm="1">
        <f t="array" ref="C3185">IFERROR(INDEX(EmployeeData[Full Name], ROW() - 37), "")</f>
        <v/>
      </c>
      <c r="D3185" s="4" t="str" cm="1">
        <f t="array" ref="D3185">IFERROR(INDEX(EmployeeData[Department], ROW() - 37), "")</f>
        <v/>
      </c>
      <c r="E3185" s="4" t="str" cm="1">
        <f t="array" ref="E3185">IFERROR(INDEX(EmployeeData[Gender], ROW() - 37), "")</f>
        <v/>
      </c>
      <c r="F3185" s="4" t="str" cm="1">
        <f t="array" ref="F3185">IFERROR(INDEX(EmployeeData[Age], ROW() - 37), "")</f>
        <v/>
      </c>
      <c r="G3185" s="6" t="str" cm="1">
        <f t="array" ref="G3185">IFERROR(INDEX(EmployeeData[Join Date], ROW() - 37), "")</f>
        <v/>
      </c>
      <c r="H3185" s="6" t="str" cm="1">
        <f t="array" ref="H3185">IFERROR(IF(INDEX(EmployeeData[Exit Date], ROW() - 37)=0, "",INDEX(EmployeeData[Exit Date], ROW() - 37)),"")</f>
        <v/>
      </c>
      <c r="I3185" s="4" t="str" cm="1">
        <f t="array" ref="I3185">IFERROR(IF(INDEX(EmployeeData[Exit Reason], ROW() - 37)=0, "",INDEX(EmployeeData[Exit Reason], ROW() - 37)),"")</f>
        <v/>
      </c>
      <c r="J3185" s="4" t="str" cm="1">
        <f t="array" ref="J3185">IFERROR(INDEX(EmployeeData[Status], ROW() - 37), "")</f>
        <v/>
      </c>
    </row>
    <row r="3186" spans="2:10" ht="19.95" customHeight="1" x14ac:dyDescent="0.3">
      <c r="B3186" s="4" t="str" cm="1">
        <f t="array" ref="B3186">IFERROR(INDEX(EmployeeData[Employee ID], ROW() - 37), "")</f>
        <v/>
      </c>
      <c r="C3186" s="4" t="str" cm="1">
        <f t="array" ref="C3186">IFERROR(INDEX(EmployeeData[Full Name], ROW() - 37), "")</f>
        <v/>
      </c>
      <c r="D3186" s="4" t="str" cm="1">
        <f t="array" ref="D3186">IFERROR(INDEX(EmployeeData[Department], ROW() - 37), "")</f>
        <v/>
      </c>
      <c r="E3186" s="4" t="str" cm="1">
        <f t="array" ref="E3186">IFERROR(INDEX(EmployeeData[Gender], ROW() - 37), "")</f>
        <v/>
      </c>
      <c r="F3186" s="4" t="str" cm="1">
        <f t="array" ref="F3186">IFERROR(INDEX(EmployeeData[Age], ROW() - 37), "")</f>
        <v/>
      </c>
      <c r="G3186" s="6" t="str" cm="1">
        <f t="array" ref="G3186">IFERROR(INDEX(EmployeeData[Join Date], ROW() - 37), "")</f>
        <v/>
      </c>
      <c r="H3186" s="6" t="str" cm="1">
        <f t="array" ref="H3186">IFERROR(IF(INDEX(EmployeeData[Exit Date], ROW() - 37)=0, "",INDEX(EmployeeData[Exit Date], ROW() - 37)),"")</f>
        <v/>
      </c>
      <c r="I3186" s="4" t="str" cm="1">
        <f t="array" ref="I3186">IFERROR(IF(INDEX(EmployeeData[Exit Reason], ROW() - 37)=0, "",INDEX(EmployeeData[Exit Reason], ROW() - 37)),"")</f>
        <v/>
      </c>
      <c r="J3186" s="4" t="str" cm="1">
        <f t="array" ref="J3186">IFERROR(INDEX(EmployeeData[Status], ROW() - 37), "")</f>
        <v/>
      </c>
    </row>
    <row r="3187" spans="2:10" ht="19.95" customHeight="1" x14ac:dyDescent="0.3">
      <c r="B3187" s="4" t="str" cm="1">
        <f t="array" ref="B3187">IFERROR(INDEX(EmployeeData[Employee ID], ROW() - 37), "")</f>
        <v/>
      </c>
      <c r="C3187" s="4" t="str" cm="1">
        <f t="array" ref="C3187">IFERROR(INDEX(EmployeeData[Full Name], ROW() - 37), "")</f>
        <v/>
      </c>
      <c r="D3187" s="4" t="str" cm="1">
        <f t="array" ref="D3187">IFERROR(INDEX(EmployeeData[Department], ROW() - 37), "")</f>
        <v/>
      </c>
      <c r="E3187" s="4" t="str" cm="1">
        <f t="array" ref="E3187">IFERROR(INDEX(EmployeeData[Gender], ROW() - 37), "")</f>
        <v/>
      </c>
      <c r="F3187" s="4" t="str" cm="1">
        <f t="array" ref="F3187">IFERROR(INDEX(EmployeeData[Age], ROW() - 37), "")</f>
        <v/>
      </c>
      <c r="G3187" s="6" t="str" cm="1">
        <f t="array" ref="G3187">IFERROR(INDEX(EmployeeData[Join Date], ROW() - 37), "")</f>
        <v/>
      </c>
      <c r="H3187" s="6" t="str" cm="1">
        <f t="array" ref="H3187">IFERROR(IF(INDEX(EmployeeData[Exit Date], ROW() - 37)=0, "",INDEX(EmployeeData[Exit Date], ROW() - 37)),"")</f>
        <v/>
      </c>
      <c r="I3187" s="4" t="str" cm="1">
        <f t="array" ref="I3187">IFERROR(IF(INDEX(EmployeeData[Exit Reason], ROW() - 37)=0, "",INDEX(EmployeeData[Exit Reason], ROW() - 37)),"")</f>
        <v/>
      </c>
      <c r="J3187" s="4" t="str" cm="1">
        <f t="array" ref="J3187">IFERROR(INDEX(EmployeeData[Status], ROW() - 37), "")</f>
        <v/>
      </c>
    </row>
    <row r="3188" spans="2:10" ht="19.95" customHeight="1" x14ac:dyDescent="0.3">
      <c r="B3188" s="4" t="str" cm="1">
        <f t="array" ref="B3188">IFERROR(INDEX(EmployeeData[Employee ID], ROW() - 37), "")</f>
        <v/>
      </c>
      <c r="C3188" s="4" t="str" cm="1">
        <f t="array" ref="C3188">IFERROR(INDEX(EmployeeData[Full Name], ROW() - 37), "")</f>
        <v/>
      </c>
      <c r="D3188" s="4" t="str" cm="1">
        <f t="array" ref="D3188">IFERROR(INDEX(EmployeeData[Department], ROW() - 37), "")</f>
        <v/>
      </c>
      <c r="E3188" s="4" t="str" cm="1">
        <f t="array" ref="E3188">IFERROR(INDEX(EmployeeData[Gender], ROW() - 37), "")</f>
        <v/>
      </c>
      <c r="F3188" s="4" t="str" cm="1">
        <f t="array" ref="F3188">IFERROR(INDEX(EmployeeData[Age], ROW() - 37), "")</f>
        <v/>
      </c>
      <c r="G3188" s="6" t="str" cm="1">
        <f t="array" ref="G3188">IFERROR(INDEX(EmployeeData[Join Date], ROW() - 37), "")</f>
        <v/>
      </c>
      <c r="H3188" s="6" t="str" cm="1">
        <f t="array" ref="H3188">IFERROR(IF(INDEX(EmployeeData[Exit Date], ROW() - 37)=0, "",INDEX(EmployeeData[Exit Date], ROW() - 37)),"")</f>
        <v/>
      </c>
      <c r="I3188" s="4" t="str" cm="1">
        <f t="array" ref="I3188">IFERROR(IF(INDEX(EmployeeData[Exit Reason], ROW() - 37)=0, "",INDEX(EmployeeData[Exit Reason], ROW() - 37)),"")</f>
        <v/>
      </c>
      <c r="J3188" s="4" t="str" cm="1">
        <f t="array" ref="J3188">IFERROR(INDEX(EmployeeData[Status], ROW() - 37), "")</f>
        <v/>
      </c>
    </row>
    <row r="3189" spans="2:10" ht="19.95" customHeight="1" x14ac:dyDescent="0.3">
      <c r="B3189" s="4" t="str" cm="1">
        <f t="array" ref="B3189">IFERROR(INDEX(EmployeeData[Employee ID], ROW() - 37), "")</f>
        <v/>
      </c>
      <c r="C3189" s="4" t="str" cm="1">
        <f t="array" ref="C3189">IFERROR(INDEX(EmployeeData[Full Name], ROW() - 37), "")</f>
        <v/>
      </c>
      <c r="D3189" s="4" t="str" cm="1">
        <f t="array" ref="D3189">IFERROR(INDEX(EmployeeData[Department], ROW() - 37), "")</f>
        <v/>
      </c>
      <c r="E3189" s="4" t="str" cm="1">
        <f t="array" ref="E3189">IFERROR(INDEX(EmployeeData[Gender], ROW() - 37), "")</f>
        <v/>
      </c>
      <c r="F3189" s="4" t="str" cm="1">
        <f t="array" ref="F3189">IFERROR(INDEX(EmployeeData[Age], ROW() - 37), "")</f>
        <v/>
      </c>
      <c r="G3189" s="6" t="str" cm="1">
        <f t="array" ref="G3189">IFERROR(INDEX(EmployeeData[Join Date], ROW() - 37), "")</f>
        <v/>
      </c>
      <c r="H3189" s="6" t="str" cm="1">
        <f t="array" ref="H3189">IFERROR(IF(INDEX(EmployeeData[Exit Date], ROW() - 37)=0, "",INDEX(EmployeeData[Exit Date], ROW() - 37)),"")</f>
        <v/>
      </c>
      <c r="I3189" s="4" t="str" cm="1">
        <f t="array" ref="I3189">IFERROR(IF(INDEX(EmployeeData[Exit Reason], ROW() - 37)=0, "",INDEX(EmployeeData[Exit Reason], ROW() - 37)),"")</f>
        <v/>
      </c>
      <c r="J3189" s="4" t="str" cm="1">
        <f t="array" ref="J3189">IFERROR(INDEX(EmployeeData[Status], ROW() - 37), "")</f>
        <v/>
      </c>
    </row>
    <row r="3190" spans="2:10" ht="19.95" customHeight="1" x14ac:dyDescent="0.3">
      <c r="B3190" s="4" t="str" cm="1">
        <f t="array" ref="B3190">IFERROR(INDEX(EmployeeData[Employee ID], ROW() - 37), "")</f>
        <v/>
      </c>
      <c r="C3190" s="4" t="str" cm="1">
        <f t="array" ref="C3190">IFERROR(INDEX(EmployeeData[Full Name], ROW() - 37), "")</f>
        <v/>
      </c>
      <c r="D3190" s="4" t="str" cm="1">
        <f t="array" ref="D3190">IFERROR(INDEX(EmployeeData[Department], ROW() - 37), "")</f>
        <v/>
      </c>
      <c r="E3190" s="4" t="str" cm="1">
        <f t="array" ref="E3190">IFERROR(INDEX(EmployeeData[Gender], ROW() - 37), "")</f>
        <v/>
      </c>
      <c r="F3190" s="4" t="str" cm="1">
        <f t="array" ref="F3190">IFERROR(INDEX(EmployeeData[Age], ROW() - 37), "")</f>
        <v/>
      </c>
      <c r="G3190" s="6" t="str" cm="1">
        <f t="array" ref="G3190">IFERROR(INDEX(EmployeeData[Join Date], ROW() - 37), "")</f>
        <v/>
      </c>
      <c r="H3190" s="6" t="str" cm="1">
        <f t="array" ref="H3190">IFERROR(IF(INDEX(EmployeeData[Exit Date], ROW() - 37)=0, "",INDEX(EmployeeData[Exit Date], ROW() - 37)),"")</f>
        <v/>
      </c>
      <c r="I3190" s="4" t="str" cm="1">
        <f t="array" ref="I3190">IFERROR(IF(INDEX(EmployeeData[Exit Reason], ROW() - 37)=0, "",INDEX(EmployeeData[Exit Reason], ROW() - 37)),"")</f>
        <v/>
      </c>
      <c r="J3190" s="4" t="str" cm="1">
        <f t="array" ref="J3190">IFERROR(INDEX(EmployeeData[Status], ROW() - 37), "")</f>
        <v/>
      </c>
    </row>
    <row r="3191" spans="2:10" ht="19.95" customHeight="1" x14ac:dyDescent="0.3">
      <c r="B3191" s="4" t="str" cm="1">
        <f t="array" ref="B3191">IFERROR(INDEX(EmployeeData[Employee ID], ROW() - 37), "")</f>
        <v/>
      </c>
      <c r="C3191" s="4" t="str" cm="1">
        <f t="array" ref="C3191">IFERROR(INDEX(EmployeeData[Full Name], ROW() - 37), "")</f>
        <v/>
      </c>
      <c r="D3191" s="4" t="str" cm="1">
        <f t="array" ref="D3191">IFERROR(INDEX(EmployeeData[Department], ROW() - 37), "")</f>
        <v/>
      </c>
      <c r="E3191" s="4" t="str" cm="1">
        <f t="array" ref="E3191">IFERROR(INDEX(EmployeeData[Gender], ROW() - 37), "")</f>
        <v/>
      </c>
      <c r="F3191" s="4" t="str" cm="1">
        <f t="array" ref="F3191">IFERROR(INDEX(EmployeeData[Age], ROW() - 37), "")</f>
        <v/>
      </c>
      <c r="G3191" s="6" t="str" cm="1">
        <f t="array" ref="G3191">IFERROR(INDEX(EmployeeData[Join Date], ROW() - 37), "")</f>
        <v/>
      </c>
      <c r="H3191" s="6" t="str" cm="1">
        <f t="array" ref="H3191">IFERROR(IF(INDEX(EmployeeData[Exit Date], ROW() - 37)=0, "",INDEX(EmployeeData[Exit Date], ROW() - 37)),"")</f>
        <v/>
      </c>
      <c r="I3191" s="4" t="str" cm="1">
        <f t="array" ref="I3191">IFERROR(IF(INDEX(EmployeeData[Exit Reason], ROW() - 37)=0, "",INDEX(EmployeeData[Exit Reason], ROW() - 37)),"")</f>
        <v/>
      </c>
      <c r="J3191" s="4" t="str" cm="1">
        <f t="array" ref="J3191">IFERROR(INDEX(EmployeeData[Status], ROW() - 37), "")</f>
        <v/>
      </c>
    </row>
    <row r="3192" spans="2:10" ht="19.95" customHeight="1" x14ac:dyDescent="0.3">
      <c r="B3192" s="4" t="str" cm="1">
        <f t="array" ref="B3192">IFERROR(INDEX(EmployeeData[Employee ID], ROW() - 37), "")</f>
        <v/>
      </c>
      <c r="C3192" s="4" t="str" cm="1">
        <f t="array" ref="C3192">IFERROR(INDEX(EmployeeData[Full Name], ROW() - 37), "")</f>
        <v/>
      </c>
      <c r="D3192" s="4" t="str" cm="1">
        <f t="array" ref="D3192">IFERROR(INDEX(EmployeeData[Department], ROW() - 37), "")</f>
        <v/>
      </c>
      <c r="E3192" s="4" t="str" cm="1">
        <f t="array" ref="E3192">IFERROR(INDEX(EmployeeData[Gender], ROW() - 37), "")</f>
        <v/>
      </c>
      <c r="F3192" s="4" t="str" cm="1">
        <f t="array" ref="F3192">IFERROR(INDEX(EmployeeData[Age], ROW() - 37), "")</f>
        <v/>
      </c>
      <c r="G3192" s="6" t="str" cm="1">
        <f t="array" ref="G3192">IFERROR(INDEX(EmployeeData[Join Date], ROW() - 37), "")</f>
        <v/>
      </c>
      <c r="H3192" s="6" t="str" cm="1">
        <f t="array" ref="H3192">IFERROR(IF(INDEX(EmployeeData[Exit Date], ROW() - 37)=0, "",INDEX(EmployeeData[Exit Date], ROW() - 37)),"")</f>
        <v/>
      </c>
      <c r="I3192" s="4" t="str" cm="1">
        <f t="array" ref="I3192">IFERROR(IF(INDEX(EmployeeData[Exit Reason], ROW() - 37)=0, "",INDEX(EmployeeData[Exit Reason], ROW() - 37)),"")</f>
        <v/>
      </c>
      <c r="J3192" s="4" t="str" cm="1">
        <f t="array" ref="J3192">IFERROR(INDEX(EmployeeData[Status], ROW() - 37), "")</f>
        <v/>
      </c>
    </row>
    <row r="3193" spans="2:10" ht="19.95" customHeight="1" x14ac:dyDescent="0.3">
      <c r="B3193" s="4" t="str" cm="1">
        <f t="array" ref="B3193">IFERROR(INDEX(EmployeeData[Employee ID], ROW() - 37), "")</f>
        <v/>
      </c>
      <c r="C3193" s="4" t="str" cm="1">
        <f t="array" ref="C3193">IFERROR(INDEX(EmployeeData[Full Name], ROW() - 37), "")</f>
        <v/>
      </c>
      <c r="D3193" s="4" t="str" cm="1">
        <f t="array" ref="D3193">IFERROR(INDEX(EmployeeData[Department], ROW() - 37), "")</f>
        <v/>
      </c>
      <c r="E3193" s="4" t="str" cm="1">
        <f t="array" ref="E3193">IFERROR(INDEX(EmployeeData[Gender], ROW() - 37), "")</f>
        <v/>
      </c>
      <c r="F3193" s="4" t="str" cm="1">
        <f t="array" ref="F3193">IFERROR(INDEX(EmployeeData[Age], ROW() - 37), "")</f>
        <v/>
      </c>
      <c r="G3193" s="6" t="str" cm="1">
        <f t="array" ref="G3193">IFERROR(INDEX(EmployeeData[Join Date], ROW() - 37), "")</f>
        <v/>
      </c>
      <c r="H3193" s="6" t="str" cm="1">
        <f t="array" ref="H3193">IFERROR(IF(INDEX(EmployeeData[Exit Date], ROW() - 37)=0, "",INDEX(EmployeeData[Exit Date], ROW() - 37)),"")</f>
        <v/>
      </c>
      <c r="I3193" s="4" t="str" cm="1">
        <f t="array" ref="I3193">IFERROR(IF(INDEX(EmployeeData[Exit Reason], ROW() - 37)=0, "",INDEX(EmployeeData[Exit Reason], ROW() - 37)),"")</f>
        <v/>
      </c>
      <c r="J3193" s="4" t="str" cm="1">
        <f t="array" ref="J3193">IFERROR(INDEX(EmployeeData[Status], ROW() - 37), "")</f>
        <v/>
      </c>
    </row>
    <row r="3194" spans="2:10" ht="19.95" customHeight="1" x14ac:dyDescent="0.3">
      <c r="B3194" s="4" t="str" cm="1">
        <f t="array" ref="B3194">IFERROR(INDEX(EmployeeData[Employee ID], ROW() - 37), "")</f>
        <v/>
      </c>
      <c r="C3194" s="4" t="str" cm="1">
        <f t="array" ref="C3194">IFERROR(INDEX(EmployeeData[Full Name], ROW() - 37), "")</f>
        <v/>
      </c>
      <c r="D3194" s="4" t="str" cm="1">
        <f t="array" ref="D3194">IFERROR(INDEX(EmployeeData[Department], ROW() - 37), "")</f>
        <v/>
      </c>
      <c r="E3194" s="4" t="str" cm="1">
        <f t="array" ref="E3194">IFERROR(INDEX(EmployeeData[Gender], ROW() - 37), "")</f>
        <v/>
      </c>
      <c r="F3194" s="4" t="str" cm="1">
        <f t="array" ref="F3194">IFERROR(INDEX(EmployeeData[Age], ROW() - 37), "")</f>
        <v/>
      </c>
      <c r="G3194" s="6" t="str" cm="1">
        <f t="array" ref="G3194">IFERROR(INDEX(EmployeeData[Join Date], ROW() - 37), "")</f>
        <v/>
      </c>
      <c r="H3194" s="6" t="str" cm="1">
        <f t="array" ref="H3194">IFERROR(IF(INDEX(EmployeeData[Exit Date], ROW() - 37)=0, "",INDEX(EmployeeData[Exit Date], ROW() - 37)),"")</f>
        <v/>
      </c>
      <c r="I3194" s="4" t="str" cm="1">
        <f t="array" ref="I3194">IFERROR(IF(INDEX(EmployeeData[Exit Reason], ROW() - 37)=0, "",INDEX(EmployeeData[Exit Reason], ROW() - 37)),"")</f>
        <v/>
      </c>
      <c r="J3194" s="4" t="str" cm="1">
        <f t="array" ref="J3194">IFERROR(INDEX(EmployeeData[Status], ROW() - 37), "")</f>
        <v/>
      </c>
    </row>
    <row r="3195" spans="2:10" ht="19.95" customHeight="1" x14ac:dyDescent="0.3">
      <c r="B3195" s="4" t="str" cm="1">
        <f t="array" ref="B3195">IFERROR(INDEX(EmployeeData[Employee ID], ROW() - 37), "")</f>
        <v/>
      </c>
      <c r="C3195" s="4" t="str" cm="1">
        <f t="array" ref="C3195">IFERROR(INDEX(EmployeeData[Full Name], ROW() - 37), "")</f>
        <v/>
      </c>
      <c r="D3195" s="4" t="str" cm="1">
        <f t="array" ref="D3195">IFERROR(INDEX(EmployeeData[Department], ROW() - 37), "")</f>
        <v/>
      </c>
      <c r="E3195" s="4" t="str" cm="1">
        <f t="array" ref="E3195">IFERROR(INDEX(EmployeeData[Gender], ROW() - 37), "")</f>
        <v/>
      </c>
      <c r="F3195" s="4" t="str" cm="1">
        <f t="array" ref="F3195">IFERROR(INDEX(EmployeeData[Age], ROW() - 37), "")</f>
        <v/>
      </c>
      <c r="G3195" s="6" t="str" cm="1">
        <f t="array" ref="G3195">IFERROR(INDEX(EmployeeData[Join Date], ROW() - 37), "")</f>
        <v/>
      </c>
      <c r="H3195" s="6" t="str" cm="1">
        <f t="array" ref="H3195">IFERROR(IF(INDEX(EmployeeData[Exit Date], ROW() - 37)=0, "",INDEX(EmployeeData[Exit Date], ROW() - 37)),"")</f>
        <v/>
      </c>
      <c r="I3195" s="4" t="str" cm="1">
        <f t="array" ref="I3195">IFERROR(IF(INDEX(EmployeeData[Exit Reason], ROW() - 37)=0, "",INDEX(EmployeeData[Exit Reason], ROW() - 37)),"")</f>
        <v/>
      </c>
      <c r="J3195" s="4" t="str" cm="1">
        <f t="array" ref="J3195">IFERROR(INDEX(EmployeeData[Status], ROW() - 37), "")</f>
        <v/>
      </c>
    </row>
    <row r="3196" spans="2:10" ht="19.95" customHeight="1" x14ac:dyDescent="0.3">
      <c r="B3196" s="4" t="str" cm="1">
        <f t="array" ref="B3196">IFERROR(INDEX(EmployeeData[Employee ID], ROW() - 37), "")</f>
        <v/>
      </c>
      <c r="C3196" s="4" t="str" cm="1">
        <f t="array" ref="C3196">IFERROR(INDEX(EmployeeData[Full Name], ROW() - 37), "")</f>
        <v/>
      </c>
      <c r="D3196" s="4" t="str" cm="1">
        <f t="array" ref="D3196">IFERROR(INDEX(EmployeeData[Department], ROW() - 37), "")</f>
        <v/>
      </c>
      <c r="E3196" s="4" t="str" cm="1">
        <f t="array" ref="E3196">IFERROR(INDEX(EmployeeData[Gender], ROW() - 37), "")</f>
        <v/>
      </c>
      <c r="F3196" s="4" t="str" cm="1">
        <f t="array" ref="F3196">IFERROR(INDEX(EmployeeData[Age], ROW() - 37), "")</f>
        <v/>
      </c>
      <c r="G3196" s="6" t="str" cm="1">
        <f t="array" ref="G3196">IFERROR(INDEX(EmployeeData[Join Date], ROW() - 37), "")</f>
        <v/>
      </c>
      <c r="H3196" s="6" t="str" cm="1">
        <f t="array" ref="H3196">IFERROR(IF(INDEX(EmployeeData[Exit Date], ROW() - 37)=0, "",INDEX(EmployeeData[Exit Date], ROW() - 37)),"")</f>
        <v/>
      </c>
      <c r="I3196" s="4" t="str" cm="1">
        <f t="array" ref="I3196">IFERROR(IF(INDEX(EmployeeData[Exit Reason], ROW() - 37)=0, "",INDEX(EmployeeData[Exit Reason], ROW() - 37)),"")</f>
        <v/>
      </c>
      <c r="J3196" s="4" t="str" cm="1">
        <f t="array" ref="J3196">IFERROR(INDEX(EmployeeData[Status], ROW() - 37), "")</f>
        <v/>
      </c>
    </row>
    <row r="3197" spans="2:10" ht="19.95" customHeight="1" x14ac:dyDescent="0.3">
      <c r="B3197" s="4" t="str" cm="1">
        <f t="array" ref="B3197">IFERROR(INDEX(EmployeeData[Employee ID], ROW() - 37), "")</f>
        <v/>
      </c>
      <c r="C3197" s="4" t="str" cm="1">
        <f t="array" ref="C3197">IFERROR(INDEX(EmployeeData[Full Name], ROW() - 37), "")</f>
        <v/>
      </c>
      <c r="D3197" s="4" t="str" cm="1">
        <f t="array" ref="D3197">IFERROR(INDEX(EmployeeData[Department], ROW() - 37), "")</f>
        <v/>
      </c>
      <c r="E3197" s="4" t="str" cm="1">
        <f t="array" ref="E3197">IFERROR(INDEX(EmployeeData[Gender], ROW() - 37), "")</f>
        <v/>
      </c>
      <c r="F3197" s="4" t="str" cm="1">
        <f t="array" ref="F3197">IFERROR(INDEX(EmployeeData[Age], ROW() - 37), "")</f>
        <v/>
      </c>
      <c r="G3197" s="6" t="str" cm="1">
        <f t="array" ref="G3197">IFERROR(INDEX(EmployeeData[Join Date], ROW() - 37), "")</f>
        <v/>
      </c>
      <c r="H3197" s="6" t="str" cm="1">
        <f t="array" ref="H3197">IFERROR(IF(INDEX(EmployeeData[Exit Date], ROW() - 37)=0, "",INDEX(EmployeeData[Exit Date], ROW() - 37)),"")</f>
        <v/>
      </c>
      <c r="I3197" s="4" t="str" cm="1">
        <f t="array" ref="I3197">IFERROR(IF(INDEX(EmployeeData[Exit Reason], ROW() - 37)=0, "",INDEX(EmployeeData[Exit Reason], ROW() - 37)),"")</f>
        <v/>
      </c>
      <c r="J3197" s="4" t="str" cm="1">
        <f t="array" ref="J3197">IFERROR(INDEX(EmployeeData[Status], ROW() - 37), "")</f>
        <v/>
      </c>
    </row>
    <row r="3198" spans="2:10" ht="19.95" customHeight="1" x14ac:dyDescent="0.3">
      <c r="B3198" s="4" t="str" cm="1">
        <f t="array" ref="B3198">IFERROR(INDEX(EmployeeData[Employee ID], ROW() - 37), "")</f>
        <v/>
      </c>
      <c r="C3198" s="4" t="str" cm="1">
        <f t="array" ref="C3198">IFERROR(INDEX(EmployeeData[Full Name], ROW() - 37), "")</f>
        <v/>
      </c>
      <c r="D3198" s="4" t="str" cm="1">
        <f t="array" ref="D3198">IFERROR(INDEX(EmployeeData[Department], ROW() - 37), "")</f>
        <v/>
      </c>
      <c r="E3198" s="4" t="str" cm="1">
        <f t="array" ref="E3198">IFERROR(INDEX(EmployeeData[Gender], ROW() - 37), "")</f>
        <v/>
      </c>
      <c r="F3198" s="4" t="str" cm="1">
        <f t="array" ref="F3198">IFERROR(INDEX(EmployeeData[Age], ROW() - 37), "")</f>
        <v/>
      </c>
      <c r="G3198" s="6" t="str" cm="1">
        <f t="array" ref="G3198">IFERROR(INDEX(EmployeeData[Join Date], ROW() - 37), "")</f>
        <v/>
      </c>
      <c r="H3198" s="6" t="str" cm="1">
        <f t="array" ref="H3198">IFERROR(IF(INDEX(EmployeeData[Exit Date], ROW() - 37)=0, "",INDEX(EmployeeData[Exit Date], ROW() - 37)),"")</f>
        <v/>
      </c>
      <c r="I3198" s="4" t="str" cm="1">
        <f t="array" ref="I3198">IFERROR(IF(INDEX(EmployeeData[Exit Reason], ROW() - 37)=0, "",INDEX(EmployeeData[Exit Reason], ROW() - 37)),"")</f>
        <v/>
      </c>
      <c r="J3198" s="4" t="str" cm="1">
        <f t="array" ref="J3198">IFERROR(INDEX(EmployeeData[Status], ROW() - 37), "")</f>
        <v/>
      </c>
    </row>
    <row r="3199" spans="2:10" ht="19.95" customHeight="1" x14ac:dyDescent="0.3">
      <c r="B3199" s="4" t="str" cm="1">
        <f t="array" ref="B3199">IFERROR(INDEX(EmployeeData[Employee ID], ROW() - 37), "")</f>
        <v/>
      </c>
      <c r="C3199" s="4" t="str" cm="1">
        <f t="array" ref="C3199">IFERROR(INDEX(EmployeeData[Full Name], ROW() - 37), "")</f>
        <v/>
      </c>
      <c r="D3199" s="4" t="str" cm="1">
        <f t="array" ref="D3199">IFERROR(INDEX(EmployeeData[Department], ROW() - 37), "")</f>
        <v/>
      </c>
      <c r="E3199" s="4" t="str" cm="1">
        <f t="array" ref="E3199">IFERROR(INDEX(EmployeeData[Gender], ROW() - 37), "")</f>
        <v/>
      </c>
      <c r="F3199" s="4" t="str" cm="1">
        <f t="array" ref="F3199">IFERROR(INDEX(EmployeeData[Age], ROW() - 37), "")</f>
        <v/>
      </c>
      <c r="G3199" s="6" t="str" cm="1">
        <f t="array" ref="G3199">IFERROR(INDEX(EmployeeData[Join Date], ROW() - 37), "")</f>
        <v/>
      </c>
      <c r="H3199" s="6" t="str" cm="1">
        <f t="array" ref="H3199">IFERROR(IF(INDEX(EmployeeData[Exit Date], ROW() - 37)=0, "",INDEX(EmployeeData[Exit Date], ROW() - 37)),"")</f>
        <v/>
      </c>
      <c r="I3199" s="4" t="str" cm="1">
        <f t="array" ref="I3199">IFERROR(IF(INDEX(EmployeeData[Exit Reason], ROW() - 37)=0, "",INDEX(EmployeeData[Exit Reason], ROW() - 37)),"")</f>
        <v/>
      </c>
      <c r="J3199" s="4" t="str" cm="1">
        <f t="array" ref="J3199">IFERROR(INDEX(EmployeeData[Status], ROW() - 37), "")</f>
        <v/>
      </c>
    </row>
    <row r="3200" spans="2:10" ht="19.95" customHeight="1" x14ac:dyDescent="0.3">
      <c r="B3200" s="4" t="str" cm="1">
        <f t="array" ref="B3200">IFERROR(INDEX(EmployeeData[Employee ID], ROW() - 37), "")</f>
        <v/>
      </c>
      <c r="C3200" s="4" t="str" cm="1">
        <f t="array" ref="C3200">IFERROR(INDEX(EmployeeData[Full Name], ROW() - 37), "")</f>
        <v/>
      </c>
      <c r="D3200" s="4" t="str" cm="1">
        <f t="array" ref="D3200">IFERROR(INDEX(EmployeeData[Department], ROW() - 37), "")</f>
        <v/>
      </c>
      <c r="E3200" s="4" t="str" cm="1">
        <f t="array" ref="E3200">IFERROR(INDEX(EmployeeData[Gender], ROW() - 37), "")</f>
        <v/>
      </c>
      <c r="F3200" s="4" t="str" cm="1">
        <f t="array" ref="F3200">IFERROR(INDEX(EmployeeData[Age], ROW() - 37), "")</f>
        <v/>
      </c>
      <c r="G3200" s="6" t="str" cm="1">
        <f t="array" ref="G3200">IFERROR(INDEX(EmployeeData[Join Date], ROW() - 37), "")</f>
        <v/>
      </c>
      <c r="H3200" s="6" t="str" cm="1">
        <f t="array" ref="H3200">IFERROR(IF(INDEX(EmployeeData[Exit Date], ROW() - 37)=0, "",INDEX(EmployeeData[Exit Date], ROW() - 37)),"")</f>
        <v/>
      </c>
      <c r="I3200" s="4" t="str" cm="1">
        <f t="array" ref="I3200">IFERROR(IF(INDEX(EmployeeData[Exit Reason], ROW() - 37)=0, "",INDEX(EmployeeData[Exit Reason], ROW() - 37)),"")</f>
        <v/>
      </c>
      <c r="J3200" s="4" t="str" cm="1">
        <f t="array" ref="J3200">IFERROR(INDEX(EmployeeData[Status], ROW() - 37), "")</f>
        <v/>
      </c>
    </row>
    <row r="3201" spans="2:10" ht="19.95" customHeight="1" x14ac:dyDescent="0.3">
      <c r="B3201" s="4" t="str" cm="1">
        <f t="array" ref="B3201">IFERROR(INDEX(EmployeeData[Employee ID], ROW() - 37), "")</f>
        <v/>
      </c>
      <c r="C3201" s="4" t="str" cm="1">
        <f t="array" ref="C3201">IFERROR(INDEX(EmployeeData[Full Name], ROW() - 37), "")</f>
        <v/>
      </c>
      <c r="D3201" s="4" t="str" cm="1">
        <f t="array" ref="D3201">IFERROR(INDEX(EmployeeData[Department], ROW() - 37), "")</f>
        <v/>
      </c>
      <c r="E3201" s="4" t="str" cm="1">
        <f t="array" ref="E3201">IFERROR(INDEX(EmployeeData[Gender], ROW() - 37), "")</f>
        <v/>
      </c>
      <c r="F3201" s="4" t="str" cm="1">
        <f t="array" ref="F3201">IFERROR(INDEX(EmployeeData[Age], ROW() - 37), "")</f>
        <v/>
      </c>
      <c r="G3201" s="6" t="str" cm="1">
        <f t="array" ref="G3201">IFERROR(INDEX(EmployeeData[Join Date], ROW() - 37), "")</f>
        <v/>
      </c>
      <c r="H3201" s="6" t="str" cm="1">
        <f t="array" ref="H3201">IFERROR(IF(INDEX(EmployeeData[Exit Date], ROW() - 37)=0, "",INDEX(EmployeeData[Exit Date], ROW() - 37)),"")</f>
        <v/>
      </c>
      <c r="I3201" s="4" t="str" cm="1">
        <f t="array" ref="I3201">IFERROR(IF(INDEX(EmployeeData[Exit Reason], ROW() - 37)=0, "",INDEX(EmployeeData[Exit Reason], ROW() - 37)),"")</f>
        <v/>
      </c>
      <c r="J3201" s="4" t="str" cm="1">
        <f t="array" ref="J3201">IFERROR(INDEX(EmployeeData[Status], ROW() - 37), "")</f>
        <v/>
      </c>
    </row>
    <row r="3202" spans="2:10" ht="19.95" customHeight="1" x14ac:dyDescent="0.3">
      <c r="B3202" s="4" t="str" cm="1">
        <f t="array" ref="B3202">IFERROR(INDEX(EmployeeData[Employee ID], ROW() - 37), "")</f>
        <v/>
      </c>
      <c r="C3202" s="4" t="str" cm="1">
        <f t="array" ref="C3202">IFERROR(INDEX(EmployeeData[Full Name], ROW() - 37), "")</f>
        <v/>
      </c>
      <c r="D3202" s="4" t="str" cm="1">
        <f t="array" ref="D3202">IFERROR(INDEX(EmployeeData[Department], ROW() - 37), "")</f>
        <v/>
      </c>
      <c r="E3202" s="4" t="str" cm="1">
        <f t="array" ref="E3202">IFERROR(INDEX(EmployeeData[Gender], ROW() - 37), "")</f>
        <v/>
      </c>
      <c r="F3202" s="4" t="str" cm="1">
        <f t="array" ref="F3202">IFERROR(INDEX(EmployeeData[Age], ROW() - 37), "")</f>
        <v/>
      </c>
      <c r="G3202" s="6" t="str" cm="1">
        <f t="array" ref="G3202">IFERROR(INDEX(EmployeeData[Join Date], ROW() - 37), "")</f>
        <v/>
      </c>
      <c r="H3202" s="6" t="str" cm="1">
        <f t="array" ref="H3202">IFERROR(IF(INDEX(EmployeeData[Exit Date], ROW() - 37)=0, "",INDEX(EmployeeData[Exit Date], ROW() - 37)),"")</f>
        <v/>
      </c>
      <c r="I3202" s="4" t="str" cm="1">
        <f t="array" ref="I3202">IFERROR(IF(INDEX(EmployeeData[Exit Reason], ROW() - 37)=0, "",INDEX(EmployeeData[Exit Reason], ROW() - 37)),"")</f>
        <v/>
      </c>
      <c r="J3202" s="4" t="str" cm="1">
        <f t="array" ref="J3202">IFERROR(INDEX(EmployeeData[Status], ROW() - 37), "")</f>
        <v/>
      </c>
    </row>
    <row r="3203" spans="2:10" ht="19.95" customHeight="1" x14ac:dyDescent="0.3">
      <c r="B3203" s="4" t="str" cm="1">
        <f t="array" ref="B3203">IFERROR(INDEX(EmployeeData[Employee ID], ROW() - 37), "")</f>
        <v/>
      </c>
      <c r="C3203" s="4" t="str" cm="1">
        <f t="array" ref="C3203">IFERROR(INDEX(EmployeeData[Full Name], ROW() - 37), "")</f>
        <v/>
      </c>
      <c r="D3203" s="4" t="str" cm="1">
        <f t="array" ref="D3203">IFERROR(INDEX(EmployeeData[Department], ROW() - 37), "")</f>
        <v/>
      </c>
      <c r="E3203" s="4" t="str" cm="1">
        <f t="array" ref="E3203">IFERROR(INDEX(EmployeeData[Gender], ROW() - 37), "")</f>
        <v/>
      </c>
      <c r="F3203" s="4" t="str" cm="1">
        <f t="array" ref="F3203">IFERROR(INDEX(EmployeeData[Age], ROW() - 37), "")</f>
        <v/>
      </c>
      <c r="G3203" s="6" t="str" cm="1">
        <f t="array" ref="G3203">IFERROR(INDEX(EmployeeData[Join Date], ROW() - 37), "")</f>
        <v/>
      </c>
      <c r="H3203" s="6" t="str" cm="1">
        <f t="array" ref="H3203">IFERROR(IF(INDEX(EmployeeData[Exit Date], ROW() - 37)=0, "",INDEX(EmployeeData[Exit Date], ROW() - 37)),"")</f>
        <v/>
      </c>
      <c r="I3203" s="4" t="str" cm="1">
        <f t="array" ref="I3203">IFERROR(IF(INDEX(EmployeeData[Exit Reason], ROW() - 37)=0, "",INDEX(EmployeeData[Exit Reason], ROW() - 37)),"")</f>
        <v/>
      </c>
      <c r="J3203" s="4" t="str" cm="1">
        <f t="array" ref="J3203">IFERROR(INDEX(EmployeeData[Status], ROW() - 37), "")</f>
        <v/>
      </c>
    </row>
    <row r="3204" spans="2:10" ht="19.95" customHeight="1" x14ac:dyDescent="0.3">
      <c r="B3204" s="4" t="str" cm="1">
        <f t="array" ref="B3204">IFERROR(INDEX(EmployeeData[Employee ID], ROW() - 37), "")</f>
        <v/>
      </c>
      <c r="C3204" s="4" t="str" cm="1">
        <f t="array" ref="C3204">IFERROR(INDEX(EmployeeData[Full Name], ROW() - 37), "")</f>
        <v/>
      </c>
      <c r="D3204" s="4" t="str" cm="1">
        <f t="array" ref="D3204">IFERROR(INDEX(EmployeeData[Department], ROW() - 37), "")</f>
        <v/>
      </c>
      <c r="E3204" s="4" t="str" cm="1">
        <f t="array" ref="E3204">IFERROR(INDEX(EmployeeData[Gender], ROW() - 37), "")</f>
        <v/>
      </c>
      <c r="F3204" s="4" t="str" cm="1">
        <f t="array" ref="F3204">IFERROR(INDEX(EmployeeData[Age], ROW() - 37), "")</f>
        <v/>
      </c>
      <c r="G3204" s="6" t="str" cm="1">
        <f t="array" ref="G3204">IFERROR(INDEX(EmployeeData[Join Date], ROW() - 37), "")</f>
        <v/>
      </c>
      <c r="H3204" s="6" t="str" cm="1">
        <f t="array" ref="H3204">IFERROR(IF(INDEX(EmployeeData[Exit Date], ROW() - 37)=0, "",INDEX(EmployeeData[Exit Date], ROW() - 37)),"")</f>
        <v/>
      </c>
      <c r="I3204" s="4" t="str" cm="1">
        <f t="array" ref="I3204">IFERROR(IF(INDEX(EmployeeData[Exit Reason], ROW() - 37)=0, "",INDEX(EmployeeData[Exit Reason], ROW() - 37)),"")</f>
        <v/>
      </c>
      <c r="J3204" s="4" t="str" cm="1">
        <f t="array" ref="J3204">IFERROR(INDEX(EmployeeData[Status], ROW() - 37), "")</f>
        <v/>
      </c>
    </row>
    <row r="3205" spans="2:10" ht="19.95" customHeight="1" x14ac:dyDescent="0.3">
      <c r="B3205" s="4" t="str" cm="1">
        <f t="array" ref="B3205">IFERROR(INDEX(EmployeeData[Employee ID], ROW() - 37), "")</f>
        <v/>
      </c>
      <c r="C3205" s="4" t="str" cm="1">
        <f t="array" ref="C3205">IFERROR(INDEX(EmployeeData[Full Name], ROW() - 37), "")</f>
        <v/>
      </c>
      <c r="D3205" s="4" t="str" cm="1">
        <f t="array" ref="D3205">IFERROR(INDEX(EmployeeData[Department], ROW() - 37), "")</f>
        <v/>
      </c>
      <c r="E3205" s="4" t="str" cm="1">
        <f t="array" ref="E3205">IFERROR(INDEX(EmployeeData[Gender], ROW() - 37), "")</f>
        <v/>
      </c>
      <c r="F3205" s="4" t="str" cm="1">
        <f t="array" ref="F3205">IFERROR(INDEX(EmployeeData[Age], ROW() - 37), "")</f>
        <v/>
      </c>
      <c r="G3205" s="6" t="str" cm="1">
        <f t="array" ref="G3205">IFERROR(INDEX(EmployeeData[Join Date], ROW() - 37), "")</f>
        <v/>
      </c>
      <c r="H3205" s="6" t="str" cm="1">
        <f t="array" ref="H3205">IFERROR(IF(INDEX(EmployeeData[Exit Date], ROW() - 37)=0, "",INDEX(EmployeeData[Exit Date], ROW() - 37)),"")</f>
        <v/>
      </c>
      <c r="I3205" s="4" t="str" cm="1">
        <f t="array" ref="I3205">IFERROR(IF(INDEX(EmployeeData[Exit Reason], ROW() - 37)=0, "",INDEX(EmployeeData[Exit Reason], ROW() - 37)),"")</f>
        <v/>
      </c>
      <c r="J3205" s="4" t="str" cm="1">
        <f t="array" ref="J3205">IFERROR(INDEX(EmployeeData[Status], ROW() - 37), "")</f>
        <v/>
      </c>
    </row>
    <row r="3206" spans="2:10" ht="19.95" customHeight="1" x14ac:dyDescent="0.3">
      <c r="B3206" s="4" t="str" cm="1">
        <f t="array" ref="B3206">IFERROR(INDEX(EmployeeData[Employee ID], ROW() - 37), "")</f>
        <v/>
      </c>
      <c r="C3206" s="4" t="str" cm="1">
        <f t="array" ref="C3206">IFERROR(INDEX(EmployeeData[Full Name], ROW() - 37), "")</f>
        <v/>
      </c>
      <c r="D3206" s="4" t="str" cm="1">
        <f t="array" ref="D3206">IFERROR(INDEX(EmployeeData[Department], ROW() - 37), "")</f>
        <v/>
      </c>
      <c r="E3206" s="4" t="str" cm="1">
        <f t="array" ref="E3206">IFERROR(INDEX(EmployeeData[Gender], ROW() - 37), "")</f>
        <v/>
      </c>
      <c r="F3206" s="4" t="str" cm="1">
        <f t="array" ref="F3206">IFERROR(INDEX(EmployeeData[Age], ROW() - 37), "")</f>
        <v/>
      </c>
      <c r="G3206" s="6" t="str" cm="1">
        <f t="array" ref="G3206">IFERROR(INDEX(EmployeeData[Join Date], ROW() - 37), "")</f>
        <v/>
      </c>
      <c r="H3206" s="6" t="str" cm="1">
        <f t="array" ref="H3206">IFERROR(IF(INDEX(EmployeeData[Exit Date], ROW() - 37)=0, "",INDEX(EmployeeData[Exit Date], ROW() - 37)),"")</f>
        <v/>
      </c>
      <c r="I3206" s="4" t="str" cm="1">
        <f t="array" ref="I3206">IFERROR(IF(INDEX(EmployeeData[Exit Reason], ROW() - 37)=0, "",INDEX(EmployeeData[Exit Reason], ROW() - 37)),"")</f>
        <v/>
      </c>
      <c r="J3206" s="4" t="str" cm="1">
        <f t="array" ref="J3206">IFERROR(INDEX(EmployeeData[Status], ROW() - 37), "")</f>
        <v/>
      </c>
    </row>
    <row r="3207" spans="2:10" ht="19.95" customHeight="1" x14ac:dyDescent="0.3">
      <c r="B3207" s="4" t="str" cm="1">
        <f t="array" ref="B3207">IFERROR(INDEX(EmployeeData[Employee ID], ROW() - 37), "")</f>
        <v/>
      </c>
      <c r="C3207" s="4" t="str" cm="1">
        <f t="array" ref="C3207">IFERROR(INDEX(EmployeeData[Full Name], ROW() - 37), "")</f>
        <v/>
      </c>
      <c r="D3207" s="4" t="str" cm="1">
        <f t="array" ref="D3207">IFERROR(INDEX(EmployeeData[Department], ROW() - 37), "")</f>
        <v/>
      </c>
      <c r="E3207" s="4" t="str" cm="1">
        <f t="array" ref="E3207">IFERROR(INDEX(EmployeeData[Gender], ROW() - 37), "")</f>
        <v/>
      </c>
      <c r="F3207" s="4" t="str" cm="1">
        <f t="array" ref="F3207">IFERROR(INDEX(EmployeeData[Age], ROW() - 37), "")</f>
        <v/>
      </c>
      <c r="G3207" s="6" t="str" cm="1">
        <f t="array" ref="G3207">IFERROR(INDEX(EmployeeData[Join Date], ROW() - 37), "")</f>
        <v/>
      </c>
      <c r="H3207" s="6" t="str" cm="1">
        <f t="array" ref="H3207">IFERROR(IF(INDEX(EmployeeData[Exit Date], ROW() - 37)=0, "",INDEX(EmployeeData[Exit Date], ROW() - 37)),"")</f>
        <v/>
      </c>
      <c r="I3207" s="4" t="str" cm="1">
        <f t="array" ref="I3207">IFERROR(IF(INDEX(EmployeeData[Exit Reason], ROW() - 37)=0, "",INDEX(EmployeeData[Exit Reason], ROW() - 37)),"")</f>
        <v/>
      </c>
      <c r="J3207" s="4" t="str" cm="1">
        <f t="array" ref="J3207">IFERROR(INDEX(EmployeeData[Status], ROW() - 37), "")</f>
        <v/>
      </c>
    </row>
    <row r="3208" spans="2:10" ht="19.95" customHeight="1" x14ac:dyDescent="0.3">
      <c r="B3208" s="4" t="str" cm="1">
        <f t="array" ref="B3208">IFERROR(INDEX(EmployeeData[Employee ID], ROW() - 37), "")</f>
        <v/>
      </c>
      <c r="C3208" s="4" t="str" cm="1">
        <f t="array" ref="C3208">IFERROR(INDEX(EmployeeData[Full Name], ROW() - 37), "")</f>
        <v/>
      </c>
      <c r="D3208" s="4" t="str" cm="1">
        <f t="array" ref="D3208">IFERROR(INDEX(EmployeeData[Department], ROW() - 37), "")</f>
        <v/>
      </c>
      <c r="E3208" s="4" t="str" cm="1">
        <f t="array" ref="E3208">IFERROR(INDEX(EmployeeData[Gender], ROW() - 37), "")</f>
        <v/>
      </c>
      <c r="F3208" s="4" t="str" cm="1">
        <f t="array" ref="F3208">IFERROR(INDEX(EmployeeData[Age], ROW() - 37), "")</f>
        <v/>
      </c>
      <c r="G3208" s="6" t="str" cm="1">
        <f t="array" ref="G3208">IFERROR(INDEX(EmployeeData[Join Date], ROW() - 37), "")</f>
        <v/>
      </c>
      <c r="H3208" s="6" t="str" cm="1">
        <f t="array" ref="H3208">IFERROR(IF(INDEX(EmployeeData[Exit Date], ROW() - 37)=0, "",INDEX(EmployeeData[Exit Date], ROW() - 37)),"")</f>
        <v/>
      </c>
      <c r="I3208" s="4" t="str" cm="1">
        <f t="array" ref="I3208">IFERROR(IF(INDEX(EmployeeData[Exit Reason], ROW() - 37)=0, "",INDEX(EmployeeData[Exit Reason], ROW() - 37)),"")</f>
        <v/>
      </c>
      <c r="J3208" s="4" t="str" cm="1">
        <f t="array" ref="J3208">IFERROR(INDEX(EmployeeData[Status], ROW() - 37), "")</f>
        <v/>
      </c>
    </row>
    <row r="3209" spans="2:10" ht="19.95" customHeight="1" x14ac:dyDescent="0.3">
      <c r="B3209" s="4" t="str" cm="1">
        <f t="array" ref="B3209">IFERROR(INDEX(EmployeeData[Employee ID], ROW() - 37), "")</f>
        <v/>
      </c>
      <c r="C3209" s="4" t="str" cm="1">
        <f t="array" ref="C3209">IFERROR(INDEX(EmployeeData[Full Name], ROW() - 37), "")</f>
        <v/>
      </c>
      <c r="D3209" s="4" t="str" cm="1">
        <f t="array" ref="D3209">IFERROR(INDEX(EmployeeData[Department], ROW() - 37), "")</f>
        <v/>
      </c>
      <c r="E3209" s="4" t="str" cm="1">
        <f t="array" ref="E3209">IFERROR(INDEX(EmployeeData[Gender], ROW() - 37), "")</f>
        <v/>
      </c>
      <c r="F3209" s="4" t="str" cm="1">
        <f t="array" ref="F3209">IFERROR(INDEX(EmployeeData[Age], ROW() - 37), "")</f>
        <v/>
      </c>
      <c r="G3209" s="6" t="str" cm="1">
        <f t="array" ref="G3209">IFERROR(INDEX(EmployeeData[Join Date], ROW() - 37), "")</f>
        <v/>
      </c>
      <c r="H3209" s="6" t="str" cm="1">
        <f t="array" ref="H3209">IFERROR(IF(INDEX(EmployeeData[Exit Date], ROW() - 37)=0, "",INDEX(EmployeeData[Exit Date], ROW() - 37)),"")</f>
        <v/>
      </c>
      <c r="I3209" s="4" t="str" cm="1">
        <f t="array" ref="I3209">IFERROR(IF(INDEX(EmployeeData[Exit Reason], ROW() - 37)=0, "",INDEX(EmployeeData[Exit Reason], ROW() - 37)),"")</f>
        <v/>
      </c>
      <c r="J3209" s="4" t="str" cm="1">
        <f t="array" ref="J3209">IFERROR(INDEX(EmployeeData[Status], ROW() - 37), "")</f>
        <v/>
      </c>
    </row>
    <row r="3210" spans="2:10" ht="19.95" customHeight="1" x14ac:dyDescent="0.3">
      <c r="B3210" s="4" t="str" cm="1">
        <f t="array" ref="B3210">IFERROR(INDEX(EmployeeData[Employee ID], ROW() - 37), "")</f>
        <v/>
      </c>
      <c r="C3210" s="4" t="str" cm="1">
        <f t="array" ref="C3210">IFERROR(INDEX(EmployeeData[Full Name], ROW() - 37), "")</f>
        <v/>
      </c>
      <c r="D3210" s="4" t="str" cm="1">
        <f t="array" ref="D3210">IFERROR(INDEX(EmployeeData[Department], ROW() - 37), "")</f>
        <v/>
      </c>
      <c r="E3210" s="4" t="str" cm="1">
        <f t="array" ref="E3210">IFERROR(INDEX(EmployeeData[Gender], ROW() - 37), "")</f>
        <v/>
      </c>
      <c r="F3210" s="4" t="str" cm="1">
        <f t="array" ref="F3210">IFERROR(INDEX(EmployeeData[Age], ROW() - 37), "")</f>
        <v/>
      </c>
      <c r="G3210" s="6" t="str" cm="1">
        <f t="array" ref="G3210">IFERROR(INDEX(EmployeeData[Join Date], ROW() - 37), "")</f>
        <v/>
      </c>
      <c r="H3210" s="6" t="str" cm="1">
        <f t="array" ref="H3210">IFERROR(IF(INDEX(EmployeeData[Exit Date], ROW() - 37)=0, "",INDEX(EmployeeData[Exit Date], ROW() - 37)),"")</f>
        <v/>
      </c>
      <c r="I3210" s="4" t="str" cm="1">
        <f t="array" ref="I3210">IFERROR(IF(INDEX(EmployeeData[Exit Reason], ROW() - 37)=0, "",INDEX(EmployeeData[Exit Reason], ROW() - 37)),"")</f>
        <v/>
      </c>
      <c r="J3210" s="4" t="str" cm="1">
        <f t="array" ref="J3210">IFERROR(INDEX(EmployeeData[Status], ROW() - 37), "")</f>
        <v/>
      </c>
    </row>
    <row r="3211" spans="2:10" ht="19.95" customHeight="1" x14ac:dyDescent="0.3">
      <c r="B3211" s="4" t="str" cm="1">
        <f t="array" ref="B3211">IFERROR(INDEX(EmployeeData[Employee ID], ROW() - 37), "")</f>
        <v/>
      </c>
      <c r="C3211" s="4" t="str" cm="1">
        <f t="array" ref="C3211">IFERROR(INDEX(EmployeeData[Full Name], ROW() - 37), "")</f>
        <v/>
      </c>
      <c r="D3211" s="4" t="str" cm="1">
        <f t="array" ref="D3211">IFERROR(INDEX(EmployeeData[Department], ROW() - 37), "")</f>
        <v/>
      </c>
      <c r="E3211" s="4" t="str" cm="1">
        <f t="array" ref="E3211">IFERROR(INDEX(EmployeeData[Gender], ROW() - 37), "")</f>
        <v/>
      </c>
      <c r="F3211" s="4" t="str" cm="1">
        <f t="array" ref="F3211">IFERROR(INDEX(EmployeeData[Age], ROW() - 37), "")</f>
        <v/>
      </c>
      <c r="G3211" s="6" t="str" cm="1">
        <f t="array" ref="G3211">IFERROR(INDEX(EmployeeData[Join Date], ROW() - 37), "")</f>
        <v/>
      </c>
      <c r="H3211" s="6" t="str" cm="1">
        <f t="array" ref="H3211">IFERROR(IF(INDEX(EmployeeData[Exit Date], ROW() - 37)=0, "",INDEX(EmployeeData[Exit Date], ROW() - 37)),"")</f>
        <v/>
      </c>
      <c r="I3211" s="4" t="str" cm="1">
        <f t="array" ref="I3211">IFERROR(IF(INDEX(EmployeeData[Exit Reason], ROW() - 37)=0, "",INDEX(EmployeeData[Exit Reason], ROW() - 37)),"")</f>
        <v/>
      </c>
      <c r="J3211" s="4" t="str" cm="1">
        <f t="array" ref="J3211">IFERROR(INDEX(EmployeeData[Status], ROW() - 37), "")</f>
        <v/>
      </c>
    </row>
    <row r="3212" spans="2:10" ht="19.95" customHeight="1" x14ac:dyDescent="0.3">
      <c r="B3212" s="4" t="str" cm="1">
        <f t="array" ref="B3212">IFERROR(INDEX(EmployeeData[Employee ID], ROW() - 37), "")</f>
        <v/>
      </c>
      <c r="C3212" s="4" t="str" cm="1">
        <f t="array" ref="C3212">IFERROR(INDEX(EmployeeData[Full Name], ROW() - 37), "")</f>
        <v/>
      </c>
      <c r="D3212" s="4" t="str" cm="1">
        <f t="array" ref="D3212">IFERROR(INDEX(EmployeeData[Department], ROW() - 37), "")</f>
        <v/>
      </c>
      <c r="E3212" s="4" t="str" cm="1">
        <f t="array" ref="E3212">IFERROR(INDEX(EmployeeData[Gender], ROW() - 37), "")</f>
        <v/>
      </c>
      <c r="F3212" s="4" t="str" cm="1">
        <f t="array" ref="F3212">IFERROR(INDEX(EmployeeData[Age], ROW() - 37), "")</f>
        <v/>
      </c>
      <c r="G3212" s="6" t="str" cm="1">
        <f t="array" ref="G3212">IFERROR(INDEX(EmployeeData[Join Date], ROW() - 37), "")</f>
        <v/>
      </c>
      <c r="H3212" s="6" t="str" cm="1">
        <f t="array" ref="H3212">IFERROR(IF(INDEX(EmployeeData[Exit Date], ROW() - 37)=0, "",INDEX(EmployeeData[Exit Date], ROW() - 37)),"")</f>
        <v/>
      </c>
      <c r="I3212" s="4" t="str" cm="1">
        <f t="array" ref="I3212">IFERROR(IF(INDEX(EmployeeData[Exit Reason], ROW() - 37)=0, "",INDEX(EmployeeData[Exit Reason], ROW() - 37)),"")</f>
        <v/>
      </c>
      <c r="J3212" s="4" t="str" cm="1">
        <f t="array" ref="J3212">IFERROR(INDEX(EmployeeData[Status], ROW() - 37), "")</f>
        <v/>
      </c>
    </row>
    <row r="3213" spans="2:10" ht="19.95" customHeight="1" x14ac:dyDescent="0.3">
      <c r="B3213" s="4" t="str" cm="1">
        <f t="array" ref="B3213">IFERROR(INDEX(EmployeeData[Employee ID], ROW() - 37), "")</f>
        <v/>
      </c>
      <c r="C3213" s="4" t="str" cm="1">
        <f t="array" ref="C3213">IFERROR(INDEX(EmployeeData[Full Name], ROW() - 37), "")</f>
        <v/>
      </c>
      <c r="D3213" s="4" t="str" cm="1">
        <f t="array" ref="D3213">IFERROR(INDEX(EmployeeData[Department], ROW() - 37), "")</f>
        <v/>
      </c>
      <c r="E3213" s="4" t="str" cm="1">
        <f t="array" ref="E3213">IFERROR(INDEX(EmployeeData[Gender], ROW() - 37), "")</f>
        <v/>
      </c>
      <c r="F3213" s="4" t="str" cm="1">
        <f t="array" ref="F3213">IFERROR(INDEX(EmployeeData[Age], ROW() - 37), "")</f>
        <v/>
      </c>
      <c r="G3213" s="6" t="str" cm="1">
        <f t="array" ref="G3213">IFERROR(INDEX(EmployeeData[Join Date], ROW() - 37), "")</f>
        <v/>
      </c>
      <c r="H3213" s="6" t="str" cm="1">
        <f t="array" ref="H3213">IFERROR(IF(INDEX(EmployeeData[Exit Date], ROW() - 37)=0, "",INDEX(EmployeeData[Exit Date], ROW() - 37)),"")</f>
        <v/>
      </c>
      <c r="I3213" s="4" t="str" cm="1">
        <f t="array" ref="I3213">IFERROR(IF(INDEX(EmployeeData[Exit Reason], ROW() - 37)=0, "",INDEX(EmployeeData[Exit Reason], ROW() - 37)),"")</f>
        <v/>
      </c>
      <c r="J3213" s="4" t="str" cm="1">
        <f t="array" ref="J3213">IFERROR(INDEX(EmployeeData[Status], ROW() - 37), "")</f>
        <v/>
      </c>
    </row>
    <row r="3214" spans="2:10" ht="19.95" customHeight="1" x14ac:dyDescent="0.3">
      <c r="B3214" s="4" t="str" cm="1">
        <f t="array" ref="B3214">IFERROR(INDEX(EmployeeData[Employee ID], ROW() - 37), "")</f>
        <v/>
      </c>
      <c r="C3214" s="4" t="str" cm="1">
        <f t="array" ref="C3214">IFERROR(INDEX(EmployeeData[Full Name], ROW() - 37), "")</f>
        <v/>
      </c>
      <c r="D3214" s="4" t="str" cm="1">
        <f t="array" ref="D3214">IFERROR(INDEX(EmployeeData[Department], ROW() - 37), "")</f>
        <v/>
      </c>
      <c r="E3214" s="4" t="str" cm="1">
        <f t="array" ref="E3214">IFERROR(INDEX(EmployeeData[Gender], ROW() - 37), "")</f>
        <v/>
      </c>
      <c r="F3214" s="4" t="str" cm="1">
        <f t="array" ref="F3214">IFERROR(INDEX(EmployeeData[Age], ROW() - 37), "")</f>
        <v/>
      </c>
      <c r="G3214" s="6" t="str" cm="1">
        <f t="array" ref="G3214">IFERROR(INDEX(EmployeeData[Join Date], ROW() - 37), "")</f>
        <v/>
      </c>
      <c r="H3214" s="6" t="str" cm="1">
        <f t="array" ref="H3214">IFERROR(IF(INDEX(EmployeeData[Exit Date], ROW() - 37)=0, "",INDEX(EmployeeData[Exit Date], ROW() - 37)),"")</f>
        <v/>
      </c>
      <c r="I3214" s="4" t="str" cm="1">
        <f t="array" ref="I3214">IFERROR(IF(INDEX(EmployeeData[Exit Reason], ROW() - 37)=0, "",INDEX(EmployeeData[Exit Reason], ROW() - 37)),"")</f>
        <v/>
      </c>
      <c r="J3214" s="4" t="str" cm="1">
        <f t="array" ref="J3214">IFERROR(INDEX(EmployeeData[Status], ROW() - 37), "")</f>
        <v/>
      </c>
    </row>
    <row r="3215" spans="2:10" ht="19.95" customHeight="1" x14ac:dyDescent="0.3">
      <c r="B3215" s="4" t="str" cm="1">
        <f t="array" ref="B3215">IFERROR(INDEX(EmployeeData[Employee ID], ROW() - 37), "")</f>
        <v/>
      </c>
      <c r="C3215" s="4" t="str" cm="1">
        <f t="array" ref="C3215">IFERROR(INDEX(EmployeeData[Full Name], ROW() - 37), "")</f>
        <v/>
      </c>
      <c r="D3215" s="4" t="str" cm="1">
        <f t="array" ref="D3215">IFERROR(INDEX(EmployeeData[Department], ROW() - 37), "")</f>
        <v/>
      </c>
      <c r="E3215" s="4" t="str" cm="1">
        <f t="array" ref="E3215">IFERROR(INDEX(EmployeeData[Gender], ROW() - 37), "")</f>
        <v/>
      </c>
      <c r="F3215" s="4" t="str" cm="1">
        <f t="array" ref="F3215">IFERROR(INDEX(EmployeeData[Age], ROW() - 37), "")</f>
        <v/>
      </c>
      <c r="G3215" s="6" t="str" cm="1">
        <f t="array" ref="G3215">IFERROR(INDEX(EmployeeData[Join Date], ROW() - 37), "")</f>
        <v/>
      </c>
      <c r="H3215" s="6" t="str" cm="1">
        <f t="array" ref="H3215">IFERROR(IF(INDEX(EmployeeData[Exit Date], ROW() - 37)=0, "",INDEX(EmployeeData[Exit Date], ROW() - 37)),"")</f>
        <v/>
      </c>
      <c r="I3215" s="4" t="str" cm="1">
        <f t="array" ref="I3215">IFERROR(IF(INDEX(EmployeeData[Exit Reason], ROW() - 37)=0, "",INDEX(EmployeeData[Exit Reason], ROW() - 37)),"")</f>
        <v/>
      </c>
      <c r="J3215" s="4" t="str" cm="1">
        <f t="array" ref="J3215">IFERROR(INDEX(EmployeeData[Status], ROW() - 37), "")</f>
        <v/>
      </c>
    </row>
    <row r="3216" spans="2:10" ht="19.95" customHeight="1" x14ac:dyDescent="0.3">
      <c r="B3216" s="4" t="str" cm="1">
        <f t="array" ref="B3216">IFERROR(INDEX(EmployeeData[Employee ID], ROW() - 37), "")</f>
        <v/>
      </c>
      <c r="C3216" s="4" t="str" cm="1">
        <f t="array" ref="C3216">IFERROR(INDEX(EmployeeData[Full Name], ROW() - 37), "")</f>
        <v/>
      </c>
      <c r="D3216" s="4" t="str" cm="1">
        <f t="array" ref="D3216">IFERROR(INDEX(EmployeeData[Department], ROW() - 37), "")</f>
        <v/>
      </c>
      <c r="E3216" s="4" t="str" cm="1">
        <f t="array" ref="E3216">IFERROR(INDEX(EmployeeData[Gender], ROW() - 37), "")</f>
        <v/>
      </c>
      <c r="F3216" s="4" t="str" cm="1">
        <f t="array" ref="F3216">IFERROR(INDEX(EmployeeData[Age], ROW() - 37), "")</f>
        <v/>
      </c>
      <c r="G3216" s="6" t="str" cm="1">
        <f t="array" ref="G3216">IFERROR(INDEX(EmployeeData[Join Date], ROW() - 37), "")</f>
        <v/>
      </c>
      <c r="H3216" s="6" t="str" cm="1">
        <f t="array" ref="H3216">IFERROR(IF(INDEX(EmployeeData[Exit Date], ROW() - 37)=0, "",INDEX(EmployeeData[Exit Date], ROW() - 37)),"")</f>
        <v/>
      </c>
      <c r="I3216" s="4" t="str" cm="1">
        <f t="array" ref="I3216">IFERROR(IF(INDEX(EmployeeData[Exit Reason], ROW() - 37)=0, "",INDEX(EmployeeData[Exit Reason], ROW() - 37)),"")</f>
        <v/>
      </c>
      <c r="J3216" s="4" t="str" cm="1">
        <f t="array" ref="J3216">IFERROR(INDEX(EmployeeData[Status], ROW() - 37), "")</f>
        <v/>
      </c>
    </row>
    <row r="3217" spans="2:10" ht="19.95" customHeight="1" x14ac:dyDescent="0.3">
      <c r="B3217" s="4" t="str" cm="1">
        <f t="array" ref="B3217">IFERROR(INDEX(EmployeeData[Employee ID], ROW() - 37), "")</f>
        <v/>
      </c>
      <c r="C3217" s="4" t="str" cm="1">
        <f t="array" ref="C3217">IFERROR(INDEX(EmployeeData[Full Name], ROW() - 37), "")</f>
        <v/>
      </c>
      <c r="D3217" s="4" t="str" cm="1">
        <f t="array" ref="D3217">IFERROR(INDEX(EmployeeData[Department], ROW() - 37), "")</f>
        <v/>
      </c>
      <c r="E3217" s="4" t="str" cm="1">
        <f t="array" ref="E3217">IFERROR(INDEX(EmployeeData[Gender], ROW() - 37), "")</f>
        <v/>
      </c>
      <c r="F3217" s="4" t="str" cm="1">
        <f t="array" ref="F3217">IFERROR(INDEX(EmployeeData[Age], ROW() - 37), "")</f>
        <v/>
      </c>
      <c r="G3217" s="6" t="str" cm="1">
        <f t="array" ref="G3217">IFERROR(INDEX(EmployeeData[Join Date], ROW() - 37), "")</f>
        <v/>
      </c>
      <c r="H3217" s="6" t="str" cm="1">
        <f t="array" ref="H3217">IFERROR(IF(INDEX(EmployeeData[Exit Date], ROW() - 37)=0, "",INDEX(EmployeeData[Exit Date], ROW() - 37)),"")</f>
        <v/>
      </c>
      <c r="I3217" s="4" t="str" cm="1">
        <f t="array" ref="I3217">IFERROR(IF(INDEX(EmployeeData[Exit Reason], ROW() - 37)=0, "",INDEX(EmployeeData[Exit Reason], ROW() - 37)),"")</f>
        <v/>
      </c>
      <c r="J3217" s="4" t="str" cm="1">
        <f t="array" ref="J3217">IFERROR(INDEX(EmployeeData[Status], ROW() - 37), "")</f>
        <v/>
      </c>
    </row>
    <row r="3218" spans="2:10" ht="19.95" customHeight="1" x14ac:dyDescent="0.3">
      <c r="B3218" s="4" t="str" cm="1">
        <f t="array" ref="B3218">IFERROR(INDEX(EmployeeData[Employee ID], ROW() - 37), "")</f>
        <v/>
      </c>
      <c r="C3218" s="4" t="str" cm="1">
        <f t="array" ref="C3218">IFERROR(INDEX(EmployeeData[Full Name], ROW() - 37), "")</f>
        <v/>
      </c>
      <c r="D3218" s="4" t="str" cm="1">
        <f t="array" ref="D3218">IFERROR(INDEX(EmployeeData[Department], ROW() - 37), "")</f>
        <v/>
      </c>
      <c r="E3218" s="4" t="str" cm="1">
        <f t="array" ref="E3218">IFERROR(INDEX(EmployeeData[Gender], ROW() - 37), "")</f>
        <v/>
      </c>
      <c r="F3218" s="4" t="str" cm="1">
        <f t="array" ref="F3218">IFERROR(INDEX(EmployeeData[Age], ROW() - 37), "")</f>
        <v/>
      </c>
      <c r="G3218" s="6" t="str" cm="1">
        <f t="array" ref="G3218">IFERROR(INDEX(EmployeeData[Join Date], ROW() - 37), "")</f>
        <v/>
      </c>
      <c r="H3218" s="6" t="str" cm="1">
        <f t="array" ref="H3218">IFERROR(IF(INDEX(EmployeeData[Exit Date], ROW() - 37)=0, "",INDEX(EmployeeData[Exit Date], ROW() - 37)),"")</f>
        <v/>
      </c>
      <c r="I3218" s="4" t="str" cm="1">
        <f t="array" ref="I3218">IFERROR(IF(INDEX(EmployeeData[Exit Reason], ROW() - 37)=0, "",INDEX(EmployeeData[Exit Reason], ROW() - 37)),"")</f>
        <v/>
      </c>
      <c r="J3218" s="4" t="str" cm="1">
        <f t="array" ref="J3218">IFERROR(INDEX(EmployeeData[Status], ROW() - 37), "")</f>
        <v/>
      </c>
    </row>
    <row r="3219" spans="2:10" ht="19.95" customHeight="1" x14ac:dyDescent="0.3">
      <c r="B3219" s="4" t="str" cm="1">
        <f t="array" ref="B3219">IFERROR(INDEX(EmployeeData[Employee ID], ROW() - 37), "")</f>
        <v/>
      </c>
      <c r="C3219" s="4" t="str" cm="1">
        <f t="array" ref="C3219">IFERROR(INDEX(EmployeeData[Full Name], ROW() - 37), "")</f>
        <v/>
      </c>
      <c r="D3219" s="4" t="str" cm="1">
        <f t="array" ref="D3219">IFERROR(INDEX(EmployeeData[Department], ROW() - 37), "")</f>
        <v/>
      </c>
      <c r="E3219" s="4" t="str" cm="1">
        <f t="array" ref="E3219">IFERROR(INDEX(EmployeeData[Gender], ROW() - 37), "")</f>
        <v/>
      </c>
      <c r="F3219" s="4" t="str" cm="1">
        <f t="array" ref="F3219">IFERROR(INDEX(EmployeeData[Age], ROW() - 37), "")</f>
        <v/>
      </c>
      <c r="G3219" s="6" t="str" cm="1">
        <f t="array" ref="G3219">IFERROR(INDEX(EmployeeData[Join Date], ROW() - 37), "")</f>
        <v/>
      </c>
      <c r="H3219" s="6" t="str" cm="1">
        <f t="array" ref="H3219">IFERROR(IF(INDEX(EmployeeData[Exit Date], ROW() - 37)=0, "",INDEX(EmployeeData[Exit Date], ROW() - 37)),"")</f>
        <v/>
      </c>
      <c r="I3219" s="4" t="str" cm="1">
        <f t="array" ref="I3219">IFERROR(IF(INDEX(EmployeeData[Exit Reason], ROW() - 37)=0, "",INDEX(EmployeeData[Exit Reason], ROW() - 37)),"")</f>
        <v/>
      </c>
      <c r="J3219" s="4" t="str" cm="1">
        <f t="array" ref="J3219">IFERROR(INDEX(EmployeeData[Status], ROW() - 37), "")</f>
        <v/>
      </c>
    </row>
    <row r="3220" spans="2:10" ht="19.95" customHeight="1" x14ac:dyDescent="0.3">
      <c r="B3220" s="4" t="str" cm="1">
        <f t="array" ref="B3220">IFERROR(INDEX(EmployeeData[Employee ID], ROW() - 37), "")</f>
        <v/>
      </c>
      <c r="C3220" s="4" t="str" cm="1">
        <f t="array" ref="C3220">IFERROR(INDEX(EmployeeData[Full Name], ROW() - 37), "")</f>
        <v/>
      </c>
      <c r="D3220" s="4" t="str" cm="1">
        <f t="array" ref="D3220">IFERROR(INDEX(EmployeeData[Department], ROW() - 37), "")</f>
        <v/>
      </c>
      <c r="E3220" s="4" t="str" cm="1">
        <f t="array" ref="E3220">IFERROR(INDEX(EmployeeData[Gender], ROW() - 37), "")</f>
        <v/>
      </c>
      <c r="F3220" s="4" t="str" cm="1">
        <f t="array" ref="F3220">IFERROR(INDEX(EmployeeData[Age], ROW() - 37), "")</f>
        <v/>
      </c>
      <c r="G3220" s="6" t="str" cm="1">
        <f t="array" ref="G3220">IFERROR(INDEX(EmployeeData[Join Date], ROW() - 37), "")</f>
        <v/>
      </c>
      <c r="H3220" s="6" t="str" cm="1">
        <f t="array" ref="H3220">IFERROR(IF(INDEX(EmployeeData[Exit Date], ROW() - 37)=0, "",INDEX(EmployeeData[Exit Date], ROW() - 37)),"")</f>
        <v/>
      </c>
      <c r="I3220" s="4" t="str" cm="1">
        <f t="array" ref="I3220">IFERROR(IF(INDEX(EmployeeData[Exit Reason], ROW() - 37)=0, "",INDEX(EmployeeData[Exit Reason], ROW() - 37)),"")</f>
        <v/>
      </c>
      <c r="J3220" s="4" t="str" cm="1">
        <f t="array" ref="J3220">IFERROR(INDEX(EmployeeData[Status], ROW() - 37), "")</f>
        <v/>
      </c>
    </row>
    <row r="3221" spans="2:10" ht="19.95" customHeight="1" x14ac:dyDescent="0.3">
      <c r="B3221" s="4" t="str" cm="1">
        <f t="array" ref="B3221">IFERROR(INDEX(EmployeeData[Employee ID], ROW() - 37), "")</f>
        <v/>
      </c>
      <c r="C3221" s="4" t="str" cm="1">
        <f t="array" ref="C3221">IFERROR(INDEX(EmployeeData[Full Name], ROW() - 37), "")</f>
        <v/>
      </c>
      <c r="D3221" s="4" t="str" cm="1">
        <f t="array" ref="D3221">IFERROR(INDEX(EmployeeData[Department], ROW() - 37), "")</f>
        <v/>
      </c>
      <c r="E3221" s="4" t="str" cm="1">
        <f t="array" ref="E3221">IFERROR(INDEX(EmployeeData[Gender], ROW() - 37), "")</f>
        <v/>
      </c>
      <c r="F3221" s="4" t="str" cm="1">
        <f t="array" ref="F3221">IFERROR(INDEX(EmployeeData[Age], ROW() - 37), "")</f>
        <v/>
      </c>
      <c r="G3221" s="6" t="str" cm="1">
        <f t="array" ref="G3221">IFERROR(INDEX(EmployeeData[Join Date], ROW() - 37), "")</f>
        <v/>
      </c>
      <c r="H3221" s="6" t="str" cm="1">
        <f t="array" ref="H3221">IFERROR(IF(INDEX(EmployeeData[Exit Date], ROW() - 37)=0, "",INDEX(EmployeeData[Exit Date], ROW() - 37)),"")</f>
        <v/>
      </c>
      <c r="I3221" s="4" t="str" cm="1">
        <f t="array" ref="I3221">IFERROR(IF(INDEX(EmployeeData[Exit Reason], ROW() - 37)=0, "",INDEX(EmployeeData[Exit Reason], ROW() - 37)),"")</f>
        <v/>
      </c>
      <c r="J3221" s="4" t="str" cm="1">
        <f t="array" ref="J3221">IFERROR(INDEX(EmployeeData[Status], ROW() - 37), "")</f>
        <v/>
      </c>
    </row>
    <row r="3222" spans="2:10" ht="19.95" customHeight="1" x14ac:dyDescent="0.3">
      <c r="B3222" s="4" t="str" cm="1">
        <f t="array" ref="B3222">IFERROR(INDEX(EmployeeData[Employee ID], ROW() - 37), "")</f>
        <v/>
      </c>
      <c r="C3222" s="4" t="str" cm="1">
        <f t="array" ref="C3222">IFERROR(INDEX(EmployeeData[Full Name], ROW() - 37), "")</f>
        <v/>
      </c>
      <c r="D3222" s="4" t="str" cm="1">
        <f t="array" ref="D3222">IFERROR(INDEX(EmployeeData[Department], ROW() - 37), "")</f>
        <v/>
      </c>
      <c r="E3222" s="4" t="str" cm="1">
        <f t="array" ref="E3222">IFERROR(INDEX(EmployeeData[Gender], ROW() - 37), "")</f>
        <v/>
      </c>
      <c r="F3222" s="4" t="str" cm="1">
        <f t="array" ref="F3222">IFERROR(INDEX(EmployeeData[Age], ROW() - 37), "")</f>
        <v/>
      </c>
      <c r="G3222" s="6" t="str" cm="1">
        <f t="array" ref="G3222">IFERROR(INDEX(EmployeeData[Join Date], ROW() - 37), "")</f>
        <v/>
      </c>
      <c r="H3222" s="6" t="str" cm="1">
        <f t="array" ref="H3222">IFERROR(IF(INDEX(EmployeeData[Exit Date], ROW() - 37)=0, "",INDEX(EmployeeData[Exit Date], ROW() - 37)),"")</f>
        <v/>
      </c>
      <c r="I3222" s="4" t="str" cm="1">
        <f t="array" ref="I3222">IFERROR(IF(INDEX(EmployeeData[Exit Reason], ROW() - 37)=0, "",INDEX(EmployeeData[Exit Reason], ROW() - 37)),"")</f>
        <v/>
      </c>
      <c r="J3222" s="4" t="str" cm="1">
        <f t="array" ref="J3222">IFERROR(INDEX(EmployeeData[Status], ROW() - 37), "")</f>
        <v/>
      </c>
    </row>
    <row r="3223" spans="2:10" ht="19.95" customHeight="1" x14ac:dyDescent="0.3">
      <c r="B3223" s="4" t="str" cm="1">
        <f t="array" ref="B3223">IFERROR(INDEX(EmployeeData[Employee ID], ROW() - 37), "")</f>
        <v/>
      </c>
      <c r="C3223" s="4" t="str" cm="1">
        <f t="array" ref="C3223">IFERROR(INDEX(EmployeeData[Full Name], ROW() - 37), "")</f>
        <v/>
      </c>
      <c r="D3223" s="4" t="str" cm="1">
        <f t="array" ref="D3223">IFERROR(INDEX(EmployeeData[Department], ROW() - 37), "")</f>
        <v/>
      </c>
      <c r="E3223" s="4" t="str" cm="1">
        <f t="array" ref="E3223">IFERROR(INDEX(EmployeeData[Gender], ROW() - 37), "")</f>
        <v/>
      </c>
      <c r="F3223" s="4" t="str" cm="1">
        <f t="array" ref="F3223">IFERROR(INDEX(EmployeeData[Age], ROW() - 37), "")</f>
        <v/>
      </c>
      <c r="G3223" s="6" t="str" cm="1">
        <f t="array" ref="G3223">IFERROR(INDEX(EmployeeData[Join Date], ROW() - 37), "")</f>
        <v/>
      </c>
      <c r="H3223" s="6" t="str" cm="1">
        <f t="array" ref="H3223">IFERROR(IF(INDEX(EmployeeData[Exit Date], ROW() - 37)=0, "",INDEX(EmployeeData[Exit Date], ROW() - 37)),"")</f>
        <v/>
      </c>
      <c r="I3223" s="4" t="str" cm="1">
        <f t="array" ref="I3223">IFERROR(IF(INDEX(EmployeeData[Exit Reason], ROW() - 37)=0, "",INDEX(EmployeeData[Exit Reason], ROW() - 37)),"")</f>
        <v/>
      </c>
      <c r="J3223" s="4" t="str" cm="1">
        <f t="array" ref="J3223">IFERROR(INDEX(EmployeeData[Status], ROW() - 37), "")</f>
        <v/>
      </c>
    </row>
    <row r="3224" spans="2:10" ht="19.95" customHeight="1" x14ac:dyDescent="0.3">
      <c r="B3224" s="4" t="str" cm="1">
        <f t="array" ref="B3224">IFERROR(INDEX(EmployeeData[Employee ID], ROW() - 37), "")</f>
        <v/>
      </c>
      <c r="C3224" s="4" t="str" cm="1">
        <f t="array" ref="C3224">IFERROR(INDEX(EmployeeData[Full Name], ROW() - 37), "")</f>
        <v/>
      </c>
      <c r="D3224" s="4" t="str" cm="1">
        <f t="array" ref="D3224">IFERROR(INDEX(EmployeeData[Department], ROW() - 37), "")</f>
        <v/>
      </c>
      <c r="E3224" s="4" t="str" cm="1">
        <f t="array" ref="E3224">IFERROR(INDEX(EmployeeData[Gender], ROW() - 37), "")</f>
        <v/>
      </c>
      <c r="F3224" s="4" t="str" cm="1">
        <f t="array" ref="F3224">IFERROR(INDEX(EmployeeData[Age], ROW() - 37), "")</f>
        <v/>
      </c>
      <c r="G3224" s="6" t="str" cm="1">
        <f t="array" ref="G3224">IFERROR(INDEX(EmployeeData[Join Date], ROW() - 37), "")</f>
        <v/>
      </c>
      <c r="H3224" s="6" t="str" cm="1">
        <f t="array" ref="H3224">IFERROR(IF(INDEX(EmployeeData[Exit Date], ROW() - 37)=0, "",INDEX(EmployeeData[Exit Date], ROW() - 37)),"")</f>
        <v/>
      </c>
      <c r="I3224" s="4" t="str" cm="1">
        <f t="array" ref="I3224">IFERROR(IF(INDEX(EmployeeData[Exit Reason], ROW() - 37)=0, "",INDEX(EmployeeData[Exit Reason], ROW() - 37)),"")</f>
        <v/>
      </c>
      <c r="J3224" s="4" t="str" cm="1">
        <f t="array" ref="J3224">IFERROR(INDEX(EmployeeData[Status], ROW() - 37), "")</f>
        <v/>
      </c>
    </row>
    <row r="3225" spans="2:10" ht="19.95" customHeight="1" x14ac:dyDescent="0.3">
      <c r="B3225" s="4" t="str" cm="1">
        <f t="array" ref="B3225">IFERROR(INDEX(EmployeeData[Employee ID], ROW() - 37), "")</f>
        <v/>
      </c>
      <c r="C3225" s="4" t="str" cm="1">
        <f t="array" ref="C3225">IFERROR(INDEX(EmployeeData[Full Name], ROW() - 37), "")</f>
        <v/>
      </c>
      <c r="D3225" s="4" t="str" cm="1">
        <f t="array" ref="D3225">IFERROR(INDEX(EmployeeData[Department], ROW() - 37), "")</f>
        <v/>
      </c>
      <c r="E3225" s="4" t="str" cm="1">
        <f t="array" ref="E3225">IFERROR(INDEX(EmployeeData[Gender], ROW() - 37), "")</f>
        <v/>
      </c>
      <c r="F3225" s="4" t="str" cm="1">
        <f t="array" ref="F3225">IFERROR(INDEX(EmployeeData[Age], ROW() - 37), "")</f>
        <v/>
      </c>
      <c r="G3225" s="6" t="str" cm="1">
        <f t="array" ref="G3225">IFERROR(INDEX(EmployeeData[Join Date], ROW() - 37), "")</f>
        <v/>
      </c>
      <c r="H3225" s="6" t="str" cm="1">
        <f t="array" ref="H3225">IFERROR(IF(INDEX(EmployeeData[Exit Date], ROW() - 37)=0, "",INDEX(EmployeeData[Exit Date], ROW() - 37)),"")</f>
        <v/>
      </c>
      <c r="I3225" s="4" t="str" cm="1">
        <f t="array" ref="I3225">IFERROR(IF(INDEX(EmployeeData[Exit Reason], ROW() - 37)=0, "",INDEX(EmployeeData[Exit Reason], ROW() - 37)),"")</f>
        <v/>
      </c>
      <c r="J3225" s="4" t="str" cm="1">
        <f t="array" ref="J3225">IFERROR(INDEX(EmployeeData[Status], ROW() - 37), "")</f>
        <v/>
      </c>
    </row>
    <row r="3226" spans="2:10" ht="19.95" customHeight="1" x14ac:dyDescent="0.3">
      <c r="B3226" s="4" t="str" cm="1">
        <f t="array" ref="B3226">IFERROR(INDEX(EmployeeData[Employee ID], ROW() - 37), "")</f>
        <v/>
      </c>
      <c r="C3226" s="4" t="str" cm="1">
        <f t="array" ref="C3226">IFERROR(INDEX(EmployeeData[Full Name], ROW() - 37), "")</f>
        <v/>
      </c>
      <c r="D3226" s="4" t="str" cm="1">
        <f t="array" ref="D3226">IFERROR(INDEX(EmployeeData[Department], ROW() - 37), "")</f>
        <v/>
      </c>
      <c r="E3226" s="4" t="str" cm="1">
        <f t="array" ref="E3226">IFERROR(INDEX(EmployeeData[Gender], ROW() - 37), "")</f>
        <v/>
      </c>
      <c r="F3226" s="4" t="str" cm="1">
        <f t="array" ref="F3226">IFERROR(INDEX(EmployeeData[Age], ROW() - 37), "")</f>
        <v/>
      </c>
      <c r="G3226" s="6" t="str" cm="1">
        <f t="array" ref="G3226">IFERROR(INDEX(EmployeeData[Join Date], ROW() - 37), "")</f>
        <v/>
      </c>
      <c r="H3226" s="6" t="str" cm="1">
        <f t="array" ref="H3226">IFERROR(IF(INDEX(EmployeeData[Exit Date], ROW() - 37)=0, "",INDEX(EmployeeData[Exit Date], ROW() - 37)),"")</f>
        <v/>
      </c>
      <c r="I3226" s="4" t="str" cm="1">
        <f t="array" ref="I3226">IFERROR(IF(INDEX(EmployeeData[Exit Reason], ROW() - 37)=0, "",INDEX(EmployeeData[Exit Reason], ROW() - 37)),"")</f>
        <v/>
      </c>
      <c r="J3226" s="4" t="str" cm="1">
        <f t="array" ref="J3226">IFERROR(INDEX(EmployeeData[Status], ROW() - 37), "")</f>
        <v/>
      </c>
    </row>
    <row r="3227" spans="2:10" ht="19.95" customHeight="1" x14ac:dyDescent="0.3">
      <c r="B3227" s="4" t="str" cm="1">
        <f t="array" ref="B3227">IFERROR(INDEX(EmployeeData[Employee ID], ROW() - 37), "")</f>
        <v/>
      </c>
      <c r="C3227" s="4" t="str" cm="1">
        <f t="array" ref="C3227">IFERROR(INDEX(EmployeeData[Full Name], ROW() - 37), "")</f>
        <v/>
      </c>
      <c r="D3227" s="4" t="str" cm="1">
        <f t="array" ref="D3227">IFERROR(INDEX(EmployeeData[Department], ROW() - 37), "")</f>
        <v/>
      </c>
      <c r="E3227" s="4" t="str" cm="1">
        <f t="array" ref="E3227">IFERROR(INDEX(EmployeeData[Gender], ROW() - 37), "")</f>
        <v/>
      </c>
      <c r="F3227" s="4" t="str" cm="1">
        <f t="array" ref="F3227">IFERROR(INDEX(EmployeeData[Age], ROW() - 37), "")</f>
        <v/>
      </c>
      <c r="G3227" s="6" t="str" cm="1">
        <f t="array" ref="G3227">IFERROR(INDEX(EmployeeData[Join Date], ROW() - 37), "")</f>
        <v/>
      </c>
      <c r="H3227" s="6" t="str" cm="1">
        <f t="array" ref="H3227">IFERROR(IF(INDEX(EmployeeData[Exit Date], ROW() - 37)=0, "",INDEX(EmployeeData[Exit Date], ROW() - 37)),"")</f>
        <v/>
      </c>
      <c r="I3227" s="4" t="str" cm="1">
        <f t="array" ref="I3227">IFERROR(IF(INDEX(EmployeeData[Exit Reason], ROW() - 37)=0, "",INDEX(EmployeeData[Exit Reason], ROW() - 37)),"")</f>
        <v/>
      </c>
      <c r="J3227" s="4" t="str" cm="1">
        <f t="array" ref="J3227">IFERROR(INDEX(EmployeeData[Status], ROW() - 37), "")</f>
        <v/>
      </c>
    </row>
    <row r="3228" spans="2:10" ht="19.95" customHeight="1" x14ac:dyDescent="0.3">
      <c r="B3228" s="4" t="str" cm="1">
        <f t="array" ref="B3228">IFERROR(INDEX(EmployeeData[Employee ID], ROW() - 37), "")</f>
        <v/>
      </c>
      <c r="C3228" s="4" t="str" cm="1">
        <f t="array" ref="C3228">IFERROR(INDEX(EmployeeData[Full Name], ROW() - 37), "")</f>
        <v/>
      </c>
      <c r="D3228" s="4" t="str" cm="1">
        <f t="array" ref="D3228">IFERROR(INDEX(EmployeeData[Department], ROW() - 37), "")</f>
        <v/>
      </c>
      <c r="E3228" s="4" t="str" cm="1">
        <f t="array" ref="E3228">IFERROR(INDEX(EmployeeData[Gender], ROW() - 37), "")</f>
        <v/>
      </c>
      <c r="F3228" s="4" t="str" cm="1">
        <f t="array" ref="F3228">IFERROR(INDEX(EmployeeData[Age], ROW() - 37), "")</f>
        <v/>
      </c>
      <c r="G3228" s="6" t="str" cm="1">
        <f t="array" ref="G3228">IFERROR(INDEX(EmployeeData[Join Date], ROW() - 37), "")</f>
        <v/>
      </c>
      <c r="H3228" s="6" t="str" cm="1">
        <f t="array" ref="H3228">IFERROR(IF(INDEX(EmployeeData[Exit Date], ROW() - 37)=0, "",INDEX(EmployeeData[Exit Date], ROW() - 37)),"")</f>
        <v/>
      </c>
      <c r="I3228" s="4" t="str" cm="1">
        <f t="array" ref="I3228">IFERROR(IF(INDEX(EmployeeData[Exit Reason], ROW() - 37)=0, "",INDEX(EmployeeData[Exit Reason], ROW() - 37)),"")</f>
        <v/>
      </c>
      <c r="J3228" s="4" t="str" cm="1">
        <f t="array" ref="J3228">IFERROR(INDEX(EmployeeData[Status], ROW() - 37), "")</f>
        <v/>
      </c>
    </row>
    <row r="3229" spans="2:10" ht="19.95" customHeight="1" x14ac:dyDescent="0.3">
      <c r="B3229" s="4" t="str" cm="1">
        <f t="array" ref="B3229">IFERROR(INDEX(EmployeeData[Employee ID], ROW() - 37), "")</f>
        <v/>
      </c>
      <c r="C3229" s="4" t="str" cm="1">
        <f t="array" ref="C3229">IFERROR(INDEX(EmployeeData[Full Name], ROW() - 37), "")</f>
        <v/>
      </c>
      <c r="D3229" s="4" t="str" cm="1">
        <f t="array" ref="D3229">IFERROR(INDEX(EmployeeData[Department], ROW() - 37), "")</f>
        <v/>
      </c>
      <c r="E3229" s="4" t="str" cm="1">
        <f t="array" ref="E3229">IFERROR(INDEX(EmployeeData[Gender], ROW() - 37), "")</f>
        <v/>
      </c>
      <c r="F3229" s="4" t="str" cm="1">
        <f t="array" ref="F3229">IFERROR(INDEX(EmployeeData[Age], ROW() - 37), "")</f>
        <v/>
      </c>
      <c r="G3229" s="6" t="str" cm="1">
        <f t="array" ref="G3229">IFERROR(INDEX(EmployeeData[Join Date], ROW() - 37), "")</f>
        <v/>
      </c>
      <c r="H3229" s="6" t="str" cm="1">
        <f t="array" ref="H3229">IFERROR(IF(INDEX(EmployeeData[Exit Date], ROW() - 37)=0, "",INDEX(EmployeeData[Exit Date], ROW() - 37)),"")</f>
        <v/>
      </c>
      <c r="I3229" s="4" t="str" cm="1">
        <f t="array" ref="I3229">IFERROR(IF(INDEX(EmployeeData[Exit Reason], ROW() - 37)=0, "",INDEX(EmployeeData[Exit Reason], ROW() - 37)),"")</f>
        <v/>
      </c>
      <c r="J3229" s="4" t="str" cm="1">
        <f t="array" ref="J3229">IFERROR(INDEX(EmployeeData[Status], ROW() - 37), "")</f>
        <v/>
      </c>
    </row>
    <row r="3230" spans="2:10" ht="19.95" customHeight="1" x14ac:dyDescent="0.3">
      <c r="B3230" s="4" t="str" cm="1">
        <f t="array" ref="B3230">IFERROR(INDEX(EmployeeData[Employee ID], ROW() - 37), "")</f>
        <v/>
      </c>
      <c r="C3230" s="4" t="str" cm="1">
        <f t="array" ref="C3230">IFERROR(INDEX(EmployeeData[Full Name], ROW() - 37), "")</f>
        <v/>
      </c>
      <c r="D3230" s="4" t="str" cm="1">
        <f t="array" ref="D3230">IFERROR(INDEX(EmployeeData[Department], ROW() - 37), "")</f>
        <v/>
      </c>
      <c r="E3230" s="4" t="str" cm="1">
        <f t="array" ref="E3230">IFERROR(INDEX(EmployeeData[Gender], ROW() - 37), "")</f>
        <v/>
      </c>
      <c r="F3230" s="4" t="str" cm="1">
        <f t="array" ref="F3230">IFERROR(INDEX(EmployeeData[Age], ROW() - 37), "")</f>
        <v/>
      </c>
      <c r="G3230" s="6" t="str" cm="1">
        <f t="array" ref="G3230">IFERROR(INDEX(EmployeeData[Join Date], ROW() - 37), "")</f>
        <v/>
      </c>
      <c r="H3230" s="6" t="str" cm="1">
        <f t="array" ref="H3230">IFERROR(IF(INDEX(EmployeeData[Exit Date], ROW() - 37)=0, "",INDEX(EmployeeData[Exit Date], ROW() - 37)),"")</f>
        <v/>
      </c>
      <c r="I3230" s="4" t="str" cm="1">
        <f t="array" ref="I3230">IFERROR(IF(INDEX(EmployeeData[Exit Reason], ROW() - 37)=0, "",INDEX(EmployeeData[Exit Reason], ROW() - 37)),"")</f>
        <v/>
      </c>
      <c r="J3230" s="4" t="str" cm="1">
        <f t="array" ref="J3230">IFERROR(INDEX(EmployeeData[Status], ROW() - 37), "")</f>
        <v/>
      </c>
    </row>
    <row r="3231" spans="2:10" ht="19.95" customHeight="1" x14ac:dyDescent="0.3">
      <c r="B3231" s="4" t="str" cm="1">
        <f t="array" ref="B3231">IFERROR(INDEX(EmployeeData[Employee ID], ROW() - 37), "")</f>
        <v/>
      </c>
      <c r="C3231" s="4" t="str" cm="1">
        <f t="array" ref="C3231">IFERROR(INDEX(EmployeeData[Full Name], ROW() - 37), "")</f>
        <v/>
      </c>
      <c r="D3231" s="4" t="str" cm="1">
        <f t="array" ref="D3231">IFERROR(INDEX(EmployeeData[Department], ROW() - 37), "")</f>
        <v/>
      </c>
      <c r="E3231" s="4" t="str" cm="1">
        <f t="array" ref="E3231">IFERROR(INDEX(EmployeeData[Gender], ROW() - 37), "")</f>
        <v/>
      </c>
      <c r="F3231" s="4" t="str" cm="1">
        <f t="array" ref="F3231">IFERROR(INDEX(EmployeeData[Age], ROW() - 37), "")</f>
        <v/>
      </c>
      <c r="G3231" s="6" t="str" cm="1">
        <f t="array" ref="G3231">IFERROR(INDEX(EmployeeData[Join Date], ROW() - 37), "")</f>
        <v/>
      </c>
      <c r="H3231" s="6" t="str" cm="1">
        <f t="array" ref="H3231">IFERROR(IF(INDEX(EmployeeData[Exit Date], ROW() - 37)=0, "",INDEX(EmployeeData[Exit Date], ROW() - 37)),"")</f>
        <v/>
      </c>
      <c r="I3231" s="4" t="str" cm="1">
        <f t="array" ref="I3231">IFERROR(IF(INDEX(EmployeeData[Exit Reason], ROW() - 37)=0, "",INDEX(EmployeeData[Exit Reason], ROW() - 37)),"")</f>
        <v/>
      </c>
      <c r="J3231" s="4" t="str" cm="1">
        <f t="array" ref="J3231">IFERROR(INDEX(EmployeeData[Status], ROW() - 37), "")</f>
        <v/>
      </c>
    </row>
    <row r="3232" spans="2:10" ht="19.95" customHeight="1" x14ac:dyDescent="0.3">
      <c r="B3232" s="4" t="str" cm="1">
        <f t="array" ref="B3232">IFERROR(INDEX(EmployeeData[Employee ID], ROW() - 37), "")</f>
        <v/>
      </c>
      <c r="C3232" s="4" t="str" cm="1">
        <f t="array" ref="C3232">IFERROR(INDEX(EmployeeData[Full Name], ROW() - 37), "")</f>
        <v/>
      </c>
      <c r="D3232" s="4" t="str" cm="1">
        <f t="array" ref="D3232">IFERROR(INDEX(EmployeeData[Department], ROW() - 37), "")</f>
        <v/>
      </c>
      <c r="E3232" s="4" t="str" cm="1">
        <f t="array" ref="E3232">IFERROR(INDEX(EmployeeData[Gender], ROW() - 37), "")</f>
        <v/>
      </c>
      <c r="F3232" s="4" t="str" cm="1">
        <f t="array" ref="F3232">IFERROR(INDEX(EmployeeData[Age], ROW() - 37), "")</f>
        <v/>
      </c>
      <c r="G3232" s="6" t="str" cm="1">
        <f t="array" ref="G3232">IFERROR(INDEX(EmployeeData[Join Date], ROW() - 37), "")</f>
        <v/>
      </c>
      <c r="H3232" s="6" t="str" cm="1">
        <f t="array" ref="H3232">IFERROR(IF(INDEX(EmployeeData[Exit Date], ROW() - 37)=0, "",INDEX(EmployeeData[Exit Date], ROW() - 37)),"")</f>
        <v/>
      </c>
      <c r="I3232" s="4" t="str" cm="1">
        <f t="array" ref="I3232">IFERROR(IF(INDEX(EmployeeData[Exit Reason], ROW() - 37)=0, "",INDEX(EmployeeData[Exit Reason], ROW() - 37)),"")</f>
        <v/>
      </c>
      <c r="J3232" s="4" t="str" cm="1">
        <f t="array" ref="J3232">IFERROR(INDEX(EmployeeData[Status], ROW() - 37), "")</f>
        <v/>
      </c>
    </row>
    <row r="3233" spans="2:10" ht="19.95" customHeight="1" x14ac:dyDescent="0.3">
      <c r="B3233" s="4" t="str" cm="1">
        <f t="array" ref="B3233">IFERROR(INDEX(EmployeeData[Employee ID], ROW() - 37), "")</f>
        <v/>
      </c>
      <c r="C3233" s="4" t="str" cm="1">
        <f t="array" ref="C3233">IFERROR(INDEX(EmployeeData[Full Name], ROW() - 37), "")</f>
        <v/>
      </c>
      <c r="D3233" s="4" t="str" cm="1">
        <f t="array" ref="D3233">IFERROR(INDEX(EmployeeData[Department], ROW() - 37), "")</f>
        <v/>
      </c>
      <c r="E3233" s="4" t="str" cm="1">
        <f t="array" ref="E3233">IFERROR(INDEX(EmployeeData[Gender], ROW() - 37), "")</f>
        <v/>
      </c>
      <c r="F3233" s="4" t="str" cm="1">
        <f t="array" ref="F3233">IFERROR(INDEX(EmployeeData[Age], ROW() - 37), "")</f>
        <v/>
      </c>
      <c r="G3233" s="6" t="str" cm="1">
        <f t="array" ref="G3233">IFERROR(INDEX(EmployeeData[Join Date], ROW() - 37), "")</f>
        <v/>
      </c>
      <c r="H3233" s="6" t="str" cm="1">
        <f t="array" ref="H3233">IFERROR(IF(INDEX(EmployeeData[Exit Date], ROW() - 37)=0, "",INDEX(EmployeeData[Exit Date], ROW() - 37)),"")</f>
        <v/>
      </c>
      <c r="I3233" s="4" t="str" cm="1">
        <f t="array" ref="I3233">IFERROR(IF(INDEX(EmployeeData[Exit Reason], ROW() - 37)=0, "",INDEX(EmployeeData[Exit Reason], ROW() - 37)),"")</f>
        <v/>
      </c>
      <c r="J3233" s="4" t="str" cm="1">
        <f t="array" ref="J3233">IFERROR(INDEX(EmployeeData[Status], ROW() - 37), "")</f>
        <v/>
      </c>
    </row>
    <row r="3234" spans="2:10" ht="19.95" customHeight="1" x14ac:dyDescent="0.3">
      <c r="B3234" s="4" t="str" cm="1">
        <f t="array" ref="B3234">IFERROR(INDEX(EmployeeData[Employee ID], ROW() - 37), "")</f>
        <v/>
      </c>
      <c r="C3234" s="4" t="str" cm="1">
        <f t="array" ref="C3234">IFERROR(INDEX(EmployeeData[Full Name], ROW() - 37), "")</f>
        <v/>
      </c>
      <c r="D3234" s="4" t="str" cm="1">
        <f t="array" ref="D3234">IFERROR(INDEX(EmployeeData[Department], ROW() - 37), "")</f>
        <v/>
      </c>
      <c r="E3234" s="4" t="str" cm="1">
        <f t="array" ref="E3234">IFERROR(INDEX(EmployeeData[Gender], ROW() - 37), "")</f>
        <v/>
      </c>
      <c r="F3234" s="4" t="str" cm="1">
        <f t="array" ref="F3234">IFERROR(INDEX(EmployeeData[Age], ROW() - 37), "")</f>
        <v/>
      </c>
      <c r="G3234" s="6" t="str" cm="1">
        <f t="array" ref="G3234">IFERROR(INDEX(EmployeeData[Join Date], ROW() - 37), "")</f>
        <v/>
      </c>
      <c r="H3234" s="6" t="str" cm="1">
        <f t="array" ref="H3234">IFERROR(IF(INDEX(EmployeeData[Exit Date], ROW() - 37)=0, "",INDEX(EmployeeData[Exit Date], ROW() - 37)),"")</f>
        <v/>
      </c>
      <c r="I3234" s="4" t="str" cm="1">
        <f t="array" ref="I3234">IFERROR(IF(INDEX(EmployeeData[Exit Reason], ROW() - 37)=0, "",INDEX(EmployeeData[Exit Reason], ROW() - 37)),"")</f>
        <v/>
      </c>
      <c r="J3234" s="4" t="str" cm="1">
        <f t="array" ref="J3234">IFERROR(INDEX(EmployeeData[Status], ROW() - 37), "")</f>
        <v/>
      </c>
    </row>
    <row r="3235" spans="2:10" ht="19.95" customHeight="1" x14ac:dyDescent="0.3">
      <c r="B3235" s="4" t="str" cm="1">
        <f t="array" ref="B3235">IFERROR(INDEX(EmployeeData[Employee ID], ROW() - 37), "")</f>
        <v/>
      </c>
      <c r="C3235" s="4" t="str" cm="1">
        <f t="array" ref="C3235">IFERROR(INDEX(EmployeeData[Full Name], ROW() - 37), "")</f>
        <v/>
      </c>
      <c r="D3235" s="4" t="str" cm="1">
        <f t="array" ref="D3235">IFERROR(INDEX(EmployeeData[Department], ROW() - 37), "")</f>
        <v/>
      </c>
      <c r="E3235" s="4" t="str" cm="1">
        <f t="array" ref="E3235">IFERROR(INDEX(EmployeeData[Gender], ROW() - 37), "")</f>
        <v/>
      </c>
      <c r="F3235" s="4" t="str" cm="1">
        <f t="array" ref="F3235">IFERROR(INDEX(EmployeeData[Age], ROW() - 37), "")</f>
        <v/>
      </c>
      <c r="G3235" s="6" t="str" cm="1">
        <f t="array" ref="G3235">IFERROR(INDEX(EmployeeData[Join Date], ROW() - 37), "")</f>
        <v/>
      </c>
      <c r="H3235" s="6" t="str" cm="1">
        <f t="array" ref="H3235">IFERROR(IF(INDEX(EmployeeData[Exit Date], ROW() - 37)=0, "",INDEX(EmployeeData[Exit Date], ROW() - 37)),"")</f>
        <v/>
      </c>
      <c r="I3235" s="4" t="str" cm="1">
        <f t="array" ref="I3235">IFERROR(IF(INDEX(EmployeeData[Exit Reason], ROW() - 37)=0, "",INDEX(EmployeeData[Exit Reason], ROW() - 37)),"")</f>
        <v/>
      </c>
      <c r="J3235" s="4" t="str" cm="1">
        <f t="array" ref="J3235">IFERROR(INDEX(EmployeeData[Status], ROW() - 37), "")</f>
        <v/>
      </c>
    </row>
    <row r="3236" spans="2:10" ht="19.95" customHeight="1" x14ac:dyDescent="0.3">
      <c r="B3236" s="4" t="str" cm="1">
        <f t="array" ref="B3236">IFERROR(INDEX(EmployeeData[Employee ID], ROW() - 37), "")</f>
        <v/>
      </c>
      <c r="C3236" s="4" t="str" cm="1">
        <f t="array" ref="C3236">IFERROR(INDEX(EmployeeData[Full Name], ROW() - 37), "")</f>
        <v/>
      </c>
      <c r="D3236" s="4" t="str" cm="1">
        <f t="array" ref="D3236">IFERROR(INDEX(EmployeeData[Department], ROW() - 37), "")</f>
        <v/>
      </c>
      <c r="E3236" s="4" t="str" cm="1">
        <f t="array" ref="E3236">IFERROR(INDEX(EmployeeData[Gender], ROW() - 37), "")</f>
        <v/>
      </c>
      <c r="F3236" s="4" t="str" cm="1">
        <f t="array" ref="F3236">IFERROR(INDEX(EmployeeData[Age], ROW() - 37), "")</f>
        <v/>
      </c>
      <c r="G3236" s="6" t="str" cm="1">
        <f t="array" ref="G3236">IFERROR(INDEX(EmployeeData[Join Date], ROW() - 37), "")</f>
        <v/>
      </c>
      <c r="H3236" s="6" t="str" cm="1">
        <f t="array" ref="H3236">IFERROR(IF(INDEX(EmployeeData[Exit Date], ROW() - 37)=0, "",INDEX(EmployeeData[Exit Date], ROW() - 37)),"")</f>
        <v/>
      </c>
      <c r="I3236" s="4" t="str" cm="1">
        <f t="array" ref="I3236">IFERROR(IF(INDEX(EmployeeData[Exit Reason], ROW() - 37)=0, "",INDEX(EmployeeData[Exit Reason], ROW() - 37)),"")</f>
        <v/>
      </c>
      <c r="J3236" s="4" t="str" cm="1">
        <f t="array" ref="J3236">IFERROR(INDEX(EmployeeData[Status], ROW() - 37), "")</f>
        <v/>
      </c>
    </row>
    <row r="3237" spans="2:10" ht="19.95" customHeight="1" x14ac:dyDescent="0.3">
      <c r="B3237" s="4" t="str" cm="1">
        <f t="array" ref="B3237">IFERROR(INDEX(EmployeeData[Employee ID], ROW() - 37), "")</f>
        <v/>
      </c>
      <c r="C3237" s="4" t="str" cm="1">
        <f t="array" ref="C3237">IFERROR(INDEX(EmployeeData[Full Name], ROW() - 37), "")</f>
        <v/>
      </c>
      <c r="D3237" s="4" t="str" cm="1">
        <f t="array" ref="D3237">IFERROR(INDEX(EmployeeData[Department], ROW() - 37), "")</f>
        <v/>
      </c>
      <c r="E3237" s="4" t="str" cm="1">
        <f t="array" ref="E3237">IFERROR(INDEX(EmployeeData[Gender], ROW() - 37), "")</f>
        <v/>
      </c>
      <c r="F3237" s="4" t="str" cm="1">
        <f t="array" ref="F3237">IFERROR(INDEX(EmployeeData[Age], ROW() - 37), "")</f>
        <v/>
      </c>
      <c r="G3237" s="6" t="str" cm="1">
        <f t="array" ref="G3237">IFERROR(INDEX(EmployeeData[Join Date], ROW() - 37), "")</f>
        <v/>
      </c>
      <c r="H3237" s="6" t="str" cm="1">
        <f t="array" ref="H3237">IFERROR(IF(INDEX(EmployeeData[Exit Date], ROW() - 37)=0, "",INDEX(EmployeeData[Exit Date], ROW() - 37)),"")</f>
        <v/>
      </c>
      <c r="I3237" s="4" t="str" cm="1">
        <f t="array" ref="I3237">IFERROR(IF(INDEX(EmployeeData[Exit Reason], ROW() - 37)=0, "",INDEX(EmployeeData[Exit Reason], ROW() - 37)),"")</f>
        <v/>
      </c>
      <c r="J3237" s="4" t="str" cm="1">
        <f t="array" ref="J3237">IFERROR(INDEX(EmployeeData[Status], ROW() - 37), "")</f>
        <v/>
      </c>
    </row>
    <row r="3238" spans="2:10" ht="19.95" customHeight="1" x14ac:dyDescent="0.3">
      <c r="B3238" s="4" t="str" cm="1">
        <f t="array" ref="B3238">IFERROR(INDEX(EmployeeData[Employee ID], ROW() - 37), "")</f>
        <v/>
      </c>
      <c r="C3238" s="4" t="str" cm="1">
        <f t="array" ref="C3238">IFERROR(INDEX(EmployeeData[Full Name], ROW() - 37), "")</f>
        <v/>
      </c>
      <c r="D3238" s="4" t="str" cm="1">
        <f t="array" ref="D3238">IFERROR(INDEX(EmployeeData[Department], ROW() - 37), "")</f>
        <v/>
      </c>
      <c r="E3238" s="4" t="str" cm="1">
        <f t="array" ref="E3238">IFERROR(INDEX(EmployeeData[Gender], ROW() - 37), "")</f>
        <v/>
      </c>
      <c r="F3238" s="4" t="str" cm="1">
        <f t="array" ref="F3238">IFERROR(INDEX(EmployeeData[Age], ROW() - 37), "")</f>
        <v/>
      </c>
      <c r="G3238" s="6" t="str" cm="1">
        <f t="array" ref="G3238">IFERROR(INDEX(EmployeeData[Join Date], ROW() - 37), "")</f>
        <v/>
      </c>
      <c r="H3238" s="6" t="str" cm="1">
        <f t="array" ref="H3238">IFERROR(IF(INDEX(EmployeeData[Exit Date], ROW() - 37)=0, "",INDEX(EmployeeData[Exit Date], ROW() - 37)),"")</f>
        <v/>
      </c>
      <c r="I3238" s="4" t="str" cm="1">
        <f t="array" ref="I3238">IFERROR(IF(INDEX(EmployeeData[Exit Reason], ROW() - 37)=0, "",INDEX(EmployeeData[Exit Reason], ROW() - 37)),"")</f>
        <v/>
      </c>
      <c r="J3238" s="4" t="str" cm="1">
        <f t="array" ref="J3238">IFERROR(INDEX(EmployeeData[Status], ROW() - 37), "")</f>
        <v/>
      </c>
    </row>
    <row r="3239" spans="2:10" ht="19.95" customHeight="1" x14ac:dyDescent="0.3">
      <c r="B3239" s="4" t="str" cm="1">
        <f t="array" ref="B3239">IFERROR(INDEX(EmployeeData[Employee ID], ROW() - 37), "")</f>
        <v/>
      </c>
      <c r="C3239" s="4" t="str" cm="1">
        <f t="array" ref="C3239">IFERROR(INDEX(EmployeeData[Full Name], ROW() - 37), "")</f>
        <v/>
      </c>
      <c r="D3239" s="4" t="str" cm="1">
        <f t="array" ref="D3239">IFERROR(INDEX(EmployeeData[Department], ROW() - 37), "")</f>
        <v/>
      </c>
      <c r="E3239" s="4" t="str" cm="1">
        <f t="array" ref="E3239">IFERROR(INDEX(EmployeeData[Gender], ROW() - 37), "")</f>
        <v/>
      </c>
      <c r="F3239" s="4" t="str" cm="1">
        <f t="array" ref="F3239">IFERROR(INDEX(EmployeeData[Age], ROW() - 37), "")</f>
        <v/>
      </c>
      <c r="G3239" s="6" t="str" cm="1">
        <f t="array" ref="G3239">IFERROR(INDEX(EmployeeData[Join Date], ROW() - 37), "")</f>
        <v/>
      </c>
      <c r="H3239" s="6" t="str" cm="1">
        <f t="array" ref="H3239">IFERROR(IF(INDEX(EmployeeData[Exit Date], ROW() - 37)=0, "",INDEX(EmployeeData[Exit Date], ROW() - 37)),"")</f>
        <v/>
      </c>
      <c r="I3239" s="4" t="str" cm="1">
        <f t="array" ref="I3239">IFERROR(IF(INDEX(EmployeeData[Exit Reason], ROW() - 37)=0, "",INDEX(EmployeeData[Exit Reason], ROW() - 37)),"")</f>
        <v/>
      </c>
      <c r="J3239" s="4" t="str" cm="1">
        <f t="array" ref="J3239">IFERROR(INDEX(EmployeeData[Status], ROW() - 37), "")</f>
        <v/>
      </c>
    </row>
    <row r="3240" spans="2:10" ht="19.95" customHeight="1" x14ac:dyDescent="0.3">
      <c r="B3240" s="4" t="str" cm="1">
        <f t="array" ref="B3240">IFERROR(INDEX(EmployeeData[Employee ID], ROW() - 37), "")</f>
        <v/>
      </c>
      <c r="C3240" s="4" t="str" cm="1">
        <f t="array" ref="C3240">IFERROR(INDEX(EmployeeData[Full Name], ROW() - 37), "")</f>
        <v/>
      </c>
      <c r="D3240" s="4" t="str" cm="1">
        <f t="array" ref="D3240">IFERROR(INDEX(EmployeeData[Department], ROW() - 37), "")</f>
        <v/>
      </c>
      <c r="E3240" s="4" t="str" cm="1">
        <f t="array" ref="E3240">IFERROR(INDEX(EmployeeData[Gender], ROW() - 37), "")</f>
        <v/>
      </c>
      <c r="F3240" s="4" t="str" cm="1">
        <f t="array" ref="F3240">IFERROR(INDEX(EmployeeData[Age], ROW() - 37), "")</f>
        <v/>
      </c>
      <c r="G3240" s="6" t="str" cm="1">
        <f t="array" ref="G3240">IFERROR(INDEX(EmployeeData[Join Date], ROW() - 37), "")</f>
        <v/>
      </c>
      <c r="H3240" s="6" t="str" cm="1">
        <f t="array" ref="H3240">IFERROR(IF(INDEX(EmployeeData[Exit Date], ROW() - 37)=0, "",INDEX(EmployeeData[Exit Date], ROW() - 37)),"")</f>
        <v/>
      </c>
      <c r="I3240" s="4" t="str" cm="1">
        <f t="array" ref="I3240">IFERROR(IF(INDEX(EmployeeData[Exit Reason], ROW() - 37)=0, "",INDEX(EmployeeData[Exit Reason], ROW() - 37)),"")</f>
        <v/>
      </c>
      <c r="J3240" s="4" t="str" cm="1">
        <f t="array" ref="J3240">IFERROR(INDEX(EmployeeData[Status], ROW() - 37), "")</f>
        <v/>
      </c>
    </row>
    <row r="3241" spans="2:10" ht="19.95" customHeight="1" x14ac:dyDescent="0.3">
      <c r="B3241" s="4" t="str" cm="1">
        <f t="array" ref="B3241">IFERROR(INDEX(EmployeeData[Employee ID], ROW() - 37), "")</f>
        <v/>
      </c>
      <c r="C3241" s="4" t="str" cm="1">
        <f t="array" ref="C3241">IFERROR(INDEX(EmployeeData[Full Name], ROW() - 37), "")</f>
        <v/>
      </c>
      <c r="D3241" s="4" t="str" cm="1">
        <f t="array" ref="D3241">IFERROR(INDEX(EmployeeData[Department], ROW() - 37), "")</f>
        <v/>
      </c>
      <c r="E3241" s="4" t="str" cm="1">
        <f t="array" ref="E3241">IFERROR(INDEX(EmployeeData[Gender], ROW() - 37), "")</f>
        <v/>
      </c>
      <c r="F3241" s="4" t="str" cm="1">
        <f t="array" ref="F3241">IFERROR(INDEX(EmployeeData[Age], ROW() - 37), "")</f>
        <v/>
      </c>
      <c r="G3241" s="6" t="str" cm="1">
        <f t="array" ref="G3241">IFERROR(INDEX(EmployeeData[Join Date], ROW() - 37), "")</f>
        <v/>
      </c>
      <c r="H3241" s="6" t="str" cm="1">
        <f t="array" ref="H3241">IFERROR(IF(INDEX(EmployeeData[Exit Date], ROW() - 37)=0, "",INDEX(EmployeeData[Exit Date], ROW() - 37)),"")</f>
        <v/>
      </c>
      <c r="I3241" s="4" t="str" cm="1">
        <f t="array" ref="I3241">IFERROR(IF(INDEX(EmployeeData[Exit Reason], ROW() - 37)=0, "",INDEX(EmployeeData[Exit Reason], ROW() - 37)),"")</f>
        <v/>
      </c>
      <c r="J3241" s="4" t="str" cm="1">
        <f t="array" ref="J3241">IFERROR(INDEX(EmployeeData[Status], ROW() - 37), "")</f>
        <v/>
      </c>
    </row>
    <row r="3242" spans="2:10" ht="19.95" customHeight="1" x14ac:dyDescent="0.3">
      <c r="B3242" s="4" t="str" cm="1">
        <f t="array" ref="B3242">IFERROR(INDEX(EmployeeData[Employee ID], ROW() - 37), "")</f>
        <v/>
      </c>
      <c r="C3242" s="4" t="str" cm="1">
        <f t="array" ref="C3242">IFERROR(INDEX(EmployeeData[Full Name], ROW() - 37), "")</f>
        <v/>
      </c>
      <c r="D3242" s="4" t="str" cm="1">
        <f t="array" ref="D3242">IFERROR(INDEX(EmployeeData[Department], ROW() - 37), "")</f>
        <v/>
      </c>
      <c r="E3242" s="4" t="str" cm="1">
        <f t="array" ref="E3242">IFERROR(INDEX(EmployeeData[Gender], ROW() - 37), "")</f>
        <v/>
      </c>
      <c r="F3242" s="4" t="str" cm="1">
        <f t="array" ref="F3242">IFERROR(INDEX(EmployeeData[Age], ROW() - 37), "")</f>
        <v/>
      </c>
      <c r="G3242" s="6" t="str" cm="1">
        <f t="array" ref="G3242">IFERROR(INDEX(EmployeeData[Join Date], ROW() - 37), "")</f>
        <v/>
      </c>
      <c r="H3242" s="6" t="str" cm="1">
        <f t="array" ref="H3242">IFERROR(IF(INDEX(EmployeeData[Exit Date], ROW() - 37)=0, "",INDEX(EmployeeData[Exit Date], ROW() - 37)),"")</f>
        <v/>
      </c>
      <c r="I3242" s="4" t="str" cm="1">
        <f t="array" ref="I3242">IFERROR(IF(INDEX(EmployeeData[Exit Reason], ROW() - 37)=0, "",INDEX(EmployeeData[Exit Reason], ROW() - 37)),"")</f>
        <v/>
      </c>
      <c r="J3242" s="4" t="str" cm="1">
        <f t="array" ref="J3242">IFERROR(INDEX(EmployeeData[Status], ROW() - 37), "")</f>
        <v/>
      </c>
    </row>
    <row r="3243" spans="2:10" ht="19.95" customHeight="1" x14ac:dyDescent="0.3">
      <c r="B3243" s="4" t="str" cm="1">
        <f t="array" ref="B3243">IFERROR(INDEX(EmployeeData[Employee ID], ROW() - 37), "")</f>
        <v/>
      </c>
      <c r="C3243" s="4" t="str" cm="1">
        <f t="array" ref="C3243">IFERROR(INDEX(EmployeeData[Full Name], ROW() - 37), "")</f>
        <v/>
      </c>
      <c r="D3243" s="4" t="str" cm="1">
        <f t="array" ref="D3243">IFERROR(INDEX(EmployeeData[Department], ROW() - 37), "")</f>
        <v/>
      </c>
      <c r="E3243" s="4" t="str" cm="1">
        <f t="array" ref="E3243">IFERROR(INDEX(EmployeeData[Gender], ROW() - 37), "")</f>
        <v/>
      </c>
      <c r="F3243" s="4" t="str" cm="1">
        <f t="array" ref="F3243">IFERROR(INDEX(EmployeeData[Age], ROW() - 37), "")</f>
        <v/>
      </c>
      <c r="G3243" s="6" t="str" cm="1">
        <f t="array" ref="G3243">IFERROR(INDEX(EmployeeData[Join Date], ROW() - 37), "")</f>
        <v/>
      </c>
      <c r="H3243" s="6" t="str" cm="1">
        <f t="array" ref="H3243">IFERROR(IF(INDEX(EmployeeData[Exit Date], ROW() - 37)=0, "",INDEX(EmployeeData[Exit Date], ROW() - 37)),"")</f>
        <v/>
      </c>
      <c r="I3243" s="4" t="str" cm="1">
        <f t="array" ref="I3243">IFERROR(IF(INDEX(EmployeeData[Exit Reason], ROW() - 37)=0, "",INDEX(EmployeeData[Exit Reason], ROW() - 37)),"")</f>
        <v/>
      </c>
      <c r="J3243" s="4" t="str" cm="1">
        <f t="array" ref="J3243">IFERROR(INDEX(EmployeeData[Status], ROW() - 37), "")</f>
        <v/>
      </c>
    </row>
    <row r="3244" spans="2:10" ht="19.95" customHeight="1" x14ac:dyDescent="0.3">
      <c r="B3244" s="4" t="str" cm="1">
        <f t="array" ref="B3244">IFERROR(INDEX(EmployeeData[Employee ID], ROW() - 37), "")</f>
        <v/>
      </c>
      <c r="C3244" s="4" t="str" cm="1">
        <f t="array" ref="C3244">IFERROR(INDEX(EmployeeData[Full Name], ROW() - 37), "")</f>
        <v/>
      </c>
      <c r="D3244" s="4" t="str" cm="1">
        <f t="array" ref="D3244">IFERROR(INDEX(EmployeeData[Department], ROW() - 37), "")</f>
        <v/>
      </c>
      <c r="E3244" s="4" t="str" cm="1">
        <f t="array" ref="E3244">IFERROR(INDEX(EmployeeData[Gender], ROW() - 37), "")</f>
        <v/>
      </c>
      <c r="F3244" s="4" t="str" cm="1">
        <f t="array" ref="F3244">IFERROR(INDEX(EmployeeData[Age], ROW() - 37), "")</f>
        <v/>
      </c>
      <c r="G3244" s="6" t="str" cm="1">
        <f t="array" ref="G3244">IFERROR(INDEX(EmployeeData[Join Date], ROW() - 37), "")</f>
        <v/>
      </c>
      <c r="H3244" s="6" t="str" cm="1">
        <f t="array" ref="H3244">IFERROR(IF(INDEX(EmployeeData[Exit Date], ROW() - 37)=0, "",INDEX(EmployeeData[Exit Date], ROW() - 37)),"")</f>
        <v/>
      </c>
      <c r="I3244" s="4" t="str" cm="1">
        <f t="array" ref="I3244">IFERROR(IF(INDEX(EmployeeData[Exit Reason], ROW() - 37)=0, "",INDEX(EmployeeData[Exit Reason], ROW() - 37)),"")</f>
        <v/>
      </c>
      <c r="J3244" s="4" t="str" cm="1">
        <f t="array" ref="J3244">IFERROR(INDEX(EmployeeData[Status], ROW() - 37), "")</f>
        <v/>
      </c>
    </row>
    <row r="3245" spans="2:10" ht="19.95" customHeight="1" x14ac:dyDescent="0.3">
      <c r="B3245" s="4" t="str" cm="1">
        <f t="array" ref="B3245">IFERROR(INDEX(EmployeeData[Employee ID], ROW() - 37), "")</f>
        <v/>
      </c>
      <c r="C3245" s="4" t="str" cm="1">
        <f t="array" ref="C3245">IFERROR(INDEX(EmployeeData[Full Name], ROW() - 37), "")</f>
        <v/>
      </c>
      <c r="D3245" s="4" t="str" cm="1">
        <f t="array" ref="D3245">IFERROR(INDEX(EmployeeData[Department], ROW() - 37), "")</f>
        <v/>
      </c>
      <c r="E3245" s="4" t="str" cm="1">
        <f t="array" ref="E3245">IFERROR(INDEX(EmployeeData[Gender], ROW() - 37), "")</f>
        <v/>
      </c>
      <c r="F3245" s="4" t="str" cm="1">
        <f t="array" ref="F3245">IFERROR(INDEX(EmployeeData[Age], ROW() - 37), "")</f>
        <v/>
      </c>
      <c r="G3245" s="6" t="str" cm="1">
        <f t="array" ref="G3245">IFERROR(INDEX(EmployeeData[Join Date], ROW() - 37), "")</f>
        <v/>
      </c>
      <c r="H3245" s="6" t="str" cm="1">
        <f t="array" ref="H3245">IFERROR(IF(INDEX(EmployeeData[Exit Date], ROW() - 37)=0, "",INDEX(EmployeeData[Exit Date], ROW() - 37)),"")</f>
        <v/>
      </c>
      <c r="I3245" s="4" t="str" cm="1">
        <f t="array" ref="I3245">IFERROR(IF(INDEX(EmployeeData[Exit Reason], ROW() - 37)=0, "",INDEX(EmployeeData[Exit Reason], ROW() - 37)),"")</f>
        <v/>
      </c>
      <c r="J3245" s="4" t="str" cm="1">
        <f t="array" ref="J3245">IFERROR(INDEX(EmployeeData[Status], ROW() - 37), "")</f>
        <v/>
      </c>
    </row>
    <row r="3246" spans="2:10" ht="19.95" customHeight="1" x14ac:dyDescent="0.3">
      <c r="B3246" s="4" t="str" cm="1">
        <f t="array" ref="B3246">IFERROR(INDEX(EmployeeData[Employee ID], ROW() - 37), "")</f>
        <v/>
      </c>
      <c r="C3246" s="4" t="str" cm="1">
        <f t="array" ref="C3246">IFERROR(INDEX(EmployeeData[Full Name], ROW() - 37), "")</f>
        <v/>
      </c>
      <c r="D3246" s="4" t="str" cm="1">
        <f t="array" ref="D3246">IFERROR(INDEX(EmployeeData[Department], ROW() - 37), "")</f>
        <v/>
      </c>
      <c r="E3246" s="4" t="str" cm="1">
        <f t="array" ref="E3246">IFERROR(INDEX(EmployeeData[Gender], ROW() - 37), "")</f>
        <v/>
      </c>
      <c r="F3246" s="4" t="str" cm="1">
        <f t="array" ref="F3246">IFERROR(INDEX(EmployeeData[Age], ROW() - 37), "")</f>
        <v/>
      </c>
      <c r="G3246" s="6" t="str" cm="1">
        <f t="array" ref="G3246">IFERROR(INDEX(EmployeeData[Join Date], ROW() - 37), "")</f>
        <v/>
      </c>
      <c r="H3246" s="6" t="str" cm="1">
        <f t="array" ref="H3246">IFERROR(IF(INDEX(EmployeeData[Exit Date], ROW() - 37)=0, "",INDEX(EmployeeData[Exit Date], ROW() - 37)),"")</f>
        <v/>
      </c>
      <c r="I3246" s="4" t="str" cm="1">
        <f t="array" ref="I3246">IFERROR(IF(INDEX(EmployeeData[Exit Reason], ROW() - 37)=0, "",INDEX(EmployeeData[Exit Reason], ROW() - 37)),"")</f>
        <v/>
      </c>
      <c r="J3246" s="4" t="str" cm="1">
        <f t="array" ref="J3246">IFERROR(INDEX(EmployeeData[Status], ROW() - 37), "")</f>
        <v/>
      </c>
    </row>
    <row r="3247" spans="2:10" ht="19.95" customHeight="1" x14ac:dyDescent="0.3">
      <c r="B3247" s="4" t="str" cm="1">
        <f t="array" ref="B3247">IFERROR(INDEX(EmployeeData[Employee ID], ROW() - 37), "")</f>
        <v/>
      </c>
      <c r="C3247" s="4" t="str" cm="1">
        <f t="array" ref="C3247">IFERROR(INDEX(EmployeeData[Full Name], ROW() - 37), "")</f>
        <v/>
      </c>
      <c r="D3247" s="4" t="str" cm="1">
        <f t="array" ref="D3247">IFERROR(INDEX(EmployeeData[Department], ROW() - 37), "")</f>
        <v/>
      </c>
      <c r="E3247" s="4" t="str" cm="1">
        <f t="array" ref="E3247">IFERROR(INDEX(EmployeeData[Gender], ROW() - 37), "")</f>
        <v/>
      </c>
      <c r="F3247" s="4" t="str" cm="1">
        <f t="array" ref="F3247">IFERROR(INDEX(EmployeeData[Age], ROW() - 37), "")</f>
        <v/>
      </c>
      <c r="G3247" s="6" t="str" cm="1">
        <f t="array" ref="G3247">IFERROR(INDEX(EmployeeData[Join Date], ROW() - 37), "")</f>
        <v/>
      </c>
      <c r="H3247" s="6" t="str" cm="1">
        <f t="array" ref="H3247">IFERROR(IF(INDEX(EmployeeData[Exit Date], ROW() - 37)=0, "",INDEX(EmployeeData[Exit Date], ROW() - 37)),"")</f>
        <v/>
      </c>
      <c r="I3247" s="4" t="str" cm="1">
        <f t="array" ref="I3247">IFERROR(IF(INDEX(EmployeeData[Exit Reason], ROW() - 37)=0, "",INDEX(EmployeeData[Exit Reason], ROW() - 37)),"")</f>
        <v/>
      </c>
      <c r="J3247" s="4" t="str" cm="1">
        <f t="array" ref="J3247">IFERROR(INDEX(EmployeeData[Status], ROW() - 37), "")</f>
        <v/>
      </c>
    </row>
    <row r="3248" spans="2:10" ht="19.95" customHeight="1" x14ac:dyDescent="0.3">
      <c r="B3248" s="4" t="str" cm="1">
        <f t="array" ref="B3248">IFERROR(INDEX(EmployeeData[Employee ID], ROW() - 37), "")</f>
        <v/>
      </c>
      <c r="C3248" s="4" t="str" cm="1">
        <f t="array" ref="C3248">IFERROR(INDEX(EmployeeData[Full Name], ROW() - 37), "")</f>
        <v/>
      </c>
      <c r="D3248" s="4" t="str" cm="1">
        <f t="array" ref="D3248">IFERROR(INDEX(EmployeeData[Department], ROW() - 37), "")</f>
        <v/>
      </c>
      <c r="E3248" s="4" t="str" cm="1">
        <f t="array" ref="E3248">IFERROR(INDEX(EmployeeData[Gender], ROW() - 37), "")</f>
        <v/>
      </c>
      <c r="F3248" s="4" t="str" cm="1">
        <f t="array" ref="F3248">IFERROR(INDEX(EmployeeData[Age], ROW() - 37), "")</f>
        <v/>
      </c>
      <c r="G3248" s="6" t="str" cm="1">
        <f t="array" ref="G3248">IFERROR(INDEX(EmployeeData[Join Date], ROW() - 37), "")</f>
        <v/>
      </c>
      <c r="H3248" s="6" t="str" cm="1">
        <f t="array" ref="H3248">IFERROR(IF(INDEX(EmployeeData[Exit Date], ROW() - 37)=0, "",INDEX(EmployeeData[Exit Date], ROW() - 37)),"")</f>
        <v/>
      </c>
      <c r="I3248" s="4" t="str" cm="1">
        <f t="array" ref="I3248">IFERROR(IF(INDEX(EmployeeData[Exit Reason], ROW() - 37)=0, "",INDEX(EmployeeData[Exit Reason], ROW() - 37)),"")</f>
        <v/>
      </c>
      <c r="J3248" s="4" t="str" cm="1">
        <f t="array" ref="J3248">IFERROR(INDEX(EmployeeData[Status], ROW() - 37), "")</f>
        <v/>
      </c>
    </row>
    <row r="3249" spans="2:10" ht="19.95" customHeight="1" x14ac:dyDescent="0.3">
      <c r="B3249" s="4" t="str" cm="1">
        <f t="array" ref="B3249">IFERROR(INDEX(EmployeeData[Employee ID], ROW() - 37), "")</f>
        <v/>
      </c>
      <c r="C3249" s="4" t="str" cm="1">
        <f t="array" ref="C3249">IFERROR(INDEX(EmployeeData[Full Name], ROW() - 37), "")</f>
        <v/>
      </c>
      <c r="D3249" s="4" t="str" cm="1">
        <f t="array" ref="D3249">IFERROR(INDEX(EmployeeData[Department], ROW() - 37), "")</f>
        <v/>
      </c>
      <c r="E3249" s="4" t="str" cm="1">
        <f t="array" ref="E3249">IFERROR(INDEX(EmployeeData[Gender], ROW() - 37), "")</f>
        <v/>
      </c>
      <c r="F3249" s="4" t="str" cm="1">
        <f t="array" ref="F3249">IFERROR(INDEX(EmployeeData[Age], ROW() - 37), "")</f>
        <v/>
      </c>
      <c r="G3249" s="6" t="str" cm="1">
        <f t="array" ref="G3249">IFERROR(INDEX(EmployeeData[Join Date], ROW() - 37), "")</f>
        <v/>
      </c>
      <c r="H3249" s="6" t="str" cm="1">
        <f t="array" ref="H3249">IFERROR(IF(INDEX(EmployeeData[Exit Date], ROW() - 37)=0, "",INDEX(EmployeeData[Exit Date], ROW() - 37)),"")</f>
        <v/>
      </c>
      <c r="I3249" s="4" t="str" cm="1">
        <f t="array" ref="I3249">IFERROR(IF(INDEX(EmployeeData[Exit Reason], ROW() - 37)=0, "",INDEX(EmployeeData[Exit Reason], ROW() - 37)),"")</f>
        <v/>
      </c>
      <c r="J3249" s="4" t="str" cm="1">
        <f t="array" ref="J3249">IFERROR(INDEX(EmployeeData[Status], ROW() - 37), "")</f>
        <v/>
      </c>
    </row>
    <row r="3250" spans="2:10" ht="19.95" customHeight="1" x14ac:dyDescent="0.3">
      <c r="B3250" s="4" t="str" cm="1">
        <f t="array" ref="B3250">IFERROR(INDEX(EmployeeData[Employee ID], ROW() - 37), "")</f>
        <v/>
      </c>
      <c r="C3250" s="4" t="str" cm="1">
        <f t="array" ref="C3250">IFERROR(INDEX(EmployeeData[Full Name], ROW() - 37), "")</f>
        <v/>
      </c>
      <c r="D3250" s="4" t="str" cm="1">
        <f t="array" ref="D3250">IFERROR(INDEX(EmployeeData[Department], ROW() - 37), "")</f>
        <v/>
      </c>
      <c r="E3250" s="4" t="str" cm="1">
        <f t="array" ref="E3250">IFERROR(INDEX(EmployeeData[Gender], ROW() - 37), "")</f>
        <v/>
      </c>
      <c r="F3250" s="4" t="str" cm="1">
        <f t="array" ref="F3250">IFERROR(INDEX(EmployeeData[Age], ROW() - 37), "")</f>
        <v/>
      </c>
      <c r="G3250" s="6" t="str" cm="1">
        <f t="array" ref="G3250">IFERROR(INDEX(EmployeeData[Join Date], ROW() - 37), "")</f>
        <v/>
      </c>
      <c r="H3250" s="6" t="str" cm="1">
        <f t="array" ref="H3250">IFERROR(IF(INDEX(EmployeeData[Exit Date], ROW() - 37)=0, "",INDEX(EmployeeData[Exit Date], ROW() - 37)),"")</f>
        <v/>
      </c>
      <c r="I3250" s="4" t="str" cm="1">
        <f t="array" ref="I3250">IFERROR(IF(INDEX(EmployeeData[Exit Reason], ROW() - 37)=0, "",INDEX(EmployeeData[Exit Reason], ROW() - 37)),"")</f>
        <v/>
      </c>
      <c r="J3250" s="4" t="str" cm="1">
        <f t="array" ref="J3250">IFERROR(INDEX(EmployeeData[Status], ROW() - 37), "")</f>
        <v/>
      </c>
    </row>
    <row r="3251" spans="2:10" ht="19.95" customHeight="1" x14ac:dyDescent="0.3">
      <c r="B3251" s="4" t="str" cm="1">
        <f t="array" ref="B3251">IFERROR(INDEX(EmployeeData[Employee ID], ROW() - 37), "")</f>
        <v/>
      </c>
      <c r="C3251" s="4" t="str" cm="1">
        <f t="array" ref="C3251">IFERROR(INDEX(EmployeeData[Full Name], ROW() - 37), "")</f>
        <v/>
      </c>
      <c r="D3251" s="4" t="str" cm="1">
        <f t="array" ref="D3251">IFERROR(INDEX(EmployeeData[Department], ROW() - 37), "")</f>
        <v/>
      </c>
      <c r="E3251" s="4" t="str" cm="1">
        <f t="array" ref="E3251">IFERROR(INDEX(EmployeeData[Gender], ROW() - 37), "")</f>
        <v/>
      </c>
      <c r="F3251" s="4" t="str" cm="1">
        <f t="array" ref="F3251">IFERROR(INDEX(EmployeeData[Age], ROW() - 37), "")</f>
        <v/>
      </c>
      <c r="G3251" s="6" t="str" cm="1">
        <f t="array" ref="G3251">IFERROR(INDEX(EmployeeData[Join Date], ROW() - 37), "")</f>
        <v/>
      </c>
      <c r="H3251" s="6" t="str" cm="1">
        <f t="array" ref="H3251">IFERROR(IF(INDEX(EmployeeData[Exit Date], ROW() - 37)=0, "",INDEX(EmployeeData[Exit Date], ROW() - 37)),"")</f>
        <v/>
      </c>
      <c r="I3251" s="4" t="str" cm="1">
        <f t="array" ref="I3251">IFERROR(IF(INDEX(EmployeeData[Exit Reason], ROW() - 37)=0, "",INDEX(EmployeeData[Exit Reason], ROW() - 37)),"")</f>
        <v/>
      </c>
      <c r="J3251" s="4" t="str" cm="1">
        <f t="array" ref="J3251">IFERROR(INDEX(EmployeeData[Status], ROW() - 37), "")</f>
        <v/>
      </c>
    </row>
    <row r="3252" spans="2:10" ht="19.95" customHeight="1" x14ac:dyDescent="0.3">
      <c r="B3252" s="4" t="str" cm="1">
        <f t="array" ref="B3252">IFERROR(INDEX(EmployeeData[Employee ID], ROW() - 37), "")</f>
        <v/>
      </c>
      <c r="C3252" s="4" t="str" cm="1">
        <f t="array" ref="C3252">IFERROR(INDEX(EmployeeData[Full Name], ROW() - 37), "")</f>
        <v/>
      </c>
      <c r="D3252" s="4" t="str" cm="1">
        <f t="array" ref="D3252">IFERROR(INDEX(EmployeeData[Department], ROW() - 37), "")</f>
        <v/>
      </c>
      <c r="E3252" s="4" t="str" cm="1">
        <f t="array" ref="E3252">IFERROR(INDEX(EmployeeData[Gender], ROW() - 37), "")</f>
        <v/>
      </c>
      <c r="F3252" s="4" t="str" cm="1">
        <f t="array" ref="F3252">IFERROR(INDEX(EmployeeData[Age], ROW() - 37), "")</f>
        <v/>
      </c>
      <c r="G3252" s="6" t="str" cm="1">
        <f t="array" ref="G3252">IFERROR(INDEX(EmployeeData[Join Date], ROW() - 37), "")</f>
        <v/>
      </c>
      <c r="H3252" s="6" t="str" cm="1">
        <f t="array" ref="H3252">IFERROR(IF(INDEX(EmployeeData[Exit Date], ROW() - 37)=0, "",INDEX(EmployeeData[Exit Date], ROW() - 37)),"")</f>
        <v/>
      </c>
      <c r="I3252" s="4" t="str" cm="1">
        <f t="array" ref="I3252">IFERROR(IF(INDEX(EmployeeData[Exit Reason], ROW() - 37)=0, "",INDEX(EmployeeData[Exit Reason], ROW() - 37)),"")</f>
        <v/>
      </c>
      <c r="J3252" s="4" t="str" cm="1">
        <f t="array" ref="J3252">IFERROR(INDEX(EmployeeData[Status], ROW() - 37), "")</f>
        <v/>
      </c>
    </row>
    <row r="3253" spans="2:10" ht="19.95" customHeight="1" x14ac:dyDescent="0.3">
      <c r="B3253" s="4" t="str" cm="1">
        <f t="array" ref="B3253">IFERROR(INDEX(EmployeeData[Employee ID], ROW() - 37), "")</f>
        <v/>
      </c>
      <c r="C3253" s="4" t="str" cm="1">
        <f t="array" ref="C3253">IFERROR(INDEX(EmployeeData[Full Name], ROW() - 37), "")</f>
        <v/>
      </c>
      <c r="D3253" s="4" t="str" cm="1">
        <f t="array" ref="D3253">IFERROR(INDEX(EmployeeData[Department], ROW() - 37), "")</f>
        <v/>
      </c>
      <c r="E3253" s="4" t="str" cm="1">
        <f t="array" ref="E3253">IFERROR(INDEX(EmployeeData[Gender], ROW() - 37), "")</f>
        <v/>
      </c>
      <c r="F3253" s="4" t="str" cm="1">
        <f t="array" ref="F3253">IFERROR(INDEX(EmployeeData[Age], ROW() - 37), "")</f>
        <v/>
      </c>
      <c r="G3253" s="6" t="str" cm="1">
        <f t="array" ref="G3253">IFERROR(INDEX(EmployeeData[Join Date], ROW() - 37), "")</f>
        <v/>
      </c>
      <c r="H3253" s="6" t="str" cm="1">
        <f t="array" ref="H3253">IFERROR(IF(INDEX(EmployeeData[Exit Date], ROW() - 37)=0, "",INDEX(EmployeeData[Exit Date], ROW() - 37)),"")</f>
        <v/>
      </c>
      <c r="I3253" s="4" t="str" cm="1">
        <f t="array" ref="I3253">IFERROR(IF(INDEX(EmployeeData[Exit Reason], ROW() - 37)=0, "",INDEX(EmployeeData[Exit Reason], ROW() - 37)),"")</f>
        <v/>
      </c>
      <c r="J3253" s="4" t="str" cm="1">
        <f t="array" ref="J3253">IFERROR(INDEX(EmployeeData[Status], ROW() - 37), "")</f>
        <v/>
      </c>
    </row>
    <row r="3254" spans="2:10" ht="19.95" customHeight="1" x14ac:dyDescent="0.3">
      <c r="B3254" s="4" t="str" cm="1">
        <f t="array" ref="B3254">IFERROR(INDEX(EmployeeData[Employee ID], ROW() - 37), "")</f>
        <v/>
      </c>
      <c r="C3254" s="4" t="str" cm="1">
        <f t="array" ref="C3254">IFERROR(INDEX(EmployeeData[Full Name], ROW() - 37), "")</f>
        <v/>
      </c>
      <c r="D3254" s="4" t="str" cm="1">
        <f t="array" ref="D3254">IFERROR(INDEX(EmployeeData[Department], ROW() - 37), "")</f>
        <v/>
      </c>
      <c r="E3254" s="4" t="str" cm="1">
        <f t="array" ref="E3254">IFERROR(INDEX(EmployeeData[Gender], ROW() - 37), "")</f>
        <v/>
      </c>
      <c r="F3254" s="4" t="str" cm="1">
        <f t="array" ref="F3254">IFERROR(INDEX(EmployeeData[Age], ROW() - 37), "")</f>
        <v/>
      </c>
      <c r="G3254" s="6" t="str" cm="1">
        <f t="array" ref="G3254">IFERROR(INDEX(EmployeeData[Join Date], ROW() - 37), "")</f>
        <v/>
      </c>
      <c r="H3254" s="6" t="str" cm="1">
        <f t="array" ref="H3254">IFERROR(IF(INDEX(EmployeeData[Exit Date], ROW() - 37)=0, "",INDEX(EmployeeData[Exit Date], ROW() - 37)),"")</f>
        <v/>
      </c>
      <c r="I3254" s="4" t="str" cm="1">
        <f t="array" ref="I3254">IFERROR(IF(INDEX(EmployeeData[Exit Reason], ROW() - 37)=0, "",INDEX(EmployeeData[Exit Reason], ROW() - 37)),"")</f>
        <v/>
      </c>
      <c r="J3254" s="4" t="str" cm="1">
        <f t="array" ref="J3254">IFERROR(INDEX(EmployeeData[Status], ROW() - 37), "")</f>
        <v/>
      </c>
    </row>
    <row r="3255" spans="2:10" ht="19.95" customHeight="1" x14ac:dyDescent="0.3">
      <c r="B3255" s="4" t="str" cm="1">
        <f t="array" ref="B3255">IFERROR(INDEX(EmployeeData[Employee ID], ROW() - 37), "")</f>
        <v/>
      </c>
      <c r="C3255" s="4" t="str" cm="1">
        <f t="array" ref="C3255">IFERROR(INDEX(EmployeeData[Full Name], ROW() - 37), "")</f>
        <v/>
      </c>
      <c r="D3255" s="4" t="str" cm="1">
        <f t="array" ref="D3255">IFERROR(INDEX(EmployeeData[Department], ROW() - 37), "")</f>
        <v/>
      </c>
      <c r="E3255" s="4" t="str" cm="1">
        <f t="array" ref="E3255">IFERROR(INDEX(EmployeeData[Gender], ROW() - 37), "")</f>
        <v/>
      </c>
      <c r="F3255" s="4" t="str" cm="1">
        <f t="array" ref="F3255">IFERROR(INDEX(EmployeeData[Age], ROW() - 37), "")</f>
        <v/>
      </c>
      <c r="G3255" s="6" t="str" cm="1">
        <f t="array" ref="G3255">IFERROR(INDEX(EmployeeData[Join Date], ROW() - 37), "")</f>
        <v/>
      </c>
      <c r="H3255" s="6" t="str" cm="1">
        <f t="array" ref="H3255">IFERROR(IF(INDEX(EmployeeData[Exit Date], ROW() - 37)=0, "",INDEX(EmployeeData[Exit Date], ROW() - 37)),"")</f>
        <v/>
      </c>
      <c r="I3255" s="4" t="str" cm="1">
        <f t="array" ref="I3255">IFERROR(IF(INDEX(EmployeeData[Exit Reason], ROW() - 37)=0, "",INDEX(EmployeeData[Exit Reason], ROW() - 37)),"")</f>
        <v/>
      </c>
      <c r="J3255" s="4" t="str" cm="1">
        <f t="array" ref="J3255">IFERROR(INDEX(EmployeeData[Status], ROW() - 37), "")</f>
        <v/>
      </c>
    </row>
    <row r="3256" spans="2:10" ht="19.95" customHeight="1" x14ac:dyDescent="0.3">
      <c r="B3256" s="4" t="str" cm="1">
        <f t="array" ref="B3256">IFERROR(INDEX(EmployeeData[Employee ID], ROW() - 37), "")</f>
        <v/>
      </c>
      <c r="C3256" s="4" t="str" cm="1">
        <f t="array" ref="C3256">IFERROR(INDEX(EmployeeData[Full Name], ROW() - 37), "")</f>
        <v/>
      </c>
      <c r="D3256" s="4" t="str" cm="1">
        <f t="array" ref="D3256">IFERROR(INDEX(EmployeeData[Department], ROW() - 37), "")</f>
        <v/>
      </c>
      <c r="E3256" s="4" t="str" cm="1">
        <f t="array" ref="E3256">IFERROR(INDEX(EmployeeData[Gender], ROW() - 37), "")</f>
        <v/>
      </c>
      <c r="F3256" s="4" t="str" cm="1">
        <f t="array" ref="F3256">IFERROR(INDEX(EmployeeData[Age], ROW() - 37), "")</f>
        <v/>
      </c>
      <c r="G3256" s="6" t="str" cm="1">
        <f t="array" ref="G3256">IFERROR(INDEX(EmployeeData[Join Date], ROW() - 37), "")</f>
        <v/>
      </c>
      <c r="H3256" s="6" t="str" cm="1">
        <f t="array" ref="H3256">IFERROR(IF(INDEX(EmployeeData[Exit Date], ROW() - 37)=0, "",INDEX(EmployeeData[Exit Date], ROW() - 37)),"")</f>
        <v/>
      </c>
      <c r="I3256" s="4" t="str" cm="1">
        <f t="array" ref="I3256">IFERROR(IF(INDEX(EmployeeData[Exit Reason], ROW() - 37)=0, "",INDEX(EmployeeData[Exit Reason], ROW() - 37)),"")</f>
        <v/>
      </c>
      <c r="J3256" s="4" t="str" cm="1">
        <f t="array" ref="J3256">IFERROR(INDEX(EmployeeData[Status], ROW() - 37), "")</f>
        <v/>
      </c>
    </row>
    <row r="3257" spans="2:10" ht="19.95" customHeight="1" x14ac:dyDescent="0.3">
      <c r="B3257" s="4" t="str" cm="1">
        <f t="array" ref="B3257">IFERROR(INDEX(EmployeeData[Employee ID], ROW() - 37), "")</f>
        <v/>
      </c>
      <c r="C3257" s="4" t="str" cm="1">
        <f t="array" ref="C3257">IFERROR(INDEX(EmployeeData[Full Name], ROW() - 37), "")</f>
        <v/>
      </c>
      <c r="D3257" s="4" t="str" cm="1">
        <f t="array" ref="D3257">IFERROR(INDEX(EmployeeData[Department], ROW() - 37), "")</f>
        <v/>
      </c>
      <c r="E3257" s="4" t="str" cm="1">
        <f t="array" ref="E3257">IFERROR(INDEX(EmployeeData[Gender], ROW() - 37), "")</f>
        <v/>
      </c>
      <c r="F3257" s="4" t="str" cm="1">
        <f t="array" ref="F3257">IFERROR(INDEX(EmployeeData[Age], ROW() - 37), "")</f>
        <v/>
      </c>
      <c r="G3257" s="6" t="str" cm="1">
        <f t="array" ref="G3257">IFERROR(INDEX(EmployeeData[Join Date], ROW() - 37), "")</f>
        <v/>
      </c>
      <c r="H3257" s="6" t="str" cm="1">
        <f t="array" ref="H3257">IFERROR(IF(INDEX(EmployeeData[Exit Date], ROW() - 37)=0, "",INDEX(EmployeeData[Exit Date], ROW() - 37)),"")</f>
        <v/>
      </c>
      <c r="I3257" s="4" t="str" cm="1">
        <f t="array" ref="I3257">IFERROR(IF(INDEX(EmployeeData[Exit Reason], ROW() - 37)=0, "",INDEX(EmployeeData[Exit Reason], ROW() - 37)),"")</f>
        <v/>
      </c>
      <c r="J3257" s="4" t="str" cm="1">
        <f t="array" ref="J3257">IFERROR(INDEX(EmployeeData[Status], ROW() - 37), "")</f>
        <v/>
      </c>
    </row>
    <row r="3258" spans="2:10" ht="19.95" customHeight="1" x14ac:dyDescent="0.3">
      <c r="B3258" s="4" t="str" cm="1">
        <f t="array" ref="B3258">IFERROR(INDEX(EmployeeData[Employee ID], ROW() - 37), "")</f>
        <v/>
      </c>
      <c r="C3258" s="4" t="str" cm="1">
        <f t="array" ref="C3258">IFERROR(INDEX(EmployeeData[Full Name], ROW() - 37), "")</f>
        <v/>
      </c>
      <c r="D3258" s="4" t="str" cm="1">
        <f t="array" ref="D3258">IFERROR(INDEX(EmployeeData[Department], ROW() - 37), "")</f>
        <v/>
      </c>
      <c r="E3258" s="4" t="str" cm="1">
        <f t="array" ref="E3258">IFERROR(INDEX(EmployeeData[Gender], ROW() - 37), "")</f>
        <v/>
      </c>
      <c r="F3258" s="4" t="str" cm="1">
        <f t="array" ref="F3258">IFERROR(INDEX(EmployeeData[Age], ROW() - 37), "")</f>
        <v/>
      </c>
      <c r="G3258" s="6" t="str" cm="1">
        <f t="array" ref="G3258">IFERROR(INDEX(EmployeeData[Join Date], ROW() - 37), "")</f>
        <v/>
      </c>
      <c r="H3258" s="6" t="str" cm="1">
        <f t="array" ref="H3258">IFERROR(IF(INDEX(EmployeeData[Exit Date], ROW() - 37)=0, "",INDEX(EmployeeData[Exit Date], ROW() - 37)),"")</f>
        <v/>
      </c>
      <c r="I3258" s="4" t="str" cm="1">
        <f t="array" ref="I3258">IFERROR(IF(INDEX(EmployeeData[Exit Reason], ROW() - 37)=0, "",INDEX(EmployeeData[Exit Reason], ROW() - 37)),"")</f>
        <v/>
      </c>
      <c r="J3258" s="4" t="str" cm="1">
        <f t="array" ref="J3258">IFERROR(INDEX(EmployeeData[Status], ROW() - 37), "")</f>
        <v/>
      </c>
    </row>
    <row r="3259" spans="2:10" ht="19.95" customHeight="1" x14ac:dyDescent="0.3">
      <c r="B3259" s="4" t="str" cm="1">
        <f t="array" ref="B3259">IFERROR(INDEX(EmployeeData[Employee ID], ROW() - 37), "")</f>
        <v/>
      </c>
      <c r="C3259" s="4" t="str" cm="1">
        <f t="array" ref="C3259">IFERROR(INDEX(EmployeeData[Full Name], ROW() - 37), "")</f>
        <v/>
      </c>
      <c r="D3259" s="4" t="str" cm="1">
        <f t="array" ref="D3259">IFERROR(INDEX(EmployeeData[Department], ROW() - 37), "")</f>
        <v/>
      </c>
      <c r="E3259" s="4" t="str" cm="1">
        <f t="array" ref="E3259">IFERROR(INDEX(EmployeeData[Gender], ROW() - 37), "")</f>
        <v/>
      </c>
      <c r="F3259" s="4" t="str" cm="1">
        <f t="array" ref="F3259">IFERROR(INDEX(EmployeeData[Age], ROW() - 37), "")</f>
        <v/>
      </c>
      <c r="G3259" s="6" t="str" cm="1">
        <f t="array" ref="G3259">IFERROR(INDEX(EmployeeData[Join Date], ROW() - 37), "")</f>
        <v/>
      </c>
      <c r="H3259" s="6" t="str" cm="1">
        <f t="array" ref="H3259">IFERROR(IF(INDEX(EmployeeData[Exit Date], ROW() - 37)=0, "",INDEX(EmployeeData[Exit Date], ROW() - 37)),"")</f>
        <v/>
      </c>
      <c r="I3259" s="4" t="str" cm="1">
        <f t="array" ref="I3259">IFERROR(IF(INDEX(EmployeeData[Exit Reason], ROW() - 37)=0, "",INDEX(EmployeeData[Exit Reason], ROW() - 37)),"")</f>
        <v/>
      </c>
      <c r="J3259" s="4" t="str" cm="1">
        <f t="array" ref="J3259">IFERROR(INDEX(EmployeeData[Status], ROW() - 37), "")</f>
        <v/>
      </c>
    </row>
    <row r="3260" spans="2:10" ht="19.95" customHeight="1" x14ac:dyDescent="0.3">
      <c r="B3260" s="4" t="str" cm="1">
        <f t="array" ref="B3260">IFERROR(INDEX(EmployeeData[Employee ID], ROW() - 37), "")</f>
        <v/>
      </c>
      <c r="C3260" s="4" t="str" cm="1">
        <f t="array" ref="C3260">IFERROR(INDEX(EmployeeData[Full Name], ROW() - 37), "")</f>
        <v/>
      </c>
      <c r="D3260" s="4" t="str" cm="1">
        <f t="array" ref="D3260">IFERROR(INDEX(EmployeeData[Department], ROW() - 37), "")</f>
        <v/>
      </c>
      <c r="E3260" s="4" t="str" cm="1">
        <f t="array" ref="E3260">IFERROR(INDEX(EmployeeData[Gender], ROW() - 37), "")</f>
        <v/>
      </c>
      <c r="F3260" s="4" t="str" cm="1">
        <f t="array" ref="F3260">IFERROR(INDEX(EmployeeData[Age], ROW() - 37), "")</f>
        <v/>
      </c>
      <c r="G3260" s="6" t="str" cm="1">
        <f t="array" ref="G3260">IFERROR(INDEX(EmployeeData[Join Date], ROW() - 37), "")</f>
        <v/>
      </c>
      <c r="H3260" s="6" t="str" cm="1">
        <f t="array" ref="H3260">IFERROR(IF(INDEX(EmployeeData[Exit Date], ROW() - 37)=0, "",INDEX(EmployeeData[Exit Date], ROW() - 37)),"")</f>
        <v/>
      </c>
      <c r="I3260" s="4" t="str" cm="1">
        <f t="array" ref="I3260">IFERROR(IF(INDEX(EmployeeData[Exit Reason], ROW() - 37)=0, "",INDEX(EmployeeData[Exit Reason], ROW() - 37)),"")</f>
        <v/>
      </c>
      <c r="J3260" s="4" t="str" cm="1">
        <f t="array" ref="J3260">IFERROR(INDEX(EmployeeData[Status], ROW() - 37), "")</f>
        <v/>
      </c>
    </row>
    <row r="3261" spans="2:10" ht="19.95" customHeight="1" x14ac:dyDescent="0.3">
      <c r="B3261" s="4" t="str" cm="1">
        <f t="array" ref="B3261">IFERROR(INDEX(EmployeeData[Employee ID], ROW() - 37), "")</f>
        <v/>
      </c>
      <c r="C3261" s="4" t="str" cm="1">
        <f t="array" ref="C3261">IFERROR(INDEX(EmployeeData[Full Name], ROW() - 37), "")</f>
        <v/>
      </c>
      <c r="D3261" s="4" t="str" cm="1">
        <f t="array" ref="D3261">IFERROR(INDEX(EmployeeData[Department], ROW() - 37), "")</f>
        <v/>
      </c>
      <c r="E3261" s="4" t="str" cm="1">
        <f t="array" ref="E3261">IFERROR(INDEX(EmployeeData[Gender], ROW() - 37), "")</f>
        <v/>
      </c>
      <c r="F3261" s="4" t="str" cm="1">
        <f t="array" ref="F3261">IFERROR(INDEX(EmployeeData[Age], ROW() - 37), "")</f>
        <v/>
      </c>
      <c r="G3261" s="6" t="str" cm="1">
        <f t="array" ref="G3261">IFERROR(INDEX(EmployeeData[Join Date], ROW() - 37), "")</f>
        <v/>
      </c>
      <c r="H3261" s="6" t="str" cm="1">
        <f t="array" ref="H3261">IFERROR(IF(INDEX(EmployeeData[Exit Date], ROW() - 37)=0, "",INDEX(EmployeeData[Exit Date], ROW() - 37)),"")</f>
        <v/>
      </c>
      <c r="I3261" s="4" t="str" cm="1">
        <f t="array" ref="I3261">IFERROR(IF(INDEX(EmployeeData[Exit Reason], ROW() - 37)=0, "",INDEX(EmployeeData[Exit Reason], ROW() - 37)),"")</f>
        <v/>
      </c>
      <c r="J3261" s="4" t="str" cm="1">
        <f t="array" ref="J3261">IFERROR(INDEX(EmployeeData[Status], ROW() - 37), "")</f>
        <v/>
      </c>
    </row>
    <row r="3262" spans="2:10" ht="19.95" customHeight="1" x14ac:dyDescent="0.3">
      <c r="B3262" s="4" t="str" cm="1">
        <f t="array" ref="B3262">IFERROR(INDEX(EmployeeData[Employee ID], ROW() - 37), "")</f>
        <v/>
      </c>
      <c r="C3262" s="4" t="str" cm="1">
        <f t="array" ref="C3262">IFERROR(INDEX(EmployeeData[Full Name], ROW() - 37), "")</f>
        <v/>
      </c>
      <c r="D3262" s="4" t="str" cm="1">
        <f t="array" ref="D3262">IFERROR(INDEX(EmployeeData[Department], ROW() - 37), "")</f>
        <v/>
      </c>
      <c r="E3262" s="4" t="str" cm="1">
        <f t="array" ref="E3262">IFERROR(INDEX(EmployeeData[Gender], ROW() - 37), "")</f>
        <v/>
      </c>
      <c r="F3262" s="4" t="str" cm="1">
        <f t="array" ref="F3262">IFERROR(INDEX(EmployeeData[Age], ROW() - 37), "")</f>
        <v/>
      </c>
      <c r="G3262" s="6" t="str" cm="1">
        <f t="array" ref="G3262">IFERROR(INDEX(EmployeeData[Join Date], ROW() - 37), "")</f>
        <v/>
      </c>
      <c r="H3262" s="6" t="str" cm="1">
        <f t="array" ref="H3262">IFERROR(IF(INDEX(EmployeeData[Exit Date], ROW() - 37)=0, "",INDEX(EmployeeData[Exit Date], ROW() - 37)),"")</f>
        <v/>
      </c>
      <c r="I3262" s="4" t="str" cm="1">
        <f t="array" ref="I3262">IFERROR(IF(INDEX(EmployeeData[Exit Reason], ROW() - 37)=0, "",INDEX(EmployeeData[Exit Reason], ROW() - 37)),"")</f>
        <v/>
      </c>
      <c r="J3262" s="4" t="str" cm="1">
        <f t="array" ref="J3262">IFERROR(INDEX(EmployeeData[Status], ROW() - 37), "")</f>
        <v/>
      </c>
    </row>
    <row r="3263" spans="2:10" ht="19.95" customHeight="1" x14ac:dyDescent="0.3">
      <c r="B3263" s="4" t="str" cm="1">
        <f t="array" ref="B3263">IFERROR(INDEX(EmployeeData[Employee ID], ROW() - 37), "")</f>
        <v/>
      </c>
      <c r="C3263" s="4" t="str" cm="1">
        <f t="array" ref="C3263">IFERROR(INDEX(EmployeeData[Full Name], ROW() - 37), "")</f>
        <v/>
      </c>
      <c r="D3263" s="4" t="str" cm="1">
        <f t="array" ref="D3263">IFERROR(INDEX(EmployeeData[Department], ROW() - 37), "")</f>
        <v/>
      </c>
      <c r="E3263" s="4" t="str" cm="1">
        <f t="array" ref="E3263">IFERROR(INDEX(EmployeeData[Gender], ROW() - 37), "")</f>
        <v/>
      </c>
      <c r="F3263" s="4" t="str" cm="1">
        <f t="array" ref="F3263">IFERROR(INDEX(EmployeeData[Age], ROW() - 37), "")</f>
        <v/>
      </c>
      <c r="G3263" s="6" t="str" cm="1">
        <f t="array" ref="G3263">IFERROR(INDEX(EmployeeData[Join Date], ROW() - 37), "")</f>
        <v/>
      </c>
      <c r="H3263" s="6" t="str" cm="1">
        <f t="array" ref="H3263">IFERROR(IF(INDEX(EmployeeData[Exit Date], ROW() - 37)=0, "",INDEX(EmployeeData[Exit Date], ROW() - 37)),"")</f>
        <v/>
      </c>
      <c r="I3263" s="4" t="str" cm="1">
        <f t="array" ref="I3263">IFERROR(IF(INDEX(EmployeeData[Exit Reason], ROW() - 37)=0, "",INDEX(EmployeeData[Exit Reason], ROW() - 37)),"")</f>
        <v/>
      </c>
      <c r="J3263" s="4" t="str" cm="1">
        <f t="array" ref="J3263">IFERROR(INDEX(EmployeeData[Status], ROW() - 37), "")</f>
        <v/>
      </c>
    </row>
    <row r="3264" spans="2:10" ht="19.95" customHeight="1" x14ac:dyDescent="0.3">
      <c r="B3264" s="4" t="str" cm="1">
        <f t="array" ref="B3264">IFERROR(INDEX(EmployeeData[Employee ID], ROW() - 37), "")</f>
        <v/>
      </c>
      <c r="C3264" s="4" t="str" cm="1">
        <f t="array" ref="C3264">IFERROR(INDEX(EmployeeData[Full Name], ROW() - 37), "")</f>
        <v/>
      </c>
      <c r="D3264" s="4" t="str" cm="1">
        <f t="array" ref="D3264">IFERROR(INDEX(EmployeeData[Department], ROW() - 37), "")</f>
        <v/>
      </c>
      <c r="E3264" s="4" t="str" cm="1">
        <f t="array" ref="E3264">IFERROR(INDEX(EmployeeData[Gender], ROW() - 37), "")</f>
        <v/>
      </c>
      <c r="F3264" s="4" t="str" cm="1">
        <f t="array" ref="F3264">IFERROR(INDEX(EmployeeData[Age], ROW() - 37), "")</f>
        <v/>
      </c>
      <c r="G3264" s="6" t="str" cm="1">
        <f t="array" ref="G3264">IFERROR(INDEX(EmployeeData[Join Date], ROW() - 37), "")</f>
        <v/>
      </c>
      <c r="H3264" s="6" t="str" cm="1">
        <f t="array" ref="H3264">IFERROR(IF(INDEX(EmployeeData[Exit Date], ROW() - 37)=0, "",INDEX(EmployeeData[Exit Date], ROW() - 37)),"")</f>
        <v/>
      </c>
      <c r="I3264" s="4" t="str" cm="1">
        <f t="array" ref="I3264">IFERROR(IF(INDEX(EmployeeData[Exit Reason], ROW() - 37)=0, "",INDEX(EmployeeData[Exit Reason], ROW() - 37)),"")</f>
        <v/>
      </c>
      <c r="J3264" s="4" t="str" cm="1">
        <f t="array" ref="J3264">IFERROR(INDEX(EmployeeData[Status], ROW() - 37), "")</f>
        <v/>
      </c>
    </row>
    <row r="3265" spans="2:10" ht="19.95" customHeight="1" x14ac:dyDescent="0.3">
      <c r="B3265" s="4" t="str" cm="1">
        <f t="array" ref="B3265">IFERROR(INDEX(EmployeeData[Employee ID], ROW() - 37), "")</f>
        <v/>
      </c>
      <c r="C3265" s="4" t="str" cm="1">
        <f t="array" ref="C3265">IFERROR(INDEX(EmployeeData[Full Name], ROW() - 37), "")</f>
        <v/>
      </c>
      <c r="D3265" s="4" t="str" cm="1">
        <f t="array" ref="D3265">IFERROR(INDEX(EmployeeData[Department], ROW() - 37), "")</f>
        <v/>
      </c>
      <c r="E3265" s="4" t="str" cm="1">
        <f t="array" ref="E3265">IFERROR(INDEX(EmployeeData[Gender], ROW() - 37), "")</f>
        <v/>
      </c>
      <c r="F3265" s="4" t="str" cm="1">
        <f t="array" ref="F3265">IFERROR(INDEX(EmployeeData[Age], ROW() - 37), "")</f>
        <v/>
      </c>
      <c r="G3265" s="6" t="str" cm="1">
        <f t="array" ref="G3265">IFERROR(INDEX(EmployeeData[Join Date], ROW() - 37), "")</f>
        <v/>
      </c>
      <c r="H3265" s="6" t="str" cm="1">
        <f t="array" ref="H3265">IFERROR(IF(INDEX(EmployeeData[Exit Date], ROW() - 37)=0, "",INDEX(EmployeeData[Exit Date], ROW() - 37)),"")</f>
        <v/>
      </c>
      <c r="I3265" s="4" t="str" cm="1">
        <f t="array" ref="I3265">IFERROR(IF(INDEX(EmployeeData[Exit Reason], ROW() - 37)=0, "",INDEX(EmployeeData[Exit Reason], ROW() - 37)),"")</f>
        <v/>
      </c>
      <c r="J3265" s="4" t="str" cm="1">
        <f t="array" ref="J3265">IFERROR(INDEX(EmployeeData[Status], ROW() - 37), "")</f>
        <v/>
      </c>
    </row>
    <row r="3266" spans="2:10" ht="19.95" customHeight="1" x14ac:dyDescent="0.3">
      <c r="B3266" s="4" t="str" cm="1">
        <f t="array" ref="B3266">IFERROR(INDEX(EmployeeData[Employee ID], ROW() - 37), "")</f>
        <v/>
      </c>
      <c r="C3266" s="4" t="str" cm="1">
        <f t="array" ref="C3266">IFERROR(INDEX(EmployeeData[Full Name], ROW() - 37), "")</f>
        <v/>
      </c>
      <c r="D3266" s="4" t="str" cm="1">
        <f t="array" ref="D3266">IFERROR(INDEX(EmployeeData[Department], ROW() - 37), "")</f>
        <v/>
      </c>
      <c r="E3266" s="4" t="str" cm="1">
        <f t="array" ref="E3266">IFERROR(INDEX(EmployeeData[Gender], ROW() - 37), "")</f>
        <v/>
      </c>
      <c r="F3266" s="4" t="str" cm="1">
        <f t="array" ref="F3266">IFERROR(INDEX(EmployeeData[Age], ROW() - 37), "")</f>
        <v/>
      </c>
      <c r="G3266" s="6" t="str" cm="1">
        <f t="array" ref="G3266">IFERROR(INDEX(EmployeeData[Join Date], ROW() - 37), "")</f>
        <v/>
      </c>
      <c r="H3266" s="6" t="str" cm="1">
        <f t="array" ref="H3266">IFERROR(IF(INDEX(EmployeeData[Exit Date], ROW() - 37)=0, "",INDEX(EmployeeData[Exit Date], ROW() - 37)),"")</f>
        <v/>
      </c>
      <c r="I3266" s="4" t="str" cm="1">
        <f t="array" ref="I3266">IFERROR(IF(INDEX(EmployeeData[Exit Reason], ROW() - 37)=0, "",INDEX(EmployeeData[Exit Reason], ROW() - 37)),"")</f>
        <v/>
      </c>
      <c r="J3266" s="4" t="str" cm="1">
        <f t="array" ref="J3266">IFERROR(INDEX(EmployeeData[Status], ROW() - 37), "")</f>
        <v/>
      </c>
    </row>
    <row r="3267" spans="2:10" ht="19.95" customHeight="1" x14ac:dyDescent="0.3">
      <c r="B3267" s="4" t="str" cm="1">
        <f t="array" ref="B3267">IFERROR(INDEX(EmployeeData[Employee ID], ROW() - 37), "")</f>
        <v/>
      </c>
      <c r="C3267" s="4" t="str" cm="1">
        <f t="array" ref="C3267">IFERROR(INDEX(EmployeeData[Full Name], ROW() - 37), "")</f>
        <v/>
      </c>
      <c r="D3267" s="4" t="str" cm="1">
        <f t="array" ref="D3267">IFERROR(INDEX(EmployeeData[Department], ROW() - 37), "")</f>
        <v/>
      </c>
      <c r="E3267" s="4" t="str" cm="1">
        <f t="array" ref="E3267">IFERROR(INDEX(EmployeeData[Gender], ROW() - 37), "")</f>
        <v/>
      </c>
      <c r="F3267" s="4" t="str" cm="1">
        <f t="array" ref="F3267">IFERROR(INDEX(EmployeeData[Age], ROW() - 37), "")</f>
        <v/>
      </c>
      <c r="G3267" s="6" t="str" cm="1">
        <f t="array" ref="G3267">IFERROR(INDEX(EmployeeData[Join Date], ROW() - 37), "")</f>
        <v/>
      </c>
      <c r="H3267" s="6" t="str" cm="1">
        <f t="array" ref="H3267">IFERROR(IF(INDEX(EmployeeData[Exit Date], ROW() - 37)=0, "",INDEX(EmployeeData[Exit Date], ROW() - 37)),"")</f>
        <v/>
      </c>
      <c r="I3267" s="4" t="str" cm="1">
        <f t="array" ref="I3267">IFERROR(IF(INDEX(EmployeeData[Exit Reason], ROW() - 37)=0, "",INDEX(EmployeeData[Exit Reason], ROW() - 37)),"")</f>
        <v/>
      </c>
      <c r="J3267" s="4" t="str" cm="1">
        <f t="array" ref="J3267">IFERROR(INDEX(EmployeeData[Status], ROW() - 37), "")</f>
        <v/>
      </c>
    </row>
    <row r="3268" spans="2:10" ht="19.95" customHeight="1" x14ac:dyDescent="0.3">
      <c r="B3268" s="4" t="str" cm="1">
        <f t="array" ref="B3268">IFERROR(INDEX(EmployeeData[Employee ID], ROW() - 37), "")</f>
        <v/>
      </c>
      <c r="C3268" s="4" t="str" cm="1">
        <f t="array" ref="C3268">IFERROR(INDEX(EmployeeData[Full Name], ROW() - 37), "")</f>
        <v/>
      </c>
      <c r="D3268" s="4" t="str" cm="1">
        <f t="array" ref="D3268">IFERROR(INDEX(EmployeeData[Department], ROW() - 37), "")</f>
        <v/>
      </c>
      <c r="E3268" s="4" t="str" cm="1">
        <f t="array" ref="E3268">IFERROR(INDEX(EmployeeData[Gender], ROW() - 37), "")</f>
        <v/>
      </c>
      <c r="F3268" s="4" t="str" cm="1">
        <f t="array" ref="F3268">IFERROR(INDEX(EmployeeData[Age], ROW() - 37), "")</f>
        <v/>
      </c>
      <c r="G3268" s="6" t="str" cm="1">
        <f t="array" ref="G3268">IFERROR(INDEX(EmployeeData[Join Date], ROW() - 37), "")</f>
        <v/>
      </c>
      <c r="H3268" s="6" t="str" cm="1">
        <f t="array" ref="H3268">IFERROR(IF(INDEX(EmployeeData[Exit Date], ROW() - 37)=0, "",INDEX(EmployeeData[Exit Date], ROW() - 37)),"")</f>
        <v/>
      </c>
      <c r="I3268" s="4" t="str" cm="1">
        <f t="array" ref="I3268">IFERROR(IF(INDEX(EmployeeData[Exit Reason], ROW() - 37)=0, "",INDEX(EmployeeData[Exit Reason], ROW() - 37)),"")</f>
        <v/>
      </c>
      <c r="J3268" s="4" t="str" cm="1">
        <f t="array" ref="J3268">IFERROR(INDEX(EmployeeData[Status], ROW() - 37), "")</f>
        <v/>
      </c>
    </row>
    <row r="3269" spans="2:10" ht="19.95" customHeight="1" x14ac:dyDescent="0.3">
      <c r="B3269" s="4" t="str" cm="1">
        <f t="array" ref="B3269">IFERROR(INDEX(EmployeeData[Employee ID], ROW() - 37), "")</f>
        <v/>
      </c>
      <c r="C3269" s="4" t="str" cm="1">
        <f t="array" ref="C3269">IFERROR(INDEX(EmployeeData[Full Name], ROW() - 37), "")</f>
        <v/>
      </c>
      <c r="D3269" s="4" t="str" cm="1">
        <f t="array" ref="D3269">IFERROR(INDEX(EmployeeData[Department], ROW() - 37), "")</f>
        <v/>
      </c>
      <c r="E3269" s="4" t="str" cm="1">
        <f t="array" ref="E3269">IFERROR(INDEX(EmployeeData[Gender], ROW() - 37), "")</f>
        <v/>
      </c>
      <c r="F3269" s="4" t="str" cm="1">
        <f t="array" ref="F3269">IFERROR(INDEX(EmployeeData[Age], ROW() - 37), "")</f>
        <v/>
      </c>
      <c r="G3269" s="6" t="str" cm="1">
        <f t="array" ref="G3269">IFERROR(INDEX(EmployeeData[Join Date], ROW() - 37), "")</f>
        <v/>
      </c>
      <c r="H3269" s="6" t="str" cm="1">
        <f t="array" ref="H3269">IFERROR(IF(INDEX(EmployeeData[Exit Date], ROW() - 37)=0, "",INDEX(EmployeeData[Exit Date], ROW() - 37)),"")</f>
        <v/>
      </c>
      <c r="I3269" s="4" t="str" cm="1">
        <f t="array" ref="I3269">IFERROR(IF(INDEX(EmployeeData[Exit Reason], ROW() - 37)=0, "",INDEX(EmployeeData[Exit Reason], ROW() - 37)),"")</f>
        <v/>
      </c>
      <c r="J3269" s="4" t="str" cm="1">
        <f t="array" ref="J3269">IFERROR(INDEX(EmployeeData[Status], ROW() - 37), "")</f>
        <v/>
      </c>
    </row>
    <row r="3270" spans="2:10" ht="19.95" customHeight="1" x14ac:dyDescent="0.3">
      <c r="B3270" s="4" t="str" cm="1">
        <f t="array" ref="B3270">IFERROR(INDEX(EmployeeData[Employee ID], ROW() - 37), "")</f>
        <v/>
      </c>
      <c r="C3270" s="4" t="str" cm="1">
        <f t="array" ref="C3270">IFERROR(INDEX(EmployeeData[Full Name], ROW() - 37), "")</f>
        <v/>
      </c>
      <c r="D3270" s="4" t="str" cm="1">
        <f t="array" ref="D3270">IFERROR(INDEX(EmployeeData[Department], ROW() - 37), "")</f>
        <v/>
      </c>
      <c r="E3270" s="4" t="str" cm="1">
        <f t="array" ref="E3270">IFERROR(INDEX(EmployeeData[Gender], ROW() - 37), "")</f>
        <v/>
      </c>
      <c r="F3270" s="4" t="str" cm="1">
        <f t="array" ref="F3270">IFERROR(INDEX(EmployeeData[Age], ROW() - 37), "")</f>
        <v/>
      </c>
      <c r="G3270" s="6" t="str" cm="1">
        <f t="array" ref="G3270">IFERROR(INDEX(EmployeeData[Join Date], ROW() - 37), "")</f>
        <v/>
      </c>
      <c r="H3270" s="6" t="str" cm="1">
        <f t="array" ref="H3270">IFERROR(IF(INDEX(EmployeeData[Exit Date], ROW() - 37)=0, "",INDEX(EmployeeData[Exit Date], ROW() - 37)),"")</f>
        <v/>
      </c>
      <c r="I3270" s="4" t="str" cm="1">
        <f t="array" ref="I3270">IFERROR(IF(INDEX(EmployeeData[Exit Reason], ROW() - 37)=0, "",INDEX(EmployeeData[Exit Reason], ROW() - 37)),"")</f>
        <v/>
      </c>
      <c r="J3270" s="4" t="str" cm="1">
        <f t="array" ref="J3270">IFERROR(INDEX(EmployeeData[Status], ROW() - 37), "")</f>
        <v/>
      </c>
    </row>
    <row r="3271" spans="2:10" ht="19.95" customHeight="1" x14ac:dyDescent="0.3">
      <c r="B3271" s="4" t="str" cm="1">
        <f t="array" ref="B3271">IFERROR(INDEX(EmployeeData[Employee ID], ROW() - 37), "")</f>
        <v/>
      </c>
      <c r="C3271" s="4" t="str" cm="1">
        <f t="array" ref="C3271">IFERROR(INDEX(EmployeeData[Full Name], ROW() - 37), "")</f>
        <v/>
      </c>
      <c r="D3271" s="4" t="str" cm="1">
        <f t="array" ref="D3271">IFERROR(INDEX(EmployeeData[Department], ROW() - 37), "")</f>
        <v/>
      </c>
      <c r="E3271" s="4" t="str" cm="1">
        <f t="array" ref="E3271">IFERROR(INDEX(EmployeeData[Gender], ROW() - 37), "")</f>
        <v/>
      </c>
      <c r="F3271" s="4" t="str" cm="1">
        <f t="array" ref="F3271">IFERROR(INDEX(EmployeeData[Age], ROW() - 37), "")</f>
        <v/>
      </c>
      <c r="G3271" s="6" t="str" cm="1">
        <f t="array" ref="G3271">IFERROR(INDEX(EmployeeData[Join Date], ROW() - 37), "")</f>
        <v/>
      </c>
      <c r="H3271" s="6" t="str" cm="1">
        <f t="array" ref="H3271">IFERROR(IF(INDEX(EmployeeData[Exit Date], ROW() - 37)=0, "",INDEX(EmployeeData[Exit Date], ROW() - 37)),"")</f>
        <v/>
      </c>
      <c r="I3271" s="4" t="str" cm="1">
        <f t="array" ref="I3271">IFERROR(IF(INDEX(EmployeeData[Exit Reason], ROW() - 37)=0, "",INDEX(EmployeeData[Exit Reason], ROW() - 37)),"")</f>
        <v/>
      </c>
      <c r="J3271" s="4" t="str" cm="1">
        <f t="array" ref="J3271">IFERROR(INDEX(EmployeeData[Status], ROW() - 37), "")</f>
        <v/>
      </c>
    </row>
    <row r="3272" spans="2:10" ht="19.95" customHeight="1" x14ac:dyDescent="0.3">
      <c r="B3272" s="4" t="str" cm="1">
        <f t="array" ref="B3272">IFERROR(INDEX(EmployeeData[Employee ID], ROW() - 37), "")</f>
        <v/>
      </c>
      <c r="C3272" s="4" t="str" cm="1">
        <f t="array" ref="C3272">IFERROR(INDEX(EmployeeData[Full Name], ROW() - 37), "")</f>
        <v/>
      </c>
      <c r="D3272" s="4" t="str" cm="1">
        <f t="array" ref="D3272">IFERROR(INDEX(EmployeeData[Department], ROW() - 37), "")</f>
        <v/>
      </c>
      <c r="E3272" s="4" t="str" cm="1">
        <f t="array" ref="E3272">IFERROR(INDEX(EmployeeData[Gender], ROW() - 37), "")</f>
        <v/>
      </c>
      <c r="F3272" s="4" t="str" cm="1">
        <f t="array" ref="F3272">IFERROR(INDEX(EmployeeData[Age], ROW() - 37), "")</f>
        <v/>
      </c>
      <c r="G3272" s="6" t="str" cm="1">
        <f t="array" ref="G3272">IFERROR(INDEX(EmployeeData[Join Date], ROW() - 37), "")</f>
        <v/>
      </c>
      <c r="H3272" s="6" t="str" cm="1">
        <f t="array" ref="H3272">IFERROR(IF(INDEX(EmployeeData[Exit Date], ROW() - 37)=0, "",INDEX(EmployeeData[Exit Date], ROW() - 37)),"")</f>
        <v/>
      </c>
      <c r="I3272" s="4" t="str" cm="1">
        <f t="array" ref="I3272">IFERROR(IF(INDEX(EmployeeData[Exit Reason], ROW() - 37)=0, "",INDEX(EmployeeData[Exit Reason], ROW() - 37)),"")</f>
        <v/>
      </c>
      <c r="J3272" s="4" t="str" cm="1">
        <f t="array" ref="J3272">IFERROR(INDEX(EmployeeData[Status], ROW() - 37), "")</f>
        <v/>
      </c>
    </row>
    <row r="3273" spans="2:10" ht="19.95" customHeight="1" x14ac:dyDescent="0.3">
      <c r="B3273" s="4" t="str" cm="1">
        <f t="array" ref="B3273">IFERROR(INDEX(EmployeeData[Employee ID], ROW() - 37), "")</f>
        <v/>
      </c>
      <c r="C3273" s="4" t="str" cm="1">
        <f t="array" ref="C3273">IFERROR(INDEX(EmployeeData[Full Name], ROW() - 37), "")</f>
        <v/>
      </c>
      <c r="D3273" s="4" t="str" cm="1">
        <f t="array" ref="D3273">IFERROR(INDEX(EmployeeData[Department], ROW() - 37), "")</f>
        <v/>
      </c>
      <c r="E3273" s="4" t="str" cm="1">
        <f t="array" ref="E3273">IFERROR(INDEX(EmployeeData[Gender], ROW() - 37), "")</f>
        <v/>
      </c>
      <c r="F3273" s="4" t="str" cm="1">
        <f t="array" ref="F3273">IFERROR(INDEX(EmployeeData[Age], ROW() - 37), "")</f>
        <v/>
      </c>
      <c r="G3273" s="6" t="str" cm="1">
        <f t="array" ref="G3273">IFERROR(INDEX(EmployeeData[Join Date], ROW() - 37), "")</f>
        <v/>
      </c>
      <c r="H3273" s="6" t="str" cm="1">
        <f t="array" ref="H3273">IFERROR(IF(INDEX(EmployeeData[Exit Date], ROW() - 37)=0, "",INDEX(EmployeeData[Exit Date], ROW() - 37)),"")</f>
        <v/>
      </c>
      <c r="I3273" s="4" t="str" cm="1">
        <f t="array" ref="I3273">IFERROR(IF(INDEX(EmployeeData[Exit Reason], ROW() - 37)=0, "",INDEX(EmployeeData[Exit Reason], ROW() - 37)),"")</f>
        <v/>
      </c>
      <c r="J3273" s="4" t="str" cm="1">
        <f t="array" ref="J3273">IFERROR(INDEX(EmployeeData[Status], ROW() - 37), "")</f>
        <v/>
      </c>
    </row>
    <row r="3274" spans="2:10" ht="19.95" customHeight="1" x14ac:dyDescent="0.3">
      <c r="B3274" s="4" t="str" cm="1">
        <f t="array" ref="B3274">IFERROR(INDEX(EmployeeData[Employee ID], ROW() - 37), "")</f>
        <v/>
      </c>
      <c r="C3274" s="4" t="str" cm="1">
        <f t="array" ref="C3274">IFERROR(INDEX(EmployeeData[Full Name], ROW() - 37), "")</f>
        <v/>
      </c>
      <c r="D3274" s="4" t="str" cm="1">
        <f t="array" ref="D3274">IFERROR(INDEX(EmployeeData[Department], ROW() - 37), "")</f>
        <v/>
      </c>
      <c r="E3274" s="4" t="str" cm="1">
        <f t="array" ref="E3274">IFERROR(INDEX(EmployeeData[Gender], ROW() - 37), "")</f>
        <v/>
      </c>
      <c r="F3274" s="4" t="str" cm="1">
        <f t="array" ref="F3274">IFERROR(INDEX(EmployeeData[Age], ROW() - 37), "")</f>
        <v/>
      </c>
      <c r="G3274" s="6" t="str" cm="1">
        <f t="array" ref="G3274">IFERROR(INDEX(EmployeeData[Join Date], ROW() - 37), "")</f>
        <v/>
      </c>
      <c r="H3274" s="6" t="str" cm="1">
        <f t="array" ref="H3274">IFERROR(IF(INDEX(EmployeeData[Exit Date], ROW() - 37)=0, "",INDEX(EmployeeData[Exit Date], ROW() - 37)),"")</f>
        <v/>
      </c>
      <c r="I3274" s="4" t="str" cm="1">
        <f t="array" ref="I3274">IFERROR(IF(INDEX(EmployeeData[Exit Reason], ROW() - 37)=0, "",INDEX(EmployeeData[Exit Reason], ROW() - 37)),"")</f>
        <v/>
      </c>
      <c r="J3274" s="4" t="str" cm="1">
        <f t="array" ref="J3274">IFERROR(INDEX(EmployeeData[Status], ROW() - 37), "")</f>
        <v/>
      </c>
    </row>
    <row r="3275" spans="2:10" ht="19.95" customHeight="1" x14ac:dyDescent="0.3">
      <c r="B3275" s="4" t="str" cm="1">
        <f t="array" ref="B3275">IFERROR(INDEX(EmployeeData[Employee ID], ROW() - 37), "")</f>
        <v/>
      </c>
      <c r="C3275" s="4" t="str" cm="1">
        <f t="array" ref="C3275">IFERROR(INDEX(EmployeeData[Full Name], ROW() - 37), "")</f>
        <v/>
      </c>
      <c r="D3275" s="4" t="str" cm="1">
        <f t="array" ref="D3275">IFERROR(INDEX(EmployeeData[Department], ROW() - 37), "")</f>
        <v/>
      </c>
      <c r="E3275" s="4" t="str" cm="1">
        <f t="array" ref="E3275">IFERROR(INDEX(EmployeeData[Gender], ROW() - 37), "")</f>
        <v/>
      </c>
      <c r="F3275" s="4" t="str" cm="1">
        <f t="array" ref="F3275">IFERROR(INDEX(EmployeeData[Age], ROW() - 37), "")</f>
        <v/>
      </c>
      <c r="G3275" s="6" t="str" cm="1">
        <f t="array" ref="G3275">IFERROR(INDEX(EmployeeData[Join Date], ROW() - 37), "")</f>
        <v/>
      </c>
      <c r="H3275" s="6" t="str" cm="1">
        <f t="array" ref="H3275">IFERROR(IF(INDEX(EmployeeData[Exit Date], ROW() - 37)=0, "",INDEX(EmployeeData[Exit Date], ROW() - 37)),"")</f>
        <v/>
      </c>
      <c r="I3275" s="4" t="str" cm="1">
        <f t="array" ref="I3275">IFERROR(IF(INDEX(EmployeeData[Exit Reason], ROW() - 37)=0, "",INDEX(EmployeeData[Exit Reason], ROW() - 37)),"")</f>
        <v/>
      </c>
      <c r="J3275" s="4" t="str" cm="1">
        <f t="array" ref="J3275">IFERROR(INDEX(EmployeeData[Status], ROW() - 37), "")</f>
        <v/>
      </c>
    </row>
    <row r="3276" spans="2:10" ht="19.95" customHeight="1" x14ac:dyDescent="0.3">
      <c r="B3276" s="4" t="str" cm="1">
        <f t="array" ref="B3276">IFERROR(INDEX(EmployeeData[Employee ID], ROW() - 37), "")</f>
        <v/>
      </c>
      <c r="C3276" s="4" t="str" cm="1">
        <f t="array" ref="C3276">IFERROR(INDEX(EmployeeData[Full Name], ROW() - 37), "")</f>
        <v/>
      </c>
      <c r="D3276" s="4" t="str" cm="1">
        <f t="array" ref="D3276">IFERROR(INDEX(EmployeeData[Department], ROW() - 37), "")</f>
        <v/>
      </c>
      <c r="E3276" s="4" t="str" cm="1">
        <f t="array" ref="E3276">IFERROR(INDEX(EmployeeData[Gender], ROW() - 37), "")</f>
        <v/>
      </c>
      <c r="F3276" s="4" t="str" cm="1">
        <f t="array" ref="F3276">IFERROR(INDEX(EmployeeData[Age], ROW() - 37), "")</f>
        <v/>
      </c>
      <c r="G3276" s="6" t="str" cm="1">
        <f t="array" ref="G3276">IFERROR(INDEX(EmployeeData[Join Date], ROW() - 37), "")</f>
        <v/>
      </c>
      <c r="H3276" s="6" t="str" cm="1">
        <f t="array" ref="H3276">IFERROR(IF(INDEX(EmployeeData[Exit Date], ROW() - 37)=0, "",INDEX(EmployeeData[Exit Date], ROW() - 37)),"")</f>
        <v/>
      </c>
      <c r="I3276" s="4" t="str" cm="1">
        <f t="array" ref="I3276">IFERROR(IF(INDEX(EmployeeData[Exit Reason], ROW() - 37)=0, "",INDEX(EmployeeData[Exit Reason], ROW() - 37)),"")</f>
        <v/>
      </c>
      <c r="J3276" s="4" t="str" cm="1">
        <f t="array" ref="J3276">IFERROR(INDEX(EmployeeData[Status], ROW() - 37), "")</f>
        <v/>
      </c>
    </row>
    <row r="3277" spans="2:10" ht="19.95" customHeight="1" x14ac:dyDescent="0.3">
      <c r="B3277" s="4" t="str" cm="1">
        <f t="array" ref="B3277">IFERROR(INDEX(EmployeeData[Employee ID], ROW() - 37), "")</f>
        <v/>
      </c>
      <c r="C3277" s="4" t="str" cm="1">
        <f t="array" ref="C3277">IFERROR(INDEX(EmployeeData[Full Name], ROW() - 37), "")</f>
        <v/>
      </c>
      <c r="D3277" s="4" t="str" cm="1">
        <f t="array" ref="D3277">IFERROR(INDEX(EmployeeData[Department], ROW() - 37), "")</f>
        <v/>
      </c>
      <c r="E3277" s="4" t="str" cm="1">
        <f t="array" ref="E3277">IFERROR(INDEX(EmployeeData[Gender], ROW() - 37), "")</f>
        <v/>
      </c>
      <c r="F3277" s="4" t="str" cm="1">
        <f t="array" ref="F3277">IFERROR(INDEX(EmployeeData[Age], ROW() - 37), "")</f>
        <v/>
      </c>
      <c r="G3277" s="6" t="str" cm="1">
        <f t="array" ref="G3277">IFERROR(INDEX(EmployeeData[Join Date], ROW() - 37), "")</f>
        <v/>
      </c>
      <c r="H3277" s="6" t="str" cm="1">
        <f t="array" ref="H3277">IFERROR(IF(INDEX(EmployeeData[Exit Date], ROW() - 37)=0, "",INDEX(EmployeeData[Exit Date], ROW() - 37)),"")</f>
        <v/>
      </c>
      <c r="I3277" s="4" t="str" cm="1">
        <f t="array" ref="I3277">IFERROR(IF(INDEX(EmployeeData[Exit Reason], ROW() - 37)=0, "",INDEX(EmployeeData[Exit Reason], ROW() - 37)),"")</f>
        <v/>
      </c>
      <c r="J3277" s="4" t="str" cm="1">
        <f t="array" ref="J3277">IFERROR(INDEX(EmployeeData[Status], ROW() - 37), "")</f>
        <v/>
      </c>
    </row>
    <row r="3278" spans="2:10" ht="19.95" customHeight="1" x14ac:dyDescent="0.3">
      <c r="B3278" s="4" t="str" cm="1">
        <f t="array" ref="B3278">IFERROR(INDEX(EmployeeData[Employee ID], ROW() - 37), "")</f>
        <v/>
      </c>
      <c r="C3278" s="4" t="str" cm="1">
        <f t="array" ref="C3278">IFERROR(INDEX(EmployeeData[Full Name], ROW() - 37), "")</f>
        <v/>
      </c>
      <c r="D3278" s="4" t="str" cm="1">
        <f t="array" ref="D3278">IFERROR(INDEX(EmployeeData[Department], ROW() - 37), "")</f>
        <v/>
      </c>
      <c r="E3278" s="4" t="str" cm="1">
        <f t="array" ref="E3278">IFERROR(INDEX(EmployeeData[Gender], ROW() - 37), "")</f>
        <v/>
      </c>
      <c r="F3278" s="4" t="str" cm="1">
        <f t="array" ref="F3278">IFERROR(INDEX(EmployeeData[Age], ROW() - 37), "")</f>
        <v/>
      </c>
      <c r="G3278" s="6" t="str" cm="1">
        <f t="array" ref="G3278">IFERROR(INDEX(EmployeeData[Join Date], ROW() - 37), "")</f>
        <v/>
      </c>
      <c r="H3278" s="6" t="str" cm="1">
        <f t="array" ref="H3278">IFERROR(IF(INDEX(EmployeeData[Exit Date], ROW() - 37)=0, "",INDEX(EmployeeData[Exit Date], ROW() - 37)),"")</f>
        <v/>
      </c>
      <c r="I3278" s="4" t="str" cm="1">
        <f t="array" ref="I3278">IFERROR(IF(INDEX(EmployeeData[Exit Reason], ROW() - 37)=0, "",INDEX(EmployeeData[Exit Reason], ROW() - 37)),"")</f>
        <v/>
      </c>
      <c r="J3278" s="4" t="str" cm="1">
        <f t="array" ref="J3278">IFERROR(INDEX(EmployeeData[Status], ROW() - 37), "")</f>
        <v/>
      </c>
    </row>
    <row r="3279" spans="2:10" ht="19.95" customHeight="1" x14ac:dyDescent="0.3">
      <c r="B3279" s="4" t="str" cm="1">
        <f t="array" ref="B3279">IFERROR(INDEX(EmployeeData[Employee ID], ROW() - 37), "")</f>
        <v/>
      </c>
      <c r="C3279" s="4" t="str" cm="1">
        <f t="array" ref="C3279">IFERROR(INDEX(EmployeeData[Full Name], ROW() - 37), "")</f>
        <v/>
      </c>
      <c r="D3279" s="4" t="str" cm="1">
        <f t="array" ref="D3279">IFERROR(INDEX(EmployeeData[Department], ROW() - 37), "")</f>
        <v/>
      </c>
      <c r="E3279" s="4" t="str" cm="1">
        <f t="array" ref="E3279">IFERROR(INDEX(EmployeeData[Gender], ROW() - 37), "")</f>
        <v/>
      </c>
      <c r="F3279" s="4" t="str" cm="1">
        <f t="array" ref="F3279">IFERROR(INDEX(EmployeeData[Age], ROW() - 37), "")</f>
        <v/>
      </c>
      <c r="G3279" s="6" t="str" cm="1">
        <f t="array" ref="G3279">IFERROR(INDEX(EmployeeData[Join Date], ROW() - 37), "")</f>
        <v/>
      </c>
      <c r="H3279" s="6" t="str" cm="1">
        <f t="array" ref="H3279">IFERROR(IF(INDEX(EmployeeData[Exit Date], ROW() - 37)=0, "",INDEX(EmployeeData[Exit Date], ROW() - 37)),"")</f>
        <v/>
      </c>
      <c r="I3279" s="4" t="str" cm="1">
        <f t="array" ref="I3279">IFERROR(IF(INDEX(EmployeeData[Exit Reason], ROW() - 37)=0, "",INDEX(EmployeeData[Exit Reason], ROW() - 37)),"")</f>
        <v/>
      </c>
      <c r="J3279" s="4" t="str" cm="1">
        <f t="array" ref="J3279">IFERROR(INDEX(EmployeeData[Status], ROW() - 37), "")</f>
        <v/>
      </c>
    </row>
    <row r="3280" spans="2:10" ht="19.95" customHeight="1" x14ac:dyDescent="0.3">
      <c r="B3280" s="4" t="str" cm="1">
        <f t="array" ref="B3280">IFERROR(INDEX(EmployeeData[Employee ID], ROW() - 37), "")</f>
        <v/>
      </c>
      <c r="C3280" s="4" t="str" cm="1">
        <f t="array" ref="C3280">IFERROR(INDEX(EmployeeData[Full Name], ROW() - 37), "")</f>
        <v/>
      </c>
      <c r="D3280" s="4" t="str" cm="1">
        <f t="array" ref="D3280">IFERROR(INDEX(EmployeeData[Department], ROW() - 37), "")</f>
        <v/>
      </c>
      <c r="E3280" s="4" t="str" cm="1">
        <f t="array" ref="E3280">IFERROR(INDEX(EmployeeData[Gender], ROW() - 37), "")</f>
        <v/>
      </c>
      <c r="F3280" s="4" t="str" cm="1">
        <f t="array" ref="F3280">IFERROR(INDEX(EmployeeData[Age], ROW() - 37), "")</f>
        <v/>
      </c>
      <c r="G3280" s="6" t="str" cm="1">
        <f t="array" ref="G3280">IFERROR(INDEX(EmployeeData[Join Date], ROW() - 37), "")</f>
        <v/>
      </c>
      <c r="H3280" s="6" t="str" cm="1">
        <f t="array" ref="H3280">IFERROR(IF(INDEX(EmployeeData[Exit Date], ROW() - 37)=0, "",INDEX(EmployeeData[Exit Date], ROW() - 37)),"")</f>
        <v/>
      </c>
      <c r="I3280" s="4" t="str" cm="1">
        <f t="array" ref="I3280">IFERROR(IF(INDEX(EmployeeData[Exit Reason], ROW() - 37)=0, "",INDEX(EmployeeData[Exit Reason], ROW() - 37)),"")</f>
        <v/>
      </c>
      <c r="J3280" s="4" t="str" cm="1">
        <f t="array" ref="J3280">IFERROR(INDEX(EmployeeData[Status], ROW() - 37), "")</f>
        <v/>
      </c>
    </row>
    <row r="3281" spans="2:10" ht="19.95" customHeight="1" x14ac:dyDescent="0.3">
      <c r="B3281" s="4" t="str" cm="1">
        <f t="array" ref="B3281">IFERROR(INDEX(EmployeeData[Employee ID], ROW() - 37), "")</f>
        <v/>
      </c>
      <c r="C3281" s="4" t="str" cm="1">
        <f t="array" ref="C3281">IFERROR(INDEX(EmployeeData[Full Name], ROW() - 37), "")</f>
        <v/>
      </c>
      <c r="D3281" s="4" t="str" cm="1">
        <f t="array" ref="D3281">IFERROR(INDEX(EmployeeData[Department], ROW() - 37), "")</f>
        <v/>
      </c>
      <c r="E3281" s="4" t="str" cm="1">
        <f t="array" ref="E3281">IFERROR(INDEX(EmployeeData[Gender], ROW() - 37), "")</f>
        <v/>
      </c>
      <c r="F3281" s="4" t="str" cm="1">
        <f t="array" ref="F3281">IFERROR(INDEX(EmployeeData[Age], ROW() - 37), "")</f>
        <v/>
      </c>
      <c r="G3281" s="6" t="str" cm="1">
        <f t="array" ref="G3281">IFERROR(INDEX(EmployeeData[Join Date], ROW() - 37), "")</f>
        <v/>
      </c>
      <c r="H3281" s="6" t="str" cm="1">
        <f t="array" ref="H3281">IFERROR(IF(INDEX(EmployeeData[Exit Date], ROW() - 37)=0, "",INDEX(EmployeeData[Exit Date], ROW() - 37)),"")</f>
        <v/>
      </c>
      <c r="I3281" s="4" t="str" cm="1">
        <f t="array" ref="I3281">IFERROR(IF(INDEX(EmployeeData[Exit Reason], ROW() - 37)=0, "",INDEX(EmployeeData[Exit Reason], ROW() - 37)),"")</f>
        <v/>
      </c>
      <c r="J3281" s="4" t="str" cm="1">
        <f t="array" ref="J3281">IFERROR(INDEX(EmployeeData[Status], ROW() - 37), "")</f>
        <v/>
      </c>
    </row>
    <row r="3282" spans="2:10" ht="19.95" customHeight="1" x14ac:dyDescent="0.3">
      <c r="B3282" s="4" t="str" cm="1">
        <f t="array" ref="B3282">IFERROR(INDEX(EmployeeData[Employee ID], ROW() - 37), "")</f>
        <v/>
      </c>
      <c r="C3282" s="4" t="str" cm="1">
        <f t="array" ref="C3282">IFERROR(INDEX(EmployeeData[Full Name], ROW() - 37), "")</f>
        <v/>
      </c>
      <c r="D3282" s="4" t="str" cm="1">
        <f t="array" ref="D3282">IFERROR(INDEX(EmployeeData[Department], ROW() - 37), "")</f>
        <v/>
      </c>
      <c r="E3282" s="4" t="str" cm="1">
        <f t="array" ref="E3282">IFERROR(INDEX(EmployeeData[Gender], ROW() - 37), "")</f>
        <v/>
      </c>
      <c r="F3282" s="4" t="str" cm="1">
        <f t="array" ref="F3282">IFERROR(INDEX(EmployeeData[Age], ROW() - 37), "")</f>
        <v/>
      </c>
      <c r="G3282" s="6" t="str" cm="1">
        <f t="array" ref="G3282">IFERROR(INDEX(EmployeeData[Join Date], ROW() - 37), "")</f>
        <v/>
      </c>
      <c r="H3282" s="6" t="str" cm="1">
        <f t="array" ref="H3282">IFERROR(IF(INDEX(EmployeeData[Exit Date], ROW() - 37)=0, "",INDEX(EmployeeData[Exit Date], ROW() - 37)),"")</f>
        <v/>
      </c>
      <c r="I3282" s="4" t="str" cm="1">
        <f t="array" ref="I3282">IFERROR(IF(INDEX(EmployeeData[Exit Reason], ROW() - 37)=0, "",INDEX(EmployeeData[Exit Reason], ROW() - 37)),"")</f>
        <v/>
      </c>
      <c r="J3282" s="4" t="str" cm="1">
        <f t="array" ref="J3282">IFERROR(INDEX(EmployeeData[Status], ROW() - 37), "")</f>
        <v/>
      </c>
    </row>
    <row r="3283" spans="2:10" ht="19.95" customHeight="1" x14ac:dyDescent="0.3">
      <c r="B3283" s="4" t="str" cm="1">
        <f t="array" ref="B3283">IFERROR(INDEX(EmployeeData[Employee ID], ROW() - 37), "")</f>
        <v/>
      </c>
      <c r="C3283" s="4" t="str" cm="1">
        <f t="array" ref="C3283">IFERROR(INDEX(EmployeeData[Full Name], ROW() - 37), "")</f>
        <v/>
      </c>
      <c r="D3283" s="4" t="str" cm="1">
        <f t="array" ref="D3283">IFERROR(INDEX(EmployeeData[Department], ROW() - 37), "")</f>
        <v/>
      </c>
      <c r="E3283" s="4" t="str" cm="1">
        <f t="array" ref="E3283">IFERROR(INDEX(EmployeeData[Gender], ROW() - 37), "")</f>
        <v/>
      </c>
      <c r="F3283" s="4" t="str" cm="1">
        <f t="array" ref="F3283">IFERROR(INDEX(EmployeeData[Age], ROW() - 37), "")</f>
        <v/>
      </c>
      <c r="G3283" s="6" t="str" cm="1">
        <f t="array" ref="G3283">IFERROR(INDEX(EmployeeData[Join Date], ROW() - 37), "")</f>
        <v/>
      </c>
      <c r="H3283" s="6" t="str" cm="1">
        <f t="array" ref="H3283">IFERROR(IF(INDEX(EmployeeData[Exit Date], ROW() - 37)=0, "",INDEX(EmployeeData[Exit Date], ROW() - 37)),"")</f>
        <v/>
      </c>
      <c r="I3283" s="4" t="str" cm="1">
        <f t="array" ref="I3283">IFERROR(IF(INDEX(EmployeeData[Exit Reason], ROW() - 37)=0, "",INDEX(EmployeeData[Exit Reason], ROW() - 37)),"")</f>
        <v/>
      </c>
      <c r="J3283" s="4" t="str" cm="1">
        <f t="array" ref="J3283">IFERROR(INDEX(EmployeeData[Status], ROW() - 37), "")</f>
        <v/>
      </c>
    </row>
    <row r="3284" spans="2:10" ht="19.95" customHeight="1" x14ac:dyDescent="0.3">
      <c r="B3284" s="4" t="str" cm="1">
        <f t="array" ref="B3284">IFERROR(INDEX(EmployeeData[Employee ID], ROW() - 37), "")</f>
        <v/>
      </c>
      <c r="C3284" s="4" t="str" cm="1">
        <f t="array" ref="C3284">IFERROR(INDEX(EmployeeData[Full Name], ROW() - 37), "")</f>
        <v/>
      </c>
      <c r="D3284" s="4" t="str" cm="1">
        <f t="array" ref="D3284">IFERROR(INDEX(EmployeeData[Department], ROW() - 37), "")</f>
        <v/>
      </c>
      <c r="E3284" s="4" t="str" cm="1">
        <f t="array" ref="E3284">IFERROR(INDEX(EmployeeData[Gender], ROW() - 37), "")</f>
        <v/>
      </c>
      <c r="F3284" s="4" t="str" cm="1">
        <f t="array" ref="F3284">IFERROR(INDEX(EmployeeData[Age], ROW() - 37), "")</f>
        <v/>
      </c>
      <c r="G3284" s="6" t="str" cm="1">
        <f t="array" ref="G3284">IFERROR(INDEX(EmployeeData[Join Date], ROW() - 37), "")</f>
        <v/>
      </c>
      <c r="H3284" s="6" t="str" cm="1">
        <f t="array" ref="H3284">IFERROR(IF(INDEX(EmployeeData[Exit Date], ROW() - 37)=0, "",INDEX(EmployeeData[Exit Date], ROW() - 37)),"")</f>
        <v/>
      </c>
      <c r="I3284" s="4" t="str" cm="1">
        <f t="array" ref="I3284">IFERROR(IF(INDEX(EmployeeData[Exit Reason], ROW() - 37)=0, "",INDEX(EmployeeData[Exit Reason], ROW() - 37)),"")</f>
        <v/>
      </c>
      <c r="J3284" s="4" t="str" cm="1">
        <f t="array" ref="J3284">IFERROR(INDEX(EmployeeData[Status], ROW() - 37), "")</f>
        <v/>
      </c>
    </row>
    <row r="3285" spans="2:10" ht="19.95" customHeight="1" x14ac:dyDescent="0.3">
      <c r="B3285" s="4" t="str" cm="1">
        <f t="array" ref="B3285">IFERROR(INDEX(EmployeeData[Employee ID], ROW() - 37), "")</f>
        <v/>
      </c>
      <c r="C3285" s="4" t="str" cm="1">
        <f t="array" ref="C3285">IFERROR(INDEX(EmployeeData[Full Name], ROW() - 37), "")</f>
        <v/>
      </c>
      <c r="D3285" s="4" t="str" cm="1">
        <f t="array" ref="D3285">IFERROR(INDEX(EmployeeData[Department], ROW() - 37), "")</f>
        <v/>
      </c>
      <c r="E3285" s="4" t="str" cm="1">
        <f t="array" ref="E3285">IFERROR(INDEX(EmployeeData[Gender], ROW() - 37), "")</f>
        <v/>
      </c>
      <c r="F3285" s="4" t="str" cm="1">
        <f t="array" ref="F3285">IFERROR(INDEX(EmployeeData[Age], ROW() - 37), "")</f>
        <v/>
      </c>
      <c r="G3285" s="6" t="str" cm="1">
        <f t="array" ref="G3285">IFERROR(INDEX(EmployeeData[Join Date], ROW() - 37), "")</f>
        <v/>
      </c>
      <c r="H3285" s="6" t="str" cm="1">
        <f t="array" ref="H3285">IFERROR(IF(INDEX(EmployeeData[Exit Date], ROW() - 37)=0, "",INDEX(EmployeeData[Exit Date], ROW() - 37)),"")</f>
        <v/>
      </c>
      <c r="I3285" s="4" t="str" cm="1">
        <f t="array" ref="I3285">IFERROR(IF(INDEX(EmployeeData[Exit Reason], ROW() - 37)=0, "",INDEX(EmployeeData[Exit Reason], ROW() - 37)),"")</f>
        <v/>
      </c>
      <c r="J3285" s="4" t="str" cm="1">
        <f t="array" ref="J3285">IFERROR(INDEX(EmployeeData[Status], ROW() - 37), "")</f>
        <v/>
      </c>
    </row>
    <row r="3286" spans="2:10" ht="19.95" customHeight="1" x14ac:dyDescent="0.3">
      <c r="B3286" s="4" t="str" cm="1">
        <f t="array" ref="B3286">IFERROR(INDEX(EmployeeData[Employee ID], ROW() - 37), "")</f>
        <v/>
      </c>
      <c r="C3286" s="4" t="str" cm="1">
        <f t="array" ref="C3286">IFERROR(INDEX(EmployeeData[Full Name], ROW() - 37), "")</f>
        <v/>
      </c>
      <c r="D3286" s="4" t="str" cm="1">
        <f t="array" ref="D3286">IFERROR(INDEX(EmployeeData[Department], ROW() - 37), "")</f>
        <v/>
      </c>
      <c r="E3286" s="4" t="str" cm="1">
        <f t="array" ref="E3286">IFERROR(INDEX(EmployeeData[Gender], ROW() - 37), "")</f>
        <v/>
      </c>
      <c r="F3286" s="4" t="str" cm="1">
        <f t="array" ref="F3286">IFERROR(INDEX(EmployeeData[Age], ROW() - 37), "")</f>
        <v/>
      </c>
      <c r="G3286" s="6" t="str" cm="1">
        <f t="array" ref="G3286">IFERROR(INDEX(EmployeeData[Join Date], ROW() - 37), "")</f>
        <v/>
      </c>
      <c r="H3286" s="6" t="str" cm="1">
        <f t="array" ref="H3286">IFERROR(IF(INDEX(EmployeeData[Exit Date], ROW() - 37)=0, "",INDEX(EmployeeData[Exit Date], ROW() - 37)),"")</f>
        <v/>
      </c>
      <c r="I3286" s="4" t="str" cm="1">
        <f t="array" ref="I3286">IFERROR(IF(INDEX(EmployeeData[Exit Reason], ROW() - 37)=0, "",INDEX(EmployeeData[Exit Reason], ROW() - 37)),"")</f>
        <v/>
      </c>
      <c r="J3286" s="4" t="str" cm="1">
        <f t="array" ref="J3286">IFERROR(INDEX(EmployeeData[Status], ROW() - 37), "")</f>
        <v/>
      </c>
    </row>
    <row r="3287" spans="2:10" ht="19.95" customHeight="1" x14ac:dyDescent="0.3">
      <c r="B3287" s="4" t="str" cm="1">
        <f t="array" ref="B3287">IFERROR(INDEX(EmployeeData[Employee ID], ROW() - 37), "")</f>
        <v/>
      </c>
      <c r="C3287" s="4" t="str" cm="1">
        <f t="array" ref="C3287">IFERROR(INDEX(EmployeeData[Full Name], ROW() - 37), "")</f>
        <v/>
      </c>
      <c r="D3287" s="4" t="str" cm="1">
        <f t="array" ref="D3287">IFERROR(INDEX(EmployeeData[Department], ROW() - 37), "")</f>
        <v/>
      </c>
      <c r="E3287" s="4" t="str" cm="1">
        <f t="array" ref="E3287">IFERROR(INDEX(EmployeeData[Gender], ROW() - 37), "")</f>
        <v/>
      </c>
      <c r="F3287" s="4" t="str" cm="1">
        <f t="array" ref="F3287">IFERROR(INDEX(EmployeeData[Age], ROW() - 37), "")</f>
        <v/>
      </c>
      <c r="G3287" s="6" t="str" cm="1">
        <f t="array" ref="G3287">IFERROR(INDEX(EmployeeData[Join Date], ROW() - 37), "")</f>
        <v/>
      </c>
      <c r="H3287" s="6" t="str" cm="1">
        <f t="array" ref="H3287">IFERROR(IF(INDEX(EmployeeData[Exit Date], ROW() - 37)=0, "",INDEX(EmployeeData[Exit Date], ROW() - 37)),"")</f>
        <v/>
      </c>
      <c r="I3287" s="4" t="str" cm="1">
        <f t="array" ref="I3287">IFERROR(IF(INDEX(EmployeeData[Exit Reason], ROW() - 37)=0, "",INDEX(EmployeeData[Exit Reason], ROW() - 37)),"")</f>
        <v/>
      </c>
      <c r="J3287" s="4" t="str" cm="1">
        <f t="array" ref="J3287">IFERROR(INDEX(EmployeeData[Status], ROW() - 37), "")</f>
        <v/>
      </c>
    </row>
    <row r="3288" spans="2:10" ht="19.95" customHeight="1" x14ac:dyDescent="0.3">
      <c r="B3288" s="4" t="str" cm="1">
        <f t="array" ref="B3288">IFERROR(INDEX(EmployeeData[Employee ID], ROW() - 37), "")</f>
        <v/>
      </c>
      <c r="C3288" s="4" t="str" cm="1">
        <f t="array" ref="C3288">IFERROR(INDEX(EmployeeData[Full Name], ROW() - 37), "")</f>
        <v/>
      </c>
      <c r="D3288" s="4" t="str" cm="1">
        <f t="array" ref="D3288">IFERROR(INDEX(EmployeeData[Department], ROW() - 37), "")</f>
        <v/>
      </c>
      <c r="E3288" s="4" t="str" cm="1">
        <f t="array" ref="E3288">IFERROR(INDEX(EmployeeData[Gender], ROW() - 37), "")</f>
        <v/>
      </c>
      <c r="F3288" s="4" t="str" cm="1">
        <f t="array" ref="F3288">IFERROR(INDEX(EmployeeData[Age], ROW() - 37), "")</f>
        <v/>
      </c>
      <c r="G3288" s="6" t="str" cm="1">
        <f t="array" ref="G3288">IFERROR(INDEX(EmployeeData[Join Date], ROW() - 37), "")</f>
        <v/>
      </c>
      <c r="H3288" s="6" t="str" cm="1">
        <f t="array" ref="H3288">IFERROR(IF(INDEX(EmployeeData[Exit Date], ROW() - 37)=0, "",INDEX(EmployeeData[Exit Date], ROW() - 37)),"")</f>
        <v/>
      </c>
      <c r="I3288" s="4" t="str" cm="1">
        <f t="array" ref="I3288">IFERROR(IF(INDEX(EmployeeData[Exit Reason], ROW() - 37)=0, "",INDEX(EmployeeData[Exit Reason], ROW() - 37)),"")</f>
        <v/>
      </c>
      <c r="J3288" s="4" t="str" cm="1">
        <f t="array" ref="J3288">IFERROR(INDEX(EmployeeData[Status], ROW() - 37), "")</f>
        <v/>
      </c>
    </row>
    <row r="3289" spans="2:10" ht="19.95" customHeight="1" x14ac:dyDescent="0.3">
      <c r="B3289" s="4" t="str" cm="1">
        <f t="array" ref="B3289">IFERROR(INDEX(EmployeeData[Employee ID], ROW() - 37), "")</f>
        <v/>
      </c>
      <c r="C3289" s="4" t="str" cm="1">
        <f t="array" ref="C3289">IFERROR(INDEX(EmployeeData[Full Name], ROW() - 37), "")</f>
        <v/>
      </c>
      <c r="D3289" s="4" t="str" cm="1">
        <f t="array" ref="D3289">IFERROR(INDEX(EmployeeData[Department], ROW() - 37), "")</f>
        <v/>
      </c>
      <c r="E3289" s="4" t="str" cm="1">
        <f t="array" ref="E3289">IFERROR(INDEX(EmployeeData[Gender], ROW() - 37), "")</f>
        <v/>
      </c>
      <c r="F3289" s="4" t="str" cm="1">
        <f t="array" ref="F3289">IFERROR(INDEX(EmployeeData[Age], ROW() - 37), "")</f>
        <v/>
      </c>
      <c r="G3289" s="6" t="str" cm="1">
        <f t="array" ref="G3289">IFERROR(INDEX(EmployeeData[Join Date], ROW() - 37), "")</f>
        <v/>
      </c>
      <c r="H3289" s="6" t="str" cm="1">
        <f t="array" ref="H3289">IFERROR(IF(INDEX(EmployeeData[Exit Date], ROW() - 37)=0, "",INDEX(EmployeeData[Exit Date], ROW() - 37)),"")</f>
        <v/>
      </c>
      <c r="I3289" s="4" t="str" cm="1">
        <f t="array" ref="I3289">IFERROR(IF(INDEX(EmployeeData[Exit Reason], ROW() - 37)=0, "",INDEX(EmployeeData[Exit Reason], ROW() - 37)),"")</f>
        <v/>
      </c>
      <c r="J3289" s="4" t="str" cm="1">
        <f t="array" ref="J3289">IFERROR(INDEX(EmployeeData[Status], ROW() - 37), "")</f>
        <v/>
      </c>
    </row>
    <row r="3290" spans="2:10" ht="19.95" customHeight="1" x14ac:dyDescent="0.3">
      <c r="B3290" s="4" t="str" cm="1">
        <f t="array" ref="B3290">IFERROR(INDEX(EmployeeData[Employee ID], ROW() - 37), "")</f>
        <v/>
      </c>
      <c r="C3290" s="4" t="str" cm="1">
        <f t="array" ref="C3290">IFERROR(INDEX(EmployeeData[Full Name], ROW() - 37), "")</f>
        <v/>
      </c>
      <c r="D3290" s="4" t="str" cm="1">
        <f t="array" ref="D3290">IFERROR(INDEX(EmployeeData[Department], ROW() - 37), "")</f>
        <v/>
      </c>
      <c r="E3290" s="4" t="str" cm="1">
        <f t="array" ref="E3290">IFERROR(INDEX(EmployeeData[Gender], ROW() - 37), "")</f>
        <v/>
      </c>
      <c r="F3290" s="4" t="str" cm="1">
        <f t="array" ref="F3290">IFERROR(INDEX(EmployeeData[Age], ROW() - 37), "")</f>
        <v/>
      </c>
      <c r="G3290" s="6" t="str" cm="1">
        <f t="array" ref="G3290">IFERROR(INDEX(EmployeeData[Join Date], ROW() - 37), "")</f>
        <v/>
      </c>
      <c r="H3290" s="6" t="str" cm="1">
        <f t="array" ref="H3290">IFERROR(IF(INDEX(EmployeeData[Exit Date], ROW() - 37)=0, "",INDEX(EmployeeData[Exit Date], ROW() - 37)),"")</f>
        <v/>
      </c>
      <c r="I3290" s="4" t="str" cm="1">
        <f t="array" ref="I3290">IFERROR(IF(INDEX(EmployeeData[Exit Reason], ROW() - 37)=0, "",INDEX(EmployeeData[Exit Reason], ROW() - 37)),"")</f>
        <v/>
      </c>
      <c r="J3290" s="4" t="str" cm="1">
        <f t="array" ref="J3290">IFERROR(INDEX(EmployeeData[Status], ROW() - 37), "")</f>
        <v/>
      </c>
    </row>
    <row r="3291" spans="2:10" ht="19.95" customHeight="1" x14ac:dyDescent="0.3">
      <c r="B3291" s="4" t="str" cm="1">
        <f t="array" ref="B3291">IFERROR(INDEX(EmployeeData[Employee ID], ROW() - 37), "")</f>
        <v/>
      </c>
      <c r="C3291" s="4" t="str" cm="1">
        <f t="array" ref="C3291">IFERROR(INDEX(EmployeeData[Full Name], ROW() - 37), "")</f>
        <v/>
      </c>
      <c r="D3291" s="4" t="str" cm="1">
        <f t="array" ref="D3291">IFERROR(INDEX(EmployeeData[Department], ROW() - 37), "")</f>
        <v/>
      </c>
      <c r="E3291" s="4" t="str" cm="1">
        <f t="array" ref="E3291">IFERROR(INDEX(EmployeeData[Gender], ROW() - 37), "")</f>
        <v/>
      </c>
      <c r="F3291" s="4" t="str" cm="1">
        <f t="array" ref="F3291">IFERROR(INDEX(EmployeeData[Age], ROW() - 37), "")</f>
        <v/>
      </c>
      <c r="G3291" s="6" t="str" cm="1">
        <f t="array" ref="G3291">IFERROR(INDEX(EmployeeData[Join Date], ROW() - 37), "")</f>
        <v/>
      </c>
      <c r="H3291" s="6" t="str" cm="1">
        <f t="array" ref="H3291">IFERROR(IF(INDEX(EmployeeData[Exit Date], ROW() - 37)=0, "",INDEX(EmployeeData[Exit Date], ROW() - 37)),"")</f>
        <v/>
      </c>
      <c r="I3291" s="4" t="str" cm="1">
        <f t="array" ref="I3291">IFERROR(IF(INDEX(EmployeeData[Exit Reason], ROW() - 37)=0, "",INDEX(EmployeeData[Exit Reason], ROW() - 37)),"")</f>
        <v/>
      </c>
      <c r="J3291" s="4" t="str" cm="1">
        <f t="array" ref="J3291">IFERROR(INDEX(EmployeeData[Status], ROW() - 37), "")</f>
        <v/>
      </c>
    </row>
    <row r="3292" spans="2:10" ht="19.95" customHeight="1" x14ac:dyDescent="0.3">
      <c r="B3292" s="4" t="str" cm="1">
        <f t="array" ref="B3292">IFERROR(INDEX(EmployeeData[Employee ID], ROW() - 37), "")</f>
        <v/>
      </c>
      <c r="C3292" s="4" t="str" cm="1">
        <f t="array" ref="C3292">IFERROR(INDEX(EmployeeData[Full Name], ROW() - 37), "")</f>
        <v/>
      </c>
      <c r="D3292" s="4" t="str" cm="1">
        <f t="array" ref="D3292">IFERROR(INDEX(EmployeeData[Department], ROW() - 37), "")</f>
        <v/>
      </c>
      <c r="E3292" s="4" t="str" cm="1">
        <f t="array" ref="E3292">IFERROR(INDEX(EmployeeData[Gender], ROW() - 37), "")</f>
        <v/>
      </c>
      <c r="F3292" s="4" t="str" cm="1">
        <f t="array" ref="F3292">IFERROR(INDEX(EmployeeData[Age], ROW() - 37), "")</f>
        <v/>
      </c>
      <c r="G3292" s="6" t="str" cm="1">
        <f t="array" ref="G3292">IFERROR(INDEX(EmployeeData[Join Date], ROW() - 37), "")</f>
        <v/>
      </c>
      <c r="H3292" s="6" t="str" cm="1">
        <f t="array" ref="H3292">IFERROR(IF(INDEX(EmployeeData[Exit Date], ROW() - 37)=0, "",INDEX(EmployeeData[Exit Date], ROW() - 37)),"")</f>
        <v/>
      </c>
      <c r="I3292" s="4" t="str" cm="1">
        <f t="array" ref="I3292">IFERROR(IF(INDEX(EmployeeData[Exit Reason], ROW() - 37)=0, "",INDEX(EmployeeData[Exit Reason], ROW() - 37)),"")</f>
        <v/>
      </c>
      <c r="J3292" s="4" t="str" cm="1">
        <f t="array" ref="J3292">IFERROR(INDEX(EmployeeData[Status], ROW() - 37), "")</f>
        <v/>
      </c>
    </row>
    <row r="3293" spans="2:10" ht="19.95" customHeight="1" x14ac:dyDescent="0.3">
      <c r="B3293" s="4" t="str" cm="1">
        <f t="array" ref="B3293">IFERROR(INDEX(EmployeeData[Employee ID], ROW() - 37), "")</f>
        <v/>
      </c>
      <c r="C3293" s="4" t="str" cm="1">
        <f t="array" ref="C3293">IFERROR(INDEX(EmployeeData[Full Name], ROW() - 37), "")</f>
        <v/>
      </c>
      <c r="D3293" s="4" t="str" cm="1">
        <f t="array" ref="D3293">IFERROR(INDEX(EmployeeData[Department], ROW() - 37), "")</f>
        <v/>
      </c>
      <c r="E3293" s="4" t="str" cm="1">
        <f t="array" ref="E3293">IFERROR(INDEX(EmployeeData[Gender], ROW() - 37), "")</f>
        <v/>
      </c>
      <c r="F3293" s="4" t="str" cm="1">
        <f t="array" ref="F3293">IFERROR(INDEX(EmployeeData[Age], ROW() - 37), "")</f>
        <v/>
      </c>
      <c r="G3293" s="6" t="str" cm="1">
        <f t="array" ref="G3293">IFERROR(INDEX(EmployeeData[Join Date], ROW() - 37), "")</f>
        <v/>
      </c>
      <c r="H3293" s="6" t="str" cm="1">
        <f t="array" ref="H3293">IFERROR(IF(INDEX(EmployeeData[Exit Date], ROW() - 37)=0, "",INDEX(EmployeeData[Exit Date], ROW() - 37)),"")</f>
        <v/>
      </c>
      <c r="I3293" s="4" t="str" cm="1">
        <f t="array" ref="I3293">IFERROR(IF(INDEX(EmployeeData[Exit Reason], ROW() - 37)=0, "",INDEX(EmployeeData[Exit Reason], ROW() - 37)),"")</f>
        <v/>
      </c>
      <c r="J3293" s="4" t="str" cm="1">
        <f t="array" ref="J3293">IFERROR(INDEX(EmployeeData[Status], ROW() - 37), "")</f>
        <v/>
      </c>
    </row>
    <row r="3294" spans="2:10" ht="19.95" customHeight="1" x14ac:dyDescent="0.3">
      <c r="B3294" s="4" t="str" cm="1">
        <f t="array" ref="B3294">IFERROR(INDEX(EmployeeData[Employee ID], ROW() - 37), "")</f>
        <v/>
      </c>
      <c r="C3294" s="4" t="str" cm="1">
        <f t="array" ref="C3294">IFERROR(INDEX(EmployeeData[Full Name], ROW() - 37), "")</f>
        <v/>
      </c>
      <c r="D3294" s="4" t="str" cm="1">
        <f t="array" ref="D3294">IFERROR(INDEX(EmployeeData[Department], ROW() - 37), "")</f>
        <v/>
      </c>
      <c r="E3294" s="4" t="str" cm="1">
        <f t="array" ref="E3294">IFERROR(INDEX(EmployeeData[Gender], ROW() - 37), "")</f>
        <v/>
      </c>
      <c r="F3294" s="4" t="str" cm="1">
        <f t="array" ref="F3294">IFERROR(INDEX(EmployeeData[Age], ROW() - 37), "")</f>
        <v/>
      </c>
      <c r="G3294" s="6" t="str" cm="1">
        <f t="array" ref="G3294">IFERROR(INDEX(EmployeeData[Join Date], ROW() - 37), "")</f>
        <v/>
      </c>
      <c r="H3294" s="6" t="str" cm="1">
        <f t="array" ref="H3294">IFERROR(IF(INDEX(EmployeeData[Exit Date], ROW() - 37)=0, "",INDEX(EmployeeData[Exit Date], ROW() - 37)),"")</f>
        <v/>
      </c>
      <c r="I3294" s="4" t="str" cm="1">
        <f t="array" ref="I3294">IFERROR(IF(INDEX(EmployeeData[Exit Reason], ROW() - 37)=0, "",INDEX(EmployeeData[Exit Reason], ROW() - 37)),"")</f>
        <v/>
      </c>
      <c r="J3294" s="4" t="str" cm="1">
        <f t="array" ref="J3294">IFERROR(INDEX(EmployeeData[Status], ROW() - 37), "")</f>
        <v/>
      </c>
    </row>
    <row r="3295" spans="2:10" ht="19.95" customHeight="1" x14ac:dyDescent="0.3">
      <c r="B3295" s="4" t="str" cm="1">
        <f t="array" ref="B3295">IFERROR(INDEX(EmployeeData[Employee ID], ROW() - 37), "")</f>
        <v/>
      </c>
      <c r="C3295" s="4" t="str" cm="1">
        <f t="array" ref="C3295">IFERROR(INDEX(EmployeeData[Full Name], ROW() - 37), "")</f>
        <v/>
      </c>
      <c r="D3295" s="4" t="str" cm="1">
        <f t="array" ref="D3295">IFERROR(INDEX(EmployeeData[Department], ROW() - 37), "")</f>
        <v/>
      </c>
      <c r="E3295" s="4" t="str" cm="1">
        <f t="array" ref="E3295">IFERROR(INDEX(EmployeeData[Gender], ROW() - 37), "")</f>
        <v/>
      </c>
      <c r="F3295" s="4" t="str" cm="1">
        <f t="array" ref="F3295">IFERROR(INDEX(EmployeeData[Age], ROW() - 37), "")</f>
        <v/>
      </c>
      <c r="G3295" s="6" t="str" cm="1">
        <f t="array" ref="G3295">IFERROR(INDEX(EmployeeData[Join Date], ROW() - 37), "")</f>
        <v/>
      </c>
      <c r="H3295" s="6" t="str" cm="1">
        <f t="array" ref="H3295">IFERROR(IF(INDEX(EmployeeData[Exit Date], ROW() - 37)=0, "",INDEX(EmployeeData[Exit Date], ROW() - 37)),"")</f>
        <v/>
      </c>
      <c r="I3295" s="4" t="str" cm="1">
        <f t="array" ref="I3295">IFERROR(IF(INDEX(EmployeeData[Exit Reason], ROW() - 37)=0, "",INDEX(EmployeeData[Exit Reason], ROW() - 37)),"")</f>
        <v/>
      </c>
      <c r="J3295" s="4" t="str" cm="1">
        <f t="array" ref="J3295">IFERROR(INDEX(EmployeeData[Status], ROW() - 37), "")</f>
        <v/>
      </c>
    </row>
    <row r="3296" spans="2:10" ht="19.95" customHeight="1" x14ac:dyDescent="0.3">
      <c r="B3296" s="4" t="str" cm="1">
        <f t="array" ref="B3296">IFERROR(INDEX(EmployeeData[Employee ID], ROW() - 37), "")</f>
        <v/>
      </c>
      <c r="C3296" s="4" t="str" cm="1">
        <f t="array" ref="C3296">IFERROR(INDEX(EmployeeData[Full Name], ROW() - 37), "")</f>
        <v/>
      </c>
      <c r="D3296" s="4" t="str" cm="1">
        <f t="array" ref="D3296">IFERROR(INDEX(EmployeeData[Department], ROW() - 37), "")</f>
        <v/>
      </c>
      <c r="E3296" s="4" t="str" cm="1">
        <f t="array" ref="E3296">IFERROR(INDEX(EmployeeData[Gender], ROW() - 37), "")</f>
        <v/>
      </c>
      <c r="F3296" s="4" t="str" cm="1">
        <f t="array" ref="F3296">IFERROR(INDEX(EmployeeData[Age], ROW() - 37), "")</f>
        <v/>
      </c>
      <c r="G3296" s="6" t="str" cm="1">
        <f t="array" ref="G3296">IFERROR(INDEX(EmployeeData[Join Date], ROW() - 37), "")</f>
        <v/>
      </c>
      <c r="H3296" s="6" t="str" cm="1">
        <f t="array" ref="H3296">IFERROR(IF(INDEX(EmployeeData[Exit Date], ROW() - 37)=0, "",INDEX(EmployeeData[Exit Date], ROW() - 37)),"")</f>
        <v/>
      </c>
      <c r="I3296" s="4" t="str" cm="1">
        <f t="array" ref="I3296">IFERROR(IF(INDEX(EmployeeData[Exit Reason], ROW() - 37)=0, "",INDEX(EmployeeData[Exit Reason], ROW() - 37)),"")</f>
        <v/>
      </c>
      <c r="J3296" s="4" t="str" cm="1">
        <f t="array" ref="J3296">IFERROR(INDEX(EmployeeData[Status], ROW() - 37), "")</f>
        <v/>
      </c>
    </row>
    <row r="3297" spans="2:10" ht="19.95" customHeight="1" x14ac:dyDescent="0.3">
      <c r="B3297" s="4" t="str" cm="1">
        <f t="array" ref="B3297">IFERROR(INDEX(EmployeeData[Employee ID], ROW() - 37), "")</f>
        <v/>
      </c>
      <c r="C3297" s="4" t="str" cm="1">
        <f t="array" ref="C3297">IFERROR(INDEX(EmployeeData[Full Name], ROW() - 37), "")</f>
        <v/>
      </c>
      <c r="D3297" s="4" t="str" cm="1">
        <f t="array" ref="D3297">IFERROR(INDEX(EmployeeData[Department], ROW() - 37), "")</f>
        <v/>
      </c>
      <c r="E3297" s="4" t="str" cm="1">
        <f t="array" ref="E3297">IFERROR(INDEX(EmployeeData[Gender], ROW() - 37), "")</f>
        <v/>
      </c>
      <c r="F3297" s="4" t="str" cm="1">
        <f t="array" ref="F3297">IFERROR(INDEX(EmployeeData[Age], ROW() - 37), "")</f>
        <v/>
      </c>
      <c r="G3297" s="6" t="str" cm="1">
        <f t="array" ref="G3297">IFERROR(INDEX(EmployeeData[Join Date], ROW() - 37), "")</f>
        <v/>
      </c>
      <c r="H3297" s="6" t="str" cm="1">
        <f t="array" ref="H3297">IFERROR(IF(INDEX(EmployeeData[Exit Date], ROW() - 37)=0, "",INDEX(EmployeeData[Exit Date], ROW() - 37)),"")</f>
        <v/>
      </c>
      <c r="I3297" s="4" t="str" cm="1">
        <f t="array" ref="I3297">IFERROR(IF(INDEX(EmployeeData[Exit Reason], ROW() - 37)=0, "",INDEX(EmployeeData[Exit Reason], ROW() - 37)),"")</f>
        <v/>
      </c>
      <c r="J3297" s="4" t="str" cm="1">
        <f t="array" ref="J3297">IFERROR(INDEX(EmployeeData[Status], ROW() - 37), "")</f>
        <v/>
      </c>
    </row>
    <row r="3298" spans="2:10" ht="19.95" customHeight="1" x14ac:dyDescent="0.3">
      <c r="B3298" s="4" t="str" cm="1">
        <f t="array" ref="B3298">IFERROR(INDEX(EmployeeData[Employee ID], ROW() - 37), "")</f>
        <v/>
      </c>
      <c r="C3298" s="4" t="str" cm="1">
        <f t="array" ref="C3298">IFERROR(INDEX(EmployeeData[Full Name], ROW() - 37), "")</f>
        <v/>
      </c>
      <c r="D3298" s="4" t="str" cm="1">
        <f t="array" ref="D3298">IFERROR(INDEX(EmployeeData[Department], ROW() - 37), "")</f>
        <v/>
      </c>
      <c r="E3298" s="4" t="str" cm="1">
        <f t="array" ref="E3298">IFERROR(INDEX(EmployeeData[Gender], ROW() - 37), "")</f>
        <v/>
      </c>
      <c r="F3298" s="4" t="str" cm="1">
        <f t="array" ref="F3298">IFERROR(INDEX(EmployeeData[Age], ROW() - 37), "")</f>
        <v/>
      </c>
      <c r="G3298" s="6" t="str" cm="1">
        <f t="array" ref="G3298">IFERROR(INDEX(EmployeeData[Join Date], ROW() - 37), "")</f>
        <v/>
      </c>
      <c r="H3298" s="6" t="str" cm="1">
        <f t="array" ref="H3298">IFERROR(IF(INDEX(EmployeeData[Exit Date], ROW() - 37)=0, "",INDEX(EmployeeData[Exit Date], ROW() - 37)),"")</f>
        <v/>
      </c>
      <c r="I3298" s="4" t="str" cm="1">
        <f t="array" ref="I3298">IFERROR(IF(INDEX(EmployeeData[Exit Reason], ROW() - 37)=0, "",INDEX(EmployeeData[Exit Reason], ROW() - 37)),"")</f>
        <v/>
      </c>
      <c r="J3298" s="4" t="str" cm="1">
        <f t="array" ref="J3298">IFERROR(INDEX(EmployeeData[Status], ROW() - 37), "")</f>
        <v/>
      </c>
    </row>
    <row r="3299" spans="2:10" ht="19.95" customHeight="1" x14ac:dyDescent="0.3">
      <c r="B3299" s="4" t="str" cm="1">
        <f t="array" ref="B3299">IFERROR(INDEX(EmployeeData[Employee ID], ROW() - 37), "")</f>
        <v/>
      </c>
      <c r="C3299" s="4" t="str" cm="1">
        <f t="array" ref="C3299">IFERROR(INDEX(EmployeeData[Full Name], ROW() - 37), "")</f>
        <v/>
      </c>
      <c r="D3299" s="4" t="str" cm="1">
        <f t="array" ref="D3299">IFERROR(INDEX(EmployeeData[Department], ROW() - 37), "")</f>
        <v/>
      </c>
      <c r="E3299" s="4" t="str" cm="1">
        <f t="array" ref="E3299">IFERROR(INDEX(EmployeeData[Gender], ROW() - 37), "")</f>
        <v/>
      </c>
      <c r="F3299" s="4" t="str" cm="1">
        <f t="array" ref="F3299">IFERROR(INDEX(EmployeeData[Age], ROW() - 37), "")</f>
        <v/>
      </c>
      <c r="G3299" s="6" t="str" cm="1">
        <f t="array" ref="G3299">IFERROR(INDEX(EmployeeData[Join Date], ROW() - 37), "")</f>
        <v/>
      </c>
      <c r="H3299" s="6" t="str" cm="1">
        <f t="array" ref="H3299">IFERROR(IF(INDEX(EmployeeData[Exit Date], ROW() - 37)=0, "",INDEX(EmployeeData[Exit Date], ROW() - 37)),"")</f>
        <v/>
      </c>
      <c r="I3299" s="4" t="str" cm="1">
        <f t="array" ref="I3299">IFERROR(IF(INDEX(EmployeeData[Exit Reason], ROW() - 37)=0, "",INDEX(EmployeeData[Exit Reason], ROW() - 37)),"")</f>
        <v/>
      </c>
      <c r="J3299" s="4" t="str" cm="1">
        <f t="array" ref="J3299">IFERROR(INDEX(EmployeeData[Status], ROW() - 37), "")</f>
        <v/>
      </c>
    </row>
    <row r="3300" spans="2:10" ht="19.95" customHeight="1" x14ac:dyDescent="0.3">
      <c r="B3300" s="4" t="str" cm="1">
        <f t="array" ref="B3300">IFERROR(INDEX(EmployeeData[Employee ID], ROW() - 37), "")</f>
        <v/>
      </c>
      <c r="C3300" s="4" t="str" cm="1">
        <f t="array" ref="C3300">IFERROR(INDEX(EmployeeData[Full Name], ROW() - 37), "")</f>
        <v/>
      </c>
      <c r="D3300" s="4" t="str" cm="1">
        <f t="array" ref="D3300">IFERROR(INDEX(EmployeeData[Department], ROW() - 37), "")</f>
        <v/>
      </c>
      <c r="E3300" s="4" t="str" cm="1">
        <f t="array" ref="E3300">IFERROR(INDEX(EmployeeData[Gender], ROW() - 37), "")</f>
        <v/>
      </c>
      <c r="F3300" s="4" t="str" cm="1">
        <f t="array" ref="F3300">IFERROR(INDEX(EmployeeData[Age], ROW() - 37), "")</f>
        <v/>
      </c>
      <c r="G3300" s="6" t="str" cm="1">
        <f t="array" ref="G3300">IFERROR(INDEX(EmployeeData[Join Date], ROW() - 37), "")</f>
        <v/>
      </c>
      <c r="H3300" s="6" t="str" cm="1">
        <f t="array" ref="H3300">IFERROR(IF(INDEX(EmployeeData[Exit Date], ROW() - 37)=0, "",INDEX(EmployeeData[Exit Date], ROW() - 37)),"")</f>
        <v/>
      </c>
      <c r="I3300" s="4" t="str" cm="1">
        <f t="array" ref="I3300">IFERROR(IF(INDEX(EmployeeData[Exit Reason], ROW() - 37)=0, "",INDEX(EmployeeData[Exit Reason], ROW() - 37)),"")</f>
        <v/>
      </c>
      <c r="J3300" s="4" t="str" cm="1">
        <f t="array" ref="J3300">IFERROR(INDEX(EmployeeData[Status], ROW() - 37), "")</f>
        <v/>
      </c>
    </row>
    <row r="3301" spans="2:10" ht="19.95" customHeight="1" x14ac:dyDescent="0.3">
      <c r="B3301" s="4" t="str" cm="1">
        <f t="array" ref="B3301">IFERROR(INDEX(EmployeeData[Employee ID], ROW() - 37), "")</f>
        <v/>
      </c>
      <c r="C3301" s="4" t="str" cm="1">
        <f t="array" ref="C3301">IFERROR(INDEX(EmployeeData[Full Name], ROW() - 37), "")</f>
        <v/>
      </c>
      <c r="D3301" s="4" t="str" cm="1">
        <f t="array" ref="D3301">IFERROR(INDEX(EmployeeData[Department], ROW() - 37), "")</f>
        <v/>
      </c>
      <c r="E3301" s="4" t="str" cm="1">
        <f t="array" ref="E3301">IFERROR(INDEX(EmployeeData[Gender], ROW() - 37), "")</f>
        <v/>
      </c>
      <c r="F3301" s="4" t="str" cm="1">
        <f t="array" ref="F3301">IFERROR(INDEX(EmployeeData[Age], ROW() - 37), "")</f>
        <v/>
      </c>
      <c r="G3301" s="6" t="str" cm="1">
        <f t="array" ref="G3301">IFERROR(INDEX(EmployeeData[Join Date], ROW() - 37), "")</f>
        <v/>
      </c>
      <c r="H3301" s="6" t="str" cm="1">
        <f t="array" ref="H3301">IFERROR(IF(INDEX(EmployeeData[Exit Date], ROW() - 37)=0, "",INDEX(EmployeeData[Exit Date], ROW() - 37)),"")</f>
        <v/>
      </c>
      <c r="I3301" s="4" t="str" cm="1">
        <f t="array" ref="I3301">IFERROR(IF(INDEX(EmployeeData[Exit Reason], ROW() - 37)=0, "",INDEX(EmployeeData[Exit Reason], ROW() - 37)),"")</f>
        <v/>
      </c>
      <c r="J3301" s="4" t="str" cm="1">
        <f t="array" ref="J3301">IFERROR(INDEX(EmployeeData[Status], ROW() - 37), "")</f>
        <v/>
      </c>
    </row>
    <row r="3302" spans="2:10" ht="19.95" customHeight="1" x14ac:dyDescent="0.3">
      <c r="B3302" s="4" t="str" cm="1">
        <f t="array" ref="B3302">IFERROR(INDEX(EmployeeData[Employee ID], ROW() - 37), "")</f>
        <v/>
      </c>
      <c r="C3302" s="4" t="str" cm="1">
        <f t="array" ref="C3302">IFERROR(INDEX(EmployeeData[Full Name], ROW() - 37), "")</f>
        <v/>
      </c>
      <c r="D3302" s="4" t="str" cm="1">
        <f t="array" ref="D3302">IFERROR(INDEX(EmployeeData[Department], ROW() - 37), "")</f>
        <v/>
      </c>
      <c r="E3302" s="4" t="str" cm="1">
        <f t="array" ref="E3302">IFERROR(INDEX(EmployeeData[Gender], ROW() - 37), "")</f>
        <v/>
      </c>
      <c r="F3302" s="4" t="str" cm="1">
        <f t="array" ref="F3302">IFERROR(INDEX(EmployeeData[Age], ROW() - 37), "")</f>
        <v/>
      </c>
      <c r="G3302" s="6" t="str" cm="1">
        <f t="array" ref="G3302">IFERROR(INDEX(EmployeeData[Join Date], ROW() - 37), "")</f>
        <v/>
      </c>
      <c r="H3302" s="6" t="str" cm="1">
        <f t="array" ref="H3302">IFERROR(IF(INDEX(EmployeeData[Exit Date], ROW() - 37)=0, "",INDEX(EmployeeData[Exit Date], ROW() - 37)),"")</f>
        <v/>
      </c>
      <c r="I3302" s="4" t="str" cm="1">
        <f t="array" ref="I3302">IFERROR(IF(INDEX(EmployeeData[Exit Reason], ROW() - 37)=0, "",INDEX(EmployeeData[Exit Reason], ROW() - 37)),"")</f>
        <v/>
      </c>
      <c r="J3302" s="4" t="str" cm="1">
        <f t="array" ref="J3302">IFERROR(INDEX(EmployeeData[Status], ROW() - 37), "")</f>
        <v/>
      </c>
    </row>
    <row r="3303" spans="2:10" ht="19.95" customHeight="1" x14ac:dyDescent="0.3">
      <c r="B3303" s="4" t="str" cm="1">
        <f t="array" ref="B3303">IFERROR(INDEX(EmployeeData[Employee ID], ROW() - 37), "")</f>
        <v/>
      </c>
      <c r="C3303" s="4" t="str" cm="1">
        <f t="array" ref="C3303">IFERROR(INDEX(EmployeeData[Full Name], ROW() - 37), "")</f>
        <v/>
      </c>
      <c r="D3303" s="4" t="str" cm="1">
        <f t="array" ref="D3303">IFERROR(INDEX(EmployeeData[Department], ROW() - 37), "")</f>
        <v/>
      </c>
      <c r="E3303" s="4" t="str" cm="1">
        <f t="array" ref="E3303">IFERROR(INDEX(EmployeeData[Gender], ROW() - 37), "")</f>
        <v/>
      </c>
      <c r="F3303" s="4" t="str" cm="1">
        <f t="array" ref="F3303">IFERROR(INDEX(EmployeeData[Age], ROW() - 37), "")</f>
        <v/>
      </c>
      <c r="G3303" s="6" t="str" cm="1">
        <f t="array" ref="G3303">IFERROR(INDEX(EmployeeData[Join Date], ROW() - 37), "")</f>
        <v/>
      </c>
      <c r="H3303" s="6" t="str" cm="1">
        <f t="array" ref="H3303">IFERROR(IF(INDEX(EmployeeData[Exit Date], ROW() - 37)=0, "",INDEX(EmployeeData[Exit Date], ROW() - 37)),"")</f>
        <v/>
      </c>
      <c r="I3303" s="4" t="str" cm="1">
        <f t="array" ref="I3303">IFERROR(IF(INDEX(EmployeeData[Exit Reason], ROW() - 37)=0, "",INDEX(EmployeeData[Exit Reason], ROW() - 37)),"")</f>
        <v/>
      </c>
      <c r="J3303" s="4" t="str" cm="1">
        <f t="array" ref="J3303">IFERROR(INDEX(EmployeeData[Status], ROW() - 37), "")</f>
        <v/>
      </c>
    </row>
    <row r="3304" spans="2:10" ht="19.95" customHeight="1" x14ac:dyDescent="0.3">
      <c r="B3304" s="4" t="str" cm="1">
        <f t="array" ref="B3304">IFERROR(INDEX(EmployeeData[Employee ID], ROW() - 37), "")</f>
        <v/>
      </c>
      <c r="C3304" s="4" t="str" cm="1">
        <f t="array" ref="C3304">IFERROR(INDEX(EmployeeData[Full Name], ROW() - 37), "")</f>
        <v/>
      </c>
      <c r="D3304" s="4" t="str" cm="1">
        <f t="array" ref="D3304">IFERROR(INDEX(EmployeeData[Department], ROW() - 37), "")</f>
        <v/>
      </c>
      <c r="E3304" s="4" t="str" cm="1">
        <f t="array" ref="E3304">IFERROR(INDEX(EmployeeData[Gender], ROW() - 37), "")</f>
        <v/>
      </c>
      <c r="F3304" s="4" t="str" cm="1">
        <f t="array" ref="F3304">IFERROR(INDEX(EmployeeData[Age], ROW() - 37), "")</f>
        <v/>
      </c>
      <c r="G3304" s="6" t="str" cm="1">
        <f t="array" ref="G3304">IFERROR(INDEX(EmployeeData[Join Date], ROW() - 37), "")</f>
        <v/>
      </c>
      <c r="H3304" s="6" t="str" cm="1">
        <f t="array" ref="H3304">IFERROR(IF(INDEX(EmployeeData[Exit Date], ROW() - 37)=0, "",INDEX(EmployeeData[Exit Date], ROW() - 37)),"")</f>
        <v/>
      </c>
      <c r="I3304" s="4" t="str" cm="1">
        <f t="array" ref="I3304">IFERROR(IF(INDEX(EmployeeData[Exit Reason], ROW() - 37)=0, "",INDEX(EmployeeData[Exit Reason], ROW() - 37)),"")</f>
        <v/>
      </c>
      <c r="J3304" s="4" t="str" cm="1">
        <f t="array" ref="J3304">IFERROR(INDEX(EmployeeData[Status], ROW() - 37), "")</f>
        <v/>
      </c>
    </row>
    <row r="3305" spans="2:10" ht="19.95" customHeight="1" x14ac:dyDescent="0.3">
      <c r="B3305" s="4" t="str" cm="1">
        <f t="array" ref="B3305">IFERROR(INDEX(EmployeeData[Employee ID], ROW() - 37), "")</f>
        <v/>
      </c>
      <c r="C3305" s="4" t="str" cm="1">
        <f t="array" ref="C3305">IFERROR(INDEX(EmployeeData[Full Name], ROW() - 37), "")</f>
        <v/>
      </c>
      <c r="D3305" s="4" t="str" cm="1">
        <f t="array" ref="D3305">IFERROR(INDEX(EmployeeData[Department], ROW() - 37), "")</f>
        <v/>
      </c>
      <c r="E3305" s="4" t="str" cm="1">
        <f t="array" ref="E3305">IFERROR(INDEX(EmployeeData[Gender], ROW() - 37), "")</f>
        <v/>
      </c>
      <c r="F3305" s="4" t="str" cm="1">
        <f t="array" ref="F3305">IFERROR(INDEX(EmployeeData[Age], ROW() - 37), "")</f>
        <v/>
      </c>
      <c r="G3305" s="6" t="str" cm="1">
        <f t="array" ref="G3305">IFERROR(INDEX(EmployeeData[Join Date], ROW() - 37), "")</f>
        <v/>
      </c>
      <c r="H3305" s="6" t="str" cm="1">
        <f t="array" ref="H3305">IFERROR(IF(INDEX(EmployeeData[Exit Date], ROW() - 37)=0, "",INDEX(EmployeeData[Exit Date], ROW() - 37)),"")</f>
        <v/>
      </c>
      <c r="I3305" s="4" t="str" cm="1">
        <f t="array" ref="I3305">IFERROR(IF(INDEX(EmployeeData[Exit Reason], ROW() - 37)=0, "",INDEX(EmployeeData[Exit Reason], ROW() - 37)),"")</f>
        <v/>
      </c>
      <c r="J3305" s="4" t="str" cm="1">
        <f t="array" ref="J3305">IFERROR(INDEX(EmployeeData[Status], ROW() - 37), "")</f>
        <v/>
      </c>
    </row>
    <row r="3306" spans="2:10" ht="19.95" customHeight="1" x14ac:dyDescent="0.3">
      <c r="B3306" s="4" t="str" cm="1">
        <f t="array" ref="B3306">IFERROR(INDEX(EmployeeData[Employee ID], ROW() - 37), "")</f>
        <v/>
      </c>
      <c r="C3306" s="4" t="str" cm="1">
        <f t="array" ref="C3306">IFERROR(INDEX(EmployeeData[Full Name], ROW() - 37), "")</f>
        <v/>
      </c>
      <c r="D3306" s="4" t="str" cm="1">
        <f t="array" ref="D3306">IFERROR(INDEX(EmployeeData[Department], ROW() - 37), "")</f>
        <v/>
      </c>
      <c r="E3306" s="4" t="str" cm="1">
        <f t="array" ref="E3306">IFERROR(INDEX(EmployeeData[Gender], ROW() - 37), "")</f>
        <v/>
      </c>
      <c r="F3306" s="4" t="str" cm="1">
        <f t="array" ref="F3306">IFERROR(INDEX(EmployeeData[Age], ROW() - 37), "")</f>
        <v/>
      </c>
      <c r="G3306" s="6" t="str" cm="1">
        <f t="array" ref="G3306">IFERROR(INDEX(EmployeeData[Join Date], ROW() - 37), "")</f>
        <v/>
      </c>
      <c r="H3306" s="6" t="str" cm="1">
        <f t="array" ref="H3306">IFERROR(IF(INDEX(EmployeeData[Exit Date], ROW() - 37)=0, "",INDEX(EmployeeData[Exit Date], ROW() - 37)),"")</f>
        <v/>
      </c>
      <c r="I3306" s="4" t="str" cm="1">
        <f t="array" ref="I3306">IFERROR(IF(INDEX(EmployeeData[Exit Reason], ROW() - 37)=0, "",INDEX(EmployeeData[Exit Reason], ROW() - 37)),"")</f>
        <v/>
      </c>
      <c r="J3306" s="4" t="str" cm="1">
        <f t="array" ref="J3306">IFERROR(INDEX(EmployeeData[Status], ROW() - 37), "")</f>
        <v/>
      </c>
    </row>
    <row r="3307" spans="2:10" ht="19.95" customHeight="1" x14ac:dyDescent="0.3">
      <c r="B3307" s="4" t="str" cm="1">
        <f t="array" ref="B3307">IFERROR(INDEX(EmployeeData[Employee ID], ROW() - 37), "")</f>
        <v/>
      </c>
      <c r="C3307" s="4" t="str" cm="1">
        <f t="array" ref="C3307">IFERROR(INDEX(EmployeeData[Full Name], ROW() - 37), "")</f>
        <v/>
      </c>
      <c r="D3307" s="4" t="str" cm="1">
        <f t="array" ref="D3307">IFERROR(INDEX(EmployeeData[Department], ROW() - 37), "")</f>
        <v/>
      </c>
      <c r="E3307" s="4" t="str" cm="1">
        <f t="array" ref="E3307">IFERROR(INDEX(EmployeeData[Gender], ROW() - 37), "")</f>
        <v/>
      </c>
      <c r="F3307" s="4" t="str" cm="1">
        <f t="array" ref="F3307">IFERROR(INDEX(EmployeeData[Age], ROW() - 37), "")</f>
        <v/>
      </c>
      <c r="G3307" s="6" t="str" cm="1">
        <f t="array" ref="G3307">IFERROR(INDEX(EmployeeData[Join Date], ROW() - 37), "")</f>
        <v/>
      </c>
      <c r="H3307" s="6" t="str" cm="1">
        <f t="array" ref="H3307">IFERROR(IF(INDEX(EmployeeData[Exit Date], ROW() - 37)=0, "",INDEX(EmployeeData[Exit Date], ROW() - 37)),"")</f>
        <v/>
      </c>
      <c r="I3307" s="4" t="str" cm="1">
        <f t="array" ref="I3307">IFERROR(IF(INDEX(EmployeeData[Exit Reason], ROW() - 37)=0, "",INDEX(EmployeeData[Exit Reason], ROW() - 37)),"")</f>
        <v/>
      </c>
      <c r="J3307" s="4" t="str" cm="1">
        <f t="array" ref="J3307">IFERROR(INDEX(EmployeeData[Status], ROW() - 37), "")</f>
        <v/>
      </c>
    </row>
    <row r="3308" spans="2:10" ht="19.95" customHeight="1" x14ac:dyDescent="0.3">
      <c r="B3308" s="4" t="str" cm="1">
        <f t="array" ref="B3308">IFERROR(INDEX(EmployeeData[Employee ID], ROW() - 37), "")</f>
        <v/>
      </c>
      <c r="C3308" s="4" t="str" cm="1">
        <f t="array" ref="C3308">IFERROR(INDEX(EmployeeData[Full Name], ROW() - 37), "")</f>
        <v/>
      </c>
      <c r="D3308" s="4" t="str" cm="1">
        <f t="array" ref="D3308">IFERROR(INDEX(EmployeeData[Department], ROW() - 37), "")</f>
        <v/>
      </c>
      <c r="E3308" s="4" t="str" cm="1">
        <f t="array" ref="E3308">IFERROR(INDEX(EmployeeData[Gender], ROW() - 37), "")</f>
        <v/>
      </c>
      <c r="F3308" s="4" t="str" cm="1">
        <f t="array" ref="F3308">IFERROR(INDEX(EmployeeData[Age], ROW() - 37), "")</f>
        <v/>
      </c>
      <c r="G3308" s="6" t="str" cm="1">
        <f t="array" ref="G3308">IFERROR(INDEX(EmployeeData[Join Date], ROW() - 37), "")</f>
        <v/>
      </c>
      <c r="H3308" s="6" t="str" cm="1">
        <f t="array" ref="H3308">IFERROR(IF(INDEX(EmployeeData[Exit Date], ROW() - 37)=0, "",INDEX(EmployeeData[Exit Date], ROW() - 37)),"")</f>
        <v/>
      </c>
      <c r="I3308" s="4" t="str" cm="1">
        <f t="array" ref="I3308">IFERROR(IF(INDEX(EmployeeData[Exit Reason], ROW() - 37)=0, "",INDEX(EmployeeData[Exit Reason], ROW() - 37)),"")</f>
        <v/>
      </c>
      <c r="J3308" s="4" t="str" cm="1">
        <f t="array" ref="J3308">IFERROR(INDEX(EmployeeData[Status], ROW() - 37), "")</f>
        <v/>
      </c>
    </row>
    <row r="3309" spans="2:10" ht="19.95" customHeight="1" x14ac:dyDescent="0.3">
      <c r="B3309" s="4" t="str" cm="1">
        <f t="array" ref="B3309">IFERROR(INDEX(EmployeeData[Employee ID], ROW() - 37), "")</f>
        <v/>
      </c>
      <c r="C3309" s="4" t="str" cm="1">
        <f t="array" ref="C3309">IFERROR(INDEX(EmployeeData[Full Name], ROW() - 37), "")</f>
        <v/>
      </c>
      <c r="D3309" s="4" t="str" cm="1">
        <f t="array" ref="D3309">IFERROR(INDEX(EmployeeData[Department], ROW() - 37), "")</f>
        <v/>
      </c>
      <c r="E3309" s="4" t="str" cm="1">
        <f t="array" ref="E3309">IFERROR(INDEX(EmployeeData[Gender], ROW() - 37), "")</f>
        <v/>
      </c>
      <c r="F3309" s="4" t="str" cm="1">
        <f t="array" ref="F3309">IFERROR(INDEX(EmployeeData[Age], ROW() - 37), "")</f>
        <v/>
      </c>
      <c r="G3309" s="6" t="str" cm="1">
        <f t="array" ref="G3309">IFERROR(INDEX(EmployeeData[Join Date], ROW() - 37), "")</f>
        <v/>
      </c>
      <c r="H3309" s="6" t="str" cm="1">
        <f t="array" ref="H3309">IFERROR(IF(INDEX(EmployeeData[Exit Date], ROW() - 37)=0, "",INDEX(EmployeeData[Exit Date], ROW() - 37)),"")</f>
        <v/>
      </c>
      <c r="I3309" s="4" t="str" cm="1">
        <f t="array" ref="I3309">IFERROR(IF(INDEX(EmployeeData[Exit Reason], ROW() - 37)=0, "",INDEX(EmployeeData[Exit Reason], ROW() - 37)),"")</f>
        <v/>
      </c>
      <c r="J3309" s="4" t="str" cm="1">
        <f t="array" ref="J3309">IFERROR(INDEX(EmployeeData[Status], ROW() - 37), "")</f>
        <v/>
      </c>
    </row>
    <row r="3310" spans="2:10" ht="19.95" customHeight="1" x14ac:dyDescent="0.3">
      <c r="B3310" s="4" t="str" cm="1">
        <f t="array" ref="B3310">IFERROR(INDEX(EmployeeData[Employee ID], ROW() - 37), "")</f>
        <v/>
      </c>
      <c r="C3310" s="4" t="str" cm="1">
        <f t="array" ref="C3310">IFERROR(INDEX(EmployeeData[Full Name], ROW() - 37), "")</f>
        <v/>
      </c>
      <c r="D3310" s="4" t="str" cm="1">
        <f t="array" ref="D3310">IFERROR(INDEX(EmployeeData[Department], ROW() - 37), "")</f>
        <v/>
      </c>
      <c r="E3310" s="4" t="str" cm="1">
        <f t="array" ref="E3310">IFERROR(INDEX(EmployeeData[Gender], ROW() - 37), "")</f>
        <v/>
      </c>
      <c r="F3310" s="4" t="str" cm="1">
        <f t="array" ref="F3310">IFERROR(INDEX(EmployeeData[Age], ROW() - 37), "")</f>
        <v/>
      </c>
      <c r="G3310" s="6" t="str" cm="1">
        <f t="array" ref="G3310">IFERROR(INDEX(EmployeeData[Join Date], ROW() - 37), "")</f>
        <v/>
      </c>
      <c r="H3310" s="6" t="str" cm="1">
        <f t="array" ref="H3310">IFERROR(IF(INDEX(EmployeeData[Exit Date], ROW() - 37)=0, "",INDEX(EmployeeData[Exit Date], ROW() - 37)),"")</f>
        <v/>
      </c>
      <c r="I3310" s="4" t="str" cm="1">
        <f t="array" ref="I3310">IFERROR(IF(INDEX(EmployeeData[Exit Reason], ROW() - 37)=0, "",INDEX(EmployeeData[Exit Reason], ROW() - 37)),"")</f>
        <v/>
      </c>
      <c r="J3310" s="4" t="str" cm="1">
        <f t="array" ref="J3310">IFERROR(INDEX(EmployeeData[Status], ROW() - 37), "")</f>
        <v/>
      </c>
    </row>
    <row r="3311" spans="2:10" ht="19.95" customHeight="1" x14ac:dyDescent="0.3">
      <c r="B3311" s="4" t="str" cm="1">
        <f t="array" ref="B3311">IFERROR(INDEX(EmployeeData[Employee ID], ROW() - 37), "")</f>
        <v/>
      </c>
      <c r="C3311" s="4" t="str" cm="1">
        <f t="array" ref="C3311">IFERROR(INDEX(EmployeeData[Full Name], ROW() - 37), "")</f>
        <v/>
      </c>
      <c r="D3311" s="4" t="str" cm="1">
        <f t="array" ref="D3311">IFERROR(INDEX(EmployeeData[Department], ROW() - 37), "")</f>
        <v/>
      </c>
      <c r="E3311" s="4" t="str" cm="1">
        <f t="array" ref="E3311">IFERROR(INDEX(EmployeeData[Gender], ROW() - 37), "")</f>
        <v/>
      </c>
      <c r="F3311" s="4" t="str" cm="1">
        <f t="array" ref="F3311">IFERROR(INDEX(EmployeeData[Age], ROW() - 37), "")</f>
        <v/>
      </c>
      <c r="G3311" s="6" t="str" cm="1">
        <f t="array" ref="G3311">IFERROR(INDEX(EmployeeData[Join Date], ROW() - 37), "")</f>
        <v/>
      </c>
      <c r="H3311" s="6" t="str" cm="1">
        <f t="array" ref="H3311">IFERROR(IF(INDEX(EmployeeData[Exit Date], ROW() - 37)=0, "",INDEX(EmployeeData[Exit Date], ROW() - 37)),"")</f>
        <v/>
      </c>
      <c r="I3311" s="4" t="str" cm="1">
        <f t="array" ref="I3311">IFERROR(IF(INDEX(EmployeeData[Exit Reason], ROW() - 37)=0, "",INDEX(EmployeeData[Exit Reason], ROW() - 37)),"")</f>
        <v/>
      </c>
      <c r="J3311" s="4" t="str" cm="1">
        <f t="array" ref="J3311">IFERROR(INDEX(EmployeeData[Status], ROW() - 37), "")</f>
        <v/>
      </c>
    </row>
    <row r="3312" spans="2:10" ht="19.95" customHeight="1" x14ac:dyDescent="0.3">
      <c r="B3312" s="4" t="str" cm="1">
        <f t="array" ref="B3312">IFERROR(INDEX(EmployeeData[Employee ID], ROW() - 37), "")</f>
        <v/>
      </c>
      <c r="C3312" s="4" t="str" cm="1">
        <f t="array" ref="C3312">IFERROR(INDEX(EmployeeData[Full Name], ROW() - 37), "")</f>
        <v/>
      </c>
      <c r="D3312" s="4" t="str" cm="1">
        <f t="array" ref="D3312">IFERROR(INDEX(EmployeeData[Department], ROW() - 37), "")</f>
        <v/>
      </c>
      <c r="E3312" s="4" t="str" cm="1">
        <f t="array" ref="E3312">IFERROR(INDEX(EmployeeData[Gender], ROW() - 37), "")</f>
        <v/>
      </c>
      <c r="F3312" s="4" t="str" cm="1">
        <f t="array" ref="F3312">IFERROR(INDEX(EmployeeData[Age], ROW() - 37), "")</f>
        <v/>
      </c>
      <c r="G3312" s="6" t="str" cm="1">
        <f t="array" ref="G3312">IFERROR(INDEX(EmployeeData[Join Date], ROW() - 37), "")</f>
        <v/>
      </c>
      <c r="H3312" s="6" t="str" cm="1">
        <f t="array" ref="H3312">IFERROR(IF(INDEX(EmployeeData[Exit Date], ROW() - 37)=0, "",INDEX(EmployeeData[Exit Date], ROW() - 37)),"")</f>
        <v/>
      </c>
      <c r="I3312" s="4" t="str" cm="1">
        <f t="array" ref="I3312">IFERROR(IF(INDEX(EmployeeData[Exit Reason], ROW() - 37)=0, "",INDEX(EmployeeData[Exit Reason], ROW() - 37)),"")</f>
        <v/>
      </c>
      <c r="J3312" s="4" t="str" cm="1">
        <f t="array" ref="J3312">IFERROR(INDEX(EmployeeData[Status], ROW() - 37), "")</f>
        <v/>
      </c>
    </row>
    <row r="3313" spans="2:10" ht="19.95" customHeight="1" x14ac:dyDescent="0.3">
      <c r="B3313" s="4" t="str" cm="1">
        <f t="array" ref="B3313">IFERROR(INDEX(EmployeeData[Employee ID], ROW() - 37), "")</f>
        <v/>
      </c>
      <c r="C3313" s="4" t="str" cm="1">
        <f t="array" ref="C3313">IFERROR(INDEX(EmployeeData[Full Name], ROW() - 37), "")</f>
        <v/>
      </c>
      <c r="D3313" s="4" t="str" cm="1">
        <f t="array" ref="D3313">IFERROR(INDEX(EmployeeData[Department], ROW() - 37), "")</f>
        <v/>
      </c>
      <c r="E3313" s="4" t="str" cm="1">
        <f t="array" ref="E3313">IFERROR(INDEX(EmployeeData[Gender], ROW() - 37), "")</f>
        <v/>
      </c>
      <c r="F3313" s="4" t="str" cm="1">
        <f t="array" ref="F3313">IFERROR(INDEX(EmployeeData[Age], ROW() - 37), "")</f>
        <v/>
      </c>
      <c r="G3313" s="6" t="str" cm="1">
        <f t="array" ref="G3313">IFERROR(INDEX(EmployeeData[Join Date], ROW() - 37), "")</f>
        <v/>
      </c>
      <c r="H3313" s="6" t="str" cm="1">
        <f t="array" ref="H3313">IFERROR(IF(INDEX(EmployeeData[Exit Date], ROW() - 37)=0, "",INDEX(EmployeeData[Exit Date], ROW() - 37)),"")</f>
        <v/>
      </c>
      <c r="I3313" s="4" t="str" cm="1">
        <f t="array" ref="I3313">IFERROR(IF(INDEX(EmployeeData[Exit Reason], ROW() - 37)=0, "",INDEX(EmployeeData[Exit Reason], ROW() - 37)),"")</f>
        <v/>
      </c>
      <c r="J3313" s="4" t="str" cm="1">
        <f t="array" ref="J3313">IFERROR(INDEX(EmployeeData[Status], ROW() - 37), "")</f>
        <v/>
      </c>
    </row>
    <row r="3314" spans="2:10" ht="19.95" customHeight="1" x14ac:dyDescent="0.3">
      <c r="B3314" s="4" t="str" cm="1">
        <f t="array" ref="B3314">IFERROR(INDEX(EmployeeData[Employee ID], ROW() - 37), "")</f>
        <v/>
      </c>
      <c r="C3314" s="4" t="str" cm="1">
        <f t="array" ref="C3314">IFERROR(INDEX(EmployeeData[Full Name], ROW() - 37), "")</f>
        <v/>
      </c>
      <c r="D3314" s="4" t="str" cm="1">
        <f t="array" ref="D3314">IFERROR(INDEX(EmployeeData[Department], ROW() - 37), "")</f>
        <v/>
      </c>
      <c r="E3314" s="4" t="str" cm="1">
        <f t="array" ref="E3314">IFERROR(INDEX(EmployeeData[Gender], ROW() - 37), "")</f>
        <v/>
      </c>
      <c r="F3314" s="4" t="str" cm="1">
        <f t="array" ref="F3314">IFERROR(INDEX(EmployeeData[Age], ROW() - 37), "")</f>
        <v/>
      </c>
      <c r="G3314" s="6" t="str" cm="1">
        <f t="array" ref="G3314">IFERROR(INDEX(EmployeeData[Join Date], ROW() - 37), "")</f>
        <v/>
      </c>
      <c r="H3314" s="6" t="str" cm="1">
        <f t="array" ref="H3314">IFERROR(IF(INDEX(EmployeeData[Exit Date], ROW() - 37)=0, "",INDEX(EmployeeData[Exit Date], ROW() - 37)),"")</f>
        <v/>
      </c>
      <c r="I3314" s="4" t="str" cm="1">
        <f t="array" ref="I3314">IFERROR(IF(INDEX(EmployeeData[Exit Reason], ROW() - 37)=0, "",INDEX(EmployeeData[Exit Reason], ROW() - 37)),"")</f>
        <v/>
      </c>
      <c r="J3314" s="4" t="str" cm="1">
        <f t="array" ref="J3314">IFERROR(INDEX(EmployeeData[Status], ROW() - 37), "")</f>
        <v/>
      </c>
    </row>
    <row r="3315" spans="2:10" ht="19.95" customHeight="1" x14ac:dyDescent="0.3">
      <c r="B3315" s="4" t="str" cm="1">
        <f t="array" ref="B3315">IFERROR(INDEX(EmployeeData[Employee ID], ROW() - 37), "")</f>
        <v/>
      </c>
      <c r="C3315" s="4" t="str" cm="1">
        <f t="array" ref="C3315">IFERROR(INDEX(EmployeeData[Full Name], ROW() - 37), "")</f>
        <v/>
      </c>
      <c r="D3315" s="4" t="str" cm="1">
        <f t="array" ref="D3315">IFERROR(INDEX(EmployeeData[Department], ROW() - 37), "")</f>
        <v/>
      </c>
      <c r="E3315" s="4" t="str" cm="1">
        <f t="array" ref="E3315">IFERROR(INDEX(EmployeeData[Gender], ROW() - 37), "")</f>
        <v/>
      </c>
      <c r="F3315" s="4" t="str" cm="1">
        <f t="array" ref="F3315">IFERROR(INDEX(EmployeeData[Age], ROW() - 37), "")</f>
        <v/>
      </c>
      <c r="G3315" s="6" t="str" cm="1">
        <f t="array" ref="G3315">IFERROR(INDEX(EmployeeData[Join Date], ROW() - 37), "")</f>
        <v/>
      </c>
      <c r="H3315" s="6" t="str" cm="1">
        <f t="array" ref="H3315">IFERROR(IF(INDEX(EmployeeData[Exit Date], ROW() - 37)=0, "",INDEX(EmployeeData[Exit Date], ROW() - 37)),"")</f>
        <v/>
      </c>
      <c r="I3315" s="4" t="str" cm="1">
        <f t="array" ref="I3315">IFERROR(IF(INDEX(EmployeeData[Exit Reason], ROW() - 37)=0, "",INDEX(EmployeeData[Exit Reason], ROW() - 37)),"")</f>
        <v/>
      </c>
      <c r="J3315" s="4" t="str" cm="1">
        <f t="array" ref="J3315">IFERROR(INDEX(EmployeeData[Status], ROW() - 37), "")</f>
        <v/>
      </c>
    </row>
    <row r="3316" spans="2:10" ht="19.95" customHeight="1" x14ac:dyDescent="0.3">
      <c r="B3316" s="4" t="str" cm="1">
        <f t="array" ref="B3316">IFERROR(INDEX(EmployeeData[Employee ID], ROW() - 37), "")</f>
        <v/>
      </c>
      <c r="C3316" s="4" t="str" cm="1">
        <f t="array" ref="C3316">IFERROR(INDEX(EmployeeData[Full Name], ROW() - 37), "")</f>
        <v/>
      </c>
      <c r="D3316" s="4" t="str" cm="1">
        <f t="array" ref="D3316">IFERROR(INDEX(EmployeeData[Department], ROW() - 37), "")</f>
        <v/>
      </c>
      <c r="E3316" s="4" t="str" cm="1">
        <f t="array" ref="E3316">IFERROR(INDEX(EmployeeData[Gender], ROW() - 37), "")</f>
        <v/>
      </c>
      <c r="F3316" s="4" t="str" cm="1">
        <f t="array" ref="F3316">IFERROR(INDEX(EmployeeData[Age], ROW() - 37), "")</f>
        <v/>
      </c>
      <c r="G3316" s="6" t="str" cm="1">
        <f t="array" ref="G3316">IFERROR(INDEX(EmployeeData[Join Date], ROW() - 37), "")</f>
        <v/>
      </c>
      <c r="H3316" s="6" t="str" cm="1">
        <f t="array" ref="H3316">IFERROR(IF(INDEX(EmployeeData[Exit Date], ROW() - 37)=0, "",INDEX(EmployeeData[Exit Date], ROW() - 37)),"")</f>
        <v/>
      </c>
      <c r="I3316" s="4" t="str" cm="1">
        <f t="array" ref="I3316">IFERROR(IF(INDEX(EmployeeData[Exit Reason], ROW() - 37)=0, "",INDEX(EmployeeData[Exit Reason], ROW() - 37)),"")</f>
        <v/>
      </c>
      <c r="J3316" s="4" t="str" cm="1">
        <f t="array" ref="J3316">IFERROR(INDEX(EmployeeData[Status], ROW() - 37), "")</f>
        <v/>
      </c>
    </row>
    <row r="3317" spans="2:10" ht="19.95" customHeight="1" x14ac:dyDescent="0.3">
      <c r="B3317" s="4" t="str" cm="1">
        <f t="array" ref="B3317">IFERROR(INDEX(EmployeeData[Employee ID], ROW() - 37), "")</f>
        <v/>
      </c>
      <c r="C3317" s="4" t="str" cm="1">
        <f t="array" ref="C3317">IFERROR(INDEX(EmployeeData[Full Name], ROW() - 37), "")</f>
        <v/>
      </c>
      <c r="D3317" s="4" t="str" cm="1">
        <f t="array" ref="D3317">IFERROR(INDEX(EmployeeData[Department], ROW() - 37), "")</f>
        <v/>
      </c>
      <c r="E3317" s="4" t="str" cm="1">
        <f t="array" ref="E3317">IFERROR(INDEX(EmployeeData[Gender], ROW() - 37), "")</f>
        <v/>
      </c>
      <c r="F3317" s="4" t="str" cm="1">
        <f t="array" ref="F3317">IFERROR(INDEX(EmployeeData[Age], ROW() - 37), "")</f>
        <v/>
      </c>
      <c r="G3317" s="6" t="str" cm="1">
        <f t="array" ref="G3317">IFERROR(INDEX(EmployeeData[Join Date], ROW() - 37), "")</f>
        <v/>
      </c>
      <c r="H3317" s="6" t="str" cm="1">
        <f t="array" ref="H3317">IFERROR(IF(INDEX(EmployeeData[Exit Date], ROW() - 37)=0, "",INDEX(EmployeeData[Exit Date], ROW() - 37)),"")</f>
        <v/>
      </c>
      <c r="I3317" s="4" t="str" cm="1">
        <f t="array" ref="I3317">IFERROR(IF(INDEX(EmployeeData[Exit Reason], ROW() - 37)=0, "",INDEX(EmployeeData[Exit Reason], ROW() - 37)),"")</f>
        <v/>
      </c>
      <c r="J3317" s="4" t="str" cm="1">
        <f t="array" ref="J3317">IFERROR(INDEX(EmployeeData[Status], ROW() - 37), "")</f>
        <v/>
      </c>
    </row>
    <row r="3318" spans="2:10" ht="19.95" customHeight="1" x14ac:dyDescent="0.3">
      <c r="B3318" s="4" t="str" cm="1">
        <f t="array" ref="B3318">IFERROR(INDEX(EmployeeData[Employee ID], ROW() - 37), "")</f>
        <v/>
      </c>
      <c r="C3318" s="4" t="str" cm="1">
        <f t="array" ref="C3318">IFERROR(INDEX(EmployeeData[Full Name], ROW() - 37), "")</f>
        <v/>
      </c>
      <c r="D3318" s="4" t="str" cm="1">
        <f t="array" ref="D3318">IFERROR(INDEX(EmployeeData[Department], ROW() - 37), "")</f>
        <v/>
      </c>
      <c r="E3318" s="4" t="str" cm="1">
        <f t="array" ref="E3318">IFERROR(INDEX(EmployeeData[Gender], ROW() - 37), "")</f>
        <v/>
      </c>
      <c r="F3318" s="4" t="str" cm="1">
        <f t="array" ref="F3318">IFERROR(INDEX(EmployeeData[Age], ROW() - 37), "")</f>
        <v/>
      </c>
      <c r="G3318" s="6" t="str" cm="1">
        <f t="array" ref="G3318">IFERROR(INDEX(EmployeeData[Join Date], ROW() - 37), "")</f>
        <v/>
      </c>
      <c r="H3318" s="6" t="str" cm="1">
        <f t="array" ref="H3318">IFERROR(IF(INDEX(EmployeeData[Exit Date], ROW() - 37)=0, "",INDEX(EmployeeData[Exit Date], ROW() - 37)),"")</f>
        <v/>
      </c>
      <c r="I3318" s="4" t="str" cm="1">
        <f t="array" ref="I3318">IFERROR(IF(INDEX(EmployeeData[Exit Reason], ROW() - 37)=0, "",INDEX(EmployeeData[Exit Reason], ROW() - 37)),"")</f>
        <v/>
      </c>
      <c r="J3318" s="4" t="str" cm="1">
        <f t="array" ref="J3318">IFERROR(INDEX(EmployeeData[Status], ROW() - 37), "")</f>
        <v/>
      </c>
    </row>
    <row r="3319" spans="2:10" ht="19.95" customHeight="1" x14ac:dyDescent="0.3">
      <c r="B3319" s="4" t="str" cm="1">
        <f t="array" ref="B3319">IFERROR(INDEX(EmployeeData[Employee ID], ROW() - 37), "")</f>
        <v/>
      </c>
      <c r="C3319" s="4" t="str" cm="1">
        <f t="array" ref="C3319">IFERROR(INDEX(EmployeeData[Full Name], ROW() - 37), "")</f>
        <v/>
      </c>
      <c r="D3319" s="4" t="str" cm="1">
        <f t="array" ref="D3319">IFERROR(INDEX(EmployeeData[Department], ROW() - 37), "")</f>
        <v/>
      </c>
      <c r="E3319" s="4" t="str" cm="1">
        <f t="array" ref="E3319">IFERROR(INDEX(EmployeeData[Gender], ROW() - 37), "")</f>
        <v/>
      </c>
      <c r="F3319" s="4" t="str" cm="1">
        <f t="array" ref="F3319">IFERROR(INDEX(EmployeeData[Age], ROW() - 37), "")</f>
        <v/>
      </c>
      <c r="G3319" s="6" t="str" cm="1">
        <f t="array" ref="G3319">IFERROR(INDEX(EmployeeData[Join Date], ROW() - 37), "")</f>
        <v/>
      </c>
      <c r="H3319" s="6" t="str" cm="1">
        <f t="array" ref="H3319">IFERROR(IF(INDEX(EmployeeData[Exit Date], ROW() - 37)=0, "",INDEX(EmployeeData[Exit Date], ROW() - 37)),"")</f>
        <v/>
      </c>
      <c r="I3319" s="4" t="str" cm="1">
        <f t="array" ref="I3319">IFERROR(IF(INDEX(EmployeeData[Exit Reason], ROW() - 37)=0, "",INDEX(EmployeeData[Exit Reason], ROW() - 37)),"")</f>
        <v/>
      </c>
      <c r="J3319" s="4" t="str" cm="1">
        <f t="array" ref="J3319">IFERROR(INDEX(EmployeeData[Status], ROW() - 37), "")</f>
        <v/>
      </c>
    </row>
    <row r="3320" spans="2:10" ht="19.95" customHeight="1" x14ac:dyDescent="0.3">
      <c r="B3320" s="4" t="str" cm="1">
        <f t="array" ref="B3320">IFERROR(INDEX(EmployeeData[Employee ID], ROW() - 37), "")</f>
        <v/>
      </c>
      <c r="C3320" s="4" t="str" cm="1">
        <f t="array" ref="C3320">IFERROR(INDEX(EmployeeData[Full Name], ROW() - 37), "")</f>
        <v/>
      </c>
      <c r="D3320" s="4" t="str" cm="1">
        <f t="array" ref="D3320">IFERROR(INDEX(EmployeeData[Department], ROW() - 37), "")</f>
        <v/>
      </c>
      <c r="E3320" s="4" t="str" cm="1">
        <f t="array" ref="E3320">IFERROR(INDEX(EmployeeData[Gender], ROW() - 37), "")</f>
        <v/>
      </c>
      <c r="F3320" s="4" t="str" cm="1">
        <f t="array" ref="F3320">IFERROR(INDEX(EmployeeData[Age], ROW() - 37), "")</f>
        <v/>
      </c>
      <c r="G3320" s="6" t="str" cm="1">
        <f t="array" ref="G3320">IFERROR(INDEX(EmployeeData[Join Date], ROW() - 37), "")</f>
        <v/>
      </c>
      <c r="H3320" s="6" t="str" cm="1">
        <f t="array" ref="H3320">IFERROR(IF(INDEX(EmployeeData[Exit Date], ROW() - 37)=0, "",INDEX(EmployeeData[Exit Date], ROW() - 37)),"")</f>
        <v/>
      </c>
      <c r="I3320" s="4" t="str" cm="1">
        <f t="array" ref="I3320">IFERROR(IF(INDEX(EmployeeData[Exit Reason], ROW() - 37)=0, "",INDEX(EmployeeData[Exit Reason], ROW() - 37)),"")</f>
        <v/>
      </c>
      <c r="J3320" s="4" t="str" cm="1">
        <f t="array" ref="J3320">IFERROR(INDEX(EmployeeData[Status], ROW() - 37), "")</f>
        <v/>
      </c>
    </row>
    <row r="3321" spans="2:10" ht="19.95" customHeight="1" x14ac:dyDescent="0.3">
      <c r="B3321" s="4" t="str" cm="1">
        <f t="array" ref="B3321">IFERROR(INDEX(EmployeeData[Employee ID], ROW() - 37), "")</f>
        <v/>
      </c>
      <c r="C3321" s="4" t="str" cm="1">
        <f t="array" ref="C3321">IFERROR(INDEX(EmployeeData[Full Name], ROW() - 37), "")</f>
        <v/>
      </c>
      <c r="D3321" s="4" t="str" cm="1">
        <f t="array" ref="D3321">IFERROR(INDEX(EmployeeData[Department], ROW() - 37), "")</f>
        <v/>
      </c>
      <c r="E3321" s="4" t="str" cm="1">
        <f t="array" ref="E3321">IFERROR(INDEX(EmployeeData[Gender], ROW() - 37), "")</f>
        <v/>
      </c>
      <c r="F3321" s="4" t="str" cm="1">
        <f t="array" ref="F3321">IFERROR(INDEX(EmployeeData[Age], ROW() - 37), "")</f>
        <v/>
      </c>
      <c r="G3321" s="6" t="str" cm="1">
        <f t="array" ref="G3321">IFERROR(INDEX(EmployeeData[Join Date], ROW() - 37), "")</f>
        <v/>
      </c>
      <c r="H3321" s="6" t="str" cm="1">
        <f t="array" ref="H3321">IFERROR(IF(INDEX(EmployeeData[Exit Date], ROW() - 37)=0, "",INDEX(EmployeeData[Exit Date], ROW() - 37)),"")</f>
        <v/>
      </c>
      <c r="I3321" s="4" t="str" cm="1">
        <f t="array" ref="I3321">IFERROR(IF(INDEX(EmployeeData[Exit Reason], ROW() - 37)=0, "",INDEX(EmployeeData[Exit Reason], ROW() - 37)),"")</f>
        <v/>
      </c>
      <c r="J3321" s="4" t="str" cm="1">
        <f t="array" ref="J3321">IFERROR(INDEX(EmployeeData[Status], ROW() - 37), "")</f>
        <v/>
      </c>
    </row>
    <row r="3322" spans="2:10" ht="19.95" customHeight="1" x14ac:dyDescent="0.3">
      <c r="B3322" s="4" t="str" cm="1">
        <f t="array" ref="B3322">IFERROR(INDEX(EmployeeData[Employee ID], ROW() - 37), "")</f>
        <v/>
      </c>
      <c r="C3322" s="4" t="str" cm="1">
        <f t="array" ref="C3322">IFERROR(INDEX(EmployeeData[Full Name], ROW() - 37), "")</f>
        <v/>
      </c>
      <c r="D3322" s="4" t="str" cm="1">
        <f t="array" ref="D3322">IFERROR(INDEX(EmployeeData[Department], ROW() - 37), "")</f>
        <v/>
      </c>
      <c r="E3322" s="4" t="str" cm="1">
        <f t="array" ref="E3322">IFERROR(INDEX(EmployeeData[Gender], ROW() - 37), "")</f>
        <v/>
      </c>
      <c r="F3322" s="4" t="str" cm="1">
        <f t="array" ref="F3322">IFERROR(INDEX(EmployeeData[Age], ROW() - 37), "")</f>
        <v/>
      </c>
      <c r="G3322" s="6" t="str" cm="1">
        <f t="array" ref="G3322">IFERROR(INDEX(EmployeeData[Join Date], ROW() - 37), "")</f>
        <v/>
      </c>
      <c r="H3322" s="6" t="str" cm="1">
        <f t="array" ref="H3322">IFERROR(IF(INDEX(EmployeeData[Exit Date], ROW() - 37)=0, "",INDEX(EmployeeData[Exit Date], ROW() - 37)),"")</f>
        <v/>
      </c>
      <c r="I3322" s="4" t="str" cm="1">
        <f t="array" ref="I3322">IFERROR(IF(INDEX(EmployeeData[Exit Reason], ROW() - 37)=0, "",INDEX(EmployeeData[Exit Reason], ROW() - 37)),"")</f>
        <v/>
      </c>
      <c r="J3322" s="4" t="str" cm="1">
        <f t="array" ref="J3322">IFERROR(INDEX(EmployeeData[Status], ROW() - 37), "")</f>
        <v/>
      </c>
    </row>
    <row r="3323" spans="2:10" ht="19.95" customHeight="1" x14ac:dyDescent="0.3">
      <c r="B3323" s="4" t="str" cm="1">
        <f t="array" ref="B3323">IFERROR(INDEX(EmployeeData[Employee ID], ROW() - 37), "")</f>
        <v/>
      </c>
      <c r="C3323" s="4" t="str" cm="1">
        <f t="array" ref="C3323">IFERROR(INDEX(EmployeeData[Full Name], ROW() - 37), "")</f>
        <v/>
      </c>
      <c r="D3323" s="4" t="str" cm="1">
        <f t="array" ref="D3323">IFERROR(INDEX(EmployeeData[Department], ROW() - 37), "")</f>
        <v/>
      </c>
      <c r="E3323" s="4" t="str" cm="1">
        <f t="array" ref="E3323">IFERROR(INDEX(EmployeeData[Gender], ROW() - 37), "")</f>
        <v/>
      </c>
      <c r="F3323" s="4" t="str" cm="1">
        <f t="array" ref="F3323">IFERROR(INDEX(EmployeeData[Age], ROW() - 37), "")</f>
        <v/>
      </c>
      <c r="G3323" s="6" t="str" cm="1">
        <f t="array" ref="G3323">IFERROR(INDEX(EmployeeData[Join Date], ROW() - 37), "")</f>
        <v/>
      </c>
      <c r="H3323" s="6" t="str" cm="1">
        <f t="array" ref="H3323">IFERROR(IF(INDEX(EmployeeData[Exit Date], ROW() - 37)=0, "",INDEX(EmployeeData[Exit Date], ROW() - 37)),"")</f>
        <v/>
      </c>
      <c r="I3323" s="4" t="str" cm="1">
        <f t="array" ref="I3323">IFERROR(IF(INDEX(EmployeeData[Exit Reason], ROW() - 37)=0, "",INDEX(EmployeeData[Exit Reason], ROW() - 37)),"")</f>
        <v/>
      </c>
      <c r="J3323" s="4" t="str" cm="1">
        <f t="array" ref="J3323">IFERROR(INDEX(EmployeeData[Status], ROW() - 37), "")</f>
        <v/>
      </c>
    </row>
    <row r="3324" spans="2:10" ht="19.95" customHeight="1" x14ac:dyDescent="0.3">
      <c r="B3324" s="4" t="str" cm="1">
        <f t="array" ref="B3324">IFERROR(INDEX(EmployeeData[Employee ID], ROW() - 37), "")</f>
        <v/>
      </c>
      <c r="C3324" s="4" t="str" cm="1">
        <f t="array" ref="C3324">IFERROR(INDEX(EmployeeData[Full Name], ROW() - 37), "")</f>
        <v/>
      </c>
      <c r="D3324" s="4" t="str" cm="1">
        <f t="array" ref="D3324">IFERROR(INDEX(EmployeeData[Department], ROW() - 37), "")</f>
        <v/>
      </c>
      <c r="E3324" s="4" t="str" cm="1">
        <f t="array" ref="E3324">IFERROR(INDEX(EmployeeData[Gender], ROW() - 37), "")</f>
        <v/>
      </c>
      <c r="F3324" s="4" t="str" cm="1">
        <f t="array" ref="F3324">IFERROR(INDEX(EmployeeData[Age], ROW() - 37), "")</f>
        <v/>
      </c>
      <c r="G3324" s="6" t="str" cm="1">
        <f t="array" ref="G3324">IFERROR(INDEX(EmployeeData[Join Date], ROW() - 37), "")</f>
        <v/>
      </c>
      <c r="H3324" s="6" t="str" cm="1">
        <f t="array" ref="H3324">IFERROR(IF(INDEX(EmployeeData[Exit Date], ROW() - 37)=0, "",INDEX(EmployeeData[Exit Date], ROW() - 37)),"")</f>
        <v/>
      </c>
      <c r="I3324" s="4" t="str" cm="1">
        <f t="array" ref="I3324">IFERROR(IF(INDEX(EmployeeData[Exit Reason], ROW() - 37)=0, "",INDEX(EmployeeData[Exit Reason], ROW() - 37)),"")</f>
        <v/>
      </c>
      <c r="J3324" s="4" t="str" cm="1">
        <f t="array" ref="J3324">IFERROR(INDEX(EmployeeData[Status], ROW() - 37), "")</f>
        <v/>
      </c>
    </row>
    <row r="3325" spans="2:10" ht="19.95" customHeight="1" x14ac:dyDescent="0.3">
      <c r="B3325" s="4" t="str" cm="1">
        <f t="array" ref="B3325">IFERROR(INDEX(EmployeeData[Employee ID], ROW() - 37), "")</f>
        <v/>
      </c>
      <c r="C3325" s="4" t="str" cm="1">
        <f t="array" ref="C3325">IFERROR(INDEX(EmployeeData[Full Name], ROW() - 37), "")</f>
        <v/>
      </c>
      <c r="D3325" s="4" t="str" cm="1">
        <f t="array" ref="D3325">IFERROR(INDEX(EmployeeData[Department], ROW() - 37), "")</f>
        <v/>
      </c>
      <c r="E3325" s="4" t="str" cm="1">
        <f t="array" ref="E3325">IFERROR(INDEX(EmployeeData[Gender], ROW() - 37), "")</f>
        <v/>
      </c>
      <c r="F3325" s="4" t="str" cm="1">
        <f t="array" ref="F3325">IFERROR(INDEX(EmployeeData[Age], ROW() - 37), "")</f>
        <v/>
      </c>
      <c r="G3325" s="6" t="str" cm="1">
        <f t="array" ref="G3325">IFERROR(INDEX(EmployeeData[Join Date], ROW() - 37), "")</f>
        <v/>
      </c>
      <c r="H3325" s="6" t="str" cm="1">
        <f t="array" ref="H3325">IFERROR(IF(INDEX(EmployeeData[Exit Date], ROW() - 37)=0, "",INDEX(EmployeeData[Exit Date], ROW() - 37)),"")</f>
        <v/>
      </c>
      <c r="I3325" s="4" t="str" cm="1">
        <f t="array" ref="I3325">IFERROR(IF(INDEX(EmployeeData[Exit Reason], ROW() - 37)=0, "",INDEX(EmployeeData[Exit Reason], ROW() - 37)),"")</f>
        <v/>
      </c>
      <c r="J3325" s="4" t="str" cm="1">
        <f t="array" ref="J3325">IFERROR(INDEX(EmployeeData[Status], ROW() - 37), "")</f>
        <v/>
      </c>
    </row>
    <row r="3326" spans="2:10" ht="19.95" customHeight="1" x14ac:dyDescent="0.3">
      <c r="B3326" s="4" t="str" cm="1">
        <f t="array" ref="B3326">IFERROR(INDEX(EmployeeData[Employee ID], ROW() - 37), "")</f>
        <v/>
      </c>
      <c r="C3326" s="4" t="str" cm="1">
        <f t="array" ref="C3326">IFERROR(INDEX(EmployeeData[Full Name], ROW() - 37), "")</f>
        <v/>
      </c>
      <c r="D3326" s="4" t="str" cm="1">
        <f t="array" ref="D3326">IFERROR(INDEX(EmployeeData[Department], ROW() - 37), "")</f>
        <v/>
      </c>
      <c r="E3326" s="4" t="str" cm="1">
        <f t="array" ref="E3326">IFERROR(INDEX(EmployeeData[Gender], ROW() - 37), "")</f>
        <v/>
      </c>
      <c r="F3326" s="4" t="str" cm="1">
        <f t="array" ref="F3326">IFERROR(INDEX(EmployeeData[Age], ROW() - 37), "")</f>
        <v/>
      </c>
      <c r="G3326" s="6" t="str" cm="1">
        <f t="array" ref="G3326">IFERROR(INDEX(EmployeeData[Join Date], ROW() - 37), "")</f>
        <v/>
      </c>
      <c r="H3326" s="6" t="str" cm="1">
        <f t="array" ref="H3326">IFERROR(IF(INDEX(EmployeeData[Exit Date], ROW() - 37)=0, "",INDEX(EmployeeData[Exit Date], ROW() - 37)),"")</f>
        <v/>
      </c>
      <c r="I3326" s="4" t="str" cm="1">
        <f t="array" ref="I3326">IFERROR(IF(INDEX(EmployeeData[Exit Reason], ROW() - 37)=0, "",INDEX(EmployeeData[Exit Reason], ROW() - 37)),"")</f>
        <v/>
      </c>
      <c r="J3326" s="4" t="str" cm="1">
        <f t="array" ref="J3326">IFERROR(INDEX(EmployeeData[Status], ROW() - 37), "")</f>
        <v/>
      </c>
    </row>
    <row r="3327" spans="2:10" ht="19.95" customHeight="1" x14ac:dyDescent="0.3">
      <c r="B3327" s="4" t="str" cm="1">
        <f t="array" ref="B3327">IFERROR(INDEX(EmployeeData[Employee ID], ROW() - 37), "")</f>
        <v/>
      </c>
      <c r="C3327" s="4" t="str" cm="1">
        <f t="array" ref="C3327">IFERROR(INDEX(EmployeeData[Full Name], ROW() - 37), "")</f>
        <v/>
      </c>
      <c r="D3327" s="4" t="str" cm="1">
        <f t="array" ref="D3327">IFERROR(INDEX(EmployeeData[Department], ROW() - 37), "")</f>
        <v/>
      </c>
      <c r="E3327" s="4" t="str" cm="1">
        <f t="array" ref="E3327">IFERROR(INDEX(EmployeeData[Gender], ROW() - 37), "")</f>
        <v/>
      </c>
      <c r="F3327" s="4" t="str" cm="1">
        <f t="array" ref="F3327">IFERROR(INDEX(EmployeeData[Age], ROW() - 37), "")</f>
        <v/>
      </c>
      <c r="G3327" s="6" t="str" cm="1">
        <f t="array" ref="G3327">IFERROR(INDEX(EmployeeData[Join Date], ROW() - 37), "")</f>
        <v/>
      </c>
      <c r="H3327" s="6" t="str" cm="1">
        <f t="array" ref="H3327">IFERROR(IF(INDEX(EmployeeData[Exit Date], ROW() - 37)=0, "",INDEX(EmployeeData[Exit Date], ROW() - 37)),"")</f>
        <v/>
      </c>
      <c r="I3327" s="4" t="str" cm="1">
        <f t="array" ref="I3327">IFERROR(IF(INDEX(EmployeeData[Exit Reason], ROW() - 37)=0, "",INDEX(EmployeeData[Exit Reason], ROW() - 37)),"")</f>
        <v/>
      </c>
      <c r="J3327" s="4" t="str" cm="1">
        <f t="array" ref="J3327">IFERROR(INDEX(EmployeeData[Status], ROW() - 37), "")</f>
        <v/>
      </c>
    </row>
    <row r="3328" spans="2:10" ht="19.95" customHeight="1" x14ac:dyDescent="0.3">
      <c r="B3328" s="4" t="str" cm="1">
        <f t="array" ref="B3328">IFERROR(INDEX(EmployeeData[Employee ID], ROW() - 37), "")</f>
        <v/>
      </c>
      <c r="C3328" s="4" t="str" cm="1">
        <f t="array" ref="C3328">IFERROR(INDEX(EmployeeData[Full Name], ROW() - 37), "")</f>
        <v/>
      </c>
      <c r="D3328" s="4" t="str" cm="1">
        <f t="array" ref="D3328">IFERROR(INDEX(EmployeeData[Department], ROW() - 37), "")</f>
        <v/>
      </c>
      <c r="E3328" s="4" t="str" cm="1">
        <f t="array" ref="E3328">IFERROR(INDEX(EmployeeData[Gender], ROW() - 37), "")</f>
        <v/>
      </c>
      <c r="F3328" s="4" t="str" cm="1">
        <f t="array" ref="F3328">IFERROR(INDEX(EmployeeData[Age], ROW() - 37), "")</f>
        <v/>
      </c>
      <c r="G3328" s="6" t="str" cm="1">
        <f t="array" ref="G3328">IFERROR(INDEX(EmployeeData[Join Date], ROW() - 37), "")</f>
        <v/>
      </c>
      <c r="H3328" s="6" t="str" cm="1">
        <f t="array" ref="H3328">IFERROR(IF(INDEX(EmployeeData[Exit Date], ROW() - 37)=0, "",INDEX(EmployeeData[Exit Date], ROW() - 37)),"")</f>
        <v/>
      </c>
      <c r="I3328" s="4" t="str" cm="1">
        <f t="array" ref="I3328">IFERROR(IF(INDEX(EmployeeData[Exit Reason], ROW() - 37)=0, "",INDEX(EmployeeData[Exit Reason], ROW() - 37)),"")</f>
        <v/>
      </c>
      <c r="J3328" s="4" t="str" cm="1">
        <f t="array" ref="J3328">IFERROR(INDEX(EmployeeData[Status], ROW() - 37), "")</f>
        <v/>
      </c>
    </row>
    <row r="3329" spans="2:10" ht="19.95" customHeight="1" x14ac:dyDescent="0.3">
      <c r="B3329" s="4" t="str" cm="1">
        <f t="array" ref="B3329">IFERROR(INDEX(EmployeeData[Employee ID], ROW() - 37), "")</f>
        <v/>
      </c>
      <c r="C3329" s="4" t="str" cm="1">
        <f t="array" ref="C3329">IFERROR(INDEX(EmployeeData[Full Name], ROW() - 37), "")</f>
        <v/>
      </c>
      <c r="D3329" s="4" t="str" cm="1">
        <f t="array" ref="D3329">IFERROR(INDEX(EmployeeData[Department], ROW() - 37), "")</f>
        <v/>
      </c>
      <c r="E3329" s="4" t="str" cm="1">
        <f t="array" ref="E3329">IFERROR(INDEX(EmployeeData[Gender], ROW() - 37), "")</f>
        <v/>
      </c>
      <c r="F3329" s="4" t="str" cm="1">
        <f t="array" ref="F3329">IFERROR(INDEX(EmployeeData[Age], ROW() - 37), "")</f>
        <v/>
      </c>
      <c r="G3329" s="6" t="str" cm="1">
        <f t="array" ref="G3329">IFERROR(INDEX(EmployeeData[Join Date], ROW() - 37), "")</f>
        <v/>
      </c>
      <c r="H3329" s="6" t="str" cm="1">
        <f t="array" ref="H3329">IFERROR(IF(INDEX(EmployeeData[Exit Date], ROW() - 37)=0, "",INDEX(EmployeeData[Exit Date], ROW() - 37)),"")</f>
        <v/>
      </c>
      <c r="I3329" s="4" t="str" cm="1">
        <f t="array" ref="I3329">IFERROR(IF(INDEX(EmployeeData[Exit Reason], ROW() - 37)=0, "",INDEX(EmployeeData[Exit Reason], ROW() - 37)),"")</f>
        <v/>
      </c>
      <c r="J3329" s="4" t="str" cm="1">
        <f t="array" ref="J3329">IFERROR(INDEX(EmployeeData[Status], ROW() - 37), "")</f>
        <v/>
      </c>
    </row>
    <row r="3330" spans="2:10" ht="19.95" customHeight="1" x14ac:dyDescent="0.3">
      <c r="B3330" s="4" t="str" cm="1">
        <f t="array" ref="B3330">IFERROR(INDEX(EmployeeData[Employee ID], ROW() - 37), "")</f>
        <v/>
      </c>
      <c r="C3330" s="4" t="str" cm="1">
        <f t="array" ref="C3330">IFERROR(INDEX(EmployeeData[Full Name], ROW() - 37), "")</f>
        <v/>
      </c>
      <c r="D3330" s="4" t="str" cm="1">
        <f t="array" ref="D3330">IFERROR(INDEX(EmployeeData[Department], ROW() - 37), "")</f>
        <v/>
      </c>
      <c r="E3330" s="4" t="str" cm="1">
        <f t="array" ref="E3330">IFERROR(INDEX(EmployeeData[Gender], ROW() - 37), "")</f>
        <v/>
      </c>
      <c r="F3330" s="4" t="str" cm="1">
        <f t="array" ref="F3330">IFERROR(INDEX(EmployeeData[Age], ROW() - 37), "")</f>
        <v/>
      </c>
      <c r="G3330" s="6" t="str" cm="1">
        <f t="array" ref="G3330">IFERROR(INDEX(EmployeeData[Join Date], ROW() - 37), "")</f>
        <v/>
      </c>
      <c r="H3330" s="6" t="str" cm="1">
        <f t="array" ref="H3330">IFERROR(IF(INDEX(EmployeeData[Exit Date], ROW() - 37)=0, "",INDEX(EmployeeData[Exit Date], ROW() - 37)),"")</f>
        <v/>
      </c>
      <c r="I3330" s="4" t="str" cm="1">
        <f t="array" ref="I3330">IFERROR(IF(INDEX(EmployeeData[Exit Reason], ROW() - 37)=0, "",INDEX(EmployeeData[Exit Reason], ROW() - 37)),"")</f>
        <v/>
      </c>
      <c r="J3330" s="4" t="str" cm="1">
        <f t="array" ref="J3330">IFERROR(INDEX(EmployeeData[Status], ROW() - 37), "")</f>
        <v/>
      </c>
    </row>
    <row r="3331" spans="2:10" ht="19.95" customHeight="1" x14ac:dyDescent="0.3">
      <c r="B3331" s="4" t="str" cm="1">
        <f t="array" ref="B3331">IFERROR(INDEX(EmployeeData[Employee ID], ROW() - 37), "")</f>
        <v/>
      </c>
      <c r="C3331" s="4" t="str" cm="1">
        <f t="array" ref="C3331">IFERROR(INDEX(EmployeeData[Full Name], ROW() - 37), "")</f>
        <v/>
      </c>
      <c r="D3331" s="4" t="str" cm="1">
        <f t="array" ref="D3331">IFERROR(INDEX(EmployeeData[Department], ROW() - 37), "")</f>
        <v/>
      </c>
      <c r="E3331" s="4" t="str" cm="1">
        <f t="array" ref="E3331">IFERROR(INDEX(EmployeeData[Gender], ROW() - 37), "")</f>
        <v/>
      </c>
      <c r="F3331" s="4" t="str" cm="1">
        <f t="array" ref="F3331">IFERROR(INDEX(EmployeeData[Age], ROW() - 37), "")</f>
        <v/>
      </c>
      <c r="G3331" s="6" t="str" cm="1">
        <f t="array" ref="G3331">IFERROR(INDEX(EmployeeData[Join Date], ROW() - 37), "")</f>
        <v/>
      </c>
      <c r="H3331" s="6" t="str" cm="1">
        <f t="array" ref="H3331">IFERROR(IF(INDEX(EmployeeData[Exit Date], ROW() - 37)=0, "",INDEX(EmployeeData[Exit Date], ROW() - 37)),"")</f>
        <v/>
      </c>
      <c r="I3331" s="4" t="str" cm="1">
        <f t="array" ref="I3331">IFERROR(IF(INDEX(EmployeeData[Exit Reason], ROW() - 37)=0, "",INDEX(EmployeeData[Exit Reason], ROW() - 37)),"")</f>
        <v/>
      </c>
      <c r="J3331" s="4" t="str" cm="1">
        <f t="array" ref="J3331">IFERROR(INDEX(EmployeeData[Status], ROW() - 37), "")</f>
        <v/>
      </c>
    </row>
    <row r="3332" spans="2:10" ht="19.95" customHeight="1" x14ac:dyDescent="0.3">
      <c r="B3332" s="4" t="str" cm="1">
        <f t="array" ref="B3332">IFERROR(INDEX(EmployeeData[Employee ID], ROW() - 37), "")</f>
        <v/>
      </c>
      <c r="C3332" s="4" t="str" cm="1">
        <f t="array" ref="C3332">IFERROR(INDEX(EmployeeData[Full Name], ROW() - 37), "")</f>
        <v/>
      </c>
      <c r="D3332" s="4" t="str" cm="1">
        <f t="array" ref="D3332">IFERROR(INDEX(EmployeeData[Department], ROW() - 37), "")</f>
        <v/>
      </c>
      <c r="E3332" s="4" t="str" cm="1">
        <f t="array" ref="E3332">IFERROR(INDEX(EmployeeData[Gender], ROW() - 37), "")</f>
        <v/>
      </c>
      <c r="F3332" s="4" t="str" cm="1">
        <f t="array" ref="F3332">IFERROR(INDEX(EmployeeData[Age], ROW() - 37), "")</f>
        <v/>
      </c>
      <c r="G3332" s="6" t="str" cm="1">
        <f t="array" ref="G3332">IFERROR(INDEX(EmployeeData[Join Date], ROW() - 37), "")</f>
        <v/>
      </c>
      <c r="H3332" s="6" t="str" cm="1">
        <f t="array" ref="H3332">IFERROR(IF(INDEX(EmployeeData[Exit Date], ROW() - 37)=0, "",INDEX(EmployeeData[Exit Date], ROW() - 37)),"")</f>
        <v/>
      </c>
      <c r="I3332" s="4" t="str" cm="1">
        <f t="array" ref="I3332">IFERROR(IF(INDEX(EmployeeData[Exit Reason], ROW() - 37)=0, "",INDEX(EmployeeData[Exit Reason], ROW() - 37)),"")</f>
        <v/>
      </c>
      <c r="J3332" s="4" t="str" cm="1">
        <f t="array" ref="J3332">IFERROR(INDEX(EmployeeData[Status], ROW() - 37), "")</f>
        <v/>
      </c>
    </row>
    <row r="3333" spans="2:10" ht="19.95" customHeight="1" x14ac:dyDescent="0.3">
      <c r="B3333" s="4" t="str" cm="1">
        <f t="array" ref="B3333">IFERROR(INDEX(EmployeeData[Employee ID], ROW() - 37), "")</f>
        <v/>
      </c>
      <c r="C3333" s="4" t="str" cm="1">
        <f t="array" ref="C3333">IFERROR(INDEX(EmployeeData[Full Name], ROW() - 37), "")</f>
        <v/>
      </c>
      <c r="D3333" s="4" t="str" cm="1">
        <f t="array" ref="D3333">IFERROR(INDEX(EmployeeData[Department], ROW() - 37), "")</f>
        <v/>
      </c>
      <c r="E3333" s="4" t="str" cm="1">
        <f t="array" ref="E3333">IFERROR(INDEX(EmployeeData[Gender], ROW() - 37), "")</f>
        <v/>
      </c>
      <c r="F3333" s="4" t="str" cm="1">
        <f t="array" ref="F3333">IFERROR(INDEX(EmployeeData[Age], ROW() - 37), "")</f>
        <v/>
      </c>
      <c r="G3333" s="6" t="str" cm="1">
        <f t="array" ref="G3333">IFERROR(INDEX(EmployeeData[Join Date], ROW() - 37), "")</f>
        <v/>
      </c>
      <c r="H3333" s="6" t="str" cm="1">
        <f t="array" ref="H3333">IFERROR(IF(INDEX(EmployeeData[Exit Date], ROW() - 37)=0, "",INDEX(EmployeeData[Exit Date], ROW() - 37)),"")</f>
        <v/>
      </c>
      <c r="I3333" s="4" t="str" cm="1">
        <f t="array" ref="I3333">IFERROR(IF(INDEX(EmployeeData[Exit Reason], ROW() - 37)=0, "",INDEX(EmployeeData[Exit Reason], ROW() - 37)),"")</f>
        <v/>
      </c>
      <c r="J3333" s="4" t="str" cm="1">
        <f t="array" ref="J3333">IFERROR(INDEX(EmployeeData[Status], ROW() - 37), "")</f>
        <v/>
      </c>
    </row>
    <row r="3334" spans="2:10" ht="19.95" customHeight="1" x14ac:dyDescent="0.3">
      <c r="B3334" s="4" t="str" cm="1">
        <f t="array" ref="B3334">IFERROR(INDEX(EmployeeData[Employee ID], ROW() - 37), "")</f>
        <v/>
      </c>
      <c r="C3334" s="4" t="str" cm="1">
        <f t="array" ref="C3334">IFERROR(INDEX(EmployeeData[Full Name], ROW() - 37), "")</f>
        <v/>
      </c>
      <c r="D3334" s="4" t="str" cm="1">
        <f t="array" ref="D3334">IFERROR(INDEX(EmployeeData[Department], ROW() - 37), "")</f>
        <v/>
      </c>
      <c r="E3334" s="4" t="str" cm="1">
        <f t="array" ref="E3334">IFERROR(INDEX(EmployeeData[Gender], ROW() - 37), "")</f>
        <v/>
      </c>
      <c r="F3334" s="4" t="str" cm="1">
        <f t="array" ref="F3334">IFERROR(INDEX(EmployeeData[Age], ROW() - 37), "")</f>
        <v/>
      </c>
      <c r="G3334" s="6" t="str" cm="1">
        <f t="array" ref="G3334">IFERROR(INDEX(EmployeeData[Join Date], ROW() - 37), "")</f>
        <v/>
      </c>
      <c r="H3334" s="6" t="str" cm="1">
        <f t="array" ref="H3334">IFERROR(IF(INDEX(EmployeeData[Exit Date], ROW() - 37)=0, "",INDEX(EmployeeData[Exit Date], ROW() - 37)),"")</f>
        <v/>
      </c>
      <c r="I3334" s="4" t="str" cm="1">
        <f t="array" ref="I3334">IFERROR(IF(INDEX(EmployeeData[Exit Reason], ROW() - 37)=0, "",INDEX(EmployeeData[Exit Reason], ROW() - 37)),"")</f>
        <v/>
      </c>
      <c r="J3334" s="4" t="str" cm="1">
        <f t="array" ref="J3334">IFERROR(INDEX(EmployeeData[Status], ROW() - 37), "")</f>
        <v/>
      </c>
    </row>
    <row r="3335" spans="2:10" ht="19.95" customHeight="1" x14ac:dyDescent="0.3">
      <c r="B3335" s="4" t="str" cm="1">
        <f t="array" ref="B3335">IFERROR(INDEX(EmployeeData[Employee ID], ROW() - 37), "")</f>
        <v/>
      </c>
      <c r="C3335" s="4" t="str" cm="1">
        <f t="array" ref="C3335">IFERROR(INDEX(EmployeeData[Full Name], ROW() - 37), "")</f>
        <v/>
      </c>
      <c r="D3335" s="4" t="str" cm="1">
        <f t="array" ref="D3335">IFERROR(INDEX(EmployeeData[Department], ROW() - 37), "")</f>
        <v/>
      </c>
      <c r="E3335" s="4" t="str" cm="1">
        <f t="array" ref="E3335">IFERROR(INDEX(EmployeeData[Gender], ROW() - 37), "")</f>
        <v/>
      </c>
      <c r="F3335" s="4" t="str" cm="1">
        <f t="array" ref="F3335">IFERROR(INDEX(EmployeeData[Age], ROW() - 37), "")</f>
        <v/>
      </c>
      <c r="G3335" s="6" t="str" cm="1">
        <f t="array" ref="G3335">IFERROR(INDEX(EmployeeData[Join Date], ROW() - 37), "")</f>
        <v/>
      </c>
      <c r="H3335" s="6" t="str" cm="1">
        <f t="array" ref="H3335">IFERROR(IF(INDEX(EmployeeData[Exit Date], ROW() - 37)=0, "",INDEX(EmployeeData[Exit Date], ROW() - 37)),"")</f>
        <v/>
      </c>
      <c r="I3335" s="4" t="str" cm="1">
        <f t="array" ref="I3335">IFERROR(IF(INDEX(EmployeeData[Exit Reason], ROW() - 37)=0, "",INDEX(EmployeeData[Exit Reason], ROW() - 37)),"")</f>
        <v/>
      </c>
      <c r="J3335" s="4" t="str" cm="1">
        <f t="array" ref="J3335">IFERROR(INDEX(EmployeeData[Status], ROW() - 37), "")</f>
        <v/>
      </c>
    </row>
    <row r="3336" spans="2:10" ht="19.95" customHeight="1" x14ac:dyDescent="0.3">
      <c r="B3336" s="4" t="str" cm="1">
        <f t="array" ref="B3336">IFERROR(INDEX(EmployeeData[Employee ID], ROW() - 37), "")</f>
        <v/>
      </c>
      <c r="C3336" s="4" t="str" cm="1">
        <f t="array" ref="C3336">IFERROR(INDEX(EmployeeData[Full Name], ROW() - 37), "")</f>
        <v/>
      </c>
      <c r="D3336" s="4" t="str" cm="1">
        <f t="array" ref="D3336">IFERROR(INDEX(EmployeeData[Department], ROW() - 37), "")</f>
        <v/>
      </c>
      <c r="E3336" s="4" t="str" cm="1">
        <f t="array" ref="E3336">IFERROR(INDEX(EmployeeData[Gender], ROW() - 37), "")</f>
        <v/>
      </c>
      <c r="F3336" s="4" t="str" cm="1">
        <f t="array" ref="F3336">IFERROR(INDEX(EmployeeData[Age], ROW() - 37), "")</f>
        <v/>
      </c>
      <c r="G3336" s="6" t="str" cm="1">
        <f t="array" ref="G3336">IFERROR(INDEX(EmployeeData[Join Date], ROW() - 37), "")</f>
        <v/>
      </c>
      <c r="H3336" s="6" t="str" cm="1">
        <f t="array" ref="H3336">IFERROR(IF(INDEX(EmployeeData[Exit Date], ROW() - 37)=0, "",INDEX(EmployeeData[Exit Date], ROW() - 37)),"")</f>
        <v/>
      </c>
      <c r="I3336" s="4" t="str" cm="1">
        <f t="array" ref="I3336">IFERROR(IF(INDEX(EmployeeData[Exit Reason], ROW() - 37)=0, "",INDEX(EmployeeData[Exit Reason], ROW() - 37)),"")</f>
        <v/>
      </c>
      <c r="J3336" s="4" t="str" cm="1">
        <f t="array" ref="J3336">IFERROR(INDEX(EmployeeData[Status], ROW() - 37), "")</f>
        <v/>
      </c>
    </row>
    <row r="3337" spans="2:10" ht="19.95" customHeight="1" x14ac:dyDescent="0.3">
      <c r="B3337" s="4" t="str" cm="1">
        <f t="array" ref="B3337">IFERROR(INDEX(EmployeeData[Employee ID], ROW() - 37), "")</f>
        <v/>
      </c>
      <c r="C3337" s="4" t="str" cm="1">
        <f t="array" ref="C3337">IFERROR(INDEX(EmployeeData[Full Name], ROW() - 37), "")</f>
        <v/>
      </c>
      <c r="D3337" s="4" t="str" cm="1">
        <f t="array" ref="D3337">IFERROR(INDEX(EmployeeData[Department], ROW() - 37), "")</f>
        <v/>
      </c>
      <c r="E3337" s="4" t="str" cm="1">
        <f t="array" ref="E3337">IFERROR(INDEX(EmployeeData[Gender], ROW() - 37), "")</f>
        <v/>
      </c>
      <c r="F3337" s="4" t="str" cm="1">
        <f t="array" ref="F3337">IFERROR(INDEX(EmployeeData[Age], ROW() - 37), "")</f>
        <v/>
      </c>
      <c r="G3337" s="6" t="str" cm="1">
        <f t="array" ref="G3337">IFERROR(INDEX(EmployeeData[Join Date], ROW() - 37), "")</f>
        <v/>
      </c>
      <c r="H3337" s="6" t="str" cm="1">
        <f t="array" ref="H3337">IFERROR(IF(INDEX(EmployeeData[Exit Date], ROW() - 37)=0, "",INDEX(EmployeeData[Exit Date], ROW() - 37)),"")</f>
        <v/>
      </c>
      <c r="I3337" s="4" t="str" cm="1">
        <f t="array" ref="I3337">IFERROR(IF(INDEX(EmployeeData[Exit Reason], ROW() - 37)=0, "",INDEX(EmployeeData[Exit Reason], ROW() - 37)),"")</f>
        <v/>
      </c>
      <c r="J3337" s="4" t="str" cm="1">
        <f t="array" ref="J3337">IFERROR(INDEX(EmployeeData[Status], ROW() - 37), "")</f>
        <v/>
      </c>
    </row>
    <row r="3338" spans="2:10" ht="19.95" customHeight="1" x14ac:dyDescent="0.3">
      <c r="B3338" s="4" t="str" cm="1">
        <f t="array" ref="B3338">IFERROR(INDEX(EmployeeData[Employee ID], ROW() - 37), "")</f>
        <v/>
      </c>
      <c r="C3338" s="4" t="str" cm="1">
        <f t="array" ref="C3338">IFERROR(INDEX(EmployeeData[Full Name], ROW() - 37), "")</f>
        <v/>
      </c>
      <c r="D3338" s="4" t="str" cm="1">
        <f t="array" ref="D3338">IFERROR(INDEX(EmployeeData[Department], ROW() - 37), "")</f>
        <v/>
      </c>
      <c r="E3338" s="4" t="str" cm="1">
        <f t="array" ref="E3338">IFERROR(INDEX(EmployeeData[Gender], ROW() - 37), "")</f>
        <v/>
      </c>
      <c r="F3338" s="4" t="str" cm="1">
        <f t="array" ref="F3338">IFERROR(INDEX(EmployeeData[Age], ROW() - 37), "")</f>
        <v/>
      </c>
      <c r="G3338" s="6" t="str" cm="1">
        <f t="array" ref="G3338">IFERROR(INDEX(EmployeeData[Join Date], ROW() - 37), "")</f>
        <v/>
      </c>
      <c r="H3338" s="6" t="str" cm="1">
        <f t="array" ref="H3338">IFERROR(IF(INDEX(EmployeeData[Exit Date], ROW() - 37)=0, "",INDEX(EmployeeData[Exit Date], ROW() - 37)),"")</f>
        <v/>
      </c>
      <c r="I3338" s="4" t="str" cm="1">
        <f t="array" ref="I3338">IFERROR(IF(INDEX(EmployeeData[Exit Reason], ROW() - 37)=0, "",INDEX(EmployeeData[Exit Reason], ROW() - 37)),"")</f>
        <v/>
      </c>
      <c r="J3338" s="4" t="str" cm="1">
        <f t="array" ref="J3338">IFERROR(INDEX(EmployeeData[Status], ROW() - 37), "")</f>
        <v/>
      </c>
    </row>
    <row r="3339" spans="2:10" ht="19.95" customHeight="1" x14ac:dyDescent="0.3">
      <c r="B3339" s="4" t="str" cm="1">
        <f t="array" ref="B3339">IFERROR(INDEX(EmployeeData[Employee ID], ROW() - 37), "")</f>
        <v/>
      </c>
      <c r="C3339" s="4" t="str" cm="1">
        <f t="array" ref="C3339">IFERROR(INDEX(EmployeeData[Full Name], ROW() - 37), "")</f>
        <v/>
      </c>
      <c r="D3339" s="4" t="str" cm="1">
        <f t="array" ref="D3339">IFERROR(INDEX(EmployeeData[Department], ROW() - 37), "")</f>
        <v/>
      </c>
      <c r="E3339" s="4" t="str" cm="1">
        <f t="array" ref="E3339">IFERROR(INDEX(EmployeeData[Gender], ROW() - 37), "")</f>
        <v/>
      </c>
      <c r="F3339" s="4" t="str" cm="1">
        <f t="array" ref="F3339">IFERROR(INDEX(EmployeeData[Age], ROW() - 37), "")</f>
        <v/>
      </c>
      <c r="G3339" s="6" t="str" cm="1">
        <f t="array" ref="G3339">IFERROR(INDEX(EmployeeData[Join Date], ROW() - 37), "")</f>
        <v/>
      </c>
      <c r="H3339" s="6" t="str" cm="1">
        <f t="array" ref="H3339">IFERROR(IF(INDEX(EmployeeData[Exit Date], ROW() - 37)=0, "",INDEX(EmployeeData[Exit Date], ROW() - 37)),"")</f>
        <v/>
      </c>
      <c r="I3339" s="4" t="str" cm="1">
        <f t="array" ref="I3339">IFERROR(IF(INDEX(EmployeeData[Exit Reason], ROW() - 37)=0, "",INDEX(EmployeeData[Exit Reason], ROW() - 37)),"")</f>
        <v/>
      </c>
      <c r="J3339" s="4" t="str" cm="1">
        <f t="array" ref="J3339">IFERROR(INDEX(EmployeeData[Status], ROW() - 37), "")</f>
        <v/>
      </c>
    </row>
    <row r="3340" spans="2:10" ht="19.95" customHeight="1" x14ac:dyDescent="0.3">
      <c r="B3340" s="4" t="str" cm="1">
        <f t="array" ref="B3340">IFERROR(INDEX(EmployeeData[Employee ID], ROW() - 37), "")</f>
        <v/>
      </c>
      <c r="C3340" s="4" t="str" cm="1">
        <f t="array" ref="C3340">IFERROR(INDEX(EmployeeData[Full Name], ROW() - 37), "")</f>
        <v/>
      </c>
      <c r="D3340" s="4" t="str" cm="1">
        <f t="array" ref="D3340">IFERROR(INDEX(EmployeeData[Department], ROW() - 37), "")</f>
        <v/>
      </c>
      <c r="E3340" s="4" t="str" cm="1">
        <f t="array" ref="E3340">IFERROR(INDEX(EmployeeData[Gender], ROW() - 37), "")</f>
        <v/>
      </c>
      <c r="F3340" s="4" t="str" cm="1">
        <f t="array" ref="F3340">IFERROR(INDEX(EmployeeData[Age], ROW() - 37), "")</f>
        <v/>
      </c>
      <c r="G3340" s="6" t="str" cm="1">
        <f t="array" ref="G3340">IFERROR(INDEX(EmployeeData[Join Date], ROW() - 37), "")</f>
        <v/>
      </c>
      <c r="H3340" s="6" t="str" cm="1">
        <f t="array" ref="H3340">IFERROR(IF(INDEX(EmployeeData[Exit Date], ROW() - 37)=0, "",INDEX(EmployeeData[Exit Date], ROW() - 37)),"")</f>
        <v/>
      </c>
      <c r="I3340" s="4" t="str" cm="1">
        <f t="array" ref="I3340">IFERROR(IF(INDEX(EmployeeData[Exit Reason], ROW() - 37)=0, "",INDEX(EmployeeData[Exit Reason], ROW() - 37)),"")</f>
        <v/>
      </c>
      <c r="J3340" s="4" t="str" cm="1">
        <f t="array" ref="J3340">IFERROR(INDEX(EmployeeData[Status], ROW() - 37), "")</f>
        <v/>
      </c>
    </row>
    <row r="3341" spans="2:10" ht="19.95" customHeight="1" x14ac:dyDescent="0.3">
      <c r="B3341" s="4" t="str" cm="1">
        <f t="array" ref="B3341">IFERROR(INDEX(EmployeeData[Employee ID], ROW() - 37), "")</f>
        <v/>
      </c>
      <c r="C3341" s="4" t="str" cm="1">
        <f t="array" ref="C3341">IFERROR(INDEX(EmployeeData[Full Name], ROW() - 37), "")</f>
        <v/>
      </c>
      <c r="D3341" s="4" t="str" cm="1">
        <f t="array" ref="D3341">IFERROR(INDEX(EmployeeData[Department], ROW() - 37), "")</f>
        <v/>
      </c>
      <c r="E3341" s="4" t="str" cm="1">
        <f t="array" ref="E3341">IFERROR(INDEX(EmployeeData[Gender], ROW() - 37), "")</f>
        <v/>
      </c>
      <c r="F3341" s="4" t="str" cm="1">
        <f t="array" ref="F3341">IFERROR(INDEX(EmployeeData[Age], ROW() - 37), "")</f>
        <v/>
      </c>
      <c r="G3341" s="6" t="str" cm="1">
        <f t="array" ref="G3341">IFERROR(INDEX(EmployeeData[Join Date], ROW() - 37), "")</f>
        <v/>
      </c>
      <c r="H3341" s="6" t="str" cm="1">
        <f t="array" ref="H3341">IFERROR(IF(INDEX(EmployeeData[Exit Date], ROW() - 37)=0, "",INDEX(EmployeeData[Exit Date], ROW() - 37)),"")</f>
        <v/>
      </c>
      <c r="I3341" s="4" t="str" cm="1">
        <f t="array" ref="I3341">IFERROR(IF(INDEX(EmployeeData[Exit Reason], ROW() - 37)=0, "",INDEX(EmployeeData[Exit Reason], ROW() - 37)),"")</f>
        <v/>
      </c>
      <c r="J3341" s="4" t="str" cm="1">
        <f t="array" ref="J3341">IFERROR(INDEX(EmployeeData[Status], ROW() - 37), "")</f>
        <v/>
      </c>
    </row>
    <row r="3342" spans="2:10" ht="19.95" customHeight="1" x14ac:dyDescent="0.3">
      <c r="B3342" s="4" t="str" cm="1">
        <f t="array" ref="B3342">IFERROR(INDEX(EmployeeData[Employee ID], ROW() - 37), "")</f>
        <v/>
      </c>
      <c r="C3342" s="4" t="str" cm="1">
        <f t="array" ref="C3342">IFERROR(INDEX(EmployeeData[Full Name], ROW() - 37), "")</f>
        <v/>
      </c>
      <c r="D3342" s="4" t="str" cm="1">
        <f t="array" ref="D3342">IFERROR(INDEX(EmployeeData[Department], ROW() - 37), "")</f>
        <v/>
      </c>
      <c r="E3342" s="4" t="str" cm="1">
        <f t="array" ref="E3342">IFERROR(INDEX(EmployeeData[Gender], ROW() - 37), "")</f>
        <v/>
      </c>
      <c r="F3342" s="4" t="str" cm="1">
        <f t="array" ref="F3342">IFERROR(INDEX(EmployeeData[Age], ROW() - 37), "")</f>
        <v/>
      </c>
      <c r="G3342" s="6" t="str" cm="1">
        <f t="array" ref="G3342">IFERROR(INDEX(EmployeeData[Join Date], ROW() - 37), "")</f>
        <v/>
      </c>
      <c r="H3342" s="6" t="str" cm="1">
        <f t="array" ref="H3342">IFERROR(IF(INDEX(EmployeeData[Exit Date], ROW() - 37)=0, "",INDEX(EmployeeData[Exit Date], ROW() - 37)),"")</f>
        <v/>
      </c>
      <c r="I3342" s="4" t="str" cm="1">
        <f t="array" ref="I3342">IFERROR(IF(INDEX(EmployeeData[Exit Reason], ROW() - 37)=0, "",INDEX(EmployeeData[Exit Reason], ROW() - 37)),"")</f>
        <v/>
      </c>
      <c r="J3342" s="4" t="str" cm="1">
        <f t="array" ref="J3342">IFERROR(INDEX(EmployeeData[Status], ROW() - 37), "")</f>
        <v/>
      </c>
    </row>
    <row r="3343" spans="2:10" ht="19.95" customHeight="1" x14ac:dyDescent="0.3">
      <c r="B3343" s="4" t="str" cm="1">
        <f t="array" ref="B3343">IFERROR(INDEX(EmployeeData[Employee ID], ROW() - 37), "")</f>
        <v/>
      </c>
      <c r="C3343" s="4" t="str" cm="1">
        <f t="array" ref="C3343">IFERROR(INDEX(EmployeeData[Full Name], ROW() - 37), "")</f>
        <v/>
      </c>
      <c r="D3343" s="4" t="str" cm="1">
        <f t="array" ref="D3343">IFERROR(INDEX(EmployeeData[Department], ROW() - 37), "")</f>
        <v/>
      </c>
      <c r="E3343" s="4" t="str" cm="1">
        <f t="array" ref="E3343">IFERROR(INDEX(EmployeeData[Gender], ROW() - 37), "")</f>
        <v/>
      </c>
      <c r="F3343" s="4" t="str" cm="1">
        <f t="array" ref="F3343">IFERROR(INDEX(EmployeeData[Age], ROW() - 37), "")</f>
        <v/>
      </c>
      <c r="G3343" s="6" t="str" cm="1">
        <f t="array" ref="G3343">IFERROR(INDEX(EmployeeData[Join Date], ROW() - 37), "")</f>
        <v/>
      </c>
      <c r="H3343" s="6" t="str" cm="1">
        <f t="array" ref="H3343">IFERROR(IF(INDEX(EmployeeData[Exit Date], ROW() - 37)=0, "",INDEX(EmployeeData[Exit Date], ROW() - 37)),"")</f>
        <v/>
      </c>
      <c r="I3343" s="4" t="str" cm="1">
        <f t="array" ref="I3343">IFERROR(IF(INDEX(EmployeeData[Exit Reason], ROW() - 37)=0, "",INDEX(EmployeeData[Exit Reason], ROW() - 37)),"")</f>
        <v/>
      </c>
      <c r="J3343" s="4" t="str" cm="1">
        <f t="array" ref="J3343">IFERROR(INDEX(EmployeeData[Status], ROW() - 37), "")</f>
        <v/>
      </c>
    </row>
    <row r="3344" spans="2:10" ht="19.95" customHeight="1" x14ac:dyDescent="0.3">
      <c r="B3344" s="4" t="str" cm="1">
        <f t="array" ref="B3344">IFERROR(INDEX(EmployeeData[Employee ID], ROW() - 37), "")</f>
        <v/>
      </c>
      <c r="C3344" s="4" t="str" cm="1">
        <f t="array" ref="C3344">IFERROR(INDEX(EmployeeData[Full Name], ROW() - 37), "")</f>
        <v/>
      </c>
      <c r="D3344" s="4" t="str" cm="1">
        <f t="array" ref="D3344">IFERROR(INDEX(EmployeeData[Department], ROW() - 37), "")</f>
        <v/>
      </c>
      <c r="E3344" s="4" t="str" cm="1">
        <f t="array" ref="E3344">IFERROR(INDEX(EmployeeData[Gender], ROW() - 37), "")</f>
        <v/>
      </c>
      <c r="F3344" s="4" t="str" cm="1">
        <f t="array" ref="F3344">IFERROR(INDEX(EmployeeData[Age], ROW() - 37), "")</f>
        <v/>
      </c>
      <c r="G3344" s="6" t="str" cm="1">
        <f t="array" ref="G3344">IFERROR(INDEX(EmployeeData[Join Date], ROW() - 37), "")</f>
        <v/>
      </c>
      <c r="H3344" s="6" t="str" cm="1">
        <f t="array" ref="H3344">IFERROR(IF(INDEX(EmployeeData[Exit Date], ROW() - 37)=0, "",INDEX(EmployeeData[Exit Date], ROW() - 37)),"")</f>
        <v/>
      </c>
      <c r="I3344" s="4" t="str" cm="1">
        <f t="array" ref="I3344">IFERROR(IF(INDEX(EmployeeData[Exit Reason], ROW() - 37)=0, "",INDEX(EmployeeData[Exit Reason], ROW() - 37)),"")</f>
        <v/>
      </c>
      <c r="J3344" s="4" t="str" cm="1">
        <f t="array" ref="J3344">IFERROR(INDEX(EmployeeData[Status], ROW() - 37), "")</f>
        <v/>
      </c>
    </row>
    <row r="3345" spans="2:10" ht="19.95" customHeight="1" x14ac:dyDescent="0.3">
      <c r="B3345" s="4" t="str" cm="1">
        <f t="array" ref="B3345">IFERROR(INDEX(EmployeeData[Employee ID], ROW() - 37), "")</f>
        <v/>
      </c>
      <c r="C3345" s="4" t="str" cm="1">
        <f t="array" ref="C3345">IFERROR(INDEX(EmployeeData[Full Name], ROW() - 37), "")</f>
        <v/>
      </c>
      <c r="D3345" s="4" t="str" cm="1">
        <f t="array" ref="D3345">IFERROR(INDEX(EmployeeData[Department], ROW() - 37), "")</f>
        <v/>
      </c>
      <c r="E3345" s="4" t="str" cm="1">
        <f t="array" ref="E3345">IFERROR(INDEX(EmployeeData[Gender], ROW() - 37), "")</f>
        <v/>
      </c>
      <c r="F3345" s="4" t="str" cm="1">
        <f t="array" ref="F3345">IFERROR(INDEX(EmployeeData[Age], ROW() - 37), "")</f>
        <v/>
      </c>
      <c r="G3345" s="6" t="str" cm="1">
        <f t="array" ref="G3345">IFERROR(INDEX(EmployeeData[Join Date], ROW() - 37), "")</f>
        <v/>
      </c>
      <c r="H3345" s="6" t="str" cm="1">
        <f t="array" ref="H3345">IFERROR(IF(INDEX(EmployeeData[Exit Date], ROW() - 37)=0, "",INDEX(EmployeeData[Exit Date], ROW() - 37)),"")</f>
        <v/>
      </c>
      <c r="I3345" s="4" t="str" cm="1">
        <f t="array" ref="I3345">IFERROR(IF(INDEX(EmployeeData[Exit Reason], ROW() - 37)=0, "",INDEX(EmployeeData[Exit Reason], ROW() - 37)),"")</f>
        <v/>
      </c>
      <c r="J3345" s="4" t="str" cm="1">
        <f t="array" ref="J3345">IFERROR(INDEX(EmployeeData[Status], ROW() - 37), "")</f>
        <v/>
      </c>
    </row>
    <row r="3346" spans="2:10" ht="19.95" customHeight="1" x14ac:dyDescent="0.3">
      <c r="B3346" s="4" t="str" cm="1">
        <f t="array" ref="B3346">IFERROR(INDEX(EmployeeData[Employee ID], ROW() - 37), "")</f>
        <v/>
      </c>
      <c r="C3346" s="4" t="str" cm="1">
        <f t="array" ref="C3346">IFERROR(INDEX(EmployeeData[Full Name], ROW() - 37), "")</f>
        <v/>
      </c>
      <c r="D3346" s="4" t="str" cm="1">
        <f t="array" ref="D3346">IFERROR(INDEX(EmployeeData[Department], ROW() - 37), "")</f>
        <v/>
      </c>
      <c r="E3346" s="4" t="str" cm="1">
        <f t="array" ref="E3346">IFERROR(INDEX(EmployeeData[Gender], ROW() - 37), "")</f>
        <v/>
      </c>
      <c r="F3346" s="4" t="str" cm="1">
        <f t="array" ref="F3346">IFERROR(INDEX(EmployeeData[Age], ROW() - 37), "")</f>
        <v/>
      </c>
      <c r="G3346" s="6" t="str" cm="1">
        <f t="array" ref="G3346">IFERROR(INDEX(EmployeeData[Join Date], ROW() - 37), "")</f>
        <v/>
      </c>
      <c r="H3346" s="6" t="str" cm="1">
        <f t="array" ref="H3346">IFERROR(IF(INDEX(EmployeeData[Exit Date], ROW() - 37)=0, "",INDEX(EmployeeData[Exit Date], ROW() - 37)),"")</f>
        <v/>
      </c>
      <c r="I3346" s="4" t="str" cm="1">
        <f t="array" ref="I3346">IFERROR(IF(INDEX(EmployeeData[Exit Reason], ROW() - 37)=0, "",INDEX(EmployeeData[Exit Reason], ROW() - 37)),"")</f>
        <v/>
      </c>
      <c r="J3346" s="4" t="str" cm="1">
        <f t="array" ref="J3346">IFERROR(INDEX(EmployeeData[Status], ROW() - 37), "")</f>
        <v/>
      </c>
    </row>
    <row r="3347" spans="2:10" ht="19.95" customHeight="1" x14ac:dyDescent="0.3">
      <c r="B3347" s="4" t="str" cm="1">
        <f t="array" ref="B3347">IFERROR(INDEX(EmployeeData[Employee ID], ROW() - 37), "")</f>
        <v/>
      </c>
      <c r="C3347" s="4" t="str" cm="1">
        <f t="array" ref="C3347">IFERROR(INDEX(EmployeeData[Full Name], ROW() - 37), "")</f>
        <v/>
      </c>
      <c r="D3347" s="4" t="str" cm="1">
        <f t="array" ref="D3347">IFERROR(INDEX(EmployeeData[Department], ROW() - 37), "")</f>
        <v/>
      </c>
      <c r="E3347" s="4" t="str" cm="1">
        <f t="array" ref="E3347">IFERROR(INDEX(EmployeeData[Gender], ROW() - 37), "")</f>
        <v/>
      </c>
      <c r="F3347" s="4" t="str" cm="1">
        <f t="array" ref="F3347">IFERROR(INDEX(EmployeeData[Age], ROW() - 37), "")</f>
        <v/>
      </c>
      <c r="G3347" s="6" t="str" cm="1">
        <f t="array" ref="G3347">IFERROR(INDEX(EmployeeData[Join Date], ROW() - 37), "")</f>
        <v/>
      </c>
      <c r="H3347" s="6" t="str" cm="1">
        <f t="array" ref="H3347">IFERROR(IF(INDEX(EmployeeData[Exit Date], ROW() - 37)=0, "",INDEX(EmployeeData[Exit Date], ROW() - 37)),"")</f>
        <v/>
      </c>
      <c r="I3347" s="4" t="str" cm="1">
        <f t="array" ref="I3347">IFERROR(IF(INDEX(EmployeeData[Exit Reason], ROW() - 37)=0, "",INDEX(EmployeeData[Exit Reason], ROW() - 37)),"")</f>
        <v/>
      </c>
      <c r="J3347" s="4" t="str" cm="1">
        <f t="array" ref="J3347">IFERROR(INDEX(EmployeeData[Status], ROW() - 37), "")</f>
        <v/>
      </c>
    </row>
    <row r="3348" spans="2:10" ht="19.95" customHeight="1" x14ac:dyDescent="0.3">
      <c r="B3348" s="4" t="str" cm="1">
        <f t="array" ref="B3348">IFERROR(INDEX(EmployeeData[Employee ID], ROW() - 37), "")</f>
        <v/>
      </c>
      <c r="C3348" s="4" t="str" cm="1">
        <f t="array" ref="C3348">IFERROR(INDEX(EmployeeData[Full Name], ROW() - 37), "")</f>
        <v/>
      </c>
      <c r="D3348" s="4" t="str" cm="1">
        <f t="array" ref="D3348">IFERROR(INDEX(EmployeeData[Department], ROW() - 37), "")</f>
        <v/>
      </c>
      <c r="E3348" s="4" t="str" cm="1">
        <f t="array" ref="E3348">IFERROR(INDEX(EmployeeData[Gender], ROW() - 37), "")</f>
        <v/>
      </c>
      <c r="F3348" s="4" t="str" cm="1">
        <f t="array" ref="F3348">IFERROR(INDEX(EmployeeData[Age], ROW() - 37), "")</f>
        <v/>
      </c>
      <c r="G3348" s="6" t="str" cm="1">
        <f t="array" ref="G3348">IFERROR(INDEX(EmployeeData[Join Date], ROW() - 37), "")</f>
        <v/>
      </c>
      <c r="H3348" s="6" t="str" cm="1">
        <f t="array" ref="H3348">IFERROR(IF(INDEX(EmployeeData[Exit Date], ROW() - 37)=0, "",INDEX(EmployeeData[Exit Date], ROW() - 37)),"")</f>
        <v/>
      </c>
      <c r="I3348" s="4" t="str" cm="1">
        <f t="array" ref="I3348">IFERROR(IF(INDEX(EmployeeData[Exit Reason], ROW() - 37)=0, "",INDEX(EmployeeData[Exit Reason], ROW() - 37)),"")</f>
        <v/>
      </c>
      <c r="J3348" s="4" t="str" cm="1">
        <f t="array" ref="J3348">IFERROR(INDEX(EmployeeData[Status], ROW() - 37), "")</f>
        <v/>
      </c>
    </row>
    <row r="3349" spans="2:10" ht="19.95" customHeight="1" x14ac:dyDescent="0.3">
      <c r="B3349" s="4" t="str" cm="1">
        <f t="array" ref="B3349">IFERROR(INDEX(EmployeeData[Employee ID], ROW() - 37), "")</f>
        <v/>
      </c>
      <c r="C3349" s="4" t="str" cm="1">
        <f t="array" ref="C3349">IFERROR(INDEX(EmployeeData[Full Name], ROW() - 37), "")</f>
        <v/>
      </c>
      <c r="D3349" s="4" t="str" cm="1">
        <f t="array" ref="D3349">IFERROR(INDEX(EmployeeData[Department], ROW() - 37), "")</f>
        <v/>
      </c>
      <c r="E3349" s="4" t="str" cm="1">
        <f t="array" ref="E3349">IFERROR(INDEX(EmployeeData[Gender], ROW() - 37), "")</f>
        <v/>
      </c>
      <c r="F3349" s="4" t="str" cm="1">
        <f t="array" ref="F3349">IFERROR(INDEX(EmployeeData[Age], ROW() - 37), "")</f>
        <v/>
      </c>
      <c r="G3349" s="6" t="str" cm="1">
        <f t="array" ref="G3349">IFERROR(INDEX(EmployeeData[Join Date], ROW() - 37), "")</f>
        <v/>
      </c>
      <c r="H3349" s="6" t="str" cm="1">
        <f t="array" ref="H3349">IFERROR(IF(INDEX(EmployeeData[Exit Date], ROW() - 37)=0, "",INDEX(EmployeeData[Exit Date], ROW() - 37)),"")</f>
        <v/>
      </c>
      <c r="I3349" s="4" t="str" cm="1">
        <f t="array" ref="I3349">IFERROR(IF(INDEX(EmployeeData[Exit Reason], ROW() - 37)=0, "",INDEX(EmployeeData[Exit Reason], ROW() - 37)),"")</f>
        <v/>
      </c>
      <c r="J3349" s="4" t="str" cm="1">
        <f t="array" ref="J3349">IFERROR(INDEX(EmployeeData[Status], ROW() - 37), "")</f>
        <v/>
      </c>
    </row>
    <row r="3350" spans="2:10" ht="19.95" customHeight="1" x14ac:dyDescent="0.3">
      <c r="B3350" s="4" t="str" cm="1">
        <f t="array" ref="B3350">IFERROR(INDEX(EmployeeData[Employee ID], ROW() - 37), "")</f>
        <v/>
      </c>
      <c r="C3350" s="4" t="str" cm="1">
        <f t="array" ref="C3350">IFERROR(INDEX(EmployeeData[Full Name], ROW() - 37), "")</f>
        <v/>
      </c>
      <c r="D3350" s="4" t="str" cm="1">
        <f t="array" ref="D3350">IFERROR(INDEX(EmployeeData[Department], ROW() - 37), "")</f>
        <v/>
      </c>
      <c r="E3350" s="4" t="str" cm="1">
        <f t="array" ref="E3350">IFERROR(INDEX(EmployeeData[Gender], ROW() - 37), "")</f>
        <v/>
      </c>
      <c r="F3350" s="4" t="str" cm="1">
        <f t="array" ref="F3350">IFERROR(INDEX(EmployeeData[Age], ROW() - 37), "")</f>
        <v/>
      </c>
      <c r="G3350" s="6" t="str" cm="1">
        <f t="array" ref="G3350">IFERROR(INDEX(EmployeeData[Join Date], ROW() - 37), "")</f>
        <v/>
      </c>
      <c r="H3350" s="6" t="str" cm="1">
        <f t="array" ref="H3350">IFERROR(IF(INDEX(EmployeeData[Exit Date], ROW() - 37)=0, "",INDEX(EmployeeData[Exit Date], ROW() - 37)),"")</f>
        <v/>
      </c>
      <c r="I3350" s="4" t="str" cm="1">
        <f t="array" ref="I3350">IFERROR(IF(INDEX(EmployeeData[Exit Reason], ROW() - 37)=0, "",INDEX(EmployeeData[Exit Reason], ROW() - 37)),"")</f>
        <v/>
      </c>
      <c r="J3350" s="4" t="str" cm="1">
        <f t="array" ref="J3350">IFERROR(INDEX(EmployeeData[Status], ROW() - 37), "")</f>
        <v/>
      </c>
    </row>
    <row r="3351" spans="2:10" ht="19.95" customHeight="1" x14ac:dyDescent="0.3">
      <c r="B3351" s="4" t="str" cm="1">
        <f t="array" ref="B3351">IFERROR(INDEX(EmployeeData[Employee ID], ROW() - 37), "")</f>
        <v/>
      </c>
      <c r="C3351" s="4" t="str" cm="1">
        <f t="array" ref="C3351">IFERROR(INDEX(EmployeeData[Full Name], ROW() - 37), "")</f>
        <v/>
      </c>
      <c r="D3351" s="4" t="str" cm="1">
        <f t="array" ref="D3351">IFERROR(INDEX(EmployeeData[Department], ROW() - 37), "")</f>
        <v/>
      </c>
      <c r="E3351" s="4" t="str" cm="1">
        <f t="array" ref="E3351">IFERROR(INDEX(EmployeeData[Gender], ROW() - 37), "")</f>
        <v/>
      </c>
      <c r="F3351" s="4" t="str" cm="1">
        <f t="array" ref="F3351">IFERROR(INDEX(EmployeeData[Age], ROW() - 37), "")</f>
        <v/>
      </c>
      <c r="G3351" s="6" t="str" cm="1">
        <f t="array" ref="G3351">IFERROR(INDEX(EmployeeData[Join Date], ROW() - 37), "")</f>
        <v/>
      </c>
      <c r="H3351" s="6" t="str" cm="1">
        <f t="array" ref="H3351">IFERROR(IF(INDEX(EmployeeData[Exit Date], ROW() - 37)=0, "",INDEX(EmployeeData[Exit Date], ROW() - 37)),"")</f>
        <v/>
      </c>
      <c r="I3351" s="4" t="str" cm="1">
        <f t="array" ref="I3351">IFERROR(IF(INDEX(EmployeeData[Exit Reason], ROW() - 37)=0, "",INDEX(EmployeeData[Exit Reason], ROW() - 37)),"")</f>
        <v/>
      </c>
      <c r="J3351" s="4" t="str" cm="1">
        <f t="array" ref="J3351">IFERROR(INDEX(EmployeeData[Status], ROW() - 37), "")</f>
        <v/>
      </c>
    </row>
    <row r="3352" spans="2:10" ht="19.95" customHeight="1" x14ac:dyDescent="0.3">
      <c r="B3352" s="4" t="str" cm="1">
        <f t="array" ref="B3352">IFERROR(INDEX(EmployeeData[Employee ID], ROW() - 37), "")</f>
        <v/>
      </c>
      <c r="C3352" s="4" t="str" cm="1">
        <f t="array" ref="C3352">IFERROR(INDEX(EmployeeData[Full Name], ROW() - 37), "")</f>
        <v/>
      </c>
      <c r="D3352" s="4" t="str" cm="1">
        <f t="array" ref="D3352">IFERROR(INDEX(EmployeeData[Department], ROW() - 37), "")</f>
        <v/>
      </c>
      <c r="E3352" s="4" t="str" cm="1">
        <f t="array" ref="E3352">IFERROR(INDEX(EmployeeData[Gender], ROW() - 37), "")</f>
        <v/>
      </c>
      <c r="F3352" s="4" t="str" cm="1">
        <f t="array" ref="F3352">IFERROR(INDEX(EmployeeData[Age], ROW() - 37), "")</f>
        <v/>
      </c>
      <c r="G3352" s="6" t="str" cm="1">
        <f t="array" ref="G3352">IFERROR(INDEX(EmployeeData[Join Date], ROW() - 37), "")</f>
        <v/>
      </c>
      <c r="H3352" s="6" t="str" cm="1">
        <f t="array" ref="H3352">IFERROR(IF(INDEX(EmployeeData[Exit Date], ROW() - 37)=0, "",INDEX(EmployeeData[Exit Date], ROW() - 37)),"")</f>
        <v/>
      </c>
      <c r="I3352" s="4" t="str" cm="1">
        <f t="array" ref="I3352">IFERROR(IF(INDEX(EmployeeData[Exit Reason], ROW() - 37)=0, "",INDEX(EmployeeData[Exit Reason], ROW() - 37)),"")</f>
        <v/>
      </c>
      <c r="J3352" s="4" t="str" cm="1">
        <f t="array" ref="J3352">IFERROR(INDEX(EmployeeData[Status], ROW() - 37), "")</f>
        <v/>
      </c>
    </row>
    <row r="3353" spans="2:10" ht="19.95" customHeight="1" x14ac:dyDescent="0.3">
      <c r="B3353" s="4" t="str" cm="1">
        <f t="array" ref="B3353">IFERROR(INDEX(EmployeeData[Employee ID], ROW() - 37), "")</f>
        <v/>
      </c>
      <c r="C3353" s="4" t="str" cm="1">
        <f t="array" ref="C3353">IFERROR(INDEX(EmployeeData[Full Name], ROW() - 37), "")</f>
        <v/>
      </c>
      <c r="D3353" s="4" t="str" cm="1">
        <f t="array" ref="D3353">IFERROR(INDEX(EmployeeData[Department], ROW() - 37), "")</f>
        <v/>
      </c>
      <c r="E3353" s="4" t="str" cm="1">
        <f t="array" ref="E3353">IFERROR(INDEX(EmployeeData[Gender], ROW() - 37), "")</f>
        <v/>
      </c>
      <c r="F3353" s="4" t="str" cm="1">
        <f t="array" ref="F3353">IFERROR(INDEX(EmployeeData[Age], ROW() - 37), "")</f>
        <v/>
      </c>
      <c r="G3353" s="6" t="str" cm="1">
        <f t="array" ref="G3353">IFERROR(INDEX(EmployeeData[Join Date], ROW() - 37), "")</f>
        <v/>
      </c>
      <c r="H3353" s="6" t="str" cm="1">
        <f t="array" ref="H3353">IFERROR(IF(INDEX(EmployeeData[Exit Date], ROW() - 37)=0, "",INDEX(EmployeeData[Exit Date], ROW() - 37)),"")</f>
        <v/>
      </c>
      <c r="I3353" s="4" t="str" cm="1">
        <f t="array" ref="I3353">IFERROR(IF(INDEX(EmployeeData[Exit Reason], ROW() - 37)=0, "",INDEX(EmployeeData[Exit Reason], ROW() - 37)),"")</f>
        <v/>
      </c>
      <c r="J3353" s="4" t="str" cm="1">
        <f t="array" ref="J3353">IFERROR(INDEX(EmployeeData[Status], ROW() - 37), "")</f>
        <v/>
      </c>
    </row>
    <row r="3354" spans="2:10" ht="19.95" customHeight="1" x14ac:dyDescent="0.3">
      <c r="B3354" s="4" t="str" cm="1">
        <f t="array" ref="B3354">IFERROR(INDEX(EmployeeData[Employee ID], ROW() - 37), "")</f>
        <v/>
      </c>
      <c r="C3354" s="4" t="str" cm="1">
        <f t="array" ref="C3354">IFERROR(INDEX(EmployeeData[Full Name], ROW() - 37), "")</f>
        <v/>
      </c>
      <c r="D3354" s="4" t="str" cm="1">
        <f t="array" ref="D3354">IFERROR(INDEX(EmployeeData[Department], ROW() - 37), "")</f>
        <v/>
      </c>
      <c r="E3354" s="4" t="str" cm="1">
        <f t="array" ref="E3354">IFERROR(INDEX(EmployeeData[Gender], ROW() - 37), "")</f>
        <v/>
      </c>
      <c r="F3354" s="4" t="str" cm="1">
        <f t="array" ref="F3354">IFERROR(INDEX(EmployeeData[Age], ROW() - 37), "")</f>
        <v/>
      </c>
      <c r="G3354" s="6" t="str" cm="1">
        <f t="array" ref="G3354">IFERROR(INDEX(EmployeeData[Join Date], ROW() - 37), "")</f>
        <v/>
      </c>
      <c r="H3354" s="6" t="str" cm="1">
        <f t="array" ref="H3354">IFERROR(IF(INDEX(EmployeeData[Exit Date], ROW() - 37)=0, "",INDEX(EmployeeData[Exit Date], ROW() - 37)),"")</f>
        <v/>
      </c>
      <c r="I3354" s="4" t="str" cm="1">
        <f t="array" ref="I3354">IFERROR(IF(INDEX(EmployeeData[Exit Reason], ROW() - 37)=0, "",INDEX(EmployeeData[Exit Reason], ROW() - 37)),"")</f>
        <v/>
      </c>
      <c r="J3354" s="4" t="str" cm="1">
        <f t="array" ref="J3354">IFERROR(INDEX(EmployeeData[Status], ROW() - 37), "")</f>
        <v/>
      </c>
    </row>
    <row r="3355" spans="2:10" ht="19.95" customHeight="1" x14ac:dyDescent="0.3">
      <c r="B3355" s="4" t="str" cm="1">
        <f t="array" ref="B3355">IFERROR(INDEX(EmployeeData[Employee ID], ROW() - 37), "")</f>
        <v/>
      </c>
      <c r="C3355" s="4" t="str" cm="1">
        <f t="array" ref="C3355">IFERROR(INDEX(EmployeeData[Full Name], ROW() - 37), "")</f>
        <v/>
      </c>
      <c r="D3355" s="4" t="str" cm="1">
        <f t="array" ref="D3355">IFERROR(INDEX(EmployeeData[Department], ROW() - 37), "")</f>
        <v/>
      </c>
      <c r="E3355" s="4" t="str" cm="1">
        <f t="array" ref="E3355">IFERROR(INDEX(EmployeeData[Gender], ROW() - 37), "")</f>
        <v/>
      </c>
      <c r="F3355" s="4" t="str" cm="1">
        <f t="array" ref="F3355">IFERROR(INDEX(EmployeeData[Age], ROW() - 37), "")</f>
        <v/>
      </c>
      <c r="G3355" s="6" t="str" cm="1">
        <f t="array" ref="G3355">IFERROR(INDEX(EmployeeData[Join Date], ROW() - 37), "")</f>
        <v/>
      </c>
      <c r="H3355" s="6" t="str" cm="1">
        <f t="array" ref="H3355">IFERROR(IF(INDEX(EmployeeData[Exit Date], ROW() - 37)=0, "",INDEX(EmployeeData[Exit Date], ROW() - 37)),"")</f>
        <v/>
      </c>
      <c r="I3355" s="4" t="str" cm="1">
        <f t="array" ref="I3355">IFERROR(IF(INDEX(EmployeeData[Exit Reason], ROW() - 37)=0, "",INDEX(EmployeeData[Exit Reason], ROW() - 37)),"")</f>
        <v/>
      </c>
      <c r="J3355" s="4" t="str" cm="1">
        <f t="array" ref="J3355">IFERROR(INDEX(EmployeeData[Status], ROW() - 37), "")</f>
        <v/>
      </c>
    </row>
    <row r="3356" spans="2:10" ht="19.95" customHeight="1" x14ac:dyDescent="0.3">
      <c r="B3356" s="4" t="str" cm="1">
        <f t="array" ref="B3356">IFERROR(INDEX(EmployeeData[Employee ID], ROW() - 37), "")</f>
        <v/>
      </c>
      <c r="C3356" s="4" t="str" cm="1">
        <f t="array" ref="C3356">IFERROR(INDEX(EmployeeData[Full Name], ROW() - 37), "")</f>
        <v/>
      </c>
      <c r="D3356" s="4" t="str" cm="1">
        <f t="array" ref="D3356">IFERROR(INDEX(EmployeeData[Department], ROW() - 37), "")</f>
        <v/>
      </c>
      <c r="E3356" s="4" t="str" cm="1">
        <f t="array" ref="E3356">IFERROR(INDEX(EmployeeData[Gender], ROW() - 37), "")</f>
        <v/>
      </c>
      <c r="F3356" s="4" t="str" cm="1">
        <f t="array" ref="F3356">IFERROR(INDEX(EmployeeData[Age], ROW() - 37), "")</f>
        <v/>
      </c>
      <c r="G3356" s="6" t="str" cm="1">
        <f t="array" ref="G3356">IFERROR(INDEX(EmployeeData[Join Date], ROW() - 37), "")</f>
        <v/>
      </c>
      <c r="H3356" s="6" t="str" cm="1">
        <f t="array" ref="H3356">IFERROR(IF(INDEX(EmployeeData[Exit Date], ROW() - 37)=0, "",INDEX(EmployeeData[Exit Date], ROW() - 37)),"")</f>
        <v/>
      </c>
      <c r="I3356" s="4" t="str" cm="1">
        <f t="array" ref="I3356">IFERROR(IF(INDEX(EmployeeData[Exit Reason], ROW() - 37)=0, "",INDEX(EmployeeData[Exit Reason], ROW() - 37)),"")</f>
        <v/>
      </c>
      <c r="J3356" s="4" t="str" cm="1">
        <f t="array" ref="J3356">IFERROR(INDEX(EmployeeData[Status], ROW() - 37), "")</f>
        <v/>
      </c>
    </row>
    <row r="3357" spans="2:10" ht="19.95" customHeight="1" x14ac:dyDescent="0.3">
      <c r="B3357" s="4" t="str" cm="1">
        <f t="array" ref="B3357">IFERROR(INDEX(EmployeeData[Employee ID], ROW() - 37), "")</f>
        <v/>
      </c>
      <c r="C3357" s="4" t="str" cm="1">
        <f t="array" ref="C3357">IFERROR(INDEX(EmployeeData[Full Name], ROW() - 37), "")</f>
        <v/>
      </c>
      <c r="D3357" s="4" t="str" cm="1">
        <f t="array" ref="D3357">IFERROR(INDEX(EmployeeData[Department], ROW() - 37), "")</f>
        <v/>
      </c>
      <c r="E3357" s="4" t="str" cm="1">
        <f t="array" ref="E3357">IFERROR(INDEX(EmployeeData[Gender], ROW() - 37), "")</f>
        <v/>
      </c>
      <c r="F3357" s="4" t="str" cm="1">
        <f t="array" ref="F3357">IFERROR(INDEX(EmployeeData[Age], ROW() - 37), "")</f>
        <v/>
      </c>
      <c r="G3357" s="6" t="str" cm="1">
        <f t="array" ref="G3357">IFERROR(INDEX(EmployeeData[Join Date], ROW() - 37), "")</f>
        <v/>
      </c>
      <c r="H3357" s="6" t="str" cm="1">
        <f t="array" ref="H3357">IFERROR(IF(INDEX(EmployeeData[Exit Date], ROW() - 37)=0, "",INDEX(EmployeeData[Exit Date], ROW() - 37)),"")</f>
        <v/>
      </c>
      <c r="I3357" s="4" t="str" cm="1">
        <f t="array" ref="I3357">IFERROR(IF(INDEX(EmployeeData[Exit Reason], ROW() - 37)=0, "",INDEX(EmployeeData[Exit Reason], ROW() - 37)),"")</f>
        <v/>
      </c>
      <c r="J3357" s="4" t="str" cm="1">
        <f t="array" ref="J3357">IFERROR(INDEX(EmployeeData[Status], ROW() - 37), "")</f>
        <v/>
      </c>
    </row>
    <row r="3358" spans="2:10" ht="19.95" customHeight="1" x14ac:dyDescent="0.3">
      <c r="B3358" s="4" t="str" cm="1">
        <f t="array" ref="B3358">IFERROR(INDEX(EmployeeData[Employee ID], ROW() - 37), "")</f>
        <v/>
      </c>
      <c r="C3358" s="4" t="str" cm="1">
        <f t="array" ref="C3358">IFERROR(INDEX(EmployeeData[Full Name], ROW() - 37), "")</f>
        <v/>
      </c>
      <c r="D3358" s="4" t="str" cm="1">
        <f t="array" ref="D3358">IFERROR(INDEX(EmployeeData[Department], ROW() - 37), "")</f>
        <v/>
      </c>
      <c r="E3358" s="4" t="str" cm="1">
        <f t="array" ref="E3358">IFERROR(INDEX(EmployeeData[Gender], ROW() - 37), "")</f>
        <v/>
      </c>
      <c r="F3358" s="4" t="str" cm="1">
        <f t="array" ref="F3358">IFERROR(INDEX(EmployeeData[Age], ROW() - 37), "")</f>
        <v/>
      </c>
      <c r="G3358" s="6" t="str" cm="1">
        <f t="array" ref="G3358">IFERROR(INDEX(EmployeeData[Join Date], ROW() - 37), "")</f>
        <v/>
      </c>
      <c r="H3358" s="6" t="str" cm="1">
        <f t="array" ref="H3358">IFERROR(IF(INDEX(EmployeeData[Exit Date], ROW() - 37)=0, "",INDEX(EmployeeData[Exit Date], ROW() - 37)),"")</f>
        <v/>
      </c>
      <c r="I3358" s="4" t="str" cm="1">
        <f t="array" ref="I3358">IFERROR(IF(INDEX(EmployeeData[Exit Reason], ROW() - 37)=0, "",INDEX(EmployeeData[Exit Reason], ROW() - 37)),"")</f>
        <v/>
      </c>
      <c r="J3358" s="4" t="str" cm="1">
        <f t="array" ref="J3358">IFERROR(INDEX(EmployeeData[Status], ROW() - 37), "")</f>
        <v/>
      </c>
    </row>
    <row r="3359" spans="2:10" ht="19.95" customHeight="1" x14ac:dyDescent="0.3">
      <c r="B3359" s="4" t="str" cm="1">
        <f t="array" ref="B3359">IFERROR(INDEX(EmployeeData[Employee ID], ROW() - 37), "")</f>
        <v/>
      </c>
      <c r="C3359" s="4" t="str" cm="1">
        <f t="array" ref="C3359">IFERROR(INDEX(EmployeeData[Full Name], ROW() - 37), "")</f>
        <v/>
      </c>
      <c r="D3359" s="4" t="str" cm="1">
        <f t="array" ref="D3359">IFERROR(INDEX(EmployeeData[Department], ROW() - 37), "")</f>
        <v/>
      </c>
      <c r="E3359" s="4" t="str" cm="1">
        <f t="array" ref="E3359">IFERROR(INDEX(EmployeeData[Gender], ROW() - 37), "")</f>
        <v/>
      </c>
      <c r="F3359" s="4" t="str" cm="1">
        <f t="array" ref="F3359">IFERROR(INDEX(EmployeeData[Age], ROW() - 37), "")</f>
        <v/>
      </c>
      <c r="G3359" s="6" t="str" cm="1">
        <f t="array" ref="G3359">IFERROR(INDEX(EmployeeData[Join Date], ROW() - 37), "")</f>
        <v/>
      </c>
      <c r="H3359" s="6" t="str" cm="1">
        <f t="array" ref="H3359">IFERROR(IF(INDEX(EmployeeData[Exit Date], ROW() - 37)=0, "",INDEX(EmployeeData[Exit Date], ROW() - 37)),"")</f>
        <v/>
      </c>
      <c r="I3359" s="4" t="str" cm="1">
        <f t="array" ref="I3359">IFERROR(IF(INDEX(EmployeeData[Exit Reason], ROW() - 37)=0, "",INDEX(EmployeeData[Exit Reason], ROW() - 37)),"")</f>
        <v/>
      </c>
      <c r="J3359" s="4" t="str" cm="1">
        <f t="array" ref="J3359">IFERROR(INDEX(EmployeeData[Status], ROW() - 37), "")</f>
        <v/>
      </c>
    </row>
    <row r="3360" spans="2:10" ht="19.95" customHeight="1" x14ac:dyDescent="0.3">
      <c r="B3360" s="4" t="str" cm="1">
        <f t="array" ref="B3360">IFERROR(INDEX(EmployeeData[Employee ID], ROW() - 37), "")</f>
        <v/>
      </c>
      <c r="C3360" s="4" t="str" cm="1">
        <f t="array" ref="C3360">IFERROR(INDEX(EmployeeData[Full Name], ROW() - 37), "")</f>
        <v/>
      </c>
      <c r="D3360" s="4" t="str" cm="1">
        <f t="array" ref="D3360">IFERROR(INDEX(EmployeeData[Department], ROW() - 37), "")</f>
        <v/>
      </c>
      <c r="E3360" s="4" t="str" cm="1">
        <f t="array" ref="E3360">IFERROR(INDEX(EmployeeData[Gender], ROW() - 37), "")</f>
        <v/>
      </c>
      <c r="F3360" s="4" t="str" cm="1">
        <f t="array" ref="F3360">IFERROR(INDEX(EmployeeData[Age], ROW() - 37), "")</f>
        <v/>
      </c>
      <c r="G3360" s="6" t="str" cm="1">
        <f t="array" ref="G3360">IFERROR(INDEX(EmployeeData[Join Date], ROW() - 37), "")</f>
        <v/>
      </c>
      <c r="H3360" s="6" t="str" cm="1">
        <f t="array" ref="H3360">IFERROR(IF(INDEX(EmployeeData[Exit Date], ROW() - 37)=0, "",INDEX(EmployeeData[Exit Date], ROW() - 37)),"")</f>
        <v/>
      </c>
      <c r="I3360" s="4" t="str" cm="1">
        <f t="array" ref="I3360">IFERROR(IF(INDEX(EmployeeData[Exit Reason], ROW() - 37)=0, "",INDEX(EmployeeData[Exit Reason], ROW() - 37)),"")</f>
        <v/>
      </c>
      <c r="J3360" s="4" t="str" cm="1">
        <f t="array" ref="J3360">IFERROR(INDEX(EmployeeData[Status], ROW() - 37), "")</f>
        <v/>
      </c>
    </row>
    <row r="3361" spans="2:10" ht="19.95" customHeight="1" x14ac:dyDescent="0.3">
      <c r="B3361" s="4" t="str" cm="1">
        <f t="array" ref="B3361">IFERROR(INDEX(EmployeeData[Employee ID], ROW() - 37), "")</f>
        <v/>
      </c>
      <c r="C3361" s="4" t="str" cm="1">
        <f t="array" ref="C3361">IFERROR(INDEX(EmployeeData[Full Name], ROW() - 37), "")</f>
        <v/>
      </c>
      <c r="D3361" s="4" t="str" cm="1">
        <f t="array" ref="D3361">IFERROR(INDEX(EmployeeData[Department], ROW() - 37), "")</f>
        <v/>
      </c>
      <c r="E3361" s="4" t="str" cm="1">
        <f t="array" ref="E3361">IFERROR(INDEX(EmployeeData[Gender], ROW() - 37), "")</f>
        <v/>
      </c>
      <c r="F3361" s="4" t="str" cm="1">
        <f t="array" ref="F3361">IFERROR(INDEX(EmployeeData[Age], ROW() - 37), "")</f>
        <v/>
      </c>
      <c r="G3361" s="6" t="str" cm="1">
        <f t="array" ref="G3361">IFERROR(INDEX(EmployeeData[Join Date], ROW() - 37), "")</f>
        <v/>
      </c>
      <c r="H3361" s="6" t="str" cm="1">
        <f t="array" ref="H3361">IFERROR(IF(INDEX(EmployeeData[Exit Date], ROW() - 37)=0, "",INDEX(EmployeeData[Exit Date], ROW() - 37)),"")</f>
        <v/>
      </c>
      <c r="I3361" s="4" t="str" cm="1">
        <f t="array" ref="I3361">IFERROR(IF(INDEX(EmployeeData[Exit Reason], ROW() - 37)=0, "",INDEX(EmployeeData[Exit Reason], ROW() - 37)),"")</f>
        <v/>
      </c>
      <c r="J3361" s="4" t="str" cm="1">
        <f t="array" ref="J3361">IFERROR(INDEX(EmployeeData[Status], ROW() - 37), "")</f>
        <v/>
      </c>
    </row>
    <row r="3362" spans="2:10" ht="19.95" customHeight="1" x14ac:dyDescent="0.3">
      <c r="B3362" s="4" t="str" cm="1">
        <f t="array" ref="B3362">IFERROR(INDEX(EmployeeData[Employee ID], ROW() - 37), "")</f>
        <v/>
      </c>
      <c r="C3362" s="4" t="str" cm="1">
        <f t="array" ref="C3362">IFERROR(INDEX(EmployeeData[Full Name], ROW() - 37), "")</f>
        <v/>
      </c>
      <c r="D3362" s="4" t="str" cm="1">
        <f t="array" ref="D3362">IFERROR(INDEX(EmployeeData[Department], ROW() - 37), "")</f>
        <v/>
      </c>
      <c r="E3362" s="4" t="str" cm="1">
        <f t="array" ref="E3362">IFERROR(INDEX(EmployeeData[Gender], ROW() - 37), "")</f>
        <v/>
      </c>
      <c r="F3362" s="4" t="str" cm="1">
        <f t="array" ref="F3362">IFERROR(INDEX(EmployeeData[Age], ROW() - 37), "")</f>
        <v/>
      </c>
      <c r="G3362" s="6" t="str" cm="1">
        <f t="array" ref="G3362">IFERROR(INDEX(EmployeeData[Join Date], ROW() - 37), "")</f>
        <v/>
      </c>
      <c r="H3362" s="6" t="str" cm="1">
        <f t="array" ref="H3362">IFERROR(IF(INDEX(EmployeeData[Exit Date], ROW() - 37)=0, "",INDEX(EmployeeData[Exit Date], ROW() - 37)),"")</f>
        <v/>
      </c>
      <c r="I3362" s="4" t="str" cm="1">
        <f t="array" ref="I3362">IFERROR(IF(INDEX(EmployeeData[Exit Reason], ROW() - 37)=0, "",INDEX(EmployeeData[Exit Reason], ROW() - 37)),"")</f>
        <v/>
      </c>
      <c r="J3362" s="4" t="str" cm="1">
        <f t="array" ref="J3362">IFERROR(INDEX(EmployeeData[Status], ROW() - 37), "")</f>
        <v/>
      </c>
    </row>
    <row r="3363" spans="2:10" ht="19.95" customHeight="1" x14ac:dyDescent="0.3">
      <c r="B3363" s="4" t="str" cm="1">
        <f t="array" ref="B3363">IFERROR(INDEX(EmployeeData[Employee ID], ROW() - 37), "")</f>
        <v/>
      </c>
      <c r="C3363" s="4" t="str" cm="1">
        <f t="array" ref="C3363">IFERROR(INDEX(EmployeeData[Full Name], ROW() - 37), "")</f>
        <v/>
      </c>
      <c r="D3363" s="4" t="str" cm="1">
        <f t="array" ref="D3363">IFERROR(INDEX(EmployeeData[Department], ROW() - 37), "")</f>
        <v/>
      </c>
      <c r="E3363" s="4" t="str" cm="1">
        <f t="array" ref="E3363">IFERROR(INDEX(EmployeeData[Gender], ROW() - 37), "")</f>
        <v/>
      </c>
      <c r="F3363" s="4" t="str" cm="1">
        <f t="array" ref="F3363">IFERROR(INDEX(EmployeeData[Age], ROW() - 37), "")</f>
        <v/>
      </c>
      <c r="G3363" s="6" t="str" cm="1">
        <f t="array" ref="G3363">IFERROR(INDEX(EmployeeData[Join Date], ROW() - 37), "")</f>
        <v/>
      </c>
      <c r="H3363" s="6" t="str" cm="1">
        <f t="array" ref="H3363">IFERROR(IF(INDEX(EmployeeData[Exit Date], ROW() - 37)=0, "",INDEX(EmployeeData[Exit Date], ROW() - 37)),"")</f>
        <v/>
      </c>
      <c r="I3363" s="4" t="str" cm="1">
        <f t="array" ref="I3363">IFERROR(IF(INDEX(EmployeeData[Exit Reason], ROW() - 37)=0, "",INDEX(EmployeeData[Exit Reason], ROW() - 37)),"")</f>
        <v/>
      </c>
      <c r="J3363" s="4" t="str" cm="1">
        <f t="array" ref="J3363">IFERROR(INDEX(EmployeeData[Status], ROW() - 37), "")</f>
        <v/>
      </c>
    </row>
    <row r="3364" spans="2:10" ht="19.95" customHeight="1" x14ac:dyDescent="0.3">
      <c r="B3364" s="4" t="str" cm="1">
        <f t="array" ref="B3364">IFERROR(INDEX(EmployeeData[Employee ID], ROW() - 37), "")</f>
        <v/>
      </c>
      <c r="C3364" s="4" t="str" cm="1">
        <f t="array" ref="C3364">IFERROR(INDEX(EmployeeData[Full Name], ROW() - 37), "")</f>
        <v/>
      </c>
      <c r="D3364" s="4" t="str" cm="1">
        <f t="array" ref="D3364">IFERROR(INDEX(EmployeeData[Department], ROW() - 37), "")</f>
        <v/>
      </c>
      <c r="E3364" s="4" t="str" cm="1">
        <f t="array" ref="E3364">IFERROR(INDEX(EmployeeData[Gender], ROW() - 37), "")</f>
        <v/>
      </c>
      <c r="F3364" s="4" t="str" cm="1">
        <f t="array" ref="F3364">IFERROR(INDEX(EmployeeData[Age], ROW() - 37), "")</f>
        <v/>
      </c>
      <c r="G3364" s="6" t="str" cm="1">
        <f t="array" ref="G3364">IFERROR(INDEX(EmployeeData[Join Date], ROW() - 37), "")</f>
        <v/>
      </c>
      <c r="H3364" s="6" t="str" cm="1">
        <f t="array" ref="H3364">IFERROR(IF(INDEX(EmployeeData[Exit Date], ROW() - 37)=0, "",INDEX(EmployeeData[Exit Date], ROW() - 37)),"")</f>
        <v/>
      </c>
      <c r="I3364" s="4" t="str" cm="1">
        <f t="array" ref="I3364">IFERROR(IF(INDEX(EmployeeData[Exit Reason], ROW() - 37)=0, "",INDEX(EmployeeData[Exit Reason], ROW() - 37)),"")</f>
        <v/>
      </c>
      <c r="J3364" s="4" t="str" cm="1">
        <f t="array" ref="J3364">IFERROR(INDEX(EmployeeData[Status], ROW() - 37), "")</f>
        <v/>
      </c>
    </row>
    <row r="3365" spans="2:10" ht="19.95" customHeight="1" x14ac:dyDescent="0.3">
      <c r="B3365" s="4" t="str" cm="1">
        <f t="array" ref="B3365">IFERROR(INDEX(EmployeeData[Employee ID], ROW() - 37), "")</f>
        <v/>
      </c>
      <c r="C3365" s="4" t="str" cm="1">
        <f t="array" ref="C3365">IFERROR(INDEX(EmployeeData[Full Name], ROW() - 37), "")</f>
        <v/>
      </c>
      <c r="D3365" s="4" t="str" cm="1">
        <f t="array" ref="D3365">IFERROR(INDEX(EmployeeData[Department], ROW() - 37), "")</f>
        <v/>
      </c>
      <c r="E3365" s="4" t="str" cm="1">
        <f t="array" ref="E3365">IFERROR(INDEX(EmployeeData[Gender], ROW() - 37), "")</f>
        <v/>
      </c>
      <c r="F3365" s="4" t="str" cm="1">
        <f t="array" ref="F3365">IFERROR(INDEX(EmployeeData[Age], ROW() - 37), "")</f>
        <v/>
      </c>
      <c r="G3365" s="6" t="str" cm="1">
        <f t="array" ref="G3365">IFERROR(INDEX(EmployeeData[Join Date], ROW() - 37), "")</f>
        <v/>
      </c>
      <c r="H3365" s="6" t="str" cm="1">
        <f t="array" ref="H3365">IFERROR(IF(INDEX(EmployeeData[Exit Date], ROW() - 37)=0, "",INDEX(EmployeeData[Exit Date], ROW() - 37)),"")</f>
        <v/>
      </c>
      <c r="I3365" s="4" t="str" cm="1">
        <f t="array" ref="I3365">IFERROR(IF(INDEX(EmployeeData[Exit Reason], ROW() - 37)=0, "",INDEX(EmployeeData[Exit Reason], ROW() - 37)),"")</f>
        <v/>
      </c>
      <c r="J3365" s="4" t="str" cm="1">
        <f t="array" ref="J3365">IFERROR(INDEX(EmployeeData[Status], ROW() - 37), "")</f>
        <v/>
      </c>
    </row>
    <row r="3366" spans="2:10" ht="19.95" customHeight="1" x14ac:dyDescent="0.3">
      <c r="B3366" s="4" t="str" cm="1">
        <f t="array" ref="B3366">IFERROR(INDEX(EmployeeData[Employee ID], ROW() - 37), "")</f>
        <v/>
      </c>
      <c r="C3366" s="4" t="str" cm="1">
        <f t="array" ref="C3366">IFERROR(INDEX(EmployeeData[Full Name], ROW() - 37), "")</f>
        <v/>
      </c>
      <c r="D3366" s="4" t="str" cm="1">
        <f t="array" ref="D3366">IFERROR(INDEX(EmployeeData[Department], ROW() - 37), "")</f>
        <v/>
      </c>
      <c r="E3366" s="4" t="str" cm="1">
        <f t="array" ref="E3366">IFERROR(INDEX(EmployeeData[Gender], ROW() - 37), "")</f>
        <v/>
      </c>
      <c r="F3366" s="4" t="str" cm="1">
        <f t="array" ref="F3366">IFERROR(INDEX(EmployeeData[Age], ROW() - 37), "")</f>
        <v/>
      </c>
      <c r="G3366" s="6" t="str" cm="1">
        <f t="array" ref="G3366">IFERROR(INDEX(EmployeeData[Join Date], ROW() - 37), "")</f>
        <v/>
      </c>
      <c r="H3366" s="6" t="str" cm="1">
        <f t="array" ref="H3366">IFERROR(IF(INDEX(EmployeeData[Exit Date], ROW() - 37)=0, "",INDEX(EmployeeData[Exit Date], ROW() - 37)),"")</f>
        <v/>
      </c>
      <c r="I3366" s="4" t="str" cm="1">
        <f t="array" ref="I3366">IFERROR(IF(INDEX(EmployeeData[Exit Reason], ROW() - 37)=0, "",INDEX(EmployeeData[Exit Reason], ROW() - 37)),"")</f>
        <v/>
      </c>
      <c r="J3366" s="4" t="str" cm="1">
        <f t="array" ref="J3366">IFERROR(INDEX(EmployeeData[Status], ROW() - 37), "")</f>
        <v/>
      </c>
    </row>
    <row r="3367" spans="2:10" ht="19.95" customHeight="1" x14ac:dyDescent="0.3">
      <c r="B3367" s="4" t="str" cm="1">
        <f t="array" ref="B3367">IFERROR(INDEX(EmployeeData[Employee ID], ROW() - 37), "")</f>
        <v/>
      </c>
      <c r="C3367" s="4" t="str" cm="1">
        <f t="array" ref="C3367">IFERROR(INDEX(EmployeeData[Full Name], ROW() - 37), "")</f>
        <v/>
      </c>
      <c r="D3367" s="4" t="str" cm="1">
        <f t="array" ref="D3367">IFERROR(INDEX(EmployeeData[Department], ROW() - 37), "")</f>
        <v/>
      </c>
      <c r="E3367" s="4" t="str" cm="1">
        <f t="array" ref="E3367">IFERROR(INDEX(EmployeeData[Gender], ROW() - 37), "")</f>
        <v/>
      </c>
      <c r="F3367" s="4" t="str" cm="1">
        <f t="array" ref="F3367">IFERROR(INDEX(EmployeeData[Age], ROW() - 37), "")</f>
        <v/>
      </c>
      <c r="G3367" s="6" t="str" cm="1">
        <f t="array" ref="G3367">IFERROR(INDEX(EmployeeData[Join Date], ROW() - 37), "")</f>
        <v/>
      </c>
      <c r="H3367" s="6" t="str" cm="1">
        <f t="array" ref="H3367">IFERROR(IF(INDEX(EmployeeData[Exit Date], ROW() - 37)=0, "",INDEX(EmployeeData[Exit Date], ROW() - 37)),"")</f>
        <v/>
      </c>
      <c r="I3367" s="4" t="str" cm="1">
        <f t="array" ref="I3367">IFERROR(IF(INDEX(EmployeeData[Exit Reason], ROW() - 37)=0, "",INDEX(EmployeeData[Exit Reason], ROW() - 37)),"")</f>
        <v/>
      </c>
      <c r="J3367" s="4" t="str" cm="1">
        <f t="array" ref="J3367">IFERROR(INDEX(EmployeeData[Status], ROW() - 37), "")</f>
        <v/>
      </c>
    </row>
    <row r="3368" spans="2:10" ht="19.95" customHeight="1" x14ac:dyDescent="0.3">
      <c r="B3368" s="4" t="str" cm="1">
        <f t="array" ref="B3368">IFERROR(INDEX(EmployeeData[Employee ID], ROW() - 37), "")</f>
        <v/>
      </c>
      <c r="C3368" s="4" t="str" cm="1">
        <f t="array" ref="C3368">IFERROR(INDEX(EmployeeData[Full Name], ROW() - 37), "")</f>
        <v/>
      </c>
      <c r="D3368" s="4" t="str" cm="1">
        <f t="array" ref="D3368">IFERROR(INDEX(EmployeeData[Department], ROW() - 37), "")</f>
        <v/>
      </c>
      <c r="E3368" s="4" t="str" cm="1">
        <f t="array" ref="E3368">IFERROR(INDEX(EmployeeData[Gender], ROW() - 37), "")</f>
        <v/>
      </c>
      <c r="F3368" s="4" t="str" cm="1">
        <f t="array" ref="F3368">IFERROR(INDEX(EmployeeData[Age], ROW() - 37), "")</f>
        <v/>
      </c>
      <c r="G3368" s="6" t="str" cm="1">
        <f t="array" ref="G3368">IFERROR(INDEX(EmployeeData[Join Date], ROW() - 37), "")</f>
        <v/>
      </c>
      <c r="H3368" s="6" t="str" cm="1">
        <f t="array" ref="H3368">IFERROR(IF(INDEX(EmployeeData[Exit Date], ROW() - 37)=0, "",INDEX(EmployeeData[Exit Date], ROW() - 37)),"")</f>
        <v/>
      </c>
      <c r="I3368" s="4" t="str" cm="1">
        <f t="array" ref="I3368">IFERROR(IF(INDEX(EmployeeData[Exit Reason], ROW() - 37)=0, "",INDEX(EmployeeData[Exit Reason], ROW() - 37)),"")</f>
        <v/>
      </c>
      <c r="J3368" s="4" t="str" cm="1">
        <f t="array" ref="J3368">IFERROR(INDEX(EmployeeData[Status], ROW() - 37), "")</f>
        <v/>
      </c>
    </row>
    <row r="3369" spans="2:10" ht="19.95" customHeight="1" x14ac:dyDescent="0.3">
      <c r="B3369" s="4" t="str" cm="1">
        <f t="array" ref="B3369">IFERROR(INDEX(EmployeeData[Employee ID], ROW() - 37), "")</f>
        <v/>
      </c>
      <c r="C3369" s="4" t="str" cm="1">
        <f t="array" ref="C3369">IFERROR(INDEX(EmployeeData[Full Name], ROW() - 37), "")</f>
        <v/>
      </c>
      <c r="D3369" s="4" t="str" cm="1">
        <f t="array" ref="D3369">IFERROR(INDEX(EmployeeData[Department], ROW() - 37), "")</f>
        <v/>
      </c>
      <c r="E3369" s="4" t="str" cm="1">
        <f t="array" ref="E3369">IFERROR(INDEX(EmployeeData[Gender], ROW() - 37), "")</f>
        <v/>
      </c>
      <c r="F3369" s="4" t="str" cm="1">
        <f t="array" ref="F3369">IFERROR(INDEX(EmployeeData[Age], ROW() - 37), "")</f>
        <v/>
      </c>
      <c r="G3369" s="6" t="str" cm="1">
        <f t="array" ref="G3369">IFERROR(INDEX(EmployeeData[Join Date], ROW() - 37), "")</f>
        <v/>
      </c>
      <c r="H3369" s="6" t="str" cm="1">
        <f t="array" ref="H3369">IFERROR(IF(INDEX(EmployeeData[Exit Date], ROW() - 37)=0, "",INDEX(EmployeeData[Exit Date], ROW() - 37)),"")</f>
        <v/>
      </c>
      <c r="I3369" s="4" t="str" cm="1">
        <f t="array" ref="I3369">IFERROR(IF(INDEX(EmployeeData[Exit Reason], ROW() - 37)=0, "",INDEX(EmployeeData[Exit Reason], ROW() - 37)),"")</f>
        <v/>
      </c>
      <c r="J3369" s="4" t="str" cm="1">
        <f t="array" ref="J3369">IFERROR(INDEX(EmployeeData[Status], ROW() - 37), "")</f>
        <v/>
      </c>
    </row>
    <row r="3370" spans="2:10" ht="19.95" customHeight="1" x14ac:dyDescent="0.3">
      <c r="B3370" s="4" t="str" cm="1">
        <f t="array" ref="B3370">IFERROR(INDEX(EmployeeData[Employee ID], ROW() - 37), "")</f>
        <v/>
      </c>
      <c r="C3370" s="4" t="str" cm="1">
        <f t="array" ref="C3370">IFERROR(INDEX(EmployeeData[Full Name], ROW() - 37), "")</f>
        <v/>
      </c>
      <c r="D3370" s="4" t="str" cm="1">
        <f t="array" ref="D3370">IFERROR(INDEX(EmployeeData[Department], ROW() - 37), "")</f>
        <v/>
      </c>
      <c r="E3370" s="4" t="str" cm="1">
        <f t="array" ref="E3370">IFERROR(INDEX(EmployeeData[Gender], ROW() - 37), "")</f>
        <v/>
      </c>
      <c r="F3370" s="4" t="str" cm="1">
        <f t="array" ref="F3370">IFERROR(INDEX(EmployeeData[Age], ROW() - 37), "")</f>
        <v/>
      </c>
      <c r="G3370" s="6" t="str" cm="1">
        <f t="array" ref="G3370">IFERROR(INDEX(EmployeeData[Join Date], ROW() - 37), "")</f>
        <v/>
      </c>
      <c r="H3370" s="6" t="str" cm="1">
        <f t="array" ref="H3370">IFERROR(IF(INDEX(EmployeeData[Exit Date], ROW() - 37)=0, "",INDEX(EmployeeData[Exit Date], ROW() - 37)),"")</f>
        <v/>
      </c>
      <c r="I3370" s="4" t="str" cm="1">
        <f t="array" ref="I3370">IFERROR(IF(INDEX(EmployeeData[Exit Reason], ROW() - 37)=0, "",INDEX(EmployeeData[Exit Reason], ROW() - 37)),"")</f>
        <v/>
      </c>
      <c r="J3370" s="4" t="str" cm="1">
        <f t="array" ref="J3370">IFERROR(INDEX(EmployeeData[Status], ROW() - 37), "")</f>
        <v/>
      </c>
    </row>
    <row r="3371" spans="2:10" ht="19.95" customHeight="1" x14ac:dyDescent="0.3">
      <c r="B3371" s="4" t="str" cm="1">
        <f t="array" ref="B3371">IFERROR(INDEX(EmployeeData[Employee ID], ROW() - 37), "")</f>
        <v/>
      </c>
      <c r="C3371" s="4" t="str" cm="1">
        <f t="array" ref="C3371">IFERROR(INDEX(EmployeeData[Full Name], ROW() - 37), "")</f>
        <v/>
      </c>
      <c r="D3371" s="4" t="str" cm="1">
        <f t="array" ref="D3371">IFERROR(INDEX(EmployeeData[Department], ROW() - 37), "")</f>
        <v/>
      </c>
      <c r="E3371" s="4" t="str" cm="1">
        <f t="array" ref="E3371">IFERROR(INDEX(EmployeeData[Gender], ROW() - 37), "")</f>
        <v/>
      </c>
      <c r="F3371" s="4" t="str" cm="1">
        <f t="array" ref="F3371">IFERROR(INDEX(EmployeeData[Age], ROW() - 37), "")</f>
        <v/>
      </c>
      <c r="G3371" s="6" t="str" cm="1">
        <f t="array" ref="G3371">IFERROR(INDEX(EmployeeData[Join Date], ROW() - 37), "")</f>
        <v/>
      </c>
      <c r="H3371" s="6" t="str" cm="1">
        <f t="array" ref="H3371">IFERROR(IF(INDEX(EmployeeData[Exit Date], ROW() - 37)=0, "",INDEX(EmployeeData[Exit Date], ROW() - 37)),"")</f>
        <v/>
      </c>
      <c r="I3371" s="4" t="str" cm="1">
        <f t="array" ref="I3371">IFERROR(IF(INDEX(EmployeeData[Exit Reason], ROW() - 37)=0, "",INDEX(EmployeeData[Exit Reason], ROW() - 37)),"")</f>
        <v/>
      </c>
      <c r="J3371" s="4" t="str" cm="1">
        <f t="array" ref="J3371">IFERROR(INDEX(EmployeeData[Status], ROW() - 37), "")</f>
        <v/>
      </c>
    </row>
    <row r="3372" spans="2:10" ht="19.95" customHeight="1" x14ac:dyDescent="0.3">
      <c r="B3372" s="4" t="str" cm="1">
        <f t="array" ref="B3372">IFERROR(INDEX(EmployeeData[Employee ID], ROW() - 37), "")</f>
        <v/>
      </c>
      <c r="C3372" s="4" t="str" cm="1">
        <f t="array" ref="C3372">IFERROR(INDEX(EmployeeData[Full Name], ROW() - 37), "")</f>
        <v/>
      </c>
      <c r="D3372" s="4" t="str" cm="1">
        <f t="array" ref="D3372">IFERROR(INDEX(EmployeeData[Department], ROW() - 37), "")</f>
        <v/>
      </c>
      <c r="E3372" s="4" t="str" cm="1">
        <f t="array" ref="E3372">IFERROR(INDEX(EmployeeData[Gender], ROW() - 37), "")</f>
        <v/>
      </c>
      <c r="F3372" s="4" t="str" cm="1">
        <f t="array" ref="F3372">IFERROR(INDEX(EmployeeData[Age], ROW() - 37), "")</f>
        <v/>
      </c>
      <c r="G3372" s="6" t="str" cm="1">
        <f t="array" ref="G3372">IFERROR(INDEX(EmployeeData[Join Date], ROW() - 37), "")</f>
        <v/>
      </c>
      <c r="H3372" s="6" t="str" cm="1">
        <f t="array" ref="H3372">IFERROR(IF(INDEX(EmployeeData[Exit Date], ROW() - 37)=0, "",INDEX(EmployeeData[Exit Date], ROW() - 37)),"")</f>
        <v/>
      </c>
      <c r="I3372" s="4" t="str" cm="1">
        <f t="array" ref="I3372">IFERROR(IF(INDEX(EmployeeData[Exit Reason], ROW() - 37)=0, "",INDEX(EmployeeData[Exit Reason], ROW() - 37)),"")</f>
        <v/>
      </c>
      <c r="J3372" s="4" t="str" cm="1">
        <f t="array" ref="J3372">IFERROR(INDEX(EmployeeData[Status], ROW() - 37), "")</f>
        <v/>
      </c>
    </row>
    <row r="3373" spans="2:10" ht="19.95" customHeight="1" x14ac:dyDescent="0.3">
      <c r="B3373" s="4" t="str" cm="1">
        <f t="array" ref="B3373">IFERROR(INDEX(EmployeeData[Employee ID], ROW() - 37), "")</f>
        <v/>
      </c>
      <c r="C3373" s="4" t="str" cm="1">
        <f t="array" ref="C3373">IFERROR(INDEX(EmployeeData[Full Name], ROW() - 37), "")</f>
        <v/>
      </c>
      <c r="D3373" s="4" t="str" cm="1">
        <f t="array" ref="D3373">IFERROR(INDEX(EmployeeData[Department], ROW() - 37), "")</f>
        <v/>
      </c>
      <c r="E3373" s="4" t="str" cm="1">
        <f t="array" ref="E3373">IFERROR(INDEX(EmployeeData[Gender], ROW() - 37), "")</f>
        <v/>
      </c>
      <c r="F3373" s="4" t="str" cm="1">
        <f t="array" ref="F3373">IFERROR(INDEX(EmployeeData[Age], ROW() - 37), "")</f>
        <v/>
      </c>
      <c r="G3373" s="6" t="str" cm="1">
        <f t="array" ref="G3373">IFERROR(INDEX(EmployeeData[Join Date], ROW() - 37), "")</f>
        <v/>
      </c>
      <c r="H3373" s="6" t="str" cm="1">
        <f t="array" ref="H3373">IFERROR(IF(INDEX(EmployeeData[Exit Date], ROW() - 37)=0, "",INDEX(EmployeeData[Exit Date], ROW() - 37)),"")</f>
        <v/>
      </c>
      <c r="I3373" s="4" t="str" cm="1">
        <f t="array" ref="I3373">IFERROR(IF(INDEX(EmployeeData[Exit Reason], ROW() - 37)=0, "",INDEX(EmployeeData[Exit Reason], ROW() - 37)),"")</f>
        <v/>
      </c>
      <c r="J3373" s="4" t="str" cm="1">
        <f t="array" ref="J3373">IFERROR(INDEX(EmployeeData[Status], ROW() - 37), "")</f>
        <v/>
      </c>
    </row>
    <row r="3374" spans="2:10" ht="19.95" customHeight="1" x14ac:dyDescent="0.3">
      <c r="B3374" s="4" t="str" cm="1">
        <f t="array" ref="B3374">IFERROR(INDEX(EmployeeData[Employee ID], ROW() - 37), "")</f>
        <v/>
      </c>
      <c r="C3374" s="4" t="str" cm="1">
        <f t="array" ref="C3374">IFERROR(INDEX(EmployeeData[Full Name], ROW() - 37), "")</f>
        <v/>
      </c>
      <c r="D3374" s="4" t="str" cm="1">
        <f t="array" ref="D3374">IFERROR(INDEX(EmployeeData[Department], ROW() - 37), "")</f>
        <v/>
      </c>
      <c r="E3374" s="4" t="str" cm="1">
        <f t="array" ref="E3374">IFERROR(INDEX(EmployeeData[Gender], ROW() - 37), "")</f>
        <v/>
      </c>
      <c r="F3374" s="4" t="str" cm="1">
        <f t="array" ref="F3374">IFERROR(INDEX(EmployeeData[Age], ROW() - 37), "")</f>
        <v/>
      </c>
      <c r="G3374" s="6" t="str" cm="1">
        <f t="array" ref="G3374">IFERROR(INDEX(EmployeeData[Join Date], ROW() - 37), "")</f>
        <v/>
      </c>
      <c r="H3374" s="6" t="str" cm="1">
        <f t="array" ref="H3374">IFERROR(IF(INDEX(EmployeeData[Exit Date], ROW() - 37)=0, "",INDEX(EmployeeData[Exit Date], ROW() - 37)),"")</f>
        <v/>
      </c>
      <c r="I3374" s="4" t="str" cm="1">
        <f t="array" ref="I3374">IFERROR(IF(INDEX(EmployeeData[Exit Reason], ROW() - 37)=0, "",INDEX(EmployeeData[Exit Reason], ROW() - 37)),"")</f>
        <v/>
      </c>
      <c r="J3374" s="4" t="str" cm="1">
        <f t="array" ref="J3374">IFERROR(INDEX(EmployeeData[Status], ROW() - 37), "")</f>
        <v/>
      </c>
    </row>
    <row r="3375" spans="2:10" ht="19.95" customHeight="1" x14ac:dyDescent="0.3">
      <c r="B3375" s="4" t="str" cm="1">
        <f t="array" ref="B3375">IFERROR(INDEX(EmployeeData[Employee ID], ROW() - 37), "")</f>
        <v/>
      </c>
      <c r="C3375" s="4" t="str" cm="1">
        <f t="array" ref="C3375">IFERROR(INDEX(EmployeeData[Full Name], ROW() - 37), "")</f>
        <v/>
      </c>
      <c r="D3375" s="4" t="str" cm="1">
        <f t="array" ref="D3375">IFERROR(INDEX(EmployeeData[Department], ROW() - 37), "")</f>
        <v/>
      </c>
      <c r="E3375" s="4" t="str" cm="1">
        <f t="array" ref="E3375">IFERROR(INDEX(EmployeeData[Gender], ROW() - 37), "")</f>
        <v/>
      </c>
      <c r="F3375" s="4" t="str" cm="1">
        <f t="array" ref="F3375">IFERROR(INDEX(EmployeeData[Age], ROW() - 37), "")</f>
        <v/>
      </c>
      <c r="G3375" s="6" t="str" cm="1">
        <f t="array" ref="G3375">IFERROR(INDEX(EmployeeData[Join Date], ROW() - 37), "")</f>
        <v/>
      </c>
      <c r="H3375" s="6" t="str" cm="1">
        <f t="array" ref="H3375">IFERROR(IF(INDEX(EmployeeData[Exit Date], ROW() - 37)=0, "",INDEX(EmployeeData[Exit Date], ROW() - 37)),"")</f>
        <v/>
      </c>
      <c r="I3375" s="4" t="str" cm="1">
        <f t="array" ref="I3375">IFERROR(IF(INDEX(EmployeeData[Exit Reason], ROW() - 37)=0, "",INDEX(EmployeeData[Exit Reason], ROW() - 37)),"")</f>
        <v/>
      </c>
      <c r="J3375" s="4" t="str" cm="1">
        <f t="array" ref="J3375">IFERROR(INDEX(EmployeeData[Status], ROW() - 37), "")</f>
        <v/>
      </c>
    </row>
    <row r="3376" spans="2:10" ht="19.95" customHeight="1" x14ac:dyDescent="0.3">
      <c r="B3376" s="4" t="str" cm="1">
        <f t="array" ref="B3376">IFERROR(INDEX(EmployeeData[Employee ID], ROW() - 37), "")</f>
        <v/>
      </c>
      <c r="C3376" s="4" t="str" cm="1">
        <f t="array" ref="C3376">IFERROR(INDEX(EmployeeData[Full Name], ROW() - 37), "")</f>
        <v/>
      </c>
      <c r="D3376" s="4" t="str" cm="1">
        <f t="array" ref="D3376">IFERROR(INDEX(EmployeeData[Department], ROW() - 37), "")</f>
        <v/>
      </c>
      <c r="E3376" s="4" t="str" cm="1">
        <f t="array" ref="E3376">IFERROR(INDEX(EmployeeData[Gender], ROW() - 37), "")</f>
        <v/>
      </c>
      <c r="F3376" s="4" t="str" cm="1">
        <f t="array" ref="F3376">IFERROR(INDEX(EmployeeData[Age], ROW() - 37), "")</f>
        <v/>
      </c>
      <c r="G3376" s="6" t="str" cm="1">
        <f t="array" ref="G3376">IFERROR(INDEX(EmployeeData[Join Date], ROW() - 37), "")</f>
        <v/>
      </c>
      <c r="H3376" s="6" t="str" cm="1">
        <f t="array" ref="H3376">IFERROR(IF(INDEX(EmployeeData[Exit Date], ROW() - 37)=0, "",INDEX(EmployeeData[Exit Date], ROW() - 37)),"")</f>
        <v/>
      </c>
      <c r="I3376" s="4" t="str" cm="1">
        <f t="array" ref="I3376">IFERROR(IF(INDEX(EmployeeData[Exit Reason], ROW() - 37)=0, "",INDEX(EmployeeData[Exit Reason], ROW() - 37)),"")</f>
        <v/>
      </c>
      <c r="J3376" s="4" t="str" cm="1">
        <f t="array" ref="J3376">IFERROR(INDEX(EmployeeData[Status], ROW() - 37), "")</f>
        <v/>
      </c>
    </row>
    <row r="3377" spans="2:10" ht="19.95" customHeight="1" x14ac:dyDescent="0.3">
      <c r="B3377" s="4" t="str" cm="1">
        <f t="array" ref="B3377">IFERROR(INDEX(EmployeeData[Employee ID], ROW() - 37), "")</f>
        <v/>
      </c>
      <c r="C3377" s="4" t="str" cm="1">
        <f t="array" ref="C3377">IFERROR(INDEX(EmployeeData[Full Name], ROW() - 37), "")</f>
        <v/>
      </c>
      <c r="D3377" s="4" t="str" cm="1">
        <f t="array" ref="D3377">IFERROR(INDEX(EmployeeData[Department], ROW() - 37), "")</f>
        <v/>
      </c>
      <c r="E3377" s="4" t="str" cm="1">
        <f t="array" ref="E3377">IFERROR(INDEX(EmployeeData[Gender], ROW() - 37), "")</f>
        <v/>
      </c>
      <c r="F3377" s="4" t="str" cm="1">
        <f t="array" ref="F3377">IFERROR(INDEX(EmployeeData[Age], ROW() - 37), "")</f>
        <v/>
      </c>
      <c r="G3377" s="6" t="str" cm="1">
        <f t="array" ref="G3377">IFERROR(INDEX(EmployeeData[Join Date], ROW() - 37), "")</f>
        <v/>
      </c>
      <c r="H3377" s="6" t="str" cm="1">
        <f t="array" ref="H3377">IFERROR(IF(INDEX(EmployeeData[Exit Date], ROW() - 37)=0, "",INDEX(EmployeeData[Exit Date], ROW() - 37)),"")</f>
        <v/>
      </c>
      <c r="I3377" s="4" t="str" cm="1">
        <f t="array" ref="I3377">IFERROR(IF(INDEX(EmployeeData[Exit Reason], ROW() - 37)=0, "",INDEX(EmployeeData[Exit Reason], ROW() - 37)),"")</f>
        <v/>
      </c>
      <c r="J3377" s="4" t="str" cm="1">
        <f t="array" ref="J3377">IFERROR(INDEX(EmployeeData[Status], ROW() - 37), "")</f>
        <v/>
      </c>
    </row>
    <row r="3378" spans="2:10" ht="19.95" customHeight="1" x14ac:dyDescent="0.3">
      <c r="B3378" s="4" t="str" cm="1">
        <f t="array" ref="B3378">IFERROR(INDEX(EmployeeData[Employee ID], ROW() - 37), "")</f>
        <v/>
      </c>
      <c r="C3378" s="4" t="str" cm="1">
        <f t="array" ref="C3378">IFERROR(INDEX(EmployeeData[Full Name], ROW() - 37), "")</f>
        <v/>
      </c>
      <c r="D3378" s="4" t="str" cm="1">
        <f t="array" ref="D3378">IFERROR(INDEX(EmployeeData[Department], ROW() - 37), "")</f>
        <v/>
      </c>
      <c r="E3378" s="4" t="str" cm="1">
        <f t="array" ref="E3378">IFERROR(INDEX(EmployeeData[Gender], ROW() - 37), "")</f>
        <v/>
      </c>
      <c r="F3378" s="4" t="str" cm="1">
        <f t="array" ref="F3378">IFERROR(INDEX(EmployeeData[Age], ROW() - 37), "")</f>
        <v/>
      </c>
      <c r="G3378" s="6" t="str" cm="1">
        <f t="array" ref="G3378">IFERROR(INDEX(EmployeeData[Join Date], ROW() - 37), "")</f>
        <v/>
      </c>
      <c r="H3378" s="6" t="str" cm="1">
        <f t="array" ref="H3378">IFERROR(IF(INDEX(EmployeeData[Exit Date], ROW() - 37)=0, "",INDEX(EmployeeData[Exit Date], ROW() - 37)),"")</f>
        <v/>
      </c>
      <c r="I3378" s="4" t="str" cm="1">
        <f t="array" ref="I3378">IFERROR(IF(INDEX(EmployeeData[Exit Reason], ROW() - 37)=0, "",INDEX(EmployeeData[Exit Reason], ROW() - 37)),"")</f>
        <v/>
      </c>
      <c r="J3378" s="4" t="str" cm="1">
        <f t="array" ref="J3378">IFERROR(INDEX(EmployeeData[Status], ROW() - 37), "")</f>
        <v/>
      </c>
    </row>
    <row r="3379" spans="2:10" ht="19.95" customHeight="1" x14ac:dyDescent="0.3">
      <c r="B3379" s="4" t="str" cm="1">
        <f t="array" ref="B3379">IFERROR(INDEX(EmployeeData[Employee ID], ROW() - 37), "")</f>
        <v/>
      </c>
      <c r="C3379" s="4" t="str" cm="1">
        <f t="array" ref="C3379">IFERROR(INDEX(EmployeeData[Full Name], ROW() - 37), "")</f>
        <v/>
      </c>
      <c r="D3379" s="4" t="str" cm="1">
        <f t="array" ref="D3379">IFERROR(INDEX(EmployeeData[Department], ROW() - 37), "")</f>
        <v/>
      </c>
      <c r="E3379" s="4" t="str" cm="1">
        <f t="array" ref="E3379">IFERROR(INDEX(EmployeeData[Gender], ROW() - 37), "")</f>
        <v/>
      </c>
      <c r="F3379" s="4" t="str" cm="1">
        <f t="array" ref="F3379">IFERROR(INDEX(EmployeeData[Age], ROW() - 37), "")</f>
        <v/>
      </c>
      <c r="G3379" s="6" t="str" cm="1">
        <f t="array" ref="G3379">IFERROR(INDEX(EmployeeData[Join Date], ROW() - 37), "")</f>
        <v/>
      </c>
      <c r="H3379" s="6" t="str" cm="1">
        <f t="array" ref="H3379">IFERROR(IF(INDEX(EmployeeData[Exit Date], ROW() - 37)=0, "",INDEX(EmployeeData[Exit Date], ROW() - 37)),"")</f>
        <v/>
      </c>
      <c r="I3379" s="4" t="str" cm="1">
        <f t="array" ref="I3379">IFERROR(IF(INDEX(EmployeeData[Exit Reason], ROW() - 37)=0, "",INDEX(EmployeeData[Exit Reason], ROW() - 37)),"")</f>
        <v/>
      </c>
      <c r="J3379" s="4" t="str" cm="1">
        <f t="array" ref="J3379">IFERROR(INDEX(EmployeeData[Status], ROW() - 37), "")</f>
        <v/>
      </c>
    </row>
    <row r="3380" spans="2:10" ht="19.95" customHeight="1" x14ac:dyDescent="0.3">
      <c r="B3380" s="4" t="str" cm="1">
        <f t="array" ref="B3380">IFERROR(INDEX(EmployeeData[Employee ID], ROW() - 37), "")</f>
        <v/>
      </c>
      <c r="C3380" s="4" t="str" cm="1">
        <f t="array" ref="C3380">IFERROR(INDEX(EmployeeData[Full Name], ROW() - 37), "")</f>
        <v/>
      </c>
      <c r="D3380" s="4" t="str" cm="1">
        <f t="array" ref="D3380">IFERROR(INDEX(EmployeeData[Department], ROW() - 37), "")</f>
        <v/>
      </c>
      <c r="E3380" s="4" t="str" cm="1">
        <f t="array" ref="E3380">IFERROR(INDEX(EmployeeData[Gender], ROW() - 37), "")</f>
        <v/>
      </c>
      <c r="F3380" s="4" t="str" cm="1">
        <f t="array" ref="F3380">IFERROR(INDEX(EmployeeData[Age], ROW() - 37), "")</f>
        <v/>
      </c>
      <c r="G3380" s="6" t="str" cm="1">
        <f t="array" ref="G3380">IFERROR(INDEX(EmployeeData[Join Date], ROW() - 37), "")</f>
        <v/>
      </c>
      <c r="H3380" s="6" t="str" cm="1">
        <f t="array" ref="H3380">IFERROR(IF(INDEX(EmployeeData[Exit Date], ROW() - 37)=0, "",INDEX(EmployeeData[Exit Date], ROW() - 37)),"")</f>
        <v/>
      </c>
      <c r="I3380" s="4" t="str" cm="1">
        <f t="array" ref="I3380">IFERROR(IF(INDEX(EmployeeData[Exit Reason], ROW() - 37)=0, "",INDEX(EmployeeData[Exit Reason], ROW() - 37)),"")</f>
        <v/>
      </c>
      <c r="J3380" s="4" t="str" cm="1">
        <f t="array" ref="J3380">IFERROR(INDEX(EmployeeData[Status], ROW() - 37), "")</f>
        <v/>
      </c>
    </row>
    <row r="3381" spans="2:10" ht="19.95" customHeight="1" x14ac:dyDescent="0.3">
      <c r="B3381" s="4" t="str" cm="1">
        <f t="array" ref="B3381">IFERROR(INDEX(EmployeeData[Employee ID], ROW() - 37), "")</f>
        <v/>
      </c>
      <c r="C3381" s="4" t="str" cm="1">
        <f t="array" ref="C3381">IFERROR(INDEX(EmployeeData[Full Name], ROW() - 37), "")</f>
        <v/>
      </c>
      <c r="D3381" s="4" t="str" cm="1">
        <f t="array" ref="D3381">IFERROR(INDEX(EmployeeData[Department], ROW() - 37), "")</f>
        <v/>
      </c>
      <c r="E3381" s="4" t="str" cm="1">
        <f t="array" ref="E3381">IFERROR(INDEX(EmployeeData[Gender], ROW() - 37), "")</f>
        <v/>
      </c>
      <c r="F3381" s="4" t="str" cm="1">
        <f t="array" ref="F3381">IFERROR(INDEX(EmployeeData[Age], ROW() - 37), "")</f>
        <v/>
      </c>
      <c r="G3381" s="6" t="str" cm="1">
        <f t="array" ref="G3381">IFERROR(INDEX(EmployeeData[Join Date], ROW() - 37), "")</f>
        <v/>
      </c>
      <c r="H3381" s="6" t="str" cm="1">
        <f t="array" ref="H3381">IFERROR(IF(INDEX(EmployeeData[Exit Date], ROW() - 37)=0, "",INDEX(EmployeeData[Exit Date], ROW() - 37)),"")</f>
        <v/>
      </c>
      <c r="I3381" s="4" t="str" cm="1">
        <f t="array" ref="I3381">IFERROR(IF(INDEX(EmployeeData[Exit Reason], ROW() - 37)=0, "",INDEX(EmployeeData[Exit Reason], ROW() - 37)),"")</f>
        <v/>
      </c>
      <c r="J3381" s="4" t="str" cm="1">
        <f t="array" ref="J3381">IFERROR(INDEX(EmployeeData[Status], ROW() - 37), "")</f>
        <v/>
      </c>
    </row>
    <row r="3382" spans="2:10" ht="19.95" customHeight="1" x14ac:dyDescent="0.3">
      <c r="B3382" s="4" t="str" cm="1">
        <f t="array" ref="B3382">IFERROR(INDEX(EmployeeData[Employee ID], ROW() - 37), "")</f>
        <v/>
      </c>
      <c r="C3382" s="4" t="str" cm="1">
        <f t="array" ref="C3382">IFERROR(INDEX(EmployeeData[Full Name], ROW() - 37), "")</f>
        <v/>
      </c>
      <c r="D3382" s="4" t="str" cm="1">
        <f t="array" ref="D3382">IFERROR(INDEX(EmployeeData[Department], ROW() - 37), "")</f>
        <v/>
      </c>
      <c r="E3382" s="4" t="str" cm="1">
        <f t="array" ref="E3382">IFERROR(INDEX(EmployeeData[Gender], ROW() - 37), "")</f>
        <v/>
      </c>
      <c r="F3382" s="4" t="str" cm="1">
        <f t="array" ref="F3382">IFERROR(INDEX(EmployeeData[Age], ROW() - 37), "")</f>
        <v/>
      </c>
      <c r="G3382" s="6" t="str" cm="1">
        <f t="array" ref="G3382">IFERROR(INDEX(EmployeeData[Join Date], ROW() - 37), "")</f>
        <v/>
      </c>
      <c r="H3382" s="6" t="str" cm="1">
        <f t="array" ref="H3382">IFERROR(IF(INDEX(EmployeeData[Exit Date], ROW() - 37)=0, "",INDEX(EmployeeData[Exit Date], ROW() - 37)),"")</f>
        <v/>
      </c>
      <c r="I3382" s="4" t="str" cm="1">
        <f t="array" ref="I3382">IFERROR(IF(INDEX(EmployeeData[Exit Reason], ROW() - 37)=0, "",INDEX(EmployeeData[Exit Reason], ROW() - 37)),"")</f>
        <v/>
      </c>
      <c r="J3382" s="4" t="str" cm="1">
        <f t="array" ref="J3382">IFERROR(INDEX(EmployeeData[Status], ROW() - 37), "")</f>
        <v/>
      </c>
    </row>
    <row r="3383" spans="2:10" ht="19.95" customHeight="1" x14ac:dyDescent="0.3">
      <c r="B3383" s="4" t="str" cm="1">
        <f t="array" ref="B3383">IFERROR(INDEX(EmployeeData[Employee ID], ROW() - 37), "")</f>
        <v/>
      </c>
      <c r="C3383" s="4" t="str" cm="1">
        <f t="array" ref="C3383">IFERROR(INDEX(EmployeeData[Full Name], ROW() - 37), "")</f>
        <v/>
      </c>
      <c r="D3383" s="4" t="str" cm="1">
        <f t="array" ref="D3383">IFERROR(INDEX(EmployeeData[Department], ROW() - 37), "")</f>
        <v/>
      </c>
      <c r="E3383" s="4" t="str" cm="1">
        <f t="array" ref="E3383">IFERROR(INDEX(EmployeeData[Gender], ROW() - 37), "")</f>
        <v/>
      </c>
      <c r="F3383" s="4" t="str" cm="1">
        <f t="array" ref="F3383">IFERROR(INDEX(EmployeeData[Age], ROW() - 37), "")</f>
        <v/>
      </c>
      <c r="G3383" s="6" t="str" cm="1">
        <f t="array" ref="G3383">IFERROR(INDEX(EmployeeData[Join Date], ROW() - 37), "")</f>
        <v/>
      </c>
      <c r="H3383" s="6" t="str" cm="1">
        <f t="array" ref="H3383">IFERROR(IF(INDEX(EmployeeData[Exit Date], ROW() - 37)=0, "",INDEX(EmployeeData[Exit Date], ROW() - 37)),"")</f>
        <v/>
      </c>
      <c r="I3383" s="4" t="str" cm="1">
        <f t="array" ref="I3383">IFERROR(IF(INDEX(EmployeeData[Exit Reason], ROW() - 37)=0, "",INDEX(EmployeeData[Exit Reason], ROW() - 37)),"")</f>
        <v/>
      </c>
      <c r="J3383" s="4" t="str" cm="1">
        <f t="array" ref="J3383">IFERROR(INDEX(EmployeeData[Status], ROW() - 37), "")</f>
        <v/>
      </c>
    </row>
    <row r="3384" spans="2:10" ht="19.95" customHeight="1" x14ac:dyDescent="0.3">
      <c r="B3384" s="4" t="str" cm="1">
        <f t="array" ref="B3384">IFERROR(INDEX(EmployeeData[Employee ID], ROW() - 37), "")</f>
        <v/>
      </c>
      <c r="C3384" s="4" t="str" cm="1">
        <f t="array" ref="C3384">IFERROR(INDEX(EmployeeData[Full Name], ROW() - 37), "")</f>
        <v/>
      </c>
      <c r="D3384" s="4" t="str" cm="1">
        <f t="array" ref="D3384">IFERROR(INDEX(EmployeeData[Department], ROW() - 37), "")</f>
        <v/>
      </c>
      <c r="E3384" s="4" t="str" cm="1">
        <f t="array" ref="E3384">IFERROR(INDEX(EmployeeData[Gender], ROW() - 37), "")</f>
        <v/>
      </c>
      <c r="F3384" s="4" t="str" cm="1">
        <f t="array" ref="F3384">IFERROR(INDEX(EmployeeData[Age], ROW() - 37), "")</f>
        <v/>
      </c>
      <c r="G3384" s="6" t="str" cm="1">
        <f t="array" ref="G3384">IFERROR(INDEX(EmployeeData[Join Date], ROW() - 37), "")</f>
        <v/>
      </c>
      <c r="H3384" s="6" t="str" cm="1">
        <f t="array" ref="H3384">IFERROR(IF(INDEX(EmployeeData[Exit Date], ROW() - 37)=0, "",INDEX(EmployeeData[Exit Date], ROW() - 37)),"")</f>
        <v/>
      </c>
      <c r="I3384" s="4" t="str" cm="1">
        <f t="array" ref="I3384">IFERROR(IF(INDEX(EmployeeData[Exit Reason], ROW() - 37)=0, "",INDEX(EmployeeData[Exit Reason], ROW() - 37)),"")</f>
        <v/>
      </c>
      <c r="J3384" s="4" t="str" cm="1">
        <f t="array" ref="J3384">IFERROR(INDEX(EmployeeData[Status], ROW() - 37), "")</f>
        <v/>
      </c>
    </row>
    <row r="3385" spans="2:10" ht="19.95" customHeight="1" x14ac:dyDescent="0.3">
      <c r="B3385" s="4" t="str" cm="1">
        <f t="array" ref="B3385">IFERROR(INDEX(EmployeeData[Employee ID], ROW() - 37), "")</f>
        <v/>
      </c>
      <c r="C3385" s="4" t="str" cm="1">
        <f t="array" ref="C3385">IFERROR(INDEX(EmployeeData[Full Name], ROW() - 37), "")</f>
        <v/>
      </c>
      <c r="D3385" s="4" t="str" cm="1">
        <f t="array" ref="D3385">IFERROR(INDEX(EmployeeData[Department], ROW() - 37), "")</f>
        <v/>
      </c>
      <c r="E3385" s="4" t="str" cm="1">
        <f t="array" ref="E3385">IFERROR(INDEX(EmployeeData[Gender], ROW() - 37), "")</f>
        <v/>
      </c>
      <c r="F3385" s="4" t="str" cm="1">
        <f t="array" ref="F3385">IFERROR(INDEX(EmployeeData[Age], ROW() - 37), "")</f>
        <v/>
      </c>
      <c r="G3385" s="6" t="str" cm="1">
        <f t="array" ref="G3385">IFERROR(INDEX(EmployeeData[Join Date], ROW() - 37), "")</f>
        <v/>
      </c>
      <c r="H3385" s="6" t="str" cm="1">
        <f t="array" ref="H3385">IFERROR(IF(INDEX(EmployeeData[Exit Date], ROW() - 37)=0, "",INDEX(EmployeeData[Exit Date], ROW() - 37)),"")</f>
        <v/>
      </c>
      <c r="I3385" s="4" t="str" cm="1">
        <f t="array" ref="I3385">IFERROR(IF(INDEX(EmployeeData[Exit Reason], ROW() - 37)=0, "",INDEX(EmployeeData[Exit Reason], ROW() - 37)),"")</f>
        <v/>
      </c>
      <c r="J3385" s="4" t="str" cm="1">
        <f t="array" ref="J3385">IFERROR(INDEX(EmployeeData[Status], ROW() - 37), "")</f>
        <v/>
      </c>
    </row>
    <row r="3386" spans="2:10" ht="19.95" customHeight="1" x14ac:dyDescent="0.3">
      <c r="B3386" s="4" t="str" cm="1">
        <f t="array" ref="B3386">IFERROR(INDEX(EmployeeData[Employee ID], ROW() - 37), "")</f>
        <v/>
      </c>
      <c r="C3386" s="4" t="str" cm="1">
        <f t="array" ref="C3386">IFERROR(INDEX(EmployeeData[Full Name], ROW() - 37), "")</f>
        <v/>
      </c>
      <c r="D3386" s="4" t="str" cm="1">
        <f t="array" ref="D3386">IFERROR(INDEX(EmployeeData[Department], ROW() - 37), "")</f>
        <v/>
      </c>
      <c r="E3386" s="4" t="str" cm="1">
        <f t="array" ref="E3386">IFERROR(INDEX(EmployeeData[Gender], ROW() - 37), "")</f>
        <v/>
      </c>
      <c r="F3386" s="4" t="str" cm="1">
        <f t="array" ref="F3386">IFERROR(INDEX(EmployeeData[Age], ROW() - 37), "")</f>
        <v/>
      </c>
      <c r="G3386" s="6" t="str" cm="1">
        <f t="array" ref="G3386">IFERROR(INDEX(EmployeeData[Join Date], ROW() - 37), "")</f>
        <v/>
      </c>
      <c r="H3386" s="6" t="str" cm="1">
        <f t="array" ref="H3386">IFERROR(IF(INDEX(EmployeeData[Exit Date], ROW() - 37)=0, "",INDEX(EmployeeData[Exit Date], ROW() - 37)),"")</f>
        <v/>
      </c>
      <c r="I3386" s="4" t="str" cm="1">
        <f t="array" ref="I3386">IFERROR(IF(INDEX(EmployeeData[Exit Reason], ROW() - 37)=0, "",INDEX(EmployeeData[Exit Reason], ROW() - 37)),"")</f>
        <v/>
      </c>
      <c r="J3386" s="4" t="str" cm="1">
        <f t="array" ref="J3386">IFERROR(INDEX(EmployeeData[Status], ROW() - 37), "")</f>
        <v/>
      </c>
    </row>
    <row r="3387" spans="2:10" ht="19.95" customHeight="1" x14ac:dyDescent="0.3">
      <c r="B3387" s="4" t="str" cm="1">
        <f t="array" ref="B3387">IFERROR(INDEX(EmployeeData[Employee ID], ROW() - 37), "")</f>
        <v/>
      </c>
      <c r="C3387" s="4" t="str" cm="1">
        <f t="array" ref="C3387">IFERROR(INDEX(EmployeeData[Full Name], ROW() - 37), "")</f>
        <v/>
      </c>
      <c r="D3387" s="4" t="str" cm="1">
        <f t="array" ref="D3387">IFERROR(INDEX(EmployeeData[Department], ROW() - 37), "")</f>
        <v/>
      </c>
      <c r="E3387" s="4" t="str" cm="1">
        <f t="array" ref="E3387">IFERROR(INDEX(EmployeeData[Gender], ROW() - 37), "")</f>
        <v/>
      </c>
      <c r="F3387" s="4" t="str" cm="1">
        <f t="array" ref="F3387">IFERROR(INDEX(EmployeeData[Age], ROW() - 37), "")</f>
        <v/>
      </c>
      <c r="G3387" s="6" t="str" cm="1">
        <f t="array" ref="G3387">IFERROR(INDEX(EmployeeData[Join Date], ROW() - 37), "")</f>
        <v/>
      </c>
      <c r="H3387" s="6" t="str" cm="1">
        <f t="array" ref="H3387">IFERROR(IF(INDEX(EmployeeData[Exit Date], ROW() - 37)=0, "",INDEX(EmployeeData[Exit Date], ROW() - 37)),"")</f>
        <v/>
      </c>
      <c r="I3387" s="4" t="str" cm="1">
        <f t="array" ref="I3387">IFERROR(IF(INDEX(EmployeeData[Exit Reason], ROW() - 37)=0, "",INDEX(EmployeeData[Exit Reason], ROW() - 37)),"")</f>
        <v/>
      </c>
      <c r="J3387" s="4" t="str" cm="1">
        <f t="array" ref="J3387">IFERROR(INDEX(EmployeeData[Status], ROW() - 37), "")</f>
        <v/>
      </c>
    </row>
    <row r="3388" spans="2:10" ht="19.95" customHeight="1" x14ac:dyDescent="0.3">
      <c r="B3388" s="4" t="str" cm="1">
        <f t="array" ref="B3388">IFERROR(INDEX(EmployeeData[Employee ID], ROW() - 37), "")</f>
        <v/>
      </c>
      <c r="C3388" s="4" t="str" cm="1">
        <f t="array" ref="C3388">IFERROR(INDEX(EmployeeData[Full Name], ROW() - 37), "")</f>
        <v/>
      </c>
      <c r="D3388" s="4" t="str" cm="1">
        <f t="array" ref="D3388">IFERROR(INDEX(EmployeeData[Department], ROW() - 37), "")</f>
        <v/>
      </c>
      <c r="E3388" s="4" t="str" cm="1">
        <f t="array" ref="E3388">IFERROR(INDEX(EmployeeData[Gender], ROW() - 37), "")</f>
        <v/>
      </c>
      <c r="F3388" s="4" t="str" cm="1">
        <f t="array" ref="F3388">IFERROR(INDEX(EmployeeData[Age], ROW() - 37), "")</f>
        <v/>
      </c>
      <c r="G3388" s="6" t="str" cm="1">
        <f t="array" ref="G3388">IFERROR(INDEX(EmployeeData[Join Date], ROW() - 37), "")</f>
        <v/>
      </c>
      <c r="H3388" s="6" t="str" cm="1">
        <f t="array" ref="H3388">IFERROR(IF(INDEX(EmployeeData[Exit Date], ROW() - 37)=0, "",INDEX(EmployeeData[Exit Date], ROW() - 37)),"")</f>
        <v/>
      </c>
      <c r="I3388" s="4" t="str" cm="1">
        <f t="array" ref="I3388">IFERROR(IF(INDEX(EmployeeData[Exit Reason], ROW() - 37)=0, "",INDEX(EmployeeData[Exit Reason], ROW() - 37)),"")</f>
        <v/>
      </c>
      <c r="J3388" s="4" t="str" cm="1">
        <f t="array" ref="J3388">IFERROR(INDEX(EmployeeData[Status], ROW() - 37), "")</f>
        <v/>
      </c>
    </row>
    <row r="3389" spans="2:10" ht="19.95" customHeight="1" x14ac:dyDescent="0.3">
      <c r="B3389" s="4" t="str" cm="1">
        <f t="array" ref="B3389">IFERROR(INDEX(EmployeeData[Employee ID], ROW() - 37), "")</f>
        <v/>
      </c>
      <c r="C3389" s="4" t="str" cm="1">
        <f t="array" ref="C3389">IFERROR(INDEX(EmployeeData[Full Name], ROW() - 37), "")</f>
        <v/>
      </c>
      <c r="D3389" s="4" t="str" cm="1">
        <f t="array" ref="D3389">IFERROR(INDEX(EmployeeData[Department], ROW() - 37), "")</f>
        <v/>
      </c>
      <c r="E3389" s="4" t="str" cm="1">
        <f t="array" ref="E3389">IFERROR(INDEX(EmployeeData[Gender], ROW() - 37), "")</f>
        <v/>
      </c>
      <c r="F3389" s="4" t="str" cm="1">
        <f t="array" ref="F3389">IFERROR(INDEX(EmployeeData[Age], ROW() - 37), "")</f>
        <v/>
      </c>
      <c r="G3389" s="6" t="str" cm="1">
        <f t="array" ref="G3389">IFERROR(INDEX(EmployeeData[Join Date], ROW() - 37), "")</f>
        <v/>
      </c>
      <c r="H3389" s="6" t="str" cm="1">
        <f t="array" ref="H3389">IFERROR(IF(INDEX(EmployeeData[Exit Date], ROW() - 37)=0, "",INDEX(EmployeeData[Exit Date], ROW() - 37)),"")</f>
        <v/>
      </c>
      <c r="I3389" s="4" t="str" cm="1">
        <f t="array" ref="I3389">IFERROR(IF(INDEX(EmployeeData[Exit Reason], ROW() - 37)=0, "",INDEX(EmployeeData[Exit Reason], ROW() - 37)),"")</f>
        <v/>
      </c>
      <c r="J3389" s="4" t="str" cm="1">
        <f t="array" ref="J3389">IFERROR(INDEX(EmployeeData[Status], ROW() - 37), "")</f>
        <v/>
      </c>
    </row>
    <row r="3390" spans="2:10" ht="19.95" customHeight="1" x14ac:dyDescent="0.3">
      <c r="B3390" s="4" t="str" cm="1">
        <f t="array" ref="B3390">IFERROR(INDEX(EmployeeData[Employee ID], ROW() - 37), "")</f>
        <v/>
      </c>
      <c r="C3390" s="4" t="str" cm="1">
        <f t="array" ref="C3390">IFERROR(INDEX(EmployeeData[Full Name], ROW() - 37), "")</f>
        <v/>
      </c>
      <c r="D3390" s="4" t="str" cm="1">
        <f t="array" ref="D3390">IFERROR(INDEX(EmployeeData[Department], ROW() - 37), "")</f>
        <v/>
      </c>
      <c r="E3390" s="4" t="str" cm="1">
        <f t="array" ref="E3390">IFERROR(INDEX(EmployeeData[Gender], ROW() - 37), "")</f>
        <v/>
      </c>
      <c r="F3390" s="4" t="str" cm="1">
        <f t="array" ref="F3390">IFERROR(INDEX(EmployeeData[Age], ROW() - 37), "")</f>
        <v/>
      </c>
      <c r="G3390" s="6" t="str" cm="1">
        <f t="array" ref="G3390">IFERROR(INDEX(EmployeeData[Join Date], ROW() - 37), "")</f>
        <v/>
      </c>
      <c r="H3390" s="6" t="str" cm="1">
        <f t="array" ref="H3390">IFERROR(IF(INDEX(EmployeeData[Exit Date], ROW() - 37)=0, "",INDEX(EmployeeData[Exit Date], ROW() - 37)),"")</f>
        <v/>
      </c>
      <c r="I3390" s="4" t="str" cm="1">
        <f t="array" ref="I3390">IFERROR(IF(INDEX(EmployeeData[Exit Reason], ROW() - 37)=0, "",INDEX(EmployeeData[Exit Reason], ROW() - 37)),"")</f>
        <v/>
      </c>
      <c r="J3390" s="4" t="str" cm="1">
        <f t="array" ref="J3390">IFERROR(INDEX(EmployeeData[Status], ROW() - 37), "")</f>
        <v/>
      </c>
    </row>
    <row r="3391" spans="2:10" ht="19.95" customHeight="1" x14ac:dyDescent="0.3">
      <c r="B3391" s="4" t="str" cm="1">
        <f t="array" ref="B3391">IFERROR(INDEX(EmployeeData[Employee ID], ROW() - 37), "")</f>
        <v/>
      </c>
      <c r="C3391" s="4" t="str" cm="1">
        <f t="array" ref="C3391">IFERROR(INDEX(EmployeeData[Full Name], ROW() - 37), "")</f>
        <v/>
      </c>
      <c r="D3391" s="4" t="str" cm="1">
        <f t="array" ref="D3391">IFERROR(INDEX(EmployeeData[Department], ROW() - 37), "")</f>
        <v/>
      </c>
      <c r="E3391" s="4" t="str" cm="1">
        <f t="array" ref="E3391">IFERROR(INDEX(EmployeeData[Gender], ROW() - 37), "")</f>
        <v/>
      </c>
      <c r="F3391" s="4" t="str" cm="1">
        <f t="array" ref="F3391">IFERROR(INDEX(EmployeeData[Age], ROW() - 37), "")</f>
        <v/>
      </c>
      <c r="G3391" s="6" t="str" cm="1">
        <f t="array" ref="G3391">IFERROR(INDEX(EmployeeData[Join Date], ROW() - 37), "")</f>
        <v/>
      </c>
      <c r="H3391" s="6" t="str" cm="1">
        <f t="array" ref="H3391">IFERROR(IF(INDEX(EmployeeData[Exit Date], ROW() - 37)=0, "",INDEX(EmployeeData[Exit Date], ROW() - 37)),"")</f>
        <v/>
      </c>
      <c r="I3391" s="4" t="str" cm="1">
        <f t="array" ref="I3391">IFERROR(IF(INDEX(EmployeeData[Exit Reason], ROW() - 37)=0, "",INDEX(EmployeeData[Exit Reason], ROW() - 37)),"")</f>
        <v/>
      </c>
      <c r="J3391" s="4" t="str" cm="1">
        <f t="array" ref="J3391">IFERROR(INDEX(EmployeeData[Status], ROW() - 37), "")</f>
        <v/>
      </c>
    </row>
    <row r="3392" spans="2:10" ht="19.95" customHeight="1" x14ac:dyDescent="0.3">
      <c r="B3392" s="4" t="str" cm="1">
        <f t="array" ref="B3392">IFERROR(INDEX(EmployeeData[Employee ID], ROW() - 37), "")</f>
        <v/>
      </c>
      <c r="C3392" s="4" t="str" cm="1">
        <f t="array" ref="C3392">IFERROR(INDEX(EmployeeData[Full Name], ROW() - 37), "")</f>
        <v/>
      </c>
      <c r="D3392" s="4" t="str" cm="1">
        <f t="array" ref="D3392">IFERROR(INDEX(EmployeeData[Department], ROW() - 37), "")</f>
        <v/>
      </c>
      <c r="E3392" s="4" t="str" cm="1">
        <f t="array" ref="E3392">IFERROR(INDEX(EmployeeData[Gender], ROW() - 37), "")</f>
        <v/>
      </c>
      <c r="F3392" s="4" t="str" cm="1">
        <f t="array" ref="F3392">IFERROR(INDEX(EmployeeData[Age], ROW() - 37), "")</f>
        <v/>
      </c>
      <c r="G3392" s="6" t="str" cm="1">
        <f t="array" ref="G3392">IFERROR(INDEX(EmployeeData[Join Date], ROW() - 37), "")</f>
        <v/>
      </c>
      <c r="H3392" s="6" t="str" cm="1">
        <f t="array" ref="H3392">IFERROR(IF(INDEX(EmployeeData[Exit Date], ROW() - 37)=0, "",INDEX(EmployeeData[Exit Date], ROW() - 37)),"")</f>
        <v/>
      </c>
      <c r="I3392" s="4" t="str" cm="1">
        <f t="array" ref="I3392">IFERROR(IF(INDEX(EmployeeData[Exit Reason], ROW() - 37)=0, "",INDEX(EmployeeData[Exit Reason], ROW() - 37)),"")</f>
        <v/>
      </c>
      <c r="J3392" s="4" t="str" cm="1">
        <f t="array" ref="J3392">IFERROR(INDEX(EmployeeData[Status], ROW() - 37), "")</f>
        <v/>
      </c>
    </row>
    <row r="3393" spans="2:10" ht="19.95" customHeight="1" x14ac:dyDescent="0.3">
      <c r="B3393" s="4" t="str" cm="1">
        <f t="array" ref="B3393">IFERROR(INDEX(EmployeeData[Employee ID], ROW() - 37), "")</f>
        <v/>
      </c>
      <c r="C3393" s="4" t="str" cm="1">
        <f t="array" ref="C3393">IFERROR(INDEX(EmployeeData[Full Name], ROW() - 37), "")</f>
        <v/>
      </c>
      <c r="D3393" s="4" t="str" cm="1">
        <f t="array" ref="D3393">IFERROR(INDEX(EmployeeData[Department], ROW() - 37), "")</f>
        <v/>
      </c>
      <c r="E3393" s="4" t="str" cm="1">
        <f t="array" ref="E3393">IFERROR(INDEX(EmployeeData[Gender], ROW() - 37), "")</f>
        <v/>
      </c>
      <c r="F3393" s="4" t="str" cm="1">
        <f t="array" ref="F3393">IFERROR(INDEX(EmployeeData[Age], ROW() - 37), "")</f>
        <v/>
      </c>
      <c r="G3393" s="6" t="str" cm="1">
        <f t="array" ref="G3393">IFERROR(INDEX(EmployeeData[Join Date], ROW() - 37), "")</f>
        <v/>
      </c>
      <c r="H3393" s="6" t="str" cm="1">
        <f t="array" ref="H3393">IFERROR(IF(INDEX(EmployeeData[Exit Date], ROW() - 37)=0, "",INDEX(EmployeeData[Exit Date], ROW() - 37)),"")</f>
        <v/>
      </c>
      <c r="I3393" s="4" t="str" cm="1">
        <f t="array" ref="I3393">IFERROR(IF(INDEX(EmployeeData[Exit Reason], ROW() - 37)=0, "",INDEX(EmployeeData[Exit Reason], ROW() - 37)),"")</f>
        <v/>
      </c>
      <c r="J3393" s="4" t="str" cm="1">
        <f t="array" ref="J3393">IFERROR(INDEX(EmployeeData[Status], ROW() - 37), "")</f>
        <v/>
      </c>
    </row>
    <row r="3394" spans="2:10" ht="19.95" customHeight="1" x14ac:dyDescent="0.3">
      <c r="B3394" s="4" t="str" cm="1">
        <f t="array" ref="B3394">IFERROR(INDEX(EmployeeData[Employee ID], ROW() - 37), "")</f>
        <v/>
      </c>
      <c r="C3394" s="4" t="str" cm="1">
        <f t="array" ref="C3394">IFERROR(INDEX(EmployeeData[Full Name], ROW() - 37), "")</f>
        <v/>
      </c>
      <c r="D3394" s="4" t="str" cm="1">
        <f t="array" ref="D3394">IFERROR(INDEX(EmployeeData[Department], ROW() - 37), "")</f>
        <v/>
      </c>
      <c r="E3394" s="4" t="str" cm="1">
        <f t="array" ref="E3394">IFERROR(INDEX(EmployeeData[Gender], ROW() - 37), "")</f>
        <v/>
      </c>
      <c r="F3394" s="4" t="str" cm="1">
        <f t="array" ref="F3394">IFERROR(INDEX(EmployeeData[Age], ROW() - 37), "")</f>
        <v/>
      </c>
      <c r="G3394" s="6" t="str" cm="1">
        <f t="array" ref="G3394">IFERROR(INDEX(EmployeeData[Join Date], ROW() - 37), "")</f>
        <v/>
      </c>
      <c r="H3394" s="6" t="str" cm="1">
        <f t="array" ref="H3394">IFERROR(IF(INDEX(EmployeeData[Exit Date], ROW() - 37)=0, "",INDEX(EmployeeData[Exit Date], ROW() - 37)),"")</f>
        <v/>
      </c>
      <c r="I3394" s="4" t="str" cm="1">
        <f t="array" ref="I3394">IFERROR(IF(INDEX(EmployeeData[Exit Reason], ROW() - 37)=0, "",INDEX(EmployeeData[Exit Reason], ROW() - 37)),"")</f>
        <v/>
      </c>
      <c r="J3394" s="4" t="str" cm="1">
        <f t="array" ref="J3394">IFERROR(INDEX(EmployeeData[Status], ROW() - 37), "")</f>
        <v/>
      </c>
    </row>
    <row r="3395" spans="2:10" ht="19.95" customHeight="1" x14ac:dyDescent="0.3">
      <c r="B3395" s="4" t="str" cm="1">
        <f t="array" ref="B3395">IFERROR(INDEX(EmployeeData[Employee ID], ROW() - 37), "")</f>
        <v/>
      </c>
      <c r="C3395" s="4" t="str" cm="1">
        <f t="array" ref="C3395">IFERROR(INDEX(EmployeeData[Full Name], ROW() - 37), "")</f>
        <v/>
      </c>
      <c r="D3395" s="4" t="str" cm="1">
        <f t="array" ref="D3395">IFERROR(INDEX(EmployeeData[Department], ROW() - 37), "")</f>
        <v/>
      </c>
      <c r="E3395" s="4" t="str" cm="1">
        <f t="array" ref="E3395">IFERROR(INDEX(EmployeeData[Gender], ROW() - 37), "")</f>
        <v/>
      </c>
      <c r="F3395" s="4" t="str" cm="1">
        <f t="array" ref="F3395">IFERROR(INDEX(EmployeeData[Age], ROW() - 37), "")</f>
        <v/>
      </c>
      <c r="G3395" s="6" t="str" cm="1">
        <f t="array" ref="G3395">IFERROR(INDEX(EmployeeData[Join Date], ROW() - 37), "")</f>
        <v/>
      </c>
      <c r="H3395" s="6" t="str" cm="1">
        <f t="array" ref="H3395">IFERROR(IF(INDEX(EmployeeData[Exit Date], ROW() - 37)=0, "",INDEX(EmployeeData[Exit Date], ROW() - 37)),"")</f>
        <v/>
      </c>
      <c r="I3395" s="4" t="str" cm="1">
        <f t="array" ref="I3395">IFERROR(IF(INDEX(EmployeeData[Exit Reason], ROW() - 37)=0, "",INDEX(EmployeeData[Exit Reason], ROW() - 37)),"")</f>
        <v/>
      </c>
      <c r="J3395" s="4" t="str" cm="1">
        <f t="array" ref="J3395">IFERROR(INDEX(EmployeeData[Status], ROW() - 37), "")</f>
        <v/>
      </c>
    </row>
    <row r="3396" spans="2:10" ht="19.95" customHeight="1" x14ac:dyDescent="0.3">
      <c r="B3396" s="4" t="str" cm="1">
        <f t="array" ref="B3396">IFERROR(INDEX(EmployeeData[Employee ID], ROW() - 37), "")</f>
        <v/>
      </c>
      <c r="C3396" s="4" t="str" cm="1">
        <f t="array" ref="C3396">IFERROR(INDEX(EmployeeData[Full Name], ROW() - 37), "")</f>
        <v/>
      </c>
      <c r="D3396" s="4" t="str" cm="1">
        <f t="array" ref="D3396">IFERROR(INDEX(EmployeeData[Department], ROW() - 37), "")</f>
        <v/>
      </c>
      <c r="E3396" s="4" t="str" cm="1">
        <f t="array" ref="E3396">IFERROR(INDEX(EmployeeData[Gender], ROW() - 37), "")</f>
        <v/>
      </c>
      <c r="F3396" s="4" t="str" cm="1">
        <f t="array" ref="F3396">IFERROR(INDEX(EmployeeData[Age], ROW() - 37), "")</f>
        <v/>
      </c>
      <c r="G3396" s="6" t="str" cm="1">
        <f t="array" ref="G3396">IFERROR(INDEX(EmployeeData[Join Date], ROW() - 37), "")</f>
        <v/>
      </c>
      <c r="H3396" s="6" t="str" cm="1">
        <f t="array" ref="H3396">IFERROR(IF(INDEX(EmployeeData[Exit Date], ROW() - 37)=0, "",INDEX(EmployeeData[Exit Date], ROW() - 37)),"")</f>
        <v/>
      </c>
      <c r="I3396" s="4" t="str" cm="1">
        <f t="array" ref="I3396">IFERROR(IF(INDEX(EmployeeData[Exit Reason], ROW() - 37)=0, "",INDEX(EmployeeData[Exit Reason], ROW() - 37)),"")</f>
        <v/>
      </c>
      <c r="J3396" s="4" t="str" cm="1">
        <f t="array" ref="J3396">IFERROR(INDEX(EmployeeData[Status], ROW() - 37), "")</f>
        <v/>
      </c>
    </row>
    <row r="3397" spans="2:10" ht="19.95" customHeight="1" x14ac:dyDescent="0.3">
      <c r="B3397" s="4" t="str" cm="1">
        <f t="array" ref="B3397">IFERROR(INDEX(EmployeeData[Employee ID], ROW() - 37), "")</f>
        <v/>
      </c>
      <c r="C3397" s="4" t="str" cm="1">
        <f t="array" ref="C3397">IFERROR(INDEX(EmployeeData[Full Name], ROW() - 37), "")</f>
        <v/>
      </c>
      <c r="D3397" s="4" t="str" cm="1">
        <f t="array" ref="D3397">IFERROR(INDEX(EmployeeData[Department], ROW() - 37), "")</f>
        <v/>
      </c>
      <c r="E3397" s="4" t="str" cm="1">
        <f t="array" ref="E3397">IFERROR(INDEX(EmployeeData[Gender], ROW() - 37), "")</f>
        <v/>
      </c>
      <c r="F3397" s="4" t="str" cm="1">
        <f t="array" ref="F3397">IFERROR(INDEX(EmployeeData[Age], ROW() - 37), "")</f>
        <v/>
      </c>
      <c r="G3397" s="6" t="str" cm="1">
        <f t="array" ref="G3397">IFERROR(INDEX(EmployeeData[Join Date], ROW() - 37), "")</f>
        <v/>
      </c>
      <c r="H3397" s="6" t="str" cm="1">
        <f t="array" ref="H3397">IFERROR(IF(INDEX(EmployeeData[Exit Date], ROW() - 37)=0, "",INDEX(EmployeeData[Exit Date], ROW() - 37)),"")</f>
        <v/>
      </c>
      <c r="I3397" s="4" t="str" cm="1">
        <f t="array" ref="I3397">IFERROR(IF(INDEX(EmployeeData[Exit Reason], ROW() - 37)=0, "",INDEX(EmployeeData[Exit Reason], ROW() - 37)),"")</f>
        <v/>
      </c>
      <c r="J3397" s="4" t="str" cm="1">
        <f t="array" ref="J3397">IFERROR(INDEX(EmployeeData[Status], ROW() - 37), "")</f>
        <v/>
      </c>
    </row>
    <row r="3398" spans="2:10" ht="19.95" customHeight="1" x14ac:dyDescent="0.3">
      <c r="B3398" s="4" t="str" cm="1">
        <f t="array" ref="B3398">IFERROR(INDEX(EmployeeData[Employee ID], ROW() - 37), "")</f>
        <v/>
      </c>
      <c r="C3398" s="4" t="str" cm="1">
        <f t="array" ref="C3398">IFERROR(INDEX(EmployeeData[Full Name], ROW() - 37), "")</f>
        <v/>
      </c>
      <c r="D3398" s="4" t="str" cm="1">
        <f t="array" ref="D3398">IFERROR(INDEX(EmployeeData[Department], ROW() - 37), "")</f>
        <v/>
      </c>
      <c r="E3398" s="4" t="str" cm="1">
        <f t="array" ref="E3398">IFERROR(INDEX(EmployeeData[Gender], ROW() - 37), "")</f>
        <v/>
      </c>
      <c r="F3398" s="4" t="str" cm="1">
        <f t="array" ref="F3398">IFERROR(INDEX(EmployeeData[Age], ROW() - 37), "")</f>
        <v/>
      </c>
      <c r="G3398" s="6" t="str" cm="1">
        <f t="array" ref="G3398">IFERROR(INDEX(EmployeeData[Join Date], ROW() - 37), "")</f>
        <v/>
      </c>
      <c r="H3398" s="6" t="str" cm="1">
        <f t="array" ref="H3398">IFERROR(IF(INDEX(EmployeeData[Exit Date], ROW() - 37)=0, "",INDEX(EmployeeData[Exit Date], ROW() - 37)),"")</f>
        <v/>
      </c>
      <c r="I3398" s="4" t="str" cm="1">
        <f t="array" ref="I3398">IFERROR(IF(INDEX(EmployeeData[Exit Reason], ROW() - 37)=0, "",INDEX(EmployeeData[Exit Reason], ROW() - 37)),"")</f>
        <v/>
      </c>
      <c r="J3398" s="4" t="str" cm="1">
        <f t="array" ref="J3398">IFERROR(INDEX(EmployeeData[Status], ROW() - 37), "")</f>
        <v/>
      </c>
    </row>
    <row r="3399" spans="2:10" ht="19.95" customHeight="1" x14ac:dyDescent="0.3">
      <c r="B3399" s="4" t="str" cm="1">
        <f t="array" ref="B3399">IFERROR(INDEX(EmployeeData[Employee ID], ROW() - 37), "")</f>
        <v/>
      </c>
      <c r="C3399" s="4" t="str" cm="1">
        <f t="array" ref="C3399">IFERROR(INDEX(EmployeeData[Full Name], ROW() - 37), "")</f>
        <v/>
      </c>
      <c r="D3399" s="4" t="str" cm="1">
        <f t="array" ref="D3399">IFERROR(INDEX(EmployeeData[Department], ROW() - 37), "")</f>
        <v/>
      </c>
      <c r="E3399" s="4" t="str" cm="1">
        <f t="array" ref="E3399">IFERROR(INDEX(EmployeeData[Gender], ROW() - 37), "")</f>
        <v/>
      </c>
      <c r="F3399" s="4" t="str" cm="1">
        <f t="array" ref="F3399">IFERROR(INDEX(EmployeeData[Age], ROW() - 37), "")</f>
        <v/>
      </c>
      <c r="G3399" s="6" t="str" cm="1">
        <f t="array" ref="G3399">IFERROR(INDEX(EmployeeData[Join Date], ROW() - 37), "")</f>
        <v/>
      </c>
      <c r="H3399" s="6" t="str" cm="1">
        <f t="array" ref="H3399">IFERROR(IF(INDEX(EmployeeData[Exit Date], ROW() - 37)=0, "",INDEX(EmployeeData[Exit Date], ROW() - 37)),"")</f>
        <v/>
      </c>
      <c r="I3399" s="4" t="str" cm="1">
        <f t="array" ref="I3399">IFERROR(IF(INDEX(EmployeeData[Exit Reason], ROW() - 37)=0, "",INDEX(EmployeeData[Exit Reason], ROW() - 37)),"")</f>
        <v/>
      </c>
      <c r="J3399" s="4" t="str" cm="1">
        <f t="array" ref="J3399">IFERROR(INDEX(EmployeeData[Status], ROW() - 37), "")</f>
        <v/>
      </c>
    </row>
    <row r="3400" spans="2:10" ht="19.95" customHeight="1" x14ac:dyDescent="0.3">
      <c r="B3400" s="4" t="str" cm="1">
        <f t="array" ref="B3400">IFERROR(INDEX(EmployeeData[Employee ID], ROW() - 37), "")</f>
        <v/>
      </c>
      <c r="C3400" s="4" t="str" cm="1">
        <f t="array" ref="C3400">IFERROR(INDEX(EmployeeData[Full Name], ROW() - 37), "")</f>
        <v/>
      </c>
      <c r="D3400" s="4" t="str" cm="1">
        <f t="array" ref="D3400">IFERROR(INDEX(EmployeeData[Department], ROW() - 37), "")</f>
        <v/>
      </c>
      <c r="E3400" s="4" t="str" cm="1">
        <f t="array" ref="E3400">IFERROR(INDEX(EmployeeData[Gender], ROW() - 37), "")</f>
        <v/>
      </c>
      <c r="F3400" s="4" t="str" cm="1">
        <f t="array" ref="F3400">IFERROR(INDEX(EmployeeData[Age], ROW() - 37), "")</f>
        <v/>
      </c>
      <c r="G3400" s="6" t="str" cm="1">
        <f t="array" ref="G3400">IFERROR(INDEX(EmployeeData[Join Date], ROW() - 37), "")</f>
        <v/>
      </c>
      <c r="H3400" s="6" t="str" cm="1">
        <f t="array" ref="H3400">IFERROR(IF(INDEX(EmployeeData[Exit Date], ROW() - 37)=0, "",INDEX(EmployeeData[Exit Date], ROW() - 37)),"")</f>
        <v/>
      </c>
      <c r="I3400" s="4" t="str" cm="1">
        <f t="array" ref="I3400">IFERROR(IF(INDEX(EmployeeData[Exit Reason], ROW() - 37)=0, "",INDEX(EmployeeData[Exit Reason], ROW() - 37)),"")</f>
        <v/>
      </c>
      <c r="J3400" s="4" t="str" cm="1">
        <f t="array" ref="J3400">IFERROR(INDEX(EmployeeData[Status], ROW() - 37), "")</f>
        <v/>
      </c>
    </row>
    <row r="3401" spans="2:10" ht="19.95" customHeight="1" x14ac:dyDescent="0.3">
      <c r="B3401" s="4" t="str" cm="1">
        <f t="array" ref="B3401">IFERROR(INDEX(EmployeeData[Employee ID], ROW() - 37), "")</f>
        <v/>
      </c>
      <c r="C3401" s="4" t="str" cm="1">
        <f t="array" ref="C3401">IFERROR(INDEX(EmployeeData[Full Name], ROW() - 37), "")</f>
        <v/>
      </c>
      <c r="D3401" s="4" t="str" cm="1">
        <f t="array" ref="D3401">IFERROR(INDEX(EmployeeData[Department], ROW() - 37), "")</f>
        <v/>
      </c>
      <c r="E3401" s="4" t="str" cm="1">
        <f t="array" ref="E3401">IFERROR(INDEX(EmployeeData[Gender], ROW() - 37), "")</f>
        <v/>
      </c>
      <c r="F3401" s="4" t="str" cm="1">
        <f t="array" ref="F3401">IFERROR(INDEX(EmployeeData[Age], ROW() - 37), "")</f>
        <v/>
      </c>
      <c r="G3401" s="6" t="str" cm="1">
        <f t="array" ref="G3401">IFERROR(INDEX(EmployeeData[Join Date], ROW() - 37), "")</f>
        <v/>
      </c>
      <c r="H3401" s="6" t="str" cm="1">
        <f t="array" ref="H3401">IFERROR(IF(INDEX(EmployeeData[Exit Date], ROW() - 37)=0, "",INDEX(EmployeeData[Exit Date], ROW() - 37)),"")</f>
        <v/>
      </c>
      <c r="I3401" s="4" t="str" cm="1">
        <f t="array" ref="I3401">IFERROR(IF(INDEX(EmployeeData[Exit Reason], ROW() - 37)=0, "",INDEX(EmployeeData[Exit Reason], ROW() - 37)),"")</f>
        <v/>
      </c>
      <c r="J3401" s="4" t="str" cm="1">
        <f t="array" ref="J3401">IFERROR(INDEX(EmployeeData[Status], ROW() - 37), "")</f>
        <v/>
      </c>
    </row>
    <row r="3402" spans="2:10" ht="19.95" customHeight="1" x14ac:dyDescent="0.3">
      <c r="B3402" s="4" t="str" cm="1">
        <f t="array" ref="B3402">IFERROR(INDEX(EmployeeData[Employee ID], ROW() - 37), "")</f>
        <v/>
      </c>
      <c r="C3402" s="4" t="str" cm="1">
        <f t="array" ref="C3402">IFERROR(INDEX(EmployeeData[Full Name], ROW() - 37), "")</f>
        <v/>
      </c>
      <c r="D3402" s="4" t="str" cm="1">
        <f t="array" ref="D3402">IFERROR(INDEX(EmployeeData[Department], ROW() - 37), "")</f>
        <v/>
      </c>
      <c r="E3402" s="4" t="str" cm="1">
        <f t="array" ref="E3402">IFERROR(INDEX(EmployeeData[Gender], ROW() - 37), "")</f>
        <v/>
      </c>
      <c r="F3402" s="4" t="str" cm="1">
        <f t="array" ref="F3402">IFERROR(INDEX(EmployeeData[Age], ROW() - 37), "")</f>
        <v/>
      </c>
      <c r="G3402" s="6" t="str" cm="1">
        <f t="array" ref="G3402">IFERROR(INDEX(EmployeeData[Join Date], ROW() - 37), "")</f>
        <v/>
      </c>
      <c r="H3402" s="6" t="str" cm="1">
        <f t="array" ref="H3402">IFERROR(IF(INDEX(EmployeeData[Exit Date], ROW() - 37)=0, "",INDEX(EmployeeData[Exit Date], ROW() - 37)),"")</f>
        <v/>
      </c>
      <c r="I3402" s="4" t="str" cm="1">
        <f t="array" ref="I3402">IFERROR(IF(INDEX(EmployeeData[Exit Reason], ROW() - 37)=0, "",INDEX(EmployeeData[Exit Reason], ROW() - 37)),"")</f>
        <v/>
      </c>
      <c r="J3402" s="4" t="str" cm="1">
        <f t="array" ref="J3402">IFERROR(INDEX(EmployeeData[Status], ROW() - 37), "")</f>
        <v/>
      </c>
    </row>
    <row r="3403" spans="2:10" ht="19.95" customHeight="1" x14ac:dyDescent="0.3">
      <c r="B3403" s="4" t="str" cm="1">
        <f t="array" ref="B3403">IFERROR(INDEX(EmployeeData[Employee ID], ROW() - 37), "")</f>
        <v/>
      </c>
      <c r="C3403" s="4" t="str" cm="1">
        <f t="array" ref="C3403">IFERROR(INDEX(EmployeeData[Full Name], ROW() - 37), "")</f>
        <v/>
      </c>
      <c r="D3403" s="4" t="str" cm="1">
        <f t="array" ref="D3403">IFERROR(INDEX(EmployeeData[Department], ROW() - 37), "")</f>
        <v/>
      </c>
      <c r="E3403" s="4" t="str" cm="1">
        <f t="array" ref="E3403">IFERROR(INDEX(EmployeeData[Gender], ROW() - 37), "")</f>
        <v/>
      </c>
      <c r="F3403" s="4" t="str" cm="1">
        <f t="array" ref="F3403">IFERROR(INDEX(EmployeeData[Age], ROW() - 37), "")</f>
        <v/>
      </c>
      <c r="G3403" s="6" t="str" cm="1">
        <f t="array" ref="G3403">IFERROR(INDEX(EmployeeData[Join Date], ROW() - 37), "")</f>
        <v/>
      </c>
      <c r="H3403" s="6" t="str" cm="1">
        <f t="array" ref="H3403">IFERROR(IF(INDEX(EmployeeData[Exit Date], ROW() - 37)=0, "",INDEX(EmployeeData[Exit Date], ROW() - 37)),"")</f>
        <v/>
      </c>
      <c r="I3403" s="4" t="str" cm="1">
        <f t="array" ref="I3403">IFERROR(IF(INDEX(EmployeeData[Exit Reason], ROW() - 37)=0, "",INDEX(EmployeeData[Exit Reason], ROW() - 37)),"")</f>
        <v/>
      </c>
      <c r="J3403" s="4" t="str" cm="1">
        <f t="array" ref="J3403">IFERROR(INDEX(EmployeeData[Status], ROW() - 37), "")</f>
        <v/>
      </c>
    </row>
    <row r="3404" spans="2:10" ht="19.95" customHeight="1" x14ac:dyDescent="0.3">
      <c r="B3404" s="4" t="str" cm="1">
        <f t="array" ref="B3404">IFERROR(INDEX(EmployeeData[Employee ID], ROW() - 37), "")</f>
        <v/>
      </c>
      <c r="C3404" s="4" t="str" cm="1">
        <f t="array" ref="C3404">IFERROR(INDEX(EmployeeData[Full Name], ROW() - 37), "")</f>
        <v/>
      </c>
      <c r="D3404" s="4" t="str" cm="1">
        <f t="array" ref="D3404">IFERROR(INDEX(EmployeeData[Department], ROW() - 37), "")</f>
        <v/>
      </c>
      <c r="E3404" s="4" t="str" cm="1">
        <f t="array" ref="E3404">IFERROR(INDEX(EmployeeData[Gender], ROW() - 37), "")</f>
        <v/>
      </c>
      <c r="F3404" s="4" t="str" cm="1">
        <f t="array" ref="F3404">IFERROR(INDEX(EmployeeData[Age], ROW() - 37), "")</f>
        <v/>
      </c>
      <c r="G3404" s="6" t="str" cm="1">
        <f t="array" ref="G3404">IFERROR(INDEX(EmployeeData[Join Date], ROW() - 37), "")</f>
        <v/>
      </c>
      <c r="H3404" s="6" t="str" cm="1">
        <f t="array" ref="H3404">IFERROR(IF(INDEX(EmployeeData[Exit Date], ROW() - 37)=0, "",INDEX(EmployeeData[Exit Date], ROW() - 37)),"")</f>
        <v/>
      </c>
      <c r="I3404" s="4" t="str" cm="1">
        <f t="array" ref="I3404">IFERROR(IF(INDEX(EmployeeData[Exit Reason], ROW() - 37)=0, "",INDEX(EmployeeData[Exit Reason], ROW() - 37)),"")</f>
        <v/>
      </c>
      <c r="J3404" s="4" t="str" cm="1">
        <f t="array" ref="J3404">IFERROR(INDEX(EmployeeData[Status], ROW() - 37), "")</f>
        <v/>
      </c>
    </row>
    <row r="3405" spans="2:10" ht="19.95" customHeight="1" x14ac:dyDescent="0.3">
      <c r="B3405" s="4" t="str" cm="1">
        <f t="array" ref="B3405">IFERROR(INDEX(EmployeeData[Employee ID], ROW() - 37), "")</f>
        <v/>
      </c>
      <c r="C3405" s="4" t="str" cm="1">
        <f t="array" ref="C3405">IFERROR(INDEX(EmployeeData[Full Name], ROW() - 37), "")</f>
        <v/>
      </c>
      <c r="D3405" s="4" t="str" cm="1">
        <f t="array" ref="D3405">IFERROR(INDEX(EmployeeData[Department], ROW() - 37), "")</f>
        <v/>
      </c>
      <c r="E3405" s="4" t="str" cm="1">
        <f t="array" ref="E3405">IFERROR(INDEX(EmployeeData[Gender], ROW() - 37), "")</f>
        <v/>
      </c>
      <c r="F3405" s="4" t="str" cm="1">
        <f t="array" ref="F3405">IFERROR(INDEX(EmployeeData[Age], ROW() - 37), "")</f>
        <v/>
      </c>
      <c r="G3405" s="6" t="str" cm="1">
        <f t="array" ref="G3405">IFERROR(INDEX(EmployeeData[Join Date], ROW() - 37), "")</f>
        <v/>
      </c>
      <c r="H3405" s="6" t="str" cm="1">
        <f t="array" ref="H3405">IFERROR(IF(INDEX(EmployeeData[Exit Date], ROW() - 37)=0, "",INDEX(EmployeeData[Exit Date], ROW() - 37)),"")</f>
        <v/>
      </c>
      <c r="I3405" s="4" t="str" cm="1">
        <f t="array" ref="I3405">IFERROR(IF(INDEX(EmployeeData[Exit Reason], ROW() - 37)=0, "",INDEX(EmployeeData[Exit Reason], ROW() - 37)),"")</f>
        <v/>
      </c>
      <c r="J3405" s="4" t="str" cm="1">
        <f t="array" ref="J3405">IFERROR(INDEX(EmployeeData[Status], ROW() - 37), "")</f>
        <v/>
      </c>
    </row>
    <row r="3406" spans="2:10" ht="19.95" customHeight="1" x14ac:dyDescent="0.3">
      <c r="B3406" s="4" t="str" cm="1">
        <f t="array" ref="B3406">IFERROR(INDEX(EmployeeData[Employee ID], ROW() - 37), "")</f>
        <v/>
      </c>
      <c r="C3406" s="4" t="str" cm="1">
        <f t="array" ref="C3406">IFERROR(INDEX(EmployeeData[Full Name], ROW() - 37), "")</f>
        <v/>
      </c>
      <c r="D3406" s="4" t="str" cm="1">
        <f t="array" ref="D3406">IFERROR(INDEX(EmployeeData[Department], ROW() - 37), "")</f>
        <v/>
      </c>
      <c r="E3406" s="4" t="str" cm="1">
        <f t="array" ref="E3406">IFERROR(INDEX(EmployeeData[Gender], ROW() - 37), "")</f>
        <v/>
      </c>
      <c r="F3406" s="4" t="str" cm="1">
        <f t="array" ref="F3406">IFERROR(INDEX(EmployeeData[Age], ROW() - 37), "")</f>
        <v/>
      </c>
      <c r="G3406" s="6" t="str" cm="1">
        <f t="array" ref="G3406">IFERROR(INDEX(EmployeeData[Join Date], ROW() - 37), "")</f>
        <v/>
      </c>
      <c r="H3406" s="6" t="str" cm="1">
        <f t="array" ref="H3406">IFERROR(IF(INDEX(EmployeeData[Exit Date], ROW() - 37)=0, "",INDEX(EmployeeData[Exit Date], ROW() - 37)),"")</f>
        <v/>
      </c>
      <c r="I3406" s="4" t="str" cm="1">
        <f t="array" ref="I3406">IFERROR(IF(INDEX(EmployeeData[Exit Reason], ROW() - 37)=0, "",INDEX(EmployeeData[Exit Reason], ROW() - 37)),"")</f>
        <v/>
      </c>
      <c r="J3406" s="4" t="str" cm="1">
        <f t="array" ref="J3406">IFERROR(INDEX(EmployeeData[Status], ROW() - 37), "")</f>
        <v/>
      </c>
    </row>
    <row r="3407" spans="2:10" ht="19.95" customHeight="1" x14ac:dyDescent="0.3">
      <c r="B3407" s="4" t="str" cm="1">
        <f t="array" ref="B3407">IFERROR(INDEX(EmployeeData[Employee ID], ROW() - 37), "")</f>
        <v/>
      </c>
      <c r="C3407" s="4" t="str" cm="1">
        <f t="array" ref="C3407">IFERROR(INDEX(EmployeeData[Full Name], ROW() - 37), "")</f>
        <v/>
      </c>
      <c r="D3407" s="4" t="str" cm="1">
        <f t="array" ref="D3407">IFERROR(INDEX(EmployeeData[Department], ROW() - 37), "")</f>
        <v/>
      </c>
      <c r="E3407" s="4" t="str" cm="1">
        <f t="array" ref="E3407">IFERROR(INDEX(EmployeeData[Gender], ROW() - 37), "")</f>
        <v/>
      </c>
      <c r="F3407" s="4" t="str" cm="1">
        <f t="array" ref="F3407">IFERROR(INDEX(EmployeeData[Age], ROW() - 37), "")</f>
        <v/>
      </c>
      <c r="G3407" s="6" t="str" cm="1">
        <f t="array" ref="G3407">IFERROR(INDEX(EmployeeData[Join Date], ROW() - 37), "")</f>
        <v/>
      </c>
      <c r="H3407" s="6" t="str" cm="1">
        <f t="array" ref="H3407">IFERROR(IF(INDEX(EmployeeData[Exit Date], ROW() - 37)=0, "",INDEX(EmployeeData[Exit Date], ROW() - 37)),"")</f>
        <v/>
      </c>
      <c r="I3407" s="4" t="str" cm="1">
        <f t="array" ref="I3407">IFERROR(IF(INDEX(EmployeeData[Exit Reason], ROW() - 37)=0, "",INDEX(EmployeeData[Exit Reason], ROW() - 37)),"")</f>
        <v/>
      </c>
      <c r="J3407" s="4" t="str" cm="1">
        <f t="array" ref="J3407">IFERROR(INDEX(EmployeeData[Status], ROW() - 37), "")</f>
        <v/>
      </c>
    </row>
    <row r="3408" spans="2:10" ht="19.95" customHeight="1" x14ac:dyDescent="0.3">
      <c r="B3408" s="4" t="str" cm="1">
        <f t="array" ref="B3408">IFERROR(INDEX(EmployeeData[Employee ID], ROW() - 37), "")</f>
        <v/>
      </c>
      <c r="C3408" s="4" t="str" cm="1">
        <f t="array" ref="C3408">IFERROR(INDEX(EmployeeData[Full Name], ROW() - 37), "")</f>
        <v/>
      </c>
      <c r="D3408" s="4" t="str" cm="1">
        <f t="array" ref="D3408">IFERROR(INDEX(EmployeeData[Department], ROW() - 37), "")</f>
        <v/>
      </c>
      <c r="E3408" s="4" t="str" cm="1">
        <f t="array" ref="E3408">IFERROR(INDEX(EmployeeData[Gender], ROW() - 37), "")</f>
        <v/>
      </c>
      <c r="F3408" s="4" t="str" cm="1">
        <f t="array" ref="F3408">IFERROR(INDEX(EmployeeData[Age], ROW() - 37), "")</f>
        <v/>
      </c>
      <c r="G3408" s="6" t="str" cm="1">
        <f t="array" ref="G3408">IFERROR(INDEX(EmployeeData[Join Date], ROW() - 37), "")</f>
        <v/>
      </c>
      <c r="H3408" s="6" t="str" cm="1">
        <f t="array" ref="H3408">IFERROR(IF(INDEX(EmployeeData[Exit Date], ROW() - 37)=0, "",INDEX(EmployeeData[Exit Date], ROW() - 37)),"")</f>
        <v/>
      </c>
      <c r="I3408" s="4" t="str" cm="1">
        <f t="array" ref="I3408">IFERROR(IF(INDEX(EmployeeData[Exit Reason], ROW() - 37)=0, "",INDEX(EmployeeData[Exit Reason], ROW() - 37)),"")</f>
        <v/>
      </c>
      <c r="J3408" s="4" t="str" cm="1">
        <f t="array" ref="J3408">IFERROR(INDEX(EmployeeData[Status], ROW() - 37), "")</f>
        <v/>
      </c>
    </row>
    <row r="3409" spans="2:10" ht="19.95" customHeight="1" x14ac:dyDescent="0.3">
      <c r="B3409" s="4" t="str" cm="1">
        <f t="array" ref="B3409">IFERROR(INDEX(EmployeeData[Employee ID], ROW() - 37), "")</f>
        <v/>
      </c>
      <c r="C3409" s="4" t="str" cm="1">
        <f t="array" ref="C3409">IFERROR(INDEX(EmployeeData[Full Name], ROW() - 37), "")</f>
        <v/>
      </c>
      <c r="D3409" s="4" t="str" cm="1">
        <f t="array" ref="D3409">IFERROR(INDEX(EmployeeData[Department], ROW() - 37), "")</f>
        <v/>
      </c>
      <c r="E3409" s="4" t="str" cm="1">
        <f t="array" ref="E3409">IFERROR(INDEX(EmployeeData[Gender], ROW() - 37), "")</f>
        <v/>
      </c>
      <c r="F3409" s="4" t="str" cm="1">
        <f t="array" ref="F3409">IFERROR(INDEX(EmployeeData[Age], ROW() - 37), "")</f>
        <v/>
      </c>
      <c r="G3409" s="6" t="str" cm="1">
        <f t="array" ref="G3409">IFERROR(INDEX(EmployeeData[Join Date], ROW() - 37), "")</f>
        <v/>
      </c>
      <c r="H3409" s="6" t="str" cm="1">
        <f t="array" ref="H3409">IFERROR(IF(INDEX(EmployeeData[Exit Date], ROW() - 37)=0, "",INDEX(EmployeeData[Exit Date], ROW() - 37)),"")</f>
        <v/>
      </c>
      <c r="I3409" s="4" t="str" cm="1">
        <f t="array" ref="I3409">IFERROR(IF(INDEX(EmployeeData[Exit Reason], ROW() - 37)=0, "",INDEX(EmployeeData[Exit Reason], ROW() - 37)),"")</f>
        <v/>
      </c>
      <c r="J3409" s="4" t="str" cm="1">
        <f t="array" ref="J3409">IFERROR(INDEX(EmployeeData[Status], ROW() - 37), "")</f>
        <v/>
      </c>
    </row>
    <row r="3410" spans="2:10" ht="19.95" customHeight="1" x14ac:dyDescent="0.3">
      <c r="B3410" s="4" t="str" cm="1">
        <f t="array" ref="B3410">IFERROR(INDEX(EmployeeData[Employee ID], ROW() - 37), "")</f>
        <v/>
      </c>
      <c r="C3410" s="4" t="str" cm="1">
        <f t="array" ref="C3410">IFERROR(INDEX(EmployeeData[Full Name], ROW() - 37), "")</f>
        <v/>
      </c>
      <c r="D3410" s="4" t="str" cm="1">
        <f t="array" ref="D3410">IFERROR(INDEX(EmployeeData[Department], ROW() - 37), "")</f>
        <v/>
      </c>
      <c r="E3410" s="4" t="str" cm="1">
        <f t="array" ref="E3410">IFERROR(INDEX(EmployeeData[Gender], ROW() - 37), "")</f>
        <v/>
      </c>
      <c r="F3410" s="4" t="str" cm="1">
        <f t="array" ref="F3410">IFERROR(INDEX(EmployeeData[Age], ROW() - 37), "")</f>
        <v/>
      </c>
      <c r="G3410" s="6" t="str" cm="1">
        <f t="array" ref="G3410">IFERROR(INDEX(EmployeeData[Join Date], ROW() - 37), "")</f>
        <v/>
      </c>
      <c r="H3410" s="6" t="str" cm="1">
        <f t="array" ref="H3410">IFERROR(IF(INDEX(EmployeeData[Exit Date], ROW() - 37)=0, "",INDEX(EmployeeData[Exit Date], ROW() - 37)),"")</f>
        <v/>
      </c>
      <c r="I3410" s="4" t="str" cm="1">
        <f t="array" ref="I3410">IFERROR(IF(INDEX(EmployeeData[Exit Reason], ROW() - 37)=0, "",INDEX(EmployeeData[Exit Reason], ROW() - 37)),"")</f>
        <v/>
      </c>
      <c r="J3410" s="4" t="str" cm="1">
        <f t="array" ref="J3410">IFERROR(INDEX(EmployeeData[Status], ROW() - 37), "")</f>
        <v/>
      </c>
    </row>
    <row r="3411" spans="2:10" ht="19.95" customHeight="1" x14ac:dyDescent="0.3">
      <c r="B3411" s="4" t="str" cm="1">
        <f t="array" ref="B3411">IFERROR(INDEX(EmployeeData[Employee ID], ROW() - 37), "")</f>
        <v/>
      </c>
      <c r="C3411" s="4" t="str" cm="1">
        <f t="array" ref="C3411">IFERROR(INDEX(EmployeeData[Full Name], ROW() - 37), "")</f>
        <v/>
      </c>
      <c r="D3411" s="4" t="str" cm="1">
        <f t="array" ref="D3411">IFERROR(INDEX(EmployeeData[Department], ROW() - 37), "")</f>
        <v/>
      </c>
      <c r="E3411" s="4" t="str" cm="1">
        <f t="array" ref="E3411">IFERROR(INDEX(EmployeeData[Gender], ROW() - 37), "")</f>
        <v/>
      </c>
      <c r="F3411" s="4" t="str" cm="1">
        <f t="array" ref="F3411">IFERROR(INDEX(EmployeeData[Age], ROW() - 37), "")</f>
        <v/>
      </c>
      <c r="G3411" s="6" t="str" cm="1">
        <f t="array" ref="G3411">IFERROR(INDEX(EmployeeData[Join Date], ROW() - 37), "")</f>
        <v/>
      </c>
      <c r="H3411" s="6" t="str" cm="1">
        <f t="array" ref="H3411">IFERROR(IF(INDEX(EmployeeData[Exit Date], ROW() - 37)=0, "",INDEX(EmployeeData[Exit Date], ROW() - 37)),"")</f>
        <v/>
      </c>
      <c r="I3411" s="4" t="str" cm="1">
        <f t="array" ref="I3411">IFERROR(IF(INDEX(EmployeeData[Exit Reason], ROW() - 37)=0, "",INDEX(EmployeeData[Exit Reason], ROW() - 37)),"")</f>
        <v/>
      </c>
      <c r="J3411" s="4" t="str" cm="1">
        <f t="array" ref="J3411">IFERROR(INDEX(EmployeeData[Status], ROW() - 37), "")</f>
        <v/>
      </c>
    </row>
    <row r="3412" spans="2:10" ht="19.95" customHeight="1" x14ac:dyDescent="0.3">
      <c r="B3412" s="4" t="str" cm="1">
        <f t="array" ref="B3412">IFERROR(INDEX(EmployeeData[Employee ID], ROW() - 37), "")</f>
        <v/>
      </c>
      <c r="C3412" s="4" t="str" cm="1">
        <f t="array" ref="C3412">IFERROR(INDEX(EmployeeData[Full Name], ROW() - 37), "")</f>
        <v/>
      </c>
      <c r="D3412" s="4" t="str" cm="1">
        <f t="array" ref="D3412">IFERROR(INDEX(EmployeeData[Department], ROW() - 37), "")</f>
        <v/>
      </c>
      <c r="E3412" s="4" t="str" cm="1">
        <f t="array" ref="E3412">IFERROR(INDEX(EmployeeData[Gender], ROW() - 37), "")</f>
        <v/>
      </c>
      <c r="F3412" s="4" t="str" cm="1">
        <f t="array" ref="F3412">IFERROR(INDEX(EmployeeData[Age], ROW() - 37), "")</f>
        <v/>
      </c>
      <c r="G3412" s="6" t="str" cm="1">
        <f t="array" ref="G3412">IFERROR(INDEX(EmployeeData[Join Date], ROW() - 37), "")</f>
        <v/>
      </c>
      <c r="H3412" s="6" t="str" cm="1">
        <f t="array" ref="H3412">IFERROR(IF(INDEX(EmployeeData[Exit Date], ROW() - 37)=0, "",INDEX(EmployeeData[Exit Date], ROW() - 37)),"")</f>
        <v/>
      </c>
      <c r="I3412" s="4" t="str" cm="1">
        <f t="array" ref="I3412">IFERROR(IF(INDEX(EmployeeData[Exit Reason], ROW() - 37)=0, "",INDEX(EmployeeData[Exit Reason], ROW() - 37)),"")</f>
        <v/>
      </c>
      <c r="J3412" s="4" t="str" cm="1">
        <f t="array" ref="J3412">IFERROR(INDEX(EmployeeData[Status], ROW() - 37), "")</f>
        <v/>
      </c>
    </row>
    <row r="3413" spans="2:10" ht="19.95" customHeight="1" x14ac:dyDescent="0.3">
      <c r="B3413" s="4" t="str" cm="1">
        <f t="array" ref="B3413">IFERROR(INDEX(EmployeeData[Employee ID], ROW() - 37), "")</f>
        <v/>
      </c>
      <c r="C3413" s="4" t="str" cm="1">
        <f t="array" ref="C3413">IFERROR(INDEX(EmployeeData[Full Name], ROW() - 37), "")</f>
        <v/>
      </c>
      <c r="D3413" s="4" t="str" cm="1">
        <f t="array" ref="D3413">IFERROR(INDEX(EmployeeData[Department], ROW() - 37), "")</f>
        <v/>
      </c>
      <c r="E3413" s="4" t="str" cm="1">
        <f t="array" ref="E3413">IFERROR(INDEX(EmployeeData[Gender], ROW() - 37), "")</f>
        <v/>
      </c>
      <c r="F3413" s="4" t="str" cm="1">
        <f t="array" ref="F3413">IFERROR(INDEX(EmployeeData[Age], ROW() - 37), "")</f>
        <v/>
      </c>
      <c r="G3413" s="6" t="str" cm="1">
        <f t="array" ref="G3413">IFERROR(INDEX(EmployeeData[Join Date], ROW() - 37), "")</f>
        <v/>
      </c>
      <c r="H3413" s="6" t="str" cm="1">
        <f t="array" ref="H3413">IFERROR(IF(INDEX(EmployeeData[Exit Date], ROW() - 37)=0, "",INDEX(EmployeeData[Exit Date], ROW() - 37)),"")</f>
        <v/>
      </c>
      <c r="I3413" s="4" t="str" cm="1">
        <f t="array" ref="I3413">IFERROR(IF(INDEX(EmployeeData[Exit Reason], ROW() - 37)=0, "",INDEX(EmployeeData[Exit Reason], ROW() - 37)),"")</f>
        <v/>
      </c>
      <c r="J3413" s="4" t="str" cm="1">
        <f t="array" ref="J3413">IFERROR(INDEX(EmployeeData[Status], ROW() - 37), "")</f>
        <v/>
      </c>
    </row>
    <row r="3414" spans="2:10" ht="19.95" customHeight="1" x14ac:dyDescent="0.3">
      <c r="B3414" s="4" t="str" cm="1">
        <f t="array" ref="B3414">IFERROR(INDEX(EmployeeData[Employee ID], ROW() - 37), "")</f>
        <v/>
      </c>
      <c r="C3414" s="4" t="str" cm="1">
        <f t="array" ref="C3414">IFERROR(INDEX(EmployeeData[Full Name], ROW() - 37), "")</f>
        <v/>
      </c>
      <c r="D3414" s="4" t="str" cm="1">
        <f t="array" ref="D3414">IFERROR(INDEX(EmployeeData[Department], ROW() - 37), "")</f>
        <v/>
      </c>
      <c r="E3414" s="4" t="str" cm="1">
        <f t="array" ref="E3414">IFERROR(INDEX(EmployeeData[Gender], ROW() - 37), "")</f>
        <v/>
      </c>
      <c r="F3414" s="4" t="str" cm="1">
        <f t="array" ref="F3414">IFERROR(INDEX(EmployeeData[Age], ROW() - 37), "")</f>
        <v/>
      </c>
      <c r="G3414" s="6" t="str" cm="1">
        <f t="array" ref="G3414">IFERROR(INDEX(EmployeeData[Join Date], ROW() - 37), "")</f>
        <v/>
      </c>
      <c r="H3414" s="6" t="str" cm="1">
        <f t="array" ref="H3414">IFERROR(IF(INDEX(EmployeeData[Exit Date], ROW() - 37)=0, "",INDEX(EmployeeData[Exit Date], ROW() - 37)),"")</f>
        <v/>
      </c>
      <c r="I3414" s="4" t="str" cm="1">
        <f t="array" ref="I3414">IFERROR(IF(INDEX(EmployeeData[Exit Reason], ROW() - 37)=0, "",INDEX(EmployeeData[Exit Reason], ROW() - 37)),"")</f>
        <v/>
      </c>
      <c r="J3414" s="4" t="str" cm="1">
        <f t="array" ref="J3414">IFERROR(INDEX(EmployeeData[Status], ROW() - 37), "")</f>
        <v/>
      </c>
    </row>
    <row r="3415" spans="2:10" ht="19.95" customHeight="1" x14ac:dyDescent="0.3">
      <c r="B3415" s="4" t="str" cm="1">
        <f t="array" ref="B3415">IFERROR(INDEX(EmployeeData[Employee ID], ROW() - 37), "")</f>
        <v/>
      </c>
      <c r="C3415" s="4" t="str" cm="1">
        <f t="array" ref="C3415">IFERROR(INDEX(EmployeeData[Full Name], ROW() - 37), "")</f>
        <v/>
      </c>
      <c r="D3415" s="4" t="str" cm="1">
        <f t="array" ref="D3415">IFERROR(INDEX(EmployeeData[Department], ROW() - 37), "")</f>
        <v/>
      </c>
      <c r="E3415" s="4" t="str" cm="1">
        <f t="array" ref="E3415">IFERROR(INDEX(EmployeeData[Gender], ROW() - 37), "")</f>
        <v/>
      </c>
      <c r="F3415" s="4" t="str" cm="1">
        <f t="array" ref="F3415">IFERROR(INDEX(EmployeeData[Age], ROW() - 37), "")</f>
        <v/>
      </c>
      <c r="G3415" s="6" t="str" cm="1">
        <f t="array" ref="G3415">IFERROR(INDEX(EmployeeData[Join Date], ROW() - 37), "")</f>
        <v/>
      </c>
      <c r="H3415" s="6" t="str" cm="1">
        <f t="array" ref="H3415">IFERROR(IF(INDEX(EmployeeData[Exit Date], ROW() - 37)=0, "",INDEX(EmployeeData[Exit Date], ROW() - 37)),"")</f>
        <v/>
      </c>
      <c r="I3415" s="4" t="str" cm="1">
        <f t="array" ref="I3415">IFERROR(IF(INDEX(EmployeeData[Exit Reason], ROW() - 37)=0, "",INDEX(EmployeeData[Exit Reason], ROW() - 37)),"")</f>
        <v/>
      </c>
      <c r="J3415" s="4" t="str" cm="1">
        <f t="array" ref="J3415">IFERROR(INDEX(EmployeeData[Status], ROW() - 37), "")</f>
        <v/>
      </c>
    </row>
    <row r="3416" spans="2:10" ht="19.95" customHeight="1" x14ac:dyDescent="0.3">
      <c r="B3416" s="4" t="str" cm="1">
        <f t="array" ref="B3416">IFERROR(INDEX(EmployeeData[Employee ID], ROW() - 37), "")</f>
        <v/>
      </c>
      <c r="C3416" s="4" t="str" cm="1">
        <f t="array" ref="C3416">IFERROR(INDEX(EmployeeData[Full Name], ROW() - 37), "")</f>
        <v/>
      </c>
      <c r="D3416" s="4" t="str" cm="1">
        <f t="array" ref="D3416">IFERROR(INDEX(EmployeeData[Department], ROW() - 37), "")</f>
        <v/>
      </c>
      <c r="E3416" s="4" t="str" cm="1">
        <f t="array" ref="E3416">IFERROR(INDEX(EmployeeData[Gender], ROW() - 37), "")</f>
        <v/>
      </c>
      <c r="F3416" s="4" t="str" cm="1">
        <f t="array" ref="F3416">IFERROR(INDEX(EmployeeData[Age], ROW() - 37), "")</f>
        <v/>
      </c>
      <c r="G3416" s="6" t="str" cm="1">
        <f t="array" ref="G3416">IFERROR(INDEX(EmployeeData[Join Date], ROW() - 37), "")</f>
        <v/>
      </c>
      <c r="H3416" s="6" t="str" cm="1">
        <f t="array" ref="H3416">IFERROR(IF(INDEX(EmployeeData[Exit Date], ROW() - 37)=0, "",INDEX(EmployeeData[Exit Date], ROW() - 37)),"")</f>
        <v/>
      </c>
      <c r="I3416" s="4" t="str" cm="1">
        <f t="array" ref="I3416">IFERROR(IF(INDEX(EmployeeData[Exit Reason], ROW() - 37)=0, "",INDEX(EmployeeData[Exit Reason], ROW() - 37)),"")</f>
        <v/>
      </c>
      <c r="J3416" s="4" t="str" cm="1">
        <f t="array" ref="J3416">IFERROR(INDEX(EmployeeData[Status], ROW() - 37), "")</f>
        <v/>
      </c>
    </row>
    <row r="3417" spans="2:10" ht="19.95" customHeight="1" x14ac:dyDescent="0.3">
      <c r="B3417" s="4" t="str" cm="1">
        <f t="array" ref="B3417">IFERROR(INDEX(EmployeeData[Employee ID], ROW() - 37), "")</f>
        <v/>
      </c>
      <c r="C3417" s="4" t="str" cm="1">
        <f t="array" ref="C3417">IFERROR(INDEX(EmployeeData[Full Name], ROW() - 37), "")</f>
        <v/>
      </c>
      <c r="D3417" s="4" t="str" cm="1">
        <f t="array" ref="D3417">IFERROR(INDEX(EmployeeData[Department], ROW() - 37), "")</f>
        <v/>
      </c>
      <c r="E3417" s="4" t="str" cm="1">
        <f t="array" ref="E3417">IFERROR(INDEX(EmployeeData[Gender], ROW() - 37), "")</f>
        <v/>
      </c>
      <c r="F3417" s="4" t="str" cm="1">
        <f t="array" ref="F3417">IFERROR(INDEX(EmployeeData[Age], ROW() - 37), "")</f>
        <v/>
      </c>
      <c r="G3417" s="6" t="str" cm="1">
        <f t="array" ref="G3417">IFERROR(INDEX(EmployeeData[Join Date], ROW() - 37), "")</f>
        <v/>
      </c>
      <c r="H3417" s="6" t="str" cm="1">
        <f t="array" ref="H3417">IFERROR(IF(INDEX(EmployeeData[Exit Date], ROW() - 37)=0, "",INDEX(EmployeeData[Exit Date], ROW() - 37)),"")</f>
        <v/>
      </c>
      <c r="I3417" s="4" t="str" cm="1">
        <f t="array" ref="I3417">IFERROR(IF(INDEX(EmployeeData[Exit Reason], ROW() - 37)=0, "",INDEX(EmployeeData[Exit Reason], ROW() - 37)),"")</f>
        <v/>
      </c>
      <c r="J3417" s="4" t="str" cm="1">
        <f t="array" ref="J3417">IFERROR(INDEX(EmployeeData[Status], ROW() - 37), "")</f>
        <v/>
      </c>
    </row>
    <row r="3418" spans="2:10" ht="19.95" customHeight="1" x14ac:dyDescent="0.3">
      <c r="B3418" s="4" t="str" cm="1">
        <f t="array" ref="B3418">IFERROR(INDEX(EmployeeData[Employee ID], ROW() - 37), "")</f>
        <v/>
      </c>
      <c r="C3418" s="4" t="str" cm="1">
        <f t="array" ref="C3418">IFERROR(INDEX(EmployeeData[Full Name], ROW() - 37), "")</f>
        <v/>
      </c>
      <c r="D3418" s="4" t="str" cm="1">
        <f t="array" ref="D3418">IFERROR(INDEX(EmployeeData[Department], ROW() - 37), "")</f>
        <v/>
      </c>
      <c r="E3418" s="4" t="str" cm="1">
        <f t="array" ref="E3418">IFERROR(INDEX(EmployeeData[Gender], ROW() - 37), "")</f>
        <v/>
      </c>
      <c r="F3418" s="4" t="str" cm="1">
        <f t="array" ref="F3418">IFERROR(INDEX(EmployeeData[Age], ROW() - 37), "")</f>
        <v/>
      </c>
      <c r="G3418" s="6" t="str" cm="1">
        <f t="array" ref="G3418">IFERROR(INDEX(EmployeeData[Join Date], ROW() - 37), "")</f>
        <v/>
      </c>
      <c r="H3418" s="6" t="str" cm="1">
        <f t="array" ref="H3418">IFERROR(IF(INDEX(EmployeeData[Exit Date], ROW() - 37)=0, "",INDEX(EmployeeData[Exit Date], ROW() - 37)),"")</f>
        <v/>
      </c>
      <c r="I3418" s="4" t="str" cm="1">
        <f t="array" ref="I3418">IFERROR(IF(INDEX(EmployeeData[Exit Reason], ROW() - 37)=0, "",INDEX(EmployeeData[Exit Reason], ROW() - 37)),"")</f>
        <v/>
      </c>
      <c r="J3418" s="4" t="str" cm="1">
        <f t="array" ref="J3418">IFERROR(INDEX(EmployeeData[Status], ROW() - 37), "")</f>
        <v/>
      </c>
    </row>
    <row r="3419" spans="2:10" ht="19.95" customHeight="1" x14ac:dyDescent="0.3">
      <c r="B3419" s="4" t="str" cm="1">
        <f t="array" ref="B3419">IFERROR(INDEX(EmployeeData[Employee ID], ROW() - 37), "")</f>
        <v/>
      </c>
      <c r="C3419" s="4" t="str" cm="1">
        <f t="array" ref="C3419">IFERROR(INDEX(EmployeeData[Full Name], ROW() - 37), "")</f>
        <v/>
      </c>
      <c r="D3419" s="4" t="str" cm="1">
        <f t="array" ref="D3419">IFERROR(INDEX(EmployeeData[Department], ROW() - 37), "")</f>
        <v/>
      </c>
      <c r="E3419" s="4" t="str" cm="1">
        <f t="array" ref="E3419">IFERROR(INDEX(EmployeeData[Gender], ROW() - 37), "")</f>
        <v/>
      </c>
      <c r="F3419" s="4" t="str" cm="1">
        <f t="array" ref="F3419">IFERROR(INDEX(EmployeeData[Age], ROW() - 37), "")</f>
        <v/>
      </c>
      <c r="G3419" s="6" t="str" cm="1">
        <f t="array" ref="G3419">IFERROR(INDEX(EmployeeData[Join Date], ROW() - 37), "")</f>
        <v/>
      </c>
      <c r="H3419" s="6" t="str" cm="1">
        <f t="array" ref="H3419">IFERROR(IF(INDEX(EmployeeData[Exit Date], ROW() - 37)=0, "",INDEX(EmployeeData[Exit Date], ROW() - 37)),"")</f>
        <v/>
      </c>
      <c r="I3419" s="4" t="str" cm="1">
        <f t="array" ref="I3419">IFERROR(IF(INDEX(EmployeeData[Exit Reason], ROW() - 37)=0, "",INDEX(EmployeeData[Exit Reason], ROW() - 37)),"")</f>
        <v/>
      </c>
      <c r="J3419" s="4" t="str" cm="1">
        <f t="array" ref="J3419">IFERROR(INDEX(EmployeeData[Status], ROW() - 37), "")</f>
        <v/>
      </c>
    </row>
    <row r="3420" spans="2:10" ht="19.95" customHeight="1" x14ac:dyDescent="0.3">
      <c r="B3420" s="4" t="str" cm="1">
        <f t="array" ref="B3420">IFERROR(INDEX(EmployeeData[Employee ID], ROW() - 37), "")</f>
        <v/>
      </c>
      <c r="C3420" s="4" t="str" cm="1">
        <f t="array" ref="C3420">IFERROR(INDEX(EmployeeData[Full Name], ROW() - 37), "")</f>
        <v/>
      </c>
      <c r="D3420" s="4" t="str" cm="1">
        <f t="array" ref="D3420">IFERROR(INDEX(EmployeeData[Department], ROW() - 37), "")</f>
        <v/>
      </c>
      <c r="E3420" s="4" t="str" cm="1">
        <f t="array" ref="E3420">IFERROR(INDEX(EmployeeData[Gender], ROW() - 37), "")</f>
        <v/>
      </c>
      <c r="F3420" s="4" t="str" cm="1">
        <f t="array" ref="F3420">IFERROR(INDEX(EmployeeData[Age], ROW() - 37), "")</f>
        <v/>
      </c>
      <c r="G3420" s="6" t="str" cm="1">
        <f t="array" ref="G3420">IFERROR(INDEX(EmployeeData[Join Date], ROW() - 37), "")</f>
        <v/>
      </c>
      <c r="H3420" s="6" t="str" cm="1">
        <f t="array" ref="H3420">IFERROR(IF(INDEX(EmployeeData[Exit Date], ROW() - 37)=0, "",INDEX(EmployeeData[Exit Date], ROW() - 37)),"")</f>
        <v/>
      </c>
      <c r="I3420" s="4" t="str" cm="1">
        <f t="array" ref="I3420">IFERROR(IF(INDEX(EmployeeData[Exit Reason], ROW() - 37)=0, "",INDEX(EmployeeData[Exit Reason], ROW() - 37)),"")</f>
        <v/>
      </c>
      <c r="J3420" s="4" t="str" cm="1">
        <f t="array" ref="J3420">IFERROR(INDEX(EmployeeData[Status], ROW() - 37), "")</f>
        <v/>
      </c>
    </row>
    <row r="3421" spans="2:10" ht="19.95" customHeight="1" x14ac:dyDescent="0.3">
      <c r="B3421" s="4" t="str" cm="1">
        <f t="array" ref="B3421">IFERROR(INDEX(EmployeeData[Employee ID], ROW() - 37), "")</f>
        <v/>
      </c>
      <c r="C3421" s="4" t="str" cm="1">
        <f t="array" ref="C3421">IFERROR(INDEX(EmployeeData[Full Name], ROW() - 37), "")</f>
        <v/>
      </c>
      <c r="D3421" s="4" t="str" cm="1">
        <f t="array" ref="D3421">IFERROR(INDEX(EmployeeData[Department], ROW() - 37), "")</f>
        <v/>
      </c>
      <c r="E3421" s="4" t="str" cm="1">
        <f t="array" ref="E3421">IFERROR(INDEX(EmployeeData[Gender], ROW() - 37), "")</f>
        <v/>
      </c>
      <c r="F3421" s="4" t="str" cm="1">
        <f t="array" ref="F3421">IFERROR(INDEX(EmployeeData[Age], ROW() - 37), "")</f>
        <v/>
      </c>
      <c r="G3421" s="6" t="str" cm="1">
        <f t="array" ref="G3421">IFERROR(INDEX(EmployeeData[Join Date], ROW() - 37), "")</f>
        <v/>
      </c>
      <c r="H3421" s="6" t="str" cm="1">
        <f t="array" ref="H3421">IFERROR(IF(INDEX(EmployeeData[Exit Date], ROW() - 37)=0, "",INDEX(EmployeeData[Exit Date], ROW() - 37)),"")</f>
        <v/>
      </c>
      <c r="I3421" s="4" t="str" cm="1">
        <f t="array" ref="I3421">IFERROR(IF(INDEX(EmployeeData[Exit Reason], ROW() - 37)=0, "",INDEX(EmployeeData[Exit Reason], ROW() - 37)),"")</f>
        <v/>
      </c>
      <c r="J3421" s="4" t="str" cm="1">
        <f t="array" ref="J3421">IFERROR(INDEX(EmployeeData[Status], ROW() - 37), "")</f>
        <v/>
      </c>
    </row>
    <row r="3422" spans="2:10" ht="19.95" customHeight="1" x14ac:dyDescent="0.3">
      <c r="B3422" s="4" t="str" cm="1">
        <f t="array" ref="B3422">IFERROR(INDEX(EmployeeData[Employee ID], ROW() - 37), "")</f>
        <v/>
      </c>
      <c r="C3422" s="4" t="str" cm="1">
        <f t="array" ref="C3422">IFERROR(INDEX(EmployeeData[Full Name], ROW() - 37), "")</f>
        <v/>
      </c>
      <c r="D3422" s="4" t="str" cm="1">
        <f t="array" ref="D3422">IFERROR(INDEX(EmployeeData[Department], ROW() - 37), "")</f>
        <v/>
      </c>
      <c r="E3422" s="4" t="str" cm="1">
        <f t="array" ref="E3422">IFERROR(INDEX(EmployeeData[Gender], ROW() - 37), "")</f>
        <v/>
      </c>
      <c r="F3422" s="4" t="str" cm="1">
        <f t="array" ref="F3422">IFERROR(INDEX(EmployeeData[Age], ROW() - 37), "")</f>
        <v/>
      </c>
      <c r="G3422" s="6" t="str" cm="1">
        <f t="array" ref="G3422">IFERROR(INDEX(EmployeeData[Join Date], ROW() - 37), "")</f>
        <v/>
      </c>
      <c r="H3422" s="6" t="str" cm="1">
        <f t="array" ref="H3422">IFERROR(IF(INDEX(EmployeeData[Exit Date], ROW() - 37)=0, "",INDEX(EmployeeData[Exit Date], ROW() - 37)),"")</f>
        <v/>
      </c>
      <c r="I3422" s="4" t="str" cm="1">
        <f t="array" ref="I3422">IFERROR(IF(INDEX(EmployeeData[Exit Reason], ROW() - 37)=0, "",INDEX(EmployeeData[Exit Reason], ROW() - 37)),"")</f>
        <v/>
      </c>
      <c r="J3422" s="4" t="str" cm="1">
        <f t="array" ref="J3422">IFERROR(INDEX(EmployeeData[Status], ROW() - 37), "")</f>
        <v/>
      </c>
    </row>
    <row r="3423" spans="2:10" ht="19.95" customHeight="1" x14ac:dyDescent="0.3">
      <c r="B3423" s="4" t="str" cm="1">
        <f t="array" ref="B3423">IFERROR(INDEX(EmployeeData[Employee ID], ROW() - 37), "")</f>
        <v/>
      </c>
      <c r="C3423" s="4" t="str" cm="1">
        <f t="array" ref="C3423">IFERROR(INDEX(EmployeeData[Full Name], ROW() - 37), "")</f>
        <v/>
      </c>
      <c r="D3423" s="4" t="str" cm="1">
        <f t="array" ref="D3423">IFERROR(INDEX(EmployeeData[Department], ROW() - 37), "")</f>
        <v/>
      </c>
      <c r="E3423" s="4" t="str" cm="1">
        <f t="array" ref="E3423">IFERROR(INDEX(EmployeeData[Gender], ROW() - 37), "")</f>
        <v/>
      </c>
      <c r="F3423" s="4" t="str" cm="1">
        <f t="array" ref="F3423">IFERROR(INDEX(EmployeeData[Age], ROW() - 37), "")</f>
        <v/>
      </c>
      <c r="G3423" s="6" t="str" cm="1">
        <f t="array" ref="G3423">IFERROR(INDEX(EmployeeData[Join Date], ROW() - 37), "")</f>
        <v/>
      </c>
      <c r="H3423" s="6" t="str" cm="1">
        <f t="array" ref="H3423">IFERROR(IF(INDEX(EmployeeData[Exit Date], ROW() - 37)=0, "",INDEX(EmployeeData[Exit Date], ROW() - 37)),"")</f>
        <v/>
      </c>
      <c r="I3423" s="4" t="str" cm="1">
        <f t="array" ref="I3423">IFERROR(IF(INDEX(EmployeeData[Exit Reason], ROW() - 37)=0, "",INDEX(EmployeeData[Exit Reason], ROW() - 37)),"")</f>
        <v/>
      </c>
      <c r="J3423" s="4" t="str" cm="1">
        <f t="array" ref="J3423">IFERROR(INDEX(EmployeeData[Status], ROW() - 37), "")</f>
        <v/>
      </c>
    </row>
    <row r="3424" spans="2:10" ht="19.95" customHeight="1" x14ac:dyDescent="0.3">
      <c r="B3424" s="4" t="str" cm="1">
        <f t="array" ref="B3424">IFERROR(INDEX(EmployeeData[Employee ID], ROW() - 37), "")</f>
        <v/>
      </c>
      <c r="C3424" s="4" t="str" cm="1">
        <f t="array" ref="C3424">IFERROR(INDEX(EmployeeData[Full Name], ROW() - 37), "")</f>
        <v/>
      </c>
      <c r="D3424" s="4" t="str" cm="1">
        <f t="array" ref="D3424">IFERROR(INDEX(EmployeeData[Department], ROW() - 37), "")</f>
        <v/>
      </c>
      <c r="E3424" s="4" t="str" cm="1">
        <f t="array" ref="E3424">IFERROR(INDEX(EmployeeData[Gender], ROW() - 37), "")</f>
        <v/>
      </c>
      <c r="F3424" s="4" t="str" cm="1">
        <f t="array" ref="F3424">IFERROR(INDEX(EmployeeData[Age], ROW() - 37), "")</f>
        <v/>
      </c>
      <c r="G3424" s="6" t="str" cm="1">
        <f t="array" ref="G3424">IFERROR(INDEX(EmployeeData[Join Date], ROW() - 37), "")</f>
        <v/>
      </c>
      <c r="H3424" s="6" t="str" cm="1">
        <f t="array" ref="H3424">IFERROR(IF(INDEX(EmployeeData[Exit Date], ROW() - 37)=0, "",INDEX(EmployeeData[Exit Date], ROW() - 37)),"")</f>
        <v/>
      </c>
      <c r="I3424" s="4" t="str" cm="1">
        <f t="array" ref="I3424">IFERROR(IF(INDEX(EmployeeData[Exit Reason], ROW() - 37)=0, "",INDEX(EmployeeData[Exit Reason], ROW() - 37)),"")</f>
        <v/>
      </c>
      <c r="J3424" s="4" t="str" cm="1">
        <f t="array" ref="J3424">IFERROR(INDEX(EmployeeData[Status], ROW() - 37), "")</f>
        <v/>
      </c>
    </row>
    <row r="3425" spans="2:10" ht="19.95" customHeight="1" x14ac:dyDescent="0.3">
      <c r="B3425" s="4" t="str" cm="1">
        <f t="array" ref="B3425">IFERROR(INDEX(EmployeeData[Employee ID], ROW() - 37), "")</f>
        <v/>
      </c>
      <c r="C3425" s="4" t="str" cm="1">
        <f t="array" ref="C3425">IFERROR(INDEX(EmployeeData[Full Name], ROW() - 37), "")</f>
        <v/>
      </c>
      <c r="D3425" s="4" t="str" cm="1">
        <f t="array" ref="D3425">IFERROR(INDEX(EmployeeData[Department], ROW() - 37), "")</f>
        <v/>
      </c>
      <c r="E3425" s="4" t="str" cm="1">
        <f t="array" ref="E3425">IFERROR(INDEX(EmployeeData[Gender], ROW() - 37), "")</f>
        <v/>
      </c>
      <c r="F3425" s="4" t="str" cm="1">
        <f t="array" ref="F3425">IFERROR(INDEX(EmployeeData[Age], ROW() - 37), "")</f>
        <v/>
      </c>
      <c r="G3425" s="6" t="str" cm="1">
        <f t="array" ref="G3425">IFERROR(INDEX(EmployeeData[Join Date], ROW() - 37), "")</f>
        <v/>
      </c>
      <c r="H3425" s="6" t="str" cm="1">
        <f t="array" ref="H3425">IFERROR(IF(INDEX(EmployeeData[Exit Date], ROW() - 37)=0, "",INDEX(EmployeeData[Exit Date], ROW() - 37)),"")</f>
        <v/>
      </c>
      <c r="I3425" s="4" t="str" cm="1">
        <f t="array" ref="I3425">IFERROR(IF(INDEX(EmployeeData[Exit Reason], ROW() - 37)=0, "",INDEX(EmployeeData[Exit Reason], ROW() - 37)),"")</f>
        <v/>
      </c>
      <c r="J3425" s="4" t="str" cm="1">
        <f t="array" ref="J3425">IFERROR(INDEX(EmployeeData[Status], ROW() - 37), "")</f>
        <v/>
      </c>
    </row>
    <row r="3426" spans="2:10" ht="19.95" customHeight="1" x14ac:dyDescent="0.3">
      <c r="B3426" s="4" t="str" cm="1">
        <f t="array" ref="B3426">IFERROR(INDEX(EmployeeData[Employee ID], ROW() - 37), "")</f>
        <v/>
      </c>
      <c r="C3426" s="4" t="str" cm="1">
        <f t="array" ref="C3426">IFERROR(INDEX(EmployeeData[Full Name], ROW() - 37), "")</f>
        <v/>
      </c>
      <c r="D3426" s="4" t="str" cm="1">
        <f t="array" ref="D3426">IFERROR(INDEX(EmployeeData[Department], ROW() - 37), "")</f>
        <v/>
      </c>
      <c r="E3426" s="4" t="str" cm="1">
        <f t="array" ref="E3426">IFERROR(INDEX(EmployeeData[Gender], ROW() - 37), "")</f>
        <v/>
      </c>
      <c r="F3426" s="4" t="str" cm="1">
        <f t="array" ref="F3426">IFERROR(INDEX(EmployeeData[Age], ROW() - 37), "")</f>
        <v/>
      </c>
      <c r="G3426" s="6" t="str" cm="1">
        <f t="array" ref="G3426">IFERROR(INDEX(EmployeeData[Join Date], ROW() - 37), "")</f>
        <v/>
      </c>
      <c r="H3426" s="6" t="str" cm="1">
        <f t="array" ref="H3426">IFERROR(IF(INDEX(EmployeeData[Exit Date], ROW() - 37)=0, "",INDEX(EmployeeData[Exit Date], ROW() - 37)),"")</f>
        <v/>
      </c>
      <c r="I3426" s="4" t="str" cm="1">
        <f t="array" ref="I3426">IFERROR(IF(INDEX(EmployeeData[Exit Reason], ROW() - 37)=0, "",INDEX(EmployeeData[Exit Reason], ROW() - 37)),"")</f>
        <v/>
      </c>
      <c r="J3426" s="4" t="str" cm="1">
        <f t="array" ref="J3426">IFERROR(INDEX(EmployeeData[Status], ROW() - 37), "")</f>
        <v/>
      </c>
    </row>
    <row r="3427" spans="2:10" ht="19.95" customHeight="1" x14ac:dyDescent="0.3">
      <c r="B3427" s="4" t="str" cm="1">
        <f t="array" ref="B3427">IFERROR(INDEX(EmployeeData[Employee ID], ROW() - 37), "")</f>
        <v/>
      </c>
      <c r="C3427" s="4" t="str" cm="1">
        <f t="array" ref="C3427">IFERROR(INDEX(EmployeeData[Full Name], ROW() - 37), "")</f>
        <v/>
      </c>
      <c r="D3427" s="4" t="str" cm="1">
        <f t="array" ref="D3427">IFERROR(INDEX(EmployeeData[Department], ROW() - 37), "")</f>
        <v/>
      </c>
      <c r="E3427" s="4" t="str" cm="1">
        <f t="array" ref="E3427">IFERROR(INDEX(EmployeeData[Gender], ROW() - 37), "")</f>
        <v/>
      </c>
      <c r="F3427" s="4" t="str" cm="1">
        <f t="array" ref="F3427">IFERROR(INDEX(EmployeeData[Age], ROW() - 37), "")</f>
        <v/>
      </c>
      <c r="G3427" s="6" t="str" cm="1">
        <f t="array" ref="G3427">IFERROR(INDEX(EmployeeData[Join Date], ROW() - 37), "")</f>
        <v/>
      </c>
      <c r="H3427" s="6" t="str" cm="1">
        <f t="array" ref="H3427">IFERROR(IF(INDEX(EmployeeData[Exit Date], ROW() - 37)=0, "",INDEX(EmployeeData[Exit Date], ROW() - 37)),"")</f>
        <v/>
      </c>
      <c r="I3427" s="4" t="str" cm="1">
        <f t="array" ref="I3427">IFERROR(IF(INDEX(EmployeeData[Exit Reason], ROW() - 37)=0, "",INDEX(EmployeeData[Exit Reason], ROW() - 37)),"")</f>
        <v/>
      </c>
      <c r="J3427" s="4" t="str" cm="1">
        <f t="array" ref="J3427">IFERROR(INDEX(EmployeeData[Status], ROW() - 37), "")</f>
        <v/>
      </c>
    </row>
    <row r="3428" spans="2:10" ht="19.95" customHeight="1" x14ac:dyDescent="0.3">
      <c r="B3428" s="4" t="str" cm="1">
        <f t="array" ref="B3428">IFERROR(INDEX(EmployeeData[Employee ID], ROW() - 37), "")</f>
        <v/>
      </c>
      <c r="C3428" s="4" t="str" cm="1">
        <f t="array" ref="C3428">IFERROR(INDEX(EmployeeData[Full Name], ROW() - 37), "")</f>
        <v/>
      </c>
      <c r="D3428" s="4" t="str" cm="1">
        <f t="array" ref="D3428">IFERROR(INDEX(EmployeeData[Department], ROW() - 37), "")</f>
        <v/>
      </c>
      <c r="E3428" s="4" t="str" cm="1">
        <f t="array" ref="E3428">IFERROR(INDEX(EmployeeData[Gender], ROW() - 37), "")</f>
        <v/>
      </c>
      <c r="F3428" s="4" t="str" cm="1">
        <f t="array" ref="F3428">IFERROR(INDEX(EmployeeData[Age], ROW() - 37), "")</f>
        <v/>
      </c>
      <c r="G3428" s="6" t="str" cm="1">
        <f t="array" ref="G3428">IFERROR(INDEX(EmployeeData[Join Date], ROW() - 37), "")</f>
        <v/>
      </c>
      <c r="H3428" s="6" t="str" cm="1">
        <f t="array" ref="H3428">IFERROR(IF(INDEX(EmployeeData[Exit Date], ROW() - 37)=0, "",INDEX(EmployeeData[Exit Date], ROW() - 37)),"")</f>
        <v/>
      </c>
      <c r="I3428" s="4" t="str" cm="1">
        <f t="array" ref="I3428">IFERROR(IF(INDEX(EmployeeData[Exit Reason], ROW() - 37)=0, "",INDEX(EmployeeData[Exit Reason], ROW() - 37)),"")</f>
        <v/>
      </c>
      <c r="J3428" s="4" t="str" cm="1">
        <f t="array" ref="J3428">IFERROR(INDEX(EmployeeData[Status], ROW() - 37), "")</f>
        <v/>
      </c>
    </row>
    <row r="3429" spans="2:10" ht="19.95" customHeight="1" x14ac:dyDescent="0.3">
      <c r="B3429" s="4" t="str" cm="1">
        <f t="array" ref="B3429">IFERROR(INDEX(EmployeeData[Employee ID], ROW() - 37), "")</f>
        <v/>
      </c>
      <c r="C3429" s="4" t="str" cm="1">
        <f t="array" ref="C3429">IFERROR(INDEX(EmployeeData[Full Name], ROW() - 37), "")</f>
        <v/>
      </c>
      <c r="D3429" s="4" t="str" cm="1">
        <f t="array" ref="D3429">IFERROR(INDEX(EmployeeData[Department], ROW() - 37), "")</f>
        <v/>
      </c>
      <c r="E3429" s="4" t="str" cm="1">
        <f t="array" ref="E3429">IFERROR(INDEX(EmployeeData[Gender], ROW() - 37), "")</f>
        <v/>
      </c>
      <c r="F3429" s="4" t="str" cm="1">
        <f t="array" ref="F3429">IFERROR(INDEX(EmployeeData[Age], ROW() - 37), "")</f>
        <v/>
      </c>
      <c r="G3429" s="6" t="str" cm="1">
        <f t="array" ref="G3429">IFERROR(INDEX(EmployeeData[Join Date], ROW() - 37), "")</f>
        <v/>
      </c>
      <c r="H3429" s="6" t="str" cm="1">
        <f t="array" ref="H3429">IFERROR(IF(INDEX(EmployeeData[Exit Date], ROW() - 37)=0, "",INDEX(EmployeeData[Exit Date], ROW() - 37)),"")</f>
        <v/>
      </c>
      <c r="I3429" s="4" t="str" cm="1">
        <f t="array" ref="I3429">IFERROR(IF(INDEX(EmployeeData[Exit Reason], ROW() - 37)=0, "",INDEX(EmployeeData[Exit Reason], ROW() - 37)),"")</f>
        <v/>
      </c>
      <c r="J3429" s="4" t="str" cm="1">
        <f t="array" ref="J3429">IFERROR(INDEX(EmployeeData[Status], ROW() - 37), "")</f>
        <v/>
      </c>
    </row>
    <row r="3430" spans="2:10" ht="19.95" customHeight="1" x14ac:dyDescent="0.3">
      <c r="B3430" s="4" t="str" cm="1">
        <f t="array" ref="B3430">IFERROR(INDEX(EmployeeData[Employee ID], ROW() - 37), "")</f>
        <v/>
      </c>
      <c r="C3430" s="4" t="str" cm="1">
        <f t="array" ref="C3430">IFERROR(INDEX(EmployeeData[Full Name], ROW() - 37), "")</f>
        <v/>
      </c>
      <c r="D3430" s="4" t="str" cm="1">
        <f t="array" ref="D3430">IFERROR(INDEX(EmployeeData[Department], ROW() - 37), "")</f>
        <v/>
      </c>
      <c r="E3430" s="4" t="str" cm="1">
        <f t="array" ref="E3430">IFERROR(INDEX(EmployeeData[Gender], ROW() - 37), "")</f>
        <v/>
      </c>
      <c r="F3430" s="4" t="str" cm="1">
        <f t="array" ref="F3430">IFERROR(INDEX(EmployeeData[Age], ROW() - 37), "")</f>
        <v/>
      </c>
      <c r="G3430" s="6" t="str" cm="1">
        <f t="array" ref="G3430">IFERROR(INDEX(EmployeeData[Join Date], ROW() - 37), "")</f>
        <v/>
      </c>
      <c r="H3430" s="6" t="str" cm="1">
        <f t="array" ref="H3430">IFERROR(IF(INDEX(EmployeeData[Exit Date], ROW() - 37)=0, "",INDEX(EmployeeData[Exit Date], ROW() - 37)),"")</f>
        <v/>
      </c>
      <c r="I3430" s="4" t="str" cm="1">
        <f t="array" ref="I3430">IFERROR(IF(INDEX(EmployeeData[Exit Reason], ROW() - 37)=0, "",INDEX(EmployeeData[Exit Reason], ROW() - 37)),"")</f>
        <v/>
      </c>
      <c r="J3430" s="4" t="str" cm="1">
        <f t="array" ref="J3430">IFERROR(INDEX(EmployeeData[Status], ROW() - 37), "")</f>
        <v/>
      </c>
    </row>
    <row r="3431" spans="2:10" ht="19.95" customHeight="1" x14ac:dyDescent="0.3">
      <c r="B3431" s="4" t="str" cm="1">
        <f t="array" ref="B3431">IFERROR(INDEX(EmployeeData[Employee ID], ROW() - 37), "")</f>
        <v/>
      </c>
      <c r="C3431" s="4" t="str" cm="1">
        <f t="array" ref="C3431">IFERROR(INDEX(EmployeeData[Full Name], ROW() - 37), "")</f>
        <v/>
      </c>
      <c r="D3431" s="4" t="str" cm="1">
        <f t="array" ref="D3431">IFERROR(INDEX(EmployeeData[Department], ROW() - 37), "")</f>
        <v/>
      </c>
      <c r="E3431" s="4" t="str" cm="1">
        <f t="array" ref="E3431">IFERROR(INDEX(EmployeeData[Gender], ROW() - 37), "")</f>
        <v/>
      </c>
      <c r="F3431" s="4" t="str" cm="1">
        <f t="array" ref="F3431">IFERROR(INDEX(EmployeeData[Age], ROW() - 37), "")</f>
        <v/>
      </c>
      <c r="G3431" s="6" t="str" cm="1">
        <f t="array" ref="G3431">IFERROR(INDEX(EmployeeData[Join Date], ROW() - 37), "")</f>
        <v/>
      </c>
      <c r="H3431" s="6" t="str" cm="1">
        <f t="array" ref="H3431">IFERROR(IF(INDEX(EmployeeData[Exit Date], ROW() - 37)=0, "",INDEX(EmployeeData[Exit Date], ROW() - 37)),"")</f>
        <v/>
      </c>
      <c r="I3431" s="4" t="str" cm="1">
        <f t="array" ref="I3431">IFERROR(IF(INDEX(EmployeeData[Exit Reason], ROW() - 37)=0, "",INDEX(EmployeeData[Exit Reason], ROW() - 37)),"")</f>
        <v/>
      </c>
      <c r="J3431" s="4" t="str" cm="1">
        <f t="array" ref="J3431">IFERROR(INDEX(EmployeeData[Status], ROW() - 37), "")</f>
        <v/>
      </c>
    </row>
    <row r="3432" spans="2:10" ht="19.95" customHeight="1" x14ac:dyDescent="0.3">
      <c r="B3432" s="4" t="str" cm="1">
        <f t="array" ref="B3432">IFERROR(INDEX(EmployeeData[Employee ID], ROW() - 37), "")</f>
        <v/>
      </c>
      <c r="C3432" s="4" t="str" cm="1">
        <f t="array" ref="C3432">IFERROR(INDEX(EmployeeData[Full Name], ROW() - 37), "")</f>
        <v/>
      </c>
      <c r="D3432" s="4" t="str" cm="1">
        <f t="array" ref="D3432">IFERROR(INDEX(EmployeeData[Department], ROW() - 37), "")</f>
        <v/>
      </c>
      <c r="E3432" s="4" t="str" cm="1">
        <f t="array" ref="E3432">IFERROR(INDEX(EmployeeData[Gender], ROW() - 37), "")</f>
        <v/>
      </c>
      <c r="F3432" s="4" t="str" cm="1">
        <f t="array" ref="F3432">IFERROR(INDEX(EmployeeData[Age], ROW() - 37), "")</f>
        <v/>
      </c>
      <c r="G3432" s="6" t="str" cm="1">
        <f t="array" ref="G3432">IFERROR(INDEX(EmployeeData[Join Date], ROW() - 37), "")</f>
        <v/>
      </c>
      <c r="H3432" s="6" t="str" cm="1">
        <f t="array" ref="H3432">IFERROR(IF(INDEX(EmployeeData[Exit Date], ROW() - 37)=0, "",INDEX(EmployeeData[Exit Date], ROW() - 37)),"")</f>
        <v/>
      </c>
      <c r="I3432" s="4" t="str" cm="1">
        <f t="array" ref="I3432">IFERROR(IF(INDEX(EmployeeData[Exit Reason], ROW() - 37)=0, "",INDEX(EmployeeData[Exit Reason], ROW() - 37)),"")</f>
        <v/>
      </c>
      <c r="J3432" s="4" t="str" cm="1">
        <f t="array" ref="J3432">IFERROR(INDEX(EmployeeData[Status], ROW() - 37), "")</f>
        <v/>
      </c>
    </row>
    <row r="3433" spans="2:10" ht="19.95" customHeight="1" x14ac:dyDescent="0.3">
      <c r="B3433" s="4" t="str" cm="1">
        <f t="array" ref="B3433">IFERROR(INDEX(EmployeeData[Employee ID], ROW() - 37), "")</f>
        <v/>
      </c>
      <c r="C3433" s="4" t="str" cm="1">
        <f t="array" ref="C3433">IFERROR(INDEX(EmployeeData[Full Name], ROW() - 37), "")</f>
        <v/>
      </c>
      <c r="D3433" s="4" t="str" cm="1">
        <f t="array" ref="D3433">IFERROR(INDEX(EmployeeData[Department], ROW() - 37), "")</f>
        <v/>
      </c>
      <c r="E3433" s="4" t="str" cm="1">
        <f t="array" ref="E3433">IFERROR(INDEX(EmployeeData[Gender], ROW() - 37), "")</f>
        <v/>
      </c>
      <c r="F3433" s="4" t="str" cm="1">
        <f t="array" ref="F3433">IFERROR(INDEX(EmployeeData[Age], ROW() - 37), "")</f>
        <v/>
      </c>
      <c r="G3433" s="6" t="str" cm="1">
        <f t="array" ref="G3433">IFERROR(INDEX(EmployeeData[Join Date], ROW() - 37), "")</f>
        <v/>
      </c>
      <c r="H3433" s="6" t="str" cm="1">
        <f t="array" ref="H3433">IFERROR(IF(INDEX(EmployeeData[Exit Date], ROW() - 37)=0, "",INDEX(EmployeeData[Exit Date], ROW() - 37)),"")</f>
        <v/>
      </c>
      <c r="I3433" s="4" t="str" cm="1">
        <f t="array" ref="I3433">IFERROR(IF(INDEX(EmployeeData[Exit Reason], ROW() - 37)=0, "",INDEX(EmployeeData[Exit Reason], ROW() - 37)),"")</f>
        <v/>
      </c>
      <c r="J3433" s="4" t="str" cm="1">
        <f t="array" ref="J3433">IFERROR(INDEX(EmployeeData[Status], ROW() - 37), "")</f>
        <v/>
      </c>
    </row>
    <row r="3434" spans="2:10" ht="19.95" customHeight="1" x14ac:dyDescent="0.3">
      <c r="B3434" s="4" t="str" cm="1">
        <f t="array" ref="B3434">IFERROR(INDEX(EmployeeData[Employee ID], ROW() - 37), "")</f>
        <v/>
      </c>
      <c r="C3434" s="4" t="str" cm="1">
        <f t="array" ref="C3434">IFERROR(INDEX(EmployeeData[Full Name], ROW() - 37), "")</f>
        <v/>
      </c>
      <c r="D3434" s="4" t="str" cm="1">
        <f t="array" ref="D3434">IFERROR(INDEX(EmployeeData[Department], ROW() - 37), "")</f>
        <v/>
      </c>
      <c r="E3434" s="4" t="str" cm="1">
        <f t="array" ref="E3434">IFERROR(INDEX(EmployeeData[Gender], ROW() - 37), "")</f>
        <v/>
      </c>
      <c r="F3434" s="4" t="str" cm="1">
        <f t="array" ref="F3434">IFERROR(INDEX(EmployeeData[Age], ROW() - 37), "")</f>
        <v/>
      </c>
      <c r="G3434" s="6" t="str" cm="1">
        <f t="array" ref="G3434">IFERROR(INDEX(EmployeeData[Join Date], ROW() - 37), "")</f>
        <v/>
      </c>
      <c r="H3434" s="6" t="str" cm="1">
        <f t="array" ref="H3434">IFERROR(IF(INDEX(EmployeeData[Exit Date], ROW() - 37)=0, "",INDEX(EmployeeData[Exit Date], ROW() - 37)),"")</f>
        <v/>
      </c>
      <c r="I3434" s="4" t="str" cm="1">
        <f t="array" ref="I3434">IFERROR(IF(INDEX(EmployeeData[Exit Reason], ROW() - 37)=0, "",INDEX(EmployeeData[Exit Reason], ROW() - 37)),"")</f>
        <v/>
      </c>
      <c r="J3434" s="4" t="str" cm="1">
        <f t="array" ref="J3434">IFERROR(INDEX(EmployeeData[Status], ROW() - 37), "")</f>
        <v/>
      </c>
    </row>
    <row r="3435" spans="2:10" ht="19.95" customHeight="1" x14ac:dyDescent="0.3">
      <c r="B3435" s="4" t="str" cm="1">
        <f t="array" ref="B3435">IFERROR(INDEX(EmployeeData[Employee ID], ROW() - 37), "")</f>
        <v/>
      </c>
      <c r="C3435" s="4" t="str" cm="1">
        <f t="array" ref="C3435">IFERROR(INDEX(EmployeeData[Full Name], ROW() - 37), "")</f>
        <v/>
      </c>
      <c r="D3435" s="4" t="str" cm="1">
        <f t="array" ref="D3435">IFERROR(INDEX(EmployeeData[Department], ROW() - 37), "")</f>
        <v/>
      </c>
      <c r="E3435" s="4" t="str" cm="1">
        <f t="array" ref="E3435">IFERROR(INDEX(EmployeeData[Gender], ROW() - 37), "")</f>
        <v/>
      </c>
      <c r="F3435" s="4" t="str" cm="1">
        <f t="array" ref="F3435">IFERROR(INDEX(EmployeeData[Age], ROW() - 37), "")</f>
        <v/>
      </c>
      <c r="G3435" s="6" t="str" cm="1">
        <f t="array" ref="G3435">IFERROR(INDEX(EmployeeData[Join Date], ROW() - 37), "")</f>
        <v/>
      </c>
      <c r="H3435" s="6" t="str" cm="1">
        <f t="array" ref="H3435">IFERROR(IF(INDEX(EmployeeData[Exit Date], ROW() - 37)=0, "",INDEX(EmployeeData[Exit Date], ROW() - 37)),"")</f>
        <v/>
      </c>
      <c r="I3435" s="4" t="str" cm="1">
        <f t="array" ref="I3435">IFERROR(IF(INDEX(EmployeeData[Exit Reason], ROW() - 37)=0, "",INDEX(EmployeeData[Exit Reason], ROW() - 37)),"")</f>
        <v/>
      </c>
      <c r="J3435" s="4" t="str" cm="1">
        <f t="array" ref="J3435">IFERROR(INDEX(EmployeeData[Status], ROW() - 37), "")</f>
        <v/>
      </c>
    </row>
    <row r="3436" spans="2:10" ht="19.95" customHeight="1" x14ac:dyDescent="0.3">
      <c r="B3436" s="4" t="str" cm="1">
        <f t="array" ref="B3436">IFERROR(INDEX(EmployeeData[Employee ID], ROW() - 37), "")</f>
        <v/>
      </c>
      <c r="C3436" s="4" t="str" cm="1">
        <f t="array" ref="C3436">IFERROR(INDEX(EmployeeData[Full Name], ROW() - 37), "")</f>
        <v/>
      </c>
      <c r="D3436" s="4" t="str" cm="1">
        <f t="array" ref="D3436">IFERROR(INDEX(EmployeeData[Department], ROW() - 37), "")</f>
        <v/>
      </c>
      <c r="E3436" s="4" t="str" cm="1">
        <f t="array" ref="E3436">IFERROR(INDEX(EmployeeData[Gender], ROW() - 37), "")</f>
        <v/>
      </c>
      <c r="F3436" s="4" t="str" cm="1">
        <f t="array" ref="F3436">IFERROR(INDEX(EmployeeData[Age], ROW() - 37), "")</f>
        <v/>
      </c>
      <c r="G3436" s="6" t="str" cm="1">
        <f t="array" ref="G3436">IFERROR(INDEX(EmployeeData[Join Date], ROW() - 37), "")</f>
        <v/>
      </c>
      <c r="H3436" s="6" t="str" cm="1">
        <f t="array" ref="H3436">IFERROR(IF(INDEX(EmployeeData[Exit Date], ROW() - 37)=0, "",INDEX(EmployeeData[Exit Date], ROW() - 37)),"")</f>
        <v/>
      </c>
      <c r="I3436" s="4" t="str" cm="1">
        <f t="array" ref="I3436">IFERROR(IF(INDEX(EmployeeData[Exit Reason], ROW() - 37)=0, "",INDEX(EmployeeData[Exit Reason], ROW() - 37)),"")</f>
        <v/>
      </c>
      <c r="J3436" s="4" t="str" cm="1">
        <f t="array" ref="J3436">IFERROR(INDEX(EmployeeData[Status], ROW() - 37), "")</f>
        <v/>
      </c>
    </row>
    <row r="3437" spans="2:10" ht="19.95" customHeight="1" x14ac:dyDescent="0.3">
      <c r="B3437" s="4" t="str" cm="1">
        <f t="array" ref="B3437">IFERROR(INDEX(EmployeeData[Employee ID], ROW() - 37), "")</f>
        <v/>
      </c>
      <c r="C3437" s="4" t="str" cm="1">
        <f t="array" ref="C3437">IFERROR(INDEX(EmployeeData[Full Name], ROW() - 37), "")</f>
        <v/>
      </c>
      <c r="D3437" s="4" t="str" cm="1">
        <f t="array" ref="D3437">IFERROR(INDEX(EmployeeData[Department], ROW() - 37), "")</f>
        <v/>
      </c>
      <c r="E3437" s="4" t="str" cm="1">
        <f t="array" ref="E3437">IFERROR(INDEX(EmployeeData[Gender], ROW() - 37), "")</f>
        <v/>
      </c>
      <c r="F3437" s="4" t="str" cm="1">
        <f t="array" ref="F3437">IFERROR(INDEX(EmployeeData[Age], ROW() - 37), "")</f>
        <v/>
      </c>
      <c r="G3437" s="6" t="str" cm="1">
        <f t="array" ref="G3437">IFERROR(INDEX(EmployeeData[Join Date], ROW() - 37), "")</f>
        <v/>
      </c>
      <c r="H3437" s="6" t="str" cm="1">
        <f t="array" ref="H3437">IFERROR(IF(INDEX(EmployeeData[Exit Date], ROW() - 37)=0, "",INDEX(EmployeeData[Exit Date], ROW() - 37)),"")</f>
        <v/>
      </c>
      <c r="I3437" s="4" t="str" cm="1">
        <f t="array" ref="I3437">IFERROR(IF(INDEX(EmployeeData[Exit Reason], ROW() - 37)=0, "",INDEX(EmployeeData[Exit Reason], ROW() - 37)),"")</f>
        <v/>
      </c>
      <c r="J3437" s="4" t="str" cm="1">
        <f t="array" ref="J3437">IFERROR(INDEX(EmployeeData[Status], ROW() - 37), "")</f>
        <v/>
      </c>
    </row>
    <row r="3438" spans="2:10" ht="19.95" customHeight="1" x14ac:dyDescent="0.3">
      <c r="B3438" s="4" t="str" cm="1">
        <f t="array" ref="B3438">IFERROR(INDEX(EmployeeData[Employee ID], ROW() - 37), "")</f>
        <v/>
      </c>
      <c r="C3438" s="4" t="str" cm="1">
        <f t="array" ref="C3438">IFERROR(INDEX(EmployeeData[Full Name], ROW() - 37), "")</f>
        <v/>
      </c>
      <c r="D3438" s="4" t="str" cm="1">
        <f t="array" ref="D3438">IFERROR(INDEX(EmployeeData[Department], ROW() - 37), "")</f>
        <v/>
      </c>
      <c r="E3438" s="4" t="str" cm="1">
        <f t="array" ref="E3438">IFERROR(INDEX(EmployeeData[Gender], ROW() - 37), "")</f>
        <v/>
      </c>
      <c r="F3438" s="4" t="str" cm="1">
        <f t="array" ref="F3438">IFERROR(INDEX(EmployeeData[Age], ROW() - 37), "")</f>
        <v/>
      </c>
      <c r="G3438" s="6" t="str" cm="1">
        <f t="array" ref="G3438">IFERROR(INDEX(EmployeeData[Join Date], ROW() - 37), "")</f>
        <v/>
      </c>
      <c r="H3438" s="6" t="str" cm="1">
        <f t="array" ref="H3438">IFERROR(IF(INDEX(EmployeeData[Exit Date], ROW() - 37)=0, "",INDEX(EmployeeData[Exit Date], ROW() - 37)),"")</f>
        <v/>
      </c>
      <c r="I3438" s="4" t="str" cm="1">
        <f t="array" ref="I3438">IFERROR(IF(INDEX(EmployeeData[Exit Reason], ROW() - 37)=0, "",INDEX(EmployeeData[Exit Reason], ROW() - 37)),"")</f>
        <v/>
      </c>
      <c r="J3438" s="4" t="str" cm="1">
        <f t="array" ref="J3438">IFERROR(INDEX(EmployeeData[Status], ROW() - 37), "")</f>
        <v/>
      </c>
    </row>
    <row r="3439" spans="2:10" ht="19.95" customHeight="1" x14ac:dyDescent="0.3">
      <c r="B3439" s="4" t="str" cm="1">
        <f t="array" ref="B3439">IFERROR(INDEX(EmployeeData[Employee ID], ROW() - 37), "")</f>
        <v/>
      </c>
      <c r="C3439" s="4" t="str" cm="1">
        <f t="array" ref="C3439">IFERROR(INDEX(EmployeeData[Full Name], ROW() - 37), "")</f>
        <v/>
      </c>
      <c r="D3439" s="4" t="str" cm="1">
        <f t="array" ref="D3439">IFERROR(INDEX(EmployeeData[Department], ROW() - 37), "")</f>
        <v/>
      </c>
      <c r="E3439" s="4" t="str" cm="1">
        <f t="array" ref="E3439">IFERROR(INDEX(EmployeeData[Gender], ROW() - 37), "")</f>
        <v/>
      </c>
      <c r="F3439" s="4" t="str" cm="1">
        <f t="array" ref="F3439">IFERROR(INDEX(EmployeeData[Age], ROW() - 37), "")</f>
        <v/>
      </c>
      <c r="G3439" s="6" t="str" cm="1">
        <f t="array" ref="G3439">IFERROR(INDEX(EmployeeData[Join Date], ROW() - 37), "")</f>
        <v/>
      </c>
      <c r="H3439" s="6" t="str" cm="1">
        <f t="array" ref="H3439">IFERROR(IF(INDEX(EmployeeData[Exit Date], ROW() - 37)=0, "",INDEX(EmployeeData[Exit Date], ROW() - 37)),"")</f>
        <v/>
      </c>
      <c r="I3439" s="4" t="str" cm="1">
        <f t="array" ref="I3439">IFERROR(IF(INDEX(EmployeeData[Exit Reason], ROW() - 37)=0, "",INDEX(EmployeeData[Exit Reason], ROW() - 37)),"")</f>
        <v/>
      </c>
      <c r="J3439" s="4" t="str" cm="1">
        <f t="array" ref="J3439">IFERROR(INDEX(EmployeeData[Status], ROW() - 37), "")</f>
        <v/>
      </c>
    </row>
    <row r="3440" spans="2:10" ht="19.95" customHeight="1" x14ac:dyDescent="0.3">
      <c r="B3440" s="4" t="str" cm="1">
        <f t="array" ref="B3440">IFERROR(INDEX(EmployeeData[Employee ID], ROW() - 37), "")</f>
        <v/>
      </c>
      <c r="C3440" s="4" t="str" cm="1">
        <f t="array" ref="C3440">IFERROR(INDEX(EmployeeData[Full Name], ROW() - 37), "")</f>
        <v/>
      </c>
      <c r="D3440" s="4" t="str" cm="1">
        <f t="array" ref="D3440">IFERROR(INDEX(EmployeeData[Department], ROW() - 37), "")</f>
        <v/>
      </c>
      <c r="E3440" s="4" t="str" cm="1">
        <f t="array" ref="E3440">IFERROR(INDEX(EmployeeData[Gender], ROW() - 37), "")</f>
        <v/>
      </c>
      <c r="F3440" s="4" t="str" cm="1">
        <f t="array" ref="F3440">IFERROR(INDEX(EmployeeData[Age], ROW() - 37), "")</f>
        <v/>
      </c>
      <c r="G3440" s="6" t="str" cm="1">
        <f t="array" ref="G3440">IFERROR(INDEX(EmployeeData[Join Date], ROW() - 37), "")</f>
        <v/>
      </c>
      <c r="H3440" s="6" t="str" cm="1">
        <f t="array" ref="H3440">IFERROR(IF(INDEX(EmployeeData[Exit Date], ROW() - 37)=0, "",INDEX(EmployeeData[Exit Date], ROW() - 37)),"")</f>
        <v/>
      </c>
      <c r="I3440" s="4" t="str" cm="1">
        <f t="array" ref="I3440">IFERROR(IF(INDEX(EmployeeData[Exit Reason], ROW() - 37)=0, "",INDEX(EmployeeData[Exit Reason], ROW() - 37)),"")</f>
        <v/>
      </c>
      <c r="J3440" s="4" t="str" cm="1">
        <f t="array" ref="J3440">IFERROR(INDEX(EmployeeData[Status], ROW() - 37), "")</f>
        <v/>
      </c>
    </row>
    <row r="3441" spans="2:10" ht="19.95" customHeight="1" x14ac:dyDescent="0.3">
      <c r="B3441" s="4" t="str" cm="1">
        <f t="array" ref="B3441">IFERROR(INDEX(EmployeeData[Employee ID], ROW() - 37), "")</f>
        <v/>
      </c>
      <c r="C3441" s="4" t="str" cm="1">
        <f t="array" ref="C3441">IFERROR(INDEX(EmployeeData[Full Name], ROW() - 37), "")</f>
        <v/>
      </c>
      <c r="D3441" s="4" t="str" cm="1">
        <f t="array" ref="D3441">IFERROR(INDEX(EmployeeData[Department], ROW() - 37), "")</f>
        <v/>
      </c>
      <c r="E3441" s="4" t="str" cm="1">
        <f t="array" ref="E3441">IFERROR(INDEX(EmployeeData[Gender], ROW() - 37), "")</f>
        <v/>
      </c>
      <c r="F3441" s="4" t="str" cm="1">
        <f t="array" ref="F3441">IFERROR(INDEX(EmployeeData[Age], ROW() - 37), "")</f>
        <v/>
      </c>
      <c r="G3441" s="6" t="str" cm="1">
        <f t="array" ref="G3441">IFERROR(INDEX(EmployeeData[Join Date], ROW() - 37), "")</f>
        <v/>
      </c>
      <c r="H3441" s="6" t="str" cm="1">
        <f t="array" ref="H3441">IFERROR(IF(INDEX(EmployeeData[Exit Date], ROW() - 37)=0, "",INDEX(EmployeeData[Exit Date], ROW() - 37)),"")</f>
        <v/>
      </c>
      <c r="I3441" s="4" t="str" cm="1">
        <f t="array" ref="I3441">IFERROR(IF(INDEX(EmployeeData[Exit Reason], ROW() - 37)=0, "",INDEX(EmployeeData[Exit Reason], ROW() - 37)),"")</f>
        <v/>
      </c>
      <c r="J3441" s="4" t="str" cm="1">
        <f t="array" ref="J3441">IFERROR(INDEX(EmployeeData[Status], ROW() - 37), "")</f>
        <v/>
      </c>
    </row>
    <row r="3442" spans="2:10" ht="19.95" customHeight="1" x14ac:dyDescent="0.3">
      <c r="B3442" s="4" t="str" cm="1">
        <f t="array" ref="B3442">IFERROR(INDEX(EmployeeData[Employee ID], ROW() - 37), "")</f>
        <v/>
      </c>
      <c r="C3442" s="4" t="str" cm="1">
        <f t="array" ref="C3442">IFERROR(INDEX(EmployeeData[Full Name], ROW() - 37), "")</f>
        <v/>
      </c>
      <c r="D3442" s="4" t="str" cm="1">
        <f t="array" ref="D3442">IFERROR(INDEX(EmployeeData[Department], ROW() - 37), "")</f>
        <v/>
      </c>
      <c r="E3442" s="4" t="str" cm="1">
        <f t="array" ref="E3442">IFERROR(INDEX(EmployeeData[Gender], ROW() - 37), "")</f>
        <v/>
      </c>
      <c r="F3442" s="4" t="str" cm="1">
        <f t="array" ref="F3442">IFERROR(INDEX(EmployeeData[Age], ROW() - 37), "")</f>
        <v/>
      </c>
      <c r="G3442" s="6" t="str" cm="1">
        <f t="array" ref="G3442">IFERROR(INDEX(EmployeeData[Join Date], ROW() - 37), "")</f>
        <v/>
      </c>
      <c r="H3442" s="6" t="str" cm="1">
        <f t="array" ref="H3442">IFERROR(IF(INDEX(EmployeeData[Exit Date], ROW() - 37)=0, "",INDEX(EmployeeData[Exit Date], ROW() - 37)),"")</f>
        <v/>
      </c>
      <c r="I3442" s="4" t="str" cm="1">
        <f t="array" ref="I3442">IFERROR(IF(INDEX(EmployeeData[Exit Reason], ROW() - 37)=0, "",INDEX(EmployeeData[Exit Reason], ROW() - 37)),"")</f>
        <v/>
      </c>
      <c r="J3442" s="4" t="str" cm="1">
        <f t="array" ref="J3442">IFERROR(INDEX(EmployeeData[Status], ROW() - 37), "")</f>
        <v/>
      </c>
    </row>
    <row r="3443" spans="2:10" ht="19.95" customHeight="1" x14ac:dyDescent="0.3">
      <c r="B3443" s="4" t="str" cm="1">
        <f t="array" ref="B3443">IFERROR(INDEX(EmployeeData[Employee ID], ROW() - 37), "")</f>
        <v/>
      </c>
      <c r="C3443" s="4" t="str" cm="1">
        <f t="array" ref="C3443">IFERROR(INDEX(EmployeeData[Full Name], ROW() - 37), "")</f>
        <v/>
      </c>
      <c r="D3443" s="4" t="str" cm="1">
        <f t="array" ref="D3443">IFERROR(INDEX(EmployeeData[Department], ROW() - 37), "")</f>
        <v/>
      </c>
      <c r="E3443" s="4" t="str" cm="1">
        <f t="array" ref="E3443">IFERROR(INDEX(EmployeeData[Gender], ROW() - 37), "")</f>
        <v/>
      </c>
      <c r="F3443" s="4" t="str" cm="1">
        <f t="array" ref="F3443">IFERROR(INDEX(EmployeeData[Age], ROW() - 37), "")</f>
        <v/>
      </c>
      <c r="G3443" s="6" t="str" cm="1">
        <f t="array" ref="G3443">IFERROR(INDEX(EmployeeData[Join Date], ROW() - 37), "")</f>
        <v/>
      </c>
      <c r="H3443" s="6" t="str" cm="1">
        <f t="array" ref="H3443">IFERROR(IF(INDEX(EmployeeData[Exit Date], ROW() - 37)=0, "",INDEX(EmployeeData[Exit Date], ROW() - 37)),"")</f>
        <v/>
      </c>
      <c r="I3443" s="4" t="str" cm="1">
        <f t="array" ref="I3443">IFERROR(IF(INDEX(EmployeeData[Exit Reason], ROW() - 37)=0, "",INDEX(EmployeeData[Exit Reason], ROW() - 37)),"")</f>
        <v/>
      </c>
      <c r="J3443" s="4" t="str" cm="1">
        <f t="array" ref="J3443">IFERROR(INDEX(EmployeeData[Status], ROW() - 37), "")</f>
        <v/>
      </c>
    </row>
    <row r="3444" spans="2:10" ht="19.95" customHeight="1" x14ac:dyDescent="0.3">
      <c r="B3444" s="4" t="str" cm="1">
        <f t="array" ref="B3444">IFERROR(INDEX(EmployeeData[Employee ID], ROW() - 37), "")</f>
        <v/>
      </c>
      <c r="C3444" s="4" t="str" cm="1">
        <f t="array" ref="C3444">IFERROR(INDEX(EmployeeData[Full Name], ROW() - 37), "")</f>
        <v/>
      </c>
      <c r="D3444" s="4" t="str" cm="1">
        <f t="array" ref="D3444">IFERROR(INDEX(EmployeeData[Department], ROW() - 37), "")</f>
        <v/>
      </c>
      <c r="E3444" s="4" t="str" cm="1">
        <f t="array" ref="E3444">IFERROR(INDEX(EmployeeData[Gender], ROW() - 37), "")</f>
        <v/>
      </c>
      <c r="F3444" s="4" t="str" cm="1">
        <f t="array" ref="F3444">IFERROR(INDEX(EmployeeData[Age], ROW() - 37), "")</f>
        <v/>
      </c>
      <c r="G3444" s="6" t="str" cm="1">
        <f t="array" ref="G3444">IFERROR(INDEX(EmployeeData[Join Date], ROW() - 37), "")</f>
        <v/>
      </c>
      <c r="H3444" s="6" t="str" cm="1">
        <f t="array" ref="H3444">IFERROR(IF(INDEX(EmployeeData[Exit Date], ROW() - 37)=0, "",INDEX(EmployeeData[Exit Date], ROW() - 37)),"")</f>
        <v/>
      </c>
      <c r="I3444" s="4" t="str" cm="1">
        <f t="array" ref="I3444">IFERROR(IF(INDEX(EmployeeData[Exit Reason], ROW() - 37)=0, "",INDEX(EmployeeData[Exit Reason], ROW() - 37)),"")</f>
        <v/>
      </c>
      <c r="J3444" s="4" t="str" cm="1">
        <f t="array" ref="J3444">IFERROR(INDEX(EmployeeData[Status], ROW() - 37), "")</f>
        <v/>
      </c>
    </row>
    <row r="3445" spans="2:10" ht="19.95" customHeight="1" x14ac:dyDescent="0.3">
      <c r="B3445" s="4" t="str" cm="1">
        <f t="array" ref="B3445">IFERROR(INDEX(EmployeeData[Employee ID], ROW() - 37), "")</f>
        <v/>
      </c>
      <c r="C3445" s="4" t="str" cm="1">
        <f t="array" ref="C3445">IFERROR(INDEX(EmployeeData[Full Name], ROW() - 37), "")</f>
        <v/>
      </c>
      <c r="D3445" s="4" t="str" cm="1">
        <f t="array" ref="D3445">IFERROR(INDEX(EmployeeData[Department], ROW() - 37), "")</f>
        <v/>
      </c>
      <c r="E3445" s="4" t="str" cm="1">
        <f t="array" ref="E3445">IFERROR(INDEX(EmployeeData[Gender], ROW() - 37), "")</f>
        <v/>
      </c>
      <c r="F3445" s="4" t="str" cm="1">
        <f t="array" ref="F3445">IFERROR(INDEX(EmployeeData[Age], ROW() - 37), "")</f>
        <v/>
      </c>
      <c r="G3445" s="6" t="str" cm="1">
        <f t="array" ref="G3445">IFERROR(INDEX(EmployeeData[Join Date], ROW() - 37), "")</f>
        <v/>
      </c>
      <c r="H3445" s="6" t="str" cm="1">
        <f t="array" ref="H3445">IFERROR(IF(INDEX(EmployeeData[Exit Date], ROW() - 37)=0, "",INDEX(EmployeeData[Exit Date], ROW() - 37)),"")</f>
        <v/>
      </c>
      <c r="I3445" s="4" t="str" cm="1">
        <f t="array" ref="I3445">IFERROR(IF(INDEX(EmployeeData[Exit Reason], ROW() - 37)=0, "",INDEX(EmployeeData[Exit Reason], ROW() - 37)),"")</f>
        <v/>
      </c>
      <c r="J3445" s="4" t="str" cm="1">
        <f t="array" ref="J3445">IFERROR(INDEX(EmployeeData[Status], ROW() - 37), "")</f>
        <v/>
      </c>
    </row>
    <row r="3446" spans="2:10" ht="19.95" customHeight="1" x14ac:dyDescent="0.3">
      <c r="B3446" s="4" t="str" cm="1">
        <f t="array" ref="B3446">IFERROR(INDEX(EmployeeData[Employee ID], ROW() - 37), "")</f>
        <v/>
      </c>
      <c r="C3446" s="4" t="str" cm="1">
        <f t="array" ref="C3446">IFERROR(INDEX(EmployeeData[Full Name], ROW() - 37), "")</f>
        <v/>
      </c>
      <c r="D3446" s="4" t="str" cm="1">
        <f t="array" ref="D3446">IFERROR(INDEX(EmployeeData[Department], ROW() - 37), "")</f>
        <v/>
      </c>
      <c r="E3446" s="4" t="str" cm="1">
        <f t="array" ref="E3446">IFERROR(INDEX(EmployeeData[Gender], ROW() - 37), "")</f>
        <v/>
      </c>
      <c r="F3446" s="4" t="str" cm="1">
        <f t="array" ref="F3446">IFERROR(INDEX(EmployeeData[Age], ROW() - 37), "")</f>
        <v/>
      </c>
      <c r="G3446" s="6" t="str" cm="1">
        <f t="array" ref="G3446">IFERROR(INDEX(EmployeeData[Join Date], ROW() - 37), "")</f>
        <v/>
      </c>
      <c r="H3446" s="6" t="str" cm="1">
        <f t="array" ref="H3446">IFERROR(IF(INDEX(EmployeeData[Exit Date], ROW() - 37)=0, "",INDEX(EmployeeData[Exit Date], ROW() - 37)),"")</f>
        <v/>
      </c>
      <c r="I3446" s="4" t="str" cm="1">
        <f t="array" ref="I3446">IFERROR(IF(INDEX(EmployeeData[Exit Reason], ROW() - 37)=0, "",INDEX(EmployeeData[Exit Reason], ROW() - 37)),"")</f>
        <v/>
      </c>
      <c r="J3446" s="4" t="str" cm="1">
        <f t="array" ref="J3446">IFERROR(INDEX(EmployeeData[Status], ROW() - 37), "")</f>
        <v/>
      </c>
    </row>
    <row r="3447" spans="2:10" ht="19.95" customHeight="1" x14ac:dyDescent="0.3">
      <c r="B3447" s="4" t="str" cm="1">
        <f t="array" ref="B3447">IFERROR(INDEX(EmployeeData[Employee ID], ROW() - 37), "")</f>
        <v/>
      </c>
      <c r="C3447" s="4" t="str" cm="1">
        <f t="array" ref="C3447">IFERROR(INDEX(EmployeeData[Full Name], ROW() - 37), "")</f>
        <v/>
      </c>
      <c r="D3447" s="4" t="str" cm="1">
        <f t="array" ref="D3447">IFERROR(INDEX(EmployeeData[Department], ROW() - 37), "")</f>
        <v/>
      </c>
      <c r="E3447" s="4" t="str" cm="1">
        <f t="array" ref="E3447">IFERROR(INDEX(EmployeeData[Gender], ROW() - 37), "")</f>
        <v/>
      </c>
      <c r="F3447" s="4" t="str" cm="1">
        <f t="array" ref="F3447">IFERROR(INDEX(EmployeeData[Age], ROW() - 37), "")</f>
        <v/>
      </c>
      <c r="G3447" s="6" t="str" cm="1">
        <f t="array" ref="G3447">IFERROR(INDEX(EmployeeData[Join Date], ROW() - 37), "")</f>
        <v/>
      </c>
      <c r="H3447" s="6" t="str" cm="1">
        <f t="array" ref="H3447">IFERROR(IF(INDEX(EmployeeData[Exit Date], ROW() - 37)=0, "",INDEX(EmployeeData[Exit Date], ROW() - 37)),"")</f>
        <v/>
      </c>
      <c r="I3447" s="4" t="str" cm="1">
        <f t="array" ref="I3447">IFERROR(IF(INDEX(EmployeeData[Exit Reason], ROW() - 37)=0, "",INDEX(EmployeeData[Exit Reason], ROW() - 37)),"")</f>
        <v/>
      </c>
      <c r="J3447" s="4" t="str" cm="1">
        <f t="array" ref="J3447">IFERROR(INDEX(EmployeeData[Status], ROW() - 37), "")</f>
        <v/>
      </c>
    </row>
    <row r="3448" spans="2:10" ht="19.95" customHeight="1" x14ac:dyDescent="0.3">
      <c r="B3448" s="4" t="str" cm="1">
        <f t="array" ref="B3448">IFERROR(INDEX(EmployeeData[Employee ID], ROW() - 37), "")</f>
        <v/>
      </c>
      <c r="C3448" s="4" t="str" cm="1">
        <f t="array" ref="C3448">IFERROR(INDEX(EmployeeData[Full Name], ROW() - 37), "")</f>
        <v/>
      </c>
      <c r="D3448" s="4" t="str" cm="1">
        <f t="array" ref="D3448">IFERROR(INDEX(EmployeeData[Department], ROW() - 37), "")</f>
        <v/>
      </c>
      <c r="E3448" s="4" t="str" cm="1">
        <f t="array" ref="E3448">IFERROR(INDEX(EmployeeData[Gender], ROW() - 37), "")</f>
        <v/>
      </c>
      <c r="F3448" s="4" t="str" cm="1">
        <f t="array" ref="F3448">IFERROR(INDEX(EmployeeData[Age], ROW() - 37), "")</f>
        <v/>
      </c>
      <c r="G3448" s="6" t="str" cm="1">
        <f t="array" ref="G3448">IFERROR(INDEX(EmployeeData[Join Date], ROW() - 37), "")</f>
        <v/>
      </c>
      <c r="H3448" s="6" t="str" cm="1">
        <f t="array" ref="H3448">IFERROR(IF(INDEX(EmployeeData[Exit Date], ROW() - 37)=0, "",INDEX(EmployeeData[Exit Date], ROW() - 37)),"")</f>
        <v/>
      </c>
      <c r="I3448" s="4" t="str" cm="1">
        <f t="array" ref="I3448">IFERROR(IF(INDEX(EmployeeData[Exit Reason], ROW() - 37)=0, "",INDEX(EmployeeData[Exit Reason], ROW() - 37)),"")</f>
        <v/>
      </c>
      <c r="J3448" s="4" t="str" cm="1">
        <f t="array" ref="J3448">IFERROR(INDEX(EmployeeData[Status], ROW() - 37), "")</f>
        <v/>
      </c>
    </row>
    <row r="3449" spans="2:10" ht="19.95" customHeight="1" x14ac:dyDescent="0.3">
      <c r="B3449" s="4" t="str" cm="1">
        <f t="array" ref="B3449">IFERROR(INDEX(EmployeeData[Employee ID], ROW() - 37), "")</f>
        <v/>
      </c>
      <c r="C3449" s="4" t="str" cm="1">
        <f t="array" ref="C3449">IFERROR(INDEX(EmployeeData[Full Name], ROW() - 37), "")</f>
        <v/>
      </c>
      <c r="D3449" s="4" t="str" cm="1">
        <f t="array" ref="D3449">IFERROR(INDEX(EmployeeData[Department], ROW() - 37), "")</f>
        <v/>
      </c>
      <c r="E3449" s="4" t="str" cm="1">
        <f t="array" ref="E3449">IFERROR(INDEX(EmployeeData[Gender], ROW() - 37), "")</f>
        <v/>
      </c>
      <c r="F3449" s="4" t="str" cm="1">
        <f t="array" ref="F3449">IFERROR(INDEX(EmployeeData[Age], ROW() - 37), "")</f>
        <v/>
      </c>
      <c r="G3449" s="6" t="str" cm="1">
        <f t="array" ref="G3449">IFERROR(INDEX(EmployeeData[Join Date], ROW() - 37), "")</f>
        <v/>
      </c>
      <c r="H3449" s="6" t="str" cm="1">
        <f t="array" ref="H3449">IFERROR(IF(INDEX(EmployeeData[Exit Date], ROW() - 37)=0, "",INDEX(EmployeeData[Exit Date], ROW() - 37)),"")</f>
        <v/>
      </c>
      <c r="I3449" s="4" t="str" cm="1">
        <f t="array" ref="I3449">IFERROR(IF(INDEX(EmployeeData[Exit Reason], ROW() - 37)=0, "",INDEX(EmployeeData[Exit Reason], ROW() - 37)),"")</f>
        <v/>
      </c>
      <c r="J3449" s="4" t="str" cm="1">
        <f t="array" ref="J3449">IFERROR(INDEX(EmployeeData[Status], ROW() - 37), "")</f>
        <v/>
      </c>
    </row>
    <row r="3450" spans="2:10" ht="19.95" customHeight="1" x14ac:dyDescent="0.3">
      <c r="B3450" s="4" t="str" cm="1">
        <f t="array" ref="B3450">IFERROR(INDEX(EmployeeData[Employee ID], ROW() - 37), "")</f>
        <v/>
      </c>
      <c r="C3450" s="4" t="str" cm="1">
        <f t="array" ref="C3450">IFERROR(INDEX(EmployeeData[Full Name], ROW() - 37), "")</f>
        <v/>
      </c>
      <c r="D3450" s="4" t="str" cm="1">
        <f t="array" ref="D3450">IFERROR(INDEX(EmployeeData[Department], ROW() - 37), "")</f>
        <v/>
      </c>
      <c r="E3450" s="4" t="str" cm="1">
        <f t="array" ref="E3450">IFERROR(INDEX(EmployeeData[Gender], ROW() - 37), "")</f>
        <v/>
      </c>
      <c r="F3450" s="4" t="str" cm="1">
        <f t="array" ref="F3450">IFERROR(INDEX(EmployeeData[Age], ROW() - 37), "")</f>
        <v/>
      </c>
      <c r="G3450" s="6" t="str" cm="1">
        <f t="array" ref="G3450">IFERROR(INDEX(EmployeeData[Join Date], ROW() - 37), "")</f>
        <v/>
      </c>
      <c r="H3450" s="6" t="str" cm="1">
        <f t="array" ref="H3450">IFERROR(IF(INDEX(EmployeeData[Exit Date], ROW() - 37)=0, "",INDEX(EmployeeData[Exit Date], ROW() - 37)),"")</f>
        <v/>
      </c>
      <c r="I3450" s="4" t="str" cm="1">
        <f t="array" ref="I3450">IFERROR(IF(INDEX(EmployeeData[Exit Reason], ROW() - 37)=0, "",INDEX(EmployeeData[Exit Reason], ROW() - 37)),"")</f>
        <v/>
      </c>
      <c r="J3450" s="4" t="str" cm="1">
        <f t="array" ref="J3450">IFERROR(INDEX(EmployeeData[Status], ROW() - 37), "")</f>
        <v/>
      </c>
    </row>
    <row r="3451" spans="2:10" ht="19.95" customHeight="1" x14ac:dyDescent="0.3">
      <c r="B3451" s="4" t="str" cm="1">
        <f t="array" ref="B3451">IFERROR(INDEX(EmployeeData[Employee ID], ROW() - 37), "")</f>
        <v/>
      </c>
      <c r="C3451" s="4" t="str" cm="1">
        <f t="array" ref="C3451">IFERROR(INDEX(EmployeeData[Full Name], ROW() - 37), "")</f>
        <v/>
      </c>
      <c r="D3451" s="4" t="str" cm="1">
        <f t="array" ref="D3451">IFERROR(INDEX(EmployeeData[Department], ROW() - 37), "")</f>
        <v/>
      </c>
      <c r="E3451" s="4" t="str" cm="1">
        <f t="array" ref="E3451">IFERROR(INDEX(EmployeeData[Gender], ROW() - 37), "")</f>
        <v/>
      </c>
      <c r="F3451" s="4" t="str" cm="1">
        <f t="array" ref="F3451">IFERROR(INDEX(EmployeeData[Age], ROW() - 37), "")</f>
        <v/>
      </c>
      <c r="G3451" s="6" t="str" cm="1">
        <f t="array" ref="G3451">IFERROR(INDEX(EmployeeData[Join Date], ROW() - 37), "")</f>
        <v/>
      </c>
      <c r="H3451" s="6" t="str" cm="1">
        <f t="array" ref="H3451">IFERROR(IF(INDEX(EmployeeData[Exit Date], ROW() - 37)=0, "",INDEX(EmployeeData[Exit Date], ROW() - 37)),"")</f>
        <v/>
      </c>
      <c r="I3451" s="4" t="str" cm="1">
        <f t="array" ref="I3451">IFERROR(IF(INDEX(EmployeeData[Exit Reason], ROW() - 37)=0, "",INDEX(EmployeeData[Exit Reason], ROW() - 37)),"")</f>
        <v/>
      </c>
      <c r="J3451" s="4" t="str" cm="1">
        <f t="array" ref="J3451">IFERROR(INDEX(EmployeeData[Status], ROW() - 37), "")</f>
        <v/>
      </c>
    </row>
    <row r="3452" spans="2:10" ht="19.95" customHeight="1" x14ac:dyDescent="0.3">
      <c r="B3452" s="4" t="str" cm="1">
        <f t="array" ref="B3452">IFERROR(INDEX(EmployeeData[Employee ID], ROW() - 37), "")</f>
        <v/>
      </c>
      <c r="C3452" s="4" t="str" cm="1">
        <f t="array" ref="C3452">IFERROR(INDEX(EmployeeData[Full Name], ROW() - 37), "")</f>
        <v/>
      </c>
      <c r="D3452" s="4" t="str" cm="1">
        <f t="array" ref="D3452">IFERROR(INDEX(EmployeeData[Department], ROW() - 37), "")</f>
        <v/>
      </c>
      <c r="E3452" s="4" t="str" cm="1">
        <f t="array" ref="E3452">IFERROR(INDEX(EmployeeData[Gender], ROW() - 37), "")</f>
        <v/>
      </c>
      <c r="F3452" s="4" t="str" cm="1">
        <f t="array" ref="F3452">IFERROR(INDEX(EmployeeData[Age], ROW() - 37), "")</f>
        <v/>
      </c>
      <c r="G3452" s="6" t="str" cm="1">
        <f t="array" ref="G3452">IFERROR(INDEX(EmployeeData[Join Date], ROW() - 37), "")</f>
        <v/>
      </c>
      <c r="H3452" s="6" t="str" cm="1">
        <f t="array" ref="H3452">IFERROR(IF(INDEX(EmployeeData[Exit Date], ROW() - 37)=0, "",INDEX(EmployeeData[Exit Date], ROW() - 37)),"")</f>
        <v/>
      </c>
      <c r="I3452" s="4" t="str" cm="1">
        <f t="array" ref="I3452">IFERROR(IF(INDEX(EmployeeData[Exit Reason], ROW() - 37)=0, "",INDEX(EmployeeData[Exit Reason], ROW() - 37)),"")</f>
        <v/>
      </c>
      <c r="J3452" s="4" t="str" cm="1">
        <f t="array" ref="J3452">IFERROR(INDEX(EmployeeData[Status], ROW() - 37), "")</f>
        <v/>
      </c>
    </row>
    <row r="3453" spans="2:10" ht="19.95" customHeight="1" x14ac:dyDescent="0.3">
      <c r="B3453" s="4" t="str" cm="1">
        <f t="array" ref="B3453">IFERROR(INDEX(EmployeeData[Employee ID], ROW() - 37), "")</f>
        <v/>
      </c>
      <c r="C3453" s="4" t="str" cm="1">
        <f t="array" ref="C3453">IFERROR(INDEX(EmployeeData[Full Name], ROW() - 37), "")</f>
        <v/>
      </c>
      <c r="D3453" s="4" t="str" cm="1">
        <f t="array" ref="D3453">IFERROR(INDEX(EmployeeData[Department], ROW() - 37), "")</f>
        <v/>
      </c>
      <c r="E3453" s="4" t="str" cm="1">
        <f t="array" ref="E3453">IFERROR(INDEX(EmployeeData[Gender], ROW() - 37), "")</f>
        <v/>
      </c>
      <c r="F3453" s="4" t="str" cm="1">
        <f t="array" ref="F3453">IFERROR(INDEX(EmployeeData[Age], ROW() - 37), "")</f>
        <v/>
      </c>
      <c r="G3453" s="6" t="str" cm="1">
        <f t="array" ref="G3453">IFERROR(INDEX(EmployeeData[Join Date], ROW() - 37), "")</f>
        <v/>
      </c>
      <c r="H3453" s="6" t="str" cm="1">
        <f t="array" ref="H3453">IFERROR(IF(INDEX(EmployeeData[Exit Date], ROW() - 37)=0, "",INDEX(EmployeeData[Exit Date], ROW() - 37)),"")</f>
        <v/>
      </c>
      <c r="I3453" s="4" t="str" cm="1">
        <f t="array" ref="I3453">IFERROR(IF(INDEX(EmployeeData[Exit Reason], ROW() - 37)=0, "",INDEX(EmployeeData[Exit Reason], ROW() - 37)),"")</f>
        <v/>
      </c>
      <c r="J3453" s="4" t="str" cm="1">
        <f t="array" ref="J3453">IFERROR(INDEX(EmployeeData[Status], ROW() - 37), "")</f>
        <v/>
      </c>
    </row>
    <row r="3454" spans="2:10" ht="19.95" customHeight="1" x14ac:dyDescent="0.3">
      <c r="B3454" s="4" t="str" cm="1">
        <f t="array" ref="B3454">IFERROR(INDEX(EmployeeData[Employee ID], ROW() - 37), "")</f>
        <v/>
      </c>
      <c r="C3454" s="4" t="str" cm="1">
        <f t="array" ref="C3454">IFERROR(INDEX(EmployeeData[Full Name], ROW() - 37), "")</f>
        <v/>
      </c>
      <c r="D3454" s="4" t="str" cm="1">
        <f t="array" ref="D3454">IFERROR(INDEX(EmployeeData[Department], ROW() - 37), "")</f>
        <v/>
      </c>
      <c r="E3454" s="4" t="str" cm="1">
        <f t="array" ref="E3454">IFERROR(INDEX(EmployeeData[Gender], ROW() - 37), "")</f>
        <v/>
      </c>
      <c r="F3454" s="4" t="str" cm="1">
        <f t="array" ref="F3454">IFERROR(INDEX(EmployeeData[Age], ROW() - 37), "")</f>
        <v/>
      </c>
      <c r="G3454" s="6" t="str" cm="1">
        <f t="array" ref="G3454">IFERROR(INDEX(EmployeeData[Join Date], ROW() - 37), "")</f>
        <v/>
      </c>
      <c r="H3454" s="6" t="str" cm="1">
        <f t="array" ref="H3454">IFERROR(IF(INDEX(EmployeeData[Exit Date], ROW() - 37)=0, "",INDEX(EmployeeData[Exit Date], ROW() - 37)),"")</f>
        <v/>
      </c>
      <c r="I3454" s="4" t="str" cm="1">
        <f t="array" ref="I3454">IFERROR(IF(INDEX(EmployeeData[Exit Reason], ROW() - 37)=0, "",INDEX(EmployeeData[Exit Reason], ROW() - 37)),"")</f>
        <v/>
      </c>
      <c r="J3454" s="4" t="str" cm="1">
        <f t="array" ref="J3454">IFERROR(INDEX(EmployeeData[Status], ROW() - 37), "")</f>
        <v/>
      </c>
    </row>
    <row r="3455" spans="2:10" ht="19.95" customHeight="1" x14ac:dyDescent="0.3">
      <c r="B3455" s="4" t="str" cm="1">
        <f t="array" ref="B3455">IFERROR(INDEX(EmployeeData[Employee ID], ROW() - 37), "")</f>
        <v/>
      </c>
      <c r="C3455" s="4" t="str" cm="1">
        <f t="array" ref="C3455">IFERROR(INDEX(EmployeeData[Full Name], ROW() - 37), "")</f>
        <v/>
      </c>
      <c r="D3455" s="4" t="str" cm="1">
        <f t="array" ref="D3455">IFERROR(INDEX(EmployeeData[Department], ROW() - 37), "")</f>
        <v/>
      </c>
      <c r="E3455" s="4" t="str" cm="1">
        <f t="array" ref="E3455">IFERROR(INDEX(EmployeeData[Gender], ROW() - 37), "")</f>
        <v/>
      </c>
      <c r="F3455" s="4" t="str" cm="1">
        <f t="array" ref="F3455">IFERROR(INDEX(EmployeeData[Age], ROW() - 37), "")</f>
        <v/>
      </c>
      <c r="G3455" s="6" t="str" cm="1">
        <f t="array" ref="G3455">IFERROR(INDEX(EmployeeData[Join Date], ROW() - 37), "")</f>
        <v/>
      </c>
      <c r="H3455" s="6" t="str" cm="1">
        <f t="array" ref="H3455">IFERROR(IF(INDEX(EmployeeData[Exit Date], ROW() - 37)=0, "",INDEX(EmployeeData[Exit Date], ROW() - 37)),"")</f>
        <v/>
      </c>
      <c r="I3455" s="4" t="str" cm="1">
        <f t="array" ref="I3455">IFERROR(IF(INDEX(EmployeeData[Exit Reason], ROW() - 37)=0, "",INDEX(EmployeeData[Exit Reason], ROW() - 37)),"")</f>
        <v/>
      </c>
      <c r="J3455" s="4" t="str" cm="1">
        <f t="array" ref="J3455">IFERROR(INDEX(EmployeeData[Status], ROW() - 37), "")</f>
        <v/>
      </c>
    </row>
    <row r="3456" spans="2:10" ht="19.95" customHeight="1" x14ac:dyDescent="0.3">
      <c r="B3456" s="4" t="str" cm="1">
        <f t="array" ref="B3456">IFERROR(INDEX(EmployeeData[Employee ID], ROW() - 37), "")</f>
        <v/>
      </c>
      <c r="C3456" s="4" t="str" cm="1">
        <f t="array" ref="C3456">IFERROR(INDEX(EmployeeData[Full Name], ROW() - 37), "")</f>
        <v/>
      </c>
      <c r="D3456" s="4" t="str" cm="1">
        <f t="array" ref="D3456">IFERROR(INDEX(EmployeeData[Department], ROW() - 37), "")</f>
        <v/>
      </c>
      <c r="E3456" s="4" t="str" cm="1">
        <f t="array" ref="E3456">IFERROR(INDEX(EmployeeData[Gender], ROW() - 37), "")</f>
        <v/>
      </c>
      <c r="F3456" s="4" t="str" cm="1">
        <f t="array" ref="F3456">IFERROR(INDEX(EmployeeData[Age], ROW() - 37), "")</f>
        <v/>
      </c>
      <c r="G3456" s="6" t="str" cm="1">
        <f t="array" ref="G3456">IFERROR(INDEX(EmployeeData[Join Date], ROW() - 37), "")</f>
        <v/>
      </c>
      <c r="H3456" s="6" t="str" cm="1">
        <f t="array" ref="H3456">IFERROR(IF(INDEX(EmployeeData[Exit Date], ROW() - 37)=0, "",INDEX(EmployeeData[Exit Date], ROW() - 37)),"")</f>
        <v/>
      </c>
      <c r="I3456" s="4" t="str" cm="1">
        <f t="array" ref="I3456">IFERROR(IF(INDEX(EmployeeData[Exit Reason], ROW() - 37)=0, "",INDEX(EmployeeData[Exit Reason], ROW() - 37)),"")</f>
        <v/>
      </c>
      <c r="J3456" s="4" t="str" cm="1">
        <f t="array" ref="J3456">IFERROR(INDEX(EmployeeData[Status], ROW() - 37), "")</f>
        <v/>
      </c>
    </row>
    <row r="3457" spans="2:10" ht="19.95" customHeight="1" x14ac:dyDescent="0.3">
      <c r="B3457" s="4" t="str" cm="1">
        <f t="array" ref="B3457">IFERROR(INDEX(EmployeeData[Employee ID], ROW() - 37), "")</f>
        <v/>
      </c>
      <c r="C3457" s="4" t="str" cm="1">
        <f t="array" ref="C3457">IFERROR(INDEX(EmployeeData[Full Name], ROW() - 37), "")</f>
        <v/>
      </c>
      <c r="D3457" s="4" t="str" cm="1">
        <f t="array" ref="D3457">IFERROR(INDEX(EmployeeData[Department], ROW() - 37), "")</f>
        <v/>
      </c>
      <c r="E3457" s="4" t="str" cm="1">
        <f t="array" ref="E3457">IFERROR(INDEX(EmployeeData[Gender], ROW() - 37), "")</f>
        <v/>
      </c>
      <c r="F3457" s="4" t="str" cm="1">
        <f t="array" ref="F3457">IFERROR(INDEX(EmployeeData[Age], ROW() - 37), "")</f>
        <v/>
      </c>
      <c r="G3457" s="6" t="str" cm="1">
        <f t="array" ref="G3457">IFERROR(INDEX(EmployeeData[Join Date], ROW() - 37), "")</f>
        <v/>
      </c>
      <c r="H3457" s="6" t="str" cm="1">
        <f t="array" ref="H3457">IFERROR(IF(INDEX(EmployeeData[Exit Date], ROW() - 37)=0, "",INDEX(EmployeeData[Exit Date], ROW() - 37)),"")</f>
        <v/>
      </c>
      <c r="I3457" s="4" t="str" cm="1">
        <f t="array" ref="I3457">IFERROR(IF(INDEX(EmployeeData[Exit Reason], ROW() - 37)=0, "",INDEX(EmployeeData[Exit Reason], ROW() - 37)),"")</f>
        <v/>
      </c>
      <c r="J3457" s="4" t="str" cm="1">
        <f t="array" ref="J3457">IFERROR(INDEX(EmployeeData[Status], ROW() - 37), "")</f>
        <v/>
      </c>
    </row>
    <row r="3458" spans="2:10" ht="19.95" customHeight="1" x14ac:dyDescent="0.3">
      <c r="B3458" s="4" t="str" cm="1">
        <f t="array" ref="B3458">IFERROR(INDEX(EmployeeData[Employee ID], ROW() - 37), "")</f>
        <v/>
      </c>
      <c r="C3458" s="4" t="str" cm="1">
        <f t="array" ref="C3458">IFERROR(INDEX(EmployeeData[Full Name], ROW() - 37), "")</f>
        <v/>
      </c>
      <c r="D3458" s="4" t="str" cm="1">
        <f t="array" ref="D3458">IFERROR(INDEX(EmployeeData[Department], ROW() - 37), "")</f>
        <v/>
      </c>
      <c r="E3458" s="4" t="str" cm="1">
        <f t="array" ref="E3458">IFERROR(INDEX(EmployeeData[Gender], ROW() - 37), "")</f>
        <v/>
      </c>
      <c r="F3458" s="4" t="str" cm="1">
        <f t="array" ref="F3458">IFERROR(INDEX(EmployeeData[Age], ROW() - 37), "")</f>
        <v/>
      </c>
      <c r="G3458" s="6" t="str" cm="1">
        <f t="array" ref="G3458">IFERROR(INDEX(EmployeeData[Join Date], ROW() - 37), "")</f>
        <v/>
      </c>
      <c r="H3458" s="6" t="str" cm="1">
        <f t="array" ref="H3458">IFERROR(IF(INDEX(EmployeeData[Exit Date], ROW() - 37)=0, "",INDEX(EmployeeData[Exit Date], ROW() - 37)),"")</f>
        <v/>
      </c>
      <c r="I3458" s="4" t="str" cm="1">
        <f t="array" ref="I3458">IFERROR(IF(INDEX(EmployeeData[Exit Reason], ROW() - 37)=0, "",INDEX(EmployeeData[Exit Reason], ROW() - 37)),"")</f>
        <v/>
      </c>
      <c r="J3458" s="4" t="str" cm="1">
        <f t="array" ref="J3458">IFERROR(INDEX(EmployeeData[Status], ROW() - 37), "")</f>
        <v/>
      </c>
    </row>
    <row r="3459" spans="2:10" ht="19.95" customHeight="1" x14ac:dyDescent="0.3">
      <c r="B3459" s="4" t="str" cm="1">
        <f t="array" ref="B3459">IFERROR(INDEX(EmployeeData[Employee ID], ROW() - 37), "")</f>
        <v/>
      </c>
      <c r="C3459" s="4" t="str" cm="1">
        <f t="array" ref="C3459">IFERROR(INDEX(EmployeeData[Full Name], ROW() - 37), "")</f>
        <v/>
      </c>
      <c r="D3459" s="4" t="str" cm="1">
        <f t="array" ref="D3459">IFERROR(INDEX(EmployeeData[Department], ROW() - 37), "")</f>
        <v/>
      </c>
      <c r="E3459" s="4" t="str" cm="1">
        <f t="array" ref="E3459">IFERROR(INDEX(EmployeeData[Gender], ROW() - 37), "")</f>
        <v/>
      </c>
      <c r="F3459" s="4" t="str" cm="1">
        <f t="array" ref="F3459">IFERROR(INDEX(EmployeeData[Age], ROW() - 37), "")</f>
        <v/>
      </c>
      <c r="G3459" s="6" t="str" cm="1">
        <f t="array" ref="G3459">IFERROR(INDEX(EmployeeData[Join Date], ROW() - 37), "")</f>
        <v/>
      </c>
      <c r="H3459" s="6" t="str" cm="1">
        <f t="array" ref="H3459">IFERROR(IF(INDEX(EmployeeData[Exit Date], ROW() - 37)=0, "",INDEX(EmployeeData[Exit Date], ROW() - 37)),"")</f>
        <v/>
      </c>
      <c r="I3459" s="4" t="str" cm="1">
        <f t="array" ref="I3459">IFERROR(IF(INDEX(EmployeeData[Exit Reason], ROW() - 37)=0, "",INDEX(EmployeeData[Exit Reason], ROW() - 37)),"")</f>
        <v/>
      </c>
      <c r="J3459" s="4" t="str" cm="1">
        <f t="array" ref="J3459">IFERROR(INDEX(EmployeeData[Status], ROW() - 37), "")</f>
        <v/>
      </c>
    </row>
    <row r="3460" spans="2:10" ht="19.95" customHeight="1" x14ac:dyDescent="0.3">
      <c r="B3460" s="4" t="str" cm="1">
        <f t="array" ref="B3460">IFERROR(INDEX(EmployeeData[Employee ID], ROW() - 37), "")</f>
        <v/>
      </c>
      <c r="C3460" s="4" t="str" cm="1">
        <f t="array" ref="C3460">IFERROR(INDEX(EmployeeData[Full Name], ROW() - 37), "")</f>
        <v/>
      </c>
      <c r="D3460" s="4" t="str" cm="1">
        <f t="array" ref="D3460">IFERROR(INDEX(EmployeeData[Department], ROW() - 37), "")</f>
        <v/>
      </c>
      <c r="E3460" s="4" t="str" cm="1">
        <f t="array" ref="E3460">IFERROR(INDEX(EmployeeData[Gender], ROW() - 37), "")</f>
        <v/>
      </c>
      <c r="F3460" s="4" t="str" cm="1">
        <f t="array" ref="F3460">IFERROR(INDEX(EmployeeData[Age], ROW() - 37), "")</f>
        <v/>
      </c>
      <c r="G3460" s="6" t="str" cm="1">
        <f t="array" ref="G3460">IFERROR(INDEX(EmployeeData[Join Date], ROW() - 37), "")</f>
        <v/>
      </c>
      <c r="H3460" s="6" t="str" cm="1">
        <f t="array" ref="H3460">IFERROR(IF(INDEX(EmployeeData[Exit Date], ROW() - 37)=0, "",INDEX(EmployeeData[Exit Date], ROW() - 37)),"")</f>
        <v/>
      </c>
      <c r="I3460" s="4" t="str" cm="1">
        <f t="array" ref="I3460">IFERROR(IF(INDEX(EmployeeData[Exit Reason], ROW() - 37)=0, "",INDEX(EmployeeData[Exit Reason], ROW() - 37)),"")</f>
        <v/>
      </c>
      <c r="J3460" s="4" t="str" cm="1">
        <f t="array" ref="J3460">IFERROR(INDEX(EmployeeData[Status], ROW() - 37), "")</f>
        <v/>
      </c>
    </row>
    <row r="3461" spans="2:10" ht="19.95" customHeight="1" x14ac:dyDescent="0.3">
      <c r="B3461" s="4" t="str" cm="1">
        <f t="array" ref="B3461">IFERROR(INDEX(EmployeeData[Employee ID], ROW() - 37), "")</f>
        <v/>
      </c>
      <c r="C3461" s="4" t="str" cm="1">
        <f t="array" ref="C3461">IFERROR(INDEX(EmployeeData[Full Name], ROW() - 37), "")</f>
        <v/>
      </c>
      <c r="D3461" s="4" t="str" cm="1">
        <f t="array" ref="D3461">IFERROR(INDEX(EmployeeData[Department], ROW() - 37), "")</f>
        <v/>
      </c>
      <c r="E3461" s="4" t="str" cm="1">
        <f t="array" ref="E3461">IFERROR(INDEX(EmployeeData[Gender], ROW() - 37), "")</f>
        <v/>
      </c>
      <c r="F3461" s="4" t="str" cm="1">
        <f t="array" ref="F3461">IFERROR(INDEX(EmployeeData[Age], ROW() - 37), "")</f>
        <v/>
      </c>
      <c r="G3461" s="6" t="str" cm="1">
        <f t="array" ref="G3461">IFERROR(INDEX(EmployeeData[Join Date], ROW() - 37), "")</f>
        <v/>
      </c>
      <c r="H3461" s="6" t="str" cm="1">
        <f t="array" ref="H3461">IFERROR(IF(INDEX(EmployeeData[Exit Date], ROW() - 37)=0, "",INDEX(EmployeeData[Exit Date], ROW() - 37)),"")</f>
        <v/>
      </c>
      <c r="I3461" s="4" t="str" cm="1">
        <f t="array" ref="I3461">IFERROR(IF(INDEX(EmployeeData[Exit Reason], ROW() - 37)=0, "",INDEX(EmployeeData[Exit Reason], ROW() - 37)),"")</f>
        <v/>
      </c>
      <c r="J3461" s="4" t="str" cm="1">
        <f t="array" ref="J3461">IFERROR(INDEX(EmployeeData[Status], ROW() - 37), "")</f>
        <v/>
      </c>
    </row>
    <row r="3462" spans="2:10" ht="19.95" customHeight="1" x14ac:dyDescent="0.3">
      <c r="B3462" s="4" t="str" cm="1">
        <f t="array" ref="B3462">IFERROR(INDEX(EmployeeData[Employee ID], ROW() - 37), "")</f>
        <v/>
      </c>
      <c r="C3462" s="4" t="str" cm="1">
        <f t="array" ref="C3462">IFERROR(INDEX(EmployeeData[Full Name], ROW() - 37), "")</f>
        <v/>
      </c>
      <c r="D3462" s="4" t="str" cm="1">
        <f t="array" ref="D3462">IFERROR(INDEX(EmployeeData[Department], ROW() - 37), "")</f>
        <v/>
      </c>
      <c r="E3462" s="4" t="str" cm="1">
        <f t="array" ref="E3462">IFERROR(INDEX(EmployeeData[Gender], ROW() - 37), "")</f>
        <v/>
      </c>
      <c r="F3462" s="4" t="str" cm="1">
        <f t="array" ref="F3462">IFERROR(INDEX(EmployeeData[Age], ROW() - 37), "")</f>
        <v/>
      </c>
      <c r="G3462" s="6" t="str" cm="1">
        <f t="array" ref="G3462">IFERROR(INDEX(EmployeeData[Join Date], ROW() - 37), "")</f>
        <v/>
      </c>
      <c r="H3462" s="6" t="str" cm="1">
        <f t="array" ref="H3462">IFERROR(IF(INDEX(EmployeeData[Exit Date], ROW() - 37)=0, "",INDEX(EmployeeData[Exit Date], ROW() - 37)),"")</f>
        <v/>
      </c>
      <c r="I3462" s="4" t="str" cm="1">
        <f t="array" ref="I3462">IFERROR(IF(INDEX(EmployeeData[Exit Reason], ROW() - 37)=0, "",INDEX(EmployeeData[Exit Reason], ROW() - 37)),"")</f>
        <v/>
      </c>
      <c r="J3462" s="4" t="str" cm="1">
        <f t="array" ref="J3462">IFERROR(INDEX(EmployeeData[Status], ROW() - 37), "")</f>
        <v/>
      </c>
    </row>
    <row r="3463" spans="2:10" ht="19.95" customHeight="1" x14ac:dyDescent="0.3">
      <c r="B3463" s="4" t="str" cm="1">
        <f t="array" ref="B3463">IFERROR(INDEX(EmployeeData[Employee ID], ROW() - 37), "")</f>
        <v/>
      </c>
      <c r="C3463" s="4" t="str" cm="1">
        <f t="array" ref="C3463">IFERROR(INDEX(EmployeeData[Full Name], ROW() - 37), "")</f>
        <v/>
      </c>
      <c r="D3463" s="4" t="str" cm="1">
        <f t="array" ref="D3463">IFERROR(INDEX(EmployeeData[Department], ROW() - 37), "")</f>
        <v/>
      </c>
      <c r="E3463" s="4" t="str" cm="1">
        <f t="array" ref="E3463">IFERROR(INDEX(EmployeeData[Gender], ROW() - 37), "")</f>
        <v/>
      </c>
      <c r="F3463" s="4" t="str" cm="1">
        <f t="array" ref="F3463">IFERROR(INDEX(EmployeeData[Age], ROW() - 37), "")</f>
        <v/>
      </c>
      <c r="G3463" s="6" t="str" cm="1">
        <f t="array" ref="G3463">IFERROR(INDEX(EmployeeData[Join Date], ROW() - 37), "")</f>
        <v/>
      </c>
      <c r="H3463" s="6" t="str" cm="1">
        <f t="array" ref="H3463">IFERROR(IF(INDEX(EmployeeData[Exit Date], ROW() - 37)=0, "",INDEX(EmployeeData[Exit Date], ROW() - 37)),"")</f>
        <v/>
      </c>
      <c r="I3463" s="4" t="str" cm="1">
        <f t="array" ref="I3463">IFERROR(IF(INDEX(EmployeeData[Exit Reason], ROW() - 37)=0, "",INDEX(EmployeeData[Exit Reason], ROW() - 37)),"")</f>
        <v/>
      </c>
      <c r="J3463" s="4" t="str" cm="1">
        <f t="array" ref="J3463">IFERROR(INDEX(EmployeeData[Status], ROW() - 37), "")</f>
        <v/>
      </c>
    </row>
    <row r="3464" spans="2:10" ht="19.95" customHeight="1" x14ac:dyDescent="0.3">
      <c r="B3464" s="4" t="str" cm="1">
        <f t="array" ref="B3464">IFERROR(INDEX(EmployeeData[Employee ID], ROW() - 37), "")</f>
        <v/>
      </c>
      <c r="C3464" s="4" t="str" cm="1">
        <f t="array" ref="C3464">IFERROR(INDEX(EmployeeData[Full Name], ROW() - 37), "")</f>
        <v/>
      </c>
      <c r="D3464" s="4" t="str" cm="1">
        <f t="array" ref="D3464">IFERROR(INDEX(EmployeeData[Department], ROW() - 37), "")</f>
        <v/>
      </c>
      <c r="E3464" s="4" t="str" cm="1">
        <f t="array" ref="E3464">IFERROR(INDEX(EmployeeData[Gender], ROW() - 37), "")</f>
        <v/>
      </c>
      <c r="F3464" s="4" t="str" cm="1">
        <f t="array" ref="F3464">IFERROR(INDEX(EmployeeData[Age], ROW() - 37), "")</f>
        <v/>
      </c>
      <c r="G3464" s="6" t="str" cm="1">
        <f t="array" ref="G3464">IFERROR(INDEX(EmployeeData[Join Date], ROW() - 37), "")</f>
        <v/>
      </c>
      <c r="H3464" s="6" t="str" cm="1">
        <f t="array" ref="H3464">IFERROR(IF(INDEX(EmployeeData[Exit Date], ROW() - 37)=0, "",INDEX(EmployeeData[Exit Date], ROW() - 37)),"")</f>
        <v/>
      </c>
      <c r="I3464" s="4" t="str" cm="1">
        <f t="array" ref="I3464">IFERROR(IF(INDEX(EmployeeData[Exit Reason], ROW() - 37)=0, "",INDEX(EmployeeData[Exit Reason], ROW() - 37)),"")</f>
        <v/>
      </c>
      <c r="J3464" s="4" t="str" cm="1">
        <f t="array" ref="J3464">IFERROR(INDEX(EmployeeData[Status], ROW() - 37), "")</f>
        <v/>
      </c>
    </row>
    <row r="3465" spans="2:10" ht="19.95" customHeight="1" x14ac:dyDescent="0.3">
      <c r="B3465" s="4" t="str" cm="1">
        <f t="array" ref="B3465">IFERROR(INDEX(EmployeeData[Employee ID], ROW() - 37), "")</f>
        <v/>
      </c>
      <c r="C3465" s="4" t="str" cm="1">
        <f t="array" ref="C3465">IFERROR(INDEX(EmployeeData[Full Name], ROW() - 37), "")</f>
        <v/>
      </c>
      <c r="D3465" s="4" t="str" cm="1">
        <f t="array" ref="D3465">IFERROR(INDEX(EmployeeData[Department], ROW() - 37), "")</f>
        <v/>
      </c>
      <c r="E3465" s="4" t="str" cm="1">
        <f t="array" ref="E3465">IFERROR(INDEX(EmployeeData[Gender], ROW() - 37), "")</f>
        <v/>
      </c>
      <c r="F3465" s="4" t="str" cm="1">
        <f t="array" ref="F3465">IFERROR(INDEX(EmployeeData[Age], ROW() - 37), "")</f>
        <v/>
      </c>
      <c r="G3465" s="6" t="str" cm="1">
        <f t="array" ref="G3465">IFERROR(INDEX(EmployeeData[Join Date], ROW() - 37), "")</f>
        <v/>
      </c>
      <c r="H3465" s="6" t="str" cm="1">
        <f t="array" ref="H3465">IFERROR(IF(INDEX(EmployeeData[Exit Date], ROW() - 37)=0, "",INDEX(EmployeeData[Exit Date], ROW() - 37)),"")</f>
        <v/>
      </c>
      <c r="I3465" s="4" t="str" cm="1">
        <f t="array" ref="I3465">IFERROR(IF(INDEX(EmployeeData[Exit Reason], ROW() - 37)=0, "",INDEX(EmployeeData[Exit Reason], ROW() - 37)),"")</f>
        <v/>
      </c>
      <c r="J3465" s="4" t="str" cm="1">
        <f t="array" ref="J3465">IFERROR(INDEX(EmployeeData[Status], ROW() - 37), "")</f>
        <v/>
      </c>
    </row>
    <row r="3466" spans="2:10" ht="19.95" customHeight="1" x14ac:dyDescent="0.3">
      <c r="B3466" s="4" t="str" cm="1">
        <f t="array" ref="B3466">IFERROR(INDEX(EmployeeData[Employee ID], ROW() - 37), "")</f>
        <v/>
      </c>
      <c r="C3466" s="4" t="str" cm="1">
        <f t="array" ref="C3466">IFERROR(INDEX(EmployeeData[Full Name], ROW() - 37), "")</f>
        <v/>
      </c>
      <c r="D3466" s="4" t="str" cm="1">
        <f t="array" ref="D3466">IFERROR(INDEX(EmployeeData[Department], ROW() - 37), "")</f>
        <v/>
      </c>
      <c r="E3466" s="4" t="str" cm="1">
        <f t="array" ref="E3466">IFERROR(INDEX(EmployeeData[Gender], ROW() - 37), "")</f>
        <v/>
      </c>
      <c r="F3466" s="4" t="str" cm="1">
        <f t="array" ref="F3466">IFERROR(INDEX(EmployeeData[Age], ROW() - 37), "")</f>
        <v/>
      </c>
      <c r="G3466" s="6" t="str" cm="1">
        <f t="array" ref="G3466">IFERROR(INDEX(EmployeeData[Join Date], ROW() - 37), "")</f>
        <v/>
      </c>
      <c r="H3466" s="6" t="str" cm="1">
        <f t="array" ref="H3466">IFERROR(IF(INDEX(EmployeeData[Exit Date], ROW() - 37)=0, "",INDEX(EmployeeData[Exit Date], ROW() - 37)),"")</f>
        <v/>
      </c>
      <c r="I3466" s="4" t="str" cm="1">
        <f t="array" ref="I3466">IFERROR(IF(INDEX(EmployeeData[Exit Reason], ROW() - 37)=0, "",INDEX(EmployeeData[Exit Reason], ROW() - 37)),"")</f>
        <v/>
      </c>
      <c r="J3466" s="4" t="str" cm="1">
        <f t="array" ref="J3466">IFERROR(INDEX(EmployeeData[Status], ROW() - 37), "")</f>
        <v/>
      </c>
    </row>
    <row r="3467" spans="2:10" ht="19.95" customHeight="1" x14ac:dyDescent="0.3">
      <c r="B3467" s="4" t="str" cm="1">
        <f t="array" ref="B3467">IFERROR(INDEX(EmployeeData[Employee ID], ROW() - 37), "")</f>
        <v/>
      </c>
      <c r="C3467" s="4" t="str" cm="1">
        <f t="array" ref="C3467">IFERROR(INDEX(EmployeeData[Full Name], ROW() - 37), "")</f>
        <v/>
      </c>
      <c r="D3467" s="4" t="str" cm="1">
        <f t="array" ref="D3467">IFERROR(INDEX(EmployeeData[Department], ROW() - 37), "")</f>
        <v/>
      </c>
      <c r="E3467" s="4" t="str" cm="1">
        <f t="array" ref="E3467">IFERROR(INDEX(EmployeeData[Gender], ROW() - 37), "")</f>
        <v/>
      </c>
      <c r="F3467" s="4" t="str" cm="1">
        <f t="array" ref="F3467">IFERROR(INDEX(EmployeeData[Age], ROW() - 37), "")</f>
        <v/>
      </c>
      <c r="G3467" s="6" t="str" cm="1">
        <f t="array" ref="G3467">IFERROR(INDEX(EmployeeData[Join Date], ROW() - 37), "")</f>
        <v/>
      </c>
      <c r="H3467" s="6" t="str" cm="1">
        <f t="array" ref="H3467">IFERROR(IF(INDEX(EmployeeData[Exit Date], ROW() - 37)=0, "",INDEX(EmployeeData[Exit Date], ROW() - 37)),"")</f>
        <v/>
      </c>
      <c r="I3467" s="4" t="str" cm="1">
        <f t="array" ref="I3467">IFERROR(IF(INDEX(EmployeeData[Exit Reason], ROW() - 37)=0, "",INDEX(EmployeeData[Exit Reason], ROW() - 37)),"")</f>
        <v/>
      </c>
      <c r="J3467" s="4" t="str" cm="1">
        <f t="array" ref="J3467">IFERROR(INDEX(EmployeeData[Status], ROW() - 37), "")</f>
        <v/>
      </c>
    </row>
    <row r="3468" spans="2:10" ht="19.95" customHeight="1" x14ac:dyDescent="0.3">
      <c r="B3468" s="4" t="str" cm="1">
        <f t="array" ref="B3468">IFERROR(INDEX(EmployeeData[Employee ID], ROW() - 37), "")</f>
        <v/>
      </c>
      <c r="C3468" s="4" t="str" cm="1">
        <f t="array" ref="C3468">IFERROR(INDEX(EmployeeData[Full Name], ROW() - 37), "")</f>
        <v/>
      </c>
      <c r="D3468" s="4" t="str" cm="1">
        <f t="array" ref="D3468">IFERROR(INDEX(EmployeeData[Department], ROW() - 37), "")</f>
        <v/>
      </c>
      <c r="E3468" s="4" t="str" cm="1">
        <f t="array" ref="E3468">IFERROR(INDEX(EmployeeData[Gender], ROW() - 37), "")</f>
        <v/>
      </c>
      <c r="F3468" s="4" t="str" cm="1">
        <f t="array" ref="F3468">IFERROR(INDEX(EmployeeData[Age], ROW() - 37), "")</f>
        <v/>
      </c>
      <c r="G3468" s="6" t="str" cm="1">
        <f t="array" ref="G3468">IFERROR(INDEX(EmployeeData[Join Date], ROW() - 37), "")</f>
        <v/>
      </c>
      <c r="H3468" s="6" t="str" cm="1">
        <f t="array" ref="H3468">IFERROR(IF(INDEX(EmployeeData[Exit Date], ROW() - 37)=0, "",INDEX(EmployeeData[Exit Date], ROW() - 37)),"")</f>
        <v/>
      </c>
      <c r="I3468" s="4" t="str" cm="1">
        <f t="array" ref="I3468">IFERROR(IF(INDEX(EmployeeData[Exit Reason], ROW() - 37)=0, "",INDEX(EmployeeData[Exit Reason], ROW() - 37)),"")</f>
        <v/>
      </c>
      <c r="J3468" s="4" t="str" cm="1">
        <f t="array" ref="J3468">IFERROR(INDEX(EmployeeData[Status], ROW() - 37), "")</f>
        <v/>
      </c>
    </row>
    <row r="3469" spans="2:10" ht="19.95" customHeight="1" x14ac:dyDescent="0.3">
      <c r="B3469" s="4" t="str" cm="1">
        <f t="array" ref="B3469">IFERROR(INDEX(EmployeeData[Employee ID], ROW() - 37), "")</f>
        <v/>
      </c>
      <c r="C3469" s="4" t="str" cm="1">
        <f t="array" ref="C3469">IFERROR(INDEX(EmployeeData[Full Name], ROW() - 37), "")</f>
        <v/>
      </c>
      <c r="D3469" s="4" t="str" cm="1">
        <f t="array" ref="D3469">IFERROR(INDEX(EmployeeData[Department], ROW() - 37), "")</f>
        <v/>
      </c>
      <c r="E3469" s="4" t="str" cm="1">
        <f t="array" ref="E3469">IFERROR(INDEX(EmployeeData[Gender], ROW() - 37), "")</f>
        <v/>
      </c>
      <c r="F3469" s="4" t="str" cm="1">
        <f t="array" ref="F3469">IFERROR(INDEX(EmployeeData[Age], ROW() - 37), "")</f>
        <v/>
      </c>
      <c r="G3469" s="6" t="str" cm="1">
        <f t="array" ref="G3469">IFERROR(INDEX(EmployeeData[Join Date], ROW() - 37), "")</f>
        <v/>
      </c>
      <c r="H3469" s="6" t="str" cm="1">
        <f t="array" ref="H3469">IFERROR(IF(INDEX(EmployeeData[Exit Date], ROW() - 37)=0, "",INDEX(EmployeeData[Exit Date], ROW() - 37)),"")</f>
        <v/>
      </c>
      <c r="I3469" s="4" t="str" cm="1">
        <f t="array" ref="I3469">IFERROR(IF(INDEX(EmployeeData[Exit Reason], ROW() - 37)=0, "",INDEX(EmployeeData[Exit Reason], ROW() - 37)),"")</f>
        <v/>
      </c>
      <c r="J3469" s="4" t="str" cm="1">
        <f t="array" ref="J3469">IFERROR(INDEX(EmployeeData[Status], ROW() - 37), "")</f>
        <v/>
      </c>
    </row>
    <row r="3470" spans="2:10" ht="19.95" customHeight="1" x14ac:dyDescent="0.3">
      <c r="B3470" s="4" t="str" cm="1">
        <f t="array" ref="B3470">IFERROR(INDEX(EmployeeData[Employee ID], ROW() - 37), "")</f>
        <v/>
      </c>
      <c r="C3470" s="4" t="str" cm="1">
        <f t="array" ref="C3470">IFERROR(INDEX(EmployeeData[Full Name], ROW() - 37), "")</f>
        <v/>
      </c>
      <c r="D3470" s="4" t="str" cm="1">
        <f t="array" ref="D3470">IFERROR(INDEX(EmployeeData[Department], ROW() - 37), "")</f>
        <v/>
      </c>
      <c r="E3470" s="4" t="str" cm="1">
        <f t="array" ref="E3470">IFERROR(INDEX(EmployeeData[Gender], ROW() - 37), "")</f>
        <v/>
      </c>
      <c r="F3470" s="4" t="str" cm="1">
        <f t="array" ref="F3470">IFERROR(INDEX(EmployeeData[Age], ROW() - 37), "")</f>
        <v/>
      </c>
      <c r="G3470" s="6" t="str" cm="1">
        <f t="array" ref="G3470">IFERROR(INDEX(EmployeeData[Join Date], ROW() - 37), "")</f>
        <v/>
      </c>
      <c r="H3470" s="6" t="str" cm="1">
        <f t="array" ref="H3470">IFERROR(IF(INDEX(EmployeeData[Exit Date], ROW() - 37)=0, "",INDEX(EmployeeData[Exit Date], ROW() - 37)),"")</f>
        <v/>
      </c>
      <c r="I3470" s="4" t="str" cm="1">
        <f t="array" ref="I3470">IFERROR(IF(INDEX(EmployeeData[Exit Reason], ROW() - 37)=0, "",INDEX(EmployeeData[Exit Reason], ROW() - 37)),"")</f>
        <v/>
      </c>
      <c r="J3470" s="4" t="str" cm="1">
        <f t="array" ref="J3470">IFERROR(INDEX(EmployeeData[Status], ROW() - 37), "")</f>
        <v/>
      </c>
    </row>
    <row r="3471" spans="2:10" ht="19.95" customHeight="1" x14ac:dyDescent="0.3">
      <c r="B3471" s="4" t="str" cm="1">
        <f t="array" ref="B3471">IFERROR(INDEX(EmployeeData[Employee ID], ROW() - 37), "")</f>
        <v/>
      </c>
      <c r="C3471" s="4" t="str" cm="1">
        <f t="array" ref="C3471">IFERROR(INDEX(EmployeeData[Full Name], ROW() - 37), "")</f>
        <v/>
      </c>
      <c r="D3471" s="4" t="str" cm="1">
        <f t="array" ref="D3471">IFERROR(INDEX(EmployeeData[Department], ROW() - 37), "")</f>
        <v/>
      </c>
      <c r="E3471" s="4" t="str" cm="1">
        <f t="array" ref="E3471">IFERROR(INDEX(EmployeeData[Gender], ROW() - 37), "")</f>
        <v/>
      </c>
      <c r="F3471" s="4" t="str" cm="1">
        <f t="array" ref="F3471">IFERROR(INDEX(EmployeeData[Age], ROW() - 37), "")</f>
        <v/>
      </c>
      <c r="G3471" s="6" t="str" cm="1">
        <f t="array" ref="G3471">IFERROR(INDEX(EmployeeData[Join Date], ROW() - 37), "")</f>
        <v/>
      </c>
      <c r="H3471" s="6" t="str" cm="1">
        <f t="array" ref="H3471">IFERROR(IF(INDEX(EmployeeData[Exit Date], ROW() - 37)=0, "",INDEX(EmployeeData[Exit Date], ROW() - 37)),"")</f>
        <v/>
      </c>
      <c r="I3471" s="4" t="str" cm="1">
        <f t="array" ref="I3471">IFERROR(IF(INDEX(EmployeeData[Exit Reason], ROW() - 37)=0, "",INDEX(EmployeeData[Exit Reason], ROW() - 37)),"")</f>
        <v/>
      </c>
      <c r="J3471" s="4" t="str" cm="1">
        <f t="array" ref="J3471">IFERROR(INDEX(EmployeeData[Status], ROW() - 37), "")</f>
        <v/>
      </c>
    </row>
    <row r="3472" spans="2:10" ht="19.95" customHeight="1" x14ac:dyDescent="0.3">
      <c r="B3472" s="4" t="str" cm="1">
        <f t="array" ref="B3472">IFERROR(INDEX(EmployeeData[Employee ID], ROW() - 37), "")</f>
        <v/>
      </c>
      <c r="C3472" s="4" t="str" cm="1">
        <f t="array" ref="C3472">IFERROR(INDEX(EmployeeData[Full Name], ROW() - 37), "")</f>
        <v/>
      </c>
      <c r="D3472" s="4" t="str" cm="1">
        <f t="array" ref="D3472">IFERROR(INDEX(EmployeeData[Department], ROW() - 37), "")</f>
        <v/>
      </c>
      <c r="E3472" s="4" t="str" cm="1">
        <f t="array" ref="E3472">IFERROR(INDEX(EmployeeData[Gender], ROW() - 37), "")</f>
        <v/>
      </c>
      <c r="F3472" s="4" t="str" cm="1">
        <f t="array" ref="F3472">IFERROR(INDEX(EmployeeData[Age], ROW() - 37), "")</f>
        <v/>
      </c>
      <c r="G3472" s="6" t="str" cm="1">
        <f t="array" ref="G3472">IFERROR(INDEX(EmployeeData[Join Date], ROW() - 37), "")</f>
        <v/>
      </c>
      <c r="H3472" s="6" t="str" cm="1">
        <f t="array" ref="H3472">IFERROR(IF(INDEX(EmployeeData[Exit Date], ROW() - 37)=0, "",INDEX(EmployeeData[Exit Date], ROW() - 37)),"")</f>
        <v/>
      </c>
      <c r="I3472" s="4" t="str" cm="1">
        <f t="array" ref="I3472">IFERROR(IF(INDEX(EmployeeData[Exit Reason], ROW() - 37)=0, "",INDEX(EmployeeData[Exit Reason], ROW() - 37)),"")</f>
        <v/>
      </c>
      <c r="J3472" s="4" t="str" cm="1">
        <f t="array" ref="J3472">IFERROR(INDEX(EmployeeData[Status], ROW() - 37), "")</f>
        <v/>
      </c>
    </row>
    <row r="3473" spans="2:10" ht="19.95" customHeight="1" x14ac:dyDescent="0.3">
      <c r="B3473" s="4" t="str" cm="1">
        <f t="array" ref="B3473">IFERROR(INDEX(EmployeeData[Employee ID], ROW() - 37), "")</f>
        <v/>
      </c>
      <c r="C3473" s="4" t="str" cm="1">
        <f t="array" ref="C3473">IFERROR(INDEX(EmployeeData[Full Name], ROW() - 37), "")</f>
        <v/>
      </c>
      <c r="D3473" s="4" t="str" cm="1">
        <f t="array" ref="D3473">IFERROR(INDEX(EmployeeData[Department], ROW() - 37), "")</f>
        <v/>
      </c>
      <c r="E3473" s="4" t="str" cm="1">
        <f t="array" ref="E3473">IFERROR(INDEX(EmployeeData[Gender], ROW() - 37), "")</f>
        <v/>
      </c>
      <c r="F3473" s="4" t="str" cm="1">
        <f t="array" ref="F3473">IFERROR(INDEX(EmployeeData[Age], ROW() - 37), "")</f>
        <v/>
      </c>
      <c r="G3473" s="6" t="str" cm="1">
        <f t="array" ref="G3473">IFERROR(INDEX(EmployeeData[Join Date], ROW() - 37), "")</f>
        <v/>
      </c>
      <c r="H3473" s="6" t="str" cm="1">
        <f t="array" ref="H3473">IFERROR(IF(INDEX(EmployeeData[Exit Date], ROW() - 37)=0, "",INDEX(EmployeeData[Exit Date], ROW() - 37)),"")</f>
        <v/>
      </c>
      <c r="I3473" s="4" t="str" cm="1">
        <f t="array" ref="I3473">IFERROR(IF(INDEX(EmployeeData[Exit Reason], ROW() - 37)=0, "",INDEX(EmployeeData[Exit Reason], ROW() - 37)),"")</f>
        <v/>
      </c>
      <c r="J3473" s="4" t="str" cm="1">
        <f t="array" ref="J3473">IFERROR(INDEX(EmployeeData[Status], ROW() - 37), "")</f>
        <v/>
      </c>
    </row>
    <row r="3474" spans="2:10" ht="19.95" customHeight="1" x14ac:dyDescent="0.3">
      <c r="B3474" s="4" t="str" cm="1">
        <f t="array" ref="B3474">IFERROR(INDEX(EmployeeData[Employee ID], ROW() - 37), "")</f>
        <v/>
      </c>
      <c r="C3474" s="4" t="str" cm="1">
        <f t="array" ref="C3474">IFERROR(INDEX(EmployeeData[Full Name], ROW() - 37), "")</f>
        <v/>
      </c>
      <c r="D3474" s="4" t="str" cm="1">
        <f t="array" ref="D3474">IFERROR(INDEX(EmployeeData[Department], ROW() - 37), "")</f>
        <v/>
      </c>
      <c r="E3474" s="4" t="str" cm="1">
        <f t="array" ref="E3474">IFERROR(INDEX(EmployeeData[Gender], ROW() - 37), "")</f>
        <v/>
      </c>
      <c r="F3474" s="4" t="str" cm="1">
        <f t="array" ref="F3474">IFERROR(INDEX(EmployeeData[Age], ROW() - 37), "")</f>
        <v/>
      </c>
      <c r="G3474" s="6" t="str" cm="1">
        <f t="array" ref="G3474">IFERROR(INDEX(EmployeeData[Join Date], ROW() - 37), "")</f>
        <v/>
      </c>
      <c r="H3474" s="6" t="str" cm="1">
        <f t="array" ref="H3474">IFERROR(IF(INDEX(EmployeeData[Exit Date], ROW() - 37)=0, "",INDEX(EmployeeData[Exit Date], ROW() - 37)),"")</f>
        <v/>
      </c>
      <c r="I3474" s="4" t="str" cm="1">
        <f t="array" ref="I3474">IFERROR(IF(INDEX(EmployeeData[Exit Reason], ROW() - 37)=0, "",INDEX(EmployeeData[Exit Reason], ROW() - 37)),"")</f>
        <v/>
      </c>
      <c r="J3474" s="4" t="str" cm="1">
        <f t="array" ref="J3474">IFERROR(INDEX(EmployeeData[Status], ROW() - 37), "")</f>
        <v/>
      </c>
    </row>
    <row r="3475" spans="2:10" ht="19.95" customHeight="1" x14ac:dyDescent="0.3">
      <c r="B3475" s="4" t="str" cm="1">
        <f t="array" ref="B3475">IFERROR(INDEX(EmployeeData[Employee ID], ROW() - 37), "")</f>
        <v/>
      </c>
      <c r="C3475" s="4" t="str" cm="1">
        <f t="array" ref="C3475">IFERROR(INDEX(EmployeeData[Full Name], ROW() - 37), "")</f>
        <v/>
      </c>
      <c r="D3475" s="4" t="str" cm="1">
        <f t="array" ref="D3475">IFERROR(INDEX(EmployeeData[Department], ROW() - 37), "")</f>
        <v/>
      </c>
      <c r="E3475" s="4" t="str" cm="1">
        <f t="array" ref="E3475">IFERROR(INDEX(EmployeeData[Gender], ROW() - 37), "")</f>
        <v/>
      </c>
      <c r="F3475" s="4" t="str" cm="1">
        <f t="array" ref="F3475">IFERROR(INDEX(EmployeeData[Age], ROW() - 37), "")</f>
        <v/>
      </c>
      <c r="G3475" s="6" t="str" cm="1">
        <f t="array" ref="G3475">IFERROR(INDEX(EmployeeData[Join Date], ROW() - 37), "")</f>
        <v/>
      </c>
      <c r="H3475" s="6" t="str" cm="1">
        <f t="array" ref="H3475">IFERROR(IF(INDEX(EmployeeData[Exit Date], ROW() - 37)=0, "",INDEX(EmployeeData[Exit Date], ROW() - 37)),"")</f>
        <v/>
      </c>
      <c r="I3475" s="4" t="str" cm="1">
        <f t="array" ref="I3475">IFERROR(IF(INDEX(EmployeeData[Exit Reason], ROW() - 37)=0, "",INDEX(EmployeeData[Exit Reason], ROW() - 37)),"")</f>
        <v/>
      </c>
      <c r="J3475" s="4" t="str" cm="1">
        <f t="array" ref="J3475">IFERROR(INDEX(EmployeeData[Status], ROW() - 37), "")</f>
        <v/>
      </c>
    </row>
    <row r="3476" spans="2:10" ht="19.95" customHeight="1" x14ac:dyDescent="0.3">
      <c r="B3476" s="4" t="str" cm="1">
        <f t="array" ref="B3476">IFERROR(INDEX(EmployeeData[Employee ID], ROW() - 37), "")</f>
        <v/>
      </c>
      <c r="C3476" s="4" t="str" cm="1">
        <f t="array" ref="C3476">IFERROR(INDEX(EmployeeData[Full Name], ROW() - 37), "")</f>
        <v/>
      </c>
      <c r="D3476" s="4" t="str" cm="1">
        <f t="array" ref="D3476">IFERROR(INDEX(EmployeeData[Department], ROW() - 37), "")</f>
        <v/>
      </c>
      <c r="E3476" s="4" t="str" cm="1">
        <f t="array" ref="E3476">IFERROR(INDEX(EmployeeData[Gender], ROW() - 37), "")</f>
        <v/>
      </c>
      <c r="F3476" s="4" t="str" cm="1">
        <f t="array" ref="F3476">IFERROR(INDEX(EmployeeData[Age], ROW() - 37), "")</f>
        <v/>
      </c>
      <c r="G3476" s="6" t="str" cm="1">
        <f t="array" ref="G3476">IFERROR(INDEX(EmployeeData[Join Date], ROW() - 37), "")</f>
        <v/>
      </c>
      <c r="H3476" s="6" t="str" cm="1">
        <f t="array" ref="H3476">IFERROR(IF(INDEX(EmployeeData[Exit Date], ROW() - 37)=0, "",INDEX(EmployeeData[Exit Date], ROW() - 37)),"")</f>
        <v/>
      </c>
      <c r="I3476" s="4" t="str" cm="1">
        <f t="array" ref="I3476">IFERROR(IF(INDEX(EmployeeData[Exit Reason], ROW() - 37)=0, "",INDEX(EmployeeData[Exit Reason], ROW() - 37)),"")</f>
        <v/>
      </c>
      <c r="J3476" s="4" t="str" cm="1">
        <f t="array" ref="J3476">IFERROR(INDEX(EmployeeData[Status], ROW() - 37), "")</f>
        <v/>
      </c>
    </row>
    <row r="3477" spans="2:10" ht="19.95" customHeight="1" x14ac:dyDescent="0.3">
      <c r="B3477" s="4" t="str" cm="1">
        <f t="array" ref="B3477">IFERROR(INDEX(EmployeeData[Employee ID], ROW() - 37), "")</f>
        <v/>
      </c>
      <c r="C3477" s="4" t="str" cm="1">
        <f t="array" ref="C3477">IFERROR(INDEX(EmployeeData[Full Name], ROW() - 37), "")</f>
        <v/>
      </c>
      <c r="D3477" s="4" t="str" cm="1">
        <f t="array" ref="D3477">IFERROR(INDEX(EmployeeData[Department], ROW() - 37), "")</f>
        <v/>
      </c>
      <c r="E3477" s="4" t="str" cm="1">
        <f t="array" ref="E3477">IFERROR(INDEX(EmployeeData[Gender], ROW() - 37), "")</f>
        <v/>
      </c>
      <c r="F3477" s="4" t="str" cm="1">
        <f t="array" ref="F3477">IFERROR(INDEX(EmployeeData[Age], ROW() - 37), "")</f>
        <v/>
      </c>
      <c r="G3477" s="6" t="str" cm="1">
        <f t="array" ref="G3477">IFERROR(INDEX(EmployeeData[Join Date], ROW() - 37), "")</f>
        <v/>
      </c>
      <c r="H3477" s="6" t="str" cm="1">
        <f t="array" ref="H3477">IFERROR(IF(INDEX(EmployeeData[Exit Date], ROW() - 37)=0, "",INDEX(EmployeeData[Exit Date], ROW() - 37)),"")</f>
        <v/>
      </c>
      <c r="I3477" s="4" t="str" cm="1">
        <f t="array" ref="I3477">IFERROR(IF(INDEX(EmployeeData[Exit Reason], ROW() - 37)=0, "",INDEX(EmployeeData[Exit Reason], ROW() - 37)),"")</f>
        <v/>
      </c>
      <c r="J3477" s="4" t="str" cm="1">
        <f t="array" ref="J3477">IFERROR(INDEX(EmployeeData[Status], ROW() - 37), "")</f>
        <v/>
      </c>
    </row>
    <row r="3478" spans="2:10" ht="19.95" customHeight="1" x14ac:dyDescent="0.3">
      <c r="B3478" s="4" t="str" cm="1">
        <f t="array" ref="B3478">IFERROR(INDEX(EmployeeData[Employee ID], ROW() - 37), "")</f>
        <v/>
      </c>
      <c r="C3478" s="4" t="str" cm="1">
        <f t="array" ref="C3478">IFERROR(INDEX(EmployeeData[Full Name], ROW() - 37), "")</f>
        <v/>
      </c>
      <c r="D3478" s="4" t="str" cm="1">
        <f t="array" ref="D3478">IFERROR(INDEX(EmployeeData[Department], ROW() - 37), "")</f>
        <v/>
      </c>
      <c r="E3478" s="4" t="str" cm="1">
        <f t="array" ref="E3478">IFERROR(INDEX(EmployeeData[Gender], ROW() - 37), "")</f>
        <v/>
      </c>
      <c r="F3478" s="4" t="str" cm="1">
        <f t="array" ref="F3478">IFERROR(INDEX(EmployeeData[Age], ROW() - 37), "")</f>
        <v/>
      </c>
      <c r="G3478" s="6" t="str" cm="1">
        <f t="array" ref="G3478">IFERROR(INDEX(EmployeeData[Join Date], ROW() - 37), "")</f>
        <v/>
      </c>
      <c r="H3478" s="6" t="str" cm="1">
        <f t="array" ref="H3478">IFERROR(IF(INDEX(EmployeeData[Exit Date], ROW() - 37)=0, "",INDEX(EmployeeData[Exit Date], ROW() - 37)),"")</f>
        <v/>
      </c>
      <c r="I3478" s="4" t="str" cm="1">
        <f t="array" ref="I3478">IFERROR(IF(INDEX(EmployeeData[Exit Reason], ROW() - 37)=0, "",INDEX(EmployeeData[Exit Reason], ROW() - 37)),"")</f>
        <v/>
      </c>
      <c r="J3478" s="4" t="str" cm="1">
        <f t="array" ref="J3478">IFERROR(INDEX(EmployeeData[Status], ROW() - 37), "")</f>
        <v/>
      </c>
    </row>
    <row r="3479" spans="2:10" ht="19.95" customHeight="1" x14ac:dyDescent="0.3">
      <c r="B3479" s="4" t="str" cm="1">
        <f t="array" ref="B3479">IFERROR(INDEX(EmployeeData[Employee ID], ROW() - 37), "")</f>
        <v/>
      </c>
      <c r="C3479" s="4" t="str" cm="1">
        <f t="array" ref="C3479">IFERROR(INDEX(EmployeeData[Full Name], ROW() - 37), "")</f>
        <v/>
      </c>
      <c r="D3479" s="4" t="str" cm="1">
        <f t="array" ref="D3479">IFERROR(INDEX(EmployeeData[Department], ROW() - 37), "")</f>
        <v/>
      </c>
      <c r="E3479" s="4" t="str" cm="1">
        <f t="array" ref="E3479">IFERROR(INDEX(EmployeeData[Gender], ROW() - 37), "")</f>
        <v/>
      </c>
      <c r="F3479" s="4" t="str" cm="1">
        <f t="array" ref="F3479">IFERROR(INDEX(EmployeeData[Age], ROW() - 37), "")</f>
        <v/>
      </c>
      <c r="G3479" s="6" t="str" cm="1">
        <f t="array" ref="G3479">IFERROR(INDEX(EmployeeData[Join Date], ROW() - 37), "")</f>
        <v/>
      </c>
      <c r="H3479" s="6" t="str" cm="1">
        <f t="array" ref="H3479">IFERROR(IF(INDEX(EmployeeData[Exit Date], ROW() - 37)=0, "",INDEX(EmployeeData[Exit Date], ROW() - 37)),"")</f>
        <v/>
      </c>
      <c r="I3479" s="4" t="str" cm="1">
        <f t="array" ref="I3479">IFERROR(IF(INDEX(EmployeeData[Exit Reason], ROW() - 37)=0, "",INDEX(EmployeeData[Exit Reason], ROW() - 37)),"")</f>
        <v/>
      </c>
      <c r="J3479" s="4" t="str" cm="1">
        <f t="array" ref="J3479">IFERROR(INDEX(EmployeeData[Status], ROW() - 37), "")</f>
        <v/>
      </c>
    </row>
    <row r="3480" spans="2:10" ht="19.95" customHeight="1" x14ac:dyDescent="0.3">
      <c r="B3480" s="4" t="str" cm="1">
        <f t="array" ref="B3480">IFERROR(INDEX(EmployeeData[Employee ID], ROW() - 37), "")</f>
        <v/>
      </c>
      <c r="C3480" s="4" t="str" cm="1">
        <f t="array" ref="C3480">IFERROR(INDEX(EmployeeData[Full Name], ROW() - 37), "")</f>
        <v/>
      </c>
      <c r="D3480" s="4" t="str" cm="1">
        <f t="array" ref="D3480">IFERROR(INDEX(EmployeeData[Department], ROW() - 37), "")</f>
        <v/>
      </c>
      <c r="E3480" s="4" t="str" cm="1">
        <f t="array" ref="E3480">IFERROR(INDEX(EmployeeData[Gender], ROW() - 37), "")</f>
        <v/>
      </c>
      <c r="F3480" s="4" t="str" cm="1">
        <f t="array" ref="F3480">IFERROR(INDEX(EmployeeData[Age], ROW() - 37), "")</f>
        <v/>
      </c>
      <c r="G3480" s="6" t="str" cm="1">
        <f t="array" ref="G3480">IFERROR(INDEX(EmployeeData[Join Date], ROW() - 37), "")</f>
        <v/>
      </c>
      <c r="H3480" s="6" t="str" cm="1">
        <f t="array" ref="H3480">IFERROR(IF(INDEX(EmployeeData[Exit Date], ROW() - 37)=0, "",INDEX(EmployeeData[Exit Date], ROW() - 37)),"")</f>
        <v/>
      </c>
      <c r="I3480" s="4" t="str" cm="1">
        <f t="array" ref="I3480">IFERROR(IF(INDEX(EmployeeData[Exit Reason], ROW() - 37)=0, "",INDEX(EmployeeData[Exit Reason], ROW() - 37)),"")</f>
        <v/>
      </c>
      <c r="J3480" s="4" t="str" cm="1">
        <f t="array" ref="J3480">IFERROR(INDEX(EmployeeData[Status], ROW() - 37), "")</f>
        <v/>
      </c>
    </row>
    <row r="3481" spans="2:10" ht="19.95" customHeight="1" x14ac:dyDescent="0.3">
      <c r="B3481" s="4" t="str" cm="1">
        <f t="array" ref="B3481">IFERROR(INDEX(EmployeeData[Employee ID], ROW() - 37), "")</f>
        <v/>
      </c>
      <c r="C3481" s="4" t="str" cm="1">
        <f t="array" ref="C3481">IFERROR(INDEX(EmployeeData[Full Name], ROW() - 37), "")</f>
        <v/>
      </c>
      <c r="D3481" s="4" t="str" cm="1">
        <f t="array" ref="D3481">IFERROR(INDEX(EmployeeData[Department], ROW() - 37), "")</f>
        <v/>
      </c>
      <c r="E3481" s="4" t="str" cm="1">
        <f t="array" ref="E3481">IFERROR(INDEX(EmployeeData[Gender], ROW() - 37), "")</f>
        <v/>
      </c>
      <c r="F3481" s="4" t="str" cm="1">
        <f t="array" ref="F3481">IFERROR(INDEX(EmployeeData[Age], ROW() - 37), "")</f>
        <v/>
      </c>
      <c r="G3481" s="6" t="str" cm="1">
        <f t="array" ref="G3481">IFERROR(INDEX(EmployeeData[Join Date], ROW() - 37), "")</f>
        <v/>
      </c>
      <c r="H3481" s="6" t="str" cm="1">
        <f t="array" ref="H3481">IFERROR(IF(INDEX(EmployeeData[Exit Date], ROW() - 37)=0, "",INDEX(EmployeeData[Exit Date], ROW() - 37)),"")</f>
        <v/>
      </c>
      <c r="I3481" s="4" t="str" cm="1">
        <f t="array" ref="I3481">IFERROR(IF(INDEX(EmployeeData[Exit Reason], ROW() - 37)=0, "",INDEX(EmployeeData[Exit Reason], ROW() - 37)),"")</f>
        <v/>
      </c>
      <c r="J3481" s="4" t="str" cm="1">
        <f t="array" ref="J3481">IFERROR(INDEX(EmployeeData[Status], ROW() - 37), "")</f>
        <v/>
      </c>
    </row>
    <row r="3482" spans="2:10" ht="19.95" customHeight="1" x14ac:dyDescent="0.3">
      <c r="B3482" s="4" t="str" cm="1">
        <f t="array" ref="B3482">IFERROR(INDEX(EmployeeData[Employee ID], ROW() - 37), "")</f>
        <v/>
      </c>
      <c r="C3482" s="4" t="str" cm="1">
        <f t="array" ref="C3482">IFERROR(INDEX(EmployeeData[Full Name], ROW() - 37), "")</f>
        <v/>
      </c>
      <c r="D3482" s="4" t="str" cm="1">
        <f t="array" ref="D3482">IFERROR(INDEX(EmployeeData[Department], ROW() - 37), "")</f>
        <v/>
      </c>
      <c r="E3482" s="4" t="str" cm="1">
        <f t="array" ref="E3482">IFERROR(INDEX(EmployeeData[Gender], ROW() - 37), "")</f>
        <v/>
      </c>
      <c r="F3482" s="4" t="str" cm="1">
        <f t="array" ref="F3482">IFERROR(INDEX(EmployeeData[Age], ROW() - 37), "")</f>
        <v/>
      </c>
      <c r="G3482" s="6" t="str" cm="1">
        <f t="array" ref="G3482">IFERROR(INDEX(EmployeeData[Join Date], ROW() - 37), "")</f>
        <v/>
      </c>
      <c r="H3482" s="6" t="str" cm="1">
        <f t="array" ref="H3482">IFERROR(IF(INDEX(EmployeeData[Exit Date], ROW() - 37)=0, "",INDEX(EmployeeData[Exit Date], ROW() - 37)),"")</f>
        <v/>
      </c>
      <c r="I3482" s="4" t="str" cm="1">
        <f t="array" ref="I3482">IFERROR(IF(INDEX(EmployeeData[Exit Reason], ROW() - 37)=0, "",INDEX(EmployeeData[Exit Reason], ROW() - 37)),"")</f>
        <v/>
      </c>
      <c r="J3482" s="4" t="str" cm="1">
        <f t="array" ref="J3482">IFERROR(INDEX(EmployeeData[Status], ROW() - 37), "")</f>
        <v/>
      </c>
    </row>
    <row r="3483" spans="2:10" ht="19.95" customHeight="1" x14ac:dyDescent="0.3">
      <c r="B3483" s="4" t="str" cm="1">
        <f t="array" ref="B3483">IFERROR(INDEX(EmployeeData[Employee ID], ROW() - 37), "")</f>
        <v/>
      </c>
      <c r="C3483" s="4" t="str" cm="1">
        <f t="array" ref="C3483">IFERROR(INDEX(EmployeeData[Full Name], ROW() - 37), "")</f>
        <v/>
      </c>
      <c r="D3483" s="4" t="str" cm="1">
        <f t="array" ref="D3483">IFERROR(INDEX(EmployeeData[Department], ROW() - 37), "")</f>
        <v/>
      </c>
      <c r="E3483" s="4" t="str" cm="1">
        <f t="array" ref="E3483">IFERROR(INDEX(EmployeeData[Gender], ROW() - 37), "")</f>
        <v/>
      </c>
      <c r="F3483" s="4" t="str" cm="1">
        <f t="array" ref="F3483">IFERROR(INDEX(EmployeeData[Age], ROW() - 37), "")</f>
        <v/>
      </c>
      <c r="G3483" s="6" t="str" cm="1">
        <f t="array" ref="G3483">IFERROR(INDEX(EmployeeData[Join Date], ROW() - 37), "")</f>
        <v/>
      </c>
      <c r="H3483" s="6" t="str" cm="1">
        <f t="array" ref="H3483">IFERROR(IF(INDEX(EmployeeData[Exit Date], ROW() - 37)=0, "",INDEX(EmployeeData[Exit Date], ROW() - 37)),"")</f>
        <v/>
      </c>
      <c r="I3483" s="4" t="str" cm="1">
        <f t="array" ref="I3483">IFERROR(IF(INDEX(EmployeeData[Exit Reason], ROW() - 37)=0, "",INDEX(EmployeeData[Exit Reason], ROW() - 37)),"")</f>
        <v/>
      </c>
      <c r="J3483" s="4" t="str" cm="1">
        <f t="array" ref="J3483">IFERROR(INDEX(EmployeeData[Status], ROW() - 37), "")</f>
        <v/>
      </c>
    </row>
    <row r="3484" spans="2:10" ht="19.95" customHeight="1" x14ac:dyDescent="0.3">
      <c r="B3484" s="4" t="str" cm="1">
        <f t="array" ref="B3484">IFERROR(INDEX(EmployeeData[Employee ID], ROW() - 37), "")</f>
        <v/>
      </c>
      <c r="C3484" s="4" t="str" cm="1">
        <f t="array" ref="C3484">IFERROR(INDEX(EmployeeData[Full Name], ROW() - 37), "")</f>
        <v/>
      </c>
      <c r="D3484" s="4" t="str" cm="1">
        <f t="array" ref="D3484">IFERROR(INDEX(EmployeeData[Department], ROW() - 37), "")</f>
        <v/>
      </c>
      <c r="E3484" s="4" t="str" cm="1">
        <f t="array" ref="E3484">IFERROR(INDEX(EmployeeData[Gender], ROW() - 37), "")</f>
        <v/>
      </c>
      <c r="F3484" s="4" t="str" cm="1">
        <f t="array" ref="F3484">IFERROR(INDEX(EmployeeData[Age], ROW() - 37), "")</f>
        <v/>
      </c>
      <c r="G3484" s="6" t="str" cm="1">
        <f t="array" ref="G3484">IFERROR(INDEX(EmployeeData[Join Date], ROW() - 37), "")</f>
        <v/>
      </c>
      <c r="H3484" s="6" t="str" cm="1">
        <f t="array" ref="H3484">IFERROR(IF(INDEX(EmployeeData[Exit Date], ROW() - 37)=0, "",INDEX(EmployeeData[Exit Date], ROW() - 37)),"")</f>
        <v/>
      </c>
      <c r="I3484" s="4" t="str" cm="1">
        <f t="array" ref="I3484">IFERROR(IF(INDEX(EmployeeData[Exit Reason], ROW() - 37)=0, "",INDEX(EmployeeData[Exit Reason], ROW() - 37)),"")</f>
        <v/>
      </c>
      <c r="J3484" s="4" t="str" cm="1">
        <f t="array" ref="J3484">IFERROR(INDEX(EmployeeData[Status], ROW() - 37), "")</f>
        <v/>
      </c>
    </row>
    <row r="3485" spans="2:10" ht="19.95" customHeight="1" x14ac:dyDescent="0.3">
      <c r="B3485" s="4" t="str" cm="1">
        <f t="array" ref="B3485">IFERROR(INDEX(EmployeeData[Employee ID], ROW() - 37), "")</f>
        <v/>
      </c>
      <c r="C3485" s="4" t="str" cm="1">
        <f t="array" ref="C3485">IFERROR(INDEX(EmployeeData[Full Name], ROW() - 37), "")</f>
        <v/>
      </c>
      <c r="D3485" s="4" t="str" cm="1">
        <f t="array" ref="D3485">IFERROR(INDEX(EmployeeData[Department], ROW() - 37), "")</f>
        <v/>
      </c>
      <c r="E3485" s="4" t="str" cm="1">
        <f t="array" ref="E3485">IFERROR(INDEX(EmployeeData[Gender], ROW() - 37), "")</f>
        <v/>
      </c>
      <c r="F3485" s="4" t="str" cm="1">
        <f t="array" ref="F3485">IFERROR(INDEX(EmployeeData[Age], ROW() - 37), "")</f>
        <v/>
      </c>
      <c r="G3485" s="6" t="str" cm="1">
        <f t="array" ref="G3485">IFERROR(INDEX(EmployeeData[Join Date], ROW() - 37), "")</f>
        <v/>
      </c>
      <c r="H3485" s="6" t="str" cm="1">
        <f t="array" ref="H3485">IFERROR(IF(INDEX(EmployeeData[Exit Date], ROW() - 37)=0, "",INDEX(EmployeeData[Exit Date], ROW() - 37)),"")</f>
        <v/>
      </c>
      <c r="I3485" s="4" t="str" cm="1">
        <f t="array" ref="I3485">IFERROR(IF(INDEX(EmployeeData[Exit Reason], ROW() - 37)=0, "",INDEX(EmployeeData[Exit Reason], ROW() - 37)),"")</f>
        <v/>
      </c>
      <c r="J3485" s="4" t="str" cm="1">
        <f t="array" ref="J3485">IFERROR(INDEX(EmployeeData[Status], ROW() - 37), "")</f>
        <v/>
      </c>
    </row>
    <row r="3486" spans="2:10" ht="19.95" customHeight="1" x14ac:dyDescent="0.3">
      <c r="B3486" s="4" t="str" cm="1">
        <f t="array" ref="B3486">IFERROR(INDEX(EmployeeData[Employee ID], ROW() - 37), "")</f>
        <v/>
      </c>
      <c r="C3486" s="4" t="str" cm="1">
        <f t="array" ref="C3486">IFERROR(INDEX(EmployeeData[Full Name], ROW() - 37), "")</f>
        <v/>
      </c>
      <c r="D3486" s="4" t="str" cm="1">
        <f t="array" ref="D3486">IFERROR(INDEX(EmployeeData[Department], ROW() - 37), "")</f>
        <v/>
      </c>
      <c r="E3486" s="4" t="str" cm="1">
        <f t="array" ref="E3486">IFERROR(INDEX(EmployeeData[Gender], ROW() - 37), "")</f>
        <v/>
      </c>
      <c r="F3486" s="4" t="str" cm="1">
        <f t="array" ref="F3486">IFERROR(INDEX(EmployeeData[Age], ROW() - 37), "")</f>
        <v/>
      </c>
      <c r="G3486" s="6" t="str" cm="1">
        <f t="array" ref="G3486">IFERROR(INDEX(EmployeeData[Join Date], ROW() - 37), "")</f>
        <v/>
      </c>
      <c r="H3486" s="6" t="str" cm="1">
        <f t="array" ref="H3486">IFERROR(IF(INDEX(EmployeeData[Exit Date], ROW() - 37)=0, "",INDEX(EmployeeData[Exit Date], ROW() - 37)),"")</f>
        <v/>
      </c>
      <c r="I3486" s="4" t="str" cm="1">
        <f t="array" ref="I3486">IFERROR(IF(INDEX(EmployeeData[Exit Reason], ROW() - 37)=0, "",INDEX(EmployeeData[Exit Reason], ROW() - 37)),"")</f>
        <v/>
      </c>
      <c r="J3486" s="4" t="str" cm="1">
        <f t="array" ref="J3486">IFERROR(INDEX(EmployeeData[Status], ROW() - 37), "")</f>
        <v/>
      </c>
    </row>
    <row r="3487" spans="2:10" ht="19.95" customHeight="1" x14ac:dyDescent="0.3">
      <c r="B3487" s="4" t="str" cm="1">
        <f t="array" ref="B3487">IFERROR(INDEX(EmployeeData[Employee ID], ROW() - 37), "")</f>
        <v/>
      </c>
      <c r="C3487" s="4" t="str" cm="1">
        <f t="array" ref="C3487">IFERROR(INDEX(EmployeeData[Full Name], ROW() - 37), "")</f>
        <v/>
      </c>
      <c r="D3487" s="4" t="str" cm="1">
        <f t="array" ref="D3487">IFERROR(INDEX(EmployeeData[Department], ROW() - 37), "")</f>
        <v/>
      </c>
      <c r="E3487" s="4" t="str" cm="1">
        <f t="array" ref="E3487">IFERROR(INDEX(EmployeeData[Gender], ROW() - 37), "")</f>
        <v/>
      </c>
      <c r="F3487" s="4" t="str" cm="1">
        <f t="array" ref="F3487">IFERROR(INDEX(EmployeeData[Age], ROW() - 37), "")</f>
        <v/>
      </c>
      <c r="G3487" s="6" t="str" cm="1">
        <f t="array" ref="G3487">IFERROR(INDEX(EmployeeData[Join Date], ROW() - 37), "")</f>
        <v/>
      </c>
      <c r="H3487" s="6" t="str" cm="1">
        <f t="array" ref="H3487">IFERROR(IF(INDEX(EmployeeData[Exit Date], ROW() - 37)=0, "",INDEX(EmployeeData[Exit Date], ROW() - 37)),"")</f>
        <v/>
      </c>
      <c r="I3487" s="4" t="str" cm="1">
        <f t="array" ref="I3487">IFERROR(IF(INDEX(EmployeeData[Exit Reason], ROW() - 37)=0, "",INDEX(EmployeeData[Exit Reason], ROW() - 37)),"")</f>
        <v/>
      </c>
      <c r="J3487" s="4" t="str" cm="1">
        <f t="array" ref="J3487">IFERROR(INDEX(EmployeeData[Status], ROW() - 37), "")</f>
        <v/>
      </c>
    </row>
    <row r="3488" spans="2:10" ht="19.95" customHeight="1" x14ac:dyDescent="0.3">
      <c r="B3488" s="4" t="str" cm="1">
        <f t="array" ref="B3488">IFERROR(INDEX(EmployeeData[Employee ID], ROW() - 37), "")</f>
        <v/>
      </c>
      <c r="C3488" s="4" t="str" cm="1">
        <f t="array" ref="C3488">IFERROR(INDEX(EmployeeData[Full Name], ROW() - 37), "")</f>
        <v/>
      </c>
      <c r="D3488" s="4" t="str" cm="1">
        <f t="array" ref="D3488">IFERROR(INDEX(EmployeeData[Department], ROW() - 37), "")</f>
        <v/>
      </c>
      <c r="E3488" s="4" t="str" cm="1">
        <f t="array" ref="E3488">IFERROR(INDEX(EmployeeData[Gender], ROW() - 37), "")</f>
        <v/>
      </c>
      <c r="F3488" s="4" t="str" cm="1">
        <f t="array" ref="F3488">IFERROR(INDEX(EmployeeData[Age], ROW() - 37), "")</f>
        <v/>
      </c>
      <c r="G3488" s="6" t="str" cm="1">
        <f t="array" ref="G3488">IFERROR(INDEX(EmployeeData[Join Date], ROW() - 37), "")</f>
        <v/>
      </c>
      <c r="H3488" s="6" t="str" cm="1">
        <f t="array" ref="H3488">IFERROR(IF(INDEX(EmployeeData[Exit Date], ROW() - 37)=0, "",INDEX(EmployeeData[Exit Date], ROW() - 37)),"")</f>
        <v/>
      </c>
      <c r="I3488" s="4" t="str" cm="1">
        <f t="array" ref="I3488">IFERROR(IF(INDEX(EmployeeData[Exit Reason], ROW() - 37)=0, "",INDEX(EmployeeData[Exit Reason], ROW() - 37)),"")</f>
        <v/>
      </c>
      <c r="J3488" s="4" t="str" cm="1">
        <f t="array" ref="J3488">IFERROR(INDEX(EmployeeData[Status], ROW() - 37), "")</f>
        <v/>
      </c>
    </row>
    <row r="3489" spans="2:10" ht="19.95" customHeight="1" x14ac:dyDescent="0.3">
      <c r="B3489" s="4" t="str" cm="1">
        <f t="array" ref="B3489">IFERROR(INDEX(EmployeeData[Employee ID], ROW() - 37), "")</f>
        <v/>
      </c>
      <c r="C3489" s="4" t="str" cm="1">
        <f t="array" ref="C3489">IFERROR(INDEX(EmployeeData[Full Name], ROW() - 37), "")</f>
        <v/>
      </c>
      <c r="D3489" s="4" t="str" cm="1">
        <f t="array" ref="D3489">IFERROR(INDEX(EmployeeData[Department], ROW() - 37), "")</f>
        <v/>
      </c>
      <c r="E3489" s="4" t="str" cm="1">
        <f t="array" ref="E3489">IFERROR(INDEX(EmployeeData[Gender], ROW() - 37), "")</f>
        <v/>
      </c>
      <c r="F3489" s="4" t="str" cm="1">
        <f t="array" ref="F3489">IFERROR(INDEX(EmployeeData[Age], ROW() - 37), "")</f>
        <v/>
      </c>
      <c r="G3489" s="6" t="str" cm="1">
        <f t="array" ref="G3489">IFERROR(INDEX(EmployeeData[Join Date], ROW() - 37), "")</f>
        <v/>
      </c>
      <c r="H3489" s="6" t="str" cm="1">
        <f t="array" ref="H3489">IFERROR(IF(INDEX(EmployeeData[Exit Date], ROW() - 37)=0, "",INDEX(EmployeeData[Exit Date], ROW() - 37)),"")</f>
        <v/>
      </c>
      <c r="I3489" s="4" t="str" cm="1">
        <f t="array" ref="I3489">IFERROR(IF(INDEX(EmployeeData[Exit Reason], ROW() - 37)=0, "",INDEX(EmployeeData[Exit Reason], ROW() - 37)),"")</f>
        <v/>
      </c>
      <c r="J3489" s="4" t="str" cm="1">
        <f t="array" ref="J3489">IFERROR(INDEX(EmployeeData[Status], ROW() - 37), "")</f>
        <v/>
      </c>
    </row>
    <row r="3490" spans="2:10" ht="19.95" customHeight="1" x14ac:dyDescent="0.3">
      <c r="B3490" s="4" t="str" cm="1">
        <f t="array" ref="B3490">IFERROR(INDEX(EmployeeData[Employee ID], ROW() - 37), "")</f>
        <v/>
      </c>
      <c r="C3490" s="4" t="str" cm="1">
        <f t="array" ref="C3490">IFERROR(INDEX(EmployeeData[Full Name], ROW() - 37), "")</f>
        <v/>
      </c>
      <c r="D3490" s="4" t="str" cm="1">
        <f t="array" ref="D3490">IFERROR(INDEX(EmployeeData[Department], ROW() - 37), "")</f>
        <v/>
      </c>
      <c r="E3490" s="4" t="str" cm="1">
        <f t="array" ref="E3490">IFERROR(INDEX(EmployeeData[Gender], ROW() - 37), "")</f>
        <v/>
      </c>
      <c r="F3490" s="4" t="str" cm="1">
        <f t="array" ref="F3490">IFERROR(INDEX(EmployeeData[Age], ROW() - 37), "")</f>
        <v/>
      </c>
      <c r="G3490" s="6" t="str" cm="1">
        <f t="array" ref="G3490">IFERROR(INDEX(EmployeeData[Join Date], ROW() - 37), "")</f>
        <v/>
      </c>
      <c r="H3490" s="6" t="str" cm="1">
        <f t="array" ref="H3490">IFERROR(IF(INDEX(EmployeeData[Exit Date], ROW() - 37)=0, "",INDEX(EmployeeData[Exit Date], ROW() - 37)),"")</f>
        <v/>
      </c>
      <c r="I3490" s="4" t="str" cm="1">
        <f t="array" ref="I3490">IFERROR(IF(INDEX(EmployeeData[Exit Reason], ROW() - 37)=0, "",INDEX(EmployeeData[Exit Reason], ROW() - 37)),"")</f>
        <v/>
      </c>
      <c r="J3490" s="4" t="str" cm="1">
        <f t="array" ref="J3490">IFERROR(INDEX(EmployeeData[Status], ROW() - 37), "")</f>
        <v/>
      </c>
    </row>
    <row r="3491" spans="2:10" ht="19.95" customHeight="1" x14ac:dyDescent="0.3">
      <c r="B3491" s="4" t="str" cm="1">
        <f t="array" ref="B3491">IFERROR(INDEX(EmployeeData[Employee ID], ROW() - 37), "")</f>
        <v/>
      </c>
      <c r="C3491" s="4" t="str" cm="1">
        <f t="array" ref="C3491">IFERROR(INDEX(EmployeeData[Full Name], ROW() - 37), "")</f>
        <v/>
      </c>
      <c r="D3491" s="4" t="str" cm="1">
        <f t="array" ref="D3491">IFERROR(INDEX(EmployeeData[Department], ROW() - 37), "")</f>
        <v/>
      </c>
      <c r="E3491" s="4" t="str" cm="1">
        <f t="array" ref="E3491">IFERROR(INDEX(EmployeeData[Gender], ROW() - 37), "")</f>
        <v/>
      </c>
      <c r="F3491" s="4" t="str" cm="1">
        <f t="array" ref="F3491">IFERROR(INDEX(EmployeeData[Age], ROW() - 37), "")</f>
        <v/>
      </c>
      <c r="G3491" s="6" t="str" cm="1">
        <f t="array" ref="G3491">IFERROR(INDEX(EmployeeData[Join Date], ROW() - 37), "")</f>
        <v/>
      </c>
      <c r="H3491" s="6" t="str" cm="1">
        <f t="array" ref="H3491">IFERROR(IF(INDEX(EmployeeData[Exit Date], ROW() - 37)=0, "",INDEX(EmployeeData[Exit Date], ROW() - 37)),"")</f>
        <v/>
      </c>
      <c r="I3491" s="4" t="str" cm="1">
        <f t="array" ref="I3491">IFERROR(IF(INDEX(EmployeeData[Exit Reason], ROW() - 37)=0, "",INDEX(EmployeeData[Exit Reason], ROW() - 37)),"")</f>
        <v/>
      </c>
      <c r="J3491" s="4" t="str" cm="1">
        <f t="array" ref="J3491">IFERROR(INDEX(EmployeeData[Status], ROW() - 37), "")</f>
        <v/>
      </c>
    </row>
    <row r="3492" spans="2:10" ht="19.95" customHeight="1" x14ac:dyDescent="0.3">
      <c r="B3492" s="4" t="str" cm="1">
        <f t="array" ref="B3492">IFERROR(INDEX(EmployeeData[Employee ID], ROW() - 37), "")</f>
        <v/>
      </c>
      <c r="C3492" s="4" t="str" cm="1">
        <f t="array" ref="C3492">IFERROR(INDEX(EmployeeData[Full Name], ROW() - 37), "")</f>
        <v/>
      </c>
      <c r="D3492" s="4" t="str" cm="1">
        <f t="array" ref="D3492">IFERROR(INDEX(EmployeeData[Department], ROW() - 37), "")</f>
        <v/>
      </c>
      <c r="E3492" s="4" t="str" cm="1">
        <f t="array" ref="E3492">IFERROR(INDEX(EmployeeData[Gender], ROW() - 37), "")</f>
        <v/>
      </c>
      <c r="F3492" s="4" t="str" cm="1">
        <f t="array" ref="F3492">IFERROR(INDEX(EmployeeData[Age], ROW() - 37), "")</f>
        <v/>
      </c>
      <c r="G3492" s="6" t="str" cm="1">
        <f t="array" ref="G3492">IFERROR(INDEX(EmployeeData[Join Date], ROW() - 37), "")</f>
        <v/>
      </c>
      <c r="H3492" s="6" t="str" cm="1">
        <f t="array" ref="H3492">IFERROR(IF(INDEX(EmployeeData[Exit Date], ROW() - 37)=0, "",INDEX(EmployeeData[Exit Date], ROW() - 37)),"")</f>
        <v/>
      </c>
      <c r="I3492" s="4" t="str" cm="1">
        <f t="array" ref="I3492">IFERROR(IF(INDEX(EmployeeData[Exit Reason], ROW() - 37)=0, "",INDEX(EmployeeData[Exit Reason], ROW() - 37)),"")</f>
        <v/>
      </c>
      <c r="J3492" s="4" t="str" cm="1">
        <f t="array" ref="J3492">IFERROR(INDEX(EmployeeData[Status], ROW() - 37), "")</f>
        <v/>
      </c>
    </row>
    <row r="3493" spans="2:10" ht="19.95" customHeight="1" x14ac:dyDescent="0.3">
      <c r="B3493" s="4" t="str" cm="1">
        <f t="array" ref="B3493">IFERROR(INDEX(EmployeeData[Employee ID], ROW() - 37), "")</f>
        <v/>
      </c>
      <c r="C3493" s="4" t="str" cm="1">
        <f t="array" ref="C3493">IFERROR(INDEX(EmployeeData[Full Name], ROW() - 37), "")</f>
        <v/>
      </c>
      <c r="D3493" s="4" t="str" cm="1">
        <f t="array" ref="D3493">IFERROR(INDEX(EmployeeData[Department], ROW() - 37), "")</f>
        <v/>
      </c>
      <c r="E3493" s="4" t="str" cm="1">
        <f t="array" ref="E3493">IFERROR(INDEX(EmployeeData[Gender], ROW() - 37), "")</f>
        <v/>
      </c>
      <c r="F3493" s="4" t="str" cm="1">
        <f t="array" ref="F3493">IFERROR(INDEX(EmployeeData[Age], ROW() - 37), "")</f>
        <v/>
      </c>
      <c r="G3493" s="6" t="str" cm="1">
        <f t="array" ref="G3493">IFERROR(INDEX(EmployeeData[Join Date], ROW() - 37), "")</f>
        <v/>
      </c>
      <c r="H3493" s="6" t="str" cm="1">
        <f t="array" ref="H3493">IFERROR(IF(INDEX(EmployeeData[Exit Date], ROW() - 37)=0, "",INDEX(EmployeeData[Exit Date], ROW() - 37)),"")</f>
        <v/>
      </c>
      <c r="I3493" s="4" t="str" cm="1">
        <f t="array" ref="I3493">IFERROR(IF(INDEX(EmployeeData[Exit Reason], ROW() - 37)=0, "",INDEX(EmployeeData[Exit Reason], ROW() - 37)),"")</f>
        <v/>
      </c>
      <c r="J3493" s="4" t="str" cm="1">
        <f t="array" ref="J3493">IFERROR(INDEX(EmployeeData[Status], ROW() - 37), "")</f>
        <v/>
      </c>
    </row>
    <row r="3494" spans="2:10" ht="19.95" customHeight="1" x14ac:dyDescent="0.3">
      <c r="B3494" s="4" t="str" cm="1">
        <f t="array" ref="B3494">IFERROR(INDEX(EmployeeData[Employee ID], ROW() - 37), "")</f>
        <v/>
      </c>
      <c r="C3494" s="4" t="str" cm="1">
        <f t="array" ref="C3494">IFERROR(INDEX(EmployeeData[Full Name], ROW() - 37), "")</f>
        <v/>
      </c>
      <c r="D3494" s="4" t="str" cm="1">
        <f t="array" ref="D3494">IFERROR(INDEX(EmployeeData[Department], ROW() - 37), "")</f>
        <v/>
      </c>
      <c r="E3494" s="4" t="str" cm="1">
        <f t="array" ref="E3494">IFERROR(INDEX(EmployeeData[Gender], ROW() - 37), "")</f>
        <v/>
      </c>
      <c r="F3494" s="4" t="str" cm="1">
        <f t="array" ref="F3494">IFERROR(INDEX(EmployeeData[Age], ROW() - 37), "")</f>
        <v/>
      </c>
      <c r="G3494" s="6" t="str" cm="1">
        <f t="array" ref="G3494">IFERROR(INDEX(EmployeeData[Join Date], ROW() - 37), "")</f>
        <v/>
      </c>
      <c r="H3494" s="6" t="str" cm="1">
        <f t="array" ref="H3494">IFERROR(IF(INDEX(EmployeeData[Exit Date], ROW() - 37)=0, "",INDEX(EmployeeData[Exit Date], ROW() - 37)),"")</f>
        <v/>
      </c>
      <c r="I3494" s="4" t="str" cm="1">
        <f t="array" ref="I3494">IFERROR(IF(INDEX(EmployeeData[Exit Reason], ROW() - 37)=0, "",INDEX(EmployeeData[Exit Reason], ROW() - 37)),"")</f>
        <v/>
      </c>
      <c r="J3494" s="4" t="str" cm="1">
        <f t="array" ref="J3494">IFERROR(INDEX(EmployeeData[Status], ROW() - 37), "")</f>
        <v/>
      </c>
    </row>
    <row r="3495" spans="2:10" ht="19.95" customHeight="1" x14ac:dyDescent="0.3">
      <c r="B3495" s="4" t="str" cm="1">
        <f t="array" ref="B3495">IFERROR(INDEX(EmployeeData[Employee ID], ROW() - 37), "")</f>
        <v/>
      </c>
      <c r="C3495" s="4" t="str" cm="1">
        <f t="array" ref="C3495">IFERROR(INDEX(EmployeeData[Full Name], ROW() - 37), "")</f>
        <v/>
      </c>
      <c r="D3495" s="4" t="str" cm="1">
        <f t="array" ref="D3495">IFERROR(INDEX(EmployeeData[Department], ROW() - 37), "")</f>
        <v/>
      </c>
      <c r="E3495" s="4" t="str" cm="1">
        <f t="array" ref="E3495">IFERROR(INDEX(EmployeeData[Gender], ROW() - 37), "")</f>
        <v/>
      </c>
      <c r="F3495" s="4" t="str" cm="1">
        <f t="array" ref="F3495">IFERROR(INDEX(EmployeeData[Age], ROW() - 37), "")</f>
        <v/>
      </c>
      <c r="G3495" s="6" t="str" cm="1">
        <f t="array" ref="G3495">IFERROR(INDEX(EmployeeData[Join Date], ROW() - 37), "")</f>
        <v/>
      </c>
      <c r="H3495" s="6" t="str" cm="1">
        <f t="array" ref="H3495">IFERROR(IF(INDEX(EmployeeData[Exit Date], ROW() - 37)=0, "",INDEX(EmployeeData[Exit Date], ROW() - 37)),"")</f>
        <v/>
      </c>
      <c r="I3495" s="4" t="str" cm="1">
        <f t="array" ref="I3495">IFERROR(IF(INDEX(EmployeeData[Exit Reason], ROW() - 37)=0, "",INDEX(EmployeeData[Exit Reason], ROW() - 37)),"")</f>
        <v/>
      </c>
      <c r="J3495" s="4" t="str" cm="1">
        <f t="array" ref="J3495">IFERROR(INDEX(EmployeeData[Status], ROW() - 37), "")</f>
        <v/>
      </c>
    </row>
    <row r="3496" spans="2:10" ht="19.95" customHeight="1" x14ac:dyDescent="0.3">
      <c r="B3496" s="4" t="str" cm="1">
        <f t="array" ref="B3496">IFERROR(INDEX(EmployeeData[Employee ID], ROW() - 37), "")</f>
        <v/>
      </c>
      <c r="C3496" s="4" t="str" cm="1">
        <f t="array" ref="C3496">IFERROR(INDEX(EmployeeData[Full Name], ROW() - 37), "")</f>
        <v/>
      </c>
      <c r="D3496" s="4" t="str" cm="1">
        <f t="array" ref="D3496">IFERROR(INDEX(EmployeeData[Department], ROW() - 37), "")</f>
        <v/>
      </c>
      <c r="E3496" s="4" t="str" cm="1">
        <f t="array" ref="E3496">IFERROR(INDEX(EmployeeData[Gender], ROW() - 37), "")</f>
        <v/>
      </c>
      <c r="F3496" s="4" t="str" cm="1">
        <f t="array" ref="F3496">IFERROR(INDEX(EmployeeData[Age], ROW() - 37), "")</f>
        <v/>
      </c>
      <c r="G3496" s="6" t="str" cm="1">
        <f t="array" ref="G3496">IFERROR(INDEX(EmployeeData[Join Date], ROW() - 37), "")</f>
        <v/>
      </c>
      <c r="H3496" s="6" t="str" cm="1">
        <f t="array" ref="H3496">IFERROR(IF(INDEX(EmployeeData[Exit Date], ROW() - 37)=0, "",INDEX(EmployeeData[Exit Date], ROW() - 37)),"")</f>
        <v/>
      </c>
      <c r="I3496" s="4" t="str" cm="1">
        <f t="array" ref="I3496">IFERROR(IF(INDEX(EmployeeData[Exit Reason], ROW() - 37)=0, "",INDEX(EmployeeData[Exit Reason], ROW() - 37)),"")</f>
        <v/>
      </c>
      <c r="J3496" s="4" t="str" cm="1">
        <f t="array" ref="J3496">IFERROR(INDEX(EmployeeData[Status], ROW() - 37), "")</f>
        <v/>
      </c>
    </row>
    <row r="3497" spans="2:10" ht="19.95" customHeight="1" x14ac:dyDescent="0.3">
      <c r="B3497" s="4" t="str" cm="1">
        <f t="array" ref="B3497">IFERROR(INDEX(EmployeeData[Employee ID], ROW() - 37), "")</f>
        <v/>
      </c>
      <c r="C3497" s="4" t="str" cm="1">
        <f t="array" ref="C3497">IFERROR(INDEX(EmployeeData[Full Name], ROW() - 37), "")</f>
        <v/>
      </c>
      <c r="D3497" s="4" t="str" cm="1">
        <f t="array" ref="D3497">IFERROR(INDEX(EmployeeData[Department], ROW() - 37), "")</f>
        <v/>
      </c>
      <c r="E3497" s="4" t="str" cm="1">
        <f t="array" ref="E3497">IFERROR(INDEX(EmployeeData[Gender], ROW() - 37), "")</f>
        <v/>
      </c>
      <c r="F3497" s="4" t="str" cm="1">
        <f t="array" ref="F3497">IFERROR(INDEX(EmployeeData[Age], ROW() - 37), "")</f>
        <v/>
      </c>
      <c r="G3497" s="6" t="str" cm="1">
        <f t="array" ref="G3497">IFERROR(INDEX(EmployeeData[Join Date], ROW() - 37), "")</f>
        <v/>
      </c>
      <c r="H3497" s="6" t="str" cm="1">
        <f t="array" ref="H3497">IFERROR(IF(INDEX(EmployeeData[Exit Date], ROW() - 37)=0, "",INDEX(EmployeeData[Exit Date], ROW() - 37)),"")</f>
        <v/>
      </c>
      <c r="I3497" s="4" t="str" cm="1">
        <f t="array" ref="I3497">IFERROR(IF(INDEX(EmployeeData[Exit Reason], ROW() - 37)=0, "",INDEX(EmployeeData[Exit Reason], ROW() - 37)),"")</f>
        <v/>
      </c>
      <c r="J3497" s="4" t="str" cm="1">
        <f t="array" ref="J3497">IFERROR(INDEX(EmployeeData[Status], ROW() - 37), "")</f>
        <v/>
      </c>
    </row>
    <row r="3498" spans="2:10" ht="19.95" customHeight="1" x14ac:dyDescent="0.3">
      <c r="B3498" s="4" t="str" cm="1">
        <f t="array" ref="B3498">IFERROR(INDEX(EmployeeData[Employee ID], ROW() - 37), "")</f>
        <v/>
      </c>
      <c r="C3498" s="4" t="str" cm="1">
        <f t="array" ref="C3498">IFERROR(INDEX(EmployeeData[Full Name], ROW() - 37), "")</f>
        <v/>
      </c>
      <c r="D3498" s="4" t="str" cm="1">
        <f t="array" ref="D3498">IFERROR(INDEX(EmployeeData[Department], ROW() - 37), "")</f>
        <v/>
      </c>
      <c r="E3498" s="4" t="str" cm="1">
        <f t="array" ref="E3498">IFERROR(INDEX(EmployeeData[Gender], ROW() - 37), "")</f>
        <v/>
      </c>
      <c r="F3498" s="4" t="str" cm="1">
        <f t="array" ref="F3498">IFERROR(INDEX(EmployeeData[Age], ROW() - 37), "")</f>
        <v/>
      </c>
      <c r="G3498" s="6" t="str" cm="1">
        <f t="array" ref="G3498">IFERROR(INDEX(EmployeeData[Join Date], ROW() - 37), "")</f>
        <v/>
      </c>
      <c r="H3498" s="6" t="str" cm="1">
        <f t="array" ref="H3498">IFERROR(IF(INDEX(EmployeeData[Exit Date], ROW() - 37)=0, "",INDEX(EmployeeData[Exit Date], ROW() - 37)),"")</f>
        <v/>
      </c>
      <c r="I3498" s="4" t="str" cm="1">
        <f t="array" ref="I3498">IFERROR(IF(INDEX(EmployeeData[Exit Reason], ROW() - 37)=0, "",INDEX(EmployeeData[Exit Reason], ROW() - 37)),"")</f>
        <v/>
      </c>
      <c r="J3498" s="4" t="str" cm="1">
        <f t="array" ref="J3498">IFERROR(INDEX(EmployeeData[Status], ROW() - 37), "")</f>
        <v/>
      </c>
    </row>
    <row r="3499" spans="2:10" ht="19.95" customHeight="1" x14ac:dyDescent="0.3">
      <c r="B3499" s="4" t="str" cm="1">
        <f t="array" ref="B3499">IFERROR(INDEX(EmployeeData[Employee ID], ROW() - 37), "")</f>
        <v/>
      </c>
      <c r="C3499" s="4" t="str" cm="1">
        <f t="array" ref="C3499">IFERROR(INDEX(EmployeeData[Full Name], ROW() - 37), "")</f>
        <v/>
      </c>
      <c r="D3499" s="4" t="str" cm="1">
        <f t="array" ref="D3499">IFERROR(INDEX(EmployeeData[Department], ROW() - 37), "")</f>
        <v/>
      </c>
      <c r="E3499" s="4" t="str" cm="1">
        <f t="array" ref="E3499">IFERROR(INDEX(EmployeeData[Gender], ROW() - 37), "")</f>
        <v/>
      </c>
      <c r="F3499" s="4" t="str" cm="1">
        <f t="array" ref="F3499">IFERROR(INDEX(EmployeeData[Age], ROW() - 37), "")</f>
        <v/>
      </c>
      <c r="G3499" s="6" t="str" cm="1">
        <f t="array" ref="G3499">IFERROR(INDEX(EmployeeData[Join Date], ROW() - 37), "")</f>
        <v/>
      </c>
      <c r="H3499" s="6" t="str" cm="1">
        <f t="array" ref="H3499">IFERROR(IF(INDEX(EmployeeData[Exit Date], ROW() - 37)=0, "",INDEX(EmployeeData[Exit Date], ROW() - 37)),"")</f>
        <v/>
      </c>
      <c r="I3499" s="4" t="str" cm="1">
        <f t="array" ref="I3499">IFERROR(IF(INDEX(EmployeeData[Exit Reason], ROW() - 37)=0, "",INDEX(EmployeeData[Exit Reason], ROW() - 37)),"")</f>
        <v/>
      </c>
      <c r="J3499" s="4" t="str" cm="1">
        <f t="array" ref="J3499">IFERROR(INDEX(EmployeeData[Status], ROW() - 37), "")</f>
        <v/>
      </c>
    </row>
    <row r="3500" spans="2:10" ht="19.95" customHeight="1" x14ac:dyDescent="0.3">
      <c r="B3500" s="4" t="str" cm="1">
        <f t="array" ref="B3500">IFERROR(INDEX(EmployeeData[Employee ID], ROW() - 37), "")</f>
        <v/>
      </c>
      <c r="C3500" s="4" t="str" cm="1">
        <f t="array" ref="C3500">IFERROR(INDEX(EmployeeData[Full Name], ROW() - 37), "")</f>
        <v/>
      </c>
      <c r="D3500" s="4" t="str" cm="1">
        <f t="array" ref="D3500">IFERROR(INDEX(EmployeeData[Department], ROW() - 37), "")</f>
        <v/>
      </c>
      <c r="E3500" s="4" t="str" cm="1">
        <f t="array" ref="E3500">IFERROR(INDEX(EmployeeData[Gender], ROW() - 37), "")</f>
        <v/>
      </c>
      <c r="F3500" s="4" t="str" cm="1">
        <f t="array" ref="F3500">IFERROR(INDEX(EmployeeData[Age], ROW() - 37), "")</f>
        <v/>
      </c>
      <c r="G3500" s="6" t="str" cm="1">
        <f t="array" ref="G3500">IFERROR(INDEX(EmployeeData[Join Date], ROW() - 37), "")</f>
        <v/>
      </c>
      <c r="H3500" s="6" t="str" cm="1">
        <f t="array" ref="H3500">IFERROR(IF(INDEX(EmployeeData[Exit Date], ROW() - 37)=0, "",INDEX(EmployeeData[Exit Date], ROW() - 37)),"")</f>
        <v/>
      </c>
      <c r="I3500" s="4" t="str" cm="1">
        <f t="array" ref="I3500">IFERROR(IF(INDEX(EmployeeData[Exit Reason], ROW() - 37)=0, "",INDEX(EmployeeData[Exit Reason], ROW() - 37)),"")</f>
        <v/>
      </c>
      <c r="J3500" s="4" t="str" cm="1">
        <f t="array" ref="J3500">IFERROR(INDEX(EmployeeData[Status], ROW() - 37), "")</f>
        <v/>
      </c>
    </row>
    <row r="3501" spans="2:10" ht="19.95" customHeight="1" x14ac:dyDescent="0.3">
      <c r="B3501" s="4" t="str" cm="1">
        <f t="array" ref="B3501">IFERROR(INDEX(EmployeeData[Employee ID], ROW() - 37), "")</f>
        <v/>
      </c>
      <c r="C3501" s="4" t="str" cm="1">
        <f t="array" ref="C3501">IFERROR(INDEX(EmployeeData[Full Name], ROW() - 37), "")</f>
        <v/>
      </c>
      <c r="D3501" s="4" t="str" cm="1">
        <f t="array" ref="D3501">IFERROR(INDEX(EmployeeData[Department], ROW() - 37), "")</f>
        <v/>
      </c>
      <c r="E3501" s="4" t="str" cm="1">
        <f t="array" ref="E3501">IFERROR(INDEX(EmployeeData[Gender], ROW() - 37), "")</f>
        <v/>
      </c>
      <c r="F3501" s="4" t="str" cm="1">
        <f t="array" ref="F3501">IFERROR(INDEX(EmployeeData[Age], ROW() - 37), "")</f>
        <v/>
      </c>
      <c r="G3501" s="6" t="str" cm="1">
        <f t="array" ref="G3501">IFERROR(INDEX(EmployeeData[Join Date], ROW() - 37), "")</f>
        <v/>
      </c>
      <c r="H3501" s="6" t="str" cm="1">
        <f t="array" ref="H3501">IFERROR(IF(INDEX(EmployeeData[Exit Date], ROW() - 37)=0, "",INDEX(EmployeeData[Exit Date], ROW() - 37)),"")</f>
        <v/>
      </c>
      <c r="I3501" s="4" t="str" cm="1">
        <f t="array" ref="I3501">IFERROR(IF(INDEX(EmployeeData[Exit Reason], ROW() - 37)=0, "",INDEX(EmployeeData[Exit Reason], ROW() - 37)),"")</f>
        <v/>
      </c>
      <c r="J3501" s="4" t="str" cm="1">
        <f t="array" ref="J3501">IFERROR(INDEX(EmployeeData[Status], ROW() - 37), "")</f>
        <v/>
      </c>
    </row>
    <row r="3502" spans="2:10" ht="19.95" customHeight="1" x14ac:dyDescent="0.3">
      <c r="B3502" s="4" t="str" cm="1">
        <f t="array" ref="B3502">IFERROR(INDEX(EmployeeData[Employee ID], ROW() - 37), "")</f>
        <v/>
      </c>
      <c r="C3502" s="4" t="str" cm="1">
        <f t="array" ref="C3502">IFERROR(INDEX(EmployeeData[Full Name], ROW() - 37), "")</f>
        <v/>
      </c>
      <c r="D3502" s="4" t="str" cm="1">
        <f t="array" ref="D3502">IFERROR(INDEX(EmployeeData[Department], ROW() - 37), "")</f>
        <v/>
      </c>
      <c r="E3502" s="4" t="str" cm="1">
        <f t="array" ref="E3502">IFERROR(INDEX(EmployeeData[Gender], ROW() - 37), "")</f>
        <v/>
      </c>
      <c r="F3502" s="4" t="str" cm="1">
        <f t="array" ref="F3502">IFERROR(INDEX(EmployeeData[Age], ROW() - 37), "")</f>
        <v/>
      </c>
      <c r="G3502" s="6" t="str" cm="1">
        <f t="array" ref="G3502">IFERROR(INDEX(EmployeeData[Join Date], ROW() - 37), "")</f>
        <v/>
      </c>
      <c r="H3502" s="6" t="str" cm="1">
        <f t="array" ref="H3502">IFERROR(IF(INDEX(EmployeeData[Exit Date], ROW() - 37)=0, "",INDEX(EmployeeData[Exit Date], ROW() - 37)),"")</f>
        <v/>
      </c>
      <c r="I3502" s="4" t="str" cm="1">
        <f t="array" ref="I3502">IFERROR(IF(INDEX(EmployeeData[Exit Reason], ROW() - 37)=0, "",INDEX(EmployeeData[Exit Reason], ROW() - 37)),"")</f>
        <v/>
      </c>
      <c r="J3502" s="4" t="str" cm="1">
        <f t="array" ref="J3502">IFERROR(INDEX(EmployeeData[Status], ROW() - 37), "")</f>
        <v/>
      </c>
    </row>
    <row r="3503" spans="2:10" ht="19.95" customHeight="1" x14ac:dyDescent="0.3">
      <c r="B3503" s="4" t="str" cm="1">
        <f t="array" ref="B3503">IFERROR(INDEX(EmployeeData[Employee ID], ROW() - 37), "")</f>
        <v/>
      </c>
      <c r="C3503" s="4" t="str" cm="1">
        <f t="array" ref="C3503">IFERROR(INDEX(EmployeeData[Full Name], ROW() - 37), "")</f>
        <v/>
      </c>
      <c r="D3503" s="4" t="str" cm="1">
        <f t="array" ref="D3503">IFERROR(INDEX(EmployeeData[Department], ROW() - 37), "")</f>
        <v/>
      </c>
      <c r="E3503" s="4" t="str" cm="1">
        <f t="array" ref="E3503">IFERROR(INDEX(EmployeeData[Gender], ROW() - 37), "")</f>
        <v/>
      </c>
      <c r="F3503" s="4" t="str" cm="1">
        <f t="array" ref="F3503">IFERROR(INDEX(EmployeeData[Age], ROW() - 37), "")</f>
        <v/>
      </c>
      <c r="G3503" s="6" t="str" cm="1">
        <f t="array" ref="G3503">IFERROR(INDEX(EmployeeData[Join Date], ROW() - 37), "")</f>
        <v/>
      </c>
      <c r="H3503" s="6" t="str" cm="1">
        <f t="array" ref="H3503">IFERROR(IF(INDEX(EmployeeData[Exit Date], ROW() - 37)=0, "",INDEX(EmployeeData[Exit Date], ROW() - 37)),"")</f>
        <v/>
      </c>
      <c r="I3503" s="4" t="str" cm="1">
        <f t="array" ref="I3503">IFERROR(IF(INDEX(EmployeeData[Exit Reason], ROW() - 37)=0, "",INDEX(EmployeeData[Exit Reason], ROW() - 37)),"")</f>
        <v/>
      </c>
      <c r="J3503" s="4" t="str" cm="1">
        <f t="array" ref="J3503">IFERROR(INDEX(EmployeeData[Status], ROW() - 37), "")</f>
        <v/>
      </c>
    </row>
    <row r="3504" spans="2:10" ht="19.95" customHeight="1" x14ac:dyDescent="0.3">
      <c r="B3504" s="4" t="str" cm="1">
        <f t="array" ref="B3504">IFERROR(INDEX(EmployeeData[Employee ID], ROW() - 37), "")</f>
        <v/>
      </c>
      <c r="C3504" s="4" t="str" cm="1">
        <f t="array" ref="C3504">IFERROR(INDEX(EmployeeData[Full Name], ROW() - 37), "")</f>
        <v/>
      </c>
      <c r="D3504" s="4" t="str" cm="1">
        <f t="array" ref="D3504">IFERROR(INDEX(EmployeeData[Department], ROW() - 37), "")</f>
        <v/>
      </c>
      <c r="E3504" s="4" t="str" cm="1">
        <f t="array" ref="E3504">IFERROR(INDEX(EmployeeData[Gender], ROW() - 37), "")</f>
        <v/>
      </c>
      <c r="F3504" s="4" t="str" cm="1">
        <f t="array" ref="F3504">IFERROR(INDEX(EmployeeData[Age], ROW() - 37), "")</f>
        <v/>
      </c>
      <c r="G3504" s="6" t="str" cm="1">
        <f t="array" ref="G3504">IFERROR(INDEX(EmployeeData[Join Date], ROW() - 37), "")</f>
        <v/>
      </c>
      <c r="H3504" s="6" t="str" cm="1">
        <f t="array" ref="H3504">IFERROR(IF(INDEX(EmployeeData[Exit Date], ROW() - 37)=0, "",INDEX(EmployeeData[Exit Date], ROW() - 37)),"")</f>
        <v/>
      </c>
      <c r="I3504" s="4" t="str" cm="1">
        <f t="array" ref="I3504">IFERROR(IF(INDEX(EmployeeData[Exit Reason], ROW() - 37)=0, "",INDEX(EmployeeData[Exit Reason], ROW() - 37)),"")</f>
        <v/>
      </c>
      <c r="J3504" s="4" t="str" cm="1">
        <f t="array" ref="J3504">IFERROR(INDEX(EmployeeData[Status], ROW() - 37), "")</f>
        <v/>
      </c>
    </row>
    <row r="3505" spans="2:10" ht="19.95" customHeight="1" x14ac:dyDescent="0.3">
      <c r="B3505" s="4" t="str" cm="1">
        <f t="array" ref="B3505">IFERROR(INDEX(EmployeeData[Employee ID], ROW() - 37), "")</f>
        <v/>
      </c>
      <c r="C3505" s="4" t="str" cm="1">
        <f t="array" ref="C3505">IFERROR(INDEX(EmployeeData[Full Name], ROW() - 37), "")</f>
        <v/>
      </c>
      <c r="D3505" s="4" t="str" cm="1">
        <f t="array" ref="D3505">IFERROR(INDEX(EmployeeData[Department], ROW() - 37), "")</f>
        <v/>
      </c>
      <c r="E3505" s="4" t="str" cm="1">
        <f t="array" ref="E3505">IFERROR(INDEX(EmployeeData[Gender], ROW() - 37), "")</f>
        <v/>
      </c>
      <c r="F3505" s="4" t="str" cm="1">
        <f t="array" ref="F3505">IFERROR(INDEX(EmployeeData[Age], ROW() - 37), "")</f>
        <v/>
      </c>
      <c r="G3505" s="6" t="str" cm="1">
        <f t="array" ref="G3505">IFERROR(INDEX(EmployeeData[Join Date], ROW() - 37), "")</f>
        <v/>
      </c>
      <c r="H3505" s="6" t="str" cm="1">
        <f t="array" ref="H3505">IFERROR(IF(INDEX(EmployeeData[Exit Date], ROW() - 37)=0, "",INDEX(EmployeeData[Exit Date], ROW() - 37)),"")</f>
        <v/>
      </c>
      <c r="I3505" s="4" t="str" cm="1">
        <f t="array" ref="I3505">IFERROR(IF(INDEX(EmployeeData[Exit Reason], ROW() - 37)=0, "",INDEX(EmployeeData[Exit Reason], ROW() - 37)),"")</f>
        <v/>
      </c>
      <c r="J3505" s="4" t="str" cm="1">
        <f t="array" ref="J3505">IFERROR(INDEX(EmployeeData[Status], ROW() - 37), "")</f>
        <v/>
      </c>
    </row>
    <row r="3506" spans="2:10" ht="19.95" customHeight="1" x14ac:dyDescent="0.3">
      <c r="B3506" s="4" t="str" cm="1">
        <f t="array" ref="B3506">IFERROR(INDEX(EmployeeData[Employee ID], ROW() - 37), "")</f>
        <v/>
      </c>
      <c r="C3506" s="4" t="str" cm="1">
        <f t="array" ref="C3506">IFERROR(INDEX(EmployeeData[Full Name], ROW() - 37), "")</f>
        <v/>
      </c>
      <c r="D3506" s="4" t="str" cm="1">
        <f t="array" ref="D3506">IFERROR(INDEX(EmployeeData[Department], ROW() - 37), "")</f>
        <v/>
      </c>
      <c r="E3506" s="4" t="str" cm="1">
        <f t="array" ref="E3506">IFERROR(INDEX(EmployeeData[Gender], ROW() - 37), "")</f>
        <v/>
      </c>
      <c r="F3506" s="4" t="str" cm="1">
        <f t="array" ref="F3506">IFERROR(INDEX(EmployeeData[Age], ROW() - 37), "")</f>
        <v/>
      </c>
      <c r="G3506" s="6" t="str" cm="1">
        <f t="array" ref="G3506">IFERROR(INDEX(EmployeeData[Join Date], ROW() - 37), "")</f>
        <v/>
      </c>
      <c r="H3506" s="6" t="str" cm="1">
        <f t="array" ref="H3506">IFERROR(IF(INDEX(EmployeeData[Exit Date], ROW() - 37)=0, "",INDEX(EmployeeData[Exit Date], ROW() - 37)),"")</f>
        <v/>
      </c>
      <c r="I3506" s="4" t="str" cm="1">
        <f t="array" ref="I3506">IFERROR(IF(INDEX(EmployeeData[Exit Reason], ROW() - 37)=0, "",INDEX(EmployeeData[Exit Reason], ROW() - 37)),"")</f>
        <v/>
      </c>
      <c r="J3506" s="4" t="str" cm="1">
        <f t="array" ref="J3506">IFERROR(INDEX(EmployeeData[Status], ROW() - 37), "")</f>
        <v/>
      </c>
    </row>
    <row r="3507" spans="2:10" ht="19.95" customHeight="1" x14ac:dyDescent="0.3">
      <c r="B3507" s="4" t="str" cm="1">
        <f t="array" ref="B3507">IFERROR(INDEX(EmployeeData[Employee ID], ROW() - 37), "")</f>
        <v/>
      </c>
      <c r="C3507" s="4" t="str" cm="1">
        <f t="array" ref="C3507">IFERROR(INDEX(EmployeeData[Full Name], ROW() - 37), "")</f>
        <v/>
      </c>
      <c r="D3507" s="4" t="str" cm="1">
        <f t="array" ref="D3507">IFERROR(INDEX(EmployeeData[Department], ROW() - 37), "")</f>
        <v/>
      </c>
      <c r="E3507" s="4" t="str" cm="1">
        <f t="array" ref="E3507">IFERROR(INDEX(EmployeeData[Gender], ROW() - 37), "")</f>
        <v/>
      </c>
      <c r="F3507" s="4" t="str" cm="1">
        <f t="array" ref="F3507">IFERROR(INDEX(EmployeeData[Age], ROW() - 37), "")</f>
        <v/>
      </c>
      <c r="G3507" s="6" t="str" cm="1">
        <f t="array" ref="G3507">IFERROR(INDEX(EmployeeData[Join Date], ROW() - 37), "")</f>
        <v/>
      </c>
      <c r="H3507" s="6" t="str" cm="1">
        <f t="array" ref="H3507">IFERROR(IF(INDEX(EmployeeData[Exit Date], ROW() - 37)=0, "",INDEX(EmployeeData[Exit Date], ROW() - 37)),"")</f>
        <v/>
      </c>
      <c r="I3507" s="4" t="str" cm="1">
        <f t="array" ref="I3507">IFERROR(IF(INDEX(EmployeeData[Exit Reason], ROW() - 37)=0, "",INDEX(EmployeeData[Exit Reason], ROW() - 37)),"")</f>
        <v/>
      </c>
      <c r="J3507" s="4" t="str" cm="1">
        <f t="array" ref="J3507">IFERROR(INDEX(EmployeeData[Status], ROW() - 37), "")</f>
        <v/>
      </c>
    </row>
    <row r="3508" spans="2:10" ht="19.95" customHeight="1" x14ac:dyDescent="0.3">
      <c r="B3508" s="4" t="str" cm="1">
        <f t="array" ref="B3508">IFERROR(INDEX(EmployeeData[Employee ID], ROW() - 37), "")</f>
        <v/>
      </c>
      <c r="C3508" s="4" t="str" cm="1">
        <f t="array" ref="C3508">IFERROR(INDEX(EmployeeData[Full Name], ROW() - 37), "")</f>
        <v/>
      </c>
      <c r="D3508" s="4" t="str" cm="1">
        <f t="array" ref="D3508">IFERROR(INDEX(EmployeeData[Department], ROW() - 37), "")</f>
        <v/>
      </c>
      <c r="E3508" s="4" t="str" cm="1">
        <f t="array" ref="E3508">IFERROR(INDEX(EmployeeData[Gender], ROW() - 37), "")</f>
        <v/>
      </c>
      <c r="F3508" s="4" t="str" cm="1">
        <f t="array" ref="F3508">IFERROR(INDEX(EmployeeData[Age], ROW() - 37), "")</f>
        <v/>
      </c>
      <c r="G3508" s="6" t="str" cm="1">
        <f t="array" ref="G3508">IFERROR(INDEX(EmployeeData[Join Date], ROW() - 37), "")</f>
        <v/>
      </c>
      <c r="H3508" s="6" t="str" cm="1">
        <f t="array" ref="H3508">IFERROR(IF(INDEX(EmployeeData[Exit Date], ROW() - 37)=0, "",INDEX(EmployeeData[Exit Date], ROW() - 37)),"")</f>
        <v/>
      </c>
      <c r="I3508" s="4" t="str" cm="1">
        <f t="array" ref="I3508">IFERROR(IF(INDEX(EmployeeData[Exit Reason], ROW() - 37)=0, "",INDEX(EmployeeData[Exit Reason], ROW() - 37)),"")</f>
        <v/>
      </c>
      <c r="J3508" s="4" t="str" cm="1">
        <f t="array" ref="J3508">IFERROR(INDEX(EmployeeData[Status], ROW() - 37), "")</f>
        <v/>
      </c>
    </row>
    <row r="3509" spans="2:10" ht="19.95" customHeight="1" x14ac:dyDescent="0.3">
      <c r="B3509" s="4" t="str" cm="1">
        <f t="array" ref="B3509">IFERROR(INDEX(EmployeeData[Employee ID], ROW() - 37), "")</f>
        <v/>
      </c>
      <c r="C3509" s="4" t="str" cm="1">
        <f t="array" ref="C3509">IFERROR(INDEX(EmployeeData[Full Name], ROW() - 37), "")</f>
        <v/>
      </c>
      <c r="D3509" s="4" t="str" cm="1">
        <f t="array" ref="D3509">IFERROR(INDEX(EmployeeData[Department], ROW() - 37), "")</f>
        <v/>
      </c>
      <c r="E3509" s="4" t="str" cm="1">
        <f t="array" ref="E3509">IFERROR(INDEX(EmployeeData[Gender], ROW() - 37), "")</f>
        <v/>
      </c>
      <c r="F3509" s="4" t="str" cm="1">
        <f t="array" ref="F3509">IFERROR(INDEX(EmployeeData[Age], ROW() - 37), "")</f>
        <v/>
      </c>
      <c r="G3509" s="6" t="str" cm="1">
        <f t="array" ref="G3509">IFERROR(INDEX(EmployeeData[Join Date], ROW() - 37), "")</f>
        <v/>
      </c>
      <c r="H3509" s="6" t="str" cm="1">
        <f t="array" ref="H3509">IFERROR(IF(INDEX(EmployeeData[Exit Date], ROW() - 37)=0, "",INDEX(EmployeeData[Exit Date], ROW() - 37)),"")</f>
        <v/>
      </c>
      <c r="I3509" s="4" t="str" cm="1">
        <f t="array" ref="I3509">IFERROR(IF(INDEX(EmployeeData[Exit Reason], ROW() - 37)=0, "",INDEX(EmployeeData[Exit Reason], ROW() - 37)),"")</f>
        <v/>
      </c>
      <c r="J3509" s="4" t="str" cm="1">
        <f t="array" ref="J3509">IFERROR(INDEX(EmployeeData[Status], ROW() - 37), "")</f>
        <v/>
      </c>
    </row>
    <row r="3510" spans="2:10" ht="19.95" customHeight="1" x14ac:dyDescent="0.3">
      <c r="B3510" s="4" t="str" cm="1">
        <f t="array" ref="B3510">IFERROR(INDEX(EmployeeData[Employee ID], ROW() - 37), "")</f>
        <v/>
      </c>
      <c r="C3510" s="4" t="str" cm="1">
        <f t="array" ref="C3510">IFERROR(INDEX(EmployeeData[Full Name], ROW() - 37), "")</f>
        <v/>
      </c>
      <c r="D3510" s="4" t="str" cm="1">
        <f t="array" ref="D3510">IFERROR(INDEX(EmployeeData[Department], ROW() - 37), "")</f>
        <v/>
      </c>
      <c r="E3510" s="4" t="str" cm="1">
        <f t="array" ref="E3510">IFERROR(INDEX(EmployeeData[Gender], ROW() - 37), "")</f>
        <v/>
      </c>
      <c r="F3510" s="4" t="str" cm="1">
        <f t="array" ref="F3510">IFERROR(INDEX(EmployeeData[Age], ROW() - 37), "")</f>
        <v/>
      </c>
      <c r="G3510" s="6" t="str" cm="1">
        <f t="array" ref="G3510">IFERROR(INDEX(EmployeeData[Join Date], ROW() - 37), "")</f>
        <v/>
      </c>
      <c r="H3510" s="6" t="str" cm="1">
        <f t="array" ref="H3510">IFERROR(IF(INDEX(EmployeeData[Exit Date], ROW() - 37)=0, "",INDEX(EmployeeData[Exit Date], ROW() - 37)),"")</f>
        <v/>
      </c>
      <c r="I3510" s="4" t="str" cm="1">
        <f t="array" ref="I3510">IFERROR(IF(INDEX(EmployeeData[Exit Reason], ROW() - 37)=0, "",INDEX(EmployeeData[Exit Reason], ROW() - 37)),"")</f>
        <v/>
      </c>
      <c r="J3510" s="4" t="str" cm="1">
        <f t="array" ref="J3510">IFERROR(INDEX(EmployeeData[Status], ROW() - 37), "")</f>
        <v/>
      </c>
    </row>
    <row r="3511" spans="2:10" ht="19.95" customHeight="1" x14ac:dyDescent="0.3">
      <c r="B3511" s="4" t="str" cm="1">
        <f t="array" ref="B3511">IFERROR(INDEX(EmployeeData[Employee ID], ROW() - 37), "")</f>
        <v/>
      </c>
      <c r="C3511" s="4" t="str" cm="1">
        <f t="array" ref="C3511">IFERROR(INDEX(EmployeeData[Full Name], ROW() - 37), "")</f>
        <v/>
      </c>
      <c r="D3511" s="4" t="str" cm="1">
        <f t="array" ref="D3511">IFERROR(INDEX(EmployeeData[Department], ROW() - 37), "")</f>
        <v/>
      </c>
      <c r="E3511" s="4" t="str" cm="1">
        <f t="array" ref="E3511">IFERROR(INDEX(EmployeeData[Gender], ROW() - 37), "")</f>
        <v/>
      </c>
      <c r="F3511" s="4" t="str" cm="1">
        <f t="array" ref="F3511">IFERROR(INDEX(EmployeeData[Age], ROW() - 37), "")</f>
        <v/>
      </c>
      <c r="G3511" s="6" t="str" cm="1">
        <f t="array" ref="G3511">IFERROR(INDEX(EmployeeData[Join Date], ROW() - 37), "")</f>
        <v/>
      </c>
      <c r="H3511" s="6" t="str" cm="1">
        <f t="array" ref="H3511">IFERROR(IF(INDEX(EmployeeData[Exit Date], ROW() - 37)=0, "",INDEX(EmployeeData[Exit Date], ROW() - 37)),"")</f>
        <v/>
      </c>
      <c r="I3511" s="4" t="str" cm="1">
        <f t="array" ref="I3511">IFERROR(IF(INDEX(EmployeeData[Exit Reason], ROW() - 37)=0, "",INDEX(EmployeeData[Exit Reason], ROW() - 37)),"")</f>
        <v/>
      </c>
      <c r="J3511" s="4" t="str" cm="1">
        <f t="array" ref="J3511">IFERROR(INDEX(EmployeeData[Status], ROW() - 37), "")</f>
        <v/>
      </c>
    </row>
    <row r="3512" spans="2:10" ht="19.95" customHeight="1" x14ac:dyDescent="0.3">
      <c r="B3512" s="4" t="str" cm="1">
        <f t="array" ref="B3512">IFERROR(INDEX(EmployeeData[Employee ID], ROW() - 37), "")</f>
        <v/>
      </c>
      <c r="C3512" s="4" t="str" cm="1">
        <f t="array" ref="C3512">IFERROR(INDEX(EmployeeData[Full Name], ROW() - 37), "")</f>
        <v/>
      </c>
      <c r="D3512" s="4" t="str" cm="1">
        <f t="array" ref="D3512">IFERROR(INDEX(EmployeeData[Department], ROW() - 37), "")</f>
        <v/>
      </c>
      <c r="E3512" s="4" t="str" cm="1">
        <f t="array" ref="E3512">IFERROR(INDEX(EmployeeData[Gender], ROW() - 37), "")</f>
        <v/>
      </c>
      <c r="F3512" s="4" t="str" cm="1">
        <f t="array" ref="F3512">IFERROR(INDEX(EmployeeData[Age], ROW() - 37), "")</f>
        <v/>
      </c>
      <c r="G3512" s="6" t="str" cm="1">
        <f t="array" ref="G3512">IFERROR(INDEX(EmployeeData[Join Date], ROW() - 37), "")</f>
        <v/>
      </c>
      <c r="H3512" s="6" t="str" cm="1">
        <f t="array" ref="H3512">IFERROR(IF(INDEX(EmployeeData[Exit Date], ROW() - 37)=0, "",INDEX(EmployeeData[Exit Date], ROW() - 37)),"")</f>
        <v/>
      </c>
      <c r="I3512" s="4" t="str" cm="1">
        <f t="array" ref="I3512">IFERROR(IF(INDEX(EmployeeData[Exit Reason], ROW() - 37)=0, "",INDEX(EmployeeData[Exit Reason], ROW() - 37)),"")</f>
        <v/>
      </c>
      <c r="J3512" s="4" t="str" cm="1">
        <f t="array" ref="J3512">IFERROR(INDEX(EmployeeData[Status], ROW() - 37), "")</f>
        <v/>
      </c>
    </row>
    <row r="3513" spans="2:10" ht="19.95" customHeight="1" x14ac:dyDescent="0.3">
      <c r="B3513" s="4" t="str" cm="1">
        <f t="array" ref="B3513">IFERROR(INDEX(EmployeeData[Employee ID], ROW() - 37), "")</f>
        <v/>
      </c>
      <c r="C3513" s="4" t="str" cm="1">
        <f t="array" ref="C3513">IFERROR(INDEX(EmployeeData[Full Name], ROW() - 37), "")</f>
        <v/>
      </c>
      <c r="D3513" s="4" t="str" cm="1">
        <f t="array" ref="D3513">IFERROR(INDEX(EmployeeData[Department], ROW() - 37), "")</f>
        <v/>
      </c>
      <c r="E3513" s="4" t="str" cm="1">
        <f t="array" ref="E3513">IFERROR(INDEX(EmployeeData[Gender], ROW() - 37), "")</f>
        <v/>
      </c>
      <c r="F3513" s="4" t="str" cm="1">
        <f t="array" ref="F3513">IFERROR(INDEX(EmployeeData[Age], ROW() - 37), "")</f>
        <v/>
      </c>
      <c r="G3513" s="6" t="str" cm="1">
        <f t="array" ref="G3513">IFERROR(INDEX(EmployeeData[Join Date], ROW() - 37), "")</f>
        <v/>
      </c>
      <c r="H3513" s="6" t="str" cm="1">
        <f t="array" ref="H3513">IFERROR(IF(INDEX(EmployeeData[Exit Date], ROW() - 37)=0, "",INDEX(EmployeeData[Exit Date], ROW() - 37)),"")</f>
        <v/>
      </c>
      <c r="I3513" s="4" t="str" cm="1">
        <f t="array" ref="I3513">IFERROR(IF(INDEX(EmployeeData[Exit Reason], ROW() - 37)=0, "",INDEX(EmployeeData[Exit Reason], ROW() - 37)),"")</f>
        <v/>
      </c>
      <c r="J3513" s="4" t="str" cm="1">
        <f t="array" ref="J3513">IFERROR(INDEX(EmployeeData[Status], ROW() - 37), "")</f>
        <v/>
      </c>
    </row>
    <row r="3514" spans="2:10" ht="19.95" customHeight="1" x14ac:dyDescent="0.3">
      <c r="B3514" s="4" t="str" cm="1">
        <f t="array" ref="B3514">IFERROR(INDEX(EmployeeData[Employee ID], ROW() - 37), "")</f>
        <v/>
      </c>
      <c r="C3514" s="4" t="str" cm="1">
        <f t="array" ref="C3514">IFERROR(INDEX(EmployeeData[Full Name], ROW() - 37), "")</f>
        <v/>
      </c>
      <c r="D3514" s="4" t="str" cm="1">
        <f t="array" ref="D3514">IFERROR(INDEX(EmployeeData[Department], ROW() - 37), "")</f>
        <v/>
      </c>
      <c r="E3514" s="4" t="str" cm="1">
        <f t="array" ref="E3514">IFERROR(INDEX(EmployeeData[Gender], ROW() - 37), "")</f>
        <v/>
      </c>
      <c r="F3514" s="4" t="str" cm="1">
        <f t="array" ref="F3514">IFERROR(INDEX(EmployeeData[Age], ROW() - 37), "")</f>
        <v/>
      </c>
      <c r="G3514" s="6" t="str" cm="1">
        <f t="array" ref="G3514">IFERROR(INDEX(EmployeeData[Join Date], ROW() - 37), "")</f>
        <v/>
      </c>
      <c r="H3514" s="6" t="str" cm="1">
        <f t="array" ref="H3514">IFERROR(IF(INDEX(EmployeeData[Exit Date], ROW() - 37)=0, "",INDEX(EmployeeData[Exit Date], ROW() - 37)),"")</f>
        <v/>
      </c>
      <c r="I3514" s="4" t="str" cm="1">
        <f t="array" ref="I3514">IFERROR(IF(INDEX(EmployeeData[Exit Reason], ROW() - 37)=0, "",INDEX(EmployeeData[Exit Reason], ROW() - 37)),"")</f>
        <v/>
      </c>
      <c r="J3514" s="4" t="str" cm="1">
        <f t="array" ref="J3514">IFERROR(INDEX(EmployeeData[Status], ROW() - 37), "")</f>
        <v/>
      </c>
    </row>
    <row r="3515" spans="2:10" ht="19.95" customHeight="1" x14ac:dyDescent="0.3">
      <c r="B3515" s="4" t="str" cm="1">
        <f t="array" ref="B3515">IFERROR(INDEX(EmployeeData[Employee ID], ROW() - 37), "")</f>
        <v/>
      </c>
      <c r="C3515" s="4" t="str" cm="1">
        <f t="array" ref="C3515">IFERROR(INDEX(EmployeeData[Full Name], ROW() - 37), "")</f>
        <v/>
      </c>
      <c r="D3515" s="4" t="str" cm="1">
        <f t="array" ref="D3515">IFERROR(INDEX(EmployeeData[Department], ROW() - 37), "")</f>
        <v/>
      </c>
      <c r="E3515" s="4" t="str" cm="1">
        <f t="array" ref="E3515">IFERROR(INDEX(EmployeeData[Gender], ROW() - 37), "")</f>
        <v/>
      </c>
      <c r="F3515" s="4" t="str" cm="1">
        <f t="array" ref="F3515">IFERROR(INDEX(EmployeeData[Age], ROW() - 37), "")</f>
        <v/>
      </c>
      <c r="G3515" s="6" t="str" cm="1">
        <f t="array" ref="G3515">IFERROR(INDEX(EmployeeData[Join Date], ROW() - 37), "")</f>
        <v/>
      </c>
      <c r="H3515" s="6" t="str" cm="1">
        <f t="array" ref="H3515">IFERROR(IF(INDEX(EmployeeData[Exit Date], ROW() - 37)=0, "",INDEX(EmployeeData[Exit Date], ROW() - 37)),"")</f>
        <v/>
      </c>
      <c r="I3515" s="4" t="str" cm="1">
        <f t="array" ref="I3515">IFERROR(IF(INDEX(EmployeeData[Exit Reason], ROW() - 37)=0, "",INDEX(EmployeeData[Exit Reason], ROW() - 37)),"")</f>
        <v/>
      </c>
      <c r="J3515" s="4" t="str" cm="1">
        <f t="array" ref="J3515">IFERROR(INDEX(EmployeeData[Status], ROW() - 37), "")</f>
        <v/>
      </c>
    </row>
    <row r="3516" spans="2:10" ht="19.95" customHeight="1" x14ac:dyDescent="0.3">
      <c r="B3516" s="4" t="str" cm="1">
        <f t="array" ref="B3516">IFERROR(INDEX(EmployeeData[Employee ID], ROW() - 37), "")</f>
        <v/>
      </c>
      <c r="C3516" s="4" t="str" cm="1">
        <f t="array" ref="C3516">IFERROR(INDEX(EmployeeData[Full Name], ROW() - 37), "")</f>
        <v/>
      </c>
      <c r="D3516" s="4" t="str" cm="1">
        <f t="array" ref="D3516">IFERROR(INDEX(EmployeeData[Department], ROW() - 37), "")</f>
        <v/>
      </c>
      <c r="E3516" s="4" t="str" cm="1">
        <f t="array" ref="E3516">IFERROR(INDEX(EmployeeData[Gender], ROW() - 37), "")</f>
        <v/>
      </c>
      <c r="F3516" s="4" t="str" cm="1">
        <f t="array" ref="F3516">IFERROR(INDEX(EmployeeData[Age], ROW() - 37), "")</f>
        <v/>
      </c>
      <c r="G3516" s="6" t="str" cm="1">
        <f t="array" ref="G3516">IFERROR(INDEX(EmployeeData[Join Date], ROW() - 37), "")</f>
        <v/>
      </c>
      <c r="H3516" s="6" t="str" cm="1">
        <f t="array" ref="H3516">IFERROR(IF(INDEX(EmployeeData[Exit Date], ROW() - 37)=0, "",INDEX(EmployeeData[Exit Date], ROW() - 37)),"")</f>
        <v/>
      </c>
      <c r="I3516" s="4" t="str" cm="1">
        <f t="array" ref="I3516">IFERROR(IF(INDEX(EmployeeData[Exit Reason], ROW() - 37)=0, "",INDEX(EmployeeData[Exit Reason], ROW() - 37)),"")</f>
        <v/>
      </c>
      <c r="J3516" s="4" t="str" cm="1">
        <f t="array" ref="J3516">IFERROR(INDEX(EmployeeData[Status], ROW() - 37), "")</f>
        <v/>
      </c>
    </row>
    <row r="3517" spans="2:10" ht="19.95" customHeight="1" x14ac:dyDescent="0.3">
      <c r="B3517" s="4" t="str" cm="1">
        <f t="array" ref="B3517">IFERROR(INDEX(EmployeeData[Employee ID], ROW() - 37), "")</f>
        <v/>
      </c>
      <c r="C3517" s="4" t="str" cm="1">
        <f t="array" ref="C3517">IFERROR(INDEX(EmployeeData[Full Name], ROW() - 37), "")</f>
        <v/>
      </c>
      <c r="D3517" s="4" t="str" cm="1">
        <f t="array" ref="D3517">IFERROR(INDEX(EmployeeData[Department], ROW() - 37), "")</f>
        <v/>
      </c>
      <c r="E3517" s="4" t="str" cm="1">
        <f t="array" ref="E3517">IFERROR(INDEX(EmployeeData[Gender], ROW() - 37), "")</f>
        <v/>
      </c>
      <c r="F3517" s="4" t="str" cm="1">
        <f t="array" ref="F3517">IFERROR(INDEX(EmployeeData[Age], ROW() - 37), "")</f>
        <v/>
      </c>
      <c r="G3517" s="6" t="str" cm="1">
        <f t="array" ref="G3517">IFERROR(INDEX(EmployeeData[Join Date], ROW() - 37), "")</f>
        <v/>
      </c>
      <c r="H3517" s="6" t="str" cm="1">
        <f t="array" ref="H3517">IFERROR(IF(INDEX(EmployeeData[Exit Date], ROW() - 37)=0, "",INDEX(EmployeeData[Exit Date], ROW() - 37)),"")</f>
        <v/>
      </c>
      <c r="I3517" s="4" t="str" cm="1">
        <f t="array" ref="I3517">IFERROR(IF(INDEX(EmployeeData[Exit Reason], ROW() - 37)=0, "",INDEX(EmployeeData[Exit Reason], ROW() - 37)),"")</f>
        <v/>
      </c>
      <c r="J3517" s="4" t="str" cm="1">
        <f t="array" ref="J3517">IFERROR(INDEX(EmployeeData[Status], ROW() - 37), "")</f>
        <v/>
      </c>
    </row>
    <row r="3518" spans="2:10" ht="19.95" customHeight="1" x14ac:dyDescent="0.3">
      <c r="B3518" s="4" t="str" cm="1">
        <f t="array" ref="B3518">IFERROR(INDEX(EmployeeData[Employee ID], ROW() - 37), "")</f>
        <v/>
      </c>
      <c r="C3518" s="4" t="str" cm="1">
        <f t="array" ref="C3518">IFERROR(INDEX(EmployeeData[Full Name], ROW() - 37), "")</f>
        <v/>
      </c>
      <c r="D3518" s="4" t="str" cm="1">
        <f t="array" ref="D3518">IFERROR(INDEX(EmployeeData[Department], ROW() - 37), "")</f>
        <v/>
      </c>
      <c r="E3518" s="4" t="str" cm="1">
        <f t="array" ref="E3518">IFERROR(INDEX(EmployeeData[Gender], ROW() - 37), "")</f>
        <v/>
      </c>
      <c r="F3518" s="4" t="str" cm="1">
        <f t="array" ref="F3518">IFERROR(INDEX(EmployeeData[Age], ROW() - 37), "")</f>
        <v/>
      </c>
      <c r="G3518" s="6" t="str" cm="1">
        <f t="array" ref="G3518">IFERROR(INDEX(EmployeeData[Join Date], ROW() - 37), "")</f>
        <v/>
      </c>
      <c r="H3518" s="6" t="str" cm="1">
        <f t="array" ref="H3518">IFERROR(IF(INDEX(EmployeeData[Exit Date], ROW() - 37)=0, "",INDEX(EmployeeData[Exit Date], ROW() - 37)),"")</f>
        <v/>
      </c>
      <c r="I3518" s="4" t="str" cm="1">
        <f t="array" ref="I3518">IFERROR(IF(INDEX(EmployeeData[Exit Reason], ROW() - 37)=0, "",INDEX(EmployeeData[Exit Reason], ROW() - 37)),"")</f>
        <v/>
      </c>
      <c r="J3518" s="4" t="str" cm="1">
        <f t="array" ref="J3518">IFERROR(INDEX(EmployeeData[Status], ROW() - 37), "")</f>
        <v/>
      </c>
    </row>
    <row r="3519" spans="2:10" ht="19.95" customHeight="1" x14ac:dyDescent="0.3">
      <c r="B3519" s="4" t="str" cm="1">
        <f t="array" ref="B3519">IFERROR(INDEX(EmployeeData[Employee ID], ROW() - 37), "")</f>
        <v/>
      </c>
      <c r="C3519" s="4" t="str" cm="1">
        <f t="array" ref="C3519">IFERROR(INDEX(EmployeeData[Full Name], ROW() - 37), "")</f>
        <v/>
      </c>
      <c r="D3519" s="4" t="str" cm="1">
        <f t="array" ref="D3519">IFERROR(INDEX(EmployeeData[Department], ROW() - 37), "")</f>
        <v/>
      </c>
      <c r="E3519" s="4" t="str" cm="1">
        <f t="array" ref="E3519">IFERROR(INDEX(EmployeeData[Gender], ROW() - 37), "")</f>
        <v/>
      </c>
      <c r="F3519" s="4" t="str" cm="1">
        <f t="array" ref="F3519">IFERROR(INDEX(EmployeeData[Age], ROW() - 37), "")</f>
        <v/>
      </c>
      <c r="G3519" s="6" t="str" cm="1">
        <f t="array" ref="G3519">IFERROR(INDEX(EmployeeData[Join Date], ROW() - 37), "")</f>
        <v/>
      </c>
      <c r="H3519" s="6" t="str" cm="1">
        <f t="array" ref="H3519">IFERROR(IF(INDEX(EmployeeData[Exit Date], ROW() - 37)=0, "",INDEX(EmployeeData[Exit Date], ROW() - 37)),"")</f>
        <v/>
      </c>
      <c r="I3519" s="4" t="str" cm="1">
        <f t="array" ref="I3519">IFERROR(IF(INDEX(EmployeeData[Exit Reason], ROW() - 37)=0, "",INDEX(EmployeeData[Exit Reason], ROW() - 37)),"")</f>
        <v/>
      </c>
      <c r="J3519" s="4" t="str" cm="1">
        <f t="array" ref="J3519">IFERROR(INDEX(EmployeeData[Status], ROW() - 37), "")</f>
        <v/>
      </c>
    </row>
    <row r="3520" spans="2:10" ht="19.95" customHeight="1" x14ac:dyDescent="0.3">
      <c r="B3520" s="4" t="str" cm="1">
        <f t="array" ref="B3520">IFERROR(INDEX(EmployeeData[Employee ID], ROW() - 37), "")</f>
        <v/>
      </c>
      <c r="C3520" s="4" t="str" cm="1">
        <f t="array" ref="C3520">IFERROR(INDEX(EmployeeData[Full Name], ROW() - 37), "")</f>
        <v/>
      </c>
      <c r="D3520" s="4" t="str" cm="1">
        <f t="array" ref="D3520">IFERROR(INDEX(EmployeeData[Department], ROW() - 37), "")</f>
        <v/>
      </c>
      <c r="E3520" s="4" t="str" cm="1">
        <f t="array" ref="E3520">IFERROR(INDEX(EmployeeData[Gender], ROW() - 37), "")</f>
        <v/>
      </c>
      <c r="F3520" s="4" t="str" cm="1">
        <f t="array" ref="F3520">IFERROR(INDEX(EmployeeData[Age], ROW() - 37), "")</f>
        <v/>
      </c>
      <c r="G3520" s="6" t="str" cm="1">
        <f t="array" ref="G3520">IFERROR(INDEX(EmployeeData[Join Date], ROW() - 37), "")</f>
        <v/>
      </c>
      <c r="H3520" s="6" t="str" cm="1">
        <f t="array" ref="H3520">IFERROR(IF(INDEX(EmployeeData[Exit Date], ROW() - 37)=0, "",INDEX(EmployeeData[Exit Date], ROW() - 37)),"")</f>
        <v/>
      </c>
      <c r="I3520" s="4" t="str" cm="1">
        <f t="array" ref="I3520">IFERROR(IF(INDEX(EmployeeData[Exit Reason], ROW() - 37)=0, "",INDEX(EmployeeData[Exit Reason], ROW() - 37)),"")</f>
        <v/>
      </c>
      <c r="J3520" s="4" t="str" cm="1">
        <f t="array" ref="J3520">IFERROR(INDEX(EmployeeData[Status], ROW() - 37), "")</f>
        <v/>
      </c>
    </row>
    <row r="3521" spans="2:10" ht="19.95" customHeight="1" x14ac:dyDescent="0.3">
      <c r="B3521" s="4" t="str" cm="1">
        <f t="array" ref="B3521">IFERROR(INDEX(EmployeeData[Employee ID], ROW() - 37), "")</f>
        <v/>
      </c>
      <c r="C3521" s="4" t="str" cm="1">
        <f t="array" ref="C3521">IFERROR(INDEX(EmployeeData[Full Name], ROW() - 37), "")</f>
        <v/>
      </c>
      <c r="D3521" s="4" t="str" cm="1">
        <f t="array" ref="D3521">IFERROR(INDEX(EmployeeData[Department], ROW() - 37), "")</f>
        <v/>
      </c>
      <c r="E3521" s="4" t="str" cm="1">
        <f t="array" ref="E3521">IFERROR(INDEX(EmployeeData[Gender], ROW() - 37), "")</f>
        <v/>
      </c>
      <c r="F3521" s="4" t="str" cm="1">
        <f t="array" ref="F3521">IFERROR(INDEX(EmployeeData[Age], ROW() - 37), "")</f>
        <v/>
      </c>
      <c r="G3521" s="6" t="str" cm="1">
        <f t="array" ref="G3521">IFERROR(INDEX(EmployeeData[Join Date], ROW() - 37), "")</f>
        <v/>
      </c>
      <c r="H3521" s="6" t="str" cm="1">
        <f t="array" ref="H3521">IFERROR(IF(INDEX(EmployeeData[Exit Date], ROW() - 37)=0, "",INDEX(EmployeeData[Exit Date], ROW() - 37)),"")</f>
        <v/>
      </c>
      <c r="I3521" s="4" t="str" cm="1">
        <f t="array" ref="I3521">IFERROR(IF(INDEX(EmployeeData[Exit Reason], ROW() - 37)=0, "",INDEX(EmployeeData[Exit Reason], ROW() - 37)),"")</f>
        <v/>
      </c>
      <c r="J3521" s="4" t="str" cm="1">
        <f t="array" ref="J3521">IFERROR(INDEX(EmployeeData[Status], ROW() - 37), "")</f>
        <v/>
      </c>
    </row>
    <row r="3522" spans="2:10" ht="19.95" customHeight="1" x14ac:dyDescent="0.3">
      <c r="B3522" s="4" t="str" cm="1">
        <f t="array" ref="B3522">IFERROR(INDEX(EmployeeData[Employee ID], ROW() - 37), "")</f>
        <v/>
      </c>
      <c r="C3522" s="4" t="str" cm="1">
        <f t="array" ref="C3522">IFERROR(INDEX(EmployeeData[Full Name], ROW() - 37), "")</f>
        <v/>
      </c>
      <c r="D3522" s="4" t="str" cm="1">
        <f t="array" ref="D3522">IFERROR(INDEX(EmployeeData[Department], ROW() - 37), "")</f>
        <v/>
      </c>
      <c r="E3522" s="4" t="str" cm="1">
        <f t="array" ref="E3522">IFERROR(INDEX(EmployeeData[Gender], ROW() - 37), "")</f>
        <v/>
      </c>
      <c r="F3522" s="4" t="str" cm="1">
        <f t="array" ref="F3522">IFERROR(INDEX(EmployeeData[Age], ROW() - 37), "")</f>
        <v/>
      </c>
      <c r="G3522" s="6" t="str" cm="1">
        <f t="array" ref="G3522">IFERROR(INDEX(EmployeeData[Join Date], ROW() - 37), "")</f>
        <v/>
      </c>
      <c r="H3522" s="6" t="str" cm="1">
        <f t="array" ref="H3522">IFERROR(IF(INDEX(EmployeeData[Exit Date], ROW() - 37)=0, "",INDEX(EmployeeData[Exit Date], ROW() - 37)),"")</f>
        <v/>
      </c>
      <c r="I3522" s="4" t="str" cm="1">
        <f t="array" ref="I3522">IFERROR(IF(INDEX(EmployeeData[Exit Reason], ROW() - 37)=0, "",INDEX(EmployeeData[Exit Reason], ROW() - 37)),"")</f>
        <v/>
      </c>
      <c r="J3522" s="4" t="str" cm="1">
        <f t="array" ref="J3522">IFERROR(INDEX(EmployeeData[Status], ROW() - 37), "")</f>
        <v/>
      </c>
    </row>
    <row r="3523" spans="2:10" ht="19.95" customHeight="1" x14ac:dyDescent="0.3">
      <c r="B3523" s="4" t="str" cm="1">
        <f t="array" ref="B3523">IFERROR(INDEX(EmployeeData[Employee ID], ROW() - 37), "")</f>
        <v/>
      </c>
      <c r="C3523" s="4" t="str" cm="1">
        <f t="array" ref="C3523">IFERROR(INDEX(EmployeeData[Full Name], ROW() - 37), "")</f>
        <v/>
      </c>
      <c r="D3523" s="4" t="str" cm="1">
        <f t="array" ref="D3523">IFERROR(INDEX(EmployeeData[Department], ROW() - 37), "")</f>
        <v/>
      </c>
      <c r="E3523" s="4" t="str" cm="1">
        <f t="array" ref="E3523">IFERROR(INDEX(EmployeeData[Gender], ROW() - 37), "")</f>
        <v/>
      </c>
      <c r="F3523" s="4" t="str" cm="1">
        <f t="array" ref="F3523">IFERROR(INDEX(EmployeeData[Age], ROW() - 37), "")</f>
        <v/>
      </c>
      <c r="G3523" s="6" t="str" cm="1">
        <f t="array" ref="G3523">IFERROR(INDEX(EmployeeData[Join Date], ROW() - 37), "")</f>
        <v/>
      </c>
      <c r="H3523" s="6" t="str" cm="1">
        <f t="array" ref="H3523">IFERROR(IF(INDEX(EmployeeData[Exit Date], ROW() - 37)=0, "",INDEX(EmployeeData[Exit Date], ROW() - 37)),"")</f>
        <v/>
      </c>
      <c r="I3523" s="4" t="str" cm="1">
        <f t="array" ref="I3523">IFERROR(IF(INDEX(EmployeeData[Exit Reason], ROW() - 37)=0, "",INDEX(EmployeeData[Exit Reason], ROW() - 37)),"")</f>
        <v/>
      </c>
      <c r="J3523" s="4" t="str" cm="1">
        <f t="array" ref="J3523">IFERROR(INDEX(EmployeeData[Status], ROW() - 37), "")</f>
        <v/>
      </c>
    </row>
    <row r="3524" spans="2:10" ht="19.95" customHeight="1" x14ac:dyDescent="0.3">
      <c r="B3524" s="4" t="str" cm="1">
        <f t="array" ref="B3524">IFERROR(INDEX(EmployeeData[Employee ID], ROW() - 37), "")</f>
        <v/>
      </c>
      <c r="C3524" s="4" t="str" cm="1">
        <f t="array" ref="C3524">IFERROR(INDEX(EmployeeData[Full Name], ROW() - 37), "")</f>
        <v/>
      </c>
      <c r="D3524" s="4" t="str" cm="1">
        <f t="array" ref="D3524">IFERROR(INDEX(EmployeeData[Department], ROW() - 37), "")</f>
        <v/>
      </c>
      <c r="E3524" s="4" t="str" cm="1">
        <f t="array" ref="E3524">IFERROR(INDEX(EmployeeData[Gender], ROW() - 37), "")</f>
        <v/>
      </c>
      <c r="F3524" s="4" t="str" cm="1">
        <f t="array" ref="F3524">IFERROR(INDEX(EmployeeData[Age], ROW() - 37), "")</f>
        <v/>
      </c>
      <c r="G3524" s="6" t="str" cm="1">
        <f t="array" ref="G3524">IFERROR(INDEX(EmployeeData[Join Date], ROW() - 37), "")</f>
        <v/>
      </c>
      <c r="H3524" s="6" t="str" cm="1">
        <f t="array" ref="H3524">IFERROR(IF(INDEX(EmployeeData[Exit Date], ROW() - 37)=0, "",INDEX(EmployeeData[Exit Date], ROW() - 37)),"")</f>
        <v/>
      </c>
      <c r="I3524" s="4" t="str" cm="1">
        <f t="array" ref="I3524">IFERROR(IF(INDEX(EmployeeData[Exit Reason], ROW() - 37)=0, "",INDEX(EmployeeData[Exit Reason], ROW() - 37)),"")</f>
        <v/>
      </c>
      <c r="J3524" s="4" t="str" cm="1">
        <f t="array" ref="J3524">IFERROR(INDEX(EmployeeData[Status], ROW() - 37), "")</f>
        <v/>
      </c>
    </row>
    <row r="3525" spans="2:10" ht="19.95" customHeight="1" x14ac:dyDescent="0.3">
      <c r="B3525" s="4" t="str" cm="1">
        <f t="array" ref="B3525">IFERROR(INDEX(EmployeeData[Employee ID], ROW() - 37), "")</f>
        <v/>
      </c>
      <c r="C3525" s="4" t="str" cm="1">
        <f t="array" ref="C3525">IFERROR(INDEX(EmployeeData[Full Name], ROW() - 37), "")</f>
        <v/>
      </c>
      <c r="D3525" s="4" t="str" cm="1">
        <f t="array" ref="D3525">IFERROR(INDEX(EmployeeData[Department], ROW() - 37), "")</f>
        <v/>
      </c>
      <c r="E3525" s="4" t="str" cm="1">
        <f t="array" ref="E3525">IFERROR(INDEX(EmployeeData[Gender], ROW() - 37), "")</f>
        <v/>
      </c>
      <c r="F3525" s="4" t="str" cm="1">
        <f t="array" ref="F3525">IFERROR(INDEX(EmployeeData[Age], ROW() - 37), "")</f>
        <v/>
      </c>
      <c r="G3525" s="6" t="str" cm="1">
        <f t="array" ref="G3525">IFERROR(INDEX(EmployeeData[Join Date], ROW() - 37), "")</f>
        <v/>
      </c>
      <c r="H3525" s="6" t="str" cm="1">
        <f t="array" ref="H3525">IFERROR(IF(INDEX(EmployeeData[Exit Date], ROW() - 37)=0, "",INDEX(EmployeeData[Exit Date], ROW() - 37)),"")</f>
        <v/>
      </c>
      <c r="I3525" s="4" t="str" cm="1">
        <f t="array" ref="I3525">IFERROR(IF(INDEX(EmployeeData[Exit Reason], ROW() - 37)=0, "",INDEX(EmployeeData[Exit Reason], ROW() - 37)),"")</f>
        <v/>
      </c>
      <c r="J3525" s="4" t="str" cm="1">
        <f t="array" ref="J3525">IFERROR(INDEX(EmployeeData[Status], ROW() - 37), "")</f>
        <v/>
      </c>
    </row>
    <row r="3526" spans="2:10" ht="19.95" customHeight="1" x14ac:dyDescent="0.3">
      <c r="B3526" s="4" t="str" cm="1">
        <f t="array" ref="B3526">IFERROR(INDEX(EmployeeData[Employee ID], ROW() - 37), "")</f>
        <v/>
      </c>
      <c r="C3526" s="4" t="str" cm="1">
        <f t="array" ref="C3526">IFERROR(INDEX(EmployeeData[Full Name], ROW() - 37), "")</f>
        <v/>
      </c>
      <c r="D3526" s="4" t="str" cm="1">
        <f t="array" ref="D3526">IFERROR(INDEX(EmployeeData[Department], ROW() - 37), "")</f>
        <v/>
      </c>
      <c r="E3526" s="4" t="str" cm="1">
        <f t="array" ref="E3526">IFERROR(INDEX(EmployeeData[Gender], ROW() - 37), "")</f>
        <v/>
      </c>
      <c r="F3526" s="4" t="str" cm="1">
        <f t="array" ref="F3526">IFERROR(INDEX(EmployeeData[Age], ROW() - 37), "")</f>
        <v/>
      </c>
      <c r="G3526" s="6" t="str" cm="1">
        <f t="array" ref="G3526">IFERROR(INDEX(EmployeeData[Join Date], ROW() - 37), "")</f>
        <v/>
      </c>
      <c r="H3526" s="6" t="str" cm="1">
        <f t="array" ref="H3526">IFERROR(IF(INDEX(EmployeeData[Exit Date], ROW() - 37)=0, "",INDEX(EmployeeData[Exit Date], ROW() - 37)),"")</f>
        <v/>
      </c>
      <c r="I3526" s="4" t="str" cm="1">
        <f t="array" ref="I3526">IFERROR(IF(INDEX(EmployeeData[Exit Reason], ROW() - 37)=0, "",INDEX(EmployeeData[Exit Reason], ROW() - 37)),"")</f>
        <v/>
      </c>
      <c r="J3526" s="4" t="str" cm="1">
        <f t="array" ref="J3526">IFERROR(INDEX(EmployeeData[Status], ROW() - 37), "")</f>
        <v/>
      </c>
    </row>
    <row r="3527" spans="2:10" ht="19.95" customHeight="1" x14ac:dyDescent="0.3">
      <c r="B3527" s="4" t="str" cm="1">
        <f t="array" ref="B3527">IFERROR(INDEX(EmployeeData[Employee ID], ROW() - 37), "")</f>
        <v/>
      </c>
      <c r="C3527" s="4" t="str" cm="1">
        <f t="array" ref="C3527">IFERROR(INDEX(EmployeeData[Full Name], ROW() - 37), "")</f>
        <v/>
      </c>
      <c r="D3527" s="4" t="str" cm="1">
        <f t="array" ref="D3527">IFERROR(INDEX(EmployeeData[Department], ROW() - 37), "")</f>
        <v/>
      </c>
      <c r="E3527" s="4" t="str" cm="1">
        <f t="array" ref="E3527">IFERROR(INDEX(EmployeeData[Gender], ROW() - 37), "")</f>
        <v/>
      </c>
      <c r="F3527" s="4" t="str" cm="1">
        <f t="array" ref="F3527">IFERROR(INDEX(EmployeeData[Age], ROW() - 37), "")</f>
        <v/>
      </c>
      <c r="G3527" s="6" t="str" cm="1">
        <f t="array" ref="G3527">IFERROR(INDEX(EmployeeData[Join Date], ROW() - 37), "")</f>
        <v/>
      </c>
      <c r="H3527" s="6" t="str" cm="1">
        <f t="array" ref="H3527">IFERROR(IF(INDEX(EmployeeData[Exit Date], ROW() - 37)=0, "",INDEX(EmployeeData[Exit Date], ROW() - 37)),"")</f>
        <v/>
      </c>
      <c r="I3527" s="4" t="str" cm="1">
        <f t="array" ref="I3527">IFERROR(IF(INDEX(EmployeeData[Exit Reason], ROW() - 37)=0, "",INDEX(EmployeeData[Exit Reason], ROW() - 37)),"")</f>
        <v/>
      </c>
      <c r="J3527" s="4" t="str" cm="1">
        <f t="array" ref="J3527">IFERROR(INDEX(EmployeeData[Status], ROW() - 37), "")</f>
        <v/>
      </c>
    </row>
    <row r="3528" spans="2:10" ht="19.95" customHeight="1" x14ac:dyDescent="0.3">
      <c r="B3528" s="4" t="str" cm="1">
        <f t="array" ref="B3528">IFERROR(INDEX(EmployeeData[Employee ID], ROW() - 37), "")</f>
        <v/>
      </c>
      <c r="C3528" s="4" t="str" cm="1">
        <f t="array" ref="C3528">IFERROR(INDEX(EmployeeData[Full Name], ROW() - 37), "")</f>
        <v/>
      </c>
      <c r="D3528" s="4" t="str" cm="1">
        <f t="array" ref="D3528">IFERROR(INDEX(EmployeeData[Department], ROW() - 37), "")</f>
        <v/>
      </c>
      <c r="E3528" s="4" t="str" cm="1">
        <f t="array" ref="E3528">IFERROR(INDEX(EmployeeData[Gender], ROW() - 37), "")</f>
        <v/>
      </c>
      <c r="F3528" s="4" t="str" cm="1">
        <f t="array" ref="F3528">IFERROR(INDEX(EmployeeData[Age], ROW() - 37), "")</f>
        <v/>
      </c>
      <c r="G3528" s="6" t="str" cm="1">
        <f t="array" ref="G3528">IFERROR(INDEX(EmployeeData[Join Date], ROW() - 37), "")</f>
        <v/>
      </c>
      <c r="H3528" s="6" t="str" cm="1">
        <f t="array" ref="H3528">IFERROR(IF(INDEX(EmployeeData[Exit Date], ROW() - 37)=0, "",INDEX(EmployeeData[Exit Date], ROW() - 37)),"")</f>
        <v/>
      </c>
      <c r="I3528" s="4" t="str" cm="1">
        <f t="array" ref="I3528">IFERROR(IF(INDEX(EmployeeData[Exit Reason], ROW() - 37)=0, "",INDEX(EmployeeData[Exit Reason], ROW() - 37)),"")</f>
        <v/>
      </c>
      <c r="J3528" s="4" t="str" cm="1">
        <f t="array" ref="J3528">IFERROR(INDEX(EmployeeData[Status], ROW() - 37), "")</f>
        <v/>
      </c>
    </row>
    <row r="3529" spans="2:10" ht="19.95" customHeight="1" x14ac:dyDescent="0.3">
      <c r="B3529" s="4" t="str" cm="1">
        <f t="array" ref="B3529">IFERROR(INDEX(EmployeeData[Employee ID], ROW() - 37), "")</f>
        <v/>
      </c>
      <c r="C3529" s="4" t="str" cm="1">
        <f t="array" ref="C3529">IFERROR(INDEX(EmployeeData[Full Name], ROW() - 37), "")</f>
        <v/>
      </c>
      <c r="D3529" s="4" t="str" cm="1">
        <f t="array" ref="D3529">IFERROR(INDEX(EmployeeData[Department], ROW() - 37), "")</f>
        <v/>
      </c>
      <c r="E3529" s="4" t="str" cm="1">
        <f t="array" ref="E3529">IFERROR(INDEX(EmployeeData[Gender], ROW() - 37), "")</f>
        <v/>
      </c>
      <c r="F3529" s="4" t="str" cm="1">
        <f t="array" ref="F3529">IFERROR(INDEX(EmployeeData[Age], ROW() - 37), "")</f>
        <v/>
      </c>
      <c r="G3529" s="6" t="str" cm="1">
        <f t="array" ref="G3529">IFERROR(INDEX(EmployeeData[Join Date], ROW() - 37), "")</f>
        <v/>
      </c>
      <c r="H3529" s="6" t="str" cm="1">
        <f t="array" ref="H3529">IFERROR(IF(INDEX(EmployeeData[Exit Date], ROW() - 37)=0, "",INDEX(EmployeeData[Exit Date], ROW() - 37)),"")</f>
        <v/>
      </c>
      <c r="I3529" s="4" t="str" cm="1">
        <f t="array" ref="I3529">IFERROR(IF(INDEX(EmployeeData[Exit Reason], ROW() - 37)=0, "",INDEX(EmployeeData[Exit Reason], ROW() - 37)),"")</f>
        <v/>
      </c>
      <c r="J3529" s="4" t="str" cm="1">
        <f t="array" ref="J3529">IFERROR(INDEX(EmployeeData[Status], ROW() - 37), "")</f>
        <v/>
      </c>
    </row>
    <row r="3530" spans="2:10" ht="19.95" customHeight="1" x14ac:dyDescent="0.3">
      <c r="B3530" s="4" t="str" cm="1">
        <f t="array" ref="B3530">IFERROR(INDEX(EmployeeData[Employee ID], ROW() - 37), "")</f>
        <v/>
      </c>
      <c r="C3530" s="4" t="str" cm="1">
        <f t="array" ref="C3530">IFERROR(INDEX(EmployeeData[Full Name], ROW() - 37), "")</f>
        <v/>
      </c>
      <c r="D3530" s="4" t="str" cm="1">
        <f t="array" ref="D3530">IFERROR(INDEX(EmployeeData[Department], ROW() - 37), "")</f>
        <v/>
      </c>
      <c r="E3530" s="4" t="str" cm="1">
        <f t="array" ref="E3530">IFERROR(INDEX(EmployeeData[Gender], ROW() - 37), "")</f>
        <v/>
      </c>
      <c r="F3530" s="4" t="str" cm="1">
        <f t="array" ref="F3530">IFERROR(INDEX(EmployeeData[Age], ROW() - 37), "")</f>
        <v/>
      </c>
      <c r="G3530" s="6" t="str" cm="1">
        <f t="array" ref="G3530">IFERROR(INDEX(EmployeeData[Join Date], ROW() - 37), "")</f>
        <v/>
      </c>
      <c r="H3530" s="6" t="str" cm="1">
        <f t="array" ref="H3530">IFERROR(IF(INDEX(EmployeeData[Exit Date], ROW() - 37)=0, "",INDEX(EmployeeData[Exit Date], ROW() - 37)),"")</f>
        <v/>
      </c>
      <c r="I3530" s="4" t="str" cm="1">
        <f t="array" ref="I3530">IFERROR(IF(INDEX(EmployeeData[Exit Reason], ROW() - 37)=0, "",INDEX(EmployeeData[Exit Reason], ROW() - 37)),"")</f>
        <v/>
      </c>
      <c r="J3530" s="4" t="str" cm="1">
        <f t="array" ref="J3530">IFERROR(INDEX(EmployeeData[Status], ROW() - 37), "")</f>
        <v/>
      </c>
    </row>
    <row r="3531" spans="2:10" ht="19.95" customHeight="1" x14ac:dyDescent="0.3">
      <c r="B3531" s="4" t="str" cm="1">
        <f t="array" ref="B3531">IFERROR(INDEX(EmployeeData[Employee ID], ROW() - 37), "")</f>
        <v/>
      </c>
      <c r="C3531" s="4" t="str" cm="1">
        <f t="array" ref="C3531">IFERROR(INDEX(EmployeeData[Full Name], ROW() - 37), "")</f>
        <v/>
      </c>
      <c r="D3531" s="4" t="str" cm="1">
        <f t="array" ref="D3531">IFERROR(INDEX(EmployeeData[Department], ROW() - 37), "")</f>
        <v/>
      </c>
      <c r="E3531" s="4" t="str" cm="1">
        <f t="array" ref="E3531">IFERROR(INDEX(EmployeeData[Gender], ROW() - 37), "")</f>
        <v/>
      </c>
      <c r="F3531" s="4" t="str" cm="1">
        <f t="array" ref="F3531">IFERROR(INDEX(EmployeeData[Age], ROW() - 37), "")</f>
        <v/>
      </c>
      <c r="G3531" s="6" t="str" cm="1">
        <f t="array" ref="G3531">IFERROR(INDEX(EmployeeData[Join Date], ROW() - 37), "")</f>
        <v/>
      </c>
      <c r="H3531" s="6" t="str" cm="1">
        <f t="array" ref="H3531">IFERROR(IF(INDEX(EmployeeData[Exit Date], ROW() - 37)=0, "",INDEX(EmployeeData[Exit Date], ROW() - 37)),"")</f>
        <v/>
      </c>
      <c r="I3531" s="4" t="str" cm="1">
        <f t="array" ref="I3531">IFERROR(IF(INDEX(EmployeeData[Exit Reason], ROW() - 37)=0, "",INDEX(EmployeeData[Exit Reason], ROW() - 37)),"")</f>
        <v/>
      </c>
      <c r="J3531" s="4" t="str" cm="1">
        <f t="array" ref="J3531">IFERROR(INDEX(EmployeeData[Status], ROW() - 37), "")</f>
        <v/>
      </c>
    </row>
    <row r="3532" spans="2:10" ht="19.95" customHeight="1" x14ac:dyDescent="0.3">
      <c r="B3532" s="4" t="str" cm="1">
        <f t="array" ref="B3532">IFERROR(INDEX(EmployeeData[Employee ID], ROW() - 37), "")</f>
        <v/>
      </c>
      <c r="C3532" s="4" t="str" cm="1">
        <f t="array" ref="C3532">IFERROR(INDEX(EmployeeData[Full Name], ROW() - 37), "")</f>
        <v/>
      </c>
      <c r="D3532" s="4" t="str" cm="1">
        <f t="array" ref="D3532">IFERROR(INDEX(EmployeeData[Department], ROW() - 37), "")</f>
        <v/>
      </c>
      <c r="E3532" s="4" t="str" cm="1">
        <f t="array" ref="E3532">IFERROR(INDEX(EmployeeData[Gender], ROW() - 37), "")</f>
        <v/>
      </c>
      <c r="F3532" s="4" t="str" cm="1">
        <f t="array" ref="F3532">IFERROR(INDEX(EmployeeData[Age], ROW() - 37), "")</f>
        <v/>
      </c>
      <c r="G3532" s="6" t="str" cm="1">
        <f t="array" ref="G3532">IFERROR(INDEX(EmployeeData[Join Date], ROW() - 37), "")</f>
        <v/>
      </c>
      <c r="H3532" s="6" t="str" cm="1">
        <f t="array" ref="H3532">IFERROR(IF(INDEX(EmployeeData[Exit Date], ROW() - 37)=0, "",INDEX(EmployeeData[Exit Date], ROW() - 37)),"")</f>
        <v/>
      </c>
      <c r="I3532" s="4" t="str" cm="1">
        <f t="array" ref="I3532">IFERROR(IF(INDEX(EmployeeData[Exit Reason], ROW() - 37)=0, "",INDEX(EmployeeData[Exit Reason], ROW() - 37)),"")</f>
        <v/>
      </c>
      <c r="J3532" s="4" t="str" cm="1">
        <f t="array" ref="J3532">IFERROR(INDEX(EmployeeData[Status], ROW() - 37), "")</f>
        <v/>
      </c>
    </row>
    <row r="3533" spans="2:10" ht="19.95" customHeight="1" x14ac:dyDescent="0.3">
      <c r="B3533" s="4" t="str" cm="1">
        <f t="array" ref="B3533">IFERROR(INDEX(EmployeeData[Employee ID], ROW() - 37), "")</f>
        <v/>
      </c>
      <c r="C3533" s="4" t="str" cm="1">
        <f t="array" ref="C3533">IFERROR(INDEX(EmployeeData[Full Name], ROW() - 37), "")</f>
        <v/>
      </c>
      <c r="D3533" s="4" t="str" cm="1">
        <f t="array" ref="D3533">IFERROR(INDEX(EmployeeData[Department], ROW() - 37), "")</f>
        <v/>
      </c>
      <c r="E3533" s="4" t="str" cm="1">
        <f t="array" ref="E3533">IFERROR(INDEX(EmployeeData[Gender], ROW() - 37), "")</f>
        <v/>
      </c>
      <c r="F3533" s="4" t="str" cm="1">
        <f t="array" ref="F3533">IFERROR(INDEX(EmployeeData[Age], ROW() - 37), "")</f>
        <v/>
      </c>
      <c r="G3533" s="6" t="str" cm="1">
        <f t="array" ref="G3533">IFERROR(INDEX(EmployeeData[Join Date], ROW() - 37), "")</f>
        <v/>
      </c>
      <c r="H3533" s="6" t="str" cm="1">
        <f t="array" ref="H3533">IFERROR(IF(INDEX(EmployeeData[Exit Date], ROW() - 37)=0, "",INDEX(EmployeeData[Exit Date], ROW() - 37)),"")</f>
        <v/>
      </c>
      <c r="I3533" s="4" t="str" cm="1">
        <f t="array" ref="I3533">IFERROR(IF(INDEX(EmployeeData[Exit Reason], ROW() - 37)=0, "",INDEX(EmployeeData[Exit Reason], ROW() - 37)),"")</f>
        <v/>
      </c>
      <c r="J3533" s="4" t="str" cm="1">
        <f t="array" ref="J3533">IFERROR(INDEX(EmployeeData[Status], ROW() - 37), "")</f>
        <v/>
      </c>
    </row>
    <row r="3534" spans="2:10" ht="19.95" customHeight="1" x14ac:dyDescent="0.3">
      <c r="B3534" s="4" t="str" cm="1">
        <f t="array" ref="B3534">IFERROR(INDEX(EmployeeData[Employee ID], ROW() - 37), "")</f>
        <v/>
      </c>
      <c r="C3534" s="4" t="str" cm="1">
        <f t="array" ref="C3534">IFERROR(INDEX(EmployeeData[Full Name], ROW() - 37), "")</f>
        <v/>
      </c>
      <c r="D3534" s="4" t="str" cm="1">
        <f t="array" ref="D3534">IFERROR(INDEX(EmployeeData[Department], ROW() - 37), "")</f>
        <v/>
      </c>
      <c r="E3534" s="4" t="str" cm="1">
        <f t="array" ref="E3534">IFERROR(INDEX(EmployeeData[Gender], ROW() - 37), "")</f>
        <v/>
      </c>
      <c r="F3534" s="4" t="str" cm="1">
        <f t="array" ref="F3534">IFERROR(INDEX(EmployeeData[Age], ROW() - 37), "")</f>
        <v/>
      </c>
      <c r="G3534" s="6" t="str" cm="1">
        <f t="array" ref="G3534">IFERROR(INDEX(EmployeeData[Join Date], ROW() - 37), "")</f>
        <v/>
      </c>
      <c r="H3534" s="6" t="str" cm="1">
        <f t="array" ref="H3534">IFERROR(IF(INDEX(EmployeeData[Exit Date], ROW() - 37)=0, "",INDEX(EmployeeData[Exit Date], ROW() - 37)),"")</f>
        <v/>
      </c>
      <c r="I3534" s="4" t="str" cm="1">
        <f t="array" ref="I3534">IFERROR(IF(INDEX(EmployeeData[Exit Reason], ROW() - 37)=0, "",INDEX(EmployeeData[Exit Reason], ROW() - 37)),"")</f>
        <v/>
      </c>
      <c r="J3534" s="4" t="str" cm="1">
        <f t="array" ref="J3534">IFERROR(INDEX(EmployeeData[Status], ROW() - 37), "")</f>
        <v/>
      </c>
    </row>
    <row r="3535" spans="2:10" ht="19.95" customHeight="1" x14ac:dyDescent="0.3">
      <c r="B3535" s="4" t="str" cm="1">
        <f t="array" ref="B3535">IFERROR(INDEX(EmployeeData[Employee ID], ROW() - 37), "")</f>
        <v/>
      </c>
      <c r="C3535" s="4" t="str" cm="1">
        <f t="array" ref="C3535">IFERROR(INDEX(EmployeeData[Full Name], ROW() - 37), "")</f>
        <v/>
      </c>
      <c r="D3535" s="4" t="str" cm="1">
        <f t="array" ref="D3535">IFERROR(INDEX(EmployeeData[Department], ROW() - 37), "")</f>
        <v/>
      </c>
      <c r="E3535" s="4" t="str" cm="1">
        <f t="array" ref="E3535">IFERROR(INDEX(EmployeeData[Gender], ROW() - 37), "")</f>
        <v/>
      </c>
      <c r="F3535" s="4" t="str" cm="1">
        <f t="array" ref="F3535">IFERROR(INDEX(EmployeeData[Age], ROW() - 37), "")</f>
        <v/>
      </c>
      <c r="G3535" s="6" t="str" cm="1">
        <f t="array" ref="G3535">IFERROR(INDEX(EmployeeData[Join Date], ROW() - 37), "")</f>
        <v/>
      </c>
      <c r="H3535" s="6" t="str" cm="1">
        <f t="array" ref="H3535">IFERROR(IF(INDEX(EmployeeData[Exit Date], ROW() - 37)=0, "",INDEX(EmployeeData[Exit Date], ROW() - 37)),"")</f>
        <v/>
      </c>
      <c r="I3535" s="4" t="str" cm="1">
        <f t="array" ref="I3535">IFERROR(IF(INDEX(EmployeeData[Exit Reason], ROW() - 37)=0, "",INDEX(EmployeeData[Exit Reason], ROW() - 37)),"")</f>
        <v/>
      </c>
      <c r="J3535" s="4" t="str" cm="1">
        <f t="array" ref="J3535">IFERROR(INDEX(EmployeeData[Status], ROW() - 37), "")</f>
        <v/>
      </c>
    </row>
    <row r="3536" spans="2:10" ht="19.95" customHeight="1" x14ac:dyDescent="0.3">
      <c r="B3536" s="4" t="str" cm="1">
        <f t="array" ref="B3536">IFERROR(INDEX(EmployeeData[Employee ID], ROW() - 37), "")</f>
        <v/>
      </c>
      <c r="C3536" s="4" t="str" cm="1">
        <f t="array" ref="C3536">IFERROR(INDEX(EmployeeData[Full Name], ROW() - 37), "")</f>
        <v/>
      </c>
      <c r="D3536" s="4" t="str" cm="1">
        <f t="array" ref="D3536">IFERROR(INDEX(EmployeeData[Department], ROW() - 37), "")</f>
        <v/>
      </c>
      <c r="E3536" s="4" t="str" cm="1">
        <f t="array" ref="E3536">IFERROR(INDEX(EmployeeData[Gender], ROW() - 37), "")</f>
        <v/>
      </c>
      <c r="F3536" s="4" t="str" cm="1">
        <f t="array" ref="F3536">IFERROR(INDEX(EmployeeData[Age], ROW() - 37), "")</f>
        <v/>
      </c>
      <c r="G3536" s="6" t="str" cm="1">
        <f t="array" ref="G3536">IFERROR(INDEX(EmployeeData[Join Date], ROW() - 37), "")</f>
        <v/>
      </c>
      <c r="H3536" s="6" t="str" cm="1">
        <f t="array" ref="H3536">IFERROR(IF(INDEX(EmployeeData[Exit Date], ROW() - 37)=0, "",INDEX(EmployeeData[Exit Date], ROW() - 37)),"")</f>
        <v/>
      </c>
      <c r="I3536" s="4" t="str" cm="1">
        <f t="array" ref="I3536">IFERROR(IF(INDEX(EmployeeData[Exit Reason], ROW() - 37)=0, "",INDEX(EmployeeData[Exit Reason], ROW() - 37)),"")</f>
        <v/>
      </c>
      <c r="J3536" s="4" t="str" cm="1">
        <f t="array" ref="J3536">IFERROR(INDEX(EmployeeData[Status], ROW() - 37), "")</f>
        <v/>
      </c>
    </row>
    <row r="3537" spans="2:10" ht="19.95" customHeight="1" x14ac:dyDescent="0.3">
      <c r="B3537" s="4" t="str" cm="1">
        <f t="array" ref="B3537">IFERROR(INDEX(EmployeeData[Employee ID], ROW() - 37), "")</f>
        <v/>
      </c>
      <c r="C3537" s="4" t="str" cm="1">
        <f t="array" ref="C3537">IFERROR(INDEX(EmployeeData[Full Name], ROW() - 37), "")</f>
        <v/>
      </c>
      <c r="D3537" s="4" t="str" cm="1">
        <f t="array" ref="D3537">IFERROR(INDEX(EmployeeData[Department], ROW() - 37), "")</f>
        <v/>
      </c>
      <c r="E3537" s="4" t="str" cm="1">
        <f t="array" ref="E3537">IFERROR(INDEX(EmployeeData[Gender], ROW() - 37), "")</f>
        <v/>
      </c>
      <c r="F3537" s="4" t="str" cm="1">
        <f t="array" ref="F3537">IFERROR(INDEX(EmployeeData[Age], ROW() - 37), "")</f>
        <v/>
      </c>
      <c r="G3537" s="6" t="str" cm="1">
        <f t="array" ref="G3537">IFERROR(INDEX(EmployeeData[Join Date], ROW() - 37), "")</f>
        <v/>
      </c>
      <c r="H3537" s="6" t="str" cm="1">
        <f t="array" ref="H3537">IFERROR(IF(INDEX(EmployeeData[Exit Date], ROW() - 37)=0, "",INDEX(EmployeeData[Exit Date], ROW() - 37)),"")</f>
        <v/>
      </c>
      <c r="I3537" s="4" t="str" cm="1">
        <f t="array" ref="I3537">IFERROR(IF(INDEX(EmployeeData[Exit Reason], ROW() - 37)=0, "",INDEX(EmployeeData[Exit Reason], ROW() - 37)),"")</f>
        <v/>
      </c>
      <c r="J3537" s="4" t="str" cm="1">
        <f t="array" ref="J3537">IFERROR(INDEX(EmployeeData[Status], ROW() - 37), "")</f>
        <v/>
      </c>
    </row>
    <row r="3538" spans="2:10" ht="19.95" customHeight="1" x14ac:dyDescent="0.3">
      <c r="B3538" s="4" t="str" cm="1">
        <f t="array" ref="B3538">IFERROR(INDEX(EmployeeData[Employee ID], ROW() - 37), "")</f>
        <v/>
      </c>
      <c r="C3538" s="4" t="str" cm="1">
        <f t="array" ref="C3538">IFERROR(INDEX(EmployeeData[Full Name], ROW() - 37), "")</f>
        <v/>
      </c>
      <c r="D3538" s="4" t="str" cm="1">
        <f t="array" ref="D3538">IFERROR(INDEX(EmployeeData[Department], ROW() - 37), "")</f>
        <v/>
      </c>
      <c r="E3538" s="4" t="str" cm="1">
        <f t="array" ref="E3538">IFERROR(INDEX(EmployeeData[Gender], ROW() - 37), "")</f>
        <v/>
      </c>
      <c r="F3538" s="4" t="str" cm="1">
        <f t="array" ref="F3538">IFERROR(INDEX(EmployeeData[Age], ROW() - 37), "")</f>
        <v/>
      </c>
      <c r="G3538" s="6" t="str" cm="1">
        <f t="array" ref="G3538">IFERROR(INDEX(EmployeeData[Join Date], ROW() - 37), "")</f>
        <v/>
      </c>
      <c r="H3538" s="6" t="str" cm="1">
        <f t="array" ref="H3538">IFERROR(IF(INDEX(EmployeeData[Exit Date], ROW() - 37)=0, "",INDEX(EmployeeData[Exit Date], ROW() - 37)),"")</f>
        <v/>
      </c>
      <c r="I3538" s="4" t="str" cm="1">
        <f t="array" ref="I3538">IFERROR(IF(INDEX(EmployeeData[Exit Reason], ROW() - 37)=0, "",INDEX(EmployeeData[Exit Reason], ROW() - 37)),"")</f>
        <v/>
      </c>
      <c r="J3538" s="4" t="str" cm="1">
        <f t="array" ref="J3538">IFERROR(INDEX(EmployeeData[Status], ROW() - 37), "")</f>
        <v/>
      </c>
    </row>
    <row r="3539" spans="2:10" ht="19.95" customHeight="1" x14ac:dyDescent="0.3">
      <c r="B3539" s="4" t="str" cm="1">
        <f t="array" ref="B3539">IFERROR(INDEX(EmployeeData[Employee ID], ROW() - 37), "")</f>
        <v/>
      </c>
      <c r="C3539" s="4" t="str" cm="1">
        <f t="array" ref="C3539">IFERROR(INDEX(EmployeeData[Full Name], ROW() - 37), "")</f>
        <v/>
      </c>
      <c r="D3539" s="4" t="str" cm="1">
        <f t="array" ref="D3539">IFERROR(INDEX(EmployeeData[Department], ROW() - 37), "")</f>
        <v/>
      </c>
      <c r="E3539" s="4" t="str" cm="1">
        <f t="array" ref="E3539">IFERROR(INDEX(EmployeeData[Gender], ROW() - 37), "")</f>
        <v/>
      </c>
      <c r="F3539" s="4" t="str" cm="1">
        <f t="array" ref="F3539">IFERROR(INDEX(EmployeeData[Age], ROW() - 37), "")</f>
        <v/>
      </c>
      <c r="G3539" s="6" t="str" cm="1">
        <f t="array" ref="G3539">IFERROR(INDEX(EmployeeData[Join Date], ROW() - 37), "")</f>
        <v/>
      </c>
      <c r="H3539" s="6" t="str" cm="1">
        <f t="array" ref="H3539">IFERROR(IF(INDEX(EmployeeData[Exit Date], ROW() - 37)=0, "",INDEX(EmployeeData[Exit Date], ROW() - 37)),"")</f>
        <v/>
      </c>
      <c r="I3539" s="4" t="str" cm="1">
        <f t="array" ref="I3539">IFERROR(IF(INDEX(EmployeeData[Exit Reason], ROW() - 37)=0, "",INDEX(EmployeeData[Exit Reason], ROW() - 37)),"")</f>
        <v/>
      </c>
      <c r="J3539" s="4" t="str" cm="1">
        <f t="array" ref="J3539">IFERROR(INDEX(EmployeeData[Status], ROW() - 37), "")</f>
        <v/>
      </c>
    </row>
    <row r="3540" spans="2:10" ht="19.95" customHeight="1" x14ac:dyDescent="0.3">
      <c r="B3540" s="4" t="str" cm="1">
        <f t="array" ref="B3540">IFERROR(INDEX(EmployeeData[Employee ID], ROW() - 37), "")</f>
        <v/>
      </c>
      <c r="C3540" s="4" t="str" cm="1">
        <f t="array" ref="C3540">IFERROR(INDEX(EmployeeData[Full Name], ROW() - 37), "")</f>
        <v/>
      </c>
      <c r="D3540" s="4" t="str" cm="1">
        <f t="array" ref="D3540">IFERROR(INDEX(EmployeeData[Department], ROW() - 37), "")</f>
        <v/>
      </c>
      <c r="E3540" s="4" t="str" cm="1">
        <f t="array" ref="E3540">IFERROR(INDEX(EmployeeData[Gender], ROW() - 37), "")</f>
        <v/>
      </c>
      <c r="F3540" s="4" t="str" cm="1">
        <f t="array" ref="F3540">IFERROR(INDEX(EmployeeData[Age], ROW() - 37), "")</f>
        <v/>
      </c>
      <c r="G3540" s="6" t="str" cm="1">
        <f t="array" ref="G3540">IFERROR(INDEX(EmployeeData[Join Date], ROW() - 37), "")</f>
        <v/>
      </c>
      <c r="H3540" s="6" t="str" cm="1">
        <f t="array" ref="H3540">IFERROR(IF(INDEX(EmployeeData[Exit Date], ROW() - 37)=0, "",INDEX(EmployeeData[Exit Date], ROW() - 37)),"")</f>
        <v/>
      </c>
      <c r="I3540" s="4" t="str" cm="1">
        <f t="array" ref="I3540">IFERROR(IF(INDEX(EmployeeData[Exit Reason], ROW() - 37)=0, "",INDEX(EmployeeData[Exit Reason], ROW() - 37)),"")</f>
        <v/>
      </c>
      <c r="J3540" s="4" t="str" cm="1">
        <f t="array" ref="J3540">IFERROR(INDEX(EmployeeData[Status], ROW() - 37), "")</f>
        <v/>
      </c>
    </row>
    <row r="3541" spans="2:10" ht="19.95" customHeight="1" x14ac:dyDescent="0.3">
      <c r="B3541" s="4" t="str" cm="1">
        <f t="array" ref="B3541">IFERROR(INDEX(EmployeeData[Employee ID], ROW() - 37), "")</f>
        <v/>
      </c>
      <c r="C3541" s="4" t="str" cm="1">
        <f t="array" ref="C3541">IFERROR(INDEX(EmployeeData[Full Name], ROW() - 37), "")</f>
        <v/>
      </c>
      <c r="D3541" s="4" t="str" cm="1">
        <f t="array" ref="D3541">IFERROR(INDEX(EmployeeData[Department], ROW() - 37), "")</f>
        <v/>
      </c>
      <c r="E3541" s="4" t="str" cm="1">
        <f t="array" ref="E3541">IFERROR(INDEX(EmployeeData[Gender], ROW() - 37), "")</f>
        <v/>
      </c>
      <c r="F3541" s="4" t="str" cm="1">
        <f t="array" ref="F3541">IFERROR(INDEX(EmployeeData[Age], ROW() - 37), "")</f>
        <v/>
      </c>
      <c r="G3541" s="6" t="str" cm="1">
        <f t="array" ref="G3541">IFERROR(INDEX(EmployeeData[Join Date], ROW() - 37), "")</f>
        <v/>
      </c>
      <c r="H3541" s="6" t="str" cm="1">
        <f t="array" ref="H3541">IFERROR(IF(INDEX(EmployeeData[Exit Date], ROW() - 37)=0, "",INDEX(EmployeeData[Exit Date], ROW() - 37)),"")</f>
        <v/>
      </c>
      <c r="I3541" s="4" t="str" cm="1">
        <f t="array" ref="I3541">IFERROR(IF(INDEX(EmployeeData[Exit Reason], ROW() - 37)=0, "",INDEX(EmployeeData[Exit Reason], ROW() - 37)),"")</f>
        <v/>
      </c>
      <c r="J3541" s="4" t="str" cm="1">
        <f t="array" ref="J3541">IFERROR(INDEX(EmployeeData[Status], ROW() - 37), "")</f>
        <v/>
      </c>
    </row>
    <row r="3542" spans="2:10" ht="19.95" customHeight="1" x14ac:dyDescent="0.3">
      <c r="B3542" s="4" t="str" cm="1">
        <f t="array" ref="B3542">IFERROR(INDEX(EmployeeData[Employee ID], ROW() - 37), "")</f>
        <v/>
      </c>
      <c r="C3542" s="4" t="str" cm="1">
        <f t="array" ref="C3542">IFERROR(INDEX(EmployeeData[Full Name], ROW() - 37), "")</f>
        <v/>
      </c>
      <c r="D3542" s="4" t="str" cm="1">
        <f t="array" ref="D3542">IFERROR(INDEX(EmployeeData[Department], ROW() - 37), "")</f>
        <v/>
      </c>
      <c r="E3542" s="4" t="str" cm="1">
        <f t="array" ref="E3542">IFERROR(INDEX(EmployeeData[Gender], ROW() - 37), "")</f>
        <v/>
      </c>
      <c r="F3542" s="4" t="str" cm="1">
        <f t="array" ref="F3542">IFERROR(INDEX(EmployeeData[Age], ROW() - 37), "")</f>
        <v/>
      </c>
      <c r="G3542" s="6" t="str" cm="1">
        <f t="array" ref="G3542">IFERROR(INDEX(EmployeeData[Join Date], ROW() - 37), "")</f>
        <v/>
      </c>
      <c r="H3542" s="6" t="str" cm="1">
        <f t="array" ref="H3542">IFERROR(IF(INDEX(EmployeeData[Exit Date], ROW() - 37)=0, "",INDEX(EmployeeData[Exit Date], ROW() - 37)),"")</f>
        <v/>
      </c>
      <c r="I3542" s="4" t="str" cm="1">
        <f t="array" ref="I3542">IFERROR(IF(INDEX(EmployeeData[Exit Reason], ROW() - 37)=0, "",INDEX(EmployeeData[Exit Reason], ROW() - 37)),"")</f>
        <v/>
      </c>
      <c r="J3542" s="4" t="str" cm="1">
        <f t="array" ref="J3542">IFERROR(INDEX(EmployeeData[Status], ROW() - 37), "")</f>
        <v/>
      </c>
    </row>
    <row r="3543" spans="2:10" ht="19.95" customHeight="1" x14ac:dyDescent="0.3">
      <c r="B3543" s="4" t="str" cm="1">
        <f t="array" ref="B3543">IFERROR(INDEX(EmployeeData[Employee ID], ROW() - 37), "")</f>
        <v/>
      </c>
      <c r="C3543" s="4" t="str" cm="1">
        <f t="array" ref="C3543">IFERROR(INDEX(EmployeeData[Full Name], ROW() - 37), "")</f>
        <v/>
      </c>
      <c r="D3543" s="4" t="str" cm="1">
        <f t="array" ref="D3543">IFERROR(INDEX(EmployeeData[Department], ROW() - 37), "")</f>
        <v/>
      </c>
      <c r="E3543" s="4" t="str" cm="1">
        <f t="array" ref="E3543">IFERROR(INDEX(EmployeeData[Gender], ROW() - 37), "")</f>
        <v/>
      </c>
      <c r="F3543" s="4" t="str" cm="1">
        <f t="array" ref="F3543">IFERROR(INDEX(EmployeeData[Age], ROW() - 37), "")</f>
        <v/>
      </c>
      <c r="G3543" s="6" t="str" cm="1">
        <f t="array" ref="G3543">IFERROR(INDEX(EmployeeData[Join Date], ROW() - 37), "")</f>
        <v/>
      </c>
      <c r="H3543" s="6" t="str" cm="1">
        <f t="array" ref="H3543">IFERROR(IF(INDEX(EmployeeData[Exit Date], ROW() - 37)=0, "",INDEX(EmployeeData[Exit Date], ROW() - 37)),"")</f>
        <v/>
      </c>
      <c r="I3543" s="4" t="str" cm="1">
        <f t="array" ref="I3543">IFERROR(IF(INDEX(EmployeeData[Exit Reason], ROW() - 37)=0, "",INDEX(EmployeeData[Exit Reason], ROW() - 37)),"")</f>
        <v/>
      </c>
      <c r="J3543" s="4" t="str" cm="1">
        <f t="array" ref="J3543">IFERROR(INDEX(EmployeeData[Status], ROW() - 37), "")</f>
        <v/>
      </c>
    </row>
    <row r="3544" spans="2:10" ht="19.95" customHeight="1" x14ac:dyDescent="0.3">
      <c r="B3544" s="4" t="str" cm="1">
        <f t="array" ref="B3544">IFERROR(INDEX(EmployeeData[Employee ID], ROW() - 37), "")</f>
        <v/>
      </c>
      <c r="C3544" s="4" t="str" cm="1">
        <f t="array" ref="C3544">IFERROR(INDEX(EmployeeData[Full Name], ROW() - 37), "")</f>
        <v/>
      </c>
      <c r="D3544" s="4" t="str" cm="1">
        <f t="array" ref="D3544">IFERROR(INDEX(EmployeeData[Department], ROW() - 37), "")</f>
        <v/>
      </c>
      <c r="E3544" s="4" t="str" cm="1">
        <f t="array" ref="E3544">IFERROR(INDEX(EmployeeData[Gender], ROW() - 37), "")</f>
        <v/>
      </c>
      <c r="F3544" s="4" t="str" cm="1">
        <f t="array" ref="F3544">IFERROR(INDEX(EmployeeData[Age], ROW() - 37), "")</f>
        <v/>
      </c>
      <c r="G3544" s="6" t="str" cm="1">
        <f t="array" ref="G3544">IFERROR(INDEX(EmployeeData[Join Date], ROW() - 37), "")</f>
        <v/>
      </c>
      <c r="H3544" s="6" t="str" cm="1">
        <f t="array" ref="H3544">IFERROR(IF(INDEX(EmployeeData[Exit Date], ROW() - 37)=0, "",INDEX(EmployeeData[Exit Date], ROW() - 37)),"")</f>
        <v/>
      </c>
      <c r="I3544" s="4" t="str" cm="1">
        <f t="array" ref="I3544">IFERROR(IF(INDEX(EmployeeData[Exit Reason], ROW() - 37)=0, "",INDEX(EmployeeData[Exit Reason], ROW() - 37)),"")</f>
        <v/>
      </c>
      <c r="J3544" s="4" t="str" cm="1">
        <f t="array" ref="J3544">IFERROR(INDEX(EmployeeData[Status], ROW() - 37), "")</f>
        <v/>
      </c>
    </row>
    <row r="3545" spans="2:10" ht="19.95" customHeight="1" x14ac:dyDescent="0.3">
      <c r="B3545" s="4" t="str" cm="1">
        <f t="array" ref="B3545">IFERROR(INDEX(EmployeeData[Employee ID], ROW() - 37), "")</f>
        <v/>
      </c>
      <c r="C3545" s="4" t="str" cm="1">
        <f t="array" ref="C3545">IFERROR(INDEX(EmployeeData[Full Name], ROW() - 37), "")</f>
        <v/>
      </c>
      <c r="D3545" s="4" t="str" cm="1">
        <f t="array" ref="D3545">IFERROR(INDEX(EmployeeData[Department], ROW() - 37), "")</f>
        <v/>
      </c>
      <c r="E3545" s="4" t="str" cm="1">
        <f t="array" ref="E3545">IFERROR(INDEX(EmployeeData[Gender], ROW() - 37), "")</f>
        <v/>
      </c>
      <c r="F3545" s="4" t="str" cm="1">
        <f t="array" ref="F3545">IFERROR(INDEX(EmployeeData[Age], ROW() - 37), "")</f>
        <v/>
      </c>
      <c r="G3545" s="6" t="str" cm="1">
        <f t="array" ref="G3545">IFERROR(INDEX(EmployeeData[Join Date], ROW() - 37), "")</f>
        <v/>
      </c>
      <c r="H3545" s="6" t="str" cm="1">
        <f t="array" ref="H3545">IFERROR(IF(INDEX(EmployeeData[Exit Date], ROW() - 37)=0, "",INDEX(EmployeeData[Exit Date], ROW() - 37)),"")</f>
        <v/>
      </c>
      <c r="I3545" s="4" t="str" cm="1">
        <f t="array" ref="I3545">IFERROR(IF(INDEX(EmployeeData[Exit Reason], ROW() - 37)=0, "",INDEX(EmployeeData[Exit Reason], ROW() - 37)),"")</f>
        <v/>
      </c>
      <c r="J3545" s="4" t="str" cm="1">
        <f t="array" ref="J3545">IFERROR(INDEX(EmployeeData[Status], ROW() - 37), "")</f>
        <v/>
      </c>
    </row>
    <row r="3546" spans="2:10" ht="19.95" customHeight="1" x14ac:dyDescent="0.3">
      <c r="B3546" s="4" t="str" cm="1">
        <f t="array" ref="B3546">IFERROR(INDEX(EmployeeData[Employee ID], ROW() - 37), "")</f>
        <v/>
      </c>
      <c r="C3546" s="4" t="str" cm="1">
        <f t="array" ref="C3546">IFERROR(INDEX(EmployeeData[Full Name], ROW() - 37), "")</f>
        <v/>
      </c>
      <c r="D3546" s="4" t="str" cm="1">
        <f t="array" ref="D3546">IFERROR(INDEX(EmployeeData[Department], ROW() - 37), "")</f>
        <v/>
      </c>
      <c r="E3546" s="4" t="str" cm="1">
        <f t="array" ref="E3546">IFERROR(INDEX(EmployeeData[Gender], ROW() - 37), "")</f>
        <v/>
      </c>
      <c r="F3546" s="4" t="str" cm="1">
        <f t="array" ref="F3546">IFERROR(INDEX(EmployeeData[Age], ROW() - 37), "")</f>
        <v/>
      </c>
      <c r="G3546" s="6" t="str" cm="1">
        <f t="array" ref="G3546">IFERROR(INDEX(EmployeeData[Join Date], ROW() - 37), "")</f>
        <v/>
      </c>
      <c r="H3546" s="6" t="str" cm="1">
        <f t="array" ref="H3546">IFERROR(IF(INDEX(EmployeeData[Exit Date], ROW() - 37)=0, "",INDEX(EmployeeData[Exit Date], ROW() - 37)),"")</f>
        <v/>
      </c>
      <c r="I3546" s="4" t="str" cm="1">
        <f t="array" ref="I3546">IFERROR(IF(INDEX(EmployeeData[Exit Reason], ROW() - 37)=0, "",INDEX(EmployeeData[Exit Reason], ROW() - 37)),"")</f>
        <v/>
      </c>
      <c r="J3546" s="4" t="str" cm="1">
        <f t="array" ref="J3546">IFERROR(INDEX(EmployeeData[Status], ROW() - 37), "")</f>
        <v/>
      </c>
    </row>
    <row r="3547" spans="2:10" ht="19.95" customHeight="1" x14ac:dyDescent="0.3">
      <c r="B3547" s="4" t="str" cm="1">
        <f t="array" ref="B3547">IFERROR(INDEX(EmployeeData[Employee ID], ROW() - 37), "")</f>
        <v/>
      </c>
      <c r="C3547" s="4" t="str" cm="1">
        <f t="array" ref="C3547">IFERROR(INDEX(EmployeeData[Full Name], ROW() - 37), "")</f>
        <v/>
      </c>
      <c r="D3547" s="4" t="str" cm="1">
        <f t="array" ref="D3547">IFERROR(INDEX(EmployeeData[Department], ROW() - 37), "")</f>
        <v/>
      </c>
      <c r="E3547" s="4" t="str" cm="1">
        <f t="array" ref="E3547">IFERROR(INDEX(EmployeeData[Gender], ROW() - 37), "")</f>
        <v/>
      </c>
      <c r="F3547" s="4" t="str" cm="1">
        <f t="array" ref="F3547">IFERROR(INDEX(EmployeeData[Age], ROW() - 37), "")</f>
        <v/>
      </c>
      <c r="G3547" s="6" t="str" cm="1">
        <f t="array" ref="G3547">IFERROR(INDEX(EmployeeData[Join Date], ROW() - 37), "")</f>
        <v/>
      </c>
      <c r="H3547" s="6" t="str" cm="1">
        <f t="array" ref="H3547">IFERROR(IF(INDEX(EmployeeData[Exit Date], ROW() - 37)=0, "",INDEX(EmployeeData[Exit Date], ROW() - 37)),"")</f>
        <v/>
      </c>
      <c r="I3547" s="4" t="str" cm="1">
        <f t="array" ref="I3547">IFERROR(IF(INDEX(EmployeeData[Exit Reason], ROW() - 37)=0, "",INDEX(EmployeeData[Exit Reason], ROW() - 37)),"")</f>
        <v/>
      </c>
      <c r="J3547" s="4" t="str" cm="1">
        <f t="array" ref="J3547">IFERROR(INDEX(EmployeeData[Status], ROW() - 37), "")</f>
        <v/>
      </c>
    </row>
    <row r="3548" spans="2:10" ht="19.95" customHeight="1" x14ac:dyDescent="0.3">
      <c r="B3548" s="4" t="str" cm="1">
        <f t="array" ref="B3548">IFERROR(INDEX(EmployeeData[Employee ID], ROW() - 37), "")</f>
        <v/>
      </c>
      <c r="C3548" s="4" t="str" cm="1">
        <f t="array" ref="C3548">IFERROR(INDEX(EmployeeData[Full Name], ROW() - 37), "")</f>
        <v/>
      </c>
      <c r="D3548" s="4" t="str" cm="1">
        <f t="array" ref="D3548">IFERROR(INDEX(EmployeeData[Department], ROW() - 37), "")</f>
        <v/>
      </c>
      <c r="E3548" s="4" t="str" cm="1">
        <f t="array" ref="E3548">IFERROR(INDEX(EmployeeData[Gender], ROW() - 37), "")</f>
        <v/>
      </c>
      <c r="F3548" s="4" t="str" cm="1">
        <f t="array" ref="F3548">IFERROR(INDEX(EmployeeData[Age], ROW() - 37), "")</f>
        <v/>
      </c>
      <c r="G3548" s="6" t="str" cm="1">
        <f t="array" ref="G3548">IFERROR(INDEX(EmployeeData[Join Date], ROW() - 37), "")</f>
        <v/>
      </c>
      <c r="H3548" s="6" t="str" cm="1">
        <f t="array" ref="H3548">IFERROR(IF(INDEX(EmployeeData[Exit Date], ROW() - 37)=0, "",INDEX(EmployeeData[Exit Date], ROW() - 37)),"")</f>
        <v/>
      </c>
      <c r="I3548" s="4" t="str" cm="1">
        <f t="array" ref="I3548">IFERROR(IF(INDEX(EmployeeData[Exit Reason], ROW() - 37)=0, "",INDEX(EmployeeData[Exit Reason], ROW() - 37)),"")</f>
        <v/>
      </c>
      <c r="J3548" s="4" t="str" cm="1">
        <f t="array" ref="J3548">IFERROR(INDEX(EmployeeData[Status], ROW() - 37), "")</f>
        <v/>
      </c>
    </row>
    <row r="3549" spans="2:10" ht="19.95" customHeight="1" x14ac:dyDescent="0.3">
      <c r="B3549" s="4" t="str" cm="1">
        <f t="array" ref="B3549">IFERROR(INDEX(EmployeeData[Employee ID], ROW() - 37), "")</f>
        <v/>
      </c>
      <c r="C3549" s="4" t="str" cm="1">
        <f t="array" ref="C3549">IFERROR(INDEX(EmployeeData[Full Name], ROW() - 37), "")</f>
        <v/>
      </c>
      <c r="D3549" s="4" t="str" cm="1">
        <f t="array" ref="D3549">IFERROR(INDEX(EmployeeData[Department], ROW() - 37), "")</f>
        <v/>
      </c>
      <c r="E3549" s="4" t="str" cm="1">
        <f t="array" ref="E3549">IFERROR(INDEX(EmployeeData[Gender], ROW() - 37), "")</f>
        <v/>
      </c>
      <c r="F3549" s="4" t="str" cm="1">
        <f t="array" ref="F3549">IFERROR(INDEX(EmployeeData[Age], ROW() - 37), "")</f>
        <v/>
      </c>
      <c r="G3549" s="6" t="str" cm="1">
        <f t="array" ref="G3549">IFERROR(INDEX(EmployeeData[Join Date], ROW() - 37), "")</f>
        <v/>
      </c>
      <c r="H3549" s="6" t="str" cm="1">
        <f t="array" ref="H3549">IFERROR(IF(INDEX(EmployeeData[Exit Date], ROW() - 37)=0, "",INDEX(EmployeeData[Exit Date], ROW() - 37)),"")</f>
        <v/>
      </c>
      <c r="I3549" s="4" t="str" cm="1">
        <f t="array" ref="I3549">IFERROR(IF(INDEX(EmployeeData[Exit Reason], ROW() - 37)=0, "",INDEX(EmployeeData[Exit Reason], ROW() - 37)),"")</f>
        <v/>
      </c>
      <c r="J3549" s="4" t="str" cm="1">
        <f t="array" ref="J3549">IFERROR(INDEX(EmployeeData[Status], ROW() - 37), "")</f>
        <v/>
      </c>
    </row>
    <row r="3550" spans="2:10" ht="19.95" customHeight="1" x14ac:dyDescent="0.3">
      <c r="B3550" s="4" t="str" cm="1">
        <f t="array" ref="B3550">IFERROR(INDEX(EmployeeData[Employee ID], ROW() - 37), "")</f>
        <v/>
      </c>
      <c r="C3550" s="4" t="str" cm="1">
        <f t="array" ref="C3550">IFERROR(INDEX(EmployeeData[Full Name], ROW() - 37), "")</f>
        <v/>
      </c>
      <c r="D3550" s="4" t="str" cm="1">
        <f t="array" ref="D3550">IFERROR(INDEX(EmployeeData[Department], ROW() - 37), "")</f>
        <v/>
      </c>
      <c r="E3550" s="4" t="str" cm="1">
        <f t="array" ref="E3550">IFERROR(INDEX(EmployeeData[Gender], ROW() - 37), "")</f>
        <v/>
      </c>
      <c r="F3550" s="4" t="str" cm="1">
        <f t="array" ref="F3550">IFERROR(INDEX(EmployeeData[Age], ROW() - 37), "")</f>
        <v/>
      </c>
      <c r="G3550" s="6" t="str" cm="1">
        <f t="array" ref="G3550">IFERROR(INDEX(EmployeeData[Join Date], ROW() - 37), "")</f>
        <v/>
      </c>
      <c r="H3550" s="6" t="str" cm="1">
        <f t="array" ref="H3550">IFERROR(IF(INDEX(EmployeeData[Exit Date], ROW() - 37)=0, "",INDEX(EmployeeData[Exit Date], ROW() - 37)),"")</f>
        <v/>
      </c>
      <c r="I3550" s="4" t="str" cm="1">
        <f t="array" ref="I3550">IFERROR(IF(INDEX(EmployeeData[Exit Reason], ROW() - 37)=0, "",INDEX(EmployeeData[Exit Reason], ROW() - 37)),"")</f>
        <v/>
      </c>
      <c r="J3550" s="4" t="str" cm="1">
        <f t="array" ref="J3550">IFERROR(INDEX(EmployeeData[Status], ROW() - 37), "")</f>
        <v/>
      </c>
    </row>
    <row r="3551" spans="2:10" ht="19.95" customHeight="1" x14ac:dyDescent="0.3">
      <c r="B3551" s="4" t="str" cm="1">
        <f t="array" ref="B3551">IFERROR(INDEX(EmployeeData[Employee ID], ROW() - 37), "")</f>
        <v/>
      </c>
      <c r="C3551" s="4" t="str" cm="1">
        <f t="array" ref="C3551">IFERROR(INDEX(EmployeeData[Full Name], ROW() - 37), "")</f>
        <v/>
      </c>
      <c r="D3551" s="4" t="str" cm="1">
        <f t="array" ref="D3551">IFERROR(INDEX(EmployeeData[Department], ROW() - 37), "")</f>
        <v/>
      </c>
      <c r="E3551" s="4" t="str" cm="1">
        <f t="array" ref="E3551">IFERROR(INDEX(EmployeeData[Gender], ROW() - 37), "")</f>
        <v/>
      </c>
      <c r="F3551" s="4" t="str" cm="1">
        <f t="array" ref="F3551">IFERROR(INDEX(EmployeeData[Age], ROW() - 37), "")</f>
        <v/>
      </c>
      <c r="G3551" s="6" t="str" cm="1">
        <f t="array" ref="G3551">IFERROR(INDEX(EmployeeData[Join Date], ROW() - 37), "")</f>
        <v/>
      </c>
      <c r="H3551" s="6" t="str" cm="1">
        <f t="array" ref="H3551">IFERROR(IF(INDEX(EmployeeData[Exit Date], ROW() - 37)=0, "",INDEX(EmployeeData[Exit Date], ROW() - 37)),"")</f>
        <v/>
      </c>
      <c r="I3551" s="4" t="str" cm="1">
        <f t="array" ref="I3551">IFERROR(IF(INDEX(EmployeeData[Exit Reason], ROW() - 37)=0, "",INDEX(EmployeeData[Exit Reason], ROW() - 37)),"")</f>
        <v/>
      </c>
      <c r="J3551" s="4" t="str" cm="1">
        <f t="array" ref="J3551">IFERROR(INDEX(EmployeeData[Status], ROW() - 37), "")</f>
        <v/>
      </c>
    </row>
    <row r="3552" spans="2:10" ht="19.95" customHeight="1" x14ac:dyDescent="0.3">
      <c r="B3552" s="4" t="str" cm="1">
        <f t="array" ref="B3552">IFERROR(INDEX(EmployeeData[Employee ID], ROW() - 37), "")</f>
        <v/>
      </c>
      <c r="C3552" s="4" t="str" cm="1">
        <f t="array" ref="C3552">IFERROR(INDEX(EmployeeData[Full Name], ROW() - 37), "")</f>
        <v/>
      </c>
      <c r="D3552" s="4" t="str" cm="1">
        <f t="array" ref="D3552">IFERROR(INDEX(EmployeeData[Department], ROW() - 37), "")</f>
        <v/>
      </c>
      <c r="E3552" s="4" t="str" cm="1">
        <f t="array" ref="E3552">IFERROR(INDEX(EmployeeData[Gender], ROW() - 37), "")</f>
        <v/>
      </c>
      <c r="F3552" s="4" t="str" cm="1">
        <f t="array" ref="F3552">IFERROR(INDEX(EmployeeData[Age], ROW() - 37), "")</f>
        <v/>
      </c>
      <c r="G3552" s="6" t="str" cm="1">
        <f t="array" ref="G3552">IFERROR(INDEX(EmployeeData[Join Date], ROW() - 37), "")</f>
        <v/>
      </c>
      <c r="H3552" s="6" t="str" cm="1">
        <f t="array" ref="H3552">IFERROR(IF(INDEX(EmployeeData[Exit Date], ROW() - 37)=0, "",INDEX(EmployeeData[Exit Date], ROW() - 37)),"")</f>
        <v/>
      </c>
      <c r="I3552" s="4" t="str" cm="1">
        <f t="array" ref="I3552">IFERROR(IF(INDEX(EmployeeData[Exit Reason], ROW() - 37)=0, "",INDEX(EmployeeData[Exit Reason], ROW() - 37)),"")</f>
        <v/>
      </c>
      <c r="J3552" s="4" t="str" cm="1">
        <f t="array" ref="J3552">IFERROR(INDEX(EmployeeData[Status], ROW() - 37), "")</f>
        <v/>
      </c>
    </row>
    <row r="3553" spans="2:10" ht="19.95" customHeight="1" x14ac:dyDescent="0.3">
      <c r="B3553" s="4" t="str" cm="1">
        <f t="array" ref="B3553">IFERROR(INDEX(EmployeeData[Employee ID], ROW() - 37), "")</f>
        <v/>
      </c>
      <c r="C3553" s="4" t="str" cm="1">
        <f t="array" ref="C3553">IFERROR(INDEX(EmployeeData[Full Name], ROW() - 37), "")</f>
        <v/>
      </c>
      <c r="D3553" s="4" t="str" cm="1">
        <f t="array" ref="D3553">IFERROR(INDEX(EmployeeData[Department], ROW() - 37), "")</f>
        <v/>
      </c>
      <c r="E3553" s="4" t="str" cm="1">
        <f t="array" ref="E3553">IFERROR(INDEX(EmployeeData[Gender], ROW() - 37), "")</f>
        <v/>
      </c>
      <c r="F3553" s="4" t="str" cm="1">
        <f t="array" ref="F3553">IFERROR(INDEX(EmployeeData[Age], ROW() - 37), "")</f>
        <v/>
      </c>
      <c r="G3553" s="6" t="str" cm="1">
        <f t="array" ref="G3553">IFERROR(INDEX(EmployeeData[Join Date], ROW() - 37), "")</f>
        <v/>
      </c>
      <c r="H3553" s="6" t="str" cm="1">
        <f t="array" ref="H3553">IFERROR(IF(INDEX(EmployeeData[Exit Date], ROW() - 37)=0, "",INDEX(EmployeeData[Exit Date], ROW() - 37)),"")</f>
        <v/>
      </c>
      <c r="I3553" s="4" t="str" cm="1">
        <f t="array" ref="I3553">IFERROR(IF(INDEX(EmployeeData[Exit Reason], ROW() - 37)=0, "",INDEX(EmployeeData[Exit Reason], ROW() - 37)),"")</f>
        <v/>
      </c>
      <c r="J3553" s="4" t="str" cm="1">
        <f t="array" ref="J3553">IFERROR(INDEX(EmployeeData[Status], ROW() - 37), "")</f>
        <v/>
      </c>
    </row>
    <row r="3554" spans="2:10" ht="19.95" customHeight="1" x14ac:dyDescent="0.3">
      <c r="B3554" s="4" t="str" cm="1">
        <f t="array" ref="B3554">IFERROR(INDEX(EmployeeData[Employee ID], ROW() - 37), "")</f>
        <v/>
      </c>
      <c r="C3554" s="4" t="str" cm="1">
        <f t="array" ref="C3554">IFERROR(INDEX(EmployeeData[Full Name], ROW() - 37), "")</f>
        <v/>
      </c>
      <c r="D3554" s="4" t="str" cm="1">
        <f t="array" ref="D3554">IFERROR(INDEX(EmployeeData[Department], ROW() - 37), "")</f>
        <v/>
      </c>
      <c r="E3554" s="4" t="str" cm="1">
        <f t="array" ref="E3554">IFERROR(INDEX(EmployeeData[Gender], ROW() - 37), "")</f>
        <v/>
      </c>
      <c r="F3554" s="4" t="str" cm="1">
        <f t="array" ref="F3554">IFERROR(INDEX(EmployeeData[Age], ROW() - 37), "")</f>
        <v/>
      </c>
      <c r="G3554" s="6" t="str" cm="1">
        <f t="array" ref="G3554">IFERROR(INDEX(EmployeeData[Join Date], ROW() - 37), "")</f>
        <v/>
      </c>
      <c r="H3554" s="6" t="str" cm="1">
        <f t="array" ref="H3554">IFERROR(IF(INDEX(EmployeeData[Exit Date], ROW() - 37)=0, "",INDEX(EmployeeData[Exit Date], ROW() - 37)),"")</f>
        <v/>
      </c>
      <c r="I3554" s="4" t="str" cm="1">
        <f t="array" ref="I3554">IFERROR(IF(INDEX(EmployeeData[Exit Reason], ROW() - 37)=0, "",INDEX(EmployeeData[Exit Reason], ROW() - 37)),"")</f>
        <v/>
      </c>
      <c r="J3554" s="4" t="str" cm="1">
        <f t="array" ref="J3554">IFERROR(INDEX(EmployeeData[Status], ROW() - 37), "")</f>
        <v/>
      </c>
    </row>
    <row r="3555" spans="2:10" ht="19.95" customHeight="1" x14ac:dyDescent="0.3">
      <c r="B3555" s="4" t="str" cm="1">
        <f t="array" ref="B3555">IFERROR(INDEX(EmployeeData[Employee ID], ROW() - 37), "")</f>
        <v/>
      </c>
      <c r="C3555" s="4" t="str" cm="1">
        <f t="array" ref="C3555">IFERROR(INDEX(EmployeeData[Full Name], ROW() - 37), "")</f>
        <v/>
      </c>
      <c r="D3555" s="4" t="str" cm="1">
        <f t="array" ref="D3555">IFERROR(INDEX(EmployeeData[Department], ROW() - 37), "")</f>
        <v/>
      </c>
      <c r="E3555" s="4" t="str" cm="1">
        <f t="array" ref="E3555">IFERROR(INDEX(EmployeeData[Gender], ROW() - 37), "")</f>
        <v/>
      </c>
      <c r="F3555" s="4" t="str" cm="1">
        <f t="array" ref="F3555">IFERROR(INDEX(EmployeeData[Age], ROW() - 37), "")</f>
        <v/>
      </c>
      <c r="G3555" s="6" t="str" cm="1">
        <f t="array" ref="G3555">IFERROR(INDEX(EmployeeData[Join Date], ROW() - 37), "")</f>
        <v/>
      </c>
      <c r="H3555" s="6" t="str" cm="1">
        <f t="array" ref="H3555">IFERROR(IF(INDEX(EmployeeData[Exit Date], ROW() - 37)=0, "",INDEX(EmployeeData[Exit Date], ROW() - 37)),"")</f>
        <v/>
      </c>
      <c r="I3555" s="4" t="str" cm="1">
        <f t="array" ref="I3555">IFERROR(IF(INDEX(EmployeeData[Exit Reason], ROW() - 37)=0, "",INDEX(EmployeeData[Exit Reason], ROW() - 37)),"")</f>
        <v/>
      </c>
      <c r="J3555" s="4" t="str" cm="1">
        <f t="array" ref="J3555">IFERROR(INDEX(EmployeeData[Status], ROW() - 37), "")</f>
        <v/>
      </c>
    </row>
    <row r="3556" spans="2:10" ht="19.95" customHeight="1" x14ac:dyDescent="0.3">
      <c r="B3556" s="4" t="str" cm="1">
        <f t="array" ref="B3556">IFERROR(INDEX(EmployeeData[Employee ID], ROW() - 37), "")</f>
        <v/>
      </c>
      <c r="C3556" s="4" t="str" cm="1">
        <f t="array" ref="C3556">IFERROR(INDEX(EmployeeData[Full Name], ROW() - 37), "")</f>
        <v/>
      </c>
      <c r="D3556" s="4" t="str" cm="1">
        <f t="array" ref="D3556">IFERROR(INDEX(EmployeeData[Department], ROW() - 37), "")</f>
        <v/>
      </c>
      <c r="E3556" s="4" t="str" cm="1">
        <f t="array" ref="E3556">IFERROR(INDEX(EmployeeData[Gender], ROW() - 37), "")</f>
        <v/>
      </c>
      <c r="F3556" s="4" t="str" cm="1">
        <f t="array" ref="F3556">IFERROR(INDEX(EmployeeData[Age], ROW() - 37), "")</f>
        <v/>
      </c>
      <c r="G3556" s="6" t="str" cm="1">
        <f t="array" ref="G3556">IFERROR(INDEX(EmployeeData[Join Date], ROW() - 37), "")</f>
        <v/>
      </c>
      <c r="H3556" s="6" t="str" cm="1">
        <f t="array" ref="H3556">IFERROR(IF(INDEX(EmployeeData[Exit Date], ROW() - 37)=0, "",INDEX(EmployeeData[Exit Date], ROW() - 37)),"")</f>
        <v/>
      </c>
      <c r="I3556" s="4" t="str" cm="1">
        <f t="array" ref="I3556">IFERROR(IF(INDEX(EmployeeData[Exit Reason], ROW() - 37)=0, "",INDEX(EmployeeData[Exit Reason], ROW() - 37)),"")</f>
        <v/>
      </c>
      <c r="J3556" s="4" t="str" cm="1">
        <f t="array" ref="J3556">IFERROR(INDEX(EmployeeData[Status], ROW() - 37), "")</f>
        <v/>
      </c>
    </row>
    <row r="3557" spans="2:10" ht="19.95" customHeight="1" x14ac:dyDescent="0.3">
      <c r="B3557" s="4" t="str" cm="1">
        <f t="array" ref="B3557">IFERROR(INDEX(EmployeeData[Employee ID], ROW() - 37), "")</f>
        <v/>
      </c>
      <c r="C3557" s="4" t="str" cm="1">
        <f t="array" ref="C3557">IFERROR(INDEX(EmployeeData[Full Name], ROW() - 37), "")</f>
        <v/>
      </c>
      <c r="D3557" s="4" t="str" cm="1">
        <f t="array" ref="D3557">IFERROR(INDEX(EmployeeData[Department], ROW() - 37), "")</f>
        <v/>
      </c>
      <c r="E3557" s="4" t="str" cm="1">
        <f t="array" ref="E3557">IFERROR(INDEX(EmployeeData[Gender], ROW() - 37), "")</f>
        <v/>
      </c>
      <c r="F3557" s="4" t="str" cm="1">
        <f t="array" ref="F3557">IFERROR(INDEX(EmployeeData[Age], ROW() - 37), "")</f>
        <v/>
      </c>
      <c r="G3557" s="6" t="str" cm="1">
        <f t="array" ref="G3557">IFERROR(INDEX(EmployeeData[Join Date], ROW() - 37), "")</f>
        <v/>
      </c>
      <c r="H3557" s="6" t="str" cm="1">
        <f t="array" ref="H3557">IFERROR(IF(INDEX(EmployeeData[Exit Date], ROW() - 37)=0, "",INDEX(EmployeeData[Exit Date], ROW() - 37)),"")</f>
        <v/>
      </c>
      <c r="I3557" s="4" t="str" cm="1">
        <f t="array" ref="I3557">IFERROR(IF(INDEX(EmployeeData[Exit Reason], ROW() - 37)=0, "",INDEX(EmployeeData[Exit Reason], ROW() - 37)),"")</f>
        <v/>
      </c>
      <c r="J3557" s="4" t="str" cm="1">
        <f t="array" ref="J3557">IFERROR(INDEX(EmployeeData[Status], ROW() - 37), "")</f>
        <v/>
      </c>
    </row>
    <row r="3558" spans="2:10" ht="19.95" customHeight="1" x14ac:dyDescent="0.3">
      <c r="B3558" s="4" t="str" cm="1">
        <f t="array" ref="B3558">IFERROR(INDEX(EmployeeData[Employee ID], ROW() - 37), "")</f>
        <v/>
      </c>
      <c r="C3558" s="4" t="str" cm="1">
        <f t="array" ref="C3558">IFERROR(INDEX(EmployeeData[Full Name], ROW() - 37), "")</f>
        <v/>
      </c>
      <c r="D3558" s="4" t="str" cm="1">
        <f t="array" ref="D3558">IFERROR(INDEX(EmployeeData[Department], ROW() - 37), "")</f>
        <v/>
      </c>
      <c r="E3558" s="4" t="str" cm="1">
        <f t="array" ref="E3558">IFERROR(INDEX(EmployeeData[Gender], ROW() - 37), "")</f>
        <v/>
      </c>
      <c r="F3558" s="4" t="str" cm="1">
        <f t="array" ref="F3558">IFERROR(INDEX(EmployeeData[Age], ROW() - 37), "")</f>
        <v/>
      </c>
      <c r="G3558" s="6" t="str" cm="1">
        <f t="array" ref="G3558">IFERROR(INDEX(EmployeeData[Join Date], ROW() - 37), "")</f>
        <v/>
      </c>
      <c r="H3558" s="6" t="str" cm="1">
        <f t="array" ref="H3558">IFERROR(IF(INDEX(EmployeeData[Exit Date], ROW() - 37)=0, "",INDEX(EmployeeData[Exit Date], ROW() - 37)),"")</f>
        <v/>
      </c>
      <c r="I3558" s="4" t="str" cm="1">
        <f t="array" ref="I3558">IFERROR(IF(INDEX(EmployeeData[Exit Reason], ROW() - 37)=0, "",INDEX(EmployeeData[Exit Reason], ROW() - 37)),"")</f>
        <v/>
      </c>
      <c r="J3558" s="4" t="str" cm="1">
        <f t="array" ref="J3558">IFERROR(INDEX(EmployeeData[Status], ROW() - 37), "")</f>
        <v/>
      </c>
    </row>
    <row r="3559" spans="2:10" ht="19.95" customHeight="1" x14ac:dyDescent="0.3">
      <c r="B3559" s="4" t="str" cm="1">
        <f t="array" ref="B3559">IFERROR(INDEX(EmployeeData[Employee ID], ROW() - 37), "")</f>
        <v/>
      </c>
      <c r="C3559" s="4" t="str" cm="1">
        <f t="array" ref="C3559">IFERROR(INDEX(EmployeeData[Full Name], ROW() - 37), "")</f>
        <v/>
      </c>
      <c r="D3559" s="4" t="str" cm="1">
        <f t="array" ref="D3559">IFERROR(INDEX(EmployeeData[Department], ROW() - 37), "")</f>
        <v/>
      </c>
      <c r="E3559" s="4" t="str" cm="1">
        <f t="array" ref="E3559">IFERROR(INDEX(EmployeeData[Gender], ROW() - 37), "")</f>
        <v/>
      </c>
      <c r="F3559" s="4" t="str" cm="1">
        <f t="array" ref="F3559">IFERROR(INDEX(EmployeeData[Age], ROW() - 37), "")</f>
        <v/>
      </c>
      <c r="G3559" s="6" t="str" cm="1">
        <f t="array" ref="G3559">IFERROR(INDEX(EmployeeData[Join Date], ROW() - 37), "")</f>
        <v/>
      </c>
      <c r="H3559" s="6" t="str" cm="1">
        <f t="array" ref="H3559">IFERROR(IF(INDEX(EmployeeData[Exit Date], ROW() - 37)=0, "",INDEX(EmployeeData[Exit Date], ROW() - 37)),"")</f>
        <v/>
      </c>
      <c r="I3559" s="4" t="str" cm="1">
        <f t="array" ref="I3559">IFERROR(IF(INDEX(EmployeeData[Exit Reason], ROW() - 37)=0, "",INDEX(EmployeeData[Exit Reason], ROW() - 37)),"")</f>
        <v/>
      </c>
      <c r="J3559" s="4" t="str" cm="1">
        <f t="array" ref="J3559">IFERROR(INDEX(EmployeeData[Status], ROW() - 37), "")</f>
        <v/>
      </c>
    </row>
    <row r="3560" spans="2:10" ht="19.95" customHeight="1" x14ac:dyDescent="0.3">
      <c r="B3560" s="4" t="str" cm="1">
        <f t="array" ref="B3560">IFERROR(INDEX(EmployeeData[Employee ID], ROW() - 37), "")</f>
        <v/>
      </c>
      <c r="C3560" s="4" t="str" cm="1">
        <f t="array" ref="C3560">IFERROR(INDEX(EmployeeData[Full Name], ROW() - 37), "")</f>
        <v/>
      </c>
      <c r="D3560" s="4" t="str" cm="1">
        <f t="array" ref="D3560">IFERROR(INDEX(EmployeeData[Department], ROW() - 37), "")</f>
        <v/>
      </c>
      <c r="E3560" s="4" t="str" cm="1">
        <f t="array" ref="E3560">IFERROR(INDEX(EmployeeData[Gender], ROW() - 37), "")</f>
        <v/>
      </c>
      <c r="F3560" s="4" t="str" cm="1">
        <f t="array" ref="F3560">IFERROR(INDEX(EmployeeData[Age], ROW() - 37), "")</f>
        <v/>
      </c>
      <c r="G3560" s="6" t="str" cm="1">
        <f t="array" ref="G3560">IFERROR(INDEX(EmployeeData[Join Date], ROW() - 37), "")</f>
        <v/>
      </c>
      <c r="H3560" s="6" t="str" cm="1">
        <f t="array" ref="H3560">IFERROR(IF(INDEX(EmployeeData[Exit Date], ROW() - 37)=0, "",INDEX(EmployeeData[Exit Date], ROW() - 37)),"")</f>
        <v/>
      </c>
      <c r="I3560" s="4" t="str" cm="1">
        <f t="array" ref="I3560">IFERROR(IF(INDEX(EmployeeData[Exit Reason], ROW() - 37)=0, "",INDEX(EmployeeData[Exit Reason], ROW() - 37)),"")</f>
        <v/>
      </c>
      <c r="J3560" s="4" t="str" cm="1">
        <f t="array" ref="J3560">IFERROR(INDEX(EmployeeData[Status], ROW() - 37), "")</f>
        <v/>
      </c>
    </row>
    <row r="3561" spans="2:10" ht="19.95" customHeight="1" x14ac:dyDescent="0.3">
      <c r="B3561" s="4" t="str" cm="1">
        <f t="array" ref="B3561">IFERROR(INDEX(EmployeeData[Employee ID], ROW() - 37), "")</f>
        <v/>
      </c>
      <c r="C3561" s="4" t="str" cm="1">
        <f t="array" ref="C3561">IFERROR(INDEX(EmployeeData[Full Name], ROW() - 37), "")</f>
        <v/>
      </c>
      <c r="D3561" s="4" t="str" cm="1">
        <f t="array" ref="D3561">IFERROR(INDEX(EmployeeData[Department], ROW() - 37), "")</f>
        <v/>
      </c>
      <c r="E3561" s="4" t="str" cm="1">
        <f t="array" ref="E3561">IFERROR(INDEX(EmployeeData[Gender], ROW() - 37), "")</f>
        <v/>
      </c>
      <c r="F3561" s="4" t="str" cm="1">
        <f t="array" ref="F3561">IFERROR(INDEX(EmployeeData[Age], ROW() - 37), "")</f>
        <v/>
      </c>
      <c r="G3561" s="6" t="str" cm="1">
        <f t="array" ref="G3561">IFERROR(INDEX(EmployeeData[Join Date], ROW() - 37), "")</f>
        <v/>
      </c>
      <c r="H3561" s="6" t="str" cm="1">
        <f t="array" ref="H3561">IFERROR(IF(INDEX(EmployeeData[Exit Date], ROW() - 37)=0, "",INDEX(EmployeeData[Exit Date], ROW() - 37)),"")</f>
        <v/>
      </c>
      <c r="I3561" s="4" t="str" cm="1">
        <f t="array" ref="I3561">IFERROR(IF(INDEX(EmployeeData[Exit Reason], ROW() - 37)=0, "",INDEX(EmployeeData[Exit Reason], ROW() - 37)),"")</f>
        <v/>
      </c>
      <c r="J3561" s="4" t="str" cm="1">
        <f t="array" ref="J3561">IFERROR(INDEX(EmployeeData[Status], ROW() - 37), "")</f>
        <v/>
      </c>
    </row>
    <row r="3562" spans="2:10" ht="19.95" customHeight="1" x14ac:dyDescent="0.3">
      <c r="B3562" s="4" t="str" cm="1">
        <f t="array" ref="B3562">IFERROR(INDEX(EmployeeData[Employee ID], ROW() - 37), "")</f>
        <v/>
      </c>
      <c r="C3562" s="4" t="str" cm="1">
        <f t="array" ref="C3562">IFERROR(INDEX(EmployeeData[Full Name], ROW() - 37), "")</f>
        <v/>
      </c>
      <c r="D3562" s="4" t="str" cm="1">
        <f t="array" ref="D3562">IFERROR(INDEX(EmployeeData[Department], ROW() - 37), "")</f>
        <v/>
      </c>
      <c r="E3562" s="4" t="str" cm="1">
        <f t="array" ref="E3562">IFERROR(INDEX(EmployeeData[Gender], ROW() - 37), "")</f>
        <v/>
      </c>
      <c r="F3562" s="4" t="str" cm="1">
        <f t="array" ref="F3562">IFERROR(INDEX(EmployeeData[Age], ROW() - 37), "")</f>
        <v/>
      </c>
      <c r="G3562" s="6" t="str" cm="1">
        <f t="array" ref="G3562">IFERROR(INDEX(EmployeeData[Join Date], ROW() - 37), "")</f>
        <v/>
      </c>
      <c r="H3562" s="6" t="str" cm="1">
        <f t="array" ref="H3562">IFERROR(IF(INDEX(EmployeeData[Exit Date], ROW() - 37)=0, "",INDEX(EmployeeData[Exit Date], ROW() - 37)),"")</f>
        <v/>
      </c>
      <c r="I3562" s="4" t="str" cm="1">
        <f t="array" ref="I3562">IFERROR(IF(INDEX(EmployeeData[Exit Reason], ROW() - 37)=0, "",INDEX(EmployeeData[Exit Reason], ROW() - 37)),"")</f>
        <v/>
      </c>
      <c r="J3562" s="4" t="str" cm="1">
        <f t="array" ref="J3562">IFERROR(INDEX(EmployeeData[Status], ROW() - 37), "")</f>
        <v/>
      </c>
    </row>
    <row r="3563" spans="2:10" ht="19.95" customHeight="1" x14ac:dyDescent="0.3">
      <c r="B3563" s="4" t="str" cm="1">
        <f t="array" ref="B3563">IFERROR(INDEX(EmployeeData[Employee ID], ROW() - 37), "")</f>
        <v/>
      </c>
      <c r="C3563" s="4" t="str" cm="1">
        <f t="array" ref="C3563">IFERROR(INDEX(EmployeeData[Full Name], ROW() - 37), "")</f>
        <v/>
      </c>
      <c r="D3563" s="4" t="str" cm="1">
        <f t="array" ref="D3563">IFERROR(INDEX(EmployeeData[Department], ROW() - 37), "")</f>
        <v/>
      </c>
      <c r="E3563" s="4" t="str" cm="1">
        <f t="array" ref="E3563">IFERROR(INDEX(EmployeeData[Gender], ROW() - 37), "")</f>
        <v/>
      </c>
      <c r="F3563" s="4" t="str" cm="1">
        <f t="array" ref="F3563">IFERROR(INDEX(EmployeeData[Age], ROW() - 37), "")</f>
        <v/>
      </c>
      <c r="G3563" s="6" t="str" cm="1">
        <f t="array" ref="G3563">IFERROR(INDEX(EmployeeData[Join Date], ROW() - 37), "")</f>
        <v/>
      </c>
      <c r="H3563" s="6" t="str" cm="1">
        <f t="array" ref="H3563">IFERROR(IF(INDEX(EmployeeData[Exit Date], ROW() - 37)=0, "",INDEX(EmployeeData[Exit Date], ROW() - 37)),"")</f>
        <v/>
      </c>
      <c r="I3563" s="4" t="str" cm="1">
        <f t="array" ref="I3563">IFERROR(IF(INDEX(EmployeeData[Exit Reason], ROW() - 37)=0, "",INDEX(EmployeeData[Exit Reason], ROW() - 37)),"")</f>
        <v/>
      </c>
      <c r="J3563" s="4" t="str" cm="1">
        <f t="array" ref="J3563">IFERROR(INDEX(EmployeeData[Status], ROW() - 37), "")</f>
        <v/>
      </c>
    </row>
    <row r="3564" spans="2:10" ht="19.95" customHeight="1" x14ac:dyDescent="0.3">
      <c r="B3564" s="4" t="str" cm="1">
        <f t="array" ref="B3564">IFERROR(INDEX(EmployeeData[Employee ID], ROW() - 37), "")</f>
        <v/>
      </c>
      <c r="C3564" s="4" t="str" cm="1">
        <f t="array" ref="C3564">IFERROR(INDEX(EmployeeData[Full Name], ROW() - 37), "")</f>
        <v/>
      </c>
      <c r="D3564" s="4" t="str" cm="1">
        <f t="array" ref="D3564">IFERROR(INDEX(EmployeeData[Department], ROW() - 37), "")</f>
        <v/>
      </c>
      <c r="E3564" s="4" t="str" cm="1">
        <f t="array" ref="E3564">IFERROR(INDEX(EmployeeData[Gender], ROW() - 37), "")</f>
        <v/>
      </c>
      <c r="F3564" s="4" t="str" cm="1">
        <f t="array" ref="F3564">IFERROR(INDEX(EmployeeData[Age], ROW() - 37), "")</f>
        <v/>
      </c>
      <c r="G3564" s="6" t="str" cm="1">
        <f t="array" ref="G3564">IFERROR(INDEX(EmployeeData[Join Date], ROW() - 37), "")</f>
        <v/>
      </c>
      <c r="H3564" s="6" t="str" cm="1">
        <f t="array" ref="H3564">IFERROR(IF(INDEX(EmployeeData[Exit Date], ROW() - 37)=0, "",INDEX(EmployeeData[Exit Date], ROW() - 37)),"")</f>
        <v/>
      </c>
      <c r="I3564" s="4" t="str" cm="1">
        <f t="array" ref="I3564">IFERROR(IF(INDEX(EmployeeData[Exit Reason], ROW() - 37)=0, "",INDEX(EmployeeData[Exit Reason], ROW() - 37)),"")</f>
        <v/>
      </c>
      <c r="J3564" s="4" t="str" cm="1">
        <f t="array" ref="J3564">IFERROR(INDEX(EmployeeData[Status], ROW() - 37), "")</f>
        <v/>
      </c>
    </row>
    <row r="3565" spans="2:10" ht="19.95" customHeight="1" x14ac:dyDescent="0.3">
      <c r="B3565" s="4" t="str" cm="1">
        <f t="array" ref="B3565">IFERROR(INDEX(EmployeeData[Employee ID], ROW() - 37), "")</f>
        <v/>
      </c>
      <c r="C3565" s="4" t="str" cm="1">
        <f t="array" ref="C3565">IFERROR(INDEX(EmployeeData[Full Name], ROW() - 37), "")</f>
        <v/>
      </c>
      <c r="D3565" s="4" t="str" cm="1">
        <f t="array" ref="D3565">IFERROR(INDEX(EmployeeData[Department], ROW() - 37), "")</f>
        <v/>
      </c>
      <c r="E3565" s="4" t="str" cm="1">
        <f t="array" ref="E3565">IFERROR(INDEX(EmployeeData[Gender], ROW() - 37), "")</f>
        <v/>
      </c>
      <c r="F3565" s="4" t="str" cm="1">
        <f t="array" ref="F3565">IFERROR(INDEX(EmployeeData[Age], ROW() - 37), "")</f>
        <v/>
      </c>
      <c r="G3565" s="6" t="str" cm="1">
        <f t="array" ref="G3565">IFERROR(INDEX(EmployeeData[Join Date], ROW() - 37), "")</f>
        <v/>
      </c>
      <c r="H3565" s="6" t="str" cm="1">
        <f t="array" ref="H3565">IFERROR(IF(INDEX(EmployeeData[Exit Date], ROW() - 37)=0, "",INDEX(EmployeeData[Exit Date], ROW() - 37)),"")</f>
        <v/>
      </c>
      <c r="I3565" s="4" t="str" cm="1">
        <f t="array" ref="I3565">IFERROR(IF(INDEX(EmployeeData[Exit Reason], ROW() - 37)=0, "",INDEX(EmployeeData[Exit Reason], ROW() - 37)),"")</f>
        <v/>
      </c>
      <c r="J3565" s="4" t="str" cm="1">
        <f t="array" ref="J3565">IFERROR(INDEX(EmployeeData[Status], ROW() - 37), "")</f>
        <v/>
      </c>
    </row>
    <row r="3566" spans="2:10" ht="19.95" customHeight="1" x14ac:dyDescent="0.3">
      <c r="B3566" s="4" t="str" cm="1">
        <f t="array" ref="B3566">IFERROR(INDEX(EmployeeData[Employee ID], ROW() - 37), "")</f>
        <v/>
      </c>
      <c r="C3566" s="4" t="str" cm="1">
        <f t="array" ref="C3566">IFERROR(INDEX(EmployeeData[Full Name], ROW() - 37), "")</f>
        <v/>
      </c>
      <c r="D3566" s="4" t="str" cm="1">
        <f t="array" ref="D3566">IFERROR(INDEX(EmployeeData[Department], ROW() - 37), "")</f>
        <v/>
      </c>
      <c r="E3566" s="4" t="str" cm="1">
        <f t="array" ref="E3566">IFERROR(INDEX(EmployeeData[Gender], ROW() - 37), "")</f>
        <v/>
      </c>
      <c r="F3566" s="4" t="str" cm="1">
        <f t="array" ref="F3566">IFERROR(INDEX(EmployeeData[Age], ROW() - 37), "")</f>
        <v/>
      </c>
      <c r="G3566" s="6" t="str" cm="1">
        <f t="array" ref="G3566">IFERROR(INDEX(EmployeeData[Join Date], ROW() - 37), "")</f>
        <v/>
      </c>
      <c r="H3566" s="6" t="str" cm="1">
        <f t="array" ref="H3566">IFERROR(IF(INDEX(EmployeeData[Exit Date], ROW() - 37)=0, "",INDEX(EmployeeData[Exit Date], ROW() - 37)),"")</f>
        <v/>
      </c>
      <c r="I3566" s="4" t="str" cm="1">
        <f t="array" ref="I3566">IFERROR(IF(INDEX(EmployeeData[Exit Reason], ROW() - 37)=0, "",INDEX(EmployeeData[Exit Reason], ROW() - 37)),"")</f>
        <v/>
      </c>
      <c r="J3566" s="4" t="str" cm="1">
        <f t="array" ref="J3566">IFERROR(INDEX(EmployeeData[Status], ROW() - 37), "")</f>
        <v/>
      </c>
    </row>
    <row r="3567" spans="2:10" ht="19.95" customHeight="1" x14ac:dyDescent="0.3">
      <c r="B3567" s="4" t="str" cm="1">
        <f t="array" ref="B3567">IFERROR(INDEX(EmployeeData[Employee ID], ROW() - 37), "")</f>
        <v/>
      </c>
      <c r="C3567" s="4" t="str" cm="1">
        <f t="array" ref="C3567">IFERROR(INDEX(EmployeeData[Full Name], ROW() - 37), "")</f>
        <v/>
      </c>
      <c r="D3567" s="4" t="str" cm="1">
        <f t="array" ref="D3567">IFERROR(INDEX(EmployeeData[Department], ROW() - 37), "")</f>
        <v/>
      </c>
      <c r="E3567" s="4" t="str" cm="1">
        <f t="array" ref="E3567">IFERROR(INDEX(EmployeeData[Gender], ROW() - 37), "")</f>
        <v/>
      </c>
      <c r="F3567" s="4" t="str" cm="1">
        <f t="array" ref="F3567">IFERROR(INDEX(EmployeeData[Age], ROW() - 37), "")</f>
        <v/>
      </c>
      <c r="G3567" s="6" t="str" cm="1">
        <f t="array" ref="G3567">IFERROR(INDEX(EmployeeData[Join Date], ROW() - 37), "")</f>
        <v/>
      </c>
      <c r="H3567" s="6" t="str" cm="1">
        <f t="array" ref="H3567">IFERROR(IF(INDEX(EmployeeData[Exit Date], ROW() - 37)=0, "",INDEX(EmployeeData[Exit Date], ROW() - 37)),"")</f>
        <v/>
      </c>
      <c r="I3567" s="4" t="str" cm="1">
        <f t="array" ref="I3567">IFERROR(IF(INDEX(EmployeeData[Exit Reason], ROW() - 37)=0, "",INDEX(EmployeeData[Exit Reason], ROW() - 37)),"")</f>
        <v/>
      </c>
      <c r="J3567" s="4" t="str" cm="1">
        <f t="array" ref="J3567">IFERROR(INDEX(EmployeeData[Status], ROW() - 37), "")</f>
        <v/>
      </c>
    </row>
    <row r="3568" spans="2:10" ht="19.95" customHeight="1" x14ac:dyDescent="0.3">
      <c r="B3568" s="4" t="str" cm="1">
        <f t="array" ref="B3568">IFERROR(INDEX(EmployeeData[Employee ID], ROW() - 37), "")</f>
        <v/>
      </c>
      <c r="C3568" s="4" t="str" cm="1">
        <f t="array" ref="C3568">IFERROR(INDEX(EmployeeData[Full Name], ROW() - 37), "")</f>
        <v/>
      </c>
      <c r="D3568" s="4" t="str" cm="1">
        <f t="array" ref="D3568">IFERROR(INDEX(EmployeeData[Department], ROW() - 37), "")</f>
        <v/>
      </c>
      <c r="E3568" s="4" t="str" cm="1">
        <f t="array" ref="E3568">IFERROR(INDEX(EmployeeData[Gender], ROW() - 37), "")</f>
        <v/>
      </c>
      <c r="F3568" s="4" t="str" cm="1">
        <f t="array" ref="F3568">IFERROR(INDEX(EmployeeData[Age], ROW() - 37), "")</f>
        <v/>
      </c>
      <c r="G3568" s="6" t="str" cm="1">
        <f t="array" ref="G3568">IFERROR(INDEX(EmployeeData[Join Date], ROW() - 37), "")</f>
        <v/>
      </c>
      <c r="H3568" s="6" t="str" cm="1">
        <f t="array" ref="H3568">IFERROR(IF(INDEX(EmployeeData[Exit Date], ROW() - 37)=0, "",INDEX(EmployeeData[Exit Date], ROW() - 37)),"")</f>
        <v/>
      </c>
      <c r="I3568" s="4" t="str" cm="1">
        <f t="array" ref="I3568">IFERROR(IF(INDEX(EmployeeData[Exit Reason], ROW() - 37)=0, "",INDEX(EmployeeData[Exit Reason], ROW() - 37)),"")</f>
        <v/>
      </c>
      <c r="J3568" s="4" t="str" cm="1">
        <f t="array" ref="J3568">IFERROR(INDEX(EmployeeData[Status], ROW() - 37), "")</f>
        <v/>
      </c>
    </row>
    <row r="3569" spans="2:10" ht="19.95" customHeight="1" x14ac:dyDescent="0.3">
      <c r="B3569" s="4" t="str" cm="1">
        <f t="array" ref="B3569">IFERROR(INDEX(EmployeeData[Employee ID], ROW() - 37), "")</f>
        <v/>
      </c>
      <c r="C3569" s="4" t="str" cm="1">
        <f t="array" ref="C3569">IFERROR(INDEX(EmployeeData[Full Name], ROW() - 37), "")</f>
        <v/>
      </c>
      <c r="D3569" s="4" t="str" cm="1">
        <f t="array" ref="D3569">IFERROR(INDEX(EmployeeData[Department], ROW() - 37), "")</f>
        <v/>
      </c>
      <c r="E3569" s="4" t="str" cm="1">
        <f t="array" ref="E3569">IFERROR(INDEX(EmployeeData[Gender], ROW() - 37), "")</f>
        <v/>
      </c>
      <c r="F3569" s="4" t="str" cm="1">
        <f t="array" ref="F3569">IFERROR(INDEX(EmployeeData[Age], ROW() - 37), "")</f>
        <v/>
      </c>
      <c r="G3569" s="6" t="str" cm="1">
        <f t="array" ref="G3569">IFERROR(INDEX(EmployeeData[Join Date], ROW() - 37), "")</f>
        <v/>
      </c>
      <c r="H3569" s="6" t="str" cm="1">
        <f t="array" ref="H3569">IFERROR(IF(INDEX(EmployeeData[Exit Date], ROW() - 37)=0, "",INDEX(EmployeeData[Exit Date], ROW() - 37)),"")</f>
        <v/>
      </c>
      <c r="I3569" s="4" t="str" cm="1">
        <f t="array" ref="I3569">IFERROR(IF(INDEX(EmployeeData[Exit Reason], ROW() - 37)=0, "",INDEX(EmployeeData[Exit Reason], ROW() - 37)),"")</f>
        <v/>
      </c>
      <c r="J3569" s="4" t="str" cm="1">
        <f t="array" ref="J3569">IFERROR(INDEX(EmployeeData[Status], ROW() - 37), "")</f>
        <v/>
      </c>
    </row>
    <row r="3570" spans="2:10" ht="19.95" customHeight="1" x14ac:dyDescent="0.3">
      <c r="B3570" s="4" t="str" cm="1">
        <f t="array" ref="B3570">IFERROR(INDEX(EmployeeData[Employee ID], ROW() - 37), "")</f>
        <v/>
      </c>
      <c r="C3570" s="4" t="str" cm="1">
        <f t="array" ref="C3570">IFERROR(INDEX(EmployeeData[Full Name], ROW() - 37), "")</f>
        <v/>
      </c>
      <c r="D3570" s="4" t="str" cm="1">
        <f t="array" ref="D3570">IFERROR(INDEX(EmployeeData[Department], ROW() - 37), "")</f>
        <v/>
      </c>
      <c r="E3570" s="4" t="str" cm="1">
        <f t="array" ref="E3570">IFERROR(INDEX(EmployeeData[Gender], ROW() - 37), "")</f>
        <v/>
      </c>
      <c r="F3570" s="4" t="str" cm="1">
        <f t="array" ref="F3570">IFERROR(INDEX(EmployeeData[Age], ROW() - 37), "")</f>
        <v/>
      </c>
      <c r="G3570" s="6" t="str" cm="1">
        <f t="array" ref="G3570">IFERROR(INDEX(EmployeeData[Join Date], ROW() - 37), "")</f>
        <v/>
      </c>
      <c r="H3570" s="6" t="str" cm="1">
        <f t="array" ref="H3570">IFERROR(IF(INDEX(EmployeeData[Exit Date], ROW() - 37)=0, "",INDEX(EmployeeData[Exit Date], ROW() - 37)),"")</f>
        <v/>
      </c>
      <c r="I3570" s="4" t="str" cm="1">
        <f t="array" ref="I3570">IFERROR(IF(INDEX(EmployeeData[Exit Reason], ROW() - 37)=0, "",INDEX(EmployeeData[Exit Reason], ROW() - 37)),"")</f>
        <v/>
      </c>
      <c r="J3570" s="4" t="str" cm="1">
        <f t="array" ref="J3570">IFERROR(INDEX(EmployeeData[Status], ROW() - 37), "")</f>
        <v/>
      </c>
    </row>
    <row r="3571" spans="2:10" ht="19.95" customHeight="1" x14ac:dyDescent="0.3">
      <c r="B3571" s="4" t="str" cm="1">
        <f t="array" ref="B3571">IFERROR(INDEX(EmployeeData[Employee ID], ROW() - 37), "")</f>
        <v/>
      </c>
      <c r="C3571" s="4" t="str" cm="1">
        <f t="array" ref="C3571">IFERROR(INDEX(EmployeeData[Full Name], ROW() - 37), "")</f>
        <v/>
      </c>
      <c r="D3571" s="4" t="str" cm="1">
        <f t="array" ref="D3571">IFERROR(INDEX(EmployeeData[Department], ROW() - 37), "")</f>
        <v/>
      </c>
      <c r="E3571" s="4" t="str" cm="1">
        <f t="array" ref="E3571">IFERROR(INDEX(EmployeeData[Gender], ROW() - 37), "")</f>
        <v/>
      </c>
      <c r="F3571" s="4" t="str" cm="1">
        <f t="array" ref="F3571">IFERROR(INDEX(EmployeeData[Age], ROW() - 37), "")</f>
        <v/>
      </c>
      <c r="G3571" s="6" t="str" cm="1">
        <f t="array" ref="G3571">IFERROR(INDEX(EmployeeData[Join Date], ROW() - 37), "")</f>
        <v/>
      </c>
      <c r="H3571" s="6" t="str" cm="1">
        <f t="array" ref="H3571">IFERROR(IF(INDEX(EmployeeData[Exit Date], ROW() - 37)=0, "",INDEX(EmployeeData[Exit Date], ROW() - 37)),"")</f>
        <v/>
      </c>
      <c r="I3571" s="4" t="str" cm="1">
        <f t="array" ref="I3571">IFERROR(IF(INDEX(EmployeeData[Exit Reason], ROW() - 37)=0, "",INDEX(EmployeeData[Exit Reason], ROW() - 37)),"")</f>
        <v/>
      </c>
      <c r="J3571" s="4" t="str" cm="1">
        <f t="array" ref="J3571">IFERROR(INDEX(EmployeeData[Status], ROW() - 37), "")</f>
        <v/>
      </c>
    </row>
    <row r="3572" spans="2:10" ht="19.95" customHeight="1" x14ac:dyDescent="0.3">
      <c r="B3572" s="4" t="str" cm="1">
        <f t="array" ref="B3572">IFERROR(INDEX(EmployeeData[Employee ID], ROW() - 37), "")</f>
        <v/>
      </c>
      <c r="C3572" s="4" t="str" cm="1">
        <f t="array" ref="C3572">IFERROR(INDEX(EmployeeData[Full Name], ROW() - 37), "")</f>
        <v/>
      </c>
      <c r="D3572" s="4" t="str" cm="1">
        <f t="array" ref="D3572">IFERROR(INDEX(EmployeeData[Department], ROW() - 37), "")</f>
        <v/>
      </c>
      <c r="E3572" s="4" t="str" cm="1">
        <f t="array" ref="E3572">IFERROR(INDEX(EmployeeData[Gender], ROW() - 37), "")</f>
        <v/>
      </c>
      <c r="F3572" s="4" t="str" cm="1">
        <f t="array" ref="F3572">IFERROR(INDEX(EmployeeData[Age], ROW() - 37), "")</f>
        <v/>
      </c>
      <c r="G3572" s="6" t="str" cm="1">
        <f t="array" ref="G3572">IFERROR(INDEX(EmployeeData[Join Date], ROW() - 37), "")</f>
        <v/>
      </c>
      <c r="H3572" s="6" t="str" cm="1">
        <f t="array" ref="H3572">IFERROR(IF(INDEX(EmployeeData[Exit Date], ROW() - 37)=0, "",INDEX(EmployeeData[Exit Date], ROW() - 37)),"")</f>
        <v/>
      </c>
      <c r="I3572" s="4" t="str" cm="1">
        <f t="array" ref="I3572">IFERROR(IF(INDEX(EmployeeData[Exit Reason], ROW() - 37)=0, "",INDEX(EmployeeData[Exit Reason], ROW() - 37)),"")</f>
        <v/>
      </c>
      <c r="J3572" s="4" t="str" cm="1">
        <f t="array" ref="J3572">IFERROR(INDEX(EmployeeData[Status], ROW() - 37), "")</f>
        <v/>
      </c>
    </row>
    <row r="3573" spans="2:10" ht="19.95" customHeight="1" x14ac:dyDescent="0.3">
      <c r="B3573" s="4" t="str" cm="1">
        <f t="array" ref="B3573">IFERROR(INDEX(EmployeeData[Employee ID], ROW() - 37), "")</f>
        <v/>
      </c>
      <c r="C3573" s="4" t="str" cm="1">
        <f t="array" ref="C3573">IFERROR(INDEX(EmployeeData[Full Name], ROW() - 37), "")</f>
        <v/>
      </c>
      <c r="D3573" s="4" t="str" cm="1">
        <f t="array" ref="D3573">IFERROR(INDEX(EmployeeData[Department], ROW() - 37), "")</f>
        <v/>
      </c>
      <c r="E3573" s="4" t="str" cm="1">
        <f t="array" ref="E3573">IFERROR(INDEX(EmployeeData[Gender], ROW() - 37), "")</f>
        <v/>
      </c>
      <c r="F3573" s="4" t="str" cm="1">
        <f t="array" ref="F3573">IFERROR(INDEX(EmployeeData[Age], ROW() - 37), "")</f>
        <v/>
      </c>
      <c r="G3573" s="6" t="str" cm="1">
        <f t="array" ref="G3573">IFERROR(INDEX(EmployeeData[Join Date], ROW() - 37), "")</f>
        <v/>
      </c>
      <c r="H3573" s="6" t="str" cm="1">
        <f t="array" ref="H3573">IFERROR(IF(INDEX(EmployeeData[Exit Date], ROW() - 37)=0, "",INDEX(EmployeeData[Exit Date], ROW() - 37)),"")</f>
        <v/>
      </c>
      <c r="I3573" s="4" t="str" cm="1">
        <f t="array" ref="I3573">IFERROR(IF(INDEX(EmployeeData[Exit Reason], ROW() - 37)=0, "",INDEX(EmployeeData[Exit Reason], ROW() - 37)),"")</f>
        <v/>
      </c>
      <c r="J3573" s="4" t="str" cm="1">
        <f t="array" ref="J3573">IFERROR(INDEX(EmployeeData[Status], ROW() - 37), "")</f>
        <v/>
      </c>
    </row>
    <row r="3574" spans="2:10" ht="19.95" customHeight="1" x14ac:dyDescent="0.3">
      <c r="B3574" s="4" t="str" cm="1">
        <f t="array" ref="B3574">IFERROR(INDEX(EmployeeData[Employee ID], ROW() - 37), "")</f>
        <v/>
      </c>
      <c r="C3574" s="4" t="str" cm="1">
        <f t="array" ref="C3574">IFERROR(INDEX(EmployeeData[Full Name], ROW() - 37), "")</f>
        <v/>
      </c>
      <c r="D3574" s="4" t="str" cm="1">
        <f t="array" ref="D3574">IFERROR(INDEX(EmployeeData[Department], ROW() - 37), "")</f>
        <v/>
      </c>
      <c r="E3574" s="4" t="str" cm="1">
        <f t="array" ref="E3574">IFERROR(INDEX(EmployeeData[Gender], ROW() - 37), "")</f>
        <v/>
      </c>
      <c r="F3574" s="4" t="str" cm="1">
        <f t="array" ref="F3574">IFERROR(INDEX(EmployeeData[Age], ROW() - 37), "")</f>
        <v/>
      </c>
      <c r="G3574" s="6" t="str" cm="1">
        <f t="array" ref="G3574">IFERROR(INDEX(EmployeeData[Join Date], ROW() - 37), "")</f>
        <v/>
      </c>
      <c r="H3574" s="6" t="str" cm="1">
        <f t="array" ref="H3574">IFERROR(IF(INDEX(EmployeeData[Exit Date], ROW() - 37)=0, "",INDEX(EmployeeData[Exit Date], ROW() - 37)),"")</f>
        <v/>
      </c>
      <c r="I3574" s="4" t="str" cm="1">
        <f t="array" ref="I3574">IFERROR(IF(INDEX(EmployeeData[Exit Reason], ROW() - 37)=0, "",INDEX(EmployeeData[Exit Reason], ROW() - 37)),"")</f>
        <v/>
      </c>
      <c r="J3574" s="4" t="str" cm="1">
        <f t="array" ref="J3574">IFERROR(INDEX(EmployeeData[Status], ROW() - 37), "")</f>
        <v/>
      </c>
    </row>
    <row r="3575" spans="2:10" ht="19.95" customHeight="1" x14ac:dyDescent="0.3">
      <c r="B3575" s="4" t="str" cm="1">
        <f t="array" ref="B3575">IFERROR(INDEX(EmployeeData[Employee ID], ROW() - 37), "")</f>
        <v/>
      </c>
      <c r="C3575" s="4" t="str" cm="1">
        <f t="array" ref="C3575">IFERROR(INDEX(EmployeeData[Full Name], ROW() - 37), "")</f>
        <v/>
      </c>
      <c r="D3575" s="4" t="str" cm="1">
        <f t="array" ref="D3575">IFERROR(INDEX(EmployeeData[Department], ROW() - 37), "")</f>
        <v/>
      </c>
      <c r="E3575" s="4" t="str" cm="1">
        <f t="array" ref="E3575">IFERROR(INDEX(EmployeeData[Gender], ROW() - 37), "")</f>
        <v/>
      </c>
      <c r="F3575" s="4" t="str" cm="1">
        <f t="array" ref="F3575">IFERROR(INDEX(EmployeeData[Age], ROW() - 37), "")</f>
        <v/>
      </c>
      <c r="G3575" s="6" t="str" cm="1">
        <f t="array" ref="G3575">IFERROR(INDEX(EmployeeData[Join Date], ROW() - 37), "")</f>
        <v/>
      </c>
      <c r="H3575" s="6" t="str" cm="1">
        <f t="array" ref="H3575">IFERROR(IF(INDEX(EmployeeData[Exit Date], ROW() - 37)=0, "",INDEX(EmployeeData[Exit Date], ROW() - 37)),"")</f>
        <v/>
      </c>
      <c r="I3575" s="4" t="str" cm="1">
        <f t="array" ref="I3575">IFERROR(IF(INDEX(EmployeeData[Exit Reason], ROW() - 37)=0, "",INDEX(EmployeeData[Exit Reason], ROW() - 37)),"")</f>
        <v/>
      </c>
      <c r="J3575" s="4" t="str" cm="1">
        <f t="array" ref="J3575">IFERROR(INDEX(EmployeeData[Status], ROW() - 37), "")</f>
        <v/>
      </c>
    </row>
    <row r="3576" spans="2:10" ht="19.95" customHeight="1" x14ac:dyDescent="0.3">
      <c r="B3576" s="4" t="str" cm="1">
        <f t="array" ref="B3576">IFERROR(INDEX(EmployeeData[Employee ID], ROW() - 37), "")</f>
        <v/>
      </c>
      <c r="C3576" s="4" t="str" cm="1">
        <f t="array" ref="C3576">IFERROR(INDEX(EmployeeData[Full Name], ROW() - 37), "")</f>
        <v/>
      </c>
      <c r="D3576" s="4" t="str" cm="1">
        <f t="array" ref="D3576">IFERROR(INDEX(EmployeeData[Department], ROW() - 37), "")</f>
        <v/>
      </c>
      <c r="E3576" s="4" t="str" cm="1">
        <f t="array" ref="E3576">IFERROR(INDEX(EmployeeData[Gender], ROW() - 37), "")</f>
        <v/>
      </c>
      <c r="F3576" s="4" t="str" cm="1">
        <f t="array" ref="F3576">IFERROR(INDEX(EmployeeData[Age], ROW() - 37), "")</f>
        <v/>
      </c>
      <c r="G3576" s="6" t="str" cm="1">
        <f t="array" ref="G3576">IFERROR(INDEX(EmployeeData[Join Date], ROW() - 37), "")</f>
        <v/>
      </c>
      <c r="H3576" s="6" t="str" cm="1">
        <f t="array" ref="H3576">IFERROR(IF(INDEX(EmployeeData[Exit Date], ROW() - 37)=0, "",INDEX(EmployeeData[Exit Date], ROW() - 37)),"")</f>
        <v/>
      </c>
      <c r="I3576" s="4" t="str" cm="1">
        <f t="array" ref="I3576">IFERROR(IF(INDEX(EmployeeData[Exit Reason], ROW() - 37)=0, "",INDEX(EmployeeData[Exit Reason], ROW() - 37)),"")</f>
        <v/>
      </c>
      <c r="J3576" s="4" t="str" cm="1">
        <f t="array" ref="J3576">IFERROR(INDEX(EmployeeData[Status], ROW() - 37), "")</f>
        <v/>
      </c>
    </row>
    <row r="3577" spans="2:10" ht="19.95" customHeight="1" x14ac:dyDescent="0.3">
      <c r="B3577" s="4" t="str" cm="1">
        <f t="array" ref="B3577">IFERROR(INDEX(EmployeeData[Employee ID], ROW() - 37), "")</f>
        <v/>
      </c>
      <c r="C3577" s="4" t="str" cm="1">
        <f t="array" ref="C3577">IFERROR(INDEX(EmployeeData[Full Name], ROW() - 37), "")</f>
        <v/>
      </c>
      <c r="D3577" s="4" t="str" cm="1">
        <f t="array" ref="D3577">IFERROR(INDEX(EmployeeData[Department], ROW() - 37), "")</f>
        <v/>
      </c>
      <c r="E3577" s="4" t="str" cm="1">
        <f t="array" ref="E3577">IFERROR(INDEX(EmployeeData[Gender], ROW() - 37), "")</f>
        <v/>
      </c>
      <c r="F3577" s="4" t="str" cm="1">
        <f t="array" ref="F3577">IFERROR(INDEX(EmployeeData[Age], ROW() - 37), "")</f>
        <v/>
      </c>
      <c r="G3577" s="6" t="str" cm="1">
        <f t="array" ref="G3577">IFERROR(INDEX(EmployeeData[Join Date], ROW() - 37), "")</f>
        <v/>
      </c>
      <c r="H3577" s="6" t="str" cm="1">
        <f t="array" ref="H3577">IFERROR(IF(INDEX(EmployeeData[Exit Date], ROW() - 37)=0, "",INDEX(EmployeeData[Exit Date], ROW() - 37)),"")</f>
        <v/>
      </c>
      <c r="I3577" s="4" t="str" cm="1">
        <f t="array" ref="I3577">IFERROR(IF(INDEX(EmployeeData[Exit Reason], ROW() - 37)=0, "",INDEX(EmployeeData[Exit Reason], ROW() - 37)),"")</f>
        <v/>
      </c>
      <c r="J3577" s="4" t="str" cm="1">
        <f t="array" ref="J3577">IFERROR(INDEX(EmployeeData[Status], ROW() - 37), "")</f>
        <v/>
      </c>
    </row>
    <row r="3578" spans="2:10" ht="19.95" customHeight="1" x14ac:dyDescent="0.3">
      <c r="B3578" s="4" t="str" cm="1">
        <f t="array" ref="B3578">IFERROR(INDEX(EmployeeData[Employee ID], ROW() - 37), "")</f>
        <v/>
      </c>
      <c r="C3578" s="4" t="str" cm="1">
        <f t="array" ref="C3578">IFERROR(INDEX(EmployeeData[Full Name], ROW() - 37), "")</f>
        <v/>
      </c>
      <c r="D3578" s="4" t="str" cm="1">
        <f t="array" ref="D3578">IFERROR(INDEX(EmployeeData[Department], ROW() - 37), "")</f>
        <v/>
      </c>
      <c r="E3578" s="4" t="str" cm="1">
        <f t="array" ref="E3578">IFERROR(INDEX(EmployeeData[Gender], ROW() - 37), "")</f>
        <v/>
      </c>
      <c r="F3578" s="4" t="str" cm="1">
        <f t="array" ref="F3578">IFERROR(INDEX(EmployeeData[Age], ROW() - 37), "")</f>
        <v/>
      </c>
      <c r="G3578" s="6" t="str" cm="1">
        <f t="array" ref="G3578">IFERROR(INDEX(EmployeeData[Join Date], ROW() - 37), "")</f>
        <v/>
      </c>
      <c r="H3578" s="6" t="str" cm="1">
        <f t="array" ref="H3578">IFERROR(IF(INDEX(EmployeeData[Exit Date], ROW() - 37)=0, "",INDEX(EmployeeData[Exit Date], ROW() - 37)),"")</f>
        <v/>
      </c>
      <c r="I3578" s="4" t="str" cm="1">
        <f t="array" ref="I3578">IFERROR(IF(INDEX(EmployeeData[Exit Reason], ROW() - 37)=0, "",INDEX(EmployeeData[Exit Reason], ROW() - 37)),"")</f>
        <v/>
      </c>
      <c r="J3578" s="4" t="str" cm="1">
        <f t="array" ref="J3578">IFERROR(INDEX(EmployeeData[Status], ROW() - 37), "")</f>
        <v/>
      </c>
    </row>
    <row r="3579" spans="2:10" ht="19.95" customHeight="1" x14ac:dyDescent="0.3">
      <c r="B3579" s="4" t="str" cm="1">
        <f t="array" ref="B3579">IFERROR(INDEX(EmployeeData[Employee ID], ROW() - 37), "")</f>
        <v/>
      </c>
      <c r="C3579" s="4" t="str" cm="1">
        <f t="array" ref="C3579">IFERROR(INDEX(EmployeeData[Full Name], ROW() - 37), "")</f>
        <v/>
      </c>
      <c r="D3579" s="4" t="str" cm="1">
        <f t="array" ref="D3579">IFERROR(INDEX(EmployeeData[Department], ROW() - 37), "")</f>
        <v/>
      </c>
      <c r="E3579" s="4" t="str" cm="1">
        <f t="array" ref="E3579">IFERROR(INDEX(EmployeeData[Gender], ROW() - 37), "")</f>
        <v/>
      </c>
      <c r="F3579" s="4" t="str" cm="1">
        <f t="array" ref="F3579">IFERROR(INDEX(EmployeeData[Age], ROW() - 37), "")</f>
        <v/>
      </c>
      <c r="G3579" s="6" t="str" cm="1">
        <f t="array" ref="G3579">IFERROR(INDEX(EmployeeData[Join Date], ROW() - 37), "")</f>
        <v/>
      </c>
      <c r="H3579" s="6" t="str" cm="1">
        <f t="array" ref="H3579">IFERROR(IF(INDEX(EmployeeData[Exit Date], ROW() - 37)=0, "",INDEX(EmployeeData[Exit Date], ROW() - 37)),"")</f>
        <v/>
      </c>
      <c r="I3579" s="4" t="str" cm="1">
        <f t="array" ref="I3579">IFERROR(IF(INDEX(EmployeeData[Exit Reason], ROW() - 37)=0, "",INDEX(EmployeeData[Exit Reason], ROW() - 37)),"")</f>
        <v/>
      </c>
      <c r="J3579" s="4" t="str" cm="1">
        <f t="array" ref="J3579">IFERROR(INDEX(EmployeeData[Status], ROW() - 37), "")</f>
        <v/>
      </c>
    </row>
    <row r="3580" spans="2:10" ht="19.95" customHeight="1" x14ac:dyDescent="0.3">
      <c r="B3580" s="4" t="str" cm="1">
        <f t="array" ref="B3580">IFERROR(INDEX(EmployeeData[Employee ID], ROW() - 37), "")</f>
        <v/>
      </c>
      <c r="C3580" s="4" t="str" cm="1">
        <f t="array" ref="C3580">IFERROR(INDEX(EmployeeData[Full Name], ROW() - 37), "")</f>
        <v/>
      </c>
      <c r="D3580" s="4" t="str" cm="1">
        <f t="array" ref="D3580">IFERROR(INDEX(EmployeeData[Department], ROW() - 37), "")</f>
        <v/>
      </c>
      <c r="E3580" s="4" t="str" cm="1">
        <f t="array" ref="E3580">IFERROR(INDEX(EmployeeData[Gender], ROW() - 37), "")</f>
        <v/>
      </c>
      <c r="F3580" s="4" t="str" cm="1">
        <f t="array" ref="F3580">IFERROR(INDEX(EmployeeData[Age], ROW() - 37), "")</f>
        <v/>
      </c>
      <c r="G3580" s="6" t="str" cm="1">
        <f t="array" ref="G3580">IFERROR(INDEX(EmployeeData[Join Date], ROW() - 37), "")</f>
        <v/>
      </c>
      <c r="H3580" s="6" t="str" cm="1">
        <f t="array" ref="H3580">IFERROR(IF(INDEX(EmployeeData[Exit Date], ROW() - 37)=0, "",INDEX(EmployeeData[Exit Date], ROW() - 37)),"")</f>
        <v/>
      </c>
      <c r="I3580" s="4" t="str" cm="1">
        <f t="array" ref="I3580">IFERROR(IF(INDEX(EmployeeData[Exit Reason], ROW() - 37)=0, "",INDEX(EmployeeData[Exit Reason], ROW() - 37)),"")</f>
        <v/>
      </c>
      <c r="J3580" s="4" t="str" cm="1">
        <f t="array" ref="J3580">IFERROR(INDEX(EmployeeData[Status], ROW() - 37), "")</f>
        <v/>
      </c>
    </row>
    <row r="3581" spans="2:10" ht="19.95" customHeight="1" x14ac:dyDescent="0.3">
      <c r="B3581" s="4" t="str" cm="1">
        <f t="array" ref="B3581">IFERROR(INDEX(EmployeeData[Employee ID], ROW() - 37), "")</f>
        <v/>
      </c>
      <c r="C3581" s="4" t="str" cm="1">
        <f t="array" ref="C3581">IFERROR(INDEX(EmployeeData[Full Name], ROW() - 37), "")</f>
        <v/>
      </c>
      <c r="D3581" s="4" t="str" cm="1">
        <f t="array" ref="D3581">IFERROR(INDEX(EmployeeData[Department], ROW() - 37), "")</f>
        <v/>
      </c>
      <c r="E3581" s="4" t="str" cm="1">
        <f t="array" ref="E3581">IFERROR(INDEX(EmployeeData[Gender], ROW() - 37), "")</f>
        <v/>
      </c>
      <c r="F3581" s="4" t="str" cm="1">
        <f t="array" ref="F3581">IFERROR(INDEX(EmployeeData[Age], ROW() - 37), "")</f>
        <v/>
      </c>
      <c r="G3581" s="6" t="str" cm="1">
        <f t="array" ref="G3581">IFERROR(INDEX(EmployeeData[Join Date], ROW() - 37), "")</f>
        <v/>
      </c>
      <c r="H3581" s="6" t="str" cm="1">
        <f t="array" ref="H3581">IFERROR(IF(INDEX(EmployeeData[Exit Date], ROW() - 37)=0, "",INDEX(EmployeeData[Exit Date], ROW() - 37)),"")</f>
        <v/>
      </c>
      <c r="I3581" s="4" t="str" cm="1">
        <f t="array" ref="I3581">IFERROR(IF(INDEX(EmployeeData[Exit Reason], ROW() - 37)=0, "",INDEX(EmployeeData[Exit Reason], ROW() - 37)),"")</f>
        <v/>
      </c>
      <c r="J3581" s="4" t="str" cm="1">
        <f t="array" ref="J3581">IFERROR(INDEX(EmployeeData[Status], ROW() - 37), "")</f>
        <v/>
      </c>
    </row>
    <row r="3582" spans="2:10" ht="19.95" customHeight="1" x14ac:dyDescent="0.3">
      <c r="B3582" s="4" t="str" cm="1">
        <f t="array" ref="B3582">IFERROR(INDEX(EmployeeData[Employee ID], ROW() - 37), "")</f>
        <v/>
      </c>
      <c r="C3582" s="4" t="str" cm="1">
        <f t="array" ref="C3582">IFERROR(INDEX(EmployeeData[Full Name], ROW() - 37), "")</f>
        <v/>
      </c>
      <c r="D3582" s="4" t="str" cm="1">
        <f t="array" ref="D3582">IFERROR(INDEX(EmployeeData[Department], ROW() - 37), "")</f>
        <v/>
      </c>
      <c r="E3582" s="4" t="str" cm="1">
        <f t="array" ref="E3582">IFERROR(INDEX(EmployeeData[Gender], ROW() - 37), "")</f>
        <v/>
      </c>
      <c r="F3582" s="4" t="str" cm="1">
        <f t="array" ref="F3582">IFERROR(INDEX(EmployeeData[Age], ROW() - 37), "")</f>
        <v/>
      </c>
      <c r="G3582" s="6" t="str" cm="1">
        <f t="array" ref="G3582">IFERROR(INDEX(EmployeeData[Join Date], ROW() - 37), "")</f>
        <v/>
      </c>
      <c r="H3582" s="6" t="str" cm="1">
        <f t="array" ref="H3582">IFERROR(IF(INDEX(EmployeeData[Exit Date], ROW() - 37)=0, "",INDEX(EmployeeData[Exit Date], ROW() - 37)),"")</f>
        <v/>
      </c>
      <c r="I3582" s="4" t="str" cm="1">
        <f t="array" ref="I3582">IFERROR(IF(INDEX(EmployeeData[Exit Reason], ROW() - 37)=0, "",INDEX(EmployeeData[Exit Reason], ROW() - 37)),"")</f>
        <v/>
      </c>
      <c r="J3582" s="4" t="str" cm="1">
        <f t="array" ref="J3582">IFERROR(INDEX(EmployeeData[Status], ROW() - 37), "")</f>
        <v/>
      </c>
    </row>
    <row r="3583" spans="2:10" ht="19.95" customHeight="1" x14ac:dyDescent="0.3">
      <c r="B3583" s="4" t="str" cm="1">
        <f t="array" ref="B3583">IFERROR(INDEX(EmployeeData[Employee ID], ROW() - 37), "")</f>
        <v/>
      </c>
      <c r="C3583" s="4" t="str" cm="1">
        <f t="array" ref="C3583">IFERROR(INDEX(EmployeeData[Full Name], ROW() - 37), "")</f>
        <v/>
      </c>
      <c r="D3583" s="4" t="str" cm="1">
        <f t="array" ref="D3583">IFERROR(INDEX(EmployeeData[Department], ROW() - 37), "")</f>
        <v/>
      </c>
      <c r="E3583" s="4" t="str" cm="1">
        <f t="array" ref="E3583">IFERROR(INDEX(EmployeeData[Gender], ROW() - 37), "")</f>
        <v/>
      </c>
      <c r="F3583" s="4" t="str" cm="1">
        <f t="array" ref="F3583">IFERROR(INDEX(EmployeeData[Age], ROW() - 37), "")</f>
        <v/>
      </c>
      <c r="G3583" s="6" t="str" cm="1">
        <f t="array" ref="G3583">IFERROR(INDEX(EmployeeData[Join Date], ROW() - 37), "")</f>
        <v/>
      </c>
      <c r="H3583" s="6" t="str" cm="1">
        <f t="array" ref="H3583">IFERROR(IF(INDEX(EmployeeData[Exit Date], ROW() - 37)=0, "",INDEX(EmployeeData[Exit Date], ROW() - 37)),"")</f>
        <v/>
      </c>
      <c r="I3583" s="4" t="str" cm="1">
        <f t="array" ref="I3583">IFERROR(IF(INDEX(EmployeeData[Exit Reason], ROW() - 37)=0, "",INDEX(EmployeeData[Exit Reason], ROW() - 37)),"")</f>
        <v/>
      </c>
      <c r="J3583" s="4" t="str" cm="1">
        <f t="array" ref="J3583">IFERROR(INDEX(EmployeeData[Status], ROW() - 37), "")</f>
        <v/>
      </c>
    </row>
    <row r="3584" spans="2:10" ht="19.95" customHeight="1" x14ac:dyDescent="0.3">
      <c r="B3584" s="4" t="str" cm="1">
        <f t="array" ref="B3584">IFERROR(INDEX(EmployeeData[Employee ID], ROW() - 37), "")</f>
        <v/>
      </c>
      <c r="C3584" s="4" t="str" cm="1">
        <f t="array" ref="C3584">IFERROR(INDEX(EmployeeData[Full Name], ROW() - 37), "")</f>
        <v/>
      </c>
      <c r="D3584" s="4" t="str" cm="1">
        <f t="array" ref="D3584">IFERROR(INDEX(EmployeeData[Department], ROW() - 37), "")</f>
        <v/>
      </c>
      <c r="E3584" s="4" t="str" cm="1">
        <f t="array" ref="E3584">IFERROR(INDEX(EmployeeData[Gender], ROW() - 37), "")</f>
        <v/>
      </c>
      <c r="F3584" s="4" t="str" cm="1">
        <f t="array" ref="F3584">IFERROR(INDEX(EmployeeData[Age], ROW() - 37), "")</f>
        <v/>
      </c>
      <c r="G3584" s="6" t="str" cm="1">
        <f t="array" ref="G3584">IFERROR(INDEX(EmployeeData[Join Date], ROW() - 37), "")</f>
        <v/>
      </c>
      <c r="H3584" s="6" t="str" cm="1">
        <f t="array" ref="H3584">IFERROR(IF(INDEX(EmployeeData[Exit Date], ROW() - 37)=0, "",INDEX(EmployeeData[Exit Date], ROW() - 37)),"")</f>
        <v/>
      </c>
      <c r="I3584" s="4" t="str" cm="1">
        <f t="array" ref="I3584">IFERROR(IF(INDEX(EmployeeData[Exit Reason], ROW() - 37)=0, "",INDEX(EmployeeData[Exit Reason], ROW() - 37)),"")</f>
        <v/>
      </c>
      <c r="J3584" s="4" t="str" cm="1">
        <f t="array" ref="J3584">IFERROR(INDEX(EmployeeData[Status], ROW() - 37), "")</f>
        <v/>
      </c>
    </row>
    <row r="3585" spans="2:10" ht="19.95" customHeight="1" x14ac:dyDescent="0.3">
      <c r="B3585" s="4" t="str" cm="1">
        <f t="array" ref="B3585">IFERROR(INDEX(EmployeeData[Employee ID], ROW() - 37), "")</f>
        <v/>
      </c>
      <c r="C3585" s="4" t="str" cm="1">
        <f t="array" ref="C3585">IFERROR(INDEX(EmployeeData[Full Name], ROW() - 37), "")</f>
        <v/>
      </c>
      <c r="D3585" s="4" t="str" cm="1">
        <f t="array" ref="D3585">IFERROR(INDEX(EmployeeData[Department], ROW() - 37), "")</f>
        <v/>
      </c>
      <c r="E3585" s="4" t="str" cm="1">
        <f t="array" ref="E3585">IFERROR(INDEX(EmployeeData[Gender], ROW() - 37), "")</f>
        <v/>
      </c>
      <c r="F3585" s="4" t="str" cm="1">
        <f t="array" ref="F3585">IFERROR(INDEX(EmployeeData[Age], ROW() - 37), "")</f>
        <v/>
      </c>
      <c r="G3585" s="6" t="str" cm="1">
        <f t="array" ref="G3585">IFERROR(INDEX(EmployeeData[Join Date], ROW() - 37), "")</f>
        <v/>
      </c>
      <c r="H3585" s="6" t="str" cm="1">
        <f t="array" ref="H3585">IFERROR(IF(INDEX(EmployeeData[Exit Date], ROW() - 37)=0, "",INDEX(EmployeeData[Exit Date], ROW() - 37)),"")</f>
        <v/>
      </c>
      <c r="I3585" s="4" t="str" cm="1">
        <f t="array" ref="I3585">IFERROR(IF(INDEX(EmployeeData[Exit Reason], ROW() - 37)=0, "",INDEX(EmployeeData[Exit Reason], ROW() - 37)),"")</f>
        <v/>
      </c>
      <c r="J3585" s="4" t="str" cm="1">
        <f t="array" ref="J3585">IFERROR(INDEX(EmployeeData[Status], ROW() - 37), "")</f>
        <v/>
      </c>
    </row>
    <row r="3586" spans="2:10" ht="19.95" customHeight="1" x14ac:dyDescent="0.3">
      <c r="B3586" s="4" t="str" cm="1">
        <f t="array" ref="B3586">IFERROR(INDEX(EmployeeData[Employee ID], ROW() - 37), "")</f>
        <v/>
      </c>
      <c r="C3586" s="4" t="str" cm="1">
        <f t="array" ref="C3586">IFERROR(INDEX(EmployeeData[Full Name], ROW() - 37), "")</f>
        <v/>
      </c>
      <c r="D3586" s="4" t="str" cm="1">
        <f t="array" ref="D3586">IFERROR(INDEX(EmployeeData[Department], ROW() - 37), "")</f>
        <v/>
      </c>
      <c r="E3586" s="4" t="str" cm="1">
        <f t="array" ref="E3586">IFERROR(INDEX(EmployeeData[Gender], ROW() - 37), "")</f>
        <v/>
      </c>
      <c r="F3586" s="4" t="str" cm="1">
        <f t="array" ref="F3586">IFERROR(INDEX(EmployeeData[Age], ROW() - 37), "")</f>
        <v/>
      </c>
      <c r="G3586" s="6" t="str" cm="1">
        <f t="array" ref="G3586">IFERROR(INDEX(EmployeeData[Join Date], ROW() - 37), "")</f>
        <v/>
      </c>
      <c r="H3586" s="6" t="str" cm="1">
        <f t="array" ref="H3586">IFERROR(IF(INDEX(EmployeeData[Exit Date], ROW() - 37)=0, "",INDEX(EmployeeData[Exit Date], ROW() - 37)),"")</f>
        <v/>
      </c>
      <c r="I3586" s="4" t="str" cm="1">
        <f t="array" ref="I3586">IFERROR(IF(INDEX(EmployeeData[Exit Reason], ROW() - 37)=0, "",INDEX(EmployeeData[Exit Reason], ROW() - 37)),"")</f>
        <v/>
      </c>
      <c r="J3586" s="4" t="str" cm="1">
        <f t="array" ref="J3586">IFERROR(INDEX(EmployeeData[Status], ROW() - 37), "")</f>
        <v/>
      </c>
    </row>
    <row r="3587" spans="2:10" ht="19.95" customHeight="1" x14ac:dyDescent="0.3">
      <c r="B3587" s="4" t="str" cm="1">
        <f t="array" ref="B3587">IFERROR(INDEX(EmployeeData[Employee ID], ROW() - 37), "")</f>
        <v/>
      </c>
      <c r="C3587" s="4" t="str" cm="1">
        <f t="array" ref="C3587">IFERROR(INDEX(EmployeeData[Full Name], ROW() - 37), "")</f>
        <v/>
      </c>
      <c r="D3587" s="4" t="str" cm="1">
        <f t="array" ref="D3587">IFERROR(INDEX(EmployeeData[Department], ROW() - 37), "")</f>
        <v/>
      </c>
      <c r="E3587" s="4" t="str" cm="1">
        <f t="array" ref="E3587">IFERROR(INDEX(EmployeeData[Gender], ROW() - 37), "")</f>
        <v/>
      </c>
      <c r="F3587" s="4" t="str" cm="1">
        <f t="array" ref="F3587">IFERROR(INDEX(EmployeeData[Age], ROW() - 37), "")</f>
        <v/>
      </c>
      <c r="G3587" s="6" t="str" cm="1">
        <f t="array" ref="G3587">IFERROR(INDEX(EmployeeData[Join Date], ROW() - 37), "")</f>
        <v/>
      </c>
      <c r="H3587" s="6" t="str" cm="1">
        <f t="array" ref="H3587">IFERROR(IF(INDEX(EmployeeData[Exit Date], ROW() - 37)=0, "",INDEX(EmployeeData[Exit Date], ROW() - 37)),"")</f>
        <v/>
      </c>
      <c r="I3587" s="4" t="str" cm="1">
        <f t="array" ref="I3587">IFERROR(IF(INDEX(EmployeeData[Exit Reason], ROW() - 37)=0, "",INDEX(EmployeeData[Exit Reason], ROW() - 37)),"")</f>
        <v/>
      </c>
      <c r="J3587" s="4" t="str" cm="1">
        <f t="array" ref="J3587">IFERROR(INDEX(EmployeeData[Status], ROW() - 37), "")</f>
        <v/>
      </c>
    </row>
    <row r="3588" spans="2:10" ht="19.95" customHeight="1" x14ac:dyDescent="0.3">
      <c r="B3588" s="4" t="str" cm="1">
        <f t="array" ref="B3588">IFERROR(INDEX(EmployeeData[Employee ID], ROW() - 37), "")</f>
        <v/>
      </c>
      <c r="C3588" s="4" t="str" cm="1">
        <f t="array" ref="C3588">IFERROR(INDEX(EmployeeData[Full Name], ROW() - 37), "")</f>
        <v/>
      </c>
      <c r="D3588" s="4" t="str" cm="1">
        <f t="array" ref="D3588">IFERROR(INDEX(EmployeeData[Department], ROW() - 37), "")</f>
        <v/>
      </c>
      <c r="E3588" s="4" t="str" cm="1">
        <f t="array" ref="E3588">IFERROR(INDEX(EmployeeData[Gender], ROW() - 37), "")</f>
        <v/>
      </c>
      <c r="F3588" s="4" t="str" cm="1">
        <f t="array" ref="F3588">IFERROR(INDEX(EmployeeData[Age], ROW() - 37), "")</f>
        <v/>
      </c>
      <c r="G3588" s="6" t="str" cm="1">
        <f t="array" ref="G3588">IFERROR(INDEX(EmployeeData[Join Date], ROW() - 37), "")</f>
        <v/>
      </c>
      <c r="H3588" s="6" t="str" cm="1">
        <f t="array" ref="H3588">IFERROR(IF(INDEX(EmployeeData[Exit Date], ROW() - 37)=0, "",INDEX(EmployeeData[Exit Date], ROW() - 37)),"")</f>
        <v/>
      </c>
      <c r="I3588" s="4" t="str" cm="1">
        <f t="array" ref="I3588">IFERROR(IF(INDEX(EmployeeData[Exit Reason], ROW() - 37)=0, "",INDEX(EmployeeData[Exit Reason], ROW() - 37)),"")</f>
        <v/>
      </c>
      <c r="J3588" s="4" t="str" cm="1">
        <f t="array" ref="J3588">IFERROR(INDEX(EmployeeData[Status], ROW() - 37), "")</f>
        <v/>
      </c>
    </row>
    <row r="3589" spans="2:10" ht="19.95" customHeight="1" x14ac:dyDescent="0.3">
      <c r="B3589" s="4" t="str" cm="1">
        <f t="array" ref="B3589">IFERROR(INDEX(EmployeeData[Employee ID], ROW() - 37), "")</f>
        <v/>
      </c>
      <c r="C3589" s="4" t="str" cm="1">
        <f t="array" ref="C3589">IFERROR(INDEX(EmployeeData[Full Name], ROW() - 37), "")</f>
        <v/>
      </c>
      <c r="D3589" s="4" t="str" cm="1">
        <f t="array" ref="D3589">IFERROR(INDEX(EmployeeData[Department], ROW() - 37), "")</f>
        <v/>
      </c>
      <c r="E3589" s="4" t="str" cm="1">
        <f t="array" ref="E3589">IFERROR(INDEX(EmployeeData[Gender], ROW() - 37), "")</f>
        <v/>
      </c>
      <c r="F3589" s="4" t="str" cm="1">
        <f t="array" ref="F3589">IFERROR(INDEX(EmployeeData[Age], ROW() - 37), "")</f>
        <v/>
      </c>
      <c r="G3589" s="6" t="str" cm="1">
        <f t="array" ref="G3589">IFERROR(INDEX(EmployeeData[Join Date], ROW() - 37), "")</f>
        <v/>
      </c>
      <c r="H3589" s="6" t="str" cm="1">
        <f t="array" ref="H3589">IFERROR(IF(INDEX(EmployeeData[Exit Date], ROW() - 37)=0, "",INDEX(EmployeeData[Exit Date], ROW() - 37)),"")</f>
        <v/>
      </c>
      <c r="I3589" s="4" t="str" cm="1">
        <f t="array" ref="I3589">IFERROR(IF(INDEX(EmployeeData[Exit Reason], ROW() - 37)=0, "",INDEX(EmployeeData[Exit Reason], ROW() - 37)),"")</f>
        <v/>
      </c>
      <c r="J3589" s="4" t="str" cm="1">
        <f t="array" ref="J3589">IFERROR(INDEX(EmployeeData[Status], ROW() - 37), "")</f>
        <v/>
      </c>
    </row>
    <row r="3590" spans="2:10" ht="19.95" customHeight="1" x14ac:dyDescent="0.3">
      <c r="B3590" s="4" t="str" cm="1">
        <f t="array" ref="B3590">IFERROR(INDEX(EmployeeData[Employee ID], ROW() - 37), "")</f>
        <v/>
      </c>
      <c r="C3590" s="4" t="str" cm="1">
        <f t="array" ref="C3590">IFERROR(INDEX(EmployeeData[Full Name], ROW() - 37), "")</f>
        <v/>
      </c>
      <c r="D3590" s="4" t="str" cm="1">
        <f t="array" ref="D3590">IFERROR(INDEX(EmployeeData[Department], ROW() - 37), "")</f>
        <v/>
      </c>
      <c r="E3590" s="4" t="str" cm="1">
        <f t="array" ref="E3590">IFERROR(INDEX(EmployeeData[Gender], ROW() - 37), "")</f>
        <v/>
      </c>
      <c r="F3590" s="4" t="str" cm="1">
        <f t="array" ref="F3590">IFERROR(INDEX(EmployeeData[Age], ROW() - 37), "")</f>
        <v/>
      </c>
      <c r="G3590" s="6" t="str" cm="1">
        <f t="array" ref="G3590">IFERROR(INDEX(EmployeeData[Join Date], ROW() - 37), "")</f>
        <v/>
      </c>
      <c r="H3590" s="6" t="str" cm="1">
        <f t="array" ref="H3590">IFERROR(IF(INDEX(EmployeeData[Exit Date], ROW() - 37)=0, "",INDEX(EmployeeData[Exit Date], ROW() - 37)),"")</f>
        <v/>
      </c>
      <c r="I3590" s="4" t="str" cm="1">
        <f t="array" ref="I3590">IFERROR(IF(INDEX(EmployeeData[Exit Reason], ROW() - 37)=0, "",INDEX(EmployeeData[Exit Reason], ROW() - 37)),"")</f>
        <v/>
      </c>
      <c r="J3590" s="4" t="str" cm="1">
        <f t="array" ref="J3590">IFERROR(INDEX(EmployeeData[Status], ROW() - 37), "")</f>
        <v/>
      </c>
    </row>
    <row r="3591" spans="2:10" ht="19.95" customHeight="1" x14ac:dyDescent="0.3">
      <c r="B3591" s="4" t="str" cm="1">
        <f t="array" ref="B3591">IFERROR(INDEX(EmployeeData[Employee ID], ROW() - 37), "")</f>
        <v/>
      </c>
      <c r="C3591" s="4" t="str" cm="1">
        <f t="array" ref="C3591">IFERROR(INDEX(EmployeeData[Full Name], ROW() - 37), "")</f>
        <v/>
      </c>
      <c r="D3591" s="4" t="str" cm="1">
        <f t="array" ref="D3591">IFERROR(INDEX(EmployeeData[Department], ROW() - 37), "")</f>
        <v/>
      </c>
      <c r="E3591" s="4" t="str" cm="1">
        <f t="array" ref="E3591">IFERROR(INDEX(EmployeeData[Gender], ROW() - 37), "")</f>
        <v/>
      </c>
      <c r="F3591" s="4" t="str" cm="1">
        <f t="array" ref="F3591">IFERROR(INDEX(EmployeeData[Age], ROW() - 37), "")</f>
        <v/>
      </c>
      <c r="G3591" s="6" t="str" cm="1">
        <f t="array" ref="G3591">IFERROR(INDEX(EmployeeData[Join Date], ROW() - 37), "")</f>
        <v/>
      </c>
      <c r="H3591" s="6" t="str" cm="1">
        <f t="array" ref="H3591">IFERROR(IF(INDEX(EmployeeData[Exit Date], ROW() - 37)=0, "",INDEX(EmployeeData[Exit Date], ROW() - 37)),"")</f>
        <v/>
      </c>
      <c r="I3591" s="4" t="str" cm="1">
        <f t="array" ref="I3591">IFERROR(IF(INDEX(EmployeeData[Exit Reason], ROW() - 37)=0, "",INDEX(EmployeeData[Exit Reason], ROW() - 37)),"")</f>
        <v/>
      </c>
      <c r="J3591" s="4" t="str" cm="1">
        <f t="array" ref="J3591">IFERROR(INDEX(EmployeeData[Status], ROW() - 37), "")</f>
        <v/>
      </c>
    </row>
    <row r="3592" spans="2:10" ht="19.95" customHeight="1" x14ac:dyDescent="0.3">
      <c r="B3592" s="4" t="str" cm="1">
        <f t="array" ref="B3592">IFERROR(INDEX(EmployeeData[Employee ID], ROW() - 37), "")</f>
        <v/>
      </c>
      <c r="C3592" s="4" t="str" cm="1">
        <f t="array" ref="C3592">IFERROR(INDEX(EmployeeData[Full Name], ROW() - 37), "")</f>
        <v/>
      </c>
      <c r="D3592" s="4" t="str" cm="1">
        <f t="array" ref="D3592">IFERROR(INDEX(EmployeeData[Department], ROW() - 37), "")</f>
        <v/>
      </c>
      <c r="E3592" s="4" t="str" cm="1">
        <f t="array" ref="E3592">IFERROR(INDEX(EmployeeData[Gender], ROW() - 37), "")</f>
        <v/>
      </c>
      <c r="F3592" s="4" t="str" cm="1">
        <f t="array" ref="F3592">IFERROR(INDEX(EmployeeData[Age], ROW() - 37), "")</f>
        <v/>
      </c>
      <c r="G3592" s="6" t="str" cm="1">
        <f t="array" ref="G3592">IFERROR(INDEX(EmployeeData[Join Date], ROW() - 37), "")</f>
        <v/>
      </c>
      <c r="H3592" s="6" t="str" cm="1">
        <f t="array" ref="H3592">IFERROR(IF(INDEX(EmployeeData[Exit Date], ROW() - 37)=0, "",INDEX(EmployeeData[Exit Date], ROW() - 37)),"")</f>
        <v/>
      </c>
      <c r="I3592" s="4" t="str" cm="1">
        <f t="array" ref="I3592">IFERROR(IF(INDEX(EmployeeData[Exit Reason], ROW() - 37)=0, "",INDEX(EmployeeData[Exit Reason], ROW() - 37)),"")</f>
        <v/>
      </c>
      <c r="J3592" s="4" t="str" cm="1">
        <f t="array" ref="J3592">IFERROR(INDEX(EmployeeData[Status], ROW() - 37), "")</f>
        <v/>
      </c>
    </row>
    <row r="3593" spans="2:10" ht="19.95" customHeight="1" x14ac:dyDescent="0.3">
      <c r="B3593" s="4" t="str" cm="1">
        <f t="array" ref="B3593">IFERROR(INDEX(EmployeeData[Employee ID], ROW() - 37), "")</f>
        <v/>
      </c>
      <c r="C3593" s="4" t="str" cm="1">
        <f t="array" ref="C3593">IFERROR(INDEX(EmployeeData[Full Name], ROW() - 37), "")</f>
        <v/>
      </c>
      <c r="D3593" s="4" t="str" cm="1">
        <f t="array" ref="D3593">IFERROR(INDEX(EmployeeData[Department], ROW() - 37), "")</f>
        <v/>
      </c>
      <c r="E3593" s="4" t="str" cm="1">
        <f t="array" ref="E3593">IFERROR(INDEX(EmployeeData[Gender], ROW() - 37), "")</f>
        <v/>
      </c>
      <c r="F3593" s="4" t="str" cm="1">
        <f t="array" ref="F3593">IFERROR(INDEX(EmployeeData[Age], ROW() - 37), "")</f>
        <v/>
      </c>
      <c r="G3593" s="6" t="str" cm="1">
        <f t="array" ref="G3593">IFERROR(INDEX(EmployeeData[Join Date], ROW() - 37), "")</f>
        <v/>
      </c>
      <c r="H3593" s="6" t="str" cm="1">
        <f t="array" ref="H3593">IFERROR(IF(INDEX(EmployeeData[Exit Date], ROW() - 37)=0, "",INDEX(EmployeeData[Exit Date], ROW() - 37)),"")</f>
        <v/>
      </c>
      <c r="I3593" s="4" t="str" cm="1">
        <f t="array" ref="I3593">IFERROR(IF(INDEX(EmployeeData[Exit Reason], ROW() - 37)=0, "",INDEX(EmployeeData[Exit Reason], ROW() - 37)),"")</f>
        <v/>
      </c>
      <c r="J3593" s="4" t="str" cm="1">
        <f t="array" ref="J3593">IFERROR(INDEX(EmployeeData[Status], ROW() - 37), "")</f>
        <v/>
      </c>
    </row>
    <row r="3594" spans="2:10" ht="19.95" customHeight="1" x14ac:dyDescent="0.3">
      <c r="B3594" s="4" t="str" cm="1">
        <f t="array" ref="B3594">IFERROR(INDEX(EmployeeData[Employee ID], ROW() - 37), "")</f>
        <v/>
      </c>
      <c r="C3594" s="4" t="str" cm="1">
        <f t="array" ref="C3594">IFERROR(INDEX(EmployeeData[Full Name], ROW() - 37), "")</f>
        <v/>
      </c>
      <c r="D3594" s="4" t="str" cm="1">
        <f t="array" ref="D3594">IFERROR(INDEX(EmployeeData[Department], ROW() - 37), "")</f>
        <v/>
      </c>
      <c r="E3594" s="4" t="str" cm="1">
        <f t="array" ref="E3594">IFERROR(INDEX(EmployeeData[Gender], ROW() - 37), "")</f>
        <v/>
      </c>
      <c r="F3594" s="4" t="str" cm="1">
        <f t="array" ref="F3594">IFERROR(INDEX(EmployeeData[Age], ROW() - 37), "")</f>
        <v/>
      </c>
      <c r="G3594" s="6" t="str" cm="1">
        <f t="array" ref="G3594">IFERROR(INDEX(EmployeeData[Join Date], ROW() - 37), "")</f>
        <v/>
      </c>
      <c r="H3594" s="6" t="str" cm="1">
        <f t="array" ref="H3594">IFERROR(IF(INDEX(EmployeeData[Exit Date], ROW() - 37)=0, "",INDEX(EmployeeData[Exit Date], ROW() - 37)),"")</f>
        <v/>
      </c>
      <c r="I3594" s="4" t="str" cm="1">
        <f t="array" ref="I3594">IFERROR(IF(INDEX(EmployeeData[Exit Reason], ROW() - 37)=0, "",INDEX(EmployeeData[Exit Reason], ROW() - 37)),"")</f>
        <v/>
      </c>
      <c r="J3594" s="4" t="str" cm="1">
        <f t="array" ref="J3594">IFERROR(INDEX(EmployeeData[Status], ROW() - 37), "")</f>
        <v/>
      </c>
    </row>
    <row r="3595" spans="2:10" ht="19.95" customHeight="1" x14ac:dyDescent="0.3">
      <c r="B3595" s="4" t="str" cm="1">
        <f t="array" ref="B3595">IFERROR(INDEX(EmployeeData[Employee ID], ROW() - 37), "")</f>
        <v/>
      </c>
      <c r="C3595" s="4" t="str" cm="1">
        <f t="array" ref="C3595">IFERROR(INDEX(EmployeeData[Full Name], ROW() - 37), "")</f>
        <v/>
      </c>
      <c r="D3595" s="4" t="str" cm="1">
        <f t="array" ref="D3595">IFERROR(INDEX(EmployeeData[Department], ROW() - 37), "")</f>
        <v/>
      </c>
      <c r="E3595" s="4" t="str" cm="1">
        <f t="array" ref="E3595">IFERROR(INDEX(EmployeeData[Gender], ROW() - 37), "")</f>
        <v/>
      </c>
      <c r="F3595" s="4" t="str" cm="1">
        <f t="array" ref="F3595">IFERROR(INDEX(EmployeeData[Age], ROW() - 37), "")</f>
        <v/>
      </c>
      <c r="G3595" s="6" t="str" cm="1">
        <f t="array" ref="G3595">IFERROR(INDEX(EmployeeData[Join Date], ROW() - 37), "")</f>
        <v/>
      </c>
      <c r="H3595" s="6" t="str" cm="1">
        <f t="array" ref="H3595">IFERROR(IF(INDEX(EmployeeData[Exit Date], ROW() - 37)=0, "",INDEX(EmployeeData[Exit Date], ROW() - 37)),"")</f>
        <v/>
      </c>
      <c r="I3595" s="4" t="str" cm="1">
        <f t="array" ref="I3595">IFERROR(IF(INDEX(EmployeeData[Exit Reason], ROW() - 37)=0, "",INDEX(EmployeeData[Exit Reason], ROW() - 37)),"")</f>
        <v/>
      </c>
      <c r="J3595" s="4" t="str" cm="1">
        <f t="array" ref="J3595">IFERROR(INDEX(EmployeeData[Status], ROW() - 37), "")</f>
        <v/>
      </c>
    </row>
    <row r="3596" spans="2:10" ht="19.95" customHeight="1" x14ac:dyDescent="0.3">
      <c r="B3596" s="4" t="str" cm="1">
        <f t="array" ref="B3596">IFERROR(INDEX(EmployeeData[Employee ID], ROW() - 37), "")</f>
        <v/>
      </c>
      <c r="C3596" s="4" t="str" cm="1">
        <f t="array" ref="C3596">IFERROR(INDEX(EmployeeData[Full Name], ROW() - 37), "")</f>
        <v/>
      </c>
      <c r="D3596" s="4" t="str" cm="1">
        <f t="array" ref="D3596">IFERROR(INDEX(EmployeeData[Department], ROW() - 37), "")</f>
        <v/>
      </c>
      <c r="E3596" s="4" t="str" cm="1">
        <f t="array" ref="E3596">IFERROR(INDEX(EmployeeData[Gender], ROW() - 37), "")</f>
        <v/>
      </c>
      <c r="F3596" s="4" t="str" cm="1">
        <f t="array" ref="F3596">IFERROR(INDEX(EmployeeData[Age], ROW() - 37), "")</f>
        <v/>
      </c>
      <c r="G3596" s="6" t="str" cm="1">
        <f t="array" ref="G3596">IFERROR(INDEX(EmployeeData[Join Date], ROW() - 37), "")</f>
        <v/>
      </c>
      <c r="H3596" s="6" t="str" cm="1">
        <f t="array" ref="H3596">IFERROR(IF(INDEX(EmployeeData[Exit Date], ROW() - 37)=0, "",INDEX(EmployeeData[Exit Date], ROW() - 37)),"")</f>
        <v/>
      </c>
      <c r="I3596" s="4" t="str" cm="1">
        <f t="array" ref="I3596">IFERROR(IF(INDEX(EmployeeData[Exit Reason], ROW() - 37)=0, "",INDEX(EmployeeData[Exit Reason], ROW() - 37)),"")</f>
        <v/>
      </c>
      <c r="J3596" s="4" t="str" cm="1">
        <f t="array" ref="J3596">IFERROR(INDEX(EmployeeData[Status], ROW() - 37), "")</f>
        <v/>
      </c>
    </row>
    <row r="3597" spans="2:10" ht="19.95" customHeight="1" x14ac:dyDescent="0.3">
      <c r="B3597" s="4" t="str" cm="1">
        <f t="array" ref="B3597">IFERROR(INDEX(EmployeeData[Employee ID], ROW() - 37), "")</f>
        <v/>
      </c>
      <c r="C3597" s="4" t="str" cm="1">
        <f t="array" ref="C3597">IFERROR(INDEX(EmployeeData[Full Name], ROW() - 37), "")</f>
        <v/>
      </c>
      <c r="D3597" s="4" t="str" cm="1">
        <f t="array" ref="D3597">IFERROR(INDEX(EmployeeData[Department], ROW() - 37), "")</f>
        <v/>
      </c>
      <c r="E3597" s="4" t="str" cm="1">
        <f t="array" ref="E3597">IFERROR(INDEX(EmployeeData[Gender], ROW() - 37), "")</f>
        <v/>
      </c>
      <c r="F3597" s="4" t="str" cm="1">
        <f t="array" ref="F3597">IFERROR(INDEX(EmployeeData[Age], ROW() - 37), "")</f>
        <v/>
      </c>
      <c r="G3597" s="6" t="str" cm="1">
        <f t="array" ref="G3597">IFERROR(INDEX(EmployeeData[Join Date], ROW() - 37), "")</f>
        <v/>
      </c>
      <c r="H3597" s="6" t="str" cm="1">
        <f t="array" ref="H3597">IFERROR(IF(INDEX(EmployeeData[Exit Date], ROW() - 37)=0, "",INDEX(EmployeeData[Exit Date], ROW() - 37)),"")</f>
        <v/>
      </c>
      <c r="I3597" s="4" t="str" cm="1">
        <f t="array" ref="I3597">IFERROR(IF(INDEX(EmployeeData[Exit Reason], ROW() - 37)=0, "",INDEX(EmployeeData[Exit Reason], ROW() - 37)),"")</f>
        <v/>
      </c>
      <c r="J3597" s="4" t="str" cm="1">
        <f t="array" ref="J3597">IFERROR(INDEX(EmployeeData[Status], ROW() - 37), "")</f>
        <v/>
      </c>
    </row>
    <row r="3598" spans="2:10" ht="19.95" customHeight="1" x14ac:dyDescent="0.3">
      <c r="B3598" s="4" t="str" cm="1">
        <f t="array" ref="B3598">IFERROR(INDEX(EmployeeData[Employee ID], ROW() - 37), "")</f>
        <v/>
      </c>
      <c r="C3598" s="4" t="str" cm="1">
        <f t="array" ref="C3598">IFERROR(INDEX(EmployeeData[Full Name], ROW() - 37), "")</f>
        <v/>
      </c>
      <c r="D3598" s="4" t="str" cm="1">
        <f t="array" ref="D3598">IFERROR(INDEX(EmployeeData[Department], ROW() - 37), "")</f>
        <v/>
      </c>
      <c r="E3598" s="4" t="str" cm="1">
        <f t="array" ref="E3598">IFERROR(INDEX(EmployeeData[Gender], ROW() - 37), "")</f>
        <v/>
      </c>
      <c r="F3598" s="4" t="str" cm="1">
        <f t="array" ref="F3598">IFERROR(INDEX(EmployeeData[Age], ROW() - 37), "")</f>
        <v/>
      </c>
      <c r="G3598" s="6" t="str" cm="1">
        <f t="array" ref="G3598">IFERROR(INDEX(EmployeeData[Join Date], ROW() - 37), "")</f>
        <v/>
      </c>
      <c r="H3598" s="6" t="str" cm="1">
        <f t="array" ref="H3598">IFERROR(IF(INDEX(EmployeeData[Exit Date], ROW() - 37)=0, "",INDEX(EmployeeData[Exit Date], ROW() - 37)),"")</f>
        <v/>
      </c>
      <c r="I3598" s="4" t="str" cm="1">
        <f t="array" ref="I3598">IFERROR(IF(INDEX(EmployeeData[Exit Reason], ROW() - 37)=0, "",INDEX(EmployeeData[Exit Reason], ROW() - 37)),"")</f>
        <v/>
      </c>
      <c r="J3598" s="4" t="str" cm="1">
        <f t="array" ref="J3598">IFERROR(INDEX(EmployeeData[Status], ROW() - 37), "")</f>
        <v/>
      </c>
    </row>
    <row r="3599" spans="2:10" ht="19.95" customHeight="1" x14ac:dyDescent="0.3">
      <c r="B3599" s="4" t="str" cm="1">
        <f t="array" ref="B3599">IFERROR(INDEX(EmployeeData[Employee ID], ROW() - 37), "")</f>
        <v/>
      </c>
      <c r="C3599" s="4" t="str" cm="1">
        <f t="array" ref="C3599">IFERROR(INDEX(EmployeeData[Full Name], ROW() - 37), "")</f>
        <v/>
      </c>
      <c r="D3599" s="4" t="str" cm="1">
        <f t="array" ref="D3599">IFERROR(INDEX(EmployeeData[Department], ROW() - 37), "")</f>
        <v/>
      </c>
      <c r="E3599" s="4" t="str" cm="1">
        <f t="array" ref="E3599">IFERROR(INDEX(EmployeeData[Gender], ROW() - 37), "")</f>
        <v/>
      </c>
      <c r="F3599" s="4" t="str" cm="1">
        <f t="array" ref="F3599">IFERROR(INDEX(EmployeeData[Age], ROW() - 37), "")</f>
        <v/>
      </c>
      <c r="G3599" s="6" t="str" cm="1">
        <f t="array" ref="G3599">IFERROR(INDEX(EmployeeData[Join Date], ROW() - 37), "")</f>
        <v/>
      </c>
      <c r="H3599" s="6" t="str" cm="1">
        <f t="array" ref="H3599">IFERROR(IF(INDEX(EmployeeData[Exit Date], ROW() - 37)=0, "",INDEX(EmployeeData[Exit Date], ROW() - 37)),"")</f>
        <v/>
      </c>
      <c r="I3599" s="4" t="str" cm="1">
        <f t="array" ref="I3599">IFERROR(IF(INDEX(EmployeeData[Exit Reason], ROW() - 37)=0, "",INDEX(EmployeeData[Exit Reason], ROW() - 37)),"")</f>
        <v/>
      </c>
      <c r="J3599" s="4" t="str" cm="1">
        <f t="array" ref="J3599">IFERROR(INDEX(EmployeeData[Status], ROW() - 37), "")</f>
        <v/>
      </c>
    </row>
    <row r="3600" spans="2:10" ht="19.95" customHeight="1" x14ac:dyDescent="0.3">
      <c r="B3600" s="4" t="str" cm="1">
        <f t="array" ref="B3600">IFERROR(INDEX(EmployeeData[Employee ID], ROW() - 37), "")</f>
        <v/>
      </c>
      <c r="C3600" s="4" t="str" cm="1">
        <f t="array" ref="C3600">IFERROR(INDEX(EmployeeData[Full Name], ROW() - 37), "")</f>
        <v/>
      </c>
      <c r="D3600" s="4" t="str" cm="1">
        <f t="array" ref="D3600">IFERROR(INDEX(EmployeeData[Department], ROW() - 37), "")</f>
        <v/>
      </c>
      <c r="E3600" s="4" t="str" cm="1">
        <f t="array" ref="E3600">IFERROR(INDEX(EmployeeData[Gender], ROW() - 37), "")</f>
        <v/>
      </c>
      <c r="F3600" s="4" t="str" cm="1">
        <f t="array" ref="F3600">IFERROR(INDEX(EmployeeData[Age], ROW() - 37), "")</f>
        <v/>
      </c>
      <c r="G3600" s="6" t="str" cm="1">
        <f t="array" ref="G3600">IFERROR(INDEX(EmployeeData[Join Date], ROW() - 37), "")</f>
        <v/>
      </c>
      <c r="H3600" s="6" t="str" cm="1">
        <f t="array" ref="H3600">IFERROR(IF(INDEX(EmployeeData[Exit Date], ROW() - 37)=0, "",INDEX(EmployeeData[Exit Date], ROW() - 37)),"")</f>
        <v/>
      </c>
      <c r="I3600" s="4" t="str" cm="1">
        <f t="array" ref="I3600">IFERROR(IF(INDEX(EmployeeData[Exit Reason], ROW() - 37)=0, "",INDEX(EmployeeData[Exit Reason], ROW() - 37)),"")</f>
        <v/>
      </c>
      <c r="J3600" s="4" t="str" cm="1">
        <f t="array" ref="J3600">IFERROR(INDEX(EmployeeData[Status], ROW() - 37), "")</f>
        <v/>
      </c>
    </row>
    <row r="3601" spans="2:10" ht="19.95" customHeight="1" x14ac:dyDescent="0.3">
      <c r="B3601" s="4" t="str" cm="1">
        <f t="array" ref="B3601">IFERROR(INDEX(EmployeeData[Employee ID], ROW() - 37), "")</f>
        <v/>
      </c>
      <c r="C3601" s="4" t="str" cm="1">
        <f t="array" ref="C3601">IFERROR(INDEX(EmployeeData[Full Name], ROW() - 37), "")</f>
        <v/>
      </c>
      <c r="D3601" s="4" t="str" cm="1">
        <f t="array" ref="D3601">IFERROR(INDEX(EmployeeData[Department], ROW() - 37), "")</f>
        <v/>
      </c>
      <c r="E3601" s="4" t="str" cm="1">
        <f t="array" ref="E3601">IFERROR(INDEX(EmployeeData[Gender], ROW() - 37), "")</f>
        <v/>
      </c>
      <c r="F3601" s="4" t="str" cm="1">
        <f t="array" ref="F3601">IFERROR(INDEX(EmployeeData[Age], ROW() - 37), "")</f>
        <v/>
      </c>
      <c r="G3601" s="6" t="str" cm="1">
        <f t="array" ref="G3601">IFERROR(INDEX(EmployeeData[Join Date], ROW() - 37), "")</f>
        <v/>
      </c>
      <c r="H3601" s="6" t="str" cm="1">
        <f t="array" ref="H3601">IFERROR(IF(INDEX(EmployeeData[Exit Date], ROW() - 37)=0, "",INDEX(EmployeeData[Exit Date], ROW() - 37)),"")</f>
        <v/>
      </c>
      <c r="I3601" s="4" t="str" cm="1">
        <f t="array" ref="I3601">IFERROR(IF(INDEX(EmployeeData[Exit Reason], ROW() - 37)=0, "",INDEX(EmployeeData[Exit Reason], ROW() - 37)),"")</f>
        <v/>
      </c>
      <c r="J3601" s="4" t="str" cm="1">
        <f t="array" ref="J3601">IFERROR(INDEX(EmployeeData[Status], ROW() - 37), "")</f>
        <v/>
      </c>
    </row>
    <row r="3602" spans="2:10" ht="19.95" customHeight="1" x14ac:dyDescent="0.3">
      <c r="B3602" s="4" t="str" cm="1">
        <f t="array" ref="B3602">IFERROR(INDEX(EmployeeData[Employee ID], ROW() - 37), "")</f>
        <v/>
      </c>
      <c r="C3602" s="4" t="str" cm="1">
        <f t="array" ref="C3602">IFERROR(INDEX(EmployeeData[Full Name], ROW() - 37), "")</f>
        <v/>
      </c>
      <c r="D3602" s="4" t="str" cm="1">
        <f t="array" ref="D3602">IFERROR(INDEX(EmployeeData[Department], ROW() - 37), "")</f>
        <v/>
      </c>
      <c r="E3602" s="4" t="str" cm="1">
        <f t="array" ref="E3602">IFERROR(INDEX(EmployeeData[Gender], ROW() - 37), "")</f>
        <v/>
      </c>
      <c r="F3602" s="4" t="str" cm="1">
        <f t="array" ref="F3602">IFERROR(INDEX(EmployeeData[Age], ROW() - 37), "")</f>
        <v/>
      </c>
      <c r="G3602" s="6" t="str" cm="1">
        <f t="array" ref="G3602">IFERROR(INDEX(EmployeeData[Join Date], ROW() - 37), "")</f>
        <v/>
      </c>
      <c r="H3602" s="6" t="str" cm="1">
        <f t="array" ref="H3602">IFERROR(IF(INDEX(EmployeeData[Exit Date], ROW() - 37)=0, "",INDEX(EmployeeData[Exit Date], ROW() - 37)),"")</f>
        <v/>
      </c>
      <c r="I3602" s="4" t="str" cm="1">
        <f t="array" ref="I3602">IFERROR(IF(INDEX(EmployeeData[Exit Reason], ROW() - 37)=0, "",INDEX(EmployeeData[Exit Reason], ROW() - 37)),"")</f>
        <v/>
      </c>
      <c r="J3602" s="4" t="str" cm="1">
        <f t="array" ref="J3602">IFERROR(INDEX(EmployeeData[Status], ROW() - 37), "")</f>
        <v/>
      </c>
    </row>
    <row r="3603" spans="2:10" ht="19.95" customHeight="1" x14ac:dyDescent="0.3">
      <c r="B3603" s="4" t="str" cm="1">
        <f t="array" ref="B3603">IFERROR(INDEX(EmployeeData[Employee ID], ROW() - 37), "")</f>
        <v/>
      </c>
      <c r="C3603" s="4" t="str" cm="1">
        <f t="array" ref="C3603">IFERROR(INDEX(EmployeeData[Full Name], ROW() - 37), "")</f>
        <v/>
      </c>
      <c r="D3603" s="4" t="str" cm="1">
        <f t="array" ref="D3603">IFERROR(INDEX(EmployeeData[Department], ROW() - 37), "")</f>
        <v/>
      </c>
      <c r="E3603" s="4" t="str" cm="1">
        <f t="array" ref="E3603">IFERROR(INDEX(EmployeeData[Gender], ROW() - 37), "")</f>
        <v/>
      </c>
      <c r="F3603" s="4" t="str" cm="1">
        <f t="array" ref="F3603">IFERROR(INDEX(EmployeeData[Age], ROW() - 37), "")</f>
        <v/>
      </c>
      <c r="G3603" s="6" t="str" cm="1">
        <f t="array" ref="G3603">IFERROR(INDEX(EmployeeData[Join Date], ROW() - 37), "")</f>
        <v/>
      </c>
      <c r="H3603" s="6" t="str" cm="1">
        <f t="array" ref="H3603">IFERROR(IF(INDEX(EmployeeData[Exit Date], ROW() - 37)=0, "",INDEX(EmployeeData[Exit Date], ROW() - 37)),"")</f>
        <v/>
      </c>
      <c r="I3603" s="4" t="str" cm="1">
        <f t="array" ref="I3603">IFERROR(IF(INDEX(EmployeeData[Exit Reason], ROW() - 37)=0, "",INDEX(EmployeeData[Exit Reason], ROW() - 37)),"")</f>
        <v/>
      </c>
      <c r="J3603" s="4" t="str" cm="1">
        <f t="array" ref="J3603">IFERROR(INDEX(EmployeeData[Status], ROW() - 37), "")</f>
        <v/>
      </c>
    </row>
    <row r="3604" spans="2:10" ht="19.95" customHeight="1" x14ac:dyDescent="0.3">
      <c r="B3604" s="4" t="str" cm="1">
        <f t="array" ref="B3604">IFERROR(INDEX(EmployeeData[Employee ID], ROW() - 37), "")</f>
        <v/>
      </c>
      <c r="C3604" s="4" t="str" cm="1">
        <f t="array" ref="C3604">IFERROR(INDEX(EmployeeData[Full Name], ROW() - 37), "")</f>
        <v/>
      </c>
      <c r="D3604" s="4" t="str" cm="1">
        <f t="array" ref="D3604">IFERROR(INDEX(EmployeeData[Department], ROW() - 37), "")</f>
        <v/>
      </c>
      <c r="E3604" s="4" t="str" cm="1">
        <f t="array" ref="E3604">IFERROR(INDEX(EmployeeData[Gender], ROW() - 37), "")</f>
        <v/>
      </c>
      <c r="F3604" s="4" t="str" cm="1">
        <f t="array" ref="F3604">IFERROR(INDEX(EmployeeData[Age], ROW() - 37), "")</f>
        <v/>
      </c>
      <c r="G3604" s="6" t="str" cm="1">
        <f t="array" ref="G3604">IFERROR(INDEX(EmployeeData[Join Date], ROW() - 37), "")</f>
        <v/>
      </c>
      <c r="H3604" s="6" t="str" cm="1">
        <f t="array" ref="H3604">IFERROR(IF(INDEX(EmployeeData[Exit Date], ROW() - 37)=0, "",INDEX(EmployeeData[Exit Date], ROW() - 37)),"")</f>
        <v/>
      </c>
      <c r="I3604" s="4" t="str" cm="1">
        <f t="array" ref="I3604">IFERROR(IF(INDEX(EmployeeData[Exit Reason], ROW() - 37)=0, "",INDEX(EmployeeData[Exit Reason], ROW() - 37)),"")</f>
        <v/>
      </c>
      <c r="J3604" s="4" t="str" cm="1">
        <f t="array" ref="J3604">IFERROR(INDEX(EmployeeData[Status], ROW() - 37), "")</f>
        <v/>
      </c>
    </row>
    <row r="3605" spans="2:10" ht="19.95" customHeight="1" x14ac:dyDescent="0.3">
      <c r="B3605" s="4" t="str" cm="1">
        <f t="array" ref="B3605">IFERROR(INDEX(EmployeeData[Employee ID], ROW() - 37), "")</f>
        <v/>
      </c>
      <c r="C3605" s="4" t="str" cm="1">
        <f t="array" ref="C3605">IFERROR(INDEX(EmployeeData[Full Name], ROW() - 37), "")</f>
        <v/>
      </c>
      <c r="D3605" s="4" t="str" cm="1">
        <f t="array" ref="D3605">IFERROR(INDEX(EmployeeData[Department], ROW() - 37), "")</f>
        <v/>
      </c>
      <c r="E3605" s="4" t="str" cm="1">
        <f t="array" ref="E3605">IFERROR(INDEX(EmployeeData[Gender], ROW() - 37), "")</f>
        <v/>
      </c>
      <c r="F3605" s="4" t="str" cm="1">
        <f t="array" ref="F3605">IFERROR(INDEX(EmployeeData[Age], ROW() - 37), "")</f>
        <v/>
      </c>
      <c r="G3605" s="6" t="str" cm="1">
        <f t="array" ref="G3605">IFERROR(INDEX(EmployeeData[Join Date], ROW() - 37), "")</f>
        <v/>
      </c>
      <c r="H3605" s="6" t="str" cm="1">
        <f t="array" ref="H3605">IFERROR(IF(INDEX(EmployeeData[Exit Date], ROW() - 37)=0, "",INDEX(EmployeeData[Exit Date], ROW() - 37)),"")</f>
        <v/>
      </c>
      <c r="I3605" s="4" t="str" cm="1">
        <f t="array" ref="I3605">IFERROR(IF(INDEX(EmployeeData[Exit Reason], ROW() - 37)=0, "",INDEX(EmployeeData[Exit Reason], ROW() - 37)),"")</f>
        <v/>
      </c>
      <c r="J3605" s="4" t="str" cm="1">
        <f t="array" ref="J3605">IFERROR(INDEX(EmployeeData[Status], ROW() - 37), "")</f>
        <v/>
      </c>
    </row>
    <row r="3606" spans="2:10" ht="19.95" customHeight="1" x14ac:dyDescent="0.3">
      <c r="B3606" s="4" t="str" cm="1">
        <f t="array" ref="B3606">IFERROR(INDEX(EmployeeData[Employee ID], ROW() - 37), "")</f>
        <v/>
      </c>
      <c r="C3606" s="4" t="str" cm="1">
        <f t="array" ref="C3606">IFERROR(INDEX(EmployeeData[Full Name], ROW() - 37), "")</f>
        <v/>
      </c>
      <c r="D3606" s="4" t="str" cm="1">
        <f t="array" ref="D3606">IFERROR(INDEX(EmployeeData[Department], ROW() - 37), "")</f>
        <v/>
      </c>
      <c r="E3606" s="4" t="str" cm="1">
        <f t="array" ref="E3606">IFERROR(INDEX(EmployeeData[Gender], ROW() - 37), "")</f>
        <v/>
      </c>
      <c r="F3606" s="4" t="str" cm="1">
        <f t="array" ref="F3606">IFERROR(INDEX(EmployeeData[Age], ROW() - 37), "")</f>
        <v/>
      </c>
      <c r="G3606" s="6" t="str" cm="1">
        <f t="array" ref="G3606">IFERROR(INDEX(EmployeeData[Join Date], ROW() - 37), "")</f>
        <v/>
      </c>
      <c r="H3606" s="6" t="str" cm="1">
        <f t="array" ref="H3606">IFERROR(IF(INDEX(EmployeeData[Exit Date], ROW() - 37)=0, "",INDEX(EmployeeData[Exit Date], ROW() - 37)),"")</f>
        <v/>
      </c>
      <c r="I3606" s="4" t="str" cm="1">
        <f t="array" ref="I3606">IFERROR(IF(INDEX(EmployeeData[Exit Reason], ROW() - 37)=0, "",INDEX(EmployeeData[Exit Reason], ROW() - 37)),"")</f>
        <v/>
      </c>
      <c r="J3606" s="4" t="str" cm="1">
        <f t="array" ref="J3606">IFERROR(INDEX(EmployeeData[Status], ROW() - 37), "")</f>
        <v/>
      </c>
    </row>
    <row r="3607" spans="2:10" ht="19.95" customHeight="1" x14ac:dyDescent="0.3">
      <c r="B3607" s="4" t="str" cm="1">
        <f t="array" ref="B3607">IFERROR(INDEX(EmployeeData[Employee ID], ROW() - 37), "")</f>
        <v/>
      </c>
      <c r="C3607" s="4" t="str" cm="1">
        <f t="array" ref="C3607">IFERROR(INDEX(EmployeeData[Full Name], ROW() - 37), "")</f>
        <v/>
      </c>
      <c r="D3607" s="4" t="str" cm="1">
        <f t="array" ref="D3607">IFERROR(INDEX(EmployeeData[Department], ROW() - 37), "")</f>
        <v/>
      </c>
      <c r="E3607" s="4" t="str" cm="1">
        <f t="array" ref="E3607">IFERROR(INDEX(EmployeeData[Gender], ROW() - 37), "")</f>
        <v/>
      </c>
      <c r="F3607" s="4" t="str" cm="1">
        <f t="array" ref="F3607">IFERROR(INDEX(EmployeeData[Age], ROW() - 37), "")</f>
        <v/>
      </c>
      <c r="G3607" s="6" t="str" cm="1">
        <f t="array" ref="G3607">IFERROR(INDEX(EmployeeData[Join Date], ROW() - 37), "")</f>
        <v/>
      </c>
      <c r="H3607" s="6" t="str" cm="1">
        <f t="array" ref="H3607">IFERROR(IF(INDEX(EmployeeData[Exit Date], ROW() - 37)=0, "",INDEX(EmployeeData[Exit Date], ROW() - 37)),"")</f>
        <v/>
      </c>
      <c r="I3607" s="4" t="str" cm="1">
        <f t="array" ref="I3607">IFERROR(IF(INDEX(EmployeeData[Exit Reason], ROW() - 37)=0, "",INDEX(EmployeeData[Exit Reason], ROW() - 37)),"")</f>
        <v/>
      </c>
      <c r="J3607" s="4" t="str" cm="1">
        <f t="array" ref="J3607">IFERROR(INDEX(EmployeeData[Status], ROW() - 37), "")</f>
        <v/>
      </c>
    </row>
    <row r="3608" spans="2:10" ht="19.95" customHeight="1" x14ac:dyDescent="0.3">
      <c r="B3608" s="4" t="str" cm="1">
        <f t="array" ref="B3608">IFERROR(INDEX(EmployeeData[Employee ID], ROW() - 37), "")</f>
        <v/>
      </c>
      <c r="C3608" s="4" t="str" cm="1">
        <f t="array" ref="C3608">IFERROR(INDEX(EmployeeData[Full Name], ROW() - 37), "")</f>
        <v/>
      </c>
      <c r="D3608" s="4" t="str" cm="1">
        <f t="array" ref="D3608">IFERROR(INDEX(EmployeeData[Department], ROW() - 37), "")</f>
        <v/>
      </c>
      <c r="E3608" s="4" t="str" cm="1">
        <f t="array" ref="E3608">IFERROR(INDEX(EmployeeData[Gender], ROW() - 37), "")</f>
        <v/>
      </c>
      <c r="F3608" s="4" t="str" cm="1">
        <f t="array" ref="F3608">IFERROR(INDEX(EmployeeData[Age], ROW() - 37), "")</f>
        <v/>
      </c>
      <c r="G3608" s="6" t="str" cm="1">
        <f t="array" ref="G3608">IFERROR(INDEX(EmployeeData[Join Date], ROW() - 37), "")</f>
        <v/>
      </c>
      <c r="H3608" s="6" t="str" cm="1">
        <f t="array" ref="H3608">IFERROR(IF(INDEX(EmployeeData[Exit Date], ROW() - 37)=0, "",INDEX(EmployeeData[Exit Date], ROW() - 37)),"")</f>
        <v/>
      </c>
      <c r="I3608" s="4" t="str" cm="1">
        <f t="array" ref="I3608">IFERROR(IF(INDEX(EmployeeData[Exit Reason], ROW() - 37)=0, "",INDEX(EmployeeData[Exit Reason], ROW() - 37)),"")</f>
        <v/>
      </c>
      <c r="J3608" s="4" t="str" cm="1">
        <f t="array" ref="J3608">IFERROR(INDEX(EmployeeData[Status], ROW() - 37), "")</f>
        <v/>
      </c>
    </row>
    <row r="3609" spans="2:10" ht="19.95" customHeight="1" x14ac:dyDescent="0.3">
      <c r="B3609" s="4" t="str" cm="1">
        <f t="array" ref="B3609">IFERROR(INDEX(EmployeeData[Employee ID], ROW() - 37), "")</f>
        <v/>
      </c>
      <c r="C3609" s="4" t="str" cm="1">
        <f t="array" ref="C3609">IFERROR(INDEX(EmployeeData[Full Name], ROW() - 37), "")</f>
        <v/>
      </c>
      <c r="D3609" s="4" t="str" cm="1">
        <f t="array" ref="D3609">IFERROR(INDEX(EmployeeData[Department], ROW() - 37), "")</f>
        <v/>
      </c>
      <c r="E3609" s="4" t="str" cm="1">
        <f t="array" ref="E3609">IFERROR(INDEX(EmployeeData[Gender], ROW() - 37), "")</f>
        <v/>
      </c>
      <c r="F3609" s="4" t="str" cm="1">
        <f t="array" ref="F3609">IFERROR(INDEX(EmployeeData[Age], ROW() - 37), "")</f>
        <v/>
      </c>
      <c r="G3609" s="6" t="str" cm="1">
        <f t="array" ref="G3609">IFERROR(INDEX(EmployeeData[Join Date], ROW() - 37), "")</f>
        <v/>
      </c>
      <c r="H3609" s="6" t="str" cm="1">
        <f t="array" ref="H3609">IFERROR(IF(INDEX(EmployeeData[Exit Date], ROW() - 37)=0, "",INDEX(EmployeeData[Exit Date], ROW() - 37)),"")</f>
        <v/>
      </c>
      <c r="I3609" s="4" t="str" cm="1">
        <f t="array" ref="I3609">IFERROR(IF(INDEX(EmployeeData[Exit Reason], ROW() - 37)=0, "",INDEX(EmployeeData[Exit Reason], ROW() - 37)),"")</f>
        <v/>
      </c>
      <c r="J3609" s="4" t="str" cm="1">
        <f t="array" ref="J3609">IFERROR(INDEX(EmployeeData[Status], ROW() - 37), "")</f>
        <v/>
      </c>
    </row>
    <row r="3610" spans="2:10" ht="19.95" customHeight="1" x14ac:dyDescent="0.3">
      <c r="B3610" s="4" t="str" cm="1">
        <f t="array" ref="B3610">IFERROR(INDEX(EmployeeData[Employee ID], ROW() - 37), "")</f>
        <v/>
      </c>
      <c r="C3610" s="4" t="str" cm="1">
        <f t="array" ref="C3610">IFERROR(INDEX(EmployeeData[Full Name], ROW() - 37), "")</f>
        <v/>
      </c>
      <c r="D3610" s="4" t="str" cm="1">
        <f t="array" ref="D3610">IFERROR(INDEX(EmployeeData[Department], ROW() - 37), "")</f>
        <v/>
      </c>
      <c r="E3610" s="4" t="str" cm="1">
        <f t="array" ref="E3610">IFERROR(INDEX(EmployeeData[Gender], ROW() - 37), "")</f>
        <v/>
      </c>
      <c r="F3610" s="4" t="str" cm="1">
        <f t="array" ref="F3610">IFERROR(INDEX(EmployeeData[Age], ROW() - 37), "")</f>
        <v/>
      </c>
      <c r="G3610" s="6" t="str" cm="1">
        <f t="array" ref="G3610">IFERROR(INDEX(EmployeeData[Join Date], ROW() - 37), "")</f>
        <v/>
      </c>
      <c r="H3610" s="6" t="str" cm="1">
        <f t="array" ref="H3610">IFERROR(IF(INDEX(EmployeeData[Exit Date], ROW() - 37)=0, "",INDEX(EmployeeData[Exit Date], ROW() - 37)),"")</f>
        <v/>
      </c>
      <c r="I3610" s="4" t="str" cm="1">
        <f t="array" ref="I3610">IFERROR(IF(INDEX(EmployeeData[Exit Reason], ROW() - 37)=0, "",INDEX(EmployeeData[Exit Reason], ROW() - 37)),"")</f>
        <v/>
      </c>
      <c r="J3610" s="4" t="str" cm="1">
        <f t="array" ref="J3610">IFERROR(INDEX(EmployeeData[Status], ROW() - 37), "")</f>
        <v/>
      </c>
    </row>
    <row r="3611" spans="2:10" ht="19.95" customHeight="1" x14ac:dyDescent="0.3">
      <c r="B3611" s="4" t="str" cm="1">
        <f t="array" ref="B3611">IFERROR(INDEX(EmployeeData[Employee ID], ROW() - 37), "")</f>
        <v/>
      </c>
      <c r="C3611" s="4" t="str" cm="1">
        <f t="array" ref="C3611">IFERROR(INDEX(EmployeeData[Full Name], ROW() - 37), "")</f>
        <v/>
      </c>
      <c r="D3611" s="4" t="str" cm="1">
        <f t="array" ref="D3611">IFERROR(INDEX(EmployeeData[Department], ROW() - 37), "")</f>
        <v/>
      </c>
      <c r="E3611" s="4" t="str" cm="1">
        <f t="array" ref="E3611">IFERROR(INDEX(EmployeeData[Gender], ROW() - 37), "")</f>
        <v/>
      </c>
      <c r="F3611" s="4" t="str" cm="1">
        <f t="array" ref="F3611">IFERROR(INDEX(EmployeeData[Age], ROW() - 37), "")</f>
        <v/>
      </c>
      <c r="G3611" s="6" t="str" cm="1">
        <f t="array" ref="G3611">IFERROR(INDEX(EmployeeData[Join Date], ROW() - 37), "")</f>
        <v/>
      </c>
      <c r="H3611" s="6" t="str" cm="1">
        <f t="array" ref="H3611">IFERROR(IF(INDEX(EmployeeData[Exit Date], ROW() - 37)=0, "",INDEX(EmployeeData[Exit Date], ROW() - 37)),"")</f>
        <v/>
      </c>
      <c r="I3611" s="4" t="str" cm="1">
        <f t="array" ref="I3611">IFERROR(IF(INDEX(EmployeeData[Exit Reason], ROW() - 37)=0, "",INDEX(EmployeeData[Exit Reason], ROW() - 37)),"")</f>
        <v/>
      </c>
      <c r="J3611" s="4" t="str" cm="1">
        <f t="array" ref="J3611">IFERROR(INDEX(EmployeeData[Status], ROW() - 37), "")</f>
        <v/>
      </c>
    </row>
    <row r="3612" spans="2:10" ht="19.95" customHeight="1" x14ac:dyDescent="0.3">
      <c r="B3612" s="4" t="str" cm="1">
        <f t="array" ref="B3612">IFERROR(INDEX(EmployeeData[Employee ID], ROW() - 37), "")</f>
        <v/>
      </c>
      <c r="C3612" s="4" t="str" cm="1">
        <f t="array" ref="C3612">IFERROR(INDEX(EmployeeData[Full Name], ROW() - 37), "")</f>
        <v/>
      </c>
      <c r="D3612" s="4" t="str" cm="1">
        <f t="array" ref="D3612">IFERROR(INDEX(EmployeeData[Department], ROW() - 37), "")</f>
        <v/>
      </c>
      <c r="E3612" s="4" t="str" cm="1">
        <f t="array" ref="E3612">IFERROR(INDEX(EmployeeData[Gender], ROW() - 37), "")</f>
        <v/>
      </c>
      <c r="F3612" s="4" t="str" cm="1">
        <f t="array" ref="F3612">IFERROR(INDEX(EmployeeData[Age], ROW() - 37), "")</f>
        <v/>
      </c>
      <c r="G3612" s="6" t="str" cm="1">
        <f t="array" ref="G3612">IFERROR(INDEX(EmployeeData[Join Date], ROW() - 37), "")</f>
        <v/>
      </c>
      <c r="H3612" s="6" t="str" cm="1">
        <f t="array" ref="H3612">IFERROR(IF(INDEX(EmployeeData[Exit Date], ROW() - 37)=0, "",INDEX(EmployeeData[Exit Date], ROW() - 37)),"")</f>
        <v/>
      </c>
      <c r="I3612" s="4" t="str" cm="1">
        <f t="array" ref="I3612">IFERROR(IF(INDEX(EmployeeData[Exit Reason], ROW() - 37)=0, "",INDEX(EmployeeData[Exit Reason], ROW() - 37)),"")</f>
        <v/>
      </c>
      <c r="J3612" s="4" t="str" cm="1">
        <f t="array" ref="J3612">IFERROR(INDEX(EmployeeData[Status], ROW() - 37), "")</f>
        <v/>
      </c>
    </row>
    <row r="3613" spans="2:10" ht="19.95" customHeight="1" x14ac:dyDescent="0.3">
      <c r="B3613" s="4" t="str" cm="1">
        <f t="array" ref="B3613">IFERROR(INDEX(EmployeeData[Employee ID], ROW() - 37), "")</f>
        <v/>
      </c>
      <c r="C3613" s="4" t="str" cm="1">
        <f t="array" ref="C3613">IFERROR(INDEX(EmployeeData[Full Name], ROW() - 37), "")</f>
        <v/>
      </c>
      <c r="D3613" s="4" t="str" cm="1">
        <f t="array" ref="D3613">IFERROR(INDEX(EmployeeData[Department], ROW() - 37), "")</f>
        <v/>
      </c>
      <c r="E3613" s="4" t="str" cm="1">
        <f t="array" ref="E3613">IFERROR(INDEX(EmployeeData[Gender], ROW() - 37), "")</f>
        <v/>
      </c>
      <c r="F3613" s="4" t="str" cm="1">
        <f t="array" ref="F3613">IFERROR(INDEX(EmployeeData[Age], ROW() - 37), "")</f>
        <v/>
      </c>
      <c r="G3613" s="6" t="str" cm="1">
        <f t="array" ref="G3613">IFERROR(INDEX(EmployeeData[Join Date], ROW() - 37), "")</f>
        <v/>
      </c>
      <c r="H3613" s="6" t="str" cm="1">
        <f t="array" ref="H3613">IFERROR(IF(INDEX(EmployeeData[Exit Date], ROW() - 37)=0, "",INDEX(EmployeeData[Exit Date], ROW() - 37)),"")</f>
        <v/>
      </c>
      <c r="I3613" s="4" t="str" cm="1">
        <f t="array" ref="I3613">IFERROR(IF(INDEX(EmployeeData[Exit Reason], ROW() - 37)=0, "",INDEX(EmployeeData[Exit Reason], ROW() - 37)),"")</f>
        <v/>
      </c>
      <c r="J3613" s="4" t="str" cm="1">
        <f t="array" ref="J3613">IFERROR(INDEX(EmployeeData[Status], ROW() - 37), "")</f>
        <v/>
      </c>
    </row>
    <row r="3614" spans="2:10" ht="19.95" customHeight="1" x14ac:dyDescent="0.3">
      <c r="B3614" s="4" t="str" cm="1">
        <f t="array" ref="B3614">IFERROR(INDEX(EmployeeData[Employee ID], ROW() - 37), "")</f>
        <v/>
      </c>
      <c r="C3614" s="4" t="str" cm="1">
        <f t="array" ref="C3614">IFERROR(INDEX(EmployeeData[Full Name], ROW() - 37), "")</f>
        <v/>
      </c>
      <c r="D3614" s="4" t="str" cm="1">
        <f t="array" ref="D3614">IFERROR(INDEX(EmployeeData[Department], ROW() - 37), "")</f>
        <v/>
      </c>
      <c r="E3614" s="4" t="str" cm="1">
        <f t="array" ref="E3614">IFERROR(INDEX(EmployeeData[Gender], ROW() - 37), "")</f>
        <v/>
      </c>
      <c r="F3614" s="4" t="str" cm="1">
        <f t="array" ref="F3614">IFERROR(INDEX(EmployeeData[Age], ROW() - 37), "")</f>
        <v/>
      </c>
      <c r="G3614" s="6" t="str" cm="1">
        <f t="array" ref="G3614">IFERROR(INDEX(EmployeeData[Join Date], ROW() - 37), "")</f>
        <v/>
      </c>
      <c r="H3614" s="6" t="str" cm="1">
        <f t="array" ref="H3614">IFERROR(IF(INDEX(EmployeeData[Exit Date], ROW() - 37)=0, "",INDEX(EmployeeData[Exit Date], ROW() - 37)),"")</f>
        <v/>
      </c>
      <c r="I3614" s="4" t="str" cm="1">
        <f t="array" ref="I3614">IFERROR(IF(INDEX(EmployeeData[Exit Reason], ROW() - 37)=0, "",INDEX(EmployeeData[Exit Reason], ROW() - 37)),"")</f>
        <v/>
      </c>
      <c r="J3614" s="4" t="str" cm="1">
        <f t="array" ref="J3614">IFERROR(INDEX(EmployeeData[Status], ROW() - 37), "")</f>
        <v/>
      </c>
    </row>
    <row r="3615" spans="2:10" ht="19.95" customHeight="1" x14ac:dyDescent="0.3">
      <c r="B3615" s="4" t="str" cm="1">
        <f t="array" ref="B3615">IFERROR(INDEX(EmployeeData[Employee ID], ROW() - 37), "")</f>
        <v/>
      </c>
      <c r="C3615" s="4" t="str" cm="1">
        <f t="array" ref="C3615">IFERROR(INDEX(EmployeeData[Full Name], ROW() - 37), "")</f>
        <v/>
      </c>
      <c r="D3615" s="4" t="str" cm="1">
        <f t="array" ref="D3615">IFERROR(INDEX(EmployeeData[Department], ROW() - 37), "")</f>
        <v/>
      </c>
      <c r="E3615" s="4" t="str" cm="1">
        <f t="array" ref="E3615">IFERROR(INDEX(EmployeeData[Gender], ROW() - 37), "")</f>
        <v/>
      </c>
      <c r="F3615" s="4" t="str" cm="1">
        <f t="array" ref="F3615">IFERROR(INDEX(EmployeeData[Age], ROW() - 37), "")</f>
        <v/>
      </c>
      <c r="G3615" s="6" t="str" cm="1">
        <f t="array" ref="G3615">IFERROR(INDEX(EmployeeData[Join Date], ROW() - 37), "")</f>
        <v/>
      </c>
      <c r="H3615" s="6" t="str" cm="1">
        <f t="array" ref="H3615">IFERROR(IF(INDEX(EmployeeData[Exit Date], ROW() - 37)=0, "",INDEX(EmployeeData[Exit Date], ROW() - 37)),"")</f>
        <v/>
      </c>
      <c r="I3615" s="4" t="str" cm="1">
        <f t="array" ref="I3615">IFERROR(IF(INDEX(EmployeeData[Exit Reason], ROW() - 37)=0, "",INDEX(EmployeeData[Exit Reason], ROW() - 37)),"")</f>
        <v/>
      </c>
      <c r="J3615" s="4" t="str" cm="1">
        <f t="array" ref="J3615">IFERROR(INDEX(EmployeeData[Status], ROW() - 37), "")</f>
        <v/>
      </c>
    </row>
    <row r="3616" spans="2:10" ht="19.95" customHeight="1" x14ac:dyDescent="0.3">
      <c r="B3616" s="4" t="str" cm="1">
        <f t="array" ref="B3616">IFERROR(INDEX(EmployeeData[Employee ID], ROW() - 37), "")</f>
        <v/>
      </c>
      <c r="C3616" s="4" t="str" cm="1">
        <f t="array" ref="C3616">IFERROR(INDEX(EmployeeData[Full Name], ROW() - 37), "")</f>
        <v/>
      </c>
      <c r="D3616" s="4" t="str" cm="1">
        <f t="array" ref="D3616">IFERROR(INDEX(EmployeeData[Department], ROW() - 37), "")</f>
        <v/>
      </c>
      <c r="E3616" s="4" t="str" cm="1">
        <f t="array" ref="E3616">IFERROR(INDEX(EmployeeData[Gender], ROW() - 37), "")</f>
        <v/>
      </c>
      <c r="F3616" s="4" t="str" cm="1">
        <f t="array" ref="F3616">IFERROR(INDEX(EmployeeData[Age], ROW() - 37), "")</f>
        <v/>
      </c>
      <c r="G3616" s="6" t="str" cm="1">
        <f t="array" ref="G3616">IFERROR(INDEX(EmployeeData[Join Date], ROW() - 37), "")</f>
        <v/>
      </c>
      <c r="H3616" s="6" t="str" cm="1">
        <f t="array" ref="H3616">IFERROR(IF(INDEX(EmployeeData[Exit Date], ROW() - 37)=0, "",INDEX(EmployeeData[Exit Date], ROW() - 37)),"")</f>
        <v/>
      </c>
      <c r="I3616" s="4" t="str" cm="1">
        <f t="array" ref="I3616">IFERROR(IF(INDEX(EmployeeData[Exit Reason], ROW() - 37)=0, "",INDEX(EmployeeData[Exit Reason], ROW() - 37)),"")</f>
        <v/>
      </c>
      <c r="J3616" s="4" t="str" cm="1">
        <f t="array" ref="J3616">IFERROR(INDEX(EmployeeData[Status], ROW() - 37), "")</f>
        <v/>
      </c>
    </row>
    <row r="3617" spans="2:10" ht="19.95" customHeight="1" x14ac:dyDescent="0.3">
      <c r="B3617" s="4" t="str" cm="1">
        <f t="array" ref="B3617">IFERROR(INDEX(EmployeeData[Employee ID], ROW() - 37), "")</f>
        <v/>
      </c>
      <c r="C3617" s="4" t="str" cm="1">
        <f t="array" ref="C3617">IFERROR(INDEX(EmployeeData[Full Name], ROW() - 37), "")</f>
        <v/>
      </c>
      <c r="D3617" s="4" t="str" cm="1">
        <f t="array" ref="D3617">IFERROR(INDEX(EmployeeData[Department], ROW() - 37), "")</f>
        <v/>
      </c>
      <c r="E3617" s="4" t="str" cm="1">
        <f t="array" ref="E3617">IFERROR(INDEX(EmployeeData[Gender], ROW() - 37), "")</f>
        <v/>
      </c>
      <c r="F3617" s="4" t="str" cm="1">
        <f t="array" ref="F3617">IFERROR(INDEX(EmployeeData[Age], ROW() - 37), "")</f>
        <v/>
      </c>
      <c r="G3617" s="6" t="str" cm="1">
        <f t="array" ref="G3617">IFERROR(INDEX(EmployeeData[Join Date], ROW() - 37), "")</f>
        <v/>
      </c>
      <c r="H3617" s="6" t="str" cm="1">
        <f t="array" ref="H3617">IFERROR(IF(INDEX(EmployeeData[Exit Date], ROW() - 37)=0, "",INDEX(EmployeeData[Exit Date], ROW() - 37)),"")</f>
        <v/>
      </c>
      <c r="I3617" s="4" t="str" cm="1">
        <f t="array" ref="I3617">IFERROR(IF(INDEX(EmployeeData[Exit Reason], ROW() - 37)=0, "",INDEX(EmployeeData[Exit Reason], ROW() - 37)),"")</f>
        <v/>
      </c>
      <c r="J3617" s="4" t="str" cm="1">
        <f t="array" ref="J3617">IFERROR(INDEX(EmployeeData[Status], ROW() - 37), "")</f>
        <v/>
      </c>
    </row>
    <row r="3618" spans="2:10" ht="19.95" customHeight="1" x14ac:dyDescent="0.3">
      <c r="B3618" s="4" t="str" cm="1">
        <f t="array" ref="B3618">IFERROR(INDEX(EmployeeData[Employee ID], ROW() - 37), "")</f>
        <v/>
      </c>
      <c r="C3618" s="4" t="str" cm="1">
        <f t="array" ref="C3618">IFERROR(INDEX(EmployeeData[Full Name], ROW() - 37), "")</f>
        <v/>
      </c>
      <c r="D3618" s="4" t="str" cm="1">
        <f t="array" ref="D3618">IFERROR(INDEX(EmployeeData[Department], ROW() - 37), "")</f>
        <v/>
      </c>
      <c r="E3618" s="4" t="str" cm="1">
        <f t="array" ref="E3618">IFERROR(INDEX(EmployeeData[Gender], ROW() - 37), "")</f>
        <v/>
      </c>
      <c r="F3618" s="4" t="str" cm="1">
        <f t="array" ref="F3618">IFERROR(INDEX(EmployeeData[Age], ROW() - 37), "")</f>
        <v/>
      </c>
      <c r="G3618" s="6" t="str" cm="1">
        <f t="array" ref="G3618">IFERROR(INDEX(EmployeeData[Join Date], ROW() - 37), "")</f>
        <v/>
      </c>
      <c r="H3618" s="6" t="str" cm="1">
        <f t="array" ref="H3618">IFERROR(IF(INDEX(EmployeeData[Exit Date], ROW() - 37)=0, "",INDEX(EmployeeData[Exit Date], ROW() - 37)),"")</f>
        <v/>
      </c>
      <c r="I3618" s="4" t="str" cm="1">
        <f t="array" ref="I3618">IFERROR(IF(INDEX(EmployeeData[Exit Reason], ROW() - 37)=0, "",INDEX(EmployeeData[Exit Reason], ROW() - 37)),"")</f>
        <v/>
      </c>
      <c r="J3618" s="4" t="str" cm="1">
        <f t="array" ref="J3618">IFERROR(INDEX(EmployeeData[Status], ROW() - 37), "")</f>
        <v/>
      </c>
    </row>
    <row r="3619" spans="2:10" ht="19.95" customHeight="1" x14ac:dyDescent="0.3">
      <c r="B3619" s="4" t="str" cm="1">
        <f t="array" ref="B3619">IFERROR(INDEX(EmployeeData[Employee ID], ROW() - 37), "")</f>
        <v/>
      </c>
      <c r="C3619" s="4" t="str" cm="1">
        <f t="array" ref="C3619">IFERROR(INDEX(EmployeeData[Full Name], ROW() - 37), "")</f>
        <v/>
      </c>
      <c r="D3619" s="4" t="str" cm="1">
        <f t="array" ref="D3619">IFERROR(INDEX(EmployeeData[Department], ROW() - 37), "")</f>
        <v/>
      </c>
      <c r="E3619" s="4" t="str" cm="1">
        <f t="array" ref="E3619">IFERROR(INDEX(EmployeeData[Gender], ROW() - 37), "")</f>
        <v/>
      </c>
      <c r="F3619" s="4" t="str" cm="1">
        <f t="array" ref="F3619">IFERROR(INDEX(EmployeeData[Age], ROW() - 37), "")</f>
        <v/>
      </c>
      <c r="G3619" s="6" t="str" cm="1">
        <f t="array" ref="G3619">IFERROR(INDEX(EmployeeData[Join Date], ROW() - 37), "")</f>
        <v/>
      </c>
      <c r="H3619" s="6" t="str" cm="1">
        <f t="array" ref="H3619">IFERROR(IF(INDEX(EmployeeData[Exit Date], ROW() - 37)=0, "",INDEX(EmployeeData[Exit Date], ROW() - 37)),"")</f>
        <v/>
      </c>
      <c r="I3619" s="4" t="str" cm="1">
        <f t="array" ref="I3619">IFERROR(IF(INDEX(EmployeeData[Exit Reason], ROW() - 37)=0, "",INDEX(EmployeeData[Exit Reason], ROW() - 37)),"")</f>
        <v/>
      </c>
      <c r="J3619" s="4" t="str" cm="1">
        <f t="array" ref="J3619">IFERROR(INDEX(EmployeeData[Status], ROW() - 37), "")</f>
        <v/>
      </c>
    </row>
    <row r="3620" spans="2:10" ht="19.95" customHeight="1" x14ac:dyDescent="0.3">
      <c r="B3620" s="4" t="str" cm="1">
        <f t="array" ref="B3620">IFERROR(INDEX(EmployeeData[Employee ID], ROW() - 37), "")</f>
        <v/>
      </c>
      <c r="C3620" s="4" t="str" cm="1">
        <f t="array" ref="C3620">IFERROR(INDEX(EmployeeData[Full Name], ROW() - 37), "")</f>
        <v/>
      </c>
      <c r="D3620" s="4" t="str" cm="1">
        <f t="array" ref="D3620">IFERROR(INDEX(EmployeeData[Department], ROW() - 37), "")</f>
        <v/>
      </c>
      <c r="E3620" s="4" t="str" cm="1">
        <f t="array" ref="E3620">IFERROR(INDEX(EmployeeData[Gender], ROW() - 37), "")</f>
        <v/>
      </c>
      <c r="F3620" s="4" t="str" cm="1">
        <f t="array" ref="F3620">IFERROR(INDEX(EmployeeData[Age], ROW() - 37), "")</f>
        <v/>
      </c>
      <c r="G3620" s="6" t="str" cm="1">
        <f t="array" ref="G3620">IFERROR(INDEX(EmployeeData[Join Date], ROW() - 37), "")</f>
        <v/>
      </c>
      <c r="H3620" s="6" t="str" cm="1">
        <f t="array" ref="H3620">IFERROR(IF(INDEX(EmployeeData[Exit Date], ROW() - 37)=0, "",INDEX(EmployeeData[Exit Date], ROW() - 37)),"")</f>
        <v/>
      </c>
      <c r="I3620" s="4" t="str" cm="1">
        <f t="array" ref="I3620">IFERROR(IF(INDEX(EmployeeData[Exit Reason], ROW() - 37)=0, "",INDEX(EmployeeData[Exit Reason], ROW() - 37)),"")</f>
        <v/>
      </c>
      <c r="J3620" s="4" t="str" cm="1">
        <f t="array" ref="J3620">IFERROR(INDEX(EmployeeData[Status], ROW() - 37), "")</f>
        <v/>
      </c>
    </row>
    <row r="3621" spans="2:10" ht="19.95" customHeight="1" x14ac:dyDescent="0.3">
      <c r="B3621" s="4" t="str" cm="1">
        <f t="array" ref="B3621">IFERROR(INDEX(EmployeeData[Employee ID], ROW() - 37), "")</f>
        <v/>
      </c>
      <c r="C3621" s="4" t="str" cm="1">
        <f t="array" ref="C3621">IFERROR(INDEX(EmployeeData[Full Name], ROW() - 37), "")</f>
        <v/>
      </c>
      <c r="D3621" s="4" t="str" cm="1">
        <f t="array" ref="D3621">IFERROR(INDEX(EmployeeData[Department], ROW() - 37), "")</f>
        <v/>
      </c>
      <c r="E3621" s="4" t="str" cm="1">
        <f t="array" ref="E3621">IFERROR(INDEX(EmployeeData[Gender], ROW() - 37), "")</f>
        <v/>
      </c>
      <c r="F3621" s="4" t="str" cm="1">
        <f t="array" ref="F3621">IFERROR(INDEX(EmployeeData[Age], ROW() - 37), "")</f>
        <v/>
      </c>
      <c r="G3621" s="6" t="str" cm="1">
        <f t="array" ref="G3621">IFERROR(INDEX(EmployeeData[Join Date], ROW() - 37), "")</f>
        <v/>
      </c>
      <c r="H3621" s="6" t="str" cm="1">
        <f t="array" ref="H3621">IFERROR(IF(INDEX(EmployeeData[Exit Date], ROW() - 37)=0, "",INDEX(EmployeeData[Exit Date], ROW() - 37)),"")</f>
        <v/>
      </c>
      <c r="I3621" s="4" t="str" cm="1">
        <f t="array" ref="I3621">IFERROR(IF(INDEX(EmployeeData[Exit Reason], ROW() - 37)=0, "",INDEX(EmployeeData[Exit Reason], ROW() - 37)),"")</f>
        <v/>
      </c>
      <c r="J3621" s="4" t="str" cm="1">
        <f t="array" ref="J3621">IFERROR(INDEX(EmployeeData[Status], ROW() - 37), "")</f>
        <v/>
      </c>
    </row>
    <row r="3622" spans="2:10" ht="19.95" customHeight="1" x14ac:dyDescent="0.3">
      <c r="B3622" s="4" t="str" cm="1">
        <f t="array" ref="B3622">IFERROR(INDEX(EmployeeData[Employee ID], ROW() - 37), "")</f>
        <v/>
      </c>
      <c r="C3622" s="4" t="str" cm="1">
        <f t="array" ref="C3622">IFERROR(INDEX(EmployeeData[Full Name], ROW() - 37), "")</f>
        <v/>
      </c>
      <c r="D3622" s="4" t="str" cm="1">
        <f t="array" ref="D3622">IFERROR(INDEX(EmployeeData[Department], ROW() - 37), "")</f>
        <v/>
      </c>
      <c r="E3622" s="4" t="str" cm="1">
        <f t="array" ref="E3622">IFERROR(INDEX(EmployeeData[Gender], ROW() - 37), "")</f>
        <v/>
      </c>
      <c r="F3622" s="4" t="str" cm="1">
        <f t="array" ref="F3622">IFERROR(INDEX(EmployeeData[Age], ROW() - 37), "")</f>
        <v/>
      </c>
      <c r="G3622" s="6" t="str" cm="1">
        <f t="array" ref="G3622">IFERROR(INDEX(EmployeeData[Join Date], ROW() - 37), "")</f>
        <v/>
      </c>
      <c r="H3622" s="6" t="str" cm="1">
        <f t="array" ref="H3622">IFERROR(IF(INDEX(EmployeeData[Exit Date], ROW() - 37)=0, "",INDEX(EmployeeData[Exit Date], ROW() - 37)),"")</f>
        <v/>
      </c>
      <c r="I3622" s="4" t="str" cm="1">
        <f t="array" ref="I3622">IFERROR(IF(INDEX(EmployeeData[Exit Reason], ROW() - 37)=0, "",INDEX(EmployeeData[Exit Reason], ROW() - 37)),"")</f>
        <v/>
      </c>
      <c r="J3622" s="4" t="str" cm="1">
        <f t="array" ref="J3622">IFERROR(INDEX(EmployeeData[Status], ROW() - 37), "")</f>
        <v/>
      </c>
    </row>
    <row r="3623" spans="2:10" ht="19.95" customHeight="1" x14ac:dyDescent="0.3">
      <c r="B3623" s="4" t="str" cm="1">
        <f t="array" ref="B3623">IFERROR(INDEX(EmployeeData[Employee ID], ROW() - 37), "")</f>
        <v/>
      </c>
      <c r="C3623" s="4" t="str" cm="1">
        <f t="array" ref="C3623">IFERROR(INDEX(EmployeeData[Full Name], ROW() - 37), "")</f>
        <v/>
      </c>
      <c r="D3623" s="4" t="str" cm="1">
        <f t="array" ref="D3623">IFERROR(INDEX(EmployeeData[Department], ROW() - 37), "")</f>
        <v/>
      </c>
      <c r="E3623" s="4" t="str" cm="1">
        <f t="array" ref="E3623">IFERROR(INDEX(EmployeeData[Gender], ROW() - 37), "")</f>
        <v/>
      </c>
      <c r="F3623" s="4" t="str" cm="1">
        <f t="array" ref="F3623">IFERROR(INDEX(EmployeeData[Age], ROW() - 37), "")</f>
        <v/>
      </c>
      <c r="G3623" s="6" t="str" cm="1">
        <f t="array" ref="G3623">IFERROR(INDEX(EmployeeData[Join Date], ROW() - 37), "")</f>
        <v/>
      </c>
      <c r="H3623" s="6" t="str" cm="1">
        <f t="array" ref="H3623">IFERROR(IF(INDEX(EmployeeData[Exit Date], ROW() - 37)=0, "",INDEX(EmployeeData[Exit Date], ROW() - 37)),"")</f>
        <v/>
      </c>
      <c r="I3623" s="4" t="str" cm="1">
        <f t="array" ref="I3623">IFERROR(IF(INDEX(EmployeeData[Exit Reason], ROW() - 37)=0, "",INDEX(EmployeeData[Exit Reason], ROW() - 37)),"")</f>
        <v/>
      </c>
      <c r="J3623" s="4" t="str" cm="1">
        <f t="array" ref="J3623">IFERROR(INDEX(EmployeeData[Status], ROW() - 37), "")</f>
        <v/>
      </c>
    </row>
    <row r="3624" spans="2:10" ht="19.95" customHeight="1" x14ac:dyDescent="0.3">
      <c r="B3624" s="4" t="str" cm="1">
        <f t="array" ref="B3624">IFERROR(INDEX(EmployeeData[Employee ID], ROW() - 37), "")</f>
        <v/>
      </c>
      <c r="C3624" s="4" t="str" cm="1">
        <f t="array" ref="C3624">IFERROR(INDEX(EmployeeData[Full Name], ROW() - 37), "")</f>
        <v/>
      </c>
      <c r="D3624" s="4" t="str" cm="1">
        <f t="array" ref="D3624">IFERROR(INDEX(EmployeeData[Department], ROW() - 37), "")</f>
        <v/>
      </c>
      <c r="E3624" s="4" t="str" cm="1">
        <f t="array" ref="E3624">IFERROR(INDEX(EmployeeData[Gender], ROW() - 37), "")</f>
        <v/>
      </c>
      <c r="F3624" s="4" t="str" cm="1">
        <f t="array" ref="F3624">IFERROR(INDEX(EmployeeData[Age], ROW() - 37), "")</f>
        <v/>
      </c>
      <c r="G3624" s="6" t="str" cm="1">
        <f t="array" ref="G3624">IFERROR(INDEX(EmployeeData[Join Date], ROW() - 37), "")</f>
        <v/>
      </c>
      <c r="H3624" s="6" t="str" cm="1">
        <f t="array" ref="H3624">IFERROR(IF(INDEX(EmployeeData[Exit Date], ROW() - 37)=0, "",INDEX(EmployeeData[Exit Date], ROW() - 37)),"")</f>
        <v/>
      </c>
      <c r="I3624" s="4" t="str" cm="1">
        <f t="array" ref="I3624">IFERROR(IF(INDEX(EmployeeData[Exit Reason], ROW() - 37)=0, "",INDEX(EmployeeData[Exit Reason], ROW() - 37)),"")</f>
        <v/>
      </c>
      <c r="J3624" s="4" t="str" cm="1">
        <f t="array" ref="J3624">IFERROR(INDEX(EmployeeData[Status], ROW() - 37), "")</f>
        <v/>
      </c>
    </row>
    <row r="3625" spans="2:10" ht="19.95" customHeight="1" x14ac:dyDescent="0.3">
      <c r="B3625" s="4" t="str" cm="1">
        <f t="array" ref="B3625">IFERROR(INDEX(EmployeeData[Employee ID], ROW() - 37), "")</f>
        <v/>
      </c>
      <c r="C3625" s="4" t="str" cm="1">
        <f t="array" ref="C3625">IFERROR(INDEX(EmployeeData[Full Name], ROW() - 37), "")</f>
        <v/>
      </c>
      <c r="D3625" s="4" t="str" cm="1">
        <f t="array" ref="D3625">IFERROR(INDEX(EmployeeData[Department], ROW() - 37), "")</f>
        <v/>
      </c>
      <c r="E3625" s="4" t="str" cm="1">
        <f t="array" ref="E3625">IFERROR(INDEX(EmployeeData[Gender], ROW() - 37), "")</f>
        <v/>
      </c>
      <c r="F3625" s="4" t="str" cm="1">
        <f t="array" ref="F3625">IFERROR(INDEX(EmployeeData[Age], ROW() - 37), "")</f>
        <v/>
      </c>
      <c r="G3625" s="6" t="str" cm="1">
        <f t="array" ref="G3625">IFERROR(INDEX(EmployeeData[Join Date], ROW() - 37), "")</f>
        <v/>
      </c>
      <c r="H3625" s="6" t="str" cm="1">
        <f t="array" ref="H3625">IFERROR(IF(INDEX(EmployeeData[Exit Date], ROW() - 37)=0, "",INDEX(EmployeeData[Exit Date], ROW() - 37)),"")</f>
        <v/>
      </c>
      <c r="I3625" s="4" t="str" cm="1">
        <f t="array" ref="I3625">IFERROR(IF(INDEX(EmployeeData[Exit Reason], ROW() - 37)=0, "",INDEX(EmployeeData[Exit Reason], ROW() - 37)),"")</f>
        <v/>
      </c>
      <c r="J3625" s="4" t="str" cm="1">
        <f t="array" ref="J3625">IFERROR(INDEX(EmployeeData[Status], ROW() - 37), "")</f>
        <v/>
      </c>
    </row>
    <row r="3626" spans="2:10" ht="19.95" customHeight="1" x14ac:dyDescent="0.3">
      <c r="B3626" s="4" t="str" cm="1">
        <f t="array" ref="B3626">IFERROR(INDEX(EmployeeData[Employee ID], ROW() - 37), "")</f>
        <v/>
      </c>
      <c r="C3626" s="4" t="str" cm="1">
        <f t="array" ref="C3626">IFERROR(INDEX(EmployeeData[Full Name], ROW() - 37), "")</f>
        <v/>
      </c>
      <c r="D3626" s="4" t="str" cm="1">
        <f t="array" ref="D3626">IFERROR(INDEX(EmployeeData[Department], ROW() - 37), "")</f>
        <v/>
      </c>
      <c r="E3626" s="4" t="str" cm="1">
        <f t="array" ref="E3626">IFERROR(INDEX(EmployeeData[Gender], ROW() - 37), "")</f>
        <v/>
      </c>
      <c r="F3626" s="4" t="str" cm="1">
        <f t="array" ref="F3626">IFERROR(INDEX(EmployeeData[Age], ROW() - 37), "")</f>
        <v/>
      </c>
      <c r="G3626" s="6" t="str" cm="1">
        <f t="array" ref="G3626">IFERROR(INDEX(EmployeeData[Join Date], ROW() - 37), "")</f>
        <v/>
      </c>
      <c r="H3626" s="6" t="str" cm="1">
        <f t="array" ref="H3626">IFERROR(IF(INDEX(EmployeeData[Exit Date], ROW() - 37)=0, "",INDEX(EmployeeData[Exit Date], ROW() - 37)),"")</f>
        <v/>
      </c>
      <c r="I3626" s="4" t="str" cm="1">
        <f t="array" ref="I3626">IFERROR(IF(INDEX(EmployeeData[Exit Reason], ROW() - 37)=0, "",INDEX(EmployeeData[Exit Reason], ROW() - 37)),"")</f>
        <v/>
      </c>
      <c r="J3626" s="4" t="str" cm="1">
        <f t="array" ref="J3626">IFERROR(INDEX(EmployeeData[Status], ROW() - 37), "")</f>
        <v/>
      </c>
    </row>
    <row r="3627" spans="2:10" ht="19.95" customHeight="1" x14ac:dyDescent="0.3">
      <c r="B3627" s="4" t="str" cm="1">
        <f t="array" ref="B3627">IFERROR(INDEX(EmployeeData[Employee ID], ROW() - 37), "")</f>
        <v/>
      </c>
      <c r="C3627" s="4" t="str" cm="1">
        <f t="array" ref="C3627">IFERROR(INDEX(EmployeeData[Full Name], ROW() - 37), "")</f>
        <v/>
      </c>
      <c r="D3627" s="4" t="str" cm="1">
        <f t="array" ref="D3627">IFERROR(INDEX(EmployeeData[Department], ROW() - 37), "")</f>
        <v/>
      </c>
      <c r="E3627" s="4" t="str" cm="1">
        <f t="array" ref="E3627">IFERROR(INDEX(EmployeeData[Gender], ROW() - 37), "")</f>
        <v/>
      </c>
      <c r="F3627" s="4" t="str" cm="1">
        <f t="array" ref="F3627">IFERROR(INDEX(EmployeeData[Age], ROW() - 37), "")</f>
        <v/>
      </c>
      <c r="G3627" s="6" t="str" cm="1">
        <f t="array" ref="G3627">IFERROR(INDEX(EmployeeData[Join Date], ROW() - 37), "")</f>
        <v/>
      </c>
      <c r="H3627" s="6" t="str" cm="1">
        <f t="array" ref="H3627">IFERROR(IF(INDEX(EmployeeData[Exit Date], ROW() - 37)=0, "",INDEX(EmployeeData[Exit Date], ROW() - 37)),"")</f>
        <v/>
      </c>
      <c r="I3627" s="4" t="str" cm="1">
        <f t="array" ref="I3627">IFERROR(IF(INDEX(EmployeeData[Exit Reason], ROW() - 37)=0, "",INDEX(EmployeeData[Exit Reason], ROW() - 37)),"")</f>
        <v/>
      </c>
      <c r="J3627" s="4" t="str" cm="1">
        <f t="array" ref="J3627">IFERROR(INDEX(EmployeeData[Status], ROW() - 37), "")</f>
        <v/>
      </c>
    </row>
    <row r="3628" spans="2:10" ht="19.95" customHeight="1" x14ac:dyDescent="0.3">
      <c r="B3628" s="4" t="str" cm="1">
        <f t="array" ref="B3628">IFERROR(INDEX(EmployeeData[Employee ID], ROW() - 37), "")</f>
        <v/>
      </c>
      <c r="C3628" s="4" t="str" cm="1">
        <f t="array" ref="C3628">IFERROR(INDEX(EmployeeData[Full Name], ROW() - 37), "")</f>
        <v/>
      </c>
      <c r="D3628" s="4" t="str" cm="1">
        <f t="array" ref="D3628">IFERROR(INDEX(EmployeeData[Department], ROW() - 37), "")</f>
        <v/>
      </c>
      <c r="E3628" s="4" t="str" cm="1">
        <f t="array" ref="E3628">IFERROR(INDEX(EmployeeData[Gender], ROW() - 37), "")</f>
        <v/>
      </c>
      <c r="F3628" s="4" t="str" cm="1">
        <f t="array" ref="F3628">IFERROR(INDEX(EmployeeData[Age], ROW() - 37), "")</f>
        <v/>
      </c>
      <c r="G3628" s="6" t="str" cm="1">
        <f t="array" ref="G3628">IFERROR(INDEX(EmployeeData[Join Date], ROW() - 37), "")</f>
        <v/>
      </c>
      <c r="H3628" s="6" t="str" cm="1">
        <f t="array" ref="H3628">IFERROR(IF(INDEX(EmployeeData[Exit Date], ROW() - 37)=0, "",INDEX(EmployeeData[Exit Date], ROW() - 37)),"")</f>
        <v/>
      </c>
      <c r="I3628" s="4" t="str" cm="1">
        <f t="array" ref="I3628">IFERROR(IF(INDEX(EmployeeData[Exit Reason], ROW() - 37)=0, "",INDEX(EmployeeData[Exit Reason], ROW() - 37)),"")</f>
        <v/>
      </c>
      <c r="J3628" s="4" t="str" cm="1">
        <f t="array" ref="J3628">IFERROR(INDEX(EmployeeData[Status], ROW() - 37), "")</f>
        <v/>
      </c>
    </row>
    <row r="3629" spans="2:10" ht="19.95" customHeight="1" x14ac:dyDescent="0.3">
      <c r="B3629" s="4" t="str" cm="1">
        <f t="array" ref="B3629">IFERROR(INDEX(EmployeeData[Employee ID], ROW() - 37), "")</f>
        <v/>
      </c>
      <c r="C3629" s="4" t="str" cm="1">
        <f t="array" ref="C3629">IFERROR(INDEX(EmployeeData[Full Name], ROW() - 37), "")</f>
        <v/>
      </c>
      <c r="D3629" s="4" t="str" cm="1">
        <f t="array" ref="D3629">IFERROR(INDEX(EmployeeData[Department], ROW() - 37), "")</f>
        <v/>
      </c>
      <c r="E3629" s="4" t="str" cm="1">
        <f t="array" ref="E3629">IFERROR(INDEX(EmployeeData[Gender], ROW() - 37), "")</f>
        <v/>
      </c>
      <c r="F3629" s="4" t="str" cm="1">
        <f t="array" ref="F3629">IFERROR(INDEX(EmployeeData[Age], ROW() - 37), "")</f>
        <v/>
      </c>
      <c r="G3629" s="6" t="str" cm="1">
        <f t="array" ref="G3629">IFERROR(INDEX(EmployeeData[Join Date], ROW() - 37), "")</f>
        <v/>
      </c>
      <c r="H3629" s="6" t="str" cm="1">
        <f t="array" ref="H3629">IFERROR(IF(INDEX(EmployeeData[Exit Date], ROW() - 37)=0, "",INDEX(EmployeeData[Exit Date], ROW() - 37)),"")</f>
        <v/>
      </c>
      <c r="I3629" s="4" t="str" cm="1">
        <f t="array" ref="I3629">IFERROR(IF(INDEX(EmployeeData[Exit Reason], ROW() - 37)=0, "",INDEX(EmployeeData[Exit Reason], ROW() - 37)),"")</f>
        <v/>
      </c>
      <c r="J3629" s="4" t="str" cm="1">
        <f t="array" ref="J3629">IFERROR(INDEX(EmployeeData[Status], ROW() - 37), "")</f>
        <v/>
      </c>
    </row>
    <row r="3630" spans="2:10" ht="19.95" customHeight="1" x14ac:dyDescent="0.3">
      <c r="B3630" s="4" t="str" cm="1">
        <f t="array" ref="B3630">IFERROR(INDEX(EmployeeData[Employee ID], ROW() - 37), "")</f>
        <v/>
      </c>
      <c r="C3630" s="4" t="str" cm="1">
        <f t="array" ref="C3630">IFERROR(INDEX(EmployeeData[Full Name], ROW() - 37), "")</f>
        <v/>
      </c>
      <c r="D3630" s="4" t="str" cm="1">
        <f t="array" ref="D3630">IFERROR(INDEX(EmployeeData[Department], ROW() - 37), "")</f>
        <v/>
      </c>
      <c r="E3630" s="4" t="str" cm="1">
        <f t="array" ref="E3630">IFERROR(INDEX(EmployeeData[Gender], ROW() - 37), "")</f>
        <v/>
      </c>
      <c r="F3630" s="4" t="str" cm="1">
        <f t="array" ref="F3630">IFERROR(INDEX(EmployeeData[Age], ROW() - 37), "")</f>
        <v/>
      </c>
      <c r="G3630" s="6" t="str" cm="1">
        <f t="array" ref="G3630">IFERROR(INDEX(EmployeeData[Join Date], ROW() - 37), "")</f>
        <v/>
      </c>
      <c r="H3630" s="6" t="str" cm="1">
        <f t="array" ref="H3630">IFERROR(IF(INDEX(EmployeeData[Exit Date], ROW() - 37)=0, "",INDEX(EmployeeData[Exit Date], ROW() - 37)),"")</f>
        <v/>
      </c>
      <c r="I3630" s="4" t="str" cm="1">
        <f t="array" ref="I3630">IFERROR(IF(INDEX(EmployeeData[Exit Reason], ROW() - 37)=0, "",INDEX(EmployeeData[Exit Reason], ROW() - 37)),"")</f>
        <v/>
      </c>
      <c r="J3630" s="4" t="str" cm="1">
        <f t="array" ref="J3630">IFERROR(INDEX(EmployeeData[Status], ROW() - 37), "")</f>
        <v/>
      </c>
    </row>
    <row r="3631" spans="2:10" ht="19.95" customHeight="1" x14ac:dyDescent="0.3">
      <c r="B3631" s="4" t="str" cm="1">
        <f t="array" ref="B3631">IFERROR(INDEX(EmployeeData[Employee ID], ROW() - 37), "")</f>
        <v/>
      </c>
      <c r="C3631" s="4" t="str" cm="1">
        <f t="array" ref="C3631">IFERROR(INDEX(EmployeeData[Full Name], ROW() - 37), "")</f>
        <v/>
      </c>
      <c r="D3631" s="4" t="str" cm="1">
        <f t="array" ref="D3631">IFERROR(INDEX(EmployeeData[Department], ROW() - 37), "")</f>
        <v/>
      </c>
      <c r="E3631" s="4" t="str" cm="1">
        <f t="array" ref="E3631">IFERROR(INDEX(EmployeeData[Gender], ROW() - 37), "")</f>
        <v/>
      </c>
      <c r="F3631" s="4" t="str" cm="1">
        <f t="array" ref="F3631">IFERROR(INDEX(EmployeeData[Age], ROW() - 37), "")</f>
        <v/>
      </c>
      <c r="G3631" s="6" t="str" cm="1">
        <f t="array" ref="G3631">IFERROR(INDEX(EmployeeData[Join Date], ROW() - 37), "")</f>
        <v/>
      </c>
      <c r="H3631" s="6" t="str" cm="1">
        <f t="array" ref="H3631">IFERROR(IF(INDEX(EmployeeData[Exit Date], ROW() - 37)=0, "",INDEX(EmployeeData[Exit Date], ROW() - 37)),"")</f>
        <v/>
      </c>
      <c r="I3631" s="4" t="str" cm="1">
        <f t="array" ref="I3631">IFERROR(IF(INDEX(EmployeeData[Exit Reason], ROW() - 37)=0, "",INDEX(EmployeeData[Exit Reason], ROW() - 37)),"")</f>
        <v/>
      </c>
      <c r="J3631" s="4" t="str" cm="1">
        <f t="array" ref="J3631">IFERROR(INDEX(EmployeeData[Status], ROW() - 37), "")</f>
        <v/>
      </c>
    </row>
    <row r="3632" spans="2:10" ht="19.95" customHeight="1" x14ac:dyDescent="0.3">
      <c r="B3632" s="4" t="str" cm="1">
        <f t="array" ref="B3632">IFERROR(INDEX(EmployeeData[Employee ID], ROW() - 37), "")</f>
        <v/>
      </c>
      <c r="C3632" s="4" t="str" cm="1">
        <f t="array" ref="C3632">IFERROR(INDEX(EmployeeData[Full Name], ROW() - 37), "")</f>
        <v/>
      </c>
      <c r="D3632" s="4" t="str" cm="1">
        <f t="array" ref="D3632">IFERROR(INDEX(EmployeeData[Department], ROW() - 37), "")</f>
        <v/>
      </c>
      <c r="E3632" s="4" t="str" cm="1">
        <f t="array" ref="E3632">IFERROR(INDEX(EmployeeData[Gender], ROW() - 37), "")</f>
        <v/>
      </c>
      <c r="F3632" s="4" t="str" cm="1">
        <f t="array" ref="F3632">IFERROR(INDEX(EmployeeData[Age], ROW() - 37), "")</f>
        <v/>
      </c>
      <c r="G3632" s="6" t="str" cm="1">
        <f t="array" ref="G3632">IFERROR(INDEX(EmployeeData[Join Date], ROW() - 37), "")</f>
        <v/>
      </c>
      <c r="H3632" s="6" t="str" cm="1">
        <f t="array" ref="H3632">IFERROR(IF(INDEX(EmployeeData[Exit Date], ROW() - 37)=0, "",INDEX(EmployeeData[Exit Date], ROW() - 37)),"")</f>
        <v/>
      </c>
      <c r="I3632" s="4" t="str" cm="1">
        <f t="array" ref="I3632">IFERROR(IF(INDEX(EmployeeData[Exit Reason], ROW() - 37)=0, "",INDEX(EmployeeData[Exit Reason], ROW() - 37)),"")</f>
        <v/>
      </c>
      <c r="J3632" s="4" t="str" cm="1">
        <f t="array" ref="J3632">IFERROR(INDEX(EmployeeData[Status], ROW() - 37), "")</f>
        <v/>
      </c>
    </row>
    <row r="3633" spans="2:10" ht="19.95" customHeight="1" x14ac:dyDescent="0.3">
      <c r="B3633" s="4" t="str" cm="1">
        <f t="array" ref="B3633">IFERROR(INDEX(EmployeeData[Employee ID], ROW() - 37), "")</f>
        <v/>
      </c>
      <c r="C3633" s="4" t="str" cm="1">
        <f t="array" ref="C3633">IFERROR(INDEX(EmployeeData[Full Name], ROW() - 37), "")</f>
        <v/>
      </c>
      <c r="D3633" s="4" t="str" cm="1">
        <f t="array" ref="D3633">IFERROR(INDEX(EmployeeData[Department], ROW() - 37), "")</f>
        <v/>
      </c>
      <c r="E3633" s="4" t="str" cm="1">
        <f t="array" ref="E3633">IFERROR(INDEX(EmployeeData[Gender], ROW() - 37), "")</f>
        <v/>
      </c>
      <c r="F3633" s="4" t="str" cm="1">
        <f t="array" ref="F3633">IFERROR(INDEX(EmployeeData[Age], ROW() - 37), "")</f>
        <v/>
      </c>
      <c r="G3633" s="6" t="str" cm="1">
        <f t="array" ref="G3633">IFERROR(INDEX(EmployeeData[Join Date], ROW() - 37), "")</f>
        <v/>
      </c>
      <c r="H3633" s="6" t="str" cm="1">
        <f t="array" ref="H3633">IFERROR(IF(INDEX(EmployeeData[Exit Date], ROW() - 37)=0, "",INDEX(EmployeeData[Exit Date], ROW() - 37)),"")</f>
        <v/>
      </c>
      <c r="I3633" s="4" t="str" cm="1">
        <f t="array" ref="I3633">IFERROR(IF(INDEX(EmployeeData[Exit Reason], ROW() - 37)=0, "",INDEX(EmployeeData[Exit Reason], ROW() - 37)),"")</f>
        <v/>
      </c>
      <c r="J3633" s="4" t="str" cm="1">
        <f t="array" ref="J3633">IFERROR(INDEX(EmployeeData[Status], ROW() - 37), "")</f>
        <v/>
      </c>
    </row>
    <row r="3634" spans="2:10" ht="19.95" customHeight="1" x14ac:dyDescent="0.3">
      <c r="B3634" s="4" t="str" cm="1">
        <f t="array" ref="B3634">IFERROR(INDEX(EmployeeData[Employee ID], ROW() - 37), "")</f>
        <v/>
      </c>
      <c r="C3634" s="4" t="str" cm="1">
        <f t="array" ref="C3634">IFERROR(INDEX(EmployeeData[Full Name], ROW() - 37), "")</f>
        <v/>
      </c>
      <c r="D3634" s="4" t="str" cm="1">
        <f t="array" ref="D3634">IFERROR(INDEX(EmployeeData[Department], ROW() - 37), "")</f>
        <v/>
      </c>
      <c r="E3634" s="4" t="str" cm="1">
        <f t="array" ref="E3634">IFERROR(INDEX(EmployeeData[Gender], ROW() - 37), "")</f>
        <v/>
      </c>
      <c r="F3634" s="4" t="str" cm="1">
        <f t="array" ref="F3634">IFERROR(INDEX(EmployeeData[Age], ROW() - 37), "")</f>
        <v/>
      </c>
      <c r="G3634" s="6" t="str" cm="1">
        <f t="array" ref="G3634">IFERROR(INDEX(EmployeeData[Join Date], ROW() - 37), "")</f>
        <v/>
      </c>
      <c r="H3634" s="6" t="str" cm="1">
        <f t="array" ref="H3634">IFERROR(IF(INDEX(EmployeeData[Exit Date], ROW() - 37)=0, "",INDEX(EmployeeData[Exit Date], ROW() - 37)),"")</f>
        <v/>
      </c>
      <c r="I3634" s="4" t="str" cm="1">
        <f t="array" ref="I3634">IFERROR(IF(INDEX(EmployeeData[Exit Reason], ROW() - 37)=0, "",INDEX(EmployeeData[Exit Reason], ROW() - 37)),"")</f>
        <v/>
      </c>
      <c r="J3634" s="4" t="str" cm="1">
        <f t="array" ref="J3634">IFERROR(INDEX(EmployeeData[Status], ROW() - 37), "")</f>
        <v/>
      </c>
    </row>
    <row r="3635" spans="2:10" ht="19.95" customHeight="1" x14ac:dyDescent="0.3">
      <c r="B3635" s="4" t="str" cm="1">
        <f t="array" ref="B3635">IFERROR(INDEX(EmployeeData[Employee ID], ROW() - 37), "")</f>
        <v/>
      </c>
      <c r="C3635" s="4" t="str" cm="1">
        <f t="array" ref="C3635">IFERROR(INDEX(EmployeeData[Full Name], ROW() - 37), "")</f>
        <v/>
      </c>
      <c r="D3635" s="4" t="str" cm="1">
        <f t="array" ref="D3635">IFERROR(INDEX(EmployeeData[Department], ROW() - 37), "")</f>
        <v/>
      </c>
      <c r="E3635" s="4" t="str" cm="1">
        <f t="array" ref="E3635">IFERROR(INDEX(EmployeeData[Gender], ROW() - 37), "")</f>
        <v/>
      </c>
      <c r="F3635" s="4" t="str" cm="1">
        <f t="array" ref="F3635">IFERROR(INDEX(EmployeeData[Age], ROW() - 37), "")</f>
        <v/>
      </c>
      <c r="G3635" s="6" t="str" cm="1">
        <f t="array" ref="G3635">IFERROR(INDEX(EmployeeData[Join Date], ROW() - 37), "")</f>
        <v/>
      </c>
      <c r="H3635" s="6" t="str" cm="1">
        <f t="array" ref="H3635">IFERROR(IF(INDEX(EmployeeData[Exit Date], ROW() - 37)=0, "",INDEX(EmployeeData[Exit Date], ROW() - 37)),"")</f>
        <v/>
      </c>
      <c r="I3635" s="4" t="str" cm="1">
        <f t="array" ref="I3635">IFERROR(IF(INDEX(EmployeeData[Exit Reason], ROW() - 37)=0, "",INDEX(EmployeeData[Exit Reason], ROW() - 37)),"")</f>
        <v/>
      </c>
      <c r="J3635" s="4" t="str" cm="1">
        <f t="array" ref="J3635">IFERROR(INDEX(EmployeeData[Status], ROW() - 37), "")</f>
        <v/>
      </c>
    </row>
    <row r="3636" spans="2:10" ht="19.95" customHeight="1" x14ac:dyDescent="0.3">
      <c r="B3636" s="4" t="str" cm="1">
        <f t="array" ref="B3636">IFERROR(INDEX(EmployeeData[Employee ID], ROW() - 37), "")</f>
        <v/>
      </c>
      <c r="C3636" s="4" t="str" cm="1">
        <f t="array" ref="C3636">IFERROR(INDEX(EmployeeData[Full Name], ROW() - 37), "")</f>
        <v/>
      </c>
      <c r="D3636" s="4" t="str" cm="1">
        <f t="array" ref="D3636">IFERROR(INDEX(EmployeeData[Department], ROW() - 37), "")</f>
        <v/>
      </c>
      <c r="E3636" s="4" t="str" cm="1">
        <f t="array" ref="E3636">IFERROR(INDEX(EmployeeData[Gender], ROW() - 37), "")</f>
        <v/>
      </c>
      <c r="F3636" s="4" t="str" cm="1">
        <f t="array" ref="F3636">IFERROR(INDEX(EmployeeData[Age], ROW() - 37), "")</f>
        <v/>
      </c>
      <c r="G3636" s="6" t="str" cm="1">
        <f t="array" ref="G3636">IFERROR(INDEX(EmployeeData[Join Date], ROW() - 37), "")</f>
        <v/>
      </c>
      <c r="H3636" s="6" t="str" cm="1">
        <f t="array" ref="H3636">IFERROR(IF(INDEX(EmployeeData[Exit Date], ROW() - 37)=0, "",INDEX(EmployeeData[Exit Date], ROW() - 37)),"")</f>
        <v/>
      </c>
      <c r="I3636" s="4" t="str" cm="1">
        <f t="array" ref="I3636">IFERROR(IF(INDEX(EmployeeData[Exit Reason], ROW() - 37)=0, "",INDEX(EmployeeData[Exit Reason], ROW() - 37)),"")</f>
        <v/>
      </c>
      <c r="J3636" s="4" t="str" cm="1">
        <f t="array" ref="J3636">IFERROR(INDEX(EmployeeData[Status], ROW() - 37), "")</f>
        <v/>
      </c>
    </row>
    <row r="3637" spans="2:10" ht="19.95" customHeight="1" x14ac:dyDescent="0.3">
      <c r="B3637" s="4" t="str" cm="1">
        <f t="array" ref="B3637">IFERROR(INDEX(EmployeeData[Employee ID], ROW() - 37), "")</f>
        <v/>
      </c>
      <c r="C3637" s="4" t="str" cm="1">
        <f t="array" ref="C3637">IFERROR(INDEX(EmployeeData[Full Name], ROW() - 37), "")</f>
        <v/>
      </c>
      <c r="D3637" s="4" t="str" cm="1">
        <f t="array" ref="D3637">IFERROR(INDEX(EmployeeData[Department], ROW() - 37), "")</f>
        <v/>
      </c>
      <c r="E3637" s="4" t="str" cm="1">
        <f t="array" ref="E3637">IFERROR(INDEX(EmployeeData[Gender], ROW() - 37), "")</f>
        <v/>
      </c>
      <c r="F3637" s="4" t="str" cm="1">
        <f t="array" ref="F3637">IFERROR(INDEX(EmployeeData[Age], ROW() - 37), "")</f>
        <v/>
      </c>
      <c r="G3637" s="6" t="str" cm="1">
        <f t="array" ref="G3637">IFERROR(INDEX(EmployeeData[Join Date], ROW() - 37), "")</f>
        <v/>
      </c>
      <c r="H3637" s="6" t="str" cm="1">
        <f t="array" ref="H3637">IFERROR(IF(INDEX(EmployeeData[Exit Date], ROW() - 37)=0, "",INDEX(EmployeeData[Exit Date], ROW() - 37)),"")</f>
        <v/>
      </c>
      <c r="I3637" s="4" t="str" cm="1">
        <f t="array" ref="I3637">IFERROR(IF(INDEX(EmployeeData[Exit Reason], ROW() - 37)=0, "",INDEX(EmployeeData[Exit Reason], ROW() - 37)),"")</f>
        <v/>
      </c>
      <c r="J3637" s="4" t="str" cm="1">
        <f t="array" ref="J3637">IFERROR(INDEX(EmployeeData[Status], ROW() - 37), "")</f>
        <v/>
      </c>
    </row>
    <row r="3638" spans="2:10" ht="19.95" customHeight="1" x14ac:dyDescent="0.3">
      <c r="B3638" s="4" t="str" cm="1">
        <f t="array" ref="B3638">IFERROR(INDEX(EmployeeData[Employee ID], ROW() - 37), "")</f>
        <v/>
      </c>
      <c r="C3638" s="4" t="str" cm="1">
        <f t="array" ref="C3638">IFERROR(INDEX(EmployeeData[Full Name], ROW() - 37), "")</f>
        <v/>
      </c>
      <c r="D3638" s="4" t="str" cm="1">
        <f t="array" ref="D3638">IFERROR(INDEX(EmployeeData[Department], ROW() - 37), "")</f>
        <v/>
      </c>
      <c r="E3638" s="4" t="str" cm="1">
        <f t="array" ref="E3638">IFERROR(INDEX(EmployeeData[Gender], ROW() - 37), "")</f>
        <v/>
      </c>
      <c r="F3638" s="4" t="str" cm="1">
        <f t="array" ref="F3638">IFERROR(INDEX(EmployeeData[Age], ROW() - 37), "")</f>
        <v/>
      </c>
      <c r="G3638" s="6" t="str" cm="1">
        <f t="array" ref="G3638">IFERROR(INDEX(EmployeeData[Join Date], ROW() - 37), "")</f>
        <v/>
      </c>
      <c r="H3638" s="6" t="str" cm="1">
        <f t="array" ref="H3638">IFERROR(IF(INDEX(EmployeeData[Exit Date], ROW() - 37)=0, "",INDEX(EmployeeData[Exit Date], ROW() - 37)),"")</f>
        <v/>
      </c>
      <c r="I3638" s="4" t="str" cm="1">
        <f t="array" ref="I3638">IFERROR(IF(INDEX(EmployeeData[Exit Reason], ROW() - 37)=0, "",INDEX(EmployeeData[Exit Reason], ROW() - 37)),"")</f>
        <v/>
      </c>
      <c r="J3638" s="4" t="str" cm="1">
        <f t="array" ref="J3638">IFERROR(INDEX(EmployeeData[Status], ROW() - 37), "")</f>
        <v/>
      </c>
    </row>
    <row r="3639" spans="2:10" ht="19.95" customHeight="1" x14ac:dyDescent="0.3">
      <c r="B3639" s="4" t="str" cm="1">
        <f t="array" ref="B3639">IFERROR(INDEX(EmployeeData[Employee ID], ROW() - 37), "")</f>
        <v/>
      </c>
      <c r="C3639" s="4" t="str" cm="1">
        <f t="array" ref="C3639">IFERROR(INDEX(EmployeeData[Full Name], ROW() - 37), "")</f>
        <v/>
      </c>
      <c r="D3639" s="4" t="str" cm="1">
        <f t="array" ref="D3639">IFERROR(INDEX(EmployeeData[Department], ROW() - 37), "")</f>
        <v/>
      </c>
      <c r="E3639" s="4" t="str" cm="1">
        <f t="array" ref="E3639">IFERROR(INDEX(EmployeeData[Gender], ROW() - 37), "")</f>
        <v/>
      </c>
      <c r="F3639" s="4" t="str" cm="1">
        <f t="array" ref="F3639">IFERROR(INDEX(EmployeeData[Age], ROW() - 37), "")</f>
        <v/>
      </c>
      <c r="G3639" s="6" t="str" cm="1">
        <f t="array" ref="G3639">IFERROR(INDEX(EmployeeData[Join Date], ROW() - 37), "")</f>
        <v/>
      </c>
      <c r="H3639" s="6" t="str" cm="1">
        <f t="array" ref="H3639">IFERROR(IF(INDEX(EmployeeData[Exit Date], ROW() - 37)=0, "",INDEX(EmployeeData[Exit Date], ROW() - 37)),"")</f>
        <v/>
      </c>
      <c r="I3639" s="4" t="str" cm="1">
        <f t="array" ref="I3639">IFERROR(IF(INDEX(EmployeeData[Exit Reason], ROW() - 37)=0, "",INDEX(EmployeeData[Exit Reason], ROW() - 37)),"")</f>
        <v/>
      </c>
      <c r="J3639" s="4" t="str" cm="1">
        <f t="array" ref="J3639">IFERROR(INDEX(EmployeeData[Status], ROW() - 37), "")</f>
        <v/>
      </c>
    </row>
    <row r="3640" spans="2:10" ht="19.95" customHeight="1" x14ac:dyDescent="0.3">
      <c r="B3640" s="4" t="str" cm="1">
        <f t="array" ref="B3640">IFERROR(INDEX(EmployeeData[Employee ID], ROW() - 37), "")</f>
        <v/>
      </c>
      <c r="C3640" s="4" t="str" cm="1">
        <f t="array" ref="C3640">IFERROR(INDEX(EmployeeData[Full Name], ROW() - 37), "")</f>
        <v/>
      </c>
      <c r="D3640" s="4" t="str" cm="1">
        <f t="array" ref="D3640">IFERROR(INDEX(EmployeeData[Department], ROW() - 37), "")</f>
        <v/>
      </c>
      <c r="E3640" s="4" t="str" cm="1">
        <f t="array" ref="E3640">IFERROR(INDEX(EmployeeData[Gender], ROW() - 37), "")</f>
        <v/>
      </c>
      <c r="F3640" s="4" t="str" cm="1">
        <f t="array" ref="F3640">IFERROR(INDEX(EmployeeData[Age], ROW() - 37), "")</f>
        <v/>
      </c>
      <c r="G3640" s="6" t="str" cm="1">
        <f t="array" ref="G3640">IFERROR(INDEX(EmployeeData[Join Date], ROW() - 37), "")</f>
        <v/>
      </c>
      <c r="H3640" s="6" t="str" cm="1">
        <f t="array" ref="H3640">IFERROR(IF(INDEX(EmployeeData[Exit Date], ROW() - 37)=0, "",INDEX(EmployeeData[Exit Date], ROW() - 37)),"")</f>
        <v/>
      </c>
      <c r="I3640" s="4" t="str" cm="1">
        <f t="array" ref="I3640">IFERROR(IF(INDEX(EmployeeData[Exit Reason], ROW() - 37)=0, "",INDEX(EmployeeData[Exit Reason], ROW() - 37)),"")</f>
        <v/>
      </c>
      <c r="J3640" s="4" t="str" cm="1">
        <f t="array" ref="J3640">IFERROR(INDEX(EmployeeData[Status], ROW() - 37), "")</f>
        <v/>
      </c>
    </row>
    <row r="3641" spans="2:10" ht="19.95" customHeight="1" x14ac:dyDescent="0.3">
      <c r="B3641" s="4" t="str" cm="1">
        <f t="array" ref="B3641">IFERROR(INDEX(EmployeeData[Employee ID], ROW() - 37), "")</f>
        <v/>
      </c>
      <c r="C3641" s="4" t="str" cm="1">
        <f t="array" ref="C3641">IFERROR(INDEX(EmployeeData[Full Name], ROW() - 37), "")</f>
        <v/>
      </c>
      <c r="D3641" s="4" t="str" cm="1">
        <f t="array" ref="D3641">IFERROR(INDEX(EmployeeData[Department], ROW() - 37), "")</f>
        <v/>
      </c>
      <c r="E3641" s="4" t="str" cm="1">
        <f t="array" ref="E3641">IFERROR(INDEX(EmployeeData[Gender], ROW() - 37), "")</f>
        <v/>
      </c>
      <c r="F3641" s="4" t="str" cm="1">
        <f t="array" ref="F3641">IFERROR(INDEX(EmployeeData[Age], ROW() - 37), "")</f>
        <v/>
      </c>
      <c r="G3641" s="6" t="str" cm="1">
        <f t="array" ref="G3641">IFERROR(INDEX(EmployeeData[Join Date], ROW() - 37), "")</f>
        <v/>
      </c>
      <c r="H3641" s="6" t="str" cm="1">
        <f t="array" ref="H3641">IFERROR(IF(INDEX(EmployeeData[Exit Date], ROW() - 37)=0, "",INDEX(EmployeeData[Exit Date], ROW() - 37)),"")</f>
        <v/>
      </c>
      <c r="I3641" s="4" t="str" cm="1">
        <f t="array" ref="I3641">IFERROR(IF(INDEX(EmployeeData[Exit Reason], ROW() - 37)=0, "",INDEX(EmployeeData[Exit Reason], ROW() - 37)),"")</f>
        <v/>
      </c>
      <c r="J3641" s="4" t="str" cm="1">
        <f t="array" ref="J3641">IFERROR(INDEX(EmployeeData[Status], ROW() - 37), "")</f>
        <v/>
      </c>
    </row>
    <row r="3642" spans="2:10" ht="19.95" customHeight="1" x14ac:dyDescent="0.3">
      <c r="B3642" s="4" t="str" cm="1">
        <f t="array" ref="B3642">IFERROR(INDEX(EmployeeData[Employee ID], ROW() - 37), "")</f>
        <v/>
      </c>
      <c r="C3642" s="4" t="str" cm="1">
        <f t="array" ref="C3642">IFERROR(INDEX(EmployeeData[Full Name], ROW() - 37), "")</f>
        <v/>
      </c>
      <c r="D3642" s="4" t="str" cm="1">
        <f t="array" ref="D3642">IFERROR(INDEX(EmployeeData[Department], ROW() - 37), "")</f>
        <v/>
      </c>
      <c r="E3642" s="4" t="str" cm="1">
        <f t="array" ref="E3642">IFERROR(INDEX(EmployeeData[Gender], ROW() - 37), "")</f>
        <v/>
      </c>
      <c r="F3642" s="4" t="str" cm="1">
        <f t="array" ref="F3642">IFERROR(INDEX(EmployeeData[Age], ROW() - 37), "")</f>
        <v/>
      </c>
      <c r="G3642" s="6" t="str" cm="1">
        <f t="array" ref="G3642">IFERROR(INDEX(EmployeeData[Join Date], ROW() - 37), "")</f>
        <v/>
      </c>
      <c r="H3642" s="6" t="str" cm="1">
        <f t="array" ref="H3642">IFERROR(IF(INDEX(EmployeeData[Exit Date], ROW() - 37)=0, "",INDEX(EmployeeData[Exit Date], ROW() - 37)),"")</f>
        <v/>
      </c>
      <c r="I3642" s="4" t="str" cm="1">
        <f t="array" ref="I3642">IFERROR(IF(INDEX(EmployeeData[Exit Reason], ROW() - 37)=0, "",INDEX(EmployeeData[Exit Reason], ROW() - 37)),"")</f>
        <v/>
      </c>
      <c r="J3642" s="4" t="str" cm="1">
        <f t="array" ref="J3642">IFERROR(INDEX(EmployeeData[Status], ROW() - 37), "")</f>
        <v/>
      </c>
    </row>
    <row r="3643" spans="2:10" ht="19.95" customHeight="1" x14ac:dyDescent="0.3">
      <c r="B3643" s="4" t="str" cm="1">
        <f t="array" ref="B3643">IFERROR(INDEX(EmployeeData[Employee ID], ROW() - 37), "")</f>
        <v/>
      </c>
      <c r="C3643" s="4" t="str" cm="1">
        <f t="array" ref="C3643">IFERROR(INDEX(EmployeeData[Full Name], ROW() - 37), "")</f>
        <v/>
      </c>
      <c r="D3643" s="4" t="str" cm="1">
        <f t="array" ref="D3643">IFERROR(INDEX(EmployeeData[Department], ROW() - 37), "")</f>
        <v/>
      </c>
      <c r="E3643" s="4" t="str" cm="1">
        <f t="array" ref="E3643">IFERROR(INDEX(EmployeeData[Gender], ROW() - 37), "")</f>
        <v/>
      </c>
      <c r="F3643" s="4" t="str" cm="1">
        <f t="array" ref="F3643">IFERROR(INDEX(EmployeeData[Age], ROW() - 37), "")</f>
        <v/>
      </c>
      <c r="G3643" s="6" t="str" cm="1">
        <f t="array" ref="G3643">IFERROR(INDEX(EmployeeData[Join Date], ROW() - 37), "")</f>
        <v/>
      </c>
      <c r="H3643" s="6" t="str" cm="1">
        <f t="array" ref="H3643">IFERROR(IF(INDEX(EmployeeData[Exit Date], ROW() - 37)=0, "",INDEX(EmployeeData[Exit Date], ROW() - 37)),"")</f>
        <v/>
      </c>
      <c r="I3643" s="4" t="str" cm="1">
        <f t="array" ref="I3643">IFERROR(IF(INDEX(EmployeeData[Exit Reason], ROW() - 37)=0, "",INDEX(EmployeeData[Exit Reason], ROW() - 37)),"")</f>
        <v/>
      </c>
      <c r="J3643" s="4" t="str" cm="1">
        <f t="array" ref="J3643">IFERROR(INDEX(EmployeeData[Status], ROW() - 37), "")</f>
        <v/>
      </c>
    </row>
    <row r="3644" spans="2:10" ht="19.95" customHeight="1" x14ac:dyDescent="0.3">
      <c r="B3644" s="4" t="str" cm="1">
        <f t="array" ref="B3644">IFERROR(INDEX(EmployeeData[Employee ID], ROW() - 37), "")</f>
        <v/>
      </c>
      <c r="C3644" s="4" t="str" cm="1">
        <f t="array" ref="C3644">IFERROR(INDEX(EmployeeData[Full Name], ROW() - 37), "")</f>
        <v/>
      </c>
      <c r="D3644" s="4" t="str" cm="1">
        <f t="array" ref="D3644">IFERROR(INDEX(EmployeeData[Department], ROW() - 37), "")</f>
        <v/>
      </c>
      <c r="E3644" s="4" t="str" cm="1">
        <f t="array" ref="E3644">IFERROR(INDEX(EmployeeData[Gender], ROW() - 37), "")</f>
        <v/>
      </c>
      <c r="F3644" s="4" t="str" cm="1">
        <f t="array" ref="F3644">IFERROR(INDEX(EmployeeData[Age], ROW() - 37), "")</f>
        <v/>
      </c>
      <c r="G3644" s="6" t="str" cm="1">
        <f t="array" ref="G3644">IFERROR(INDEX(EmployeeData[Join Date], ROW() - 37), "")</f>
        <v/>
      </c>
      <c r="H3644" s="6" t="str" cm="1">
        <f t="array" ref="H3644">IFERROR(IF(INDEX(EmployeeData[Exit Date], ROW() - 37)=0, "",INDEX(EmployeeData[Exit Date], ROW() - 37)),"")</f>
        <v/>
      </c>
      <c r="I3644" s="4" t="str" cm="1">
        <f t="array" ref="I3644">IFERROR(IF(INDEX(EmployeeData[Exit Reason], ROW() - 37)=0, "",INDEX(EmployeeData[Exit Reason], ROW() - 37)),"")</f>
        <v/>
      </c>
      <c r="J3644" s="4" t="str" cm="1">
        <f t="array" ref="J3644">IFERROR(INDEX(EmployeeData[Status], ROW() - 37), "")</f>
        <v/>
      </c>
    </row>
    <row r="3645" spans="2:10" ht="19.95" customHeight="1" x14ac:dyDescent="0.3">
      <c r="B3645" s="4" t="str" cm="1">
        <f t="array" ref="B3645">IFERROR(INDEX(EmployeeData[Employee ID], ROW() - 37), "")</f>
        <v/>
      </c>
      <c r="C3645" s="4" t="str" cm="1">
        <f t="array" ref="C3645">IFERROR(INDEX(EmployeeData[Full Name], ROW() - 37), "")</f>
        <v/>
      </c>
      <c r="D3645" s="4" t="str" cm="1">
        <f t="array" ref="D3645">IFERROR(INDEX(EmployeeData[Department], ROW() - 37), "")</f>
        <v/>
      </c>
      <c r="E3645" s="4" t="str" cm="1">
        <f t="array" ref="E3645">IFERROR(INDEX(EmployeeData[Gender], ROW() - 37), "")</f>
        <v/>
      </c>
      <c r="F3645" s="4" t="str" cm="1">
        <f t="array" ref="F3645">IFERROR(INDEX(EmployeeData[Age], ROW() - 37), "")</f>
        <v/>
      </c>
      <c r="G3645" s="6" t="str" cm="1">
        <f t="array" ref="G3645">IFERROR(INDEX(EmployeeData[Join Date], ROW() - 37), "")</f>
        <v/>
      </c>
      <c r="H3645" s="6" t="str" cm="1">
        <f t="array" ref="H3645">IFERROR(IF(INDEX(EmployeeData[Exit Date], ROW() - 37)=0, "",INDEX(EmployeeData[Exit Date], ROW() - 37)),"")</f>
        <v/>
      </c>
      <c r="I3645" s="4" t="str" cm="1">
        <f t="array" ref="I3645">IFERROR(IF(INDEX(EmployeeData[Exit Reason], ROW() - 37)=0, "",INDEX(EmployeeData[Exit Reason], ROW() - 37)),"")</f>
        <v/>
      </c>
      <c r="J3645" s="4" t="str" cm="1">
        <f t="array" ref="J3645">IFERROR(INDEX(EmployeeData[Status], ROW() - 37), "")</f>
        <v/>
      </c>
    </row>
    <row r="3646" spans="2:10" ht="19.95" customHeight="1" x14ac:dyDescent="0.3">
      <c r="B3646" s="4" t="str" cm="1">
        <f t="array" ref="B3646">IFERROR(INDEX(EmployeeData[Employee ID], ROW() - 37), "")</f>
        <v/>
      </c>
      <c r="C3646" s="4" t="str" cm="1">
        <f t="array" ref="C3646">IFERROR(INDEX(EmployeeData[Full Name], ROW() - 37), "")</f>
        <v/>
      </c>
      <c r="D3646" s="4" t="str" cm="1">
        <f t="array" ref="D3646">IFERROR(INDEX(EmployeeData[Department], ROW() - 37), "")</f>
        <v/>
      </c>
      <c r="E3646" s="4" t="str" cm="1">
        <f t="array" ref="E3646">IFERROR(INDEX(EmployeeData[Gender], ROW() - 37), "")</f>
        <v/>
      </c>
      <c r="F3646" s="4" t="str" cm="1">
        <f t="array" ref="F3646">IFERROR(INDEX(EmployeeData[Age], ROW() - 37), "")</f>
        <v/>
      </c>
      <c r="G3646" s="6" t="str" cm="1">
        <f t="array" ref="G3646">IFERROR(INDEX(EmployeeData[Join Date], ROW() - 37), "")</f>
        <v/>
      </c>
      <c r="H3646" s="6" t="str" cm="1">
        <f t="array" ref="H3646">IFERROR(IF(INDEX(EmployeeData[Exit Date], ROW() - 37)=0, "",INDEX(EmployeeData[Exit Date], ROW() - 37)),"")</f>
        <v/>
      </c>
      <c r="I3646" s="4" t="str" cm="1">
        <f t="array" ref="I3646">IFERROR(IF(INDEX(EmployeeData[Exit Reason], ROW() - 37)=0, "",INDEX(EmployeeData[Exit Reason], ROW() - 37)),"")</f>
        <v/>
      </c>
      <c r="J3646" s="4" t="str" cm="1">
        <f t="array" ref="J3646">IFERROR(INDEX(EmployeeData[Status], ROW() - 37), "")</f>
        <v/>
      </c>
    </row>
    <row r="3647" spans="2:10" ht="19.95" customHeight="1" x14ac:dyDescent="0.3">
      <c r="B3647" s="4" t="str" cm="1">
        <f t="array" ref="B3647">IFERROR(INDEX(EmployeeData[Employee ID], ROW() - 37), "")</f>
        <v/>
      </c>
      <c r="C3647" s="4" t="str" cm="1">
        <f t="array" ref="C3647">IFERROR(INDEX(EmployeeData[Full Name], ROW() - 37), "")</f>
        <v/>
      </c>
      <c r="D3647" s="4" t="str" cm="1">
        <f t="array" ref="D3647">IFERROR(INDEX(EmployeeData[Department], ROW() - 37), "")</f>
        <v/>
      </c>
      <c r="E3647" s="4" t="str" cm="1">
        <f t="array" ref="E3647">IFERROR(INDEX(EmployeeData[Gender], ROW() - 37), "")</f>
        <v/>
      </c>
      <c r="F3647" s="4" t="str" cm="1">
        <f t="array" ref="F3647">IFERROR(INDEX(EmployeeData[Age], ROW() - 37), "")</f>
        <v/>
      </c>
      <c r="G3647" s="6" t="str" cm="1">
        <f t="array" ref="G3647">IFERROR(INDEX(EmployeeData[Join Date], ROW() - 37), "")</f>
        <v/>
      </c>
      <c r="H3647" s="6" t="str" cm="1">
        <f t="array" ref="H3647">IFERROR(IF(INDEX(EmployeeData[Exit Date], ROW() - 37)=0, "",INDEX(EmployeeData[Exit Date], ROW() - 37)),"")</f>
        <v/>
      </c>
      <c r="I3647" s="4" t="str" cm="1">
        <f t="array" ref="I3647">IFERROR(IF(INDEX(EmployeeData[Exit Reason], ROW() - 37)=0, "",INDEX(EmployeeData[Exit Reason], ROW() - 37)),"")</f>
        <v/>
      </c>
      <c r="J3647" s="4" t="str" cm="1">
        <f t="array" ref="J3647">IFERROR(INDEX(EmployeeData[Status], ROW() - 37), "")</f>
        <v/>
      </c>
    </row>
    <row r="3648" spans="2:10" ht="19.95" customHeight="1" x14ac:dyDescent="0.3">
      <c r="B3648" s="4" t="str" cm="1">
        <f t="array" ref="B3648">IFERROR(INDEX(EmployeeData[Employee ID], ROW() - 37), "")</f>
        <v/>
      </c>
      <c r="C3648" s="4" t="str" cm="1">
        <f t="array" ref="C3648">IFERROR(INDEX(EmployeeData[Full Name], ROW() - 37), "")</f>
        <v/>
      </c>
      <c r="D3648" s="4" t="str" cm="1">
        <f t="array" ref="D3648">IFERROR(INDEX(EmployeeData[Department], ROW() - 37), "")</f>
        <v/>
      </c>
      <c r="E3648" s="4" t="str" cm="1">
        <f t="array" ref="E3648">IFERROR(INDEX(EmployeeData[Gender], ROW() - 37), "")</f>
        <v/>
      </c>
      <c r="F3648" s="4" t="str" cm="1">
        <f t="array" ref="F3648">IFERROR(INDEX(EmployeeData[Age], ROW() - 37), "")</f>
        <v/>
      </c>
      <c r="G3648" s="6" t="str" cm="1">
        <f t="array" ref="G3648">IFERROR(INDEX(EmployeeData[Join Date], ROW() - 37), "")</f>
        <v/>
      </c>
      <c r="H3648" s="6" t="str" cm="1">
        <f t="array" ref="H3648">IFERROR(IF(INDEX(EmployeeData[Exit Date], ROW() - 37)=0, "",INDEX(EmployeeData[Exit Date], ROW() - 37)),"")</f>
        <v/>
      </c>
      <c r="I3648" s="4" t="str" cm="1">
        <f t="array" ref="I3648">IFERROR(IF(INDEX(EmployeeData[Exit Reason], ROW() - 37)=0, "",INDEX(EmployeeData[Exit Reason], ROW() - 37)),"")</f>
        <v/>
      </c>
      <c r="J3648" s="4" t="str" cm="1">
        <f t="array" ref="J3648">IFERROR(INDEX(EmployeeData[Status], ROW() - 37), "")</f>
        <v/>
      </c>
    </row>
    <row r="3649" spans="2:10" ht="19.95" customHeight="1" x14ac:dyDescent="0.3">
      <c r="B3649" s="4" t="str" cm="1">
        <f t="array" ref="B3649">IFERROR(INDEX(EmployeeData[Employee ID], ROW() - 37), "")</f>
        <v/>
      </c>
      <c r="C3649" s="4" t="str" cm="1">
        <f t="array" ref="C3649">IFERROR(INDEX(EmployeeData[Full Name], ROW() - 37), "")</f>
        <v/>
      </c>
      <c r="D3649" s="4" t="str" cm="1">
        <f t="array" ref="D3649">IFERROR(INDEX(EmployeeData[Department], ROW() - 37), "")</f>
        <v/>
      </c>
      <c r="E3649" s="4" t="str" cm="1">
        <f t="array" ref="E3649">IFERROR(INDEX(EmployeeData[Gender], ROW() - 37), "")</f>
        <v/>
      </c>
      <c r="F3649" s="4" t="str" cm="1">
        <f t="array" ref="F3649">IFERROR(INDEX(EmployeeData[Age], ROW() - 37), "")</f>
        <v/>
      </c>
      <c r="G3649" s="6" t="str" cm="1">
        <f t="array" ref="G3649">IFERROR(INDEX(EmployeeData[Join Date], ROW() - 37), "")</f>
        <v/>
      </c>
      <c r="H3649" s="6" t="str" cm="1">
        <f t="array" ref="H3649">IFERROR(IF(INDEX(EmployeeData[Exit Date], ROW() - 37)=0, "",INDEX(EmployeeData[Exit Date], ROW() - 37)),"")</f>
        <v/>
      </c>
      <c r="I3649" s="4" t="str" cm="1">
        <f t="array" ref="I3649">IFERROR(IF(INDEX(EmployeeData[Exit Reason], ROW() - 37)=0, "",INDEX(EmployeeData[Exit Reason], ROW() - 37)),"")</f>
        <v/>
      </c>
      <c r="J3649" s="4" t="str" cm="1">
        <f t="array" ref="J3649">IFERROR(INDEX(EmployeeData[Status], ROW() - 37), "")</f>
        <v/>
      </c>
    </row>
    <row r="3650" spans="2:10" ht="19.95" customHeight="1" x14ac:dyDescent="0.3">
      <c r="B3650" s="4" t="str" cm="1">
        <f t="array" ref="B3650">IFERROR(INDEX(EmployeeData[Employee ID], ROW() - 37), "")</f>
        <v/>
      </c>
      <c r="C3650" s="4" t="str" cm="1">
        <f t="array" ref="C3650">IFERROR(INDEX(EmployeeData[Full Name], ROW() - 37), "")</f>
        <v/>
      </c>
      <c r="D3650" s="4" t="str" cm="1">
        <f t="array" ref="D3650">IFERROR(INDEX(EmployeeData[Department], ROW() - 37), "")</f>
        <v/>
      </c>
      <c r="E3650" s="4" t="str" cm="1">
        <f t="array" ref="E3650">IFERROR(INDEX(EmployeeData[Gender], ROW() - 37), "")</f>
        <v/>
      </c>
      <c r="F3650" s="4" t="str" cm="1">
        <f t="array" ref="F3650">IFERROR(INDEX(EmployeeData[Age], ROW() - 37), "")</f>
        <v/>
      </c>
      <c r="G3650" s="6" t="str" cm="1">
        <f t="array" ref="G3650">IFERROR(INDEX(EmployeeData[Join Date], ROW() - 37), "")</f>
        <v/>
      </c>
      <c r="H3650" s="6" t="str" cm="1">
        <f t="array" ref="H3650">IFERROR(IF(INDEX(EmployeeData[Exit Date], ROW() - 37)=0, "",INDEX(EmployeeData[Exit Date], ROW() - 37)),"")</f>
        <v/>
      </c>
      <c r="I3650" s="4" t="str" cm="1">
        <f t="array" ref="I3650">IFERROR(IF(INDEX(EmployeeData[Exit Reason], ROW() - 37)=0, "",INDEX(EmployeeData[Exit Reason], ROW() - 37)),"")</f>
        <v/>
      </c>
      <c r="J3650" s="4" t="str" cm="1">
        <f t="array" ref="J3650">IFERROR(INDEX(EmployeeData[Status], ROW() - 37), "")</f>
        <v/>
      </c>
    </row>
    <row r="3651" spans="2:10" ht="19.95" customHeight="1" x14ac:dyDescent="0.3">
      <c r="B3651" s="4" t="str" cm="1">
        <f t="array" ref="B3651">IFERROR(INDEX(EmployeeData[Employee ID], ROW() - 37), "")</f>
        <v/>
      </c>
      <c r="C3651" s="4" t="str" cm="1">
        <f t="array" ref="C3651">IFERROR(INDEX(EmployeeData[Full Name], ROW() - 37), "")</f>
        <v/>
      </c>
      <c r="D3651" s="4" t="str" cm="1">
        <f t="array" ref="D3651">IFERROR(INDEX(EmployeeData[Department], ROW() - 37), "")</f>
        <v/>
      </c>
      <c r="E3651" s="4" t="str" cm="1">
        <f t="array" ref="E3651">IFERROR(INDEX(EmployeeData[Gender], ROW() - 37), "")</f>
        <v/>
      </c>
      <c r="F3651" s="4" t="str" cm="1">
        <f t="array" ref="F3651">IFERROR(INDEX(EmployeeData[Age], ROW() - 37), "")</f>
        <v/>
      </c>
      <c r="G3651" s="6" t="str" cm="1">
        <f t="array" ref="G3651">IFERROR(INDEX(EmployeeData[Join Date], ROW() - 37), "")</f>
        <v/>
      </c>
      <c r="H3651" s="6" t="str" cm="1">
        <f t="array" ref="H3651">IFERROR(IF(INDEX(EmployeeData[Exit Date], ROW() - 37)=0, "",INDEX(EmployeeData[Exit Date], ROW() - 37)),"")</f>
        <v/>
      </c>
      <c r="I3651" s="4" t="str" cm="1">
        <f t="array" ref="I3651">IFERROR(IF(INDEX(EmployeeData[Exit Reason], ROW() - 37)=0, "",INDEX(EmployeeData[Exit Reason], ROW() - 37)),"")</f>
        <v/>
      </c>
      <c r="J3651" s="4" t="str" cm="1">
        <f t="array" ref="J3651">IFERROR(INDEX(EmployeeData[Status], ROW() - 37), "")</f>
        <v/>
      </c>
    </row>
    <row r="3652" spans="2:10" ht="19.95" customHeight="1" x14ac:dyDescent="0.3">
      <c r="B3652" s="4" t="str" cm="1">
        <f t="array" ref="B3652">IFERROR(INDEX(EmployeeData[Employee ID], ROW() - 37), "")</f>
        <v/>
      </c>
      <c r="C3652" s="4" t="str" cm="1">
        <f t="array" ref="C3652">IFERROR(INDEX(EmployeeData[Full Name], ROW() - 37), "")</f>
        <v/>
      </c>
      <c r="D3652" s="4" t="str" cm="1">
        <f t="array" ref="D3652">IFERROR(INDEX(EmployeeData[Department], ROW() - 37), "")</f>
        <v/>
      </c>
      <c r="E3652" s="4" t="str" cm="1">
        <f t="array" ref="E3652">IFERROR(INDEX(EmployeeData[Gender], ROW() - 37), "")</f>
        <v/>
      </c>
      <c r="F3652" s="4" t="str" cm="1">
        <f t="array" ref="F3652">IFERROR(INDEX(EmployeeData[Age], ROW() - 37), "")</f>
        <v/>
      </c>
      <c r="G3652" s="6" t="str" cm="1">
        <f t="array" ref="G3652">IFERROR(INDEX(EmployeeData[Join Date], ROW() - 37), "")</f>
        <v/>
      </c>
      <c r="H3652" s="6" t="str" cm="1">
        <f t="array" ref="H3652">IFERROR(IF(INDEX(EmployeeData[Exit Date], ROW() - 37)=0, "",INDEX(EmployeeData[Exit Date], ROW() - 37)),"")</f>
        <v/>
      </c>
      <c r="I3652" s="4" t="str" cm="1">
        <f t="array" ref="I3652">IFERROR(IF(INDEX(EmployeeData[Exit Reason], ROW() - 37)=0, "",INDEX(EmployeeData[Exit Reason], ROW() - 37)),"")</f>
        <v/>
      </c>
      <c r="J3652" s="4" t="str" cm="1">
        <f t="array" ref="J3652">IFERROR(INDEX(EmployeeData[Status], ROW() - 37), "")</f>
        <v/>
      </c>
    </row>
    <row r="3653" spans="2:10" ht="19.95" customHeight="1" x14ac:dyDescent="0.3">
      <c r="B3653" s="4" t="str" cm="1">
        <f t="array" ref="B3653">IFERROR(INDEX(EmployeeData[Employee ID], ROW() - 37), "")</f>
        <v/>
      </c>
      <c r="C3653" s="4" t="str" cm="1">
        <f t="array" ref="C3653">IFERROR(INDEX(EmployeeData[Full Name], ROW() - 37), "")</f>
        <v/>
      </c>
      <c r="D3653" s="4" t="str" cm="1">
        <f t="array" ref="D3653">IFERROR(INDEX(EmployeeData[Department], ROW() - 37), "")</f>
        <v/>
      </c>
      <c r="E3653" s="4" t="str" cm="1">
        <f t="array" ref="E3653">IFERROR(INDEX(EmployeeData[Gender], ROW() - 37), "")</f>
        <v/>
      </c>
      <c r="F3653" s="4" t="str" cm="1">
        <f t="array" ref="F3653">IFERROR(INDEX(EmployeeData[Age], ROW() - 37), "")</f>
        <v/>
      </c>
      <c r="G3653" s="6" t="str" cm="1">
        <f t="array" ref="G3653">IFERROR(INDEX(EmployeeData[Join Date], ROW() - 37), "")</f>
        <v/>
      </c>
      <c r="H3653" s="6" t="str" cm="1">
        <f t="array" ref="H3653">IFERROR(IF(INDEX(EmployeeData[Exit Date], ROW() - 37)=0, "",INDEX(EmployeeData[Exit Date], ROW() - 37)),"")</f>
        <v/>
      </c>
      <c r="I3653" s="4" t="str" cm="1">
        <f t="array" ref="I3653">IFERROR(IF(INDEX(EmployeeData[Exit Reason], ROW() - 37)=0, "",INDEX(EmployeeData[Exit Reason], ROW() - 37)),"")</f>
        <v/>
      </c>
      <c r="J3653" s="4" t="str" cm="1">
        <f t="array" ref="J3653">IFERROR(INDEX(EmployeeData[Status], ROW() - 37), "")</f>
        <v/>
      </c>
    </row>
    <row r="3654" spans="2:10" ht="19.95" customHeight="1" x14ac:dyDescent="0.3">
      <c r="B3654" s="4" t="str" cm="1">
        <f t="array" ref="B3654">IFERROR(INDEX(EmployeeData[Employee ID], ROW() - 37), "")</f>
        <v/>
      </c>
      <c r="C3654" s="4" t="str" cm="1">
        <f t="array" ref="C3654">IFERROR(INDEX(EmployeeData[Full Name], ROW() - 37), "")</f>
        <v/>
      </c>
      <c r="D3654" s="4" t="str" cm="1">
        <f t="array" ref="D3654">IFERROR(INDEX(EmployeeData[Department], ROW() - 37), "")</f>
        <v/>
      </c>
      <c r="E3654" s="4" t="str" cm="1">
        <f t="array" ref="E3654">IFERROR(INDEX(EmployeeData[Gender], ROW() - 37), "")</f>
        <v/>
      </c>
      <c r="F3654" s="4" t="str" cm="1">
        <f t="array" ref="F3654">IFERROR(INDEX(EmployeeData[Age], ROW() - 37), "")</f>
        <v/>
      </c>
      <c r="G3654" s="6" t="str" cm="1">
        <f t="array" ref="G3654">IFERROR(INDEX(EmployeeData[Join Date], ROW() - 37), "")</f>
        <v/>
      </c>
      <c r="H3654" s="6" t="str" cm="1">
        <f t="array" ref="H3654">IFERROR(IF(INDEX(EmployeeData[Exit Date], ROW() - 37)=0, "",INDEX(EmployeeData[Exit Date], ROW() - 37)),"")</f>
        <v/>
      </c>
      <c r="I3654" s="4" t="str" cm="1">
        <f t="array" ref="I3654">IFERROR(IF(INDEX(EmployeeData[Exit Reason], ROW() - 37)=0, "",INDEX(EmployeeData[Exit Reason], ROW() - 37)),"")</f>
        <v/>
      </c>
      <c r="J3654" s="4" t="str" cm="1">
        <f t="array" ref="J3654">IFERROR(INDEX(EmployeeData[Status], ROW() - 37), "")</f>
        <v/>
      </c>
    </row>
    <row r="3655" spans="2:10" ht="19.95" customHeight="1" x14ac:dyDescent="0.3">
      <c r="B3655" s="4" t="str" cm="1">
        <f t="array" ref="B3655">IFERROR(INDEX(EmployeeData[Employee ID], ROW() - 37), "")</f>
        <v/>
      </c>
      <c r="C3655" s="4" t="str" cm="1">
        <f t="array" ref="C3655">IFERROR(INDEX(EmployeeData[Full Name], ROW() - 37), "")</f>
        <v/>
      </c>
      <c r="D3655" s="4" t="str" cm="1">
        <f t="array" ref="D3655">IFERROR(INDEX(EmployeeData[Department], ROW() - 37), "")</f>
        <v/>
      </c>
      <c r="E3655" s="4" t="str" cm="1">
        <f t="array" ref="E3655">IFERROR(INDEX(EmployeeData[Gender], ROW() - 37), "")</f>
        <v/>
      </c>
      <c r="F3655" s="4" t="str" cm="1">
        <f t="array" ref="F3655">IFERROR(INDEX(EmployeeData[Age], ROW() - 37), "")</f>
        <v/>
      </c>
      <c r="G3655" s="6" t="str" cm="1">
        <f t="array" ref="G3655">IFERROR(INDEX(EmployeeData[Join Date], ROW() - 37), "")</f>
        <v/>
      </c>
      <c r="H3655" s="6" t="str" cm="1">
        <f t="array" ref="H3655">IFERROR(IF(INDEX(EmployeeData[Exit Date], ROW() - 37)=0, "",INDEX(EmployeeData[Exit Date], ROW() - 37)),"")</f>
        <v/>
      </c>
      <c r="I3655" s="4" t="str" cm="1">
        <f t="array" ref="I3655">IFERROR(IF(INDEX(EmployeeData[Exit Reason], ROW() - 37)=0, "",INDEX(EmployeeData[Exit Reason], ROW() - 37)),"")</f>
        <v/>
      </c>
      <c r="J3655" s="4" t="str" cm="1">
        <f t="array" ref="J3655">IFERROR(INDEX(EmployeeData[Status], ROW() - 37), "")</f>
        <v/>
      </c>
    </row>
    <row r="3656" spans="2:10" ht="19.95" customHeight="1" x14ac:dyDescent="0.3">
      <c r="B3656" s="4" t="str" cm="1">
        <f t="array" ref="B3656">IFERROR(INDEX(EmployeeData[Employee ID], ROW() - 37), "")</f>
        <v/>
      </c>
      <c r="C3656" s="4" t="str" cm="1">
        <f t="array" ref="C3656">IFERROR(INDEX(EmployeeData[Full Name], ROW() - 37), "")</f>
        <v/>
      </c>
      <c r="D3656" s="4" t="str" cm="1">
        <f t="array" ref="D3656">IFERROR(INDEX(EmployeeData[Department], ROW() - 37), "")</f>
        <v/>
      </c>
      <c r="E3656" s="4" t="str" cm="1">
        <f t="array" ref="E3656">IFERROR(INDEX(EmployeeData[Gender], ROW() - 37), "")</f>
        <v/>
      </c>
      <c r="F3656" s="4" t="str" cm="1">
        <f t="array" ref="F3656">IFERROR(INDEX(EmployeeData[Age], ROW() - 37), "")</f>
        <v/>
      </c>
      <c r="G3656" s="6" t="str" cm="1">
        <f t="array" ref="G3656">IFERROR(INDEX(EmployeeData[Join Date], ROW() - 37), "")</f>
        <v/>
      </c>
      <c r="H3656" s="6" t="str" cm="1">
        <f t="array" ref="H3656">IFERROR(IF(INDEX(EmployeeData[Exit Date], ROW() - 37)=0, "",INDEX(EmployeeData[Exit Date], ROW() - 37)),"")</f>
        <v/>
      </c>
      <c r="I3656" s="4" t="str" cm="1">
        <f t="array" ref="I3656">IFERROR(IF(INDEX(EmployeeData[Exit Reason], ROW() - 37)=0, "",INDEX(EmployeeData[Exit Reason], ROW() - 37)),"")</f>
        <v/>
      </c>
      <c r="J3656" s="4" t="str" cm="1">
        <f t="array" ref="J3656">IFERROR(INDEX(EmployeeData[Status], ROW() - 37), "")</f>
        <v/>
      </c>
    </row>
    <row r="3657" spans="2:10" ht="19.95" customHeight="1" x14ac:dyDescent="0.3">
      <c r="B3657" s="4" t="str" cm="1">
        <f t="array" ref="B3657">IFERROR(INDEX(EmployeeData[Employee ID], ROW() - 37), "")</f>
        <v/>
      </c>
      <c r="C3657" s="4" t="str" cm="1">
        <f t="array" ref="C3657">IFERROR(INDEX(EmployeeData[Full Name], ROW() - 37), "")</f>
        <v/>
      </c>
      <c r="D3657" s="4" t="str" cm="1">
        <f t="array" ref="D3657">IFERROR(INDEX(EmployeeData[Department], ROW() - 37), "")</f>
        <v/>
      </c>
      <c r="E3657" s="4" t="str" cm="1">
        <f t="array" ref="E3657">IFERROR(INDEX(EmployeeData[Gender], ROW() - 37), "")</f>
        <v/>
      </c>
      <c r="F3657" s="4" t="str" cm="1">
        <f t="array" ref="F3657">IFERROR(INDEX(EmployeeData[Age], ROW() - 37), "")</f>
        <v/>
      </c>
      <c r="G3657" s="6" t="str" cm="1">
        <f t="array" ref="G3657">IFERROR(INDEX(EmployeeData[Join Date], ROW() - 37), "")</f>
        <v/>
      </c>
      <c r="H3657" s="6" t="str" cm="1">
        <f t="array" ref="H3657">IFERROR(IF(INDEX(EmployeeData[Exit Date], ROW() - 37)=0, "",INDEX(EmployeeData[Exit Date], ROW() - 37)),"")</f>
        <v/>
      </c>
      <c r="I3657" s="4" t="str" cm="1">
        <f t="array" ref="I3657">IFERROR(IF(INDEX(EmployeeData[Exit Reason], ROW() - 37)=0, "",INDEX(EmployeeData[Exit Reason], ROW() - 37)),"")</f>
        <v/>
      </c>
      <c r="J3657" s="4" t="str" cm="1">
        <f t="array" ref="J3657">IFERROR(INDEX(EmployeeData[Status], ROW() - 37), "")</f>
        <v/>
      </c>
    </row>
    <row r="3658" spans="2:10" ht="19.95" customHeight="1" x14ac:dyDescent="0.3">
      <c r="B3658" s="4" t="str" cm="1">
        <f t="array" ref="B3658">IFERROR(INDEX(EmployeeData[Employee ID], ROW() - 37), "")</f>
        <v/>
      </c>
      <c r="C3658" s="4" t="str" cm="1">
        <f t="array" ref="C3658">IFERROR(INDEX(EmployeeData[Full Name], ROW() - 37), "")</f>
        <v/>
      </c>
      <c r="D3658" s="4" t="str" cm="1">
        <f t="array" ref="D3658">IFERROR(INDEX(EmployeeData[Department], ROW() - 37), "")</f>
        <v/>
      </c>
      <c r="E3658" s="4" t="str" cm="1">
        <f t="array" ref="E3658">IFERROR(INDEX(EmployeeData[Gender], ROW() - 37), "")</f>
        <v/>
      </c>
      <c r="F3658" s="4" t="str" cm="1">
        <f t="array" ref="F3658">IFERROR(INDEX(EmployeeData[Age], ROW() - 37), "")</f>
        <v/>
      </c>
      <c r="G3658" s="6" t="str" cm="1">
        <f t="array" ref="G3658">IFERROR(INDEX(EmployeeData[Join Date], ROW() - 37), "")</f>
        <v/>
      </c>
      <c r="H3658" s="6" t="str" cm="1">
        <f t="array" ref="H3658">IFERROR(IF(INDEX(EmployeeData[Exit Date], ROW() - 37)=0, "",INDEX(EmployeeData[Exit Date], ROW() - 37)),"")</f>
        <v/>
      </c>
      <c r="I3658" s="4" t="str" cm="1">
        <f t="array" ref="I3658">IFERROR(IF(INDEX(EmployeeData[Exit Reason], ROW() - 37)=0, "",INDEX(EmployeeData[Exit Reason], ROW() - 37)),"")</f>
        <v/>
      </c>
      <c r="J3658" s="4" t="str" cm="1">
        <f t="array" ref="J3658">IFERROR(INDEX(EmployeeData[Status], ROW() - 37), "")</f>
        <v/>
      </c>
    </row>
    <row r="3659" spans="2:10" ht="19.95" customHeight="1" x14ac:dyDescent="0.3">
      <c r="B3659" s="4" t="str" cm="1">
        <f t="array" ref="B3659">IFERROR(INDEX(EmployeeData[Employee ID], ROW() - 37), "")</f>
        <v/>
      </c>
      <c r="C3659" s="4" t="str" cm="1">
        <f t="array" ref="C3659">IFERROR(INDEX(EmployeeData[Full Name], ROW() - 37), "")</f>
        <v/>
      </c>
      <c r="D3659" s="4" t="str" cm="1">
        <f t="array" ref="D3659">IFERROR(INDEX(EmployeeData[Department], ROW() - 37), "")</f>
        <v/>
      </c>
      <c r="E3659" s="4" t="str" cm="1">
        <f t="array" ref="E3659">IFERROR(INDEX(EmployeeData[Gender], ROW() - 37), "")</f>
        <v/>
      </c>
      <c r="F3659" s="4" t="str" cm="1">
        <f t="array" ref="F3659">IFERROR(INDEX(EmployeeData[Age], ROW() - 37), "")</f>
        <v/>
      </c>
      <c r="G3659" s="6" t="str" cm="1">
        <f t="array" ref="G3659">IFERROR(INDEX(EmployeeData[Join Date], ROW() - 37), "")</f>
        <v/>
      </c>
      <c r="H3659" s="6" t="str" cm="1">
        <f t="array" ref="H3659">IFERROR(IF(INDEX(EmployeeData[Exit Date], ROW() - 37)=0, "",INDEX(EmployeeData[Exit Date], ROW() - 37)),"")</f>
        <v/>
      </c>
      <c r="I3659" s="4" t="str" cm="1">
        <f t="array" ref="I3659">IFERROR(IF(INDEX(EmployeeData[Exit Reason], ROW() - 37)=0, "",INDEX(EmployeeData[Exit Reason], ROW() - 37)),"")</f>
        <v/>
      </c>
      <c r="J3659" s="4" t="str" cm="1">
        <f t="array" ref="J3659">IFERROR(INDEX(EmployeeData[Status], ROW() - 37), "")</f>
        <v/>
      </c>
    </row>
    <row r="3660" spans="2:10" ht="19.95" customHeight="1" x14ac:dyDescent="0.3">
      <c r="B3660" s="4" t="str" cm="1">
        <f t="array" ref="B3660">IFERROR(INDEX(EmployeeData[Employee ID], ROW() - 37), "")</f>
        <v/>
      </c>
      <c r="C3660" s="4" t="str" cm="1">
        <f t="array" ref="C3660">IFERROR(INDEX(EmployeeData[Full Name], ROW() - 37), "")</f>
        <v/>
      </c>
      <c r="D3660" s="4" t="str" cm="1">
        <f t="array" ref="D3660">IFERROR(INDEX(EmployeeData[Department], ROW() - 37), "")</f>
        <v/>
      </c>
      <c r="E3660" s="4" t="str" cm="1">
        <f t="array" ref="E3660">IFERROR(INDEX(EmployeeData[Gender], ROW() - 37), "")</f>
        <v/>
      </c>
      <c r="F3660" s="4" t="str" cm="1">
        <f t="array" ref="F3660">IFERROR(INDEX(EmployeeData[Age], ROW() - 37), "")</f>
        <v/>
      </c>
      <c r="G3660" s="6" t="str" cm="1">
        <f t="array" ref="G3660">IFERROR(INDEX(EmployeeData[Join Date], ROW() - 37), "")</f>
        <v/>
      </c>
      <c r="H3660" s="6" t="str" cm="1">
        <f t="array" ref="H3660">IFERROR(IF(INDEX(EmployeeData[Exit Date], ROW() - 37)=0, "",INDEX(EmployeeData[Exit Date], ROW() - 37)),"")</f>
        <v/>
      </c>
      <c r="I3660" s="4" t="str" cm="1">
        <f t="array" ref="I3660">IFERROR(IF(INDEX(EmployeeData[Exit Reason], ROW() - 37)=0, "",INDEX(EmployeeData[Exit Reason], ROW() - 37)),"")</f>
        <v/>
      </c>
      <c r="J3660" s="4" t="str" cm="1">
        <f t="array" ref="J3660">IFERROR(INDEX(EmployeeData[Status], ROW() - 37), "")</f>
        <v/>
      </c>
    </row>
    <row r="3661" spans="2:10" ht="19.95" customHeight="1" x14ac:dyDescent="0.3">
      <c r="B3661" s="4" t="str" cm="1">
        <f t="array" ref="B3661">IFERROR(INDEX(EmployeeData[Employee ID], ROW() - 37), "")</f>
        <v/>
      </c>
      <c r="C3661" s="4" t="str" cm="1">
        <f t="array" ref="C3661">IFERROR(INDEX(EmployeeData[Full Name], ROW() - 37), "")</f>
        <v/>
      </c>
      <c r="D3661" s="4" t="str" cm="1">
        <f t="array" ref="D3661">IFERROR(INDEX(EmployeeData[Department], ROW() - 37), "")</f>
        <v/>
      </c>
      <c r="E3661" s="4" t="str" cm="1">
        <f t="array" ref="E3661">IFERROR(INDEX(EmployeeData[Gender], ROW() - 37), "")</f>
        <v/>
      </c>
      <c r="F3661" s="4" t="str" cm="1">
        <f t="array" ref="F3661">IFERROR(INDEX(EmployeeData[Age], ROW() - 37), "")</f>
        <v/>
      </c>
      <c r="G3661" s="6" t="str" cm="1">
        <f t="array" ref="G3661">IFERROR(INDEX(EmployeeData[Join Date], ROW() - 37), "")</f>
        <v/>
      </c>
      <c r="H3661" s="6" t="str" cm="1">
        <f t="array" ref="H3661">IFERROR(IF(INDEX(EmployeeData[Exit Date], ROW() - 37)=0, "",INDEX(EmployeeData[Exit Date], ROW() - 37)),"")</f>
        <v/>
      </c>
      <c r="I3661" s="4" t="str" cm="1">
        <f t="array" ref="I3661">IFERROR(IF(INDEX(EmployeeData[Exit Reason], ROW() - 37)=0, "",INDEX(EmployeeData[Exit Reason], ROW() - 37)),"")</f>
        <v/>
      </c>
      <c r="J3661" s="4" t="str" cm="1">
        <f t="array" ref="J3661">IFERROR(INDEX(EmployeeData[Status], ROW() - 37), "")</f>
        <v/>
      </c>
    </row>
    <row r="3662" spans="2:10" ht="19.95" customHeight="1" x14ac:dyDescent="0.3">
      <c r="B3662" s="4" t="str" cm="1">
        <f t="array" ref="B3662">IFERROR(INDEX(EmployeeData[Employee ID], ROW() - 37), "")</f>
        <v/>
      </c>
      <c r="C3662" s="4" t="str" cm="1">
        <f t="array" ref="C3662">IFERROR(INDEX(EmployeeData[Full Name], ROW() - 37), "")</f>
        <v/>
      </c>
      <c r="D3662" s="4" t="str" cm="1">
        <f t="array" ref="D3662">IFERROR(INDEX(EmployeeData[Department], ROW() - 37), "")</f>
        <v/>
      </c>
      <c r="E3662" s="4" t="str" cm="1">
        <f t="array" ref="E3662">IFERROR(INDEX(EmployeeData[Gender], ROW() - 37), "")</f>
        <v/>
      </c>
      <c r="F3662" s="4" t="str" cm="1">
        <f t="array" ref="F3662">IFERROR(INDEX(EmployeeData[Age], ROW() - 37), "")</f>
        <v/>
      </c>
      <c r="G3662" s="6" t="str" cm="1">
        <f t="array" ref="G3662">IFERROR(INDEX(EmployeeData[Join Date], ROW() - 37), "")</f>
        <v/>
      </c>
      <c r="H3662" s="6" t="str" cm="1">
        <f t="array" ref="H3662">IFERROR(IF(INDEX(EmployeeData[Exit Date], ROW() - 37)=0, "",INDEX(EmployeeData[Exit Date], ROW() - 37)),"")</f>
        <v/>
      </c>
      <c r="I3662" s="4" t="str" cm="1">
        <f t="array" ref="I3662">IFERROR(IF(INDEX(EmployeeData[Exit Reason], ROW() - 37)=0, "",INDEX(EmployeeData[Exit Reason], ROW() - 37)),"")</f>
        <v/>
      </c>
      <c r="J3662" s="4" t="str" cm="1">
        <f t="array" ref="J3662">IFERROR(INDEX(EmployeeData[Status], ROW() - 37), "")</f>
        <v/>
      </c>
    </row>
    <row r="3663" spans="2:10" ht="19.95" customHeight="1" x14ac:dyDescent="0.3">
      <c r="B3663" s="4" t="str" cm="1">
        <f t="array" ref="B3663">IFERROR(INDEX(EmployeeData[Employee ID], ROW() - 37), "")</f>
        <v/>
      </c>
      <c r="C3663" s="4" t="str" cm="1">
        <f t="array" ref="C3663">IFERROR(INDEX(EmployeeData[Full Name], ROW() - 37), "")</f>
        <v/>
      </c>
      <c r="D3663" s="4" t="str" cm="1">
        <f t="array" ref="D3663">IFERROR(INDEX(EmployeeData[Department], ROW() - 37), "")</f>
        <v/>
      </c>
      <c r="E3663" s="4" t="str" cm="1">
        <f t="array" ref="E3663">IFERROR(INDEX(EmployeeData[Gender], ROW() - 37), "")</f>
        <v/>
      </c>
      <c r="F3663" s="4" t="str" cm="1">
        <f t="array" ref="F3663">IFERROR(INDEX(EmployeeData[Age], ROW() - 37), "")</f>
        <v/>
      </c>
      <c r="G3663" s="6" t="str" cm="1">
        <f t="array" ref="G3663">IFERROR(INDEX(EmployeeData[Join Date], ROW() - 37), "")</f>
        <v/>
      </c>
      <c r="H3663" s="6" t="str" cm="1">
        <f t="array" ref="H3663">IFERROR(IF(INDEX(EmployeeData[Exit Date], ROW() - 37)=0, "",INDEX(EmployeeData[Exit Date], ROW() - 37)),"")</f>
        <v/>
      </c>
      <c r="I3663" s="4" t="str" cm="1">
        <f t="array" ref="I3663">IFERROR(IF(INDEX(EmployeeData[Exit Reason], ROW() - 37)=0, "",INDEX(EmployeeData[Exit Reason], ROW() - 37)),"")</f>
        <v/>
      </c>
      <c r="J3663" s="4" t="str" cm="1">
        <f t="array" ref="J3663">IFERROR(INDEX(EmployeeData[Status], ROW() - 37), "")</f>
        <v/>
      </c>
    </row>
    <row r="3664" spans="2:10" ht="19.95" customHeight="1" x14ac:dyDescent="0.3">
      <c r="B3664" s="4" t="str" cm="1">
        <f t="array" ref="B3664">IFERROR(INDEX(EmployeeData[Employee ID], ROW() - 37), "")</f>
        <v/>
      </c>
      <c r="C3664" s="4" t="str" cm="1">
        <f t="array" ref="C3664">IFERROR(INDEX(EmployeeData[Full Name], ROW() - 37), "")</f>
        <v/>
      </c>
      <c r="D3664" s="4" t="str" cm="1">
        <f t="array" ref="D3664">IFERROR(INDEX(EmployeeData[Department], ROW() - 37), "")</f>
        <v/>
      </c>
      <c r="E3664" s="4" t="str" cm="1">
        <f t="array" ref="E3664">IFERROR(INDEX(EmployeeData[Gender], ROW() - 37), "")</f>
        <v/>
      </c>
      <c r="F3664" s="4" t="str" cm="1">
        <f t="array" ref="F3664">IFERROR(INDEX(EmployeeData[Age], ROW() - 37), "")</f>
        <v/>
      </c>
      <c r="G3664" s="6" t="str" cm="1">
        <f t="array" ref="G3664">IFERROR(INDEX(EmployeeData[Join Date], ROW() - 37), "")</f>
        <v/>
      </c>
      <c r="H3664" s="6" t="str" cm="1">
        <f t="array" ref="H3664">IFERROR(IF(INDEX(EmployeeData[Exit Date], ROW() - 37)=0, "",INDEX(EmployeeData[Exit Date], ROW() - 37)),"")</f>
        <v/>
      </c>
      <c r="I3664" s="4" t="str" cm="1">
        <f t="array" ref="I3664">IFERROR(IF(INDEX(EmployeeData[Exit Reason], ROW() - 37)=0, "",INDEX(EmployeeData[Exit Reason], ROW() - 37)),"")</f>
        <v/>
      </c>
      <c r="J3664" s="4" t="str" cm="1">
        <f t="array" ref="J3664">IFERROR(INDEX(EmployeeData[Status], ROW() - 37), "")</f>
        <v/>
      </c>
    </row>
    <row r="3665" spans="2:10" ht="19.95" customHeight="1" x14ac:dyDescent="0.3">
      <c r="B3665" s="4" t="str" cm="1">
        <f t="array" ref="B3665">IFERROR(INDEX(EmployeeData[Employee ID], ROW() - 37), "")</f>
        <v/>
      </c>
      <c r="C3665" s="4" t="str" cm="1">
        <f t="array" ref="C3665">IFERROR(INDEX(EmployeeData[Full Name], ROW() - 37), "")</f>
        <v/>
      </c>
      <c r="D3665" s="4" t="str" cm="1">
        <f t="array" ref="D3665">IFERROR(INDEX(EmployeeData[Department], ROW() - 37), "")</f>
        <v/>
      </c>
      <c r="E3665" s="4" t="str" cm="1">
        <f t="array" ref="E3665">IFERROR(INDEX(EmployeeData[Gender], ROW() - 37), "")</f>
        <v/>
      </c>
      <c r="F3665" s="4" t="str" cm="1">
        <f t="array" ref="F3665">IFERROR(INDEX(EmployeeData[Age], ROW() - 37), "")</f>
        <v/>
      </c>
      <c r="G3665" s="6" t="str" cm="1">
        <f t="array" ref="G3665">IFERROR(INDEX(EmployeeData[Join Date], ROW() - 37), "")</f>
        <v/>
      </c>
      <c r="H3665" s="6" t="str" cm="1">
        <f t="array" ref="H3665">IFERROR(IF(INDEX(EmployeeData[Exit Date], ROW() - 37)=0, "",INDEX(EmployeeData[Exit Date], ROW() - 37)),"")</f>
        <v/>
      </c>
      <c r="I3665" s="4" t="str" cm="1">
        <f t="array" ref="I3665">IFERROR(IF(INDEX(EmployeeData[Exit Reason], ROW() - 37)=0, "",INDEX(EmployeeData[Exit Reason], ROW() - 37)),"")</f>
        <v/>
      </c>
      <c r="J3665" s="4" t="str" cm="1">
        <f t="array" ref="J3665">IFERROR(INDEX(EmployeeData[Status], ROW() - 37), "")</f>
        <v/>
      </c>
    </row>
    <row r="3666" spans="2:10" ht="19.95" customHeight="1" x14ac:dyDescent="0.3">
      <c r="B3666" s="4" t="str" cm="1">
        <f t="array" ref="B3666">IFERROR(INDEX(EmployeeData[Employee ID], ROW() - 37), "")</f>
        <v/>
      </c>
      <c r="C3666" s="4" t="str" cm="1">
        <f t="array" ref="C3666">IFERROR(INDEX(EmployeeData[Full Name], ROW() - 37), "")</f>
        <v/>
      </c>
      <c r="D3666" s="4" t="str" cm="1">
        <f t="array" ref="D3666">IFERROR(INDEX(EmployeeData[Department], ROW() - 37), "")</f>
        <v/>
      </c>
      <c r="E3666" s="4" t="str" cm="1">
        <f t="array" ref="E3666">IFERROR(INDEX(EmployeeData[Gender], ROW() - 37), "")</f>
        <v/>
      </c>
      <c r="F3666" s="4" t="str" cm="1">
        <f t="array" ref="F3666">IFERROR(INDEX(EmployeeData[Age], ROW() - 37), "")</f>
        <v/>
      </c>
      <c r="G3666" s="6" t="str" cm="1">
        <f t="array" ref="G3666">IFERROR(INDEX(EmployeeData[Join Date], ROW() - 37), "")</f>
        <v/>
      </c>
      <c r="H3666" s="6" t="str" cm="1">
        <f t="array" ref="H3666">IFERROR(IF(INDEX(EmployeeData[Exit Date], ROW() - 37)=0, "",INDEX(EmployeeData[Exit Date], ROW() - 37)),"")</f>
        <v/>
      </c>
      <c r="I3666" s="4" t="str" cm="1">
        <f t="array" ref="I3666">IFERROR(IF(INDEX(EmployeeData[Exit Reason], ROW() - 37)=0, "",INDEX(EmployeeData[Exit Reason], ROW() - 37)),"")</f>
        <v/>
      </c>
      <c r="J3666" s="4" t="str" cm="1">
        <f t="array" ref="J3666">IFERROR(INDEX(EmployeeData[Status], ROW() - 37), "")</f>
        <v/>
      </c>
    </row>
    <row r="3667" spans="2:10" ht="19.95" customHeight="1" x14ac:dyDescent="0.3">
      <c r="B3667" s="4" t="str" cm="1">
        <f t="array" ref="B3667">IFERROR(INDEX(EmployeeData[Employee ID], ROW() - 37), "")</f>
        <v/>
      </c>
      <c r="C3667" s="4" t="str" cm="1">
        <f t="array" ref="C3667">IFERROR(INDEX(EmployeeData[Full Name], ROW() - 37), "")</f>
        <v/>
      </c>
      <c r="D3667" s="4" t="str" cm="1">
        <f t="array" ref="D3667">IFERROR(INDEX(EmployeeData[Department], ROW() - 37), "")</f>
        <v/>
      </c>
      <c r="E3667" s="4" t="str" cm="1">
        <f t="array" ref="E3667">IFERROR(INDEX(EmployeeData[Gender], ROW() - 37), "")</f>
        <v/>
      </c>
      <c r="F3667" s="4" t="str" cm="1">
        <f t="array" ref="F3667">IFERROR(INDEX(EmployeeData[Age], ROW() - 37), "")</f>
        <v/>
      </c>
      <c r="G3667" s="6" t="str" cm="1">
        <f t="array" ref="G3667">IFERROR(INDEX(EmployeeData[Join Date], ROW() - 37), "")</f>
        <v/>
      </c>
      <c r="H3667" s="6" t="str" cm="1">
        <f t="array" ref="H3667">IFERROR(IF(INDEX(EmployeeData[Exit Date], ROW() - 37)=0, "",INDEX(EmployeeData[Exit Date], ROW() - 37)),"")</f>
        <v/>
      </c>
      <c r="I3667" s="4" t="str" cm="1">
        <f t="array" ref="I3667">IFERROR(IF(INDEX(EmployeeData[Exit Reason], ROW() - 37)=0, "",INDEX(EmployeeData[Exit Reason], ROW() - 37)),"")</f>
        <v/>
      </c>
      <c r="J3667" s="4" t="str" cm="1">
        <f t="array" ref="J3667">IFERROR(INDEX(EmployeeData[Status], ROW() - 37), "")</f>
        <v/>
      </c>
    </row>
    <row r="3668" spans="2:10" ht="19.95" customHeight="1" x14ac:dyDescent="0.3">
      <c r="B3668" s="4" t="str" cm="1">
        <f t="array" ref="B3668">IFERROR(INDEX(EmployeeData[Employee ID], ROW() - 37), "")</f>
        <v/>
      </c>
      <c r="C3668" s="4" t="str" cm="1">
        <f t="array" ref="C3668">IFERROR(INDEX(EmployeeData[Full Name], ROW() - 37), "")</f>
        <v/>
      </c>
      <c r="D3668" s="4" t="str" cm="1">
        <f t="array" ref="D3668">IFERROR(INDEX(EmployeeData[Department], ROW() - 37), "")</f>
        <v/>
      </c>
      <c r="E3668" s="4" t="str" cm="1">
        <f t="array" ref="E3668">IFERROR(INDEX(EmployeeData[Gender], ROW() - 37), "")</f>
        <v/>
      </c>
      <c r="F3668" s="4" t="str" cm="1">
        <f t="array" ref="F3668">IFERROR(INDEX(EmployeeData[Age], ROW() - 37), "")</f>
        <v/>
      </c>
      <c r="G3668" s="6" t="str" cm="1">
        <f t="array" ref="G3668">IFERROR(INDEX(EmployeeData[Join Date], ROW() - 37), "")</f>
        <v/>
      </c>
      <c r="H3668" s="6" t="str" cm="1">
        <f t="array" ref="H3668">IFERROR(IF(INDEX(EmployeeData[Exit Date], ROW() - 37)=0, "",INDEX(EmployeeData[Exit Date], ROW() - 37)),"")</f>
        <v/>
      </c>
      <c r="I3668" s="4" t="str" cm="1">
        <f t="array" ref="I3668">IFERROR(IF(INDEX(EmployeeData[Exit Reason], ROW() - 37)=0, "",INDEX(EmployeeData[Exit Reason], ROW() - 37)),"")</f>
        <v/>
      </c>
      <c r="J3668" s="4" t="str" cm="1">
        <f t="array" ref="J3668">IFERROR(INDEX(EmployeeData[Status], ROW() - 37), "")</f>
        <v/>
      </c>
    </row>
    <row r="3669" spans="2:10" ht="19.95" customHeight="1" x14ac:dyDescent="0.3">
      <c r="B3669" s="4" t="str" cm="1">
        <f t="array" ref="B3669">IFERROR(INDEX(EmployeeData[Employee ID], ROW() - 37), "")</f>
        <v/>
      </c>
      <c r="C3669" s="4" t="str" cm="1">
        <f t="array" ref="C3669">IFERROR(INDEX(EmployeeData[Full Name], ROW() - 37), "")</f>
        <v/>
      </c>
      <c r="D3669" s="4" t="str" cm="1">
        <f t="array" ref="D3669">IFERROR(INDEX(EmployeeData[Department], ROW() - 37), "")</f>
        <v/>
      </c>
      <c r="E3669" s="4" t="str" cm="1">
        <f t="array" ref="E3669">IFERROR(INDEX(EmployeeData[Gender], ROW() - 37), "")</f>
        <v/>
      </c>
      <c r="F3669" s="4" t="str" cm="1">
        <f t="array" ref="F3669">IFERROR(INDEX(EmployeeData[Age], ROW() - 37), "")</f>
        <v/>
      </c>
      <c r="G3669" s="6" t="str" cm="1">
        <f t="array" ref="G3669">IFERROR(INDEX(EmployeeData[Join Date], ROW() - 37), "")</f>
        <v/>
      </c>
      <c r="H3669" s="6" t="str" cm="1">
        <f t="array" ref="H3669">IFERROR(IF(INDEX(EmployeeData[Exit Date], ROW() - 37)=0, "",INDEX(EmployeeData[Exit Date], ROW() - 37)),"")</f>
        <v/>
      </c>
      <c r="I3669" s="4" t="str" cm="1">
        <f t="array" ref="I3669">IFERROR(IF(INDEX(EmployeeData[Exit Reason], ROW() - 37)=0, "",INDEX(EmployeeData[Exit Reason], ROW() - 37)),"")</f>
        <v/>
      </c>
      <c r="J3669" s="4" t="str" cm="1">
        <f t="array" ref="J3669">IFERROR(INDEX(EmployeeData[Status], ROW() - 37), "")</f>
        <v/>
      </c>
    </row>
    <row r="3670" spans="2:10" ht="19.95" customHeight="1" x14ac:dyDescent="0.3">
      <c r="B3670" s="4" t="str" cm="1">
        <f t="array" ref="B3670">IFERROR(INDEX(EmployeeData[Employee ID], ROW() - 37), "")</f>
        <v/>
      </c>
      <c r="C3670" s="4" t="str" cm="1">
        <f t="array" ref="C3670">IFERROR(INDEX(EmployeeData[Full Name], ROW() - 37), "")</f>
        <v/>
      </c>
      <c r="D3670" s="4" t="str" cm="1">
        <f t="array" ref="D3670">IFERROR(INDEX(EmployeeData[Department], ROW() - 37), "")</f>
        <v/>
      </c>
      <c r="E3670" s="4" t="str" cm="1">
        <f t="array" ref="E3670">IFERROR(INDEX(EmployeeData[Gender], ROW() - 37), "")</f>
        <v/>
      </c>
      <c r="F3670" s="4" t="str" cm="1">
        <f t="array" ref="F3670">IFERROR(INDEX(EmployeeData[Age], ROW() - 37), "")</f>
        <v/>
      </c>
      <c r="G3670" s="6" t="str" cm="1">
        <f t="array" ref="G3670">IFERROR(INDEX(EmployeeData[Join Date], ROW() - 37), "")</f>
        <v/>
      </c>
      <c r="H3670" s="6" t="str" cm="1">
        <f t="array" ref="H3670">IFERROR(IF(INDEX(EmployeeData[Exit Date], ROW() - 37)=0, "",INDEX(EmployeeData[Exit Date], ROW() - 37)),"")</f>
        <v/>
      </c>
      <c r="I3670" s="4" t="str" cm="1">
        <f t="array" ref="I3670">IFERROR(IF(INDEX(EmployeeData[Exit Reason], ROW() - 37)=0, "",INDEX(EmployeeData[Exit Reason], ROW() - 37)),"")</f>
        <v/>
      </c>
      <c r="J3670" s="4" t="str" cm="1">
        <f t="array" ref="J3670">IFERROR(INDEX(EmployeeData[Status], ROW() - 37), "")</f>
        <v/>
      </c>
    </row>
    <row r="3671" spans="2:10" ht="19.95" customHeight="1" x14ac:dyDescent="0.3">
      <c r="B3671" s="4" t="str" cm="1">
        <f t="array" ref="B3671">IFERROR(INDEX(EmployeeData[Employee ID], ROW() - 37), "")</f>
        <v/>
      </c>
      <c r="C3671" s="4" t="str" cm="1">
        <f t="array" ref="C3671">IFERROR(INDEX(EmployeeData[Full Name], ROW() - 37), "")</f>
        <v/>
      </c>
      <c r="D3671" s="4" t="str" cm="1">
        <f t="array" ref="D3671">IFERROR(INDEX(EmployeeData[Department], ROW() - 37), "")</f>
        <v/>
      </c>
      <c r="E3671" s="4" t="str" cm="1">
        <f t="array" ref="E3671">IFERROR(INDEX(EmployeeData[Gender], ROW() - 37), "")</f>
        <v/>
      </c>
      <c r="F3671" s="4" t="str" cm="1">
        <f t="array" ref="F3671">IFERROR(INDEX(EmployeeData[Age], ROW() - 37), "")</f>
        <v/>
      </c>
      <c r="G3671" s="6" t="str" cm="1">
        <f t="array" ref="G3671">IFERROR(INDEX(EmployeeData[Join Date], ROW() - 37), "")</f>
        <v/>
      </c>
      <c r="H3671" s="6" t="str" cm="1">
        <f t="array" ref="H3671">IFERROR(IF(INDEX(EmployeeData[Exit Date], ROW() - 37)=0, "",INDEX(EmployeeData[Exit Date], ROW() - 37)),"")</f>
        <v/>
      </c>
      <c r="I3671" s="4" t="str" cm="1">
        <f t="array" ref="I3671">IFERROR(IF(INDEX(EmployeeData[Exit Reason], ROW() - 37)=0, "",INDEX(EmployeeData[Exit Reason], ROW() - 37)),"")</f>
        <v/>
      </c>
      <c r="J3671" s="4" t="str" cm="1">
        <f t="array" ref="J3671">IFERROR(INDEX(EmployeeData[Status], ROW() - 37), "")</f>
        <v/>
      </c>
    </row>
    <row r="3672" spans="2:10" ht="19.95" customHeight="1" x14ac:dyDescent="0.3">
      <c r="B3672" s="4" t="str" cm="1">
        <f t="array" ref="B3672">IFERROR(INDEX(EmployeeData[Employee ID], ROW() - 37), "")</f>
        <v/>
      </c>
      <c r="C3672" s="4" t="str" cm="1">
        <f t="array" ref="C3672">IFERROR(INDEX(EmployeeData[Full Name], ROW() - 37), "")</f>
        <v/>
      </c>
      <c r="D3672" s="4" t="str" cm="1">
        <f t="array" ref="D3672">IFERROR(INDEX(EmployeeData[Department], ROW() - 37), "")</f>
        <v/>
      </c>
      <c r="E3672" s="4" t="str" cm="1">
        <f t="array" ref="E3672">IFERROR(INDEX(EmployeeData[Gender], ROW() - 37), "")</f>
        <v/>
      </c>
      <c r="F3672" s="4" t="str" cm="1">
        <f t="array" ref="F3672">IFERROR(INDEX(EmployeeData[Age], ROW() - 37), "")</f>
        <v/>
      </c>
      <c r="G3672" s="6" t="str" cm="1">
        <f t="array" ref="G3672">IFERROR(INDEX(EmployeeData[Join Date], ROW() - 37), "")</f>
        <v/>
      </c>
      <c r="H3672" s="6" t="str" cm="1">
        <f t="array" ref="H3672">IFERROR(IF(INDEX(EmployeeData[Exit Date], ROW() - 37)=0, "",INDEX(EmployeeData[Exit Date], ROW() - 37)),"")</f>
        <v/>
      </c>
      <c r="I3672" s="4" t="str" cm="1">
        <f t="array" ref="I3672">IFERROR(IF(INDEX(EmployeeData[Exit Reason], ROW() - 37)=0, "",INDEX(EmployeeData[Exit Reason], ROW() - 37)),"")</f>
        <v/>
      </c>
      <c r="J3672" s="4" t="str" cm="1">
        <f t="array" ref="J3672">IFERROR(INDEX(EmployeeData[Status], ROW() - 37), "")</f>
        <v/>
      </c>
    </row>
    <row r="3673" spans="2:10" ht="19.95" customHeight="1" x14ac:dyDescent="0.3">
      <c r="B3673" s="4" t="str" cm="1">
        <f t="array" ref="B3673">IFERROR(INDEX(EmployeeData[Employee ID], ROW() - 37), "")</f>
        <v/>
      </c>
      <c r="C3673" s="4" t="str" cm="1">
        <f t="array" ref="C3673">IFERROR(INDEX(EmployeeData[Full Name], ROW() - 37), "")</f>
        <v/>
      </c>
      <c r="D3673" s="4" t="str" cm="1">
        <f t="array" ref="D3673">IFERROR(INDEX(EmployeeData[Department], ROW() - 37), "")</f>
        <v/>
      </c>
      <c r="E3673" s="4" t="str" cm="1">
        <f t="array" ref="E3673">IFERROR(INDEX(EmployeeData[Gender], ROW() - 37), "")</f>
        <v/>
      </c>
      <c r="F3673" s="4" t="str" cm="1">
        <f t="array" ref="F3673">IFERROR(INDEX(EmployeeData[Age], ROW() - 37), "")</f>
        <v/>
      </c>
      <c r="G3673" s="6" t="str" cm="1">
        <f t="array" ref="G3673">IFERROR(INDEX(EmployeeData[Join Date], ROW() - 37), "")</f>
        <v/>
      </c>
      <c r="H3673" s="6" t="str" cm="1">
        <f t="array" ref="H3673">IFERROR(IF(INDEX(EmployeeData[Exit Date], ROW() - 37)=0, "",INDEX(EmployeeData[Exit Date], ROW() - 37)),"")</f>
        <v/>
      </c>
      <c r="I3673" s="4" t="str" cm="1">
        <f t="array" ref="I3673">IFERROR(IF(INDEX(EmployeeData[Exit Reason], ROW() - 37)=0, "",INDEX(EmployeeData[Exit Reason], ROW() - 37)),"")</f>
        <v/>
      </c>
      <c r="J3673" s="4" t="str" cm="1">
        <f t="array" ref="J3673">IFERROR(INDEX(EmployeeData[Status], ROW() - 37), "")</f>
        <v/>
      </c>
    </row>
    <row r="3674" spans="2:10" ht="19.95" customHeight="1" x14ac:dyDescent="0.3">
      <c r="B3674" s="4" t="str" cm="1">
        <f t="array" ref="B3674">IFERROR(INDEX(EmployeeData[Employee ID], ROW() - 37), "")</f>
        <v/>
      </c>
      <c r="C3674" s="4" t="str" cm="1">
        <f t="array" ref="C3674">IFERROR(INDEX(EmployeeData[Full Name], ROW() - 37), "")</f>
        <v/>
      </c>
      <c r="D3674" s="4" t="str" cm="1">
        <f t="array" ref="D3674">IFERROR(INDEX(EmployeeData[Department], ROW() - 37), "")</f>
        <v/>
      </c>
      <c r="E3674" s="4" t="str" cm="1">
        <f t="array" ref="E3674">IFERROR(INDEX(EmployeeData[Gender], ROW() - 37), "")</f>
        <v/>
      </c>
      <c r="F3674" s="4" t="str" cm="1">
        <f t="array" ref="F3674">IFERROR(INDEX(EmployeeData[Age], ROW() - 37), "")</f>
        <v/>
      </c>
      <c r="G3674" s="6" t="str" cm="1">
        <f t="array" ref="G3674">IFERROR(INDEX(EmployeeData[Join Date], ROW() - 37), "")</f>
        <v/>
      </c>
      <c r="H3674" s="6" t="str" cm="1">
        <f t="array" ref="H3674">IFERROR(IF(INDEX(EmployeeData[Exit Date], ROW() - 37)=0, "",INDEX(EmployeeData[Exit Date], ROW() - 37)),"")</f>
        <v/>
      </c>
      <c r="I3674" s="4" t="str" cm="1">
        <f t="array" ref="I3674">IFERROR(IF(INDEX(EmployeeData[Exit Reason], ROW() - 37)=0, "",INDEX(EmployeeData[Exit Reason], ROW() - 37)),"")</f>
        <v/>
      </c>
      <c r="J3674" s="4" t="str" cm="1">
        <f t="array" ref="J3674">IFERROR(INDEX(EmployeeData[Status], ROW() - 37), "")</f>
        <v/>
      </c>
    </row>
    <row r="3675" spans="2:10" ht="19.95" customHeight="1" x14ac:dyDescent="0.3">
      <c r="B3675" s="4" t="str" cm="1">
        <f t="array" ref="B3675">IFERROR(INDEX(EmployeeData[Employee ID], ROW() - 37), "")</f>
        <v/>
      </c>
      <c r="C3675" s="4" t="str" cm="1">
        <f t="array" ref="C3675">IFERROR(INDEX(EmployeeData[Full Name], ROW() - 37), "")</f>
        <v/>
      </c>
      <c r="D3675" s="4" t="str" cm="1">
        <f t="array" ref="D3675">IFERROR(INDEX(EmployeeData[Department], ROW() - 37), "")</f>
        <v/>
      </c>
      <c r="E3675" s="4" t="str" cm="1">
        <f t="array" ref="E3675">IFERROR(INDEX(EmployeeData[Gender], ROW() - 37), "")</f>
        <v/>
      </c>
      <c r="F3675" s="4" t="str" cm="1">
        <f t="array" ref="F3675">IFERROR(INDEX(EmployeeData[Age], ROW() - 37), "")</f>
        <v/>
      </c>
      <c r="G3675" s="6" t="str" cm="1">
        <f t="array" ref="G3675">IFERROR(INDEX(EmployeeData[Join Date], ROW() - 37), "")</f>
        <v/>
      </c>
      <c r="H3675" s="6" t="str" cm="1">
        <f t="array" ref="H3675">IFERROR(IF(INDEX(EmployeeData[Exit Date], ROW() - 37)=0, "",INDEX(EmployeeData[Exit Date], ROW() - 37)),"")</f>
        <v/>
      </c>
      <c r="I3675" s="4" t="str" cm="1">
        <f t="array" ref="I3675">IFERROR(IF(INDEX(EmployeeData[Exit Reason], ROW() - 37)=0, "",INDEX(EmployeeData[Exit Reason], ROW() - 37)),"")</f>
        <v/>
      </c>
      <c r="J3675" s="4" t="str" cm="1">
        <f t="array" ref="J3675">IFERROR(INDEX(EmployeeData[Status], ROW() - 37), "")</f>
        <v/>
      </c>
    </row>
    <row r="3676" spans="2:10" ht="19.95" customHeight="1" x14ac:dyDescent="0.3">
      <c r="B3676" s="4" t="str" cm="1">
        <f t="array" ref="B3676">IFERROR(INDEX(EmployeeData[Employee ID], ROW() - 37), "")</f>
        <v/>
      </c>
      <c r="C3676" s="4" t="str" cm="1">
        <f t="array" ref="C3676">IFERROR(INDEX(EmployeeData[Full Name], ROW() - 37), "")</f>
        <v/>
      </c>
      <c r="D3676" s="4" t="str" cm="1">
        <f t="array" ref="D3676">IFERROR(INDEX(EmployeeData[Department], ROW() - 37), "")</f>
        <v/>
      </c>
      <c r="E3676" s="4" t="str" cm="1">
        <f t="array" ref="E3676">IFERROR(INDEX(EmployeeData[Gender], ROW() - 37), "")</f>
        <v/>
      </c>
      <c r="F3676" s="4" t="str" cm="1">
        <f t="array" ref="F3676">IFERROR(INDEX(EmployeeData[Age], ROW() - 37), "")</f>
        <v/>
      </c>
      <c r="G3676" s="6" t="str" cm="1">
        <f t="array" ref="G3676">IFERROR(INDEX(EmployeeData[Join Date], ROW() - 37), "")</f>
        <v/>
      </c>
      <c r="H3676" s="6" t="str" cm="1">
        <f t="array" ref="H3676">IFERROR(IF(INDEX(EmployeeData[Exit Date], ROW() - 37)=0, "",INDEX(EmployeeData[Exit Date], ROW() - 37)),"")</f>
        <v/>
      </c>
      <c r="I3676" s="4" t="str" cm="1">
        <f t="array" ref="I3676">IFERROR(IF(INDEX(EmployeeData[Exit Reason], ROW() - 37)=0, "",INDEX(EmployeeData[Exit Reason], ROW() - 37)),"")</f>
        <v/>
      </c>
      <c r="J3676" s="4" t="str" cm="1">
        <f t="array" ref="J3676">IFERROR(INDEX(EmployeeData[Status], ROW() - 37), "")</f>
        <v/>
      </c>
    </row>
    <row r="3677" spans="2:10" ht="19.95" customHeight="1" x14ac:dyDescent="0.3">
      <c r="B3677" s="4" t="str" cm="1">
        <f t="array" ref="B3677">IFERROR(INDEX(EmployeeData[Employee ID], ROW() - 37), "")</f>
        <v/>
      </c>
      <c r="C3677" s="4" t="str" cm="1">
        <f t="array" ref="C3677">IFERROR(INDEX(EmployeeData[Full Name], ROW() - 37), "")</f>
        <v/>
      </c>
      <c r="D3677" s="4" t="str" cm="1">
        <f t="array" ref="D3677">IFERROR(INDEX(EmployeeData[Department], ROW() - 37), "")</f>
        <v/>
      </c>
      <c r="E3677" s="4" t="str" cm="1">
        <f t="array" ref="E3677">IFERROR(INDEX(EmployeeData[Gender], ROW() - 37), "")</f>
        <v/>
      </c>
      <c r="F3677" s="4" t="str" cm="1">
        <f t="array" ref="F3677">IFERROR(INDEX(EmployeeData[Age], ROW() - 37), "")</f>
        <v/>
      </c>
      <c r="G3677" s="6" t="str" cm="1">
        <f t="array" ref="G3677">IFERROR(INDEX(EmployeeData[Join Date], ROW() - 37), "")</f>
        <v/>
      </c>
      <c r="H3677" s="6" t="str" cm="1">
        <f t="array" ref="H3677">IFERROR(IF(INDEX(EmployeeData[Exit Date], ROW() - 37)=0, "",INDEX(EmployeeData[Exit Date], ROW() - 37)),"")</f>
        <v/>
      </c>
      <c r="I3677" s="4" t="str" cm="1">
        <f t="array" ref="I3677">IFERROR(IF(INDEX(EmployeeData[Exit Reason], ROW() - 37)=0, "",INDEX(EmployeeData[Exit Reason], ROW() - 37)),"")</f>
        <v/>
      </c>
      <c r="J3677" s="4" t="str" cm="1">
        <f t="array" ref="J3677">IFERROR(INDEX(EmployeeData[Status], ROW() - 37), "")</f>
        <v/>
      </c>
    </row>
    <row r="3678" spans="2:10" ht="19.95" customHeight="1" x14ac:dyDescent="0.3">
      <c r="B3678" s="4" t="str" cm="1">
        <f t="array" ref="B3678">IFERROR(INDEX(EmployeeData[Employee ID], ROW() - 37), "")</f>
        <v/>
      </c>
      <c r="C3678" s="4" t="str" cm="1">
        <f t="array" ref="C3678">IFERROR(INDEX(EmployeeData[Full Name], ROW() - 37), "")</f>
        <v/>
      </c>
      <c r="D3678" s="4" t="str" cm="1">
        <f t="array" ref="D3678">IFERROR(INDEX(EmployeeData[Department], ROW() - 37), "")</f>
        <v/>
      </c>
      <c r="E3678" s="4" t="str" cm="1">
        <f t="array" ref="E3678">IFERROR(INDEX(EmployeeData[Gender], ROW() - 37), "")</f>
        <v/>
      </c>
      <c r="F3678" s="4" t="str" cm="1">
        <f t="array" ref="F3678">IFERROR(INDEX(EmployeeData[Age], ROW() - 37), "")</f>
        <v/>
      </c>
      <c r="G3678" s="6" t="str" cm="1">
        <f t="array" ref="G3678">IFERROR(INDEX(EmployeeData[Join Date], ROW() - 37), "")</f>
        <v/>
      </c>
      <c r="H3678" s="6" t="str" cm="1">
        <f t="array" ref="H3678">IFERROR(IF(INDEX(EmployeeData[Exit Date], ROW() - 37)=0, "",INDEX(EmployeeData[Exit Date], ROW() - 37)),"")</f>
        <v/>
      </c>
      <c r="I3678" s="4" t="str" cm="1">
        <f t="array" ref="I3678">IFERROR(IF(INDEX(EmployeeData[Exit Reason], ROW() - 37)=0, "",INDEX(EmployeeData[Exit Reason], ROW() - 37)),"")</f>
        <v/>
      </c>
      <c r="J3678" s="4" t="str" cm="1">
        <f t="array" ref="J3678">IFERROR(INDEX(EmployeeData[Status], ROW() - 37), "")</f>
        <v/>
      </c>
    </row>
    <row r="3679" spans="2:10" ht="19.95" customHeight="1" x14ac:dyDescent="0.3">
      <c r="B3679" s="4" t="str" cm="1">
        <f t="array" ref="B3679">IFERROR(INDEX(EmployeeData[Employee ID], ROW() - 37), "")</f>
        <v/>
      </c>
      <c r="C3679" s="4" t="str" cm="1">
        <f t="array" ref="C3679">IFERROR(INDEX(EmployeeData[Full Name], ROW() - 37), "")</f>
        <v/>
      </c>
      <c r="D3679" s="4" t="str" cm="1">
        <f t="array" ref="D3679">IFERROR(INDEX(EmployeeData[Department], ROW() - 37), "")</f>
        <v/>
      </c>
      <c r="E3679" s="4" t="str" cm="1">
        <f t="array" ref="E3679">IFERROR(INDEX(EmployeeData[Gender], ROW() - 37), "")</f>
        <v/>
      </c>
      <c r="F3679" s="4" t="str" cm="1">
        <f t="array" ref="F3679">IFERROR(INDEX(EmployeeData[Age], ROW() - 37), "")</f>
        <v/>
      </c>
      <c r="G3679" s="6" t="str" cm="1">
        <f t="array" ref="G3679">IFERROR(INDEX(EmployeeData[Join Date], ROW() - 37), "")</f>
        <v/>
      </c>
      <c r="H3679" s="6" t="str" cm="1">
        <f t="array" ref="H3679">IFERROR(IF(INDEX(EmployeeData[Exit Date], ROW() - 37)=0, "",INDEX(EmployeeData[Exit Date], ROW() - 37)),"")</f>
        <v/>
      </c>
      <c r="I3679" s="4" t="str" cm="1">
        <f t="array" ref="I3679">IFERROR(IF(INDEX(EmployeeData[Exit Reason], ROW() - 37)=0, "",INDEX(EmployeeData[Exit Reason], ROW() - 37)),"")</f>
        <v/>
      </c>
      <c r="J3679" s="4" t="str" cm="1">
        <f t="array" ref="J3679">IFERROR(INDEX(EmployeeData[Status], ROW() - 37), "")</f>
        <v/>
      </c>
    </row>
    <row r="3680" spans="2:10" ht="19.95" customHeight="1" x14ac:dyDescent="0.3">
      <c r="B3680" s="4" t="str" cm="1">
        <f t="array" ref="B3680">IFERROR(INDEX(EmployeeData[Employee ID], ROW() - 37), "")</f>
        <v/>
      </c>
      <c r="C3680" s="4" t="str" cm="1">
        <f t="array" ref="C3680">IFERROR(INDEX(EmployeeData[Full Name], ROW() - 37), "")</f>
        <v/>
      </c>
      <c r="D3680" s="4" t="str" cm="1">
        <f t="array" ref="D3680">IFERROR(INDEX(EmployeeData[Department], ROW() - 37), "")</f>
        <v/>
      </c>
      <c r="E3680" s="4" t="str" cm="1">
        <f t="array" ref="E3680">IFERROR(INDEX(EmployeeData[Gender], ROW() - 37), "")</f>
        <v/>
      </c>
      <c r="F3680" s="4" t="str" cm="1">
        <f t="array" ref="F3680">IFERROR(INDEX(EmployeeData[Age], ROW() - 37), "")</f>
        <v/>
      </c>
      <c r="G3680" s="6" t="str" cm="1">
        <f t="array" ref="G3680">IFERROR(INDEX(EmployeeData[Join Date], ROW() - 37), "")</f>
        <v/>
      </c>
      <c r="H3680" s="6" t="str" cm="1">
        <f t="array" ref="H3680">IFERROR(IF(INDEX(EmployeeData[Exit Date], ROW() - 37)=0, "",INDEX(EmployeeData[Exit Date], ROW() - 37)),"")</f>
        <v/>
      </c>
      <c r="I3680" s="4" t="str" cm="1">
        <f t="array" ref="I3680">IFERROR(IF(INDEX(EmployeeData[Exit Reason], ROW() - 37)=0, "",INDEX(EmployeeData[Exit Reason], ROW() - 37)),"")</f>
        <v/>
      </c>
      <c r="J3680" s="4" t="str" cm="1">
        <f t="array" ref="J3680">IFERROR(INDEX(EmployeeData[Status], ROW() - 37), "")</f>
        <v/>
      </c>
    </row>
    <row r="3681" spans="2:10" ht="19.95" customHeight="1" x14ac:dyDescent="0.3">
      <c r="B3681" s="4" t="str" cm="1">
        <f t="array" ref="B3681">IFERROR(INDEX(EmployeeData[Employee ID], ROW() - 37), "")</f>
        <v/>
      </c>
      <c r="C3681" s="4" t="str" cm="1">
        <f t="array" ref="C3681">IFERROR(INDEX(EmployeeData[Full Name], ROW() - 37), "")</f>
        <v/>
      </c>
      <c r="D3681" s="4" t="str" cm="1">
        <f t="array" ref="D3681">IFERROR(INDEX(EmployeeData[Department], ROW() - 37), "")</f>
        <v/>
      </c>
      <c r="E3681" s="4" t="str" cm="1">
        <f t="array" ref="E3681">IFERROR(INDEX(EmployeeData[Gender], ROW() - 37), "")</f>
        <v/>
      </c>
      <c r="F3681" s="4" t="str" cm="1">
        <f t="array" ref="F3681">IFERROR(INDEX(EmployeeData[Age], ROW() - 37), "")</f>
        <v/>
      </c>
      <c r="G3681" s="6" t="str" cm="1">
        <f t="array" ref="G3681">IFERROR(INDEX(EmployeeData[Join Date], ROW() - 37), "")</f>
        <v/>
      </c>
      <c r="H3681" s="6" t="str" cm="1">
        <f t="array" ref="H3681">IFERROR(IF(INDEX(EmployeeData[Exit Date], ROW() - 37)=0, "",INDEX(EmployeeData[Exit Date], ROW() - 37)),"")</f>
        <v/>
      </c>
      <c r="I3681" s="4" t="str" cm="1">
        <f t="array" ref="I3681">IFERROR(IF(INDEX(EmployeeData[Exit Reason], ROW() - 37)=0, "",INDEX(EmployeeData[Exit Reason], ROW() - 37)),"")</f>
        <v/>
      </c>
      <c r="J3681" s="4" t="str" cm="1">
        <f t="array" ref="J3681">IFERROR(INDEX(EmployeeData[Status], ROW() - 37), "")</f>
        <v/>
      </c>
    </row>
    <row r="3682" spans="2:10" ht="19.95" customHeight="1" x14ac:dyDescent="0.3">
      <c r="B3682" s="4" t="str" cm="1">
        <f t="array" ref="B3682">IFERROR(INDEX(EmployeeData[Employee ID], ROW() - 37), "")</f>
        <v/>
      </c>
      <c r="C3682" s="4" t="str" cm="1">
        <f t="array" ref="C3682">IFERROR(INDEX(EmployeeData[Full Name], ROW() - 37), "")</f>
        <v/>
      </c>
      <c r="D3682" s="4" t="str" cm="1">
        <f t="array" ref="D3682">IFERROR(INDEX(EmployeeData[Department], ROW() - 37), "")</f>
        <v/>
      </c>
      <c r="E3682" s="4" t="str" cm="1">
        <f t="array" ref="E3682">IFERROR(INDEX(EmployeeData[Gender], ROW() - 37), "")</f>
        <v/>
      </c>
      <c r="F3682" s="4" t="str" cm="1">
        <f t="array" ref="F3682">IFERROR(INDEX(EmployeeData[Age], ROW() - 37), "")</f>
        <v/>
      </c>
      <c r="G3682" s="6" t="str" cm="1">
        <f t="array" ref="G3682">IFERROR(INDEX(EmployeeData[Join Date], ROW() - 37), "")</f>
        <v/>
      </c>
      <c r="H3682" s="6" t="str" cm="1">
        <f t="array" ref="H3682">IFERROR(IF(INDEX(EmployeeData[Exit Date], ROW() - 37)=0, "",INDEX(EmployeeData[Exit Date], ROW() - 37)),"")</f>
        <v/>
      </c>
      <c r="I3682" s="4" t="str" cm="1">
        <f t="array" ref="I3682">IFERROR(IF(INDEX(EmployeeData[Exit Reason], ROW() - 37)=0, "",INDEX(EmployeeData[Exit Reason], ROW() - 37)),"")</f>
        <v/>
      </c>
      <c r="J3682" s="4" t="str" cm="1">
        <f t="array" ref="J3682">IFERROR(INDEX(EmployeeData[Status], ROW() - 37), "")</f>
        <v/>
      </c>
    </row>
    <row r="3683" spans="2:10" ht="19.95" customHeight="1" x14ac:dyDescent="0.3">
      <c r="B3683" s="4" t="str" cm="1">
        <f t="array" ref="B3683">IFERROR(INDEX(EmployeeData[Employee ID], ROW() - 37), "")</f>
        <v/>
      </c>
      <c r="C3683" s="4" t="str" cm="1">
        <f t="array" ref="C3683">IFERROR(INDEX(EmployeeData[Full Name], ROW() - 37), "")</f>
        <v/>
      </c>
      <c r="D3683" s="4" t="str" cm="1">
        <f t="array" ref="D3683">IFERROR(INDEX(EmployeeData[Department], ROW() - 37), "")</f>
        <v/>
      </c>
      <c r="E3683" s="4" t="str" cm="1">
        <f t="array" ref="E3683">IFERROR(INDEX(EmployeeData[Gender], ROW() - 37), "")</f>
        <v/>
      </c>
      <c r="F3683" s="4" t="str" cm="1">
        <f t="array" ref="F3683">IFERROR(INDEX(EmployeeData[Age], ROW() - 37), "")</f>
        <v/>
      </c>
      <c r="G3683" s="6" t="str" cm="1">
        <f t="array" ref="G3683">IFERROR(INDEX(EmployeeData[Join Date], ROW() - 37), "")</f>
        <v/>
      </c>
      <c r="H3683" s="6" t="str" cm="1">
        <f t="array" ref="H3683">IFERROR(IF(INDEX(EmployeeData[Exit Date], ROW() - 37)=0, "",INDEX(EmployeeData[Exit Date], ROW() - 37)),"")</f>
        <v/>
      </c>
      <c r="I3683" s="4" t="str" cm="1">
        <f t="array" ref="I3683">IFERROR(IF(INDEX(EmployeeData[Exit Reason], ROW() - 37)=0, "",INDEX(EmployeeData[Exit Reason], ROW() - 37)),"")</f>
        <v/>
      </c>
      <c r="J3683" s="4" t="str" cm="1">
        <f t="array" ref="J3683">IFERROR(INDEX(EmployeeData[Status], ROW() - 37), "")</f>
        <v/>
      </c>
    </row>
    <row r="3684" spans="2:10" ht="19.95" customHeight="1" x14ac:dyDescent="0.3">
      <c r="B3684" s="4" t="str" cm="1">
        <f t="array" ref="B3684">IFERROR(INDEX(EmployeeData[Employee ID], ROW() - 37), "")</f>
        <v/>
      </c>
      <c r="C3684" s="4" t="str" cm="1">
        <f t="array" ref="C3684">IFERROR(INDEX(EmployeeData[Full Name], ROW() - 37), "")</f>
        <v/>
      </c>
      <c r="D3684" s="4" t="str" cm="1">
        <f t="array" ref="D3684">IFERROR(INDEX(EmployeeData[Department], ROW() - 37), "")</f>
        <v/>
      </c>
      <c r="E3684" s="4" t="str" cm="1">
        <f t="array" ref="E3684">IFERROR(INDEX(EmployeeData[Gender], ROW() - 37), "")</f>
        <v/>
      </c>
      <c r="F3684" s="4" t="str" cm="1">
        <f t="array" ref="F3684">IFERROR(INDEX(EmployeeData[Age], ROW() - 37), "")</f>
        <v/>
      </c>
      <c r="G3684" s="6" t="str" cm="1">
        <f t="array" ref="G3684">IFERROR(INDEX(EmployeeData[Join Date], ROW() - 37), "")</f>
        <v/>
      </c>
      <c r="H3684" s="6" t="str" cm="1">
        <f t="array" ref="H3684">IFERROR(IF(INDEX(EmployeeData[Exit Date], ROW() - 37)=0, "",INDEX(EmployeeData[Exit Date], ROW() - 37)),"")</f>
        <v/>
      </c>
      <c r="I3684" s="4" t="str" cm="1">
        <f t="array" ref="I3684">IFERROR(IF(INDEX(EmployeeData[Exit Reason], ROW() - 37)=0, "",INDEX(EmployeeData[Exit Reason], ROW() - 37)),"")</f>
        <v/>
      </c>
      <c r="J3684" s="4" t="str" cm="1">
        <f t="array" ref="J3684">IFERROR(INDEX(EmployeeData[Status], ROW() - 37), "")</f>
        <v/>
      </c>
    </row>
    <row r="3685" spans="2:10" ht="19.95" customHeight="1" x14ac:dyDescent="0.3">
      <c r="B3685" s="4" t="str" cm="1">
        <f t="array" ref="B3685">IFERROR(INDEX(EmployeeData[Employee ID], ROW() - 37), "")</f>
        <v/>
      </c>
      <c r="C3685" s="4" t="str" cm="1">
        <f t="array" ref="C3685">IFERROR(INDEX(EmployeeData[Full Name], ROW() - 37), "")</f>
        <v/>
      </c>
      <c r="D3685" s="4" t="str" cm="1">
        <f t="array" ref="D3685">IFERROR(INDEX(EmployeeData[Department], ROW() - 37), "")</f>
        <v/>
      </c>
      <c r="E3685" s="4" t="str" cm="1">
        <f t="array" ref="E3685">IFERROR(INDEX(EmployeeData[Gender], ROW() - 37), "")</f>
        <v/>
      </c>
      <c r="F3685" s="4" t="str" cm="1">
        <f t="array" ref="F3685">IFERROR(INDEX(EmployeeData[Age], ROW() - 37), "")</f>
        <v/>
      </c>
      <c r="G3685" s="6" t="str" cm="1">
        <f t="array" ref="G3685">IFERROR(INDEX(EmployeeData[Join Date], ROW() - 37), "")</f>
        <v/>
      </c>
      <c r="H3685" s="6" t="str" cm="1">
        <f t="array" ref="H3685">IFERROR(IF(INDEX(EmployeeData[Exit Date], ROW() - 37)=0, "",INDEX(EmployeeData[Exit Date], ROW() - 37)),"")</f>
        <v/>
      </c>
      <c r="I3685" s="4" t="str" cm="1">
        <f t="array" ref="I3685">IFERROR(IF(INDEX(EmployeeData[Exit Reason], ROW() - 37)=0, "",INDEX(EmployeeData[Exit Reason], ROW() - 37)),"")</f>
        <v/>
      </c>
      <c r="J3685" s="4" t="str" cm="1">
        <f t="array" ref="J3685">IFERROR(INDEX(EmployeeData[Status], ROW() - 37), "")</f>
        <v/>
      </c>
    </row>
    <row r="3686" spans="2:10" ht="19.95" customHeight="1" x14ac:dyDescent="0.3">
      <c r="B3686" s="4" t="str" cm="1">
        <f t="array" ref="B3686">IFERROR(INDEX(EmployeeData[Employee ID], ROW() - 37), "")</f>
        <v/>
      </c>
      <c r="C3686" s="4" t="str" cm="1">
        <f t="array" ref="C3686">IFERROR(INDEX(EmployeeData[Full Name], ROW() - 37), "")</f>
        <v/>
      </c>
      <c r="D3686" s="4" t="str" cm="1">
        <f t="array" ref="D3686">IFERROR(INDEX(EmployeeData[Department], ROW() - 37), "")</f>
        <v/>
      </c>
      <c r="E3686" s="4" t="str" cm="1">
        <f t="array" ref="E3686">IFERROR(INDEX(EmployeeData[Gender], ROW() - 37), "")</f>
        <v/>
      </c>
      <c r="F3686" s="4" t="str" cm="1">
        <f t="array" ref="F3686">IFERROR(INDEX(EmployeeData[Age], ROW() - 37), "")</f>
        <v/>
      </c>
      <c r="G3686" s="6" t="str" cm="1">
        <f t="array" ref="G3686">IFERROR(INDEX(EmployeeData[Join Date], ROW() - 37), "")</f>
        <v/>
      </c>
      <c r="H3686" s="6" t="str" cm="1">
        <f t="array" ref="H3686">IFERROR(IF(INDEX(EmployeeData[Exit Date], ROW() - 37)=0, "",INDEX(EmployeeData[Exit Date], ROW() - 37)),"")</f>
        <v/>
      </c>
      <c r="I3686" s="4" t="str" cm="1">
        <f t="array" ref="I3686">IFERROR(IF(INDEX(EmployeeData[Exit Reason], ROW() - 37)=0, "",INDEX(EmployeeData[Exit Reason], ROW() - 37)),"")</f>
        <v/>
      </c>
      <c r="J3686" s="4" t="str" cm="1">
        <f t="array" ref="J3686">IFERROR(INDEX(EmployeeData[Status], ROW() - 37), "")</f>
        <v/>
      </c>
    </row>
    <row r="3687" spans="2:10" ht="19.95" customHeight="1" x14ac:dyDescent="0.3">
      <c r="B3687" s="4" t="str" cm="1">
        <f t="array" ref="B3687">IFERROR(INDEX(EmployeeData[Employee ID], ROW() - 37), "")</f>
        <v/>
      </c>
      <c r="C3687" s="4" t="str" cm="1">
        <f t="array" ref="C3687">IFERROR(INDEX(EmployeeData[Full Name], ROW() - 37), "")</f>
        <v/>
      </c>
      <c r="D3687" s="4" t="str" cm="1">
        <f t="array" ref="D3687">IFERROR(INDEX(EmployeeData[Department], ROW() - 37), "")</f>
        <v/>
      </c>
      <c r="E3687" s="4" t="str" cm="1">
        <f t="array" ref="E3687">IFERROR(INDEX(EmployeeData[Gender], ROW() - 37), "")</f>
        <v/>
      </c>
      <c r="F3687" s="4" t="str" cm="1">
        <f t="array" ref="F3687">IFERROR(INDEX(EmployeeData[Age], ROW() - 37), "")</f>
        <v/>
      </c>
      <c r="G3687" s="6" t="str" cm="1">
        <f t="array" ref="G3687">IFERROR(INDEX(EmployeeData[Join Date], ROW() - 37), "")</f>
        <v/>
      </c>
      <c r="H3687" s="6" t="str" cm="1">
        <f t="array" ref="H3687">IFERROR(IF(INDEX(EmployeeData[Exit Date], ROW() - 37)=0, "",INDEX(EmployeeData[Exit Date], ROW() - 37)),"")</f>
        <v/>
      </c>
      <c r="I3687" s="4" t="str" cm="1">
        <f t="array" ref="I3687">IFERROR(IF(INDEX(EmployeeData[Exit Reason], ROW() - 37)=0, "",INDEX(EmployeeData[Exit Reason], ROW() - 37)),"")</f>
        <v/>
      </c>
      <c r="J3687" s="4" t="str" cm="1">
        <f t="array" ref="J3687">IFERROR(INDEX(EmployeeData[Status], ROW() - 37), "")</f>
        <v/>
      </c>
    </row>
    <row r="3688" spans="2:10" ht="19.95" customHeight="1" x14ac:dyDescent="0.3">
      <c r="B3688" s="4" t="str" cm="1">
        <f t="array" ref="B3688">IFERROR(INDEX(EmployeeData[Employee ID], ROW() - 37), "")</f>
        <v/>
      </c>
      <c r="C3688" s="4" t="str" cm="1">
        <f t="array" ref="C3688">IFERROR(INDEX(EmployeeData[Full Name], ROW() - 37), "")</f>
        <v/>
      </c>
      <c r="D3688" s="4" t="str" cm="1">
        <f t="array" ref="D3688">IFERROR(INDEX(EmployeeData[Department], ROW() - 37), "")</f>
        <v/>
      </c>
      <c r="E3688" s="4" t="str" cm="1">
        <f t="array" ref="E3688">IFERROR(INDEX(EmployeeData[Gender], ROW() - 37), "")</f>
        <v/>
      </c>
      <c r="F3688" s="4" t="str" cm="1">
        <f t="array" ref="F3688">IFERROR(INDEX(EmployeeData[Age], ROW() - 37), "")</f>
        <v/>
      </c>
      <c r="G3688" s="6" t="str" cm="1">
        <f t="array" ref="G3688">IFERROR(INDEX(EmployeeData[Join Date], ROW() - 37), "")</f>
        <v/>
      </c>
      <c r="H3688" s="6" t="str" cm="1">
        <f t="array" ref="H3688">IFERROR(IF(INDEX(EmployeeData[Exit Date], ROW() - 37)=0, "",INDEX(EmployeeData[Exit Date], ROW() - 37)),"")</f>
        <v/>
      </c>
      <c r="I3688" s="4" t="str" cm="1">
        <f t="array" ref="I3688">IFERROR(IF(INDEX(EmployeeData[Exit Reason], ROW() - 37)=0, "",INDEX(EmployeeData[Exit Reason], ROW() - 37)),"")</f>
        <v/>
      </c>
      <c r="J3688" s="4" t="str" cm="1">
        <f t="array" ref="J3688">IFERROR(INDEX(EmployeeData[Status], ROW() - 37), "")</f>
        <v/>
      </c>
    </row>
    <row r="3689" spans="2:10" ht="19.95" customHeight="1" x14ac:dyDescent="0.3">
      <c r="B3689" s="4" t="str" cm="1">
        <f t="array" ref="B3689">IFERROR(INDEX(EmployeeData[Employee ID], ROW() - 37), "")</f>
        <v/>
      </c>
      <c r="C3689" s="4" t="str" cm="1">
        <f t="array" ref="C3689">IFERROR(INDEX(EmployeeData[Full Name], ROW() - 37), "")</f>
        <v/>
      </c>
      <c r="D3689" s="4" t="str" cm="1">
        <f t="array" ref="D3689">IFERROR(INDEX(EmployeeData[Department], ROW() - 37), "")</f>
        <v/>
      </c>
      <c r="E3689" s="4" t="str" cm="1">
        <f t="array" ref="E3689">IFERROR(INDEX(EmployeeData[Gender], ROW() - 37), "")</f>
        <v/>
      </c>
      <c r="F3689" s="4" t="str" cm="1">
        <f t="array" ref="F3689">IFERROR(INDEX(EmployeeData[Age], ROW() - 37), "")</f>
        <v/>
      </c>
      <c r="G3689" s="6" t="str" cm="1">
        <f t="array" ref="G3689">IFERROR(INDEX(EmployeeData[Join Date], ROW() - 37), "")</f>
        <v/>
      </c>
      <c r="H3689" s="6" t="str" cm="1">
        <f t="array" ref="H3689">IFERROR(IF(INDEX(EmployeeData[Exit Date], ROW() - 37)=0, "",INDEX(EmployeeData[Exit Date], ROW() - 37)),"")</f>
        <v/>
      </c>
      <c r="I3689" s="4" t="str" cm="1">
        <f t="array" ref="I3689">IFERROR(IF(INDEX(EmployeeData[Exit Reason], ROW() - 37)=0, "",INDEX(EmployeeData[Exit Reason], ROW() - 37)),"")</f>
        <v/>
      </c>
      <c r="J3689" s="4" t="str" cm="1">
        <f t="array" ref="J3689">IFERROR(INDEX(EmployeeData[Status], ROW() - 37), "")</f>
        <v/>
      </c>
    </row>
    <row r="3690" spans="2:10" ht="19.95" customHeight="1" x14ac:dyDescent="0.3">
      <c r="B3690" s="4" t="str" cm="1">
        <f t="array" ref="B3690">IFERROR(INDEX(EmployeeData[Employee ID], ROW() - 37), "")</f>
        <v/>
      </c>
      <c r="C3690" s="4" t="str" cm="1">
        <f t="array" ref="C3690">IFERROR(INDEX(EmployeeData[Full Name], ROW() - 37), "")</f>
        <v/>
      </c>
      <c r="D3690" s="4" t="str" cm="1">
        <f t="array" ref="D3690">IFERROR(INDEX(EmployeeData[Department], ROW() - 37), "")</f>
        <v/>
      </c>
      <c r="E3690" s="4" t="str" cm="1">
        <f t="array" ref="E3690">IFERROR(INDEX(EmployeeData[Gender], ROW() - 37), "")</f>
        <v/>
      </c>
      <c r="F3690" s="4" t="str" cm="1">
        <f t="array" ref="F3690">IFERROR(INDEX(EmployeeData[Age], ROW() - 37), "")</f>
        <v/>
      </c>
      <c r="G3690" s="6" t="str" cm="1">
        <f t="array" ref="G3690">IFERROR(INDEX(EmployeeData[Join Date], ROW() - 37), "")</f>
        <v/>
      </c>
      <c r="H3690" s="6" t="str" cm="1">
        <f t="array" ref="H3690">IFERROR(IF(INDEX(EmployeeData[Exit Date], ROW() - 37)=0, "",INDEX(EmployeeData[Exit Date], ROW() - 37)),"")</f>
        <v/>
      </c>
      <c r="I3690" s="4" t="str" cm="1">
        <f t="array" ref="I3690">IFERROR(IF(INDEX(EmployeeData[Exit Reason], ROW() - 37)=0, "",INDEX(EmployeeData[Exit Reason], ROW() - 37)),"")</f>
        <v/>
      </c>
      <c r="J3690" s="4" t="str" cm="1">
        <f t="array" ref="J3690">IFERROR(INDEX(EmployeeData[Status], ROW() - 37), "")</f>
        <v/>
      </c>
    </row>
    <row r="3691" spans="2:10" ht="19.95" customHeight="1" x14ac:dyDescent="0.3">
      <c r="B3691" s="4" t="str" cm="1">
        <f t="array" ref="B3691">IFERROR(INDEX(EmployeeData[Employee ID], ROW() - 37), "")</f>
        <v/>
      </c>
      <c r="C3691" s="4" t="str" cm="1">
        <f t="array" ref="C3691">IFERROR(INDEX(EmployeeData[Full Name], ROW() - 37), "")</f>
        <v/>
      </c>
      <c r="D3691" s="4" t="str" cm="1">
        <f t="array" ref="D3691">IFERROR(INDEX(EmployeeData[Department], ROW() - 37), "")</f>
        <v/>
      </c>
      <c r="E3691" s="4" t="str" cm="1">
        <f t="array" ref="E3691">IFERROR(INDEX(EmployeeData[Gender], ROW() - 37), "")</f>
        <v/>
      </c>
      <c r="F3691" s="4" t="str" cm="1">
        <f t="array" ref="F3691">IFERROR(INDEX(EmployeeData[Age], ROW() - 37), "")</f>
        <v/>
      </c>
      <c r="G3691" s="6" t="str" cm="1">
        <f t="array" ref="G3691">IFERROR(INDEX(EmployeeData[Join Date], ROW() - 37), "")</f>
        <v/>
      </c>
      <c r="H3691" s="6" t="str" cm="1">
        <f t="array" ref="H3691">IFERROR(IF(INDEX(EmployeeData[Exit Date], ROW() - 37)=0, "",INDEX(EmployeeData[Exit Date], ROW() - 37)),"")</f>
        <v/>
      </c>
      <c r="I3691" s="4" t="str" cm="1">
        <f t="array" ref="I3691">IFERROR(IF(INDEX(EmployeeData[Exit Reason], ROW() - 37)=0, "",INDEX(EmployeeData[Exit Reason], ROW() - 37)),"")</f>
        <v/>
      </c>
      <c r="J3691" s="4" t="str" cm="1">
        <f t="array" ref="J3691">IFERROR(INDEX(EmployeeData[Status], ROW() - 37), "")</f>
        <v/>
      </c>
    </row>
    <row r="3692" spans="2:10" ht="19.95" customHeight="1" x14ac:dyDescent="0.3">
      <c r="B3692" s="4" t="str" cm="1">
        <f t="array" ref="B3692">IFERROR(INDEX(EmployeeData[Employee ID], ROW() - 37), "")</f>
        <v/>
      </c>
      <c r="C3692" s="4" t="str" cm="1">
        <f t="array" ref="C3692">IFERROR(INDEX(EmployeeData[Full Name], ROW() - 37), "")</f>
        <v/>
      </c>
      <c r="D3692" s="4" t="str" cm="1">
        <f t="array" ref="D3692">IFERROR(INDEX(EmployeeData[Department], ROW() - 37), "")</f>
        <v/>
      </c>
      <c r="E3692" s="4" t="str" cm="1">
        <f t="array" ref="E3692">IFERROR(INDEX(EmployeeData[Gender], ROW() - 37), "")</f>
        <v/>
      </c>
      <c r="F3692" s="4" t="str" cm="1">
        <f t="array" ref="F3692">IFERROR(INDEX(EmployeeData[Age], ROW() - 37), "")</f>
        <v/>
      </c>
      <c r="G3692" s="6" t="str" cm="1">
        <f t="array" ref="G3692">IFERROR(INDEX(EmployeeData[Join Date], ROW() - 37), "")</f>
        <v/>
      </c>
      <c r="H3692" s="6" t="str" cm="1">
        <f t="array" ref="H3692">IFERROR(IF(INDEX(EmployeeData[Exit Date], ROW() - 37)=0, "",INDEX(EmployeeData[Exit Date], ROW() - 37)),"")</f>
        <v/>
      </c>
      <c r="I3692" s="4" t="str" cm="1">
        <f t="array" ref="I3692">IFERROR(IF(INDEX(EmployeeData[Exit Reason], ROW() - 37)=0, "",INDEX(EmployeeData[Exit Reason], ROW() - 37)),"")</f>
        <v/>
      </c>
      <c r="J3692" s="4" t="str" cm="1">
        <f t="array" ref="J3692">IFERROR(INDEX(EmployeeData[Status], ROW() - 37), "")</f>
        <v/>
      </c>
    </row>
    <row r="3693" spans="2:10" ht="19.95" customHeight="1" x14ac:dyDescent="0.3">
      <c r="B3693" s="4" t="str" cm="1">
        <f t="array" ref="B3693">IFERROR(INDEX(EmployeeData[Employee ID], ROW() - 37), "")</f>
        <v/>
      </c>
      <c r="C3693" s="4" t="str" cm="1">
        <f t="array" ref="C3693">IFERROR(INDEX(EmployeeData[Full Name], ROW() - 37), "")</f>
        <v/>
      </c>
      <c r="D3693" s="4" t="str" cm="1">
        <f t="array" ref="D3693">IFERROR(INDEX(EmployeeData[Department], ROW() - 37), "")</f>
        <v/>
      </c>
      <c r="E3693" s="4" t="str" cm="1">
        <f t="array" ref="E3693">IFERROR(INDEX(EmployeeData[Gender], ROW() - 37), "")</f>
        <v/>
      </c>
      <c r="F3693" s="4" t="str" cm="1">
        <f t="array" ref="F3693">IFERROR(INDEX(EmployeeData[Age], ROW() - 37), "")</f>
        <v/>
      </c>
      <c r="G3693" s="6" t="str" cm="1">
        <f t="array" ref="G3693">IFERROR(INDEX(EmployeeData[Join Date], ROW() - 37), "")</f>
        <v/>
      </c>
      <c r="H3693" s="6" t="str" cm="1">
        <f t="array" ref="H3693">IFERROR(IF(INDEX(EmployeeData[Exit Date], ROW() - 37)=0, "",INDEX(EmployeeData[Exit Date], ROW() - 37)),"")</f>
        <v/>
      </c>
      <c r="I3693" s="4" t="str" cm="1">
        <f t="array" ref="I3693">IFERROR(IF(INDEX(EmployeeData[Exit Reason], ROW() - 37)=0, "",INDEX(EmployeeData[Exit Reason], ROW() - 37)),"")</f>
        <v/>
      </c>
      <c r="J3693" s="4" t="str" cm="1">
        <f t="array" ref="J3693">IFERROR(INDEX(EmployeeData[Status], ROW() - 37), "")</f>
        <v/>
      </c>
    </row>
    <row r="3694" spans="2:10" ht="19.95" customHeight="1" x14ac:dyDescent="0.3">
      <c r="B3694" s="4" t="str" cm="1">
        <f t="array" ref="B3694">IFERROR(INDEX(EmployeeData[Employee ID], ROW() - 37), "")</f>
        <v/>
      </c>
      <c r="C3694" s="4" t="str" cm="1">
        <f t="array" ref="C3694">IFERROR(INDEX(EmployeeData[Full Name], ROW() - 37), "")</f>
        <v/>
      </c>
      <c r="D3694" s="4" t="str" cm="1">
        <f t="array" ref="D3694">IFERROR(INDEX(EmployeeData[Department], ROW() - 37), "")</f>
        <v/>
      </c>
      <c r="E3694" s="4" t="str" cm="1">
        <f t="array" ref="E3694">IFERROR(INDEX(EmployeeData[Gender], ROW() - 37), "")</f>
        <v/>
      </c>
      <c r="F3694" s="4" t="str" cm="1">
        <f t="array" ref="F3694">IFERROR(INDEX(EmployeeData[Age], ROW() - 37), "")</f>
        <v/>
      </c>
      <c r="G3694" s="6" t="str" cm="1">
        <f t="array" ref="G3694">IFERROR(INDEX(EmployeeData[Join Date], ROW() - 37), "")</f>
        <v/>
      </c>
      <c r="H3694" s="6" t="str" cm="1">
        <f t="array" ref="H3694">IFERROR(IF(INDEX(EmployeeData[Exit Date], ROW() - 37)=0, "",INDEX(EmployeeData[Exit Date], ROW() - 37)),"")</f>
        <v/>
      </c>
      <c r="I3694" s="4" t="str" cm="1">
        <f t="array" ref="I3694">IFERROR(IF(INDEX(EmployeeData[Exit Reason], ROW() - 37)=0, "",INDEX(EmployeeData[Exit Reason], ROW() - 37)),"")</f>
        <v/>
      </c>
      <c r="J3694" s="4" t="str" cm="1">
        <f t="array" ref="J3694">IFERROR(INDEX(EmployeeData[Status], ROW() - 37), "")</f>
        <v/>
      </c>
    </row>
    <row r="3695" spans="2:10" ht="19.95" customHeight="1" x14ac:dyDescent="0.3">
      <c r="B3695" s="4" t="str" cm="1">
        <f t="array" ref="B3695">IFERROR(INDEX(EmployeeData[Employee ID], ROW() - 37), "")</f>
        <v/>
      </c>
      <c r="C3695" s="4" t="str" cm="1">
        <f t="array" ref="C3695">IFERROR(INDEX(EmployeeData[Full Name], ROW() - 37), "")</f>
        <v/>
      </c>
      <c r="D3695" s="4" t="str" cm="1">
        <f t="array" ref="D3695">IFERROR(INDEX(EmployeeData[Department], ROW() - 37), "")</f>
        <v/>
      </c>
      <c r="E3695" s="4" t="str" cm="1">
        <f t="array" ref="E3695">IFERROR(INDEX(EmployeeData[Gender], ROW() - 37), "")</f>
        <v/>
      </c>
      <c r="F3695" s="4" t="str" cm="1">
        <f t="array" ref="F3695">IFERROR(INDEX(EmployeeData[Age], ROW() - 37), "")</f>
        <v/>
      </c>
      <c r="G3695" s="6" t="str" cm="1">
        <f t="array" ref="G3695">IFERROR(INDEX(EmployeeData[Join Date], ROW() - 37), "")</f>
        <v/>
      </c>
      <c r="H3695" s="6" t="str" cm="1">
        <f t="array" ref="H3695">IFERROR(IF(INDEX(EmployeeData[Exit Date], ROW() - 37)=0, "",INDEX(EmployeeData[Exit Date], ROW() - 37)),"")</f>
        <v/>
      </c>
      <c r="I3695" s="4" t="str" cm="1">
        <f t="array" ref="I3695">IFERROR(IF(INDEX(EmployeeData[Exit Reason], ROW() - 37)=0, "",INDEX(EmployeeData[Exit Reason], ROW() - 37)),"")</f>
        <v/>
      </c>
      <c r="J3695" s="4" t="str" cm="1">
        <f t="array" ref="J3695">IFERROR(INDEX(EmployeeData[Status], ROW() - 37), "")</f>
        <v/>
      </c>
    </row>
    <row r="3696" spans="2:10" ht="19.95" customHeight="1" x14ac:dyDescent="0.3">
      <c r="B3696" s="4" t="str" cm="1">
        <f t="array" ref="B3696">IFERROR(INDEX(EmployeeData[Employee ID], ROW() - 37), "")</f>
        <v/>
      </c>
      <c r="C3696" s="4" t="str" cm="1">
        <f t="array" ref="C3696">IFERROR(INDEX(EmployeeData[Full Name], ROW() - 37), "")</f>
        <v/>
      </c>
      <c r="D3696" s="4" t="str" cm="1">
        <f t="array" ref="D3696">IFERROR(INDEX(EmployeeData[Department], ROW() - 37), "")</f>
        <v/>
      </c>
      <c r="E3696" s="4" t="str" cm="1">
        <f t="array" ref="E3696">IFERROR(INDEX(EmployeeData[Gender], ROW() - 37), "")</f>
        <v/>
      </c>
      <c r="F3696" s="4" t="str" cm="1">
        <f t="array" ref="F3696">IFERROR(INDEX(EmployeeData[Age], ROW() - 37), "")</f>
        <v/>
      </c>
      <c r="G3696" s="6" t="str" cm="1">
        <f t="array" ref="G3696">IFERROR(INDEX(EmployeeData[Join Date], ROW() - 37), "")</f>
        <v/>
      </c>
      <c r="H3696" s="6" t="str" cm="1">
        <f t="array" ref="H3696">IFERROR(IF(INDEX(EmployeeData[Exit Date], ROW() - 37)=0, "",INDEX(EmployeeData[Exit Date], ROW() - 37)),"")</f>
        <v/>
      </c>
      <c r="I3696" s="4" t="str" cm="1">
        <f t="array" ref="I3696">IFERROR(IF(INDEX(EmployeeData[Exit Reason], ROW() - 37)=0, "",INDEX(EmployeeData[Exit Reason], ROW() - 37)),"")</f>
        <v/>
      </c>
      <c r="J3696" s="4" t="str" cm="1">
        <f t="array" ref="J3696">IFERROR(INDEX(EmployeeData[Status], ROW() - 37), "")</f>
        <v/>
      </c>
    </row>
    <row r="3697" spans="2:10" ht="19.95" customHeight="1" x14ac:dyDescent="0.3">
      <c r="B3697" s="4" t="str" cm="1">
        <f t="array" ref="B3697">IFERROR(INDEX(EmployeeData[Employee ID], ROW() - 37), "")</f>
        <v/>
      </c>
      <c r="C3697" s="4" t="str" cm="1">
        <f t="array" ref="C3697">IFERROR(INDEX(EmployeeData[Full Name], ROW() - 37), "")</f>
        <v/>
      </c>
      <c r="D3697" s="4" t="str" cm="1">
        <f t="array" ref="D3697">IFERROR(INDEX(EmployeeData[Department], ROW() - 37), "")</f>
        <v/>
      </c>
      <c r="E3697" s="4" t="str" cm="1">
        <f t="array" ref="E3697">IFERROR(INDEX(EmployeeData[Gender], ROW() - 37), "")</f>
        <v/>
      </c>
      <c r="F3697" s="4" t="str" cm="1">
        <f t="array" ref="F3697">IFERROR(INDEX(EmployeeData[Age], ROW() - 37), "")</f>
        <v/>
      </c>
      <c r="G3697" s="6" t="str" cm="1">
        <f t="array" ref="G3697">IFERROR(INDEX(EmployeeData[Join Date], ROW() - 37), "")</f>
        <v/>
      </c>
      <c r="H3697" s="6" t="str" cm="1">
        <f t="array" ref="H3697">IFERROR(IF(INDEX(EmployeeData[Exit Date], ROW() - 37)=0, "",INDEX(EmployeeData[Exit Date], ROW() - 37)),"")</f>
        <v/>
      </c>
      <c r="I3697" s="4" t="str" cm="1">
        <f t="array" ref="I3697">IFERROR(IF(INDEX(EmployeeData[Exit Reason], ROW() - 37)=0, "",INDEX(EmployeeData[Exit Reason], ROW() - 37)),"")</f>
        <v/>
      </c>
      <c r="J3697" s="4" t="str" cm="1">
        <f t="array" ref="J3697">IFERROR(INDEX(EmployeeData[Status], ROW() - 37), "")</f>
        <v/>
      </c>
    </row>
    <row r="3698" spans="2:10" ht="19.95" customHeight="1" x14ac:dyDescent="0.3">
      <c r="B3698" s="4" t="str" cm="1">
        <f t="array" ref="B3698">IFERROR(INDEX(EmployeeData[Employee ID], ROW() - 37), "")</f>
        <v/>
      </c>
      <c r="C3698" s="4" t="str" cm="1">
        <f t="array" ref="C3698">IFERROR(INDEX(EmployeeData[Full Name], ROW() - 37), "")</f>
        <v/>
      </c>
      <c r="D3698" s="4" t="str" cm="1">
        <f t="array" ref="D3698">IFERROR(INDEX(EmployeeData[Department], ROW() - 37), "")</f>
        <v/>
      </c>
      <c r="E3698" s="4" t="str" cm="1">
        <f t="array" ref="E3698">IFERROR(INDEX(EmployeeData[Gender], ROW() - 37), "")</f>
        <v/>
      </c>
      <c r="F3698" s="4" t="str" cm="1">
        <f t="array" ref="F3698">IFERROR(INDEX(EmployeeData[Age], ROW() - 37), "")</f>
        <v/>
      </c>
      <c r="G3698" s="6" t="str" cm="1">
        <f t="array" ref="G3698">IFERROR(INDEX(EmployeeData[Join Date], ROW() - 37), "")</f>
        <v/>
      </c>
      <c r="H3698" s="6" t="str" cm="1">
        <f t="array" ref="H3698">IFERROR(IF(INDEX(EmployeeData[Exit Date], ROW() - 37)=0, "",INDEX(EmployeeData[Exit Date], ROW() - 37)),"")</f>
        <v/>
      </c>
      <c r="I3698" s="4" t="str" cm="1">
        <f t="array" ref="I3698">IFERROR(IF(INDEX(EmployeeData[Exit Reason], ROW() - 37)=0, "",INDEX(EmployeeData[Exit Reason], ROW() - 37)),"")</f>
        <v/>
      </c>
      <c r="J3698" s="4" t="str" cm="1">
        <f t="array" ref="J3698">IFERROR(INDEX(EmployeeData[Status], ROW() - 37), "")</f>
        <v/>
      </c>
    </row>
    <row r="3699" spans="2:10" ht="19.95" customHeight="1" x14ac:dyDescent="0.3">
      <c r="B3699" s="4" t="str" cm="1">
        <f t="array" ref="B3699">IFERROR(INDEX(EmployeeData[Employee ID], ROW() - 37), "")</f>
        <v/>
      </c>
      <c r="C3699" s="4" t="str" cm="1">
        <f t="array" ref="C3699">IFERROR(INDEX(EmployeeData[Full Name], ROW() - 37), "")</f>
        <v/>
      </c>
      <c r="D3699" s="4" t="str" cm="1">
        <f t="array" ref="D3699">IFERROR(INDEX(EmployeeData[Department], ROW() - 37), "")</f>
        <v/>
      </c>
      <c r="E3699" s="4" t="str" cm="1">
        <f t="array" ref="E3699">IFERROR(INDEX(EmployeeData[Gender], ROW() - 37), "")</f>
        <v/>
      </c>
      <c r="F3699" s="4" t="str" cm="1">
        <f t="array" ref="F3699">IFERROR(INDEX(EmployeeData[Age], ROW() - 37), "")</f>
        <v/>
      </c>
      <c r="G3699" s="6" t="str" cm="1">
        <f t="array" ref="G3699">IFERROR(INDEX(EmployeeData[Join Date], ROW() - 37), "")</f>
        <v/>
      </c>
      <c r="H3699" s="6" t="str" cm="1">
        <f t="array" ref="H3699">IFERROR(IF(INDEX(EmployeeData[Exit Date], ROW() - 37)=0, "",INDEX(EmployeeData[Exit Date], ROW() - 37)),"")</f>
        <v/>
      </c>
      <c r="I3699" s="4" t="str" cm="1">
        <f t="array" ref="I3699">IFERROR(IF(INDEX(EmployeeData[Exit Reason], ROW() - 37)=0, "",INDEX(EmployeeData[Exit Reason], ROW() - 37)),"")</f>
        <v/>
      </c>
      <c r="J3699" s="4" t="str" cm="1">
        <f t="array" ref="J3699">IFERROR(INDEX(EmployeeData[Status], ROW() - 37), "")</f>
        <v/>
      </c>
    </row>
    <row r="3700" spans="2:10" ht="19.95" customHeight="1" x14ac:dyDescent="0.3">
      <c r="B3700" s="4" t="str" cm="1">
        <f t="array" ref="B3700">IFERROR(INDEX(EmployeeData[Employee ID], ROW() - 37), "")</f>
        <v/>
      </c>
      <c r="C3700" s="4" t="str" cm="1">
        <f t="array" ref="C3700">IFERROR(INDEX(EmployeeData[Full Name], ROW() - 37), "")</f>
        <v/>
      </c>
      <c r="D3700" s="4" t="str" cm="1">
        <f t="array" ref="D3700">IFERROR(INDEX(EmployeeData[Department], ROW() - 37), "")</f>
        <v/>
      </c>
      <c r="E3700" s="4" t="str" cm="1">
        <f t="array" ref="E3700">IFERROR(INDEX(EmployeeData[Gender], ROW() - 37), "")</f>
        <v/>
      </c>
      <c r="F3700" s="4" t="str" cm="1">
        <f t="array" ref="F3700">IFERROR(INDEX(EmployeeData[Age], ROW() - 37), "")</f>
        <v/>
      </c>
      <c r="G3700" s="6" t="str" cm="1">
        <f t="array" ref="G3700">IFERROR(INDEX(EmployeeData[Join Date], ROW() - 37), "")</f>
        <v/>
      </c>
      <c r="H3700" s="6" t="str" cm="1">
        <f t="array" ref="H3700">IFERROR(IF(INDEX(EmployeeData[Exit Date], ROW() - 37)=0, "",INDEX(EmployeeData[Exit Date], ROW() - 37)),"")</f>
        <v/>
      </c>
      <c r="I3700" s="4" t="str" cm="1">
        <f t="array" ref="I3700">IFERROR(IF(INDEX(EmployeeData[Exit Reason], ROW() - 37)=0, "",INDEX(EmployeeData[Exit Reason], ROW() - 37)),"")</f>
        <v/>
      </c>
      <c r="J3700" s="4" t="str" cm="1">
        <f t="array" ref="J3700">IFERROR(INDEX(EmployeeData[Status], ROW() - 37), "")</f>
        <v/>
      </c>
    </row>
    <row r="3701" spans="2:10" ht="19.95" customHeight="1" x14ac:dyDescent="0.3">
      <c r="B3701" s="4" t="str" cm="1">
        <f t="array" ref="B3701">IFERROR(INDEX(EmployeeData[Employee ID], ROW() - 37), "")</f>
        <v/>
      </c>
      <c r="C3701" s="4" t="str" cm="1">
        <f t="array" ref="C3701">IFERROR(INDEX(EmployeeData[Full Name], ROW() - 37), "")</f>
        <v/>
      </c>
      <c r="D3701" s="4" t="str" cm="1">
        <f t="array" ref="D3701">IFERROR(INDEX(EmployeeData[Department], ROW() - 37), "")</f>
        <v/>
      </c>
      <c r="E3701" s="4" t="str" cm="1">
        <f t="array" ref="E3701">IFERROR(INDEX(EmployeeData[Gender], ROW() - 37), "")</f>
        <v/>
      </c>
      <c r="F3701" s="4" t="str" cm="1">
        <f t="array" ref="F3701">IFERROR(INDEX(EmployeeData[Age], ROW() - 37), "")</f>
        <v/>
      </c>
      <c r="G3701" s="6" t="str" cm="1">
        <f t="array" ref="G3701">IFERROR(INDEX(EmployeeData[Join Date], ROW() - 37), "")</f>
        <v/>
      </c>
      <c r="H3701" s="6" t="str" cm="1">
        <f t="array" ref="H3701">IFERROR(IF(INDEX(EmployeeData[Exit Date], ROW() - 37)=0, "",INDEX(EmployeeData[Exit Date], ROW() - 37)),"")</f>
        <v/>
      </c>
      <c r="I3701" s="4" t="str" cm="1">
        <f t="array" ref="I3701">IFERROR(IF(INDEX(EmployeeData[Exit Reason], ROW() - 37)=0, "",INDEX(EmployeeData[Exit Reason], ROW() - 37)),"")</f>
        <v/>
      </c>
      <c r="J3701" s="4" t="str" cm="1">
        <f t="array" ref="J3701">IFERROR(INDEX(EmployeeData[Status], ROW() - 37), "")</f>
        <v/>
      </c>
    </row>
    <row r="3702" spans="2:10" ht="19.95" customHeight="1" x14ac:dyDescent="0.3">
      <c r="B3702" s="4" t="str" cm="1">
        <f t="array" ref="B3702">IFERROR(INDEX(EmployeeData[Employee ID], ROW() - 37), "")</f>
        <v/>
      </c>
      <c r="C3702" s="4" t="str" cm="1">
        <f t="array" ref="C3702">IFERROR(INDEX(EmployeeData[Full Name], ROW() - 37), "")</f>
        <v/>
      </c>
      <c r="D3702" s="4" t="str" cm="1">
        <f t="array" ref="D3702">IFERROR(INDEX(EmployeeData[Department], ROW() - 37), "")</f>
        <v/>
      </c>
      <c r="E3702" s="4" t="str" cm="1">
        <f t="array" ref="E3702">IFERROR(INDEX(EmployeeData[Gender], ROW() - 37), "")</f>
        <v/>
      </c>
      <c r="F3702" s="4" t="str" cm="1">
        <f t="array" ref="F3702">IFERROR(INDEX(EmployeeData[Age], ROW() - 37), "")</f>
        <v/>
      </c>
      <c r="G3702" s="6" t="str" cm="1">
        <f t="array" ref="G3702">IFERROR(INDEX(EmployeeData[Join Date], ROW() - 37), "")</f>
        <v/>
      </c>
      <c r="H3702" s="6" t="str" cm="1">
        <f t="array" ref="H3702">IFERROR(IF(INDEX(EmployeeData[Exit Date], ROW() - 37)=0, "",INDEX(EmployeeData[Exit Date], ROW() - 37)),"")</f>
        <v/>
      </c>
      <c r="I3702" s="4" t="str" cm="1">
        <f t="array" ref="I3702">IFERROR(IF(INDEX(EmployeeData[Exit Reason], ROW() - 37)=0, "",INDEX(EmployeeData[Exit Reason], ROW() - 37)),"")</f>
        <v/>
      </c>
      <c r="J3702" s="4" t="str" cm="1">
        <f t="array" ref="J3702">IFERROR(INDEX(EmployeeData[Status], ROW() - 37), "")</f>
        <v/>
      </c>
    </row>
    <row r="3703" spans="2:10" ht="19.95" customHeight="1" x14ac:dyDescent="0.3">
      <c r="B3703" s="4" t="str" cm="1">
        <f t="array" ref="B3703">IFERROR(INDEX(EmployeeData[Employee ID], ROW() - 37), "")</f>
        <v/>
      </c>
      <c r="C3703" s="4" t="str" cm="1">
        <f t="array" ref="C3703">IFERROR(INDEX(EmployeeData[Full Name], ROW() - 37), "")</f>
        <v/>
      </c>
      <c r="D3703" s="4" t="str" cm="1">
        <f t="array" ref="D3703">IFERROR(INDEX(EmployeeData[Department], ROW() - 37), "")</f>
        <v/>
      </c>
      <c r="E3703" s="4" t="str" cm="1">
        <f t="array" ref="E3703">IFERROR(INDEX(EmployeeData[Gender], ROW() - 37), "")</f>
        <v/>
      </c>
      <c r="F3703" s="4" t="str" cm="1">
        <f t="array" ref="F3703">IFERROR(INDEX(EmployeeData[Age], ROW() - 37), "")</f>
        <v/>
      </c>
      <c r="G3703" s="6" t="str" cm="1">
        <f t="array" ref="G3703">IFERROR(INDEX(EmployeeData[Join Date], ROW() - 37), "")</f>
        <v/>
      </c>
      <c r="H3703" s="6" t="str" cm="1">
        <f t="array" ref="H3703">IFERROR(IF(INDEX(EmployeeData[Exit Date], ROW() - 37)=0, "",INDEX(EmployeeData[Exit Date], ROW() - 37)),"")</f>
        <v/>
      </c>
      <c r="I3703" s="4" t="str" cm="1">
        <f t="array" ref="I3703">IFERROR(IF(INDEX(EmployeeData[Exit Reason], ROW() - 37)=0, "",INDEX(EmployeeData[Exit Reason], ROW() - 37)),"")</f>
        <v/>
      </c>
      <c r="J3703" s="4" t="str" cm="1">
        <f t="array" ref="J3703">IFERROR(INDEX(EmployeeData[Status], ROW() - 37), "")</f>
        <v/>
      </c>
    </row>
    <row r="3704" spans="2:10" ht="19.95" customHeight="1" x14ac:dyDescent="0.3">
      <c r="B3704" s="4" t="str" cm="1">
        <f t="array" ref="B3704">IFERROR(INDEX(EmployeeData[Employee ID], ROW() - 37), "")</f>
        <v/>
      </c>
      <c r="C3704" s="4" t="str" cm="1">
        <f t="array" ref="C3704">IFERROR(INDEX(EmployeeData[Full Name], ROW() - 37), "")</f>
        <v/>
      </c>
      <c r="D3704" s="4" t="str" cm="1">
        <f t="array" ref="D3704">IFERROR(INDEX(EmployeeData[Department], ROW() - 37), "")</f>
        <v/>
      </c>
      <c r="E3704" s="4" t="str" cm="1">
        <f t="array" ref="E3704">IFERROR(INDEX(EmployeeData[Gender], ROW() - 37), "")</f>
        <v/>
      </c>
      <c r="F3704" s="4" t="str" cm="1">
        <f t="array" ref="F3704">IFERROR(INDEX(EmployeeData[Age], ROW() - 37), "")</f>
        <v/>
      </c>
      <c r="G3704" s="6" t="str" cm="1">
        <f t="array" ref="G3704">IFERROR(INDEX(EmployeeData[Join Date], ROW() - 37), "")</f>
        <v/>
      </c>
      <c r="H3704" s="6" t="str" cm="1">
        <f t="array" ref="H3704">IFERROR(IF(INDEX(EmployeeData[Exit Date], ROW() - 37)=0, "",INDEX(EmployeeData[Exit Date], ROW() - 37)),"")</f>
        <v/>
      </c>
      <c r="I3704" s="4" t="str" cm="1">
        <f t="array" ref="I3704">IFERROR(IF(INDEX(EmployeeData[Exit Reason], ROW() - 37)=0, "",INDEX(EmployeeData[Exit Reason], ROW() - 37)),"")</f>
        <v/>
      </c>
      <c r="J3704" s="4" t="str" cm="1">
        <f t="array" ref="J3704">IFERROR(INDEX(EmployeeData[Status], ROW() - 37), "")</f>
        <v/>
      </c>
    </row>
    <row r="3705" spans="2:10" ht="19.95" customHeight="1" x14ac:dyDescent="0.3">
      <c r="B3705" s="4" t="str" cm="1">
        <f t="array" ref="B3705">IFERROR(INDEX(EmployeeData[Employee ID], ROW() - 37), "")</f>
        <v/>
      </c>
      <c r="C3705" s="4" t="str" cm="1">
        <f t="array" ref="C3705">IFERROR(INDEX(EmployeeData[Full Name], ROW() - 37), "")</f>
        <v/>
      </c>
      <c r="D3705" s="4" t="str" cm="1">
        <f t="array" ref="D3705">IFERROR(INDEX(EmployeeData[Department], ROW() - 37), "")</f>
        <v/>
      </c>
      <c r="E3705" s="4" t="str" cm="1">
        <f t="array" ref="E3705">IFERROR(INDEX(EmployeeData[Gender], ROW() - 37), "")</f>
        <v/>
      </c>
      <c r="F3705" s="4" t="str" cm="1">
        <f t="array" ref="F3705">IFERROR(INDEX(EmployeeData[Age], ROW() - 37), "")</f>
        <v/>
      </c>
      <c r="G3705" s="6" t="str" cm="1">
        <f t="array" ref="G3705">IFERROR(INDEX(EmployeeData[Join Date], ROW() - 37), "")</f>
        <v/>
      </c>
      <c r="H3705" s="6" t="str" cm="1">
        <f t="array" ref="H3705">IFERROR(IF(INDEX(EmployeeData[Exit Date], ROW() - 37)=0, "",INDEX(EmployeeData[Exit Date], ROW() - 37)),"")</f>
        <v/>
      </c>
      <c r="I3705" s="4" t="str" cm="1">
        <f t="array" ref="I3705">IFERROR(IF(INDEX(EmployeeData[Exit Reason], ROW() - 37)=0, "",INDEX(EmployeeData[Exit Reason], ROW() - 37)),"")</f>
        <v/>
      </c>
      <c r="J3705" s="4" t="str" cm="1">
        <f t="array" ref="J3705">IFERROR(INDEX(EmployeeData[Status], ROW() - 37), "")</f>
        <v/>
      </c>
    </row>
    <row r="3706" spans="2:10" ht="19.95" customHeight="1" x14ac:dyDescent="0.3">
      <c r="B3706" s="4" t="str" cm="1">
        <f t="array" ref="B3706">IFERROR(INDEX(EmployeeData[Employee ID], ROW() - 37), "")</f>
        <v/>
      </c>
      <c r="C3706" s="4" t="str" cm="1">
        <f t="array" ref="C3706">IFERROR(INDEX(EmployeeData[Full Name], ROW() - 37), "")</f>
        <v/>
      </c>
      <c r="D3706" s="4" t="str" cm="1">
        <f t="array" ref="D3706">IFERROR(INDEX(EmployeeData[Department], ROW() - 37), "")</f>
        <v/>
      </c>
      <c r="E3706" s="4" t="str" cm="1">
        <f t="array" ref="E3706">IFERROR(INDEX(EmployeeData[Gender], ROW() - 37), "")</f>
        <v/>
      </c>
      <c r="F3706" s="4" t="str" cm="1">
        <f t="array" ref="F3706">IFERROR(INDEX(EmployeeData[Age], ROW() - 37), "")</f>
        <v/>
      </c>
      <c r="G3706" s="6" t="str" cm="1">
        <f t="array" ref="G3706">IFERROR(INDEX(EmployeeData[Join Date], ROW() - 37), "")</f>
        <v/>
      </c>
      <c r="H3706" s="6" t="str" cm="1">
        <f t="array" ref="H3706">IFERROR(IF(INDEX(EmployeeData[Exit Date], ROW() - 37)=0, "",INDEX(EmployeeData[Exit Date], ROW() - 37)),"")</f>
        <v/>
      </c>
      <c r="I3706" s="4" t="str" cm="1">
        <f t="array" ref="I3706">IFERROR(IF(INDEX(EmployeeData[Exit Reason], ROW() - 37)=0, "",INDEX(EmployeeData[Exit Reason], ROW() - 37)),"")</f>
        <v/>
      </c>
      <c r="J3706" s="4" t="str" cm="1">
        <f t="array" ref="J3706">IFERROR(INDEX(EmployeeData[Status], ROW() - 37), "")</f>
        <v/>
      </c>
    </row>
    <row r="3707" spans="2:10" ht="19.95" customHeight="1" x14ac:dyDescent="0.3">
      <c r="B3707" s="4" t="str" cm="1">
        <f t="array" ref="B3707">IFERROR(INDEX(EmployeeData[Employee ID], ROW() - 37), "")</f>
        <v/>
      </c>
      <c r="C3707" s="4" t="str" cm="1">
        <f t="array" ref="C3707">IFERROR(INDEX(EmployeeData[Full Name], ROW() - 37), "")</f>
        <v/>
      </c>
      <c r="D3707" s="4" t="str" cm="1">
        <f t="array" ref="D3707">IFERROR(INDEX(EmployeeData[Department], ROW() - 37), "")</f>
        <v/>
      </c>
      <c r="E3707" s="4" t="str" cm="1">
        <f t="array" ref="E3707">IFERROR(INDEX(EmployeeData[Gender], ROW() - 37), "")</f>
        <v/>
      </c>
      <c r="F3707" s="4" t="str" cm="1">
        <f t="array" ref="F3707">IFERROR(INDEX(EmployeeData[Age], ROW() - 37), "")</f>
        <v/>
      </c>
      <c r="G3707" s="6" t="str" cm="1">
        <f t="array" ref="G3707">IFERROR(INDEX(EmployeeData[Join Date], ROW() - 37), "")</f>
        <v/>
      </c>
      <c r="H3707" s="6" t="str" cm="1">
        <f t="array" ref="H3707">IFERROR(IF(INDEX(EmployeeData[Exit Date], ROW() - 37)=0, "",INDEX(EmployeeData[Exit Date], ROW() - 37)),"")</f>
        <v/>
      </c>
      <c r="I3707" s="4" t="str" cm="1">
        <f t="array" ref="I3707">IFERROR(IF(INDEX(EmployeeData[Exit Reason], ROW() - 37)=0, "",INDEX(EmployeeData[Exit Reason], ROW() - 37)),"")</f>
        <v/>
      </c>
      <c r="J3707" s="4" t="str" cm="1">
        <f t="array" ref="J3707">IFERROR(INDEX(EmployeeData[Status], ROW() - 37), "")</f>
        <v/>
      </c>
    </row>
    <row r="3708" spans="2:10" ht="19.95" customHeight="1" x14ac:dyDescent="0.3">
      <c r="B3708" s="4" t="str" cm="1">
        <f t="array" ref="B3708">IFERROR(INDEX(EmployeeData[Employee ID], ROW() - 37), "")</f>
        <v/>
      </c>
      <c r="C3708" s="4" t="str" cm="1">
        <f t="array" ref="C3708">IFERROR(INDEX(EmployeeData[Full Name], ROW() - 37), "")</f>
        <v/>
      </c>
      <c r="D3708" s="4" t="str" cm="1">
        <f t="array" ref="D3708">IFERROR(INDEX(EmployeeData[Department], ROW() - 37), "")</f>
        <v/>
      </c>
      <c r="E3708" s="4" t="str" cm="1">
        <f t="array" ref="E3708">IFERROR(INDEX(EmployeeData[Gender], ROW() - 37), "")</f>
        <v/>
      </c>
      <c r="F3708" s="4" t="str" cm="1">
        <f t="array" ref="F3708">IFERROR(INDEX(EmployeeData[Age], ROW() - 37), "")</f>
        <v/>
      </c>
      <c r="G3708" s="6" t="str" cm="1">
        <f t="array" ref="G3708">IFERROR(INDEX(EmployeeData[Join Date], ROW() - 37), "")</f>
        <v/>
      </c>
      <c r="H3708" s="6" t="str" cm="1">
        <f t="array" ref="H3708">IFERROR(IF(INDEX(EmployeeData[Exit Date], ROW() - 37)=0, "",INDEX(EmployeeData[Exit Date], ROW() - 37)),"")</f>
        <v/>
      </c>
      <c r="I3708" s="4" t="str" cm="1">
        <f t="array" ref="I3708">IFERROR(IF(INDEX(EmployeeData[Exit Reason], ROW() - 37)=0, "",INDEX(EmployeeData[Exit Reason], ROW() - 37)),"")</f>
        <v/>
      </c>
      <c r="J3708" s="4" t="str" cm="1">
        <f t="array" ref="J3708">IFERROR(INDEX(EmployeeData[Status], ROW() - 37), "")</f>
        <v/>
      </c>
    </row>
    <row r="3709" spans="2:10" ht="19.95" customHeight="1" x14ac:dyDescent="0.3">
      <c r="B3709" s="4" t="str" cm="1">
        <f t="array" ref="B3709">IFERROR(INDEX(EmployeeData[Employee ID], ROW() - 37), "")</f>
        <v/>
      </c>
      <c r="C3709" s="4" t="str" cm="1">
        <f t="array" ref="C3709">IFERROR(INDEX(EmployeeData[Full Name], ROW() - 37), "")</f>
        <v/>
      </c>
      <c r="D3709" s="4" t="str" cm="1">
        <f t="array" ref="D3709">IFERROR(INDEX(EmployeeData[Department], ROW() - 37), "")</f>
        <v/>
      </c>
      <c r="E3709" s="4" t="str" cm="1">
        <f t="array" ref="E3709">IFERROR(INDEX(EmployeeData[Gender], ROW() - 37), "")</f>
        <v/>
      </c>
      <c r="F3709" s="4" t="str" cm="1">
        <f t="array" ref="F3709">IFERROR(INDEX(EmployeeData[Age], ROW() - 37), "")</f>
        <v/>
      </c>
      <c r="G3709" s="6" t="str" cm="1">
        <f t="array" ref="G3709">IFERROR(INDEX(EmployeeData[Join Date], ROW() - 37), "")</f>
        <v/>
      </c>
      <c r="H3709" s="6" t="str" cm="1">
        <f t="array" ref="H3709">IFERROR(IF(INDEX(EmployeeData[Exit Date], ROW() - 37)=0, "",INDEX(EmployeeData[Exit Date], ROW() - 37)),"")</f>
        <v/>
      </c>
      <c r="I3709" s="4" t="str" cm="1">
        <f t="array" ref="I3709">IFERROR(IF(INDEX(EmployeeData[Exit Reason], ROW() - 37)=0, "",INDEX(EmployeeData[Exit Reason], ROW() - 37)),"")</f>
        <v/>
      </c>
      <c r="J3709" s="4" t="str" cm="1">
        <f t="array" ref="J3709">IFERROR(INDEX(EmployeeData[Status], ROW() - 37), "")</f>
        <v/>
      </c>
    </row>
    <row r="3710" spans="2:10" ht="19.95" customHeight="1" x14ac:dyDescent="0.3">
      <c r="B3710" s="4" t="str" cm="1">
        <f t="array" ref="B3710">IFERROR(INDEX(EmployeeData[Employee ID], ROW() - 37), "")</f>
        <v/>
      </c>
      <c r="C3710" s="4" t="str" cm="1">
        <f t="array" ref="C3710">IFERROR(INDEX(EmployeeData[Full Name], ROW() - 37), "")</f>
        <v/>
      </c>
      <c r="D3710" s="4" t="str" cm="1">
        <f t="array" ref="D3710">IFERROR(INDEX(EmployeeData[Department], ROW() - 37), "")</f>
        <v/>
      </c>
      <c r="E3710" s="4" t="str" cm="1">
        <f t="array" ref="E3710">IFERROR(INDEX(EmployeeData[Gender], ROW() - 37), "")</f>
        <v/>
      </c>
      <c r="F3710" s="4" t="str" cm="1">
        <f t="array" ref="F3710">IFERROR(INDEX(EmployeeData[Age], ROW() - 37), "")</f>
        <v/>
      </c>
      <c r="G3710" s="6" t="str" cm="1">
        <f t="array" ref="G3710">IFERROR(INDEX(EmployeeData[Join Date], ROW() - 37), "")</f>
        <v/>
      </c>
      <c r="H3710" s="6" t="str" cm="1">
        <f t="array" ref="H3710">IFERROR(IF(INDEX(EmployeeData[Exit Date], ROW() - 37)=0, "",INDEX(EmployeeData[Exit Date], ROW() - 37)),"")</f>
        <v/>
      </c>
      <c r="I3710" s="4" t="str" cm="1">
        <f t="array" ref="I3710">IFERROR(IF(INDEX(EmployeeData[Exit Reason], ROW() - 37)=0, "",INDEX(EmployeeData[Exit Reason], ROW() - 37)),"")</f>
        <v/>
      </c>
      <c r="J3710" s="4" t="str" cm="1">
        <f t="array" ref="J3710">IFERROR(INDEX(EmployeeData[Status], ROW() - 37), "")</f>
        <v/>
      </c>
    </row>
    <row r="3711" spans="2:10" ht="19.95" customHeight="1" x14ac:dyDescent="0.3">
      <c r="B3711" s="4" t="str" cm="1">
        <f t="array" ref="B3711">IFERROR(INDEX(EmployeeData[Employee ID], ROW() - 37), "")</f>
        <v/>
      </c>
      <c r="C3711" s="4" t="str" cm="1">
        <f t="array" ref="C3711">IFERROR(INDEX(EmployeeData[Full Name], ROW() - 37), "")</f>
        <v/>
      </c>
      <c r="D3711" s="4" t="str" cm="1">
        <f t="array" ref="D3711">IFERROR(INDEX(EmployeeData[Department], ROW() - 37), "")</f>
        <v/>
      </c>
      <c r="E3711" s="4" t="str" cm="1">
        <f t="array" ref="E3711">IFERROR(INDEX(EmployeeData[Gender], ROW() - 37), "")</f>
        <v/>
      </c>
      <c r="F3711" s="4" t="str" cm="1">
        <f t="array" ref="F3711">IFERROR(INDEX(EmployeeData[Age], ROW() - 37), "")</f>
        <v/>
      </c>
      <c r="G3711" s="6" t="str" cm="1">
        <f t="array" ref="G3711">IFERROR(INDEX(EmployeeData[Join Date], ROW() - 37), "")</f>
        <v/>
      </c>
      <c r="H3711" s="6" t="str" cm="1">
        <f t="array" ref="H3711">IFERROR(IF(INDEX(EmployeeData[Exit Date], ROW() - 37)=0, "",INDEX(EmployeeData[Exit Date], ROW() - 37)),"")</f>
        <v/>
      </c>
      <c r="I3711" s="4" t="str" cm="1">
        <f t="array" ref="I3711">IFERROR(IF(INDEX(EmployeeData[Exit Reason], ROW() - 37)=0, "",INDEX(EmployeeData[Exit Reason], ROW() - 37)),"")</f>
        <v/>
      </c>
      <c r="J3711" s="4" t="str" cm="1">
        <f t="array" ref="J3711">IFERROR(INDEX(EmployeeData[Status], ROW() - 37), "")</f>
        <v/>
      </c>
    </row>
    <row r="3712" spans="2:10" ht="19.95" customHeight="1" x14ac:dyDescent="0.3">
      <c r="B3712" s="4" t="str" cm="1">
        <f t="array" ref="B3712">IFERROR(INDEX(EmployeeData[Employee ID], ROW() - 37), "")</f>
        <v/>
      </c>
      <c r="C3712" s="4" t="str" cm="1">
        <f t="array" ref="C3712">IFERROR(INDEX(EmployeeData[Full Name], ROW() - 37), "")</f>
        <v/>
      </c>
      <c r="D3712" s="4" t="str" cm="1">
        <f t="array" ref="D3712">IFERROR(INDEX(EmployeeData[Department], ROW() - 37), "")</f>
        <v/>
      </c>
      <c r="E3712" s="4" t="str" cm="1">
        <f t="array" ref="E3712">IFERROR(INDEX(EmployeeData[Gender], ROW() - 37), "")</f>
        <v/>
      </c>
      <c r="F3712" s="4" t="str" cm="1">
        <f t="array" ref="F3712">IFERROR(INDEX(EmployeeData[Age], ROW() - 37), "")</f>
        <v/>
      </c>
      <c r="G3712" s="6" t="str" cm="1">
        <f t="array" ref="G3712">IFERROR(INDEX(EmployeeData[Join Date], ROW() - 37), "")</f>
        <v/>
      </c>
      <c r="H3712" s="6" t="str" cm="1">
        <f t="array" ref="H3712">IFERROR(IF(INDEX(EmployeeData[Exit Date], ROW() - 37)=0, "",INDEX(EmployeeData[Exit Date], ROW() - 37)),"")</f>
        <v/>
      </c>
      <c r="I3712" s="4" t="str" cm="1">
        <f t="array" ref="I3712">IFERROR(IF(INDEX(EmployeeData[Exit Reason], ROW() - 37)=0, "",INDEX(EmployeeData[Exit Reason], ROW() - 37)),"")</f>
        <v/>
      </c>
      <c r="J3712" s="4" t="str" cm="1">
        <f t="array" ref="J3712">IFERROR(INDEX(EmployeeData[Status], ROW() - 37), "")</f>
        <v/>
      </c>
    </row>
    <row r="3713" spans="2:10" ht="19.95" customHeight="1" x14ac:dyDescent="0.3">
      <c r="B3713" s="4" t="str" cm="1">
        <f t="array" ref="B3713">IFERROR(INDEX(EmployeeData[Employee ID], ROW() - 37), "")</f>
        <v/>
      </c>
      <c r="C3713" s="4" t="str" cm="1">
        <f t="array" ref="C3713">IFERROR(INDEX(EmployeeData[Full Name], ROW() - 37), "")</f>
        <v/>
      </c>
      <c r="D3713" s="4" t="str" cm="1">
        <f t="array" ref="D3713">IFERROR(INDEX(EmployeeData[Department], ROW() - 37), "")</f>
        <v/>
      </c>
      <c r="E3713" s="4" t="str" cm="1">
        <f t="array" ref="E3713">IFERROR(INDEX(EmployeeData[Gender], ROW() - 37), "")</f>
        <v/>
      </c>
      <c r="F3713" s="4" t="str" cm="1">
        <f t="array" ref="F3713">IFERROR(INDEX(EmployeeData[Age], ROW() - 37), "")</f>
        <v/>
      </c>
      <c r="G3713" s="6" t="str" cm="1">
        <f t="array" ref="G3713">IFERROR(INDEX(EmployeeData[Join Date], ROW() - 37), "")</f>
        <v/>
      </c>
      <c r="H3713" s="6" t="str" cm="1">
        <f t="array" ref="H3713">IFERROR(IF(INDEX(EmployeeData[Exit Date], ROW() - 37)=0, "",INDEX(EmployeeData[Exit Date], ROW() - 37)),"")</f>
        <v/>
      </c>
      <c r="I3713" s="4" t="str" cm="1">
        <f t="array" ref="I3713">IFERROR(IF(INDEX(EmployeeData[Exit Reason], ROW() - 37)=0, "",INDEX(EmployeeData[Exit Reason], ROW() - 37)),"")</f>
        <v/>
      </c>
      <c r="J3713" s="4" t="str" cm="1">
        <f t="array" ref="J3713">IFERROR(INDEX(EmployeeData[Status], ROW() - 37), "")</f>
        <v/>
      </c>
    </row>
    <row r="3714" spans="2:10" ht="19.95" customHeight="1" x14ac:dyDescent="0.3">
      <c r="B3714" s="4" t="str" cm="1">
        <f t="array" ref="B3714">IFERROR(INDEX(EmployeeData[Employee ID], ROW() - 37), "")</f>
        <v/>
      </c>
      <c r="C3714" s="4" t="str" cm="1">
        <f t="array" ref="C3714">IFERROR(INDEX(EmployeeData[Full Name], ROW() - 37), "")</f>
        <v/>
      </c>
      <c r="D3714" s="4" t="str" cm="1">
        <f t="array" ref="D3714">IFERROR(INDEX(EmployeeData[Department], ROW() - 37), "")</f>
        <v/>
      </c>
      <c r="E3714" s="4" t="str" cm="1">
        <f t="array" ref="E3714">IFERROR(INDEX(EmployeeData[Gender], ROW() - 37), "")</f>
        <v/>
      </c>
      <c r="F3714" s="4" t="str" cm="1">
        <f t="array" ref="F3714">IFERROR(INDEX(EmployeeData[Age], ROW() - 37), "")</f>
        <v/>
      </c>
      <c r="G3714" s="6" t="str" cm="1">
        <f t="array" ref="G3714">IFERROR(INDEX(EmployeeData[Join Date], ROW() - 37), "")</f>
        <v/>
      </c>
      <c r="H3714" s="6" t="str" cm="1">
        <f t="array" ref="H3714">IFERROR(IF(INDEX(EmployeeData[Exit Date], ROW() - 37)=0, "",INDEX(EmployeeData[Exit Date], ROW() - 37)),"")</f>
        <v/>
      </c>
      <c r="I3714" s="4" t="str" cm="1">
        <f t="array" ref="I3714">IFERROR(IF(INDEX(EmployeeData[Exit Reason], ROW() - 37)=0, "",INDEX(EmployeeData[Exit Reason], ROW() - 37)),"")</f>
        <v/>
      </c>
      <c r="J3714" s="4" t="str" cm="1">
        <f t="array" ref="J3714">IFERROR(INDEX(EmployeeData[Status], ROW() - 37), "")</f>
        <v/>
      </c>
    </row>
    <row r="3715" spans="2:10" ht="19.95" customHeight="1" x14ac:dyDescent="0.3">
      <c r="B3715" s="4" t="str" cm="1">
        <f t="array" ref="B3715">IFERROR(INDEX(EmployeeData[Employee ID], ROW() - 37), "")</f>
        <v/>
      </c>
      <c r="C3715" s="4" t="str" cm="1">
        <f t="array" ref="C3715">IFERROR(INDEX(EmployeeData[Full Name], ROW() - 37), "")</f>
        <v/>
      </c>
      <c r="D3715" s="4" t="str" cm="1">
        <f t="array" ref="D3715">IFERROR(INDEX(EmployeeData[Department], ROW() - 37), "")</f>
        <v/>
      </c>
      <c r="E3715" s="4" t="str" cm="1">
        <f t="array" ref="E3715">IFERROR(INDEX(EmployeeData[Gender], ROW() - 37), "")</f>
        <v/>
      </c>
      <c r="F3715" s="4" t="str" cm="1">
        <f t="array" ref="F3715">IFERROR(INDEX(EmployeeData[Age], ROW() - 37), "")</f>
        <v/>
      </c>
      <c r="G3715" s="6" t="str" cm="1">
        <f t="array" ref="G3715">IFERROR(INDEX(EmployeeData[Join Date], ROW() - 37), "")</f>
        <v/>
      </c>
      <c r="H3715" s="6" t="str" cm="1">
        <f t="array" ref="H3715">IFERROR(IF(INDEX(EmployeeData[Exit Date], ROW() - 37)=0, "",INDEX(EmployeeData[Exit Date], ROW() - 37)),"")</f>
        <v/>
      </c>
      <c r="I3715" s="4" t="str" cm="1">
        <f t="array" ref="I3715">IFERROR(IF(INDEX(EmployeeData[Exit Reason], ROW() - 37)=0, "",INDEX(EmployeeData[Exit Reason], ROW() - 37)),"")</f>
        <v/>
      </c>
      <c r="J3715" s="4" t="str" cm="1">
        <f t="array" ref="J3715">IFERROR(INDEX(EmployeeData[Status], ROW() - 37), "")</f>
        <v/>
      </c>
    </row>
    <row r="3716" spans="2:10" ht="19.95" customHeight="1" x14ac:dyDescent="0.3">
      <c r="B3716" s="4" t="str" cm="1">
        <f t="array" ref="B3716">IFERROR(INDEX(EmployeeData[Employee ID], ROW() - 37), "")</f>
        <v/>
      </c>
      <c r="C3716" s="4" t="str" cm="1">
        <f t="array" ref="C3716">IFERROR(INDEX(EmployeeData[Full Name], ROW() - 37), "")</f>
        <v/>
      </c>
      <c r="D3716" s="4" t="str" cm="1">
        <f t="array" ref="D3716">IFERROR(INDEX(EmployeeData[Department], ROW() - 37), "")</f>
        <v/>
      </c>
      <c r="E3716" s="4" t="str" cm="1">
        <f t="array" ref="E3716">IFERROR(INDEX(EmployeeData[Gender], ROW() - 37), "")</f>
        <v/>
      </c>
      <c r="F3716" s="4" t="str" cm="1">
        <f t="array" ref="F3716">IFERROR(INDEX(EmployeeData[Age], ROW() - 37), "")</f>
        <v/>
      </c>
      <c r="G3716" s="6" t="str" cm="1">
        <f t="array" ref="G3716">IFERROR(INDEX(EmployeeData[Join Date], ROW() - 37), "")</f>
        <v/>
      </c>
      <c r="H3716" s="6" t="str" cm="1">
        <f t="array" ref="H3716">IFERROR(IF(INDEX(EmployeeData[Exit Date], ROW() - 37)=0, "",INDEX(EmployeeData[Exit Date], ROW() - 37)),"")</f>
        <v/>
      </c>
      <c r="I3716" s="4" t="str" cm="1">
        <f t="array" ref="I3716">IFERROR(IF(INDEX(EmployeeData[Exit Reason], ROW() - 37)=0, "",INDEX(EmployeeData[Exit Reason], ROW() - 37)),"")</f>
        <v/>
      </c>
      <c r="J3716" s="4" t="str" cm="1">
        <f t="array" ref="J3716">IFERROR(INDEX(EmployeeData[Status], ROW() - 37), "")</f>
        <v/>
      </c>
    </row>
    <row r="3717" spans="2:10" ht="19.95" customHeight="1" x14ac:dyDescent="0.3">
      <c r="B3717" s="4" t="str" cm="1">
        <f t="array" ref="B3717">IFERROR(INDEX(EmployeeData[Employee ID], ROW() - 37), "")</f>
        <v/>
      </c>
      <c r="C3717" s="4" t="str" cm="1">
        <f t="array" ref="C3717">IFERROR(INDEX(EmployeeData[Full Name], ROW() - 37), "")</f>
        <v/>
      </c>
      <c r="D3717" s="4" t="str" cm="1">
        <f t="array" ref="D3717">IFERROR(INDEX(EmployeeData[Department], ROW() - 37), "")</f>
        <v/>
      </c>
      <c r="E3717" s="4" t="str" cm="1">
        <f t="array" ref="E3717">IFERROR(INDEX(EmployeeData[Gender], ROW() - 37), "")</f>
        <v/>
      </c>
      <c r="F3717" s="4" t="str" cm="1">
        <f t="array" ref="F3717">IFERROR(INDEX(EmployeeData[Age], ROW() - 37), "")</f>
        <v/>
      </c>
      <c r="G3717" s="6" t="str" cm="1">
        <f t="array" ref="G3717">IFERROR(INDEX(EmployeeData[Join Date], ROW() - 37), "")</f>
        <v/>
      </c>
      <c r="H3717" s="6" t="str" cm="1">
        <f t="array" ref="H3717">IFERROR(IF(INDEX(EmployeeData[Exit Date], ROW() - 37)=0, "",INDEX(EmployeeData[Exit Date], ROW() - 37)),"")</f>
        <v/>
      </c>
      <c r="I3717" s="4" t="str" cm="1">
        <f t="array" ref="I3717">IFERROR(IF(INDEX(EmployeeData[Exit Reason], ROW() - 37)=0, "",INDEX(EmployeeData[Exit Reason], ROW() - 37)),"")</f>
        <v/>
      </c>
      <c r="J3717" s="4" t="str" cm="1">
        <f t="array" ref="J3717">IFERROR(INDEX(EmployeeData[Status], ROW() - 37), "")</f>
        <v/>
      </c>
    </row>
    <row r="3718" spans="2:10" ht="19.95" customHeight="1" x14ac:dyDescent="0.3">
      <c r="B3718" s="4" t="str" cm="1">
        <f t="array" ref="B3718">IFERROR(INDEX(EmployeeData[Employee ID], ROW() - 37), "")</f>
        <v/>
      </c>
      <c r="C3718" s="4" t="str" cm="1">
        <f t="array" ref="C3718">IFERROR(INDEX(EmployeeData[Full Name], ROW() - 37), "")</f>
        <v/>
      </c>
      <c r="D3718" s="4" t="str" cm="1">
        <f t="array" ref="D3718">IFERROR(INDEX(EmployeeData[Department], ROW() - 37), "")</f>
        <v/>
      </c>
      <c r="E3718" s="4" t="str" cm="1">
        <f t="array" ref="E3718">IFERROR(INDEX(EmployeeData[Gender], ROW() - 37), "")</f>
        <v/>
      </c>
      <c r="F3718" s="4" t="str" cm="1">
        <f t="array" ref="F3718">IFERROR(INDEX(EmployeeData[Age], ROW() - 37), "")</f>
        <v/>
      </c>
      <c r="G3718" s="6" t="str" cm="1">
        <f t="array" ref="G3718">IFERROR(INDEX(EmployeeData[Join Date], ROW() - 37), "")</f>
        <v/>
      </c>
      <c r="H3718" s="6" t="str" cm="1">
        <f t="array" ref="H3718">IFERROR(IF(INDEX(EmployeeData[Exit Date], ROW() - 37)=0, "",INDEX(EmployeeData[Exit Date], ROW() - 37)),"")</f>
        <v/>
      </c>
      <c r="I3718" s="4" t="str" cm="1">
        <f t="array" ref="I3718">IFERROR(IF(INDEX(EmployeeData[Exit Reason], ROW() - 37)=0, "",INDEX(EmployeeData[Exit Reason], ROW() - 37)),"")</f>
        <v/>
      </c>
      <c r="J3718" s="4" t="str" cm="1">
        <f t="array" ref="J3718">IFERROR(INDEX(EmployeeData[Status], ROW() - 37), "")</f>
        <v/>
      </c>
    </row>
    <row r="3719" spans="2:10" ht="19.95" customHeight="1" x14ac:dyDescent="0.3">
      <c r="B3719" s="4" t="str" cm="1">
        <f t="array" ref="B3719">IFERROR(INDEX(EmployeeData[Employee ID], ROW() - 37), "")</f>
        <v/>
      </c>
      <c r="C3719" s="4" t="str" cm="1">
        <f t="array" ref="C3719">IFERROR(INDEX(EmployeeData[Full Name], ROW() - 37), "")</f>
        <v/>
      </c>
      <c r="D3719" s="4" t="str" cm="1">
        <f t="array" ref="D3719">IFERROR(INDEX(EmployeeData[Department], ROW() - 37), "")</f>
        <v/>
      </c>
      <c r="E3719" s="4" t="str" cm="1">
        <f t="array" ref="E3719">IFERROR(INDEX(EmployeeData[Gender], ROW() - 37), "")</f>
        <v/>
      </c>
      <c r="F3719" s="4" t="str" cm="1">
        <f t="array" ref="F3719">IFERROR(INDEX(EmployeeData[Age], ROW() - 37), "")</f>
        <v/>
      </c>
      <c r="G3719" s="6" t="str" cm="1">
        <f t="array" ref="G3719">IFERROR(INDEX(EmployeeData[Join Date], ROW() - 37), "")</f>
        <v/>
      </c>
      <c r="H3719" s="6" t="str" cm="1">
        <f t="array" ref="H3719">IFERROR(IF(INDEX(EmployeeData[Exit Date], ROW() - 37)=0, "",INDEX(EmployeeData[Exit Date], ROW() - 37)),"")</f>
        <v/>
      </c>
      <c r="I3719" s="4" t="str" cm="1">
        <f t="array" ref="I3719">IFERROR(IF(INDEX(EmployeeData[Exit Reason], ROW() - 37)=0, "",INDEX(EmployeeData[Exit Reason], ROW() - 37)),"")</f>
        <v/>
      </c>
      <c r="J3719" s="4" t="str" cm="1">
        <f t="array" ref="J3719">IFERROR(INDEX(EmployeeData[Status], ROW() - 37), "")</f>
        <v/>
      </c>
    </row>
    <row r="3720" spans="2:10" ht="19.95" customHeight="1" x14ac:dyDescent="0.3">
      <c r="B3720" s="4" t="str" cm="1">
        <f t="array" ref="B3720">IFERROR(INDEX(EmployeeData[Employee ID], ROW() - 37), "")</f>
        <v/>
      </c>
      <c r="C3720" s="4" t="str" cm="1">
        <f t="array" ref="C3720">IFERROR(INDEX(EmployeeData[Full Name], ROW() - 37), "")</f>
        <v/>
      </c>
      <c r="D3720" s="4" t="str" cm="1">
        <f t="array" ref="D3720">IFERROR(INDEX(EmployeeData[Department], ROW() - 37), "")</f>
        <v/>
      </c>
      <c r="E3720" s="4" t="str" cm="1">
        <f t="array" ref="E3720">IFERROR(INDEX(EmployeeData[Gender], ROW() - 37), "")</f>
        <v/>
      </c>
      <c r="F3720" s="4" t="str" cm="1">
        <f t="array" ref="F3720">IFERROR(INDEX(EmployeeData[Age], ROW() - 37), "")</f>
        <v/>
      </c>
      <c r="G3720" s="6" t="str" cm="1">
        <f t="array" ref="G3720">IFERROR(INDEX(EmployeeData[Join Date], ROW() - 37), "")</f>
        <v/>
      </c>
      <c r="H3720" s="6" t="str" cm="1">
        <f t="array" ref="H3720">IFERROR(IF(INDEX(EmployeeData[Exit Date], ROW() - 37)=0, "",INDEX(EmployeeData[Exit Date], ROW() - 37)),"")</f>
        <v/>
      </c>
      <c r="I3720" s="4" t="str" cm="1">
        <f t="array" ref="I3720">IFERROR(IF(INDEX(EmployeeData[Exit Reason], ROW() - 37)=0, "",INDEX(EmployeeData[Exit Reason], ROW() - 37)),"")</f>
        <v/>
      </c>
      <c r="J3720" s="4" t="str" cm="1">
        <f t="array" ref="J3720">IFERROR(INDEX(EmployeeData[Status], ROW() - 37), "")</f>
        <v/>
      </c>
    </row>
    <row r="3721" spans="2:10" ht="19.95" customHeight="1" x14ac:dyDescent="0.3">
      <c r="B3721" s="4" t="str" cm="1">
        <f t="array" ref="B3721">IFERROR(INDEX(EmployeeData[Employee ID], ROW() - 37), "")</f>
        <v/>
      </c>
      <c r="C3721" s="4" t="str" cm="1">
        <f t="array" ref="C3721">IFERROR(INDEX(EmployeeData[Full Name], ROW() - 37), "")</f>
        <v/>
      </c>
      <c r="D3721" s="4" t="str" cm="1">
        <f t="array" ref="D3721">IFERROR(INDEX(EmployeeData[Department], ROW() - 37), "")</f>
        <v/>
      </c>
      <c r="E3721" s="4" t="str" cm="1">
        <f t="array" ref="E3721">IFERROR(INDEX(EmployeeData[Gender], ROW() - 37), "")</f>
        <v/>
      </c>
      <c r="F3721" s="4" t="str" cm="1">
        <f t="array" ref="F3721">IFERROR(INDEX(EmployeeData[Age], ROW() - 37), "")</f>
        <v/>
      </c>
      <c r="G3721" s="6" t="str" cm="1">
        <f t="array" ref="G3721">IFERROR(INDEX(EmployeeData[Join Date], ROW() - 37), "")</f>
        <v/>
      </c>
      <c r="H3721" s="6" t="str" cm="1">
        <f t="array" ref="H3721">IFERROR(IF(INDEX(EmployeeData[Exit Date], ROW() - 37)=0, "",INDEX(EmployeeData[Exit Date], ROW() - 37)),"")</f>
        <v/>
      </c>
      <c r="I3721" s="4" t="str" cm="1">
        <f t="array" ref="I3721">IFERROR(IF(INDEX(EmployeeData[Exit Reason], ROW() - 37)=0, "",INDEX(EmployeeData[Exit Reason], ROW() - 37)),"")</f>
        <v/>
      </c>
      <c r="J3721" s="4" t="str" cm="1">
        <f t="array" ref="J3721">IFERROR(INDEX(EmployeeData[Status], ROW() - 37), "")</f>
        <v/>
      </c>
    </row>
    <row r="3722" spans="2:10" ht="19.95" customHeight="1" x14ac:dyDescent="0.3">
      <c r="B3722" s="4" t="str" cm="1">
        <f t="array" ref="B3722">IFERROR(INDEX(EmployeeData[Employee ID], ROW() - 37), "")</f>
        <v/>
      </c>
      <c r="C3722" s="4" t="str" cm="1">
        <f t="array" ref="C3722">IFERROR(INDEX(EmployeeData[Full Name], ROW() - 37), "")</f>
        <v/>
      </c>
      <c r="D3722" s="4" t="str" cm="1">
        <f t="array" ref="D3722">IFERROR(INDEX(EmployeeData[Department], ROW() - 37), "")</f>
        <v/>
      </c>
      <c r="E3722" s="4" t="str" cm="1">
        <f t="array" ref="E3722">IFERROR(INDEX(EmployeeData[Gender], ROW() - 37), "")</f>
        <v/>
      </c>
      <c r="F3722" s="4" t="str" cm="1">
        <f t="array" ref="F3722">IFERROR(INDEX(EmployeeData[Age], ROW() - 37), "")</f>
        <v/>
      </c>
      <c r="G3722" s="6" t="str" cm="1">
        <f t="array" ref="G3722">IFERROR(INDEX(EmployeeData[Join Date], ROW() - 37), "")</f>
        <v/>
      </c>
      <c r="H3722" s="6" t="str" cm="1">
        <f t="array" ref="H3722">IFERROR(IF(INDEX(EmployeeData[Exit Date], ROW() - 37)=0, "",INDEX(EmployeeData[Exit Date], ROW() - 37)),"")</f>
        <v/>
      </c>
      <c r="I3722" s="4" t="str" cm="1">
        <f t="array" ref="I3722">IFERROR(IF(INDEX(EmployeeData[Exit Reason], ROW() - 37)=0, "",INDEX(EmployeeData[Exit Reason], ROW() - 37)),"")</f>
        <v/>
      </c>
      <c r="J3722" s="4" t="str" cm="1">
        <f t="array" ref="J3722">IFERROR(INDEX(EmployeeData[Status], ROW() - 37), "")</f>
        <v/>
      </c>
    </row>
    <row r="3723" spans="2:10" ht="19.95" customHeight="1" x14ac:dyDescent="0.3">
      <c r="B3723" s="4" t="str" cm="1">
        <f t="array" ref="B3723">IFERROR(INDEX(EmployeeData[Employee ID], ROW() - 37), "")</f>
        <v/>
      </c>
      <c r="C3723" s="4" t="str" cm="1">
        <f t="array" ref="C3723">IFERROR(INDEX(EmployeeData[Full Name], ROW() - 37), "")</f>
        <v/>
      </c>
      <c r="D3723" s="4" t="str" cm="1">
        <f t="array" ref="D3723">IFERROR(INDEX(EmployeeData[Department], ROW() - 37), "")</f>
        <v/>
      </c>
      <c r="E3723" s="4" t="str" cm="1">
        <f t="array" ref="E3723">IFERROR(INDEX(EmployeeData[Gender], ROW() - 37), "")</f>
        <v/>
      </c>
      <c r="F3723" s="4" t="str" cm="1">
        <f t="array" ref="F3723">IFERROR(INDEX(EmployeeData[Age], ROW() - 37), "")</f>
        <v/>
      </c>
      <c r="G3723" s="6" t="str" cm="1">
        <f t="array" ref="G3723">IFERROR(INDEX(EmployeeData[Join Date], ROW() - 37), "")</f>
        <v/>
      </c>
      <c r="H3723" s="6" t="str" cm="1">
        <f t="array" ref="H3723">IFERROR(IF(INDEX(EmployeeData[Exit Date], ROW() - 37)=0, "",INDEX(EmployeeData[Exit Date], ROW() - 37)),"")</f>
        <v/>
      </c>
      <c r="I3723" s="4" t="str" cm="1">
        <f t="array" ref="I3723">IFERROR(IF(INDEX(EmployeeData[Exit Reason], ROW() - 37)=0, "",INDEX(EmployeeData[Exit Reason], ROW() - 37)),"")</f>
        <v/>
      </c>
      <c r="J3723" s="4" t="str" cm="1">
        <f t="array" ref="J3723">IFERROR(INDEX(EmployeeData[Status], ROW() - 37), "")</f>
        <v/>
      </c>
    </row>
    <row r="3724" spans="2:10" ht="19.95" customHeight="1" x14ac:dyDescent="0.3">
      <c r="B3724" s="4" t="str" cm="1">
        <f t="array" ref="B3724">IFERROR(INDEX(EmployeeData[Employee ID], ROW() - 37), "")</f>
        <v/>
      </c>
      <c r="C3724" s="4" t="str" cm="1">
        <f t="array" ref="C3724">IFERROR(INDEX(EmployeeData[Full Name], ROW() - 37), "")</f>
        <v/>
      </c>
      <c r="D3724" s="4" t="str" cm="1">
        <f t="array" ref="D3724">IFERROR(INDEX(EmployeeData[Department], ROW() - 37), "")</f>
        <v/>
      </c>
      <c r="E3724" s="4" t="str" cm="1">
        <f t="array" ref="E3724">IFERROR(INDEX(EmployeeData[Gender], ROW() - 37), "")</f>
        <v/>
      </c>
      <c r="F3724" s="4" t="str" cm="1">
        <f t="array" ref="F3724">IFERROR(INDEX(EmployeeData[Age], ROW() - 37), "")</f>
        <v/>
      </c>
      <c r="G3724" s="6" t="str" cm="1">
        <f t="array" ref="G3724">IFERROR(INDEX(EmployeeData[Join Date], ROW() - 37), "")</f>
        <v/>
      </c>
      <c r="H3724" s="6" t="str" cm="1">
        <f t="array" ref="H3724">IFERROR(IF(INDEX(EmployeeData[Exit Date], ROW() - 37)=0, "",INDEX(EmployeeData[Exit Date], ROW() - 37)),"")</f>
        <v/>
      </c>
      <c r="I3724" s="4" t="str" cm="1">
        <f t="array" ref="I3724">IFERROR(IF(INDEX(EmployeeData[Exit Reason], ROW() - 37)=0, "",INDEX(EmployeeData[Exit Reason], ROW() - 37)),"")</f>
        <v/>
      </c>
      <c r="J3724" s="4" t="str" cm="1">
        <f t="array" ref="J3724">IFERROR(INDEX(EmployeeData[Status], ROW() - 37), "")</f>
        <v/>
      </c>
    </row>
    <row r="3725" spans="2:10" ht="19.95" customHeight="1" x14ac:dyDescent="0.3">
      <c r="B3725" s="4" t="str" cm="1">
        <f t="array" ref="B3725">IFERROR(INDEX(EmployeeData[Employee ID], ROW() - 37), "")</f>
        <v/>
      </c>
      <c r="C3725" s="4" t="str" cm="1">
        <f t="array" ref="C3725">IFERROR(INDEX(EmployeeData[Full Name], ROW() - 37), "")</f>
        <v/>
      </c>
      <c r="D3725" s="4" t="str" cm="1">
        <f t="array" ref="D3725">IFERROR(INDEX(EmployeeData[Department], ROW() - 37), "")</f>
        <v/>
      </c>
      <c r="E3725" s="4" t="str" cm="1">
        <f t="array" ref="E3725">IFERROR(INDEX(EmployeeData[Gender], ROW() - 37), "")</f>
        <v/>
      </c>
      <c r="F3725" s="4" t="str" cm="1">
        <f t="array" ref="F3725">IFERROR(INDEX(EmployeeData[Age], ROW() - 37), "")</f>
        <v/>
      </c>
      <c r="G3725" s="6" t="str" cm="1">
        <f t="array" ref="G3725">IFERROR(INDEX(EmployeeData[Join Date], ROW() - 37), "")</f>
        <v/>
      </c>
      <c r="H3725" s="6" t="str" cm="1">
        <f t="array" ref="H3725">IFERROR(IF(INDEX(EmployeeData[Exit Date], ROW() - 37)=0, "",INDEX(EmployeeData[Exit Date], ROW() - 37)),"")</f>
        <v/>
      </c>
      <c r="I3725" s="4" t="str" cm="1">
        <f t="array" ref="I3725">IFERROR(IF(INDEX(EmployeeData[Exit Reason], ROW() - 37)=0, "",INDEX(EmployeeData[Exit Reason], ROW() - 37)),"")</f>
        <v/>
      </c>
      <c r="J3725" s="4" t="str" cm="1">
        <f t="array" ref="J3725">IFERROR(INDEX(EmployeeData[Status], ROW() - 37), "")</f>
        <v/>
      </c>
    </row>
    <row r="3726" spans="2:10" ht="19.95" customHeight="1" x14ac:dyDescent="0.3">
      <c r="B3726" s="4" t="str" cm="1">
        <f t="array" ref="B3726">IFERROR(INDEX(EmployeeData[Employee ID], ROW() - 37), "")</f>
        <v/>
      </c>
      <c r="C3726" s="4" t="str" cm="1">
        <f t="array" ref="C3726">IFERROR(INDEX(EmployeeData[Full Name], ROW() - 37), "")</f>
        <v/>
      </c>
      <c r="D3726" s="4" t="str" cm="1">
        <f t="array" ref="D3726">IFERROR(INDEX(EmployeeData[Department], ROW() - 37), "")</f>
        <v/>
      </c>
      <c r="E3726" s="4" t="str" cm="1">
        <f t="array" ref="E3726">IFERROR(INDEX(EmployeeData[Gender], ROW() - 37), "")</f>
        <v/>
      </c>
      <c r="F3726" s="4" t="str" cm="1">
        <f t="array" ref="F3726">IFERROR(INDEX(EmployeeData[Age], ROW() - 37), "")</f>
        <v/>
      </c>
      <c r="G3726" s="6" t="str" cm="1">
        <f t="array" ref="G3726">IFERROR(INDEX(EmployeeData[Join Date], ROW() - 37), "")</f>
        <v/>
      </c>
      <c r="H3726" s="6" t="str" cm="1">
        <f t="array" ref="H3726">IFERROR(IF(INDEX(EmployeeData[Exit Date], ROW() - 37)=0, "",INDEX(EmployeeData[Exit Date], ROW() - 37)),"")</f>
        <v/>
      </c>
      <c r="I3726" s="4" t="str" cm="1">
        <f t="array" ref="I3726">IFERROR(IF(INDEX(EmployeeData[Exit Reason], ROW() - 37)=0, "",INDEX(EmployeeData[Exit Reason], ROW() - 37)),"")</f>
        <v/>
      </c>
      <c r="J3726" s="4" t="str" cm="1">
        <f t="array" ref="J3726">IFERROR(INDEX(EmployeeData[Status], ROW() - 37), "")</f>
        <v/>
      </c>
    </row>
    <row r="3727" spans="2:10" ht="19.95" customHeight="1" x14ac:dyDescent="0.3">
      <c r="B3727" s="4" t="str" cm="1">
        <f t="array" ref="B3727">IFERROR(INDEX(EmployeeData[Employee ID], ROW() - 37), "")</f>
        <v/>
      </c>
      <c r="C3727" s="4" t="str" cm="1">
        <f t="array" ref="C3727">IFERROR(INDEX(EmployeeData[Full Name], ROW() - 37), "")</f>
        <v/>
      </c>
      <c r="D3727" s="4" t="str" cm="1">
        <f t="array" ref="D3727">IFERROR(INDEX(EmployeeData[Department], ROW() - 37), "")</f>
        <v/>
      </c>
      <c r="E3727" s="4" t="str" cm="1">
        <f t="array" ref="E3727">IFERROR(INDEX(EmployeeData[Gender], ROW() - 37), "")</f>
        <v/>
      </c>
      <c r="F3727" s="4" t="str" cm="1">
        <f t="array" ref="F3727">IFERROR(INDEX(EmployeeData[Age], ROW() - 37), "")</f>
        <v/>
      </c>
      <c r="G3727" s="6" t="str" cm="1">
        <f t="array" ref="G3727">IFERROR(INDEX(EmployeeData[Join Date], ROW() - 37), "")</f>
        <v/>
      </c>
      <c r="H3727" s="6" t="str" cm="1">
        <f t="array" ref="H3727">IFERROR(IF(INDEX(EmployeeData[Exit Date], ROW() - 37)=0, "",INDEX(EmployeeData[Exit Date], ROW() - 37)),"")</f>
        <v/>
      </c>
      <c r="I3727" s="4" t="str" cm="1">
        <f t="array" ref="I3727">IFERROR(IF(INDEX(EmployeeData[Exit Reason], ROW() - 37)=0, "",INDEX(EmployeeData[Exit Reason], ROW() - 37)),"")</f>
        <v/>
      </c>
      <c r="J3727" s="4" t="str" cm="1">
        <f t="array" ref="J3727">IFERROR(INDEX(EmployeeData[Status], ROW() - 37), "")</f>
        <v/>
      </c>
    </row>
    <row r="3728" spans="2:10" ht="19.95" customHeight="1" x14ac:dyDescent="0.3">
      <c r="B3728" s="4" t="str" cm="1">
        <f t="array" ref="B3728">IFERROR(INDEX(EmployeeData[Employee ID], ROW() - 37), "")</f>
        <v/>
      </c>
      <c r="C3728" s="4" t="str" cm="1">
        <f t="array" ref="C3728">IFERROR(INDEX(EmployeeData[Full Name], ROW() - 37), "")</f>
        <v/>
      </c>
      <c r="D3728" s="4" t="str" cm="1">
        <f t="array" ref="D3728">IFERROR(INDEX(EmployeeData[Department], ROW() - 37), "")</f>
        <v/>
      </c>
      <c r="E3728" s="4" t="str" cm="1">
        <f t="array" ref="E3728">IFERROR(INDEX(EmployeeData[Gender], ROW() - 37), "")</f>
        <v/>
      </c>
      <c r="F3728" s="4" t="str" cm="1">
        <f t="array" ref="F3728">IFERROR(INDEX(EmployeeData[Age], ROW() - 37), "")</f>
        <v/>
      </c>
      <c r="G3728" s="6" t="str" cm="1">
        <f t="array" ref="G3728">IFERROR(INDEX(EmployeeData[Join Date], ROW() - 37), "")</f>
        <v/>
      </c>
      <c r="H3728" s="6" t="str" cm="1">
        <f t="array" ref="H3728">IFERROR(IF(INDEX(EmployeeData[Exit Date], ROW() - 37)=0, "",INDEX(EmployeeData[Exit Date], ROW() - 37)),"")</f>
        <v/>
      </c>
      <c r="I3728" s="4" t="str" cm="1">
        <f t="array" ref="I3728">IFERROR(IF(INDEX(EmployeeData[Exit Reason], ROW() - 37)=0, "",INDEX(EmployeeData[Exit Reason], ROW() - 37)),"")</f>
        <v/>
      </c>
      <c r="J3728" s="4" t="str" cm="1">
        <f t="array" ref="J3728">IFERROR(INDEX(EmployeeData[Status], ROW() - 37), "")</f>
        <v/>
      </c>
    </row>
    <row r="3729" spans="2:10" ht="19.95" customHeight="1" x14ac:dyDescent="0.3">
      <c r="B3729" s="4" t="str" cm="1">
        <f t="array" ref="B3729">IFERROR(INDEX(EmployeeData[Employee ID], ROW() - 37), "")</f>
        <v/>
      </c>
      <c r="C3729" s="4" t="str" cm="1">
        <f t="array" ref="C3729">IFERROR(INDEX(EmployeeData[Full Name], ROW() - 37), "")</f>
        <v/>
      </c>
      <c r="D3729" s="4" t="str" cm="1">
        <f t="array" ref="D3729">IFERROR(INDEX(EmployeeData[Department], ROW() - 37), "")</f>
        <v/>
      </c>
      <c r="E3729" s="4" t="str" cm="1">
        <f t="array" ref="E3729">IFERROR(INDEX(EmployeeData[Gender], ROW() - 37), "")</f>
        <v/>
      </c>
      <c r="F3729" s="4" t="str" cm="1">
        <f t="array" ref="F3729">IFERROR(INDEX(EmployeeData[Age], ROW() - 37), "")</f>
        <v/>
      </c>
      <c r="G3729" s="6" t="str" cm="1">
        <f t="array" ref="G3729">IFERROR(INDEX(EmployeeData[Join Date], ROW() - 37), "")</f>
        <v/>
      </c>
      <c r="H3729" s="6" t="str" cm="1">
        <f t="array" ref="H3729">IFERROR(IF(INDEX(EmployeeData[Exit Date], ROW() - 37)=0, "",INDEX(EmployeeData[Exit Date], ROW() - 37)),"")</f>
        <v/>
      </c>
      <c r="I3729" s="4" t="str" cm="1">
        <f t="array" ref="I3729">IFERROR(IF(INDEX(EmployeeData[Exit Reason], ROW() - 37)=0, "",INDEX(EmployeeData[Exit Reason], ROW() - 37)),"")</f>
        <v/>
      </c>
      <c r="J3729" s="4" t="str" cm="1">
        <f t="array" ref="J3729">IFERROR(INDEX(EmployeeData[Status], ROW() - 37), "")</f>
        <v/>
      </c>
    </row>
    <row r="3730" spans="2:10" ht="19.95" customHeight="1" x14ac:dyDescent="0.3">
      <c r="B3730" s="4" t="str" cm="1">
        <f t="array" ref="B3730">IFERROR(INDEX(EmployeeData[Employee ID], ROW() - 37), "")</f>
        <v/>
      </c>
      <c r="C3730" s="4" t="str" cm="1">
        <f t="array" ref="C3730">IFERROR(INDEX(EmployeeData[Full Name], ROW() - 37), "")</f>
        <v/>
      </c>
      <c r="D3730" s="4" t="str" cm="1">
        <f t="array" ref="D3730">IFERROR(INDEX(EmployeeData[Department], ROW() - 37), "")</f>
        <v/>
      </c>
      <c r="E3730" s="4" t="str" cm="1">
        <f t="array" ref="E3730">IFERROR(INDEX(EmployeeData[Gender], ROW() - 37), "")</f>
        <v/>
      </c>
      <c r="F3730" s="4" t="str" cm="1">
        <f t="array" ref="F3730">IFERROR(INDEX(EmployeeData[Age], ROW() - 37), "")</f>
        <v/>
      </c>
      <c r="G3730" s="6" t="str" cm="1">
        <f t="array" ref="G3730">IFERROR(INDEX(EmployeeData[Join Date], ROW() - 37), "")</f>
        <v/>
      </c>
      <c r="H3730" s="6" t="str" cm="1">
        <f t="array" ref="H3730">IFERROR(IF(INDEX(EmployeeData[Exit Date], ROW() - 37)=0, "",INDEX(EmployeeData[Exit Date], ROW() - 37)),"")</f>
        <v/>
      </c>
      <c r="I3730" s="4" t="str" cm="1">
        <f t="array" ref="I3730">IFERROR(IF(INDEX(EmployeeData[Exit Reason], ROW() - 37)=0, "",INDEX(EmployeeData[Exit Reason], ROW() - 37)),"")</f>
        <v/>
      </c>
      <c r="J3730" s="4" t="str" cm="1">
        <f t="array" ref="J3730">IFERROR(INDEX(EmployeeData[Status], ROW() - 37), "")</f>
        <v/>
      </c>
    </row>
    <row r="3731" spans="2:10" ht="19.95" customHeight="1" x14ac:dyDescent="0.3">
      <c r="B3731" s="4" t="str" cm="1">
        <f t="array" ref="B3731">IFERROR(INDEX(EmployeeData[Employee ID], ROW() - 37), "")</f>
        <v/>
      </c>
      <c r="C3731" s="4" t="str" cm="1">
        <f t="array" ref="C3731">IFERROR(INDEX(EmployeeData[Full Name], ROW() - 37), "")</f>
        <v/>
      </c>
      <c r="D3731" s="4" t="str" cm="1">
        <f t="array" ref="D3731">IFERROR(INDEX(EmployeeData[Department], ROW() - 37), "")</f>
        <v/>
      </c>
      <c r="E3731" s="4" t="str" cm="1">
        <f t="array" ref="E3731">IFERROR(INDEX(EmployeeData[Gender], ROW() - 37), "")</f>
        <v/>
      </c>
      <c r="F3731" s="4" t="str" cm="1">
        <f t="array" ref="F3731">IFERROR(INDEX(EmployeeData[Age], ROW() - 37), "")</f>
        <v/>
      </c>
      <c r="G3731" s="6" t="str" cm="1">
        <f t="array" ref="G3731">IFERROR(INDEX(EmployeeData[Join Date], ROW() - 37), "")</f>
        <v/>
      </c>
      <c r="H3731" s="6" t="str" cm="1">
        <f t="array" ref="H3731">IFERROR(IF(INDEX(EmployeeData[Exit Date], ROW() - 37)=0, "",INDEX(EmployeeData[Exit Date], ROW() - 37)),"")</f>
        <v/>
      </c>
      <c r="I3731" s="4" t="str" cm="1">
        <f t="array" ref="I3731">IFERROR(IF(INDEX(EmployeeData[Exit Reason], ROW() - 37)=0, "",INDEX(EmployeeData[Exit Reason], ROW() - 37)),"")</f>
        <v/>
      </c>
      <c r="J3731" s="4" t="str" cm="1">
        <f t="array" ref="J3731">IFERROR(INDEX(EmployeeData[Status], ROW() - 37), "")</f>
        <v/>
      </c>
    </row>
    <row r="3732" spans="2:10" ht="19.95" customHeight="1" x14ac:dyDescent="0.3">
      <c r="B3732" s="4" t="str" cm="1">
        <f t="array" ref="B3732">IFERROR(INDEX(EmployeeData[Employee ID], ROW() - 37), "")</f>
        <v/>
      </c>
      <c r="C3732" s="4" t="str" cm="1">
        <f t="array" ref="C3732">IFERROR(INDEX(EmployeeData[Full Name], ROW() - 37), "")</f>
        <v/>
      </c>
      <c r="D3732" s="4" t="str" cm="1">
        <f t="array" ref="D3732">IFERROR(INDEX(EmployeeData[Department], ROW() - 37), "")</f>
        <v/>
      </c>
      <c r="E3732" s="4" t="str" cm="1">
        <f t="array" ref="E3732">IFERROR(INDEX(EmployeeData[Gender], ROW() - 37), "")</f>
        <v/>
      </c>
      <c r="F3732" s="4" t="str" cm="1">
        <f t="array" ref="F3732">IFERROR(INDEX(EmployeeData[Age], ROW() - 37), "")</f>
        <v/>
      </c>
      <c r="G3732" s="6" t="str" cm="1">
        <f t="array" ref="G3732">IFERROR(INDEX(EmployeeData[Join Date], ROW() - 37), "")</f>
        <v/>
      </c>
      <c r="H3732" s="6" t="str" cm="1">
        <f t="array" ref="H3732">IFERROR(IF(INDEX(EmployeeData[Exit Date], ROW() - 37)=0, "",INDEX(EmployeeData[Exit Date], ROW() - 37)),"")</f>
        <v/>
      </c>
      <c r="I3732" s="4" t="str" cm="1">
        <f t="array" ref="I3732">IFERROR(IF(INDEX(EmployeeData[Exit Reason], ROW() - 37)=0, "",INDEX(EmployeeData[Exit Reason], ROW() - 37)),"")</f>
        <v/>
      </c>
      <c r="J3732" s="4" t="str" cm="1">
        <f t="array" ref="J3732">IFERROR(INDEX(EmployeeData[Status], ROW() - 37), "")</f>
        <v/>
      </c>
    </row>
    <row r="3733" spans="2:10" ht="19.95" customHeight="1" x14ac:dyDescent="0.3">
      <c r="B3733" s="4" t="str" cm="1">
        <f t="array" ref="B3733">IFERROR(INDEX(EmployeeData[Employee ID], ROW() - 37), "")</f>
        <v/>
      </c>
      <c r="C3733" s="4" t="str" cm="1">
        <f t="array" ref="C3733">IFERROR(INDEX(EmployeeData[Full Name], ROW() - 37), "")</f>
        <v/>
      </c>
      <c r="D3733" s="4" t="str" cm="1">
        <f t="array" ref="D3733">IFERROR(INDEX(EmployeeData[Department], ROW() - 37), "")</f>
        <v/>
      </c>
      <c r="E3733" s="4" t="str" cm="1">
        <f t="array" ref="E3733">IFERROR(INDEX(EmployeeData[Gender], ROW() - 37), "")</f>
        <v/>
      </c>
      <c r="F3733" s="4" t="str" cm="1">
        <f t="array" ref="F3733">IFERROR(INDEX(EmployeeData[Age], ROW() - 37), "")</f>
        <v/>
      </c>
      <c r="G3733" s="6" t="str" cm="1">
        <f t="array" ref="G3733">IFERROR(INDEX(EmployeeData[Join Date], ROW() - 37), "")</f>
        <v/>
      </c>
      <c r="H3733" s="6" t="str" cm="1">
        <f t="array" ref="H3733">IFERROR(IF(INDEX(EmployeeData[Exit Date], ROW() - 37)=0, "",INDEX(EmployeeData[Exit Date], ROW() - 37)),"")</f>
        <v/>
      </c>
      <c r="I3733" s="4" t="str" cm="1">
        <f t="array" ref="I3733">IFERROR(IF(INDEX(EmployeeData[Exit Reason], ROW() - 37)=0, "",INDEX(EmployeeData[Exit Reason], ROW() - 37)),"")</f>
        <v/>
      </c>
      <c r="J3733" s="4" t="str" cm="1">
        <f t="array" ref="J3733">IFERROR(INDEX(EmployeeData[Status], ROW() - 37), "")</f>
        <v/>
      </c>
    </row>
    <row r="3734" spans="2:10" ht="19.95" customHeight="1" x14ac:dyDescent="0.3">
      <c r="B3734" s="4" t="str" cm="1">
        <f t="array" ref="B3734">IFERROR(INDEX(EmployeeData[Employee ID], ROW() - 37), "")</f>
        <v/>
      </c>
      <c r="C3734" s="4" t="str" cm="1">
        <f t="array" ref="C3734">IFERROR(INDEX(EmployeeData[Full Name], ROW() - 37), "")</f>
        <v/>
      </c>
      <c r="D3734" s="4" t="str" cm="1">
        <f t="array" ref="D3734">IFERROR(INDEX(EmployeeData[Department], ROW() - 37), "")</f>
        <v/>
      </c>
      <c r="E3734" s="4" t="str" cm="1">
        <f t="array" ref="E3734">IFERROR(INDEX(EmployeeData[Gender], ROW() - 37), "")</f>
        <v/>
      </c>
      <c r="F3734" s="4" t="str" cm="1">
        <f t="array" ref="F3734">IFERROR(INDEX(EmployeeData[Age], ROW() - 37), "")</f>
        <v/>
      </c>
      <c r="G3734" s="6" t="str" cm="1">
        <f t="array" ref="G3734">IFERROR(INDEX(EmployeeData[Join Date], ROW() - 37), "")</f>
        <v/>
      </c>
      <c r="H3734" s="6" t="str" cm="1">
        <f t="array" ref="H3734">IFERROR(IF(INDEX(EmployeeData[Exit Date], ROW() - 37)=0, "",INDEX(EmployeeData[Exit Date], ROW() - 37)),"")</f>
        <v/>
      </c>
      <c r="I3734" s="4" t="str" cm="1">
        <f t="array" ref="I3734">IFERROR(IF(INDEX(EmployeeData[Exit Reason], ROW() - 37)=0, "",INDEX(EmployeeData[Exit Reason], ROW() - 37)),"")</f>
        <v/>
      </c>
      <c r="J3734" s="4" t="str" cm="1">
        <f t="array" ref="J3734">IFERROR(INDEX(EmployeeData[Status], ROW() - 37), "")</f>
        <v/>
      </c>
    </row>
    <row r="3735" spans="2:10" ht="19.95" customHeight="1" x14ac:dyDescent="0.3">
      <c r="B3735" s="4" t="str" cm="1">
        <f t="array" ref="B3735">IFERROR(INDEX(EmployeeData[Employee ID], ROW() - 37), "")</f>
        <v/>
      </c>
      <c r="C3735" s="4" t="str" cm="1">
        <f t="array" ref="C3735">IFERROR(INDEX(EmployeeData[Full Name], ROW() - 37), "")</f>
        <v/>
      </c>
      <c r="D3735" s="4" t="str" cm="1">
        <f t="array" ref="D3735">IFERROR(INDEX(EmployeeData[Department], ROW() - 37), "")</f>
        <v/>
      </c>
      <c r="E3735" s="4" t="str" cm="1">
        <f t="array" ref="E3735">IFERROR(INDEX(EmployeeData[Gender], ROW() - 37), "")</f>
        <v/>
      </c>
      <c r="F3735" s="4" t="str" cm="1">
        <f t="array" ref="F3735">IFERROR(INDEX(EmployeeData[Age], ROW() - 37), "")</f>
        <v/>
      </c>
      <c r="G3735" s="6" t="str" cm="1">
        <f t="array" ref="G3735">IFERROR(INDEX(EmployeeData[Join Date], ROW() - 37), "")</f>
        <v/>
      </c>
      <c r="H3735" s="6" t="str" cm="1">
        <f t="array" ref="H3735">IFERROR(IF(INDEX(EmployeeData[Exit Date], ROW() - 37)=0, "",INDEX(EmployeeData[Exit Date], ROW() - 37)),"")</f>
        <v/>
      </c>
      <c r="I3735" s="4" t="str" cm="1">
        <f t="array" ref="I3735">IFERROR(IF(INDEX(EmployeeData[Exit Reason], ROW() - 37)=0, "",INDEX(EmployeeData[Exit Reason], ROW() - 37)),"")</f>
        <v/>
      </c>
      <c r="J3735" s="4" t="str" cm="1">
        <f t="array" ref="J3735">IFERROR(INDEX(EmployeeData[Status], ROW() - 37), "")</f>
        <v/>
      </c>
    </row>
    <row r="3736" spans="2:10" ht="19.95" customHeight="1" x14ac:dyDescent="0.3">
      <c r="B3736" s="4" t="str" cm="1">
        <f t="array" ref="B3736">IFERROR(INDEX(EmployeeData[Employee ID], ROW() - 37), "")</f>
        <v/>
      </c>
      <c r="C3736" s="4" t="str" cm="1">
        <f t="array" ref="C3736">IFERROR(INDEX(EmployeeData[Full Name], ROW() - 37), "")</f>
        <v/>
      </c>
      <c r="D3736" s="4" t="str" cm="1">
        <f t="array" ref="D3736">IFERROR(INDEX(EmployeeData[Department], ROW() - 37), "")</f>
        <v/>
      </c>
      <c r="E3736" s="4" t="str" cm="1">
        <f t="array" ref="E3736">IFERROR(INDEX(EmployeeData[Gender], ROW() - 37), "")</f>
        <v/>
      </c>
      <c r="F3736" s="4" t="str" cm="1">
        <f t="array" ref="F3736">IFERROR(INDEX(EmployeeData[Age], ROW() - 37), "")</f>
        <v/>
      </c>
      <c r="G3736" s="6" t="str" cm="1">
        <f t="array" ref="G3736">IFERROR(INDEX(EmployeeData[Join Date], ROW() - 37), "")</f>
        <v/>
      </c>
      <c r="H3736" s="6" t="str" cm="1">
        <f t="array" ref="H3736">IFERROR(IF(INDEX(EmployeeData[Exit Date], ROW() - 37)=0, "",INDEX(EmployeeData[Exit Date], ROW() - 37)),"")</f>
        <v/>
      </c>
      <c r="I3736" s="4" t="str" cm="1">
        <f t="array" ref="I3736">IFERROR(IF(INDEX(EmployeeData[Exit Reason], ROW() - 37)=0, "",INDEX(EmployeeData[Exit Reason], ROW() - 37)),"")</f>
        <v/>
      </c>
      <c r="J3736" s="4" t="str" cm="1">
        <f t="array" ref="J3736">IFERROR(INDEX(EmployeeData[Status], ROW() - 37), "")</f>
        <v/>
      </c>
    </row>
    <row r="3737" spans="2:10" ht="19.95" customHeight="1" x14ac:dyDescent="0.3">
      <c r="B3737" s="4" t="str" cm="1">
        <f t="array" ref="B3737">IFERROR(INDEX(EmployeeData[Employee ID], ROW() - 37), "")</f>
        <v/>
      </c>
      <c r="C3737" s="4" t="str" cm="1">
        <f t="array" ref="C3737">IFERROR(INDEX(EmployeeData[Full Name], ROW() - 37), "")</f>
        <v/>
      </c>
      <c r="D3737" s="4" t="str" cm="1">
        <f t="array" ref="D3737">IFERROR(INDEX(EmployeeData[Department], ROW() - 37), "")</f>
        <v/>
      </c>
      <c r="E3737" s="4" t="str" cm="1">
        <f t="array" ref="E3737">IFERROR(INDEX(EmployeeData[Gender], ROW() - 37), "")</f>
        <v/>
      </c>
      <c r="F3737" s="4" t="str" cm="1">
        <f t="array" ref="F3737">IFERROR(INDEX(EmployeeData[Age], ROW() - 37), "")</f>
        <v/>
      </c>
      <c r="G3737" s="6" t="str" cm="1">
        <f t="array" ref="G3737">IFERROR(INDEX(EmployeeData[Join Date], ROW() - 37), "")</f>
        <v/>
      </c>
      <c r="H3737" s="6" t="str" cm="1">
        <f t="array" ref="H3737">IFERROR(IF(INDEX(EmployeeData[Exit Date], ROW() - 37)=0, "",INDEX(EmployeeData[Exit Date], ROW() - 37)),"")</f>
        <v/>
      </c>
      <c r="I3737" s="4" t="str" cm="1">
        <f t="array" ref="I3737">IFERROR(IF(INDEX(EmployeeData[Exit Reason], ROW() - 37)=0, "",INDEX(EmployeeData[Exit Reason], ROW() - 37)),"")</f>
        <v/>
      </c>
      <c r="J3737" s="4" t="str" cm="1">
        <f t="array" ref="J3737">IFERROR(INDEX(EmployeeData[Status], ROW() - 37), "")</f>
        <v/>
      </c>
    </row>
    <row r="3738" spans="2:10" ht="19.95" customHeight="1" x14ac:dyDescent="0.3">
      <c r="B3738" s="4" t="str" cm="1">
        <f t="array" ref="B3738">IFERROR(INDEX(EmployeeData[Employee ID], ROW() - 37), "")</f>
        <v/>
      </c>
      <c r="C3738" s="4" t="str" cm="1">
        <f t="array" ref="C3738">IFERROR(INDEX(EmployeeData[Full Name], ROW() - 37), "")</f>
        <v/>
      </c>
      <c r="D3738" s="4" t="str" cm="1">
        <f t="array" ref="D3738">IFERROR(INDEX(EmployeeData[Department], ROW() - 37), "")</f>
        <v/>
      </c>
      <c r="E3738" s="4" t="str" cm="1">
        <f t="array" ref="E3738">IFERROR(INDEX(EmployeeData[Gender], ROW() - 37), "")</f>
        <v/>
      </c>
      <c r="F3738" s="4" t="str" cm="1">
        <f t="array" ref="F3738">IFERROR(INDEX(EmployeeData[Age], ROW() - 37), "")</f>
        <v/>
      </c>
      <c r="G3738" s="6" t="str" cm="1">
        <f t="array" ref="G3738">IFERROR(INDEX(EmployeeData[Join Date], ROW() - 37), "")</f>
        <v/>
      </c>
      <c r="H3738" s="6" t="str" cm="1">
        <f t="array" ref="H3738">IFERROR(IF(INDEX(EmployeeData[Exit Date], ROW() - 37)=0, "",INDEX(EmployeeData[Exit Date], ROW() - 37)),"")</f>
        <v/>
      </c>
      <c r="I3738" s="4" t="str" cm="1">
        <f t="array" ref="I3738">IFERROR(IF(INDEX(EmployeeData[Exit Reason], ROW() - 37)=0, "",INDEX(EmployeeData[Exit Reason], ROW() - 37)),"")</f>
        <v/>
      </c>
      <c r="J3738" s="4" t="str" cm="1">
        <f t="array" ref="J3738">IFERROR(INDEX(EmployeeData[Status], ROW() - 37), "")</f>
        <v/>
      </c>
    </row>
    <row r="3739" spans="2:10" ht="19.95" customHeight="1" x14ac:dyDescent="0.3">
      <c r="B3739" s="4" t="str" cm="1">
        <f t="array" ref="B3739">IFERROR(INDEX(EmployeeData[Employee ID], ROW() - 37), "")</f>
        <v/>
      </c>
      <c r="C3739" s="4" t="str" cm="1">
        <f t="array" ref="C3739">IFERROR(INDEX(EmployeeData[Full Name], ROW() - 37), "")</f>
        <v/>
      </c>
      <c r="D3739" s="4" t="str" cm="1">
        <f t="array" ref="D3739">IFERROR(INDEX(EmployeeData[Department], ROW() - 37), "")</f>
        <v/>
      </c>
      <c r="E3739" s="4" t="str" cm="1">
        <f t="array" ref="E3739">IFERROR(INDEX(EmployeeData[Gender], ROW() - 37), "")</f>
        <v/>
      </c>
      <c r="F3739" s="4" t="str" cm="1">
        <f t="array" ref="F3739">IFERROR(INDEX(EmployeeData[Age], ROW() - 37), "")</f>
        <v/>
      </c>
      <c r="G3739" s="6" t="str" cm="1">
        <f t="array" ref="G3739">IFERROR(INDEX(EmployeeData[Join Date], ROW() - 37), "")</f>
        <v/>
      </c>
      <c r="H3739" s="6" t="str" cm="1">
        <f t="array" ref="H3739">IFERROR(IF(INDEX(EmployeeData[Exit Date], ROW() - 37)=0, "",INDEX(EmployeeData[Exit Date], ROW() - 37)),"")</f>
        <v/>
      </c>
      <c r="I3739" s="4" t="str" cm="1">
        <f t="array" ref="I3739">IFERROR(IF(INDEX(EmployeeData[Exit Reason], ROW() - 37)=0, "",INDEX(EmployeeData[Exit Reason], ROW() - 37)),"")</f>
        <v/>
      </c>
      <c r="J3739" s="4" t="str" cm="1">
        <f t="array" ref="J3739">IFERROR(INDEX(EmployeeData[Status], ROW() - 37), "")</f>
        <v/>
      </c>
    </row>
    <row r="3740" spans="2:10" ht="19.95" customHeight="1" x14ac:dyDescent="0.3">
      <c r="B3740" s="4" t="str" cm="1">
        <f t="array" ref="B3740">IFERROR(INDEX(EmployeeData[Employee ID], ROW() - 37), "")</f>
        <v/>
      </c>
      <c r="C3740" s="4" t="str" cm="1">
        <f t="array" ref="C3740">IFERROR(INDEX(EmployeeData[Full Name], ROW() - 37), "")</f>
        <v/>
      </c>
      <c r="D3740" s="4" t="str" cm="1">
        <f t="array" ref="D3740">IFERROR(INDEX(EmployeeData[Department], ROW() - 37), "")</f>
        <v/>
      </c>
      <c r="E3740" s="4" t="str" cm="1">
        <f t="array" ref="E3740">IFERROR(INDEX(EmployeeData[Gender], ROW() - 37), "")</f>
        <v/>
      </c>
      <c r="F3740" s="4" t="str" cm="1">
        <f t="array" ref="F3740">IFERROR(INDEX(EmployeeData[Age], ROW() - 37), "")</f>
        <v/>
      </c>
      <c r="G3740" s="6" t="str" cm="1">
        <f t="array" ref="G3740">IFERROR(INDEX(EmployeeData[Join Date], ROW() - 37), "")</f>
        <v/>
      </c>
      <c r="H3740" s="6" t="str" cm="1">
        <f t="array" ref="H3740">IFERROR(IF(INDEX(EmployeeData[Exit Date], ROW() - 37)=0, "",INDEX(EmployeeData[Exit Date], ROW() - 37)),"")</f>
        <v/>
      </c>
      <c r="I3740" s="4" t="str" cm="1">
        <f t="array" ref="I3740">IFERROR(IF(INDEX(EmployeeData[Exit Reason], ROW() - 37)=0, "",INDEX(EmployeeData[Exit Reason], ROW() - 37)),"")</f>
        <v/>
      </c>
      <c r="J3740" s="4" t="str" cm="1">
        <f t="array" ref="J3740">IFERROR(INDEX(EmployeeData[Status], ROW() - 37), "")</f>
        <v/>
      </c>
    </row>
    <row r="3741" spans="2:10" ht="19.95" customHeight="1" x14ac:dyDescent="0.3">
      <c r="B3741" s="4" t="str" cm="1">
        <f t="array" ref="B3741">IFERROR(INDEX(EmployeeData[Employee ID], ROW() - 37), "")</f>
        <v/>
      </c>
      <c r="C3741" s="4" t="str" cm="1">
        <f t="array" ref="C3741">IFERROR(INDEX(EmployeeData[Full Name], ROW() - 37), "")</f>
        <v/>
      </c>
      <c r="D3741" s="4" t="str" cm="1">
        <f t="array" ref="D3741">IFERROR(INDEX(EmployeeData[Department], ROW() - 37), "")</f>
        <v/>
      </c>
      <c r="E3741" s="4" t="str" cm="1">
        <f t="array" ref="E3741">IFERROR(INDEX(EmployeeData[Gender], ROW() - 37), "")</f>
        <v/>
      </c>
      <c r="F3741" s="4" t="str" cm="1">
        <f t="array" ref="F3741">IFERROR(INDEX(EmployeeData[Age], ROW() - 37), "")</f>
        <v/>
      </c>
      <c r="G3741" s="6" t="str" cm="1">
        <f t="array" ref="G3741">IFERROR(INDEX(EmployeeData[Join Date], ROW() - 37), "")</f>
        <v/>
      </c>
      <c r="H3741" s="6" t="str" cm="1">
        <f t="array" ref="H3741">IFERROR(IF(INDEX(EmployeeData[Exit Date], ROW() - 37)=0, "",INDEX(EmployeeData[Exit Date], ROW() - 37)),"")</f>
        <v/>
      </c>
      <c r="I3741" s="4" t="str" cm="1">
        <f t="array" ref="I3741">IFERROR(IF(INDEX(EmployeeData[Exit Reason], ROW() - 37)=0, "",INDEX(EmployeeData[Exit Reason], ROW() - 37)),"")</f>
        <v/>
      </c>
      <c r="J3741" s="4" t="str" cm="1">
        <f t="array" ref="J3741">IFERROR(INDEX(EmployeeData[Status], ROW() - 37), "")</f>
        <v/>
      </c>
    </row>
    <row r="3742" spans="2:10" ht="19.95" customHeight="1" x14ac:dyDescent="0.3">
      <c r="B3742" s="4" t="str" cm="1">
        <f t="array" ref="B3742">IFERROR(INDEX(EmployeeData[Employee ID], ROW() - 37), "")</f>
        <v/>
      </c>
      <c r="C3742" s="4" t="str" cm="1">
        <f t="array" ref="C3742">IFERROR(INDEX(EmployeeData[Full Name], ROW() - 37), "")</f>
        <v/>
      </c>
      <c r="D3742" s="4" t="str" cm="1">
        <f t="array" ref="D3742">IFERROR(INDEX(EmployeeData[Department], ROW() - 37), "")</f>
        <v/>
      </c>
      <c r="E3742" s="4" t="str" cm="1">
        <f t="array" ref="E3742">IFERROR(INDEX(EmployeeData[Gender], ROW() - 37), "")</f>
        <v/>
      </c>
      <c r="F3742" s="4" t="str" cm="1">
        <f t="array" ref="F3742">IFERROR(INDEX(EmployeeData[Age], ROW() - 37), "")</f>
        <v/>
      </c>
      <c r="G3742" s="6" t="str" cm="1">
        <f t="array" ref="G3742">IFERROR(INDEX(EmployeeData[Join Date], ROW() - 37), "")</f>
        <v/>
      </c>
      <c r="H3742" s="6" t="str" cm="1">
        <f t="array" ref="H3742">IFERROR(IF(INDEX(EmployeeData[Exit Date], ROW() - 37)=0, "",INDEX(EmployeeData[Exit Date], ROW() - 37)),"")</f>
        <v/>
      </c>
      <c r="I3742" s="4" t="str" cm="1">
        <f t="array" ref="I3742">IFERROR(IF(INDEX(EmployeeData[Exit Reason], ROW() - 37)=0, "",INDEX(EmployeeData[Exit Reason], ROW() - 37)),"")</f>
        <v/>
      </c>
      <c r="J3742" s="4" t="str" cm="1">
        <f t="array" ref="J3742">IFERROR(INDEX(EmployeeData[Status], ROW() - 37), "")</f>
        <v/>
      </c>
    </row>
    <row r="3743" spans="2:10" ht="19.95" customHeight="1" x14ac:dyDescent="0.3">
      <c r="B3743" s="4" t="str" cm="1">
        <f t="array" ref="B3743">IFERROR(INDEX(EmployeeData[Employee ID], ROW() - 37), "")</f>
        <v/>
      </c>
      <c r="C3743" s="4" t="str" cm="1">
        <f t="array" ref="C3743">IFERROR(INDEX(EmployeeData[Full Name], ROW() - 37), "")</f>
        <v/>
      </c>
      <c r="D3743" s="4" t="str" cm="1">
        <f t="array" ref="D3743">IFERROR(INDEX(EmployeeData[Department], ROW() - 37), "")</f>
        <v/>
      </c>
      <c r="E3743" s="4" t="str" cm="1">
        <f t="array" ref="E3743">IFERROR(INDEX(EmployeeData[Gender], ROW() - 37), "")</f>
        <v/>
      </c>
      <c r="F3743" s="4" t="str" cm="1">
        <f t="array" ref="F3743">IFERROR(INDEX(EmployeeData[Age], ROW() - 37), "")</f>
        <v/>
      </c>
      <c r="G3743" s="6" t="str" cm="1">
        <f t="array" ref="G3743">IFERROR(INDEX(EmployeeData[Join Date], ROW() - 37), "")</f>
        <v/>
      </c>
      <c r="H3743" s="6" t="str" cm="1">
        <f t="array" ref="H3743">IFERROR(IF(INDEX(EmployeeData[Exit Date], ROW() - 37)=0, "",INDEX(EmployeeData[Exit Date], ROW() - 37)),"")</f>
        <v/>
      </c>
      <c r="I3743" s="4" t="str" cm="1">
        <f t="array" ref="I3743">IFERROR(IF(INDEX(EmployeeData[Exit Reason], ROW() - 37)=0, "",INDEX(EmployeeData[Exit Reason], ROW() - 37)),"")</f>
        <v/>
      </c>
      <c r="J3743" s="4" t="str" cm="1">
        <f t="array" ref="J3743">IFERROR(INDEX(EmployeeData[Status], ROW() - 37), "")</f>
        <v/>
      </c>
    </row>
    <row r="3744" spans="2:10" ht="19.95" customHeight="1" x14ac:dyDescent="0.3">
      <c r="B3744" s="4" t="str" cm="1">
        <f t="array" ref="B3744">IFERROR(INDEX(EmployeeData[Employee ID], ROW() - 37), "")</f>
        <v/>
      </c>
      <c r="C3744" s="4" t="str" cm="1">
        <f t="array" ref="C3744">IFERROR(INDEX(EmployeeData[Full Name], ROW() - 37), "")</f>
        <v/>
      </c>
      <c r="D3744" s="4" t="str" cm="1">
        <f t="array" ref="D3744">IFERROR(INDEX(EmployeeData[Department], ROW() - 37), "")</f>
        <v/>
      </c>
      <c r="E3744" s="4" t="str" cm="1">
        <f t="array" ref="E3744">IFERROR(INDEX(EmployeeData[Gender], ROW() - 37), "")</f>
        <v/>
      </c>
      <c r="F3744" s="4" t="str" cm="1">
        <f t="array" ref="F3744">IFERROR(INDEX(EmployeeData[Age], ROW() - 37), "")</f>
        <v/>
      </c>
      <c r="G3744" s="6" t="str" cm="1">
        <f t="array" ref="G3744">IFERROR(INDEX(EmployeeData[Join Date], ROW() - 37), "")</f>
        <v/>
      </c>
      <c r="H3744" s="6" t="str" cm="1">
        <f t="array" ref="H3744">IFERROR(IF(INDEX(EmployeeData[Exit Date], ROW() - 37)=0, "",INDEX(EmployeeData[Exit Date], ROW() - 37)),"")</f>
        <v/>
      </c>
      <c r="I3744" s="4" t="str" cm="1">
        <f t="array" ref="I3744">IFERROR(IF(INDEX(EmployeeData[Exit Reason], ROW() - 37)=0, "",INDEX(EmployeeData[Exit Reason], ROW() - 37)),"")</f>
        <v/>
      </c>
      <c r="J3744" s="4" t="str" cm="1">
        <f t="array" ref="J3744">IFERROR(INDEX(EmployeeData[Status], ROW() - 37), "")</f>
        <v/>
      </c>
    </row>
    <row r="3745" spans="2:10" ht="19.95" customHeight="1" x14ac:dyDescent="0.3">
      <c r="B3745" s="4" t="str" cm="1">
        <f t="array" ref="B3745">IFERROR(INDEX(EmployeeData[Employee ID], ROW() - 37), "")</f>
        <v/>
      </c>
      <c r="C3745" s="4" t="str" cm="1">
        <f t="array" ref="C3745">IFERROR(INDEX(EmployeeData[Full Name], ROW() - 37), "")</f>
        <v/>
      </c>
      <c r="D3745" s="4" t="str" cm="1">
        <f t="array" ref="D3745">IFERROR(INDEX(EmployeeData[Department], ROW() - 37), "")</f>
        <v/>
      </c>
      <c r="E3745" s="4" t="str" cm="1">
        <f t="array" ref="E3745">IFERROR(INDEX(EmployeeData[Gender], ROW() - 37), "")</f>
        <v/>
      </c>
      <c r="F3745" s="4" t="str" cm="1">
        <f t="array" ref="F3745">IFERROR(INDEX(EmployeeData[Age], ROW() - 37), "")</f>
        <v/>
      </c>
      <c r="G3745" s="6" t="str" cm="1">
        <f t="array" ref="G3745">IFERROR(INDEX(EmployeeData[Join Date], ROW() - 37), "")</f>
        <v/>
      </c>
      <c r="H3745" s="6" t="str" cm="1">
        <f t="array" ref="H3745">IFERROR(IF(INDEX(EmployeeData[Exit Date], ROW() - 37)=0, "",INDEX(EmployeeData[Exit Date], ROW() - 37)),"")</f>
        <v/>
      </c>
      <c r="I3745" s="4" t="str" cm="1">
        <f t="array" ref="I3745">IFERROR(IF(INDEX(EmployeeData[Exit Reason], ROW() - 37)=0, "",INDEX(EmployeeData[Exit Reason], ROW() - 37)),"")</f>
        <v/>
      </c>
      <c r="J3745" s="4" t="str" cm="1">
        <f t="array" ref="J3745">IFERROR(INDEX(EmployeeData[Status], ROW() - 37), "")</f>
        <v/>
      </c>
    </row>
    <row r="3746" spans="2:10" ht="19.95" customHeight="1" x14ac:dyDescent="0.3">
      <c r="B3746" s="4" t="str" cm="1">
        <f t="array" ref="B3746">IFERROR(INDEX(EmployeeData[Employee ID], ROW() - 37), "")</f>
        <v/>
      </c>
      <c r="C3746" s="4" t="str" cm="1">
        <f t="array" ref="C3746">IFERROR(INDEX(EmployeeData[Full Name], ROW() - 37), "")</f>
        <v/>
      </c>
      <c r="D3746" s="4" t="str" cm="1">
        <f t="array" ref="D3746">IFERROR(INDEX(EmployeeData[Department], ROW() - 37), "")</f>
        <v/>
      </c>
      <c r="E3746" s="4" t="str" cm="1">
        <f t="array" ref="E3746">IFERROR(INDEX(EmployeeData[Gender], ROW() - 37), "")</f>
        <v/>
      </c>
      <c r="F3746" s="4" t="str" cm="1">
        <f t="array" ref="F3746">IFERROR(INDEX(EmployeeData[Age], ROW() - 37), "")</f>
        <v/>
      </c>
      <c r="G3746" s="6" t="str" cm="1">
        <f t="array" ref="G3746">IFERROR(INDEX(EmployeeData[Join Date], ROW() - 37), "")</f>
        <v/>
      </c>
      <c r="H3746" s="6" t="str" cm="1">
        <f t="array" ref="H3746">IFERROR(IF(INDEX(EmployeeData[Exit Date], ROW() - 37)=0, "",INDEX(EmployeeData[Exit Date], ROW() - 37)),"")</f>
        <v/>
      </c>
      <c r="I3746" s="4" t="str" cm="1">
        <f t="array" ref="I3746">IFERROR(IF(INDEX(EmployeeData[Exit Reason], ROW() - 37)=0, "",INDEX(EmployeeData[Exit Reason], ROW() - 37)),"")</f>
        <v/>
      </c>
      <c r="J3746" s="4" t="str" cm="1">
        <f t="array" ref="J3746">IFERROR(INDEX(EmployeeData[Status], ROW() - 37), "")</f>
        <v/>
      </c>
    </row>
    <row r="3747" spans="2:10" ht="19.95" customHeight="1" x14ac:dyDescent="0.3">
      <c r="B3747" s="4" t="str" cm="1">
        <f t="array" ref="B3747">IFERROR(INDEX(EmployeeData[Employee ID], ROW() - 37), "")</f>
        <v/>
      </c>
      <c r="C3747" s="4" t="str" cm="1">
        <f t="array" ref="C3747">IFERROR(INDEX(EmployeeData[Full Name], ROW() - 37), "")</f>
        <v/>
      </c>
      <c r="D3747" s="4" t="str" cm="1">
        <f t="array" ref="D3747">IFERROR(INDEX(EmployeeData[Department], ROW() - 37), "")</f>
        <v/>
      </c>
      <c r="E3747" s="4" t="str" cm="1">
        <f t="array" ref="E3747">IFERROR(INDEX(EmployeeData[Gender], ROW() - 37), "")</f>
        <v/>
      </c>
      <c r="F3747" s="4" t="str" cm="1">
        <f t="array" ref="F3747">IFERROR(INDEX(EmployeeData[Age], ROW() - 37), "")</f>
        <v/>
      </c>
      <c r="G3747" s="6" t="str" cm="1">
        <f t="array" ref="G3747">IFERROR(INDEX(EmployeeData[Join Date], ROW() - 37), "")</f>
        <v/>
      </c>
      <c r="H3747" s="6" t="str" cm="1">
        <f t="array" ref="H3747">IFERROR(IF(INDEX(EmployeeData[Exit Date], ROW() - 37)=0, "",INDEX(EmployeeData[Exit Date], ROW() - 37)),"")</f>
        <v/>
      </c>
      <c r="I3747" s="4" t="str" cm="1">
        <f t="array" ref="I3747">IFERROR(IF(INDEX(EmployeeData[Exit Reason], ROW() - 37)=0, "",INDEX(EmployeeData[Exit Reason], ROW() - 37)),"")</f>
        <v/>
      </c>
      <c r="J3747" s="4" t="str" cm="1">
        <f t="array" ref="J3747">IFERROR(INDEX(EmployeeData[Status], ROW() - 37), "")</f>
        <v/>
      </c>
    </row>
    <row r="3748" spans="2:10" ht="19.95" customHeight="1" x14ac:dyDescent="0.3">
      <c r="B3748" s="4" t="str" cm="1">
        <f t="array" ref="B3748">IFERROR(INDEX(EmployeeData[Employee ID], ROW() - 37), "")</f>
        <v/>
      </c>
      <c r="C3748" s="4" t="str" cm="1">
        <f t="array" ref="C3748">IFERROR(INDEX(EmployeeData[Full Name], ROW() - 37), "")</f>
        <v/>
      </c>
      <c r="D3748" s="4" t="str" cm="1">
        <f t="array" ref="D3748">IFERROR(INDEX(EmployeeData[Department], ROW() - 37), "")</f>
        <v/>
      </c>
      <c r="E3748" s="4" t="str" cm="1">
        <f t="array" ref="E3748">IFERROR(INDEX(EmployeeData[Gender], ROW() - 37), "")</f>
        <v/>
      </c>
      <c r="F3748" s="4" t="str" cm="1">
        <f t="array" ref="F3748">IFERROR(INDEX(EmployeeData[Age], ROW() - 37), "")</f>
        <v/>
      </c>
      <c r="G3748" s="6" t="str" cm="1">
        <f t="array" ref="G3748">IFERROR(INDEX(EmployeeData[Join Date], ROW() - 37), "")</f>
        <v/>
      </c>
      <c r="H3748" s="6" t="str" cm="1">
        <f t="array" ref="H3748">IFERROR(IF(INDEX(EmployeeData[Exit Date], ROW() - 37)=0, "",INDEX(EmployeeData[Exit Date], ROW() - 37)),"")</f>
        <v/>
      </c>
      <c r="I3748" s="4" t="str" cm="1">
        <f t="array" ref="I3748">IFERROR(IF(INDEX(EmployeeData[Exit Reason], ROW() - 37)=0, "",INDEX(EmployeeData[Exit Reason], ROW() - 37)),"")</f>
        <v/>
      </c>
      <c r="J3748" s="4" t="str" cm="1">
        <f t="array" ref="J3748">IFERROR(INDEX(EmployeeData[Status], ROW() - 37), "")</f>
        <v/>
      </c>
    </row>
    <row r="3749" spans="2:10" ht="19.95" customHeight="1" x14ac:dyDescent="0.3">
      <c r="B3749" s="4" t="str" cm="1">
        <f t="array" ref="B3749">IFERROR(INDEX(EmployeeData[Employee ID], ROW() - 37), "")</f>
        <v/>
      </c>
      <c r="C3749" s="4" t="str" cm="1">
        <f t="array" ref="C3749">IFERROR(INDEX(EmployeeData[Full Name], ROW() - 37), "")</f>
        <v/>
      </c>
      <c r="D3749" s="4" t="str" cm="1">
        <f t="array" ref="D3749">IFERROR(INDEX(EmployeeData[Department], ROW() - 37), "")</f>
        <v/>
      </c>
      <c r="E3749" s="4" t="str" cm="1">
        <f t="array" ref="E3749">IFERROR(INDEX(EmployeeData[Gender], ROW() - 37), "")</f>
        <v/>
      </c>
      <c r="F3749" s="4" t="str" cm="1">
        <f t="array" ref="F3749">IFERROR(INDEX(EmployeeData[Age], ROW() - 37), "")</f>
        <v/>
      </c>
      <c r="G3749" s="6" t="str" cm="1">
        <f t="array" ref="G3749">IFERROR(INDEX(EmployeeData[Join Date], ROW() - 37), "")</f>
        <v/>
      </c>
      <c r="H3749" s="6" t="str" cm="1">
        <f t="array" ref="H3749">IFERROR(IF(INDEX(EmployeeData[Exit Date], ROW() - 37)=0, "",INDEX(EmployeeData[Exit Date], ROW() - 37)),"")</f>
        <v/>
      </c>
      <c r="I3749" s="4" t="str" cm="1">
        <f t="array" ref="I3749">IFERROR(IF(INDEX(EmployeeData[Exit Reason], ROW() - 37)=0, "",INDEX(EmployeeData[Exit Reason], ROW() - 37)),"")</f>
        <v/>
      </c>
      <c r="J3749" s="4" t="str" cm="1">
        <f t="array" ref="J3749">IFERROR(INDEX(EmployeeData[Status], ROW() - 37), "")</f>
        <v/>
      </c>
    </row>
    <row r="3750" spans="2:10" ht="19.95" customHeight="1" x14ac:dyDescent="0.3">
      <c r="B3750" s="4" t="str" cm="1">
        <f t="array" ref="B3750">IFERROR(INDEX(EmployeeData[Employee ID], ROW() - 37), "")</f>
        <v/>
      </c>
      <c r="C3750" s="4" t="str" cm="1">
        <f t="array" ref="C3750">IFERROR(INDEX(EmployeeData[Full Name], ROW() - 37), "")</f>
        <v/>
      </c>
      <c r="D3750" s="4" t="str" cm="1">
        <f t="array" ref="D3750">IFERROR(INDEX(EmployeeData[Department], ROW() - 37), "")</f>
        <v/>
      </c>
      <c r="E3750" s="4" t="str" cm="1">
        <f t="array" ref="E3750">IFERROR(INDEX(EmployeeData[Gender], ROW() - 37), "")</f>
        <v/>
      </c>
      <c r="F3750" s="4" t="str" cm="1">
        <f t="array" ref="F3750">IFERROR(INDEX(EmployeeData[Age], ROW() - 37), "")</f>
        <v/>
      </c>
      <c r="G3750" s="6" t="str" cm="1">
        <f t="array" ref="G3750">IFERROR(INDEX(EmployeeData[Join Date], ROW() - 37), "")</f>
        <v/>
      </c>
      <c r="H3750" s="6" t="str" cm="1">
        <f t="array" ref="H3750">IFERROR(IF(INDEX(EmployeeData[Exit Date], ROW() - 37)=0, "",INDEX(EmployeeData[Exit Date], ROW() - 37)),"")</f>
        <v/>
      </c>
      <c r="I3750" s="4" t="str" cm="1">
        <f t="array" ref="I3750">IFERROR(IF(INDEX(EmployeeData[Exit Reason], ROW() - 37)=0, "",INDEX(EmployeeData[Exit Reason], ROW() - 37)),"")</f>
        <v/>
      </c>
      <c r="J3750" s="4" t="str" cm="1">
        <f t="array" ref="J3750">IFERROR(INDEX(EmployeeData[Status], ROW() - 37), "")</f>
        <v/>
      </c>
    </row>
    <row r="3751" spans="2:10" ht="19.95" customHeight="1" x14ac:dyDescent="0.3">
      <c r="B3751" s="4" t="str" cm="1">
        <f t="array" ref="B3751">IFERROR(INDEX(EmployeeData[Employee ID], ROW() - 37), "")</f>
        <v/>
      </c>
      <c r="C3751" s="4" t="str" cm="1">
        <f t="array" ref="C3751">IFERROR(INDEX(EmployeeData[Full Name], ROW() - 37), "")</f>
        <v/>
      </c>
      <c r="D3751" s="4" t="str" cm="1">
        <f t="array" ref="D3751">IFERROR(INDEX(EmployeeData[Department], ROW() - 37), "")</f>
        <v/>
      </c>
      <c r="E3751" s="4" t="str" cm="1">
        <f t="array" ref="E3751">IFERROR(INDEX(EmployeeData[Gender], ROW() - 37), "")</f>
        <v/>
      </c>
      <c r="F3751" s="4" t="str" cm="1">
        <f t="array" ref="F3751">IFERROR(INDEX(EmployeeData[Age], ROW() - 37), "")</f>
        <v/>
      </c>
      <c r="G3751" s="6" t="str" cm="1">
        <f t="array" ref="G3751">IFERROR(INDEX(EmployeeData[Join Date], ROW() - 37), "")</f>
        <v/>
      </c>
      <c r="H3751" s="6" t="str" cm="1">
        <f t="array" ref="H3751">IFERROR(IF(INDEX(EmployeeData[Exit Date], ROW() - 37)=0, "",INDEX(EmployeeData[Exit Date], ROW() - 37)),"")</f>
        <v/>
      </c>
      <c r="I3751" s="4" t="str" cm="1">
        <f t="array" ref="I3751">IFERROR(IF(INDEX(EmployeeData[Exit Reason], ROW() - 37)=0, "",INDEX(EmployeeData[Exit Reason], ROW() - 37)),"")</f>
        <v/>
      </c>
      <c r="J3751" s="4" t="str" cm="1">
        <f t="array" ref="J3751">IFERROR(INDEX(EmployeeData[Status], ROW() - 37), "")</f>
        <v/>
      </c>
    </row>
    <row r="3752" spans="2:10" ht="19.95" customHeight="1" x14ac:dyDescent="0.3">
      <c r="B3752" s="4" t="str" cm="1">
        <f t="array" ref="B3752">IFERROR(INDEX(EmployeeData[Employee ID], ROW() - 37), "")</f>
        <v/>
      </c>
      <c r="C3752" s="4" t="str" cm="1">
        <f t="array" ref="C3752">IFERROR(INDEX(EmployeeData[Full Name], ROW() - 37), "")</f>
        <v/>
      </c>
      <c r="D3752" s="4" t="str" cm="1">
        <f t="array" ref="D3752">IFERROR(INDEX(EmployeeData[Department], ROW() - 37), "")</f>
        <v/>
      </c>
      <c r="E3752" s="4" t="str" cm="1">
        <f t="array" ref="E3752">IFERROR(INDEX(EmployeeData[Gender], ROW() - 37), "")</f>
        <v/>
      </c>
      <c r="F3752" s="4" t="str" cm="1">
        <f t="array" ref="F3752">IFERROR(INDEX(EmployeeData[Age], ROW() - 37), "")</f>
        <v/>
      </c>
      <c r="G3752" s="6" t="str" cm="1">
        <f t="array" ref="G3752">IFERROR(INDEX(EmployeeData[Join Date], ROW() - 37), "")</f>
        <v/>
      </c>
      <c r="H3752" s="6" t="str" cm="1">
        <f t="array" ref="H3752">IFERROR(IF(INDEX(EmployeeData[Exit Date], ROW() - 37)=0, "",INDEX(EmployeeData[Exit Date], ROW() - 37)),"")</f>
        <v/>
      </c>
      <c r="I3752" s="4" t="str" cm="1">
        <f t="array" ref="I3752">IFERROR(IF(INDEX(EmployeeData[Exit Reason], ROW() - 37)=0, "",INDEX(EmployeeData[Exit Reason], ROW() - 37)),"")</f>
        <v/>
      </c>
      <c r="J3752" s="4" t="str" cm="1">
        <f t="array" ref="J3752">IFERROR(INDEX(EmployeeData[Status], ROW() - 37), "")</f>
        <v/>
      </c>
    </row>
    <row r="3753" spans="2:10" ht="19.95" customHeight="1" x14ac:dyDescent="0.3">
      <c r="B3753" s="4" t="str" cm="1">
        <f t="array" ref="B3753">IFERROR(INDEX(EmployeeData[Employee ID], ROW() - 37), "")</f>
        <v/>
      </c>
      <c r="C3753" s="4" t="str" cm="1">
        <f t="array" ref="C3753">IFERROR(INDEX(EmployeeData[Full Name], ROW() - 37), "")</f>
        <v/>
      </c>
      <c r="D3753" s="4" t="str" cm="1">
        <f t="array" ref="D3753">IFERROR(INDEX(EmployeeData[Department], ROW() - 37), "")</f>
        <v/>
      </c>
      <c r="E3753" s="4" t="str" cm="1">
        <f t="array" ref="E3753">IFERROR(INDEX(EmployeeData[Gender], ROW() - 37), "")</f>
        <v/>
      </c>
      <c r="F3753" s="4" t="str" cm="1">
        <f t="array" ref="F3753">IFERROR(INDEX(EmployeeData[Age], ROW() - 37), "")</f>
        <v/>
      </c>
      <c r="G3753" s="6" t="str" cm="1">
        <f t="array" ref="G3753">IFERROR(INDEX(EmployeeData[Join Date], ROW() - 37), "")</f>
        <v/>
      </c>
      <c r="H3753" s="6" t="str" cm="1">
        <f t="array" ref="H3753">IFERROR(IF(INDEX(EmployeeData[Exit Date], ROW() - 37)=0, "",INDEX(EmployeeData[Exit Date], ROW() - 37)),"")</f>
        <v/>
      </c>
      <c r="I3753" s="4" t="str" cm="1">
        <f t="array" ref="I3753">IFERROR(IF(INDEX(EmployeeData[Exit Reason], ROW() - 37)=0, "",INDEX(EmployeeData[Exit Reason], ROW() - 37)),"")</f>
        <v/>
      </c>
      <c r="J3753" s="4" t="str" cm="1">
        <f t="array" ref="J3753">IFERROR(INDEX(EmployeeData[Status], ROW() - 37), "")</f>
        <v/>
      </c>
    </row>
    <row r="3754" spans="2:10" ht="19.95" customHeight="1" x14ac:dyDescent="0.3">
      <c r="B3754" s="4" t="str" cm="1">
        <f t="array" ref="B3754">IFERROR(INDEX(EmployeeData[Employee ID], ROW() - 37), "")</f>
        <v/>
      </c>
      <c r="C3754" s="4" t="str" cm="1">
        <f t="array" ref="C3754">IFERROR(INDEX(EmployeeData[Full Name], ROW() - 37), "")</f>
        <v/>
      </c>
      <c r="D3754" s="4" t="str" cm="1">
        <f t="array" ref="D3754">IFERROR(INDEX(EmployeeData[Department], ROW() - 37), "")</f>
        <v/>
      </c>
      <c r="E3754" s="4" t="str" cm="1">
        <f t="array" ref="E3754">IFERROR(INDEX(EmployeeData[Gender], ROW() - 37), "")</f>
        <v/>
      </c>
      <c r="F3754" s="4" t="str" cm="1">
        <f t="array" ref="F3754">IFERROR(INDEX(EmployeeData[Age], ROW() - 37), "")</f>
        <v/>
      </c>
      <c r="G3754" s="6" t="str" cm="1">
        <f t="array" ref="G3754">IFERROR(INDEX(EmployeeData[Join Date], ROW() - 37), "")</f>
        <v/>
      </c>
      <c r="H3754" s="6" t="str" cm="1">
        <f t="array" ref="H3754">IFERROR(IF(INDEX(EmployeeData[Exit Date], ROW() - 37)=0, "",INDEX(EmployeeData[Exit Date], ROW() - 37)),"")</f>
        <v/>
      </c>
      <c r="I3754" s="4" t="str" cm="1">
        <f t="array" ref="I3754">IFERROR(IF(INDEX(EmployeeData[Exit Reason], ROW() - 37)=0, "",INDEX(EmployeeData[Exit Reason], ROW() - 37)),"")</f>
        <v/>
      </c>
      <c r="J3754" s="4" t="str" cm="1">
        <f t="array" ref="J3754">IFERROR(INDEX(EmployeeData[Status], ROW() - 37), "")</f>
        <v/>
      </c>
    </row>
    <row r="3755" spans="2:10" ht="19.95" customHeight="1" x14ac:dyDescent="0.3">
      <c r="B3755" s="4" t="str" cm="1">
        <f t="array" ref="B3755">IFERROR(INDEX(EmployeeData[Employee ID], ROW() - 37), "")</f>
        <v/>
      </c>
      <c r="C3755" s="4" t="str" cm="1">
        <f t="array" ref="C3755">IFERROR(INDEX(EmployeeData[Full Name], ROW() - 37), "")</f>
        <v/>
      </c>
      <c r="D3755" s="4" t="str" cm="1">
        <f t="array" ref="D3755">IFERROR(INDEX(EmployeeData[Department], ROW() - 37), "")</f>
        <v/>
      </c>
      <c r="E3755" s="4" t="str" cm="1">
        <f t="array" ref="E3755">IFERROR(INDEX(EmployeeData[Gender], ROW() - 37), "")</f>
        <v/>
      </c>
      <c r="F3755" s="4" t="str" cm="1">
        <f t="array" ref="F3755">IFERROR(INDEX(EmployeeData[Age], ROW() - 37), "")</f>
        <v/>
      </c>
      <c r="G3755" s="6" t="str" cm="1">
        <f t="array" ref="G3755">IFERROR(INDEX(EmployeeData[Join Date], ROW() - 37), "")</f>
        <v/>
      </c>
      <c r="H3755" s="6" t="str" cm="1">
        <f t="array" ref="H3755">IFERROR(IF(INDEX(EmployeeData[Exit Date], ROW() - 37)=0, "",INDEX(EmployeeData[Exit Date], ROW() - 37)),"")</f>
        <v/>
      </c>
      <c r="I3755" s="4" t="str" cm="1">
        <f t="array" ref="I3755">IFERROR(IF(INDEX(EmployeeData[Exit Reason], ROW() - 37)=0, "",INDEX(EmployeeData[Exit Reason], ROW() - 37)),"")</f>
        <v/>
      </c>
      <c r="J3755" s="4" t="str" cm="1">
        <f t="array" ref="J3755">IFERROR(INDEX(EmployeeData[Status], ROW() - 37), "")</f>
        <v/>
      </c>
    </row>
    <row r="3756" spans="2:10" ht="19.95" customHeight="1" x14ac:dyDescent="0.3">
      <c r="B3756" s="4" t="str" cm="1">
        <f t="array" ref="B3756">IFERROR(INDEX(EmployeeData[Employee ID], ROW() - 37), "")</f>
        <v/>
      </c>
      <c r="C3756" s="4" t="str" cm="1">
        <f t="array" ref="C3756">IFERROR(INDEX(EmployeeData[Full Name], ROW() - 37), "")</f>
        <v/>
      </c>
      <c r="D3756" s="4" t="str" cm="1">
        <f t="array" ref="D3756">IFERROR(INDEX(EmployeeData[Department], ROW() - 37), "")</f>
        <v/>
      </c>
      <c r="E3756" s="4" t="str" cm="1">
        <f t="array" ref="E3756">IFERROR(INDEX(EmployeeData[Gender], ROW() - 37), "")</f>
        <v/>
      </c>
      <c r="F3756" s="4" t="str" cm="1">
        <f t="array" ref="F3756">IFERROR(INDEX(EmployeeData[Age], ROW() - 37), "")</f>
        <v/>
      </c>
      <c r="G3756" s="6" t="str" cm="1">
        <f t="array" ref="G3756">IFERROR(INDEX(EmployeeData[Join Date], ROW() - 37), "")</f>
        <v/>
      </c>
      <c r="H3756" s="6" t="str" cm="1">
        <f t="array" ref="H3756">IFERROR(IF(INDEX(EmployeeData[Exit Date], ROW() - 37)=0, "",INDEX(EmployeeData[Exit Date], ROW() - 37)),"")</f>
        <v/>
      </c>
      <c r="I3756" s="4" t="str" cm="1">
        <f t="array" ref="I3756">IFERROR(IF(INDEX(EmployeeData[Exit Reason], ROW() - 37)=0, "",INDEX(EmployeeData[Exit Reason], ROW() - 37)),"")</f>
        <v/>
      </c>
      <c r="J3756" s="4" t="str" cm="1">
        <f t="array" ref="J3756">IFERROR(INDEX(EmployeeData[Status], ROW() - 37), "")</f>
        <v/>
      </c>
    </row>
    <row r="3757" spans="2:10" ht="19.95" customHeight="1" x14ac:dyDescent="0.3">
      <c r="B3757" s="4" t="str" cm="1">
        <f t="array" ref="B3757">IFERROR(INDEX(EmployeeData[Employee ID], ROW() - 37), "")</f>
        <v/>
      </c>
      <c r="C3757" s="4" t="str" cm="1">
        <f t="array" ref="C3757">IFERROR(INDEX(EmployeeData[Full Name], ROW() - 37), "")</f>
        <v/>
      </c>
      <c r="D3757" s="4" t="str" cm="1">
        <f t="array" ref="D3757">IFERROR(INDEX(EmployeeData[Department], ROW() - 37), "")</f>
        <v/>
      </c>
      <c r="E3757" s="4" t="str" cm="1">
        <f t="array" ref="E3757">IFERROR(INDEX(EmployeeData[Gender], ROW() - 37), "")</f>
        <v/>
      </c>
      <c r="F3757" s="4" t="str" cm="1">
        <f t="array" ref="F3757">IFERROR(INDEX(EmployeeData[Age], ROW() - 37), "")</f>
        <v/>
      </c>
      <c r="G3757" s="6" t="str" cm="1">
        <f t="array" ref="G3757">IFERROR(INDEX(EmployeeData[Join Date], ROW() - 37), "")</f>
        <v/>
      </c>
      <c r="H3757" s="6" t="str" cm="1">
        <f t="array" ref="H3757">IFERROR(IF(INDEX(EmployeeData[Exit Date], ROW() - 37)=0, "",INDEX(EmployeeData[Exit Date], ROW() - 37)),"")</f>
        <v/>
      </c>
      <c r="I3757" s="4" t="str" cm="1">
        <f t="array" ref="I3757">IFERROR(IF(INDEX(EmployeeData[Exit Reason], ROW() - 37)=0, "",INDEX(EmployeeData[Exit Reason], ROW() - 37)),"")</f>
        <v/>
      </c>
      <c r="J3757" s="4" t="str" cm="1">
        <f t="array" ref="J3757">IFERROR(INDEX(EmployeeData[Status], ROW() - 37), "")</f>
        <v/>
      </c>
    </row>
    <row r="3758" spans="2:10" ht="19.95" customHeight="1" x14ac:dyDescent="0.3">
      <c r="B3758" s="4" t="str" cm="1">
        <f t="array" ref="B3758">IFERROR(INDEX(EmployeeData[Employee ID], ROW() - 37), "")</f>
        <v/>
      </c>
      <c r="C3758" s="4" t="str" cm="1">
        <f t="array" ref="C3758">IFERROR(INDEX(EmployeeData[Full Name], ROW() - 37), "")</f>
        <v/>
      </c>
      <c r="D3758" s="4" t="str" cm="1">
        <f t="array" ref="D3758">IFERROR(INDEX(EmployeeData[Department], ROW() - 37), "")</f>
        <v/>
      </c>
      <c r="E3758" s="4" t="str" cm="1">
        <f t="array" ref="E3758">IFERROR(INDEX(EmployeeData[Gender], ROW() - 37), "")</f>
        <v/>
      </c>
      <c r="F3758" s="4" t="str" cm="1">
        <f t="array" ref="F3758">IFERROR(INDEX(EmployeeData[Age], ROW() - 37), "")</f>
        <v/>
      </c>
      <c r="G3758" s="6" t="str" cm="1">
        <f t="array" ref="G3758">IFERROR(INDEX(EmployeeData[Join Date], ROW() - 37), "")</f>
        <v/>
      </c>
      <c r="H3758" s="6" t="str" cm="1">
        <f t="array" ref="H3758">IFERROR(IF(INDEX(EmployeeData[Exit Date], ROW() - 37)=0, "",INDEX(EmployeeData[Exit Date], ROW() - 37)),"")</f>
        <v/>
      </c>
      <c r="I3758" s="4" t="str" cm="1">
        <f t="array" ref="I3758">IFERROR(IF(INDEX(EmployeeData[Exit Reason], ROW() - 37)=0, "",INDEX(EmployeeData[Exit Reason], ROW() - 37)),"")</f>
        <v/>
      </c>
      <c r="J3758" s="4" t="str" cm="1">
        <f t="array" ref="J3758">IFERROR(INDEX(EmployeeData[Status], ROW() - 37), "")</f>
        <v/>
      </c>
    </row>
    <row r="3759" spans="2:10" ht="19.95" customHeight="1" x14ac:dyDescent="0.3">
      <c r="B3759" s="4" t="str" cm="1">
        <f t="array" ref="B3759">IFERROR(INDEX(EmployeeData[Employee ID], ROW() - 37), "")</f>
        <v/>
      </c>
      <c r="C3759" s="4" t="str" cm="1">
        <f t="array" ref="C3759">IFERROR(INDEX(EmployeeData[Full Name], ROW() - 37), "")</f>
        <v/>
      </c>
      <c r="D3759" s="4" t="str" cm="1">
        <f t="array" ref="D3759">IFERROR(INDEX(EmployeeData[Department], ROW() - 37), "")</f>
        <v/>
      </c>
      <c r="E3759" s="4" t="str" cm="1">
        <f t="array" ref="E3759">IFERROR(INDEX(EmployeeData[Gender], ROW() - 37), "")</f>
        <v/>
      </c>
      <c r="F3759" s="4" t="str" cm="1">
        <f t="array" ref="F3759">IFERROR(INDEX(EmployeeData[Age], ROW() - 37), "")</f>
        <v/>
      </c>
      <c r="G3759" s="6" t="str" cm="1">
        <f t="array" ref="G3759">IFERROR(INDEX(EmployeeData[Join Date], ROW() - 37), "")</f>
        <v/>
      </c>
      <c r="H3759" s="6" t="str" cm="1">
        <f t="array" ref="H3759">IFERROR(IF(INDEX(EmployeeData[Exit Date], ROW() - 37)=0, "",INDEX(EmployeeData[Exit Date], ROW() - 37)),"")</f>
        <v/>
      </c>
      <c r="I3759" s="4" t="str" cm="1">
        <f t="array" ref="I3759">IFERROR(IF(INDEX(EmployeeData[Exit Reason], ROW() - 37)=0, "",INDEX(EmployeeData[Exit Reason], ROW() - 37)),"")</f>
        <v/>
      </c>
      <c r="J3759" s="4" t="str" cm="1">
        <f t="array" ref="J3759">IFERROR(INDEX(EmployeeData[Status], ROW() - 37), "")</f>
        <v/>
      </c>
    </row>
    <row r="3760" spans="2:10" ht="19.95" customHeight="1" x14ac:dyDescent="0.3">
      <c r="B3760" s="4" t="str" cm="1">
        <f t="array" ref="B3760">IFERROR(INDEX(EmployeeData[Employee ID], ROW() - 37), "")</f>
        <v/>
      </c>
      <c r="C3760" s="4" t="str" cm="1">
        <f t="array" ref="C3760">IFERROR(INDEX(EmployeeData[Full Name], ROW() - 37), "")</f>
        <v/>
      </c>
      <c r="D3760" s="4" t="str" cm="1">
        <f t="array" ref="D3760">IFERROR(INDEX(EmployeeData[Department], ROW() - 37), "")</f>
        <v/>
      </c>
      <c r="E3760" s="4" t="str" cm="1">
        <f t="array" ref="E3760">IFERROR(INDEX(EmployeeData[Gender], ROW() - 37), "")</f>
        <v/>
      </c>
      <c r="F3760" s="4" t="str" cm="1">
        <f t="array" ref="F3760">IFERROR(INDEX(EmployeeData[Age], ROW() - 37), "")</f>
        <v/>
      </c>
      <c r="G3760" s="6" t="str" cm="1">
        <f t="array" ref="G3760">IFERROR(INDEX(EmployeeData[Join Date], ROW() - 37), "")</f>
        <v/>
      </c>
      <c r="H3760" s="6" t="str" cm="1">
        <f t="array" ref="H3760">IFERROR(IF(INDEX(EmployeeData[Exit Date], ROW() - 37)=0, "",INDEX(EmployeeData[Exit Date], ROW() - 37)),"")</f>
        <v/>
      </c>
      <c r="I3760" s="4" t="str" cm="1">
        <f t="array" ref="I3760">IFERROR(IF(INDEX(EmployeeData[Exit Reason], ROW() - 37)=0, "",INDEX(EmployeeData[Exit Reason], ROW() - 37)),"")</f>
        <v/>
      </c>
      <c r="J3760" s="4" t="str" cm="1">
        <f t="array" ref="J3760">IFERROR(INDEX(EmployeeData[Status], ROW() - 37), "")</f>
        <v/>
      </c>
    </row>
    <row r="3761" spans="2:10" ht="19.95" customHeight="1" x14ac:dyDescent="0.3">
      <c r="B3761" s="4" t="str" cm="1">
        <f t="array" ref="B3761">IFERROR(INDEX(EmployeeData[Employee ID], ROW() - 37), "")</f>
        <v/>
      </c>
      <c r="C3761" s="4" t="str" cm="1">
        <f t="array" ref="C3761">IFERROR(INDEX(EmployeeData[Full Name], ROW() - 37), "")</f>
        <v/>
      </c>
      <c r="D3761" s="4" t="str" cm="1">
        <f t="array" ref="D3761">IFERROR(INDEX(EmployeeData[Department], ROW() - 37), "")</f>
        <v/>
      </c>
      <c r="E3761" s="4" t="str" cm="1">
        <f t="array" ref="E3761">IFERROR(INDEX(EmployeeData[Gender], ROW() - 37), "")</f>
        <v/>
      </c>
      <c r="F3761" s="4" t="str" cm="1">
        <f t="array" ref="F3761">IFERROR(INDEX(EmployeeData[Age], ROW() - 37), "")</f>
        <v/>
      </c>
      <c r="G3761" s="6" t="str" cm="1">
        <f t="array" ref="G3761">IFERROR(INDEX(EmployeeData[Join Date], ROW() - 37), "")</f>
        <v/>
      </c>
      <c r="H3761" s="6" t="str" cm="1">
        <f t="array" ref="H3761">IFERROR(IF(INDEX(EmployeeData[Exit Date], ROW() - 37)=0, "",INDEX(EmployeeData[Exit Date], ROW() - 37)),"")</f>
        <v/>
      </c>
      <c r="I3761" s="4" t="str" cm="1">
        <f t="array" ref="I3761">IFERROR(IF(INDEX(EmployeeData[Exit Reason], ROW() - 37)=0, "",INDEX(EmployeeData[Exit Reason], ROW() - 37)),"")</f>
        <v/>
      </c>
      <c r="J3761" s="4" t="str" cm="1">
        <f t="array" ref="J3761">IFERROR(INDEX(EmployeeData[Status], ROW() - 37), "")</f>
        <v/>
      </c>
    </row>
    <row r="3762" spans="2:10" ht="19.95" customHeight="1" x14ac:dyDescent="0.3">
      <c r="B3762" s="4" t="str" cm="1">
        <f t="array" ref="B3762">IFERROR(INDEX(EmployeeData[Employee ID], ROW() - 37), "")</f>
        <v/>
      </c>
      <c r="C3762" s="4" t="str" cm="1">
        <f t="array" ref="C3762">IFERROR(INDEX(EmployeeData[Full Name], ROW() - 37), "")</f>
        <v/>
      </c>
      <c r="D3762" s="4" t="str" cm="1">
        <f t="array" ref="D3762">IFERROR(INDEX(EmployeeData[Department], ROW() - 37), "")</f>
        <v/>
      </c>
      <c r="E3762" s="4" t="str" cm="1">
        <f t="array" ref="E3762">IFERROR(INDEX(EmployeeData[Gender], ROW() - 37), "")</f>
        <v/>
      </c>
      <c r="F3762" s="4" t="str" cm="1">
        <f t="array" ref="F3762">IFERROR(INDEX(EmployeeData[Age], ROW() - 37), "")</f>
        <v/>
      </c>
      <c r="G3762" s="6" t="str" cm="1">
        <f t="array" ref="G3762">IFERROR(INDEX(EmployeeData[Join Date], ROW() - 37), "")</f>
        <v/>
      </c>
      <c r="H3762" s="6" t="str" cm="1">
        <f t="array" ref="H3762">IFERROR(IF(INDEX(EmployeeData[Exit Date], ROW() - 37)=0, "",INDEX(EmployeeData[Exit Date], ROW() - 37)),"")</f>
        <v/>
      </c>
      <c r="I3762" s="4" t="str" cm="1">
        <f t="array" ref="I3762">IFERROR(IF(INDEX(EmployeeData[Exit Reason], ROW() - 37)=0, "",INDEX(EmployeeData[Exit Reason], ROW() - 37)),"")</f>
        <v/>
      </c>
      <c r="J3762" s="4" t="str" cm="1">
        <f t="array" ref="J3762">IFERROR(INDEX(EmployeeData[Status], ROW() - 37), "")</f>
        <v/>
      </c>
    </row>
    <row r="3763" spans="2:10" ht="19.95" customHeight="1" x14ac:dyDescent="0.3">
      <c r="B3763" s="4" t="str" cm="1">
        <f t="array" ref="B3763">IFERROR(INDEX(EmployeeData[Employee ID], ROW() - 37), "")</f>
        <v/>
      </c>
      <c r="C3763" s="4" t="str" cm="1">
        <f t="array" ref="C3763">IFERROR(INDEX(EmployeeData[Full Name], ROW() - 37), "")</f>
        <v/>
      </c>
      <c r="D3763" s="4" t="str" cm="1">
        <f t="array" ref="D3763">IFERROR(INDEX(EmployeeData[Department], ROW() - 37), "")</f>
        <v/>
      </c>
      <c r="E3763" s="4" t="str" cm="1">
        <f t="array" ref="E3763">IFERROR(INDEX(EmployeeData[Gender], ROW() - 37), "")</f>
        <v/>
      </c>
      <c r="F3763" s="4" t="str" cm="1">
        <f t="array" ref="F3763">IFERROR(INDEX(EmployeeData[Age], ROW() - 37), "")</f>
        <v/>
      </c>
      <c r="G3763" s="6" t="str" cm="1">
        <f t="array" ref="G3763">IFERROR(INDEX(EmployeeData[Join Date], ROW() - 37), "")</f>
        <v/>
      </c>
      <c r="H3763" s="6" t="str" cm="1">
        <f t="array" ref="H3763">IFERROR(IF(INDEX(EmployeeData[Exit Date], ROW() - 37)=0, "",INDEX(EmployeeData[Exit Date], ROW() - 37)),"")</f>
        <v/>
      </c>
      <c r="I3763" s="4" t="str" cm="1">
        <f t="array" ref="I3763">IFERROR(IF(INDEX(EmployeeData[Exit Reason], ROW() - 37)=0, "",INDEX(EmployeeData[Exit Reason], ROW() - 37)),"")</f>
        <v/>
      </c>
      <c r="J3763" s="4" t="str" cm="1">
        <f t="array" ref="J3763">IFERROR(INDEX(EmployeeData[Status], ROW() - 37), "")</f>
        <v/>
      </c>
    </row>
    <row r="3764" spans="2:10" ht="19.95" customHeight="1" x14ac:dyDescent="0.3">
      <c r="B3764" s="4" t="str" cm="1">
        <f t="array" ref="B3764">IFERROR(INDEX(EmployeeData[Employee ID], ROW() - 37), "")</f>
        <v/>
      </c>
      <c r="C3764" s="4" t="str" cm="1">
        <f t="array" ref="C3764">IFERROR(INDEX(EmployeeData[Full Name], ROW() - 37), "")</f>
        <v/>
      </c>
      <c r="D3764" s="4" t="str" cm="1">
        <f t="array" ref="D3764">IFERROR(INDEX(EmployeeData[Department], ROW() - 37), "")</f>
        <v/>
      </c>
      <c r="E3764" s="4" t="str" cm="1">
        <f t="array" ref="E3764">IFERROR(INDEX(EmployeeData[Gender], ROW() - 37), "")</f>
        <v/>
      </c>
      <c r="F3764" s="4" t="str" cm="1">
        <f t="array" ref="F3764">IFERROR(INDEX(EmployeeData[Age], ROW() - 37), "")</f>
        <v/>
      </c>
      <c r="G3764" s="6" t="str" cm="1">
        <f t="array" ref="G3764">IFERROR(INDEX(EmployeeData[Join Date], ROW() - 37), "")</f>
        <v/>
      </c>
      <c r="H3764" s="6" t="str" cm="1">
        <f t="array" ref="H3764">IFERROR(IF(INDEX(EmployeeData[Exit Date], ROW() - 37)=0, "",INDEX(EmployeeData[Exit Date], ROW() - 37)),"")</f>
        <v/>
      </c>
      <c r="I3764" s="4" t="str" cm="1">
        <f t="array" ref="I3764">IFERROR(IF(INDEX(EmployeeData[Exit Reason], ROW() - 37)=0, "",INDEX(EmployeeData[Exit Reason], ROW() - 37)),"")</f>
        <v/>
      </c>
      <c r="J3764" s="4" t="str" cm="1">
        <f t="array" ref="J3764">IFERROR(INDEX(EmployeeData[Status], ROW() - 37), "")</f>
        <v/>
      </c>
    </row>
    <row r="3765" spans="2:10" ht="19.95" customHeight="1" x14ac:dyDescent="0.3">
      <c r="B3765" s="4" t="str" cm="1">
        <f t="array" ref="B3765">IFERROR(INDEX(EmployeeData[Employee ID], ROW() - 37), "")</f>
        <v/>
      </c>
      <c r="C3765" s="4" t="str" cm="1">
        <f t="array" ref="C3765">IFERROR(INDEX(EmployeeData[Full Name], ROW() - 37), "")</f>
        <v/>
      </c>
      <c r="D3765" s="4" t="str" cm="1">
        <f t="array" ref="D3765">IFERROR(INDEX(EmployeeData[Department], ROW() - 37), "")</f>
        <v/>
      </c>
      <c r="E3765" s="4" t="str" cm="1">
        <f t="array" ref="E3765">IFERROR(INDEX(EmployeeData[Gender], ROW() - 37), "")</f>
        <v/>
      </c>
      <c r="F3765" s="4" t="str" cm="1">
        <f t="array" ref="F3765">IFERROR(INDEX(EmployeeData[Age], ROW() - 37), "")</f>
        <v/>
      </c>
      <c r="G3765" s="6" t="str" cm="1">
        <f t="array" ref="G3765">IFERROR(INDEX(EmployeeData[Join Date], ROW() - 37), "")</f>
        <v/>
      </c>
      <c r="H3765" s="6" t="str" cm="1">
        <f t="array" ref="H3765">IFERROR(IF(INDEX(EmployeeData[Exit Date], ROW() - 37)=0, "",INDEX(EmployeeData[Exit Date], ROW() - 37)),"")</f>
        <v/>
      </c>
      <c r="I3765" s="4" t="str" cm="1">
        <f t="array" ref="I3765">IFERROR(IF(INDEX(EmployeeData[Exit Reason], ROW() - 37)=0, "",INDEX(EmployeeData[Exit Reason], ROW() - 37)),"")</f>
        <v/>
      </c>
      <c r="J3765" s="4" t="str" cm="1">
        <f t="array" ref="J3765">IFERROR(INDEX(EmployeeData[Status], ROW() - 37), "")</f>
        <v/>
      </c>
    </row>
    <row r="3766" spans="2:10" ht="19.95" customHeight="1" x14ac:dyDescent="0.3">
      <c r="B3766" s="4" t="str" cm="1">
        <f t="array" ref="B3766">IFERROR(INDEX(EmployeeData[Employee ID], ROW() - 37), "")</f>
        <v/>
      </c>
      <c r="C3766" s="4" t="str" cm="1">
        <f t="array" ref="C3766">IFERROR(INDEX(EmployeeData[Full Name], ROW() - 37), "")</f>
        <v/>
      </c>
      <c r="D3766" s="4" t="str" cm="1">
        <f t="array" ref="D3766">IFERROR(INDEX(EmployeeData[Department], ROW() - 37), "")</f>
        <v/>
      </c>
      <c r="E3766" s="4" t="str" cm="1">
        <f t="array" ref="E3766">IFERROR(INDEX(EmployeeData[Gender], ROW() - 37), "")</f>
        <v/>
      </c>
      <c r="F3766" s="4" t="str" cm="1">
        <f t="array" ref="F3766">IFERROR(INDEX(EmployeeData[Age], ROW() - 37), "")</f>
        <v/>
      </c>
      <c r="G3766" s="6" t="str" cm="1">
        <f t="array" ref="G3766">IFERROR(INDEX(EmployeeData[Join Date], ROW() - 37), "")</f>
        <v/>
      </c>
      <c r="H3766" s="6" t="str" cm="1">
        <f t="array" ref="H3766">IFERROR(IF(INDEX(EmployeeData[Exit Date], ROW() - 37)=0, "",INDEX(EmployeeData[Exit Date], ROW() - 37)),"")</f>
        <v/>
      </c>
      <c r="I3766" s="4" t="str" cm="1">
        <f t="array" ref="I3766">IFERROR(IF(INDEX(EmployeeData[Exit Reason], ROW() - 37)=0, "",INDEX(EmployeeData[Exit Reason], ROW() - 37)),"")</f>
        <v/>
      </c>
      <c r="J3766" s="4" t="str" cm="1">
        <f t="array" ref="J3766">IFERROR(INDEX(EmployeeData[Status], ROW() - 37), "")</f>
        <v/>
      </c>
    </row>
    <row r="3767" spans="2:10" ht="19.95" customHeight="1" x14ac:dyDescent="0.3">
      <c r="B3767" s="4" t="str" cm="1">
        <f t="array" ref="B3767">IFERROR(INDEX(EmployeeData[Employee ID], ROW() - 37), "")</f>
        <v/>
      </c>
      <c r="C3767" s="4" t="str" cm="1">
        <f t="array" ref="C3767">IFERROR(INDEX(EmployeeData[Full Name], ROW() - 37), "")</f>
        <v/>
      </c>
      <c r="D3767" s="4" t="str" cm="1">
        <f t="array" ref="D3767">IFERROR(INDEX(EmployeeData[Department], ROW() - 37), "")</f>
        <v/>
      </c>
      <c r="E3767" s="4" t="str" cm="1">
        <f t="array" ref="E3767">IFERROR(INDEX(EmployeeData[Gender], ROW() - 37), "")</f>
        <v/>
      </c>
      <c r="F3767" s="4" t="str" cm="1">
        <f t="array" ref="F3767">IFERROR(INDEX(EmployeeData[Age], ROW() - 37), "")</f>
        <v/>
      </c>
      <c r="G3767" s="6" t="str" cm="1">
        <f t="array" ref="G3767">IFERROR(INDEX(EmployeeData[Join Date], ROW() - 37), "")</f>
        <v/>
      </c>
      <c r="H3767" s="6" t="str" cm="1">
        <f t="array" ref="H3767">IFERROR(IF(INDEX(EmployeeData[Exit Date], ROW() - 37)=0, "",INDEX(EmployeeData[Exit Date], ROW() - 37)),"")</f>
        <v/>
      </c>
      <c r="I3767" s="4" t="str" cm="1">
        <f t="array" ref="I3767">IFERROR(IF(INDEX(EmployeeData[Exit Reason], ROW() - 37)=0, "",INDEX(EmployeeData[Exit Reason], ROW() - 37)),"")</f>
        <v/>
      </c>
      <c r="J3767" s="4" t="str" cm="1">
        <f t="array" ref="J3767">IFERROR(INDEX(EmployeeData[Status], ROW() - 37), "")</f>
        <v/>
      </c>
    </row>
    <row r="3768" spans="2:10" ht="19.95" customHeight="1" x14ac:dyDescent="0.3">
      <c r="B3768" s="4" t="str" cm="1">
        <f t="array" ref="B3768">IFERROR(INDEX(EmployeeData[Employee ID], ROW() - 37), "")</f>
        <v/>
      </c>
      <c r="C3768" s="4" t="str" cm="1">
        <f t="array" ref="C3768">IFERROR(INDEX(EmployeeData[Full Name], ROW() - 37), "")</f>
        <v/>
      </c>
      <c r="D3768" s="4" t="str" cm="1">
        <f t="array" ref="D3768">IFERROR(INDEX(EmployeeData[Department], ROW() - 37), "")</f>
        <v/>
      </c>
      <c r="E3768" s="4" t="str" cm="1">
        <f t="array" ref="E3768">IFERROR(INDEX(EmployeeData[Gender], ROW() - 37), "")</f>
        <v/>
      </c>
      <c r="F3768" s="4" t="str" cm="1">
        <f t="array" ref="F3768">IFERROR(INDEX(EmployeeData[Age], ROW() - 37), "")</f>
        <v/>
      </c>
      <c r="G3768" s="6" t="str" cm="1">
        <f t="array" ref="G3768">IFERROR(INDEX(EmployeeData[Join Date], ROW() - 37), "")</f>
        <v/>
      </c>
      <c r="H3768" s="6" t="str" cm="1">
        <f t="array" ref="H3768">IFERROR(IF(INDEX(EmployeeData[Exit Date], ROW() - 37)=0, "",INDEX(EmployeeData[Exit Date], ROW() - 37)),"")</f>
        <v/>
      </c>
      <c r="I3768" s="4" t="str" cm="1">
        <f t="array" ref="I3768">IFERROR(IF(INDEX(EmployeeData[Exit Reason], ROW() - 37)=0, "",INDEX(EmployeeData[Exit Reason], ROW() - 37)),"")</f>
        <v/>
      </c>
      <c r="J3768" s="4" t="str" cm="1">
        <f t="array" ref="J3768">IFERROR(INDEX(EmployeeData[Status], ROW() - 37), "")</f>
        <v/>
      </c>
    </row>
    <row r="3769" spans="2:10" ht="19.95" customHeight="1" x14ac:dyDescent="0.3">
      <c r="B3769" s="4" t="str" cm="1">
        <f t="array" ref="B3769">IFERROR(INDEX(EmployeeData[Employee ID], ROW() - 37), "")</f>
        <v/>
      </c>
      <c r="C3769" s="4" t="str" cm="1">
        <f t="array" ref="C3769">IFERROR(INDEX(EmployeeData[Full Name], ROW() - 37), "")</f>
        <v/>
      </c>
      <c r="D3769" s="4" t="str" cm="1">
        <f t="array" ref="D3769">IFERROR(INDEX(EmployeeData[Department], ROW() - 37), "")</f>
        <v/>
      </c>
      <c r="E3769" s="4" t="str" cm="1">
        <f t="array" ref="E3769">IFERROR(INDEX(EmployeeData[Gender], ROW() - 37), "")</f>
        <v/>
      </c>
      <c r="F3769" s="4" t="str" cm="1">
        <f t="array" ref="F3769">IFERROR(INDEX(EmployeeData[Age], ROW() - 37), "")</f>
        <v/>
      </c>
      <c r="G3769" s="6" t="str" cm="1">
        <f t="array" ref="G3769">IFERROR(INDEX(EmployeeData[Join Date], ROW() - 37), "")</f>
        <v/>
      </c>
      <c r="H3769" s="6" t="str" cm="1">
        <f t="array" ref="H3769">IFERROR(IF(INDEX(EmployeeData[Exit Date], ROW() - 37)=0, "",INDEX(EmployeeData[Exit Date], ROW() - 37)),"")</f>
        <v/>
      </c>
      <c r="I3769" s="4" t="str" cm="1">
        <f t="array" ref="I3769">IFERROR(IF(INDEX(EmployeeData[Exit Reason], ROW() - 37)=0, "",INDEX(EmployeeData[Exit Reason], ROW() - 37)),"")</f>
        <v/>
      </c>
      <c r="J3769" s="4" t="str" cm="1">
        <f t="array" ref="J3769">IFERROR(INDEX(EmployeeData[Status], ROW() - 37), "")</f>
        <v/>
      </c>
    </row>
    <row r="3770" spans="2:10" ht="19.95" customHeight="1" x14ac:dyDescent="0.3">
      <c r="B3770" s="4" t="str" cm="1">
        <f t="array" ref="B3770">IFERROR(INDEX(EmployeeData[Employee ID], ROW() - 37), "")</f>
        <v/>
      </c>
      <c r="C3770" s="4" t="str" cm="1">
        <f t="array" ref="C3770">IFERROR(INDEX(EmployeeData[Full Name], ROW() - 37), "")</f>
        <v/>
      </c>
      <c r="D3770" s="4" t="str" cm="1">
        <f t="array" ref="D3770">IFERROR(INDEX(EmployeeData[Department], ROW() - 37), "")</f>
        <v/>
      </c>
      <c r="E3770" s="4" t="str" cm="1">
        <f t="array" ref="E3770">IFERROR(INDEX(EmployeeData[Gender], ROW() - 37), "")</f>
        <v/>
      </c>
      <c r="F3770" s="4" t="str" cm="1">
        <f t="array" ref="F3770">IFERROR(INDEX(EmployeeData[Age], ROW() - 37), "")</f>
        <v/>
      </c>
      <c r="G3770" s="6" t="str" cm="1">
        <f t="array" ref="G3770">IFERROR(INDEX(EmployeeData[Join Date], ROW() - 37), "")</f>
        <v/>
      </c>
      <c r="H3770" s="6" t="str" cm="1">
        <f t="array" ref="H3770">IFERROR(IF(INDEX(EmployeeData[Exit Date], ROW() - 37)=0, "",INDEX(EmployeeData[Exit Date], ROW() - 37)),"")</f>
        <v/>
      </c>
      <c r="I3770" s="4" t="str" cm="1">
        <f t="array" ref="I3770">IFERROR(IF(INDEX(EmployeeData[Exit Reason], ROW() - 37)=0, "",INDEX(EmployeeData[Exit Reason], ROW() - 37)),"")</f>
        <v/>
      </c>
      <c r="J3770" s="4" t="str" cm="1">
        <f t="array" ref="J3770">IFERROR(INDEX(EmployeeData[Status], ROW() - 37), "")</f>
        <v/>
      </c>
    </row>
    <row r="3771" spans="2:10" ht="19.95" customHeight="1" x14ac:dyDescent="0.3">
      <c r="B3771" s="4" t="str" cm="1">
        <f t="array" ref="B3771">IFERROR(INDEX(EmployeeData[Employee ID], ROW() - 37), "")</f>
        <v/>
      </c>
      <c r="C3771" s="4" t="str" cm="1">
        <f t="array" ref="C3771">IFERROR(INDEX(EmployeeData[Full Name], ROW() - 37), "")</f>
        <v/>
      </c>
      <c r="D3771" s="4" t="str" cm="1">
        <f t="array" ref="D3771">IFERROR(INDEX(EmployeeData[Department], ROW() - 37), "")</f>
        <v/>
      </c>
      <c r="E3771" s="4" t="str" cm="1">
        <f t="array" ref="E3771">IFERROR(INDEX(EmployeeData[Gender], ROW() - 37), "")</f>
        <v/>
      </c>
      <c r="F3771" s="4" t="str" cm="1">
        <f t="array" ref="F3771">IFERROR(INDEX(EmployeeData[Age], ROW() - 37), "")</f>
        <v/>
      </c>
      <c r="G3771" s="6" t="str" cm="1">
        <f t="array" ref="G3771">IFERROR(INDEX(EmployeeData[Join Date], ROW() - 37), "")</f>
        <v/>
      </c>
      <c r="H3771" s="6" t="str" cm="1">
        <f t="array" ref="H3771">IFERROR(IF(INDEX(EmployeeData[Exit Date], ROW() - 37)=0, "",INDEX(EmployeeData[Exit Date], ROW() - 37)),"")</f>
        <v/>
      </c>
      <c r="I3771" s="4" t="str" cm="1">
        <f t="array" ref="I3771">IFERROR(IF(INDEX(EmployeeData[Exit Reason], ROW() - 37)=0, "",INDEX(EmployeeData[Exit Reason], ROW() - 37)),"")</f>
        <v/>
      </c>
      <c r="J3771" s="4" t="str" cm="1">
        <f t="array" ref="J3771">IFERROR(INDEX(EmployeeData[Status], ROW() - 37), "")</f>
        <v/>
      </c>
    </row>
    <row r="3772" spans="2:10" ht="19.95" customHeight="1" x14ac:dyDescent="0.3">
      <c r="B3772" s="4" t="str" cm="1">
        <f t="array" ref="B3772">IFERROR(INDEX(EmployeeData[Employee ID], ROW() - 37), "")</f>
        <v/>
      </c>
      <c r="C3772" s="4" t="str" cm="1">
        <f t="array" ref="C3772">IFERROR(INDEX(EmployeeData[Full Name], ROW() - 37), "")</f>
        <v/>
      </c>
      <c r="D3772" s="4" t="str" cm="1">
        <f t="array" ref="D3772">IFERROR(INDEX(EmployeeData[Department], ROW() - 37), "")</f>
        <v/>
      </c>
      <c r="E3772" s="4" t="str" cm="1">
        <f t="array" ref="E3772">IFERROR(INDEX(EmployeeData[Gender], ROW() - 37), "")</f>
        <v/>
      </c>
      <c r="F3772" s="4" t="str" cm="1">
        <f t="array" ref="F3772">IFERROR(INDEX(EmployeeData[Age], ROW() - 37), "")</f>
        <v/>
      </c>
      <c r="G3772" s="6" t="str" cm="1">
        <f t="array" ref="G3772">IFERROR(INDEX(EmployeeData[Join Date], ROW() - 37), "")</f>
        <v/>
      </c>
      <c r="H3772" s="6" t="str" cm="1">
        <f t="array" ref="H3772">IFERROR(IF(INDEX(EmployeeData[Exit Date], ROW() - 37)=0, "",INDEX(EmployeeData[Exit Date], ROW() - 37)),"")</f>
        <v/>
      </c>
      <c r="I3772" s="4" t="str" cm="1">
        <f t="array" ref="I3772">IFERROR(IF(INDEX(EmployeeData[Exit Reason], ROW() - 37)=0, "",INDEX(EmployeeData[Exit Reason], ROW() - 37)),"")</f>
        <v/>
      </c>
      <c r="J3772" s="4" t="str" cm="1">
        <f t="array" ref="J3772">IFERROR(INDEX(EmployeeData[Status], ROW() - 37), "")</f>
        <v/>
      </c>
    </row>
    <row r="3773" spans="2:10" ht="19.95" customHeight="1" x14ac:dyDescent="0.3">
      <c r="B3773" s="4" t="str" cm="1">
        <f t="array" ref="B3773">IFERROR(INDEX(EmployeeData[Employee ID], ROW() - 37), "")</f>
        <v/>
      </c>
      <c r="C3773" s="4" t="str" cm="1">
        <f t="array" ref="C3773">IFERROR(INDEX(EmployeeData[Full Name], ROW() - 37), "")</f>
        <v/>
      </c>
      <c r="D3773" s="4" t="str" cm="1">
        <f t="array" ref="D3773">IFERROR(INDEX(EmployeeData[Department], ROW() - 37), "")</f>
        <v/>
      </c>
      <c r="E3773" s="4" t="str" cm="1">
        <f t="array" ref="E3773">IFERROR(INDEX(EmployeeData[Gender], ROW() - 37), "")</f>
        <v/>
      </c>
      <c r="F3773" s="4" t="str" cm="1">
        <f t="array" ref="F3773">IFERROR(INDEX(EmployeeData[Age], ROW() - 37), "")</f>
        <v/>
      </c>
      <c r="G3773" s="6" t="str" cm="1">
        <f t="array" ref="G3773">IFERROR(INDEX(EmployeeData[Join Date], ROW() - 37), "")</f>
        <v/>
      </c>
      <c r="H3773" s="6" t="str" cm="1">
        <f t="array" ref="H3773">IFERROR(IF(INDEX(EmployeeData[Exit Date], ROW() - 37)=0, "",INDEX(EmployeeData[Exit Date], ROW() - 37)),"")</f>
        <v/>
      </c>
      <c r="I3773" s="4" t="str" cm="1">
        <f t="array" ref="I3773">IFERROR(IF(INDEX(EmployeeData[Exit Reason], ROW() - 37)=0, "",INDEX(EmployeeData[Exit Reason], ROW() - 37)),"")</f>
        <v/>
      </c>
      <c r="J3773" s="4" t="str" cm="1">
        <f t="array" ref="J3773">IFERROR(INDEX(EmployeeData[Status], ROW() - 37), "")</f>
        <v/>
      </c>
    </row>
    <row r="3774" spans="2:10" ht="19.95" customHeight="1" x14ac:dyDescent="0.3">
      <c r="B3774" s="4" t="str" cm="1">
        <f t="array" ref="B3774">IFERROR(INDEX(EmployeeData[Employee ID], ROW() - 37), "")</f>
        <v/>
      </c>
      <c r="C3774" s="4" t="str" cm="1">
        <f t="array" ref="C3774">IFERROR(INDEX(EmployeeData[Full Name], ROW() - 37), "")</f>
        <v/>
      </c>
      <c r="D3774" s="4" t="str" cm="1">
        <f t="array" ref="D3774">IFERROR(INDEX(EmployeeData[Department], ROW() - 37), "")</f>
        <v/>
      </c>
      <c r="E3774" s="4" t="str" cm="1">
        <f t="array" ref="E3774">IFERROR(INDEX(EmployeeData[Gender], ROW() - 37), "")</f>
        <v/>
      </c>
      <c r="F3774" s="4" t="str" cm="1">
        <f t="array" ref="F3774">IFERROR(INDEX(EmployeeData[Age], ROW() - 37), "")</f>
        <v/>
      </c>
      <c r="G3774" s="6" t="str" cm="1">
        <f t="array" ref="G3774">IFERROR(INDEX(EmployeeData[Join Date], ROW() - 37), "")</f>
        <v/>
      </c>
      <c r="H3774" s="6" t="str" cm="1">
        <f t="array" ref="H3774">IFERROR(IF(INDEX(EmployeeData[Exit Date], ROW() - 37)=0, "",INDEX(EmployeeData[Exit Date], ROW() - 37)),"")</f>
        <v/>
      </c>
      <c r="I3774" s="4" t="str" cm="1">
        <f t="array" ref="I3774">IFERROR(IF(INDEX(EmployeeData[Exit Reason], ROW() - 37)=0, "",INDEX(EmployeeData[Exit Reason], ROW() - 37)),"")</f>
        <v/>
      </c>
      <c r="J3774" s="4" t="str" cm="1">
        <f t="array" ref="J3774">IFERROR(INDEX(EmployeeData[Status], ROW() - 37), "")</f>
        <v/>
      </c>
    </row>
    <row r="3775" spans="2:10" ht="19.95" customHeight="1" x14ac:dyDescent="0.3">
      <c r="B3775" s="4" t="str" cm="1">
        <f t="array" ref="B3775">IFERROR(INDEX(EmployeeData[Employee ID], ROW() - 37), "")</f>
        <v/>
      </c>
      <c r="C3775" s="4" t="str" cm="1">
        <f t="array" ref="C3775">IFERROR(INDEX(EmployeeData[Full Name], ROW() - 37), "")</f>
        <v/>
      </c>
      <c r="D3775" s="4" t="str" cm="1">
        <f t="array" ref="D3775">IFERROR(INDEX(EmployeeData[Department], ROW() - 37), "")</f>
        <v/>
      </c>
      <c r="E3775" s="4" t="str" cm="1">
        <f t="array" ref="E3775">IFERROR(INDEX(EmployeeData[Gender], ROW() - 37), "")</f>
        <v/>
      </c>
      <c r="F3775" s="4" t="str" cm="1">
        <f t="array" ref="F3775">IFERROR(INDEX(EmployeeData[Age], ROW() - 37), "")</f>
        <v/>
      </c>
      <c r="G3775" s="6" t="str" cm="1">
        <f t="array" ref="G3775">IFERROR(INDEX(EmployeeData[Join Date], ROW() - 37), "")</f>
        <v/>
      </c>
      <c r="H3775" s="6" t="str" cm="1">
        <f t="array" ref="H3775">IFERROR(IF(INDEX(EmployeeData[Exit Date], ROW() - 37)=0, "",INDEX(EmployeeData[Exit Date], ROW() - 37)),"")</f>
        <v/>
      </c>
      <c r="I3775" s="4" t="str" cm="1">
        <f t="array" ref="I3775">IFERROR(IF(INDEX(EmployeeData[Exit Reason], ROW() - 37)=0, "",INDEX(EmployeeData[Exit Reason], ROW() - 37)),"")</f>
        <v/>
      </c>
      <c r="J3775" s="4" t="str" cm="1">
        <f t="array" ref="J3775">IFERROR(INDEX(EmployeeData[Status], ROW() - 37), "")</f>
        <v/>
      </c>
    </row>
    <row r="3776" spans="2:10" ht="19.95" customHeight="1" x14ac:dyDescent="0.3">
      <c r="B3776" s="4" t="str" cm="1">
        <f t="array" ref="B3776">IFERROR(INDEX(EmployeeData[Employee ID], ROW() - 37), "")</f>
        <v/>
      </c>
      <c r="C3776" s="4" t="str" cm="1">
        <f t="array" ref="C3776">IFERROR(INDEX(EmployeeData[Full Name], ROW() - 37), "")</f>
        <v/>
      </c>
      <c r="D3776" s="4" t="str" cm="1">
        <f t="array" ref="D3776">IFERROR(INDEX(EmployeeData[Department], ROW() - 37), "")</f>
        <v/>
      </c>
      <c r="E3776" s="4" t="str" cm="1">
        <f t="array" ref="E3776">IFERROR(INDEX(EmployeeData[Gender], ROW() - 37), "")</f>
        <v/>
      </c>
      <c r="F3776" s="4" t="str" cm="1">
        <f t="array" ref="F3776">IFERROR(INDEX(EmployeeData[Age], ROW() - 37), "")</f>
        <v/>
      </c>
      <c r="G3776" s="6" t="str" cm="1">
        <f t="array" ref="G3776">IFERROR(INDEX(EmployeeData[Join Date], ROW() - 37), "")</f>
        <v/>
      </c>
      <c r="H3776" s="6" t="str" cm="1">
        <f t="array" ref="H3776">IFERROR(IF(INDEX(EmployeeData[Exit Date], ROW() - 37)=0, "",INDEX(EmployeeData[Exit Date], ROW() - 37)),"")</f>
        <v/>
      </c>
      <c r="I3776" s="4" t="str" cm="1">
        <f t="array" ref="I3776">IFERROR(IF(INDEX(EmployeeData[Exit Reason], ROW() - 37)=0, "",INDEX(EmployeeData[Exit Reason], ROW() - 37)),"")</f>
        <v/>
      </c>
      <c r="J3776" s="4" t="str" cm="1">
        <f t="array" ref="J3776">IFERROR(INDEX(EmployeeData[Status], ROW() - 37), "")</f>
        <v/>
      </c>
    </row>
    <row r="3777" spans="2:10" ht="19.95" customHeight="1" x14ac:dyDescent="0.3">
      <c r="B3777" s="4" t="str" cm="1">
        <f t="array" ref="B3777">IFERROR(INDEX(EmployeeData[Employee ID], ROW() - 37), "")</f>
        <v/>
      </c>
      <c r="C3777" s="4" t="str" cm="1">
        <f t="array" ref="C3777">IFERROR(INDEX(EmployeeData[Full Name], ROW() - 37), "")</f>
        <v/>
      </c>
      <c r="D3777" s="4" t="str" cm="1">
        <f t="array" ref="D3777">IFERROR(INDEX(EmployeeData[Department], ROW() - 37), "")</f>
        <v/>
      </c>
      <c r="E3777" s="4" t="str" cm="1">
        <f t="array" ref="E3777">IFERROR(INDEX(EmployeeData[Gender], ROW() - 37), "")</f>
        <v/>
      </c>
      <c r="F3777" s="4" t="str" cm="1">
        <f t="array" ref="F3777">IFERROR(INDEX(EmployeeData[Age], ROW() - 37), "")</f>
        <v/>
      </c>
      <c r="G3777" s="6" t="str" cm="1">
        <f t="array" ref="G3777">IFERROR(INDEX(EmployeeData[Join Date], ROW() - 37), "")</f>
        <v/>
      </c>
      <c r="H3777" s="6" t="str" cm="1">
        <f t="array" ref="H3777">IFERROR(IF(INDEX(EmployeeData[Exit Date], ROW() - 37)=0, "",INDEX(EmployeeData[Exit Date], ROW() - 37)),"")</f>
        <v/>
      </c>
      <c r="I3777" s="4" t="str" cm="1">
        <f t="array" ref="I3777">IFERROR(IF(INDEX(EmployeeData[Exit Reason], ROW() - 37)=0, "",INDEX(EmployeeData[Exit Reason], ROW() - 37)),"")</f>
        <v/>
      </c>
      <c r="J3777" s="4" t="str" cm="1">
        <f t="array" ref="J3777">IFERROR(INDEX(EmployeeData[Status], ROW() - 37), "")</f>
        <v/>
      </c>
    </row>
    <row r="3778" spans="2:10" ht="19.95" customHeight="1" x14ac:dyDescent="0.3">
      <c r="B3778" s="4" t="str" cm="1">
        <f t="array" ref="B3778">IFERROR(INDEX(EmployeeData[Employee ID], ROW() - 37), "")</f>
        <v/>
      </c>
      <c r="C3778" s="4" t="str" cm="1">
        <f t="array" ref="C3778">IFERROR(INDEX(EmployeeData[Full Name], ROW() - 37), "")</f>
        <v/>
      </c>
      <c r="D3778" s="4" t="str" cm="1">
        <f t="array" ref="D3778">IFERROR(INDEX(EmployeeData[Department], ROW() - 37), "")</f>
        <v/>
      </c>
      <c r="E3778" s="4" t="str" cm="1">
        <f t="array" ref="E3778">IFERROR(INDEX(EmployeeData[Gender], ROW() - 37), "")</f>
        <v/>
      </c>
      <c r="F3778" s="4" t="str" cm="1">
        <f t="array" ref="F3778">IFERROR(INDEX(EmployeeData[Age], ROW() - 37), "")</f>
        <v/>
      </c>
      <c r="G3778" s="6" t="str" cm="1">
        <f t="array" ref="G3778">IFERROR(INDEX(EmployeeData[Join Date], ROW() - 37), "")</f>
        <v/>
      </c>
      <c r="H3778" s="6" t="str" cm="1">
        <f t="array" ref="H3778">IFERROR(IF(INDEX(EmployeeData[Exit Date], ROW() - 37)=0, "",INDEX(EmployeeData[Exit Date], ROW() - 37)),"")</f>
        <v/>
      </c>
      <c r="I3778" s="4" t="str" cm="1">
        <f t="array" ref="I3778">IFERROR(IF(INDEX(EmployeeData[Exit Reason], ROW() - 37)=0, "",INDEX(EmployeeData[Exit Reason], ROW() - 37)),"")</f>
        <v/>
      </c>
      <c r="J3778" s="4" t="str" cm="1">
        <f t="array" ref="J3778">IFERROR(INDEX(EmployeeData[Status], ROW() - 37), "")</f>
        <v/>
      </c>
    </row>
    <row r="3779" spans="2:10" ht="19.95" customHeight="1" x14ac:dyDescent="0.3">
      <c r="B3779" s="4" t="str" cm="1">
        <f t="array" ref="B3779">IFERROR(INDEX(EmployeeData[Employee ID], ROW() - 37), "")</f>
        <v/>
      </c>
      <c r="C3779" s="4" t="str" cm="1">
        <f t="array" ref="C3779">IFERROR(INDEX(EmployeeData[Full Name], ROW() - 37), "")</f>
        <v/>
      </c>
      <c r="D3779" s="4" t="str" cm="1">
        <f t="array" ref="D3779">IFERROR(INDEX(EmployeeData[Department], ROW() - 37), "")</f>
        <v/>
      </c>
      <c r="E3779" s="4" t="str" cm="1">
        <f t="array" ref="E3779">IFERROR(INDEX(EmployeeData[Gender], ROW() - 37), "")</f>
        <v/>
      </c>
      <c r="F3779" s="4" t="str" cm="1">
        <f t="array" ref="F3779">IFERROR(INDEX(EmployeeData[Age], ROW() - 37), "")</f>
        <v/>
      </c>
      <c r="G3779" s="6" t="str" cm="1">
        <f t="array" ref="G3779">IFERROR(INDEX(EmployeeData[Join Date], ROW() - 37), "")</f>
        <v/>
      </c>
      <c r="H3779" s="6" t="str" cm="1">
        <f t="array" ref="H3779">IFERROR(IF(INDEX(EmployeeData[Exit Date], ROW() - 37)=0, "",INDEX(EmployeeData[Exit Date], ROW() - 37)),"")</f>
        <v/>
      </c>
      <c r="I3779" s="4" t="str" cm="1">
        <f t="array" ref="I3779">IFERROR(IF(INDEX(EmployeeData[Exit Reason], ROW() - 37)=0, "",INDEX(EmployeeData[Exit Reason], ROW() - 37)),"")</f>
        <v/>
      </c>
      <c r="J3779" s="4" t="str" cm="1">
        <f t="array" ref="J3779">IFERROR(INDEX(EmployeeData[Status], ROW() - 37), "")</f>
        <v/>
      </c>
    </row>
    <row r="3780" spans="2:10" ht="19.95" customHeight="1" x14ac:dyDescent="0.3">
      <c r="B3780" s="4" t="str" cm="1">
        <f t="array" ref="B3780">IFERROR(INDEX(EmployeeData[Employee ID], ROW() - 37), "")</f>
        <v/>
      </c>
      <c r="C3780" s="4" t="str" cm="1">
        <f t="array" ref="C3780">IFERROR(INDEX(EmployeeData[Full Name], ROW() - 37), "")</f>
        <v/>
      </c>
      <c r="D3780" s="4" t="str" cm="1">
        <f t="array" ref="D3780">IFERROR(INDEX(EmployeeData[Department], ROW() - 37), "")</f>
        <v/>
      </c>
      <c r="E3780" s="4" t="str" cm="1">
        <f t="array" ref="E3780">IFERROR(INDEX(EmployeeData[Gender], ROW() - 37), "")</f>
        <v/>
      </c>
      <c r="F3780" s="4" t="str" cm="1">
        <f t="array" ref="F3780">IFERROR(INDEX(EmployeeData[Age], ROW() - 37), "")</f>
        <v/>
      </c>
      <c r="G3780" s="6" t="str" cm="1">
        <f t="array" ref="G3780">IFERROR(INDEX(EmployeeData[Join Date], ROW() - 37), "")</f>
        <v/>
      </c>
      <c r="H3780" s="6" t="str" cm="1">
        <f t="array" ref="H3780">IFERROR(IF(INDEX(EmployeeData[Exit Date], ROW() - 37)=0, "",INDEX(EmployeeData[Exit Date], ROW() - 37)),"")</f>
        <v/>
      </c>
      <c r="I3780" s="4" t="str" cm="1">
        <f t="array" ref="I3780">IFERROR(IF(INDEX(EmployeeData[Exit Reason], ROW() - 37)=0, "",INDEX(EmployeeData[Exit Reason], ROW() - 37)),"")</f>
        <v/>
      </c>
      <c r="J3780" s="4" t="str" cm="1">
        <f t="array" ref="J3780">IFERROR(INDEX(EmployeeData[Status], ROW() - 37), "")</f>
        <v/>
      </c>
    </row>
    <row r="3781" spans="2:10" ht="19.95" customHeight="1" x14ac:dyDescent="0.3">
      <c r="B3781" s="4" t="str" cm="1">
        <f t="array" ref="B3781">IFERROR(INDEX(EmployeeData[Employee ID], ROW() - 37), "")</f>
        <v/>
      </c>
      <c r="C3781" s="4" t="str" cm="1">
        <f t="array" ref="C3781">IFERROR(INDEX(EmployeeData[Full Name], ROW() - 37), "")</f>
        <v/>
      </c>
      <c r="D3781" s="4" t="str" cm="1">
        <f t="array" ref="D3781">IFERROR(INDEX(EmployeeData[Department], ROW() - 37), "")</f>
        <v/>
      </c>
      <c r="E3781" s="4" t="str" cm="1">
        <f t="array" ref="E3781">IFERROR(INDEX(EmployeeData[Gender], ROW() - 37), "")</f>
        <v/>
      </c>
      <c r="F3781" s="4" t="str" cm="1">
        <f t="array" ref="F3781">IFERROR(INDEX(EmployeeData[Age], ROW() - 37), "")</f>
        <v/>
      </c>
      <c r="G3781" s="6" t="str" cm="1">
        <f t="array" ref="G3781">IFERROR(INDEX(EmployeeData[Join Date], ROW() - 37), "")</f>
        <v/>
      </c>
      <c r="H3781" s="6" t="str" cm="1">
        <f t="array" ref="H3781">IFERROR(IF(INDEX(EmployeeData[Exit Date], ROW() - 37)=0, "",INDEX(EmployeeData[Exit Date], ROW() - 37)),"")</f>
        <v/>
      </c>
      <c r="I3781" s="4" t="str" cm="1">
        <f t="array" ref="I3781">IFERROR(IF(INDEX(EmployeeData[Exit Reason], ROW() - 37)=0, "",INDEX(EmployeeData[Exit Reason], ROW() - 37)),"")</f>
        <v/>
      </c>
      <c r="J3781" s="4" t="str" cm="1">
        <f t="array" ref="J3781">IFERROR(INDEX(EmployeeData[Status], ROW() - 37), "")</f>
        <v/>
      </c>
    </row>
    <row r="3782" spans="2:10" ht="19.95" customHeight="1" x14ac:dyDescent="0.3">
      <c r="B3782" s="4" t="str" cm="1">
        <f t="array" ref="B3782">IFERROR(INDEX(EmployeeData[Employee ID], ROW() - 37), "")</f>
        <v/>
      </c>
      <c r="C3782" s="4" t="str" cm="1">
        <f t="array" ref="C3782">IFERROR(INDEX(EmployeeData[Full Name], ROW() - 37), "")</f>
        <v/>
      </c>
      <c r="D3782" s="4" t="str" cm="1">
        <f t="array" ref="D3782">IFERROR(INDEX(EmployeeData[Department], ROW() - 37), "")</f>
        <v/>
      </c>
      <c r="E3782" s="4" t="str" cm="1">
        <f t="array" ref="E3782">IFERROR(INDEX(EmployeeData[Gender], ROW() - 37), "")</f>
        <v/>
      </c>
      <c r="F3782" s="4" t="str" cm="1">
        <f t="array" ref="F3782">IFERROR(INDEX(EmployeeData[Age], ROW() - 37), "")</f>
        <v/>
      </c>
      <c r="G3782" s="6" t="str" cm="1">
        <f t="array" ref="G3782">IFERROR(INDEX(EmployeeData[Join Date], ROW() - 37), "")</f>
        <v/>
      </c>
      <c r="H3782" s="6" t="str" cm="1">
        <f t="array" ref="H3782">IFERROR(IF(INDEX(EmployeeData[Exit Date], ROW() - 37)=0, "",INDEX(EmployeeData[Exit Date], ROW() - 37)),"")</f>
        <v/>
      </c>
      <c r="I3782" s="4" t="str" cm="1">
        <f t="array" ref="I3782">IFERROR(IF(INDEX(EmployeeData[Exit Reason], ROW() - 37)=0, "",INDEX(EmployeeData[Exit Reason], ROW() - 37)),"")</f>
        <v/>
      </c>
      <c r="J3782" s="4" t="str" cm="1">
        <f t="array" ref="J3782">IFERROR(INDEX(EmployeeData[Status], ROW() - 37), "")</f>
        <v/>
      </c>
    </row>
    <row r="3783" spans="2:10" ht="19.95" customHeight="1" x14ac:dyDescent="0.3">
      <c r="B3783" s="4" t="str" cm="1">
        <f t="array" ref="B3783">IFERROR(INDEX(EmployeeData[Employee ID], ROW() - 37), "")</f>
        <v/>
      </c>
      <c r="C3783" s="4" t="str" cm="1">
        <f t="array" ref="C3783">IFERROR(INDEX(EmployeeData[Full Name], ROW() - 37), "")</f>
        <v/>
      </c>
      <c r="D3783" s="4" t="str" cm="1">
        <f t="array" ref="D3783">IFERROR(INDEX(EmployeeData[Department], ROW() - 37), "")</f>
        <v/>
      </c>
      <c r="E3783" s="4" t="str" cm="1">
        <f t="array" ref="E3783">IFERROR(INDEX(EmployeeData[Gender], ROW() - 37), "")</f>
        <v/>
      </c>
      <c r="F3783" s="4" t="str" cm="1">
        <f t="array" ref="F3783">IFERROR(INDEX(EmployeeData[Age], ROW() - 37), "")</f>
        <v/>
      </c>
      <c r="G3783" s="6" t="str" cm="1">
        <f t="array" ref="G3783">IFERROR(INDEX(EmployeeData[Join Date], ROW() - 37), "")</f>
        <v/>
      </c>
      <c r="H3783" s="6" t="str" cm="1">
        <f t="array" ref="H3783">IFERROR(IF(INDEX(EmployeeData[Exit Date], ROW() - 37)=0, "",INDEX(EmployeeData[Exit Date], ROW() - 37)),"")</f>
        <v/>
      </c>
      <c r="I3783" s="4" t="str" cm="1">
        <f t="array" ref="I3783">IFERROR(IF(INDEX(EmployeeData[Exit Reason], ROW() - 37)=0, "",INDEX(EmployeeData[Exit Reason], ROW() - 37)),"")</f>
        <v/>
      </c>
      <c r="J3783" s="4" t="str" cm="1">
        <f t="array" ref="J3783">IFERROR(INDEX(EmployeeData[Status], ROW() - 37), "")</f>
        <v/>
      </c>
    </row>
    <row r="3784" spans="2:10" ht="19.95" customHeight="1" x14ac:dyDescent="0.3">
      <c r="B3784" s="4" t="str" cm="1">
        <f t="array" ref="B3784">IFERROR(INDEX(EmployeeData[Employee ID], ROW() - 37), "")</f>
        <v/>
      </c>
      <c r="C3784" s="4" t="str" cm="1">
        <f t="array" ref="C3784">IFERROR(INDEX(EmployeeData[Full Name], ROW() - 37), "")</f>
        <v/>
      </c>
      <c r="D3784" s="4" t="str" cm="1">
        <f t="array" ref="D3784">IFERROR(INDEX(EmployeeData[Department], ROW() - 37), "")</f>
        <v/>
      </c>
      <c r="E3784" s="4" t="str" cm="1">
        <f t="array" ref="E3784">IFERROR(INDEX(EmployeeData[Gender], ROW() - 37), "")</f>
        <v/>
      </c>
      <c r="F3784" s="4" t="str" cm="1">
        <f t="array" ref="F3784">IFERROR(INDEX(EmployeeData[Age], ROW() - 37), "")</f>
        <v/>
      </c>
      <c r="G3784" s="6" t="str" cm="1">
        <f t="array" ref="G3784">IFERROR(INDEX(EmployeeData[Join Date], ROW() - 37), "")</f>
        <v/>
      </c>
      <c r="H3784" s="6" t="str" cm="1">
        <f t="array" ref="H3784">IFERROR(IF(INDEX(EmployeeData[Exit Date], ROW() - 37)=0, "",INDEX(EmployeeData[Exit Date], ROW() - 37)),"")</f>
        <v/>
      </c>
      <c r="I3784" s="4" t="str" cm="1">
        <f t="array" ref="I3784">IFERROR(IF(INDEX(EmployeeData[Exit Reason], ROW() - 37)=0, "",INDEX(EmployeeData[Exit Reason], ROW() - 37)),"")</f>
        <v/>
      </c>
      <c r="J3784" s="4" t="str" cm="1">
        <f t="array" ref="J3784">IFERROR(INDEX(EmployeeData[Status], ROW() - 37), "")</f>
        <v/>
      </c>
    </row>
    <row r="3785" spans="2:10" ht="19.95" customHeight="1" x14ac:dyDescent="0.3">
      <c r="B3785" s="4" t="str" cm="1">
        <f t="array" ref="B3785">IFERROR(INDEX(EmployeeData[Employee ID], ROW() - 37), "")</f>
        <v/>
      </c>
      <c r="C3785" s="4" t="str" cm="1">
        <f t="array" ref="C3785">IFERROR(INDEX(EmployeeData[Full Name], ROW() - 37), "")</f>
        <v/>
      </c>
      <c r="D3785" s="4" t="str" cm="1">
        <f t="array" ref="D3785">IFERROR(INDEX(EmployeeData[Department], ROW() - 37), "")</f>
        <v/>
      </c>
      <c r="E3785" s="4" t="str" cm="1">
        <f t="array" ref="E3785">IFERROR(INDEX(EmployeeData[Gender], ROW() - 37), "")</f>
        <v/>
      </c>
      <c r="F3785" s="4" t="str" cm="1">
        <f t="array" ref="F3785">IFERROR(INDEX(EmployeeData[Age], ROW() - 37), "")</f>
        <v/>
      </c>
      <c r="G3785" s="6" t="str" cm="1">
        <f t="array" ref="G3785">IFERROR(INDEX(EmployeeData[Join Date], ROW() - 37), "")</f>
        <v/>
      </c>
      <c r="H3785" s="6" t="str" cm="1">
        <f t="array" ref="H3785">IFERROR(IF(INDEX(EmployeeData[Exit Date], ROW() - 37)=0, "",INDEX(EmployeeData[Exit Date], ROW() - 37)),"")</f>
        <v/>
      </c>
      <c r="I3785" s="4" t="str" cm="1">
        <f t="array" ref="I3785">IFERROR(IF(INDEX(EmployeeData[Exit Reason], ROW() - 37)=0, "",INDEX(EmployeeData[Exit Reason], ROW() - 37)),"")</f>
        <v/>
      </c>
      <c r="J3785" s="4" t="str" cm="1">
        <f t="array" ref="J3785">IFERROR(INDEX(EmployeeData[Status], ROW() - 37), "")</f>
        <v/>
      </c>
    </row>
    <row r="3786" spans="2:10" ht="19.95" customHeight="1" x14ac:dyDescent="0.3">
      <c r="B3786" s="4" t="str" cm="1">
        <f t="array" ref="B3786">IFERROR(INDEX(EmployeeData[Employee ID], ROW() - 37), "")</f>
        <v/>
      </c>
      <c r="C3786" s="4" t="str" cm="1">
        <f t="array" ref="C3786">IFERROR(INDEX(EmployeeData[Full Name], ROW() - 37), "")</f>
        <v/>
      </c>
      <c r="D3786" s="4" t="str" cm="1">
        <f t="array" ref="D3786">IFERROR(INDEX(EmployeeData[Department], ROW() - 37), "")</f>
        <v/>
      </c>
      <c r="E3786" s="4" t="str" cm="1">
        <f t="array" ref="E3786">IFERROR(INDEX(EmployeeData[Gender], ROW() - 37), "")</f>
        <v/>
      </c>
      <c r="F3786" s="4" t="str" cm="1">
        <f t="array" ref="F3786">IFERROR(INDEX(EmployeeData[Age], ROW() - 37), "")</f>
        <v/>
      </c>
      <c r="G3786" s="6" t="str" cm="1">
        <f t="array" ref="G3786">IFERROR(INDEX(EmployeeData[Join Date], ROW() - 37), "")</f>
        <v/>
      </c>
      <c r="H3786" s="6" t="str" cm="1">
        <f t="array" ref="H3786">IFERROR(IF(INDEX(EmployeeData[Exit Date], ROW() - 37)=0, "",INDEX(EmployeeData[Exit Date], ROW() - 37)),"")</f>
        <v/>
      </c>
      <c r="I3786" s="4" t="str" cm="1">
        <f t="array" ref="I3786">IFERROR(IF(INDEX(EmployeeData[Exit Reason], ROW() - 37)=0, "",INDEX(EmployeeData[Exit Reason], ROW() - 37)),"")</f>
        <v/>
      </c>
      <c r="J3786" s="4" t="str" cm="1">
        <f t="array" ref="J3786">IFERROR(INDEX(EmployeeData[Status], ROW() - 37), "")</f>
        <v/>
      </c>
    </row>
    <row r="3787" spans="2:10" ht="19.95" customHeight="1" x14ac:dyDescent="0.3">
      <c r="B3787" s="4" t="str" cm="1">
        <f t="array" ref="B3787">IFERROR(INDEX(EmployeeData[Employee ID], ROW() - 37), "")</f>
        <v/>
      </c>
      <c r="C3787" s="4" t="str" cm="1">
        <f t="array" ref="C3787">IFERROR(INDEX(EmployeeData[Full Name], ROW() - 37), "")</f>
        <v/>
      </c>
      <c r="D3787" s="4" t="str" cm="1">
        <f t="array" ref="D3787">IFERROR(INDEX(EmployeeData[Department], ROW() - 37), "")</f>
        <v/>
      </c>
      <c r="E3787" s="4" t="str" cm="1">
        <f t="array" ref="E3787">IFERROR(INDEX(EmployeeData[Gender], ROW() - 37), "")</f>
        <v/>
      </c>
      <c r="F3787" s="4" t="str" cm="1">
        <f t="array" ref="F3787">IFERROR(INDEX(EmployeeData[Age], ROW() - 37), "")</f>
        <v/>
      </c>
      <c r="G3787" s="6" t="str" cm="1">
        <f t="array" ref="G3787">IFERROR(INDEX(EmployeeData[Join Date], ROW() - 37), "")</f>
        <v/>
      </c>
      <c r="H3787" s="6" t="str" cm="1">
        <f t="array" ref="H3787">IFERROR(IF(INDEX(EmployeeData[Exit Date], ROW() - 37)=0, "",INDEX(EmployeeData[Exit Date], ROW() - 37)),"")</f>
        <v/>
      </c>
      <c r="I3787" s="4" t="str" cm="1">
        <f t="array" ref="I3787">IFERROR(IF(INDEX(EmployeeData[Exit Reason], ROW() - 37)=0, "",INDEX(EmployeeData[Exit Reason], ROW() - 37)),"")</f>
        <v/>
      </c>
      <c r="J3787" s="4" t="str" cm="1">
        <f t="array" ref="J3787">IFERROR(INDEX(EmployeeData[Status], ROW() - 37), "")</f>
        <v/>
      </c>
    </row>
    <row r="3788" spans="2:10" ht="19.95" customHeight="1" x14ac:dyDescent="0.3">
      <c r="B3788" s="4" t="str" cm="1">
        <f t="array" ref="B3788">IFERROR(INDEX(EmployeeData[Employee ID], ROW() - 37), "")</f>
        <v/>
      </c>
      <c r="C3788" s="4" t="str" cm="1">
        <f t="array" ref="C3788">IFERROR(INDEX(EmployeeData[Full Name], ROW() - 37), "")</f>
        <v/>
      </c>
      <c r="D3788" s="4" t="str" cm="1">
        <f t="array" ref="D3788">IFERROR(INDEX(EmployeeData[Department], ROW() - 37), "")</f>
        <v/>
      </c>
      <c r="E3788" s="4" t="str" cm="1">
        <f t="array" ref="E3788">IFERROR(INDEX(EmployeeData[Gender], ROW() - 37), "")</f>
        <v/>
      </c>
      <c r="F3788" s="4" t="str" cm="1">
        <f t="array" ref="F3788">IFERROR(INDEX(EmployeeData[Age], ROW() - 37), "")</f>
        <v/>
      </c>
      <c r="G3788" s="6" t="str" cm="1">
        <f t="array" ref="G3788">IFERROR(INDEX(EmployeeData[Join Date], ROW() - 37), "")</f>
        <v/>
      </c>
      <c r="H3788" s="6" t="str" cm="1">
        <f t="array" ref="H3788">IFERROR(IF(INDEX(EmployeeData[Exit Date], ROW() - 37)=0, "",INDEX(EmployeeData[Exit Date], ROW() - 37)),"")</f>
        <v/>
      </c>
      <c r="I3788" s="4" t="str" cm="1">
        <f t="array" ref="I3788">IFERROR(IF(INDEX(EmployeeData[Exit Reason], ROW() - 37)=0, "",INDEX(EmployeeData[Exit Reason], ROW() - 37)),"")</f>
        <v/>
      </c>
      <c r="J3788" s="4" t="str" cm="1">
        <f t="array" ref="J3788">IFERROR(INDEX(EmployeeData[Status], ROW() - 37), "")</f>
        <v/>
      </c>
    </row>
    <row r="3789" spans="2:10" ht="19.95" customHeight="1" x14ac:dyDescent="0.3">
      <c r="B3789" s="4" t="str" cm="1">
        <f t="array" ref="B3789">IFERROR(INDEX(EmployeeData[Employee ID], ROW() - 37), "")</f>
        <v/>
      </c>
      <c r="C3789" s="4" t="str" cm="1">
        <f t="array" ref="C3789">IFERROR(INDEX(EmployeeData[Full Name], ROW() - 37), "")</f>
        <v/>
      </c>
      <c r="D3789" s="4" t="str" cm="1">
        <f t="array" ref="D3789">IFERROR(INDEX(EmployeeData[Department], ROW() - 37), "")</f>
        <v/>
      </c>
      <c r="E3789" s="4" t="str" cm="1">
        <f t="array" ref="E3789">IFERROR(INDEX(EmployeeData[Gender], ROW() - 37), "")</f>
        <v/>
      </c>
      <c r="F3789" s="4" t="str" cm="1">
        <f t="array" ref="F3789">IFERROR(INDEX(EmployeeData[Age], ROW() - 37), "")</f>
        <v/>
      </c>
      <c r="G3789" s="6" t="str" cm="1">
        <f t="array" ref="G3789">IFERROR(INDEX(EmployeeData[Join Date], ROW() - 37), "")</f>
        <v/>
      </c>
      <c r="H3789" s="6" t="str" cm="1">
        <f t="array" ref="H3789">IFERROR(IF(INDEX(EmployeeData[Exit Date], ROW() - 37)=0, "",INDEX(EmployeeData[Exit Date], ROW() - 37)),"")</f>
        <v/>
      </c>
      <c r="I3789" s="4" t="str" cm="1">
        <f t="array" ref="I3789">IFERROR(IF(INDEX(EmployeeData[Exit Reason], ROW() - 37)=0, "",INDEX(EmployeeData[Exit Reason], ROW() - 37)),"")</f>
        <v/>
      </c>
      <c r="J3789" s="4" t="str" cm="1">
        <f t="array" ref="J3789">IFERROR(INDEX(EmployeeData[Status], ROW() - 37), "")</f>
        <v/>
      </c>
    </row>
    <row r="3790" spans="2:10" ht="19.95" customHeight="1" x14ac:dyDescent="0.3">
      <c r="B3790" s="4" t="str" cm="1">
        <f t="array" ref="B3790">IFERROR(INDEX(EmployeeData[Employee ID], ROW() - 37), "")</f>
        <v/>
      </c>
      <c r="C3790" s="4" t="str" cm="1">
        <f t="array" ref="C3790">IFERROR(INDEX(EmployeeData[Full Name], ROW() - 37), "")</f>
        <v/>
      </c>
      <c r="D3790" s="4" t="str" cm="1">
        <f t="array" ref="D3790">IFERROR(INDEX(EmployeeData[Department], ROW() - 37), "")</f>
        <v/>
      </c>
      <c r="E3790" s="4" t="str" cm="1">
        <f t="array" ref="E3790">IFERROR(INDEX(EmployeeData[Gender], ROW() - 37), "")</f>
        <v/>
      </c>
      <c r="F3790" s="4" t="str" cm="1">
        <f t="array" ref="F3790">IFERROR(INDEX(EmployeeData[Age], ROW() - 37), "")</f>
        <v/>
      </c>
      <c r="G3790" s="6" t="str" cm="1">
        <f t="array" ref="G3790">IFERROR(INDEX(EmployeeData[Join Date], ROW() - 37), "")</f>
        <v/>
      </c>
      <c r="H3790" s="6" t="str" cm="1">
        <f t="array" ref="H3790">IFERROR(IF(INDEX(EmployeeData[Exit Date], ROW() - 37)=0, "",INDEX(EmployeeData[Exit Date], ROW() - 37)),"")</f>
        <v/>
      </c>
      <c r="I3790" s="4" t="str" cm="1">
        <f t="array" ref="I3790">IFERROR(IF(INDEX(EmployeeData[Exit Reason], ROW() - 37)=0, "",INDEX(EmployeeData[Exit Reason], ROW() - 37)),"")</f>
        <v/>
      </c>
      <c r="J3790" s="4" t="str" cm="1">
        <f t="array" ref="J3790">IFERROR(INDEX(EmployeeData[Status], ROW() - 37), "")</f>
        <v/>
      </c>
    </row>
    <row r="3791" spans="2:10" ht="19.95" customHeight="1" x14ac:dyDescent="0.3">
      <c r="B3791" s="4" t="str" cm="1">
        <f t="array" ref="B3791">IFERROR(INDEX(EmployeeData[Employee ID], ROW() - 37), "")</f>
        <v/>
      </c>
      <c r="C3791" s="4" t="str" cm="1">
        <f t="array" ref="C3791">IFERROR(INDEX(EmployeeData[Full Name], ROW() - 37), "")</f>
        <v/>
      </c>
      <c r="D3791" s="4" t="str" cm="1">
        <f t="array" ref="D3791">IFERROR(INDEX(EmployeeData[Department], ROW() - 37), "")</f>
        <v/>
      </c>
      <c r="E3791" s="4" t="str" cm="1">
        <f t="array" ref="E3791">IFERROR(INDEX(EmployeeData[Gender], ROW() - 37), "")</f>
        <v/>
      </c>
      <c r="F3791" s="4" t="str" cm="1">
        <f t="array" ref="F3791">IFERROR(INDEX(EmployeeData[Age], ROW() - 37), "")</f>
        <v/>
      </c>
      <c r="G3791" s="6" t="str" cm="1">
        <f t="array" ref="G3791">IFERROR(INDEX(EmployeeData[Join Date], ROW() - 37), "")</f>
        <v/>
      </c>
      <c r="H3791" s="6" t="str" cm="1">
        <f t="array" ref="H3791">IFERROR(IF(INDEX(EmployeeData[Exit Date], ROW() - 37)=0, "",INDEX(EmployeeData[Exit Date], ROW() - 37)),"")</f>
        <v/>
      </c>
      <c r="I3791" s="4" t="str" cm="1">
        <f t="array" ref="I3791">IFERROR(IF(INDEX(EmployeeData[Exit Reason], ROW() - 37)=0, "",INDEX(EmployeeData[Exit Reason], ROW() - 37)),"")</f>
        <v/>
      </c>
      <c r="J3791" s="4" t="str" cm="1">
        <f t="array" ref="J3791">IFERROR(INDEX(EmployeeData[Status], ROW() - 37), "")</f>
        <v/>
      </c>
    </row>
    <row r="3792" spans="2:10" ht="19.95" customHeight="1" x14ac:dyDescent="0.3">
      <c r="B3792" s="4" t="str" cm="1">
        <f t="array" ref="B3792">IFERROR(INDEX(EmployeeData[Employee ID], ROW() - 37), "")</f>
        <v/>
      </c>
      <c r="C3792" s="4" t="str" cm="1">
        <f t="array" ref="C3792">IFERROR(INDEX(EmployeeData[Full Name], ROW() - 37), "")</f>
        <v/>
      </c>
      <c r="D3792" s="4" t="str" cm="1">
        <f t="array" ref="D3792">IFERROR(INDEX(EmployeeData[Department], ROW() - 37), "")</f>
        <v/>
      </c>
      <c r="E3792" s="4" t="str" cm="1">
        <f t="array" ref="E3792">IFERROR(INDEX(EmployeeData[Gender], ROW() - 37), "")</f>
        <v/>
      </c>
      <c r="F3792" s="4" t="str" cm="1">
        <f t="array" ref="F3792">IFERROR(INDEX(EmployeeData[Age], ROW() - 37), "")</f>
        <v/>
      </c>
      <c r="G3792" s="6" t="str" cm="1">
        <f t="array" ref="G3792">IFERROR(INDEX(EmployeeData[Join Date], ROW() - 37), "")</f>
        <v/>
      </c>
      <c r="H3792" s="6" t="str" cm="1">
        <f t="array" ref="H3792">IFERROR(IF(INDEX(EmployeeData[Exit Date], ROW() - 37)=0, "",INDEX(EmployeeData[Exit Date], ROW() - 37)),"")</f>
        <v/>
      </c>
      <c r="I3792" s="4" t="str" cm="1">
        <f t="array" ref="I3792">IFERROR(IF(INDEX(EmployeeData[Exit Reason], ROW() - 37)=0, "",INDEX(EmployeeData[Exit Reason], ROW() - 37)),"")</f>
        <v/>
      </c>
      <c r="J3792" s="4" t="str" cm="1">
        <f t="array" ref="J3792">IFERROR(INDEX(EmployeeData[Status], ROW() - 37), "")</f>
        <v/>
      </c>
    </row>
    <row r="3793" spans="2:10" ht="19.95" customHeight="1" x14ac:dyDescent="0.3">
      <c r="B3793" s="4" t="str" cm="1">
        <f t="array" ref="B3793">IFERROR(INDEX(EmployeeData[Employee ID], ROW() - 37), "")</f>
        <v/>
      </c>
      <c r="C3793" s="4" t="str" cm="1">
        <f t="array" ref="C3793">IFERROR(INDEX(EmployeeData[Full Name], ROW() - 37), "")</f>
        <v/>
      </c>
      <c r="D3793" s="4" t="str" cm="1">
        <f t="array" ref="D3793">IFERROR(INDEX(EmployeeData[Department], ROW() - 37), "")</f>
        <v/>
      </c>
      <c r="E3793" s="4" t="str" cm="1">
        <f t="array" ref="E3793">IFERROR(INDEX(EmployeeData[Gender], ROW() - 37), "")</f>
        <v/>
      </c>
      <c r="F3793" s="4" t="str" cm="1">
        <f t="array" ref="F3793">IFERROR(INDEX(EmployeeData[Age], ROW() - 37), "")</f>
        <v/>
      </c>
      <c r="G3793" s="6" t="str" cm="1">
        <f t="array" ref="G3793">IFERROR(INDEX(EmployeeData[Join Date], ROW() - 37), "")</f>
        <v/>
      </c>
      <c r="H3793" s="6" t="str" cm="1">
        <f t="array" ref="H3793">IFERROR(IF(INDEX(EmployeeData[Exit Date], ROW() - 37)=0, "",INDEX(EmployeeData[Exit Date], ROW() - 37)),"")</f>
        <v/>
      </c>
      <c r="I3793" s="4" t="str" cm="1">
        <f t="array" ref="I3793">IFERROR(IF(INDEX(EmployeeData[Exit Reason], ROW() - 37)=0, "",INDEX(EmployeeData[Exit Reason], ROW() - 37)),"")</f>
        <v/>
      </c>
      <c r="J3793" s="4" t="str" cm="1">
        <f t="array" ref="J3793">IFERROR(INDEX(EmployeeData[Status], ROW() - 37), "")</f>
        <v/>
      </c>
    </row>
    <row r="3794" spans="2:10" ht="19.95" customHeight="1" x14ac:dyDescent="0.3">
      <c r="B3794" s="4" t="str" cm="1">
        <f t="array" ref="B3794">IFERROR(INDEX(EmployeeData[Employee ID], ROW() - 37), "")</f>
        <v/>
      </c>
      <c r="C3794" s="4" t="str" cm="1">
        <f t="array" ref="C3794">IFERROR(INDEX(EmployeeData[Full Name], ROW() - 37), "")</f>
        <v/>
      </c>
      <c r="D3794" s="4" t="str" cm="1">
        <f t="array" ref="D3794">IFERROR(INDEX(EmployeeData[Department], ROW() - 37), "")</f>
        <v/>
      </c>
      <c r="E3794" s="4" t="str" cm="1">
        <f t="array" ref="E3794">IFERROR(INDEX(EmployeeData[Gender], ROW() - 37), "")</f>
        <v/>
      </c>
      <c r="F3794" s="4" t="str" cm="1">
        <f t="array" ref="F3794">IFERROR(INDEX(EmployeeData[Age], ROW() - 37), "")</f>
        <v/>
      </c>
      <c r="G3794" s="6" t="str" cm="1">
        <f t="array" ref="G3794">IFERROR(INDEX(EmployeeData[Join Date], ROW() - 37), "")</f>
        <v/>
      </c>
      <c r="H3794" s="6" t="str" cm="1">
        <f t="array" ref="H3794">IFERROR(IF(INDEX(EmployeeData[Exit Date], ROW() - 37)=0, "",INDEX(EmployeeData[Exit Date], ROW() - 37)),"")</f>
        <v/>
      </c>
      <c r="I3794" s="4" t="str" cm="1">
        <f t="array" ref="I3794">IFERROR(IF(INDEX(EmployeeData[Exit Reason], ROW() - 37)=0, "",INDEX(EmployeeData[Exit Reason], ROW() - 37)),"")</f>
        <v/>
      </c>
      <c r="J3794" s="4" t="str" cm="1">
        <f t="array" ref="J3794">IFERROR(INDEX(EmployeeData[Status], ROW() - 37), "")</f>
        <v/>
      </c>
    </row>
    <row r="3795" spans="2:10" ht="19.95" customHeight="1" x14ac:dyDescent="0.3">
      <c r="B3795" s="4" t="str" cm="1">
        <f t="array" ref="B3795">IFERROR(INDEX(EmployeeData[Employee ID], ROW() - 37), "")</f>
        <v/>
      </c>
      <c r="C3795" s="4" t="str" cm="1">
        <f t="array" ref="C3795">IFERROR(INDEX(EmployeeData[Full Name], ROW() - 37), "")</f>
        <v/>
      </c>
      <c r="D3795" s="4" t="str" cm="1">
        <f t="array" ref="D3795">IFERROR(INDEX(EmployeeData[Department], ROW() - 37), "")</f>
        <v/>
      </c>
      <c r="E3795" s="4" t="str" cm="1">
        <f t="array" ref="E3795">IFERROR(INDEX(EmployeeData[Gender], ROW() - 37), "")</f>
        <v/>
      </c>
      <c r="F3795" s="4" t="str" cm="1">
        <f t="array" ref="F3795">IFERROR(INDEX(EmployeeData[Age], ROW() - 37), "")</f>
        <v/>
      </c>
      <c r="G3795" s="6" t="str" cm="1">
        <f t="array" ref="G3795">IFERROR(INDEX(EmployeeData[Join Date], ROW() - 37), "")</f>
        <v/>
      </c>
      <c r="H3795" s="6" t="str" cm="1">
        <f t="array" ref="H3795">IFERROR(IF(INDEX(EmployeeData[Exit Date], ROW() - 37)=0, "",INDEX(EmployeeData[Exit Date], ROW() - 37)),"")</f>
        <v/>
      </c>
      <c r="I3795" s="4" t="str" cm="1">
        <f t="array" ref="I3795">IFERROR(IF(INDEX(EmployeeData[Exit Reason], ROW() - 37)=0, "",INDEX(EmployeeData[Exit Reason], ROW() - 37)),"")</f>
        <v/>
      </c>
      <c r="J3795" s="4" t="str" cm="1">
        <f t="array" ref="J3795">IFERROR(INDEX(EmployeeData[Status], ROW() - 37), "")</f>
        <v/>
      </c>
    </row>
    <row r="3796" spans="2:10" ht="19.95" customHeight="1" x14ac:dyDescent="0.3">
      <c r="B3796" s="4" t="str" cm="1">
        <f t="array" ref="B3796">IFERROR(INDEX(EmployeeData[Employee ID], ROW() - 37), "")</f>
        <v/>
      </c>
      <c r="C3796" s="4" t="str" cm="1">
        <f t="array" ref="C3796">IFERROR(INDEX(EmployeeData[Full Name], ROW() - 37), "")</f>
        <v/>
      </c>
      <c r="D3796" s="4" t="str" cm="1">
        <f t="array" ref="D3796">IFERROR(INDEX(EmployeeData[Department], ROW() - 37), "")</f>
        <v/>
      </c>
      <c r="E3796" s="4" t="str" cm="1">
        <f t="array" ref="E3796">IFERROR(INDEX(EmployeeData[Gender], ROW() - 37), "")</f>
        <v/>
      </c>
      <c r="F3796" s="4" t="str" cm="1">
        <f t="array" ref="F3796">IFERROR(INDEX(EmployeeData[Age], ROW() - 37), "")</f>
        <v/>
      </c>
      <c r="G3796" s="6" t="str" cm="1">
        <f t="array" ref="G3796">IFERROR(INDEX(EmployeeData[Join Date], ROW() - 37), "")</f>
        <v/>
      </c>
      <c r="H3796" s="6" t="str" cm="1">
        <f t="array" ref="H3796">IFERROR(IF(INDEX(EmployeeData[Exit Date], ROW() - 37)=0, "",INDEX(EmployeeData[Exit Date], ROW() - 37)),"")</f>
        <v/>
      </c>
      <c r="I3796" s="4" t="str" cm="1">
        <f t="array" ref="I3796">IFERROR(IF(INDEX(EmployeeData[Exit Reason], ROW() - 37)=0, "",INDEX(EmployeeData[Exit Reason], ROW() - 37)),"")</f>
        <v/>
      </c>
      <c r="J3796" s="4" t="str" cm="1">
        <f t="array" ref="J3796">IFERROR(INDEX(EmployeeData[Status], ROW() - 37), "")</f>
        <v/>
      </c>
    </row>
    <row r="3797" spans="2:10" ht="19.95" customHeight="1" x14ac:dyDescent="0.3">
      <c r="B3797" s="4" t="str" cm="1">
        <f t="array" ref="B3797">IFERROR(INDEX(EmployeeData[Employee ID], ROW() - 37), "")</f>
        <v/>
      </c>
      <c r="C3797" s="4" t="str" cm="1">
        <f t="array" ref="C3797">IFERROR(INDEX(EmployeeData[Full Name], ROW() - 37), "")</f>
        <v/>
      </c>
      <c r="D3797" s="4" t="str" cm="1">
        <f t="array" ref="D3797">IFERROR(INDEX(EmployeeData[Department], ROW() - 37), "")</f>
        <v/>
      </c>
      <c r="E3797" s="4" t="str" cm="1">
        <f t="array" ref="E3797">IFERROR(INDEX(EmployeeData[Gender], ROW() - 37), "")</f>
        <v/>
      </c>
      <c r="F3797" s="4" t="str" cm="1">
        <f t="array" ref="F3797">IFERROR(INDEX(EmployeeData[Age], ROW() - 37), "")</f>
        <v/>
      </c>
      <c r="G3797" s="6" t="str" cm="1">
        <f t="array" ref="G3797">IFERROR(INDEX(EmployeeData[Join Date], ROW() - 37), "")</f>
        <v/>
      </c>
      <c r="H3797" s="6" t="str" cm="1">
        <f t="array" ref="H3797">IFERROR(IF(INDEX(EmployeeData[Exit Date], ROW() - 37)=0, "",INDEX(EmployeeData[Exit Date], ROW() - 37)),"")</f>
        <v/>
      </c>
      <c r="I3797" s="4" t="str" cm="1">
        <f t="array" ref="I3797">IFERROR(IF(INDEX(EmployeeData[Exit Reason], ROW() - 37)=0, "",INDEX(EmployeeData[Exit Reason], ROW() - 37)),"")</f>
        <v/>
      </c>
      <c r="J3797" s="4" t="str" cm="1">
        <f t="array" ref="J3797">IFERROR(INDEX(EmployeeData[Status], ROW() - 37), "")</f>
        <v/>
      </c>
    </row>
    <row r="3798" spans="2:10" ht="19.95" customHeight="1" x14ac:dyDescent="0.3">
      <c r="B3798" s="4" t="str" cm="1">
        <f t="array" ref="B3798">IFERROR(INDEX(EmployeeData[Employee ID], ROW() - 37), "")</f>
        <v/>
      </c>
      <c r="C3798" s="4" t="str" cm="1">
        <f t="array" ref="C3798">IFERROR(INDEX(EmployeeData[Full Name], ROW() - 37), "")</f>
        <v/>
      </c>
      <c r="D3798" s="4" t="str" cm="1">
        <f t="array" ref="D3798">IFERROR(INDEX(EmployeeData[Department], ROW() - 37), "")</f>
        <v/>
      </c>
      <c r="E3798" s="4" t="str" cm="1">
        <f t="array" ref="E3798">IFERROR(INDEX(EmployeeData[Gender], ROW() - 37), "")</f>
        <v/>
      </c>
      <c r="F3798" s="4" t="str" cm="1">
        <f t="array" ref="F3798">IFERROR(INDEX(EmployeeData[Age], ROW() - 37), "")</f>
        <v/>
      </c>
      <c r="G3798" s="6" t="str" cm="1">
        <f t="array" ref="G3798">IFERROR(INDEX(EmployeeData[Join Date], ROW() - 37), "")</f>
        <v/>
      </c>
      <c r="H3798" s="6" t="str" cm="1">
        <f t="array" ref="H3798">IFERROR(IF(INDEX(EmployeeData[Exit Date], ROW() - 37)=0, "",INDEX(EmployeeData[Exit Date], ROW() - 37)),"")</f>
        <v/>
      </c>
      <c r="I3798" s="4" t="str" cm="1">
        <f t="array" ref="I3798">IFERROR(IF(INDEX(EmployeeData[Exit Reason], ROW() - 37)=0, "",INDEX(EmployeeData[Exit Reason], ROW() - 37)),"")</f>
        <v/>
      </c>
      <c r="J3798" s="4" t="str" cm="1">
        <f t="array" ref="J3798">IFERROR(INDEX(EmployeeData[Status], ROW() - 37), "")</f>
        <v/>
      </c>
    </row>
    <row r="3799" spans="2:10" ht="19.95" customHeight="1" x14ac:dyDescent="0.3">
      <c r="B3799" s="4" t="str" cm="1">
        <f t="array" ref="B3799">IFERROR(INDEX(EmployeeData[Employee ID], ROW() - 37), "")</f>
        <v/>
      </c>
      <c r="C3799" s="4" t="str" cm="1">
        <f t="array" ref="C3799">IFERROR(INDEX(EmployeeData[Full Name], ROW() - 37), "")</f>
        <v/>
      </c>
      <c r="D3799" s="4" t="str" cm="1">
        <f t="array" ref="D3799">IFERROR(INDEX(EmployeeData[Department], ROW() - 37), "")</f>
        <v/>
      </c>
      <c r="E3799" s="4" t="str" cm="1">
        <f t="array" ref="E3799">IFERROR(INDEX(EmployeeData[Gender], ROW() - 37), "")</f>
        <v/>
      </c>
      <c r="F3799" s="4" t="str" cm="1">
        <f t="array" ref="F3799">IFERROR(INDEX(EmployeeData[Age], ROW() - 37), "")</f>
        <v/>
      </c>
      <c r="G3799" s="6" t="str" cm="1">
        <f t="array" ref="G3799">IFERROR(INDEX(EmployeeData[Join Date], ROW() - 37), "")</f>
        <v/>
      </c>
      <c r="H3799" s="6" t="str" cm="1">
        <f t="array" ref="H3799">IFERROR(IF(INDEX(EmployeeData[Exit Date], ROW() - 37)=0, "",INDEX(EmployeeData[Exit Date], ROW() - 37)),"")</f>
        <v/>
      </c>
      <c r="I3799" s="4" t="str" cm="1">
        <f t="array" ref="I3799">IFERROR(IF(INDEX(EmployeeData[Exit Reason], ROW() - 37)=0, "",INDEX(EmployeeData[Exit Reason], ROW() - 37)),"")</f>
        <v/>
      </c>
      <c r="J3799" s="4" t="str" cm="1">
        <f t="array" ref="J3799">IFERROR(INDEX(EmployeeData[Status], ROW() - 37), "")</f>
        <v/>
      </c>
    </row>
    <row r="3800" spans="2:10" ht="19.95" customHeight="1" x14ac:dyDescent="0.3">
      <c r="B3800" s="4" t="str" cm="1">
        <f t="array" ref="B3800">IFERROR(INDEX(EmployeeData[Employee ID], ROW() - 37), "")</f>
        <v/>
      </c>
      <c r="C3800" s="4" t="str" cm="1">
        <f t="array" ref="C3800">IFERROR(INDEX(EmployeeData[Full Name], ROW() - 37), "")</f>
        <v/>
      </c>
      <c r="D3800" s="4" t="str" cm="1">
        <f t="array" ref="D3800">IFERROR(INDEX(EmployeeData[Department], ROW() - 37), "")</f>
        <v/>
      </c>
      <c r="E3800" s="4" t="str" cm="1">
        <f t="array" ref="E3800">IFERROR(INDEX(EmployeeData[Gender], ROW() - 37), "")</f>
        <v/>
      </c>
      <c r="F3800" s="4" t="str" cm="1">
        <f t="array" ref="F3800">IFERROR(INDEX(EmployeeData[Age], ROW() - 37), "")</f>
        <v/>
      </c>
      <c r="G3800" s="6" t="str" cm="1">
        <f t="array" ref="G3800">IFERROR(INDEX(EmployeeData[Join Date], ROW() - 37), "")</f>
        <v/>
      </c>
      <c r="H3800" s="6" t="str" cm="1">
        <f t="array" ref="H3800">IFERROR(IF(INDEX(EmployeeData[Exit Date], ROW() - 37)=0, "",INDEX(EmployeeData[Exit Date], ROW() - 37)),"")</f>
        <v/>
      </c>
      <c r="I3800" s="4" t="str" cm="1">
        <f t="array" ref="I3800">IFERROR(IF(INDEX(EmployeeData[Exit Reason], ROW() - 37)=0, "",INDEX(EmployeeData[Exit Reason], ROW() - 37)),"")</f>
        <v/>
      </c>
      <c r="J3800" s="4" t="str" cm="1">
        <f t="array" ref="J3800">IFERROR(INDEX(EmployeeData[Status], ROW() - 37), "")</f>
        <v/>
      </c>
    </row>
    <row r="3801" spans="2:10" ht="19.95" customHeight="1" x14ac:dyDescent="0.3">
      <c r="B3801" s="4" t="str" cm="1">
        <f t="array" ref="B3801">IFERROR(INDEX(EmployeeData[Employee ID], ROW() - 37), "")</f>
        <v/>
      </c>
      <c r="C3801" s="4" t="str" cm="1">
        <f t="array" ref="C3801">IFERROR(INDEX(EmployeeData[Full Name], ROW() - 37), "")</f>
        <v/>
      </c>
      <c r="D3801" s="4" t="str" cm="1">
        <f t="array" ref="D3801">IFERROR(INDEX(EmployeeData[Department], ROW() - 37), "")</f>
        <v/>
      </c>
      <c r="E3801" s="4" t="str" cm="1">
        <f t="array" ref="E3801">IFERROR(INDEX(EmployeeData[Gender], ROW() - 37), "")</f>
        <v/>
      </c>
      <c r="F3801" s="4" t="str" cm="1">
        <f t="array" ref="F3801">IFERROR(INDEX(EmployeeData[Age], ROW() - 37), "")</f>
        <v/>
      </c>
      <c r="G3801" s="6" t="str" cm="1">
        <f t="array" ref="G3801">IFERROR(INDEX(EmployeeData[Join Date], ROW() - 37), "")</f>
        <v/>
      </c>
      <c r="H3801" s="6" t="str" cm="1">
        <f t="array" ref="H3801">IFERROR(IF(INDEX(EmployeeData[Exit Date], ROW() - 37)=0, "",INDEX(EmployeeData[Exit Date], ROW() - 37)),"")</f>
        <v/>
      </c>
      <c r="I3801" s="4" t="str" cm="1">
        <f t="array" ref="I3801">IFERROR(IF(INDEX(EmployeeData[Exit Reason], ROW() - 37)=0, "",INDEX(EmployeeData[Exit Reason], ROW() - 37)),"")</f>
        <v/>
      </c>
      <c r="J3801" s="4" t="str" cm="1">
        <f t="array" ref="J3801">IFERROR(INDEX(EmployeeData[Status], ROW() - 37), "")</f>
        <v/>
      </c>
    </row>
    <row r="3802" spans="2:10" ht="19.95" customHeight="1" x14ac:dyDescent="0.3">
      <c r="B3802" s="4" t="str" cm="1">
        <f t="array" ref="B3802">IFERROR(INDEX(EmployeeData[Employee ID], ROW() - 37), "")</f>
        <v/>
      </c>
      <c r="C3802" s="4" t="str" cm="1">
        <f t="array" ref="C3802">IFERROR(INDEX(EmployeeData[Full Name], ROW() - 37), "")</f>
        <v/>
      </c>
      <c r="D3802" s="4" t="str" cm="1">
        <f t="array" ref="D3802">IFERROR(INDEX(EmployeeData[Department], ROW() - 37), "")</f>
        <v/>
      </c>
      <c r="E3802" s="4" t="str" cm="1">
        <f t="array" ref="E3802">IFERROR(INDEX(EmployeeData[Gender], ROW() - 37), "")</f>
        <v/>
      </c>
      <c r="F3802" s="4" t="str" cm="1">
        <f t="array" ref="F3802">IFERROR(INDEX(EmployeeData[Age], ROW() - 37), "")</f>
        <v/>
      </c>
      <c r="G3802" s="6" t="str" cm="1">
        <f t="array" ref="G3802">IFERROR(INDEX(EmployeeData[Join Date], ROW() - 37), "")</f>
        <v/>
      </c>
      <c r="H3802" s="6" t="str" cm="1">
        <f t="array" ref="H3802">IFERROR(IF(INDEX(EmployeeData[Exit Date], ROW() - 37)=0, "",INDEX(EmployeeData[Exit Date], ROW() - 37)),"")</f>
        <v/>
      </c>
      <c r="I3802" s="4" t="str" cm="1">
        <f t="array" ref="I3802">IFERROR(IF(INDEX(EmployeeData[Exit Reason], ROW() - 37)=0, "",INDEX(EmployeeData[Exit Reason], ROW() - 37)),"")</f>
        <v/>
      </c>
      <c r="J3802" s="4" t="str" cm="1">
        <f t="array" ref="J3802">IFERROR(INDEX(EmployeeData[Status], ROW() - 37), "")</f>
        <v/>
      </c>
    </row>
    <row r="3803" spans="2:10" ht="19.95" customHeight="1" x14ac:dyDescent="0.3">
      <c r="B3803" s="4" t="str" cm="1">
        <f t="array" ref="B3803">IFERROR(INDEX(EmployeeData[Employee ID], ROW() - 37), "")</f>
        <v/>
      </c>
      <c r="C3803" s="4" t="str" cm="1">
        <f t="array" ref="C3803">IFERROR(INDEX(EmployeeData[Full Name], ROW() - 37), "")</f>
        <v/>
      </c>
      <c r="D3803" s="4" t="str" cm="1">
        <f t="array" ref="D3803">IFERROR(INDEX(EmployeeData[Department], ROW() - 37), "")</f>
        <v/>
      </c>
      <c r="E3803" s="4" t="str" cm="1">
        <f t="array" ref="E3803">IFERROR(INDEX(EmployeeData[Gender], ROW() - 37), "")</f>
        <v/>
      </c>
      <c r="F3803" s="4" t="str" cm="1">
        <f t="array" ref="F3803">IFERROR(INDEX(EmployeeData[Age], ROW() - 37), "")</f>
        <v/>
      </c>
      <c r="G3803" s="6" t="str" cm="1">
        <f t="array" ref="G3803">IFERROR(INDEX(EmployeeData[Join Date], ROW() - 37), "")</f>
        <v/>
      </c>
      <c r="H3803" s="6" t="str" cm="1">
        <f t="array" ref="H3803">IFERROR(IF(INDEX(EmployeeData[Exit Date], ROW() - 37)=0, "",INDEX(EmployeeData[Exit Date], ROW() - 37)),"")</f>
        <v/>
      </c>
      <c r="I3803" s="4" t="str" cm="1">
        <f t="array" ref="I3803">IFERROR(IF(INDEX(EmployeeData[Exit Reason], ROW() - 37)=0, "",INDEX(EmployeeData[Exit Reason], ROW() - 37)),"")</f>
        <v/>
      </c>
      <c r="J3803" s="4" t="str" cm="1">
        <f t="array" ref="J3803">IFERROR(INDEX(EmployeeData[Status], ROW() - 37), "")</f>
        <v/>
      </c>
    </row>
    <row r="3804" spans="2:10" ht="19.95" customHeight="1" x14ac:dyDescent="0.3">
      <c r="B3804" s="4" t="str" cm="1">
        <f t="array" ref="B3804">IFERROR(INDEX(EmployeeData[Employee ID], ROW() - 37), "")</f>
        <v/>
      </c>
      <c r="C3804" s="4" t="str" cm="1">
        <f t="array" ref="C3804">IFERROR(INDEX(EmployeeData[Full Name], ROW() - 37), "")</f>
        <v/>
      </c>
      <c r="D3804" s="4" t="str" cm="1">
        <f t="array" ref="D3804">IFERROR(INDEX(EmployeeData[Department], ROW() - 37), "")</f>
        <v/>
      </c>
      <c r="E3804" s="4" t="str" cm="1">
        <f t="array" ref="E3804">IFERROR(INDEX(EmployeeData[Gender], ROW() - 37), "")</f>
        <v/>
      </c>
      <c r="F3804" s="4" t="str" cm="1">
        <f t="array" ref="F3804">IFERROR(INDEX(EmployeeData[Age], ROW() - 37), "")</f>
        <v/>
      </c>
      <c r="G3804" s="6" t="str" cm="1">
        <f t="array" ref="G3804">IFERROR(INDEX(EmployeeData[Join Date], ROW() - 37), "")</f>
        <v/>
      </c>
      <c r="H3804" s="6" t="str" cm="1">
        <f t="array" ref="H3804">IFERROR(IF(INDEX(EmployeeData[Exit Date], ROW() - 37)=0, "",INDEX(EmployeeData[Exit Date], ROW() - 37)),"")</f>
        <v/>
      </c>
      <c r="I3804" s="4" t="str" cm="1">
        <f t="array" ref="I3804">IFERROR(IF(INDEX(EmployeeData[Exit Reason], ROW() - 37)=0, "",INDEX(EmployeeData[Exit Reason], ROW() - 37)),"")</f>
        <v/>
      </c>
      <c r="J3804" s="4" t="str" cm="1">
        <f t="array" ref="J3804">IFERROR(INDEX(EmployeeData[Status], ROW() - 37), "")</f>
        <v/>
      </c>
    </row>
    <row r="3805" spans="2:10" ht="19.95" customHeight="1" x14ac:dyDescent="0.3">
      <c r="B3805" s="4" t="str" cm="1">
        <f t="array" ref="B3805">IFERROR(INDEX(EmployeeData[Employee ID], ROW() - 37), "")</f>
        <v/>
      </c>
      <c r="C3805" s="4" t="str" cm="1">
        <f t="array" ref="C3805">IFERROR(INDEX(EmployeeData[Full Name], ROW() - 37), "")</f>
        <v/>
      </c>
      <c r="D3805" s="4" t="str" cm="1">
        <f t="array" ref="D3805">IFERROR(INDEX(EmployeeData[Department], ROW() - 37), "")</f>
        <v/>
      </c>
      <c r="E3805" s="4" t="str" cm="1">
        <f t="array" ref="E3805">IFERROR(INDEX(EmployeeData[Gender], ROW() - 37), "")</f>
        <v/>
      </c>
      <c r="F3805" s="4" t="str" cm="1">
        <f t="array" ref="F3805">IFERROR(INDEX(EmployeeData[Age], ROW() - 37), "")</f>
        <v/>
      </c>
      <c r="G3805" s="6" t="str" cm="1">
        <f t="array" ref="G3805">IFERROR(INDEX(EmployeeData[Join Date], ROW() - 37), "")</f>
        <v/>
      </c>
      <c r="H3805" s="6" t="str" cm="1">
        <f t="array" ref="H3805">IFERROR(IF(INDEX(EmployeeData[Exit Date], ROW() - 37)=0, "",INDEX(EmployeeData[Exit Date], ROW() - 37)),"")</f>
        <v/>
      </c>
      <c r="I3805" s="4" t="str" cm="1">
        <f t="array" ref="I3805">IFERROR(IF(INDEX(EmployeeData[Exit Reason], ROW() - 37)=0, "",INDEX(EmployeeData[Exit Reason], ROW() - 37)),"")</f>
        <v/>
      </c>
      <c r="J3805" s="4" t="str" cm="1">
        <f t="array" ref="J3805">IFERROR(INDEX(EmployeeData[Status], ROW() - 37), "")</f>
        <v/>
      </c>
    </row>
    <row r="3806" spans="2:10" ht="19.95" customHeight="1" x14ac:dyDescent="0.3">
      <c r="B3806" s="4" t="str" cm="1">
        <f t="array" ref="B3806">IFERROR(INDEX(EmployeeData[Employee ID], ROW() - 37), "")</f>
        <v/>
      </c>
      <c r="C3806" s="4" t="str" cm="1">
        <f t="array" ref="C3806">IFERROR(INDEX(EmployeeData[Full Name], ROW() - 37), "")</f>
        <v/>
      </c>
      <c r="D3806" s="4" t="str" cm="1">
        <f t="array" ref="D3806">IFERROR(INDEX(EmployeeData[Department], ROW() - 37), "")</f>
        <v/>
      </c>
      <c r="E3806" s="4" t="str" cm="1">
        <f t="array" ref="E3806">IFERROR(INDEX(EmployeeData[Gender], ROW() - 37), "")</f>
        <v/>
      </c>
      <c r="F3806" s="4" t="str" cm="1">
        <f t="array" ref="F3806">IFERROR(INDEX(EmployeeData[Age], ROW() - 37), "")</f>
        <v/>
      </c>
      <c r="G3806" s="6" t="str" cm="1">
        <f t="array" ref="G3806">IFERROR(INDEX(EmployeeData[Join Date], ROW() - 37), "")</f>
        <v/>
      </c>
      <c r="H3806" s="6" t="str" cm="1">
        <f t="array" ref="H3806">IFERROR(IF(INDEX(EmployeeData[Exit Date], ROW() - 37)=0, "",INDEX(EmployeeData[Exit Date], ROW() - 37)),"")</f>
        <v/>
      </c>
      <c r="I3806" s="4" t="str" cm="1">
        <f t="array" ref="I3806">IFERROR(IF(INDEX(EmployeeData[Exit Reason], ROW() - 37)=0, "",INDEX(EmployeeData[Exit Reason], ROW() - 37)),"")</f>
        <v/>
      </c>
      <c r="J3806" s="4" t="str" cm="1">
        <f t="array" ref="J3806">IFERROR(INDEX(EmployeeData[Status], ROW() - 37), "")</f>
        <v/>
      </c>
    </row>
    <row r="3807" spans="2:10" ht="19.95" customHeight="1" x14ac:dyDescent="0.3">
      <c r="B3807" s="4" t="str" cm="1">
        <f t="array" ref="B3807">IFERROR(INDEX(EmployeeData[Employee ID], ROW() - 37), "")</f>
        <v/>
      </c>
      <c r="C3807" s="4" t="str" cm="1">
        <f t="array" ref="C3807">IFERROR(INDEX(EmployeeData[Full Name], ROW() - 37), "")</f>
        <v/>
      </c>
      <c r="D3807" s="4" t="str" cm="1">
        <f t="array" ref="D3807">IFERROR(INDEX(EmployeeData[Department], ROW() - 37), "")</f>
        <v/>
      </c>
      <c r="E3807" s="4" t="str" cm="1">
        <f t="array" ref="E3807">IFERROR(INDEX(EmployeeData[Gender], ROW() - 37), "")</f>
        <v/>
      </c>
      <c r="F3807" s="4" t="str" cm="1">
        <f t="array" ref="F3807">IFERROR(INDEX(EmployeeData[Age], ROW() - 37), "")</f>
        <v/>
      </c>
      <c r="G3807" s="6" t="str" cm="1">
        <f t="array" ref="G3807">IFERROR(INDEX(EmployeeData[Join Date], ROW() - 37), "")</f>
        <v/>
      </c>
      <c r="H3807" s="6" t="str" cm="1">
        <f t="array" ref="H3807">IFERROR(IF(INDEX(EmployeeData[Exit Date], ROW() - 37)=0, "",INDEX(EmployeeData[Exit Date], ROW() - 37)),"")</f>
        <v/>
      </c>
      <c r="I3807" s="4" t="str" cm="1">
        <f t="array" ref="I3807">IFERROR(IF(INDEX(EmployeeData[Exit Reason], ROW() - 37)=0, "",INDEX(EmployeeData[Exit Reason], ROW() - 37)),"")</f>
        <v/>
      </c>
      <c r="J3807" s="4" t="str" cm="1">
        <f t="array" ref="J3807">IFERROR(INDEX(EmployeeData[Status], ROW() - 37), "")</f>
        <v/>
      </c>
    </row>
    <row r="3808" spans="2:10" ht="19.95" customHeight="1" x14ac:dyDescent="0.3">
      <c r="B3808" s="4" t="str" cm="1">
        <f t="array" ref="B3808">IFERROR(INDEX(EmployeeData[Employee ID], ROW() - 37), "")</f>
        <v/>
      </c>
      <c r="C3808" s="4" t="str" cm="1">
        <f t="array" ref="C3808">IFERROR(INDEX(EmployeeData[Full Name], ROW() - 37), "")</f>
        <v/>
      </c>
      <c r="D3808" s="4" t="str" cm="1">
        <f t="array" ref="D3808">IFERROR(INDEX(EmployeeData[Department], ROW() - 37), "")</f>
        <v/>
      </c>
      <c r="E3808" s="4" t="str" cm="1">
        <f t="array" ref="E3808">IFERROR(INDEX(EmployeeData[Gender], ROW() - 37), "")</f>
        <v/>
      </c>
      <c r="F3808" s="4" t="str" cm="1">
        <f t="array" ref="F3808">IFERROR(INDEX(EmployeeData[Age], ROW() - 37), "")</f>
        <v/>
      </c>
      <c r="G3808" s="6" t="str" cm="1">
        <f t="array" ref="G3808">IFERROR(INDEX(EmployeeData[Join Date], ROW() - 37), "")</f>
        <v/>
      </c>
      <c r="H3808" s="6" t="str" cm="1">
        <f t="array" ref="H3808">IFERROR(IF(INDEX(EmployeeData[Exit Date], ROW() - 37)=0, "",INDEX(EmployeeData[Exit Date], ROW() - 37)),"")</f>
        <v/>
      </c>
      <c r="I3808" s="4" t="str" cm="1">
        <f t="array" ref="I3808">IFERROR(IF(INDEX(EmployeeData[Exit Reason], ROW() - 37)=0, "",INDEX(EmployeeData[Exit Reason], ROW() - 37)),"")</f>
        <v/>
      </c>
      <c r="J3808" s="4" t="str" cm="1">
        <f t="array" ref="J3808">IFERROR(INDEX(EmployeeData[Status], ROW() - 37), "")</f>
        <v/>
      </c>
    </row>
    <row r="3809" spans="2:10" ht="19.95" customHeight="1" x14ac:dyDescent="0.3">
      <c r="B3809" s="4" t="str" cm="1">
        <f t="array" ref="B3809">IFERROR(INDEX(EmployeeData[Employee ID], ROW() - 37), "")</f>
        <v/>
      </c>
      <c r="C3809" s="4" t="str" cm="1">
        <f t="array" ref="C3809">IFERROR(INDEX(EmployeeData[Full Name], ROW() - 37), "")</f>
        <v/>
      </c>
      <c r="D3809" s="4" t="str" cm="1">
        <f t="array" ref="D3809">IFERROR(INDEX(EmployeeData[Department], ROW() - 37), "")</f>
        <v/>
      </c>
      <c r="E3809" s="4" t="str" cm="1">
        <f t="array" ref="E3809">IFERROR(INDEX(EmployeeData[Gender], ROW() - 37), "")</f>
        <v/>
      </c>
      <c r="F3809" s="4" t="str" cm="1">
        <f t="array" ref="F3809">IFERROR(INDEX(EmployeeData[Age], ROW() - 37), "")</f>
        <v/>
      </c>
      <c r="G3809" s="6" t="str" cm="1">
        <f t="array" ref="G3809">IFERROR(INDEX(EmployeeData[Join Date], ROW() - 37), "")</f>
        <v/>
      </c>
      <c r="H3809" s="6" t="str" cm="1">
        <f t="array" ref="H3809">IFERROR(IF(INDEX(EmployeeData[Exit Date], ROW() - 37)=0, "",INDEX(EmployeeData[Exit Date], ROW() - 37)),"")</f>
        <v/>
      </c>
      <c r="I3809" s="4" t="str" cm="1">
        <f t="array" ref="I3809">IFERROR(IF(INDEX(EmployeeData[Exit Reason], ROW() - 37)=0, "",INDEX(EmployeeData[Exit Reason], ROW() - 37)),"")</f>
        <v/>
      </c>
      <c r="J3809" s="4" t="str" cm="1">
        <f t="array" ref="J3809">IFERROR(INDEX(EmployeeData[Status], ROW() - 37), "")</f>
        <v/>
      </c>
    </row>
    <row r="3810" spans="2:10" ht="19.95" customHeight="1" x14ac:dyDescent="0.3">
      <c r="B3810" s="4" t="str" cm="1">
        <f t="array" ref="B3810">IFERROR(INDEX(EmployeeData[Employee ID], ROW() - 37), "")</f>
        <v/>
      </c>
      <c r="C3810" s="4" t="str" cm="1">
        <f t="array" ref="C3810">IFERROR(INDEX(EmployeeData[Full Name], ROW() - 37), "")</f>
        <v/>
      </c>
      <c r="D3810" s="4" t="str" cm="1">
        <f t="array" ref="D3810">IFERROR(INDEX(EmployeeData[Department], ROW() - 37), "")</f>
        <v/>
      </c>
      <c r="E3810" s="4" t="str" cm="1">
        <f t="array" ref="E3810">IFERROR(INDEX(EmployeeData[Gender], ROW() - 37), "")</f>
        <v/>
      </c>
      <c r="F3810" s="4" t="str" cm="1">
        <f t="array" ref="F3810">IFERROR(INDEX(EmployeeData[Age], ROW() - 37), "")</f>
        <v/>
      </c>
      <c r="G3810" s="6" t="str" cm="1">
        <f t="array" ref="G3810">IFERROR(INDEX(EmployeeData[Join Date], ROW() - 37), "")</f>
        <v/>
      </c>
      <c r="H3810" s="6" t="str" cm="1">
        <f t="array" ref="H3810">IFERROR(IF(INDEX(EmployeeData[Exit Date], ROW() - 37)=0, "",INDEX(EmployeeData[Exit Date], ROW() - 37)),"")</f>
        <v/>
      </c>
      <c r="I3810" s="4" t="str" cm="1">
        <f t="array" ref="I3810">IFERROR(IF(INDEX(EmployeeData[Exit Reason], ROW() - 37)=0, "",INDEX(EmployeeData[Exit Reason], ROW() - 37)),"")</f>
        <v/>
      </c>
      <c r="J3810" s="4" t="str" cm="1">
        <f t="array" ref="J3810">IFERROR(INDEX(EmployeeData[Status], ROW() - 37), "")</f>
        <v/>
      </c>
    </row>
    <row r="3811" spans="2:10" ht="19.95" customHeight="1" x14ac:dyDescent="0.3">
      <c r="B3811" s="4" t="str" cm="1">
        <f t="array" ref="B3811">IFERROR(INDEX(EmployeeData[Employee ID], ROW() - 37), "")</f>
        <v/>
      </c>
      <c r="C3811" s="4" t="str" cm="1">
        <f t="array" ref="C3811">IFERROR(INDEX(EmployeeData[Full Name], ROW() - 37), "")</f>
        <v/>
      </c>
      <c r="D3811" s="4" t="str" cm="1">
        <f t="array" ref="D3811">IFERROR(INDEX(EmployeeData[Department], ROW() - 37), "")</f>
        <v/>
      </c>
      <c r="E3811" s="4" t="str" cm="1">
        <f t="array" ref="E3811">IFERROR(INDEX(EmployeeData[Gender], ROW() - 37), "")</f>
        <v/>
      </c>
      <c r="F3811" s="4" t="str" cm="1">
        <f t="array" ref="F3811">IFERROR(INDEX(EmployeeData[Age], ROW() - 37), "")</f>
        <v/>
      </c>
      <c r="G3811" s="6" t="str" cm="1">
        <f t="array" ref="G3811">IFERROR(INDEX(EmployeeData[Join Date], ROW() - 37), "")</f>
        <v/>
      </c>
      <c r="H3811" s="6" t="str" cm="1">
        <f t="array" ref="H3811">IFERROR(IF(INDEX(EmployeeData[Exit Date], ROW() - 37)=0, "",INDEX(EmployeeData[Exit Date], ROW() - 37)),"")</f>
        <v/>
      </c>
      <c r="I3811" s="4" t="str" cm="1">
        <f t="array" ref="I3811">IFERROR(IF(INDEX(EmployeeData[Exit Reason], ROW() - 37)=0, "",INDEX(EmployeeData[Exit Reason], ROW() - 37)),"")</f>
        <v/>
      </c>
      <c r="J3811" s="4" t="str" cm="1">
        <f t="array" ref="J3811">IFERROR(INDEX(EmployeeData[Status], ROW() - 37), "")</f>
        <v/>
      </c>
    </row>
    <row r="3812" spans="2:10" ht="19.95" customHeight="1" x14ac:dyDescent="0.3">
      <c r="B3812" s="4" t="str" cm="1">
        <f t="array" ref="B3812">IFERROR(INDEX(EmployeeData[Employee ID], ROW() - 37), "")</f>
        <v/>
      </c>
      <c r="C3812" s="4" t="str" cm="1">
        <f t="array" ref="C3812">IFERROR(INDEX(EmployeeData[Full Name], ROW() - 37), "")</f>
        <v/>
      </c>
      <c r="D3812" s="4" t="str" cm="1">
        <f t="array" ref="D3812">IFERROR(INDEX(EmployeeData[Department], ROW() - 37), "")</f>
        <v/>
      </c>
      <c r="E3812" s="4" t="str" cm="1">
        <f t="array" ref="E3812">IFERROR(INDEX(EmployeeData[Gender], ROW() - 37), "")</f>
        <v/>
      </c>
      <c r="F3812" s="4" t="str" cm="1">
        <f t="array" ref="F3812">IFERROR(INDEX(EmployeeData[Age], ROW() - 37), "")</f>
        <v/>
      </c>
      <c r="G3812" s="6" t="str" cm="1">
        <f t="array" ref="G3812">IFERROR(INDEX(EmployeeData[Join Date], ROW() - 37), "")</f>
        <v/>
      </c>
      <c r="H3812" s="6" t="str" cm="1">
        <f t="array" ref="H3812">IFERROR(IF(INDEX(EmployeeData[Exit Date], ROW() - 37)=0, "",INDEX(EmployeeData[Exit Date], ROW() - 37)),"")</f>
        <v/>
      </c>
      <c r="I3812" s="4" t="str" cm="1">
        <f t="array" ref="I3812">IFERROR(IF(INDEX(EmployeeData[Exit Reason], ROW() - 37)=0, "",INDEX(EmployeeData[Exit Reason], ROW() - 37)),"")</f>
        <v/>
      </c>
      <c r="J3812" s="4" t="str" cm="1">
        <f t="array" ref="J3812">IFERROR(INDEX(EmployeeData[Status], ROW() - 37), "")</f>
        <v/>
      </c>
    </row>
    <row r="3813" spans="2:10" ht="19.95" customHeight="1" x14ac:dyDescent="0.3">
      <c r="B3813" s="4" t="str" cm="1">
        <f t="array" ref="B3813">IFERROR(INDEX(EmployeeData[Employee ID], ROW() - 37), "")</f>
        <v/>
      </c>
      <c r="C3813" s="4" t="str" cm="1">
        <f t="array" ref="C3813">IFERROR(INDEX(EmployeeData[Full Name], ROW() - 37), "")</f>
        <v/>
      </c>
      <c r="D3813" s="4" t="str" cm="1">
        <f t="array" ref="D3813">IFERROR(INDEX(EmployeeData[Department], ROW() - 37), "")</f>
        <v/>
      </c>
      <c r="E3813" s="4" t="str" cm="1">
        <f t="array" ref="E3813">IFERROR(INDEX(EmployeeData[Gender], ROW() - 37), "")</f>
        <v/>
      </c>
      <c r="F3813" s="4" t="str" cm="1">
        <f t="array" ref="F3813">IFERROR(INDEX(EmployeeData[Age], ROW() - 37), "")</f>
        <v/>
      </c>
      <c r="G3813" s="6" t="str" cm="1">
        <f t="array" ref="G3813">IFERROR(INDEX(EmployeeData[Join Date], ROW() - 37), "")</f>
        <v/>
      </c>
      <c r="H3813" s="6" t="str" cm="1">
        <f t="array" ref="H3813">IFERROR(IF(INDEX(EmployeeData[Exit Date], ROW() - 37)=0, "",INDEX(EmployeeData[Exit Date], ROW() - 37)),"")</f>
        <v/>
      </c>
      <c r="I3813" s="4" t="str" cm="1">
        <f t="array" ref="I3813">IFERROR(IF(INDEX(EmployeeData[Exit Reason], ROW() - 37)=0, "",INDEX(EmployeeData[Exit Reason], ROW() - 37)),"")</f>
        <v/>
      </c>
      <c r="J3813" s="4" t="str" cm="1">
        <f t="array" ref="J3813">IFERROR(INDEX(EmployeeData[Status], ROW() - 37), "")</f>
        <v/>
      </c>
    </row>
    <row r="3814" spans="2:10" ht="19.95" customHeight="1" x14ac:dyDescent="0.3">
      <c r="B3814" s="4" t="str" cm="1">
        <f t="array" ref="B3814">IFERROR(INDEX(EmployeeData[Employee ID], ROW() - 37), "")</f>
        <v/>
      </c>
      <c r="C3814" s="4" t="str" cm="1">
        <f t="array" ref="C3814">IFERROR(INDEX(EmployeeData[Full Name], ROW() - 37), "")</f>
        <v/>
      </c>
      <c r="D3814" s="4" t="str" cm="1">
        <f t="array" ref="D3814">IFERROR(INDEX(EmployeeData[Department], ROW() - 37), "")</f>
        <v/>
      </c>
      <c r="E3814" s="4" t="str" cm="1">
        <f t="array" ref="E3814">IFERROR(INDEX(EmployeeData[Gender], ROW() - 37), "")</f>
        <v/>
      </c>
      <c r="F3814" s="4" t="str" cm="1">
        <f t="array" ref="F3814">IFERROR(INDEX(EmployeeData[Age], ROW() - 37), "")</f>
        <v/>
      </c>
      <c r="G3814" s="6" t="str" cm="1">
        <f t="array" ref="G3814">IFERROR(INDEX(EmployeeData[Join Date], ROW() - 37), "")</f>
        <v/>
      </c>
      <c r="H3814" s="6" t="str" cm="1">
        <f t="array" ref="H3814">IFERROR(IF(INDEX(EmployeeData[Exit Date], ROW() - 37)=0, "",INDEX(EmployeeData[Exit Date], ROW() - 37)),"")</f>
        <v/>
      </c>
      <c r="I3814" s="4" t="str" cm="1">
        <f t="array" ref="I3814">IFERROR(IF(INDEX(EmployeeData[Exit Reason], ROW() - 37)=0, "",INDEX(EmployeeData[Exit Reason], ROW() - 37)),"")</f>
        <v/>
      </c>
      <c r="J3814" s="4" t="str" cm="1">
        <f t="array" ref="J3814">IFERROR(INDEX(EmployeeData[Status], ROW() - 37), "")</f>
        <v/>
      </c>
    </row>
    <row r="3815" spans="2:10" ht="19.95" customHeight="1" x14ac:dyDescent="0.3">
      <c r="B3815" s="4" t="str" cm="1">
        <f t="array" ref="B3815">IFERROR(INDEX(EmployeeData[Employee ID], ROW() - 37), "")</f>
        <v/>
      </c>
      <c r="C3815" s="4" t="str" cm="1">
        <f t="array" ref="C3815">IFERROR(INDEX(EmployeeData[Full Name], ROW() - 37), "")</f>
        <v/>
      </c>
      <c r="D3815" s="4" t="str" cm="1">
        <f t="array" ref="D3815">IFERROR(INDEX(EmployeeData[Department], ROW() - 37), "")</f>
        <v/>
      </c>
      <c r="E3815" s="4" t="str" cm="1">
        <f t="array" ref="E3815">IFERROR(INDEX(EmployeeData[Gender], ROW() - 37), "")</f>
        <v/>
      </c>
      <c r="F3815" s="4" t="str" cm="1">
        <f t="array" ref="F3815">IFERROR(INDEX(EmployeeData[Age], ROW() - 37), "")</f>
        <v/>
      </c>
      <c r="G3815" s="6" t="str" cm="1">
        <f t="array" ref="G3815">IFERROR(INDEX(EmployeeData[Join Date], ROW() - 37), "")</f>
        <v/>
      </c>
      <c r="H3815" s="6" t="str" cm="1">
        <f t="array" ref="H3815">IFERROR(IF(INDEX(EmployeeData[Exit Date], ROW() - 37)=0, "",INDEX(EmployeeData[Exit Date], ROW() - 37)),"")</f>
        <v/>
      </c>
      <c r="I3815" s="4" t="str" cm="1">
        <f t="array" ref="I3815">IFERROR(IF(INDEX(EmployeeData[Exit Reason], ROW() - 37)=0, "",INDEX(EmployeeData[Exit Reason], ROW() - 37)),"")</f>
        <v/>
      </c>
      <c r="J3815" s="4" t="str" cm="1">
        <f t="array" ref="J3815">IFERROR(INDEX(EmployeeData[Status], ROW() - 37), "")</f>
        <v/>
      </c>
    </row>
    <row r="3816" spans="2:10" ht="19.95" customHeight="1" x14ac:dyDescent="0.3">
      <c r="B3816" s="4" t="str" cm="1">
        <f t="array" ref="B3816">IFERROR(INDEX(EmployeeData[Employee ID], ROW() - 37), "")</f>
        <v/>
      </c>
      <c r="C3816" s="4" t="str" cm="1">
        <f t="array" ref="C3816">IFERROR(INDEX(EmployeeData[Full Name], ROW() - 37), "")</f>
        <v/>
      </c>
      <c r="D3816" s="4" t="str" cm="1">
        <f t="array" ref="D3816">IFERROR(INDEX(EmployeeData[Department], ROW() - 37), "")</f>
        <v/>
      </c>
      <c r="E3816" s="4" t="str" cm="1">
        <f t="array" ref="E3816">IFERROR(INDEX(EmployeeData[Gender], ROW() - 37), "")</f>
        <v/>
      </c>
      <c r="F3816" s="4" t="str" cm="1">
        <f t="array" ref="F3816">IFERROR(INDEX(EmployeeData[Age], ROW() - 37), "")</f>
        <v/>
      </c>
      <c r="G3816" s="6" t="str" cm="1">
        <f t="array" ref="G3816">IFERROR(INDEX(EmployeeData[Join Date], ROW() - 37), "")</f>
        <v/>
      </c>
      <c r="H3816" s="6" t="str" cm="1">
        <f t="array" ref="H3816">IFERROR(IF(INDEX(EmployeeData[Exit Date], ROW() - 37)=0, "",INDEX(EmployeeData[Exit Date], ROW() - 37)),"")</f>
        <v/>
      </c>
      <c r="I3816" s="4" t="str" cm="1">
        <f t="array" ref="I3816">IFERROR(IF(INDEX(EmployeeData[Exit Reason], ROW() - 37)=0, "",INDEX(EmployeeData[Exit Reason], ROW() - 37)),"")</f>
        <v/>
      </c>
      <c r="J3816" s="4" t="str" cm="1">
        <f t="array" ref="J3816">IFERROR(INDEX(EmployeeData[Status], ROW() - 37), "")</f>
        <v/>
      </c>
    </row>
    <row r="3817" spans="2:10" ht="19.95" customHeight="1" x14ac:dyDescent="0.3">
      <c r="B3817" s="4" t="str" cm="1">
        <f t="array" ref="B3817">IFERROR(INDEX(EmployeeData[Employee ID], ROW() - 37), "")</f>
        <v/>
      </c>
      <c r="C3817" s="4" t="str" cm="1">
        <f t="array" ref="C3817">IFERROR(INDEX(EmployeeData[Full Name], ROW() - 37), "")</f>
        <v/>
      </c>
      <c r="D3817" s="4" t="str" cm="1">
        <f t="array" ref="D3817">IFERROR(INDEX(EmployeeData[Department], ROW() - 37), "")</f>
        <v/>
      </c>
      <c r="E3817" s="4" t="str" cm="1">
        <f t="array" ref="E3817">IFERROR(INDEX(EmployeeData[Gender], ROW() - 37), "")</f>
        <v/>
      </c>
      <c r="F3817" s="4" t="str" cm="1">
        <f t="array" ref="F3817">IFERROR(INDEX(EmployeeData[Age], ROW() - 37), "")</f>
        <v/>
      </c>
      <c r="G3817" s="6" t="str" cm="1">
        <f t="array" ref="G3817">IFERROR(INDEX(EmployeeData[Join Date], ROW() - 37), "")</f>
        <v/>
      </c>
      <c r="H3817" s="6" t="str" cm="1">
        <f t="array" ref="H3817">IFERROR(IF(INDEX(EmployeeData[Exit Date], ROW() - 37)=0, "",INDEX(EmployeeData[Exit Date], ROW() - 37)),"")</f>
        <v/>
      </c>
      <c r="I3817" s="4" t="str" cm="1">
        <f t="array" ref="I3817">IFERROR(IF(INDEX(EmployeeData[Exit Reason], ROW() - 37)=0, "",INDEX(EmployeeData[Exit Reason], ROW() - 37)),"")</f>
        <v/>
      </c>
      <c r="J3817" s="4" t="str" cm="1">
        <f t="array" ref="J3817">IFERROR(INDEX(EmployeeData[Status], ROW() - 37), "")</f>
        <v/>
      </c>
    </row>
    <row r="3818" spans="2:10" ht="19.95" customHeight="1" x14ac:dyDescent="0.3">
      <c r="B3818" s="4" t="str" cm="1">
        <f t="array" ref="B3818">IFERROR(INDEX(EmployeeData[Employee ID], ROW() - 37), "")</f>
        <v/>
      </c>
      <c r="C3818" s="4" t="str" cm="1">
        <f t="array" ref="C3818">IFERROR(INDEX(EmployeeData[Full Name], ROW() - 37), "")</f>
        <v/>
      </c>
      <c r="D3818" s="4" t="str" cm="1">
        <f t="array" ref="D3818">IFERROR(INDEX(EmployeeData[Department], ROW() - 37), "")</f>
        <v/>
      </c>
      <c r="E3818" s="4" t="str" cm="1">
        <f t="array" ref="E3818">IFERROR(INDEX(EmployeeData[Gender], ROW() - 37), "")</f>
        <v/>
      </c>
      <c r="F3818" s="4" t="str" cm="1">
        <f t="array" ref="F3818">IFERROR(INDEX(EmployeeData[Age], ROW() - 37), "")</f>
        <v/>
      </c>
      <c r="G3818" s="6" t="str" cm="1">
        <f t="array" ref="G3818">IFERROR(INDEX(EmployeeData[Join Date], ROW() - 37), "")</f>
        <v/>
      </c>
      <c r="H3818" s="6" t="str" cm="1">
        <f t="array" ref="H3818">IFERROR(IF(INDEX(EmployeeData[Exit Date], ROW() - 37)=0, "",INDEX(EmployeeData[Exit Date], ROW() - 37)),"")</f>
        <v/>
      </c>
      <c r="I3818" s="4" t="str" cm="1">
        <f t="array" ref="I3818">IFERROR(IF(INDEX(EmployeeData[Exit Reason], ROW() - 37)=0, "",INDEX(EmployeeData[Exit Reason], ROW() - 37)),"")</f>
        <v/>
      </c>
      <c r="J3818" s="4" t="str" cm="1">
        <f t="array" ref="J3818">IFERROR(INDEX(EmployeeData[Status], ROW() - 37), "")</f>
        <v/>
      </c>
    </row>
    <row r="3819" spans="2:10" ht="19.95" customHeight="1" x14ac:dyDescent="0.3">
      <c r="B3819" s="4" t="str" cm="1">
        <f t="array" ref="B3819">IFERROR(INDEX(EmployeeData[Employee ID], ROW() - 37), "")</f>
        <v/>
      </c>
      <c r="C3819" s="4" t="str" cm="1">
        <f t="array" ref="C3819">IFERROR(INDEX(EmployeeData[Full Name], ROW() - 37), "")</f>
        <v/>
      </c>
      <c r="D3819" s="4" t="str" cm="1">
        <f t="array" ref="D3819">IFERROR(INDEX(EmployeeData[Department], ROW() - 37), "")</f>
        <v/>
      </c>
      <c r="E3819" s="4" t="str" cm="1">
        <f t="array" ref="E3819">IFERROR(INDEX(EmployeeData[Gender], ROW() - 37), "")</f>
        <v/>
      </c>
      <c r="F3819" s="4" t="str" cm="1">
        <f t="array" ref="F3819">IFERROR(INDEX(EmployeeData[Age], ROW() - 37), "")</f>
        <v/>
      </c>
      <c r="G3819" s="6" t="str" cm="1">
        <f t="array" ref="G3819">IFERROR(INDEX(EmployeeData[Join Date], ROW() - 37), "")</f>
        <v/>
      </c>
      <c r="H3819" s="6" t="str" cm="1">
        <f t="array" ref="H3819">IFERROR(IF(INDEX(EmployeeData[Exit Date], ROW() - 37)=0, "",INDEX(EmployeeData[Exit Date], ROW() - 37)),"")</f>
        <v/>
      </c>
      <c r="I3819" s="4" t="str" cm="1">
        <f t="array" ref="I3819">IFERROR(IF(INDEX(EmployeeData[Exit Reason], ROW() - 37)=0, "",INDEX(EmployeeData[Exit Reason], ROW() - 37)),"")</f>
        <v/>
      </c>
      <c r="J3819" s="4" t="str" cm="1">
        <f t="array" ref="J3819">IFERROR(INDEX(EmployeeData[Status], ROW() - 37), "")</f>
        <v/>
      </c>
    </row>
    <row r="3820" spans="2:10" ht="19.95" customHeight="1" x14ac:dyDescent="0.3">
      <c r="B3820" s="4" t="str" cm="1">
        <f t="array" ref="B3820">IFERROR(INDEX(EmployeeData[Employee ID], ROW() - 37), "")</f>
        <v/>
      </c>
      <c r="C3820" s="4" t="str" cm="1">
        <f t="array" ref="C3820">IFERROR(INDEX(EmployeeData[Full Name], ROW() - 37), "")</f>
        <v/>
      </c>
      <c r="D3820" s="4" t="str" cm="1">
        <f t="array" ref="D3820">IFERROR(INDEX(EmployeeData[Department], ROW() - 37), "")</f>
        <v/>
      </c>
      <c r="E3820" s="4" t="str" cm="1">
        <f t="array" ref="E3820">IFERROR(INDEX(EmployeeData[Gender], ROW() - 37), "")</f>
        <v/>
      </c>
      <c r="F3820" s="4" t="str" cm="1">
        <f t="array" ref="F3820">IFERROR(INDEX(EmployeeData[Age], ROW() - 37), "")</f>
        <v/>
      </c>
      <c r="G3820" s="6" t="str" cm="1">
        <f t="array" ref="G3820">IFERROR(INDEX(EmployeeData[Join Date], ROW() - 37), "")</f>
        <v/>
      </c>
      <c r="H3820" s="6" t="str" cm="1">
        <f t="array" ref="H3820">IFERROR(IF(INDEX(EmployeeData[Exit Date], ROW() - 37)=0, "",INDEX(EmployeeData[Exit Date], ROW() - 37)),"")</f>
        <v/>
      </c>
      <c r="I3820" s="4" t="str" cm="1">
        <f t="array" ref="I3820">IFERROR(IF(INDEX(EmployeeData[Exit Reason], ROW() - 37)=0, "",INDEX(EmployeeData[Exit Reason], ROW() - 37)),"")</f>
        <v/>
      </c>
      <c r="J3820" s="4" t="str" cm="1">
        <f t="array" ref="J3820">IFERROR(INDEX(EmployeeData[Status], ROW() - 37), "")</f>
        <v/>
      </c>
    </row>
    <row r="3821" spans="2:10" ht="19.95" customHeight="1" x14ac:dyDescent="0.3">
      <c r="B3821" s="4" t="str" cm="1">
        <f t="array" ref="B3821">IFERROR(INDEX(EmployeeData[Employee ID], ROW() - 37), "")</f>
        <v/>
      </c>
      <c r="C3821" s="4" t="str" cm="1">
        <f t="array" ref="C3821">IFERROR(INDEX(EmployeeData[Full Name], ROW() - 37), "")</f>
        <v/>
      </c>
      <c r="D3821" s="4" t="str" cm="1">
        <f t="array" ref="D3821">IFERROR(INDEX(EmployeeData[Department], ROW() - 37), "")</f>
        <v/>
      </c>
      <c r="E3821" s="4" t="str" cm="1">
        <f t="array" ref="E3821">IFERROR(INDEX(EmployeeData[Gender], ROW() - 37), "")</f>
        <v/>
      </c>
      <c r="F3821" s="4" t="str" cm="1">
        <f t="array" ref="F3821">IFERROR(INDEX(EmployeeData[Age], ROW() - 37), "")</f>
        <v/>
      </c>
      <c r="G3821" s="6" t="str" cm="1">
        <f t="array" ref="G3821">IFERROR(INDEX(EmployeeData[Join Date], ROW() - 37), "")</f>
        <v/>
      </c>
      <c r="H3821" s="6" t="str" cm="1">
        <f t="array" ref="H3821">IFERROR(IF(INDEX(EmployeeData[Exit Date], ROW() - 37)=0, "",INDEX(EmployeeData[Exit Date], ROW() - 37)),"")</f>
        <v/>
      </c>
      <c r="I3821" s="4" t="str" cm="1">
        <f t="array" ref="I3821">IFERROR(IF(INDEX(EmployeeData[Exit Reason], ROW() - 37)=0, "",INDEX(EmployeeData[Exit Reason], ROW() - 37)),"")</f>
        <v/>
      </c>
      <c r="J3821" s="4" t="str" cm="1">
        <f t="array" ref="J3821">IFERROR(INDEX(EmployeeData[Status], ROW() - 37), "")</f>
        <v/>
      </c>
    </row>
    <row r="3822" spans="2:10" ht="19.95" customHeight="1" x14ac:dyDescent="0.3">
      <c r="B3822" s="4" t="str" cm="1">
        <f t="array" ref="B3822">IFERROR(INDEX(EmployeeData[Employee ID], ROW() - 37), "")</f>
        <v/>
      </c>
      <c r="C3822" s="4" t="str" cm="1">
        <f t="array" ref="C3822">IFERROR(INDEX(EmployeeData[Full Name], ROW() - 37), "")</f>
        <v/>
      </c>
      <c r="D3822" s="4" t="str" cm="1">
        <f t="array" ref="D3822">IFERROR(INDEX(EmployeeData[Department], ROW() - 37), "")</f>
        <v/>
      </c>
      <c r="E3822" s="4" t="str" cm="1">
        <f t="array" ref="E3822">IFERROR(INDEX(EmployeeData[Gender], ROW() - 37), "")</f>
        <v/>
      </c>
      <c r="F3822" s="4" t="str" cm="1">
        <f t="array" ref="F3822">IFERROR(INDEX(EmployeeData[Age], ROW() - 37), "")</f>
        <v/>
      </c>
      <c r="G3822" s="6" t="str" cm="1">
        <f t="array" ref="G3822">IFERROR(INDEX(EmployeeData[Join Date], ROW() - 37), "")</f>
        <v/>
      </c>
      <c r="H3822" s="6" t="str" cm="1">
        <f t="array" ref="H3822">IFERROR(IF(INDEX(EmployeeData[Exit Date], ROW() - 37)=0, "",INDEX(EmployeeData[Exit Date], ROW() - 37)),"")</f>
        <v/>
      </c>
      <c r="I3822" s="4" t="str" cm="1">
        <f t="array" ref="I3822">IFERROR(IF(INDEX(EmployeeData[Exit Reason], ROW() - 37)=0, "",INDEX(EmployeeData[Exit Reason], ROW() - 37)),"")</f>
        <v/>
      </c>
      <c r="J3822" s="4" t="str" cm="1">
        <f t="array" ref="J3822">IFERROR(INDEX(EmployeeData[Status], ROW() - 37), "")</f>
        <v/>
      </c>
    </row>
    <row r="3823" spans="2:10" ht="19.95" customHeight="1" x14ac:dyDescent="0.3">
      <c r="B3823" s="4" t="str" cm="1">
        <f t="array" ref="B3823">IFERROR(INDEX(EmployeeData[Employee ID], ROW() - 37), "")</f>
        <v/>
      </c>
      <c r="C3823" s="4" t="str" cm="1">
        <f t="array" ref="C3823">IFERROR(INDEX(EmployeeData[Full Name], ROW() - 37), "")</f>
        <v/>
      </c>
      <c r="D3823" s="4" t="str" cm="1">
        <f t="array" ref="D3823">IFERROR(INDEX(EmployeeData[Department], ROW() - 37), "")</f>
        <v/>
      </c>
      <c r="E3823" s="4" t="str" cm="1">
        <f t="array" ref="E3823">IFERROR(INDEX(EmployeeData[Gender], ROW() - 37), "")</f>
        <v/>
      </c>
      <c r="F3823" s="4" t="str" cm="1">
        <f t="array" ref="F3823">IFERROR(INDEX(EmployeeData[Age], ROW() - 37), "")</f>
        <v/>
      </c>
      <c r="G3823" s="6" t="str" cm="1">
        <f t="array" ref="G3823">IFERROR(INDEX(EmployeeData[Join Date], ROW() - 37), "")</f>
        <v/>
      </c>
      <c r="H3823" s="6" t="str" cm="1">
        <f t="array" ref="H3823">IFERROR(IF(INDEX(EmployeeData[Exit Date], ROW() - 37)=0, "",INDEX(EmployeeData[Exit Date], ROW() - 37)),"")</f>
        <v/>
      </c>
      <c r="I3823" s="4" t="str" cm="1">
        <f t="array" ref="I3823">IFERROR(IF(INDEX(EmployeeData[Exit Reason], ROW() - 37)=0, "",INDEX(EmployeeData[Exit Reason], ROW() - 37)),"")</f>
        <v/>
      </c>
      <c r="J3823" s="4" t="str" cm="1">
        <f t="array" ref="J3823">IFERROR(INDEX(EmployeeData[Status], ROW() - 37), "")</f>
        <v/>
      </c>
    </row>
    <row r="3824" spans="2:10" ht="19.95" customHeight="1" x14ac:dyDescent="0.3">
      <c r="B3824" s="4" t="str" cm="1">
        <f t="array" ref="B3824">IFERROR(INDEX(EmployeeData[Employee ID], ROW() - 37), "")</f>
        <v/>
      </c>
      <c r="C3824" s="4" t="str" cm="1">
        <f t="array" ref="C3824">IFERROR(INDEX(EmployeeData[Full Name], ROW() - 37), "")</f>
        <v/>
      </c>
      <c r="D3824" s="4" t="str" cm="1">
        <f t="array" ref="D3824">IFERROR(INDEX(EmployeeData[Department], ROW() - 37), "")</f>
        <v/>
      </c>
      <c r="E3824" s="4" t="str" cm="1">
        <f t="array" ref="E3824">IFERROR(INDEX(EmployeeData[Gender], ROW() - 37), "")</f>
        <v/>
      </c>
      <c r="F3824" s="4" t="str" cm="1">
        <f t="array" ref="F3824">IFERROR(INDEX(EmployeeData[Age], ROW() - 37), "")</f>
        <v/>
      </c>
      <c r="G3824" s="6" t="str" cm="1">
        <f t="array" ref="G3824">IFERROR(INDEX(EmployeeData[Join Date], ROW() - 37), "")</f>
        <v/>
      </c>
      <c r="H3824" s="6" t="str" cm="1">
        <f t="array" ref="H3824">IFERROR(IF(INDEX(EmployeeData[Exit Date], ROW() - 37)=0, "",INDEX(EmployeeData[Exit Date], ROW() - 37)),"")</f>
        <v/>
      </c>
      <c r="I3824" s="4" t="str" cm="1">
        <f t="array" ref="I3824">IFERROR(IF(INDEX(EmployeeData[Exit Reason], ROW() - 37)=0, "",INDEX(EmployeeData[Exit Reason], ROW() - 37)),"")</f>
        <v/>
      </c>
      <c r="J3824" s="4" t="str" cm="1">
        <f t="array" ref="J3824">IFERROR(INDEX(EmployeeData[Status], ROW() - 37), "")</f>
        <v/>
      </c>
    </row>
    <row r="3825" spans="2:10" ht="19.95" customHeight="1" x14ac:dyDescent="0.3">
      <c r="B3825" s="4" t="str" cm="1">
        <f t="array" ref="B3825">IFERROR(INDEX(EmployeeData[Employee ID], ROW() - 37), "")</f>
        <v/>
      </c>
      <c r="C3825" s="4" t="str" cm="1">
        <f t="array" ref="C3825">IFERROR(INDEX(EmployeeData[Full Name], ROW() - 37), "")</f>
        <v/>
      </c>
      <c r="D3825" s="4" t="str" cm="1">
        <f t="array" ref="D3825">IFERROR(INDEX(EmployeeData[Department], ROW() - 37), "")</f>
        <v/>
      </c>
      <c r="E3825" s="4" t="str" cm="1">
        <f t="array" ref="E3825">IFERROR(INDEX(EmployeeData[Gender], ROW() - 37), "")</f>
        <v/>
      </c>
      <c r="F3825" s="4" t="str" cm="1">
        <f t="array" ref="F3825">IFERROR(INDEX(EmployeeData[Age], ROW() - 37), "")</f>
        <v/>
      </c>
      <c r="G3825" s="6" t="str" cm="1">
        <f t="array" ref="G3825">IFERROR(INDEX(EmployeeData[Join Date], ROW() - 37), "")</f>
        <v/>
      </c>
      <c r="H3825" s="6" t="str" cm="1">
        <f t="array" ref="H3825">IFERROR(IF(INDEX(EmployeeData[Exit Date], ROW() - 37)=0, "",INDEX(EmployeeData[Exit Date], ROW() - 37)),"")</f>
        <v/>
      </c>
      <c r="I3825" s="4" t="str" cm="1">
        <f t="array" ref="I3825">IFERROR(IF(INDEX(EmployeeData[Exit Reason], ROW() - 37)=0, "",INDEX(EmployeeData[Exit Reason], ROW() - 37)),"")</f>
        <v/>
      </c>
      <c r="J3825" s="4" t="str" cm="1">
        <f t="array" ref="J3825">IFERROR(INDEX(EmployeeData[Status], ROW() - 37), "")</f>
        <v/>
      </c>
    </row>
    <row r="3826" spans="2:10" ht="19.95" customHeight="1" x14ac:dyDescent="0.3">
      <c r="B3826" s="4" t="str" cm="1">
        <f t="array" ref="B3826">IFERROR(INDEX(EmployeeData[Employee ID], ROW() - 37), "")</f>
        <v/>
      </c>
      <c r="C3826" s="4" t="str" cm="1">
        <f t="array" ref="C3826">IFERROR(INDEX(EmployeeData[Full Name], ROW() - 37), "")</f>
        <v/>
      </c>
      <c r="D3826" s="4" t="str" cm="1">
        <f t="array" ref="D3826">IFERROR(INDEX(EmployeeData[Department], ROW() - 37), "")</f>
        <v/>
      </c>
      <c r="E3826" s="4" t="str" cm="1">
        <f t="array" ref="E3826">IFERROR(INDEX(EmployeeData[Gender], ROW() - 37), "")</f>
        <v/>
      </c>
      <c r="F3826" s="4" t="str" cm="1">
        <f t="array" ref="F3826">IFERROR(INDEX(EmployeeData[Age], ROW() - 37), "")</f>
        <v/>
      </c>
      <c r="G3826" s="6" t="str" cm="1">
        <f t="array" ref="G3826">IFERROR(INDEX(EmployeeData[Join Date], ROW() - 37), "")</f>
        <v/>
      </c>
      <c r="H3826" s="6" t="str" cm="1">
        <f t="array" ref="H3826">IFERROR(IF(INDEX(EmployeeData[Exit Date], ROW() - 37)=0, "",INDEX(EmployeeData[Exit Date], ROW() - 37)),"")</f>
        <v/>
      </c>
      <c r="I3826" s="4" t="str" cm="1">
        <f t="array" ref="I3826">IFERROR(IF(INDEX(EmployeeData[Exit Reason], ROW() - 37)=0, "",INDEX(EmployeeData[Exit Reason], ROW() - 37)),"")</f>
        <v/>
      </c>
      <c r="J3826" s="4" t="str" cm="1">
        <f t="array" ref="J3826">IFERROR(INDEX(EmployeeData[Status], ROW() - 37), "")</f>
        <v/>
      </c>
    </row>
    <row r="3827" spans="2:10" ht="19.95" customHeight="1" x14ac:dyDescent="0.3">
      <c r="B3827" s="4" t="str" cm="1">
        <f t="array" ref="B3827">IFERROR(INDEX(EmployeeData[Employee ID], ROW() - 37), "")</f>
        <v/>
      </c>
      <c r="C3827" s="4" t="str" cm="1">
        <f t="array" ref="C3827">IFERROR(INDEX(EmployeeData[Full Name], ROW() - 37), "")</f>
        <v/>
      </c>
      <c r="D3827" s="4" t="str" cm="1">
        <f t="array" ref="D3827">IFERROR(INDEX(EmployeeData[Department], ROW() - 37), "")</f>
        <v/>
      </c>
      <c r="E3827" s="4" t="str" cm="1">
        <f t="array" ref="E3827">IFERROR(INDEX(EmployeeData[Gender], ROW() - 37), "")</f>
        <v/>
      </c>
      <c r="F3827" s="4" t="str" cm="1">
        <f t="array" ref="F3827">IFERROR(INDEX(EmployeeData[Age], ROW() - 37), "")</f>
        <v/>
      </c>
      <c r="G3827" s="6" t="str" cm="1">
        <f t="array" ref="G3827">IFERROR(INDEX(EmployeeData[Join Date], ROW() - 37), "")</f>
        <v/>
      </c>
      <c r="H3827" s="6" t="str" cm="1">
        <f t="array" ref="H3827">IFERROR(IF(INDEX(EmployeeData[Exit Date], ROW() - 37)=0, "",INDEX(EmployeeData[Exit Date], ROW() - 37)),"")</f>
        <v/>
      </c>
      <c r="I3827" s="4" t="str" cm="1">
        <f t="array" ref="I3827">IFERROR(IF(INDEX(EmployeeData[Exit Reason], ROW() - 37)=0, "",INDEX(EmployeeData[Exit Reason], ROW() - 37)),"")</f>
        <v/>
      </c>
      <c r="J3827" s="4" t="str" cm="1">
        <f t="array" ref="J3827">IFERROR(INDEX(EmployeeData[Status], ROW() - 37), "")</f>
        <v/>
      </c>
    </row>
    <row r="3828" spans="2:10" ht="19.95" customHeight="1" x14ac:dyDescent="0.3">
      <c r="B3828" s="4" t="str" cm="1">
        <f t="array" ref="B3828">IFERROR(INDEX(EmployeeData[Employee ID], ROW() - 37), "")</f>
        <v/>
      </c>
      <c r="C3828" s="4" t="str" cm="1">
        <f t="array" ref="C3828">IFERROR(INDEX(EmployeeData[Full Name], ROW() - 37), "")</f>
        <v/>
      </c>
      <c r="D3828" s="4" t="str" cm="1">
        <f t="array" ref="D3828">IFERROR(INDEX(EmployeeData[Department], ROW() - 37), "")</f>
        <v/>
      </c>
      <c r="E3828" s="4" t="str" cm="1">
        <f t="array" ref="E3828">IFERROR(INDEX(EmployeeData[Gender], ROW() - 37), "")</f>
        <v/>
      </c>
      <c r="F3828" s="4" t="str" cm="1">
        <f t="array" ref="F3828">IFERROR(INDEX(EmployeeData[Age], ROW() - 37), "")</f>
        <v/>
      </c>
      <c r="G3828" s="6" t="str" cm="1">
        <f t="array" ref="G3828">IFERROR(INDEX(EmployeeData[Join Date], ROW() - 37), "")</f>
        <v/>
      </c>
      <c r="H3828" s="6" t="str" cm="1">
        <f t="array" ref="H3828">IFERROR(IF(INDEX(EmployeeData[Exit Date], ROW() - 37)=0, "",INDEX(EmployeeData[Exit Date], ROW() - 37)),"")</f>
        <v/>
      </c>
      <c r="I3828" s="4" t="str" cm="1">
        <f t="array" ref="I3828">IFERROR(IF(INDEX(EmployeeData[Exit Reason], ROW() - 37)=0, "",INDEX(EmployeeData[Exit Reason], ROW() - 37)),"")</f>
        <v/>
      </c>
      <c r="J3828" s="4" t="str" cm="1">
        <f t="array" ref="J3828">IFERROR(INDEX(EmployeeData[Status], ROW() - 37), "")</f>
        <v/>
      </c>
    </row>
    <row r="3829" spans="2:10" ht="19.95" customHeight="1" x14ac:dyDescent="0.3">
      <c r="B3829" s="4" t="str" cm="1">
        <f t="array" ref="B3829">IFERROR(INDEX(EmployeeData[Employee ID], ROW() - 37), "")</f>
        <v/>
      </c>
      <c r="C3829" s="4" t="str" cm="1">
        <f t="array" ref="C3829">IFERROR(INDEX(EmployeeData[Full Name], ROW() - 37), "")</f>
        <v/>
      </c>
      <c r="D3829" s="4" t="str" cm="1">
        <f t="array" ref="D3829">IFERROR(INDEX(EmployeeData[Department], ROW() - 37), "")</f>
        <v/>
      </c>
      <c r="E3829" s="4" t="str" cm="1">
        <f t="array" ref="E3829">IFERROR(INDEX(EmployeeData[Gender], ROW() - 37), "")</f>
        <v/>
      </c>
      <c r="F3829" s="4" t="str" cm="1">
        <f t="array" ref="F3829">IFERROR(INDEX(EmployeeData[Age], ROW() - 37), "")</f>
        <v/>
      </c>
      <c r="G3829" s="6" t="str" cm="1">
        <f t="array" ref="G3829">IFERROR(INDEX(EmployeeData[Join Date], ROW() - 37), "")</f>
        <v/>
      </c>
      <c r="H3829" s="6" t="str" cm="1">
        <f t="array" ref="H3829">IFERROR(IF(INDEX(EmployeeData[Exit Date], ROW() - 37)=0, "",INDEX(EmployeeData[Exit Date], ROW() - 37)),"")</f>
        <v/>
      </c>
      <c r="I3829" s="4" t="str" cm="1">
        <f t="array" ref="I3829">IFERROR(IF(INDEX(EmployeeData[Exit Reason], ROW() - 37)=0, "",INDEX(EmployeeData[Exit Reason], ROW() - 37)),"")</f>
        <v/>
      </c>
      <c r="J3829" s="4" t="str" cm="1">
        <f t="array" ref="J3829">IFERROR(INDEX(EmployeeData[Status], ROW() - 37), "")</f>
        <v/>
      </c>
    </row>
    <row r="3830" spans="2:10" ht="19.95" customHeight="1" x14ac:dyDescent="0.3">
      <c r="B3830" s="4" t="str" cm="1">
        <f t="array" ref="B3830">IFERROR(INDEX(EmployeeData[Employee ID], ROW() - 37), "")</f>
        <v/>
      </c>
      <c r="C3830" s="4" t="str" cm="1">
        <f t="array" ref="C3830">IFERROR(INDEX(EmployeeData[Full Name], ROW() - 37), "")</f>
        <v/>
      </c>
      <c r="D3830" s="4" t="str" cm="1">
        <f t="array" ref="D3830">IFERROR(INDEX(EmployeeData[Department], ROW() - 37), "")</f>
        <v/>
      </c>
      <c r="E3830" s="4" t="str" cm="1">
        <f t="array" ref="E3830">IFERROR(INDEX(EmployeeData[Gender], ROW() - 37), "")</f>
        <v/>
      </c>
      <c r="F3830" s="4" t="str" cm="1">
        <f t="array" ref="F3830">IFERROR(INDEX(EmployeeData[Age], ROW() - 37), "")</f>
        <v/>
      </c>
      <c r="G3830" s="6" t="str" cm="1">
        <f t="array" ref="G3830">IFERROR(INDEX(EmployeeData[Join Date], ROW() - 37), "")</f>
        <v/>
      </c>
      <c r="H3830" s="6" t="str" cm="1">
        <f t="array" ref="H3830">IFERROR(IF(INDEX(EmployeeData[Exit Date], ROW() - 37)=0, "",INDEX(EmployeeData[Exit Date], ROW() - 37)),"")</f>
        <v/>
      </c>
      <c r="I3830" s="4" t="str" cm="1">
        <f t="array" ref="I3830">IFERROR(IF(INDEX(EmployeeData[Exit Reason], ROW() - 37)=0, "",INDEX(EmployeeData[Exit Reason], ROW() - 37)),"")</f>
        <v/>
      </c>
      <c r="J3830" s="4" t="str" cm="1">
        <f t="array" ref="J3830">IFERROR(INDEX(EmployeeData[Status], ROW() - 37), "")</f>
        <v/>
      </c>
    </row>
    <row r="3831" spans="2:10" ht="19.95" customHeight="1" x14ac:dyDescent="0.3">
      <c r="B3831" s="4" t="str" cm="1">
        <f t="array" ref="B3831">IFERROR(INDEX(EmployeeData[Employee ID], ROW() - 37), "")</f>
        <v/>
      </c>
      <c r="C3831" s="4" t="str" cm="1">
        <f t="array" ref="C3831">IFERROR(INDEX(EmployeeData[Full Name], ROW() - 37), "")</f>
        <v/>
      </c>
      <c r="D3831" s="4" t="str" cm="1">
        <f t="array" ref="D3831">IFERROR(INDEX(EmployeeData[Department], ROW() - 37), "")</f>
        <v/>
      </c>
      <c r="E3831" s="4" t="str" cm="1">
        <f t="array" ref="E3831">IFERROR(INDEX(EmployeeData[Gender], ROW() - 37), "")</f>
        <v/>
      </c>
      <c r="F3831" s="4" t="str" cm="1">
        <f t="array" ref="F3831">IFERROR(INDEX(EmployeeData[Age], ROW() - 37), "")</f>
        <v/>
      </c>
      <c r="G3831" s="6" t="str" cm="1">
        <f t="array" ref="G3831">IFERROR(INDEX(EmployeeData[Join Date], ROW() - 37), "")</f>
        <v/>
      </c>
      <c r="H3831" s="6" t="str" cm="1">
        <f t="array" ref="H3831">IFERROR(IF(INDEX(EmployeeData[Exit Date], ROW() - 37)=0, "",INDEX(EmployeeData[Exit Date], ROW() - 37)),"")</f>
        <v/>
      </c>
      <c r="I3831" s="4" t="str" cm="1">
        <f t="array" ref="I3831">IFERROR(IF(INDEX(EmployeeData[Exit Reason], ROW() - 37)=0, "",INDEX(EmployeeData[Exit Reason], ROW() - 37)),"")</f>
        <v/>
      </c>
      <c r="J3831" s="4" t="str" cm="1">
        <f t="array" ref="J3831">IFERROR(INDEX(EmployeeData[Status], ROW() - 37), "")</f>
        <v/>
      </c>
    </row>
    <row r="3832" spans="2:10" ht="19.95" customHeight="1" x14ac:dyDescent="0.3">
      <c r="B3832" s="4" t="str" cm="1">
        <f t="array" ref="B3832">IFERROR(INDEX(EmployeeData[Employee ID], ROW() - 37), "")</f>
        <v/>
      </c>
      <c r="C3832" s="4" t="str" cm="1">
        <f t="array" ref="C3832">IFERROR(INDEX(EmployeeData[Full Name], ROW() - 37), "")</f>
        <v/>
      </c>
      <c r="D3832" s="4" t="str" cm="1">
        <f t="array" ref="D3832">IFERROR(INDEX(EmployeeData[Department], ROW() - 37), "")</f>
        <v/>
      </c>
      <c r="E3832" s="4" t="str" cm="1">
        <f t="array" ref="E3832">IFERROR(INDEX(EmployeeData[Gender], ROW() - 37), "")</f>
        <v/>
      </c>
      <c r="F3832" s="4" t="str" cm="1">
        <f t="array" ref="F3832">IFERROR(INDEX(EmployeeData[Age], ROW() - 37), "")</f>
        <v/>
      </c>
      <c r="G3832" s="6" t="str" cm="1">
        <f t="array" ref="G3832">IFERROR(INDEX(EmployeeData[Join Date], ROW() - 37), "")</f>
        <v/>
      </c>
      <c r="H3832" s="6" t="str" cm="1">
        <f t="array" ref="H3832">IFERROR(IF(INDEX(EmployeeData[Exit Date], ROW() - 37)=0, "",INDEX(EmployeeData[Exit Date], ROW() - 37)),"")</f>
        <v/>
      </c>
      <c r="I3832" s="4" t="str" cm="1">
        <f t="array" ref="I3832">IFERROR(IF(INDEX(EmployeeData[Exit Reason], ROW() - 37)=0, "",INDEX(EmployeeData[Exit Reason], ROW() - 37)),"")</f>
        <v/>
      </c>
      <c r="J3832" s="4" t="str" cm="1">
        <f t="array" ref="J3832">IFERROR(INDEX(EmployeeData[Status], ROW() - 37), "")</f>
        <v/>
      </c>
    </row>
    <row r="3833" spans="2:10" ht="19.95" customHeight="1" x14ac:dyDescent="0.3">
      <c r="B3833" s="4" t="str" cm="1">
        <f t="array" ref="B3833">IFERROR(INDEX(EmployeeData[Employee ID], ROW() - 37), "")</f>
        <v/>
      </c>
      <c r="C3833" s="4" t="str" cm="1">
        <f t="array" ref="C3833">IFERROR(INDEX(EmployeeData[Full Name], ROW() - 37), "")</f>
        <v/>
      </c>
      <c r="D3833" s="4" t="str" cm="1">
        <f t="array" ref="D3833">IFERROR(INDEX(EmployeeData[Department], ROW() - 37), "")</f>
        <v/>
      </c>
      <c r="E3833" s="4" t="str" cm="1">
        <f t="array" ref="E3833">IFERROR(INDEX(EmployeeData[Gender], ROW() - 37), "")</f>
        <v/>
      </c>
      <c r="F3833" s="4" t="str" cm="1">
        <f t="array" ref="F3833">IFERROR(INDEX(EmployeeData[Age], ROW() - 37), "")</f>
        <v/>
      </c>
      <c r="G3833" s="6" t="str" cm="1">
        <f t="array" ref="G3833">IFERROR(INDEX(EmployeeData[Join Date], ROW() - 37), "")</f>
        <v/>
      </c>
      <c r="H3833" s="6" t="str" cm="1">
        <f t="array" ref="H3833">IFERROR(IF(INDEX(EmployeeData[Exit Date], ROW() - 37)=0, "",INDEX(EmployeeData[Exit Date], ROW() - 37)),"")</f>
        <v/>
      </c>
      <c r="I3833" s="4" t="str" cm="1">
        <f t="array" ref="I3833">IFERROR(IF(INDEX(EmployeeData[Exit Reason], ROW() - 37)=0, "",INDEX(EmployeeData[Exit Reason], ROW() - 37)),"")</f>
        <v/>
      </c>
      <c r="J3833" s="4" t="str" cm="1">
        <f t="array" ref="J3833">IFERROR(INDEX(EmployeeData[Status], ROW() - 37), "")</f>
        <v/>
      </c>
    </row>
    <row r="3834" spans="2:10" ht="19.95" customHeight="1" x14ac:dyDescent="0.3">
      <c r="B3834" s="4" t="str" cm="1">
        <f t="array" ref="B3834">IFERROR(INDEX(EmployeeData[Employee ID], ROW() - 37), "")</f>
        <v/>
      </c>
      <c r="C3834" s="4" t="str" cm="1">
        <f t="array" ref="C3834">IFERROR(INDEX(EmployeeData[Full Name], ROW() - 37), "")</f>
        <v/>
      </c>
      <c r="D3834" s="4" t="str" cm="1">
        <f t="array" ref="D3834">IFERROR(INDEX(EmployeeData[Department], ROW() - 37), "")</f>
        <v/>
      </c>
      <c r="E3834" s="4" t="str" cm="1">
        <f t="array" ref="E3834">IFERROR(INDEX(EmployeeData[Gender], ROW() - 37), "")</f>
        <v/>
      </c>
      <c r="F3834" s="4" t="str" cm="1">
        <f t="array" ref="F3834">IFERROR(INDEX(EmployeeData[Age], ROW() - 37), "")</f>
        <v/>
      </c>
      <c r="G3834" s="6" t="str" cm="1">
        <f t="array" ref="G3834">IFERROR(INDEX(EmployeeData[Join Date], ROW() - 37), "")</f>
        <v/>
      </c>
      <c r="H3834" s="6" t="str" cm="1">
        <f t="array" ref="H3834">IFERROR(IF(INDEX(EmployeeData[Exit Date], ROW() - 37)=0, "",INDEX(EmployeeData[Exit Date], ROW() - 37)),"")</f>
        <v/>
      </c>
      <c r="I3834" s="4" t="str" cm="1">
        <f t="array" ref="I3834">IFERROR(IF(INDEX(EmployeeData[Exit Reason], ROW() - 37)=0, "",INDEX(EmployeeData[Exit Reason], ROW() - 37)),"")</f>
        <v/>
      </c>
      <c r="J3834" s="4" t="str" cm="1">
        <f t="array" ref="J3834">IFERROR(INDEX(EmployeeData[Status], ROW() - 37), "")</f>
        <v/>
      </c>
    </row>
    <row r="3835" spans="2:10" ht="19.95" customHeight="1" x14ac:dyDescent="0.3">
      <c r="B3835" s="4" t="str" cm="1">
        <f t="array" ref="B3835">IFERROR(INDEX(EmployeeData[Employee ID], ROW() - 37), "")</f>
        <v/>
      </c>
      <c r="C3835" s="4" t="str" cm="1">
        <f t="array" ref="C3835">IFERROR(INDEX(EmployeeData[Full Name], ROW() - 37), "")</f>
        <v/>
      </c>
      <c r="D3835" s="4" t="str" cm="1">
        <f t="array" ref="D3835">IFERROR(INDEX(EmployeeData[Department], ROW() - 37), "")</f>
        <v/>
      </c>
      <c r="E3835" s="4" t="str" cm="1">
        <f t="array" ref="E3835">IFERROR(INDEX(EmployeeData[Gender], ROW() - 37), "")</f>
        <v/>
      </c>
      <c r="F3835" s="4" t="str" cm="1">
        <f t="array" ref="F3835">IFERROR(INDEX(EmployeeData[Age], ROW() - 37), "")</f>
        <v/>
      </c>
      <c r="G3835" s="6" t="str" cm="1">
        <f t="array" ref="G3835">IFERROR(INDEX(EmployeeData[Join Date], ROW() - 37), "")</f>
        <v/>
      </c>
      <c r="H3835" s="6" t="str" cm="1">
        <f t="array" ref="H3835">IFERROR(IF(INDEX(EmployeeData[Exit Date], ROW() - 37)=0, "",INDEX(EmployeeData[Exit Date], ROW() - 37)),"")</f>
        <v/>
      </c>
      <c r="I3835" s="4" t="str" cm="1">
        <f t="array" ref="I3835">IFERROR(IF(INDEX(EmployeeData[Exit Reason], ROW() - 37)=0, "",INDEX(EmployeeData[Exit Reason], ROW() - 37)),"")</f>
        <v/>
      </c>
      <c r="J3835" s="4" t="str" cm="1">
        <f t="array" ref="J3835">IFERROR(INDEX(EmployeeData[Status], ROW() - 37), "")</f>
        <v/>
      </c>
    </row>
    <row r="3836" spans="2:10" ht="19.95" customHeight="1" x14ac:dyDescent="0.3">
      <c r="B3836" s="4" t="str" cm="1">
        <f t="array" ref="B3836">IFERROR(INDEX(EmployeeData[Employee ID], ROW() - 37), "")</f>
        <v/>
      </c>
      <c r="C3836" s="4" t="str" cm="1">
        <f t="array" ref="C3836">IFERROR(INDEX(EmployeeData[Full Name], ROW() - 37), "")</f>
        <v/>
      </c>
      <c r="D3836" s="4" t="str" cm="1">
        <f t="array" ref="D3836">IFERROR(INDEX(EmployeeData[Department], ROW() - 37), "")</f>
        <v/>
      </c>
      <c r="E3836" s="4" t="str" cm="1">
        <f t="array" ref="E3836">IFERROR(INDEX(EmployeeData[Gender], ROW() - 37), "")</f>
        <v/>
      </c>
      <c r="F3836" s="4" t="str" cm="1">
        <f t="array" ref="F3836">IFERROR(INDEX(EmployeeData[Age], ROW() - 37), "")</f>
        <v/>
      </c>
      <c r="G3836" s="6" t="str" cm="1">
        <f t="array" ref="G3836">IFERROR(INDEX(EmployeeData[Join Date], ROW() - 37), "")</f>
        <v/>
      </c>
      <c r="H3836" s="6" t="str" cm="1">
        <f t="array" ref="H3836">IFERROR(IF(INDEX(EmployeeData[Exit Date], ROW() - 37)=0, "",INDEX(EmployeeData[Exit Date], ROW() - 37)),"")</f>
        <v/>
      </c>
      <c r="I3836" s="4" t="str" cm="1">
        <f t="array" ref="I3836">IFERROR(IF(INDEX(EmployeeData[Exit Reason], ROW() - 37)=0, "",INDEX(EmployeeData[Exit Reason], ROW() - 37)),"")</f>
        <v/>
      </c>
      <c r="J3836" s="4" t="str" cm="1">
        <f t="array" ref="J3836">IFERROR(INDEX(EmployeeData[Status], ROW() - 37), "")</f>
        <v/>
      </c>
    </row>
    <row r="3837" spans="2:10" ht="19.95" customHeight="1" x14ac:dyDescent="0.3">
      <c r="B3837" s="4" t="str" cm="1">
        <f t="array" ref="B3837">IFERROR(INDEX(EmployeeData[Employee ID], ROW() - 37), "")</f>
        <v/>
      </c>
      <c r="C3837" s="4" t="str" cm="1">
        <f t="array" ref="C3837">IFERROR(INDEX(EmployeeData[Full Name], ROW() - 37), "")</f>
        <v/>
      </c>
      <c r="D3837" s="4" t="str" cm="1">
        <f t="array" ref="D3837">IFERROR(INDEX(EmployeeData[Department], ROW() - 37), "")</f>
        <v/>
      </c>
      <c r="E3837" s="4" t="str" cm="1">
        <f t="array" ref="E3837">IFERROR(INDEX(EmployeeData[Gender], ROW() - 37), "")</f>
        <v/>
      </c>
      <c r="F3837" s="4" t="str" cm="1">
        <f t="array" ref="F3837">IFERROR(INDEX(EmployeeData[Age], ROW() - 37), "")</f>
        <v/>
      </c>
      <c r="G3837" s="6" t="str" cm="1">
        <f t="array" ref="G3837">IFERROR(INDEX(EmployeeData[Join Date], ROW() - 37), "")</f>
        <v/>
      </c>
      <c r="H3837" s="6" t="str" cm="1">
        <f t="array" ref="H3837">IFERROR(IF(INDEX(EmployeeData[Exit Date], ROW() - 37)=0, "",INDEX(EmployeeData[Exit Date], ROW() - 37)),"")</f>
        <v/>
      </c>
      <c r="I3837" s="4" t="str" cm="1">
        <f t="array" ref="I3837">IFERROR(IF(INDEX(EmployeeData[Exit Reason], ROW() - 37)=0, "",INDEX(EmployeeData[Exit Reason], ROW() - 37)),"")</f>
        <v/>
      </c>
      <c r="J3837" s="4" t="str" cm="1">
        <f t="array" ref="J3837">IFERROR(INDEX(EmployeeData[Status], ROW() - 37), "")</f>
        <v/>
      </c>
    </row>
    <row r="3838" spans="2:10" ht="19.95" customHeight="1" x14ac:dyDescent="0.3">
      <c r="B3838" s="4" t="str" cm="1">
        <f t="array" ref="B3838">IFERROR(INDEX(EmployeeData[Employee ID], ROW() - 37), "")</f>
        <v/>
      </c>
      <c r="C3838" s="4" t="str" cm="1">
        <f t="array" ref="C3838">IFERROR(INDEX(EmployeeData[Full Name], ROW() - 37), "")</f>
        <v/>
      </c>
      <c r="D3838" s="4" t="str" cm="1">
        <f t="array" ref="D3838">IFERROR(INDEX(EmployeeData[Department], ROW() - 37), "")</f>
        <v/>
      </c>
      <c r="E3838" s="4" t="str" cm="1">
        <f t="array" ref="E3838">IFERROR(INDEX(EmployeeData[Gender], ROW() - 37), "")</f>
        <v/>
      </c>
      <c r="F3838" s="4" t="str" cm="1">
        <f t="array" ref="F3838">IFERROR(INDEX(EmployeeData[Age], ROW() - 37), "")</f>
        <v/>
      </c>
      <c r="G3838" s="6" t="str" cm="1">
        <f t="array" ref="G3838">IFERROR(INDEX(EmployeeData[Join Date], ROW() - 37), "")</f>
        <v/>
      </c>
      <c r="H3838" s="6" t="str" cm="1">
        <f t="array" ref="H3838">IFERROR(IF(INDEX(EmployeeData[Exit Date], ROW() - 37)=0, "",INDEX(EmployeeData[Exit Date], ROW() - 37)),"")</f>
        <v/>
      </c>
      <c r="I3838" s="4" t="str" cm="1">
        <f t="array" ref="I3838">IFERROR(IF(INDEX(EmployeeData[Exit Reason], ROW() - 37)=0, "",INDEX(EmployeeData[Exit Reason], ROW() - 37)),"")</f>
        <v/>
      </c>
      <c r="J3838" s="4" t="str" cm="1">
        <f t="array" ref="J3838">IFERROR(INDEX(EmployeeData[Status], ROW() - 37), "")</f>
        <v/>
      </c>
    </row>
    <row r="3839" spans="2:10" ht="19.95" customHeight="1" x14ac:dyDescent="0.3">
      <c r="B3839" s="4" t="str" cm="1">
        <f t="array" ref="B3839">IFERROR(INDEX(EmployeeData[Employee ID], ROW() - 37), "")</f>
        <v/>
      </c>
      <c r="C3839" s="4" t="str" cm="1">
        <f t="array" ref="C3839">IFERROR(INDEX(EmployeeData[Full Name], ROW() - 37), "")</f>
        <v/>
      </c>
      <c r="D3839" s="4" t="str" cm="1">
        <f t="array" ref="D3839">IFERROR(INDEX(EmployeeData[Department], ROW() - 37), "")</f>
        <v/>
      </c>
      <c r="E3839" s="4" t="str" cm="1">
        <f t="array" ref="E3839">IFERROR(INDEX(EmployeeData[Gender], ROW() - 37), "")</f>
        <v/>
      </c>
      <c r="F3839" s="4" t="str" cm="1">
        <f t="array" ref="F3839">IFERROR(INDEX(EmployeeData[Age], ROW() - 37), "")</f>
        <v/>
      </c>
      <c r="G3839" s="6" t="str" cm="1">
        <f t="array" ref="G3839">IFERROR(INDEX(EmployeeData[Join Date], ROW() - 37), "")</f>
        <v/>
      </c>
      <c r="H3839" s="6" t="str" cm="1">
        <f t="array" ref="H3839">IFERROR(IF(INDEX(EmployeeData[Exit Date], ROW() - 37)=0, "",INDEX(EmployeeData[Exit Date], ROW() - 37)),"")</f>
        <v/>
      </c>
      <c r="I3839" s="4" t="str" cm="1">
        <f t="array" ref="I3839">IFERROR(IF(INDEX(EmployeeData[Exit Reason], ROW() - 37)=0, "",INDEX(EmployeeData[Exit Reason], ROW() - 37)),"")</f>
        <v/>
      </c>
      <c r="J3839" s="4" t="str" cm="1">
        <f t="array" ref="J3839">IFERROR(INDEX(EmployeeData[Status], ROW() - 37), "")</f>
        <v/>
      </c>
    </row>
    <row r="3840" spans="2:10" ht="19.95" customHeight="1" x14ac:dyDescent="0.3">
      <c r="B3840" s="4" t="str" cm="1">
        <f t="array" ref="B3840">IFERROR(INDEX(EmployeeData[Employee ID], ROW() - 37), "")</f>
        <v/>
      </c>
      <c r="C3840" s="4" t="str" cm="1">
        <f t="array" ref="C3840">IFERROR(INDEX(EmployeeData[Full Name], ROW() - 37), "")</f>
        <v/>
      </c>
      <c r="D3840" s="4" t="str" cm="1">
        <f t="array" ref="D3840">IFERROR(INDEX(EmployeeData[Department], ROW() - 37), "")</f>
        <v/>
      </c>
      <c r="E3840" s="4" t="str" cm="1">
        <f t="array" ref="E3840">IFERROR(INDEX(EmployeeData[Gender], ROW() - 37), "")</f>
        <v/>
      </c>
      <c r="F3840" s="4" t="str" cm="1">
        <f t="array" ref="F3840">IFERROR(INDEX(EmployeeData[Age], ROW() - 37), "")</f>
        <v/>
      </c>
      <c r="G3840" s="6" t="str" cm="1">
        <f t="array" ref="G3840">IFERROR(INDEX(EmployeeData[Join Date], ROW() - 37), "")</f>
        <v/>
      </c>
      <c r="H3840" s="6" t="str" cm="1">
        <f t="array" ref="H3840">IFERROR(IF(INDEX(EmployeeData[Exit Date], ROW() - 37)=0, "",INDEX(EmployeeData[Exit Date], ROW() - 37)),"")</f>
        <v/>
      </c>
      <c r="I3840" s="4" t="str" cm="1">
        <f t="array" ref="I3840">IFERROR(IF(INDEX(EmployeeData[Exit Reason], ROW() - 37)=0, "",INDEX(EmployeeData[Exit Reason], ROW() - 37)),"")</f>
        <v/>
      </c>
      <c r="J3840" s="4" t="str" cm="1">
        <f t="array" ref="J3840">IFERROR(INDEX(EmployeeData[Status], ROW() - 37), "")</f>
        <v/>
      </c>
    </row>
    <row r="3841" spans="2:10" ht="19.95" customHeight="1" x14ac:dyDescent="0.3">
      <c r="B3841" s="4" t="str" cm="1">
        <f t="array" ref="B3841">IFERROR(INDEX(EmployeeData[Employee ID], ROW() - 37), "")</f>
        <v/>
      </c>
      <c r="C3841" s="4" t="str" cm="1">
        <f t="array" ref="C3841">IFERROR(INDEX(EmployeeData[Full Name], ROW() - 37), "")</f>
        <v/>
      </c>
      <c r="D3841" s="4" t="str" cm="1">
        <f t="array" ref="D3841">IFERROR(INDEX(EmployeeData[Department], ROW() - 37), "")</f>
        <v/>
      </c>
      <c r="E3841" s="4" t="str" cm="1">
        <f t="array" ref="E3841">IFERROR(INDEX(EmployeeData[Gender], ROW() - 37), "")</f>
        <v/>
      </c>
      <c r="F3841" s="4" t="str" cm="1">
        <f t="array" ref="F3841">IFERROR(INDEX(EmployeeData[Age], ROW() - 37), "")</f>
        <v/>
      </c>
      <c r="G3841" s="6" t="str" cm="1">
        <f t="array" ref="G3841">IFERROR(INDEX(EmployeeData[Join Date], ROW() - 37), "")</f>
        <v/>
      </c>
      <c r="H3841" s="6" t="str" cm="1">
        <f t="array" ref="H3841">IFERROR(IF(INDEX(EmployeeData[Exit Date], ROW() - 37)=0, "",INDEX(EmployeeData[Exit Date], ROW() - 37)),"")</f>
        <v/>
      </c>
      <c r="I3841" s="4" t="str" cm="1">
        <f t="array" ref="I3841">IFERROR(IF(INDEX(EmployeeData[Exit Reason], ROW() - 37)=0, "",INDEX(EmployeeData[Exit Reason], ROW() - 37)),"")</f>
        <v/>
      </c>
      <c r="J3841" s="4" t="str" cm="1">
        <f t="array" ref="J3841">IFERROR(INDEX(EmployeeData[Status], ROW() - 37), "")</f>
        <v/>
      </c>
    </row>
    <row r="3842" spans="2:10" ht="19.95" customHeight="1" x14ac:dyDescent="0.3">
      <c r="B3842" s="4" t="str" cm="1">
        <f t="array" ref="B3842">IFERROR(INDEX(EmployeeData[Employee ID], ROW() - 37), "")</f>
        <v/>
      </c>
      <c r="C3842" s="4" t="str" cm="1">
        <f t="array" ref="C3842">IFERROR(INDEX(EmployeeData[Full Name], ROW() - 37), "")</f>
        <v/>
      </c>
      <c r="D3842" s="4" t="str" cm="1">
        <f t="array" ref="D3842">IFERROR(INDEX(EmployeeData[Department], ROW() - 37), "")</f>
        <v/>
      </c>
      <c r="E3842" s="4" t="str" cm="1">
        <f t="array" ref="E3842">IFERROR(INDEX(EmployeeData[Gender], ROW() - 37), "")</f>
        <v/>
      </c>
      <c r="F3842" s="4" t="str" cm="1">
        <f t="array" ref="F3842">IFERROR(INDEX(EmployeeData[Age], ROW() - 37), "")</f>
        <v/>
      </c>
      <c r="G3842" s="6" t="str" cm="1">
        <f t="array" ref="G3842">IFERROR(INDEX(EmployeeData[Join Date], ROW() - 37), "")</f>
        <v/>
      </c>
      <c r="H3842" s="6" t="str" cm="1">
        <f t="array" ref="H3842">IFERROR(IF(INDEX(EmployeeData[Exit Date], ROW() - 37)=0, "",INDEX(EmployeeData[Exit Date], ROW() - 37)),"")</f>
        <v/>
      </c>
      <c r="I3842" s="4" t="str" cm="1">
        <f t="array" ref="I3842">IFERROR(IF(INDEX(EmployeeData[Exit Reason], ROW() - 37)=0, "",INDEX(EmployeeData[Exit Reason], ROW() - 37)),"")</f>
        <v/>
      </c>
      <c r="J3842" s="4" t="str" cm="1">
        <f t="array" ref="J3842">IFERROR(INDEX(EmployeeData[Status], ROW() - 37), "")</f>
        <v/>
      </c>
    </row>
    <row r="3843" spans="2:10" ht="19.95" customHeight="1" x14ac:dyDescent="0.3">
      <c r="B3843" s="4" t="str" cm="1">
        <f t="array" ref="B3843">IFERROR(INDEX(EmployeeData[Employee ID], ROW() - 37), "")</f>
        <v/>
      </c>
      <c r="C3843" s="4" t="str" cm="1">
        <f t="array" ref="C3843">IFERROR(INDEX(EmployeeData[Full Name], ROW() - 37), "")</f>
        <v/>
      </c>
      <c r="D3843" s="4" t="str" cm="1">
        <f t="array" ref="D3843">IFERROR(INDEX(EmployeeData[Department], ROW() - 37), "")</f>
        <v/>
      </c>
      <c r="E3843" s="4" t="str" cm="1">
        <f t="array" ref="E3843">IFERROR(INDEX(EmployeeData[Gender], ROW() - 37), "")</f>
        <v/>
      </c>
      <c r="F3843" s="4" t="str" cm="1">
        <f t="array" ref="F3843">IFERROR(INDEX(EmployeeData[Age], ROW() - 37), "")</f>
        <v/>
      </c>
      <c r="G3843" s="6" t="str" cm="1">
        <f t="array" ref="G3843">IFERROR(INDEX(EmployeeData[Join Date], ROW() - 37), "")</f>
        <v/>
      </c>
      <c r="H3843" s="6" t="str" cm="1">
        <f t="array" ref="H3843">IFERROR(IF(INDEX(EmployeeData[Exit Date], ROW() - 37)=0, "",INDEX(EmployeeData[Exit Date], ROW() - 37)),"")</f>
        <v/>
      </c>
      <c r="I3843" s="4" t="str" cm="1">
        <f t="array" ref="I3843">IFERROR(IF(INDEX(EmployeeData[Exit Reason], ROW() - 37)=0, "",INDEX(EmployeeData[Exit Reason], ROW() - 37)),"")</f>
        <v/>
      </c>
      <c r="J3843" s="4" t="str" cm="1">
        <f t="array" ref="J3843">IFERROR(INDEX(EmployeeData[Status], ROW() - 37), "")</f>
        <v/>
      </c>
    </row>
    <row r="3844" spans="2:10" ht="19.95" customHeight="1" x14ac:dyDescent="0.3">
      <c r="B3844" s="4" t="str" cm="1">
        <f t="array" ref="B3844">IFERROR(INDEX(EmployeeData[Employee ID], ROW() - 37), "")</f>
        <v/>
      </c>
      <c r="C3844" s="4" t="str" cm="1">
        <f t="array" ref="C3844">IFERROR(INDEX(EmployeeData[Full Name], ROW() - 37), "")</f>
        <v/>
      </c>
      <c r="D3844" s="4" t="str" cm="1">
        <f t="array" ref="D3844">IFERROR(INDEX(EmployeeData[Department], ROW() - 37), "")</f>
        <v/>
      </c>
      <c r="E3844" s="4" t="str" cm="1">
        <f t="array" ref="E3844">IFERROR(INDEX(EmployeeData[Gender], ROW() - 37), "")</f>
        <v/>
      </c>
      <c r="F3844" s="4" t="str" cm="1">
        <f t="array" ref="F3844">IFERROR(INDEX(EmployeeData[Age], ROW() - 37), "")</f>
        <v/>
      </c>
      <c r="G3844" s="6" t="str" cm="1">
        <f t="array" ref="G3844">IFERROR(INDEX(EmployeeData[Join Date], ROW() - 37), "")</f>
        <v/>
      </c>
      <c r="H3844" s="6" t="str" cm="1">
        <f t="array" ref="H3844">IFERROR(IF(INDEX(EmployeeData[Exit Date], ROW() - 37)=0, "",INDEX(EmployeeData[Exit Date], ROW() - 37)),"")</f>
        <v/>
      </c>
      <c r="I3844" s="4" t="str" cm="1">
        <f t="array" ref="I3844">IFERROR(IF(INDEX(EmployeeData[Exit Reason], ROW() - 37)=0, "",INDEX(EmployeeData[Exit Reason], ROW() - 37)),"")</f>
        <v/>
      </c>
      <c r="J3844" s="4" t="str" cm="1">
        <f t="array" ref="J3844">IFERROR(INDEX(EmployeeData[Status], ROW() - 37), "")</f>
        <v/>
      </c>
    </row>
    <row r="3845" spans="2:10" ht="19.95" customHeight="1" x14ac:dyDescent="0.3">
      <c r="B3845" s="4" t="str" cm="1">
        <f t="array" ref="B3845">IFERROR(INDEX(EmployeeData[Employee ID], ROW() - 37), "")</f>
        <v/>
      </c>
      <c r="C3845" s="4" t="str" cm="1">
        <f t="array" ref="C3845">IFERROR(INDEX(EmployeeData[Full Name], ROW() - 37), "")</f>
        <v/>
      </c>
      <c r="D3845" s="4" t="str" cm="1">
        <f t="array" ref="D3845">IFERROR(INDEX(EmployeeData[Department], ROW() - 37), "")</f>
        <v/>
      </c>
      <c r="E3845" s="4" t="str" cm="1">
        <f t="array" ref="E3845">IFERROR(INDEX(EmployeeData[Gender], ROW() - 37), "")</f>
        <v/>
      </c>
      <c r="F3845" s="4" t="str" cm="1">
        <f t="array" ref="F3845">IFERROR(INDEX(EmployeeData[Age], ROW() - 37), "")</f>
        <v/>
      </c>
      <c r="G3845" s="6" t="str" cm="1">
        <f t="array" ref="G3845">IFERROR(INDEX(EmployeeData[Join Date], ROW() - 37), "")</f>
        <v/>
      </c>
      <c r="H3845" s="6" t="str" cm="1">
        <f t="array" ref="H3845">IFERROR(IF(INDEX(EmployeeData[Exit Date], ROW() - 37)=0, "",INDEX(EmployeeData[Exit Date], ROW() - 37)),"")</f>
        <v/>
      </c>
      <c r="I3845" s="4" t="str" cm="1">
        <f t="array" ref="I3845">IFERROR(IF(INDEX(EmployeeData[Exit Reason], ROW() - 37)=0, "",INDEX(EmployeeData[Exit Reason], ROW() - 37)),"")</f>
        <v/>
      </c>
      <c r="J3845" s="4" t="str" cm="1">
        <f t="array" ref="J3845">IFERROR(INDEX(EmployeeData[Status], ROW() - 37), "")</f>
        <v/>
      </c>
    </row>
    <row r="3846" spans="2:10" ht="19.95" customHeight="1" x14ac:dyDescent="0.3">
      <c r="B3846" s="4" t="str" cm="1">
        <f t="array" ref="B3846">IFERROR(INDEX(EmployeeData[Employee ID], ROW() - 37), "")</f>
        <v/>
      </c>
      <c r="C3846" s="4" t="str" cm="1">
        <f t="array" ref="C3846">IFERROR(INDEX(EmployeeData[Full Name], ROW() - 37), "")</f>
        <v/>
      </c>
      <c r="D3846" s="4" t="str" cm="1">
        <f t="array" ref="D3846">IFERROR(INDEX(EmployeeData[Department], ROW() - 37), "")</f>
        <v/>
      </c>
      <c r="E3846" s="4" t="str" cm="1">
        <f t="array" ref="E3846">IFERROR(INDEX(EmployeeData[Gender], ROW() - 37), "")</f>
        <v/>
      </c>
      <c r="F3846" s="4" t="str" cm="1">
        <f t="array" ref="F3846">IFERROR(INDEX(EmployeeData[Age], ROW() - 37), "")</f>
        <v/>
      </c>
      <c r="G3846" s="6" t="str" cm="1">
        <f t="array" ref="G3846">IFERROR(INDEX(EmployeeData[Join Date], ROW() - 37), "")</f>
        <v/>
      </c>
      <c r="H3846" s="6" t="str" cm="1">
        <f t="array" ref="H3846">IFERROR(IF(INDEX(EmployeeData[Exit Date], ROW() - 37)=0, "",INDEX(EmployeeData[Exit Date], ROW() - 37)),"")</f>
        <v/>
      </c>
      <c r="I3846" s="4" t="str" cm="1">
        <f t="array" ref="I3846">IFERROR(IF(INDEX(EmployeeData[Exit Reason], ROW() - 37)=0, "",INDEX(EmployeeData[Exit Reason], ROW() - 37)),"")</f>
        <v/>
      </c>
      <c r="J3846" s="4" t="str" cm="1">
        <f t="array" ref="J3846">IFERROR(INDEX(EmployeeData[Status], ROW() - 37), "")</f>
        <v/>
      </c>
    </row>
    <row r="3847" spans="2:10" ht="19.95" customHeight="1" x14ac:dyDescent="0.3">
      <c r="B3847" s="4" t="str" cm="1">
        <f t="array" ref="B3847">IFERROR(INDEX(EmployeeData[Employee ID], ROW() - 37), "")</f>
        <v/>
      </c>
      <c r="C3847" s="4" t="str" cm="1">
        <f t="array" ref="C3847">IFERROR(INDEX(EmployeeData[Full Name], ROW() - 37), "")</f>
        <v/>
      </c>
      <c r="D3847" s="4" t="str" cm="1">
        <f t="array" ref="D3847">IFERROR(INDEX(EmployeeData[Department], ROW() - 37), "")</f>
        <v/>
      </c>
      <c r="E3847" s="4" t="str" cm="1">
        <f t="array" ref="E3847">IFERROR(INDEX(EmployeeData[Gender], ROW() - 37), "")</f>
        <v/>
      </c>
      <c r="F3847" s="4" t="str" cm="1">
        <f t="array" ref="F3847">IFERROR(INDEX(EmployeeData[Age], ROW() - 37), "")</f>
        <v/>
      </c>
      <c r="G3847" s="6" t="str" cm="1">
        <f t="array" ref="G3847">IFERROR(INDEX(EmployeeData[Join Date], ROW() - 37), "")</f>
        <v/>
      </c>
      <c r="H3847" s="6" t="str" cm="1">
        <f t="array" ref="H3847">IFERROR(IF(INDEX(EmployeeData[Exit Date], ROW() - 37)=0, "",INDEX(EmployeeData[Exit Date], ROW() - 37)),"")</f>
        <v/>
      </c>
      <c r="I3847" s="4" t="str" cm="1">
        <f t="array" ref="I3847">IFERROR(IF(INDEX(EmployeeData[Exit Reason], ROW() - 37)=0, "",INDEX(EmployeeData[Exit Reason], ROW() - 37)),"")</f>
        <v/>
      </c>
      <c r="J3847" s="4" t="str" cm="1">
        <f t="array" ref="J3847">IFERROR(INDEX(EmployeeData[Status], ROW() - 37), "")</f>
        <v/>
      </c>
    </row>
    <row r="3848" spans="2:10" ht="19.95" customHeight="1" x14ac:dyDescent="0.3">
      <c r="B3848" s="4" t="str" cm="1">
        <f t="array" ref="B3848">IFERROR(INDEX(EmployeeData[Employee ID], ROW() - 37), "")</f>
        <v/>
      </c>
      <c r="C3848" s="4" t="str" cm="1">
        <f t="array" ref="C3848">IFERROR(INDEX(EmployeeData[Full Name], ROW() - 37), "")</f>
        <v/>
      </c>
      <c r="D3848" s="4" t="str" cm="1">
        <f t="array" ref="D3848">IFERROR(INDEX(EmployeeData[Department], ROW() - 37), "")</f>
        <v/>
      </c>
      <c r="E3848" s="4" t="str" cm="1">
        <f t="array" ref="E3848">IFERROR(INDEX(EmployeeData[Gender], ROW() - 37), "")</f>
        <v/>
      </c>
      <c r="F3848" s="4" t="str" cm="1">
        <f t="array" ref="F3848">IFERROR(INDEX(EmployeeData[Age], ROW() - 37), "")</f>
        <v/>
      </c>
      <c r="G3848" s="6" t="str" cm="1">
        <f t="array" ref="G3848">IFERROR(INDEX(EmployeeData[Join Date], ROW() - 37), "")</f>
        <v/>
      </c>
      <c r="H3848" s="6" t="str" cm="1">
        <f t="array" ref="H3848">IFERROR(IF(INDEX(EmployeeData[Exit Date], ROW() - 37)=0, "",INDEX(EmployeeData[Exit Date], ROW() - 37)),"")</f>
        <v/>
      </c>
      <c r="I3848" s="4" t="str" cm="1">
        <f t="array" ref="I3848">IFERROR(IF(INDEX(EmployeeData[Exit Reason], ROW() - 37)=0, "",INDEX(EmployeeData[Exit Reason], ROW() - 37)),"")</f>
        <v/>
      </c>
      <c r="J3848" s="4" t="str" cm="1">
        <f t="array" ref="J3848">IFERROR(INDEX(EmployeeData[Status], ROW() - 37), "")</f>
        <v/>
      </c>
    </row>
    <row r="3849" spans="2:10" ht="19.95" customHeight="1" x14ac:dyDescent="0.3">
      <c r="B3849" s="4" t="str" cm="1">
        <f t="array" ref="B3849">IFERROR(INDEX(EmployeeData[Employee ID], ROW() - 37), "")</f>
        <v/>
      </c>
      <c r="C3849" s="4" t="str" cm="1">
        <f t="array" ref="C3849">IFERROR(INDEX(EmployeeData[Full Name], ROW() - 37), "")</f>
        <v/>
      </c>
      <c r="D3849" s="4" t="str" cm="1">
        <f t="array" ref="D3849">IFERROR(INDEX(EmployeeData[Department], ROW() - 37), "")</f>
        <v/>
      </c>
      <c r="E3849" s="4" t="str" cm="1">
        <f t="array" ref="E3849">IFERROR(INDEX(EmployeeData[Gender], ROW() - 37), "")</f>
        <v/>
      </c>
      <c r="F3849" s="4" t="str" cm="1">
        <f t="array" ref="F3849">IFERROR(INDEX(EmployeeData[Age], ROW() - 37), "")</f>
        <v/>
      </c>
      <c r="G3849" s="6" t="str" cm="1">
        <f t="array" ref="G3849">IFERROR(INDEX(EmployeeData[Join Date], ROW() - 37), "")</f>
        <v/>
      </c>
      <c r="H3849" s="6" t="str" cm="1">
        <f t="array" ref="H3849">IFERROR(IF(INDEX(EmployeeData[Exit Date], ROW() - 37)=0, "",INDEX(EmployeeData[Exit Date], ROW() - 37)),"")</f>
        <v/>
      </c>
      <c r="I3849" s="4" t="str" cm="1">
        <f t="array" ref="I3849">IFERROR(IF(INDEX(EmployeeData[Exit Reason], ROW() - 37)=0, "",INDEX(EmployeeData[Exit Reason], ROW() - 37)),"")</f>
        <v/>
      </c>
      <c r="J3849" s="4" t="str" cm="1">
        <f t="array" ref="J3849">IFERROR(INDEX(EmployeeData[Status], ROW() - 37), "")</f>
        <v/>
      </c>
    </row>
    <row r="3850" spans="2:10" ht="19.95" customHeight="1" x14ac:dyDescent="0.3">
      <c r="B3850" s="4" t="str" cm="1">
        <f t="array" ref="B3850">IFERROR(INDEX(EmployeeData[Employee ID], ROW() - 37), "")</f>
        <v/>
      </c>
      <c r="C3850" s="4" t="str" cm="1">
        <f t="array" ref="C3850">IFERROR(INDEX(EmployeeData[Full Name], ROW() - 37), "")</f>
        <v/>
      </c>
      <c r="D3850" s="4" t="str" cm="1">
        <f t="array" ref="D3850">IFERROR(INDEX(EmployeeData[Department], ROW() - 37), "")</f>
        <v/>
      </c>
      <c r="E3850" s="4" t="str" cm="1">
        <f t="array" ref="E3850">IFERROR(INDEX(EmployeeData[Gender], ROW() - 37), "")</f>
        <v/>
      </c>
      <c r="F3850" s="4" t="str" cm="1">
        <f t="array" ref="F3850">IFERROR(INDEX(EmployeeData[Age], ROW() - 37), "")</f>
        <v/>
      </c>
      <c r="G3850" s="6" t="str" cm="1">
        <f t="array" ref="G3850">IFERROR(INDEX(EmployeeData[Join Date], ROW() - 37), "")</f>
        <v/>
      </c>
      <c r="H3850" s="6" t="str" cm="1">
        <f t="array" ref="H3850">IFERROR(IF(INDEX(EmployeeData[Exit Date], ROW() - 37)=0, "",INDEX(EmployeeData[Exit Date], ROW() - 37)),"")</f>
        <v/>
      </c>
      <c r="I3850" s="4" t="str" cm="1">
        <f t="array" ref="I3850">IFERROR(IF(INDEX(EmployeeData[Exit Reason], ROW() - 37)=0, "",INDEX(EmployeeData[Exit Reason], ROW() - 37)),"")</f>
        <v/>
      </c>
      <c r="J3850" s="4" t="str" cm="1">
        <f t="array" ref="J3850">IFERROR(INDEX(EmployeeData[Status], ROW() - 37), "")</f>
        <v/>
      </c>
    </row>
    <row r="3851" spans="2:10" ht="19.95" customHeight="1" x14ac:dyDescent="0.3">
      <c r="B3851" s="4" t="str" cm="1">
        <f t="array" ref="B3851">IFERROR(INDEX(EmployeeData[Employee ID], ROW() - 37), "")</f>
        <v/>
      </c>
      <c r="C3851" s="4" t="str" cm="1">
        <f t="array" ref="C3851">IFERROR(INDEX(EmployeeData[Full Name], ROW() - 37), "")</f>
        <v/>
      </c>
      <c r="D3851" s="4" t="str" cm="1">
        <f t="array" ref="D3851">IFERROR(INDEX(EmployeeData[Department], ROW() - 37), "")</f>
        <v/>
      </c>
      <c r="E3851" s="4" t="str" cm="1">
        <f t="array" ref="E3851">IFERROR(INDEX(EmployeeData[Gender], ROW() - 37), "")</f>
        <v/>
      </c>
      <c r="F3851" s="4" t="str" cm="1">
        <f t="array" ref="F3851">IFERROR(INDEX(EmployeeData[Age], ROW() - 37), "")</f>
        <v/>
      </c>
      <c r="G3851" s="6" t="str" cm="1">
        <f t="array" ref="G3851">IFERROR(INDEX(EmployeeData[Join Date], ROW() - 37), "")</f>
        <v/>
      </c>
      <c r="H3851" s="6" t="str" cm="1">
        <f t="array" ref="H3851">IFERROR(IF(INDEX(EmployeeData[Exit Date], ROW() - 37)=0, "",INDEX(EmployeeData[Exit Date], ROW() - 37)),"")</f>
        <v/>
      </c>
      <c r="I3851" s="4" t="str" cm="1">
        <f t="array" ref="I3851">IFERROR(IF(INDEX(EmployeeData[Exit Reason], ROW() - 37)=0, "",INDEX(EmployeeData[Exit Reason], ROW() - 37)),"")</f>
        <v/>
      </c>
      <c r="J3851" s="4" t="str" cm="1">
        <f t="array" ref="J3851">IFERROR(INDEX(EmployeeData[Status], ROW() - 37), "")</f>
        <v/>
      </c>
    </row>
    <row r="3852" spans="2:10" ht="19.95" customHeight="1" x14ac:dyDescent="0.3">
      <c r="B3852" s="4" t="str" cm="1">
        <f t="array" ref="B3852">IFERROR(INDEX(EmployeeData[Employee ID], ROW() - 37), "")</f>
        <v/>
      </c>
      <c r="C3852" s="4" t="str" cm="1">
        <f t="array" ref="C3852">IFERROR(INDEX(EmployeeData[Full Name], ROW() - 37), "")</f>
        <v/>
      </c>
      <c r="D3852" s="4" t="str" cm="1">
        <f t="array" ref="D3852">IFERROR(INDEX(EmployeeData[Department], ROW() - 37), "")</f>
        <v/>
      </c>
      <c r="E3852" s="4" t="str" cm="1">
        <f t="array" ref="E3852">IFERROR(INDEX(EmployeeData[Gender], ROW() - 37), "")</f>
        <v/>
      </c>
      <c r="F3852" s="4" t="str" cm="1">
        <f t="array" ref="F3852">IFERROR(INDEX(EmployeeData[Age], ROW() - 37), "")</f>
        <v/>
      </c>
      <c r="G3852" s="6" t="str" cm="1">
        <f t="array" ref="G3852">IFERROR(INDEX(EmployeeData[Join Date], ROW() - 37), "")</f>
        <v/>
      </c>
      <c r="H3852" s="6" t="str" cm="1">
        <f t="array" ref="H3852">IFERROR(IF(INDEX(EmployeeData[Exit Date], ROW() - 37)=0, "",INDEX(EmployeeData[Exit Date], ROW() - 37)),"")</f>
        <v/>
      </c>
      <c r="I3852" s="4" t="str" cm="1">
        <f t="array" ref="I3852">IFERROR(IF(INDEX(EmployeeData[Exit Reason], ROW() - 37)=0, "",INDEX(EmployeeData[Exit Reason], ROW() - 37)),"")</f>
        <v/>
      </c>
      <c r="J3852" s="4" t="str" cm="1">
        <f t="array" ref="J3852">IFERROR(INDEX(EmployeeData[Status], ROW() - 37), "")</f>
        <v/>
      </c>
    </row>
    <row r="3853" spans="2:10" ht="19.95" customHeight="1" x14ac:dyDescent="0.3">
      <c r="B3853" s="4" t="str" cm="1">
        <f t="array" ref="B3853">IFERROR(INDEX(EmployeeData[Employee ID], ROW() - 37), "")</f>
        <v/>
      </c>
      <c r="C3853" s="4" t="str" cm="1">
        <f t="array" ref="C3853">IFERROR(INDEX(EmployeeData[Full Name], ROW() - 37), "")</f>
        <v/>
      </c>
      <c r="D3853" s="4" t="str" cm="1">
        <f t="array" ref="D3853">IFERROR(INDEX(EmployeeData[Department], ROW() - 37), "")</f>
        <v/>
      </c>
      <c r="E3853" s="4" t="str" cm="1">
        <f t="array" ref="E3853">IFERROR(INDEX(EmployeeData[Gender], ROW() - 37), "")</f>
        <v/>
      </c>
      <c r="F3853" s="4" t="str" cm="1">
        <f t="array" ref="F3853">IFERROR(INDEX(EmployeeData[Age], ROW() - 37), "")</f>
        <v/>
      </c>
      <c r="G3853" s="6" t="str" cm="1">
        <f t="array" ref="G3853">IFERROR(INDEX(EmployeeData[Join Date], ROW() - 37), "")</f>
        <v/>
      </c>
      <c r="H3853" s="6" t="str" cm="1">
        <f t="array" ref="H3853">IFERROR(IF(INDEX(EmployeeData[Exit Date], ROW() - 37)=0, "",INDEX(EmployeeData[Exit Date], ROW() - 37)),"")</f>
        <v/>
      </c>
      <c r="I3853" s="4" t="str" cm="1">
        <f t="array" ref="I3853">IFERROR(IF(INDEX(EmployeeData[Exit Reason], ROW() - 37)=0, "",INDEX(EmployeeData[Exit Reason], ROW() - 37)),"")</f>
        <v/>
      </c>
      <c r="J3853" s="4" t="str" cm="1">
        <f t="array" ref="J3853">IFERROR(INDEX(EmployeeData[Status], ROW() - 37), "")</f>
        <v/>
      </c>
    </row>
    <row r="3854" spans="2:10" ht="19.95" customHeight="1" x14ac:dyDescent="0.3">
      <c r="B3854" s="4" t="str" cm="1">
        <f t="array" ref="B3854">IFERROR(INDEX(EmployeeData[Employee ID], ROW() - 37), "")</f>
        <v/>
      </c>
      <c r="C3854" s="4" t="str" cm="1">
        <f t="array" ref="C3854">IFERROR(INDEX(EmployeeData[Full Name], ROW() - 37), "")</f>
        <v/>
      </c>
      <c r="D3854" s="4" t="str" cm="1">
        <f t="array" ref="D3854">IFERROR(INDEX(EmployeeData[Department], ROW() - 37), "")</f>
        <v/>
      </c>
      <c r="E3854" s="4" t="str" cm="1">
        <f t="array" ref="E3854">IFERROR(INDEX(EmployeeData[Gender], ROW() - 37), "")</f>
        <v/>
      </c>
      <c r="F3854" s="4" t="str" cm="1">
        <f t="array" ref="F3854">IFERROR(INDEX(EmployeeData[Age], ROW() - 37), "")</f>
        <v/>
      </c>
      <c r="G3854" s="6" t="str" cm="1">
        <f t="array" ref="G3854">IFERROR(INDEX(EmployeeData[Join Date], ROW() - 37), "")</f>
        <v/>
      </c>
      <c r="H3854" s="6" t="str" cm="1">
        <f t="array" ref="H3854">IFERROR(IF(INDEX(EmployeeData[Exit Date], ROW() - 37)=0, "",INDEX(EmployeeData[Exit Date], ROW() - 37)),"")</f>
        <v/>
      </c>
      <c r="I3854" s="4" t="str" cm="1">
        <f t="array" ref="I3854">IFERROR(IF(INDEX(EmployeeData[Exit Reason], ROW() - 37)=0, "",INDEX(EmployeeData[Exit Reason], ROW() - 37)),"")</f>
        <v/>
      </c>
      <c r="J3854" s="4" t="str" cm="1">
        <f t="array" ref="J3854">IFERROR(INDEX(EmployeeData[Status], ROW() - 37), "")</f>
        <v/>
      </c>
    </row>
    <row r="3855" spans="2:10" ht="19.95" customHeight="1" x14ac:dyDescent="0.3">
      <c r="B3855" s="4" t="str" cm="1">
        <f t="array" ref="B3855">IFERROR(INDEX(EmployeeData[Employee ID], ROW() - 37), "")</f>
        <v/>
      </c>
      <c r="C3855" s="4" t="str" cm="1">
        <f t="array" ref="C3855">IFERROR(INDEX(EmployeeData[Full Name], ROW() - 37), "")</f>
        <v/>
      </c>
      <c r="D3855" s="4" t="str" cm="1">
        <f t="array" ref="D3855">IFERROR(INDEX(EmployeeData[Department], ROW() - 37), "")</f>
        <v/>
      </c>
      <c r="E3855" s="4" t="str" cm="1">
        <f t="array" ref="E3855">IFERROR(INDEX(EmployeeData[Gender], ROW() - 37), "")</f>
        <v/>
      </c>
      <c r="F3855" s="4" t="str" cm="1">
        <f t="array" ref="F3855">IFERROR(INDEX(EmployeeData[Age], ROW() - 37), "")</f>
        <v/>
      </c>
      <c r="G3855" s="6" t="str" cm="1">
        <f t="array" ref="G3855">IFERROR(INDEX(EmployeeData[Join Date], ROW() - 37), "")</f>
        <v/>
      </c>
      <c r="H3855" s="6" t="str" cm="1">
        <f t="array" ref="H3855">IFERROR(IF(INDEX(EmployeeData[Exit Date], ROW() - 37)=0, "",INDEX(EmployeeData[Exit Date], ROW() - 37)),"")</f>
        <v/>
      </c>
      <c r="I3855" s="4" t="str" cm="1">
        <f t="array" ref="I3855">IFERROR(IF(INDEX(EmployeeData[Exit Reason], ROW() - 37)=0, "",INDEX(EmployeeData[Exit Reason], ROW() - 37)),"")</f>
        <v/>
      </c>
      <c r="J3855" s="4" t="str" cm="1">
        <f t="array" ref="J3855">IFERROR(INDEX(EmployeeData[Status], ROW() - 37), "")</f>
        <v/>
      </c>
    </row>
    <row r="3856" spans="2:10" ht="19.95" customHeight="1" x14ac:dyDescent="0.3">
      <c r="B3856" s="4" t="str" cm="1">
        <f t="array" ref="B3856">IFERROR(INDEX(EmployeeData[Employee ID], ROW() - 37), "")</f>
        <v/>
      </c>
      <c r="C3856" s="4" t="str" cm="1">
        <f t="array" ref="C3856">IFERROR(INDEX(EmployeeData[Full Name], ROW() - 37), "")</f>
        <v/>
      </c>
      <c r="D3856" s="4" t="str" cm="1">
        <f t="array" ref="D3856">IFERROR(INDEX(EmployeeData[Department], ROW() - 37), "")</f>
        <v/>
      </c>
      <c r="E3856" s="4" t="str" cm="1">
        <f t="array" ref="E3856">IFERROR(INDEX(EmployeeData[Gender], ROW() - 37), "")</f>
        <v/>
      </c>
      <c r="F3856" s="4" t="str" cm="1">
        <f t="array" ref="F3856">IFERROR(INDEX(EmployeeData[Age], ROW() - 37), "")</f>
        <v/>
      </c>
      <c r="G3856" s="6" t="str" cm="1">
        <f t="array" ref="G3856">IFERROR(INDEX(EmployeeData[Join Date], ROW() - 37), "")</f>
        <v/>
      </c>
      <c r="H3856" s="6" t="str" cm="1">
        <f t="array" ref="H3856">IFERROR(IF(INDEX(EmployeeData[Exit Date], ROW() - 37)=0, "",INDEX(EmployeeData[Exit Date], ROW() - 37)),"")</f>
        <v/>
      </c>
      <c r="I3856" s="4" t="str" cm="1">
        <f t="array" ref="I3856">IFERROR(IF(INDEX(EmployeeData[Exit Reason], ROW() - 37)=0, "",INDEX(EmployeeData[Exit Reason], ROW() - 37)),"")</f>
        <v/>
      </c>
      <c r="J3856" s="4" t="str" cm="1">
        <f t="array" ref="J3856">IFERROR(INDEX(EmployeeData[Status], ROW() - 37), "")</f>
        <v/>
      </c>
    </row>
    <row r="3857" spans="2:10" ht="19.95" customHeight="1" x14ac:dyDescent="0.3">
      <c r="B3857" s="4" t="str" cm="1">
        <f t="array" ref="B3857">IFERROR(INDEX(EmployeeData[Employee ID], ROW() - 37), "")</f>
        <v/>
      </c>
      <c r="C3857" s="4" t="str" cm="1">
        <f t="array" ref="C3857">IFERROR(INDEX(EmployeeData[Full Name], ROW() - 37), "")</f>
        <v/>
      </c>
      <c r="D3857" s="4" t="str" cm="1">
        <f t="array" ref="D3857">IFERROR(INDEX(EmployeeData[Department], ROW() - 37), "")</f>
        <v/>
      </c>
      <c r="E3857" s="4" t="str" cm="1">
        <f t="array" ref="E3857">IFERROR(INDEX(EmployeeData[Gender], ROW() - 37), "")</f>
        <v/>
      </c>
      <c r="F3857" s="4" t="str" cm="1">
        <f t="array" ref="F3857">IFERROR(INDEX(EmployeeData[Age], ROW() - 37), "")</f>
        <v/>
      </c>
      <c r="G3857" s="6" t="str" cm="1">
        <f t="array" ref="G3857">IFERROR(INDEX(EmployeeData[Join Date], ROW() - 37), "")</f>
        <v/>
      </c>
      <c r="H3857" s="6" t="str" cm="1">
        <f t="array" ref="H3857">IFERROR(IF(INDEX(EmployeeData[Exit Date], ROW() - 37)=0, "",INDEX(EmployeeData[Exit Date], ROW() - 37)),"")</f>
        <v/>
      </c>
      <c r="I3857" s="4" t="str" cm="1">
        <f t="array" ref="I3857">IFERROR(IF(INDEX(EmployeeData[Exit Reason], ROW() - 37)=0, "",INDEX(EmployeeData[Exit Reason], ROW() - 37)),"")</f>
        <v/>
      </c>
      <c r="J3857" s="4" t="str" cm="1">
        <f t="array" ref="J3857">IFERROR(INDEX(EmployeeData[Status], ROW() - 37), "")</f>
        <v/>
      </c>
    </row>
    <row r="3858" spans="2:10" ht="19.95" customHeight="1" x14ac:dyDescent="0.3">
      <c r="B3858" s="4" t="str" cm="1">
        <f t="array" ref="B3858">IFERROR(INDEX(EmployeeData[Employee ID], ROW() - 37), "")</f>
        <v/>
      </c>
      <c r="C3858" s="4" t="str" cm="1">
        <f t="array" ref="C3858">IFERROR(INDEX(EmployeeData[Full Name], ROW() - 37), "")</f>
        <v/>
      </c>
      <c r="D3858" s="4" t="str" cm="1">
        <f t="array" ref="D3858">IFERROR(INDEX(EmployeeData[Department], ROW() - 37), "")</f>
        <v/>
      </c>
      <c r="E3858" s="4" t="str" cm="1">
        <f t="array" ref="E3858">IFERROR(INDEX(EmployeeData[Gender], ROW() - 37), "")</f>
        <v/>
      </c>
      <c r="F3858" s="4" t="str" cm="1">
        <f t="array" ref="F3858">IFERROR(INDEX(EmployeeData[Age], ROW() - 37), "")</f>
        <v/>
      </c>
      <c r="G3858" s="6" t="str" cm="1">
        <f t="array" ref="G3858">IFERROR(INDEX(EmployeeData[Join Date], ROW() - 37), "")</f>
        <v/>
      </c>
      <c r="H3858" s="6" t="str" cm="1">
        <f t="array" ref="H3858">IFERROR(IF(INDEX(EmployeeData[Exit Date], ROW() - 37)=0, "",INDEX(EmployeeData[Exit Date], ROW() - 37)),"")</f>
        <v/>
      </c>
      <c r="I3858" s="4" t="str" cm="1">
        <f t="array" ref="I3858">IFERROR(IF(INDEX(EmployeeData[Exit Reason], ROW() - 37)=0, "",INDEX(EmployeeData[Exit Reason], ROW() - 37)),"")</f>
        <v/>
      </c>
      <c r="J3858" s="4" t="str" cm="1">
        <f t="array" ref="J3858">IFERROR(INDEX(EmployeeData[Status], ROW() - 37), "")</f>
        <v/>
      </c>
    </row>
    <row r="3859" spans="2:10" ht="19.95" customHeight="1" x14ac:dyDescent="0.3">
      <c r="B3859" s="4" t="str" cm="1">
        <f t="array" ref="B3859">IFERROR(INDEX(EmployeeData[Employee ID], ROW() - 37), "")</f>
        <v/>
      </c>
      <c r="C3859" s="4" t="str" cm="1">
        <f t="array" ref="C3859">IFERROR(INDEX(EmployeeData[Full Name], ROW() - 37), "")</f>
        <v/>
      </c>
      <c r="D3859" s="4" t="str" cm="1">
        <f t="array" ref="D3859">IFERROR(INDEX(EmployeeData[Department], ROW() - 37), "")</f>
        <v/>
      </c>
      <c r="E3859" s="4" t="str" cm="1">
        <f t="array" ref="E3859">IFERROR(INDEX(EmployeeData[Gender], ROW() - 37), "")</f>
        <v/>
      </c>
      <c r="F3859" s="4" t="str" cm="1">
        <f t="array" ref="F3859">IFERROR(INDEX(EmployeeData[Age], ROW() - 37), "")</f>
        <v/>
      </c>
      <c r="G3859" s="6" t="str" cm="1">
        <f t="array" ref="G3859">IFERROR(INDEX(EmployeeData[Join Date], ROW() - 37), "")</f>
        <v/>
      </c>
      <c r="H3859" s="6" t="str" cm="1">
        <f t="array" ref="H3859">IFERROR(IF(INDEX(EmployeeData[Exit Date], ROW() - 37)=0, "",INDEX(EmployeeData[Exit Date], ROW() - 37)),"")</f>
        <v/>
      </c>
      <c r="I3859" s="4" t="str" cm="1">
        <f t="array" ref="I3859">IFERROR(IF(INDEX(EmployeeData[Exit Reason], ROW() - 37)=0, "",INDEX(EmployeeData[Exit Reason], ROW() - 37)),"")</f>
        <v/>
      </c>
      <c r="J3859" s="4" t="str" cm="1">
        <f t="array" ref="J3859">IFERROR(INDEX(EmployeeData[Status], ROW() - 37), "")</f>
        <v/>
      </c>
    </row>
    <row r="3860" spans="2:10" ht="19.95" customHeight="1" x14ac:dyDescent="0.3">
      <c r="B3860" s="4" t="str" cm="1">
        <f t="array" ref="B3860">IFERROR(INDEX(EmployeeData[Employee ID], ROW() - 37), "")</f>
        <v/>
      </c>
      <c r="C3860" s="4" t="str" cm="1">
        <f t="array" ref="C3860">IFERROR(INDEX(EmployeeData[Full Name], ROW() - 37), "")</f>
        <v/>
      </c>
      <c r="D3860" s="4" t="str" cm="1">
        <f t="array" ref="D3860">IFERROR(INDEX(EmployeeData[Department], ROW() - 37), "")</f>
        <v/>
      </c>
      <c r="E3860" s="4" t="str" cm="1">
        <f t="array" ref="E3860">IFERROR(INDEX(EmployeeData[Gender], ROW() - 37), "")</f>
        <v/>
      </c>
      <c r="F3860" s="4" t="str" cm="1">
        <f t="array" ref="F3860">IFERROR(INDEX(EmployeeData[Age], ROW() - 37), "")</f>
        <v/>
      </c>
      <c r="G3860" s="6" t="str" cm="1">
        <f t="array" ref="G3860">IFERROR(INDEX(EmployeeData[Join Date], ROW() - 37), "")</f>
        <v/>
      </c>
      <c r="H3860" s="6" t="str" cm="1">
        <f t="array" ref="H3860">IFERROR(IF(INDEX(EmployeeData[Exit Date], ROW() - 37)=0, "",INDEX(EmployeeData[Exit Date], ROW() - 37)),"")</f>
        <v/>
      </c>
      <c r="I3860" s="4" t="str" cm="1">
        <f t="array" ref="I3860">IFERROR(IF(INDEX(EmployeeData[Exit Reason], ROW() - 37)=0, "",INDEX(EmployeeData[Exit Reason], ROW() - 37)),"")</f>
        <v/>
      </c>
      <c r="J3860" s="4" t="str" cm="1">
        <f t="array" ref="J3860">IFERROR(INDEX(EmployeeData[Status], ROW() - 37), "")</f>
        <v/>
      </c>
    </row>
    <row r="3861" spans="2:10" ht="19.95" customHeight="1" x14ac:dyDescent="0.3">
      <c r="B3861" s="4" t="str" cm="1">
        <f t="array" ref="B3861">IFERROR(INDEX(EmployeeData[Employee ID], ROW() - 37), "")</f>
        <v/>
      </c>
      <c r="C3861" s="4" t="str" cm="1">
        <f t="array" ref="C3861">IFERROR(INDEX(EmployeeData[Full Name], ROW() - 37), "")</f>
        <v/>
      </c>
      <c r="D3861" s="4" t="str" cm="1">
        <f t="array" ref="D3861">IFERROR(INDEX(EmployeeData[Department], ROW() - 37), "")</f>
        <v/>
      </c>
      <c r="E3861" s="4" t="str" cm="1">
        <f t="array" ref="E3861">IFERROR(INDEX(EmployeeData[Gender], ROW() - 37), "")</f>
        <v/>
      </c>
      <c r="F3861" s="4" t="str" cm="1">
        <f t="array" ref="F3861">IFERROR(INDEX(EmployeeData[Age], ROW() - 37), "")</f>
        <v/>
      </c>
      <c r="G3861" s="6" t="str" cm="1">
        <f t="array" ref="G3861">IFERROR(INDEX(EmployeeData[Join Date], ROW() - 37), "")</f>
        <v/>
      </c>
      <c r="H3861" s="6" t="str" cm="1">
        <f t="array" ref="H3861">IFERROR(IF(INDEX(EmployeeData[Exit Date], ROW() - 37)=0, "",INDEX(EmployeeData[Exit Date], ROW() - 37)),"")</f>
        <v/>
      </c>
      <c r="I3861" s="4" t="str" cm="1">
        <f t="array" ref="I3861">IFERROR(IF(INDEX(EmployeeData[Exit Reason], ROW() - 37)=0, "",INDEX(EmployeeData[Exit Reason], ROW() - 37)),"")</f>
        <v/>
      </c>
      <c r="J3861" s="4" t="str" cm="1">
        <f t="array" ref="J3861">IFERROR(INDEX(EmployeeData[Status], ROW() - 37), "")</f>
        <v/>
      </c>
    </row>
    <row r="3862" spans="2:10" ht="19.95" customHeight="1" x14ac:dyDescent="0.3">
      <c r="B3862" s="4" t="str" cm="1">
        <f t="array" ref="B3862">IFERROR(INDEX(EmployeeData[Employee ID], ROW() - 37), "")</f>
        <v/>
      </c>
      <c r="C3862" s="4" t="str" cm="1">
        <f t="array" ref="C3862">IFERROR(INDEX(EmployeeData[Full Name], ROW() - 37), "")</f>
        <v/>
      </c>
      <c r="D3862" s="4" t="str" cm="1">
        <f t="array" ref="D3862">IFERROR(INDEX(EmployeeData[Department], ROW() - 37), "")</f>
        <v/>
      </c>
      <c r="E3862" s="4" t="str" cm="1">
        <f t="array" ref="E3862">IFERROR(INDEX(EmployeeData[Gender], ROW() - 37), "")</f>
        <v/>
      </c>
      <c r="F3862" s="4" t="str" cm="1">
        <f t="array" ref="F3862">IFERROR(INDEX(EmployeeData[Age], ROW() - 37), "")</f>
        <v/>
      </c>
      <c r="G3862" s="6" t="str" cm="1">
        <f t="array" ref="G3862">IFERROR(INDEX(EmployeeData[Join Date], ROW() - 37), "")</f>
        <v/>
      </c>
      <c r="H3862" s="6" t="str" cm="1">
        <f t="array" ref="H3862">IFERROR(IF(INDEX(EmployeeData[Exit Date], ROW() - 37)=0, "",INDEX(EmployeeData[Exit Date], ROW() - 37)),"")</f>
        <v/>
      </c>
      <c r="I3862" s="4" t="str" cm="1">
        <f t="array" ref="I3862">IFERROR(IF(INDEX(EmployeeData[Exit Reason], ROW() - 37)=0, "",INDEX(EmployeeData[Exit Reason], ROW() - 37)),"")</f>
        <v/>
      </c>
      <c r="J3862" s="4" t="str" cm="1">
        <f t="array" ref="J3862">IFERROR(INDEX(EmployeeData[Status], ROW() - 37), "")</f>
        <v/>
      </c>
    </row>
    <row r="3863" spans="2:10" ht="19.95" customHeight="1" x14ac:dyDescent="0.3">
      <c r="B3863" s="4" t="str" cm="1">
        <f t="array" ref="B3863">IFERROR(INDEX(EmployeeData[Employee ID], ROW() - 37), "")</f>
        <v/>
      </c>
      <c r="C3863" s="4" t="str" cm="1">
        <f t="array" ref="C3863">IFERROR(INDEX(EmployeeData[Full Name], ROW() - 37), "")</f>
        <v/>
      </c>
      <c r="D3863" s="4" t="str" cm="1">
        <f t="array" ref="D3863">IFERROR(INDEX(EmployeeData[Department], ROW() - 37), "")</f>
        <v/>
      </c>
      <c r="E3863" s="4" t="str" cm="1">
        <f t="array" ref="E3863">IFERROR(INDEX(EmployeeData[Gender], ROW() - 37), "")</f>
        <v/>
      </c>
      <c r="F3863" s="4" t="str" cm="1">
        <f t="array" ref="F3863">IFERROR(INDEX(EmployeeData[Age], ROW() - 37), "")</f>
        <v/>
      </c>
      <c r="G3863" s="6" t="str" cm="1">
        <f t="array" ref="G3863">IFERROR(INDEX(EmployeeData[Join Date], ROW() - 37), "")</f>
        <v/>
      </c>
      <c r="H3863" s="6" t="str" cm="1">
        <f t="array" ref="H3863">IFERROR(IF(INDEX(EmployeeData[Exit Date], ROW() - 37)=0, "",INDEX(EmployeeData[Exit Date], ROW() - 37)),"")</f>
        <v/>
      </c>
      <c r="I3863" s="4" t="str" cm="1">
        <f t="array" ref="I3863">IFERROR(IF(INDEX(EmployeeData[Exit Reason], ROW() - 37)=0, "",INDEX(EmployeeData[Exit Reason], ROW() - 37)),"")</f>
        <v/>
      </c>
      <c r="J3863" s="4" t="str" cm="1">
        <f t="array" ref="J3863">IFERROR(INDEX(EmployeeData[Status], ROW() - 37), "")</f>
        <v/>
      </c>
    </row>
    <row r="3864" spans="2:10" ht="19.95" customHeight="1" x14ac:dyDescent="0.3">
      <c r="B3864" s="4" t="str" cm="1">
        <f t="array" ref="B3864">IFERROR(INDEX(EmployeeData[Employee ID], ROW() - 37), "")</f>
        <v/>
      </c>
      <c r="C3864" s="4" t="str" cm="1">
        <f t="array" ref="C3864">IFERROR(INDEX(EmployeeData[Full Name], ROW() - 37), "")</f>
        <v/>
      </c>
      <c r="D3864" s="4" t="str" cm="1">
        <f t="array" ref="D3864">IFERROR(INDEX(EmployeeData[Department], ROW() - 37), "")</f>
        <v/>
      </c>
      <c r="E3864" s="4" t="str" cm="1">
        <f t="array" ref="E3864">IFERROR(INDEX(EmployeeData[Gender], ROW() - 37), "")</f>
        <v/>
      </c>
      <c r="F3864" s="4" t="str" cm="1">
        <f t="array" ref="F3864">IFERROR(INDEX(EmployeeData[Age], ROW() - 37), "")</f>
        <v/>
      </c>
      <c r="G3864" s="6" t="str" cm="1">
        <f t="array" ref="G3864">IFERROR(INDEX(EmployeeData[Join Date], ROW() - 37), "")</f>
        <v/>
      </c>
      <c r="H3864" s="6" t="str" cm="1">
        <f t="array" ref="H3864">IFERROR(IF(INDEX(EmployeeData[Exit Date], ROW() - 37)=0, "",INDEX(EmployeeData[Exit Date], ROW() - 37)),"")</f>
        <v/>
      </c>
      <c r="I3864" s="4" t="str" cm="1">
        <f t="array" ref="I3864">IFERROR(IF(INDEX(EmployeeData[Exit Reason], ROW() - 37)=0, "",INDEX(EmployeeData[Exit Reason], ROW() - 37)),"")</f>
        <v/>
      </c>
      <c r="J3864" s="4" t="str" cm="1">
        <f t="array" ref="J3864">IFERROR(INDEX(EmployeeData[Status], ROW() - 37), "")</f>
        <v/>
      </c>
    </row>
    <row r="3865" spans="2:10" ht="19.95" customHeight="1" x14ac:dyDescent="0.3">
      <c r="B3865" s="4" t="str" cm="1">
        <f t="array" ref="B3865">IFERROR(INDEX(EmployeeData[Employee ID], ROW() - 37), "")</f>
        <v/>
      </c>
      <c r="C3865" s="4" t="str" cm="1">
        <f t="array" ref="C3865">IFERROR(INDEX(EmployeeData[Full Name], ROW() - 37), "")</f>
        <v/>
      </c>
      <c r="D3865" s="4" t="str" cm="1">
        <f t="array" ref="D3865">IFERROR(INDEX(EmployeeData[Department], ROW() - 37), "")</f>
        <v/>
      </c>
      <c r="E3865" s="4" t="str" cm="1">
        <f t="array" ref="E3865">IFERROR(INDEX(EmployeeData[Gender], ROW() - 37), "")</f>
        <v/>
      </c>
      <c r="F3865" s="4" t="str" cm="1">
        <f t="array" ref="F3865">IFERROR(INDEX(EmployeeData[Age], ROW() - 37), "")</f>
        <v/>
      </c>
      <c r="G3865" s="6" t="str" cm="1">
        <f t="array" ref="G3865">IFERROR(INDEX(EmployeeData[Join Date], ROW() - 37), "")</f>
        <v/>
      </c>
      <c r="H3865" s="6" t="str" cm="1">
        <f t="array" ref="H3865">IFERROR(IF(INDEX(EmployeeData[Exit Date], ROW() - 37)=0, "",INDEX(EmployeeData[Exit Date], ROW() - 37)),"")</f>
        <v/>
      </c>
      <c r="I3865" s="4" t="str" cm="1">
        <f t="array" ref="I3865">IFERROR(IF(INDEX(EmployeeData[Exit Reason], ROW() - 37)=0, "",INDEX(EmployeeData[Exit Reason], ROW() - 37)),"")</f>
        <v/>
      </c>
      <c r="J3865" s="4" t="str" cm="1">
        <f t="array" ref="J3865">IFERROR(INDEX(EmployeeData[Status], ROW() - 37), "")</f>
        <v/>
      </c>
    </row>
    <row r="3866" spans="2:10" ht="19.95" customHeight="1" x14ac:dyDescent="0.3">
      <c r="B3866" s="4" t="str" cm="1">
        <f t="array" ref="B3866">IFERROR(INDEX(EmployeeData[Employee ID], ROW() - 37), "")</f>
        <v/>
      </c>
      <c r="C3866" s="4" t="str" cm="1">
        <f t="array" ref="C3866">IFERROR(INDEX(EmployeeData[Full Name], ROW() - 37), "")</f>
        <v/>
      </c>
      <c r="D3866" s="4" t="str" cm="1">
        <f t="array" ref="D3866">IFERROR(INDEX(EmployeeData[Department], ROW() - 37), "")</f>
        <v/>
      </c>
      <c r="E3866" s="4" t="str" cm="1">
        <f t="array" ref="E3866">IFERROR(INDEX(EmployeeData[Gender], ROW() - 37), "")</f>
        <v/>
      </c>
      <c r="F3866" s="4" t="str" cm="1">
        <f t="array" ref="F3866">IFERROR(INDEX(EmployeeData[Age], ROW() - 37), "")</f>
        <v/>
      </c>
      <c r="G3866" s="6" t="str" cm="1">
        <f t="array" ref="G3866">IFERROR(INDEX(EmployeeData[Join Date], ROW() - 37), "")</f>
        <v/>
      </c>
      <c r="H3866" s="6" t="str" cm="1">
        <f t="array" ref="H3866">IFERROR(IF(INDEX(EmployeeData[Exit Date], ROW() - 37)=0, "",INDEX(EmployeeData[Exit Date], ROW() - 37)),"")</f>
        <v/>
      </c>
      <c r="I3866" s="4" t="str" cm="1">
        <f t="array" ref="I3866">IFERROR(IF(INDEX(EmployeeData[Exit Reason], ROW() - 37)=0, "",INDEX(EmployeeData[Exit Reason], ROW() - 37)),"")</f>
        <v/>
      </c>
      <c r="J3866" s="4" t="str" cm="1">
        <f t="array" ref="J3866">IFERROR(INDEX(EmployeeData[Status], ROW() - 37), "")</f>
        <v/>
      </c>
    </row>
    <row r="3867" spans="2:10" ht="19.95" customHeight="1" x14ac:dyDescent="0.3">
      <c r="B3867" s="4" t="str" cm="1">
        <f t="array" ref="B3867">IFERROR(INDEX(EmployeeData[Employee ID], ROW() - 37), "")</f>
        <v/>
      </c>
      <c r="C3867" s="4" t="str" cm="1">
        <f t="array" ref="C3867">IFERROR(INDEX(EmployeeData[Full Name], ROW() - 37), "")</f>
        <v/>
      </c>
      <c r="D3867" s="4" t="str" cm="1">
        <f t="array" ref="D3867">IFERROR(INDEX(EmployeeData[Department], ROW() - 37), "")</f>
        <v/>
      </c>
      <c r="E3867" s="4" t="str" cm="1">
        <f t="array" ref="E3867">IFERROR(INDEX(EmployeeData[Gender], ROW() - 37), "")</f>
        <v/>
      </c>
      <c r="F3867" s="4" t="str" cm="1">
        <f t="array" ref="F3867">IFERROR(INDEX(EmployeeData[Age], ROW() - 37), "")</f>
        <v/>
      </c>
      <c r="G3867" s="6" t="str" cm="1">
        <f t="array" ref="G3867">IFERROR(INDEX(EmployeeData[Join Date], ROW() - 37), "")</f>
        <v/>
      </c>
      <c r="H3867" s="6" t="str" cm="1">
        <f t="array" ref="H3867">IFERROR(IF(INDEX(EmployeeData[Exit Date], ROW() - 37)=0, "",INDEX(EmployeeData[Exit Date], ROW() - 37)),"")</f>
        <v/>
      </c>
      <c r="I3867" s="4" t="str" cm="1">
        <f t="array" ref="I3867">IFERROR(IF(INDEX(EmployeeData[Exit Reason], ROW() - 37)=0, "",INDEX(EmployeeData[Exit Reason], ROW() - 37)),"")</f>
        <v/>
      </c>
      <c r="J3867" s="4" t="str" cm="1">
        <f t="array" ref="J3867">IFERROR(INDEX(EmployeeData[Status], ROW() - 37), "")</f>
        <v/>
      </c>
    </row>
    <row r="3868" spans="2:10" ht="19.95" customHeight="1" x14ac:dyDescent="0.3">
      <c r="B3868" s="4" t="str" cm="1">
        <f t="array" ref="B3868">IFERROR(INDEX(EmployeeData[Employee ID], ROW() - 37), "")</f>
        <v/>
      </c>
      <c r="C3868" s="4" t="str" cm="1">
        <f t="array" ref="C3868">IFERROR(INDEX(EmployeeData[Full Name], ROW() - 37), "")</f>
        <v/>
      </c>
      <c r="D3868" s="4" t="str" cm="1">
        <f t="array" ref="D3868">IFERROR(INDEX(EmployeeData[Department], ROW() - 37), "")</f>
        <v/>
      </c>
      <c r="E3868" s="4" t="str" cm="1">
        <f t="array" ref="E3868">IFERROR(INDEX(EmployeeData[Gender], ROW() - 37), "")</f>
        <v/>
      </c>
      <c r="F3868" s="4" t="str" cm="1">
        <f t="array" ref="F3868">IFERROR(INDEX(EmployeeData[Age], ROW() - 37), "")</f>
        <v/>
      </c>
      <c r="G3868" s="6" t="str" cm="1">
        <f t="array" ref="G3868">IFERROR(INDEX(EmployeeData[Join Date], ROW() - 37), "")</f>
        <v/>
      </c>
      <c r="H3868" s="6" t="str" cm="1">
        <f t="array" ref="H3868">IFERROR(IF(INDEX(EmployeeData[Exit Date], ROW() - 37)=0, "",INDEX(EmployeeData[Exit Date], ROW() - 37)),"")</f>
        <v/>
      </c>
      <c r="I3868" s="4" t="str" cm="1">
        <f t="array" ref="I3868">IFERROR(IF(INDEX(EmployeeData[Exit Reason], ROW() - 37)=0, "",INDEX(EmployeeData[Exit Reason], ROW() - 37)),"")</f>
        <v/>
      </c>
      <c r="J3868" s="4" t="str" cm="1">
        <f t="array" ref="J3868">IFERROR(INDEX(EmployeeData[Status], ROW() - 37), "")</f>
        <v/>
      </c>
    </row>
    <row r="3869" spans="2:10" ht="19.95" customHeight="1" x14ac:dyDescent="0.3">
      <c r="B3869" s="4" t="str" cm="1">
        <f t="array" ref="B3869">IFERROR(INDEX(EmployeeData[Employee ID], ROW() - 37), "")</f>
        <v/>
      </c>
      <c r="C3869" s="4" t="str" cm="1">
        <f t="array" ref="C3869">IFERROR(INDEX(EmployeeData[Full Name], ROW() - 37), "")</f>
        <v/>
      </c>
      <c r="D3869" s="4" t="str" cm="1">
        <f t="array" ref="D3869">IFERROR(INDEX(EmployeeData[Department], ROW() - 37), "")</f>
        <v/>
      </c>
      <c r="E3869" s="4" t="str" cm="1">
        <f t="array" ref="E3869">IFERROR(INDEX(EmployeeData[Gender], ROW() - 37), "")</f>
        <v/>
      </c>
      <c r="F3869" s="4" t="str" cm="1">
        <f t="array" ref="F3869">IFERROR(INDEX(EmployeeData[Age], ROW() - 37), "")</f>
        <v/>
      </c>
      <c r="G3869" s="6" t="str" cm="1">
        <f t="array" ref="G3869">IFERROR(INDEX(EmployeeData[Join Date], ROW() - 37), "")</f>
        <v/>
      </c>
      <c r="H3869" s="6" t="str" cm="1">
        <f t="array" ref="H3869">IFERROR(IF(INDEX(EmployeeData[Exit Date], ROW() - 37)=0, "",INDEX(EmployeeData[Exit Date], ROW() - 37)),"")</f>
        <v/>
      </c>
      <c r="I3869" s="4" t="str" cm="1">
        <f t="array" ref="I3869">IFERROR(IF(INDEX(EmployeeData[Exit Reason], ROW() - 37)=0, "",INDEX(EmployeeData[Exit Reason], ROW() - 37)),"")</f>
        <v/>
      </c>
      <c r="J3869" s="4" t="str" cm="1">
        <f t="array" ref="J3869">IFERROR(INDEX(EmployeeData[Status], ROW() - 37), "")</f>
        <v/>
      </c>
    </row>
    <row r="3870" spans="2:10" ht="19.95" customHeight="1" x14ac:dyDescent="0.3">
      <c r="B3870" s="4" t="str" cm="1">
        <f t="array" ref="B3870">IFERROR(INDEX(EmployeeData[Employee ID], ROW() - 37), "")</f>
        <v/>
      </c>
      <c r="C3870" s="4" t="str" cm="1">
        <f t="array" ref="C3870">IFERROR(INDEX(EmployeeData[Full Name], ROW() - 37), "")</f>
        <v/>
      </c>
      <c r="D3870" s="4" t="str" cm="1">
        <f t="array" ref="D3870">IFERROR(INDEX(EmployeeData[Department], ROW() - 37), "")</f>
        <v/>
      </c>
      <c r="E3870" s="4" t="str" cm="1">
        <f t="array" ref="E3870">IFERROR(INDEX(EmployeeData[Gender], ROW() - 37), "")</f>
        <v/>
      </c>
      <c r="F3870" s="4" t="str" cm="1">
        <f t="array" ref="F3870">IFERROR(INDEX(EmployeeData[Age], ROW() - 37), "")</f>
        <v/>
      </c>
      <c r="G3870" s="6" t="str" cm="1">
        <f t="array" ref="G3870">IFERROR(INDEX(EmployeeData[Join Date], ROW() - 37), "")</f>
        <v/>
      </c>
      <c r="H3870" s="6" t="str" cm="1">
        <f t="array" ref="H3870">IFERROR(IF(INDEX(EmployeeData[Exit Date], ROW() - 37)=0, "",INDEX(EmployeeData[Exit Date], ROW() - 37)),"")</f>
        <v/>
      </c>
      <c r="I3870" s="4" t="str" cm="1">
        <f t="array" ref="I3870">IFERROR(IF(INDEX(EmployeeData[Exit Reason], ROW() - 37)=0, "",INDEX(EmployeeData[Exit Reason], ROW() - 37)),"")</f>
        <v/>
      </c>
      <c r="J3870" s="4" t="str" cm="1">
        <f t="array" ref="J3870">IFERROR(INDEX(EmployeeData[Status], ROW() - 37), "")</f>
        <v/>
      </c>
    </row>
    <row r="3871" spans="2:10" ht="19.95" customHeight="1" x14ac:dyDescent="0.3">
      <c r="B3871" s="4" t="str" cm="1">
        <f t="array" ref="B3871">IFERROR(INDEX(EmployeeData[Employee ID], ROW() - 37), "")</f>
        <v/>
      </c>
      <c r="C3871" s="4" t="str" cm="1">
        <f t="array" ref="C3871">IFERROR(INDEX(EmployeeData[Full Name], ROW() - 37), "")</f>
        <v/>
      </c>
      <c r="D3871" s="4" t="str" cm="1">
        <f t="array" ref="D3871">IFERROR(INDEX(EmployeeData[Department], ROW() - 37), "")</f>
        <v/>
      </c>
      <c r="E3871" s="4" t="str" cm="1">
        <f t="array" ref="E3871">IFERROR(INDEX(EmployeeData[Gender], ROW() - 37), "")</f>
        <v/>
      </c>
      <c r="F3871" s="4" t="str" cm="1">
        <f t="array" ref="F3871">IFERROR(INDEX(EmployeeData[Age], ROW() - 37), "")</f>
        <v/>
      </c>
      <c r="G3871" s="6" t="str" cm="1">
        <f t="array" ref="G3871">IFERROR(INDEX(EmployeeData[Join Date], ROW() - 37), "")</f>
        <v/>
      </c>
      <c r="H3871" s="6" t="str" cm="1">
        <f t="array" ref="H3871">IFERROR(IF(INDEX(EmployeeData[Exit Date], ROW() - 37)=0, "",INDEX(EmployeeData[Exit Date], ROW() - 37)),"")</f>
        <v/>
      </c>
      <c r="I3871" s="4" t="str" cm="1">
        <f t="array" ref="I3871">IFERROR(IF(INDEX(EmployeeData[Exit Reason], ROW() - 37)=0, "",INDEX(EmployeeData[Exit Reason], ROW() - 37)),"")</f>
        <v/>
      </c>
      <c r="J3871" s="4" t="str" cm="1">
        <f t="array" ref="J3871">IFERROR(INDEX(EmployeeData[Status], ROW() - 37), "")</f>
        <v/>
      </c>
    </row>
    <row r="3872" spans="2:10" ht="19.95" customHeight="1" x14ac:dyDescent="0.3">
      <c r="B3872" s="4" t="str" cm="1">
        <f t="array" ref="B3872">IFERROR(INDEX(EmployeeData[Employee ID], ROW() - 37), "")</f>
        <v/>
      </c>
      <c r="C3872" s="4" t="str" cm="1">
        <f t="array" ref="C3872">IFERROR(INDEX(EmployeeData[Full Name], ROW() - 37), "")</f>
        <v/>
      </c>
      <c r="D3872" s="4" t="str" cm="1">
        <f t="array" ref="D3872">IFERROR(INDEX(EmployeeData[Department], ROW() - 37), "")</f>
        <v/>
      </c>
      <c r="E3872" s="4" t="str" cm="1">
        <f t="array" ref="E3872">IFERROR(INDEX(EmployeeData[Gender], ROW() - 37), "")</f>
        <v/>
      </c>
      <c r="F3872" s="4" t="str" cm="1">
        <f t="array" ref="F3872">IFERROR(INDEX(EmployeeData[Age], ROW() - 37), "")</f>
        <v/>
      </c>
      <c r="G3872" s="6" t="str" cm="1">
        <f t="array" ref="G3872">IFERROR(INDEX(EmployeeData[Join Date], ROW() - 37), "")</f>
        <v/>
      </c>
      <c r="H3872" s="6" t="str" cm="1">
        <f t="array" ref="H3872">IFERROR(IF(INDEX(EmployeeData[Exit Date], ROW() - 37)=0, "",INDEX(EmployeeData[Exit Date], ROW() - 37)),"")</f>
        <v/>
      </c>
      <c r="I3872" s="4" t="str" cm="1">
        <f t="array" ref="I3872">IFERROR(IF(INDEX(EmployeeData[Exit Reason], ROW() - 37)=0, "",INDEX(EmployeeData[Exit Reason], ROW() - 37)),"")</f>
        <v/>
      </c>
      <c r="J3872" s="4" t="str" cm="1">
        <f t="array" ref="J3872">IFERROR(INDEX(EmployeeData[Status], ROW() - 37), "")</f>
        <v/>
      </c>
    </row>
    <row r="3873" spans="2:10" ht="19.95" customHeight="1" x14ac:dyDescent="0.3">
      <c r="B3873" s="4" t="str" cm="1">
        <f t="array" ref="B3873">IFERROR(INDEX(EmployeeData[Employee ID], ROW() - 37), "")</f>
        <v/>
      </c>
      <c r="C3873" s="4" t="str" cm="1">
        <f t="array" ref="C3873">IFERROR(INDEX(EmployeeData[Full Name], ROW() - 37), "")</f>
        <v/>
      </c>
      <c r="D3873" s="4" t="str" cm="1">
        <f t="array" ref="D3873">IFERROR(INDEX(EmployeeData[Department], ROW() - 37), "")</f>
        <v/>
      </c>
      <c r="E3873" s="4" t="str" cm="1">
        <f t="array" ref="E3873">IFERROR(INDEX(EmployeeData[Gender], ROW() - 37), "")</f>
        <v/>
      </c>
      <c r="F3873" s="4" t="str" cm="1">
        <f t="array" ref="F3873">IFERROR(INDEX(EmployeeData[Age], ROW() - 37), "")</f>
        <v/>
      </c>
      <c r="G3873" s="6" t="str" cm="1">
        <f t="array" ref="G3873">IFERROR(INDEX(EmployeeData[Join Date], ROW() - 37), "")</f>
        <v/>
      </c>
      <c r="H3873" s="6" t="str" cm="1">
        <f t="array" ref="H3873">IFERROR(IF(INDEX(EmployeeData[Exit Date], ROW() - 37)=0, "",INDEX(EmployeeData[Exit Date], ROW() - 37)),"")</f>
        <v/>
      </c>
      <c r="I3873" s="4" t="str" cm="1">
        <f t="array" ref="I3873">IFERROR(IF(INDEX(EmployeeData[Exit Reason], ROW() - 37)=0, "",INDEX(EmployeeData[Exit Reason], ROW() - 37)),"")</f>
        <v/>
      </c>
      <c r="J3873" s="4" t="str" cm="1">
        <f t="array" ref="J3873">IFERROR(INDEX(EmployeeData[Status], ROW() - 37), "")</f>
        <v/>
      </c>
    </row>
    <row r="3874" spans="2:10" ht="19.95" customHeight="1" x14ac:dyDescent="0.3">
      <c r="B3874" s="4" t="str" cm="1">
        <f t="array" ref="B3874">IFERROR(INDEX(EmployeeData[Employee ID], ROW() - 37), "")</f>
        <v/>
      </c>
      <c r="C3874" s="4" t="str" cm="1">
        <f t="array" ref="C3874">IFERROR(INDEX(EmployeeData[Full Name], ROW() - 37), "")</f>
        <v/>
      </c>
      <c r="D3874" s="4" t="str" cm="1">
        <f t="array" ref="D3874">IFERROR(INDEX(EmployeeData[Department], ROW() - 37), "")</f>
        <v/>
      </c>
      <c r="E3874" s="4" t="str" cm="1">
        <f t="array" ref="E3874">IFERROR(INDEX(EmployeeData[Gender], ROW() - 37), "")</f>
        <v/>
      </c>
      <c r="F3874" s="4" t="str" cm="1">
        <f t="array" ref="F3874">IFERROR(INDEX(EmployeeData[Age], ROW() - 37), "")</f>
        <v/>
      </c>
      <c r="G3874" s="6" t="str" cm="1">
        <f t="array" ref="G3874">IFERROR(INDEX(EmployeeData[Join Date], ROW() - 37), "")</f>
        <v/>
      </c>
      <c r="H3874" s="6" t="str" cm="1">
        <f t="array" ref="H3874">IFERROR(IF(INDEX(EmployeeData[Exit Date], ROW() - 37)=0, "",INDEX(EmployeeData[Exit Date], ROW() - 37)),"")</f>
        <v/>
      </c>
      <c r="I3874" s="4" t="str" cm="1">
        <f t="array" ref="I3874">IFERROR(IF(INDEX(EmployeeData[Exit Reason], ROW() - 37)=0, "",INDEX(EmployeeData[Exit Reason], ROW() - 37)),"")</f>
        <v/>
      </c>
      <c r="J3874" s="4" t="str" cm="1">
        <f t="array" ref="J3874">IFERROR(INDEX(EmployeeData[Status], ROW() - 37), "")</f>
        <v/>
      </c>
    </row>
    <row r="3875" spans="2:10" ht="19.95" customHeight="1" x14ac:dyDescent="0.3">
      <c r="B3875" s="4" t="str" cm="1">
        <f t="array" ref="B3875">IFERROR(INDEX(EmployeeData[Employee ID], ROW() - 37), "")</f>
        <v/>
      </c>
      <c r="C3875" s="4" t="str" cm="1">
        <f t="array" ref="C3875">IFERROR(INDEX(EmployeeData[Full Name], ROW() - 37), "")</f>
        <v/>
      </c>
      <c r="D3875" s="4" t="str" cm="1">
        <f t="array" ref="D3875">IFERROR(INDEX(EmployeeData[Department], ROW() - 37), "")</f>
        <v/>
      </c>
      <c r="E3875" s="4" t="str" cm="1">
        <f t="array" ref="E3875">IFERROR(INDEX(EmployeeData[Gender], ROW() - 37), "")</f>
        <v/>
      </c>
      <c r="F3875" s="4" t="str" cm="1">
        <f t="array" ref="F3875">IFERROR(INDEX(EmployeeData[Age], ROW() - 37), "")</f>
        <v/>
      </c>
      <c r="G3875" s="6" t="str" cm="1">
        <f t="array" ref="G3875">IFERROR(INDEX(EmployeeData[Join Date], ROW() - 37), "")</f>
        <v/>
      </c>
      <c r="H3875" s="6" t="str" cm="1">
        <f t="array" ref="H3875">IFERROR(IF(INDEX(EmployeeData[Exit Date], ROW() - 37)=0, "",INDEX(EmployeeData[Exit Date], ROW() - 37)),"")</f>
        <v/>
      </c>
      <c r="I3875" s="4" t="str" cm="1">
        <f t="array" ref="I3875">IFERROR(IF(INDEX(EmployeeData[Exit Reason], ROW() - 37)=0, "",INDEX(EmployeeData[Exit Reason], ROW() - 37)),"")</f>
        <v/>
      </c>
      <c r="J3875" s="4" t="str" cm="1">
        <f t="array" ref="J3875">IFERROR(INDEX(EmployeeData[Status], ROW() - 37), "")</f>
        <v/>
      </c>
    </row>
    <row r="3876" spans="2:10" ht="19.95" customHeight="1" x14ac:dyDescent="0.3">
      <c r="B3876" s="4" t="str" cm="1">
        <f t="array" ref="B3876">IFERROR(INDEX(EmployeeData[Employee ID], ROW() - 37), "")</f>
        <v/>
      </c>
      <c r="C3876" s="4" t="str" cm="1">
        <f t="array" ref="C3876">IFERROR(INDEX(EmployeeData[Full Name], ROW() - 37), "")</f>
        <v/>
      </c>
      <c r="D3876" s="4" t="str" cm="1">
        <f t="array" ref="D3876">IFERROR(INDEX(EmployeeData[Department], ROW() - 37), "")</f>
        <v/>
      </c>
      <c r="E3876" s="4" t="str" cm="1">
        <f t="array" ref="E3876">IFERROR(INDEX(EmployeeData[Gender], ROW() - 37), "")</f>
        <v/>
      </c>
      <c r="F3876" s="4" t="str" cm="1">
        <f t="array" ref="F3876">IFERROR(INDEX(EmployeeData[Age], ROW() - 37), "")</f>
        <v/>
      </c>
      <c r="G3876" s="6" t="str" cm="1">
        <f t="array" ref="G3876">IFERROR(INDEX(EmployeeData[Join Date], ROW() - 37), "")</f>
        <v/>
      </c>
      <c r="H3876" s="6" t="str" cm="1">
        <f t="array" ref="H3876">IFERROR(IF(INDEX(EmployeeData[Exit Date], ROW() - 37)=0, "",INDEX(EmployeeData[Exit Date], ROW() - 37)),"")</f>
        <v/>
      </c>
      <c r="I3876" s="4" t="str" cm="1">
        <f t="array" ref="I3876">IFERROR(IF(INDEX(EmployeeData[Exit Reason], ROW() - 37)=0, "",INDEX(EmployeeData[Exit Reason], ROW() - 37)),"")</f>
        <v/>
      </c>
      <c r="J3876" s="4" t="str" cm="1">
        <f t="array" ref="J3876">IFERROR(INDEX(EmployeeData[Status], ROW() - 37), "")</f>
        <v/>
      </c>
    </row>
    <row r="3877" spans="2:10" ht="19.95" customHeight="1" x14ac:dyDescent="0.3">
      <c r="B3877" s="4" t="str" cm="1">
        <f t="array" ref="B3877">IFERROR(INDEX(EmployeeData[Employee ID], ROW() - 37), "")</f>
        <v/>
      </c>
      <c r="C3877" s="4" t="str" cm="1">
        <f t="array" ref="C3877">IFERROR(INDEX(EmployeeData[Full Name], ROW() - 37), "")</f>
        <v/>
      </c>
      <c r="D3877" s="4" t="str" cm="1">
        <f t="array" ref="D3877">IFERROR(INDEX(EmployeeData[Department], ROW() - 37), "")</f>
        <v/>
      </c>
      <c r="E3877" s="4" t="str" cm="1">
        <f t="array" ref="E3877">IFERROR(INDEX(EmployeeData[Gender], ROW() - 37), "")</f>
        <v/>
      </c>
      <c r="F3877" s="4" t="str" cm="1">
        <f t="array" ref="F3877">IFERROR(INDEX(EmployeeData[Age], ROW() - 37), "")</f>
        <v/>
      </c>
      <c r="G3877" s="6" t="str" cm="1">
        <f t="array" ref="G3877">IFERROR(INDEX(EmployeeData[Join Date], ROW() - 37), "")</f>
        <v/>
      </c>
      <c r="H3877" s="6" t="str" cm="1">
        <f t="array" ref="H3877">IFERROR(IF(INDEX(EmployeeData[Exit Date], ROW() - 37)=0, "",INDEX(EmployeeData[Exit Date], ROW() - 37)),"")</f>
        <v/>
      </c>
      <c r="I3877" s="4" t="str" cm="1">
        <f t="array" ref="I3877">IFERROR(IF(INDEX(EmployeeData[Exit Reason], ROW() - 37)=0, "",INDEX(EmployeeData[Exit Reason], ROW() - 37)),"")</f>
        <v/>
      </c>
      <c r="J3877" s="4" t="str" cm="1">
        <f t="array" ref="J3877">IFERROR(INDEX(EmployeeData[Status], ROW() - 37), "")</f>
        <v/>
      </c>
    </row>
    <row r="3878" spans="2:10" ht="19.95" customHeight="1" x14ac:dyDescent="0.3">
      <c r="B3878" s="4" t="str" cm="1">
        <f t="array" ref="B3878">IFERROR(INDEX(EmployeeData[Employee ID], ROW() - 37), "")</f>
        <v/>
      </c>
      <c r="C3878" s="4" t="str" cm="1">
        <f t="array" ref="C3878">IFERROR(INDEX(EmployeeData[Full Name], ROW() - 37), "")</f>
        <v/>
      </c>
      <c r="D3878" s="4" t="str" cm="1">
        <f t="array" ref="D3878">IFERROR(INDEX(EmployeeData[Department], ROW() - 37), "")</f>
        <v/>
      </c>
      <c r="E3878" s="4" t="str" cm="1">
        <f t="array" ref="E3878">IFERROR(INDEX(EmployeeData[Gender], ROW() - 37), "")</f>
        <v/>
      </c>
      <c r="F3878" s="4" t="str" cm="1">
        <f t="array" ref="F3878">IFERROR(INDEX(EmployeeData[Age], ROW() - 37), "")</f>
        <v/>
      </c>
      <c r="G3878" s="6" t="str" cm="1">
        <f t="array" ref="G3878">IFERROR(INDEX(EmployeeData[Join Date], ROW() - 37), "")</f>
        <v/>
      </c>
      <c r="H3878" s="6" t="str" cm="1">
        <f t="array" ref="H3878">IFERROR(IF(INDEX(EmployeeData[Exit Date], ROW() - 37)=0, "",INDEX(EmployeeData[Exit Date], ROW() - 37)),"")</f>
        <v/>
      </c>
      <c r="I3878" s="4" t="str" cm="1">
        <f t="array" ref="I3878">IFERROR(IF(INDEX(EmployeeData[Exit Reason], ROW() - 37)=0, "",INDEX(EmployeeData[Exit Reason], ROW() - 37)),"")</f>
        <v/>
      </c>
      <c r="J3878" s="4" t="str" cm="1">
        <f t="array" ref="J3878">IFERROR(INDEX(EmployeeData[Status], ROW() - 37), "")</f>
        <v/>
      </c>
    </row>
    <row r="3879" spans="2:10" ht="19.95" customHeight="1" x14ac:dyDescent="0.3">
      <c r="B3879" s="4" t="str" cm="1">
        <f t="array" ref="B3879">IFERROR(INDEX(EmployeeData[Employee ID], ROW() - 37), "")</f>
        <v/>
      </c>
      <c r="C3879" s="4" t="str" cm="1">
        <f t="array" ref="C3879">IFERROR(INDEX(EmployeeData[Full Name], ROW() - 37), "")</f>
        <v/>
      </c>
      <c r="D3879" s="4" t="str" cm="1">
        <f t="array" ref="D3879">IFERROR(INDEX(EmployeeData[Department], ROW() - 37), "")</f>
        <v/>
      </c>
      <c r="E3879" s="4" t="str" cm="1">
        <f t="array" ref="E3879">IFERROR(INDEX(EmployeeData[Gender], ROW() - 37), "")</f>
        <v/>
      </c>
      <c r="F3879" s="4" t="str" cm="1">
        <f t="array" ref="F3879">IFERROR(INDEX(EmployeeData[Age], ROW() - 37), "")</f>
        <v/>
      </c>
      <c r="G3879" s="6" t="str" cm="1">
        <f t="array" ref="G3879">IFERROR(INDEX(EmployeeData[Join Date], ROW() - 37), "")</f>
        <v/>
      </c>
      <c r="H3879" s="6" t="str" cm="1">
        <f t="array" ref="H3879">IFERROR(IF(INDEX(EmployeeData[Exit Date], ROW() - 37)=0, "",INDEX(EmployeeData[Exit Date], ROW() - 37)),"")</f>
        <v/>
      </c>
      <c r="I3879" s="4" t="str" cm="1">
        <f t="array" ref="I3879">IFERROR(IF(INDEX(EmployeeData[Exit Reason], ROW() - 37)=0, "",INDEX(EmployeeData[Exit Reason], ROW() - 37)),"")</f>
        <v/>
      </c>
      <c r="J3879" s="4" t="str" cm="1">
        <f t="array" ref="J3879">IFERROR(INDEX(EmployeeData[Status], ROW() - 37), "")</f>
        <v/>
      </c>
    </row>
    <row r="3880" spans="2:10" ht="19.95" customHeight="1" x14ac:dyDescent="0.3">
      <c r="B3880" s="4" t="str" cm="1">
        <f t="array" ref="B3880">IFERROR(INDEX(EmployeeData[Employee ID], ROW() - 37), "")</f>
        <v/>
      </c>
      <c r="C3880" s="4" t="str" cm="1">
        <f t="array" ref="C3880">IFERROR(INDEX(EmployeeData[Full Name], ROW() - 37), "")</f>
        <v/>
      </c>
      <c r="D3880" s="4" t="str" cm="1">
        <f t="array" ref="D3880">IFERROR(INDEX(EmployeeData[Department], ROW() - 37), "")</f>
        <v/>
      </c>
      <c r="E3880" s="4" t="str" cm="1">
        <f t="array" ref="E3880">IFERROR(INDEX(EmployeeData[Gender], ROW() - 37), "")</f>
        <v/>
      </c>
      <c r="F3880" s="4" t="str" cm="1">
        <f t="array" ref="F3880">IFERROR(INDEX(EmployeeData[Age], ROW() - 37), "")</f>
        <v/>
      </c>
      <c r="G3880" s="6" t="str" cm="1">
        <f t="array" ref="G3880">IFERROR(INDEX(EmployeeData[Join Date], ROW() - 37), "")</f>
        <v/>
      </c>
      <c r="H3880" s="6" t="str" cm="1">
        <f t="array" ref="H3880">IFERROR(IF(INDEX(EmployeeData[Exit Date], ROW() - 37)=0, "",INDEX(EmployeeData[Exit Date], ROW() - 37)),"")</f>
        <v/>
      </c>
      <c r="I3880" s="4" t="str" cm="1">
        <f t="array" ref="I3880">IFERROR(IF(INDEX(EmployeeData[Exit Reason], ROW() - 37)=0, "",INDEX(EmployeeData[Exit Reason], ROW() - 37)),"")</f>
        <v/>
      </c>
      <c r="J3880" s="4" t="str" cm="1">
        <f t="array" ref="J3880">IFERROR(INDEX(EmployeeData[Status], ROW() - 37), "")</f>
        <v/>
      </c>
    </row>
    <row r="3881" spans="2:10" ht="19.95" customHeight="1" x14ac:dyDescent="0.3">
      <c r="B3881" s="4" t="str" cm="1">
        <f t="array" ref="B3881">IFERROR(INDEX(EmployeeData[Employee ID], ROW() - 37), "")</f>
        <v/>
      </c>
      <c r="C3881" s="4" t="str" cm="1">
        <f t="array" ref="C3881">IFERROR(INDEX(EmployeeData[Full Name], ROW() - 37), "")</f>
        <v/>
      </c>
      <c r="D3881" s="4" t="str" cm="1">
        <f t="array" ref="D3881">IFERROR(INDEX(EmployeeData[Department], ROW() - 37), "")</f>
        <v/>
      </c>
      <c r="E3881" s="4" t="str" cm="1">
        <f t="array" ref="E3881">IFERROR(INDEX(EmployeeData[Gender], ROW() - 37), "")</f>
        <v/>
      </c>
      <c r="F3881" s="4" t="str" cm="1">
        <f t="array" ref="F3881">IFERROR(INDEX(EmployeeData[Age], ROW() - 37), "")</f>
        <v/>
      </c>
      <c r="G3881" s="6" t="str" cm="1">
        <f t="array" ref="G3881">IFERROR(INDEX(EmployeeData[Join Date], ROW() - 37), "")</f>
        <v/>
      </c>
      <c r="H3881" s="6" t="str" cm="1">
        <f t="array" ref="H3881">IFERROR(IF(INDEX(EmployeeData[Exit Date], ROW() - 37)=0, "",INDEX(EmployeeData[Exit Date], ROW() - 37)),"")</f>
        <v/>
      </c>
      <c r="I3881" s="4" t="str" cm="1">
        <f t="array" ref="I3881">IFERROR(IF(INDEX(EmployeeData[Exit Reason], ROW() - 37)=0, "",INDEX(EmployeeData[Exit Reason], ROW() - 37)),"")</f>
        <v/>
      </c>
      <c r="J3881" s="4" t="str" cm="1">
        <f t="array" ref="J3881">IFERROR(INDEX(EmployeeData[Status], ROW() - 37), "")</f>
        <v/>
      </c>
    </row>
    <row r="3882" spans="2:10" ht="19.95" customHeight="1" x14ac:dyDescent="0.3">
      <c r="B3882" s="4" t="str" cm="1">
        <f t="array" ref="B3882">IFERROR(INDEX(EmployeeData[Employee ID], ROW() - 37), "")</f>
        <v/>
      </c>
      <c r="C3882" s="4" t="str" cm="1">
        <f t="array" ref="C3882">IFERROR(INDEX(EmployeeData[Full Name], ROW() - 37), "")</f>
        <v/>
      </c>
      <c r="D3882" s="4" t="str" cm="1">
        <f t="array" ref="D3882">IFERROR(INDEX(EmployeeData[Department], ROW() - 37), "")</f>
        <v/>
      </c>
      <c r="E3882" s="4" t="str" cm="1">
        <f t="array" ref="E3882">IFERROR(INDEX(EmployeeData[Gender], ROW() - 37), "")</f>
        <v/>
      </c>
      <c r="F3882" s="4" t="str" cm="1">
        <f t="array" ref="F3882">IFERROR(INDEX(EmployeeData[Age], ROW() - 37), "")</f>
        <v/>
      </c>
      <c r="G3882" s="6" t="str" cm="1">
        <f t="array" ref="G3882">IFERROR(INDEX(EmployeeData[Join Date], ROW() - 37), "")</f>
        <v/>
      </c>
      <c r="H3882" s="6" t="str" cm="1">
        <f t="array" ref="H3882">IFERROR(IF(INDEX(EmployeeData[Exit Date], ROW() - 37)=0, "",INDEX(EmployeeData[Exit Date], ROW() - 37)),"")</f>
        <v/>
      </c>
      <c r="I3882" s="4" t="str" cm="1">
        <f t="array" ref="I3882">IFERROR(IF(INDEX(EmployeeData[Exit Reason], ROW() - 37)=0, "",INDEX(EmployeeData[Exit Reason], ROW() - 37)),"")</f>
        <v/>
      </c>
      <c r="J3882" s="4" t="str" cm="1">
        <f t="array" ref="J3882">IFERROR(INDEX(EmployeeData[Status], ROW() - 37), "")</f>
        <v/>
      </c>
    </row>
    <row r="3883" spans="2:10" ht="19.95" customHeight="1" x14ac:dyDescent="0.3">
      <c r="B3883" s="4" t="str" cm="1">
        <f t="array" ref="B3883">IFERROR(INDEX(EmployeeData[Employee ID], ROW() - 37), "")</f>
        <v/>
      </c>
      <c r="C3883" s="4" t="str" cm="1">
        <f t="array" ref="C3883">IFERROR(INDEX(EmployeeData[Full Name], ROW() - 37), "")</f>
        <v/>
      </c>
      <c r="D3883" s="4" t="str" cm="1">
        <f t="array" ref="D3883">IFERROR(INDEX(EmployeeData[Department], ROW() - 37), "")</f>
        <v/>
      </c>
      <c r="E3883" s="4" t="str" cm="1">
        <f t="array" ref="E3883">IFERROR(INDEX(EmployeeData[Gender], ROW() - 37), "")</f>
        <v/>
      </c>
      <c r="F3883" s="4" t="str" cm="1">
        <f t="array" ref="F3883">IFERROR(INDEX(EmployeeData[Age], ROW() - 37), "")</f>
        <v/>
      </c>
      <c r="G3883" s="6" t="str" cm="1">
        <f t="array" ref="G3883">IFERROR(INDEX(EmployeeData[Join Date], ROW() - 37), "")</f>
        <v/>
      </c>
      <c r="H3883" s="6" t="str" cm="1">
        <f t="array" ref="H3883">IFERROR(IF(INDEX(EmployeeData[Exit Date], ROW() - 37)=0, "",INDEX(EmployeeData[Exit Date], ROW() - 37)),"")</f>
        <v/>
      </c>
      <c r="I3883" s="4" t="str" cm="1">
        <f t="array" ref="I3883">IFERROR(IF(INDEX(EmployeeData[Exit Reason], ROW() - 37)=0, "",INDEX(EmployeeData[Exit Reason], ROW() - 37)),"")</f>
        <v/>
      </c>
      <c r="J3883" s="4" t="str" cm="1">
        <f t="array" ref="J3883">IFERROR(INDEX(EmployeeData[Status], ROW() - 37), "")</f>
        <v/>
      </c>
    </row>
    <row r="3884" spans="2:10" ht="19.95" customHeight="1" x14ac:dyDescent="0.3">
      <c r="B3884" s="4" t="str" cm="1">
        <f t="array" ref="B3884">IFERROR(INDEX(EmployeeData[Employee ID], ROW() - 37), "")</f>
        <v/>
      </c>
      <c r="C3884" s="4" t="str" cm="1">
        <f t="array" ref="C3884">IFERROR(INDEX(EmployeeData[Full Name], ROW() - 37), "")</f>
        <v/>
      </c>
      <c r="D3884" s="4" t="str" cm="1">
        <f t="array" ref="D3884">IFERROR(INDEX(EmployeeData[Department], ROW() - 37), "")</f>
        <v/>
      </c>
      <c r="E3884" s="4" t="str" cm="1">
        <f t="array" ref="E3884">IFERROR(INDEX(EmployeeData[Gender], ROW() - 37), "")</f>
        <v/>
      </c>
      <c r="F3884" s="4" t="str" cm="1">
        <f t="array" ref="F3884">IFERROR(INDEX(EmployeeData[Age], ROW() - 37), "")</f>
        <v/>
      </c>
      <c r="G3884" s="6" t="str" cm="1">
        <f t="array" ref="G3884">IFERROR(INDEX(EmployeeData[Join Date], ROW() - 37), "")</f>
        <v/>
      </c>
      <c r="H3884" s="6" t="str" cm="1">
        <f t="array" ref="H3884">IFERROR(IF(INDEX(EmployeeData[Exit Date], ROW() - 37)=0, "",INDEX(EmployeeData[Exit Date], ROW() - 37)),"")</f>
        <v/>
      </c>
      <c r="I3884" s="4" t="str" cm="1">
        <f t="array" ref="I3884">IFERROR(IF(INDEX(EmployeeData[Exit Reason], ROW() - 37)=0, "",INDEX(EmployeeData[Exit Reason], ROW() - 37)),"")</f>
        <v/>
      </c>
      <c r="J3884" s="4" t="str" cm="1">
        <f t="array" ref="J3884">IFERROR(INDEX(EmployeeData[Status], ROW() - 37), "")</f>
        <v/>
      </c>
    </row>
    <row r="3885" spans="2:10" ht="19.95" customHeight="1" x14ac:dyDescent="0.3">
      <c r="B3885" s="4" t="str" cm="1">
        <f t="array" ref="B3885">IFERROR(INDEX(EmployeeData[Employee ID], ROW() - 37), "")</f>
        <v/>
      </c>
      <c r="C3885" s="4" t="str" cm="1">
        <f t="array" ref="C3885">IFERROR(INDEX(EmployeeData[Full Name], ROW() - 37), "")</f>
        <v/>
      </c>
      <c r="D3885" s="4" t="str" cm="1">
        <f t="array" ref="D3885">IFERROR(INDEX(EmployeeData[Department], ROW() - 37), "")</f>
        <v/>
      </c>
      <c r="E3885" s="4" t="str" cm="1">
        <f t="array" ref="E3885">IFERROR(INDEX(EmployeeData[Gender], ROW() - 37), "")</f>
        <v/>
      </c>
      <c r="F3885" s="4" t="str" cm="1">
        <f t="array" ref="F3885">IFERROR(INDEX(EmployeeData[Age], ROW() - 37), "")</f>
        <v/>
      </c>
      <c r="G3885" s="6" t="str" cm="1">
        <f t="array" ref="G3885">IFERROR(INDEX(EmployeeData[Join Date], ROW() - 37), "")</f>
        <v/>
      </c>
      <c r="H3885" s="6" t="str" cm="1">
        <f t="array" ref="H3885">IFERROR(IF(INDEX(EmployeeData[Exit Date], ROW() - 37)=0, "",INDEX(EmployeeData[Exit Date], ROW() - 37)),"")</f>
        <v/>
      </c>
      <c r="I3885" s="4" t="str" cm="1">
        <f t="array" ref="I3885">IFERROR(IF(INDEX(EmployeeData[Exit Reason], ROW() - 37)=0, "",INDEX(EmployeeData[Exit Reason], ROW() - 37)),"")</f>
        <v/>
      </c>
      <c r="J3885" s="4" t="str" cm="1">
        <f t="array" ref="J3885">IFERROR(INDEX(EmployeeData[Status], ROW() - 37), "")</f>
        <v/>
      </c>
    </row>
    <row r="3886" spans="2:10" ht="19.95" customHeight="1" x14ac:dyDescent="0.3">
      <c r="B3886" s="4" t="str" cm="1">
        <f t="array" ref="B3886">IFERROR(INDEX(EmployeeData[Employee ID], ROW() - 37), "")</f>
        <v/>
      </c>
      <c r="C3886" s="4" t="str" cm="1">
        <f t="array" ref="C3886">IFERROR(INDEX(EmployeeData[Full Name], ROW() - 37), "")</f>
        <v/>
      </c>
      <c r="D3886" s="4" t="str" cm="1">
        <f t="array" ref="D3886">IFERROR(INDEX(EmployeeData[Department], ROW() - 37), "")</f>
        <v/>
      </c>
      <c r="E3886" s="4" t="str" cm="1">
        <f t="array" ref="E3886">IFERROR(INDEX(EmployeeData[Gender], ROW() - 37), "")</f>
        <v/>
      </c>
      <c r="F3886" s="4" t="str" cm="1">
        <f t="array" ref="F3886">IFERROR(INDEX(EmployeeData[Age], ROW() - 37), "")</f>
        <v/>
      </c>
      <c r="G3886" s="6" t="str" cm="1">
        <f t="array" ref="G3886">IFERROR(INDEX(EmployeeData[Join Date], ROW() - 37), "")</f>
        <v/>
      </c>
      <c r="H3886" s="6" t="str" cm="1">
        <f t="array" ref="H3886">IFERROR(IF(INDEX(EmployeeData[Exit Date], ROW() - 37)=0, "",INDEX(EmployeeData[Exit Date], ROW() - 37)),"")</f>
        <v/>
      </c>
      <c r="I3886" s="4" t="str" cm="1">
        <f t="array" ref="I3886">IFERROR(IF(INDEX(EmployeeData[Exit Reason], ROW() - 37)=0, "",INDEX(EmployeeData[Exit Reason], ROW() - 37)),"")</f>
        <v/>
      </c>
      <c r="J3886" s="4" t="str" cm="1">
        <f t="array" ref="J3886">IFERROR(INDEX(EmployeeData[Status], ROW() - 37), "")</f>
        <v/>
      </c>
    </row>
    <row r="3887" spans="2:10" ht="19.95" customHeight="1" x14ac:dyDescent="0.3">
      <c r="B3887" s="4" t="str" cm="1">
        <f t="array" ref="B3887">IFERROR(INDEX(EmployeeData[Employee ID], ROW() - 37), "")</f>
        <v/>
      </c>
      <c r="C3887" s="4" t="str" cm="1">
        <f t="array" ref="C3887">IFERROR(INDEX(EmployeeData[Full Name], ROW() - 37), "")</f>
        <v/>
      </c>
      <c r="D3887" s="4" t="str" cm="1">
        <f t="array" ref="D3887">IFERROR(INDEX(EmployeeData[Department], ROW() - 37), "")</f>
        <v/>
      </c>
      <c r="E3887" s="4" t="str" cm="1">
        <f t="array" ref="E3887">IFERROR(INDEX(EmployeeData[Gender], ROW() - 37), "")</f>
        <v/>
      </c>
      <c r="F3887" s="4" t="str" cm="1">
        <f t="array" ref="F3887">IFERROR(INDEX(EmployeeData[Age], ROW() - 37), "")</f>
        <v/>
      </c>
      <c r="G3887" s="6" t="str" cm="1">
        <f t="array" ref="G3887">IFERROR(INDEX(EmployeeData[Join Date], ROW() - 37), "")</f>
        <v/>
      </c>
      <c r="H3887" s="6" t="str" cm="1">
        <f t="array" ref="H3887">IFERROR(IF(INDEX(EmployeeData[Exit Date], ROW() - 37)=0, "",INDEX(EmployeeData[Exit Date], ROW() - 37)),"")</f>
        <v/>
      </c>
      <c r="I3887" s="4" t="str" cm="1">
        <f t="array" ref="I3887">IFERROR(IF(INDEX(EmployeeData[Exit Reason], ROW() - 37)=0, "",INDEX(EmployeeData[Exit Reason], ROW() - 37)),"")</f>
        <v/>
      </c>
      <c r="J3887" s="4" t="str" cm="1">
        <f t="array" ref="J3887">IFERROR(INDEX(EmployeeData[Status], ROW() - 37), "")</f>
        <v/>
      </c>
    </row>
    <row r="3888" spans="2:10" ht="19.95" customHeight="1" x14ac:dyDescent="0.3">
      <c r="B3888" s="4" t="str" cm="1">
        <f t="array" ref="B3888">IFERROR(INDEX(EmployeeData[Employee ID], ROW() - 37), "")</f>
        <v/>
      </c>
      <c r="C3888" s="4" t="str" cm="1">
        <f t="array" ref="C3888">IFERROR(INDEX(EmployeeData[Full Name], ROW() - 37), "")</f>
        <v/>
      </c>
      <c r="D3888" s="4" t="str" cm="1">
        <f t="array" ref="D3888">IFERROR(INDEX(EmployeeData[Department], ROW() - 37), "")</f>
        <v/>
      </c>
      <c r="E3888" s="4" t="str" cm="1">
        <f t="array" ref="E3888">IFERROR(INDEX(EmployeeData[Gender], ROW() - 37), "")</f>
        <v/>
      </c>
      <c r="F3888" s="4" t="str" cm="1">
        <f t="array" ref="F3888">IFERROR(INDEX(EmployeeData[Age], ROW() - 37), "")</f>
        <v/>
      </c>
      <c r="G3888" s="6" t="str" cm="1">
        <f t="array" ref="G3888">IFERROR(INDEX(EmployeeData[Join Date], ROW() - 37), "")</f>
        <v/>
      </c>
      <c r="H3888" s="6" t="str" cm="1">
        <f t="array" ref="H3888">IFERROR(IF(INDEX(EmployeeData[Exit Date], ROW() - 37)=0, "",INDEX(EmployeeData[Exit Date], ROW() - 37)),"")</f>
        <v/>
      </c>
      <c r="I3888" s="4" t="str" cm="1">
        <f t="array" ref="I3888">IFERROR(IF(INDEX(EmployeeData[Exit Reason], ROW() - 37)=0, "",INDEX(EmployeeData[Exit Reason], ROW() - 37)),"")</f>
        <v/>
      </c>
      <c r="J3888" s="4" t="str" cm="1">
        <f t="array" ref="J3888">IFERROR(INDEX(EmployeeData[Status], ROW() - 37), "")</f>
        <v/>
      </c>
    </row>
    <row r="3889" spans="2:10" ht="19.95" customHeight="1" x14ac:dyDescent="0.3">
      <c r="B3889" s="4" t="str" cm="1">
        <f t="array" ref="B3889">IFERROR(INDEX(EmployeeData[Employee ID], ROW() - 37), "")</f>
        <v/>
      </c>
      <c r="C3889" s="4" t="str" cm="1">
        <f t="array" ref="C3889">IFERROR(INDEX(EmployeeData[Full Name], ROW() - 37), "")</f>
        <v/>
      </c>
      <c r="D3889" s="4" t="str" cm="1">
        <f t="array" ref="D3889">IFERROR(INDEX(EmployeeData[Department], ROW() - 37), "")</f>
        <v/>
      </c>
      <c r="E3889" s="4" t="str" cm="1">
        <f t="array" ref="E3889">IFERROR(INDEX(EmployeeData[Gender], ROW() - 37), "")</f>
        <v/>
      </c>
      <c r="F3889" s="4" t="str" cm="1">
        <f t="array" ref="F3889">IFERROR(INDEX(EmployeeData[Age], ROW() - 37), "")</f>
        <v/>
      </c>
      <c r="G3889" s="6" t="str" cm="1">
        <f t="array" ref="G3889">IFERROR(INDEX(EmployeeData[Join Date], ROW() - 37), "")</f>
        <v/>
      </c>
      <c r="H3889" s="6" t="str" cm="1">
        <f t="array" ref="H3889">IFERROR(IF(INDEX(EmployeeData[Exit Date], ROW() - 37)=0, "",INDEX(EmployeeData[Exit Date], ROW() - 37)),"")</f>
        <v/>
      </c>
      <c r="I3889" s="4" t="str" cm="1">
        <f t="array" ref="I3889">IFERROR(IF(INDEX(EmployeeData[Exit Reason], ROW() - 37)=0, "",INDEX(EmployeeData[Exit Reason], ROW() - 37)),"")</f>
        <v/>
      </c>
      <c r="J3889" s="4" t="str" cm="1">
        <f t="array" ref="J3889">IFERROR(INDEX(EmployeeData[Status], ROW() - 37), "")</f>
        <v/>
      </c>
    </row>
    <row r="3890" spans="2:10" ht="19.95" customHeight="1" x14ac:dyDescent="0.3">
      <c r="B3890" s="4" t="str" cm="1">
        <f t="array" ref="B3890">IFERROR(INDEX(EmployeeData[Employee ID], ROW() - 37), "")</f>
        <v/>
      </c>
      <c r="C3890" s="4" t="str" cm="1">
        <f t="array" ref="C3890">IFERROR(INDEX(EmployeeData[Full Name], ROW() - 37), "")</f>
        <v/>
      </c>
      <c r="D3890" s="4" t="str" cm="1">
        <f t="array" ref="D3890">IFERROR(INDEX(EmployeeData[Department], ROW() - 37), "")</f>
        <v/>
      </c>
      <c r="E3890" s="4" t="str" cm="1">
        <f t="array" ref="E3890">IFERROR(INDEX(EmployeeData[Gender], ROW() - 37), "")</f>
        <v/>
      </c>
      <c r="F3890" s="4" t="str" cm="1">
        <f t="array" ref="F3890">IFERROR(INDEX(EmployeeData[Age], ROW() - 37), "")</f>
        <v/>
      </c>
      <c r="G3890" s="6" t="str" cm="1">
        <f t="array" ref="G3890">IFERROR(INDEX(EmployeeData[Join Date], ROW() - 37), "")</f>
        <v/>
      </c>
      <c r="H3890" s="6" t="str" cm="1">
        <f t="array" ref="H3890">IFERROR(IF(INDEX(EmployeeData[Exit Date], ROW() - 37)=0, "",INDEX(EmployeeData[Exit Date], ROW() - 37)),"")</f>
        <v/>
      </c>
      <c r="I3890" s="4" t="str" cm="1">
        <f t="array" ref="I3890">IFERROR(IF(INDEX(EmployeeData[Exit Reason], ROW() - 37)=0, "",INDEX(EmployeeData[Exit Reason], ROW() - 37)),"")</f>
        <v/>
      </c>
      <c r="J3890" s="4" t="str" cm="1">
        <f t="array" ref="J3890">IFERROR(INDEX(EmployeeData[Status], ROW() - 37), "")</f>
        <v/>
      </c>
    </row>
    <row r="3891" spans="2:10" ht="19.95" customHeight="1" x14ac:dyDescent="0.3">
      <c r="B3891" s="4" t="str" cm="1">
        <f t="array" ref="B3891">IFERROR(INDEX(EmployeeData[Employee ID], ROW() - 37), "")</f>
        <v/>
      </c>
      <c r="C3891" s="4" t="str" cm="1">
        <f t="array" ref="C3891">IFERROR(INDEX(EmployeeData[Full Name], ROW() - 37), "")</f>
        <v/>
      </c>
      <c r="D3891" s="4" t="str" cm="1">
        <f t="array" ref="D3891">IFERROR(INDEX(EmployeeData[Department], ROW() - 37), "")</f>
        <v/>
      </c>
      <c r="E3891" s="4" t="str" cm="1">
        <f t="array" ref="E3891">IFERROR(INDEX(EmployeeData[Gender], ROW() - 37), "")</f>
        <v/>
      </c>
      <c r="F3891" s="4" t="str" cm="1">
        <f t="array" ref="F3891">IFERROR(INDEX(EmployeeData[Age], ROW() - 37), "")</f>
        <v/>
      </c>
      <c r="G3891" s="6" t="str" cm="1">
        <f t="array" ref="G3891">IFERROR(INDEX(EmployeeData[Join Date], ROW() - 37), "")</f>
        <v/>
      </c>
      <c r="H3891" s="6" t="str" cm="1">
        <f t="array" ref="H3891">IFERROR(IF(INDEX(EmployeeData[Exit Date], ROW() - 37)=0, "",INDEX(EmployeeData[Exit Date], ROW() - 37)),"")</f>
        <v/>
      </c>
      <c r="I3891" s="4" t="str" cm="1">
        <f t="array" ref="I3891">IFERROR(IF(INDEX(EmployeeData[Exit Reason], ROW() - 37)=0, "",INDEX(EmployeeData[Exit Reason], ROW() - 37)),"")</f>
        <v/>
      </c>
      <c r="J3891" s="4" t="str" cm="1">
        <f t="array" ref="J3891">IFERROR(INDEX(EmployeeData[Status], ROW() - 37), "")</f>
        <v/>
      </c>
    </row>
    <row r="3892" spans="2:10" ht="19.95" customHeight="1" x14ac:dyDescent="0.3">
      <c r="B3892" s="4" t="str" cm="1">
        <f t="array" ref="B3892">IFERROR(INDEX(EmployeeData[Employee ID], ROW() - 37), "")</f>
        <v/>
      </c>
      <c r="C3892" s="4" t="str" cm="1">
        <f t="array" ref="C3892">IFERROR(INDEX(EmployeeData[Full Name], ROW() - 37), "")</f>
        <v/>
      </c>
      <c r="D3892" s="4" t="str" cm="1">
        <f t="array" ref="D3892">IFERROR(INDEX(EmployeeData[Department], ROW() - 37), "")</f>
        <v/>
      </c>
      <c r="E3892" s="4" t="str" cm="1">
        <f t="array" ref="E3892">IFERROR(INDEX(EmployeeData[Gender], ROW() - 37), "")</f>
        <v/>
      </c>
      <c r="F3892" s="4" t="str" cm="1">
        <f t="array" ref="F3892">IFERROR(INDEX(EmployeeData[Age], ROW() - 37), "")</f>
        <v/>
      </c>
      <c r="G3892" s="6" t="str" cm="1">
        <f t="array" ref="G3892">IFERROR(INDEX(EmployeeData[Join Date], ROW() - 37), "")</f>
        <v/>
      </c>
      <c r="H3892" s="6" t="str" cm="1">
        <f t="array" ref="H3892">IFERROR(IF(INDEX(EmployeeData[Exit Date], ROW() - 37)=0, "",INDEX(EmployeeData[Exit Date], ROW() - 37)),"")</f>
        <v/>
      </c>
      <c r="I3892" s="4" t="str" cm="1">
        <f t="array" ref="I3892">IFERROR(IF(INDEX(EmployeeData[Exit Reason], ROW() - 37)=0, "",INDEX(EmployeeData[Exit Reason], ROW() - 37)),"")</f>
        <v/>
      </c>
      <c r="J3892" s="4" t="str" cm="1">
        <f t="array" ref="J3892">IFERROR(INDEX(EmployeeData[Status], ROW() - 37), "")</f>
        <v/>
      </c>
    </row>
    <row r="3893" spans="2:10" ht="19.95" customHeight="1" x14ac:dyDescent="0.3">
      <c r="B3893" s="4" t="str" cm="1">
        <f t="array" ref="B3893">IFERROR(INDEX(EmployeeData[Employee ID], ROW() - 37), "")</f>
        <v/>
      </c>
      <c r="C3893" s="4" t="str" cm="1">
        <f t="array" ref="C3893">IFERROR(INDEX(EmployeeData[Full Name], ROW() - 37), "")</f>
        <v/>
      </c>
      <c r="D3893" s="4" t="str" cm="1">
        <f t="array" ref="D3893">IFERROR(INDEX(EmployeeData[Department], ROW() - 37), "")</f>
        <v/>
      </c>
      <c r="E3893" s="4" t="str" cm="1">
        <f t="array" ref="E3893">IFERROR(INDEX(EmployeeData[Gender], ROW() - 37), "")</f>
        <v/>
      </c>
      <c r="F3893" s="4" t="str" cm="1">
        <f t="array" ref="F3893">IFERROR(INDEX(EmployeeData[Age], ROW() - 37), "")</f>
        <v/>
      </c>
      <c r="G3893" s="6" t="str" cm="1">
        <f t="array" ref="G3893">IFERROR(INDEX(EmployeeData[Join Date], ROW() - 37), "")</f>
        <v/>
      </c>
      <c r="H3893" s="6" t="str" cm="1">
        <f t="array" ref="H3893">IFERROR(IF(INDEX(EmployeeData[Exit Date], ROW() - 37)=0, "",INDEX(EmployeeData[Exit Date], ROW() - 37)),"")</f>
        <v/>
      </c>
      <c r="I3893" s="4" t="str" cm="1">
        <f t="array" ref="I3893">IFERROR(IF(INDEX(EmployeeData[Exit Reason], ROW() - 37)=0, "",INDEX(EmployeeData[Exit Reason], ROW() - 37)),"")</f>
        <v/>
      </c>
      <c r="J3893" s="4" t="str" cm="1">
        <f t="array" ref="J3893">IFERROR(INDEX(EmployeeData[Status], ROW() - 37), "")</f>
        <v/>
      </c>
    </row>
    <row r="3894" spans="2:10" ht="19.95" customHeight="1" x14ac:dyDescent="0.3">
      <c r="B3894" s="4" t="str" cm="1">
        <f t="array" ref="B3894">IFERROR(INDEX(EmployeeData[Employee ID], ROW() - 37), "")</f>
        <v/>
      </c>
      <c r="C3894" s="4" t="str" cm="1">
        <f t="array" ref="C3894">IFERROR(INDEX(EmployeeData[Full Name], ROW() - 37), "")</f>
        <v/>
      </c>
      <c r="D3894" s="4" t="str" cm="1">
        <f t="array" ref="D3894">IFERROR(INDEX(EmployeeData[Department], ROW() - 37), "")</f>
        <v/>
      </c>
      <c r="E3894" s="4" t="str" cm="1">
        <f t="array" ref="E3894">IFERROR(INDEX(EmployeeData[Gender], ROW() - 37), "")</f>
        <v/>
      </c>
      <c r="F3894" s="4" t="str" cm="1">
        <f t="array" ref="F3894">IFERROR(INDEX(EmployeeData[Age], ROW() - 37), "")</f>
        <v/>
      </c>
      <c r="G3894" s="6" t="str" cm="1">
        <f t="array" ref="G3894">IFERROR(INDEX(EmployeeData[Join Date], ROW() - 37), "")</f>
        <v/>
      </c>
      <c r="H3894" s="6" t="str" cm="1">
        <f t="array" ref="H3894">IFERROR(IF(INDEX(EmployeeData[Exit Date], ROW() - 37)=0, "",INDEX(EmployeeData[Exit Date], ROW() - 37)),"")</f>
        <v/>
      </c>
      <c r="I3894" s="4" t="str" cm="1">
        <f t="array" ref="I3894">IFERROR(IF(INDEX(EmployeeData[Exit Reason], ROW() - 37)=0, "",INDEX(EmployeeData[Exit Reason], ROW() - 37)),"")</f>
        <v/>
      </c>
      <c r="J3894" s="4" t="str" cm="1">
        <f t="array" ref="J3894">IFERROR(INDEX(EmployeeData[Status], ROW() - 37), "")</f>
        <v/>
      </c>
    </row>
    <row r="3895" spans="2:10" ht="19.95" customHeight="1" x14ac:dyDescent="0.3">
      <c r="B3895" s="4" t="str" cm="1">
        <f t="array" ref="B3895">IFERROR(INDEX(EmployeeData[Employee ID], ROW() - 37), "")</f>
        <v/>
      </c>
      <c r="C3895" s="4" t="str" cm="1">
        <f t="array" ref="C3895">IFERROR(INDEX(EmployeeData[Full Name], ROW() - 37), "")</f>
        <v/>
      </c>
      <c r="D3895" s="4" t="str" cm="1">
        <f t="array" ref="D3895">IFERROR(INDEX(EmployeeData[Department], ROW() - 37), "")</f>
        <v/>
      </c>
      <c r="E3895" s="4" t="str" cm="1">
        <f t="array" ref="E3895">IFERROR(INDEX(EmployeeData[Gender], ROW() - 37), "")</f>
        <v/>
      </c>
      <c r="F3895" s="4" t="str" cm="1">
        <f t="array" ref="F3895">IFERROR(INDEX(EmployeeData[Age], ROW() - 37), "")</f>
        <v/>
      </c>
      <c r="G3895" s="6" t="str" cm="1">
        <f t="array" ref="G3895">IFERROR(INDEX(EmployeeData[Join Date], ROW() - 37), "")</f>
        <v/>
      </c>
      <c r="H3895" s="6" t="str" cm="1">
        <f t="array" ref="H3895">IFERROR(IF(INDEX(EmployeeData[Exit Date], ROW() - 37)=0, "",INDEX(EmployeeData[Exit Date], ROW() - 37)),"")</f>
        <v/>
      </c>
      <c r="I3895" s="4" t="str" cm="1">
        <f t="array" ref="I3895">IFERROR(IF(INDEX(EmployeeData[Exit Reason], ROW() - 37)=0, "",INDEX(EmployeeData[Exit Reason], ROW() - 37)),"")</f>
        <v/>
      </c>
      <c r="J3895" s="4" t="str" cm="1">
        <f t="array" ref="J3895">IFERROR(INDEX(EmployeeData[Status], ROW() - 37), "")</f>
        <v/>
      </c>
    </row>
    <row r="3896" spans="2:10" ht="19.95" customHeight="1" x14ac:dyDescent="0.3">
      <c r="B3896" s="4" t="str" cm="1">
        <f t="array" ref="B3896">IFERROR(INDEX(EmployeeData[Employee ID], ROW() - 37), "")</f>
        <v/>
      </c>
      <c r="C3896" s="4" t="str" cm="1">
        <f t="array" ref="C3896">IFERROR(INDEX(EmployeeData[Full Name], ROW() - 37), "")</f>
        <v/>
      </c>
      <c r="D3896" s="4" t="str" cm="1">
        <f t="array" ref="D3896">IFERROR(INDEX(EmployeeData[Department], ROW() - 37), "")</f>
        <v/>
      </c>
      <c r="E3896" s="4" t="str" cm="1">
        <f t="array" ref="E3896">IFERROR(INDEX(EmployeeData[Gender], ROW() - 37), "")</f>
        <v/>
      </c>
      <c r="F3896" s="4" t="str" cm="1">
        <f t="array" ref="F3896">IFERROR(INDEX(EmployeeData[Age], ROW() - 37), "")</f>
        <v/>
      </c>
      <c r="G3896" s="6" t="str" cm="1">
        <f t="array" ref="G3896">IFERROR(INDEX(EmployeeData[Join Date], ROW() - 37), "")</f>
        <v/>
      </c>
      <c r="H3896" s="6" t="str" cm="1">
        <f t="array" ref="H3896">IFERROR(IF(INDEX(EmployeeData[Exit Date], ROW() - 37)=0, "",INDEX(EmployeeData[Exit Date], ROW() - 37)),"")</f>
        <v/>
      </c>
      <c r="I3896" s="4" t="str" cm="1">
        <f t="array" ref="I3896">IFERROR(IF(INDEX(EmployeeData[Exit Reason], ROW() - 37)=0, "",INDEX(EmployeeData[Exit Reason], ROW() - 37)),"")</f>
        <v/>
      </c>
      <c r="J3896" s="4" t="str" cm="1">
        <f t="array" ref="J3896">IFERROR(INDEX(EmployeeData[Status], ROW() - 37), "")</f>
        <v/>
      </c>
    </row>
    <row r="3897" spans="2:10" ht="19.95" customHeight="1" x14ac:dyDescent="0.3">
      <c r="B3897" s="4" t="str" cm="1">
        <f t="array" ref="B3897">IFERROR(INDEX(EmployeeData[Employee ID], ROW() - 37), "")</f>
        <v/>
      </c>
      <c r="C3897" s="4" t="str" cm="1">
        <f t="array" ref="C3897">IFERROR(INDEX(EmployeeData[Full Name], ROW() - 37), "")</f>
        <v/>
      </c>
      <c r="D3897" s="4" t="str" cm="1">
        <f t="array" ref="D3897">IFERROR(INDEX(EmployeeData[Department], ROW() - 37), "")</f>
        <v/>
      </c>
      <c r="E3897" s="4" t="str" cm="1">
        <f t="array" ref="E3897">IFERROR(INDEX(EmployeeData[Gender], ROW() - 37), "")</f>
        <v/>
      </c>
      <c r="F3897" s="4" t="str" cm="1">
        <f t="array" ref="F3897">IFERROR(INDEX(EmployeeData[Age], ROW() - 37), "")</f>
        <v/>
      </c>
      <c r="G3897" s="6" t="str" cm="1">
        <f t="array" ref="G3897">IFERROR(INDEX(EmployeeData[Join Date], ROW() - 37), "")</f>
        <v/>
      </c>
      <c r="H3897" s="6" t="str" cm="1">
        <f t="array" ref="H3897">IFERROR(IF(INDEX(EmployeeData[Exit Date], ROW() - 37)=0, "",INDEX(EmployeeData[Exit Date], ROW() - 37)),"")</f>
        <v/>
      </c>
      <c r="I3897" s="4" t="str" cm="1">
        <f t="array" ref="I3897">IFERROR(IF(INDEX(EmployeeData[Exit Reason], ROW() - 37)=0, "",INDEX(EmployeeData[Exit Reason], ROW() - 37)),"")</f>
        <v/>
      </c>
      <c r="J3897" s="4" t="str" cm="1">
        <f t="array" ref="J3897">IFERROR(INDEX(EmployeeData[Status], ROW() - 37), "")</f>
        <v/>
      </c>
    </row>
    <row r="3898" spans="2:10" ht="19.95" customHeight="1" x14ac:dyDescent="0.3">
      <c r="B3898" s="4" t="str" cm="1">
        <f t="array" ref="B3898">IFERROR(INDEX(EmployeeData[Employee ID], ROW() - 37), "")</f>
        <v/>
      </c>
      <c r="C3898" s="4" t="str" cm="1">
        <f t="array" ref="C3898">IFERROR(INDEX(EmployeeData[Full Name], ROW() - 37), "")</f>
        <v/>
      </c>
      <c r="D3898" s="4" t="str" cm="1">
        <f t="array" ref="D3898">IFERROR(INDEX(EmployeeData[Department], ROW() - 37), "")</f>
        <v/>
      </c>
      <c r="E3898" s="4" t="str" cm="1">
        <f t="array" ref="E3898">IFERROR(INDEX(EmployeeData[Gender], ROW() - 37), "")</f>
        <v/>
      </c>
      <c r="F3898" s="4" t="str" cm="1">
        <f t="array" ref="F3898">IFERROR(INDEX(EmployeeData[Age], ROW() - 37), "")</f>
        <v/>
      </c>
      <c r="G3898" s="6" t="str" cm="1">
        <f t="array" ref="G3898">IFERROR(INDEX(EmployeeData[Join Date], ROW() - 37), "")</f>
        <v/>
      </c>
      <c r="H3898" s="6" t="str" cm="1">
        <f t="array" ref="H3898">IFERROR(IF(INDEX(EmployeeData[Exit Date], ROW() - 37)=0, "",INDEX(EmployeeData[Exit Date], ROW() - 37)),"")</f>
        <v/>
      </c>
      <c r="I3898" s="4" t="str" cm="1">
        <f t="array" ref="I3898">IFERROR(IF(INDEX(EmployeeData[Exit Reason], ROW() - 37)=0, "",INDEX(EmployeeData[Exit Reason], ROW() - 37)),"")</f>
        <v/>
      </c>
      <c r="J3898" s="4" t="str" cm="1">
        <f t="array" ref="J3898">IFERROR(INDEX(EmployeeData[Status], ROW() - 37), "")</f>
        <v/>
      </c>
    </row>
    <row r="3899" spans="2:10" ht="19.95" customHeight="1" x14ac:dyDescent="0.3">
      <c r="B3899" s="4" t="str" cm="1">
        <f t="array" ref="B3899">IFERROR(INDEX(EmployeeData[Employee ID], ROW() - 37), "")</f>
        <v/>
      </c>
      <c r="C3899" s="4" t="str" cm="1">
        <f t="array" ref="C3899">IFERROR(INDEX(EmployeeData[Full Name], ROW() - 37), "")</f>
        <v/>
      </c>
      <c r="D3899" s="4" t="str" cm="1">
        <f t="array" ref="D3899">IFERROR(INDEX(EmployeeData[Department], ROW() - 37), "")</f>
        <v/>
      </c>
      <c r="E3899" s="4" t="str" cm="1">
        <f t="array" ref="E3899">IFERROR(INDEX(EmployeeData[Gender], ROW() - 37), "")</f>
        <v/>
      </c>
      <c r="F3899" s="4" t="str" cm="1">
        <f t="array" ref="F3899">IFERROR(INDEX(EmployeeData[Age], ROW() - 37), "")</f>
        <v/>
      </c>
      <c r="G3899" s="6" t="str" cm="1">
        <f t="array" ref="G3899">IFERROR(INDEX(EmployeeData[Join Date], ROW() - 37), "")</f>
        <v/>
      </c>
      <c r="H3899" s="6" t="str" cm="1">
        <f t="array" ref="H3899">IFERROR(IF(INDEX(EmployeeData[Exit Date], ROW() - 37)=0, "",INDEX(EmployeeData[Exit Date], ROW() - 37)),"")</f>
        <v/>
      </c>
      <c r="I3899" s="4" t="str" cm="1">
        <f t="array" ref="I3899">IFERROR(IF(INDEX(EmployeeData[Exit Reason], ROW() - 37)=0, "",INDEX(EmployeeData[Exit Reason], ROW() - 37)),"")</f>
        <v/>
      </c>
      <c r="J3899" s="4" t="str" cm="1">
        <f t="array" ref="J3899">IFERROR(INDEX(EmployeeData[Status], ROW() - 37), "")</f>
        <v/>
      </c>
    </row>
    <row r="3900" spans="2:10" ht="19.95" customHeight="1" x14ac:dyDescent="0.3">
      <c r="B3900" s="4" t="str" cm="1">
        <f t="array" ref="B3900">IFERROR(INDEX(EmployeeData[Employee ID], ROW() - 37), "")</f>
        <v/>
      </c>
      <c r="C3900" s="4" t="str" cm="1">
        <f t="array" ref="C3900">IFERROR(INDEX(EmployeeData[Full Name], ROW() - 37), "")</f>
        <v/>
      </c>
      <c r="D3900" s="4" t="str" cm="1">
        <f t="array" ref="D3900">IFERROR(INDEX(EmployeeData[Department], ROW() - 37), "")</f>
        <v/>
      </c>
      <c r="E3900" s="4" t="str" cm="1">
        <f t="array" ref="E3900">IFERROR(INDEX(EmployeeData[Gender], ROW() - 37), "")</f>
        <v/>
      </c>
      <c r="F3900" s="4" t="str" cm="1">
        <f t="array" ref="F3900">IFERROR(INDEX(EmployeeData[Age], ROW() - 37), "")</f>
        <v/>
      </c>
      <c r="G3900" s="6" t="str" cm="1">
        <f t="array" ref="G3900">IFERROR(INDEX(EmployeeData[Join Date], ROW() - 37), "")</f>
        <v/>
      </c>
      <c r="H3900" s="6" t="str" cm="1">
        <f t="array" ref="H3900">IFERROR(IF(INDEX(EmployeeData[Exit Date], ROW() - 37)=0, "",INDEX(EmployeeData[Exit Date], ROW() - 37)),"")</f>
        <v/>
      </c>
      <c r="I3900" s="4" t="str" cm="1">
        <f t="array" ref="I3900">IFERROR(IF(INDEX(EmployeeData[Exit Reason], ROW() - 37)=0, "",INDEX(EmployeeData[Exit Reason], ROW() - 37)),"")</f>
        <v/>
      </c>
      <c r="J3900" s="4" t="str" cm="1">
        <f t="array" ref="J3900">IFERROR(INDEX(EmployeeData[Status], ROW() - 37), "")</f>
        <v/>
      </c>
    </row>
    <row r="3901" spans="2:10" ht="19.95" customHeight="1" x14ac:dyDescent="0.3">
      <c r="B3901" s="4" t="str" cm="1">
        <f t="array" ref="B3901">IFERROR(INDEX(EmployeeData[Employee ID], ROW() - 37), "")</f>
        <v/>
      </c>
      <c r="C3901" s="4" t="str" cm="1">
        <f t="array" ref="C3901">IFERROR(INDEX(EmployeeData[Full Name], ROW() - 37), "")</f>
        <v/>
      </c>
      <c r="D3901" s="4" t="str" cm="1">
        <f t="array" ref="D3901">IFERROR(INDEX(EmployeeData[Department], ROW() - 37), "")</f>
        <v/>
      </c>
      <c r="E3901" s="4" t="str" cm="1">
        <f t="array" ref="E3901">IFERROR(INDEX(EmployeeData[Gender], ROW() - 37), "")</f>
        <v/>
      </c>
      <c r="F3901" s="4" t="str" cm="1">
        <f t="array" ref="F3901">IFERROR(INDEX(EmployeeData[Age], ROW() - 37), "")</f>
        <v/>
      </c>
      <c r="G3901" s="6" t="str" cm="1">
        <f t="array" ref="G3901">IFERROR(INDEX(EmployeeData[Join Date], ROW() - 37), "")</f>
        <v/>
      </c>
      <c r="H3901" s="6" t="str" cm="1">
        <f t="array" ref="H3901">IFERROR(IF(INDEX(EmployeeData[Exit Date], ROW() - 37)=0, "",INDEX(EmployeeData[Exit Date], ROW() - 37)),"")</f>
        <v/>
      </c>
      <c r="I3901" s="4" t="str" cm="1">
        <f t="array" ref="I3901">IFERROR(IF(INDEX(EmployeeData[Exit Reason], ROW() - 37)=0, "",INDEX(EmployeeData[Exit Reason], ROW() - 37)),"")</f>
        <v/>
      </c>
      <c r="J3901" s="4" t="str" cm="1">
        <f t="array" ref="J3901">IFERROR(INDEX(EmployeeData[Status], ROW() - 37), "")</f>
        <v/>
      </c>
    </row>
    <row r="3902" spans="2:10" ht="19.95" customHeight="1" x14ac:dyDescent="0.3">
      <c r="B3902" s="4" t="str" cm="1">
        <f t="array" ref="B3902">IFERROR(INDEX(EmployeeData[Employee ID], ROW() - 37), "")</f>
        <v/>
      </c>
      <c r="C3902" s="4" t="str" cm="1">
        <f t="array" ref="C3902">IFERROR(INDEX(EmployeeData[Full Name], ROW() - 37), "")</f>
        <v/>
      </c>
      <c r="D3902" s="4" t="str" cm="1">
        <f t="array" ref="D3902">IFERROR(INDEX(EmployeeData[Department], ROW() - 37), "")</f>
        <v/>
      </c>
      <c r="E3902" s="4" t="str" cm="1">
        <f t="array" ref="E3902">IFERROR(INDEX(EmployeeData[Gender], ROW() - 37), "")</f>
        <v/>
      </c>
      <c r="F3902" s="4" t="str" cm="1">
        <f t="array" ref="F3902">IFERROR(INDEX(EmployeeData[Age], ROW() - 37), "")</f>
        <v/>
      </c>
      <c r="G3902" s="6" t="str" cm="1">
        <f t="array" ref="G3902">IFERROR(INDEX(EmployeeData[Join Date], ROW() - 37), "")</f>
        <v/>
      </c>
      <c r="H3902" s="6" t="str" cm="1">
        <f t="array" ref="H3902">IFERROR(IF(INDEX(EmployeeData[Exit Date], ROW() - 37)=0, "",INDEX(EmployeeData[Exit Date], ROW() - 37)),"")</f>
        <v/>
      </c>
      <c r="I3902" s="4" t="str" cm="1">
        <f t="array" ref="I3902">IFERROR(IF(INDEX(EmployeeData[Exit Reason], ROW() - 37)=0, "",INDEX(EmployeeData[Exit Reason], ROW() - 37)),"")</f>
        <v/>
      </c>
      <c r="J3902" s="4" t="str" cm="1">
        <f t="array" ref="J3902">IFERROR(INDEX(EmployeeData[Status], ROW() - 37), "")</f>
        <v/>
      </c>
    </row>
    <row r="3903" spans="2:10" ht="19.95" customHeight="1" x14ac:dyDescent="0.3">
      <c r="B3903" s="4" t="str" cm="1">
        <f t="array" ref="B3903">IFERROR(INDEX(EmployeeData[Employee ID], ROW() - 37), "")</f>
        <v/>
      </c>
      <c r="C3903" s="4" t="str" cm="1">
        <f t="array" ref="C3903">IFERROR(INDEX(EmployeeData[Full Name], ROW() - 37), "")</f>
        <v/>
      </c>
      <c r="D3903" s="4" t="str" cm="1">
        <f t="array" ref="D3903">IFERROR(INDEX(EmployeeData[Department], ROW() - 37), "")</f>
        <v/>
      </c>
      <c r="E3903" s="4" t="str" cm="1">
        <f t="array" ref="E3903">IFERROR(INDEX(EmployeeData[Gender], ROW() - 37), "")</f>
        <v/>
      </c>
      <c r="F3903" s="4" t="str" cm="1">
        <f t="array" ref="F3903">IFERROR(INDEX(EmployeeData[Age], ROW() - 37), "")</f>
        <v/>
      </c>
      <c r="G3903" s="6" t="str" cm="1">
        <f t="array" ref="G3903">IFERROR(INDEX(EmployeeData[Join Date], ROW() - 37), "")</f>
        <v/>
      </c>
      <c r="H3903" s="6" t="str" cm="1">
        <f t="array" ref="H3903">IFERROR(IF(INDEX(EmployeeData[Exit Date], ROW() - 37)=0, "",INDEX(EmployeeData[Exit Date], ROW() - 37)),"")</f>
        <v/>
      </c>
      <c r="I3903" s="4" t="str" cm="1">
        <f t="array" ref="I3903">IFERROR(IF(INDEX(EmployeeData[Exit Reason], ROW() - 37)=0, "",INDEX(EmployeeData[Exit Reason], ROW() - 37)),"")</f>
        <v/>
      </c>
      <c r="J3903" s="4" t="str" cm="1">
        <f t="array" ref="J3903">IFERROR(INDEX(EmployeeData[Status], ROW() - 37), "")</f>
        <v/>
      </c>
    </row>
    <row r="3904" spans="2:10" ht="19.95" customHeight="1" x14ac:dyDescent="0.3">
      <c r="B3904" s="4" t="str" cm="1">
        <f t="array" ref="B3904">IFERROR(INDEX(EmployeeData[Employee ID], ROW() - 37), "")</f>
        <v/>
      </c>
      <c r="C3904" s="4" t="str" cm="1">
        <f t="array" ref="C3904">IFERROR(INDEX(EmployeeData[Full Name], ROW() - 37), "")</f>
        <v/>
      </c>
      <c r="D3904" s="4" t="str" cm="1">
        <f t="array" ref="D3904">IFERROR(INDEX(EmployeeData[Department], ROW() - 37), "")</f>
        <v/>
      </c>
      <c r="E3904" s="4" t="str" cm="1">
        <f t="array" ref="E3904">IFERROR(INDEX(EmployeeData[Gender], ROW() - 37), "")</f>
        <v/>
      </c>
      <c r="F3904" s="4" t="str" cm="1">
        <f t="array" ref="F3904">IFERROR(INDEX(EmployeeData[Age], ROW() - 37), "")</f>
        <v/>
      </c>
      <c r="G3904" s="6" t="str" cm="1">
        <f t="array" ref="G3904">IFERROR(INDEX(EmployeeData[Join Date], ROW() - 37), "")</f>
        <v/>
      </c>
      <c r="H3904" s="6" t="str" cm="1">
        <f t="array" ref="H3904">IFERROR(IF(INDEX(EmployeeData[Exit Date], ROW() - 37)=0, "",INDEX(EmployeeData[Exit Date], ROW() - 37)),"")</f>
        <v/>
      </c>
      <c r="I3904" s="4" t="str" cm="1">
        <f t="array" ref="I3904">IFERROR(IF(INDEX(EmployeeData[Exit Reason], ROW() - 37)=0, "",INDEX(EmployeeData[Exit Reason], ROW() - 37)),"")</f>
        <v/>
      </c>
      <c r="J3904" s="4" t="str" cm="1">
        <f t="array" ref="J3904">IFERROR(INDEX(EmployeeData[Status], ROW() - 37), "")</f>
        <v/>
      </c>
    </row>
    <row r="3905" spans="2:10" ht="19.95" customHeight="1" x14ac:dyDescent="0.3">
      <c r="B3905" s="4" t="str" cm="1">
        <f t="array" ref="B3905">IFERROR(INDEX(EmployeeData[Employee ID], ROW() - 37), "")</f>
        <v/>
      </c>
      <c r="C3905" s="4" t="str" cm="1">
        <f t="array" ref="C3905">IFERROR(INDEX(EmployeeData[Full Name], ROW() - 37), "")</f>
        <v/>
      </c>
      <c r="D3905" s="4" t="str" cm="1">
        <f t="array" ref="D3905">IFERROR(INDEX(EmployeeData[Department], ROW() - 37), "")</f>
        <v/>
      </c>
      <c r="E3905" s="4" t="str" cm="1">
        <f t="array" ref="E3905">IFERROR(INDEX(EmployeeData[Gender], ROW() - 37), "")</f>
        <v/>
      </c>
      <c r="F3905" s="4" t="str" cm="1">
        <f t="array" ref="F3905">IFERROR(INDEX(EmployeeData[Age], ROW() - 37), "")</f>
        <v/>
      </c>
      <c r="G3905" s="6" t="str" cm="1">
        <f t="array" ref="G3905">IFERROR(INDEX(EmployeeData[Join Date], ROW() - 37), "")</f>
        <v/>
      </c>
      <c r="H3905" s="6" t="str" cm="1">
        <f t="array" ref="H3905">IFERROR(IF(INDEX(EmployeeData[Exit Date], ROW() - 37)=0, "",INDEX(EmployeeData[Exit Date], ROW() - 37)),"")</f>
        <v/>
      </c>
      <c r="I3905" s="4" t="str" cm="1">
        <f t="array" ref="I3905">IFERROR(IF(INDEX(EmployeeData[Exit Reason], ROW() - 37)=0, "",INDEX(EmployeeData[Exit Reason], ROW() - 37)),"")</f>
        <v/>
      </c>
      <c r="J3905" s="4" t="str" cm="1">
        <f t="array" ref="J3905">IFERROR(INDEX(EmployeeData[Status], ROW() - 37), "")</f>
        <v/>
      </c>
    </row>
    <row r="3906" spans="2:10" ht="19.95" customHeight="1" x14ac:dyDescent="0.3">
      <c r="B3906" s="4" t="str" cm="1">
        <f t="array" ref="B3906">IFERROR(INDEX(EmployeeData[Employee ID], ROW() - 37), "")</f>
        <v/>
      </c>
      <c r="C3906" s="4" t="str" cm="1">
        <f t="array" ref="C3906">IFERROR(INDEX(EmployeeData[Full Name], ROW() - 37), "")</f>
        <v/>
      </c>
      <c r="D3906" s="4" t="str" cm="1">
        <f t="array" ref="D3906">IFERROR(INDEX(EmployeeData[Department], ROW() - 37), "")</f>
        <v/>
      </c>
      <c r="E3906" s="4" t="str" cm="1">
        <f t="array" ref="E3906">IFERROR(INDEX(EmployeeData[Gender], ROW() - 37), "")</f>
        <v/>
      </c>
      <c r="F3906" s="4" t="str" cm="1">
        <f t="array" ref="F3906">IFERROR(INDEX(EmployeeData[Age], ROW() - 37), "")</f>
        <v/>
      </c>
      <c r="G3906" s="6" t="str" cm="1">
        <f t="array" ref="G3906">IFERROR(INDEX(EmployeeData[Join Date], ROW() - 37), "")</f>
        <v/>
      </c>
      <c r="H3906" s="6" t="str" cm="1">
        <f t="array" ref="H3906">IFERROR(IF(INDEX(EmployeeData[Exit Date], ROW() - 37)=0, "",INDEX(EmployeeData[Exit Date], ROW() - 37)),"")</f>
        <v/>
      </c>
      <c r="I3906" s="4" t="str" cm="1">
        <f t="array" ref="I3906">IFERROR(IF(INDEX(EmployeeData[Exit Reason], ROW() - 37)=0, "",INDEX(EmployeeData[Exit Reason], ROW() - 37)),"")</f>
        <v/>
      </c>
      <c r="J3906" s="4" t="str" cm="1">
        <f t="array" ref="J3906">IFERROR(INDEX(EmployeeData[Status], ROW() - 37), "")</f>
        <v/>
      </c>
    </row>
    <row r="3907" spans="2:10" ht="19.95" customHeight="1" x14ac:dyDescent="0.3">
      <c r="B3907" s="4" t="str" cm="1">
        <f t="array" ref="B3907">IFERROR(INDEX(EmployeeData[Employee ID], ROW() - 37), "")</f>
        <v/>
      </c>
      <c r="C3907" s="4" t="str" cm="1">
        <f t="array" ref="C3907">IFERROR(INDEX(EmployeeData[Full Name], ROW() - 37), "")</f>
        <v/>
      </c>
      <c r="D3907" s="4" t="str" cm="1">
        <f t="array" ref="D3907">IFERROR(INDEX(EmployeeData[Department], ROW() - 37), "")</f>
        <v/>
      </c>
      <c r="E3907" s="4" t="str" cm="1">
        <f t="array" ref="E3907">IFERROR(INDEX(EmployeeData[Gender], ROW() - 37), "")</f>
        <v/>
      </c>
      <c r="F3907" s="4" t="str" cm="1">
        <f t="array" ref="F3907">IFERROR(INDEX(EmployeeData[Age], ROW() - 37), "")</f>
        <v/>
      </c>
      <c r="G3907" s="6" t="str" cm="1">
        <f t="array" ref="G3907">IFERROR(INDEX(EmployeeData[Join Date], ROW() - 37), "")</f>
        <v/>
      </c>
      <c r="H3907" s="6" t="str" cm="1">
        <f t="array" ref="H3907">IFERROR(IF(INDEX(EmployeeData[Exit Date], ROW() - 37)=0, "",INDEX(EmployeeData[Exit Date], ROW() - 37)),"")</f>
        <v/>
      </c>
      <c r="I3907" s="4" t="str" cm="1">
        <f t="array" ref="I3907">IFERROR(IF(INDEX(EmployeeData[Exit Reason], ROW() - 37)=0, "",INDEX(EmployeeData[Exit Reason], ROW() - 37)),"")</f>
        <v/>
      </c>
      <c r="J3907" s="4" t="str" cm="1">
        <f t="array" ref="J3907">IFERROR(INDEX(EmployeeData[Status], ROW() - 37), "")</f>
        <v/>
      </c>
    </row>
    <row r="3908" spans="2:10" ht="19.95" customHeight="1" x14ac:dyDescent="0.3">
      <c r="B3908" s="4" t="str" cm="1">
        <f t="array" ref="B3908">IFERROR(INDEX(EmployeeData[Employee ID], ROW() - 37), "")</f>
        <v/>
      </c>
      <c r="C3908" s="4" t="str" cm="1">
        <f t="array" ref="C3908">IFERROR(INDEX(EmployeeData[Full Name], ROW() - 37), "")</f>
        <v/>
      </c>
      <c r="D3908" s="4" t="str" cm="1">
        <f t="array" ref="D3908">IFERROR(INDEX(EmployeeData[Department], ROW() - 37), "")</f>
        <v/>
      </c>
      <c r="E3908" s="4" t="str" cm="1">
        <f t="array" ref="E3908">IFERROR(INDEX(EmployeeData[Gender], ROW() - 37), "")</f>
        <v/>
      </c>
      <c r="F3908" s="4" t="str" cm="1">
        <f t="array" ref="F3908">IFERROR(INDEX(EmployeeData[Age], ROW() - 37), "")</f>
        <v/>
      </c>
      <c r="G3908" s="6" t="str" cm="1">
        <f t="array" ref="G3908">IFERROR(INDEX(EmployeeData[Join Date], ROW() - 37), "")</f>
        <v/>
      </c>
      <c r="H3908" s="6" t="str" cm="1">
        <f t="array" ref="H3908">IFERROR(IF(INDEX(EmployeeData[Exit Date], ROW() - 37)=0, "",INDEX(EmployeeData[Exit Date], ROW() - 37)),"")</f>
        <v/>
      </c>
      <c r="I3908" s="4" t="str" cm="1">
        <f t="array" ref="I3908">IFERROR(IF(INDEX(EmployeeData[Exit Reason], ROW() - 37)=0, "",INDEX(EmployeeData[Exit Reason], ROW() - 37)),"")</f>
        <v/>
      </c>
      <c r="J3908" s="4" t="str" cm="1">
        <f t="array" ref="J3908">IFERROR(INDEX(EmployeeData[Status], ROW() - 37), "")</f>
        <v/>
      </c>
    </row>
    <row r="3909" spans="2:10" ht="19.95" customHeight="1" x14ac:dyDescent="0.3">
      <c r="B3909" s="4" t="str" cm="1">
        <f t="array" ref="B3909">IFERROR(INDEX(EmployeeData[Employee ID], ROW() - 37), "")</f>
        <v/>
      </c>
      <c r="C3909" s="4" t="str" cm="1">
        <f t="array" ref="C3909">IFERROR(INDEX(EmployeeData[Full Name], ROW() - 37), "")</f>
        <v/>
      </c>
      <c r="D3909" s="4" t="str" cm="1">
        <f t="array" ref="D3909">IFERROR(INDEX(EmployeeData[Department], ROW() - 37), "")</f>
        <v/>
      </c>
      <c r="E3909" s="4" t="str" cm="1">
        <f t="array" ref="E3909">IFERROR(INDEX(EmployeeData[Gender], ROW() - 37), "")</f>
        <v/>
      </c>
      <c r="F3909" s="4" t="str" cm="1">
        <f t="array" ref="F3909">IFERROR(INDEX(EmployeeData[Age], ROW() - 37), "")</f>
        <v/>
      </c>
      <c r="G3909" s="6" t="str" cm="1">
        <f t="array" ref="G3909">IFERROR(INDEX(EmployeeData[Join Date], ROW() - 37), "")</f>
        <v/>
      </c>
      <c r="H3909" s="6" t="str" cm="1">
        <f t="array" ref="H3909">IFERROR(IF(INDEX(EmployeeData[Exit Date], ROW() - 37)=0, "",INDEX(EmployeeData[Exit Date], ROW() - 37)),"")</f>
        <v/>
      </c>
      <c r="I3909" s="4" t="str" cm="1">
        <f t="array" ref="I3909">IFERROR(IF(INDEX(EmployeeData[Exit Reason], ROW() - 37)=0, "",INDEX(EmployeeData[Exit Reason], ROW() - 37)),"")</f>
        <v/>
      </c>
      <c r="J3909" s="4" t="str" cm="1">
        <f t="array" ref="J3909">IFERROR(INDEX(EmployeeData[Status], ROW() - 37), "")</f>
        <v/>
      </c>
    </row>
    <row r="3910" spans="2:10" ht="19.95" customHeight="1" x14ac:dyDescent="0.3">
      <c r="B3910" s="4" t="str" cm="1">
        <f t="array" ref="B3910">IFERROR(INDEX(EmployeeData[Employee ID], ROW() - 37), "")</f>
        <v/>
      </c>
      <c r="C3910" s="4" t="str" cm="1">
        <f t="array" ref="C3910">IFERROR(INDEX(EmployeeData[Full Name], ROW() - 37), "")</f>
        <v/>
      </c>
      <c r="D3910" s="4" t="str" cm="1">
        <f t="array" ref="D3910">IFERROR(INDEX(EmployeeData[Department], ROW() - 37), "")</f>
        <v/>
      </c>
      <c r="E3910" s="4" t="str" cm="1">
        <f t="array" ref="E3910">IFERROR(INDEX(EmployeeData[Gender], ROW() - 37), "")</f>
        <v/>
      </c>
      <c r="F3910" s="4" t="str" cm="1">
        <f t="array" ref="F3910">IFERROR(INDEX(EmployeeData[Age], ROW() - 37), "")</f>
        <v/>
      </c>
      <c r="G3910" s="6" t="str" cm="1">
        <f t="array" ref="G3910">IFERROR(INDEX(EmployeeData[Join Date], ROW() - 37), "")</f>
        <v/>
      </c>
      <c r="H3910" s="6" t="str" cm="1">
        <f t="array" ref="H3910">IFERROR(IF(INDEX(EmployeeData[Exit Date], ROW() - 37)=0, "",INDEX(EmployeeData[Exit Date], ROW() - 37)),"")</f>
        <v/>
      </c>
      <c r="I3910" s="4" t="str" cm="1">
        <f t="array" ref="I3910">IFERROR(IF(INDEX(EmployeeData[Exit Reason], ROW() - 37)=0, "",INDEX(EmployeeData[Exit Reason], ROW() - 37)),"")</f>
        <v/>
      </c>
      <c r="J3910" s="4" t="str" cm="1">
        <f t="array" ref="J3910">IFERROR(INDEX(EmployeeData[Status], ROW() - 37), "")</f>
        <v/>
      </c>
    </row>
    <row r="3911" spans="2:10" ht="19.95" customHeight="1" x14ac:dyDescent="0.3">
      <c r="B3911" s="4" t="str" cm="1">
        <f t="array" ref="B3911">IFERROR(INDEX(EmployeeData[Employee ID], ROW() - 37), "")</f>
        <v/>
      </c>
      <c r="C3911" s="4" t="str" cm="1">
        <f t="array" ref="C3911">IFERROR(INDEX(EmployeeData[Full Name], ROW() - 37), "")</f>
        <v/>
      </c>
      <c r="D3911" s="4" t="str" cm="1">
        <f t="array" ref="D3911">IFERROR(INDEX(EmployeeData[Department], ROW() - 37), "")</f>
        <v/>
      </c>
      <c r="E3911" s="4" t="str" cm="1">
        <f t="array" ref="E3911">IFERROR(INDEX(EmployeeData[Gender], ROW() - 37), "")</f>
        <v/>
      </c>
      <c r="F3911" s="4" t="str" cm="1">
        <f t="array" ref="F3911">IFERROR(INDEX(EmployeeData[Age], ROW() - 37), "")</f>
        <v/>
      </c>
      <c r="G3911" s="6" t="str" cm="1">
        <f t="array" ref="G3911">IFERROR(INDEX(EmployeeData[Join Date], ROW() - 37), "")</f>
        <v/>
      </c>
      <c r="H3911" s="6" t="str" cm="1">
        <f t="array" ref="H3911">IFERROR(IF(INDEX(EmployeeData[Exit Date], ROW() - 37)=0, "",INDEX(EmployeeData[Exit Date], ROW() - 37)),"")</f>
        <v/>
      </c>
      <c r="I3911" s="4" t="str" cm="1">
        <f t="array" ref="I3911">IFERROR(IF(INDEX(EmployeeData[Exit Reason], ROW() - 37)=0, "",INDEX(EmployeeData[Exit Reason], ROW() - 37)),"")</f>
        <v/>
      </c>
      <c r="J3911" s="4" t="str" cm="1">
        <f t="array" ref="J3911">IFERROR(INDEX(EmployeeData[Status], ROW() - 37), "")</f>
        <v/>
      </c>
    </row>
    <row r="3912" spans="2:10" ht="19.95" customHeight="1" x14ac:dyDescent="0.3">
      <c r="B3912" s="4" t="str" cm="1">
        <f t="array" ref="B3912">IFERROR(INDEX(EmployeeData[Employee ID], ROW() - 37), "")</f>
        <v/>
      </c>
      <c r="C3912" s="4" t="str" cm="1">
        <f t="array" ref="C3912">IFERROR(INDEX(EmployeeData[Full Name], ROW() - 37), "")</f>
        <v/>
      </c>
      <c r="D3912" s="4" t="str" cm="1">
        <f t="array" ref="D3912">IFERROR(INDEX(EmployeeData[Department], ROW() - 37), "")</f>
        <v/>
      </c>
      <c r="E3912" s="4" t="str" cm="1">
        <f t="array" ref="E3912">IFERROR(INDEX(EmployeeData[Gender], ROW() - 37), "")</f>
        <v/>
      </c>
      <c r="F3912" s="4" t="str" cm="1">
        <f t="array" ref="F3912">IFERROR(INDEX(EmployeeData[Age], ROW() - 37), "")</f>
        <v/>
      </c>
      <c r="G3912" s="6" t="str" cm="1">
        <f t="array" ref="G3912">IFERROR(INDEX(EmployeeData[Join Date], ROW() - 37), "")</f>
        <v/>
      </c>
      <c r="H3912" s="6" t="str" cm="1">
        <f t="array" ref="H3912">IFERROR(IF(INDEX(EmployeeData[Exit Date], ROW() - 37)=0, "",INDEX(EmployeeData[Exit Date], ROW() - 37)),"")</f>
        <v/>
      </c>
      <c r="I3912" s="4" t="str" cm="1">
        <f t="array" ref="I3912">IFERROR(IF(INDEX(EmployeeData[Exit Reason], ROW() - 37)=0, "",INDEX(EmployeeData[Exit Reason], ROW() - 37)),"")</f>
        <v/>
      </c>
      <c r="J3912" s="4" t="str" cm="1">
        <f t="array" ref="J3912">IFERROR(INDEX(EmployeeData[Status], ROW() - 37), "")</f>
        <v/>
      </c>
    </row>
    <row r="3913" spans="2:10" ht="19.95" customHeight="1" x14ac:dyDescent="0.3">
      <c r="B3913" s="4" t="str" cm="1">
        <f t="array" ref="B3913">IFERROR(INDEX(EmployeeData[Employee ID], ROW() - 37), "")</f>
        <v/>
      </c>
      <c r="C3913" s="4" t="str" cm="1">
        <f t="array" ref="C3913">IFERROR(INDEX(EmployeeData[Full Name], ROW() - 37), "")</f>
        <v/>
      </c>
      <c r="D3913" s="4" t="str" cm="1">
        <f t="array" ref="D3913">IFERROR(INDEX(EmployeeData[Department], ROW() - 37), "")</f>
        <v/>
      </c>
      <c r="E3913" s="4" t="str" cm="1">
        <f t="array" ref="E3913">IFERROR(INDEX(EmployeeData[Gender], ROW() - 37), "")</f>
        <v/>
      </c>
      <c r="F3913" s="4" t="str" cm="1">
        <f t="array" ref="F3913">IFERROR(INDEX(EmployeeData[Age], ROW() - 37), "")</f>
        <v/>
      </c>
      <c r="G3913" s="6" t="str" cm="1">
        <f t="array" ref="G3913">IFERROR(INDEX(EmployeeData[Join Date], ROW() - 37), "")</f>
        <v/>
      </c>
      <c r="H3913" s="6" t="str" cm="1">
        <f t="array" ref="H3913">IFERROR(IF(INDEX(EmployeeData[Exit Date], ROW() - 37)=0, "",INDEX(EmployeeData[Exit Date], ROW() - 37)),"")</f>
        <v/>
      </c>
      <c r="I3913" s="4" t="str" cm="1">
        <f t="array" ref="I3913">IFERROR(IF(INDEX(EmployeeData[Exit Reason], ROW() - 37)=0, "",INDEX(EmployeeData[Exit Reason], ROW() - 37)),"")</f>
        <v/>
      </c>
      <c r="J3913" s="4" t="str" cm="1">
        <f t="array" ref="J3913">IFERROR(INDEX(EmployeeData[Status], ROW() - 37), "")</f>
        <v/>
      </c>
    </row>
    <row r="3914" spans="2:10" ht="19.95" customHeight="1" x14ac:dyDescent="0.3">
      <c r="B3914" s="4" t="str" cm="1">
        <f t="array" ref="B3914">IFERROR(INDEX(EmployeeData[Employee ID], ROW() - 37), "")</f>
        <v/>
      </c>
      <c r="C3914" s="4" t="str" cm="1">
        <f t="array" ref="C3914">IFERROR(INDEX(EmployeeData[Full Name], ROW() - 37), "")</f>
        <v/>
      </c>
      <c r="D3914" s="4" t="str" cm="1">
        <f t="array" ref="D3914">IFERROR(INDEX(EmployeeData[Department], ROW() - 37), "")</f>
        <v/>
      </c>
      <c r="E3914" s="4" t="str" cm="1">
        <f t="array" ref="E3914">IFERROR(INDEX(EmployeeData[Gender], ROW() - 37), "")</f>
        <v/>
      </c>
      <c r="F3914" s="4" t="str" cm="1">
        <f t="array" ref="F3914">IFERROR(INDEX(EmployeeData[Age], ROW() - 37), "")</f>
        <v/>
      </c>
      <c r="G3914" s="6" t="str" cm="1">
        <f t="array" ref="G3914">IFERROR(INDEX(EmployeeData[Join Date], ROW() - 37), "")</f>
        <v/>
      </c>
      <c r="H3914" s="6" t="str" cm="1">
        <f t="array" ref="H3914">IFERROR(IF(INDEX(EmployeeData[Exit Date], ROW() - 37)=0, "",INDEX(EmployeeData[Exit Date], ROW() - 37)),"")</f>
        <v/>
      </c>
      <c r="I3914" s="4" t="str" cm="1">
        <f t="array" ref="I3914">IFERROR(IF(INDEX(EmployeeData[Exit Reason], ROW() - 37)=0, "",INDEX(EmployeeData[Exit Reason], ROW() - 37)),"")</f>
        <v/>
      </c>
      <c r="J3914" s="4" t="str" cm="1">
        <f t="array" ref="J3914">IFERROR(INDEX(EmployeeData[Status], ROW() - 37), "")</f>
        <v/>
      </c>
    </row>
    <row r="3915" spans="2:10" ht="19.95" customHeight="1" x14ac:dyDescent="0.3">
      <c r="B3915" s="4" t="str" cm="1">
        <f t="array" ref="B3915">IFERROR(INDEX(EmployeeData[Employee ID], ROW() - 37), "")</f>
        <v/>
      </c>
      <c r="C3915" s="4" t="str" cm="1">
        <f t="array" ref="C3915">IFERROR(INDEX(EmployeeData[Full Name], ROW() - 37), "")</f>
        <v/>
      </c>
      <c r="D3915" s="4" t="str" cm="1">
        <f t="array" ref="D3915">IFERROR(INDEX(EmployeeData[Department], ROW() - 37), "")</f>
        <v/>
      </c>
      <c r="E3915" s="4" t="str" cm="1">
        <f t="array" ref="E3915">IFERROR(INDEX(EmployeeData[Gender], ROW() - 37), "")</f>
        <v/>
      </c>
      <c r="F3915" s="4" t="str" cm="1">
        <f t="array" ref="F3915">IFERROR(INDEX(EmployeeData[Age], ROW() - 37), "")</f>
        <v/>
      </c>
      <c r="G3915" s="6" t="str" cm="1">
        <f t="array" ref="G3915">IFERROR(INDEX(EmployeeData[Join Date], ROW() - 37), "")</f>
        <v/>
      </c>
      <c r="H3915" s="6" t="str" cm="1">
        <f t="array" ref="H3915">IFERROR(IF(INDEX(EmployeeData[Exit Date], ROW() - 37)=0, "",INDEX(EmployeeData[Exit Date], ROW() - 37)),"")</f>
        <v/>
      </c>
      <c r="I3915" s="4" t="str" cm="1">
        <f t="array" ref="I3915">IFERROR(IF(INDEX(EmployeeData[Exit Reason], ROW() - 37)=0, "",INDEX(EmployeeData[Exit Reason], ROW() - 37)),"")</f>
        <v/>
      </c>
      <c r="J3915" s="4" t="str" cm="1">
        <f t="array" ref="J3915">IFERROR(INDEX(EmployeeData[Status], ROW() - 37), "")</f>
        <v/>
      </c>
    </row>
    <row r="3916" spans="2:10" ht="19.95" customHeight="1" x14ac:dyDescent="0.3">
      <c r="B3916" s="4" t="str" cm="1">
        <f t="array" ref="B3916">IFERROR(INDEX(EmployeeData[Employee ID], ROW() - 37), "")</f>
        <v/>
      </c>
      <c r="C3916" s="4" t="str" cm="1">
        <f t="array" ref="C3916">IFERROR(INDEX(EmployeeData[Full Name], ROW() - 37), "")</f>
        <v/>
      </c>
      <c r="D3916" s="4" t="str" cm="1">
        <f t="array" ref="D3916">IFERROR(INDEX(EmployeeData[Department], ROW() - 37), "")</f>
        <v/>
      </c>
      <c r="E3916" s="4" t="str" cm="1">
        <f t="array" ref="E3916">IFERROR(INDEX(EmployeeData[Gender], ROW() - 37), "")</f>
        <v/>
      </c>
      <c r="F3916" s="4" t="str" cm="1">
        <f t="array" ref="F3916">IFERROR(INDEX(EmployeeData[Age], ROW() - 37), "")</f>
        <v/>
      </c>
      <c r="G3916" s="6" t="str" cm="1">
        <f t="array" ref="G3916">IFERROR(INDEX(EmployeeData[Join Date], ROW() - 37), "")</f>
        <v/>
      </c>
      <c r="H3916" s="6" t="str" cm="1">
        <f t="array" ref="H3916">IFERROR(IF(INDEX(EmployeeData[Exit Date], ROW() - 37)=0, "",INDEX(EmployeeData[Exit Date], ROW() - 37)),"")</f>
        <v/>
      </c>
      <c r="I3916" s="4" t="str" cm="1">
        <f t="array" ref="I3916">IFERROR(IF(INDEX(EmployeeData[Exit Reason], ROW() - 37)=0, "",INDEX(EmployeeData[Exit Reason], ROW() - 37)),"")</f>
        <v/>
      </c>
      <c r="J3916" s="4" t="str" cm="1">
        <f t="array" ref="J3916">IFERROR(INDEX(EmployeeData[Status], ROW() - 37), "")</f>
        <v/>
      </c>
    </row>
    <row r="3917" spans="2:10" ht="19.95" customHeight="1" x14ac:dyDescent="0.3">
      <c r="B3917" s="4" t="str" cm="1">
        <f t="array" ref="B3917">IFERROR(INDEX(EmployeeData[Employee ID], ROW() - 37), "")</f>
        <v/>
      </c>
      <c r="C3917" s="4" t="str" cm="1">
        <f t="array" ref="C3917">IFERROR(INDEX(EmployeeData[Full Name], ROW() - 37), "")</f>
        <v/>
      </c>
      <c r="D3917" s="4" t="str" cm="1">
        <f t="array" ref="D3917">IFERROR(INDEX(EmployeeData[Department], ROW() - 37), "")</f>
        <v/>
      </c>
      <c r="E3917" s="4" t="str" cm="1">
        <f t="array" ref="E3917">IFERROR(INDEX(EmployeeData[Gender], ROW() - 37), "")</f>
        <v/>
      </c>
      <c r="F3917" s="4" t="str" cm="1">
        <f t="array" ref="F3917">IFERROR(INDEX(EmployeeData[Age], ROW() - 37), "")</f>
        <v/>
      </c>
      <c r="G3917" s="6" t="str" cm="1">
        <f t="array" ref="G3917">IFERROR(INDEX(EmployeeData[Join Date], ROW() - 37), "")</f>
        <v/>
      </c>
      <c r="H3917" s="6" t="str" cm="1">
        <f t="array" ref="H3917">IFERROR(IF(INDEX(EmployeeData[Exit Date], ROW() - 37)=0, "",INDEX(EmployeeData[Exit Date], ROW() - 37)),"")</f>
        <v/>
      </c>
      <c r="I3917" s="4" t="str" cm="1">
        <f t="array" ref="I3917">IFERROR(IF(INDEX(EmployeeData[Exit Reason], ROW() - 37)=0, "",INDEX(EmployeeData[Exit Reason], ROW() - 37)),"")</f>
        <v/>
      </c>
      <c r="J3917" s="4" t="str" cm="1">
        <f t="array" ref="J3917">IFERROR(INDEX(EmployeeData[Status], ROW() - 37), "")</f>
        <v/>
      </c>
    </row>
    <row r="3918" spans="2:10" ht="19.95" customHeight="1" x14ac:dyDescent="0.3">
      <c r="B3918" s="4" t="str" cm="1">
        <f t="array" ref="B3918">IFERROR(INDEX(EmployeeData[Employee ID], ROW() - 37), "")</f>
        <v/>
      </c>
      <c r="C3918" s="4" t="str" cm="1">
        <f t="array" ref="C3918">IFERROR(INDEX(EmployeeData[Full Name], ROW() - 37), "")</f>
        <v/>
      </c>
      <c r="D3918" s="4" t="str" cm="1">
        <f t="array" ref="D3918">IFERROR(INDEX(EmployeeData[Department], ROW() - 37), "")</f>
        <v/>
      </c>
      <c r="E3918" s="4" t="str" cm="1">
        <f t="array" ref="E3918">IFERROR(INDEX(EmployeeData[Gender], ROW() - 37), "")</f>
        <v/>
      </c>
      <c r="F3918" s="4" t="str" cm="1">
        <f t="array" ref="F3918">IFERROR(INDEX(EmployeeData[Age], ROW() - 37), "")</f>
        <v/>
      </c>
      <c r="G3918" s="6" t="str" cm="1">
        <f t="array" ref="G3918">IFERROR(INDEX(EmployeeData[Join Date], ROW() - 37), "")</f>
        <v/>
      </c>
      <c r="H3918" s="6" t="str" cm="1">
        <f t="array" ref="H3918">IFERROR(IF(INDEX(EmployeeData[Exit Date], ROW() - 37)=0, "",INDEX(EmployeeData[Exit Date], ROW() - 37)),"")</f>
        <v/>
      </c>
      <c r="I3918" s="4" t="str" cm="1">
        <f t="array" ref="I3918">IFERROR(IF(INDEX(EmployeeData[Exit Reason], ROW() - 37)=0, "",INDEX(EmployeeData[Exit Reason], ROW() - 37)),"")</f>
        <v/>
      </c>
      <c r="J3918" s="4" t="str" cm="1">
        <f t="array" ref="J3918">IFERROR(INDEX(EmployeeData[Status], ROW() - 37), "")</f>
        <v/>
      </c>
    </row>
    <row r="3919" spans="2:10" ht="19.95" customHeight="1" x14ac:dyDescent="0.3">
      <c r="B3919" s="4" t="str" cm="1">
        <f t="array" ref="B3919">IFERROR(INDEX(EmployeeData[Employee ID], ROW() - 37), "")</f>
        <v/>
      </c>
      <c r="C3919" s="4" t="str" cm="1">
        <f t="array" ref="C3919">IFERROR(INDEX(EmployeeData[Full Name], ROW() - 37), "")</f>
        <v/>
      </c>
      <c r="D3919" s="4" t="str" cm="1">
        <f t="array" ref="D3919">IFERROR(INDEX(EmployeeData[Department], ROW() - 37), "")</f>
        <v/>
      </c>
      <c r="E3919" s="4" t="str" cm="1">
        <f t="array" ref="E3919">IFERROR(INDEX(EmployeeData[Gender], ROW() - 37), "")</f>
        <v/>
      </c>
      <c r="F3919" s="4" t="str" cm="1">
        <f t="array" ref="F3919">IFERROR(INDEX(EmployeeData[Age], ROW() - 37), "")</f>
        <v/>
      </c>
      <c r="G3919" s="6" t="str" cm="1">
        <f t="array" ref="G3919">IFERROR(INDEX(EmployeeData[Join Date], ROW() - 37), "")</f>
        <v/>
      </c>
      <c r="H3919" s="6" t="str" cm="1">
        <f t="array" ref="H3919">IFERROR(IF(INDEX(EmployeeData[Exit Date], ROW() - 37)=0, "",INDEX(EmployeeData[Exit Date], ROW() - 37)),"")</f>
        <v/>
      </c>
      <c r="I3919" s="4" t="str" cm="1">
        <f t="array" ref="I3919">IFERROR(IF(INDEX(EmployeeData[Exit Reason], ROW() - 37)=0, "",INDEX(EmployeeData[Exit Reason], ROW() - 37)),"")</f>
        <v/>
      </c>
      <c r="J3919" s="4" t="str" cm="1">
        <f t="array" ref="J3919">IFERROR(INDEX(EmployeeData[Status], ROW() - 37), "")</f>
        <v/>
      </c>
    </row>
    <row r="3920" spans="2:10" ht="19.95" customHeight="1" x14ac:dyDescent="0.3">
      <c r="B3920" s="4" t="str" cm="1">
        <f t="array" ref="B3920">IFERROR(INDEX(EmployeeData[Employee ID], ROW() - 37), "")</f>
        <v/>
      </c>
      <c r="C3920" s="4" t="str" cm="1">
        <f t="array" ref="C3920">IFERROR(INDEX(EmployeeData[Full Name], ROW() - 37), "")</f>
        <v/>
      </c>
      <c r="D3920" s="4" t="str" cm="1">
        <f t="array" ref="D3920">IFERROR(INDEX(EmployeeData[Department], ROW() - 37), "")</f>
        <v/>
      </c>
      <c r="E3920" s="4" t="str" cm="1">
        <f t="array" ref="E3920">IFERROR(INDEX(EmployeeData[Gender], ROW() - 37), "")</f>
        <v/>
      </c>
      <c r="F3920" s="4" t="str" cm="1">
        <f t="array" ref="F3920">IFERROR(INDEX(EmployeeData[Age], ROW() - 37), "")</f>
        <v/>
      </c>
      <c r="G3920" s="6" t="str" cm="1">
        <f t="array" ref="G3920">IFERROR(INDEX(EmployeeData[Join Date], ROW() - 37), "")</f>
        <v/>
      </c>
      <c r="H3920" s="6" t="str" cm="1">
        <f t="array" ref="H3920">IFERROR(IF(INDEX(EmployeeData[Exit Date], ROW() - 37)=0, "",INDEX(EmployeeData[Exit Date], ROW() - 37)),"")</f>
        <v/>
      </c>
      <c r="I3920" s="4" t="str" cm="1">
        <f t="array" ref="I3920">IFERROR(IF(INDEX(EmployeeData[Exit Reason], ROW() - 37)=0, "",INDEX(EmployeeData[Exit Reason], ROW() - 37)),"")</f>
        <v/>
      </c>
      <c r="J3920" s="4" t="str" cm="1">
        <f t="array" ref="J3920">IFERROR(INDEX(EmployeeData[Status], ROW() - 37), "")</f>
        <v/>
      </c>
    </row>
    <row r="3921" spans="2:10" ht="19.95" customHeight="1" x14ac:dyDescent="0.3">
      <c r="B3921" s="4" t="str" cm="1">
        <f t="array" ref="B3921">IFERROR(INDEX(EmployeeData[Employee ID], ROW() - 37), "")</f>
        <v/>
      </c>
      <c r="C3921" s="4" t="str" cm="1">
        <f t="array" ref="C3921">IFERROR(INDEX(EmployeeData[Full Name], ROW() - 37), "")</f>
        <v/>
      </c>
      <c r="D3921" s="4" t="str" cm="1">
        <f t="array" ref="D3921">IFERROR(INDEX(EmployeeData[Department], ROW() - 37), "")</f>
        <v/>
      </c>
      <c r="E3921" s="4" t="str" cm="1">
        <f t="array" ref="E3921">IFERROR(INDEX(EmployeeData[Gender], ROW() - 37), "")</f>
        <v/>
      </c>
      <c r="F3921" s="4" t="str" cm="1">
        <f t="array" ref="F3921">IFERROR(INDEX(EmployeeData[Age], ROW() - 37), "")</f>
        <v/>
      </c>
      <c r="G3921" s="6" t="str" cm="1">
        <f t="array" ref="G3921">IFERROR(INDEX(EmployeeData[Join Date], ROW() - 37), "")</f>
        <v/>
      </c>
      <c r="H3921" s="6" t="str" cm="1">
        <f t="array" ref="H3921">IFERROR(IF(INDEX(EmployeeData[Exit Date], ROW() - 37)=0, "",INDEX(EmployeeData[Exit Date], ROW() - 37)),"")</f>
        <v/>
      </c>
      <c r="I3921" s="4" t="str" cm="1">
        <f t="array" ref="I3921">IFERROR(IF(INDEX(EmployeeData[Exit Reason], ROW() - 37)=0, "",INDEX(EmployeeData[Exit Reason], ROW() - 37)),"")</f>
        <v/>
      </c>
      <c r="J3921" s="4" t="str" cm="1">
        <f t="array" ref="J3921">IFERROR(INDEX(EmployeeData[Status], ROW() - 37), "")</f>
        <v/>
      </c>
    </row>
    <row r="3922" spans="2:10" ht="19.95" customHeight="1" x14ac:dyDescent="0.3">
      <c r="B3922" s="4" t="str" cm="1">
        <f t="array" ref="B3922">IFERROR(INDEX(EmployeeData[Employee ID], ROW() - 37), "")</f>
        <v/>
      </c>
      <c r="C3922" s="4" t="str" cm="1">
        <f t="array" ref="C3922">IFERROR(INDEX(EmployeeData[Full Name], ROW() - 37), "")</f>
        <v/>
      </c>
      <c r="D3922" s="4" t="str" cm="1">
        <f t="array" ref="D3922">IFERROR(INDEX(EmployeeData[Department], ROW() - 37), "")</f>
        <v/>
      </c>
      <c r="E3922" s="4" t="str" cm="1">
        <f t="array" ref="E3922">IFERROR(INDEX(EmployeeData[Gender], ROW() - 37), "")</f>
        <v/>
      </c>
      <c r="F3922" s="4" t="str" cm="1">
        <f t="array" ref="F3922">IFERROR(INDEX(EmployeeData[Age], ROW() - 37), "")</f>
        <v/>
      </c>
      <c r="G3922" s="6" t="str" cm="1">
        <f t="array" ref="G3922">IFERROR(INDEX(EmployeeData[Join Date], ROW() - 37), "")</f>
        <v/>
      </c>
      <c r="H3922" s="6" t="str" cm="1">
        <f t="array" ref="H3922">IFERROR(IF(INDEX(EmployeeData[Exit Date], ROW() - 37)=0, "",INDEX(EmployeeData[Exit Date], ROW() - 37)),"")</f>
        <v/>
      </c>
      <c r="I3922" s="4" t="str" cm="1">
        <f t="array" ref="I3922">IFERROR(IF(INDEX(EmployeeData[Exit Reason], ROW() - 37)=0, "",INDEX(EmployeeData[Exit Reason], ROW() - 37)),"")</f>
        <v/>
      </c>
      <c r="J3922" s="4" t="str" cm="1">
        <f t="array" ref="J3922">IFERROR(INDEX(EmployeeData[Status], ROW() - 37), "")</f>
        <v/>
      </c>
    </row>
    <row r="3923" spans="2:10" ht="19.95" customHeight="1" x14ac:dyDescent="0.3">
      <c r="B3923" s="4" t="str" cm="1">
        <f t="array" ref="B3923">IFERROR(INDEX(EmployeeData[Employee ID], ROW() - 37), "")</f>
        <v/>
      </c>
      <c r="C3923" s="4" t="str" cm="1">
        <f t="array" ref="C3923">IFERROR(INDEX(EmployeeData[Full Name], ROW() - 37), "")</f>
        <v/>
      </c>
      <c r="D3923" s="4" t="str" cm="1">
        <f t="array" ref="D3923">IFERROR(INDEX(EmployeeData[Department], ROW() - 37), "")</f>
        <v/>
      </c>
      <c r="E3923" s="4" t="str" cm="1">
        <f t="array" ref="E3923">IFERROR(INDEX(EmployeeData[Gender], ROW() - 37), "")</f>
        <v/>
      </c>
      <c r="F3923" s="4" t="str" cm="1">
        <f t="array" ref="F3923">IFERROR(INDEX(EmployeeData[Age], ROW() - 37), "")</f>
        <v/>
      </c>
      <c r="G3923" s="6" t="str" cm="1">
        <f t="array" ref="G3923">IFERROR(INDEX(EmployeeData[Join Date], ROW() - 37), "")</f>
        <v/>
      </c>
      <c r="H3923" s="6" t="str" cm="1">
        <f t="array" ref="H3923">IFERROR(IF(INDEX(EmployeeData[Exit Date], ROW() - 37)=0, "",INDEX(EmployeeData[Exit Date], ROW() - 37)),"")</f>
        <v/>
      </c>
      <c r="I3923" s="4" t="str" cm="1">
        <f t="array" ref="I3923">IFERROR(IF(INDEX(EmployeeData[Exit Reason], ROW() - 37)=0, "",INDEX(EmployeeData[Exit Reason], ROW() - 37)),"")</f>
        <v/>
      </c>
      <c r="J3923" s="4" t="str" cm="1">
        <f t="array" ref="J3923">IFERROR(INDEX(EmployeeData[Status], ROW() - 37), "")</f>
        <v/>
      </c>
    </row>
    <row r="3924" spans="2:10" ht="19.95" customHeight="1" x14ac:dyDescent="0.3">
      <c r="B3924" s="4" t="str" cm="1">
        <f t="array" ref="B3924">IFERROR(INDEX(EmployeeData[Employee ID], ROW() - 37), "")</f>
        <v/>
      </c>
      <c r="C3924" s="4" t="str" cm="1">
        <f t="array" ref="C3924">IFERROR(INDEX(EmployeeData[Full Name], ROW() - 37), "")</f>
        <v/>
      </c>
      <c r="D3924" s="4" t="str" cm="1">
        <f t="array" ref="D3924">IFERROR(INDEX(EmployeeData[Department], ROW() - 37), "")</f>
        <v/>
      </c>
      <c r="E3924" s="4" t="str" cm="1">
        <f t="array" ref="E3924">IFERROR(INDEX(EmployeeData[Gender], ROW() - 37), "")</f>
        <v/>
      </c>
      <c r="F3924" s="4" t="str" cm="1">
        <f t="array" ref="F3924">IFERROR(INDEX(EmployeeData[Age], ROW() - 37), "")</f>
        <v/>
      </c>
      <c r="G3924" s="6" t="str" cm="1">
        <f t="array" ref="G3924">IFERROR(INDEX(EmployeeData[Join Date], ROW() - 37), "")</f>
        <v/>
      </c>
      <c r="H3924" s="6" t="str" cm="1">
        <f t="array" ref="H3924">IFERROR(IF(INDEX(EmployeeData[Exit Date], ROW() - 37)=0, "",INDEX(EmployeeData[Exit Date], ROW() - 37)),"")</f>
        <v/>
      </c>
      <c r="I3924" s="4" t="str" cm="1">
        <f t="array" ref="I3924">IFERROR(IF(INDEX(EmployeeData[Exit Reason], ROW() - 37)=0, "",INDEX(EmployeeData[Exit Reason], ROW() - 37)),"")</f>
        <v/>
      </c>
      <c r="J3924" s="4" t="str" cm="1">
        <f t="array" ref="J3924">IFERROR(INDEX(EmployeeData[Status], ROW() - 37), "")</f>
        <v/>
      </c>
    </row>
    <row r="3925" spans="2:10" ht="19.95" customHeight="1" x14ac:dyDescent="0.3">
      <c r="B3925" s="4" t="str" cm="1">
        <f t="array" ref="B3925">IFERROR(INDEX(EmployeeData[Employee ID], ROW() - 37), "")</f>
        <v/>
      </c>
      <c r="C3925" s="4" t="str" cm="1">
        <f t="array" ref="C3925">IFERROR(INDEX(EmployeeData[Full Name], ROW() - 37), "")</f>
        <v/>
      </c>
      <c r="D3925" s="4" t="str" cm="1">
        <f t="array" ref="D3925">IFERROR(INDEX(EmployeeData[Department], ROW() - 37), "")</f>
        <v/>
      </c>
      <c r="E3925" s="4" t="str" cm="1">
        <f t="array" ref="E3925">IFERROR(INDEX(EmployeeData[Gender], ROW() - 37), "")</f>
        <v/>
      </c>
      <c r="F3925" s="4" t="str" cm="1">
        <f t="array" ref="F3925">IFERROR(INDEX(EmployeeData[Age], ROW() - 37), "")</f>
        <v/>
      </c>
      <c r="G3925" s="6" t="str" cm="1">
        <f t="array" ref="G3925">IFERROR(INDEX(EmployeeData[Join Date], ROW() - 37), "")</f>
        <v/>
      </c>
      <c r="H3925" s="6" t="str" cm="1">
        <f t="array" ref="H3925">IFERROR(IF(INDEX(EmployeeData[Exit Date], ROW() - 37)=0, "",INDEX(EmployeeData[Exit Date], ROW() - 37)),"")</f>
        <v/>
      </c>
      <c r="I3925" s="4" t="str" cm="1">
        <f t="array" ref="I3925">IFERROR(IF(INDEX(EmployeeData[Exit Reason], ROW() - 37)=0, "",INDEX(EmployeeData[Exit Reason], ROW() - 37)),"")</f>
        <v/>
      </c>
      <c r="J3925" s="4" t="str" cm="1">
        <f t="array" ref="J3925">IFERROR(INDEX(EmployeeData[Status], ROW() - 37), "")</f>
        <v/>
      </c>
    </row>
    <row r="3926" spans="2:10" ht="19.95" customHeight="1" x14ac:dyDescent="0.3">
      <c r="B3926" s="4" t="str" cm="1">
        <f t="array" ref="B3926">IFERROR(INDEX(EmployeeData[Employee ID], ROW() - 37), "")</f>
        <v/>
      </c>
      <c r="C3926" s="4" t="str" cm="1">
        <f t="array" ref="C3926">IFERROR(INDEX(EmployeeData[Full Name], ROW() - 37), "")</f>
        <v/>
      </c>
      <c r="D3926" s="4" t="str" cm="1">
        <f t="array" ref="D3926">IFERROR(INDEX(EmployeeData[Department], ROW() - 37), "")</f>
        <v/>
      </c>
      <c r="E3926" s="4" t="str" cm="1">
        <f t="array" ref="E3926">IFERROR(INDEX(EmployeeData[Gender], ROW() - 37), "")</f>
        <v/>
      </c>
      <c r="F3926" s="4" t="str" cm="1">
        <f t="array" ref="F3926">IFERROR(INDEX(EmployeeData[Age], ROW() - 37), "")</f>
        <v/>
      </c>
      <c r="G3926" s="6" t="str" cm="1">
        <f t="array" ref="G3926">IFERROR(INDEX(EmployeeData[Join Date], ROW() - 37), "")</f>
        <v/>
      </c>
      <c r="H3926" s="6" t="str" cm="1">
        <f t="array" ref="H3926">IFERROR(IF(INDEX(EmployeeData[Exit Date], ROW() - 37)=0, "",INDEX(EmployeeData[Exit Date], ROW() - 37)),"")</f>
        <v/>
      </c>
      <c r="I3926" s="4" t="str" cm="1">
        <f t="array" ref="I3926">IFERROR(IF(INDEX(EmployeeData[Exit Reason], ROW() - 37)=0, "",INDEX(EmployeeData[Exit Reason], ROW() - 37)),"")</f>
        <v/>
      </c>
      <c r="J3926" s="4" t="str" cm="1">
        <f t="array" ref="J3926">IFERROR(INDEX(EmployeeData[Status], ROW() - 37), "")</f>
        <v/>
      </c>
    </row>
    <row r="3927" spans="2:10" ht="19.95" customHeight="1" x14ac:dyDescent="0.3">
      <c r="B3927" s="4" t="str" cm="1">
        <f t="array" ref="B3927">IFERROR(INDEX(EmployeeData[Employee ID], ROW() - 37), "")</f>
        <v/>
      </c>
      <c r="C3927" s="4" t="str" cm="1">
        <f t="array" ref="C3927">IFERROR(INDEX(EmployeeData[Full Name], ROW() - 37), "")</f>
        <v/>
      </c>
      <c r="D3927" s="4" t="str" cm="1">
        <f t="array" ref="D3927">IFERROR(INDEX(EmployeeData[Department], ROW() - 37), "")</f>
        <v/>
      </c>
      <c r="E3927" s="4" t="str" cm="1">
        <f t="array" ref="E3927">IFERROR(INDEX(EmployeeData[Gender], ROW() - 37), "")</f>
        <v/>
      </c>
      <c r="F3927" s="4" t="str" cm="1">
        <f t="array" ref="F3927">IFERROR(INDEX(EmployeeData[Age], ROW() - 37), "")</f>
        <v/>
      </c>
      <c r="G3927" s="6" t="str" cm="1">
        <f t="array" ref="G3927">IFERROR(INDEX(EmployeeData[Join Date], ROW() - 37), "")</f>
        <v/>
      </c>
      <c r="H3927" s="6" t="str" cm="1">
        <f t="array" ref="H3927">IFERROR(IF(INDEX(EmployeeData[Exit Date], ROW() - 37)=0, "",INDEX(EmployeeData[Exit Date], ROW() - 37)),"")</f>
        <v/>
      </c>
      <c r="I3927" s="4" t="str" cm="1">
        <f t="array" ref="I3927">IFERROR(IF(INDEX(EmployeeData[Exit Reason], ROW() - 37)=0, "",INDEX(EmployeeData[Exit Reason], ROW() - 37)),"")</f>
        <v/>
      </c>
      <c r="J3927" s="4" t="str" cm="1">
        <f t="array" ref="J3927">IFERROR(INDEX(EmployeeData[Status], ROW() - 37), "")</f>
        <v/>
      </c>
    </row>
    <row r="3928" spans="2:10" ht="19.95" customHeight="1" x14ac:dyDescent="0.3">
      <c r="B3928" s="4" t="str" cm="1">
        <f t="array" ref="B3928">IFERROR(INDEX(EmployeeData[Employee ID], ROW() - 37), "")</f>
        <v/>
      </c>
      <c r="C3928" s="4" t="str" cm="1">
        <f t="array" ref="C3928">IFERROR(INDEX(EmployeeData[Full Name], ROW() - 37), "")</f>
        <v/>
      </c>
      <c r="D3928" s="4" t="str" cm="1">
        <f t="array" ref="D3928">IFERROR(INDEX(EmployeeData[Department], ROW() - 37), "")</f>
        <v/>
      </c>
      <c r="E3928" s="4" t="str" cm="1">
        <f t="array" ref="E3928">IFERROR(INDEX(EmployeeData[Gender], ROW() - 37), "")</f>
        <v/>
      </c>
      <c r="F3928" s="4" t="str" cm="1">
        <f t="array" ref="F3928">IFERROR(INDEX(EmployeeData[Age], ROW() - 37), "")</f>
        <v/>
      </c>
      <c r="G3928" s="6" t="str" cm="1">
        <f t="array" ref="G3928">IFERROR(INDEX(EmployeeData[Join Date], ROW() - 37), "")</f>
        <v/>
      </c>
      <c r="H3928" s="6" t="str" cm="1">
        <f t="array" ref="H3928">IFERROR(IF(INDEX(EmployeeData[Exit Date], ROW() - 37)=0, "",INDEX(EmployeeData[Exit Date], ROW() - 37)),"")</f>
        <v/>
      </c>
      <c r="I3928" s="4" t="str" cm="1">
        <f t="array" ref="I3928">IFERROR(IF(INDEX(EmployeeData[Exit Reason], ROW() - 37)=0, "",INDEX(EmployeeData[Exit Reason], ROW() - 37)),"")</f>
        <v/>
      </c>
      <c r="J3928" s="4" t="str" cm="1">
        <f t="array" ref="J3928">IFERROR(INDEX(EmployeeData[Status], ROW() - 37), "")</f>
        <v/>
      </c>
    </row>
    <row r="3929" spans="2:10" ht="19.95" customHeight="1" x14ac:dyDescent="0.3">
      <c r="B3929" s="4" t="str" cm="1">
        <f t="array" ref="B3929">IFERROR(INDEX(EmployeeData[Employee ID], ROW() - 37), "")</f>
        <v/>
      </c>
      <c r="C3929" s="4" t="str" cm="1">
        <f t="array" ref="C3929">IFERROR(INDEX(EmployeeData[Full Name], ROW() - 37), "")</f>
        <v/>
      </c>
      <c r="D3929" s="4" t="str" cm="1">
        <f t="array" ref="D3929">IFERROR(INDEX(EmployeeData[Department], ROW() - 37), "")</f>
        <v/>
      </c>
      <c r="E3929" s="4" t="str" cm="1">
        <f t="array" ref="E3929">IFERROR(INDEX(EmployeeData[Gender], ROW() - 37), "")</f>
        <v/>
      </c>
      <c r="F3929" s="4" t="str" cm="1">
        <f t="array" ref="F3929">IFERROR(INDEX(EmployeeData[Age], ROW() - 37), "")</f>
        <v/>
      </c>
      <c r="G3929" s="6" t="str" cm="1">
        <f t="array" ref="G3929">IFERROR(INDEX(EmployeeData[Join Date], ROW() - 37), "")</f>
        <v/>
      </c>
      <c r="H3929" s="6" t="str" cm="1">
        <f t="array" ref="H3929">IFERROR(IF(INDEX(EmployeeData[Exit Date], ROW() - 37)=0, "",INDEX(EmployeeData[Exit Date], ROW() - 37)),"")</f>
        <v/>
      </c>
      <c r="I3929" s="4" t="str" cm="1">
        <f t="array" ref="I3929">IFERROR(IF(INDEX(EmployeeData[Exit Reason], ROW() - 37)=0, "",INDEX(EmployeeData[Exit Reason], ROW() - 37)),"")</f>
        <v/>
      </c>
      <c r="J3929" s="4" t="str" cm="1">
        <f t="array" ref="J3929">IFERROR(INDEX(EmployeeData[Status], ROW() - 37), "")</f>
        <v/>
      </c>
    </row>
    <row r="3930" spans="2:10" ht="19.95" customHeight="1" x14ac:dyDescent="0.3">
      <c r="B3930" s="4" t="str" cm="1">
        <f t="array" ref="B3930">IFERROR(INDEX(EmployeeData[Employee ID], ROW() - 37), "")</f>
        <v/>
      </c>
      <c r="C3930" s="4" t="str" cm="1">
        <f t="array" ref="C3930">IFERROR(INDEX(EmployeeData[Full Name], ROW() - 37), "")</f>
        <v/>
      </c>
      <c r="D3930" s="4" t="str" cm="1">
        <f t="array" ref="D3930">IFERROR(INDEX(EmployeeData[Department], ROW() - 37), "")</f>
        <v/>
      </c>
      <c r="E3930" s="4" t="str" cm="1">
        <f t="array" ref="E3930">IFERROR(INDEX(EmployeeData[Gender], ROW() - 37), "")</f>
        <v/>
      </c>
      <c r="F3930" s="4" t="str" cm="1">
        <f t="array" ref="F3930">IFERROR(INDEX(EmployeeData[Age], ROW() - 37), "")</f>
        <v/>
      </c>
      <c r="G3930" s="6" t="str" cm="1">
        <f t="array" ref="G3930">IFERROR(INDEX(EmployeeData[Join Date], ROW() - 37), "")</f>
        <v/>
      </c>
      <c r="H3930" s="6" t="str" cm="1">
        <f t="array" ref="H3930">IFERROR(IF(INDEX(EmployeeData[Exit Date], ROW() - 37)=0, "",INDEX(EmployeeData[Exit Date], ROW() - 37)),"")</f>
        <v/>
      </c>
      <c r="I3930" s="4" t="str" cm="1">
        <f t="array" ref="I3930">IFERROR(IF(INDEX(EmployeeData[Exit Reason], ROW() - 37)=0, "",INDEX(EmployeeData[Exit Reason], ROW() - 37)),"")</f>
        <v/>
      </c>
      <c r="J3930" s="4" t="str" cm="1">
        <f t="array" ref="J3930">IFERROR(INDEX(EmployeeData[Status], ROW() - 37), "")</f>
        <v/>
      </c>
    </row>
    <row r="3931" spans="2:10" ht="19.95" customHeight="1" x14ac:dyDescent="0.3">
      <c r="B3931" s="4" t="str" cm="1">
        <f t="array" ref="B3931">IFERROR(INDEX(EmployeeData[Employee ID], ROW() - 37), "")</f>
        <v/>
      </c>
      <c r="C3931" s="4" t="str" cm="1">
        <f t="array" ref="C3931">IFERROR(INDEX(EmployeeData[Full Name], ROW() - 37), "")</f>
        <v/>
      </c>
      <c r="D3931" s="4" t="str" cm="1">
        <f t="array" ref="D3931">IFERROR(INDEX(EmployeeData[Department], ROW() - 37), "")</f>
        <v/>
      </c>
      <c r="E3931" s="4" t="str" cm="1">
        <f t="array" ref="E3931">IFERROR(INDEX(EmployeeData[Gender], ROW() - 37), "")</f>
        <v/>
      </c>
      <c r="F3931" s="4" t="str" cm="1">
        <f t="array" ref="F3931">IFERROR(INDEX(EmployeeData[Age], ROW() - 37), "")</f>
        <v/>
      </c>
      <c r="G3931" s="6" t="str" cm="1">
        <f t="array" ref="G3931">IFERROR(INDEX(EmployeeData[Join Date], ROW() - 37), "")</f>
        <v/>
      </c>
      <c r="H3931" s="6" t="str" cm="1">
        <f t="array" ref="H3931">IFERROR(IF(INDEX(EmployeeData[Exit Date], ROW() - 37)=0, "",INDEX(EmployeeData[Exit Date], ROW() - 37)),"")</f>
        <v/>
      </c>
      <c r="I3931" s="4" t="str" cm="1">
        <f t="array" ref="I3931">IFERROR(IF(INDEX(EmployeeData[Exit Reason], ROW() - 37)=0, "",INDEX(EmployeeData[Exit Reason], ROW() - 37)),"")</f>
        <v/>
      </c>
      <c r="J3931" s="4" t="str" cm="1">
        <f t="array" ref="J3931">IFERROR(INDEX(EmployeeData[Status], ROW() - 37), "")</f>
        <v/>
      </c>
    </row>
    <row r="3932" spans="2:10" ht="19.95" customHeight="1" x14ac:dyDescent="0.3">
      <c r="B3932" s="4" t="str" cm="1">
        <f t="array" ref="B3932">IFERROR(INDEX(EmployeeData[Employee ID], ROW() - 37), "")</f>
        <v/>
      </c>
      <c r="C3932" s="4" t="str" cm="1">
        <f t="array" ref="C3932">IFERROR(INDEX(EmployeeData[Full Name], ROW() - 37), "")</f>
        <v/>
      </c>
      <c r="D3932" s="4" t="str" cm="1">
        <f t="array" ref="D3932">IFERROR(INDEX(EmployeeData[Department], ROW() - 37), "")</f>
        <v/>
      </c>
      <c r="E3932" s="4" t="str" cm="1">
        <f t="array" ref="E3932">IFERROR(INDEX(EmployeeData[Gender], ROW() - 37), "")</f>
        <v/>
      </c>
      <c r="F3932" s="4" t="str" cm="1">
        <f t="array" ref="F3932">IFERROR(INDEX(EmployeeData[Age], ROW() - 37), "")</f>
        <v/>
      </c>
      <c r="G3932" s="6" t="str" cm="1">
        <f t="array" ref="G3932">IFERROR(INDEX(EmployeeData[Join Date], ROW() - 37), "")</f>
        <v/>
      </c>
      <c r="H3932" s="6" t="str" cm="1">
        <f t="array" ref="H3932">IFERROR(IF(INDEX(EmployeeData[Exit Date], ROW() - 37)=0, "",INDEX(EmployeeData[Exit Date], ROW() - 37)),"")</f>
        <v/>
      </c>
      <c r="I3932" s="4" t="str" cm="1">
        <f t="array" ref="I3932">IFERROR(IF(INDEX(EmployeeData[Exit Reason], ROW() - 37)=0, "",INDEX(EmployeeData[Exit Reason], ROW() - 37)),"")</f>
        <v/>
      </c>
      <c r="J3932" s="4" t="str" cm="1">
        <f t="array" ref="J3932">IFERROR(INDEX(EmployeeData[Status], ROW() - 37), "")</f>
        <v/>
      </c>
    </row>
    <row r="3933" spans="2:10" ht="19.95" customHeight="1" x14ac:dyDescent="0.3">
      <c r="B3933" s="4" t="str" cm="1">
        <f t="array" ref="B3933">IFERROR(INDEX(EmployeeData[Employee ID], ROW() - 37), "")</f>
        <v/>
      </c>
      <c r="C3933" s="4" t="str" cm="1">
        <f t="array" ref="C3933">IFERROR(INDEX(EmployeeData[Full Name], ROW() - 37), "")</f>
        <v/>
      </c>
      <c r="D3933" s="4" t="str" cm="1">
        <f t="array" ref="D3933">IFERROR(INDEX(EmployeeData[Department], ROW() - 37), "")</f>
        <v/>
      </c>
      <c r="E3933" s="4" t="str" cm="1">
        <f t="array" ref="E3933">IFERROR(INDEX(EmployeeData[Gender], ROW() - 37), "")</f>
        <v/>
      </c>
      <c r="F3933" s="4" t="str" cm="1">
        <f t="array" ref="F3933">IFERROR(INDEX(EmployeeData[Age], ROW() - 37), "")</f>
        <v/>
      </c>
      <c r="G3933" s="6" t="str" cm="1">
        <f t="array" ref="G3933">IFERROR(INDEX(EmployeeData[Join Date], ROW() - 37), "")</f>
        <v/>
      </c>
      <c r="H3933" s="6" t="str" cm="1">
        <f t="array" ref="H3933">IFERROR(IF(INDEX(EmployeeData[Exit Date], ROW() - 37)=0, "",INDEX(EmployeeData[Exit Date], ROW() - 37)),"")</f>
        <v/>
      </c>
      <c r="I3933" s="4" t="str" cm="1">
        <f t="array" ref="I3933">IFERROR(IF(INDEX(EmployeeData[Exit Reason], ROW() - 37)=0, "",INDEX(EmployeeData[Exit Reason], ROW() - 37)),"")</f>
        <v/>
      </c>
      <c r="J3933" s="4" t="str" cm="1">
        <f t="array" ref="J3933">IFERROR(INDEX(EmployeeData[Status], ROW() - 37), "")</f>
        <v/>
      </c>
    </row>
    <row r="3934" spans="2:10" ht="19.95" customHeight="1" x14ac:dyDescent="0.3">
      <c r="B3934" s="4" t="str" cm="1">
        <f t="array" ref="B3934">IFERROR(INDEX(EmployeeData[Employee ID], ROW() - 37), "")</f>
        <v/>
      </c>
      <c r="C3934" s="4" t="str" cm="1">
        <f t="array" ref="C3934">IFERROR(INDEX(EmployeeData[Full Name], ROW() - 37), "")</f>
        <v/>
      </c>
      <c r="D3934" s="4" t="str" cm="1">
        <f t="array" ref="D3934">IFERROR(INDEX(EmployeeData[Department], ROW() - 37), "")</f>
        <v/>
      </c>
      <c r="E3934" s="4" t="str" cm="1">
        <f t="array" ref="E3934">IFERROR(INDEX(EmployeeData[Gender], ROW() - 37), "")</f>
        <v/>
      </c>
      <c r="F3934" s="4" t="str" cm="1">
        <f t="array" ref="F3934">IFERROR(INDEX(EmployeeData[Age], ROW() - 37), "")</f>
        <v/>
      </c>
      <c r="G3934" s="6" t="str" cm="1">
        <f t="array" ref="G3934">IFERROR(INDEX(EmployeeData[Join Date], ROW() - 37), "")</f>
        <v/>
      </c>
      <c r="H3934" s="6" t="str" cm="1">
        <f t="array" ref="H3934">IFERROR(IF(INDEX(EmployeeData[Exit Date], ROW() - 37)=0, "",INDEX(EmployeeData[Exit Date], ROW() - 37)),"")</f>
        <v/>
      </c>
      <c r="I3934" s="4" t="str" cm="1">
        <f t="array" ref="I3934">IFERROR(IF(INDEX(EmployeeData[Exit Reason], ROW() - 37)=0, "",INDEX(EmployeeData[Exit Reason], ROW() - 37)),"")</f>
        <v/>
      </c>
      <c r="J3934" s="4" t="str" cm="1">
        <f t="array" ref="J3934">IFERROR(INDEX(EmployeeData[Status], ROW() - 37), "")</f>
        <v/>
      </c>
    </row>
    <row r="3935" spans="2:10" ht="19.95" customHeight="1" x14ac:dyDescent="0.3">
      <c r="B3935" s="4" t="str" cm="1">
        <f t="array" ref="B3935">IFERROR(INDEX(EmployeeData[Employee ID], ROW() - 37), "")</f>
        <v/>
      </c>
      <c r="C3935" s="4" t="str" cm="1">
        <f t="array" ref="C3935">IFERROR(INDEX(EmployeeData[Full Name], ROW() - 37), "")</f>
        <v/>
      </c>
      <c r="D3935" s="4" t="str" cm="1">
        <f t="array" ref="D3935">IFERROR(INDEX(EmployeeData[Department], ROW() - 37), "")</f>
        <v/>
      </c>
      <c r="E3935" s="4" t="str" cm="1">
        <f t="array" ref="E3935">IFERROR(INDEX(EmployeeData[Gender], ROW() - 37), "")</f>
        <v/>
      </c>
      <c r="F3935" s="4" t="str" cm="1">
        <f t="array" ref="F3935">IFERROR(INDEX(EmployeeData[Age], ROW() - 37), "")</f>
        <v/>
      </c>
      <c r="G3935" s="6" t="str" cm="1">
        <f t="array" ref="G3935">IFERROR(INDEX(EmployeeData[Join Date], ROW() - 37), "")</f>
        <v/>
      </c>
      <c r="H3935" s="6" t="str" cm="1">
        <f t="array" ref="H3935">IFERROR(IF(INDEX(EmployeeData[Exit Date], ROW() - 37)=0, "",INDEX(EmployeeData[Exit Date], ROW() - 37)),"")</f>
        <v/>
      </c>
      <c r="I3935" s="4" t="str" cm="1">
        <f t="array" ref="I3935">IFERROR(IF(INDEX(EmployeeData[Exit Reason], ROW() - 37)=0, "",INDEX(EmployeeData[Exit Reason], ROW() - 37)),"")</f>
        <v/>
      </c>
      <c r="J3935" s="4" t="str" cm="1">
        <f t="array" ref="J3935">IFERROR(INDEX(EmployeeData[Status], ROW() - 37), "")</f>
        <v/>
      </c>
    </row>
    <row r="3936" spans="2:10" ht="19.95" customHeight="1" x14ac:dyDescent="0.3">
      <c r="B3936" s="4" t="str" cm="1">
        <f t="array" ref="B3936">IFERROR(INDEX(EmployeeData[Employee ID], ROW() - 37), "")</f>
        <v/>
      </c>
      <c r="C3936" s="4" t="str" cm="1">
        <f t="array" ref="C3936">IFERROR(INDEX(EmployeeData[Full Name], ROW() - 37), "")</f>
        <v/>
      </c>
      <c r="D3936" s="4" t="str" cm="1">
        <f t="array" ref="D3936">IFERROR(INDEX(EmployeeData[Department], ROW() - 37), "")</f>
        <v/>
      </c>
      <c r="E3936" s="4" t="str" cm="1">
        <f t="array" ref="E3936">IFERROR(INDEX(EmployeeData[Gender], ROW() - 37), "")</f>
        <v/>
      </c>
      <c r="F3936" s="4" t="str" cm="1">
        <f t="array" ref="F3936">IFERROR(INDEX(EmployeeData[Age], ROW() - 37), "")</f>
        <v/>
      </c>
      <c r="G3936" s="6" t="str" cm="1">
        <f t="array" ref="G3936">IFERROR(INDEX(EmployeeData[Join Date], ROW() - 37), "")</f>
        <v/>
      </c>
      <c r="H3936" s="6" t="str" cm="1">
        <f t="array" ref="H3936">IFERROR(IF(INDEX(EmployeeData[Exit Date], ROW() - 37)=0, "",INDEX(EmployeeData[Exit Date], ROW() - 37)),"")</f>
        <v/>
      </c>
      <c r="I3936" s="4" t="str" cm="1">
        <f t="array" ref="I3936">IFERROR(IF(INDEX(EmployeeData[Exit Reason], ROW() - 37)=0, "",INDEX(EmployeeData[Exit Reason], ROW() - 37)),"")</f>
        <v/>
      </c>
      <c r="J3936" s="4" t="str" cm="1">
        <f t="array" ref="J3936">IFERROR(INDEX(EmployeeData[Status], ROW() - 37), "")</f>
        <v/>
      </c>
    </row>
    <row r="3937" spans="2:10" ht="19.95" customHeight="1" x14ac:dyDescent="0.3">
      <c r="B3937" s="4" t="str" cm="1">
        <f t="array" ref="B3937">IFERROR(INDEX(EmployeeData[Employee ID], ROW() - 37), "")</f>
        <v/>
      </c>
      <c r="C3937" s="4" t="str" cm="1">
        <f t="array" ref="C3937">IFERROR(INDEX(EmployeeData[Full Name], ROW() - 37), "")</f>
        <v/>
      </c>
      <c r="D3937" s="4" t="str" cm="1">
        <f t="array" ref="D3937">IFERROR(INDEX(EmployeeData[Department], ROW() - 37), "")</f>
        <v/>
      </c>
      <c r="E3937" s="4" t="str" cm="1">
        <f t="array" ref="E3937">IFERROR(INDEX(EmployeeData[Gender], ROW() - 37), "")</f>
        <v/>
      </c>
      <c r="F3937" s="4" t="str" cm="1">
        <f t="array" ref="F3937">IFERROR(INDEX(EmployeeData[Age], ROW() - 37), "")</f>
        <v/>
      </c>
      <c r="G3937" s="6" t="str" cm="1">
        <f t="array" ref="G3937">IFERROR(INDEX(EmployeeData[Join Date], ROW() - 37), "")</f>
        <v/>
      </c>
      <c r="H3937" s="6" t="str" cm="1">
        <f t="array" ref="H3937">IFERROR(IF(INDEX(EmployeeData[Exit Date], ROW() - 37)=0, "",INDEX(EmployeeData[Exit Date], ROW() - 37)),"")</f>
        <v/>
      </c>
      <c r="I3937" s="4" t="str" cm="1">
        <f t="array" ref="I3937">IFERROR(IF(INDEX(EmployeeData[Exit Reason], ROW() - 37)=0, "",INDEX(EmployeeData[Exit Reason], ROW() - 37)),"")</f>
        <v/>
      </c>
      <c r="J3937" s="4" t="str" cm="1">
        <f t="array" ref="J3937">IFERROR(INDEX(EmployeeData[Status], ROW() - 37), "")</f>
        <v/>
      </c>
    </row>
    <row r="3938" spans="2:10" ht="19.95" customHeight="1" x14ac:dyDescent="0.3">
      <c r="B3938" s="4" t="str" cm="1">
        <f t="array" ref="B3938">IFERROR(INDEX(EmployeeData[Employee ID], ROW() - 37), "")</f>
        <v/>
      </c>
      <c r="C3938" s="4" t="str" cm="1">
        <f t="array" ref="C3938">IFERROR(INDEX(EmployeeData[Full Name], ROW() - 37), "")</f>
        <v/>
      </c>
      <c r="D3938" s="4" t="str" cm="1">
        <f t="array" ref="D3938">IFERROR(INDEX(EmployeeData[Department], ROW() - 37), "")</f>
        <v/>
      </c>
      <c r="E3938" s="4" t="str" cm="1">
        <f t="array" ref="E3938">IFERROR(INDEX(EmployeeData[Gender], ROW() - 37), "")</f>
        <v/>
      </c>
      <c r="F3938" s="4" t="str" cm="1">
        <f t="array" ref="F3938">IFERROR(INDEX(EmployeeData[Age], ROW() - 37), "")</f>
        <v/>
      </c>
      <c r="G3938" s="6" t="str" cm="1">
        <f t="array" ref="G3938">IFERROR(INDEX(EmployeeData[Join Date], ROW() - 37), "")</f>
        <v/>
      </c>
      <c r="H3938" s="6" t="str" cm="1">
        <f t="array" ref="H3938">IFERROR(IF(INDEX(EmployeeData[Exit Date], ROW() - 37)=0, "",INDEX(EmployeeData[Exit Date], ROW() - 37)),"")</f>
        <v/>
      </c>
      <c r="I3938" s="4" t="str" cm="1">
        <f t="array" ref="I3938">IFERROR(IF(INDEX(EmployeeData[Exit Reason], ROW() - 37)=0, "",INDEX(EmployeeData[Exit Reason], ROW() - 37)),"")</f>
        <v/>
      </c>
      <c r="J3938" s="4" t="str" cm="1">
        <f t="array" ref="J3938">IFERROR(INDEX(EmployeeData[Status], ROW() - 37), "")</f>
        <v/>
      </c>
    </row>
    <row r="3939" spans="2:10" ht="19.95" customHeight="1" x14ac:dyDescent="0.3">
      <c r="B3939" s="4" t="str" cm="1">
        <f t="array" ref="B3939">IFERROR(INDEX(EmployeeData[Employee ID], ROW() - 37), "")</f>
        <v/>
      </c>
      <c r="C3939" s="4" t="str" cm="1">
        <f t="array" ref="C3939">IFERROR(INDEX(EmployeeData[Full Name], ROW() - 37), "")</f>
        <v/>
      </c>
      <c r="D3939" s="4" t="str" cm="1">
        <f t="array" ref="D3939">IFERROR(INDEX(EmployeeData[Department], ROW() - 37), "")</f>
        <v/>
      </c>
      <c r="E3939" s="4" t="str" cm="1">
        <f t="array" ref="E3939">IFERROR(INDEX(EmployeeData[Gender], ROW() - 37), "")</f>
        <v/>
      </c>
      <c r="F3939" s="4" t="str" cm="1">
        <f t="array" ref="F3939">IFERROR(INDEX(EmployeeData[Age], ROW() - 37), "")</f>
        <v/>
      </c>
      <c r="G3939" s="6" t="str" cm="1">
        <f t="array" ref="G3939">IFERROR(INDEX(EmployeeData[Join Date], ROW() - 37), "")</f>
        <v/>
      </c>
      <c r="H3939" s="6" t="str" cm="1">
        <f t="array" ref="H3939">IFERROR(IF(INDEX(EmployeeData[Exit Date], ROW() - 37)=0, "",INDEX(EmployeeData[Exit Date], ROW() - 37)),"")</f>
        <v/>
      </c>
      <c r="I3939" s="4" t="str" cm="1">
        <f t="array" ref="I3939">IFERROR(IF(INDEX(EmployeeData[Exit Reason], ROW() - 37)=0, "",INDEX(EmployeeData[Exit Reason], ROW() - 37)),"")</f>
        <v/>
      </c>
      <c r="J3939" s="4" t="str" cm="1">
        <f t="array" ref="J3939">IFERROR(INDEX(EmployeeData[Status], ROW() - 37), "")</f>
        <v/>
      </c>
    </row>
    <row r="3940" spans="2:10" ht="19.95" customHeight="1" x14ac:dyDescent="0.3">
      <c r="B3940" s="4" t="str" cm="1">
        <f t="array" ref="B3940">IFERROR(INDEX(EmployeeData[Employee ID], ROW() - 37), "")</f>
        <v/>
      </c>
      <c r="C3940" s="4" t="str" cm="1">
        <f t="array" ref="C3940">IFERROR(INDEX(EmployeeData[Full Name], ROW() - 37), "")</f>
        <v/>
      </c>
      <c r="D3940" s="4" t="str" cm="1">
        <f t="array" ref="D3940">IFERROR(INDEX(EmployeeData[Department], ROW() - 37), "")</f>
        <v/>
      </c>
      <c r="E3940" s="4" t="str" cm="1">
        <f t="array" ref="E3940">IFERROR(INDEX(EmployeeData[Gender], ROW() - 37), "")</f>
        <v/>
      </c>
      <c r="F3940" s="4" t="str" cm="1">
        <f t="array" ref="F3940">IFERROR(INDEX(EmployeeData[Age], ROW() - 37), "")</f>
        <v/>
      </c>
      <c r="G3940" s="6" t="str" cm="1">
        <f t="array" ref="G3940">IFERROR(INDEX(EmployeeData[Join Date], ROW() - 37), "")</f>
        <v/>
      </c>
      <c r="H3940" s="6" t="str" cm="1">
        <f t="array" ref="H3940">IFERROR(IF(INDEX(EmployeeData[Exit Date], ROW() - 37)=0, "",INDEX(EmployeeData[Exit Date], ROW() - 37)),"")</f>
        <v/>
      </c>
      <c r="I3940" s="4" t="str" cm="1">
        <f t="array" ref="I3940">IFERROR(IF(INDEX(EmployeeData[Exit Reason], ROW() - 37)=0, "",INDEX(EmployeeData[Exit Reason], ROW() - 37)),"")</f>
        <v/>
      </c>
      <c r="J3940" s="4" t="str" cm="1">
        <f t="array" ref="J3940">IFERROR(INDEX(EmployeeData[Status], ROW() - 37), "")</f>
        <v/>
      </c>
    </row>
    <row r="3941" spans="2:10" ht="19.95" customHeight="1" x14ac:dyDescent="0.3">
      <c r="B3941" s="4" t="str" cm="1">
        <f t="array" ref="B3941">IFERROR(INDEX(EmployeeData[Employee ID], ROW() - 37), "")</f>
        <v/>
      </c>
      <c r="C3941" s="4" t="str" cm="1">
        <f t="array" ref="C3941">IFERROR(INDEX(EmployeeData[Full Name], ROW() - 37), "")</f>
        <v/>
      </c>
      <c r="D3941" s="4" t="str" cm="1">
        <f t="array" ref="D3941">IFERROR(INDEX(EmployeeData[Department], ROW() - 37), "")</f>
        <v/>
      </c>
      <c r="E3941" s="4" t="str" cm="1">
        <f t="array" ref="E3941">IFERROR(INDEX(EmployeeData[Gender], ROW() - 37), "")</f>
        <v/>
      </c>
      <c r="F3941" s="4" t="str" cm="1">
        <f t="array" ref="F3941">IFERROR(INDEX(EmployeeData[Age], ROW() - 37), "")</f>
        <v/>
      </c>
      <c r="G3941" s="6" t="str" cm="1">
        <f t="array" ref="G3941">IFERROR(INDEX(EmployeeData[Join Date], ROW() - 37), "")</f>
        <v/>
      </c>
      <c r="H3941" s="6" t="str" cm="1">
        <f t="array" ref="H3941">IFERROR(IF(INDEX(EmployeeData[Exit Date], ROW() - 37)=0, "",INDEX(EmployeeData[Exit Date], ROW() - 37)),"")</f>
        <v/>
      </c>
      <c r="I3941" s="4" t="str" cm="1">
        <f t="array" ref="I3941">IFERROR(IF(INDEX(EmployeeData[Exit Reason], ROW() - 37)=0, "",INDEX(EmployeeData[Exit Reason], ROW() - 37)),"")</f>
        <v/>
      </c>
      <c r="J3941" s="4" t="str" cm="1">
        <f t="array" ref="J3941">IFERROR(INDEX(EmployeeData[Status], ROW() - 37), "")</f>
        <v/>
      </c>
    </row>
    <row r="3942" spans="2:10" ht="19.95" customHeight="1" x14ac:dyDescent="0.3">
      <c r="B3942" s="4" t="str" cm="1">
        <f t="array" ref="B3942">IFERROR(INDEX(EmployeeData[Employee ID], ROW() - 37), "")</f>
        <v/>
      </c>
      <c r="C3942" s="4" t="str" cm="1">
        <f t="array" ref="C3942">IFERROR(INDEX(EmployeeData[Full Name], ROW() - 37), "")</f>
        <v/>
      </c>
      <c r="D3942" s="4" t="str" cm="1">
        <f t="array" ref="D3942">IFERROR(INDEX(EmployeeData[Department], ROW() - 37), "")</f>
        <v/>
      </c>
      <c r="E3942" s="4" t="str" cm="1">
        <f t="array" ref="E3942">IFERROR(INDEX(EmployeeData[Gender], ROW() - 37), "")</f>
        <v/>
      </c>
      <c r="F3942" s="4" t="str" cm="1">
        <f t="array" ref="F3942">IFERROR(INDEX(EmployeeData[Age], ROW() - 37), "")</f>
        <v/>
      </c>
      <c r="G3942" s="6" t="str" cm="1">
        <f t="array" ref="G3942">IFERROR(INDEX(EmployeeData[Join Date], ROW() - 37), "")</f>
        <v/>
      </c>
      <c r="H3942" s="6" t="str" cm="1">
        <f t="array" ref="H3942">IFERROR(IF(INDEX(EmployeeData[Exit Date], ROW() - 37)=0, "",INDEX(EmployeeData[Exit Date], ROW() - 37)),"")</f>
        <v/>
      </c>
      <c r="I3942" s="4" t="str" cm="1">
        <f t="array" ref="I3942">IFERROR(IF(INDEX(EmployeeData[Exit Reason], ROW() - 37)=0, "",INDEX(EmployeeData[Exit Reason], ROW() - 37)),"")</f>
        <v/>
      </c>
      <c r="J3942" s="4" t="str" cm="1">
        <f t="array" ref="J3942">IFERROR(INDEX(EmployeeData[Status], ROW() - 37), "")</f>
        <v/>
      </c>
    </row>
    <row r="3943" spans="2:10" ht="19.95" customHeight="1" x14ac:dyDescent="0.3">
      <c r="B3943" s="4" t="str" cm="1">
        <f t="array" ref="B3943">IFERROR(INDEX(EmployeeData[Employee ID], ROW() - 37), "")</f>
        <v/>
      </c>
      <c r="C3943" s="4" t="str" cm="1">
        <f t="array" ref="C3943">IFERROR(INDEX(EmployeeData[Full Name], ROW() - 37), "")</f>
        <v/>
      </c>
      <c r="D3943" s="4" t="str" cm="1">
        <f t="array" ref="D3943">IFERROR(INDEX(EmployeeData[Department], ROW() - 37), "")</f>
        <v/>
      </c>
      <c r="E3943" s="4" t="str" cm="1">
        <f t="array" ref="E3943">IFERROR(INDEX(EmployeeData[Gender], ROW() - 37), "")</f>
        <v/>
      </c>
      <c r="F3943" s="4" t="str" cm="1">
        <f t="array" ref="F3943">IFERROR(INDEX(EmployeeData[Age], ROW() - 37), "")</f>
        <v/>
      </c>
      <c r="G3943" s="6" t="str" cm="1">
        <f t="array" ref="G3943">IFERROR(INDEX(EmployeeData[Join Date], ROW() - 37), "")</f>
        <v/>
      </c>
      <c r="H3943" s="6" t="str" cm="1">
        <f t="array" ref="H3943">IFERROR(IF(INDEX(EmployeeData[Exit Date], ROW() - 37)=0, "",INDEX(EmployeeData[Exit Date], ROW() - 37)),"")</f>
        <v/>
      </c>
      <c r="I3943" s="4" t="str" cm="1">
        <f t="array" ref="I3943">IFERROR(IF(INDEX(EmployeeData[Exit Reason], ROW() - 37)=0, "",INDEX(EmployeeData[Exit Reason], ROW() - 37)),"")</f>
        <v/>
      </c>
      <c r="J3943" s="4" t="str" cm="1">
        <f t="array" ref="J3943">IFERROR(INDEX(EmployeeData[Status], ROW() - 37), "")</f>
        <v/>
      </c>
    </row>
    <row r="3944" spans="2:10" ht="19.95" customHeight="1" x14ac:dyDescent="0.3">
      <c r="B3944" s="4" t="str" cm="1">
        <f t="array" ref="B3944">IFERROR(INDEX(EmployeeData[Employee ID], ROW() - 37), "")</f>
        <v/>
      </c>
      <c r="C3944" s="4" t="str" cm="1">
        <f t="array" ref="C3944">IFERROR(INDEX(EmployeeData[Full Name], ROW() - 37), "")</f>
        <v/>
      </c>
      <c r="D3944" s="4" t="str" cm="1">
        <f t="array" ref="D3944">IFERROR(INDEX(EmployeeData[Department], ROW() - 37), "")</f>
        <v/>
      </c>
      <c r="E3944" s="4" t="str" cm="1">
        <f t="array" ref="E3944">IFERROR(INDEX(EmployeeData[Gender], ROW() - 37), "")</f>
        <v/>
      </c>
      <c r="F3944" s="4" t="str" cm="1">
        <f t="array" ref="F3944">IFERROR(INDEX(EmployeeData[Age], ROW() - 37), "")</f>
        <v/>
      </c>
      <c r="G3944" s="6" t="str" cm="1">
        <f t="array" ref="G3944">IFERROR(INDEX(EmployeeData[Join Date], ROW() - 37), "")</f>
        <v/>
      </c>
      <c r="H3944" s="6" t="str" cm="1">
        <f t="array" ref="H3944">IFERROR(IF(INDEX(EmployeeData[Exit Date], ROW() - 37)=0, "",INDEX(EmployeeData[Exit Date], ROW() - 37)),"")</f>
        <v/>
      </c>
      <c r="I3944" s="4" t="str" cm="1">
        <f t="array" ref="I3944">IFERROR(IF(INDEX(EmployeeData[Exit Reason], ROW() - 37)=0, "",INDEX(EmployeeData[Exit Reason], ROW() - 37)),"")</f>
        <v/>
      </c>
      <c r="J3944" s="4" t="str" cm="1">
        <f t="array" ref="J3944">IFERROR(INDEX(EmployeeData[Status], ROW() - 37), "")</f>
        <v/>
      </c>
    </row>
    <row r="3945" spans="2:10" ht="19.95" customHeight="1" x14ac:dyDescent="0.3">
      <c r="B3945" s="4" t="str" cm="1">
        <f t="array" ref="B3945">IFERROR(INDEX(EmployeeData[Employee ID], ROW() - 37), "")</f>
        <v/>
      </c>
      <c r="C3945" s="4" t="str" cm="1">
        <f t="array" ref="C3945">IFERROR(INDEX(EmployeeData[Full Name], ROW() - 37), "")</f>
        <v/>
      </c>
      <c r="D3945" s="4" t="str" cm="1">
        <f t="array" ref="D3945">IFERROR(INDEX(EmployeeData[Department], ROW() - 37), "")</f>
        <v/>
      </c>
      <c r="E3945" s="4" t="str" cm="1">
        <f t="array" ref="E3945">IFERROR(INDEX(EmployeeData[Gender], ROW() - 37), "")</f>
        <v/>
      </c>
      <c r="F3945" s="4" t="str" cm="1">
        <f t="array" ref="F3945">IFERROR(INDEX(EmployeeData[Age], ROW() - 37), "")</f>
        <v/>
      </c>
      <c r="G3945" s="6" t="str" cm="1">
        <f t="array" ref="G3945">IFERROR(INDEX(EmployeeData[Join Date], ROW() - 37), "")</f>
        <v/>
      </c>
      <c r="H3945" s="6" t="str" cm="1">
        <f t="array" ref="H3945">IFERROR(IF(INDEX(EmployeeData[Exit Date], ROW() - 37)=0, "",INDEX(EmployeeData[Exit Date], ROW() - 37)),"")</f>
        <v/>
      </c>
      <c r="I3945" s="4" t="str" cm="1">
        <f t="array" ref="I3945">IFERROR(IF(INDEX(EmployeeData[Exit Reason], ROW() - 37)=0, "",INDEX(EmployeeData[Exit Reason], ROW() - 37)),"")</f>
        <v/>
      </c>
      <c r="J3945" s="4" t="str" cm="1">
        <f t="array" ref="J3945">IFERROR(INDEX(EmployeeData[Status], ROW() - 37), "")</f>
        <v/>
      </c>
    </row>
    <row r="3946" spans="2:10" ht="19.95" customHeight="1" x14ac:dyDescent="0.3">
      <c r="B3946" s="4" t="str" cm="1">
        <f t="array" ref="B3946">IFERROR(INDEX(EmployeeData[Employee ID], ROW() - 37), "")</f>
        <v/>
      </c>
      <c r="C3946" s="4" t="str" cm="1">
        <f t="array" ref="C3946">IFERROR(INDEX(EmployeeData[Full Name], ROW() - 37), "")</f>
        <v/>
      </c>
      <c r="D3946" s="4" t="str" cm="1">
        <f t="array" ref="D3946">IFERROR(INDEX(EmployeeData[Department], ROW() - 37), "")</f>
        <v/>
      </c>
      <c r="E3946" s="4" t="str" cm="1">
        <f t="array" ref="E3946">IFERROR(INDEX(EmployeeData[Gender], ROW() - 37), "")</f>
        <v/>
      </c>
      <c r="F3946" s="4" t="str" cm="1">
        <f t="array" ref="F3946">IFERROR(INDEX(EmployeeData[Age], ROW() - 37), "")</f>
        <v/>
      </c>
      <c r="G3946" s="6" t="str" cm="1">
        <f t="array" ref="G3946">IFERROR(INDEX(EmployeeData[Join Date], ROW() - 37), "")</f>
        <v/>
      </c>
      <c r="H3946" s="6" t="str" cm="1">
        <f t="array" ref="H3946">IFERROR(IF(INDEX(EmployeeData[Exit Date], ROW() - 37)=0, "",INDEX(EmployeeData[Exit Date], ROW() - 37)),"")</f>
        <v/>
      </c>
      <c r="I3946" s="4" t="str" cm="1">
        <f t="array" ref="I3946">IFERROR(IF(INDEX(EmployeeData[Exit Reason], ROW() - 37)=0, "",INDEX(EmployeeData[Exit Reason], ROW() - 37)),"")</f>
        <v/>
      </c>
      <c r="J3946" s="4" t="str" cm="1">
        <f t="array" ref="J3946">IFERROR(INDEX(EmployeeData[Status], ROW() - 37), "")</f>
        <v/>
      </c>
    </row>
    <row r="3947" spans="2:10" ht="19.95" customHeight="1" x14ac:dyDescent="0.3">
      <c r="B3947" s="4" t="str" cm="1">
        <f t="array" ref="B3947">IFERROR(INDEX(EmployeeData[Employee ID], ROW() - 37), "")</f>
        <v/>
      </c>
      <c r="C3947" s="4" t="str" cm="1">
        <f t="array" ref="C3947">IFERROR(INDEX(EmployeeData[Full Name], ROW() - 37), "")</f>
        <v/>
      </c>
      <c r="D3947" s="4" t="str" cm="1">
        <f t="array" ref="D3947">IFERROR(INDEX(EmployeeData[Department], ROW() - 37), "")</f>
        <v/>
      </c>
      <c r="E3947" s="4" t="str" cm="1">
        <f t="array" ref="E3947">IFERROR(INDEX(EmployeeData[Gender], ROW() - 37), "")</f>
        <v/>
      </c>
      <c r="F3947" s="4" t="str" cm="1">
        <f t="array" ref="F3947">IFERROR(INDEX(EmployeeData[Age], ROW() - 37), "")</f>
        <v/>
      </c>
      <c r="G3947" s="6" t="str" cm="1">
        <f t="array" ref="G3947">IFERROR(INDEX(EmployeeData[Join Date], ROW() - 37), "")</f>
        <v/>
      </c>
      <c r="H3947" s="6" t="str" cm="1">
        <f t="array" ref="H3947">IFERROR(IF(INDEX(EmployeeData[Exit Date], ROW() - 37)=0, "",INDEX(EmployeeData[Exit Date], ROW() - 37)),"")</f>
        <v/>
      </c>
      <c r="I3947" s="4" t="str" cm="1">
        <f t="array" ref="I3947">IFERROR(IF(INDEX(EmployeeData[Exit Reason], ROW() - 37)=0, "",INDEX(EmployeeData[Exit Reason], ROW() - 37)),"")</f>
        <v/>
      </c>
      <c r="J3947" s="4" t="str" cm="1">
        <f t="array" ref="J3947">IFERROR(INDEX(EmployeeData[Status], ROW() - 37), "")</f>
        <v/>
      </c>
    </row>
    <row r="3948" spans="2:10" ht="19.95" customHeight="1" x14ac:dyDescent="0.3">
      <c r="B3948" s="4" t="str" cm="1">
        <f t="array" ref="B3948">IFERROR(INDEX(EmployeeData[Employee ID], ROW() - 37), "")</f>
        <v/>
      </c>
      <c r="C3948" s="4" t="str" cm="1">
        <f t="array" ref="C3948">IFERROR(INDEX(EmployeeData[Full Name], ROW() - 37), "")</f>
        <v/>
      </c>
      <c r="D3948" s="4" t="str" cm="1">
        <f t="array" ref="D3948">IFERROR(INDEX(EmployeeData[Department], ROW() - 37), "")</f>
        <v/>
      </c>
      <c r="E3948" s="4" t="str" cm="1">
        <f t="array" ref="E3948">IFERROR(INDEX(EmployeeData[Gender], ROW() - 37), "")</f>
        <v/>
      </c>
      <c r="F3948" s="4" t="str" cm="1">
        <f t="array" ref="F3948">IFERROR(INDEX(EmployeeData[Age], ROW() - 37), "")</f>
        <v/>
      </c>
      <c r="G3948" s="6" t="str" cm="1">
        <f t="array" ref="G3948">IFERROR(INDEX(EmployeeData[Join Date], ROW() - 37), "")</f>
        <v/>
      </c>
      <c r="H3948" s="6" t="str" cm="1">
        <f t="array" ref="H3948">IFERROR(IF(INDEX(EmployeeData[Exit Date], ROW() - 37)=0, "",INDEX(EmployeeData[Exit Date], ROW() - 37)),"")</f>
        <v/>
      </c>
      <c r="I3948" s="4" t="str" cm="1">
        <f t="array" ref="I3948">IFERROR(IF(INDEX(EmployeeData[Exit Reason], ROW() - 37)=0, "",INDEX(EmployeeData[Exit Reason], ROW() - 37)),"")</f>
        <v/>
      </c>
      <c r="J3948" s="4" t="str" cm="1">
        <f t="array" ref="J3948">IFERROR(INDEX(EmployeeData[Status], ROW() - 37), "")</f>
        <v/>
      </c>
    </row>
    <row r="3949" spans="2:10" ht="19.95" customHeight="1" x14ac:dyDescent="0.3">
      <c r="B3949" s="4" t="str" cm="1">
        <f t="array" ref="B3949">IFERROR(INDEX(EmployeeData[Employee ID], ROW() - 37), "")</f>
        <v/>
      </c>
      <c r="C3949" s="4" t="str" cm="1">
        <f t="array" ref="C3949">IFERROR(INDEX(EmployeeData[Full Name], ROW() - 37), "")</f>
        <v/>
      </c>
      <c r="D3949" s="4" t="str" cm="1">
        <f t="array" ref="D3949">IFERROR(INDEX(EmployeeData[Department], ROW() - 37), "")</f>
        <v/>
      </c>
      <c r="E3949" s="4" t="str" cm="1">
        <f t="array" ref="E3949">IFERROR(INDEX(EmployeeData[Gender], ROW() - 37), "")</f>
        <v/>
      </c>
      <c r="F3949" s="4" t="str" cm="1">
        <f t="array" ref="F3949">IFERROR(INDEX(EmployeeData[Age], ROW() - 37), "")</f>
        <v/>
      </c>
      <c r="G3949" s="6" t="str" cm="1">
        <f t="array" ref="G3949">IFERROR(INDEX(EmployeeData[Join Date], ROW() - 37), "")</f>
        <v/>
      </c>
      <c r="H3949" s="6" t="str" cm="1">
        <f t="array" ref="H3949">IFERROR(IF(INDEX(EmployeeData[Exit Date], ROW() - 37)=0, "",INDEX(EmployeeData[Exit Date], ROW() - 37)),"")</f>
        <v/>
      </c>
      <c r="I3949" s="4" t="str" cm="1">
        <f t="array" ref="I3949">IFERROR(IF(INDEX(EmployeeData[Exit Reason], ROW() - 37)=0, "",INDEX(EmployeeData[Exit Reason], ROW() - 37)),"")</f>
        <v/>
      </c>
      <c r="J3949" s="4" t="str" cm="1">
        <f t="array" ref="J3949">IFERROR(INDEX(EmployeeData[Status], ROW() - 37), "")</f>
        <v/>
      </c>
    </row>
    <row r="3950" spans="2:10" ht="19.95" customHeight="1" x14ac:dyDescent="0.3">
      <c r="B3950" s="4" t="str" cm="1">
        <f t="array" ref="B3950">IFERROR(INDEX(EmployeeData[Employee ID], ROW() - 37), "")</f>
        <v/>
      </c>
      <c r="C3950" s="4" t="str" cm="1">
        <f t="array" ref="C3950">IFERROR(INDEX(EmployeeData[Full Name], ROW() - 37), "")</f>
        <v/>
      </c>
      <c r="D3950" s="4" t="str" cm="1">
        <f t="array" ref="D3950">IFERROR(INDEX(EmployeeData[Department], ROW() - 37), "")</f>
        <v/>
      </c>
      <c r="E3950" s="4" t="str" cm="1">
        <f t="array" ref="E3950">IFERROR(INDEX(EmployeeData[Gender], ROW() - 37), "")</f>
        <v/>
      </c>
      <c r="F3950" s="4" t="str" cm="1">
        <f t="array" ref="F3950">IFERROR(INDEX(EmployeeData[Age], ROW() - 37), "")</f>
        <v/>
      </c>
      <c r="G3950" s="6" t="str" cm="1">
        <f t="array" ref="G3950">IFERROR(INDEX(EmployeeData[Join Date], ROW() - 37), "")</f>
        <v/>
      </c>
      <c r="H3950" s="6" t="str" cm="1">
        <f t="array" ref="H3950">IFERROR(IF(INDEX(EmployeeData[Exit Date], ROW() - 37)=0, "",INDEX(EmployeeData[Exit Date], ROW() - 37)),"")</f>
        <v/>
      </c>
      <c r="I3950" s="4" t="str" cm="1">
        <f t="array" ref="I3950">IFERROR(IF(INDEX(EmployeeData[Exit Reason], ROW() - 37)=0, "",INDEX(EmployeeData[Exit Reason], ROW() - 37)),"")</f>
        <v/>
      </c>
      <c r="J3950" s="4" t="str" cm="1">
        <f t="array" ref="J3950">IFERROR(INDEX(EmployeeData[Status], ROW() - 37), "")</f>
        <v/>
      </c>
    </row>
    <row r="3951" spans="2:10" ht="19.95" customHeight="1" x14ac:dyDescent="0.3">
      <c r="B3951" s="4" t="str" cm="1">
        <f t="array" ref="B3951">IFERROR(INDEX(EmployeeData[Employee ID], ROW() - 37), "")</f>
        <v/>
      </c>
      <c r="C3951" s="4" t="str" cm="1">
        <f t="array" ref="C3951">IFERROR(INDEX(EmployeeData[Full Name], ROW() - 37), "")</f>
        <v/>
      </c>
      <c r="D3951" s="4" t="str" cm="1">
        <f t="array" ref="D3951">IFERROR(INDEX(EmployeeData[Department], ROW() - 37), "")</f>
        <v/>
      </c>
      <c r="E3951" s="4" t="str" cm="1">
        <f t="array" ref="E3951">IFERROR(INDEX(EmployeeData[Gender], ROW() - 37), "")</f>
        <v/>
      </c>
      <c r="F3951" s="4" t="str" cm="1">
        <f t="array" ref="F3951">IFERROR(INDEX(EmployeeData[Age], ROW() - 37), "")</f>
        <v/>
      </c>
      <c r="G3951" s="6" t="str" cm="1">
        <f t="array" ref="G3951">IFERROR(INDEX(EmployeeData[Join Date], ROW() - 37), "")</f>
        <v/>
      </c>
      <c r="H3951" s="6" t="str" cm="1">
        <f t="array" ref="H3951">IFERROR(IF(INDEX(EmployeeData[Exit Date], ROW() - 37)=0, "",INDEX(EmployeeData[Exit Date], ROW() - 37)),"")</f>
        <v/>
      </c>
      <c r="I3951" s="4" t="str" cm="1">
        <f t="array" ref="I3951">IFERROR(IF(INDEX(EmployeeData[Exit Reason], ROW() - 37)=0, "",INDEX(EmployeeData[Exit Reason], ROW() - 37)),"")</f>
        <v/>
      </c>
      <c r="J3951" s="4" t="str" cm="1">
        <f t="array" ref="J3951">IFERROR(INDEX(EmployeeData[Status], ROW() - 37), "")</f>
        <v/>
      </c>
    </row>
    <row r="3952" spans="2:10" ht="19.95" customHeight="1" x14ac:dyDescent="0.3">
      <c r="B3952" s="4" t="str" cm="1">
        <f t="array" ref="B3952">IFERROR(INDEX(EmployeeData[Employee ID], ROW() - 37), "")</f>
        <v/>
      </c>
      <c r="C3952" s="4" t="str" cm="1">
        <f t="array" ref="C3952">IFERROR(INDEX(EmployeeData[Full Name], ROW() - 37), "")</f>
        <v/>
      </c>
      <c r="D3952" s="4" t="str" cm="1">
        <f t="array" ref="D3952">IFERROR(INDEX(EmployeeData[Department], ROW() - 37), "")</f>
        <v/>
      </c>
      <c r="E3952" s="4" t="str" cm="1">
        <f t="array" ref="E3952">IFERROR(INDEX(EmployeeData[Gender], ROW() - 37), "")</f>
        <v/>
      </c>
      <c r="F3952" s="4" t="str" cm="1">
        <f t="array" ref="F3952">IFERROR(INDEX(EmployeeData[Age], ROW() - 37), "")</f>
        <v/>
      </c>
      <c r="G3952" s="6" t="str" cm="1">
        <f t="array" ref="G3952">IFERROR(INDEX(EmployeeData[Join Date], ROW() - 37), "")</f>
        <v/>
      </c>
      <c r="H3952" s="6" t="str" cm="1">
        <f t="array" ref="H3952">IFERROR(IF(INDEX(EmployeeData[Exit Date], ROW() - 37)=0, "",INDEX(EmployeeData[Exit Date], ROW() - 37)),"")</f>
        <v/>
      </c>
      <c r="I3952" s="4" t="str" cm="1">
        <f t="array" ref="I3952">IFERROR(IF(INDEX(EmployeeData[Exit Reason], ROW() - 37)=0, "",INDEX(EmployeeData[Exit Reason], ROW() - 37)),"")</f>
        <v/>
      </c>
      <c r="J3952" s="4" t="str" cm="1">
        <f t="array" ref="J3952">IFERROR(INDEX(EmployeeData[Status], ROW() - 37), "")</f>
        <v/>
      </c>
    </row>
    <row r="3953" spans="2:10" ht="19.95" customHeight="1" x14ac:dyDescent="0.3">
      <c r="B3953" s="4" t="str" cm="1">
        <f t="array" ref="B3953">IFERROR(INDEX(EmployeeData[Employee ID], ROW() - 37), "")</f>
        <v/>
      </c>
      <c r="C3953" s="4" t="str" cm="1">
        <f t="array" ref="C3953">IFERROR(INDEX(EmployeeData[Full Name], ROW() - 37), "")</f>
        <v/>
      </c>
      <c r="D3953" s="4" t="str" cm="1">
        <f t="array" ref="D3953">IFERROR(INDEX(EmployeeData[Department], ROW() - 37), "")</f>
        <v/>
      </c>
      <c r="E3953" s="4" t="str" cm="1">
        <f t="array" ref="E3953">IFERROR(INDEX(EmployeeData[Gender], ROW() - 37), "")</f>
        <v/>
      </c>
      <c r="F3953" s="4" t="str" cm="1">
        <f t="array" ref="F3953">IFERROR(INDEX(EmployeeData[Age], ROW() - 37), "")</f>
        <v/>
      </c>
      <c r="G3953" s="6" t="str" cm="1">
        <f t="array" ref="G3953">IFERROR(INDEX(EmployeeData[Join Date], ROW() - 37), "")</f>
        <v/>
      </c>
      <c r="H3953" s="6" t="str" cm="1">
        <f t="array" ref="H3953">IFERROR(IF(INDEX(EmployeeData[Exit Date], ROW() - 37)=0, "",INDEX(EmployeeData[Exit Date], ROW() - 37)),"")</f>
        <v/>
      </c>
      <c r="I3953" s="4" t="str" cm="1">
        <f t="array" ref="I3953">IFERROR(IF(INDEX(EmployeeData[Exit Reason], ROW() - 37)=0, "",INDEX(EmployeeData[Exit Reason], ROW() - 37)),"")</f>
        <v/>
      </c>
      <c r="J3953" s="4" t="str" cm="1">
        <f t="array" ref="J3953">IFERROR(INDEX(EmployeeData[Status], ROW() - 37), "")</f>
        <v/>
      </c>
    </row>
    <row r="3954" spans="2:10" ht="19.95" customHeight="1" x14ac:dyDescent="0.3">
      <c r="B3954" s="4" t="str" cm="1">
        <f t="array" ref="B3954">IFERROR(INDEX(EmployeeData[Employee ID], ROW() - 37), "")</f>
        <v/>
      </c>
      <c r="C3954" s="4" t="str" cm="1">
        <f t="array" ref="C3954">IFERROR(INDEX(EmployeeData[Full Name], ROW() - 37), "")</f>
        <v/>
      </c>
      <c r="D3954" s="4" t="str" cm="1">
        <f t="array" ref="D3954">IFERROR(INDEX(EmployeeData[Department], ROW() - 37), "")</f>
        <v/>
      </c>
      <c r="E3954" s="4" t="str" cm="1">
        <f t="array" ref="E3954">IFERROR(INDEX(EmployeeData[Gender], ROW() - 37), "")</f>
        <v/>
      </c>
      <c r="F3954" s="4" t="str" cm="1">
        <f t="array" ref="F3954">IFERROR(INDEX(EmployeeData[Age], ROW() - 37), "")</f>
        <v/>
      </c>
      <c r="G3954" s="6" t="str" cm="1">
        <f t="array" ref="G3954">IFERROR(INDEX(EmployeeData[Join Date], ROW() - 37), "")</f>
        <v/>
      </c>
      <c r="H3954" s="6" t="str" cm="1">
        <f t="array" ref="H3954">IFERROR(IF(INDEX(EmployeeData[Exit Date], ROW() - 37)=0, "",INDEX(EmployeeData[Exit Date], ROW() - 37)),"")</f>
        <v/>
      </c>
      <c r="I3954" s="4" t="str" cm="1">
        <f t="array" ref="I3954">IFERROR(IF(INDEX(EmployeeData[Exit Reason], ROW() - 37)=0, "",INDEX(EmployeeData[Exit Reason], ROW() - 37)),"")</f>
        <v/>
      </c>
      <c r="J3954" s="4" t="str" cm="1">
        <f t="array" ref="J3954">IFERROR(INDEX(EmployeeData[Status], ROW() - 37), "")</f>
        <v/>
      </c>
    </row>
    <row r="3955" spans="2:10" ht="19.95" customHeight="1" x14ac:dyDescent="0.3">
      <c r="B3955" s="4" t="str" cm="1">
        <f t="array" ref="B3955">IFERROR(INDEX(EmployeeData[Employee ID], ROW() - 37), "")</f>
        <v/>
      </c>
      <c r="C3955" s="4" t="str" cm="1">
        <f t="array" ref="C3955">IFERROR(INDEX(EmployeeData[Full Name], ROW() - 37), "")</f>
        <v/>
      </c>
      <c r="D3955" s="4" t="str" cm="1">
        <f t="array" ref="D3955">IFERROR(INDEX(EmployeeData[Department], ROW() - 37), "")</f>
        <v/>
      </c>
      <c r="E3955" s="4" t="str" cm="1">
        <f t="array" ref="E3955">IFERROR(INDEX(EmployeeData[Gender], ROW() - 37), "")</f>
        <v/>
      </c>
      <c r="F3955" s="4" t="str" cm="1">
        <f t="array" ref="F3955">IFERROR(INDEX(EmployeeData[Age], ROW() - 37), "")</f>
        <v/>
      </c>
      <c r="G3955" s="6" t="str" cm="1">
        <f t="array" ref="G3955">IFERROR(INDEX(EmployeeData[Join Date], ROW() - 37), "")</f>
        <v/>
      </c>
      <c r="H3955" s="6" t="str" cm="1">
        <f t="array" ref="H3955">IFERROR(IF(INDEX(EmployeeData[Exit Date], ROW() - 37)=0, "",INDEX(EmployeeData[Exit Date], ROW() - 37)),"")</f>
        <v/>
      </c>
      <c r="I3955" s="4" t="str" cm="1">
        <f t="array" ref="I3955">IFERROR(IF(INDEX(EmployeeData[Exit Reason], ROW() - 37)=0, "",INDEX(EmployeeData[Exit Reason], ROW() - 37)),"")</f>
        <v/>
      </c>
      <c r="J3955" s="4" t="str" cm="1">
        <f t="array" ref="J3955">IFERROR(INDEX(EmployeeData[Status], ROW() - 37), "")</f>
        <v/>
      </c>
    </row>
    <row r="3956" spans="2:10" ht="19.95" customHeight="1" x14ac:dyDescent="0.3">
      <c r="B3956" s="4" t="str" cm="1">
        <f t="array" ref="B3956">IFERROR(INDEX(EmployeeData[Employee ID], ROW() - 37), "")</f>
        <v/>
      </c>
      <c r="C3956" s="4" t="str" cm="1">
        <f t="array" ref="C3956">IFERROR(INDEX(EmployeeData[Full Name], ROW() - 37), "")</f>
        <v/>
      </c>
      <c r="D3956" s="4" t="str" cm="1">
        <f t="array" ref="D3956">IFERROR(INDEX(EmployeeData[Department], ROW() - 37), "")</f>
        <v/>
      </c>
      <c r="E3956" s="4" t="str" cm="1">
        <f t="array" ref="E3956">IFERROR(INDEX(EmployeeData[Gender], ROW() - 37), "")</f>
        <v/>
      </c>
      <c r="F3956" s="4" t="str" cm="1">
        <f t="array" ref="F3956">IFERROR(INDEX(EmployeeData[Age], ROW() - 37), "")</f>
        <v/>
      </c>
      <c r="G3956" s="6" t="str" cm="1">
        <f t="array" ref="G3956">IFERROR(INDEX(EmployeeData[Join Date], ROW() - 37), "")</f>
        <v/>
      </c>
      <c r="H3956" s="6" t="str" cm="1">
        <f t="array" ref="H3956">IFERROR(IF(INDEX(EmployeeData[Exit Date], ROW() - 37)=0, "",INDEX(EmployeeData[Exit Date], ROW() - 37)),"")</f>
        <v/>
      </c>
      <c r="I3956" s="4" t="str" cm="1">
        <f t="array" ref="I3956">IFERROR(IF(INDEX(EmployeeData[Exit Reason], ROW() - 37)=0, "",INDEX(EmployeeData[Exit Reason], ROW() - 37)),"")</f>
        <v/>
      </c>
      <c r="J3956" s="4" t="str" cm="1">
        <f t="array" ref="J3956">IFERROR(INDEX(EmployeeData[Status], ROW() - 37), "")</f>
        <v/>
      </c>
    </row>
    <row r="3957" spans="2:10" ht="19.95" customHeight="1" x14ac:dyDescent="0.3">
      <c r="B3957" s="4" t="str" cm="1">
        <f t="array" ref="B3957">IFERROR(INDEX(EmployeeData[Employee ID], ROW() - 37), "")</f>
        <v/>
      </c>
      <c r="C3957" s="4" t="str" cm="1">
        <f t="array" ref="C3957">IFERROR(INDEX(EmployeeData[Full Name], ROW() - 37), "")</f>
        <v/>
      </c>
      <c r="D3957" s="4" t="str" cm="1">
        <f t="array" ref="D3957">IFERROR(INDEX(EmployeeData[Department], ROW() - 37), "")</f>
        <v/>
      </c>
      <c r="E3957" s="4" t="str" cm="1">
        <f t="array" ref="E3957">IFERROR(INDEX(EmployeeData[Gender], ROW() - 37), "")</f>
        <v/>
      </c>
      <c r="F3957" s="4" t="str" cm="1">
        <f t="array" ref="F3957">IFERROR(INDEX(EmployeeData[Age], ROW() - 37), "")</f>
        <v/>
      </c>
      <c r="G3957" s="6" t="str" cm="1">
        <f t="array" ref="G3957">IFERROR(INDEX(EmployeeData[Join Date], ROW() - 37), "")</f>
        <v/>
      </c>
      <c r="H3957" s="6" t="str" cm="1">
        <f t="array" ref="H3957">IFERROR(IF(INDEX(EmployeeData[Exit Date], ROW() - 37)=0, "",INDEX(EmployeeData[Exit Date], ROW() - 37)),"")</f>
        <v/>
      </c>
      <c r="I3957" s="4" t="str" cm="1">
        <f t="array" ref="I3957">IFERROR(IF(INDEX(EmployeeData[Exit Reason], ROW() - 37)=0, "",INDEX(EmployeeData[Exit Reason], ROW() - 37)),"")</f>
        <v/>
      </c>
      <c r="J3957" s="4" t="str" cm="1">
        <f t="array" ref="J3957">IFERROR(INDEX(EmployeeData[Status], ROW() - 37), "")</f>
        <v/>
      </c>
    </row>
    <row r="3958" spans="2:10" ht="19.95" customHeight="1" x14ac:dyDescent="0.3">
      <c r="B3958" s="4" t="str" cm="1">
        <f t="array" ref="B3958">IFERROR(INDEX(EmployeeData[Employee ID], ROW() - 37), "")</f>
        <v/>
      </c>
      <c r="C3958" s="4" t="str" cm="1">
        <f t="array" ref="C3958">IFERROR(INDEX(EmployeeData[Full Name], ROW() - 37), "")</f>
        <v/>
      </c>
      <c r="D3958" s="4" t="str" cm="1">
        <f t="array" ref="D3958">IFERROR(INDEX(EmployeeData[Department], ROW() - 37), "")</f>
        <v/>
      </c>
      <c r="E3958" s="4" t="str" cm="1">
        <f t="array" ref="E3958">IFERROR(INDEX(EmployeeData[Gender], ROW() - 37), "")</f>
        <v/>
      </c>
      <c r="F3958" s="4" t="str" cm="1">
        <f t="array" ref="F3958">IFERROR(INDEX(EmployeeData[Age], ROW() - 37), "")</f>
        <v/>
      </c>
      <c r="G3958" s="6" t="str" cm="1">
        <f t="array" ref="G3958">IFERROR(INDEX(EmployeeData[Join Date], ROW() - 37), "")</f>
        <v/>
      </c>
      <c r="H3958" s="6" t="str" cm="1">
        <f t="array" ref="H3958">IFERROR(IF(INDEX(EmployeeData[Exit Date], ROW() - 37)=0, "",INDEX(EmployeeData[Exit Date], ROW() - 37)),"")</f>
        <v/>
      </c>
      <c r="I3958" s="4" t="str" cm="1">
        <f t="array" ref="I3958">IFERROR(IF(INDEX(EmployeeData[Exit Reason], ROW() - 37)=0, "",INDEX(EmployeeData[Exit Reason], ROW() - 37)),"")</f>
        <v/>
      </c>
      <c r="J3958" s="4" t="str" cm="1">
        <f t="array" ref="J3958">IFERROR(INDEX(EmployeeData[Status], ROW() - 37), "")</f>
        <v/>
      </c>
    </row>
    <row r="3959" spans="2:10" ht="19.95" customHeight="1" x14ac:dyDescent="0.3">
      <c r="B3959" s="4" t="str" cm="1">
        <f t="array" ref="B3959">IFERROR(INDEX(EmployeeData[Employee ID], ROW() - 37), "")</f>
        <v/>
      </c>
      <c r="C3959" s="4" t="str" cm="1">
        <f t="array" ref="C3959">IFERROR(INDEX(EmployeeData[Full Name], ROW() - 37), "")</f>
        <v/>
      </c>
      <c r="D3959" s="4" t="str" cm="1">
        <f t="array" ref="D3959">IFERROR(INDEX(EmployeeData[Department], ROW() - 37), "")</f>
        <v/>
      </c>
      <c r="E3959" s="4" t="str" cm="1">
        <f t="array" ref="E3959">IFERROR(INDEX(EmployeeData[Gender], ROW() - 37), "")</f>
        <v/>
      </c>
      <c r="F3959" s="4" t="str" cm="1">
        <f t="array" ref="F3959">IFERROR(INDEX(EmployeeData[Age], ROW() - 37), "")</f>
        <v/>
      </c>
      <c r="G3959" s="6" t="str" cm="1">
        <f t="array" ref="G3959">IFERROR(INDEX(EmployeeData[Join Date], ROW() - 37), "")</f>
        <v/>
      </c>
      <c r="H3959" s="6" t="str" cm="1">
        <f t="array" ref="H3959">IFERROR(IF(INDEX(EmployeeData[Exit Date], ROW() - 37)=0, "",INDEX(EmployeeData[Exit Date], ROW() - 37)),"")</f>
        <v/>
      </c>
      <c r="I3959" s="4" t="str" cm="1">
        <f t="array" ref="I3959">IFERROR(IF(INDEX(EmployeeData[Exit Reason], ROW() - 37)=0, "",INDEX(EmployeeData[Exit Reason], ROW() - 37)),"")</f>
        <v/>
      </c>
      <c r="J3959" s="4" t="str" cm="1">
        <f t="array" ref="J3959">IFERROR(INDEX(EmployeeData[Status], ROW() - 37), "")</f>
        <v/>
      </c>
    </row>
    <row r="3960" spans="2:10" ht="19.95" customHeight="1" x14ac:dyDescent="0.3">
      <c r="B3960" s="4" t="str" cm="1">
        <f t="array" ref="B3960">IFERROR(INDEX(EmployeeData[Employee ID], ROW() - 37), "")</f>
        <v/>
      </c>
      <c r="C3960" s="4" t="str" cm="1">
        <f t="array" ref="C3960">IFERROR(INDEX(EmployeeData[Full Name], ROW() - 37), "")</f>
        <v/>
      </c>
      <c r="D3960" s="4" t="str" cm="1">
        <f t="array" ref="D3960">IFERROR(INDEX(EmployeeData[Department], ROW() - 37), "")</f>
        <v/>
      </c>
      <c r="E3960" s="4" t="str" cm="1">
        <f t="array" ref="E3960">IFERROR(INDEX(EmployeeData[Gender], ROW() - 37), "")</f>
        <v/>
      </c>
      <c r="F3960" s="4" t="str" cm="1">
        <f t="array" ref="F3960">IFERROR(INDEX(EmployeeData[Age], ROW() - 37), "")</f>
        <v/>
      </c>
      <c r="G3960" s="6" t="str" cm="1">
        <f t="array" ref="G3960">IFERROR(INDEX(EmployeeData[Join Date], ROW() - 37), "")</f>
        <v/>
      </c>
      <c r="H3960" s="6" t="str" cm="1">
        <f t="array" ref="H3960">IFERROR(IF(INDEX(EmployeeData[Exit Date], ROW() - 37)=0, "",INDEX(EmployeeData[Exit Date], ROW() - 37)),"")</f>
        <v/>
      </c>
      <c r="I3960" s="4" t="str" cm="1">
        <f t="array" ref="I3960">IFERROR(IF(INDEX(EmployeeData[Exit Reason], ROW() - 37)=0, "",INDEX(EmployeeData[Exit Reason], ROW() - 37)),"")</f>
        <v/>
      </c>
      <c r="J3960" s="4" t="str" cm="1">
        <f t="array" ref="J3960">IFERROR(INDEX(EmployeeData[Status], ROW() - 37), "")</f>
        <v/>
      </c>
    </row>
    <row r="3961" spans="2:10" ht="19.95" customHeight="1" x14ac:dyDescent="0.3">
      <c r="B3961" s="4" t="str" cm="1">
        <f t="array" ref="B3961">IFERROR(INDEX(EmployeeData[Employee ID], ROW() - 37), "")</f>
        <v/>
      </c>
      <c r="C3961" s="4" t="str" cm="1">
        <f t="array" ref="C3961">IFERROR(INDEX(EmployeeData[Full Name], ROW() - 37), "")</f>
        <v/>
      </c>
      <c r="D3961" s="4" t="str" cm="1">
        <f t="array" ref="D3961">IFERROR(INDEX(EmployeeData[Department], ROW() - 37), "")</f>
        <v/>
      </c>
      <c r="E3961" s="4" t="str" cm="1">
        <f t="array" ref="E3961">IFERROR(INDEX(EmployeeData[Gender], ROW() - 37), "")</f>
        <v/>
      </c>
      <c r="F3961" s="4" t="str" cm="1">
        <f t="array" ref="F3961">IFERROR(INDEX(EmployeeData[Age], ROW() - 37), "")</f>
        <v/>
      </c>
      <c r="G3961" s="6" t="str" cm="1">
        <f t="array" ref="G3961">IFERROR(INDEX(EmployeeData[Join Date], ROW() - 37), "")</f>
        <v/>
      </c>
      <c r="H3961" s="6" t="str" cm="1">
        <f t="array" ref="H3961">IFERROR(IF(INDEX(EmployeeData[Exit Date], ROW() - 37)=0, "",INDEX(EmployeeData[Exit Date], ROW() - 37)),"")</f>
        <v/>
      </c>
      <c r="I3961" s="4" t="str" cm="1">
        <f t="array" ref="I3961">IFERROR(IF(INDEX(EmployeeData[Exit Reason], ROW() - 37)=0, "",INDEX(EmployeeData[Exit Reason], ROW() - 37)),"")</f>
        <v/>
      </c>
      <c r="J3961" s="4" t="str" cm="1">
        <f t="array" ref="J3961">IFERROR(INDEX(EmployeeData[Status], ROW() - 37), "")</f>
        <v/>
      </c>
    </row>
    <row r="3962" spans="2:10" ht="19.95" customHeight="1" x14ac:dyDescent="0.3">
      <c r="B3962" s="4" t="str" cm="1">
        <f t="array" ref="B3962">IFERROR(INDEX(EmployeeData[Employee ID], ROW() - 37), "")</f>
        <v/>
      </c>
      <c r="C3962" s="4" t="str" cm="1">
        <f t="array" ref="C3962">IFERROR(INDEX(EmployeeData[Full Name], ROW() - 37), "")</f>
        <v/>
      </c>
      <c r="D3962" s="4" t="str" cm="1">
        <f t="array" ref="D3962">IFERROR(INDEX(EmployeeData[Department], ROW() - 37), "")</f>
        <v/>
      </c>
      <c r="E3962" s="4" t="str" cm="1">
        <f t="array" ref="E3962">IFERROR(INDEX(EmployeeData[Gender], ROW() - 37), "")</f>
        <v/>
      </c>
      <c r="F3962" s="4" t="str" cm="1">
        <f t="array" ref="F3962">IFERROR(INDEX(EmployeeData[Age], ROW() - 37), "")</f>
        <v/>
      </c>
      <c r="G3962" s="6" t="str" cm="1">
        <f t="array" ref="G3962">IFERROR(INDEX(EmployeeData[Join Date], ROW() - 37), "")</f>
        <v/>
      </c>
      <c r="H3962" s="6" t="str" cm="1">
        <f t="array" ref="H3962">IFERROR(IF(INDEX(EmployeeData[Exit Date], ROW() - 37)=0, "",INDEX(EmployeeData[Exit Date], ROW() - 37)),"")</f>
        <v/>
      </c>
      <c r="I3962" s="4" t="str" cm="1">
        <f t="array" ref="I3962">IFERROR(IF(INDEX(EmployeeData[Exit Reason], ROW() - 37)=0, "",INDEX(EmployeeData[Exit Reason], ROW() - 37)),"")</f>
        <v/>
      </c>
      <c r="J3962" s="4" t="str" cm="1">
        <f t="array" ref="J3962">IFERROR(INDEX(EmployeeData[Status], ROW() - 37), "")</f>
        <v/>
      </c>
    </row>
    <row r="3963" spans="2:10" ht="19.95" customHeight="1" x14ac:dyDescent="0.3">
      <c r="B3963" s="4" t="str" cm="1">
        <f t="array" ref="B3963">IFERROR(INDEX(EmployeeData[Employee ID], ROW() - 37), "")</f>
        <v/>
      </c>
      <c r="C3963" s="4" t="str" cm="1">
        <f t="array" ref="C3963">IFERROR(INDEX(EmployeeData[Full Name], ROW() - 37), "")</f>
        <v/>
      </c>
      <c r="D3963" s="4" t="str" cm="1">
        <f t="array" ref="D3963">IFERROR(INDEX(EmployeeData[Department], ROW() - 37), "")</f>
        <v/>
      </c>
      <c r="E3963" s="4" t="str" cm="1">
        <f t="array" ref="E3963">IFERROR(INDEX(EmployeeData[Gender], ROW() - 37), "")</f>
        <v/>
      </c>
      <c r="F3963" s="4" t="str" cm="1">
        <f t="array" ref="F3963">IFERROR(INDEX(EmployeeData[Age], ROW() - 37), "")</f>
        <v/>
      </c>
      <c r="G3963" s="6" t="str" cm="1">
        <f t="array" ref="G3963">IFERROR(INDEX(EmployeeData[Join Date], ROW() - 37), "")</f>
        <v/>
      </c>
      <c r="H3963" s="6" t="str" cm="1">
        <f t="array" ref="H3963">IFERROR(IF(INDEX(EmployeeData[Exit Date], ROW() - 37)=0, "",INDEX(EmployeeData[Exit Date], ROW() - 37)),"")</f>
        <v/>
      </c>
      <c r="I3963" s="4" t="str" cm="1">
        <f t="array" ref="I3963">IFERROR(IF(INDEX(EmployeeData[Exit Reason], ROW() - 37)=0, "",INDEX(EmployeeData[Exit Reason], ROW() - 37)),"")</f>
        <v/>
      </c>
      <c r="J3963" s="4" t="str" cm="1">
        <f t="array" ref="J3963">IFERROR(INDEX(EmployeeData[Status], ROW() - 37), "")</f>
        <v/>
      </c>
    </row>
    <row r="3964" spans="2:10" ht="19.95" customHeight="1" x14ac:dyDescent="0.3">
      <c r="B3964" s="4" t="str" cm="1">
        <f t="array" ref="B3964">IFERROR(INDEX(EmployeeData[Employee ID], ROW() - 37), "")</f>
        <v/>
      </c>
      <c r="C3964" s="4" t="str" cm="1">
        <f t="array" ref="C3964">IFERROR(INDEX(EmployeeData[Full Name], ROW() - 37), "")</f>
        <v/>
      </c>
      <c r="D3964" s="4" t="str" cm="1">
        <f t="array" ref="D3964">IFERROR(INDEX(EmployeeData[Department], ROW() - 37), "")</f>
        <v/>
      </c>
      <c r="E3964" s="4" t="str" cm="1">
        <f t="array" ref="E3964">IFERROR(INDEX(EmployeeData[Gender], ROW() - 37), "")</f>
        <v/>
      </c>
      <c r="F3964" s="4" t="str" cm="1">
        <f t="array" ref="F3964">IFERROR(INDEX(EmployeeData[Age], ROW() - 37), "")</f>
        <v/>
      </c>
      <c r="G3964" s="6" t="str" cm="1">
        <f t="array" ref="G3964">IFERROR(INDEX(EmployeeData[Join Date], ROW() - 37), "")</f>
        <v/>
      </c>
      <c r="H3964" s="6" t="str" cm="1">
        <f t="array" ref="H3964">IFERROR(IF(INDEX(EmployeeData[Exit Date], ROW() - 37)=0, "",INDEX(EmployeeData[Exit Date], ROW() - 37)),"")</f>
        <v/>
      </c>
      <c r="I3964" s="4" t="str" cm="1">
        <f t="array" ref="I3964">IFERROR(IF(INDEX(EmployeeData[Exit Reason], ROW() - 37)=0, "",INDEX(EmployeeData[Exit Reason], ROW() - 37)),"")</f>
        <v/>
      </c>
      <c r="J3964" s="4" t="str" cm="1">
        <f t="array" ref="J3964">IFERROR(INDEX(EmployeeData[Status], ROW() - 37), "")</f>
        <v/>
      </c>
    </row>
    <row r="3965" spans="2:10" ht="19.95" customHeight="1" x14ac:dyDescent="0.3">
      <c r="B3965" s="4" t="str" cm="1">
        <f t="array" ref="B3965">IFERROR(INDEX(EmployeeData[Employee ID], ROW() - 37), "")</f>
        <v/>
      </c>
      <c r="C3965" s="4" t="str" cm="1">
        <f t="array" ref="C3965">IFERROR(INDEX(EmployeeData[Full Name], ROW() - 37), "")</f>
        <v/>
      </c>
      <c r="D3965" s="4" t="str" cm="1">
        <f t="array" ref="D3965">IFERROR(INDEX(EmployeeData[Department], ROW() - 37), "")</f>
        <v/>
      </c>
      <c r="E3965" s="4" t="str" cm="1">
        <f t="array" ref="E3965">IFERROR(INDEX(EmployeeData[Gender], ROW() - 37), "")</f>
        <v/>
      </c>
      <c r="F3965" s="4" t="str" cm="1">
        <f t="array" ref="F3965">IFERROR(INDEX(EmployeeData[Age], ROW() - 37), "")</f>
        <v/>
      </c>
      <c r="G3965" s="6" t="str" cm="1">
        <f t="array" ref="G3965">IFERROR(INDEX(EmployeeData[Join Date], ROW() - 37), "")</f>
        <v/>
      </c>
      <c r="H3965" s="6" t="str" cm="1">
        <f t="array" ref="H3965">IFERROR(IF(INDEX(EmployeeData[Exit Date], ROW() - 37)=0, "",INDEX(EmployeeData[Exit Date], ROW() - 37)),"")</f>
        <v/>
      </c>
      <c r="I3965" s="4" t="str" cm="1">
        <f t="array" ref="I3965">IFERROR(IF(INDEX(EmployeeData[Exit Reason], ROW() - 37)=0, "",INDEX(EmployeeData[Exit Reason], ROW() - 37)),"")</f>
        <v/>
      </c>
      <c r="J3965" s="4" t="str" cm="1">
        <f t="array" ref="J3965">IFERROR(INDEX(EmployeeData[Status], ROW() - 37), "")</f>
        <v/>
      </c>
    </row>
    <row r="3966" spans="2:10" ht="19.95" customHeight="1" x14ac:dyDescent="0.3">
      <c r="B3966" s="4" t="str" cm="1">
        <f t="array" ref="B3966">IFERROR(INDEX(EmployeeData[Employee ID], ROW() - 37), "")</f>
        <v/>
      </c>
      <c r="C3966" s="4" t="str" cm="1">
        <f t="array" ref="C3966">IFERROR(INDEX(EmployeeData[Full Name], ROW() - 37), "")</f>
        <v/>
      </c>
      <c r="D3966" s="4" t="str" cm="1">
        <f t="array" ref="D3966">IFERROR(INDEX(EmployeeData[Department], ROW() - 37), "")</f>
        <v/>
      </c>
      <c r="E3966" s="4" t="str" cm="1">
        <f t="array" ref="E3966">IFERROR(INDEX(EmployeeData[Gender], ROW() - 37), "")</f>
        <v/>
      </c>
      <c r="F3966" s="4" t="str" cm="1">
        <f t="array" ref="F3966">IFERROR(INDEX(EmployeeData[Age], ROW() - 37), "")</f>
        <v/>
      </c>
      <c r="G3966" s="6" t="str" cm="1">
        <f t="array" ref="G3966">IFERROR(INDEX(EmployeeData[Join Date], ROW() - 37), "")</f>
        <v/>
      </c>
      <c r="H3966" s="6" t="str" cm="1">
        <f t="array" ref="H3966">IFERROR(IF(INDEX(EmployeeData[Exit Date], ROW() - 37)=0, "",INDEX(EmployeeData[Exit Date], ROW() - 37)),"")</f>
        <v/>
      </c>
      <c r="I3966" s="4" t="str" cm="1">
        <f t="array" ref="I3966">IFERROR(IF(INDEX(EmployeeData[Exit Reason], ROW() - 37)=0, "",INDEX(EmployeeData[Exit Reason], ROW() - 37)),"")</f>
        <v/>
      </c>
      <c r="J3966" s="4" t="str" cm="1">
        <f t="array" ref="J3966">IFERROR(INDEX(EmployeeData[Status], ROW() - 37), "")</f>
        <v/>
      </c>
    </row>
    <row r="3967" spans="2:10" ht="19.95" customHeight="1" x14ac:dyDescent="0.3">
      <c r="B3967" s="4" t="str" cm="1">
        <f t="array" ref="B3967">IFERROR(INDEX(EmployeeData[Employee ID], ROW() - 37), "")</f>
        <v/>
      </c>
      <c r="C3967" s="4" t="str" cm="1">
        <f t="array" ref="C3967">IFERROR(INDEX(EmployeeData[Full Name], ROW() - 37), "")</f>
        <v/>
      </c>
      <c r="D3967" s="4" t="str" cm="1">
        <f t="array" ref="D3967">IFERROR(INDEX(EmployeeData[Department], ROW() - 37), "")</f>
        <v/>
      </c>
      <c r="E3967" s="4" t="str" cm="1">
        <f t="array" ref="E3967">IFERROR(INDEX(EmployeeData[Gender], ROW() - 37), "")</f>
        <v/>
      </c>
      <c r="F3967" s="4" t="str" cm="1">
        <f t="array" ref="F3967">IFERROR(INDEX(EmployeeData[Age], ROW() - 37), "")</f>
        <v/>
      </c>
      <c r="G3967" s="6" t="str" cm="1">
        <f t="array" ref="G3967">IFERROR(INDEX(EmployeeData[Join Date], ROW() - 37), "")</f>
        <v/>
      </c>
      <c r="H3967" s="6" t="str" cm="1">
        <f t="array" ref="H3967">IFERROR(IF(INDEX(EmployeeData[Exit Date], ROW() - 37)=0, "",INDEX(EmployeeData[Exit Date], ROW() - 37)),"")</f>
        <v/>
      </c>
      <c r="I3967" s="4" t="str" cm="1">
        <f t="array" ref="I3967">IFERROR(IF(INDEX(EmployeeData[Exit Reason], ROW() - 37)=0, "",INDEX(EmployeeData[Exit Reason], ROW() - 37)),"")</f>
        <v/>
      </c>
      <c r="J3967" s="4" t="str" cm="1">
        <f t="array" ref="J3967">IFERROR(INDEX(EmployeeData[Status], ROW() - 37), "")</f>
        <v/>
      </c>
    </row>
    <row r="3968" spans="2:10" ht="19.95" customHeight="1" x14ac:dyDescent="0.3">
      <c r="B3968" s="4" t="str" cm="1">
        <f t="array" ref="B3968">IFERROR(INDEX(EmployeeData[Employee ID], ROW() - 37), "")</f>
        <v/>
      </c>
      <c r="C3968" s="4" t="str" cm="1">
        <f t="array" ref="C3968">IFERROR(INDEX(EmployeeData[Full Name], ROW() - 37), "")</f>
        <v/>
      </c>
      <c r="D3968" s="4" t="str" cm="1">
        <f t="array" ref="D3968">IFERROR(INDEX(EmployeeData[Department], ROW() - 37), "")</f>
        <v/>
      </c>
      <c r="E3968" s="4" t="str" cm="1">
        <f t="array" ref="E3968">IFERROR(INDEX(EmployeeData[Gender], ROW() - 37), "")</f>
        <v/>
      </c>
      <c r="F3968" s="4" t="str" cm="1">
        <f t="array" ref="F3968">IFERROR(INDEX(EmployeeData[Age], ROW() - 37), "")</f>
        <v/>
      </c>
      <c r="G3968" s="6" t="str" cm="1">
        <f t="array" ref="G3968">IFERROR(INDEX(EmployeeData[Join Date], ROW() - 37), "")</f>
        <v/>
      </c>
      <c r="H3968" s="6" t="str" cm="1">
        <f t="array" ref="H3968">IFERROR(IF(INDEX(EmployeeData[Exit Date], ROW() - 37)=0, "",INDEX(EmployeeData[Exit Date], ROW() - 37)),"")</f>
        <v/>
      </c>
      <c r="I3968" s="4" t="str" cm="1">
        <f t="array" ref="I3968">IFERROR(IF(INDEX(EmployeeData[Exit Reason], ROW() - 37)=0, "",INDEX(EmployeeData[Exit Reason], ROW() - 37)),"")</f>
        <v/>
      </c>
      <c r="J3968" s="4" t="str" cm="1">
        <f t="array" ref="J3968">IFERROR(INDEX(EmployeeData[Status], ROW() - 37), "")</f>
        <v/>
      </c>
    </row>
    <row r="3969" spans="2:10" ht="19.95" customHeight="1" x14ac:dyDescent="0.3">
      <c r="B3969" s="4" t="str" cm="1">
        <f t="array" ref="B3969">IFERROR(INDEX(EmployeeData[Employee ID], ROW() - 37), "")</f>
        <v/>
      </c>
      <c r="C3969" s="4" t="str" cm="1">
        <f t="array" ref="C3969">IFERROR(INDEX(EmployeeData[Full Name], ROW() - 37), "")</f>
        <v/>
      </c>
      <c r="D3969" s="4" t="str" cm="1">
        <f t="array" ref="D3969">IFERROR(INDEX(EmployeeData[Department], ROW() - 37), "")</f>
        <v/>
      </c>
      <c r="E3969" s="4" t="str" cm="1">
        <f t="array" ref="E3969">IFERROR(INDEX(EmployeeData[Gender], ROW() - 37), "")</f>
        <v/>
      </c>
      <c r="F3969" s="4" t="str" cm="1">
        <f t="array" ref="F3969">IFERROR(INDEX(EmployeeData[Age], ROW() - 37), "")</f>
        <v/>
      </c>
      <c r="G3969" s="6" t="str" cm="1">
        <f t="array" ref="G3969">IFERROR(INDEX(EmployeeData[Join Date], ROW() - 37), "")</f>
        <v/>
      </c>
      <c r="H3969" s="6" t="str" cm="1">
        <f t="array" ref="H3969">IFERROR(IF(INDEX(EmployeeData[Exit Date], ROW() - 37)=0, "",INDEX(EmployeeData[Exit Date], ROW() - 37)),"")</f>
        <v/>
      </c>
      <c r="I3969" s="4" t="str" cm="1">
        <f t="array" ref="I3969">IFERROR(IF(INDEX(EmployeeData[Exit Reason], ROW() - 37)=0, "",INDEX(EmployeeData[Exit Reason], ROW() - 37)),"")</f>
        <v/>
      </c>
      <c r="J3969" s="4" t="str" cm="1">
        <f t="array" ref="J3969">IFERROR(INDEX(EmployeeData[Status], ROW() - 37), "")</f>
        <v/>
      </c>
    </row>
    <row r="3970" spans="2:10" ht="19.95" customHeight="1" x14ac:dyDescent="0.3">
      <c r="B3970" s="4" t="str" cm="1">
        <f t="array" ref="B3970">IFERROR(INDEX(EmployeeData[Employee ID], ROW() - 37), "")</f>
        <v/>
      </c>
      <c r="C3970" s="4" t="str" cm="1">
        <f t="array" ref="C3970">IFERROR(INDEX(EmployeeData[Full Name], ROW() - 37), "")</f>
        <v/>
      </c>
      <c r="D3970" s="4" t="str" cm="1">
        <f t="array" ref="D3970">IFERROR(INDEX(EmployeeData[Department], ROW() - 37), "")</f>
        <v/>
      </c>
      <c r="E3970" s="4" t="str" cm="1">
        <f t="array" ref="E3970">IFERROR(INDEX(EmployeeData[Gender], ROW() - 37), "")</f>
        <v/>
      </c>
      <c r="F3970" s="4" t="str" cm="1">
        <f t="array" ref="F3970">IFERROR(INDEX(EmployeeData[Age], ROW() - 37), "")</f>
        <v/>
      </c>
      <c r="G3970" s="6" t="str" cm="1">
        <f t="array" ref="G3970">IFERROR(INDEX(EmployeeData[Join Date], ROW() - 37), "")</f>
        <v/>
      </c>
      <c r="H3970" s="6" t="str" cm="1">
        <f t="array" ref="H3970">IFERROR(IF(INDEX(EmployeeData[Exit Date], ROW() - 37)=0, "",INDEX(EmployeeData[Exit Date], ROW() - 37)),"")</f>
        <v/>
      </c>
      <c r="I3970" s="4" t="str" cm="1">
        <f t="array" ref="I3970">IFERROR(IF(INDEX(EmployeeData[Exit Reason], ROW() - 37)=0, "",INDEX(EmployeeData[Exit Reason], ROW() - 37)),"")</f>
        <v/>
      </c>
      <c r="J3970" s="4" t="str" cm="1">
        <f t="array" ref="J3970">IFERROR(INDEX(EmployeeData[Status], ROW() - 37), "")</f>
        <v/>
      </c>
    </row>
    <row r="3971" spans="2:10" ht="19.95" customHeight="1" x14ac:dyDescent="0.3">
      <c r="B3971" s="4" t="str" cm="1">
        <f t="array" ref="B3971">IFERROR(INDEX(EmployeeData[Employee ID], ROW() - 37), "")</f>
        <v/>
      </c>
      <c r="C3971" s="4" t="str" cm="1">
        <f t="array" ref="C3971">IFERROR(INDEX(EmployeeData[Full Name], ROW() - 37), "")</f>
        <v/>
      </c>
      <c r="D3971" s="4" t="str" cm="1">
        <f t="array" ref="D3971">IFERROR(INDEX(EmployeeData[Department], ROW() - 37), "")</f>
        <v/>
      </c>
      <c r="E3971" s="4" t="str" cm="1">
        <f t="array" ref="E3971">IFERROR(INDEX(EmployeeData[Gender], ROW() - 37), "")</f>
        <v/>
      </c>
      <c r="F3971" s="4" t="str" cm="1">
        <f t="array" ref="F3971">IFERROR(INDEX(EmployeeData[Age], ROW() - 37), "")</f>
        <v/>
      </c>
      <c r="G3971" s="6" t="str" cm="1">
        <f t="array" ref="G3971">IFERROR(INDEX(EmployeeData[Join Date], ROW() - 37), "")</f>
        <v/>
      </c>
      <c r="H3971" s="6" t="str" cm="1">
        <f t="array" ref="H3971">IFERROR(IF(INDEX(EmployeeData[Exit Date], ROW() - 37)=0, "",INDEX(EmployeeData[Exit Date], ROW() - 37)),"")</f>
        <v/>
      </c>
      <c r="I3971" s="4" t="str" cm="1">
        <f t="array" ref="I3971">IFERROR(IF(INDEX(EmployeeData[Exit Reason], ROW() - 37)=0, "",INDEX(EmployeeData[Exit Reason], ROW() - 37)),"")</f>
        <v/>
      </c>
      <c r="J3971" s="4" t="str" cm="1">
        <f t="array" ref="J3971">IFERROR(INDEX(EmployeeData[Status], ROW() - 37), "")</f>
        <v/>
      </c>
    </row>
    <row r="3972" spans="2:10" ht="19.95" customHeight="1" x14ac:dyDescent="0.3">
      <c r="B3972" s="4" t="str" cm="1">
        <f t="array" ref="B3972">IFERROR(INDEX(EmployeeData[Employee ID], ROW() - 37), "")</f>
        <v/>
      </c>
      <c r="C3972" s="4" t="str" cm="1">
        <f t="array" ref="C3972">IFERROR(INDEX(EmployeeData[Full Name], ROW() - 37), "")</f>
        <v/>
      </c>
      <c r="D3972" s="4" t="str" cm="1">
        <f t="array" ref="D3972">IFERROR(INDEX(EmployeeData[Department], ROW() - 37), "")</f>
        <v/>
      </c>
      <c r="E3972" s="4" t="str" cm="1">
        <f t="array" ref="E3972">IFERROR(INDEX(EmployeeData[Gender], ROW() - 37), "")</f>
        <v/>
      </c>
      <c r="F3972" s="4" t="str" cm="1">
        <f t="array" ref="F3972">IFERROR(INDEX(EmployeeData[Age], ROW() - 37), "")</f>
        <v/>
      </c>
      <c r="G3972" s="6" t="str" cm="1">
        <f t="array" ref="G3972">IFERROR(INDEX(EmployeeData[Join Date], ROW() - 37), "")</f>
        <v/>
      </c>
      <c r="H3972" s="6" t="str" cm="1">
        <f t="array" ref="H3972">IFERROR(IF(INDEX(EmployeeData[Exit Date], ROW() - 37)=0, "",INDEX(EmployeeData[Exit Date], ROW() - 37)),"")</f>
        <v/>
      </c>
      <c r="I3972" s="4" t="str" cm="1">
        <f t="array" ref="I3972">IFERROR(IF(INDEX(EmployeeData[Exit Reason], ROW() - 37)=0, "",INDEX(EmployeeData[Exit Reason], ROW() - 37)),"")</f>
        <v/>
      </c>
      <c r="J3972" s="4" t="str" cm="1">
        <f t="array" ref="J3972">IFERROR(INDEX(EmployeeData[Status], ROW() - 37), "")</f>
        <v/>
      </c>
    </row>
    <row r="3973" spans="2:10" ht="19.95" customHeight="1" x14ac:dyDescent="0.3">
      <c r="B3973" s="4" t="str" cm="1">
        <f t="array" ref="B3973">IFERROR(INDEX(EmployeeData[Employee ID], ROW() - 37), "")</f>
        <v/>
      </c>
      <c r="C3973" s="4" t="str" cm="1">
        <f t="array" ref="C3973">IFERROR(INDEX(EmployeeData[Full Name], ROW() - 37), "")</f>
        <v/>
      </c>
      <c r="D3973" s="4" t="str" cm="1">
        <f t="array" ref="D3973">IFERROR(INDEX(EmployeeData[Department], ROW() - 37), "")</f>
        <v/>
      </c>
      <c r="E3973" s="4" t="str" cm="1">
        <f t="array" ref="E3973">IFERROR(INDEX(EmployeeData[Gender], ROW() - 37), "")</f>
        <v/>
      </c>
      <c r="F3973" s="4" t="str" cm="1">
        <f t="array" ref="F3973">IFERROR(INDEX(EmployeeData[Age], ROW() - 37), "")</f>
        <v/>
      </c>
      <c r="G3973" s="6" t="str" cm="1">
        <f t="array" ref="G3973">IFERROR(INDEX(EmployeeData[Join Date], ROW() - 37), "")</f>
        <v/>
      </c>
      <c r="H3973" s="6" t="str" cm="1">
        <f t="array" ref="H3973">IFERROR(IF(INDEX(EmployeeData[Exit Date], ROW() - 37)=0, "",INDEX(EmployeeData[Exit Date], ROW() - 37)),"")</f>
        <v/>
      </c>
      <c r="I3973" s="4" t="str" cm="1">
        <f t="array" ref="I3973">IFERROR(IF(INDEX(EmployeeData[Exit Reason], ROW() - 37)=0, "",INDEX(EmployeeData[Exit Reason], ROW() - 37)),"")</f>
        <v/>
      </c>
      <c r="J3973" s="4" t="str" cm="1">
        <f t="array" ref="J3973">IFERROR(INDEX(EmployeeData[Status], ROW() - 37), "")</f>
        <v/>
      </c>
    </row>
    <row r="3974" spans="2:10" ht="19.95" customHeight="1" x14ac:dyDescent="0.3">
      <c r="B3974" s="4" t="str" cm="1">
        <f t="array" ref="B3974">IFERROR(INDEX(EmployeeData[Employee ID], ROW() - 37), "")</f>
        <v/>
      </c>
      <c r="C3974" s="4" t="str" cm="1">
        <f t="array" ref="C3974">IFERROR(INDEX(EmployeeData[Full Name], ROW() - 37), "")</f>
        <v/>
      </c>
      <c r="D3974" s="4" t="str" cm="1">
        <f t="array" ref="D3974">IFERROR(INDEX(EmployeeData[Department], ROW() - 37), "")</f>
        <v/>
      </c>
      <c r="E3974" s="4" t="str" cm="1">
        <f t="array" ref="E3974">IFERROR(INDEX(EmployeeData[Gender], ROW() - 37), "")</f>
        <v/>
      </c>
      <c r="F3974" s="4" t="str" cm="1">
        <f t="array" ref="F3974">IFERROR(INDEX(EmployeeData[Age], ROW() - 37), "")</f>
        <v/>
      </c>
      <c r="G3974" s="6" t="str" cm="1">
        <f t="array" ref="G3974">IFERROR(INDEX(EmployeeData[Join Date], ROW() - 37), "")</f>
        <v/>
      </c>
      <c r="H3974" s="6" t="str" cm="1">
        <f t="array" ref="H3974">IFERROR(IF(INDEX(EmployeeData[Exit Date], ROW() - 37)=0, "",INDEX(EmployeeData[Exit Date], ROW() - 37)),"")</f>
        <v/>
      </c>
      <c r="I3974" s="4" t="str" cm="1">
        <f t="array" ref="I3974">IFERROR(IF(INDEX(EmployeeData[Exit Reason], ROW() - 37)=0, "",INDEX(EmployeeData[Exit Reason], ROW() - 37)),"")</f>
        <v/>
      </c>
      <c r="J3974" s="4" t="str" cm="1">
        <f t="array" ref="J3974">IFERROR(INDEX(EmployeeData[Status], ROW() - 37), "")</f>
        <v/>
      </c>
    </row>
    <row r="3975" spans="2:10" ht="19.95" customHeight="1" x14ac:dyDescent="0.3">
      <c r="B3975" s="4" t="str" cm="1">
        <f t="array" ref="B3975">IFERROR(INDEX(EmployeeData[Employee ID], ROW() - 37), "")</f>
        <v/>
      </c>
      <c r="C3975" s="4" t="str" cm="1">
        <f t="array" ref="C3975">IFERROR(INDEX(EmployeeData[Full Name], ROW() - 37), "")</f>
        <v/>
      </c>
      <c r="D3975" s="4" t="str" cm="1">
        <f t="array" ref="D3975">IFERROR(INDEX(EmployeeData[Department], ROW() - 37), "")</f>
        <v/>
      </c>
      <c r="E3975" s="4" t="str" cm="1">
        <f t="array" ref="E3975">IFERROR(INDEX(EmployeeData[Gender], ROW() - 37), "")</f>
        <v/>
      </c>
      <c r="F3975" s="4" t="str" cm="1">
        <f t="array" ref="F3975">IFERROR(INDEX(EmployeeData[Age], ROW() - 37), "")</f>
        <v/>
      </c>
      <c r="G3975" s="6" t="str" cm="1">
        <f t="array" ref="G3975">IFERROR(INDEX(EmployeeData[Join Date], ROW() - 37), "")</f>
        <v/>
      </c>
      <c r="H3975" s="6" t="str" cm="1">
        <f t="array" ref="H3975">IFERROR(IF(INDEX(EmployeeData[Exit Date], ROW() - 37)=0, "",INDEX(EmployeeData[Exit Date], ROW() - 37)),"")</f>
        <v/>
      </c>
      <c r="I3975" s="4" t="str" cm="1">
        <f t="array" ref="I3975">IFERROR(IF(INDEX(EmployeeData[Exit Reason], ROW() - 37)=0, "",INDEX(EmployeeData[Exit Reason], ROW() - 37)),"")</f>
        <v/>
      </c>
      <c r="J3975" s="4" t="str" cm="1">
        <f t="array" ref="J3975">IFERROR(INDEX(EmployeeData[Status], ROW() - 37), "")</f>
        <v/>
      </c>
    </row>
    <row r="3976" spans="2:10" ht="19.95" customHeight="1" x14ac:dyDescent="0.3">
      <c r="B3976" s="4" t="str" cm="1">
        <f t="array" ref="B3976">IFERROR(INDEX(EmployeeData[Employee ID], ROW() - 37), "")</f>
        <v/>
      </c>
      <c r="C3976" s="4" t="str" cm="1">
        <f t="array" ref="C3976">IFERROR(INDEX(EmployeeData[Full Name], ROW() - 37), "")</f>
        <v/>
      </c>
      <c r="D3976" s="4" t="str" cm="1">
        <f t="array" ref="D3976">IFERROR(INDEX(EmployeeData[Department], ROW() - 37), "")</f>
        <v/>
      </c>
      <c r="E3976" s="4" t="str" cm="1">
        <f t="array" ref="E3976">IFERROR(INDEX(EmployeeData[Gender], ROW() - 37), "")</f>
        <v/>
      </c>
      <c r="F3976" s="4" t="str" cm="1">
        <f t="array" ref="F3976">IFERROR(INDEX(EmployeeData[Age], ROW() - 37), "")</f>
        <v/>
      </c>
      <c r="G3976" s="6" t="str" cm="1">
        <f t="array" ref="G3976">IFERROR(INDEX(EmployeeData[Join Date], ROW() - 37), "")</f>
        <v/>
      </c>
      <c r="H3976" s="6" t="str" cm="1">
        <f t="array" ref="H3976">IFERROR(IF(INDEX(EmployeeData[Exit Date], ROW() - 37)=0, "",INDEX(EmployeeData[Exit Date], ROW() - 37)),"")</f>
        <v/>
      </c>
      <c r="I3976" s="4" t="str" cm="1">
        <f t="array" ref="I3976">IFERROR(IF(INDEX(EmployeeData[Exit Reason], ROW() - 37)=0, "",INDEX(EmployeeData[Exit Reason], ROW() - 37)),"")</f>
        <v/>
      </c>
      <c r="J3976" s="4" t="str" cm="1">
        <f t="array" ref="J3976">IFERROR(INDEX(EmployeeData[Status], ROW() - 37), "")</f>
        <v/>
      </c>
    </row>
    <row r="3977" spans="2:10" ht="19.95" customHeight="1" x14ac:dyDescent="0.3">
      <c r="B3977" s="4" t="str" cm="1">
        <f t="array" ref="B3977">IFERROR(INDEX(EmployeeData[Employee ID], ROW() - 37), "")</f>
        <v/>
      </c>
      <c r="C3977" s="4" t="str" cm="1">
        <f t="array" ref="C3977">IFERROR(INDEX(EmployeeData[Full Name], ROW() - 37), "")</f>
        <v/>
      </c>
      <c r="D3977" s="4" t="str" cm="1">
        <f t="array" ref="D3977">IFERROR(INDEX(EmployeeData[Department], ROW() - 37), "")</f>
        <v/>
      </c>
      <c r="E3977" s="4" t="str" cm="1">
        <f t="array" ref="E3977">IFERROR(INDEX(EmployeeData[Gender], ROW() - 37), "")</f>
        <v/>
      </c>
      <c r="F3977" s="4" t="str" cm="1">
        <f t="array" ref="F3977">IFERROR(INDEX(EmployeeData[Age], ROW() - 37), "")</f>
        <v/>
      </c>
      <c r="G3977" s="6" t="str" cm="1">
        <f t="array" ref="G3977">IFERROR(INDEX(EmployeeData[Join Date], ROW() - 37), "")</f>
        <v/>
      </c>
      <c r="H3977" s="6" t="str" cm="1">
        <f t="array" ref="H3977">IFERROR(IF(INDEX(EmployeeData[Exit Date], ROW() - 37)=0, "",INDEX(EmployeeData[Exit Date], ROW() - 37)),"")</f>
        <v/>
      </c>
      <c r="I3977" s="4" t="str" cm="1">
        <f t="array" ref="I3977">IFERROR(IF(INDEX(EmployeeData[Exit Reason], ROW() - 37)=0, "",INDEX(EmployeeData[Exit Reason], ROW() - 37)),"")</f>
        <v/>
      </c>
      <c r="J3977" s="4" t="str" cm="1">
        <f t="array" ref="J3977">IFERROR(INDEX(EmployeeData[Status], ROW() - 37), "")</f>
        <v/>
      </c>
    </row>
    <row r="3978" spans="2:10" ht="19.95" customHeight="1" x14ac:dyDescent="0.3">
      <c r="B3978" s="4" t="str" cm="1">
        <f t="array" ref="B3978">IFERROR(INDEX(EmployeeData[Employee ID], ROW() - 37), "")</f>
        <v/>
      </c>
      <c r="C3978" s="4" t="str" cm="1">
        <f t="array" ref="C3978">IFERROR(INDEX(EmployeeData[Full Name], ROW() - 37), "")</f>
        <v/>
      </c>
      <c r="D3978" s="4" t="str" cm="1">
        <f t="array" ref="D3978">IFERROR(INDEX(EmployeeData[Department], ROW() - 37), "")</f>
        <v/>
      </c>
      <c r="E3978" s="4" t="str" cm="1">
        <f t="array" ref="E3978">IFERROR(INDEX(EmployeeData[Gender], ROW() - 37), "")</f>
        <v/>
      </c>
      <c r="F3978" s="4" t="str" cm="1">
        <f t="array" ref="F3978">IFERROR(INDEX(EmployeeData[Age], ROW() - 37), "")</f>
        <v/>
      </c>
      <c r="G3978" s="6" t="str" cm="1">
        <f t="array" ref="G3978">IFERROR(INDEX(EmployeeData[Join Date], ROW() - 37), "")</f>
        <v/>
      </c>
      <c r="H3978" s="6" t="str" cm="1">
        <f t="array" ref="H3978">IFERROR(IF(INDEX(EmployeeData[Exit Date], ROW() - 37)=0, "",INDEX(EmployeeData[Exit Date], ROW() - 37)),"")</f>
        <v/>
      </c>
      <c r="I3978" s="4" t="str" cm="1">
        <f t="array" ref="I3978">IFERROR(IF(INDEX(EmployeeData[Exit Reason], ROW() - 37)=0, "",INDEX(EmployeeData[Exit Reason], ROW() - 37)),"")</f>
        <v/>
      </c>
      <c r="J3978" s="4" t="str" cm="1">
        <f t="array" ref="J3978">IFERROR(INDEX(EmployeeData[Status], ROW() - 37), "")</f>
        <v/>
      </c>
    </row>
    <row r="3979" spans="2:10" ht="19.95" customHeight="1" x14ac:dyDescent="0.3">
      <c r="B3979" s="4" t="str" cm="1">
        <f t="array" ref="B3979">IFERROR(INDEX(EmployeeData[Employee ID], ROW() - 37), "")</f>
        <v/>
      </c>
      <c r="C3979" s="4" t="str" cm="1">
        <f t="array" ref="C3979">IFERROR(INDEX(EmployeeData[Full Name], ROW() - 37), "")</f>
        <v/>
      </c>
      <c r="D3979" s="4" t="str" cm="1">
        <f t="array" ref="D3979">IFERROR(INDEX(EmployeeData[Department], ROW() - 37), "")</f>
        <v/>
      </c>
      <c r="E3979" s="4" t="str" cm="1">
        <f t="array" ref="E3979">IFERROR(INDEX(EmployeeData[Gender], ROW() - 37), "")</f>
        <v/>
      </c>
      <c r="F3979" s="4" t="str" cm="1">
        <f t="array" ref="F3979">IFERROR(INDEX(EmployeeData[Age], ROW() - 37), "")</f>
        <v/>
      </c>
      <c r="G3979" s="6" t="str" cm="1">
        <f t="array" ref="G3979">IFERROR(INDEX(EmployeeData[Join Date], ROW() - 37), "")</f>
        <v/>
      </c>
      <c r="H3979" s="6" t="str" cm="1">
        <f t="array" ref="H3979">IFERROR(IF(INDEX(EmployeeData[Exit Date], ROW() - 37)=0, "",INDEX(EmployeeData[Exit Date], ROW() - 37)),"")</f>
        <v/>
      </c>
      <c r="I3979" s="4" t="str" cm="1">
        <f t="array" ref="I3979">IFERROR(IF(INDEX(EmployeeData[Exit Reason], ROW() - 37)=0, "",INDEX(EmployeeData[Exit Reason], ROW() - 37)),"")</f>
        <v/>
      </c>
      <c r="J3979" s="4" t="str" cm="1">
        <f t="array" ref="J3979">IFERROR(INDEX(EmployeeData[Status], ROW() - 37), "")</f>
        <v/>
      </c>
    </row>
    <row r="3980" spans="2:10" ht="19.95" customHeight="1" x14ac:dyDescent="0.3">
      <c r="B3980" s="4" t="str" cm="1">
        <f t="array" ref="B3980">IFERROR(INDEX(EmployeeData[Employee ID], ROW() - 37), "")</f>
        <v/>
      </c>
      <c r="C3980" s="4" t="str" cm="1">
        <f t="array" ref="C3980">IFERROR(INDEX(EmployeeData[Full Name], ROW() - 37), "")</f>
        <v/>
      </c>
      <c r="D3980" s="4" t="str" cm="1">
        <f t="array" ref="D3980">IFERROR(INDEX(EmployeeData[Department], ROW() - 37), "")</f>
        <v/>
      </c>
      <c r="E3980" s="4" t="str" cm="1">
        <f t="array" ref="E3980">IFERROR(INDEX(EmployeeData[Gender], ROW() - 37), "")</f>
        <v/>
      </c>
      <c r="F3980" s="4" t="str" cm="1">
        <f t="array" ref="F3980">IFERROR(INDEX(EmployeeData[Age], ROW() - 37), "")</f>
        <v/>
      </c>
      <c r="G3980" s="6" t="str" cm="1">
        <f t="array" ref="G3980">IFERROR(INDEX(EmployeeData[Join Date], ROW() - 37), "")</f>
        <v/>
      </c>
      <c r="H3980" s="6" t="str" cm="1">
        <f t="array" ref="H3980">IFERROR(IF(INDEX(EmployeeData[Exit Date], ROW() - 37)=0, "",INDEX(EmployeeData[Exit Date], ROW() - 37)),"")</f>
        <v/>
      </c>
      <c r="I3980" s="4" t="str" cm="1">
        <f t="array" ref="I3980">IFERROR(IF(INDEX(EmployeeData[Exit Reason], ROW() - 37)=0, "",INDEX(EmployeeData[Exit Reason], ROW() - 37)),"")</f>
        <v/>
      </c>
      <c r="J3980" s="4" t="str" cm="1">
        <f t="array" ref="J3980">IFERROR(INDEX(EmployeeData[Status], ROW() - 37), "")</f>
        <v/>
      </c>
    </row>
    <row r="3981" spans="2:10" ht="19.95" customHeight="1" x14ac:dyDescent="0.3">
      <c r="B3981" s="4" t="str" cm="1">
        <f t="array" ref="B3981">IFERROR(INDEX(EmployeeData[Employee ID], ROW() - 37), "")</f>
        <v/>
      </c>
      <c r="C3981" s="4" t="str" cm="1">
        <f t="array" ref="C3981">IFERROR(INDEX(EmployeeData[Full Name], ROW() - 37), "")</f>
        <v/>
      </c>
      <c r="D3981" s="4" t="str" cm="1">
        <f t="array" ref="D3981">IFERROR(INDEX(EmployeeData[Department], ROW() - 37), "")</f>
        <v/>
      </c>
      <c r="E3981" s="4" t="str" cm="1">
        <f t="array" ref="E3981">IFERROR(INDEX(EmployeeData[Gender], ROW() - 37), "")</f>
        <v/>
      </c>
      <c r="F3981" s="4" t="str" cm="1">
        <f t="array" ref="F3981">IFERROR(INDEX(EmployeeData[Age], ROW() - 37), "")</f>
        <v/>
      </c>
      <c r="G3981" s="6" t="str" cm="1">
        <f t="array" ref="G3981">IFERROR(INDEX(EmployeeData[Join Date], ROW() - 37), "")</f>
        <v/>
      </c>
      <c r="H3981" s="6" t="str" cm="1">
        <f t="array" ref="H3981">IFERROR(IF(INDEX(EmployeeData[Exit Date], ROW() - 37)=0, "",INDEX(EmployeeData[Exit Date], ROW() - 37)),"")</f>
        <v/>
      </c>
      <c r="I3981" s="4" t="str" cm="1">
        <f t="array" ref="I3981">IFERROR(IF(INDEX(EmployeeData[Exit Reason], ROW() - 37)=0, "",INDEX(EmployeeData[Exit Reason], ROW() - 37)),"")</f>
        <v/>
      </c>
      <c r="J3981" s="4" t="str" cm="1">
        <f t="array" ref="J3981">IFERROR(INDEX(EmployeeData[Status], ROW() - 37), "")</f>
        <v/>
      </c>
    </row>
    <row r="3982" spans="2:10" ht="19.95" customHeight="1" x14ac:dyDescent="0.3">
      <c r="B3982" s="4" t="str" cm="1">
        <f t="array" ref="B3982">IFERROR(INDEX(EmployeeData[Employee ID], ROW() - 37), "")</f>
        <v/>
      </c>
      <c r="C3982" s="4" t="str" cm="1">
        <f t="array" ref="C3982">IFERROR(INDEX(EmployeeData[Full Name], ROW() - 37), "")</f>
        <v/>
      </c>
      <c r="D3982" s="4" t="str" cm="1">
        <f t="array" ref="D3982">IFERROR(INDEX(EmployeeData[Department], ROW() - 37), "")</f>
        <v/>
      </c>
      <c r="E3982" s="4" t="str" cm="1">
        <f t="array" ref="E3982">IFERROR(INDEX(EmployeeData[Gender], ROW() - 37), "")</f>
        <v/>
      </c>
      <c r="F3982" s="4" t="str" cm="1">
        <f t="array" ref="F3982">IFERROR(INDEX(EmployeeData[Age], ROW() - 37), "")</f>
        <v/>
      </c>
      <c r="G3982" s="6" t="str" cm="1">
        <f t="array" ref="G3982">IFERROR(INDEX(EmployeeData[Join Date], ROW() - 37), "")</f>
        <v/>
      </c>
      <c r="H3982" s="6" t="str" cm="1">
        <f t="array" ref="H3982">IFERROR(IF(INDEX(EmployeeData[Exit Date], ROW() - 37)=0, "",INDEX(EmployeeData[Exit Date], ROW() - 37)),"")</f>
        <v/>
      </c>
      <c r="I3982" s="4" t="str" cm="1">
        <f t="array" ref="I3982">IFERROR(IF(INDEX(EmployeeData[Exit Reason], ROW() - 37)=0, "",INDEX(EmployeeData[Exit Reason], ROW() - 37)),"")</f>
        <v/>
      </c>
      <c r="J3982" s="4" t="str" cm="1">
        <f t="array" ref="J3982">IFERROR(INDEX(EmployeeData[Status], ROW() - 37), "")</f>
        <v/>
      </c>
    </row>
    <row r="3983" spans="2:10" ht="19.95" customHeight="1" x14ac:dyDescent="0.3">
      <c r="B3983" s="4" t="str" cm="1">
        <f t="array" ref="B3983">IFERROR(INDEX(EmployeeData[Employee ID], ROW() - 37), "")</f>
        <v/>
      </c>
      <c r="C3983" s="4" t="str" cm="1">
        <f t="array" ref="C3983">IFERROR(INDEX(EmployeeData[Full Name], ROW() - 37), "")</f>
        <v/>
      </c>
      <c r="D3983" s="4" t="str" cm="1">
        <f t="array" ref="D3983">IFERROR(INDEX(EmployeeData[Department], ROW() - 37), "")</f>
        <v/>
      </c>
      <c r="E3983" s="4" t="str" cm="1">
        <f t="array" ref="E3983">IFERROR(INDEX(EmployeeData[Gender], ROW() - 37), "")</f>
        <v/>
      </c>
      <c r="F3983" s="4" t="str" cm="1">
        <f t="array" ref="F3983">IFERROR(INDEX(EmployeeData[Age], ROW() - 37), "")</f>
        <v/>
      </c>
      <c r="G3983" s="6" t="str" cm="1">
        <f t="array" ref="G3983">IFERROR(INDEX(EmployeeData[Join Date], ROW() - 37), "")</f>
        <v/>
      </c>
      <c r="H3983" s="6" t="str" cm="1">
        <f t="array" ref="H3983">IFERROR(IF(INDEX(EmployeeData[Exit Date], ROW() - 37)=0, "",INDEX(EmployeeData[Exit Date], ROW() - 37)),"")</f>
        <v/>
      </c>
      <c r="I3983" s="4" t="str" cm="1">
        <f t="array" ref="I3983">IFERROR(IF(INDEX(EmployeeData[Exit Reason], ROW() - 37)=0, "",INDEX(EmployeeData[Exit Reason], ROW() - 37)),"")</f>
        <v/>
      </c>
      <c r="J3983" s="4" t="str" cm="1">
        <f t="array" ref="J3983">IFERROR(INDEX(EmployeeData[Status], ROW() - 37), "")</f>
        <v/>
      </c>
    </row>
    <row r="3984" spans="2:10" ht="19.95" customHeight="1" x14ac:dyDescent="0.3">
      <c r="B3984" s="4" t="str" cm="1">
        <f t="array" ref="B3984">IFERROR(INDEX(EmployeeData[Employee ID], ROW() - 37), "")</f>
        <v/>
      </c>
      <c r="C3984" s="4" t="str" cm="1">
        <f t="array" ref="C3984">IFERROR(INDEX(EmployeeData[Full Name], ROW() - 37), "")</f>
        <v/>
      </c>
      <c r="D3984" s="4" t="str" cm="1">
        <f t="array" ref="D3984">IFERROR(INDEX(EmployeeData[Department], ROW() - 37), "")</f>
        <v/>
      </c>
      <c r="E3984" s="4" t="str" cm="1">
        <f t="array" ref="E3984">IFERROR(INDEX(EmployeeData[Gender], ROW() - 37), "")</f>
        <v/>
      </c>
      <c r="F3984" s="4" t="str" cm="1">
        <f t="array" ref="F3984">IFERROR(INDEX(EmployeeData[Age], ROW() - 37), "")</f>
        <v/>
      </c>
      <c r="G3984" s="6" t="str" cm="1">
        <f t="array" ref="G3984">IFERROR(INDEX(EmployeeData[Join Date], ROW() - 37), "")</f>
        <v/>
      </c>
      <c r="H3984" s="6" t="str" cm="1">
        <f t="array" ref="H3984">IFERROR(IF(INDEX(EmployeeData[Exit Date], ROW() - 37)=0, "",INDEX(EmployeeData[Exit Date], ROW() - 37)),"")</f>
        <v/>
      </c>
      <c r="I3984" s="4" t="str" cm="1">
        <f t="array" ref="I3984">IFERROR(IF(INDEX(EmployeeData[Exit Reason], ROW() - 37)=0, "",INDEX(EmployeeData[Exit Reason], ROW() - 37)),"")</f>
        <v/>
      </c>
      <c r="J3984" s="4" t="str" cm="1">
        <f t="array" ref="J3984">IFERROR(INDEX(EmployeeData[Status], ROW() - 37), "")</f>
        <v/>
      </c>
    </row>
    <row r="3985" spans="2:10" ht="19.95" customHeight="1" x14ac:dyDescent="0.3">
      <c r="B3985" s="4" t="str" cm="1">
        <f t="array" ref="B3985">IFERROR(INDEX(EmployeeData[Employee ID], ROW() - 37), "")</f>
        <v/>
      </c>
      <c r="C3985" s="4" t="str" cm="1">
        <f t="array" ref="C3985">IFERROR(INDEX(EmployeeData[Full Name], ROW() - 37), "")</f>
        <v/>
      </c>
      <c r="D3985" s="4" t="str" cm="1">
        <f t="array" ref="D3985">IFERROR(INDEX(EmployeeData[Department], ROW() - 37), "")</f>
        <v/>
      </c>
      <c r="E3985" s="4" t="str" cm="1">
        <f t="array" ref="E3985">IFERROR(INDEX(EmployeeData[Gender], ROW() - 37), "")</f>
        <v/>
      </c>
      <c r="F3985" s="4" t="str" cm="1">
        <f t="array" ref="F3985">IFERROR(INDEX(EmployeeData[Age], ROW() - 37), "")</f>
        <v/>
      </c>
      <c r="G3985" s="6" t="str" cm="1">
        <f t="array" ref="G3985">IFERROR(INDEX(EmployeeData[Join Date], ROW() - 37), "")</f>
        <v/>
      </c>
      <c r="H3985" s="6" t="str" cm="1">
        <f t="array" ref="H3985">IFERROR(IF(INDEX(EmployeeData[Exit Date], ROW() - 37)=0, "",INDEX(EmployeeData[Exit Date], ROW() - 37)),"")</f>
        <v/>
      </c>
      <c r="I3985" s="4" t="str" cm="1">
        <f t="array" ref="I3985">IFERROR(IF(INDEX(EmployeeData[Exit Reason], ROW() - 37)=0, "",INDEX(EmployeeData[Exit Reason], ROW() - 37)),"")</f>
        <v/>
      </c>
      <c r="J3985" s="4" t="str" cm="1">
        <f t="array" ref="J3985">IFERROR(INDEX(EmployeeData[Status], ROW() - 37), "")</f>
        <v/>
      </c>
    </row>
    <row r="3986" spans="2:10" ht="19.95" customHeight="1" x14ac:dyDescent="0.3">
      <c r="B3986" s="4" t="str" cm="1">
        <f t="array" ref="B3986">IFERROR(INDEX(EmployeeData[Employee ID], ROW() - 37), "")</f>
        <v/>
      </c>
      <c r="C3986" s="4" t="str" cm="1">
        <f t="array" ref="C3986">IFERROR(INDEX(EmployeeData[Full Name], ROW() - 37), "")</f>
        <v/>
      </c>
      <c r="D3986" s="4" t="str" cm="1">
        <f t="array" ref="D3986">IFERROR(INDEX(EmployeeData[Department], ROW() - 37), "")</f>
        <v/>
      </c>
      <c r="E3986" s="4" t="str" cm="1">
        <f t="array" ref="E3986">IFERROR(INDEX(EmployeeData[Gender], ROW() - 37), "")</f>
        <v/>
      </c>
      <c r="F3986" s="4" t="str" cm="1">
        <f t="array" ref="F3986">IFERROR(INDEX(EmployeeData[Age], ROW() - 37), "")</f>
        <v/>
      </c>
      <c r="G3986" s="6" t="str" cm="1">
        <f t="array" ref="G3986">IFERROR(INDEX(EmployeeData[Join Date], ROW() - 37), "")</f>
        <v/>
      </c>
      <c r="H3986" s="6" t="str" cm="1">
        <f t="array" ref="H3986">IFERROR(IF(INDEX(EmployeeData[Exit Date], ROW() - 37)=0, "",INDEX(EmployeeData[Exit Date], ROW() - 37)),"")</f>
        <v/>
      </c>
      <c r="I3986" s="4" t="str" cm="1">
        <f t="array" ref="I3986">IFERROR(IF(INDEX(EmployeeData[Exit Reason], ROW() - 37)=0, "",INDEX(EmployeeData[Exit Reason], ROW() - 37)),"")</f>
        <v/>
      </c>
      <c r="J3986" s="4" t="str" cm="1">
        <f t="array" ref="J3986">IFERROR(INDEX(EmployeeData[Status], ROW() - 37), "")</f>
        <v/>
      </c>
    </row>
    <row r="3987" spans="2:10" ht="19.95" customHeight="1" x14ac:dyDescent="0.3">
      <c r="B3987" s="4" t="str" cm="1">
        <f t="array" ref="B3987">IFERROR(INDEX(EmployeeData[Employee ID], ROW() - 37), "")</f>
        <v/>
      </c>
      <c r="C3987" s="4" t="str" cm="1">
        <f t="array" ref="C3987">IFERROR(INDEX(EmployeeData[Full Name], ROW() - 37), "")</f>
        <v/>
      </c>
      <c r="D3987" s="4" t="str" cm="1">
        <f t="array" ref="D3987">IFERROR(INDEX(EmployeeData[Department], ROW() - 37), "")</f>
        <v/>
      </c>
      <c r="E3987" s="4" t="str" cm="1">
        <f t="array" ref="E3987">IFERROR(INDEX(EmployeeData[Gender], ROW() - 37), "")</f>
        <v/>
      </c>
      <c r="F3987" s="4" t="str" cm="1">
        <f t="array" ref="F3987">IFERROR(INDEX(EmployeeData[Age], ROW() - 37), "")</f>
        <v/>
      </c>
      <c r="G3987" s="6" t="str" cm="1">
        <f t="array" ref="G3987">IFERROR(INDEX(EmployeeData[Join Date], ROW() - 37), "")</f>
        <v/>
      </c>
      <c r="H3987" s="6" t="str" cm="1">
        <f t="array" ref="H3987">IFERROR(IF(INDEX(EmployeeData[Exit Date], ROW() - 37)=0, "",INDEX(EmployeeData[Exit Date], ROW() - 37)),"")</f>
        <v/>
      </c>
      <c r="I3987" s="4" t="str" cm="1">
        <f t="array" ref="I3987">IFERROR(IF(INDEX(EmployeeData[Exit Reason], ROW() - 37)=0, "",INDEX(EmployeeData[Exit Reason], ROW() - 37)),"")</f>
        <v/>
      </c>
      <c r="J3987" s="4" t="str" cm="1">
        <f t="array" ref="J3987">IFERROR(INDEX(EmployeeData[Status], ROW() - 37), "")</f>
        <v/>
      </c>
    </row>
    <row r="3988" spans="2:10" ht="19.95" customHeight="1" x14ac:dyDescent="0.3">
      <c r="B3988" s="4" t="str" cm="1">
        <f t="array" ref="B3988">IFERROR(INDEX(EmployeeData[Employee ID], ROW() - 37), "")</f>
        <v/>
      </c>
      <c r="C3988" s="4" t="str" cm="1">
        <f t="array" ref="C3988">IFERROR(INDEX(EmployeeData[Full Name], ROW() - 37), "")</f>
        <v/>
      </c>
      <c r="D3988" s="4" t="str" cm="1">
        <f t="array" ref="D3988">IFERROR(INDEX(EmployeeData[Department], ROW() - 37), "")</f>
        <v/>
      </c>
      <c r="E3988" s="4" t="str" cm="1">
        <f t="array" ref="E3988">IFERROR(INDEX(EmployeeData[Gender], ROW() - 37), "")</f>
        <v/>
      </c>
      <c r="F3988" s="4" t="str" cm="1">
        <f t="array" ref="F3988">IFERROR(INDEX(EmployeeData[Age], ROW() - 37), "")</f>
        <v/>
      </c>
      <c r="G3988" s="6" t="str" cm="1">
        <f t="array" ref="G3988">IFERROR(INDEX(EmployeeData[Join Date], ROW() - 37), "")</f>
        <v/>
      </c>
      <c r="H3988" s="6" t="str" cm="1">
        <f t="array" ref="H3988">IFERROR(IF(INDEX(EmployeeData[Exit Date], ROW() - 37)=0, "",INDEX(EmployeeData[Exit Date], ROW() - 37)),"")</f>
        <v/>
      </c>
      <c r="I3988" s="4" t="str" cm="1">
        <f t="array" ref="I3988">IFERROR(IF(INDEX(EmployeeData[Exit Reason], ROW() - 37)=0, "",INDEX(EmployeeData[Exit Reason], ROW() - 37)),"")</f>
        <v/>
      </c>
      <c r="J3988" s="4" t="str" cm="1">
        <f t="array" ref="J3988">IFERROR(INDEX(EmployeeData[Status], ROW() - 37), "")</f>
        <v/>
      </c>
    </row>
    <row r="3989" spans="2:10" ht="19.95" customHeight="1" x14ac:dyDescent="0.3">
      <c r="B3989" s="4" t="str" cm="1">
        <f t="array" ref="B3989">IFERROR(INDEX(EmployeeData[Employee ID], ROW() - 37), "")</f>
        <v/>
      </c>
      <c r="C3989" s="4" t="str" cm="1">
        <f t="array" ref="C3989">IFERROR(INDEX(EmployeeData[Full Name], ROW() - 37), "")</f>
        <v/>
      </c>
      <c r="D3989" s="4" t="str" cm="1">
        <f t="array" ref="D3989">IFERROR(INDEX(EmployeeData[Department], ROW() - 37), "")</f>
        <v/>
      </c>
      <c r="E3989" s="4" t="str" cm="1">
        <f t="array" ref="E3989">IFERROR(INDEX(EmployeeData[Gender], ROW() - 37), "")</f>
        <v/>
      </c>
      <c r="F3989" s="4" t="str" cm="1">
        <f t="array" ref="F3989">IFERROR(INDEX(EmployeeData[Age], ROW() - 37), "")</f>
        <v/>
      </c>
      <c r="G3989" s="6" t="str" cm="1">
        <f t="array" ref="G3989">IFERROR(INDEX(EmployeeData[Join Date], ROW() - 37), "")</f>
        <v/>
      </c>
      <c r="H3989" s="6" t="str" cm="1">
        <f t="array" ref="H3989">IFERROR(IF(INDEX(EmployeeData[Exit Date], ROW() - 37)=0, "",INDEX(EmployeeData[Exit Date], ROW() - 37)),"")</f>
        <v/>
      </c>
      <c r="I3989" s="4" t="str" cm="1">
        <f t="array" ref="I3989">IFERROR(IF(INDEX(EmployeeData[Exit Reason], ROW() - 37)=0, "",INDEX(EmployeeData[Exit Reason], ROW() - 37)),"")</f>
        <v/>
      </c>
      <c r="J3989" s="4" t="str" cm="1">
        <f t="array" ref="J3989">IFERROR(INDEX(EmployeeData[Status], ROW() - 37), "")</f>
        <v/>
      </c>
    </row>
    <row r="3990" spans="2:10" ht="19.95" customHeight="1" x14ac:dyDescent="0.3">
      <c r="B3990" s="4" t="str" cm="1">
        <f t="array" ref="B3990">IFERROR(INDEX(EmployeeData[Employee ID], ROW() - 37), "")</f>
        <v/>
      </c>
      <c r="C3990" s="4" t="str" cm="1">
        <f t="array" ref="C3990">IFERROR(INDEX(EmployeeData[Full Name], ROW() - 37), "")</f>
        <v/>
      </c>
      <c r="D3990" s="4" t="str" cm="1">
        <f t="array" ref="D3990">IFERROR(INDEX(EmployeeData[Department], ROW() - 37), "")</f>
        <v/>
      </c>
      <c r="E3990" s="4" t="str" cm="1">
        <f t="array" ref="E3990">IFERROR(INDEX(EmployeeData[Gender], ROW() - 37), "")</f>
        <v/>
      </c>
      <c r="F3990" s="4" t="str" cm="1">
        <f t="array" ref="F3990">IFERROR(INDEX(EmployeeData[Age], ROW() - 37), "")</f>
        <v/>
      </c>
      <c r="G3990" s="6" t="str" cm="1">
        <f t="array" ref="G3990">IFERROR(INDEX(EmployeeData[Join Date], ROW() - 37), "")</f>
        <v/>
      </c>
      <c r="H3990" s="6" t="str" cm="1">
        <f t="array" ref="H3990">IFERROR(IF(INDEX(EmployeeData[Exit Date], ROW() - 37)=0, "",INDEX(EmployeeData[Exit Date], ROW() - 37)),"")</f>
        <v/>
      </c>
      <c r="I3990" s="4" t="str" cm="1">
        <f t="array" ref="I3990">IFERROR(IF(INDEX(EmployeeData[Exit Reason], ROW() - 37)=0, "",INDEX(EmployeeData[Exit Reason], ROW() - 37)),"")</f>
        <v/>
      </c>
      <c r="J3990" s="4" t="str" cm="1">
        <f t="array" ref="J3990">IFERROR(INDEX(EmployeeData[Status], ROW() - 37), "")</f>
        <v/>
      </c>
    </row>
    <row r="3991" spans="2:10" ht="19.95" customHeight="1" x14ac:dyDescent="0.3">
      <c r="B3991" s="4" t="str" cm="1">
        <f t="array" ref="B3991">IFERROR(INDEX(EmployeeData[Employee ID], ROW() - 37), "")</f>
        <v/>
      </c>
      <c r="C3991" s="4" t="str" cm="1">
        <f t="array" ref="C3991">IFERROR(INDEX(EmployeeData[Full Name], ROW() - 37), "")</f>
        <v/>
      </c>
      <c r="D3991" s="4" t="str" cm="1">
        <f t="array" ref="D3991">IFERROR(INDEX(EmployeeData[Department], ROW() - 37), "")</f>
        <v/>
      </c>
      <c r="E3991" s="4" t="str" cm="1">
        <f t="array" ref="E3991">IFERROR(INDEX(EmployeeData[Gender], ROW() - 37), "")</f>
        <v/>
      </c>
      <c r="F3991" s="4" t="str" cm="1">
        <f t="array" ref="F3991">IFERROR(INDEX(EmployeeData[Age], ROW() - 37), "")</f>
        <v/>
      </c>
      <c r="G3991" s="6" t="str" cm="1">
        <f t="array" ref="G3991">IFERROR(INDEX(EmployeeData[Join Date], ROW() - 37), "")</f>
        <v/>
      </c>
      <c r="H3991" s="6" t="str" cm="1">
        <f t="array" ref="H3991">IFERROR(IF(INDEX(EmployeeData[Exit Date], ROW() - 37)=0, "",INDEX(EmployeeData[Exit Date], ROW() - 37)),"")</f>
        <v/>
      </c>
      <c r="I3991" s="4" t="str" cm="1">
        <f t="array" ref="I3991">IFERROR(IF(INDEX(EmployeeData[Exit Reason], ROW() - 37)=0, "",INDEX(EmployeeData[Exit Reason], ROW() - 37)),"")</f>
        <v/>
      </c>
      <c r="J3991" s="4" t="str" cm="1">
        <f t="array" ref="J3991">IFERROR(INDEX(EmployeeData[Status], ROW() - 37), "")</f>
        <v/>
      </c>
    </row>
    <row r="3992" spans="2:10" ht="19.95" customHeight="1" x14ac:dyDescent="0.3">
      <c r="B3992" s="4" t="str" cm="1">
        <f t="array" ref="B3992">IFERROR(INDEX(EmployeeData[Employee ID], ROW() - 37), "")</f>
        <v/>
      </c>
      <c r="C3992" s="4" t="str" cm="1">
        <f t="array" ref="C3992">IFERROR(INDEX(EmployeeData[Full Name], ROW() - 37), "")</f>
        <v/>
      </c>
      <c r="D3992" s="4" t="str" cm="1">
        <f t="array" ref="D3992">IFERROR(INDEX(EmployeeData[Department], ROW() - 37), "")</f>
        <v/>
      </c>
      <c r="E3992" s="4" t="str" cm="1">
        <f t="array" ref="E3992">IFERROR(INDEX(EmployeeData[Gender], ROW() - 37), "")</f>
        <v/>
      </c>
      <c r="F3992" s="4" t="str" cm="1">
        <f t="array" ref="F3992">IFERROR(INDEX(EmployeeData[Age], ROW() - 37), "")</f>
        <v/>
      </c>
      <c r="G3992" s="6" t="str" cm="1">
        <f t="array" ref="G3992">IFERROR(INDEX(EmployeeData[Join Date], ROW() - 37), "")</f>
        <v/>
      </c>
      <c r="H3992" s="6" t="str" cm="1">
        <f t="array" ref="H3992">IFERROR(IF(INDEX(EmployeeData[Exit Date], ROW() - 37)=0, "",INDEX(EmployeeData[Exit Date], ROW() - 37)),"")</f>
        <v/>
      </c>
      <c r="I3992" s="4" t="str" cm="1">
        <f t="array" ref="I3992">IFERROR(IF(INDEX(EmployeeData[Exit Reason], ROW() - 37)=0, "",INDEX(EmployeeData[Exit Reason], ROW() - 37)),"")</f>
        <v/>
      </c>
      <c r="J3992" s="4" t="str" cm="1">
        <f t="array" ref="J3992">IFERROR(INDEX(EmployeeData[Status], ROW() - 37), "")</f>
        <v/>
      </c>
    </row>
    <row r="3993" spans="2:10" ht="19.95" customHeight="1" x14ac:dyDescent="0.3">
      <c r="B3993" s="4" t="str" cm="1">
        <f t="array" ref="B3993">IFERROR(INDEX(EmployeeData[Employee ID], ROW() - 37), "")</f>
        <v/>
      </c>
      <c r="C3993" s="4" t="str" cm="1">
        <f t="array" ref="C3993">IFERROR(INDEX(EmployeeData[Full Name], ROW() - 37), "")</f>
        <v/>
      </c>
      <c r="D3993" s="4" t="str" cm="1">
        <f t="array" ref="D3993">IFERROR(INDEX(EmployeeData[Department], ROW() - 37), "")</f>
        <v/>
      </c>
      <c r="E3993" s="4" t="str" cm="1">
        <f t="array" ref="E3993">IFERROR(INDEX(EmployeeData[Gender], ROW() - 37), "")</f>
        <v/>
      </c>
      <c r="F3993" s="4" t="str" cm="1">
        <f t="array" ref="F3993">IFERROR(INDEX(EmployeeData[Age], ROW() - 37), "")</f>
        <v/>
      </c>
      <c r="G3993" s="6" t="str" cm="1">
        <f t="array" ref="G3993">IFERROR(INDEX(EmployeeData[Join Date], ROW() - 37), "")</f>
        <v/>
      </c>
      <c r="H3993" s="6" t="str" cm="1">
        <f t="array" ref="H3993">IFERROR(IF(INDEX(EmployeeData[Exit Date], ROW() - 37)=0, "",INDEX(EmployeeData[Exit Date], ROW() - 37)),"")</f>
        <v/>
      </c>
      <c r="I3993" s="4" t="str" cm="1">
        <f t="array" ref="I3993">IFERROR(IF(INDEX(EmployeeData[Exit Reason], ROW() - 37)=0, "",INDEX(EmployeeData[Exit Reason], ROW() - 37)),"")</f>
        <v/>
      </c>
      <c r="J3993" s="4" t="str" cm="1">
        <f t="array" ref="J3993">IFERROR(INDEX(EmployeeData[Status], ROW() - 37), "")</f>
        <v/>
      </c>
    </row>
    <row r="3994" spans="2:10" ht="19.95" customHeight="1" x14ac:dyDescent="0.3">
      <c r="B3994" s="4" t="str" cm="1">
        <f t="array" ref="B3994">IFERROR(INDEX(EmployeeData[Employee ID], ROW() - 37), "")</f>
        <v/>
      </c>
      <c r="C3994" s="4" t="str" cm="1">
        <f t="array" ref="C3994">IFERROR(INDEX(EmployeeData[Full Name], ROW() - 37), "")</f>
        <v/>
      </c>
      <c r="D3994" s="4" t="str" cm="1">
        <f t="array" ref="D3994">IFERROR(INDEX(EmployeeData[Department], ROW() - 37), "")</f>
        <v/>
      </c>
      <c r="E3994" s="4" t="str" cm="1">
        <f t="array" ref="E3994">IFERROR(INDEX(EmployeeData[Gender], ROW() - 37), "")</f>
        <v/>
      </c>
      <c r="F3994" s="4" t="str" cm="1">
        <f t="array" ref="F3994">IFERROR(INDEX(EmployeeData[Age], ROW() - 37), "")</f>
        <v/>
      </c>
      <c r="G3994" s="6" t="str" cm="1">
        <f t="array" ref="G3994">IFERROR(INDEX(EmployeeData[Join Date], ROW() - 37), "")</f>
        <v/>
      </c>
      <c r="H3994" s="6" t="str" cm="1">
        <f t="array" ref="H3994">IFERROR(IF(INDEX(EmployeeData[Exit Date], ROW() - 37)=0, "",INDEX(EmployeeData[Exit Date], ROW() - 37)),"")</f>
        <v/>
      </c>
      <c r="I3994" s="4" t="str" cm="1">
        <f t="array" ref="I3994">IFERROR(IF(INDEX(EmployeeData[Exit Reason], ROW() - 37)=0, "",INDEX(EmployeeData[Exit Reason], ROW() - 37)),"")</f>
        <v/>
      </c>
      <c r="J3994" s="4" t="str" cm="1">
        <f t="array" ref="J3994">IFERROR(INDEX(EmployeeData[Status], ROW() - 37), "")</f>
        <v/>
      </c>
    </row>
    <row r="3995" spans="2:10" ht="19.95" customHeight="1" x14ac:dyDescent="0.3">
      <c r="B3995" s="4" t="str" cm="1">
        <f t="array" ref="B3995">IFERROR(INDEX(EmployeeData[Employee ID], ROW() - 37), "")</f>
        <v/>
      </c>
      <c r="C3995" s="4" t="str" cm="1">
        <f t="array" ref="C3995">IFERROR(INDEX(EmployeeData[Full Name], ROW() - 37), "")</f>
        <v/>
      </c>
      <c r="D3995" s="4" t="str" cm="1">
        <f t="array" ref="D3995">IFERROR(INDEX(EmployeeData[Department], ROW() - 37), "")</f>
        <v/>
      </c>
      <c r="E3995" s="4" t="str" cm="1">
        <f t="array" ref="E3995">IFERROR(INDEX(EmployeeData[Gender], ROW() - 37), "")</f>
        <v/>
      </c>
      <c r="F3995" s="4" t="str" cm="1">
        <f t="array" ref="F3995">IFERROR(INDEX(EmployeeData[Age], ROW() - 37), "")</f>
        <v/>
      </c>
      <c r="G3995" s="6" t="str" cm="1">
        <f t="array" ref="G3995">IFERROR(INDEX(EmployeeData[Join Date], ROW() - 37), "")</f>
        <v/>
      </c>
      <c r="H3995" s="6" t="str" cm="1">
        <f t="array" ref="H3995">IFERROR(IF(INDEX(EmployeeData[Exit Date], ROW() - 37)=0, "",INDEX(EmployeeData[Exit Date], ROW() - 37)),"")</f>
        <v/>
      </c>
      <c r="I3995" s="4" t="str" cm="1">
        <f t="array" ref="I3995">IFERROR(IF(INDEX(EmployeeData[Exit Reason], ROW() - 37)=0, "",INDEX(EmployeeData[Exit Reason], ROW() - 37)),"")</f>
        <v/>
      </c>
      <c r="J3995" s="4" t="str" cm="1">
        <f t="array" ref="J3995">IFERROR(INDEX(EmployeeData[Status], ROW() - 37), "")</f>
        <v/>
      </c>
    </row>
    <row r="3996" spans="2:10" ht="19.95" customHeight="1" x14ac:dyDescent="0.3">
      <c r="B3996" s="4" t="str" cm="1">
        <f t="array" ref="B3996">IFERROR(INDEX(EmployeeData[Employee ID], ROW() - 37), "")</f>
        <v/>
      </c>
      <c r="C3996" s="4" t="str" cm="1">
        <f t="array" ref="C3996">IFERROR(INDEX(EmployeeData[Full Name], ROW() - 37), "")</f>
        <v/>
      </c>
      <c r="D3996" s="4" t="str" cm="1">
        <f t="array" ref="D3996">IFERROR(INDEX(EmployeeData[Department], ROW() - 37), "")</f>
        <v/>
      </c>
      <c r="E3996" s="4" t="str" cm="1">
        <f t="array" ref="E3996">IFERROR(INDEX(EmployeeData[Gender], ROW() - 37), "")</f>
        <v/>
      </c>
      <c r="F3996" s="4" t="str" cm="1">
        <f t="array" ref="F3996">IFERROR(INDEX(EmployeeData[Age], ROW() - 37), "")</f>
        <v/>
      </c>
      <c r="G3996" s="6" t="str" cm="1">
        <f t="array" ref="G3996">IFERROR(INDEX(EmployeeData[Join Date], ROW() - 37), "")</f>
        <v/>
      </c>
      <c r="H3996" s="6" t="str" cm="1">
        <f t="array" ref="H3996">IFERROR(IF(INDEX(EmployeeData[Exit Date], ROW() - 37)=0, "",INDEX(EmployeeData[Exit Date], ROW() - 37)),"")</f>
        <v/>
      </c>
      <c r="I3996" s="4" t="str" cm="1">
        <f t="array" ref="I3996">IFERROR(IF(INDEX(EmployeeData[Exit Reason], ROW() - 37)=0, "",INDEX(EmployeeData[Exit Reason], ROW() - 37)),"")</f>
        <v/>
      </c>
      <c r="J3996" s="4" t="str" cm="1">
        <f t="array" ref="J3996">IFERROR(INDEX(EmployeeData[Status], ROW() - 37), "")</f>
        <v/>
      </c>
    </row>
    <row r="3997" spans="2:10" ht="19.95" customHeight="1" x14ac:dyDescent="0.3">
      <c r="B3997" s="4" t="str" cm="1">
        <f t="array" ref="B3997">IFERROR(INDEX(EmployeeData[Employee ID], ROW() - 37), "")</f>
        <v/>
      </c>
      <c r="C3997" s="4" t="str" cm="1">
        <f t="array" ref="C3997">IFERROR(INDEX(EmployeeData[Full Name], ROW() - 37), "")</f>
        <v/>
      </c>
      <c r="D3997" s="4" t="str" cm="1">
        <f t="array" ref="D3997">IFERROR(INDEX(EmployeeData[Department], ROW() - 37), "")</f>
        <v/>
      </c>
      <c r="E3997" s="4" t="str" cm="1">
        <f t="array" ref="E3997">IFERROR(INDEX(EmployeeData[Gender], ROW() - 37), "")</f>
        <v/>
      </c>
      <c r="F3997" s="4" t="str" cm="1">
        <f t="array" ref="F3997">IFERROR(INDEX(EmployeeData[Age], ROW() - 37), "")</f>
        <v/>
      </c>
      <c r="G3997" s="6" t="str" cm="1">
        <f t="array" ref="G3997">IFERROR(INDEX(EmployeeData[Join Date], ROW() - 37), "")</f>
        <v/>
      </c>
      <c r="H3997" s="6" t="str" cm="1">
        <f t="array" ref="H3997">IFERROR(IF(INDEX(EmployeeData[Exit Date], ROW() - 37)=0, "",INDEX(EmployeeData[Exit Date], ROW() - 37)),"")</f>
        <v/>
      </c>
      <c r="I3997" s="4" t="str" cm="1">
        <f t="array" ref="I3997">IFERROR(IF(INDEX(EmployeeData[Exit Reason], ROW() - 37)=0, "",INDEX(EmployeeData[Exit Reason], ROW() - 37)),"")</f>
        <v/>
      </c>
      <c r="J3997" s="4" t="str" cm="1">
        <f t="array" ref="J3997">IFERROR(INDEX(EmployeeData[Status], ROW() - 37), "")</f>
        <v/>
      </c>
    </row>
    <row r="3998" spans="2:10" ht="19.95" customHeight="1" x14ac:dyDescent="0.3">
      <c r="B3998" s="4" t="str" cm="1">
        <f t="array" ref="B3998">IFERROR(INDEX(EmployeeData[Employee ID], ROW() - 37), "")</f>
        <v/>
      </c>
      <c r="C3998" s="4" t="str" cm="1">
        <f t="array" ref="C3998">IFERROR(INDEX(EmployeeData[Full Name], ROW() - 37), "")</f>
        <v/>
      </c>
      <c r="D3998" s="4" t="str" cm="1">
        <f t="array" ref="D3998">IFERROR(INDEX(EmployeeData[Department], ROW() - 37), "")</f>
        <v/>
      </c>
      <c r="E3998" s="4" t="str" cm="1">
        <f t="array" ref="E3998">IFERROR(INDEX(EmployeeData[Gender], ROW() - 37), "")</f>
        <v/>
      </c>
      <c r="F3998" s="4" t="str" cm="1">
        <f t="array" ref="F3998">IFERROR(INDEX(EmployeeData[Age], ROW() - 37), "")</f>
        <v/>
      </c>
      <c r="G3998" s="6" t="str" cm="1">
        <f t="array" ref="G3998">IFERROR(INDEX(EmployeeData[Join Date], ROW() - 37), "")</f>
        <v/>
      </c>
      <c r="H3998" s="6" t="str" cm="1">
        <f t="array" ref="H3998">IFERROR(IF(INDEX(EmployeeData[Exit Date], ROW() - 37)=0, "",INDEX(EmployeeData[Exit Date], ROW() - 37)),"")</f>
        <v/>
      </c>
      <c r="I3998" s="4" t="str" cm="1">
        <f t="array" ref="I3998">IFERROR(IF(INDEX(EmployeeData[Exit Reason], ROW() - 37)=0, "",INDEX(EmployeeData[Exit Reason], ROW() - 37)),"")</f>
        <v/>
      </c>
      <c r="J3998" s="4" t="str" cm="1">
        <f t="array" ref="J3998">IFERROR(INDEX(EmployeeData[Status], ROW() - 37), "")</f>
        <v/>
      </c>
    </row>
    <row r="3999" spans="2:10" ht="19.95" customHeight="1" x14ac:dyDescent="0.3">
      <c r="B3999" s="4" t="str" cm="1">
        <f t="array" ref="B3999">IFERROR(INDEX(EmployeeData[Employee ID], ROW() - 37), "")</f>
        <v/>
      </c>
      <c r="C3999" s="4" t="str" cm="1">
        <f t="array" ref="C3999">IFERROR(INDEX(EmployeeData[Full Name], ROW() - 37), "")</f>
        <v/>
      </c>
      <c r="D3999" s="4" t="str" cm="1">
        <f t="array" ref="D3999">IFERROR(INDEX(EmployeeData[Department], ROW() - 37), "")</f>
        <v/>
      </c>
      <c r="E3999" s="4" t="str" cm="1">
        <f t="array" ref="E3999">IFERROR(INDEX(EmployeeData[Gender], ROW() - 37), "")</f>
        <v/>
      </c>
      <c r="F3999" s="4" t="str" cm="1">
        <f t="array" ref="F3999">IFERROR(INDEX(EmployeeData[Age], ROW() - 37), "")</f>
        <v/>
      </c>
      <c r="G3999" s="6" t="str" cm="1">
        <f t="array" ref="G3999">IFERROR(INDEX(EmployeeData[Join Date], ROW() - 37), "")</f>
        <v/>
      </c>
      <c r="H3999" s="6" t="str" cm="1">
        <f t="array" ref="H3999">IFERROR(IF(INDEX(EmployeeData[Exit Date], ROW() - 37)=0, "",INDEX(EmployeeData[Exit Date], ROW() - 37)),"")</f>
        <v/>
      </c>
      <c r="I3999" s="4" t="str" cm="1">
        <f t="array" ref="I3999">IFERROR(IF(INDEX(EmployeeData[Exit Reason], ROW() - 37)=0, "",INDEX(EmployeeData[Exit Reason], ROW() - 37)),"")</f>
        <v/>
      </c>
      <c r="J3999" s="4" t="str" cm="1">
        <f t="array" ref="J3999">IFERROR(INDEX(EmployeeData[Status], ROW() - 37), "")</f>
        <v/>
      </c>
    </row>
    <row r="4000" spans="2:10" ht="19.95" customHeight="1" x14ac:dyDescent="0.3">
      <c r="B4000" s="4" t="str" cm="1">
        <f t="array" ref="B4000">IFERROR(INDEX(EmployeeData[Employee ID], ROW() - 37), "")</f>
        <v/>
      </c>
      <c r="C4000" s="4" t="str" cm="1">
        <f t="array" ref="C4000">IFERROR(INDEX(EmployeeData[Full Name], ROW() - 37), "")</f>
        <v/>
      </c>
      <c r="D4000" s="4" t="str" cm="1">
        <f t="array" ref="D4000">IFERROR(INDEX(EmployeeData[Department], ROW() - 37), "")</f>
        <v/>
      </c>
      <c r="E4000" s="4" t="str" cm="1">
        <f t="array" ref="E4000">IFERROR(INDEX(EmployeeData[Gender], ROW() - 37), "")</f>
        <v/>
      </c>
      <c r="F4000" s="4" t="str" cm="1">
        <f t="array" ref="F4000">IFERROR(INDEX(EmployeeData[Age], ROW() - 37), "")</f>
        <v/>
      </c>
      <c r="G4000" s="6" t="str" cm="1">
        <f t="array" ref="G4000">IFERROR(INDEX(EmployeeData[Join Date], ROW() - 37), "")</f>
        <v/>
      </c>
      <c r="H4000" s="6" t="str" cm="1">
        <f t="array" ref="H4000">IFERROR(IF(INDEX(EmployeeData[Exit Date], ROW() - 37)=0, "",INDEX(EmployeeData[Exit Date], ROW() - 37)),"")</f>
        <v/>
      </c>
      <c r="I4000" s="4" t="str" cm="1">
        <f t="array" ref="I4000">IFERROR(IF(INDEX(EmployeeData[Exit Reason], ROW() - 37)=0, "",INDEX(EmployeeData[Exit Reason], ROW() - 37)),"")</f>
        <v/>
      </c>
      <c r="J4000" s="4" t="str" cm="1">
        <f t="array" ref="J4000">IFERROR(INDEX(EmployeeData[Status], ROW() - 37), "")</f>
        <v/>
      </c>
    </row>
    <row r="4001" spans="2:10" ht="19.95" customHeight="1" x14ac:dyDescent="0.3">
      <c r="B4001" s="4" t="str" cm="1">
        <f t="array" ref="B4001">IFERROR(INDEX(EmployeeData[Employee ID], ROW() - 37), "")</f>
        <v/>
      </c>
      <c r="C4001" s="4" t="str" cm="1">
        <f t="array" ref="C4001">IFERROR(INDEX(EmployeeData[Full Name], ROW() - 37), "")</f>
        <v/>
      </c>
      <c r="D4001" s="4" t="str" cm="1">
        <f t="array" ref="D4001">IFERROR(INDEX(EmployeeData[Department], ROW() - 37), "")</f>
        <v/>
      </c>
      <c r="E4001" s="4" t="str" cm="1">
        <f t="array" ref="E4001">IFERROR(INDEX(EmployeeData[Gender], ROW() - 37), "")</f>
        <v/>
      </c>
      <c r="F4001" s="4" t="str" cm="1">
        <f t="array" ref="F4001">IFERROR(INDEX(EmployeeData[Age], ROW() - 37), "")</f>
        <v/>
      </c>
      <c r="G4001" s="6" t="str" cm="1">
        <f t="array" ref="G4001">IFERROR(INDEX(EmployeeData[Join Date], ROW() - 37), "")</f>
        <v/>
      </c>
      <c r="H4001" s="6" t="str" cm="1">
        <f t="array" ref="H4001">IFERROR(IF(INDEX(EmployeeData[Exit Date], ROW() - 37)=0, "",INDEX(EmployeeData[Exit Date], ROW() - 37)),"")</f>
        <v/>
      </c>
      <c r="I4001" s="4" t="str" cm="1">
        <f t="array" ref="I4001">IFERROR(IF(INDEX(EmployeeData[Exit Reason], ROW() - 37)=0, "",INDEX(EmployeeData[Exit Reason], ROW() - 37)),"")</f>
        <v/>
      </c>
      <c r="J4001" s="4" t="str" cm="1">
        <f t="array" ref="J4001">IFERROR(INDEX(EmployeeData[Status], ROW() - 37), "")</f>
        <v/>
      </c>
    </row>
    <row r="4002" spans="2:10" ht="19.95" customHeight="1" x14ac:dyDescent="0.3">
      <c r="B4002" s="4" t="str" cm="1">
        <f t="array" ref="B4002">IFERROR(INDEX(EmployeeData[Employee ID], ROW() - 37), "")</f>
        <v/>
      </c>
      <c r="C4002" s="4" t="str" cm="1">
        <f t="array" ref="C4002">IFERROR(INDEX(EmployeeData[Full Name], ROW() - 37), "")</f>
        <v/>
      </c>
      <c r="D4002" s="4" t="str" cm="1">
        <f t="array" ref="D4002">IFERROR(INDEX(EmployeeData[Department], ROW() - 37), "")</f>
        <v/>
      </c>
      <c r="E4002" s="4" t="str" cm="1">
        <f t="array" ref="E4002">IFERROR(INDEX(EmployeeData[Gender], ROW() - 37), "")</f>
        <v/>
      </c>
      <c r="F4002" s="4" t="str" cm="1">
        <f t="array" ref="F4002">IFERROR(INDEX(EmployeeData[Age], ROW() - 37), "")</f>
        <v/>
      </c>
      <c r="G4002" s="6" t="str" cm="1">
        <f t="array" ref="G4002">IFERROR(INDEX(EmployeeData[Join Date], ROW() - 37), "")</f>
        <v/>
      </c>
      <c r="H4002" s="6" t="str" cm="1">
        <f t="array" ref="H4002">IFERROR(IF(INDEX(EmployeeData[Exit Date], ROW() - 37)=0, "",INDEX(EmployeeData[Exit Date], ROW() - 37)),"")</f>
        <v/>
      </c>
      <c r="I4002" s="4" t="str" cm="1">
        <f t="array" ref="I4002">IFERROR(IF(INDEX(EmployeeData[Exit Reason], ROW() - 37)=0, "",INDEX(EmployeeData[Exit Reason], ROW() - 37)),"")</f>
        <v/>
      </c>
      <c r="J4002" s="4" t="str" cm="1">
        <f t="array" ref="J4002">IFERROR(INDEX(EmployeeData[Status], ROW() - 37), "")</f>
        <v/>
      </c>
    </row>
    <row r="4003" spans="2:10" ht="19.95" customHeight="1" x14ac:dyDescent="0.3">
      <c r="B4003" s="4" t="str" cm="1">
        <f t="array" ref="B4003">IFERROR(INDEX(EmployeeData[Employee ID], ROW() - 37), "")</f>
        <v/>
      </c>
      <c r="C4003" s="4" t="str" cm="1">
        <f t="array" ref="C4003">IFERROR(INDEX(EmployeeData[Full Name], ROW() - 37), "")</f>
        <v/>
      </c>
      <c r="D4003" s="4" t="str" cm="1">
        <f t="array" ref="D4003">IFERROR(INDEX(EmployeeData[Department], ROW() - 37), "")</f>
        <v/>
      </c>
      <c r="E4003" s="4" t="str" cm="1">
        <f t="array" ref="E4003">IFERROR(INDEX(EmployeeData[Gender], ROW() - 37), "")</f>
        <v/>
      </c>
      <c r="F4003" s="4" t="str" cm="1">
        <f t="array" ref="F4003">IFERROR(INDEX(EmployeeData[Age], ROW() - 37), "")</f>
        <v/>
      </c>
      <c r="G4003" s="6" t="str" cm="1">
        <f t="array" ref="G4003">IFERROR(INDEX(EmployeeData[Join Date], ROW() - 37), "")</f>
        <v/>
      </c>
      <c r="H4003" s="6" t="str" cm="1">
        <f t="array" ref="H4003">IFERROR(IF(INDEX(EmployeeData[Exit Date], ROW() - 37)=0, "",INDEX(EmployeeData[Exit Date], ROW() - 37)),"")</f>
        <v/>
      </c>
      <c r="I4003" s="4" t="str" cm="1">
        <f t="array" ref="I4003">IFERROR(IF(INDEX(EmployeeData[Exit Reason], ROW() - 37)=0, "",INDEX(EmployeeData[Exit Reason], ROW() - 37)),"")</f>
        <v/>
      </c>
      <c r="J4003" s="4" t="str" cm="1">
        <f t="array" ref="J4003">IFERROR(INDEX(EmployeeData[Status], ROW() - 37), "")</f>
        <v/>
      </c>
    </row>
    <row r="4004" spans="2:10" ht="19.95" customHeight="1" x14ac:dyDescent="0.3">
      <c r="B4004" s="4" t="str" cm="1">
        <f t="array" ref="B4004">IFERROR(INDEX(EmployeeData[Employee ID], ROW() - 37), "")</f>
        <v/>
      </c>
      <c r="C4004" s="4" t="str" cm="1">
        <f t="array" ref="C4004">IFERROR(INDEX(EmployeeData[Full Name], ROW() - 37), "")</f>
        <v/>
      </c>
      <c r="D4004" s="4" t="str" cm="1">
        <f t="array" ref="D4004">IFERROR(INDEX(EmployeeData[Department], ROW() - 37), "")</f>
        <v/>
      </c>
      <c r="E4004" s="4" t="str" cm="1">
        <f t="array" ref="E4004">IFERROR(INDEX(EmployeeData[Gender], ROW() - 37), "")</f>
        <v/>
      </c>
      <c r="F4004" s="4" t="str" cm="1">
        <f t="array" ref="F4004">IFERROR(INDEX(EmployeeData[Age], ROW() - 37), "")</f>
        <v/>
      </c>
      <c r="G4004" s="6" t="str" cm="1">
        <f t="array" ref="G4004">IFERROR(INDEX(EmployeeData[Join Date], ROW() - 37), "")</f>
        <v/>
      </c>
      <c r="H4004" s="6" t="str" cm="1">
        <f t="array" ref="H4004">IFERROR(IF(INDEX(EmployeeData[Exit Date], ROW() - 37)=0, "",INDEX(EmployeeData[Exit Date], ROW() - 37)),"")</f>
        <v/>
      </c>
      <c r="I4004" s="4" t="str" cm="1">
        <f t="array" ref="I4004">IFERROR(IF(INDEX(EmployeeData[Exit Reason], ROW() - 37)=0, "",INDEX(EmployeeData[Exit Reason], ROW() - 37)),"")</f>
        <v/>
      </c>
      <c r="J4004" s="4" t="str" cm="1">
        <f t="array" ref="J4004">IFERROR(INDEX(EmployeeData[Status], ROW() - 37), "")</f>
        <v/>
      </c>
    </row>
    <row r="4005" spans="2:10" ht="19.95" customHeight="1" x14ac:dyDescent="0.3">
      <c r="B4005" s="4" t="str" cm="1">
        <f t="array" ref="B4005">IFERROR(INDEX(EmployeeData[Employee ID], ROW() - 37), "")</f>
        <v/>
      </c>
      <c r="C4005" s="4" t="str" cm="1">
        <f t="array" ref="C4005">IFERROR(INDEX(EmployeeData[Full Name], ROW() - 37), "")</f>
        <v/>
      </c>
      <c r="D4005" s="4" t="str" cm="1">
        <f t="array" ref="D4005">IFERROR(INDEX(EmployeeData[Department], ROW() - 37), "")</f>
        <v/>
      </c>
      <c r="E4005" s="4" t="str" cm="1">
        <f t="array" ref="E4005">IFERROR(INDEX(EmployeeData[Gender], ROW() - 37), "")</f>
        <v/>
      </c>
      <c r="F4005" s="4" t="str" cm="1">
        <f t="array" ref="F4005">IFERROR(INDEX(EmployeeData[Age], ROW() - 37), "")</f>
        <v/>
      </c>
      <c r="G4005" s="6" t="str" cm="1">
        <f t="array" ref="G4005">IFERROR(INDEX(EmployeeData[Join Date], ROW() - 37), "")</f>
        <v/>
      </c>
      <c r="H4005" s="6" t="str" cm="1">
        <f t="array" ref="H4005">IFERROR(IF(INDEX(EmployeeData[Exit Date], ROW() - 37)=0, "",INDEX(EmployeeData[Exit Date], ROW() - 37)),"")</f>
        <v/>
      </c>
      <c r="I4005" s="4" t="str" cm="1">
        <f t="array" ref="I4005">IFERROR(IF(INDEX(EmployeeData[Exit Reason], ROW() - 37)=0, "",INDEX(EmployeeData[Exit Reason], ROW() - 37)),"")</f>
        <v/>
      </c>
      <c r="J4005" s="4" t="str" cm="1">
        <f t="array" ref="J4005">IFERROR(INDEX(EmployeeData[Status], ROW() - 37), "")</f>
        <v/>
      </c>
    </row>
    <row r="4006" spans="2:10" ht="19.95" customHeight="1" x14ac:dyDescent="0.3">
      <c r="B4006" s="4" t="str" cm="1">
        <f t="array" ref="B4006">IFERROR(INDEX(EmployeeData[Employee ID], ROW() - 37), "")</f>
        <v/>
      </c>
      <c r="C4006" s="4" t="str" cm="1">
        <f t="array" ref="C4006">IFERROR(INDEX(EmployeeData[Full Name], ROW() - 37), "")</f>
        <v/>
      </c>
      <c r="D4006" s="4" t="str" cm="1">
        <f t="array" ref="D4006">IFERROR(INDEX(EmployeeData[Department], ROW() - 37), "")</f>
        <v/>
      </c>
      <c r="E4006" s="4" t="str" cm="1">
        <f t="array" ref="E4006">IFERROR(INDEX(EmployeeData[Gender], ROW() - 37), "")</f>
        <v/>
      </c>
      <c r="F4006" s="4" t="str" cm="1">
        <f t="array" ref="F4006">IFERROR(INDEX(EmployeeData[Age], ROW() - 37), "")</f>
        <v/>
      </c>
      <c r="G4006" s="6" t="str" cm="1">
        <f t="array" ref="G4006">IFERROR(INDEX(EmployeeData[Join Date], ROW() - 37), "")</f>
        <v/>
      </c>
      <c r="H4006" s="6" t="str" cm="1">
        <f t="array" ref="H4006">IFERROR(IF(INDEX(EmployeeData[Exit Date], ROW() - 37)=0, "",INDEX(EmployeeData[Exit Date], ROW() - 37)),"")</f>
        <v/>
      </c>
      <c r="I4006" s="4" t="str" cm="1">
        <f t="array" ref="I4006">IFERROR(IF(INDEX(EmployeeData[Exit Reason], ROW() - 37)=0, "",INDEX(EmployeeData[Exit Reason], ROW() - 37)),"")</f>
        <v/>
      </c>
      <c r="J4006" s="4" t="str" cm="1">
        <f t="array" ref="J4006">IFERROR(INDEX(EmployeeData[Status], ROW() - 37), "")</f>
        <v/>
      </c>
    </row>
    <row r="4007" spans="2:10" ht="19.95" customHeight="1" x14ac:dyDescent="0.3">
      <c r="B4007" s="4" t="str" cm="1">
        <f t="array" ref="B4007">IFERROR(INDEX(EmployeeData[Employee ID], ROW() - 37), "")</f>
        <v/>
      </c>
      <c r="C4007" s="4" t="str" cm="1">
        <f t="array" ref="C4007">IFERROR(INDEX(EmployeeData[Full Name], ROW() - 37), "")</f>
        <v/>
      </c>
      <c r="D4007" s="4" t="str" cm="1">
        <f t="array" ref="D4007">IFERROR(INDEX(EmployeeData[Department], ROW() - 37), "")</f>
        <v/>
      </c>
      <c r="E4007" s="4" t="str" cm="1">
        <f t="array" ref="E4007">IFERROR(INDEX(EmployeeData[Gender], ROW() - 37), "")</f>
        <v/>
      </c>
      <c r="F4007" s="4" t="str" cm="1">
        <f t="array" ref="F4007">IFERROR(INDEX(EmployeeData[Age], ROW() - 37), "")</f>
        <v/>
      </c>
      <c r="G4007" s="6" t="str" cm="1">
        <f t="array" ref="G4007">IFERROR(INDEX(EmployeeData[Join Date], ROW() - 37), "")</f>
        <v/>
      </c>
      <c r="H4007" s="6" t="str" cm="1">
        <f t="array" ref="H4007">IFERROR(IF(INDEX(EmployeeData[Exit Date], ROW() - 37)=0, "",INDEX(EmployeeData[Exit Date], ROW() - 37)),"")</f>
        <v/>
      </c>
      <c r="I4007" s="4" t="str" cm="1">
        <f t="array" ref="I4007">IFERROR(IF(INDEX(EmployeeData[Exit Reason], ROW() - 37)=0, "",INDEX(EmployeeData[Exit Reason], ROW() - 37)),"")</f>
        <v/>
      </c>
      <c r="J4007" s="4" t="str" cm="1">
        <f t="array" ref="J4007">IFERROR(INDEX(EmployeeData[Status], ROW() - 37), "")</f>
        <v/>
      </c>
    </row>
    <row r="4008" spans="2:10" ht="19.95" customHeight="1" x14ac:dyDescent="0.3">
      <c r="B4008" s="4" t="str" cm="1">
        <f t="array" ref="B4008">IFERROR(INDEX(EmployeeData[Employee ID], ROW() - 37), "")</f>
        <v/>
      </c>
      <c r="C4008" s="4" t="str" cm="1">
        <f t="array" ref="C4008">IFERROR(INDEX(EmployeeData[Full Name], ROW() - 37), "")</f>
        <v/>
      </c>
      <c r="D4008" s="4" t="str" cm="1">
        <f t="array" ref="D4008">IFERROR(INDEX(EmployeeData[Department], ROW() - 37), "")</f>
        <v/>
      </c>
      <c r="E4008" s="4" t="str" cm="1">
        <f t="array" ref="E4008">IFERROR(INDEX(EmployeeData[Gender], ROW() - 37), "")</f>
        <v/>
      </c>
      <c r="F4008" s="4" t="str" cm="1">
        <f t="array" ref="F4008">IFERROR(INDEX(EmployeeData[Age], ROW() - 37), "")</f>
        <v/>
      </c>
      <c r="G4008" s="6" t="str" cm="1">
        <f t="array" ref="G4008">IFERROR(INDEX(EmployeeData[Join Date], ROW() - 37), "")</f>
        <v/>
      </c>
      <c r="H4008" s="6" t="str" cm="1">
        <f t="array" ref="H4008">IFERROR(IF(INDEX(EmployeeData[Exit Date], ROW() - 37)=0, "",INDEX(EmployeeData[Exit Date], ROW() - 37)),"")</f>
        <v/>
      </c>
      <c r="I4008" s="4" t="str" cm="1">
        <f t="array" ref="I4008">IFERROR(IF(INDEX(EmployeeData[Exit Reason], ROW() - 37)=0, "",INDEX(EmployeeData[Exit Reason], ROW() - 37)),"")</f>
        <v/>
      </c>
      <c r="J4008" s="4" t="str" cm="1">
        <f t="array" ref="J4008">IFERROR(INDEX(EmployeeData[Status], ROW() - 37), "")</f>
        <v/>
      </c>
    </row>
    <row r="4009" spans="2:10" ht="19.95" customHeight="1" x14ac:dyDescent="0.3">
      <c r="B4009" s="4" t="str" cm="1">
        <f t="array" ref="B4009">IFERROR(INDEX(EmployeeData[Employee ID], ROW() - 37), "")</f>
        <v/>
      </c>
      <c r="C4009" s="4" t="str" cm="1">
        <f t="array" ref="C4009">IFERROR(INDEX(EmployeeData[Full Name], ROW() - 37), "")</f>
        <v/>
      </c>
      <c r="D4009" s="4" t="str" cm="1">
        <f t="array" ref="D4009">IFERROR(INDEX(EmployeeData[Department], ROW() - 37), "")</f>
        <v/>
      </c>
      <c r="E4009" s="4" t="str" cm="1">
        <f t="array" ref="E4009">IFERROR(INDEX(EmployeeData[Gender], ROW() - 37), "")</f>
        <v/>
      </c>
      <c r="F4009" s="4" t="str" cm="1">
        <f t="array" ref="F4009">IFERROR(INDEX(EmployeeData[Age], ROW() - 37), "")</f>
        <v/>
      </c>
      <c r="G4009" s="6" t="str" cm="1">
        <f t="array" ref="G4009">IFERROR(INDEX(EmployeeData[Join Date], ROW() - 37), "")</f>
        <v/>
      </c>
      <c r="H4009" s="6" t="str" cm="1">
        <f t="array" ref="H4009">IFERROR(IF(INDEX(EmployeeData[Exit Date], ROW() - 37)=0, "",INDEX(EmployeeData[Exit Date], ROW() - 37)),"")</f>
        <v/>
      </c>
      <c r="I4009" s="4" t="str" cm="1">
        <f t="array" ref="I4009">IFERROR(IF(INDEX(EmployeeData[Exit Reason], ROW() - 37)=0, "",INDEX(EmployeeData[Exit Reason], ROW() - 37)),"")</f>
        <v/>
      </c>
      <c r="J4009" s="4" t="str" cm="1">
        <f t="array" ref="J4009">IFERROR(INDEX(EmployeeData[Status], ROW() - 37), "")</f>
        <v/>
      </c>
    </row>
    <row r="4010" spans="2:10" ht="19.95" customHeight="1" x14ac:dyDescent="0.3">
      <c r="B4010" s="4" t="str" cm="1">
        <f t="array" ref="B4010">IFERROR(INDEX(EmployeeData[Employee ID], ROW() - 37), "")</f>
        <v/>
      </c>
      <c r="C4010" s="4" t="str" cm="1">
        <f t="array" ref="C4010">IFERROR(INDEX(EmployeeData[Full Name], ROW() - 37), "")</f>
        <v/>
      </c>
      <c r="D4010" s="4" t="str" cm="1">
        <f t="array" ref="D4010">IFERROR(INDEX(EmployeeData[Department], ROW() - 37), "")</f>
        <v/>
      </c>
      <c r="E4010" s="4" t="str" cm="1">
        <f t="array" ref="E4010">IFERROR(INDEX(EmployeeData[Gender], ROW() - 37), "")</f>
        <v/>
      </c>
      <c r="F4010" s="4" t="str" cm="1">
        <f t="array" ref="F4010">IFERROR(INDEX(EmployeeData[Age], ROW() - 37), "")</f>
        <v/>
      </c>
      <c r="G4010" s="6" t="str" cm="1">
        <f t="array" ref="G4010">IFERROR(INDEX(EmployeeData[Join Date], ROW() - 37), "")</f>
        <v/>
      </c>
      <c r="H4010" s="6" t="str" cm="1">
        <f t="array" ref="H4010">IFERROR(IF(INDEX(EmployeeData[Exit Date], ROW() - 37)=0, "",INDEX(EmployeeData[Exit Date], ROW() - 37)),"")</f>
        <v/>
      </c>
      <c r="I4010" s="4" t="str" cm="1">
        <f t="array" ref="I4010">IFERROR(IF(INDEX(EmployeeData[Exit Reason], ROW() - 37)=0, "",INDEX(EmployeeData[Exit Reason], ROW() - 37)),"")</f>
        <v/>
      </c>
      <c r="J4010" s="4" t="str" cm="1">
        <f t="array" ref="J4010">IFERROR(INDEX(EmployeeData[Status], ROW() - 37), "")</f>
        <v/>
      </c>
    </row>
    <row r="4011" spans="2:10" ht="19.95" customHeight="1" x14ac:dyDescent="0.3">
      <c r="B4011" s="4" t="str" cm="1">
        <f t="array" ref="B4011">IFERROR(INDEX(EmployeeData[Employee ID], ROW() - 37), "")</f>
        <v/>
      </c>
      <c r="C4011" s="4" t="str" cm="1">
        <f t="array" ref="C4011">IFERROR(INDEX(EmployeeData[Full Name], ROW() - 37), "")</f>
        <v/>
      </c>
      <c r="D4011" s="4" t="str" cm="1">
        <f t="array" ref="D4011">IFERROR(INDEX(EmployeeData[Department], ROW() - 37), "")</f>
        <v/>
      </c>
      <c r="E4011" s="4" t="str" cm="1">
        <f t="array" ref="E4011">IFERROR(INDEX(EmployeeData[Gender], ROW() - 37), "")</f>
        <v/>
      </c>
      <c r="F4011" s="4" t="str" cm="1">
        <f t="array" ref="F4011">IFERROR(INDEX(EmployeeData[Age], ROW() - 37), "")</f>
        <v/>
      </c>
      <c r="G4011" s="6" t="str" cm="1">
        <f t="array" ref="G4011">IFERROR(INDEX(EmployeeData[Join Date], ROW() - 37), "")</f>
        <v/>
      </c>
      <c r="H4011" s="6" t="str" cm="1">
        <f t="array" ref="H4011">IFERROR(IF(INDEX(EmployeeData[Exit Date], ROW() - 37)=0, "",INDEX(EmployeeData[Exit Date], ROW() - 37)),"")</f>
        <v/>
      </c>
      <c r="I4011" s="4" t="str" cm="1">
        <f t="array" ref="I4011">IFERROR(IF(INDEX(EmployeeData[Exit Reason], ROW() - 37)=0, "",INDEX(EmployeeData[Exit Reason], ROW() - 37)),"")</f>
        <v/>
      </c>
      <c r="J4011" s="4" t="str" cm="1">
        <f t="array" ref="J4011">IFERROR(INDEX(EmployeeData[Status], ROW() - 37), "")</f>
        <v/>
      </c>
    </row>
    <row r="4012" spans="2:10" ht="19.95" customHeight="1" x14ac:dyDescent="0.3">
      <c r="B4012" s="4" t="str" cm="1">
        <f t="array" ref="B4012">IFERROR(INDEX(EmployeeData[Employee ID], ROW() - 37), "")</f>
        <v/>
      </c>
      <c r="C4012" s="4" t="str" cm="1">
        <f t="array" ref="C4012">IFERROR(INDEX(EmployeeData[Full Name], ROW() - 37), "")</f>
        <v/>
      </c>
      <c r="D4012" s="4" t="str" cm="1">
        <f t="array" ref="D4012">IFERROR(INDEX(EmployeeData[Department], ROW() - 37), "")</f>
        <v/>
      </c>
      <c r="E4012" s="4" t="str" cm="1">
        <f t="array" ref="E4012">IFERROR(INDEX(EmployeeData[Gender], ROW() - 37), "")</f>
        <v/>
      </c>
      <c r="F4012" s="4" t="str" cm="1">
        <f t="array" ref="F4012">IFERROR(INDEX(EmployeeData[Age], ROW() - 37), "")</f>
        <v/>
      </c>
      <c r="G4012" s="6" t="str" cm="1">
        <f t="array" ref="G4012">IFERROR(INDEX(EmployeeData[Join Date], ROW() - 37), "")</f>
        <v/>
      </c>
      <c r="H4012" s="6" t="str" cm="1">
        <f t="array" ref="H4012">IFERROR(IF(INDEX(EmployeeData[Exit Date], ROW() - 37)=0, "",INDEX(EmployeeData[Exit Date], ROW() - 37)),"")</f>
        <v/>
      </c>
      <c r="I4012" s="4" t="str" cm="1">
        <f t="array" ref="I4012">IFERROR(IF(INDEX(EmployeeData[Exit Reason], ROW() - 37)=0, "",INDEX(EmployeeData[Exit Reason], ROW() - 37)),"")</f>
        <v/>
      </c>
      <c r="J4012" s="4" t="str" cm="1">
        <f t="array" ref="J4012">IFERROR(INDEX(EmployeeData[Status], ROW() - 37), "")</f>
        <v/>
      </c>
    </row>
    <row r="4013" spans="2:10" ht="19.95" customHeight="1" x14ac:dyDescent="0.3">
      <c r="B4013" s="4" t="str" cm="1">
        <f t="array" ref="B4013">IFERROR(INDEX(EmployeeData[Employee ID], ROW() - 37), "")</f>
        <v/>
      </c>
      <c r="C4013" s="4" t="str" cm="1">
        <f t="array" ref="C4013">IFERROR(INDEX(EmployeeData[Full Name], ROW() - 37), "")</f>
        <v/>
      </c>
      <c r="D4013" s="4" t="str" cm="1">
        <f t="array" ref="D4013">IFERROR(INDEX(EmployeeData[Department], ROW() - 37), "")</f>
        <v/>
      </c>
      <c r="E4013" s="4" t="str" cm="1">
        <f t="array" ref="E4013">IFERROR(INDEX(EmployeeData[Gender], ROW() - 37), "")</f>
        <v/>
      </c>
      <c r="F4013" s="4" t="str" cm="1">
        <f t="array" ref="F4013">IFERROR(INDEX(EmployeeData[Age], ROW() - 37), "")</f>
        <v/>
      </c>
      <c r="G4013" s="6" t="str" cm="1">
        <f t="array" ref="G4013">IFERROR(INDEX(EmployeeData[Join Date], ROW() - 37), "")</f>
        <v/>
      </c>
      <c r="H4013" s="6" t="str" cm="1">
        <f t="array" ref="H4013">IFERROR(IF(INDEX(EmployeeData[Exit Date], ROW() - 37)=0, "",INDEX(EmployeeData[Exit Date], ROW() - 37)),"")</f>
        <v/>
      </c>
      <c r="I4013" s="4" t="str" cm="1">
        <f t="array" ref="I4013">IFERROR(IF(INDEX(EmployeeData[Exit Reason], ROW() - 37)=0, "",INDEX(EmployeeData[Exit Reason], ROW() - 37)),"")</f>
        <v/>
      </c>
      <c r="J4013" s="4" t="str" cm="1">
        <f t="array" ref="J4013">IFERROR(INDEX(EmployeeData[Status], ROW() - 37), "")</f>
        <v/>
      </c>
    </row>
    <row r="4014" spans="2:10" ht="19.95" customHeight="1" x14ac:dyDescent="0.3">
      <c r="B4014" s="4" t="str" cm="1">
        <f t="array" ref="B4014">IFERROR(INDEX(EmployeeData[Employee ID], ROW() - 37), "")</f>
        <v/>
      </c>
      <c r="C4014" s="4" t="str" cm="1">
        <f t="array" ref="C4014">IFERROR(INDEX(EmployeeData[Full Name], ROW() - 37), "")</f>
        <v/>
      </c>
      <c r="D4014" s="4" t="str" cm="1">
        <f t="array" ref="D4014">IFERROR(INDEX(EmployeeData[Department], ROW() - 37), "")</f>
        <v/>
      </c>
      <c r="E4014" s="4" t="str" cm="1">
        <f t="array" ref="E4014">IFERROR(INDEX(EmployeeData[Gender], ROW() - 37), "")</f>
        <v/>
      </c>
      <c r="F4014" s="4" t="str" cm="1">
        <f t="array" ref="F4014">IFERROR(INDEX(EmployeeData[Age], ROW() - 37), "")</f>
        <v/>
      </c>
      <c r="G4014" s="6" t="str" cm="1">
        <f t="array" ref="G4014">IFERROR(INDEX(EmployeeData[Join Date], ROW() - 37), "")</f>
        <v/>
      </c>
      <c r="H4014" s="6" t="str" cm="1">
        <f t="array" ref="H4014">IFERROR(IF(INDEX(EmployeeData[Exit Date], ROW() - 37)=0, "",INDEX(EmployeeData[Exit Date], ROW() - 37)),"")</f>
        <v/>
      </c>
      <c r="I4014" s="4" t="str" cm="1">
        <f t="array" ref="I4014">IFERROR(IF(INDEX(EmployeeData[Exit Reason], ROW() - 37)=0, "",INDEX(EmployeeData[Exit Reason], ROW() - 37)),"")</f>
        <v/>
      </c>
      <c r="J4014" s="4" t="str" cm="1">
        <f t="array" ref="J4014">IFERROR(INDEX(EmployeeData[Status], ROW() - 37), "")</f>
        <v/>
      </c>
    </row>
    <row r="4015" spans="2:10" ht="19.95" customHeight="1" x14ac:dyDescent="0.3">
      <c r="B4015" s="4" t="str" cm="1">
        <f t="array" ref="B4015">IFERROR(INDEX(EmployeeData[Employee ID], ROW() - 37), "")</f>
        <v/>
      </c>
      <c r="C4015" s="4" t="str" cm="1">
        <f t="array" ref="C4015">IFERROR(INDEX(EmployeeData[Full Name], ROW() - 37), "")</f>
        <v/>
      </c>
      <c r="D4015" s="4" t="str" cm="1">
        <f t="array" ref="D4015">IFERROR(INDEX(EmployeeData[Department], ROW() - 37), "")</f>
        <v/>
      </c>
      <c r="E4015" s="4" t="str" cm="1">
        <f t="array" ref="E4015">IFERROR(INDEX(EmployeeData[Gender], ROW() - 37), "")</f>
        <v/>
      </c>
      <c r="F4015" s="4" t="str" cm="1">
        <f t="array" ref="F4015">IFERROR(INDEX(EmployeeData[Age], ROW() - 37), "")</f>
        <v/>
      </c>
      <c r="G4015" s="6" t="str" cm="1">
        <f t="array" ref="G4015">IFERROR(INDEX(EmployeeData[Join Date], ROW() - 37), "")</f>
        <v/>
      </c>
      <c r="H4015" s="6" t="str" cm="1">
        <f t="array" ref="H4015">IFERROR(IF(INDEX(EmployeeData[Exit Date], ROW() - 37)=0, "",INDEX(EmployeeData[Exit Date], ROW() - 37)),"")</f>
        <v/>
      </c>
      <c r="I4015" s="4" t="str" cm="1">
        <f t="array" ref="I4015">IFERROR(IF(INDEX(EmployeeData[Exit Reason], ROW() - 37)=0, "",INDEX(EmployeeData[Exit Reason], ROW() - 37)),"")</f>
        <v/>
      </c>
      <c r="J4015" s="4" t="str" cm="1">
        <f t="array" ref="J4015">IFERROR(INDEX(EmployeeData[Status], ROW() - 37), "")</f>
        <v/>
      </c>
    </row>
    <row r="4016" spans="2:10" ht="19.95" customHeight="1" x14ac:dyDescent="0.3">
      <c r="B4016" s="4" t="str" cm="1">
        <f t="array" ref="B4016">IFERROR(INDEX(EmployeeData[Employee ID], ROW() - 37), "")</f>
        <v/>
      </c>
      <c r="C4016" s="4" t="str" cm="1">
        <f t="array" ref="C4016">IFERROR(INDEX(EmployeeData[Full Name], ROW() - 37), "")</f>
        <v/>
      </c>
      <c r="D4016" s="4" t="str" cm="1">
        <f t="array" ref="D4016">IFERROR(INDEX(EmployeeData[Department], ROW() - 37), "")</f>
        <v/>
      </c>
      <c r="E4016" s="4" t="str" cm="1">
        <f t="array" ref="E4016">IFERROR(INDEX(EmployeeData[Gender], ROW() - 37), "")</f>
        <v/>
      </c>
      <c r="F4016" s="4" t="str" cm="1">
        <f t="array" ref="F4016">IFERROR(INDEX(EmployeeData[Age], ROW() - 37), "")</f>
        <v/>
      </c>
      <c r="G4016" s="6" t="str" cm="1">
        <f t="array" ref="G4016">IFERROR(INDEX(EmployeeData[Join Date], ROW() - 37), "")</f>
        <v/>
      </c>
      <c r="H4016" s="6" t="str" cm="1">
        <f t="array" ref="H4016">IFERROR(IF(INDEX(EmployeeData[Exit Date], ROW() - 37)=0, "",INDEX(EmployeeData[Exit Date], ROW() - 37)),"")</f>
        <v/>
      </c>
      <c r="I4016" s="4" t="str" cm="1">
        <f t="array" ref="I4016">IFERROR(IF(INDEX(EmployeeData[Exit Reason], ROW() - 37)=0, "",INDEX(EmployeeData[Exit Reason], ROW() - 37)),"")</f>
        <v/>
      </c>
      <c r="J4016" s="4" t="str" cm="1">
        <f t="array" ref="J4016">IFERROR(INDEX(EmployeeData[Status], ROW() - 37), "")</f>
        <v/>
      </c>
    </row>
    <row r="4017" spans="2:10" ht="19.95" customHeight="1" x14ac:dyDescent="0.3">
      <c r="B4017" s="4" t="str" cm="1">
        <f t="array" ref="B4017">IFERROR(INDEX(EmployeeData[Employee ID], ROW() - 37), "")</f>
        <v/>
      </c>
      <c r="C4017" s="4" t="str" cm="1">
        <f t="array" ref="C4017">IFERROR(INDEX(EmployeeData[Full Name], ROW() - 37), "")</f>
        <v/>
      </c>
      <c r="D4017" s="4" t="str" cm="1">
        <f t="array" ref="D4017">IFERROR(INDEX(EmployeeData[Department], ROW() - 37), "")</f>
        <v/>
      </c>
      <c r="E4017" s="4" t="str" cm="1">
        <f t="array" ref="E4017">IFERROR(INDEX(EmployeeData[Gender], ROW() - 37), "")</f>
        <v/>
      </c>
      <c r="F4017" s="4" t="str" cm="1">
        <f t="array" ref="F4017">IFERROR(INDEX(EmployeeData[Age], ROW() - 37), "")</f>
        <v/>
      </c>
      <c r="G4017" s="6" t="str" cm="1">
        <f t="array" ref="G4017">IFERROR(INDEX(EmployeeData[Join Date], ROW() - 37), "")</f>
        <v/>
      </c>
      <c r="H4017" s="6" t="str" cm="1">
        <f t="array" ref="H4017">IFERROR(IF(INDEX(EmployeeData[Exit Date], ROW() - 37)=0, "",INDEX(EmployeeData[Exit Date], ROW() - 37)),"")</f>
        <v/>
      </c>
      <c r="I4017" s="4" t="str" cm="1">
        <f t="array" ref="I4017">IFERROR(IF(INDEX(EmployeeData[Exit Reason], ROW() - 37)=0, "",INDEX(EmployeeData[Exit Reason], ROW() - 37)),"")</f>
        <v/>
      </c>
      <c r="J4017" s="4" t="str" cm="1">
        <f t="array" ref="J4017">IFERROR(INDEX(EmployeeData[Status], ROW() - 37), "")</f>
        <v/>
      </c>
    </row>
    <row r="4018" spans="2:10" ht="19.95" customHeight="1" x14ac:dyDescent="0.3">
      <c r="B4018" s="4" t="str" cm="1">
        <f t="array" ref="B4018">IFERROR(INDEX(EmployeeData[Employee ID], ROW() - 37), "")</f>
        <v/>
      </c>
      <c r="C4018" s="4" t="str" cm="1">
        <f t="array" ref="C4018">IFERROR(INDEX(EmployeeData[Full Name], ROW() - 37), "")</f>
        <v/>
      </c>
      <c r="D4018" s="4" t="str" cm="1">
        <f t="array" ref="D4018">IFERROR(INDEX(EmployeeData[Department], ROW() - 37), "")</f>
        <v/>
      </c>
      <c r="E4018" s="4" t="str" cm="1">
        <f t="array" ref="E4018">IFERROR(INDEX(EmployeeData[Gender], ROW() - 37), "")</f>
        <v/>
      </c>
      <c r="F4018" s="4" t="str" cm="1">
        <f t="array" ref="F4018">IFERROR(INDEX(EmployeeData[Age], ROW() - 37), "")</f>
        <v/>
      </c>
      <c r="G4018" s="6" t="str" cm="1">
        <f t="array" ref="G4018">IFERROR(INDEX(EmployeeData[Join Date], ROW() - 37), "")</f>
        <v/>
      </c>
      <c r="H4018" s="6" t="str" cm="1">
        <f t="array" ref="H4018">IFERROR(IF(INDEX(EmployeeData[Exit Date], ROW() - 37)=0, "",INDEX(EmployeeData[Exit Date], ROW() - 37)),"")</f>
        <v/>
      </c>
      <c r="I4018" s="4" t="str" cm="1">
        <f t="array" ref="I4018">IFERROR(IF(INDEX(EmployeeData[Exit Reason], ROW() - 37)=0, "",INDEX(EmployeeData[Exit Reason], ROW() - 37)),"")</f>
        <v/>
      </c>
      <c r="J4018" s="4" t="str" cm="1">
        <f t="array" ref="J4018">IFERROR(INDEX(EmployeeData[Status], ROW() - 37), "")</f>
        <v/>
      </c>
    </row>
    <row r="4019" spans="2:10" ht="19.95" customHeight="1" x14ac:dyDescent="0.3">
      <c r="B4019" s="4" t="str" cm="1">
        <f t="array" ref="B4019">IFERROR(INDEX(EmployeeData[Employee ID], ROW() - 37), "")</f>
        <v/>
      </c>
      <c r="C4019" s="4" t="str" cm="1">
        <f t="array" ref="C4019">IFERROR(INDEX(EmployeeData[Full Name], ROW() - 37), "")</f>
        <v/>
      </c>
      <c r="D4019" s="4" t="str" cm="1">
        <f t="array" ref="D4019">IFERROR(INDEX(EmployeeData[Department], ROW() - 37), "")</f>
        <v/>
      </c>
      <c r="E4019" s="4" t="str" cm="1">
        <f t="array" ref="E4019">IFERROR(INDEX(EmployeeData[Gender], ROW() - 37), "")</f>
        <v/>
      </c>
      <c r="F4019" s="4" t="str" cm="1">
        <f t="array" ref="F4019">IFERROR(INDEX(EmployeeData[Age], ROW() - 37), "")</f>
        <v/>
      </c>
      <c r="G4019" s="6" t="str" cm="1">
        <f t="array" ref="G4019">IFERROR(INDEX(EmployeeData[Join Date], ROW() - 37), "")</f>
        <v/>
      </c>
      <c r="H4019" s="6" t="str" cm="1">
        <f t="array" ref="H4019">IFERROR(IF(INDEX(EmployeeData[Exit Date], ROW() - 37)=0, "",INDEX(EmployeeData[Exit Date], ROW() - 37)),"")</f>
        <v/>
      </c>
      <c r="I4019" s="4" t="str" cm="1">
        <f t="array" ref="I4019">IFERROR(IF(INDEX(EmployeeData[Exit Reason], ROW() - 37)=0, "",INDEX(EmployeeData[Exit Reason], ROW() - 37)),"")</f>
        <v/>
      </c>
      <c r="J4019" s="4" t="str" cm="1">
        <f t="array" ref="J4019">IFERROR(INDEX(EmployeeData[Status], ROW() - 37), "")</f>
        <v/>
      </c>
    </row>
    <row r="4020" spans="2:10" ht="19.95" customHeight="1" x14ac:dyDescent="0.3">
      <c r="B4020" s="4" t="str" cm="1">
        <f t="array" ref="B4020">IFERROR(INDEX(EmployeeData[Employee ID], ROW() - 37), "")</f>
        <v/>
      </c>
      <c r="C4020" s="4" t="str" cm="1">
        <f t="array" ref="C4020">IFERROR(INDEX(EmployeeData[Full Name], ROW() - 37), "")</f>
        <v/>
      </c>
      <c r="D4020" s="4" t="str" cm="1">
        <f t="array" ref="D4020">IFERROR(INDEX(EmployeeData[Department], ROW() - 37), "")</f>
        <v/>
      </c>
      <c r="E4020" s="4" t="str" cm="1">
        <f t="array" ref="E4020">IFERROR(INDEX(EmployeeData[Gender], ROW() - 37), "")</f>
        <v/>
      </c>
      <c r="F4020" s="4" t="str" cm="1">
        <f t="array" ref="F4020">IFERROR(INDEX(EmployeeData[Age], ROW() - 37), "")</f>
        <v/>
      </c>
      <c r="G4020" s="6" t="str" cm="1">
        <f t="array" ref="G4020">IFERROR(INDEX(EmployeeData[Join Date], ROW() - 37), "")</f>
        <v/>
      </c>
      <c r="H4020" s="6" t="str" cm="1">
        <f t="array" ref="H4020">IFERROR(IF(INDEX(EmployeeData[Exit Date], ROW() - 37)=0, "",INDEX(EmployeeData[Exit Date], ROW() - 37)),"")</f>
        <v/>
      </c>
      <c r="I4020" s="4" t="str" cm="1">
        <f t="array" ref="I4020">IFERROR(IF(INDEX(EmployeeData[Exit Reason], ROW() - 37)=0, "",INDEX(EmployeeData[Exit Reason], ROW() - 37)),"")</f>
        <v/>
      </c>
      <c r="J4020" s="4" t="str" cm="1">
        <f t="array" ref="J4020">IFERROR(INDEX(EmployeeData[Status], ROW() - 37), "")</f>
        <v/>
      </c>
    </row>
    <row r="4021" spans="2:10" ht="19.95" customHeight="1" x14ac:dyDescent="0.3">
      <c r="B4021" s="4" t="str" cm="1">
        <f t="array" ref="B4021">IFERROR(INDEX(EmployeeData[Employee ID], ROW() - 37), "")</f>
        <v/>
      </c>
      <c r="C4021" s="4" t="str" cm="1">
        <f t="array" ref="C4021">IFERROR(INDEX(EmployeeData[Full Name], ROW() - 37), "")</f>
        <v/>
      </c>
      <c r="D4021" s="4" t="str" cm="1">
        <f t="array" ref="D4021">IFERROR(INDEX(EmployeeData[Department], ROW() - 37), "")</f>
        <v/>
      </c>
      <c r="E4021" s="4" t="str" cm="1">
        <f t="array" ref="E4021">IFERROR(INDEX(EmployeeData[Gender], ROW() - 37), "")</f>
        <v/>
      </c>
      <c r="F4021" s="4" t="str" cm="1">
        <f t="array" ref="F4021">IFERROR(INDEX(EmployeeData[Age], ROW() - 37), "")</f>
        <v/>
      </c>
      <c r="G4021" s="6" t="str" cm="1">
        <f t="array" ref="G4021">IFERROR(INDEX(EmployeeData[Join Date], ROW() - 37), "")</f>
        <v/>
      </c>
      <c r="H4021" s="6" t="str" cm="1">
        <f t="array" ref="H4021">IFERROR(IF(INDEX(EmployeeData[Exit Date], ROW() - 37)=0, "",INDEX(EmployeeData[Exit Date], ROW() - 37)),"")</f>
        <v/>
      </c>
      <c r="I4021" s="4" t="str" cm="1">
        <f t="array" ref="I4021">IFERROR(IF(INDEX(EmployeeData[Exit Reason], ROW() - 37)=0, "",INDEX(EmployeeData[Exit Reason], ROW() - 37)),"")</f>
        <v/>
      </c>
      <c r="J4021" s="4" t="str" cm="1">
        <f t="array" ref="J4021">IFERROR(INDEX(EmployeeData[Status], ROW() - 37), "")</f>
        <v/>
      </c>
    </row>
    <row r="4022" spans="2:10" ht="19.95" customHeight="1" x14ac:dyDescent="0.3">
      <c r="B4022" s="4" t="str" cm="1">
        <f t="array" ref="B4022">IFERROR(INDEX(EmployeeData[Employee ID], ROW() - 37), "")</f>
        <v/>
      </c>
      <c r="C4022" s="4" t="str" cm="1">
        <f t="array" ref="C4022">IFERROR(INDEX(EmployeeData[Full Name], ROW() - 37), "")</f>
        <v/>
      </c>
      <c r="D4022" s="4" t="str" cm="1">
        <f t="array" ref="D4022">IFERROR(INDEX(EmployeeData[Department], ROW() - 37), "")</f>
        <v/>
      </c>
      <c r="E4022" s="4" t="str" cm="1">
        <f t="array" ref="E4022">IFERROR(INDEX(EmployeeData[Gender], ROW() - 37), "")</f>
        <v/>
      </c>
      <c r="F4022" s="4" t="str" cm="1">
        <f t="array" ref="F4022">IFERROR(INDEX(EmployeeData[Age], ROW() - 37), "")</f>
        <v/>
      </c>
      <c r="G4022" s="6" t="str" cm="1">
        <f t="array" ref="G4022">IFERROR(INDEX(EmployeeData[Join Date], ROW() - 37), "")</f>
        <v/>
      </c>
      <c r="H4022" s="6" t="str" cm="1">
        <f t="array" ref="H4022">IFERROR(IF(INDEX(EmployeeData[Exit Date], ROW() - 37)=0, "",INDEX(EmployeeData[Exit Date], ROW() - 37)),"")</f>
        <v/>
      </c>
      <c r="I4022" s="4" t="str" cm="1">
        <f t="array" ref="I4022">IFERROR(IF(INDEX(EmployeeData[Exit Reason], ROW() - 37)=0, "",INDEX(EmployeeData[Exit Reason], ROW() - 37)),"")</f>
        <v/>
      </c>
      <c r="J4022" s="4" t="str" cm="1">
        <f t="array" ref="J4022">IFERROR(INDEX(EmployeeData[Status], ROW() - 37), "")</f>
        <v/>
      </c>
    </row>
    <row r="4023" spans="2:10" ht="19.95" customHeight="1" x14ac:dyDescent="0.3">
      <c r="B4023" s="4" t="str" cm="1">
        <f t="array" ref="B4023">IFERROR(INDEX(EmployeeData[Employee ID], ROW() - 37), "")</f>
        <v/>
      </c>
      <c r="C4023" s="4" t="str" cm="1">
        <f t="array" ref="C4023">IFERROR(INDEX(EmployeeData[Full Name], ROW() - 37), "")</f>
        <v/>
      </c>
      <c r="D4023" s="4" t="str" cm="1">
        <f t="array" ref="D4023">IFERROR(INDEX(EmployeeData[Department], ROW() - 37), "")</f>
        <v/>
      </c>
      <c r="E4023" s="4" t="str" cm="1">
        <f t="array" ref="E4023">IFERROR(INDEX(EmployeeData[Gender], ROW() - 37), "")</f>
        <v/>
      </c>
      <c r="F4023" s="4" t="str" cm="1">
        <f t="array" ref="F4023">IFERROR(INDEX(EmployeeData[Age], ROW() - 37), "")</f>
        <v/>
      </c>
      <c r="G4023" s="6" t="str" cm="1">
        <f t="array" ref="G4023">IFERROR(INDEX(EmployeeData[Join Date], ROW() - 37), "")</f>
        <v/>
      </c>
      <c r="H4023" s="6" t="str" cm="1">
        <f t="array" ref="H4023">IFERROR(IF(INDEX(EmployeeData[Exit Date], ROW() - 37)=0, "",INDEX(EmployeeData[Exit Date], ROW() - 37)),"")</f>
        <v/>
      </c>
      <c r="I4023" s="4" t="str" cm="1">
        <f t="array" ref="I4023">IFERROR(IF(INDEX(EmployeeData[Exit Reason], ROW() - 37)=0, "",INDEX(EmployeeData[Exit Reason], ROW() - 37)),"")</f>
        <v/>
      </c>
      <c r="J4023" s="4" t="str" cm="1">
        <f t="array" ref="J4023">IFERROR(INDEX(EmployeeData[Status], ROW() - 37), "")</f>
        <v/>
      </c>
    </row>
    <row r="4024" spans="2:10" ht="19.95" customHeight="1" x14ac:dyDescent="0.3">
      <c r="B4024" s="4" t="str" cm="1">
        <f t="array" ref="B4024">IFERROR(INDEX(EmployeeData[Employee ID], ROW() - 37), "")</f>
        <v/>
      </c>
      <c r="C4024" s="4" t="str" cm="1">
        <f t="array" ref="C4024">IFERROR(INDEX(EmployeeData[Full Name], ROW() - 37), "")</f>
        <v/>
      </c>
      <c r="D4024" s="4" t="str" cm="1">
        <f t="array" ref="D4024">IFERROR(INDEX(EmployeeData[Department], ROW() - 37), "")</f>
        <v/>
      </c>
      <c r="E4024" s="4" t="str" cm="1">
        <f t="array" ref="E4024">IFERROR(INDEX(EmployeeData[Gender], ROW() - 37), "")</f>
        <v/>
      </c>
      <c r="F4024" s="4" t="str" cm="1">
        <f t="array" ref="F4024">IFERROR(INDEX(EmployeeData[Age], ROW() - 37), "")</f>
        <v/>
      </c>
      <c r="G4024" s="6" t="str" cm="1">
        <f t="array" ref="G4024">IFERROR(INDEX(EmployeeData[Join Date], ROW() - 37), "")</f>
        <v/>
      </c>
      <c r="H4024" s="6" t="str" cm="1">
        <f t="array" ref="H4024">IFERROR(IF(INDEX(EmployeeData[Exit Date], ROW() - 37)=0, "",INDEX(EmployeeData[Exit Date], ROW() - 37)),"")</f>
        <v/>
      </c>
      <c r="I4024" s="4" t="str" cm="1">
        <f t="array" ref="I4024">IFERROR(IF(INDEX(EmployeeData[Exit Reason], ROW() - 37)=0, "",INDEX(EmployeeData[Exit Reason], ROW() - 37)),"")</f>
        <v/>
      </c>
      <c r="J4024" s="4" t="str" cm="1">
        <f t="array" ref="J4024">IFERROR(INDEX(EmployeeData[Status], ROW() - 37), "")</f>
        <v/>
      </c>
    </row>
    <row r="4025" spans="2:10" ht="19.95" customHeight="1" x14ac:dyDescent="0.3">
      <c r="B4025" s="4" t="str" cm="1">
        <f t="array" ref="B4025">IFERROR(INDEX(EmployeeData[Employee ID], ROW() - 37), "")</f>
        <v/>
      </c>
      <c r="C4025" s="4" t="str" cm="1">
        <f t="array" ref="C4025">IFERROR(INDEX(EmployeeData[Full Name], ROW() - 37), "")</f>
        <v/>
      </c>
      <c r="D4025" s="4" t="str" cm="1">
        <f t="array" ref="D4025">IFERROR(INDEX(EmployeeData[Department], ROW() - 37), "")</f>
        <v/>
      </c>
      <c r="E4025" s="4" t="str" cm="1">
        <f t="array" ref="E4025">IFERROR(INDEX(EmployeeData[Gender], ROW() - 37), "")</f>
        <v/>
      </c>
      <c r="F4025" s="4" t="str" cm="1">
        <f t="array" ref="F4025">IFERROR(INDEX(EmployeeData[Age], ROW() - 37), "")</f>
        <v/>
      </c>
      <c r="G4025" s="6" t="str" cm="1">
        <f t="array" ref="G4025">IFERROR(INDEX(EmployeeData[Join Date], ROW() - 37), "")</f>
        <v/>
      </c>
      <c r="H4025" s="6" t="str" cm="1">
        <f t="array" ref="H4025">IFERROR(IF(INDEX(EmployeeData[Exit Date], ROW() - 37)=0, "",INDEX(EmployeeData[Exit Date], ROW() - 37)),"")</f>
        <v/>
      </c>
      <c r="I4025" s="4" t="str" cm="1">
        <f t="array" ref="I4025">IFERROR(IF(INDEX(EmployeeData[Exit Reason], ROW() - 37)=0, "",INDEX(EmployeeData[Exit Reason], ROW() - 37)),"")</f>
        <v/>
      </c>
      <c r="J4025" s="4" t="str" cm="1">
        <f t="array" ref="J4025">IFERROR(INDEX(EmployeeData[Status], ROW() - 37), "")</f>
        <v/>
      </c>
    </row>
    <row r="4026" spans="2:10" ht="19.95" customHeight="1" x14ac:dyDescent="0.3">
      <c r="B4026" s="4" t="str" cm="1">
        <f t="array" ref="B4026">IFERROR(INDEX(EmployeeData[Employee ID], ROW() - 37), "")</f>
        <v/>
      </c>
      <c r="C4026" s="4" t="str" cm="1">
        <f t="array" ref="C4026">IFERROR(INDEX(EmployeeData[Full Name], ROW() - 37), "")</f>
        <v/>
      </c>
      <c r="D4026" s="4" t="str" cm="1">
        <f t="array" ref="D4026">IFERROR(INDEX(EmployeeData[Department], ROW() - 37), "")</f>
        <v/>
      </c>
      <c r="E4026" s="4" t="str" cm="1">
        <f t="array" ref="E4026">IFERROR(INDEX(EmployeeData[Gender], ROW() - 37), "")</f>
        <v/>
      </c>
      <c r="F4026" s="4" t="str" cm="1">
        <f t="array" ref="F4026">IFERROR(INDEX(EmployeeData[Age], ROW() - 37), "")</f>
        <v/>
      </c>
      <c r="G4026" s="6" t="str" cm="1">
        <f t="array" ref="G4026">IFERROR(INDEX(EmployeeData[Join Date], ROW() - 37), "")</f>
        <v/>
      </c>
      <c r="H4026" s="6" t="str" cm="1">
        <f t="array" ref="H4026">IFERROR(IF(INDEX(EmployeeData[Exit Date], ROW() - 37)=0, "",INDEX(EmployeeData[Exit Date], ROW() - 37)),"")</f>
        <v/>
      </c>
      <c r="I4026" s="4" t="str" cm="1">
        <f t="array" ref="I4026">IFERROR(IF(INDEX(EmployeeData[Exit Reason], ROW() - 37)=0, "",INDEX(EmployeeData[Exit Reason], ROW() - 37)),"")</f>
        <v/>
      </c>
      <c r="J4026" s="4" t="str" cm="1">
        <f t="array" ref="J4026">IFERROR(INDEX(EmployeeData[Status], ROW() - 37), "")</f>
        <v/>
      </c>
    </row>
    <row r="4027" spans="2:10" ht="19.95" customHeight="1" x14ac:dyDescent="0.3">
      <c r="B4027" s="4" t="str" cm="1">
        <f t="array" ref="B4027">IFERROR(INDEX(EmployeeData[Employee ID], ROW() - 37), "")</f>
        <v/>
      </c>
      <c r="C4027" s="4" t="str" cm="1">
        <f t="array" ref="C4027">IFERROR(INDEX(EmployeeData[Full Name], ROW() - 37), "")</f>
        <v/>
      </c>
      <c r="D4027" s="4" t="str" cm="1">
        <f t="array" ref="D4027">IFERROR(INDEX(EmployeeData[Department], ROW() - 37), "")</f>
        <v/>
      </c>
      <c r="E4027" s="4" t="str" cm="1">
        <f t="array" ref="E4027">IFERROR(INDEX(EmployeeData[Gender], ROW() - 37), "")</f>
        <v/>
      </c>
      <c r="F4027" s="4" t="str" cm="1">
        <f t="array" ref="F4027">IFERROR(INDEX(EmployeeData[Age], ROW() - 37), "")</f>
        <v/>
      </c>
      <c r="G4027" s="6" t="str" cm="1">
        <f t="array" ref="G4027">IFERROR(INDEX(EmployeeData[Join Date], ROW() - 37), "")</f>
        <v/>
      </c>
      <c r="H4027" s="6" t="str" cm="1">
        <f t="array" ref="H4027">IFERROR(IF(INDEX(EmployeeData[Exit Date], ROW() - 37)=0, "",INDEX(EmployeeData[Exit Date], ROW() - 37)),"")</f>
        <v/>
      </c>
      <c r="I4027" s="4" t="str" cm="1">
        <f t="array" ref="I4027">IFERROR(IF(INDEX(EmployeeData[Exit Reason], ROW() - 37)=0, "",INDEX(EmployeeData[Exit Reason], ROW() - 37)),"")</f>
        <v/>
      </c>
      <c r="J4027" s="4" t="str" cm="1">
        <f t="array" ref="J4027">IFERROR(INDEX(EmployeeData[Status], ROW() - 37), "")</f>
        <v/>
      </c>
    </row>
    <row r="4028" spans="2:10" ht="19.95" customHeight="1" x14ac:dyDescent="0.3">
      <c r="B4028" s="4" t="str" cm="1">
        <f t="array" ref="B4028">IFERROR(INDEX(EmployeeData[Employee ID], ROW() - 37), "")</f>
        <v/>
      </c>
      <c r="C4028" s="4" t="str" cm="1">
        <f t="array" ref="C4028">IFERROR(INDEX(EmployeeData[Full Name], ROW() - 37), "")</f>
        <v/>
      </c>
      <c r="D4028" s="4" t="str" cm="1">
        <f t="array" ref="D4028">IFERROR(INDEX(EmployeeData[Department], ROW() - 37), "")</f>
        <v/>
      </c>
      <c r="E4028" s="4" t="str" cm="1">
        <f t="array" ref="E4028">IFERROR(INDEX(EmployeeData[Gender], ROW() - 37), "")</f>
        <v/>
      </c>
      <c r="F4028" s="4" t="str" cm="1">
        <f t="array" ref="F4028">IFERROR(INDEX(EmployeeData[Age], ROW() - 37), "")</f>
        <v/>
      </c>
      <c r="G4028" s="6" t="str" cm="1">
        <f t="array" ref="G4028">IFERROR(INDEX(EmployeeData[Join Date], ROW() - 37), "")</f>
        <v/>
      </c>
      <c r="H4028" s="6" t="str" cm="1">
        <f t="array" ref="H4028">IFERROR(IF(INDEX(EmployeeData[Exit Date], ROW() - 37)=0, "",INDEX(EmployeeData[Exit Date], ROW() - 37)),"")</f>
        <v/>
      </c>
      <c r="I4028" s="4" t="str" cm="1">
        <f t="array" ref="I4028">IFERROR(IF(INDEX(EmployeeData[Exit Reason], ROW() - 37)=0, "",INDEX(EmployeeData[Exit Reason], ROW() - 37)),"")</f>
        <v/>
      </c>
      <c r="J4028" s="4" t="str" cm="1">
        <f t="array" ref="J4028">IFERROR(INDEX(EmployeeData[Status], ROW() - 37), "")</f>
        <v/>
      </c>
    </row>
    <row r="4029" spans="2:10" ht="19.95" customHeight="1" x14ac:dyDescent="0.3">
      <c r="B4029" s="4" t="str" cm="1">
        <f t="array" ref="B4029">IFERROR(INDEX(EmployeeData[Employee ID], ROW() - 37), "")</f>
        <v/>
      </c>
      <c r="C4029" s="4" t="str" cm="1">
        <f t="array" ref="C4029">IFERROR(INDEX(EmployeeData[Full Name], ROW() - 37), "")</f>
        <v/>
      </c>
      <c r="D4029" s="4" t="str" cm="1">
        <f t="array" ref="D4029">IFERROR(INDEX(EmployeeData[Department], ROW() - 37), "")</f>
        <v/>
      </c>
      <c r="E4029" s="4" t="str" cm="1">
        <f t="array" ref="E4029">IFERROR(INDEX(EmployeeData[Gender], ROW() - 37), "")</f>
        <v/>
      </c>
      <c r="F4029" s="4" t="str" cm="1">
        <f t="array" ref="F4029">IFERROR(INDEX(EmployeeData[Age], ROW() - 37), "")</f>
        <v/>
      </c>
      <c r="G4029" s="6" t="str" cm="1">
        <f t="array" ref="G4029">IFERROR(INDEX(EmployeeData[Join Date], ROW() - 37), "")</f>
        <v/>
      </c>
      <c r="H4029" s="6" t="str" cm="1">
        <f t="array" ref="H4029">IFERROR(IF(INDEX(EmployeeData[Exit Date], ROW() - 37)=0, "",INDEX(EmployeeData[Exit Date], ROW() - 37)),"")</f>
        <v/>
      </c>
      <c r="I4029" s="4" t="str" cm="1">
        <f t="array" ref="I4029">IFERROR(IF(INDEX(EmployeeData[Exit Reason], ROW() - 37)=0, "",INDEX(EmployeeData[Exit Reason], ROW() - 37)),"")</f>
        <v/>
      </c>
      <c r="J4029" s="4" t="str" cm="1">
        <f t="array" ref="J4029">IFERROR(INDEX(EmployeeData[Status], ROW() - 37), "")</f>
        <v/>
      </c>
    </row>
    <row r="4030" spans="2:10" ht="19.95" customHeight="1" x14ac:dyDescent="0.3">
      <c r="B4030" s="4" t="str" cm="1">
        <f t="array" ref="B4030">IFERROR(INDEX(EmployeeData[Employee ID], ROW() - 37), "")</f>
        <v/>
      </c>
      <c r="C4030" s="4" t="str" cm="1">
        <f t="array" ref="C4030">IFERROR(INDEX(EmployeeData[Full Name], ROW() - 37), "")</f>
        <v/>
      </c>
      <c r="D4030" s="4" t="str" cm="1">
        <f t="array" ref="D4030">IFERROR(INDEX(EmployeeData[Department], ROW() - 37), "")</f>
        <v/>
      </c>
      <c r="E4030" s="4" t="str" cm="1">
        <f t="array" ref="E4030">IFERROR(INDEX(EmployeeData[Gender], ROW() - 37), "")</f>
        <v/>
      </c>
      <c r="F4030" s="4" t="str" cm="1">
        <f t="array" ref="F4030">IFERROR(INDEX(EmployeeData[Age], ROW() - 37), "")</f>
        <v/>
      </c>
      <c r="G4030" s="6" t="str" cm="1">
        <f t="array" ref="G4030">IFERROR(INDEX(EmployeeData[Join Date], ROW() - 37), "")</f>
        <v/>
      </c>
      <c r="H4030" s="6" t="str" cm="1">
        <f t="array" ref="H4030">IFERROR(IF(INDEX(EmployeeData[Exit Date], ROW() - 37)=0, "",INDEX(EmployeeData[Exit Date], ROW() - 37)),"")</f>
        <v/>
      </c>
      <c r="I4030" s="4" t="str" cm="1">
        <f t="array" ref="I4030">IFERROR(IF(INDEX(EmployeeData[Exit Reason], ROW() - 37)=0, "",INDEX(EmployeeData[Exit Reason], ROW() - 37)),"")</f>
        <v/>
      </c>
      <c r="J4030" s="4" t="str" cm="1">
        <f t="array" ref="J4030">IFERROR(INDEX(EmployeeData[Status], ROW() - 37), "")</f>
        <v/>
      </c>
    </row>
    <row r="4031" spans="2:10" ht="19.95" customHeight="1" x14ac:dyDescent="0.3">
      <c r="B4031" s="4" t="str" cm="1">
        <f t="array" ref="B4031">IFERROR(INDEX(EmployeeData[Employee ID], ROW() - 37), "")</f>
        <v/>
      </c>
      <c r="C4031" s="4" t="str" cm="1">
        <f t="array" ref="C4031">IFERROR(INDEX(EmployeeData[Full Name], ROW() - 37), "")</f>
        <v/>
      </c>
      <c r="D4031" s="4" t="str" cm="1">
        <f t="array" ref="D4031">IFERROR(INDEX(EmployeeData[Department], ROW() - 37), "")</f>
        <v/>
      </c>
      <c r="E4031" s="4" t="str" cm="1">
        <f t="array" ref="E4031">IFERROR(INDEX(EmployeeData[Gender], ROW() - 37), "")</f>
        <v/>
      </c>
      <c r="F4031" s="4" t="str" cm="1">
        <f t="array" ref="F4031">IFERROR(INDEX(EmployeeData[Age], ROW() - 37), "")</f>
        <v/>
      </c>
      <c r="G4031" s="6" t="str" cm="1">
        <f t="array" ref="G4031">IFERROR(INDEX(EmployeeData[Join Date], ROW() - 37), "")</f>
        <v/>
      </c>
      <c r="H4031" s="6" t="str" cm="1">
        <f t="array" ref="H4031">IFERROR(IF(INDEX(EmployeeData[Exit Date], ROW() - 37)=0, "",INDEX(EmployeeData[Exit Date], ROW() - 37)),"")</f>
        <v/>
      </c>
      <c r="I4031" s="4" t="str" cm="1">
        <f t="array" ref="I4031">IFERROR(IF(INDEX(EmployeeData[Exit Reason], ROW() - 37)=0, "",INDEX(EmployeeData[Exit Reason], ROW() - 37)),"")</f>
        <v/>
      </c>
      <c r="J4031" s="4" t="str" cm="1">
        <f t="array" ref="J4031">IFERROR(INDEX(EmployeeData[Status], ROW() - 37), "")</f>
        <v/>
      </c>
    </row>
    <row r="4032" spans="2:10" ht="19.95" customHeight="1" x14ac:dyDescent="0.3">
      <c r="B4032" s="4" t="str" cm="1">
        <f t="array" ref="B4032">IFERROR(INDEX(EmployeeData[Employee ID], ROW() - 37), "")</f>
        <v/>
      </c>
      <c r="C4032" s="4" t="str" cm="1">
        <f t="array" ref="C4032">IFERROR(INDEX(EmployeeData[Full Name], ROW() - 37), "")</f>
        <v/>
      </c>
      <c r="D4032" s="4" t="str" cm="1">
        <f t="array" ref="D4032">IFERROR(INDEX(EmployeeData[Department], ROW() - 37), "")</f>
        <v/>
      </c>
      <c r="E4032" s="4" t="str" cm="1">
        <f t="array" ref="E4032">IFERROR(INDEX(EmployeeData[Gender], ROW() - 37), "")</f>
        <v/>
      </c>
      <c r="F4032" s="4" t="str" cm="1">
        <f t="array" ref="F4032">IFERROR(INDEX(EmployeeData[Age], ROW() - 37), "")</f>
        <v/>
      </c>
      <c r="G4032" s="6" t="str" cm="1">
        <f t="array" ref="G4032">IFERROR(INDEX(EmployeeData[Join Date], ROW() - 37), "")</f>
        <v/>
      </c>
      <c r="H4032" s="6" t="str" cm="1">
        <f t="array" ref="H4032">IFERROR(IF(INDEX(EmployeeData[Exit Date], ROW() - 37)=0, "",INDEX(EmployeeData[Exit Date], ROW() - 37)),"")</f>
        <v/>
      </c>
      <c r="I4032" s="4" t="str" cm="1">
        <f t="array" ref="I4032">IFERROR(IF(INDEX(EmployeeData[Exit Reason], ROW() - 37)=0, "",INDEX(EmployeeData[Exit Reason], ROW() - 37)),"")</f>
        <v/>
      </c>
      <c r="J4032" s="4" t="str" cm="1">
        <f t="array" ref="J4032">IFERROR(INDEX(EmployeeData[Status], ROW() - 37), "")</f>
        <v/>
      </c>
    </row>
    <row r="4033" spans="2:10" ht="19.95" customHeight="1" x14ac:dyDescent="0.3">
      <c r="B4033" s="4" t="str" cm="1">
        <f t="array" ref="B4033">IFERROR(INDEX(EmployeeData[Employee ID], ROW() - 37), "")</f>
        <v/>
      </c>
      <c r="C4033" s="4" t="str" cm="1">
        <f t="array" ref="C4033">IFERROR(INDEX(EmployeeData[Full Name], ROW() - 37), "")</f>
        <v/>
      </c>
      <c r="D4033" s="4" t="str" cm="1">
        <f t="array" ref="D4033">IFERROR(INDEX(EmployeeData[Department], ROW() - 37), "")</f>
        <v/>
      </c>
      <c r="E4033" s="4" t="str" cm="1">
        <f t="array" ref="E4033">IFERROR(INDEX(EmployeeData[Gender], ROW() - 37), "")</f>
        <v/>
      </c>
      <c r="F4033" s="4" t="str" cm="1">
        <f t="array" ref="F4033">IFERROR(INDEX(EmployeeData[Age], ROW() - 37), "")</f>
        <v/>
      </c>
      <c r="G4033" s="6" t="str" cm="1">
        <f t="array" ref="G4033">IFERROR(INDEX(EmployeeData[Join Date], ROW() - 37), "")</f>
        <v/>
      </c>
      <c r="H4033" s="6" t="str" cm="1">
        <f t="array" ref="H4033">IFERROR(IF(INDEX(EmployeeData[Exit Date], ROW() - 37)=0, "",INDEX(EmployeeData[Exit Date], ROW() - 37)),"")</f>
        <v/>
      </c>
      <c r="I4033" s="4" t="str" cm="1">
        <f t="array" ref="I4033">IFERROR(IF(INDEX(EmployeeData[Exit Reason], ROW() - 37)=0, "",INDEX(EmployeeData[Exit Reason], ROW() - 37)),"")</f>
        <v/>
      </c>
      <c r="J4033" s="4" t="str" cm="1">
        <f t="array" ref="J4033">IFERROR(INDEX(EmployeeData[Status], ROW() - 37), "")</f>
        <v/>
      </c>
    </row>
    <row r="4034" spans="2:10" ht="19.95" customHeight="1" x14ac:dyDescent="0.3">
      <c r="B4034" s="4" t="str" cm="1">
        <f t="array" ref="B4034">IFERROR(INDEX(EmployeeData[Employee ID], ROW() - 37), "")</f>
        <v/>
      </c>
      <c r="C4034" s="4" t="str" cm="1">
        <f t="array" ref="C4034">IFERROR(INDEX(EmployeeData[Full Name], ROW() - 37), "")</f>
        <v/>
      </c>
      <c r="D4034" s="4" t="str" cm="1">
        <f t="array" ref="D4034">IFERROR(INDEX(EmployeeData[Department], ROW() - 37), "")</f>
        <v/>
      </c>
      <c r="E4034" s="4" t="str" cm="1">
        <f t="array" ref="E4034">IFERROR(INDEX(EmployeeData[Gender], ROW() - 37), "")</f>
        <v/>
      </c>
      <c r="F4034" s="4" t="str" cm="1">
        <f t="array" ref="F4034">IFERROR(INDEX(EmployeeData[Age], ROW() - 37), "")</f>
        <v/>
      </c>
      <c r="G4034" s="6" t="str" cm="1">
        <f t="array" ref="G4034">IFERROR(INDEX(EmployeeData[Join Date], ROW() - 37), "")</f>
        <v/>
      </c>
      <c r="H4034" s="6" t="str" cm="1">
        <f t="array" ref="H4034">IFERROR(IF(INDEX(EmployeeData[Exit Date], ROW() - 37)=0, "",INDEX(EmployeeData[Exit Date], ROW() - 37)),"")</f>
        <v/>
      </c>
      <c r="I4034" s="4" t="str" cm="1">
        <f t="array" ref="I4034">IFERROR(IF(INDEX(EmployeeData[Exit Reason], ROW() - 37)=0, "",INDEX(EmployeeData[Exit Reason], ROW() - 37)),"")</f>
        <v/>
      </c>
      <c r="J4034" s="4" t="str" cm="1">
        <f t="array" ref="J4034">IFERROR(INDEX(EmployeeData[Status], ROW() - 37), "")</f>
        <v/>
      </c>
    </row>
    <row r="4035" spans="2:10" ht="19.95" customHeight="1" x14ac:dyDescent="0.3">
      <c r="B4035" s="4" t="str" cm="1">
        <f t="array" ref="B4035">IFERROR(INDEX(EmployeeData[Employee ID], ROW() - 37), "")</f>
        <v/>
      </c>
      <c r="C4035" s="4" t="str" cm="1">
        <f t="array" ref="C4035">IFERROR(INDEX(EmployeeData[Full Name], ROW() - 37), "")</f>
        <v/>
      </c>
      <c r="D4035" s="4" t="str" cm="1">
        <f t="array" ref="D4035">IFERROR(INDEX(EmployeeData[Department], ROW() - 37), "")</f>
        <v/>
      </c>
      <c r="E4035" s="4" t="str" cm="1">
        <f t="array" ref="E4035">IFERROR(INDEX(EmployeeData[Gender], ROW() - 37), "")</f>
        <v/>
      </c>
      <c r="F4035" s="4" t="str" cm="1">
        <f t="array" ref="F4035">IFERROR(INDEX(EmployeeData[Age], ROW() - 37), "")</f>
        <v/>
      </c>
      <c r="G4035" s="6" t="str" cm="1">
        <f t="array" ref="G4035">IFERROR(INDEX(EmployeeData[Join Date], ROW() - 37), "")</f>
        <v/>
      </c>
      <c r="H4035" s="6" t="str" cm="1">
        <f t="array" ref="H4035">IFERROR(IF(INDEX(EmployeeData[Exit Date], ROW() - 37)=0, "",INDEX(EmployeeData[Exit Date], ROW() - 37)),"")</f>
        <v/>
      </c>
      <c r="I4035" s="4" t="str" cm="1">
        <f t="array" ref="I4035">IFERROR(IF(INDEX(EmployeeData[Exit Reason], ROW() - 37)=0, "",INDEX(EmployeeData[Exit Reason], ROW() - 37)),"")</f>
        <v/>
      </c>
      <c r="J4035" s="4" t="str" cm="1">
        <f t="array" ref="J4035">IFERROR(INDEX(EmployeeData[Status], ROW() - 37), "")</f>
        <v/>
      </c>
    </row>
    <row r="4036" spans="2:10" ht="19.95" customHeight="1" x14ac:dyDescent="0.3">
      <c r="B4036" s="4" t="str" cm="1">
        <f t="array" ref="B4036">IFERROR(INDEX(EmployeeData[Employee ID], ROW() - 37), "")</f>
        <v/>
      </c>
      <c r="C4036" s="4" t="str" cm="1">
        <f t="array" ref="C4036">IFERROR(INDEX(EmployeeData[Full Name], ROW() - 37), "")</f>
        <v/>
      </c>
      <c r="D4036" s="4" t="str" cm="1">
        <f t="array" ref="D4036">IFERROR(INDEX(EmployeeData[Department], ROW() - 37), "")</f>
        <v/>
      </c>
      <c r="E4036" s="4" t="str" cm="1">
        <f t="array" ref="E4036">IFERROR(INDEX(EmployeeData[Gender], ROW() - 37), "")</f>
        <v/>
      </c>
      <c r="F4036" s="4" t="str" cm="1">
        <f t="array" ref="F4036">IFERROR(INDEX(EmployeeData[Age], ROW() - 37), "")</f>
        <v/>
      </c>
      <c r="G4036" s="6" t="str" cm="1">
        <f t="array" ref="G4036">IFERROR(INDEX(EmployeeData[Join Date], ROW() - 37), "")</f>
        <v/>
      </c>
      <c r="H4036" s="6" t="str" cm="1">
        <f t="array" ref="H4036">IFERROR(IF(INDEX(EmployeeData[Exit Date], ROW() - 37)=0, "",INDEX(EmployeeData[Exit Date], ROW() - 37)),"")</f>
        <v/>
      </c>
      <c r="I4036" s="4" t="str" cm="1">
        <f t="array" ref="I4036">IFERROR(IF(INDEX(EmployeeData[Exit Reason], ROW() - 37)=0, "",INDEX(EmployeeData[Exit Reason], ROW() - 37)),"")</f>
        <v/>
      </c>
      <c r="J4036" s="4" t="str" cm="1">
        <f t="array" ref="J4036">IFERROR(INDEX(EmployeeData[Status], ROW() - 37), "")</f>
        <v/>
      </c>
    </row>
    <row r="4037" spans="2:10" ht="19.95" customHeight="1" x14ac:dyDescent="0.3">
      <c r="B4037" s="4" t="str" cm="1">
        <f t="array" ref="B4037">IFERROR(INDEX(EmployeeData[Employee ID], ROW() - 37), "")</f>
        <v/>
      </c>
      <c r="C4037" s="4" t="str" cm="1">
        <f t="array" ref="C4037">IFERROR(INDEX(EmployeeData[Full Name], ROW() - 37), "")</f>
        <v/>
      </c>
      <c r="D4037" s="4" t="str" cm="1">
        <f t="array" ref="D4037">IFERROR(INDEX(EmployeeData[Department], ROW() - 37), "")</f>
        <v/>
      </c>
      <c r="E4037" s="4" t="str" cm="1">
        <f t="array" ref="E4037">IFERROR(INDEX(EmployeeData[Gender], ROW() - 37), "")</f>
        <v/>
      </c>
      <c r="F4037" s="4" t="str" cm="1">
        <f t="array" ref="F4037">IFERROR(INDEX(EmployeeData[Age], ROW() - 37), "")</f>
        <v/>
      </c>
      <c r="G4037" s="6" t="str" cm="1">
        <f t="array" ref="G4037">IFERROR(INDEX(EmployeeData[Join Date], ROW() - 37), "")</f>
        <v/>
      </c>
      <c r="H4037" s="6" t="str" cm="1">
        <f t="array" ref="H4037">IFERROR(IF(INDEX(EmployeeData[Exit Date], ROW() - 37)=0, "",INDEX(EmployeeData[Exit Date], ROW() - 37)),"")</f>
        <v/>
      </c>
      <c r="I4037" s="4" t="str" cm="1">
        <f t="array" ref="I4037">IFERROR(IF(INDEX(EmployeeData[Exit Reason], ROW() - 37)=0, "",INDEX(EmployeeData[Exit Reason], ROW() - 37)),"")</f>
        <v/>
      </c>
      <c r="J4037" s="4" t="str" cm="1">
        <f t="array" ref="J4037">IFERROR(INDEX(EmployeeData[Status], ROW() - 37), "")</f>
        <v/>
      </c>
    </row>
    <row r="4038" spans="2:10" ht="19.95" customHeight="1" x14ac:dyDescent="0.3">
      <c r="B4038" s="4" t="str" cm="1">
        <f t="array" ref="B4038">IFERROR(INDEX(EmployeeData[Employee ID], ROW() - 37), "")</f>
        <v/>
      </c>
      <c r="C4038" s="4" t="str" cm="1">
        <f t="array" ref="C4038">IFERROR(INDEX(EmployeeData[Full Name], ROW() - 37), "")</f>
        <v/>
      </c>
      <c r="D4038" s="4" t="str" cm="1">
        <f t="array" ref="D4038">IFERROR(INDEX(EmployeeData[Department], ROW() - 37), "")</f>
        <v/>
      </c>
      <c r="E4038" s="4" t="str" cm="1">
        <f t="array" ref="E4038">IFERROR(INDEX(EmployeeData[Gender], ROW() - 37), "")</f>
        <v/>
      </c>
      <c r="F4038" s="4" t="str" cm="1">
        <f t="array" ref="F4038">IFERROR(INDEX(EmployeeData[Age], ROW() - 37), "")</f>
        <v/>
      </c>
      <c r="G4038" s="6" t="str" cm="1">
        <f t="array" ref="G4038">IFERROR(INDEX(EmployeeData[Join Date], ROW() - 37), "")</f>
        <v/>
      </c>
      <c r="H4038" s="6" t="str" cm="1">
        <f t="array" ref="H4038">IFERROR(IF(INDEX(EmployeeData[Exit Date], ROW() - 37)=0, "",INDEX(EmployeeData[Exit Date], ROW() - 37)),"")</f>
        <v/>
      </c>
      <c r="I4038" s="4" t="str" cm="1">
        <f t="array" ref="I4038">IFERROR(IF(INDEX(EmployeeData[Exit Reason], ROW() - 37)=0, "",INDEX(EmployeeData[Exit Reason], ROW() - 37)),"")</f>
        <v/>
      </c>
      <c r="J4038" s="4" t="str" cm="1">
        <f t="array" ref="J4038">IFERROR(INDEX(EmployeeData[Status], ROW() - 37), "")</f>
        <v/>
      </c>
    </row>
    <row r="4039" spans="2:10" ht="19.95" customHeight="1" x14ac:dyDescent="0.3">
      <c r="B4039" s="4" t="str" cm="1">
        <f t="array" ref="B4039">IFERROR(INDEX(EmployeeData[Employee ID], ROW() - 37), "")</f>
        <v/>
      </c>
      <c r="C4039" s="4" t="str" cm="1">
        <f t="array" ref="C4039">IFERROR(INDEX(EmployeeData[Full Name], ROW() - 37), "")</f>
        <v/>
      </c>
      <c r="D4039" s="4" t="str" cm="1">
        <f t="array" ref="D4039">IFERROR(INDEX(EmployeeData[Department], ROW() - 37), "")</f>
        <v/>
      </c>
      <c r="E4039" s="4" t="str" cm="1">
        <f t="array" ref="E4039">IFERROR(INDEX(EmployeeData[Gender], ROW() - 37), "")</f>
        <v/>
      </c>
      <c r="F4039" s="4" t="str" cm="1">
        <f t="array" ref="F4039">IFERROR(INDEX(EmployeeData[Age], ROW() - 37), "")</f>
        <v/>
      </c>
      <c r="G4039" s="6" t="str" cm="1">
        <f t="array" ref="G4039">IFERROR(INDEX(EmployeeData[Join Date], ROW() - 37), "")</f>
        <v/>
      </c>
      <c r="H4039" s="6" t="str" cm="1">
        <f t="array" ref="H4039">IFERROR(IF(INDEX(EmployeeData[Exit Date], ROW() - 37)=0, "",INDEX(EmployeeData[Exit Date], ROW() - 37)),"")</f>
        <v/>
      </c>
      <c r="I4039" s="4" t="str" cm="1">
        <f t="array" ref="I4039">IFERROR(IF(INDEX(EmployeeData[Exit Reason], ROW() - 37)=0, "",INDEX(EmployeeData[Exit Reason], ROW() - 37)),"")</f>
        <v/>
      </c>
      <c r="J4039" s="4" t="str" cm="1">
        <f t="array" ref="J4039">IFERROR(INDEX(EmployeeData[Status], ROW() - 37), "")</f>
        <v/>
      </c>
    </row>
    <row r="4040" spans="2:10" ht="19.95" customHeight="1" x14ac:dyDescent="0.3">
      <c r="B4040" s="4" t="str" cm="1">
        <f t="array" ref="B4040">IFERROR(INDEX(EmployeeData[Employee ID], ROW() - 37), "")</f>
        <v/>
      </c>
      <c r="C4040" s="4" t="str" cm="1">
        <f t="array" ref="C4040">IFERROR(INDEX(EmployeeData[Full Name], ROW() - 37), "")</f>
        <v/>
      </c>
      <c r="D4040" s="4" t="str" cm="1">
        <f t="array" ref="D4040">IFERROR(INDEX(EmployeeData[Department], ROW() - 37), "")</f>
        <v/>
      </c>
      <c r="E4040" s="4" t="str" cm="1">
        <f t="array" ref="E4040">IFERROR(INDEX(EmployeeData[Gender], ROW() - 37), "")</f>
        <v/>
      </c>
      <c r="F4040" s="4" t="str" cm="1">
        <f t="array" ref="F4040">IFERROR(INDEX(EmployeeData[Age], ROW() - 37), "")</f>
        <v/>
      </c>
      <c r="G4040" s="6" t="str" cm="1">
        <f t="array" ref="G4040">IFERROR(INDEX(EmployeeData[Join Date], ROW() - 37), "")</f>
        <v/>
      </c>
      <c r="H4040" s="6" t="str" cm="1">
        <f t="array" ref="H4040">IFERROR(IF(INDEX(EmployeeData[Exit Date], ROW() - 37)=0, "",INDEX(EmployeeData[Exit Date], ROW() - 37)),"")</f>
        <v/>
      </c>
      <c r="I4040" s="4" t="str" cm="1">
        <f t="array" ref="I4040">IFERROR(IF(INDEX(EmployeeData[Exit Reason], ROW() - 37)=0, "",INDEX(EmployeeData[Exit Reason], ROW() - 37)),"")</f>
        <v/>
      </c>
      <c r="J4040" s="4" t="str" cm="1">
        <f t="array" ref="J4040">IFERROR(INDEX(EmployeeData[Status], ROW() - 37), "")</f>
        <v/>
      </c>
    </row>
    <row r="4041" spans="2:10" ht="19.95" customHeight="1" x14ac:dyDescent="0.3">
      <c r="B4041" s="4" t="str" cm="1">
        <f t="array" ref="B4041">IFERROR(INDEX(EmployeeData[Employee ID], ROW() - 37), "")</f>
        <v/>
      </c>
      <c r="C4041" s="4" t="str" cm="1">
        <f t="array" ref="C4041">IFERROR(INDEX(EmployeeData[Full Name], ROW() - 37), "")</f>
        <v/>
      </c>
      <c r="D4041" s="4" t="str" cm="1">
        <f t="array" ref="D4041">IFERROR(INDEX(EmployeeData[Department], ROW() - 37), "")</f>
        <v/>
      </c>
      <c r="E4041" s="4" t="str" cm="1">
        <f t="array" ref="E4041">IFERROR(INDEX(EmployeeData[Gender], ROW() - 37), "")</f>
        <v/>
      </c>
      <c r="F4041" s="4" t="str" cm="1">
        <f t="array" ref="F4041">IFERROR(INDEX(EmployeeData[Age], ROW() - 37), "")</f>
        <v/>
      </c>
      <c r="G4041" s="6" t="str" cm="1">
        <f t="array" ref="G4041">IFERROR(INDEX(EmployeeData[Join Date], ROW() - 37), "")</f>
        <v/>
      </c>
      <c r="H4041" s="6" t="str" cm="1">
        <f t="array" ref="H4041">IFERROR(IF(INDEX(EmployeeData[Exit Date], ROW() - 37)=0, "",INDEX(EmployeeData[Exit Date], ROW() - 37)),"")</f>
        <v/>
      </c>
      <c r="I4041" s="4" t="str" cm="1">
        <f t="array" ref="I4041">IFERROR(IF(INDEX(EmployeeData[Exit Reason], ROW() - 37)=0, "",INDEX(EmployeeData[Exit Reason], ROW() - 37)),"")</f>
        <v/>
      </c>
      <c r="J4041" s="4" t="str" cm="1">
        <f t="array" ref="J4041">IFERROR(INDEX(EmployeeData[Status], ROW() - 37), "")</f>
        <v/>
      </c>
    </row>
    <row r="4042" spans="2:10" ht="19.95" customHeight="1" x14ac:dyDescent="0.3">
      <c r="B4042" s="4" t="str" cm="1">
        <f t="array" ref="B4042">IFERROR(INDEX(EmployeeData[Employee ID], ROW() - 37), "")</f>
        <v/>
      </c>
      <c r="C4042" s="4" t="str" cm="1">
        <f t="array" ref="C4042">IFERROR(INDEX(EmployeeData[Full Name], ROW() - 37), "")</f>
        <v/>
      </c>
      <c r="D4042" s="4" t="str" cm="1">
        <f t="array" ref="D4042">IFERROR(INDEX(EmployeeData[Department], ROW() - 37), "")</f>
        <v/>
      </c>
      <c r="E4042" s="4" t="str" cm="1">
        <f t="array" ref="E4042">IFERROR(INDEX(EmployeeData[Gender], ROW() - 37), "")</f>
        <v/>
      </c>
      <c r="F4042" s="4" t="str" cm="1">
        <f t="array" ref="F4042">IFERROR(INDEX(EmployeeData[Age], ROW() - 37), "")</f>
        <v/>
      </c>
      <c r="G4042" s="6" t="str" cm="1">
        <f t="array" ref="G4042">IFERROR(INDEX(EmployeeData[Join Date], ROW() - 37), "")</f>
        <v/>
      </c>
      <c r="H4042" s="6" t="str" cm="1">
        <f t="array" ref="H4042">IFERROR(IF(INDEX(EmployeeData[Exit Date], ROW() - 37)=0, "",INDEX(EmployeeData[Exit Date], ROW() - 37)),"")</f>
        <v/>
      </c>
      <c r="I4042" s="4" t="str" cm="1">
        <f t="array" ref="I4042">IFERROR(IF(INDEX(EmployeeData[Exit Reason], ROW() - 37)=0, "",INDEX(EmployeeData[Exit Reason], ROW() - 37)),"")</f>
        <v/>
      </c>
      <c r="J4042" s="4" t="str" cm="1">
        <f t="array" ref="J4042">IFERROR(INDEX(EmployeeData[Status], ROW() - 37), "")</f>
        <v/>
      </c>
    </row>
    <row r="4043" spans="2:10" ht="19.95" customHeight="1" x14ac:dyDescent="0.3">
      <c r="B4043" s="4" t="str" cm="1">
        <f t="array" ref="B4043">IFERROR(INDEX(EmployeeData[Employee ID], ROW() - 37), "")</f>
        <v/>
      </c>
      <c r="C4043" s="4" t="str" cm="1">
        <f t="array" ref="C4043">IFERROR(INDEX(EmployeeData[Full Name], ROW() - 37), "")</f>
        <v/>
      </c>
      <c r="D4043" s="4" t="str" cm="1">
        <f t="array" ref="D4043">IFERROR(INDEX(EmployeeData[Department], ROW() - 37), "")</f>
        <v/>
      </c>
      <c r="E4043" s="4" t="str" cm="1">
        <f t="array" ref="E4043">IFERROR(INDEX(EmployeeData[Gender], ROW() - 37), "")</f>
        <v/>
      </c>
      <c r="F4043" s="4" t="str" cm="1">
        <f t="array" ref="F4043">IFERROR(INDEX(EmployeeData[Age], ROW() - 37), "")</f>
        <v/>
      </c>
      <c r="G4043" s="6" t="str" cm="1">
        <f t="array" ref="G4043">IFERROR(INDEX(EmployeeData[Join Date], ROW() - 37), "")</f>
        <v/>
      </c>
      <c r="H4043" s="6" t="str" cm="1">
        <f t="array" ref="H4043">IFERROR(IF(INDEX(EmployeeData[Exit Date], ROW() - 37)=0, "",INDEX(EmployeeData[Exit Date], ROW() - 37)),"")</f>
        <v/>
      </c>
      <c r="I4043" s="4" t="str" cm="1">
        <f t="array" ref="I4043">IFERROR(IF(INDEX(EmployeeData[Exit Reason], ROW() - 37)=0, "",INDEX(EmployeeData[Exit Reason], ROW() - 37)),"")</f>
        <v/>
      </c>
      <c r="J4043" s="4" t="str" cm="1">
        <f t="array" ref="J4043">IFERROR(INDEX(EmployeeData[Status], ROW() - 37), "")</f>
        <v/>
      </c>
    </row>
    <row r="4044" spans="2:10" ht="19.95" customHeight="1" x14ac:dyDescent="0.3">
      <c r="B4044" s="4" t="str" cm="1">
        <f t="array" ref="B4044">IFERROR(INDEX(EmployeeData[Employee ID], ROW() - 37), "")</f>
        <v/>
      </c>
      <c r="C4044" s="4" t="str" cm="1">
        <f t="array" ref="C4044">IFERROR(INDEX(EmployeeData[Full Name], ROW() - 37), "")</f>
        <v/>
      </c>
      <c r="D4044" s="4" t="str" cm="1">
        <f t="array" ref="D4044">IFERROR(INDEX(EmployeeData[Department], ROW() - 37), "")</f>
        <v/>
      </c>
      <c r="E4044" s="4" t="str" cm="1">
        <f t="array" ref="E4044">IFERROR(INDEX(EmployeeData[Gender], ROW() - 37), "")</f>
        <v/>
      </c>
      <c r="F4044" s="4" t="str" cm="1">
        <f t="array" ref="F4044">IFERROR(INDEX(EmployeeData[Age], ROW() - 37), "")</f>
        <v/>
      </c>
      <c r="G4044" s="6" t="str" cm="1">
        <f t="array" ref="G4044">IFERROR(INDEX(EmployeeData[Join Date], ROW() - 37), "")</f>
        <v/>
      </c>
      <c r="H4044" s="6" t="str" cm="1">
        <f t="array" ref="H4044">IFERROR(IF(INDEX(EmployeeData[Exit Date], ROW() - 37)=0, "",INDEX(EmployeeData[Exit Date], ROW() - 37)),"")</f>
        <v/>
      </c>
      <c r="I4044" s="4" t="str" cm="1">
        <f t="array" ref="I4044">IFERROR(IF(INDEX(EmployeeData[Exit Reason], ROW() - 37)=0, "",INDEX(EmployeeData[Exit Reason], ROW() - 37)),"")</f>
        <v/>
      </c>
      <c r="J4044" s="4" t="str" cm="1">
        <f t="array" ref="J4044">IFERROR(INDEX(EmployeeData[Status], ROW() - 37), "")</f>
        <v/>
      </c>
    </row>
    <row r="4045" spans="2:10" ht="19.95" customHeight="1" x14ac:dyDescent="0.3">
      <c r="B4045" s="4" t="str" cm="1">
        <f t="array" ref="B4045">IFERROR(INDEX(EmployeeData[Employee ID], ROW() - 37), "")</f>
        <v/>
      </c>
      <c r="C4045" s="4" t="str" cm="1">
        <f t="array" ref="C4045">IFERROR(INDEX(EmployeeData[Full Name], ROW() - 37), "")</f>
        <v/>
      </c>
      <c r="D4045" s="4" t="str" cm="1">
        <f t="array" ref="D4045">IFERROR(INDEX(EmployeeData[Department], ROW() - 37), "")</f>
        <v/>
      </c>
      <c r="E4045" s="4" t="str" cm="1">
        <f t="array" ref="E4045">IFERROR(INDEX(EmployeeData[Gender], ROW() - 37), "")</f>
        <v/>
      </c>
      <c r="F4045" s="4" t="str" cm="1">
        <f t="array" ref="F4045">IFERROR(INDEX(EmployeeData[Age], ROW() - 37), "")</f>
        <v/>
      </c>
      <c r="G4045" s="6" t="str" cm="1">
        <f t="array" ref="G4045">IFERROR(INDEX(EmployeeData[Join Date], ROW() - 37), "")</f>
        <v/>
      </c>
      <c r="H4045" s="6" t="str" cm="1">
        <f t="array" ref="H4045">IFERROR(IF(INDEX(EmployeeData[Exit Date], ROW() - 37)=0, "",INDEX(EmployeeData[Exit Date], ROW() - 37)),"")</f>
        <v/>
      </c>
      <c r="I4045" s="4" t="str" cm="1">
        <f t="array" ref="I4045">IFERROR(IF(INDEX(EmployeeData[Exit Reason], ROW() - 37)=0, "",INDEX(EmployeeData[Exit Reason], ROW() - 37)),"")</f>
        <v/>
      </c>
      <c r="J4045" s="4" t="str" cm="1">
        <f t="array" ref="J4045">IFERROR(INDEX(EmployeeData[Status], ROW() - 37), "")</f>
        <v/>
      </c>
    </row>
    <row r="4046" spans="2:10" ht="19.95" customHeight="1" x14ac:dyDescent="0.3">
      <c r="B4046" s="4" t="str" cm="1">
        <f t="array" ref="B4046">IFERROR(INDEX(EmployeeData[Employee ID], ROW() - 37), "")</f>
        <v/>
      </c>
      <c r="C4046" s="4" t="str" cm="1">
        <f t="array" ref="C4046">IFERROR(INDEX(EmployeeData[Full Name], ROW() - 37), "")</f>
        <v/>
      </c>
      <c r="D4046" s="4" t="str" cm="1">
        <f t="array" ref="D4046">IFERROR(INDEX(EmployeeData[Department], ROW() - 37), "")</f>
        <v/>
      </c>
      <c r="E4046" s="4" t="str" cm="1">
        <f t="array" ref="E4046">IFERROR(INDEX(EmployeeData[Gender], ROW() - 37), "")</f>
        <v/>
      </c>
      <c r="F4046" s="4" t="str" cm="1">
        <f t="array" ref="F4046">IFERROR(INDEX(EmployeeData[Age], ROW() - 37), "")</f>
        <v/>
      </c>
      <c r="G4046" s="6" t="str" cm="1">
        <f t="array" ref="G4046">IFERROR(INDEX(EmployeeData[Join Date], ROW() - 37), "")</f>
        <v/>
      </c>
      <c r="H4046" s="6" t="str" cm="1">
        <f t="array" ref="H4046">IFERROR(IF(INDEX(EmployeeData[Exit Date], ROW() - 37)=0, "",INDEX(EmployeeData[Exit Date], ROW() - 37)),"")</f>
        <v/>
      </c>
      <c r="I4046" s="4" t="str" cm="1">
        <f t="array" ref="I4046">IFERROR(IF(INDEX(EmployeeData[Exit Reason], ROW() - 37)=0, "",INDEX(EmployeeData[Exit Reason], ROW() - 37)),"")</f>
        <v/>
      </c>
      <c r="J4046" s="4" t="str" cm="1">
        <f t="array" ref="J4046">IFERROR(INDEX(EmployeeData[Status], ROW() - 37), "")</f>
        <v/>
      </c>
    </row>
    <row r="4047" spans="2:10" ht="19.95" customHeight="1" x14ac:dyDescent="0.3">
      <c r="B4047" s="4" t="str" cm="1">
        <f t="array" ref="B4047">IFERROR(INDEX(EmployeeData[Employee ID], ROW() - 37), "")</f>
        <v/>
      </c>
      <c r="C4047" s="4" t="str" cm="1">
        <f t="array" ref="C4047">IFERROR(INDEX(EmployeeData[Full Name], ROW() - 37), "")</f>
        <v/>
      </c>
      <c r="D4047" s="4" t="str" cm="1">
        <f t="array" ref="D4047">IFERROR(INDEX(EmployeeData[Department], ROW() - 37), "")</f>
        <v/>
      </c>
      <c r="E4047" s="4" t="str" cm="1">
        <f t="array" ref="E4047">IFERROR(INDEX(EmployeeData[Gender], ROW() - 37), "")</f>
        <v/>
      </c>
      <c r="F4047" s="4" t="str" cm="1">
        <f t="array" ref="F4047">IFERROR(INDEX(EmployeeData[Age], ROW() - 37), "")</f>
        <v/>
      </c>
      <c r="G4047" s="6" t="str" cm="1">
        <f t="array" ref="G4047">IFERROR(INDEX(EmployeeData[Join Date], ROW() - 37), "")</f>
        <v/>
      </c>
      <c r="H4047" s="6" t="str" cm="1">
        <f t="array" ref="H4047">IFERROR(IF(INDEX(EmployeeData[Exit Date], ROW() - 37)=0, "",INDEX(EmployeeData[Exit Date], ROW() - 37)),"")</f>
        <v/>
      </c>
      <c r="I4047" s="4" t="str" cm="1">
        <f t="array" ref="I4047">IFERROR(IF(INDEX(EmployeeData[Exit Reason], ROW() - 37)=0, "",INDEX(EmployeeData[Exit Reason], ROW() - 37)),"")</f>
        <v/>
      </c>
      <c r="J4047" s="4" t="str" cm="1">
        <f t="array" ref="J4047">IFERROR(INDEX(EmployeeData[Status], ROW() - 37), "")</f>
        <v/>
      </c>
    </row>
    <row r="4048" spans="2:10" ht="19.95" customHeight="1" x14ac:dyDescent="0.3">
      <c r="B4048" s="4" t="str" cm="1">
        <f t="array" ref="B4048">IFERROR(INDEX(EmployeeData[Employee ID], ROW() - 37), "")</f>
        <v/>
      </c>
      <c r="C4048" s="4" t="str" cm="1">
        <f t="array" ref="C4048">IFERROR(INDEX(EmployeeData[Full Name], ROW() - 37), "")</f>
        <v/>
      </c>
      <c r="D4048" s="4" t="str" cm="1">
        <f t="array" ref="D4048">IFERROR(INDEX(EmployeeData[Department], ROW() - 37), "")</f>
        <v/>
      </c>
      <c r="E4048" s="4" t="str" cm="1">
        <f t="array" ref="E4048">IFERROR(INDEX(EmployeeData[Gender], ROW() - 37), "")</f>
        <v/>
      </c>
      <c r="F4048" s="4" t="str" cm="1">
        <f t="array" ref="F4048">IFERROR(INDEX(EmployeeData[Age], ROW() - 37), "")</f>
        <v/>
      </c>
      <c r="G4048" s="6" t="str" cm="1">
        <f t="array" ref="G4048">IFERROR(INDEX(EmployeeData[Join Date], ROW() - 37), "")</f>
        <v/>
      </c>
      <c r="H4048" s="6" t="str" cm="1">
        <f t="array" ref="H4048">IFERROR(IF(INDEX(EmployeeData[Exit Date], ROW() - 37)=0, "",INDEX(EmployeeData[Exit Date], ROW() - 37)),"")</f>
        <v/>
      </c>
      <c r="I4048" s="4" t="str" cm="1">
        <f t="array" ref="I4048">IFERROR(IF(INDEX(EmployeeData[Exit Reason], ROW() - 37)=0, "",INDEX(EmployeeData[Exit Reason], ROW() - 37)),"")</f>
        <v/>
      </c>
      <c r="J4048" s="4" t="str" cm="1">
        <f t="array" ref="J4048">IFERROR(INDEX(EmployeeData[Status], ROW() - 37), "")</f>
        <v/>
      </c>
    </row>
    <row r="4049" spans="2:10" ht="19.95" customHeight="1" x14ac:dyDescent="0.3">
      <c r="B4049" s="4" t="str" cm="1">
        <f t="array" ref="B4049">IFERROR(INDEX(EmployeeData[Employee ID], ROW() - 37), "")</f>
        <v/>
      </c>
      <c r="C4049" s="4" t="str" cm="1">
        <f t="array" ref="C4049">IFERROR(INDEX(EmployeeData[Full Name], ROW() - 37), "")</f>
        <v/>
      </c>
      <c r="D4049" s="4" t="str" cm="1">
        <f t="array" ref="D4049">IFERROR(INDEX(EmployeeData[Department], ROW() - 37), "")</f>
        <v/>
      </c>
      <c r="E4049" s="4" t="str" cm="1">
        <f t="array" ref="E4049">IFERROR(INDEX(EmployeeData[Gender], ROW() - 37), "")</f>
        <v/>
      </c>
      <c r="F4049" s="4" t="str" cm="1">
        <f t="array" ref="F4049">IFERROR(INDEX(EmployeeData[Age], ROW() - 37), "")</f>
        <v/>
      </c>
      <c r="G4049" s="6" t="str" cm="1">
        <f t="array" ref="G4049">IFERROR(INDEX(EmployeeData[Join Date], ROW() - 37), "")</f>
        <v/>
      </c>
      <c r="H4049" s="6" t="str" cm="1">
        <f t="array" ref="H4049">IFERROR(IF(INDEX(EmployeeData[Exit Date], ROW() - 37)=0, "",INDEX(EmployeeData[Exit Date], ROW() - 37)),"")</f>
        <v/>
      </c>
      <c r="I4049" s="4" t="str" cm="1">
        <f t="array" ref="I4049">IFERROR(IF(INDEX(EmployeeData[Exit Reason], ROW() - 37)=0, "",INDEX(EmployeeData[Exit Reason], ROW() - 37)),"")</f>
        <v/>
      </c>
      <c r="J4049" s="4" t="str" cm="1">
        <f t="array" ref="J4049">IFERROR(INDEX(EmployeeData[Status], ROW() - 37), "")</f>
        <v/>
      </c>
    </row>
    <row r="4050" spans="2:10" ht="19.95" customHeight="1" x14ac:dyDescent="0.3">
      <c r="B4050" s="4" t="str" cm="1">
        <f t="array" ref="B4050">IFERROR(INDEX(EmployeeData[Employee ID], ROW() - 37), "")</f>
        <v/>
      </c>
      <c r="C4050" s="4" t="str" cm="1">
        <f t="array" ref="C4050">IFERROR(INDEX(EmployeeData[Full Name], ROW() - 37), "")</f>
        <v/>
      </c>
      <c r="D4050" s="4" t="str" cm="1">
        <f t="array" ref="D4050">IFERROR(INDEX(EmployeeData[Department], ROW() - 37), "")</f>
        <v/>
      </c>
      <c r="E4050" s="4" t="str" cm="1">
        <f t="array" ref="E4050">IFERROR(INDEX(EmployeeData[Gender], ROW() - 37), "")</f>
        <v/>
      </c>
      <c r="F4050" s="4" t="str" cm="1">
        <f t="array" ref="F4050">IFERROR(INDEX(EmployeeData[Age], ROW() - 37), "")</f>
        <v/>
      </c>
      <c r="G4050" s="6" t="str" cm="1">
        <f t="array" ref="G4050">IFERROR(INDEX(EmployeeData[Join Date], ROW() - 37), "")</f>
        <v/>
      </c>
      <c r="H4050" s="6" t="str" cm="1">
        <f t="array" ref="H4050">IFERROR(IF(INDEX(EmployeeData[Exit Date], ROW() - 37)=0, "",INDEX(EmployeeData[Exit Date], ROW() - 37)),"")</f>
        <v/>
      </c>
      <c r="I4050" s="4" t="str" cm="1">
        <f t="array" ref="I4050">IFERROR(IF(INDEX(EmployeeData[Exit Reason], ROW() - 37)=0, "",INDEX(EmployeeData[Exit Reason], ROW() - 37)),"")</f>
        <v/>
      </c>
      <c r="J4050" s="4" t="str" cm="1">
        <f t="array" ref="J4050">IFERROR(INDEX(EmployeeData[Status], ROW() - 37), "")</f>
        <v/>
      </c>
    </row>
    <row r="4051" spans="2:10" ht="19.95" customHeight="1" x14ac:dyDescent="0.3">
      <c r="B4051" s="4" t="str" cm="1">
        <f t="array" ref="B4051">IFERROR(INDEX(EmployeeData[Employee ID], ROW() - 37), "")</f>
        <v/>
      </c>
      <c r="C4051" s="4" t="str" cm="1">
        <f t="array" ref="C4051">IFERROR(INDEX(EmployeeData[Full Name], ROW() - 37), "")</f>
        <v/>
      </c>
      <c r="D4051" s="4" t="str" cm="1">
        <f t="array" ref="D4051">IFERROR(INDEX(EmployeeData[Department], ROW() - 37), "")</f>
        <v/>
      </c>
      <c r="E4051" s="4" t="str" cm="1">
        <f t="array" ref="E4051">IFERROR(INDEX(EmployeeData[Gender], ROW() - 37), "")</f>
        <v/>
      </c>
      <c r="F4051" s="4" t="str" cm="1">
        <f t="array" ref="F4051">IFERROR(INDEX(EmployeeData[Age], ROW() - 37), "")</f>
        <v/>
      </c>
      <c r="G4051" s="6" t="str" cm="1">
        <f t="array" ref="G4051">IFERROR(INDEX(EmployeeData[Join Date], ROW() - 37), "")</f>
        <v/>
      </c>
      <c r="H4051" s="6" t="str" cm="1">
        <f t="array" ref="H4051">IFERROR(IF(INDEX(EmployeeData[Exit Date], ROW() - 37)=0, "",INDEX(EmployeeData[Exit Date], ROW() - 37)),"")</f>
        <v/>
      </c>
      <c r="I4051" s="4" t="str" cm="1">
        <f t="array" ref="I4051">IFERROR(IF(INDEX(EmployeeData[Exit Reason], ROW() - 37)=0, "",INDEX(EmployeeData[Exit Reason], ROW() - 37)),"")</f>
        <v/>
      </c>
      <c r="J4051" s="4" t="str" cm="1">
        <f t="array" ref="J4051">IFERROR(INDEX(EmployeeData[Status], ROW() - 37), "")</f>
        <v/>
      </c>
    </row>
    <row r="4052" spans="2:10" ht="19.95" customHeight="1" x14ac:dyDescent="0.3">
      <c r="B4052" s="4" t="str" cm="1">
        <f t="array" ref="B4052">IFERROR(INDEX(EmployeeData[Employee ID], ROW() - 37), "")</f>
        <v/>
      </c>
      <c r="C4052" s="4" t="str" cm="1">
        <f t="array" ref="C4052">IFERROR(INDEX(EmployeeData[Full Name], ROW() - 37), "")</f>
        <v/>
      </c>
      <c r="D4052" s="4" t="str" cm="1">
        <f t="array" ref="D4052">IFERROR(INDEX(EmployeeData[Department], ROW() - 37), "")</f>
        <v/>
      </c>
      <c r="E4052" s="4" t="str" cm="1">
        <f t="array" ref="E4052">IFERROR(INDEX(EmployeeData[Gender], ROW() - 37), "")</f>
        <v/>
      </c>
      <c r="F4052" s="4" t="str" cm="1">
        <f t="array" ref="F4052">IFERROR(INDEX(EmployeeData[Age], ROW() - 37), "")</f>
        <v/>
      </c>
      <c r="G4052" s="6" t="str" cm="1">
        <f t="array" ref="G4052">IFERROR(INDEX(EmployeeData[Join Date], ROW() - 37), "")</f>
        <v/>
      </c>
      <c r="H4052" s="6" t="str" cm="1">
        <f t="array" ref="H4052">IFERROR(IF(INDEX(EmployeeData[Exit Date], ROW() - 37)=0, "",INDEX(EmployeeData[Exit Date], ROW() - 37)),"")</f>
        <v/>
      </c>
      <c r="I4052" s="4" t="str" cm="1">
        <f t="array" ref="I4052">IFERROR(IF(INDEX(EmployeeData[Exit Reason], ROW() - 37)=0, "",INDEX(EmployeeData[Exit Reason], ROW() - 37)),"")</f>
        <v/>
      </c>
      <c r="J4052" s="4" t="str" cm="1">
        <f t="array" ref="J4052">IFERROR(INDEX(EmployeeData[Status], ROW() - 37), "")</f>
        <v/>
      </c>
    </row>
    <row r="4053" spans="2:10" ht="19.95" customHeight="1" x14ac:dyDescent="0.3">
      <c r="B4053" s="4" t="str" cm="1">
        <f t="array" ref="B4053">IFERROR(INDEX(EmployeeData[Employee ID], ROW() - 37), "")</f>
        <v/>
      </c>
      <c r="C4053" s="4" t="str" cm="1">
        <f t="array" ref="C4053">IFERROR(INDEX(EmployeeData[Full Name], ROW() - 37), "")</f>
        <v/>
      </c>
      <c r="D4053" s="4" t="str" cm="1">
        <f t="array" ref="D4053">IFERROR(INDEX(EmployeeData[Department], ROW() - 37), "")</f>
        <v/>
      </c>
      <c r="E4053" s="4" t="str" cm="1">
        <f t="array" ref="E4053">IFERROR(INDEX(EmployeeData[Gender], ROW() - 37), "")</f>
        <v/>
      </c>
      <c r="F4053" s="4" t="str" cm="1">
        <f t="array" ref="F4053">IFERROR(INDEX(EmployeeData[Age], ROW() - 37), "")</f>
        <v/>
      </c>
      <c r="G4053" s="6" t="str" cm="1">
        <f t="array" ref="G4053">IFERROR(INDEX(EmployeeData[Join Date], ROW() - 37), "")</f>
        <v/>
      </c>
      <c r="H4053" s="6" t="str" cm="1">
        <f t="array" ref="H4053">IFERROR(IF(INDEX(EmployeeData[Exit Date], ROW() - 37)=0, "",INDEX(EmployeeData[Exit Date], ROW() - 37)),"")</f>
        <v/>
      </c>
      <c r="I4053" s="4" t="str" cm="1">
        <f t="array" ref="I4053">IFERROR(IF(INDEX(EmployeeData[Exit Reason], ROW() - 37)=0, "",INDEX(EmployeeData[Exit Reason], ROW() - 37)),"")</f>
        <v/>
      </c>
      <c r="J4053" s="4" t="str" cm="1">
        <f t="array" ref="J4053">IFERROR(INDEX(EmployeeData[Status], ROW() - 37), "")</f>
        <v/>
      </c>
    </row>
    <row r="4054" spans="2:10" ht="19.95" customHeight="1" x14ac:dyDescent="0.3">
      <c r="B4054" s="4" t="str" cm="1">
        <f t="array" ref="B4054">IFERROR(INDEX(EmployeeData[Employee ID], ROW() - 37), "")</f>
        <v/>
      </c>
      <c r="C4054" s="4" t="str" cm="1">
        <f t="array" ref="C4054">IFERROR(INDEX(EmployeeData[Full Name], ROW() - 37), "")</f>
        <v/>
      </c>
      <c r="D4054" s="4" t="str" cm="1">
        <f t="array" ref="D4054">IFERROR(INDEX(EmployeeData[Department], ROW() - 37), "")</f>
        <v/>
      </c>
      <c r="E4054" s="4" t="str" cm="1">
        <f t="array" ref="E4054">IFERROR(INDEX(EmployeeData[Gender], ROW() - 37), "")</f>
        <v/>
      </c>
      <c r="F4054" s="4" t="str" cm="1">
        <f t="array" ref="F4054">IFERROR(INDEX(EmployeeData[Age], ROW() - 37), "")</f>
        <v/>
      </c>
      <c r="G4054" s="6" t="str" cm="1">
        <f t="array" ref="G4054">IFERROR(INDEX(EmployeeData[Join Date], ROW() - 37), "")</f>
        <v/>
      </c>
      <c r="H4054" s="6" t="str" cm="1">
        <f t="array" ref="H4054">IFERROR(IF(INDEX(EmployeeData[Exit Date], ROW() - 37)=0, "",INDEX(EmployeeData[Exit Date], ROW() - 37)),"")</f>
        <v/>
      </c>
      <c r="I4054" s="4" t="str" cm="1">
        <f t="array" ref="I4054">IFERROR(IF(INDEX(EmployeeData[Exit Reason], ROW() - 37)=0, "",INDEX(EmployeeData[Exit Reason], ROW() - 37)),"")</f>
        <v/>
      </c>
      <c r="J4054" s="4" t="str" cm="1">
        <f t="array" ref="J4054">IFERROR(INDEX(EmployeeData[Status], ROW() - 37), "")</f>
        <v/>
      </c>
    </row>
    <row r="4055" spans="2:10" ht="19.95" customHeight="1" x14ac:dyDescent="0.3">
      <c r="B4055" s="4" t="str" cm="1">
        <f t="array" ref="B4055">IFERROR(INDEX(EmployeeData[Employee ID], ROW() - 37), "")</f>
        <v/>
      </c>
      <c r="C4055" s="4" t="str" cm="1">
        <f t="array" ref="C4055">IFERROR(INDEX(EmployeeData[Full Name], ROW() - 37), "")</f>
        <v/>
      </c>
      <c r="D4055" s="4" t="str" cm="1">
        <f t="array" ref="D4055">IFERROR(INDEX(EmployeeData[Department], ROW() - 37), "")</f>
        <v/>
      </c>
      <c r="E4055" s="4" t="str" cm="1">
        <f t="array" ref="E4055">IFERROR(INDEX(EmployeeData[Gender], ROW() - 37), "")</f>
        <v/>
      </c>
      <c r="F4055" s="4" t="str" cm="1">
        <f t="array" ref="F4055">IFERROR(INDEX(EmployeeData[Age], ROW() - 37), "")</f>
        <v/>
      </c>
      <c r="G4055" s="6" t="str" cm="1">
        <f t="array" ref="G4055">IFERROR(INDEX(EmployeeData[Join Date], ROW() - 37), "")</f>
        <v/>
      </c>
      <c r="H4055" s="6" t="str" cm="1">
        <f t="array" ref="H4055">IFERROR(IF(INDEX(EmployeeData[Exit Date], ROW() - 37)=0, "",INDEX(EmployeeData[Exit Date], ROW() - 37)),"")</f>
        <v/>
      </c>
      <c r="I4055" s="4" t="str" cm="1">
        <f t="array" ref="I4055">IFERROR(IF(INDEX(EmployeeData[Exit Reason], ROW() - 37)=0, "",INDEX(EmployeeData[Exit Reason], ROW() - 37)),"")</f>
        <v/>
      </c>
      <c r="J4055" s="4" t="str" cm="1">
        <f t="array" ref="J4055">IFERROR(INDEX(EmployeeData[Status], ROW() - 37), "")</f>
        <v/>
      </c>
    </row>
    <row r="4056" spans="2:10" ht="19.95" customHeight="1" x14ac:dyDescent="0.3">
      <c r="B4056" s="4" t="str" cm="1">
        <f t="array" ref="B4056">IFERROR(INDEX(EmployeeData[Employee ID], ROW() - 37), "")</f>
        <v/>
      </c>
      <c r="C4056" s="4" t="str" cm="1">
        <f t="array" ref="C4056">IFERROR(INDEX(EmployeeData[Full Name], ROW() - 37), "")</f>
        <v/>
      </c>
      <c r="D4056" s="4" t="str" cm="1">
        <f t="array" ref="D4056">IFERROR(INDEX(EmployeeData[Department], ROW() - 37), "")</f>
        <v/>
      </c>
      <c r="E4056" s="4" t="str" cm="1">
        <f t="array" ref="E4056">IFERROR(INDEX(EmployeeData[Gender], ROW() - 37), "")</f>
        <v/>
      </c>
      <c r="F4056" s="4" t="str" cm="1">
        <f t="array" ref="F4056">IFERROR(INDEX(EmployeeData[Age], ROW() - 37), "")</f>
        <v/>
      </c>
      <c r="G4056" s="6" t="str" cm="1">
        <f t="array" ref="G4056">IFERROR(INDEX(EmployeeData[Join Date], ROW() - 37), "")</f>
        <v/>
      </c>
      <c r="H4056" s="6" t="str" cm="1">
        <f t="array" ref="H4056">IFERROR(IF(INDEX(EmployeeData[Exit Date], ROW() - 37)=0, "",INDEX(EmployeeData[Exit Date], ROW() - 37)),"")</f>
        <v/>
      </c>
      <c r="I4056" s="4" t="str" cm="1">
        <f t="array" ref="I4056">IFERROR(IF(INDEX(EmployeeData[Exit Reason], ROW() - 37)=0, "",INDEX(EmployeeData[Exit Reason], ROW() - 37)),"")</f>
        <v/>
      </c>
      <c r="J4056" s="4" t="str" cm="1">
        <f t="array" ref="J4056">IFERROR(INDEX(EmployeeData[Status], ROW() - 37), "")</f>
        <v/>
      </c>
    </row>
    <row r="4057" spans="2:10" ht="19.95" customHeight="1" x14ac:dyDescent="0.3">
      <c r="B4057" s="4" t="str" cm="1">
        <f t="array" ref="B4057">IFERROR(INDEX(EmployeeData[Employee ID], ROW() - 37), "")</f>
        <v/>
      </c>
      <c r="C4057" s="4" t="str" cm="1">
        <f t="array" ref="C4057">IFERROR(INDEX(EmployeeData[Full Name], ROW() - 37), "")</f>
        <v/>
      </c>
      <c r="D4057" s="4" t="str" cm="1">
        <f t="array" ref="D4057">IFERROR(INDEX(EmployeeData[Department], ROW() - 37), "")</f>
        <v/>
      </c>
      <c r="E4057" s="4" t="str" cm="1">
        <f t="array" ref="E4057">IFERROR(INDEX(EmployeeData[Gender], ROW() - 37), "")</f>
        <v/>
      </c>
      <c r="F4057" s="4" t="str" cm="1">
        <f t="array" ref="F4057">IFERROR(INDEX(EmployeeData[Age], ROW() - 37), "")</f>
        <v/>
      </c>
      <c r="G4057" s="6" t="str" cm="1">
        <f t="array" ref="G4057">IFERROR(INDEX(EmployeeData[Join Date], ROW() - 37), "")</f>
        <v/>
      </c>
      <c r="H4057" s="6" t="str" cm="1">
        <f t="array" ref="H4057">IFERROR(IF(INDEX(EmployeeData[Exit Date], ROW() - 37)=0, "",INDEX(EmployeeData[Exit Date], ROW() - 37)),"")</f>
        <v/>
      </c>
      <c r="I4057" s="4" t="str" cm="1">
        <f t="array" ref="I4057">IFERROR(IF(INDEX(EmployeeData[Exit Reason], ROW() - 37)=0, "",INDEX(EmployeeData[Exit Reason], ROW() - 37)),"")</f>
        <v/>
      </c>
      <c r="J4057" s="4" t="str" cm="1">
        <f t="array" ref="J4057">IFERROR(INDEX(EmployeeData[Status], ROW() - 37), "")</f>
        <v/>
      </c>
    </row>
    <row r="4058" spans="2:10" ht="19.95" customHeight="1" x14ac:dyDescent="0.3">
      <c r="B4058" s="4" t="str" cm="1">
        <f t="array" ref="B4058">IFERROR(INDEX(EmployeeData[Employee ID], ROW() - 37), "")</f>
        <v/>
      </c>
      <c r="C4058" s="4" t="str" cm="1">
        <f t="array" ref="C4058">IFERROR(INDEX(EmployeeData[Full Name], ROW() - 37), "")</f>
        <v/>
      </c>
      <c r="D4058" s="4" t="str" cm="1">
        <f t="array" ref="D4058">IFERROR(INDEX(EmployeeData[Department], ROW() - 37), "")</f>
        <v/>
      </c>
      <c r="E4058" s="4" t="str" cm="1">
        <f t="array" ref="E4058">IFERROR(INDEX(EmployeeData[Gender], ROW() - 37), "")</f>
        <v/>
      </c>
      <c r="F4058" s="4" t="str" cm="1">
        <f t="array" ref="F4058">IFERROR(INDEX(EmployeeData[Age], ROW() - 37), "")</f>
        <v/>
      </c>
      <c r="G4058" s="6" t="str" cm="1">
        <f t="array" ref="G4058">IFERROR(INDEX(EmployeeData[Join Date], ROW() - 37), "")</f>
        <v/>
      </c>
      <c r="H4058" s="6" t="str" cm="1">
        <f t="array" ref="H4058">IFERROR(IF(INDEX(EmployeeData[Exit Date], ROW() - 37)=0, "",INDEX(EmployeeData[Exit Date], ROW() - 37)),"")</f>
        <v/>
      </c>
      <c r="I4058" s="4" t="str" cm="1">
        <f t="array" ref="I4058">IFERROR(IF(INDEX(EmployeeData[Exit Reason], ROW() - 37)=0, "",INDEX(EmployeeData[Exit Reason], ROW() - 37)),"")</f>
        <v/>
      </c>
      <c r="J4058" s="4" t="str" cm="1">
        <f t="array" ref="J4058">IFERROR(INDEX(EmployeeData[Status], ROW() - 37), "")</f>
        <v/>
      </c>
    </row>
    <row r="4059" spans="2:10" ht="19.95" customHeight="1" x14ac:dyDescent="0.3">
      <c r="B4059" s="4" t="str" cm="1">
        <f t="array" ref="B4059">IFERROR(INDEX(EmployeeData[Employee ID], ROW() - 37), "")</f>
        <v/>
      </c>
      <c r="C4059" s="4" t="str" cm="1">
        <f t="array" ref="C4059">IFERROR(INDEX(EmployeeData[Full Name], ROW() - 37), "")</f>
        <v/>
      </c>
      <c r="D4059" s="4" t="str" cm="1">
        <f t="array" ref="D4059">IFERROR(INDEX(EmployeeData[Department], ROW() - 37), "")</f>
        <v/>
      </c>
      <c r="E4059" s="4" t="str" cm="1">
        <f t="array" ref="E4059">IFERROR(INDEX(EmployeeData[Gender], ROW() - 37), "")</f>
        <v/>
      </c>
      <c r="F4059" s="4" t="str" cm="1">
        <f t="array" ref="F4059">IFERROR(INDEX(EmployeeData[Age], ROW() - 37), "")</f>
        <v/>
      </c>
      <c r="G4059" s="6" t="str" cm="1">
        <f t="array" ref="G4059">IFERROR(INDEX(EmployeeData[Join Date], ROW() - 37), "")</f>
        <v/>
      </c>
      <c r="H4059" s="6" t="str" cm="1">
        <f t="array" ref="H4059">IFERROR(IF(INDEX(EmployeeData[Exit Date], ROW() - 37)=0, "",INDEX(EmployeeData[Exit Date], ROW() - 37)),"")</f>
        <v/>
      </c>
      <c r="I4059" s="4" t="str" cm="1">
        <f t="array" ref="I4059">IFERROR(IF(INDEX(EmployeeData[Exit Reason], ROW() - 37)=0, "",INDEX(EmployeeData[Exit Reason], ROW() - 37)),"")</f>
        <v/>
      </c>
      <c r="J4059" s="4" t="str" cm="1">
        <f t="array" ref="J4059">IFERROR(INDEX(EmployeeData[Status], ROW() - 37), "")</f>
        <v/>
      </c>
    </row>
    <row r="4060" spans="2:10" ht="19.95" customHeight="1" x14ac:dyDescent="0.3">
      <c r="B4060" s="4" t="str" cm="1">
        <f t="array" ref="B4060">IFERROR(INDEX(EmployeeData[Employee ID], ROW() - 37), "")</f>
        <v/>
      </c>
      <c r="C4060" s="4" t="str" cm="1">
        <f t="array" ref="C4060">IFERROR(INDEX(EmployeeData[Full Name], ROW() - 37), "")</f>
        <v/>
      </c>
      <c r="D4060" s="4" t="str" cm="1">
        <f t="array" ref="D4060">IFERROR(INDEX(EmployeeData[Department], ROW() - 37), "")</f>
        <v/>
      </c>
      <c r="E4060" s="4" t="str" cm="1">
        <f t="array" ref="E4060">IFERROR(INDEX(EmployeeData[Gender], ROW() - 37), "")</f>
        <v/>
      </c>
      <c r="F4060" s="4" t="str" cm="1">
        <f t="array" ref="F4060">IFERROR(INDEX(EmployeeData[Age], ROW() - 37), "")</f>
        <v/>
      </c>
      <c r="G4060" s="6" t="str" cm="1">
        <f t="array" ref="G4060">IFERROR(INDEX(EmployeeData[Join Date], ROW() - 37), "")</f>
        <v/>
      </c>
      <c r="H4060" s="6" t="str" cm="1">
        <f t="array" ref="H4060">IFERROR(IF(INDEX(EmployeeData[Exit Date], ROW() - 37)=0, "",INDEX(EmployeeData[Exit Date], ROW() - 37)),"")</f>
        <v/>
      </c>
      <c r="I4060" s="4" t="str" cm="1">
        <f t="array" ref="I4060">IFERROR(IF(INDEX(EmployeeData[Exit Reason], ROW() - 37)=0, "",INDEX(EmployeeData[Exit Reason], ROW() - 37)),"")</f>
        <v/>
      </c>
      <c r="J4060" s="4" t="str" cm="1">
        <f t="array" ref="J4060">IFERROR(INDEX(EmployeeData[Status], ROW() - 37), "")</f>
        <v/>
      </c>
    </row>
    <row r="4061" spans="2:10" ht="19.95" customHeight="1" x14ac:dyDescent="0.3">
      <c r="B4061" s="4" t="str" cm="1">
        <f t="array" ref="B4061">IFERROR(INDEX(EmployeeData[Employee ID], ROW() - 37), "")</f>
        <v/>
      </c>
      <c r="C4061" s="4" t="str" cm="1">
        <f t="array" ref="C4061">IFERROR(INDEX(EmployeeData[Full Name], ROW() - 37), "")</f>
        <v/>
      </c>
      <c r="D4061" s="4" t="str" cm="1">
        <f t="array" ref="D4061">IFERROR(INDEX(EmployeeData[Department], ROW() - 37), "")</f>
        <v/>
      </c>
      <c r="E4061" s="4" t="str" cm="1">
        <f t="array" ref="E4061">IFERROR(INDEX(EmployeeData[Gender], ROW() - 37), "")</f>
        <v/>
      </c>
      <c r="F4061" s="4" t="str" cm="1">
        <f t="array" ref="F4061">IFERROR(INDEX(EmployeeData[Age], ROW() - 37), "")</f>
        <v/>
      </c>
      <c r="G4061" s="6" t="str" cm="1">
        <f t="array" ref="G4061">IFERROR(INDEX(EmployeeData[Join Date], ROW() - 37), "")</f>
        <v/>
      </c>
      <c r="H4061" s="6" t="str" cm="1">
        <f t="array" ref="H4061">IFERROR(IF(INDEX(EmployeeData[Exit Date], ROW() - 37)=0, "",INDEX(EmployeeData[Exit Date], ROW() - 37)),"")</f>
        <v/>
      </c>
      <c r="I4061" s="4" t="str" cm="1">
        <f t="array" ref="I4061">IFERROR(IF(INDEX(EmployeeData[Exit Reason], ROW() - 37)=0, "",INDEX(EmployeeData[Exit Reason], ROW() - 37)),"")</f>
        <v/>
      </c>
      <c r="J4061" s="4" t="str" cm="1">
        <f t="array" ref="J4061">IFERROR(INDEX(EmployeeData[Status], ROW() - 37), "")</f>
        <v/>
      </c>
    </row>
    <row r="4062" spans="2:10" ht="19.95" customHeight="1" x14ac:dyDescent="0.3">
      <c r="B4062" s="4" t="str" cm="1">
        <f t="array" ref="B4062">IFERROR(INDEX(EmployeeData[Employee ID], ROW() - 37), "")</f>
        <v/>
      </c>
      <c r="C4062" s="4" t="str" cm="1">
        <f t="array" ref="C4062">IFERROR(INDEX(EmployeeData[Full Name], ROW() - 37), "")</f>
        <v/>
      </c>
      <c r="D4062" s="4" t="str" cm="1">
        <f t="array" ref="D4062">IFERROR(INDEX(EmployeeData[Department], ROW() - 37), "")</f>
        <v/>
      </c>
      <c r="E4062" s="4" t="str" cm="1">
        <f t="array" ref="E4062">IFERROR(INDEX(EmployeeData[Gender], ROW() - 37), "")</f>
        <v/>
      </c>
      <c r="F4062" s="4" t="str" cm="1">
        <f t="array" ref="F4062">IFERROR(INDEX(EmployeeData[Age], ROW() - 37), "")</f>
        <v/>
      </c>
      <c r="G4062" s="6" t="str" cm="1">
        <f t="array" ref="G4062">IFERROR(INDEX(EmployeeData[Join Date], ROW() - 37), "")</f>
        <v/>
      </c>
      <c r="H4062" s="6" t="str" cm="1">
        <f t="array" ref="H4062">IFERROR(IF(INDEX(EmployeeData[Exit Date], ROW() - 37)=0, "",INDEX(EmployeeData[Exit Date], ROW() - 37)),"")</f>
        <v/>
      </c>
      <c r="I4062" s="4" t="str" cm="1">
        <f t="array" ref="I4062">IFERROR(IF(INDEX(EmployeeData[Exit Reason], ROW() - 37)=0, "",INDEX(EmployeeData[Exit Reason], ROW() - 37)),"")</f>
        <v/>
      </c>
      <c r="J4062" s="4" t="str" cm="1">
        <f t="array" ref="J4062">IFERROR(INDEX(EmployeeData[Status], ROW() - 37), "")</f>
        <v/>
      </c>
    </row>
    <row r="4063" spans="2:10" ht="19.95" customHeight="1" x14ac:dyDescent="0.3">
      <c r="B4063" s="4" t="str" cm="1">
        <f t="array" ref="B4063">IFERROR(INDEX(EmployeeData[Employee ID], ROW() - 37), "")</f>
        <v/>
      </c>
      <c r="C4063" s="4" t="str" cm="1">
        <f t="array" ref="C4063">IFERROR(INDEX(EmployeeData[Full Name], ROW() - 37), "")</f>
        <v/>
      </c>
      <c r="D4063" s="4" t="str" cm="1">
        <f t="array" ref="D4063">IFERROR(INDEX(EmployeeData[Department], ROW() - 37), "")</f>
        <v/>
      </c>
      <c r="E4063" s="4" t="str" cm="1">
        <f t="array" ref="E4063">IFERROR(INDEX(EmployeeData[Gender], ROW() - 37), "")</f>
        <v/>
      </c>
      <c r="F4063" s="4" t="str" cm="1">
        <f t="array" ref="F4063">IFERROR(INDEX(EmployeeData[Age], ROW() - 37), "")</f>
        <v/>
      </c>
      <c r="G4063" s="6" t="str" cm="1">
        <f t="array" ref="G4063">IFERROR(INDEX(EmployeeData[Join Date], ROW() - 37), "")</f>
        <v/>
      </c>
      <c r="H4063" s="6" t="str" cm="1">
        <f t="array" ref="H4063">IFERROR(IF(INDEX(EmployeeData[Exit Date], ROW() - 37)=0, "",INDEX(EmployeeData[Exit Date], ROW() - 37)),"")</f>
        <v/>
      </c>
      <c r="I4063" s="4" t="str" cm="1">
        <f t="array" ref="I4063">IFERROR(IF(INDEX(EmployeeData[Exit Reason], ROW() - 37)=0, "",INDEX(EmployeeData[Exit Reason], ROW() - 37)),"")</f>
        <v/>
      </c>
      <c r="J4063" s="4" t="str" cm="1">
        <f t="array" ref="J4063">IFERROR(INDEX(EmployeeData[Status], ROW() - 37), "")</f>
        <v/>
      </c>
    </row>
    <row r="4064" spans="2:10" ht="19.95" customHeight="1" x14ac:dyDescent="0.3">
      <c r="B4064" s="4" t="str" cm="1">
        <f t="array" ref="B4064">IFERROR(INDEX(EmployeeData[Employee ID], ROW() - 37), "")</f>
        <v/>
      </c>
      <c r="C4064" s="4" t="str" cm="1">
        <f t="array" ref="C4064">IFERROR(INDEX(EmployeeData[Full Name], ROW() - 37), "")</f>
        <v/>
      </c>
      <c r="D4064" s="4" t="str" cm="1">
        <f t="array" ref="D4064">IFERROR(INDEX(EmployeeData[Department], ROW() - 37), "")</f>
        <v/>
      </c>
      <c r="E4064" s="4" t="str" cm="1">
        <f t="array" ref="E4064">IFERROR(INDEX(EmployeeData[Gender], ROW() - 37), "")</f>
        <v/>
      </c>
      <c r="F4064" s="4" t="str" cm="1">
        <f t="array" ref="F4064">IFERROR(INDEX(EmployeeData[Age], ROW() - 37), "")</f>
        <v/>
      </c>
      <c r="G4064" s="6" t="str" cm="1">
        <f t="array" ref="G4064">IFERROR(INDEX(EmployeeData[Join Date], ROW() - 37), "")</f>
        <v/>
      </c>
      <c r="H4064" s="6" t="str" cm="1">
        <f t="array" ref="H4064">IFERROR(IF(INDEX(EmployeeData[Exit Date], ROW() - 37)=0, "",INDEX(EmployeeData[Exit Date], ROW() - 37)),"")</f>
        <v/>
      </c>
      <c r="I4064" s="4" t="str" cm="1">
        <f t="array" ref="I4064">IFERROR(IF(INDEX(EmployeeData[Exit Reason], ROW() - 37)=0, "",INDEX(EmployeeData[Exit Reason], ROW() - 37)),"")</f>
        <v/>
      </c>
      <c r="J4064" s="4" t="str" cm="1">
        <f t="array" ref="J4064">IFERROR(INDEX(EmployeeData[Status], ROW() - 37), "")</f>
        <v/>
      </c>
    </row>
    <row r="4065" spans="2:10" ht="19.95" customHeight="1" x14ac:dyDescent="0.3">
      <c r="B4065" s="4" t="str" cm="1">
        <f t="array" ref="B4065">IFERROR(INDEX(EmployeeData[Employee ID], ROW() - 37), "")</f>
        <v/>
      </c>
      <c r="C4065" s="4" t="str" cm="1">
        <f t="array" ref="C4065">IFERROR(INDEX(EmployeeData[Full Name], ROW() - 37), "")</f>
        <v/>
      </c>
      <c r="D4065" s="4" t="str" cm="1">
        <f t="array" ref="D4065">IFERROR(INDEX(EmployeeData[Department], ROW() - 37), "")</f>
        <v/>
      </c>
      <c r="E4065" s="4" t="str" cm="1">
        <f t="array" ref="E4065">IFERROR(INDEX(EmployeeData[Gender], ROW() - 37), "")</f>
        <v/>
      </c>
      <c r="F4065" s="4" t="str" cm="1">
        <f t="array" ref="F4065">IFERROR(INDEX(EmployeeData[Age], ROW() - 37), "")</f>
        <v/>
      </c>
      <c r="G4065" s="6" t="str" cm="1">
        <f t="array" ref="G4065">IFERROR(INDEX(EmployeeData[Join Date], ROW() - 37), "")</f>
        <v/>
      </c>
      <c r="H4065" s="6" t="str" cm="1">
        <f t="array" ref="H4065">IFERROR(IF(INDEX(EmployeeData[Exit Date], ROW() - 37)=0, "",INDEX(EmployeeData[Exit Date], ROW() - 37)),"")</f>
        <v/>
      </c>
      <c r="I4065" s="4" t="str" cm="1">
        <f t="array" ref="I4065">IFERROR(IF(INDEX(EmployeeData[Exit Reason], ROW() - 37)=0, "",INDEX(EmployeeData[Exit Reason], ROW() - 37)),"")</f>
        <v/>
      </c>
      <c r="J4065" s="4" t="str" cm="1">
        <f t="array" ref="J4065">IFERROR(INDEX(EmployeeData[Status], ROW() - 37), "")</f>
        <v/>
      </c>
    </row>
    <row r="4066" spans="2:10" ht="19.95" customHeight="1" x14ac:dyDescent="0.3">
      <c r="B4066" s="4" t="str" cm="1">
        <f t="array" ref="B4066">IFERROR(INDEX(EmployeeData[Employee ID], ROW() - 37), "")</f>
        <v/>
      </c>
      <c r="C4066" s="4" t="str" cm="1">
        <f t="array" ref="C4066">IFERROR(INDEX(EmployeeData[Full Name], ROW() - 37), "")</f>
        <v/>
      </c>
      <c r="D4066" s="4" t="str" cm="1">
        <f t="array" ref="D4066">IFERROR(INDEX(EmployeeData[Department], ROW() - 37), "")</f>
        <v/>
      </c>
      <c r="E4066" s="4" t="str" cm="1">
        <f t="array" ref="E4066">IFERROR(INDEX(EmployeeData[Gender], ROW() - 37), "")</f>
        <v/>
      </c>
      <c r="F4066" s="4" t="str" cm="1">
        <f t="array" ref="F4066">IFERROR(INDEX(EmployeeData[Age], ROW() - 37), "")</f>
        <v/>
      </c>
      <c r="G4066" s="6" t="str" cm="1">
        <f t="array" ref="G4066">IFERROR(INDEX(EmployeeData[Join Date], ROW() - 37), "")</f>
        <v/>
      </c>
      <c r="H4066" s="6" t="str" cm="1">
        <f t="array" ref="H4066">IFERROR(IF(INDEX(EmployeeData[Exit Date], ROW() - 37)=0, "",INDEX(EmployeeData[Exit Date], ROW() - 37)),"")</f>
        <v/>
      </c>
      <c r="I4066" s="4" t="str" cm="1">
        <f t="array" ref="I4066">IFERROR(IF(INDEX(EmployeeData[Exit Reason], ROW() - 37)=0, "",INDEX(EmployeeData[Exit Reason], ROW() - 37)),"")</f>
        <v/>
      </c>
      <c r="J4066" s="4" t="str" cm="1">
        <f t="array" ref="J4066">IFERROR(INDEX(EmployeeData[Status], ROW() - 37), "")</f>
        <v/>
      </c>
    </row>
    <row r="4067" spans="2:10" ht="19.95" customHeight="1" x14ac:dyDescent="0.3">
      <c r="B4067" s="4" t="str" cm="1">
        <f t="array" ref="B4067">IFERROR(INDEX(EmployeeData[Employee ID], ROW() - 37), "")</f>
        <v/>
      </c>
      <c r="C4067" s="4" t="str" cm="1">
        <f t="array" ref="C4067">IFERROR(INDEX(EmployeeData[Full Name], ROW() - 37), "")</f>
        <v/>
      </c>
      <c r="D4067" s="4" t="str" cm="1">
        <f t="array" ref="D4067">IFERROR(INDEX(EmployeeData[Department], ROW() - 37), "")</f>
        <v/>
      </c>
      <c r="E4067" s="4" t="str" cm="1">
        <f t="array" ref="E4067">IFERROR(INDEX(EmployeeData[Gender], ROW() - 37), "")</f>
        <v/>
      </c>
      <c r="F4067" s="4" t="str" cm="1">
        <f t="array" ref="F4067">IFERROR(INDEX(EmployeeData[Age], ROW() - 37), "")</f>
        <v/>
      </c>
      <c r="G4067" s="6" t="str" cm="1">
        <f t="array" ref="G4067">IFERROR(INDEX(EmployeeData[Join Date], ROW() - 37), "")</f>
        <v/>
      </c>
      <c r="H4067" s="6" t="str" cm="1">
        <f t="array" ref="H4067">IFERROR(IF(INDEX(EmployeeData[Exit Date], ROW() - 37)=0, "",INDEX(EmployeeData[Exit Date], ROW() - 37)),"")</f>
        <v/>
      </c>
      <c r="I4067" s="4" t="str" cm="1">
        <f t="array" ref="I4067">IFERROR(IF(INDEX(EmployeeData[Exit Reason], ROW() - 37)=0, "",INDEX(EmployeeData[Exit Reason], ROW() - 37)),"")</f>
        <v/>
      </c>
      <c r="J4067" s="4" t="str" cm="1">
        <f t="array" ref="J4067">IFERROR(INDEX(EmployeeData[Status], ROW() - 37), "")</f>
        <v/>
      </c>
    </row>
    <row r="4068" spans="2:10" ht="19.95" customHeight="1" x14ac:dyDescent="0.3">
      <c r="B4068" s="4" t="str" cm="1">
        <f t="array" ref="B4068">IFERROR(INDEX(EmployeeData[Employee ID], ROW() - 37), "")</f>
        <v/>
      </c>
      <c r="C4068" s="4" t="str" cm="1">
        <f t="array" ref="C4068">IFERROR(INDEX(EmployeeData[Full Name], ROW() - 37), "")</f>
        <v/>
      </c>
      <c r="D4068" s="4" t="str" cm="1">
        <f t="array" ref="D4068">IFERROR(INDEX(EmployeeData[Department], ROW() - 37), "")</f>
        <v/>
      </c>
      <c r="E4068" s="4" t="str" cm="1">
        <f t="array" ref="E4068">IFERROR(INDEX(EmployeeData[Gender], ROW() - 37), "")</f>
        <v/>
      </c>
      <c r="F4068" s="4" t="str" cm="1">
        <f t="array" ref="F4068">IFERROR(INDEX(EmployeeData[Age], ROW() - 37), "")</f>
        <v/>
      </c>
      <c r="G4068" s="6" t="str" cm="1">
        <f t="array" ref="G4068">IFERROR(INDEX(EmployeeData[Join Date], ROW() - 37), "")</f>
        <v/>
      </c>
      <c r="H4068" s="6" t="str" cm="1">
        <f t="array" ref="H4068">IFERROR(IF(INDEX(EmployeeData[Exit Date], ROW() - 37)=0, "",INDEX(EmployeeData[Exit Date], ROW() - 37)),"")</f>
        <v/>
      </c>
      <c r="I4068" s="4" t="str" cm="1">
        <f t="array" ref="I4068">IFERROR(IF(INDEX(EmployeeData[Exit Reason], ROW() - 37)=0, "",INDEX(EmployeeData[Exit Reason], ROW() - 37)),"")</f>
        <v/>
      </c>
      <c r="J4068" s="4" t="str" cm="1">
        <f t="array" ref="J4068">IFERROR(INDEX(EmployeeData[Status], ROW() - 37), "")</f>
        <v/>
      </c>
    </row>
    <row r="4069" spans="2:10" ht="19.95" customHeight="1" x14ac:dyDescent="0.3">
      <c r="B4069" s="4" t="str" cm="1">
        <f t="array" ref="B4069">IFERROR(INDEX(EmployeeData[Employee ID], ROW() - 37), "")</f>
        <v/>
      </c>
      <c r="C4069" s="4" t="str" cm="1">
        <f t="array" ref="C4069">IFERROR(INDEX(EmployeeData[Full Name], ROW() - 37), "")</f>
        <v/>
      </c>
      <c r="D4069" s="4" t="str" cm="1">
        <f t="array" ref="D4069">IFERROR(INDEX(EmployeeData[Department], ROW() - 37), "")</f>
        <v/>
      </c>
      <c r="E4069" s="4" t="str" cm="1">
        <f t="array" ref="E4069">IFERROR(INDEX(EmployeeData[Gender], ROW() - 37), "")</f>
        <v/>
      </c>
      <c r="F4069" s="4" t="str" cm="1">
        <f t="array" ref="F4069">IFERROR(INDEX(EmployeeData[Age], ROW() - 37), "")</f>
        <v/>
      </c>
      <c r="G4069" s="6" t="str" cm="1">
        <f t="array" ref="G4069">IFERROR(INDEX(EmployeeData[Join Date], ROW() - 37), "")</f>
        <v/>
      </c>
      <c r="H4069" s="6" t="str" cm="1">
        <f t="array" ref="H4069">IFERROR(IF(INDEX(EmployeeData[Exit Date], ROW() - 37)=0, "",INDEX(EmployeeData[Exit Date], ROW() - 37)),"")</f>
        <v/>
      </c>
      <c r="I4069" s="4" t="str" cm="1">
        <f t="array" ref="I4069">IFERROR(IF(INDEX(EmployeeData[Exit Reason], ROW() - 37)=0, "",INDEX(EmployeeData[Exit Reason], ROW() - 37)),"")</f>
        <v/>
      </c>
      <c r="J4069" s="4" t="str" cm="1">
        <f t="array" ref="J4069">IFERROR(INDEX(EmployeeData[Status], ROW() - 37), "")</f>
        <v/>
      </c>
    </row>
    <row r="4070" spans="2:10" ht="19.95" customHeight="1" x14ac:dyDescent="0.3">
      <c r="B4070" s="4" t="str" cm="1">
        <f t="array" ref="B4070">IFERROR(INDEX(EmployeeData[Employee ID], ROW() - 37), "")</f>
        <v/>
      </c>
      <c r="C4070" s="4" t="str" cm="1">
        <f t="array" ref="C4070">IFERROR(INDEX(EmployeeData[Full Name], ROW() - 37), "")</f>
        <v/>
      </c>
      <c r="D4070" s="4" t="str" cm="1">
        <f t="array" ref="D4070">IFERROR(INDEX(EmployeeData[Department], ROW() - 37), "")</f>
        <v/>
      </c>
      <c r="E4070" s="4" t="str" cm="1">
        <f t="array" ref="E4070">IFERROR(INDEX(EmployeeData[Gender], ROW() - 37), "")</f>
        <v/>
      </c>
      <c r="F4070" s="4" t="str" cm="1">
        <f t="array" ref="F4070">IFERROR(INDEX(EmployeeData[Age], ROW() - 37), "")</f>
        <v/>
      </c>
      <c r="G4070" s="6" t="str" cm="1">
        <f t="array" ref="G4070">IFERROR(INDEX(EmployeeData[Join Date], ROW() - 37), "")</f>
        <v/>
      </c>
      <c r="H4070" s="6" t="str" cm="1">
        <f t="array" ref="H4070">IFERROR(IF(INDEX(EmployeeData[Exit Date], ROW() - 37)=0, "",INDEX(EmployeeData[Exit Date], ROW() - 37)),"")</f>
        <v/>
      </c>
      <c r="I4070" s="4" t="str" cm="1">
        <f t="array" ref="I4070">IFERROR(IF(INDEX(EmployeeData[Exit Reason], ROW() - 37)=0, "",INDEX(EmployeeData[Exit Reason], ROW() - 37)),"")</f>
        <v/>
      </c>
      <c r="J4070" s="4" t="str" cm="1">
        <f t="array" ref="J4070">IFERROR(INDEX(EmployeeData[Status], ROW() - 37), "")</f>
        <v/>
      </c>
    </row>
    <row r="4071" spans="2:10" ht="19.95" customHeight="1" x14ac:dyDescent="0.3">
      <c r="B4071" s="4" t="str" cm="1">
        <f t="array" ref="B4071">IFERROR(INDEX(EmployeeData[Employee ID], ROW() - 37), "")</f>
        <v/>
      </c>
      <c r="C4071" s="4" t="str" cm="1">
        <f t="array" ref="C4071">IFERROR(INDEX(EmployeeData[Full Name], ROW() - 37), "")</f>
        <v/>
      </c>
      <c r="D4071" s="4" t="str" cm="1">
        <f t="array" ref="D4071">IFERROR(INDEX(EmployeeData[Department], ROW() - 37), "")</f>
        <v/>
      </c>
      <c r="E4071" s="4" t="str" cm="1">
        <f t="array" ref="E4071">IFERROR(INDEX(EmployeeData[Gender], ROW() - 37), "")</f>
        <v/>
      </c>
      <c r="F4071" s="4" t="str" cm="1">
        <f t="array" ref="F4071">IFERROR(INDEX(EmployeeData[Age], ROW() - 37), "")</f>
        <v/>
      </c>
      <c r="G4071" s="6" t="str" cm="1">
        <f t="array" ref="G4071">IFERROR(INDEX(EmployeeData[Join Date], ROW() - 37), "")</f>
        <v/>
      </c>
      <c r="H4071" s="6" t="str" cm="1">
        <f t="array" ref="H4071">IFERROR(IF(INDEX(EmployeeData[Exit Date], ROW() - 37)=0, "",INDEX(EmployeeData[Exit Date], ROW() - 37)),"")</f>
        <v/>
      </c>
      <c r="I4071" s="4" t="str" cm="1">
        <f t="array" ref="I4071">IFERROR(IF(INDEX(EmployeeData[Exit Reason], ROW() - 37)=0, "",INDEX(EmployeeData[Exit Reason], ROW() - 37)),"")</f>
        <v/>
      </c>
      <c r="J4071" s="4" t="str" cm="1">
        <f t="array" ref="J4071">IFERROR(INDEX(EmployeeData[Status], ROW() - 37), "")</f>
        <v/>
      </c>
    </row>
    <row r="4072" spans="2:10" ht="19.95" customHeight="1" x14ac:dyDescent="0.3">
      <c r="B4072" s="4" t="str" cm="1">
        <f t="array" ref="B4072">IFERROR(INDEX(EmployeeData[Employee ID], ROW() - 37), "")</f>
        <v/>
      </c>
      <c r="C4072" s="4" t="str" cm="1">
        <f t="array" ref="C4072">IFERROR(INDEX(EmployeeData[Full Name], ROW() - 37), "")</f>
        <v/>
      </c>
      <c r="D4072" s="4" t="str" cm="1">
        <f t="array" ref="D4072">IFERROR(INDEX(EmployeeData[Department], ROW() - 37), "")</f>
        <v/>
      </c>
      <c r="E4072" s="4" t="str" cm="1">
        <f t="array" ref="E4072">IFERROR(INDEX(EmployeeData[Gender], ROW() - 37), "")</f>
        <v/>
      </c>
      <c r="F4072" s="4" t="str" cm="1">
        <f t="array" ref="F4072">IFERROR(INDEX(EmployeeData[Age], ROW() - 37), "")</f>
        <v/>
      </c>
      <c r="G4072" s="6" t="str" cm="1">
        <f t="array" ref="G4072">IFERROR(INDEX(EmployeeData[Join Date], ROW() - 37), "")</f>
        <v/>
      </c>
      <c r="H4072" s="6" t="str" cm="1">
        <f t="array" ref="H4072">IFERROR(IF(INDEX(EmployeeData[Exit Date], ROW() - 37)=0, "",INDEX(EmployeeData[Exit Date], ROW() - 37)),"")</f>
        <v/>
      </c>
      <c r="I4072" s="4" t="str" cm="1">
        <f t="array" ref="I4072">IFERROR(IF(INDEX(EmployeeData[Exit Reason], ROW() - 37)=0, "",INDEX(EmployeeData[Exit Reason], ROW() - 37)),"")</f>
        <v/>
      </c>
      <c r="J4072" s="4" t="str" cm="1">
        <f t="array" ref="J4072">IFERROR(INDEX(EmployeeData[Status], ROW() - 37), "")</f>
        <v/>
      </c>
    </row>
    <row r="4073" spans="2:10" ht="19.95" customHeight="1" x14ac:dyDescent="0.3">
      <c r="B4073" s="4" t="str" cm="1">
        <f t="array" ref="B4073">IFERROR(INDEX(EmployeeData[Employee ID], ROW() - 37), "")</f>
        <v/>
      </c>
      <c r="C4073" s="4" t="str" cm="1">
        <f t="array" ref="C4073">IFERROR(INDEX(EmployeeData[Full Name], ROW() - 37), "")</f>
        <v/>
      </c>
      <c r="D4073" s="4" t="str" cm="1">
        <f t="array" ref="D4073">IFERROR(INDEX(EmployeeData[Department], ROW() - 37), "")</f>
        <v/>
      </c>
      <c r="E4073" s="4" t="str" cm="1">
        <f t="array" ref="E4073">IFERROR(INDEX(EmployeeData[Gender], ROW() - 37), "")</f>
        <v/>
      </c>
      <c r="F4073" s="4" t="str" cm="1">
        <f t="array" ref="F4073">IFERROR(INDEX(EmployeeData[Age], ROW() - 37), "")</f>
        <v/>
      </c>
      <c r="G4073" s="6" t="str" cm="1">
        <f t="array" ref="G4073">IFERROR(INDEX(EmployeeData[Join Date], ROW() - 37), "")</f>
        <v/>
      </c>
      <c r="H4073" s="6" t="str" cm="1">
        <f t="array" ref="H4073">IFERROR(IF(INDEX(EmployeeData[Exit Date], ROW() - 37)=0, "",INDEX(EmployeeData[Exit Date], ROW() - 37)),"")</f>
        <v/>
      </c>
      <c r="I4073" s="4" t="str" cm="1">
        <f t="array" ref="I4073">IFERROR(IF(INDEX(EmployeeData[Exit Reason], ROW() - 37)=0, "",INDEX(EmployeeData[Exit Reason], ROW() - 37)),"")</f>
        <v/>
      </c>
      <c r="J4073" s="4" t="str" cm="1">
        <f t="array" ref="J4073">IFERROR(INDEX(EmployeeData[Status], ROW() - 37), "")</f>
        <v/>
      </c>
    </row>
    <row r="4074" spans="2:10" ht="19.95" customHeight="1" x14ac:dyDescent="0.3">
      <c r="B4074" s="4" t="str" cm="1">
        <f t="array" ref="B4074">IFERROR(INDEX(EmployeeData[Employee ID], ROW() - 37), "")</f>
        <v/>
      </c>
      <c r="C4074" s="4" t="str" cm="1">
        <f t="array" ref="C4074">IFERROR(INDEX(EmployeeData[Full Name], ROW() - 37), "")</f>
        <v/>
      </c>
      <c r="D4074" s="4" t="str" cm="1">
        <f t="array" ref="D4074">IFERROR(INDEX(EmployeeData[Department], ROW() - 37), "")</f>
        <v/>
      </c>
      <c r="E4074" s="4" t="str" cm="1">
        <f t="array" ref="E4074">IFERROR(INDEX(EmployeeData[Gender], ROW() - 37), "")</f>
        <v/>
      </c>
      <c r="F4074" s="4" t="str" cm="1">
        <f t="array" ref="F4074">IFERROR(INDEX(EmployeeData[Age], ROW() - 37), "")</f>
        <v/>
      </c>
      <c r="G4074" s="6" t="str" cm="1">
        <f t="array" ref="G4074">IFERROR(INDEX(EmployeeData[Join Date], ROW() - 37), "")</f>
        <v/>
      </c>
      <c r="H4074" s="6" t="str" cm="1">
        <f t="array" ref="H4074">IFERROR(IF(INDEX(EmployeeData[Exit Date], ROW() - 37)=0, "",INDEX(EmployeeData[Exit Date], ROW() - 37)),"")</f>
        <v/>
      </c>
      <c r="I4074" s="4" t="str" cm="1">
        <f t="array" ref="I4074">IFERROR(IF(INDEX(EmployeeData[Exit Reason], ROW() - 37)=0, "",INDEX(EmployeeData[Exit Reason], ROW() - 37)),"")</f>
        <v/>
      </c>
      <c r="J4074" s="4" t="str" cm="1">
        <f t="array" ref="J4074">IFERROR(INDEX(EmployeeData[Status], ROW() - 37), "")</f>
        <v/>
      </c>
    </row>
    <row r="4075" spans="2:10" ht="19.95" customHeight="1" x14ac:dyDescent="0.3">
      <c r="B4075" s="4" t="str" cm="1">
        <f t="array" ref="B4075">IFERROR(INDEX(EmployeeData[Employee ID], ROW() - 37), "")</f>
        <v/>
      </c>
      <c r="C4075" s="4" t="str" cm="1">
        <f t="array" ref="C4075">IFERROR(INDEX(EmployeeData[Full Name], ROW() - 37), "")</f>
        <v/>
      </c>
      <c r="D4075" s="4" t="str" cm="1">
        <f t="array" ref="D4075">IFERROR(INDEX(EmployeeData[Department], ROW() - 37), "")</f>
        <v/>
      </c>
      <c r="E4075" s="4" t="str" cm="1">
        <f t="array" ref="E4075">IFERROR(INDEX(EmployeeData[Gender], ROW() - 37), "")</f>
        <v/>
      </c>
      <c r="F4075" s="4" t="str" cm="1">
        <f t="array" ref="F4075">IFERROR(INDEX(EmployeeData[Age], ROW() - 37), "")</f>
        <v/>
      </c>
      <c r="G4075" s="6" t="str" cm="1">
        <f t="array" ref="G4075">IFERROR(INDEX(EmployeeData[Join Date], ROW() - 37), "")</f>
        <v/>
      </c>
      <c r="H4075" s="6" t="str" cm="1">
        <f t="array" ref="H4075">IFERROR(IF(INDEX(EmployeeData[Exit Date], ROW() - 37)=0, "",INDEX(EmployeeData[Exit Date], ROW() - 37)),"")</f>
        <v/>
      </c>
      <c r="I4075" s="4" t="str" cm="1">
        <f t="array" ref="I4075">IFERROR(IF(INDEX(EmployeeData[Exit Reason], ROW() - 37)=0, "",INDEX(EmployeeData[Exit Reason], ROW() - 37)),"")</f>
        <v/>
      </c>
      <c r="J4075" s="4" t="str" cm="1">
        <f t="array" ref="J4075">IFERROR(INDEX(EmployeeData[Status], ROW() - 37), "")</f>
        <v/>
      </c>
    </row>
    <row r="4076" spans="2:10" ht="19.95" customHeight="1" x14ac:dyDescent="0.3">
      <c r="B4076" s="4" t="str" cm="1">
        <f t="array" ref="B4076">IFERROR(INDEX(EmployeeData[Employee ID], ROW() - 37), "")</f>
        <v/>
      </c>
      <c r="C4076" s="4" t="str" cm="1">
        <f t="array" ref="C4076">IFERROR(INDEX(EmployeeData[Full Name], ROW() - 37), "")</f>
        <v/>
      </c>
      <c r="D4076" s="4" t="str" cm="1">
        <f t="array" ref="D4076">IFERROR(INDEX(EmployeeData[Department], ROW() - 37), "")</f>
        <v/>
      </c>
      <c r="E4076" s="4" t="str" cm="1">
        <f t="array" ref="E4076">IFERROR(INDEX(EmployeeData[Gender], ROW() - 37), "")</f>
        <v/>
      </c>
      <c r="F4076" s="4" t="str" cm="1">
        <f t="array" ref="F4076">IFERROR(INDEX(EmployeeData[Age], ROW() - 37), "")</f>
        <v/>
      </c>
      <c r="G4076" s="6" t="str" cm="1">
        <f t="array" ref="G4076">IFERROR(INDEX(EmployeeData[Join Date], ROW() - 37), "")</f>
        <v/>
      </c>
      <c r="H4076" s="6" t="str" cm="1">
        <f t="array" ref="H4076">IFERROR(IF(INDEX(EmployeeData[Exit Date], ROW() - 37)=0, "",INDEX(EmployeeData[Exit Date], ROW() - 37)),"")</f>
        <v/>
      </c>
      <c r="I4076" s="4" t="str" cm="1">
        <f t="array" ref="I4076">IFERROR(IF(INDEX(EmployeeData[Exit Reason], ROW() - 37)=0, "",INDEX(EmployeeData[Exit Reason], ROW() - 37)),"")</f>
        <v/>
      </c>
      <c r="J4076" s="4" t="str" cm="1">
        <f t="array" ref="J4076">IFERROR(INDEX(EmployeeData[Status], ROW() - 37), "")</f>
        <v/>
      </c>
    </row>
    <row r="4077" spans="2:10" ht="19.95" customHeight="1" x14ac:dyDescent="0.3">
      <c r="B4077" s="4" t="str" cm="1">
        <f t="array" ref="B4077">IFERROR(INDEX(EmployeeData[Employee ID], ROW() - 37), "")</f>
        <v/>
      </c>
      <c r="C4077" s="4" t="str" cm="1">
        <f t="array" ref="C4077">IFERROR(INDEX(EmployeeData[Full Name], ROW() - 37), "")</f>
        <v/>
      </c>
      <c r="D4077" s="4" t="str" cm="1">
        <f t="array" ref="D4077">IFERROR(INDEX(EmployeeData[Department], ROW() - 37), "")</f>
        <v/>
      </c>
      <c r="E4077" s="4" t="str" cm="1">
        <f t="array" ref="E4077">IFERROR(INDEX(EmployeeData[Gender], ROW() - 37), "")</f>
        <v/>
      </c>
      <c r="F4077" s="4" t="str" cm="1">
        <f t="array" ref="F4077">IFERROR(INDEX(EmployeeData[Age], ROW() - 37), "")</f>
        <v/>
      </c>
      <c r="G4077" s="6" t="str" cm="1">
        <f t="array" ref="G4077">IFERROR(INDEX(EmployeeData[Join Date], ROW() - 37), "")</f>
        <v/>
      </c>
      <c r="H4077" s="6" t="str" cm="1">
        <f t="array" ref="H4077">IFERROR(IF(INDEX(EmployeeData[Exit Date], ROW() - 37)=0, "",INDEX(EmployeeData[Exit Date], ROW() - 37)),"")</f>
        <v/>
      </c>
      <c r="I4077" s="4" t="str" cm="1">
        <f t="array" ref="I4077">IFERROR(IF(INDEX(EmployeeData[Exit Reason], ROW() - 37)=0, "",INDEX(EmployeeData[Exit Reason], ROW() - 37)),"")</f>
        <v/>
      </c>
      <c r="J4077" s="4" t="str" cm="1">
        <f t="array" ref="J4077">IFERROR(INDEX(EmployeeData[Status], ROW() - 37), "")</f>
        <v/>
      </c>
    </row>
    <row r="4078" spans="2:10" ht="19.95" customHeight="1" x14ac:dyDescent="0.3">
      <c r="B4078" s="4" t="str" cm="1">
        <f t="array" ref="B4078">IFERROR(INDEX(EmployeeData[Employee ID], ROW() - 37), "")</f>
        <v/>
      </c>
      <c r="C4078" s="4" t="str" cm="1">
        <f t="array" ref="C4078">IFERROR(INDEX(EmployeeData[Full Name], ROW() - 37), "")</f>
        <v/>
      </c>
      <c r="D4078" s="4" t="str" cm="1">
        <f t="array" ref="D4078">IFERROR(INDEX(EmployeeData[Department], ROW() - 37), "")</f>
        <v/>
      </c>
      <c r="E4078" s="4" t="str" cm="1">
        <f t="array" ref="E4078">IFERROR(INDEX(EmployeeData[Gender], ROW() - 37), "")</f>
        <v/>
      </c>
      <c r="F4078" s="4" t="str" cm="1">
        <f t="array" ref="F4078">IFERROR(INDEX(EmployeeData[Age], ROW() - 37), "")</f>
        <v/>
      </c>
      <c r="G4078" s="6" t="str" cm="1">
        <f t="array" ref="G4078">IFERROR(INDEX(EmployeeData[Join Date], ROW() - 37), "")</f>
        <v/>
      </c>
      <c r="H4078" s="6" t="str" cm="1">
        <f t="array" ref="H4078">IFERROR(IF(INDEX(EmployeeData[Exit Date], ROW() - 37)=0, "",INDEX(EmployeeData[Exit Date], ROW() - 37)),"")</f>
        <v/>
      </c>
      <c r="I4078" s="4" t="str" cm="1">
        <f t="array" ref="I4078">IFERROR(IF(INDEX(EmployeeData[Exit Reason], ROW() - 37)=0, "",INDEX(EmployeeData[Exit Reason], ROW() - 37)),"")</f>
        <v/>
      </c>
      <c r="J4078" s="4" t="str" cm="1">
        <f t="array" ref="J4078">IFERROR(INDEX(EmployeeData[Status], ROW() - 37), "")</f>
        <v/>
      </c>
    </row>
    <row r="4079" spans="2:10" ht="19.95" customHeight="1" x14ac:dyDescent="0.3">
      <c r="B4079" s="4" t="str" cm="1">
        <f t="array" ref="B4079">IFERROR(INDEX(EmployeeData[Employee ID], ROW() - 37), "")</f>
        <v/>
      </c>
      <c r="C4079" s="4" t="str" cm="1">
        <f t="array" ref="C4079">IFERROR(INDEX(EmployeeData[Full Name], ROW() - 37), "")</f>
        <v/>
      </c>
      <c r="D4079" s="4" t="str" cm="1">
        <f t="array" ref="D4079">IFERROR(INDEX(EmployeeData[Department], ROW() - 37), "")</f>
        <v/>
      </c>
      <c r="E4079" s="4" t="str" cm="1">
        <f t="array" ref="E4079">IFERROR(INDEX(EmployeeData[Gender], ROW() - 37), "")</f>
        <v/>
      </c>
      <c r="F4079" s="4" t="str" cm="1">
        <f t="array" ref="F4079">IFERROR(INDEX(EmployeeData[Age], ROW() - 37), "")</f>
        <v/>
      </c>
      <c r="G4079" s="6" t="str" cm="1">
        <f t="array" ref="G4079">IFERROR(INDEX(EmployeeData[Join Date], ROW() - 37), "")</f>
        <v/>
      </c>
      <c r="H4079" s="6" t="str" cm="1">
        <f t="array" ref="H4079">IFERROR(IF(INDEX(EmployeeData[Exit Date], ROW() - 37)=0, "",INDEX(EmployeeData[Exit Date], ROW() - 37)),"")</f>
        <v/>
      </c>
      <c r="I4079" s="4" t="str" cm="1">
        <f t="array" ref="I4079">IFERROR(IF(INDEX(EmployeeData[Exit Reason], ROW() - 37)=0, "",INDEX(EmployeeData[Exit Reason], ROW() - 37)),"")</f>
        <v/>
      </c>
      <c r="J4079" s="4" t="str" cm="1">
        <f t="array" ref="J4079">IFERROR(INDEX(EmployeeData[Status], ROW() - 37), "")</f>
        <v/>
      </c>
    </row>
    <row r="4080" spans="2:10" ht="19.95" customHeight="1" x14ac:dyDescent="0.3">
      <c r="B4080" s="4" t="str" cm="1">
        <f t="array" ref="B4080">IFERROR(INDEX(EmployeeData[Employee ID], ROW() - 37), "")</f>
        <v/>
      </c>
      <c r="C4080" s="4" t="str" cm="1">
        <f t="array" ref="C4080">IFERROR(INDEX(EmployeeData[Full Name], ROW() - 37), "")</f>
        <v/>
      </c>
      <c r="D4080" s="4" t="str" cm="1">
        <f t="array" ref="D4080">IFERROR(INDEX(EmployeeData[Department], ROW() - 37), "")</f>
        <v/>
      </c>
      <c r="E4080" s="4" t="str" cm="1">
        <f t="array" ref="E4080">IFERROR(INDEX(EmployeeData[Gender], ROW() - 37), "")</f>
        <v/>
      </c>
      <c r="F4080" s="4" t="str" cm="1">
        <f t="array" ref="F4080">IFERROR(INDEX(EmployeeData[Age], ROW() - 37), "")</f>
        <v/>
      </c>
      <c r="G4080" s="6" t="str" cm="1">
        <f t="array" ref="G4080">IFERROR(INDEX(EmployeeData[Join Date], ROW() - 37), "")</f>
        <v/>
      </c>
      <c r="H4080" s="6" t="str" cm="1">
        <f t="array" ref="H4080">IFERROR(IF(INDEX(EmployeeData[Exit Date], ROW() - 37)=0, "",INDEX(EmployeeData[Exit Date], ROW() - 37)),"")</f>
        <v/>
      </c>
      <c r="I4080" s="4" t="str" cm="1">
        <f t="array" ref="I4080">IFERROR(IF(INDEX(EmployeeData[Exit Reason], ROW() - 37)=0, "",INDEX(EmployeeData[Exit Reason], ROW() - 37)),"")</f>
        <v/>
      </c>
      <c r="J4080" s="4" t="str" cm="1">
        <f t="array" ref="J4080">IFERROR(INDEX(EmployeeData[Status], ROW() - 37), "")</f>
        <v/>
      </c>
    </row>
    <row r="4081" spans="2:10" ht="19.95" customHeight="1" x14ac:dyDescent="0.3">
      <c r="B4081" s="4" t="str" cm="1">
        <f t="array" ref="B4081">IFERROR(INDEX(EmployeeData[Employee ID], ROW() - 37), "")</f>
        <v/>
      </c>
      <c r="C4081" s="4" t="str" cm="1">
        <f t="array" ref="C4081">IFERROR(INDEX(EmployeeData[Full Name], ROW() - 37), "")</f>
        <v/>
      </c>
      <c r="D4081" s="4" t="str" cm="1">
        <f t="array" ref="D4081">IFERROR(INDEX(EmployeeData[Department], ROW() - 37), "")</f>
        <v/>
      </c>
      <c r="E4081" s="4" t="str" cm="1">
        <f t="array" ref="E4081">IFERROR(INDEX(EmployeeData[Gender], ROW() - 37), "")</f>
        <v/>
      </c>
      <c r="F4081" s="4" t="str" cm="1">
        <f t="array" ref="F4081">IFERROR(INDEX(EmployeeData[Age], ROW() - 37), "")</f>
        <v/>
      </c>
      <c r="G4081" s="6" t="str" cm="1">
        <f t="array" ref="G4081">IFERROR(INDEX(EmployeeData[Join Date], ROW() - 37), "")</f>
        <v/>
      </c>
      <c r="H4081" s="6" t="str" cm="1">
        <f t="array" ref="H4081">IFERROR(IF(INDEX(EmployeeData[Exit Date], ROW() - 37)=0, "",INDEX(EmployeeData[Exit Date], ROW() - 37)),"")</f>
        <v/>
      </c>
      <c r="I4081" s="4" t="str" cm="1">
        <f t="array" ref="I4081">IFERROR(IF(INDEX(EmployeeData[Exit Reason], ROW() - 37)=0, "",INDEX(EmployeeData[Exit Reason], ROW() - 37)),"")</f>
        <v/>
      </c>
      <c r="J4081" s="4" t="str" cm="1">
        <f t="array" ref="J4081">IFERROR(INDEX(EmployeeData[Status], ROW() - 37), "")</f>
        <v/>
      </c>
    </row>
    <row r="4082" spans="2:10" ht="19.95" customHeight="1" x14ac:dyDescent="0.3">
      <c r="B4082" s="4" t="str" cm="1">
        <f t="array" ref="B4082">IFERROR(INDEX(EmployeeData[Employee ID], ROW() - 37), "")</f>
        <v/>
      </c>
      <c r="C4082" s="4" t="str" cm="1">
        <f t="array" ref="C4082">IFERROR(INDEX(EmployeeData[Full Name], ROW() - 37), "")</f>
        <v/>
      </c>
      <c r="D4082" s="4" t="str" cm="1">
        <f t="array" ref="D4082">IFERROR(INDEX(EmployeeData[Department], ROW() - 37), "")</f>
        <v/>
      </c>
      <c r="E4082" s="4" t="str" cm="1">
        <f t="array" ref="E4082">IFERROR(INDEX(EmployeeData[Gender], ROW() - 37), "")</f>
        <v/>
      </c>
      <c r="F4082" s="4" t="str" cm="1">
        <f t="array" ref="F4082">IFERROR(INDEX(EmployeeData[Age], ROW() - 37), "")</f>
        <v/>
      </c>
      <c r="G4082" s="6" t="str" cm="1">
        <f t="array" ref="G4082">IFERROR(INDEX(EmployeeData[Join Date], ROW() - 37), "")</f>
        <v/>
      </c>
      <c r="H4082" s="6" t="str" cm="1">
        <f t="array" ref="H4082">IFERROR(IF(INDEX(EmployeeData[Exit Date], ROW() - 37)=0, "",INDEX(EmployeeData[Exit Date], ROW() - 37)),"")</f>
        <v/>
      </c>
      <c r="I4082" s="4" t="str" cm="1">
        <f t="array" ref="I4082">IFERROR(IF(INDEX(EmployeeData[Exit Reason], ROW() - 37)=0, "",INDEX(EmployeeData[Exit Reason], ROW() - 37)),"")</f>
        <v/>
      </c>
      <c r="J4082" s="4" t="str" cm="1">
        <f t="array" ref="J4082">IFERROR(INDEX(EmployeeData[Status], ROW() - 37), "")</f>
        <v/>
      </c>
    </row>
    <row r="4083" spans="2:10" ht="19.95" customHeight="1" x14ac:dyDescent="0.3">
      <c r="B4083" s="4" t="str" cm="1">
        <f t="array" ref="B4083">IFERROR(INDEX(EmployeeData[Employee ID], ROW() - 37), "")</f>
        <v/>
      </c>
      <c r="C4083" s="4" t="str" cm="1">
        <f t="array" ref="C4083">IFERROR(INDEX(EmployeeData[Full Name], ROW() - 37), "")</f>
        <v/>
      </c>
      <c r="D4083" s="4" t="str" cm="1">
        <f t="array" ref="D4083">IFERROR(INDEX(EmployeeData[Department], ROW() - 37), "")</f>
        <v/>
      </c>
      <c r="E4083" s="4" t="str" cm="1">
        <f t="array" ref="E4083">IFERROR(INDEX(EmployeeData[Gender], ROW() - 37), "")</f>
        <v/>
      </c>
      <c r="F4083" s="4" t="str" cm="1">
        <f t="array" ref="F4083">IFERROR(INDEX(EmployeeData[Age], ROW() - 37), "")</f>
        <v/>
      </c>
      <c r="G4083" s="6" t="str" cm="1">
        <f t="array" ref="G4083">IFERROR(INDEX(EmployeeData[Join Date], ROW() - 37), "")</f>
        <v/>
      </c>
      <c r="H4083" s="6" t="str" cm="1">
        <f t="array" ref="H4083">IFERROR(IF(INDEX(EmployeeData[Exit Date], ROW() - 37)=0, "",INDEX(EmployeeData[Exit Date], ROW() - 37)),"")</f>
        <v/>
      </c>
      <c r="I4083" s="4" t="str" cm="1">
        <f t="array" ref="I4083">IFERROR(IF(INDEX(EmployeeData[Exit Reason], ROW() - 37)=0, "",INDEX(EmployeeData[Exit Reason], ROW() - 37)),"")</f>
        <v/>
      </c>
      <c r="J4083" s="4" t="str" cm="1">
        <f t="array" ref="J4083">IFERROR(INDEX(EmployeeData[Status], ROW() - 37), "")</f>
        <v/>
      </c>
    </row>
    <row r="4084" spans="2:10" ht="19.95" customHeight="1" x14ac:dyDescent="0.3">
      <c r="B4084" s="4" t="str" cm="1">
        <f t="array" ref="B4084">IFERROR(INDEX(EmployeeData[Employee ID], ROW() - 37), "")</f>
        <v/>
      </c>
      <c r="C4084" s="4" t="str" cm="1">
        <f t="array" ref="C4084">IFERROR(INDEX(EmployeeData[Full Name], ROW() - 37), "")</f>
        <v/>
      </c>
      <c r="D4084" s="4" t="str" cm="1">
        <f t="array" ref="D4084">IFERROR(INDEX(EmployeeData[Department], ROW() - 37), "")</f>
        <v/>
      </c>
      <c r="E4084" s="4" t="str" cm="1">
        <f t="array" ref="E4084">IFERROR(INDEX(EmployeeData[Gender], ROW() - 37), "")</f>
        <v/>
      </c>
      <c r="F4084" s="4" t="str" cm="1">
        <f t="array" ref="F4084">IFERROR(INDEX(EmployeeData[Age], ROW() - 37), "")</f>
        <v/>
      </c>
      <c r="G4084" s="6" t="str" cm="1">
        <f t="array" ref="G4084">IFERROR(INDEX(EmployeeData[Join Date], ROW() - 37), "")</f>
        <v/>
      </c>
      <c r="H4084" s="6" t="str" cm="1">
        <f t="array" ref="H4084">IFERROR(IF(INDEX(EmployeeData[Exit Date], ROW() - 37)=0, "",INDEX(EmployeeData[Exit Date], ROW() - 37)),"")</f>
        <v/>
      </c>
      <c r="I4084" s="4" t="str" cm="1">
        <f t="array" ref="I4084">IFERROR(IF(INDEX(EmployeeData[Exit Reason], ROW() - 37)=0, "",INDEX(EmployeeData[Exit Reason], ROW() - 37)),"")</f>
        <v/>
      </c>
      <c r="J4084" s="4" t="str" cm="1">
        <f t="array" ref="J4084">IFERROR(INDEX(EmployeeData[Status], ROW() - 37), "")</f>
        <v/>
      </c>
    </row>
    <row r="4085" spans="2:10" ht="19.95" customHeight="1" x14ac:dyDescent="0.3">
      <c r="B4085" s="4" t="str" cm="1">
        <f t="array" ref="B4085">IFERROR(INDEX(EmployeeData[Employee ID], ROW() - 37), "")</f>
        <v/>
      </c>
      <c r="C4085" s="4" t="str" cm="1">
        <f t="array" ref="C4085">IFERROR(INDEX(EmployeeData[Full Name], ROW() - 37), "")</f>
        <v/>
      </c>
      <c r="D4085" s="4" t="str" cm="1">
        <f t="array" ref="D4085">IFERROR(INDEX(EmployeeData[Department], ROW() - 37), "")</f>
        <v/>
      </c>
      <c r="E4085" s="4" t="str" cm="1">
        <f t="array" ref="E4085">IFERROR(INDEX(EmployeeData[Gender], ROW() - 37), "")</f>
        <v/>
      </c>
      <c r="F4085" s="4" t="str" cm="1">
        <f t="array" ref="F4085">IFERROR(INDEX(EmployeeData[Age], ROW() - 37), "")</f>
        <v/>
      </c>
      <c r="G4085" s="6" t="str" cm="1">
        <f t="array" ref="G4085">IFERROR(INDEX(EmployeeData[Join Date], ROW() - 37), "")</f>
        <v/>
      </c>
      <c r="H4085" s="6" t="str" cm="1">
        <f t="array" ref="H4085">IFERROR(IF(INDEX(EmployeeData[Exit Date], ROW() - 37)=0, "",INDEX(EmployeeData[Exit Date], ROW() - 37)),"")</f>
        <v/>
      </c>
      <c r="I4085" s="4" t="str" cm="1">
        <f t="array" ref="I4085">IFERROR(IF(INDEX(EmployeeData[Exit Reason], ROW() - 37)=0, "",INDEX(EmployeeData[Exit Reason], ROW() - 37)),"")</f>
        <v/>
      </c>
      <c r="J4085" s="4" t="str" cm="1">
        <f t="array" ref="J4085">IFERROR(INDEX(EmployeeData[Status], ROW() - 37), "")</f>
        <v/>
      </c>
    </row>
    <row r="4086" spans="2:10" ht="19.95" customHeight="1" x14ac:dyDescent="0.3">
      <c r="B4086" s="4" t="str" cm="1">
        <f t="array" ref="B4086">IFERROR(INDEX(EmployeeData[Employee ID], ROW() - 37), "")</f>
        <v/>
      </c>
      <c r="C4086" s="4" t="str" cm="1">
        <f t="array" ref="C4086">IFERROR(INDEX(EmployeeData[Full Name], ROW() - 37), "")</f>
        <v/>
      </c>
      <c r="D4086" s="4" t="str" cm="1">
        <f t="array" ref="D4086">IFERROR(INDEX(EmployeeData[Department], ROW() - 37), "")</f>
        <v/>
      </c>
      <c r="E4086" s="4" t="str" cm="1">
        <f t="array" ref="E4086">IFERROR(INDEX(EmployeeData[Gender], ROW() - 37), "")</f>
        <v/>
      </c>
      <c r="F4086" s="4" t="str" cm="1">
        <f t="array" ref="F4086">IFERROR(INDEX(EmployeeData[Age], ROW() - 37), "")</f>
        <v/>
      </c>
      <c r="G4086" s="6" t="str" cm="1">
        <f t="array" ref="G4086">IFERROR(INDEX(EmployeeData[Join Date], ROW() - 37), "")</f>
        <v/>
      </c>
      <c r="H4086" s="6" t="str" cm="1">
        <f t="array" ref="H4086">IFERROR(IF(INDEX(EmployeeData[Exit Date], ROW() - 37)=0, "",INDEX(EmployeeData[Exit Date], ROW() - 37)),"")</f>
        <v/>
      </c>
      <c r="I4086" s="4" t="str" cm="1">
        <f t="array" ref="I4086">IFERROR(IF(INDEX(EmployeeData[Exit Reason], ROW() - 37)=0, "",INDEX(EmployeeData[Exit Reason], ROW() - 37)),"")</f>
        <v/>
      </c>
      <c r="J4086" s="4" t="str" cm="1">
        <f t="array" ref="J4086">IFERROR(INDEX(EmployeeData[Status], ROW() - 37), "")</f>
        <v/>
      </c>
    </row>
    <row r="4087" spans="2:10" ht="19.95" customHeight="1" x14ac:dyDescent="0.3">
      <c r="B4087" s="4" t="str" cm="1">
        <f t="array" ref="B4087">IFERROR(INDEX(EmployeeData[Employee ID], ROW() - 37), "")</f>
        <v/>
      </c>
      <c r="C4087" s="4" t="str" cm="1">
        <f t="array" ref="C4087">IFERROR(INDEX(EmployeeData[Full Name], ROW() - 37), "")</f>
        <v/>
      </c>
      <c r="D4087" s="4" t="str" cm="1">
        <f t="array" ref="D4087">IFERROR(INDEX(EmployeeData[Department], ROW() - 37), "")</f>
        <v/>
      </c>
      <c r="E4087" s="4" t="str" cm="1">
        <f t="array" ref="E4087">IFERROR(INDEX(EmployeeData[Gender], ROW() - 37), "")</f>
        <v/>
      </c>
      <c r="F4087" s="4" t="str" cm="1">
        <f t="array" ref="F4087">IFERROR(INDEX(EmployeeData[Age], ROW() - 37), "")</f>
        <v/>
      </c>
      <c r="G4087" s="6" t="str" cm="1">
        <f t="array" ref="G4087">IFERROR(INDEX(EmployeeData[Join Date], ROW() - 37), "")</f>
        <v/>
      </c>
      <c r="H4087" s="6" t="str" cm="1">
        <f t="array" ref="H4087">IFERROR(IF(INDEX(EmployeeData[Exit Date], ROW() - 37)=0, "",INDEX(EmployeeData[Exit Date], ROW() - 37)),"")</f>
        <v/>
      </c>
      <c r="I4087" s="4" t="str" cm="1">
        <f t="array" ref="I4087">IFERROR(IF(INDEX(EmployeeData[Exit Reason], ROW() - 37)=0, "",INDEX(EmployeeData[Exit Reason], ROW() - 37)),"")</f>
        <v/>
      </c>
      <c r="J4087" s="4" t="str" cm="1">
        <f t="array" ref="J4087">IFERROR(INDEX(EmployeeData[Status], ROW() - 37), "")</f>
        <v/>
      </c>
    </row>
    <row r="4088" spans="2:10" ht="19.95" customHeight="1" x14ac:dyDescent="0.3">
      <c r="B4088" s="4" t="str" cm="1">
        <f t="array" ref="B4088">IFERROR(INDEX(EmployeeData[Employee ID], ROW() - 37), "")</f>
        <v/>
      </c>
      <c r="C4088" s="4" t="str" cm="1">
        <f t="array" ref="C4088">IFERROR(INDEX(EmployeeData[Full Name], ROW() - 37), "")</f>
        <v/>
      </c>
      <c r="D4088" s="4" t="str" cm="1">
        <f t="array" ref="D4088">IFERROR(INDEX(EmployeeData[Department], ROW() - 37), "")</f>
        <v/>
      </c>
      <c r="E4088" s="4" t="str" cm="1">
        <f t="array" ref="E4088">IFERROR(INDEX(EmployeeData[Gender], ROW() - 37), "")</f>
        <v/>
      </c>
      <c r="F4088" s="4" t="str" cm="1">
        <f t="array" ref="F4088">IFERROR(INDEX(EmployeeData[Age], ROW() - 37), "")</f>
        <v/>
      </c>
      <c r="G4088" s="6" t="str" cm="1">
        <f t="array" ref="G4088">IFERROR(INDEX(EmployeeData[Join Date], ROW() - 37), "")</f>
        <v/>
      </c>
      <c r="H4088" s="6" t="str" cm="1">
        <f t="array" ref="H4088">IFERROR(IF(INDEX(EmployeeData[Exit Date], ROW() - 37)=0, "",INDEX(EmployeeData[Exit Date], ROW() - 37)),"")</f>
        <v/>
      </c>
      <c r="I4088" s="4" t="str" cm="1">
        <f t="array" ref="I4088">IFERROR(IF(INDEX(EmployeeData[Exit Reason], ROW() - 37)=0, "",INDEX(EmployeeData[Exit Reason], ROW() - 37)),"")</f>
        <v/>
      </c>
      <c r="J4088" s="4" t="str" cm="1">
        <f t="array" ref="J4088">IFERROR(INDEX(EmployeeData[Status], ROW() - 37), "")</f>
        <v/>
      </c>
    </row>
    <row r="4089" spans="2:10" ht="19.95" customHeight="1" x14ac:dyDescent="0.3">
      <c r="B4089" s="4" t="str" cm="1">
        <f t="array" ref="B4089">IFERROR(INDEX(EmployeeData[Employee ID], ROW() - 37), "")</f>
        <v/>
      </c>
      <c r="C4089" s="4" t="str" cm="1">
        <f t="array" ref="C4089">IFERROR(INDEX(EmployeeData[Full Name], ROW() - 37), "")</f>
        <v/>
      </c>
      <c r="D4089" s="4" t="str" cm="1">
        <f t="array" ref="D4089">IFERROR(INDEX(EmployeeData[Department], ROW() - 37), "")</f>
        <v/>
      </c>
      <c r="E4089" s="4" t="str" cm="1">
        <f t="array" ref="E4089">IFERROR(INDEX(EmployeeData[Gender], ROW() - 37), "")</f>
        <v/>
      </c>
      <c r="F4089" s="4" t="str" cm="1">
        <f t="array" ref="F4089">IFERROR(INDEX(EmployeeData[Age], ROW() - 37), "")</f>
        <v/>
      </c>
      <c r="G4089" s="6" t="str" cm="1">
        <f t="array" ref="G4089">IFERROR(INDEX(EmployeeData[Join Date], ROW() - 37), "")</f>
        <v/>
      </c>
      <c r="H4089" s="6" t="str" cm="1">
        <f t="array" ref="H4089">IFERROR(IF(INDEX(EmployeeData[Exit Date], ROW() - 37)=0, "",INDEX(EmployeeData[Exit Date], ROW() - 37)),"")</f>
        <v/>
      </c>
      <c r="I4089" s="4" t="str" cm="1">
        <f t="array" ref="I4089">IFERROR(IF(INDEX(EmployeeData[Exit Reason], ROW() - 37)=0, "",INDEX(EmployeeData[Exit Reason], ROW() - 37)),"")</f>
        <v/>
      </c>
      <c r="J4089" s="4" t="str" cm="1">
        <f t="array" ref="J4089">IFERROR(INDEX(EmployeeData[Status], ROW() - 37), "")</f>
        <v/>
      </c>
    </row>
    <row r="4090" spans="2:10" ht="19.95" customHeight="1" x14ac:dyDescent="0.3">
      <c r="B4090" s="4" t="str" cm="1">
        <f t="array" ref="B4090">IFERROR(INDEX(EmployeeData[Employee ID], ROW() - 37), "")</f>
        <v/>
      </c>
      <c r="C4090" s="4" t="str" cm="1">
        <f t="array" ref="C4090">IFERROR(INDEX(EmployeeData[Full Name], ROW() - 37), "")</f>
        <v/>
      </c>
      <c r="D4090" s="4" t="str" cm="1">
        <f t="array" ref="D4090">IFERROR(INDEX(EmployeeData[Department], ROW() - 37), "")</f>
        <v/>
      </c>
      <c r="E4090" s="4" t="str" cm="1">
        <f t="array" ref="E4090">IFERROR(INDEX(EmployeeData[Gender], ROW() - 37), "")</f>
        <v/>
      </c>
      <c r="F4090" s="4" t="str" cm="1">
        <f t="array" ref="F4090">IFERROR(INDEX(EmployeeData[Age], ROW() - 37), "")</f>
        <v/>
      </c>
      <c r="G4090" s="6" t="str" cm="1">
        <f t="array" ref="G4090">IFERROR(INDEX(EmployeeData[Join Date], ROW() - 37), "")</f>
        <v/>
      </c>
      <c r="H4090" s="6" t="str" cm="1">
        <f t="array" ref="H4090">IFERROR(IF(INDEX(EmployeeData[Exit Date], ROW() - 37)=0, "",INDEX(EmployeeData[Exit Date], ROW() - 37)),"")</f>
        <v/>
      </c>
      <c r="I4090" s="4" t="str" cm="1">
        <f t="array" ref="I4090">IFERROR(IF(INDEX(EmployeeData[Exit Reason], ROW() - 37)=0, "",INDEX(EmployeeData[Exit Reason], ROW() - 37)),"")</f>
        <v/>
      </c>
      <c r="J4090" s="4" t="str" cm="1">
        <f t="array" ref="J4090">IFERROR(INDEX(EmployeeData[Status], ROW() - 37), "")</f>
        <v/>
      </c>
    </row>
    <row r="4091" spans="2:10" ht="19.95" customHeight="1" x14ac:dyDescent="0.3">
      <c r="B4091" s="4" t="str" cm="1">
        <f t="array" ref="B4091">IFERROR(INDEX(EmployeeData[Employee ID], ROW() - 37), "")</f>
        <v/>
      </c>
      <c r="C4091" s="4" t="str" cm="1">
        <f t="array" ref="C4091">IFERROR(INDEX(EmployeeData[Full Name], ROW() - 37), "")</f>
        <v/>
      </c>
      <c r="D4091" s="4" t="str" cm="1">
        <f t="array" ref="D4091">IFERROR(INDEX(EmployeeData[Department], ROW() - 37), "")</f>
        <v/>
      </c>
      <c r="E4091" s="4" t="str" cm="1">
        <f t="array" ref="E4091">IFERROR(INDEX(EmployeeData[Gender], ROW() - 37), "")</f>
        <v/>
      </c>
      <c r="F4091" s="4" t="str" cm="1">
        <f t="array" ref="F4091">IFERROR(INDEX(EmployeeData[Age], ROW() - 37), "")</f>
        <v/>
      </c>
      <c r="G4091" s="6" t="str" cm="1">
        <f t="array" ref="G4091">IFERROR(INDEX(EmployeeData[Join Date], ROW() - 37), "")</f>
        <v/>
      </c>
      <c r="H4091" s="6" t="str" cm="1">
        <f t="array" ref="H4091">IFERROR(IF(INDEX(EmployeeData[Exit Date], ROW() - 37)=0, "",INDEX(EmployeeData[Exit Date], ROW() - 37)),"")</f>
        <v/>
      </c>
      <c r="I4091" s="4" t="str" cm="1">
        <f t="array" ref="I4091">IFERROR(IF(INDEX(EmployeeData[Exit Reason], ROW() - 37)=0, "",INDEX(EmployeeData[Exit Reason], ROW() - 37)),"")</f>
        <v/>
      </c>
      <c r="J4091" s="4" t="str" cm="1">
        <f t="array" ref="J4091">IFERROR(INDEX(EmployeeData[Status], ROW() - 37), "")</f>
        <v/>
      </c>
    </row>
    <row r="4092" spans="2:10" ht="19.95" customHeight="1" x14ac:dyDescent="0.3">
      <c r="B4092" s="4" t="str" cm="1">
        <f t="array" ref="B4092">IFERROR(INDEX(EmployeeData[Employee ID], ROW() - 37), "")</f>
        <v/>
      </c>
      <c r="C4092" s="4" t="str" cm="1">
        <f t="array" ref="C4092">IFERROR(INDEX(EmployeeData[Full Name], ROW() - 37), "")</f>
        <v/>
      </c>
      <c r="D4092" s="4" t="str" cm="1">
        <f t="array" ref="D4092">IFERROR(INDEX(EmployeeData[Department], ROW() - 37), "")</f>
        <v/>
      </c>
      <c r="E4092" s="4" t="str" cm="1">
        <f t="array" ref="E4092">IFERROR(INDEX(EmployeeData[Gender], ROW() - 37), "")</f>
        <v/>
      </c>
      <c r="F4092" s="4" t="str" cm="1">
        <f t="array" ref="F4092">IFERROR(INDEX(EmployeeData[Age], ROW() - 37), "")</f>
        <v/>
      </c>
      <c r="G4092" s="6" t="str" cm="1">
        <f t="array" ref="G4092">IFERROR(INDEX(EmployeeData[Join Date], ROW() - 37), "")</f>
        <v/>
      </c>
      <c r="H4092" s="6" t="str" cm="1">
        <f t="array" ref="H4092">IFERROR(IF(INDEX(EmployeeData[Exit Date], ROW() - 37)=0, "",INDEX(EmployeeData[Exit Date], ROW() - 37)),"")</f>
        <v/>
      </c>
      <c r="I4092" s="4" t="str" cm="1">
        <f t="array" ref="I4092">IFERROR(IF(INDEX(EmployeeData[Exit Reason], ROW() - 37)=0, "",INDEX(EmployeeData[Exit Reason], ROW() - 37)),"")</f>
        <v/>
      </c>
      <c r="J4092" s="4" t="str" cm="1">
        <f t="array" ref="J4092">IFERROR(INDEX(EmployeeData[Status], ROW() - 37), "")</f>
        <v/>
      </c>
    </row>
    <row r="4093" spans="2:10" ht="19.95" customHeight="1" x14ac:dyDescent="0.3">
      <c r="B4093" s="4" t="str" cm="1">
        <f t="array" ref="B4093">IFERROR(INDEX(EmployeeData[Employee ID], ROW() - 37), "")</f>
        <v/>
      </c>
      <c r="C4093" s="4" t="str" cm="1">
        <f t="array" ref="C4093">IFERROR(INDEX(EmployeeData[Full Name], ROW() - 37), "")</f>
        <v/>
      </c>
      <c r="D4093" s="4" t="str" cm="1">
        <f t="array" ref="D4093">IFERROR(INDEX(EmployeeData[Department], ROW() - 37), "")</f>
        <v/>
      </c>
      <c r="E4093" s="4" t="str" cm="1">
        <f t="array" ref="E4093">IFERROR(INDEX(EmployeeData[Gender], ROW() - 37), "")</f>
        <v/>
      </c>
      <c r="F4093" s="4" t="str" cm="1">
        <f t="array" ref="F4093">IFERROR(INDEX(EmployeeData[Age], ROW() - 37), "")</f>
        <v/>
      </c>
      <c r="G4093" s="6" t="str" cm="1">
        <f t="array" ref="G4093">IFERROR(INDEX(EmployeeData[Join Date], ROW() - 37), "")</f>
        <v/>
      </c>
      <c r="H4093" s="6" t="str" cm="1">
        <f t="array" ref="H4093">IFERROR(IF(INDEX(EmployeeData[Exit Date], ROW() - 37)=0, "",INDEX(EmployeeData[Exit Date], ROW() - 37)),"")</f>
        <v/>
      </c>
      <c r="I4093" s="4" t="str" cm="1">
        <f t="array" ref="I4093">IFERROR(IF(INDEX(EmployeeData[Exit Reason], ROW() - 37)=0, "",INDEX(EmployeeData[Exit Reason], ROW() - 37)),"")</f>
        <v/>
      </c>
      <c r="J4093" s="4" t="str" cm="1">
        <f t="array" ref="J4093">IFERROR(INDEX(EmployeeData[Status], ROW() - 37), "")</f>
        <v/>
      </c>
    </row>
    <row r="4094" spans="2:10" ht="19.95" customHeight="1" x14ac:dyDescent="0.3">
      <c r="B4094" s="4" t="str" cm="1">
        <f t="array" ref="B4094">IFERROR(INDEX(EmployeeData[Employee ID], ROW() - 37), "")</f>
        <v/>
      </c>
      <c r="C4094" s="4" t="str" cm="1">
        <f t="array" ref="C4094">IFERROR(INDEX(EmployeeData[Full Name], ROW() - 37), "")</f>
        <v/>
      </c>
      <c r="D4094" s="4" t="str" cm="1">
        <f t="array" ref="D4094">IFERROR(INDEX(EmployeeData[Department], ROW() - 37), "")</f>
        <v/>
      </c>
      <c r="E4094" s="4" t="str" cm="1">
        <f t="array" ref="E4094">IFERROR(INDEX(EmployeeData[Gender], ROW() - 37), "")</f>
        <v/>
      </c>
      <c r="F4094" s="4" t="str" cm="1">
        <f t="array" ref="F4094">IFERROR(INDEX(EmployeeData[Age], ROW() - 37), "")</f>
        <v/>
      </c>
      <c r="G4094" s="6" t="str" cm="1">
        <f t="array" ref="G4094">IFERROR(INDEX(EmployeeData[Join Date], ROW() - 37), "")</f>
        <v/>
      </c>
      <c r="H4094" s="6" t="str" cm="1">
        <f t="array" ref="H4094">IFERROR(IF(INDEX(EmployeeData[Exit Date], ROW() - 37)=0, "",INDEX(EmployeeData[Exit Date], ROW() - 37)),"")</f>
        <v/>
      </c>
      <c r="I4094" s="4" t="str" cm="1">
        <f t="array" ref="I4094">IFERROR(IF(INDEX(EmployeeData[Exit Reason], ROW() - 37)=0, "",INDEX(EmployeeData[Exit Reason], ROW() - 37)),"")</f>
        <v/>
      </c>
      <c r="J4094" s="4" t="str" cm="1">
        <f t="array" ref="J4094">IFERROR(INDEX(EmployeeData[Status], ROW() - 37), "")</f>
        <v/>
      </c>
    </row>
    <row r="4095" spans="2:10" ht="19.95" customHeight="1" x14ac:dyDescent="0.3">
      <c r="B4095" s="4" t="str" cm="1">
        <f t="array" ref="B4095">IFERROR(INDEX(EmployeeData[Employee ID], ROW() - 37), "")</f>
        <v/>
      </c>
      <c r="C4095" s="4" t="str" cm="1">
        <f t="array" ref="C4095">IFERROR(INDEX(EmployeeData[Full Name], ROW() - 37), "")</f>
        <v/>
      </c>
      <c r="D4095" s="4" t="str" cm="1">
        <f t="array" ref="D4095">IFERROR(INDEX(EmployeeData[Department], ROW() - 37), "")</f>
        <v/>
      </c>
      <c r="E4095" s="4" t="str" cm="1">
        <f t="array" ref="E4095">IFERROR(INDEX(EmployeeData[Gender], ROW() - 37), "")</f>
        <v/>
      </c>
      <c r="F4095" s="4" t="str" cm="1">
        <f t="array" ref="F4095">IFERROR(INDEX(EmployeeData[Age], ROW() - 37), "")</f>
        <v/>
      </c>
      <c r="G4095" s="6" t="str" cm="1">
        <f t="array" ref="G4095">IFERROR(INDEX(EmployeeData[Join Date], ROW() - 37), "")</f>
        <v/>
      </c>
      <c r="H4095" s="6" t="str" cm="1">
        <f t="array" ref="H4095">IFERROR(IF(INDEX(EmployeeData[Exit Date], ROW() - 37)=0, "",INDEX(EmployeeData[Exit Date], ROW() - 37)),"")</f>
        <v/>
      </c>
      <c r="I4095" s="4" t="str" cm="1">
        <f t="array" ref="I4095">IFERROR(IF(INDEX(EmployeeData[Exit Reason], ROW() - 37)=0, "",INDEX(EmployeeData[Exit Reason], ROW() - 37)),"")</f>
        <v/>
      </c>
      <c r="J4095" s="4" t="str" cm="1">
        <f t="array" ref="J4095">IFERROR(INDEX(EmployeeData[Status], ROW() - 37), "")</f>
        <v/>
      </c>
    </row>
    <row r="4096" spans="2:10" ht="19.95" customHeight="1" x14ac:dyDescent="0.3">
      <c r="B4096" s="4" t="str" cm="1">
        <f t="array" ref="B4096">IFERROR(INDEX(EmployeeData[Employee ID], ROW() - 37), "")</f>
        <v/>
      </c>
      <c r="C4096" s="4" t="str" cm="1">
        <f t="array" ref="C4096">IFERROR(INDEX(EmployeeData[Full Name], ROW() - 37), "")</f>
        <v/>
      </c>
      <c r="D4096" s="4" t="str" cm="1">
        <f t="array" ref="D4096">IFERROR(INDEX(EmployeeData[Department], ROW() - 37), "")</f>
        <v/>
      </c>
      <c r="E4096" s="4" t="str" cm="1">
        <f t="array" ref="E4096">IFERROR(INDEX(EmployeeData[Gender], ROW() - 37), "")</f>
        <v/>
      </c>
      <c r="F4096" s="4" t="str" cm="1">
        <f t="array" ref="F4096">IFERROR(INDEX(EmployeeData[Age], ROW() - 37), "")</f>
        <v/>
      </c>
      <c r="G4096" s="6" t="str" cm="1">
        <f t="array" ref="G4096">IFERROR(INDEX(EmployeeData[Join Date], ROW() - 37), "")</f>
        <v/>
      </c>
      <c r="H4096" s="6" t="str" cm="1">
        <f t="array" ref="H4096">IFERROR(IF(INDEX(EmployeeData[Exit Date], ROW() - 37)=0, "",INDEX(EmployeeData[Exit Date], ROW() - 37)),"")</f>
        <v/>
      </c>
      <c r="I4096" s="4" t="str" cm="1">
        <f t="array" ref="I4096">IFERROR(IF(INDEX(EmployeeData[Exit Reason], ROW() - 37)=0, "",INDEX(EmployeeData[Exit Reason], ROW() - 37)),"")</f>
        <v/>
      </c>
      <c r="J4096" s="4" t="str" cm="1">
        <f t="array" ref="J4096">IFERROR(INDEX(EmployeeData[Status], ROW() - 37), "")</f>
        <v/>
      </c>
    </row>
    <row r="4097" spans="2:10" ht="19.95" customHeight="1" x14ac:dyDescent="0.3">
      <c r="B4097" s="4" t="str" cm="1">
        <f t="array" ref="B4097">IFERROR(INDEX(EmployeeData[Employee ID], ROW() - 37), "")</f>
        <v/>
      </c>
      <c r="C4097" s="4" t="str" cm="1">
        <f t="array" ref="C4097">IFERROR(INDEX(EmployeeData[Full Name], ROW() - 37), "")</f>
        <v/>
      </c>
      <c r="D4097" s="4" t="str" cm="1">
        <f t="array" ref="D4097">IFERROR(INDEX(EmployeeData[Department], ROW() - 37), "")</f>
        <v/>
      </c>
      <c r="E4097" s="4" t="str" cm="1">
        <f t="array" ref="E4097">IFERROR(INDEX(EmployeeData[Gender], ROW() - 37), "")</f>
        <v/>
      </c>
      <c r="F4097" s="4" t="str" cm="1">
        <f t="array" ref="F4097">IFERROR(INDEX(EmployeeData[Age], ROW() - 37), "")</f>
        <v/>
      </c>
      <c r="G4097" s="6" t="str" cm="1">
        <f t="array" ref="G4097">IFERROR(INDEX(EmployeeData[Join Date], ROW() - 37), "")</f>
        <v/>
      </c>
      <c r="H4097" s="6" t="str" cm="1">
        <f t="array" ref="H4097">IFERROR(IF(INDEX(EmployeeData[Exit Date], ROW() - 37)=0, "",INDEX(EmployeeData[Exit Date], ROW() - 37)),"")</f>
        <v/>
      </c>
      <c r="I4097" s="4" t="str" cm="1">
        <f t="array" ref="I4097">IFERROR(IF(INDEX(EmployeeData[Exit Reason], ROW() - 37)=0, "",INDEX(EmployeeData[Exit Reason], ROW() - 37)),"")</f>
        <v/>
      </c>
      <c r="J4097" s="4" t="str" cm="1">
        <f t="array" ref="J4097">IFERROR(INDEX(EmployeeData[Status], ROW() - 37), "")</f>
        <v/>
      </c>
    </row>
    <row r="4098" spans="2:10" ht="19.95" customHeight="1" x14ac:dyDescent="0.3">
      <c r="B4098" s="4" t="str" cm="1">
        <f t="array" ref="B4098">IFERROR(INDEX(EmployeeData[Employee ID], ROW() - 37), "")</f>
        <v/>
      </c>
      <c r="C4098" s="4" t="str" cm="1">
        <f t="array" ref="C4098">IFERROR(INDEX(EmployeeData[Full Name], ROW() - 37), "")</f>
        <v/>
      </c>
      <c r="D4098" s="4" t="str" cm="1">
        <f t="array" ref="D4098">IFERROR(INDEX(EmployeeData[Department], ROW() - 37), "")</f>
        <v/>
      </c>
      <c r="E4098" s="4" t="str" cm="1">
        <f t="array" ref="E4098">IFERROR(INDEX(EmployeeData[Gender], ROW() - 37), "")</f>
        <v/>
      </c>
      <c r="F4098" s="4" t="str" cm="1">
        <f t="array" ref="F4098">IFERROR(INDEX(EmployeeData[Age], ROW() - 37), "")</f>
        <v/>
      </c>
      <c r="G4098" s="6" t="str" cm="1">
        <f t="array" ref="G4098">IFERROR(INDEX(EmployeeData[Join Date], ROW() - 37), "")</f>
        <v/>
      </c>
      <c r="H4098" s="6" t="str" cm="1">
        <f t="array" ref="H4098">IFERROR(IF(INDEX(EmployeeData[Exit Date], ROW() - 37)=0, "",INDEX(EmployeeData[Exit Date], ROW() - 37)),"")</f>
        <v/>
      </c>
      <c r="I4098" s="4" t="str" cm="1">
        <f t="array" ref="I4098">IFERROR(IF(INDEX(EmployeeData[Exit Reason], ROW() - 37)=0, "",INDEX(EmployeeData[Exit Reason], ROW() - 37)),"")</f>
        <v/>
      </c>
      <c r="J4098" s="4" t="str" cm="1">
        <f t="array" ref="J4098">IFERROR(INDEX(EmployeeData[Status], ROW() - 37), "")</f>
        <v/>
      </c>
    </row>
    <row r="4099" spans="2:10" ht="19.95" customHeight="1" x14ac:dyDescent="0.3">
      <c r="B4099" s="4" t="str" cm="1">
        <f t="array" ref="B4099">IFERROR(INDEX(EmployeeData[Employee ID], ROW() - 37), "")</f>
        <v/>
      </c>
      <c r="C4099" s="4" t="str" cm="1">
        <f t="array" ref="C4099">IFERROR(INDEX(EmployeeData[Full Name], ROW() - 37), "")</f>
        <v/>
      </c>
      <c r="D4099" s="4" t="str" cm="1">
        <f t="array" ref="D4099">IFERROR(INDEX(EmployeeData[Department], ROW() - 37), "")</f>
        <v/>
      </c>
      <c r="E4099" s="4" t="str" cm="1">
        <f t="array" ref="E4099">IFERROR(INDEX(EmployeeData[Gender], ROW() - 37), "")</f>
        <v/>
      </c>
      <c r="F4099" s="4" t="str" cm="1">
        <f t="array" ref="F4099">IFERROR(INDEX(EmployeeData[Age], ROW() - 37), "")</f>
        <v/>
      </c>
      <c r="G4099" s="6" t="str" cm="1">
        <f t="array" ref="G4099">IFERROR(INDEX(EmployeeData[Join Date], ROW() - 37), "")</f>
        <v/>
      </c>
      <c r="H4099" s="6" t="str" cm="1">
        <f t="array" ref="H4099">IFERROR(IF(INDEX(EmployeeData[Exit Date], ROW() - 37)=0, "",INDEX(EmployeeData[Exit Date], ROW() - 37)),"")</f>
        <v/>
      </c>
      <c r="I4099" s="4" t="str" cm="1">
        <f t="array" ref="I4099">IFERROR(IF(INDEX(EmployeeData[Exit Reason], ROW() - 37)=0, "",INDEX(EmployeeData[Exit Reason], ROW() - 37)),"")</f>
        <v/>
      </c>
      <c r="J4099" s="4" t="str" cm="1">
        <f t="array" ref="J4099">IFERROR(INDEX(EmployeeData[Status], ROW() - 37), "")</f>
        <v/>
      </c>
    </row>
    <row r="4100" spans="2:10" ht="19.95" customHeight="1" x14ac:dyDescent="0.3">
      <c r="B4100" s="4" t="str" cm="1">
        <f t="array" ref="B4100">IFERROR(INDEX(EmployeeData[Employee ID], ROW() - 37), "")</f>
        <v/>
      </c>
      <c r="C4100" s="4" t="str" cm="1">
        <f t="array" ref="C4100">IFERROR(INDEX(EmployeeData[Full Name], ROW() - 37), "")</f>
        <v/>
      </c>
      <c r="D4100" s="4" t="str" cm="1">
        <f t="array" ref="D4100">IFERROR(INDEX(EmployeeData[Department], ROW() - 37), "")</f>
        <v/>
      </c>
      <c r="E4100" s="4" t="str" cm="1">
        <f t="array" ref="E4100">IFERROR(INDEX(EmployeeData[Gender], ROW() - 37), "")</f>
        <v/>
      </c>
      <c r="F4100" s="4" t="str" cm="1">
        <f t="array" ref="F4100">IFERROR(INDEX(EmployeeData[Age], ROW() - 37), "")</f>
        <v/>
      </c>
      <c r="G4100" s="6" t="str" cm="1">
        <f t="array" ref="G4100">IFERROR(INDEX(EmployeeData[Join Date], ROW() - 37), "")</f>
        <v/>
      </c>
      <c r="H4100" s="6" t="str" cm="1">
        <f t="array" ref="H4100">IFERROR(IF(INDEX(EmployeeData[Exit Date], ROW() - 37)=0, "",INDEX(EmployeeData[Exit Date], ROW() - 37)),"")</f>
        <v/>
      </c>
      <c r="I4100" s="4" t="str" cm="1">
        <f t="array" ref="I4100">IFERROR(IF(INDEX(EmployeeData[Exit Reason], ROW() - 37)=0, "",INDEX(EmployeeData[Exit Reason], ROW() - 37)),"")</f>
        <v/>
      </c>
      <c r="J4100" s="4" t="str" cm="1">
        <f t="array" ref="J4100">IFERROR(INDEX(EmployeeData[Status], ROW() - 37), "")</f>
        <v/>
      </c>
    </row>
    <row r="4101" spans="2:10" ht="19.95" customHeight="1" x14ac:dyDescent="0.3">
      <c r="B4101" s="4" t="str" cm="1">
        <f t="array" ref="B4101">IFERROR(INDEX(EmployeeData[Employee ID], ROW() - 37), "")</f>
        <v/>
      </c>
      <c r="C4101" s="4" t="str" cm="1">
        <f t="array" ref="C4101">IFERROR(INDEX(EmployeeData[Full Name], ROW() - 37), "")</f>
        <v/>
      </c>
      <c r="D4101" s="4" t="str" cm="1">
        <f t="array" ref="D4101">IFERROR(INDEX(EmployeeData[Department], ROW() - 37), "")</f>
        <v/>
      </c>
      <c r="E4101" s="4" t="str" cm="1">
        <f t="array" ref="E4101">IFERROR(INDEX(EmployeeData[Gender], ROW() - 37), "")</f>
        <v/>
      </c>
      <c r="F4101" s="4" t="str" cm="1">
        <f t="array" ref="F4101">IFERROR(INDEX(EmployeeData[Age], ROW() - 37), "")</f>
        <v/>
      </c>
      <c r="G4101" s="6" t="str" cm="1">
        <f t="array" ref="G4101">IFERROR(INDEX(EmployeeData[Join Date], ROW() - 37), "")</f>
        <v/>
      </c>
      <c r="H4101" s="6" t="str" cm="1">
        <f t="array" ref="H4101">IFERROR(IF(INDEX(EmployeeData[Exit Date], ROW() - 37)=0, "",INDEX(EmployeeData[Exit Date], ROW() - 37)),"")</f>
        <v/>
      </c>
      <c r="I4101" s="4" t="str" cm="1">
        <f t="array" ref="I4101">IFERROR(IF(INDEX(EmployeeData[Exit Reason], ROW() - 37)=0, "",INDEX(EmployeeData[Exit Reason], ROW() - 37)),"")</f>
        <v/>
      </c>
      <c r="J4101" s="4" t="str" cm="1">
        <f t="array" ref="J4101">IFERROR(INDEX(EmployeeData[Status], ROW() - 37), "")</f>
        <v/>
      </c>
    </row>
    <row r="4102" spans="2:10" ht="19.95" customHeight="1" x14ac:dyDescent="0.3">
      <c r="B4102" s="4" t="str" cm="1">
        <f t="array" ref="B4102">IFERROR(INDEX(EmployeeData[Employee ID], ROW() - 37), "")</f>
        <v/>
      </c>
      <c r="C4102" s="4" t="str" cm="1">
        <f t="array" ref="C4102">IFERROR(INDEX(EmployeeData[Full Name], ROW() - 37), "")</f>
        <v/>
      </c>
      <c r="D4102" s="4" t="str" cm="1">
        <f t="array" ref="D4102">IFERROR(INDEX(EmployeeData[Department], ROW() - 37), "")</f>
        <v/>
      </c>
      <c r="E4102" s="4" t="str" cm="1">
        <f t="array" ref="E4102">IFERROR(INDEX(EmployeeData[Gender], ROW() - 37), "")</f>
        <v/>
      </c>
      <c r="F4102" s="4" t="str" cm="1">
        <f t="array" ref="F4102">IFERROR(INDEX(EmployeeData[Age], ROW() - 37), "")</f>
        <v/>
      </c>
      <c r="G4102" s="6" t="str" cm="1">
        <f t="array" ref="G4102">IFERROR(INDEX(EmployeeData[Join Date], ROW() - 37), "")</f>
        <v/>
      </c>
      <c r="H4102" s="6" t="str" cm="1">
        <f t="array" ref="H4102">IFERROR(IF(INDEX(EmployeeData[Exit Date], ROW() - 37)=0, "",INDEX(EmployeeData[Exit Date], ROW() - 37)),"")</f>
        <v/>
      </c>
      <c r="I4102" s="4" t="str" cm="1">
        <f t="array" ref="I4102">IFERROR(IF(INDEX(EmployeeData[Exit Reason], ROW() - 37)=0, "",INDEX(EmployeeData[Exit Reason], ROW() - 37)),"")</f>
        <v/>
      </c>
      <c r="J4102" s="4" t="str" cm="1">
        <f t="array" ref="J4102">IFERROR(INDEX(EmployeeData[Status], ROW() - 37), "")</f>
        <v/>
      </c>
    </row>
    <row r="4103" spans="2:10" ht="19.95" customHeight="1" x14ac:dyDescent="0.3">
      <c r="B4103" s="4" t="str" cm="1">
        <f t="array" ref="B4103">IFERROR(INDEX(EmployeeData[Employee ID], ROW() - 37), "")</f>
        <v/>
      </c>
      <c r="C4103" s="4" t="str" cm="1">
        <f t="array" ref="C4103">IFERROR(INDEX(EmployeeData[Full Name], ROW() - 37), "")</f>
        <v/>
      </c>
      <c r="D4103" s="4" t="str" cm="1">
        <f t="array" ref="D4103">IFERROR(INDEX(EmployeeData[Department], ROW() - 37), "")</f>
        <v/>
      </c>
      <c r="E4103" s="4" t="str" cm="1">
        <f t="array" ref="E4103">IFERROR(INDEX(EmployeeData[Gender], ROW() - 37), "")</f>
        <v/>
      </c>
      <c r="F4103" s="4" t="str" cm="1">
        <f t="array" ref="F4103">IFERROR(INDEX(EmployeeData[Age], ROW() - 37), "")</f>
        <v/>
      </c>
      <c r="G4103" s="6" t="str" cm="1">
        <f t="array" ref="G4103">IFERROR(INDEX(EmployeeData[Join Date], ROW() - 37), "")</f>
        <v/>
      </c>
      <c r="H4103" s="6" t="str" cm="1">
        <f t="array" ref="H4103">IFERROR(IF(INDEX(EmployeeData[Exit Date], ROW() - 37)=0, "",INDEX(EmployeeData[Exit Date], ROW() - 37)),"")</f>
        <v/>
      </c>
      <c r="I4103" s="4" t="str" cm="1">
        <f t="array" ref="I4103">IFERROR(IF(INDEX(EmployeeData[Exit Reason], ROW() - 37)=0, "",INDEX(EmployeeData[Exit Reason], ROW() - 37)),"")</f>
        <v/>
      </c>
      <c r="J4103" s="4" t="str" cm="1">
        <f t="array" ref="J4103">IFERROR(INDEX(EmployeeData[Status], ROW() - 37), "")</f>
        <v/>
      </c>
    </row>
    <row r="4104" spans="2:10" ht="19.95" customHeight="1" x14ac:dyDescent="0.3">
      <c r="B4104" s="4" t="str" cm="1">
        <f t="array" ref="B4104">IFERROR(INDEX(EmployeeData[Employee ID], ROW() - 37), "")</f>
        <v/>
      </c>
      <c r="C4104" s="4" t="str" cm="1">
        <f t="array" ref="C4104">IFERROR(INDEX(EmployeeData[Full Name], ROW() - 37), "")</f>
        <v/>
      </c>
      <c r="D4104" s="4" t="str" cm="1">
        <f t="array" ref="D4104">IFERROR(INDEX(EmployeeData[Department], ROW() - 37), "")</f>
        <v/>
      </c>
      <c r="E4104" s="4" t="str" cm="1">
        <f t="array" ref="E4104">IFERROR(INDEX(EmployeeData[Gender], ROW() - 37), "")</f>
        <v/>
      </c>
      <c r="F4104" s="4" t="str" cm="1">
        <f t="array" ref="F4104">IFERROR(INDEX(EmployeeData[Age], ROW() - 37), "")</f>
        <v/>
      </c>
      <c r="G4104" s="6" t="str" cm="1">
        <f t="array" ref="G4104">IFERROR(INDEX(EmployeeData[Join Date], ROW() - 37), "")</f>
        <v/>
      </c>
      <c r="H4104" s="6" t="str" cm="1">
        <f t="array" ref="H4104">IFERROR(IF(INDEX(EmployeeData[Exit Date], ROW() - 37)=0, "",INDEX(EmployeeData[Exit Date], ROW() - 37)),"")</f>
        <v/>
      </c>
      <c r="I4104" s="4" t="str" cm="1">
        <f t="array" ref="I4104">IFERROR(IF(INDEX(EmployeeData[Exit Reason], ROW() - 37)=0, "",INDEX(EmployeeData[Exit Reason], ROW() - 37)),"")</f>
        <v/>
      </c>
      <c r="J4104" s="4" t="str" cm="1">
        <f t="array" ref="J4104">IFERROR(INDEX(EmployeeData[Status], ROW() - 37), "")</f>
        <v/>
      </c>
    </row>
    <row r="4105" spans="2:10" ht="19.95" customHeight="1" x14ac:dyDescent="0.3">
      <c r="B4105" s="4" t="str" cm="1">
        <f t="array" ref="B4105">IFERROR(INDEX(EmployeeData[Employee ID], ROW() - 37), "")</f>
        <v/>
      </c>
      <c r="C4105" s="4" t="str" cm="1">
        <f t="array" ref="C4105">IFERROR(INDEX(EmployeeData[Full Name], ROW() - 37), "")</f>
        <v/>
      </c>
      <c r="D4105" s="4" t="str" cm="1">
        <f t="array" ref="D4105">IFERROR(INDEX(EmployeeData[Department], ROW() - 37), "")</f>
        <v/>
      </c>
      <c r="E4105" s="4" t="str" cm="1">
        <f t="array" ref="E4105">IFERROR(INDEX(EmployeeData[Gender], ROW() - 37), "")</f>
        <v/>
      </c>
      <c r="F4105" s="4" t="str" cm="1">
        <f t="array" ref="F4105">IFERROR(INDEX(EmployeeData[Age], ROW() - 37), "")</f>
        <v/>
      </c>
      <c r="G4105" s="6" t="str" cm="1">
        <f t="array" ref="G4105">IFERROR(INDEX(EmployeeData[Join Date], ROW() - 37), "")</f>
        <v/>
      </c>
      <c r="H4105" s="6" t="str" cm="1">
        <f t="array" ref="H4105">IFERROR(IF(INDEX(EmployeeData[Exit Date], ROW() - 37)=0, "",INDEX(EmployeeData[Exit Date], ROW() - 37)),"")</f>
        <v/>
      </c>
      <c r="I4105" s="4" t="str" cm="1">
        <f t="array" ref="I4105">IFERROR(IF(INDEX(EmployeeData[Exit Reason], ROW() - 37)=0, "",INDEX(EmployeeData[Exit Reason], ROW() - 37)),"")</f>
        <v/>
      </c>
      <c r="J4105" s="4" t="str" cm="1">
        <f t="array" ref="J4105">IFERROR(INDEX(EmployeeData[Status], ROW() - 37), "")</f>
        <v/>
      </c>
    </row>
    <row r="4106" spans="2:10" ht="19.95" customHeight="1" x14ac:dyDescent="0.3">
      <c r="B4106" s="4" t="str" cm="1">
        <f t="array" ref="B4106">IFERROR(INDEX(EmployeeData[Employee ID], ROW() - 37), "")</f>
        <v/>
      </c>
      <c r="C4106" s="4" t="str" cm="1">
        <f t="array" ref="C4106">IFERROR(INDEX(EmployeeData[Full Name], ROW() - 37), "")</f>
        <v/>
      </c>
      <c r="D4106" s="4" t="str" cm="1">
        <f t="array" ref="D4106">IFERROR(INDEX(EmployeeData[Department], ROW() - 37), "")</f>
        <v/>
      </c>
      <c r="E4106" s="4" t="str" cm="1">
        <f t="array" ref="E4106">IFERROR(INDEX(EmployeeData[Gender], ROW() - 37), "")</f>
        <v/>
      </c>
      <c r="F4106" s="4" t="str" cm="1">
        <f t="array" ref="F4106">IFERROR(INDEX(EmployeeData[Age], ROW() - 37), "")</f>
        <v/>
      </c>
      <c r="G4106" s="6" t="str" cm="1">
        <f t="array" ref="G4106">IFERROR(INDEX(EmployeeData[Join Date], ROW() - 37), "")</f>
        <v/>
      </c>
      <c r="H4106" s="6" t="str" cm="1">
        <f t="array" ref="H4106">IFERROR(IF(INDEX(EmployeeData[Exit Date], ROW() - 37)=0, "",INDEX(EmployeeData[Exit Date], ROW() - 37)),"")</f>
        <v/>
      </c>
      <c r="I4106" s="4" t="str" cm="1">
        <f t="array" ref="I4106">IFERROR(IF(INDEX(EmployeeData[Exit Reason], ROW() - 37)=0, "",INDEX(EmployeeData[Exit Reason], ROW() - 37)),"")</f>
        <v/>
      </c>
      <c r="J4106" s="4" t="str" cm="1">
        <f t="array" ref="J4106">IFERROR(INDEX(EmployeeData[Status], ROW() - 37), "")</f>
        <v/>
      </c>
    </row>
    <row r="4107" spans="2:10" ht="19.95" customHeight="1" x14ac:dyDescent="0.3">
      <c r="B4107" s="4" t="str" cm="1">
        <f t="array" ref="B4107">IFERROR(INDEX(EmployeeData[Employee ID], ROW() - 37), "")</f>
        <v/>
      </c>
      <c r="C4107" s="4" t="str" cm="1">
        <f t="array" ref="C4107">IFERROR(INDEX(EmployeeData[Full Name], ROW() - 37), "")</f>
        <v/>
      </c>
      <c r="D4107" s="4" t="str" cm="1">
        <f t="array" ref="D4107">IFERROR(INDEX(EmployeeData[Department], ROW() - 37), "")</f>
        <v/>
      </c>
      <c r="E4107" s="4" t="str" cm="1">
        <f t="array" ref="E4107">IFERROR(INDEX(EmployeeData[Gender], ROW() - 37), "")</f>
        <v/>
      </c>
      <c r="F4107" s="4" t="str" cm="1">
        <f t="array" ref="F4107">IFERROR(INDEX(EmployeeData[Age], ROW() - 37), "")</f>
        <v/>
      </c>
      <c r="G4107" s="6" t="str" cm="1">
        <f t="array" ref="G4107">IFERROR(INDEX(EmployeeData[Join Date], ROW() - 37), "")</f>
        <v/>
      </c>
      <c r="H4107" s="6" t="str" cm="1">
        <f t="array" ref="H4107">IFERROR(IF(INDEX(EmployeeData[Exit Date], ROW() - 37)=0, "",INDEX(EmployeeData[Exit Date], ROW() - 37)),"")</f>
        <v/>
      </c>
      <c r="I4107" s="4" t="str" cm="1">
        <f t="array" ref="I4107">IFERROR(IF(INDEX(EmployeeData[Exit Reason], ROW() - 37)=0, "",INDEX(EmployeeData[Exit Reason], ROW() - 37)),"")</f>
        <v/>
      </c>
      <c r="J4107" s="4" t="str" cm="1">
        <f t="array" ref="J4107">IFERROR(INDEX(EmployeeData[Status], ROW() - 37), "")</f>
        <v/>
      </c>
    </row>
    <row r="4108" spans="2:10" ht="19.95" customHeight="1" x14ac:dyDescent="0.3">
      <c r="B4108" s="4" t="str" cm="1">
        <f t="array" ref="B4108">IFERROR(INDEX(EmployeeData[Employee ID], ROW() - 37), "")</f>
        <v/>
      </c>
      <c r="C4108" s="4" t="str" cm="1">
        <f t="array" ref="C4108">IFERROR(INDEX(EmployeeData[Full Name], ROW() - 37), "")</f>
        <v/>
      </c>
      <c r="D4108" s="4" t="str" cm="1">
        <f t="array" ref="D4108">IFERROR(INDEX(EmployeeData[Department], ROW() - 37), "")</f>
        <v/>
      </c>
      <c r="E4108" s="4" t="str" cm="1">
        <f t="array" ref="E4108">IFERROR(INDEX(EmployeeData[Gender], ROW() - 37), "")</f>
        <v/>
      </c>
      <c r="F4108" s="4" t="str" cm="1">
        <f t="array" ref="F4108">IFERROR(INDEX(EmployeeData[Age], ROW() - 37), "")</f>
        <v/>
      </c>
      <c r="G4108" s="6" t="str" cm="1">
        <f t="array" ref="G4108">IFERROR(INDEX(EmployeeData[Join Date], ROW() - 37), "")</f>
        <v/>
      </c>
      <c r="H4108" s="6" t="str" cm="1">
        <f t="array" ref="H4108">IFERROR(IF(INDEX(EmployeeData[Exit Date], ROW() - 37)=0, "",INDEX(EmployeeData[Exit Date], ROW() - 37)),"")</f>
        <v/>
      </c>
      <c r="I4108" s="4" t="str" cm="1">
        <f t="array" ref="I4108">IFERROR(IF(INDEX(EmployeeData[Exit Reason], ROW() - 37)=0, "",INDEX(EmployeeData[Exit Reason], ROW() - 37)),"")</f>
        <v/>
      </c>
      <c r="J4108" s="4" t="str" cm="1">
        <f t="array" ref="J4108">IFERROR(INDEX(EmployeeData[Status], ROW() - 37), "")</f>
        <v/>
      </c>
    </row>
    <row r="4109" spans="2:10" ht="19.95" customHeight="1" x14ac:dyDescent="0.3">
      <c r="B4109" s="4" t="str" cm="1">
        <f t="array" ref="B4109">IFERROR(INDEX(EmployeeData[Employee ID], ROW() - 37), "")</f>
        <v/>
      </c>
      <c r="C4109" s="4" t="str" cm="1">
        <f t="array" ref="C4109">IFERROR(INDEX(EmployeeData[Full Name], ROW() - 37), "")</f>
        <v/>
      </c>
      <c r="D4109" s="4" t="str" cm="1">
        <f t="array" ref="D4109">IFERROR(INDEX(EmployeeData[Department], ROW() - 37), "")</f>
        <v/>
      </c>
      <c r="E4109" s="4" t="str" cm="1">
        <f t="array" ref="E4109">IFERROR(INDEX(EmployeeData[Gender], ROW() - 37), "")</f>
        <v/>
      </c>
      <c r="F4109" s="4" t="str" cm="1">
        <f t="array" ref="F4109">IFERROR(INDEX(EmployeeData[Age], ROW() - 37), "")</f>
        <v/>
      </c>
      <c r="G4109" s="6" t="str" cm="1">
        <f t="array" ref="G4109">IFERROR(INDEX(EmployeeData[Join Date], ROW() - 37), "")</f>
        <v/>
      </c>
      <c r="H4109" s="6" t="str" cm="1">
        <f t="array" ref="H4109">IFERROR(IF(INDEX(EmployeeData[Exit Date], ROW() - 37)=0, "",INDEX(EmployeeData[Exit Date], ROW() - 37)),"")</f>
        <v/>
      </c>
      <c r="I4109" s="4" t="str" cm="1">
        <f t="array" ref="I4109">IFERROR(IF(INDEX(EmployeeData[Exit Reason], ROW() - 37)=0, "",INDEX(EmployeeData[Exit Reason], ROW() - 37)),"")</f>
        <v/>
      </c>
      <c r="J4109" s="4" t="str" cm="1">
        <f t="array" ref="J4109">IFERROR(INDEX(EmployeeData[Status], ROW() - 37), "")</f>
        <v/>
      </c>
    </row>
    <row r="4110" spans="2:10" ht="19.95" customHeight="1" x14ac:dyDescent="0.3">
      <c r="B4110" s="4" t="str" cm="1">
        <f t="array" ref="B4110">IFERROR(INDEX(EmployeeData[Employee ID], ROW() - 37), "")</f>
        <v/>
      </c>
      <c r="C4110" s="4" t="str" cm="1">
        <f t="array" ref="C4110">IFERROR(INDEX(EmployeeData[Full Name], ROW() - 37), "")</f>
        <v/>
      </c>
      <c r="D4110" s="4" t="str" cm="1">
        <f t="array" ref="D4110">IFERROR(INDEX(EmployeeData[Department], ROW() - 37), "")</f>
        <v/>
      </c>
      <c r="E4110" s="4" t="str" cm="1">
        <f t="array" ref="E4110">IFERROR(INDEX(EmployeeData[Gender], ROW() - 37), "")</f>
        <v/>
      </c>
      <c r="F4110" s="4" t="str" cm="1">
        <f t="array" ref="F4110">IFERROR(INDEX(EmployeeData[Age], ROW() - 37), "")</f>
        <v/>
      </c>
      <c r="G4110" s="6" t="str" cm="1">
        <f t="array" ref="G4110">IFERROR(INDEX(EmployeeData[Join Date], ROW() - 37), "")</f>
        <v/>
      </c>
      <c r="H4110" s="6" t="str" cm="1">
        <f t="array" ref="H4110">IFERROR(IF(INDEX(EmployeeData[Exit Date], ROW() - 37)=0, "",INDEX(EmployeeData[Exit Date], ROW() - 37)),"")</f>
        <v/>
      </c>
      <c r="I4110" s="4" t="str" cm="1">
        <f t="array" ref="I4110">IFERROR(IF(INDEX(EmployeeData[Exit Reason], ROW() - 37)=0, "",INDEX(EmployeeData[Exit Reason], ROW() - 37)),"")</f>
        <v/>
      </c>
      <c r="J4110" s="4" t="str" cm="1">
        <f t="array" ref="J4110">IFERROR(INDEX(EmployeeData[Status], ROW() - 37), "")</f>
        <v/>
      </c>
    </row>
    <row r="4111" spans="2:10" ht="19.95" customHeight="1" x14ac:dyDescent="0.3">
      <c r="B4111" s="4" t="str" cm="1">
        <f t="array" ref="B4111">IFERROR(INDEX(EmployeeData[Employee ID], ROW() - 37), "")</f>
        <v/>
      </c>
      <c r="C4111" s="4" t="str" cm="1">
        <f t="array" ref="C4111">IFERROR(INDEX(EmployeeData[Full Name], ROW() - 37), "")</f>
        <v/>
      </c>
      <c r="D4111" s="4" t="str" cm="1">
        <f t="array" ref="D4111">IFERROR(INDEX(EmployeeData[Department], ROW() - 37), "")</f>
        <v/>
      </c>
      <c r="E4111" s="4" t="str" cm="1">
        <f t="array" ref="E4111">IFERROR(INDEX(EmployeeData[Gender], ROW() - 37), "")</f>
        <v/>
      </c>
      <c r="F4111" s="4" t="str" cm="1">
        <f t="array" ref="F4111">IFERROR(INDEX(EmployeeData[Age], ROW() - 37), "")</f>
        <v/>
      </c>
      <c r="G4111" s="6" t="str" cm="1">
        <f t="array" ref="G4111">IFERROR(INDEX(EmployeeData[Join Date], ROW() - 37), "")</f>
        <v/>
      </c>
      <c r="H4111" s="6" t="str" cm="1">
        <f t="array" ref="H4111">IFERROR(IF(INDEX(EmployeeData[Exit Date], ROW() - 37)=0, "",INDEX(EmployeeData[Exit Date], ROW() - 37)),"")</f>
        <v/>
      </c>
      <c r="I4111" s="4" t="str" cm="1">
        <f t="array" ref="I4111">IFERROR(IF(INDEX(EmployeeData[Exit Reason], ROW() - 37)=0, "",INDEX(EmployeeData[Exit Reason], ROW() - 37)),"")</f>
        <v/>
      </c>
      <c r="J4111" s="4" t="str" cm="1">
        <f t="array" ref="J4111">IFERROR(INDEX(EmployeeData[Status], ROW() - 37), "")</f>
        <v/>
      </c>
    </row>
    <row r="4112" spans="2:10" ht="19.95" customHeight="1" x14ac:dyDescent="0.3">
      <c r="B4112" s="4" t="str" cm="1">
        <f t="array" ref="B4112">IFERROR(INDEX(EmployeeData[Employee ID], ROW() - 37), "")</f>
        <v/>
      </c>
      <c r="C4112" s="4" t="str" cm="1">
        <f t="array" ref="C4112">IFERROR(INDEX(EmployeeData[Full Name], ROW() - 37), "")</f>
        <v/>
      </c>
      <c r="D4112" s="4" t="str" cm="1">
        <f t="array" ref="D4112">IFERROR(INDEX(EmployeeData[Department], ROW() - 37), "")</f>
        <v/>
      </c>
      <c r="E4112" s="4" t="str" cm="1">
        <f t="array" ref="E4112">IFERROR(INDEX(EmployeeData[Gender], ROW() - 37), "")</f>
        <v/>
      </c>
      <c r="F4112" s="4" t="str" cm="1">
        <f t="array" ref="F4112">IFERROR(INDEX(EmployeeData[Age], ROW() - 37), "")</f>
        <v/>
      </c>
      <c r="G4112" s="6" t="str" cm="1">
        <f t="array" ref="G4112">IFERROR(INDEX(EmployeeData[Join Date], ROW() - 37), "")</f>
        <v/>
      </c>
      <c r="H4112" s="6" t="str" cm="1">
        <f t="array" ref="H4112">IFERROR(IF(INDEX(EmployeeData[Exit Date], ROW() - 37)=0, "",INDEX(EmployeeData[Exit Date], ROW() - 37)),"")</f>
        <v/>
      </c>
      <c r="I4112" s="4" t="str" cm="1">
        <f t="array" ref="I4112">IFERROR(IF(INDEX(EmployeeData[Exit Reason], ROW() - 37)=0, "",INDEX(EmployeeData[Exit Reason], ROW() - 37)),"")</f>
        <v/>
      </c>
      <c r="J4112" s="4" t="str" cm="1">
        <f t="array" ref="J4112">IFERROR(INDEX(EmployeeData[Status], ROW() - 37), "")</f>
        <v/>
      </c>
    </row>
    <row r="4113" spans="2:10" ht="19.95" customHeight="1" x14ac:dyDescent="0.3">
      <c r="B4113" s="4" t="str" cm="1">
        <f t="array" ref="B4113">IFERROR(INDEX(EmployeeData[Employee ID], ROW() - 37), "")</f>
        <v/>
      </c>
      <c r="C4113" s="4" t="str" cm="1">
        <f t="array" ref="C4113">IFERROR(INDEX(EmployeeData[Full Name], ROW() - 37), "")</f>
        <v/>
      </c>
      <c r="D4113" s="4" t="str" cm="1">
        <f t="array" ref="D4113">IFERROR(INDEX(EmployeeData[Department], ROW() - 37), "")</f>
        <v/>
      </c>
      <c r="E4113" s="4" t="str" cm="1">
        <f t="array" ref="E4113">IFERROR(INDEX(EmployeeData[Gender], ROW() - 37), "")</f>
        <v/>
      </c>
      <c r="F4113" s="4" t="str" cm="1">
        <f t="array" ref="F4113">IFERROR(INDEX(EmployeeData[Age], ROW() - 37), "")</f>
        <v/>
      </c>
      <c r="G4113" s="6" t="str" cm="1">
        <f t="array" ref="G4113">IFERROR(INDEX(EmployeeData[Join Date], ROW() - 37), "")</f>
        <v/>
      </c>
      <c r="H4113" s="6" t="str" cm="1">
        <f t="array" ref="H4113">IFERROR(IF(INDEX(EmployeeData[Exit Date], ROW() - 37)=0, "",INDEX(EmployeeData[Exit Date], ROW() - 37)),"")</f>
        <v/>
      </c>
      <c r="I4113" s="4" t="str" cm="1">
        <f t="array" ref="I4113">IFERROR(IF(INDEX(EmployeeData[Exit Reason], ROW() - 37)=0, "",INDEX(EmployeeData[Exit Reason], ROW() - 37)),"")</f>
        <v/>
      </c>
      <c r="J4113" s="4" t="str" cm="1">
        <f t="array" ref="J4113">IFERROR(INDEX(EmployeeData[Status], ROW() - 37), "")</f>
        <v/>
      </c>
    </row>
    <row r="4114" spans="2:10" ht="19.95" customHeight="1" x14ac:dyDescent="0.3">
      <c r="B4114" s="4" t="str" cm="1">
        <f t="array" ref="B4114">IFERROR(INDEX(EmployeeData[Employee ID], ROW() - 37), "")</f>
        <v/>
      </c>
      <c r="C4114" s="4" t="str" cm="1">
        <f t="array" ref="C4114">IFERROR(INDEX(EmployeeData[Full Name], ROW() - 37), "")</f>
        <v/>
      </c>
      <c r="D4114" s="4" t="str" cm="1">
        <f t="array" ref="D4114">IFERROR(INDEX(EmployeeData[Department], ROW() - 37), "")</f>
        <v/>
      </c>
      <c r="E4114" s="4" t="str" cm="1">
        <f t="array" ref="E4114">IFERROR(INDEX(EmployeeData[Gender], ROW() - 37), "")</f>
        <v/>
      </c>
      <c r="F4114" s="4" t="str" cm="1">
        <f t="array" ref="F4114">IFERROR(INDEX(EmployeeData[Age], ROW() - 37), "")</f>
        <v/>
      </c>
      <c r="G4114" s="6" t="str" cm="1">
        <f t="array" ref="G4114">IFERROR(INDEX(EmployeeData[Join Date], ROW() - 37), "")</f>
        <v/>
      </c>
      <c r="H4114" s="6" t="str" cm="1">
        <f t="array" ref="H4114">IFERROR(IF(INDEX(EmployeeData[Exit Date], ROW() - 37)=0, "",INDEX(EmployeeData[Exit Date], ROW() - 37)),"")</f>
        <v/>
      </c>
      <c r="I4114" s="4" t="str" cm="1">
        <f t="array" ref="I4114">IFERROR(IF(INDEX(EmployeeData[Exit Reason], ROW() - 37)=0, "",INDEX(EmployeeData[Exit Reason], ROW() - 37)),"")</f>
        <v/>
      </c>
      <c r="J4114" s="4" t="str" cm="1">
        <f t="array" ref="J4114">IFERROR(INDEX(EmployeeData[Status], ROW() - 37), "")</f>
        <v/>
      </c>
    </row>
    <row r="4115" spans="2:10" ht="19.95" customHeight="1" x14ac:dyDescent="0.3">
      <c r="B4115" s="4" t="str" cm="1">
        <f t="array" ref="B4115">IFERROR(INDEX(EmployeeData[Employee ID], ROW() - 37), "")</f>
        <v/>
      </c>
      <c r="C4115" s="4" t="str" cm="1">
        <f t="array" ref="C4115">IFERROR(INDEX(EmployeeData[Full Name], ROW() - 37), "")</f>
        <v/>
      </c>
      <c r="D4115" s="4" t="str" cm="1">
        <f t="array" ref="D4115">IFERROR(INDEX(EmployeeData[Department], ROW() - 37), "")</f>
        <v/>
      </c>
      <c r="E4115" s="4" t="str" cm="1">
        <f t="array" ref="E4115">IFERROR(INDEX(EmployeeData[Gender], ROW() - 37), "")</f>
        <v/>
      </c>
      <c r="F4115" s="4" t="str" cm="1">
        <f t="array" ref="F4115">IFERROR(INDEX(EmployeeData[Age], ROW() - 37), "")</f>
        <v/>
      </c>
      <c r="G4115" s="6" t="str" cm="1">
        <f t="array" ref="G4115">IFERROR(INDEX(EmployeeData[Join Date], ROW() - 37), "")</f>
        <v/>
      </c>
      <c r="H4115" s="6" t="str" cm="1">
        <f t="array" ref="H4115">IFERROR(IF(INDEX(EmployeeData[Exit Date], ROW() - 37)=0, "",INDEX(EmployeeData[Exit Date], ROW() - 37)),"")</f>
        <v/>
      </c>
      <c r="I4115" s="4" t="str" cm="1">
        <f t="array" ref="I4115">IFERROR(IF(INDEX(EmployeeData[Exit Reason], ROW() - 37)=0, "",INDEX(EmployeeData[Exit Reason], ROW() - 37)),"")</f>
        <v/>
      </c>
      <c r="J4115" s="4" t="str" cm="1">
        <f t="array" ref="J4115">IFERROR(INDEX(EmployeeData[Status], ROW() - 37), "")</f>
        <v/>
      </c>
    </row>
    <row r="4116" spans="2:10" ht="19.95" customHeight="1" x14ac:dyDescent="0.3">
      <c r="B4116" s="4" t="str" cm="1">
        <f t="array" ref="B4116">IFERROR(INDEX(EmployeeData[Employee ID], ROW() - 37), "")</f>
        <v/>
      </c>
      <c r="C4116" s="4" t="str" cm="1">
        <f t="array" ref="C4116">IFERROR(INDEX(EmployeeData[Full Name], ROW() - 37), "")</f>
        <v/>
      </c>
      <c r="D4116" s="4" t="str" cm="1">
        <f t="array" ref="D4116">IFERROR(INDEX(EmployeeData[Department], ROW() - 37), "")</f>
        <v/>
      </c>
      <c r="E4116" s="4" t="str" cm="1">
        <f t="array" ref="E4116">IFERROR(INDEX(EmployeeData[Gender], ROW() - 37), "")</f>
        <v/>
      </c>
      <c r="F4116" s="4" t="str" cm="1">
        <f t="array" ref="F4116">IFERROR(INDEX(EmployeeData[Age], ROW() - 37), "")</f>
        <v/>
      </c>
      <c r="G4116" s="6" t="str" cm="1">
        <f t="array" ref="G4116">IFERROR(INDEX(EmployeeData[Join Date], ROW() - 37), "")</f>
        <v/>
      </c>
      <c r="H4116" s="6" t="str" cm="1">
        <f t="array" ref="H4116">IFERROR(IF(INDEX(EmployeeData[Exit Date], ROW() - 37)=0, "",INDEX(EmployeeData[Exit Date], ROW() - 37)),"")</f>
        <v/>
      </c>
      <c r="I4116" s="4" t="str" cm="1">
        <f t="array" ref="I4116">IFERROR(IF(INDEX(EmployeeData[Exit Reason], ROW() - 37)=0, "",INDEX(EmployeeData[Exit Reason], ROW() - 37)),"")</f>
        <v/>
      </c>
      <c r="J4116" s="4" t="str" cm="1">
        <f t="array" ref="J4116">IFERROR(INDEX(EmployeeData[Status], ROW() - 37), "")</f>
        <v/>
      </c>
    </row>
    <row r="4117" spans="2:10" ht="19.95" customHeight="1" x14ac:dyDescent="0.3">
      <c r="B4117" s="4" t="str" cm="1">
        <f t="array" ref="B4117">IFERROR(INDEX(EmployeeData[Employee ID], ROW() - 37), "")</f>
        <v/>
      </c>
      <c r="C4117" s="4" t="str" cm="1">
        <f t="array" ref="C4117">IFERROR(INDEX(EmployeeData[Full Name], ROW() - 37), "")</f>
        <v/>
      </c>
      <c r="D4117" s="4" t="str" cm="1">
        <f t="array" ref="D4117">IFERROR(INDEX(EmployeeData[Department], ROW() - 37), "")</f>
        <v/>
      </c>
      <c r="E4117" s="4" t="str" cm="1">
        <f t="array" ref="E4117">IFERROR(INDEX(EmployeeData[Gender], ROW() - 37), "")</f>
        <v/>
      </c>
      <c r="F4117" s="4" t="str" cm="1">
        <f t="array" ref="F4117">IFERROR(INDEX(EmployeeData[Age], ROW() - 37), "")</f>
        <v/>
      </c>
      <c r="G4117" s="6" t="str" cm="1">
        <f t="array" ref="G4117">IFERROR(INDEX(EmployeeData[Join Date], ROW() - 37), "")</f>
        <v/>
      </c>
      <c r="H4117" s="6" t="str" cm="1">
        <f t="array" ref="H4117">IFERROR(IF(INDEX(EmployeeData[Exit Date], ROW() - 37)=0, "",INDEX(EmployeeData[Exit Date], ROW() - 37)),"")</f>
        <v/>
      </c>
      <c r="I4117" s="4" t="str" cm="1">
        <f t="array" ref="I4117">IFERROR(IF(INDEX(EmployeeData[Exit Reason], ROW() - 37)=0, "",INDEX(EmployeeData[Exit Reason], ROW() - 37)),"")</f>
        <v/>
      </c>
      <c r="J4117" s="4" t="str" cm="1">
        <f t="array" ref="J4117">IFERROR(INDEX(EmployeeData[Status], ROW() - 37), "")</f>
        <v/>
      </c>
    </row>
    <row r="4118" spans="2:10" ht="19.95" customHeight="1" x14ac:dyDescent="0.3">
      <c r="B4118" s="4" t="str" cm="1">
        <f t="array" ref="B4118">IFERROR(INDEX(EmployeeData[Employee ID], ROW() - 37), "")</f>
        <v/>
      </c>
      <c r="C4118" s="4" t="str" cm="1">
        <f t="array" ref="C4118">IFERROR(INDEX(EmployeeData[Full Name], ROW() - 37), "")</f>
        <v/>
      </c>
      <c r="D4118" s="4" t="str" cm="1">
        <f t="array" ref="D4118">IFERROR(INDEX(EmployeeData[Department], ROW() - 37), "")</f>
        <v/>
      </c>
      <c r="E4118" s="4" t="str" cm="1">
        <f t="array" ref="E4118">IFERROR(INDEX(EmployeeData[Gender], ROW() - 37), "")</f>
        <v/>
      </c>
      <c r="F4118" s="4" t="str" cm="1">
        <f t="array" ref="F4118">IFERROR(INDEX(EmployeeData[Age], ROW() - 37), "")</f>
        <v/>
      </c>
      <c r="G4118" s="6" t="str" cm="1">
        <f t="array" ref="G4118">IFERROR(INDEX(EmployeeData[Join Date], ROW() - 37), "")</f>
        <v/>
      </c>
      <c r="H4118" s="6" t="str" cm="1">
        <f t="array" ref="H4118">IFERROR(IF(INDEX(EmployeeData[Exit Date], ROW() - 37)=0, "",INDEX(EmployeeData[Exit Date], ROW() - 37)),"")</f>
        <v/>
      </c>
      <c r="I4118" s="4" t="str" cm="1">
        <f t="array" ref="I4118">IFERROR(IF(INDEX(EmployeeData[Exit Reason], ROW() - 37)=0, "",INDEX(EmployeeData[Exit Reason], ROW() - 37)),"")</f>
        <v/>
      </c>
      <c r="J4118" s="4" t="str" cm="1">
        <f t="array" ref="J4118">IFERROR(INDEX(EmployeeData[Status], ROW() - 37), "")</f>
        <v/>
      </c>
    </row>
    <row r="4119" spans="2:10" ht="19.95" customHeight="1" x14ac:dyDescent="0.3">
      <c r="B4119" s="4" t="str" cm="1">
        <f t="array" ref="B4119">IFERROR(INDEX(EmployeeData[Employee ID], ROW() - 37), "")</f>
        <v/>
      </c>
      <c r="C4119" s="4" t="str" cm="1">
        <f t="array" ref="C4119">IFERROR(INDEX(EmployeeData[Full Name], ROW() - 37), "")</f>
        <v/>
      </c>
      <c r="D4119" s="4" t="str" cm="1">
        <f t="array" ref="D4119">IFERROR(INDEX(EmployeeData[Department], ROW() - 37), "")</f>
        <v/>
      </c>
      <c r="E4119" s="4" t="str" cm="1">
        <f t="array" ref="E4119">IFERROR(INDEX(EmployeeData[Gender], ROW() - 37), "")</f>
        <v/>
      </c>
      <c r="F4119" s="4" t="str" cm="1">
        <f t="array" ref="F4119">IFERROR(INDEX(EmployeeData[Age], ROW() - 37), "")</f>
        <v/>
      </c>
      <c r="G4119" s="6" t="str" cm="1">
        <f t="array" ref="G4119">IFERROR(INDEX(EmployeeData[Join Date], ROW() - 37), "")</f>
        <v/>
      </c>
      <c r="H4119" s="6" t="str" cm="1">
        <f t="array" ref="H4119">IFERROR(IF(INDEX(EmployeeData[Exit Date], ROW() - 37)=0, "",INDEX(EmployeeData[Exit Date], ROW() - 37)),"")</f>
        <v/>
      </c>
      <c r="I4119" s="4" t="str" cm="1">
        <f t="array" ref="I4119">IFERROR(IF(INDEX(EmployeeData[Exit Reason], ROW() - 37)=0, "",INDEX(EmployeeData[Exit Reason], ROW() - 37)),"")</f>
        <v/>
      </c>
      <c r="J4119" s="4" t="str" cm="1">
        <f t="array" ref="J4119">IFERROR(INDEX(EmployeeData[Status], ROW() - 37), "")</f>
        <v/>
      </c>
    </row>
    <row r="4120" spans="2:10" ht="19.95" customHeight="1" x14ac:dyDescent="0.3">
      <c r="B4120" s="4" t="str" cm="1">
        <f t="array" ref="B4120">IFERROR(INDEX(EmployeeData[Employee ID], ROW() - 37), "")</f>
        <v/>
      </c>
      <c r="C4120" s="4" t="str" cm="1">
        <f t="array" ref="C4120">IFERROR(INDEX(EmployeeData[Full Name], ROW() - 37), "")</f>
        <v/>
      </c>
      <c r="D4120" s="4" t="str" cm="1">
        <f t="array" ref="D4120">IFERROR(INDEX(EmployeeData[Department], ROW() - 37), "")</f>
        <v/>
      </c>
      <c r="E4120" s="4" t="str" cm="1">
        <f t="array" ref="E4120">IFERROR(INDEX(EmployeeData[Gender], ROW() - 37), "")</f>
        <v/>
      </c>
      <c r="F4120" s="4" t="str" cm="1">
        <f t="array" ref="F4120">IFERROR(INDEX(EmployeeData[Age], ROW() - 37), "")</f>
        <v/>
      </c>
      <c r="G4120" s="6" t="str" cm="1">
        <f t="array" ref="G4120">IFERROR(INDEX(EmployeeData[Join Date], ROW() - 37), "")</f>
        <v/>
      </c>
      <c r="H4120" s="6" t="str" cm="1">
        <f t="array" ref="H4120">IFERROR(IF(INDEX(EmployeeData[Exit Date], ROW() - 37)=0, "",INDEX(EmployeeData[Exit Date], ROW() - 37)),"")</f>
        <v/>
      </c>
      <c r="I4120" s="4" t="str" cm="1">
        <f t="array" ref="I4120">IFERROR(IF(INDEX(EmployeeData[Exit Reason], ROW() - 37)=0, "",INDEX(EmployeeData[Exit Reason], ROW() - 37)),"")</f>
        <v/>
      </c>
      <c r="J4120" s="4" t="str" cm="1">
        <f t="array" ref="J4120">IFERROR(INDEX(EmployeeData[Status], ROW() - 37), "")</f>
        <v/>
      </c>
    </row>
    <row r="4121" spans="2:10" ht="19.95" customHeight="1" x14ac:dyDescent="0.3">
      <c r="B4121" s="4" t="str" cm="1">
        <f t="array" ref="B4121">IFERROR(INDEX(EmployeeData[Employee ID], ROW() - 37), "")</f>
        <v/>
      </c>
      <c r="C4121" s="4" t="str" cm="1">
        <f t="array" ref="C4121">IFERROR(INDEX(EmployeeData[Full Name], ROW() - 37), "")</f>
        <v/>
      </c>
      <c r="D4121" s="4" t="str" cm="1">
        <f t="array" ref="D4121">IFERROR(INDEX(EmployeeData[Department], ROW() - 37), "")</f>
        <v/>
      </c>
      <c r="E4121" s="4" t="str" cm="1">
        <f t="array" ref="E4121">IFERROR(INDEX(EmployeeData[Gender], ROW() - 37), "")</f>
        <v/>
      </c>
      <c r="F4121" s="4" t="str" cm="1">
        <f t="array" ref="F4121">IFERROR(INDEX(EmployeeData[Age], ROW() - 37), "")</f>
        <v/>
      </c>
      <c r="G4121" s="6" t="str" cm="1">
        <f t="array" ref="G4121">IFERROR(INDEX(EmployeeData[Join Date], ROW() - 37), "")</f>
        <v/>
      </c>
      <c r="H4121" s="6" t="str" cm="1">
        <f t="array" ref="H4121">IFERROR(IF(INDEX(EmployeeData[Exit Date], ROW() - 37)=0, "",INDEX(EmployeeData[Exit Date], ROW() - 37)),"")</f>
        <v/>
      </c>
      <c r="I4121" s="4" t="str" cm="1">
        <f t="array" ref="I4121">IFERROR(IF(INDEX(EmployeeData[Exit Reason], ROW() - 37)=0, "",INDEX(EmployeeData[Exit Reason], ROW() - 37)),"")</f>
        <v/>
      </c>
      <c r="J4121" s="4" t="str" cm="1">
        <f t="array" ref="J4121">IFERROR(INDEX(EmployeeData[Status], ROW() - 37), "")</f>
        <v/>
      </c>
    </row>
    <row r="4122" spans="2:10" ht="19.95" customHeight="1" x14ac:dyDescent="0.3">
      <c r="B4122" s="4" t="str" cm="1">
        <f t="array" ref="B4122">IFERROR(INDEX(EmployeeData[Employee ID], ROW() - 37), "")</f>
        <v/>
      </c>
      <c r="C4122" s="4" t="str" cm="1">
        <f t="array" ref="C4122">IFERROR(INDEX(EmployeeData[Full Name], ROW() - 37), "")</f>
        <v/>
      </c>
      <c r="D4122" s="4" t="str" cm="1">
        <f t="array" ref="D4122">IFERROR(INDEX(EmployeeData[Department], ROW() - 37), "")</f>
        <v/>
      </c>
      <c r="E4122" s="4" t="str" cm="1">
        <f t="array" ref="E4122">IFERROR(INDEX(EmployeeData[Gender], ROW() - 37), "")</f>
        <v/>
      </c>
      <c r="F4122" s="4" t="str" cm="1">
        <f t="array" ref="F4122">IFERROR(INDEX(EmployeeData[Age], ROW() - 37), "")</f>
        <v/>
      </c>
      <c r="G4122" s="6" t="str" cm="1">
        <f t="array" ref="G4122">IFERROR(INDEX(EmployeeData[Join Date], ROW() - 37), "")</f>
        <v/>
      </c>
      <c r="H4122" s="6" t="str" cm="1">
        <f t="array" ref="H4122">IFERROR(IF(INDEX(EmployeeData[Exit Date], ROW() - 37)=0, "",INDEX(EmployeeData[Exit Date], ROW() - 37)),"")</f>
        <v/>
      </c>
      <c r="I4122" s="4" t="str" cm="1">
        <f t="array" ref="I4122">IFERROR(IF(INDEX(EmployeeData[Exit Reason], ROW() - 37)=0, "",INDEX(EmployeeData[Exit Reason], ROW() - 37)),"")</f>
        <v/>
      </c>
      <c r="J4122" s="4" t="str" cm="1">
        <f t="array" ref="J4122">IFERROR(INDEX(EmployeeData[Status], ROW() - 37), "")</f>
        <v/>
      </c>
    </row>
    <row r="4123" spans="2:10" ht="19.95" customHeight="1" x14ac:dyDescent="0.3">
      <c r="B4123" s="4" t="str" cm="1">
        <f t="array" ref="B4123">IFERROR(INDEX(EmployeeData[Employee ID], ROW() - 37), "")</f>
        <v/>
      </c>
      <c r="C4123" s="4" t="str" cm="1">
        <f t="array" ref="C4123">IFERROR(INDEX(EmployeeData[Full Name], ROW() - 37), "")</f>
        <v/>
      </c>
      <c r="D4123" s="4" t="str" cm="1">
        <f t="array" ref="D4123">IFERROR(INDEX(EmployeeData[Department], ROW() - 37), "")</f>
        <v/>
      </c>
      <c r="E4123" s="4" t="str" cm="1">
        <f t="array" ref="E4123">IFERROR(INDEX(EmployeeData[Gender], ROW() - 37), "")</f>
        <v/>
      </c>
      <c r="F4123" s="4" t="str" cm="1">
        <f t="array" ref="F4123">IFERROR(INDEX(EmployeeData[Age], ROW() - 37), "")</f>
        <v/>
      </c>
      <c r="G4123" s="6" t="str" cm="1">
        <f t="array" ref="G4123">IFERROR(INDEX(EmployeeData[Join Date], ROW() - 37), "")</f>
        <v/>
      </c>
      <c r="H4123" s="6" t="str" cm="1">
        <f t="array" ref="H4123">IFERROR(IF(INDEX(EmployeeData[Exit Date], ROW() - 37)=0, "",INDEX(EmployeeData[Exit Date], ROW() - 37)),"")</f>
        <v/>
      </c>
      <c r="I4123" s="4" t="str" cm="1">
        <f t="array" ref="I4123">IFERROR(IF(INDEX(EmployeeData[Exit Reason], ROW() - 37)=0, "",INDEX(EmployeeData[Exit Reason], ROW() - 37)),"")</f>
        <v/>
      </c>
      <c r="J4123" s="4" t="str" cm="1">
        <f t="array" ref="J4123">IFERROR(INDEX(EmployeeData[Status], ROW() - 37), "")</f>
        <v/>
      </c>
    </row>
    <row r="4124" spans="2:10" ht="19.95" customHeight="1" x14ac:dyDescent="0.3">
      <c r="B4124" s="4" t="str" cm="1">
        <f t="array" ref="B4124">IFERROR(INDEX(EmployeeData[Employee ID], ROW() - 37), "")</f>
        <v/>
      </c>
      <c r="C4124" s="4" t="str" cm="1">
        <f t="array" ref="C4124">IFERROR(INDEX(EmployeeData[Full Name], ROW() - 37), "")</f>
        <v/>
      </c>
      <c r="D4124" s="4" t="str" cm="1">
        <f t="array" ref="D4124">IFERROR(INDEX(EmployeeData[Department], ROW() - 37), "")</f>
        <v/>
      </c>
      <c r="E4124" s="4" t="str" cm="1">
        <f t="array" ref="E4124">IFERROR(INDEX(EmployeeData[Gender], ROW() - 37), "")</f>
        <v/>
      </c>
      <c r="F4124" s="4" t="str" cm="1">
        <f t="array" ref="F4124">IFERROR(INDEX(EmployeeData[Age], ROW() - 37), "")</f>
        <v/>
      </c>
      <c r="G4124" s="6" t="str" cm="1">
        <f t="array" ref="G4124">IFERROR(INDEX(EmployeeData[Join Date], ROW() - 37), "")</f>
        <v/>
      </c>
      <c r="H4124" s="6" t="str" cm="1">
        <f t="array" ref="H4124">IFERROR(IF(INDEX(EmployeeData[Exit Date], ROW() - 37)=0, "",INDEX(EmployeeData[Exit Date], ROW() - 37)),"")</f>
        <v/>
      </c>
      <c r="I4124" s="4" t="str" cm="1">
        <f t="array" ref="I4124">IFERROR(IF(INDEX(EmployeeData[Exit Reason], ROW() - 37)=0, "",INDEX(EmployeeData[Exit Reason], ROW() - 37)),"")</f>
        <v/>
      </c>
      <c r="J4124" s="4" t="str" cm="1">
        <f t="array" ref="J4124">IFERROR(INDEX(EmployeeData[Status], ROW() - 37), "")</f>
        <v/>
      </c>
    </row>
    <row r="4125" spans="2:10" ht="19.95" customHeight="1" x14ac:dyDescent="0.3">
      <c r="B4125" s="4" t="str" cm="1">
        <f t="array" ref="B4125">IFERROR(INDEX(EmployeeData[Employee ID], ROW() - 37), "")</f>
        <v/>
      </c>
      <c r="C4125" s="4" t="str" cm="1">
        <f t="array" ref="C4125">IFERROR(INDEX(EmployeeData[Full Name], ROW() - 37), "")</f>
        <v/>
      </c>
      <c r="D4125" s="4" t="str" cm="1">
        <f t="array" ref="D4125">IFERROR(INDEX(EmployeeData[Department], ROW() - 37), "")</f>
        <v/>
      </c>
      <c r="E4125" s="4" t="str" cm="1">
        <f t="array" ref="E4125">IFERROR(INDEX(EmployeeData[Gender], ROW() - 37), "")</f>
        <v/>
      </c>
      <c r="F4125" s="4" t="str" cm="1">
        <f t="array" ref="F4125">IFERROR(INDEX(EmployeeData[Age], ROW() - 37), "")</f>
        <v/>
      </c>
      <c r="G4125" s="6" t="str" cm="1">
        <f t="array" ref="G4125">IFERROR(INDEX(EmployeeData[Join Date], ROW() - 37), "")</f>
        <v/>
      </c>
      <c r="H4125" s="6" t="str" cm="1">
        <f t="array" ref="H4125">IFERROR(IF(INDEX(EmployeeData[Exit Date], ROW() - 37)=0, "",INDEX(EmployeeData[Exit Date], ROW() - 37)),"")</f>
        <v/>
      </c>
      <c r="I4125" s="4" t="str" cm="1">
        <f t="array" ref="I4125">IFERROR(IF(INDEX(EmployeeData[Exit Reason], ROW() - 37)=0, "",INDEX(EmployeeData[Exit Reason], ROW() - 37)),"")</f>
        <v/>
      </c>
      <c r="J4125" s="4" t="str" cm="1">
        <f t="array" ref="J4125">IFERROR(INDEX(EmployeeData[Status], ROW() - 37), "")</f>
        <v/>
      </c>
    </row>
    <row r="4126" spans="2:10" ht="19.95" customHeight="1" x14ac:dyDescent="0.3">
      <c r="B4126" s="4" t="str" cm="1">
        <f t="array" ref="B4126">IFERROR(INDEX(EmployeeData[Employee ID], ROW() - 37), "")</f>
        <v/>
      </c>
      <c r="C4126" s="4" t="str" cm="1">
        <f t="array" ref="C4126">IFERROR(INDEX(EmployeeData[Full Name], ROW() - 37), "")</f>
        <v/>
      </c>
      <c r="D4126" s="4" t="str" cm="1">
        <f t="array" ref="D4126">IFERROR(INDEX(EmployeeData[Department], ROW() - 37), "")</f>
        <v/>
      </c>
      <c r="E4126" s="4" t="str" cm="1">
        <f t="array" ref="E4126">IFERROR(INDEX(EmployeeData[Gender], ROW() - 37), "")</f>
        <v/>
      </c>
      <c r="F4126" s="4" t="str" cm="1">
        <f t="array" ref="F4126">IFERROR(INDEX(EmployeeData[Age], ROW() - 37), "")</f>
        <v/>
      </c>
      <c r="G4126" s="6" t="str" cm="1">
        <f t="array" ref="G4126">IFERROR(INDEX(EmployeeData[Join Date], ROW() - 37), "")</f>
        <v/>
      </c>
      <c r="H4126" s="6" t="str" cm="1">
        <f t="array" ref="H4126">IFERROR(IF(INDEX(EmployeeData[Exit Date], ROW() - 37)=0, "",INDEX(EmployeeData[Exit Date], ROW() - 37)),"")</f>
        <v/>
      </c>
      <c r="I4126" s="4" t="str" cm="1">
        <f t="array" ref="I4126">IFERROR(IF(INDEX(EmployeeData[Exit Reason], ROW() - 37)=0, "",INDEX(EmployeeData[Exit Reason], ROW() - 37)),"")</f>
        <v/>
      </c>
      <c r="J4126" s="4" t="str" cm="1">
        <f t="array" ref="J4126">IFERROR(INDEX(EmployeeData[Status], ROW() - 37), "")</f>
        <v/>
      </c>
    </row>
    <row r="4127" spans="2:10" ht="19.95" customHeight="1" x14ac:dyDescent="0.3">
      <c r="B4127" s="4" t="str" cm="1">
        <f t="array" ref="B4127">IFERROR(INDEX(EmployeeData[Employee ID], ROW() - 37), "")</f>
        <v/>
      </c>
      <c r="C4127" s="4" t="str" cm="1">
        <f t="array" ref="C4127">IFERROR(INDEX(EmployeeData[Full Name], ROW() - 37), "")</f>
        <v/>
      </c>
      <c r="D4127" s="4" t="str" cm="1">
        <f t="array" ref="D4127">IFERROR(INDEX(EmployeeData[Department], ROW() - 37), "")</f>
        <v/>
      </c>
      <c r="E4127" s="4" t="str" cm="1">
        <f t="array" ref="E4127">IFERROR(INDEX(EmployeeData[Gender], ROW() - 37), "")</f>
        <v/>
      </c>
      <c r="F4127" s="4" t="str" cm="1">
        <f t="array" ref="F4127">IFERROR(INDEX(EmployeeData[Age], ROW() - 37), "")</f>
        <v/>
      </c>
      <c r="G4127" s="6" t="str" cm="1">
        <f t="array" ref="G4127">IFERROR(INDEX(EmployeeData[Join Date], ROW() - 37), "")</f>
        <v/>
      </c>
      <c r="H4127" s="6" t="str" cm="1">
        <f t="array" ref="H4127">IFERROR(IF(INDEX(EmployeeData[Exit Date], ROW() - 37)=0, "",INDEX(EmployeeData[Exit Date], ROW() - 37)),"")</f>
        <v/>
      </c>
      <c r="I4127" s="4" t="str" cm="1">
        <f t="array" ref="I4127">IFERROR(IF(INDEX(EmployeeData[Exit Reason], ROW() - 37)=0, "",INDEX(EmployeeData[Exit Reason], ROW() - 37)),"")</f>
        <v/>
      </c>
      <c r="J4127" s="4" t="str" cm="1">
        <f t="array" ref="J4127">IFERROR(INDEX(EmployeeData[Status], ROW() - 37), "")</f>
        <v/>
      </c>
    </row>
    <row r="4128" spans="2:10" ht="19.95" customHeight="1" x14ac:dyDescent="0.3">
      <c r="B4128" s="4" t="str" cm="1">
        <f t="array" ref="B4128">IFERROR(INDEX(EmployeeData[Employee ID], ROW() - 37), "")</f>
        <v/>
      </c>
      <c r="C4128" s="4" t="str" cm="1">
        <f t="array" ref="C4128">IFERROR(INDEX(EmployeeData[Full Name], ROW() - 37), "")</f>
        <v/>
      </c>
      <c r="D4128" s="4" t="str" cm="1">
        <f t="array" ref="D4128">IFERROR(INDEX(EmployeeData[Department], ROW() - 37), "")</f>
        <v/>
      </c>
      <c r="E4128" s="4" t="str" cm="1">
        <f t="array" ref="E4128">IFERROR(INDEX(EmployeeData[Gender], ROW() - 37), "")</f>
        <v/>
      </c>
      <c r="F4128" s="4" t="str" cm="1">
        <f t="array" ref="F4128">IFERROR(INDEX(EmployeeData[Age], ROW() - 37), "")</f>
        <v/>
      </c>
      <c r="G4128" s="6" t="str" cm="1">
        <f t="array" ref="G4128">IFERROR(INDEX(EmployeeData[Join Date], ROW() - 37), "")</f>
        <v/>
      </c>
      <c r="H4128" s="6" t="str" cm="1">
        <f t="array" ref="H4128">IFERROR(IF(INDEX(EmployeeData[Exit Date], ROW() - 37)=0, "",INDEX(EmployeeData[Exit Date], ROW() - 37)),"")</f>
        <v/>
      </c>
      <c r="I4128" s="4" t="str" cm="1">
        <f t="array" ref="I4128">IFERROR(IF(INDEX(EmployeeData[Exit Reason], ROW() - 37)=0, "",INDEX(EmployeeData[Exit Reason], ROW() - 37)),"")</f>
        <v/>
      </c>
      <c r="J4128" s="4" t="str" cm="1">
        <f t="array" ref="J4128">IFERROR(INDEX(EmployeeData[Status], ROW() - 37), "")</f>
        <v/>
      </c>
    </row>
    <row r="4129" spans="2:10" ht="19.95" customHeight="1" x14ac:dyDescent="0.3">
      <c r="B4129" s="4" t="str" cm="1">
        <f t="array" ref="B4129">IFERROR(INDEX(EmployeeData[Employee ID], ROW() - 37), "")</f>
        <v/>
      </c>
      <c r="C4129" s="4" t="str" cm="1">
        <f t="array" ref="C4129">IFERROR(INDEX(EmployeeData[Full Name], ROW() - 37), "")</f>
        <v/>
      </c>
      <c r="D4129" s="4" t="str" cm="1">
        <f t="array" ref="D4129">IFERROR(INDEX(EmployeeData[Department], ROW() - 37), "")</f>
        <v/>
      </c>
      <c r="E4129" s="4" t="str" cm="1">
        <f t="array" ref="E4129">IFERROR(INDEX(EmployeeData[Gender], ROW() - 37), "")</f>
        <v/>
      </c>
      <c r="F4129" s="4" t="str" cm="1">
        <f t="array" ref="F4129">IFERROR(INDEX(EmployeeData[Age], ROW() - 37), "")</f>
        <v/>
      </c>
      <c r="G4129" s="6" t="str" cm="1">
        <f t="array" ref="G4129">IFERROR(INDEX(EmployeeData[Join Date], ROW() - 37), "")</f>
        <v/>
      </c>
      <c r="H4129" s="6" t="str" cm="1">
        <f t="array" ref="H4129">IFERROR(IF(INDEX(EmployeeData[Exit Date], ROW() - 37)=0, "",INDEX(EmployeeData[Exit Date], ROW() - 37)),"")</f>
        <v/>
      </c>
      <c r="I4129" s="4" t="str" cm="1">
        <f t="array" ref="I4129">IFERROR(IF(INDEX(EmployeeData[Exit Reason], ROW() - 37)=0, "",INDEX(EmployeeData[Exit Reason], ROW() - 37)),"")</f>
        <v/>
      </c>
      <c r="J4129" s="4" t="str" cm="1">
        <f t="array" ref="J4129">IFERROR(INDEX(EmployeeData[Status], ROW() - 37), "")</f>
        <v/>
      </c>
    </row>
    <row r="4130" spans="2:10" ht="19.95" customHeight="1" x14ac:dyDescent="0.3">
      <c r="B4130" s="4" t="str" cm="1">
        <f t="array" ref="B4130">IFERROR(INDEX(EmployeeData[Employee ID], ROW() - 37), "")</f>
        <v/>
      </c>
      <c r="C4130" s="4" t="str" cm="1">
        <f t="array" ref="C4130">IFERROR(INDEX(EmployeeData[Full Name], ROW() - 37), "")</f>
        <v/>
      </c>
      <c r="D4130" s="4" t="str" cm="1">
        <f t="array" ref="D4130">IFERROR(INDEX(EmployeeData[Department], ROW() - 37), "")</f>
        <v/>
      </c>
      <c r="E4130" s="4" t="str" cm="1">
        <f t="array" ref="E4130">IFERROR(INDEX(EmployeeData[Gender], ROW() - 37), "")</f>
        <v/>
      </c>
      <c r="F4130" s="4" t="str" cm="1">
        <f t="array" ref="F4130">IFERROR(INDEX(EmployeeData[Age], ROW() - 37), "")</f>
        <v/>
      </c>
      <c r="G4130" s="6" t="str" cm="1">
        <f t="array" ref="G4130">IFERROR(INDEX(EmployeeData[Join Date], ROW() - 37), "")</f>
        <v/>
      </c>
      <c r="H4130" s="6" t="str" cm="1">
        <f t="array" ref="H4130">IFERROR(IF(INDEX(EmployeeData[Exit Date], ROW() - 37)=0, "",INDEX(EmployeeData[Exit Date], ROW() - 37)),"")</f>
        <v/>
      </c>
      <c r="I4130" s="4" t="str" cm="1">
        <f t="array" ref="I4130">IFERROR(IF(INDEX(EmployeeData[Exit Reason], ROW() - 37)=0, "",INDEX(EmployeeData[Exit Reason], ROW() - 37)),"")</f>
        <v/>
      </c>
      <c r="J4130" s="4" t="str" cm="1">
        <f t="array" ref="J4130">IFERROR(INDEX(EmployeeData[Status], ROW() - 37), "")</f>
        <v/>
      </c>
    </row>
    <row r="4131" spans="2:10" ht="19.95" customHeight="1" x14ac:dyDescent="0.3">
      <c r="B4131" s="4" t="str" cm="1">
        <f t="array" ref="B4131">IFERROR(INDEX(EmployeeData[Employee ID], ROW() - 37), "")</f>
        <v/>
      </c>
      <c r="C4131" s="4" t="str" cm="1">
        <f t="array" ref="C4131">IFERROR(INDEX(EmployeeData[Full Name], ROW() - 37), "")</f>
        <v/>
      </c>
      <c r="D4131" s="4" t="str" cm="1">
        <f t="array" ref="D4131">IFERROR(INDEX(EmployeeData[Department], ROW() - 37), "")</f>
        <v/>
      </c>
      <c r="E4131" s="4" t="str" cm="1">
        <f t="array" ref="E4131">IFERROR(INDEX(EmployeeData[Gender], ROW() - 37), "")</f>
        <v/>
      </c>
      <c r="F4131" s="4" t="str" cm="1">
        <f t="array" ref="F4131">IFERROR(INDEX(EmployeeData[Age], ROW() - 37), "")</f>
        <v/>
      </c>
      <c r="G4131" s="6" t="str" cm="1">
        <f t="array" ref="G4131">IFERROR(INDEX(EmployeeData[Join Date], ROW() - 37), "")</f>
        <v/>
      </c>
      <c r="H4131" s="6" t="str" cm="1">
        <f t="array" ref="H4131">IFERROR(IF(INDEX(EmployeeData[Exit Date], ROW() - 37)=0, "",INDEX(EmployeeData[Exit Date], ROW() - 37)),"")</f>
        <v/>
      </c>
      <c r="I4131" s="4" t="str" cm="1">
        <f t="array" ref="I4131">IFERROR(IF(INDEX(EmployeeData[Exit Reason], ROW() - 37)=0, "",INDEX(EmployeeData[Exit Reason], ROW() - 37)),"")</f>
        <v/>
      </c>
      <c r="J4131" s="4" t="str" cm="1">
        <f t="array" ref="J4131">IFERROR(INDEX(EmployeeData[Status], ROW() - 37), "")</f>
        <v/>
      </c>
    </row>
    <row r="4132" spans="2:10" ht="19.95" customHeight="1" x14ac:dyDescent="0.3">
      <c r="B4132" s="4" t="str" cm="1">
        <f t="array" ref="B4132">IFERROR(INDEX(EmployeeData[Employee ID], ROW() - 37), "")</f>
        <v/>
      </c>
      <c r="C4132" s="4" t="str" cm="1">
        <f t="array" ref="C4132">IFERROR(INDEX(EmployeeData[Full Name], ROW() - 37), "")</f>
        <v/>
      </c>
      <c r="D4132" s="4" t="str" cm="1">
        <f t="array" ref="D4132">IFERROR(INDEX(EmployeeData[Department], ROW() - 37), "")</f>
        <v/>
      </c>
      <c r="E4132" s="4" t="str" cm="1">
        <f t="array" ref="E4132">IFERROR(INDEX(EmployeeData[Gender], ROW() - 37), "")</f>
        <v/>
      </c>
      <c r="F4132" s="4" t="str" cm="1">
        <f t="array" ref="F4132">IFERROR(INDEX(EmployeeData[Age], ROW() - 37), "")</f>
        <v/>
      </c>
      <c r="G4132" s="6" t="str" cm="1">
        <f t="array" ref="G4132">IFERROR(INDEX(EmployeeData[Join Date], ROW() - 37), "")</f>
        <v/>
      </c>
      <c r="H4132" s="6" t="str" cm="1">
        <f t="array" ref="H4132">IFERROR(IF(INDEX(EmployeeData[Exit Date], ROW() - 37)=0, "",INDEX(EmployeeData[Exit Date], ROW() - 37)),"")</f>
        <v/>
      </c>
      <c r="I4132" s="4" t="str" cm="1">
        <f t="array" ref="I4132">IFERROR(IF(INDEX(EmployeeData[Exit Reason], ROW() - 37)=0, "",INDEX(EmployeeData[Exit Reason], ROW() - 37)),"")</f>
        <v/>
      </c>
      <c r="J4132" s="4" t="str" cm="1">
        <f t="array" ref="J4132">IFERROR(INDEX(EmployeeData[Status], ROW() - 37), "")</f>
        <v/>
      </c>
    </row>
    <row r="4133" spans="2:10" ht="19.95" customHeight="1" x14ac:dyDescent="0.3">
      <c r="B4133" s="4" t="str" cm="1">
        <f t="array" ref="B4133">IFERROR(INDEX(EmployeeData[Employee ID], ROW() - 37), "")</f>
        <v/>
      </c>
      <c r="C4133" s="4" t="str" cm="1">
        <f t="array" ref="C4133">IFERROR(INDEX(EmployeeData[Full Name], ROW() - 37), "")</f>
        <v/>
      </c>
      <c r="D4133" s="4" t="str" cm="1">
        <f t="array" ref="D4133">IFERROR(INDEX(EmployeeData[Department], ROW() - 37), "")</f>
        <v/>
      </c>
      <c r="E4133" s="4" t="str" cm="1">
        <f t="array" ref="E4133">IFERROR(INDEX(EmployeeData[Gender], ROW() - 37), "")</f>
        <v/>
      </c>
      <c r="F4133" s="4" t="str" cm="1">
        <f t="array" ref="F4133">IFERROR(INDEX(EmployeeData[Age], ROW() - 37), "")</f>
        <v/>
      </c>
      <c r="G4133" s="6" t="str" cm="1">
        <f t="array" ref="G4133">IFERROR(INDEX(EmployeeData[Join Date], ROW() - 37), "")</f>
        <v/>
      </c>
      <c r="H4133" s="6" t="str" cm="1">
        <f t="array" ref="H4133">IFERROR(IF(INDEX(EmployeeData[Exit Date], ROW() - 37)=0, "",INDEX(EmployeeData[Exit Date], ROW() - 37)),"")</f>
        <v/>
      </c>
      <c r="I4133" s="4" t="str" cm="1">
        <f t="array" ref="I4133">IFERROR(IF(INDEX(EmployeeData[Exit Reason], ROW() - 37)=0, "",INDEX(EmployeeData[Exit Reason], ROW() - 37)),"")</f>
        <v/>
      </c>
      <c r="J4133" s="4" t="str" cm="1">
        <f t="array" ref="J4133">IFERROR(INDEX(EmployeeData[Status], ROW() - 37), "")</f>
        <v/>
      </c>
    </row>
    <row r="4134" spans="2:10" ht="19.95" customHeight="1" x14ac:dyDescent="0.3">
      <c r="B4134" s="4" t="str" cm="1">
        <f t="array" ref="B4134">IFERROR(INDEX(EmployeeData[Employee ID], ROW() - 37), "")</f>
        <v/>
      </c>
      <c r="C4134" s="4" t="str" cm="1">
        <f t="array" ref="C4134">IFERROR(INDEX(EmployeeData[Full Name], ROW() - 37), "")</f>
        <v/>
      </c>
      <c r="D4134" s="4" t="str" cm="1">
        <f t="array" ref="D4134">IFERROR(INDEX(EmployeeData[Department], ROW() - 37), "")</f>
        <v/>
      </c>
      <c r="E4134" s="4" t="str" cm="1">
        <f t="array" ref="E4134">IFERROR(INDEX(EmployeeData[Gender], ROW() - 37), "")</f>
        <v/>
      </c>
      <c r="F4134" s="4" t="str" cm="1">
        <f t="array" ref="F4134">IFERROR(INDEX(EmployeeData[Age], ROW() - 37), "")</f>
        <v/>
      </c>
      <c r="G4134" s="6" t="str" cm="1">
        <f t="array" ref="G4134">IFERROR(INDEX(EmployeeData[Join Date], ROW() - 37), "")</f>
        <v/>
      </c>
      <c r="H4134" s="6" t="str" cm="1">
        <f t="array" ref="H4134">IFERROR(IF(INDEX(EmployeeData[Exit Date], ROW() - 37)=0, "",INDEX(EmployeeData[Exit Date], ROW() - 37)),"")</f>
        <v/>
      </c>
      <c r="I4134" s="4" t="str" cm="1">
        <f t="array" ref="I4134">IFERROR(IF(INDEX(EmployeeData[Exit Reason], ROW() - 37)=0, "",INDEX(EmployeeData[Exit Reason], ROW() - 37)),"")</f>
        <v/>
      </c>
      <c r="J4134" s="4" t="str" cm="1">
        <f t="array" ref="J4134">IFERROR(INDEX(EmployeeData[Status], ROW() - 37), "")</f>
        <v/>
      </c>
    </row>
    <row r="4135" spans="2:10" ht="19.95" customHeight="1" x14ac:dyDescent="0.3">
      <c r="B4135" s="4" t="str" cm="1">
        <f t="array" ref="B4135">IFERROR(INDEX(EmployeeData[Employee ID], ROW() - 37), "")</f>
        <v/>
      </c>
      <c r="C4135" s="4" t="str" cm="1">
        <f t="array" ref="C4135">IFERROR(INDEX(EmployeeData[Full Name], ROW() - 37), "")</f>
        <v/>
      </c>
      <c r="D4135" s="4" t="str" cm="1">
        <f t="array" ref="D4135">IFERROR(INDEX(EmployeeData[Department], ROW() - 37), "")</f>
        <v/>
      </c>
      <c r="E4135" s="4" t="str" cm="1">
        <f t="array" ref="E4135">IFERROR(INDEX(EmployeeData[Gender], ROW() - 37), "")</f>
        <v/>
      </c>
      <c r="F4135" s="4" t="str" cm="1">
        <f t="array" ref="F4135">IFERROR(INDEX(EmployeeData[Age], ROW() - 37), "")</f>
        <v/>
      </c>
      <c r="G4135" s="6" t="str" cm="1">
        <f t="array" ref="G4135">IFERROR(INDEX(EmployeeData[Join Date], ROW() - 37), "")</f>
        <v/>
      </c>
      <c r="H4135" s="6" t="str" cm="1">
        <f t="array" ref="H4135">IFERROR(IF(INDEX(EmployeeData[Exit Date], ROW() - 37)=0, "",INDEX(EmployeeData[Exit Date], ROW() - 37)),"")</f>
        <v/>
      </c>
      <c r="I4135" s="4" t="str" cm="1">
        <f t="array" ref="I4135">IFERROR(IF(INDEX(EmployeeData[Exit Reason], ROW() - 37)=0, "",INDEX(EmployeeData[Exit Reason], ROW() - 37)),"")</f>
        <v/>
      </c>
      <c r="J4135" s="4" t="str" cm="1">
        <f t="array" ref="J4135">IFERROR(INDEX(EmployeeData[Status], ROW() - 37), "")</f>
        <v/>
      </c>
    </row>
    <row r="4136" spans="2:10" ht="19.95" customHeight="1" x14ac:dyDescent="0.3">
      <c r="B4136" s="4" t="str" cm="1">
        <f t="array" ref="B4136">IFERROR(INDEX(EmployeeData[Employee ID], ROW() - 37), "")</f>
        <v/>
      </c>
      <c r="C4136" s="4" t="str" cm="1">
        <f t="array" ref="C4136">IFERROR(INDEX(EmployeeData[Full Name], ROW() - 37), "")</f>
        <v/>
      </c>
      <c r="D4136" s="4" t="str" cm="1">
        <f t="array" ref="D4136">IFERROR(INDEX(EmployeeData[Department], ROW() - 37), "")</f>
        <v/>
      </c>
      <c r="E4136" s="4" t="str" cm="1">
        <f t="array" ref="E4136">IFERROR(INDEX(EmployeeData[Gender], ROW() - 37), "")</f>
        <v/>
      </c>
      <c r="F4136" s="4" t="str" cm="1">
        <f t="array" ref="F4136">IFERROR(INDEX(EmployeeData[Age], ROW() - 37), "")</f>
        <v/>
      </c>
      <c r="G4136" s="6" t="str" cm="1">
        <f t="array" ref="G4136">IFERROR(INDEX(EmployeeData[Join Date], ROW() - 37), "")</f>
        <v/>
      </c>
      <c r="H4136" s="6" t="str" cm="1">
        <f t="array" ref="H4136">IFERROR(IF(INDEX(EmployeeData[Exit Date], ROW() - 37)=0, "",INDEX(EmployeeData[Exit Date], ROW() - 37)),"")</f>
        <v/>
      </c>
      <c r="I4136" s="4" t="str" cm="1">
        <f t="array" ref="I4136">IFERROR(IF(INDEX(EmployeeData[Exit Reason], ROW() - 37)=0, "",INDEX(EmployeeData[Exit Reason], ROW() - 37)),"")</f>
        <v/>
      </c>
      <c r="J4136" s="4" t="str" cm="1">
        <f t="array" ref="J4136">IFERROR(INDEX(EmployeeData[Status], ROW() - 37), "")</f>
        <v/>
      </c>
    </row>
    <row r="4137" spans="2:10" ht="19.95" customHeight="1" x14ac:dyDescent="0.3">
      <c r="B4137" s="4" t="str" cm="1">
        <f t="array" ref="B4137">IFERROR(INDEX(EmployeeData[Employee ID], ROW() - 37), "")</f>
        <v/>
      </c>
      <c r="C4137" s="4" t="str" cm="1">
        <f t="array" ref="C4137">IFERROR(INDEX(EmployeeData[Full Name], ROW() - 37), "")</f>
        <v/>
      </c>
      <c r="D4137" s="4" t="str" cm="1">
        <f t="array" ref="D4137">IFERROR(INDEX(EmployeeData[Department], ROW() - 37), "")</f>
        <v/>
      </c>
      <c r="E4137" s="4" t="str" cm="1">
        <f t="array" ref="E4137">IFERROR(INDEX(EmployeeData[Gender], ROW() - 37), "")</f>
        <v/>
      </c>
      <c r="F4137" s="4" t="str" cm="1">
        <f t="array" ref="F4137">IFERROR(INDEX(EmployeeData[Age], ROW() - 37), "")</f>
        <v/>
      </c>
      <c r="G4137" s="6" t="str" cm="1">
        <f t="array" ref="G4137">IFERROR(INDEX(EmployeeData[Join Date], ROW() - 37), "")</f>
        <v/>
      </c>
      <c r="H4137" s="6" t="str" cm="1">
        <f t="array" ref="H4137">IFERROR(IF(INDEX(EmployeeData[Exit Date], ROW() - 37)=0, "",INDEX(EmployeeData[Exit Date], ROW() - 37)),"")</f>
        <v/>
      </c>
      <c r="I4137" s="4" t="str" cm="1">
        <f t="array" ref="I4137">IFERROR(IF(INDEX(EmployeeData[Exit Reason], ROW() - 37)=0, "",INDEX(EmployeeData[Exit Reason], ROW() - 37)),"")</f>
        <v/>
      </c>
      <c r="J4137" s="4" t="str" cm="1">
        <f t="array" ref="J4137">IFERROR(INDEX(EmployeeData[Status], ROW() - 37), "")</f>
        <v/>
      </c>
    </row>
    <row r="4138" spans="2:10" ht="19.95" customHeight="1" x14ac:dyDescent="0.3">
      <c r="B4138" s="4" t="str" cm="1">
        <f t="array" ref="B4138">IFERROR(INDEX(EmployeeData[Employee ID], ROW() - 37), "")</f>
        <v/>
      </c>
      <c r="C4138" s="4" t="str" cm="1">
        <f t="array" ref="C4138">IFERROR(INDEX(EmployeeData[Full Name], ROW() - 37), "")</f>
        <v/>
      </c>
      <c r="D4138" s="4" t="str" cm="1">
        <f t="array" ref="D4138">IFERROR(INDEX(EmployeeData[Department], ROW() - 37), "")</f>
        <v/>
      </c>
      <c r="E4138" s="4" t="str" cm="1">
        <f t="array" ref="E4138">IFERROR(INDEX(EmployeeData[Gender], ROW() - 37), "")</f>
        <v/>
      </c>
      <c r="F4138" s="4" t="str" cm="1">
        <f t="array" ref="F4138">IFERROR(INDEX(EmployeeData[Age], ROW() - 37), "")</f>
        <v/>
      </c>
      <c r="G4138" s="6" t="str" cm="1">
        <f t="array" ref="G4138">IFERROR(INDEX(EmployeeData[Join Date], ROW() - 37), "")</f>
        <v/>
      </c>
      <c r="H4138" s="6" t="str" cm="1">
        <f t="array" ref="H4138">IFERROR(IF(INDEX(EmployeeData[Exit Date], ROW() - 37)=0, "",INDEX(EmployeeData[Exit Date], ROW() - 37)),"")</f>
        <v/>
      </c>
      <c r="I4138" s="4" t="str" cm="1">
        <f t="array" ref="I4138">IFERROR(IF(INDEX(EmployeeData[Exit Reason], ROW() - 37)=0, "",INDEX(EmployeeData[Exit Reason], ROW() - 37)),"")</f>
        <v/>
      </c>
      <c r="J4138" s="4" t="str" cm="1">
        <f t="array" ref="J4138">IFERROR(INDEX(EmployeeData[Status], ROW() - 37), "")</f>
        <v/>
      </c>
    </row>
    <row r="4139" spans="2:10" ht="19.95" customHeight="1" x14ac:dyDescent="0.3">
      <c r="B4139" s="4" t="str" cm="1">
        <f t="array" ref="B4139">IFERROR(INDEX(EmployeeData[Employee ID], ROW() - 37), "")</f>
        <v/>
      </c>
      <c r="C4139" s="4" t="str" cm="1">
        <f t="array" ref="C4139">IFERROR(INDEX(EmployeeData[Full Name], ROW() - 37), "")</f>
        <v/>
      </c>
      <c r="D4139" s="4" t="str" cm="1">
        <f t="array" ref="D4139">IFERROR(INDEX(EmployeeData[Department], ROW() - 37), "")</f>
        <v/>
      </c>
      <c r="E4139" s="4" t="str" cm="1">
        <f t="array" ref="E4139">IFERROR(INDEX(EmployeeData[Gender], ROW() - 37), "")</f>
        <v/>
      </c>
      <c r="F4139" s="4" t="str" cm="1">
        <f t="array" ref="F4139">IFERROR(INDEX(EmployeeData[Age], ROW() - 37), "")</f>
        <v/>
      </c>
      <c r="G4139" s="6" t="str" cm="1">
        <f t="array" ref="G4139">IFERROR(INDEX(EmployeeData[Join Date], ROW() - 37), "")</f>
        <v/>
      </c>
      <c r="H4139" s="6" t="str" cm="1">
        <f t="array" ref="H4139">IFERROR(IF(INDEX(EmployeeData[Exit Date], ROW() - 37)=0, "",INDEX(EmployeeData[Exit Date], ROW() - 37)),"")</f>
        <v/>
      </c>
      <c r="I4139" s="4" t="str" cm="1">
        <f t="array" ref="I4139">IFERROR(IF(INDEX(EmployeeData[Exit Reason], ROW() - 37)=0, "",INDEX(EmployeeData[Exit Reason], ROW() - 37)),"")</f>
        <v/>
      </c>
      <c r="J4139" s="4" t="str" cm="1">
        <f t="array" ref="J4139">IFERROR(INDEX(EmployeeData[Status], ROW() - 37), "")</f>
        <v/>
      </c>
    </row>
    <row r="4140" spans="2:10" ht="19.95" customHeight="1" x14ac:dyDescent="0.3">
      <c r="B4140" s="4" t="str" cm="1">
        <f t="array" ref="B4140">IFERROR(INDEX(EmployeeData[Employee ID], ROW() - 37), "")</f>
        <v/>
      </c>
      <c r="C4140" s="4" t="str" cm="1">
        <f t="array" ref="C4140">IFERROR(INDEX(EmployeeData[Full Name], ROW() - 37), "")</f>
        <v/>
      </c>
      <c r="D4140" s="4" t="str" cm="1">
        <f t="array" ref="D4140">IFERROR(INDEX(EmployeeData[Department], ROW() - 37), "")</f>
        <v/>
      </c>
      <c r="E4140" s="4" t="str" cm="1">
        <f t="array" ref="E4140">IFERROR(INDEX(EmployeeData[Gender], ROW() - 37), "")</f>
        <v/>
      </c>
      <c r="F4140" s="4" t="str" cm="1">
        <f t="array" ref="F4140">IFERROR(INDEX(EmployeeData[Age], ROW() - 37), "")</f>
        <v/>
      </c>
      <c r="G4140" s="6" t="str" cm="1">
        <f t="array" ref="G4140">IFERROR(INDEX(EmployeeData[Join Date], ROW() - 37), "")</f>
        <v/>
      </c>
      <c r="H4140" s="6" t="str" cm="1">
        <f t="array" ref="H4140">IFERROR(IF(INDEX(EmployeeData[Exit Date], ROW() - 37)=0, "",INDEX(EmployeeData[Exit Date], ROW() - 37)),"")</f>
        <v/>
      </c>
      <c r="I4140" s="4" t="str" cm="1">
        <f t="array" ref="I4140">IFERROR(IF(INDEX(EmployeeData[Exit Reason], ROW() - 37)=0, "",INDEX(EmployeeData[Exit Reason], ROW() - 37)),"")</f>
        <v/>
      </c>
      <c r="J4140" s="4" t="str" cm="1">
        <f t="array" ref="J4140">IFERROR(INDEX(EmployeeData[Status], ROW() - 37), "")</f>
        <v/>
      </c>
    </row>
    <row r="4141" spans="2:10" ht="19.95" customHeight="1" x14ac:dyDescent="0.3">
      <c r="B4141" s="4" t="str" cm="1">
        <f t="array" ref="B4141">IFERROR(INDEX(EmployeeData[Employee ID], ROW() - 37), "")</f>
        <v/>
      </c>
      <c r="C4141" s="4" t="str" cm="1">
        <f t="array" ref="C4141">IFERROR(INDEX(EmployeeData[Full Name], ROW() - 37), "")</f>
        <v/>
      </c>
      <c r="D4141" s="4" t="str" cm="1">
        <f t="array" ref="D4141">IFERROR(INDEX(EmployeeData[Department], ROW() - 37), "")</f>
        <v/>
      </c>
      <c r="E4141" s="4" t="str" cm="1">
        <f t="array" ref="E4141">IFERROR(INDEX(EmployeeData[Gender], ROW() - 37), "")</f>
        <v/>
      </c>
      <c r="F4141" s="4" t="str" cm="1">
        <f t="array" ref="F4141">IFERROR(INDEX(EmployeeData[Age], ROW() - 37), "")</f>
        <v/>
      </c>
      <c r="G4141" s="6" t="str" cm="1">
        <f t="array" ref="G4141">IFERROR(INDEX(EmployeeData[Join Date], ROW() - 37), "")</f>
        <v/>
      </c>
      <c r="H4141" s="6" t="str" cm="1">
        <f t="array" ref="H4141">IFERROR(IF(INDEX(EmployeeData[Exit Date], ROW() - 37)=0, "",INDEX(EmployeeData[Exit Date], ROW() - 37)),"")</f>
        <v/>
      </c>
      <c r="I4141" s="4" t="str" cm="1">
        <f t="array" ref="I4141">IFERROR(IF(INDEX(EmployeeData[Exit Reason], ROW() - 37)=0, "",INDEX(EmployeeData[Exit Reason], ROW() - 37)),"")</f>
        <v/>
      </c>
      <c r="J4141" s="4" t="str" cm="1">
        <f t="array" ref="J4141">IFERROR(INDEX(EmployeeData[Status], ROW() - 37), "")</f>
        <v/>
      </c>
    </row>
    <row r="4142" spans="2:10" ht="19.95" customHeight="1" x14ac:dyDescent="0.3">
      <c r="B4142" s="4" t="str" cm="1">
        <f t="array" ref="B4142">IFERROR(INDEX(EmployeeData[Employee ID], ROW() - 37), "")</f>
        <v/>
      </c>
      <c r="C4142" s="4" t="str" cm="1">
        <f t="array" ref="C4142">IFERROR(INDEX(EmployeeData[Full Name], ROW() - 37), "")</f>
        <v/>
      </c>
      <c r="D4142" s="4" t="str" cm="1">
        <f t="array" ref="D4142">IFERROR(INDEX(EmployeeData[Department], ROW() - 37), "")</f>
        <v/>
      </c>
      <c r="E4142" s="4" t="str" cm="1">
        <f t="array" ref="E4142">IFERROR(INDEX(EmployeeData[Gender], ROW() - 37), "")</f>
        <v/>
      </c>
      <c r="F4142" s="4" t="str" cm="1">
        <f t="array" ref="F4142">IFERROR(INDEX(EmployeeData[Age], ROW() - 37), "")</f>
        <v/>
      </c>
      <c r="G4142" s="6" t="str" cm="1">
        <f t="array" ref="G4142">IFERROR(INDEX(EmployeeData[Join Date], ROW() - 37), "")</f>
        <v/>
      </c>
      <c r="H4142" s="6" t="str" cm="1">
        <f t="array" ref="H4142">IFERROR(IF(INDEX(EmployeeData[Exit Date], ROW() - 37)=0, "",INDEX(EmployeeData[Exit Date], ROW() - 37)),"")</f>
        <v/>
      </c>
      <c r="I4142" s="4" t="str" cm="1">
        <f t="array" ref="I4142">IFERROR(IF(INDEX(EmployeeData[Exit Reason], ROW() - 37)=0, "",INDEX(EmployeeData[Exit Reason], ROW() - 37)),"")</f>
        <v/>
      </c>
      <c r="J4142" s="4" t="str" cm="1">
        <f t="array" ref="J4142">IFERROR(INDEX(EmployeeData[Status], ROW() - 37), "")</f>
        <v/>
      </c>
    </row>
    <row r="4143" spans="2:10" ht="19.95" customHeight="1" x14ac:dyDescent="0.3">
      <c r="B4143" s="4" t="str" cm="1">
        <f t="array" ref="B4143">IFERROR(INDEX(EmployeeData[Employee ID], ROW() - 37), "")</f>
        <v/>
      </c>
      <c r="C4143" s="4" t="str" cm="1">
        <f t="array" ref="C4143">IFERROR(INDEX(EmployeeData[Full Name], ROW() - 37), "")</f>
        <v/>
      </c>
      <c r="D4143" s="4" t="str" cm="1">
        <f t="array" ref="D4143">IFERROR(INDEX(EmployeeData[Department], ROW() - 37), "")</f>
        <v/>
      </c>
      <c r="E4143" s="4" t="str" cm="1">
        <f t="array" ref="E4143">IFERROR(INDEX(EmployeeData[Gender], ROW() - 37), "")</f>
        <v/>
      </c>
      <c r="F4143" s="4" t="str" cm="1">
        <f t="array" ref="F4143">IFERROR(INDEX(EmployeeData[Age], ROW() - 37), "")</f>
        <v/>
      </c>
      <c r="G4143" s="6" t="str" cm="1">
        <f t="array" ref="G4143">IFERROR(INDEX(EmployeeData[Join Date], ROW() - 37), "")</f>
        <v/>
      </c>
      <c r="H4143" s="6" t="str" cm="1">
        <f t="array" ref="H4143">IFERROR(IF(INDEX(EmployeeData[Exit Date], ROW() - 37)=0, "",INDEX(EmployeeData[Exit Date], ROW() - 37)),"")</f>
        <v/>
      </c>
      <c r="I4143" s="4" t="str" cm="1">
        <f t="array" ref="I4143">IFERROR(IF(INDEX(EmployeeData[Exit Reason], ROW() - 37)=0, "",INDEX(EmployeeData[Exit Reason], ROW() - 37)),"")</f>
        <v/>
      </c>
      <c r="J4143" s="4" t="str" cm="1">
        <f t="array" ref="J4143">IFERROR(INDEX(EmployeeData[Status], ROW() - 37), "")</f>
        <v/>
      </c>
    </row>
    <row r="4144" spans="2:10" ht="19.95" customHeight="1" x14ac:dyDescent="0.3">
      <c r="B4144" s="4" t="str" cm="1">
        <f t="array" ref="B4144">IFERROR(INDEX(EmployeeData[Employee ID], ROW() - 37), "")</f>
        <v/>
      </c>
      <c r="C4144" s="4" t="str" cm="1">
        <f t="array" ref="C4144">IFERROR(INDEX(EmployeeData[Full Name], ROW() - 37), "")</f>
        <v/>
      </c>
      <c r="D4144" s="4" t="str" cm="1">
        <f t="array" ref="D4144">IFERROR(INDEX(EmployeeData[Department], ROW() - 37), "")</f>
        <v/>
      </c>
      <c r="E4144" s="4" t="str" cm="1">
        <f t="array" ref="E4144">IFERROR(INDEX(EmployeeData[Gender], ROW() - 37), "")</f>
        <v/>
      </c>
      <c r="F4144" s="4" t="str" cm="1">
        <f t="array" ref="F4144">IFERROR(INDEX(EmployeeData[Age], ROW() - 37), "")</f>
        <v/>
      </c>
      <c r="G4144" s="6" t="str" cm="1">
        <f t="array" ref="G4144">IFERROR(INDEX(EmployeeData[Join Date], ROW() - 37), "")</f>
        <v/>
      </c>
      <c r="H4144" s="6" t="str" cm="1">
        <f t="array" ref="H4144">IFERROR(IF(INDEX(EmployeeData[Exit Date], ROW() - 37)=0, "",INDEX(EmployeeData[Exit Date], ROW() - 37)),"")</f>
        <v/>
      </c>
      <c r="I4144" s="4" t="str" cm="1">
        <f t="array" ref="I4144">IFERROR(IF(INDEX(EmployeeData[Exit Reason], ROW() - 37)=0, "",INDEX(EmployeeData[Exit Reason], ROW() - 37)),"")</f>
        <v/>
      </c>
      <c r="J4144" s="4" t="str" cm="1">
        <f t="array" ref="J4144">IFERROR(INDEX(EmployeeData[Status], ROW() - 37), "")</f>
        <v/>
      </c>
    </row>
    <row r="4145" spans="2:10" ht="19.95" customHeight="1" x14ac:dyDescent="0.3">
      <c r="B4145" s="4" t="str" cm="1">
        <f t="array" ref="B4145">IFERROR(INDEX(EmployeeData[Employee ID], ROW() - 37), "")</f>
        <v/>
      </c>
      <c r="C4145" s="4" t="str" cm="1">
        <f t="array" ref="C4145">IFERROR(INDEX(EmployeeData[Full Name], ROW() - 37), "")</f>
        <v/>
      </c>
      <c r="D4145" s="4" t="str" cm="1">
        <f t="array" ref="D4145">IFERROR(INDEX(EmployeeData[Department], ROW() - 37), "")</f>
        <v/>
      </c>
      <c r="E4145" s="4" t="str" cm="1">
        <f t="array" ref="E4145">IFERROR(INDEX(EmployeeData[Gender], ROW() - 37), "")</f>
        <v/>
      </c>
      <c r="F4145" s="4" t="str" cm="1">
        <f t="array" ref="F4145">IFERROR(INDEX(EmployeeData[Age], ROW() - 37), "")</f>
        <v/>
      </c>
      <c r="G4145" s="6" t="str" cm="1">
        <f t="array" ref="G4145">IFERROR(INDEX(EmployeeData[Join Date], ROW() - 37), "")</f>
        <v/>
      </c>
      <c r="H4145" s="6" t="str" cm="1">
        <f t="array" ref="H4145">IFERROR(IF(INDEX(EmployeeData[Exit Date], ROW() - 37)=0, "",INDEX(EmployeeData[Exit Date], ROW() - 37)),"")</f>
        <v/>
      </c>
      <c r="I4145" s="4" t="str" cm="1">
        <f t="array" ref="I4145">IFERROR(IF(INDEX(EmployeeData[Exit Reason], ROW() - 37)=0, "",INDEX(EmployeeData[Exit Reason], ROW() - 37)),"")</f>
        <v/>
      </c>
      <c r="J4145" s="4" t="str" cm="1">
        <f t="array" ref="J4145">IFERROR(INDEX(EmployeeData[Status], ROW() - 37), "")</f>
        <v/>
      </c>
    </row>
    <row r="4146" spans="2:10" ht="19.95" customHeight="1" x14ac:dyDescent="0.3">
      <c r="B4146" s="4" t="str" cm="1">
        <f t="array" ref="B4146">IFERROR(INDEX(EmployeeData[Employee ID], ROW() - 37), "")</f>
        <v/>
      </c>
      <c r="C4146" s="4" t="str" cm="1">
        <f t="array" ref="C4146">IFERROR(INDEX(EmployeeData[Full Name], ROW() - 37), "")</f>
        <v/>
      </c>
      <c r="D4146" s="4" t="str" cm="1">
        <f t="array" ref="D4146">IFERROR(INDEX(EmployeeData[Department], ROW() - 37), "")</f>
        <v/>
      </c>
      <c r="E4146" s="4" t="str" cm="1">
        <f t="array" ref="E4146">IFERROR(INDEX(EmployeeData[Gender], ROW() - 37), "")</f>
        <v/>
      </c>
      <c r="F4146" s="4" t="str" cm="1">
        <f t="array" ref="F4146">IFERROR(INDEX(EmployeeData[Age], ROW() - 37), "")</f>
        <v/>
      </c>
      <c r="G4146" s="6" t="str" cm="1">
        <f t="array" ref="G4146">IFERROR(INDEX(EmployeeData[Join Date], ROW() - 37), "")</f>
        <v/>
      </c>
      <c r="H4146" s="6" t="str" cm="1">
        <f t="array" ref="H4146">IFERROR(IF(INDEX(EmployeeData[Exit Date], ROW() - 37)=0, "",INDEX(EmployeeData[Exit Date], ROW() - 37)),"")</f>
        <v/>
      </c>
      <c r="I4146" s="4" t="str" cm="1">
        <f t="array" ref="I4146">IFERROR(IF(INDEX(EmployeeData[Exit Reason], ROW() - 37)=0, "",INDEX(EmployeeData[Exit Reason], ROW() - 37)),"")</f>
        <v/>
      </c>
      <c r="J4146" s="4" t="str" cm="1">
        <f t="array" ref="J4146">IFERROR(INDEX(EmployeeData[Status], ROW() - 37), "")</f>
        <v/>
      </c>
    </row>
    <row r="4147" spans="2:10" ht="19.95" customHeight="1" x14ac:dyDescent="0.3">
      <c r="B4147" s="4" t="str" cm="1">
        <f t="array" ref="B4147">IFERROR(INDEX(EmployeeData[Employee ID], ROW() - 37), "")</f>
        <v/>
      </c>
      <c r="C4147" s="4" t="str" cm="1">
        <f t="array" ref="C4147">IFERROR(INDEX(EmployeeData[Full Name], ROW() - 37), "")</f>
        <v/>
      </c>
      <c r="D4147" s="4" t="str" cm="1">
        <f t="array" ref="D4147">IFERROR(INDEX(EmployeeData[Department], ROW() - 37), "")</f>
        <v/>
      </c>
      <c r="E4147" s="4" t="str" cm="1">
        <f t="array" ref="E4147">IFERROR(INDEX(EmployeeData[Gender], ROW() - 37), "")</f>
        <v/>
      </c>
      <c r="F4147" s="4" t="str" cm="1">
        <f t="array" ref="F4147">IFERROR(INDEX(EmployeeData[Age], ROW() - 37), "")</f>
        <v/>
      </c>
      <c r="G4147" s="6" t="str" cm="1">
        <f t="array" ref="G4147">IFERROR(INDEX(EmployeeData[Join Date], ROW() - 37), "")</f>
        <v/>
      </c>
      <c r="H4147" s="6" t="str" cm="1">
        <f t="array" ref="H4147">IFERROR(IF(INDEX(EmployeeData[Exit Date], ROW() - 37)=0, "",INDEX(EmployeeData[Exit Date], ROW() - 37)),"")</f>
        <v/>
      </c>
      <c r="I4147" s="4" t="str" cm="1">
        <f t="array" ref="I4147">IFERROR(IF(INDEX(EmployeeData[Exit Reason], ROW() - 37)=0, "",INDEX(EmployeeData[Exit Reason], ROW() - 37)),"")</f>
        <v/>
      </c>
      <c r="J4147" s="4" t="str" cm="1">
        <f t="array" ref="J4147">IFERROR(INDEX(EmployeeData[Status], ROW() - 37), "")</f>
        <v/>
      </c>
    </row>
    <row r="4148" spans="2:10" ht="19.95" customHeight="1" x14ac:dyDescent="0.3">
      <c r="B4148" s="4" t="str" cm="1">
        <f t="array" ref="B4148">IFERROR(INDEX(EmployeeData[Employee ID], ROW() - 37), "")</f>
        <v/>
      </c>
      <c r="C4148" s="4" t="str" cm="1">
        <f t="array" ref="C4148">IFERROR(INDEX(EmployeeData[Full Name], ROW() - 37), "")</f>
        <v/>
      </c>
      <c r="D4148" s="4" t="str" cm="1">
        <f t="array" ref="D4148">IFERROR(INDEX(EmployeeData[Department], ROW() - 37), "")</f>
        <v/>
      </c>
      <c r="E4148" s="4" t="str" cm="1">
        <f t="array" ref="E4148">IFERROR(INDEX(EmployeeData[Gender], ROW() - 37), "")</f>
        <v/>
      </c>
      <c r="F4148" s="4" t="str" cm="1">
        <f t="array" ref="F4148">IFERROR(INDEX(EmployeeData[Age], ROW() - 37), "")</f>
        <v/>
      </c>
      <c r="G4148" s="6" t="str" cm="1">
        <f t="array" ref="G4148">IFERROR(INDEX(EmployeeData[Join Date], ROW() - 37), "")</f>
        <v/>
      </c>
      <c r="H4148" s="6" t="str" cm="1">
        <f t="array" ref="H4148">IFERROR(IF(INDEX(EmployeeData[Exit Date], ROW() - 37)=0, "",INDEX(EmployeeData[Exit Date], ROW() - 37)),"")</f>
        <v/>
      </c>
      <c r="I4148" s="4" t="str" cm="1">
        <f t="array" ref="I4148">IFERROR(IF(INDEX(EmployeeData[Exit Reason], ROW() - 37)=0, "",INDEX(EmployeeData[Exit Reason], ROW() - 37)),"")</f>
        <v/>
      </c>
      <c r="J4148" s="4" t="str" cm="1">
        <f t="array" ref="J4148">IFERROR(INDEX(EmployeeData[Status], ROW() - 37), "")</f>
        <v/>
      </c>
    </row>
    <row r="4149" spans="2:10" ht="19.95" customHeight="1" x14ac:dyDescent="0.3">
      <c r="B4149" s="4" t="str" cm="1">
        <f t="array" ref="B4149">IFERROR(INDEX(EmployeeData[Employee ID], ROW() - 37), "")</f>
        <v/>
      </c>
      <c r="C4149" s="4" t="str" cm="1">
        <f t="array" ref="C4149">IFERROR(INDEX(EmployeeData[Full Name], ROW() - 37), "")</f>
        <v/>
      </c>
      <c r="D4149" s="4" t="str" cm="1">
        <f t="array" ref="D4149">IFERROR(INDEX(EmployeeData[Department], ROW() - 37), "")</f>
        <v/>
      </c>
      <c r="E4149" s="4" t="str" cm="1">
        <f t="array" ref="E4149">IFERROR(INDEX(EmployeeData[Gender], ROW() - 37), "")</f>
        <v/>
      </c>
      <c r="F4149" s="4" t="str" cm="1">
        <f t="array" ref="F4149">IFERROR(INDEX(EmployeeData[Age], ROW() - 37), "")</f>
        <v/>
      </c>
      <c r="G4149" s="6" t="str" cm="1">
        <f t="array" ref="G4149">IFERROR(INDEX(EmployeeData[Join Date], ROW() - 37), "")</f>
        <v/>
      </c>
      <c r="H4149" s="6" t="str" cm="1">
        <f t="array" ref="H4149">IFERROR(IF(INDEX(EmployeeData[Exit Date], ROW() - 37)=0, "",INDEX(EmployeeData[Exit Date], ROW() - 37)),"")</f>
        <v/>
      </c>
      <c r="I4149" s="4" t="str" cm="1">
        <f t="array" ref="I4149">IFERROR(IF(INDEX(EmployeeData[Exit Reason], ROW() - 37)=0, "",INDEX(EmployeeData[Exit Reason], ROW() - 37)),"")</f>
        <v/>
      </c>
      <c r="J4149" s="4" t="str" cm="1">
        <f t="array" ref="J4149">IFERROR(INDEX(EmployeeData[Status], ROW() - 37), "")</f>
        <v/>
      </c>
    </row>
    <row r="4150" spans="2:10" ht="19.95" customHeight="1" x14ac:dyDescent="0.3">
      <c r="B4150" s="4" t="str" cm="1">
        <f t="array" ref="B4150">IFERROR(INDEX(EmployeeData[Employee ID], ROW() - 37), "")</f>
        <v/>
      </c>
      <c r="C4150" s="4" t="str" cm="1">
        <f t="array" ref="C4150">IFERROR(INDEX(EmployeeData[Full Name], ROW() - 37), "")</f>
        <v/>
      </c>
      <c r="D4150" s="4" t="str" cm="1">
        <f t="array" ref="D4150">IFERROR(INDEX(EmployeeData[Department], ROW() - 37), "")</f>
        <v/>
      </c>
      <c r="E4150" s="4" t="str" cm="1">
        <f t="array" ref="E4150">IFERROR(INDEX(EmployeeData[Gender], ROW() - 37), "")</f>
        <v/>
      </c>
      <c r="F4150" s="4" t="str" cm="1">
        <f t="array" ref="F4150">IFERROR(INDEX(EmployeeData[Age], ROW() - 37), "")</f>
        <v/>
      </c>
      <c r="G4150" s="6" t="str" cm="1">
        <f t="array" ref="G4150">IFERROR(INDEX(EmployeeData[Join Date], ROW() - 37), "")</f>
        <v/>
      </c>
      <c r="H4150" s="6" t="str" cm="1">
        <f t="array" ref="H4150">IFERROR(IF(INDEX(EmployeeData[Exit Date], ROW() - 37)=0, "",INDEX(EmployeeData[Exit Date], ROW() - 37)),"")</f>
        <v/>
      </c>
      <c r="I4150" s="4" t="str" cm="1">
        <f t="array" ref="I4150">IFERROR(IF(INDEX(EmployeeData[Exit Reason], ROW() - 37)=0, "",INDEX(EmployeeData[Exit Reason], ROW() - 37)),"")</f>
        <v/>
      </c>
      <c r="J4150" s="4" t="str" cm="1">
        <f t="array" ref="J4150">IFERROR(INDEX(EmployeeData[Status], ROW() - 37), "")</f>
        <v/>
      </c>
    </row>
    <row r="4151" spans="2:10" ht="19.95" customHeight="1" x14ac:dyDescent="0.3">
      <c r="B4151" s="4" t="str" cm="1">
        <f t="array" ref="B4151">IFERROR(INDEX(EmployeeData[Employee ID], ROW() - 37), "")</f>
        <v/>
      </c>
      <c r="C4151" s="4" t="str" cm="1">
        <f t="array" ref="C4151">IFERROR(INDEX(EmployeeData[Full Name], ROW() - 37), "")</f>
        <v/>
      </c>
      <c r="D4151" s="4" t="str" cm="1">
        <f t="array" ref="D4151">IFERROR(INDEX(EmployeeData[Department], ROW() - 37), "")</f>
        <v/>
      </c>
      <c r="E4151" s="4" t="str" cm="1">
        <f t="array" ref="E4151">IFERROR(INDEX(EmployeeData[Gender], ROW() - 37), "")</f>
        <v/>
      </c>
      <c r="F4151" s="4" t="str" cm="1">
        <f t="array" ref="F4151">IFERROR(INDEX(EmployeeData[Age], ROW() - 37), "")</f>
        <v/>
      </c>
      <c r="G4151" s="6" t="str" cm="1">
        <f t="array" ref="G4151">IFERROR(INDEX(EmployeeData[Join Date], ROW() - 37), "")</f>
        <v/>
      </c>
      <c r="H4151" s="6" t="str" cm="1">
        <f t="array" ref="H4151">IFERROR(IF(INDEX(EmployeeData[Exit Date], ROW() - 37)=0, "",INDEX(EmployeeData[Exit Date], ROW() - 37)),"")</f>
        <v/>
      </c>
      <c r="I4151" s="4" t="str" cm="1">
        <f t="array" ref="I4151">IFERROR(IF(INDEX(EmployeeData[Exit Reason], ROW() - 37)=0, "",INDEX(EmployeeData[Exit Reason], ROW() - 37)),"")</f>
        <v/>
      </c>
      <c r="J4151" s="4" t="str" cm="1">
        <f t="array" ref="J4151">IFERROR(INDEX(EmployeeData[Status], ROW() - 37), "")</f>
        <v/>
      </c>
    </row>
    <row r="4152" spans="2:10" ht="19.95" customHeight="1" x14ac:dyDescent="0.3">
      <c r="B4152" s="4" t="str" cm="1">
        <f t="array" ref="B4152">IFERROR(INDEX(EmployeeData[Employee ID], ROW() - 37), "")</f>
        <v/>
      </c>
      <c r="C4152" s="4" t="str" cm="1">
        <f t="array" ref="C4152">IFERROR(INDEX(EmployeeData[Full Name], ROW() - 37), "")</f>
        <v/>
      </c>
      <c r="D4152" s="4" t="str" cm="1">
        <f t="array" ref="D4152">IFERROR(INDEX(EmployeeData[Department], ROW() - 37), "")</f>
        <v/>
      </c>
      <c r="E4152" s="4" t="str" cm="1">
        <f t="array" ref="E4152">IFERROR(INDEX(EmployeeData[Gender], ROW() - 37), "")</f>
        <v/>
      </c>
      <c r="F4152" s="4" t="str" cm="1">
        <f t="array" ref="F4152">IFERROR(INDEX(EmployeeData[Age], ROW() - 37), "")</f>
        <v/>
      </c>
      <c r="G4152" s="6" t="str" cm="1">
        <f t="array" ref="G4152">IFERROR(INDEX(EmployeeData[Join Date], ROW() - 37), "")</f>
        <v/>
      </c>
      <c r="H4152" s="6" t="str" cm="1">
        <f t="array" ref="H4152">IFERROR(IF(INDEX(EmployeeData[Exit Date], ROW() - 37)=0, "",INDEX(EmployeeData[Exit Date], ROW() - 37)),"")</f>
        <v/>
      </c>
      <c r="I4152" s="4" t="str" cm="1">
        <f t="array" ref="I4152">IFERROR(IF(INDEX(EmployeeData[Exit Reason], ROW() - 37)=0, "",INDEX(EmployeeData[Exit Reason], ROW() - 37)),"")</f>
        <v/>
      </c>
      <c r="J4152" s="4" t="str" cm="1">
        <f t="array" ref="J4152">IFERROR(INDEX(EmployeeData[Status], ROW() - 37), "")</f>
        <v/>
      </c>
    </row>
    <row r="4153" spans="2:10" ht="19.95" customHeight="1" x14ac:dyDescent="0.3">
      <c r="B4153" s="4" t="str" cm="1">
        <f t="array" ref="B4153">IFERROR(INDEX(EmployeeData[Employee ID], ROW() - 37), "")</f>
        <v/>
      </c>
      <c r="C4153" s="4" t="str" cm="1">
        <f t="array" ref="C4153">IFERROR(INDEX(EmployeeData[Full Name], ROW() - 37), "")</f>
        <v/>
      </c>
      <c r="D4153" s="4" t="str" cm="1">
        <f t="array" ref="D4153">IFERROR(INDEX(EmployeeData[Department], ROW() - 37), "")</f>
        <v/>
      </c>
      <c r="E4153" s="4" t="str" cm="1">
        <f t="array" ref="E4153">IFERROR(INDEX(EmployeeData[Gender], ROW() - 37), "")</f>
        <v/>
      </c>
      <c r="F4153" s="4" t="str" cm="1">
        <f t="array" ref="F4153">IFERROR(INDEX(EmployeeData[Age], ROW() - 37), "")</f>
        <v/>
      </c>
      <c r="G4153" s="6" t="str" cm="1">
        <f t="array" ref="G4153">IFERROR(INDEX(EmployeeData[Join Date], ROW() - 37), "")</f>
        <v/>
      </c>
      <c r="H4153" s="6" t="str" cm="1">
        <f t="array" ref="H4153">IFERROR(IF(INDEX(EmployeeData[Exit Date], ROW() - 37)=0, "",INDEX(EmployeeData[Exit Date], ROW() - 37)),"")</f>
        <v/>
      </c>
      <c r="I4153" s="4" t="str" cm="1">
        <f t="array" ref="I4153">IFERROR(IF(INDEX(EmployeeData[Exit Reason], ROW() - 37)=0, "",INDEX(EmployeeData[Exit Reason], ROW() - 37)),"")</f>
        <v/>
      </c>
      <c r="J4153" s="4" t="str" cm="1">
        <f t="array" ref="J4153">IFERROR(INDEX(EmployeeData[Status], ROW() - 37), "")</f>
        <v/>
      </c>
    </row>
    <row r="4154" spans="2:10" ht="19.95" customHeight="1" x14ac:dyDescent="0.3">
      <c r="B4154" s="4" t="str" cm="1">
        <f t="array" ref="B4154">IFERROR(INDEX(EmployeeData[Employee ID], ROW() - 37), "")</f>
        <v/>
      </c>
      <c r="C4154" s="4" t="str" cm="1">
        <f t="array" ref="C4154">IFERROR(INDEX(EmployeeData[Full Name], ROW() - 37), "")</f>
        <v/>
      </c>
      <c r="D4154" s="4" t="str" cm="1">
        <f t="array" ref="D4154">IFERROR(INDEX(EmployeeData[Department], ROW() - 37), "")</f>
        <v/>
      </c>
      <c r="E4154" s="4" t="str" cm="1">
        <f t="array" ref="E4154">IFERROR(INDEX(EmployeeData[Gender], ROW() - 37), "")</f>
        <v/>
      </c>
      <c r="F4154" s="4" t="str" cm="1">
        <f t="array" ref="F4154">IFERROR(INDEX(EmployeeData[Age], ROW() - 37), "")</f>
        <v/>
      </c>
      <c r="G4154" s="6" t="str" cm="1">
        <f t="array" ref="G4154">IFERROR(INDEX(EmployeeData[Join Date], ROW() - 37), "")</f>
        <v/>
      </c>
      <c r="H4154" s="6" t="str" cm="1">
        <f t="array" ref="H4154">IFERROR(IF(INDEX(EmployeeData[Exit Date], ROW() - 37)=0, "",INDEX(EmployeeData[Exit Date], ROW() - 37)),"")</f>
        <v/>
      </c>
      <c r="I4154" s="4" t="str" cm="1">
        <f t="array" ref="I4154">IFERROR(IF(INDEX(EmployeeData[Exit Reason], ROW() - 37)=0, "",INDEX(EmployeeData[Exit Reason], ROW() - 37)),"")</f>
        <v/>
      </c>
      <c r="J4154" s="4" t="str" cm="1">
        <f t="array" ref="J4154">IFERROR(INDEX(EmployeeData[Status], ROW() - 37), "")</f>
        <v/>
      </c>
    </row>
    <row r="4155" spans="2:10" ht="19.95" customHeight="1" x14ac:dyDescent="0.3">
      <c r="B4155" s="4" t="str" cm="1">
        <f t="array" ref="B4155">IFERROR(INDEX(EmployeeData[Employee ID], ROW() - 37), "")</f>
        <v/>
      </c>
      <c r="C4155" s="4" t="str" cm="1">
        <f t="array" ref="C4155">IFERROR(INDEX(EmployeeData[Full Name], ROW() - 37), "")</f>
        <v/>
      </c>
      <c r="D4155" s="4" t="str" cm="1">
        <f t="array" ref="D4155">IFERROR(INDEX(EmployeeData[Department], ROW() - 37), "")</f>
        <v/>
      </c>
      <c r="E4155" s="4" t="str" cm="1">
        <f t="array" ref="E4155">IFERROR(INDEX(EmployeeData[Gender], ROW() - 37), "")</f>
        <v/>
      </c>
      <c r="F4155" s="4" t="str" cm="1">
        <f t="array" ref="F4155">IFERROR(INDEX(EmployeeData[Age], ROW() - 37), "")</f>
        <v/>
      </c>
      <c r="G4155" s="6" t="str" cm="1">
        <f t="array" ref="G4155">IFERROR(INDEX(EmployeeData[Join Date], ROW() - 37), "")</f>
        <v/>
      </c>
      <c r="H4155" s="6" t="str" cm="1">
        <f t="array" ref="H4155">IFERROR(IF(INDEX(EmployeeData[Exit Date], ROW() - 37)=0, "",INDEX(EmployeeData[Exit Date], ROW() - 37)),"")</f>
        <v/>
      </c>
      <c r="I4155" s="4" t="str" cm="1">
        <f t="array" ref="I4155">IFERROR(IF(INDEX(EmployeeData[Exit Reason], ROW() - 37)=0, "",INDEX(EmployeeData[Exit Reason], ROW() - 37)),"")</f>
        <v/>
      </c>
      <c r="J4155" s="4" t="str" cm="1">
        <f t="array" ref="J4155">IFERROR(INDEX(EmployeeData[Status], ROW() - 37), "")</f>
        <v/>
      </c>
    </row>
    <row r="4156" spans="2:10" ht="19.95" customHeight="1" x14ac:dyDescent="0.3">
      <c r="B4156" s="4" t="str" cm="1">
        <f t="array" ref="B4156">IFERROR(INDEX(EmployeeData[Employee ID], ROW() - 37), "")</f>
        <v/>
      </c>
      <c r="C4156" s="4" t="str" cm="1">
        <f t="array" ref="C4156">IFERROR(INDEX(EmployeeData[Full Name], ROW() - 37), "")</f>
        <v/>
      </c>
      <c r="D4156" s="4" t="str" cm="1">
        <f t="array" ref="D4156">IFERROR(INDEX(EmployeeData[Department], ROW() - 37), "")</f>
        <v/>
      </c>
      <c r="E4156" s="4" t="str" cm="1">
        <f t="array" ref="E4156">IFERROR(INDEX(EmployeeData[Gender], ROW() - 37), "")</f>
        <v/>
      </c>
      <c r="F4156" s="4" t="str" cm="1">
        <f t="array" ref="F4156">IFERROR(INDEX(EmployeeData[Age], ROW() - 37), "")</f>
        <v/>
      </c>
      <c r="G4156" s="6" t="str" cm="1">
        <f t="array" ref="G4156">IFERROR(INDEX(EmployeeData[Join Date], ROW() - 37), "")</f>
        <v/>
      </c>
      <c r="H4156" s="6" t="str" cm="1">
        <f t="array" ref="H4156">IFERROR(IF(INDEX(EmployeeData[Exit Date], ROW() - 37)=0, "",INDEX(EmployeeData[Exit Date], ROW() - 37)),"")</f>
        <v/>
      </c>
      <c r="I4156" s="4" t="str" cm="1">
        <f t="array" ref="I4156">IFERROR(IF(INDEX(EmployeeData[Exit Reason], ROW() - 37)=0, "",INDEX(EmployeeData[Exit Reason], ROW() - 37)),"")</f>
        <v/>
      </c>
      <c r="J4156" s="4" t="str" cm="1">
        <f t="array" ref="J4156">IFERROR(INDEX(EmployeeData[Status], ROW() - 37), "")</f>
        <v/>
      </c>
    </row>
    <row r="4157" spans="2:10" ht="19.95" customHeight="1" x14ac:dyDescent="0.3">
      <c r="B4157" s="4" t="str" cm="1">
        <f t="array" ref="B4157">IFERROR(INDEX(EmployeeData[Employee ID], ROW() - 37), "")</f>
        <v/>
      </c>
      <c r="C4157" s="4" t="str" cm="1">
        <f t="array" ref="C4157">IFERROR(INDEX(EmployeeData[Full Name], ROW() - 37), "")</f>
        <v/>
      </c>
      <c r="D4157" s="4" t="str" cm="1">
        <f t="array" ref="D4157">IFERROR(INDEX(EmployeeData[Department], ROW() - 37), "")</f>
        <v/>
      </c>
      <c r="E4157" s="4" t="str" cm="1">
        <f t="array" ref="E4157">IFERROR(INDEX(EmployeeData[Gender], ROW() - 37), "")</f>
        <v/>
      </c>
      <c r="F4157" s="4" t="str" cm="1">
        <f t="array" ref="F4157">IFERROR(INDEX(EmployeeData[Age], ROW() - 37), "")</f>
        <v/>
      </c>
      <c r="G4157" s="6" t="str" cm="1">
        <f t="array" ref="G4157">IFERROR(INDEX(EmployeeData[Join Date], ROW() - 37), "")</f>
        <v/>
      </c>
      <c r="H4157" s="6" t="str" cm="1">
        <f t="array" ref="H4157">IFERROR(IF(INDEX(EmployeeData[Exit Date], ROW() - 37)=0, "",INDEX(EmployeeData[Exit Date], ROW() - 37)),"")</f>
        <v/>
      </c>
      <c r="I4157" s="4" t="str" cm="1">
        <f t="array" ref="I4157">IFERROR(IF(INDEX(EmployeeData[Exit Reason], ROW() - 37)=0, "",INDEX(EmployeeData[Exit Reason], ROW() - 37)),"")</f>
        <v/>
      </c>
      <c r="J4157" s="4" t="str" cm="1">
        <f t="array" ref="J4157">IFERROR(INDEX(EmployeeData[Status], ROW() - 37), "")</f>
        <v/>
      </c>
    </row>
    <row r="4158" spans="2:10" ht="19.95" customHeight="1" x14ac:dyDescent="0.3">
      <c r="B4158" s="4" t="str" cm="1">
        <f t="array" ref="B4158">IFERROR(INDEX(EmployeeData[Employee ID], ROW() - 37), "")</f>
        <v/>
      </c>
      <c r="C4158" s="4" t="str" cm="1">
        <f t="array" ref="C4158">IFERROR(INDEX(EmployeeData[Full Name], ROW() - 37), "")</f>
        <v/>
      </c>
      <c r="D4158" s="4" t="str" cm="1">
        <f t="array" ref="D4158">IFERROR(INDEX(EmployeeData[Department], ROW() - 37), "")</f>
        <v/>
      </c>
      <c r="E4158" s="4" t="str" cm="1">
        <f t="array" ref="E4158">IFERROR(INDEX(EmployeeData[Gender], ROW() - 37), "")</f>
        <v/>
      </c>
      <c r="F4158" s="4" t="str" cm="1">
        <f t="array" ref="F4158">IFERROR(INDEX(EmployeeData[Age], ROW() - 37), "")</f>
        <v/>
      </c>
      <c r="G4158" s="6" t="str" cm="1">
        <f t="array" ref="G4158">IFERROR(INDEX(EmployeeData[Join Date], ROW() - 37), "")</f>
        <v/>
      </c>
      <c r="H4158" s="6" t="str" cm="1">
        <f t="array" ref="H4158">IFERROR(IF(INDEX(EmployeeData[Exit Date], ROW() - 37)=0, "",INDEX(EmployeeData[Exit Date], ROW() - 37)),"")</f>
        <v/>
      </c>
      <c r="I4158" s="4" t="str" cm="1">
        <f t="array" ref="I4158">IFERROR(IF(INDEX(EmployeeData[Exit Reason], ROW() - 37)=0, "",INDEX(EmployeeData[Exit Reason], ROW() - 37)),"")</f>
        <v/>
      </c>
      <c r="J4158" s="4" t="str" cm="1">
        <f t="array" ref="J4158">IFERROR(INDEX(EmployeeData[Status], ROW() - 37), "")</f>
        <v/>
      </c>
    </row>
    <row r="4159" spans="2:10" ht="19.95" customHeight="1" x14ac:dyDescent="0.3">
      <c r="B4159" s="4" t="str" cm="1">
        <f t="array" ref="B4159">IFERROR(INDEX(EmployeeData[Employee ID], ROW() - 37), "")</f>
        <v/>
      </c>
      <c r="C4159" s="4" t="str" cm="1">
        <f t="array" ref="C4159">IFERROR(INDEX(EmployeeData[Full Name], ROW() - 37), "")</f>
        <v/>
      </c>
      <c r="D4159" s="4" t="str" cm="1">
        <f t="array" ref="D4159">IFERROR(INDEX(EmployeeData[Department], ROW() - 37), "")</f>
        <v/>
      </c>
      <c r="E4159" s="4" t="str" cm="1">
        <f t="array" ref="E4159">IFERROR(INDEX(EmployeeData[Gender], ROW() - 37), "")</f>
        <v/>
      </c>
      <c r="F4159" s="4" t="str" cm="1">
        <f t="array" ref="F4159">IFERROR(INDEX(EmployeeData[Age], ROW() - 37), "")</f>
        <v/>
      </c>
      <c r="G4159" s="6" t="str" cm="1">
        <f t="array" ref="G4159">IFERROR(INDEX(EmployeeData[Join Date], ROW() - 37), "")</f>
        <v/>
      </c>
      <c r="H4159" s="6" t="str" cm="1">
        <f t="array" ref="H4159">IFERROR(IF(INDEX(EmployeeData[Exit Date], ROW() - 37)=0, "",INDEX(EmployeeData[Exit Date], ROW() - 37)),"")</f>
        <v/>
      </c>
      <c r="I4159" s="4" t="str" cm="1">
        <f t="array" ref="I4159">IFERROR(IF(INDEX(EmployeeData[Exit Reason], ROW() - 37)=0, "",INDEX(EmployeeData[Exit Reason], ROW() - 37)),"")</f>
        <v/>
      </c>
      <c r="J4159" s="4" t="str" cm="1">
        <f t="array" ref="J4159">IFERROR(INDEX(EmployeeData[Status], ROW() - 37), "")</f>
        <v/>
      </c>
    </row>
    <row r="4160" spans="2:10" ht="19.95" customHeight="1" x14ac:dyDescent="0.3">
      <c r="B4160" s="4" t="str" cm="1">
        <f t="array" ref="B4160">IFERROR(INDEX(EmployeeData[Employee ID], ROW() - 37), "")</f>
        <v/>
      </c>
      <c r="C4160" s="4" t="str" cm="1">
        <f t="array" ref="C4160">IFERROR(INDEX(EmployeeData[Full Name], ROW() - 37), "")</f>
        <v/>
      </c>
      <c r="D4160" s="4" t="str" cm="1">
        <f t="array" ref="D4160">IFERROR(INDEX(EmployeeData[Department], ROW() - 37), "")</f>
        <v/>
      </c>
      <c r="E4160" s="4" t="str" cm="1">
        <f t="array" ref="E4160">IFERROR(INDEX(EmployeeData[Gender], ROW() - 37), "")</f>
        <v/>
      </c>
      <c r="F4160" s="4" t="str" cm="1">
        <f t="array" ref="F4160">IFERROR(INDEX(EmployeeData[Age], ROW() - 37), "")</f>
        <v/>
      </c>
      <c r="G4160" s="6" t="str" cm="1">
        <f t="array" ref="G4160">IFERROR(INDEX(EmployeeData[Join Date], ROW() - 37), "")</f>
        <v/>
      </c>
      <c r="H4160" s="6" t="str" cm="1">
        <f t="array" ref="H4160">IFERROR(IF(INDEX(EmployeeData[Exit Date], ROW() - 37)=0, "",INDEX(EmployeeData[Exit Date], ROW() - 37)),"")</f>
        <v/>
      </c>
      <c r="I4160" s="4" t="str" cm="1">
        <f t="array" ref="I4160">IFERROR(IF(INDEX(EmployeeData[Exit Reason], ROW() - 37)=0, "",INDEX(EmployeeData[Exit Reason], ROW() - 37)),"")</f>
        <v/>
      </c>
      <c r="J4160" s="4" t="str" cm="1">
        <f t="array" ref="J4160">IFERROR(INDEX(EmployeeData[Status], ROW() - 37), "")</f>
        <v/>
      </c>
    </row>
    <row r="4161" spans="2:10" ht="19.95" customHeight="1" x14ac:dyDescent="0.3">
      <c r="B4161" s="4" t="str" cm="1">
        <f t="array" ref="B4161">IFERROR(INDEX(EmployeeData[Employee ID], ROW() - 37), "")</f>
        <v/>
      </c>
      <c r="C4161" s="4" t="str" cm="1">
        <f t="array" ref="C4161">IFERROR(INDEX(EmployeeData[Full Name], ROW() - 37), "")</f>
        <v/>
      </c>
      <c r="D4161" s="4" t="str" cm="1">
        <f t="array" ref="D4161">IFERROR(INDEX(EmployeeData[Department], ROW() - 37), "")</f>
        <v/>
      </c>
      <c r="E4161" s="4" t="str" cm="1">
        <f t="array" ref="E4161">IFERROR(INDEX(EmployeeData[Gender], ROW() - 37), "")</f>
        <v/>
      </c>
      <c r="F4161" s="4" t="str" cm="1">
        <f t="array" ref="F4161">IFERROR(INDEX(EmployeeData[Age], ROW() - 37), "")</f>
        <v/>
      </c>
      <c r="G4161" s="6" t="str" cm="1">
        <f t="array" ref="G4161">IFERROR(INDEX(EmployeeData[Join Date], ROW() - 37), "")</f>
        <v/>
      </c>
      <c r="H4161" s="6" t="str" cm="1">
        <f t="array" ref="H4161">IFERROR(IF(INDEX(EmployeeData[Exit Date], ROW() - 37)=0, "",INDEX(EmployeeData[Exit Date], ROW() - 37)),"")</f>
        <v/>
      </c>
      <c r="I4161" s="4" t="str" cm="1">
        <f t="array" ref="I4161">IFERROR(IF(INDEX(EmployeeData[Exit Reason], ROW() - 37)=0, "",INDEX(EmployeeData[Exit Reason], ROW() - 37)),"")</f>
        <v/>
      </c>
      <c r="J4161" s="4" t="str" cm="1">
        <f t="array" ref="J4161">IFERROR(INDEX(EmployeeData[Status], ROW() - 37), "")</f>
        <v/>
      </c>
    </row>
    <row r="4162" spans="2:10" ht="19.95" customHeight="1" x14ac:dyDescent="0.3">
      <c r="B4162" s="4" t="str" cm="1">
        <f t="array" ref="B4162">IFERROR(INDEX(EmployeeData[Employee ID], ROW() - 37), "")</f>
        <v/>
      </c>
      <c r="C4162" s="4" t="str" cm="1">
        <f t="array" ref="C4162">IFERROR(INDEX(EmployeeData[Full Name], ROW() - 37), "")</f>
        <v/>
      </c>
      <c r="D4162" s="4" t="str" cm="1">
        <f t="array" ref="D4162">IFERROR(INDEX(EmployeeData[Department], ROW() - 37), "")</f>
        <v/>
      </c>
      <c r="E4162" s="4" t="str" cm="1">
        <f t="array" ref="E4162">IFERROR(INDEX(EmployeeData[Gender], ROW() - 37), "")</f>
        <v/>
      </c>
      <c r="F4162" s="4" t="str" cm="1">
        <f t="array" ref="F4162">IFERROR(INDEX(EmployeeData[Age], ROW() - 37), "")</f>
        <v/>
      </c>
      <c r="G4162" s="6" t="str" cm="1">
        <f t="array" ref="G4162">IFERROR(INDEX(EmployeeData[Join Date], ROW() - 37), "")</f>
        <v/>
      </c>
      <c r="H4162" s="6" t="str" cm="1">
        <f t="array" ref="H4162">IFERROR(IF(INDEX(EmployeeData[Exit Date], ROW() - 37)=0, "",INDEX(EmployeeData[Exit Date], ROW() - 37)),"")</f>
        <v/>
      </c>
      <c r="I4162" s="4" t="str" cm="1">
        <f t="array" ref="I4162">IFERROR(IF(INDEX(EmployeeData[Exit Reason], ROW() - 37)=0, "",INDEX(EmployeeData[Exit Reason], ROW() - 37)),"")</f>
        <v/>
      </c>
      <c r="J4162" s="4" t="str" cm="1">
        <f t="array" ref="J4162">IFERROR(INDEX(EmployeeData[Status], ROW() - 37), "")</f>
        <v/>
      </c>
    </row>
    <row r="4163" spans="2:10" ht="19.95" customHeight="1" x14ac:dyDescent="0.3">
      <c r="B4163" s="4" t="str" cm="1">
        <f t="array" ref="B4163">IFERROR(INDEX(EmployeeData[Employee ID], ROW() - 37), "")</f>
        <v/>
      </c>
      <c r="C4163" s="4" t="str" cm="1">
        <f t="array" ref="C4163">IFERROR(INDEX(EmployeeData[Full Name], ROW() - 37), "")</f>
        <v/>
      </c>
      <c r="D4163" s="4" t="str" cm="1">
        <f t="array" ref="D4163">IFERROR(INDEX(EmployeeData[Department], ROW() - 37), "")</f>
        <v/>
      </c>
      <c r="E4163" s="4" t="str" cm="1">
        <f t="array" ref="E4163">IFERROR(INDEX(EmployeeData[Gender], ROW() - 37), "")</f>
        <v/>
      </c>
      <c r="F4163" s="4" t="str" cm="1">
        <f t="array" ref="F4163">IFERROR(INDEX(EmployeeData[Age], ROW() - 37), "")</f>
        <v/>
      </c>
      <c r="G4163" s="6" t="str" cm="1">
        <f t="array" ref="G4163">IFERROR(INDEX(EmployeeData[Join Date], ROW() - 37), "")</f>
        <v/>
      </c>
      <c r="H4163" s="6" t="str" cm="1">
        <f t="array" ref="H4163">IFERROR(IF(INDEX(EmployeeData[Exit Date], ROW() - 37)=0, "",INDEX(EmployeeData[Exit Date], ROW() - 37)),"")</f>
        <v/>
      </c>
      <c r="I4163" s="4" t="str" cm="1">
        <f t="array" ref="I4163">IFERROR(IF(INDEX(EmployeeData[Exit Reason], ROW() - 37)=0, "",INDEX(EmployeeData[Exit Reason], ROW() - 37)),"")</f>
        <v/>
      </c>
      <c r="J4163" s="4" t="str" cm="1">
        <f t="array" ref="J4163">IFERROR(INDEX(EmployeeData[Status], ROW() - 37), "")</f>
        <v/>
      </c>
    </row>
    <row r="4164" spans="2:10" ht="19.95" customHeight="1" x14ac:dyDescent="0.3">
      <c r="B4164" s="4" t="str" cm="1">
        <f t="array" ref="B4164">IFERROR(INDEX(EmployeeData[Employee ID], ROW() - 37), "")</f>
        <v/>
      </c>
      <c r="C4164" s="4" t="str" cm="1">
        <f t="array" ref="C4164">IFERROR(INDEX(EmployeeData[Full Name], ROW() - 37), "")</f>
        <v/>
      </c>
      <c r="D4164" s="4" t="str" cm="1">
        <f t="array" ref="D4164">IFERROR(INDEX(EmployeeData[Department], ROW() - 37), "")</f>
        <v/>
      </c>
      <c r="E4164" s="4" t="str" cm="1">
        <f t="array" ref="E4164">IFERROR(INDEX(EmployeeData[Gender], ROW() - 37), "")</f>
        <v/>
      </c>
      <c r="F4164" s="4" t="str" cm="1">
        <f t="array" ref="F4164">IFERROR(INDEX(EmployeeData[Age], ROW() - 37), "")</f>
        <v/>
      </c>
      <c r="G4164" s="6" t="str" cm="1">
        <f t="array" ref="G4164">IFERROR(INDEX(EmployeeData[Join Date], ROW() - 37), "")</f>
        <v/>
      </c>
      <c r="H4164" s="6" t="str" cm="1">
        <f t="array" ref="H4164">IFERROR(IF(INDEX(EmployeeData[Exit Date], ROW() - 37)=0, "",INDEX(EmployeeData[Exit Date], ROW() - 37)),"")</f>
        <v/>
      </c>
      <c r="I4164" s="4" t="str" cm="1">
        <f t="array" ref="I4164">IFERROR(IF(INDEX(EmployeeData[Exit Reason], ROW() - 37)=0, "",INDEX(EmployeeData[Exit Reason], ROW() - 37)),"")</f>
        <v/>
      </c>
      <c r="J4164" s="4" t="str" cm="1">
        <f t="array" ref="J4164">IFERROR(INDEX(EmployeeData[Status], ROW() - 37), "")</f>
        <v/>
      </c>
    </row>
    <row r="4165" spans="2:10" ht="19.95" customHeight="1" x14ac:dyDescent="0.3">
      <c r="B4165" s="4" t="str" cm="1">
        <f t="array" ref="B4165">IFERROR(INDEX(EmployeeData[Employee ID], ROW() - 37), "")</f>
        <v/>
      </c>
      <c r="C4165" s="4" t="str" cm="1">
        <f t="array" ref="C4165">IFERROR(INDEX(EmployeeData[Full Name], ROW() - 37), "")</f>
        <v/>
      </c>
      <c r="D4165" s="4" t="str" cm="1">
        <f t="array" ref="D4165">IFERROR(INDEX(EmployeeData[Department], ROW() - 37), "")</f>
        <v/>
      </c>
      <c r="E4165" s="4" t="str" cm="1">
        <f t="array" ref="E4165">IFERROR(INDEX(EmployeeData[Gender], ROW() - 37), "")</f>
        <v/>
      </c>
      <c r="F4165" s="4" t="str" cm="1">
        <f t="array" ref="F4165">IFERROR(INDEX(EmployeeData[Age], ROW() - 37), "")</f>
        <v/>
      </c>
      <c r="G4165" s="6" t="str" cm="1">
        <f t="array" ref="G4165">IFERROR(INDEX(EmployeeData[Join Date], ROW() - 37), "")</f>
        <v/>
      </c>
      <c r="H4165" s="6" t="str" cm="1">
        <f t="array" ref="H4165">IFERROR(IF(INDEX(EmployeeData[Exit Date], ROW() - 37)=0, "",INDEX(EmployeeData[Exit Date], ROW() - 37)),"")</f>
        <v/>
      </c>
      <c r="I4165" s="4" t="str" cm="1">
        <f t="array" ref="I4165">IFERROR(IF(INDEX(EmployeeData[Exit Reason], ROW() - 37)=0, "",INDEX(EmployeeData[Exit Reason], ROW() - 37)),"")</f>
        <v/>
      </c>
      <c r="J4165" s="4" t="str" cm="1">
        <f t="array" ref="J4165">IFERROR(INDEX(EmployeeData[Status], ROW() - 37), "")</f>
        <v/>
      </c>
    </row>
    <row r="4166" spans="2:10" ht="19.95" customHeight="1" x14ac:dyDescent="0.3">
      <c r="B4166" s="4" t="str" cm="1">
        <f t="array" ref="B4166">IFERROR(INDEX(EmployeeData[Employee ID], ROW() - 37), "")</f>
        <v/>
      </c>
      <c r="C4166" s="4" t="str" cm="1">
        <f t="array" ref="C4166">IFERROR(INDEX(EmployeeData[Full Name], ROW() - 37), "")</f>
        <v/>
      </c>
      <c r="D4166" s="4" t="str" cm="1">
        <f t="array" ref="D4166">IFERROR(INDEX(EmployeeData[Department], ROW() - 37), "")</f>
        <v/>
      </c>
      <c r="E4166" s="4" t="str" cm="1">
        <f t="array" ref="E4166">IFERROR(INDEX(EmployeeData[Gender], ROW() - 37), "")</f>
        <v/>
      </c>
      <c r="F4166" s="4" t="str" cm="1">
        <f t="array" ref="F4166">IFERROR(INDEX(EmployeeData[Age], ROW() - 37), "")</f>
        <v/>
      </c>
      <c r="G4166" s="6" t="str" cm="1">
        <f t="array" ref="G4166">IFERROR(INDEX(EmployeeData[Join Date], ROW() - 37), "")</f>
        <v/>
      </c>
      <c r="H4166" s="6" t="str" cm="1">
        <f t="array" ref="H4166">IFERROR(IF(INDEX(EmployeeData[Exit Date], ROW() - 37)=0, "",INDEX(EmployeeData[Exit Date], ROW() - 37)),"")</f>
        <v/>
      </c>
      <c r="I4166" s="4" t="str" cm="1">
        <f t="array" ref="I4166">IFERROR(IF(INDEX(EmployeeData[Exit Reason], ROW() - 37)=0, "",INDEX(EmployeeData[Exit Reason], ROW() - 37)),"")</f>
        <v/>
      </c>
      <c r="J4166" s="4" t="str" cm="1">
        <f t="array" ref="J4166">IFERROR(INDEX(EmployeeData[Status], ROW() - 37), "")</f>
        <v/>
      </c>
    </row>
    <row r="4167" spans="2:10" ht="19.95" customHeight="1" x14ac:dyDescent="0.3">
      <c r="B4167" s="4" t="str" cm="1">
        <f t="array" ref="B4167">IFERROR(INDEX(EmployeeData[Employee ID], ROW() - 37), "")</f>
        <v/>
      </c>
      <c r="C4167" s="4" t="str" cm="1">
        <f t="array" ref="C4167">IFERROR(INDEX(EmployeeData[Full Name], ROW() - 37), "")</f>
        <v/>
      </c>
      <c r="D4167" s="4" t="str" cm="1">
        <f t="array" ref="D4167">IFERROR(INDEX(EmployeeData[Department], ROW() - 37), "")</f>
        <v/>
      </c>
      <c r="E4167" s="4" t="str" cm="1">
        <f t="array" ref="E4167">IFERROR(INDEX(EmployeeData[Gender], ROW() - 37), "")</f>
        <v/>
      </c>
      <c r="F4167" s="4" t="str" cm="1">
        <f t="array" ref="F4167">IFERROR(INDEX(EmployeeData[Age], ROW() - 37), "")</f>
        <v/>
      </c>
      <c r="G4167" s="6" t="str" cm="1">
        <f t="array" ref="G4167">IFERROR(INDEX(EmployeeData[Join Date], ROW() - 37), "")</f>
        <v/>
      </c>
      <c r="H4167" s="6" t="str" cm="1">
        <f t="array" ref="H4167">IFERROR(IF(INDEX(EmployeeData[Exit Date], ROW() - 37)=0, "",INDEX(EmployeeData[Exit Date], ROW() - 37)),"")</f>
        <v/>
      </c>
      <c r="I4167" s="4" t="str" cm="1">
        <f t="array" ref="I4167">IFERROR(IF(INDEX(EmployeeData[Exit Reason], ROW() - 37)=0, "",INDEX(EmployeeData[Exit Reason], ROW() - 37)),"")</f>
        <v/>
      </c>
      <c r="J4167" s="4" t="str" cm="1">
        <f t="array" ref="J4167">IFERROR(INDEX(EmployeeData[Status], ROW() - 37), "")</f>
        <v/>
      </c>
    </row>
    <row r="4168" spans="2:10" ht="19.95" customHeight="1" x14ac:dyDescent="0.3">
      <c r="B4168" s="4" t="str" cm="1">
        <f t="array" ref="B4168">IFERROR(INDEX(EmployeeData[Employee ID], ROW() - 37), "")</f>
        <v/>
      </c>
      <c r="C4168" s="4" t="str" cm="1">
        <f t="array" ref="C4168">IFERROR(INDEX(EmployeeData[Full Name], ROW() - 37), "")</f>
        <v/>
      </c>
      <c r="D4168" s="4" t="str" cm="1">
        <f t="array" ref="D4168">IFERROR(INDEX(EmployeeData[Department], ROW() - 37), "")</f>
        <v/>
      </c>
      <c r="E4168" s="4" t="str" cm="1">
        <f t="array" ref="E4168">IFERROR(INDEX(EmployeeData[Gender], ROW() - 37), "")</f>
        <v/>
      </c>
      <c r="F4168" s="4" t="str" cm="1">
        <f t="array" ref="F4168">IFERROR(INDEX(EmployeeData[Age], ROW() - 37), "")</f>
        <v/>
      </c>
      <c r="G4168" s="6" t="str" cm="1">
        <f t="array" ref="G4168">IFERROR(INDEX(EmployeeData[Join Date], ROW() - 37), "")</f>
        <v/>
      </c>
      <c r="H4168" s="6" t="str" cm="1">
        <f t="array" ref="H4168">IFERROR(IF(INDEX(EmployeeData[Exit Date], ROW() - 37)=0, "",INDEX(EmployeeData[Exit Date], ROW() - 37)),"")</f>
        <v/>
      </c>
      <c r="I4168" s="4" t="str" cm="1">
        <f t="array" ref="I4168">IFERROR(IF(INDEX(EmployeeData[Exit Reason], ROW() - 37)=0, "",INDEX(EmployeeData[Exit Reason], ROW() - 37)),"")</f>
        <v/>
      </c>
      <c r="J4168" s="4" t="str" cm="1">
        <f t="array" ref="J4168">IFERROR(INDEX(EmployeeData[Status], ROW() - 37), "")</f>
        <v/>
      </c>
    </row>
    <row r="4169" spans="2:10" ht="19.95" customHeight="1" x14ac:dyDescent="0.3">
      <c r="B4169" s="4" t="str" cm="1">
        <f t="array" ref="B4169">IFERROR(INDEX(EmployeeData[Employee ID], ROW() - 37), "")</f>
        <v/>
      </c>
      <c r="C4169" s="4" t="str" cm="1">
        <f t="array" ref="C4169">IFERROR(INDEX(EmployeeData[Full Name], ROW() - 37), "")</f>
        <v/>
      </c>
      <c r="D4169" s="4" t="str" cm="1">
        <f t="array" ref="D4169">IFERROR(INDEX(EmployeeData[Department], ROW() - 37), "")</f>
        <v/>
      </c>
      <c r="E4169" s="4" t="str" cm="1">
        <f t="array" ref="E4169">IFERROR(INDEX(EmployeeData[Gender], ROW() - 37), "")</f>
        <v/>
      </c>
      <c r="F4169" s="4" t="str" cm="1">
        <f t="array" ref="F4169">IFERROR(INDEX(EmployeeData[Age], ROW() - 37), "")</f>
        <v/>
      </c>
      <c r="G4169" s="6" t="str" cm="1">
        <f t="array" ref="G4169">IFERROR(INDEX(EmployeeData[Join Date], ROW() - 37), "")</f>
        <v/>
      </c>
      <c r="H4169" s="6" t="str" cm="1">
        <f t="array" ref="H4169">IFERROR(IF(INDEX(EmployeeData[Exit Date], ROW() - 37)=0, "",INDEX(EmployeeData[Exit Date], ROW() - 37)),"")</f>
        <v/>
      </c>
      <c r="I4169" s="4" t="str" cm="1">
        <f t="array" ref="I4169">IFERROR(IF(INDEX(EmployeeData[Exit Reason], ROW() - 37)=0, "",INDEX(EmployeeData[Exit Reason], ROW() - 37)),"")</f>
        <v/>
      </c>
      <c r="J4169" s="4" t="str" cm="1">
        <f t="array" ref="J4169">IFERROR(INDEX(EmployeeData[Status], ROW() - 37), "")</f>
        <v/>
      </c>
    </row>
    <row r="4170" spans="2:10" ht="19.95" customHeight="1" x14ac:dyDescent="0.3">
      <c r="B4170" s="4" t="str" cm="1">
        <f t="array" ref="B4170">IFERROR(INDEX(EmployeeData[Employee ID], ROW() - 37), "")</f>
        <v/>
      </c>
      <c r="C4170" s="4" t="str" cm="1">
        <f t="array" ref="C4170">IFERROR(INDEX(EmployeeData[Full Name], ROW() - 37), "")</f>
        <v/>
      </c>
      <c r="D4170" s="4" t="str" cm="1">
        <f t="array" ref="D4170">IFERROR(INDEX(EmployeeData[Department], ROW() - 37), "")</f>
        <v/>
      </c>
      <c r="E4170" s="4" t="str" cm="1">
        <f t="array" ref="E4170">IFERROR(INDEX(EmployeeData[Gender], ROW() - 37), "")</f>
        <v/>
      </c>
      <c r="F4170" s="4" t="str" cm="1">
        <f t="array" ref="F4170">IFERROR(INDEX(EmployeeData[Age], ROW() - 37), "")</f>
        <v/>
      </c>
      <c r="G4170" s="6" t="str" cm="1">
        <f t="array" ref="G4170">IFERROR(INDEX(EmployeeData[Join Date], ROW() - 37), "")</f>
        <v/>
      </c>
      <c r="H4170" s="6" t="str" cm="1">
        <f t="array" ref="H4170">IFERROR(IF(INDEX(EmployeeData[Exit Date], ROW() - 37)=0, "",INDEX(EmployeeData[Exit Date], ROW() - 37)),"")</f>
        <v/>
      </c>
      <c r="I4170" s="4" t="str" cm="1">
        <f t="array" ref="I4170">IFERROR(IF(INDEX(EmployeeData[Exit Reason], ROW() - 37)=0, "",INDEX(EmployeeData[Exit Reason], ROW() - 37)),"")</f>
        <v/>
      </c>
      <c r="J4170" s="4" t="str" cm="1">
        <f t="array" ref="J4170">IFERROR(INDEX(EmployeeData[Status], ROW() - 37), "")</f>
        <v/>
      </c>
    </row>
    <row r="4171" spans="2:10" ht="19.95" customHeight="1" x14ac:dyDescent="0.3">
      <c r="B4171" s="4" t="str" cm="1">
        <f t="array" ref="B4171">IFERROR(INDEX(EmployeeData[Employee ID], ROW() - 37), "")</f>
        <v/>
      </c>
      <c r="C4171" s="4" t="str" cm="1">
        <f t="array" ref="C4171">IFERROR(INDEX(EmployeeData[Full Name], ROW() - 37), "")</f>
        <v/>
      </c>
      <c r="D4171" s="4" t="str" cm="1">
        <f t="array" ref="D4171">IFERROR(INDEX(EmployeeData[Department], ROW() - 37), "")</f>
        <v/>
      </c>
      <c r="E4171" s="4" t="str" cm="1">
        <f t="array" ref="E4171">IFERROR(INDEX(EmployeeData[Gender], ROW() - 37), "")</f>
        <v/>
      </c>
      <c r="F4171" s="4" t="str" cm="1">
        <f t="array" ref="F4171">IFERROR(INDEX(EmployeeData[Age], ROW() - 37), "")</f>
        <v/>
      </c>
      <c r="G4171" s="6" t="str" cm="1">
        <f t="array" ref="G4171">IFERROR(INDEX(EmployeeData[Join Date], ROW() - 37), "")</f>
        <v/>
      </c>
      <c r="H4171" s="6" t="str" cm="1">
        <f t="array" ref="H4171">IFERROR(IF(INDEX(EmployeeData[Exit Date], ROW() - 37)=0, "",INDEX(EmployeeData[Exit Date], ROW() - 37)),"")</f>
        <v/>
      </c>
      <c r="I4171" s="4" t="str" cm="1">
        <f t="array" ref="I4171">IFERROR(IF(INDEX(EmployeeData[Exit Reason], ROW() - 37)=0, "",INDEX(EmployeeData[Exit Reason], ROW() - 37)),"")</f>
        <v/>
      </c>
      <c r="J4171" s="4" t="str" cm="1">
        <f t="array" ref="J4171">IFERROR(INDEX(EmployeeData[Status], ROW() - 37), "")</f>
        <v/>
      </c>
    </row>
    <row r="4172" spans="2:10" ht="19.95" customHeight="1" x14ac:dyDescent="0.3">
      <c r="B4172" s="4" t="str" cm="1">
        <f t="array" ref="B4172">IFERROR(INDEX(EmployeeData[Employee ID], ROW() - 37), "")</f>
        <v/>
      </c>
      <c r="C4172" s="4" t="str" cm="1">
        <f t="array" ref="C4172">IFERROR(INDEX(EmployeeData[Full Name], ROW() - 37), "")</f>
        <v/>
      </c>
      <c r="D4172" s="4" t="str" cm="1">
        <f t="array" ref="D4172">IFERROR(INDEX(EmployeeData[Department], ROW() - 37), "")</f>
        <v/>
      </c>
      <c r="E4172" s="4" t="str" cm="1">
        <f t="array" ref="E4172">IFERROR(INDEX(EmployeeData[Gender], ROW() - 37), "")</f>
        <v/>
      </c>
      <c r="F4172" s="4" t="str" cm="1">
        <f t="array" ref="F4172">IFERROR(INDEX(EmployeeData[Age], ROW() - 37), "")</f>
        <v/>
      </c>
      <c r="G4172" s="6" t="str" cm="1">
        <f t="array" ref="G4172">IFERROR(INDEX(EmployeeData[Join Date], ROW() - 37), "")</f>
        <v/>
      </c>
      <c r="H4172" s="6" t="str" cm="1">
        <f t="array" ref="H4172">IFERROR(IF(INDEX(EmployeeData[Exit Date], ROW() - 37)=0, "",INDEX(EmployeeData[Exit Date], ROW() - 37)),"")</f>
        <v/>
      </c>
      <c r="I4172" s="4" t="str" cm="1">
        <f t="array" ref="I4172">IFERROR(IF(INDEX(EmployeeData[Exit Reason], ROW() - 37)=0, "",INDEX(EmployeeData[Exit Reason], ROW() - 37)),"")</f>
        <v/>
      </c>
      <c r="J4172" s="4" t="str" cm="1">
        <f t="array" ref="J4172">IFERROR(INDEX(EmployeeData[Status], ROW() - 37), "")</f>
        <v/>
      </c>
    </row>
    <row r="4173" spans="2:10" ht="19.95" customHeight="1" x14ac:dyDescent="0.3">
      <c r="B4173" s="4" t="str" cm="1">
        <f t="array" ref="B4173">IFERROR(INDEX(EmployeeData[Employee ID], ROW() - 37), "")</f>
        <v/>
      </c>
      <c r="C4173" s="4" t="str" cm="1">
        <f t="array" ref="C4173">IFERROR(INDEX(EmployeeData[Full Name], ROW() - 37), "")</f>
        <v/>
      </c>
      <c r="D4173" s="4" t="str" cm="1">
        <f t="array" ref="D4173">IFERROR(INDEX(EmployeeData[Department], ROW() - 37), "")</f>
        <v/>
      </c>
      <c r="E4173" s="4" t="str" cm="1">
        <f t="array" ref="E4173">IFERROR(INDEX(EmployeeData[Gender], ROW() - 37), "")</f>
        <v/>
      </c>
      <c r="F4173" s="4" t="str" cm="1">
        <f t="array" ref="F4173">IFERROR(INDEX(EmployeeData[Age], ROW() - 37), "")</f>
        <v/>
      </c>
      <c r="G4173" s="6" t="str" cm="1">
        <f t="array" ref="G4173">IFERROR(INDEX(EmployeeData[Join Date], ROW() - 37), "")</f>
        <v/>
      </c>
      <c r="H4173" s="6" t="str" cm="1">
        <f t="array" ref="H4173">IFERROR(IF(INDEX(EmployeeData[Exit Date], ROW() - 37)=0, "",INDEX(EmployeeData[Exit Date], ROW() - 37)),"")</f>
        <v/>
      </c>
      <c r="I4173" s="4" t="str" cm="1">
        <f t="array" ref="I4173">IFERROR(IF(INDEX(EmployeeData[Exit Reason], ROW() - 37)=0, "",INDEX(EmployeeData[Exit Reason], ROW() - 37)),"")</f>
        <v/>
      </c>
      <c r="J4173" s="4" t="str" cm="1">
        <f t="array" ref="J4173">IFERROR(INDEX(EmployeeData[Status], ROW() - 37), "")</f>
        <v/>
      </c>
    </row>
    <row r="4174" spans="2:10" ht="19.95" customHeight="1" x14ac:dyDescent="0.3">
      <c r="B4174" s="4" t="str" cm="1">
        <f t="array" ref="B4174">IFERROR(INDEX(EmployeeData[Employee ID], ROW() - 37), "")</f>
        <v/>
      </c>
      <c r="C4174" s="4" t="str" cm="1">
        <f t="array" ref="C4174">IFERROR(INDEX(EmployeeData[Full Name], ROW() - 37), "")</f>
        <v/>
      </c>
      <c r="D4174" s="4" t="str" cm="1">
        <f t="array" ref="D4174">IFERROR(INDEX(EmployeeData[Department], ROW() - 37), "")</f>
        <v/>
      </c>
      <c r="E4174" s="4" t="str" cm="1">
        <f t="array" ref="E4174">IFERROR(INDEX(EmployeeData[Gender], ROW() - 37), "")</f>
        <v/>
      </c>
      <c r="F4174" s="4" t="str" cm="1">
        <f t="array" ref="F4174">IFERROR(INDEX(EmployeeData[Age], ROW() - 37), "")</f>
        <v/>
      </c>
      <c r="G4174" s="6" t="str" cm="1">
        <f t="array" ref="G4174">IFERROR(INDEX(EmployeeData[Join Date], ROW() - 37), "")</f>
        <v/>
      </c>
      <c r="H4174" s="6" t="str" cm="1">
        <f t="array" ref="H4174">IFERROR(IF(INDEX(EmployeeData[Exit Date], ROW() - 37)=0, "",INDEX(EmployeeData[Exit Date], ROW() - 37)),"")</f>
        <v/>
      </c>
      <c r="I4174" s="4" t="str" cm="1">
        <f t="array" ref="I4174">IFERROR(IF(INDEX(EmployeeData[Exit Reason], ROW() - 37)=0, "",INDEX(EmployeeData[Exit Reason], ROW() - 37)),"")</f>
        <v/>
      </c>
      <c r="J4174" s="4" t="str" cm="1">
        <f t="array" ref="J4174">IFERROR(INDEX(EmployeeData[Status], ROW() - 37), "")</f>
        <v/>
      </c>
    </row>
    <row r="4175" spans="2:10" ht="19.95" customHeight="1" x14ac:dyDescent="0.3">
      <c r="B4175" s="4" t="str" cm="1">
        <f t="array" ref="B4175">IFERROR(INDEX(EmployeeData[Employee ID], ROW() - 37), "")</f>
        <v/>
      </c>
      <c r="C4175" s="4" t="str" cm="1">
        <f t="array" ref="C4175">IFERROR(INDEX(EmployeeData[Full Name], ROW() - 37), "")</f>
        <v/>
      </c>
      <c r="D4175" s="4" t="str" cm="1">
        <f t="array" ref="D4175">IFERROR(INDEX(EmployeeData[Department], ROW() - 37), "")</f>
        <v/>
      </c>
      <c r="E4175" s="4" t="str" cm="1">
        <f t="array" ref="E4175">IFERROR(INDEX(EmployeeData[Gender], ROW() - 37), "")</f>
        <v/>
      </c>
      <c r="F4175" s="4" t="str" cm="1">
        <f t="array" ref="F4175">IFERROR(INDEX(EmployeeData[Age], ROW() - 37), "")</f>
        <v/>
      </c>
      <c r="G4175" s="6" t="str" cm="1">
        <f t="array" ref="G4175">IFERROR(INDEX(EmployeeData[Join Date], ROW() - 37), "")</f>
        <v/>
      </c>
      <c r="H4175" s="6" t="str" cm="1">
        <f t="array" ref="H4175">IFERROR(IF(INDEX(EmployeeData[Exit Date], ROW() - 37)=0, "",INDEX(EmployeeData[Exit Date], ROW() - 37)),"")</f>
        <v/>
      </c>
      <c r="I4175" s="4" t="str" cm="1">
        <f t="array" ref="I4175">IFERROR(IF(INDEX(EmployeeData[Exit Reason], ROW() - 37)=0, "",INDEX(EmployeeData[Exit Reason], ROW() - 37)),"")</f>
        <v/>
      </c>
      <c r="J4175" s="4" t="str" cm="1">
        <f t="array" ref="J4175">IFERROR(INDEX(EmployeeData[Status], ROW() - 37), "")</f>
        <v/>
      </c>
    </row>
    <row r="4176" spans="2:10" ht="19.95" customHeight="1" x14ac:dyDescent="0.3">
      <c r="B4176" s="4" t="str" cm="1">
        <f t="array" ref="B4176">IFERROR(INDEX(EmployeeData[Employee ID], ROW() - 37), "")</f>
        <v/>
      </c>
      <c r="C4176" s="4" t="str" cm="1">
        <f t="array" ref="C4176">IFERROR(INDEX(EmployeeData[Full Name], ROW() - 37), "")</f>
        <v/>
      </c>
      <c r="D4176" s="4" t="str" cm="1">
        <f t="array" ref="D4176">IFERROR(INDEX(EmployeeData[Department], ROW() - 37), "")</f>
        <v/>
      </c>
      <c r="E4176" s="4" t="str" cm="1">
        <f t="array" ref="E4176">IFERROR(INDEX(EmployeeData[Gender], ROW() - 37), "")</f>
        <v/>
      </c>
      <c r="F4176" s="4" t="str" cm="1">
        <f t="array" ref="F4176">IFERROR(INDEX(EmployeeData[Age], ROW() - 37), "")</f>
        <v/>
      </c>
      <c r="G4176" s="6" t="str" cm="1">
        <f t="array" ref="G4176">IFERROR(INDEX(EmployeeData[Join Date], ROW() - 37), "")</f>
        <v/>
      </c>
      <c r="H4176" s="6" t="str" cm="1">
        <f t="array" ref="H4176">IFERROR(IF(INDEX(EmployeeData[Exit Date], ROW() - 37)=0, "",INDEX(EmployeeData[Exit Date], ROW() - 37)),"")</f>
        <v/>
      </c>
      <c r="I4176" s="4" t="str" cm="1">
        <f t="array" ref="I4176">IFERROR(IF(INDEX(EmployeeData[Exit Reason], ROW() - 37)=0, "",INDEX(EmployeeData[Exit Reason], ROW() - 37)),"")</f>
        <v/>
      </c>
      <c r="J4176" s="4" t="str" cm="1">
        <f t="array" ref="J4176">IFERROR(INDEX(EmployeeData[Status], ROW() - 37), "")</f>
        <v/>
      </c>
    </row>
    <row r="4177" spans="2:10" ht="19.95" customHeight="1" x14ac:dyDescent="0.3">
      <c r="B4177" s="4" t="str" cm="1">
        <f t="array" ref="B4177">IFERROR(INDEX(EmployeeData[Employee ID], ROW() - 37), "")</f>
        <v/>
      </c>
      <c r="C4177" s="4" t="str" cm="1">
        <f t="array" ref="C4177">IFERROR(INDEX(EmployeeData[Full Name], ROW() - 37), "")</f>
        <v/>
      </c>
      <c r="D4177" s="4" t="str" cm="1">
        <f t="array" ref="D4177">IFERROR(INDEX(EmployeeData[Department], ROW() - 37), "")</f>
        <v/>
      </c>
      <c r="E4177" s="4" t="str" cm="1">
        <f t="array" ref="E4177">IFERROR(INDEX(EmployeeData[Gender], ROW() - 37), "")</f>
        <v/>
      </c>
      <c r="F4177" s="4" t="str" cm="1">
        <f t="array" ref="F4177">IFERROR(INDEX(EmployeeData[Age], ROW() - 37), "")</f>
        <v/>
      </c>
      <c r="G4177" s="6" t="str" cm="1">
        <f t="array" ref="G4177">IFERROR(INDEX(EmployeeData[Join Date], ROW() - 37), "")</f>
        <v/>
      </c>
      <c r="H4177" s="6" t="str" cm="1">
        <f t="array" ref="H4177">IFERROR(IF(INDEX(EmployeeData[Exit Date], ROW() - 37)=0, "",INDEX(EmployeeData[Exit Date], ROW() - 37)),"")</f>
        <v/>
      </c>
      <c r="I4177" s="4" t="str" cm="1">
        <f t="array" ref="I4177">IFERROR(IF(INDEX(EmployeeData[Exit Reason], ROW() - 37)=0, "",INDEX(EmployeeData[Exit Reason], ROW() - 37)),"")</f>
        <v/>
      </c>
      <c r="J4177" s="4" t="str" cm="1">
        <f t="array" ref="J4177">IFERROR(INDEX(EmployeeData[Status], ROW() - 37), "")</f>
        <v/>
      </c>
    </row>
    <row r="4178" spans="2:10" ht="19.95" customHeight="1" x14ac:dyDescent="0.3">
      <c r="B4178" s="4" t="str" cm="1">
        <f t="array" ref="B4178">IFERROR(INDEX(EmployeeData[Employee ID], ROW() - 37), "")</f>
        <v/>
      </c>
      <c r="C4178" s="4" t="str" cm="1">
        <f t="array" ref="C4178">IFERROR(INDEX(EmployeeData[Full Name], ROW() - 37), "")</f>
        <v/>
      </c>
      <c r="D4178" s="4" t="str" cm="1">
        <f t="array" ref="D4178">IFERROR(INDEX(EmployeeData[Department], ROW() - 37), "")</f>
        <v/>
      </c>
      <c r="E4178" s="4" t="str" cm="1">
        <f t="array" ref="E4178">IFERROR(INDEX(EmployeeData[Gender], ROW() - 37), "")</f>
        <v/>
      </c>
      <c r="F4178" s="4" t="str" cm="1">
        <f t="array" ref="F4178">IFERROR(INDEX(EmployeeData[Age], ROW() - 37), "")</f>
        <v/>
      </c>
      <c r="G4178" s="6" t="str" cm="1">
        <f t="array" ref="G4178">IFERROR(INDEX(EmployeeData[Join Date], ROW() - 37), "")</f>
        <v/>
      </c>
      <c r="H4178" s="6" t="str" cm="1">
        <f t="array" ref="H4178">IFERROR(IF(INDEX(EmployeeData[Exit Date], ROW() - 37)=0, "",INDEX(EmployeeData[Exit Date], ROW() - 37)),"")</f>
        <v/>
      </c>
      <c r="I4178" s="4" t="str" cm="1">
        <f t="array" ref="I4178">IFERROR(IF(INDEX(EmployeeData[Exit Reason], ROW() - 37)=0, "",INDEX(EmployeeData[Exit Reason], ROW() - 37)),"")</f>
        <v/>
      </c>
      <c r="J4178" s="4" t="str" cm="1">
        <f t="array" ref="J4178">IFERROR(INDEX(EmployeeData[Status], ROW() - 37), "")</f>
        <v/>
      </c>
    </row>
    <row r="4179" spans="2:10" ht="19.95" customHeight="1" x14ac:dyDescent="0.3">
      <c r="B4179" s="4" t="str" cm="1">
        <f t="array" ref="B4179">IFERROR(INDEX(EmployeeData[Employee ID], ROW() - 37), "")</f>
        <v/>
      </c>
      <c r="C4179" s="4" t="str" cm="1">
        <f t="array" ref="C4179">IFERROR(INDEX(EmployeeData[Full Name], ROW() - 37), "")</f>
        <v/>
      </c>
      <c r="D4179" s="4" t="str" cm="1">
        <f t="array" ref="D4179">IFERROR(INDEX(EmployeeData[Department], ROW() - 37), "")</f>
        <v/>
      </c>
      <c r="E4179" s="4" t="str" cm="1">
        <f t="array" ref="E4179">IFERROR(INDEX(EmployeeData[Gender], ROW() - 37), "")</f>
        <v/>
      </c>
      <c r="F4179" s="4" t="str" cm="1">
        <f t="array" ref="F4179">IFERROR(INDEX(EmployeeData[Age], ROW() - 37), "")</f>
        <v/>
      </c>
      <c r="G4179" s="6" t="str" cm="1">
        <f t="array" ref="G4179">IFERROR(INDEX(EmployeeData[Join Date], ROW() - 37), "")</f>
        <v/>
      </c>
      <c r="H4179" s="6" t="str" cm="1">
        <f t="array" ref="H4179">IFERROR(IF(INDEX(EmployeeData[Exit Date], ROW() - 37)=0, "",INDEX(EmployeeData[Exit Date], ROW() - 37)),"")</f>
        <v/>
      </c>
      <c r="I4179" s="4" t="str" cm="1">
        <f t="array" ref="I4179">IFERROR(IF(INDEX(EmployeeData[Exit Reason], ROW() - 37)=0, "",INDEX(EmployeeData[Exit Reason], ROW() - 37)),"")</f>
        <v/>
      </c>
      <c r="J4179" s="4" t="str" cm="1">
        <f t="array" ref="J4179">IFERROR(INDEX(EmployeeData[Status], ROW() - 37), "")</f>
        <v/>
      </c>
    </row>
    <row r="4180" spans="2:10" ht="19.95" customHeight="1" x14ac:dyDescent="0.3">
      <c r="B4180" s="4" t="str" cm="1">
        <f t="array" ref="B4180">IFERROR(INDEX(EmployeeData[Employee ID], ROW() - 37), "")</f>
        <v/>
      </c>
      <c r="C4180" s="4" t="str" cm="1">
        <f t="array" ref="C4180">IFERROR(INDEX(EmployeeData[Full Name], ROW() - 37), "")</f>
        <v/>
      </c>
      <c r="D4180" s="4" t="str" cm="1">
        <f t="array" ref="D4180">IFERROR(INDEX(EmployeeData[Department], ROW() - 37), "")</f>
        <v/>
      </c>
      <c r="E4180" s="4" t="str" cm="1">
        <f t="array" ref="E4180">IFERROR(INDEX(EmployeeData[Gender], ROW() - 37), "")</f>
        <v/>
      </c>
      <c r="F4180" s="4" t="str" cm="1">
        <f t="array" ref="F4180">IFERROR(INDEX(EmployeeData[Age], ROW() - 37), "")</f>
        <v/>
      </c>
      <c r="G4180" s="6" t="str" cm="1">
        <f t="array" ref="G4180">IFERROR(INDEX(EmployeeData[Join Date], ROW() - 37), "")</f>
        <v/>
      </c>
      <c r="H4180" s="6" t="str" cm="1">
        <f t="array" ref="H4180">IFERROR(IF(INDEX(EmployeeData[Exit Date], ROW() - 37)=0, "",INDEX(EmployeeData[Exit Date], ROW() - 37)),"")</f>
        <v/>
      </c>
      <c r="I4180" s="4" t="str" cm="1">
        <f t="array" ref="I4180">IFERROR(IF(INDEX(EmployeeData[Exit Reason], ROW() - 37)=0, "",INDEX(EmployeeData[Exit Reason], ROW() - 37)),"")</f>
        <v/>
      </c>
      <c r="J4180" s="4" t="str" cm="1">
        <f t="array" ref="J4180">IFERROR(INDEX(EmployeeData[Status], ROW() - 37), "")</f>
        <v/>
      </c>
    </row>
    <row r="4181" spans="2:10" ht="19.95" customHeight="1" x14ac:dyDescent="0.3">
      <c r="B4181" s="4" t="str" cm="1">
        <f t="array" ref="B4181">IFERROR(INDEX(EmployeeData[Employee ID], ROW() - 37), "")</f>
        <v/>
      </c>
      <c r="C4181" s="4" t="str" cm="1">
        <f t="array" ref="C4181">IFERROR(INDEX(EmployeeData[Full Name], ROW() - 37), "")</f>
        <v/>
      </c>
      <c r="D4181" s="4" t="str" cm="1">
        <f t="array" ref="D4181">IFERROR(INDEX(EmployeeData[Department], ROW() - 37), "")</f>
        <v/>
      </c>
      <c r="E4181" s="4" t="str" cm="1">
        <f t="array" ref="E4181">IFERROR(INDEX(EmployeeData[Gender], ROW() - 37), "")</f>
        <v/>
      </c>
      <c r="F4181" s="4" t="str" cm="1">
        <f t="array" ref="F4181">IFERROR(INDEX(EmployeeData[Age], ROW() - 37), "")</f>
        <v/>
      </c>
      <c r="G4181" s="6" t="str" cm="1">
        <f t="array" ref="G4181">IFERROR(INDEX(EmployeeData[Join Date], ROW() - 37), "")</f>
        <v/>
      </c>
      <c r="H4181" s="6" t="str" cm="1">
        <f t="array" ref="H4181">IFERROR(IF(INDEX(EmployeeData[Exit Date], ROW() - 37)=0, "",INDEX(EmployeeData[Exit Date], ROW() - 37)),"")</f>
        <v/>
      </c>
      <c r="I4181" s="4" t="str" cm="1">
        <f t="array" ref="I4181">IFERROR(IF(INDEX(EmployeeData[Exit Reason], ROW() - 37)=0, "",INDEX(EmployeeData[Exit Reason], ROW() - 37)),"")</f>
        <v/>
      </c>
      <c r="J4181" s="4" t="str" cm="1">
        <f t="array" ref="J4181">IFERROR(INDEX(EmployeeData[Status], ROW() - 37), "")</f>
        <v/>
      </c>
    </row>
    <row r="4182" spans="2:10" ht="19.95" customHeight="1" x14ac:dyDescent="0.3">
      <c r="B4182" s="4" t="str" cm="1">
        <f t="array" ref="B4182">IFERROR(INDEX(EmployeeData[Employee ID], ROW() - 37), "")</f>
        <v/>
      </c>
      <c r="C4182" s="4" t="str" cm="1">
        <f t="array" ref="C4182">IFERROR(INDEX(EmployeeData[Full Name], ROW() - 37), "")</f>
        <v/>
      </c>
      <c r="D4182" s="4" t="str" cm="1">
        <f t="array" ref="D4182">IFERROR(INDEX(EmployeeData[Department], ROW() - 37), "")</f>
        <v/>
      </c>
      <c r="E4182" s="4" t="str" cm="1">
        <f t="array" ref="E4182">IFERROR(INDEX(EmployeeData[Gender], ROW() - 37), "")</f>
        <v/>
      </c>
      <c r="F4182" s="4" t="str" cm="1">
        <f t="array" ref="F4182">IFERROR(INDEX(EmployeeData[Age], ROW() - 37), "")</f>
        <v/>
      </c>
      <c r="G4182" s="6" t="str" cm="1">
        <f t="array" ref="G4182">IFERROR(INDEX(EmployeeData[Join Date], ROW() - 37), "")</f>
        <v/>
      </c>
      <c r="H4182" s="6" t="str" cm="1">
        <f t="array" ref="H4182">IFERROR(IF(INDEX(EmployeeData[Exit Date], ROW() - 37)=0, "",INDEX(EmployeeData[Exit Date], ROW() - 37)),"")</f>
        <v/>
      </c>
      <c r="I4182" s="4" t="str" cm="1">
        <f t="array" ref="I4182">IFERROR(IF(INDEX(EmployeeData[Exit Reason], ROW() - 37)=0, "",INDEX(EmployeeData[Exit Reason], ROW() - 37)),"")</f>
        <v/>
      </c>
      <c r="J4182" s="4" t="str" cm="1">
        <f t="array" ref="J4182">IFERROR(INDEX(EmployeeData[Status], ROW() - 37), "")</f>
        <v/>
      </c>
    </row>
    <row r="4183" spans="2:10" ht="19.95" customHeight="1" x14ac:dyDescent="0.3">
      <c r="B4183" s="4" t="str" cm="1">
        <f t="array" ref="B4183">IFERROR(INDEX(EmployeeData[Employee ID], ROW() - 37), "")</f>
        <v/>
      </c>
      <c r="C4183" s="4" t="str" cm="1">
        <f t="array" ref="C4183">IFERROR(INDEX(EmployeeData[Full Name], ROW() - 37), "")</f>
        <v/>
      </c>
      <c r="D4183" s="4" t="str" cm="1">
        <f t="array" ref="D4183">IFERROR(INDEX(EmployeeData[Department], ROW() - 37), "")</f>
        <v/>
      </c>
      <c r="E4183" s="4" t="str" cm="1">
        <f t="array" ref="E4183">IFERROR(INDEX(EmployeeData[Gender], ROW() - 37), "")</f>
        <v/>
      </c>
      <c r="F4183" s="4" t="str" cm="1">
        <f t="array" ref="F4183">IFERROR(INDEX(EmployeeData[Age], ROW() - 37), "")</f>
        <v/>
      </c>
      <c r="G4183" s="6" t="str" cm="1">
        <f t="array" ref="G4183">IFERROR(INDEX(EmployeeData[Join Date], ROW() - 37), "")</f>
        <v/>
      </c>
      <c r="H4183" s="6" t="str" cm="1">
        <f t="array" ref="H4183">IFERROR(IF(INDEX(EmployeeData[Exit Date], ROW() - 37)=0, "",INDEX(EmployeeData[Exit Date], ROW() - 37)),"")</f>
        <v/>
      </c>
      <c r="I4183" s="4" t="str" cm="1">
        <f t="array" ref="I4183">IFERROR(IF(INDEX(EmployeeData[Exit Reason], ROW() - 37)=0, "",INDEX(EmployeeData[Exit Reason], ROW() - 37)),"")</f>
        <v/>
      </c>
      <c r="J4183" s="4" t="str" cm="1">
        <f t="array" ref="J4183">IFERROR(INDEX(EmployeeData[Status], ROW() - 37), "")</f>
        <v/>
      </c>
    </row>
    <row r="4184" spans="2:10" ht="19.95" customHeight="1" x14ac:dyDescent="0.3">
      <c r="B4184" s="4" t="str" cm="1">
        <f t="array" ref="B4184">IFERROR(INDEX(EmployeeData[Employee ID], ROW() - 37), "")</f>
        <v/>
      </c>
      <c r="C4184" s="4" t="str" cm="1">
        <f t="array" ref="C4184">IFERROR(INDEX(EmployeeData[Full Name], ROW() - 37), "")</f>
        <v/>
      </c>
      <c r="D4184" s="4" t="str" cm="1">
        <f t="array" ref="D4184">IFERROR(INDEX(EmployeeData[Department], ROW() - 37), "")</f>
        <v/>
      </c>
      <c r="E4184" s="4" t="str" cm="1">
        <f t="array" ref="E4184">IFERROR(INDEX(EmployeeData[Gender], ROW() - 37), "")</f>
        <v/>
      </c>
      <c r="F4184" s="4" t="str" cm="1">
        <f t="array" ref="F4184">IFERROR(INDEX(EmployeeData[Age], ROW() - 37), "")</f>
        <v/>
      </c>
      <c r="G4184" s="6" t="str" cm="1">
        <f t="array" ref="G4184">IFERROR(INDEX(EmployeeData[Join Date], ROW() - 37), "")</f>
        <v/>
      </c>
      <c r="H4184" s="6" t="str" cm="1">
        <f t="array" ref="H4184">IFERROR(IF(INDEX(EmployeeData[Exit Date], ROW() - 37)=0, "",INDEX(EmployeeData[Exit Date], ROW() - 37)),"")</f>
        <v/>
      </c>
      <c r="I4184" s="4" t="str" cm="1">
        <f t="array" ref="I4184">IFERROR(IF(INDEX(EmployeeData[Exit Reason], ROW() - 37)=0, "",INDEX(EmployeeData[Exit Reason], ROW() - 37)),"")</f>
        <v/>
      </c>
      <c r="J4184" s="4" t="str" cm="1">
        <f t="array" ref="J4184">IFERROR(INDEX(EmployeeData[Status], ROW() - 37), "")</f>
        <v/>
      </c>
    </row>
    <row r="4185" spans="2:10" ht="19.95" customHeight="1" x14ac:dyDescent="0.3">
      <c r="B4185" s="4" t="str" cm="1">
        <f t="array" ref="B4185">IFERROR(INDEX(EmployeeData[Employee ID], ROW() - 37), "")</f>
        <v/>
      </c>
      <c r="C4185" s="4" t="str" cm="1">
        <f t="array" ref="C4185">IFERROR(INDEX(EmployeeData[Full Name], ROW() - 37), "")</f>
        <v/>
      </c>
      <c r="D4185" s="4" t="str" cm="1">
        <f t="array" ref="D4185">IFERROR(INDEX(EmployeeData[Department], ROW() - 37), "")</f>
        <v/>
      </c>
      <c r="E4185" s="4" t="str" cm="1">
        <f t="array" ref="E4185">IFERROR(INDEX(EmployeeData[Gender], ROW() - 37), "")</f>
        <v/>
      </c>
      <c r="F4185" s="4" t="str" cm="1">
        <f t="array" ref="F4185">IFERROR(INDEX(EmployeeData[Age], ROW() - 37), "")</f>
        <v/>
      </c>
      <c r="G4185" s="6" t="str" cm="1">
        <f t="array" ref="G4185">IFERROR(INDEX(EmployeeData[Join Date], ROW() - 37), "")</f>
        <v/>
      </c>
      <c r="H4185" s="6" t="str" cm="1">
        <f t="array" ref="H4185">IFERROR(IF(INDEX(EmployeeData[Exit Date], ROW() - 37)=0, "",INDEX(EmployeeData[Exit Date], ROW() - 37)),"")</f>
        <v/>
      </c>
      <c r="I4185" s="4" t="str" cm="1">
        <f t="array" ref="I4185">IFERROR(IF(INDEX(EmployeeData[Exit Reason], ROW() - 37)=0, "",INDEX(EmployeeData[Exit Reason], ROW() - 37)),"")</f>
        <v/>
      </c>
      <c r="J4185" s="4" t="str" cm="1">
        <f t="array" ref="J4185">IFERROR(INDEX(EmployeeData[Status], ROW() - 37), "")</f>
        <v/>
      </c>
    </row>
    <row r="4186" spans="2:10" ht="19.95" customHeight="1" x14ac:dyDescent="0.3">
      <c r="B4186" s="4" t="str" cm="1">
        <f t="array" ref="B4186">IFERROR(INDEX(EmployeeData[Employee ID], ROW() - 37), "")</f>
        <v/>
      </c>
      <c r="C4186" s="4" t="str" cm="1">
        <f t="array" ref="C4186">IFERROR(INDEX(EmployeeData[Full Name], ROW() - 37), "")</f>
        <v/>
      </c>
      <c r="D4186" s="4" t="str" cm="1">
        <f t="array" ref="D4186">IFERROR(INDEX(EmployeeData[Department], ROW() - 37), "")</f>
        <v/>
      </c>
      <c r="E4186" s="4" t="str" cm="1">
        <f t="array" ref="E4186">IFERROR(INDEX(EmployeeData[Gender], ROW() - 37), "")</f>
        <v/>
      </c>
      <c r="F4186" s="4" t="str" cm="1">
        <f t="array" ref="F4186">IFERROR(INDEX(EmployeeData[Age], ROW() - 37), "")</f>
        <v/>
      </c>
      <c r="G4186" s="6" t="str" cm="1">
        <f t="array" ref="G4186">IFERROR(INDEX(EmployeeData[Join Date], ROW() - 37), "")</f>
        <v/>
      </c>
      <c r="H4186" s="6" t="str" cm="1">
        <f t="array" ref="H4186">IFERROR(IF(INDEX(EmployeeData[Exit Date], ROW() - 37)=0, "",INDEX(EmployeeData[Exit Date], ROW() - 37)),"")</f>
        <v/>
      </c>
      <c r="I4186" s="4" t="str" cm="1">
        <f t="array" ref="I4186">IFERROR(IF(INDEX(EmployeeData[Exit Reason], ROW() - 37)=0, "",INDEX(EmployeeData[Exit Reason], ROW() - 37)),"")</f>
        <v/>
      </c>
      <c r="J4186" s="4" t="str" cm="1">
        <f t="array" ref="J4186">IFERROR(INDEX(EmployeeData[Status], ROW() - 37), "")</f>
        <v/>
      </c>
    </row>
    <row r="4187" spans="2:10" ht="19.95" customHeight="1" x14ac:dyDescent="0.3">
      <c r="B4187" s="4" t="str" cm="1">
        <f t="array" ref="B4187">IFERROR(INDEX(EmployeeData[Employee ID], ROW() - 37), "")</f>
        <v/>
      </c>
      <c r="C4187" s="4" t="str" cm="1">
        <f t="array" ref="C4187">IFERROR(INDEX(EmployeeData[Full Name], ROW() - 37), "")</f>
        <v/>
      </c>
      <c r="D4187" s="4" t="str" cm="1">
        <f t="array" ref="D4187">IFERROR(INDEX(EmployeeData[Department], ROW() - 37), "")</f>
        <v/>
      </c>
      <c r="E4187" s="4" t="str" cm="1">
        <f t="array" ref="E4187">IFERROR(INDEX(EmployeeData[Gender], ROW() - 37), "")</f>
        <v/>
      </c>
      <c r="F4187" s="4" t="str" cm="1">
        <f t="array" ref="F4187">IFERROR(INDEX(EmployeeData[Age], ROW() - 37), "")</f>
        <v/>
      </c>
      <c r="G4187" s="6" t="str" cm="1">
        <f t="array" ref="G4187">IFERROR(INDEX(EmployeeData[Join Date], ROW() - 37), "")</f>
        <v/>
      </c>
      <c r="H4187" s="6" t="str" cm="1">
        <f t="array" ref="H4187">IFERROR(IF(INDEX(EmployeeData[Exit Date], ROW() - 37)=0, "",INDEX(EmployeeData[Exit Date], ROW() - 37)),"")</f>
        <v/>
      </c>
      <c r="I4187" s="4" t="str" cm="1">
        <f t="array" ref="I4187">IFERROR(IF(INDEX(EmployeeData[Exit Reason], ROW() - 37)=0, "",INDEX(EmployeeData[Exit Reason], ROW() - 37)),"")</f>
        <v/>
      </c>
      <c r="J4187" s="4" t="str" cm="1">
        <f t="array" ref="J4187">IFERROR(INDEX(EmployeeData[Status], ROW() - 37), "")</f>
        <v/>
      </c>
    </row>
    <row r="4188" spans="2:10" ht="19.95" customHeight="1" x14ac:dyDescent="0.3">
      <c r="B4188" s="4" t="str" cm="1">
        <f t="array" ref="B4188">IFERROR(INDEX(EmployeeData[Employee ID], ROW() - 37), "")</f>
        <v/>
      </c>
      <c r="C4188" s="4" t="str" cm="1">
        <f t="array" ref="C4188">IFERROR(INDEX(EmployeeData[Full Name], ROW() - 37), "")</f>
        <v/>
      </c>
      <c r="D4188" s="4" t="str" cm="1">
        <f t="array" ref="D4188">IFERROR(INDEX(EmployeeData[Department], ROW() - 37), "")</f>
        <v/>
      </c>
      <c r="E4188" s="4" t="str" cm="1">
        <f t="array" ref="E4188">IFERROR(INDEX(EmployeeData[Gender], ROW() - 37), "")</f>
        <v/>
      </c>
      <c r="F4188" s="4" t="str" cm="1">
        <f t="array" ref="F4188">IFERROR(INDEX(EmployeeData[Age], ROW() - 37), "")</f>
        <v/>
      </c>
      <c r="G4188" s="6" t="str" cm="1">
        <f t="array" ref="G4188">IFERROR(INDEX(EmployeeData[Join Date], ROW() - 37), "")</f>
        <v/>
      </c>
      <c r="H4188" s="6" t="str" cm="1">
        <f t="array" ref="H4188">IFERROR(IF(INDEX(EmployeeData[Exit Date], ROW() - 37)=0, "",INDEX(EmployeeData[Exit Date], ROW() - 37)),"")</f>
        <v/>
      </c>
      <c r="I4188" s="4" t="str" cm="1">
        <f t="array" ref="I4188">IFERROR(IF(INDEX(EmployeeData[Exit Reason], ROW() - 37)=0, "",INDEX(EmployeeData[Exit Reason], ROW() - 37)),"")</f>
        <v/>
      </c>
      <c r="J4188" s="4" t="str" cm="1">
        <f t="array" ref="J4188">IFERROR(INDEX(EmployeeData[Status], ROW() - 37), "")</f>
        <v/>
      </c>
    </row>
    <row r="4189" spans="2:10" ht="19.95" customHeight="1" x14ac:dyDescent="0.3">
      <c r="B4189" s="4" t="str" cm="1">
        <f t="array" ref="B4189">IFERROR(INDEX(EmployeeData[Employee ID], ROW() - 37), "")</f>
        <v/>
      </c>
      <c r="C4189" s="4" t="str" cm="1">
        <f t="array" ref="C4189">IFERROR(INDEX(EmployeeData[Full Name], ROW() - 37), "")</f>
        <v/>
      </c>
      <c r="D4189" s="4" t="str" cm="1">
        <f t="array" ref="D4189">IFERROR(INDEX(EmployeeData[Department], ROW() - 37), "")</f>
        <v/>
      </c>
      <c r="E4189" s="4" t="str" cm="1">
        <f t="array" ref="E4189">IFERROR(INDEX(EmployeeData[Gender], ROW() - 37), "")</f>
        <v/>
      </c>
      <c r="F4189" s="4" t="str" cm="1">
        <f t="array" ref="F4189">IFERROR(INDEX(EmployeeData[Age], ROW() - 37), "")</f>
        <v/>
      </c>
      <c r="G4189" s="6" t="str" cm="1">
        <f t="array" ref="G4189">IFERROR(INDEX(EmployeeData[Join Date], ROW() - 37), "")</f>
        <v/>
      </c>
      <c r="H4189" s="6" t="str" cm="1">
        <f t="array" ref="H4189">IFERROR(IF(INDEX(EmployeeData[Exit Date], ROW() - 37)=0, "",INDEX(EmployeeData[Exit Date], ROW() - 37)),"")</f>
        <v/>
      </c>
      <c r="I4189" s="4" t="str" cm="1">
        <f t="array" ref="I4189">IFERROR(IF(INDEX(EmployeeData[Exit Reason], ROW() - 37)=0, "",INDEX(EmployeeData[Exit Reason], ROW() - 37)),"")</f>
        <v/>
      </c>
      <c r="J4189" s="4" t="str" cm="1">
        <f t="array" ref="J4189">IFERROR(INDEX(EmployeeData[Status], ROW() - 37), "")</f>
        <v/>
      </c>
    </row>
    <row r="4190" spans="2:10" ht="19.95" customHeight="1" x14ac:dyDescent="0.3">
      <c r="B4190" s="4" t="str" cm="1">
        <f t="array" ref="B4190">IFERROR(INDEX(EmployeeData[Employee ID], ROW() - 37), "")</f>
        <v/>
      </c>
      <c r="C4190" s="4" t="str" cm="1">
        <f t="array" ref="C4190">IFERROR(INDEX(EmployeeData[Full Name], ROW() - 37), "")</f>
        <v/>
      </c>
      <c r="D4190" s="4" t="str" cm="1">
        <f t="array" ref="D4190">IFERROR(INDEX(EmployeeData[Department], ROW() - 37), "")</f>
        <v/>
      </c>
      <c r="E4190" s="4" t="str" cm="1">
        <f t="array" ref="E4190">IFERROR(INDEX(EmployeeData[Gender], ROW() - 37), "")</f>
        <v/>
      </c>
      <c r="F4190" s="4" t="str" cm="1">
        <f t="array" ref="F4190">IFERROR(INDEX(EmployeeData[Age], ROW() - 37), "")</f>
        <v/>
      </c>
      <c r="G4190" s="6" t="str" cm="1">
        <f t="array" ref="G4190">IFERROR(INDEX(EmployeeData[Join Date], ROW() - 37), "")</f>
        <v/>
      </c>
      <c r="H4190" s="6" t="str" cm="1">
        <f t="array" ref="H4190">IFERROR(IF(INDEX(EmployeeData[Exit Date], ROW() - 37)=0, "",INDEX(EmployeeData[Exit Date], ROW() - 37)),"")</f>
        <v/>
      </c>
      <c r="I4190" s="4" t="str" cm="1">
        <f t="array" ref="I4190">IFERROR(IF(INDEX(EmployeeData[Exit Reason], ROW() - 37)=0, "",INDEX(EmployeeData[Exit Reason], ROW() - 37)),"")</f>
        <v/>
      </c>
      <c r="J4190" s="4" t="str" cm="1">
        <f t="array" ref="J4190">IFERROR(INDEX(EmployeeData[Status], ROW() - 37), "")</f>
        <v/>
      </c>
    </row>
    <row r="4191" spans="2:10" ht="19.95" customHeight="1" x14ac:dyDescent="0.3">
      <c r="B4191" s="4" t="str" cm="1">
        <f t="array" ref="B4191">IFERROR(INDEX(EmployeeData[Employee ID], ROW() - 37), "")</f>
        <v/>
      </c>
      <c r="C4191" s="4" t="str" cm="1">
        <f t="array" ref="C4191">IFERROR(INDEX(EmployeeData[Full Name], ROW() - 37), "")</f>
        <v/>
      </c>
      <c r="D4191" s="4" t="str" cm="1">
        <f t="array" ref="D4191">IFERROR(INDEX(EmployeeData[Department], ROW() - 37), "")</f>
        <v/>
      </c>
      <c r="E4191" s="4" t="str" cm="1">
        <f t="array" ref="E4191">IFERROR(INDEX(EmployeeData[Gender], ROW() - 37), "")</f>
        <v/>
      </c>
      <c r="F4191" s="4" t="str" cm="1">
        <f t="array" ref="F4191">IFERROR(INDEX(EmployeeData[Age], ROW() - 37), "")</f>
        <v/>
      </c>
      <c r="G4191" s="6" t="str" cm="1">
        <f t="array" ref="G4191">IFERROR(INDEX(EmployeeData[Join Date], ROW() - 37), "")</f>
        <v/>
      </c>
      <c r="H4191" s="6" t="str" cm="1">
        <f t="array" ref="H4191">IFERROR(IF(INDEX(EmployeeData[Exit Date], ROW() - 37)=0, "",INDEX(EmployeeData[Exit Date], ROW() - 37)),"")</f>
        <v/>
      </c>
      <c r="I4191" s="4" t="str" cm="1">
        <f t="array" ref="I4191">IFERROR(IF(INDEX(EmployeeData[Exit Reason], ROW() - 37)=0, "",INDEX(EmployeeData[Exit Reason], ROW() - 37)),"")</f>
        <v/>
      </c>
      <c r="J4191" s="4" t="str" cm="1">
        <f t="array" ref="J4191">IFERROR(INDEX(EmployeeData[Status], ROW() - 37), "")</f>
        <v/>
      </c>
    </row>
    <row r="4192" spans="2:10" ht="19.95" customHeight="1" x14ac:dyDescent="0.3">
      <c r="B4192" s="4" t="str" cm="1">
        <f t="array" ref="B4192">IFERROR(INDEX(EmployeeData[Employee ID], ROW() - 37), "")</f>
        <v/>
      </c>
      <c r="C4192" s="4" t="str" cm="1">
        <f t="array" ref="C4192">IFERROR(INDEX(EmployeeData[Full Name], ROW() - 37), "")</f>
        <v/>
      </c>
      <c r="D4192" s="4" t="str" cm="1">
        <f t="array" ref="D4192">IFERROR(INDEX(EmployeeData[Department], ROW() - 37), "")</f>
        <v/>
      </c>
      <c r="E4192" s="4" t="str" cm="1">
        <f t="array" ref="E4192">IFERROR(INDEX(EmployeeData[Gender], ROW() - 37), "")</f>
        <v/>
      </c>
      <c r="F4192" s="4" t="str" cm="1">
        <f t="array" ref="F4192">IFERROR(INDEX(EmployeeData[Age], ROW() - 37), "")</f>
        <v/>
      </c>
      <c r="G4192" s="6" t="str" cm="1">
        <f t="array" ref="G4192">IFERROR(INDEX(EmployeeData[Join Date], ROW() - 37), "")</f>
        <v/>
      </c>
      <c r="H4192" s="6" t="str" cm="1">
        <f t="array" ref="H4192">IFERROR(IF(INDEX(EmployeeData[Exit Date], ROW() - 37)=0, "",INDEX(EmployeeData[Exit Date], ROW() - 37)),"")</f>
        <v/>
      </c>
      <c r="I4192" s="4" t="str" cm="1">
        <f t="array" ref="I4192">IFERROR(IF(INDEX(EmployeeData[Exit Reason], ROW() - 37)=0, "",INDEX(EmployeeData[Exit Reason], ROW() - 37)),"")</f>
        <v/>
      </c>
      <c r="J4192" s="4" t="str" cm="1">
        <f t="array" ref="J4192">IFERROR(INDEX(EmployeeData[Status], ROW() - 37), "")</f>
        <v/>
      </c>
    </row>
    <row r="4193" spans="2:10" ht="19.95" customHeight="1" x14ac:dyDescent="0.3">
      <c r="B4193" s="4" t="str" cm="1">
        <f t="array" ref="B4193">IFERROR(INDEX(EmployeeData[Employee ID], ROW() - 37), "")</f>
        <v/>
      </c>
      <c r="C4193" s="4" t="str" cm="1">
        <f t="array" ref="C4193">IFERROR(INDEX(EmployeeData[Full Name], ROW() - 37), "")</f>
        <v/>
      </c>
      <c r="D4193" s="4" t="str" cm="1">
        <f t="array" ref="D4193">IFERROR(INDEX(EmployeeData[Department], ROW() - 37), "")</f>
        <v/>
      </c>
      <c r="E4193" s="4" t="str" cm="1">
        <f t="array" ref="E4193">IFERROR(INDEX(EmployeeData[Gender], ROW() - 37), "")</f>
        <v/>
      </c>
      <c r="F4193" s="4" t="str" cm="1">
        <f t="array" ref="F4193">IFERROR(INDEX(EmployeeData[Age], ROW() - 37), "")</f>
        <v/>
      </c>
      <c r="G4193" s="6" t="str" cm="1">
        <f t="array" ref="G4193">IFERROR(INDEX(EmployeeData[Join Date], ROW() - 37), "")</f>
        <v/>
      </c>
      <c r="H4193" s="6" t="str" cm="1">
        <f t="array" ref="H4193">IFERROR(IF(INDEX(EmployeeData[Exit Date], ROW() - 37)=0, "",INDEX(EmployeeData[Exit Date], ROW() - 37)),"")</f>
        <v/>
      </c>
      <c r="I4193" s="4" t="str" cm="1">
        <f t="array" ref="I4193">IFERROR(IF(INDEX(EmployeeData[Exit Reason], ROW() - 37)=0, "",INDEX(EmployeeData[Exit Reason], ROW() - 37)),"")</f>
        <v/>
      </c>
      <c r="J4193" s="4" t="str" cm="1">
        <f t="array" ref="J4193">IFERROR(INDEX(EmployeeData[Status], ROW() - 37), "")</f>
        <v/>
      </c>
    </row>
    <row r="4194" spans="2:10" ht="19.95" customHeight="1" x14ac:dyDescent="0.3">
      <c r="B4194" s="4" t="str" cm="1">
        <f t="array" ref="B4194">IFERROR(INDEX(EmployeeData[Employee ID], ROW() - 37), "")</f>
        <v/>
      </c>
      <c r="C4194" s="4" t="str" cm="1">
        <f t="array" ref="C4194">IFERROR(INDEX(EmployeeData[Full Name], ROW() - 37), "")</f>
        <v/>
      </c>
      <c r="D4194" s="4" t="str" cm="1">
        <f t="array" ref="D4194">IFERROR(INDEX(EmployeeData[Department], ROW() - 37), "")</f>
        <v/>
      </c>
      <c r="E4194" s="4" t="str" cm="1">
        <f t="array" ref="E4194">IFERROR(INDEX(EmployeeData[Gender], ROW() - 37), "")</f>
        <v/>
      </c>
      <c r="F4194" s="4" t="str" cm="1">
        <f t="array" ref="F4194">IFERROR(INDEX(EmployeeData[Age], ROW() - 37), "")</f>
        <v/>
      </c>
      <c r="G4194" s="6" t="str" cm="1">
        <f t="array" ref="G4194">IFERROR(INDEX(EmployeeData[Join Date], ROW() - 37), "")</f>
        <v/>
      </c>
      <c r="H4194" s="6" t="str" cm="1">
        <f t="array" ref="H4194">IFERROR(IF(INDEX(EmployeeData[Exit Date], ROW() - 37)=0, "",INDEX(EmployeeData[Exit Date], ROW() - 37)),"")</f>
        <v/>
      </c>
      <c r="I4194" s="4" t="str" cm="1">
        <f t="array" ref="I4194">IFERROR(IF(INDEX(EmployeeData[Exit Reason], ROW() - 37)=0, "",INDEX(EmployeeData[Exit Reason], ROW() - 37)),"")</f>
        <v/>
      </c>
      <c r="J4194" s="4" t="str" cm="1">
        <f t="array" ref="J4194">IFERROR(INDEX(EmployeeData[Status], ROW() - 37), "")</f>
        <v/>
      </c>
    </row>
    <row r="4195" spans="2:10" ht="19.95" customHeight="1" x14ac:dyDescent="0.3">
      <c r="B4195" s="4" t="str" cm="1">
        <f t="array" ref="B4195">IFERROR(INDEX(EmployeeData[Employee ID], ROW() - 37), "")</f>
        <v/>
      </c>
      <c r="C4195" s="4" t="str" cm="1">
        <f t="array" ref="C4195">IFERROR(INDEX(EmployeeData[Full Name], ROW() - 37), "")</f>
        <v/>
      </c>
      <c r="D4195" s="4" t="str" cm="1">
        <f t="array" ref="D4195">IFERROR(INDEX(EmployeeData[Department], ROW() - 37), "")</f>
        <v/>
      </c>
      <c r="E4195" s="4" t="str" cm="1">
        <f t="array" ref="E4195">IFERROR(INDEX(EmployeeData[Gender], ROW() - 37), "")</f>
        <v/>
      </c>
      <c r="F4195" s="4" t="str" cm="1">
        <f t="array" ref="F4195">IFERROR(INDEX(EmployeeData[Age], ROW() - 37), "")</f>
        <v/>
      </c>
      <c r="G4195" s="6" t="str" cm="1">
        <f t="array" ref="G4195">IFERROR(INDEX(EmployeeData[Join Date], ROW() - 37), "")</f>
        <v/>
      </c>
      <c r="H4195" s="6" t="str" cm="1">
        <f t="array" ref="H4195">IFERROR(IF(INDEX(EmployeeData[Exit Date], ROW() - 37)=0, "",INDEX(EmployeeData[Exit Date], ROW() - 37)),"")</f>
        <v/>
      </c>
      <c r="I4195" s="4" t="str" cm="1">
        <f t="array" ref="I4195">IFERROR(IF(INDEX(EmployeeData[Exit Reason], ROW() - 37)=0, "",INDEX(EmployeeData[Exit Reason], ROW() - 37)),"")</f>
        <v/>
      </c>
      <c r="J4195" s="4" t="str" cm="1">
        <f t="array" ref="J4195">IFERROR(INDEX(EmployeeData[Status], ROW() - 37), "")</f>
        <v/>
      </c>
    </row>
    <row r="4196" spans="2:10" ht="19.95" customHeight="1" x14ac:dyDescent="0.3">
      <c r="B4196" s="4" t="str" cm="1">
        <f t="array" ref="B4196">IFERROR(INDEX(EmployeeData[Employee ID], ROW() - 37), "")</f>
        <v/>
      </c>
      <c r="C4196" s="4" t="str" cm="1">
        <f t="array" ref="C4196">IFERROR(INDEX(EmployeeData[Full Name], ROW() - 37), "")</f>
        <v/>
      </c>
      <c r="D4196" s="4" t="str" cm="1">
        <f t="array" ref="D4196">IFERROR(INDEX(EmployeeData[Department], ROW() - 37), "")</f>
        <v/>
      </c>
      <c r="E4196" s="4" t="str" cm="1">
        <f t="array" ref="E4196">IFERROR(INDEX(EmployeeData[Gender], ROW() - 37), "")</f>
        <v/>
      </c>
      <c r="F4196" s="4" t="str" cm="1">
        <f t="array" ref="F4196">IFERROR(INDEX(EmployeeData[Age], ROW() - 37), "")</f>
        <v/>
      </c>
      <c r="G4196" s="6" t="str" cm="1">
        <f t="array" ref="G4196">IFERROR(INDEX(EmployeeData[Join Date], ROW() - 37), "")</f>
        <v/>
      </c>
      <c r="H4196" s="6" t="str" cm="1">
        <f t="array" ref="H4196">IFERROR(IF(INDEX(EmployeeData[Exit Date], ROW() - 37)=0, "",INDEX(EmployeeData[Exit Date], ROW() - 37)),"")</f>
        <v/>
      </c>
      <c r="I4196" s="4" t="str" cm="1">
        <f t="array" ref="I4196">IFERROR(IF(INDEX(EmployeeData[Exit Reason], ROW() - 37)=0, "",INDEX(EmployeeData[Exit Reason], ROW() - 37)),"")</f>
        <v/>
      </c>
      <c r="J4196" s="4" t="str" cm="1">
        <f t="array" ref="J4196">IFERROR(INDEX(EmployeeData[Status], ROW() - 37), "")</f>
        <v/>
      </c>
    </row>
    <row r="4197" spans="2:10" ht="19.95" customHeight="1" x14ac:dyDescent="0.3">
      <c r="B4197" s="4" t="str" cm="1">
        <f t="array" ref="B4197">IFERROR(INDEX(EmployeeData[Employee ID], ROW() - 37), "")</f>
        <v/>
      </c>
      <c r="C4197" s="4" t="str" cm="1">
        <f t="array" ref="C4197">IFERROR(INDEX(EmployeeData[Full Name], ROW() - 37), "")</f>
        <v/>
      </c>
      <c r="D4197" s="4" t="str" cm="1">
        <f t="array" ref="D4197">IFERROR(INDEX(EmployeeData[Department], ROW() - 37), "")</f>
        <v/>
      </c>
      <c r="E4197" s="4" t="str" cm="1">
        <f t="array" ref="E4197">IFERROR(INDEX(EmployeeData[Gender], ROW() - 37), "")</f>
        <v/>
      </c>
      <c r="F4197" s="4" t="str" cm="1">
        <f t="array" ref="F4197">IFERROR(INDEX(EmployeeData[Age], ROW() - 37), "")</f>
        <v/>
      </c>
      <c r="G4197" s="6" t="str" cm="1">
        <f t="array" ref="G4197">IFERROR(INDEX(EmployeeData[Join Date], ROW() - 37), "")</f>
        <v/>
      </c>
      <c r="H4197" s="6" t="str" cm="1">
        <f t="array" ref="H4197">IFERROR(IF(INDEX(EmployeeData[Exit Date], ROW() - 37)=0, "",INDEX(EmployeeData[Exit Date], ROW() - 37)),"")</f>
        <v/>
      </c>
      <c r="I4197" s="4" t="str" cm="1">
        <f t="array" ref="I4197">IFERROR(IF(INDEX(EmployeeData[Exit Reason], ROW() - 37)=0, "",INDEX(EmployeeData[Exit Reason], ROW() - 37)),"")</f>
        <v/>
      </c>
      <c r="J4197" s="4" t="str" cm="1">
        <f t="array" ref="J4197">IFERROR(INDEX(EmployeeData[Status], ROW() - 37), "")</f>
        <v/>
      </c>
    </row>
    <row r="4198" spans="2:10" ht="19.95" customHeight="1" x14ac:dyDescent="0.3">
      <c r="B4198" s="4" t="str" cm="1">
        <f t="array" ref="B4198">IFERROR(INDEX(EmployeeData[Employee ID], ROW() - 37), "")</f>
        <v/>
      </c>
      <c r="C4198" s="4" t="str" cm="1">
        <f t="array" ref="C4198">IFERROR(INDEX(EmployeeData[Full Name], ROW() - 37), "")</f>
        <v/>
      </c>
      <c r="D4198" s="4" t="str" cm="1">
        <f t="array" ref="D4198">IFERROR(INDEX(EmployeeData[Department], ROW() - 37), "")</f>
        <v/>
      </c>
      <c r="E4198" s="4" t="str" cm="1">
        <f t="array" ref="E4198">IFERROR(INDEX(EmployeeData[Gender], ROW() - 37), "")</f>
        <v/>
      </c>
      <c r="F4198" s="4" t="str" cm="1">
        <f t="array" ref="F4198">IFERROR(INDEX(EmployeeData[Age], ROW() - 37), "")</f>
        <v/>
      </c>
      <c r="G4198" s="6" t="str" cm="1">
        <f t="array" ref="G4198">IFERROR(INDEX(EmployeeData[Join Date], ROW() - 37), "")</f>
        <v/>
      </c>
      <c r="H4198" s="6" t="str" cm="1">
        <f t="array" ref="H4198">IFERROR(IF(INDEX(EmployeeData[Exit Date], ROW() - 37)=0, "",INDEX(EmployeeData[Exit Date], ROW() - 37)),"")</f>
        <v/>
      </c>
      <c r="I4198" s="4" t="str" cm="1">
        <f t="array" ref="I4198">IFERROR(IF(INDEX(EmployeeData[Exit Reason], ROW() - 37)=0, "",INDEX(EmployeeData[Exit Reason], ROW() - 37)),"")</f>
        <v/>
      </c>
      <c r="J4198" s="4" t="str" cm="1">
        <f t="array" ref="J4198">IFERROR(INDEX(EmployeeData[Status], ROW() - 37), "")</f>
        <v/>
      </c>
    </row>
    <row r="4199" spans="2:10" ht="19.95" customHeight="1" x14ac:dyDescent="0.3">
      <c r="B4199" s="4" t="str" cm="1">
        <f t="array" ref="B4199">IFERROR(INDEX(EmployeeData[Employee ID], ROW() - 37), "")</f>
        <v/>
      </c>
      <c r="C4199" s="4" t="str" cm="1">
        <f t="array" ref="C4199">IFERROR(INDEX(EmployeeData[Full Name], ROW() - 37), "")</f>
        <v/>
      </c>
      <c r="D4199" s="4" t="str" cm="1">
        <f t="array" ref="D4199">IFERROR(INDEX(EmployeeData[Department], ROW() - 37), "")</f>
        <v/>
      </c>
      <c r="E4199" s="4" t="str" cm="1">
        <f t="array" ref="E4199">IFERROR(INDEX(EmployeeData[Gender], ROW() - 37), "")</f>
        <v/>
      </c>
      <c r="F4199" s="4" t="str" cm="1">
        <f t="array" ref="F4199">IFERROR(INDEX(EmployeeData[Age], ROW() - 37), "")</f>
        <v/>
      </c>
      <c r="G4199" s="6" t="str" cm="1">
        <f t="array" ref="G4199">IFERROR(INDEX(EmployeeData[Join Date], ROW() - 37), "")</f>
        <v/>
      </c>
      <c r="H4199" s="6" t="str" cm="1">
        <f t="array" ref="H4199">IFERROR(IF(INDEX(EmployeeData[Exit Date], ROW() - 37)=0, "",INDEX(EmployeeData[Exit Date], ROW() - 37)),"")</f>
        <v/>
      </c>
      <c r="I4199" s="4" t="str" cm="1">
        <f t="array" ref="I4199">IFERROR(IF(INDEX(EmployeeData[Exit Reason], ROW() - 37)=0, "",INDEX(EmployeeData[Exit Reason], ROW() - 37)),"")</f>
        <v/>
      </c>
      <c r="J4199" s="4" t="str" cm="1">
        <f t="array" ref="J4199">IFERROR(INDEX(EmployeeData[Status], ROW() - 37), "")</f>
        <v/>
      </c>
    </row>
    <row r="4200" spans="2:10" ht="19.95" customHeight="1" x14ac:dyDescent="0.3">
      <c r="B4200" s="4" t="str" cm="1">
        <f t="array" ref="B4200">IFERROR(INDEX(EmployeeData[Employee ID], ROW() - 37), "")</f>
        <v/>
      </c>
      <c r="C4200" s="4" t="str" cm="1">
        <f t="array" ref="C4200">IFERROR(INDEX(EmployeeData[Full Name], ROW() - 37), "")</f>
        <v/>
      </c>
      <c r="D4200" s="4" t="str" cm="1">
        <f t="array" ref="D4200">IFERROR(INDEX(EmployeeData[Department], ROW() - 37), "")</f>
        <v/>
      </c>
      <c r="E4200" s="4" t="str" cm="1">
        <f t="array" ref="E4200">IFERROR(INDEX(EmployeeData[Gender], ROW() - 37), "")</f>
        <v/>
      </c>
      <c r="F4200" s="4" t="str" cm="1">
        <f t="array" ref="F4200">IFERROR(INDEX(EmployeeData[Age], ROW() - 37), "")</f>
        <v/>
      </c>
      <c r="G4200" s="6" t="str" cm="1">
        <f t="array" ref="G4200">IFERROR(INDEX(EmployeeData[Join Date], ROW() - 37), "")</f>
        <v/>
      </c>
      <c r="H4200" s="6" t="str" cm="1">
        <f t="array" ref="H4200">IFERROR(IF(INDEX(EmployeeData[Exit Date], ROW() - 37)=0, "",INDEX(EmployeeData[Exit Date], ROW() - 37)),"")</f>
        <v/>
      </c>
      <c r="I4200" s="4" t="str" cm="1">
        <f t="array" ref="I4200">IFERROR(IF(INDEX(EmployeeData[Exit Reason], ROW() - 37)=0, "",INDEX(EmployeeData[Exit Reason], ROW() - 37)),"")</f>
        <v/>
      </c>
      <c r="J4200" s="4" t="str" cm="1">
        <f t="array" ref="J4200">IFERROR(INDEX(EmployeeData[Status], ROW() - 37), "")</f>
        <v/>
      </c>
    </row>
    <row r="4201" spans="2:10" ht="19.95" customHeight="1" x14ac:dyDescent="0.3">
      <c r="B4201" s="4" t="str" cm="1">
        <f t="array" ref="B4201">IFERROR(INDEX(EmployeeData[Employee ID], ROW() - 37), "")</f>
        <v/>
      </c>
      <c r="C4201" s="4" t="str" cm="1">
        <f t="array" ref="C4201">IFERROR(INDEX(EmployeeData[Full Name], ROW() - 37), "")</f>
        <v/>
      </c>
      <c r="D4201" s="4" t="str" cm="1">
        <f t="array" ref="D4201">IFERROR(INDEX(EmployeeData[Department], ROW() - 37), "")</f>
        <v/>
      </c>
      <c r="E4201" s="4" t="str" cm="1">
        <f t="array" ref="E4201">IFERROR(INDEX(EmployeeData[Gender], ROW() - 37), "")</f>
        <v/>
      </c>
      <c r="F4201" s="4" t="str" cm="1">
        <f t="array" ref="F4201">IFERROR(INDEX(EmployeeData[Age], ROW() - 37), "")</f>
        <v/>
      </c>
      <c r="G4201" s="6" t="str" cm="1">
        <f t="array" ref="G4201">IFERROR(INDEX(EmployeeData[Join Date], ROW() - 37), "")</f>
        <v/>
      </c>
      <c r="H4201" s="6" t="str" cm="1">
        <f t="array" ref="H4201">IFERROR(IF(INDEX(EmployeeData[Exit Date], ROW() - 37)=0, "",INDEX(EmployeeData[Exit Date], ROW() - 37)),"")</f>
        <v/>
      </c>
      <c r="I4201" s="4" t="str" cm="1">
        <f t="array" ref="I4201">IFERROR(IF(INDEX(EmployeeData[Exit Reason], ROW() - 37)=0, "",INDEX(EmployeeData[Exit Reason], ROW() - 37)),"")</f>
        <v/>
      </c>
      <c r="J4201" s="4" t="str" cm="1">
        <f t="array" ref="J4201">IFERROR(INDEX(EmployeeData[Status], ROW() - 37), "")</f>
        <v/>
      </c>
    </row>
    <row r="4202" spans="2:10" ht="19.95" customHeight="1" x14ac:dyDescent="0.3">
      <c r="B4202" s="4" t="str" cm="1">
        <f t="array" ref="B4202">IFERROR(INDEX(EmployeeData[Employee ID], ROW() - 37), "")</f>
        <v/>
      </c>
      <c r="C4202" s="4" t="str" cm="1">
        <f t="array" ref="C4202">IFERROR(INDEX(EmployeeData[Full Name], ROW() - 37), "")</f>
        <v/>
      </c>
      <c r="D4202" s="4" t="str" cm="1">
        <f t="array" ref="D4202">IFERROR(INDEX(EmployeeData[Department], ROW() - 37), "")</f>
        <v/>
      </c>
      <c r="E4202" s="4" t="str" cm="1">
        <f t="array" ref="E4202">IFERROR(INDEX(EmployeeData[Gender], ROW() - 37), "")</f>
        <v/>
      </c>
      <c r="F4202" s="4" t="str" cm="1">
        <f t="array" ref="F4202">IFERROR(INDEX(EmployeeData[Age], ROW() - 37), "")</f>
        <v/>
      </c>
      <c r="G4202" s="6" t="str" cm="1">
        <f t="array" ref="G4202">IFERROR(INDEX(EmployeeData[Join Date], ROW() - 37), "")</f>
        <v/>
      </c>
      <c r="H4202" s="6" t="str" cm="1">
        <f t="array" ref="H4202">IFERROR(IF(INDEX(EmployeeData[Exit Date], ROW() - 37)=0, "",INDEX(EmployeeData[Exit Date], ROW() - 37)),"")</f>
        <v/>
      </c>
      <c r="I4202" s="4" t="str" cm="1">
        <f t="array" ref="I4202">IFERROR(IF(INDEX(EmployeeData[Exit Reason], ROW() - 37)=0, "",INDEX(EmployeeData[Exit Reason], ROW() - 37)),"")</f>
        <v/>
      </c>
      <c r="J4202" s="4" t="str" cm="1">
        <f t="array" ref="J4202">IFERROR(INDEX(EmployeeData[Status], ROW() - 37), "")</f>
        <v/>
      </c>
    </row>
    <row r="4203" spans="2:10" ht="19.95" customHeight="1" x14ac:dyDescent="0.3">
      <c r="B4203" s="4" t="str" cm="1">
        <f t="array" ref="B4203">IFERROR(INDEX(EmployeeData[Employee ID], ROW() - 37), "")</f>
        <v/>
      </c>
      <c r="C4203" s="4" t="str" cm="1">
        <f t="array" ref="C4203">IFERROR(INDEX(EmployeeData[Full Name], ROW() - 37), "")</f>
        <v/>
      </c>
      <c r="D4203" s="4" t="str" cm="1">
        <f t="array" ref="D4203">IFERROR(INDEX(EmployeeData[Department], ROW() - 37), "")</f>
        <v/>
      </c>
      <c r="E4203" s="4" t="str" cm="1">
        <f t="array" ref="E4203">IFERROR(INDEX(EmployeeData[Gender], ROW() - 37), "")</f>
        <v/>
      </c>
      <c r="F4203" s="4" t="str" cm="1">
        <f t="array" ref="F4203">IFERROR(INDEX(EmployeeData[Age], ROW() - 37), "")</f>
        <v/>
      </c>
      <c r="G4203" s="6" t="str" cm="1">
        <f t="array" ref="G4203">IFERROR(INDEX(EmployeeData[Join Date], ROW() - 37), "")</f>
        <v/>
      </c>
      <c r="H4203" s="6" t="str" cm="1">
        <f t="array" ref="H4203">IFERROR(IF(INDEX(EmployeeData[Exit Date], ROW() - 37)=0, "",INDEX(EmployeeData[Exit Date], ROW() - 37)),"")</f>
        <v/>
      </c>
      <c r="I4203" s="4" t="str" cm="1">
        <f t="array" ref="I4203">IFERROR(IF(INDEX(EmployeeData[Exit Reason], ROW() - 37)=0, "",INDEX(EmployeeData[Exit Reason], ROW() - 37)),"")</f>
        <v/>
      </c>
      <c r="J4203" s="4" t="str" cm="1">
        <f t="array" ref="J4203">IFERROR(INDEX(EmployeeData[Status], ROW() - 37), "")</f>
        <v/>
      </c>
    </row>
    <row r="4204" spans="2:10" ht="19.95" customHeight="1" x14ac:dyDescent="0.3">
      <c r="B4204" s="4" t="str" cm="1">
        <f t="array" ref="B4204">IFERROR(INDEX(EmployeeData[Employee ID], ROW() - 37), "")</f>
        <v/>
      </c>
      <c r="C4204" s="4" t="str" cm="1">
        <f t="array" ref="C4204">IFERROR(INDEX(EmployeeData[Full Name], ROW() - 37), "")</f>
        <v/>
      </c>
      <c r="D4204" s="4" t="str" cm="1">
        <f t="array" ref="D4204">IFERROR(INDEX(EmployeeData[Department], ROW() - 37), "")</f>
        <v/>
      </c>
      <c r="E4204" s="4" t="str" cm="1">
        <f t="array" ref="E4204">IFERROR(INDEX(EmployeeData[Gender], ROW() - 37), "")</f>
        <v/>
      </c>
      <c r="F4204" s="4" t="str" cm="1">
        <f t="array" ref="F4204">IFERROR(INDEX(EmployeeData[Age], ROW() - 37), "")</f>
        <v/>
      </c>
      <c r="G4204" s="6" t="str" cm="1">
        <f t="array" ref="G4204">IFERROR(INDEX(EmployeeData[Join Date], ROW() - 37), "")</f>
        <v/>
      </c>
      <c r="H4204" s="6" t="str" cm="1">
        <f t="array" ref="H4204">IFERROR(IF(INDEX(EmployeeData[Exit Date], ROW() - 37)=0, "",INDEX(EmployeeData[Exit Date], ROW() - 37)),"")</f>
        <v/>
      </c>
      <c r="I4204" s="4" t="str" cm="1">
        <f t="array" ref="I4204">IFERROR(IF(INDEX(EmployeeData[Exit Reason], ROW() - 37)=0, "",INDEX(EmployeeData[Exit Reason], ROW() - 37)),"")</f>
        <v/>
      </c>
      <c r="J4204" s="4" t="str" cm="1">
        <f t="array" ref="J4204">IFERROR(INDEX(EmployeeData[Status], ROW() - 37), "")</f>
        <v/>
      </c>
    </row>
    <row r="4205" spans="2:10" ht="19.95" customHeight="1" x14ac:dyDescent="0.3">
      <c r="B4205" s="4" t="str" cm="1">
        <f t="array" ref="B4205">IFERROR(INDEX(EmployeeData[Employee ID], ROW() - 37), "")</f>
        <v/>
      </c>
      <c r="C4205" s="4" t="str" cm="1">
        <f t="array" ref="C4205">IFERROR(INDEX(EmployeeData[Full Name], ROW() - 37), "")</f>
        <v/>
      </c>
      <c r="D4205" s="4" t="str" cm="1">
        <f t="array" ref="D4205">IFERROR(INDEX(EmployeeData[Department], ROW() - 37), "")</f>
        <v/>
      </c>
      <c r="E4205" s="4" t="str" cm="1">
        <f t="array" ref="E4205">IFERROR(INDEX(EmployeeData[Gender], ROW() - 37), "")</f>
        <v/>
      </c>
      <c r="F4205" s="4" t="str" cm="1">
        <f t="array" ref="F4205">IFERROR(INDEX(EmployeeData[Age], ROW() - 37), "")</f>
        <v/>
      </c>
      <c r="G4205" s="6" t="str" cm="1">
        <f t="array" ref="G4205">IFERROR(INDEX(EmployeeData[Join Date], ROW() - 37), "")</f>
        <v/>
      </c>
      <c r="H4205" s="6" t="str" cm="1">
        <f t="array" ref="H4205">IFERROR(IF(INDEX(EmployeeData[Exit Date], ROW() - 37)=0, "",INDEX(EmployeeData[Exit Date], ROW() - 37)),"")</f>
        <v/>
      </c>
      <c r="I4205" s="4" t="str" cm="1">
        <f t="array" ref="I4205">IFERROR(IF(INDEX(EmployeeData[Exit Reason], ROW() - 37)=0, "",INDEX(EmployeeData[Exit Reason], ROW() - 37)),"")</f>
        <v/>
      </c>
      <c r="J4205" s="4" t="str" cm="1">
        <f t="array" ref="J4205">IFERROR(INDEX(EmployeeData[Status], ROW() - 37), "")</f>
        <v/>
      </c>
    </row>
    <row r="4206" spans="2:10" ht="19.95" customHeight="1" x14ac:dyDescent="0.3">
      <c r="B4206" s="4" t="str" cm="1">
        <f t="array" ref="B4206">IFERROR(INDEX(EmployeeData[Employee ID], ROW() - 37), "")</f>
        <v/>
      </c>
      <c r="C4206" s="4" t="str" cm="1">
        <f t="array" ref="C4206">IFERROR(INDEX(EmployeeData[Full Name], ROW() - 37), "")</f>
        <v/>
      </c>
      <c r="D4206" s="4" t="str" cm="1">
        <f t="array" ref="D4206">IFERROR(INDEX(EmployeeData[Department], ROW() - 37), "")</f>
        <v/>
      </c>
      <c r="E4206" s="4" t="str" cm="1">
        <f t="array" ref="E4206">IFERROR(INDEX(EmployeeData[Gender], ROW() - 37), "")</f>
        <v/>
      </c>
      <c r="F4206" s="4" t="str" cm="1">
        <f t="array" ref="F4206">IFERROR(INDEX(EmployeeData[Age], ROW() - 37), "")</f>
        <v/>
      </c>
      <c r="G4206" s="6" t="str" cm="1">
        <f t="array" ref="G4206">IFERROR(INDEX(EmployeeData[Join Date], ROW() - 37), "")</f>
        <v/>
      </c>
      <c r="H4206" s="6" t="str" cm="1">
        <f t="array" ref="H4206">IFERROR(IF(INDEX(EmployeeData[Exit Date], ROW() - 37)=0, "",INDEX(EmployeeData[Exit Date], ROW() - 37)),"")</f>
        <v/>
      </c>
      <c r="I4206" s="4" t="str" cm="1">
        <f t="array" ref="I4206">IFERROR(IF(INDEX(EmployeeData[Exit Reason], ROW() - 37)=0, "",INDEX(EmployeeData[Exit Reason], ROW() - 37)),"")</f>
        <v/>
      </c>
      <c r="J4206" s="4" t="str" cm="1">
        <f t="array" ref="J4206">IFERROR(INDEX(EmployeeData[Status], ROW() - 37), "")</f>
        <v/>
      </c>
    </row>
    <row r="4207" spans="2:10" ht="19.95" customHeight="1" x14ac:dyDescent="0.3">
      <c r="B4207" s="4" t="str" cm="1">
        <f t="array" ref="B4207">IFERROR(INDEX(EmployeeData[Employee ID], ROW() - 37), "")</f>
        <v/>
      </c>
      <c r="C4207" s="4" t="str" cm="1">
        <f t="array" ref="C4207">IFERROR(INDEX(EmployeeData[Full Name], ROW() - 37), "")</f>
        <v/>
      </c>
      <c r="D4207" s="4" t="str" cm="1">
        <f t="array" ref="D4207">IFERROR(INDEX(EmployeeData[Department], ROW() - 37), "")</f>
        <v/>
      </c>
      <c r="E4207" s="4" t="str" cm="1">
        <f t="array" ref="E4207">IFERROR(INDEX(EmployeeData[Gender], ROW() - 37), "")</f>
        <v/>
      </c>
      <c r="F4207" s="4" t="str" cm="1">
        <f t="array" ref="F4207">IFERROR(INDEX(EmployeeData[Age], ROW() - 37), "")</f>
        <v/>
      </c>
      <c r="G4207" s="6" t="str" cm="1">
        <f t="array" ref="G4207">IFERROR(INDEX(EmployeeData[Join Date], ROW() - 37), "")</f>
        <v/>
      </c>
      <c r="H4207" s="6" t="str" cm="1">
        <f t="array" ref="H4207">IFERROR(IF(INDEX(EmployeeData[Exit Date], ROW() - 37)=0, "",INDEX(EmployeeData[Exit Date], ROW() - 37)),"")</f>
        <v/>
      </c>
      <c r="I4207" s="4" t="str" cm="1">
        <f t="array" ref="I4207">IFERROR(IF(INDEX(EmployeeData[Exit Reason], ROW() - 37)=0, "",INDEX(EmployeeData[Exit Reason], ROW() - 37)),"")</f>
        <v/>
      </c>
      <c r="J4207" s="4" t="str" cm="1">
        <f t="array" ref="J4207">IFERROR(INDEX(EmployeeData[Status], ROW() - 37), "")</f>
        <v/>
      </c>
    </row>
    <row r="4208" spans="2:10" ht="19.95" customHeight="1" x14ac:dyDescent="0.3">
      <c r="B4208" s="4" t="str" cm="1">
        <f t="array" ref="B4208">IFERROR(INDEX(EmployeeData[Employee ID], ROW() - 37), "")</f>
        <v/>
      </c>
      <c r="C4208" s="4" t="str" cm="1">
        <f t="array" ref="C4208">IFERROR(INDEX(EmployeeData[Full Name], ROW() - 37), "")</f>
        <v/>
      </c>
      <c r="D4208" s="4" t="str" cm="1">
        <f t="array" ref="D4208">IFERROR(INDEX(EmployeeData[Department], ROW() - 37), "")</f>
        <v/>
      </c>
      <c r="E4208" s="4" t="str" cm="1">
        <f t="array" ref="E4208">IFERROR(INDEX(EmployeeData[Gender], ROW() - 37), "")</f>
        <v/>
      </c>
      <c r="F4208" s="4" t="str" cm="1">
        <f t="array" ref="F4208">IFERROR(INDEX(EmployeeData[Age], ROW() - 37), "")</f>
        <v/>
      </c>
      <c r="G4208" s="6" t="str" cm="1">
        <f t="array" ref="G4208">IFERROR(INDEX(EmployeeData[Join Date], ROW() - 37), "")</f>
        <v/>
      </c>
      <c r="H4208" s="6" t="str" cm="1">
        <f t="array" ref="H4208">IFERROR(IF(INDEX(EmployeeData[Exit Date], ROW() - 37)=0, "",INDEX(EmployeeData[Exit Date], ROW() - 37)),"")</f>
        <v/>
      </c>
      <c r="I4208" s="4" t="str" cm="1">
        <f t="array" ref="I4208">IFERROR(IF(INDEX(EmployeeData[Exit Reason], ROW() - 37)=0, "",INDEX(EmployeeData[Exit Reason], ROW() - 37)),"")</f>
        <v/>
      </c>
      <c r="J4208" s="4" t="str" cm="1">
        <f t="array" ref="J4208">IFERROR(INDEX(EmployeeData[Status], ROW() - 37), "")</f>
        <v/>
      </c>
    </row>
    <row r="4209" spans="2:10" ht="19.95" customHeight="1" x14ac:dyDescent="0.3">
      <c r="B4209" s="4" t="str" cm="1">
        <f t="array" ref="B4209">IFERROR(INDEX(EmployeeData[Employee ID], ROW() - 37), "")</f>
        <v/>
      </c>
      <c r="C4209" s="4" t="str" cm="1">
        <f t="array" ref="C4209">IFERROR(INDEX(EmployeeData[Full Name], ROW() - 37), "")</f>
        <v/>
      </c>
      <c r="D4209" s="4" t="str" cm="1">
        <f t="array" ref="D4209">IFERROR(INDEX(EmployeeData[Department], ROW() - 37), "")</f>
        <v/>
      </c>
      <c r="E4209" s="4" t="str" cm="1">
        <f t="array" ref="E4209">IFERROR(INDEX(EmployeeData[Gender], ROW() - 37), "")</f>
        <v/>
      </c>
      <c r="F4209" s="4" t="str" cm="1">
        <f t="array" ref="F4209">IFERROR(INDEX(EmployeeData[Age], ROW() - 37), "")</f>
        <v/>
      </c>
      <c r="G4209" s="6" t="str" cm="1">
        <f t="array" ref="G4209">IFERROR(INDEX(EmployeeData[Join Date], ROW() - 37), "")</f>
        <v/>
      </c>
      <c r="H4209" s="6" t="str" cm="1">
        <f t="array" ref="H4209">IFERROR(IF(INDEX(EmployeeData[Exit Date], ROW() - 37)=0, "",INDEX(EmployeeData[Exit Date], ROW() - 37)),"")</f>
        <v/>
      </c>
      <c r="I4209" s="4" t="str" cm="1">
        <f t="array" ref="I4209">IFERROR(IF(INDEX(EmployeeData[Exit Reason], ROW() - 37)=0, "",INDEX(EmployeeData[Exit Reason], ROW() - 37)),"")</f>
        <v/>
      </c>
      <c r="J4209" s="4" t="str" cm="1">
        <f t="array" ref="J4209">IFERROR(INDEX(EmployeeData[Status], ROW() - 37), "")</f>
        <v/>
      </c>
    </row>
    <row r="4210" spans="2:10" ht="19.95" customHeight="1" x14ac:dyDescent="0.3">
      <c r="B4210" s="4" t="str" cm="1">
        <f t="array" ref="B4210">IFERROR(INDEX(EmployeeData[Employee ID], ROW() - 37), "")</f>
        <v/>
      </c>
      <c r="C4210" s="4" t="str" cm="1">
        <f t="array" ref="C4210">IFERROR(INDEX(EmployeeData[Full Name], ROW() - 37), "")</f>
        <v/>
      </c>
      <c r="D4210" s="4" t="str" cm="1">
        <f t="array" ref="D4210">IFERROR(INDEX(EmployeeData[Department], ROW() - 37), "")</f>
        <v/>
      </c>
      <c r="E4210" s="4" t="str" cm="1">
        <f t="array" ref="E4210">IFERROR(INDEX(EmployeeData[Gender], ROW() - 37), "")</f>
        <v/>
      </c>
      <c r="F4210" s="4" t="str" cm="1">
        <f t="array" ref="F4210">IFERROR(INDEX(EmployeeData[Age], ROW() - 37), "")</f>
        <v/>
      </c>
      <c r="G4210" s="6" t="str" cm="1">
        <f t="array" ref="G4210">IFERROR(INDEX(EmployeeData[Join Date], ROW() - 37), "")</f>
        <v/>
      </c>
      <c r="H4210" s="6" t="str" cm="1">
        <f t="array" ref="H4210">IFERROR(IF(INDEX(EmployeeData[Exit Date], ROW() - 37)=0, "",INDEX(EmployeeData[Exit Date], ROW() - 37)),"")</f>
        <v/>
      </c>
      <c r="I4210" s="4" t="str" cm="1">
        <f t="array" ref="I4210">IFERROR(IF(INDEX(EmployeeData[Exit Reason], ROW() - 37)=0, "",INDEX(EmployeeData[Exit Reason], ROW() - 37)),"")</f>
        <v/>
      </c>
      <c r="J4210" s="4" t="str" cm="1">
        <f t="array" ref="J4210">IFERROR(INDEX(EmployeeData[Status], ROW() - 37), "")</f>
        <v/>
      </c>
    </row>
    <row r="4211" spans="2:10" ht="19.95" customHeight="1" x14ac:dyDescent="0.3">
      <c r="B4211" s="4" t="str" cm="1">
        <f t="array" ref="B4211">IFERROR(INDEX(EmployeeData[Employee ID], ROW() - 37), "")</f>
        <v/>
      </c>
      <c r="C4211" s="4" t="str" cm="1">
        <f t="array" ref="C4211">IFERROR(INDEX(EmployeeData[Full Name], ROW() - 37), "")</f>
        <v/>
      </c>
      <c r="D4211" s="4" t="str" cm="1">
        <f t="array" ref="D4211">IFERROR(INDEX(EmployeeData[Department], ROW() - 37), "")</f>
        <v/>
      </c>
      <c r="E4211" s="4" t="str" cm="1">
        <f t="array" ref="E4211">IFERROR(INDEX(EmployeeData[Gender], ROW() - 37), "")</f>
        <v/>
      </c>
      <c r="F4211" s="4" t="str" cm="1">
        <f t="array" ref="F4211">IFERROR(INDEX(EmployeeData[Age], ROW() - 37), "")</f>
        <v/>
      </c>
      <c r="G4211" s="6" t="str" cm="1">
        <f t="array" ref="G4211">IFERROR(INDEX(EmployeeData[Join Date], ROW() - 37), "")</f>
        <v/>
      </c>
      <c r="H4211" s="6" t="str" cm="1">
        <f t="array" ref="H4211">IFERROR(IF(INDEX(EmployeeData[Exit Date], ROW() - 37)=0, "",INDEX(EmployeeData[Exit Date], ROW() - 37)),"")</f>
        <v/>
      </c>
      <c r="I4211" s="4" t="str" cm="1">
        <f t="array" ref="I4211">IFERROR(IF(INDEX(EmployeeData[Exit Reason], ROW() - 37)=0, "",INDEX(EmployeeData[Exit Reason], ROW() - 37)),"")</f>
        <v/>
      </c>
      <c r="J4211" s="4" t="str" cm="1">
        <f t="array" ref="J4211">IFERROR(INDEX(EmployeeData[Status], ROW() - 37), "")</f>
        <v/>
      </c>
    </row>
    <row r="4212" spans="2:10" ht="19.95" customHeight="1" x14ac:dyDescent="0.3">
      <c r="B4212" s="4" t="str" cm="1">
        <f t="array" ref="B4212">IFERROR(INDEX(EmployeeData[Employee ID], ROW() - 37), "")</f>
        <v/>
      </c>
      <c r="C4212" s="4" t="str" cm="1">
        <f t="array" ref="C4212">IFERROR(INDEX(EmployeeData[Full Name], ROW() - 37), "")</f>
        <v/>
      </c>
      <c r="D4212" s="4" t="str" cm="1">
        <f t="array" ref="D4212">IFERROR(INDEX(EmployeeData[Department], ROW() - 37), "")</f>
        <v/>
      </c>
      <c r="E4212" s="4" t="str" cm="1">
        <f t="array" ref="E4212">IFERROR(INDEX(EmployeeData[Gender], ROW() - 37), "")</f>
        <v/>
      </c>
      <c r="F4212" s="4" t="str" cm="1">
        <f t="array" ref="F4212">IFERROR(INDEX(EmployeeData[Age], ROW() - 37), "")</f>
        <v/>
      </c>
      <c r="G4212" s="6" t="str" cm="1">
        <f t="array" ref="G4212">IFERROR(INDEX(EmployeeData[Join Date], ROW() - 37), "")</f>
        <v/>
      </c>
      <c r="H4212" s="6" t="str" cm="1">
        <f t="array" ref="H4212">IFERROR(IF(INDEX(EmployeeData[Exit Date], ROW() - 37)=0, "",INDEX(EmployeeData[Exit Date], ROW() - 37)),"")</f>
        <v/>
      </c>
      <c r="I4212" s="4" t="str" cm="1">
        <f t="array" ref="I4212">IFERROR(IF(INDEX(EmployeeData[Exit Reason], ROW() - 37)=0, "",INDEX(EmployeeData[Exit Reason], ROW() - 37)),"")</f>
        <v/>
      </c>
      <c r="J4212" s="4" t="str" cm="1">
        <f t="array" ref="J4212">IFERROR(INDEX(EmployeeData[Status], ROW() - 37), "")</f>
        <v/>
      </c>
    </row>
    <row r="4213" spans="2:10" ht="19.95" customHeight="1" x14ac:dyDescent="0.3">
      <c r="B4213" s="4" t="str" cm="1">
        <f t="array" ref="B4213">IFERROR(INDEX(EmployeeData[Employee ID], ROW() - 37), "")</f>
        <v/>
      </c>
      <c r="C4213" s="4" t="str" cm="1">
        <f t="array" ref="C4213">IFERROR(INDEX(EmployeeData[Full Name], ROW() - 37), "")</f>
        <v/>
      </c>
      <c r="D4213" s="4" t="str" cm="1">
        <f t="array" ref="D4213">IFERROR(INDEX(EmployeeData[Department], ROW() - 37), "")</f>
        <v/>
      </c>
      <c r="E4213" s="4" t="str" cm="1">
        <f t="array" ref="E4213">IFERROR(INDEX(EmployeeData[Gender], ROW() - 37), "")</f>
        <v/>
      </c>
      <c r="F4213" s="4" t="str" cm="1">
        <f t="array" ref="F4213">IFERROR(INDEX(EmployeeData[Age], ROW() - 37), "")</f>
        <v/>
      </c>
      <c r="G4213" s="6" t="str" cm="1">
        <f t="array" ref="G4213">IFERROR(INDEX(EmployeeData[Join Date], ROW() - 37), "")</f>
        <v/>
      </c>
      <c r="H4213" s="6" t="str" cm="1">
        <f t="array" ref="H4213">IFERROR(IF(INDEX(EmployeeData[Exit Date], ROW() - 37)=0, "",INDEX(EmployeeData[Exit Date], ROW() - 37)),"")</f>
        <v/>
      </c>
      <c r="I4213" s="4" t="str" cm="1">
        <f t="array" ref="I4213">IFERROR(IF(INDEX(EmployeeData[Exit Reason], ROW() - 37)=0, "",INDEX(EmployeeData[Exit Reason], ROW() - 37)),"")</f>
        <v/>
      </c>
      <c r="J4213" s="4" t="str" cm="1">
        <f t="array" ref="J4213">IFERROR(INDEX(EmployeeData[Status], ROW() - 37), "")</f>
        <v/>
      </c>
    </row>
    <row r="4214" spans="2:10" ht="19.95" customHeight="1" x14ac:dyDescent="0.3">
      <c r="B4214" s="4" t="str" cm="1">
        <f t="array" ref="B4214">IFERROR(INDEX(EmployeeData[Employee ID], ROW() - 37), "")</f>
        <v/>
      </c>
      <c r="C4214" s="4" t="str" cm="1">
        <f t="array" ref="C4214">IFERROR(INDEX(EmployeeData[Full Name], ROW() - 37), "")</f>
        <v/>
      </c>
      <c r="D4214" s="4" t="str" cm="1">
        <f t="array" ref="D4214">IFERROR(INDEX(EmployeeData[Department], ROW() - 37), "")</f>
        <v/>
      </c>
      <c r="E4214" s="4" t="str" cm="1">
        <f t="array" ref="E4214">IFERROR(INDEX(EmployeeData[Gender], ROW() - 37), "")</f>
        <v/>
      </c>
      <c r="F4214" s="4" t="str" cm="1">
        <f t="array" ref="F4214">IFERROR(INDEX(EmployeeData[Age], ROW() - 37), "")</f>
        <v/>
      </c>
      <c r="G4214" s="6" t="str" cm="1">
        <f t="array" ref="G4214">IFERROR(INDEX(EmployeeData[Join Date], ROW() - 37), "")</f>
        <v/>
      </c>
      <c r="H4214" s="6" t="str" cm="1">
        <f t="array" ref="H4214">IFERROR(IF(INDEX(EmployeeData[Exit Date], ROW() - 37)=0, "",INDEX(EmployeeData[Exit Date], ROW() - 37)),"")</f>
        <v/>
      </c>
      <c r="I4214" s="4" t="str" cm="1">
        <f t="array" ref="I4214">IFERROR(IF(INDEX(EmployeeData[Exit Reason], ROW() - 37)=0, "",INDEX(EmployeeData[Exit Reason], ROW() - 37)),"")</f>
        <v/>
      </c>
      <c r="J4214" s="4" t="str" cm="1">
        <f t="array" ref="J4214">IFERROR(INDEX(EmployeeData[Status], ROW() - 37), "")</f>
        <v/>
      </c>
    </row>
    <row r="4215" spans="2:10" ht="19.95" customHeight="1" x14ac:dyDescent="0.3">
      <c r="B4215" s="4" t="str" cm="1">
        <f t="array" ref="B4215">IFERROR(INDEX(EmployeeData[Employee ID], ROW() - 37), "")</f>
        <v/>
      </c>
      <c r="C4215" s="4" t="str" cm="1">
        <f t="array" ref="C4215">IFERROR(INDEX(EmployeeData[Full Name], ROW() - 37), "")</f>
        <v/>
      </c>
      <c r="D4215" s="4" t="str" cm="1">
        <f t="array" ref="D4215">IFERROR(INDEX(EmployeeData[Department], ROW() - 37), "")</f>
        <v/>
      </c>
      <c r="E4215" s="4" t="str" cm="1">
        <f t="array" ref="E4215">IFERROR(INDEX(EmployeeData[Gender], ROW() - 37), "")</f>
        <v/>
      </c>
      <c r="F4215" s="4" t="str" cm="1">
        <f t="array" ref="F4215">IFERROR(INDEX(EmployeeData[Age], ROW() - 37), "")</f>
        <v/>
      </c>
      <c r="G4215" s="6" t="str" cm="1">
        <f t="array" ref="G4215">IFERROR(INDEX(EmployeeData[Join Date], ROW() - 37), "")</f>
        <v/>
      </c>
      <c r="H4215" s="6" t="str" cm="1">
        <f t="array" ref="H4215">IFERROR(IF(INDEX(EmployeeData[Exit Date], ROW() - 37)=0, "",INDEX(EmployeeData[Exit Date], ROW() - 37)),"")</f>
        <v/>
      </c>
      <c r="I4215" s="4" t="str" cm="1">
        <f t="array" ref="I4215">IFERROR(IF(INDEX(EmployeeData[Exit Reason], ROW() - 37)=0, "",INDEX(EmployeeData[Exit Reason], ROW() - 37)),"")</f>
        <v/>
      </c>
      <c r="J4215" s="4" t="str" cm="1">
        <f t="array" ref="J4215">IFERROR(INDEX(EmployeeData[Status], ROW() - 37), "")</f>
        <v/>
      </c>
    </row>
    <row r="4216" spans="2:10" ht="19.95" customHeight="1" x14ac:dyDescent="0.3">
      <c r="B4216" s="4" t="str" cm="1">
        <f t="array" ref="B4216">IFERROR(INDEX(EmployeeData[Employee ID], ROW() - 37), "")</f>
        <v/>
      </c>
      <c r="C4216" s="4" t="str" cm="1">
        <f t="array" ref="C4216">IFERROR(INDEX(EmployeeData[Full Name], ROW() - 37), "")</f>
        <v/>
      </c>
      <c r="D4216" s="4" t="str" cm="1">
        <f t="array" ref="D4216">IFERROR(INDEX(EmployeeData[Department], ROW() - 37), "")</f>
        <v/>
      </c>
      <c r="E4216" s="4" t="str" cm="1">
        <f t="array" ref="E4216">IFERROR(INDEX(EmployeeData[Gender], ROW() - 37), "")</f>
        <v/>
      </c>
      <c r="F4216" s="4" t="str" cm="1">
        <f t="array" ref="F4216">IFERROR(INDEX(EmployeeData[Age], ROW() - 37), "")</f>
        <v/>
      </c>
      <c r="G4216" s="6" t="str" cm="1">
        <f t="array" ref="G4216">IFERROR(INDEX(EmployeeData[Join Date], ROW() - 37), "")</f>
        <v/>
      </c>
      <c r="H4216" s="6" t="str" cm="1">
        <f t="array" ref="H4216">IFERROR(IF(INDEX(EmployeeData[Exit Date], ROW() - 37)=0, "",INDEX(EmployeeData[Exit Date], ROW() - 37)),"")</f>
        <v/>
      </c>
      <c r="I4216" s="4" t="str" cm="1">
        <f t="array" ref="I4216">IFERROR(IF(INDEX(EmployeeData[Exit Reason], ROW() - 37)=0, "",INDEX(EmployeeData[Exit Reason], ROW() - 37)),"")</f>
        <v/>
      </c>
      <c r="J4216" s="4" t="str" cm="1">
        <f t="array" ref="J4216">IFERROR(INDEX(EmployeeData[Status], ROW() - 37), "")</f>
        <v/>
      </c>
    </row>
    <row r="4217" spans="2:10" ht="19.95" customHeight="1" x14ac:dyDescent="0.3">
      <c r="B4217" s="4" t="str" cm="1">
        <f t="array" ref="B4217">IFERROR(INDEX(EmployeeData[Employee ID], ROW() - 37), "")</f>
        <v/>
      </c>
      <c r="C4217" s="4" t="str" cm="1">
        <f t="array" ref="C4217">IFERROR(INDEX(EmployeeData[Full Name], ROW() - 37), "")</f>
        <v/>
      </c>
      <c r="D4217" s="4" t="str" cm="1">
        <f t="array" ref="D4217">IFERROR(INDEX(EmployeeData[Department], ROW() - 37), "")</f>
        <v/>
      </c>
      <c r="E4217" s="4" t="str" cm="1">
        <f t="array" ref="E4217">IFERROR(INDEX(EmployeeData[Gender], ROW() - 37), "")</f>
        <v/>
      </c>
      <c r="F4217" s="4" t="str" cm="1">
        <f t="array" ref="F4217">IFERROR(INDEX(EmployeeData[Age], ROW() - 37), "")</f>
        <v/>
      </c>
      <c r="G4217" s="6" t="str" cm="1">
        <f t="array" ref="G4217">IFERROR(INDEX(EmployeeData[Join Date], ROW() - 37), "")</f>
        <v/>
      </c>
      <c r="H4217" s="6" t="str" cm="1">
        <f t="array" ref="H4217">IFERROR(IF(INDEX(EmployeeData[Exit Date], ROW() - 37)=0, "",INDEX(EmployeeData[Exit Date], ROW() - 37)),"")</f>
        <v/>
      </c>
      <c r="I4217" s="4" t="str" cm="1">
        <f t="array" ref="I4217">IFERROR(IF(INDEX(EmployeeData[Exit Reason], ROW() - 37)=0, "",INDEX(EmployeeData[Exit Reason], ROW() - 37)),"")</f>
        <v/>
      </c>
      <c r="J4217" s="4" t="str" cm="1">
        <f t="array" ref="J4217">IFERROR(INDEX(EmployeeData[Status], ROW() - 37), "")</f>
        <v/>
      </c>
    </row>
    <row r="4218" spans="2:10" ht="19.95" customHeight="1" x14ac:dyDescent="0.3">
      <c r="B4218" s="4" t="str" cm="1">
        <f t="array" ref="B4218">IFERROR(INDEX(EmployeeData[Employee ID], ROW() - 37), "")</f>
        <v/>
      </c>
      <c r="C4218" s="4" t="str" cm="1">
        <f t="array" ref="C4218">IFERROR(INDEX(EmployeeData[Full Name], ROW() - 37), "")</f>
        <v/>
      </c>
      <c r="D4218" s="4" t="str" cm="1">
        <f t="array" ref="D4218">IFERROR(INDEX(EmployeeData[Department], ROW() - 37), "")</f>
        <v/>
      </c>
      <c r="E4218" s="4" t="str" cm="1">
        <f t="array" ref="E4218">IFERROR(INDEX(EmployeeData[Gender], ROW() - 37), "")</f>
        <v/>
      </c>
      <c r="F4218" s="4" t="str" cm="1">
        <f t="array" ref="F4218">IFERROR(INDEX(EmployeeData[Age], ROW() - 37), "")</f>
        <v/>
      </c>
      <c r="G4218" s="6" t="str" cm="1">
        <f t="array" ref="G4218">IFERROR(INDEX(EmployeeData[Join Date], ROW() - 37), "")</f>
        <v/>
      </c>
      <c r="H4218" s="6" t="str" cm="1">
        <f t="array" ref="H4218">IFERROR(IF(INDEX(EmployeeData[Exit Date], ROW() - 37)=0, "",INDEX(EmployeeData[Exit Date], ROW() - 37)),"")</f>
        <v/>
      </c>
      <c r="I4218" s="4" t="str" cm="1">
        <f t="array" ref="I4218">IFERROR(IF(INDEX(EmployeeData[Exit Reason], ROW() - 37)=0, "",INDEX(EmployeeData[Exit Reason], ROW() - 37)),"")</f>
        <v/>
      </c>
      <c r="J4218" s="4" t="str" cm="1">
        <f t="array" ref="J4218">IFERROR(INDEX(EmployeeData[Status], ROW() - 37), "")</f>
        <v/>
      </c>
    </row>
    <row r="4219" spans="2:10" ht="19.95" customHeight="1" x14ac:dyDescent="0.3">
      <c r="B4219" s="4" t="str" cm="1">
        <f t="array" ref="B4219">IFERROR(INDEX(EmployeeData[Employee ID], ROW() - 37), "")</f>
        <v/>
      </c>
      <c r="C4219" s="4" t="str" cm="1">
        <f t="array" ref="C4219">IFERROR(INDEX(EmployeeData[Full Name], ROW() - 37), "")</f>
        <v/>
      </c>
      <c r="D4219" s="4" t="str" cm="1">
        <f t="array" ref="D4219">IFERROR(INDEX(EmployeeData[Department], ROW() - 37), "")</f>
        <v/>
      </c>
      <c r="E4219" s="4" t="str" cm="1">
        <f t="array" ref="E4219">IFERROR(INDEX(EmployeeData[Gender], ROW() - 37), "")</f>
        <v/>
      </c>
      <c r="F4219" s="4" t="str" cm="1">
        <f t="array" ref="F4219">IFERROR(INDEX(EmployeeData[Age], ROW() - 37), "")</f>
        <v/>
      </c>
      <c r="G4219" s="6" t="str" cm="1">
        <f t="array" ref="G4219">IFERROR(INDEX(EmployeeData[Join Date], ROW() - 37), "")</f>
        <v/>
      </c>
      <c r="H4219" s="6" t="str" cm="1">
        <f t="array" ref="H4219">IFERROR(IF(INDEX(EmployeeData[Exit Date], ROW() - 37)=0, "",INDEX(EmployeeData[Exit Date], ROW() - 37)),"")</f>
        <v/>
      </c>
      <c r="I4219" s="4" t="str" cm="1">
        <f t="array" ref="I4219">IFERROR(IF(INDEX(EmployeeData[Exit Reason], ROW() - 37)=0, "",INDEX(EmployeeData[Exit Reason], ROW() - 37)),"")</f>
        <v/>
      </c>
      <c r="J4219" s="4" t="str" cm="1">
        <f t="array" ref="J4219">IFERROR(INDEX(EmployeeData[Status], ROW() - 37), "")</f>
        <v/>
      </c>
    </row>
    <row r="4220" spans="2:10" ht="19.95" customHeight="1" x14ac:dyDescent="0.3">
      <c r="B4220" s="4" t="str" cm="1">
        <f t="array" ref="B4220">IFERROR(INDEX(EmployeeData[Employee ID], ROW() - 37), "")</f>
        <v/>
      </c>
      <c r="C4220" s="4" t="str" cm="1">
        <f t="array" ref="C4220">IFERROR(INDEX(EmployeeData[Full Name], ROW() - 37), "")</f>
        <v/>
      </c>
      <c r="D4220" s="4" t="str" cm="1">
        <f t="array" ref="D4220">IFERROR(INDEX(EmployeeData[Department], ROW() - 37), "")</f>
        <v/>
      </c>
      <c r="E4220" s="4" t="str" cm="1">
        <f t="array" ref="E4220">IFERROR(INDEX(EmployeeData[Gender], ROW() - 37), "")</f>
        <v/>
      </c>
      <c r="F4220" s="4" t="str" cm="1">
        <f t="array" ref="F4220">IFERROR(INDEX(EmployeeData[Age], ROW() - 37), "")</f>
        <v/>
      </c>
      <c r="G4220" s="6" t="str" cm="1">
        <f t="array" ref="G4220">IFERROR(INDEX(EmployeeData[Join Date], ROW() - 37), "")</f>
        <v/>
      </c>
      <c r="H4220" s="6" t="str" cm="1">
        <f t="array" ref="H4220">IFERROR(IF(INDEX(EmployeeData[Exit Date], ROW() - 37)=0, "",INDEX(EmployeeData[Exit Date], ROW() - 37)),"")</f>
        <v/>
      </c>
      <c r="I4220" s="4" t="str" cm="1">
        <f t="array" ref="I4220">IFERROR(IF(INDEX(EmployeeData[Exit Reason], ROW() - 37)=0, "",INDEX(EmployeeData[Exit Reason], ROW() - 37)),"")</f>
        <v/>
      </c>
      <c r="J4220" s="4" t="str" cm="1">
        <f t="array" ref="J4220">IFERROR(INDEX(EmployeeData[Status], ROW() - 37), "")</f>
        <v/>
      </c>
    </row>
    <row r="4221" spans="2:10" ht="19.95" customHeight="1" x14ac:dyDescent="0.3">
      <c r="B4221" s="4" t="str" cm="1">
        <f t="array" ref="B4221">IFERROR(INDEX(EmployeeData[Employee ID], ROW() - 37), "")</f>
        <v/>
      </c>
      <c r="C4221" s="4" t="str" cm="1">
        <f t="array" ref="C4221">IFERROR(INDEX(EmployeeData[Full Name], ROW() - 37), "")</f>
        <v/>
      </c>
      <c r="D4221" s="4" t="str" cm="1">
        <f t="array" ref="D4221">IFERROR(INDEX(EmployeeData[Department], ROW() - 37), "")</f>
        <v/>
      </c>
      <c r="E4221" s="4" t="str" cm="1">
        <f t="array" ref="E4221">IFERROR(INDEX(EmployeeData[Gender], ROW() - 37), "")</f>
        <v/>
      </c>
      <c r="F4221" s="4" t="str" cm="1">
        <f t="array" ref="F4221">IFERROR(INDEX(EmployeeData[Age], ROW() - 37), "")</f>
        <v/>
      </c>
      <c r="G4221" s="6" t="str" cm="1">
        <f t="array" ref="G4221">IFERROR(INDEX(EmployeeData[Join Date], ROW() - 37), "")</f>
        <v/>
      </c>
      <c r="H4221" s="6" t="str" cm="1">
        <f t="array" ref="H4221">IFERROR(IF(INDEX(EmployeeData[Exit Date], ROW() - 37)=0, "",INDEX(EmployeeData[Exit Date], ROW() - 37)),"")</f>
        <v/>
      </c>
      <c r="I4221" s="4" t="str" cm="1">
        <f t="array" ref="I4221">IFERROR(IF(INDEX(EmployeeData[Exit Reason], ROW() - 37)=0, "",INDEX(EmployeeData[Exit Reason], ROW() - 37)),"")</f>
        <v/>
      </c>
      <c r="J4221" s="4" t="str" cm="1">
        <f t="array" ref="J4221">IFERROR(INDEX(EmployeeData[Status], ROW() - 37), "")</f>
        <v/>
      </c>
    </row>
    <row r="4222" spans="2:10" ht="19.95" customHeight="1" x14ac:dyDescent="0.3">
      <c r="B4222" s="4" t="str" cm="1">
        <f t="array" ref="B4222">IFERROR(INDEX(EmployeeData[Employee ID], ROW() - 37), "")</f>
        <v/>
      </c>
      <c r="C4222" s="4" t="str" cm="1">
        <f t="array" ref="C4222">IFERROR(INDEX(EmployeeData[Full Name], ROW() - 37), "")</f>
        <v/>
      </c>
      <c r="D4222" s="4" t="str" cm="1">
        <f t="array" ref="D4222">IFERROR(INDEX(EmployeeData[Department], ROW() - 37), "")</f>
        <v/>
      </c>
      <c r="E4222" s="4" t="str" cm="1">
        <f t="array" ref="E4222">IFERROR(INDEX(EmployeeData[Gender], ROW() - 37), "")</f>
        <v/>
      </c>
      <c r="F4222" s="4" t="str" cm="1">
        <f t="array" ref="F4222">IFERROR(INDEX(EmployeeData[Age], ROW() - 37), "")</f>
        <v/>
      </c>
      <c r="G4222" s="6" t="str" cm="1">
        <f t="array" ref="G4222">IFERROR(INDEX(EmployeeData[Join Date], ROW() - 37), "")</f>
        <v/>
      </c>
      <c r="H4222" s="6" t="str" cm="1">
        <f t="array" ref="H4222">IFERROR(IF(INDEX(EmployeeData[Exit Date], ROW() - 37)=0, "",INDEX(EmployeeData[Exit Date], ROW() - 37)),"")</f>
        <v/>
      </c>
      <c r="I4222" s="4" t="str" cm="1">
        <f t="array" ref="I4222">IFERROR(IF(INDEX(EmployeeData[Exit Reason], ROW() - 37)=0, "",INDEX(EmployeeData[Exit Reason], ROW() - 37)),"")</f>
        <v/>
      </c>
      <c r="J4222" s="4" t="str" cm="1">
        <f t="array" ref="J4222">IFERROR(INDEX(EmployeeData[Status], ROW() - 37), "")</f>
        <v/>
      </c>
    </row>
    <row r="4223" spans="2:10" ht="19.95" customHeight="1" x14ac:dyDescent="0.3">
      <c r="B4223" s="4" t="str" cm="1">
        <f t="array" ref="B4223">IFERROR(INDEX(EmployeeData[Employee ID], ROW() - 37), "")</f>
        <v/>
      </c>
      <c r="C4223" s="4" t="str" cm="1">
        <f t="array" ref="C4223">IFERROR(INDEX(EmployeeData[Full Name], ROW() - 37), "")</f>
        <v/>
      </c>
      <c r="D4223" s="4" t="str" cm="1">
        <f t="array" ref="D4223">IFERROR(INDEX(EmployeeData[Department], ROW() - 37), "")</f>
        <v/>
      </c>
      <c r="E4223" s="4" t="str" cm="1">
        <f t="array" ref="E4223">IFERROR(INDEX(EmployeeData[Gender], ROW() - 37), "")</f>
        <v/>
      </c>
      <c r="F4223" s="4" t="str" cm="1">
        <f t="array" ref="F4223">IFERROR(INDEX(EmployeeData[Age], ROW() - 37), "")</f>
        <v/>
      </c>
      <c r="G4223" s="6" t="str" cm="1">
        <f t="array" ref="G4223">IFERROR(INDEX(EmployeeData[Join Date], ROW() - 37), "")</f>
        <v/>
      </c>
      <c r="H4223" s="6" t="str" cm="1">
        <f t="array" ref="H4223">IFERROR(IF(INDEX(EmployeeData[Exit Date], ROW() - 37)=0, "",INDEX(EmployeeData[Exit Date], ROW() - 37)),"")</f>
        <v/>
      </c>
      <c r="I4223" s="4" t="str" cm="1">
        <f t="array" ref="I4223">IFERROR(IF(INDEX(EmployeeData[Exit Reason], ROW() - 37)=0, "",INDEX(EmployeeData[Exit Reason], ROW() - 37)),"")</f>
        <v/>
      </c>
      <c r="J4223" s="4" t="str" cm="1">
        <f t="array" ref="J4223">IFERROR(INDEX(EmployeeData[Status], ROW() - 37), "")</f>
        <v/>
      </c>
    </row>
    <row r="4224" spans="2:10" ht="19.95" customHeight="1" x14ac:dyDescent="0.3">
      <c r="B4224" s="4" t="str" cm="1">
        <f t="array" ref="B4224">IFERROR(INDEX(EmployeeData[Employee ID], ROW() - 37), "")</f>
        <v/>
      </c>
      <c r="C4224" s="4" t="str" cm="1">
        <f t="array" ref="C4224">IFERROR(INDEX(EmployeeData[Full Name], ROW() - 37), "")</f>
        <v/>
      </c>
      <c r="D4224" s="4" t="str" cm="1">
        <f t="array" ref="D4224">IFERROR(INDEX(EmployeeData[Department], ROW() - 37), "")</f>
        <v/>
      </c>
      <c r="E4224" s="4" t="str" cm="1">
        <f t="array" ref="E4224">IFERROR(INDEX(EmployeeData[Gender], ROW() - 37), "")</f>
        <v/>
      </c>
      <c r="F4224" s="4" t="str" cm="1">
        <f t="array" ref="F4224">IFERROR(INDEX(EmployeeData[Age], ROW() - 37), "")</f>
        <v/>
      </c>
      <c r="G4224" s="6" t="str" cm="1">
        <f t="array" ref="G4224">IFERROR(INDEX(EmployeeData[Join Date], ROW() - 37), "")</f>
        <v/>
      </c>
      <c r="H4224" s="6" t="str" cm="1">
        <f t="array" ref="H4224">IFERROR(IF(INDEX(EmployeeData[Exit Date], ROW() - 37)=0, "",INDEX(EmployeeData[Exit Date], ROW() - 37)),"")</f>
        <v/>
      </c>
      <c r="I4224" s="4" t="str" cm="1">
        <f t="array" ref="I4224">IFERROR(IF(INDEX(EmployeeData[Exit Reason], ROW() - 37)=0, "",INDEX(EmployeeData[Exit Reason], ROW() - 37)),"")</f>
        <v/>
      </c>
      <c r="J4224" s="4" t="str" cm="1">
        <f t="array" ref="J4224">IFERROR(INDEX(EmployeeData[Status], ROW() - 37), "")</f>
        <v/>
      </c>
    </row>
    <row r="4225" spans="2:10" ht="19.95" customHeight="1" x14ac:dyDescent="0.3">
      <c r="B4225" s="4" t="str" cm="1">
        <f t="array" ref="B4225">IFERROR(INDEX(EmployeeData[Employee ID], ROW() - 37), "")</f>
        <v/>
      </c>
      <c r="C4225" s="4" t="str" cm="1">
        <f t="array" ref="C4225">IFERROR(INDEX(EmployeeData[Full Name], ROW() - 37), "")</f>
        <v/>
      </c>
      <c r="D4225" s="4" t="str" cm="1">
        <f t="array" ref="D4225">IFERROR(INDEX(EmployeeData[Department], ROW() - 37), "")</f>
        <v/>
      </c>
      <c r="E4225" s="4" t="str" cm="1">
        <f t="array" ref="E4225">IFERROR(INDEX(EmployeeData[Gender], ROW() - 37), "")</f>
        <v/>
      </c>
      <c r="F4225" s="4" t="str" cm="1">
        <f t="array" ref="F4225">IFERROR(INDEX(EmployeeData[Age], ROW() - 37), "")</f>
        <v/>
      </c>
      <c r="G4225" s="6" t="str" cm="1">
        <f t="array" ref="G4225">IFERROR(INDEX(EmployeeData[Join Date], ROW() - 37), "")</f>
        <v/>
      </c>
      <c r="H4225" s="6" t="str" cm="1">
        <f t="array" ref="H4225">IFERROR(IF(INDEX(EmployeeData[Exit Date], ROW() - 37)=0, "",INDEX(EmployeeData[Exit Date], ROW() - 37)),"")</f>
        <v/>
      </c>
      <c r="I4225" s="4" t="str" cm="1">
        <f t="array" ref="I4225">IFERROR(IF(INDEX(EmployeeData[Exit Reason], ROW() - 37)=0, "",INDEX(EmployeeData[Exit Reason], ROW() - 37)),"")</f>
        <v/>
      </c>
      <c r="J4225" s="4" t="str" cm="1">
        <f t="array" ref="J4225">IFERROR(INDEX(EmployeeData[Status], ROW() - 37), "")</f>
        <v/>
      </c>
    </row>
    <row r="4226" spans="2:10" ht="19.95" customHeight="1" x14ac:dyDescent="0.3">
      <c r="B4226" s="4" t="str" cm="1">
        <f t="array" ref="B4226">IFERROR(INDEX(EmployeeData[Employee ID], ROW() - 37), "")</f>
        <v/>
      </c>
      <c r="C4226" s="4" t="str" cm="1">
        <f t="array" ref="C4226">IFERROR(INDEX(EmployeeData[Full Name], ROW() - 37), "")</f>
        <v/>
      </c>
      <c r="D4226" s="4" t="str" cm="1">
        <f t="array" ref="D4226">IFERROR(INDEX(EmployeeData[Department], ROW() - 37), "")</f>
        <v/>
      </c>
      <c r="E4226" s="4" t="str" cm="1">
        <f t="array" ref="E4226">IFERROR(INDEX(EmployeeData[Gender], ROW() - 37), "")</f>
        <v/>
      </c>
      <c r="F4226" s="4" t="str" cm="1">
        <f t="array" ref="F4226">IFERROR(INDEX(EmployeeData[Age], ROW() - 37), "")</f>
        <v/>
      </c>
      <c r="G4226" s="6" t="str" cm="1">
        <f t="array" ref="G4226">IFERROR(INDEX(EmployeeData[Join Date], ROW() - 37), "")</f>
        <v/>
      </c>
      <c r="H4226" s="6" t="str" cm="1">
        <f t="array" ref="H4226">IFERROR(IF(INDEX(EmployeeData[Exit Date], ROW() - 37)=0, "",INDEX(EmployeeData[Exit Date], ROW() - 37)),"")</f>
        <v/>
      </c>
      <c r="I4226" s="4" t="str" cm="1">
        <f t="array" ref="I4226">IFERROR(IF(INDEX(EmployeeData[Exit Reason], ROW() - 37)=0, "",INDEX(EmployeeData[Exit Reason], ROW() - 37)),"")</f>
        <v/>
      </c>
      <c r="J4226" s="4" t="str" cm="1">
        <f t="array" ref="J4226">IFERROR(INDEX(EmployeeData[Status], ROW() - 37), "")</f>
        <v/>
      </c>
    </row>
    <row r="4227" spans="2:10" ht="19.95" customHeight="1" x14ac:dyDescent="0.3">
      <c r="B4227" s="4" t="str" cm="1">
        <f t="array" ref="B4227">IFERROR(INDEX(EmployeeData[Employee ID], ROW() - 37), "")</f>
        <v/>
      </c>
      <c r="C4227" s="4" t="str" cm="1">
        <f t="array" ref="C4227">IFERROR(INDEX(EmployeeData[Full Name], ROW() - 37), "")</f>
        <v/>
      </c>
      <c r="D4227" s="4" t="str" cm="1">
        <f t="array" ref="D4227">IFERROR(INDEX(EmployeeData[Department], ROW() - 37), "")</f>
        <v/>
      </c>
      <c r="E4227" s="4" t="str" cm="1">
        <f t="array" ref="E4227">IFERROR(INDEX(EmployeeData[Gender], ROW() - 37), "")</f>
        <v/>
      </c>
      <c r="F4227" s="4" t="str" cm="1">
        <f t="array" ref="F4227">IFERROR(INDEX(EmployeeData[Age], ROW() - 37), "")</f>
        <v/>
      </c>
      <c r="G4227" s="6" t="str" cm="1">
        <f t="array" ref="G4227">IFERROR(INDEX(EmployeeData[Join Date], ROW() - 37), "")</f>
        <v/>
      </c>
      <c r="H4227" s="6" t="str" cm="1">
        <f t="array" ref="H4227">IFERROR(IF(INDEX(EmployeeData[Exit Date], ROW() - 37)=0, "",INDEX(EmployeeData[Exit Date], ROW() - 37)),"")</f>
        <v/>
      </c>
      <c r="I4227" s="4" t="str" cm="1">
        <f t="array" ref="I4227">IFERROR(IF(INDEX(EmployeeData[Exit Reason], ROW() - 37)=0, "",INDEX(EmployeeData[Exit Reason], ROW() - 37)),"")</f>
        <v/>
      </c>
      <c r="J4227" s="4" t="str" cm="1">
        <f t="array" ref="J4227">IFERROR(INDEX(EmployeeData[Status], ROW() - 37), "")</f>
        <v/>
      </c>
    </row>
    <row r="4228" spans="2:10" ht="19.95" customHeight="1" x14ac:dyDescent="0.3">
      <c r="B4228" s="4" t="str" cm="1">
        <f t="array" ref="B4228">IFERROR(INDEX(EmployeeData[Employee ID], ROW() - 37), "")</f>
        <v/>
      </c>
      <c r="C4228" s="4" t="str" cm="1">
        <f t="array" ref="C4228">IFERROR(INDEX(EmployeeData[Full Name], ROW() - 37), "")</f>
        <v/>
      </c>
      <c r="D4228" s="4" t="str" cm="1">
        <f t="array" ref="D4228">IFERROR(INDEX(EmployeeData[Department], ROW() - 37), "")</f>
        <v/>
      </c>
      <c r="E4228" s="4" t="str" cm="1">
        <f t="array" ref="E4228">IFERROR(INDEX(EmployeeData[Gender], ROW() - 37), "")</f>
        <v/>
      </c>
      <c r="F4228" s="4" t="str" cm="1">
        <f t="array" ref="F4228">IFERROR(INDEX(EmployeeData[Age], ROW() - 37), "")</f>
        <v/>
      </c>
      <c r="G4228" s="6" t="str" cm="1">
        <f t="array" ref="G4228">IFERROR(INDEX(EmployeeData[Join Date], ROW() - 37), "")</f>
        <v/>
      </c>
      <c r="H4228" s="6" t="str" cm="1">
        <f t="array" ref="H4228">IFERROR(IF(INDEX(EmployeeData[Exit Date], ROW() - 37)=0, "",INDEX(EmployeeData[Exit Date], ROW() - 37)),"")</f>
        <v/>
      </c>
      <c r="I4228" s="4" t="str" cm="1">
        <f t="array" ref="I4228">IFERROR(IF(INDEX(EmployeeData[Exit Reason], ROW() - 37)=0, "",INDEX(EmployeeData[Exit Reason], ROW() - 37)),"")</f>
        <v/>
      </c>
      <c r="J4228" s="4" t="str" cm="1">
        <f t="array" ref="J4228">IFERROR(INDEX(EmployeeData[Status], ROW() - 37), "")</f>
        <v/>
      </c>
    </row>
    <row r="4229" spans="2:10" ht="19.95" customHeight="1" x14ac:dyDescent="0.3">
      <c r="B4229" s="4" t="str" cm="1">
        <f t="array" ref="B4229">IFERROR(INDEX(EmployeeData[Employee ID], ROW() - 37), "")</f>
        <v/>
      </c>
      <c r="C4229" s="4" t="str" cm="1">
        <f t="array" ref="C4229">IFERROR(INDEX(EmployeeData[Full Name], ROW() - 37), "")</f>
        <v/>
      </c>
      <c r="D4229" s="4" t="str" cm="1">
        <f t="array" ref="D4229">IFERROR(INDEX(EmployeeData[Department], ROW() - 37), "")</f>
        <v/>
      </c>
      <c r="E4229" s="4" t="str" cm="1">
        <f t="array" ref="E4229">IFERROR(INDEX(EmployeeData[Gender], ROW() - 37), "")</f>
        <v/>
      </c>
      <c r="F4229" s="4" t="str" cm="1">
        <f t="array" ref="F4229">IFERROR(INDEX(EmployeeData[Age], ROW() - 37), "")</f>
        <v/>
      </c>
      <c r="G4229" s="6" t="str" cm="1">
        <f t="array" ref="G4229">IFERROR(INDEX(EmployeeData[Join Date], ROW() - 37), "")</f>
        <v/>
      </c>
      <c r="H4229" s="6" t="str" cm="1">
        <f t="array" ref="H4229">IFERROR(IF(INDEX(EmployeeData[Exit Date], ROW() - 37)=0, "",INDEX(EmployeeData[Exit Date], ROW() - 37)),"")</f>
        <v/>
      </c>
      <c r="I4229" s="4" t="str" cm="1">
        <f t="array" ref="I4229">IFERROR(IF(INDEX(EmployeeData[Exit Reason], ROW() - 37)=0, "",INDEX(EmployeeData[Exit Reason], ROW() - 37)),"")</f>
        <v/>
      </c>
      <c r="J4229" s="4" t="str" cm="1">
        <f t="array" ref="J4229">IFERROR(INDEX(EmployeeData[Status], ROW() - 37), "")</f>
        <v/>
      </c>
    </row>
    <row r="4230" spans="2:10" ht="19.95" customHeight="1" x14ac:dyDescent="0.3">
      <c r="B4230" s="4" t="str" cm="1">
        <f t="array" ref="B4230">IFERROR(INDEX(EmployeeData[Employee ID], ROW() - 37), "")</f>
        <v/>
      </c>
      <c r="C4230" s="4" t="str" cm="1">
        <f t="array" ref="C4230">IFERROR(INDEX(EmployeeData[Full Name], ROW() - 37), "")</f>
        <v/>
      </c>
      <c r="D4230" s="4" t="str" cm="1">
        <f t="array" ref="D4230">IFERROR(INDEX(EmployeeData[Department], ROW() - 37), "")</f>
        <v/>
      </c>
      <c r="E4230" s="4" t="str" cm="1">
        <f t="array" ref="E4230">IFERROR(INDEX(EmployeeData[Gender], ROW() - 37), "")</f>
        <v/>
      </c>
      <c r="F4230" s="4" t="str" cm="1">
        <f t="array" ref="F4230">IFERROR(INDEX(EmployeeData[Age], ROW() - 37), "")</f>
        <v/>
      </c>
      <c r="G4230" s="6" t="str" cm="1">
        <f t="array" ref="G4230">IFERROR(INDEX(EmployeeData[Join Date], ROW() - 37), "")</f>
        <v/>
      </c>
      <c r="H4230" s="6" t="str" cm="1">
        <f t="array" ref="H4230">IFERROR(IF(INDEX(EmployeeData[Exit Date], ROW() - 37)=0, "",INDEX(EmployeeData[Exit Date], ROW() - 37)),"")</f>
        <v/>
      </c>
      <c r="I4230" s="4" t="str" cm="1">
        <f t="array" ref="I4230">IFERROR(IF(INDEX(EmployeeData[Exit Reason], ROW() - 37)=0, "",INDEX(EmployeeData[Exit Reason], ROW() - 37)),"")</f>
        <v/>
      </c>
      <c r="J4230" s="4" t="str" cm="1">
        <f t="array" ref="J4230">IFERROR(INDEX(EmployeeData[Status], ROW() - 37), "")</f>
        <v/>
      </c>
    </row>
    <row r="4231" spans="2:10" ht="19.95" customHeight="1" x14ac:dyDescent="0.3">
      <c r="B4231" s="4" t="str" cm="1">
        <f t="array" ref="B4231">IFERROR(INDEX(EmployeeData[Employee ID], ROW() - 37), "")</f>
        <v/>
      </c>
      <c r="C4231" s="4" t="str" cm="1">
        <f t="array" ref="C4231">IFERROR(INDEX(EmployeeData[Full Name], ROW() - 37), "")</f>
        <v/>
      </c>
      <c r="D4231" s="4" t="str" cm="1">
        <f t="array" ref="D4231">IFERROR(INDEX(EmployeeData[Department], ROW() - 37), "")</f>
        <v/>
      </c>
      <c r="E4231" s="4" t="str" cm="1">
        <f t="array" ref="E4231">IFERROR(INDEX(EmployeeData[Gender], ROW() - 37), "")</f>
        <v/>
      </c>
      <c r="F4231" s="4" t="str" cm="1">
        <f t="array" ref="F4231">IFERROR(INDEX(EmployeeData[Age], ROW() - 37), "")</f>
        <v/>
      </c>
      <c r="G4231" s="6" t="str" cm="1">
        <f t="array" ref="G4231">IFERROR(INDEX(EmployeeData[Join Date], ROW() - 37), "")</f>
        <v/>
      </c>
      <c r="H4231" s="6" t="str" cm="1">
        <f t="array" ref="H4231">IFERROR(IF(INDEX(EmployeeData[Exit Date], ROW() - 37)=0, "",INDEX(EmployeeData[Exit Date], ROW() - 37)),"")</f>
        <v/>
      </c>
      <c r="I4231" s="4" t="str" cm="1">
        <f t="array" ref="I4231">IFERROR(IF(INDEX(EmployeeData[Exit Reason], ROW() - 37)=0, "",INDEX(EmployeeData[Exit Reason], ROW() - 37)),"")</f>
        <v/>
      </c>
      <c r="J4231" s="4" t="str" cm="1">
        <f t="array" ref="J4231">IFERROR(INDEX(EmployeeData[Status], ROW() - 37), "")</f>
        <v/>
      </c>
    </row>
    <row r="4232" spans="2:10" ht="19.95" customHeight="1" x14ac:dyDescent="0.3">
      <c r="B4232" s="4" t="str" cm="1">
        <f t="array" ref="B4232">IFERROR(INDEX(EmployeeData[Employee ID], ROW() - 37), "")</f>
        <v/>
      </c>
      <c r="C4232" s="4" t="str" cm="1">
        <f t="array" ref="C4232">IFERROR(INDEX(EmployeeData[Full Name], ROW() - 37), "")</f>
        <v/>
      </c>
      <c r="D4232" s="4" t="str" cm="1">
        <f t="array" ref="D4232">IFERROR(INDEX(EmployeeData[Department], ROW() - 37), "")</f>
        <v/>
      </c>
      <c r="E4232" s="4" t="str" cm="1">
        <f t="array" ref="E4232">IFERROR(INDEX(EmployeeData[Gender], ROW() - 37), "")</f>
        <v/>
      </c>
      <c r="F4232" s="4" t="str" cm="1">
        <f t="array" ref="F4232">IFERROR(INDEX(EmployeeData[Age], ROW() - 37), "")</f>
        <v/>
      </c>
      <c r="G4232" s="6" t="str" cm="1">
        <f t="array" ref="G4232">IFERROR(INDEX(EmployeeData[Join Date], ROW() - 37), "")</f>
        <v/>
      </c>
      <c r="H4232" s="6" t="str" cm="1">
        <f t="array" ref="H4232">IFERROR(IF(INDEX(EmployeeData[Exit Date], ROW() - 37)=0, "",INDEX(EmployeeData[Exit Date], ROW() - 37)),"")</f>
        <v/>
      </c>
      <c r="I4232" s="4" t="str" cm="1">
        <f t="array" ref="I4232">IFERROR(IF(INDEX(EmployeeData[Exit Reason], ROW() - 37)=0, "",INDEX(EmployeeData[Exit Reason], ROW() - 37)),"")</f>
        <v/>
      </c>
      <c r="J4232" s="4" t="str" cm="1">
        <f t="array" ref="J4232">IFERROR(INDEX(EmployeeData[Status], ROW() - 37), "")</f>
        <v/>
      </c>
    </row>
    <row r="4233" spans="2:10" ht="19.95" customHeight="1" x14ac:dyDescent="0.3">
      <c r="B4233" s="4" t="str" cm="1">
        <f t="array" ref="B4233">IFERROR(INDEX(EmployeeData[Employee ID], ROW() - 37), "")</f>
        <v/>
      </c>
      <c r="C4233" s="4" t="str" cm="1">
        <f t="array" ref="C4233">IFERROR(INDEX(EmployeeData[Full Name], ROW() - 37), "")</f>
        <v/>
      </c>
      <c r="D4233" s="4" t="str" cm="1">
        <f t="array" ref="D4233">IFERROR(INDEX(EmployeeData[Department], ROW() - 37), "")</f>
        <v/>
      </c>
      <c r="E4233" s="4" t="str" cm="1">
        <f t="array" ref="E4233">IFERROR(INDEX(EmployeeData[Gender], ROW() - 37), "")</f>
        <v/>
      </c>
      <c r="F4233" s="4" t="str" cm="1">
        <f t="array" ref="F4233">IFERROR(INDEX(EmployeeData[Age], ROW() - 37), "")</f>
        <v/>
      </c>
      <c r="G4233" s="6" t="str" cm="1">
        <f t="array" ref="G4233">IFERROR(INDEX(EmployeeData[Join Date], ROW() - 37), "")</f>
        <v/>
      </c>
      <c r="H4233" s="6" t="str" cm="1">
        <f t="array" ref="H4233">IFERROR(IF(INDEX(EmployeeData[Exit Date], ROW() - 37)=0, "",INDEX(EmployeeData[Exit Date], ROW() - 37)),"")</f>
        <v/>
      </c>
      <c r="I4233" s="4" t="str" cm="1">
        <f t="array" ref="I4233">IFERROR(IF(INDEX(EmployeeData[Exit Reason], ROW() - 37)=0, "",INDEX(EmployeeData[Exit Reason], ROW() - 37)),"")</f>
        <v/>
      </c>
      <c r="J4233" s="4" t="str" cm="1">
        <f t="array" ref="J4233">IFERROR(INDEX(EmployeeData[Status], ROW() - 37), "")</f>
        <v/>
      </c>
    </row>
    <row r="4234" spans="2:10" ht="19.95" customHeight="1" x14ac:dyDescent="0.3">
      <c r="B4234" s="4" t="str" cm="1">
        <f t="array" ref="B4234">IFERROR(INDEX(EmployeeData[Employee ID], ROW() - 37), "")</f>
        <v/>
      </c>
      <c r="C4234" s="4" t="str" cm="1">
        <f t="array" ref="C4234">IFERROR(INDEX(EmployeeData[Full Name], ROW() - 37), "")</f>
        <v/>
      </c>
      <c r="D4234" s="4" t="str" cm="1">
        <f t="array" ref="D4234">IFERROR(INDEX(EmployeeData[Department], ROW() - 37), "")</f>
        <v/>
      </c>
      <c r="E4234" s="4" t="str" cm="1">
        <f t="array" ref="E4234">IFERROR(INDEX(EmployeeData[Gender], ROW() - 37), "")</f>
        <v/>
      </c>
      <c r="F4234" s="4" t="str" cm="1">
        <f t="array" ref="F4234">IFERROR(INDEX(EmployeeData[Age], ROW() - 37), "")</f>
        <v/>
      </c>
      <c r="G4234" s="6" t="str" cm="1">
        <f t="array" ref="G4234">IFERROR(INDEX(EmployeeData[Join Date], ROW() - 37), "")</f>
        <v/>
      </c>
      <c r="H4234" s="6" t="str" cm="1">
        <f t="array" ref="H4234">IFERROR(IF(INDEX(EmployeeData[Exit Date], ROW() - 37)=0, "",INDEX(EmployeeData[Exit Date], ROW() - 37)),"")</f>
        <v/>
      </c>
      <c r="I4234" s="4" t="str" cm="1">
        <f t="array" ref="I4234">IFERROR(IF(INDEX(EmployeeData[Exit Reason], ROW() - 37)=0, "",INDEX(EmployeeData[Exit Reason], ROW() - 37)),"")</f>
        <v/>
      </c>
      <c r="J4234" s="4" t="str" cm="1">
        <f t="array" ref="J4234">IFERROR(INDEX(EmployeeData[Status], ROW() - 37), "")</f>
        <v/>
      </c>
    </row>
    <row r="4235" spans="2:10" ht="19.95" customHeight="1" x14ac:dyDescent="0.3">
      <c r="B4235" s="4" t="str" cm="1">
        <f t="array" ref="B4235">IFERROR(INDEX(EmployeeData[Employee ID], ROW() - 37), "")</f>
        <v/>
      </c>
      <c r="C4235" s="4" t="str" cm="1">
        <f t="array" ref="C4235">IFERROR(INDEX(EmployeeData[Full Name], ROW() - 37), "")</f>
        <v/>
      </c>
      <c r="D4235" s="4" t="str" cm="1">
        <f t="array" ref="D4235">IFERROR(INDEX(EmployeeData[Department], ROW() - 37), "")</f>
        <v/>
      </c>
      <c r="E4235" s="4" t="str" cm="1">
        <f t="array" ref="E4235">IFERROR(INDEX(EmployeeData[Gender], ROW() - 37), "")</f>
        <v/>
      </c>
      <c r="F4235" s="4" t="str" cm="1">
        <f t="array" ref="F4235">IFERROR(INDEX(EmployeeData[Age], ROW() - 37), "")</f>
        <v/>
      </c>
      <c r="G4235" s="6" t="str" cm="1">
        <f t="array" ref="G4235">IFERROR(INDEX(EmployeeData[Join Date], ROW() - 37), "")</f>
        <v/>
      </c>
      <c r="H4235" s="6" t="str" cm="1">
        <f t="array" ref="H4235">IFERROR(IF(INDEX(EmployeeData[Exit Date], ROW() - 37)=0, "",INDEX(EmployeeData[Exit Date], ROW() - 37)),"")</f>
        <v/>
      </c>
      <c r="I4235" s="4" t="str" cm="1">
        <f t="array" ref="I4235">IFERROR(IF(INDEX(EmployeeData[Exit Reason], ROW() - 37)=0, "",INDEX(EmployeeData[Exit Reason], ROW() - 37)),"")</f>
        <v/>
      </c>
      <c r="J4235" s="4" t="str" cm="1">
        <f t="array" ref="J4235">IFERROR(INDEX(EmployeeData[Status], ROW() - 37), "")</f>
        <v/>
      </c>
    </row>
    <row r="4236" spans="2:10" ht="19.95" customHeight="1" x14ac:dyDescent="0.3">
      <c r="B4236" s="4" t="str" cm="1">
        <f t="array" ref="B4236">IFERROR(INDEX(EmployeeData[Employee ID], ROW() - 37), "")</f>
        <v/>
      </c>
      <c r="C4236" s="4" t="str" cm="1">
        <f t="array" ref="C4236">IFERROR(INDEX(EmployeeData[Full Name], ROW() - 37), "")</f>
        <v/>
      </c>
      <c r="D4236" s="4" t="str" cm="1">
        <f t="array" ref="D4236">IFERROR(INDEX(EmployeeData[Department], ROW() - 37), "")</f>
        <v/>
      </c>
      <c r="E4236" s="4" t="str" cm="1">
        <f t="array" ref="E4236">IFERROR(INDEX(EmployeeData[Gender], ROW() - 37), "")</f>
        <v/>
      </c>
      <c r="F4236" s="4" t="str" cm="1">
        <f t="array" ref="F4236">IFERROR(INDEX(EmployeeData[Age], ROW() - 37), "")</f>
        <v/>
      </c>
      <c r="G4236" s="6" t="str" cm="1">
        <f t="array" ref="G4236">IFERROR(INDEX(EmployeeData[Join Date], ROW() - 37), "")</f>
        <v/>
      </c>
      <c r="H4236" s="6" t="str" cm="1">
        <f t="array" ref="H4236">IFERROR(IF(INDEX(EmployeeData[Exit Date], ROW() - 37)=0, "",INDEX(EmployeeData[Exit Date], ROW() - 37)),"")</f>
        <v/>
      </c>
      <c r="I4236" s="4" t="str" cm="1">
        <f t="array" ref="I4236">IFERROR(IF(INDEX(EmployeeData[Exit Reason], ROW() - 37)=0, "",INDEX(EmployeeData[Exit Reason], ROW() - 37)),"")</f>
        <v/>
      </c>
      <c r="J4236" s="4" t="str" cm="1">
        <f t="array" ref="J4236">IFERROR(INDEX(EmployeeData[Status], ROW() - 37), "")</f>
        <v/>
      </c>
    </row>
    <row r="4237" spans="2:10" ht="19.95" customHeight="1" x14ac:dyDescent="0.3">
      <c r="B4237" s="4" t="str" cm="1">
        <f t="array" ref="B4237">IFERROR(INDEX(EmployeeData[Employee ID], ROW() - 37), "")</f>
        <v/>
      </c>
      <c r="C4237" s="4" t="str" cm="1">
        <f t="array" ref="C4237">IFERROR(INDEX(EmployeeData[Full Name], ROW() - 37), "")</f>
        <v/>
      </c>
      <c r="D4237" s="4" t="str" cm="1">
        <f t="array" ref="D4237">IFERROR(INDEX(EmployeeData[Department], ROW() - 37), "")</f>
        <v/>
      </c>
      <c r="E4237" s="4" t="str" cm="1">
        <f t="array" ref="E4237">IFERROR(INDEX(EmployeeData[Gender], ROW() - 37), "")</f>
        <v/>
      </c>
      <c r="F4237" s="4" t="str" cm="1">
        <f t="array" ref="F4237">IFERROR(INDEX(EmployeeData[Age], ROW() - 37), "")</f>
        <v/>
      </c>
      <c r="G4237" s="6" t="str" cm="1">
        <f t="array" ref="G4237">IFERROR(INDEX(EmployeeData[Join Date], ROW() - 37), "")</f>
        <v/>
      </c>
      <c r="H4237" s="6" t="str" cm="1">
        <f t="array" ref="H4237">IFERROR(IF(INDEX(EmployeeData[Exit Date], ROW() - 37)=0, "",INDEX(EmployeeData[Exit Date], ROW() - 37)),"")</f>
        <v/>
      </c>
      <c r="I4237" s="4" t="str" cm="1">
        <f t="array" ref="I4237">IFERROR(IF(INDEX(EmployeeData[Exit Reason], ROW() - 37)=0, "",INDEX(EmployeeData[Exit Reason], ROW() - 37)),"")</f>
        <v/>
      </c>
      <c r="J4237" s="4" t="str" cm="1">
        <f t="array" ref="J4237">IFERROR(INDEX(EmployeeData[Status], ROW() - 37), "")</f>
        <v/>
      </c>
    </row>
    <row r="4238" spans="2:10" ht="19.95" customHeight="1" x14ac:dyDescent="0.3">
      <c r="B4238" s="4" t="str" cm="1">
        <f t="array" ref="B4238">IFERROR(INDEX(EmployeeData[Employee ID], ROW() - 37), "")</f>
        <v/>
      </c>
      <c r="C4238" s="4" t="str" cm="1">
        <f t="array" ref="C4238">IFERROR(INDEX(EmployeeData[Full Name], ROW() - 37), "")</f>
        <v/>
      </c>
      <c r="D4238" s="4" t="str" cm="1">
        <f t="array" ref="D4238">IFERROR(INDEX(EmployeeData[Department], ROW() - 37), "")</f>
        <v/>
      </c>
      <c r="E4238" s="4" t="str" cm="1">
        <f t="array" ref="E4238">IFERROR(INDEX(EmployeeData[Gender], ROW() - 37), "")</f>
        <v/>
      </c>
      <c r="F4238" s="4" t="str" cm="1">
        <f t="array" ref="F4238">IFERROR(INDEX(EmployeeData[Age], ROW() - 37), "")</f>
        <v/>
      </c>
      <c r="G4238" s="6" t="str" cm="1">
        <f t="array" ref="G4238">IFERROR(INDEX(EmployeeData[Join Date], ROW() - 37), "")</f>
        <v/>
      </c>
      <c r="H4238" s="6" t="str" cm="1">
        <f t="array" ref="H4238">IFERROR(IF(INDEX(EmployeeData[Exit Date], ROW() - 37)=0, "",INDEX(EmployeeData[Exit Date], ROW() - 37)),"")</f>
        <v/>
      </c>
      <c r="I4238" s="4" t="str" cm="1">
        <f t="array" ref="I4238">IFERROR(IF(INDEX(EmployeeData[Exit Reason], ROW() - 37)=0, "",INDEX(EmployeeData[Exit Reason], ROW() - 37)),"")</f>
        <v/>
      </c>
      <c r="J4238" s="4" t="str" cm="1">
        <f t="array" ref="J4238">IFERROR(INDEX(EmployeeData[Status], ROW() - 37), "")</f>
        <v/>
      </c>
    </row>
    <row r="4239" spans="2:10" ht="19.95" customHeight="1" x14ac:dyDescent="0.3">
      <c r="B4239" s="4" t="str" cm="1">
        <f t="array" ref="B4239">IFERROR(INDEX(EmployeeData[Employee ID], ROW() - 37), "")</f>
        <v/>
      </c>
      <c r="C4239" s="4" t="str" cm="1">
        <f t="array" ref="C4239">IFERROR(INDEX(EmployeeData[Full Name], ROW() - 37), "")</f>
        <v/>
      </c>
      <c r="D4239" s="4" t="str" cm="1">
        <f t="array" ref="D4239">IFERROR(INDEX(EmployeeData[Department], ROW() - 37), "")</f>
        <v/>
      </c>
      <c r="E4239" s="4" t="str" cm="1">
        <f t="array" ref="E4239">IFERROR(INDEX(EmployeeData[Gender], ROW() - 37), "")</f>
        <v/>
      </c>
      <c r="F4239" s="4" t="str" cm="1">
        <f t="array" ref="F4239">IFERROR(INDEX(EmployeeData[Age], ROW() - 37), "")</f>
        <v/>
      </c>
      <c r="G4239" s="6" t="str" cm="1">
        <f t="array" ref="G4239">IFERROR(INDEX(EmployeeData[Join Date], ROW() - 37), "")</f>
        <v/>
      </c>
      <c r="H4239" s="6" t="str" cm="1">
        <f t="array" ref="H4239">IFERROR(IF(INDEX(EmployeeData[Exit Date], ROW() - 37)=0, "",INDEX(EmployeeData[Exit Date], ROW() - 37)),"")</f>
        <v/>
      </c>
      <c r="I4239" s="4" t="str" cm="1">
        <f t="array" ref="I4239">IFERROR(IF(INDEX(EmployeeData[Exit Reason], ROW() - 37)=0, "",INDEX(EmployeeData[Exit Reason], ROW() - 37)),"")</f>
        <v/>
      </c>
      <c r="J4239" s="4" t="str" cm="1">
        <f t="array" ref="J4239">IFERROR(INDEX(EmployeeData[Status], ROW() - 37), "")</f>
        <v/>
      </c>
    </row>
    <row r="4240" spans="2:10" ht="19.95" customHeight="1" x14ac:dyDescent="0.3">
      <c r="B4240" s="4" t="str" cm="1">
        <f t="array" ref="B4240">IFERROR(INDEX(EmployeeData[Employee ID], ROW() - 37), "")</f>
        <v/>
      </c>
      <c r="C4240" s="4" t="str" cm="1">
        <f t="array" ref="C4240">IFERROR(INDEX(EmployeeData[Full Name], ROW() - 37), "")</f>
        <v/>
      </c>
      <c r="D4240" s="4" t="str" cm="1">
        <f t="array" ref="D4240">IFERROR(INDEX(EmployeeData[Department], ROW() - 37), "")</f>
        <v/>
      </c>
      <c r="E4240" s="4" t="str" cm="1">
        <f t="array" ref="E4240">IFERROR(INDEX(EmployeeData[Gender], ROW() - 37), "")</f>
        <v/>
      </c>
      <c r="F4240" s="4" t="str" cm="1">
        <f t="array" ref="F4240">IFERROR(INDEX(EmployeeData[Age], ROW() - 37), "")</f>
        <v/>
      </c>
      <c r="G4240" s="6" t="str" cm="1">
        <f t="array" ref="G4240">IFERROR(INDEX(EmployeeData[Join Date], ROW() - 37), "")</f>
        <v/>
      </c>
      <c r="H4240" s="6" t="str" cm="1">
        <f t="array" ref="H4240">IFERROR(IF(INDEX(EmployeeData[Exit Date], ROW() - 37)=0, "",INDEX(EmployeeData[Exit Date], ROW() - 37)),"")</f>
        <v/>
      </c>
      <c r="I4240" s="4" t="str" cm="1">
        <f t="array" ref="I4240">IFERROR(IF(INDEX(EmployeeData[Exit Reason], ROW() - 37)=0, "",INDEX(EmployeeData[Exit Reason], ROW() - 37)),"")</f>
        <v/>
      </c>
      <c r="J4240" s="4" t="str" cm="1">
        <f t="array" ref="J4240">IFERROR(INDEX(EmployeeData[Status], ROW() - 37), "")</f>
        <v/>
      </c>
    </row>
    <row r="4241" spans="2:10" ht="19.95" customHeight="1" x14ac:dyDescent="0.3">
      <c r="B4241" s="4" t="str" cm="1">
        <f t="array" ref="B4241">IFERROR(INDEX(EmployeeData[Employee ID], ROW() - 37), "")</f>
        <v/>
      </c>
      <c r="C4241" s="4" t="str" cm="1">
        <f t="array" ref="C4241">IFERROR(INDEX(EmployeeData[Full Name], ROW() - 37), "")</f>
        <v/>
      </c>
      <c r="D4241" s="4" t="str" cm="1">
        <f t="array" ref="D4241">IFERROR(INDEX(EmployeeData[Department], ROW() - 37), "")</f>
        <v/>
      </c>
      <c r="E4241" s="4" t="str" cm="1">
        <f t="array" ref="E4241">IFERROR(INDEX(EmployeeData[Gender], ROW() - 37), "")</f>
        <v/>
      </c>
      <c r="F4241" s="4" t="str" cm="1">
        <f t="array" ref="F4241">IFERROR(INDEX(EmployeeData[Age], ROW() - 37), "")</f>
        <v/>
      </c>
      <c r="G4241" s="6" t="str" cm="1">
        <f t="array" ref="G4241">IFERROR(INDEX(EmployeeData[Join Date], ROW() - 37), "")</f>
        <v/>
      </c>
      <c r="H4241" s="6" t="str" cm="1">
        <f t="array" ref="H4241">IFERROR(IF(INDEX(EmployeeData[Exit Date], ROW() - 37)=0, "",INDEX(EmployeeData[Exit Date], ROW() - 37)),"")</f>
        <v/>
      </c>
      <c r="I4241" s="4" t="str" cm="1">
        <f t="array" ref="I4241">IFERROR(IF(INDEX(EmployeeData[Exit Reason], ROW() - 37)=0, "",INDEX(EmployeeData[Exit Reason], ROW() - 37)),"")</f>
        <v/>
      </c>
      <c r="J4241" s="4" t="str" cm="1">
        <f t="array" ref="J4241">IFERROR(INDEX(EmployeeData[Status], ROW() - 37), "")</f>
        <v/>
      </c>
    </row>
    <row r="4242" spans="2:10" ht="19.95" customHeight="1" x14ac:dyDescent="0.3">
      <c r="B4242" s="4" t="str" cm="1">
        <f t="array" ref="B4242">IFERROR(INDEX(EmployeeData[Employee ID], ROW() - 37), "")</f>
        <v/>
      </c>
      <c r="C4242" s="4" t="str" cm="1">
        <f t="array" ref="C4242">IFERROR(INDEX(EmployeeData[Full Name], ROW() - 37), "")</f>
        <v/>
      </c>
      <c r="D4242" s="4" t="str" cm="1">
        <f t="array" ref="D4242">IFERROR(INDEX(EmployeeData[Department], ROW() - 37), "")</f>
        <v/>
      </c>
      <c r="E4242" s="4" t="str" cm="1">
        <f t="array" ref="E4242">IFERROR(INDEX(EmployeeData[Gender], ROW() - 37), "")</f>
        <v/>
      </c>
      <c r="F4242" s="4" t="str" cm="1">
        <f t="array" ref="F4242">IFERROR(INDEX(EmployeeData[Age], ROW() - 37), "")</f>
        <v/>
      </c>
      <c r="G4242" s="6" t="str" cm="1">
        <f t="array" ref="G4242">IFERROR(INDEX(EmployeeData[Join Date], ROW() - 37), "")</f>
        <v/>
      </c>
      <c r="H4242" s="6" t="str" cm="1">
        <f t="array" ref="H4242">IFERROR(IF(INDEX(EmployeeData[Exit Date], ROW() - 37)=0, "",INDEX(EmployeeData[Exit Date], ROW() - 37)),"")</f>
        <v/>
      </c>
      <c r="I4242" s="4" t="str" cm="1">
        <f t="array" ref="I4242">IFERROR(IF(INDEX(EmployeeData[Exit Reason], ROW() - 37)=0, "",INDEX(EmployeeData[Exit Reason], ROW() - 37)),"")</f>
        <v/>
      </c>
      <c r="J4242" s="4" t="str" cm="1">
        <f t="array" ref="J4242">IFERROR(INDEX(EmployeeData[Status], ROW() - 37), "")</f>
        <v/>
      </c>
    </row>
    <row r="4243" spans="2:10" ht="19.95" customHeight="1" x14ac:dyDescent="0.3">
      <c r="B4243" s="4" t="str" cm="1">
        <f t="array" ref="B4243">IFERROR(INDEX(EmployeeData[Employee ID], ROW() - 37), "")</f>
        <v/>
      </c>
      <c r="C4243" s="4" t="str" cm="1">
        <f t="array" ref="C4243">IFERROR(INDEX(EmployeeData[Full Name], ROW() - 37), "")</f>
        <v/>
      </c>
      <c r="D4243" s="4" t="str" cm="1">
        <f t="array" ref="D4243">IFERROR(INDEX(EmployeeData[Department], ROW() - 37), "")</f>
        <v/>
      </c>
      <c r="E4243" s="4" t="str" cm="1">
        <f t="array" ref="E4243">IFERROR(INDEX(EmployeeData[Gender], ROW() - 37), "")</f>
        <v/>
      </c>
      <c r="F4243" s="4" t="str" cm="1">
        <f t="array" ref="F4243">IFERROR(INDEX(EmployeeData[Age], ROW() - 37), "")</f>
        <v/>
      </c>
      <c r="G4243" s="6" t="str" cm="1">
        <f t="array" ref="G4243">IFERROR(INDEX(EmployeeData[Join Date], ROW() - 37), "")</f>
        <v/>
      </c>
      <c r="H4243" s="6" t="str" cm="1">
        <f t="array" ref="H4243">IFERROR(IF(INDEX(EmployeeData[Exit Date], ROW() - 37)=0, "",INDEX(EmployeeData[Exit Date], ROW() - 37)),"")</f>
        <v/>
      </c>
      <c r="I4243" s="4" t="str" cm="1">
        <f t="array" ref="I4243">IFERROR(IF(INDEX(EmployeeData[Exit Reason], ROW() - 37)=0, "",INDEX(EmployeeData[Exit Reason], ROW() - 37)),"")</f>
        <v/>
      </c>
      <c r="J4243" s="4" t="str" cm="1">
        <f t="array" ref="J4243">IFERROR(INDEX(EmployeeData[Status], ROW() - 37), "")</f>
        <v/>
      </c>
    </row>
    <row r="4244" spans="2:10" ht="19.95" customHeight="1" x14ac:dyDescent="0.3">
      <c r="B4244" s="4" t="str" cm="1">
        <f t="array" ref="B4244">IFERROR(INDEX(EmployeeData[Employee ID], ROW() - 37), "")</f>
        <v/>
      </c>
      <c r="C4244" s="4" t="str" cm="1">
        <f t="array" ref="C4244">IFERROR(INDEX(EmployeeData[Full Name], ROW() - 37), "")</f>
        <v/>
      </c>
      <c r="D4244" s="4" t="str" cm="1">
        <f t="array" ref="D4244">IFERROR(INDEX(EmployeeData[Department], ROW() - 37), "")</f>
        <v/>
      </c>
      <c r="E4244" s="4" t="str" cm="1">
        <f t="array" ref="E4244">IFERROR(INDEX(EmployeeData[Gender], ROW() - 37), "")</f>
        <v/>
      </c>
      <c r="F4244" s="4" t="str" cm="1">
        <f t="array" ref="F4244">IFERROR(INDEX(EmployeeData[Age], ROW() - 37), "")</f>
        <v/>
      </c>
      <c r="G4244" s="6" t="str" cm="1">
        <f t="array" ref="G4244">IFERROR(INDEX(EmployeeData[Join Date], ROW() - 37), "")</f>
        <v/>
      </c>
      <c r="H4244" s="6" t="str" cm="1">
        <f t="array" ref="H4244">IFERROR(IF(INDEX(EmployeeData[Exit Date], ROW() - 37)=0, "",INDEX(EmployeeData[Exit Date], ROW() - 37)),"")</f>
        <v/>
      </c>
      <c r="I4244" s="4" t="str" cm="1">
        <f t="array" ref="I4244">IFERROR(IF(INDEX(EmployeeData[Exit Reason], ROW() - 37)=0, "",INDEX(EmployeeData[Exit Reason], ROW() - 37)),"")</f>
        <v/>
      </c>
      <c r="J4244" s="4" t="str" cm="1">
        <f t="array" ref="J4244">IFERROR(INDEX(EmployeeData[Status], ROW() - 37), "")</f>
        <v/>
      </c>
    </row>
    <row r="4245" spans="2:10" ht="19.95" customHeight="1" x14ac:dyDescent="0.3">
      <c r="B4245" s="4" t="str" cm="1">
        <f t="array" ref="B4245">IFERROR(INDEX(EmployeeData[Employee ID], ROW() - 37), "")</f>
        <v/>
      </c>
      <c r="C4245" s="4" t="str" cm="1">
        <f t="array" ref="C4245">IFERROR(INDEX(EmployeeData[Full Name], ROW() - 37), "")</f>
        <v/>
      </c>
      <c r="D4245" s="4" t="str" cm="1">
        <f t="array" ref="D4245">IFERROR(INDEX(EmployeeData[Department], ROW() - 37), "")</f>
        <v/>
      </c>
      <c r="E4245" s="4" t="str" cm="1">
        <f t="array" ref="E4245">IFERROR(INDEX(EmployeeData[Gender], ROW() - 37), "")</f>
        <v/>
      </c>
      <c r="F4245" s="4" t="str" cm="1">
        <f t="array" ref="F4245">IFERROR(INDEX(EmployeeData[Age], ROW() - 37), "")</f>
        <v/>
      </c>
      <c r="G4245" s="6" t="str" cm="1">
        <f t="array" ref="G4245">IFERROR(INDEX(EmployeeData[Join Date], ROW() - 37), "")</f>
        <v/>
      </c>
      <c r="H4245" s="6" t="str" cm="1">
        <f t="array" ref="H4245">IFERROR(IF(INDEX(EmployeeData[Exit Date], ROW() - 37)=0, "",INDEX(EmployeeData[Exit Date], ROW() - 37)),"")</f>
        <v/>
      </c>
      <c r="I4245" s="4" t="str" cm="1">
        <f t="array" ref="I4245">IFERROR(IF(INDEX(EmployeeData[Exit Reason], ROW() - 37)=0, "",INDEX(EmployeeData[Exit Reason], ROW() - 37)),"")</f>
        <v/>
      </c>
      <c r="J4245" s="4" t="str" cm="1">
        <f t="array" ref="J4245">IFERROR(INDEX(EmployeeData[Status], ROW() - 37), "")</f>
        <v/>
      </c>
    </row>
    <row r="4246" spans="2:10" ht="19.95" customHeight="1" x14ac:dyDescent="0.3">
      <c r="B4246" s="4" t="str" cm="1">
        <f t="array" ref="B4246">IFERROR(INDEX(EmployeeData[Employee ID], ROW() - 37), "")</f>
        <v/>
      </c>
      <c r="C4246" s="4" t="str" cm="1">
        <f t="array" ref="C4246">IFERROR(INDEX(EmployeeData[Full Name], ROW() - 37), "")</f>
        <v/>
      </c>
      <c r="D4246" s="4" t="str" cm="1">
        <f t="array" ref="D4246">IFERROR(INDEX(EmployeeData[Department], ROW() - 37), "")</f>
        <v/>
      </c>
      <c r="E4246" s="4" t="str" cm="1">
        <f t="array" ref="E4246">IFERROR(INDEX(EmployeeData[Gender], ROW() - 37), "")</f>
        <v/>
      </c>
      <c r="F4246" s="4" t="str" cm="1">
        <f t="array" ref="F4246">IFERROR(INDEX(EmployeeData[Age], ROW() - 37), "")</f>
        <v/>
      </c>
      <c r="G4246" s="6" t="str" cm="1">
        <f t="array" ref="G4246">IFERROR(INDEX(EmployeeData[Join Date], ROW() - 37), "")</f>
        <v/>
      </c>
      <c r="H4246" s="6" t="str" cm="1">
        <f t="array" ref="H4246">IFERROR(IF(INDEX(EmployeeData[Exit Date], ROW() - 37)=0, "",INDEX(EmployeeData[Exit Date], ROW() - 37)),"")</f>
        <v/>
      </c>
      <c r="I4246" s="4" t="str" cm="1">
        <f t="array" ref="I4246">IFERROR(IF(INDEX(EmployeeData[Exit Reason], ROW() - 37)=0, "",INDEX(EmployeeData[Exit Reason], ROW() - 37)),"")</f>
        <v/>
      </c>
      <c r="J4246" s="4" t="str" cm="1">
        <f t="array" ref="J4246">IFERROR(INDEX(EmployeeData[Status], ROW() - 37), "")</f>
        <v/>
      </c>
    </row>
    <row r="4247" spans="2:10" ht="19.95" customHeight="1" x14ac:dyDescent="0.3">
      <c r="B4247" s="4" t="str" cm="1">
        <f t="array" ref="B4247">IFERROR(INDEX(EmployeeData[Employee ID], ROW() - 37), "")</f>
        <v/>
      </c>
      <c r="C4247" s="4" t="str" cm="1">
        <f t="array" ref="C4247">IFERROR(INDEX(EmployeeData[Full Name], ROW() - 37), "")</f>
        <v/>
      </c>
      <c r="D4247" s="4" t="str" cm="1">
        <f t="array" ref="D4247">IFERROR(INDEX(EmployeeData[Department], ROW() - 37), "")</f>
        <v/>
      </c>
      <c r="E4247" s="4" t="str" cm="1">
        <f t="array" ref="E4247">IFERROR(INDEX(EmployeeData[Gender], ROW() - 37), "")</f>
        <v/>
      </c>
      <c r="F4247" s="4" t="str" cm="1">
        <f t="array" ref="F4247">IFERROR(INDEX(EmployeeData[Age], ROW() - 37), "")</f>
        <v/>
      </c>
      <c r="G4247" s="6" t="str" cm="1">
        <f t="array" ref="G4247">IFERROR(INDEX(EmployeeData[Join Date], ROW() - 37), "")</f>
        <v/>
      </c>
      <c r="H4247" s="6" t="str" cm="1">
        <f t="array" ref="H4247">IFERROR(IF(INDEX(EmployeeData[Exit Date], ROW() - 37)=0, "",INDEX(EmployeeData[Exit Date], ROW() - 37)),"")</f>
        <v/>
      </c>
      <c r="I4247" s="4" t="str" cm="1">
        <f t="array" ref="I4247">IFERROR(IF(INDEX(EmployeeData[Exit Reason], ROW() - 37)=0, "",INDEX(EmployeeData[Exit Reason], ROW() - 37)),"")</f>
        <v/>
      </c>
      <c r="J4247" s="4" t="str" cm="1">
        <f t="array" ref="J4247">IFERROR(INDEX(EmployeeData[Status], ROW() - 37), "")</f>
        <v/>
      </c>
    </row>
    <row r="4248" spans="2:10" ht="19.95" customHeight="1" x14ac:dyDescent="0.3">
      <c r="B4248" s="4" t="str" cm="1">
        <f t="array" ref="B4248">IFERROR(INDEX(EmployeeData[Employee ID], ROW() - 37), "")</f>
        <v/>
      </c>
      <c r="C4248" s="4" t="str" cm="1">
        <f t="array" ref="C4248">IFERROR(INDEX(EmployeeData[Full Name], ROW() - 37), "")</f>
        <v/>
      </c>
      <c r="D4248" s="4" t="str" cm="1">
        <f t="array" ref="D4248">IFERROR(INDEX(EmployeeData[Department], ROW() - 37), "")</f>
        <v/>
      </c>
      <c r="E4248" s="4" t="str" cm="1">
        <f t="array" ref="E4248">IFERROR(INDEX(EmployeeData[Gender], ROW() - 37), "")</f>
        <v/>
      </c>
      <c r="F4248" s="4" t="str" cm="1">
        <f t="array" ref="F4248">IFERROR(INDEX(EmployeeData[Age], ROW() - 37), "")</f>
        <v/>
      </c>
      <c r="G4248" s="6" t="str" cm="1">
        <f t="array" ref="G4248">IFERROR(INDEX(EmployeeData[Join Date], ROW() - 37), "")</f>
        <v/>
      </c>
      <c r="H4248" s="6" t="str" cm="1">
        <f t="array" ref="H4248">IFERROR(IF(INDEX(EmployeeData[Exit Date], ROW() - 37)=0, "",INDEX(EmployeeData[Exit Date], ROW() - 37)),"")</f>
        <v/>
      </c>
      <c r="I4248" s="4" t="str" cm="1">
        <f t="array" ref="I4248">IFERROR(IF(INDEX(EmployeeData[Exit Reason], ROW() - 37)=0, "",INDEX(EmployeeData[Exit Reason], ROW() - 37)),"")</f>
        <v/>
      </c>
      <c r="J4248" s="4" t="str" cm="1">
        <f t="array" ref="J4248">IFERROR(INDEX(EmployeeData[Status], ROW() - 37), "")</f>
        <v/>
      </c>
    </row>
    <row r="4249" spans="2:10" ht="19.95" customHeight="1" x14ac:dyDescent="0.3">
      <c r="B4249" s="4" t="str" cm="1">
        <f t="array" ref="B4249">IFERROR(INDEX(EmployeeData[Employee ID], ROW() - 37), "")</f>
        <v/>
      </c>
      <c r="C4249" s="4" t="str" cm="1">
        <f t="array" ref="C4249">IFERROR(INDEX(EmployeeData[Full Name], ROW() - 37), "")</f>
        <v/>
      </c>
      <c r="D4249" s="4" t="str" cm="1">
        <f t="array" ref="D4249">IFERROR(INDEX(EmployeeData[Department], ROW() - 37), "")</f>
        <v/>
      </c>
      <c r="E4249" s="4" t="str" cm="1">
        <f t="array" ref="E4249">IFERROR(INDEX(EmployeeData[Gender], ROW() - 37), "")</f>
        <v/>
      </c>
      <c r="F4249" s="4" t="str" cm="1">
        <f t="array" ref="F4249">IFERROR(INDEX(EmployeeData[Age], ROW() - 37), "")</f>
        <v/>
      </c>
      <c r="G4249" s="6" t="str" cm="1">
        <f t="array" ref="G4249">IFERROR(INDEX(EmployeeData[Join Date], ROW() - 37), "")</f>
        <v/>
      </c>
      <c r="H4249" s="6" t="str" cm="1">
        <f t="array" ref="H4249">IFERROR(IF(INDEX(EmployeeData[Exit Date], ROW() - 37)=0, "",INDEX(EmployeeData[Exit Date], ROW() - 37)),"")</f>
        <v/>
      </c>
      <c r="I4249" s="4" t="str" cm="1">
        <f t="array" ref="I4249">IFERROR(IF(INDEX(EmployeeData[Exit Reason], ROW() - 37)=0, "",INDEX(EmployeeData[Exit Reason], ROW() - 37)),"")</f>
        <v/>
      </c>
      <c r="J4249" s="4" t="str" cm="1">
        <f t="array" ref="J4249">IFERROR(INDEX(EmployeeData[Status], ROW() - 37), "")</f>
        <v/>
      </c>
    </row>
    <row r="4250" spans="2:10" ht="19.95" customHeight="1" x14ac:dyDescent="0.3">
      <c r="B4250" s="4" t="str" cm="1">
        <f t="array" ref="B4250">IFERROR(INDEX(EmployeeData[Employee ID], ROW() - 37), "")</f>
        <v/>
      </c>
      <c r="C4250" s="4" t="str" cm="1">
        <f t="array" ref="C4250">IFERROR(INDEX(EmployeeData[Full Name], ROW() - 37), "")</f>
        <v/>
      </c>
      <c r="D4250" s="4" t="str" cm="1">
        <f t="array" ref="D4250">IFERROR(INDEX(EmployeeData[Department], ROW() - 37), "")</f>
        <v/>
      </c>
      <c r="E4250" s="4" t="str" cm="1">
        <f t="array" ref="E4250">IFERROR(INDEX(EmployeeData[Gender], ROW() - 37), "")</f>
        <v/>
      </c>
      <c r="F4250" s="4" t="str" cm="1">
        <f t="array" ref="F4250">IFERROR(INDEX(EmployeeData[Age], ROW() - 37), "")</f>
        <v/>
      </c>
      <c r="G4250" s="6" t="str" cm="1">
        <f t="array" ref="G4250">IFERROR(INDEX(EmployeeData[Join Date], ROW() - 37), "")</f>
        <v/>
      </c>
      <c r="H4250" s="6" t="str" cm="1">
        <f t="array" ref="H4250">IFERROR(IF(INDEX(EmployeeData[Exit Date], ROW() - 37)=0, "",INDEX(EmployeeData[Exit Date], ROW() - 37)),"")</f>
        <v/>
      </c>
      <c r="I4250" s="4" t="str" cm="1">
        <f t="array" ref="I4250">IFERROR(IF(INDEX(EmployeeData[Exit Reason], ROW() - 37)=0, "",INDEX(EmployeeData[Exit Reason], ROW() - 37)),"")</f>
        <v/>
      </c>
      <c r="J4250" s="4" t="str" cm="1">
        <f t="array" ref="J4250">IFERROR(INDEX(EmployeeData[Status], ROW() - 37), "")</f>
        <v/>
      </c>
    </row>
    <row r="4251" spans="2:10" ht="19.95" customHeight="1" x14ac:dyDescent="0.3">
      <c r="B4251" s="4" t="str" cm="1">
        <f t="array" ref="B4251">IFERROR(INDEX(EmployeeData[Employee ID], ROW() - 37), "")</f>
        <v/>
      </c>
      <c r="C4251" s="4" t="str" cm="1">
        <f t="array" ref="C4251">IFERROR(INDEX(EmployeeData[Full Name], ROW() - 37), "")</f>
        <v/>
      </c>
      <c r="D4251" s="4" t="str" cm="1">
        <f t="array" ref="D4251">IFERROR(INDEX(EmployeeData[Department], ROW() - 37), "")</f>
        <v/>
      </c>
      <c r="E4251" s="4" t="str" cm="1">
        <f t="array" ref="E4251">IFERROR(INDEX(EmployeeData[Gender], ROW() - 37), "")</f>
        <v/>
      </c>
      <c r="F4251" s="4" t="str" cm="1">
        <f t="array" ref="F4251">IFERROR(INDEX(EmployeeData[Age], ROW() - 37), "")</f>
        <v/>
      </c>
      <c r="G4251" s="6" t="str" cm="1">
        <f t="array" ref="G4251">IFERROR(INDEX(EmployeeData[Join Date], ROW() - 37), "")</f>
        <v/>
      </c>
      <c r="H4251" s="6" t="str" cm="1">
        <f t="array" ref="H4251">IFERROR(IF(INDEX(EmployeeData[Exit Date], ROW() - 37)=0, "",INDEX(EmployeeData[Exit Date], ROW() - 37)),"")</f>
        <v/>
      </c>
      <c r="I4251" s="4" t="str" cm="1">
        <f t="array" ref="I4251">IFERROR(IF(INDEX(EmployeeData[Exit Reason], ROW() - 37)=0, "",INDEX(EmployeeData[Exit Reason], ROW() - 37)),"")</f>
        <v/>
      </c>
      <c r="J4251" s="4" t="str" cm="1">
        <f t="array" ref="J4251">IFERROR(INDEX(EmployeeData[Status], ROW() - 37), "")</f>
        <v/>
      </c>
    </row>
    <row r="4252" spans="2:10" ht="19.95" customHeight="1" x14ac:dyDescent="0.3">
      <c r="B4252" s="4" t="str" cm="1">
        <f t="array" ref="B4252">IFERROR(INDEX(EmployeeData[Employee ID], ROW() - 37), "")</f>
        <v/>
      </c>
      <c r="C4252" s="4" t="str" cm="1">
        <f t="array" ref="C4252">IFERROR(INDEX(EmployeeData[Full Name], ROW() - 37), "")</f>
        <v/>
      </c>
      <c r="D4252" s="4" t="str" cm="1">
        <f t="array" ref="D4252">IFERROR(INDEX(EmployeeData[Department], ROW() - 37), "")</f>
        <v/>
      </c>
      <c r="E4252" s="4" t="str" cm="1">
        <f t="array" ref="E4252">IFERROR(INDEX(EmployeeData[Gender], ROW() - 37), "")</f>
        <v/>
      </c>
      <c r="F4252" s="4" t="str" cm="1">
        <f t="array" ref="F4252">IFERROR(INDEX(EmployeeData[Age], ROW() - 37), "")</f>
        <v/>
      </c>
      <c r="G4252" s="6" t="str" cm="1">
        <f t="array" ref="G4252">IFERROR(INDEX(EmployeeData[Join Date], ROW() - 37), "")</f>
        <v/>
      </c>
      <c r="H4252" s="6" t="str" cm="1">
        <f t="array" ref="H4252">IFERROR(IF(INDEX(EmployeeData[Exit Date], ROW() - 37)=0, "",INDEX(EmployeeData[Exit Date], ROW() - 37)),"")</f>
        <v/>
      </c>
      <c r="I4252" s="4" t="str" cm="1">
        <f t="array" ref="I4252">IFERROR(IF(INDEX(EmployeeData[Exit Reason], ROW() - 37)=0, "",INDEX(EmployeeData[Exit Reason], ROW() - 37)),"")</f>
        <v/>
      </c>
      <c r="J4252" s="4" t="str" cm="1">
        <f t="array" ref="J4252">IFERROR(INDEX(EmployeeData[Status], ROW() - 37), "")</f>
        <v/>
      </c>
    </row>
    <row r="4253" spans="2:10" ht="19.95" customHeight="1" x14ac:dyDescent="0.3">
      <c r="B4253" s="4" t="str" cm="1">
        <f t="array" ref="B4253">IFERROR(INDEX(EmployeeData[Employee ID], ROW() - 37), "")</f>
        <v/>
      </c>
      <c r="C4253" s="4" t="str" cm="1">
        <f t="array" ref="C4253">IFERROR(INDEX(EmployeeData[Full Name], ROW() - 37), "")</f>
        <v/>
      </c>
      <c r="D4253" s="4" t="str" cm="1">
        <f t="array" ref="D4253">IFERROR(INDEX(EmployeeData[Department], ROW() - 37), "")</f>
        <v/>
      </c>
      <c r="E4253" s="4" t="str" cm="1">
        <f t="array" ref="E4253">IFERROR(INDEX(EmployeeData[Gender], ROW() - 37), "")</f>
        <v/>
      </c>
      <c r="F4253" s="4" t="str" cm="1">
        <f t="array" ref="F4253">IFERROR(INDEX(EmployeeData[Age], ROW() - 37), "")</f>
        <v/>
      </c>
      <c r="G4253" s="6" t="str" cm="1">
        <f t="array" ref="G4253">IFERROR(INDEX(EmployeeData[Join Date], ROW() - 37), "")</f>
        <v/>
      </c>
      <c r="H4253" s="6" t="str" cm="1">
        <f t="array" ref="H4253">IFERROR(IF(INDEX(EmployeeData[Exit Date], ROW() - 37)=0, "",INDEX(EmployeeData[Exit Date], ROW() - 37)),"")</f>
        <v/>
      </c>
      <c r="I4253" s="4" t="str" cm="1">
        <f t="array" ref="I4253">IFERROR(IF(INDEX(EmployeeData[Exit Reason], ROW() - 37)=0, "",INDEX(EmployeeData[Exit Reason], ROW() - 37)),"")</f>
        <v/>
      </c>
      <c r="J4253" s="4" t="str" cm="1">
        <f t="array" ref="J4253">IFERROR(INDEX(EmployeeData[Status], ROW() - 37), "")</f>
        <v/>
      </c>
    </row>
    <row r="4254" spans="2:10" ht="19.95" customHeight="1" x14ac:dyDescent="0.3">
      <c r="B4254" s="4" t="str" cm="1">
        <f t="array" ref="B4254">IFERROR(INDEX(EmployeeData[Employee ID], ROW() - 37), "")</f>
        <v/>
      </c>
      <c r="C4254" s="4" t="str" cm="1">
        <f t="array" ref="C4254">IFERROR(INDEX(EmployeeData[Full Name], ROW() - 37), "")</f>
        <v/>
      </c>
      <c r="D4254" s="4" t="str" cm="1">
        <f t="array" ref="D4254">IFERROR(INDEX(EmployeeData[Department], ROW() - 37), "")</f>
        <v/>
      </c>
      <c r="E4254" s="4" t="str" cm="1">
        <f t="array" ref="E4254">IFERROR(INDEX(EmployeeData[Gender], ROW() - 37), "")</f>
        <v/>
      </c>
      <c r="F4254" s="4" t="str" cm="1">
        <f t="array" ref="F4254">IFERROR(INDEX(EmployeeData[Age], ROW() - 37), "")</f>
        <v/>
      </c>
      <c r="G4254" s="6" t="str" cm="1">
        <f t="array" ref="G4254">IFERROR(INDEX(EmployeeData[Join Date], ROW() - 37), "")</f>
        <v/>
      </c>
      <c r="H4254" s="6" t="str" cm="1">
        <f t="array" ref="H4254">IFERROR(IF(INDEX(EmployeeData[Exit Date], ROW() - 37)=0, "",INDEX(EmployeeData[Exit Date], ROW() - 37)),"")</f>
        <v/>
      </c>
      <c r="I4254" s="4" t="str" cm="1">
        <f t="array" ref="I4254">IFERROR(IF(INDEX(EmployeeData[Exit Reason], ROW() - 37)=0, "",INDEX(EmployeeData[Exit Reason], ROW() - 37)),"")</f>
        <v/>
      </c>
      <c r="J4254" s="4" t="str" cm="1">
        <f t="array" ref="J4254">IFERROR(INDEX(EmployeeData[Status], ROW() - 37), "")</f>
        <v/>
      </c>
    </row>
    <row r="4255" spans="2:10" ht="19.95" customHeight="1" x14ac:dyDescent="0.3">
      <c r="B4255" s="4" t="str" cm="1">
        <f t="array" ref="B4255">IFERROR(INDEX(EmployeeData[Employee ID], ROW() - 37), "")</f>
        <v/>
      </c>
      <c r="C4255" s="4" t="str" cm="1">
        <f t="array" ref="C4255">IFERROR(INDEX(EmployeeData[Full Name], ROW() - 37), "")</f>
        <v/>
      </c>
      <c r="D4255" s="4" t="str" cm="1">
        <f t="array" ref="D4255">IFERROR(INDEX(EmployeeData[Department], ROW() - 37), "")</f>
        <v/>
      </c>
      <c r="E4255" s="4" t="str" cm="1">
        <f t="array" ref="E4255">IFERROR(INDEX(EmployeeData[Gender], ROW() - 37), "")</f>
        <v/>
      </c>
      <c r="F4255" s="4" t="str" cm="1">
        <f t="array" ref="F4255">IFERROR(INDEX(EmployeeData[Age], ROW() - 37), "")</f>
        <v/>
      </c>
      <c r="G4255" s="6" t="str" cm="1">
        <f t="array" ref="G4255">IFERROR(INDEX(EmployeeData[Join Date], ROW() - 37), "")</f>
        <v/>
      </c>
      <c r="H4255" s="6" t="str" cm="1">
        <f t="array" ref="H4255">IFERROR(IF(INDEX(EmployeeData[Exit Date], ROW() - 37)=0, "",INDEX(EmployeeData[Exit Date], ROW() - 37)),"")</f>
        <v/>
      </c>
      <c r="I4255" s="4" t="str" cm="1">
        <f t="array" ref="I4255">IFERROR(IF(INDEX(EmployeeData[Exit Reason], ROW() - 37)=0, "",INDEX(EmployeeData[Exit Reason], ROW() - 37)),"")</f>
        <v/>
      </c>
      <c r="J4255" s="4" t="str" cm="1">
        <f t="array" ref="J4255">IFERROR(INDEX(EmployeeData[Status], ROW() - 37), "")</f>
        <v/>
      </c>
    </row>
    <row r="4256" spans="2:10" ht="19.95" customHeight="1" x14ac:dyDescent="0.3">
      <c r="B4256" s="4" t="str" cm="1">
        <f t="array" ref="B4256">IFERROR(INDEX(EmployeeData[Employee ID], ROW() - 37), "")</f>
        <v/>
      </c>
      <c r="C4256" s="4" t="str" cm="1">
        <f t="array" ref="C4256">IFERROR(INDEX(EmployeeData[Full Name], ROW() - 37), "")</f>
        <v/>
      </c>
      <c r="D4256" s="4" t="str" cm="1">
        <f t="array" ref="D4256">IFERROR(INDEX(EmployeeData[Department], ROW() - 37), "")</f>
        <v/>
      </c>
      <c r="E4256" s="4" t="str" cm="1">
        <f t="array" ref="E4256">IFERROR(INDEX(EmployeeData[Gender], ROW() - 37), "")</f>
        <v/>
      </c>
      <c r="F4256" s="4" t="str" cm="1">
        <f t="array" ref="F4256">IFERROR(INDEX(EmployeeData[Age], ROW() - 37), "")</f>
        <v/>
      </c>
      <c r="G4256" s="6" t="str" cm="1">
        <f t="array" ref="G4256">IFERROR(INDEX(EmployeeData[Join Date], ROW() - 37), "")</f>
        <v/>
      </c>
      <c r="H4256" s="6" t="str" cm="1">
        <f t="array" ref="H4256">IFERROR(IF(INDEX(EmployeeData[Exit Date], ROW() - 37)=0, "",INDEX(EmployeeData[Exit Date], ROW() - 37)),"")</f>
        <v/>
      </c>
      <c r="I4256" s="4" t="str" cm="1">
        <f t="array" ref="I4256">IFERROR(IF(INDEX(EmployeeData[Exit Reason], ROW() - 37)=0, "",INDEX(EmployeeData[Exit Reason], ROW() - 37)),"")</f>
        <v/>
      </c>
      <c r="J4256" s="4" t="str" cm="1">
        <f t="array" ref="J4256">IFERROR(INDEX(EmployeeData[Status], ROW() - 37), "")</f>
        <v/>
      </c>
    </row>
    <row r="4257" spans="2:10" ht="19.95" customHeight="1" x14ac:dyDescent="0.3">
      <c r="B4257" s="4" t="str" cm="1">
        <f t="array" ref="B4257">IFERROR(INDEX(EmployeeData[Employee ID], ROW() - 37), "")</f>
        <v/>
      </c>
      <c r="C4257" s="4" t="str" cm="1">
        <f t="array" ref="C4257">IFERROR(INDEX(EmployeeData[Full Name], ROW() - 37), "")</f>
        <v/>
      </c>
      <c r="D4257" s="4" t="str" cm="1">
        <f t="array" ref="D4257">IFERROR(INDEX(EmployeeData[Department], ROW() - 37), "")</f>
        <v/>
      </c>
      <c r="E4257" s="4" t="str" cm="1">
        <f t="array" ref="E4257">IFERROR(INDEX(EmployeeData[Gender], ROW() - 37), "")</f>
        <v/>
      </c>
      <c r="F4257" s="4" t="str" cm="1">
        <f t="array" ref="F4257">IFERROR(INDEX(EmployeeData[Age], ROW() - 37), "")</f>
        <v/>
      </c>
      <c r="G4257" s="6" t="str" cm="1">
        <f t="array" ref="G4257">IFERROR(INDEX(EmployeeData[Join Date], ROW() - 37), "")</f>
        <v/>
      </c>
      <c r="H4257" s="6" t="str" cm="1">
        <f t="array" ref="H4257">IFERROR(IF(INDEX(EmployeeData[Exit Date], ROW() - 37)=0, "",INDEX(EmployeeData[Exit Date], ROW() - 37)),"")</f>
        <v/>
      </c>
      <c r="I4257" s="4" t="str" cm="1">
        <f t="array" ref="I4257">IFERROR(IF(INDEX(EmployeeData[Exit Reason], ROW() - 37)=0, "",INDEX(EmployeeData[Exit Reason], ROW() - 37)),"")</f>
        <v/>
      </c>
      <c r="J4257" s="4" t="str" cm="1">
        <f t="array" ref="J4257">IFERROR(INDEX(EmployeeData[Status], ROW() - 37), "")</f>
        <v/>
      </c>
    </row>
    <row r="4258" spans="2:10" ht="19.95" customHeight="1" x14ac:dyDescent="0.3">
      <c r="B4258" s="4" t="str" cm="1">
        <f t="array" ref="B4258">IFERROR(INDEX(EmployeeData[Employee ID], ROW() - 37), "")</f>
        <v/>
      </c>
      <c r="C4258" s="4" t="str" cm="1">
        <f t="array" ref="C4258">IFERROR(INDEX(EmployeeData[Full Name], ROW() - 37), "")</f>
        <v/>
      </c>
      <c r="D4258" s="4" t="str" cm="1">
        <f t="array" ref="D4258">IFERROR(INDEX(EmployeeData[Department], ROW() - 37), "")</f>
        <v/>
      </c>
      <c r="E4258" s="4" t="str" cm="1">
        <f t="array" ref="E4258">IFERROR(INDEX(EmployeeData[Gender], ROW() - 37), "")</f>
        <v/>
      </c>
      <c r="F4258" s="4" t="str" cm="1">
        <f t="array" ref="F4258">IFERROR(INDEX(EmployeeData[Age], ROW() - 37), "")</f>
        <v/>
      </c>
      <c r="G4258" s="6" t="str" cm="1">
        <f t="array" ref="G4258">IFERROR(INDEX(EmployeeData[Join Date], ROW() - 37), "")</f>
        <v/>
      </c>
      <c r="H4258" s="6" t="str" cm="1">
        <f t="array" ref="H4258">IFERROR(IF(INDEX(EmployeeData[Exit Date], ROW() - 37)=0, "",INDEX(EmployeeData[Exit Date], ROW() - 37)),"")</f>
        <v/>
      </c>
      <c r="I4258" s="4" t="str" cm="1">
        <f t="array" ref="I4258">IFERROR(IF(INDEX(EmployeeData[Exit Reason], ROW() - 37)=0, "",INDEX(EmployeeData[Exit Reason], ROW() - 37)),"")</f>
        <v/>
      </c>
      <c r="J4258" s="4" t="str" cm="1">
        <f t="array" ref="J4258">IFERROR(INDEX(EmployeeData[Status], ROW() - 37), "")</f>
        <v/>
      </c>
    </row>
    <row r="4259" spans="2:10" ht="19.95" customHeight="1" x14ac:dyDescent="0.3">
      <c r="B4259" s="4" t="str" cm="1">
        <f t="array" ref="B4259">IFERROR(INDEX(EmployeeData[Employee ID], ROW() - 37), "")</f>
        <v/>
      </c>
      <c r="C4259" s="4" t="str" cm="1">
        <f t="array" ref="C4259">IFERROR(INDEX(EmployeeData[Full Name], ROW() - 37), "")</f>
        <v/>
      </c>
      <c r="D4259" s="4" t="str" cm="1">
        <f t="array" ref="D4259">IFERROR(INDEX(EmployeeData[Department], ROW() - 37), "")</f>
        <v/>
      </c>
      <c r="E4259" s="4" t="str" cm="1">
        <f t="array" ref="E4259">IFERROR(INDEX(EmployeeData[Gender], ROW() - 37), "")</f>
        <v/>
      </c>
      <c r="F4259" s="4" t="str" cm="1">
        <f t="array" ref="F4259">IFERROR(INDEX(EmployeeData[Age], ROW() - 37), "")</f>
        <v/>
      </c>
      <c r="G4259" s="6" t="str" cm="1">
        <f t="array" ref="G4259">IFERROR(INDEX(EmployeeData[Join Date], ROW() - 37), "")</f>
        <v/>
      </c>
      <c r="H4259" s="6" t="str" cm="1">
        <f t="array" ref="H4259">IFERROR(IF(INDEX(EmployeeData[Exit Date], ROW() - 37)=0, "",INDEX(EmployeeData[Exit Date], ROW() - 37)),"")</f>
        <v/>
      </c>
      <c r="I4259" s="4" t="str" cm="1">
        <f t="array" ref="I4259">IFERROR(IF(INDEX(EmployeeData[Exit Reason], ROW() - 37)=0, "",INDEX(EmployeeData[Exit Reason], ROW() - 37)),"")</f>
        <v/>
      </c>
      <c r="J4259" s="4" t="str" cm="1">
        <f t="array" ref="J4259">IFERROR(INDEX(EmployeeData[Status], ROW() - 37), "")</f>
        <v/>
      </c>
    </row>
    <row r="4260" spans="2:10" ht="19.95" customHeight="1" x14ac:dyDescent="0.3">
      <c r="B4260" s="4" t="str" cm="1">
        <f t="array" ref="B4260">IFERROR(INDEX(EmployeeData[Employee ID], ROW() - 37), "")</f>
        <v/>
      </c>
      <c r="C4260" s="4" t="str" cm="1">
        <f t="array" ref="C4260">IFERROR(INDEX(EmployeeData[Full Name], ROW() - 37), "")</f>
        <v/>
      </c>
      <c r="D4260" s="4" t="str" cm="1">
        <f t="array" ref="D4260">IFERROR(INDEX(EmployeeData[Department], ROW() - 37), "")</f>
        <v/>
      </c>
      <c r="E4260" s="4" t="str" cm="1">
        <f t="array" ref="E4260">IFERROR(INDEX(EmployeeData[Gender], ROW() - 37), "")</f>
        <v/>
      </c>
      <c r="F4260" s="4" t="str" cm="1">
        <f t="array" ref="F4260">IFERROR(INDEX(EmployeeData[Age], ROW() - 37), "")</f>
        <v/>
      </c>
      <c r="G4260" s="6" t="str" cm="1">
        <f t="array" ref="G4260">IFERROR(INDEX(EmployeeData[Join Date], ROW() - 37), "")</f>
        <v/>
      </c>
      <c r="H4260" s="6" t="str" cm="1">
        <f t="array" ref="H4260">IFERROR(IF(INDEX(EmployeeData[Exit Date], ROW() - 37)=0, "",INDEX(EmployeeData[Exit Date], ROW() - 37)),"")</f>
        <v/>
      </c>
      <c r="I4260" s="4" t="str" cm="1">
        <f t="array" ref="I4260">IFERROR(IF(INDEX(EmployeeData[Exit Reason], ROW() - 37)=0, "",INDEX(EmployeeData[Exit Reason], ROW() - 37)),"")</f>
        <v/>
      </c>
      <c r="J4260" s="4" t="str" cm="1">
        <f t="array" ref="J4260">IFERROR(INDEX(EmployeeData[Status], ROW() - 37), "")</f>
        <v/>
      </c>
    </row>
    <row r="4261" spans="2:10" ht="19.95" customHeight="1" x14ac:dyDescent="0.3">
      <c r="B4261" s="4" t="str" cm="1">
        <f t="array" ref="B4261">IFERROR(INDEX(EmployeeData[Employee ID], ROW() - 37), "")</f>
        <v/>
      </c>
      <c r="C4261" s="4" t="str" cm="1">
        <f t="array" ref="C4261">IFERROR(INDEX(EmployeeData[Full Name], ROW() - 37), "")</f>
        <v/>
      </c>
      <c r="D4261" s="4" t="str" cm="1">
        <f t="array" ref="D4261">IFERROR(INDEX(EmployeeData[Department], ROW() - 37), "")</f>
        <v/>
      </c>
      <c r="E4261" s="4" t="str" cm="1">
        <f t="array" ref="E4261">IFERROR(INDEX(EmployeeData[Gender], ROW() - 37), "")</f>
        <v/>
      </c>
      <c r="F4261" s="4" t="str" cm="1">
        <f t="array" ref="F4261">IFERROR(INDEX(EmployeeData[Age], ROW() - 37), "")</f>
        <v/>
      </c>
      <c r="G4261" s="6" t="str" cm="1">
        <f t="array" ref="G4261">IFERROR(INDEX(EmployeeData[Join Date], ROW() - 37), "")</f>
        <v/>
      </c>
      <c r="H4261" s="6" t="str" cm="1">
        <f t="array" ref="H4261">IFERROR(IF(INDEX(EmployeeData[Exit Date], ROW() - 37)=0, "",INDEX(EmployeeData[Exit Date], ROW() - 37)),"")</f>
        <v/>
      </c>
      <c r="I4261" s="4" t="str" cm="1">
        <f t="array" ref="I4261">IFERROR(IF(INDEX(EmployeeData[Exit Reason], ROW() - 37)=0, "",INDEX(EmployeeData[Exit Reason], ROW() - 37)),"")</f>
        <v/>
      </c>
      <c r="J4261" s="4" t="str" cm="1">
        <f t="array" ref="J4261">IFERROR(INDEX(EmployeeData[Status], ROW() - 37), "")</f>
        <v/>
      </c>
    </row>
    <row r="4262" spans="2:10" ht="19.95" customHeight="1" x14ac:dyDescent="0.3">
      <c r="B4262" s="4" t="str" cm="1">
        <f t="array" ref="B4262">IFERROR(INDEX(EmployeeData[Employee ID], ROW() - 37), "")</f>
        <v/>
      </c>
      <c r="C4262" s="4" t="str" cm="1">
        <f t="array" ref="C4262">IFERROR(INDEX(EmployeeData[Full Name], ROW() - 37), "")</f>
        <v/>
      </c>
      <c r="D4262" s="4" t="str" cm="1">
        <f t="array" ref="D4262">IFERROR(INDEX(EmployeeData[Department], ROW() - 37), "")</f>
        <v/>
      </c>
      <c r="E4262" s="4" t="str" cm="1">
        <f t="array" ref="E4262">IFERROR(INDEX(EmployeeData[Gender], ROW() - 37), "")</f>
        <v/>
      </c>
      <c r="F4262" s="4" t="str" cm="1">
        <f t="array" ref="F4262">IFERROR(INDEX(EmployeeData[Age], ROW() - 37), "")</f>
        <v/>
      </c>
      <c r="G4262" s="6" t="str" cm="1">
        <f t="array" ref="G4262">IFERROR(INDEX(EmployeeData[Join Date], ROW() - 37), "")</f>
        <v/>
      </c>
      <c r="H4262" s="6" t="str" cm="1">
        <f t="array" ref="H4262">IFERROR(IF(INDEX(EmployeeData[Exit Date], ROW() - 37)=0, "",INDEX(EmployeeData[Exit Date], ROW() - 37)),"")</f>
        <v/>
      </c>
      <c r="I4262" s="4" t="str" cm="1">
        <f t="array" ref="I4262">IFERROR(IF(INDEX(EmployeeData[Exit Reason], ROW() - 37)=0, "",INDEX(EmployeeData[Exit Reason], ROW() - 37)),"")</f>
        <v/>
      </c>
      <c r="J4262" s="4" t="str" cm="1">
        <f t="array" ref="J4262">IFERROR(INDEX(EmployeeData[Status], ROW() - 37), "")</f>
        <v/>
      </c>
    </row>
    <row r="4263" spans="2:10" ht="19.95" customHeight="1" x14ac:dyDescent="0.3">
      <c r="B4263" s="4" t="str" cm="1">
        <f t="array" ref="B4263">IFERROR(INDEX(EmployeeData[Employee ID], ROW() - 37), "")</f>
        <v/>
      </c>
      <c r="C4263" s="4" t="str" cm="1">
        <f t="array" ref="C4263">IFERROR(INDEX(EmployeeData[Full Name], ROW() - 37), "")</f>
        <v/>
      </c>
      <c r="D4263" s="4" t="str" cm="1">
        <f t="array" ref="D4263">IFERROR(INDEX(EmployeeData[Department], ROW() - 37), "")</f>
        <v/>
      </c>
      <c r="E4263" s="4" t="str" cm="1">
        <f t="array" ref="E4263">IFERROR(INDEX(EmployeeData[Gender], ROW() - 37), "")</f>
        <v/>
      </c>
      <c r="F4263" s="4" t="str" cm="1">
        <f t="array" ref="F4263">IFERROR(INDEX(EmployeeData[Age], ROW() - 37), "")</f>
        <v/>
      </c>
      <c r="G4263" s="6" t="str" cm="1">
        <f t="array" ref="G4263">IFERROR(INDEX(EmployeeData[Join Date], ROW() - 37), "")</f>
        <v/>
      </c>
      <c r="H4263" s="6" t="str" cm="1">
        <f t="array" ref="H4263">IFERROR(IF(INDEX(EmployeeData[Exit Date], ROW() - 37)=0, "",INDEX(EmployeeData[Exit Date], ROW() - 37)),"")</f>
        <v/>
      </c>
      <c r="I4263" s="4" t="str" cm="1">
        <f t="array" ref="I4263">IFERROR(IF(INDEX(EmployeeData[Exit Reason], ROW() - 37)=0, "",INDEX(EmployeeData[Exit Reason], ROW() - 37)),"")</f>
        <v/>
      </c>
      <c r="J4263" s="4" t="str" cm="1">
        <f t="array" ref="J4263">IFERROR(INDEX(EmployeeData[Status], ROW() - 37), "")</f>
        <v/>
      </c>
    </row>
    <row r="4264" spans="2:10" ht="19.95" customHeight="1" x14ac:dyDescent="0.3">
      <c r="B4264" s="4" t="str" cm="1">
        <f t="array" ref="B4264">IFERROR(INDEX(EmployeeData[Employee ID], ROW() - 37), "")</f>
        <v/>
      </c>
      <c r="C4264" s="4" t="str" cm="1">
        <f t="array" ref="C4264">IFERROR(INDEX(EmployeeData[Full Name], ROW() - 37), "")</f>
        <v/>
      </c>
      <c r="D4264" s="4" t="str" cm="1">
        <f t="array" ref="D4264">IFERROR(INDEX(EmployeeData[Department], ROW() - 37), "")</f>
        <v/>
      </c>
      <c r="E4264" s="4" t="str" cm="1">
        <f t="array" ref="E4264">IFERROR(INDEX(EmployeeData[Gender], ROW() - 37), "")</f>
        <v/>
      </c>
      <c r="F4264" s="4" t="str" cm="1">
        <f t="array" ref="F4264">IFERROR(INDEX(EmployeeData[Age], ROW() - 37), "")</f>
        <v/>
      </c>
      <c r="G4264" s="6" t="str" cm="1">
        <f t="array" ref="G4264">IFERROR(INDEX(EmployeeData[Join Date], ROW() - 37), "")</f>
        <v/>
      </c>
      <c r="H4264" s="6" t="str" cm="1">
        <f t="array" ref="H4264">IFERROR(IF(INDEX(EmployeeData[Exit Date], ROW() - 37)=0, "",INDEX(EmployeeData[Exit Date], ROW() - 37)),"")</f>
        <v/>
      </c>
      <c r="I4264" s="4" t="str" cm="1">
        <f t="array" ref="I4264">IFERROR(IF(INDEX(EmployeeData[Exit Reason], ROW() - 37)=0, "",INDEX(EmployeeData[Exit Reason], ROW() - 37)),"")</f>
        <v/>
      </c>
      <c r="J4264" s="4" t="str" cm="1">
        <f t="array" ref="J4264">IFERROR(INDEX(EmployeeData[Status], ROW() - 37), "")</f>
        <v/>
      </c>
    </row>
    <row r="4265" spans="2:10" ht="19.95" customHeight="1" x14ac:dyDescent="0.3">
      <c r="B4265" s="4" t="str" cm="1">
        <f t="array" ref="B4265">IFERROR(INDEX(EmployeeData[Employee ID], ROW() - 37), "")</f>
        <v/>
      </c>
      <c r="C4265" s="4" t="str" cm="1">
        <f t="array" ref="C4265">IFERROR(INDEX(EmployeeData[Full Name], ROW() - 37), "")</f>
        <v/>
      </c>
      <c r="D4265" s="4" t="str" cm="1">
        <f t="array" ref="D4265">IFERROR(INDEX(EmployeeData[Department], ROW() - 37), "")</f>
        <v/>
      </c>
      <c r="E4265" s="4" t="str" cm="1">
        <f t="array" ref="E4265">IFERROR(INDEX(EmployeeData[Gender], ROW() - 37), "")</f>
        <v/>
      </c>
      <c r="F4265" s="4" t="str" cm="1">
        <f t="array" ref="F4265">IFERROR(INDEX(EmployeeData[Age], ROW() - 37), "")</f>
        <v/>
      </c>
      <c r="G4265" s="6" t="str" cm="1">
        <f t="array" ref="G4265">IFERROR(INDEX(EmployeeData[Join Date], ROW() - 37), "")</f>
        <v/>
      </c>
      <c r="H4265" s="6" t="str" cm="1">
        <f t="array" ref="H4265">IFERROR(IF(INDEX(EmployeeData[Exit Date], ROW() - 37)=0, "",INDEX(EmployeeData[Exit Date], ROW() - 37)),"")</f>
        <v/>
      </c>
      <c r="I4265" s="4" t="str" cm="1">
        <f t="array" ref="I4265">IFERROR(IF(INDEX(EmployeeData[Exit Reason], ROW() - 37)=0, "",INDEX(EmployeeData[Exit Reason], ROW() - 37)),"")</f>
        <v/>
      </c>
      <c r="J4265" s="4" t="str" cm="1">
        <f t="array" ref="J4265">IFERROR(INDEX(EmployeeData[Status], ROW() - 37), "")</f>
        <v/>
      </c>
    </row>
    <row r="4266" spans="2:10" ht="19.95" customHeight="1" x14ac:dyDescent="0.3">
      <c r="B4266" s="4" t="str" cm="1">
        <f t="array" ref="B4266">IFERROR(INDEX(EmployeeData[Employee ID], ROW() - 37), "")</f>
        <v/>
      </c>
      <c r="C4266" s="4" t="str" cm="1">
        <f t="array" ref="C4266">IFERROR(INDEX(EmployeeData[Full Name], ROW() - 37), "")</f>
        <v/>
      </c>
      <c r="D4266" s="4" t="str" cm="1">
        <f t="array" ref="D4266">IFERROR(INDEX(EmployeeData[Department], ROW() - 37), "")</f>
        <v/>
      </c>
      <c r="E4266" s="4" t="str" cm="1">
        <f t="array" ref="E4266">IFERROR(INDEX(EmployeeData[Gender], ROW() - 37), "")</f>
        <v/>
      </c>
      <c r="F4266" s="4" t="str" cm="1">
        <f t="array" ref="F4266">IFERROR(INDEX(EmployeeData[Age], ROW() - 37), "")</f>
        <v/>
      </c>
      <c r="G4266" s="6" t="str" cm="1">
        <f t="array" ref="G4266">IFERROR(INDEX(EmployeeData[Join Date], ROW() - 37), "")</f>
        <v/>
      </c>
      <c r="H4266" s="6" t="str" cm="1">
        <f t="array" ref="H4266">IFERROR(IF(INDEX(EmployeeData[Exit Date], ROW() - 37)=0, "",INDEX(EmployeeData[Exit Date], ROW() - 37)),"")</f>
        <v/>
      </c>
      <c r="I4266" s="4" t="str" cm="1">
        <f t="array" ref="I4266">IFERROR(IF(INDEX(EmployeeData[Exit Reason], ROW() - 37)=0, "",INDEX(EmployeeData[Exit Reason], ROW() - 37)),"")</f>
        <v/>
      </c>
      <c r="J4266" s="4" t="str" cm="1">
        <f t="array" ref="J4266">IFERROR(INDEX(EmployeeData[Status], ROW() - 37), "")</f>
        <v/>
      </c>
    </row>
    <row r="4267" spans="2:10" ht="19.95" customHeight="1" x14ac:dyDescent="0.3">
      <c r="B4267" s="4" t="str" cm="1">
        <f t="array" ref="B4267">IFERROR(INDEX(EmployeeData[Employee ID], ROW() - 37), "")</f>
        <v/>
      </c>
      <c r="C4267" s="4" t="str" cm="1">
        <f t="array" ref="C4267">IFERROR(INDEX(EmployeeData[Full Name], ROW() - 37), "")</f>
        <v/>
      </c>
      <c r="D4267" s="4" t="str" cm="1">
        <f t="array" ref="D4267">IFERROR(INDEX(EmployeeData[Department], ROW() - 37), "")</f>
        <v/>
      </c>
      <c r="E4267" s="4" t="str" cm="1">
        <f t="array" ref="E4267">IFERROR(INDEX(EmployeeData[Gender], ROW() - 37), "")</f>
        <v/>
      </c>
      <c r="F4267" s="4" t="str" cm="1">
        <f t="array" ref="F4267">IFERROR(INDEX(EmployeeData[Age], ROW() - 37), "")</f>
        <v/>
      </c>
      <c r="G4267" s="6" t="str" cm="1">
        <f t="array" ref="G4267">IFERROR(INDEX(EmployeeData[Join Date], ROW() - 37), "")</f>
        <v/>
      </c>
      <c r="H4267" s="6" t="str" cm="1">
        <f t="array" ref="H4267">IFERROR(IF(INDEX(EmployeeData[Exit Date], ROW() - 37)=0, "",INDEX(EmployeeData[Exit Date], ROW() - 37)),"")</f>
        <v/>
      </c>
      <c r="I4267" s="4" t="str" cm="1">
        <f t="array" ref="I4267">IFERROR(IF(INDEX(EmployeeData[Exit Reason], ROW() - 37)=0, "",INDEX(EmployeeData[Exit Reason], ROW() - 37)),"")</f>
        <v/>
      </c>
      <c r="J4267" s="4" t="str" cm="1">
        <f t="array" ref="J4267">IFERROR(INDEX(EmployeeData[Status], ROW() - 37), "")</f>
        <v/>
      </c>
    </row>
    <row r="4268" spans="2:10" ht="19.95" customHeight="1" x14ac:dyDescent="0.3">
      <c r="B4268" s="4" t="str" cm="1">
        <f t="array" ref="B4268">IFERROR(INDEX(EmployeeData[Employee ID], ROW() - 37), "")</f>
        <v/>
      </c>
      <c r="C4268" s="4" t="str" cm="1">
        <f t="array" ref="C4268">IFERROR(INDEX(EmployeeData[Full Name], ROW() - 37), "")</f>
        <v/>
      </c>
      <c r="D4268" s="4" t="str" cm="1">
        <f t="array" ref="D4268">IFERROR(INDEX(EmployeeData[Department], ROW() - 37), "")</f>
        <v/>
      </c>
      <c r="E4268" s="4" t="str" cm="1">
        <f t="array" ref="E4268">IFERROR(INDEX(EmployeeData[Gender], ROW() - 37), "")</f>
        <v/>
      </c>
      <c r="F4268" s="4" t="str" cm="1">
        <f t="array" ref="F4268">IFERROR(INDEX(EmployeeData[Age], ROW() - 37), "")</f>
        <v/>
      </c>
      <c r="G4268" s="6" t="str" cm="1">
        <f t="array" ref="G4268">IFERROR(INDEX(EmployeeData[Join Date], ROW() - 37), "")</f>
        <v/>
      </c>
      <c r="H4268" s="6" t="str" cm="1">
        <f t="array" ref="H4268">IFERROR(IF(INDEX(EmployeeData[Exit Date], ROW() - 37)=0, "",INDEX(EmployeeData[Exit Date], ROW() - 37)),"")</f>
        <v/>
      </c>
      <c r="I4268" s="4" t="str" cm="1">
        <f t="array" ref="I4268">IFERROR(IF(INDEX(EmployeeData[Exit Reason], ROW() - 37)=0, "",INDEX(EmployeeData[Exit Reason], ROW() - 37)),"")</f>
        <v/>
      </c>
      <c r="J4268" s="4" t="str" cm="1">
        <f t="array" ref="J4268">IFERROR(INDEX(EmployeeData[Status], ROW() - 37), "")</f>
        <v/>
      </c>
    </row>
    <row r="4269" spans="2:10" ht="19.95" customHeight="1" x14ac:dyDescent="0.3">
      <c r="B4269" s="4" t="str" cm="1">
        <f t="array" ref="B4269">IFERROR(INDEX(EmployeeData[Employee ID], ROW() - 37), "")</f>
        <v/>
      </c>
      <c r="C4269" s="4" t="str" cm="1">
        <f t="array" ref="C4269">IFERROR(INDEX(EmployeeData[Full Name], ROW() - 37), "")</f>
        <v/>
      </c>
      <c r="D4269" s="4" t="str" cm="1">
        <f t="array" ref="D4269">IFERROR(INDEX(EmployeeData[Department], ROW() - 37), "")</f>
        <v/>
      </c>
      <c r="E4269" s="4" t="str" cm="1">
        <f t="array" ref="E4269">IFERROR(INDEX(EmployeeData[Gender], ROW() - 37), "")</f>
        <v/>
      </c>
      <c r="F4269" s="4" t="str" cm="1">
        <f t="array" ref="F4269">IFERROR(INDEX(EmployeeData[Age], ROW() - 37), "")</f>
        <v/>
      </c>
      <c r="G4269" s="6" t="str" cm="1">
        <f t="array" ref="G4269">IFERROR(INDEX(EmployeeData[Join Date], ROW() - 37), "")</f>
        <v/>
      </c>
      <c r="H4269" s="6" t="str" cm="1">
        <f t="array" ref="H4269">IFERROR(IF(INDEX(EmployeeData[Exit Date], ROW() - 37)=0, "",INDEX(EmployeeData[Exit Date], ROW() - 37)),"")</f>
        <v/>
      </c>
      <c r="I4269" s="4" t="str" cm="1">
        <f t="array" ref="I4269">IFERROR(IF(INDEX(EmployeeData[Exit Reason], ROW() - 37)=0, "",INDEX(EmployeeData[Exit Reason], ROW() - 37)),"")</f>
        <v/>
      </c>
      <c r="J4269" s="4" t="str" cm="1">
        <f t="array" ref="J4269">IFERROR(INDEX(EmployeeData[Status], ROW() - 37), "")</f>
        <v/>
      </c>
    </row>
    <row r="4270" spans="2:10" ht="19.95" customHeight="1" x14ac:dyDescent="0.3">
      <c r="B4270" s="4" t="str" cm="1">
        <f t="array" ref="B4270">IFERROR(INDEX(EmployeeData[Employee ID], ROW() - 37), "")</f>
        <v/>
      </c>
      <c r="C4270" s="4" t="str" cm="1">
        <f t="array" ref="C4270">IFERROR(INDEX(EmployeeData[Full Name], ROW() - 37), "")</f>
        <v/>
      </c>
      <c r="D4270" s="4" t="str" cm="1">
        <f t="array" ref="D4270">IFERROR(INDEX(EmployeeData[Department], ROW() - 37), "")</f>
        <v/>
      </c>
      <c r="E4270" s="4" t="str" cm="1">
        <f t="array" ref="E4270">IFERROR(INDEX(EmployeeData[Gender], ROW() - 37), "")</f>
        <v/>
      </c>
      <c r="F4270" s="4" t="str" cm="1">
        <f t="array" ref="F4270">IFERROR(INDEX(EmployeeData[Age], ROW() - 37), "")</f>
        <v/>
      </c>
      <c r="G4270" s="6" t="str" cm="1">
        <f t="array" ref="G4270">IFERROR(INDEX(EmployeeData[Join Date], ROW() - 37), "")</f>
        <v/>
      </c>
      <c r="H4270" s="6" t="str" cm="1">
        <f t="array" ref="H4270">IFERROR(IF(INDEX(EmployeeData[Exit Date], ROW() - 37)=0, "",INDEX(EmployeeData[Exit Date], ROW() - 37)),"")</f>
        <v/>
      </c>
      <c r="I4270" s="4" t="str" cm="1">
        <f t="array" ref="I4270">IFERROR(IF(INDEX(EmployeeData[Exit Reason], ROW() - 37)=0, "",INDEX(EmployeeData[Exit Reason], ROW() - 37)),"")</f>
        <v/>
      </c>
      <c r="J4270" s="4" t="str" cm="1">
        <f t="array" ref="J4270">IFERROR(INDEX(EmployeeData[Status], ROW() - 37), "")</f>
        <v/>
      </c>
    </row>
    <row r="4271" spans="2:10" ht="19.95" customHeight="1" x14ac:dyDescent="0.3">
      <c r="B4271" s="4" t="str" cm="1">
        <f t="array" ref="B4271">IFERROR(INDEX(EmployeeData[Employee ID], ROW() - 37), "")</f>
        <v/>
      </c>
      <c r="C4271" s="4" t="str" cm="1">
        <f t="array" ref="C4271">IFERROR(INDEX(EmployeeData[Full Name], ROW() - 37), "")</f>
        <v/>
      </c>
      <c r="D4271" s="4" t="str" cm="1">
        <f t="array" ref="D4271">IFERROR(INDEX(EmployeeData[Department], ROW() - 37), "")</f>
        <v/>
      </c>
      <c r="E4271" s="4" t="str" cm="1">
        <f t="array" ref="E4271">IFERROR(INDEX(EmployeeData[Gender], ROW() - 37), "")</f>
        <v/>
      </c>
      <c r="F4271" s="4" t="str" cm="1">
        <f t="array" ref="F4271">IFERROR(INDEX(EmployeeData[Age], ROW() - 37), "")</f>
        <v/>
      </c>
      <c r="G4271" s="6" t="str" cm="1">
        <f t="array" ref="G4271">IFERROR(INDEX(EmployeeData[Join Date], ROW() - 37), "")</f>
        <v/>
      </c>
      <c r="H4271" s="6" t="str" cm="1">
        <f t="array" ref="H4271">IFERROR(IF(INDEX(EmployeeData[Exit Date], ROW() - 37)=0, "",INDEX(EmployeeData[Exit Date], ROW() - 37)),"")</f>
        <v/>
      </c>
      <c r="I4271" s="4" t="str" cm="1">
        <f t="array" ref="I4271">IFERROR(IF(INDEX(EmployeeData[Exit Reason], ROW() - 37)=0, "",INDEX(EmployeeData[Exit Reason], ROW() - 37)),"")</f>
        <v/>
      </c>
      <c r="J4271" s="4" t="str" cm="1">
        <f t="array" ref="J4271">IFERROR(INDEX(EmployeeData[Status], ROW() - 37), "")</f>
        <v/>
      </c>
    </row>
    <row r="4272" spans="2:10" ht="19.95" customHeight="1" x14ac:dyDescent="0.3">
      <c r="B4272" s="4" t="str" cm="1">
        <f t="array" ref="B4272">IFERROR(INDEX(EmployeeData[Employee ID], ROW() - 37), "")</f>
        <v/>
      </c>
      <c r="C4272" s="4" t="str" cm="1">
        <f t="array" ref="C4272">IFERROR(INDEX(EmployeeData[Full Name], ROW() - 37), "")</f>
        <v/>
      </c>
      <c r="D4272" s="4" t="str" cm="1">
        <f t="array" ref="D4272">IFERROR(INDEX(EmployeeData[Department], ROW() - 37), "")</f>
        <v/>
      </c>
      <c r="E4272" s="4" t="str" cm="1">
        <f t="array" ref="E4272">IFERROR(INDEX(EmployeeData[Gender], ROW() - 37), "")</f>
        <v/>
      </c>
      <c r="F4272" s="4" t="str" cm="1">
        <f t="array" ref="F4272">IFERROR(INDEX(EmployeeData[Age], ROW() - 37), "")</f>
        <v/>
      </c>
      <c r="G4272" s="6" t="str" cm="1">
        <f t="array" ref="G4272">IFERROR(INDEX(EmployeeData[Join Date], ROW() - 37), "")</f>
        <v/>
      </c>
      <c r="H4272" s="6" t="str" cm="1">
        <f t="array" ref="H4272">IFERROR(IF(INDEX(EmployeeData[Exit Date], ROW() - 37)=0, "",INDEX(EmployeeData[Exit Date], ROW() - 37)),"")</f>
        <v/>
      </c>
      <c r="I4272" s="4" t="str" cm="1">
        <f t="array" ref="I4272">IFERROR(IF(INDEX(EmployeeData[Exit Reason], ROW() - 37)=0, "",INDEX(EmployeeData[Exit Reason], ROW() - 37)),"")</f>
        <v/>
      </c>
      <c r="J4272" s="4" t="str" cm="1">
        <f t="array" ref="J4272">IFERROR(INDEX(EmployeeData[Status], ROW() - 37), "")</f>
        <v/>
      </c>
    </row>
    <row r="4273" spans="2:10" ht="19.95" customHeight="1" x14ac:dyDescent="0.3">
      <c r="B4273" s="4" t="str" cm="1">
        <f t="array" ref="B4273">IFERROR(INDEX(EmployeeData[Employee ID], ROW() - 37), "")</f>
        <v/>
      </c>
      <c r="C4273" s="4" t="str" cm="1">
        <f t="array" ref="C4273">IFERROR(INDEX(EmployeeData[Full Name], ROW() - 37), "")</f>
        <v/>
      </c>
      <c r="D4273" s="4" t="str" cm="1">
        <f t="array" ref="D4273">IFERROR(INDEX(EmployeeData[Department], ROW() - 37), "")</f>
        <v/>
      </c>
      <c r="E4273" s="4" t="str" cm="1">
        <f t="array" ref="E4273">IFERROR(INDEX(EmployeeData[Gender], ROW() - 37), "")</f>
        <v/>
      </c>
      <c r="F4273" s="4" t="str" cm="1">
        <f t="array" ref="F4273">IFERROR(INDEX(EmployeeData[Age], ROW() - 37), "")</f>
        <v/>
      </c>
      <c r="G4273" s="6" t="str" cm="1">
        <f t="array" ref="G4273">IFERROR(INDEX(EmployeeData[Join Date], ROW() - 37), "")</f>
        <v/>
      </c>
      <c r="H4273" s="6" t="str" cm="1">
        <f t="array" ref="H4273">IFERROR(IF(INDEX(EmployeeData[Exit Date], ROW() - 37)=0, "",INDEX(EmployeeData[Exit Date], ROW() - 37)),"")</f>
        <v/>
      </c>
      <c r="I4273" s="4" t="str" cm="1">
        <f t="array" ref="I4273">IFERROR(IF(INDEX(EmployeeData[Exit Reason], ROW() - 37)=0, "",INDEX(EmployeeData[Exit Reason], ROW() - 37)),"")</f>
        <v/>
      </c>
      <c r="J4273" s="4" t="str" cm="1">
        <f t="array" ref="J4273">IFERROR(INDEX(EmployeeData[Status], ROW() - 37), "")</f>
        <v/>
      </c>
    </row>
    <row r="4274" spans="2:10" ht="19.95" customHeight="1" x14ac:dyDescent="0.3">
      <c r="B4274" s="4" t="str" cm="1">
        <f t="array" ref="B4274">IFERROR(INDEX(EmployeeData[Employee ID], ROW() - 37), "")</f>
        <v/>
      </c>
      <c r="C4274" s="4" t="str" cm="1">
        <f t="array" ref="C4274">IFERROR(INDEX(EmployeeData[Full Name], ROW() - 37), "")</f>
        <v/>
      </c>
      <c r="D4274" s="4" t="str" cm="1">
        <f t="array" ref="D4274">IFERROR(INDEX(EmployeeData[Department], ROW() - 37), "")</f>
        <v/>
      </c>
      <c r="E4274" s="4" t="str" cm="1">
        <f t="array" ref="E4274">IFERROR(INDEX(EmployeeData[Gender], ROW() - 37), "")</f>
        <v/>
      </c>
      <c r="F4274" s="4" t="str" cm="1">
        <f t="array" ref="F4274">IFERROR(INDEX(EmployeeData[Age], ROW() - 37), "")</f>
        <v/>
      </c>
      <c r="G4274" s="6" t="str" cm="1">
        <f t="array" ref="G4274">IFERROR(INDEX(EmployeeData[Join Date], ROW() - 37), "")</f>
        <v/>
      </c>
      <c r="H4274" s="6" t="str" cm="1">
        <f t="array" ref="H4274">IFERROR(IF(INDEX(EmployeeData[Exit Date], ROW() - 37)=0, "",INDEX(EmployeeData[Exit Date], ROW() - 37)),"")</f>
        <v/>
      </c>
      <c r="I4274" s="4" t="str" cm="1">
        <f t="array" ref="I4274">IFERROR(IF(INDEX(EmployeeData[Exit Reason], ROW() - 37)=0, "",INDEX(EmployeeData[Exit Reason], ROW() - 37)),"")</f>
        <v/>
      </c>
      <c r="J4274" s="4" t="str" cm="1">
        <f t="array" ref="J4274">IFERROR(INDEX(EmployeeData[Status], ROW() - 37), "")</f>
        <v/>
      </c>
    </row>
    <row r="4275" spans="2:10" ht="19.95" customHeight="1" x14ac:dyDescent="0.3">
      <c r="B4275" s="4" t="str" cm="1">
        <f t="array" ref="B4275">IFERROR(INDEX(EmployeeData[Employee ID], ROW() - 37), "")</f>
        <v/>
      </c>
      <c r="C4275" s="4" t="str" cm="1">
        <f t="array" ref="C4275">IFERROR(INDEX(EmployeeData[Full Name], ROW() - 37), "")</f>
        <v/>
      </c>
      <c r="D4275" s="4" t="str" cm="1">
        <f t="array" ref="D4275">IFERROR(INDEX(EmployeeData[Department], ROW() - 37), "")</f>
        <v/>
      </c>
      <c r="E4275" s="4" t="str" cm="1">
        <f t="array" ref="E4275">IFERROR(INDEX(EmployeeData[Gender], ROW() - 37), "")</f>
        <v/>
      </c>
      <c r="F4275" s="4" t="str" cm="1">
        <f t="array" ref="F4275">IFERROR(INDEX(EmployeeData[Age], ROW() - 37), "")</f>
        <v/>
      </c>
      <c r="G4275" s="6" t="str" cm="1">
        <f t="array" ref="G4275">IFERROR(INDEX(EmployeeData[Join Date], ROW() - 37), "")</f>
        <v/>
      </c>
      <c r="H4275" s="6" t="str" cm="1">
        <f t="array" ref="H4275">IFERROR(IF(INDEX(EmployeeData[Exit Date], ROW() - 37)=0, "",INDEX(EmployeeData[Exit Date], ROW() - 37)),"")</f>
        <v/>
      </c>
      <c r="I4275" s="4" t="str" cm="1">
        <f t="array" ref="I4275">IFERROR(IF(INDEX(EmployeeData[Exit Reason], ROW() - 37)=0, "",INDEX(EmployeeData[Exit Reason], ROW() - 37)),"")</f>
        <v/>
      </c>
      <c r="J4275" s="4" t="str" cm="1">
        <f t="array" ref="J4275">IFERROR(INDEX(EmployeeData[Status], ROW() - 37), "")</f>
        <v/>
      </c>
    </row>
    <row r="4276" spans="2:10" ht="19.95" customHeight="1" x14ac:dyDescent="0.3">
      <c r="B4276" s="4" t="str" cm="1">
        <f t="array" ref="B4276">IFERROR(INDEX(EmployeeData[Employee ID], ROW() - 37), "")</f>
        <v/>
      </c>
      <c r="C4276" s="4" t="str" cm="1">
        <f t="array" ref="C4276">IFERROR(INDEX(EmployeeData[Full Name], ROW() - 37), "")</f>
        <v/>
      </c>
      <c r="D4276" s="4" t="str" cm="1">
        <f t="array" ref="D4276">IFERROR(INDEX(EmployeeData[Department], ROW() - 37), "")</f>
        <v/>
      </c>
      <c r="E4276" s="4" t="str" cm="1">
        <f t="array" ref="E4276">IFERROR(INDEX(EmployeeData[Gender], ROW() - 37), "")</f>
        <v/>
      </c>
      <c r="F4276" s="4" t="str" cm="1">
        <f t="array" ref="F4276">IFERROR(INDEX(EmployeeData[Age], ROW() - 37), "")</f>
        <v/>
      </c>
      <c r="G4276" s="6" t="str" cm="1">
        <f t="array" ref="G4276">IFERROR(INDEX(EmployeeData[Join Date], ROW() - 37), "")</f>
        <v/>
      </c>
      <c r="H4276" s="6" t="str" cm="1">
        <f t="array" ref="H4276">IFERROR(IF(INDEX(EmployeeData[Exit Date], ROW() - 37)=0, "",INDEX(EmployeeData[Exit Date], ROW() - 37)),"")</f>
        <v/>
      </c>
      <c r="I4276" s="4" t="str" cm="1">
        <f t="array" ref="I4276">IFERROR(IF(INDEX(EmployeeData[Exit Reason], ROW() - 37)=0, "",INDEX(EmployeeData[Exit Reason], ROW() - 37)),"")</f>
        <v/>
      </c>
      <c r="J4276" s="4" t="str" cm="1">
        <f t="array" ref="J4276">IFERROR(INDEX(EmployeeData[Status], ROW() - 37), "")</f>
        <v/>
      </c>
    </row>
    <row r="4277" spans="2:10" ht="19.95" customHeight="1" x14ac:dyDescent="0.3">
      <c r="B4277" s="4" t="str" cm="1">
        <f t="array" ref="B4277">IFERROR(INDEX(EmployeeData[Employee ID], ROW() - 37), "")</f>
        <v/>
      </c>
      <c r="C4277" s="4" t="str" cm="1">
        <f t="array" ref="C4277">IFERROR(INDEX(EmployeeData[Full Name], ROW() - 37), "")</f>
        <v/>
      </c>
      <c r="D4277" s="4" t="str" cm="1">
        <f t="array" ref="D4277">IFERROR(INDEX(EmployeeData[Department], ROW() - 37), "")</f>
        <v/>
      </c>
      <c r="E4277" s="4" t="str" cm="1">
        <f t="array" ref="E4277">IFERROR(INDEX(EmployeeData[Gender], ROW() - 37), "")</f>
        <v/>
      </c>
      <c r="F4277" s="4" t="str" cm="1">
        <f t="array" ref="F4277">IFERROR(INDEX(EmployeeData[Age], ROW() - 37), "")</f>
        <v/>
      </c>
      <c r="G4277" s="6" t="str" cm="1">
        <f t="array" ref="G4277">IFERROR(INDEX(EmployeeData[Join Date], ROW() - 37), "")</f>
        <v/>
      </c>
      <c r="H4277" s="6" t="str" cm="1">
        <f t="array" ref="H4277">IFERROR(IF(INDEX(EmployeeData[Exit Date], ROW() - 37)=0, "",INDEX(EmployeeData[Exit Date], ROW() - 37)),"")</f>
        <v/>
      </c>
      <c r="I4277" s="4" t="str" cm="1">
        <f t="array" ref="I4277">IFERROR(IF(INDEX(EmployeeData[Exit Reason], ROW() - 37)=0, "",INDEX(EmployeeData[Exit Reason], ROW() - 37)),"")</f>
        <v/>
      </c>
      <c r="J4277" s="4" t="str" cm="1">
        <f t="array" ref="J4277">IFERROR(INDEX(EmployeeData[Status], ROW() - 37), "")</f>
        <v/>
      </c>
    </row>
    <row r="4278" spans="2:10" ht="19.95" customHeight="1" x14ac:dyDescent="0.3">
      <c r="B4278" s="4" t="str" cm="1">
        <f t="array" ref="B4278">IFERROR(INDEX(EmployeeData[Employee ID], ROW() - 37), "")</f>
        <v/>
      </c>
      <c r="C4278" s="4" t="str" cm="1">
        <f t="array" ref="C4278">IFERROR(INDEX(EmployeeData[Full Name], ROW() - 37), "")</f>
        <v/>
      </c>
      <c r="D4278" s="4" t="str" cm="1">
        <f t="array" ref="D4278">IFERROR(INDEX(EmployeeData[Department], ROW() - 37), "")</f>
        <v/>
      </c>
      <c r="E4278" s="4" t="str" cm="1">
        <f t="array" ref="E4278">IFERROR(INDEX(EmployeeData[Gender], ROW() - 37), "")</f>
        <v/>
      </c>
      <c r="F4278" s="4" t="str" cm="1">
        <f t="array" ref="F4278">IFERROR(INDEX(EmployeeData[Age], ROW() - 37), "")</f>
        <v/>
      </c>
      <c r="G4278" s="6" t="str" cm="1">
        <f t="array" ref="G4278">IFERROR(INDEX(EmployeeData[Join Date], ROW() - 37), "")</f>
        <v/>
      </c>
      <c r="H4278" s="6" t="str" cm="1">
        <f t="array" ref="H4278">IFERROR(IF(INDEX(EmployeeData[Exit Date], ROW() - 37)=0, "",INDEX(EmployeeData[Exit Date], ROW() - 37)),"")</f>
        <v/>
      </c>
      <c r="I4278" s="4" t="str" cm="1">
        <f t="array" ref="I4278">IFERROR(IF(INDEX(EmployeeData[Exit Reason], ROW() - 37)=0, "",INDEX(EmployeeData[Exit Reason], ROW() - 37)),"")</f>
        <v/>
      </c>
      <c r="J4278" s="4" t="str" cm="1">
        <f t="array" ref="J4278">IFERROR(INDEX(EmployeeData[Status], ROW() - 37), "")</f>
        <v/>
      </c>
    </row>
    <row r="4279" spans="2:10" ht="19.95" customHeight="1" x14ac:dyDescent="0.3">
      <c r="B4279" s="4" t="str" cm="1">
        <f t="array" ref="B4279">IFERROR(INDEX(EmployeeData[Employee ID], ROW() - 37), "")</f>
        <v/>
      </c>
      <c r="C4279" s="4" t="str" cm="1">
        <f t="array" ref="C4279">IFERROR(INDEX(EmployeeData[Full Name], ROW() - 37), "")</f>
        <v/>
      </c>
      <c r="D4279" s="4" t="str" cm="1">
        <f t="array" ref="D4279">IFERROR(INDEX(EmployeeData[Department], ROW() - 37), "")</f>
        <v/>
      </c>
      <c r="E4279" s="4" t="str" cm="1">
        <f t="array" ref="E4279">IFERROR(INDEX(EmployeeData[Gender], ROW() - 37), "")</f>
        <v/>
      </c>
      <c r="F4279" s="4" t="str" cm="1">
        <f t="array" ref="F4279">IFERROR(INDEX(EmployeeData[Age], ROW() - 37), "")</f>
        <v/>
      </c>
      <c r="G4279" s="6" t="str" cm="1">
        <f t="array" ref="G4279">IFERROR(INDEX(EmployeeData[Join Date], ROW() - 37), "")</f>
        <v/>
      </c>
      <c r="H4279" s="6" t="str" cm="1">
        <f t="array" ref="H4279">IFERROR(IF(INDEX(EmployeeData[Exit Date], ROW() - 37)=0, "",INDEX(EmployeeData[Exit Date], ROW() - 37)),"")</f>
        <v/>
      </c>
      <c r="I4279" s="4" t="str" cm="1">
        <f t="array" ref="I4279">IFERROR(IF(INDEX(EmployeeData[Exit Reason], ROW() - 37)=0, "",INDEX(EmployeeData[Exit Reason], ROW() - 37)),"")</f>
        <v/>
      </c>
      <c r="J4279" s="4" t="str" cm="1">
        <f t="array" ref="J4279">IFERROR(INDEX(EmployeeData[Status], ROW() - 37), "")</f>
        <v/>
      </c>
    </row>
    <row r="4280" spans="2:10" ht="19.95" customHeight="1" x14ac:dyDescent="0.3">
      <c r="B4280" s="4" t="str" cm="1">
        <f t="array" ref="B4280">IFERROR(INDEX(EmployeeData[Employee ID], ROW() - 37), "")</f>
        <v/>
      </c>
      <c r="C4280" s="4" t="str" cm="1">
        <f t="array" ref="C4280">IFERROR(INDEX(EmployeeData[Full Name], ROW() - 37), "")</f>
        <v/>
      </c>
      <c r="D4280" s="4" t="str" cm="1">
        <f t="array" ref="D4280">IFERROR(INDEX(EmployeeData[Department], ROW() - 37), "")</f>
        <v/>
      </c>
      <c r="E4280" s="4" t="str" cm="1">
        <f t="array" ref="E4280">IFERROR(INDEX(EmployeeData[Gender], ROW() - 37), "")</f>
        <v/>
      </c>
      <c r="F4280" s="4" t="str" cm="1">
        <f t="array" ref="F4280">IFERROR(INDEX(EmployeeData[Age], ROW() - 37), "")</f>
        <v/>
      </c>
      <c r="G4280" s="6" t="str" cm="1">
        <f t="array" ref="G4280">IFERROR(INDEX(EmployeeData[Join Date], ROW() - 37), "")</f>
        <v/>
      </c>
      <c r="H4280" s="6" t="str" cm="1">
        <f t="array" ref="H4280">IFERROR(IF(INDEX(EmployeeData[Exit Date], ROW() - 37)=0, "",INDEX(EmployeeData[Exit Date], ROW() - 37)),"")</f>
        <v/>
      </c>
      <c r="I4280" s="4" t="str" cm="1">
        <f t="array" ref="I4280">IFERROR(IF(INDEX(EmployeeData[Exit Reason], ROW() - 37)=0, "",INDEX(EmployeeData[Exit Reason], ROW() - 37)),"")</f>
        <v/>
      </c>
      <c r="J4280" s="4" t="str" cm="1">
        <f t="array" ref="J4280">IFERROR(INDEX(EmployeeData[Status], ROW() - 37), "")</f>
        <v/>
      </c>
    </row>
    <row r="4281" spans="2:10" ht="19.95" customHeight="1" x14ac:dyDescent="0.3">
      <c r="B4281" s="4" t="str" cm="1">
        <f t="array" ref="B4281">IFERROR(INDEX(EmployeeData[Employee ID], ROW() - 37), "")</f>
        <v/>
      </c>
      <c r="C4281" s="4" t="str" cm="1">
        <f t="array" ref="C4281">IFERROR(INDEX(EmployeeData[Full Name], ROW() - 37), "")</f>
        <v/>
      </c>
      <c r="D4281" s="4" t="str" cm="1">
        <f t="array" ref="D4281">IFERROR(INDEX(EmployeeData[Department], ROW() - 37), "")</f>
        <v/>
      </c>
      <c r="E4281" s="4" t="str" cm="1">
        <f t="array" ref="E4281">IFERROR(INDEX(EmployeeData[Gender], ROW() - 37), "")</f>
        <v/>
      </c>
      <c r="F4281" s="4" t="str" cm="1">
        <f t="array" ref="F4281">IFERROR(INDEX(EmployeeData[Age], ROW() - 37), "")</f>
        <v/>
      </c>
      <c r="G4281" s="6" t="str" cm="1">
        <f t="array" ref="G4281">IFERROR(INDEX(EmployeeData[Join Date], ROW() - 37), "")</f>
        <v/>
      </c>
      <c r="H4281" s="6" t="str" cm="1">
        <f t="array" ref="H4281">IFERROR(IF(INDEX(EmployeeData[Exit Date], ROW() - 37)=0, "",INDEX(EmployeeData[Exit Date], ROW() - 37)),"")</f>
        <v/>
      </c>
      <c r="I4281" s="4" t="str" cm="1">
        <f t="array" ref="I4281">IFERROR(IF(INDEX(EmployeeData[Exit Reason], ROW() - 37)=0, "",INDEX(EmployeeData[Exit Reason], ROW() - 37)),"")</f>
        <v/>
      </c>
      <c r="J4281" s="4" t="str" cm="1">
        <f t="array" ref="J4281">IFERROR(INDEX(EmployeeData[Status], ROW() - 37), "")</f>
        <v/>
      </c>
    </row>
    <row r="4282" spans="2:10" ht="19.95" customHeight="1" x14ac:dyDescent="0.3">
      <c r="B4282" s="4" t="str" cm="1">
        <f t="array" ref="B4282">IFERROR(INDEX(EmployeeData[Employee ID], ROW() - 37), "")</f>
        <v/>
      </c>
      <c r="C4282" s="4" t="str" cm="1">
        <f t="array" ref="C4282">IFERROR(INDEX(EmployeeData[Full Name], ROW() - 37), "")</f>
        <v/>
      </c>
      <c r="D4282" s="4" t="str" cm="1">
        <f t="array" ref="D4282">IFERROR(INDEX(EmployeeData[Department], ROW() - 37), "")</f>
        <v/>
      </c>
      <c r="E4282" s="4" t="str" cm="1">
        <f t="array" ref="E4282">IFERROR(INDEX(EmployeeData[Gender], ROW() - 37), "")</f>
        <v/>
      </c>
      <c r="F4282" s="4" t="str" cm="1">
        <f t="array" ref="F4282">IFERROR(INDEX(EmployeeData[Age], ROW() - 37), "")</f>
        <v/>
      </c>
      <c r="G4282" s="6" t="str" cm="1">
        <f t="array" ref="G4282">IFERROR(INDEX(EmployeeData[Join Date], ROW() - 37), "")</f>
        <v/>
      </c>
      <c r="H4282" s="6" t="str" cm="1">
        <f t="array" ref="H4282">IFERROR(IF(INDEX(EmployeeData[Exit Date], ROW() - 37)=0, "",INDEX(EmployeeData[Exit Date], ROW() - 37)),"")</f>
        <v/>
      </c>
      <c r="I4282" s="4" t="str" cm="1">
        <f t="array" ref="I4282">IFERROR(IF(INDEX(EmployeeData[Exit Reason], ROW() - 37)=0, "",INDEX(EmployeeData[Exit Reason], ROW() - 37)),"")</f>
        <v/>
      </c>
      <c r="J4282" s="4" t="str" cm="1">
        <f t="array" ref="J4282">IFERROR(INDEX(EmployeeData[Status], ROW() - 37), "")</f>
        <v/>
      </c>
    </row>
    <row r="4283" spans="2:10" ht="19.95" customHeight="1" x14ac:dyDescent="0.3">
      <c r="B4283" s="4" t="str" cm="1">
        <f t="array" ref="B4283">IFERROR(INDEX(EmployeeData[Employee ID], ROW() - 37), "")</f>
        <v/>
      </c>
      <c r="C4283" s="4" t="str" cm="1">
        <f t="array" ref="C4283">IFERROR(INDEX(EmployeeData[Full Name], ROW() - 37), "")</f>
        <v/>
      </c>
      <c r="D4283" s="4" t="str" cm="1">
        <f t="array" ref="D4283">IFERROR(INDEX(EmployeeData[Department], ROW() - 37), "")</f>
        <v/>
      </c>
      <c r="E4283" s="4" t="str" cm="1">
        <f t="array" ref="E4283">IFERROR(INDEX(EmployeeData[Gender], ROW() - 37), "")</f>
        <v/>
      </c>
      <c r="F4283" s="4" t="str" cm="1">
        <f t="array" ref="F4283">IFERROR(INDEX(EmployeeData[Age], ROW() - 37), "")</f>
        <v/>
      </c>
      <c r="G4283" s="6" t="str" cm="1">
        <f t="array" ref="G4283">IFERROR(INDEX(EmployeeData[Join Date], ROW() - 37), "")</f>
        <v/>
      </c>
      <c r="H4283" s="6" t="str" cm="1">
        <f t="array" ref="H4283">IFERROR(IF(INDEX(EmployeeData[Exit Date], ROW() - 37)=0, "",INDEX(EmployeeData[Exit Date], ROW() - 37)),"")</f>
        <v/>
      </c>
      <c r="I4283" s="4" t="str" cm="1">
        <f t="array" ref="I4283">IFERROR(IF(INDEX(EmployeeData[Exit Reason], ROW() - 37)=0, "",INDEX(EmployeeData[Exit Reason], ROW() - 37)),"")</f>
        <v/>
      </c>
      <c r="J4283" s="4" t="str" cm="1">
        <f t="array" ref="J4283">IFERROR(INDEX(EmployeeData[Status], ROW() - 37), "")</f>
        <v/>
      </c>
    </row>
    <row r="4284" spans="2:10" ht="19.95" customHeight="1" x14ac:dyDescent="0.3">
      <c r="B4284" s="4" t="str" cm="1">
        <f t="array" ref="B4284">IFERROR(INDEX(EmployeeData[Employee ID], ROW() - 37), "")</f>
        <v/>
      </c>
      <c r="C4284" s="4" t="str" cm="1">
        <f t="array" ref="C4284">IFERROR(INDEX(EmployeeData[Full Name], ROW() - 37), "")</f>
        <v/>
      </c>
      <c r="D4284" s="4" t="str" cm="1">
        <f t="array" ref="D4284">IFERROR(INDEX(EmployeeData[Department], ROW() - 37), "")</f>
        <v/>
      </c>
      <c r="E4284" s="4" t="str" cm="1">
        <f t="array" ref="E4284">IFERROR(INDEX(EmployeeData[Gender], ROW() - 37), "")</f>
        <v/>
      </c>
      <c r="F4284" s="4" t="str" cm="1">
        <f t="array" ref="F4284">IFERROR(INDEX(EmployeeData[Age], ROW() - 37), "")</f>
        <v/>
      </c>
      <c r="G4284" s="6" t="str" cm="1">
        <f t="array" ref="G4284">IFERROR(INDEX(EmployeeData[Join Date], ROW() - 37), "")</f>
        <v/>
      </c>
      <c r="H4284" s="6" t="str" cm="1">
        <f t="array" ref="H4284">IFERROR(IF(INDEX(EmployeeData[Exit Date], ROW() - 37)=0, "",INDEX(EmployeeData[Exit Date], ROW() - 37)),"")</f>
        <v/>
      </c>
      <c r="I4284" s="4" t="str" cm="1">
        <f t="array" ref="I4284">IFERROR(IF(INDEX(EmployeeData[Exit Reason], ROW() - 37)=0, "",INDEX(EmployeeData[Exit Reason], ROW() - 37)),"")</f>
        <v/>
      </c>
      <c r="J4284" s="4" t="str" cm="1">
        <f t="array" ref="J4284">IFERROR(INDEX(EmployeeData[Status], ROW() - 37), "")</f>
        <v/>
      </c>
    </row>
    <row r="4285" spans="2:10" ht="19.95" customHeight="1" x14ac:dyDescent="0.3">
      <c r="B4285" s="4" t="str" cm="1">
        <f t="array" ref="B4285">IFERROR(INDEX(EmployeeData[Employee ID], ROW() - 37), "")</f>
        <v/>
      </c>
      <c r="C4285" s="4" t="str" cm="1">
        <f t="array" ref="C4285">IFERROR(INDEX(EmployeeData[Full Name], ROW() - 37), "")</f>
        <v/>
      </c>
      <c r="D4285" s="4" t="str" cm="1">
        <f t="array" ref="D4285">IFERROR(INDEX(EmployeeData[Department], ROW() - 37), "")</f>
        <v/>
      </c>
      <c r="E4285" s="4" t="str" cm="1">
        <f t="array" ref="E4285">IFERROR(INDEX(EmployeeData[Gender], ROW() - 37), "")</f>
        <v/>
      </c>
      <c r="F4285" s="4" t="str" cm="1">
        <f t="array" ref="F4285">IFERROR(INDEX(EmployeeData[Age], ROW() - 37), "")</f>
        <v/>
      </c>
      <c r="G4285" s="6" t="str" cm="1">
        <f t="array" ref="G4285">IFERROR(INDEX(EmployeeData[Join Date], ROW() - 37), "")</f>
        <v/>
      </c>
      <c r="H4285" s="6" t="str" cm="1">
        <f t="array" ref="H4285">IFERROR(IF(INDEX(EmployeeData[Exit Date], ROW() - 37)=0, "",INDEX(EmployeeData[Exit Date], ROW() - 37)),"")</f>
        <v/>
      </c>
      <c r="I4285" s="4" t="str" cm="1">
        <f t="array" ref="I4285">IFERROR(IF(INDEX(EmployeeData[Exit Reason], ROW() - 37)=0, "",INDEX(EmployeeData[Exit Reason], ROW() - 37)),"")</f>
        <v/>
      </c>
      <c r="J4285" s="4" t="str" cm="1">
        <f t="array" ref="J4285">IFERROR(INDEX(EmployeeData[Status], ROW() - 37), "")</f>
        <v/>
      </c>
    </row>
    <row r="4286" spans="2:10" ht="19.95" customHeight="1" x14ac:dyDescent="0.3">
      <c r="B4286" s="4" t="str" cm="1">
        <f t="array" ref="B4286">IFERROR(INDEX(EmployeeData[Employee ID], ROW() - 37), "")</f>
        <v/>
      </c>
      <c r="C4286" s="4" t="str" cm="1">
        <f t="array" ref="C4286">IFERROR(INDEX(EmployeeData[Full Name], ROW() - 37), "")</f>
        <v/>
      </c>
      <c r="D4286" s="4" t="str" cm="1">
        <f t="array" ref="D4286">IFERROR(INDEX(EmployeeData[Department], ROW() - 37), "")</f>
        <v/>
      </c>
      <c r="E4286" s="4" t="str" cm="1">
        <f t="array" ref="E4286">IFERROR(INDEX(EmployeeData[Gender], ROW() - 37), "")</f>
        <v/>
      </c>
      <c r="F4286" s="4" t="str" cm="1">
        <f t="array" ref="F4286">IFERROR(INDEX(EmployeeData[Age], ROW() - 37), "")</f>
        <v/>
      </c>
      <c r="G4286" s="6" t="str" cm="1">
        <f t="array" ref="G4286">IFERROR(INDEX(EmployeeData[Join Date], ROW() - 37), "")</f>
        <v/>
      </c>
      <c r="H4286" s="6" t="str" cm="1">
        <f t="array" ref="H4286">IFERROR(IF(INDEX(EmployeeData[Exit Date], ROW() - 37)=0, "",INDEX(EmployeeData[Exit Date], ROW() - 37)),"")</f>
        <v/>
      </c>
      <c r="I4286" s="4" t="str" cm="1">
        <f t="array" ref="I4286">IFERROR(IF(INDEX(EmployeeData[Exit Reason], ROW() - 37)=0, "",INDEX(EmployeeData[Exit Reason], ROW() - 37)),"")</f>
        <v/>
      </c>
      <c r="J4286" s="4" t="str" cm="1">
        <f t="array" ref="J4286">IFERROR(INDEX(EmployeeData[Status], ROW() - 37), "")</f>
        <v/>
      </c>
    </row>
    <row r="4287" spans="2:10" ht="19.95" customHeight="1" x14ac:dyDescent="0.3">
      <c r="B4287" s="4" t="str" cm="1">
        <f t="array" ref="B4287">IFERROR(INDEX(EmployeeData[Employee ID], ROW() - 37), "")</f>
        <v/>
      </c>
      <c r="C4287" s="4" t="str" cm="1">
        <f t="array" ref="C4287">IFERROR(INDEX(EmployeeData[Full Name], ROW() - 37), "")</f>
        <v/>
      </c>
      <c r="D4287" s="4" t="str" cm="1">
        <f t="array" ref="D4287">IFERROR(INDEX(EmployeeData[Department], ROW() - 37), "")</f>
        <v/>
      </c>
      <c r="E4287" s="4" t="str" cm="1">
        <f t="array" ref="E4287">IFERROR(INDEX(EmployeeData[Gender], ROW() - 37), "")</f>
        <v/>
      </c>
      <c r="F4287" s="4" t="str" cm="1">
        <f t="array" ref="F4287">IFERROR(INDEX(EmployeeData[Age], ROW() - 37), "")</f>
        <v/>
      </c>
      <c r="G4287" s="6" t="str" cm="1">
        <f t="array" ref="G4287">IFERROR(INDEX(EmployeeData[Join Date], ROW() - 37), "")</f>
        <v/>
      </c>
      <c r="H4287" s="6" t="str" cm="1">
        <f t="array" ref="H4287">IFERROR(IF(INDEX(EmployeeData[Exit Date], ROW() - 37)=0, "",INDEX(EmployeeData[Exit Date], ROW() - 37)),"")</f>
        <v/>
      </c>
      <c r="I4287" s="4" t="str" cm="1">
        <f t="array" ref="I4287">IFERROR(IF(INDEX(EmployeeData[Exit Reason], ROW() - 37)=0, "",INDEX(EmployeeData[Exit Reason], ROW() - 37)),"")</f>
        <v/>
      </c>
      <c r="J4287" s="4" t="str" cm="1">
        <f t="array" ref="J4287">IFERROR(INDEX(EmployeeData[Status], ROW() - 37), "")</f>
        <v/>
      </c>
    </row>
    <row r="4288" spans="2:10" ht="19.95" customHeight="1" x14ac:dyDescent="0.3">
      <c r="B4288" s="4" t="str" cm="1">
        <f t="array" ref="B4288">IFERROR(INDEX(EmployeeData[Employee ID], ROW() - 37), "")</f>
        <v/>
      </c>
      <c r="C4288" s="4" t="str" cm="1">
        <f t="array" ref="C4288">IFERROR(INDEX(EmployeeData[Full Name], ROW() - 37), "")</f>
        <v/>
      </c>
      <c r="D4288" s="4" t="str" cm="1">
        <f t="array" ref="D4288">IFERROR(INDEX(EmployeeData[Department], ROW() - 37), "")</f>
        <v/>
      </c>
      <c r="E4288" s="4" t="str" cm="1">
        <f t="array" ref="E4288">IFERROR(INDEX(EmployeeData[Gender], ROW() - 37), "")</f>
        <v/>
      </c>
      <c r="F4288" s="4" t="str" cm="1">
        <f t="array" ref="F4288">IFERROR(INDEX(EmployeeData[Age], ROW() - 37), "")</f>
        <v/>
      </c>
      <c r="G4288" s="6" t="str" cm="1">
        <f t="array" ref="G4288">IFERROR(INDEX(EmployeeData[Join Date], ROW() - 37), "")</f>
        <v/>
      </c>
      <c r="H4288" s="6" t="str" cm="1">
        <f t="array" ref="H4288">IFERROR(IF(INDEX(EmployeeData[Exit Date], ROW() - 37)=0, "",INDEX(EmployeeData[Exit Date], ROW() - 37)),"")</f>
        <v/>
      </c>
      <c r="I4288" s="4" t="str" cm="1">
        <f t="array" ref="I4288">IFERROR(IF(INDEX(EmployeeData[Exit Reason], ROW() - 37)=0, "",INDEX(EmployeeData[Exit Reason], ROW() - 37)),"")</f>
        <v/>
      </c>
      <c r="J4288" s="4" t="str" cm="1">
        <f t="array" ref="J4288">IFERROR(INDEX(EmployeeData[Status], ROW() - 37), "")</f>
        <v/>
      </c>
    </row>
    <row r="4289" spans="2:10" ht="19.95" customHeight="1" x14ac:dyDescent="0.3">
      <c r="B4289" s="4" t="str" cm="1">
        <f t="array" ref="B4289">IFERROR(INDEX(EmployeeData[Employee ID], ROW() - 37), "")</f>
        <v/>
      </c>
      <c r="C4289" s="4" t="str" cm="1">
        <f t="array" ref="C4289">IFERROR(INDEX(EmployeeData[Full Name], ROW() - 37), "")</f>
        <v/>
      </c>
      <c r="D4289" s="4" t="str" cm="1">
        <f t="array" ref="D4289">IFERROR(INDEX(EmployeeData[Department], ROW() - 37), "")</f>
        <v/>
      </c>
      <c r="E4289" s="4" t="str" cm="1">
        <f t="array" ref="E4289">IFERROR(INDEX(EmployeeData[Gender], ROW() - 37), "")</f>
        <v/>
      </c>
      <c r="F4289" s="4" t="str" cm="1">
        <f t="array" ref="F4289">IFERROR(INDEX(EmployeeData[Age], ROW() - 37), "")</f>
        <v/>
      </c>
      <c r="G4289" s="6" t="str" cm="1">
        <f t="array" ref="G4289">IFERROR(INDEX(EmployeeData[Join Date], ROW() - 37), "")</f>
        <v/>
      </c>
      <c r="H4289" s="6" t="str" cm="1">
        <f t="array" ref="H4289">IFERROR(IF(INDEX(EmployeeData[Exit Date], ROW() - 37)=0, "",INDEX(EmployeeData[Exit Date], ROW() - 37)),"")</f>
        <v/>
      </c>
      <c r="I4289" s="4" t="str" cm="1">
        <f t="array" ref="I4289">IFERROR(IF(INDEX(EmployeeData[Exit Reason], ROW() - 37)=0, "",INDEX(EmployeeData[Exit Reason], ROW() - 37)),"")</f>
        <v/>
      </c>
      <c r="J4289" s="4" t="str" cm="1">
        <f t="array" ref="J4289">IFERROR(INDEX(EmployeeData[Status], ROW() - 37), "")</f>
        <v/>
      </c>
    </row>
    <row r="4290" spans="2:10" ht="19.95" customHeight="1" x14ac:dyDescent="0.3">
      <c r="B4290" s="4" t="str" cm="1">
        <f t="array" ref="B4290">IFERROR(INDEX(EmployeeData[Employee ID], ROW() - 37), "")</f>
        <v/>
      </c>
      <c r="C4290" s="4" t="str" cm="1">
        <f t="array" ref="C4290">IFERROR(INDEX(EmployeeData[Full Name], ROW() - 37), "")</f>
        <v/>
      </c>
      <c r="D4290" s="4" t="str" cm="1">
        <f t="array" ref="D4290">IFERROR(INDEX(EmployeeData[Department], ROW() - 37), "")</f>
        <v/>
      </c>
      <c r="E4290" s="4" t="str" cm="1">
        <f t="array" ref="E4290">IFERROR(INDEX(EmployeeData[Gender], ROW() - 37), "")</f>
        <v/>
      </c>
      <c r="F4290" s="4" t="str" cm="1">
        <f t="array" ref="F4290">IFERROR(INDEX(EmployeeData[Age], ROW() - 37), "")</f>
        <v/>
      </c>
      <c r="G4290" s="6" t="str" cm="1">
        <f t="array" ref="G4290">IFERROR(INDEX(EmployeeData[Join Date], ROW() - 37), "")</f>
        <v/>
      </c>
      <c r="H4290" s="6" t="str" cm="1">
        <f t="array" ref="H4290">IFERROR(IF(INDEX(EmployeeData[Exit Date], ROW() - 37)=0, "",INDEX(EmployeeData[Exit Date], ROW() - 37)),"")</f>
        <v/>
      </c>
      <c r="I4290" s="4" t="str" cm="1">
        <f t="array" ref="I4290">IFERROR(IF(INDEX(EmployeeData[Exit Reason], ROW() - 37)=0, "",INDEX(EmployeeData[Exit Reason], ROW() - 37)),"")</f>
        <v/>
      </c>
      <c r="J4290" s="4" t="str" cm="1">
        <f t="array" ref="J4290">IFERROR(INDEX(EmployeeData[Status], ROW() - 37), "")</f>
        <v/>
      </c>
    </row>
    <row r="4291" spans="2:10" ht="19.95" customHeight="1" x14ac:dyDescent="0.3">
      <c r="B4291" s="4" t="str" cm="1">
        <f t="array" ref="B4291">IFERROR(INDEX(EmployeeData[Employee ID], ROW() - 37), "")</f>
        <v/>
      </c>
      <c r="C4291" s="4" t="str" cm="1">
        <f t="array" ref="C4291">IFERROR(INDEX(EmployeeData[Full Name], ROW() - 37), "")</f>
        <v/>
      </c>
      <c r="D4291" s="4" t="str" cm="1">
        <f t="array" ref="D4291">IFERROR(INDEX(EmployeeData[Department], ROW() - 37), "")</f>
        <v/>
      </c>
      <c r="E4291" s="4" t="str" cm="1">
        <f t="array" ref="E4291">IFERROR(INDEX(EmployeeData[Gender], ROW() - 37), "")</f>
        <v/>
      </c>
      <c r="F4291" s="4" t="str" cm="1">
        <f t="array" ref="F4291">IFERROR(INDEX(EmployeeData[Age], ROW() - 37), "")</f>
        <v/>
      </c>
      <c r="G4291" s="6" t="str" cm="1">
        <f t="array" ref="G4291">IFERROR(INDEX(EmployeeData[Join Date], ROW() - 37), "")</f>
        <v/>
      </c>
      <c r="H4291" s="6" t="str" cm="1">
        <f t="array" ref="H4291">IFERROR(IF(INDEX(EmployeeData[Exit Date], ROW() - 37)=0, "",INDEX(EmployeeData[Exit Date], ROW() - 37)),"")</f>
        <v/>
      </c>
      <c r="I4291" s="4" t="str" cm="1">
        <f t="array" ref="I4291">IFERROR(IF(INDEX(EmployeeData[Exit Reason], ROW() - 37)=0, "",INDEX(EmployeeData[Exit Reason], ROW() - 37)),"")</f>
        <v/>
      </c>
      <c r="J4291" s="4" t="str" cm="1">
        <f t="array" ref="J4291">IFERROR(INDEX(EmployeeData[Status], ROW() - 37), "")</f>
        <v/>
      </c>
    </row>
    <row r="4292" spans="2:10" ht="19.95" customHeight="1" x14ac:dyDescent="0.3">
      <c r="B4292" s="4" t="str" cm="1">
        <f t="array" ref="B4292">IFERROR(INDEX(EmployeeData[Employee ID], ROW() - 37), "")</f>
        <v/>
      </c>
      <c r="C4292" s="4" t="str" cm="1">
        <f t="array" ref="C4292">IFERROR(INDEX(EmployeeData[Full Name], ROW() - 37), "")</f>
        <v/>
      </c>
      <c r="D4292" s="4" t="str" cm="1">
        <f t="array" ref="D4292">IFERROR(INDEX(EmployeeData[Department], ROW() - 37), "")</f>
        <v/>
      </c>
      <c r="E4292" s="4" t="str" cm="1">
        <f t="array" ref="E4292">IFERROR(INDEX(EmployeeData[Gender], ROW() - 37), "")</f>
        <v/>
      </c>
      <c r="F4292" s="4" t="str" cm="1">
        <f t="array" ref="F4292">IFERROR(INDEX(EmployeeData[Age], ROW() - 37), "")</f>
        <v/>
      </c>
      <c r="G4292" s="6" t="str" cm="1">
        <f t="array" ref="G4292">IFERROR(INDEX(EmployeeData[Join Date], ROW() - 37), "")</f>
        <v/>
      </c>
      <c r="H4292" s="6" t="str" cm="1">
        <f t="array" ref="H4292">IFERROR(IF(INDEX(EmployeeData[Exit Date], ROW() - 37)=0, "",INDEX(EmployeeData[Exit Date], ROW() - 37)),"")</f>
        <v/>
      </c>
      <c r="I4292" s="4" t="str" cm="1">
        <f t="array" ref="I4292">IFERROR(IF(INDEX(EmployeeData[Exit Reason], ROW() - 37)=0, "",INDEX(EmployeeData[Exit Reason], ROW() - 37)),"")</f>
        <v/>
      </c>
      <c r="J4292" s="4" t="str" cm="1">
        <f t="array" ref="J4292">IFERROR(INDEX(EmployeeData[Status], ROW() - 37), "")</f>
        <v/>
      </c>
    </row>
    <row r="4293" spans="2:10" ht="19.95" customHeight="1" x14ac:dyDescent="0.3">
      <c r="B4293" s="4" t="str" cm="1">
        <f t="array" ref="B4293">IFERROR(INDEX(EmployeeData[Employee ID], ROW() - 37), "")</f>
        <v/>
      </c>
      <c r="C4293" s="4" t="str" cm="1">
        <f t="array" ref="C4293">IFERROR(INDEX(EmployeeData[Full Name], ROW() - 37), "")</f>
        <v/>
      </c>
      <c r="D4293" s="4" t="str" cm="1">
        <f t="array" ref="D4293">IFERROR(INDEX(EmployeeData[Department], ROW() - 37), "")</f>
        <v/>
      </c>
      <c r="E4293" s="4" t="str" cm="1">
        <f t="array" ref="E4293">IFERROR(INDEX(EmployeeData[Gender], ROW() - 37), "")</f>
        <v/>
      </c>
      <c r="F4293" s="4" t="str" cm="1">
        <f t="array" ref="F4293">IFERROR(INDEX(EmployeeData[Age], ROW() - 37), "")</f>
        <v/>
      </c>
      <c r="G4293" s="6" t="str" cm="1">
        <f t="array" ref="G4293">IFERROR(INDEX(EmployeeData[Join Date], ROW() - 37), "")</f>
        <v/>
      </c>
      <c r="H4293" s="6" t="str" cm="1">
        <f t="array" ref="H4293">IFERROR(IF(INDEX(EmployeeData[Exit Date], ROW() - 37)=0, "",INDEX(EmployeeData[Exit Date], ROW() - 37)),"")</f>
        <v/>
      </c>
      <c r="I4293" s="4" t="str" cm="1">
        <f t="array" ref="I4293">IFERROR(IF(INDEX(EmployeeData[Exit Reason], ROW() - 37)=0, "",INDEX(EmployeeData[Exit Reason], ROW() - 37)),"")</f>
        <v/>
      </c>
      <c r="J4293" s="4" t="str" cm="1">
        <f t="array" ref="J4293">IFERROR(INDEX(EmployeeData[Status], ROW() - 37), "")</f>
        <v/>
      </c>
    </row>
    <row r="4294" spans="2:10" ht="19.95" customHeight="1" x14ac:dyDescent="0.3">
      <c r="B4294" s="4" t="str" cm="1">
        <f t="array" ref="B4294">IFERROR(INDEX(EmployeeData[Employee ID], ROW() - 37), "")</f>
        <v/>
      </c>
      <c r="C4294" s="4" t="str" cm="1">
        <f t="array" ref="C4294">IFERROR(INDEX(EmployeeData[Full Name], ROW() - 37), "")</f>
        <v/>
      </c>
      <c r="D4294" s="4" t="str" cm="1">
        <f t="array" ref="D4294">IFERROR(INDEX(EmployeeData[Department], ROW() - 37), "")</f>
        <v/>
      </c>
      <c r="E4294" s="4" t="str" cm="1">
        <f t="array" ref="E4294">IFERROR(INDEX(EmployeeData[Gender], ROW() - 37), "")</f>
        <v/>
      </c>
      <c r="F4294" s="4" t="str" cm="1">
        <f t="array" ref="F4294">IFERROR(INDEX(EmployeeData[Age], ROW() - 37), "")</f>
        <v/>
      </c>
      <c r="G4294" s="6" t="str" cm="1">
        <f t="array" ref="G4294">IFERROR(INDEX(EmployeeData[Join Date], ROW() - 37), "")</f>
        <v/>
      </c>
      <c r="H4294" s="6" t="str" cm="1">
        <f t="array" ref="H4294">IFERROR(IF(INDEX(EmployeeData[Exit Date], ROW() - 37)=0, "",INDEX(EmployeeData[Exit Date], ROW() - 37)),"")</f>
        <v/>
      </c>
      <c r="I4294" s="4" t="str" cm="1">
        <f t="array" ref="I4294">IFERROR(IF(INDEX(EmployeeData[Exit Reason], ROW() - 37)=0, "",INDEX(EmployeeData[Exit Reason], ROW() - 37)),"")</f>
        <v/>
      </c>
      <c r="J4294" s="4" t="str" cm="1">
        <f t="array" ref="J4294">IFERROR(INDEX(EmployeeData[Status], ROW() - 37), "")</f>
        <v/>
      </c>
    </row>
    <row r="4295" spans="2:10" ht="19.95" customHeight="1" x14ac:dyDescent="0.3">
      <c r="B4295" s="4" t="str" cm="1">
        <f t="array" ref="B4295">IFERROR(INDEX(EmployeeData[Employee ID], ROW() - 37), "")</f>
        <v/>
      </c>
      <c r="C4295" s="4" t="str" cm="1">
        <f t="array" ref="C4295">IFERROR(INDEX(EmployeeData[Full Name], ROW() - 37), "")</f>
        <v/>
      </c>
      <c r="D4295" s="4" t="str" cm="1">
        <f t="array" ref="D4295">IFERROR(INDEX(EmployeeData[Department], ROW() - 37), "")</f>
        <v/>
      </c>
      <c r="E4295" s="4" t="str" cm="1">
        <f t="array" ref="E4295">IFERROR(INDEX(EmployeeData[Gender], ROW() - 37), "")</f>
        <v/>
      </c>
      <c r="F4295" s="4" t="str" cm="1">
        <f t="array" ref="F4295">IFERROR(INDEX(EmployeeData[Age], ROW() - 37), "")</f>
        <v/>
      </c>
      <c r="G4295" s="6" t="str" cm="1">
        <f t="array" ref="G4295">IFERROR(INDEX(EmployeeData[Join Date], ROW() - 37), "")</f>
        <v/>
      </c>
      <c r="H4295" s="6" t="str" cm="1">
        <f t="array" ref="H4295">IFERROR(IF(INDEX(EmployeeData[Exit Date], ROW() - 37)=0, "",INDEX(EmployeeData[Exit Date], ROW() - 37)),"")</f>
        <v/>
      </c>
      <c r="I4295" s="4" t="str" cm="1">
        <f t="array" ref="I4295">IFERROR(IF(INDEX(EmployeeData[Exit Reason], ROW() - 37)=0, "",INDEX(EmployeeData[Exit Reason], ROW() - 37)),"")</f>
        <v/>
      </c>
      <c r="J4295" s="4" t="str" cm="1">
        <f t="array" ref="J4295">IFERROR(INDEX(EmployeeData[Status], ROW() - 37), "")</f>
        <v/>
      </c>
    </row>
    <row r="4296" spans="2:10" ht="19.95" customHeight="1" x14ac:dyDescent="0.3">
      <c r="B4296" s="4" t="str" cm="1">
        <f t="array" ref="B4296">IFERROR(INDEX(EmployeeData[Employee ID], ROW() - 37), "")</f>
        <v/>
      </c>
      <c r="C4296" s="4" t="str" cm="1">
        <f t="array" ref="C4296">IFERROR(INDEX(EmployeeData[Full Name], ROW() - 37), "")</f>
        <v/>
      </c>
      <c r="D4296" s="4" t="str" cm="1">
        <f t="array" ref="D4296">IFERROR(INDEX(EmployeeData[Department], ROW() - 37), "")</f>
        <v/>
      </c>
      <c r="E4296" s="4" t="str" cm="1">
        <f t="array" ref="E4296">IFERROR(INDEX(EmployeeData[Gender], ROW() - 37), "")</f>
        <v/>
      </c>
      <c r="F4296" s="4" t="str" cm="1">
        <f t="array" ref="F4296">IFERROR(INDEX(EmployeeData[Age], ROW() - 37), "")</f>
        <v/>
      </c>
      <c r="G4296" s="6" t="str" cm="1">
        <f t="array" ref="G4296">IFERROR(INDEX(EmployeeData[Join Date], ROW() - 37), "")</f>
        <v/>
      </c>
      <c r="H4296" s="6" t="str" cm="1">
        <f t="array" ref="H4296">IFERROR(IF(INDEX(EmployeeData[Exit Date], ROW() - 37)=0, "",INDEX(EmployeeData[Exit Date], ROW() - 37)),"")</f>
        <v/>
      </c>
      <c r="I4296" s="4" t="str" cm="1">
        <f t="array" ref="I4296">IFERROR(IF(INDEX(EmployeeData[Exit Reason], ROW() - 37)=0, "",INDEX(EmployeeData[Exit Reason], ROW() - 37)),"")</f>
        <v/>
      </c>
      <c r="J4296" s="4" t="str" cm="1">
        <f t="array" ref="J4296">IFERROR(INDEX(EmployeeData[Status], ROW() - 37), "")</f>
        <v/>
      </c>
    </row>
    <row r="4297" spans="2:10" ht="19.95" customHeight="1" x14ac:dyDescent="0.3">
      <c r="B4297" s="4" t="str" cm="1">
        <f t="array" ref="B4297">IFERROR(INDEX(EmployeeData[Employee ID], ROW() - 37), "")</f>
        <v/>
      </c>
      <c r="C4297" s="4" t="str" cm="1">
        <f t="array" ref="C4297">IFERROR(INDEX(EmployeeData[Full Name], ROW() - 37), "")</f>
        <v/>
      </c>
      <c r="D4297" s="4" t="str" cm="1">
        <f t="array" ref="D4297">IFERROR(INDEX(EmployeeData[Department], ROW() - 37), "")</f>
        <v/>
      </c>
      <c r="E4297" s="4" t="str" cm="1">
        <f t="array" ref="E4297">IFERROR(INDEX(EmployeeData[Gender], ROW() - 37), "")</f>
        <v/>
      </c>
      <c r="F4297" s="4" t="str" cm="1">
        <f t="array" ref="F4297">IFERROR(INDEX(EmployeeData[Age], ROW() - 37), "")</f>
        <v/>
      </c>
      <c r="G4297" s="6" t="str" cm="1">
        <f t="array" ref="G4297">IFERROR(INDEX(EmployeeData[Join Date], ROW() - 37), "")</f>
        <v/>
      </c>
      <c r="H4297" s="6" t="str" cm="1">
        <f t="array" ref="H4297">IFERROR(IF(INDEX(EmployeeData[Exit Date], ROW() - 37)=0, "",INDEX(EmployeeData[Exit Date], ROW() - 37)),"")</f>
        <v/>
      </c>
      <c r="I4297" s="4" t="str" cm="1">
        <f t="array" ref="I4297">IFERROR(IF(INDEX(EmployeeData[Exit Reason], ROW() - 37)=0, "",INDEX(EmployeeData[Exit Reason], ROW() - 37)),"")</f>
        <v/>
      </c>
      <c r="J4297" s="4" t="str" cm="1">
        <f t="array" ref="J4297">IFERROR(INDEX(EmployeeData[Status], ROW() - 37), "")</f>
        <v/>
      </c>
    </row>
    <row r="4298" spans="2:10" ht="19.95" customHeight="1" x14ac:dyDescent="0.3">
      <c r="B4298" s="4" t="str" cm="1">
        <f t="array" ref="B4298">IFERROR(INDEX(EmployeeData[Employee ID], ROW() - 37), "")</f>
        <v/>
      </c>
      <c r="C4298" s="4" t="str" cm="1">
        <f t="array" ref="C4298">IFERROR(INDEX(EmployeeData[Full Name], ROW() - 37), "")</f>
        <v/>
      </c>
      <c r="D4298" s="4" t="str" cm="1">
        <f t="array" ref="D4298">IFERROR(INDEX(EmployeeData[Department], ROW() - 37), "")</f>
        <v/>
      </c>
      <c r="E4298" s="4" t="str" cm="1">
        <f t="array" ref="E4298">IFERROR(INDEX(EmployeeData[Gender], ROW() - 37), "")</f>
        <v/>
      </c>
      <c r="F4298" s="4" t="str" cm="1">
        <f t="array" ref="F4298">IFERROR(INDEX(EmployeeData[Age], ROW() - 37), "")</f>
        <v/>
      </c>
      <c r="G4298" s="6" t="str" cm="1">
        <f t="array" ref="G4298">IFERROR(INDEX(EmployeeData[Join Date], ROW() - 37), "")</f>
        <v/>
      </c>
      <c r="H4298" s="6" t="str" cm="1">
        <f t="array" ref="H4298">IFERROR(IF(INDEX(EmployeeData[Exit Date], ROW() - 37)=0, "",INDEX(EmployeeData[Exit Date], ROW() - 37)),"")</f>
        <v/>
      </c>
      <c r="I4298" s="4" t="str" cm="1">
        <f t="array" ref="I4298">IFERROR(IF(INDEX(EmployeeData[Exit Reason], ROW() - 37)=0, "",INDEX(EmployeeData[Exit Reason], ROW() - 37)),"")</f>
        <v/>
      </c>
      <c r="J4298" s="4" t="str" cm="1">
        <f t="array" ref="J4298">IFERROR(INDEX(EmployeeData[Status], ROW() - 37), "")</f>
        <v/>
      </c>
    </row>
    <row r="4299" spans="2:10" ht="19.95" customHeight="1" x14ac:dyDescent="0.3">
      <c r="B4299" s="4" t="str" cm="1">
        <f t="array" ref="B4299">IFERROR(INDEX(EmployeeData[Employee ID], ROW() - 37), "")</f>
        <v/>
      </c>
      <c r="C4299" s="4" t="str" cm="1">
        <f t="array" ref="C4299">IFERROR(INDEX(EmployeeData[Full Name], ROW() - 37), "")</f>
        <v/>
      </c>
      <c r="D4299" s="4" t="str" cm="1">
        <f t="array" ref="D4299">IFERROR(INDEX(EmployeeData[Department], ROW() - 37), "")</f>
        <v/>
      </c>
      <c r="E4299" s="4" t="str" cm="1">
        <f t="array" ref="E4299">IFERROR(INDEX(EmployeeData[Gender], ROW() - 37), "")</f>
        <v/>
      </c>
      <c r="F4299" s="4" t="str" cm="1">
        <f t="array" ref="F4299">IFERROR(INDEX(EmployeeData[Age], ROW() - 37), "")</f>
        <v/>
      </c>
      <c r="G4299" s="6" t="str" cm="1">
        <f t="array" ref="G4299">IFERROR(INDEX(EmployeeData[Join Date], ROW() - 37), "")</f>
        <v/>
      </c>
      <c r="H4299" s="6" t="str" cm="1">
        <f t="array" ref="H4299">IFERROR(IF(INDEX(EmployeeData[Exit Date], ROW() - 37)=0, "",INDEX(EmployeeData[Exit Date], ROW() - 37)),"")</f>
        <v/>
      </c>
      <c r="I4299" s="4" t="str" cm="1">
        <f t="array" ref="I4299">IFERROR(IF(INDEX(EmployeeData[Exit Reason], ROW() - 37)=0, "",INDEX(EmployeeData[Exit Reason], ROW() - 37)),"")</f>
        <v/>
      </c>
      <c r="J4299" s="4" t="str" cm="1">
        <f t="array" ref="J4299">IFERROR(INDEX(EmployeeData[Status], ROW() - 37), "")</f>
        <v/>
      </c>
    </row>
    <row r="4300" spans="2:10" ht="19.95" customHeight="1" x14ac:dyDescent="0.3">
      <c r="B4300" s="4" t="str" cm="1">
        <f t="array" ref="B4300">IFERROR(INDEX(EmployeeData[Employee ID], ROW() - 37), "")</f>
        <v/>
      </c>
      <c r="C4300" s="4" t="str" cm="1">
        <f t="array" ref="C4300">IFERROR(INDEX(EmployeeData[Full Name], ROW() - 37), "")</f>
        <v/>
      </c>
      <c r="D4300" s="4" t="str" cm="1">
        <f t="array" ref="D4300">IFERROR(INDEX(EmployeeData[Department], ROW() - 37), "")</f>
        <v/>
      </c>
      <c r="E4300" s="4" t="str" cm="1">
        <f t="array" ref="E4300">IFERROR(INDEX(EmployeeData[Gender], ROW() - 37), "")</f>
        <v/>
      </c>
      <c r="F4300" s="4" t="str" cm="1">
        <f t="array" ref="F4300">IFERROR(INDEX(EmployeeData[Age], ROW() - 37), "")</f>
        <v/>
      </c>
      <c r="G4300" s="6" t="str" cm="1">
        <f t="array" ref="G4300">IFERROR(INDEX(EmployeeData[Join Date], ROW() - 37), "")</f>
        <v/>
      </c>
      <c r="H4300" s="6" t="str" cm="1">
        <f t="array" ref="H4300">IFERROR(IF(INDEX(EmployeeData[Exit Date], ROW() - 37)=0, "",INDEX(EmployeeData[Exit Date], ROW() - 37)),"")</f>
        <v/>
      </c>
      <c r="I4300" s="4" t="str" cm="1">
        <f t="array" ref="I4300">IFERROR(IF(INDEX(EmployeeData[Exit Reason], ROW() - 37)=0, "",INDEX(EmployeeData[Exit Reason], ROW() - 37)),"")</f>
        <v/>
      </c>
      <c r="J4300" s="4" t="str" cm="1">
        <f t="array" ref="J4300">IFERROR(INDEX(EmployeeData[Status], ROW() - 37), "")</f>
        <v/>
      </c>
    </row>
    <row r="4301" spans="2:10" ht="19.95" customHeight="1" x14ac:dyDescent="0.3">
      <c r="B4301" s="4" t="str" cm="1">
        <f t="array" ref="B4301">IFERROR(INDEX(EmployeeData[Employee ID], ROW() - 37), "")</f>
        <v/>
      </c>
      <c r="C4301" s="4" t="str" cm="1">
        <f t="array" ref="C4301">IFERROR(INDEX(EmployeeData[Full Name], ROW() - 37), "")</f>
        <v/>
      </c>
      <c r="D4301" s="4" t="str" cm="1">
        <f t="array" ref="D4301">IFERROR(INDEX(EmployeeData[Department], ROW() - 37), "")</f>
        <v/>
      </c>
      <c r="E4301" s="4" t="str" cm="1">
        <f t="array" ref="E4301">IFERROR(INDEX(EmployeeData[Gender], ROW() - 37), "")</f>
        <v/>
      </c>
      <c r="F4301" s="4" t="str" cm="1">
        <f t="array" ref="F4301">IFERROR(INDEX(EmployeeData[Age], ROW() - 37), "")</f>
        <v/>
      </c>
      <c r="G4301" s="6" t="str" cm="1">
        <f t="array" ref="G4301">IFERROR(INDEX(EmployeeData[Join Date], ROW() - 37), "")</f>
        <v/>
      </c>
      <c r="H4301" s="6" t="str" cm="1">
        <f t="array" ref="H4301">IFERROR(IF(INDEX(EmployeeData[Exit Date], ROW() - 37)=0, "",INDEX(EmployeeData[Exit Date], ROW() - 37)),"")</f>
        <v/>
      </c>
      <c r="I4301" s="4" t="str" cm="1">
        <f t="array" ref="I4301">IFERROR(IF(INDEX(EmployeeData[Exit Reason], ROW() - 37)=0, "",INDEX(EmployeeData[Exit Reason], ROW() - 37)),"")</f>
        <v/>
      </c>
      <c r="J4301" s="4" t="str" cm="1">
        <f t="array" ref="J4301">IFERROR(INDEX(EmployeeData[Status], ROW() - 37), "")</f>
        <v/>
      </c>
    </row>
    <row r="4302" spans="2:10" ht="19.95" customHeight="1" x14ac:dyDescent="0.3">
      <c r="B4302" s="4" t="str" cm="1">
        <f t="array" ref="B4302">IFERROR(INDEX(EmployeeData[Employee ID], ROW() - 37), "")</f>
        <v/>
      </c>
      <c r="C4302" s="4" t="str" cm="1">
        <f t="array" ref="C4302">IFERROR(INDEX(EmployeeData[Full Name], ROW() - 37), "")</f>
        <v/>
      </c>
      <c r="D4302" s="4" t="str" cm="1">
        <f t="array" ref="D4302">IFERROR(INDEX(EmployeeData[Department], ROW() - 37), "")</f>
        <v/>
      </c>
      <c r="E4302" s="4" t="str" cm="1">
        <f t="array" ref="E4302">IFERROR(INDEX(EmployeeData[Gender], ROW() - 37), "")</f>
        <v/>
      </c>
      <c r="F4302" s="4" t="str" cm="1">
        <f t="array" ref="F4302">IFERROR(INDEX(EmployeeData[Age], ROW() - 37), "")</f>
        <v/>
      </c>
      <c r="G4302" s="6" t="str" cm="1">
        <f t="array" ref="G4302">IFERROR(INDEX(EmployeeData[Join Date], ROW() - 37), "")</f>
        <v/>
      </c>
      <c r="H4302" s="6" t="str" cm="1">
        <f t="array" ref="H4302">IFERROR(IF(INDEX(EmployeeData[Exit Date], ROW() - 37)=0, "",INDEX(EmployeeData[Exit Date], ROW() - 37)),"")</f>
        <v/>
      </c>
      <c r="I4302" s="4" t="str" cm="1">
        <f t="array" ref="I4302">IFERROR(IF(INDEX(EmployeeData[Exit Reason], ROW() - 37)=0, "",INDEX(EmployeeData[Exit Reason], ROW() - 37)),"")</f>
        <v/>
      </c>
      <c r="J4302" s="4" t="str" cm="1">
        <f t="array" ref="J4302">IFERROR(INDEX(EmployeeData[Status], ROW() - 37), "")</f>
        <v/>
      </c>
    </row>
    <row r="4303" spans="2:10" ht="19.95" customHeight="1" x14ac:dyDescent="0.3">
      <c r="B4303" s="4" t="str" cm="1">
        <f t="array" ref="B4303">IFERROR(INDEX(EmployeeData[Employee ID], ROW() - 37), "")</f>
        <v/>
      </c>
      <c r="C4303" s="4" t="str" cm="1">
        <f t="array" ref="C4303">IFERROR(INDEX(EmployeeData[Full Name], ROW() - 37), "")</f>
        <v/>
      </c>
      <c r="D4303" s="4" t="str" cm="1">
        <f t="array" ref="D4303">IFERROR(INDEX(EmployeeData[Department], ROW() - 37), "")</f>
        <v/>
      </c>
      <c r="E4303" s="4" t="str" cm="1">
        <f t="array" ref="E4303">IFERROR(INDEX(EmployeeData[Gender], ROW() - 37), "")</f>
        <v/>
      </c>
      <c r="F4303" s="4" t="str" cm="1">
        <f t="array" ref="F4303">IFERROR(INDEX(EmployeeData[Age], ROW() - 37), "")</f>
        <v/>
      </c>
      <c r="G4303" s="6" t="str" cm="1">
        <f t="array" ref="G4303">IFERROR(INDEX(EmployeeData[Join Date], ROW() - 37), "")</f>
        <v/>
      </c>
      <c r="H4303" s="6" t="str" cm="1">
        <f t="array" ref="H4303">IFERROR(IF(INDEX(EmployeeData[Exit Date], ROW() - 37)=0, "",INDEX(EmployeeData[Exit Date], ROW() - 37)),"")</f>
        <v/>
      </c>
      <c r="I4303" s="4" t="str" cm="1">
        <f t="array" ref="I4303">IFERROR(IF(INDEX(EmployeeData[Exit Reason], ROW() - 37)=0, "",INDEX(EmployeeData[Exit Reason], ROW() - 37)),"")</f>
        <v/>
      </c>
      <c r="J4303" s="4" t="str" cm="1">
        <f t="array" ref="J4303">IFERROR(INDEX(EmployeeData[Status], ROW() - 37), "")</f>
        <v/>
      </c>
    </row>
    <row r="4304" spans="2:10" ht="19.95" customHeight="1" x14ac:dyDescent="0.3">
      <c r="B4304" s="4" t="str" cm="1">
        <f t="array" ref="B4304">IFERROR(INDEX(EmployeeData[Employee ID], ROW() - 37), "")</f>
        <v/>
      </c>
      <c r="C4304" s="4" t="str" cm="1">
        <f t="array" ref="C4304">IFERROR(INDEX(EmployeeData[Full Name], ROW() - 37), "")</f>
        <v/>
      </c>
      <c r="D4304" s="4" t="str" cm="1">
        <f t="array" ref="D4304">IFERROR(INDEX(EmployeeData[Department], ROW() - 37), "")</f>
        <v/>
      </c>
      <c r="E4304" s="4" t="str" cm="1">
        <f t="array" ref="E4304">IFERROR(INDEX(EmployeeData[Gender], ROW() - 37), "")</f>
        <v/>
      </c>
      <c r="F4304" s="4" t="str" cm="1">
        <f t="array" ref="F4304">IFERROR(INDEX(EmployeeData[Age], ROW() - 37), "")</f>
        <v/>
      </c>
      <c r="G4304" s="6" t="str" cm="1">
        <f t="array" ref="G4304">IFERROR(INDEX(EmployeeData[Join Date], ROW() - 37), "")</f>
        <v/>
      </c>
      <c r="H4304" s="6" t="str" cm="1">
        <f t="array" ref="H4304">IFERROR(IF(INDEX(EmployeeData[Exit Date], ROW() - 37)=0, "",INDEX(EmployeeData[Exit Date], ROW() - 37)),"")</f>
        <v/>
      </c>
      <c r="I4304" s="4" t="str" cm="1">
        <f t="array" ref="I4304">IFERROR(IF(INDEX(EmployeeData[Exit Reason], ROW() - 37)=0, "",INDEX(EmployeeData[Exit Reason], ROW() - 37)),"")</f>
        <v/>
      </c>
      <c r="J4304" s="4" t="str" cm="1">
        <f t="array" ref="J4304">IFERROR(INDEX(EmployeeData[Status], ROW() - 37), "")</f>
        <v/>
      </c>
    </row>
    <row r="4305" spans="2:10" ht="19.95" customHeight="1" x14ac:dyDescent="0.3">
      <c r="B4305" s="4" t="str" cm="1">
        <f t="array" ref="B4305">IFERROR(INDEX(EmployeeData[Employee ID], ROW() - 37), "")</f>
        <v/>
      </c>
      <c r="C4305" s="4" t="str" cm="1">
        <f t="array" ref="C4305">IFERROR(INDEX(EmployeeData[Full Name], ROW() - 37), "")</f>
        <v/>
      </c>
      <c r="D4305" s="4" t="str" cm="1">
        <f t="array" ref="D4305">IFERROR(INDEX(EmployeeData[Department], ROW() - 37), "")</f>
        <v/>
      </c>
      <c r="E4305" s="4" t="str" cm="1">
        <f t="array" ref="E4305">IFERROR(INDEX(EmployeeData[Gender], ROW() - 37), "")</f>
        <v/>
      </c>
      <c r="F4305" s="4" t="str" cm="1">
        <f t="array" ref="F4305">IFERROR(INDEX(EmployeeData[Age], ROW() - 37), "")</f>
        <v/>
      </c>
      <c r="G4305" s="6" t="str" cm="1">
        <f t="array" ref="G4305">IFERROR(INDEX(EmployeeData[Join Date], ROW() - 37), "")</f>
        <v/>
      </c>
      <c r="H4305" s="6" t="str" cm="1">
        <f t="array" ref="H4305">IFERROR(IF(INDEX(EmployeeData[Exit Date], ROW() - 37)=0, "",INDEX(EmployeeData[Exit Date], ROW() - 37)),"")</f>
        <v/>
      </c>
      <c r="I4305" s="4" t="str" cm="1">
        <f t="array" ref="I4305">IFERROR(IF(INDEX(EmployeeData[Exit Reason], ROW() - 37)=0, "",INDEX(EmployeeData[Exit Reason], ROW() - 37)),"")</f>
        <v/>
      </c>
      <c r="J4305" s="4" t="str" cm="1">
        <f t="array" ref="J4305">IFERROR(INDEX(EmployeeData[Status], ROW() - 37), "")</f>
        <v/>
      </c>
    </row>
    <row r="4306" spans="2:10" ht="19.95" customHeight="1" x14ac:dyDescent="0.3">
      <c r="B4306" s="4" t="str" cm="1">
        <f t="array" ref="B4306">IFERROR(INDEX(EmployeeData[Employee ID], ROW() - 37), "")</f>
        <v/>
      </c>
      <c r="C4306" s="4" t="str" cm="1">
        <f t="array" ref="C4306">IFERROR(INDEX(EmployeeData[Full Name], ROW() - 37), "")</f>
        <v/>
      </c>
      <c r="D4306" s="4" t="str" cm="1">
        <f t="array" ref="D4306">IFERROR(INDEX(EmployeeData[Department], ROW() - 37), "")</f>
        <v/>
      </c>
      <c r="E4306" s="4" t="str" cm="1">
        <f t="array" ref="E4306">IFERROR(INDEX(EmployeeData[Gender], ROW() - 37), "")</f>
        <v/>
      </c>
      <c r="F4306" s="4" t="str" cm="1">
        <f t="array" ref="F4306">IFERROR(INDEX(EmployeeData[Age], ROW() - 37), "")</f>
        <v/>
      </c>
      <c r="G4306" s="6" t="str" cm="1">
        <f t="array" ref="G4306">IFERROR(INDEX(EmployeeData[Join Date], ROW() - 37), "")</f>
        <v/>
      </c>
      <c r="H4306" s="6" t="str" cm="1">
        <f t="array" ref="H4306">IFERROR(IF(INDEX(EmployeeData[Exit Date], ROW() - 37)=0, "",INDEX(EmployeeData[Exit Date], ROW() - 37)),"")</f>
        <v/>
      </c>
      <c r="I4306" s="4" t="str" cm="1">
        <f t="array" ref="I4306">IFERROR(IF(INDEX(EmployeeData[Exit Reason], ROW() - 37)=0, "",INDEX(EmployeeData[Exit Reason], ROW() - 37)),"")</f>
        <v/>
      </c>
      <c r="J4306" s="4" t="str" cm="1">
        <f t="array" ref="J4306">IFERROR(INDEX(EmployeeData[Status], ROW() - 37), "")</f>
        <v/>
      </c>
    </row>
    <row r="4307" spans="2:10" ht="19.95" customHeight="1" x14ac:dyDescent="0.3">
      <c r="B4307" s="4" t="str" cm="1">
        <f t="array" ref="B4307">IFERROR(INDEX(EmployeeData[Employee ID], ROW() - 37), "")</f>
        <v/>
      </c>
      <c r="C4307" s="4" t="str" cm="1">
        <f t="array" ref="C4307">IFERROR(INDEX(EmployeeData[Full Name], ROW() - 37), "")</f>
        <v/>
      </c>
      <c r="D4307" s="4" t="str" cm="1">
        <f t="array" ref="D4307">IFERROR(INDEX(EmployeeData[Department], ROW() - 37), "")</f>
        <v/>
      </c>
      <c r="E4307" s="4" t="str" cm="1">
        <f t="array" ref="E4307">IFERROR(INDEX(EmployeeData[Gender], ROW() - 37), "")</f>
        <v/>
      </c>
      <c r="F4307" s="4" t="str" cm="1">
        <f t="array" ref="F4307">IFERROR(INDEX(EmployeeData[Age], ROW() - 37), "")</f>
        <v/>
      </c>
      <c r="G4307" s="6" t="str" cm="1">
        <f t="array" ref="G4307">IFERROR(INDEX(EmployeeData[Join Date], ROW() - 37), "")</f>
        <v/>
      </c>
      <c r="H4307" s="6" t="str" cm="1">
        <f t="array" ref="H4307">IFERROR(IF(INDEX(EmployeeData[Exit Date], ROW() - 37)=0, "",INDEX(EmployeeData[Exit Date], ROW() - 37)),"")</f>
        <v/>
      </c>
      <c r="I4307" s="4" t="str" cm="1">
        <f t="array" ref="I4307">IFERROR(IF(INDEX(EmployeeData[Exit Reason], ROW() - 37)=0, "",INDEX(EmployeeData[Exit Reason], ROW() - 37)),"")</f>
        <v/>
      </c>
      <c r="J4307" s="4" t="str" cm="1">
        <f t="array" ref="J4307">IFERROR(INDEX(EmployeeData[Status], ROW() - 37), "")</f>
        <v/>
      </c>
    </row>
    <row r="4308" spans="2:10" ht="19.95" customHeight="1" x14ac:dyDescent="0.3">
      <c r="B4308" s="4" t="str" cm="1">
        <f t="array" ref="B4308">IFERROR(INDEX(EmployeeData[Employee ID], ROW() - 37), "")</f>
        <v/>
      </c>
      <c r="C4308" s="4" t="str" cm="1">
        <f t="array" ref="C4308">IFERROR(INDEX(EmployeeData[Full Name], ROW() - 37), "")</f>
        <v/>
      </c>
      <c r="D4308" s="4" t="str" cm="1">
        <f t="array" ref="D4308">IFERROR(INDEX(EmployeeData[Department], ROW() - 37), "")</f>
        <v/>
      </c>
      <c r="E4308" s="4" t="str" cm="1">
        <f t="array" ref="E4308">IFERROR(INDEX(EmployeeData[Gender], ROW() - 37), "")</f>
        <v/>
      </c>
      <c r="F4308" s="4" t="str" cm="1">
        <f t="array" ref="F4308">IFERROR(INDEX(EmployeeData[Age], ROW() - 37), "")</f>
        <v/>
      </c>
      <c r="G4308" s="6" t="str" cm="1">
        <f t="array" ref="G4308">IFERROR(INDEX(EmployeeData[Join Date], ROW() - 37), "")</f>
        <v/>
      </c>
      <c r="H4308" s="6" t="str" cm="1">
        <f t="array" ref="H4308">IFERROR(IF(INDEX(EmployeeData[Exit Date], ROW() - 37)=0, "",INDEX(EmployeeData[Exit Date], ROW() - 37)),"")</f>
        <v/>
      </c>
      <c r="I4308" s="4" t="str" cm="1">
        <f t="array" ref="I4308">IFERROR(IF(INDEX(EmployeeData[Exit Reason], ROW() - 37)=0, "",INDEX(EmployeeData[Exit Reason], ROW() - 37)),"")</f>
        <v/>
      </c>
      <c r="J4308" s="4" t="str" cm="1">
        <f t="array" ref="J4308">IFERROR(INDEX(EmployeeData[Status], ROW() - 37), "")</f>
        <v/>
      </c>
    </row>
    <row r="4309" spans="2:10" ht="19.95" customHeight="1" x14ac:dyDescent="0.3">
      <c r="B4309" s="4" t="str" cm="1">
        <f t="array" ref="B4309">IFERROR(INDEX(EmployeeData[Employee ID], ROW() - 37), "")</f>
        <v/>
      </c>
      <c r="C4309" s="4" t="str" cm="1">
        <f t="array" ref="C4309">IFERROR(INDEX(EmployeeData[Full Name], ROW() - 37), "")</f>
        <v/>
      </c>
      <c r="D4309" s="4" t="str" cm="1">
        <f t="array" ref="D4309">IFERROR(INDEX(EmployeeData[Department], ROW() - 37), "")</f>
        <v/>
      </c>
      <c r="E4309" s="4" t="str" cm="1">
        <f t="array" ref="E4309">IFERROR(INDEX(EmployeeData[Gender], ROW() - 37), "")</f>
        <v/>
      </c>
      <c r="F4309" s="4" t="str" cm="1">
        <f t="array" ref="F4309">IFERROR(INDEX(EmployeeData[Age], ROW() - 37), "")</f>
        <v/>
      </c>
      <c r="G4309" s="6" t="str" cm="1">
        <f t="array" ref="G4309">IFERROR(INDEX(EmployeeData[Join Date], ROW() - 37), "")</f>
        <v/>
      </c>
      <c r="H4309" s="6" t="str" cm="1">
        <f t="array" ref="H4309">IFERROR(IF(INDEX(EmployeeData[Exit Date], ROW() - 37)=0, "",INDEX(EmployeeData[Exit Date], ROW() - 37)),"")</f>
        <v/>
      </c>
      <c r="I4309" s="4" t="str" cm="1">
        <f t="array" ref="I4309">IFERROR(IF(INDEX(EmployeeData[Exit Reason], ROW() - 37)=0, "",INDEX(EmployeeData[Exit Reason], ROW() - 37)),"")</f>
        <v/>
      </c>
      <c r="J4309" s="4" t="str" cm="1">
        <f t="array" ref="J4309">IFERROR(INDEX(EmployeeData[Status], ROW() - 37), "")</f>
        <v/>
      </c>
    </row>
    <row r="4310" spans="2:10" ht="19.95" customHeight="1" x14ac:dyDescent="0.3">
      <c r="B4310" s="4" t="str" cm="1">
        <f t="array" ref="B4310">IFERROR(INDEX(EmployeeData[Employee ID], ROW() - 37), "")</f>
        <v/>
      </c>
      <c r="C4310" s="4" t="str" cm="1">
        <f t="array" ref="C4310">IFERROR(INDEX(EmployeeData[Full Name], ROW() - 37), "")</f>
        <v/>
      </c>
      <c r="D4310" s="4" t="str" cm="1">
        <f t="array" ref="D4310">IFERROR(INDEX(EmployeeData[Department], ROW() - 37), "")</f>
        <v/>
      </c>
      <c r="E4310" s="4" t="str" cm="1">
        <f t="array" ref="E4310">IFERROR(INDEX(EmployeeData[Gender], ROW() - 37), "")</f>
        <v/>
      </c>
      <c r="F4310" s="4" t="str" cm="1">
        <f t="array" ref="F4310">IFERROR(INDEX(EmployeeData[Age], ROW() - 37), "")</f>
        <v/>
      </c>
      <c r="G4310" s="6" t="str" cm="1">
        <f t="array" ref="G4310">IFERROR(INDEX(EmployeeData[Join Date], ROW() - 37), "")</f>
        <v/>
      </c>
      <c r="H4310" s="6" t="str" cm="1">
        <f t="array" ref="H4310">IFERROR(IF(INDEX(EmployeeData[Exit Date], ROW() - 37)=0, "",INDEX(EmployeeData[Exit Date], ROW() - 37)),"")</f>
        <v/>
      </c>
      <c r="I4310" s="4" t="str" cm="1">
        <f t="array" ref="I4310">IFERROR(IF(INDEX(EmployeeData[Exit Reason], ROW() - 37)=0, "",INDEX(EmployeeData[Exit Reason], ROW() - 37)),"")</f>
        <v/>
      </c>
      <c r="J4310" s="4" t="str" cm="1">
        <f t="array" ref="J4310">IFERROR(INDEX(EmployeeData[Status], ROW() - 37), "")</f>
        <v/>
      </c>
    </row>
    <row r="4311" spans="2:10" ht="19.95" customHeight="1" x14ac:dyDescent="0.3">
      <c r="B4311" s="4" t="str" cm="1">
        <f t="array" ref="B4311">IFERROR(INDEX(EmployeeData[Employee ID], ROW() - 37), "")</f>
        <v/>
      </c>
      <c r="C4311" s="4" t="str" cm="1">
        <f t="array" ref="C4311">IFERROR(INDEX(EmployeeData[Full Name], ROW() - 37), "")</f>
        <v/>
      </c>
      <c r="D4311" s="4" t="str" cm="1">
        <f t="array" ref="D4311">IFERROR(INDEX(EmployeeData[Department], ROW() - 37), "")</f>
        <v/>
      </c>
      <c r="E4311" s="4" t="str" cm="1">
        <f t="array" ref="E4311">IFERROR(INDEX(EmployeeData[Gender], ROW() - 37), "")</f>
        <v/>
      </c>
      <c r="F4311" s="4" t="str" cm="1">
        <f t="array" ref="F4311">IFERROR(INDEX(EmployeeData[Age], ROW() - 37), "")</f>
        <v/>
      </c>
      <c r="G4311" s="6" t="str" cm="1">
        <f t="array" ref="G4311">IFERROR(INDEX(EmployeeData[Join Date], ROW() - 37), "")</f>
        <v/>
      </c>
      <c r="H4311" s="6" t="str" cm="1">
        <f t="array" ref="H4311">IFERROR(IF(INDEX(EmployeeData[Exit Date], ROW() - 37)=0, "",INDEX(EmployeeData[Exit Date], ROW() - 37)),"")</f>
        <v/>
      </c>
      <c r="I4311" s="4" t="str" cm="1">
        <f t="array" ref="I4311">IFERROR(IF(INDEX(EmployeeData[Exit Reason], ROW() - 37)=0, "",INDEX(EmployeeData[Exit Reason], ROW() - 37)),"")</f>
        <v/>
      </c>
      <c r="J4311" s="4" t="str" cm="1">
        <f t="array" ref="J4311">IFERROR(INDEX(EmployeeData[Status], ROW() - 37), "")</f>
        <v/>
      </c>
    </row>
    <row r="4312" spans="2:10" ht="19.95" customHeight="1" x14ac:dyDescent="0.3">
      <c r="B4312" s="4" t="str" cm="1">
        <f t="array" ref="B4312">IFERROR(INDEX(EmployeeData[Employee ID], ROW() - 37), "")</f>
        <v/>
      </c>
      <c r="C4312" s="4" t="str" cm="1">
        <f t="array" ref="C4312">IFERROR(INDEX(EmployeeData[Full Name], ROW() - 37), "")</f>
        <v/>
      </c>
      <c r="D4312" s="4" t="str" cm="1">
        <f t="array" ref="D4312">IFERROR(INDEX(EmployeeData[Department], ROW() - 37), "")</f>
        <v/>
      </c>
      <c r="E4312" s="4" t="str" cm="1">
        <f t="array" ref="E4312">IFERROR(INDEX(EmployeeData[Gender], ROW() - 37), "")</f>
        <v/>
      </c>
      <c r="F4312" s="4" t="str" cm="1">
        <f t="array" ref="F4312">IFERROR(INDEX(EmployeeData[Age], ROW() - 37), "")</f>
        <v/>
      </c>
      <c r="G4312" s="6" t="str" cm="1">
        <f t="array" ref="G4312">IFERROR(INDEX(EmployeeData[Join Date], ROW() - 37), "")</f>
        <v/>
      </c>
      <c r="H4312" s="6" t="str" cm="1">
        <f t="array" ref="H4312">IFERROR(IF(INDEX(EmployeeData[Exit Date], ROW() - 37)=0, "",INDEX(EmployeeData[Exit Date], ROW() - 37)),"")</f>
        <v/>
      </c>
      <c r="I4312" s="4" t="str" cm="1">
        <f t="array" ref="I4312">IFERROR(IF(INDEX(EmployeeData[Exit Reason], ROW() - 37)=0, "",INDEX(EmployeeData[Exit Reason], ROW() - 37)),"")</f>
        <v/>
      </c>
      <c r="J4312" s="4" t="str" cm="1">
        <f t="array" ref="J4312">IFERROR(INDEX(EmployeeData[Status], ROW() - 37), "")</f>
        <v/>
      </c>
    </row>
    <row r="4313" spans="2:10" ht="19.95" customHeight="1" x14ac:dyDescent="0.3">
      <c r="B4313" s="4" t="str" cm="1">
        <f t="array" ref="B4313">IFERROR(INDEX(EmployeeData[Employee ID], ROW() - 37), "")</f>
        <v/>
      </c>
      <c r="C4313" s="4" t="str" cm="1">
        <f t="array" ref="C4313">IFERROR(INDEX(EmployeeData[Full Name], ROW() - 37), "")</f>
        <v/>
      </c>
      <c r="D4313" s="4" t="str" cm="1">
        <f t="array" ref="D4313">IFERROR(INDEX(EmployeeData[Department], ROW() - 37), "")</f>
        <v/>
      </c>
      <c r="E4313" s="4" t="str" cm="1">
        <f t="array" ref="E4313">IFERROR(INDEX(EmployeeData[Gender], ROW() - 37), "")</f>
        <v/>
      </c>
      <c r="F4313" s="4" t="str" cm="1">
        <f t="array" ref="F4313">IFERROR(INDEX(EmployeeData[Age], ROW() - 37), "")</f>
        <v/>
      </c>
      <c r="G4313" s="6" t="str" cm="1">
        <f t="array" ref="G4313">IFERROR(INDEX(EmployeeData[Join Date], ROW() - 37), "")</f>
        <v/>
      </c>
      <c r="H4313" s="6" t="str" cm="1">
        <f t="array" ref="H4313">IFERROR(IF(INDEX(EmployeeData[Exit Date], ROW() - 37)=0, "",INDEX(EmployeeData[Exit Date], ROW() - 37)),"")</f>
        <v/>
      </c>
      <c r="I4313" s="4" t="str" cm="1">
        <f t="array" ref="I4313">IFERROR(IF(INDEX(EmployeeData[Exit Reason], ROW() - 37)=0, "",INDEX(EmployeeData[Exit Reason], ROW() - 37)),"")</f>
        <v/>
      </c>
      <c r="J4313" s="4" t="str" cm="1">
        <f t="array" ref="J4313">IFERROR(INDEX(EmployeeData[Status], ROW() - 37), "")</f>
        <v/>
      </c>
    </row>
    <row r="4314" spans="2:10" ht="19.95" customHeight="1" x14ac:dyDescent="0.3">
      <c r="B4314" s="4" t="str" cm="1">
        <f t="array" ref="B4314">IFERROR(INDEX(EmployeeData[Employee ID], ROW() - 37), "")</f>
        <v/>
      </c>
      <c r="C4314" s="4" t="str" cm="1">
        <f t="array" ref="C4314">IFERROR(INDEX(EmployeeData[Full Name], ROW() - 37), "")</f>
        <v/>
      </c>
      <c r="D4314" s="4" t="str" cm="1">
        <f t="array" ref="D4314">IFERROR(INDEX(EmployeeData[Department], ROW() - 37), "")</f>
        <v/>
      </c>
      <c r="E4314" s="4" t="str" cm="1">
        <f t="array" ref="E4314">IFERROR(INDEX(EmployeeData[Gender], ROW() - 37), "")</f>
        <v/>
      </c>
      <c r="F4314" s="4" t="str" cm="1">
        <f t="array" ref="F4314">IFERROR(INDEX(EmployeeData[Age], ROW() - 37), "")</f>
        <v/>
      </c>
      <c r="G4314" s="6" t="str" cm="1">
        <f t="array" ref="G4314">IFERROR(INDEX(EmployeeData[Join Date], ROW() - 37), "")</f>
        <v/>
      </c>
      <c r="H4314" s="6" t="str" cm="1">
        <f t="array" ref="H4314">IFERROR(IF(INDEX(EmployeeData[Exit Date], ROW() - 37)=0, "",INDEX(EmployeeData[Exit Date], ROW() - 37)),"")</f>
        <v/>
      </c>
      <c r="I4314" s="4" t="str" cm="1">
        <f t="array" ref="I4314">IFERROR(IF(INDEX(EmployeeData[Exit Reason], ROW() - 37)=0, "",INDEX(EmployeeData[Exit Reason], ROW() - 37)),"")</f>
        <v/>
      </c>
      <c r="J4314" s="4" t="str" cm="1">
        <f t="array" ref="J4314">IFERROR(INDEX(EmployeeData[Status], ROW() - 37), "")</f>
        <v/>
      </c>
    </row>
    <row r="4315" spans="2:10" ht="19.95" customHeight="1" x14ac:dyDescent="0.3">
      <c r="B4315" s="4" t="str" cm="1">
        <f t="array" ref="B4315">IFERROR(INDEX(EmployeeData[Employee ID], ROW() - 37), "")</f>
        <v/>
      </c>
      <c r="C4315" s="4" t="str" cm="1">
        <f t="array" ref="C4315">IFERROR(INDEX(EmployeeData[Full Name], ROW() - 37), "")</f>
        <v/>
      </c>
      <c r="D4315" s="4" t="str" cm="1">
        <f t="array" ref="D4315">IFERROR(INDEX(EmployeeData[Department], ROW() - 37), "")</f>
        <v/>
      </c>
      <c r="E4315" s="4" t="str" cm="1">
        <f t="array" ref="E4315">IFERROR(INDEX(EmployeeData[Gender], ROW() - 37), "")</f>
        <v/>
      </c>
      <c r="F4315" s="4" t="str" cm="1">
        <f t="array" ref="F4315">IFERROR(INDEX(EmployeeData[Age], ROW() - 37), "")</f>
        <v/>
      </c>
      <c r="G4315" s="6" t="str" cm="1">
        <f t="array" ref="G4315">IFERROR(INDEX(EmployeeData[Join Date], ROW() - 37), "")</f>
        <v/>
      </c>
      <c r="H4315" s="6" t="str" cm="1">
        <f t="array" ref="H4315">IFERROR(IF(INDEX(EmployeeData[Exit Date], ROW() - 37)=0, "",INDEX(EmployeeData[Exit Date], ROW() - 37)),"")</f>
        <v/>
      </c>
      <c r="I4315" s="4" t="str" cm="1">
        <f t="array" ref="I4315">IFERROR(IF(INDEX(EmployeeData[Exit Reason], ROW() - 37)=0, "",INDEX(EmployeeData[Exit Reason], ROW() - 37)),"")</f>
        <v/>
      </c>
      <c r="J4315" s="4" t="str" cm="1">
        <f t="array" ref="J4315">IFERROR(INDEX(EmployeeData[Status], ROW() - 37), "")</f>
        <v/>
      </c>
    </row>
    <row r="4316" spans="2:10" ht="19.95" customHeight="1" x14ac:dyDescent="0.3">
      <c r="B4316" s="4" t="str" cm="1">
        <f t="array" ref="B4316">IFERROR(INDEX(EmployeeData[Employee ID], ROW() - 37), "")</f>
        <v/>
      </c>
      <c r="C4316" s="4" t="str" cm="1">
        <f t="array" ref="C4316">IFERROR(INDEX(EmployeeData[Full Name], ROW() - 37), "")</f>
        <v/>
      </c>
      <c r="D4316" s="4" t="str" cm="1">
        <f t="array" ref="D4316">IFERROR(INDEX(EmployeeData[Department], ROW() - 37), "")</f>
        <v/>
      </c>
      <c r="E4316" s="4" t="str" cm="1">
        <f t="array" ref="E4316">IFERROR(INDEX(EmployeeData[Gender], ROW() - 37), "")</f>
        <v/>
      </c>
      <c r="F4316" s="4" t="str" cm="1">
        <f t="array" ref="F4316">IFERROR(INDEX(EmployeeData[Age], ROW() - 37), "")</f>
        <v/>
      </c>
      <c r="G4316" s="6" t="str" cm="1">
        <f t="array" ref="G4316">IFERROR(INDEX(EmployeeData[Join Date], ROW() - 37), "")</f>
        <v/>
      </c>
      <c r="H4316" s="6" t="str" cm="1">
        <f t="array" ref="H4316">IFERROR(IF(INDEX(EmployeeData[Exit Date], ROW() - 37)=0, "",INDEX(EmployeeData[Exit Date], ROW() - 37)),"")</f>
        <v/>
      </c>
      <c r="I4316" s="4" t="str" cm="1">
        <f t="array" ref="I4316">IFERROR(IF(INDEX(EmployeeData[Exit Reason], ROW() - 37)=0, "",INDEX(EmployeeData[Exit Reason], ROW() - 37)),"")</f>
        <v/>
      </c>
      <c r="J4316" s="4" t="str" cm="1">
        <f t="array" ref="J4316">IFERROR(INDEX(EmployeeData[Status], ROW() - 37), "")</f>
        <v/>
      </c>
    </row>
    <row r="4317" spans="2:10" ht="19.95" customHeight="1" x14ac:dyDescent="0.3">
      <c r="B4317" s="4" t="str" cm="1">
        <f t="array" ref="B4317">IFERROR(INDEX(EmployeeData[Employee ID], ROW() - 37), "")</f>
        <v/>
      </c>
      <c r="C4317" s="4" t="str" cm="1">
        <f t="array" ref="C4317">IFERROR(INDEX(EmployeeData[Full Name], ROW() - 37), "")</f>
        <v/>
      </c>
      <c r="D4317" s="4" t="str" cm="1">
        <f t="array" ref="D4317">IFERROR(INDEX(EmployeeData[Department], ROW() - 37), "")</f>
        <v/>
      </c>
      <c r="E4317" s="4" t="str" cm="1">
        <f t="array" ref="E4317">IFERROR(INDEX(EmployeeData[Gender], ROW() - 37), "")</f>
        <v/>
      </c>
      <c r="F4317" s="4" t="str" cm="1">
        <f t="array" ref="F4317">IFERROR(INDEX(EmployeeData[Age], ROW() - 37), "")</f>
        <v/>
      </c>
      <c r="G4317" s="6" t="str" cm="1">
        <f t="array" ref="G4317">IFERROR(INDEX(EmployeeData[Join Date], ROW() - 37), "")</f>
        <v/>
      </c>
      <c r="H4317" s="6" t="str" cm="1">
        <f t="array" ref="H4317">IFERROR(IF(INDEX(EmployeeData[Exit Date], ROW() - 37)=0, "",INDEX(EmployeeData[Exit Date], ROW() - 37)),"")</f>
        <v/>
      </c>
      <c r="I4317" s="4" t="str" cm="1">
        <f t="array" ref="I4317">IFERROR(IF(INDEX(EmployeeData[Exit Reason], ROW() - 37)=0, "",INDEX(EmployeeData[Exit Reason], ROW() - 37)),"")</f>
        <v/>
      </c>
      <c r="J4317" s="4" t="str" cm="1">
        <f t="array" ref="J4317">IFERROR(INDEX(EmployeeData[Status], ROW() - 37), "")</f>
        <v/>
      </c>
    </row>
    <row r="4318" spans="2:10" ht="19.95" customHeight="1" x14ac:dyDescent="0.3">
      <c r="B4318" s="4" t="str" cm="1">
        <f t="array" ref="B4318">IFERROR(INDEX(EmployeeData[Employee ID], ROW() - 37), "")</f>
        <v/>
      </c>
      <c r="C4318" s="4" t="str" cm="1">
        <f t="array" ref="C4318">IFERROR(INDEX(EmployeeData[Full Name], ROW() - 37), "")</f>
        <v/>
      </c>
      <c r="D4318" s="4" t="str" cm="1">
        <f t="array" ref="D4318">IFERROR(INDEX(EmployeeData[Department], ROW() - 37), "")</f>
        <v/>
      </c>
      <c r="E4318" s="4" t="str" cm="1">
        <f t="array" ref="E4318">IFERROR(INDEX(EmployeeData[Gender], ROW() - 37), "")</f>
        <v/>
      </c>
      <c r="F4318" s="4" t="str" cm="1">
        <f t="array" ref="F4318">IFERROR(INDEX(EmployeeData[Age], ROW() - 37), "")</f>
        <v/>
      </c>
      <c r="G4318" s="6" t="str" cm="1">
        <f t="array" ref="G4318">IFERROR(INDEX(EmployeeData[Join Date], ROW() - 37), "")</f>
        <v/>
      </c>
      <c r="H4318" s="6" t="str" cm="1">
        <f t="array" ref="H4318">IFERROR(IF(INDEX(EmployeeData[Exit Date], ROW() - 37)=0, "",INDEX(EmployeeData[Exit Date], ROW() - 37)),"")</f>
        <v/>
      </c>
      <c r="I4318" s="4" t="str" cm="1">
        <f t="array" ref="I4318">IFERROR(IF(INDEX(EmployeeData[Exit Reason], ROW() - 37)=0, "",INDEX(EmployeeData[Exit Reason], ROW() - 37)),"")</f>
        <v/>
      </c>
      <c r="J4318" s="4" t="str" cm="1">
        <f t="array" ref="J4318">IFERROR(INDEX(EmployeeData[Status], ROW() - 37), "")</f>
        <v/>
      </c>
    </row>
    <row r="4319" spans="2:10" ht="19.95" customHeight="1" x14ac:dyDescent="0.3">
      <c r="B4319" s="4" t="str" cm="1">
        <f t="array" ref="B4319">IFERROR(INDEX(EmployeeData[Employee ID], ROW() - 37), "")</f>
        <v/>
      </c>
      <c r="C4319" s="4" t="str" cm="1">
        <f t="array" ref="C4319">IFERROR(INDEX(EmployeeData[Full Name], ROW() - 37), "")</f>
        <v/>
      </c>
      <c r="D4319" s="4" t="str" cm="1">
        <f t="array" ref="D4319">IFERROR(INDEX(EmployeeData[Department], ROW() - 37), "")</f>
        <v/>
      </c>
      <c r="E4319" s="4" t="str" cm="1">
        <f t="array" ref="E4319">IFERROR(INDEX(EmployeeData[Gender], ROW() - 37), "")</f>
        <v/>
      </c>
      <c r="F4319" s="4" t="str" cm="1">
        <f t="array" ref="F4319">IFERROR(INDEX(EmployeeData[Age], ROW() - 37), "")</f>
        <v/>
      </c>
      <c r="G4319" s="6" t="str" cm="1">
        <f t="array" ref="G4319">IFERROR(INDEX(EmployeeData[Join Date], ROW() - 37), "")</f>
        <v/>
      </c>
      <c r="H4319" s="6" t="str" cm="1">
        <f t="array" ref="H4319">IFERROR(IF(INDEX(EmployeeData[Exit Date], ROW() - 37)=0, "",INDEX(EmployeeData[Exit Date], ROW() - 37)),"")</f>
        <v/>
      </c>
      <c r="I4319" s="4" t="str" cm="1">
        <f t="array" ref="I4319">IFERROR(IF(INDEX(EmployeeData[Exit Reason], ROW() - 37)=0, "",INDEX(EmployeeData[Exit Reason], ROW() - 37)),"")</f>
        <v/>
      </c>
      <c r="J4319" s="4" t="str" cm="1">
        <f t="array" ref="J4319">IFERROR(INDEX(EmployeeData[Status], ROW() - 37), "")</f>
        <v/>
      </c>
    </row>
    <row r="4320" spans="2:10" ht="19.95" customHeight="1" x14ac:dyDescent="0.3">
      <c r="B4320" s="4" t="str" cm="1">
        <f t="array" ref="B4320">IFERROR(INDEX(EmployeeData[Employee ID], ROW() - 37), "")</f>
        <v/>
      </c>
      <c r="C4320" s="4" t="str" cm="1">
        <f t="array" ref="C4320">IFERROR(INDEX(EmployeeData[Full Name], ROW() - 37), "")</f>
        <v/>
      </c>
      <c r="D4320" s="4" t="str" cm="1">
        <f t="array" ref="D4320">IFERROR(INDEX(EmployeeData[Department], ROW() - 37), "")</f>
        <v/>
      </c>
      <c r="E4320" s="4" t="str" cm="1">
        <f t="array" ref="E4320">IFERROR(INDEX(EmployeeData[Gender], ROW() - 37), "")</f>
        <v/>
      </c>
      <c r="F4320" s="4" t="str" cm="1">
        <f t="array" ref="F4320">IFERROR(INDEX(EmployeeData[Age], ROW() - 37), "")</f>
        <v/>
      </c>
      <c r="G4320" s="6" t="str" cm="1">
        <f t="array" ref="G4320">IFERROR(INDEX(EmployeeData[Join Date], ROW() - 37), "")</f>
        <v/>
      </c>
      <c r="H4320" s="6" t="str" cm="1">
        <f t="array" ref="H4320">IFERROR(IF(INDEX(EmployeeData[Exit Date], ROW() - 37)=0, "",INDEX(EmployeeData[Exit Date], ROW() - 37)),"")</f>
        <v/>
      </c>
      <c r="I4320" s="4" t="str" cm="1">
        <f t="array" ref="I4320">IFERROR(IF(INDEX(EmployeeData[Exit Reason], ROW() - 37)=0, "",INDEX(EmployeeData[Exit Reason], ROW() - 37)),"")</f>
        <v/>
      </c>
      <c r="J4320" s="4" t="str" cm="1">
        <f t="array" ref="J4320">IFERROR(INDEX(EmployeeData[Status], ROW() - 37), "")</f>
        <v/>
      </c>
    </row>
    <row r="4321" spans="2:10" ht="19.95" customHeight="1" x14ac:dyDescent="0.3">
      <c r="B4321" s="4" t="str" cm="1">
        <f t="array" ref="B4321">IFERROR(INDEX(EmployeeData[Employee ID], ROW() - 37), "")</f>
        <v/>
      </c>
      <c r="C4321" s="4" t="str" cm="1">
        <f t="array" ref="C4321">IFERROR(INDEX(EmployeeData[Full Name], ROW() - 37), "")</f>
        <v/>
      </c>
      <c r="D4321" s="4" t="str" cm="1">
        <f t="array" ref="D4321">IFERROR(INDEX(EmployeeData[Department], ROW() - 37), "")</f>
        <v/>
      </c>
      <c r="E4321" s="4" t="str" cm="1">
        <f t="array" ref="E4321">IFERROR(INDEX(EmployeeData[Gender], ROW() - 37), "")</f>
        <v/>
      </c>
      <c r="F4321" s="4" t="str" cm="1">
        <f t="array" ref="F4321">IFERROR(INDEX(EmployeeData[Age], ROW() - 37), "")</f>
        <v/>
      </c>
      <c r="G4321" s="6" t="str" cm="1">
        <f t="array" ref="G4321">IFERROR(INDEX(EmployeeData[Join Date], ROW() - 37), "")</f>
        <v/>
      </c>
      <c r="H4321" s="6" t="str" cm="1">
        <f t="array" ref="H4321">IFERROR(IF(INDEX(EmployeeData[Exit Date], ROW() - 37)=0, "",INDEX(EmployeeData[Exit Date], ROW() - 37)),"")</f>
        <v/>
      </c>
      <c r="I4321" s="4" t="str" cm="1">
        <f t="array" ref="I4321">IFERROR(IF(INDEX(EmployeeData[Exit Reason], ROW() - 37)=0, "",INDEX(EmployeeData[Exit Reason], ROW() - 37)),"")</f>
        <v/>
      </c>
      <c r="J4321" s="4" t="str" cm="1">
        <f t="array" ref="J4321">IFERROR(INDEX(EmployeeData[Status], ROW() - 37), "")</f>
        <v/>
      </c>
    </row>
    <row r="4322" spans="2:10" ht="19.95" customHeight="1" x14ac:dyDescent="0.3">
      <c r="B4322" s="4" t="str" cm="1">
        <f t="array" ref="B4322">IFERROR(INDEX(EmployeeData[Employee ID], ROW() - 37), "")</f>
        <v/>
      </c>
      <c r="C4322" s="4" t="str" cm="1">
        <f t="array" ref="C4322">IFERROR(INDEX(EmployeeData[Full Name], ROW() - 37), "")</f>
        <v/>
      </c>
      <c r="D4322" s="4" t="str" cm="1">
        <f t="array" ref="D4322">IFERROR(INDEX(EmployeeData[Department], ROW() - 37), "")</f>
        <v/>
      </c>
      <c r="E4322" s="4" t="str" cm="1">
        <f t="array" ref="E4322">IFERROR(INDEX(EmployeeData[Gender], ROW() - 37), "")</f>
        <v/>
      </c>
      <c r="F4322" s="4" t="str" cm="1">
        <f t="array" ref="F4322">IFERROR(INDEX(EmployeeData[Age], ROW() - 37), "")</f>
        <v/>
      </c>
      <c r="G4322" s="6" t="str" cm="1">
        <f t="array" ref="G4322">IFERROR(INDEX(EmployeeData[Join Date], ROW() - 37), "")</f>
        <v/>
      </c>
      <c r="H4322" s="6" t="str" cm="1">
        <f t="array" ref="H4322">IFERROR(IF(INDEX(EmployeeData[Exit Date], ROW() - 37)=0, "",INDEX(EmployeeData[Exit Date], ROW() - 37)),"")</f>
        <v/>
      </c>
      <c r="I4322" s="4" t="str" cm="1">
        <f t="array" ref="I4322">IFERROR(IF(INDEX(EmployeeData[Exit Reason], ROW() - 37)=0, "",INDEX(EmployeeData[Exit Reason], ROW() - 37)),"")</f>
        <v/>
      </c>
      <c r="J4322" s="4" t="str" cm="1">
        <f t="array" ref="J4322">IFERROR(INDEX(EmployeeData[Status], ROW() - 37), "")</f>
        <v/>
      </c>
    </row>
    <row r="4323" spans="2:10" ht="19.95" customHeight="1" x14ac:dyDescent="0.3">
      <c r="B4323" s="4" t="str" cm="1">
        <f t="array" ref="B4323">IFERROR(INDEX(EmployeeData[Employee ID], ROW() - 37), "")</f>
        <v/>
      </c>
      <c r="C4323" s="4" t="str" cm="1">
        <f t="array" ref="C4323">IFERROR(INDEX(EmployeeData[Full Name], ROW() - 37), "")</f>
        <v/>
      </c>
      <c r="D4323" s="4" t="str" cm="1">
        <f t="array" ref="D4323">IFERROR(INDEX(EmployeeData[Department], ROW() - 37), "")</f>
        <v/>
      </c>
      <c r="E4323" s="4" t="str" cm="1">
        <f t="array" ref="E4323">IFERROR(INDEX(EmployeeData[Gender], ROW() - 37), "")</f>
        <v/>
      </c>
      <c r="F4323" s="4" t="str" cm="1">
        <f t="array" ref="F4323">IFERROR(INDEX(EmployeeData[Age], ROW() - 37), "")</f>
        <v/>
      </c>
      <c r="G4323" s="6" t="str" cm="1">
        <f t="array" ref="G4323">IFERROR(INDEX(EmployeeData[Join Date], ROW() - 37), "")</f>
        <v/>
      </c>
      <c r="H4323" s="6" t="str" cm="1">
        <f t="array" ref="H4323">IFERROR(IF(INDEX(EmployeeData[Exit Date], ROW() - 37)=0, "",INDEX(EmployeeData[Exit Date], ROW() - 37)),"")</f>
        <v/>
      </c>
      <c r="I4323" s="4" t="str" cm="1">
        <f t="array" ref="I4323">IFERROR(IF(INDEX(EmployeeData[Exit Reason], ROW() - 37)=0, "",INDEX(EmployeeData[Exit Reason], ROW() - 37)),"")</f>
        <v/>
      </c>
      <c r="J4323" s="4" t="str" cm="1">
        <f t="array" ref="J4323">IFERROR(INDEX(EmployeeData[Status], ROW() - 37), "")</f>
        <v/>
      </c>
    </row>
    <row r="4324" spans="2:10" ht="19.95" customHeight="1" x14ac:dyDescent="0.3">
      <c r="B4324" s="4" t="str" cm="1">
        <f t="array" ref="B4324">IFERROR(INDEX(EmployeeData[Employee ID], ROW() - 37), "")</f>
        <v/>
      </c>
      <c r="C4324" s="4" t="str" cm="1">
        <f t="array" ref="C4324">IFERROR(INDEX(EmployeeData[Full Name], ROW() - 37), "")</f>
        <v/>
      </c>
      <c r="D4324" s="4" t="str" cm="1">
        <f t="array" ref="D4324">IFERROR(INDEX(EmployeeData[Department], ROW() - 37), "")</f>
        <v/>
      </c>
      <c r="E4324" s="4" t="str" cm="1">
        <f t="array" ref="E4324">IFERROR(INDEX(EmployeeData[Gender], ROW() - 37), "")</f>
        <v/>
      </c>
      <c r="F4324" s="4" t="str" cm="1">
        <f t="array" ref="F4324">IFERROR(INDEX(EmployeeData[Age], ROW() - 37), "")</f>
        <v/>
      </c>
      <c r="G4324" s="6" t="str" cm="1">
        <f t="array" ref="G4324">IFERROR(INDEX(EmployeeData[Join Date], ROW() - 37), "")</f>
        <v/>
      </c>
      <c r="H4324" s="6" t="str" cm="1">
        <f t="array" ref="H4324">IFERROR(IF(INDEX(EmployeeData[Exit Date], ROW() - 37)=0, "",INDEX(EmployeeData[Exit Date], ROW() - 37)),"")</f>
        <v/>
      </c>
      <c r="I4324" s="4" t="str" cm="1">
        <f t="array" ref="I4324">IFERROR(IF(INDEX(EmployeeData[Exit Reason], ROW() - 37)=0, "",INDEX(EmployeeData[Exit Reason], ROW() - 37)),"")</f>
        <v/>
      </c>
      <c r="J4324" s="4" t="str" cm="1">
        <f t="array" ref="J4324">IFERROR(INDEX(EmployeeData[Status], ROW() - 37), "")</f>
        <v/>
      </c>
    </row>
    <row r="4325" spans="2:10" ht="19.95" customHeight="1" x14ac:dyDescent="0.3">
      <c r="B4325" s="4" t="str" cm="1">
        <f t="array" ref="B4325">IFERROR(INDEX(EmployeeData[Employee ID], ROW() - 37), "")</f>
        <v/>
      </c>
      <c r="C4325" s="4" t="str" cm="1">
        <f t="array" ref="C4325">IFERROR(INDEX(EmployeeData[Full Name], ROW() - 37), "")</f>
        <v/>
      </c>
      <c r="D4325" s="4" t="str" cm="1">
        <f t="array" ref="D4325">IFERROR(INDEX(EmployeeData[Department], ROW() - 37), "")</f>
        <v/>
      </c>
      <c r="E4325" s="4" t="str" cm="1">
        <f t="array" ref="E4325">IFERROR(INDEX(EmployeeData[Gender], ROW() - 37), "")</f>
        <v/>
      </c>
      <c r="F4325" s="4" t="str" cm="1">
        <f t="array" ref="F4325">IFERROR(INDEX(EmployeeData[Age], ROW() - 37), "")</f>
        <v/>
      </c>
      <c r="G4325" s="6" t="str" cm="1">
        <f t="array" ref="G4325">IFERROR(INDEX(EmployeeData[Join Date], ROW() - 37), "")</f>
        <v/>
      </c>
      <c r="H4325" s="6" t="str" cm="1">
        <f t="array" ref="H4325">IFERROR(IF(INDEX(EmployeeData[Exit Date], ROW() - 37)=0, "",INDEX(EmployeeData[Exit Date], ROW() - 37)),"")</f>
        <v/>
      </c>
      <c r="I4325" s="4" t="str" cm="1">
        <f t="array" ref="I4325">IFERROR(IF(INDEX(EmployeeData[Exit Reason], ROW() - 37)=0, "",INDEX(EmployeeData[Exit Reason], ROW() - 37)),"")</f>
        <v/>
      </c>
      <c r="J4325" s="4" t="str" cm="1">
        <f t="array" ref="J4325">IFERROR(INDEX(EmployeeData[Status], ROW() - 37), "")</f>
        <v/>
      </c>
    </row>
    <row r="4326" spans="2:10" ht="19.95" customHeight="1" x14ac:dyDescent="0.3">
      <c r="B4326" s="4" t="str" cm="1">
        <f t="array" ref="B4326">IFERROR(INDEX(EmployeeData[Employee ID], ROW() - 37), "")</f>
        <v/>
      </c>
      <c r="C4326" s="4" t="str" cm="1">
        <f t="array" ref="C4326">IFERROR(INDEX(EmployeeData[Full Name], ROW() - 37), "")</f>
        <v/>
      </c>
      <c r="D4326" s="4" t="str" cm="1">
        <f t="array" ref="D4326">IFERROR(INDEX(EmployeeData[Department], ROW() - 37), "")</f>
        <v/>
      </c>
      <c r="E4326" s="4" t="str" cm="1">
        <f t="array" ref="E4326">IFERROR(INDEX(EmployeeData[Gender], ROW() - 37), "")</f>
        <v/>
      </c>
      <c r="F4326" s="4" t="str" cm="1">
        <f t="array" ref="F4326">IFERROR(INDEX(EmployeeData[Age], ROW() - 37), "")</f>
        <v/>
      </c>
      <c r="G4326" s="6" t="str" cm="1">
        <f t="array" ref="G4326">IFERROR(INDEX(EmployeeData[Join Date], ROW() - 37), "")</f>
        <v/>
      </c>
      <c r="H4326" s="6" t="str" cm="1">
        <f t="array" ref="H4326">IFERROR(IF(INDEX(EmployeeData[Exit Date], ROW() - 37)=0, "",INDEX(EmployeeData[Exit Date], ROW() - 37)),"")</f>
        <v/>
      </c>
      <c r="I4326" s="4" t="str" cm="1">
        <f t="array" ref="I4326">IFERROR(IF(INDEX(EmployeeData[Exit Reason], ROW() - 37)=0, "",INDEX(EmployeeData[Exit Reason], ROW() - 37)),"")</f>
        <v/>
      </c>
      <c r="J4326" s="4" t="str" cm="1">
        <f t="array" ref="J4326">IFERROR(INDEX(EmployeeData[Status], ROW() - 37), "")</f>
        <v/>
      </c>
    </row>
    <row r="4327" spans="2:10" ht="19.95" customHeight="1" x14ac:dyDescent="0.3">
      <c r="B4327" s="4" t="str" cm="1">
        <f t="array" ref="B4327">IFERROR(INDEX(EmployeeData[Employee ID], ROW() - 37), "")</f>
        <v/>
      </c>
      <c r="C4327" s="4" t="str" cm="1">
        <f t="array" ref="C4327">IFERROR(INDEX(EmployeeData[Full Name], ROW() - 37), "")</f>
        <v/>
      </c>
      <c r="D4327" s="4" t="str" cm="1">
        <f t="array" ref="D4327">IFERROR(INDEX(EmployeeData[Department], ROW() - 37), "")</f>
        <v/>
      </c>
      <c r="E4327" s="4" t="str" cm="1">
        <f t="array" ref="E4327">IFERROR(INDEX(EmployeeData[Gender], ROW() - 37), "")</f>
        <v/>
      </c>
      <c r="F4327" s="4" t="str" cm="1">
        <f t="array" ref="F4327">IFERROR(INDEX(EmployeeData[Age], ROW() - 37), "")</f>
        <v/>
      </c>
      <c r="G4327" s="6" t="str" cm="1">
        <f t="array" ref="G4327">IFERROR(INDEX(EmployeeData[Join Date], ROW() - 37), "")</f>
        <v/>
      </c>
      <c r="H4327" s="6" t="str" cm="1">
        <f t="array" ref="H4327">IFERROR(IF(INDEX(EmployeeData[Exit Date], ROW() - 37)=0, "",INDEX(EmployeeData[Exit Date], ROW() - 37)),"")</f>
        <v/>
      </c>
      <c r="I4327" s="4" t="str" cm="1">
        <f t="array" ref="I4327">IFERROR(IF(INDEX(EmployeeData[Exit Reason], ROW() - 37)=0, "",INDEX(EmployeeData[Exit Reason], ROW() - 37)),"")</f>
        <v/>
      </c>
      <c r="J4327" s="4" t="str" cm="1">
        <f t="array" ref="J4327">IFERROR(INDEX(EmployeeData[Status], ROW() - 37), "")</f>
        <v/>
      </c>
    </row>
    <row r="4328" spans="2:10" ht="19.95" customHeight="1" x14ac:dyDescent="0.3">
      <c r="B4328" s="4" t="str" cm="1">
        <f t="array" ref="B4328">IFERROR(INDEX(EmployeeData[Employee ID], ROW() - 37), "")</f>
        <v/>
      </c>
      <c r="C4328" s="4" t="str" cm="1">
        <f t="array" ref="C4328">IFERROR(INDEX(EmployeeData[Full Name], ROW() - 37), "")</f>
        <v/>
      </c>
      <c r="D4328" s="4" t="str" cm="1">
        <f t="array" ref="D4328">IFERROR(INDEX(EmployeeData[Department], ROW() - 37), "")</f>
        <v/>
      </c>
      <c r="E4328" s="4" t="str" cm="1">
        <f t="array" ref="E4328">IFERROR(INDEX(EmployeeData[Gender], ROW() - 37), "")</f>
        <v/>
      </c>
      <c r="F4328" s="4" t="str" cm="1">
        <f t="array" ref="F4328">IFERROR(INDEX(EmployeeData[Age], ROW() - 37), "")</f>
        <v/>
      </c>
      <c r="G4328" s="6" t="str" cm="1">
        <f t="array" ref="G4328">IFERROR(INDEX(EmployeeData[Join Date], ROW() - 37), "")</f>
        <v/>
      </c>
      <c r="H4328" s="6" t="str" cm="1">
        <f t="array" ref="H4328">IFERROR(IF(INDEX(EmployeeData[Exit Date], ROW() - 37)=0, "",INDEX(EmployeeData[Exit Date], ROW() - 37)),"")</f>
        <v/>
      </c>
      <c r="I4328" s="4" t="str" cm="1">
        <f t="array" ref="I4328">IFERROR(IF(INDEX(EmployeeData[Exit Reason], ROW() - 37)=0, "",INDEX(EmployeeData[Exit Reason], ROW() - 37)),"")</f>
        <v/>
      </c>
      <c r="J4328" s="4" t="str" cm="1">
        <f t="array" ref="J4328">IFERROR(INDEX(EmployeeData[Status], ROW() - 37), "")</f>
        <v/>
      </c>
    </row>
    <row r="4329" spans="2:10" ht="19.95" customHeight="1" x14ac:dyDescent="0.3">
      <c r="B4329" s="4" t="str" cm="1">
        <f t="array" ref="B4329">IFERROR(INDEX(EmployeeData[Employee ID], ROW() - 37), "")</f>
        <v/>
      </c>
      <c r="C4329" s="4" t="str" cm="1">
        <f t="array" ref="C4329">IFERROR(INDEX(EmployeeData[Full Name], ROW() - 37), "")</f>
        <v/>
      </c>
      <c r="D4329" s="4" t="str" cm="1">
        <f t="array" ref="D4329">IFERROR(INDEX(EmployeeData[Department], ROW() - 37), "")</f>
        <v/>
      </c>
      <c r="E4329" s="4" t="str" cm="1">
        <f t="array" ref="E4329">IFERROR(INDEX(EmployeeData[Gender], ROW() - 37), "")</f>
        <v/>
      </c>
      <c r="F4329" s="4" t="str" cm="1">
        <f t="array" ref="F4329">IFERROR(INDEX(EmployeeData[Age], ROW() - 37), "")</f>
        <v/>
      </c>
      <c r="G4329" s="6" t="str" cm="1">
        <f t="array" ref="G4329">IFERROR(INDEX(EmployeeData[Join Date], ROW() - 37), "")</f>
        <v/>
      </c>
      <c r="H4329" s="6" t="str" cm="1">
        <f t="array" ref="H4329">IFERROR(IF(INDEX(EmployeeData[Exit Date], ROW() - 37)=0, "",INDEX(EmployeeData[Exit Date], ROW() - 37)),"")</f>
        <v/>
      </c>
      <c r="I4329" s="4" t="str" cm="1">
        <f t="array" ref="I4329">IFERROR(IF(INDEX(EmployeeData[Exit Reason], ROW() - 37)=0, "",INDEX(EmployeeData[Exit Reason], ROW() - 37)),"")</f>
        <v/>
      </c>
      <c r="J4329" s="4" t="str" cm="1">
        <f t="array" ref="J4329">IFERROR(INDEX(EmployeeData[Status], ROW() - 37), "")</f>
        <v/>
      </c>
    </row>
    <row r="4330" spans="2:10" ht="19.95" customHeight="1" x14ac:dyDescent="0.3">
      <c r="B4330" s="4" t="str" cm="1">
        <f t="array" ref="B4330">IFERROR(INDEX(EmployeeData[Employee ID], ROW() - 37), "")</f>
        <v/>
      </c>
      <c r="C4330" s="4" t="str" cm="1">
        <f t="array" ref="C4330">IFERROR(INDEX(EmployeeData[Full Name], ROW() - 37), "")</f>
        <v/>
      </c>
      <c r="D4330" s="4" t="str" cm="1">
        <f t="array" ref="D4330">IFERROR(INDEX(EmployeeData[Department], ROW() - 37), "")</f>
        <v/>
      </c>
      <c r="E4330" s="4" t="str" cm="1">
        <f t="array" ref="E4330">IFERROR(INDEX(EmployeeData[Gender], ROW() - 37), "")</f>
        <v/>
      </c>
      <c r="F4330" s="4" t="str" cm="1">
        <f t="array" ref="F4330">IFERROR(INDEX(EmployeeData[Age], ROW() - 37), "")</f>
        <v/>
      </c>
      <c r="G4330" s="6" t="str" cm="1">
        <f t="array" ref="G4330">IFERROR(INDEX(EmployeeData[Join Date], ROW() - 37), "")</f>
        <v/>
      </c>
      <c r="H4330" s="6" t="str" cm="1">
        <f t="array" ref="H4330">IFERROR(IF(INDEX(EmployeeData[Exit Date], ROW() - 37)=0, "",INDEX(EmployeeData[Exit Date], ROW() - 37)),"")</f>
        <v/>
      </c>
      <c r="I4330" s="4" t="str" cm="1">
        <f t="array" ref="I4330">IFERROR(IF(INDEX(EmployeeData[Exit Reason], ROW() - 37)=0, "",INDEX(EmployeeData[Exit Reason], ROW() - 37)),"")</f>
        <v/>
      </c>
      <c r="J4330" s="4" t="str" cm="1">
        <f t="array" ref="J4330">IFERROR(INDEX(EmployeeData[Status], ROW() - 37), "")</f>
        <v/>
      </c>
    </row>
    <row r="4331" spans="2:10" ht="19.95" customHeight="1" x14ac:dyDescent="0.3">
      <c r="B4331" s="4" t="str" cm="1">
        <f t="array" ref="B4331">IFERROR(INDEX(EmployeeData[Employee ID], ROW() - 37), "")</f>
        <v/>
      </c>
      <c r="C4331" s="4" t="str" cm="1">
        <f t="array" ref="C4331">IFERROR(INDEX(EmployeeData[Full Name], ROW() - 37), "")</f>
        <v/>
      </c>
      <c r="D4331" s="4" t="str" cm="1">
        <f t="array" ref="D4331">IFERROR(INDEX(EmployeeData[Department], ROW() - 37), "")</f>
        <v/>
      </c>
      <c r="E4331" s="4" t="str" cm="1">
        <f t="array" ref="E4331">IFERROR(INDEX(EmployeeData[Gender], ROW() - 37), "")</f>
        <v/>
      </c>
      <c r="F4331" s="4" t="str" cm="1">
        <f t="array" ref="F4331">IFERROR(INDEX(EmployeeData[Age], ROW() - 37), "")</f>
        <v/>
      </c>
      <c r="G4331" s="6" t="str" cm="1">
        <f t="array" ref="G4331">IFERROR(INDEX(EmployeeData[Join Date], ROW() - 37), "")</f>
        <v/>
      </c>
      <c r="H4331" s="6" t="str" cm="1">
        <f t="array" ref="H4331">IFERROR(IF(INDEX(EmployeeData[Exit Date], ROW() - 37)=0, "",INDEX(EmployeeData[Exit Date], ROW() - 37)),"")</f>
        <v/>
      </c>
      <c r="I4331" s="4" t="str" cm="1">
        <f t="array" ref="I4331">IFERROR(IF(INDEX(EmployeeData[Exit Reason], ROW() - 37)=0, "",INDEX(EmployeeData[Exit Reason], ROW() - 37)),"")</f>
        <v/>
      </c>
      <c r="J4331" s="4" t="str" cm="1">
        <f t="array" ref="J4331">IFERROR(INDEX(EmployeeData[Status], ROW() - 37), "")</f>
        <v/>
      </c>
    </row>
    <row r="4332" spans="2:10" ht="19.95" customHeight="1" x14ac:dyDescent="0.3">
      <c r="B4332" s="4" t="str" cm="1">
        <f t="array" ref="B4332">IFERROR(INDEX(EmployeeData[Employee ID], ROW() - 37), "")</f>
        <v/>
      </c>
      <c r="C4332" s="4" t="str" cm="1">
        <f t="array" ref="C4332">IFERROR(INDEX(EmployeeData[Full Name], ROW() - 37), "")</f>
        <v/>
      </c>
      <c r="D4332" s="4" t="str" cm="1">
        <f t="array" ref="D4332">IFERROR(INDEX(EmployeeData[Department], ROW() - 37), "")</f>
        <v/>
      </c>
      <c r="E4332" s="4" t="str" cm="1">
        <f t="array" ref="E4332">IFERROR(INDEX(EmployeeData[Gender], ROW() - 37), "")</f>
        <v/>
      </c>
      <c r="F4332" s="4" t="str" cm="1">
        <f t="array" ref="F4332">IFERROR(INDEX(EmployeeData[Age], ROW() - 37), "")</f>
        <v/>
      </c>
      <c r="G4332" s="6" t="str" cm="1">
        <f t="array" ref="G4332">IFERROR(INDEX(EmployeeData[Join Date], ROW() - 37), "")</f>
        <v/>
      </c>
      <c r="H4332" s="6" t="str" cm="1">
        <f t="array" ref="H4332">IFERROR(IF(INDEX(EmployeeData[Exit Date], ROW() - 37)=0, "",INDEX(EmployeeData[Exit Date], ROW() - 37)),"")</f>
        <v/>
      </c>
      <c r="I4332" s="4" t="str" cm="1">
        <f t="array" ref="I4332">IFERROR(IF(INDEX(EmployeeData[Exit Reason], ROW() - 37)=0, "",INDEX(EmployeeData[Exit Reason], ROW() - 37)),"")</f>
        <v/>
      </c>
      <c r="J4332" s="4" t="str" cm="1">
        <f t="array" ref="J4332">IFERROR(INDEX(EmployeeData[Status], ROW() - 37), "")</f>
        <v/>
      </c>
    </row>
    <row r="4333" spans="2:10" ht="19.95" customHeight="1" x14ac:dyDescent="0.3">
      <c r="B4333" s="4" t="str" cm="1">
        <f t="array" ref="B4333">IFERROR(INDEX(EmployeeData[Employee ID], ROW() - 37), "")</f>
        <v/>
      </c>
      <c r="C4333" s="4" t="str" cm="1">
        <f t="array" ref="C4333">IFERROR(INDEX(EmployeeData[Full Name], ROW() - 37), "")</f>
        <v/>
      </c>
      <c r="D4333" s="4" t="str" cm="1">
        <f t="array" ref="D4333">IFERROR(INDEX(EmployeeData[Department], ROW() - 37), "")</f>
        <v/>
      </c>
      <c r="E4333" s="4" t="str" cm="1">
        <f t="array" ref="E4333">IFERROR(INDEX(EmployeeData[Gender], ROW() - 37), "")</f>
        <v/>
      </c>
      <c r="F4333" s="4" t="str" cm="1">
        <f t="array" ref="F4333">IFERROR(INDEX(EmployeeData[Age], ROW() - 37), "")</f>
        <v/>
      </c>
      <c r="G4333" s="6" t="str" cm="1">
        <f t="array" ref="G4333">IFERROR(INDEX(EmployeeData[Join Date], ROW() - 37), "")</f>
        <v/>
      </c>
      <c r="H4333" s="6" t="str" cm="1">
        <f t="array" ref="H4333">IFERROR(IF(INDEX(EmployeeData[Exit Date], ROW() - 37)=0, "",INDEX(EmployeeData[Exit Date], ROW() - 37)),"")</f>
        <v/>
      </c>
      <c r="I4333" s="4" t="str" cm="1">
        <f t="array" ref="I4333">IFERROR(IF(INDEX(EmployeeData[Exit Reason], ROW() - 37)=0, "",INDEX(EmployeeData[Exit Reason], ROW() - 37)),"")</f>
        <v/>
      </c>
      <c r="J4333" s="4" t="str" cm="1">
        <f t="array" ref="J4333">IFERROR(INDEX(EmployeeData[Status], ROW() - 37), "")</f>
        <v/>
      </c>
    </row>
    <row r="4334" spans="2:10" ht="19.95" customHeight="1" x14ac:dyDescent="0.3">
      <c r="B4334" s="4" t="str" cm="1">
        <f t="array" ref="B4334">IFERROR(INDEX(EmployeeData[Employee ID], ROW() - 37), "")</f>
        <v/>
      </c>
      <c r="C4334" s="4" t="str" cm="1">
        <f t="array" ref="C4334">IFERROR(INDEX(EmployeeData[Full Name], ROW() - 37), "")</f>
        <v/>
      </c>
      <c r="D4334" s="4" t="str" cm="1">
        <f t="array" ref="D4334">IFERROR(INDEX(EmployeeData[Department], ROW() - 37), "")</f>
        <v/>
      </c>
      <c r="E4334" s="4" t="str" cm="1">
        <f t="array" ref="E4334">IFERROR(INDEX(EmployeeData[Gender], ROW() - 37), "")</f>
        <v/>
      </c>
      <c r="F4334" s="4" t="str" cm="1">
        <f t="array" ref="F4334">IFERROR(INDEX(EmployeeData[Age], ROW() - 37), "")</f>
        <v/>
      </c>
      <c r="G4334" s="6" t="str" cm="1">
        <f t="array" ref="G4334">IFERROR(INDEX(EmployeeData[Join Date], ROW() - 37), "")</f>
        <v/>
      </c>
      <c r="H4334" s="6" t="str" cm="1">
        <f t="array" ref="H4334">IFERROR(IF(INDEX(EmployeeData[Exit Date], ROW() - 37)=0, "",INDEX(EmployeeData[Exit Date], ROW() - 37)),"")</f>
        <v/>
      </c>
      <c r="I4334" s="4" t="str" cm="1">
        <f t="array" ref="I4334">IFERROR(IF(INDEX(EmployeeData[Exit Reason], ROW() - 37)=0, "",INDEX(EmployeeData[Exit Reason], ROW() - 37)),"")</f>
        <v/>
      </c>
      <c r="J4334" s="4" t="str" cm="1">
        <f t="array" ref="J4334">IFERROR(INDEX(EmployeeData[Status], ROW() - 37), "")</f>
        <v/>
      </c>
    </row>
    <row r="4335" spans="2:10" ht="19.95" customHeight="1" x14ac:dyDescent="0.3">
      <c r="B4335" s="4" t="str" cm="1">
        <f t="array" ref="B4335">IFERROR(INDEX(EmployeeData[Employee ID], ROW() - 37), "")</f>
        <v/>
      </c>
      <c r="C4335" s="4" t="str" cm="1">
        <f t="array" ref="C4335">IFERROR(INDEX(EmployeeData[Full Name], ROW() - 37), "")</f>
        <v/>
      </c>
      <c r="D4335" s="4" t="str" cm="1">
        <f t="array" ref="D4335">IFERROR(INDEX(EmployeeData[Department], ROW() - 37), "")</f>
        <v/>
      </c>
      <c r="E4335" s="4" t="str" cm="1">
        <f t="array" ref="E4335">IFERROR(INDEX(EmployeeData[Gender], ROW() - 37), "")</f>
        <v/>
      </c>
      <c r="F4335" s="4" t="str" cm="1">
        <f t="array" ref="F4335">IFERROR(INDEX(EmployeeData[Age], ROW() - 37), "")</f>
        <v/>
      </c>
      <c r="G4335" s="6" t="str" cm="1">
        <f t="array" ref="G4335">IFERROR(INDEX(EmployeeData[Join Date], ROW() - 37), "")</f>
        <v/>
      </c>
      <c r="H4335" s="6" t="str" cm="1">
        <f t="array" ref="H4335">IFERROR(IF(INDEX(EmployeeData[Exit Date], ROW() - 37)=0, "",INDEX(EmployeeData[Exit Date], ROW() - 37)),"")</f>
        <v/>
      </c>
      <c r="I4335" s="4" t="str" cm="1">
        <f t="array" ref="I4335">IFERROR(IF(INDEX(EmployeeData[Exit Reason], ROW() - 37)=0, "",INDEX(EmployeeData[Exit Reason], ROW() - 37)),"")</f>
        <v/>
      </c>
      <c r="J4335" s="4" t="str" cm="1">
        <f t="array" ref="J4335">IFERROR(INDEX(EmployeeData[Status], ROW() - 37), "")</f>
        <v/>
      </c>
    </row>
    <row r="4336" spans="2:10" ht="19.95" customHeight="1" x14ac:dyDescent="0.3">
      <c r="B4336" s="4" t="str" cm="1">
        <f t="array" ref="B4336">IFERROR(INDEX(EmployeeData[Employee ID], ROW() - 37), "")</f>
        <v/>
      </c>
      <c r="C4336" s="4" t="str" cm="1">
        <f t="array" ref="C4336">IFERROR(INDEX(EmployeeData[Full Name], ROW() - 37), "")</f>
        <v/>
      </c>
      <c r="D4336" s="4" t="str" cm="1">
        <f t="array" ref="D4336">IFERROR(INDEX(EmployeeData[Department], ROW() - 37), "")</f>
        <v/>
      </c>
      <c r="E4336" s="4" t="str" cm="1">
        <f t="array" ref="E4336">IFERROR(INDEX(EmployeeData[Gender], ROW() - 37), "")</f>
        <v/>
      </c>
      <c r="F4336" s="4" t="str" cm="1">
        <f t="array" ref="F4336">IFERROR(INDEX(EmployeeData[Age], ROW() - 37), "")</f>
        <v/>
      </c>
      <c r="G4336" s="6" t="str" cm="1">
        <f t="array" ref="G4336">IFERROR(INDEX(EmployeeData[Join Date], ROW() - 37), "")</f>
        <v/>
      </c>
      <c r="H4336" s="6" t="str" cm="1">
        <f t="array" ref="H4336">IFERROR(IF(INDEX(EmployeeData[Exit Date], ROW() - 37)=0, "",INDEX(EmployeeData[Exit Date], ROW() - 37)),"")</f>
        <v/>
      </c>
      <c r="I4336" s="4" t="str" cm="1">
        <f t="array" ref="I4336">IFERROR(IF(INDEX(EmployeeData[Exit Reason], ROW() - 37)=0, "",INDEX(EmployeeData[Exit Reason], ROW() - 37)),"")</f>
        <v/>
      </c>
      <c r="J4336" s="4" t="str" cm="1">
        <f t="array" ref="J4336">IFERROR(INDEX(EmployeeData[Status], ROW() - 37), "")</f>
        <v/>
      </c>
    </row>
    <row r="4337" spans="2:10" ht="19.95" customHeight="1" x14ac:dyDescent="0.3">
      <c r="B4337" s="4" t="str" cm="1">
        <f t="array" ref="B4337">IFERROR(INDEX(EmployeeData[Employee ID], ROW() - 37), "")</f>
        <v/>
      </c>
      <c r="C4337" s="4" t="str" cm="1">
        <f t="array" ref="C4337">IFERROR(INDEX(EmployeeData[Full Name], ROW() - 37), "")</f>
        <v/>
      </c>
      <c r="D4337" s="4" t="str" cm="1">
        <f t="array" ref="D4337">IFERROR(INDEX(EmployeeData[Department], ROW() - 37), "")</f>
        <v/>
      </c>
      <c r="E4337" s="4" t="str" cm="1">
        <f t="array" ref="E4337">IFERROR(INDEX(EmployeeData[Gender], ROW() - 37), "")</f>
        <v/>
      </c>
      <c r="F4337" s="4" t="str" cm="1">
        <f t="array" ref="F4337">IFERROR(INDEX(EmployeeData[Age], ROW() - 37), "")</f>
        <v/>
      </c>
      <c r="G4337" s="6" t="str" cm="1">
        <f t="array" ref="G4337">IFERROR(INDEX(EmployeeData[Join Date], ROW() - 37), "")</f>
        <v/>
      </c>
      <c r="H4337" s="6" t="str" cm="1">
        <f t="array" ref="H4337">IFERROR(IF(INDEX(EmployeeData[Exit Date], ROW() - 37)=0, "",INDEX(EmployeeData[Exit Date], ROW() - 37)),"")</f>
        <v/>
      </c>
      <c r="I4337" s="4" t="str" cm="1">
        <f t="array" ref="I4337">IFERROR(IF(INDEX(EmployeeData[Exit Reason], ROW() - 37)=0, "",INDEX(EmployeeData[Exit Reason], ROW() - 37)),"")</f>
        <v/>
      </c>
      <c r="J4337" s="4" t="str" cm="1">
        <f t="array" ref="J4337">IFERROR(INDEX(EmployeeData[Status], ROW() - 37), "")</f>
        <v/>
      </c>
    </row>
    <row r="4338" spans="2:10" ht="19.95" customHeight="1" x14ac:dyDescent="0.3">
      <c r="B4338" s="4" t="str" cm="1">
        <f t="array" ref="B4338">IFERROR(INDEX(EmployeeData[Employee ID], ROW() - 37), "")</f>
        <v/>
      </c>
      <c r="C4338" s="4" t="str" cm="1">
        <f t="array" ref="C4338">IFERROR(INDEX(EmployeeData[Full Name], ROW() - 37), "")</f>
        <v/>
      </c>
      <c r="D4338" s="4" t="str" cm="1">
        <f t="array" ref="D4338">IFERROR(INDEX(EmployeeData[Department], ROW() - 37), "")</f>
        <v/>
      </c>
      <c r="E4338" s="4" t="str" cm="1">
        <f t="array" ref="E4338">IFERROR(INDEX(EmployeeData[Gender], ROW() - 37), "")</f>
        <v/>
      </c>
      <c r="F4338" s="4" t="str" cm="1">
        <f t="array" ref="F4338">IFERROR(INDEX(EmployeeData[Age], ROW() - 37), "")</f>
        <v/>
      </c>
      <c r="G4338" s="6" t="str" cm="1">
        <f t="array" ref="G4338">IFERROR(INDEX(EmployeeData[Join Date], ROW() - 37), "")</f>
        <v/>
      </c>
      <c r="H4338" s="6" t="str" cm="1">
        <f t="array" ref="H4338">IFERROR(IF(INDEX(EmployeeData[Exit Date], ROW() - 37)=0, "",INDEX(EmployeeData[Exit Date], ROW() - 37)),"")</f>
        <v/>
      </c>
      <c r="I4338" s="4" t="str" cm="1">
        <f t="array" ref="I4338">IFERROR(IF(INDEX(EmployeeData[Exit Reason], ROW() - 37)=0, "",INDEX(EmployeeData[Exit Reason], ROW() - 37)),"")</f>
        <v/>
      </c>
      <c r="J4338" s="4" t="str" cm="1">
        <f t="array" ref="J4338">IFERROR(INDEX(EmployeeData[Status], ROW() - 37), "")</f>
        <v/>
      </c>
    </row>
    <row r="4339" spans="2:10" ht="19.95" customHeight="1" x14ac:dyDescent="0.3">
      <c r="B4339" s="4" t="str" cm="1">
        <f t="array" ref="B4339">IFERROR(INDEX(EmployeeData[Employee ID], ROW() - 37), "")</f>
        <v/>
      </c>
      <c r="C4339" s="4" t="str" cm="1">
        <f t="array" ref="C4339">IFERROR(INDEX(EmployeeData[Full Name], ROW() - 37), "")</f>
        <v/>
      </c>
      <c r="D4339" s="4" t="str" cm="1">
        <f t="array" ref="D4339">IFERROR(INDEX(EmployeeData[Department], ROW() - 37), "")</f>
        <v/>
      </c>
      <c r="E4339" s="4" t="str" cm="1">
        <f t="array" ref="E4339">IFERROR(INDEX(EmployeeData[Gender], ROW() - 37), "")</f>
        <v/>
      </c>
      <c r="F4339" s="4" t="str" cm="1">
        <f t="array" ref="F4339">IFERROR(INDEX(EmployeeData[Age], ROW() - 37), "")</f>
        <v/>
      </c>
      <c r="G4339" s="6" t="str" cm="1">
        <f t="array" ref="G4339">IFERROR(INDEX(EmployeeData[Join Date], ROW() - 37), "")</f>
        <v/>
      </c>
      <c r="H4339" s="6" t="str" cm="1">
        <f t="array" ref="H4339">IFERROR(IF(INDEX(EmployeeData[Exit Date], ROW() - 37)=0, "",INDEX(EmployeeData[Exit Date], ROW() - 37)),"")</f>
        <v/>
      </c>
      <c r="I4339" s="4" t="str" cm="1">
        <f t="array" ref="I4339">IFERROR(IF(INDEX(EmployeeData[Exit Reason], ROW() - 37)=0, "",INDEX(EmployeeData[Exit Reason], ROW() - 37)),"")</f>
        <v/>
      </c>
      <c r="J4339" s="4" t="str" cm="1">
        <f t="array" ref="J4339">IFERROR(INDEX(EmployeeData[Status], ROW() - 37), "")</f>
        <v/>
      </c>
    </row>
    <row r="4340" spans="2:10" ht="19.95" customHeight="1" x14ac:dyDescent="0.3">
      <c r="B4340" s="4" t="str" cm="1">
        <f t="array" ref="B4340">IFERROR(INDEX(EmployeeData[Employee ID], ROW() - 37), "")</f>
        <v/>
      </c>
      <c r="C4340" s="4" t="str" cm="1">
        <f t="array" ref="C4340">IFERROR(INDEX(EmployeeData[Full Name], ROW() - 37), "")</f>
        <v/>
      </c>
      <c r="D4340" s="4" t="str" cm="1">
        <f t="array" ref="D4340">IFERROR(INDEX(EmployeeData[Department], ROW() - 37), "")</f>
        <v/>
      </c>
      <c r="E4340" s="4" t="str" cm="1">
        <f t="array" ref="E4340">IFERROR(INDEX(EmployeeData[Gender], ROW() - 37), "")</f>
        <v/>
      </c>
      <c r="F4340" s="4" t="str" cm="1">
        <f t="array" ref="F4340">IFERROR(INDEX(EmployeeData[Age], ROW() - 37), "")</f>
        <v/>
      </c>
      <c r="G4340" s="6" t="str" cm="1">
        <f t="array" ref="G4340">IFERROR(INDEX(EmployeeData[Join Date], ROW() - 37), "")</f>
        <v/>
      </c>
      <c r="H4340" s="6" t="str" cm="1">
        <f t="array" ref="H4340">IFERROR(IF(INDEX(EmployeeData[Exit Date], ROW() - 37)=0, "",INDEX(EmployeeData[Exit Date], ROW() - 37)),"")</f>
        <v/>
      </c>
      <c r="I4340" s="4" t="str" cm="1">
        <f t="array" ref="I4340">IFERROR(IF(INDEX(EmployeeData[Exit Reason], ROW() - 37)=0, "",INDEX(EmployeeData[Exit Reason], ROW() - 37)),"")</f>
        <v/>
      </c>
      <c r="J4340" s="4" t="str" cm="1">
        <f t="array" ref="J4340">IFERROR(INDEX(EmployeeData[Status], ROW() - 37), "")</f>
        <v/>
      </c>
    </row>
    <row r="4341" spans="2:10" ht="19.95" customHeight="1" x14ac:dyDescent="0.3">
      <c r="B4341" s="4" t="str" cm="1">
        <f t="array" ref="B4341">IFERROR(INDEX(EmployeeData[Employee ID], ROW() - 37), "")</f>
        <v/>
      </c>
      <c r="C4341" s="4" t="str" cm="1">
        <f t="array" ref="C4341">IFERROR(INDEX(EmployeeData[Full Name], ROW() - 37), "")</f>
        <v/>
      </c>
      <c r="D4341" s="4" t="str" cm="1">
        <f t="array" ref="D4341">IFERROR(INDEX(EmployeeData[Department], ROW() - 37), "")</f>
        <v/>
      </c>
      <c r="E4341" s="4" t="str" cm="1">
        <f t="array" ref="E4341">IFERROR(INDEX(EmployeeData[Gender], ROW() - 37), "")</f>
        <v/>
      </c>
      <c r="F4341" s="4" t="str" cm="1">
        <f t="array" ref="F4341">IFERROR(INDEX(EmployeeData[Age], ROW() - 37), "")</f>
        <v/>
      </c>
      <c r="G4341" s="6" t="str" cm="1">
        <f t="array" ref="G4341">IFERROR(INDEX(EmployeeData[Join Date], ROW() - 37), "")</f>
        <v/>
      </c>
      <c r="H4341" s="6" t="str" cm="1">
        <f t="array" ref="H4341">IFERROR(IF(INDEX(EmployeeData[Exit Date], ROW() - 37)=0, "",INDEX(EmployeeData[Exit Date], ROW() - 37)),"")</f>
        <v/>
      </c>
      <c r="I4341" s="4" t="str" cm="1">
        <f t="array" ref="I4341">IFERROR(IF(INDEX(EmployeeData[Exit Reason], ROW() - 37)=0, "",INDEX(EmployeeData[Exit Reason], ROW() - 37)),"")</f>
        <v/>
      </c>
      <c r="J4341" s="4" t="str" cm="1">
        <f t="array" ref="J4341">IFERROR(INDEX(EmployeeData[Status], ROW() - 37), "")</f>
        <v/>
      </c>
    </row>
    <row r="4342" spans="2:10" ht="19.95" customHeight="1" x14ac:dyDescent="0.3">
      <c r="B4342" s="4" t="str" cm="1">
        <f t="array" ref="B4342">IFERROR(INDEX(EmployeeData[Employee ID], ROW() - 37), "")</f>
        <v/>
      </c>
      <c r="C4342" s="4" t="str" cm="1">
        <f t="array" ref="C4342">IFERROR(INDEX(EmployeeData[Full Name], ROW() - 37), "")</f>
        <v/>
      </c>
      <c r="D4342" s="4" t="str" cm="1">
        <f t="array" ref="D4342">IFERROR(INDEX(EmployeeData[Department], ROW() - 37), "")</f>
        <v/>
      </c>
      <c r="E4342" s="4" t="str" cm="1">
        <f t="array" ref="E4342">IFERROR(INDEX(EmployeeData[Gender], ROW() - 37), "")</f>
        <v/>
      </c>
      <c r="F4342" s="4" t="str" cm="1">
        <f t="array" ref="F4342">IFERROR(INDEX(EmployeeData[Age], ROW() - 37), "")</f>
        <v/>
      </c>
      <c r="G4342" s="6" t="str" cm="1">
        <f t="array" ref="G4342">IFERROR(INDEX(EmployeeData[Join Date], ROW() - 37), "")</f>
        <v/>
      </c>
      <c r="H4342" s="6" t="str" cm="1">
        <f t="array" ref="H4342">IFERROR(IF(INDEX(EmployeeData[Exit Date], ROW() - 37)=0, "",INDEX(EmployeeData[Exit Date], ROW() - 37)),"")</f>
        <v/>
      </c>
      <c r="I4342" s="4" t="str" cm="1">
        <f t="array" ref="I4342">IFERROR(IF(INDEX(EmployeeData[Exit Reason], ROW() - 37)=0, "",INDEX(EmployeeData[Exit Reason], ROW() - 37)),"")</f>
        <v/>
      </c>
      <c r="J4342" s="4" t="str" cm="1">
        <f t="array" ref="J4342">IFERROR(INDEX(EmployeeData[Status], ROW() - 37), "")</f>
        <v/>
      </c>
    </row>
    <row r="4343" spans="2:10" ht="19.95" customHeight="1" x14ac:dyDescent="0.3">
      <c r="B4343" s="4" t="str" cm="1">
        <f t="array" ref="B4343">IFERROR(INDEX(EmployeeData[Employee ID], ROW() - 37), "")</f>
        <v/>
      </c>
      <c r="C4343" s="4" t="str" cm="1">
        <f t="array" ref="C4343">IFERROR(INDEX(EmployeeData[Full Name], ROW() - 37), "")</f>
        <v/>
      </c>
      <c r="D4343" s="4" t="str" cm="1">
        <f t="array" ref="D4343">IFERROR(INDEX(EmployeeData[Department], ROW() - 37), "")</f>
        <v/>
      </c>
      <c r="E4343" s="4" t="str" cm="1">
        <f t="array" ref="E4343">IFERROR(INDEX(EmployeeData[Gender], ROW() - 37), "")</f>
        <v/>
      </c>
      <c r="F4343" s="4" t="str" cm="1">
        <f t="array" ref="F4343">IFERROR(INDEX(EmployeeData[Age], ROW() - 37), "")</f>
        <v/>
      </c>
      <c r="G4343" s="6" t="str" cm="1">
        <f t="array" ref="G4343">IFERROR(INDEX(EmployeeData[Join Date], ROW() - 37), "")</f>
        <v/>
      </c>
      <c r="H4343" s="6" t="str" cm="1">
        <f t="array" ref="H4343">IFERROR(IF(INDEX(EmployeeData[Exit Date], ROW() - 37)=0, "",INDEX(EmployeeData[Exit Date], ROW() - 37)),"")</f>
        <v/>
      </c>
      <c r="I4343" s="4" t="str" cm="1">
        <f t="array" ref="I4343">IFERROR(IF(INDEX(EmployeeData[Exit Reason], ROW() - 37)=0, "",INDEX(EmployeeData[Exit Reason], ROW() - 37)),"")</f>
        <v/>
      </c>
      <c r="J4343" s="4" t="str" cm="1">
        <f t="array" ref="J4343">IFERROR(INDEX(EmployeeData[Status], ROW() - 37), "")</f>
        <v/>
      </c>
    </row>
    <row r="4344" spans="2:10" ht="19.95" customHeight="1" x14ac:dyDescent="0.3">
      <c r="B4344" s="4" t="str" cm="1">
        <f t="array" ref="B4344">IFERROR(INDEX(EmployeeData[Employee ID], ROW() - 37), "")</f>
        <v/>
      </c>
      <c r="C4344" s="4" t="str" cm="1">
        <f t="array" ref="C4344">IFERROR(INDEX(EmployeeData[Full Name], ROW() - 37), "")</f>
        <v/>
      </c>
      <c r="D4344" s="4" t="str" cm="1">
        <f t="array" ref="D4344">IFERROR(INDEX(EmployeeData[Department], ROW() - 37), "")</f>
        <v/>
      </c>
      <c r="E4344" s="4" t="str" cm="1">
        <f t="array" ref="E4344">IFERROR(INDEX(EmployeeData[Gender], ROW() - 37), "")</f>
        <v/>
      </c>
      <c r="F4344" s="4" t="str" cm="1">
        <f t="array" ref="F4344">IFERROR(INDEX(EmployeeData[Age], ROW() - 37), "")</f>
        <v/>
      </c>
      <c r="G4344" s="6" t="str" cm="1">
        <f t="array" ref="G4344">IFERROR(INDEX(EmployeeData[Join Date], ROW() - 37), "")</f>
        <v/>
      </c>
      <c r="H4344" s="6" t="str" cm="1">
        <f t="array" ref="H4344">IFERROR(IF(INDEX(EmployeeData[Exit Date], ROW() - 37)=0, "",INDEX(EmployeeData[Exit Date], ROW() - 37)),"")</f>
        <v/>
      </c>
      <c r="I4344" s="4" t="str" cm="1">
        <f t="array" ref="I4344">IFERROR(IF(INDEX(EmployeeData[Exit Reason], ROW() - 37)=0, "",INDEX(EmployeeData[Exit Reason], ROW() - 37)),"")</f>
        <v/>
      </c>
      <c r="J4344" s="4" t="str" cm="1">
        <f t="array" ref="J4344">IFERROR(INDEX(EmployeeData[Status], ROW() - 37), "")</f>
        <v/>
      </c>
    </row>
    <row r="4345" spans="2:10" ht="19.95" customHeight="1" x14ac:dyDescent="0.3">
      <c r="B4345" s="4" t="str" cm="1">
        <f t="array" ref="B4345">IFERROR(INDEX(EmployeeData[Employee ID], ROW() - 37), "")</f>
        <v/>
      </c>
      <c r="C4345" s="4" t="str" cm="1">
        <f t="array" ref="C4345">IFERROR(INDEX(EmployeeData[Full Name], ROW() - 37), "")</f>
        <v/>
      </c>
      <c r="D4345" s="4" t="str" cm="1">
        <f t="array" ref="D4345">IFERROR(INDEX(EmployeeData[Department], ROW() - 37), "")</f>
        <v/>
      </c>
      <c r="E4345" s="4" t="str" cm="1">
        <f t="array" ref="E4345">IFERROR(INDEX(EmployeeData[Gender], ROW() - 37), "")</f>
        <v/>
      </c>
      <c r="F4345" s="4" t="str" cm="1">
        <f t="array" ref="F4345">IFERROR(INDEX(EmployeeData[Age], ROW() - 37), "")</f>
        <v/>
      </c>
      <c r="G4345" s="6" t="str" cm="1">
        <f t="array" ref="G4345">IFERROR(INDEX(EmployeeData[Join Date], ROW() - 37), "")</f>
        <v/>
      </c>
      <c r="H4345" s="6" t="str" cm="1">
        <f t="array" ref="H4345">IFERROR(IF(INDEX(EmployeeData[Exit Date], ROW() - 37)=0, "",INDEX(EmployeeData[Exit Date], ROW() - 37)),"")</f>
        <v/>
      </c>
      <c r="I4345" s="4" t="str" cm="1">
        <f t="array" ref="I4345">IFERROR(IF(INDEX(EmployeeData[Exit Reason], ROW() - 37)=0, "",INDEX(EmployeeData[Exit Reason], ROW() - 37)),"")</f>
        <v/>
      </c>
      <c r="J4345" s="4" t="str" cm="1">
        <f t="array" ref="J4345">IFERROR(INDEX(EmployeeData[Status], ROW() - 37), "")</f>
        <v/>
      </c>
    </row>
    <row r="4346" spans="2:10" ht="19.95" customHeight="1" x14ac:dyDescent="0.3">
      <c r="B4346" s="4" t="str" cm="1">
        <f t="array" ref="B4346">IFERROR(INDEX(EmployeeData[Employee ID], ROW() - 37), "")</f>
        <v/>
      </c>
      <c r="C4346" s="4" t="str" cm="1">
        <f t="array" ref="C4346">IFERROR(INDEX(EmployeeData[Full Name], ROW() - 37), "")</f>
        <v/>
      </c>
      <c r="D4346" s="4" t="str" cm="1">
        <f t="array" ref="D4346">IFERROR(INDEX(EmployeeData[Department], ROW() - 37), "")</f>
        <v/>
      </c>
      <c r="E4346" s="4" t="str" cm="1">
        <f t="array" ref="E4346">IFERROR(INDEX(EmployeeData[Gender], ROW() - 37), "")</f>
        <v/>
      </c>
      <c r="F4346" s="4" t="str" cm="1">
        <f t="array" ref="F4346">IFERROR(INDEX(EmployeeData[Age], ROW() - 37), "")</f>
        <v/>
      </c>
      <c r="G4346" s="6" t="str" cm="1">
        <f t="array" ref="G4346">IFERROR(INDEX(EmployeeData[Join Date], ROW() - 37), "")</f>
        <v/>
      </c>
      <c r="H4346" s="6" t="str" cm="1">
        <f t="array" ref="H4346">IFERROR(IF(INDEX(EmployeeData[Exit Date], ROW() - 37)=0, "",INDEX(EmployeeData[Exit Date], ROW() - 37)),"")</f>
        <v/>
      </c>
      <c r="I4346" s="4" t="str" cm="1">
        <f t="array" ref="I4346">IFERROR(IF(INDEX(EmployeeData[Exit Reason], ROW() - 37)=0, "",INDEX(EmployeeData[Exit Reason], ROW() - 37)),"")</f>
        <v/>
      </c>
      <c r="J4346" s="4" t="str" cm="1">
        <f t="array" ref="J4346">IFERROR(INDEX(EmployeeData[Status], ROW() - 37), "")</f>
        <v/>
      </c>
    </row>
    <row r="4347" spans="2:10" ht="19.95" customHeight="1" x14ac:dyDescent="0.3">
      <c r="B4347" s="4" t="str" cm="1">
        <f t="array" ref="B4347">IFERROR(INDEX(EmployeeData[Employee ID], ROW() - 37), "")</f>
        <v/>
      </c>
      <c r="C4347" s="4" t="str" cm="1">
        <f t="array" ref="C4347">IFERROR(INDEX(EmployeeData[Full Name], ROW() - 37), "")</f>
        <v/>
      </c>
      <c r="D4347" s="4" t="str" cm="1">
        <f t="array" ref="D4347">IFERROR(INDEX(EmployeeData[Department], ROW() - 37), "")</f>
        <v/>
      </c>
      <c r="E4347" s="4" t="str" cm="1">
        <f t="array" ref="E4347">IFERROR(INDEX(EmployeeData[Gender], ROW() - 37), "")</f>
        <v/>
      </c>
      <c r="F4347" s="4" t="str" cm="1">
        <f t="array" ref="F4347">IFERROR(INDEX(EmployeeData[Age], ROW() - 37), "")</f>
        <v/>
      </c>
      <c r="G4347" s="6" t="str" cm="1">
        <f t="array" ref="G4347">IFERROR(INDEX(EmployeeData[Join Date], ROW() - 37), "")</f>
        <v/>
      </c>
      <c r="H4347" s="6" t="str" cm="1">
        <f t="array" ref="H4347">IFERROR(IF(INDEX(EmployeeData[Exit Date], ROW() - 37)=0, "",INDEX(EmployeeData[Exit Date], ROW() - 37)),"")</f>
        <v/>
      </c>
      <c r="I4347" s="4" t="str" cm="1">
        <f t="array" ref="I4347">IFERROR(IF(INDEX(EmployeeData[Exit Reason], ROW() - 37)=0, "",INDEX(EmployeeData[Exit Reason], ROW() - 37)),"")</f>
        <v/>
      </c>
      <c r="J4347" s="4" t="str" cm="1">
        <f t="array" ref="J4347">IFERROR(INDEX(EmployeeData[Status], ROW() - 37), "")</f>
        <v/>
      </c>
    </row>
    <row r="4348" spans="2:10" ht="19.95" customHeight="1" x14ac:dyDescent="0.3">
      <c r="B4348" s="4" t="str" cm="1">
        <f t="array" ref="B4348">IFERROR(INDEX(EmployeeData[Employee ID], ROW() - 37), "")</f>
        <v/>
      </c>
      <c r="C4348" s="4" t="str" cm="1">
        <f t="array" ref="C4348">IFERROR(INDEX(EmployeeData[Full Name], ROW() - 37), "")</f>
        <v/>
      </c>
      <c r="D4348" s="4" t="str" cm="1">
        <f t="array" ref="D4348">IFERROR(INDEX(EmployeeData[Department], ROW() - 37), "")</f>
        <v/>
      </c>
      <c r="E4348" s="4" t="str" cm="1">
        <f t="array" ref="E4348">IFERROR(INDEX(EmployeeData[Gender], ROW() - 37), "")</f>
        <v/>
      </c>
      <c r="F4348" s="4" t="str" cm="1">
        <f t="array" ref="F4348">IFERROR(INDEX(EmployeeData[Age], ROW() - 37), "")</f>
        <v/>
      </c>
      <c r="G4348" s="6" t="str" cm="1">
        <f t="array" ref="G4348">IFERROR(INDEX(EmployeeData[Join Date], ROW() - 37), "")</f>
        <v/>
      </c>
      <c r="H4348" s="6" t="str" cm="1">
        <f t="array" ref="H4348">IFERROR(IF(INDEX(EmployeeData[Exit Date], ROW() - 37)=0, "",INDEX(EmployeeData[Exit Date], ROW() - 37)),"")</f>
        <v/>
      </c>
      <c r="I4348" s="4" t="str" cm="1">
        <f t="array" ref="I4348">IFERROR(IF(INDEX(EmployeeData[Exit Reason], ROW() - 37)=0, "",INDEX(EmployeeData[Exit Reason], ROW() - 37)),"")</f>
        <v/>
      </c>
      <c r="J4348" s="4" t="str" cm="1">
        <f t="array" ref="J4348">IFERROR(INDEX(EmployeeData[Status], ROW() - 37), "")</f>
        <v/>
      </c>
    </row>
    <row r="4349" spans="2:10" ht="19.95" customHeight="1" x14ac:dyDescent="0.3">
      <c r="B4349" s="4" t="str" cm="1">
        <f t="array" ref="B4349">IFERROR(INDEX(EmployeeData[Employee ID], ROW() - 37), "")</f>
        <v/>
      </c>
      <c r="C4349" s="4" t="str" cm="1">
        <f t="array" ref="C4349">IFERROR(INDEX(EmployeeData[Full Name], ROW() - 37), "")</f>
        <v/>
      </c>
      <c r="D4349" s="4" t="str" cm="1">
        <f t="array" ref="D4349">IFERROR(INDEX(EmployeeData[Department], ROW() - 37), "")</f>
        <v/>
      </c>
      <c r="E4349" s="4" t="str" cm="1">
        <f t="array" ref="E4349">IFERROR(INDEX(EmployeeData[Gender], ROW() - 37), "")</f>
        <v/>
      </c>
      <c r="F4349" s="4" t="str" cm="1">
        <f t="array" ref="F4349">IFERROR(INDEX(EmployeeData[Age], ROW() - 37), "")</f>
        <v/>
      </c>
      <c r="G4349" s="6" t="str" cm="1">
        <f t="array" ref="G4349">IFERROR(INDEX(EmployeeData[Join Date], ROW() - 37), "")</f>
        <v/>
      </c>
      <c r="H4349" s="6" t="str" cm="1">
        <f t="array" ref="H4349">IFERROR(IF(INDEX(EmployeeData[Exit Date], ROW() - 37)=0, "",INDEX(EmployeeData[Exit Date], ROW() - 37)),"")</f>
        <v/>
      </c>
      <c r="I4349" s="4" t="str" cm="1">
        <f t="array" ref="I4349">IFERROR(IF(INDEX(EmployeeData[Exit Reason], ROW() - 37)=0, "",INDEX(EmployeeData[Exit Reason], ROW() - 37)),"")</f>
        <v/>
      </c>
      <c r="J4349" s="4" t="str" cm="1">
        <f t="array" ref="J4349">IFERROR(INDEX(EmployeeData[Status], ROW() - 37), "")</f>
        <v/>
      </c>
    </row>
    <row r="4350" spans="2:10" ht="19.95" customHeight="1" x14ac:dyDescent="0.3">
      <c r="B4350" s="4" t="str" cm="1">
        <f t="array" ref="B4350">IFERROR(INDEX(EmployeeData[Employee ID], ROW() - 37), "")</f>
        <v/>
      </c>
      <c r="C4350" s="4" t="str" cm="1">
        <f t="array" ref="C4350">IFERROR(INDEX(EmployeeData[Full Name], ROW() - 37), "")</f>
        <v/>
      </c>
      <c r="D4350" s="4" t="str" cm="1">
        <f t="array" ref="D4350">IFERROR(INDEX(EmployeeData[Department], ROW() - 37), "")</f>
        <v/>
      </c>
      <c r="E4350" s="4" t="str" cm="1">
        <f t="array" ref="E4350">IFERROR(INDEX(EmployeeData[Gender], ROW() - 37), "")</f>
        <v/>
      </c>
      <c r="F4350" s="4" t="str" cm="1">
        <f t="array" ref="F4350">IFERROR(INDEX(EmployeeData[Age], ROW() - 37), "")</f>
        <v/>
      </c>
      <c r="G4350" s="6" t="str" cm="1">
        <f t="array" ref="G4350">IFERROR(INDEX(EmployeeData[Join Date], ROW() - 37), "")</f>
        <v/>
      </c>
      <c r="H4350" s="6" t="str" cm="1">
        <f t="array" ref="H4350">IFERROR(IF(INDEX(EmployeeData[Exit Date], ROW() - 37)=0, "",INDEX(EmployeeData[Exit Date], ROW() - 37)),"")</f>
        <v/>
      </c>
      <c r="I4350" s="4" t="str" cm="1">
        <f t="array" ref="I4350">IFERROR(IF(INDEX(EmployeeData[Exit Reason], ROW() - 37)=0, "",INDEX(EmployeeData[Exit Reason], ROW() - 37)),"")</f>
        <v/>
      </c>
      <c r="J4350" s="4" t="str" cm="1">
        <f t="array" ref="J4350">IFERROR(INDEX(EmployeeData[Status], ROW() - 37), "")</f>
        <v/>
      </c>
    </row>
    <row r="4351" spans="2:10" ht="19.95" customHeight="1" x14ac:dyDescent="0.3">
      <c r="B4351" s="4" t="str" cm="1">
        <f t="array" ref="B4351">IFERROR(INDEX(EmployeeData[Employee ID], ROW() - 37), "")</f>
        <v/>
      </c>
      <c r="C4351" s="4" t="str" cm="1">
        <f t="array" ref="C4351">IFERROR(INDEX(EmployeeData[Full Name], ROW() - 37), "")</f>
        <v/>
      </c>
      <c r="D4351" s="4" t="str" cm="1">
        <f t="array" ref="D4351">IFERROR(INDEX(EmployeeData[Department], ROW() - 37), "")</f>
        <v/>
      </c>
      <c r="E4351" s="4" t="str" cm="1">
        <f t="array" ref="E4351">IFERROR(INDEX(EmployeeData[Gender], ROW() - 37), "")</f>
        <v/>
      </c>
      <c r="F4351" s="4" t="str" cm="1">
        <f t="array" ref="F4351">IFERROR(INDEX(EmployeeData[Age], ROW() - 37), "")</f>
        <v/>
      </c>
      <c r="G4351" s="6" t="str" cm="1">
        <f t="array" ref="G4351">IFERROR(INDEX(EmployeeData[Join Date], ROW() - 37), "")</f>
        <v/>
      </c>
      <c r="H4351" s="6" t="str" cm="1">
        <f t="array" ref="H4351">IFERROR(IF(INDEX(EmployeeData[Exit Date], ROW() - 37)=0, "",INDEX(EmployeeData[Exit Date], ROW() - 37)),"")</f>
        <v/>
      </c>
      <c r="I4351" s="4" t="str" cm="1">
        <f t="array" ref="I4351">IFERROR(IF(INDEX(EmployeeData[Exit Reason], ROW() - 37)=0, "",INDEX(EmployeeData[Exit Reason], ROW() - 37)),"")</f>
        <v/>
      </c>
      <c r="J4351" s="4" t="str" cm="1">
        <f t="array" ref="J4351">IFERROR(INDEX(EmployeeData[Status], ROW() - 37), "")</f>
        <v/>
      </c>
    </row>
    <row r="4352" spans="2:10" ht="19.95" customHeight="1" x14ac:dyDescent="0.3">
      <c r="B4352" s="4" t="str" cm="1">
        <f t="array" ref="B4352">IFERROR(INDEX(EmployeeData[Employee ID], ROW() - 37), "")</f>
        <v/>
      </c>
      <c r="C4352" s="4" t="str" cm="1">
        <f t="array" ref="C4352">IFERROR(INDEX(EmployeeData[Full Name], ROW() - 37), "")</f>
        <v/>
      </c>
      <c r="D4352" s="4" t="str" cm="1">
        <f t="array" ref="D4352">IFERROR(INDEX(EmployeeData[Department], ROW() - 37), "")</f>
        <v/>
      </c>
      <c r="E4352" s="4" t="str" cm="1">
        <f t="array" ref="E4352">IFERROR(INDEX(EmployeeData[Gender], ROW() - 37), "")</f>
        <v/>
      </c>
      <c r="F4352" s="4" t="str" cm="1">
        <f t="array" ref="F4352">IFERROR(INDEX(EmployeeData[Age], ROW() - 37), "")</f>
        <v/>
      </c>
      <c r="G4352" s="6" t="str" cm="1">
        <f t="array" ref="G4352">IFERROR(INDEX(EmployeeData[Join Date], ROW() - 37), "")</f>
        <v/>
      </c>
      <c r="H4352" s="6" t="str" cm="1">
        <f t="array" ref="H4352">IFERROR(IF(INDEX(EmployeeData[Exit Date], ROW() - 37)=0, "",INDEX(EmployeeData[Exit Date], ROW() - 37)),"")</f>
        <v/>
      </c>
      <c r="I4352" s="4" t="str" cm="1">
        <f t="array" ref="I4352">IFERROR(IF(INDEX(EmployeeData[Exit Reason], ROW() - 37)=0, "",INDEX(EmployeeData[Exit Reason], ROW() - 37)),"")</f>
        <v/>
      </c>
      <c r="J4352" s="4" t="str" cm="1">
        <f t="array" ref="J4352">IFERROR(INDEX(EmployeeData[Status], ROW() - 37), "")</f>
        <v/>
      </c>
    </row>
    <row r="4353" spans="2:10" ht="19.95" customHeight="1" x14ac:dyDescent="0.3">
      <c r="B4353" s="4" t="str" cm="1">
        <f t="array" ref="B4353">IFERROR(INDEX(EmployeeData[Employee ID], ROW() - 37), "")</f>
        <v/>
      </c>
      <c r="C4353" s="4" t="str" cm="1">
        <f t="array" ref="C4353">IFERROR(INDEX(EmployeeData[Full Name], ROW() - 37), "")</f>
        <v/>
      </c>
      <c r="D4353" s="4" t="str" cm="1">
        <f t="array" ref="D4353">IFERROR(INDEX(EmployeeData[Department], ROW() - 37), "")</f>
        <v/>
      </c>
      <c r="E4353" s="4" t="str" cm="1">
        <f t="array" ref="E4353">IFERROR(INDEX(EmployeeData[Gender], ROW() - 37), "")</f>
        <v/>
      </c>
      <c r="F4353" s="4" t="str" cm="1">
        <f t="array" ref="F4353">IFERROR(INDEX(EmployeeData[Age], ROW() - 37), "")</f>
        <v/>
      </c>
      <c r="G4353" s="6" t="str" cm="1">
        <f t="array" ref="G4353">IFERROR(INDEX(EmployeeData[Join Date], ROW() - 37), "")</f>
        <v/>
      </c>
      <c r="H4353" s="6" t="str" cm="1">
        <f t="array" ref="H4353">IFERROR(IF(INDEX(EmployeeData[Exit Date], ROW() - 37)=0, "",INDEX(EmployeeData[Exit Date], ROW() - 37)),"")</f>
        <v/>
      </c>
      <c r="I4353" s="4" t="str" cm="1">
        <f t="array" ref="I4353">IFERROR(IF(INDEX(EmployeeData[Exit Reason], ROW() - 37)=0, "",INDEX(EmployeeData[Exit Reason], ROW() - 37)),"")</f>
        <v/>
      </c>
      <c r="J4353" s="4" t="str" cm="1">
        <f t="array" ref="J4353">IFERROR(INDEX(EmployeeData[Status], ROW() - 37), "")</f>
        <v/>
      </c>
    </row>
    <row r="4354" spans="2:10" ht="19.95" customHeight="1" x14ac:dyDescent="0.3">
      <c r="B4354" s="4" t="str" cm="1">
        <f t="array" ref="B4354">IFERROR(INDEX(EmployeeData[Employee ID], ROW() - 37), "")</f>
        <v/>
      </c>
      <c r="C4354" s="4" t="str" cm="1">
        <f t="array" ref="C4354">IFERROR(INDEX(EmployeeData[Full Name], ROW() - 37), "")</f>
        <v/>
      </c>
      <c r="D4354" s="4" t="str" cm="1">
        <f t="array" ref="D4354">IFERROR(INDEX(EmployeeData[Department], ROW() - 37), "")</f>
        <v/>
      </c>
      <c r="E4354" s="4" t="str" cm="1">
        <f t="array" ref="E4354">IFERROR(INDEX(EmployeeData[Gender], ROW() - 37), "")</f>
        <v/>
      </c>
      <c r="F4354" s="4" t="str" cm="1">
        <f t="array" ref="F4354">IFERROR(INDEX(EmployeeData[Age], ROW() - 37), "")</f>
        <v/>
      </c>
      <c r="G4354" s="6" t="str" cm="1">
        <f t="array" ref="G4354">IFERROR(INDEX(EmployeeData[Join Date], ROW() - 37), "")</f>
        <v/>
      </c>
      <c r="H4354" s="6" t="str" cm="1">
        <f t="array" ref="H4354">IFERROR(IF(INDEX(EmployeeData[Exit Date], ROW() - 37)=0, "",INDEX(EmployeeData[Exit Date], ROW() - 37)),"")</f>
        <v/>
      </c>
      <c r="I4354" s="4" t="str" cm="1">
        <f t="array" ref="I4354">IFERROR(IF(INDEX(EmployeeData[Exit Reason], ROW() - 37)=0, "",INDEX(EmployeeData[Exit Reason], ROW() - 37)),"")</f>
        <v/>
      </c>
      <c r="J4354" s="4" t="str" cm="1">
        <f t="array" ref="J4354">IFERROR(INDEX(EmployeeData[Status], ROW() - 37), "")</f>
        <v/>
      </c>
    </row>
    <row r="4355" spans="2:10" ht="19.95" customHeight="1" x14ac:dyDescent="0.3">
      <c r="B4355" s="4" t="str" cm="1">
        <f t="array" ref="B4355">IFERROR(INDEX(EmployeeData[Employee ID], ROW() - 37), "")</f>
        <v/>
      </c>
      <c r="C4355" s="4" t="str" cm="1">
        <f t="array" ref="C4355">IFERROR(INDEX(EmployeeData[Full Name], ROW() - 37), "")</f>
        <v/>
      </c>
      <c r="D4355" s="4" t="str" cm="1">
        <f t="array" ref="D4355">IFERROR(INDEX(EmployeeData[Department], ROW() - 37), "")</f>
        <v/>
      </c>
      <c r="E4355" s="4" t="str" cm="1">
        <f t="array" ref="E4355">IFERROR(INDEX(EmployeeData[Gender], ROW() - 37), "")</f>
        <v/>
      </c>
      <c r="F4355" s="4" t="str" cm="1">
        <f t="array" ref="F4355">IFERROR(INDEX(EmployeeData[Age], ROW() - 37), "")</f>
        <v/>
      </c>
      <c r="G4355" s="6" t="str" cm="1">
        <f t="array" ref="G4355">IFERROR(INDEX(EmployeeData[Join Date], ROW() - 37), "")</f>
        <v/>
      </c>
      <c r="H4355" s="6" t="str" cm="1">
        <f t="array" ref="H4355">IFERROR(IF(INDEX(EmployeeData[Exit Date], ROW() - 37)=0, "",INDEX(EmployeeData[Exit Date], ROW() - 37)),"")</f>
        <v/>
      </c>
      <c r="I4355" s="4" t="str" cm="1">
        <f t="array" ref="I4355">IFERROR(IF(INDEX(EmployeeData[Exit Reason], ROW() - 37)=0, "",INDEX(EmployeeData[Exit Reason], ROW() - 37)),"")</f>
        <v/>
      </c>
      <c r="J4355" s="4" t="str" cm="1">
        <f t="array" ref="J4355">IFERROR(INDEX(EmployeeData[Status], ROW() - 37), "")</f>
        <v/>
      </c>
    </row>
    <row r="4356" spans="2:10" ht="19.95" customHeight="1" x14ac:dyDescent="0.3">
      <c r="B4356" s="4" t="str" cm="1">
        <f t="array" ref="B4356">IFERROR(INDEX(EmployeeData[Employee ID], ROW() - 37), "")</f>
        <v/>
      </c>
      <c r="C4356" s="4" t="str" cm="1">
        <f t="array" ref="C4356">IFERROR(INDEX(EmployeeData[Full Name], ROW() - 37), "")</f>
        <v/>
      </c>
      <c r="D4356" s="4" t="str" cm="1">
        <f t="array" ref="D4356">IFERROR(INDEX(EmployeeData[Department], ROW() - 37), "")</f>
        <v/>
      </c>
      <c r="E4356" s="4" t="str" cm="1">
        <f t="array" ref="E4356">IFERROR(INDEX(EmployeeData[Gender], ROW() - 37), "")</f>
        <v/>
      </c>
      <c r="F4356" s="4" t="str" cm="1">
        <f t="array" ref="F4356">IFERROR(INDEX(EmployeeData[Age], ROW() - 37), "")</f>
        <v/>
      </c>
      <c r="G4356" s="6" t="str" cm="1">
        <f t="array" ref="G4356">IFERROR(INDEX(EmployeeData[Join Date], ROW() - 37), "")</f>
        <v/>
      </c>
      <c r="H4356" s="6" t="str" cm="1">
        <f t="array" ref="H4356">IFERROR(IF(INDEX(EmployeeData[Exit Date], ROW() - 37)=0, "",INDEX(EmployeeData[Exit Date], ROW() - 37)),"")</f>
        <v/>
      </c>
      <c r="I4356" s="4" t="str" cm="1">
        <f t="array" ref="I4356">IFERROR(IF(INDEX(EmployeeData[Exit Reason], ROW() - 37)=0, "",INDEX(EmployeeData[Exit Reason], ROW() - 37)),"")</f>
        <v/>
      </c>
      <c r="J4356" s="4" t="str" cm="1">
        <f t="array" ref="J4356">IFERROR(INDEX(EmployeeData[Status], ROW() - 37), "")</f>
        <v/>
      </c>
    </row>
    <row r="4357" spans="2:10" ht="19.95" customHeight="1" x14ac:dyDescent="0.3">
      <c r="B4357" s="4" t="str" cm="1">
        <f t="array" ref="B4357">IFERROR(INDEX(EmployeeData[Employee ID], ROW() - 37), "")</f>
        <v/>
      </c>
      <c r="C4357" s="4" t="str" cm="1">
        <f t="array" ref="C4357">IFERROR(INDEX(EmployeeData[Full Name], ROW() - 37), "")</f>
        <v/>
      </c>
      <c r="D4357" s="4" t="str" cm="1">
        <f t="array" ref="D4357">IFERROR(INDEX(EmployeeData[Department], ROW() - 37), "")</f>
        <v/>
      </c>
      <c r="E4357" s="4" t="str" cm="1">
        <f t="array" ref="E4357">IFERROR(INDEX(EmployeeData[Gender], ROW() - 37), "")</f>
        <v/>
      </c>
      <c r="F4357" s="4" t="str" cm="1">
        <f t="array" ref="F4357">IFERROR(INDEX(EmployeeData[Age], ROW() - 37), "")</f>
        <v/>
      </c>
      <c r="G4357" s="6" t="str" cm="1">
        <f t="array" ref="G4357">IFERROR(INDEX(EmployeeData[Join Date], ROW() - 37), "")</f>
        <v/>
      </c>
      <c r="H4357" s="6" t="str" cm="1">
        <f t="array" ref="H4357">IFERROR(IF(INDEX(EmployeeData[Exit Date], ROW() - 37)=0, "",INDEX(EmployeeData[Exit Date], ROW() - 37)),"")</f>
        <v/>
      </c>
      <c r="I4357" s="4" t="str" cm="1">
        <f t="array" ref="I4357">IFERROR(IF(INDEX(EmployeeData[Exit Reason], ROW() - 37)=0, "",INDEX(EmployeeData[Exit Reason], ROW() - 37)),"")</f>
        <v/>
      </c>
      <c r="J4357" s="4" t="str" cm="1">
        <f t="array" ref="J4357">IFERROR(INDEX(EmployeeData[Status], ROW() - 37), "")</f>
        <v/>
      </c>
    </row>
    <row r="4358" spans="2:10" ht="19.95" customHeight="1" x14ac:dyDescent="0.3">
      <c r="B4358" s="4" t="str" cm="1">
        <f t="array" ref="B4358">IFERROR(INDEX(EmployeeData[Employee ID], ROW() - 37), "")</f>
        <v/>
      </c>
      <c r="C4358" s="4" t="str" cm="1">
        <f t="array" ref="C4358">IFERROR(INDEX(EmployeeData[Full Name], ROW() - 37), "")</f>
        <v/>
      </c>
      <c r="D4358" s="4" t="str" cm="1">
        <f t="array" ref="D4358">IFERROR(INDEX(EmployeeData[Department], ROW() - 37), "")</f>
        <v/>
      </c>
      <c r="E4358" s="4" t="str" cm="1">
        <f t="array" ref="E4358">IFERROR(INDEX(EmployeeData[Gender], ROW() - 37), "")</f>
        <v/>
      </c>
      <c r="F4358" s="4" t="str" cm="1">
        <f t="array" ref="F4358">IFERROR(INDEX(EmployeeData[Age], ROW() - 37), "")</f>
        <v/>
      </c>
      <c r="G4358" s="6" t="str" cm="1">
        <f t="array" ref="G4358">IFERROR(INDEX(EmployeeData[Join Date], ROW() - 37), "")</f>
        <v/>
      </c>
      <c r="H4358" s="6" t="str" cm="1">
        <f t="array" ref="H4358">IFERROR(IF(INDEX(EmployeeData[Exit Date], ROW() - 37)=0, "",INDEX(EmployeeData[Exit Date], ROW() - 37)),"")</f>
        <v/>
      </c>
      <c r="I4358" s="4" t="str" cm="1">
        <f t="array" ref="I4358">IFERROR(IF(INDEX(EmployeeData[Exit Reason], ROW() - 37)=0, "",INDEX(EmployeeData[Exit Reason], ROW() - 37)),"")</f>
        <v/>
      </c>
      <c r="J4358" s="4" t="str" cm="1">
        <f t="array" ref="J4358">IFERROR(INDEX(EmployeeData[Status], ROW() - 37), "")</f>
        <v/>
      </c>
    </row>
    <row r="4359" spans="2:10" ht="19.95" customHeight="1" x14ac:dyDescent="0.3">
      <c r="B4359" s="4" t="str" cm="1">
        <f t="array" ref="B4359">IFERROR(INDEX(EmployeeData[Employee ID], ROW() - 37), "")</f>
        <v/>
      </c>
      <c r="C4359" s="4" t="str" cm="1">
        <f t="array" ref="C4359">IFERROR(INDEX(EmployeeData[Full Name], ROW() - 37), "")</f>
        <v/>
      </c>
      <c r="D4359" s="4" t="str" cm="1">
        <f t="array" ref="D4359">IFERROR(INDEX(EmployeeData[Department], ROW() - 37), "")</f>
        <v/>
      </c>
      <c r="E4359" s="4" t="str" cm="1">
        <f t="array" ref="E4359">IFERROR(INDEX(EmployeeData[Gender], ROW() - 37), "")</f>
        <v/>
      </c>
      <c r="F4359" s="4" t="str" cm="1">
        <f t="array" ref="F4359">IFERROR(INDEX(EmployeeData[Age], ROW() - 37), "")</f>
        <v/>
      </c>
      <c r="G4359" s="6" t="str" cm="1">
        <f t="array" ref="G4359">IFERROR(INDEX(EmployeeData[Join Date], ROW() - 37), "")</f>
        <v/>
      </c>
      <c r="H4359" s="6" t="str" cm="1">
        <f t="array" ref="H4359">IFERROR(IF(INDEX(EmployeeData[Exit Date], ROW() - 37)=0, "",INDEX(EmployeeData[Exit Date], ROW() - 37)),"")</f>
        <v/>
      </c>
      <c r="I4359" s="4" t="str" cm="1">
        <f t="array" ref="I4359">IFERROR(IF(INDEX(EmployeeData[Exit Reason], ROW() - 37)=0, "",INDEX(EmployeeData[Exit Reason], ROW() - 37)),"")</f>
        <v/>
      </c>
      <c r="J4359" s="4" t="str" cm="1">
        <f t="array" ref="J4359">IFERROR(INDEX(EmployeeData[Status], ROW() - 37), "")</f>
        <v/>
      </c>
    </row>
    <row r="4360" spans="2:10" ht="19.95" customHeight="1" x14ac:dyDescent="0.3">
      <c r="B4360" s="4" t="str" cm="1">
        <f t="array" ref="B4360">IFERROR(INDEX(EmployeeData[Employee ID], ROW() - 37), "")</f>
        <v/>
      </c>
      <c r="C4360" s="4" t="str" cm="1">
        <f t="array" ref="C4360">IFERROR(INDEX(EmployeeData[Full Name], ROW() - 37), "")</f>
        <v/>
      </c>
      <c r="D4360" s="4" t="str" cm="1">
        <f t="array" ref="D4360">IFERROR(INDEX(EmployeeData[Department], ROW() - 37), "")</f>
        <v/>
      </c>
      <c r="E4360" s="4" t="str" cm="1">
        <f t="array" ref="E4360">IFERROR(INDEX(EmployeeData[Gender], ROW() - 37), "")</f>
        <v/>
      </c>
      <c r="F4360" s="4" t="str" cm="1">
        <f t="array" ref="F4360">IFERROR(INDEX(EmployeeData[Age], ROW() - 37), "")</f>
        <v/>
      </c>
      <c r="G4360" s="6" t="str" cm="1">
        <f t="array" ref="G4360">IFERROR(INDEX(EmployeeData[Join Date], ROW() - 37), "")</f>
        <v/>
      </c>
      <c r="H4360" s="6" t="str" cm="1">
        <f t="array" ref="H4360">IFERROR(IF(INDEX(EmployeeData[Exit Date], ROW() - 37)=0, "",INDEX(EmployeeData[Exit Date], ROW() - 37)),"")</f>
        <v/>
      </c>
      <c r="I4360" s="4" t="str" cm="1">
        <f t="array" ref="I4360">IFERROR(IF(INDEX(EmployeeData[Exit Reason], ROW() - 37)=0, "",INDEX(EmployeeData[Exit Reason], ROW() - 37)),"")</f>
        <v/>
      </c>
      <c r="J4360" s="4" t="str" cm="1">
        <f t="array" ref="J4360">IFERROR(INDEX(EmployeeData[Status], ROW() - 37), "")</f>
        <v/>
      </c>
    </row>
    <row r="4361" spans="2:10" ht="19.95" customHeight="1" x14ac:dyDescent="0.3">
      <c r="B4361" s="4" t="str" cm="1">
        <f t="array" ref="B4361">IFERROR(INDEX(EmployeeData[Employee ID], ROW() - 37), "")</f>
        <v/>
      </c>
      <c r="C4361" s="4" t="str" cm="1">
        <f t="array" ref="C4361">IFERROR(INDEX(EmployeeData[Full Name], ROW() - 37), "")</f>
        <v/>
      </c>
      <c r="D4361" s="4" t="str" cm="1">
        <f t="array" ref="D4361">IFERROR(INDEX(EmployeeData[Department], ROW() - 37), "")</f>
        <v/>
      </c>
      <c r="E4361" s="4" t="str" cm="1">
        <f t="array" ref="E4361">IFERROR(INDEX(EmployeeData[Gender], ROW() - 37), "")</f>
        <v/>
      </c>
      <c r="F4361" s="4" t="str" cm="1">
        <f t="array" ref="F4361">IFERROR(INDEX(EmployeeData[Age], ROW() - 37), "")</f>
        <v/>
      </c>
      <c r="G4361" s="6" t="str" cm="1">
        <f t="array" ref="G4361">IFERROR(INDEX(EmployeeData[Join Date], ROW() - 37), "")</f>
        <v/>
      </c>
      <c r="H4361" s="6" t="str" cm="1">
        <f t="array" ref="H4361">IFERROR(IF(INDEX(EmployeeData[Exit Date], ROW() - 37)=0, "",INDEX(EmployeeData[Exit Date], ROW() - 37)),"")</f>
        <v/>
      </c>
      <c r="I4361" s="4" t="str" cm="1">
        <f t="array" ref="I4361">IFERROR(IF(INDEX(EmployeeData[Exit Reason], ROW() - 37)=0, "",INDEX(EmployeeData[Exit Reason], ROW() - 37)),"")</f>
        <v/>
      </c>
      <c r="J4361" s="4" t="str" cm="1">
        <f t="array" ref="J4361">IFERROR(INDEX(EmployeeData[Status], ROW() - 37), "")</f>
        <v/>
      </c>
    </row>
    <row r="4362" spans="2:10" ht="19.95" customHeight="1" x14ac:dyDescent="0.3">
      <c r="B4362" s="4" t="str" cm="1">
        <f t="array" ref="B4362">IFERROR(INDEX(EmployeeData[Employee ID], ROW() - 37), "")</f>
        <v/>
      </c>
      <c r="C4362" s="4" t="str" cm="1">
        <f t="array" ref="C4362">IFERROR(INDEX(EmployeeData[Full Name], ROW() - 37), "")</f>
        <v/>
      </c>
      <c r="D4362" s="4" t="str" cm="1">
        <f t="array" ref="D4362">IFERROR(INDEX(EmployeeData[Department], ROW() - 37), "")</f>
        <v/>
      </c>
      <c r="E4362" s="4" t="str" cm="1">
        <f t="array" ref="E4362">IFERROR(INDEX(EmployeeData[Gender], ROW() - 37), "")</f>
        <v/>
      </c>
      <c r="F4362" s="4" t="str" cm="1">
        <f t="array" ref="F4362">IFERROR(INDEX(EmployeeData[Age], ROW() - 37), "")</f>
        <v/>
      </c>
      <c r="G4362" s="6" t="str" cm="1">
        <f t="array" ref="G4362">IFERROR(INDEX(EmployeeData[Join Date], ROW() - 37), "")</f>
        <v/>
      </c>
      <c r="H4362" s="6" t="str" cm="1">
        <f t="array" ref="H4362">IFERROR(IF(INDEX(EmployeeData[Exit Date], ROW() - 37)=0, "",INDEX(EmployeeData[Exit Date], ROW() - 37)),"")</f>
        <v/>
      </c>
      <c r="I4362" s="4" t="str" cm="1">
        <f t="array" ref="I4362">IFERROR(IF(INDEX(EmployeeData[Exit Reason], ROW() - 37)=0, "",INDEX(EmployeeData[Exit Reason], ROW() - 37)),"")</f>
        <v/>
      </c>
      <c r="J4362" s="4" t="str" cm="1">
        <f t="array" ref="J4362">IFERROR(INDEX(EmployeeData[Status], ROW() - 37), "")</f>
        <v/>
      </c>
    </row>
    <row r="4363" spans="2:10" ht="19.95" customHeight="1" x14ac:dyDescent="0.3">
      <c r="B4363" s="4" t="str" cm="1">
        <f t="array" ref="B4363">IFERROR(INDEX(EmployeeData[Employee ID], ROW() - 37), "")</f>
        <v/>
      </c>
      <c r="C4363" s="4" t="str" cm="1">
        <f t="array" ref="C4363">IFERROR(INDEX(EmployeeData[Full Name], ROW() - 37), "")</f>
        <v/>
      </c>
      <c r="D4363" s="4" t="str" cm="1">
        <f t="array" ref="D4363">IFERROR(INDEX(EmployeeData[Department], ROW() - 37), "")</f>
        <v/>
      </c>
      <c r="E4363" s="4" t="str" cm="1">
        <f t="array" ref="E4363">IFERROR(INDEX(EmployeeData[Gender], ROW() - 37), "")</f>
        <v/>
      </c>
      <c r="F4363" s="4" t="str" cm="1">
        <f t="array" ref="F4363">IFERROR(INDEX(EmployeeData[Age], ROW() - 37), "")</f>
        <v/>
      </c>
      <c r="G4363" s="6" t="str" cm="1">
        <f t="array" ref="G4363">IFERROR(INDEX(EmployeeData[Join Date], ROW() - 37), "")</f>
        <v/>
      </c>
      <c r="H4363" s="6" t="str" cm="1">
        <f t="array" ref="H4363">IFERROR(IF(INDEX(EmployeeData[Exit Date], ROW() - 37)=0, "",INDEX(EmployeeData[Exit Date], ROW() - 37)),"")</f>
        <v/>
      </c>
      <c r="I4363" s="4" t="str" cm="1">
        <f t="array" ref="I4363">IFERROR(IF(INDEX(EmployeeData[Exit Reason], ROW() - 37)=0, "",INDEX(EmployeeData[Exit Reason], ROW() - 37)),"")</f>
        <v/>
      </c>
      <c r="J4363" s="4" t="str" cm="1">
        <f t="array" ref="J4363">IFERROR(INDEX(EmployeeData[Status], ROW() - 37), "")</f>
        <v/>
      </c>
    </row>
    <row r="4364" spans="2:10" ht="19.95" customHeight="1" x14ac:dyDescent="0.3">
      <c r="B4364" s="4" t="str" cm="1">
        <f t="array" ref="B4364">IFERROR(INDEX(EmployeeData[Employee ID], ROW() - 37), "")</f>
        <v/>
      </c>
      <c r="C4364" s="4" t="str" cm="1">
        <f t="array" ref="C4364">IFERROR(INDEX(EmployeeData[Full Name], ROW() - 37), "")</f>
        <v/>
      </c>
      <c r="D4364" s="4" t="str" cm="1">
        <f t="array" ref="D4364">IFERROR(INDEX(EmployeeData[Department], ROW() - 37), "")</f>
        <v/>
      </c>
      <c r="E4364" s="4" t="str" cm="1">
        <f t="array" ref="E4364">IFERROR(INDEX(EmployeeData[Gender], ROW() - 37), "")</f>
        <v/>
      </c>
      <c r="F4364" s="4" t="str" cm="1">
        <f t="array" ref="F4364">IFERROR(INDEX(EmployeeData[Age], ROW() - 37), "")</f>
        <v/>
      </c>
      <c r="G4364" s="6" t="str" cm="1">
        <f t="array" ref="G4364">IFERROR(INDEX(EmployeeData[Join Date], ROW() - 37), "")</f>
        <v/>
      </c>
      <c r="H4364" s="6" t="str" cm="1">
        <f t="array" ref="H4364">IFERROR(IF(INDEX(EmployeeData[Exit Date], ROW() - 37)=0, "",INDEX(EmployeeData[Exit Date], ROW() - 37)),"")</f>
        <v/>
      </c>
      <c r="I4364" s="4" t="str" cm="1">
        <f t="array" ref="I4364">IFERROR(IF(INDEX(EmployeeData[Exit Reason], ROW() - 37)=0, "",INDEX(EmployeeData[Exit Reason], ROW() - 37)),"")</f>
        <v/>
      </c>
      <c r="J4364" s="4" t="str" cm="1">
        <f t="array" ref="J4364">IFERROR(INDEX(EmployeeData[Status], ROW() - 37), "")</f>
        <v/>
      </c>
    </row>
    <row r="4365" spans="2:10" ht="19.95" customHeight="1" x14ac:dyDescent="0.3">
      <c r="B4365" s="4" t="str" cm="1">
        <f t="array" ref="B4365">IFERROR(INDEX(EmployeeData[Employee ID], ROW() - 37), "")</f>
        <v/>
      </c>
      <c r="C4365" s="4" t="str" cm="1">
        <f t="array" ref="C4365">IFERROR(INDEX(EmployeeData[Full Name], ROW() - 37), "")</f>
        <v/>
      </c>
      <c r="D4365" s="4" t="str" cm="1">
        <f t="array" ref="D4365">IFERROR(INDEX(EmployeeData[Department], ROW() - 37), "")</f>
        <v/>
      </c>
      <c r="E4365" s="4" t="str" cm="1">
        <f t="array" ref="E4365">IFERROR(INDEX(EmployeeData[Gender], ROW() - 37), "")</f>
        <v/>
      </c>
      <c r="F4365" s="4" t="str" cm="1">
        <f t="array" ref="F4365">IFERROR(INDEX(EmployeeData[Age], ROW() - 37), "")</f>
        <v/>
      </c>
      <c r="G4365" s="6" t="str" cm="1">
        <f t="array" ref="G4365">IFERROR(INDEX(EmployeeData[Join Date], ROW() - 37), "")</f>
        <v/>
      </c>
      <c r="H4365" s="6" t="str" cm="1">
        <f t="array" ref="H4365">IFERROR(IF(INDEX(EmployeeData[Exit Date], ROW() - 37)=0, "",INDEX(EmployeeData[Exit Date], ROW() - 37)),"")</f>
        <v/>
      </c>
      <c r="I4365" s="4" t="str" cm="1">
        <f t="array" ref="I4365">IFERROR(IF(INDEX(EmployeeData[Exit Reason], ROW() - 37)=0, "",INDEX(EmployeeData[Exit Reason], ROW() - 37)),"")</f>
        <v/>
      </c>
      <c r="J4365" s="4" t="str" cm="1">
        <f t="array" ref="J4365">IFERROR(INDEX(EmployeeData[Status], ROW() - 37), "")</f>
        <v/>
      </c>
    </row>
    <row r="4366" spans="2:10" ht="19.95" customHeight="1" x14ac:dyDescent="0.3">
      <c r="B4366" s="4" t="str" cm="1">
        <f t="array" ref="B4366">IFERROR(INDEX(EmployeeData[Employee ID], ROW() - 37), "")</f>
        <v/>
      </c>
      <c r="C4366" s="4" t="str" cm="1">
        <f t="array" ref="C4366">IFERROR(INDEX(EmployeeData[Full Name], ROW() - 37), "")</f>
        <v/>
      </c>
      <c r="D4366" s="4" t="str" cm="1">
        <f t="array" ref="D4366">IFERROR(INDEX(EmployeeData[Department], ROW() - 37), "")</f>
        <v/>
      </c>
      <c r="E4366" s="4" t="str" cm="1">
        <f t="array" ref="E4366">IFERROR(INDEX(EmployeeData[Gender], ROW() - 37), "")</f>
        <v/>
      </c>
      <c r="F4366" s="4" t="str" cm="1">
        <f t="array" ref="F4366">IFERROR(INDEX(EmployeeData[Age], ROW() - 37), "")</f>
        <v/>
      </c>
      <c r="G4366" s="6" t="str" cm="1">
        <f t="array" ref="G4366">IFERROR(INDEX(EmployeeData[Join Date], ROW() - 37), "")</f>
        <v/>
      </c>
      <c r="H4366" s="6" t="str" cm="1">
        <f t="array" ref="H4366">IFERROR(IF(INDEX(EmployeeData[Exit Date], ROW() - 37)=0, "",INDEX(EmployeeData[Exit Date], ROW() - 37)),"")</f>
        <v/>
      </c>
      <c r="I4366" s="4" t="str" cm="1">
        <f t="array" ref="I4366">IFERROR(IF(INDEX(EmployeeData[Exit Reason], ROW() - 37)=0, "",INDEX(EmployeeData[Exit Reason], ROW() - 37)),"")</f>
        <v/>
      </c>
      <c r="J4366" s="4" t="str" cm="1">
        <f t="array" ref="J4366">IFERROR(INDEX(EmployeeData[Status], ROW() - 37), "")</f>
        <v/>
      </c>
    </row>
    <row r="4367" spans="2:10" ht="19.95" customHeight="1" x14ac:dyDescent="0.3">
      <c r="B4367" s="4" t="str" cm="1">
        <f t="array" ref="B4367">IFERROR(INDEX(EmployeeData[Employee ID], ROW() - 37), "")</f>
        <v/>
      </c>
      <c r="C4367" s="4" t="str" cm="1">
        <f t="array" ref="C4367">IFERROR(INDEX(EmployeeData[Full Name], ROW() - 37), "")</f>
        <v/>
      </c>
      <c r="D4367" s="4" t="str" cm="1">
        <f t="array" ref="D4367">IFERROR(INDEX(EmployeeData[Department], ROW() - 37), "")</f>
        <v/>
      </c>
      <c r="E4367" s="4" t="str" cm="1">
        <f t="array" ref="E4367">IFERROR(INDEX(EmployeeData[Gender], ROW() - 37), "")</f>
        <v/>
      </c>
      <c r="F4367" s="4" t="str" cm="1">
        <f t="array" ref="F4367">IFERROR(INDEX(EmployeeData[Age], ROW() - 37), "")</f>
        <v/>
      </c>
      <c r="G4367" s="6" t="str" cm="1">
        <f t="array" ref="G4367">IFERROR(INDEX(EmployeeData[Join Date], ROW() - 37), "")</f>
        <v/>
      </c>
      <c r="H4367" s="6" t="str" cm="1">
        <f t="array" ref="H4367">IFERROR(IF(INDEX(EmployeeData[Exit Date], ROW() - 37)=0, "",INDEX(EmployeeData[Exit Date], ROW() - 37)),"")</f>
        <v/>
      </c>
      <c r="I4367" s="4" t="str" cm="1">
        <f t="array" ref="I4367">IFERROR(IF(INDEX(EmployeeData[Exit Reason], ROW() - 37)=0, "",INDEX(EmployeeData[Exit Reason], ROW() - 37)),"")</f>
        <v/>
      </c>
      <c r="J4367" s="4" t="str" cm="1">
        <f t="array" ref="J4367">IFERROR(INDEX(EmployeeData[Status], ROW() - 37), "")</f>
        <v/>
      </c>
    </row>
    <row r="4368" spans="2:10" ht="19.95" customHeight="1" x14ac:dyDescent="0.3">
      <c r="B4368" s="4" t="str" cm="1">
        <f t="array" ref="B4368">IFERROR(INDEX(EmployeeData[Employee ID], ROW() - 37), "")</f>
        <v/>
      </c>
      <c r="C4368" s="4" t="str" cm="1">
        <f t="array" ref="C4368">IFERROR(INDEX(EmployeeData[Full Name], ROW() - 37), "")</f>
        <v/>
      </c>
      <c r="D4368" s="4" t="str" cm="1">
        <f t="array" ref="D4368">IFERROR(INDEX(EmployeeData[Department], ROW() - 37), "")</f>
        <v/>
      </c>
      <c r="E4368" s="4" t="str" cm="1">
        <f t="array" ref="E4368">IFERROR(INDEX(EmployeeData[Gender], ROW() - 37), "")</f>
        <v/>
      </c>
      <c r="F4368" s="4" t="str" cm="1">
        <f t="array" ref="F4368">IFERROR(INDEX(EmployeeData[Age], ROW() - 37), "")</f>
        <v/>
      </c>
      <c r="G4368" s="6" t="str" cm="1">
        <f t="array" ref="G4368">IFERROR(INDEX(EmployeeData[Join Date], ROW() - 37), "")</f>
        <v/>
      </c>
      <c r="H4368" s="6" t="str" cm="1">
        <f t="array" ref="H4368">IFERROR(IF(INDEX(EmployeeData[Exit Date], ROW() - 37)=0, "",INDEX(EmployeeData[Exit Date], ROW() - 37)),"")</f>
        <v/>
      </c>
      <c r="I4368" s="4" t="str" cm="1">
        <f t="array" ref="I4368">IFERROR(IF(INDEX(EmployeeData[Exit Reason], ROW() - 37)=0, "",INDEX(EmployeeData[Exit Reason], ROW() - 37)),"")</f>
        <v/>
      </c>
      <c r="J4368" s="4" t="str" cm="1">
        <f t="array" ref="J4368">IFERROR(INDEX(EmployeeData[Status], ROW() - 37), "")</f>
        <v/>
      </c>
    </row>
    <row r="4369" spans="2:10" ht="19.95" customHeight="1" x14ac:dyDescent="0.3">
      <c r="B4369" s="4" t="str" cm="1">
        <f t="array" ref="B4369">IFERROR(INDEX(EmployeeData[Employee ID], ROW() - 37), "")</f>
        <v/>
      </c>
      <c r="C4369" s="4" t="str" cm="1">
        <f t="array" ref="C4369">IFERROR(INDEX(EmployeeData[Full Name], ROW() - 37), "")</f>
        <v/>
      </c>
      <c r="D4369" s="4" t="str" cm="1">
        <f t="array" ref="D4369">IFERROR(INDEX(EmployeeData[Department], ROW() - 37), "")</f>
        <v/>
      </c>
      <c r="E4369" s="4" t="str" cm="1">
        <f t="array" ref="E4369">IFERROR(INDEX(EmployeeData[Gender], ROW() - 37), "")</f>
        <v/>
      </c>
      <c r="F4369" s="4" t="str" cm="1">
        <f t="array" ref="F4369">IFERROR(INDEX(EmployeeData[Age], ROW() - 37), "")</f>
        <v/>
      </c>
      <c r="G4369" s="6" t="str" cm="1">
        <f t="array" ref="G4369">IFERROR(INDEX(EmployeeData[Join Date], ROW() - 37), "")</f>
        <v/>
      </c>
      <c r="H4369" s="6" t="str" cm="1">
        <f t="array" ref="H4369">IFERROR(IF(INDEX(EmployeeData[Exit Date], ROW() - 37)=0, "",INDEX(EmployeeData[Exit Date], ROW() - 37)),"")</f>
        <v/>
      </c>
      <c r="I4369" s="4" t="str" cm="1">
        <f t="array" ref="I4369">IFERROR(IF(INDEX(EmployeeData[Exit Reason], ROW() - 37)=0, "",INDEX(EmployeeData[Exit Reason], ROW() - 37)),"")</f>
        <v/>
      </c>
      <c r="J4369" s="4" t="str" cm="1">
        <f t="array" ref="J4369">IFERROR(INDEX(EmployeeData[Status], ROW() - 37), "")</f>
        <v/>
      </c>
    </row>
    <row r="4370" spans="2:10" ht="19.95" customHeight="1" x14ac:dyDescent="0.3">
      <c r="B4370" s="4" t="str" cm="1">
        <f t="array" ref="B4370">IFERROR(INDEX(EmployeeData[Employee ID], ROW() - 37), "")</f>
        <v/>
      </c>
      <c r="C4370" s="4" t="str" cm="1">
        <f t="array" ref="C4370">IFERROR(INDEX(EmployeeData[Full Name], ROW() - 37), "")</f>
        <v/>
      </c>
      <c r="D4370" s="4" t="str" cm="1">
        <f t="array" ref="D4370">IFERROR(INDEX(EmployeeData[Department], ROW() - 37), "")</f>
        <v/>
      </c>
      <c r="E4370" s="4" t="str" cm="1">
        <f t="array" ref="E4370">IFERROR(INDEX(EmployeeData[Gender], ROW() - 37), "")</f>
        <v/>
      </c>
      <c r="F4370" s="4" t="str" cm="1">
        <f t="array" ref="F4370">IFERROR(INDEX(EmployeeData[Age], ROW() - 37), "")</f>
        <v/>
      </c>
      <c r="G4370" s="6" t="str" cm="1">
        <f t="array" ref="G4370">IFERROR(INDEX(EmployeeData[Join Date], ROW() - 37), "")</f>
        <v/>
      </c>
      <c r="H4370" s="6" t="str" cm="1">
        <f t="array" ref="H4370">IFERROR(IF(INDEX(EmployeeData[Exit Date], ROW() - 37)=0, "",INDEX(EmployeeData[Exit Date], ROW() - 37)),"")</f>
        <v/>
      </c>
      <c r="I4370" s="4" t="str" cm="1">
        <f t="array" ref="I4370">IFERROR(IF(INDEX(EmployeeData[Exit Reason], ROW() - 37)=0, "",INDEX(EmployeeData[Exit Reason], ROW() - 37)),"")</f>
        <v/>
      </c>
      <c r="J4370" s="4" t="str" cm="1">
        <f t="array" ref="J4370">IFERROR(INDEX(EmployeeData[Status], ROW() - 37), "")</f>
        <v/>
      </c>
    </row>
    <row r="4371" spans="2:10" ht="19.95" customHeight="1" x14ac:dyDescent="0.3">
      <c r="B4371" s="4" t="str" cm="1">
        <f t="array" ref="B4371">IFERROR(INDEX(EmployeeData[Employee ID], ROW() - 37), "")</f>
        <v/>
      </c>
      <c r="C4371" s="4" t="str" cm="1">
        <f t="array" ref="C4371">IFERROR(INDEX(EmployeeData[Full Name], ROW() - 37), "")</f>
        <v/>
      </c>
      <c r="D4371" s="4" t="str" cm="1">
        <f t="array" ref="D4371">IFERROR(INDEX(EmployeeData[Department], ROW() - 37), "")</f>
        <v/>
      </c>
      <c r="E4371" s="4" t="str" cm="1">
        <f t="array" ref="E4371">IFERROR(INDEX(EmployeeData[Gender], ROW() - 37), "")</f>
        <v/>
      </c>
      <c r="F4371" s="4" t="str" cm="1">
        <f t="array" ref="F4371">IFERROR(INDEX(EmployeeData[Age], ROW() - 37), "")</f>
        <v/>
      </c>
      <c r="G4371" s="6" t="str" cm="1">
        <f t="array" ref="G4371">IFERROR(INDEX(EmployeeData[Join Date], ROW() - 37), "")</f>
        <v/>
      </c>
      <c r="H4371" s="6" t="str" cm="1">
        <f t="array" ref="H4371">IFERROR(IF(INDEX(EmployeeData[Exit Date], ROW() - 37)=0, "",INDEX(EmployeeData[Exit Date], ROW() - 37)),"")</f>
        <v/>
      </c>
      <c r="I4371" s="4" t="str" cm="1">
        <f t="array" ref="I4371">IFERROR(IF(INDEX(EmployeeData[Exit Reason], ROW() - 37)=0, "",INDEX(EmployeeData[Exit Reason], ROW() - 37)),"")</f>
        <v/>
      </c>
      <c r="J4371" s="4" t="str" cm="1">
        <f t="array" ref="J4371">IFERROR(INDEX(EmployeeData[Status], ROW() - 37), "")</f>
        <v/>
      </c>
    </row>
    <row r="4372" spans="2:10" ht="19.95" customHeight="1" x14ac:dyDescent="0.3">
      <c r="B4372" s="4" t="str" cm="1">
        <f t="array" ref="B4372">IFERROR(INDEX(EmployeeData[Employee ID], ROW() - 37), "")</f>
        <v/>
      </c>
      <c r="C4372" s="4" t="str" cm="1">
        <f t="array" ref="C4372">IFERROR(INDEX(EmployeeData[Full Name], ROW() - 37), "")</f>
        <v/>
      </c>
      <c r="D4372" s="4" t="str" cm="1">
        <f t="array" ref="D4372">IFERROR(INDEX(EmployeeData[Department], ROW() - 37), "")</f>
        <v/>
      </c>
      <c r="E4372" s="4" t="str" cm="1">
        <f t="array" ref="E4372">IFERROR(INDEX(EmployeeData[Gender], ROW() - 37), "")</f>
        <v/>
      </c>
      <c r="F4372" s="4" t="str" cm="1">
        <f t="array" ref="F4372">IFERROR(INDEX(EmployeeData[Age], ROW() - 37), "")</f>
        <v/>
      </c>
      <c r="G4372" s="6" t="str" cm="1">
        <f t="array" ref="G4372">IFERROR(INDEX(EmployeeData[Join Date], ROW() - 37), "")</f>
        <v/>
      </c>
      <c r="H4372" s="6" t="str" cm="1">
        <f t="array" ref="H4372">IFERROR(IF(INDEX(EmployeeData[Exit Date], ROW() - 37)=0, "",INDEX(EmployeeData[Exit Date], ROW() - 37)),"")</f>
        <v/>
      </c>
      <c r="I4372" s="4" t="str" cm="1">
        <f t="array" ref="I4372">IFERROR(IF(INDEX(EmployeeData[Exit Reason], ROW() - 37)=0, "",INDEX(EmployeeData[Exit Reason], ROW() - 37)),"")</f>
        <v/>
      </c>
      <c r="J4372" s="4" t="str" cm="1">
        <f t="array" ref="J4372">IFERROR(INDEX(EmployeeData[Status], ROW() - 37), "")</f>
        <v/>
      </c>
    </row>
    <row r="4373" spans="2:10" ht="19.95" customHeight="1" x14ac:dyDescent="0.3">
      <c r="B4373" s="4" t="str" cm="1">
        <f t="array" ref="B4373">IFERROR(INDEX(EmployeeData[Employee ID], ROW() - 37), "")</f>
        <v/>
      </c>
      <c r="C4373" s="4" t="str" cm="1">
        <f t="array" ref="C4373">IFERROR(INDEX(EmployeeData[Full Name], ROW() - 37), "")</f>
        <v/>
      </c>
      <c r="D4373" s="4" t="str" cm="1">
        <f t="array" ref="D4373">IFERROR(INDEX(EmployeeData[Department], ROW() - 37), "")</f>
        <v/>
      </c>
      <c r="E4373" s="4" t="str" cm="1">
        <f t="array" ref="E4373">IFERROR(INDEX(EmployeeData[Gender], ROW() - 37), "")</f>
        <v/>
      </c>
      <c r="F4373" s="4" t="str" cm="1">
        <f t="array" ref="F4373">IFERROR(INDEX(EmployeeData[Age], ROW() - 37), "")</f>
        <v/>
      </c>
      <c r="G4373" s="6" t="str" cm="1">
        <f t="array" ref="G4373">IFERROR(INDEX(EmployeeData[Join Date], ROW() - 37), "")</f>
        <v/>
      </c>
      <c r="H4373" s="6" t="str" cm="1">
        <f t="array" ref="H4373">IFERROR(IF(INDEX(EmployeeData[Exit Date], ROW() - 37)=0, "",INDEX(EmployeeData[Exit Date], ROW() - 37)),"")</f>
        <v/>
      </c>
      <c r="I4373" s="4" t="str" cm="1">
        <f t="array" ref="I4373">IFERROR(IF(INDEX(EmployeeData[Exit Reason], ROW() - 37)=0, "",INDEX(EmployeeData[Exit Reason], ROW() - 37)),"")</f>
        <v/>
      </c>
      <c r="J4373" s="4" t="str" cm="1">
        <f t="array" ref="J4373">IFERROR(INDEX(EmployeeData[Status], ROW() - 37), "")</f>
        <v/>
      </c>
    </row>
    <row r="4374" spans="2:10" ht="19.95" customHeight="1" x14ac:dyDescent="0.3">
      <c r="B4374" s="4" t="str" cm="1">
        <f t="array" ref="B4374">IFERROR(INDEX(EmployeeData[Employee ID], ROW() - 37), "")</f>
        <v/>
      </c>
      <c r="C4374" s="4" t="str" cm="1">
        <f t="array" ref="C4374">IFERROR(INDEX(EmployeeData[Full Name], ROW() - 37), "")</f>
        <v/>
      </c>
      <c r="D4374" s="4" t="str" cm="1">
        <f t="array" ref="D4374">IFERROR(INDEX(EmployeeData[Department], ROW() - 37), "")</f>
        <v/>
      </c>
      <c r="E4374" s="4" t="str" cm="1">
        <f t="array" ref="E4374">IFERROR(INDEX(EmployeeData[Gender], ROW() - 37), "")</f>
        <v/>
      </c>
      <c r="F4374" s="4" t="str" cm="1">
        <f t="array" ref="F4374">IFERROR(INDEX(EmployeeData[Age], ROW() - 37), "")</f>
        <v/>
      </c>
      <c r="G4374" s="6" t="str" cm="1">
        <f t="array" ref="G4374">IFERROR(INDEX(EmployeeData[Join Date], ROW() - 37), "")</f>
        <v/>
      </c>
      <c r="H4374" s="6" t="str" cm="1">
        <f t="array" ref="H4374">IFERROR(IF(INDEX(EmployeeData[Exit Date], ROW() - 37)=0, "",INDEX(EmployeeData[Exit Date], ROW() - 37)),"")</f>
        <v/>
      </c>
      <c r="I4374" s="4" t="str" cm="1">
        <f t="array" ref="I4374">IFERROR(IF(INDEX(EmployeeData[Exit Reason], ROW() - 37)=0, "",INDEX(EmployeeData[Exit Reason], ROW() - 37)),"")</f>
        <v/>
      </c>
      <c r="J4374" s="4" t="str" cm="1">
        <f t="array" ref="J4374">IFERROR(INDEX(EmployeeData[Status], ROW() - 37), "")</f>
        <v/>
      </c>
    </row>
    <row r="4375" spans="2:10" ht="19.95" customHeight="1" x14ac:dyDescent="0.3">
      <c r="B4375" s="4" t="str" cm="1">
        <f t="array" ref="B4375">IFERROR(INDEX(EmployeeData[Employee ID], ROW() - 37), "")</f>
        <v/>
      </c>
      <c r="C4375" s="4" t="str" cm="1">
        <f t="array" ref="C4375">IFERROR(INDEX(EmployeeData[Full Name], ROW() - 37), "")</f>
        <v/>
      </c>
      <c r="D4375" s="4" t="str" cm="1">
        <f t="array" ref="D4375">IFERROR(INDEX(EmployeeData[Department], ROW() - 37), "")</f>
        <v/>
      </c>
      <c r="E4375" s="4" t="str" cm="1">
        <f t="array" ref="E4375">IFERROR(INDEX(EmployeeData[Gender], ROW() - 37), "")</f>
        <v/>
      </c>
      <c r="F4375" s="4" t="str" cm="1">
        <f t="array" ref="F4375">IFERROR(INDEX(EmployeeData[Age], ROW() - 37), "")</f>
        <v/>
      </c>
      <c r="G4375" s="6" t="str" cm="1">
        <f t="array" ref="G4375">IFERROR(INDEX(EmployeeData[Join Date], ROW() - 37), "")</f>
        <v/>
      </c>
      <c r="H4375" s="6" t="str" cm="1">
        <f t="array" ref="H4375">IFERROR(IF(INDEX(EmployeeData[Exit Date], ROW() - 37)=0, "",INDEX(EmployeeData[Exit Date], ROW() - 37)),"")</f>
        <v/>
      </c>
      <c r="I4375" s="4" t="str" cm="1">
        <f t="array" ref="I4375">IFERROR(IF(INDEX(EmployeeData[Exit Reason], ROW() - 37)=0, "",INDEX(EmployeeData[Exit Reason], ROW() - 37)),"")</f>
        <v/>
      </c>
      <c r="J4375" s="4" t="str" cm="1">
        <f t="array" ref="J4375">IFERROR(INDEX(EmployeeData[Status], ROW() - 37), "")</f>
        <v/>
      </c>
    </row>
    <row r="4376" spans="2:10" ht="19.95" customHeight="1" x14ac:dyDescent="0.3">
      <c r="B4376" s="4" t="str" cm="1">
        <f t="array" ref="B4376">IFERROR(INDEX(EmployeeData[Employee ID], ROW() - 37), "")</f>
        <v/>
      </c>
      <c r="C4376" s="4" t="str" cm="1">
        <f t="array" ref="C4376">IFERROR(INDEX(EmployeeData[Full Name], ROW() - 37), "")</f>
        <v/>
      </c>
      <c r="D4376" s="4" t="str" cm="1">
        <f t="array" ref="D4376">IFERROR(INDEX(EmployeeData[Department], ROW() - 37), "")</f>
        <v/>
      </c>
      <c r="E4376" s="4" t="str" cm="1">
        <f t="array" ref="E4376">IFERROR(INDEX(EmployeeData[Gender], ROW() - 37), "")</f>
        <v/>
      </c>
      <c r="F4376" s="4" t="str" cm="1">
        <f t="array" ref="F4376">IFERROR(INDEX(EmployeeData[Age], ROW() - 37), "")</f>
        <v/>
      </c>
      <c r="G4376" s="6" t="str" cm="1">
        <f t="array" ref="G4376">IFERROR(INDEX(EmployeeData[Join Date], ROW() - 37), "")</f>
        <v/>
      </c>
      <c r="H4376" s="6" t="str" cm="1">
        <f t="array" ref="H4376">IFERROR(IF(INDEX(EmployeeData[Exit Date], ROW() - 37)=0, "",INDEX(EmployeeData[Exit Date], ROW() - 37)),"")</f>
        <v/>
      </c>
      <c r="I4376" s="4" t="str" cm="1">
        <f t="array" ref="I4376">IFERROR(IF(INDEX(EmployeeData[Exit Reason], ROW() - 37)=0, "",INDEX(EmployeeData[Exit Reason], ROW() - 37)),"")</f>
        <v/>
      </c>
      <c r="J4376" s="4" t="str" cm="1">
        <f t="array" ref="J4376">IFERROR(INDEX(EmployeeData[Status], ROW() - 37), "")</f>
        <v/>
      </c>
    </row>
    <row r="4377" spans="2:10" ht="19.95" customHeight="1" x14ac:dyDescent="0.3">
      <c r="B4377" s="4" t="str" cm="1">
        <f t="array" ref="B4377">IFERROR(INDEX(EmployeeData[Employee ID], ROW() - 37), "")</f>
        <v/>
      </c>
      <c r="C4377" s="4" t="str" cm="1">
        <f t="array" ref="C4377">IFERROR(INDEX(EmployeeData[Full Name], ROW() - 37), "")</f>
        <v/>
      </c>
      <c r="D4377" s="4" t="str" cm="1">
        <f t="array" ref="D4377">IFERROR(INDEX(EmployeeData[Department], ROW() - 37), "")</f>
        <v/>
      </c>
      <c r="E4377" s="4" t="str" cm="1">
        <f t="array" ref="E4377">IFERROR(INDEX(EmployeeData[Gender], ROW() - 37), "")</f>
        <v/>
      </c>
      <c r="F4377" s="4" t="str" cm="1">
        <f t="array" ref="F4377">IFERROR(INDEX(EmployeeData[Age], ROW() - 37), "")</f>
        <v/>
      </c>
      <c r="G4377" s="6" t="str" cm="1">
        <f t="array" ref="G4377">IFERROR(INDEX(EmployeeData[Join Date], ROW() - 37), "")</f>
        <v/>
      </c>
      <c r="H4377" s="6" t="str" cm="1">
        <f t="array" ref="H4377">IFERROR(IF(INDEX(EmployeeData[Exit Date], ROW() - 37)=0, "",INDEX(EmployeeData[Exit Date], ROW() - 37)),"")</f>
        <v/>
      </c>
      <c r="I4377" s="4" t="str" cm="1">
        <f t="array" ref="I4377">IFERROR(IF(INDEX(EmployeeData[Exit Reason], ROW() - 37)=0, "",INDEX(EmployeeData[Exit Reason], ROW() - 37)),"")</f>
        <v/>
      </c>
      <c r="J4377" s="4" t="str" cm="1">
        <f t="array" ref="J4377">IFERROR(INDEX(EmployeeData[Status], ROW() - 37), "")</f>
        <v/>
      </c>
    </row>
    <row r="4378" spans="2:10" ht="19.95" customHeight="1" x14ac:dyDescent="0.3">
      <c r="B4378" s="4" t="str" cm="1">
        <f t="array" ref="B4378">IFERROR(INDEX(EmployeeData[Employee ID], ROW() - 37), "")</f>
        <v/>
      </c>
      <c r="C4378" s="4" t="str" cm="1">
        <f t="array" ref="C4378">IFERROR(INDEX(EmployeeData[Full Name], ROW() - 37), "")</f>
        <v/>
      </c>
      <c r="D4378" s="4" t="str" cm="1">
        <f t="array" ref="D4378">IFERROR(INDEX(EmployeeData[Department], ROW() - 37), "")</f>
        <v/>
      </c>
      <c r="E4378" s="4" t="str" cm="1">
        <f t="array" ref="E4378">IFERROR(INDEX(EmployeeData[Gender], ROW() - 37), "")</f>
        <v/>
      </c>
      <c r="F4378" s="4" t="str" cm="1">
        <f t="array" ref="F4378">IFERROR(INDEX(EmployeeData[Age], ROW() - 37), "")</f>
        <v/>
      </c>
      <c r="G4378" s="6" t="str" cm="1">
        <f t="array" ref="G4378">IFERROR(INDEX(EmployeeData[Join Date], ROW() - 37), "")</f>
        <v/>
      </c>
      <c r="H4378" s="6" t="str" cm="1">
        <f t="array" ref="H4378">IFERROR(IF(INDEX(EmployeeData[Exit Date], ROW() - 37)=0, "",INDEX(EmployeeData[Exit Date], ROW() - 37)),"")</f>
        <v/>
      </c>
      <c r="I4378" s="4" t="str" cm="1">
        <f t="array" ref="I4378">IFERROR(IF(INDEX(EmployeeData[Exit Reason], ROW() - 37)=0, "",INDEX(EmployeeData[Exit Reason], ROW() - 37)),"")</f>
        <v/>
      </c>
      <c r="J4378" s="4" t="str" cm="1">
        <f t="array" ref="J4378">IFERROR(INDEX(EmployeeData[Status], ROW() - 37), "")</f>
        <v/>
      </c>
    </row>
    <row r="4379" spans="2:10" ht="19.95" customHeight="1" x14ac:dyDescent="0.3">
      <c r="B4379" s="4" t="str" cm="1">
        <f t="array" ref="B4379">IFERROR(INDEX(EmployeeData[Employee ID], ROW() - 37), "")</f>
        <v/>
      </c>
      <c r="C4379" s="4" t="str" cm="1">
        <f t="array" ref="C4379">IFERROR(INDEX(EmployeeData[Full Name], ROW() - 37), "")</f>
        <v/>
      </c>
      <c r="D4379" s="4" t="str" cm="1">
        <f t="array" ref="D4379">IFERROR(INDEX(EmployeeData[Department], ROW() - 37), "")</f>
        <v/>
      </c>
      <c r="E4379" s="4" t="str" cm="1">
        <f t="array" ref="E4379">IFERROR(INDEX(EmployeeData[Gender], ROW() - 37), "")</f>
        <v/>
      </c>
      <c r="F4379" s="4" t="str" cm="1">
        <f t="array" ref="F4379">IFERROR(INDEX(EmployeeData[Age], ROW() - 37), "")</f>
        <v/>
      </c>
      <c r="G4379" s="6" t="str" cm="1">
        <f t="array" ref="G4379">IFERROR(INDEX(EmployeeData[Join Date], ROW() - 37), "")</f>
        <v/>
      </c>
      <c r="H4379" s="6" t="str" cm="1">
        <f t="array" ref="H4379">IFERROR(IF(INDEX(EmployeeData[Exit Date], ROW() - 37)=0, "",INDEX(EmployeeData[Exit Date], ROW() - 37)),"")</f>
        <v/>
      </c>
      <c r="I4379" s="4" t="str" cm="1">
        <f t="array" ref="I4379">IFERROR(IF(INDEX(EmployeeData[Exit Reason], ROW() - 37)=0, "",INDEX(EmployeeData[Exit Reason], ROW() - 37)),"")</f>
        <v/>
      </c>
      <c r="J4379" s="4" t="str" cm="1">
        <f t="array" ref="J4379">IFERROR(INDEX(EmployeeData[Status], ROW() - 37), "")</f>
        <v/>
      </c>
    </row>
    <row r="4380" spans="2:10" ht="19.95" customHeight="1" x14ac:dyDescent="0.3">
      <c r="B4380" s="4" t="str" cm="1">
        <f t="array" ref="B4380">IFERROR(INDEX(EmployeeData[Employee ID], ROW() - 37), "")</f>
        <v/>
      </c>
      <c r="C4380" s="4" t="str" cm="1">
        <f t="array" ref="C4380">IFERROR(INDEX(EmployeeData[Full Name], ROW() - 37), "")</f>
        <v/>
      </c>
      <c r="D4380" s="4" t="str" cm="1">
        <f t="array" ref="D4380">IFERROR(INDEX(EmployeeData[Department], ROW() - 37), "")</f>
        <v/>
      </c>
      <c r="E4380" s="4" t="str" cm="1">
        <f t="array" ref="E4380">IFERROR(INDEX(EmployeeData[Gender], ROW() - 37), "")</f>
        <v/>
      </c>
      <c r="F4380" s="4" t="str" cm="1">
        <f t="array" ref="F4380">IFERROR(INDEX(EmployeeData[Age], ROW() - 37), "")</f>
        <v/>
      </c>
      <c r="G4380" s="6" t="str" cm="1">
        <f t="array" ref="G4380">IFERROR(INDEX(EmployeeData[Join Date], ROW() - 37), "")</f>
        <v/>
      </c>
      <c r="H4380" s="6" t="str" cm="1">
        <f t="array" ref="H4380">IFERROR(IF(INDEX(EmployeeData[Exit Date], ROW() - 37)=0, "",INDEX(EmployeeData[Exit Date], ROW() - 37)),"")</f>
        <v/>
      </c>
      <c r="I4380" s="4" t="str" cm="1">
        <f t="array" ref="I4380">IFERROR(IF(INDEX(EmployeeData[Exit Reason], ROW() - 37)=0, "",INDEX(EmployeeData[Exit Reason], ROW() - 37)),"")</f>
        <v/>
      </c>
      <c r="J4380" s="4" t="str" cm="1">
        <f t="array" ref="J4380">IFERROR(INDEX(EmployeeData[Status], ROW() - 37), "")</f>
        <v/>
      </c>
    </row>
    <row r="4381" spans="2:10" ht="19.95" customHeight="1" x14ac:dyDescent="0.3">
      <c r="B4381" s="4" t="str" cm="1">
        <f t="array" ref="B4381">IFERROR(INDEX(EmployeeData[Employee ID], ROW() - 37), "")</f>
        <v/>
      </c>
      <c r="C4381" s="4" t="str" cm="1">
        <f t="array" ref="C4381">IFERROR(INDEX(EmployeeData[Full Name], ROW() - 37), "")</f>
        <v/>
      </c>
      <c r="D4381" s="4" t="str" cm="1">
        <f t="array" ref="D4381">IFERROR(INDEX(EmployeeData[Department], ROW() - 37), "")</f>
        <v/>
      </c>
      <c r="E4381" s="4" t="str" cm="1">
        <f t="array" ref="E4381">IFERROR(INDEX(EmployeeData[Gender], ROW() - 37), "")</f>
        <v/>
      </c>
      <c r="F4381" s="4" t="str" cm="1">
        <f t="array" ref="F4381">IFERROR(INDEX(EmployeeData[Age], ROW() - 37), "")</f>
        <v/>
      </c>
      <c r="G4381" s="6" t="str" cm="1">
        <f t="array" ref="G4381">IFERROR(INDEX(EmployeeData[Join Date], ROW() - 37), "")</f>
        <v/>
      </c>
      <c r="H4381" s="6" t="str" cm="1">
        <f t="array" ref="H4381">IFERROR(IF(INDEX(EmployeeData[Exit Date], ROW() - 37)=0, "",INDEX(EmployeeData[Exit Date], ROW() - 37)),"")</f>
        <v/>
      </c>
      <c r="I4381" s="4" t="str" cm="1">
        <f t="array" ref="I4381">IFERROR(IF(INDEX(EmployeeData[Exit Reason], ROW() - 37)=0, "",INDEX(EmployeeData[Exit Reason], ROW() - 37)),"")</f>
        <v/>
      </c>
      <c r="J4381" s="4" t="str" cm="1">
        <f t="array" ref="J4381">IFERROR(INDEX(EmployeeData[Status], ROW() - 37), "")</f>
        <v/>
      </c>
    </row>
    <row r="4382" spans="2:10" ht="19.95" customHeight="1" x14ac:dyDescent="0.3">
      <c r="B4382" s="4" t="str" cm="1">
        <f t="array" ref="B4382">IFERROR(INDEX(EmployeeData[Employee ID], ROW() - 37), "")</f>
        <v/>
      </c>
      <c r="C4382" s="4" t="str" cm="1">
        <f t="array" ref="C4382">IFERROR(INDEX(EmployeeData[Full Name], ROW() - 37), "")</f>
        <v/>
      </c>
      <c r="D4382" s="4" t="str" cm="1">
        <f t="array" ref="D4382">IFERROR(INDEX(EmployeeData[Department], ROW() - 37), "")</f>
        <v/>
      </c>
      <c r="E4382" s="4" t="str" cm="1">
        <f t="array" ref="E4382">IFERROR(INDEX(EmployeeData[Gender], ROW() - 37), "")</f>
        <v/>
      </c>
      <c r="F4382" s="4" t="str" cm="1">
        <f t="array" ref="F4382">IFERROR(INDEX(EmployeeData[Age], ROW() - 37), "")</f>
        <v/>
      </c>
      <c r="G4382" s="6" t="str" cm="1">
        <f t="array" ref="G4382">IFERROR(INDEX(EmployeeData[Join Date], ROW() - 37), "")</f>
        <v/>
      </c>
      <c r="H4382" s="6" t="str" cm="1">
        <f t="array" ref="H4382">IFERROR(IF(INDEX(EmployeeData[Exit Date], ROW() - 37)=0, "",INDEX(EmployeeData[Exit Date], ROW() - 37)),"")</f>
        <v/>
      </c>
      <c r="I4382" s="4" t="str" cm="1">
        <f t="array" ref="I4382">IFERROR(IF(INDEX(EmployeeData[Exit Reason], ROW() - 37)=0, "",INDEX(EmployeeData[Exit Reason], ROW() - 37)),"")</f>
        <v/>
      </c>
      <c r="J4382" s="4" t="str" cm="1">
        <f t="array" ref="J4382">IFERROR(INDEX(EmployeeData[Status], ROW() - 37), "")</f>
        <v/>
      </c>
    </row>
    <row r="4383" spans="2:10" ht="19.95" customHeight="1" x14ac:dyDescent="0.3">
      <c r="B4383" s="4" t="str" cm="1">
        <f t="array" ref="B4383">IFERROR(INDEX(EmployeeData[Employee ID], ROW() - 37), "")</f>
        <v/>
      </c>
      <c r="C4383" s="4" t="str" cm="1">
        <f t="array" ref="C4383">IFERROR(INDEX(EmployeeData[Full Name], ROW() - 37), "")</f>
        <v/>
      </c>
      <c r="D4383" s="4" t="str" cm="1">
        <f t="array" ref="D4383">IFERROR(INDEX(EmployeeData[Department], ROW() - 37), "")</f>
        <v/>
      </c>
      <c r="E4383" s="4" t="str" cm="1">
        <f t="array" ref="E4383">IFERROR(INDEX(EmployeeData[Gender], ROW() - 37), "")</f>
        <v/>
      </c>
      <c r="F4383" s="4" t="str" cm="1">
        <f t="array" ref="F4383">IFERROR(INDEX(EmployeeData[Age], ROW() - 37), "")</f>
        <v/>
      </c>
      <c r="G4383" s="6" t="str" cm="1">
        <f t="array" ref="G4383">IFERROR(INDEX(EmployeeData[Join Date], ROW() - 37), "")</f>
        <v/>
      </c>
      <c r="H4383" s="6" t="str" cm="1">
        <f t="array" ref="H4383">IFERROR(IF(INDEX(EmployeeData[Exit Date], ROW() - 37)=0, "",INDEX(EmployeeData[Exit Date], ROW() - 37)),"")</f>
        <v/>
      </c>
      <c r="I4383" s="4" t="str" cm="1">
        <f t="array" ref="I4383">IFERROR(IF(INDEX(EmployeeData[Exit Reason], ROW() - 37)=0, "",INDEX(EmployeeData[Exit Reason], ROW() - 37)),"")</f>
        <v/>
      </c>
      <c r="J4383" s="4" t="str" cm="1">
        <f t="array" ref="J4383">IFERROR(INDEX(EmployeeData[Status], ROW() - 37), "")</f>
        <v/>
      </c>
    </row>
    <row r="4384" spans="2:10" ht="19.95" customHeight="1" x14ac:dyDescent="0.3">
      <c r="B4384" s="4" t="str" cm="1">
        <f t="array" ref="B4384">IFERROR(INDEX(EmployeeData[Employee ID], ROW() - 37), "")</f>
        <v/>
      </c>
      <c r="C4384" s="4" t="str" cm="1">
        <f t="array" ref="C4384">IFERROR(INDEX(EmployeeData[Full Name], ROW() - 37), "")</f>
        <v/>
      </c>
      <c r="D4384" s="4" t="str" cm="1">
        <f t="array" ref="D4384">IFERROR(INDEX(EmployeeData[Department], ROW() - 37), "")</f>
        <v/>
      </c>
      <c r="E4384" s="4" t="str" cm="1">
        <f t="array" ref="E4384">IFERROR(INDEX(EmployeeData[Gender], ROW() - 37), "")</f>
        <v/>
      </c>
      <c r="F4384" s="4" t="str" cm="1">
        <f t="array" ref="F4384">IFERROR(INDEX(EmployeeData[Age], ROW() - 37), "")</f>
        <v/>
      </c>
      <c r="G4384" s="6" t="str" cm="1">
        <f t="array" ref="G4384">IFERROR(INDEX(EmployeeData[Join Date], ROW() - 37), "")</f>
        <v/>
      </c>
      <c r="H4384" s="6" t="str" cm="1">
        <f t="array" ref="H4384">IFERROR(IF(INDEX(EmployeeData[Exit Date], ROW() - 37)=0, "",INDEX(EmployeeData[Exit Date], ROW() - 37)),"")</f>
        <v/>
      </c>
      <c r="I4384" s="4" t="str" cm="1">
        <f t="array" ref="I4384">IFERROR(IF(INDEX(EmployeeData[Exit Reason], ROW() - 37)=0, "",INDEX(EmployeeData[Exit Reason], ROW() - 37)),"")</f>
        <v/>
      </c>
      <c r="J4384" s="4" t="str" cm="1">
        <f t="array" ref="J4384">IFERROR(INDEX(EmployeeData[Status], ROW() - 37), "")</f>
        <v/>
      </c>
    </row>
    <row r="4385" spans="2:10" ht="19.95" customHeight="1" x14ac:dyDescent="0.3">
      <c r="B4385" s="4" t="str" cm="1">
        <f t="array" ref="B4385">IFERROR(INDEX(EmployeeData[Employee ID], ROW() - 37), "")</f>
        <v/>
      </c>
      <c r="C4385" s="4" t="str" cm="1">
        <f t="array" ref="C4385">IFERROR(INDEX(EmployeeData[Full Name], ROW() - 37), "")</f>
        <v/>
      </c>
      <c r="D4385" s="4" t="str" cm="1">
        <f t="array" ref="D4385">IFERROR(INDEX(EmployeeData[Department], ROW() - 37), "")</f>
        <v/>
      </c>
      <c r="E4385" s="4" t="str" cm="1">
        <f t="array" ref="E4385">IFERROR(INDEX(EmployeeData[Gender], ROW() - 37), "")</f>
        <v/>
      </c>
      <c r="F4385" s="4" t="str" cm="1">
        <f t="array" ref="F4385">IFERROR(INDEX(EmployeeData[Age], ROW() - 37), "")</f>
        <v/>
      </c>
      <c r="G4385" s="6" t="str" cm="1">
        <f t="array" ref="G4385">IFERROR(INDEX(EmployeeData[Join Date], ROW() - 37), "")</f>
        <v/>
      </c>
      <c r="H4385" s="6" t="str" cm="1">
        <f t="array" ref="H4385">IFERROR(IF(INDEX(EmployeeData[Exit Date], ROW() - 37)=0, "",INDEX(EmployeeData[Exit Date], ROW() - 37)),"")</f>
        <v/>
      </c>
      <c r="I4385" s="4" t="str" cm="1">
        <f t="array" ref="I4385">IFERROR(IF(INDEX(EmployeeData[Exit Reason], ROW() - 37)=0, "",INDEX(EmployeeData[Exit Reason], ROW() - 37)),"")</f>
        <v/>
      </c>
      <c r="J4385" s="4" t="str" cm="1">
        <f t="array" ref="J4385">IFERROR(INDEX(EmployeeData[Status], ROW() - 37), "")</f>
        <v/>
      </c>
    </row>
    <row r="4386" spans="2:10" ht="19.95" customHeight="1" x14ac:dyDescent="0.3">
      <c r="B4386" s="4" t="str" cm="1">
        <f t="array" ref="B4386">IFERROR(INDEX(EmployeeData[Employee ID], ROW() - 37), "")</f>
        <v/>
      </c>
      <c r="C4386" s="4" t="str" cm="1">
        <f t="array" ref="C4386">IFERROR(INDEX(EmployeeData[Full Name], ROW() - 37), "")</f>
        <v/>
      </c>
      <c r="D4386" s="4" t="str" cm="1">
        <f t="array" ref="D4386">IFERROR(INDEX(EmployeeData[Department], ROW() - 37), "")</f>
        <v/>
      </c>
      <c r="E4386" s="4" t="str" cm="1">
        <f t="array" ref="E4386">IFERROR(INDEX(EmployeeData[Gender], ROW() - 37), "")</f>
        <v/>
      </c>
      <c r="F4386" s="4" t="str" cm="1">
        <f t="array" ref="F4386">IFERROR(INDEX(EmployeeData[Age], ROW() - 37), "")</f>
        <v/>
      </c>
      <c r="G4386" s="6" t="str" cm="1">
        <f t="array" ref="G4386">IFERROR(INDEX(EmployeeData[Join Date], ROW() - 37), "")</f>
        <v/>
      </c>
      <c r="H4386" s="6" t="str" cm="1">
        <f t="array" ref="H4386">IFERROR(IF(INDEX(EmployeeData[Exit Date], ROW() - 37)=0, "",INDEX(EmployeeData[Exit Date], ROW() - 37)),"")</f>
        <v/>
      </c>
      <c r="I4386" s="4" t="str" cm="1">
        <f t="array" ref="I4386">IFERROR(IF(INDEX(EmployeeData[Exit Reason], ROW() - 37)=0, "",INDEX(EmployeeData[Exit Reason], ROW() - 37)),"")</f>
        <v/>
      </c>
      <c r="J4386" s="4" t="str" cm="1">
        <f t="array" ref="J4386">IFERROR(INDEX(EmployeeData[Status], ROW() - 37), "")</f>
        <v/>
      </c>
    </row>
    <row r="4387" spans="2:10" ht="19.95" customHeight="1" x14ac:dyDescent="0.3">
      <c r="B4387" s="4" t="str" cm="1">
        <f t="array" ref="B4387">IFERROR(INDEX(EmployeeData[Employee ID], ROW() - 37), "")</f>
        <v/>
      </c>
      <c r="C4387" s="4" t="str" cm="1">
        <f t="array" ref="C4387">IFERROR(INDEX(EmployeeData[Full Name], ROW() - 37), "")</f>
        <v/>
      </c>
      <c r="D4387" s="4" t="str" cm="1">
        <f t="array" ref="D4387">IFERROR(INDEX(EmployeeData[Department], ROW() - 37), "")</f>
        <v/>
      </c>
      <c r="E4387" s="4" t="str" cm="1">
        <f t="array" ref="E4387">IFERROR(INDEX(EmployeeData[Gender], ROW() - 37), "")</f>
        <v/>
      </c>
      <c r="F4387" s="4" t="str" cm="1">
        <f t="array" ref="F4387">IFERROR(INDEX(EmployeeData[Age], ROW() - 37), "")</f>
        <v/>
      </c>
      <c r="G4387" s="6" t="str" cm="1">
        <f t="array" ref="G4387">IFERROR(INDEX(EmployeeData[Join Date], ROW() - 37), "")</f>
        <v/>
      </c>
      <c r="H4387" s="6" t="str" cm="1">
        <f t="array" ref="H4387">IFERROR(IF(INDEX(EmployeeData[Exit Date], ROW() - 37)=0, "",INDEX(EmployeeData[Exit Date], ROW() - 37)),"")</f>
        <v/>
      </c>
      <c r="I4387" s="4" t="str" cm="1">
        <f t="array" ref="I4387">IFERROR(IF(INDEX(EmployeeData[Exit Reason], ROW() - 37)=0, "",INDEX(EmployeeData[Exit Reason], ROW() - 37)),"")</f>
        <v/>
      </c>
      <c r="J4387" s="4" t="str" cm="1">
        <f t="array" ref="J4387">IFERROR(INDEX(EmployeeData[Status], ROW() - 37), "")</f>
        <v/>
      </c>
    </row>
    <row r="4388" spans="2:10" ht="19.95" customHeight="1" x14ac:dyDescent="0.3">
      <c r="B4388" s="4" t="str" cm="1">
        <f t="array" ref="B4388">IFERROR(INDEX(EmployeeData[Employee ID], ROW() - 37), "")</f>
        <v/>
      </c>
      <c r="C4388" s="4" t="str" cm="1">
        <f t="array" ref="C4388">IFERROR(INDEX(EmployeeData[Full Name], ROW() - 37), "")</f>
        <v/>
      </c>
      <c r="D4388" s="4" t="str" cm="1">
        <f t="array" ref="D4388">IFERROR(INDEX(EmployeeData[Department], ROW() - 37), "")</f>
        <v/>
      </c>
      <c r="E4388" s="4" t="str" cm="1">
        <f t="array" ref="E4388">IFERROR(INDEX(EmployeeData[Gender], ROW() - 37), "")</f>
        <v/>
      </c>
      <c r="F4388" s="4" t="str" cm="1">
        <f t="array" ref="F4388">IFERROR(INDEX(EmployeeData[Age], ROW() - 37), "")</f>
        <v/>
      </c>
      <c r="G4388" s="6" t="str" cm="1">
        <f t="array" ref="G4388">IFERROR(INDEX(EmployeeData[Join Date], ROW() - 37), "")</f>
        <v/>
      </c>
      <c r="H4388" s="6" t="str" cm="1">
        <f t="array" ref="H4388">IFERROR(IF(INDEX(EmployeeData[Exit Date], ROW() - 37)=0, "",INDEX(EmployeeData[Exit Date], ROW() - 37)),"")</f>
        <v/>
      </c>
      <c r="I4388" s="4" t="str" cm="1">
        <f t="array" ref="I4388">IFERROR(IF(INDEX(EmployeeData[Exit Reason], ROW() - 37)=0, "",INDEX(EmployeeData[Exit Reason], ROW() - 37)),"")</f>
        <v/>
      </c>
      <c r="J4388" s="4" t="str" cm="1">
        <f t="array" ref="J4388">IFERROR(INDEX(EmployeeData[Status], ROW() - 37), "")</f>
        <v/>
      </c>
    </row>
    <row r="4389" spans="2:10" ht="19.95" customHeight="1" x14ac:dyDescent="0.3">
      <c r="B4389" s="4" t="str" cm="1">
        <f t="array" ref="B4389">IFERROR(INDEX(EmployeeData[Employee ID], ROW() - 37), "")</f>
        <v/>
      </c>
      <c r="C4389" s="4" t="str" cm="1">
        <f t="array" ref="C4389">IFERROR(INDEX(EmployeeData[Full Name], ROW() - 37), "")</f>
        <v/>
      </c>
      <c r="D4389" s="4" t="str" cm="1">
        <f t="array" ref="D4389">IFERROR(INDEX(EmployeeData[Department], ROW() - 37), "")</f>
        <v/>
      </c>
      <c r="E4389" s="4" t="str" cm="1">
        <f t="array" ref="E4389">IFERROR(INDEX(EmployeeData[Gender], ROW() - 37), "")</f>
        <v/>
      </c>
      <c r="F4389" s="4" t="str" cm="1">
        <f t="array" ref="F4389">IFERROR(INDEX(EmployeeData[Age], ROW() - 37), "")</f>
        <v/>
      </c>
      <c r="G4389" s="6" t="str" cm="1">
        <f t="array" ref="G4389">IFERROR(INDEX(EmployeeData[Join Date], ROW() - 37), "")</f>
        <v/>
      </c>
      <c r="H4389" s="6" t="str" cm="1">
        <f t="array" ref="H4389">IFERROR(IF(INDEX(EmployeeData[Exit Date], ROW() - 37)=0, "",INDEX(EmployeeData[Exit Date], ROW() - 37)),"")</f>
        <v/>
      </c>
      <c r="I4389" s="4" t="str" cm="1">
        <f t="array" ref="I4389">IFERROR(IF(INDEX(EmployeeData[Exit Reason], ROW() - 37)=0, "",INDEX(EmployeeData[Exit Reason], ROW() - 37)),"")</f>
        <v/>
      </c>
      <c r="J4389" s="4" t="str" cm="1">
        <f t="array" ref="J4389">IFERROR(INDEX(EmployeeData[Status], ROW() - 37), "")</f>
        <v/>
      </c>
    </row>
    <row r="4390" spans="2:10" ht="19.95" customHeight="1" x14ac:dyDescent="0.3">
      <c r="B4390" s="4" t="str" cm="1">
        <f t="array" ref="B4390">IFERROR(INDEX(EmployeeData[Employee ID], ROW() - 37), "")</f>
        <v/>
      </c>
      <c r="C4390" s="4" t="str" cm="1">
        <f t="array" ref="C4390">IFERROR(INDEX(EmployeeData[Full Name], ROW() - 37), "")</f>
        <v/>
      </c>
      <c r="D4390" s="4" t="str" cm="1">
        <f t="array" ref="D4390">IFERROR(INDEX(EmployeeData[Department], ROW() - 37), "")</f>
        <v/>
      </c>
      <c r="E4390" s="4" t="str" cm="1">
        <f t="array" ref="E4390">IFERROR(INDEX(EmployeeData[Gender], ROW() - 37), "")</f>
        <v/>
      </c>
      <c r="F4390" s="4" t="str" cm="1">
        <f t="array" ref="F4390">IFERROR(INDEX(EmployeeData[Age], ROW() - 37), "")</f>
        <v/>
      </c>
      <c r="G4390" s="6" t="str" cm="1">
        <f t="array" ref="G4390">IFERROR(INDEX(EmployeeData[Join Date], ROW() - 37), "")</f>
        <v/>
      </c>
      <c r="H4390" s="6" t="str" cm="1">
        <f t="array" ref="H4390">IFERROR(IF(INDEX(EmployeeData[Exit Date], ROW() - 37)=0, "",INDEX(EmployeeData[Exit Date], ROW() - 37)),"")</f>
        <v/>
      </c>
      <c r="I4390" s="4" t="str" cm="1">
        <f t="array" ref="I4390">IFERROR(IF(INDEX(EmployeeData[Exit Reason], ROW() - 37)=0, "",INDEX(EmployeeData[Exit Reason], ROW() - 37)),"")</f>
        <v/>
      </c>
      <c r="J4390" s="4" t="str" cm="1">
        <f t="array" ref="J4390">IFERROR(INDEX(EmployeeData[Status], ROW() - 37), "")</f>
        <v/>
      </c>
    </row>
    <row r="4391" spans="2:10" ht="19.95" customHeight="1" x14ac:dyDescent="0.3">
      <c r="B4391" s="4" t="str" cm="1">
        <f t="array" ref="B4391">IFERROR(INDEX(EmployeeData[Employee ID], ROW() - 37), "")</f>
        <v/>
      </c>
      <c r="C4391" s="4" t="str" cm="1">
        <f t="array" ref="C4391">IFERROR(INDEX(EmployeeData[Full Name], ROW() - 37), "")</f>
        <v/>
      </c>
      <c r="D4391" s="4" t="str" cm="1">
        <f t="array" ref="D4391">IFERROR(INDEX(EmployeeData[Department], ROW() - 37), "")</f>
        <v/>
      </c>
      <c r="E4391" s="4" t="str" cm="1">
        <f t="array" ref="E4391">IFERROR(INDEX(EmployeeData[Gender], ROW() - 37), "")</f>
        <v/>
      </c>
      <c r="F4391" s="4" t="str" cm="1">
        <f t="array" ref="F4391">IFERROR(INDEX(EmployeeData[Age], ROW() - 37), "")</f>
        <v/>
      </c>
      <c r="G4391" s="6" t="str" cm="1">
        <f t="array" ref="G4391">IFERROR(INDEX(EmployeeData[Join Date], ROW() - 37), "")</f>
        <v/>
      </c>
      <c r="H4391" s="6" t="str" cm="1">
        <f t="array" ref="H4391">IFERROR(IF(INDEX(EmployeeData[Exit Date], ROW() - 37)=0, "",INDEX(EmployeeData[Exit Date], ROW() - 37)),"")</f>
        <v/>
      </c>
      <c r="I4391" s="4" t="str" cm="1">
        <f t="array" ref="I4391">IFERROR(IF(INDEX(EmployeeData[Exit Reason], ROW() - 37)=0, "",INDEX(EmployeeData[Exit Reason], ROW() - 37)),"")</f>
        <v/>
      </c>
      <c r="J4391" s="4" t="str" cm="1">
        <f t="array" ref="J4391">IFERROR(INDEX(EmployeeData[Status], ROW() - 37), "")</f>
        <v/>
      </c>
    </row>
    <row r="4392" spans="2:10" ht="19.95" customHeight="1" x14ac:dyDescent="0.3">
      <c r="B4392" s="4" t="str" cm="1">
        <f t="array" ref="B4392">IFERROR(INDEX(EmployeeData[Employee ID], ROW() - 37), "")</f>
        <v/>
      </c>
      <c r="C4392" s="4" t="str" cm="1">
        <f t="array" ref="C4392">IFERROR(INDEX(EmployeeData[Full Name], ROW() - 37), "")</f>
        <v/>
      </c>
      <c r="D4392" s="4" t="str" cm="1">
        <f t="array" ref="D4392">IFERROR(INDEX(EmployeeData[Department], ROW() - 37), "")</f>
        <v/>
      </c>
      <c r="E4392" s="4" t="str" cm="1">
        <f t="array" ref="E4392">IFERROR(INDEX(EmployeeData[Gender], ROW() - 37), "")</f>
        <v/>
      </c>
      <c r="F4392" s="4" t="str" cm="1">
        <f t="array" ref="F4392">IFERROR(INDEX(EmployeeData[Age], ROW() - 37), "")</f>
        <v/>
      </c>
      <c r="G4392" s="6" t="str" cm="1">
        <f t="array" ref="G4392">IFERROR(INDEX(EmployeeData[Join Date], ROW() - 37), "")</f>
        <v/>
      </c>
      <c r="H4392" s="6" t="str" cm="1">
        <f t="array" ref="H4392">IFERROR(IF(INDEX(EmployeeData[Exit Date], ROW() - 37)=0, "",INDEX(EmployeeData[Exit Date], ROW() - 37)),"")</f>
        <v/>
      </c>
      <c r="I4392" s="4" t="str" cm="1">
        <f t="array" ref="I4392">IFERROR(IF(INDEX(EmployeeData[Exit Reason], ROW() - 37)=0, "",INDEX(EmployeeData[Exit Reason], ROW() - 37)),"")</f>
        <v/>
      </c>
      <c r="J4392" s="4" t="str" cm="1">
        <f t="array" ref="J4392">IFERROR(INDEX(EmployeeData[Status], ROW() - 37), "")</f>
        <v/>
      </c>
    </row>
    <row r="4393" spans="2:10" ht="19.95" customHeight="1" x14ac:dyDescent="0.3">
      <c r="B4393" s="4" t="str" cm="1">
        <f t="array" ref="B4393">IFERROR(INDEX(EmployeeData[Employee ID], ROW() - 37), "")</f>
        <v/>
      </c>
      <c r="C4393" s="4" t="str" cm="1">
        <f t="array" ref="C4393">IFERROR(INDEX(EmployeeData[Full Name], ROW() - 37), "")</f>
        <v/>
      </c>
      <c r="D4393" s="4" t="str" cm="1">
        <f t="array" ref="D4393">IFERROR(INDEX(EmployeeData[Department], ROW() - 37), "")</f>
        <v/>
      </c>
      <c r="E4393" s="4" t="str" cm="1">
        <f t="array" ref="E4393">IFERROR(INDEX(EmployeeData[Gender], ROW() - 37), "")</f>
        <v/>
      </c>
      <c r="F4393" s="4" t="str" cm="1">
        <f t="array" ref="F4393">IFERROR(INDEX(EmployeeData[Age], ROW() - 37), "")</f>
        <v/>
      </c>
      <c r="G4393" s="6" t="str" cm="1">
        <f t="array" ref="G4393">IFERROR(INDEX(EmployeeData[Join Date], ROW() - 37), "")</f>
        <v/>
      </c>
      <c r="H4393" s="6" t="str" cm="1">
        <f t="array" ref="H4393">IFERROR(IF(INDEX(EmployeeData[Exit Date], ROW() - 37)=0, "",INDEX(EmployeeData[Exit Date], ROW() - 37)),"")</f>
        <v/>
      </c>
      <c r="I4393" s="4" t="str" cm="1">
        <f t="array" ref="I4393">IFERROR(IF(INDEX(EmployeeData[Exit Reason], ROW() - 37)=0, "",INDEX(EmployeeData[Exit Reason], ROW() - 37)),"")</f>
        <v/>
      </c>
      <c r="J4393" s="4" t="str" cm="1">
        <f t="array" ref="J4393">IFERROR(INDEX(EmployeeData[Status], ROW() - 37), "")</f>
        <v/>
      </c>
    </row>
    <row r="4394" spans="2:10" ht="19.95" customHeight="1" x14ac:dyDescent="0.3">
      <c r="B4394" s="4" t="str" cm="1">
        <f t="array" ref="B4394">IFERROR(INDEX(EmployeeData[Employee ID], ROW() - 37), "")</f>
        <v/>
      </c>
      <c r="C4394" s="4" t="str" cm="1">
        <f t="array" ref="C4394">IFERROR(INDEX(EmployeeData[Full Name], ROW() - 37), "")</f>
        <v/>
      </c>
      <c r="D4394" s="4" t="str" cm="1">
        <f t="array" ref="D4394">IFERROR(INDEX(EmployeeData[Department], ROW() - 37), "")</f>
        <v/>
      </c>
      <c r="E4394" s="4" t="str" cm="1">
        <f t="array" ref="E4394">IFERROR(INDEX(EmployeeData[Gender], ROW() - 37), "")</f>
        <v/>
      </c>
      <c r="F4394" s="4" t="str" cm="1">
        <f t="array" ref="F4394">IFERROR(INDEX(EmployeeData[Age], ROW() - 37), "")</f>
        <v/>
      </c>
      <c r="G4394" s="6" t="str" cm="1">
        <f t="array" ref="G4394">IFERROR(INDEX(EmployeeData[Join Date], ROW() - 37), "")</f>
        <v/>
      </c>
      <c r="H4394" s="6" t="str" cm="1">
        <f t="array" ref="H4394">IFERROR(IF(INDEX(EmployeeData[Exit Date], ROW() - 37)=0, "",INDEX(EmployeeData[Exit Date], ROW() - 37)),"")</f>
        <v/>
      </c>
      <c r="I4394" s="4" t="str" cm="1">
        <f t="array" ref="I4394">IFERROR(IF(INDEX(EmployeeData[Exit Reason], ROW() - 37)=0, "",INDEX(EmployeeData[Exit Reason], ROW() - 37)),"")</f>
        <v/>
      </c>
      <c r="J4394" s="4" t="str" cm="1">
        <f t="array" ref="J4394">IFERROR(INDEX(EmployeeData[Status], ROW() - 37), "")</f>
        <v/>
      </c>
    </row>
    <row r="4395" spans="2:10" ht="19.95" customHeight="1" x14ac:dyDescent="0.3">
      <c r="B4395" s="4" t="str" cm="1">
        <f t="array" ref="B4395">IFERROR(INDEX(EmployeeData[Employee ID], ROW() - 37), "")</f>
        <v/>
      </c>
      <c r="C4395" s="4" t="str" cm="1">
        <f t="array" ref="C4395">IFERROR(INDEX(EmployeeData[Full Name], ROW() - 37), "")</f>
        <v/>
      </c>
      <c r="D4395" s="4" t="str" cm="1">
        <f t="array" ref="D4395">IFERROR(INDEX(EmployeeData[Department], ROW() - 37), "")</f>
        <v/>
      </c>
      <c r="E4395" s="4" t="str" cm="1">
        <f t="array" ref="E4395">IFERROR(INDEX(EmployeeData[Gender], ROW() - 37), "")</f>
        <v/>
      </c>
      <c r="F4395" s="4" t="str" cm="1">
        <f t="array" ref="F4395">IFERROR(INDEX(EmployeeData[Age], ROW() - 37), "")</f>
        <v/>
      </c>
      <c r="G4395" s="6" t="str" cm="1">
        <f t="array" ref="G4395">IFERROR(INDEX(EmployeeData[Join Date], ROW() - 37), "")</f>
        <v/>
      </c>
      <c r="H4395" s="6" t="str" cm="1">
        <f t="array" ref="H4395">IFERROR(IF(INDEX(EmployeeData[Exit Date], ROW() - 37)=0, "",INDEX(EmployeeData[Exit Date], ROW() - 37)),"")</f>
        <v/>
      </c>
      <c r="I4395" s="4" t="str" cm="1">
        <f t="array" ref="I4395">IFERROR(IF(INDEX(EmployeeData[Exit Reason], ROW() - 37)=0, "",INDEX(EmployeeData[Exit Reason], ROW() - 37)),"")</f>
        <v/>
      </c>
      <c r="J4395" s="4" t="str" cm="1">
        <f t="array" ref="J4395">IFERROR(INDEX(EmployeeData[Status], ROW() - 37), "")</f>
        <v/>
      </c>
    </row>
    <row r="4396" spans="2:10" ht="19.95" customHeight="1" x14ac:dyDescent="0.3">
      <c r="B4396" s="4" t="str" cm="1">
        <f t="array" ref="B4396">IFERROR(INDEX(EmployeeData[Employee ID], ROW() - 37), "")</f>
        <v/>
      </c>
      <c r="C4396" s="4" t="str" cm="1">
        <f t="array" ref="C4396">IFERROR(INDEX(EmployeeData[Full Name], ROW() - 37), "")</f>
        <v/>
      </c>
      <c r="D4396" s="4" t="str" cm="1">
        <f t="array" ref="D4396">IFERROR(INDEX(EmployeeData[Department], ROW() - 37), "")</f>
        <v/>
      </c>
      <c r="E4396" s="4" t="str" cm="1">
        <f t="array" ref="E4396">IFERROR(INDEX(EmployeeData[Gender], ROW() - 37), "")</f>
        <v/>
      </c>
      <c r="F4396" s="4" t="str" cm="1">
        <f t="array" ref="F4396">IFERROR(INDEX(EmployeeData[Age], ROW() - 37), "")</f>
        <v/>
      </c>
      <c r="G4396" s="6" t="str" cm="1">
        <f t="array" ref="G4396">IFERROR(INDEX(EmployeeData[Join Date], ROW() - 37), "")</f>
        <v/>
      </c>
      <c r="H4396" s="6" t="str" cm="1">
        <f t="array" ref="H4396">IFERROR(IF(INDEX(EmployeeData[Exit Date], ROW() - 37)=0, "",INDEX(EmployeeData[Exit Date], ROW() - 37)),"")</f>
        <v/>
      </c>
      <c r="I4396" s="4" t="str" cm="1">
        <f t="array" ref="I4396">IFERROR(IF(INDEX(EmployeeData[Exit Reason], ROW() - 37)=0, "",INDEX(EmployeeData[Exit Reason], ROW() - 37)),"")</f>
        <v/>
      </c>
      <c r="J4396" s="4" t="str" cm="1">
        <f t="array" ref="J4396">IFERROR(INDEX(EmployeeData[Status], ROW() - 37), "")</f>
        <v/>
      </c>
    </row>
    <row r="4397" spans="2:10" ht="19.95" customHeight="1" x14ac:dyDescent="0.3">
      <c r="B4397" s="4" t="str" cm="1">
        <f t="array" ref="B4397">IFERROR(INDEX(EmployeeData[Employee ID], ROW() - 37), "")</f>
        <v/>
      </c>
      <c r="C4397" s="4" t="str" cm="1">
        <f t="array" ref="C4397">IFERROR(INDEX(EmployeeData[Full Name], ROW() - 37), "")</f>
        <v/>
      </c>
      <c r="D4397" s="4" t="str" cm="1">
        <f t="array" ref="D4397">IFERROR(INDEX(EmployeeData[Department], ROW() - 37), "")</f>
        <v/>
      </c>
      <c r="E4397" s="4" t="str" cm="1">
        <f t="array" ref="E4397">IFERROR(INDEX(EmployeeData[Gender], ROW() - 37), "")</f>
        <v/>
      </c>
      <c r="F4397" s="4" t="str" cm="1">
        <f t="array" ref="F4397">IFERROR(INDEX(EmployeeData[Age], ROW() - 37), "")</f>
        <v/>
      </c>
      <c r="G4397" s="6" t="str" cm="1">
        <f t="array" ref="G4397">IFERROR(INDEX(EmployeeData[Join Date], ROW() - 37), "")</f>
        <v/>
      </c>
      <c r="H4397" s="6" t="str" cm="1">
        <f t="array" ref="H4397">IFERROR(IF(INDEX(EmployeeData[Exit Date], ROW() - 37)=0, "",INDEX(EmployeeData[Exit Date], ROW() - 37)),"")</f>
        <v/>
      </c>
      <c r="I4397" s="4" t="str" cm="1">
        <f t="array" ref="I4397">IFERROR(IF(INDEX(EmployeeData[Exit Reason], ROW() - 37)=0, "",INDEX(EmployeeData[Exit Reason], ROW() - 37)),"")</f>
        <v/>
      </c>
      <c r="J4397" s="4" t="str" cm="1">
        <f t="array" ref="J4397">IFERROR(INDEX(EmployeeData[Status], ROW() - 37), "")</f>
        <v/>
      </c>
    </row>
    <row r="4398" spans="2:10" ht="19.95" customHeight="1" x14ac:dyDescent="0.3">
      <c r="B4398" s="4" t="str" cm="1">
        <f t="array" ref="B4398">IFERROR(INDEX(EmployeeData[Employee ID], ROW() - 37), "")</f>
        <v/>
      </c>
      <c r="C4398" s="4" t="str" cm="1">
        <f t="array" ref="C4398">IFERROR(INDEX(EmployeeData[Full Name], ROW() - 37), "")</f>
        <v/>
      </c>
      <c r="D4398" s="4" t="str" cm="1">
        <f t="array" ref="D4398">IFERROR(INDEX(EmployeeData[Department], ROW() - 37), "")</f>
        <v/>
      </c>
      <c r="E4398" s="4" t="str" cm="1">
        <f t="array" ref="E4398">IFERROR(INDEX(EmployeeData[Gender], ROW() - 37), "")</f>
        <v/>
      </c>
      <c r="F4398" s="4" t="str" cm="1">
        <f t="array" ref="F4398">IFERROR(INDEX(EmployeeData[Age], ROW() - 37), "")</f>
        <v/>
      </c>
      <c r="G4398" s="6" t="str" cm="1">
        <f t="array" ref="G4398">IFERROR(INDEX(EmployeeData[Join Date], ROW() - 37), "")</f>
        <v/>
      </c>
      <c r="H4398" s="6" t="str" cm="1">
        <f t="array" ref="H4398">IFERROR(IF(INDEX(EmployeeData[Exit Date], ROW() - 37)=0, "",INDEX(EmployeeData[Exit Date], ROW() - 37)),"")</f>
        <v/>
      </c>
      <c r="I4398" s="4" t="str" cm="1">
        <f t="array" ref="I4398">IFERROR(IF(INDEX(EmployeeData[Exit Reason], ROW() - 37)=0, "",INDEX(EmployeeData[Exit Reason], ROW() - 37)),"")</f>
        <v/>
      </c>
      <c r="J4398" s="4" t="str" cm="1">
        <f t="array" ref="J4398">IFERROR(INDEX(EmployeeData[Status], ROW() - 37), "")</f>
        <v/>
      </c>
    </row>
    <row r="4399" spans="2:10" ht="19.95" customHeight="1" x14ac:dyDescent="0.3">
      <c r="B4399" s="4" t="str" cm="1">
        <f t="array" ref="B4399">IFERROR(INDEX(EmployeeData[Employee ID], ROW() - 37), "")</f>
        <v/>
      </c>
      <c r="C4399" s="4" t="str" cm="1">
        <f t="array" ref="C4399">IFERROR(INDEX(EmployeeData[Full Name], ROW() - 37), "")</f>
        <v/>
      </c>
      <c r="D4399" s="4" t="str" cm="1">
        <f t="array" ref="D4399">IFERROR(INDEX(EmployeeData[Department], ROW() - 37), "")</f>
        <v/>
      </c>
      <c r="E4399" s="4" t="str" cm="1">
        <f t="array" ref="E4399">IFERROR(INDEX(EmployeeData[Gender], ROW() - 37), "")</f>
        <v/>
      </c>
      <c r="F4399" s="4" t="str" cm="1">
        <f t="array" ref="F4399">IFERROR(INDEX(EmployeeData[Age], ROW() - 37), "")</f>
        <v/>
      </c>
      <c r="G4399" s="6" t="str" cm="1">
        <f t="array" ref="G4399">IFERROR(INDEX(EmployeeData[Join Date], ROW() - 37), "")</f>
        <v/>
      </c>
      <c r="H4399" s="6" t="str" cm="1">
        <f t="array" ref="H4399">IFERROR(IF(INDEX(EmployeeData[Exit Date], ROW() - 37)=0, "",INDEX(EmployeeData[Exit Date], ROW() - 37)),"")</f>
        <v/>
      </c>
      <c r="I4399" s="4" t="str" cm="1">
        <f t="array" ref="I4399">IFERROR(IF(INDEX(EmployeeData[Exit Reason], ROW() - 37)=0, "",INDEX(EmployeeData[Exit Reason], ROW() - 37)),"")</f>
        <v/>
      </c>
      <c r="J4399" s="4" t="str" cm="1">
        <f t="array" ref="J4399">IFERROR(INDEX(EmployeeData[Status], ROW() - 37), "")</f>
        <v/>
      </c>
    </row>
    <row r="4400" spans="2:10" ht="19.95" customHeight="1" x14ac:dyDescent="0.3">
      <c r="B4400" s="4" t="str" cm="1">
        <f t="array" ref="B4400">IFERROR(INDEX(EmployeeData[Employee ID], ROW() - 37), "")</f>
        <v/>
      </c>
      <c r="C4400" s="4" t="str" cm="1">
        <f t="array" ref="C4400">IFERROR(INDEX(EmployeeData[Full Name], ROW() - 37), "")</f>
        <v/>
      </c>
      <c r="D4400" s="4" t="str" cm="1">
        <f t="array" ref="D4400">IFERROR(INDEX(EmployeeData[Department], ROW() - 37), "")</f>
        <v/>
      </c>
      <c r="E4400" s="4" t="str" cm="1">
        <f t="array" ref="E4400">IFERROR(INDEX(EmployeeData[Gender], ROW() - 37), "")</f>
        <v/>
      </c>
      <c r="F4400" s="4" t="str" cm="1">
        <f t="array" ref="F4400">IFERROR(INDEX(EmployeeData[Age], ROW() - 37), "")</f>
        <v/>
      </c>
      <c r="G4400" s="6" t="str" cm="1">
        <f t="array" ref="G4400">IFERROR(INDEX(EmployeeData[Join Date], ROW() - 37), "")</f>
        <v/>
      </c>
      <c r="H4400" s="6" t="str" cm="1">
        <f t="array" ref="H4400">IFERROR(IF(INDEX(EmployeeData[Exit Date], ROW() - 37)=0, "",INDEX(EmployeeData[Exit Date], ROW() - 37)),"")</f>
        <v/>
      </c>
      <c r="I4400" s="4" t="str" cm="1">
        <f t="array" ref="I4400">IFERROR(IF(INDEX(EmployeeData[Exit Reason], ROW() - 37)=0, "",INDEX(EmployeeData[Exit Reason], ROW() - 37)),"")</f>
        <v/>
      </c>
      <c r="J4400" s="4" t="str" cm="1">
        <f t="array" ref="J4400">IFERROR(INDEX(EmployeeData[Status], ROW() - 37), "")</f>
        <v/>
      </c>
    </row>
    <row r="4401" spans="2:10" ht="19.95" customHeight="1" x14ac:dyDescent="0.3">
      <c r="B4401" s="4" t="str" cm="1">
        <f t="array" ref="B4401">IFERROR(INDEX(EmployeeData[Employee ID], ROW() - 37), "")</f>
        <v/>
      </c>
      <c r="C4401" s="4" t="str" cm="1">
        <f t="array" ref="C4401">IFERROR(INDEX(EmployeeData[Full Name], ROW() - 37), "")</f>
        <v/>
      </c>
      <c r="D4401" s="4" t="str" cm="1">
        <f t="array" ref="D4401">IFERROR(INDEX(EmployeeData[Department], ROW() - 37), "")</f>
        <v/>
      </c>
      <c r="E4401" s="4" t="str" cm="1">
        <f t="array" ref="E4401">IFERROR(INDEX(EmployeeData[Gender], ROW() - 37), "")</f>
        <v/>
      </c>
      <c r="F4401" s="4" t="str" cm="1">
        <f t="array" ref="F4401">IFERROR(INDEX(EmployeeData[Age], ROW() - 37), "")</f>
        <v/>
      </c>
      <c r="G4401" s="6" t="str" cm="1">
        <f t="array" ref="G4401">IFERROR(INDEX(EmployeeData[Join Date], ROW() - 37), "")</f>
        <v/>
      </c>
      <c r="H4401" s="6" t="str" cm="1">
        <f t="array" ref="H4401">IFERROR(IF(INDEX(EmployeeData[Exit Date], ROW() - 37)=0, "",INDEX(EmployeeData[Exit Date], ROW() - 37)),"")</f>
        <v/>
      </c>
      <c r="I4401" s="4" t="str" cm="1">
        <f t="array" ref="I4401">IFERROR(IF(INDEX(EmployeeData[Exit Reason], ROW() - 37)=0, "",INDEX(EmployeeData[Exit Reason], ROW() - 37)),"")</f>
        <v/>
      </c>
      <c r="J4401" s="4" t="str" cm="1">
        <f t="array" ref="J4401">IFERROR(INDEX(EmployeeData[Status], ROW() - 37), "")</f>
        <v/>
      </c>
    </row>
    <row r="4402" spans="2:10" ht="19.95" customHeight="1" x14ac:dyDescent="0.3">
      <c r="B4402" s="4" t="str" cm="1">
        <f t="array" ref="B4402">IFERROR(INDEX(EmployeeData[Employee ID], ROW() - 37), "")</f>
        <v/>
      </c>
      <c r="C4402" s="4" t="str" cm="1">
        <f t="array" ref="C4402">IFERROR(INDEX(EmployeeData[Full Name], ROW() - 37), "")</f>
        <v/>
      </c>
      <c r="D4402" s="4" t="str" cm="1">
        <f t="array" ref="D4402">IFERROR(INDEX(EmployeeData[Department], ROW() - 37), "")</f>
        <v/>
      </c>
      <c r="E4402" s="4" t="str" cm="1">
        <f t="array" ref="E4402">IFERROR(INDEX(EmployeeData[Gender], ROW() - 37), "")</f>
        <v/>
      </c>
      <c r="F4402" s="4" t="str" cm="1">
        <f t="array" ref="F4402">IFERROR(INDEX(EmployeeData[Age], ROW() - 37), "")</f>
        <v/>
      </c>
      <c r="G4402" s="6" t="str" cm="1">
        <f t="array" ref="G4402">IFERROR(INDEX(EmployeeData[Join Date], ROW() - 37), "")</f>
        <v/>
      </c>
      <c r="H4402" s="6" t="str" cm="1">
        <f t="array" ref="H4402">IFERROR(IF(INDEX(EmployeeData[Exit Date], ROW() - 37)=0, "",INDEX(EmployeeData[Exit Date], ROW() - 37)),"")</f>
        <v/>
      </c>
      <c r="I4402" s="4" t="str" cm="1">
        <f t="array" ref="I4402">IFERROR(IF(INDEX(EmployeeData[Exit Reason], ROW() - 37)=0, "",INDEX(EmployeeData[Exit Reason], ROW() - 37)),"")</f>
        <v/>
      </c>
      <c r="J4402" s="4" t="str" cm="1">
        <f t="array" ref="J4402">IFERROR(INDEX(EmployeeData[Status], ROW() - 37), "")</f>
        <v/>
      </c>
    </row>
    <row r="4403" spans="2:10" ht="19.95" customHeight="1" x14ac:dyDescent="0.3">
      <c r="B4403" s="4" t="str" cm="1">
        <f t="array" ref="B4403">IFERROR(INDEX(EmployeeData[Employee ID], ROW() - 37), "")</f>
        <v/>
      </c>
      <c r="C4403" s="4" t="str" cm="1">
        <f t="array" ref="C4403">IFERROR(INDEX(EmployeeData[Full Name], ROW() - 37), "")</f>
        <v/>
      </c>
      <c r="D4403" s="4" t="str" cm="1">
        <f t="array" ref="D4403">IFERROR(INDEX(EmployeeData[Department], ROW() - 37), "")</f>
        <v/>
      </c>
      <c r="E4403" s="4" t="str" cm="1">
        <f t="array" ref="E4403">IFERROR(INDEX(EmployeeData[Gender], ROW() - 37), "")</f>
        <v/>
      </c>
      <c r="F4403" s="4" t="str" cm="1">
        <f t="array" ref="F4403">IFERROR(INDEX(EmployeeData[Age], ROW() - 37), "")</f>
        <v/>
      </c>
      <c r="G4403" s="6" t="str" cm="1">
        <f t="array" ref="G4403">IFERROR(INDEX(EmployeeData[Join Date], ROW() - 37), "")</f>
        <v/>
      </c>
      <c r="H4403" s="6" t="str" cm="1">
        <f t="array" ref="H4403">IFERROR(IF(INDEX(EmployeeData[Exit Date], ROW() - 37)=0, "",INDEX(EmployeeData[Exit Date], ROW() - 37)),"")</f>
        <v/>
      </c>
      <c r="I4403" s="4" t="str" cm="1">
        <f t="array" ref="I4403">IFERROR(IF(INDEX(EmployeeData[Exit Reason], ROW() - 37)=0, "",INDEX(EmployeeData[Exit Reason], ROW() - 37)),"")</f>
        <v/>
      </c>
      <c r="J4403" s="4" t="str" cm="1">
        <f t="array" ref="J4403">IFERROR(INDEX(EmployeeData[Status], ROW() - 37), "")</f>
        <v/>
      </c>
    </row>
    <row r="4404" spans="2:10" ht="19.95" customHeight="1" x14ac:dyDescent="0.3">
      <c r="B4404" s="4" t="str" cm="1">
        <f t="array" ref="B4404">IFERROR(INDEX(EmployeeData[Employee ID], ROW() - 37), "")</f>
        <v/>
      </c>
      <c r="C4404" s="4" t="str" cm="1">
        <f t="array" ref="C4404">IFERROR(INDEX(EmployeeData[Full Name], ROW() - 37), "")</f>
        <v/>
      </c>
      <c r="D4404" s="4" t="str" cm="1">
        <f t="array" ref="D4404">IFERROR(INDEX(EmployeeData[Department], ROW() - 37), "")</f>
        <v/>
      </c>
      <c r="E4404" s="4" t="str" cm="1">
        <f t="array" ref="E4404">IFERROR(INDEX(EmployeeData[Gender], ROW() - 37), "")</f>
        <v/>
      </c>
      <c r="F4404" s="4" t="str" cm="1">
        <f t="array" ref="F4404">IFERROR(INDEX(EmployeeData[Age], ROW() - 37), "")</f>
        <v/>
      </c>
      <c r="G4404" s="6" t="str" cm="1">
        <f t="array" ref="G4404">IFERROR(INDEX(EmployeeData[Join Date], ROW() - 37), "")</f>
        <v/>
      </c>
      <c r="H4404" s="6" t="str" cm="1">
        <f t="array" ref="H4404">IFERROR(IF(INDEX(EmployeeData[Exit Date], ROW() - 37)=0, "",INDEX(EmployeeData[Exit Date], ROW() - 37)),"")</f>
        <v/>
      </c>
      <c r="I4404" s="4" t="str" cm="1">
        <f t="array" ref="I4404">IFERROR(IF(INDEX(EmployeeData[Exit Reason], ROW() - 37)=0, "",INDEX(EmployeeData[Exit Reason], ROW() - 37)),"")</f>
        <v/>
      </c>
      <c r="J4404" s="4" t="str" cm="1">
        <f t="array" ref="J4404">IFERROR(INDEX(EmployeeData[Status], ROW() - 37), "")</f>
        <v/>
      </c>
    </row>
    <row r="4405" spans="2:10" ht="19.95" customHeight="1" x14ac:dyDescent="0.3">
      <c r="B4405" s="4" t="str" cm="1">
        <f t="array" ref="B4405">IFERROR(INDEX(EmployeeData[Employee ID], ROW() - 37), "")</f>
        <v/>
      </c>
      <c r="C4405" s="4" t="str" cm="1">
        <f t="array" ref="C4405">IFERROR(INDEX(EmployeeData[Full Name], ROW() - 37), "")</f>
        <v/>
      </c>
      <c r="D4405" s="4" t="str" cm="1">
        <f t="array" ref="D4405">IFERROR(INDEX(EmployeeData[Department], ROW() - 37), "")</f>
        <v/>
      </c>
      <c r="E4405" s="4" t="str" cm="1">
        <f t="array" ref="E4405">IFERROR(INDEX(EmployeeData[Gender], ROW() - 37), "")</f>
        <v/>
      </c>
      <c r="F4405" s="4" t="str" cm="1">
        <f t="array" ref="F4405">IFERROR(INDEX(EmployeeData[Age], ROW() - 37), "")</f>
        <v/>
      </c>
      <c r="G4405" s="6" t="str" cm="1">
        <f t="array" ref="G4405">IFERROR(INDEX(EmployeeData[Join Date], ROW() - 37), "")</f>
        <v/>
      </c>
      <c r="H4405" s="6" t="str" cm="1">
        <f t="array" ref="H4405">IFERROR(IF(INDEX(EmployeeData[Exit Date], ROW() - 37)=0, "",INDEX(EmployeeData[Exit Date], ROW() - 37)),"")</f>
        <v/>
      </c>
      <c r="I4405" s="4" t="str" cm="1">
        <f t="array" ref="I4405">IFERROR(IF(INDEX(EmployeeData[Exit Reason], ROW() - 37)=0, "",INDEX(EmployeeData[Exit Reason], ROW() - 37)),"")</f>
        <v/>
      </c>
      <c r="J4405" s="4" t="str" cm="1">
        <f t="array" ref="J4405">IFERROR(INDEX(EmployeeData[Status], ROW() - 37), "")</f>
        <v/>
      </c>
    </row>
    <row r="4406" spans="2:10" ht="19.95" customHeight="1" x14ac:dyDescent="0.3">
      <c r="B4406" s="4" t="str" cm="1">
        <f t="array" ref="B4406">IFERROR(INDEX(EmployeeData[Employee ID], ROW() - 37), "")</f>
        <v/>
      </c>
      <c r="C4406" s="4" t="str" cm="1">
        <f t="array" ref="C4406">IFERROR(INDEX(EmployeeData[Full Name], ROW() - 37), "")</f>
        <v/>
      </c>
      <c r="D4406" s="4" t="str" cm="1">
        <f t="array" ref="D4406">IFERROR(INDEX(EmployeeData[Department], ROW() - 37), "")</f>
        <v/>
      </c>
      <c r="E4406" s="4" t="str" cm="1">
        <f t="array" ref="E4406">IFERROR(INDEX(EmployeeData[Gender], ROW() - 37), "")</f>
        <v/>
      </c>
      <c r="F4406" s="4" t="str" cm="1">
        <f t="array" ref="F4406">IFERROR(INDEX(EmployeeData[Age], ROW() - 37), "")</f>
        <v/>
      </c>
      <c r="G4406" s="6" t="str" cm="1">
        <f t="array" ref="G4406">IFERROR(INDEX(EmployeeData[Join Date], ROW() - 37), "")</f>
        <v/>
      </c>
      <c r="H4406" s="6" t="str" cm="1">
        <f t="array" ref="H4406">IFERROR(IF(INDEX(EmployeeData[Exit Date], ROW() - 37)=0, "",INDEX(EmployeeData[Exit Date], ROW() - 37)),"")</f>
        <v/>
      </c>
      <c r="I4406" s="4" t="str" cm="1">
        <f t="array" ref="I4406">IFERROR(IF(INDEX(EmployeeData[Exit Reason], ROW() - 37)=0, "",INDEX(EmployeeData[Exit Reason], ROW() - 37)),"")</f>
        <v/>
      </c>
      <c r="J4406" s="4" t="str" cm="1">
        <f t="array" ref="J4406">IFERROR(INDEX(EmployeeData[Status], ROW() - 37), "")</f>
        <v/>
      </c>
    </row>
    <row r="4407" spans="2:10" ht="19.95" customHeight="1" x14ac:dyDescent="0.3">
      <c r="B4407" s="4" t="str" cm="1">
        <f t="array" ref="B4407">IFERROR(INDEX(EmployeeData[Employee ID], ROW() - 37), "")</f>
        <v/>
      </c>
      <c r="C4407" s="4" t="str" cm="1">
        <f t="array" ref="C4407">IFERROR(INDEX(EmployeeData[Full Name], ROW() - 37), "")</f>
        <v/>
      </c>
      <c r="D4407" s="4" t="str" cm="1">
        <f t="array" ref="D4407">IFERROR(INDEX(EmployeeData[Department], ROW() - 37), "")</f>
        <v/>
      </c>
      <c r="E4407" s="4" t="str" cm="1">
        <f t="array" ref="E4407">IFERROR(INDEX(EmployeeData[Gender], ROW() - 37), "")</f>
        <v/>
      </c>
      <c r="F4407" s="4" t="str" cm="1">
        <f t="array" ref="F4407">IFERROR(INDEX(EmployeeData[Age], ROW() - 37), "")</f>
        <v/>
      </c>
      <c r="G4407" s="6" t="str" cm="1">
        <f t="array" ref="G4407">IFERROR(INDEX(EmployeeData[Join Date], ROW() - 37), "")</f>
        <v/>
      </c>
      <c r="H4407" s="6" t="str" cm="1">
        <f t="array" ref="H4407">IFERROR(IF(INDEX(EmployeeData[Exit Date], ROW() - 37)=0, "",INDEX(EmployeeData[Exit Date], ROW() - 37)),"")</f>
        <v/>
      </c>
      <c r="I4407" s="4" t="str" cm="1">
        <f t="array" ref="I4407">IFERROR(IF(INDEX(EmployeeData[Exit Reason], ROW() - 37)=0, "",INDEX(EmployeeData[Exit Reason], ROW() - 37)),"")</f>
        <v/>
      </c>
      <c r="J4407" s="4" t="str" cm="1">
        <f t="array" ref="J4407">IFERROR(INDEX(EmployeeData[Status], ROW() - 37), "")</f>
        <v/>
      </c>
    </row>
    <row r="4408" spans="2:10" ht="19.95" customHeight="1" x14ac:dyDescent="0.3">
      <c r="B4408" s="4" t="str" cm="1">
        <f t="array" ref="B4408">IFERROR(INDEX(EmployeeData[Employee ID], ROW() - 37), "")</f>
        <v/>
      </c>
      <c r="C4408" s="4" t="str" cm="1">
        <f t="array" ref="C4408">IFERROR(INDEX(EmployeeData[Full Name], ROW() - 37), "")</f>
        <v/>
      </c>
      <c r="D4408" s="4" t="str" cm="1">
        <f t="array" ref="D4408">IFERROR(INDEX(EmployeeData[Department], ROW() - 37), "")</f>
        <v/>
      </c>
      <c r="E4408" s="4" t="str" cm="1">
        <f t="array" ref="E4408">IFERROR(INDEX(EmployeeData[Gender], ROW() - 37), "")</f>
        <v/>
      </c>
      <c r="F4408" s="4" t="str" cm="1">
        <f t="array" ref="F4408">IFERROR(INDEX(EmployeeData[Age], ROW() - 37), "")</f>
        <v/>
      </c>
      <c r="G4408" s="6" t="str" cm="1">
        <f t="array" ref="G4408">IFERROR(INDEX(EmployeeData[Join Date], ROW() - 37), "")</f>
        <v/>
      </c>
      <c r="H4408" s="6" t="str" cm="1">
        <f t="array" ref="H4408">IFERROR(IF(INDEX(EmployeeData[Exit Date], ROW() - 37)=0, "",INDEX(EmployeeData[Exit Date], ROW() - 37)),"")</f>
        <v/>
      </c>
      <c r="I4408" s="4" t="str" cm="1">
        <f t="array" ref="I4408">IFERROR(IF(INDEX(EmployeeData[Exit Reason], ROW() - 37)=0, "",INDEX(EmployeeData[Exit Reason], ROW() - 37)),"")</f>
        <v/>
      </c>
      <c r="J4408" s="4" t="str" cm="1">
        <f t="array" ref="J4408">IFERROR(INDEX(EmployeeData[Status], ROW() - 37), "")</f>
        <v/>
      </c>
    </row>
    <row r="4409" spans="2:10" ht="19.95" customHeight="1" x14ac:dyDescent="0.3">
      <c r="B4409" s="4" t="str" cm="1">
        <f t="array" ref="B4409">IFERROR(INDEX(EmployeeData[Employee ID], ROW() - 37), "")</f>
        <v/>
      </c>
      <c r="C4409" s="4" t="str" cm="1">
        <f t="array" ref="C4409">IFERROR(INDEX(EmployeeData[Full Name], ROW() - 37), "")</f>
        <v/>
      </c>
      <c r="D4409" s="4" t="str" cm="1">
        <f t="array" ref="D4409">IFERROR(INDEX(EmployeeData[Department], ROW() - 37), "")</f>
        <v/>
      </c>
      <c r="E4409" s="4" t="str" cm="1">
        <f t="array" ref="E4409">IFERROR(INDEX(EmployeeData[Gender], ROW() - 37), "")</f>
        <v/>
      </c>
      <c r="F4409" s="4" t="str" cm="1">
        <f t="array" ref="F4409">IFERROR(INDEX(EmployeeData[Age], ROW() - 37), "")</f>
        <v/>
      </c>
      <c r="G4409" s="6" t="str" cm="1">
        <f t="array" ref="G4409">IFERROR(INDEX(EmployeeData[Join Date], ROW() - 37), "")</f>
        <v/>
      </c>
      <c r="H4409" s="6" t="str" cm="1">
        <f t="array" ref="H4409">IFERROR(IF(INDEX(EmployeeData[Exit Date], ROW() - 37)=0, "",INDEX(EmployeeData[Exit Date], ROW() - 37)),"")</f>
        <v/>
      </c>
      <c r="I4409" s="4" t="str" cm="1">
        <f t="array" ref="I4409">IFERROR(IF(INDEX(EmployeeData[Exit Reason], ROW() - 37)=0, "",INDEX(EmployeeData[Exit Reason], ROW() - 37)),"")</f>
        <v/>
      </c>
      <c r="J4409" s="4" t="str" cm="1">
        <f t="array" ref="J4409">IFERROR(INDEX(EmployeeData[Status], ROW() - 37), "")</f>
        <v/>
      </c>
    </row>
    <row r="4410" spans="2:10" ht="19.95" customHeight="1" x14ac:dyDescent="0.3">
      <c r="B4410" s="4" t="str" cm="1">
        <f t="array" ref="B4410">IFERROR(INDEX(EmployeeData[Employee ID], ROW() - 37), "")</f>
        <v/>
      </c>
      <c r="C4410" s="4" t="str" cm="1">
        <f t="array" ref="C4410">IFERROR(INDEX(EmployeeData[Full Name], ROW() - 37), "")</f>
        <v/>
      </c>
      <c r="D4410" s="4" t="str" cm="1">
        <f t="array" ref="D4410">IFERROR(INDEX(EmployeeData[Department], ROW() - 37), "")</f>
        <v/>
      </c>
      <c r="E4410" s="4" t="str" cm="1">
        <f t="array" ref="E4410">IFERROR(INDEX(EmployeeData[Gender], ROW() - 37), "")</f>
        <v/>
      </c>
      <c r="F4410" s="4" t="str" cm="1">
        <f t="array" ref="F4410">IFERROR(INDEX(EmployeeData[Age], ROW() - 37), "")</f>
        <v/>
      </c>
      <c r="G4410" s="6" t="str" cm="1">
        <f t="array" ref="G4410">IFERROR(INDEX(EmployeeData[Join Date], ROW() - 37), "")</f>
        <v/>
      </c>
      <c r="H4410" s="6" t="str" cm="1">
        <f t="array" ref="H4410">IFERROR(IF(INDEX(EmployeeData[Exit Date], ROW() - 37)=0, "",INDEX(EmployeeData[Exit Date], ROW() - 37)),"")</f>
        <v/>
      </c>
      <c r="I4410" s="4" t="str" cm="1">
        <f t="array" ref="I4410">IFERROR(IF(INDEX(EmployeeData[Exit Reason], ROW() - 37)=0, "",INDEX(EmployeeData[Exit Reason], ROW() - 37)),"")</f>
        <v/>
      </c>
      <c r="J4410" s="4" t="str" cm="1">
        <f t="array" ref="J4410">IFERROR(INDEX(EmployeeData[Status], ROW() - 37), "")</f>
        <v/>
      </c>
    </row>
    <row r="4411" spans="2:10" ht="19.95" customHeight="1" x14ac:dyDescent="0.3">
      <c r="B4411" s="4" t="str" cm="1">
        <f t="array" ref="B4411">IFERROR(INDEX(EmployeeData[Employee ID], ROW() - 37), "")</f>
        <v/>
      </c>
      <c r="C4411" s="4" t="str" cm="1">
        <f t="array" ref="C4411">IFERROR(INDEX(EmployeeData[Full Name], ROW() - 37), "")</f>
        <v/>
      </c>
      <c r="D4411" s="4" t="str" cm="1">
        <f t="array" ref="D4411">IFERROR(INDEX(EmployeeData[Department], ROW() - 37), "")</f>
        <v/>
      </c>
      <c r="E4411" s="4" t="str" cm="1">
        <f t="array" ref="E4411">IFERROR(INDEX(EmployeeData[Gender], ROW() - 37), "")</f>
        <v/>
      </c>
      <c r="F4411" s="4" t="str" cm="1">
        <f t="array" ref="F4411">IFERROR(INDEX(EmployeeData[Age], ROW() - 37), "")</f>
        <v/>
      </c>
      <c r="G4411" s="6" t="str" cm="1">
        <f t="array" ref="G4411">IFERROR(INDEX(EmployeeData[Join Date], ROW() - 37), "")</f>
        <v/>
      </c>
      <c r="H4411" s="6" t="str" cm="1">
        <f t="array" ref="H4411">IFERROR(IF(INDEX(EmployeeData[Exit Date], ROW() - 37)=0, "",INDEX(EmployeeData[Exit Date], ROW() - 37)),"")</f>
        <v/>
      </c>
      <c r="I4411" s="4" t="str" cm="1">
        <f t="array" ref="I4411">IFERROR(IF(INDEX(EmployeeData[Exit Reason], ROW() - 37)=0, "",INDEX(EmployeeData[Exit Reason], ROW() - 37)),"")</f>
        <v/>
      </c>
      <c r="J4411" s="4" t="str" cm="1">
        <f t="array" ref="J4411">IFERROR(INDEX(EmployeeData[Status], ROW() - 37), "")</f>
        <v/>
      </c>
    </row>
    <row r="4412" spans="2:10" ht="19.95" customHeight="1" x14ac:dyDescent="0.3">
      <c r="B4412" s="4" t="str" cm="1">
        <f t="array" ref="B4412">IFERROR(INDEX(EmployeeData[Employee ID], ROW() - 37), "")</f>
        <v/>
      </c>
      <c r="C4412" s="4" t="str" cm="1">
        <f t="array" ref="C4412">IFERROR(INDEX(EmployeeData[Full Name], ROW() - 37), "")</f>
        <v/>
      </c>
      <c r="D4412" s="4" t="str" cm="1">
        <f t="array" ref="D4412">IFERROR(INDEX(EmployeeData[Department], ROW() - 37), "")</f>
        <v/>
      </c>
      <c r="E4412" s="4" t="str" cm="1">
        <f t="array" ref="E4412">IFERROR(INDEX(EmployeeData[Gender], ROW() - 37), "")</f>
        <v/>
      </c>
      <c r="F4412" s="4" t="str" cm="1">
        <f t="array" ref="F4412">IFERROR(INDEX(EmployeeData[Age], ROW() - 37), "")</f>
        <v/>
      </c>
      <c r="G4412" s="6" t="str" cm="1">
        <f t="array" ref="G4412">IFERROR(INDEX(EmployeeData[Join Date], ROW() - 37), "")</f>
        <v/>
      </c>
      <c r="H4412" s="6" t="str" cm="1">
        <f t="array" ref="H4412">IFERROR(IF(INDEX(EmployeeData[Exit Date], ROW() - 37)=0, "",INDEX(EmployeeData[Exit Date], ROW() - 37)),"")</f>
        <v/>
      </c>
      <c r="I4412" s="4" t="str" cm="1">
        <f t="array" ref="I4412">IFERROR(IF(INDEX(EmployeeData[Exit Reason], ROW() - 37)=0, "",INDEX(EmployeeData[Exit Reason], ROW() - 37)),"")</f>
        <v/>
      </c>
      <c r="J4412" s="4" t="str" cm="1">
        <f t="array" ref="J4412">IFERROR(INDEX(EmployeeData[Status], ROW() - 37), "")</f>
        <v/>
      </c>
    </row>
    <row r="4413" spans="2:10" ht="19.95" customHeight="1" x14ac:dyDescent="0.3">
      <c r="B4413" s="4" t="str" cm="1">
        <f t="array" ref="B4413">IFERROR(INDEX(EmployeeData[Employee ID], ROW() - 37), "")</f>
        <v/>
      </c>
      <c r="C4413" s="4" t="str" cm="1">
        <f t="array" ref="C4413">IFERROR(INDEX(EmployeeData[Full Name], ROW() - 37), "")</f>
        <v/>
      </c>
      <c r="D4413" s="4" t="str" cm="1">
        <f t="array" ref="D4413">IFERROR(INDEX(EmployeeData[Department], ROW() - 37), "")</f>
        <v/>
      </c>
      <c r="E4413" s="4" t="str" cm="1">
        <f t="array" ref="E4413">IFERROR(INDEX(EmployeeData[Gender], ROW() - 37), "")</f>
        <v/>
      </c>
      <c r="F4413" s="4" t="str" cm="1">
        <f t="array" ref="F4413">IFERROR(INDEX(EmployeeData[Age], ROW() - 37), "")</f>
        <v/>
      </c>
      <c r="G4413" s="6" t="str" cm="1">
        <f t="array" ref="G4413">IFERROR(INDEX(EmployeeData[Join Date], ROW() - 37), "")</f>
        <v/>
      </c>
      <c r="H4413" s="6" t="str" cm="1">
        <f t="array" ref="H4413">IFERROR(IF(INDEX(EmployeeData[Exit Date], ROW() - 37)=0, "",INDEX(EmployeeData[Exit Date], ROW() - 37)),"")</f>
        <v/>
      </c>
      <c r="I4413" s="4" t="str" cm="1">
        <f t="array" ref="I4413">IFERROR(IF(INDEX(EmployeeData[Exit Reason], ROW() - 37)=0, "",INDEX(EmployeeData[Exit Reason], ROW() - 37)),"")</f>
        <v/>
      </c>
      <c r="J4413" s="4" t="str" cm="1">
        <f t="array" ref="J4413">IFERROR(INDEX(EmployeeData[Status], ROW() - 37), "")</f>
        <v/>
      </c>
    </row>
    <row r="4414" spans="2:10" ht="19.95" customHeight="1" x14ac:dyDescent="0.3">
      <c r="B4414" s="4" t="str" cm="1">
        <f t="array" ref="B4414">IFERROR(INDEX(EmployeeData[Employee ID], ROW() - 37), "")</f>
        <v/>
      </c>
      <c r="C4414" s="4" t="str" cm="1">
        <f t="array" ref="C4414">IFERROR(INDEX(EmployeeData[Full Name], ROW() - 37), "")</f>
        <v/>
      </c>
      <c r="D4414" s="4" t="str" cm="1">
        <f t="array" ref="D4414">IFERROR(INDEX(EmployeeData[Department], ROW() - 37), "")</f>
        <v/>
      </c>
      <c r="E4414" s="4" t="str" cm="1">
        <f t="array" ref="E4414">IFERROR(INDEX(EmployeeData[Gender], ROW() - 37), "")</f>
        <v/>
      </c>
      <c r="F4414" s="4" t="str" cm="1">
        <f t="array" ref="F4414">IFERROR(INDEX(EmployeeData[Age], ROW() - 37), "")</f>
        <v/>
      </c>
      <c r="G4414" s="6" t="str" cm="1">
        <f t="array" ref="G4414">IFERROR(INDEX(EmployeeData[Join Date], ROW() - 37), "")</f>
        <v/>
      </c>
      <c r="H4414" s="6" t="str" cm="1">
        <f t="array" ref="H4414">IFERROR(IF(INDEX(EmployeeData[Exit Date], ROW() - 37)=0, "",INDEX(EmployeeData[Exit Date], ROW() - 37)),"")</f>
        <v/>
      </c>
      <c r="I4414" s="4" t="str" cm="1">
        <f t="array" ref="I4414">IFERROR(IF(INDEX(EmployeeData[Exit Reason], ROW() - 37)=0, "",INDEX(EmployeeData[Exit Reason], ROW() - 37)),"")</f>
        <v/>
      </c>
      <c r="J4414" s="4" t="str" cm="1">
        <f t="array" ref="J4414">IFERROR(INDEX(EmployeeData[Status], ROW() - 37), "")</f>
        <v/>
      </c>
    </row>
    <row r="4415" spans="2:10" ht="19.95" customHeight="1" x14ac:dyDescent="0.3">
      <c r="B4415" s="4" t="str" cm="1">
        <f t="array" ref="B4415">IFERROR(INDEX(EmployeeData[Employee ID], ROW() - 37), "")</f>
        <v/>
      </c>
      <c r="C4415" s="4" t="str" cm="1">
        <f t="array" ref="C4415">IFERROR(INDEX(EmployeeData[Full Name], ROW() - 37), "")</f>
        <v/>
      </c>
      <c r="D4415" s="4" t="str" cm="1">
        <f t="array" ref="D4415">IFERROR(INDEX(EmployeeData[Department], ROW() - 37), "")</f>
        <v/>
      </c>
      <c r="E4415" s="4" t="str" cm="1">
        <f t="array" ref="E4415">IFERROR(INDEX(EmployeeData[Gender], ROW() - 37), "")</f>
        <v/>
      </c>
      <c r="F4415" s="4" t="str" cm="1">
        <f t="array" ref="F4415">IFERROR(INDEX(EmployeeData[Age], ROW() - 37), "")</f>
        <v/>
      </c>
      <c r="G4415" s="6" t="str" cm="1">
        <f t="array" ref="G4415">IFERROR(INDEX(EmployeeData[Join Date], ROW() - 37), "")</f>
        <v/>
      </c>
      <c r="H4415" s="6" t="str" cm="1">
        <f t="array" ref="H4415">IFERROR(IF(INDEX(EmployeeData[Exit Date], ROW() - 37)=0, "",INDEX(EmployeeData[Exit Date], ROW() - 37)),"")</f>
        <v/>
      </c>
      <c r="I4415" s="4" t="str" cm="1">
        <f t="array" ref="I4415">IFERROR(IF(INDEX(EmployeeData[Exit Reason], ROW() - 37)=0, "",INDEX(EmployeeData[Exit Reason], ROW() - 37)),"")</f>
        <v/>
      </c>
      <c r="J4415" s="4" t="str" cm="1">
        <f t="array" ref="J4415">IFERROR(INDEX(EmployeeData[Status], ROW() - 37), "")</f>
        <v/>
      </c>
    </row>
    <row r="4416" spans="2:10" ht="19.95" customHeight="1" x14ac:dyDescent="0.3">
      <c r="B4416" s="4" t="str" cm="1">
        <f t="array" ref="B4416">IFERROR(INDEX(EmployeeData[Employee ID], ROW() - 37), "")</f>
        <v/>
      </c>
      <c r="C4416" s="4" t="str" cm="1">
        <f t="array" ref="C4416">IFERROR(INDEX(EmployeeData[Full Name], ROW() - 37), "")</f>
        <v/>
      </c>
      <c r="D4416" s="4" t="str" cm="1">
        <f t="array" ref="D4416">IFERROR(INDEX(EmployeeData[Department], ROW() - 37), "")</f>
        <v/>
      </c>
      <c r="E4416" s="4" t="str" cm="1">
        <f t="array" ref="E4416">IFERROR(INDEX(EmployeeData[Gender], ROW() - 37), "")</f>
        <v/>
      </c>
      <c r="F4416" s="4" t="str" cm="1">
        <f t="array" ref="F4416">IFERROR(INDEX(EmployeeData[Age], ROW() - 37), "")</f>
        <v/>
      </c>
      <c r="G4416" s="6" t="str" cm="1">
        <f t="array" ref="G4416">IFERROR(INDEX(EmployeeData[Join Date], ROW() - 37), "")</f>
        <v/>
      </c>
      <c r="H4416" s="6" t="str" cm="1">
        <f t="array" ref="H4416">IFERROR(IF(INDEX(EmployeeData[Exit Date], ROW() - 37)=0, "",INDEX(EmployeeData[Exit Date], ROW() - 37)),"")</f>
        <v/>
      </c>
      <c r="I4416" s="4" t="str" cm="1">
        <f t="array" ref="I4416">IFERROR(IF(INDEX(EmployeeData[Exit Reason], ROW() - 37)=0, "",INDEX(EmployeeData[Exit Reason], ROW() - 37)),"")</f>
        <v/>
      </c>
      <c r="J4416" s="4" t="str" cm="1">
        <f t="array" ref="J4416">IFERROR(INDEX(EmployeeData[Status], ROW() - 37), "")</f>
        <v/>
      </c>
    </row>
    <row r="4417" spans="2:10" ht="19.95" customHeight="1" x14ac:dyDescent="0.3">
      <c r="B4417" s="4" t="str" cm="1">
        <f t="array" ref="B4417">IFERROR(INDEX(EmployeeData[Employee ID], ROW() - 37), "")</f>
        <v/>
      </c>
      <c r="C4417" s="4" t="str" cm="1">
        <f t="array" ref="C4417">IFERROR(INDEX(EmployeeData[Full Name], ROW() - 37), "")</f>
        <v/>
      </c>
      <c r="D4417" s="4" t="str" cm="1">
        <f t="array" ref="D4417">IFERROR(INDEX(EmployeeData[Department], ROW() - 37), "")</f>
        <v/>
      </c>
      <c r="E4417" s="4" t="str" cm="1">
        <f t="array" ref="E4417">IFERROR(INDEX(EmployeeData[Gender], ROW() - 37), "")</f>
        <v/>
      </c>
      <c r="F4417" s="4" t="str" cm="1">
        <f t="array" ref="F4417">IFERROR(INDEX(EmployeeData[Age], ROW() - 37), "")</f>
        <v/>
      </c>
      <c r="G4417" s="6" t="str" cm="1">
        <f t="array" ref="G4417">IFERROR(INDEX(EmployeeData[Join Date], ROW() - 37), "")</f>
        <v/>
      </c>
      <c r="H4417" s="6" t="str" cm="1">
        <f t="array" ref="H4417">IFERROR(IF(INDEX(EmployeeData[Exit Date], ROW() - 37)=0, "",INDEX(EmployeeData[Exit Date], ROW() - 37)),"")</f>
        <v/>
      </c>
      <c r="I4417" s="4" t="str" cm="1">
        <f t="array" ref="I4417">IFERROR(IF(INDEX(EmployeeData[Exit Reason], ROW() - 37)=0, "",INDEX(EmployeeData[Exit Reason], ROW() - 37)),"")</f>
        <v/>
      </c>
      <c r="J4417" s="4" t="str" cm="1">
        <f t="array" ref="J4417">IFERROR(INDEX(EmployeeData[Status], ROW() - 37), "")</f>
        <v/>
      </c>
    </row>
    <row r="4418" spans="2:10" ht="19.95" customHeight="1" x14ac:dyDescent="0.3">
      <c r="B4418" s="4" t="str" cm="1">
        <f t="array" ref="B4418">IFERROR(INDEX(EmployeeData[Employee ID], ROW() - 37), "")</f>
        <v/>
      </c>
      <c r="C4418" s="4" t="str" cm="1">
        <f t="array" ref="C4418">IFERROR(INDEX(EmployeeData[Full Name], ROW() - 37), "")</f>
        <v/>
      </c>
      <c r="D4418" s="4" t="str" cm="1">
        <f t="array" ref="D4418">IFERROR(INDEX(EmployeeData[Department], ROW() - 37), "")</f>
        <v/>
      </c>
      <c r="E4418" s="4" t="str" cm="1">
        <f t="array" ref="E4418">IFERROR(INDEX(EmployeeData[Gender], ROW() - 37), "")</f>
        <v/>
      </c>
      <c r="F4418" s="4" t="str" cm="1">
        <f t="array" ref="F4418">IFERROR(INDEX(EmployeeData[Age], ROW() - 37), "")</f>
        <v/>
      </c>
      <c r="G4418" s="6" t="str" cm="1">
        <f t="array" ref="G4418">IFERROR(INDEX(EmployeeData[Join Date], ROW() - 37), "")</f>
        <v/>
      </c>
      <c r="H4418" s="6" t="str" cm="1">
        <f t="array" ref="H4418">IFERROR(IF(INDEX(EmployeeData[Exit Date], ROW() - 37)=0, "",INDEX(EmployeeData[Exit Date], ROW() - 37)),"")</f>
        <v/>
      </c>
      <c r="I4418" s="4" t="str" cm="1">
        <f t="array" ref="I4418">IFERROR(IF(INDEX(EmployeeData[Exit Reason], ROW() - 37)=0, "",INDEX(EmployeeData[Exit Reason], ROW() - 37)),"")</f>
        <v/>
      </c>
      <c r="J4418" s="4" t="str" cm="1">
        <f t="array" ref="J4418">IFERROR(INDEX(EmployeeData[Status], ROW() - 37), "")</f>
        <v/>
      </c>
    </row>
    <row r="4419" spans="2:10" ht="19.95" customHeight="1" x14ac:dyDescent="0.3">
      <c r="B4419" s="4" t="str" cm="1">
        <f t="array" ref="B4419">IFERROR(INDEX(EmployeeData[Employee ID], ROW() - 37), "")</f>
        <v/>
      </c>
      <c r="C4419" s="4" t="str" cm="1">
        <f t="array" ref="C4419">IFERROR(INDEX(EmployeeData[Full Name], ROW() - 37), "")</f>
        <v/>
      </c>
      <c r="D4419" s="4" t="str" cm="1">
        <f t="array" ref="D4419">IFERROR(INDEX(EmployeeData[Department], ROW() - 37), "")</f>
        <v/>
      </c>
      <c r="E4419" s="4" t="str" cm="1">
        <f t="array" ref="E4419">IFERROR(INDEX(EmployeeData[Gender], ROW() - 37), "")</f>
        <v/>
      </c>
      <c r="F4419" s="4" t="str" cm="1">
        <f t="array" ref="F4419">IFERROR(INDEX(EmployeeData[Age], ROW() - 37), "")</f>
        <v/>
      </c>
      <c r="G4419" s="6" t="str" cm="1">
        <f t="array" ref="G4419">IFERROR(INDEX(EmployeeData[Join Date], ROW() - 37), "")</f>
        <v/>
      </c>
      <c r="H4419" s="6" t="str" cm="1">
        <f t="array" ref="H4419">IFERROR(IF(INDEX(EmployeeData[Exit Date], ROW() - 37)=0, "",INDEX(EmployeeData[Exit Date], ROW() - 37)),"")</f>
        <v/>
      </c>
      <c r="I4419" s="4" t="str" cm="1">
        <f t="array" ref="I4419">IFERROR(IF(INDEX(EmployeeData[Exit Reason], ROW() - 37)=0, "",INDEX(EmployeeData[Exit Reason], ROW() - 37)),"")</f>
        <v/>
      </c>
      <c r="J4419" s="4" t="str" cm="1">
        <f t="array" ref="J4419">IFERROR(INDEX(EmployeeData[Status], ROW() - 37), "")</f>
        <v/>
      </c>
    </row>
    <row r="4420" spans="2:10" ht="19.95" customHeight="1" x14ac:dyDescent="0.3">
      <c r="B4420" s="4" t="str" cm="1">
        <f t="array" ref="B4420">IFERROR(INDEX(EmployeeData[Employee ID], ROW() - 37), "")</f>
        <v/>
      </c>
      <c r="C4420" s="4" t="str" cm="1">
        <f t="array" ref="C4420">IFERROR(INDEX(EmployeeData[Full Name], ROW() - 37), "")</f>
        <v/>
      </c>
      <c r="D4420" s="4" t="str" cm="1">
        <f t="array" ref="D4420">IFERROR(INDEX(EmployeeData[Department], ROW() - 37), "")</f>
        <v/>
      </c>
      <c r="E4420" s="4" t="str" cm="1">
        <f t="array" ref="E4420">IFERROR(INDEX(EmployeeData[Gender], ROW() - 37), "")</f>
        <v/>
      </c>
      <c r="F4420" s="4" t="str" cm="1">
        <f t="array" ref="F4420">IFERROR(INDEX(EmployeeData[Age], ROW() - 37), "")</f>
        <v/>
      </c>
      <c r="G4420" s="6" t="str" cm="1">
        <f t="array" ref="G4420">IFERROR(INDEX(EmployeeData[Join Date], ROW() - 37), "")</f>
        <v/>
      </c>
      <c r="H4420" s="6" t="str" cm="1">
        <f t="array" ref="H4420">IFERROR(IF(INDEX(EmployeeData[Exit Date], ROW() - 37)=0, "",INDEX(EmployeeData[Exit Date], ROW() - 37)),"")</f>
        <v/>
      </c>
      <c r="I4420" s="4" t="str" cm="1">
        <f t="array" ref="I4420">IFERROR(IF(INDEX(EmployeeData[Exit Reason], ROW() - 37)=0, "",INDEX(EmployeeData[Exit Reason], ROW() - 37)),"")</f>
        <v/>
      </c>
      <c r="J4420" s="4" t="str" cm="1">
        <f t="array" ref="J4420">IFERROR(INDEX(EmployeeData[Status], ROW() - 37), "")</f>
        <v/>
      </c>
    </row>
    <row r="4421" spans="2:10" ht="19.95" customHeight="1" x14ac:dyDescent="0.3">
      <c r="B4421" s="4" t="str" cm="1">
        <f t="array" ref="B4421">IFERROR(INDEX(EmployeeData[Employee ID], ROW() - 37), "")</f>
        <v/>
      </c>
      <c r="C4421" s="4" t="str" cm="1">
        <f t="array" ref="C4421">IFERROR(INDEX(EmployeeData[Full Name], ROW() - 37), "")</f>
        <v/>
      </c>
      <c r="D4421" s="4" t="str" cm="1">
        <f t="array" ref="D4421">IFERROR(INDEX(EmployeeData[Department], ROW() - 37), "")</f>
        <v/>
      </c>
      <c r="E4421" s="4" t="str" cm="1">
        <f t="array" ref="E4421">IFERROR(INDEX(EmployeeData[Gender], ROW() - 37), "")</f>
        <v/>
      </c>
      <c r="F4421" s="4" t="str" cm="1">
        <f t="array" ref="F4421">IFERROR(INDEX(EmployeeData[Age], ROW() - 37), "")</f>
        <v/>
      </c>
      <c r="G4421" s="6" t="str" cm="1">
        <f t="array" ref="G4421">IFERROR(INDEX(EmployeeData[Join Date], ROW() - 37), "")</f>
        <v/>
      </c>
      <c r="H4421" s="6" t="str" cm="1">
        <f t="array" ref="H4421">IFERROR(IF(INDEX(EmployeeData[Exit Date], ROW() - 37)=0, "",INDEX(EmployeeData[Exit Date], ROW() - 37)),"")</f>
        <v/>
      </c>
      <c r="I4421" s="4" t="str" cm="1">
        <f t="array" ref="I4421">IFERROR(IF(INDEX(EmployeeData[Exit Reason], ROW() - 37)=0, "",INDEX(EmployeeData[Exit Reason], ROW() - 37)),"")</f>
        <v/>
      </c>
      <c r="J4421" s="4" t="str" cm="1">
        <f t="array" ref="J4421">IFERROR(INDEX(EmployeeData[Status], ROW() - 37), "")</f>
        <v/>
      </c>
    </row>
    <row r="4422" spans="2:10" ht="19.95" customHeight="1" x14ac:dyDescent="0.3">
      <c r="B4422" s="4" t="str" cm="1">
        <f t="array" ref="B4422">IFERROR(INDEX(EmployeeData[Employee ID], ROW() - 37), "")</f>
        <v/>
      </c>
      <c r="C4422" s="4" t="str" cm="1">
        <f t="array" ref="C4422">IFERROR(INDEX(EmployeeData[Full Name], ROW() - 37), "")</f>
        <v/>
      </c>
      <c r="D4422" s="4" t="str" cm="1">
        <f t="array" ref="D4422">IFERROR(INDEX(EmployeeData[Department], ROW() - 37), "")</f>
        <v/>
      </c>
      <c r="E4422" s="4" t="str" cm="1">
        <f t="array" ref="E4422">IFERROR(INDEX(EmployeeData[Gender], ROW() - 37), "")</f>
        <v/>
      </c>
      <c r="F4422" s="4" t="str" cm="1">
        <f t="array" ref="F4422">IFERROR(INDEX(EmployeeData[Age], ROW() - 37), "")</f>
        <v/>
      </c>
      <c r="G4422" s="6" t="str" cm="1">
        <f t="array" ref="G4422">IFERROR(INDEX(EmployeeData[Join Date], ROW() - 37), "")</f>
        <v/>
      </c>
      <c r="H4422" s="6" t="str" cm="1">
        <f t="array" ref="H4422">IFERROR(IF(INDEX(EmployeeData[Exit Date], ROW() - 37)=0, "",INDEX(EmployeeData[Exit Date], ROW() - 37)),"")</f>
        <v/>
      </c>
      <c r="I4422" s="4" t="str" cm="1">
        <f t="array" ref="I4422">IFERROR(IF(INDEX(EmployeeData[Exit Reason], ROW() - 37)=0, "",INDEX(EmployeeData[Exit Reason], ROW() - 37)),"")</f>
        <v/>
      </c>
      <c r="J4422" s="4" t="str" cm="1">
        <f t="array" ref="J4422">IFERROR(INDEX(EmployeeData[Status], ROW() - 37), "")</f>
        <v/>
      </c>
    </row>
    <row r="4423" spans="2:10" ht="19.95" customHeight="1" x14ac:dyDescent="0.3">
      <c r="B4423" s="4" t="str" cm="1">
        <f t="array" ref="B4423">IFERROR(INDEX(EmployeeData[Employee ID], ROW() - 37), "")</f>
        <v/>
      </c>
      <c r="C4423" s="4" t="str" cm="1">
        <f t="array" ref="C4423">IFERROR(INDEX(EmployeeData[Full Name], ROW() - 37), "")</f>
        <v/>
      </c>
      <c r="D4423" s="4" t="str" cm="1">
        <f t="array" ref="D4423">IFERROR(INDEX(EmployeeData[Department], ROW() - 37), "")</f>
        <v/>
      </c>
      <c r="E4423" s="4" t="str" cm="1">
        <f t="array" ref="E4423">IFERROR(INDEX(EmployeeData[Gender], ROW() - 37), "")</f>
        <v/>
      </c>
      <c r="F4423" s="4" t="str" cm="1">
        <f t="array" ref="F4423">IFERROR(INDEX(EmployeeData[Age], ROW() - 37), "")</f>
        <v/>
      </c>
      <c r="G4423" s="6" t="str" cm="1">
        <f t="array" ref="G4423">IFERROR(INDEX(EmployeeData[Join Date], ROW() - 37), "")</f>
        <v/>
      </c>
      <c r="H4423" s="6" t="str" cm="1">
        <f t="array" ref="H4423">IFERROR(IF(INDEX(EmployeeData[Exit Date], ROW() - 37)=0, "",INDEX(EmployeeData[Exit Date], ROW() - 37)),"")</f>
        <v/>
      </c>
      <c r="I4423" s="4" t="str" cm="1">
        <f t="array" ref="I4423">IFERROR(IF(INDEX(EmployeeData[Exit Reason], ROW() - 37)=0, "",INDEX(EmployeeData[Exit Reason], ROW() - 37)),"")</f>
        <v/>
      </c>
      <c r="J4423" s="4" t="str" cm="1">
        <f t="array" ref="J4423">IFERROR(INDEX(EmployeeData[Status], ROW() - 37), "")</f>
        <v/>
      </c>
    </row>
    <row r="4424" spans="2:10" ht="19.95" customHeight="1" x14ac:dyDescent="0.3">
      <c r="B4424" s="4" t="str" cm="1">
        <f t="array" ref="B4424">IFERROR(INDEX(EmployeeData[Employee ID], ROW() - 37), "")</f>
        <v/>
      </c>
      <c r="C4424" s="4" t="str" cm="1">
        <f t="array" ref="C4424">IFERROR(INDEX(EmployeeData[Full Name], ROW() - 37), "")</f>
        <v/>
      </c>
      <c r="D4424" s="4" t="str" cm="1">
        <f t="array" ref="D4424">IFERROR(INDEX(EmployeeData[Department], ROW() - 37), "")</f>
        <v/>
      </c>
      <c r="E4424" s="4" t="str" cm="1">
        <f t="array" ref="E4424">IFERROR(INDEX(EmployeeData[Gender], ROW() - 37), "")</f>
        <v/>
      </c>
      <c r="F4424" s="4" t="str" cm="1">
        <f t="array" ref="F4424">IFERROR(INDEX(EmployeeData[Age], ROW() - 37), "")</f>
        <v/>
      </c>
      <c r="G4424" s="6" t="str" cm="1">
        <f t="array" ref="G4424">IFERROR(INDEX(EmployeeData[Join Date], ROW() - 37), "")</f>
        <v/>
      </c>
      <c r="H4424" s="6" t="str" cm="1">
        <f t="array" ref="H4424">IFERROR(IF(INDEX(EmployeeData[Exit Date], ROW() - 37)=0, "",INDEX(EmployeeData[Exit Date], ROW() - 37)),"")</f>
        <v/>
      </c>
      <c r="I4424" s="4" t="str" cm="1">
        <f t="array" ref="I4424">IFERROR(IF(INDEX(EmployeeData[Exit Reason], ROW() - 37)=0, "",INDEX(EmployeeData[Exit Reason], ROW() - 37)),"")</f>
        <v/>
      </c>
      <c r="J4424" s="4" t="str" cm="1">
        <f t="array" ref="J4424">IFERROR(INDEX(EmployeeData[Status], ROW() - 37), "")</f>
        <v/>
      </c>
    </row>
    <row r="4425" spans="2:10" ht="19.95" customHeight="1" x14ac:dyDescent="0.3">
      <c r="B4425" s="4" t="str" cm="1">
        <f t="array" ref="B4425">IFERROR(INDEX(EmployeeData[Employee ID], ROW() - 37), "")</f>
        <v/>
      </c>
      <c r="C4425" s="4" t="str" cm="1">
        <f t="array" ref="C4425">IFERROR(INDEX(EmployeeData[Full Name], ROW() - 37), "")</f>
        <v/>
      </c>
      <c r="D4425" s="4" t="str" cm="1">
        <f t="array" ref="D4425">IFERROR(INDEX(EmployeeData[Department], ROW() - 37), "")</f>
        <v/>
      </c>
      <c r="E4425" s="4" t="str" cm="1">
        <f t="array" ref="E4425">IFERROR(INDEX(EmployeeData[Gender], ROW() - 37), "")</f>
        <v/>
      </c>
      <c r="F4425" s="4" t="str" cm="1">
        <f t="array" ref="F4425">IFERROR(INDEX(EmployeeData[Age], ROW() - 37), "")</f>
        <v/>
      </c>
      <c r="G4425" s="6" t="str" cm="1">
        <f t="array" ref="G4425">IFERROR(INDEX(EmployeeData[Join Date], ROW() - 37), "")</f>
        <v/>
      </c>
      <c r="H4425" s="6" t="str" cm="1">
        <f t="array" ref="H4425">IFERROR(IF(INDEX(EmployeeData[Exit Date], ROW() - 37)=0, "",INDEX(EmployeeData[Exit Date], ROW() - 37)),"")</f>
        <v/>
      </c>
      <c r="I4425" s="4" t="str" cm="1">
        <f t="array" ref="I4425">IFERROR(IF(INDEX(EmployeeData[Exit Reason], ROW() - 37)=0, "",INDEX(EmployeeData[Exit Reason], ROW() - 37)),"")</f>
        <v/>
      </c>
      <c r="J4425" s="4" t="str" cm="1">
        <f t="array" ref="J4425">IFERROR(INDEX(EmployeeData[Status], ROW() - 37), "")</f>
        <v/>
      </c>
    </row>
    <row r="4426" spans="2:10" ht="19.95" customHeight="1" x14ac:dyDescent="0.3">
      <c r="B4426" s="4" t="str" cm="1">
        <f t="array" ref="B4426">IFERROR(INDEX(EmployeeData[Employee ID], ROW() - 37), "")</f>
        <v/>
      </c>
      <c r="C4426" s="4" t="str" cm="1">
        <f t="array" ref="C4426">IFERROR(INDEX(EmployeeData[Full Name], ROW() - 37), "")</f>
        <v/>
      </c>
      <c r="D4426" s="4" t="str" cm="1">
        <f t="array" ref="D4426">IFERROR(INDEX(EmployeeData[Department], ROW() - 37), "")</f>
        <v/>
      </c>
      <c r="E4426" s="4" t="str" cm="1">
        <f t="array" ref="E4426">IFERROR(INDEX(EmployeeData[Gender], ROW() - 37), "")</f>
        <v/>
      </c>
      <c r="F4426" s="4" t="str" cm="1">
        <f t="array" ref="F4426">IFERROR(INDEX(EmployeeData[Age], ROW() - 37), "")</f>
        <v/>
      </c>
      <c r="G4426" s="6" t="str" cm="1">
        <f t="array" ref="G4426">IFERROR(INDEX(EmployeeData[Join Date], ROW() - 37), "")</f>
        <v/>
      </c>
      <c r="H4426" s="6" t="str" cm="1">
        <f t="array" ref="H4426">IFERROR(IF(INDEX(EmployeeData[Exit Date], ROW() - 37)=0, "",INDEX(EmployeeData[Exit Date], ROW() - 37)),"")</f>
        <v/>
      </c>
      <c r="I4426" s="4" t="str" cm="1">
        <f t="array" ref="I4426">IFERROR(IF(INDEX(EmployeeData[Exit Reason], ROW() - 37)=0, "",INDEX(EmployeeData[Exit Reason], ROW() - 37)),"")</f>
        <v/>
      </c>
      <c r="J4426" s="4" t="str" cm="1">
        <f t="array" ref="J4426">IFERROR(INDEX(EmployeeData[Status], ROW() - 37), "")</f>
        <v/>
      </c>
    </row>
    <row r="4427" spans="2:10" ht="19.95" customHeight="1" x14ac:dyDescent="0.3">
      <c r="B4427" s="4" t="str" cm="1">
        <f t="array" ref="B4427">IFERROR(INDEX(EmployeeData[Employee ID], ROW() - 37), "")</f>
        <v/>
      </c>
      <c r="C4427" s="4" t="str" cm="1">
        <f t="array" ref="C4427">IFERROR(INDEX(EmployeeData[Full Name], ROW() - 37), "")</f>
        <v/>
      </c>
      <c r="D4427" s="4" t="str" cm="1">
        <f t="array" ref="D4427">IFERROR(INDEX(EmployeeData[Department], ROW() - 37), "")</f>
        <v/>
      </c>
      <c r="E4427" s="4" t="str" cm="1">
        <f t="array" ref="E4427">IFERROR(INDEX(EmployeeData[Gender], ROW() - 37), "")</f>
        <v/>
      </c>
      <c r="F4427" s="4" t="str" cm="1">
        <f t="array" ref="F4427">IFERROR(INDEX(EmployeeData[Age], ROW() - 37), "")</f>
        <v/>
      </c>
      <c r="G4427" s="6" t="str" cm="1">
        <f t="array" ref="G4427">IFERROR(INDEX(EmployeeData[Join Date], ROW() - 37), "")</f>
        <v/>
      </c>
      <c r="H4427" s="6" t="str" cm="1">
        <f t="array" ref="H4427">IFERROR(IF(INDEX(EmployeeData[Exit Date], ROW() - 37)=0, "",INDEX(EmployeeData[Exit Date], ROW() - 37)),"")</f>
        <v/>
      </c>
      <c r="I4427" s="4" t="str" cm="1">
        <f t="array" ref="I4427">IFERROR(IF(INDEX(EmployeeData[Exit Reason], ROW() - 37)=0, "",INDEX(EmployeeData[Exit Reason], ROW() - 37)),"")</f>
        <v/>
      </c>
      <c r="J4427" s="4" t="str" cm="1">
        <f t="array" ref="J4427">IFERROR(INDEX(EmployeeData[Status], ROW() - 37), "")</f>
        <v/>
      </c>
    </row>
    <row r="4428" spans="2:10" ht="19.95" customHeight="1" x14ac:dyDescent="0.3">
      <c r="B4428" s="4" t="str" cm="1">
        <f t="array" ref="B4428">IFERROR(INDEX(EmployeeData[Employee ID], ROW() - 37), "")</f>
        <v/>
      </c>
      <c r="C4428" s="4" t="str" cm="1">
        <f t="array" ref="C4428">IFERROR(INDEX(EmployeeData[Full Name], ROW() - 37), "")</f>
        <v/>
      </c>
      <c r="D4428" s="4" t="str" cm="1">
        <f t="array" ref="D4428">IFERROR(INDEX(EmployeeData[Department], ROW() - 37), "")</f>
        <v/>
      </c>
      <c r="E4428" s="4" t="str" cm="1">
        <f t="array" ref="E4428">IFERROR(INDEX(EmployeeData[Gender], ROW() - 37), "")</f>
        <v/>
      </c>
      <c r="F4428" s="4" t="str" cm="1">
        <f t="array" ref="F4428">IFERROR(INDEX(EmployeeData[Age], ROW() - 37), "")</f>
        <v/>
      </c>
      <c r="G4428" s="6" t="str" cm="1">
        <f t="array" ref="G4428">IFERROR(INDEX(EmployeeData[Join Date], ROW() - 37), "")</f>
        <v/>
      </c>
      <c r="H4428" s="6" t="str" cm="1">
        <f t="array" ref="H4428">IFERROR(IF(INDEX(EmployeeData[Exit Date], ROW() - 37)=0, "",INDEX(EmployeeData[Exit Date], ROW() - 37)),"")</f>
        <v/>
      </c>
      <c r="I4428" s="4" t="str" cm="1">
        <f t="array" ref="I4428">IFERROR(IF(INDEX(EmployeeData[Exit Reason], ROW() - 37)=0, "",INDEX(EmployeeData[Exit Reason], ROW() - 37)),"")</f>
        <v/>
      </c>
      <c r="J4428" s="4" t="str" cm="1">
        <f t="array" ref="J4428">IFERROR(INDEX(EmployeeData[Status], ROW() - 37), "")</f>
        <v/>
      </c>
    </row>
    <row r="4429" spans="2:10" ht="19.95" customHeight="1" x14ac:dyDescent="0.3">
      <c r="B4429" s="4" t="str" cm="1">
        <f t="array" ref="B4429">IFERROR(INDEX(EmployeeData[Employee ID], ROW() - 37), "")</f>
        <v/>
      </c>
      <c r="C4429" s="4" t="str" cm="1">
        <f t="array" ref="C4429">IFERROR(INDEX(EmployeeData[Full Name], ROW() - 37), "")</f>
        <v/>
      </c>
      <c r="D4429" s="4" t="str" cm="1">
        <f t="array" ref="D4429">IFERROR(INDEX(EmployeeData[Department], ROW() - 37), "")</f>
        <v/>
      </c>
      <c r="E4429" s="4" t="str" cm="1">
        <f t="array" ref="E4429">IFERROR(INDEX(EmployeeData[Gender], ROW() - 37), "")</f>
        <v/>
      </c>
      <c r="F4429" s="4" t="str" cm="1">
        <f t="array" ref="F4429">IFERROR(INDEX(EmployeeData[Age], ROW() - 37), "")</f>
        <v/>
      </c>
      <c r="G4429" s="6" t="str" cm="1">
        <f t="array" ref="G4429">IFERROR(INDEX(EmployeeData[Join Date], ROW() - 37), "")</f>
        <v/>
      </c>
      <c r="H4429" s="6" t="str" cm="1">
        <f t="array" ref="H4429">IFERROR(IF(INDEX(EmployeeData[Exit Date], ROW() - 37)=0, "",INDEX(EmployeeData[Exit Date], ROW() - 37)),"")</f>
        <v/>
      </c>
      <c r="I4429" s="4" t="str" cm="1">
        <f t="array" ref="I4429">IFERROR(IF(INDEX(EmployeeData[Exit Reason], ROW() - 37)=0, "",INDEX(EmployeeData[Exit Reason], ROW() - 37)),"")</f>
        <v/>
      </c>
      <c r="J4429" s="4" t="str" cm="1">
        <f t="array" ref="J4429">IFERROR(INDEX(EmployeeData[Status], ROW() - 37), "")</f>
        <v/>
      </c>
    </row>
    <row r="4430" spans="2:10" ht="19.95" customHeight="1" x14ac:dyDescent="0.3">
      <c r="B4430" s="4" t="str" cm="1">
        <f t="array" ref="B4430">IFERROR(INDEX(EmployeeData[Employee ID], ROW() - 37), "")</f>
        <v/>
      </c>
      <c r="C4430" s="4" t="str" cm="1">
        <f t="array" ref="C4430">IFERROR(INDEX(EmployeeData[Full Name], ROW() - 37), "")</f>
        <v/>
      </c>
      <c r="D4430" s="4" t="str" cm="1">
        <f t="array" ref="D4430">IFERROR(INDEX(EmployeeData[Department], ROW() - 37), "")</f>
        <v/>
      </c>
      <c r="E4430" s="4" t="str" cm="1">
        <f t="array" ref="E4430">IFERROR(INDEX(EmployeeData[Gender], ROW() - 37), "")</f>
        <v/>
      </c>
      <c r="F4430" s="4" t="str" cm="1">
        <f t="array" ref="F4430">IFERROR(INDEX(EmployeeData[Age], ROW() - 37), "")</f>
        <v/>
      </c>
      <c r="G4430" s="6" t="str" cm="1">
        <f t="array" ref="G4430">IFERROR(INDEX(EmployeeData[Join Date], ROW() - 37), "")</f>
        <v/>
      </c>
      <c r="H4430" s="6" t="str" cm="1">
        <f t="array" ref="H4430">IFERROR(IF(INDEX(EmployeeData[Exit Date], ROW() - 37)=0, "",INDEX(EmployeeData[Exit Date], ROW() - 37)),"")</f>
        <v/>
      </c>
      <c r="I4430" s="4" t="str" cm="1">
        <f t="array" ref="I4430">IFERROR(IF(INDEX(EmployeeData[Exit Reason], ROW() - 37)=0, "",INDEX(EmployeeData[Exit Reason], ROW() - 37)),"")</f>
        <v/>
      </c>
      <c r="J4430" s="4" t="str" cm="1">
        <f t="array" ref="J4430">IFERROR(INDEX(EmployeeData[Status], ROW() - 37), "")</f>
        <v/>
      </c>
    </row>
    <row r="4431" spans="2:10" ht="19.95" customHeight="1" x14ac:dyDescent="0.3">
      <c r="B4431" s="4" t="str" cm="1">
        <f t="array" ref="B4431">IFERROR(INDEX(EmployeeData[Employee ID], ROW() - 37), "")</f>
        <v/>
      </c>
      <c r="C4431" s="4" t="str" cm="1">
        <f t="array" ref="C4431">IFERROR(INDEX(EmployeeData[Full Name], ROW() - 37), "")</f>
        <v/>
      </c>
      <c r="D4431" s="4" t="str" cm="1">
        <f t="array" ref="D4431">IFERROR(INDEX(EmployeeData[Department], ROW() - 37), "")</f>
        <v/>
      </c>
      <c r="E4431" s="4" t="str" cm="1">
        <f t="array" ref="E4431">IFERROR(INDEX(EmployeeData[Gender], ROW() - 37), "")</f>
        <v/>
      </c>
      <c r="F4431" s="4" t="str" cm="1">
        <f t="array" ref="F4431">IFERROR(INDEX(EmployeeData[Age], ROW() - 37), "")</f>
        <v/>
      </c>
      <c r="G4431" s="6" t="str" cm="1">
        <f t="array" ref="G4431">IFERROR(INDEX(EmployeeData[Join Date], ROW() - 37), "")</f>
        <v/>
      </c>
      <c r="H4431" s="6" t="str" cm="1">
        <f t="array" ref="H4431">IFERROR(IF(INDEX(EmployeeData[Exit Date], ROW() - 37)=0, "",INDEX(EmployeeData[Exit Date], ROW() - 37)),"")</f>
        <v/>
      </c>
      <c r="I4431" s="4" t="str" cm="1">
        <f t="array" ref="I4431">IFERROR(IF(INDEX(EmployeeData[Exit Reason], ROW() - 37)=0, "",INDEX(EmployeeData[Exit Reason], ROW() - 37)),"")</f>
        <v/>
      </c>
      <c r="J4431" s="4" t="str" cm="1">
        <f t="array" ref="J4431">IFERROR(INDEX(EmployeeData[Status], ROW() - 37), "")</f>
        <v/>
      </c>
    </row>
    <row r="4432" spans="2:10" ht="19.95" customHeight="1" x14ac:dyDescent="0.3">
      <c r="B4432" s="4" t="str" cm="1">
        <f t="array" ref="B4432">IFERROR(INDEX(EmployeeData[Employee ID], ROW() - 37), "")</f>
        <v/>
      </c>
      <c r="C4432" s="4" t="str" cm="1">
        <f t="array" ref="C4432">IFERROR(INDEX(EmployeeData[Full Name], ROW() - 37), "")</f>
        <v/>
      </c>
      <c r="D4432" s="4" t="str" cm="1">
        <f t="array" ref="D4432">IFERROR(INDEX(EmployeeData[Department], ROW() - 37), "")</f>
        <v/>
      </c>
      <c r="E4432" s="4" t="str" cm="1">
        <f t="array" ref="E4432">IFERROR(INDEX(EmployeeData[Gender], ROW() - 37), "")</f>
        <v/>
      </c>
      <c r="F4432" s="4" t="str" cm="1">
        <f t="array" ref="F4432">IFERROR(INDEX(EmployeeData[Age], ROW() - 37), "")</f>
        <v/>
      </c>
      <c r="G4432" s="6" t="str" cm="1">
        <f t="array" ref="G4432">IFERROR(INDEX(EmployeeData[Join Date], ROW() - 37), "")</f>
        <v/>
      </c>
      <c r="H4432" s="6" t="str" cm="1">
        <f t="array" ref="H4432">IFERROR(IF(INDEX(EmployeeData[Exit Date], ROW() - 37)=0, "",INDEX(EmployeeData[Exit Date], ROW() - 37)),"")</f>
        <v/>
      </c>
      <c r="I4432" s="4" t="str" cm="1">
        <f t="array" ref="I4432">IFERROR(IF(INDEX(EmployeeData[Exit Reason], ROW() - 37)=0, "",INDEX(EmployeeData[Exit Reason], ROW() - 37)),"")</f>
        <v/>
      </c>
      <c r="J4432" s="4" t="str" cm="1">
        <f t="array" ref="J4432">IFERROR(INDEX(EmployeeData[Status], ROW() - 37), "")</f>
        <v/>
      </c>
    </row>
    <row r="4433" spans="2:10" ht="19.95" customHeight="1" x14ac:dyDescent="0.3">
      <c r="B4433" s="4" t="str" cm="1">
        <f t="array" ref="B4433">IFERROR(INDEX(EmployeeData[Employee ID], ROW() - 37), "")</f>
        <v/>
      </c>
      <c r="C4433" s="4" t="str" cm="1">
        <f t="array" ref="C4433">IFERROR(INDEX(EmployeeData[Full Name], ROW() - 37), "")</f>
        <v/>
      </c>
      <c r="D4433" s="4" t="str" cm="1">
        <f t="array" ref="D4433">IFERROR(INDEX(EmployeeData[Department], ROW() - 37), "")</f>
        <v/>
      </c>
      <c r="E4433" s="4" t="str" cm="1">
        <f t="array" ref="E4433">IFERROR(INDEX(EmployeeData[Gender], ROW() - 37), "")</f>
        <v/>
      </c>
      <c r="F4433" s="4" t="str" cm="1">
        <f t="array" ref="F4433">IFERROR(INDEX(EmployeeData[Age], ROW() - 37), "")</f>
        <v/>
      </c>
      <c r="G4433" s="6" t="str" cm="1">
        <f t="array" ref="G4433">IFERROR(INDEX(EmployeeData[Join Date], ROW() - 37), "")</f>
        <v/>
      </c>
      <c r="H4433" s="6" t="str" cm="1">
        <f t="array" ref="H4433">IFERROR(IF(INDEX(EmployeeData[Exit Date], ROW() - 37)=0, "",INDEX(EmployeeData[Exit Date], ROW() - 37)),"")</f>
        <v/>
      </c>
      <c r="I4433" s="4" t="str" cm="1">
        <f t="array" ref="I4433">IFERROR(IF(INDEX(EmployeeData[Exit Reason], ROW() - 37)=0, "",INDEX(EmployeeData[Exit Reason], ROW() - 37)),"")</f>
        <v/>
      </c>
      <c r="J4433" s="4" t="str" cm="1">
        <f t="array" ref="J4433">IFERROR(INDEX(EmployeeData[Status], ROW() - 37), "")</f>
        <v/>
      </c>
    </row>
    <row r="4434" spans="2:10" ht="19.95" customHeight="1" x14ac:dyDescent="0.3">
      <c r="B4434" s="4" t="str" cm="1">
        <f t="array" ref="B4434">IFERROR(INDEX(EmployeeData[Employee ID], ROW() - 37), "")</f>
        <v/>
      </c>
      <c r="C4434" s="4" t="str" cm="1">
        <f t="array" ref="C4434">IFERROR(INDEX(EmployeeData[Full Name], ROW() - 37), "")</f>
        <v/>
      </c>
      <c r="D4434" s="4" t="str" cm="1">
        <f t="array" ref="D4434">IFERROR(INDEX(EmployeeData[Department], ROW() - 37), "")</f>
        <v/>
      </c>
      <c r="E4434" s="4" t="str" cm="1">
        <f t="array" ref="E4434">IFERROR(INDEX(EmployeeData[Gender], ROW() - 37), "")</f>
        <v/>
      </c>
      <c r="F4434" s="4" t="str" cm="1">
        <f t="array" ref="F4434">IFERROR(INDEX(EmployeeData[Age], ROW() - 37), "")</f>
        <v/>
      </c>
      <c r="G4434" s="6" t="str" cm="1">
        <f t="array" ref="G4434">IFERROR(INDEX(EmployeeData[Join Date], ROW() - 37), "")</f>
        <v/>
      </c>
      <c r="H4434" s="6" t="str" cm="1">
        <f t="array" ref="H4434">IFERROR(IF(INDEX(EmployeeData[Exit Date], ROW() - 37)=0, "",INDEX(EmployeeData[Exit Date], ROW() - 37)),"")</f>
        <v/>
      </c>
      <c r="I4434" s="4" t="str" cm="1">
        <f t="array" ref="I4434">IFERROR(IF(INDEX(EmployeeData[Exit Reason], ROW() - 37)=0, "",INDEX(EmployeeData[Exit Reason], ROW() - 37)),"")</f>
        <v/>
      </c>
      <c r="J4434" s="4" t="str" cm="1">
        <f t="array" ref="J4434">IFERROR(INDEX(EmployeeData[Status], ROW() - 37), "")</f>
        <v/>
      </c>
    </row>
    <row r="4435" spans="2:10" ht="19.95" customHeight="1" x14ac:dyDescent="0.3">
      <c r="B4435" s="4" t="str" cm="1">
        <f t="array" ref="B4435">IFERROR(INDEX(EmployeeData[Employee ID], ROW() - 37), "")</f>
        <v/>
      </c>
      <c r="C4435" s="4" t="str" cm="1">
        <f t="array" ref="C4435">IFERROR(INDEX(EmployeeData[Full Name], ROW() - 37), "")</f>
        <v/>
      </c>
      <c r="D4435" s="4" t="str" cm="1">
        <f t="array" ref="D4435">IFERROR(INDEX(EmployeeData[Department], ROW() - 37), "")</f>
        <v/>
      </c>
      <c r="E4435" s="4" t="str" cm="1">
        <f t="array" ref="E4435">IFERROR(INDEX(EmployeeData[Gender], ROW() - 37), "")</f>
        <v/>
      </c>
      <c r="F4435" s="4" t="str" cm="1">
        <f t="array" ref="F4435">IFERROR(INDEX(EmployeeData[Age], ROW() - 37), "")</f>
        <v/>
      </c>
      <c r="G4435" s="6" t="str" cm="1">
        <f t="array" ref="G4435">IFERROR(INDEX(EmployeeData[Join Date], ROW() - 37), "")</f>
        <v/>
      </c>
      <c r="H4435" s="6" t="str" cm="1">
        <f t="array" ref="H4435">IFERROR(IF(INDEX(EmployeeData[Exit Date], ROW() - 37)=0, "",INDEX(EmployeeData[Exit Date], ROW() - 37)),"")</f>
        <v/>
      </c>
      <c r="I4435" s="4" t="str" cm="1">
        <f t="array" ref="I4435">IFERROR(IF(INDEX(EmployeeData[Exit Reason], ROW() - 37)=0, "",INDEX(EmployeeData[Exit Reason], ROW() - 37)),"")</f>
        <v/>
      </c>
      <c r="J4435" s="4" t="str" cm="1">
        <f t="array" ref="J4435">IFERROR(INDEX(EmployeeData[Status], ROW() - 37), "")</f>
        <v/>
      </c>
    </row>
    <row r="4436" spans="2:10" ht="19.95" customHeight="1" x14ac:dyDescent="0.3">
      <c r="B4436" s="4" t="str" cm="1">
        <f t="array" ref="B4436">IFERROR(INDEX(EmployeeData[Employee ID], ROW() - 37), "")</f>
        <v/>
      </c>
      <c r="C4436" s="4" t="str" cm="1">
        <f t="array" ref="C4436">IFERROR(INDEX(EmployeeData[Full Name], ROW() - 37), "")</f>
        <v/>
      </c>
      <c r="D4436" s="4" t="str" cm="1">
        <f t="array" ref="D4436">IFERROR(INDEX(EmployeeData[Department], ROW() - 37), "")</f>
        <v/>
      </c>
      <c r="E4436" s="4" t="str" cm="1">
        <f t="array" ref="E4436">IFERROR(INDEX(EmployeeData[Gender], ROW() - 37), "")</f>
        <v/>
      </c>
      <c r="F4436" s="4" t="str" cm="1">
        <f t="array" ref="F4436">IFERROR(INDEX(EmployeeData[Age], ROW() - 37), "")</f>
        <v/>
      </c>
      <c r="G4436" s="6" t="str" cm="1">
        <f t="array" ref="G4436">IFERROR(INDEX(EmployeeData[Join Date], ROW() - 37), "")</f>
        <v/>
      </c>
      <c r="H4436" s="6" t="str" cm="1">
        <f t="array" ref="H4436">IFERROR(IF(INDEX(EmployeeData[Exit Date], ROW() - 37)=0, "",INDEX(EmployeeData[Exit Date], ROW() - 37)),"")</f>
        <v/>
      </c>
      <c r="I4436" s="4" t="str" cm="1">
        <f t="array" ref="I4436">IFERROR(IF(INDEX(EmployeeData[Exit Reason], ROW() - 37)=0, "",INDEX(EmployeeData[Exit Reason], ROW() - 37)),"")</f>
        <v/>
      </c>
      <c r="J4436" s="4" t="str" cm="1">
        <f t="array" ref="J4436">IFERROR(INDEX(EmployeeData[Status], ROW() - 37), "")</f>
        <v/>
      </c>
    </row>
    <row r="4437" spans="2:10" ht="19.95" customHeight="1" x14ac:dyDescent="0.3">
      <c r="B4437" s="4" t="str" cm="1">
        <f t="array" ref="B4437">IFERROR(INDEX(EmployeeData[Employee ID], ROW() - 37), "")</f>
        <v/>
      </c>
      <c r="C4437" s="4" t="str" cm="1">
        <f t="array" ref="C4437">IFERROR(INDEX(EmployeeData[Full Name], ROW() - 37), "")</f>
        <v/>
      </c>
      <c r="D4437" s="4" t="str" cm="1">
        <f t="array" ref="D4437">IFERROR(INDEX(EmployeeData[Department], ROW() - 37), "")</f>
        <v/>
      </c>
      <c r="E4437" s="4" t="str" cm="1">
        <f t="array" ref="E4437">IFERROR(INDEX(EmployeeData[Gender], ROW() - 37), "")</f>
        <v/>
      </c>
      <c r="F4437" s="4" t="str" cm="1">
        <f t="array" ref="F4437">IFERROR(INDEX(EmployeeData[Age], ROW() - 37), "")</f>
        <v/>
      </c>
      <c r="G4437" s="6" t="str" cm="1">
        <f t="array" ref="G4437">IFERROR(INDEX(EmployeeData[Join Date], ROW() - 37), "")</f>
        <v/>
      </c>
      <c r="H4437" s="6" t="str" cm="1">
        <f t="array" ref="H4437">IFERROR(IF(INDEX(EmployeeData[Exit Date], ROW() - 37)=0, "",INDEX(EmployeeData[Exit Date], ROW() - 37)),"")</f>
        <v/>
      </c>
      <c r="I4437" s="4" t="str" cm="1">
        <f t="array" ref="I4437">IFERROR(IF(INDEX(EmployeeData[Exit Reason], ROW() - 37)=0, "",INDEX(EmployeeData[Exit Reason], ROW() - 37)),"")</f>
        <v/>
      </c>
      <c r="J4437" s="4" t="str" cm="1">
        <f t="array" ref="J4437">IFERROR(INDEX(EmployeeData[Status], ROW() - 37), "")</f>
        <v/>
      </c>
    </row>
    <row r="4438" spans="2:10" ht="19.95" customHeight="1" x14ac:dyDescent="0.3">
      <c r="B4438" s="4" t="str" cm="1">
        <f t="array" ref="B4438">IFERROR(INDEX(EmployeeData[Employee ID], ROW() - 37), "")</f>
        <v/>
      </c>
      <c r="C4438" s="4" t="str" cm="1">
        <f t="array" ref="C4438">IFERROR(INDEX(EmployeeData[Full Name], ROW() - 37), "")</f>
        <v/>
      </c>
      <c r="D4438" s="4" t="str" cm="1">
        <f t="array" ref="D4438">IFERROR(INDEX(EmployeeData[Department], ROW() - 37), "")</f>
        <v/>
      </c>
      <c r="E4438" s="4" t="str" cm="1">
        <f t="array" ref="E4438">IFERROR(INDEX(EmployeeData[Gender], ROW() - 37), "")</f>
        <v/>
      </c>
      <c r="F4438" s="4" t="str" cm="1">
        <f t="array" ref="F4438">IFERROR(INDEX(EmployeeData[Age], ROW() - 37), "")</f>
        <v/>
      </c>
      <c r="G4438" s="6" t="str" cm="1">
        <f t="array" ref="G4438">IFERROR(INDEX(EmployeeData[Join Date], ROW() - 37), "")</f>
        <v/>
      </c>
      <c r="H4438" s="6" t="str" cm="1">
        <f t="array" ref="H4438">IFERROR(IF(INDEX(EmployeeData[Exit Date], ROW() - 37)=0, "",INDEX(EmployeeData[Exit Date], ROW() - 37)),"")</f>
        <v/>
      </c>
      <c r="I4438" s="4" t="str" cm="1">
        <f t="array" ref="I4438">IFERROR(IF(INDEX(EmployeeData[Exit Reason], ROW() - 37)=0, "",INDEX(EmployeeData[Exit Reason], ROW() - 37)),"")</f>
        <v/>
      </c>
      <c r="J4438" s="4" t="str" cm="1">
        <f t="array" ref="J4438">IFERROR(INDEX(EmployeeData[Status], ROW() - 37), "")</f>
        <v/>
      </c>
    </row>
    <row r="4439" spans="2:10" ht="19.95" customHeight="1" x14ac:dyDescent="0.3">
      <c r="B4439" s="4" t="str" cm="1">
        <f t="array" ref="B4439">IFERROR(INDEX(EmployeeData[Employee ID], ROW() - 37), "")</f>
        <v/>
      </c>
      <c r="C4439" s="4" t="str" cm="1">
        <f t="array" ref="C4439">IFERROR(INDEX(EmployeeData[Full Name], ROW() - 37), "")</f>
        <v/>
      </c>
      <c r="D4439" s="4" t="str" cm="1">
        <f t="array" ref="D4439">IFERROR(INDEX(EmployeeData[Department], ROW() - 37), "")</f>
        <v/>
      </c>
      <c r="E4439" s="4" t="str" cm="1">
        <f t="array" ref="E4439">IFERROR(INDEX(EmployeeData[Gender], ROW() - 37), "")</f>
        <v/>
      </c>
      <c r="F4439" s="4" t="str" cm="1">
        <f t="array" ref="F4439">IFERROR(INDEX(EmployeeData[Age], ROW() - 37), "")</f>
        <v/>
      </c>
      <c r="G4439" s="6" t="str" cm="1">
        <f t="array" ref="G4439">IFERROR(INDEX(EmployeeData[Join Date], ROW() - 37), "")</f>
        <v/>
      </c>
      <c r="H4439" s="6" t="str" cm="1">
        <f t="array" ref="H4439">IFERROR(IF(INDEX(EmployeeData[Exit Date], ROW() - 37)=0, "",INDEX(EmployeeData[Exit Date], ROW() - 37)),"")</f>
        <v/>
      </c>
      <c r="I4439" s="4" t="str" cm="1">
        <f t="array" ref="I4439">IFERROR(IF(INDEX(EmployeeData[Exit Reason], ROW() - 37)=0, "",INDEX(EmployeeData[Exit Reason], ROW() - 37)),"")</f>
        <v/>
      </c>
      <c r="J4439" s="4" t="str" cm="1">
        <f t="array" ref="J4439">IFERROR(INDEX(EmployeeData[Status], ROW() - 37), "")</f>
        <v/>
      </c>
    </row>
    <row r="4440" spans="2:10" ht="19.95" customHeight="1" x14ac:dyDescent="0.3">
      <c r="B4440" s="4" t="str" cm="1">
        <f t="array" ref="B4440">IFERROR(INDEX(EmployeeData[Employee ID], ROW() - 37), "")</f>
        <v/>
      </c>
      <c r="C4440" s="4" t="str" cm="1">
        <f t="array" ref="C4440">IFERROR(INDEX(EmployeeData[Full Name], ROW() - 37), "")</f>
        <v/>
      </c>
      <c r="D4440" s="4" t="str" cm="1">
        <f t="array" ref="D4440">IFERROR(INDEX(EmployeeData[Department], ROW() - 37), "")</f>
        <v/>
      </c>
      <c r="E4440" s="4" t="str" cm="1">
        <f t="array" ref="E4440">IFERROR(INDEX(EmployeeData[Gender], ROW() - 37), "")</f>
        <v/>
      </c>
      <c r="F4440" s="4" t="str" cm="1">
        <f t="array" ref="F4440">IFERROR(INDEX(EmployeeData[Age], ROW() - 37), "")</f>
        <v/>
      </c>
      <c r="G4440" s="6" t="str" cm="1">
        <f t="array" ref="G4440">IFERROR(INDEX(EmployeeData[Join Date], ROW() - 37), "")</f>
        <v/>
      </c>
      <c r="H4440" s="6" t="str" cm="1">
        <f t="array" ref="H4440">IFERROR(IF(INDEX(EmployeeData[Exit Date], ROW() - 37)=0, "",INDEX(EmployeeData[Exit Date], ROW() - 37)),"")</f>
        <v/>
      </c>
      <c r="I4440" s="4" t="str" cm="1">
        <f t="array" ref="I4440">IFERROR(IF(INDEX(EmployeeData[Exit Reason], ROW() - 37)=0, "",INDEX(EmployeeData[Exit Reason], ROW() - 37)),"")</f>
        <v/>
      </c>
      <c r="J4440" s="4" t="str" cm="1">
        <f t="array" ref="J4440">IFERROR(INDEX(EmployeeData[Status], ROW() - 37), "")</f>
        <v/>
      </c>
    </row>
    <row r="4441" spans="2:10" ht="19.95" customHeight="1" x14ac:dyDescent="0.3">
      <c r="B4441" s="4" t="str" cm="1">
        <f t="array" ref="B4441">IFERROR(INDEX(EmployeeData[Employee ID], ROW() - 37), "")</f>
        <v/>
      </c>
      <c r="C4441" s="4" t="str" cm="1">
        <f t="array" ref="C4441">IFERROR(INDEX(EmployeeData[Full Name], ROW() - 37), "")</f>
        <v/>
      </c>
      <c r="D4441" s="4" t="str" cm="1">
        <f t="array" ref="D4441">IFERROR(INDEX(EmployeeData[Department], ROW() - 37), "")</f>
        <v/>
      </c>
      <c r="E4441" s="4" t="str" cm="1">
        <f t="array" ref="E4441">IFERROR(INDEX(EmployeeData[Gender], ROW() - 37), "")</f>
        <v/>
      </c>
      <c r="F4441" s="4" t="str" cm="1">
        <f t="array" ref="F4441">IFERROR(INDEX(EmployeeData[Age], ROW() - 37), "")</f>
        <v/>
      </c>
      <c r="G4441" s="6" t="str" cm="1">
        <f t="array" ref="G4441">IFERROR(INDEX(EmployeeData[Join Date], ROW() - 37), "")</f>
        <v/>
      </c>
      <c r="H4441" s="6" t="str" cm="1">
        <f t="array" ref="H4441">IFERROR(IF(INDEX(EmployeeData[Exit Date], ROW() - 37)=0, "",INDEX(EmployeeData[Exit Date], ROW() - 37)),"")</f>
        <v/>
      </c>
      <c r="I4441" s="4" t="str" cm="1">
        <f t="array" ref="I4441">IFERROR(IF(INDEX(EmployeeData[Exit Reason], ROW() - 37)=0, "",INDEX(EmployeeData[Exit Reason], ROW() - 37)),"")</f>
        <v/>
      </c>
      <c r="J4441" s="4" t="str" cm="1">
        <f t="array" ref="J4441">IFERROR(INDEX(EmployeeData[Status], ROW() - 37), "")</f>
        <v/>
      </c>
    </row>
    <row r="4442" spans="2:10" ht="19.95" customHeight="1" x14ac:dyDescent="0.3">
      <c r="B4442" s="4" t="str" cm="1">
        <f t="array" ref="B4442">IFERROR(INDEX(EmployeeData[Employee ID], ROW() - 37), "")</f>
        <v/>
      </c>
      <c r="C4442" s="4" t="str" cm="1">
        <f t="array" ref="C4442">IFERROR(INDEX(EmployeeData[Full Name], ROW() - 37), "")</f>
        <v/>
      </c>
      <c r="D4442" s="4" t="str" cm="1">
        <f t="array" ref="D4442">IFERROR(INDEX(EmployeeData[Department], ROW() - 37), "")</f>
        <v/>
      </c>
      <c r="E4442" s="4" t="str" cm="1">
        <f t="array" ref="E4442">IFERROR(INDEX(EmployeeData[Gender], ROW() - 37), "")</f>
        <v/>
      </c>
      <c r="F4442" s="4" t="str" cm="1">
        <f t="array" ref="F4442">IFERROR(INDEX(EmployeeData[Age], ROW() - 37), "")</f>
        <v/>
      </c>
      <c r="G4442" s="6" t="str" cm="1">
        <f t="array" ref="G4442">IFERROR(INDEX(EmployeeData[Join Date], ROW() - 37), "")</f>
        <v/>
      </c>
      <c r="H4442" s="6" t="str" cm="1">
        <f t="array" ref="H4442">IFERROR(IF(INDEX(EmployeeData[Exit Date], ROW() - 37)=0, "",INDEX(EmployeeData[Exit Date], ROW() - 37)),"")</f>
        <v/>
      </c>
      <c r="I4442" s="4" t="str" cm="1">
        <f t="array" ref="I4442">IFERROR(IF(INDEX(EmployeeData[Exit Reason], ROW() - 37)=0, "",INDEX(EmployeeData[Exit Reason], ROW() - 37)),"")</f>
        <v/>
      </c>
      <c r="J4442" s="4" t="str" cm="1">
        <f t="array" ref="J4442">IFERROR(INDEX(EmployeeData[Status], ROW() - 37), "")</f>
        <v/>
      </c>
    </row>
    <row r="4443" spans="2:10" ht="19.95" customHeight="1" x14ac:dyDescent="0.3">
      <c r="B4443" s="4" t="str" cm="1">
        <f t="array" ref="B4443">IFERROR(INDEX(EmployeeData[Employee ID], ROW() - 37), "")</f>
        <v/>
      </c>
      <c r="C4443" s="4" t="str" cm="1">
        <f t="array" ref="C4443">IFERROR(INDEX(EmployeeData[Full Name], ROW() - 37), "")</f>
        <v/>
      </c>
      <c r="D4443" s="4" t="str" cm="1">
        <f t="array" ref="D4443">IFERROR(INDEX(EmployeeData[Department], ROW() - 37), "")</f>
        <v/>
      </c>
      <c r="E4443" s="4" t="str" cm="1">
        <f t="array" ref="E4443">IFERROR(INDEX(EmployeeData[Gender], ROW() - 37), "")</f>
        <v/>
      </c>
      <c r="F4443" s="4" t="str" cm="1">
        <f t="array" ref="F4443">IFERROR(INDEX(EmployeeData[Age], ROW() - 37), "")</f>
        <v/>
      </c>
      <c r="G4443" s="6" t="str" cm="1">
        <f t="array" ref="G4443">IFERROR(INDEX(EmployeeData[Join Date], ROW() - 37), "")</f>
        <v/>
      </c>
      <c r="H4443" s="6" t="str" cm="1">
        <f t="array" ref="H4443">IFERROR(IF(INDEX(EmployeeData[Exit Date], ROW() - 37)=0, "",INDEX(EmployeeData[Exit Date], ROW() - 37)),"")</f>
        <v/>
      </c>
      <c r="I4443" s="4" t="str" cm="1">
        <f t="array" ref="I4443">IFERROR(IF(INDEX(EmployeeData[Exit Reason], ROW() - 37)=0, "",INDEX(EmployeeData[Exit Reason], ROW() - 37)),"")</f>
        <v/>
      </c>
      <c r="J4443" s="4" t="str" cm="1">
        <f t="array" ref="J4443">IFERROR(INDEX(EmployeeData[Status], ROW() - 37), "")</f>
        <v/>
      </c>
    </row>
    <row r="4444" spans="2:10" ht="19.95" customHeight="1" x14ac:dyDescent="0.3">
      <c r="B4444" s="4" t="str" cm="1">
        <f t="array" ref="B4444">IFERROR(INDEX(EmployeeData[Employee ID], ROW() - 37), "")</f>
        <v/>
      </c>
      <c r="C4444" s="4" t="str" cm="1">
        <f t="array" ref="C4444">IFERROR(INDEX(EmployeeData[Full Name], ROW() - 37), "")</f>
        <v/>
      </c>
      <c r="D4444" s="4" t="str" cm="1">
        <f t="array" ref="D4444">IFERROR(INDEX(EmployeeData[Department], ROW() - 37), "")</f>
        <v/>
      </c>
      <c r="E4444" s="4" t="str" cm="1">
        <f t="array" ref="E4444">IFERROR(INDEX(EmployeeData[Gender], ROW() - 37), "")</f>
        <v/>
      </c>
      <c r="F4444" s="4" t="str" cm="1">
        <f t="array" ref="F4444">IFERROR(INDEX(EmployeeData[Age], ROW() - 37), "")</f>
        <v/>
      </c>
      <c r="G4444" s="6" t="str" cm="1">
        <f t="array" ref="G4444">IFERROR(INDEX(EmployeeData[Join Date], ROW() - 37), "")</f>
        <v/>
      </c>
      <c r="H4444" s="6" t="str" cm="1">
        <f t="array" ref="H4444">IFERROR(IF(INDEX(EmployeeData[Exit Date], ROW() - 37)=0, "",INDEX(EmployeeData[Exit Date], ROW() - 37)),"")</f>
        <v/>
      </c>
      <c r="I4444" s="4" t="str" cm="1">
        <f t="array" ref="I4444">IFERROR(IF(INDEX(EmployeeData[Exit Reason], ROW() - 37)=0, "",INDEX(EmployeeData[Exit Reason], ROW() - 37)),"")</f>
        <v/>
      </c>
      <c r="J4444" s="4" t="str" cm="1">
        <f t="array" ref="J4444">IFERROR(INDEX(EmployeeData[Status], ROW() - 37), "")</f>
        <v/>
      </c>
    </row>
    <row r="4445" spans="2:10" ht="19.95" customHeight="1" x14ac:dyDescent="0.3">
      <c r="B4445" s="4" t="str" cm="1">
        <f t="array" ref="B4445">IFERROR(INDEX(EmployeeData[Employee ID], ROW() - 37), "")</f>
        <v/>
      </c>
      <c r="C4445" s="4" t="str" cm="1">
        <f t="array" ref="C4445">IFERROR(INDEX(EmployeeData[Full Name], ROW() - 37), "")</f>
        <v/>
      </c>
      <c r="D4445" s="4" t="str" cm="1">
        <f t="array" ref="D4445">IFERROR(INDEX(EmployeeData[Department], ROW() - 37), "")</f>
        <v/>
      </c>
      <c r="E4445" s="4" t="str" cm="1">
        <f t="array" ref="E4445">IFERROR(INDEX(EmployeeData[Gender], ROW() - 37), "")</f>
        <v/>
      </c>
      <c r="F4445" s="4" t="str" cm="1">
        <f t="array" ref="F4445">IFERROR(INDEX(EmployeeData[Age], ROW() - 37), "")</f>
        <v/>
      </c>
      <c r="G4445" s="6" t="str" cm="1">
        <f t="array" ref="G4445">IFERROR(INDEX(EmployeeData[Join Date], ROW() - 37), "")</f>
        <v/>
      </c>
      <c r="H4445" s="6" t="str" cm="1">
        <f t="array" ref="H4445">IFERROR(IF(INDEX(EmployeeData[Exit Date], ROW() - 37)=0, "",INDEX(EmployeeData[Exit Date], ROW() - 37)),"")</f>
        <v/>
      </c>
      <c r="I4445" s="4" t="str" cm="1">
        <f t="array" ref="I4445">IFERROR(IF(INDEX(EmployeeData[Exit Reason], ROW() - 37)=0, "",INDEX(EmployeeData[Exit Reason], ROW() - 37)),"")</f>
        <v/>
      </c>
      <c r="J4445" s="4" t="str" cm="1">
        <f t="array" ref="J4445">IFERROR(INDEX(EmployeeData[Status], ROW() - 37), "")</f>
        <v/>
      </c>
    </row>
    <row r="4446" spans="2:10" ht="19.95" customHeight="1" x14ac:dyDescent="0.3">
      <c r="B4446" s="4" t="str" cm="1">
        <f t="array" ref="B4446">IFERROR(INDEX(EmployeeData[Employee ID], ROW() - 37), "")</f>
        <v/>
      </c>
      <c r="C4446" s="4" t="str" cm="1">
        <f t="array" ref="C4446">IFERROR(INDEX(EmployeeData[Full Name], ROW() - 37), "")</f>
        <v/>
      </c>
      <c r="D4446" s="4" t="str" cm="1">
        <f t="array" ref="D4446">IFERROR(INDEX(EmployeeData[Department], ROW() - 37), "")</f>
        <v/>
      </c>
      <c r="E4446" s="4" t="str" cm="1">
        <f t="array" ref="E4446">IFERROR(INDEX(EmployeeData[Gender], ROW() - 37), "")</f>
        <v/>
      </c>
      <c r="F4446" s="4" t="str" cm="1">
        <f t="array" ref="F4446">IFERROR(INDEX(EmployeeData[Age], ROW() - 37), "")</f>
        <v/>
      </c>
      <c r="G4446" s="6" t="str" cm="1">
        <f t="array" ref="G4446">IFERROR(INDEX(EmployeeData[Join Date], ROW() - 37), "")</f>
        <v/>
      </c>
      <c r="H4446" s="6" t="str" cm="1">
        <f t="array" ref="H4446">IFERROR(IF(INDEX(EmployeeData[Exit Date], ROW() - 37)=0, "",INDEX(EmployeeData[Exit Date], ROW() - 37)),"")</f>
        <v/>
      </c>
      <c r="I4446" s="4" t="str" cm="1">
        <f t="array" ref="I4446">IFERROR(IF(INDEX(EmployeeData[Exit Reason], ROW() - 37)=0, "",INDEX(EmployeeData[Exit Reason], ROW() - 37)),"")</f>
        <v/>
      </c>
      <c r="J4446" s="4" t="str" cm="1">
        <f t="array" ref="J4446">IFERROR(INDEX(EmployeeData[Status], ROW() - 37), "")</f>
        <v/>
      </c>
    </row>
    <row r="4447" spans="2:10" ht="19.95" customHeight="1" x14ac:dyDescent="0.3">
      <c r="B4447" s="4" t="str" cm="1">
        <f t="array" ref="B4447">IFERROR(INDEX(EmployeeData[Employee ID], ROW() - 37), "")</f>
        <v/>
      </c>
      <c r="C4447" s="4" t="str" cm="1">
        <f t="array" ref="C4447">IFERROR(INDEX(EmployeeData[Full Name], ROW() - 37), "")</f>
        <v/>
      </c>
      <c r="D4447" s="4" t="str" cm="1">
        <f t="array" ref="D4447">IFERROR(INDEX(EmployeeData[Department], ROW() - 37), "")</f>
        <v/>
      </c>
      <c r="E4447" s="4" t="str" cm="1">
        <f t="array" ref="E4447">IFERROR(INDEX(EmployeeData[Gender], ROW() - 37), "")</f>
        <v/>
      </c>
      <c r="F4447" s="4" t="str" cm="1">
        <f t="array" ref="F4447">IFERROR(INDEX(EmployeeData[Age], ROW() - 37), "")</f>
        <v/>
      </c>
      <c r="G4447" s="6" t="str" cm="1">
        <f t="array" ref="G4447">IFERROR(INDEX(EmployeeData[Join Date], ROW() - 37), "")</f>
        <v/>
      </c>
      <c r="H4447" s="6" t="str" cm="1">
        <f t="array" ref="H4447">IFERROR(IF(INDEX(EmployeeData[Exit Date], ROW() - 37)=0, "",INDEX(EmployeeData[Exit Date], ROW() - 37)),"")</f>
        <v/>
      </c>
      <c r="I4447" s="4" t="str" cm="1">
        <f t="array" ref="I4447">IFERROR(IF(INDEX(EmployeeData[Exit Reason], ROW() - 37)=0, "",INDEX(EmployeeData[Exit Reason], ROW() - 37)),"")</f>
        <v/>
      </c>
      <c r="J4447" s="4" t="str" cm="1">
        <f t="array" ref="J4447">IFERROR(INDEX(EmployeeData[Status], ROW() - 37), "")</f>
        <v/>
      </c>
    </row>
    <row r="4448" spans="2:10" ht="19.95" customHeight="1" x14ac:dyDescent="0.3">
      <c r="B4448" s="4" t="str" cm="1">
        <f t="array" ref="B4448">IFERROR(INDEX(EmployeeData[Employee ID], ROW() - 37), "")</f>
        <v/>
      </c>
      <c r="C4448" s="4" t="str" cm="1">
        <f t="array" ref="C4448">IFERROR(INDEX(EmployeeData[Full Name], ROW() - 37), "")</f>
        <v/>
      </c>
      <c r="D4448" s="4" t="str" cm="1">
        <f t="array" ref="D4448">IFERROR(INDEX(EmployeeData[Department], ROW() - 37), "")</f>
        <v/>
      </c>
      <c r="E4448" s="4" t="str" cm="1">
        <f t="array" ref="E4448">IFERROR(INDEX(EmployeeData[Gender], ROW() - 37), "")</f>
        <v/>
      </c>
      <c r="F4448" s="4" t="str" cm="1">
        <f t="array" ref="F4448">IFERROR(INDEX(EmployeeData[Age], ROW() - 37), "")</f>
        <v/>
      </c>
      <c r="G4448" s="6" t="str" cm="1">
        <f t="array" ref="G4448">IFERROR(INDEX(EmployeeData[Join Date], ROW() - 37), "")</f>
        <v/>
      </c>
      <c r="H4448" s="6" t="str" cm="1">
        <f t="array" ref="H4448">IFERROR(IF(INDEX(EmployeeData[Exit Date], ROW() - 37)=0, "",INDEX(EmployeeData[Exit Date], ROW() - 37)),"")</f>
        <v/>
      </c>
      <c r="I4448" s="4" t="str" cm="1">
        <f t="array" ref="I4448">IFERROR(IF(INDEX(EmployeeData[Exit Reason], ROW() - 37)=0, "",INDEX(EmployeeData[Exit Reason], ROW() - 37)),"")</f>
        <v/>
      </c>
      <c r="J4448" s="4" t="str" cm="1">
        <f t="array" ref="J4448">IFERROR(INDEX(EmployeeData[Status], ROW() - 37), "")</f>
        <v/>
      </c>
    </row>
    <row r="4449" spans="2:10" ht="19.95" customHeight="1" x14ac:dyDescent="0.3">
      <c r="B4449" s="4" t="str" cm="1">
        <f t="array" ref="B4449">IFERROR(INDEX(EmployeeData[Employee ID], ROW() - 37), "")</f>
        <v/>
      </c>
      <c r="C4449" s="4" t="str" cm="1">
        <f t="array" ref="C4449">IFERROR(INDEX(EmployeeData[Full Name], ROW() - 37), "")</f>
        <v/>
      </c>
      <c r="D4449" s="4" t="str" cm="1">
        <f t="array" ref="D4449">IFERROR(INDEX(EmployeeData[Department], ROW() - 37), "")</f>
        <v/>
      </c>
      <c r="E4449" s="4" t="str" cm="1">
        <f t="array" ref="E4449">IFERROR(INDEX(EmployeeData[Gender], ROW() - 37), "")</f>
        <v/>
      </c>
      <c r="F4449" s="4" t="str" cm="1">
        <f t="array" ref="F4449">IFERROR(INDEX(EmployeeData[Age], ROW() - 37), "")</f>
        <v/>
      </c>
      <c r="G4449" s="6" t="str" cm="1">
        <f t="array" ref="G4449">IFERROR(INDEX(EmployeeData[Join Date], ROW() - 37), "")</f>
        <v/>
      </c>
      <c r="H4449" s="6" t="str" cm="1">
        <f t="array" ref="H4449">IFERROR(IF(INDEX(EmployeeData[Exit Date], ROW() - 37)=0, "",INDEX(EmployeeData[Exit Date], ROW() - 37)),"")</f>
        <v/>
      </c>
      <c r="I4449" s="4" t="str" cm="1">
        <f t="array" ref="I4449">IFERROR(IF(INDEX(EmployeeData[Exit Reason], ROW() - 37)=0, "",INDEX(EmployeeData[Exit Reason], ROW() - 37)),"")</f>
        <v/>
      </c>
      <c r="J4449" s="4" t="str" cm="1">
        <f t="array" ref="J4449">IFERROR(INDEX(EmployeeData[Status], ROW() - 37), "")</f>
        <v/>
      </c>
    </row>
    <row r="4450" spans="2:10" ht="19.95" customHeight="1" x14ac:dyDescent="0.3">
      <c r="B4450" s="4" t="str" cm="1">
        <f t="array" ref="B4450">IFERROR(INDEX(EmployeeData[Employee ID], ROW() - 37), "")</f>
        <v/>
      </c>
      <c r="C4450" s="4" t="str" cm="1">
        <f t="array" ref="C4450">IFERROR(INDEX(EmployeeData[Full Name], ROW() - 37), "")</f>
        <v/>
      </c>
      <c r="D4450" s="4" t="str" cm="1">
        <f t="array" ref="D4450">IFERROR(INDEX(EmployeeData[Department], ROW() - 37), "")</f>
        <v/>
      </c>
      <c r="E4450" s="4" t="str" cm="1">
        <f t="array" ref="E4450">IFERROR(INDEX(EmployeeData[Gender], ROW() - 37), "")</f>
        <v/>
      </c>
      <c r="F4450" s="4" t="str" cm="1">
        <f t="array" ref="F4450">IFERROR(INDEX(EmployeeData[Age], ROW() - 37), "")</f>
        <v/>
      </c>
      <c r="G4450" s="6" t="str" cm="1">
        <f t="array" ref="G4450">IFERROR(INDEX(EmployeeData[Join Date], ROW() - 37), "")</f>
        <v/>
      </c>
      <c r="H4450" s="6" t="str" cm="1">
        <f t="array" ref="H4450">IFERROR(IF(INDEX(EmployeeData[Exit Date], ROW() - 37)=0, "",INDEX(EmployeeData[Exit Date], ROW() - 37)),"")</f>
        <v/>
      </c>
      <c r="I4450" s="4" t="str" cm="1">
        <f t="array" ref="I4450">IFERROR(IF(INDEX(EmployeeData[Exit Reason], ROW() - 37)=0, "",INDEX(EmployeeData[Exit Reason], ROW() - 37)),"")</f>
        <v/>
      </c>
      <c r="J4450" s="4" t="str" cm="1">
        <f t="array" ref="J4450">IFERROR(INDEX(EmployeeData[Status], ROW() - 37), "")</f>
        <v/>
      </c>
    </row>
    <row r="4451" spans="2:10" ht="19.95" customHeight="1" x14ac:dyDescent="0.3">
      <c r="B4451" s="4" t="str" cm="1">
        <f t="array" ref="B4451">IFERROR(INDEX(EmployeeData[Employee ID], ROW() - 37), "")</f>
        <v/>
      </c>
      <c r="C4451" s="4" t="str" cm="1">
        <f t="array" ref="C4451">IFERROR(INDEX(EmployeeData[Full Name], ROW() - 37), "")</f>
        <v/>
      </c>
      <c r="D4451" s="4" t="str" cm="1">
        <f t="array" ref="D4451">IFERROR(INDEX(EmployeeData[Department], ROW() - 37), "")</f>
        <v/>
      </c>
      <c r="E4451" s="4" t="str" cm="1">
        <f t="array" ref="E4451">IFERROR(INDEX(EmployeeData[Gender], ROW() - 37), "")</f>
        <v/>
      </c>
      <c r="F4451" s="4" t="str" cm="1">
        <f t="array" ref="F4451">IFERROR(INDEX(EmployeeData[Age], ROW() - 37), "")</f>
        <v/>
      </c>
      <c r="G4451" s="6" t="str" cm="1">
        <f t="array" ref="G4451">IFERROR(INDEX(EmployeeData[Join Date], ROW() - 37), "")</f>
        <v/>
      </c>
      <c r="H4451" s="6" t="str" cm="1">
        <f t="array" ref="H4451">IFERROR(IF(INDEX(EmployeeData[Exit Date], ROW() - 37)=0, "",INDEX(EmployeeData[Exit Date], ROW() - 37)),"")</f>
        <v/>
      </c>
      <c r="I4451" s="4" t="str" cm="1">
        <f t="array" ref="I4451">IFERROR(IF(INDEX(EmployeeData[Exit Reason], ROW() - 37)=0, "",INDEX(EmployeeData[Exit Reason], ROW() - 37)),"")</f>
        <v/>
      </c>
      <c r="J4451" s="4" t="str" cm="1">
        <f t="array" ref="J4451">IFERROR(INDEX(EmployeeData[Status], ROW() - 37), "")</f>
        <v/>
      </c>
    </row>
    <row r="4452" spans="2:10" ht="19.95" customHeight="1" x14ac:dyDescent="0.3">
      <c r="B4452" s="4" t="str" cm="1">
        <f t="array" ref="B4452">IFERROR(INDEX(EmployeeData[Employee ID], ROW() - 37), "")</f>
        <v/>
      </c>
      <c r="C4452" s="4" t="str" cm="1">
        <f t="array" ref="C4452">IFERROR(INDEX(EmployeeData[Full Name], ROW() - 37), "")</f>
        <v/>
      </c>
      <c r="D4452" s="4" t="str" cm="1">
        <f t="array" ref="D4452">IFERROR(INDEX(EmployeeData[Department], ROW() - 37), "")</f>
        <v/>
      </c>
      <c r="E4452" s="4" t="str" cm="1">
        <f t="array" ref="E4452">IFERROR(INDEX(EmployeeData[Gender], ROW() - 37), "")</f>
        <v/>
      </c>
      <c r="F4452" s="4" t="str" cm="1">
        <f t="array" ref="F4452">IFERROR(INDEX(EmployeeData[Age], ROW() - 37), "")</f>
        <v/>
      </c>
      <c r="G4452" s="6" t="str" cm="1">
        <f t="array" ref="G4452">IFERROR(INDEX(EmployeeData[Join Date], ROW() - 37), "")</f>
        <v/>
      </c>
      <c r="H4452" s="6" t="str" cm="1">
        <f t="array" ref="H4452">IFERROR(IF(INDEX(EmployeeData[Exit Date], ROW() - 37)=0, "",INDEX(EmployeeData[Exit Date], ROW() - 37)),"")</f>
        <v/>
      </c>
      <c r="I4452" s="4" t="str" cm="1">
        <f t="array" ref="I4452">IFERROR(IF(INDEX(EmployeeData[Exit Reason], ROW() - 37)=0, "",INDEX(EmployeeData[Exit Reason], ROW() - 37)),"")</f>
        <v/>
      </c>
      <c r="J4452" s="4" t="str" cm="1">
        <f t="array" ref="J4452">IFERROR(INDEX(EmployeeData[Status], ROW() - 37), "")</f>
        <v/>
      </c>
    </row>
    <row r="4453" spans="2:10" ht="19.95" customHeight="1" x14ac:dyDescent="0.3">
      <c r="B4453" s="4" t="str" cm="1">
        <f t="array" ref="B4453">IFERROR(INDEX(EmployeeData[Employee ID], ROW() - 37), "")</f>
        <v/>
      </c>
      <c r="C4453" s="4" t="str" cm="1">
        <f t="array" ref="C4453">IFERROR(INDEX(EmployeeData[Full Name], ROW() - 37), "")</f>
        <v/>
      </c>
      <c r="D4453" s="4" t="str" cm="1">
        <f t="array" ref="D4453">IFERROR(INDEX(EmployeeData[Department], ROW() - 37), "")</f>
        <v/>
      </c>
      <c r="E4453" s="4" t="str" cm="1">
        <f t="array" ref="E4453">IFERROR(INDEX(EmployeeData[Gender], ROW() - 37), "")</f>
        <v/>
      </c>
      <c r="F4453" s="4" t="str" cm="1">
        <f t="array" ref="F4453">IFERROR(INDEX(EmployeeData[Age], ROW() - 37), "")</f>
        <v/>
      </c>
      <c r="G4453" s="6" t="str" cm="1">
        <f t="array" ref="G4453">IFERROR(INDEX(EmployeeData[Join Date], ROW() - 37), "")</f>
        <v/>
      </c>
      <c r="H4453" s="6" t="str" cm="1">
        <f t="array" ref="H4453">IFERROR(IF(INDEX(EmployeeData[Exit Date], ROW() - 37)=0, "",INDEX(EmployeeData[Exit Date], ROW() - 37)),"")</f>
        <v/>
      </c>
      <c r="I4453" s="4" t="str" cm="1">
        <f t="array" ref="I4453">IFERROR(IF(INDEX(EmployeeData[Exit Reason], ROW() - 37)=0, "",INDEX(EmployeeData[Exit Reason], ROW() - 37)),"")</f>
        <v/>
      </c>
      <c r="J4453" s="4" t="str" cm="1">
        <f t="array" ref="J4453">IFERROR(INDEX(EmployeeData[Status], ROW() - 37), "")</f>
        <v/>
      </c>
    </row>
    <row r="4454" spans="2:10" ht="19.95" customHeight="1" x14ac:dyDescent="0.3">
      <c r="B4454" s="4" t="str" cm="1">
        <f t="array" ref="B4454">IFERROR(INDEX(EmployeeData[Employee ID], ROW() - 37), "")</f>
        <v/>
      </c>
      <c r="C4454" s="4" t="str" cm="1">
        <f t="array" ref="C4454">IFERROR(INDEX(EmployeeData[Full Name], ROW() - 37), "")</f>
        <v/>
      </c>
      <c r="D4454" s="4" t="str" cm="1">
        <f t="array" ref="D4454">IFERROR(INDEX(EmployeeData[Department], ROW() - 37), "")</f>
        <v/>
      </c>
      <c r="E4454" s="4" t="str" cm="1">
        <f t="array" ref="E4454">IFERROR(INDEX(EmployeeData[Gender], ROW() - 37), "")</f>
        <v/>
      </c>
      <c r="F4454" s="4" t="str" cm="1">
        <f t="array" ref="F4454">IFERROR(INDEX(EmployeeData[Age], ROW() - 37), "")</f>
        <v/>
      </c>
      <c r="G4454" s="6" t="str" cm="1">
        <f t="array" ref="G4454">IFERROR(INDEX(EmployeeData[Join Date], ROW() - 37), "")</f>
        <v/>
      </c>
      <c r="H4454" s="6" t="str" cm="1">
        <f t="array" ref="H4454">IFERROR(IF(INDEX(EmployeeData[Exit Date], ROW() - 37)=0, "",INDEX(EmployeeData[Exit Date], ROW() - 37)),"")</f>
        <v/>
      </c>
      <c r="I4454" s="4" t="str" cm="1">
        <f t="array" ref="I4454">IFERROR(IF(INDEX(EmployeeData[Exit Reason], ROW() - 37)=0, "",INDEX(EmployeeData[Exit Reason], ROW() - 37)),"")</f>
        <v/>
      </c>
      <c r="J4454" s="4" t="str" cm="1">
        <f t="array" ref="J4454">IFERROR(INDEX(EmployeeData[Status], ROW() - 37), "")</f>
        <v/>
      </c>
    </row>
    <row r="4455" spans="2:10" ht="19.95" customHeight="1" x14ac:dyDescent="0.3">
      <c r="B4455" s="4" t="str" cm="1">
        <f t="array" ref="B4455">IFERROR(INDEX(EmployeeData[Employee ID], ROW() - 37), "")</f>
        <v/>
      </c>
      <c r="C4455" s="4" t="str" cm="1">
        <f t="array" ref="C4455">IFERROR(INDEX(EmployeeData[Full Name], ROW() - 37), "")</f>
        <v/>
      </c>
      <c r="D4455" s="4" t="str" cm="1">
        <f t="array" ref="D4455">IFERROR(INDEX(EmployeeData[Department], ROW() - 37), "")</f>
        <v/>
      </c>
      <c r="E4455" s="4" t="str" cm="1">
        <f t="array" ref="E4455">IFERROR(INDEX(EmployeeData[Gender], ROW() - 37), "")</f>
        <v/>
      </c>
      <c r="F4455" s="4" t="str" cm="1">
        <f t="array" ref="F4455">IFERROR(INDEX(EmployeeData[Age], ROW() - 37), "")</f>
        <v/>
      </c>
      <c r="G4455" s="6" t="str" cm="1">
        <f t="array" ref="G4455">IFERROR(INDEX(EmployeeData[Join Date], ROW() - 37), "")</f>
        <v/>
      </c>
      <c r="H4455" s="6" t="str" cm="1">
        <f t="array" ref="H4455">IFERROR(IF(INDEX(EmployeeData[Exit Date], ROW() - 37)=0, "",INDEX(EmployeeData[Exit Date], ROW() - 37)),"")</f>
        <v/>
      </c>
      <c r="I4455" s="4" t="str" cm="1">
        <f t="array" ref="I4455">IFERROR(IF(INDEX(EmployeeData[Exit Reason], ROW() - 37)=0, "",INDEX(EmployeeData[Exit Reason], ROW() - 37)),"")</f>
        <v/>
      </c>
      <c r="J4455" s="4" t="str" cm="1">
        <f t="array" ref="J4455">IFERROR(INDEX(EmployeeData[Status], ROW() - 37), "")</f>
        <v/>
      </c>
    </row>
    <row r="4456" spans="2:10" ht="19.95" customHeight="1" x14ac:dyDescent="0.3">
      <c r="B4456" s="4" t="str" cm="1">
        <f t="array" ref="B4456">IFERROR(INDEX(EmployeeData[Employee ID], ROW() - 37), "")</f>
        <v/>
      </c>
      <c r="C4456" s="4" t="str" cm="1">
        <f t="array" ref="C4456">IFERROR(INDEX(EmployeeData[Full Name], ROW() - 37), "")</f>
        <v/>
      </c>
      <c r="D4456" s="4" t="str" cm="1">
        <f t="array" ref="D4456">IFERROR(INDEX(EmployeeData[Department], ROW() - 37), "")</f>
        <v/>
      </c>
      <c r="E4456" s="4" t="str" cm="1">
        <f t="array" ref="E4456">IFERROR(INDEX(EmployeeData[Gender], ROW() - 37), "")</f>
        <v/>
      </c>
      <c r="F4456" s="4" t="str" cm="1">
        <f t="array" ref="F4456">IFERROR(INDEX(EmployeeData[Age], ROW() - 37), "")</f>
        <v/>
      </c>
      <c r="G4456" s="6" t="str" cm="1">
        <f t="array" ref="G4456">IFERROR(INDEX(EmployeeData[Join Date], ROW() - 37), "")</f>
        <v/>
      </c>
      <c r="H4456" s="6" t="str" cm="1">
        <f t="array" ref="H4456">IFERROR(IF(INDEX(EmployeeData[Exit Date], ROW() - 37)=0, "",INDEX(EmployeeData[Exit Date], ROW() - 37)),"")</f>
        <v/>
      </c>
      <c r="I4456" s="4" t="str" cm="1">
        <f t="array" ref="I4456">IFERROR(IF(INDEX(EmployeeData[Exit Reason], ROW() - 37)=0, "",INDEX(EmployeeData[Exit Reason], ROW() - 37)),"")</f>
        <v/>
      </c>
      <c r="J4456" s="4" t="str" cm="1">
        <f t="array" ref="J4456">IFERROR(INDEX(EmployeeData[Status], ROW() - 37), "")</f>
        <v/>
      </c>
    </row>
    <row r="4457" spans="2:10" ht="19.95" customHeight="1" x14ac:dyDescent="0.3">
      <c r="B4457" s="4" t="str" cm="1">
        <f t="array" ref="B4457">IFERROR(INDEX(EmployeeData[Employee ID], ROW() - 37), "")</f>
        <v/>
      </c>
      <c r="C4457" s="4" t="str" cm="1">
        <f t="array" ref="C4457">IFERROR(INDEX(EmployeeData[Full Name], ROW() - 37), "")</f>
        <v/>
      </c>
      <c r="D4457" s="4" t="str" cm="1">
        <f t="array" ref="D4457">IFERROR(INDEX(EmployeeData[Department], ROW() - 37), "")</f>
        <v/>
      </c>
      <c r="E4457" s="4" t="str" cm="1">
        <f t="array" ref="E4457">IFERROR(INDEX(EmployeeData[Gender], ROW() - 37), "")</f>
        <v/>
      </c>
      <c r="F4457" s="4" t="str" cm="1">
        <f t="array" ref="F4457">IFERROR(INDEX(EmployeeData[Age], ROW() - 37), "")</f>
        <v/>
      </c>
      <c r="G4457" s="6" t="str" cm="1">
        <f t="array" ref="G4457">IFERROR(INDEX(EmployeeData[Join Date], ROW() - 37), "")</f>
        <v/>
      </c>
      <c r="H4457" s="6" t="str" cm="1">
        <f t="array" ref="H4457">IFERROR(IF(INDEX(EmployeeData[Exit Date], ROW() - 37)=0, "",INDEX(EmployeeData[Exit Date], ROW() - 37)),"")</f>
        <v/>
      </c>
      <c r="I4457" s="4" t="str" cm="1">
        <f t="array" ref="I4457">IFERROR(IF(INDEX(EmployeeData[Exit Reason], ROW() - 37)=0, "",INDEX(EmployeeData[Exit Reason], ROW() - 37)),"")</f>
        <v/>
      </c>
      <c r="J4457" s="4" t="str" cm="1">
        <f t="array" ref="J4457">IFERROR(INDEX(EmployeeData[Status], ROW() - 37), "")</f>
        <v/>
      </c>
    </row>
    <row r="4458" spans="2:10" ht="19.95" customHeight="1" x14ac:dyDescent="0.3">
      <c r="B4458" s="4" t="str" cm="1">
        <f t="array" ref="B4458">IFERROR(INDEX(EmployeeData[Employee ID], ROW() - 37), "")</f>
        <v/>
      </c>
      <c r="C4458" s="4" t="str" cm="1">
        <f t="array" ref="C4458">IFERROR(INDEX(EmployeeData[Full Name], ROW() - 37), "")</f>
        <v/>
      </c>
      <c r="D4458" s="4" t="str" cm="1">
        <f t="array" ref="D4458">IFERROR(INDEX(EmployeeData[Department], ROW() - 37), "")</f>
        <v/>
      </c>
      <c r="E4458" s="4" t="str" cm="1">
        <f t="array" ref="E4458">IFERROR(INDEX(EmployeeData[Gender], ROW() - 37), "")</f>
        <v/>
      </c>
      <c r="F4458" s="4" t="str" cm="1">
        <f t="array" ref="F4458">IFERROR(INDEX(EmployeeData[Age], ROW() - 37), "")</f>
        <v/>
      </c>
      <c r="G4458" s="6" t="str" cm="1">
        <f t="array" ref="G4458">IFERROR(INDEX(EmployeeData[Join Date], ROW() - 37), "")</f>
        <v/>
      </c>
      <c r="H4458" s="6" t="str" cm="1">
        <f t="array" ref="H4458">IFERROR(IF(INDEX(EmployeeData[Exit Date], ROW() - 37)=0, "",INDEX(EmployeeData[Exit Date], ROW() - 37)),"")</f>
        <v/>
      </c>
      <c r="I4458" s="4" t="str" cm="1">
        <f t="array" ref="I4458">IFERROR(IF(INDEX(EmployeeData[Exit Reason], ROW() - 37)=0, "",INDEX(EmployeeData[Exit Reason], ROW() - 37)),"")</f>
        <v/>
      </c>
      <c r="J4458" s="4" t="str" cm="1">
        <f t="array" ref="J4458">IFERROR(INDEX(EmployeeData[Status], ROW() - 37), "")</f>
        <v/>
      </c>
    </row>
    <row r="4459" spans="2:10" ht="19.95" customHeight="1" x14ac:dyDescent="0.3">
      <c r="B4459" s="4" t="str" cm="1">
        <f t="array" ref="B4459">IFERROR(INDEX(EmployeeData[Employee ID], ROW() - 37), "")</f>
        <v/>
      </c>
      <c r="C4459" s="4" t="str" cm="1">
        <f t="array" ref="C4459">IFERROR(INDEX(EmployeeData[Full Name], ROW() - 37), "")</f>
        <v/>
      </c>
      <c r="D4459" s="4" t="str" cm="1">
        <f t="array" ref="D4459">IFERROR(INDEX(EmployeeData[Department], ROW() - 37), "")</f>
        <v/>
      </c>
      <c r="E4459" s="4" t="str" cm="1">
        <f t="array" ref="E4459">IFERROR(INDEX(EmployeeData[Gender], ROW() - 37), "")</f>
        <v/>
      </c>
      <c r="F4459" s="4" t="str" cm="1">
        <f t="array" ref="F4459">IFERROR(INDEX(EmployeeData[Age], ROW() - 37), "")</f>
        <v/>
      </c>
      <c r="G4459" s="6" t="str" cm="1">
        <f t="array" ref="G4459">IFERROR(INDEX(EmployeeData[Join Date], ROW() - 37), "")</f>
        <v/>
      </c>
      <c r="H4459" s="6" t="str" cm="1">
        <f t="array" ref="H4459">IFERROR(IF(INDEX(EmployeeData[Exit Date], ROW() - 37)=0, "",INDEX(EmployeeData[Exit Date], ROW() - 37)),"")</f>
        <v/>
      </c>
      <c r="I4459" s="4" t="str" cm="1">
        <f t="array" ref="I4459">IFERROR(IF(INDEX(EmployeeData[Exit Reason], ROW() - 37)=0, "",INDEX(EmployeeData[Exit Reason], ROW() - 37)),"")</f>
        <v/>
      </c>
      <c r="J4459" s="4" t="str" cm="1">
        <f t="array" ref="J4459">IFERROR(INDEX(EmployeeData[Status], ROW() - 37), "")</f>
        <v/>
      </c>
    </row>
    <row r="4460" spans="2:10" ht="19.95" customHeight="1" x14ac:dyDescent="0.3">
      <c r="B4460" s="4" t="str" cm="1">
        <f t="array" ref="B4460">IFERROR(INDEX(EmployeeData[Employee ID], ROW() - 37), "")</f>
        <v/>
      </c>
      <c r="C4460" s="4" t="str" cm="1">
        <f t="array" ref="C4460">IFERROR(INDEX(EmployeeData[Full Name], ROW() - 37), "")</f>
        <v/>
      </c>
      <c r="D4460" s="4" t="str" cm="1">
        <f t="array" ref="D4460">IFERROR(INDEX(EmployeeData[Department], ROW() - 37), "")</f>
        <v/>
      </c>
      <c r="E4460" s="4" t="str" cm="1">
        <f t="array" ref="E4460">IFERROR(INDEX(EmployeeData[Gender], ROW() - 37), "")</f>
        <v/>
      </c>
      <c r="F4460" s="4" t="str" cm="1">
        <f t="array" ref="F4460">IFERROR(INDEX(EmployeeData[Age], ROW() - 37), "")</f>
        <v/>
      </c>
      <c r="G4460" s="6" t="str" cm="1">
        <f t="array" ref="G4460">IFERROR(INDEX(EmployeeData[Join Date], ROW() - 37), "")</f>
        <v/>
      </c>
      <c r="H4460" s="6" t="str" cm="1">
        <f t="array" ref="H4460">IFERROR(IF(INDEX(EmployeeData[Exit Date], ROW() - 37)=0, "",INDEX(EmployeeData[Exit Date], ROW() - 37)),"")</f>
        <v/>
      </c>
      <c r="I4460" s="4" t="str" cm="1">
        <f t="array" ref="I4460">IFERROR(IF(INDEX(EmployeeData[Exit Reason], ROW() - 37)=0, "",INDEX(EmployeeData[Exit Reason], ROW() - 37)),"")</f>
        <v/>
      </c>
      <c r="J4460" s="4" t="str" cm="1">
        <f t="array" ref="J4460">IFERROR(INDEX(EmployeeData[Status], ROW() - 37), "")</f>
        <v/>
      </c>
    </row>
    <row r="4461" spans="2:10" ht="19.95" customHeight="1" x14ac:dyDescent="0.3">
      <c r="B4461" s="4" t="str" cm="1">
        <f t="array" ref="B4461">IFERROR(INDEX(EmployeeData[Employee ID], ROW() - 37), "")</f>
        <v/>
      </c>
      <c r="C4461" s="4" t="str" cm="1">
        <f t="array" ref="C4461">IFERROR(INDEX(EmployeeData[Full Name], ROW() - 37), "")</f>
        <v/>
      </c>
      <c r="D4461" s="4" t="str" cm="1">
        <f t="array" ref="D4461">IFERROR(INDEX(EmployeeData[Department], ROW() - 37), "")</f>
        <v/>
      </c>
      <c r="E4461" s="4" t="str" cm="1">
        <f t="array" ref="E4461">IFERROR(INDEX(EmployeeData[Gender], ROW() - 37), "")</f>
        <v/>
      </c>
      <c r="F4461" s="4" t="str" cm="1">
        <f t="array" ref="F4461">IFERROR(INDEX(EmployeeData[Age], ROW() - 37), "")</f>
        <v/>
      </c>
      <c r="G4461" s="6" t="str" cm="1">
        <f t="array" ref="G4461">IFERROR(INDEX(EmployeeData[Join Date], ROW() - 37), "")</f>
        <v/>
      </c>
      <c r="H4461" s="6" t="str" cm="1">
        <f t="array" ref="H4461">IFERROR(IF(INDEX(EmployeeData[Exit Date], ROW() - 37)=0, "",INDEX(EmployeeData[Exit Date], ROW() - 37)),"")</f>
        <v/>
      </c>
      <c r="I4461" s="4" t="str" cm="1">
        <f t="array" ref="I4461">IFERROR(IF(INDEX(EmployeeData[Exit Reason], ROW() - 37)=0, "",INDEX(EmployeeData[Exit Reason], ROW() - 37)),"")</f>
        <v/>
      </c>
      <c r="J4461" s="4" t="str" cm="1">
        <f t="array" ref="J4461">IFERROR(INDEX(EmployeeData[Status], ROW() - 37), "")</f>
        <v/>
      </c>
    </row>
    <row r="4462" spans="2:10" ht="19.95" customHeight="1" x14ac:dyDescent="0.3">
      <c r="B4462" s="4" t="str" cm="1">
        <f t="array" ref="B4462">IFERROR(INDEX(EmployeeData[Employee ID], ROW() - 37), "")</f>
        <v/>
      </c>
      <c r="C4462" s="4" t="str" cm="1">
        <f t="array" ref="C4462">IFERROR(INDEX(EmployeeData[Full Name], ROW() - 37), "")</f>
        <v/>
      </c>
      <c r="D4462" s="4" t="str" cm="1">
        <f t="array" ref="D4462">IFERROR(INDEX(EmployeeData[Department], ROW() - 37), "")</f>
        <v/>
      </c>
      <c r="E4462" s="4" t="str" cm="1">
        <f t="array" ref="E4462">IFERROR(INDEX(EmployeeData[Gender], ROW() - 37), "")</f>
        <v/>
      </c>
      <c r="F4462" s="4" t="str" cm="1">
        <f t="array" ref="F4462">IFERROR(INDEX(EmployeeData[Age], ROW() - 37), "")</f>
        <v/>
      </c>
      <c r="G4462" s="6" t="str" cm="1">
        <f t="array" ref="G4462">IFERROR(INDEX(EmployeeData[Join Date], ROW() - 37), "")</f>
        <v/>
      </c>
      <c r="H4462" s="6" t="str" cm="1">
        <f t="array" ref="H4462">IFERROR(IF(INDEX(EmployeeData[Exit Date], ROW() - 37)=0, "",INDEX(EmployeeData[Exit Date], ROW() - 37)),"")</f>
        <v/>
      </c>
      <c r="I4462" s="4" t="str" cm="1">
        <f t="array" ref="I4462">IFERROR(IF(INDEX(EmployeeData[Exit Reason], ROW() - 37)=0, "",INDEX(EmployeeData[Exit Reason], ROW() - 37)),"")</f>
        <v/>
      </c>
      <c r="J4462" s="4" t="str" cm="1">
        <f t="array" ref="J4462">IFERROR(INDEX(EmployeeData[Status], ROW() - 37), "")</f>
        <v/>
      </c>
    </row>
    <row r="4463" spans="2:10" ht="19.95" customHeight="1" x14ac:dyDescent="0.3">
      <c r="B4463" s="4" t="str" cm="1">
        <f t="array" ref="B4463">IFERROR(INDEX(EmployeeData[Employee ID], ROW() - 37), "")</f>
        <v/>
      </c>
      <c r="C4463" s="4" t="str" cm="1">
        <f t="array" ref="C4463">IFERROR(INDEX(EmployeeData[Full Name], ROW() - 37), "")</f>
        <v/>
      </c>
      <c r="D4463" s="4" t="str" cm="1">
        <f t="array" ref="D4463">IFERROR(INDEX(EmployeeData[Department], ROW() - 37), "")</f>
        <v/>
      </c>
      <c r="E4463" s="4" t="str" cm="1">
        <f t="array" ref="E4463">IFERROR(INDEX(EmployeeData[Gender], ROW() - 37), "")</f>
        <v/>
      </c>
      <c r="F4463" s="4" t="str" cm="1">
        <f t="array" ref="F4463">IFERROR(INDEX(EmployeeData[Age], ROW() - 37), "")</f>
        <v/>
      </c>
      <c r="G4463" s="6" t="str" cm="1">
        <f t="array" ref="G4463">IFERROR(INDEX(EmployeeData[Join Date], ROW() - 37), "")</f>
        <v/>
      </c>
      <c r="H4463" s="6" t="str" cm="1">
        <f t="array" ref="H4463">IFERROR(IF(INDEX(EmployeeData[Exit Date], ROW() - 37)=0, "",INDEX(EmployeeData[Exit Date], ROW() - 37)),"")</f>
        <v/>
      </c>
      <c r="I4463" s="4" t="str" cm="1">
        <f t="array" ref="I4463">IFERROR(IF(INDEX(EmployeeData[Exit Reason], ROW() - 37)=0, "",INDEX(EmployeeData[Exit Reason], ROW() - 37)),"")</f>
        <v/>
      </c>
      <c r="J4463" s="4" t="str" cm="1">
        <f t="array" ref="J4463">IFERROR(INDEX(EmployeeData[Status], ROW() - 37), "")</f>
        <v/>
      </c>
    </row>
    <row r="4464" spans="2:10" ht="19.95" customHeight="1" x14ac:dyDescent="0.3">
      <c r="B4464" s="4" t="str" cm="1">
        <f t="array" ref="B4464">IFERROR(INDEX(EmployeeData[Employee ID], ROW() - 37), "")</f>
        <v/>
      </c>
      <c r="C4464" s="4" t="str" cm="1">
        <f t="array" ref="C4464">IFERROR(INDEX(EmployeeData[Full Name], ROW() - 37), "")</f>
        <v/>
      </c>
      <c r="D4464" s="4" t="str" cm="1">
        <f t="array" ref="D4464">IFERROR(INDEX(EmployeeData[Department], ROW() - 37), "")</f>
        <v/>
      </c>
      <c r="E4464" s="4" t="str" cm="1">
        <f t="array" ref="E4464">IFERROR(INDEX(EmployeeData[Gender], ROW() - 37), "")</f>
        <v/>
      </c>
      <c r="F4464" s="4" t="str" cm="1">
        <f t="array" ref="F4464">IFERROR(INDEX(EmployeeData[Age], ROW() - 37), "")</f>
        <v/>
      </c>
      <c r="G4464" s="6" t="str" cm="1">
        <f t="array" ref="G4464">IFERROR(INDEX(EmployeeData[Join Date], ROW() - 37), "")</f>
        <v/>
      </c>
      <c r="H4464" s="6" t="str" cm="1">
        <f t="array" ref="H4464">IFERROR(IF(INDEX(EmployeeData[Exit Date], ROW() - 37)=0, "",INDEX(EmployeeData[Exit Date], ROW() - 37)),"")</f>
        <v/>
      </c>
      <c r="I4464" s="4" t="str" cm="1">
        <f t="array" ref="I4464">IFERROR(IF(INDEX(EmployeeData[Exit Reason], ROW() - 37)=0, "",INDEX(EmployeeData[Exit Reason], ROW() - 37)),"")</f>
        <v/>
      </c>
      <c r="J4464" s="4" t="str" cm="1">
        <f t="array" ref="J4464">IFERROR(INDEX(EmployeeData[Status], ROW() - 37), "")</f>
        <v/>
      </c>
    </row>
    <row r="4465" spans="2:10" ht="19.95" customHeight="1" x14ac:dyDescent="0.3">
      <c r="B4465" s="4" t="str" cm="1">
        <f t="array" ref="B4465">IFERROR(INDEX(EmployeeData[Employee ID], ROW() - 37), "")</f>
        <v/>
      </c>
      <c r="C4465" s="4" t="str" cm="1">
        <f t="array" ref="C4465">IFERROR(INDEX(EmployeeData[Full Name], ROW() - 37), "")</f>
        <v/>
      </c>
      <c r="D4465" s="4" t="str" cm="1">
        <f t="array" ref="D4465">IFERROR(INDEX(EmployeeData[Department], ROW() - 37), "")</f>
        <v/>
      </c>
      <c r="E4465" s="4" t="str" cm="1">
        <f t="array" ref="E4465">IFERROR(INDEX(EmployeeData[Gender], ROW() - 37), "")</f>
        <v/>
      </c>
      <c r="F4465" s="4" t="str" cm="1">
        <f t="array" ref="F4465">IFERROR(INDEX(EmployeeData[Age], ROW() - 37), "")</f>
        <v/>
      </c>
      <c r="G4465" s="6" t="str" cm="1">
        <f t="array" ref="G4465">IFERROR(INDEX(EmployeeData[Join Date], ROW() - 37), "")</f>
        <v/>
      </c>
      <c r="H4465" s="6" t="str" cm="1">
        <f t="array" ref="H4465">IFERROR(IF(INDEX(EmployeeData[Exit Date], ROW() - 37)=0, "",INDEX(EmployeeData[Exit Date], ROW() - 37)),"")</f>
        <v/>
      </c>
      <c r="I4465" s="4" t="str" cm="1">
        <f t="array" ref="I4465">IFERROR(IF(INDEX(EmployeeData[Exit Reason], ROW() - 37)=0, "",INDEX(EmployeeData[Exit Reason], ROW() - 37)),"")</f>
        <v/>
      </c>
      <c r="J4465" s="4" t="str" cm="1">
        <f t="array" ref="J4465">IFERROR(INDEX(EmployeeData[Status], ROW() - 37), "")</f>
        <v/>
      </c>
    </row>
    <row r="4466" spans="2:10" ht="19.95" customHeight="1" x14ac:dyDescent="0.3">
      <c r="B4466" s="4" t="str" cm="1">
        <f t="array" ref="B4466">IFERROR(INDEX(EmployeeData[Employee ID], ROW() - 37), "")</f>
        <v/>
      </c>
      <c r="C4466" s="4" t="str" cm="1">
        <f t="array" ref="C4466">IFERROR(INDEX(EmployeeData[Full Name], ROW() - 37), "")</f>
        <v/>
      </c>
      <c r="D4466" s="4" t="str" cm="1">
        <f t="array" ref="D4466">IFERROR(INDEX(EmployeeData[Department], ROW() - 37), "")</f>
        <v/>
      </c>
      <c r="E4466" s="4" t="str" cm="1">
        <f t="array" ref="E4466">IFERROR(INDEX(EmployeeData[Gender], ROW() - 37), "")</f>
        <v/>
      </c>
      <c r="F4466" s="4" t="str" cm="1">
        <f t="array" ref="F4466">IFERROR(INDEX(EmployeeData[Age], ROW() - 37), "")</f>
        <v/>
      </c>
      <c r="G4466" s="6" t="str" cm="1">
        <f t="array" ref="G4466">IFERROR(INDEX(EmployeeData[Join Date], ROW() - 37), "")</f>
        <v/>
      </c>
      <c r="H4466" s="6" t="str" cm="1">
        <f t="array" ref="H4466">IFERROR(IF(INDEX(EmployeeData[Exit Date], ROW() - 37)=0, "",INDEX(EmployeeData[Exit Date], ROW() - 37)),"")</f>
        <v/>
      </c>
      <c r="I4466" s="4" t="str" cm="1">
        <f t="array" ref="I4466">IFERROR(IF(INDEX(EmployeeData[Exit Reason], ROW() - 37)=0, "",INDEX(EmployeeData[Exit Reason], ROW() - 37)),"")</f>
        <v/>
      </c>
      <c r="J4466" s="4" t="str" cm="1">
        <f t="array" ref="J4466">IFERROR(INDEX(EmployeeData[Status], ROW() - 37), "")</f>
        <v/>
      </c>
    </row>
    <row r="4467" spans="2:10" ht="19.95" customHeight="1" x14ac:dyDescent="0.3">
      <c r="B4467" s="4" t="str" cm="1">
        <f t="array" ref="B4467">IFERROR(INDEX(EmployeeData[Employee ID], ROW() - 37), "")</f>
        <v/>
      </c>
      <c r="C4467" s="4" t="str" cm="1">
        <f t="array" ref="C4467">IFERROR(INDEX(EmployeeData[Full Name], ROW() - 37), "")</f>
        <v/>
      </c>
      <c r="D4467" s="4" t="str" cm="1">
        <f t="array" ref="D4467">IFERROR(INDEX(EmployeeData[Department], ROW() - 37), "")</f>
        <v/>
      </c>
      <c r="E4467" s="4" t="str" cm="1">
        <f t="array" ref="E4467">IFERROR(INDEX(EmployeeData[Gender], ROW() - 37), "")</f>
        <v/>
      </c>
      <c r="F4467" s="4" t="str" cm="1">
        <f t="array" ref="F4467">IFERROR(INDEX(EmployeeData[Age], ROW() - 37), "")</f>
        <v/>
      </c>
      <c r="G4467" s="6" t="str" cm="1">
        <f t="array" ref="G4467">IFERROR(INDEX(EmployeeData[Join Date], ROW() - 37), "")</f>
        <v/>
      </c>
      <c r="H4467" s="6" t="str" cm="1">
        <f t="array" ref="H4467">IFERROR(IF(INDEX(EmployeeData[Exit Date], ROW() - 37)=0, "",INDEX(EmployeeData[Exit Date], ROW() - 37)),"")</f>
        <v/>
      </c>
      <c r="I4467" s="4" t="str" cm="1">
        <f t="array" ref="I4467">IFERROR(IF(INDEX(EmployeeData[Exit Reason], ROW() - 37)=0, "",INDEX(EmployeeData[Exit Reason], ROW() - 37)),"")</f>
        <v/>
      </c>
      <c r="J4467" s="4" t="str" cm="1">
        <f t="array" ref="J4467">IFERROR(INDEX(EmployeeData[Status], ROW() - 37), "")</f>
        <v/>
      </c>
    </row>
    <row r="4468" spans="2:10" ht="19.95" customHeight="1" x14ac:dyDescent="0.3">
      <c r="B4468" s="4" t="str" cm="1">
        <f t="array" ref="B4468">IFERROR(INDEX(EmployeeData[Employee ID], ROW() - 37), "")</f>
        <v/>
      </c>
      <c r="C4468" s="4" t="str" cm="1">
        <f t="array" ref="C4468">IFERROR(INDEX(EmployeeData[Full Name], ROW() - 37), "")</f>
        <v/>
      </c>
      <c r="D4468" s="4" t="str" cm="1">
        <f t="array" ref="D4468">IFERROR(INDEX(EmployeeData[Department], ROW() - 37), "")</f>
        <v/>
      </c>
      <c r="E4468" s="4" t="str" cm="1">
        <f t="array" ref="E4468">IFERROR(INDEX(EmployeeData[Gender], ROW() - 37), "")</f>
        <v/>
      </c>
      <c r="F4468" s="4" t="str" cm="1">
        <f t="array" ref="F4468">IFERROR(INDEX(EmployeeData[Age], ROW() - 37), "")</f>
        <v/>
      </c>
      <c r="G4468" s="6" t="str" cm="1">
        <f t="array" ref="G4468">IFERROR(INDEX(EmployeeData[Join Date], ROW() - 37), "")</f>
        <v/>
      </c>
      <c r="H4468" s="6" t="str" cm="1">
        <f t="array" ref="H4468">IFERROR(IF(INDEX(EmployeeData[Exit Date], ROW() - 37)=0, "",INDEX(EmployeeData[Exit Date], ROW() - 37)),"")</f>
        <v/>
      </c>
      <c r="I4468" s="4" t="str" cm="1">
        <f t="array" ref="I4468">IFERROR(IF(INDEX(EmployeeData[Exit Reason], ROW() - 37)=0, "",INDEX(EmployeeData[Exit Reason], ROW() - 37)),"")</f>
        <v/>
      </c>
      <c r="J4468" s="4" t="str" cm="1">
        <f t="array" ref="J4468">IFERROR(INDEX(EmployeeData[Status], ROW() - 37), "")</f>
        <v/>
      </c>
    </row>
    <row r="4469" spans="2:10" ht="19.95" customHeight="1" x14ac:dyDescent="0.3">
      <c r="B4469" s="4" t="str" cm="1">
        <f t="array" ref="B4469">IFERROR(INDEX(EmployeeData[Employee ID], ROW() - 37), "")</f>
        <v/>
      </c>
      <c r="C4469" s="4" t="str" cm="1">
        <f t="array" ref="C4469">IFERROR(INDEX(EmployeeData[Full Name], ROW() - 37), "")</f>
        <v/>
      </c>
      <c r="D4469" s="4" t="str" cm="1">
        <f t="array" ref="D4469">IFERROR(INDEX(EmployeeData[Department], ROW() - 37), "")</f>
        <v/>
      </c>
      <c r="E4469" s="4" t="str" cm="1">
        <f t="array" ref="E4469">IFERROR(INDEX(EmployeeData[Gender], ROW() - 37), "")</f>
        <v/>
      </c>
      <c r="F4469" s="4" t="str" cm="1">
        <f t="array" ref="F4469">IFERROR(INDEX(EmployeeData[Age], ROW() - 37), "")</f>
        <v/>
      </c>
      <c r="G4469" s="6" t="str" cm="1">
        <f t="array" ref="G4469">IFERROR(INDEX(EmployeeData[Join Date], ROW() - 37), "")</f>
        <v/>
      </c>
      <c r="H4469" s="6" t="str" cm="1">
        <f t="array" ref="H4469">IFERROR(IF(INDEX(EmployeeData[Exit Date], ROW() - 37)=0, "",INDEX(EmployeeData[Exit Date], ROW() - 37)),"")</f>
        <v/>
      </c>
      <c r="I4469" s="4" t="str" cm="1">
        <f t="array" ref="I4469">IFERROR(IF(INDEX(EmployeeData[Exit Reason], ROW() - 37)=0, "",INDEX(EmployeeData[Exit Reason], ROW() - 37)),"")</f>
        <v/>
      </c>
      <c r="J4469" s="4" t="str" cm="1">
        <f t="array" ref="J4469">IFERROR(INDEX(EmployeeData[Status], ROW() - 37), "")</f>
        <v/>
      </c>
    </row>
    <row r="4470" spans="2:10" ht="19.95" customHeight="1" x14ac:dyDescent="0.3">
      <c r="B4470" s="4" t="str" cm="1">
        <f t="array" ref="B4470">IFERROR(INDEX(EmployeeData[Employee ID], ROW() - 37), "")</f>
        <v/>
      </c>
      <c r="C4470" s="4" t="str" cm="1">
        <f t="array" ref="C4470">IFERROR(INDEX(EmployeeData[Full Name], ROW() - 37), "")</f>
        <v/>
      </c>
      <c r="D4470" s="4" t="str" cm="1">
        <f t="array" ref="D4470">IFERROR(INDEX(EmployeeData[Department], ROW() - 37), "")</f>
        <v/>
      </c>
      <c r="E4470" s="4" t="str" cm="1">
        <f t="array" ref="E4470">IFERROR(INDEX(EmployeeData[Gender], ROW() - 37), "")</f>
        <v/>
      </c>
      <c r="F4470" s="4" t="str" cm="1">
        <f t="array" ref="F4470">IFERROR(INDEX(EmployeeData[Age], ROW() - 37), "")</f>
        <v/>
      </c>
      <c r="G4470" s="6" t="str" cm="1">
        <f t="array" ref="G4470">IFERROR(INDEX(EmployeeData[Join Date], ROW() - 37), "")</f>
        <v/>
      </c>
      <c r="H4470" s="6" t="str" cm="1">
        <f t="array" ref="H4470">IFERROR(IF(INDEX(EmployeeData[Exit Date], ROW() - 37)=0, "",INDEX(EmployeeData[Exit Date], ROW() - 37)),"")</f>
        <v/>
      </c>
      <c r="I4470" s="4" t="str" cm="1">
        <f t="array" ref="I4470">IFERROR(IF(INDEX(EmployeeData[Exit Reason], ROW() - 37)=0, "",INDEX(EmployeeData[Exit Reason], ROW() - 37)),"")</f>
        <v/>
      </c>
      <c r="J4470" s="4" t="str" cm="1">
        <f t="array" ref="J4470">IFERROR(INDEX(EmployeeData[Status], ROW() - 37), "")</f>
        <v/>
      </c>
    </row>
    <row r="4471" spans="2:10" ht="19.95" customHeight="1" x14ac:dyDescent="0.3">
      <c r="B4471" s="4" t="str" cm="1">
        <f t="array" ref="B4471">IFERROR(INDEX(EmployeeData[Employee ID], ROW() - 37), "")</f>
        <v/>
      </c>
      <c r="C4471" s="4" t="str" cm="1">
        <f t="array" ref="C4471">IFERROR(INDEX(EmployeeData[Full Name], ROW() - 37), "")</f>
        <v/>
      </c>
      <c r="D4471" s="4" t="str" cm="1">
        <f t="array" ref="D4471">IFERROR(INDEX(EmployeeData[Department], ROW() - 37), "")</f>
        <v/>
      </c>
      <c r="E4471" s="4" t="str" cm="1">
        <f t="array" ref="E4471">IFERROR(INDEX(EmployeeData[Gender], ROW() - 37), "")</f>
        <v/>
      </c>
      <c r="F4471" s="4" t="str" cm="1">
        <f t="array" ref="F4471">IFERROR(INDEX(EmployeeData[Age], ROW() - 37), "")</f>
        <v/>
      </c>
      <c r="G4471" s="6" t="str" cm="1">
        <f t="array" ref="G4471">IFERROR(INDEX(EmployeeData[Join Date], ROW() - 37), "")</f>
        <v/>
      </c>
      <c r="H4471" s="6" t="str" cm="1">
        <f t="array" ref="H4471">IFERROR(IF(INDEX(EmployeeData[Exit Date], ROW() - 37)=0, "",INDEX(EmployeeData[Exit Date], ROW() - 37)),"")</f>
        <v/>
      </c>
      <c r="I4471" s="4" t="str" cm="1">
        <f t="array" ref="I4471">IFERROR(IF(INDEX(EmployeeData[Exit Reason], ROW() - 37)=0, "",INDEX(EmployeeData[Exit Reason], ROW() - 37)),"")</f>
        <v/>
      </c>
      <c r="J4471" s="4" t="str" cm="1">
        <f t="array" ref="J4471">IFERROR(INDEX(EmployeeData[Status], ROW() - 37), "")</f>
        <v/>
      </c>
    </row>
    <row r="4472" spans="2:10" ht="19.95" customHeight="1" x14ac:dyDescent="0.3">
      <c r="B4472" s="4" t="str" cm="1">
        <f t="array" ref="B4472">IFERROR(INDEX(EmployeeData[Employee ID], ROW() - 37), "")</f>
        <v/>
      </c>
      <c r="C4472" s="4" t="str" cm="1">
        <f t="array" ref="C4472">IFERROR(INDEX(EmployeeData[Full Name], ROW() - 37), "")</f>
        <v/>
      </c>
      <c r="D4472" s="4" t="str" cm="1">
        <f t="array" ref="D4472">IFERROR(INDEX(EmployeeData[Department], ROW() - 37), "")</f>
        <v/>
      </c>
      <c r="E4472" s="4" t="str" cm="1">
        <f t="array" ref="E4472">IFERROR(INDEX(EmployeeData[Gender], ROW() - 37), "")</f>
        <v/>
      </c>
      <c r="F4472" s="4" t="str" cm="1">
        <f t="array" ref="F4472">IFERROR(INDEX(EmployeeData[Age], ROW() - 37), "")</f>
        <v/>
      </c>
      <c r="G4472" s="6" t="str" cm="1">
        <f t="array" ref="G4472">IFERROR(INDEX(EmployeeData[Join Date], ROW() - 37), "")</f>
        <v/>
      </c>
      <c r="H4472" s="6" t="str" cm="1">
        <f t="array" ref="H4472">IFERROR(IF(INDEX(EmployeeData[Exit Date], ROW() - 37)=0, "",INDEX(EmployeeData[Exit Date], ROW() - 37)),"")</f>
        <v/>
      </c>
      <c r="I4472" s="4" t="str" cm="1">
        <f t="array" ref="I4472">IFERROR(IF(INDEX(EmployeeData[Exit Reason], ROW() - 37)=0, "",INDEX(EmployeeData[Exit Reason], ROW() - 37)),"")</f>
        <v/>
      </c>
      <c r="J4472" s="4" t="str" cm="1">
        <f t="array" ref="J4472">IFERROR(INDEX(EmployeeData[Status], ROW() - 37), "")</f>
        <v/>
      </c>
    </row>
    <row r="4473" spans="2:10" ht="19.95" customHeight="1" x14ac:dyDescent="0.3">
      <c r="B4473" s="4" t="str" cm="1">
        <f t="array" ref="B4473">IFERROR(INDEX(EmployeeData[Employee ID], ROW() - 37), "")</f>
        <v/>
      </c>
      <c r="C4473" s="4" t="str" cm="1">
        <f t="array" ref="C4473">IFERROR(INDEX(EmployeeData[Full Name], ROW() - 37), "")</f>
        <v/>
      </c>
      <c r="D4473" s="4" t="str" cm="1">
        <f t="array" ref="D4473">IFERROR(INDEX(EmployeeData[Department], ROW() - 37), "")</f>
        <v/>
      </c>
      <c r="E4473" s="4" t="str" cm="1">
        <f t="array" ref="E4473">IFERROR(INDEX(EmployeeData[Gender], ROW() - 37), "")</f>
        <v/>
      </c>
      <c r="F4473" s="4" t="str" cm="1">
        <f t="array" ref="F4473">IFERROR(INDEX(EmployeeData[Age], ROW() - 37), "")</f>
        <v/>
      </c>
      <c r="G4473" s="6" t="str" cm="1">
        <f t="array" ref="G4473">IFERROR(INDEX(EmployeeData[Join Date], ROW() - 37), "")</f>
        <v/>
      </c>
      <c r="H4473" s="6" t="str" cm="1">
        <f t="array" ref="H4473">IFERROR(IF(INDEX(EmployeeData[Exit Date], ROW() - 37)=0, "",INDEX(EmployeeData[Exit Date], ROW() - 37)),"")</f>
        <v/>
      </c>
      <c r="I4473" s="4" t="str" cm="1">
        <f t="array" ref="I4473">IFERROR(IF(INDEX(EmployeeData[Exit Reason], ROW() - 37)=0, "",INDEX(EmployeeData[Exit Reason], ROW() - 37)),"")</f>
        <v/>
      </c>
      <c r="J4473" s="4" t="str" cm="1">
        <f t="array" ref="J4473">IFERROR(INDEX(EmployeeData[Status], ROW() - 37), "")</f>
        <v/>
      </c>
    </row>
    <row r="4474" spans="2:10" ht="19.95" customHeight="1" x14ac:dyDescent="0.3">
      <c r="B4474" s="4" t="str" cm="1">
        <f t="array" ref="B4474">IFERROR(INDEX(EmployeeData[Employee ID], ROW() - 37), "")</f>
        <v/>
      </c>
      <c r="C4474" s="4" t="str" cm="1">
        <f t="array" ref="C4474">IFERROR(INDEX(EmployeeData[Full Name], ROW() - 37), "")</f>
        <v/>
      </c>
      <c r="D4474" s="4" t="str" cm="1">
        <f t="array" ref="D4474">IFERROR(INDEX(EmployeeData[Department], ROW() - 37), "")</f>
        <v/>
      </c>
      <c r="E4474" s="4" t="str" cm="1">
        <f t="array" ref="E4474">IFERROR(INDEX(EmployeeData[Gender], ROW() - 37), "")</f>
        <v/>
      </c>
      <c r="F4474" s="4" t="str" cm="1">
        <f t="array" ref="F4474">IFERROR(INDEX(EmployeeData[Age], ROW() - 37), "")</f>
        <v/>
      </c>
      <c r="G4474" s="6" t="str" cm="1">
        <f t="array" ref="G4474">IFERROR(INDEX(EmployeeData[Join Date], ROW() - 37), "")</f>
        <v/>
      </c>
      <c r="H4474" s="6" t="str" cm="1">
        <f t="array" ref="H4474">IFERROR(IF(INDEX(EmployeeData[Exit Date], ROW() - 37)=0, "",INDEX(EmployeeData[Exit Date], ROW() - 37)),"")</f>
        <v/>
      </c>
      <c r="I4474" s="4" t="str" cm="1">
        <f t="array" ref="I4474">IFERROR(IF(INDEX(EmployeeData[Exit Reason], ROW() - 37)=0, "",INDEX(EmployeeData[Exit Reason], ROW() - 37)),"")</f>
        <v/>
      </c>
      <c r="J4474" s="4" t="str" cm="1">
        <f t="array" ref="J4474">IFERROR(INDEX(EmployeeData[Status], ROW() - 37), "")</f>
        <v/>
      </c>
    </row>
    <row r="4475" spans="2:10" ht="19.95" customHeight="1" x14ac:dyDescent="0.3">
      <c r="B4475" s="4" t="str" cm="1">
        <f t="array" ref="B4475">IFERROR(INDEX(EmployeeData[Employee ID], ROW() - 37), "")</f>
        <v/>
      </c>
      <c r="C4475" s="4" t="str" cm="1">
        <f t="array" ref="C4475">IFERROR(INDEX(EmployeeData[Full Name], ROW() - 37), "")</f>
        <v/>
      </c>
      <c r="D4475" s="4" t="str" cm="1">
        <f t="array" ref="D4475">IFERROR(INDEX(EmployeeData[Department], ROW() - 37), "")</f>
        <v/>
      </c>
      <c r="E4475" s="4" t="str" cm="1">
        <f t="array" ref="E4475">IFERROR(INDEX(EmployeeData[Gender], ROW() - 37), "")</f>
        <v/>
      </c>
      <c r="F4475" s="4" t="str" cm="1">
        <f t="array" ref="F4475">IFERROR(INDEX(EmployeeData[Age], ROW() - 37), "")</f>
        <v/>
      </c>
      <c r="G4475" s="6" t="str" cm="1">
        <f t="array" ref="G4475">IFERROR(INDEX(EmployeeData[Join Date], ROW() - 37), "")</f>
        <v/>
      </c>
      <c r="H4475" s="6" t="str" cm="1">
        <f t="array" ref="H4475">IFERROR(IF(INDEX(EmployeeData[Exit Date], ROW() - 37)=0, "",INDEX(EmployeeData[Exit Date], ROW() - 37)),"")</f>
        <v/>
      </c>
      <c r="I4475" s="4" t="str" cm="1">
        <f t="array" ref="I4475">IFERROR(IF(INDEX(EmployeeData[Exit Reason], ROW() - 37)=0, "",INDEX(EmployeeData[Exit Reason], ROW() - 37)),"")</f>
        <v/>
      </c>
      <c r="J4475" s="4" t="str" cm="1">
        <f t="array" ref="J4475">IFERROR(INDEX(EmployeeData[Status], ROW() - 37), "")</f>
        <v/>
      </c>
    </row>
    <row r="4476" spans="2:10" ht="19.95" customHeight="1" x14ac:dyDescent="0.3">
      <c r="B4476" s="4" t="str" cm="1">
        <f t="array" ref="B4476">IFERROR(INDEX(EmployeeData[Employee ID], ROW() - 37), "")</f>
        <v/>
      </c>
      <c r="C4476" s="4" t="str" cm="1">
        <f t="array" ref="C4476">IFERROR(INDEX(EmployeeData[Full Name], ROW() - 37), "")</f>
        <v/>
      </c>
      <c r="D4476" s="4" t="str" cm="1">
        <f t="array" ref="D4476">IFERROR(INDEX(EmployeeData[Department], ROW() - 37), "")</f>
        <v/>
      </c>
      <c r="E4476" s="4" t="str" cm="1">
        <f t="array" ref="E4476">IFERROR(INDEX(EmployeeData[Gender], ROW() - 37), "")</f>
        <v/>
      </c>
      <c r="F4476" s="4" t="str" cm="1">
        <f t="array" ref="F4476">IFERROR(INDEX(EmployeeData[Age], ROW() - 37), "")</f>
        <v/>
      </c>
      <c r="G4476" s="6" t="str" cm="1">
        <f t="array" ref="G4476">IFERROR(INDEX(EmployeeData[Join Date], ROW() - 37), "")</f>
        <v/>
      </c>
      <c r="H4476" s="6" t="str" cm="1">
        <f t="array" ref="H4476">IFERROR(IF(INDEX(EmployeeData[Exit Date], ROW() - 37)=0, "",INDEX(EmployeeData[Exit Date], ROW() - 37)),"")</f>
        <v/>
      </c>
      <c r="I4476" s="4" t="str" cm="1">
        <f t="array" ref="I4476">IFERROR(IF(INDEX(EmployeeData[Exit Reason], ROW() - 37)=0, "",INDEX(EmployeeData[Exit Reason], ROW() - 37)),"")</f>
        <v/>
      </c>
      <c r="J4476" s="4" t="str" cm="1">
        <f t="array" ref="J4476">IFERROR(INDEX(EmployeeData[Status], ROW() - 37), "")</f>
        <v/>
      </c>
    </row>
    <row r="4477" spans="2:10" ht="19.95" customHeight="1" x14ac:dyDescent="0.3">
      <c r="B4477" s="4" t="str" cm="1">
        <f t="array" ref="B4477">IFERROR(INDEX(EmployeeData[Employee ID], ROW() - 37), "")</f>
        <v/>
      </c>
      <c r="C4477" s="4" t="str" cm="1">
        <f t="array" ref="C4477">IFERROR(INDEX(EmployeeData[Full Name], ROW() - 37), "")</f>
        <v/>
      </c>
      <c r="D4477" s="4" t="str" cm="1">
        <f t="array" ref="D4477">IFERROR(INDEX(EmployeeData[Department], ROW() - 37), "")</f>
        <v/>
      </c>
      <c r="E4477" s="4" t="str" cm="1">
        <f t="array" ref="E4477">IFERROR(INDEX(EmployeeData[Gender], ROW() - 37), "")</f>
        <v/>
      </c>
      <c r="F4477" s="4" t="str" cm="1">
        <f t="array" ref="F4477">IFERROR(INDEX(EmployeeData[Age], ROW() - 37), "")</f>
        <v/>
      </c>
      <c r="G4477" s="6" t="str" cm="1">
        <f t="array" ref="G4477">IFERROR(INDEX(EmployeeData[Join Date], ROW() - 37), "")</f>
        <v/>
      </c>
      <c r="H4477" s="6" t="str" cm="1">
        <f t="array" ref="H4477">IFERROR(IF(INDEX(EmployeeData[Exit Date], ROW() - 37)=0, "",INDEX(EmployeeData[Exit Date], ROW() - 37)),"")</f>
        <v/>
      </c>
      <c r="I4477" s="4" t="str" cm="1">
        <f t="array" ref="I4477">IFERROR(IF(INDEX(EmployeeData[Exit Reason], ROW() - 37)=0, "",INDEX(EmployeeData[Exit Reason], ROW() - 37)),"")</f>
        <v/>
      </c>
      <c r="J4477" s="4" t="str" cm="1">
        <f t="array" ref="J4477">IFERROR(INDEX(EmployeeData[Status], ROW() - 37), "")</f>
        <v/>
      </c>
    </row>
    <row r="4478" spans="2:10" ht="19.95" customHeight="1" x14ac:dyDescent="0.3">
      <c r="B4478" s="4" t="str" cm="1">
        <f t="array" ref="B4478">IFERROR(INDEX(EmployeeData[Employee ID], ROW() - 37), "")</f>
        <v/>
      </c>
      <c r="C4478" s="4" t="str" cm="1">
        <f t="array" ref="C4478">IFERROR(INDEX(EmployeeData[Full Name], ROW() - 37), "")</f>
        <v/>
      </c>
      <c r="D4478" s="4" t="str" cm="1">
        <f t="array" ref="D4478">IFERROR(INDEX(EmployeeData[Department], ROW() - 37), "")</f>
        <v/>
      </c>
      <c r="E4478" s="4" t="str" cm="1">
        <f t="array" ref="E4478">IFERROR(INDEX(EmployeeData[Gender], ROW() - 37), "")</f>
        <v/>
      </c>
      <c r="F4478" s="4" t="str" cm="1">
        <f t="array" ref="F4478">IFERROR(INDEX(EmployeeData[Age], ROW() - 37), "")</f>
        <v/>
      </c>
      <c r="G4478" s="6" t="str" cm="1">
        <f t="array" ref="G4478">IFERROR(INDEX(EmployeeData[Join Date], ROW() - 37), "")</f>
        <v/>
      </c>
      <c r="H4478" s="6" t="str" cm="1">
        <f t="array" ref="H4478">IFERROR(IF(INDEX(EmployeeData[Exit Date], ROW() - 37)=0, "",INDEX(EmployeeData[Exit Date], ROW() - 37)),"")</f>
        <v/>
      </c>
      <c r="I4478" s="4" t="str" cm="1">
        <f t="array" ref="I4478">IFERROR(IF(INDEX(EmployeeData[Exit Reason], ROW() - 37)=0, "",INDEX(EmployeeData[Exit Reason], ROW() - 37)),"")</f>
        <v/>
      </c>
      <c r="J4478" s="4" t="str" cm="1">
        <f t="array" ref="J4478">IFERROR(INDEX(EmployeeData[Status], ROW() - 37), "")</f>
        <v/>
      </c>
    </row>
    <row r="4479" spans="2:10" ht="19.95" customHeight="1" x14ac:dyDescent="0.3">
      <c r="B4479" s="4" t="str" cm="1">
        <f t="array" ref="B4479">IFERROR(INDEX(EmployeeData[Employee ID], ROW() - 37), "")</f>
        <v/>
      </c>
      <c r="C4479" s="4" t="str" cm="1">
        <f t="array" ref="C4479">IFERROR(INDEX(EmployeeData[Full Name], ROW() - 37), "")</f>
        <v/>
      </c>
      <c r="D4479" s="4" t="str" cm="1">
        <f t="array" ref="D4479">IFERROR(INDEX(EmployeeData[Department], ROW() - 37), "")</f>
        <v/>
      </c>
      <c r="E4479" s="4" t="str" cm="1">
        <f t="array" ref="E4479">IFERROR(INDEX(EmployeeData[Gender], ROW() - 37), "")</f>
        <v/>
      </c>
      <c r="F4479" s="4" t="str" cm="1">
        <f t="array" ref="F4479">IFERROR(INDEX(EmployeeData[Age], ROW() - 37), "")</f>
        <v/>
      </c>
      <c r="G4479" s="6" t="str" cm="1">
        <f t="array" ref="G4479">IFERROR(INDEX(EmployeeData[Join Date], ROW() - 37), "")</f>
        <v/>
      </c>
      <c r="H4479" s="6" t="str" cm="1">
        <f t="array" ref="H4479">IFERROR(IF(INDEX(EmployeeData[Exit Date], ROW() - 37)=0, "",INDEX(EmployeeData[Exit Date], ROW() - 37)),"")</f>
        <v/>
      </c>
      <c r="I4479" s="4" t="str" cm="1">
        <f t="array" ref="I4479">IFERROR(IF(INDEX(EmployeeData[Exit Reason], ROW() - 37)=0, "",INDEX(EmployeeData[Exit Reason], ROW() - 37)),"")</f>
        <v/>
      </c>
      <c r="J4479" s="4" t="str" cm="1">
        <f t="array" ref="J4479">IFERROR(INDEX(EmployeeData[Status], ROW() - 37), "")</f>
        <v/>
      </c>
    </row>
    <row r="4480" spans="2:10" ht="19.95" customHeight="1" x14ac:dyDescent="0.3">
      <c r="B4480" s="4" t="str" cm="1">
        <f t="array" ref="B4480">IFERROR(INDEX(EmployeeData[Employee ID], ROW() - 37), "")</f>
        <v/>
      </c>
      <c r="C4480" s="4" t="str" cm="1">
        <f t="array" ref="C4480">IFERROR(INDEX(EmployeeData[Full Name], ROW() - 37), "")</f>
        <v/>
      </c>
      <c r="D4480" s="4" t="str" cm="1">
        <f t="array" ref="D4480">IFERROR(INDEX(EmployeeData[Department], ROW() - 37), "")</f>
        <v/>
      </c>
      <c r="E4480" s="4" t="str" cm="1">
        <f t="array" ref="E4480">IFERROR(INDEX(EmployeeData[Gender], ROW() - 37), "")</f>
        <v/>
      </c>
      <c r="F4480" s="4" t="str" cm="1">
        <f t="array" ref="F4480">IFERROR(INDEX(EmployeeData[Age], ROW() - 37), "")</f>
        <v/>
      </c>
      <c r="G4480" s="6" t="str" cm="1">
        <f t="array" ref="G4480">IFERROR(INDEX(EmployeeData[Join Date], ROW() - 37), "")</f>
        <v/>
      </c>
      <c r="H4480" s="6" t="str" cm="1">
        <f t="array" ref="H4480">IFERROR(IF(INDEX(EmployeeData[Exit Date], ROW() - 37)=0, "",INDEX(EmployeeData[Exit Date], ROW() - 37)),"")</f>
        <v/>
      </c>
      <c r="I4480" s="4" t="str" cm="1">
        <f t="array" ref="I4480">IFERROR(IF(INDEX(EmployeeData[Exit Reason], ROW() - 37)=0, "",INDEX(EmployeeData[Exit Reason], ROW() - 37)),"")</f>
        <v/>
      </c>
      <c r="J4480" s="4" t="str" cm="1">
        <f t="array" ref="J4480">IFERROR(INDEX(EmployeeData[Status], ROW() - 37), "")</f>
        <v/>
      </c>
    </row>
    <row r="4481" spans="2:10" ht="19.95" customHeight="1" x14ac:dyDescent="0.3">
      <c r="B4481" s="4" t="str" cm="1">
        <f t="array" ref="B4481">IFERROR(INDEX(EmployeeData[Employee ID], ROW() - 37), "")</f>
        <v/>
      </c>
      <c r="C4481" s="4" t="str" cm="1">
        <f t="array" ref="C4481">IFERROR(INDEX(EmployeeData[Full Name], ROW() - 37), "")</f>
        <v/>
      </c>
      <c r="D4481" s="4" t="str" cm="1">
        <f t="array" ref="D4481">IFERROR(INDEX(EmployeeData[Department], ROW() - 37), "")</f>
        <v/>
      </c>
      <c r="E4481" s="4" t="str" cm="1">
        <f t="array" ref="E4481">IFERROR(INDEX(EmployeeData[Gender], ROW() - 37), "")</f>
        <v/>
      </c>
      <c r="F4481" s="4" t="str" cm="1">
        <f t="array" ref="F4481">IFERROR(INDEX(EmployeeData[Age], ROW() - 37), "")</f>
        <v/>
      </c>
      <c r="G4481" s="6" t="str" cm="1">
        <f t="array" ref="G4481">IFERROR(INDEX(EmployeeData[Join Date], ROW() - 37), "")</f>
        <v/>
      </c>
      <c r="H4481" s="6" t="str" cm="1">
        <f t="array" ref="H4481">IFERROR(IF(INDEX(EmployeeData[Exit Date], ROW() - 37)=0, "",INDEX(EmployeeData[Exit Date], ROW() - 37)),"")</f>
        <v/>
      </c>
      <c r="I4481" s="4" t="str" cm="1">
        <f t="array" ref="I4481">IFERROR(IF(INDEX(EmployeeData[Exit Reason], ROW() - 37)=0, "",INDEX(EmployeeData[Exit Reason], ROW() - 37)),"")</f>
        <v/>
      </c>
      <c r="J4481" s="4" t="str" cm="1">
        <f t="array" ref="J4481">IFERROR(INDEX(EmployeeData[Status], ROW() - 37), "")</f>
        <v/>
      </c>
    </row>
    <row r="4482" spans="2:10" ht="19.95" customHeight="1" x14ac:dyDescent="0.3">
      <c r="B4482" s="4" t="str" cm="1">
        <f t="array" ref="B4482">IFERROR(INDEX(EmployeeData[Employee ID], ROW() - 37), "")</f>
        <v/>
      </c>
      <c r="C4482" s="4" t="str" cm="1">
        <f t="array" ref="C4482">IFERROR(INDEX(EmployeeData[Full Name], ROW() - 37), "")</f>
        <v/>
      </c>
      <c r="D4482" s="4" t="str" cm="1">
        <f t="array" ref="D4482">IFERROR(INDEX(EmployeeData[Department], ROW() - 37), "")</f>
        <v/>
      </c>
      <c r="E4482" s="4" t="str" cm="1">
        <f t="array" ref="E4482">IFERROR(INDEX(EmployeeData[Gender], ROW() - 37), "")</f>
        <v/>
      </c>
      <c r="F4482" s="4" t="str" cm="1">
        <f t="array" ref="F4482">IFERROR(INDEX(EmployeeData[Age], ROW() - 37), "")</f>
        <v/>
      </c>
      <c r="G4482" s="6" t="str" cm="1">
        <f t="array" ref="G4482">IFERROR(INDEX(EmployeeData[Join Date], ROW() - 37), "")</f>
        <v/>
      </c>
      <c r="H4482" s="6" t="str" cm="1">
        <f t="array" ref="H4482">IFERROR(IF(INDEX(EmployeeData[Exit Date], ROW() - 37)=0, "",INDEX(EmployeeData[Exit Date], ROW() - 37)),"")</f>
        <v/>
      </c>
      <c r="I4482" s="4" t="str" cm="1">
        <f t="array" ref="I4482">IFERROR(IF(INDEX(EmployeeData[Exit Reason], ROW() - 37)=0, "",INDEX(EmployeeData[Exit Reason], ROW() - 37)),"")</f>
        <v/>
      </c>
      <c r="J4482" s="4" t="str" cm="1">
        <f t="array" ref="J4482">IFERROR(INDEX(EmployeeData[Status], ROW() - 37), "")</f>
        <v/>
      </c>
    </row>
    <row r="4483" spans="2:10" ht="19.95" customHeight="1" x14ac:dyDescent="0.3">
      <c r="B4483" s="4" t="str" cm="1">
        <f t="array" ref="B4483">IFERROR(INDEX(EmployeeData[Employee ID], ROW() - 37), "")</f>
        <v/>
      </c>
      <c r="C4483" s="4" t="str" cm="1">
        <f t="array" ref="C4483">IFERROR(INDEX(EmployeeData[Full Name], ROW() - 37), "")</f>
        <v/>
      </c>
      <c r="D4483" s="4" t="str" cm="1">
        <f t="array" ref="D4483">IFERROR(INDEX(EmployeeData[Department], ROW() - 37), "")</f>
        <v/>
      </c>
      <c r="E4483" s="4" t="str" cm="1">
        <f t="array" ref="E4483">IFERROR(INDEX(EmployeeData[Gender], ROW() - 37), "")</f>
        <v/>
      </c>
      <c r="F4483" s="4" t="str" cm="1">
        <f t="array" ref="F4483">IFERROR(INDEX(EmployeeData[Age], ROW() - 37), "")</f>
        <v/>
      </c>
      <c r="G4483" s="6" t="str" cm="1">
        <f t="array" ref="G4483">IFERROR(INDEX(EmployeeData[Join Date], ROW() - 37), "")</f>
        <v/>
      </c>
      <c r="H4483" s="6" t="str" cm="1">
        <f t="array" ref="H4483">IFERROR(IF(INDEX(EmployeeData[Exit Date], ROW() - 37)=0, "",INDEX(EmployeeData[Exit Date], ROW() - 37)),"")</f>
        <v/>
      </c>
      <c r="I4483" s="4" t="str" cm="1">
        <f t="array" ref="I4483">IFERROR(IF(INDEX(EmployeeData[Exit Reason], ROW() - 37)=0, "",INDEX(EmployeeData[Exit Reason], ROW() - 37)),"")</f>
        <v/>
      </c>
      <c r="J4483" s="4" t="str" cm="1">
        <f t="array" ref="J4483">IFERROR(INDEX(EmployeeData[Status], ROW() - 37), "")</f>
        <v/>
      </c>
    </row>
    <row r="4484" spans="2:10" ht="19.95" customHeight="1" x14ac:dyDescent="0.3">
      <c r="B4484" s="4" t="str" cm="1">
        <f t="array" ref="B4484">IFERROR(INDEX(EmployeeData[Employee ID], ROW() - 37), "")</f>
        <v/>
      </c>
      <c r="C4484" s="4" t="str" cm="1">
        <f t="array" ref="C4484">IFERROR(INDEX(EmployeeData[Full Name], ROW() - 37), "")</f>
        <v/>
      </c>
      <c r="D4484" s="4" t="str" cm="1">
        <f t="array" ref="D4484">IFERROR(INDEX(EmployeeData[Department], ROW() - 37), "")</f>
        <v/>
      </c>
      <c r="E4484" s="4" t="str" cm="1">
        <f t="array" ref="E4484">IFERROR(INDEX(EmployeeData[Gender], ROW() - 37), "")</f>
        <v/>
      </c>
      <c r="F4484" s="4" t="str" cm="1">
        <f t="array" ref="F4484">IFERROR(INDEX(EmployeeData[Age], ROW() - 37), "")</f>
        <v/>
      </c>
      <c r="G4484" s="6" t="str" cm="1">
        <f t="array" ref="G4484">IFERROR(INDEX(EmployeeData[Join Date], ROW() - 37), "")</f>
        <v/>
      </c>
      <c r="H4484" s="6" t="str" cm="1">
        <f t="array" ref="H4484">IFERROR(IF(INDEX(EmployeeData[Exit Date], ROW() - 37)=0, "",INDEX(EmployeeData[Exit Date], ROW() - 37)),"")</f>
        <v/>
      </c>
      <c r="I4484" s="4" t="str" cm="1">
        <f t="array" ref="I4484">IFERROR(IF(INDEX(EmployeeData[Exit Reason], ROW() - 37)=0, "",INDEX(EmployeeData[Exit Reason], ROW() - 37)),"")</f>
        <v/>
      </c>
      <c r="J4484" s="4" t="str" cm="1">
        <f t="array" ref="J4484">IFERROR(INDEX(EmployeeData[Status], ROW() - 37), "")</f>
        <v/>
      </c>
    </row>
    <row r="4485" spans="2:10" ht="19.95" customHeight="1" x14ac:dyDescent="0.3">
      <c r="B4485" s="4" t="str" cm="1">
        <f t="array" ref="B4485">IFERROR(INDEX(EmployeeData[Employee ID], ROW() - 37), "")</f>
        <v/>
      </c>
      <c r="C4485" s="4" t="str" cm="1">
        <f t="array" ref="C4485">IFERROR(INDEX(EmployeeData[Full Name], ROW() - 37), "")</f>
        <v/>
      </c>
      <c r="D4485" s="4" t="str" cm="1">
        <f t="array" ref="D4485">IFERROR(INDEX(EmployeeData[Department], ROW() - 37), "")</f>
        <v/>
      </c>
      <c r="E4485" s="4" t="str" cm="1">
        <f t="array" ref="E4485">IFERROR(INDEX(EmployeeData[Gender], ROW() - 37), "")</f>
        <v/>
      </c>
      <c r="F4485" s="4" t="str" cm="1">
        <f t="array" ref="F4485">IFERROR(INDEX(EmployeeData[Age], ROW() - 37), "")</f>
        <v/>
      </c>
      <c r="G4485" s="6" t="str" cm="1">
        <f t="array" ref="G4485">IFERROR(INDEX(EmployeeData[Join Date], ROW() - 37), "")</f>
        <v/>
      </c>
      <c r="H4485" s="6" t="str" cm="1">
        <f t="array" ref="H4485">IFERROR(IF(INDEX(EmployeeData[Exit Date], ROW() - 37)=0, "",INDEX(EmployeeData[Exit Date], ROW() - 37)),"")</f>
        <v/>
      </c>
      <c r="I4485" s="4" t="str" cm="1">
        <f t="array" ref="I4485">IFERROR(IF(INDEX(EmployeeData[Exit Reason], ROW() - 37)=0, "",INDEX(EmployeeData[Exit Reason], ROW() - 37)),"")</f>
        <v/>
      </c>
      <c r="J4485" s="4" t="str" cm="1">
        <f t="array" ref="J4485">IFERROR(INDEX(EmployeeData[Status], ROW() - 37), "")</f>
        <v/>
      </c>
    </row>
    <row r="4486" spans="2:10" ht="19.95" customHeight="1" x14ac:dyDescent="0.3">
      <c r="B4486" s="4" t="str" cm="1">
        <f t="array" ref="B4486">IFERROR(INDEX(EmployeeData[Employee ID], ROW() - 37), "")</f>
        <v/>
      </c>
      <c r="C4486" s="4" t="str" cm="1">
        <f t="array" ref="C4486">IFERROR(INDEX(EmployeeData[Full Name], ROW() - 37), "")</f>
        <v/>
      </c>
      <c r="D4486" s="4" t="str" cm="1">
        <f t="array" ref="D4486">IFERROR(INDEX(EmployeeData[Department], ROW() - 37), "")</f>
        <v/>
      </c>
      <c r="E4486" s="4" t="str" cm="1">
        <f t="array" ref="E4486">IFERROR(INDEX(EmployeeData[Gender], ROW() - 37), "")</f>
        <v/>
      </c>
      <c r="F4486" s="4" t="str" cm="1">
        <f t="array" ref="F4486">IFERROR(INDEX(EmployeeData[Age], ROW() - 37), "")</f>
        <v/>
      </c>
      <c r="G4486" s="6" t="str" cm="1">
        <f t="array" ref="G4486">IFERROR(INDEX(EmployeeData[Join Date], ROW() - 37), "")</f>
        <v/>
      </c>
      <c r="H4486" s="6" t="str" cm="1">
        <f t="array" ref="H4486">IFERROR(IF(INDEX(EmployeeData[Exit Date], ROW() - 37)=0, "",INDEX(EmployeeData[Exit Date], ROW() - 37)),"")</f>
        <v/>
      </c>
      <c r="I4486" s="4" t="str" cm="1">
        <f t="array" ref="I4486">IFERROR(IF(INDEX(EmployeeData[Exit Reason], ROW() - 37)=0, "",INDEX(EmployeeData[Exit Reason], ROW() - 37)),"")</f>
        <v/>
      </c>
      <c r="J4486" s="4" t="str" cm="1">
        <f t="array" ref="J4486">IFERROR(INDEX(EmployeeData[Status], ROW() - 37), "")</f>
        <v/>
      </c>
    </row>
    <row r="4487" spans="2:10" ht="19.95" customHeight="1" x14ac:dyDescent="0.3">
      <c r="B4487" s="4" t="str" cm="1">
        <f t="array" ref="B4487">IFERROR(INDEX(EmployeeData[Employee ID], ROW() - 37), "")</f>
        <v/>
      </c>
      <c r="C4487" s="4" t="str" cm="1">
        <f t="array" ref="C4487">IFERROR(INDEX(EmployeeData[Full Name], ROW() - 37), "")</f>
        <v/>
      </c>
      <c r="D4487" s="4" t="str" cm="1">
        <f t="array" ref="D4487">IFERROR(INDEX(EmployeeData[Department], ROW() - 37), "")</f>
        <v/>
      </c>
      <c r="E4487" s="4" t="str" cm="1">
        <f t="array" ref="E4487">IFERROR(INDEX(EmployeeData[Gender], ROW() - 37), "")</f>
        <v/>
      </c>
      <c r="F4487" s="4" t="str" cm="1">
        <f t="array" ref="F4487">IFERROR(INDEX(EmployeeData[Age], ROW() - 37), "")</f>
        <v/>
      </c>
      <c r="G4487" s="6" t="str" cm="1">
        <f t="array" ref="G4487">IFERROR(INDEX(EmployeeData[Join Date], ROW() - 37), "")</f>
        <v/>
      </c>
      <c r="H4487" s="6" t="str" cm="1">
        <f t="array" ref="H4487">IFERROR(IF(INDEX(EmployeeData[Exit Date], ROW() - 37)=0, "",INDEX(EmployeeData[Exit Date], ROW() - 37)),"")</f>
        <v/>
      </c>
      <c r="I4487" s="4" t="str" cm="1">
        <f t="array" ref="I4487">IFERROR(IF(INDEX(EmployeeData[Exit Reason], ROW() - 37)=0, "",INDEX(EmployeeData[Exit Reason], ROW() - 37)),"")</f>
        <v/>
      </c>
      <c r="J4487" s="4" t="str" cm="1">
        <f t="array" ref="J4487">IFERROR(INDEX(EmployeeData[Status], ROW() - 37), "")</f>
        <v/>
      </c>
    </row>
    <row r="4488" spans="2:10" ht="19.95" customHeight="1" x14ac:dyDescent="0.3">
      <c r="B4488" s="4" t="str" cm="1">
        <f t="array" ref="B4488">IFERROR(INDEX(EmployeeData[Employee ID], ROW() - 37), "")</f>
        <v/>
      </c>
      <c r="C4488" s="4" t="str" cm="1">
        <f t="array" ref="C4488">IFERROR(INDEX(EmployeeData[Full Name], ROW() - 37), "")</f>
        <v/>
      </c>
      <c r="D4488" s="4" t="str" cm="1">
        <f t="array" ref="D4488">IFERROR(INDEX(EmployeeData[Department], ROW() - 37), "")</f>
        <v/>
      </c>
      <c r="E4488" s="4" t="str" cm="1">
        <f t="array" ref="E4488">IFERROR(INDEX(EmployeeData[Gender], ROW() - 37), "")</f>
        <v/>
      </c>
      <c r="F4488" s="4" t="str" cm="1">
        <f t="array" ref="F4488">IFERROR(INDEX(EmployeeData[Age], ROW() - 37), "")</f>
        <v/>
      </c>
      <c r="G4488" s="6" t="str" cm="1">
        <f t="array" ref="G4488">IFERROR(INDEX(EmployeeData[Join Date], ROW() - 37), "")</f>
        <v/>
      </c>
      <c r="H4488" s="6" t="str" cm="1">
        <f t="array" ref="H4488">IFERROR(IF(INDEX(EmployeeData[Exit Date], ROW() - 37)=0, "",INDEX(EmployeeData[Exit Date], ROW() - 37)),"")</f>
        <v/>
      </c>
      <c r="I4488" s="4" t="str" cm="1">
        <f t="array" ref="I4488">IFERROR(IF(INDEX(EmployeeData[Exit Reason], ROW() - 37)=0, "",INDEX(EmployeeData[Exit Reason], ROW() - 37)),"")</f>
        <v/>
      </c>
      <c r="J4488" s="4" t="str" cm="1">
        <f t="array" ref="J4488">IFERROR(INDEX(EmployeeData[Status], ROW() - 37), "")</f>
        <v/>
      </c>
    </row>
    <row r="4489" spans="2:10" ht="19.95" customHeight="1" x14ac:dyDescent="0.3">
      <c r="B4489" s="4" t="str" cm="1">
        <f t="array" ref="B4489">IFERROR(INDEX(EmployeeData[Employee ID], ROW() - 37), "")</f>
        <v/>
      </c>
      <c r="C4489" s="4" t="str" cm="1">
        <f t="array" ref="C4489">IFERROR(INDEX(EmployeeData[Full Name], ROW() - 37), "")</f>
        <v/>
      </c>
      <c r="D4489" s="4" t="str" cm="1">
        <f t="array" ref="D4489">IFERROR(INDEX(EmployeeData[Department], ROW() - 37), "")</f>
        <v/>
      </c>
      <c r="E4489" s="4" t="str" cm="1">
        <f t="array" ref="E4489">IFERROR(INDEX(EmployeeData[Gender], ROW() - 37), "")</f>
        <v/>
      </c>
      <c r="F4489" s="4" t="str" cm="1">
        <f t="array" ref="F4489">IFERROR(INDEX(EmployeeData[Age], ROW() - 37), "")</f>
        <v/>
      </c>
      <c r="G4489" s="6" t="str" cm="1">
        <f t="array" ref="G4489">IFERROR(INDEX(EmployeeData[Join Date], ROW() - 37), "")</f>
        <v/>
      </c>
      <c r="H4489" s="6" t="str" cm="1">
        <f t="array" ref="H4489">IFERROR(IF(INDEX(EmployeeData[Exit Date], ROW() - 37)=0, "",INDEX(EmployeeData[Exit Date], ROW() - 37)),"")</f>
        <v/>
      </c>
      <c r="I4489" s="4" t="str" cm="1">
        <f t="array" ref="I4489">IFERROR(IF(INDEX(EmployeeData[Exit Reason], ROW() - 37)=0, "",INDEX(EmployeeData[Exit Reason], ROW() - 37)),"")</f>
        <v/>
      </c>
      <c r="J4489" s="4" t="str" cm="1">
        <f t="array" ref="J4489">IFERROR(INDEX(EmployeeData[Status], ROW() - 37), "")</f>
        <v/>
      </c>
    </row>
    <row r="4490" spans="2:10" ht="19.95" customHeight="1" x14ac:dyDescent="0.3">
      <c r="B4490" s="4" t="str" cm="1">
        <f t="array" ref="B4490">IFERROR(INDEX(EmployeeData[Employee ID], ROW() - 37), "")</f>
        <v/>
      </c>
      <c r="C4490" s="4" t="str" cm="1">
        <f t="array" ref="C4490">IFERROR(INDEX(EmployeeData[Full Name], ROW() - 37), "")</f>
        <v/>
      </c>
      <c r="D4490" s="4" t="str" cm="1">
        <f t="array" ref="D4490">IFERROR(INDEX(EmployeeData[Department], ROW() - 37), "")</f>
        <v/>
      </c>
      <c r="E4490" s="4" t="str" cm="1">
        <f t="array" ref="E4490">IFERROR(INDEX(EmployeeData[Gender], ROW() - 37), "")</f>
        <v/>
      </c>
      <c r="F4490" s="4" t="str" cm="1">
        <f t="array" ref="F4490">IFERROR(INDEX(EmployeeData[Age], ROW() - 37), "")</f>
        <v/>
      </c>
      <c r="G4490" s="6" t="str" cm="1">
        <f t="array" ref="G4490">IFERROR(INDEX(EmployeeData[Join Date], ROW() - 37), "")</f>
        <v/>
      </c>
      <c r="H4490" s="6" t="str" cm="1">
        <f t="array" ref="H4490">IFERROR(IF(INDEX(EmployeeData[Exit Date], ROW() - 37)=0, "",INDEX(EmployeeData[Exit Date], ROW() - 37)),"")</f>
        <v/>
      </c>
      <c r="I4490" s="4" t="str" cm="1">
        <f t="array" ref="I4490">IFERROR(IF(INDEX(EmployeeData[Exit Reason], ROW() - 37)=0, "",INDEX(EmployeeData[Exit Reason], ROW() - 37)),"")</f>
        <v/>
      </c>
      <c r="J4490" s="4" t="str" cm="1">
        <f t="array" ref="J4490">IFERROR(INDEX(EmployeeData[Status], ROW() - 37), "")</f>
        <v/>
      </c>
    </row>
    <row r="4491" spans="2:10" ht="19.95" customHeight="1" x14ac:dyDescent="0.3">
      <c r="B4491" s="4" t="str" cm="1">
        <f t="array" ref="B4491">IFERROR(INDEX(EmployeeData[Employee ID], ROW() - 37), "")</f>
        <v/>
      </c>
      <c r="C4491" s="4" t="str" cm="1">
        <f t="array" ref="C4491">IFERROR(INDEX(EmployeeData[Full Name], ROW() - 37), "")</f>
        <v/>
      </c>
      <c r="D4491" s="4" t="str" cm="1">
        <f t="array" ref="D4491">IFERROR(INDEX(EmployeeData[Department], ROW() - 37), "")</f>
        <v/>
      </c>
      <c r="E4491" s="4" t="str" cm="1">
        <f t="array" ref="E4491">IFERROR(INDEX(EmployeeData[Gender], ROW() - 37), "")</f>
        <v/>
      </c>
      <c r="F4491" s="4" t="str" cm="1">
        <f t="array" ref="F4491">IFERROR(INDEX(EmployeeData[Age], ROW() - 37), "")</f>
        <v/>
      </c>
      <c r="G4491" s="6" t="str" cm="1">
        <f t="array" ref="G4491">IFERROR(INDEX(EmployeeData[Join Date], ROW() - 37), "")</f>
        <v/>
      </c>
      <c r="H4491" s="6" t="str" cm="1">
        <f t="array" ref="H4491">IFERROR(IF(INDEX(EmployeeData[Exit Date], ROW() - 37)=0, "",INDEX(EmployeeData[Exit Date], ROW() - 37)),"")</f>
        <v/>
      </c>
      <c r="I4491" s="4" t="str" cm="1">
        <f t="array" ref="I4491">IFERROR(IF(INDEX(EmployeeData[Exit Reason], ROW() - 37)=0, "",INDEX(EmployeeData[Exit Reason], ROW() - 37)),"")</f>
        <v/>
      </c>
      <c r="J4491" s="4" t="str" cm="1">
        <f t="array" ref="J4491">IFERROR(INDEX(EmployeeData[Status], ROW() - 37), "")</f>
        <v/>
      </c>
    </row>
    <row r="4492" spans="2:10" ht="19.95" customHeight="1" x14ac:dyDescent="0.3">
      <c r="B4492" s="4" t="str" cm="1">
        <f t="array" ref="B4492">IFERROR(INDEX(EmployeeData[Employee ID], ROW() - 37), "")</f>
        <v/>
      </c>
      <c r="C4492" s="4" t="str" cm="1">
        <f t="array" ref="C4492">IFERROR(INDEX(EmployeeData[Full Name], ROW() - 37), "")</f>
        <v/>
      </c>
      <c r="D4492" s="4" t="str" cm="1">
        <f t="array" ref="D4492">IFERROR(INDEX(EmployeeData[Department], ROW() - 37), "")</f>
        <v/>
      </c>
      <c r="E4492" s="4" t="str" cm="1">
        <f t="array" ref="E4492">IFERROR(INDEX(EmployeeData[Gender], ROW() - 37), "")</f>
        <v/>
      </c>
      <c r="F4492" s="4" t="str" cm="1">
        <f t="array" ref="F4492">IFERROR(INDEX(EmployeeData[Age], ROW() - 37), "")</f>
        <v/>
      </c>
      <c r="G4492" s="6" t="str" cm="1">
        <f t="array" ref="G4492">IFERROR(INDEX(EmployeeData[Join Date], ROW() - 37), "")</f>
        <v/>
      </c>
      <c r="H4492" s="6" t="str" cm="1">
        <f t="array" ref="H4492">IFERROR(IF(INDEX(EmployeeData[Exit Date], ROW() - 37)=0, "",INDEX(EmployeeData[Exit Date], ROW() - 37)),"")</f>
        <v/>
      </c>
      <c r="I4492" s="4" t="str" cm="1">
        <f t="array" ref="I4492">IFERROR(IF(INDEX(EmployeeData[Exit Reason], ROW() - 37)=0, "",INDEX(EmployeeData[Exit Reason], ROW() - 37)),"")</f>
        <v/>
      </c>
      <c r="J4492" s="4" t="str" cm="1">
        <f t="array" ref="J4492">IFERROR(INDEX(EmployeeData[Status], ROW() - 37), "")</f>
        <v/>
      </c>
    </row>
    <row r="4493" spans="2:10" ht="19.95" customHeight="1" x14ac:dyDescent="0.3">
      <c r="B4493" s="4" t="str" cm="1">
        <f t="array" ref="B4493">IFERROR(INDEX(EmployeeData[Employee ID], ROW() - 37), "")</f>
        <v/>
      </c>
      <c r="C4493" s="4" t="str" cm="1">
        <f t="array" ref="C4493">IFERROR(INDEX(EmployeeData[Full Name], ROW() - 37), "")</f>
        <v/>
      </c>
      <c r="D4493" s="4" t="str" cm="1">
        <f t="array" ref="D4493">IFERROR(INDEX(EmployeeData[Department], ROW() - 37), "")</f>
        <v/>
      </c>
      <c r="E4493" s="4" t="str" cm="1">
        <f t="array" ref="E4493">IFERROR(INDEX(EmployeeData[Gender], ROW() - 37), "")</f>
        <v/>
      </c>
      <c r="F4493" s="4" t="str" cm="1">
        <f t="array" ref="F4493">IFERROR(INDEX(EmployeeData[Age], ROW() - 37), "")</f>
        <v/>
      </c>
      <c r="G4493" s="6" t="str" cm="1">
        <f t="array" ref="G4493">IFERROR(INDEX(EmployeeData[Join Date], ROW() - 37), "")</f>
        <v/>
      </c>
      <c r="H4493" s="6" t="str" cm="1">
        <f t="array" ref="H4493">IFERROR(IF(INDEX(EmployeeData[Exit Date], ROW() - 37)=0, "",INDEX(EmployeeData[Exit Date], ROW() - 37)),"")</f>
        <v/>
      </c>
      <c r="I4493" s="4" t="str" cm="1">
        <f t="array" ref="I4493">IFERROR(IF(INDEX(EmployeeData[Exit Reason], ROW() - 37)=0, "",INDEX(EmployeeData[Exit Reason], ROW() - 37)),"")</f>
        <v/>
      </c>
      <c r="J4493" s="4" t="str" cm="1">
        <f t="array" ref="J4493">IFERROR(INDEX(EmployeeData[Status], ROW() - 37), "")</f>
        <v/>
      </c>
    </row>
    <row r="4494" spans="2:10" ht="19.95" customHeight="1" x14ac:dyDescent="0.3">
      <c r="B4494" s="4" t="str" cm="1">
        <f t="array" ref="B4494">IFERROR(INDEX(EmployeeData[Employee ID], ROW() - 37), "")</f>
        <v/>
      </c>
      <c r="C4494" s="4" t="str" cm="1">
        <f t="array" ref="C4494">IFERROR(INDEX(EmployeeData[Full Name], ROW() - 37), "")</f>
        <v/>
      </c>
      <c r="D4494" s="4" t="str" cm="1">
        <f t="array" ref="D4494">IFERROR(INDEX(EmployeeData[Department], ROW() - 37), "")</f>
        <v/>
      </c>
      <c r="E4494" s="4" t="str" cm="1">
        <f t="array" ref="E4494">IFERROR(INDEX(EmployeeData[Gender], ROW() - 37), "")</f>
        <v/>
      </c>
      <c r="F4494" s="4" t="str" cm="1">
        <f t="array" ref="F4494">IFERROR(INDEX(EmployeeData[Age], ROW() - 37), "")</f>
        <v/>
      </c>
      <c r="G4494" s="6" t="str" cm="1">
        <f t="array" ref="G4494">IFERROR(INDEX(EmployeeData[Join Date], ROW() - 37), "")</f>
        <v/>
      </c>
      <c r="H4494" s="6" t="str" cm="1">
        <f t="array" ref="H4494">IFERROR(IF(INDEX(EmployeeData[Exit Date], ROW() - 37)=0, "",INDEX(EmployeeData[Exit Date], ROW() - 37)),"")</f>
        <v/>
      </c>
      <c r="I4494" s="4" t="str" cm="1">
        <f t="array" ref="I4494">IFERROR(IF(INDEX(EmployeeData[Exit Reason], ROW() - 37)=0, "",INDEX(EmployeeData[Exit Reason], ROW() - 37)),"")</f>
        <v/>
      </c>
      <c r="J4494" s="4" t="str" cm="1">
        <f t="array" ref="J4494">IFERROR(INDEX(EmployeeData[Status], ROW() - 37), "")</f>
        <v/>
      </c>
    </row>
    <row r="4495" spans="2:10" ht="19.95" customHeight="1" x14ac:dyDescent="0.3">
      <c r="B4495" s="4" t="str" cm="1">
        <f t="array" ref="B4495">IFERROR(INDEX(EmployeeData[Employee ID], ROW() - 37), "")</f>
        <v/>
      </c>
      <c r="C4495" s="4" t="str" cm="1">
        <f t="array" ref="C4495">IFERROR(INDEX(EmployeeData[Full Name], ROW() - 37), "")</f>
        <v/>
      </c>
      <c r="D4495" s="4" t="str" cm="1">
        <f t="array" ref="D4495">IFERROR(INDEX(EmployeeData[Department], ROW() - 37), "")</f>
        <v/>
      </c>
      <c r="E4495" s="4" t="str" cm="1">
        <f t="array" ref="E4495">IFERROR(INDEX(EmployeeData[Gender], ROW() - 37), "")</f>
        <v/>
      </c>
      <c r="F4495" s="4" t="str" cm="1">
        <f t="array" ref="F4495">IFERROR(INDEX(EmployeeData[Age], ROW() - 37), "")</f>
        <v/>
      </c>
      <c r="G4495" s="6" t="str" cm="1">
        <f t="array" ref="G4495">IFERROR(INDEX(EmployeeData[Join Date], ROW() - 37), "")</f>
        <v/>
      </c>
      <c r="H4495" s="6" t="str" cm="1">
        <f t="array" ref="H4495">IFERROR(IF(INDEX(EmployeeData[Exit Date], ROW() - 37)=0, "",INDEX(EmployeeData[Exit Date], ROW() - 37)),"")</f>
        <v/>
      </c>
      <c r="I4495" s="4" t="str" cm="1">
        <f t="array" ref="I4495">IFERROR(IF(INDEX(EmployeeData[Exit Reason], ROW() - 37)=0, "",INDEX(EmployeeData[Exit Reason], ROW() - 37)),"")</f>
        <v/>
      </c>
      <c r="J4495" s="4" t="str" cm="1">
        <f t="array" ref="J4495">IFERROR(INDEX(EmployeeData[Status], ROW() - 37), "")</f>
        <v/>
      </c>
    </row>
    <row r="4496" spans="2:10" ht="19.95" customHeight="1" x14ac:dyDescent="0.3">
      <c r="B4496" s="4" t="str" cm="1">
        <f t="array" ref="B4496">IFERROR(INDEX(EmployeeData[Employee ID], ROW() - 37), "")</f>
        <v/>
      </c>
      <c r="C4496" s="4" t="str" cm="1">
        <f t="array" ref="C4496">IFERROR(INDEX(EmployeeData[Full Name], ROW() - 37), "")</f>
        <v/>
      </c>
      <c r="D4496" s="4" t="str" cm="1">
        <f t="array" ref="D4496">IFERROR(INDEX(EmployeeData[Department], ROW() - 37), "")</f>
        <v/>
      </c>
      <c r="E4496" s="4" t="str" cm="1">
        <f t="array" ref="E4496">IFERROR(INDEX(EmployeeData[Gender], ROW() - 37), "")</f>
        <v/>
      </c>
      <c r="F4496" s="4" t="str" cm="1">
        <f t="array" ref="F4496">IFERROR(INDEX(EmployeeData[Age], ROW() - 37), "")</f>
        <v/>
      </c>
      <c r="G4496" s="6" t="str" cm="1">
        <f t="array" ref="G4496">IFERROR(INDEX(EmployeeData[Join Date], ROW() - 37), "")</f>
        <v/>
      </c>
      <c r="H4496" s="6" t="str" cm="1">
        <f t="array" ref="H4496">IFERROR(IF(INDEX(EmployeeData[Exit Date], ROW() - 37)=0, "",INDEX(EmployeeData[Exit Date], ROW() - 37)),"")</f>
        <v/>
      </c>
      <c r="I4496" s="4" t="str" cm="1">
        <f t="array" ref="I4496">IFERROR(IF(INDEX(EmployeeData[Exit Reason], ROW() - 37)=0, "",INDEX(EmployeeData[Exit Reason], ROW() - 37)),"")</f>
        <v/>
      </c>
      <c r="J4496" s="4" t="str" cm="1">
        <f t="array" ref="J4496">IFERROR(INDEX(EmployeeData[Status], ROW() - 37), "")</f>
        <v/>
      </c>
    </row>
    <row r="4497" spans="2:10" ht="19.95" customHeight="1" x14ac:dyDescent="0.3">
      <c r="B4497" s="4" t="str" cm="1">
        <f t="array" ref="B4497">IFERROR(INDEX(EmployeeData[Employee ID], ROW() - 37), "")</f>
        <v/>
      </c>
      <c r="C4497" s="4" t="str" cm="1">
        <f t="array" ref="C4497">IFERROR(INDEX(EmployeeData[Full Name], ROW() - 37), "")</f>
        <v/>
      </c>
      <c r="D4497" s="4" t="str" cm="1">
        <f t="array" ref="D4497">IFERROR(INDEX(EmployeeData[Department], ROW() - 37), "")</f>
        <v/>
      </c>
      <c r="E4497" s="4" t="str" cm="1">
        <f t="array" ref="E4497">IFERROR(INDEX(EmployeeData[Gender], ROW() - 37), "")</f>
        <v/>
      </c>
      <c r="F4497" s="4" t="str" cm="1">
        <f t="array" ref="F4497">IFERROR(INDEX(EmployeeData[Age], ROW() - 37), "")</f>
        <v/>
      </c>
      <c r="G4497" s="6" t="str" cm="1">
        <f t="array" ref="G4497">IFERROR(INDEX(EmployeeData[Join Date], ROW() - 37), "")</f>
        <v/>
      </c>
      <c r="H4497" s="6" t="str" cm="1">
        <f t="array" ref="H4497">IFERROR(IF(INDEX(EmployeeData[Exit Date], ROW() - 37)=0, "",INDEX(EmployeeData[Exit Date], ROW() - 37)),"")</f>
        <v/>
      </c>
      <c r="I4497" s="4" t="str" cm="1">
        <f t="array" ref="I4497">IFERROR(IF(INDEX(EmployeeData[Exit Reason], ROW() - 37)=0, "",INDEX(EmployeeData[Exit Reason], ROW() - 37)),"")</f>
        <v/>
      </c>
      <c r="J4497" s="4" t="str" cm="1">
        <f t="array" ref="J4497">IFERROR(INDEX(EmployeeData[Status], ROW() - 37), "")</f>
        <v/>
      </c>
    </row>
    <row r="4498" spans="2:10" ht="19.95" customHeight="1" x14ac:dyDescent="0.3">
      <c r="B4498" s="4" t="str" cm="1">
        <f t="array" ref="B4498">IFERROR(INDEX(EmployeeData[Employee ID], ROW() - 37), "")</f>
        <v/>
      </c>
      <c r="C4498" s="4" t="str" cm="1">
        <f t="array" ref="C4498">IFERROR(INDEX(EmployeeData[Full Name], ROW() - 37), "")</f>
        <v/>
      </c>
      <c r="D4498" s="4" t="str" cm="1">
        <f t="array" ref="D4498">IFERROR(INDEX(EmployeeData[Department], ROW() - 37), "")</f>
        <v/>
      </c>
      <c r="E4498" s="4" t="str" cm="1">
        <f t="array" ref="E4498">IFERROR(INDEX(EmployeeData[Gender], ROW() - 37), "")</f>
        <v/>
      </c>
      <c r="F4498" s="4" t="str" cm="1">
        <f t="array" ref="F4498">IFERROR(INDEX(EmployeeData[Age], ROW() - 37), "")</f>
        <v/>
      </c>
      <c r="G4498" s="6" t="str" cm="1">
        <f t="array" ref="G4498">IFERROR(INDEX(EmployeeData[Join Date], ROW() - 37), "")</f>
        <v/>
      </c>
      <c r="H4498" s="6" t="str" cm="1">
        <f t="array" ref="H4498">IFERROR(IF(INDEX(EmployeeData[Exit Date], ROW() - 37)=0, "",INDEX(EmployeeData[Exit Date], ROW() - 37)),"")</f>
        <v/>
      </c>
      <c r="I4498" s="4" t="str" cm="1">
        <f t="array" ref="I4498">IFERROR(IF(INDEX(EmployeeData[Exit Reason], ROW() - 37)=0, "",INDEX(EmployeeData[Exit Reason], ROW() - 37)),"")</f>
        <v/>
      </c>
      <c r="J4498" s="4" t="str" cm="1">
        <f t="array" ref="J4498">IFERROR(INDEX(EmployeeData[Status], ROW() - 37), "")</f>
        <v/>
      </c>
    </row>
    <row r="4499" spans="2:10" ht="19.95" customHeight="1" x14ac:dyDescent="0.3">
      <c r="B4499" s="4" t="str" cm="1">
        <f t="array" ref="B4499">IFERROR(INDEX(EmployeeData[Employee ID], ROW() - 37), "")</f>
        <v/>
      </c>
      <c r="C4499" s="4" t="str" cm="1">
        <f t="array" ref="C4499">IFERROR(INDEX(EmployeeData[Full Name], ROW() - 37), "")</f>
        <v/>
      </c>
      <c r="D4499" s="4" t="str" cm="1">
        <f t="array" ref="D4499">IFERROR(INDEX(EmployeeData[Department], ROW() - 37), "")</f>
        <v/>
      </c>
      <c r="E4499" s="4" t="str" cm="1">
        <f t="array" ref="E4499">IFERROR(INDEX(EmployeeData[Gender], ROW() - 37), "")</f>
        <v/>
      </c>
      <c r="F4499" s="4" t="str" cm="1">
        <f t="array" ref="F4499">IFERROR(INDEX(EmployeeData[Age], ROW() - 37), "")</f>
        <v/>
      </c>
      <c r="G4499" s="6" t="str" cm="1">
        <f t="array" ref="G4499">IFERROR(INDEX(EmployeeData[Join Date], ROW() - 37), "")</f>
        <v/>
      </c>
      <c r="H4499" s="6" t="str" cm="1">
        <f t="array" ref="H4499">IFERROR(IF(INDEX(EmployeeData[Exit Date], ROW() - 37)=0, "",INDEX(EmployeeData[Exit Date], ROW() - 37)),"")</f>
        <v/>
      </c>
      <c r="I4499" s="4" t="str" cm="1">
        <f t="array" ref="I4499">IFERROR(IF(INDEX(EmployeeData[Exit Reason], ROW() - 37)=0, "",INDEX(EmployeeData[Exit Reason], ROW() - 37)),"")</f>
        <v/>
      </c>
      <c r="J4499" s="4" t="str" cm="1">
        <f t="array" ref="J4499">IFERROR(INDEX(EmployeeData[Status], ROW() - 37), "")</f>
        <v/>
      </c>
    </row>
    <row r="4500" spans="2:10" ht="19.95" customHeight="1" x14ac:dyDescent="0.3">
      <c r="B4500" s="4" t="str" cm="1">
        <f t="array" ref="B4500">IFERROR(INDEX(EmployeeData[Employee ID], ROW() - 37), "")</f>
        <v/>
      </c>
      <c r="C4500" s="4" t="str" cm="1">
        <f t="array" ref="C4500">IFERROR(INDEX(EmployeeData[Full Name], ROW() - 37), "")</f>
        <v/>
      </c>
      <c r="D4500" s="4" t="str" cm="1">
        <f t="array" ref="D4500">IFERROR(INDEX(EmployeeData[Department], ROW() - 37), "")</f>
        <v/>
      </c>
      <c r="E4500" s="4" t="str" cm="1">
        <f t="array" ref="E4500">IFERROR(INDEX(EmployeeData[Gender], ROW() - 37), "")</f>
        <v/>
      </c>
      <c r="F4500" s="4" t="str" cm="1">
        <f t="array" ref="F4500">IFERROR(INDEX(EmployeeData[Age], ROW() - 37), "")</f>
        <v/>
      </c>
      <c r="G4500" s="6" t="str" cm="1">
        <f t="array" ref="G4500">IFERROR(INDEX(EmployeeData[Join Date], ROW() - 37), "")</f>
        <v/>
      </c>
      <c r="H4500" s="6" t="str" cm="1">
        <f t="array" ref="H4500">IFERROR(IF(INDEX(EmployeeData[Exit Date], ROW() - 37)=0, "",INDEX(EmployeeData[Exit Date], ROW() - 37)),"")</f>
        <v/>
      </c>
      <c r="I4500" s="4" t="str" cm="1">
        <f t="array" ref="I4500">IFERROR(IF(INDEX(EmployeeData[Exit Reason], ROW() - 37)=0, "",INDEX(EmployeeData[Exit Reason], ROW() - 37)),"")</f>
        <v/>
      </c>
      <c r="J4500" s="4" t="str" cm="1">
        <f t="array" ref="J4500">IFERROR(INDEX(EmployeeData[Status], ROW() - 37), "")</f>
        <v/>
      </c>
    </row>
    <row r="4501" spans="2:10" ht="19.95" customHeight="1" x14ac:dyDescent="0.3">
      <c r="B4501" s="4" t="str" cm="1">
        <f t="array" ref="B4501">IFERROR(INDEX(EmployeeData[Employee ID], ROW() - 37), "")</f>
        <v/>
      </c>
      <c r="C4501" s="4" t="str" cm="1">
        <f t="array" ref="C4501">IFERROR(INDEX(EmployeeData[Full Name], ROW() - 37), "")</f>
        <v/>
      </c>
      <c r="D4501" s="4" t="str" cm="1">
        <f t="array" ref="D4501">IFERROR(INDEX(EmployeeData[Department], ROW() - 37), "")</f>
        <v/>
      </c>
      <c r="E4501" s="4" t="str" cm="1">
        <f t="array" ref="E4501">IFERROR(INDEX(EmployeeData[Gender], ROW() - 37), "")</f>
        <v/>
      </c>
      <c r="F4501" s="4" t="str" cm="1">
        <f t="array" ref="F4501">IFERROR(INDEX(EmployeeData[Age], ROW() - 37), "")</f>
        <v/>
      </c>
      <c r="G4501" s="6" t="str" cm="1">
        <f t="array" ref="G4501">IFERROR(INDEX(EmployeeData[Join Date], ROW() - 37), "")</f>
        <v/>
      </c>
      <c r="H4501" s="6" t="str" cm="1">
        <f t="array" ref="H4501">IFERROR(IF(INDEX(EmployeeData[Exit Date], ROW() - 37)=0, "",INDEX(EmployeeData[Exit Date], ROW() - 37)),"")</f>
        <v/>
      </c>
      <c r="I4501" s="4" t="str" cm="1">
        <f t="array" ref="I4501">IFERROR(IF(INDEX(EmployeeData[Exit Reason], ROW() - 37)=0, "",INDEX(EmployeeData[Exit Reason], ROW() - 37)),"")</f>
        <v/>
      </c>
      <c r="J4501" s="4" t="str" cm="1">
        <f t="array" ref="J4501">IFERROR(INDEX(EmployeeData[Status], ROW() - 37), "")</f>
        <v/>
      </c>
    </row>
    <row r="4502" spans="2:10" ht="19.95" customHeight="1" x14ac:dyDescent="0.3">
      <c r="B4502" s="4" t="str" cm="1">
        <f t="array" ref="B4502">IFERROR(INDEX(EmployeeData[Employee ID], ROW() - 37), "")</f>
        <v/>
      </c>
      <c r="C4502" s="4" t="str" cm="1">
        <f t="array" ref="C4502">IFERROR(INDEX(EmployeeData[Full Name], ROW() - 37), "")</f>
        <v/>
      </c>
      <c r="D4502" s="4" t="str" cm="1">
        <f t="array" ref="D4502">IFERROR(INDEX(EmployeeData[Department], ROW() - 37), "")</f>
        <v/>
      </c>
      <c r="E4502" s="4" t="str" cm="1">
        <f t="array" ref="E4502">IFERROR(INDEX(EmployeeData[Gender], ROW() - 37), "")</f>
        <v/>
      </c>
      <c r="F4502" s="4" t="str" cm="1">
        <f t="array" ref="F4502">IFERROR(INDEX(EmployeeData[Age], ROW() - 37), "")</f>
        <v/>
      </c>
      <c r="G4502" s="6" t="str" cm="1">
        <f t="array" ref="G4502">IFERROR(INDEX(EmployeeData[Join Date], ROW() - 37), "")</f>
        <v/>
      </c>
      <c r="H4502" s="6" t="str" cm="1">
        <f t="array" ref="H4502">IFERROR(IF(INDEX(EmployeeData[Exit Date], ROW() - 37)=0, "",INDEX(EmployeeData[Exit Date], ROW() - 37)),"")</f>
        <v/>
      </c>
      <c r="I4502" s="4" t="str" cm="1">
        <f t="array" ref="I4502">IFERROR(IF(INDEX(EmployeeData[Exit Reason], ROW() - 37)=0, "",INDEX(EmployeeData[Exit Reason], ROW() - 37)),"")</f>
        <v/>
      </c>
      <c r="J4502" s="4" t="str" cm="1">
        <f t="array" ref="J4502">IFERROR(INDEX(EmployeeData[Status], ROW() - 37), "")</f>
        <v/>
      </c>
    </row>
    <row r="4503" spans="2:10" ht="19.95" customHeight="1" x14ac:dyDescent="0.3">
      <c r="B4503" s="4" t="str" cm="1">
        <f t="array" ref="B4503">IFERROR(INDEX(EmployeeData[Employee ID], ROW() - 37), "")</f>
        <v/>
      </c>
      <c r="C4503" s="4" t="str" cm="1">
        <f t="array" ref="C4503">IFERROR(INDEX(EmployeeData[Full Name], ROW() - 37), "")</f>
        <v/>
      </c>
      <c r="D4503" s="4" t="str" cm="1">
        <f t="array" ref="D4503">IFERROR(INDEX(EmployeeData[Department], ROW() - 37), "")</f>
        <v/>
      </c>
      <c r="E4503" s="4" t="str" cm="1">
        <f t="array" ref="E4503">IFERROR(INDEX(EmployeeData[Gender], ROW() - 37), "")</f>
        <v/>
      </c>
      <c r="F4503" s="4" t="str" cm="1">
        <f t="array" ref="F4503">IFERROR(INDEX(EmployeeData[Age], ROW() - 37), "")</f>
        <v/>
      </c>
      <c r="G4503" s="6" t="str" cm="1">
        <f t="array" ref="G4503">IFERROR(INDEX(EmployeeData[Join Date], ROW() - 37), "")</f>
        <v/>
      </c>
      <c r="H4503" s="6" t="str" cm="1">
        <f t="array" ref="H4503">IFERROR(IF(INDEX(EmployeeData[Exit Date], ROW() - 37)=0, "",INDEX(EmployeeData[Exit Date], ROW() - 37)),"")</f>
        <v/>
      </c>
      <c r="I4503" s="4" t="str" cm="1">
        <f t="array" ref="I4503">IFERROR(IF(INDEX(EmployeeData[Exit Reason], ROW() - 37)=0, "",INDEX(EmployeeData[Exit Reason], ROW() - 37)),"")</f>
        <v/>
      </c>
      <c r="J4503" s="4" t="str" cm="1">
        <f t="array" ref="J4503">IFERROR(INDEX(EmployeeData[Status], ROW() - 37), "")</f>
        <v/>
      </c>
    </row>
    <row r="4504" spans="2:10" ht="19.95" customHeight="1" x14ac:dyDescent="0.3">
      <c r="B4504" s="4" t="str" cm="1">
        <f t="array" ref="B4504">IFERROR(INDEX(EmployeeData[Employee ID], ROW() - 37), "")</f>
        <v/>
      </c>
      <c r="C4504" s="4" t="str" cm="1">
        <f t="array" ref="C4504">IFERROR(INDEX(EmployeeData[Full Name], ROW() - 37), "")</f>
        <v/>
      </c>
      <c r="D4504" s="4" t="str" cm="1">
        <f t="array" ref="D4504">IFERROR(INDEX(EmployeeData[Department], ROW() - 37), "")</f>
        <v/>
      </c>
      <c r="E4504" s="4" t="str" cm="1">
        <f t="array" ref="E4504">IFERROR(INDEX(EmployeeData[Gender], ROW() - 37), "")</f>
        <v/>
      </c>
      <c r="F4504" s="4" t="str" cm="1">
        <f t="array" ref="F4504">IFERROR(INDEX(EmployeeData[Age], ROW() - 37), "")</f>
        <v/>
      </c>
      <c r="G4504" s="6" t="str" cm="1">
        <f t="array" ref="G4504">IFERROR(INDEX(EmployeeData[Join Date], ROW() - 37), "")</f>
        <v/>
      </c>
      <c r="H4504" s="6" t="str" cm="1">
        <f t="array" ref="H4504">IFERROR(IF(INDEX(EmployeeData[Exit Date], ROW() - 37)=0, "",INDEX(EmployeeData[Exit Date], ROW() - 37)),"")</f>
        <v/>
      </c>
      <c r="I4504" s="4" t="str" cm="1">
        <f t="array" ref="I4504">IFERROR(IF(INDEX(EmployeeData[Exit Reason], ROW() - 37)=0, "",INDEX(EmployeeData[Exit Reason], ROW() - 37)),"")</f>
        <v/>
      </c>
      <c r="J4504" s="4" t="str" cm="1">
        <f t="array" ref="J4504">IFERROR(INDEX(EmployeeData[Status], ROW() - 37), "")</f>
        <v/>
      </c>
    </row>
    <row r="4505" spans="2:10" ht="19.95" customHeight="1" x14ac:dyDescent="0.3">
      <c r="B4505" s="4" t="str" cm="1">
        <f t="array" ref="B4505">IFERROR(INDEX(EmployeeData[Employee ID], ROW() - 37), "")</f>
        <v/>
      </c>
      <c r="C4505" s="4" t="str" cm="1">
        <f t="array" ref="C4505">IFERROR(INDEX(EmployeeData[Full Name], ROW() - 37), "")</f>
        <v/>
      </c>
      <c r="D4505" s="4" t="str" cm="1">
        <f t="array" ref="D4505">IFERROR(INDEX(EmployeeData[Department], ROW() - 37), "")</f>
        <v/>
      </c>
      <c r="E4505" s="4" t="str" cm="1">
        <f t="array" ref="E4505">IFERROR(INDEX(EmployeeData[Gender], ROW() - 37), "")</f>
        <v/>
      </c>
      <c r="F4505" s="4" t="str" cm="1">
        <f t="array" ref="F4505">IFERROR(INDEX(EmployeeData[Age], ROW() - 37), "")</f>
        <v/>
      </c>
      <c r="G4505" s="6" t="str" cm="1">
        <f t="array" ref="G4505">IFERROR(INDEX(EmployeeData[Join Date], ROW() - 37), "")</f>
        <v/>
      </c>
      <c r="H4505" s="6" t="str" cm="1">
        <f t="array" ref="H4505">IFERROR(IF(INDEX(EmployeeData[Exit Date], ROW() - 37)=0, "",INDEX(EmployeeData[Exit Date], ROW() - 37)),"")</f>
        <v/>
      </c>
      <c r="I4505" s="4" t="str" cm="1">
        <f t="array" ref="I4505">IFERROR(IF(INDEX(EmployeeData[Exit Reason], ROW() - 37)=0, "",INDEX(EmployeeData[Exit Reason], ROW() - 37)),"")</f>
        <v/>
      </c>
      <c r="J4505" s="4" t="str" cm="1">
        <f t="array" ref="J4505">IFERROR(INDEX(EmployeeData[Status], ROW() - 37), "")</f>
        <v/>
      </c>
    </row>
    <row r="4506" spans="2:10" ht="19.95" customHeight="1" x14ac:dyDescent="0.3">
      <c r="B4506" s="4" t="str" cm="1">
        <f t="array" ref="B4506">IFERROR(INDEX(EmployeeData[Employee ID], ROW() - 37), "")</f>
        <v/>
      </c>
      <c r="C4506" s="4" t="str" cm="1">
        <f t="array" ref="C4506">IFERROR(INDEX(EmployeeData[Full Name], ROW() - 37), "")</f>
        <v/>
      </c>
      <c r="D4506" s="4" t="str" cm="1">
        <f t="array" ref="D4506">IFERROR(INDEX(EmployeeData[Department], ROW() - 37), "")</f>
        <v/>
      </c>
      <c r="E4506" s="4" t="str" cm="1">
        <f t="array" ref="E4506">IFERROR(INDEX(EmployeeData[Gender], ROW() - 37), "")</f>
        <v/>
      </c>
      <c r="F4506" s="4" t="str" cm="1">
        <f t="array" ref="F4506">IFERROR(INDEX(EmployeeData[Age], ROW() - 37), "")</f>
        <v/>
      </c>
      <c r="G4506" s="6" t="str" cm="1">
        <f t="array" ref="G4506">IFERROR(INDEX(EmployeeData[Join Date], ROW() - 37), "")</f>
        <v/>
      </c>
      <c r="H4506" s="6" t="str" cm="1">
        <f t="array" ref="H4506">IFERROR(IF(INDEX(EmployeeData[Exit Date], ROW() - 37)=0, "",INDEX(EmployeeData[Exit Date], ROW() - 37)),"")</f>
        <v/>
      </c>
      <c r="I4506" s="4" t="str" cm="1">
        <f t="array" ref="I4506">IFERROR(IF(INDEX(EmployeeData[Exit Reason], ROW() - 37)=0, "",INDEX(EmployeeData[Exit Reason], ROW() - 37)),"")</f>
        <v/>
      </c>
      <c r="J4506" s="4" t="str" cm="1">
        <f t="array" ref="J4506">IFERROR(INDEX(EmployeeData[Status], ROW() - 37), "")</f>
        <v/>
      </c>
    </row>
    <row r="4507" spans="2:10" ht="19.95" customHeight="1" x14ac:dyDescent="0.3">
      <c r="B4507" s="4" t="str" cm="1">
        <f t="array" ref="B4507">IFERROR(INDEX(EmployeeData[Employee ID], ROW() - 37), "")</f>
        <v/>
      </c>
      <c r="C4507" s="4" t="str" cm="1">
        <f t="array" ref="C4507">IFERROR(INDEX(EmployeeData[Full Name], ROW() - 37), "")</f>
        <v/>
      </c>
      <c r="D4507" s="4" t="str" cm="1">
        <f t="array" ref="D4507">IFERROR(INDEX(EmployeeData[Department], ROW() - 37), "")</f>
        <v/>
      </c>
      <c r="E4507" s="4" t="str" cm="1">
        <f t="array" ref="E4507">IFERROR(INDEX(EmployeeData[Gender], ROW() - 37), "")</f>
        <v/>
      </c>
      <c r="F4507" s="4" t="str" cm="1">
        <f t="array" ref="F4507">IFERROR(INDEX(EmployeeData[Age], ROW() - 37), "")</f>
        <v/>
      </c>
      <c r="G4507" s="6" t="str" cm="1">
        <f t="array" ref="G4507">IFERROR(INDEX(EmployeeData[Join Date], ROW() - 37), "")</f>
        <v/>
      </c>
      <c r="H4507" s="6" t="str" cm="1">
        <f t="array" ref="H4507">IFERROR(IF(INDEX(EmployeeData[Exit Date], ROW() - 37)=0, "",INDEX(EmployeeData[Exit Date], ROW() - 37)),"")</f>
        <v/>
      </c>
      <c r="I4507" s="4" t="str" cm="1">
        <f t="array" ref="I4507">IFERROR(IF(INDEX(EmployeeData[Exit Reason], ROW() - 37)=0, "",INDEX(EmployeeData[Exit Reason], ROW() - 37)),"")</f>
        <v/>
      </c>
      <c r="J4507" s="4" t="str" cm="1">
        <f t="array" ref="J4507">IFERROR(INDEX(EmployeeData[Status], ROW() - 37), "")</f>
        <v/>
      </c>
    </row>
    <row r="4508" spans="2:10" ht="19.95" customHeight="1" x14ac:dyDescent="0.3">
      <c r="B4508" s="4" t="str" cm="1">
        <f t="array" ref="B4508">IFERROR(INDEX(EmployeeData[Employee ID], ROW() - 37), "")</f>
        <v/>
      </c>
      <c r="C4508" s="4" t="str" cm="1">
        <f t="array" ref="C4508">IFERROR(INDEX(EmployeeData[Full Name], ROW() - 37), "")</f>
        <v/>
      </c>
      <c r="D4508" s="4" t="str" cm="1">
        <f t="array" ref="D4508">IFERROR(INDEX(EmployeeData[Department], ROW() - 37), "")</f>
        <v/>
      </c>
      <c r="E4508" s="4" t="str" cm="1">
        <f t="array" ref="E4508">IFERROR(INDEX(EmployeeData[Gender], ROW() - 37), "")</f>
        <v/>
      </c>
      <c r="F4508" s="4" t="str" cm="1">
        <f t="array" ref="F4508">IFERROR(INDEX(EmployeeData[Age], ROW() - 37), "")</f>
        <v/>
      </c>
      <c r="G4508" s="6" t="str" cm="1">
        <f t="array" ref="G4508">IFERROR(INDEX(EmployeeData[Join Date], ROW() - 37), "")</f>
        <v/>
      </c>
      <c r="H4508" s="6" t="str" cm="1">
        <f t="array" ref="H4508">IFERROR(IF(INDEX(EmployeeData[Exit Date], ROW() - 37)=0, "",INDEX(EmployeeData[Exit Date], ROW() - 37)),"")</f>
        <v/>
      </c>
      <c r="I4508" s="4" t="str" cm="1">
        <f t="array" ref="I4508">IFERROR(IF(INDEX(EmployeeData[Exit Reason], ROW() - 37)=0, "",INDEX(EmployeeData[Exit Reason], ROW() - 37)),"")</f>
        <v/>
      </c>
      <c r="J4508" s="4" t="str" cm="1">
        <f t="array" ref="J4508">IFERROR(INDEX(EmployeeData[Status], ROW() - 37), "")</f>
        <v/>
      </c>
    </row>
    <row r="4509" spans="2:10" ht="19.95" customHeight="1" x14ac:dyDescent="0.3">
      <c r="B4509" s="4" t="str" cm="1">
        <f t="array" ref="B4509">IFERROR(INDEX(EmployeeData[Employee ID], ROW() - 37), "")</f>
        <v/>
      </c>
      <c r="C4509" s="4" t="str" cm="1">
        <f t="array" ref="C4509">IFERROR(INDEX(EmployeeData[Full Name], ROW() - 37), "")</f>
        <v/>
      </c>
      <c r="D4509" s="4" t="str" cm="1">
        <f t="array" ref="D4509">IFERROR(INDEX(EmployeeData[Department], ROW() - 37), "")</f>
        <v/>
      </c>
      <c r="E4509" s="4" t="str" cm="1">
        <f t="array" ref="E4509">IFERROR(INDEX(EmployeeData[Gender], ROW() - 37), "")</f>
        <v/>
      </c>
      <c r="F4509" s="4" t="str" cm="1">
        <f t="array" ref="F4509">IFERROR(INDEX(EmployeeData[Age], ROW() - 37), "")</f>
        <v/>
      </c>
      <c r="G4509" s="6" t="str" cm="1">
        <f t="array" ref="G4509">IFERROR(INDEX(EmployeeData[Join Date], ROW() - 37), "")</f>
        <v/>
      </c>
      <c r="H4509" s="6" t="str" cm="1">
        <f t="array" ref="H4509">IFERROR(IF(INDEX(EmployeeData[Exit Date], ROW() - 37)=0, "",INDEX(EmployeeData[Exit Date], ROW() - 37)),"")</f>
        <v/>
      </c>
      <c r="I4509" s="4" t="str" cm="1">
        <f t="array" ref="I4509">IFERROR(IF(INDEX(EmployeeData[Exit Reason], ROW() - 37)=0, "",INDEX(EmployeeData[Exit Reason], ROW() - 37)),"")</f>
        <v/>
      </c>
      <c r="J4509" s="4" t="str" cm="1">
        <f t="array" ref="J4509">IFERROR(INDEX(EmployeeData[Status], ROW() - 37), "")</f>
        <v/>
      </c>
    </row>
    <row r="4510" spans="2:10" ht="19.95" customHeight="1" x14ac:dyDescent="0.3">
      <c r="B4510" s="4" t="str" cm="1">
        <f t="array" ref="B4510">IFERROR(INDEX(EmployeeData[Employee ID], ROW() - 37), "")</f>
        <v/>
      </c>
      <c r="C4510" s="4" t="str" cm="1">
        <f t="array" ref="C4510">IFERROR(INDEX(EmployeeData[Full Name], ROW() - 37), "")</f>
        <v/>
      </c>
      <c r="D4510" s="4" t="str" cm="1">
        <f t="array" ref="D4510">IFERROR(INDEX(EmployeeData[Department], ROW() - 37), "")</f>
        <v/>
      </c>
      <c r="E4510" s="4" t="str" cm="1">
        <f t="array" ref="E4510">IFERROR(INDEX(EmployeeData[Gender], ROW() - 37), "")</f>
        <v/>
      </c>
      <c r="F4510" s="4" t="str" cm="1">
        <f t="array" ref="F4510">IFERROR(INDEX(EmployeeData[Age], ROW() - 37), "")</f>
        <v/>
      </c>
      <c r="G4510" s="6" t="str" cm="1">
        <f t="array" ref="G4510">IFERROR(INDEX(EmployeeData[Join Date], ROW() - 37), "")</f>
        <v/>
      </c>
      <c r="H4510" s="6" t="str" cm="1">
        <f t="array" ref="H4510">IFERROR(IF(INDEX(EmployeeData[Exit Date], ROW() - 37)=0, "",INDEX(EmployeeData[Exit Date], ROW() - 37)),"")</f>
        <v/>
      </c>
      <c r="I4510" s="4" t="str" cm="1">
        <f t="array" ref="I4510">IFERROR(IF(INDEX(EmployeeData[Exit Reason], ROW() - 37)=0, "",INDEX(EmployeeData[Exit Reason], ROW() - 37)),"")</f>
        <v/>
      </c>
      <c r="J4510" s="4" t="str" cm="1">
        <f t="array" ref="J4510">IFERROR(INDEX(EmployeeData[Status], ROW() - 37), "")</f>
        <v/>
      </c>
    </row>
    <row r="4511" spans="2:10" ht="19.95" customHeight="1" x14ac:dyDescent="0.3">
      <c r="B4511" s="4" t="str" cm="1">
        <f t="array" ref="B4511">IFERROR(INDEX(EmployeeData[Employee ID], ROW() - 37), "")</f>
        <v/>
      </c>
      <c r="C4511" s="4" t="str" cm="1">
        <f t="array" ref="C4511">IFERROR(INDEX(EmployeeData[Full Name], ROW() - 37), "")</f>
        <v/>
      </c>
      <c r="D4511" s="4" t="str" cm="1">
        <f t="array" ref="D4511">IFERROR(INDEX(EmployeeData[Department], ROW() - 37), "")</f>
        <v/>
      </c>
      <c r="E4511" s="4" t="str" cm="1">
        <f t="array" ref="E4511">IFERROR(INDEX(EmployeeData[Gender], ROW() - 37), "")</f>
        <v/>
      </c>
      <c r="F4511" s="4" t="str" cm="1">
        <f t="array" ref="F4511">IFERROR(INDEX(EmployeeData[Age], ROW() - 37), "")</f>
        <v/>
      </c>
      <c r="G4511" s="6" t="str" cm="1">
        <f t="array" ref="G4511">IFERROR(INDEX(EmployeeData[Join Date], ROW() - 37), "")</f>
        <v/>
      </c>
      <c r="H4511" s="6" t="str" cm="1">
        <f t="array" ref="H4511">IFERROR(IF(INDEX(EmployeeData[Exit Date], ROW() - 37)=0, "",INDEX(EmployeeData[Exit Date], ROW() - 37)),"")</f>
        <v/>
      </c>
      <c r="I4511" s="4" t="str" cm="1">
        <f t="array" ref="I4511">IFERROR(IF(INDEX(EmployeeData[Exit Reason], ROW() - 37)=0, "",INDEX(EmployeeData[Exit Reason], ROW() - 37)),"")</f>
        <v/>
      </c>
      <c r="J4511" s="4" t="str" cm="1">
        <f t="array" ref="J4511">IFERROR(INDEX(EmployeeData[Status], ROW() - 37), "")</f>
        <v/>
      </c>
    </row>
    <row r="4512" spans="2:10" ht="19.95" customHeight="1" x14ac:dyDescent="0.3">
      <c r="B4512" s="4" t="str" cm="1">
        <f t="array" ref="B4512">IFERROR(INDEX(EmployeeData[Employee ID], ROW() - 37), "")</f>
        <v/>
      </c>
      <c r="C4512" s="4" t="str" cm="1">
        <f t="array" ref="C4512">IFERROR(INDEX(EmployeeData[Full Name], ROW() - 37), "")</f>
        <v/>
      </c>
      <c r="D4512" s="4" t="str" cm="1">
        <f t="array" ref="D4512">IFERROR(INDEX(EmployeeData[Department], ROW() - 37), "")</f>
        <v/>
      </c>
      <c r="E4512" s="4" t="str" cm="1">
        <f t="array" ref="E4512">IFERROR(INDEX(EmployeeData[Gender], ROW() - 37), "")</f>
        <v/>
      </c>
      <c r="F4512" s="4" t="str" cm="1">
        <f t="array" ref="F4512">IFERROR(INDEX(EmployeeData[Age], ROW() - 37), "")</f>
        <v/>
      </c>
      <c r="G4512" s="6" t="str" cm="1">
        <f t="array" ref="G4512">IFERROR(INDEX(EmployeeData[Join Date], ROW() - 37), "")</f>
        <v/>
      </c>
      <c r="H4512" s="6" t="str" cm="1">
        <f t="array" ref="H4512">IFERROR(IF(INDEX(EmployeeData[Exit Date], ROW() - 37)=0, "",INDEX(EmployeeData[Exit Date], ROW() - 37)),"")</f>
        <v/>
      </c>
      <c r="I4512" s="4" t="str" cm="1">
        <f t="array" ref="I4512">IFERROR(IF(INDEX(EmployeeData[Exit Reason], ROW() - 37)=0, "",INDEX(EmployeeData[Exit Reason], ROW() - 37)),"")</f>
        <v/>
      </c>
      <c r="J4512" s="4" t="str" cm="1">
        <f t="array" ref="J4512">IFERROR(INDEX(EmployeeData[Status], ROW() - 37), "")</f>
        <v/>
      </c>
    </row>
    <row r="4513" spans="2:10" ht="19.95" customHeight="1" x14ac:dyDescent="0.3">
      <c r="B4513" s="4" t="str" cm="1">
        <f t="array" ref="B4513">IFERROR(INDEX(EmployeeData[Employee ID], ROW() - 37), "")</f>
        <v/>
      </c>
      <c r="C4513" s="4" t="str" cm="1">
        <f t="array" ref="C4513">IFERROR(INDEX(EmployeeData[Full Name], ROW() - 37), "")</f>
        <v/>
      </c>
      <c r="D4513" s="4" t="str" cm="1">
        <f t="array" ref="D4513">IFERROR(INDEX(EmployeeData[Department], ROW() - 37), "")</f>
        <v/>
      </c>
      <c r="E4513" s="4" t="str" cm="1">
        <f t="array" ref="E4513">IFERROR(INDEX(EmployeeData[Gender], ROW() - 37), "")</f>
        <v/>
      </c>
      <c r="F4513" s="4" t="str" cm="1">
        <f t="array" ref="F4513">IFERROR(INDEX(EmployeeData[Age], ROW() - 37), "")</f>
        <v/>
      </c>
      <c r="G4513" s="6" t="str" cm="1">
        <f t="array" ref="G4513">IFERROR(INDEX(EmployeeData[Join Date], ROW() - 37), "")</f>
        <v/>
      </c>
      <c r="H4513" s="6" t="str" cm="1">
        <f t="array" ref="H4513">IFERROR(IF(INDEX(EmployeeData[Exit Date], ROW() - 37)=0, "",INDEX(EmployeeData[Exit Date], ROW() - 37)),"")</f>
        <v/>
      </c>
      <c r="I4513" s="4" t="str" cm="1">
        <f t="array" ref="I4513">IFERROR(IF(INDEX(EmployeeData[Exit Reason], ROW() - 37)=0, "",INDEX(EmployeeData[Exit Reason], ROW() - 37)),"")</f>
        <v/>
      </c>
      <c r="J4513" s="4" t="str" cm="1">
        <f t="array" ref="J4513">IFERROR(INDEX(EmployeeData[Status], ROW() - 37), "")</f>
        <v/>
      </c>
    </row>
    <row r="4514" spans="2:10" ht="19.95" customHeight="1" x14ac:dyDescent="0.3">
      <c r="B4514" s="4" t="str" cm="1">
        <f t="array" ref="B4514">IFERROR(INDEX(EmployeeData[Employee ID], ROW() - 37), "")</f>
        <v/>
      </c>
      <c r="C4514" s="4" t="str" cm="1">
        <f t="array" ref="C4514">IFERROR(INDEX(EmployeeData[Full Name], ROW() - 37), "")</f>
        <v/>
      </c>
      <c r="D4514" s="4" t="str" cm="1">
        <f t="array" ref="D4514">IFERROR(INDEX(EmployeeData[Department], ROW() - 37), "")</f>
        <v/>
      </c>
      <c r="E4514" s="4" t="str" cm="1">
        <f t="array" ref="E4514">IFERROR(INDEX(EmployeeData[Gender], ROW() - 37), "")</f>
        <v/>
      </c>
      <c r="F4514" s="4" t="str" cm="1">
        <f t="array" ref="F4514">IFERROR(INDEX(EmployeeData[Age], ROW() - 37), "")</f>
        <v/>
      </c>
      <c r="G4514" s="6" t="str" cm="1">
        <f t="array" ref="G4514">IFERROR(INDEX(EmployeeData[Join Date], ROW() - 37), "")</f>
        <v/>
      </c>
      <c r="H4514" s="6" t="str" cm="1">
        <f t="array" ref="H4514">IFERROR(IF(INDEX(EmployeeData[Exit Date], ROW() - 37)=0, "",INDEX(EmployeeData[Exit Date], ROW() - 37)),"")</f>
        <v/>
      </c>
      <c r="I4514" s="4" t="str" cm="1">
        <f t="array" ref="I4514">IFERROR(IF(INDEX(EmployeeData[Exit Reason], ROW() - 37)=0, "",INDEX(EmployeeData[Exit Reason], ROW() - 37)),"")</f>
        <v/>
      </c>
      <c r="J4514" s="4" t="str" cm="1">
        <f t="array" ref="J4514">IFERROR(INDEX(EmployeeData[Status], ROW() - 37), "")</f>
        <v/>
      </c>
    </row>
    <row r="4515" spans="2:10" ht="19.95" customHeight="1" x14ac:dyDescent="0.3">
      <c r="B4515" s="4" t="str" cm="1">
        <f t="array" ref="B4515">IFERROR(INDEX(EmployeeData[Employee ID], ROW() - 37), "")</f>
        <v/>
      </c>
      <c r="C4515" s="4" t="str" cm="1">
        <f t="array" ref="C4515">IFERROR(INDEX(EmployeeData[Full Name], ROW() - 37), "")</f>
        <v/>
      </c>
      <c r="D4515" s="4" t="str" cm="1">
        <f t="array" ref="D4515">IFERROR(INDEX(EmployeeData[Department], ROW() - 37), "")</f>
        <v/>
      </c>
      <c r="E4515" s="4" t="str" cm="1">
        <f t="array" ref="E4515">IFERROR(INDEX(EmployeeData[Gender], ROW() - 37), "")</f>
        <v/>
      </c>
      <c r="F4515" s="4" t="str" cm="1">
        <f t="array" ref="F4515">IFERROR(INDEX(EmployeeData[Age], ROW() - 37), "")</f>
        <v/>
      </c>
      <c r="G4515" s="6" t="str" cm="1">
        <f t="array" ref="G4515">IFERROR(INDEX(EmployeeData[Join Date], ROW() - 37), "")</f>
        <v/>
      </c>
      <c r="H4515" s="6" t="str" cm="1">
        <f t="array" ref="H4515">IFERROR(IF(INDEX(EmployeeData[Exit Date], ROW() - 37)=0, "",INDEX(EmployeeData[Exit Date], ROW() - 37)),"")</f>
        <v/>
      </c>
      <c r="I4515" s="4" t="str" cm="1">
        <f t="array" ref="I4515">IFERROR(IF(INDEX(EmployeeData[Exit Reason], ROW() - 37)=0, "",INDEX(EmployeeData[Exit Reason], ROW() - 37)),"")</f>
        <v/>
      </c>
      <c r="J4515" s="4" t="str" cm="1">
        <f t="array" ref="J4515">IFERROR(INDEX(EmployeeData[Status], ROW() - 37), "")</f>
        <v/>
      </c>
    </row>
    <row r="4516" spans="2:10" ht="19.95" customHeight="1" x14ac:dyDescent="0.3">
      <c r="B4516" s="4" t="str" cm="1">
        <f t="array" ref="B4516">IFERROR(INDEX(EmployeeData[Employee ID], ROW() - 37), "")</f>
        <v/>
      </c>
      <c r="C4516" s="4" t="str" cm="1">
        <f t="array" ref="C4516">IFERROR(INDEX(EmployeeData[Full Name], ROW() - 37), "")</f>
        <v/>
      </c>
      <c r="D4516" s="4" t="str" cm="1">
        <f t="array" ref="D4516">IFERROR(INDEX(EmployeeData[Department], ROW() - 37), "")</f>
        <v/>
      </c>
      <c r="E4516" s="4" t="str" cm="1">
        <f t="array" ref="E4516">IFERROR(INDEX(EmployeeData[Gender], ROW() - 37), "")</f>
        <v/>
      </c>
      <c r="F4516" s="4" t="str" cm="1">
        <f t="array" ref="F4516">IFERROR(INDEX(EmployeeData[Age], ROW() - 37), "")</f>
        <v/>
      </c>
      <c r="G4516" s="6" t="str" cm="1">
        <f t="array" ref="G4516">IFERROR(INDEX(EmployeeData[Join Date], ROW() - 37), "")</f>
        <v/>
      </c>
      <c r="H4516" s="6" t="str" cm="1">
        <f t="array" ref="H4516">IFERROR(IF(INDEX(EmployeeData[Exit Date], ROW() - 37)=0, "",INDEX(EmployeeData[Exit Date], ROW() - 37)),"")</f>
        <v/>
      </c>
      <c r="I4516" s="4" t="str" cm="1">
        <f t="array" ref="I4516">IFERROR(IF(INDEX(EmployeeData[Exit Reason], ROW() - 37)=0, "",INDEX(EmployeeData[Exit Reason], ROW() - 37)),"")</f>
        <v/>
      </c>
      <c r="J4516" s="4" t="str" cm="1">
        <f t="array" ref="J4516">IFERROR(INDEX(EmployeeData[Status], ROW() - 37), "")</f>
        <v/>
      </c>
    </row>
    <row r="4517" spans="2:10" ht="19.95" customHeight="1" x14ac:dyDescent="0.3">
      <c r="B4517" s="4" t="str" cm="1">
        <f t="array" ref="B4517">IFERROR(INDEX(EmployeeData[Employee ID], ROW() - 37), "")</f>
        <v/>
      </c>
      <c r="C4517" s="4" t="str" cm="1">
        <f t="array" ref="C4517">IFERROR(INDEX(EmployeeData[Full Name], ROW() - 37), "")</f>
        <v/>
      </c>
      <c r="D4517" s="4" t="str" cm="1">
        <f t="array" ref="D4517">IFERROR(INDEX(EmployeeData[Department], ROW() - 37), "")</f>
        <v/>
      </c>
      <c r="E4517" s="4" t="str" cm="1">
        <f t="array" ref="E4517">IFERROR(INDEX(EmployeeData[Gender], ROW() - 37), "")</f>
        <v/>
      </c>
      <c r="F4517" s="4" t="str" cm="1">
        <f t="array" ref="F4517">IFERROR(INDEX(EmployeeData[Age], ROW() - 37), "")</f>
        <v/>
      </c>
      <c r="G4517" s="6" t="str" cm="1">
        <f t="array" ref="G4517">IFERROR(INDEX(EmployeeData[Join Date], ROW() - 37), "")</f>
        <v/>
      </c>
      <c r="H4517" s="6" t="str" cm="1">
        <f t="array" ref="H4517">IFERROR(IF(INDEX(EmployeeData[Exit Date], ROW() - 37)=0, "",INDEX(EmployeeData[Exit Date], ROW() - 37)),"")</f>
        <v/>
      </c>
      <c r="I4517" s="4" t="str" cm="1">
        <f t="array" ref="I4517">IFERROR(IF(INDEX(EmployeeData[Exit Reason], ROW() - 37)=0, "",INDEX(EmployeeData[Exit Reason], ROW() - 37)),"")</f>
        <v/>
      </c>
      <c r="J4517" s="4" t="str" cm="1">
        <f t="array" ref="J4517">IFERROR(INDEX(EmployeeData[Status], ROW() - 37), "")</f>
        <v/>
      </c>
    </row>
    <row r="4518" spans="2:10" ht="19.95" customHeight="1" x14ac:dyDescent="0.3">
      <c r="B4518" s="4" t="str" cm="1">
        <f t="array" ref="B4518">IFERROR(INDEX(EmployeeData[Employee ID], ROW() - 37), "")</f>
        <v/>
      </c>
      <c r="C4518" s="4" t="str" cm="1">
        <f t="array" ref="C4518">IFERROR(INDEX(EmployeeData[Full Name], ROW() - 37), "")</f>
        <v/>
      </c>
      <c r="D4518" s="4" t="str" cm="1">
        <f t="array" ref="D4518">IFERROR(INDEX(EmployeeData[Department], ROW() - 37), "")</f>
        <v/>
      </c>
      <c r="E4518" s="4" t="str" cm="1">
        <f t="array" ref="E4518">IFERROR(INDEX(EmployeeData[Gender], ROW() - 37), "")</f>
        <v/>
      </c>
      <c r="F4518" s="4" t="str" cm="1">
        <f t="array" ref="F4518">IFERROR(INDEX(EmployeeData[Age], ROW() - 37), "")</f>
        <v/>
      </c>
      <c r="G4518" s="6" t="str" cm="1">
        <f t="array" ref="G4518">IFERROR(INDEX(EmployeeData[Join Date], ROW() - 37), "")</f>
        <v/>
      </c>
      <c r="H4518" s="6" t="str" cm="1">
        <f t="array" ref="H4518">IFERROR(IF(INDEX(EmployeeData[Exit Date], ROW() - 37)=0, "",INDEX(EmployeeData[Exit Date], ROW() - 37)),"")</f>
        <v/>
      </c>
      <c r="I4518" s="4" t="str" cm="1">
        <f t="array" ref="I4518">IFERROR(IF(INDEX(EmployeeData[Exit Reason], ROW() - 37)=0, "",INDEX(EmployeeData[Exit Reason], ROW() - 37)),"")</f>
        <v/>
      </c>
      <c r="J4518" s="4" t="str" cm="1">
        <f t="array" ref="J4518">IFERROR(INDEX(EmployeeData[Status], ROW() - 37), "")</f>
        <v/>
      </c>
    </row>
    <row r="4519" spans="2:10" ht="19.95" customHeight="1" x14ac:dyDescent="0.3">
      <c r="B4519" s="4" t="str" cm="1">
        <f t="array" ref="B4519">IFERROR(INDEX(EmployeeData[Employee ID], ROW() - 37), "")</f>
        <v/>
      </c>
      <c r="C4519" s="4" t="str" cm="1">
        <f t="array" ref="C4519">IFERROR(INDEX(EmployeeData[Full Name], ROW() - 37), "")</f>
        <v/>
      </c>
      <c r="D4519" s="4" t="str" cm="1">
        <f t="array" ref="D4519">IFERROR(INDEX(EmployeeData[Department], ROW() - 37), "")</f>
        <v/>
      </c>
      <c r="E4519" s="4" t="str" cm="1">
        <f t="array" ref="E4519">IFERROR(INDEX(EmployeeData[Gender], ROW() - 37), "")</f>
        <v/>
      </c>
      <c r="F4519" s="4" t="str" cm="1">
        <f t="array" ref="F4519">IFERROR(INDEX(EmployeeData[Age], ROW() - 37), "")</f>
        <v/>
      </c>
      <c r="G4519" s="6" t="str" cm="1">
        <f t="array" ref="G4519">IFERROR(INDEX(EmployeeData[Join Date], ROW() - 37), "")</f>
        <v/>
      </c>
      <c r="H4519" s="6" t="str" cm="1">
        <f t="array" ref="H4519">IFERROR(IF(INDEX(EmployeeData[Exit Date], ROW() - 37)=0, "",INDEX(EmployeeData[Exit Date], ROW() - 37)),"")</f>
        <v/>
      </c>
      <c r="I4519" s="4" t="str" cm="1">
        <f t="array" ref="I4519">IFERROR(IF(INDEX(EmployeeData[Exit Reason], ROW() - 37)=0, "",INDEX(EmployeeData[Exit Reason], ROW() - 37)),"")</f>
        <v/>
      </c>
      <c r="J4519" s="4" t="str" cm="1">
        <f t="array" ref="J4519">IFERROR(INDEX(EmployeeData[Status], ROW() - 37), "")</f>
        <v/>
      </c>
    </row>
    <row r="4520" spans="2:10" ht="19.95" customHeight="1" x14ac:dyDescent="0.3">
      <c r="B4520" s="4" t="str" cm="1">
        <f t="array" ref="B4520">IFERROR(INDEX(EmployeeData[Employee ID], ROW() - 37), "")</f>
        <v/>
      </c>
      <c r="C4520" s="4" t="str" cm="1">
        <f t="array" ref="C4520">IFERROR(INDEX(EmployeeData[Full Name], ROW() - 37), "")</f>
        <v/>
      </c>
      <c r="D4520" s="4" t="str" cm="1">
        <f t="array" ref="D4520">IFERROR(INDEX(EmployeeData[Department], ROW() - 37), "")</f>
        <v/>
      </c>
      <c r="E4520" s="4" t="str" cm="1">
        <f t="array" ref="E4520">IFERROR(INDEX(EmployeeData[Gender], ROW() - 37), "")</f>
        <v/>
      </c>
      <c r="F4520" s="4" t="str" cm="1">
        <f t="array" ref="F4520">IFERROR(INDEX(EmployeeData[Age], ROW() - 37), "")</f>
        <v/>
      </c>
      <c r="G4520" s="6" t="str" cm="1">
        <f t="array" ref="G4520">IFERROR(INDEX(EmployeeData[Join Date], ROW() - 37), "")</f>
        <v/>
      </c>
      <c r="H4520" s="6" t="str" cm="1">
        <f t="array" ref="H4520">IFERROR(IF(INDEX(EmployeeData[Exit Date], ROW() - 37)=0, "",INDEX(EmployeeData[Exit Date], ROW() - 37)),"")</f>
        <v/>
      </c>
      <c r="I4520" s="4" t="str" cm="1">
        <f t="array" ref="I4520">IFERROR(IF(INDEX(EmployeeData[Exit Reason], ROW() - 37)=0, "",INDEX(EmployeeData[Exit Reason], ROW() - 37)),"")</f>
        <v/>
      </c>
      <c r="J4520" s="4" t="str" cm="1">
        <f t="array" ref="J4520">IFERROR(INDEX(EmployeeData[Status], ROW() - 37), "")</f>
        <v/>
      </c>
    </row>
    <row r="4521" spans="2:10" ht="19.95" customHeight="1" x14ac:dyDescent="0.3">
      <c r="B4521" s="4" t="str" cm="1">
        <f t="array" ref="B4521">IFERROR(INDEX(EmployeeData[Employee ID], ROW() - 37), "")</f>
        <v/>
      </c>
      <c r="C4521" s="4" t="str" cm="1">
        <f t="array" ref="C4521">IFERROR(INDEX(EmployeeData[Full Name], ROW() - 37), "")</f>
        <v/>
      </c>
      <c r="D4521" s="4" t="str" cm="1">
        <f t="array" ref="D4521">IFERROR(INDEX(EmployeeData[Department], ROW() - 37), "")</f>
        <v/>
      </c>
      <c r="E4521" s="4" t="str" cm="1">
        <f t="array" ref="E4521">IFERROR(INDEX(EmployeeData[Gender], ROW() - 37), "")</f>
        <v/>
      </c>
      <c r="F4521" s="4" t="str" cm="1">
        <f t="array" ref="F4521">IFERROR(INDEX(EmployeeData[Age], ROW() - 37), "")</f>
        <v/>
      </c>
      <c r="G4521" s="6" t="str" cm="1">
        <f t="array" ref="G4521">IFERROR(INDEX(EmployeeData[Join Date], ROW() - 37), "")</f>
        <v/>
      </c>
      <c r="H4521" s="6" t="str" cm="1">
        <f t="array" ref="H4521">IFERROR(IF(INDEX(EmployeeData[Exit Date], ROW() - 37)=0, "",INDEX(EmployeeData[Exit Date], ROW() - 37)),"")</f>
        <v/>
      </c>
      <c r="I4521" s="4" t="str" cm="1">
        <f t="array" ref="I4521">IFERROR(IF(INDEX(EmployeeData[Exit Reason], ROW() - 37)=0, "",INDEX(EmployeeData[Exit Reason], ROW() - 37)),"")</f>
        <v/>
      </c>
      <c r="J4521" s="4" t="str" cm="1">
        <f t="array" ref="J4521">IFERROR(INDEX(EmployeeData[Status], ROW() - 37), "")</f>
        <v/>
      </c>
    </row>
    <row r="4522" spans="2:10" ht="19.95" customHeight="1" x14ac:dyDescent="0.3">
      <c r="B4522" s="4" t="str" cm="1">
        <f t="array" ref="B4522">IFERROR(INDEX(EmployeeData[Employee ID], ROW() - 37), "")</f>
        <v/>
      </c>
      <c r="C4522" s="4" t="str" cm="1">
        <f t="array" ref="C4522">IFERROR(INDEX(EmployeeData[Full Name], ROW() - 37), "")</f>
        <v/>
      </c>
      <c r="D4522" s="4" t="str" cm="1">
        <f t="array" ref="D4522">IFERROR(INDEX(EmployeeData[Department], ROW() - 37), "")</f>
        <v/>
      </c>
      <c r="E4522" s="4" t="str" cm="1">
        <f t="array" ref="E4522">IFERROR(INDEX(EmployeeData[Gender], ROW() - 37), "")</f>
        <v/>
      </c>
      <c r="F4522" s="4" t="str" cm="1">
        <f t="array" ref="F4522">IFERROR(INDEX(EmployeeData[Age], ROW() - 37), "")</f>
        <v/>
      </c>
      <c r="G4522" s="6" t="str" cm="1">
        <f t="array" ref="G4522">IFERROR(INDEX(EmployeeData[Join Date], ROW() - 37), "")</f>
        <v/>
      </c>
      <c r="H4522" s="6" t="str" cm="1">
        <f t="array" ref="H4522">IFERROR(IF(INDEX(EmployeeData[Exit Date], ROW() - 37)=0, "",INDEX(EmployeeData[Exit Date], ROW() - 37)),"")</f>
        <v/>
      </c>
      <c r="I4522" s="4" t="str" cm="1">
        <f t="array" ref="I4522">IFERROR(IF(INDEX(EmployeeData[Exit Reason], ROW() - 37)=0, "",INDEX(EmployeeData[Exit Reason], ROW() - 37)),"")</f>
        <v/>
      </c>
      <c r="J4522" s="4" t="str" cm="1">
        <f t="array" ref="J4522">IFERROR(INDEX(EmployeeData[Status], ROW() - 37), "")</f>
        <v/>
      </c>
    </row>
    <row r="4523" spans="2:10" ht="19.95" customHeight="1" x14ac:dyDescent="0.3">
      <c r="B4523" s="4" t="str" cm="1">
        <f t="array" ref="B4523">IFERROR(INDEX(EmployeeData[Employee ID], ROW() - 37), "")</f>
        <v/>
      </c>
      <c r="C4523" s="4" t="str" cm="1">
        <f t="array" ref="C4523">IFERROR(INDEX(EmployeeData[Full Name], ROW() - 37), "")</f>
        <v/>
      </c>
      <c r="D4523" s="4" t="str" cm="1">
        <f t="array" ref="D4523">IFERROR(INDEX(EmployeeData[Department], ROW() - 37), "")</f>
        <v/>
      </c>
      <c r="E4523" s="4" t="str" cm="1">
        <f t="array" ref="E4523">IFERROR(INDEX(EmployeeData[Gender], ROW() - 37), "")</f>
        <v/>
      </c>
      <c r="F4523" s="4" t="str" cm="1">
        <f t="array" ref="F4523">IFERROR(INDEX(EmployeeData[Age], ROW() - 37), "")</f>
        <v/>
      </c>
      <c r="G4523" s="6" t="str" cm="1">
        <f t="array" ref="G4523">IFERROR(INDEX(EmployeeData[Join Date], ROW() - 37), "")</f>
        <v/>
      </c>
      <c r="H4523" s="6" t="str" cm="1">
        <f t="array" ref="H4523">IFERROR(IF(INDEX(EmployeeData[Exit Date], ROW() - 37)=0, "",INDEX(EmployeeData[Exit Date], ROW() - 37)),"")</f>
        <v/>
      </c>
      <c r="I4523" s="4" t="str" cm="1">
        <f t="array" ref="I4523">IFERROR(IF(INDEX(EmployeeData[Exit Reason], ROW() - 37)=0, "",INDEX(EmployeeData[Exit Reason], ROW() - 37)),"")</f>
        <v/>
      </c>
      <c r="J4523" s="4" t="str" cm="1">
        <f t="array" ref="J4523">IFERROR(INDEX(EmployeeData[Status], ROW() - 37), "")</f>
        <v/>
      </c>
    </row>
    <row r="4524" spans="2:10" ht="19.95" customHeight="1" x14ac:dyDescent="0.3">
      <c r="B4524" s="4" t="str" cm="1">
        <f t="array" ref="B4524">IFERROR(INDEX(EmployeeData[Employee ID], ROW() - 37), "")</f>
        <v/>
      </c>
      <c r="C4524" s="4" t="str" cm="1">
        <f t="array" ref="C4524">IFERROR(INDEX(EmployeeData[Full Name], ROW() - 37), "")</f>
        <v/>
      </c>
      <c r="D4524" s="4" t="str" cm="1">
        <f t="array" ref="D4524">IFERROR(INDEX(EmployeeData[Department], ROW() - 37), "")</f>
        <v/>
      </c>
      <c r="E4524" s="4" t="str" cm="1">
        <f t="array" ref="E4524">IFERROR(INDEX(EmployeeData[Gender], ROW() - 37), "")</f>
        <v/>
      </c>
      <c r="F4524" s="4" t="str" cm="1">
        <f t="array" ref="F4524">IFERROR(INDEX(EmployeeData[Age], ROW() - 37), "")</f>
        <v/>
      </c>
      <c r="G4524" s="6" t="str" cm="1">
        <f t="array" ref="G4524">IFERROR(INDEX(EmployeeData[Join Date], ROW() - 37), "")</f>
        <v/>
      </c>
      <c r="H4524" s="6" t="str" cm="1">
        <f t="array" ref="H4524">IFERROR(IF(INDEX(EmployeeData[Exit Date], ROW() - 37)=0, "",INDEX(EmployeeData[Exit Date], ROW() - 37)),"")</f>
        <v/>
      </c>
      <c r="I4524" s="4" t="str" cm="1">
        <f t="array" ref="I4524">IFERROR(IF(INDEX(EmployeeData[Exit Reason], ROW() - 37)=0, "",INDEX(EmployeeData[Exit Reason], ROW() - 37)),"")</f>
        <v/>
      </c>
      <c r="J4524" s="4" t="str" cm="1">
        <f t="array" ref="J4524">IFERROR(INDEX(EmployeeData[Status], ROW() - 37), "")</f>
        <v/>
      </c>
    </row>
    <row r="4525" spans="2:10" ht="19.95" customHeight="1" x14ac:dyDescent="0.3">
      <c r="B4525" s="4" t="str" cm="1">
        <f t="array" ref="B4525">IFERROR(INDEX(EmployeeData[Employee ID], ROW() - 37), "")</f>
        <v/>
      </c>
      <c r="C4525" s="4" t="str" cm="1">
        <f t="array" ref="C4525">IFERROR(INDEX(EmployeeData[Full Name], ROW() - 37), "")</f>
        <v/>
      </c>
      <c r="D4525" s="4" t="str" cm="1">
        <f t="array" ref="D4525">IFERROR(INDEX(EmployeeData[Department], ROW() - 37), "")</f>
        <v/>
      </c>
      <c r="E4525" s="4" t="str" cm="1">
        <f t="array" ref="E4525">IFERROR(INDEX(EmployeeData[Gender], ROW() - 37), "")</f>
        <v/>
      </c>
      <c r="F4525" s="4" t="str" cm="1">
        <f t="array" ref="F4525">IFERROR(INDEX(EmployeeData[Age], ROW() - 37), "")</f>
        <v/>
      </c>
      <c r="G4525" s="6" t="str" cm="1">
        <f t="array" ref="G4525">IFERROR(INDEX(EmployeeData[Join Date], ROW() - 37), "")</f>
        <v/>
      </c>
      <c r="H4525" s="6" t="str" cm="1">
        <f t="array" ref="H4525">IFERROR(IF(INDEX(EmployeeData[Exit Date], ROW() - 37)=0, "",INDEX(EmployeeData[Exit Date], ROW() - 37)),"")</f>
        <v/>
      </c>
      <c r="I4525" s="4" t="str" cm="1">
        <f t="array" ref="I4525">IFERROR(IF(INDEX(EmployeeData[Exit Reason], ROW() - 37)=0, "",INDEX(EmployeeData[Exit Reason], ROW() - 37)),"")</f>
        <v/>
      </c>
      <c r="J4525" s="4" t="str" cm="1">
        <f t="array" ref="J4525">IFERROR(INDEX(EmployeeData[Status], ROW() - 37), "")</f>
        <v/>
      </c>
    </row>
    <row r="4526" spans="2:10" ht="19.95" customHeight="1" x14ac:dyDescent="0.3">
      <c r="B4526" s="4" t="str" cm="1">
        <f t="array" ref="B4526">IFERROR(INDEX(EmployeeData[Employee ID], ROW() - 37), "")</f>
        <v/>
      </c>
      <c r="C4526" s="4" t="str" cm="1">
        <f t="array" ref="C4526">IFERROR(INDEX(EmployeeData[Full Name], ROW() - 37), "")</f>
        <v/>
      </c>
      <c r="D4526" s="4" t="str" cm="1">
        <f t="array" ref="D4526">IFERROR(INDEX(EmployeeData[Department], ROW() - 37), "")</f>
        <v/>
      </c>
      <c r="E4526" s="4" t="str" cm="1">
        <f t="array" ref="E4526">IFERROR(INDEX(EmployeeData[Gender], ROW() - 37), "")</f>
        <v/>
      </c>
      <c r="F4526" s="4" t="str" cm="1">
        <f t="array" ref="F4526">IFERROR(INDEX(EmployeeData[Age], ROW() - 37), "")</f>
        <v/>
      </c>
      <c r="G4526" s="6" t="str" cm="1">
        <f t="array" ref="G4526">IFERROR(INDEX(EmployeeData[Join Date], ROW() - 37), "")</f>
        <v/>
      </c>
      <c r="H4526" s="6" t="str" cm="1">
        <f t="array" ref="H4526">IFERROR(IF(INDEX(EmployeeData[Exit Date], ROW() - 37)=0, "",INDEX(EmployeeData[Exit Date], ROW() - 37)),"")</f>
        <v/>
      </c>
      <c r="I4526" s="4" t="str" cm="1">
        <f t="array" ref="I4526">IFERROR(IF(INDEX(EmployeeData[Exit Reason], ROW() - 37)=0, "",INDEX(EmployeeData[Exit Reason], ROW() - 37)),"")</f>
        <v/>
      </c>
      <c r="J4526" s="4" t="str" cm="1">
        <f t="array" ref="J4526">IFERROR(INDEX(EmployeeData[Status], ROW() - 37), "")</f>
        <v/>
      </c>
    </row>
    <row r="4527" spans="2:10" ht="19.95" customHeight="1" x14ac:dyDescent="0.3">
      <c r="B4527" s="4" t="str" cm="1">
        <f t="array" ref="B4527">IFERROR(INDEX(EmployeeData[Employee ID], ROW() - 37), "")</f>
        <v/>
      </c>
      <c r="C4527" s="4" t="str" cm="1">
        <f t="array" ref="C4527">IFERROR(INDEX(EmployeeData[Full Name], ROW() - 37), "")</f>
        <v/>
      </c>
      <c r="D4527" s="4" t="str" cm="1">
        <f t="array" ref="D4527">IFERROR(INDEX(EmployeeData[Department], ROW() - 37), "")</f>
        <v/>
      </c>
      <c r="E4527" s="4" t="str" cm="1">
        <f t="array" ref="E4527">IFERROR(INDEX(EmployeeData[Gender], ROW() - 37), "")</f>
        <v/>
      </c>
      <c r="F4527" s="4" t="str" cm="1">
        <f t="array" ref="F4527">IFERROR(INDEX(EmployeeData[Age], ROW() - 37), "")</f>
        <v/>
      </c>
      <c r="G4527" s="6" t="str" cm="1">
        <f t="array" ref="G4527">IFERROR(INDEX(EmployeeData[Join Date], ROW() - 37), "")</f>
        <v/>
      </c>
      <c r="H4527" s="6" t="str" cm="1">
        <f t="array" ref="H4527">IFERROR(IF(INDEX(EmployeeData[Exit Date], ROW() - 37)=0, "",INDEX(EmployeeData[Exit Date], ROW() - 37)),"")</f>
        <v/>
      </c>
      <c r="I4527" s="4" t="str" cm="1">
        <f t="array" ref="I4527">IFERROR(IF(INDEX(EmployeeData[Exit Reason], ROW() - 37)=0, "",INDEX(EmployeeData[Exit Reason], ROW() - 37)),"")</f>
        <v/>
      </c>
      <c r="J4527" s="4" t="str" cm="1">
        <f t="array" ref="J4527">IFERROR(INDEX(EmployeeData[Status], ROW() - 37), "")</f>
        <v/>
      </c>
    </row>
    <row r="4528" spans="2:10" ht="19.95" customHeight="1" x14ac:dyDescent="0.3">
      <c r="B4528" s="4" t="str" cm="1">
        <f t="array" ref="B4528">IFERROR(INDEX(EmployeeData[Employee ID], ROW() - 37), "")</f>
        <v/>
      </c>
      <c r="C4528" s="4" t="str" cm="1">
        <f t="array" ref="C4528">IFERROR(INDEX(EmployeeData[Full Name], ROW() - 37), "")</f>
        <v/>
      </c>
      <c r="D4528" s="4" t="str" cm="1">
        <f t="array" ref="D4528">IFERROR(INDEX(EmployeeData[Department], ROW() - 37), "")</f>
        <v/>
      </c>
      <c r="E4528" s="4" t="str" cm="1">
        <f t="array" ref="E4528">IFERROR(INDEX(EmployeeData[Gender], ROW() - 37), "")</f>
        <v/>
      </c>
      <c r="F4528" s="4" t="str" cm="1">
        <f t="array" ref="F4528">IFERROR(INDEX(EmployeeData[Age], ROW() - 37), "")</f>
        <v/>
      </c>
      <c r="G4528" s="6" t="str" cm="1">
        <f t="array" ref="G4528">IFERROR(INDEX(EmployeeData[Join Date], ROW() - 37), "")</f>
        <v/>
      </c>
      <c r="H4528" s="6" t="str" cm="1">
        <f t="array" ref="H4528">IFERROR(IF(INDEX(EmployeeData[Exit Date], ROW() - 37)=0, "",INDEX(EmployeeData[Exit Date], ROW() - 37)),"")</f>
        <v/>
      </c>
      <c r="I4528" s="4" t="str" cm="1">
        <f t="array" ref="I4528">IFERROR(IF(INDEX(EmployeeData[Exit Reason], ROW() - 37)=0, "",INDEX(EmployeeData[Exit Reason], ROW() - 37)),"")</f>
        <v/>
      </c>
      <c r="J4528" s="4" t="str" cm="1">
        <f t="array" ref="J4528">IFERROR(INDEX(EmployeeData[Status], ROW() - 37), "")</f>
        <v/>
      </c>
    </row>
    <row r="4529" spans="2:10" ht="19.95" customHeight="1" x14ac:dyDescent="0.3">
      <c r="B4529" s="4" t="str" cm="1">
        <f t="array" ref="B4529">IFERROR(INDEX(EmployeeData[Employee ID], ROW() - 37), "")</f>
        <v/>
      </c>
      <c r="C4529" s="4" t="str" cm="1">
        <f t="array" ref="C4529">IFERROR(INDEX(EmployeeData[Full Name], ROW() - 37), "")</f>
        <v/>
      </c>
      <c r="D4529" s="4" t="str" cm="1">
        <f t="array" ref="D4529">IFERROR(INDEX(EmployeeData[Department], ROW() - 37), "")</f>
        <v/>
      </c>
      <c r="E4529" s="4" t="str" cm="1">
        <f t="array" ref="E4529">IFERROR(INDEX(EmployeeData[Gender], ROW() - 37), "")</f>
        <v/>
      </c>
      <c r="F4529" s="4" t="str" cm="1">
        <f t="array" ref="F4529">IFERROR(INDEX(EmployeeData[Age], ROW() - 37), "")</f>
        <v/>
      </c>
      <c r="G4529" s="6" t="str" cm="1">
        <f t="array" ref="G4529">IFERROR(INDEX(EmployeeData[Join Date], ROW() - 37), "")</f>
        <v/>
      </c>
      <c r="H4529" s="6" t="str" cm="1">
        <f t="array" ref="H4529">IFERROR(IF(INDEX(EmployeeData[Exit Date], ROW() - 37)=0, "",INDEX(EmployeeData[Exit Date], ROW() - 37)),"")</f>
        <v/>
      </c>
      <c r="I4529" s="4" t="str" cm="1">
        <f t="array" ref="I4529">IFERROR(IF(INDEX(EmployeeData[Exit Reason], ROW() - 37)=0, "",INDEX(EmployeeData[Exit Reason], ROW() - 37)),"")</f>
        <v/>
      </c>
      <c r="J4529" s="4" t="str" cm="1">
        <f t="array" ref="J4529">IFERROR(INDEX(EmployeeData[Status], ROW() - 37), "")</f>
        <v/>
      </c>
    </row>
    <row r="4530" spans="2:10" ht="19.95" customHeight="1" x14ac:dyDescent="0.3">
      <c r="B4530" s="4" t="str" cm="1">
        <f t="array" ref="B4530">IFERROR(INDEX(EmployeeData[Employee ID], ROW() - 37), "")</f>
        <v/>
      </c>
      <c r="C4530" s="4" t="str" cm="1">
        <f t="array" ref="C4530">IFERROR(INDEX(EmployeeData[Full Name], ROW() - 37), "")</f>
        <v/>
      </c>
      <c r="D4530" s="4" t="str" cm="1">
        <f t="array" ref="D4530">IFERROR(INDEX(EmployeeData[Department], ROW() - 37), "")</f>
        <v/>
      </c>
      <c r="E4530" s="4" t="str" cm="1">
        <f t="array" ref="E4530">IFERROR(INDEX(EmployeeData[Gender], ROW() - 37), "")</f>
        <v/>
      </c>
      <c r="F4530" s="4" t="str" cm="1">
        <f t="array" ref="F4530">IFERROR(INDEX(EmployeeData[Age], ROW() - 37), "")</f>
        <v/>
      </c>
      <c r="G4530" s="6" t="str" cm="1">
        <f t="array" ref="G4530">IFERROR(INDEX(EmployeeData[Join Date], ROW() - 37), "")</f>
        <v/>
      </c>
      <c r="H4530" s="6" t="str" cm="1">
        <f t="array" ref="H4530">IFERROR(IF(INDEX(EmployeeData[Exit Date], ROW() - 37)=0, "",INDEX(EmployeeData[Exit Date], ROW() - 37)),"")</f>
        <v/>
      </c>
      <c r="I4530" s="4" t="str" cm="1">
        <f t="array" ref="I4530">IFERROR(IF(INDEX(EmployeeData[Exit Reason], ROW() - 37)=0, "",INDEX(EmployeeData[Exit Reason], ROW() - 37)),"")</f>
        <v/>
      </c>
      <c r="J4530" s="4" t="str" cm="1">
        <f t="array" ref="J4530">IFERROR(INDEX(EmployeeData[Status], ROW() - 37), "")</f>
        <v/>
      </c>
    </row>
    <row r="4531" spans="2:10" ht="19.95" customHeight="1" x14ac:dyDescent="0.3">
      <c r="B4531" s="4" t="str" cm="1">
        <f t="array" ref="B4531">IFERROR(INDEX(EmployeeData[Employee ID], ROW() - 37), "")</f>
        <v/>
      </c>
      <c r="C4531" s="4" t="str" cm="1">
        <f t="array" ref="C4531">IFERROR(INDEX(EmployeeData[Full Name], ROW() - 37), "")</f>
        <v/>
      </c>
      <c r="D4531" s="4" t="str" cm="1">
        <f t="array" ref="D4531">IFERROR(INDEX(EmployeeData[Department], ROW() - 37), "")</f>
        <v/>
      </c>
      <c r="E4531" s="4" t="str" cm="1">
        <f t="array" ref="E4531">IFERROR(INDEX(EmployeeData[Gender], ROW() - 37), "")</f>
        <v/>
      </c>
      <c r="F4531" s="4" t="str" cm="1">
        <f t="array" ref="F4531">IFERROR(INDEX(EmployeeData[Age], ROW() - 37), "")</f>
        <v/>
      </c>
      <c r="G4531" s="6" t="str" cm="1">
        <f t="array" ref="G4531">IFERROR(INDEX(EmployeeData[Join Date], ROW() - 37), "")</f>
        <v/>
      </c>
      <c r="H4531" s="6" t="str" cm="1">
        <f t="array" ref="H4531">IFERROR(IF(INDEX(EmployeeData[Exit Date], ROW() - 37)=0, "",INDEX(EmployeeData[Exit Date], ROW() - 37)),"")</f>
        <v/>
      </c>
      <c r="I4531" s="4" t="str" cm="1">
        <f t="array" ref="I4531">IFERROR(IF(INDEX(EmployeeData[Exit Reason], ROW() - 37)=0, "",INDEX(EmployeeData[Exit Reason], ROW() - 37)),"")</f>
        <v/>
      </c>
      <c r="J4531" s="4" t="str" cm="1">
        <f t="array" ref="J4531">IFERROR(INDEX(EmployeeData[Status], ROW() - 37), "")</f>
        <v/>
      </c>
    </row>
    <row r="4532" spans="2:10" ht="19.95" customHeight="1" x14ac:dyDescent="0.3">
      <c r="B4532" s="4" t="str" cm="1">
        <f t="array" ref="B4532">IFERROR(INDEX(EmployeeData[Employee ID], ROW() - 37), "")</f>
        <v/>
      </c>
      <c r="C4532" s="4" t="str" cm="1">
        <f t="array" ref="C4532">IFERROR(INDEX(EmployeeData[Full Name], ROW() - 37), "")</f>
        <v/>
      </c>
      <c r="D4532" s="4" t="str" cm="1">
        <f t="array" ref="D4532">IFERROR(INDEX(EmployeeData[Department], ROW() - 37), "")</f>
        <v/>
      </c>
      <c r="E4532" s="4" t="str" cm="1">
        <f t="array" ref="E4532">IFERROR(INDEX(EmployeeData[Gender], ROW() - 37), "")</f>
        <v/>
      </c>
      <c r="F4532" s="4" t="str" cm="1">
        <f t="array" ref="F4532">IFERROR(INDEX(EmployeeData[Age], ROW() - 37), "")</f>
        <v/>
      </c>
      <c r="G4532" s="6" t="str" cm="1">
        <f t="array" ref="G4532">IFERROR(INDEX(EmployeeData[Join Date], ROW() - 37), "")</f>
        <v/>
      </c>
      <c r="H4532" s="6" t="str" cm="1">
        <f t="array" ref="H4532">IFERROR(IF(INDEX(EmployeeData[Exit Date], ROW() - 37)=0, "",INDEX(EmployeeData[Exit Date], ROW() - 37)),"")</f>
        <v/>
      </c>
      <c r="I4532" s="4" t="str" cm="1">
        <f t="array" ref="I4532">IFERROR(IF(INDEX(EmployeeData[Exit Reason], ROW() - 37)=0, "",INDEX(EmployeeData[Exit Reason], ROW() - 37)),"")</f>
        <v/>
      </c>
      <c r="J4532" s="4" t="str" cm="1">
        <f t="array" ref="J4532">IFERROR(INDEX(EmployeeData[Status], ROW() - 37), "")</f>
        <v/>
      </c>
    </row>
    <row r="4533" spans="2:10" ht="19.95" customHeight="1" x14ac:dyDescent="0.3">
      <c r="B4533" s="4" t="str" cm="1">
        <f t="array" ref="B4533">IFERROR(INDEX(EmployeeData[Employee ID], ROW() - 37), "")</f>
        <v/>
      </c>
      <c r="C4533" s="4" t="str" cm="1">
        <f t="array" ref="C4533">IFERROR(INDEX(EmployeeData[Full Name], ROW() - 37), "")</f>
        <v/>
      </c>
      <c r="D4533" s="4" t="str" cm="1">
        <f t="array" ref="D4533">IFERROR(INDEX(EmployeeData[Department], ROW() - 37), "")</f>
        <v/>
      </c>
      <c r="E4533" s="4" t="str" cm="1">
        <f t="array" ref="E4533">IFERROR(INDEX(EmployeeData[Gender], ROW() - 37), "")</f>
        <v/>
      </c>
      <c r="F4533" s="4" t="str" cm="1">
        <f t="array" ref="F4533">IFERROR(INDEX(EmployeeData[Age], ROW() - 37), "")</f>
        <v/>
      </c>
      <c r="G4533" s="6" t="str" cm="1">
        <f t="array" ref="G4533">IFERROR(INDEX(EmployeeData[Join Date], ROW() - 37), "")</f>
        <v/>
      </c>
      <c r="H4533" s="6" t="str" cm="1">
        <f t="array" ref="H4533">IFERROR(IF(INDEX(EmployeeData[Exit Date], ROW() - 37)=0, "",INDEX(EmployeeData[Exit Date], ROW() - 37)),"")</f>
        <v/>
      </c>
      <c r="I4533" s="4" t="str" cm="1">
        <f t="array" ref="I4533">IFERROR(IF(INDEX(EmployeeData[Exit Reason], ROW() - 37)=0, "",INDEX(EmployeeData[Exit Reason], ROW() - 37)),"")</f>
        <v/>
      </c>
      <c r="J4533" s="4" t="str" cm="1">
        <f t="array" ref="J4533">IFERROR(INDEX(EmployeeData[Status], ROW() - 37), "")</f>
        <v/>
      </c>
    </row>
    <row r="4534" spans="2:10" ht="19.95" customHeight="1" x14ac:dyDescent="0.3">
      <c r="B4534" s="4" t="str" cm="1">
        <f t="array" ref="B4534">IFERROR(INDEX(EmployeeData[Employee ID], ROW() - 37), "")</f>
        <v/>
      </c>
      <c r="C4534" s="4" t="str" cm="1">
        <f t="array" ref="C4534">IFERROR(INDEX(EmployeeData[Full Name], ROW() - 37), "")</f>
        <v/>
      </c>
      <c r="D4534" s="4" t="str" cm="1">
        <f t="array" ref="D4534">IFERROR(INDEX(EmployeeData[Department], ROW() - 37), "")</f>
        <v/>
      </c>
      <c r="E4534" s="4" t="str" cm="1">
        <f t="array" ref="E4534">IFERROR(INDEX(EmployeeData[Gender], ROW() - 37), "")</f>
        <v/>
      </c>
      <c r="F4534" s="4" t="str" cm="1">
        <f t="array" ref="F4534">IFERROR(INDEX(EmployeeData[Age], ROW() - 37), "")</f>
        <v/>
      </c>
      <c r="G4534" s="6" t="str" cm="1">
        <f t="array" ref="G4534">IFERROR(INDEX(EmployeeData[Join Date], ROW() - 37), "")</f>
        <v/>
      </c>
      <c r="H4534" s="6" t="str" cm="1">
        <f t="array" ref="H4534">IFERROR(IF(INDEX(EmployeeData[Exit Date], ROW() - 37)=0, "",INDEX(EmployeeData[Exit Date], ROW() - 37)),"")</f>
        <v/>
      </c>
      <c r="I4534" s="4" t="str" cm="1">
        <f t="array" ref="I4534">IFERROR(IF(INDEX(EmployeeData[Exit Reason], ROW() - 37)=0, "",INDEX(EmployeeData[Exit Reason], ROW() - 37)),"")</f>
        <v/>
      </c>
      <c r="J4534" s="4" t="str" cm="1">
        <f t="array" ref="J4534">IFERROR(INDEX(EmployeeData[Status], ROW() - 37), "")</f>
        <v/>
      </c>
    </row>
    <row r="4535" spans="2:10" ht="19.95" customHeight="1" x14ac:dyDescent="0.3">
      <c r="B4535" s="4" t="str" cm="1">
        <f t="array" ref="B4535">IFERROR(INDEX(EmployeeData[Employee ID], ROW() - 37), "")</f>
        <v/>
      </c>
      <c r="C4535" s="4" t="str" cm="1">
        <f t="array" ref="C4535">IFERROR(INDEX(EmployeeData[Full Name], ROW() - 37), "")</f>
        <v/>
      </c>
      <c r="D4535" s="4" t="str" cm="1">
        <f t="array" ref="D4535">IFERROR(INDEX(EmployeeData[Department], ROW() - 37), "")</f>
        <v/>
      </c>
      <c r="E4535" s="4" t="str" cm="1">
        <f t="array" ref="E4535">IFERROR(INDEX(EmployeeData[Gender], ROW() - 37), "")</f>
        <v/>
      </c>
      <c r="F4535" s="4" t="str" cm="1">
        <f t="array" ref="F4535">IFERROR(INDEX(EmployeeData[Age], ROW() - 37), "")</f>
        <v/>
      </c>
      <c r="G4535" s="6" t="str" cm="1">
        <f t="array" ref="G4535">IFERROR(INDEX(EmployeeData[Join Date], ROW() - 37), "")</f>
        <v/>
      </c>
      <c r="H4535" s="6" t="str" cm="1">
        <f t="array" ref="H4535">IFERROR(IF(INDEX(EmployeeData[Exit Date], ROW() - 37)=0, "",INDEX(EmployeeData[Exit Date], ROW() - 37)),"")</f>
        <v/>
      </c>
      <c r="I4535" s="4" t="str" cm="1">
        <f t="array" ref="I4535">IFERROR(IF(INDEX(EmployeeData[Exit Reason], ROW() - 37)=0, "",INDEX(EmployeeData[Exit Reason], ROW() - 37)),"")</f>
        <v/>
      </c>
      <c r="J4535" s="4" t="str" cm="1">
        <f t="array" ref="J4535">IFERROR(INDEX(EmployeeData[Status], ROW() - 37), "")</f>
        <v/>
      </c>
    </row>
    <row r="4536" spans="2:10" ht="19.95" customHeight="1" x14ac:dyDescent="0.3">
      <c r="B4536" s="4" t="str" cm="1">
        <f t="array" ref="B4536">IFERROR(INDEX(EmployeeData[Employee ID], ROW() - 37), "")</f>
        <v/>
      </c>
      <c r="C4536" s="4" t="str" cm="1">
        <f t="array" ref="C4536">IFERROR(INDEX(EmployeeData[Full Name], ROW() - 37), "")</f>
        <v/>
      </c>
      <c r="D4536" s="4" t="str" cm="1">
        <f t="array" ref="D4536">IFERROR(INDEX(EmployeeData[Department], ROW() - 37), "")</f>
        <v/>
      </c>
      <c r="E4536" s="4" t="str" cm="1">
        <f t="array" ref="E4536">IFERROR(INDEX(EmployeeData[Gender], ROW() - 37), "")</f>
        <v/>
      </c>
      <c r="F4536" s="4" t="str" cm="1">
        <f t="array" ref="F4536">IFERROR(INDEX(EmployeeData[Age], ROW() - 37), "")</f>
        <v/>
      </c>
      <c r="G4536" s="6" t="str" cm="1">
        <f t="array" ref="G4536">IFERROR(INDEX(EmployeeData[Join Date], ROW() - 37), "")</f>
        <v/>
      </c>
      <c r="H4536" s="6" t="str" cm="1">
        <f t="array" ref="H4536">IFERROR(IF(INDEX(EmployeeData[Exit Date], ROW() - 37)=0, "",INDEX(EmployeeData[Exit Date], ROW() - 37)),"")</f>
        <v/>
      </c>
      <c r="I4536" s="4" t="str" cm="1">
        <f t="array" ref="I4536">IFERROR(IF(INDEX(EmployeeData[Exit Reason], ROW() - 37)=0, "",INDEX(EmployeeData[Exit Reason], ROW() - 37)),"")</f>
        <v/>
      </c>
      <c r="J4536" s="4" t="str" cm="1">
        <f t="array" ref="J4536">IFERROR(INDEX(EmployeeData[Status], ROW() - 37), "")</f>
        <v/>
      </c>
    </row>
    <row r="4537" spans="2:10" ht="19.95" customHeight="1" x14ac:dyDescent="0.3">
      <c r="B4537" s="4" t="str" cm="1">
        <f t="array" ref="B4537">IFERROR(INDEX(EmployeeData[Employee ID], ROW() - 37), "")</f>
        <v/>
      </c>
      <c r="C4537" s="4" t="str" cm="1">
        <f t="array" ref="C4537">IFERROR(INDEX(EmployeeData[Full Name], ROW() - 37), "")</f>
        <v/>
      </c>
      <c r="D4537" s="4" t="str" cm="1">
        <f t="array" ref="D4537">IFERROR(INDEX(EmployeeData[Department], ROW() - 37), "")</f>
        <v/>
      </c>
      <c r="E4537" s="4" t="str" cm="1">
        <f t="array" ref="E4537">IFERROR(INDEX(EmployeeData[Gender], ROW() - 37), "")</f>
        <v/>
      </c>
      <c r="F4537" s="4" t="str" cm="1">
        <f t="array" ref="F4537">IFERROR(INDEX(EmployeeData[Age], ROW() - 37), "")</f>
        <v/>
      </c>
      <c r="G4537" s="6" t="str" cm="1">
        <f t="array" ref="G4537">IFERROR(INDEX(EmployeeData[Join Date], ROW() - 37), "")</f>
        <v/>
      </c>
      <c r="H4537" s="6" t="str" cm="1">
        <f t="array" ref="H4537">IFERROR(IF(INDEX(EmployeeData[Exit Date], ROW() - 37)=0, "",INDEX(EmployeeData[Exit Date], ROW() - 37)),"")</f>
        <v/>
      </c>
      <c r="I4537" s="4" t="str" cm="1">
        <f t="array" ref="I4537">IFERROR(IF(INDEX(EmployeeData[Exit Reason], ROW() - 37)=0, "",INDEX(EmployeeData[Exit Reason], ROW() - 37)),"")</f>
        <v/>
      </c>
      <c r="J4537" s="4" t="str" cm="1">
        <f t="array" ref="J4537">IFERROR(INDEX(EmployeeData[Status], ROW() - 37), "")</f>
        <v/>
      </c>
    </row>
    <row r="4538" spans="2:10" ht="19.95" customHeight="1" x14ac:dyDescent="0.3">
      <c r="B4538" s="4" t="str" cm="1">
        <f t="array" ref="B4538">IFERROR(INDEX(EmployeeData[Employee ID], ROW() - 37), "")</f>
        <v/>
      </c>
      <c r="C4538" s="4" t="str" cm="1">
        <f t="array" ref="C4538">IFERROR(INDEX(EmployeeData[Full Name], ROW() - 37), "")</f>
        <v/>
      </c>
      <c r="D4538" s="4" t="str" cm="1">
        <f t="array" ref="D4538">IFERROR(INDEX(EmployeeData[Department], ROW() - 37), "")</f>
        <v/>
      </c>
      <c r="E4538" s="4" t="str" cm="1">
        <f t="array" ref="E4538">IFERROR(INDEX(EmployeeData[Gender], ROW() - 37), "")</f>
        <v/>
      </c>
      <c r="F4538" s="4" t="str" cm="1">
        <f t="array" ref="F4538">IFERROR(INDEX(EmployeeData[Age], ROW() - 37), "")</f>
        <v/>
      </c>
      <c r="G4538" s="6" t="str" cm="1">
        <f t="array" ref="G4538">IFERROR(INDEX(EmployeeData[Join Date], ROW() - 37), "")</f>
        <v/>
      </c>
      <c r="H4538" s="6" t="str" cm="1">
        <f t="array" ref="H4538">IFERROR(IF(INDEX(EmployeeData[Exit Date], ROW() - 37)=0, "",INDEX(EmployeeData[Exit Date], ROW() - 37)),"")</f>
        <v/>
      </c>
      <c r="I4538" s="4" t="str" cm="1">
        <f t="array" ref="I4538">IFERROR(IF(INDEX(EmployeeData[Exit Reason], ROW() - 37)=0, "",INDEX(EmployeeData[Exit Reason], ROW() - 37)),"")</f>
        <v/>
      </c>
      <c r="J4538" s="4" t="str" cm="1">
        <f t="array" ref="J4538">IFERROR(INDEX(EmployeeData[Status], ROW() - 37), "")</f>
        <v/>
      </c>
    </row>
    <row r="4539" spans="2:10" ht="19.95" customHeight="1" x14ac:dyDescent="0.3">
      <c r="B4539" s="4" t="str" cm="1">
        <f t="array" ref="B4539">IFERROR(INDEX(EmployeeData[Employee ID], ROW() - 37), "")</f>
        <v/>
      </c>
      <c r="C4539" s="4" t="str" cm="1">
        <f t="array" ref="C4539">IFERROR(INDEX(EmployeeData[Full Name], ROW() - 37), "")</f>
        <v/>
      </c>
      <c r="D4539" s="4" t="str" cm="1">
        <f t="array" ref="D4539">IFERROR(INDEX(EmployeeData[Department], ROW() - 37), "")</f>
        <v/>
      </c>
      <c r="E4539" s="4" t="str" cm="1">
        <f t="array" ref="E4539">IFERROR(INDEX(EmployeeData[Gender], ROW() - 37), "")</f>
        <v/>
      </c>
      <c r="F4539" s="4" t="str" cm="1">
        <f t="array" ref="F4539">IFERROR(INDEX(EmployeeData[Age], ROW() - 37), "")</f>
        <v/>
      </c>
      <c r="G4539" s="6" t="str" cm="1">
        <f t="array" ref="G4539">IFERROR(INDEX(EmployeeData[Join Date], ROW() - 37), "")</f>
        <v/>
      </c>
      <c r="H4539" s="6" t="str" cm="1">
        <f t="array" ref="H4539">IFERROR(IF(INDEX(EmployeeData[Exit Date], ROW() - 37)=0, "",INDEX(EmployeeData[Exit Date], ROW() - 37)),"")</f>
        <v/>
      </c>
      <c r="I4539" s="4" t="str" cm="1">
        <f t="array" ref="I4539">IFERROR(IF(INDEX(EmployeeData[Exit Reason], ROW() - 37)=0, "",INDEX(EmployeeData[Exit Reason], ROW() - 37)),"")</f>
        <v/>
      </c>
      <c r="J4539" s="4" t="str" cm="1">
        <f t="array" ref="J4539">IFERROR(INDEX(EmployeeData[Status], ROW() - 37), "")</f>
        <v/>
      </c>
    </row>
    <row r="4540" spans="2:10" ht="19.95" customHeight="1" x14ac:dyDescent="0.3">
      <c r="B4540" s="4" t="str" cm="1">
        <f t="array" ref="B4540">IFERROR(INDEX(EmployeeData[Employee ID], ROW() - 37), "")</f>
        <v/>
      </c>
      <c r="C4540" s="4" t="str" cm="1">
        <f t="array" ref="C4540">IFERROR(INDEX(EmployeeData[Full Name], ROW() - 37), "")</f>
        <v/>
      </c>
      <c r="D4540" s="4" t="str" cm="1">
        <f t="array" ref="D4540">IFERROR(INDEX(EmployeeData[Department], ROW() - 37), "")</f>
        <v/>
      </c>
      <c r="E4540" s="4" t="str" cm="1">
        <f t="array" ref="E4540">IFERROR(INDEX(EmployeeData[Gender], ROW() - 37), "")</f>
        <v/>
      </c>
      <c r="F4540" s="4" t="str" cm="1">
        <f t="array" ref="F4540">IFERROR(INDEX(EmployeeData[Age], ROW() - 37), "")</f>
        <v/>
      </c>
      <c r="G4540" s="6" t="str" cm="1">
        <f t="array" ref="G4540">IFERROR(INDEX(EmployeeData[Join Date], ROW() - 37), "")</f>
        <v/>
      </c>
      <c r="H4540" s="6" t="str" cm="1">
        <f t="array" ref="H4540">IFERROR(IF(INDEX(EmployeeData[Exit Date], ROW() - 37)=0, "",INDEX(EmployeeData[Exit Date], ROW() - 37)),"")</f>
        <v/>
      </c>
      <c r="I4540" s="4" t="str" cm="1">
        <f t="array" ref="I4540">IFERROR(IF(INDEX(EmployeeData[Exit Reason], ROW() - 37)=0, "",INDEX(EmployeeData[Exit Reason], ROW() - 37)),"")</f>
        <v/>
      </c>
      <c r="J4540" s="4" t="str" cm="1">
        <f t="array" ref="J4540">IFERROR(INDEX(EmployeeData[Status], ROW() - 37), "")</f>
        <v/>
      </c>
    </row>
    <row r="4541" spans="2:10" ht="19.95" customHeight="1" x14ac:dyDescent="0.3">
      <c r="B4541" s="4" t="str" cm="1">
        <f t="array" ref="B4541">IFERROR(INDEX(EmployeeData[Employee ID], ROW() - 37), "")</f>
        <v/>
      </c>
      <c r="C4541" s="4" t="str" cm="1">
        <f t="array" ref="C4541">IFERROR(INDEX(EmployeeData[Full Name], ROW() - 37), "")</f>
        <v/>
      </c>
      <c r="D4541" s="4" t="str" cm="1">
        <f t="array" ref="D4541">IFERROR(INDEX(EmployeeData[Department], ROW() - 37), "")</f>
        <v/>
      </c>
      <c r="E4541" s="4" t="str" cm="1">
        <f t="array" ref="E4541">IFERROR(INDEX(EmployeeData[Gender], ROW() - 37), "")</f>
        <v/>
      </c>
      <c r="F4541" s="4" t="str" cm="1">
        <f t="array" ref="F4541">IFERROR(INDEX(EmployeeData[Age], ROW() - 37), "")</f>
        <v/>
      </c>
      <c r="G4541" s="6" t="str" cm="1">
        <f t="array" ref="G4541">IFERROR(INDEX(EmployeeData[Join Date], ROW() - 37), "")</f>
        <v/>
      </c>
      <c r="H4541" s="6" t="str" cm="1">
        <f t="array" ref="H4541">IFERROR(IF(INDEX(EmployeeData[Exit Date], ROW() - 37)=0, "",INDEX(EmployeeData[Exit Date], ROW() - 37)),"")</f>
        <v/>
      </c>
      <c r="I4541" s="4" t="str" cm="1">
        <f t="array" ref="I4541">IFERROR(IF(INDEX(EmployeeData[Exit Reason], ROW() - 37)=0, "",INDEX(EmployeeData[Exit Reason], ROW() - 37)),"")</f>
        <v/>
      </c>
      <c r="J4541" s="4" t="str" cm="1">
        <f t="array" ref="J4541">IFERROR(INDEX(EmployeeData[Status], ROW() - 37), "")</f>
        <v/>
      </c>
    </row>
    <row r="4542" spans="2:10" ht="19.95" customHeight="1" x14ac:dyDescent="0.3">
      <c r="B4542" s="4" t="str" cm="1">
        <f t="array" ref="B4542">IFERROR(INDEX(EmployeeData[Employee ID], ROW() - 37), "")</f>
        <v/>
      </c>
      <c r="C4542" s="4" t="str" cm="1">
        <f t="array" ref="C4542">IFERROR(INDEX(EmployeeData[Full Name], ROW() - 37), "")</f>
        <v/>
      </c>
      <c r="D4542" s="4" t="str" cm="1">
        <f t="array" ref="D4542">IFERROR(INDEX(EmployeeData[Department], ROW() - 37), "")</f>
        <v/>
      </c>
      <c r="E4542" s="4" t="str" cm="1">
        <f t="array" ref="E4542">IFERROR(INDEX(EmployeeData[Gender], ROW() - 37), "")</f>
        <v/>
      </c>
      <c r="F4542" s="4" t="str" cm="1">
        <f t="array" ref="F4542">IFERROR(INDEX(EmployeeData[Age], ROW() - 37), "")</f>
        <v/>
      </c>
      <c r="G4542" s="6" t="str" cm="1">
        <f t="array" ref="G4542">IFERROR(INDEX(EmployeeData[Join Date], ROW() - 37), "")</f>
        <v/>
      </c>
      <c r="H4542" s="6" t="str" cm="1">
        <f t="array" ref="H4542">IFERROR(IF(INDEX(EmployeeData[Exit Date], ROW() - 37)=0, "",INDEX(EmployeeData[Exit Date], ROW() - 37)),"")</f>
        <v/>
      </c>
      <c r="I4542" s="4" t="str" cm="1">
        <f t="array" ref="I4542">IFERROR(IF(INDEX(EmployeeData[Exit Reason], ROW() - 37)=0, "",INDEX(EmployeeData[Exit Reason], ROW() - 37)),"")</f>
        <v/>
      </c>
      <c r="J4542" s="4" t="str" cm="1">
        <f t="array" ref="J4542">IFERROR(INDEX(EmployeeData[Status], ROW() - 37), "")</f>
        <v/>
      </c>
    </row>
    <row r="4543" spans="2:10" ht="19.95" customHeight="1" x14ac:dyDescent="0.3">
      <c r="B4543" s="4" t="str" cm="1">
        <f t="array" ref="B4543">IFERROR(INDEX(EmployeeData[Employee ID], ROW() - 37), "")</f>
        <v/>
      </c>
      <c r="C4543" s="4" t="str" cm="1">
        <f t="array" ref="C4543">IFERROR(INDEX(EmployeeData[Full Name], ROW() - 37), "")</f>
        <v/>
      </c>
      <c r="D4543" s="4" t="str" cm="1">
        <f t="array" ref="D4543">IFERROR(INDEX(EmployeeData[Department], ROW() - 37), "")</f>
        <v/>
      </c>
      <c r="E4543" s="4" t="str" cm="1">
        <f t="array" ref="E4543">IFERROR(INDEX(EmployeeData[Gender], ROW() - 37), "")</f>
        <v/>
      </c>
      <c r="F4543" s="4" t="str" cm="1">
        <f t="array" ref="F4543">IFERROR(INDEX(EmployeeData[Age], ROW() - 37), "")</f>
        <v/>
      </c>
      <c r="G4543" s="6" t="str" cm="1">
        <f t="array" ref="G4543">IFERROR(INDEX(EmployeeData[Join Date], ROW() - 37), "")</f>
        <v/>
      </c>
      <c r="H4543" s="6" t="str" cm="1">
        <f t="array" ref="H4543">IFERROR(IF(INDEX(EmployeeData[Exit Date], ROW() - 37)=0, "",INDEX(EmployeeData[Exit Date], ROW() - 37)),"")</f>
        <v/>
      </c>
      <c r="I4543" s="4" t="str" cm="1">
        <f t="array" ref="I4543">IFERROR(IF(INDEX(EmployeeData[Exit Reason], ROW() - 37)=0, "",INDEX(EmployeeData[Exit Reason], ROW() - 37)),"")</f>
        <v/>
      </c>
      <c r="J4543" s="4" t="str" cm="1">
        <f t="array" ref="J4543">IFERROR(INDEX(EmployeeData[Status], ROW() - 37), "")</f>
        <v/>
      </c>
    </row>
    <row r="4544" spans="2:10" ht="19.95" customHeight="1" x14ac:dyDescent="0.3">
      <c r="B4544" s="4" t="str" cm="1">
        <f t="array" ref="B4544">IFERROR(INDEX(EmployeeData[Employee ID], ROW() - 37), "")</f>
        <v/>
      </c>
      <c r="C4544" s="4" t="str" cm="1">
        <f t="array" ref="C4544">IFERROR(INDEX(EmployeeData[Full Name], ROW() - 37), "")</f>
        <v/>
      </c>
      <c r="D4544" s="4" t="str" cm="1">
        <f t="array" ref="D4544">IFERROR(INDEX(EmployeeData[Department], ROW() - 37), "")</f>
        <v/>
      </c>
      <c r="E4544" s="4" t="str" cm="1">
        <f t="array" ref="E4544">IFERROR(INDEX(EmployeeData[Gender], ROW() - 37), "")</f>
        <v/>
      </c>
      <c r="F4544" s="4" t="str" cm="1">
        <f t="array" ref="F4544">IFERROR(INDEX(EmployeeData[Age], ROW() - 37), "")</f>
        <v/>
      </c>
      <c r="G4544" s="6" t="str" cm="1">
        <f t="array" ref="G4544">IFERROR(INDEX(EmployeeData[Join Date], ROW() - 37), "")</f>
        <v/>
      </c>
      <c r="H4544" s="6" t="str" cm="1">
        <f t="array" ref="H4544">IFERROR(IF(INDEX(EmployeeData[Exit Date], ROW() - 37)=0, "",INDEX(EmployeeData[Exit Date], ROW() - 37)),"")</f>
        <v/>
      </c>
      <c r="I4544" s="4" t="str" cm="1">
        <f t="array" ref="I4544">IFERROR(IF(INDEX(EmployeeData[Exit Reason], ROW() - 37)=0, "",INDEX(EmployeeData[Exit Reason], ROW() - 37)),"")</f>
        <v/>
      </c>
      <c r="J4544" s="4" t="str" cm="1">
        <f t="array" ref="J4544">IFERROR(INDEX(EmployeeData[Status], ROW() - 37), "")</f>
        <v/>
      </c>
    </row>
    <row r="4545" spans="2:10" ht="19.95" customHeight="1" x14ac:dyDescent="0.3">
      <c r="B4545" s="4" t="str" cm="1">
        <f t="array" ref="B4545">IFERROR(INDEX(EmployeeData[Employee ID], ROW() - 37), "")</f>
        <v/>
      </c>
      <c r="C4545" s="4" t="str" cm="1">
        <f t="array" ref="C4545">IFERROR(INDEX(EmployeeData[Full Name], ROW() - 37), "")</f>
        <v/>
      </c>
      <c r="D4545" s="4" t="str" cm="1">
        <f t="array" ref="D4545">IFERROR(INDEX(EmployeeData[Department], ROW() - 37), "")</f>
        <v/>
      </c>
      <c r="E4545" s="4" t="str" cm="1">
        <f t="array" ref="E4545">IFERROR(INDEX(EmployeeData[Gender], ROW() - 37), "")</f>
        <v/>
      </c>
      <c r="F4545" s="4" t="str" cm="1">
        <f t="array" ref="F4545">IFERROR(INDEX(EmployeeData[Age], ROW() - 37), "")</f>
        <v/>
      </c>
      <c r="G4545" s="6" t="str" cm="1">
        <f t="array" ref="G4545">IFERROR(INDEX(EmployeeData[Join Date], ROW() - 37), "")</f>
        <v/>
      </c>
      <c r="H4545" s="6" t="str" cm="1">
        <f t="array" ref="H4545">IFERROR(IF(INDEX(EmployeeData[Exit Date], ROW() - 37)=0, "",INDEX(EmployeeData[Exit Date], ROW() - 37)),"")</f>
        <v/>
      </c>
      <c r="I4545" s="4" t="str" cm="1">
        <f t="array" ref="I4545">IFERROR(IF(INDEX(EmployeeData[Exit Reason], ROW() - 37)=0, "",INDEX(EmployeeData[Exit Reason], ROW() - 37)),"")</f>
        <v/>
      </c>
      <c r="J4545" s="4" t="str" cm="1">
        <f t="array" ref="J4545">IFERROR(INDEX(EmployeeData[Status], ROW() - 37), "")</f>
        <v/>
      </c>
    </row>
    <row r="4546" spans="2:10" ht="19.95" customHeight="1" x14ac:dyDescent="0.3">
      <c r="B4546" s="4" t="str" cm="1">
        <f t="array" ref="B4546">IFERROR(INDEX(EmployeeData[Employee ID], ROW() - 37), "")</f>
        <v/>
      </c>
      <c r="C4546" s="4" t="str" cm="1">
        <f t="array" ref="C4546">IFERROR(INDEX(EmployeeData[Full Name], ROW() - 37), "")</f>
        <v/>
      </c>
      <c r="D4546" s="4" t="str" cm="1">
        <f t="array" ref="D4546">IFERROR(INDEX(EmployeeData[Department], ROW() - 37), "")</f>
        <v/>
      </c>
      <c r="E4546" s="4" t="str" cm="1">
        <f t="array" ref="E4546">IFERROR(INDEX(EmployeeData[Gender], ROW() - 37), "")</f>
        <v/>
      </c>
      <c r="F4546" s="4" t="str" cm="1">
        <f t="array" ref="F4546">IFERROR(INDEX(EmployeeData[Age], ROW() - 37), "")</f>
        <v/>
      </c>
      <c r="G4546" s="6" t="str" cm="1">
        <f t="array" ref="G4546">IFERROR(INDEX(EmployeeData[Join Date], ROW() - 37), "")</f>
        <v/>
      </c>
      <c r="H4546" s="6" t="str" cm="1">
        <f t="array" ref="H4546">IFERROR(IF(INDEX(EmployeeData[Exit Date], ROW() - 37)=0, "",INDEX(EmployeeData[Exit Date], ROW() - 37)),"")</f>
        <v/>
      </c>
      <c r="I4546" s="4" t="str" cm="1">
        <f t="array" ref="I4546">IFERROR(IF(INDEX(EmployeeData[Exit Reason], ROW() - 37)=0, "",INDEX(EmployeeData[Exit Reason], ROW() - 37)),"")</f>
        <v/>
      </c>
      <c r="J4546" s="4" t="str" cm="1">
        <f t="array" ref="J4546">IFERROR(INDEX(EmployeeData[Status], ROW() - 37), "")</f>
        <v/>
      </c>
    </row>
    <row r="4547" spans="2:10" ht="19.95" customHeight="1" x14ac:dyDescent="0.3">
      <c r="B4547" s="4" t="str" cm="1">
        <f t="array" ref="B4547">IFERROR(INDEX(EmployeeData[Employee ID], ROW() - 37), "")</f>
        <v/>
      </c>
      <c r="C4547" s="4" t="str" cm="1">
        <f t="array" ref="C4547">IFERROR(INDEX(EmployeeData[Full Name], ROW() - 37), "")</f>
        <v/>
      </c>
      <c r="D4547" s="4" t="str" cm="1">
        <f t="array" ref="D4547">IFERROR(INDEX(EmployeeData[Department], ROW() - 37), "")</f>
        <v/>
      </c>
      <c r="E4547" s="4" t="str" cm="1">
        <f t="array" ref="E4547">IFERROR(INDEX(EmployeeData[Gender], ROW() - 37), "")</f>
        <v/>
      </c>
      <c r="F4547" s="4" t="str" cm="1">
        <f t="array" ref="F4547">IFERROR(INDEX(EmployeeData[Age], ROW() - 37), "")</f>
        <v/>
      </c>
      <c r="G4547" s="6" t="str" cm="1">
        <f t="array" ref="G4547">IFERROR(INDEX(EmployeeData[Join Date], ROW() - 37), "")</f>
        <v/>
      </c>
      <c r="H4547" s="6" t="str" cm="1">
        <f t="array" ref="H4547">IFERROR(IF(INDEX(EmployeeData[Exit Date], ROW() - 37)=0, "",INDEX(EmployeeData[Exit Date], ROW() - 37)),"")</f>
        <v/>
      </c>
      <c r="I4547" s="4" t="str" cm="1">
        <f t="array" ref="I4547">IFERROR(IF(INDEX(EmployeeData[Exit Reason], ROW() - 37)=0, "",INDEX(EmployeeData[Exit Reason], ROW() - 37)),"")</f>
        <v/>
      </c>
      <c r="J4547" s="4" t="str" cm="1">
        <f t="array" ref="J4547">IFERROR(INDEX(EmployeeData[Status], ROW() - 37), "")</f>
        <v/>
      </c>
    </row>
    <row r="4548" spans="2:10" ht="19.95" customHeight="1" x14ac:dyDescent="0.3">
      <c r="B4548" s="4" t="str" cm="1">
        <f t="array" ref="B4548">IFERROR(INDEX(EmployeeData[Employee ID], ROW() - 37), "")</f>
        <v/>
      </c>
      <c r="C4548" s="4" t="str" cm="1">
        <f t="array" ref="C4548">IFERROR(INDEX(EmployeeData[Full Name], ROW() - 37), "")</f>
        <v/>
      </c>
      <c r="D4548" s="4" t="str" cm="1">
        <f t="array" ref="D4548">IFERROR(INDEX(EmployeeData[Department], ROW() - 37), "")</f>
        <v/>
      </c>
      <c r="E4548" s="4" t="str" cm="1">
        <f t="array" ref="E4548">IFERROR(INDEX(EmployeeData[Gender], ROW() - 37), "")</f>
        <v/>
      </c>
      <c r="F4548" s="4" t="str" cm="1">
        <f t="array" ref="F4548">IFERROR(INDEX(EmployeeData[Age], ROW() - 37), "")</f>
        <v/>
      </c>
      <c r="G4548" s="6" t="str" cm="1">
        <f t="array" ref="G4548">IFERROR(INDEX(EmployeeData[Join Date], ROW() - 37), "")</f>
        <v/>
      </c>
      <c r="H4548" s="6" t="str" cm="1">
        <f t="array" ref="H4548">IFERROR(IF(INDEX(EmployeeData[Exit Date], ROW() - 37)=0, "",INDEX(EmployeeData[Exit Date], ROW() - 37)),"")</f>
        <v/>
      </c>
      <c r="I4548" s="4" t="str" cm="1">
        <f t="array" ref="I4548">IFERROR(IF(INDEX(EmployeeData[Exit Reason], ROW() - 37)=0, "",INDEX(EmployeeData[Exit Reason], ROW() - 37)),"")</f>
        <v/>
      </c>
      <c r="J4548" s="4" t="str" cm="1">
        <f t="array" ref="J4548">IFERROR(INDEX(EmployeeData[Status], ROW() - 37), "")</f>
        <v/>
      </c>
    </row>
    <row r="4549" spans="2:10" ht="19.95" customHeight="1" x14ac:dyDescent="0.3">
      <c r="B4549" s="4" t="str" cm="1">
        <f t="array" ref="B4549">IFERROR(INDEX(EmployeeData[Employee ID], ROW() - 37), "")</f>
        <v/>
      </c>
      <c r="C4549" s="4" t="str" cm="1">
        <f t="array" ref="C4549">IFERROR(INDEX(EmployeeData[Full Name], ROW() - 37), "")</f>
        <v/>
      </c>
      <c r="D4549" s="4" t="str" cm="1">
        <f t="array" ref="D4549">IFERROR(INDEX(EmployeeData[Department], ROW() - 37), "")</f>
        <v/>
      </c>
      <c r="E4549" s="4" t="str" cm="1">
        <f t="array" ref="E4549">IFERROR(INDEX(EmployeeData[Gender], ROW() - 37), "")</f>
        <v/>
      </c>
      <c r="F4549" s="4" t="str" cm="1">
        <f t="array" ref="F4549">IFERROR(INDEX(EmployeeData[Age], ROW() - 37), "")</f>
        <v/>
      </c>
      <c r="G4549" s="6" t="str" cm="1">
        <f t="array" ref="G4549">IFERROR(INDEX(EmployeeData[Join Date], ROW() - 37), "")</f>
        <v/>
      </c>
      <c r="H4549" s="6" t="str" cm="1">
        <f t="array" ref="H4549">IFERROR(IF(INDEX(EmployeeData[Exit Date], ROW() - 37)=0, "",INDEX(EmployeeData[Exit Date], ROW() - 37)),"")</f>
        <v/>
      </c>
      <c r="I4549" s="4" t="str" cm="1">
        <f t="array" ref="I4549">IFERROR(IF(INDEX(EmployeeData[Exit Reason], ROW() - 37)=0, "",INDEX(EmployeeData[Exit Reason], ROW() - 37)),"")</f>
        <v/>
      </c>
      <c r="J4549" s="4" t="str" cm="1">
        <f t="array" ref="J4549">IFERROR(INDEX(EmployeeData[Status], ROW() - 37), "")</f>
        <v/>
      </c>
    </row>
    <row r="4550" spans="2:10" ht="19.95" customHeight="1" x14ac:dyDescent="0.3">
      <c r="B4550" s="4" t="str" cm="1">
        <f t="array" ref="B4550">IFERROR(INDEX(EmployeeData[Employee ID], ROW() - 37), "")</f>
        <v/>
      </c>
      <c r="C4550" s="4" t="str" cm="1">
        <f t="array" ref="C4550">IFERROR(INDEX(EmployeeData[Full Name], ROW() - 37), "")</f>
        <v/>
      </c>
      <c r="D4550" s="4" t="str" cm="1">
        <f t="array" ref="D4550">IFERROR(INDEX(EmployeeData[Department], ROW() - 37), "")</f>
        <v/>
      </c>
      <c r="E4550" s="4" t="str" cm="1">
        <f t="array" ref="E4550">IFERROR(INDEX(EmployeeData[Gender], ROW() - 37), "")</f>
        <v/>
      </c>
      <c r="F4550" s="4" t="str" cm="1">
        <f t="array" ref="F4550">IFERROR(INDEX(EmployeeData[Age], ROW() - 37), "")</f>
        <v/>
      </c>
      <c r="G4550" s="6" t="str" cm="1">
        <f t="array" ref="G4550">IFERROR(INDEX(EmployeeData[Join Date], ROW() - 37), "")</f>
        <v/>
      </c>
      <c r="H4550" s="6" t="str" cm="1">
        <f t="array" ref="H4550">IFERROR(IF(INDEX(EmployeeData[Exit Date], ROW() - 37)=0, "",INDEX(EmployeeData[Exit Date], ROW() - 37)),"")</f>
        <v/>
      </c>
      <c r="I4550" s="4" t="str" cm="1">
        <f t="array" ref="I4550">IFERROR(IF(INDEX(EmployeeData[Exit Reason], ROW() - 37)=0, "",INDEX(EmployeeData[Exit Reason], ROW() - 37)),"")</f>
        <v/>
      </c>
      <c r="J4550" s="4" t="str" cm="1">
        <f t="array" ref="J4550">IFERROR(INDEX(EmployeeData[Status], ROW() - 37), "")</f>
        <v/>
      </c>
    </row>
    <row r="4551" spans="2:10" ht="19.95" customHeight="1" x14ac:dyDescent="0.3">
      <c r="B4551" s="4" t="str" cm="1">
        <f t="array" ref="B4551">IFERROR(INDEX(EmployeeData[Employee ID], ROW() - 37), "")</f>
        <v/>
      </c>
      <c r="C4551" s="4" t="str" cm="1">
        <f t="array" ref="C4551">IFERROR(INDEX(EmployeeData[Full Name], ROW() - 37), "")</f>
        <v/>
      </c>
      <c r="D4551" s="4" t="str" cm="1">
        <f t="array" ref="D4551">IFERROR(INDEX(EmployeeData[Department], ROW() - 37), "")</f>
        <v/>
      </c>
      <c r="E4551" s="4" t="str" cm="1">
        <f t="array" ref="E4551">IFERROR(INDEX(EmployeeData[Gender], ROW() - 37), "")</f>
        <v/>
      </c>
      <c r="F4551" s="4" t="str" cm="1">
        <f t="array" ref="F4551">IFERROR(INDEX(EmployeeData[Age], ROW() - 37), "")</f>
        <v/>
      </c>
      <c r="G4551" s="6" t="str" cm="1">
        <f t="array" ref="G4551">IFERROR(INDEX(EmployeeData[Join Date], ROW() - 37), "")</f>
        <v/>
      </c>
      <c r="H4551" s="6" t="str" cm="1">
        <f t="array" ref="H4551">IFERROR(IF(INDEX(EmployeeData[Exit Date], ROW() - 37)=0, "",INDEX(EmployeeData[Exit Date], ROW() - 37)),"")</f>
        <v/>
      </c>
      <c r="I4551" s="4" t="str" cm="1">
        <f t="array" ref="I4551">IFERROR(IF(INDEX(EmployeeData[Exit Reason], ROW() - 37)=0, "",INDEX(EmployeeData[Exit Reason], ROW() - 37)),"")</f>
        <v/>
      </c>
      <c r="J4551" s="4" t="str" cm="1">
        <f t="array" ref="J4551">IFERROR(INDEX(EmployeeData[Status], ROW() - 37), "")</f>
        <v/>
      </c>
    </row>
    <row r="4552" spans="2:10" ht="19.95" customHeight="1" x14ac:dyDescent="0.3">
      <c r="B4552" s="4" t="str" cm="1">
        <f t="array" ref="B4552">IFERROR(INDEX(EmployeeData[Employee ID], ROW() - 37), "")</f>
        <v/>
      </c>
      <c r="C4552" s="4" t="str" cm="1">
        <f t="array" ref="C4552">IFERROR(INDEX(EmployeeData[Full Name], ROW() - 37), "")</f>
        <v/>
      </c>
      <c r="D4552" s="4" t="str" cm="1">
        <f t="array" ref="D4552">IFERROR(INDEX(EmployeeData[Department], ROW() - 37), "")</f>
        <v/>
      </c>
      <c r="E4552" s="4" t="str" cm="1">
        <f t="array" ref="E4552">IFERROR(INDEX(EmployeeData[Gender], ROW() - 37), "")</f>
        <v/>
      </c>
      <c r="F4552" s="4" t="str" cm="1">
        <f t="array" ref="F4552">IFERROR(INDEX(EmployeeData[Age], ROW() - 37), "")</f>
        <v/>
      </c>
      <c r="G4552" s="6" t="str" cm="1">
        <f t="array" ref="G4552">IFERROR(INDEX(EmployeeData[Join Date], ROW() - 37), "")</f>
        <v/>
      </c>
      <c r="H4552" s="6" t="str" cm="1">
        <f t="array" ref="H4552">IFERROR(IF(INDEX(EmployeeData[Exit Date], ROW() - 37)=0, "",INDEX(EmployeeData[Exit Date], ROW() - 37)),"")</f>
        <v/>
      </c>
      <c r="I4552" s="4" t="str" cm="1">
        <f t="array" ref="I4552">IFERROR(IF(INDEX(EmployeeData[Exit Reason], ROW() - 37)=0, "",INDEX(EmployeeData[Exit Reason], ROW() - 37)),"")</f>
        <v/>
      </c>
      <c r="J4552" s="4" t="str" cm="1">
        <f t="array" ref="J4552">IFERROR(INDEX(EmployeeData[Status], ROW() - 37), "")</f>
        <v/>
      </c>
    </row>
    <row r="4553" spans="2:10" ht="19.95" customHeight="1" x14ac:dyDescent="0.3">
      <c r="B4553" s="4" t="str" cm="1">
        <f t="array" ref="B4553">IFERROR(INDEX(EmployeeData[Employee ID], ROW() - 37), "")</f>
        <v/>
      </c>
      <c r="C4553" s="4" t="str" cm="1">
        <f t="array" ref="C4553">IFERROR(INDEX(EmployeeData[Full Name], ROW() - 37), "")</f>
        <v/>
      </c>
      <c r="D4553" s="4" t="str" cm="1">
        <f t="array" ref="D4553">IFERROR(INDEX(EmployeeData[Department], ROW() - 37), "")</f>
        <v/>
      </c>
      <c r="E4553" s="4" t="str" cm="1">
        <f t="array" ref="E4553">IFERROR(INDEX(EmployeeData[Gender], ROW() - 37), "")</f>
        <v/>
      </c>
      <c r="F4553" s="4" t="str" cm="1">
        <f t="array" ref="F4553">IFERROR(INDEX(EmployeeData[Age], ROW() - 37), "")</f>
        <v/>
      </c>
      <c r="G4553" s="6" t="str" cm="1">
        <f t="array" ref="G4553">IFERROR(INDEX(EmployeeData[Join Date], ROW() - 37), "")</f>
        <v/>
      </c>
      <c r="H4553" s="6" t="str" cm="1">
        <f t="array" ref="H4553">IFERROR(IF(INDEX(EmployeeData[Exit Date], ROW() - 37)=0, "",INDEX(EmployeeData[Exit Date], ROW() - 37)),"")</f>
        <v/>
      </c>
      <c r="I4553" s="4" t="str" cm="1">
        <f t="array" ref="I4553">IFERROR(IF(INDEX(EmployeeData[Exit Reason], ROW() - 37)=0, "",INDEX(EmployeeData[Exit Reason], ROW() - 37)),"")</f>
        <v/>
      </c>
      <c r="J4553" s="4" t="str" cm="1">
        <f t="array" ref="J4553">IFERROR(INDEX(EmployeeData[Status], ROW() - 37), "")</f>
        <v/>
      </c>
    </row>
    <row r="4554" spans="2:10" ht="19.95" customHeight="1" x14ac:dyDescent="0.3">
      <c r="B4554" s="4" t="str" cm="1">
        <f t="array" ref="B4554">IFERROR(INDEX(EmployeeData[Employee ID], ROW() - 37), "")</f>
        <v/>
      </c>
      <c r="C4554" s="4" t="str" cm="1">
        <f t="array" ref="C4554">IFERROR(INDEX(EmployeeData[Full Name], ROW() - 37), "")</f>
        <v/>
      </c>
      <c r="D4554" s="4" t="str" cm="1">
        <f t="array" ref="D4554">IFERROR(INDEX(EmployeeData[Department], ROW() - 37), "")</f>
        <v/>
      </c>
      <c r="E4554" s="4" t="str" cm="1">
        <f t="array" ref="E4554">IFERROR(INDEX(EmployeeData[Gender], ROW() - 37), "")</f>
        <v/>
      </c>
      <c r="F4554" s="4" t="str" cm="1">
        <f t="array" ref="F4554">IFERROR(INDEX(EmployeeData[Age], ROW() - 37), "")</f>
        <v/>
      </c>
      <c r="G4554" s="6" t="str" cm="1">
        <f t="array" ref="G4554">IFERROR(INDEX(EmployeeData[Join Date], ROW() - 37), "")</f>
        <v/>
      </c>
      <c r="H4554" s="6" t="str" cm="1">
        <f t="array" ref="H4554">IFERROR(IF(INDEX(EmployeeData[Exit Date], ROW() - 37)=0, "",INDEX(EmployeeData[Exit Date], ROW() - 37)),"")</f>
        <v/>
      </c>
      <c r="I4554" s="4" t="str" cm="1">
        <f t="array" ref="I4554">IFERROR(IF(INDEX(EmployeeData[Exit Reason], ROW() - 37)=0, "",INDEX(EmployeeData[Exit Reason], ROW() - 37)),"")</f>
        <v/>
      </c>
      <c r="J4554" s="4" t="str" cm="1">
        <f t="array" ref="J4554">IFERROR(INDEX(EmployeeData[Status], ROW() - 37), "")</f>
        <v/>
      </c>
    </row>
    <row r="4555" spans="2:10" ht="19.95" customHeight="1" x14ac:dyDescent="0.3">
      <c r="B4555" s="4" t="str" cm="1">
        <f t="array" ref="B4555">IFERROR(INDEX(EmployeeData[Employee ID], ROW() - 37), "")</f>
        <v/>
      </c>
      <c r="C4555" s="4" t="str" cm="1">
        <f t="array" ref="C4555">IFERROR(INDEX(EmployeeData[Full Name], ROW() - 37), "")</f>
        <v/>
      </c>
      <c r="D4555" s="4" t="str" cm="1">
        <f t="array" ref="D4555">IFERROR(INDEX(EmployeeData[Department], ROW() - 37), "")</f>
        <v/>
      </c>
      <c r="E4555" s="4" t="str" cm="1">
        <f t="array" ref="E4555">IFERROR(INDEX(EmployeeData[Gender], ROW() - 37), "")</f>
        <v/>
      </c>
      <c r="F4555" s="4" t="str" cm="1">
        <f t="array" ref="F4555">IFERROR(INDEX(EmployeeData[Age], ROW() - 37), "")</f>
        <v/>
      </c>
      <c r="G4555" s="6" t="str" cm="1">
        <f t="array" ref="G4555">IFERROR(INDEX(EmployeeData[Join Date], ROW() - 37), "")</f>
        <v/>
      </c>
      <c r="H4555" s="6" t="str" cm="1">
        <f t="array" ref="H4555">IFERROR(IF(INDEX(EmployeeData[Exit Date], ROW() - 37)=0, "",INDEX(EmployeeData[Exit Date], ROW() - 37)),"")</f>
        <v/>
      </c>
      <c r="I4555" s="4" t="str" cm="1">
        <f t="array" ref="I4555">IFERROR(IF(INDEX(EmployeeData[Exit Reason], ROW() - 37)=0, "",INDEX(EmployeeData[Exit Reason], ROW() - 37)),"")</f>
        <v/>
      </c>
      <c r="J4555" s="4" t="str" cm="1">
        <f t="array" ref="J4555">IFERROR(INDEX(EmployeeData[Status], ROW() - 37), "")</f>
        <v/>
      </c>
    </row>
    <row r="4556" spans="2:10" ht="19.95" customHeight="1" x14ac:dyDescent="0.3">
      <c r="B4556" s="4" t="str" cm="1">
        <f t="array" ref="B4556">IFERROR(INDEX(EmployeeData[Employee ID], ROW() - 37), "")</f>
        <v/>
      </c>
      <c r="C4556" s="4" t="str" cm="1">
        <f t="array" ref="C4556">IFERROR(INDEX(EmployeeData[Full Name], ROW() - 37), "")</f>
        <v/>
      </c>
      <c r="D4556" s="4" t="str" cm="1">
        <f t="array" ref="D4556">IFERROR(INDEX(EmployeeData[Department], ROW() - 37), "")</f>
        <v/>
      </c>
      <c r="E4556" s="4" t="str" cm="1">
        <f t="array" ref="E4556">IFERROR(INDEX(EmployeeData[Gender], ROW() - 37), "")</f>
        <v/>
      </c>
      <c r="F4556" s="4" t="str" cm="1">
        <f t="array" ref="F4556">IFERROR(INDEX(EmployeeData[Age], ROW() - 37), "")</f>
        <v/>
      </c>
      <c r="G4556" s="6" t="str" cm="1">
        <f t="array" ref="G4556">IFERROR(INDEX(EmployeeData[Join Date], ROW() - 37), "")</f>
        <v/>
      </c>
      <c r="H4556" s="6" t="str" cm="1">
        <f t="array" ref="H4556">IFERROR(IF(INDEX(EmployeeData[Exit Date], ROW() - 37)=0, "",INDEX(EmployeeData[Exit Date], ROW() - 37)),"")</f>
        <v/>
      </c>
      <c r="I4556" s="4" t="str" cm="1">
        <f t="array" ref="I4556">IFERROR(IF(INDEX(EmployeeData[Exit Reason], ROW() - 37)=0, "",INDEX(EmployeeData[Exit Reason], ROW() - 37)),"")</f>
        <v/>
      </c>
      <c r="J4556" s="4" t="str" cm="1">
        <f t="array" ref="J4556">IFERROR(INDEX(EmployeeData[Status], ROW() - 37), "")</f>
        <v/>
      </c>
    </row>
    <row r="4557" spans="2:10" ht="19.95" customHeight="1" x14ac:dyDescent="0.3">
      <c r="B4557" s="4" t="str" cm="1">
        <f t="array" ref="B4557">IFERROR(INDEX(EmployeeData[Employee ID], ROW() - 37), "")</f>
        <v/>
      </c>
      <c r="C4557" s="4" t="str" cm="1">
        <f t="array" ref="C4557">IFERROR(INDEX(EmployeeData[Full Name], ROW() - 37), "")</f>
        <v/>
      </c>
      <c r="D4557" s="4" t="str" cm="1">
        <f t="array" ref="D4557">IFERROR(INDEX(EmployeeData[Department], ROW() - 37), "")</f>
        <v/>
      </c>
      <c r="E4557" s="4" t="str" cm="1">
        <f t="array" ref="E4557">IFERROR(INDEX(EmployeeData[Gender], ROW() - 37), "")</f>
        <v/>
      </c>
      <c r="F4557" s="4" t="str" cm="1">
        <f t="array" ref="F4557">IFERROR(INDEX(EmployeeData[Age], ROW() - 37), "")</f>
        <v/>
      </c>
      <c r="G4557" s="6" t="str" cm="1">
        <f t="array" ref="G4557">IFERROR(INDEX(EmployeeData[Join Date], ROW() - 37), "")</f>
        <v/>
      </c>
      <c r="H4557" s="6" t="str" cm="1">
        <f t="array" ref="H4557">IFERROR(IF(INDEX(EmployeeData[Exit Date], ROW() - 37)=0, "",INDEX(EmployeeData[Exit Date], ROW() - 37)),"")</f>
        <v/>
      </c>
      <c r="I4557" s="4" t="str" cm="1">
        <f t="array" ref="I4557">IFERROR(IF(INDEX(EmployeeData[Exit Reason], ROW() - 37)=0, "",INDEX(EmployeeData[Exit Reason], ROW() - 37)),"")</f>
        <v/>
      </c>
      <c r="J4557" s="4" t="str" cm="1">
        <f t="array" ref="J4557">IFERROR(INDEX(EmployeeData[Status], ROW() - 37), "")</f>
        <v/>
      </c>
    </row>
    <row r="4558" spans="2:10" ht="19.95" customHeight="1" x14ac:dyDescent="0.3">
      <c r="B4558" s="4" t="str" cm="1">
        <f t="array" ref="B4558">IFERROR(INDEX(EmployeeData[Employee ID], ROW() - 37), "")</f>
        <v/>
      </c>
      <c r="C4558" s="4" t="str" cm="1">
        <f t="array" ref="C4558">IFERROR(INDEX(EmployeeData[Full Name], ROW() - 37), "")</f>
        <v/>
      </c>
      <c r="D4558" s="4" t="str" cm="1">
        <f t="array" ref="D4558">IFERROR(INDEX(EmployeeData[Department], ROW() - 37), "")</f>
        <v/>
      </c>
      <c r="E4558" s="4" t="str" cm="1">
        <f t="array" ref="E4558">IFERROR(INDEX(EmployeeData[Gender], ROW() - 37), "")</f>
        <v/>
      </c>
      <c r="F4558" s="4" t="str" cm="1">
        <f t="array" ref="F4558">IFERROR(INDEX(EmployeeData[Age], ROW() - 37), "")</f>
        <v/>
      </c>
      <c r="G4558" s="6" t="str" cm="1">
        <f t="array" ref="G4558">IFERROR(INDEX(EmployeeData[Join Date], ROW() - 37), "")</f>
        <v/>
      </c>
      <c r="H4558" s="6" t="str" cm="1">
        <f t="array" ref="H4558">IFERROR(IF(INDEX(EmployeeData[Exit Date], ROW() - 37)=0, "",INDEX(EmployeeData[Exit Date], ROW() - 37)),"")</f>
        <v/>
      </c>
      <c r="I4558" s="4" t="str" cm="1">
        <f t="array" ref="I4558">IFERROR(IF(INDEX(EmployeeData[Exit Reason], ROW() - 37)=0, "",INDEX(EmployeeData[Exit Reason], ROW() - 37)),"")</f>
        <v/>
      </c>
      <c r="J4558" s="4" t="str" cm="1">
        <f t="array" ref="J4558">IFERROR(INDEX(EmployeeData[Status], ROW() - 37), "")</f>
        <v/>
      </c>
    </row>
    <row r="4559" spans="2:10" ht="19.95" customHeight="1" x14ac:dyDescent="0.3">
      <c r="B4559" s="4" t="str" cm="1">
        <f t="array" ref="B4559">IFERROR(INDEX(EmployeeData[Employee ID], ROW() - 37), "")</f>
        <v/>
      </c>
      <c r="C4559" s="4" t="str" cm="1">
        <f t="array" ref="C4559">IFERROR(INDEX(EmployeeData[Full Name], ROW() - 37), "")</f>
        <v/>
      </c>
      <c r="D4559" s="4" t="str" cm="1">
        <f t="array" ref="D4559">IFERROR(INDEX(EmployeeData[Department], ROW() - 37), "")</f>
        <v/>
      </c>
      <c r="E4559" s="4" t="str" cm="1">
        <f t="array" ref="E4559">IFERROR(INDEX(EmployeeData[Gender], ROW() - 37), "")</f>
        <v/>
      </c>
      <c r="F4559" s="4" t="str" cm="1">
        <f t="array" ref="F4559">IFERROR(INDEX(EmployeeData[Age], ROW() - 37), "")</f>
        <v/>
      </c>
      <c r="G4559" s="6" t="str" cm="1">
        <f t="array" ref="G4559">IFERROR(INDEX(EmployeeData[Join Date], ROW() - 37), "")</f>
        <v/>
      </c>
      <c r="H4559" s="6" t="str" cm="1">
        <f t="array" ref="H4559">IFERROR(IF(INDEX(EmployeeData[Exit Date], ROW() - 37)=0, "",INDEX(EmployeeData[Exit Date], ROW() - 37)),"")</f>
        <v/>
      </c>
      <c r="I4559" s="4" t="str" cm="1">
        <f t="array" ref="I4559">IFERROR(IF(INDEX(EmployeeData[Exit Reason], ROW() - 37)=0, "",INDEX(EmployeeData[Exit Reason], ROW() - 37)),"")</f>
        <v/>
      </c>
      <c r="J4559" s="4" t="str" cm="1">
        <f t="array" ref="J4559">IFERROR(INDEX(EmployeeData[Status], ROW() - 37), "")</f>
        <v/>
      </c>
    </row>
    <row r="4560" spans="2:10" ht="19.95" customHeight="1" x14ac:dyDescent="0.3">
      <c r="B4560" s="4" t="str" cm="1">
        <f t="array" ref="B4560">IFERROR(INDEX(EmployeeData[Employee ID], ROW() - 37), "")</f>
        <v/>
      </c>
      <c r="C4560" s="4" t="str" cm="1">
        <f t="array" ref="C4560">IFERROR(INDEX(EmployeeData[Full Name], ROW() - 37), "")</f>
        <v/>
      </c>
      <c r="D4560" s="4" t="str" cm="1">
        <f t="array" ref="D4560">IFERROR(INDEX(EmployeeData[Department], ROW() - 37), "")</f>
        <v/>
      </c>
      <c r="E4560" s="4" t="str" cm="1">
        <f t="array" ref="E4560">IFERROR(INDEX(EmployeeData[Gender], ROW() - 37), "")</f>
        <v/>
      </c>
      <c r="F4560" s="4" t="str" cm="1">
        <f t="array" ref="F4560">IFERROR(INDEX(EmployeeData[Age], ROW() - 37), "")</f>
        <v/>
      </c>
      <c r="G4560" s="6" t="str" cm="1">
        <f t="array" ref="G4560">IFERROR(INDEX(EmployeeData[Join Date], ROW() - 37), "")</f>
        <v/>
      </c>
      <c r="H4560" s="6" t="str" cm="1">
        <f t="array" ref="H4560">IFERROR(IF(INDEX(EmployeeData[Exit Date], ROW() - 37)=0, "",INDEX(EmployeeData[Exit Date], ROW() - 37)),"")</f>
        <v/>
      </c>
      <c r="I4560" s="4" t="str" cm="1">
        <f t="array" ref="I4560">IFERROR(IF(INDEX(EmployeeData[Exit Reason], ROW() - 37)=0, "",INDEX(EmployeeData[Exit Reason], ROW() - 37)),"")</f>
        <v/>
      </c>
      <c r="J4560" s="4" t="str" cm="1">
        <f t="array" ref="J4560">IFERROR(INDEX(EmployeeData[Status], ROW() - 37), "")</f>
        <v/>
      </c>
    </row>
    <row r="4561" spans="2:10" ht="19.95" customHeight="1" x14ac:dyDescent="0.3">
      <c r="B4561" s="4" t="str" cm="1">
        <f t="array" ref="B4561">IFERROR(INDEX(EmployeeData[Employee ID], ROW() - 37), "")</f>
        <v/>
      </c>
      <c r="C4561" s="4" t="str" cm="1">
        <f t="array" ref="C4561">IFERROR(INDEX(EmployeeData[Full Name], ROW() - 37), "")</f>
        <v/>
      </c>
      <c r="D4561" s="4" t="str" cm="1">
        <f t="array" ref="D4561">IFERROR(INDEX(EmployeeData[Department], ROW() - 37), "")</f>
        <v/>
      </c>
      <c r="E4561" s="4" t="str" cm="1">
        <f t="array" ref="E4561">IFERROR(INDEX(EmployeeData[Gender], ROW() - 37), "")</f>
        <v/>
      </c>
      <c r="F4561" s="4" t="str" cm="1">
        <f t="array" ref="F4561">IFERROR(INDEX(EmployeeData[Age], ROW() - 37), "")</f>
        <v/>
      </c>
      <c r="G4561" s="6" t="str" cm="1">
        <f t="array" ref="G4561">IFERROR(INDEX(EmployeeData[Join Date], ROW() - 37), "")</f>
        <v/>
      </c>
      <c r="H4561" s="6" t="str" cm="1">
        <f t="array" ref="H4561">IFERROR(IF(INDEX(EmployeeData[Exit Date], ROW() - 37)=0, "",INDEX(EmployeeData[Exit Date], ROW() - 37)),"")</f>
        <v/>
      </c>
      <c r="I4561" s="4" t="str" cm="1">
        <f t="array" ref="I4561">IFERROR(IF(INDEX(EmployeeData[Exit Reason], ROW() - 37)=0, "",INDEX(EmployeeData[Exit Reason], ROW() - 37)),"")</f>
        <v/>
      </c>
      <c r="J4561" s="4" t="str" cm="1">
        <f t="array" ref="J4561">IFERROR(INDEX(EmployeeData[Status], ROW() - 37), "")</f>
        <v/>
      </c>
    </row>
    <row r="4562" spans="2:10" ht="19.95" customHeight="1" x14ac:dyDescent="0.3">
      <c r="B4562" s="4" t="str" cm="1">
        <f t="array" ref="B4562">IFERROR(INDEX(EmployeeData[Employee ID], ROW() - 37), "")</f>
        <v/>
      </c>
      <c r="C4562" s="4" t="str" cm="1">
        <f t="array" ref="C4562">IFERROR(INDEX(EmployeeData[Full Name], ROW() - 37), "")</f>
        <v/>
      </c>
      <c r="D4562" s="4" t="str" cm="1">
        <f t="array" ref="D4562">IFERROR(INDEX(EmployeeData[Department], ROW() - 37), "")</f>
        <v/>
      </c>
      <c r="E4562" s="4" t="str" cm="1">
        <f t="array" ref="E4562">IFERROR(INDEX(EmployeeData[Gender], ROW() - 37), "")</f>
        <v/>
      </c>
      <c r="F4562" s="4" t="str" cm="1">
        <f t="array" ref="F4562">IFERROR(INDEX(EmployeeData[Age], ROW() - 37), "")</f>
        <v/>
      </c>
      <c r="G4562" s="6" t="str" cm="1">
        <f t="array" ref="G4562">IFERROR(INDEX(EmployeeData[Join Date], ROW() - 37), "")</f>
        <v/>
      </c>
      <c r="H4562" s="6" t="str" cm="1">
        <f t="array" ref="H4562">IFERROR(IF(INDEX(EmployeeData[Exit Date], ROW() - 37)=0, "",INDEX(EmployeeData[Exit Date], ROW() - 37)),"")</f>
        <v/>
      </c>
      <c r="I4562" s="4" t="str" cm="1">
        <f t="array" ref="I4562">IFERROR(IF(INDEX(EmployeeData[Exit Reason], ROW() - 37)=0, "",INDEX(EmployeeData[Exit Reason], ROW() - 37)),"")</f>
        <v/>
      </c>
      <c r="J4562" s="4" t="str" cm="1">
        <f t="array" ref="J4562">IFERROR(INDEX(EmployeeData[Status], ROW() - 37), "")</f>
        <v/>
      </c>
    </row>
    <row r="4563" spans="2:10" ht="19.95" customHeight="1" x14ac:dyDescent="0.3">
      <c r="B4563" s="4" t="str" cm="1">
        <f t="array" ref="B4563">IFERROR(INDEX(EmployeeData[Employee ID], ROW() - 37), "")</f>
        <v/>
      </c>
      <c r="C4563" s="4" t="str" cm="1">
        <f t="array" ref="C4563">IFERROR(INDEX(EmployeeData[Full Name], ROW() - 37), "")</f>
        <v/>
      </c>
      <c r="D4563" s="4" t="str" cm="1">
        <f t="array" ref="D4563">IFERROR(INDEX(EmployeeData[Department], ROW() - 37), "")</f>
        <v/>
      </c>
      <c r="E4563" s="4" t="str" cm="1">
        <f t="array" ref="E4563">IFERROR(INDEX(EmployeeData[Gender], ROW() - 37), "")</f>
        <v/>
      </c>
      <c r="F4563" s="4" t="str" cm="1">
        <f t="array" ref="F4563">IFERROR(INDEX(EmployeeData[Age], ROW() - 37), "")</f>
        <v/>
      </c>
      <c r="G4563" s="6" t="str" cm="1">
        <f t="array" ref="G4563">IFERROR(INDEX(EmployeeData[Join Date], ROW() - 37), "")</f>
        <v/>
      </c>
      <c r="H4563" s="6" t="str" cm="1">
        <f t="array" ref="H4563">IFERROR(IF(INDEX(EmployeeData[Exit Date], ROW() - 37)=0, "",INDEX(EmployeeData[Exit Date], ROW() - 37)),"")</f>
        <v/>
      </c>
      <c r="I4563" s="4" t="str" cm="1">
        <f t="array" ref="I4563">IFERROR(IF(INDEX(EmployeeData[Exit Reason], ROW() - 37)=0, "",INDEX(EmployeeData[Exit Reason], ROW() - 37)),"")</f>
        <v/>
      </c>
      <c r="J4563" s="4" t="str" cm="1">
        <f t="array" ref="J4563">IFERROR(INDEX(EmployeeData[Status], ROW() - 37), "")</f>
        <v/>
      </c>
    </row>
    <row r="4564" spans="2:10" ht="19.95" customHeight="1" x14ac:dyDescent="0.3">
      <c r="B4564" s="4" t="str" cm="1">
        <f t="array" ref="B4564">IFERROR(INDEX(EmployeeData[Employee ID], ROW() - 37), "")</f>
        <v/>
      </c>
      <c r="C4564" s="4" t="str" cm="1">
        <f t="array" ref="C4564">IFERROR(INDEX(EmployeeData[Full Name], ROW() - 37), "")</f>
        <v/>
      </c>
      <c r="D4564" s="4" t="str" cm="1">
        <f t="array" ref="D4564">IFERROR(INDEX(EmployeeData[Department], ROW() - 37), "")</f>
        <v/>
      </c>
      <c r="E4564" s="4" t="str" cm="1">
        <f t="array" ref="E4564">IFERROR(INDEX(EmployeeData[Gender], ROW() - 37), "")</f>
        <v/>
      </c>
      <c r="F4564" s="4" t="str" cm="1">
        <f t="array" ref="F4564">IFERROR(INDEX(EmployeeData[Age], ROW() - 37), "")</f>
        <v/>
      </c>
      <c r="G4564" s="6" t="str" cm="1">
        <f t="array" ref="G4564">IFERROR(INDEX(EmployeeData[Join Date], ROW() - 37), "")</f>
        <v/>
      </c>
      <c r="H4564" s="6" t="str" cm="1">
        <f t="array" ref="H4564">IFERROR(IF(INDEX(EmployeeData[Exit Date], ROW() - 37)=0, "",INDEX(EmployeeData[Exit Date], ROW() - 37)),"")</f>
        <v/>
      </c>
      <c r="I4564" s="4" t="str" cm="1">
        <f t="array" ref="I4564">IFERROR(IF(INDEX(EmployeeData[Exit Reason], ROW() - 37)=0, "",INDEX(EmployeeData[Exit Reason], ROW() - 37)),"")</f>
        <v/>
      </c>
      <c r="J4564" s="4" t="str" cm="1">
        <f t="array" ref="J4564">IFERROR(INDEX(EmployeeData[Status], ROW() - 37), "")</f>
        <v/>
      </c>
    </row>
    <row r="4565" spans="2:10" ht="19.95" customHeight="1" x14ac:dyDescent="0.3">
      <c r="B4565" s="4" t="str" cm="1">
        <f t="array" ref="B4565">IFERROR(INDEX(EmployeeData[Employee ID], ROW() - 37), "")</f>
        <v/>
      </c>
      <c r="C4565" s="4" t="str" cm="1">
        <f t="array" ref="C4565">IFERROR(INDEX(EmployeeData[Full Name], ROW() - 37), "")</f>
        <v/>
      </c>
      <c r="D4565" s="4" t="str" cm="1">
        <f t="array" ref="D4565">IFERROR(INDEX(EmployeeData[Department], ROW() - 37), "")</f>
        <v/>
      </c>
      <c r="E4565" s="4" t="str" cm="1">
        <f t="array" ref="E4565">IFERROR(INDEX(EmployeeData[Gender], ROW() - 37), "")</f>
        <v/>
      </c>
      <c r="F4565" s="4" t="str" cm="1">
        <f t="array" ref="F4565">IFERROR(INDEX(EmployeeData[Age], ROW() - 37), "")</f>
        <v/>
      </c>
      <c r="G4565" s="6" t="str" cm="1">
        <f t="array" ref="G4565">IFERROR(INDEX(EmployeeData[Join Date], ROW() - 37), "")</f>
        <v/>
      </c>
      <c r="H4565" s="6" t="str" cm="1">
        <f t="array" ref="H4565">IFERROR(IF(INDEX(EmployeeData[Exit Date], ROW() - 37)=0, "",INDEX(EmployeeData[Exit Date], ROW() - 37)),"")</f>
        <v/>
      </c>
      <c r="I4565" s="4" t="str" cm="1">
        <f t="array" ref="I4565">IFERROR(IF(INDEX(EmployeeData[Exit Reason], ROW() - 37)=0, "",INDEX(EmployeeData[Exit Reason], ROW() - 37)),"")</f>
        <v/>
      </c>
      <c r="J4565" s="4" t="str" cm="1">
        <f t="array" ref="J4565">IFERROR(INDEX(EmployeeData[Status], ROW() - 37), "")</f>
        <v/>
      </c>
    </row>
    <row r="4566" spans="2:10" ht="19.95" customHeight="1" x14ac:dyDescent="0.3">
      <c r="B4566" s="4" t="str" cm="1">
        <f t="array" ref="B4566">IFERROR(INDEX(EmployeeData[Employee ID], ROW() - 37), "")</f>
        <v/>
      </c>
      <c r="C4566" s="4" t="str" cm="1">
        <f t="array" ref="C4566">IFERROR(INDEX(EmployeeData[Full Name], ROW() - 37), "")</f>
        <v/>
      </c>
      <c r="D4566" s="4" t="str" cm="1">
        <f t="array" ref="D4566">IFERROR(INDEX(EmployeeData[Department], ROW() - 37), "")</f>
        <v/>
      </c>
      <c r="E4566" s="4" t="str" cm="1">
        <f t="array" ref="E4566">IFERROR(INDEX(EmployeeData[Gender], ROW() - 37), "")</f>
        <v/>
      </c>
      <c r="F4566" s="4" t="str" cm="1">
        <f t="array" ref="F4566">IFERROR(INDEX(EmployeeData[Age], ROW() - 37), "")</f>
        <v/>
      </c>
      <c r="G4566" s="6" t="str" cm="1">
        <f t="array" ref="G4566">IFERROR(INDEX(EmployeeData[Join Date], ROW() - 37), "")</f>
        <v/>
      </c>
      <c r="H4566" s="6" t="str" cm="1">
        <f t="array" ref="H4566">IFERROR(IF(INDEX(EmployeeData[Exit Date], ROW() - 37)=0, "",INDEX(EmployeeData[Exit Date], ROW() - 37)),"")</f>
        <v/>
      </c>
      <c r="I4566" s="4" t="str" cm="1">
        <f t="array" ref="I4566">IFERROR(IF(INDEX(EmployeeData[Exit Reason], ROW() - 37)=0, "",INDEX(EmployeeData[Exit Reason], ROW() - 37)),"")</f>
        <v/>
      </c>
      <c r="J4566" s="4" t="str" cm="1">
        <f t="array" ref="J4566">IFERROR(INDEX(EmployeeData[Status], ROW() - 37), "")</f>
        <v/>
      </c>
    </row>
    <row r="4567" spans="2:10" ht="19.95" customHeight="1" x14ac:dyDescent="0.3">
      <c r="B4567" s="4" t="str" cm="1">
        <f t="array" ref="B4567">IFERROR(INDEX(EmployeeData[Employee ID], ROW() - 37), "")</f>
        <v/>
      </c>
      <c r="C4567" s="4" t="str" cm="1">
        <f t="array" ref="C4567">IFERROR(INDEX(EmployeeData[Full Name], ROW() - 37), "")</f>
        <v/>
      </c>
      <c r="D4567" s="4" t="str" cm="1">
        <f t="array" ref="D4567">IFERROR(INDEX(EmployeeData[Department], ROW() - 37), "")</f>
        <v/>
      </c>
      <c r="E4567" s="4" t="str" cm="1">
        <f t="array" ref="E4567">IFERROR(INDEX(EmployeeData[Gender], ROW() - 37), "")</f>
        <v/>
      </c>
      <c r="F4567" s="4" t="str" cm="1">
        <f t="array" ref="F4567">IFERROR(INDEX(EmployeeData[Age], ROW() - 37), "")</f>
        <v/>
      </c>
      <c r="G4567" s="6" t="str" cm="1">
        <f t="array" ref="G4567">IFERROR(INDEX(EmployeeData[Join Date], ROW() - 37), "")</f>
        <v/>
      </c>
      <c r="H4567" s="6" t="str" cm="1">
        <f t="array" ref="H4567">IFERROR(IF(INDEX(EmployeeData[Exit Date], ROW() - 37)=0, "",INDEX(EmployeeData[Exit Date], ROW() - 37)),"")</f>
        <v/>
      </c>
      <c r="I4567" s="4" t="str" cm="1">
        <f t="array" ref="I4567">IFERROR(IF(INDEX(EmployeeData[Exit Reason], ROW() - 37)=0, "",INDEX(EmployeeData[Exit Reason], ROW() - 37)),"")</f>
        <v/>
      </c>
      <c r="J4567" s="4" t="str" cm="1">
        <f t="array" ref="J4567">IFERROR(INDEX(EmployeeData[Status], ROW() - 37), "")</f>
        <v/>
      </c>
    </row>
    <row r="4568" spans="2:10" ht="19.95" customHeight="1" x14ac:dyDescent="0.3">
      <c r="B4568" s="4" t="str" cm="1">
        <f t="array" ref="B4568">IFERROR(INDEX(EmployeeData[Employee ID], ROW() - 37), "")</f>
        <v/>
      </c>
      <c r="C4568" s="4" t="str" cm="1">
        <f t="array" ref="C4568">IFERROR(INDEX(EmployeeData[Full Name], ROW() - 37), "")</f>
        <v/>
      </c>
      <c r="D4568" s="4" t="str" cm="1">
        <f t="array" ref="D4568">IFERROR(INDEX(EmployeeData[Department], ROW() - 37), "")</f>
        <v/>
      </c>
      <c r="E4568" s="4" t="str" cm="1">
        <f t="array" ref="E4568">IFERROR(INDEX(EmployeeData[Gender], ROW() - 37), "")</f>
        <v/>
      </c>
      <c r="F4568" s="4" t="str" cm="1">
        <f t="array" ref="F4568">IFERROR(INDEX(EmployeeData[Age], ROW() - 37), "")</f>
        <v/>
      </c>
      <c r="G4568" s="6" t="str" cm="1">
        <f t="array" ref="G4568">IFERROR(INDEX(EmployeeData[Join Date], ROW() - 37), "")</f>
        <v/>
      </c>
      <c r="H4568" s="6" t="str" cm="1">
        <f t="array" ref="H4568">IFERROR(IF(INDEX(EmployeeData[Exit Date], ROW() - 37)=0, "",INDEX(EmployeeData[Exit Date], ROW() - 37)),"")</f>
        <v/>
      </c>
      <c r="I4568" s="4" t="str" cm="1">
        <f t="array" ref="I4568">IFERROR(IF(INDEX(EmployeeData[Exit Reason], ROW() - 37)=0, "",INDEX(EmployeeData[Exit Reason], ROW() - 37)),"")</f>
        <v/>
      </c>
      <c r="J4568" s="4" t="str" cm="1">
        <f t="array" ref="J4568">IFERROR(INDEX(EmployeeData[Status], ROW() - 37), "")</f>
        <v/>
      </c>
    </row>
    <row r="4569" spans="2:10" ht="19.95" customHeight="1" x14ac:dyDescent="0.3">
      <c r="B4569" s="4" t="str" cm="1">
        <f t="array" ref="B4569">IFERROR(INDEX(EmployeeData[Employee ID], ROW() - 37), "")</f>
        <v/>
      </c>
      <c r="C4569" s="4" t="str" cm="1">
        <f t="array" ref="C4569">IFERROR(INDEX(EmployeeData[Full Name], ROW() - 37), "")</f>
        <v/>
      </c>
      <c r="D4569" s="4" t="str" cm="1">
        <f t="array" ref="D4569">IFERROR(INDEX(EmployeeData[Department], ROW() - 37), "")</f>
        <v/>
      </c>
      <c r="E4569" s="4" t="str" cm="1">
        <f t="array" ref="E4569">IFERROR(INDEX(EmployeeData[Gender], ROW() - 37), "")</f>
        <v/>
      </c>
      <c r="F4569" s="4" t="str" cm="1">
        <f t="array" ref="F4569">IFERROR(INDEX(EmployeeData[Age], ROW() - 37), "")</f>
        <v/>
      </c>
      <c r="G4569" s="6" t="str" cm="1">
        <f t="array" ref="G4569">IFERROR(INDEX(EmployeeData[Join Date], ROW() - 37), "")</f>
        <v/>
      </c>
      <c r="H4569" s="6" t="str" cm="1">
        <f t="array" ref="H4569">IFERROR(IF(INDEX(EmployeeData[Exit Date], ROW() - 37)=0, "",INDEX(EmployeeData[Exit Date], ROW() - 37)),"")</f>
        <v/>
      </c>
      <c r="I4569" s="4" t="str" cm="1">
        <f t="array" ref="I4569">IFERROR(IF(INDEX(EmployeeData[Exit Reason], ROW() - 37)=0, "",INDEX(EmployeeData[Exit Reason], ROW() - 37)),"")</f>
        <v/>
      </c>
      <c r="J4569" s="4" t="str" cm="1">
        <f t="array" ref="J4569">IFERROR(INDEX(EmployeeData[Status], ROW() - 37), "")</f>
        <v/>
      </c>
    </row>
    <row r="4570" spans="2:10" ht="19.95" customHeight="1" x14ac:dyDescent="0.3">
      <c r="B4570" s="4" t="str" cm="1">
        <f t="array" ref="B4570">IFERROR(INDEX(EmployeeData[Employee ID], ROW() - 37), "")</f>
        <v/>
      </c>
      <c r="C4570" s="4" t="str" cm="1">
        <f t="array" ref="C4570">IFERROR(INDEX(EmployeeData[Full Name], ROW() - 37), "")</f>
        <v/>
      </c>
      <c r="D4570" s="4" t="str" cm="1">
        <f t="array" ref="D4570">IFERROR(INDEX(EmployeeData[Department], ROW() - 37), "")</f>
        <v/>
      </c>
      <c r="E4570" s="4" t="str" cm="1">
        <f t="array" ref="E4570">IFERROR(INDEX(EmployeeData[Gender], ROW() - 37), "")</f>
        <v/>
      </c>
      <c r="F4570" s="4" t="str" cm="1">
        <f t="array" ref="F4570">IFERROR(INDEX(EmployeeData[Age], ROW() - 37), "")</f>
        <v/>
      </c>
      <c r="G4570" s="6" t="str" cm="1">
        <f t="array" ref="G4570">IFERROR(INDEX(EmployeeData[Join Date], ROW() - 37), "")</f>
        <v/>
      </c>
      <c r="H4570" s="6" t="str" cm="1">
        <f t="array" ref="H4570">IFERROR(IF(INDEX(EmployeeData[Exit Date], ROW() - 37)=0, "",INDEX(EmployeeData[Exit Date], ROW() - 37)),"")</f>
        <v/>
      </c>
      <c r="I4570" s="4" t="str" cm="1">
        <f t="array" ref="I4570">IFERROR(IF(INDEX(EmployeeData[Exit Reason], ROW() - 37)=0, "",INDEX(EmployeeData[Exit Reason], ROW() - 37)),"")</f>
        <v/>
      </c>
      <c r="J4570" s="4" t="str" cm="1">
        <f t="array" ref="J4570">IFERROR(INDEX(EmployeeData[Status], ROW() - 37), "")</f>
        <v/>
      </c>
    </row>
    <row r="4571" spans="2:10" ht="19.95" customHeight="1" x14ac:dyDescent="0.3">
      <c r="B4571" s="4" t="str" cm="1">
        <f t="array" ref="B4571">IFERROR(INDEX(EmployeeData[Employee ID], ROW() - 37), "")</f>
        <v/>
      </c>
      <c r="C4571" s="4" t="str" cm="1">
        <f t="array" ref="C4571">IFERROR(INDEX(EmployeeData[Full Name], ROW() - 37), "")</f>
        <v/>
      </c>
      <c r="D4571" s="4" t="str" cm="1">
        <f t="array" ref="D4571">IFERROR(INDEX(EmployeeData[Department], ROW() - 37), "")</f>
        <v/>
      </c>
      <c r="E4571" s="4" t="str" cm="1">
        <f t="array" ref="E4571">IFERROR(INDEX(EmployeeData[Gender], ROW() - 37), "")</f>
        <v/>
      </c>
      <c r="F4571" s="4" t="str" cm="1">
        <f t="array" ref="F4571">IFERROR(INDEX(EmployeeData[Age], ROW() - 37), "")</f>
        <v/>
      </c>
      <c r="G4571" s="6" t="str" cm="1">
        <f t="array" ref="G4571">IFERROR(INDEX(EmployeeData[Join Date], ROW() - 37), "")</f>
        <v/>
      </c>
      <c r="H4571" s="6" t="str" cm="1">
        <f t="array" ref="H4571">IFERROR(IF(INDEX(EmployeeData[Exit Date], ROW() - 37)=0, "",INDEX(EmployeeData[Exit Date], ROW() - 37)),"")</f>
        <v/>
      </c>
      <c r="I4571" s="4" t="str" cm="1">
        <f t="array" ref="I4571">IFERROR(IF(INDEX(EmployeeData[Exit Reason], ROW() - 37)=0, "",INDEX(EmployeeData[Exit Reason], ROW() - 37)),"")</f>
        <v/>
      </c>
      <c r="J4571" s="4" t="str" cm="1">
        <f t="array" ref="J4571">IFERROR(INDEX(EmployeeData[Status], ROW() - 37), "")</f>
        <v/>
      </c>
    </row>
    <row r="4572" spans="2:10" ht="19.95" customHeight="1" x14ac:dyDescent="0.3">
      <c r="B4572" s="4" t="str" cm="1">
        <f t="array" ref="B4572">IFERROR(INDEX(EmployeeData[Employee ID], ROW() - 37), "")</f>
        <v/>
      </c>
      <c r="C4572" s="4" t="str" cm="1">
        <f t="array" ref="C4572">IFERROR(INDEX(EmployeeData[Full Name], ROW() - 37), "")</f>
        <v/>
      </c>
      <c r="D4572" s="4" t="str" cm="1">
        <f t="array" ref="D4572">IFERROR(INDEX(EmployeeData[Department], ROW() - 37), "")</f>
        <v/>
      </c>
      <c r="E4572" s="4" t="str" cm="1">
        <f t="array" ref="E4572">IFERROR(INDEX(EmployeeData[Gender], ROW() - 37), "")</f>
        <v/>
      </c>
      <c r="F4572" s="4" t="str" cm="1">
        <f t="array" ref="F4572">IFERROR(INDEX(EmployeeData[Age], ROW() - 37), "")</f>
        <v/>
      </c>
      <c r="G4572" s="6" t="str" cm="1">
        <f t="array" ref="G4572">IFERROR(INDEX(EmployeeData[Join Date], ROW() - 37), "")</f>
        <v/>
      </c>
      <c r="H4572" s="6" t="str" cm="1">
        <f t="array" ref="H4572">IFERROR(IF(INDEX(EmployeeData[Exit Date], ROW() - 37)=0, "",INDEX(EmployeeData[Exit Date], ROW() - 37)),"")</f>
        <v/>
      </c>
      <c r="I4572" s="4" t="str" cm="1">
        <f t="array" ref="I4572">IFERROR(IF(INDEX(EmployeeData[Exit Reason], ROW() - 37)=0, "",INDEX(EmployeeData[Exit Reason], ROW() - 37)),"")</f>
        <v/>
      </c>
      <c r="J4572" s="4" t="str" cm="1">
        <f t="array" ref="J4572">IFERROR(INDEX(EmployeeData[Status], ROW() - 37), "")</f>
        <v/>
      </c>
    </row>
    <row r="4573" spans="2:10" ht="19.95" customHeight="1" x14ac:dyDescent="0.3">
      <c r="B4573" s="4" t="str" cm="1">
        <f t="array" ref="B4573">IFERROR(INDEX(EmployeeData[Employee ID], ROW() - 37), "")</f>
        <v/>
      </c>
      <c r="C4573" s="4" t="str" cm="1">
        <f t="array" ref="C4573">IFERROR(INDEX(EmployeeData[Full Name], ROW() - 37), "")</f>
        <v/>
      </c>
      <c r="D4573" s="4" t="str" cm="1">
        <f t="array" ref="D4573">IFERROR(INDEX(EmployeeData[Department], ROW() - 37), "")</f>
        <v/>
      </c>
      <c r="E4573" s="4" t="str" cm="1">
        <f t="array" ref="E4573">IFERROR(INDEX(EmployeeData[Gender], ROW() - 37), "")</f>
        <v/>
      </c>
      <c r="F4573" s="4" t="str" cm="1">
        <f t="array" ref="F4573">IFERROR(INDEX(EmployeeData[Age], ROW() - 37), "")</f>
        <v/>
      </c>
      <c r="G4573" s="6" t="str" cm="1">
        <f t="array" ref="G4573">IFERROR(INDEX(EmployeeData[Join Date], ROW() - 37), "")</f>
        <v/>
      </c>
      <c r="H4573" s="6" t="str" cm="1">
        <f t="array" ref="H4573">IFERROR(IF(INDEX(EmployeeData[Exit Date], ROW() - 37)=0, "",INDEX(EmployeeData[Exit Date], ROW() - 37)),"")</f>
        <v/>
      </c>
      <c r="I4573" s="4" t="str" cm="1">
        <f t="array" ref="I4573">IFERROR(IF(INDEX(EmployeeData[Exit Reason], ROW() - 37)=0, "",INDEX(EmployeeData[Exit Reason], ROW() - 37)),"")</f>
        <v/>
      </c>
      <c r="J4573" s="4" t="str" cm="1">
        <f t="array" ref="J4573">IFERROR(INDEX(EmployeeData[Status], ROW() - 37), "")</f>
        <v/>
      </c>
    </row>
    <row r="4574" spans="2:10" ht="19.95" customHeight="1" x14ac:dyDescent="0.3">
      <c r="B4574" s="4" t="str" cm="1">
        <f t="array" ref="B4574">IFERROR(INDEX(EmployeeData[Employee ID], ROW() - 37), "")</f>
        <v/>
      </c>
      <c r="C4574" s="4" t="str" cm="1">
        <f t="array" ref="C4574">IFERROR(INDEX(EmployeeData[Full Name], ROW() - 37), "")</f>
        <v/>
      </c>
      <c r="D4574" s="4" t="str" cm="1">
        <f t="array" ref="D4574">IFERROR(INDEX(EmployeeData[Department], ROW() - 37), "")</f>
        <v/>
      </c>
      <c r="E4574" s="4" t="str" cm="1">
        <f t="array" ref="E4574">IFERROR(INDEX(EmployeeData[Gender], ROW() - 37), "")</f>
        <v/>
      </c>
      <c r="F4574" s="4" t="str" cm="1">
        <f t="array" ref="F4574">IFERROR(INDEX(EmployeeData[Age], ROW() - 37), "")</f>
        <v/>
      </c>
      <c r="G4574" s="6" t="str" cm="1">
        <f t="array" ref="G4574">IFERROR(INDEX(EmployeeData[Join Date], ROW() - 37), "")</f>
        <v/>
      </c>
      <c r="H4574" s="6" t="str" cm="1">
        <f t="array" ref="H4574">IFERROR(IF(INDEX(EmployeeData[Exit Date], ROW() - 37)=0, "",INDEX(EmployeeData[Exit Date], ROW() - 37)),"")</f>
        <v/>
      </c>
      <c r="I4574" s="4" t="str" cm="1">
        <f t="array" ref="I4574">IFERROR(IF(INDEX(EmployeeData[Exit Reason], ROW() - 37)=0, "",INDEX(EmployeeData[Exit Reason], ROW() - 37)),"")</f>
        <v/>
      </c>
      <c r="J4574" s="4" t="str" cm="1">
        <f t="array" ref="J4574">IFERROR(INDEX(EmployeeData[Status], ROW() - 37), "")</f>
        <v/>
      </c>
    </row>
    <row r="4575" spans="2:10" ht="19.95" customHeight="1" x14ac:dyDescent="0.3">
      <c r="B4575" s="4" t="str" cm="1">
        <f t="array" ref="B4575">IFERROR(INDEX(EmployeeData[Employee ID], ROW() - 37), "")</f>
        <v/>
      </c>
      <c r="C4575" s="4" t="str" cm="1">
        <f t="array" ref="C4575">IFERROR(INDEX(EmployeeData[Full Name], ROW() - 37), "")</f>
        <v/>
      </c>
      <c r="D4575" s="4" t="str" cm="1">
        <f t="array" ref="D4575">IFERROR(INDEX(EmployeeData[Department], ROW() - 37), "")</f>
        <v/>
      </c>
      <c r="E4575" s="4" t="str" cm="1">
        <f t="array" ref="E4575">IFERROR(INDEX(EmployeeData[Gender], ROW() - 37), "")</f>
        <v/>
      </c>
      <c r="F4575" s="4" t="str" cm="1">
        <f t="array" ref="F4575">IFERROR(INDEX(EmployeeData[Age], ROW() - 37), "")</f>
        <v/>
      </c>
      <c r="G4575" s="6" t="str" cm="1">
        <f t="array" ref="G4575">IFERROR(INDEX(EmployeeData[Join Date], ROW() - 37), "")</f>
        <v/>
      </c>
      <c r="H4575" s="6" t="str" cm="1">
        <f t="array" ref="H4575">IFERROR(IF(INDEX(EmployeeData[Exit Date], ROW() - 37)=0, "",INDEX(EmployeeData[Exit Date], ROW() - 37)),"")</f>
        <v/>
      </c>
      <c r="I4575" s="4" t="str" cm="1">
        <f t="array" ref="I4575">IFERROR(IF(INDEX(EmployeeData[Exit Reason], ROW() - 37)=0, "",INDEX(EmployeeData[Exit Reason], ROW() - 37)),"")</f>
        <v/>
      </c>
      <c r="J4575" s="4" t="str" cm="1">
        <f t="array" ref="J4575">IFERROR(INDEX(EmployeeData[Status], ROW() - 37), "")</f>
        <v/>
      </c>
    </row>
    <row r="4576" spans="2:10" ht="19.95" customHeight="1" x14ac:dyDescent="0.3">
      <c r="B4576" s="4" t="str" cm="1">
        <f t="array" ref="B4576">IFERROR(INDEX(EmployeeData[Employee ID], ROW() - 37), "")</f>
        <v/>
      </c>
      <c r="C4576" s="4" t="str" cm="1">
        <f t="array" ref="C4576">IFERROR(INDEX(EmployeeData[Full Name], ROW() - 37), "")</f>
        <v/>
      </c>
      <c r="D4576" s="4" t="str" cm="1">
        <f t="array" ref="D4576">IFERROR(INDEX(EmployeeData[Department], ROW() - 37), "")</f>
        <v/>
      </c>
      <c r="E4576" s="4" t="str" cm="1">
        <f t="array" ref="E4576">IFERROR(INDEX(EmployeeData[Gender], ROW() - 37), "")</f>
        <v/>
      </c>
      <c r="F4576" s="4" t="str" cm="1">
        <f t="array" ref="F4576">IFERROR(INDEX(EmployeeData[Age], ROW() - 37), "")</f>
        <v/>
      </c>
      <c r="G4576" s="6" t="str" cm="1">
        <f t="array" ref="G4576">IFERROR(INDEX(EmployeeData[Join Date], ROW() - 37), "")</f>
        <v/>
      </c>
      <c r="H4576" s="6" t="str" cm="1">
        <f t="array" ref="H4576">IFERROR(IF(INDEX(EmployeeData[Exit Date], ROW() - 37)=0, "",INDEX(EmployeeData[Exit Date], ROW() - 37)),"")</f>
        <v/>
      </c>
      <c r="I4576" s="4" t="str" cm="1">
        <f t="array" ref="I4576">IFERROR(IF(INDEX(EmployeeData[Exit Reason], ROW() - 37)=0, "",INDEX(EmployeeData[Exit Reason], ROW() - 37)),"")</f>
        <v/>
      </c>
      <c r="J4576" s="4" t="str" cm="1">
        <f t="array" ref="J4576">IFERROR(INDEX(EmployeeData[Status], ROW() - 37), "")</f>
        <v/>
      </c>
    </row>
    <row r="4577" spans="2:10" ht="19.95" customHeight="1" x14ac:dyDescent="0.3">
      <c r="B4577" s="4" t="str" cm="1">
        <f t="array" ref="B4577">IFERROR(INDEX(EmployeeData[Employee ID], ROW() - 37), "")</f>
        <v/>
      </c>
      <c r="C4577" s="4" t="str" cm="1">
        <f t="array" ref="C4577">IFERROR(INDEX(EmployeeData[Full Name], ROW() - 37), "")</f>
        <v/>
      </c>
      <c r="D4577" s="4" t="str" cm="1">
        <f t="array" ref="D4577">IFERROR(INDEX(EmployeeData[Department], ROW() - 37), "")</f>
        <v/>
      </c>
      <c r="E4577" s="4" t="str" cm="1">
        <f t="array" ref="E4577">IFERROR(INDEX(EmployeeData[Gender], ROW() - 37), "")</f>
        <v/>
      </c>
      <c r="F4577" s="4" t="str" cm="1">
        <f t="array" ref="F4577">IFERROR(INDEX(EmployeeData[Age], ROW() - 37), "")</f>
        <v/>
      </c>
      <c r="G4577" s="6" t="str" cm="1">
        <f t="array" ref="G4577">IFERROR(INDEX(EmployeeData[Join Date], ROW() - 37), "")</f>
        <v/>
      </c>
      <c r="H4577" s="6" t="str" cm="1">
        <f t="array" ref="H4577">IFERROR(IF(INDEX(EmployeeData[Exit Date], ROW() - 37)=0, "",INDEX(EmployeeData[Exit Date], ROW() - 37)),"")</f>
        <v/>
      </c>
      <c r="I4577" s="4" t="str" cm="1">
        <f t="array" ref="I4577">IFERROR(IF(INDEX(EmployeeData[Exit Reason], ROW() - 37)=0, "",INDEX(EmployeeData[Exit Reason], ROW() - 37)),"")</f>
        <v/>
      </c>
      <c r="J4577" s="4" t="str" cm="1">
        <f t="array" ref="J4577">IFERROR(INDEX(EmployeeData[Status], ROW() - 37), "")</f>
        <v/>
      </c>
    </row>
    <row r="4578" spans="2:10" ht="19.95" customHeight="1" x14ac:dyDescent="0.3">
      <c r="B4578" s="4" t="str" cm="1">
        <f t="array" ref="B4578">IFERROR(INDEX(EmployeeData[Employee ID], ROW() - 37), "")</f>
        <v/>
      </c>
      <c r="C4578" s="4" t="str" cm="1">
        <f t="array" ref="C4578">IFERROR(INDEX(EmployeeData[Full Name], ROW() - 37), "")</f>
        <v/>
      </c>
      <c r="D4578" s="4" t="str" cm="1">
        <f t="array" ref="D4578">IFERROR(INDEX(EmployeeData[Department], ROW() - 37), "")</f>
        <v/>
      </c>
      <c r="E4578" s="4" t="str" cm="1">
        <f t="array" ref="E4578">IFERROR(INDEX(EmployeeData[Gender], ROW() - 37), "")</f>
        <v/>
      </c>
      <c r="F4578" s="4" t="str" cm="1">
        <f t="array" ref="F4578">IFERROR(INDEX(EmployeeData[Age], ROW() - 37), "")</f>
        <v/>
      </c>
      <c r="G4578" s="6" t="str" cm="1">
        <f t="array" ref="G4578">IFERROR(INDEX(EmployeeData[Join Date], ROW() - 37), "")</f>
        <v/>
      </c>
      <c r="H4578" s="6" t="str" cm="1">
        <f t="array" ref="H4578">IFERROR(IF(INDEX(EmployeeData[Exit Date], ROW() - 37)=0, "",INDEX(EmployeeData[Exit Date], ROW() - 37)),"")</f>
        <v/>
      </c>
      <c r="I4578" s="4" t="str" cm="1">
        <f t="array" ref="I4578">IFERROR(IF(INDEX(EmployeeData[Exit Reason], ROW() - 37)=0, "",INDEX(EmployeeData[Exit Reason], ROW() - 37)),"")</f>
        <v/>
      </c>
      <c r="J4578" s="4" t="str" cm="1">
        <f t="array" ref="J4578">IFERROR(INDEX(EmployeeData[Status], ROW() - 37), "")</f>
        <v/>
      </c>
    </row>
    <row r="4579" spans="2:10" ht="19.95" customHeight="1" x14ac:dyDescent="0.3">
      <c r="B4579" s="4" t="str" cm="1">
        <f t="array" ref="B4579">IFERROR(INDEX(EmployeeData[Employee ID], ROW() - 37), "")</f>
        <v/>
      </c>
      <c r="C4579" s="4" t="str" cm="1">
        <f t="array" ref="C4579">IFERROR(INDEX(EmployeeData[Full Name], ROW() - 37), "")</f>
        <v/>
      </c>
      <c r="D4579" s="4" t="str" cm="1">
        <f t="array" ref="D4579">IFERROR(INDEX(EmployeeData[Department], ROW() - 37), "")</f>
        <v/>
      </c>
      <c r="E4579" s="4" t="str" cm="1">
        <f t="array" ref="E4579">IFERROR(INDEX(EmployeeData[Gender], ROW() - 37), "")</f>
        <v/>
      </c>
      <c r="F4579" s="4" t="str" cm="1">
        <f t="array" ref="F4579">IFERROR(INDEX(EmployeeData[Age], ROW() - 37), "")</f>
        <v/>
      </c>
      <c r="G4579" s="6" t="str" cm="1">
        <f t="array" ref="G4579">IFERROR(INDEX(EmployeeData[Join Date], ROW() - 37), "")</f>
        <v/>
      </c>
      <c r="H4579" s="6" t="str" cm="1">
        <f t="array" ref="H4579">IFERROR(IF(INDEX(EmployeeData[Exit Date], ROW() - 37)=0, "",INDEX(EmployeeData[Exit Date], ROW() - 37)),"")</f>
        <v/>
      </c>
      <c r="I4579" s="4" t="str" cm="1">
        <f t="array" ref="I4579">IFERROR(IF(INDEX(EmployeeData[Exit Reason], ROW() - 37)=0, "",INDEX(EmployeeData[Exit Reason], ROW() - 37)),"")</f>
        <v/>
      </c>
      <c r="J4579" s="4" t="str" cm="1">
        <f t="array" ref="J4579">IFERROR(INDEX(EmployeeData[Status], ROW() - 37), "")</f>
        <v/>
      </c>
    </row>
    <row r="4580" spans="2:10" ht="19.95" customHeight="1" x14ac:dyDescent="0.3">
      <c r="B4580" s="4" t="str" cm="1">
        <f t="array" ref="B4580">IFERROR(INDEX(EmployeeData[Employee ID], ROW() - 37), "")</f>
        <v/>
      </c>
      <c r="C4580" s="4" t="str" cm="1">
        <f t="array" ref="C4580">IFERROR(INDEX(EmployeeData[Full Name], ROW() - 37), "")</f>
        <v/>
      </c>
      <c r="D4580" s="4" t="str" cm="1">
        <f t="array" ref="D4580">IFERROR(INDEX(EmployeeData[Department], ROW() - 37), "")</f>
        <v/>
      </c>
      <c r="E4580" s="4" t="str" cm="1">
        <f t="array" ref="E4580">IFERROR(INDEX(EmployeeData[Gender], ROW() - 37), "")</f>
        <v/>
      </c>
      <c r="F4580" s="4" t="str" cm="1">
        <f t="array" ref="F4580">IFERROR(INDEX(EmployeeData[Age], ROW() - 37), "")</f>
        <v/>
      </c>
      <c r="G4580" s="6" t="str" cm="1">
        <f t="array" ref="G4580">IFERROR(INDEX(EmployeeData[Join Date], ROW() - 37), "")</f>
        <v/>
      </c>
      <c r="H4580" s="6" t="str" cm="1">
        <f t="array" ref="H4580">IFERROR(IF(INDEX(EmployeeData[Exit Date], ROW() - 37)=0, "",INDEX(EmployeeData[Exit Date], ROW() - 37)),"")</f>
        <v/>
      </c>
      <c r="I4580" s="4" t="str" cm="1">
        <f t="array" ref="I4580">IFERROR(IF(INDEX(EmployeeData[Exit Reason], ROW() - 37)=0, "",INDEX(EmployeeData[Exit Reason], ROW() - 37)),"")</f>
        <v/>
      </c>
      <c r="J4580" s="4" t="str" cm="1">
        <f t="array" ref="J4580">IFERROR(INDEX(EmployeeData[Status], ROW() - 37), "")</f>
        <v/>
      </c>
    </row>
    <row r="4581" spans="2:10" ht="19.95" customHeight="1" x14ac:dyDescent="0.3">
      <c r="B4581" s="4" t="str" cm="1">
        <f t="array" ref="B4581">IFERROR(INDEX(EmployeeData[Employee ID], ROW() - 37), "")</f>
        <v/>
      </c>
      <c r="C4581" s="4" t="str" cm="1">
        <f t="array" ref="C4581">IFERROR(INDEX(EmployeeData[Full Name], ROW() - 37), "")</f>
        <v/>
      </c>
      <c r="D4581" s="4" t="str" cm="1">
        <f t="array" ref="D4581">IFERROR(INDEX(EmployeeData[Department], ROW() - 37), "")</f>
        <v/>
      </c>
      <c r="E4581" s="4" t="str" cm="1">
        <f t="array" ref="E4581">IFERROR(INDEX(EmployeeData[Gender], ROW() - 37), "")</f>
        <v/>
      </c>
      <c r="F4581" s="4" t="str" cm="1">
        <f t="array" ref="F4581">IFERROR(INDEX(EmployeeData[Age], ROW() - 37), "")</f>
        <v/>
      </c>
      <c r="G4581" s="6" t="str" cm="1">
        <f t="array" ref="G4581">IFERROR(INDEX(EmployeeData[Join Date], ROW() - 37), "")</f>
        <v/>
      </c>
      <c r="H4581" s="6" t="str" cm="1">
        <f t="array" ref="H4581">IFERROR(IF(INDEX(EmployeeData[Exit Date], ROW() - 37)=0, "",INDEX(EmployeeData[Exit Date], ROW() - 37)),"")</f>
        <v/>
      </c>
      <c r="I4581" s="4" t="str" cm="1">
        <f t="array" ref="I4581">IFERROR(IF(INDEX(EmployeeData[Exit Reason], ROW() - 37)=0, "",INDEX(EmployeeData[Exit Reason], ROW() - 37)),"")</f>
        <v/>
      </c>
      <c r="J4581" s="4" t="str" cm="1">
        <f t="array" ref="J4581">IFERROR(INDEX(EmployeeData[Status], ROW() - 37), "")</f>
        <v/>
      </c>
    </row>
    <row r="4582" spans="2:10" ht="19.95" customHeight="1" x14ac:dyDescent="0.3">
      <c r="B4582" s="4" t="str" cm="1">
        <f t="array" ref="B4582">IFERROR(INDEX(EmployeeData[Employee ID], ROW() - 37), "")</f>
        <v/>
      </c>
      <c r="C4582" s="4" t="str" cm="1">
        <f t="array" ref="C4582">IFERROR(INDEX(EmployeeData[Full Name], ROW() - 37), "")</f>
        <v/>
      </c>
      <c r="D4582" s="4" t="str" cm="1">
        <f t="array" ref="D4582">IFERROR(INDEX(EmployeeData[Department], ROW() - 37), "")</f>
        <v/>
      </c>
      <c r="E4582" s="4" t="str" cm="1">
        <f t="array" ref="E4582">IFERROR(INDEX(EmployeeData[Gender], ROW() - 37), "")</f>
        <v/>
      </c>
      <c r="F4582" s="4" t="str" cm="1">
        <f t="array" ref="F4582">IFERROR(INDEX(EmployeeData[Age], ROW() - 37), "")</f>
        <v/>
      </c>
      <c r="G4582" s="6" t="str" cm="1">
        <f t="array" ref="G4582">IFERROR(INDEX(EmployeeData[Join Date], ROW() - 37), "")</f>
        <v/>
      </c>
      <c r="H4582" s="6" t="str" cm="1">
        <f t="array" ref="H4582">IFERROR(IF(INDEX(EmployeeData[Exit Date], ROW() - 37)=0, "",INDEX(EmployeeData[Exit Date], ROW() - 37)),"")</f>
        <v/>
      </c>
      <c r="I4582" s="4" t="str" cm="1">
        <f t="array" ref="I4582">IFERROR(IF(INDEX(EmployeeData[Exit Reason], ROW() - 37)=0, "",INDEX(EmployeeData[Exit Reason], ROW() - 37)),"")</f>
        <v/>
      </c>
      <c r="J4582" s="4" t="str" cm="1">
        <f t="array" ref="J4582">IFERROR(INDEX(EmployeeData[Status], ROW() - 37), "")</f>
        <v/>
      </c>
    </row>
    <row r="4583" spans="2:10" ht="19.95" customHeight="1" x14ac:dyDescent="0.3">
      <c r="B4583" s="4" t="str" cm="1">
        <f t="array" ref="B4583">IFERROR(INDEX(EmployeeData[Employee ID], ROW() - 37), "")</f>
        <v/>
      </c>
      <c r="C4583" s="4" t="str" cm="1">
        <f t="array" ref="C4583">IFERROR(INDEX(EmployeeData[Full Name], ROW() - 37), "")</f>
        <v/>
      </c>
      <c r="D4583" s="4" t="str" cm="1">
        <f t="array" ref="D4583">IFERROR(INDEX(EmployeeData[Department], ROW() - 37), "")</f>
        <v/>
      </c>
      <c r="E4583" s="4" t="str" cm="1">
        <f t="array" ref="E4583">IFERROR(INDEX(EmployeeData[Gender], ROW() - 37), "")</f>
        <v/>
      </c>
      <c r="F4583" s="4" t="str" cm="1">
        <f t="array" ref="F4583">IFERROR(INDEX(EmployeeData[Age], ROW() - 37), "")</f>
        <v/>
      </c>
      <c r="G4583" s="6" t="str" cm="1">
        <f t="array" ref="G4583">IFERROR(INDEX(EmployeeData[Join Date], ROW() - 37), "")</f>
        <v/>
      </c>
      <c r="H4583" s="6" t="str" cm="1">
        <f t="array" ref="H4583">IFERROR(IF(INDEX(EmployeeData[Exit Date], ROW() - 37)=0, "",INDEX(EmployeeData[Exit Date], ROW() - 37)),"")</f>
        <v/>
      </c>
      <c r="I4583" s="4" t="str" cm="1">
        <f t="array" ref="I4583">IFERROR(IF(INDEX(EmployeeData[Exit Reason], ROW() - 37)=0, "",INDEX(EmployeeData[Exit Reason], ROW() - 37)),"")</f>
        <v/>
      </c>
      <c r="J4583" s="4" t="str" cm="1">
        <f t="array" ref="J4583">IFERROR(INDEX(EmployeeData[Status], ROW() - 37), "")</f>
        <v/>
      </c>
    </row>
    <row r="4584" spans="2:10" ht="19.95" customHeight="1" x14ac:dyDescent="0.3">
      <c r="B4584" s="4" t="str" cm="1">
        <f t="array" ref="B4584">IFERROR(INDEX(EmployeeData[Employee ID], ROW() - 37), "")</f>
        <v/>
      </c>
      <c r="C4584" s="4" t="str" cm="1">
        <f t="array" ref="C4584">IFERROR(INDEX(EmployeeData[Full Name], ROW() - 37), "")</f>
        <v/>
      </c>
      <c r="D4584" s="4" t="str" cm="1">
        <f t="array" ref="D4584">IFERROR(INDEX(EmployeeData[Department], ROW() - 37), "")</f>
        <v/>
      </c>
      <c r="E4584" s="4" t="str" cm="1">
        <f t="array" ref="E4584">IFERROR(INDEX(EmployeeData[Gender], ROW() - 37), "")</f>
        <v/>
      </c>
      <c r="F4584" s="4" t="str" cm="1">
        <f t="array" ref="F4584">IFERROR(INDEX(EmployeeData[Age], ROW() - 37), "")</f>
        <v/>
      </c>
      <c r="G4584" s="6" t="str" cm="1">
        <f t="array" ref="G4584">IFERROR(INDEX(EmployeeData[Join Date], ROW() - 37), "")</f>
        <v/>
      </c>
      <c r="H4584" s="6" t="str" cm="1">
        <f t="array" ref="H4584">IFERROR(IF(INDEX(EmployeeData[Exit Date], ROW() - 37)=0, "",INDEX(EmployeeData[Exit Date], ROW() - 37)),"")</f>
        <v/>
      </c>
      <c r="I4584" s="4" t="str" cm="1">
        <f t="array" ref="I4584">IFERROR(IF(INDEX(EmployeeData[Exit Reason], ROW() - 37)=0, "",INDEX(EmployeeData[Exit Reason], ROW() - 37)),"")</f>
        <v/>
      </c>
      <c r="J4584" s="4" t="str" cm="1">
        <f t="array" ref="J4584">IFERROR(INDEX(EmployeeData[Status], ROW() - 37), "")</f>
        <v/>
      </c>
    </row>
    <row r="4585" spans="2:10" ht="19.95" customHeight="1" x14ac:dyDescent="0.3">
      <c r="B4585" s="4" t="str" cm="1">
        <f t="array" ref="B4585">IFERROR(INDEX(EmployeeData[Employee ID], ROW() - 37), "")</f>
        <v/>
      </c>
      <c r="C4585" s="4" t="str" cm="1">
        <f t="array" ref="C4585">IFERROR(INDEX(EmployeeData[Full Name], ROW() - 37), "")</f>
        <v/>
      </c>
      <c r="D4585" s="4" t="str" cm="1">
        <f t="array" ref="D4585">IFERROR(INDEX(EmployeeData[Department], ROW() - 37), "")</f>
        <v/>
      </c>
      <c r="E4585" s="4" t="str" cm="1">
        <f t="array" ref="E4585">IFERROR(INDEX(EmployeeData[Gender], ROW() - 37), "")</f>
        <v/>
      </c>
      <c r="F4585" s="4" t="str" cm="1">
        <f t="array" ref="F4585">IFERROR(INDEX(EmployeeData[Age], ROW() - 37), "")</f>
        <v/>
      </c>
      <c r="G4585" s="6" t="str" cm="1">
        <f t="array" ref="G4585">IFERROR(INDEX(EmployeeData[Join Date], ROW() - 37), "")</f>
        <v/>
      </c>
      <c r="H4585" s="6" t="str" cm="1">
        <f t="array" ref="H4585">IFERROR(IF(INDEX(EmployeeData[Exit Date], ROW() - 37)=0, "",INDEX(EmployeeData[Exit Date], ROW() - 37)),"")</f>
        <v/>
      </c>
      <c r="I4585" s="4" t="str" cm="1">
        <f t="array" ref="I4585">IFERROR(IF(INDEX(EmployeeData[Exit Reason], ROW() - 37)=0, "",INDEX(EmployeeData[Exit Reason], ROW() - 37)),"")</f>
        <v/>
      </c>
      <c r="J4585" s="4" t="str" cm="1">
        <f t="array" ref="J4585">IFERROR(INDEX(EmployeeData[Status], ROW() - 37), "")</f>
        <v/>
      </c>
    </row>
    <row r="4586" spans="2:10" ht="19.95" customHeight="1" x14ac:dyDescent="0.3">
      <c r="B4586" s="4" t="str" cm="1">
        <f t="array" ref="B4586">IFERROR(INDEX(EmployeeData[Employee ID], ROW() - 37), "")</f>
        <v/>
      </c>
      <c r="C4586" s="4" t="str" cm="1">
        <f t="array" ref="C4586">IFERROR(INDEX(EmployeeData[Full Name], ROW() - 37), "")</f>
        <v/>
      </c>
      <c r="D4586" s="4" t="str" cm="1">
        <f t="array" ref="D4586">IFERROR(INDEX(EmployeeData[Department], ROW() - 37), "")</f>
        <v/>
      </c>
      <c r="E4586" s="4" t="str" cm="1">
        <f t="array" ref="E4586">IFERROR(INDEX(EmployeeData[Gender], ROW() - 37), "")</f>
        <v/>
      </c>
      <c r="F4586" s="4" t="str" cm="1">
        <f t="array" ref="F4586">IFERROR(INDEX(EmployeeData[Age], ROW() - 37), "")</f>
        <v/>
      </c>
      <c r="G4586" s="6" t="str" cm="1">
        <f t="array" ref="G4586">IFERROR(INDEX(EmployeeData[Join Date], ROW() - 37), "")</f>
        <v/>
      </c>
      <c r="H4586" s="6" t="str" cm="1">
        <f t="array" ref="H4586">IFERROR(IF(INDEX(EmployeeData[Exit Date], ROW() - 37)=0, "",INDEX(EmployeeData[Exit Date], ROW() - 37)),"")</f>
        <v/>
      </c>
      <c r="I4586" s="4" t="str" cm="1">
        <f t="array" ref="I4586">IFERROR(IF(INDEX(EmployeeData[Exit Reason], ROW() - 37)=0, "",INDEX(EmployeeData[Exit Reason], ROW() - 37)),"")</f>
        <v/>
      </c>
      <c r="J4586" s="4" t="str" cm="1">
        <f t="array" ref="J4586">IFERROR(INDEX(EmployeeData[Status], ROW() - 37), "")</f>
        <v/>
      </c>
    </row>
    <row r="4587" spans="2:10" ht="19.95" customHeight="1" x14ac:dyDescent="0.3">
      <c r="B4587" s="4" t="str" cm="1">
        <f t="array" ref="B4587">IFERROR(INDEX(EmployeeData[Employee ID], ROW() - 37), "")</f>
        <v/>
      </c>
      <c r="C4587" s="4" t="str" cm="1">
        <f t="array" ref="C4587">IFERROR(INDEX(EmployeeData[Full Name], ROW() - 37), "")</f>
        <v/>
      </c>
      <c r="D4587" s="4" t="str" cm="1">
        <f t="array" ref="D4587">IFERROR(INDEX(EmployeeData[Department], ROW() - 37), "")</f>
        <v/>
      </c>
      <c r="E4587" s="4" t="str" cm="1">
        <f t="array" ref="E4587">IFERROR(INDEX(EmployeeData[Gender], ROW() - 37), "")</f>
        <v/>
      </c>
      <c r="F4587" s="4" t="str" cm="1">
        <f t="array" ref="F4587">IFERROR(INDEX(EmployeeData[Age], ROW() - 37), "")</f>
        <v/>
      </c>
      <c r="G4587" s="6" t="str" cm="1">
        <f t="array" ref="G4587">IFERROR(INDEX(EmployeeData[Join Date], ROW() - 37), "")</f>
        <v/>
      </c>
      <c r="H4587" s="6" t="str" cm="1">
        <f t="array" ref="H4587">IFERROR(IF(INDEX(EmployeeData[Exit Date], ROW() - 37)=0, "",INDEX(EmployeeData[Exit Date], ROW() - 37)),"")</f>
        <v/>
      </c>
      <c r="I4587" s="4" t="str" cm="1">
        <f t="array" ref="I4587">IFERROR(IF(INDEX(EmployeeData[Exit Reason], ROW() - 37)=0, "",INDEX(EmployeeData[Exit Reason], ROW() - 37)),"")</f>
        <v/>
      </c>
      <c r="J4587" s="4" t="str" cm="1">
        <f t="array" ref="J4587">IFERROR(INDEX(EmployeeData[Status], ROW() - 37), "")</f>
        <v/>
      </c>
    </row>
    <row r="4588" spans="2:10" ht="19.95" customHeight="1" x14ac:dyDescent="0.3">
      <c r="B4588" s="4" t="str" cm="1">
        <f t="array" ref="B4588">IFERROR(INDEX(EmployeeData[Employee ID], ROW() - 37), "")</f>
        <v/>
      </c>
      <c r="C4588" s="4" t="str" cm="1">
        <f t="array" ref="C4588">IFERROR(INDEX(EmployeeData[Full Name], ROW() - 37), "")</f>
        <v/>
      </c>
      <c r="D4588" s="4" t="str" cm="1">
        <f t="array" ref="D4588">IFERROR(INDEX(EmployeeData[Department], ROW() - 37), "")</f>
        <v/>
      </c>
      <c r="E4588" s="4" t="str" cm="1">
        <f t="array" ref="E4588">IFERROR(INDEX(EmployeeData[Gender], ROW() - 37), "")</f>
        <v/>
      </c>
      <c r="F4588" s="4" t="str" cm="1">
        <f t="array" ref="F4588">IFERROR(INDEX(EmployeeData[Age], ROW() - 37), "")</f>
        <v/>
      </c>
      <c r="G4588" s="6" t="str" cm="1">
        <f t="array" ref="G4588">IFERROR(INDEX(EmployeeData[Join Date], ROW() - 37), "")</f>
        <v/>
      </c>
      <c r="H4588" s="6" t="str" cm="1">
        <f t="array" ref="H4588">IFERROR(IF(INDEX(EmployeeData[Exit Date], ROW() - 37)=0, "",INDEX(EmployeeData[Exit Date], ROW() - 37)),"")</f>
        <v/>
      </c>
      <c r="I4588" s="4" t="str" cm="1">
        <f t="array" ref="I4588">IFERROR(IF(INDEX(EmployeeData[Exit Reason], ROW() - 37)=0, "",INDEX(EmployeeData[Exit Reason], ROW() - 37)),"")</f>
        <v/>
      </c>
      <c r="J4588" s="4" t="str" cm="1">
        <f t="array" ref="J4588">IFERROR(INDEX(EmployeeData[Status], ROW() - 37), "")</f>
        <v/>
      </c>
    </row>
    <row r="4589" spans="2:10" ht="19.95" customHeight="1" x14ac:dyDescent="0.3">
      <c r="B4589" s="4" t="str" cm="1">
        <f t="array" ref="B4589">IFERROR(INDEX(EmployeeData[Employee ID], ROW() - 37), "")</f>
        <v/>
      </c>
      <c r="C4589" s="4" t="str" cm="1">
        <f t="array" ref="C4589">IFERROR(INDEX(EmployeeData[Full Name], ROW() - 37), "")</f>
        <v/>
      </c>
      <c r="D4589" s="4" t="str" cm="1">
        <f t="array" ref="D4589">IFERROR(INDEX(EmployeeData[Department], ROW() - 37), "")</f>
        <v/>
      </c>
      <c r="E4589" s="4" t="str" cm="1">
        <f t="array" ref="E4589">IFERROR(INDEX(EmployeeData[Gender], ROW() - 37), "")</f>
        <v/>
      </c>
      <c r="F4589" s="4" t="str" cm="1">
        <f t="array" ref="F4589">IFERROR(INDEX(EmployeeData[Age], ROW() - 37), "")</f>
        <v/>
      </c>
      <c r="G4589" s="6" t="str" cm="1">
        <f t="array" ref="G4589">IFERROR(INDEX(EmployeeData[Join Date], ROW() - 37), "")</f>
        <v/>
      </c>
      <c r="H4589" s="6" t="str" cm="1">
        <f t="array" ref="H4589">IFERROR(IF(INDEX(EmployeeData[Exit Date], ROW() - 37)=0, "",INDEX(EmployeeData[Exit Date], ROW() - 37)),"")</f>
        <v/>
      </c>
      <c r="I4589" s="4" t="str" cm="1">
        <f t="array" ref="I4589">IFERROR(IF(INDEX(EmployeeData[Exit Reason], ROW() - 37)=0, "",INDEX(EmployeeData[Exit Reason], ROW() - 37)),"")</f>
        <v/>
      </c>
      <c r="J4589" s="4" t="str" cm="1">
        <f t="array" ref="J4589">IFERROR(INDEX(EmployeeData[Status], ROW() - 37), "")</f>
        <v/>
      </c>
    </row>
    <row r="4590" spans="2:10" ht="19.95" customHeight="1" x14ac:dyDescent="0.3">
      <c r="B4590" s="4" t="str" cm="1">
        <f t="array" ref="B4590">IFERROR(INDEX(EmployeeData[Employee ID], ROW() - 37), "")</f>
        <v/>
      </c>
      <c r="C4590" s="4" t="str" cm="1">
        <f t="array" ref="C4590">IFERROR(INDEX(EmployeeData[Full Name], ROW() - 37), "")</f>
        <v/>
      </c>
      <c r="D4590" s="4" t="str" cm="1">
        <f t="array" ref="D4590">IFERROR(INDEX(EmployeeData[Department], ROW() - 37), "")</f>
        <v/>
      </c>
      <c r="E4590" s="4" t="str" cm="1">
        <f t="array" ref="E4590">IFERROR(INDEX(EmployeeData[Gender], ROW() - 37), "")</f>
        <v/>
      </c>
      <c r="F4590" s="4" t="str" cm="1">
        <f t="array" ref="F4590">IFERROR(INDEX(EmployeeData[Age], ROW() - 37), "")</f>
        <v/>
      </c>
      <c r="G4590" s="6" t="str" cm="1">
        <f t="array" ref="G4590">IFERROR(INDEX(EmployeeData[Join Date], ROW() - 37), "")</f>
        <v/>
      </c>
      <c r="H4590" s="6" t="str" cm="1">
        <f t="array" ref="H4590">IFERROR(IF(INDEX(EmployeeData[Exit Date], ROW() - 37)=0, "",INDEX(EmployeeData[Exit Date], ROW() - 37)),"")</f>
        <v/>
      </c>
      <c r="I4590" s="4" t="str" cm="1">
        <f t="array" ref="I4590">IFERROR(IF(INDEX(EmployeeData[Exit Reason], ROW() - 37)=0, "",INDEX(EmployeeData[Exit Reason], ROW() - 37)),"")</f>
        <v/>
      </c>
      <c r="J4590" s="4" t="str" cm="1">
        <f t="array" ref="J4590">IFERROR(INDEX(EmployeeData[Status], ROW() - 37), "")</f>
        <v/>
      </c>
    </row>
    <row r="4591" spans="2:10" ht="19.95" customHeight="1" x14ac:dyDescent="0.3">
      <c r="B4591" s="4" t="str" cm="1">
        <f t="array" ref="B4591">IFERROR(INDEX(EmployeeData[Employee ID], ROW() - 37), "")</f>
        <v/>
      </c>
      <c r="C4591" s="4" t="str" cm="1">
        <f t="array" ref="C4591">IFERROR(INDEX(EmployeeData[Full Name], ROW() - 37), "")</f>
        <v/>
      </c>
      <c r="D4591" s="4" t="str" cm="1">
        <f t="array" ref="D4591">IFERROR(INDEX(EmployeeData[Department], ROW() - 37), "")</f>
        <v/>
      </c>
      <c r="E4591" s="4" t="str" cm="1">
        <f t="array" ref="E4591">IFERROR(INDEX(EmployeeData[Gender], ROW() - 37), "")</f>
        <v/>
      </c>
      <c r="F4591" s="4" t="str" cm="1">
        <f t="array" ref="F4591">IFERROR(INDEX(EmployeeData[Age], ROW() - 37), "")</f>
        <v/>
      </c>
      <c r="G4591" s="6" t="str" cm="1">
        <f t="array" ref="G4591">IFERROR(INDEX(EmployeeData[Join Date], ROW() - 37), "")</f>
        <v/>
      </c>
      <c r="H4591" s="6" t="str" cm="1">
        <f t="array" ref="H4591">IFERROR(IF(INDEX(EmployeeData[Exit Date], ROW() - 37)=0, "",INDEX(EmployeeData[Exit Date], ROW() - 37)),"")</f>
        <v/>
      </c>
      <c r="I4591" s="4" t="str" cm="1">
        <f t="array" ref="I4591">IFERROR(IF(INDEX(EmployeeData[Exit Reason], ROW() - 37)=0, "",INDEX(EmployeeData[Exit Reason], ROW() - 37)),"")</f>
        <v/>
      </c>
      <c r="J4591" s="4" t="str" cm="1">
        <f t="array" ref="J4591">IFERROR(INDEX(EmployeeData[Status], ROW() - 37), "")</f>
        <v/>
      </c>
    </row>
    <row r="4592" spans="2:10" ht="19.95" customHeight="1" x14ac:dyDescent="0.3">
      <c r="B4592" s="4" t="str" cm="1">
        <f t="array" ref="B4592">IFERROR(INDEX(EmployeeData[Employee ID], ROW() - 37), "")</f>
        <v/>
      </c>
      <c r="C4592" s="4" t="str" cm="1">
        <f t="array" ref="C4592">IFERROR(INDEX(EmployeeData[Full Name], ROW() - 37), "")</f>
        <v/>
      </c>
      <c r="D4592" s="4" t="str" cm="1">
        <f t="array" ref="D4592">IFERROR(INDEX(EmployeeData[Department], ROW() - 37), "")</f>
        <v/>
      </c>
      <c r="E4592" s="4" t="str" cm="1">
        <f t="array" ref="E4592">IFERROR(INDEX(EmployeeData[Gender], ROW() - 37), "")</f>
        <v/>
      </c>
      <c r="F4592" s="4" t="str" cm="1">
        <f t="array" ref="F4592">IFERROR(INDEX(EmployeeData[Age], ROW() - 37), "")</f>
        <v/>
      </c>
      <c r="G4592" s="6" t="str" cm="1">
        <f t="array" ref="G4592">IFERROR(INDEX(EmployeeData[Join Date], ROW() - 37), "")</f>
        <v/>
      </c>
      <c r="H4592" s="6" t="str" cm="1">
        <f t="array" ref="H4592">IFERROR(IF(INDEX(EmployeeData[Exit Date], ROW() - 37)=0, "",INDEX(EmployeeData[Exit Date], ROW() - 37)),"")</f>
        <v/>
      </c>
      <c r="I4592" s="4" t="str" cm="1">
        <f t="array" ref="I4592">IFERROR(IF(INDEX(EmployeeData[Exit Reason], ROW() - 37)=0, "",INDEX(EmployeeData[Exit Reason], ROW() - 37)),"")</f>
        <v/>
      </c>
      <c r="J4592" s="4" t="str" cm="1">
        <f t="array" ref="J4592">IFERROR(INDEX(EmployeeData[Status], ROW() - 37), "")</f>
        <v/>
      </c>
    </row>
    <row r="4593" spans="2:10" ht="19.95" customHeight="1" x14ac:dyDescent="0.3">
      <c r="B4593" s="4" t="str" cm="1">
        <f t="array" ref="B4593">IFERROR(INDEX(EmployeeData[Employee ID], ROW() - 37), "")</f>
        <v/>
      </c>
      <c r="C4593" s="4" t="str" cm="1">
        <f t="array" ref="C4593">IFERROR(INDEX(EmployeeData[Full Name], ROW() - 37), "")</f>
        <v/>
      </c>
      <c r="D4593" s="4" t="str" cm="1">
        <f t="array" ref="D4593">IFERROR(INDEX(EmployeeData[Department], ROW() - 37), "")</f>
        <v/>
      </c>
      <c r="E4593" s="4" t="str" cm="1">
        <f t="array" ref="E4593">IFERROR(INDEX(EmployeeData[Gender], ROW() - 37), "")</f>
        <v/>
      </c>
      <c r="F4593" s="4" t="str" cm="1">
        <f t="array" ref="F4593">IFERROR(INDEX(EmployeeData[Age], ROW() - 37), "")</f>
        <v/>
      </c>
      <c r="G4593" s="6" t="str" cm="1">
        <f t="array" ref="G4593">IFERROR(INDEX(EmployeeData[Join Date], ROW() - 37), "")</f>
        <v/>
      </c>
      <c r="H4593" s="6" t="str" cm="1">
        <f t="array" ref="H4593">IFERROR(IF(INDEX(EmployeeData[Exit Date], ROW() - 37)=0, "",INDEX(EmployeeData[Exit Date], ROW() - 37)),"")</f>
        <v/>
      </c>
      <c r="I4593" s="4" t="str" cm="1">
        <f t="array" ref="I4593">IFERROR(IF(INDEX(EmployeeData[Exit Reason], ROW() - 37)=0, "",INDEX(EmployeeData[Exit Reason], ROW() - 37)),"")</f>
        <v/>
      </c>
      <c r="J4593" s="4" t="str" cm="1">
        <f t="array" ref="J4593">IFERROR(INDEX(EmployeeData[Status], ROW() - 37), "")</f>
        <v/>
      </c>
    </row>
    <row r="4594" spans="2:10" ht="19.95" customHeight="1" x14ac:dyDescent="0.3">
      <c r="B4594" s="4" t="str" cm="1">
        <f t="array" ref="B4594">IFERROR(INDEX(EmployeeData[Employee ID], ROW() - 37), "")</f>
        <v/>
      </c>
      <c r="C4594" s="4" t="str" cm="1">
        <f t="array" ref="C4594">IFERROR(INDEX(EmployeeData[Full Name], ROW() - 37), "")</f>
        <v/>
      </c>
      <c r="D4594" s="4" t="str" cm="1">
        <f t="array" ref="D4594">IFERROR(INDEX(EmployeeData[Department], ROW() - 37), "")</f>
        <v/>
      </c>
      <c r="E4594" s="4" t="str" cm="1">
        <f t="array" ref="E4594">IFERROR(INDEX(EmployeeData[Gender], ROW() - 37), "")</f>
        <v/>
      </c>
      <c r="F4594" s="4" t="str" cm="1">
        <f t="array" ref="F4594">IFERROR(INDEX(EmployeeData[Age], ROW() - 37), "")</f>
        <v/>
      </c>
      <c r="G4594" s="6" t="str" cm="1">
        <f t="array" ref="G4594">IFERROR(INDEX(EmployeeData[Join Date], ROW() - 37), "")</f>
        <v/>
      </c>
      <c r="H4594" s="6" t="str" cm="1">
        <f t="array" ref="H4594">IFERROR(IF(INDEX(EmployeeData[Exit Date], ROW() - 37)=0, "",INDEX(EmployeeData[Exit Date], ROW() - 37)),"")</f>
        <v/>
      </c>
      <c r="I4594" s="4" t="str" cm="1">
        <f t="array" ref="I4594">IFERROR(IF(INDEX(EmployeeData[Exit Reason], ROW() - 37)=0, "",INDEX(EmployeeData[Exit Reason], ROW() - 37)),"")</f>
        <v/>
      </c>
      <c r="J4594" s="4" t="str" cm="1">
        <f t="array" ref="J4594">IFERROR(INDEX(EmployeeData[Status], ROW() - 37), "")</f>
        <v/>
      </c>
    </row>
    <row r="4595" spans="2:10" ht="19.95" customHeight="1" x14ac:dyDescent="0.3">
      <c r="B4595" s="4" t="str" cm="1">
        <f t="array" ref="B4595">IFERROR(INDEX(EmployeeData[Employee ID], ROW() - 37), "")</f>
        <v/>
      </c>
      <c r="C4595" s="4" t="str" cm="1">
        <f t="array" ref="C4595">IFERROR(INDEX(EmployeeData[Full Name], ROW() - 37), "")</f>
        <v/>
      </c>
      <c r="D4595" s="4" t="str" cm="1">
        <f t="array" ref="D4595">IFERROR(INDEX(EmployeeData[Department], ROW() - 37), "")</f>
        <v/>
      </c>
      <c r="E4595" s="4" t="str" cm="1">
        <f t="array" ref="E4595">IFERROR(INDEX(EmployeeData[Gender], ROW() - 37), "")</f>
        <v/>
      </c>
      <c r="F4595" s="4" t="str" cm="1">
        <f t="array" ref="F4595">IFERROR(INDEX(EmployeeData[Age], ROW() - 37), "")</f>
        <v/>
      </c>
      <c r="G4595" s="6" t="str" cm="1">
        <f t="array" ref="G4595">IFERROR(INDEX(EmployeeData[Join Date], ROW() - 37), "")</f>
        <v/>
      </c>
      <c r="H4595" s="6" t="str" cm="1">
        <f t="array" ref="H4595">IFERROR(IF(INDEX(EmployeeData[Exit Date], ROW() - 37)=0, "",INDEX(EmployeeData[Exit Date], ROW() - 37)),"")</f>
        <v/>
      </c>
      <c r="I4595" s="4" t="str" cm="1">
        <f t="array" ref="I4595">IFERROR(IF(INDEX(EmployeeData[Exit Reason], ROW() - 37)=0, "",INDEX(EmployeeData[Exit Reason], ROW() - 37)),"")</f>
        <v/>
      </c>
      <c r="J4595" s="4" t="str" cm="1">
        <f t="array" ref="J4595">IFERROR(INDEX(EmployeeData[Status], ROW() - 37), "")</f>
        <v/>
      </c>
    </row>
    <row r="4596" spans="2:10" ht="19.95" customHeight="1" x14ac:dyDescent="0.3">
      <c r="B4596" s="4" t="str" cm="1">
        <f t="array" ref="B4596">IFERROR(INDEX(EmployeeData[Employee ID], ROW() - 37), "")</f>
        <v/>
      </c>
      <c r="C4596" s="4" t="str" cm="1">
        <f t="array" ref="C4596">IFERROR(INDEX(EmployeeData[Full Name], ROW() - 37), "")</f>
        <v/>
      </c>
      <c r="D4596" s="4" t="str" cm="1">
        <f t="array" ref="D4596">IFERROR(INDEX(EmployeeData[Department], ROW() - 37), "")</f>
        <v/>
      </c>
      <c r="E4596" s="4" t="str" cm="1">
        <f t="array" ref="E4596">IFERROR(INDEX(EmployeeData[Gender], ROW() - 37), "")</f>
        <v/>
      </c>
      <c r="F4596" s="4" t="str" cm="1">
        <f t="array" ref="F4596">IFERROR(INDEX(EmployeeData[Age], ROW() - 37), "")</f>
        <v/>
      </c>
      <c r="G4596" s="6" t="str" cm="1">
        <f t="array" ref="G4596">IFERROR(INDEX(EmployeeData[Join Date], ROW() - 37), "")</f>
        <v/>
      </c>
      <c r="H4596" s="6" t="str" cm="1">
        <f t="array" ref="H4596">IFERROR(IF(INDEX(EmployeeData[Exit Date], ROW() - 37)=0, "",INDEX(EmployeeData[Exit Date], ROW() - 37)),"")</f>
        <v/>
      </c>
      <c r="I4596" s="4" t="str" cm="1">
        <f t="array" ref="I4596">IFERROR(IF(INDEX(EmployeeData[Exit Reason], ROW() - 37)=0, "",INDEX(EmployeeData[Exit Reason], ROW() - 37)),"")</f>
        <v/>
      </c>
      <c r="J4596" s="4" t="str" cm="1">
        <f t="array" ref="J4596">IFERROR(INDEX(EmployeeData[Status], ROW() - 37), "")</f>
        <v/>
      </c>
    </row>
    <row r="4597" spans="2:10" ht="19.95" customHeight="1" x14ac:dyDescent="0.3">
      <c r="B4597" s="4" t="str" cm="1">
        <f t="array" ref="B4597">IFERROR(INDEX(EmployeeData[Employee ID], ROW() - 37), "")</f>
        <v/>
      </c>
      <c r="C4597" s="4" t="str" cm="1">
        <f t="array" ref="C4597">IFERROR(INDEX(EmployeeData[Full Name], ROW() - 37), "")</f>
        <v/>
      </c>
      <c r="D4597" s="4" t="str" cm="1">
        <f t="array" ref="D4597">IFERROR(INDEX(EmployeeData[Department], ROW() - 37), "")</f>
        <v/>
      </c>
      <c r="E4597" s="4" t="str" cm="1">
        <f t="array" ref="E4597">IFERROR(INDEX(EmployeeData[Gender], ROW() - 37), "")</f>
        <v/>
      </c>
      <c r="F4597" s="4" t="str" cm="1">
        <f t="array" ref="F4597">IFERROR(INDEX(EmployeeData[Age], ROW() - 37), "")</f>
        <v/>
      </c>
      <c r="G4597" s="6" t="str" cm="1">
        <f t="array" ref="G4597">IFERROR(INDEX(EmployeeData[Join Date], ROW() - 37), "")</f>
        <v/>
      </c>
      <c r="H4597" s="6" t="str" cm="1">
        <f t="array" ref="H4597">IFERROR(IF(INDEX(EmployeeData[Exit Date], ROW() - 37)=0, "",INDEX(EmployeeData[Exit Date], ROW() - 37)),"")</f>
        <v/>
      </c>
      <c r="I4597" s="4" t="str" cm="1">
        <f t="array" ref="I4597">IFERROR(IF(INDEX(EmployeeData[Exit Reason], ROW() - 37)=0, "",INDEX(EmployeeData[Exit Reason], ROW() - 37)),"")</f>
        <v/>
      </c>
      <c r="J4597" s="4" t="str" cm="1">
        <f t="array" ref="J4597">IFERROR(INDEX(EmployeeData[Status], ROW() - 37), "")</f>
        <v/>
      </c>
    </row>
    <row r="4598" spans="2:10" ht="19.95" customHeight="1" x14ac:dyDescent="0.3">
      <c r="B4598" s="4" t="str" cm="1">
        <f t="array" ref="B4598">IFERROR(INDEX(EmployeeData[Employee ID], ROW() - 37), "")</f>
        <v/>
      </c>
      <c r="C4598" s="4" t="str" cm="1">
        <f t="array" ref="C4598">IFERROR(INDEX(EmployeeData[Full Name], ROW() - 37), "")</f>
        <v/>
      </c>
      <c r="D4598" s="4" t="str" cm="1">
        <f t="array" ref="D4598">IFERROR(INDEX(EmployeeData[Department], ROW() - 37), "")</f>
        <v/>
      </c>
      <c r="E4598" s="4" t="str" cm="1">
        <f t="array" ref="E4598">IFERROR(INDEX(EmployeeData[Gender], ROW() - 37), "")</f>
        <v/>
      </c>
      <c r="F4598" s="4" t="str" cm="1">
        <f t="array" ref="F4598">IFERROR(INDEX(EmployeeData[Age], ROW() - 37), "")</f>
        <v/>
      </c>
      <c r="G4598" s="6" t="str" cm="1">
        <f t="array" ref="G4598">IFERROR(INDEX(EmployeeData[Join Date], ROW() - 37), "")</f>
        <v/>
      </c>
      <c r="H4598" s="6" t="str" cm="1">
        <f t="array" ref="H4598">IFERROR(IF(INDEX(EmployeeData[Exit Date], ROW() - 37)=0, "",INDEX(EmployeeData[Exit Date], ROW() - 37)),"")</f>
        <v/>
      </c>
      <c r="I4598" s="4" t="str" cm="1">
        <f t="array" ref="I4598">IFERROR(IF(INDEX(EmployeeData[Exit Reason], ROW() - 37)=0, "",INDEX(EmployeeData[Exit Reason], ROW() - 37)),"")</f>
        <v/>
      </c>
      <c r="J4598" s="4" t="str" cm="1">
        <f t="array" ref="J4598">IFERROR(INDEX(EmployeeData[Status], ROW() - 37), "")</f>
        <v/>
      </c>
    </row>
    <row r="4599" spans="2:10" ht="19.95" customHeight="1" x14ac:dyDescent="0.3">
      <c r="B4599" s="4" t="str" cm="1">
        <f t="array" ref="B4599">IFERROR(INDEX(EmployeeData[Employee ID], ROW() - 37), "")</f>
        <v/>
      </c>
      <c r="C4599" s="4" t="str" cm="1">
        <f t="array" ref="C4599">IFERROR(INDEX(EmployeeData[Full Name], ROW() - 37), "")</f>
        <v/>
      </c>
      <c r="D4599" s="4" t="str" cm="1">
        <f t="array" ref="D4599">IFERROR(INDEX(EmployeeData[Department], ROW() - 37), "")</f>
        <v/>
      </c>
      <c r="E4599" s="4" t="str" cm="1">
        <f t="array" ref="E4599">IFERROR(INDEX(EmployeeData[Gender], ROW() - 37), "")</f>
        <v/>
      </c>
      <c r="F4599" s="4" t="str" cm="1">
        <f t="array" ref="F4599">IFERROR(INDEX(EmployeeData[Age], ROW() - 37), "")</f>
        <v/>
      </c>
      <c r="G4599" s="6" t="str" cm="1">
        <f t="array" ref="G4599">IFERROR(INDEX(EmployeeData[Join Date], ROW() - 37), "")</f>
        <v/>
      </c>
      <c r="H4599" s="6" t="str" cm="1">
        <f t="array" ref="H4599">IFERROR(IF(INDEX(EmployeeData[Exit Date], ROW() - 37)=0, "",INDEX(EmployeeData[Exit Date], ROW() - 37)),"")</f>
        <v/>
      </c>
      <c r="I4599" s="4" t="str" cm="1">
        <f t="array" ref="I4599">IFERROR(IF(INDEX(EmployeeData[Exit Reason], ROW() - 37)=0, "",INDEX(EmployeeData[Exit Reason], ROW() - 37)),"")</f>
        <v/>
      </c>
      <c r="J4599" s="4" t="str" cm="1">
        <f t="array" ref="J4599">IFERROR(INDEX(EmployeeData[Status], ROW() - 37), "")</f>
        <v/>
      </c>
    </row>
    <row r="4600" spans="2:10" ht="19.95" customHeight="1" x14ac:dyDescent="0.3">
      <c r="B4600" s="4" t="str" cm="1">
        <f t="array" ref="B4600">IFERROR(INDEX(EmployeeData[Employee ID], ROW() - 37), "")</f>
        <v/>
      </c>
      <c r="C4600" s="4" t="str" cm="1">
        <f t="array" ref="C4600">IFERROR(INDEX(EmployeeData[Full Name], ROW() - 37), "")</f>
        <v/>
      </c>
      <c r="D4600" s="4" t="str" cm="1">
        <f t="array" ref="D4600">IFERROR(INDEX(EmployeeData[Department], ROW() - 37), "")</f>
        <v/>
      </c>
      <c r="E4600" s="4" t="str" cm="1">
        <f t="array" ref="E4600">IFERROR(INDEX(EmployeeData[Gender], ROW() - 37), "")</f>
        <v/>
      </c>
      <c r="F4600" s="4" t="str" cm="1">
        <f t="array" ref="F4600">IFERROR(INDEX(EmployeeData[Age], ROW() - 37), "")</f>
        <v/>
      </c>
      <c r="G4600" s="6" t="str" cm="1">
        <f t="array" ref="G4600">IFERROR(INDEX(EmployeeData[Join Date], ROW() - 37), "")</f>
        <v/>
      </c>
      <c r="H4600" s="6" t="str" cm="1">
        <f t="array" ref="H4600">IFERROR(IF(INDEX(EmployeeData[Exit Date], ROW() - 37)=0, "",INDEX(EmployeeData[Exit Date], ROW() - 37)),"")</f>
        <v/>
      </c>
      <c r="I4600" s="4" t="str" cm="1">
        <f t="array" ref="I4600">IFERROR(IF(INDEX(EmployeeData[Exit Reason], ROW() - 37)=0, "",INDEX(EmployeeData[Exit Reason], ROW() - 37)),"")</f>
        <v/>
      </c>
      <c r="J4600" s="4" t="str" cm="1">
        <f t="array" ref="J4600">IFERROR(INDEX(EmployeeData[Status], ROW() - 37), "")</f>
        <v/>
      </c>
    </row>
    <row r="4601" spans="2:10" ht="19.95" customHeight="1" x14ac:dyDescent="0.3">
      <c r="B4601" s="4" t="str" cm="1">
        <f t="array" ref="B4601">IFERROR(INDEX(EmployeeData[Employee ID], ROW() - 37), "")</f>
        <v/>
      </c>
      <c r="C4601" s="4" t="str" cm="1">
        <f t="array" ref="C4601">IFERROR(INDEX(EmployeeData[Full Name], ROW() - 37), "")</f>
        <v/>
      </c>
      <c r="D4601" s="4" t="str" cm="1">
        <f t="array" ref="D4601">IFERROR(INDEX(EmployeeData[Department], ROW() - 37), "")</f>
        <v/>
      </c>
      <c r="E4601" s="4" t="str" cm="1">
        <f t="array" ref="E4601">IFERROR(INDEX(EmployeeData[Gender], ROW() - 37), "")</f>
        <v/>
      </c>
      <c r="F4601" s="4" t="str" cm="1">
        <f t="array" ref="F4601">IFERROR(INDEX(EmployeeData[Age], ROW() - 37), "")</f>
        <v/>
      </c>
      <c r="G4601" s="6" t="str" cm="1">
        <f t="array" ref="G4601">IFERROR(INDEX(EmployeeData[Join Date], ROW() - 37), "")</f>
        <v/>
      </c>
      <c r="H4601" s="6" t="str" cm="1">
        <f t="array" ref="H4601">IFERROR(IF(INDEX(EmployeeData[Exit Date], ROW() - 37)=0, "",INDEX(EmployeeData[Exit Date], ROW() - 37)),"")</f>
        <v/>
      </c>
      <c r="I4601" s="4" t="str" cm="1">
        <f t="array" ref="I4601">IFERROR(IF(INDEX(EmployeeData[Exit Reason], ROW() - 37)=0, "",INDEX(EmployeeData[Exit Reason], ROW() - 37)),"")</f>
        <v/>
      </c>
      <c r="J4601" s="4" t="str" cm="1">
        <f t="array" ref="J4601">IFERROR(INDEX(EmployeeData[Status], ROW() - 37), "")</f>
        <v/>
      </c>
    </row>
    <row r="4602" spans="2:10" ht="19.95" customHeight="1" x14ac:dyDescent="0.3">
      <c r="B4602" s="4" t="str" cm="1">
        <f t="array" ref="B4602">IFERROR(INDEX(EmployeeData[Employee ID], ROW() - 37), "")</f>
        <v/>
      </c>
      <c r="C4602" s="4" t="str" cm="1">
        <f t="array" ref="C4602">IFERROR(INDEX(EmployeeData[Full Name], ROW() - 37), "")</f>
        <v/>
      </c>
      <c r="D4602" s="4" t="str" cm="1">
        <f t="array" ref="D4602">IFERROR(INDEX(EmployeeData[Department], ROW() - 37), "")</f>
        <v/>
      </c>
      <c r="E4602" s="4" t="str" cm="1">
        <f t="array" ref="E4602">IFERROR(INDEX(EmployeeData[Gender], ROW() - 37), "")</f>
        <v/>
      </c>
      <c r="F4602" s="4" t="str" cm="1">
        <f t="array" ref="F4602">IFERROR(INDEX(EmployeeData[Age], ROW() - 37), "")</f>
        <v/>
      </c>
      <c r="G4602" s="6" t="str" cm="1">
        <f t="array" ref="G4602">IFERROR(INDEX(EmployeeData[Join Date], ROW() - 37), "")</f>
        <v/>
      </c>
      <c r="H4602" s="6" t="str" cm="1">
        <f t="array" ref="H4602">IFERROR(IF(INDEX(EmployeeData[Exit Date], ROW() - 37)=0, "",INDEX(EmployeeData[Exit Date], ROW() - 37)),"")</f>
        <v/>
      </c>
      <c r="I4602" s="4" t="str" cm="1">
        <f t="array" ref="I4602">IFERROR(IF(INDEX(EmployeeData[Exit Reason], ROW() - 37)=0, "",INDEX(EmployeeData[Exit Reason], ROW() - 37)),"")</f>
        <v/>
      </c>
      <c r="J4602" s="4" t="str" cm="1">
        <f t="array" ref="J4602">IFERROR(INDEX(EmployeeData[Status], ROW() - 37), "")</f>
        <v/>
      </c>
    </row>
    <row r="4603" spans="2:10" ht="19.95" customHeight="1" x14ac:dyDescent="0.3">
      <c r="B4603" s="4" t="str" cm="1">
        <f t="array" ref="B4603">IFERROR(INDEX(EmployeeData[Employee ID], ROW() - 37), "")</f>
        <v/>
      </c>
      <c r="C4603" s="4" t="str" cm="1">
        <f t="array" ref="C4603">IFERROR(INDEX(EmployeeData[Full Name], ROW() - 37), "")</f>
        <v/>
      </c>
      <c r="D4603" s="4" t="str" cm="1">
        <f t="array" ref="D4603">IFERROR(INDEX(EmployeeData[Department], ROW() - 37), "")</f>
        <v/>
      </c>
      <c r="E4603" s="4" t="str" cm="1">
        <f t="array" ref="E4603">IFERROR(INDEX(EmployeeData[Gender], ROW() - 37), "")</f>
        <v/>
      </c>
      <c r="F4603" s="4" t="str" cm="1">
        <f t="array" ref="F4603">IFERROR(INDEX(EmployeeData[Age], ROW() - 37), "")</f>
        <v/>
      </c>
      <c r="G4603" s="6" t="str" cm="1">
        <f t="array" ref="G4603">IFERROR(INDEX(EmployeeData[Join Date], ROW() - 37), "")</f>
        <v/>
      </c>
      <c r="H4603" s="6" t="str" cm="1">
        <f t="array" ref="H4603">IFERROR(IF(INDEX(EmployeeData[Exit Date], ROW() - 37)=0, "",INDEX(EmployeeData[Exit Date], ROW() - 37)),"")</f>
        <v/>
      </c>
      <c r="I4603" s="4" t="str" cm="1">
        <f t="array" ref="I4603">IFERROR(IF(INDEX(EmployeeData[Exit Reason], ROW() - 37)=0, "",INDEX(EmployeeData[Exit Reason], ROW() - 37)),"")</f>
        <v/>
      </c>
      <c r="J4603" s="4" t="str" cm="1">
        <f t="array" ref="J4603">IFERROR(INDEX(EmployeeData[Status], ROW() - 37), "")</f>
        <v/>
      </c>
    </row>
    <row r="4604" spans="2:10" ht="19.95" customHeight="1" x14ac:dyDescent="0.3">
      <c r="B4604" s="4" t="str" cm="1">
        <f t="array" ref="B4604">IFERROR(INDEX(EmployeeData[Employee ID], ROW() - 37), "")</f>
        <v/>
      </c>
      <c r="C4604" s="4" t="str" cm="1">
        <f t="array" ref="C4604">IFERROR(INDEX(EmployeeData[Full Name], ROW() - 37), "")</f>
        <v/>
      </c>
      <c r="D4604" s="4" t="str" cm="1">
        <f t="array" ref="D4604">IFERROR(INDEX(EmployeeData[Department], ROW() - 37), "")</f>
        <v/>
      </c>
      <c r="E4604" s="4" t="str" cm="1">
        <f t="array" ref="E4604">IFERROR(INDEX(EmployeeData[Gender], ROW() - 37), "")</f>
        <v/>
      </c>
      <c r="F4604" s="4" t="str" cm="1">
        <f t="array" ref="F4604">IFERROR(INDEX(EmployeeData[Age], ROW() - 37), "")</f>
        <v/>
      </c>
      <c r="G4604" s="6" t="str" cm="1">
        <f t="array" ref="G4604">IFERROR(INDEX(EmployeeData[Join Date], ROW() - 37), "")</f>
        <v/>
      </c>
      <c r="H4604" s="6" t="str" cm="1">
        <f t="array" ref="H4604">IFERROR(IF(INDEX(EmployeeData[Exit Date], ROW() - 37)=0, "",INDEX(EmployeeData[Exit Date], ROW() - 37)),"")</f>
        <v/>
      </c>
      <c r="I4604" s="4" t="str" cm="1">
        <f t="array" ref="I4604">IFERROR(IF(INDEX(EmployeeData[Exit Reason], ROW() - 37)=0, "",INDEX(EmployeeData[Exit Reason], ROW() - 37)),"")</f>
        <v/>
      </c>
      <c r="J4604" s="4" t="str" cm="1">
        <f t="array" ref="J4604">IFERROR(INDEX(EmployeeData[Status], ROW() - 37), "")</f>
        <v/>
      </c>
    </row>
    <row r="4605" spans="2:10" ht="19.95" customHeight="1" x14ac:dyDescent="0.3">
      <c r="B4605" s="4" t="str" cm="1">
        <f t="array" ref="B4605">IFERROR(INDEX(EmployeeData[Employee ID], ROW() - 37), "")</f>
        <v/>
      </c>
      <c r="C4605" s="4" t="str" cm="1">
        <f t="array" ref="C4605">IFERROR(INDEX(EmployeeData[Full Name], ROW() - 37), "")</f>
        <v/>
      </c>
      <c r="D4605" s="4" t="str" cm="1">
        <f t="array" ref="D4605">IFERROR(INDEX(EmployeeData[Department], ROW() - 37), "")</f>
        <v/>
      </c>
      <c r="E4605" s="4" t="str" cm="1">
        <f t="array" ref="E4605">IFERROR(INDEX(EmployeeData[Gender], ROW() - 37), "")</f>
        <v/>
      </c>
      <c r="F4605" s="4" t="str" cm="1">
        <f t="array" ref="F4605">IFERROR(INDEX(EmployeeData[Age], ROW() - 37), "")</f>
        <v/>
      </c>
      <c r="G4605" s="6" t="str" cm="1">
        <f t="array" ref="G4605">IFERROR(INDEX(EmployeeData[Join Date], ROW() - 37), "")</f>
        <v/>
      </c>
      <c r="H4605" s="6" t="str" cm="1">
        <f t="array" ref="H4605">IFERROR(IF(INDEX(EmployeeData[Exit Date], ROW() - 37)=0, "",INDEX(EmployeeData[Exit Date], ROW() - 37)),"")</f>
        <v/>
      </c>
      <c r="I4605" s="4" t="str" cm="1">
        <f t="array" ref="I4605">IFERROR(IF(INDEX(EmployeeData[Exit Reason], ROW() - 37)=0, "",INDEX(EmployeeData[Exit Reason], ROW() - 37)),"")</f>
        <v/>
      </c>
      <c r="J4605" s="4" t="str" cm="1">
        <f t="array" ref="J4605">IFERROR(INDEX(EmployeeData[Status], ROW() - 37), "")</f>
        <v/>
      </c>
    </row>
    <row r="4606" spans="2:10" ht="19.95" customHeight="1" x14ac:dyDescent="0.3">
      <c r="B4606" s="4" t="str" cm="1">
        <f t="array" ref="B4606">IFERROR(INDEX(EmployeeData[Employee ID], ROW() - 37), "")</f>
        <v/>
      </c>
      <c r="C4606" s="4" t="str" cm="1">
        <f t="array" ref="C4606">IFERROR(INDEX(EmployeeData[Full Name], ROW() - 37), "")</f>
        <v/>
      </c>
      <c r="D4606" s="4" t="str" cm="1">
        <f t="array" ref="D4606">IFERROR(INDEX(EmployeeData[Department], ROW() - 37), "")</f>
        <v/>
      </c>
      <c r="E4606" s="4" t="str" cm="1">
        <f t="array" ref="E4606">IFERROR(INDEX(EmployeeData[Gender], ROW() - 37), "")</f>
        <v/>
      </c>
      <c r="F4606" s="4" t="str" cm="1">
        <f t="array" ref="F4606">IFERROR(INDEX(EmployeeData[Age], ROW() - 37), "")</f>
        <v/>
      </c>
      <c r="G4606" s="6" t="str" cm="1">
        <f t="array" ref="G4606">IFERROR(INDEX(EmployeeData[Join Date], ROW() - 37), "")</f>
        <v/>
      </c>
      <c r="H4606" s="6" t="str" cm="1">
        <f t="array" ref="H4606">IFERROR(IF(INDEX(EmployeeData[Exit Date], ROW() - 37)=0, "",INDEX(EmployeeData[Exit Date], ROW() - 37)),"")</f>
        <v/>
      </c>
      <c r="I4606" s="4" t="str" cm="1">
        <f t="array" ref="I4606">IFERROR(IF(INDEX(EmployeeData[Exit Reason], ROW() - 37)=0, "",INDEX(EmployeeData[Exit Reason], ROW() - 37)),"")</f>
        <v/>
      </c>
      <c r="J4606" s="4" t="str" cm="1">
        <f t="array" ref="J4606">IFERROR(INDEX(EmployeeData[Status], ROW() - 37), "")</f>
        <v/>
      </c>
    </row>
    <row r="4607" spans="2:10" ht="19.95" customHeight="1" x14ac:dyDescent="0.3">
      <c r="B4607" s="4" t="str" cm="1">
        <f t="array" ref="B4607">IFERROR(INDEX(EmployeeData[Employee ID], ROW() - 37), "")</f>
        <v/>
      </c>
      <c r="C4607" s="4" t="str" cm="1">
        <f t="array" ref="C4607">IFERROR(INDEX(EmployeeData[Full Name], ROW() - 37), "")</f>
        <v/>
      </c>
      <c r="D4607" s="4" t="str" cm="1">
        <f t="array" ref="D4607">IFERROR(INDEX(EmployeeData[Department], ROW() - 37), "")</f>
        <v/>
      </c>
      <c r="E4607" s="4" t="str" cm="1">
        <f t="array" ref="E4607">IFERROR(INDEX(EmployeeData[Gender], ROW() - 37), "")</f>
        <v/>
      </c>
      <c r="F4607" s="4" t="str" cm="1">
        <f t="array" ref="F4607">IFERROR(INDEX(EmployeeData[Age], ROW() - 37), "")</f>
        <v/>
      </c>
      <c r="G4607" s="6" t="str" cm="1">
        <f t="array" ref="G4607">IFERROR(INDEX(EmployeeData[Join Date], ROW() - 37), "")</f>
        <v/>
      </c>
      <c r="H4607" s="6" t="str" cm="1">
        <f t="array" ref="H4607">IFERROR(IF(INDEX(EmployeeData[Exit Date], ROW() - 37)=0, "",INDEX(EmployeeData[Exit Date], ROW() - 37)),"")</f>
        <v/>
      </c>
      <c r="I4607" s="4" t="str" cm="1">
        <f t="array" ref="I4607">IFERROR(IF(INDEX(EmployeeData[Exit Reason], ROW() - 37)=0, "",INDEX(EmployeeData[Exit Reason], ROW() - 37)),"")</f>
        <v/>
      </c>
      <c r="J4607" s="4" t="str" cm="1">
        <f t="array" ref="J4607">IFERROR(INDEX(EmployeeData[Status], ROW() - 37), "")</f>
        <v/>
      </c>
    </row>
    <row r="4608" spans="2:10" ht="19.95" customHeight="1" x14ac:dyDescent="0.3">
      <c r="B4608" s="4" t="str" cm="1">
        <f t="array" ref="B4608">IFERROR(INDEX(EmployeeData[Employee ID], ROW() - 37), "")</f>
        <v/>
      </c>
      <c r="C4608" s="4" t="str" cm="1">
        <f t="array" ref="C4608">IFERROR(INDEX(EmployeeData[Full Name], ROW() - 37), "")</f>
        <v/>
      </c>
      <c r="D4608" s="4" t="str" cm="1">
        <f t="array" ref="D4608">IFERROR(INDEX(EmployeeData[Department], ROW() - 37), "")</f>
        <v/>
      </c>
      <c r="E4608" s="4" t="str" cm="1">
        <f t="array" ref="E4608">IFERROR(INDEX(EmployeeData[Gender], ROW() - 37), "")</f>
        <v/>
      </c>
      <c r="F4608" s="4" t="str" cm="1">
        <f t="array" ref="F4608">IFERROR(INDEX(EmployeeData[Age], ROW() - 37), "")</f>
        <v/>
      </c>
      <c r="G4608" s="6" t="str" cm="1">
        <f t="array" ref="G4608">IFERROR(INDEX(EmployeeData[Join Date], ROW() - 37), "")</f>
        <v/>
      </c>
      <c r="H4608" s="6" t="str" cm="1">
        <f t="array" ref="H4608">IFERROR(IF(INDEX(EmployeeData[Exit Date], ROW() - 37)=0, "",INDEX(EmployeeData[Exit Date], ROW() - 37)),"")</f>
        <v/>
      </c>
      <c r="I4608" s="4" t="str" cm="1">
        <f t="array" ref="I4608">IFERROR(IF(INDEX(EmployeeData[Exit Reason], ROW() - 37)=0, "",INDEX(EmployeeData[Exit Reason], ROW() - 37)),"")</f>
        <v/>
      </c>
      <c r="J4608" s="4" t="str" cm="1">
        <f t="array" ref="J4608">IFERROR(INDEX(EmployeeData[Status], ROW() - 37), "")</f>
        <v/>
      </c>
    </row>
    <row r="4609" spans="2:10" ht="19.95" customHeight="1" x14ac:dyDescent="0.3">
      <c r="B4609" s="4" t="str" cm="1">
        <f t="array" ref="B4609">IFERROR(INDEX(EmployeeData[Employee ID], ROW() - 37), "")</f>
        <v/>
      </c>
      <c r="C4609" s="4" t="str" cm="1">
        <f t="array" ref="C4609">IFERROR(INDEX(EmployeeData[Full Name], ROW() - 37), "")</f>
        <v/>
      </c>
      <c r="D4609" s="4" t="str" cm="1">
        <f t="array" ref="D4609">IFERROR(INDEX(EmployeeData[Department], ROW() - 37), "")</f>
        <v/>
      </c>
      <c r="E4609" s="4" t="str" cm="1">
        <f t="array" ref="E4609">IFERROR(INDEX(EmployeeData[Gender], ROW() - 37), "")</f>
        <v/>
      </c>
      <c r="F4609" s="4" t="str" cm="1">
        <f t="array" ref="F4609">IFERROR(INDEX(EmployeeData[Age], ROW() - 37), "")</f>
        <v/>
      </c>
      <c r="G4609" s="6" t="str" cm="1">
        <f t="array" ref="G4609">IFERROR(INDEX(EmployeeData[Join Date], ROW() - 37), "")</f>
        <v/>
      </c>
      <c r="H4609" s="6" t="str" cm="1">
        <f t="array" ref="H4609">IFERROR(IF(INDEX(EmployeeData[Exit Date], ROW() - 37)=0, "",INDEX(EmployeeData[Exit Date], ROW() - 37)),"")</f>
        <v/>
      </c>
      <c r="I4609" s="4" t="str" cm="1">
        <f t="array" ref="I4609">IFERROR(IF(INDEX(EmployeeData[Exit Reason], ROW() - 37)=0, "",INDEX(EmployeeData[Exit Reason], ROW() - 37)),"")</f>
        <v/>
      </c>
      <c r="J4609" s="4" t="str" cm="1">
        <f t="array" ref="J4609">IFERROR(INDEX(EmployeeData[Status], ROW() - 37), "")</f>
        <v/>
      </c>
    </row>
    <row r="4610" spans="2:10" ht="19.95" customHeight="1" x14ac:dyDescent="0.3">
      <c r="B4610" s="4" t="str" cm="1">
        <f t="array" ref="B4610">IFERROR(INDEX(EmployeeData[Employee ID], ROW() - 37), "")</f>
        <v/>
      </c>
      <c r="C4610" s="4" t="str" cm="1">
        <f t="array" ref="C4610">IFERROR(INDEX(EmployeeData[Full Name], ROW() - 37), "")</f>
        <v/>
      </c>
      <c r="D4610" s="4" t="str" cm="1">
        <f t="array" ref="D4610">IFERROR(INDEX(EmployeeData[Department], ROW() - 37), "")</f>
        <v/>
      </c>
      <c r="E4610" s="4" t="str" cm="1">
        <f t="array" ref="E4610">IFERROR(INDEX(EmployeeData[Gender], ROW() - 37), "")</f>
        <v/>
      </c>
      <c r="F4610" s="4" t="str" cm="1">
        <f t="array" ref="F4610">IFERROR(INDEX(EmployeeData[Age], ROW() - 37), "")</f>
        <v/>
      </c>
      <c r="G4610" s="6" t="str" cm="1">
        <f t="array" ref="G4610">IFERROR(INDEX(EmployeeData[Join Date], ROW() - 37), "")</f>
        <v/>
      </c>
      <c r="H4610" s="6" t="str" cm="1">
        <f t="array" ref="H4610">IFERROR(IF(INDEX(EmployeeData[Exit Date], ROW() - 37)=0, "",INDEX(EmployeeData[Exit Date], ROW() - 37)),"")</f>
        <v/>
      </c>
      <c r="I4610" s="4" t="str" cm="1">
        <f t="array" ref="I4610">IFERROR(IF(INDEX(EmployeeData[Exit Reason], ROW() - 37)=0, "",INDEX(EmployeeData[Exit Reason], ROW() - 37)),"")</f>
        <v/>
      </c>
      <c r="J4610" s="4" t="str" cm="1">
        <f t="array" ref="J4610">IFERROR(INDEX(EmployeeData[Status], ROW() - 37), "")</f>
        <v/>
      </c>
    </row>
    <row r="4611" spans="2:10" ht="19.95" customHeight="1" x14ac:dyDescent="0.3">
      <c r="B4611" s="4" t="str" cm="1">
        <f t="array" ref="B4611">IFERROR(INDEX(EmployeeData[Employee ID], ROW() - 37), "")</f>
        <v/>
      </c>
      <c r="C4611" s="4" t="str" cm="1">
        <f t="array" ref="C4611">IFERROR(INDEX(EmployeeData[Full Name], ROW() - 37), "")</f>
        <v/>
      </c>
      <c r="D4611" s="4" t="str" cm="1">
        <f t="array" ref="D4611">IFERROR(INDEX(EmployeeData[Department], ROW() - 37), "")</f>
        <v/>
      </c>
      <c r="E4611" s="4" t="str" cm="1">
        <f t="array" ref="E4611">IFERROR(INDEX(EmployeeData[Gender], ROW() - 37), "")</f>
        <v/>
      </c>
      <c r="F4611" s="4" t="str" cm="1">
        <f t="array" ref="F4611">IFERROR(INDEX(EmployeeData[Age], ROW() - 37), "")</f>
        <v/>
      </c>
      <c r="G4611" s="6" t="str" cm="1">
        <f t="array" ref="G4611">IFERROR(INDEX(EmployeeData[Join Date], ROW() - 37), "")</f>
        <v/>
      </c>
      <c r="H4611" s="6" t="str" cm="1">
        <f t="array" ref="H4611">IFERROR(IF(INDEX(EmployeeData[Exit Date], ROW() - 37)=0, "",INDEX(EmployeeData[Exit Date], ROW() - 37)),"")</f>
        <v/>
      </c>
      <c r="I4611" s="4" t="str" cm="1">
        <f t="array" ref="I4611">IFERROR(IF(INDEX(EmployeeData[Exit Reason], ROW() - 37)=0, "",INDEX(EmployeeData[Exit Reason], ROW() - 37)),"")</f>
        <v/>
      </c>
      <c r="J4611" s="4" t="str" cm="1">
        <f t="array" ref="J4611">IFERROR(INDEX(EmployeeData[Status], ROW() - 37), "")</f>
        <v/>
      </c>
    </row>
    <row r="4612" spans="2:10" ht="19.95" customHeight="1" x14ac:dyDescent="0.3">
      <c r="B4612" s="4" t="str" cm="1">
        <f t="array" ref="B4612">IFERROR(INDEX(EmployeeData[Employee ID], ROW() - 37), "")</f>
        <v/>
      </c>
      <c r="C4612" s="4" t="str" cm="1">
        <f t="array" ref="C4612">IFERROR(INDEX(EmployeeData[Full Name], ROW() - 37), "")</f>
        <v/>
      </c>
      <c r="D4612" s="4" t="str" cm="1">
        <f t="array" ref="D4612">IFERROR(INDEX(EmployeeData[Department], ROW() - 37), "")</f>
        <v/>
      </c>
      <c r="E4612" s="4" t="str" cm="1">
        <f t="array" ref="E4612">IFERROR(INDEX(EmployeeData[Gender], ROW() - 37), "")</f>
        <v/>
      </c>
      <c r="F4612" s="4" t="str" cm="1">
        <f t="array" ref="F4612">IFERROR(INDEX(EmployeeData[Age], ROW() - 37), "")</f>
        <v/>
      </c>
      <c r="G4612" s="6" t="str" cm="1">
        <f t="array" ref="G4612">IFERROR(INDEX(EmployeeData[Join Date], ROW() - 37), "")</f>
        <v/>
      </c>
      <c r="H4612" s="6" t="str" cm="1">
        <f t="array" ref="H4612">IFERROR(IF(INDEX(EmployeeData[Exit Date], ROW() - 37)=0, "",INDEX(EmployeeData[Exit Date], ROW() - 37)),"")</f>
        <v/>
      </c>
      <c r="I4612" s="4" t="str" cm="1">
        <f t="array" ref="I4612">IFERROR(IF(INDEX(EmployeeData[Exit Reason], ROW() - 37)=0, "",INDEX(EmployeeData[Exit Reason], ROW() - 37)),"")</f>
        <v/>
      </c>
      <c r="J4612" s="4" t="str" cm="1">
        <f t="array" ref="J4612">IFERROR(INDEX(EmployeeData[Status], ROW() - 37), "")</f>
        <v/>
      </c>
    </row>
    <row r="4613" spans="2:10" ht="19.95" customHeight="1" x14ac:dyDescent="0.3">
      <c r="B4613" s="4" t="str" cm="1">
        <f t="array" ref="B4613">IFERROR(INDEX(EmployeeData[Employee ID], ROW() - 37), "")</f>
        <v/>
      </c>
      <c r="C4613" s="4" t="str" cm="1">
        <f t="array" ref="C4613">IFERROR(INDEX(EmployeeData[Full Name], ROW() - 37), "")</f>
        <v/>
      </c>
      <c r="D4613" s="4" t="str" cm="1">
        <f t="array" ref="D4613">IFERROR(INDEX(EmployeeData[Department], ROW() - 37), "")</f>
        <v/>
      </c>
      <c r="E4613" s="4" t="str" cm="1">
        <f t="array" ref="E4613">IFERROR(INDEX(EmployeeData[Gender], ROW() - 37), "")</f>
        <v/>
      </c>
      <c r="F4613" s="4" t="str" cm="1">
        <f t="array" ref="F4613">IFERROR(INDEX(EmployeeData[Age], ROW() - 37), "")</f>
        <v/>
      </c>
      <c r="G4613" s="6" t="str" cm="1">
        <f t="array" ref="G4613">IFERROR(INDEX(EmployeeData[Join Date], ROW() - 37), "")</f>
        <v/>
      </c>
      <c r="H4613" s="6" t="str" cm="1">
        <f t="array" ref="H4613">IFERROR(IF(INDEX(EmployeeData[Exit Date], ROW() - 37)=0, "",INDEX(EmployeeData[Exit Date], ROW() - 37)),"")</f>
        <v/>
      </c>
      <c r="I4613" s="4" t="str" cm="1">
        <f t="array" ref="I4613">IFERROR(IF(INDEX(EmployeeData[Exit Reason], ROW() - 37)=0, "",INDEX(EmployeeData[Exit Reason], ROW() - 37)),"")</f>
        <v/>
      </c>
      <c r="J4613" s="4" t="str" cm="1">
        <f t="array" ref="J4613">IFERROR(INDEX(EmployeeData[Status], ROW() - 37), "")</f>
        <v/>
      </c>
    </row>
    <row r="4614" spans="2:10" ht="19.95" customHeight="1" x14ac:dyDescent="0.3">
      <c r="B4614" s="4" t="str" cm="1">
        <f t="array" ref="B4614">IFERROR(INDEX(EmployeeData[Employee ID], ROW() - 37), "")</f>
        <v/>
      </c>
      <c r="C4614" s="4" t="str" cm="1">
        <f t="array" ref="C4614">IFERROR(INDEX(EmployeeData[Full Name], ROW() - 37), "")</f>
        <v/>
      </c>
      <c r="D4614" s="4" t="str" cm="1">
        <f t="array" ref="D4614">IFERROR(INDEX(EmployeeData[Department], ROW() - 37), "")</f>
        <v/>
      </c>
      <c r="E4614" s="4" t="str" cm="1">
        <f t="array" ref="E4614">IFERROR(INDEX(EmployeeData[Gender], ROW() - 37), "")</f>
        <v/>
      </c>
      <c r="F4614" s="4" t="str" cm="1">
        <f t="array" ref="F4614">IFERROR(INDEX(EmployeeData[Age], ROW() - 37), "")</f>
        <v/>
      </c>
      <c r="G4614" s="6" t="str" cm="1">
        <f t="array" ref="G4614">IFERROR(INDEX(EmployeeData[Join Date], ROW() - 37), "")</f>
        <v/>
      </c>
      <c r="H4614" s="6" t="str" cm="1">
        <f t="array" ref="H4614">IFERROR(IF(INDEX(EmployeeData[Exit Date], ROW() - 37)=0, "",INDEX(EmployeeData[Exit Date], ROW() - 37)),"")</f>
        <v/>
      </c>
      <c r="I4614" s="4" t="str" cm="1">
        <f t="array" ref="I4614">IFERROR(IF(INDEX(EmployeeData[Exit Reason], ROW() - 37)=0, "",INDEX(EmployeeData[Exit Reason], ROW() - 37)),"")</f>
        <v/>
      </c>
      <c r="J4614" s="4" t="str" cm="1">
        <f t="array" ref="J4614">IFERROR(INDEX(EmployeeData[Status], ROW() - 37), "")</f>
        <v/>
      </c>
    </row>
    <row r="4615" spans="2:10" ht="19.95" customHeight="1" x14ac:dyDescent="0.3">
      <c r="B4615" s="4" t="str" cm="1">
        <f t="array" ref="B4615">IFERROR(INDEX(EmployeeData[Employee ID], ROW() - 37), "")</f>
        <v/>
      </c>
      <c r="C4615" s="4" t="str" cm="1">
        <f t="array" ref="C4615">IFERROR(INDEX(EmployeeData[Full Name], ROW() - 37), "")</f>
        <v/>
      </c>
      <c r="D4615" s="4" t="str" cm="1">
        <f t="array" ref="D4615">IFERROR(INDEX(EmployeeData[Department], ROW() - 37), "")</f>
        <v/>
      </c>
      <c r="E4615" s="4" t="str" cm="1">
        <f t="array" ref="E4615">IFERROR(INDEX(EmployeeData[Gender], ROW() - 37), "")</f>
        <v/>
      </c>
      <c r="F4615" s="4" t="str" cm="1">
        <f t="array" ref="F4615">IFERROR(INDEX(EmployeeData[Age], ROW() - 37), "")</f>
        <v/>
      </c>
      <c r="G4615" s="6" t="str" cm="1">
        <f t="array" ref="G4615">IFERROR(INDEX(EmployeeData[Join Date], ROW() - 37), "")</f>
        <v/>
      </c>
      <c r="H4615" s="6" t="str" cm="1">
        <f t="array" ref="H4615">IFERROR(IF(INDEX(EmployeeData[Exit Date], ROW() - 37)=0, "",INDEX(EmployeeData[Exit Date], ROW() - 37)),"")</f>
        <v/>
      </c>
      <c r="I4615" s="4" t="str" cm="1">
        <f t="array" ref="I4615">IFERROR(IF(INDEX(EmployeeData[Exit Reason], ROW() - 37)=0, "",INDEX(EmployeeData[Exit Reason], ROW() - 37)),"")</f>
        <v/>
      </c>
      <c r="J4615" s="4" t="str" cm="1">
        <f t="array" ref="J4615">IFERROR(INDEX(EmployeeData[Status], ROW() - 37), "")</f>
        <v/>
      </c>
    </row>
    <row r="4616" spans="2:10" ht="19.95" customHeight="1" x14ac:dyDescent="0.3">
      <c r="B4616" s="4" t="str" cm="1">
        <f t="array" ref="B4616">IFERROR(INDEX(EmployeeData[Employee ID], ROW() - 37), "")</f>
        <v/>
      </c>
      <c r="C4616" s="4" t="str" cm="1">
        <f t="array" ref="C4616">IFERROR(INDEX(EmployeeData[Full Name], ROW() - 37), "")</f>
        <v/>
      </c>
      <c r="D4616" s="4" t="str" cm="1">
        <f t="array" ref="D4616">IFERROR(INDEX(EmployeeData[Department], ROW() - 37), "")</f>
        <v/>
      </c>
      <c r="E4616" s="4" t="str" cm="1">
        <f t="array" ref="E4616">IFERROR(INDEX(EmployeeData[Gender], ROW() - 37), "")</f>
        <v/>
      </c>
      <c r="F4616" s="4" t="str" cm="1">
        <f t="array" ref="F4616">IFERROR(INDEX(EmployeeData[Age], ROW() - 37), "")</f>
        <v/>
      </c>
      <c r="G4616" s="6" t="str" cm="1">
        <f t="array" ref="G4616">IFERROR(INDEX(EmployeeData[Join Date], ROW() - 37), "")</f>
        <v/>
      </c>
      <c r="H4616" s="6" t="str" cm="1">
        <f t="array" ref="H4616">IFERROR(IF(INDEX(EmployeeData[Exit Date], ROW() - 37)=0, "",INDEX(EmployeeData[Exit Date], ROW() - 37)),"")</f>
        <v/>
      </c>
      <c r="I4616" s="4" t="str" cm="1">
        <f t="array" ref="I4616">IFERROR(IF(INDEX(EmployeeData[Exit Reason], ROW() - 37)=0, "",INDEX(EmployeeData[Exit Reason], ROW() - 37)),"")</f>
        <v/>
      </c>
      <c r="J4616" s="4" t="str" cm="1">
        <f t="array" ref="J4616">IFERROR(INDEX(EmployeeData[Status], ROW() - 37), "")</f>
        <v/>
      </c>
    </row>
    <row r="4617" spans="2:10" ht="19.95" customHeight="1" x14ac:dyDescent="0.3">
      <c r="B4617" s="4" t="str" cm="1">
        <f t="array" ref="B4617">IFERROR(INDEX(EmployeeData[Employee ID], ROW() - 37), "")</f>
        <v/>
      </c>
      <c r="C4617" s="4" t="str" cm="1">
        <f t="array" ref="C4617">IFERROR(INDEX(EmployeeData[Full Name], ROW() - 37), "")</f>
        <v/>
      </c>
      <c r="D4617" s="4" t="str" cm="1">
        <f t="array" ref="D4617">IFERROR(INDEX(EmployeeData[Department], ROW() - 37), "")</f>
        <v/>
      </c>
      <c r="E4617" s="4" t="str" cm="1">
        <f t="array" ref="E4617">IFERROR(INDEX(EmployeeData[Gender], ROW() - 37), "")</f>
        <v/>
      </c>
      <c r="F4617" s="4" t="str" cm="1">
        <f t="array" ref="F4617">IFERROR(INDEX(EmployeeData[Age], ROW() - 37), "")</f>
        <v/>
      </c>
      <c r="G4617" s="6" t="str" cm="1">
        <f t="array" ref="G4617">IFERROR(INDEX(EmployeeData[Join Date], ROW() - 37), "")</f>
        <v/>
      </c>
      <c r="H4617" s="6" t="str" cm="1">
        <f t="array" ref="H4617">IFERROR(IF(INDEX(EmployeeData[Exit Date], ROW() - 37)=0, "",INDEX(EmployeeData[Exit Date], ROW() - 37)),"")</f>
        <v/>
      </c>
      <c r="I4617" s="4" t="str" cm="1">
        <f t="array" ref="I4617">IFERROR(IF(INDEX(EmployeeData[Exit Reason], ROW() - 37)=0, "",INDEX(EmployeeData[Exit Reason], ROW() - 37)),"")</f>
        <v/>
      </c>
      <c r="J4617" s="4" t="str" cm="1">
        <f t="array" ref="J4617">IFERROR(INDEX(EmployeeData[Status], ROW() - 37), "")</f>
        <v/>
      </c>
    </row>
    <row r="4618" spans="2:10" ht="19.95" customHeight="1" x14ac:dyDescent="0.3">
      <c r="B4618" s="4" t="str" cm="1">
        <f t="array" ref="B4618">IFERROR(INDEX(EmployeeData[Employee ID], ROW() - 37), "")</f>
        <v/>
      </c>
      <c r="C4618" s="4" t="str" cm="1">
        <f t="array" ref="C4618">IFERROR(INDEX(EmployeeData[Full Name], ROW() - 37), "")</f>
        <v/>
      </c>
      <c r="D4618" s="4" t="str" cm="1">
        <f t="array" ref="D4618">IFERROR(INDEX(EmployeeData[Department], ROW() - 37), "")</f>
        <v/>
      </c>
      <c r="E4618" s="4" t="str" cm="1">
        <f t="array" ref="E4618">IFERROR(INDEX(EmployeeData[Gender], ROW() - 37), "")</f>
        <v/>
      </c>
      <c r="F4618" s="4" t="str" cm="1">
        <f t="array" ref="F4618">IFERROR(INDEX(EmployeeData[Age], ROW() - 37), "")</f>
        <v/>
      </c>
      <c r="G4618" s="6" t="str" cm="1">
        <f t="array" ref="G4618">IFERROR(INDEX(EmployeeData[Join Date], ROW() - 37), "")</f>
        <v/>
      </c>
      <c r="H4618" s="6" t="str" cm="1">
        <f t="array" ref="H4618">IFERROR(IF(INDEX(EmployeeData[Exit Date], ROW() - 37)=0, "",INDEX(EmployeeData[Exit Date], ROW() - 37)),"")</f>
        <v/>
      </c>
      <c r="I4618" s="4" t="str" cm="1">
        <f t="array" ref="I4618">IFERROR(IF(INDEX(EmployeeData[Exit Reason], ROW() - 37)=0, "",INDEX(EmployeeData[Exit Reason], ROW() - 37)),"")</f>
        <v/>
      </c>
      <c r="J4618" s="4" t="str" cm="1">
        <f t="array" ref="J4618">IFERROR(INDEX(EmployeeData[Status], ROW() - 37), "")</f>
        <v/>
      </c>
    </row>
    <row r="4619" spans="2:10" ht="19.95" customHeight="1" x14ac:dyDescent="0.3">
      <c r="B4619" s="4" t="str" cm="1">
        <f t="array" ref="B4619">IFERROR(INDEX(EmployeeData[Employee ID], ROW() - 37), "")</f>
        <v/>
      </c>
      <c r="C4619" s="4" t="str" cm="1">
        <f t="array" ref="C4619">IFERROR(INDEX(EmployeeData[Full Name], ROW() - 37), "")</f>
        <v/>
      </c>
      <c r="D4619" s="4" t="str" cm="1">
        <f t="array" ref="D4619">IFERROR(INDEX(EmployeeData[Department], ROW() - 37), "")</f>
        <v/>
      </c>
      <c r="E4619" s="4" t="str" cm="1">
        <f t="array" ref="E4619">IFERROR(INDEX(EmployeeData[Gender], ROW() - 37), "")</f>
        <v/>
      </c>
      <c r="F4619" s="4" t="str" cm="1">
        <f t="array" ref="F4619">IFERROR(INDEX(EmployeeData[Age], ROW() - 37), "")</f>
        <v/>
      </c>
      <c r="G4619" s="6" t="str" cm="1">
        <f t="array" ref="G4619">IFERROR(INDEX(EmployeeData[Join Date], ROW() - 37), "")</f>
        <v/>
      </c>
      <c r="H4619" s="6" t="str" cm="1">
        <f t="array" ref="H4619">IFERROR(IF(INDEX(EmployeeData[Exit Date], ROW() - 37)=0, "",INDEX(EmployeeData[Exit Date], ROW() - 37)),"")</f>
        <v/>
      </c>
      <c r="I4619" s="4" t="str" cm="1">
        <f t="array" ref="I4619">IFERROR(IF(INDEX(EmployeeData[Exit Reason], ROW() - 37)=0, "",INDEX(EmployeeData[Exit Reason], ROW() - 37)),"")</f>
        <v/>
      </c>
      <c r="J4619" s="4" t="str" cm="1">
        <f t="array" ref="J4619">IFERROR(INDEX(EmployeeData[Status], ROW() - 37), "")</f>
        <v/>
      </c>
    </row>
    <row r="4620" spans="2:10" ht="19.95" customHeight="1" x14ac:dyDescent="0.3">
      <c r="B4620" s="4" t="str" cm="1">
        <f t="array" ref="B4620">IFERROR(INDEX(EmployeeData[Employee ID], ROW() - 37), "")</f>
        <v/>
      </c>
      <c r="C4620" s="4" t="str" cm="1">
        <f t="array" ref="C4620">IFERROR(INDEX(EmployeeData[Full Name], ROW() - 37), "")</f>
        <v/>
      </c>
      <c r="D4620" s="4" t="str" cm="1">
        <f t="array" ref="D4620">IFERROR(INDEX(EmployeeData[Department], ROW() - 37), "")</f>
        <v/>
      </c>
      <c r="E4620" s="4" t="str" cm="1">
        <f t="array" ref="E4620">IFERROR(INDEX(EmployeeData[Gender], ROW() - 37), "")</f>
        <v/>
      </c>
      <c r="F4620" s="4" t="str" cm="1">
        <f t="array" ref="F4620">IFERROR(INDEX(EmployeeData[Age], ROW() - 37), "")</f>
        <v/>
      </c>
      <c r="G4620" s="6" t="str" cm="1">
        <f t="array" ref="G4620">IFERROR(INDEX(EmployeeData[Join Date], ROW() - 37), "")</f>
        <v/>
      </c>
      <c r="H4620" s="6" t="str" cm="1">
        <f t="array" ref="H4620">IFERROR(IF(INDEX(EmployeeData[Exit Date], ROW() - 37)=0, "",INDEX(EmployeeData[Exit Date], ROW() - 37)),"")</f>
        <v/>
      </c>
      <c r="I4620" s="4" t="str" cm="1">
        <f t="array" ref="I4620">IFERROR(IF(INDEX(EmployeeData[Exit Reason], ROW() - 37)=0, "",INDEX(EmployeeData[Exit Reason], ROW() - 37)),"")</f>
        <v/>
      </c>
      <c r="J4620" s="4" t="str" cm="1">
        <f t="array" ref="J4620">IFERROR(INDEX(EmployeeData[Status], ROW() - 37), "")</f>
        <v/>
      </c>
    </row>
    <row r="4621" spans="2:10" ht="19.95" customHeight="1" x14ac:dyDescent="0.3">
      <c r="B4621" s="4" t="str" cm="1">
        <f t="array" ref="B4621">IFERROR(INDEX(EmployeeData[Employee ID], ROW() - 37), "")</f>
        <v/>
      </c>
      <c r="C4621" s="4" t="str" cm="1">
        <f t="array" ref="C4621">IFERROR(INDEX(EmployeeData[Full Name], ROW() - 37), "")</f>
        <v/>
      </c>
      <c r="D4621" s="4" t="str" cm="1">
        <f t="array" ref="D4621">IFERROR(INDEX(EmployeeData[Department], ROW() - 37), "")</f>
        <v/>
      </c>
      <c r="E4621" s="4" t="str" cm="1">
        <f t="array" ref="E4621">IFERROR(INDEX(EmployeeData[Gender], ROW() - 37), "")</f>
        <v/>
      </c>
      <c r="F4621" s="4" t="str" cm="1">
        <f t="array" ref="F4621">IFERROR(INDEX(EmployeeData[Age], ROW() - 37), "")</f>
        <v/>
      </c>
      <c r="G4621" s="6" t="str" cm="1">
        <f t="array" ref="G4621">IFERROR(INDEX(EmployeeData[Join Date], ROW() - 37), "")</f>
        <v/>
      </c>
      <c r="H4621" s="6" t="str" cm="1">
        <f t="array" ref="H4621">IFERROR(IF(INDEX(EmployeeData[Exit Date], ROW() - 37)=0, "",INDEX(EmployeeData[Exit Date], ROW() - 37)),"")</f>
        <v/>
      </c>
      <c r="I4621" s="4" t="str" cm="1">
        <f t="array" ref="I4621">IFERROR(IF(INDEX(EmployeeData[Exit Reason], ROW() - 37)=0, "",INDEX(EmployeeData[Exit Reason], ROW() - 37)),"")</f>
        <v/>
      </c>
      <c r="J4621" s="4" t="str" cm="1">
        <f t="array" ref="J4621">IFERROR(INDEX(EmployeeData[Status], ROW() - 37), "")</f>
        <v/>
      </c>
    </row>
    <row r="4622" spans="2:10" ht="19.95" customHeight="1" x14ac:dyDescent="0.3">
      <c r="B4622" s="4" t="str" cm="1">
        <f t="array" ref="B4622">IFERROR(INDEX(EmployeeData[Employee ID], ROW() - 37), "")</f>
        <v/>
      </c>
      <c r="C4622" s="4" t="str" cm="1">
        <f t="array" ref="C4622">IFERROR(INDEX(EmployeeData[Full Name], ROW() - 37), "")</f>
        <v/>
      </c>
      <c r="D4622" s="4" t="str" cm="1">
        <f t="array" ref="D4622">IFERROR(INDEX(EmployeeData[Department], ROW() - 37), "")</f>
        <v/>
      </c>
      <c r="E4622" s="4" t="str" cm="1">
        <f t="array" ref="E4622">IFERROR(INDEX(EmployeeData[Gender], ROW() - 37), "")</f>
        <v/>
      </c>
      <c r="F4622" s="4" t="str" cm="1">
        <f t="array" ref="F4622">IFERROR(INDEX(EmployeeData[Age], ROW() - 37), "")</f>
        <v/>
      </c>
      <c r="G4622" s="6" t="str" cm="1">
        <f t="array" ref="G4622">IFERROR(INDEX(EmployeeData[Join Date], ROW() - 37), "")</f>
        <v/>
      </c>
      <c r="H4622" s="6" t="str" cm="1">
        <f t="array" ref="H4622">IFERROR(IF(INDEX(EmployeeData[Exit Date], ROW() - 37)=0, "",INDEX(EmployeeData[Exit Date], ROW() - 37)),"")</f>
        <v/>
      </c>
      <c r="I4622" s="4" t="str" cm="1">
        <f t="array" ref="I4622">IFERROR(IF(INDEX(EmployeeData[Exit Reason], ROW() - 37)=0, "",INDEX(EmployeeData[Exit Reason], ROW() - 37)),"")</f>
        <v/>
      </c>
      <c r="J4622" s="4" t="str" cm="1">
        <f t="array" ref="J4622">IFERROR(INDEX(EmployeeData[Status], ROW() - 37), "")</f>
        <v/>
      </c>
    </row>
    <row r="4623" spans="2:10" ht="19.95" customHeight="1" x14ac:dyDescent="0.3">
      <c r="B4623" s="4" t="str" cm="1">
        <f t="array" ref="B4623">IFERROR(INDEX(EmployeeData[Employee ID], ROW() - 37), "")</f>
        <v/>
      </c>
      <c r="C4623" s="4" t="str" cm="1">
        <f t="array" ref="C4623">IFERROR(INDEX(EmployeeData[Full Name], ROW() - 37), "")</f>
        <v/>
      </c>
      <c r="D4623" s="4" t="str" cm="1">
        <f t="array" ref="D4623">IFERROR(INDEX(EmployeeData[Department], ROW() - 37), "")</f>
        <v/>
      </c>
      <c r="E4623" s="4" t="str" cm="1">
        <f t="array" ref="E4623">IFERROR(INDEX(EmployeeData[Gender], ROW() - 37), "")</f>
        <v/>
      </c>
      <c r="F4623" s="4" t="str" cm="1">
        <f t="array" ref="F4623">IFERROR(INDEX(EmployeeData[Age], ROW() - 37), "")</f>
        <v/>
      </c>
      <c r="G4623" s="6" t="str" cm="1">
        <f t="array" ref="G4623">IFERROR(INDEX(EmployeeData[Join Date], ROW() - 37), "")</f>
        <v/>
      </c>
      <c r="H4623" s="6" t="str" cm="1">
        <f t="array" ref="H4623">IFERROR(IF(INDEX(EmployeeData[Exit Date], ROW() - 37)=0, "",INDEX(EmployeeData[Exit Date], ROW() - 37)),"")</f>
        <v/>
      </c>
      <c r="I4623" s="4" t="str" cm="1">
        <f t="array" ref="I4623">IFERROR(IF(INDEX(EmployeeData[Exit Reason], ROW() - 37)=0, "",INDEX(EmployeeData[Exit Reason], ROW() - 37)),"")</f>
        <v/>
      </c>
      <c r="J4623" s="4" t="str" cm="1">
        <f t="array" ref="J4623">IFERROR(INDEX(EmployeeData[Status], ROW() - 37), "")</f>
        <v/>
      </c>
    </row>
    <row r="4624" spans="2:10" ht="19.95" customHeight="1" x14ac:dyDescent="0.3">
      <c r="B4624" s="4" t="str" cm="1">
        <f t="array" ref="B4624">IFERROR(INDEX(EmployeeData[Employee ID], ROW() - 37), "")</f>
        <v/>
      </c>
      <c r="C4624" s="4" t="str" cm="1">
        <f t="array" ref="C4624">IFERROR(INDEX(EmployeeData[Full Name], ROW() - 37), "")</f>
        <v/>
      </c>
      <c r="D4624" s="4" t="str" cm="1">
        <f t="array" ref="D4624">IFERROR(INDEX(EmployeeData[Department], ROW() - 37), "")</f>
        <v/>
      </c>
      <c r="E4624" s="4" t="str" cm="1">
        <f t="array" ref="E4624">IFERROR(INDEX(EmployeeData[Gender], ROW() - 37), "")</f>
        <v/>
      </c>
      <c r="F4624" s="4" t="str" cm="1">
        <f t="array" ref="F4624">IFERROR(INDEX(EmployeeData[Age], ROW() - 37), "")</f>
        <v/>
      </c>
      <c r="G4624" s="6" t="str" cm="1">
        <f t="array" ref="G4624">IFERROR(INDEX(EmployeeData[Join Date], ROW() - 37), "")</f>
        <v/>
      </c>
      <c r="H4624" s="6" t="str" cm="1">
        <f t="array" ref="H4624">IFERROR(IF(INDEX(EmployeeData[Exit Date], ROW() - 37)=0, "",INDEX(EmployeeData[Exit Date], ROW() - 37)),"")</f>
        <v/>
      </c>
      <c r="I4624" s="4" t="str" cm="1">
        <f t="array" ref="I4624">IFERROR(IF(INDEX(EmployeeData[Exit Reason], ROW() - 37)=0, "",INDEX(EmployeeData[Exit Reason], ROW() - 37)),"")</f>
        <v/>
      </c>
      <c r="J4624" s="4" t="str" cm="1">
        <f t="array" ref="J4624">IFERROR(INDEX(EmployeeData[Status], ROW() - 37), "")</f>
        <v/>
      </c>
    </row>
    <row r="4625" spans="2:10" ht="19.95" customHeight="1" x14ac:dyDescent="0.3">
      <c r="B4625" s="4" t="str" cm="1">
        <f t="array" ref="B4625">IFERROR(INDEX(EmployeeData[Employee ID], ROW() - 37), "")</f>
        <v/>
      </c>
      <c r="C4625" s="4" t="str" cm="1">
        <f t="array" ref="C4625">IFERROR(INDEX(EmployeeData[Full Name], ROW() - 37), "")</f>
        <v/>
      </c>
      <c r="D4625" s="4" t="str" cm="1">
        <f t="array" ref="D4625">IFERROR(INDEX(EmployeeData[Department], ROW() - 37), "")</f>
        <v/>
      </c>
      <c r="E4625" s="4" t="str" cm="1">
        <f t="array" ref="E4625">IFERROR(INDEX(EmployeeData[Gender], ROW() - 37), "")</f>
        <v/>
      </c>
      <c r="F4625" s="4" t="str" cm="1">
        <f t="array" ref="F4625">IFERROR(INDEX(EmployeeData[Age], ROW() - 37), "")</f>
        <v/>
      </c>
      <c r="G4625" s="6" t="str" cm="1">
        <f t="array" ref="G4625">IFERROR(INDEX(EmployeeData[Join Date], ROW() - 37), "")</f>
        <v/>
      </c>
      <c r="H4625" s="6" t="str" cm="1">
        <f t="array" ref="H4625">IFERROR(IF(INDEX(EmployeeData[Exit Date], ROW() - 37)=0, "",INDEX(EmployeeData[Exit Date], ROW() - 37)),"")</f>
        <v/>
      </c>
      <c r="I4625" s="4" t="str" cm="1">
        <f t="array" ref="I4625">IFERROR(IF(INDEX(EmployeeData[Exit Reason], ROW() - 37)=0, "",INDEX(EmployeeData[Exit Reason], ROW() - 37)),"")</f>
        <v/>
      </c>
      <c r="J4625" s="4" t="str" cm="1">
        <f t="array" ref="J4625">IFERROR(INDEX(EmployeeData[Status], ROW() - 37), "")</f>
        <v/>
      </c>
    </row>
    <row r="4626" spans="2:10" ht="19.95" customHeight="1" x14ac:dyDescent="0.3">
      <c r="B4626" s="4" t="str" cm="1">
        <f t="array" ref="B4626">IFERROR(INDEX(EmployeeData[Employee ID], ROW() - 37), "")</f>
        <v/>
      </c>
      <c r="C4626" s="4" t="str" cm="1">
        <f t="array" ref="C4626">IFERROR(INDEX(EmployeeData[Full Name], ROW() - 37), "")</f>
        <v/>
      </c>
      <c r="D4626" s="4" t="str" cm="1">
        <f t="array" ref="D4626">IFERROR(INDEX(EmployeeData[Department], ROW() - 37), "")</f>
        <v/>
      </c>
      <c r="E4626" s="4" t="str" cm="1">
        <f t="array" ref="E4626">IFERROR(INDEX(EmployeeData[Gender], ROW() - 37), "")</f>
        <v/>
      </c>
      <c r="F4626" s="4" t="str" cm="1">
        <f t="array" ref="F4626">IFERROR(INDEX(EmployeeData[Age], ROW() - 37), "")</f>
        <v/>
      </c>
      <c r="G4626" s="6" t="str" cm="1">
        <f t="array" ref="G4626">IFERROR(INDEX(EmployeeData[Join Date], ROW() - 37), "")</f>
        <v/>
      </c>
      <c r="H4626" s="6" t="str" cm="1">
        <f t="array" ref="H4626">IFERROR(IF(INDEX(EmployeeData[Exit Date], ROW() - 37)=0, "",INDEX(EmployeeData[Exit Date], ROW() - 37)),"")</f>
        <v/>
      </c>
      <c r="I4626" s="4" t="str" cm="1">
        <f t="array" ref="I4626">IFERROR(IF(INDEX(EmployeeData[Exit Reason], ROW() - 37)=0, "",INDEX(EmployeeData[Exit Reason], ROW() - 37)),"")</f>
        <v/>
      </c>
      <c r="J4626" s="4" t="str" cm="1">
        <f t="array" ref="J4626">IFERROR(INDEX(EmployeeData[Status], ROW() - 37), "")</f>
        <v/>
      </c>
    </row>
    <row r="4627" spans="2:10" ht="19.95" customHeight="1" x14ac:dyDescent="0.3">
      <c r="B4627" s="4" t="str" cm="1">
        <f t="array" ref="B4627">IFERROR(INDEX(EmployeeData[Employee ID], ROW() - 37), "")</f>
        <v/>
      </c>
      <c r="C4627" s="4" t="str" cm="1">
        <f t="array" ref="C4627">IFERROR(INDEX(EmployeeData[Full Name], ROW() - 37), "")</f>
        <v/>
      </c>
      <c r="D4627" s="4" t="str" cm="1">
        <f t="array" ref="D4627">IFERROR(INDEX(EmployeeData[Department], ROW() - 37), "")</f>
        <v/>
      </c>
      <c r="E4627" s="4" t="str" cm="1">
        <f t="array" ref="E4627">IFERROR(INDEX(EmployeeData[Gender], ROW() - 37), "")</f>
        <v/>
      </c>
      <c r="F4627" s="4" t="str" cm="1">
        <f t="array" ref="F4627">IFERROR(INDEX(EmployeeData[Age], ROW() - 37), "")</f>
        <v/>
      </c>
      <c r="G4627" s="6" t="str" cm="1">
        <f t="array" ref="G4627">IFERROR(INDEX(EmployeeData[Join Date], ROW() - 37), "")</f>
        <v/>
      </c>
      <c r="H4627" s="6" t="str" cm="1">
        <f t="array" ref="H4627">IFERROR(IF(INDEX(EmployeeData[Exit Date], ROW() - 37)=0, "",INDEX(EmployeeData[Exit Date], ROW() - 37)),"")</f>
        <v/>
      </c>
      <c r="I4627" s="4" t="str" cm="1">
        <f t="array" ref="I4627">IFERROR(IF(INDEX(EmployeeData[Exit Reason], ROW() - 37)=0, "",INDEX(EmployeeData[Exit Reason], ROW() - 37)),"")</f>
        <v/>
      </c>
      <c r="J4627" s="4" t="str" cm="1">
        <f t="array" ref="J4627">IFERROR(INDEX(EmployeeData[Status], ROW() - 37), "")</f>
        <v/>
      </c>
    </row>
    <row r="4628" spans="2:10" ht="19.95" customHeight="1" x14ac:dyDescent="0.3">
      <c r="B4628" s="4" t="str" cm="1">
        <f t="array" ref="B4628">IFERROR(INDEX(EmployeeData[Employee ID], ROW() - 37), "")</f>
        <v/>
      </c>
      <c r="C4628" s="4" t="str" cm="1">
        <f t="array" ref="C4628">IFERROR(INDEX(EmployeeData[Full Name], ROW() - 37), "")</f>
        <v/>
      </c>
      <c r="D4628" s="4" t="str" cm="1">
        <f t="array" ref="D4628">IFERROR(INDEX(EmployeeData[Department], ROW() - 37), "")</f>
        <v/>
      </c>
      <c r="E4628" s="4" t="str" cm="1">
        <f t="array" ref="E4628">IFERROR(INDEX(EmployeeData[Gender], ROW() - 37), "")</f>
        <v/>
      </c>
      <c r="F4628" s="4" t="str" cm="1">
        <f t="array" ref="F4628">IFERROR(INDEX(EmployeeData[Age], ROW() - 37), "")</f>
        <v/>
      </c>
      <c r="G4628" s="6" t="str" cm="1">
        <f t="array" ref="G4628">IFERROR(INDEX(EmployeeData[Join Date], ROW() - 37), "")</f>
        <v/>
      </c>
      <c r="H4628" s="6" t="str" cm="1">
        <f t="array" ref="H4628">IFERROR(IF(INDEX(EmployeeData[Exit Date], ROW() - 37)=0, "",INDEX(EmployeeData[Exit Date], ROW() - 37)),"")</f>
        <v/>
      </c>
      <c r="I4628" s="4" t="str" cm="1">
        <f t="array" ref="I4628">IFERROR(IF(INDEX(EmployeeData[Exit Reason], ROW() - 37)=0, "",INDEX(EmployeeData[Exit Reason], ROW() - 37)),"")</f>
        <v/>
      </c>
      <c r="J4628" s="4" t="str" cm="1">
        <f t="array" ref="J4628">IFERROR(INDEX(EmployeeData[Status], ROW() - 37), "")</f>
        <v/>
      </c>
    </row>
    <row r="4629" spans="2:10" ht="19.95" customHeight="1" x14ac:dyDescent="0.3">
      <c r="B4629" s="4" t="str" cm="1">
        <f t="array" ref="B4629">IFERROR(INDEX(EmployeeData[Employee ID], ROW() - 37), "")</f>
        <v/>
      </c>
      <c r="C4629" s="4" t="str" cm="1">
        <f t="array" ref="C4629">IFERROR(INDEX(EmployeeData[Full Name], ROW() - 37), "")</f>
        <v/>
      </c>
      <c r="D4629" s="4" t="str" cm="1">
        <f t="array" ref="D4629">IFERROR(INDEX(EmployeeData[Department], ROW() - 37), "")</f>
        <v/>
      </c>
      <c r="E4629" s="4" t="str" cm="1">
        <f t="array" ref="E4629">IFERROR(INDEX(EmployeeData[Gender], ROW() - 37), "")</f>
        <v/>
      </c>
      <c r="F4629" s="4" t="str" cm="1">
        <f t="array" ref="F4629">IFERROR(INDEX(EmployeeData[Age], ROW() - 37), "")</f>
        <v/>
      </c>
      <c r="G4629" s="6" t="str" cm="1">
        <f t="array" ref="G4629">IFERROR(INDEX(EmployeeData[Join Date], ROW() - 37), "")</f>
        <v/>
      </c>
      <c r="H4629" s="6" t="str" cm="1">
        <f t="array" ref="H4629">IFERROR(IF(INDEX(EmployeeData[Exit Date], ROW() - 37)=0, "",INDEX(EmployeeData[Exit Date], ROW() - 37)),"")</f>
        <v/>
      </c>
      <c r="I4629" s="4" t="str" cm="1">
        <f t="array" ref="I4629">IFERROR(IF(INDEX(EmployeeData[Exit Reason], ROW() - 37)=0, "",INDEX(EmployeeData[Exit Reason], ROW() - 37)),"")</f>
        <v/>
      </c>
      <c r="J4629" s="4" t="str" cm="1">
        <f t="array" ref="J4629">IFERROR(INDEX(EmployeeData[Status], ROW() - 37), "")</f>
        <v/>
      </c>
    </row>
    <row r="4630" spans="2:10" ht="19.95" customHeight="1" x14ac:dyDescent="0.3">
      <c r="B4630" s="4" t="str" cm="1">
        <f t="array" ref="B4630">IFERROR(INDEX(EmployeeData[Employee ID], ROW() - 37), "")</f>
        <v/>
      </c>
      <c r="C4630" s="4" t="str" cm="1">
        <f t="array" ref="C4630">IFERROR(INDEX(EmployeeData[Full Name], ROW() - 37), "")</f>
        <v/>
      </c>
      <c r="D4630" s="4" t="str" cm="1">
        <f t="array" ref="D4630">IFERROR(INDEX(EmployeeData[Department], ROW() - 37), "")</f>
        <v/>
      </c>
      <c r="E4630" s="4" t="str" cm="1">
        <f t="array" ref="E4630">IFERROR(INDEX(EmployeeData[Gender], ROW() - 37), "")</f>
        <v/>
      </c>
      <c r="F4630" s="4" t="str" cm="1">
        <f t="array" ref="F4630">IFERROR(INDEX(EmployeeData[Age], ROW() - 37), "")</f>
        <v/>
      </c>
      <c r="G4630" s="6" t="str" cm="1">
        <f t="array" ref="G4630">IFERROR(INDEX(EmployeeData[Join Date], ROW() - 37), "")</f>
        <v/>
      </c>
      <c r="H4630" s="6" t="str" cm="1">
        <f t="array" ref="H4630">IFERROR(IF(INDEX(EmployeeData[Exit Date], ROW() - 37)=0, "",INDEX(EmployeeData[Exit Date], ROW() - 37)),"")</f>
        <v/>
      </c>
      <c r="I4630" s="4" t="str" cm="1">
        <f t="array" ref="I4630">IFERROR(IF(INDEX(EmployeeData[Exit Reason], ROW() - 37)=0, "",INDEX(EmployeeData[Exit Reason], ROW() - 37)),"")</f>
        <v/>
      </c>
      <c r="J4630" s="4" t="str" cm="1">
        <f t="array" ref="J4630">IFERROR(INDEX(EmployeeData[Status], ROW() - 37), "")</f>
        <v/>
      </c>
    </row>
    <row r="4631" spans="2:10" ht="19.95" customHeight="1" x14ac:dyDescent="0.3">
      <c r="B4631" s="4" t="str" cm="1">
        <f t="array" ref="B4631">IFERROR(INDEX(EmployeeData[Employee ID], ROW() - 37), "")</f>
        <v/>
      </c>
      <c r="C4631" s="4" t="str" cm="1">
        <f t="array" ref="C4631">IFERROR(INDEX(EmployeeData[Full Name], ROW() - 37), "")</f>
        <v/>
      </c>
      <c r="D4631" s="4" t="str" cm="1">
        <f t="array" ref="D4631">IFERROR(INDEX(EmployeeData[Department], ROW() - 37), "")</f>
        <v/>
      </c>
      <c r="E4631" s="4" t="str" cm="1">
        <f t="array" ref="E4631">IFERROR(INDEX(EmployeeData[Gender], ROW() - 37), "")</f>
        <v/>
      </c>
      <c r="F4631" s="4" t="str" cm="1">
        <f t="array" ref="F4631">IFERROR(INDEX(EmployeeData[Age], ROW() - 37), "")</f>
        <v/>
      </c>
      <c r="G4631" s="6" t="str" cm="1">
        <f t="array" ref="G4631">IFERROR(INDEX(EmployeeData[Join Date], ROW() - 37), "")</f>
        <v/>
      </c>
      <c r="H4631" s="6" t="str" cm="1">
        <f t="array" ref="H4631">IFERROR(IF(INDEX(EmployeeData[Exit Date], ROW() - 37)=0, "",INDEX(EmployeeData[Exit Date], ROW() - 37)),"")</f>
        <v/>
      </c>
      <c r="I4631" s="4" t="str" cm="1">
        <f t="array" ref="I4631">IFERROR(IF(INDEX(EmployeeData[Exit Reason], ROW() - 37)=0, "",INDEX(EmployeeData[Exit Reason], ROW() - 37)),"")</f>
        <v/>
      </c>
      <c r="J4631" s="4" t="str" cm="1">
        <f t="array" ref="J4631">IFERROR(INDEX(EmployeeData[Status], ROW() - 37), "")</f>
        <v/>
      </c>
    </row>
    <row r="4632" spans="2:10" ht="19.95" customHeight="1" x14ac:dyDescent="0.3">
      <c r="B4632" s="4" t="str" cm="1">
        <f t="array" ref="B4632">IFERROR(INDEX(EmployeeData[Employee ID], ROW() - 37), "")</f>
        <v/>
      </c>
      <c r="C4632" s="4" t="str" cm="1">
        <f t="array" ref="C4632">IFERROR(INDEX(EmployeeData[Full Name], ROW() - 37), "")</f>
        <v/>
      </c>
      <c r="D4632" s="4" t="str" cm="1">
        <f t="array" ref="D4632">IFERROR(INDEX(EmployeeData[Department], ROW() - 37), "")</f>
        <v/>
      </c>
      <c r="E4632" s="4" t="str" cm="1">
        <f t="array" ref="E4632">IFERROR(INDEX(EmployeeData[Gender], ROW() - 37), "")</f>
        <v/>
      </c>
      <c r="F4632" s="4" t="str" cm="1">
        <f t="array" ref="F4632">IFERROR(INDEX(EmployeeData[Age], ROW() - 37), "")</f>
        <v/>
      </c>
      <c r="G4632" s="6" t="str" cm="1">
        <f t="array" ref="G4632">IFERROR(INDEX(EmployeeData[Join Date], ROW() - 37), "")</f>
        <v/>
      </c>
      <c r="H4632" s="6" t="str" cm="1">
        <f t="array" ref="H4632">IFERROR(IF(INDEX(EmployeeData[Exit Date], ROW() - 37)=0, "",INDEX(EmployeeData[Exit Date], ROW() - 37)),"")</f>
        <v/>
      </c>
      <c r="I4632" s="4" t="str" cm="1">
        <f t="array" ref="I4632">IFERROR(IF(INDEX(EmployeeData[Exit Reason], ROW() - 37)=0, "",INDEX(EmployeeData[Exit Reason], ROW() - 37)),"")</f>
        <v/>
      </c>
      <c r="J4632" s="4" t="str" cm="1">
        <f t="array" ref="J4632">IFERROR(INDEX(EmployeeData[Status], ROW() - 37), "")</f>
        <v/>
      </c>
    </row>
    <row r="4633" spans="2:10" ht="19.95" customHeight="1" x14ac:dyDescent="0.3">
      <c r="B4633" s="4" t="str" cm="1">
        <f t="array" ref="B4633">IFERROR(INDEX(EmployeeData[Employee ID], ROW() - 37), "")</f>
        <v/>
      </c>
      <c r="C4633" s="4" t="str" cm="1">
        <f t="array" ref="C4633">IFERROR(INDEX(EmployeeData[Full Name], ROW() - 37), "")</f>
        <v/>
      </c>
      <c r="D4633" s="4" t="str" cm="1">
        <f t="array" ref="D4633">IFERROR(INDEX(EmployeeData[Department], ROW() - 37), "")</f>
        <v/>
      </c>
      <c r="E4633" s="4" t="str" cm="1">
        <f t="array" ref="E4633">IFERROR(INDEX(EmployeeData[Gender], ROW() - 37), "")</f>
        <v/>
      </c>
      <c r="F4633" s="4" t="str" cm="1">
        <f t="array" ref="F4633">IFERROR(INDEX(EmployeeData[Age], ROW() - 37), "")</f>
        <v/>
      </c>
      <c r="G4633" s="6" t="str" cm="1">
        <f t="array" ref="G4633">IFERROR(INDEX(EmployeeData[Join Date], ROW() - 37), "")</f>
        <v/>
      </c>
      <c r="H4633" s="6" t="str" cm="1">
        <f t="array" ref="H4633">IFERROR(IF(INDEX(EmployeeData[Exit Date], ROW() - 37)=0, "",INDEX(EmployeeData[Exit Date], ROW() - 37)),"")</f>
        <v/>
      </c>
      <c r="I4633" s="4" t="str" cm="1">
        <f t="array" ref="I4633">IFERROR(IF(INDEX(EmployeeData[Exit Reason], ROW() - 37)=0, "",INDEX(EmployeeData[Exit Reason], ROW() - 37)),"")</f>
        <v/>
      </c>
      <c r="J4633" s="4" t="str" cm="1">
        <f t="array" ref="J4633">IFERROR(INDEX(EmployeeData[Status], ROW() - 37), "")</f>
        <v/>
      </c>
    </row>
    <row r="4634" spans="2:10" ht="19.95" customHeight="1" x14ac:dyDescent="0.3">
      <c r="B4634" s="4" t="str" cm="1">
        <f t="array" ref="B4634">IFERROR(INDEX(EmployeeData[Employee ID], ROW() - 37), "")</f>
        <v/>
      </c>
      <c r="C4634" s="4" t="str" cm="1">
        <f t="array" ref="C4634">IFERROR(INDEX(EmployeeData[Full Name], ROW() - 37), "")</f>
        <v/>
      </c>
      <c r="D4634" s="4" t="str" cm="1">
        <f t="array" ref="D4634">IFERROR(INDEX(EmployeeData[Department], ROW() - 37), "")</f>
        <v/>
      </c>
      <c r="E4634" s="4" t="str" cm="1">
        <f t="array" ref="E4634">IFERROR(INDEX(EmployeeData[Gender], ROW() - 37), "")</f>
        <v/>
      </c>
      <c r="F4634" s="4" t="str" cm="1">
        <f t="array" ref="F4634">IFERROR(INDEX(EmployeeData[Age], ROW() - 37), "")</f>
        <v/>
      </c>
      <c r="G4634" s="6" t="str" cm="1">
        <f t="array" ref="G4634">IFERROR(INDEX(EmployeeData[Join Date], ROW() - 37), "")</f>
        <v/>
      </c>
      <c r="H4634" s="6" t="str" cm="1">
        <f t="array" ref="H4634">IFERROR(IF(INDEX(EmployeeData[Exit Date], ROW() - 37)=0, "",INDEX(EmployeeData[Exit Date], ROW() - 37)),"")</f>
        <v/>
      </c>
      <c r="I4634" s="4" t="str" cm="1">
        <f t="array" ref="I4634">IFERROR(IF(INDEX(EmployeeData[Exit Reason], ROW() - 37)=0, "",INDEX(EmployeeData[Exit Reason], ROW() - 37)),"")</f>
        <v/>
      </c>
      <c r="J4634" s="4" t="str" cm="1">
        <f t="array" ref="J4634">IFERROR(INDEX(EmployeeData[Status], ROW() - 37), "")</f>
        <v/>
      </c>
    </row>
    <row r="4635" spans="2:10" ht="19.95" customHeight="1" x14ac:dyDescent="0.3">
      <c r="B4635" s="4" t="str" cm="1">
        <f t="array" ref="B4635">IFERROR(INDEX(EmployeeData[Employee ID], ROW() - 37), "")</f>
        <v/>
      </c>
      <c r="C4635" s="4" t="str" cm="1">
        <f t="array" ref="C4635">IFERROR(INDEX(EmployeeData[Full Name], ROW() - 37), "")</f>
        <v/>
      </c>
      <c r="D4635" s="4" t="str" cm="1">
        <f t="array" ref="D4635">IFERROR(INDEX(EmployeeData[Department], ROW() - 37), "")</f>
        <v/>
      </c>
      <c r="E4635" s="4" t="str" cm="1">
        <f t="array" ref="E4635">IFERROR(INDEX(EmployeeData[Gender], ROW() - 37), "")</f>
        <v/>
      </c>
      <c r="F4635" s="4" t="str" cm="1">
        <f t="array" ref="F4635">IFERROR(INDEX(EmployeeData[Age], ROW() - 37), "")</f>
        <v/>
      </c>
      <c r="G4635" s="6" t="str" cm="1">
        <f t="array" ref="G4635">IFERROR(INDEX(EmployeeData[Join Date], ROW() - 37), "")</f>
        <v/>
      </c>
      <c r="H4635" s="6" t="str" cm="1">
        <f t="array" ref="H4635">IFERROR(IF(INDEX(EmployeeData[Exit Date], ROW() - 37)=0, "",INDEX(EmployeeData[Exit Date], ROW() - 37)),"")</f>
        <v/>
      </c>
      <c r="I4635" s="4" t="str" cm="1">
        <f t="array" ref="I4635">IFERROR(IF(INDEX(EmployeeData[Exit Reason], ROW() - 37)=0, "",INDEX(EmployeeData[Exit Reason], ROW() - 37)),"")</f>
        <v/>
      </c>
      <c r="J4635" s="4" t="str" cm="1">
        <f t="array" ref="J4635">IFERROR(INDEX(EmployeeData[Status], ROW() - 37), "")</f>
        <v/>
      </c>
    </row>
    <row r="4636" spans="2:10" ht="19.95" customHeight="1" x14ac:dyDescent="0.3">
      <c r="B4636" s="4" t="str" cm="1">
        <f t="array" ref="B4636">IFERROR(INDEX(EmployeeData[Employee ID], ROW() - 37), "")</f>
        <v/>
      </c>
      <c r="C4636" s="4" t="str" cm="1">
        <f t="array" ref="C4636">IFERROR(INDEX(EmployeeData[Full Name], ROW() - 37), "")</f>
        <v/>
      </c>
      <c r="D4636" s="4" t="str" cm="1">
        <f t="array" ref="D4636">IFERROR(INDEX(EmployeeData[Department], ROW() - 37), "")</f>
        <v/>
      </c>
      <c r="E4636" s="4" t="str" cm="1">
        <f t="array" ref="E4636">IFERROR(INDEX(EmployeeData[Gender], ROW() - 37), "")</f>
        <v/>
      </c>
      <c r="F4636" s="4" t="str" cm="1">
        <f t="array" ref="F4636">IFERROR(INDEX(EmployeeData[Age], ROW() - 37), "")</f>
        <v/>
      </c>
      <c r="G4636" s="6" t="str" cm="1">
        <f t="array" ref="G4636">IFERROR(INDEX(EmployeeData[Join Date], ROW() - 37), "")</f>
        <v/>
      </c>
      <c r="H4636" s="6" t="str" cm="1">
        <f t="array" ref="H4636">IFERROR(IF(INDEX(EmployeeData[Exit Date], ROW() - 37)=0, "",INDEX(EmployeeData[Exit Date], ROW() - 37)),"")</f>
        <v/>
      </c>
      <c r="I4636" s="4" t="str" cm="1">
        <f t="array" ref="I4636">IFERROR(IF(INDEX(EmployeeData[Exit Reason], ROW() - 37)=0, "",INDEX(EmployeeData[Exit Reason], ROW() - 37)),"")</f>
        <v/>
      </c>
      <c r="J4636" s="4" t="str" cm="1">
        <f t="array" ref="J4636">IFERROR(INDEX(EmployeeData[Status], ROW() - 37), "")</f>
        <v/>
      </c>
    </row>
    <row r="4637" spans="2:10" ht="19.95" customHeight="1" x14ac:dyDescent="0.3">
      <c r="B4637" s="4" t="str" cm="1">
        <f t="array" ref="B4637">IFERROR(INDEX(EmployeeData[Employee ID], ROW() - 37), "")</f>
        <v/>
      </c>
      <c r="C4637" s="4" t="str" cm="1">
        <f t="array" ref="C4637">IFERROR(INDEX(EmployeeData[Full Name], ROW() - 37), "")</f>
        <v/>
      </c>
      <c r="D4637" s="4" t="str" cm="1">
        <f t="array" ref="D4637">IFERROR(INDEX(EmployeeData[Department], ROW() - 37), "")</f>
        <v/>
      </c>
      <c r="E4637" s="4" t="str" cm="1">
        <f t="array" ref="E4637">IFERROR(INDEX(EmployeeData[Gender], ROW() - 37), "")</f>
        <v/>
      </c>
      <c r="F4637" s="4" t="str" cm="1">
        <f t="array" ref="F4637">IFERROR(INDEX(EmployeeData[Age], ROW() - 37), "")</f>
        <v/>
      </c>
      <c r="G4637" s="6" t="str" cm="1">
        <f t="array" ref="G4637">IFERROR(INDEX(EmployeeData[Join Date], ROW() - 37), "")</f>
        <v/>
      </c>
      <c r="H4637" s="6" t="str" cm="1">
        <f t="array" ref="H4637">IFERROR(IF(INDEX(EmployeeData[Exit Date], ROW() - 37)=0, "",INDEX(EmployeeData[Exit Date], ROW() - 37)),"")</f>
        <v/>
      </c>
      <c r="I4637" s="4" t="str" cm="1">
        <f t="array" ref="I4637">IFERROR(IF(INDEX(EmployeeData[Exit Reason], ROW() - 37)=0, "",INDEX(EmployeeData[Exit Reason], ROW() - 37)),"")</f>
        <v/>
      </c>
      <c r="J4637" s="4" t="str" cm="1">
        <f t="array" ref="J4637">IFERROR(INDEX(EmployeeData[Status], ROW() - 37), "")</f>
        <v/>
      </c>
    </row>
    <row r="4638" spans="2:10" ht="19.95" customHeight="1" x14ac:dyDescent="0.3">
      <c r="B4638" s="4" t="str" cm="1">
        <f t="array" ref="B4638">IFERROR(INDEX(EmployeeData[Employee ID], ROW() - 37), "")</f>
        <v/>
      </c>
      <c r="C4638" s="4" t="str" cm="1">
        <f t="array" ref="C4638">IFERROR(INDEX(EmployeeData[Full Name], ROW() - 37), "")</f>
        <v/>
      </c>
      <c r="D4638" s="4" t="str" cm="1">
        <f t="array" ref="D4638">IFERROR(INDEX(EmployeeData[Department], ROW() - 37), "")</f>
        <v/>
      </c>
      <c r="E4638" s="4" t="str" cm="1">
        <f t="array" ref="E4638">IFERROR(INDEX(EmployeeData[Gender], ROW() - 37), "")</f>
        <v/>
      </c>
      <c r="F4638" s="4" t="str" cm="1">
        <f t="array" ref="F4638">IFERROR(INDEX(EmployeeData[Age], ROW() - 37), "")</f>
        <v/>
      </c>
      <c r="G4638" s="6" t="str" cm="1">
        <f t="array" ref="G4638">IFERROR(INDEX(EmployeeData[Join Date], ROW() - 37), "")</f>
        <v/>
      </c>
      <c r="H4638" s="6" t="str" cm="1">
        <f t="array" ref="H4638">IFERROR(IF(INDEX(EmployeeData[Exit Date], ROW() - 37)=0, "",INDEX(EmployeeData[Exit Date], ROW() - 37)),"")</f>
        <v/>
      </c>
      <c r="I4638" s="4" t="str" cm="1">
        <f t="array" ref="I4638">IFERROR(IF(INDEX(EmployeeData[Exit Reason], ROW() - 37)=0, "",INDEX(EmployeeData[Exit Reason], ROW() - 37)),"")</f>
        <v/>
      </c>
      <c r="J4638" s="4" t="str" cm="1">
        <f t="array" ref="J4638">IFERROR(INDEX(EmployeeData[Status], ROW() - 37), "")</f>
        <v/>
      </c>
    </row>
    <row r="4639" spans="2:10" ht="19.95" customHeight="1" x14ac:dyDescent="0.3">
      <c r="B4639" s="4" t="str" cm="1">
        <f t="array" ref="B4639">IFERROR(INDEX(EmployeeData[Employee ID], ROW() - 37), "")</f>
        <v/>
      </c>
      <c r="C4639" s="4" t="str" cm="1">
        <f t="array" ref="C4639">IFERROR(INDEX(EmployeeData[Full Name], ROW() - 37), "")</f>
        <v/>
      </c>
      <c r="D4639" s="4" t="str" cm="1">
        <f t="array" ref="D4639">IFERROR(INDEX(EmployeeData[Department], ROW() - 37), "")</f>
        <v/>
      </c>
      <c r="E4639" s="4" t="str" cm="1">
        <f t="array" ref="E4639">IFERROR(INDEX(EmployeeData[Gender], ROW() - 37), "")</f>
        <v/>
      </c>
      <c r="F4639" s="4" t="str" cm="1">
        <f t="array" ref="F4639">IFERROR(INDEX(EmployeeData[Age], ROW() - 37), "")</f>
        <v/>
      </c>
      <c r="G4639" s="6" t="str" cm="1">
        <f t="array" ref="G4639">IFERROR(INDEX(EmployeeData[Join Date], ROW() - 37), "")</f>
        <v/>
      </c>
      <c r="H4639" s="6" t="str" cm="1">
        <f t="array" ref="H4639">IFERROR(IF(INDEX(EmployeeData[Exit Date], ROW() - 37)=0, "",INDEX(EmployeeData[Exit Date], ROW() - 37)),"")</f>
        <v/>
      </c>
      <c r="I4639" s="4" t="str" cm="1">
        <f t="array" ref="I4639">IFERROR(IF(INDEX(EmployeeData[Exit Reason], ROW() - 37)=0, "",INDEX(EmployeeData[Exit Reason], ROW() - 37)),"")</f>
        <v/>
      </c>
      <c r="J4639" s="4" t="str" cm="1">
        <f t="array" ref="J4639">IFERROR(INDEX(EmployeeData[Status], ROW() - 37), "")</f>
        <v/>
      </c>
    </row>
    <row r="4640" spans="2:10" ht="19.95" customHeight="1" x14ac:dyDescent="0.3">
      <c r="B4640" s="4" t="str" cm="1">
        <f t="array" ref="B4640">IFERROR(INDEX(EmployeeData[Employee ID], ROW() - 37), "")</f>
        <v/>
      </c>
      <c r="C4640" s="4" t="str" cm="1">
        <f t="array" ref="C4640">IFERROR(INDEX(EmployeeData[Full Name], ROW() - 37), "")</f>
        <v/>
      </c>
      <c r="D4640" s="4" t="str" cm="1">
        <f t="array" ref="D4640">IFERROR(INDEX(EmployeeData[Department], ROW() - 37), "")</f>
        <v/>
      </c>
      <c r="E4640" s="4" t="str" cm="1">
        <f t="array" ref="E4640">IFERROR(INDEX(EmployeeData[Gender], ROW() - 37), "")</f>
        <v/>
      </c>
      <c r="F4640" s="4" t="str" cm="1">
        <f t="array" ref="F4640">IFERROR(INDEX(EmployeeData[Age], ROW() - 37), "")</f>
        <v/>
      </c>
      <c r="G4640" s="6" t="str" cm="1">
        <f t="array" ref="G4640">IFERROR(INDEX(EmployeeData[Join Date], ROW() - 37), "")</f>
        <v/>
      </c>
      <c r="H4640" s="6" t="str" cm="1">
        <f t="array" ref="H4640">IFERROR(IF(INDEX(EmployeeData[Exit Date], ROW() - 37)=0, "",INDEX(EmployeeData[Exit Date], ROW() - 37)),"")</f>
        <v/>
      </c>
      <c r="I4640" s="4" t="str" cm="1">
        <f t="array" ref="I4640">IFERROR(IF(INDEX(EmployeeData[Exit Reason], ROW() - 37)=0, "",INDEX(EmployeeData[Exit Reason], ROW() - 37)),"")</f>
        <v/>
      </c>
      <c r="J4640" s="4" t="str" cm="1">
        <f t="array" ref="J4640">IFERROR(INDEX(EmployeeData[Status], ROW() - 37), "")</f>
        <v/>
      </c>
    </row>
    <row r="4641" spans="2:10" ht="19.95" customHeight="1" x14ac:dyDescent="0.3">
      <c r="B4641" s="4" t="str" cm="1">
        <f t="array" ref="B4641">IFERROR(INDEX(EmployeeData[Employee ID], ROW() - 37), "")</f>
        <v/>
      </c>
      <c r="C4641" s="4" t="str" cm="1">
        <f t="array" ref="C4641">IFERROR(INDEX(EmployeeData[Full Name], ROW() - 37), "")</f>
        <v/>
      </c>
      <c r="D4641" s="4" t="str" cm="1">
        <f t="array" ref="D4641">IFERROR(INDEX(EmployeeData[Department], ROW() - 37), "")</f>
        <v/>
      </c>
      <c r="E4641" s="4" t="str" cm="1">
        <f t="array" ref="E4641">IFERROR(INDEX(EmployeeData[Gender], ROW() - 37), "")</f>
        <v/>
      </c>
      <c r="F4641" s="4" t="str" cm="1">
        <f t="array" ref="F4641">IFERROR(INDEX(EmployeeData[Age], ROW() - 37), "")</f>
        <v/>
      </c>
      <c r="G4641" s="6" t="str" cm="1">
        <f t="array" ref="G4641">IFERROR(INDEX(EmployeeData[Join Date], ROW() - 37), "")</f>
        <v/>
      </c>
      <c r="H4641" s="6" t="str" cm="1">
        <f t="array" ref="H4641">IFERROR(IF(INDEX(EmployeeData[Exit Date], ROW() - 37)=0, "",INDEX(EmployeeData[Exit Date], ROW() - 37)),"")</f>
        <v/>
      </c>
      <c r="I4641" s="4" t="str" cm="1">
        <f t="array" ref="I4641">IFERROR(IF(INDEX(EmployeeData[Exit Reason], ROW() - 37)=0, "",INDEX(EmployeeData[Exit Reason], ROW() - 37)),"")</f>
        <v/>
      </c>
      <c r="J4641" s="4" t="str" cm="1">
        <f t="array" ref="J4641">IFERROR(INDEX(EmployeeData[Status], ROW() - 37), "")</f>
        <v/>
      </c>
    </row>
    <row r="4642" spans="2:10" ht="19.95" customHeight="1" x14ac:dyDescent="0.3">
      <c r="B4642" s="4" t="str" cm="1">
        <f t="array" ref="B4642">IFERROR(INDEX(EmployeeData[Employee ID], ROW() - 37), "")</f>
        <v/>
      </c>
      <c r="C4642" s="4" t="str" cm="1">
        <f t="array" ref="C4642">IFERROR(INDEX(EmployeeData[Full Name], ROW() - 37), "")</f>
        <v/>
      </c>
      <c r="D4642" s="4" t="str" cm="1">
        <f t="array" ref="D4642">IFERROR(INDEX(EmployeeData[Department], ROW() - 37), "")</f>
        <v/>
      </c>
      <c r="E4642" s="4" t="str" cm="1">
        <f t="array" ref="E4642">IFERROR(INDEX(EmployeeData[Gender], ROW() - 37), "")</f>
        <v/>
      </c>
      <c r="F4642" s="4" t="str" cm="1">
        <f t="array" ref="F4642">IFERROR(INDEX(EmployeeData[Age], ROW() - 37), "")</f>
        <v/>
      </c>
      <c r="G4642" s="6" t="str" cm="1">
        <f t="array" ref="G4642">IFERROR(INDEX(EmployeeData[Join Date], ROW() - 37), "")</f>
        <v/>
      </c>
      <c r="H4642" s="6" t="str" cm="1">
        <f t="array" ref="H4642">IFERROR(IF(INDEX(EmployeeData[Exit Date], ROW() - 37)=0, "",INDEX(EmployeeData[Exit Date], ROW() - 37)),"")</f>
        <v/>
      </c>
      <c r="I4642" s="4" t="str" cm="1">
        <f t="array" ref="I4642">IFERROR(IF(INDEX(EmployeeData[Exit Reason], ROW() - 37)=0, "",INDEX(EmployeeData[Exit Reason], ROW() - 37)),"")</f>
        <v/>
      </c>
      <c r="J4642" s="4" t="str" cm="1">
        <f t="array" ref="J4642">IFERROR(INDEX(EmployeeData[Status], ROW() - 37), "")</f>
        <v/>
      </c>
    </row>
    <row r="4643" spans="2:10" ht="19.95" customHeight="1" x14ac:dyDescent="0.3">
      <c r="B4643" s="4" t="str" cm="1">
        <f t="array" ref="B4643">IFERROR(INDEX(EmployeeData[Employee ID], ROW() - 37), "")</f>
        <v/>
      </c>
      <c r="C4643" s="4" t="str" cm="1">
        <f t="array" ref="C4643">IFERROR(INDEX(EmployeeData[Full Name], ROW() - 37), "")</f>
        <v/>
      </c>
      <c r="D4643" s="4" t="str" cm="1">
        <f t="array" ref="D4643">IFERROR(INDEX(EmployeeData[Department], ROW() - 37), "")</f>
        <v/>
      </c>
      <c r="E4643" s="4" t="str" cm="1">
        <f t="array" ref="E4643">IFERROR(INDEX(EmployeeData[Gender], ROW() - 37), "")</f>
        <v/>
      </c>
      <c r="F4643" s="4" t="str" cm="1">
        <f t="array" ref="F4643">IFERROR(INDEX(EmployeeData[Age], ROW() - 37), "")</f>
        <v/>
      </c>
      <c r="G4643" s="6" t="str" cm="1">
        <f t="array" ref="G4643">IFERROR(INDEX(EmployeeData[Join Date], ROW() - 37), "")</f>
        <v/>
      </c>
      <c r="H4643" s="6" t="str" cm="1">
        <f t="array" ref="H4643">IFERROR(IF(INDEX(EmployeeData[Exit Date], ROW() - 37)=0, "",INDEX(EmployeeData[Exit Date], ROW() - 37)),"")</f>
        <v/>
      </c>
      <c r="I4643" s="4" t="str" cm="1">
        <f t="array" ref="I4643">IFERROR(IF(INDEX(EmployeeData[Exit Reason], ROW() - 37)=0, "",INDEX(EmployeeData[Exit Reason], ROW() - 37)),"")</f>
        <v/>
      </c>
      <c r="J4643" s="4" t="str" cm="1">
        <f t="array" ref="J4643">IFERROR(INDEX(EmployeeData[Status], ROW() - 37), "")</f>
        <v/>
      </c>
    </row>
    <row r="4644" spans="2:10" ht="19.95" customHeight="1" x14ac:dyDescent="0.3">
      <c r="B4644" s="4" t="str" cm="1">
        <f t="array" ref="B4644">IFERROR(INDEX(EmployeeData[Employee ID], ROW() - 37), "")</f>
        <v/>
      </c>
      <c r="C4644" s="4" t="str" cm="1">
        <f t="array" ref="C4644">IFERROR(INDEX(EmployeeData[Full Name], ROW() - 37), "")</f>
        <v/>
      </c>
      <c r="D4644" s="4" t="str" cm="1">
        <f t="array" ref="D4644">IFERROR(INDEX(EmployeeData[Department], ROW() - 37), "")</f>
        <v/>
      </c>
      <c r="E4644" s="4" t="str" cm="1">
        <f t="array" ref="E4644">IFERROR(INDEX(EmployeeData[Gender], ROW() - 37), "")</f>
        <v/>
      </c>
      <c r="F4644" s="4" t="str" cm="1">
        <f t="array" ref="F4644">IFERROR(INDEX(EmployeeData[Age], ROW() - 37), "")</f>
        <v/>
      </c>
      <c r="G4644" s="6" t="str" cm="1">
        <f t="array" ref="G4644">IFERROR(INDEX(EmployeeData[Join Date], ROW() - 37), "")</f>
        <v/>
      </c>
      <c r="H4644" s="6" t="str" cm="1">
        <f t="array" ref="H4644">IFERROR(IF(INDEX(EmployeeData[Exit Date], ROW() - 37)=0, "",INDEX(EmployeeData[Exit Date], ROW() - 37)),"")</f>
        <v/>
      </c>
      <c r="I4644" s="4" t="str" cm="1">
        <f t="array" ref="I4644">IFERROR(IF(INDEX(EmployeeData[Exit Reason], ROW() - 37)=0, "",INDEX(EmployeeData[Exit Reason], ROW() - 37)),"")</f>
        <v/>
      </c>
      <c r="J4644" s="4" t="str" cm="1">
        <f t="array" ref="J4644">IFERROR(INDEX(EmployeeData[Status], ROW() - 37), "")</f>
        <v/>
      </c>
    </row>
    <row r="4645" spans="2:10" ht="19.95" customHeight="1" x14ac:dyDescent="0.3">
      <c r="B4645" s="4" t="str" cm="1">
        <f t="array" ref="B4645">IFERROR(INDEX(EmployeeData[Employee ID], ROW() - 37), "")</f>
        <v/>
      </c>
      <c r="C4645" s="4" t="str" cm="1">
        <f t="array" ref="C4645">IFERROR(INDEX(EmployeeData[Full Name], ROW() - 37), "")</f>
        <v/>
      </c>
      <c r="D4645" s="4" t="str" cm="1">
        <f t="array" ref="D4645">IFERROR(INDEX(EmployeeData[Department], ROW() - 37), "")</f>
        <v/>
      </c>
      <c r="E4645" s="4" t="str" cm="1">
        <f t="array" ref="E4645">IFERROR(INDEX(EmployeeData[Gender], ROW() - 37), "")</f>
        <v/>
      </c>
      <c r="F4645" s="4" t="str" cm="1">
        <f t="array" ref="F4645">IFERROR(INDEX(EmployeeData[Age], ROW() - 37), "")</f>
        <v/>
      </c>
      <c r="G4645" s="6" t="str" cm="1">
        <f t="array" ref="G4645">IFERROR(INDEX(EmployeeData[Join Date], ROW() - 37), "")</f>
        <v/>
      </c>
      <c r="H4645" s="6" t="str" cm="1">
        <f t="array" ref="H4645">IFERROR(IF(INDEX(EmployeeData[Exit Date], ROW() - 37)=0, "",INDEX(EmployeeData[Exit Date], ROW() - 37)),"")</f>
        <v/>
      </c>
      <c r="I4645" s="4" t="str" cm="1">
        <f t="array" ref="I4645">IFERROR(IF(INDEX(EmployeeData[Exit Reason], ROW() - 37)=0, "",INDEX(EmployeeData[Exit Reason], ROW() - 37)),"")</f>
        <v/>
      </c>
      <c r="J4645" s="4" t="str" cm="1">
        <f t="array" ref="J4645">IFERROR(INDEX(EmployeeData[Status], ROW() - 37), "")</f>
        <v/>
      </c>
    </row>
    <row r="4646" spans="2:10" ht="19.95" customHeight="1" x14ac:dyDescent="0.3">
      <c r="B4646" s="4" t="str" cm="1">
        <f t="array" ref="B4646">IFERROR(INDEX(EmployeeData[Employee ID], ROW() - 37), "")</f>
        <v/>
      </c>
      <c r="C4646" s="4" t="str" cm="1">
        <f t="array" ref="C4646">IFERROR(INDEX(EmployeeData[Full Name], ROW() - 37), "")</f>
        <v/>
      </c>
      <c r="D4646" s="4" t="str" cm="1">
        <f t="array" ref="D4646">IFERROR(INDEX(EmployeeData[Department], ROW() - 37), "")</f>
        <v/>
      </c>
      <c r="E4646" s="4" t="str" cm="1">
        <f t="array" ref="E4646">IFERROR(INDEX(EmployeeData[Gender], ROW() - 37), "")</f>
        <v/>
      </c>
      <c r="F4646" s="4" t="str" cm="1">
        <f t="array" ref="F4646">IFERROR(INDEX(EmployeeData[Age], ROW() - 37), "")</f>
        <v/>
      </c>
      <c r="G4646" s="6" t="str" cm="1">
        <f t="array" ref="G4646">IFERROR(INDEX(EmployeeData[Join Date], ROW() - 37), "")</f>
        <v/>
      </c>
      <c r="H4646" s="6" t="str" cm="1">
        <f t="array" ref="H4646">IFERROR(IF(INDEX(EmployeeData[Exit Date], ROW() - 37)=0, "",INDEX(EmployeeData[Exit Date], ROW() - 37)),"")</f>
        <v/>
      </c>
      <c r="I4646" s="4" t="str" cm="1">
        <f t="array" ref="I4646">IFERROR(IF(INDEX(EmployeeData[Exit Reason], ROW() - 37)=0, "",INDEX(EmployeeData[Exit Reason], ROW() - 37)),"")</f>
        <v/>
      </c>
      <c r="J4646" s="4" t="str" cm="1">
        <f t="array" ref="J4646">IFERROR(INDEX(EmployeeData[Status], ROW() - 37), "")</f>
        <v/>
      </c>
    </row>
    <row r="4647" spans="2:10" ht="19.95" customHeight="1" x14ac:dyDescent="0.3">
      <c r="B4647" s="4" t="str" cm="1">
        <f t="array" ref="B4647">IFERROR(INDEX(EmployeeData[Employee ID], ROW() - 37), "")</f>
        <v/>
      </c>
      <c r="C4647" s="4" t="str" cm="1">
        <f t="array" ref="C4647">IFERROR(INDEX(EmployeeData[Full Name], ROW() - 37), "")</f>
        <v/>
      </c>
      <c r="D4647" s="4" t="str" cm="1">
        <f t="array" ref="D4647">IFERROR(INDEX(EmployeeData[Department], ROW() - 37), "")</f>
        <v/>
      </c>
      <c r="E4647" s="4" t="str" cm="1">
        <f t="array" ref="E4647">IFERROR(INDEX(EmployeeData[Gender], ROW() - 37), "")</f>
        <v/>
      </c>
      <c r="F4647" s="4" t="str" cm="1">
        <f t="array" ref="F4647">IFERROR(INDEX(EmployeeData[Age], ROW() - 37), "")</f>
        <v/>
      </c>
      <c r="G4647" s="6" t="str" cm="1">
        <f t="array" ref="G4647">IFERROR(INDEX(EmployeeData[Join Date], ROW() - 37), "")</f>
        <v/>
      </c>
      <c r="H4647" s="6" t="str" cm="1">
        <f t="array" ref="H4647">IFERROR(IF(INDEX(EmployeeData[Exit Date], ROW() - 37)=0, "",INDEX(EmployeeData[Exit Date], ROW() - 37)),"")</f>
        <v/>
      </c>
      <c r="I4647" s="4" t="str" cm="1">
        <f t="array" ref="I4647">IFERROR(IF(INDEX(EmployeeData[Exit Reason], ROW() - 37)=0, "",INDEX(EmployeeData[Exit Reason], ROW() - 37)),"")</f>
        <v/>
      </c>
      <c r="J4647" s="4" t="str" cm="1">
        <f t="array" ref="J4647">IFERROR(INDEX(EmployeeData[Status], ROW() - 37), "")</f>
        <v/>
      </c>
    </row>
    <row r="4648" spans="2:10" ht="19.95" customHeight="1" x14ac:dyDescent="0.3">
      <c r="B4648" s="4" t="str" cm="1">
        <f t="array" ref="B4648">IFERROR(INDEX(EmployeeData[Employee ID], ROW() - 37), "")</f>
        <v/>
      </c>
      <c r="C4648" s="4" t="str" cm="1">
        <f t="array" ref="C4648">IFERROR(INDEX(EmployeeData[Full Name], ROW() - 37), "")</f>
        <v/>
      </c>
      <c r="D4648" s="4" t="str" cm="1">
        <f t="array" ref="D4648">IFERROR(INDEX(EmployeeData[Department], ROW() - 37), "")</f>
        <v/>
      </c>
      <c r="E4648" s="4" t="str" cm="1">
        <f t="array" ref="E4648">IFERROR(INDEX(EmployeeData[Gender], ROW() - 37), "")</f>
        <v/>
      </c>
      <c r="F4648" s="4" t="str" cm="1">
        <f t="array" ref="F4648">IFERROR(INDEX(EmployeeData[Age], ROW() - 37), "")</f>
        <v/>
      </c>
      <c r="G4648" s="6" t="str" cm="1">
        <f t="array" ref="G4648">IFERROR(INDEX(EmployeeData[Join Date], ROW() - 37), "")</f>
        <v/>
      </c>
      <c r="H4648" s="6" t="str" cm="1">
        <f t="array" ref="H4648">IFERROR(IF(INDEX(EmployeeData[Exit Date], ROW() - 37)=0, "",INDEX(EmployeeData[Exit Date], ROW() - 37)),"")</f>
        <v/>
      </c>
      <c r="I4648" s="4" t="str" cm="1">
        <f t="array" ref="I4648">IFERROR(IF(INDEX(EmployeeData[Exit Reason], ROW() - 37)=0, "",INDEX(EmployeeData[Exit Reason], ROW() - 37)),"")</f>
        <v/>
      </c>
      <c r="J4648" s="4" t="str" cm="1">
        <f t="array" ref="J4648">IFERROR(INDEX(EmployeeData[Status], ROW() - 37), "")</f>
        <v/>
      </c>
    </row>
    <row r="4649" spans="2:10" ht="19.95" customHeight="1" x14ac:dyDescent="0.3">
      <c r="B4649" s="4" t="str" cm="1">
        <f t="array" ref="B4649">IFERROR(INDEX(EmployeeData[Employee ID], ROW() - 37), "")</f>
        <v/>
      </c>
      <c r="C4649" s="4" t="str" cm="1">
        <f t="array" ref="C4649">IFERROR(INDEX(EmployeeData[Full Name], ROW() - 37), "")</f>
        <v/>
      </c>
      <c r="D4649" s="4" t="str" cm="1">
        <f t="array" ref="D4649">IFERROR(INDEX(EmployeeData[Department], ROW() - 37), "")</f>
        <v/>
      </c>
      <c r="E4649" s="4" t="str" cm="1">
        <f t="array" ref="E4649">IFERROR(INDEX(EmployeeData[Gender], ROW() - 37), "")</f>
        <v/>
      </c>
      <c r="F4649" s="4" t="str" cm="1">
        <f t="array" ref="F4649">IFERROR(INDEX(EmployeeData[Age], ROW() - 37), "")</f>
        <v/>
      </c>
      <c r="G4649" s="6" t="str" cm="1">
        <f t="array" ref="G4649">IFERROR(INDEX(EmployeeData[Join Date], ROW() - 37), "")</f>
        <v/>
      </c>
      <c r="H4649" s="6" t="str" cm="1">
        <f t="array" ref="H4649">IFERROR(IF(INDEX(EmployeeData[Exit Date], ROW() - 37)=0, "",INDEX(EmployeeData[Exit Date], ROW() - 37)),"")</f>
        <v/>
      </c>
      <c r="I4649" s="4" t="str" cm="1">
        <f t="array" ref="I4649">IFERROR(IF(INDEX(EmployeeData[Exit Reason], ROW() - 37)=0, "",INDEX(EmployeeData[Exit Reason], ROW() - 37)),"")</f>
        <v/>
      </c>
      <c r="J4649" s="4" t="str" cm="1">
        <f t="array" ref="J4649">IFERROR(INDEX(EmployeeData[Status], ROW() - 37), "")</f>
        <v/>
      </c>
    </row>
    <row r="4650" spans="2:10" ht="19.95" customHeight="1" x14ac:dyDescent="0.3">
      <c r="B4650" s="4" t="str" cm="1">
        <f t="array" ref="B4650">IFERROR(INDEX(EmployeeData[Employee ID], ROW() - 37), "")</f>
        <v/>
      </c>
      <c r="C4650" s="4" t="str" cm="1">
        <f t="array" ref="C4650">IFERROR(INDEX(EmployeeData[Full Name], ROW() - 37), "")</f>
        <v/>
      </c>
      <c r="D4650" s="4" t="str" cm="1">
        <f t="array" ref="D4650">IFERROR(INDEX(EmployeeData[Department], ROW() - 37), "")</f>
        <v/>
      </c>
      <c r="E4650" s="4" t="str" cm="1">
        <f t="array" ref="E4650">IFERROR(INDEX(EmployeeData[Gender], ROW() - 37), "")</f>
        <v/>
      </c>
      <c r="F4650" s="4" t="str" cm="1">
        <f t="array" ref="F4650">IFERROR(INDEX(EmployeeData[Age], ROW() - 37), "")</f>
        <v/>
      </c>
      <c r="G4650" s="6" t="str" cm="1">
        <f t="array" ref="G4650">IFERROR(INDEX(EmployeeData[Join Date], ROW() - 37), "")</f>
        <v/>
      </c>
      <c r="H4650" s="6" t="str" cm="1">
        <f t="array" ref="H4650">IFERROR(IF(INDEX(EmployeeData[Exit Date], ROW() - 37)=0, "",INDEX(EmployeeData[Exit Date], ROW() - 37)),"")</f>
        <v/>
      </c>
      <c r="I4650" s="4" t="str" cm="1">
        <f t="array" ref="I4650">IFERROR(IF(INDEX(EmployeeData[Exit Reason], ROW() - 37)=0, "",INDEX(EmployeeData[Exit Reason], ROW() - 37)),"")</f>
        <v/>
      </c>
      <c r="J4650" s="4" t="str" cm="1">
        <f t="array" ref="J4650">IFERROR(INDEX(EmployeeData[Status], ROW() - 37), "")</f>
        <v/>
      </c>
    </row>
    <row r="4651" spans="2:10" ht="19.95" customHeight="1" x14ac:dyDescent="0.3">
      <c r="B4651" s="4" t="str" cm="1">
        <f t="array" ref="B4651">IFERROR(INDEX(EmployeeData[Employee ID], ROW() - 37), "")</f>
        <v/>
      </c>
      <c r="C4651" s="4" t="str" cm="1">
        <f t="array" ref="C4651">IFERROR(INDEX(EmployeeData[Full Name], ROW() - 37), "")</f>
        <v/>
      </c>
      <c r="D4651" s="4" t="str" cm="1">
        <f t="array" ref="D4651">IFERROR(INDEX(EmployeeData[Department], ROW() - 37), "")</f>
        <v/>
      </c>
      <c r="E4651" s="4" t="str" cm="1">
        <f t="array" ref="E4651">IFERROR(INDEX(EmployeeData[Gender], ROW() - 37), "")</f>
        <v/>
      </c>
      <c r="F4651" s="4" t="str" cm="1">
        <f t="array" ref="F4651">IFERROR(INDEX(EmployeeData[Age], ROW() - 37), "")</f>
        <v/>
      </c>
      <c r="G4651" s="6" t="str" cm="1">
        <f t="array" ref="G4651">IFERROR(INDEX(EmployeeData[Join Date], ROW() - 37), "")</f>
        <v/>
      </c>
      <c r="H4651" s="6" t="str" cm="1">
        <f t="array" ref="H4651">IFERROR(IF(INDEX(EmployeeData[Exit Date], ROW() - 37)=0, "",INDEX(EmployeeData[Exit Date], ROW() - 37)),"")</f>
        <v/>
      </c>
      <c r="I4651" s="4" t="str" cm="1">
        <f t="array" ref="I4651">IFERROR(IF(INDEX(EmployeeData[Exit Reason], ROW() - 37)=0, "",INDEX(EmployeeData[Exit Reason], ROW() - 37)),"")</f>
        <v/>
      </c>
      <c r="J4651" s="4" t="str" cm="1">
        <f t="array" ref="J4651">IFERROR(INDEX(EmployeeData[Status], ROW() - 37), "")</f>
        <v/>
      </c>
    </row>
    <row r="4652" spans="2:10" ht="19.95" customHeight="1" x14ac:dyDescent="0.3">
      <c r="B4652" s="4" t="str" cm="1">
        <f t="array" ref="B4652">IFERROR(INDEX(EmployeeData[Employee ID], ROW() - 37), "")</f>
        <v/>
      </c>
      <c r="C4652" s="4" t="str" cm="1">
        <f t="array" ref="C4652">IFERROR(INDEX(EmployeeData[Full Name], ROW() - 37), "")</f>
        <v/>
      </c>
      <c r="D4652" s="4" t="str" cm="1">
        <f t="array" ref="D4652">IFERROR(INDEX(EmployeeData[Department], ROW() - 37), "")</f>
        <v/>
      </c>
      <c r="E4652" s="4" t="str" cm="1">
        <f t="array" ref="E4652">IFERROR(INDEX(EmployeeData[Gender], ROW() - 37), "")</f>
        <v/>
      </c>
      <c r="F4652" s="4" t="str" cm="1">
        <f t="array" ref="F4652">IFERROR(INDEX(EmployeeData[Age], ROW() - 37), "")</f>
        <v/>
      </c>
      <c r="G4652" s="6" t="str" cm="1">
        <f t="array" ref="G4652">IFERROR(INDEX(EmployeeData[Join Date], ROW() - 37), "")</f>
        <v/>
      </c>
      <c r="H4652" s="6" t="str" cm="1">
        <f t="array" ref="H4652">IFERROR(IF(INDEX(EmployeeData[Exit Date], ROW() - 37)=0, "",INDEX(EmployeeData[Exit Date], ROW() - 37)),"")</f>
        <v/>
      </c>
      <c r="I4652" s="4" t="str" cm="1">
        <f t="array" ref="I4652">IFERROR(IF(INDEX(EmployeeData[Exit Reason], ROW() - 37)=0, "",INDEX(EmployeeData[Exit Reason], ROW() - 37)),"")</f>
        <v/>
      </c>
      <c r="J4652" s="4" t="str" cm="1">
        <f t="array" ref="J4652">IFERROR(INDEX(EmployeeData[Status], ROW() - 37), "")</f>
        <v/>
      </c>
    </row>
    <row r="4653" spans="2:10" ht="19.95" customHeight="1" x14ac:dyDescent="0.3">
      <c r="B4653" s="4" t="str" cm="1">
        <f t="array" ref="B4653">IFERROR(INDEX(EmployeeData[Employee ID], ROW() - 37), "")</f>
        <v/>
      </c>
      <c r="C4653" s="4" t="str" cm="1">
        <f t="array" ref="C4653">IFERROR(INDEX(EmployeeData[Full Name], ROW() - 37), "")</f>
        <v/>
      </c>
      <c r="D4653" s="4" t="str" cm="1">
        <f t="array" ref="D4653">IFERROR(INDEX(EmployeeData[Department], ROW() - 37), "")</f>
        <v/>
      </c>
      <c r="E4653" s="4" t="str" cm="1">
        <f t="array" ref="E4653">IFERROR(INDEX(EmployeeData[Gender], ROW() - 37), "")</f>
        <v/>
      </c>
      <c r="F4653" s="4" t="str" cm="1">
        <f t="array" ref="F4653">IFERROR(INDEX(EmployeeData[Age], ROW() - 37), "")</f>
        <v/>
      </c>
      <c r="G4653" s="6" t="str" cm="1">
        <f t="array" ref="G4653">IFERROR(INDEX(EmployeeData[Join Date], ROW() - 37), "")</f>
        <v/>
      </c>
      <c r="H4653" s="6" t="str" cm="1">
        <f t="array" ref="H4653">IFERROR(IF(INDEX(EmployeeData[Exit Date], ROW() - 37)=0, "",INDEX(EmployeeData[Exit Date], ROW() - 37)),"")</f>
        <v/>
      </c>
      <c r="I4653" s="4" t="str" cm="1">
        <f t="array" ref="I4653">IFERROR(IF(INDEX(EmployeeData[Exit Reason], ROW() - 37)=0, "",INDEX(EmployeeData[Exit Reason], ROW() - 37)),"")</f>
        <v/>
      </c>
      <c r="J4653" s="4" t="str" cm="1">
        <f t="array" ref="J4653">IFERROR(INDEX(EmployeeData[Status], ROW() - 37), "")</f>
        <v/>
      </c>
    </row>
    <row r="4654" spans="2:10" ht="19.95" customHeight="1" x14ac:dyDescent="0.3">
      <c r="B4654" s="4" t="str" cm="1">
        <f t="array" ref="B4654">IFERROR(INDEX(EmployeeData[Employee ID], ROW() - 37), "")</f>
        <v/>
      </c>
      <c r="C4654" s="4" t="str" cm="1">
        <f t="array" ref="C4654">IFERROR(INDEX(EmployeeData[Full Name], ROW() - 37), "")</f>
        <v/>
      </c>
      <c r="D4654" s="4" t="str" cm="1">
        <f t="array" ref="D4654">IFERROR(INDEX(EmployeeData[Department], ROW() - 37), "")</f>
        <v/>
      </c>
      <c r="E4654" s="4" t="str" cm="1">
        <f t="array" ref="E4654">IFERROR(INDEX(EmployeeData[Gender], ROW() - 37), "")</f>
        <v/>
      </c>
      <c r="F4654" s="4" t="str" cm="1">
        <f t="array" ref="F4654">IFERROR(INDEX(EmployeeData[Age], ROW() - 37), "")</f>
        <v/>
      </c>
      <c r="G4654" s="6" t="str" cm="1">
        <f t="array" ref="G4654">IFERROR(INDEX(EmployeeData[Join Date], ROW() - 37), "")</f>
        <v/>
      </c>
      <c r="H4654" s="6" t="str" cm="1">
        <f t="array" ref="H4654">IFERROR(IF(INDEX(EmployeeData[Exit Date], ROW() - 37)=0, "",INDEX(EmployeeData[Exit Date], ROW() - 37)),"")</f>
        <v/>
      </c>
      <c r="I4654" s="4" t="str" cm="1">
        <f t="array" ref="I4654">IFERROR(IF(INDEX(EmployeeData[Exit Reason], ROW() - 37)=0, "",INDEX(EmployeeData[Exit Reason], ROW() - 37)),"")</f>
        <v/>
      </c>
      <c r="J4654" s="4" t="str" cm="1">
        <f t="array" ref="J4654">IFERROR(INDEX(EmployeeData[Status], ROW() - 37), "")</f>
        <v/>
      </c>
    </row>
    <row r="4655" spans="2:10" ht="19.95" customHeight="1" x14ac:dyDescent="0.3">
      <c r="B4655" s="4" t="str" cm="1">
        <f t="array" ref="B4655">IFERROR(INDEX(EmployeeData[Employee ID], ROW() - 37), "")</f>
        <v/>
      </c>
      <c r="C4655" s="4" t="str" cm="1">
        <f t="array" ref="C4655">IFERROR(INDEX(EmployeeData[Full Name], ROW() - 37), "")</f>
        <v/>
      </c>
      <c r="D4655" s="4" t="str" cm="1">
        <f t="array" ref="D4655">IFERROR(INDEX(EmployeeData[Department], ROW() - 37), "")</f>
        <v/>
      </c>
      <c r="E4655" s="4" t="str" cm="1">
        <f t="array" ref="E4655">IFERROR(INDEX(EmployeeData[Gender], ROW() - 37), "")</f>
        <v/>
      </c>
      <c r="F4655" s="4" t="str" cm="1">
        <f t="array" ref="F4655">IFERROR(INDEX(EmployeeData[Age], ROW() - 37), "")</f>
        <v/>
      </c>
      <c r="G4655" s="6" t="str" cm="1">
        <f t="array" ref="G4655">IFERROR(INDEX(EmployeeData[Join Date], ROW() - 37), "")</f>
        <v/>
      </c>
      <c r="H4655" s="6" t="str" cm="1">
        <f t="array" ref="H4655">IFERROR(IF(INDEX(EmployeeData[Exit Date], ROW() - 37)=0, "",INDEX(EmployeeData[Exit Date], ROW() - 37)),"")</f>
        <v/>
      </c>
      <c r="I4655" s="4" t="str" cm="1">
        <f t="array" ref="I4655">IFERROR(IF(INDEX(EmployeeData[Exit Reason], ROW() - 37)=0, "",INDEX(EmployeeData[Exit Reason], ROW() - 37)),"")</f>
        <v/>
      </c>
      <c r="J4655" s="4" t="str" cm="1">
        <f t="array" ref="J4655">IFERROR(INDEX(EmployeeData[Status], ROW() - 37), "")</f>
        <v/>
      </c>
    </row>
    <row r="4656" spans="2:10" ht="19.95" customHeight="1" x14ac:dyDescent="0.3">
      <c r="B4656" s="4" t="str" cm="1">
        <f t="array" ref="B4656">IFERROR(INDEX(EmployeeData[Employee ID], ROW() - 37), "")</f>
        <v/>
      </c>
      <c r="C4656" s="4" t="str" cm="1">
        <f t="array" ref="C4656">IFERROR(INDEX(EmployeeData[Full Name], ROW() - 37), "")</f>
        <v/>
      </c>
      <c r="D4656" s="4" t="str" cm="1">
        <f t="array" ref="D4656">IFERROR(INDEX(EmployeeData[Department], ROW() - 37), "")</f>
        <v/>
      </c>
      <c r="E4656" s="4" t="str" cm="1">
        <f t="array" ref="E4656">IFERROR(INDEX(EmployeeData[Gender], ROW() - 37), "")</f>
        <v/>
      </c>
      <c r="F4656" s="4" t="str" cm="1">
        <f t="array" ref="F4656">IFERROR(INDEX(EmployeeData[Age], ROW() - 37), "")</f>
        <v/>
      </c>
      <c r="G4656" s="6" t="str" cm="1">
        <f t="array" ref="G4656">IFERROR(INDEX(EmployeeData[Join Date], ROW() - 37), "")</f>
        <v/>
      </c>
      <c r="H4656" s="6" t="str" cm="1">
        <f t="array" ref="H4656">IFERROR(IF(INDEX(EmployeeData[Exit Date], ROW() - 37)=0, "",INDEX(EmployeeData[Exit Date], ROW() - 37)),"")</f>
        <v/>
      </c>
      <c r="I4656" s="4" t="str" cm="1">
        <f t="array" ref="I4656">IFERROR(IF(INDEX(EmployeeData[Exit Reason], ROW() - 37)=0, "",INDEX(EmployeeData[Exit Reason], ROW() - 37)),"")</f>
        <v/>
      </c>
      <c r="J4656" s="4" t="str" cm="1">
        <f t="array" ref="J4656">IFERROR(INDEX(EmployeeData[Status], ROW() - 37), "")</f>
        <v/>
      </c>
    </row>
    <row r="4657" spans="2:10" ht="19.95" customHeight="1" x14ac:dyDescent="0.3">
      <c r="B4657" s="4" t="str" cm="1">
        <f t="array" ref="B4657">IFERROR(INDEX(EmployeeData[Employee ID], ROW() - 37), "")</f>
        <v/>
      </c>
      <c r="C4657" s="4" t="str" cm="1">
        <f t="array" ref="C4657">IFERROR(INDEX(EmployeeData[Full Name], ROW() - 37), "")</f>
        <v/>
      </c>
      <c r="D4657" s="4" t="str" cm="1">
        <f t="array" ref="D4657">IFERROR(INDEX(EmployeeData[Department], ROW() - 37), "")</f>
        <v/>
      </c>
      <c r="E4657" s="4" t="str" cm="1">
        <f t="array" ref="E4657">IFERROR(INDEX(EmployeeData[Gender], ROW() - 37), "")</f>
        <v/>
      </c>
      <c r="F4657" s="4" t="str" cm="1">
        <f t="array" ref="F4657">IFERROR(INDEX(EmployeeData[Age], ROW() - 37), "")</f>
        <v/>
      </c>
      <c r="G4657" s="6" t="str" cm="1">
        <f t="array" ref="G4657">IFERROR(INDEX(EmployeeData[Join Date], ROW() - 37), "")</f>
        <v/>
      </c>
      <c r="H4657" s="6" t="str" cm="1">
        <f t="array" ref="H4657">IFERROR(IF(INDEX(EmployeeData[Exit Date], ROW() - 37)=0, "",INDEX(EmployeeData[Exit Date], ROW() - 37)),"")</f>
        <v/>
      </c>
      <c r="I4657" s="4" t="str" cm="1">
        <f t="array" ref="I4657">IFERROR(IF(INDEX(EmployeeData[Exit Reason], ROW() - 37)=0, "",INDEX(EmployeeData[Exit Reason], ROW() - 37)),"")</f>
        <v/>
      </c>
      <c r="J4657" s="4" t="str" cm="1">
        <f t="array" ref="J4657">IFERROR(INDEX(EmployeeData[Status], ROW() - 37), "")</f>
        <v/>
      </c>
    </row>
    <row r="4658" spans="2:10" ht="19.95" customHeight="1" x14ac:dyDescent="0.3">
      <c r="B4658" s="4" t="str" cm="1">
        <f t="array" ref="B4658">IFERROR(INDEX(EmployeeData[Employee ID], ROW() - 37), "")</f>
        <v/>
      </c>
      <c r="C4658" s="4" t="str" cm="1">
        <f t="array" ref="C4658">IFERROR(INDEX(EmployeeData[Full Name], ROW() - 37), "")</f>
        <v/>
      </c>
      <c r="D4658" s="4" t="str" cm="1">
        <f t="array" ref="D4658">IFERROR(INDEX(EmployeeData[Department], ROW() - 37), "")</f>
        <v/>
      </c>
      <c r="E4658" s="4" t="str" cm="1">
        <f t="array" ref="E4658">IFERROR(INDEX(EmployeeData[Gender], ROW() - 37), "")</f>
        <v/>
      </c>
      <c r="F4658" s="4" t="str" cm="1">
        <f t="array" ref="F4658">IFERROR(INDEX(EmployeeData[Age], ROW() - 37), "")</f>
        <v/>
      </c>
      <c r="G4658" s="6" t="str" cm="1">
        <f t="array" ref="G4658">IFERROR(INDEX(EmployeeData[Join Date], ROW() - 37), "")</f>
        <v/>
      </c>
      <c r="H4658" s="6" t="str" cm="1">
        <f t="array" ref="H4658">IFERROR(IF(INDEX(EmployeeData[Exit Date], ROW() - 37)=0, "",INDEX(EmployeeData[Exit Date], ROW() - 37)),"")</f>
        <v/>
      </c>
      <c r="I4658" s="4" t="str" cm="1">
        <f t="array" ref="I4658">IFERROR(IF(INDEX(EmployeeData[Exit Reason], ROW() - 37)=0, "",INDEX(EmployeeData[Exit Reason], ROW() - 37)),"")</f>
        <v/>
      </c>
      <c r="J4658" s="4" t="str" cm="1">
        <f t="array" ref="J4658">IFERROR(INDEX(EmployeeData[Status], ROW() - 37), "")</f>
        <v/>
      </c>
    </row>
    <row r="4659" spans="2:10" ht="19.95" customHeight="1" x14ac:dyDescent="0.3">
      <c r="B4659" s="4" t="str" cm="1">
        <f t="array" ref="B4659">IFERROR(INDEX(EmployeeData[Employee ID], ROW() - 37), "")</f>
        <v/>
      </c>
      <c r="C4659" s="4" t="str" cm="1">
        <f t="array" ref="C4659">IFERROR(INDEX(EmployeeData[Full Name], ROW() - 37), "")</f>
        <v/>
      </c>
      <c r="D4659" s="4" t="str" cm="1">
        <f t="array" ref="D4659">IFERROR(INDEX(EmployeeData[Department], ROW() - 37), "")</f>
        <v/>
      </c>
      <c r="E4659" s="4" t="str" cm="1">
        <f t="array" ref="E4659">IFERROR(INDEX(EmployeeData[Gender], ROW() - 37), "")</f>
        <v/>
      </c>
      <c r="F4659" s="4" t="str" cm="1">
        <f t="array" ref="F4659">IFERROR(INDEX(EmployeeData[Age], ROW() - 37), "")</f>
        <v/>
      </c>
      <c r="G4659" s="6" t="str" cm="1">
        <f t="array" ref="G4659">IFERROR(INDEX(EmployeeData[Join Date], ROW() - 37), "")</f>
        <v/>
      </c>
      <c r="H4659" s="6" t="str" cm="1">
        <f t="array" ref="H4659">IFERROR(IF(INDEX(EmployeeData[Exit Date], ROW() - 37)=0, "",INDEX(EmployeeData[Exit Date], ROW() - 37)),"")</f>
        <v/>
      </c>
      <c r="I4659" s="4" t="str" cm="1">
        <f t="array" ref="I4659">IFERROR(IF(INDEX(EmployeeData[Exit Reason], ROW() - 37)=0, "",INDEX(EmployeeData[Exit Reason], ROW() - 37)),"")</f>
        <v/>
      </c>
      <c r="J4659" s="4" t="str" cm="1">
        <f t="array" ref="J4659">IFERROR(INDEX(EmployeeData[Status], ROW() - 37), "")</f>
        <v/>
      </c>
    </row>
    <row r="4660" spans="2:10" ht="19.95" customHeight="1" x14ac:dyDescent="0.3">
      <c r="B4660" s="4" t="str" cm="1">
        <f t="array" ref="B4660">IFERROR(INDEX(EmployeeData[Employee ID], ROW() - 37), "")</f>
        <v/>
      </c>
      <c r="C4660" s="4" t="str" cm="1">
        <f t="array" ref="C4660">IFERROR(INDEX(EmployeeData[Full Name], ROW() - 37), "")</f>
        <v/>
      </c>
      <c r="D4660" s="4" t="str" cm="1">
        <f t="array" ref="D4660">IFERROR(INDEX(EmployeeData[Department], ROW() - 37), "")</f>
        <v/>
      </c>
      <c r="E4660" s="4" t="str" cm="1">
        <f t="array" ref="E4660">IFERROR(INDEX(EmployeeData[Gender], ROW() - 37), "")</f>
        <v/>
      </c>
      <c r="F4660" s="4" t="str" cm="1">
        <f t="array" ref="F4660">IFERROR(INDEX(EmployeeData[Age], ROW() - 37), "")</f>
        <v/>
      </c>
      <c r="G4660" s="6" t="str" cm="1">
        <f t="array" ref="G4660">IFERROR(INDEX(EmployeeData[Join Date], ROW() - 37), "")</f>
        <v/>
      </c>
      <c r="H4660" s="6" t="str" cm="1">
        <f t="array" ref="H4660">IFERROR(IF(INDEX(EmployeeData[Exit Date], ROW() - 37)=0, "",INDEX(EmployeeData[Exit Date], ROW() - 37)),"")</f>
        <v/>
      </c>
      <c r="I4660" s="4" t="str" cm="1">
        <f t="array" ref="I4660">IFERROR(IF(INDEX(EmployeeData[Exit Reason], ROW() - 37)=0, "",INDEX(EmployeeData[Exit Reason], ROW() - 37)),"")</f>
        <v/>
      </c>
      <c r="J4660" s="4" t="str" cm="1">
        <f t="array" ref="J4660">IFERROR(INDEX(EmployeeData[Status], ROW() - 37), "")</f>
        <v/>
      </c>
    </row>
    <row r="4661" spans="2:10" ht="19.95" customHeight="1" x14ac:dyDescent="0.3">
      <c r="B4661" s="4" t="str" cm="1">
        <f t="array" ref="B4661">IFERROR(INDEX(EmployeeData[Employee ID], ROW() - 37), "")</f>
        <v/>
      </c>
      <c r="C4661" s="4" t="str" cm="1">
        <f t="array" ref="C4661">IFERROR(INDEX(EmployeeData[Full Name], ROW() - 37), "")</f>
        <v/>
      </c>
      <c r="D4661" s="4" t="str" cm="1">
        <f t="array" ref="D4661">IFERROR(INDEX(EmployeeData[Department], ROW() - 37), "")</f>
        <v/>
      </c>
      <c r="E4661" s="4" t="str" cm="1">
        <f t="array" ref="E4661">IFERROR(INDEX(EmployeeData[Gender], ROW() - 37), "")</f>
        <v/>
      </c>
      <c r="F4661" s="4" t="str" cm="1">
        <f t="array" ref="F4661">IFERROR(INDEX(EmployeeData[Age], ROW() - 37), "")</f>
        <v/>
      </c>
      <c r="G4661" s="6" t="str" cm="1">
        <f t="array" ref="G4661">IFERROR(INDEX(EmployeeData[Join Date], ROW() - 37), "")</f>
        <v/>
      </c>
      <c r="H4661" s="6" t="str" cm="1">
        <f t="array" ref="H4661">IFERROR(IF(INDEX(EmployeeData[Exit Date], ROW() - 37)=0, "",INDEX(EmployeeData[Exit Date], ROW() - 37)),"")</f>
        <v/>
      </c>
      <c r="I4661" s="4" t="str" cm="1">
        <f t="array" ref="I4661">IFERROR(IF(INDEX(EmployeeData[Exit Reason], ROW() - 37)=0, "",INDEX(EmployeeData[Exit Reason], ROW() - 37)),"")</f>
        <v/>
      </c>
      <c r="J4661" s="4" t="str" cm="1">
        <f t="array" ref="J4661">IFERROR(INDEX(EmployeeData[Status], ROW() - 37), "")</f>
        <v/>
      </c>
    </row>
    <row r="4662" spans="2:10" ht="19.95" customHeight="1" x14ac:dyDescent="0.3">
      <c r="B4662" s="4" t="str" cm="1">
        <f t="array" ref="B4662">IFERROR(INDEX(EmployeeData[Employee ID], ROW() - 37), "")</f>
        <v/>
      </c>
      <c r="C4662" s="4" t="str" cm="1">
        <f t="array" ref="C4662">IFERROR(INDEX(EmployeeData[Full Name], ROW() - 37), "")</f>
        <v/>
      </c>
      <c r="D4662" s="4" t="str" cm="1">
        <f t="array" ref="D4662">IFERROR(INDEX(EmployeeData[Department], ROW() - 37), "")</f>
        <v/>
      </c>
      <c r="E4662" s="4" t="str" cm="1">
        <f t="array" ref="E4662">IFERROR(INDEX(EmployeeData[Gender], ROW() - 37), "")</f>
        <v/>
      </c>
      <c r="F4662" s="4" t="str" cm="1">
        <f t="array" ref="F4662">IFERROR(INDEX(EmployeeData[Age], ROW() - 37), "")</f>
        <v/>
      </c>
      <c r="G4662" s="6" t="str" cm="1">
        <f t="array" ref="G4662">IFERROR(INDEX(EmployeeData[Join Date], ROW() - 37), "")</f>
        <v/>
      </c>
      <c r="H4662" s="6" t="str" cm="1">
        <f t="array" ref="H4662">IFERROR(IF(INDEX(EmployeeData[Exit Date], ROW() - 37)=0, "",INDEX(EmployeeData[Exit Date], ROW() - 37)),"")</f>
        <v/>
      </c>
      <c r="I4662" s="4" t="str" cm="1">
        <f t="array" ref="I4662">IFERROR(IF(INDEX(EmployeeData[Exit Reason], ROW() - 37)=0, "",INDEX(EmployeeData[Exit Reason], ROW() - 37)),"")</f>
        <v/>
      </c>
      <c r="J4662" s="4" t="str" cm="1">
        <f t="array" ref="J4662">IFERROR(INDEX(EmployeeData[Status], ROW() - 37), "")</f>
        <v/>
      </c>
    </row>
    <row r="4663" spans="2:10" ht="19.95" customHeight="1" x14ac:dyDescent="0.3">
      <c r="B4663" s="4" t="str" cm="1">
        <f t="array" ref="B4663">IFERROR(INDEX(EmployeeData[Employee ID], ROW() - 37), "")</f>
        <v/>
      </c>
      <c r="C4663" s="4" t="str" cm="1">
        <f t="array" ref="C4663">IFERROR(INDEX(EmployeeData[Full Name], ROW() - 37), "")</f>
        <v/>
      </c>
      <c r="D4663" s="4" t="str" cm="1">
        <f t="array" ref="D4663">IFERROR(INDEX(EmployeeData[Department], ROW() - 37), "")</f>
        <v/>
      </c>
      <c r="E4663" s="4" t="str" cm="1">
        <f t="array" ref="E4663">IFERROR(INDEX(EmployeeData[Gender], ROW() - 37), "")</f>
        <v/>
      </c>
      <c r="F4663" s="4" t="str" cm="1">
        <f t="array" ref="F4663">IFERROR(INDEX(EmployeeData[Age], ROW() - 37), "")</f>
        <v/>
      </c>
      <c r="G4663" s="6" t="str" cm="1">
        <f t="array" ref="G4663">IFERROR(INDEX(EmployeeData[Join Date], ROW() - 37), "")</f>
        <v/>
      </c>
      <c r="H4663" s="6" t="str" cm="1">
        <f t="array" ref="H4663">IFERROR(IF(INDEX(EmployeeData[Exit Date], ROW() - 37)=0, "",INDEX(EmployeeData[Exit Date], ROW() - 37)),"")</f>
        <v/>
      </c>
      <c r="I4663" s="4" t="str" cm="1">
        <f t="array" ref="I4663">IFERROR(IF(INDEX(EmployeeData[Exit Reason], ROW() - 37)=0, "",INDEX(EmployeeData[Exit Reason], ROW() - 37)),"")</f>
        <v/>
      </c>
      <c r="J4663" s="4" t="str" cm="1">
        <f t="array" ref="J4663">IFERROR(INDEX(EmployeeData[Status], ROW() - 37), "")</f>
        <v/>
      </c>
    </row>
    <row r="4664" spans="2:10" ht="19.95" customHeight="1" x14ac:dyDescent="0.3">
      <c r="B4664" s="4" t="str" cm="1">
        <f t="array" ref="B4664">IFERROR(INDEX(EmployeeData[Employee ID], ROW() - 37), "")</f>
        <v/>
      </c>
      <c r="C4664" s="4" t="str" cm="1">
        <f t="array" ref="C4664">IFERROR(INDEX(EmployeeData[Full Name], ROW() - 37), "")</f>
        <v/>
      </c>
      <c r="D4664" s="4" t="str" cm="1">
        <f t="array" ref="D4664">IFERROR(INDEX(EmployeeData[Department], ROW() - 37), "")</f>
        <v/>
      </c>
      <c r="E4664" s="4" t="str" cm="1">
        <f t="array" ref="E4664">IFERROR(INDEX(EmployeeData[Gender], ROW() - 37), "")</f>
        <v/>
      </c>
      <c r="F4664" s="4" t="str" cm="1">
        <f t="array" ref="F4664">IFERROR(INDEX(EmployeeData[Age], ROW() - 37), "")</f>
        <v/>
      </c>
      <c r="G4664" s="6" t="str" cm="1">
        <f t="array" ref="G4664">IFERROR(INDEX(EmployeeData[Join Date], ROW() - 37), "")</f>
        <v/>
      </c>
      <c r="H4664" s="6" t="str" cm="1">
        <f t="array" ref="H4664">IFERROR(IF(INDEX(EmployeeData[Exit Date], ROW() - 37)=0, "",INDEX(EmployeeData[Exit Date], ROW() - 37)),"")</f>
        <v/>
      </c>
      <c r="I4664" s="4" t="str" cm="1">
        <f t="array" ref="I4664">IFERROR(IF(INDEX(EmployeeData[Exit Reason], ROW() - 37)=0, "",INDEX(EmployeeData[Exit Reason], ROW() - 37)),"")</f>
        <v/>
      </c>
      <c r="J4664" s="4" t="str" cm="1">
        <f t="array" ref="J4664">IFERROR(INDEX(EmployeeData[Status], ROW() - 37), "")</f>
        <v/>
      </c>
    </row>
    <row r="4665" spans="2:10" ht="19.95" customHeight="1" x14ac:dyDescent="0.3">
      <c r="B4665" s="4" t="str" cm="1">
        <f t="array" ref="B4665">IFERROR(INDEX(EmployeeData[Employee ID], ROW() - 37), "")</f>
        <v/>
      </c>
      <c r="C4665" s="4" t="str" cm="1">
        <f t="array" ref="C4665">IFERROR(INDEX(EmployeeData[Full Name], ROW() - 37), "")</f>
        <v/>
      </c>
      <c r="D4665" s="4" t="str" cm="1">
        <f t="array" ref="D4665">IFERROR(INDEX(EmployeeData[Department], ROW() - 37), "")</f>
        <v/>
      </c>
      <c r="E4665" s="4" t="str" cm="1">
        <f t="array" ref="E4665">IFERROR(INDEX(EmployeeData[Gender], ROW() - 37), "")</f>
        <v/>
      </c>
      <c r="F4665" s="4" t="str" cm="1">
        <f t="array" ref="F4665">IFERROR(INDEX(EmployeeData[Age], ROW() - 37), "")</f>
        <v/>
      </c>
      <c r="G4665" s="6" t="str" cm="1">
        <f t="array" ref="G4665">IFERROR(INDEX(EmployeeData[Join Date], ROW() - 37), "")</f>
        <v/>
      </c>
      <c r="H4665" s="6" t="str" cm="1">
        <f t="array" ref="H4665">IFERROR(IF(INDEX(EmployeeData[Exit Date], ROW() - 37)=0, "",INDEX(EmployeeData[Exit Date], ROW() - 37)),"")</f>
        <v/>
      </c>
      <c r="I4665" s="4" t="str" cm="1">
        <f t="array" ref="I4665">IFERROR(IF(INDEX(EmployeeData[Exit Reason], ROW() - 37)=0, "",INDEX(EmployeeData[Exit Reason], ROW() - 37)),"")</f>
        <v/>
      </c>
      <c r="J4665" s="4" t="str" cm="1">
        <f t="array" ref="J4665">IFERROR(INDEX(EmployeeData[Status], ROW() - 37), "")</f>
        <v/>
      </c>
    </row>
    <row r="4666" spans="2:10" ht="19.95" customHeight="1" x14ac:dyDescent="0.3">
      <c r="B4666" s="4" t="str" cm="1">
        <f t="array" ref="B4666">IFERROR(INDEX(EmployeeData[Employee ID], ROW() - 37), "")</f>
        <v/>
      </c>
      <c r="C4666" s="4" t="str" cm="1">
        <f t="array" ref="C4666">IFERROR(INDEX(EmployeeData[Full Name], ROW() - 37), "")</f>
        <v/>
      </c>
      <c r="D4666" s="4" t="str" cm="1">
        <f t="array" ref="D4666">IFERROR(INDEX(EmployeeData[Department], ROW() - 37), "")</f>
        <v/>
      </c>
      <c r="E4666" s="4" t="str" cm="1">
        <f t="array" ref="E4666">IFERROR(INDEX(EmployeeData[Gender], ROW() - 37), "")</f>
        <v/>
      </c>
      <c r="F4666" s="4" t="str" cm="1">
        <f t="array" ref="F4666">IFERROR(INDEX(EmployeeData[Age], ROW() - 37), "")</f>
        <v/>
      </c>
      <c r="G4666" s="6" t="str" cm="1">
        <f t="array" ref="G4666">IFERROR(INDEX(EmployeeData[Join Date], ROW() - 37), "")</f>
        <v/>
      </c>
      <c r="H4666" s="6" t="str" cm="1">
        <f t="array" ref="H4666">IFERROR(IF(INDEX(EmployeeData[Exit Date], ROW() - 37)=0, "",INDEX(EmployeeData[Exit Date], ROW() - 37)),"")</f>
        <v/>
      </c>
      <c r="I4666" s="4" t="str" cm="1">
        <f t="array" ref="I4666">IFERROR(IF(INDEX(EmployeeData[Exit Reason], ROW() - 37)=0, "",INDEX(EmployeeData[Exit Reason], ROW() - 37)),"")</f>
        <v/>
      </c>
      <c r="J4666" s="4" t="str" cm="1">
        <f t="array" ref="J4666">IFERROR(INDEX(EmployeeData[Status], ROW() - 37), "")</f>
        <v/>
      </c>
    </row>
    <row r="4667" spans="2:10" ht="19.95" customHeight="1" x14ac:dyDescent="0.3">
      <c r="B4667" s="4" t="str" cm="1">
        <f t="array" ref="B4667">IFERROR(INDEX(EmployeeData[Employee ID], ROW() - 37), "")</f>
        <v/>
      </c>
      <c r="C4667" s="4" t="str" cm="1">
        <f t="array" ref="C4667">IFERROR(INDEX(EmployeeData[Full Name], ROW() - 37), "")</f>
        <v/>
      </c>
      <c r="D4667" s="4" t="str" cm="1">
        <f t="array" ref="D4667">IFERROR(INDEX(EmployeeData[Department], ROW() - 37), "")</f>
        <v/>
      </c>
      <c r="E4667" s="4" t="str" cm="1">
        <f t="array" ref="E4667">IFERROR(INDEX(EmployeeData[Gender], ROW() - 37), "")</f>
        <v/>
      </c>
      <c r="F4667" s="4" t="str" cm="1">
        <f t="array" ref="F4667">IFERROR(INDEX(EmployeeData[Age], ROW() - 37), "")</f>
        <v/>
      </c>
      <c r="G4667" s="6" t="str" cm="1">
        <f t="array" ref="G4667">IFERROR(INDEX(EmployeeData[Join Date], ROW() - 37), "")</f>
        <v/>
      </c>
      <c r="H4667" s="6" t="str" cm="1">
        <f t="array" ref="H4667">IFERROR(IF(INDEX(EmployeeData[Exit Date], ROW() - 37)=0, "",INDEX(EmployeeData[Exit Date], ROW() - 37)),"")</f>
        <v/>
      </c>
      <c r="I4667" s="4" t="str" cm="1">
        <f t="array" ref="I4667">IFERROR(IF(INDEX(EmployeeData[Exit Reason], ROW() - 37)=0, "",INDEX(EmployeeData[Exit Reason], ROW() - 37)),"")</f>
        <v/>
      </c>
      <c r="J4667" s="4" t="str" cm="1">
        <f t="array" ref="J4667">IFERROR(INDEX(EmployeeData[Status], ROW() - 37), "")</f>
        <v/>
      </c>
    </row>
    <row r="4668" spans="2:10" ht="19.95" customHeight="1" x14ac:dyDescent="0.3">
      <c r="B4668" s="4" t="str" cm="1">
        <f t="array" ref="B4668">IFERROR(INDEX(EmployeeData[Employee ID], ROW() - 37), "")</f>
        <v/>
      </c>
      <c r="C4668" s="4" t="str" cm="1">
        <f t="array" ref="C4668">IFERROR(INDEX(EmployeeData[Full Name], ROW() - 37), "")</f>
        <v/>
      </c>
      <c r="D4668" s="4" t="str" cm="1">
        <f t="array" ref="D4668">IFERROR(INDEX(EmployeeData[Department], ROW() - 37), "")</f>
        <v/>
      </c>
      <c r="E4668" s="4" t="str" cm="1">
        <f t="array" ref="E4668">IFERROR(INDEX(EmployeeData[Gender], ROW() - 37), "")</f>
        <v/>
      </c>
      <c r="F4668" s="4" t="str" cm="1">
        <f t="array" ref="F4668">IFERROR(INDEX(EmployeeData[Age], ROW() - 37), "")</f>
        <v/>
      </c>
      <c r="G4668" s="6" t="str" cm="1">
        <f t="array" ref="G4668">IFERROR(INDEX(EmployeeData[Join Date], ROW() - 37), "")</f>
        <v/>
      </c>
      <c r="H4668" s="6" t="str" cm="1">
        <f t="array" ref="H4668">IFERROR(IF(INDEX(EmployeeData[Exit Date], ROW() - 37)=0, "",INDEX(EmployeeData[Exit Date], ROW() - 37)),"")</f>
        <v/>
      </c>
      <c r="I4668" s="4" t="str" cm="1">
        <f t="array" ref="I4668">IFERROR(IF(INDEX(EmployeeData[Exit Reason], ROW() - 37)=0, "",INDEX(EmployeeData[Exit Reason], ROW() - 37)),"")</f>
        <v/>
      </c>
      <c r="J4668" s="4" t="str" cm="1">
        <f t="array" ref="J4668">IFERROR(INDEX(EmployeeData[Status], ROW() - 37), "")</f>
        <v/>
      </c>
    </row>
    <row r="4669" spans="2:10" ht="19.95" customHeight="1" x14ac:dyDescent="0.3">
      <c r="B4669" s="4" t="str" cm="1">
        <f t="array" ref="B4669">IFERROR(INDEX(EmployeeData[Employee ID], ROW() - 37), "")</f>
        <v/>
      </c>
      <c r="C4669" s="4" t="str" cm="1">
        <f t="array" ref="C4669">IFERROR(INDEX(EmployeeData[Full Name], ROW() - 37), "")</f>
        <v/>
      </c>
      <c r="D4669" s="4" t="str" cm="1">
        <f t="array" ref="D4669">IFERROR(INDEX(EmployeeData[Department], ROW() - 37), "")</f>
        <v/>
      </c>
      <c r="E4669" s="4" t="str" cm="1">
        <f t="array" ref="E4669">IFERROR(INDEX(EmployeeData[Gender], ROW() - 37), "")</f>
        <v/>
      </c>
      <c r="F4669" s="4" t="str" cm="1">
        <f t="array" ref="F4669">IFERROR(INDEX(EmployeeData[Age], ROW() - 37), "")</f>
        <v/>
      </c>
      <c r="G4669" s="6" t="str" cm="1">
        <f t="array" ref="G4669">IFERROR(INDEX(EmployeeData[Join Date], ROW() - 37), "")</f>
        <v/>
      </c>
      <c r="H4669" s="6" t="str" cm="1">
        <f t="array" ref="H4669">IFERROR(IF(INDEX(EmployeeData[Exit Date], ROW() - 37)=0, "",INDEX(EmployeeData[Exit Date], ROW() - 37)),"")</f>
        <v/>
      </c>
      <c r="I4669" s="4" t="str" cm="1">
        <f t="array" ref="I4669">IFERROR(IF(INDEX(EmployeeData[Exit Reason], ROW() - 37)=0, "",INDEX(EmployeeData[Exit Reason], ROW() - 37)),"")</f>
        <v/>
      </c>
      <c r="J4669" s="4" t="str" cm="1">
        <f t="array" ref="J4669">IFERROR(INDEX(EmployeeData[Status], ROW() - 37), "")</f>
        <v/>
      </c>
    </row>
    <row r="4670" spans="2:10" ht="19.95" customHeight="1" x14ac:dyDescent="0.3">
      <c r="B4670" s="4" t="str" cm="1">
        <f t="array" ref="B4670">IFERROR(INDEX(EmployeeData[Employee ID], ROW() - 37), "")</f>
        <v/>
      </c>
      <c r="C4670" s="4" t="str" cm="1">
        <f t="array" ref="C4670">IFERROR(INDEX(EmployeeData[Full Name], ROW() - 37), "")</f>
        <v/>
      </c>
      <c r="D4670" s="4" t="str" cm="1">
        <f t="array" ref="D4670">IFERROR(INDEX(EmployeeData[Department], ROW() - 37), "")</f>
        <v/>
      </c>
      <c r="E4670" s="4" t="str" cm="1">
        <f t="array" ref="E4670">IFERROR(INDEX(EmployeeData[Gender], ROW() - 37), "")</f>
        <v/>
      </c>
      <c r="F4670" s="4" t="str" cm="1">
        <f t="array" ref="F4670">IFERROR(INDEX(EmployeeData[Age], ROW() - 37), "")</f>
        <v/>
      </c>
      <c r="G4670" s="6" t="str" cm="1">
        <f t="array" ref="G4670">IFERROR(INDEX(EmployeeData[Join Date], ROW() - 37), "")</f>
        <v/>
      </c>
      <c r="H4670" s="6" t="str" cm="1">
        <f t="array" ref="H4670">IFERROR(IF(INDEX(EmployeeData[Exit Date], ROW() - 37)=0, "",INDEX(EmployeeData[Exit Date], ROW() - 37)),"")</f>
        <v/>
      </c>
      <c r="I4670" s="4" t="str" cm="1">
        <f t="array" ref="I4670">IFERROR(IF(INDEX(EmployeeData[Exit Reason], ROW() - 37)=0, "",INDEX(EmployeeData[Exit Reason], ROW() - 37)),"")</f>
        <v/>
      </c>
      <c r="J4670" s="4" t="str" cm="1">
        <f t="array" ref="J4670">IFERROR(INDEX(EmployeeData[Status], ROW() - 37), "")</f>
        <v/>
      </c>
    </row>
    <row r="4671" spans="2:10" ht="19.95" customHeight="1" x14ac:dyDescent="0.3">
      <c r="B4671" s="4" t="str" cm="1">
        <f t="array" ref="B4671">IFERROR(INDEX(EmployeeData[Employee ID], ROW() - 37), "")</f>
        <v/>
      </c>
      <c r="C4671" s="4" t="str" cm="1">
        <f t="array" ref="C4671">IFERROR(INDEX(EmployeeData[Full Name], ROW() - 37), "")</f>
        <v/>
      </c>
      <c r="D4671" s="4" t="str" cm="1">
        <f t="array" ref="D4671">IFERROR(INDEX(EmployeeData[Department], ROW() - 37), "")</f>
        <v/>
      </c>
      <c r="E4671" s="4" t="str" cm="1">
        <f t="array" ref="E4671">IFERROR(INDEX(EmployeeData[Gender], ROW() - 37), "")</f>
        <v/>
      </c>
      <c r="F4671" s="4" t="str" cm="1">
        <f t="array" ref="F4671">IFERROR(INDEX(EmployeeData[Age], ROW() - 37), "")</f>
        <v/>
      </c>
      <c r="G4671" s="6" t="str" cm="1">
        <f t="array" ref="G4671">IFERROR(INDEX(EmployeeData[Join Date], ROW() - 37), "")</f>
        <v/>
      </c>
      <c r="H4671" s="6" t="str" cm="1">
        <f t="array" ref="H4671">IFERROR(IF(INDEX(EmployeeData[Exit Date], ROW() - 37)=0, "",INDEX(EmployeeData[Exit Date], ROW() - 37)),"")</f>
        <v/>
      </c>
      <c r="I4671" s="4" t="str" cm="1">
        <f t="array" ref="I4671">IFERROR(IF(INDEX(EmployeeData[Exit Reason], ROW() - 37)=0, "",INDEX(EmployeeData[Exit Reason], ROW() - 37)),"")</f>
        <v/>
      </c>
      <c r="J4671" s="4" t="str" cm="1">
        <f t="array" ref="J4671">IFERROR(INDEX(EmployeeData[Status], ROW() - 37), "")</f>
        <v/>
      </c>
    </row>
    <row r="4672" spans="2:10" ht="19.95" customHeight="1" x14ac:dyDescent="0.3">
      <c r="B4672" s="4" t="str" cm="1">
        <f t="array" ref="B4672">IFERROR(INDEX(EmployeeData[Employee ID], ROW() - 37), "")</f>
        <v/>
      </c>
      <c r="C4672" s="4" t="str" cm="1">
        <f t="array" ref="C4672">IFERROR(INDEX(EmployeeData[Full Name], ROW() - 37), "")</f>
        <v/>
      </c>
      <c r="D4672" s="4" t="str" cm="1">
        <f t="array" ref="D4672">IFERROR(INDEX(EmployeeData[Department], ROW() - 37), "")</f>
        <v/>
      </c>
      <c r="E4672" s="4" t="str" cm="1">
        <f t="array" ref="E4672">IFERROR(INDEX(EmployeeData[Gender], ROW() - 37), "")</f>
        <v/>
      </c>
      <c r="F4672" s="4" t="str" cm="1">
        <f t="array" ref="F4672">IFERROR(INDEX(EmployeeData[Age], ROW() - 37), "")</f>
        <v/>
      </c>
      <c r="G4672" s="6" t="str" cm="1">
        <f t="array" ref="G4672">IFERROR(INDEX(EmployeeData[Join Date], ROW() - 37), "")</f>
        <v/>
      </c>
      <c r="H4672" s="6" t="str" cm="1">
        <f t="array" ref="H4672">IFERROR(IF(INDEX(EmployeeData[Exit Date], ROW() - 37)=0, "",INDEX(EmployeeData[Exit Date], ROW() - 37)),"")</f>
        <v/>
      </c>
      <c r="I4672" s="4" t="str" cm="1">
        <f t="array" ref="I4672">IFERROR(IF(INDEX(EmployeeData[Exit Reason], ROW() - 37)=0, "",INDEX(EmployeeData[Exit Reason], ROW() - 37)),"")</f>
        <v/>
      </c>
      <c r="J4672" s="4" t="str" cm="1">
        <f t="array" ref="J4672">IFERROR(INDEX(EmployeeData[Status], ROW() - 37), "")</f>
        <v/>
      </c>
    </row>
    <row r="4673" spans="2:10" ht="19.95" customHeight="1" x14ac:dyDescent="0.3">
      <c r="B4673" s="4" t="str" cm="1">
        <f t="array" ref="B4673">IFERROR(INDEX(EmployeeData[Employee ID], ROW() - 37), "")</f>
        <v/>
      </c>
      <c r="C4673" s="4" t="str" cm="1">
        <f t="array" ref="C4673">IFERROR(INDEX(EmployeeData[Full Name], ROW() - 37), "")</f>
        <v/>
      </c>
      <c r="D4673" s="4" t="str" cm="1">
        <f t="array" ref="D4673">IFERROR(INDEX(EmployeeData[Department], ROW() - 37), "")</f>
        <v/>
      </c>
      <c r="E4673" s="4" t="str" cm="1">
        <f t="array" ref="E4673">IFERROR(INDEX(EmployeeData[Gender], ROW() - 37), "")</f>
        <v/>
      </c>
      <c r="F4673" s="4" t="str" cm="1">
        <f t="array" ref="F4673">IFERROR(INDEX(EmployeeData[Age], ROW() - 37), "")</f>
        <v/>
      </c>
      <c r="G4673" s="6" t="str" cm="1">
        <f t="array" ref="G4673">IFERROR(INDEX(EmployeeData[Join Date], ROW() - 37), "")</f>
        <v/>
      </c>
      <c r="H4673" s="6" t="str" cm="1">
        <f t="array" ref="H4673">IFERROR(IF(INDEX(EmployeeData[Exit Date], ROW() - 37)=0, "",INDEX(EmployeeData[Exit Date], ROW() - 37)),"")</f>
        <v/>
      </c>
      <c r="I4673" s="4" t="str" cm="1">
        <f t="array" ref="I4673">IFERROR(IF(INDEX(EmployeeData[Exit Reason], ROW() - 37)=0, "",INDEX(EmployeeData[Exit Reason], ROW() - 37)),"")</f>
        <v/>
      </c>
      <c r="J4673" s="4" t="str" cm="1">
        <f t="array" ref="J4673">IFERROR(INDEX(EmployeeData[Status], ROW() - 37), "")</f>
        <v/>
      </c>
    </row>
    <row r="4674" spans="2:10" ht="19.95" customHeight="1" x14ac:dyDescent="0.3">
      <c r="B4674" s="4" t="str" cm="1">
        <f t="array" ref="B4674">IFERROR(INDEX(EmployeeData[Employee ID], ROW() - 37), "")</f>
        <v/>
      </c>
      <c r="C4674" s="4" t="str" cm="1">
        <f t="array" ref="C4674">IFERROR(INDEX(EmployeeData[Full Name], ROW() - 37), "")</f>
        <v/>
      </c>
      <c r="D4674" s="4" t="str" cm="1">
        <f t="array" ref="D4674">IFERROR(INDEX(EmployeeData[Department], ROW() - 37), "")</f>
        <v/>
      </c>
      <c r="E4674" s="4" t="str" cm="1">
        <f t="array" ref="E4674">IFERROR(INDEX(EmployeeData[Gender], ROW() - 37), "")</f>
        <v/>
      </c>
      <c r="F4674" s="4" t="str" cm="1">
        <f t="array" ref="F4674">IFERROR(INDEX(EmployeeData[Age], ROW() - 37), "")</f>
        <v/>
      </c>
      <c r="G4674" s="6" t="str" cm="1">
        <f t="array" ref="G4674">IFERROR(INDEX(EmployeeData[Join Date], ROW() - 37), "")</f>
        <v/>
      </c>
      <c r="H4674" s="6" t="str" cm="1">
        <f t="array" ref="H4674">IFERROR(IF(INDEX(EmployeeData[Exit Date], ROW() - 37)=0, "",INDEX(EmployeeData[Exit Date], ROW() - 37)),"")</f>
        <v/>
      </c>
      <c r="I4674" s="4" t="str" cm="1">
        <f t="array" ref="I4674">IFERROR(IF(INDEX(EmployeeData[Exit Reason], ROW() - 37)=0, "",INDEX(EmployeeData[Exit Reason], ROW() - 37)),"")</f>
        <v/>
      </c>
      <c r="J4674" s="4" t="str" cm="1">
        <f t="array" ref="J4674">IFERROR(INDEX(EmployeeData[Status], ROW() - 37), "")</f>
        <v/>
      </c>
    </row>
    <row r="4675" spans="2:10" ht="19.95" customHeight="1" x14ac:dyDescent="0.3">
      <c r="B4675" s="4" t="str" cm="1">
        <f t="array" ref="B4675">IFERROR(INDEX(EmployeeData[Employee ID], ROW() - 37), "")</f>
        <v/>
      </c>
      <c r="C4675" s="4" t="str" cm="1">
        <f t="array" ref="C4675">IFERROR(INDEX(EmployeeData[Full Name], ROW() - 37), "")</f>
        <v/>
      </c>
      <c r="D4675" s="4" t="str" cm="1">
        <f t="array" ref="D4675">IFERROR(INDEX(EmployeeData[Department], ROW() - 37), "")</f>
        <v/>
      </c>
      <c r="E4675" s="4" t="str" cm="1">
        <f t="array" ref="E4675">IFERROR(INDEX(EmployeeData[Gender], ROW() - 37), "")</f>
        <v/>
      </c>
      <c r="F4675" s="4" t="str" cm="1">
        <f t="array" ref="F4675">IFERROR(INDEX(EmployeeData[Age], ROW() - 37), "")</f>
        <v/>
      </c>
      <c r="G4675" s="6" t="str" cm="1">
        <f t="array" ref="G4675">IFERROR(INDEX(EmployeeData[Join Date], ROW() - 37), "")</f>
        <v/>
      </c>
      <c r="H4675" s="6" t="str" cm="1">
        <f t="array" ref="H4675">IFERROR(IF(INDEX(EmployeeData[Exit Date], ROW() - 37)=0, "",INDEX(EmployeeData[Exit Date], ROW() - 37)),"")</f>
        <v/>
      </c>
      <c r="I4675" s="4" t="str" cm="1">
        <f t="array" ref="I4675">IFERROR(IF(INDEX(EmployeeData[Exit Reason], ROW() - 37)=0, "",INDEX(EmployeeData[Exit Reason], ROW() - 37)),"")</f>
        <v/>
      </c>
      <c r="J4675" s="4" t="str" cm="1">
        <f t="array" ref="J4675">IFERROR(INDEX(EmployeeData[Status], ROW() - 37), "")</f>
        <v/>
      </c>
    </row>
    <row r="4676" spans="2:10" ht="19.95" customHeight="1" x14ac:dyDescent="0.3">
      <c r="B4676" s="4" t="str" cm="1">
        <f t="array" ref="B4676">IFERROR(INDEX(EmployeeData[Employee ID], ROW() - 37), "")</f>
        <v/>
      </c>
      <c r="C4676" s="4" t="str" cm="1">
        <f t="array" ref="C4676">IFERROR(INDEX(EmployeeData[Full Name], ROW() - 37), "")</f>
        <v/>
      </c>
      <c r="D4676" s="4" t="str" cm="1">
        <f t="array" ref="D4676">IFERROR(INDEX(EmployeeData[Department], ROW() - 37), "")</f>
        <v/>
      </c>
      <c r="E4676" s="4" t="str" cm="1">
        <f t="array" ref="E4676">IFERROR(INDEX(EmployeeData[Gender], ROW() - 37), "")</f>
        <v/>
      </c>
      <c r="F4676" s="4" t="str" cm="1">
        <f t="array" ref="F4676">IFERROR(INDEX(EmployeeData[Age], ROW() - 37), "")</f>
        <v/>
      </c>
      <c r="G4676" s="6" t="str" cm="1">
        <f t="array" ref="G4676">IFERROR(INDEX(EmployeeData[Join Date], ROW() - 37), "")</f>
        <v/>
      </c>
      <c r="H4676" s="6" t="str" cm="1">
        <f t="array" ref="H4676">IFERROR(IF(INDEX(EmployeeData[Exit Date], ROW() - 37)=0, "",INDEX(EmployeeData[Exit Date], ROW() - 37)),"")</f>
        <v/>
      </c>
      <c r="I4676" s="4" t="str" cm="1">
        <f t="array" ref="I4676">IFERROR(IF(INDEX(EmployeeData[Exit Reason], ROW() - 37)=0, "",INDEX(EmployeeData[Exit Reason], ROW() - 37)),"")</f>
        <v/>
      </c>
      <c r="J4676" s="4" t="str" cm="1">
        <f t="array" ref="J4676">IFERROR(INDEX(EmployeeData[Status], ROW() - 37), "")</f>
        <v/>
      </c>
    </row>
    <row r="4677" spans="2:10" ht="19.95" customHeight="1" x14ac:dyDescent="0.3">
      <c r="B4677" s="4" t="str" cm="1">
        <f t="array" ref="B4677">IFERROR(INDEX(EmployeeData[Employee ID], ROW() - 37), "")</f>
        <v/>
      </c>
      <c r="C4677" s="4" t="str" cm="1">
        <f t="array" ref="C4677">IFERROR(INDEX(EmployeeData[Full Name], ROW() - 37), "")</f>
        <v/>
      </c>
      <c r="D4677" s="4" t="str" cm="1">
        <f t="array" ref="D4677">IFERROR(INDEX(EmployeeData[Department], ROW() - 37), "")</f>
        <v/>
      </c>
      <c r="E4677" s="4" t="str" cm="1">
        <f t="array" ref="E4677">IFERROR(INDEX(EmployeeData[Gender], ROW() - 37), "")</f>
        <v/>
      </c>
      <c r="F4677" s="4" t="str" cm="1">
        <f t="array" ref="F4677">IFERROR(INDEX(EmployeeData[Age], ROW() - 37), "")</f>
        <v/>
      </c>
      <c r="G4677" s="6" t="str" cm="1">
        <f t="array" ref="G4677">IFERROR(INDEX(EmployeeData[Join Date], ROW() - 37), "")</f>
        <v/>
      </c>
      <c r="H4677" s="6" t="str" cm="1">
        <f t="array" ref="H4677">IFERROR(IF(INDEX(EmployeeData[Exit Date], ROW() - 37)=0, "",INDEX(EmployeeData[Exit Date], ROW() - 37)),"")</f>
        <v/>
      </c>
      <c r="I4677" s="4" t="str" cm="1">
        <f t="array" ref="I4677">IFERROR(IF(INDEX(EmployeeData[Exit Reason], ROW() - 37)=0, "",INDEX(EmployeeData[Exit Reason], ROW() - 37)),"")</f>
        <v/>
      </c>
      <c r="J4677" s="4" t="str" cm="1">
        <f t="array" ref="J4677">IFERROR(INDEX(EmployeeData[Status], ROW() - 37), "")</f>
        <v/>
      </c>
    </row>
    <row r="4678" spans="2:10" ht="19.95" customHeight="1" x14ac:dyDescent="0.3">
      <c r="B4678" s="4" t="str" cm="1">
        <f t="array" ref="B4678">IFERROR(INDEX(EmployeeData[Employee ID], ROW() - 37), "")</f>
        <v/>
      </c>
      <c r="C4678" s="4" t="str" cm="1">
        <f t="array" ref="C4678">IFERROR(INDEX(EmployeeData[Full Name], ROW() - 37), "")</f>
        <v/>
      </c>
      <c r="D4678" s="4" t="str" cm="1">
        <f t="array" ref="D4678">IFERROR(INDEX(EmployeeData[Department], ROW() - 37), "")</f>
        <v/>
      </c>
      <c r="E4678" s="4" t="str" cm="1">
        <f t="array" ref="E4678">IFERROR(INDEX(EmployeeData[Gender], ROW() - 37), "")</f>
        <v/>
      </c>
      <c r="F4678" s="4" t="str" cm="1">
        <f t="array" ref="F4678">IFERROR(INDEX(EmployeeData[Age], ROW() - 37), "")</f>
        <v/>
      </c>
      <c r="G4678" s="6" t="str" cm="1">
        <f t="array" ref="G4678">IFERROR(INDEX(EmployeeData[Join Date], ROW() - 37), "")</f>
        <v/>
      </c>
      <c r="H4678" s="6" t="str" cm="1">
        <f t="array" ref="H4678">IFERROR(IF(INDEX(EmployeeData[Exit Date], ROW() - 37)=0, "",INDEX(EmployeeData[Exit Date], ROW() - 37)),"")</f>
        <v/>
      </c>
      <c r="I4678" s="4" t="str" cm="1">
        <f t="array" ref="I4678">IFERROR(IF(INDEX(EmployeeData[Exit Reason], ROW() - 37)=0, "",INDEX(EmployeeData[Exit Reason], ROW() - 37)),"")</f>
        <v/>
      </c>
      <c r="J4678" s="4" t="str" cm="1">
        <f t="array" ref="J4678">IFERROR(INDEX(EmployeeData[Status], ROW() - 37), "")</f>
        <v/>
      </c>
    </row>
    <row r="4679" spans="2:10" ht="19.95" customHeight="1" x14ac:dyDescent="0.3">
      <c r="B4679" s="4" t="str" cm="1">
        <f t="array" ref="B4679">IFERROR(INDEX(EmployeeData[Employee ID], ROW() - 37), "")</f>
        <v/>
      </c>
      <c r="C4679" s="4" t="str" cm="1">
        <f t="array" ref="C4679">IFERROR(INDEX(EmployeeData[Full Name], ROW() - 37), "")</f>
        <v/>
      </c>
      <c r="D4679" s="4" t="str" cm="1">
        <f t="array" ref="D4679">IFERROR(INDEX(EmployeeData[Department], ROW() - 37), "")</f>
        <v/>
      </c>
      <c r="E4679" s="4" t="str" cm="1">
        <f t="array" ref="E4679">IFERROR(INDEX(EmployeeData[Gender], ROW() - 37), "")</f>
        <v/>
      </c>
      <c r="F4679" s="4" t="str" cm="1">
        <f t="array" ref="F4679">IFERROR(INDEX(EmployeeData[Age], ROW() - 37), "")</f>
        <v/>
      </c>
      <c r="G4679" s="6" t="str" cm="1">
        <f t="array" ref="G4679">IFERROR(INDEX(EmployeeData[Join Date], ROW() - 37), "")</f>
        <v/>
      </c>
      <c r="H4679" s="6" t="str" cm="1">
        <f t="array" ref="H4679">IFERROR(IF(INDEX(EmployeeData[Exit Date], ROW() - 37)=0, "",INDEX(EmployeeData[Exit Date], ROW() - 37)),"")</f>
        <v/>
      </c>
      <c r="I4679" s="4" t="str" cm="1">
        <f t="array" ref="I4679">IFERROR(IF(INDEX(EmployeeData[Exit Reason], ROW() - 37)=0, "",INDEX(EmployeeData[Exit Reason], ROW() - 37)),"")</f>
        <v/>
      </c>
      <c r="J4679" s="4" t="str" cm="1">
        <f t="array" ref="J4679">IFERROR(INDEX(EmployeeData[Status], ROW() - 37), "")</f>
        <v/>
      </c>
    </row>
    <row r="4680" spans="2:10" ht="19.95" customHeight="1" x14ac:dyDescent="0.3">
      <c r="B4680" s="4" t="str" cm="1">
        <f t="array" ref="B4680">IFERROR(INDEX(EmployeeData[Employee ID], ROW() - 37), "")</f>
        <v/>
      </c>
      <c r="C4680" s="4" t="str" cm="1">
        <f t="array" ref="C4680">IFERROR(INDEX(EmployeeData[Full Name], ROW() - 37), "")</f>
        <v/>
      </c>
      <c r="D4680" s="4" t="str" cm="1">
        <f t="array" ref="D4680">IFERROR(INDEX(EmployeeData[Department], ROW() - 37), "")</f>
        <v/>
      </c>
      <c r="E4680" s="4" t="str" cm="1">
        <f t="array" ref="E4680">IFERROR(INDEX(EmployeeData[Gender], ROW() - 37), "")</f>
        <v/>
      </c>
      <c r="F4680" s="4" t="str" cm="1">
        <f t="array" ref="F4680">IFERROR(INDEX(EmployeeData[Age], ROW() - 37), "")</f>
        <v/>
      </c>
      <c r="G4680" s="6" t="str" cm="1">
        <f t="array" ref="G4680">IFERROR(INDEX(EmployeeData[Join Date], ROW() - 37), "")</f>
        <v/>
      </c>
      <c r="H4680" s="6" t="str" cm="1">
        <f t="array" ref="H4680">IFERROR(IF(INDEX(EmployeeData[Exit Date], ROW() - 37)=0, "",INDEX(EmployeeData[Exit Date], ROW() - 37)),"")</f>
        <v/>
      </c>
      <c r="I4680" s="4" t="str" cm="1">
        <f t="array" ref="I4680">IFERROR(IF(INDEX(EmployeeData[Exit Reason], ROW() - 37)=0, "",INDEX(EmployeeData[Exit Reason], ROW() - 37)),"")</f>
        <v/>
      </c>
      <c r="J4680" s="4" t="str" cm="1">
        <f t="array" ref="J4680">IFERROR(INDEX(EmployeeData[Status], ROW() - 37), "")</f>
        <v/>
      </c>
    </row>
    <row r="4681" spans="2:10" ht="19.95" customHeight="1" x14ac:dyDescent="0.3">
      <c r="B4681" s="4" t="str" cm="1">
        <f t="array" ref="B4681">IFERROR(INDEX(EmployeeData[Employee ID], ROW() - 37), "")</f>
        <v/>
      </c>
      <c r="C4681" s="4" t="str" cm="1">
        <f t="array" ref="C4681">IFERROR(INDEX(EmployeeData[Full Name], ROW() - 37), "")</f>
        <v/>
      </c>
      <c r="D4681" s="4" t="str" cm="1">
        <f t="array" ref="D4681">IFERROR(INDEX(EmployeeData[Department], ROW() - 37), "")</f>
        <v/>
      </c>
      <c r="E4681" s="4" t="str" cm="1">
        <f t="array" ref="E4681">IFERROR(INDEX(EmployeeData[Gender], ROW() - 37), "")</f>
        <v/>
      </c>
      <c r="F4681" s="4" t="str" cm="1">
        <f t="array" ref="F4681">IFERROR(INDEX(EmployeeData[Age], ROW() - 37), "")</f>
        <v/>
      </c>
      <c r="G4681" s="6" t="str" cm="1">
        <f t="array" ref="G4681">IFERROR(INDEX(EmployeeData[Join Date], ROW() - 37), "")</f>
        <v/>
      </c>
      <c r="H4681" s="6" t="str" cm="1">
        <f t="array" ref="H4681">IFERROR(IF(INDEX(EmployeeData[Exit Date], ROW() - 37)=0, "",INDEX(EmployeeData[Exit Date], ROW() - 37)),"")</f>
        <v/>
      </c>
      <c r="I4681" s="4" t="str" cm="1">
        <f t="array" ref="I4681">IFERROR(IF(INDEX(EmployeeData[Exit Reason], ROW() - 37)=0, "",INDEX(EmployeeData[Exit Reason], ROW() - 37)),"")</f>
        <v/>
      </c>
      <c r="J4681" s="4" t="str" cm="1">
        <f t="array" ref="J4681">IFERROR(INDEX(EmployeeData[Status], ROW() - 37), "")</f>
        <v/>
      </c>
    </row>
    <row r="4682" spans="2:10" ht="19.95" customHeight="1" x14ac:dyDescent="0.3">
      <c r="B4682" s="4" t="str" cm="1">
        <f t="array" ref="B4682">IFERROR(INDEX(EmployeeData[Employee ID], ROW() - 37), "")</f>
        <v/>
      </c>
      <c r="C4682" s="4" t="str" cm="1">
        <f t="array" ref="C4682">IFERROR(INDEX(EmployeeData[Full Name], ROW() - 37), "")</f>
        <v/>
      </c>
      <c r="D4682" s="4" t="str" cm="1">
        <f t="array" ref="D4682">IFERROR(INDEX(EmployeeData[Department], ROW() - 37), "")</f>
        <v/>
      </c>
      <c r="E4682" s="4" t="str" cm="1">
        <f t="array" ref="E4682">IFERROR(INDEX(EmployeeData[Gender], ROW() - 37), "")</f>
        <v/>
      </c>
      <c r="F4682" s="4" t="str" cm="1">
        <f t="array" ref="F4682">IFERROR(INDEX(EmployeeData[Age], ROW() - 37), "")</f>
        <v/>
      </c>
      <c r="G4682" s="6" t="str" cm="1">
        <f t="array" ref="G4682">IFERROR(INDEX(EmployeeData[Join Date], ROW() - 37), "")</f>
        <v/>
      </c>
      <c r="H4682" s="6" t="str" cm="1">
        <f t="array" ref="H4682">IFERROR(IF(INDEX(EmployeeData[Exit Date], ROW() - 37)=0, "",INDEX(EmployeeData[Exit Date], ROW() - 37)),"")</f>
        <v/>
      </c>
      <c r="I4682" s="4" t="str" cm="1">
        <f t="array" ref="I4682">IFERROR(IF(INDEX(EmployeeData[Exit Reason], ROW() - 37)=0, "",INDEX(EmployeeData[Exit Reason], ROW() - 37)),"")</f>
        <v/>
      </c>
      <c r="J4682" s="4" t="str" cm="1">
        <f t="array" ref="J4682">IFERROR(INDEX(EmployeeData[Status], ROW() - 37), "")</f>
        <v/>
      </c>
    </row>
    <row r="4683" spans="2:10" ht="19.95" customHeight="1" x14ac:dyDescent="0.3">
      <c r="B4683" s="4" t="str" cm="1">
        <f t="array" ref="B4683">IFERROR(INDEX(EmployeeData[Employee ID], ROW() - 37), "")</f>
        <v/>
      </c>
      <c r="C4683" s="4" t="str" cm="1">
        <f t="array" ref="C4683">IFERROR(INDEX(EmployeeData[Full Name], ROW() - 37), "")</f>
        <v/>
      </c>
      <c r="D4683" s="4" t="str" cm="1">
        <f t="array" ref="D4683">IFERROR(INDEX(EmployeeData[Department], ROW() - 37), "")</f>
        <v/>
      </c>
      <c r="E4683" s="4" t="str" cm="1">
        <f t="array" ref="E4683">IFERROR(INDEX(EmployeeData[Gender], ROW() - 37), "")</f>
        <v/>
      </c>
      <c r="F4683" s="4" t="str" cm="1">
        <f t="array" ref="F4683">IFERROR(INDEX(EmployeeData[Age], ROW() - 37), "")</f>
        <v/>
      </c>
      <c r="G4683" s="6" t="str" cm="1">
        <f t="array" ref="G4683">IFERROR(INDEX(EmployeeData[Join Date], ROW() - 37), "")</f>
        <v/>
      </c>
      <c r="H4683" s="6" t="str" cm="1">
        <f t="array" ref="H4683">IFERROR(IF(INDEX(EmployeeData[Exit Date], ROW() - 37)=0, "",INDEX(EmployeeData[Exit Date], ROW() - 37)),"")</f>
        <v/>
      </c>
      <c r="I4683" s="4" t="str" cm="1">
        <f t="array" ref="I4683">IFERROR(IF(INDEX(EmployeeData[Exit Reason], ROW() - 37)=0, "",INDEX(EmployeeData[Exit Reason], ROW() - 37)),"")</f>
        <v/>
      </c>
      <c r="J4683" s="4" t="str" cm="1">
        <f t="array" ref="J4683">IFERROR(INDEX(EmployeeData[Status], ROW() - 37), "")</f>
        <v/>
      </c>
    </row>
    <row r="4684" spans="2:10" ht="19.95" customHeight="1" x14ac:dyDescent="0.3">
      <c r="B4684" s="4" t="str" cm="1">
        <f t="array" ref="B4684">IFERROR(INDEX(EmployeeData[Employee ID], ROW() - 37), "")</f>
        <v/>
      </c>
      <c r="C4684" s="4" t="str" cm="1">
        <f t="array" ref="C4684">IFERROR(INDEX(EmployeeData[Full Name], ROW() - 37), "")</f>
        <v/>
      </c>
      <c r="D4684" s="4" t="str" cm="1">
        <f t="array" ref="D4684">IFERROR(INDEX(EmployeeData[Department], ROW() - 37), "")</f>
        <v/>
      </c>
      <c r="E4684" s="4" t="str" cm="1">
        <f t="array" ref="E4684">IFERROR(INDEX(EmployeeData[Gender], ROW() - 37), "")</f>
        <v/>
      </c>
      <c r="F4684" s="4" t="str" cm="1">
        <f t="array" ref="F4684">IFERROR(INDEX(EmployeeData[Age], ROW() - 37), "")</f>
        <v/>
      </c>
      <c r="G4684" s="6" t="str" cm="1">
        <f t="array" ref="G4684">IFERROR(INDEX(EmployeeData[Join Date], ROW() - 37), "")</f>
        <v/>
      </c>
      <c r="H4684" s="6" t="str" cm="1">
        <f t="array" ref="H4684">IFERROR(IF(INDEX(EmployeeData[Exit Date], ROW() - 37)=0, "",INDEX(EmployeeData[Exit Date], ROW() - 37)),"")</f>
        <v/>
      </c>
      <c r="I4684" s="4" t="str" cm="1">
        <f t="array" ref="I4684">IFERROR(IF(INDEX(EmployeeData[Exit Reason], ROW() - 37)=0, "",INDEX(EmployeeData[Exit Reason], ROW() - 37)),"")</f>
        <v/>
      </c>
      <c r="J4684" s="4" t="str" cm="1">
        <f t="array" ref="J4684">IFERROR(INDEX(EmployeeData[Status], ROW() - 37), "")</f>
        <v/>
      </c>
    </row>
    <row r="4685" spans="2:10" ht="19.95" customHeight="1" x14ac:dyDescent="0.3">
      <c r="B4685" s="4" t="str" cm="1">
        <f t="array" ref="B4685">IFERROR(INDEX(EmployeeData[Employee ID], ROW() - 37), "")</f>
        <v/>
      </c>
      <c r="C4685" s="4" t="str" cm="1">
        <f t="array" ref="C4685">IFERROR(INDEX(EmployeeData[Full Name], ROW() - 37), "")</f>
        <v/>
      </c>
      <c r="D4685" s="4" t="str" cm="1">
        <f t="array" ref="D4685">IFERROR(INDEX(EmployeeData[Department], ROW() - 37), "")</f>
        <v/>
      </c>
      <c r="E4685" s="4" t="str" cm="1">
        <f t="array" ref="E4685">IFERROR(INDEX(EmployeeData[Gender], ROW() - 37), "")</f>
        <v/>
      </c>
      <c r="F4685" s="4" t="str" cm="1">
        <f t="array" ref="F4685">IFERROR(INDEX(EmployeeData[Age], ROW() - 37), "")</f>
        <v/>
      </c>
      <c r="G4685" s="6" t="str" cm="1">
        <f t="array" ref="G4685">IFERROR(INDEX(EmployeeData[Join Date], ROW() - 37), "")</f>
        <v/>
      </c>
      <c r="H4685" s="6" t="str" cm="1">
        <f t="array" ref="H4685">IFERROR(IF(INDEX(EmployeeData[Exit Date], ROW() - 37)=0, "",INDEX(EmployeeData[Exit Date], ROW() - 37)),"")</f>
        <v/>
      </c>
      <c r="I4685" s="4" t="str" cm="1">
        <f t="array" ref="I4685">IFERROR(IF(INDEX(EmployeeData[Exit Reason], ROW() - 37)=0, "",INDEX(EmployeeData[Exit Reason], ROW() - 37)),"")</f>
        <v/>
      </c>
      <c r="J4685" s="4" t="str" cm="1">
        <f t="array" ref="J4685">IFERROR(INDEX(EmployeeData[Status], ROW() - 37), "")</f>
        <v/>
      </c>
    </row>
    <row r="4686" spans="2:10" ht="19.95" customHeight="1" x14ac:dyDescent="0.3">
      <c r="B4686" s="4" t="str" cm="1">
        <f t="array" ref="B4686">IFERROR(INDEX(EmployeeData[Employee ID], ROW() - 37), "")</f>
        <v/>
      </c>
      <c r="C4686" s="4" t="str" cm="1">
        <f t="array" ref="C4686">IFERROR(INDEX(EmployeeData[Full Name], ROW() - 37), "")</f>
        <v/>
      </c>
      <c r="D4686" s="4" t="str" cm="1">
        <f t="array" ref="D4686">IFERROR(INDEX(EmployeeData[Department], ROW() - 37), "")</f>
        <v/>
      </c>
      <c r="E4686" s="4" t="str" cm="1">
        <f t="array" ref="E4686">IFERROR(INDEX(EmployeeData[Gender], ROW() - 37), "")</f>
        <v/>
      </c>
      <c r="F4686" s="4" t="str" cm="1">
        <f t="array" ref="F4686">IFERROR(INDEX(EmployeeData[Age], ROW() - 37), "")</f>
        <v/>
      </c>
      <c r="G4686" s="6" t="str" cm="1">
        <f t="array" ref="G4686">IFERROR(INDEX(EmployeeData[Join Date], ROW() - 37), "")</f>
        <v/>
      </c>
      <c r="H4686" s="6" t="str" cm="1">
        <f t="array" ref="H4686">IFERROR(IF(INDEX(EmployeeData[Exit Date], ROW() - 37)=0, "",INDEX(EmployeeData[Exit Date], ROW() - 37)),"")</f>
        <v/>
      </c>
      <c r="I4686" s="4" t="str" cm="1">
        <f t="array" ref="I4686">IFERROR(IF(INDEX(EmployeeData[Exit Reason], ROW() - 37)=0, "",INDEX(EmployeeData[Exit Reason], ROW() - 37)),"")</f>
        <v/>
      </c>
      <c r="J4686" s="4" t="str" cm="1">
        <f t="array" ref="J4686">IFERROR(INDEX(EmployeeData[Status], ROW() - 37), "")</f>
        <v/>
      </c>
    </row>
    <row r="4687" spans="2:10" ht="19.95" customHeight="1" x14ac:dyDescent="0.3">
      <c r="B4687" s="4" t="str" cm="1">
        <f t="array" ref="B4687">IFERROR(INDEX(EmployeeData[Employee ID], ROW() - 37), "")</f>
        <v/>
      </c>
      <c r="C4687" s="4" t="str" cm="1">
        <f t="array" ref="C4687">IFERROR(INDEX(EmployeeData[Full Name], ROW() - 37), "")</f>
        <v/>
      </c>
      <c r="D4687" s="4" t="str" cm="1">
        <f t="array" ref="D4687">IFERROR(INDEX(EmployeeData[Department], ROW() - 37), "")</f>
        <v/>
      </c>
      <c r="E4687" s="4" t="str" cm="1">
        <f t="array" ref="E4687">IFERROR(INDEX(EmployeeData[Gender], ROW() - 37), "")</f>
        <v/>
      </c>
      <c r="F4687" s="4" t="str" cm="1">
        <f t="array" ref="F4687">IFERROR(INDEX(EmployeeData[Age], ROW() - 37), "")</f>
        <v/>
      </c>
      <c r="G4687" s="6" t="str" cm="1">
        <f t="array" ref="G4687">IFERROR(INDEX(EmployeeData[Join Date], ROW() - 37), "")</f>
        <v/>
      </c>
      <c r="H4687" s="6" t="str" cm="1">
        <f t="array" ref="H4687">IFERROR(IF(INDEX(EmployeeData[Exit Date], ROW() - 37)=0, "",INDEX(EmployeeData[Exit Date], ROW() - 37)),"")</f>
        <v/>
      </c>
      <c r="I4687" s="4" t="str" cm="1">
        <f t="array" ref="I4687">IFERROR(IF(INDEX(EmployeeData[Exit Reason], ROW() - 37)=0, "",INDEX(EmployeeData[Exit Reason], ROW() - 37)),"")</f>
        <v/>
      </c>
      <c r="J4687" s="4" t="str" cm="1">
        <f t="array" ref="J4687">IFERROR(INDEX(EmployeeData[Status], ROW() - 37), "")</f>
        <v/>
      </c>
    </row>
    <row r="4688" spans="2:10" ht="19.95" customHeight="1" x14ac:dyDescent="0.3">
      <c r="B4688" s="4" t="str" cm="1">
        <f t="array" ref="B4688">IFERROR(INDEX(EmployeeData[Employee ID], ROW() - 37), "")</f>
        <v/>
      </c>
      <c r="C4688" s="4" t="str" cm="1">
        <f t="array" ref="C4688">IFERROR(INDEX(EmployeeData[Full Name], ROW() - 37), "")</f>
        <v/>
      </c>
      <c r="D4688" s="4" t="str" cm="1">
        <f t="array" ref="D4688">IFERROR(INDEX(EmployeeData[Department], ROW() - 37), "")</f>
        <v/>
      </c>
      <c r="E4688" s="4" t="str" cm="1">
        <f t="array" ref="E4688">IFERROR(INDEX(EmployeeData[Gender], ROW() - 37), "")</f>
        <v/>
      </c>
      <c r="F4688" s="4" t="str" cm="1">
        <f t="array" ref="F4688">IFERROR(INDEX(EmployeeData[Age], ROW() - 37), "")</f>
        <v/>
      </c>
      <c r="G4688" s="6" t="str" cm="1">
        <f t="array" ref="G4688">IFERROR(INDEX(EmployeeData[Join Date], ROW() - 37), "")</f>
        <v/>
      </c>
      <c r="H4688" s="6" t="str" cm="1">
        <f t="array" ref="H4688">IFERROR(IF(INDEX(EmployeeData[Exit Date], ROW() - 37)=0, "",INDEX(EmployeeData[Exit Date], ROW() - 37)),"")</f>
        <v/>
      </c>
      <c r="I4688" s="4" t="str" cm="1">
        <f t="array" ref="I4688">IFERROR(IF(INDEX(EmployeeData[Exit Reason], ROW() - 37)=0, "",INDEX(EmployeeData[Exit Reason], ROW() - 37)),"")</f>
        <v/>
      </c>
      <c r="J4688" s="4" t="str" cm="1">
        <f t="array" ref="J4688">IFERROR(INDEX(EmployeeData[Status], ROW() - 37), "")</f>
        <v/>
      </c>
    </row>
    <row r="4689" spans="2:10" ht="19.95" customHeight="1" x14ac:dyDescent="0.3">
      <c r="B4689" s="4" t="str" cm="1">
        <f t="array" ref="B4689">IFERROR(INDEX(EmployeeData[Employee ID], ROW() - 37), "")</f>
        <v/>
      </c>
      <c r="C4689" s="4" t="str" cm="1">
        <f t="array" ref="C4689">IFERROR(INDEX(EmployeeData[Full Name], ROW() - 37), "")</f>
        <v/>
      </c>
      <c r="D4689" s="4" t="str" cm="1">
        <f t="array" ref="D4689">IFERROR(INDEX(EmployeeData[Department], ROW() - 37), "")</f>
        <v/>
      </c>
      <c r="E4689" s="4" t="str" cm="1">
        <f t="array" ref="E4689">IFERROR(INDEX(EmployeeData[Gender], ROW() - 37), "")</f>
        <v/>
      </c>
      <c r="F4689" s="4" t="str" cm="1">
        <f t="array" ref="F4689">IFERROR(INDEX(EmployeeData[Age], ROW() - 37), "")</f>
        <v/>
      </c>
      <c r="G4689" s="6" t="str" cm="1">
        <f t="array" ref="G4689">IFERROR(INDEX(EmployeeData[Join Date], ROW() - 37), "")</f>
        <v/>
      </c>
      <c r="H4689" s="6" t="str" cm="1">
        <f t="array" ref="H4689">IFERROR(IF(INDEX(EmployeeData[Exit Date], ROW() - 37)=0, "",INDEX(EmployeeData[Exit Date], ROW() - 37)),"")</f>
        <v/>
      </c>
      <c r="I4689" s="4" t="str" cm="1">
        <f t="array" ref="I4689">IFERROR(IF(INDEX(EmployeeData[Exit Reason], ROW() - 37)=0, "",INDEX(EmployeeData[Exit Reason], ROW() - 37)),"")</f>
        <v/>
      </c>
      <c r="J4689" s="4" t="str" cm="1">
        <f t="array" ref="J4689">IFERROR(INDEX(EmployeeData[Status], ROW() - 37), "")</f>
        <v/>
      </c>
    </row>
    <row r="4690" spans="2:10" ht="19.95" customHeight="1" x14ac:dyDescent="0.3">
      <c r="B4690" s="4" t="str" cm="1">
        <f t="array" ref="B4690">IFERROR(INDEX(EmployeeData[Employee ID], ROW() - 37), "")</f>
        <v/>
      </c>
      <c r="C4690" s="4" t="str" cm="1">
        <f t="array" ref="C4690">IFERROR(INDEX(EmployeeData[Full Name], ROW() - 37), "")</f>
        <v/>
      </c>
      <c r="D4690" s="4" t="str" cm="1">
        <f t="array" ref="D4690">IFERROR(INDEX(EmployeeData[Department], ROW() - 37), "")</f>
        <v/>
      </c>
      <c r="E4690" s="4" t="str" cm="1">
        <f t="array" ref="E4690">IFERROR(INDEX(EmployeeData[Gender], ROW() - 37), "")</f>
        <v/>
      </c>
      <c r="F4690" s="4" t="str" cm="1">
        <f t="array" ref="F4690">IFERROR(INDEX(EmployeeData[Age], ROW() - 37), "")</f>
        <v/>
      </c>
      <c r="G4690" s="6" t="str" cm="1">
        <f t="array" ref="G4690">IFERROR(INDEX(EmployeeData[Join Date], ROW() - 37), "")</f>
        <v/>
      </c>
      <c r="H4690" s="6" t="str" cm="1">
        <f t="array" ref="H4690">IFERROR(IF(INDEX(EmployeeData[Exit Date], ROW() - 37)=0, "",INDEX(EmployeeData[Exit Date], ROW() - 37)),"")</f>
        <v/>
      </c>
      <c r="I4690" s="4" t="str" cm="1">
        <f t="array" ref="I4690">IFERROR(IF(INDEX(EmployeeData[Exit Reason], ROW() - 37)=0, "",INDEX(EmployeeData[Exit Reason], ROW() - 37)),"")</f>
        <v/>
      </c>
      <c r="J4690" s="4" t="str" cm="1">
        <f t="array" ref="J4690">IFERROR(INDEX(EmployeeData[Status], ROW() - 37), "")</f>
        <v/>
      </c>
    </row>
    <row r="4691" spans="2:10" ht="19.95" customHeight="1" x14ac:dyDescent="0.3">
      <c r="B4691" s="4" t="str" cm="1">
        <f t="array" ref="B4691">IFERROR(INDEX(EmployeeData[Employee ID], ROW() - 37), "")</f>
        <v/>
      </c>
      <c r="C4691" s="4" t="str" cm="1">
        <f t="array" ref="C4691">IFERROR(INDEX(EmployeeData[Full Name], ROW() - 37), "")</f>
        <v/>
      </c>
      <c r="D4691" s="4" t="str" cm="1">
        <f t="array" ref="D4691">IFERROR(INDEX(EmployeeData[Department], ROW() - 37), "")</f>
        <v/>
      </c>
      <c r="E4691" s="4" t="str" cm="1">
        <f t="array" ref="E4691">IFERROR(INDEX(EmployeeData[Gender], ROW() - 37), "")</f>
        <v/>
      </c>
      <c r="F4691" s="4" t="str" cm="1">
        <f t="array" ref="F4691">IFERROR(INDEX(EmployeeData[Age], ROW() - 37), "")</f>
        <v/>
      </c>
      <c r="G4691" s="6" t="str" cm="1">
        <f t="array" ref="G4691">IFERROR(INDEX(EmployeeData[Join Date], ROW() - 37), "")</f>
        <v/>
      </c>
      <c r="H4691" s="6" t="str" cm="1">
        <f t="array" ref="H4691">IFERROR(IF(INDEX(EmployeeData[Exit Date], ROW() - 37)=0, "",INDEX(EmployeeData[Exit Date], ROW() - 37)),"")</f>
        <v/>
      </c>
      <c r="I4691" s="4" t="str" cm="1">
        <f t="array" ref="I4691">IFERROR(IF(INDEX(EmployeeData[Exit Reason], ROW() - 37)=0, "",INDEX(EmployeeData[Exit Reason], ROW() - 37)),"")</f>
        <v/>
      </c>
      <c r="J4691" s="4" t="str" cm="1">
        <f t="array" ref="J4691">IFERROR(INDEX(EmployeeData[Status], ROW() - 37), "")</f>
        <v/>
      </c>
    </row>
    <row r="4692" spans="2:10" ht="19.95" customHeight="1" x14ac:dyDescent="0.3">
      <c r="B4692" s="4" t="str" cm="1">
        <f t="array" ref="B4692">IFERROR(INDEX(EmployeeData[Employee ID], ROW() - 37), "")</f>
        <v/>
      </c>
      <c r="C4692" s="4" t="str" cm="1">
        <f t="array" ref="C4692">IFERROR(INDEX(EmployeeData[Full Name], ROW() - 37), "")</f>
        <v/>
      </c>
      <c r="D4692" s="4" t="str" cm="1">
        <f t="array" ref="D4692">IFERROR(INDEX(EmployeeData[Department], ROW() - 37), "")</f>
        <v/>
      </c>
      <c r="E4692" s="4" t="str" cm="1">
        <f t="array" ref="E4692">IFERROR(INDEX(EmployeeData[Gender], ROW() - 37), "")</f>
        <v/>
      </c>
      <c r="F4692" s="4" t="str" cm="1">
        <f t="array" ref="F4692">IFERROR(INDEX(EmployeeData[Age], ROW() - 37), "")</f>
        <v/>
      </c>
      <c r="G4692" s="6" t="str" cm="1">
        <f t="array" ref="G4692">IFERROR(INDEX(EmployeeData[Join Date], ROW() - 37), "")</f>
        <v/>
      </c>
      <c r="H4692" s="6" t="str" cm="1">
        <f t="array" ref="H4692">IFERROR(IF(INDEX(EmployeeData[Exit Date], ROW() - 37)=0, "",INDEX(EmployeeData[Exit Date], ROW() - 37)),"")</f>
        <v/>
      </c>
      <c r="I4692" s="4" t="str" cm="1">
        <f t="array" ref="I4692">IFERROR(IF(INDEX(EmployeeData[Exit Reason], ROW() - 37)=0, "",INDEX(EmployeeData[Exit Reason], ROW() - 37)),"")</f>
        <v/>
      </c>
      <c r="J4692" s="4" t="str" cm="1">
        <f t="array" ref="J4692">IFERROR(INDEX(EmployeeData[Status], ROW() - 37), "")</f>
        <v/>
      </c>
    </row>
    <row r="4693" spans="2:10" ht="19.95" customHeight="1" x14ac:dyDescent="0.3">
      <c r="B4693" s="4" t="str" cm="1">
        <f t="array" ref="B4693">IFERROR(INDEX(EmployeeData[Employee ID], ROW() - 37), "")</f>
        <v/>
      </c>
      <c r="C4693" s="4" t="str" cm="1">
        <f t="array" ref="C4693">IFERROR(INDEX(EmployeeData[Full Name], ROW() - 37), "")</f>
        <v/>
      </c>
      <c r="D4693" s="4" t="str" cm="1">
        <f t="array" ref="D4693">IFERROR(INDEX(EmployeeData[Department], ROW() - 37), "")</f>
        <v/>
      </c>
      <c r="E4693" s="4" t="str" cm="1">
        <f t="array" ref="E4693">IFERROR(INDEX(EmployeeData[Gender], ROW() - 37), "")</f>
        <v/>
      </c>
      <c r="F4693" s="4" t="str" cm="1">
        <f t="array" ref="F4693">IFERROR(INDEX(EmployeeData[Age], ROW() - 37), "")</f>
        <v/>
      </c>
      <c r="G4693" s="6" t="str" cm="1">
        <f t="array" ref="G4693">IFERROR(INDEX(EmployeeData[Join Date], ROW() - 37), "")</f>
        <v/>
      </c>
      <c r="H4693" s="6" t="str" cm="1">
        <f t="array" ref="H4693">IFERROR(IF(INDEX(EmployeeData[Exit Date], ROW() - 37)=0, "",INDEX(EmployeeData[Exit Date], ROW() - 37)),"")</f>
        <v/>
      </c>
      <c r="I4693" s="4" t="str" cm="1">
        <f t="array" ref="I4693">IFERROR(IF(INDEX(EmployeeData[Exit Reason], ROW() - 37)=0, "",INDEX(EmployeeData[Exit Reason], ROW() - 37)),"")</f>
        <v/>
      </c>
      <c r="J4693" s="4" t="str" cm="1">
        <f t="array" ref="J4693">IFERROR(INDEX(EmployeeData[Status], ROW() - 37), "")</f>
        <v/>
      </c>
    </row>
    <row r="4694" spans="2:10" ht="19.95" customHeight="1" x14ac:dyDescent="0.3">
      <c r="B4694" s="4" t="str" cm="1">
        <f t="array" ref="B4694">IFERROR(INDEX(EmployeeData[Employee ID], ROW() - 37), "")</f>
        <v/>
      </c>
      <c r="C4694" s="4" t="str" cm="1">
        <f t="array" ref="C4694">IFERROR(INDEX(EmployeeData[Full Name], ROW() - 37), "")</f>
        <v/>
      </c>
      <c r="D4694" s="4" t="str" cm="1">
        <f t="array" ref="D4694">IFERROR(INDEX(EmployeeData[Department], ROW() - 37), "")</f>
        <v/>
      </c>
      <c r="E4694" s="4" t="str" cm="1">
        <f t="array" ref="E4694">IFERROR(INDEX(EmployeeData[Gender], ROW() - 37), "")</f>
        <v/>
      </c>
      <c r="F4694" s="4" t="str" cm="1">
        <f t="array" ref="F4694">IFERROR(INDEX(EmployeeData[Age], ROW() - 37), "")</f>
        <v/>
      </c>
      <c r="G4694" s="6" t="str" cm="1">
        <f t="array" ref="G4694">IFERROR(INDEX(EmployeeData[Join Date], ROW() - 37), "")</f>
        <v/>
      </c>
      <c r="H4694" s="6" t="str" cm="1">
        <f t="array" ref="H4694">IFERROR(IF(INDEX(EmployeeData[Exit Date], ROW() - 37)=0, "",INDEX(EmployeeData[Exit Date], ROW() - 37)),"")</f>
        <v/>
      </c>
      <c r="I4694" s="4" t="str" cm="1">
        <f t="array" ref="I4694">IFERROR(IF(INDEX(EmployeeData[Exit Reason], ROW() - 37)=0, "",INDEX(EmployeeData[Exit Reason], ROW() - 37)),"")</f>
        <v/>
      </c>
      <c r="J4694" s="4" t="str" cm="1">
        <f t="array" ref="J4694">IFERROR(INDEX(EmployeeData[Status], ROW() - 37), "")</f>
        <v/>
      </c>
    </row>
    <row r="4695" spans="2:10" ht="19.95" customHeight="1" x14ac:dyDescent="0.3">
      <c r="B4695" s="4" t="str" cm="1">
        <f t="array" ref="B4695">IFERROR(INDEX(EmployeeData[Employee ID], ROW() - 37), "")</f>
        <v/>
      </c>
      <c r="C4695" s="4" t="str" cm="1">
        <f t="array" ref="C4695">IFERROR(INDEX(EmployeeData[Full Name], ROW() - 37), "")</f>
        <v/>
      </c>
      <c r="D4695" s="4" t="str" cm="1">
        <f t="array" ref="D4695">IFERROR(INDEX(EmployeeData[Department], ROW() - 37), "")</f>
        <v/>
      </c>
      <c r="E4695" s="4" t="str" cm="1">
        <f t="array" ref="E4695">IFERROR(INDEX(EmployeeData[Gender], ROW() - 37), "")</f>
        <v/>
      </c>
      <c r="F4695" s="4" t="str" cm="1">
        <f t="array" ref="F4695">IFERROR(INDEX(EmployeeData[Age], ROW() - 37), "")</f>
        <v/>
      </c>
      <c r="G4695" s="6" t="str" cm="1">
        <f t="array" ref="G4695">IFERROR(INDEX(EmployeeData[Join Date], ROW() - 37), "")</f>
        <v/>
      </c>
      <c r="H4695" s="6" t="str" cm="1">
        <f t="array" ref="H4695">IFERROR(IF(INDEX(EmployeeData[Exit Date], ROW() - 37)=0, "",INDEX(EmployeeData[Exit Date], ROW() - 37)),"")</f>
        <v/>
      </c>
      <c r="I4695" s="4" t="str" cm="1">
        <f t="array" ref="I4695">IFERROR(IF(INDEX(EmployeeData[Exit Reason], ROW() - 37)=0, "",INDEX(EmployeeData[Exit Reason], ROW() - 37)),"")</f>
        <v/>
      </c>
      <c r="J4695" s="4" t="str" cm="1">
        <f t="array" ref="J4695">IFERROR(INDEX(EmployeeData[Status], ROW() - 37), "")</f>
        <v/>
      </c>
    </row>
    <row r="4696" spans="2:10" ht="19.95" customHeight="1" x14ac:dyDescent="0.3">
      <c r="B4696" s="4" t="str" cm="1">
        <f t="array" ref="B4696">IFERROR(INDEX(EmployeeData[Employee ID], ROW() - 37), "")</f>
        <v/>
      </c>
      <c r="C4696" s="4" t="str" cm="1">
        <f t="array" ref="C4696">IFERROR(INDEX(EmployeeData[Full Name], ROW() - 37), "")</f>
        <v/>
      </c>
      <c r="D4696" s="4" t="str" cm="1">
        <f t="array" ref="D4696">IFERROR(INDEX(EmployeeData[Department], ROW() - 37), "")</f>
        <v/>
      </c>
      <c r="E4696" s="4" t="str" cm="1">
        <f t="array" ref="E4696">IFERROR(INDEX(EmployeeData[Gender], ROW() - 37), "")</f>
        <v/>
      </c>
      <c r="F4696" s="4" t="str" cm="1">
        <f t="array" ref="F4696">IFERROR(INDEX(EmployeeData[Age], ROW() - 37), "")</f>
        <v/>
      </c>
      <c r="G4696" s="6" t="str" cm="1">
        <f t="array" ref="G4696">IFERROR(INDEX(EmployeeData[Join Date], ROW() - 37), "")</f>
        <v/>
      </c>
      <c r="H4696" s="6" t="str" cm="1">
        <f t="array" ref="H4696">IFERROR(IF(INDEX(EmployeeData[Exit Date], ROW() - 37)=0, "",INDEX(EmployeeData[Exit Date], ROW() - 37)),"")</f>
        <v/>
      </c>
      <c r="I4696" s="4" t="str" cm="1">
        <f t="array" ref="I4696">IFERROR(IF(INDEX(EmployeeData[Exit Reason], ROW() - 37)=0, "",INDEX(EmployeeData[Exit Reason], ROW() - 37)),"")</f>
        <v/>
      </c>
      <c r="J4696" s="4" t="str" cm="1">
        <f t="array" ref="J4696">IFERROR(INDEX(EmployeeData[Status], ROW() - 37), "")</f>
        <v/>
      </c>
    </row>
    <row r="4697" spans="2:10" ht="19.95" customHeight="1" x14ac:dyDescent="0.3">
      <c r="B4697" s="4" t="str" cm="1">
        <f t="array" ref="B4697">IFERROR(INDEX(EmployeeData[Employee ID], ROW() - 37), "")</f>
        <v/>
      </c>
      <c r="C4697" s="4" t="str" cm="1">
        <f t="array" ref="C4697">IFERROR(INDEX(EmployeeData[Full Name], ROW() - 37), "")</f>
        <v/>
      </c>
      <c r="D4697" s="4" t="str" cm="1">
        <f t="array" ref="D4697">IFERROR(INDEX(EmployeeData[Department], ROW() - 37), "")</f>
        <v/>
      </c>
      <c r="E4697" s="4" t="str" cm="1">
        <f t="array" ref="E4697">IFERROR(INDEX(EmployeeData[Gender], ROW() - 37), "")</f>
        <v/>
      </c>
      <c r="F4697" s="4" t="str" cm="1">
        <f t="array" ref="F4697">IFERROR(INDEX(EmployeeData[Age], ROW() - 37), "")</f>
        <v/>
      </c>
      <c r="G4697" s="6" t="str" cm="1">
        <f t="array" ref="G4697">IFERROR(INDEX(EmployeeData[Join Date], ROW() - 37), "")</f>
        <v/>
      </c>
      <c r="H4697" s="6" t="str" cm="1">
        <f t="array" ref="H4697">IFERROR(IF(INDEX(EmployeeData[Exit Date], ROW() - 37)=0, "",INDEX(EmployeeData[Exit Date], ROW() - 37)),"")</f>
        <v/>
      </c>
      <c r="I4697" s="4" t="str" cm="1">
        <f t="array" ref="I4697">IFERROR(IF(INDEX(EmployeeData[Exit Reason], ROW() - 37)=0, "",INDEX(EmployeeData[Exit Reason], ROW() - 37)),"")</f>
        <v/>
      </c>
      <c r="J4697" s="4" t="str" cm="1">
        <f t="array" ref="J4697">IFERROR(INDEX(EmployeeData[Status], ROW() - 37), "")</f>
        <v/>
      </c>
    </row>
    <row r="4698" spans="2:10" ht="19.95" customHeight="1" x14ac:dyDescent="0.3">
      <c r="B4698" s="4" t="str" cm="1">
        <f t="array" ref="B4698">IFERROR(INDEX(EmployeeData[Employee ID], ROW() - 37), "")</f>
        <v/>
      </c>
      <c r="C4698" s="4" t="str" cm="1">
        <f t="array" ref="C4698">IFERROR(INDEX(EmployeeData[Full Name], ROW() - 37), "")</f>
        <v/>
      </c>
      <c r="D4698" s="4" t="str" cm="1">
        <f t="array" ref="D4698">IFERROR(INDEX(EmployeeData[Department], ROW() - 37), "")</f>
        <v/>
      </c>
      <c r="E4698" s="4" t="str" cm="1">
        <f t="array" ref="E4698">IFERROR(INDEX(EmployeeData[Gender], ROW() - 37), "")</f>
        <v/>
      </c>
      <c r="F4698" s="4" t="str" cm="1">
        <f t="array" ref="F4698">IFERROR(INDEX(EmployeeData[Age], ROW() - 37), "")</f>
        <v/>
      </c>
      <c r="G4698" s="6" t="str" cm="1">
        <f t="array" ref="G4698">IFERROR(INDEX(EmployeeData[Join Date], ROW() - 37), "")</f>
        <v/>
      </c>
      <c r="H4698" s="6" t="str" cm="1">
        <f t="array" ref="H4698">IFERROR(IF(INDEX(EmployeeData[Exit Date], ROW() - 37)=0, "",INDEX(EmployeeData[Exit Date], ROW() - 37)),"")</f>
        <v/>
      </c>
      <c r="I4698" s="4" t="str" cm="1">
        <f t="array" ref="I4698">IFERROR(IF(INDEX(EmployeeData[Exit Reason], ROW() - 37)=0, "",INDEX(EmployeeData[Exit Reason], ROW() - 37)),"")</f>
        <v/>
      </c>
      <c r="J4698" s="4" t="str" cm="1">
        <f t="array" ref="J4698">IFERROR(INDEX(EmployeeData[Status], ROW() - 37), "")</f>
        <v/>
      </c>
    </row>
    <row r="4699" spans="2:10" ht="19.95" customHeight="1" x14ac:dyDescent="0.3">
      <c r="B4699" s="4" t="str" cm="1">
        <f t="array" ref="B4699">IFERROR(INDEX(EmployeeData[Employee ID], ROW() - 37), "")</f>
        <v/>
      </c>
      <c r="C4699" s="4" t="str" cm="1">
        <f t="array" ref="C4699">IFERROR(INDEX(EmployeeData[Full Name], ROW() - 37), "")</f>
        <v/>
      </c>
      <c r="D4699" s="4" t="str" cm="1">
        <f t="array" ref="D4699">IFERROR(INDEX(EmployeeData[Department], ROW() - 37), "")</f>
        <v/>
      </c>
      <c r="E4699" s="4" t="str" cm="1">
        <f t="array" ref="E4699">IFERROR(INDEX(EmployeeData[Gender], ROW() - 37), "")</f>
        <v/>
      </c>
      <c r="F4699" s="4" t="str" cm="1">
        <f t="array" ref="F4699">IFERROR(INDEX(EmployeeData[Age], ROW() - 37), "")</f>
        <v/>
      </c>
      <c r="G4699" s="6" t="str" cm="1">
        <f t="array" ref="G4699">IFERROR(INDEX(EmployeeData[Join Date], ROW() - 37), "")</f>
        <v/>
      </c>
      <c r="H4699" s="6" t="str" cm="1">
        <f t="array" ref="H4699">IFERROR(IF(INDEX(EmployeeData[Exit Date], ROW() - 37)=0, "",INDEX(EmployeeData[Exit Date], ROW() - 37)),"")</f>
        <v/>
      </c>
      <c r="I4699" s="4" t="str" cm="1">
        <f t="array" ref="I4699">IFERROR(IF(INDEX(EmployeeData[Exit Reason], ROW() - 37)=0, "",INDEX(EmployeeData[Exit Reason], ROW() - 37)),"")</f>
        <v/>
      </c>
      <c r="J4699" s="4" t="str" cm="1">
        <f t="array" ref="J4699">IFERROR(INDEX(EmployeeData[Status], ROW() - 37), "")</f>
        <v/>
      </c>
    </row>
    <row r="4700" spans="2:10" ht="19.95" customHeight="1" x14ac:dyDescent="0.3">
      <c r="B4700" s="4" t="str" cm="1">
        <f t="array" ref="B4700">IFERROR(INDEX(EmployeeData[Employee ID], ROW() - 37), "")</f>
        <v/>
      </c>
      <c r="C4700" s="4" t="str" cm="1">
        <f t="array" ref="C4700">IFERROR(INDEX(EmployeeData[Full Name], ROW() - 37), "")</f>
        <v/>
      </c>
      <c r="D4700" s="4" t="str" cm="1">
        <f t="array" ref="D4700">IFERROR(INDEX(EmployeeData[Department], ROW() - 37), "")</f>
        <v/>
      </c>
      <c r="E4700" s="4" t="str" cm="1">
        <f t="array" ref="E4700">IFERROR(INDEX(EmployeeData[Gender], ROW() - 37), "")</f>
        <v/>
      </c>
      <c r="F4700" s="4" t="str" cm="1">
        <f t="array" ref="F4700">IFERROR(INDEX(EmployeeData[Age], ROW() - 37), "")</f>
        <v/>
      </c>
      <c r="G4700" s="6" t="str" cm="1">
        <f t="array" ref="G4700">IFERROR(INDEX(EmployeeData[Join Date], ROW() - 37), "")</f>
        <v/>
      </c>
      <c r="H4700" s="6" t="str" cm="1">
        <f t="array" ref="H4700">IFERROR(IF(INDEX(EmployeeData[Exit Date], ROW() - 37)=0, "",INDEX(EmployeeData[Exit Date], ROW() - 37)),"")</f>
        <v/>
      </c>
      <c r="I4700" s="4" t="str" cm="1">
        <f t="array" ref="I4700">IFERROR(IF(INDEX(EmployeeData[Exit Reason], ROW() - 37)=0, "",INDEX(EmployeeData[Exit Reason], ROW() - 37)),"")</f>
        <v/>
      </c>
      <c r="J4700" s="4" t="str" cm="1">
        <f t="array" ref="J4700">IFERROR(INDEX(EmployeeData[Status], ROW() - 37), "")</f>
        <v/>
      </c>
    </row>
    <row r="4701" spans="2:10" ht="19.95" customHeight="1" x14ac:dyDescent="0.3">
      <c r="B4701" s="4" t="str" cm="1">
        <f t="array" ref="B4701">IFERROR(INDEX(EmployeeData[Employee ID], ROW() - 37), "")</f>
        <v/>
      </c>
      <c r="C4701" s="4" t="str" cm="1">
        <f t="array" ref="C4701">IFERROR(INDEX(EmployeeData[Full Name], ROW() - 37), "")</f>
        <v/>
      </c>
      <c r="D4701" s="4" t="str" cm="1">
        <f t="array" ref="D4701">IFERROR(INDEX(EmployeeData[Department], ROW() - 37), "")</f>
        <v/>
      </c>
      <c r="E4701" s="4" t="str" cm="1">
        <f t="array" ref="E4701">IFERROR(INDEX(EmployeeData[Gender], ROW() - 37), "")</f>
        <v/>
      </c>
      <c r="F4701" s="4" t="str" cm="1">
        <f t="array" ref="F4701">IFERROR(INDEX(EmployeeData[Age], ROW() - 37), "")</f>
        <v/>
      </c>
      <c r="G4701" s="6" t="str" cm="1">
        <f t="array" ref="G4701">IFERROR(INDEX(EmployeeData[Join Date], ROW() - 37), "")</f>
        <v/>
      </c>
      <c r="H4701" s="6" t="str" cm="1">
        <f t="array" ref="H4701">IFERROR(IF(INDEX(EmployeeData[Exit Date], ROW() - 37)=0, "",INDEX(EmployeeData[Exit Date], ROW() - 37)),"")</f>
        <v/>
      </c>
      <c r="I4701" s="4" t="str" cm="1">
        <f t="array" ref="I4701">IFERROR(IF(INDEX(EmployeeData[Exit Reason], ROW() - 37)=0, "",INDEX(EmployeeData[Exit Reason], ROW() - 37)),"")</f>
        <v/>
      </c>
      <c r="J4701" s="4" t="str" cm="1">
        <f t="array" ref="J4701">IFERROR(INDEX(EmployeeData[Status], ROW() - 37), "")</f>
        <v/>
      </c>
    </row>
    <row r="4702" spans="2:10" ht="19.95" customHeight="1" x14ac:dyDescent="0.3">
      <c r="B4702" s="4" t="str" cm="1">
        <f t="array" ref="B4702">IFERROR(INDEX(EmployeeData[Employee ID], ROW() - 37), "")</f>
        <v/>
      </c>
      <c r="C4702" s="4" t="str" cm="1">
        <f t="array" ref="C4702">IFERROR(INDEX(EmployeeData[Full Name], ROW() - 37), "")</f>
        <v/>
      </c>
      <c r="D4702" s="4" t="str" cm="1">
        <f t="array" ref="D4702">IFERROR(INDEX(EmployeeData[Department], ROW() - 37), "")</f>
        <v/>
      </c>
      <c r="E4702" s="4" t="str" cm="1">
        <f t="array" ref="E4702">IFERROR(INDEX(EmployeeData[Gender], ROW() - 37), "")</f>
        <v/>
      </c>
      <c r="F4702" s="4" t="str" cm="1">
        <f t="array" ref="F4702">IFERROR(INDEX(EmployeeData[Age], ROW() - 37), "")</f>
        <v/>
      </c>
      <c r="G4702" s="6" t="str" cm="1">
        <f t="array" ref="G4702">IFERROR(INDEX(EmployeeData[Join Date], ROW() - 37), "")</f>
        <v/>
      </c>
      <c r="H4702" s="6" t="str" cm="1">
        <f t="array" ref="H4702">IFERROR(IF(INDEX(EmployeeData[Exit Date], ROW() - 37)=0, "",INDEX(EmployeeData[Exit Date], ROW() - 37)),"")</f>
        <v/>
      </c>
      <c r="I4702" s="4" t="str" cm="1">
        <f t="array" ref="I4702">IFERROR(IF(INDEX(EmployeeData[Exit Reason], ROW() - 37)=0, "",INDEX(EmployeeData[Exit Reason], ROW() - 37)),"")</f>
        <v/>
      </c>
      <c r="J4702" s="4" t="str" cm="1">
        <f t="array" ref="J4702">IFERROR(INDEX(EmployeeData[Status], ROW() - 37), "")</f>
        <v/>
      </c>
    </row>
    <row r="4703" spans="2:10" ht="19.95" customHeight="1" x14ac:dyDescent="0.3">
      <c r="B4703" s="4" t="str" cm="1">
        <f t="array" ref="B4703">IFERROR(INDEX(EmployeeData[Employee ID], ROW() - 37), "")</f>
        <v/>
      </c>
      <c r="C4703" s="4" t="str" cm="1">
        <f t="array" ref="C4703">IFERROR(INDEX(EmployeeData[Full Name], ROW() - 37), "")</f>
        <v/>
      </c>
      <c r="D4703" s="4" t="str" cm="1">
        <f t="array" ref="D4703">IFERROR(INDEX(EmployeeData[Department], ROW() - 37), "")</f>
        <v/>
      </c>
      <c r="E4703" s="4" t="str" cm="1">
        <f t="array" ref="E4703">IFERROR(INDEX(EmployeeData[Gender], ROW() - 37), "")</f>
        <v/>
      </c>
      <c r="F4703" s="4" t="str" cm="1">
        <f t="array" ref="F4703">IFERROR(INDEX(EmployeeData[Age], ROW() - 37), "")</f>
        <v/>
      </c>
      <c r="G4703" s="6" t="str" cm="1">
        <f t="array" ref="G4703">IFERROR(INDEX(EmployeeData[Join Date], ROW() - 37), "")</f>
        <v/>
      </c>
      <c r="H4703" s="6" t="str" cm="1">
        <f t="array" ref="H4703">IFERROR(IF(INDEX(EmployeeData[Exit Date], ROW() - 37)=0, "",INDEX(EmployeeData[Exit Date], ROW() - 37)),"")</f>
        <v/>
      </c>
      <c r="I4703" s="4" t="str" cm="1">
        <f t="array" ref="I4703">IFERROR(IF(INDEX(EmployeeData[Exit Reason], ROW() - 37)=0, "",INDEX(EmployeeData[Exit Reason], ROW() - 37)),"")</f>
        <v/>
      </c>
      <c r="J4703" s="4" t="str" cm="1">
        <f t="array" ref="J4703">IFERROR(INDEX(EmployeeData[Status], ROW() - 37), "")</f>
        <v/>
      </c>
    </row>
    <row r="4704" spans="2:10" ht="19.95" customHeight="1" x14ac:dyDescent="0.3">
      <c r="B4704" s="4" t="str" cm="1">
        <f t="array" ref="B4704">IFERROR(INDEX(EmployeeData[Employee ID], ROW() - 37), "")</f>
        <v/>
      </c>
      <c r="C4704" s="4" t="str" cm="1">
        <f t="array" ref="C4704">IFERROR(INDEX(EmployeeData[Full Name], ROW() - 37), "")</f>
        <v/>
      </c>
      <c r="D4704" s="4" t="str" cm="1">
        <f t="array" ref="D4704">IFERROR(INDEX(EmployeeData[Department], ROW() - 37), "")</f>
        <v/>
      </c>
      <c r="E4704" s="4" t="str" cm="1">
        <f t="array" ref="E4704">IFERROR(INDEX(EmployeeData[Gender], ROW() - 37), "")</f>
        <v/>
      </c>
      <c r="F4704" s="4" t="str" cm="1">
        <f t="array" ref="F4704">IFERROR(INDEX(EmployeeData[Age], ROW() - 37), "")</f>
        <v/>
      </c>
      <c r="G4704" s="6" t="str" cm="1">
        <f t="array" ref="G4704">IFERROR(INDEX(EmployeeData[Join Date], ROW() - 37), "")</f>
        <v/>
      </c>
      <c r="H4704" s="6" t="str" cm="1">
        <f t="array" ref="H4704">IFERROR(IF(INDEX(EmployeeData[Exit Date], ROW() - 37)=0, "",INDEX(EmployeeData[Exit Date], ROW() - 37)),"")</f>
        <v/>
      </c>
      <c r="I4704" s="4" t="str" cm="1">
        <f t="array" ref="I4704">IFERROR(IF(INDEX(EmployeeData[Exit Reason], ROW() - 37)=0, "",INDEX(EmployeeData[Exit Reason], ROW() - 37)),"")</f>
        <v/>
      </c>
      <c r="J4704" s="4" t="str" cm="1">
        <f t="array" ref="J4704">IFERROR(INDEX(EmployeeData[Status], ROW() - 37), "")</f>
        <v/>
      </c>
    </row>
    <row r="4705" spans="2:10" ht="19.95" customHeight="1" x14ac:dyDescent="0.3">
      <c r="B4705" s="4" t="str" cm="1">
        <f t="array" ref="B4705">IFERROR(INDEX(EmployeeData[Employee ID], ROW() - 37), "")</f>
        <v/>
      </c>
      <c r="C4705" s="4" t="str" cm="1">
        <f t="array" ref="C4705">IFERROR(INDEX(EmployeeData[Full Name], ROW() - 37), "")</f>
        <v/>
      </c>
      <c r="D4705" s="4" t="str" cm="1">
        <f t="array" ref="D4705">IFERROR(INDEX(EmployeeData[Department], ROW() - 37), "")</f>
        <v/>
      </c>
      <c r="E4705" s="4" t="str" cm="1">
        <f t="array" ref="E4705">IFERROR(INDEX(EmployeeData[Gender], ROW() - 37), "")</f>
        <v/>
      </c>
      <c r="F4705" s="4" t="str" cm="1">
        <f t="array" ref="F4705">IFERROR(INDEX(EmployeeData[Age], ROW() - 37), "")</f>
        <v/>
      </c>
      <c r="G4705" s="6" t="str" cm="1">
        <f t="array" ref="G4705">IFERROR(INDEX(EmployeeData[Join Date], ROW() - 37), "")</f>
        <v/>
      </c>
      <c r="H4705" s="6" t="str" cm="1">
        <f t="array" ref="H4705">IFERROR(IF(INDEX(EmployeeData[Exit Date], ROW() - 37)=0, "",INDEX(EmployeeData[Exit Date], ROW() - 37)),"")</f>
        <v/>
      </c>
      <c r="I4705" s="4" t="str" cm="1">
        <f t="array" ref="I4705">IFERROR(IF(INDEX(EmployeeData[Exit Reason], ROW() - 37)=0, "",INDEX(EmployeeData[Exit Reason], ROW() - 37)),"")</f>
        <v/>
      </c>
      <c r="J4705" s="4" t="str" cm="1">
        <f t="array" ref="J4705">IFERROR(INDEX(EmployeeData[Status], ROW() - 37), "")</f>
        <v/>
      </c>
    </row>
    <row r="4706" spans="2:10" ht="19.95" customHeight="1" x14ac:dyDescent="0.3">
      <c r="B4706" s="4" t="str" cm="1">
        <f t="array" ref="B4706">IFERROR(INDEX(EmployeeData[Employee ID], ROW() - 37), "")</f>
        <v/>
      </c>
      <c r="C4706" s="4" t="str" cm="1">
        <f t="array" ref="C4706">IFERROR(INDEX(EmployeeData[Full Name], ROW() - 37), "")</f>
        <v/>
      </c>
      <c r="D4706" s="4" t="str" cm="1">
        <f t="array" ref="D4706">IFERROR(INDEX(EmployeeData[Department], ROW() - 37), "")</f>
        <v/>
      </c>
      <c r="E4706" s="4" t="str" cm="1">
        <f t="array" ref="E4706">IFERROR(INDEX(EmployeeData[Gender], ROW() - 37), "")</f>
        <v/>
      </c>
      <c r="F4706" s="4" t="str" cm="1">
        <f t="array" ref="F4706">IFERROR(INDEX(EmployeeData[Age], ROW() - 37), "")</f>
        <v/>
      </c>
      <c r="G4706" s="6" t="str" cm="1">
        <f t="array" ref="G4706">IFERROR(INDEX(EmployeeData[Join Date], ROW() - 37), "")</f>
        <v/>
      </c>
      <c r="H4706" s="6" t="str" cm="1">
        <f t="array" ref="H4706">IFERROR(IF(INDEX(EmployeeData[Exit Date], ROW() - 37)=0, "",INDEX(EmployeeData[Exit Date], ROW() - 37)),"")</f>
        <v/>
      </c>
      <c r="I4706" s="4" t="str" cm="1">
        <f t="array" ref="I4706">IFERROR(IF(INDEX(EmployeeData[Exit Reason], ROW() - 37)=0, "",INDEX(EmployeeData[Exit Reason], ROW() - 37)),"")</f>
        <v/>
      </c>
      <c r="J4706" s="4" t="str" cm="1">
        <f t="array" ref="J4706">IFERROR(INDEX(EmployeeData[Status], ROW() - 37), "")</f>
        <v/>
      </c>
    </row>
    <row r="4707" spans="2:10" ht="19.95" customHeight="1" x14ac:dyDescent="0.3">
      <c r="B4707" s="4" t="str" cm="1">
        <f t="array" ref="B4707">IFERROR(INDEX(EmployeeData[Employee ID], ROW() - 37), "")</f>
        <v/>
      </c>
      <c r="C4707" s="4" t="str" cm="1">
        <f t="array" ref="C4707">IFERROR(INDEX(EmployeeData[Full Name], ROW() - 37), "")</f>
        <v/>
      </c>
      <c r="D4707" s="4" t="str" cm="1">
        <f t="array" ref="D4707">IFERROR(INDEX(EmployeeData[Department], ROW() - 37), "")</f>
        <v/>
      </c>
      <c r="E4707" s="4" t="str" cm="1">
        <f t="array" ref="E4707">IFERROR(INDEX(EmployeeData[Gender], ROW() - 37), "")</f>
        <v/>
      </c>
      <c r="F4707" s="4" t="str" cm="1">
        <f t="array" ref="F4707">IFERROR(INDEX(EmployeeData[Age], ROW() - 37), "")</f>
        <v/>
      </c>
      <c r="G4707" s="6" t="str" cm="1">
        <f t="array" ref="G4707">IFERROR(INDEX(EmployeeData[Join Date], ROW() - 37), "")</f>
        <v/>
      </c>
      <c r="H4707" s="6" t="str" cm="1">
        <f t="array" ref="H4707">IFERROR(IF(INDEX(EmployeeData[Exit Date], ROW() - 37)=0, "",INDEX(EmployeeData[Exit Date], ROW() - 37)),"")</f>
        <v/>
      </c>
      <c r="I4707" s="4" t="str" cm="1">
        <f t="array" ref="I4707">IFERROR(IF(INDEX(EmployeeData[Exit Reason], ROW() - 37)=0, "",INDEX(EmployeeData[Exit Reason], ROW() - 37)),"")</f>
        <v/>
      </c>
      <c r="J4707" s="4" t="str" cm="1">
        <f t="array" ref="J4707">IFERROR(INDEX(EmployeeData[Status], ROW() - 37), "")</f>
        <v/>
      </c>
    </row>
    <row r="4708" spans="2:10" ht="19.95" customHeight="1" x14ac:dyDescent="0.3">
      <c r="B4708" s="4" t="str" cm="1">
        <f t="array" ref="B4708">IFERROR(INDEX(EmployeeData[Employee ID], ROW() - 37), "")</f>
        <v/>
      </c>
      <c r="C4708" s="4" t="str" cm="1">
        <f t="array" ref="C4708">IFERROR(INDEX(EmployeeData[Full Name], ROW() - 37), "")</f>
        <v/>
      </c>
      <c r="D4708" s="4" t="str" cm="1">
        <f t="array" ref="D4708">IFERROR(INDEX(EmployeeData[Department], ROW() - 37), "")</f>
        <v/>
      </c>
      <c r="E4708" s="4" t="str" cm="1">
        <f t="array" ref="E4708">IFERROR(INDEX(EmployeeData[Gender], ROW() - 37), "")</f>
        <v/>
      </c>
      <c r="F4708" s="4" t="str" cm="1">
        <f t="array" ref="F4708">IFERROR(INDEX(EmployeeData[Age], ROW() - 37), "")</f>
        <v/>
      </c>
      <c r="G4708" s="6" t="str" cm="1">
        <f t="array" ref="G4708">IFERROR(INDEX(EmployeeData[Join Date], ROW() - 37), "")</f>
        <v/>
      </c>
      <c r="H4708" s="6" t="str" cm="1">
        <f t="array" ref="H4708">IFERROR(IF(INDEX(EmployeeData[Exit Date], ROW() - 37)=0, "",INDEX(EmployeeData[Exit Date], ROW() - 37)),"")</f>
        <v/>
      </c>
      <c r="I4708" s="4" t="str" cm="1">
        <f t="array" ref="I4708">IFERROR(IF(INDEX(EmployeeData[Exit Reason], ROW() - 37)=0, "",INDEX(EmployeeData[Exit Reason], ROW() - 37)),"")</f>
        <v/>
      </c>
      <c r="J4708" s="4" t="str" cm="1">
        <f t="array" ref="J4708">IFERROR(INDEX(EmployeeData[Status], ROW() - 37), "")</f>
        <v/>
      </c>
    </row>
    <row r="4709" spans="2:10" ht="19.95" customHeight="1" x14ac:dyDescent="0.3">
      <c r="B4709" s="4" t="str" cm="1">
        <f t="array" ref="B4709">IFERROR(INDEX(EmployeeData[Employee ID], ROW() - 37), "")</f>
        <v/>
      </c>
      <c r="C4709" s="4" t="str" cm="1">
        <f t="array" ref="C4709">IFERROR(INDEX(EmployeeData[Full Name], ROW() - 37), "")</f>
        <v/>
      </c>
      <c r="D4709" s="4" t="str" cm="1">
        <f t="array" ref="D4709">IFERROR(INDEX(EmployeeData[Department], ROW() - 37), "")</f>
        <v/>
      </c>
      <c r="E4709" s="4" t="str" cm="1">
        <f t="array" ref="E4709">IFERROR(INDEX(EmployeeData[Gender], ROW() - 37), "")</f>
        <v/>
      </c>
      <c r="F4709" s="4" t="str" cm="1">
        <f t="array" ref="F4709">IFERROR(INDEX(EmployeeData[Age], ROW() - 37), "")</f>
        <v/>
      </c>
      <c r="G4709" s="6" t="str" cm="1">
        <f t="array" ref="G4709">IFERROR(INDEX(EmployeeData[Join Date], ROW() - 37), "")</f>
        <v/>
      </c>
      <c r="H4709" s="6" t="str" cm="1">
        <f t="array" ref="H4709">IFERROR(IF(INDEX(EmployeeData[Exit Date], ROW() - 37)=0, "",INDEX(EmployeeData[Exit Date], ROW() - 37)),"")</f>
        <v/>
      </c>
      <c r="I4709" s="4" t="str" cm="1">
        <f t="array" ref="I4709">IFERROR(IF(INDEX(EmployeeData[Exit Reason], ROW() - 37)=0, "",INDEX(EmployeeData[Exit Reason], ROW() - 37)),"")</f>
        <v/>
      </c>
      <c r="J4709" s="4" t="str" cm="1">
        <f t="array" ref="J4709">IFERROR(INDEX(EmployeeData[Status], ROW() - 37), "")</f>
        <v/>
      </c>
    </row>
    <row r="4710" spans="2:10" ht="19.95" customHeight="1" x14ac:dyDescent="0.3">
      <c r="B4710" s="4" t="str" cm="1">
        <f t="array" ref="B4710">IFERROR(INDEX(EmployeeData[Employee ID], ROW() - 37), "")</f>
        <v/>
      </c>
      <c r="C4710" s="4" t="str" cm="1">
        <f t="array" ref="C4710">IFERROR(INDEX(EmployeeData[Full Name], ROW() - 37), "")</f>
        <v/>
      </c>
      <c r="D4710" s="4" t="str" cm="1">
        <f t="array" ref="D4710">IFERROR(INDEX(EmployeeData[Department], ROW() - 37), "")</f>
        <v/>
      </c>
      <c r="E4710" s="4" t="str" cm="1">
        <f t="array" ref="E4710">IFERROR(INDEX(EmployeeData[Gender], ROW() - 37), "")</f>
        <v/>
      </c>
      <c r="F4710" s="4" t="str" cm="1">
        <f t="array" ref="F4710">IFERROR(INDEX(EmployeeData[Age], ROW() - 37), "")</f>
        <v/>
      </c>
      <c r="G4710" s="6" t="str" cm="1">
        <f t="array" ref="G4710">IFERROR(INDEX(EmployeeData[Join Date], ROW() - 37), "")</f>
        <v/>
      </c>
      <c r="H4710" s="6" t="str" cm="1">
        <f t="array" ref="H4710">IFERROR(IF(INDEX(EmployeeData[Exit Date], ROW() - 37)=0, "",INDEX(EmployeeData[Exit Date], ROW() - 37)),"")</f>
        <v/>
      </c>
      <c r="I4710" s="4" t="str" cm="1">
        <f t="array" ref="I4710">IFERROR(IF(INDEX(EmployeeData[Exit Reason], ROW() - 37)=0, "",INDEX(EmployeeData[Exit Reason], ROW() - 37)),"")</f>
        <v/>
      </c>
      <c r="J4710" s="4" t="str" cm="1">
        <f t="array" ref="J4710">IFERROR(INDEX(EmployeeData[Status], ROW() - 37), "")</f>
        <v/>
      </c>
    </row>
    <row r="4711" spans="2:10" ht="19.95" customHeight="1" x14ac:dyDescent="0.3">
      <c r="B4711" s="4" t="str" cm="1">
        <f t="array" ref="B4711">IFERROR(INDEX(EmployeeData[Employee ID], ROW() - 37), "")</f>
        <v/>
      </c>
      <c r="C4711" s="4" t="str" cm="1">
        <f t="array" ref="C4711">IFERROR(INDEX(EmployeeData[Full Name], ROW() - 37), "")</f>
        <v/>
      </c>
      <c r="D4711" s="4" t="str" cm="1">
        <f t="array" ref="D4711">IFERROR(INDEX(EmployeeData[Department], ROW() - 37), "")</f>
        <v/>
      </c>
      <c r="E4711" s="4" t="str" cm="1">
        <f t="array" ref="E4711">IFERROR(INDEX(EmployeeData[Gender], ROW() - 37), "")</f>
        <v/>
      </c>
      <c r="F4711" s="4" t="str" cm="1">
        <f t="array" ref="F4711">IFERROR(INDEX(EmployeeData[Age], ROW() - 37), "")</f>
        <v/>
      </c>
      <c r="G4711" s="6" t="str" cm="1">
        <f t="array" ref="G4711">IFERROR(INDEX(EmployeeData[Join Date], ROW() - 37), "")</f>
        <v/>
      </c>
      <c r="H4711" s="6" t="str" cm="1">
        <f t="array" ref="H4711">IFERROR(IF(INDEX(EmployeeData[Exit Date], ROW() - 37)=0, "",INDEX(EmployeeData[Exit Date], ROW() - 37)),"")</f>
        <v/>
      </c>
      <c r="I4711" s="4" t="str" cm="1">
        <f t="array" ref="I4711">IFERROR(IF(INDEX(EmployeeData[Exit Reason], ROW() - 37)=0, "",INDEX(EmployeeData[Exit Reason], ROW() - 37)),"")</f>
        <v/>
      </c>
      <c r="J4711" s="4" t="str" cm="1">
        <f t="array" ref="J4711">IFERROR(INDEX(EmployeeData[Status], ROW() - 37), "")</f>
        <v/>
      </c>
    </row>
    <row r="4712" spans="2:10" ht="19.95" customHeight="1" x14ac:dyDescent="0.3">
      <c r="B4712" s="4" t="str" cm="1">
        <f t="array" ref="B4712">IFERROR(INDEX(EmployeeData[Employee ID], ROW() - 37), "")</f>
        <v/>
      </c>
      <c r="C4712" s="4" t="str" cm="1">
        <f t="array" ref="C4712">IFERROR(INDEX(EmployeeData[Full Name], ROW() - 37), "")</f>
        <v/>
      </c>
      <c r="D4712" s="4" t="str" cm="1">
        <f t="array" ref="D4712">IFERROR(INDEX(EmployeeData[Department], ROW() - 37), "")</f>
        <v/>
      </c>
      <c r="E4712" s="4" t="str" cm="1">
        <f t="array" ref="E4712">IFERROR(INDEX(EmployeeData[Gender], ROW() - 37), "")</f>
        <v/>
      </c>
      <c r="F4712" s="4" t="str" cm="1">
        <f t="array" ref="F4712">IFERROR(INDEX(EmployeeData[Age], ROW() - 37), "")</f>
        <v/>
      </c>
      <c r="G4712" s="6" t="str" cm="1">
        <f t="array" ref="G4712">IFERROR(INDEX(EmployeeData[Join Date], ROW() - 37), "")</f>
        <v/>
      </c>
      <c r="H4712" s="6" t="str" cm="1">
        <f t="array" ref="H4712">IFERROR(IF(INDEX(EmployeeData[Exit Date], ROW() - 37)=0, "",INDEX(EmployeeData[Exit Date], ROW() - 37)),"")</f>
        <v/>
      </c>
      <c r="I4712" s="4" t="str" cm="1">
        <f t="array" ref="I4712">IFERROR(IF(INDEX(EmployeeData[Exit Reason], ROW() - 37)=0, "",INDEX(EmployeeData[Exit Reason], ROW() - 37)),"")</f>
        <v/>
      </c>
      <c r="J4712" s="4" t="str" cm="1">
        <f t="array" ref="J4712">IFERROR(INDEX(EmployeeData[Status], ROW() - 37), "")</f>
        <v/>
      </c>
    </row>
    <row r="4713" spans="2:10" ht="19.95" customHeight="1" x14ac:dyDescent="0.3">
      <c r="B4713" s="4" t="str" cm="1">
        <f t="array" ref="B4713">IFERROR(INDEX(EmployeeData[Employee ID], ROW() - 37), "")</f>
        <v/>
      </c>
      <c r="C4713" s="4" t="str" cm="1">
        <f t="array" ref="C4713">IFERROR(INDEX(EmployeeData[Full Name], ROW() - 37), "")</f>
        <v/>
      </c>
      <c r="D4713" s="4" t="str" cm="1">
        <f t="array" ref="D4713">IFERROR(INDEX(EmployeeData[Department], ROW() - 37), "")</f>
        <v/>
      </c>
      <c r="E4713" s="4" t="str" cm="1">
        <f t="array" ref="E4713">IFERROR(INDEX(EmployeeData[Gender], ROW() - 37), "")</f>
        <v/>
      </c>
      <c r="F4713" s="4" t="str" cm="1">
        <f t="array" ref="F4713">IFERROR(INDEX(EmployeeData[Age], ROW() - 37), "")</f>
        <v/>
      </c>
      <c r="G4713" s="6" t="str" cm="1">
        <f t="array" ref="G4713">IFERROR(INDEX(EmployeeData[Join Date], ROW() - 37), "")</f>
        <v/>
      </c>
      <c r="H4713" s="6" t="str" cm="1">
        <f t="array" ref="H4713">IFERROR(IF(INDEX(EmployeeData[Exit Date], ROW() - 37)=0, "",INDEX(EmployeeData[Exit Date], ROW() - 37)),"")</f>
        <v/>
      </c>
      <c r="I4713" s="4" t="str" cm="1">
        <f t="array" ref="I4713">IFERROR(IF(INDEX(EmployeeData[Exit Reason], ROW() - 37)=0, "",INDEX(EmployeeData[Exit Reason], ROW() - 37)),"")</f>
        <v/>
      </c>
      <c r="J4713" s="4" t="str" cm="1">
        <f t="array" ref="J4713">IFERROR(INDEX(EmployeeData[Status], ROW() - 37), "")</f>
        <v/>
      </c>
    </row>
    <row r="4714" spans="2:10" ht="19.95" customHeight="1" x14ac:dyDescent="0.3">
      <c r="B4714" s="4" t="str" cm="1">
        <f t="array" ref="B4714">IFERROR(INDEX(EmployeeData[Employee ID], ROW() - 37), "")</f>
        <v/>
      </c>
      <c r="C4714" s="4" t="str" cm="1">
        <f t="array" ref="C4714">IFERROR(INDEX(EmployeeData[Full Name], ROW() - 37), "")</f>
        <v/>
      </c>
      <c r="D4714" s="4" t="str" cm="1">
        <f t="array" ref="D4714">IFERROR(INDEX(EmployeeData[Department], ROW() - 37), "")</f>
        <v/>
      </c>
      <c r="E4714" s="4" t="str" cm="1">
        <f t="array" ref="E4714">IFERROR(INDEX(EmployeeData[Gender], ROW() - 37), "")</f>
        <v/>
      </c>
      <c r="F4714" s="4" t="str" cm="1">
        <f t="array" ref="F4714">IFERROR(INDEX(EmployeeData[Age], ROW() - 37), "")</f>
        <v/>
      </c>
      <c r="G4714" s="6" t="str" cm="1">
        <f t="array" ref="G4714">IFERROR(INDEX(EmployeeData[Join Date], ROW() - 37), "")</f>
        <v/>
      </c>
      <c r="H4714" s="6" t="str" cm="1">
        <f t="array" ref="H4714">IFERROR(IF(INDEX(EmployeeData[Exit Date], ROW() - 37)=0, "",INDEX(EmployeeData[Exit Date], ROW() - 37)),"")</f>
        <v/>
      </c>
      <c r="I4714" s="4" t="str" cm="1">
        <f t="array" ref="I4714">IFERROR(IF(INDEX(EmployeeData[Exit Reason], ROW() - 37)=0, "",INDEX(EmployeeData[Exit Reason], ROW() - 37)),"")</f>
        <v/>
      </c>
      <c r="J4714" s="4" t="str" cm="1">
        <f t="array" ref="J4714">IFERROR(INDEX(EmployeeData[Status], ROW() - 37), "")</f>
        <v/>
      </c>
    </row>
    <row r="4715" spans="2:10" ht="19.95" customHeight="1" x14ac:dyDescent="0.3">
      <c r="B4715" s="4" t="str" cm="1">
        <f t="array" ref="B4715">IFERROR(INDEX(EmployeeData[Employee ID], ROW() - 37), "")</f>
        <v/>
      </c>
      <c r="C4715" s="4" t="str" cm="1">
        <f t="array" ref="C4715">IFERROR(INDEX(EmployeeData[Full Name], ROW() - 37), "")</f>
        <v/>
      </c>
      <c r="D4715" s="4" t="str" cm="1">
        <f t="array" ref="D4715">IFERROR(INDEX(EmployeeData[Department], ROW() - 37), "")</f>
        <v/>
      </c>
      <c r="E4715" s="4" t="str" cm="1">
        <f t="array" ref="E4715">IFERROR(INDEX(EmployeeData[Gender], ROW() - 37), "")</f>
        <v/>
      </c>
      <c r="F4715" s="4" t="str" cm="1">
        <f t="array" ref="F4715">IFERROR(INDEX(EmployeeData[Age], ROW() - 37), "")</f>
        <v/>
      </c>
      <c r="G4715" s="6" t="str" cm="1">
        <f t="array" ref="G4715">IFERROR(INDEX(EmployeeData[Join Date], ROW() - 37), "")</f>
        <v/>
      </c>
      <c r="H4715" s="6" t="str" cm="1">
        <f t="array" ref="H4715">IFERROR(IF(INDEX(EmployeeData[Exit Date], ROW() - 37)=0, "",INDEX(EmployeeData[Exit Date], ROW() - 37)),"")</f>
        <v/>
      </c>
      <c r="I4715" s="4" t="str" cm="1">
        <f t="array" ref="I4715">IFERROR(IF(INDEX(EmployeeData[Exit Reason], ROW() - 37)=0, "",INDEX(EmployeeData[Exit Reason], ROW() - 37)),"")</f>
        <v/>
      </c>
      <c r="J4715" s="4" t="str" cm="1">
        <f t="array" ref="J4715">IFERROR(INDEX(EmployeeData[Status], ROW() - 37), "")</f>
        <v/>
      </c>
    </row>
    <row r="4716" spans="2:10" ht="19.95" customHeight="1" x14ac:dyDescent="0.3">
      <c r="B4716" s="4" t="str" cm="1">
        <f t="array" ref="B4716">IFERROR(INDEX(EmployeeData[Employee ID], ROW() - 37), "")</f>
        <v/>
      </c>
      <c r="C4716" s="4" t="str" cm="1">
        <f t="array" ref="C4716">IFERROR(INDEX(EmployeeData[Full Name], ROW() - 37), "")</f>
        <v/>
      </c>
      <c r="D4716" s="4" t="str" cm="1">
        <f t="array" ref="D4716">IFERROR(INDEX(EmployeeData[Department], ROW() - 37), "")</f>
        <v/>
      </c>
      <c r="E4716" s="4" t="str" cm="1">
        <f t="array" ref="E4716">IFERROR(INDEX(EmployeeData[Gender], ROW() - 37), "")</f>
        <v/>
      </c>
      <c r="F4716" s="4" t="str" cm="1">
        <f t="array" ref="F4716">IFERROR(INDEX(EmployeeData[Age], ROW() - 37), "")</f>
        <v/>
      </c>
      <c r="G4716" s="6" t="str" cm="1">
        <f t="array" ref="G4716">IFERROR(INDEX(EmployeeData[Join Date], ROW() - 37), "")</f>
        <v/>
      </c>
      <c r="H4716" s="6" t="str" cm="1">
        <f t="array" ref="H4716">IFERROR(IF(INDEX(EmployeeData[Exit Date], ROW() - 37)=0, "",INDEX(EmployeeData[Exit Date], ROW() - 37)),"")</f>
        <v/>
      </c>
      <c r="I4716" s="4" t="str" cm="1">
        <f t="array" ref="I4716">IFERROR(IF(INDEX(EmployeeData[Exit Reason], ROW() - 37)=0, "",INDEX(EmployeeData[Exit Reason], ROW() - 37)),"")</f>
        <v/>
      </c>
      <c r="J4716" s="4" t="str" cm="1">
        <f t="array" ref="J4716">IFERROR(INDEX(EmployeeData[Status], ROW() - 37), "")</f>
        <v/>
      </c>
    </row>
    <row r="4717" spans="2:10" ht="19.95" customHeight="1" x14ac:dyDescent="0.3">
      <c r="B4717" s="4" t="str" cm="1">
        <f t="array" ref="B4717">IFERROR(INDEX(EmployeeData[Employee ID], ROW() - 37), "")</f>
        <v/>
      </c>
      <c r="C4717" s="4" t="str" cm="1">
        <f t="array" ref="C4717">IFERROR(INDEX(EmployeeData[Full Name], ROW() - 37), "")</f>
        <v/>
      </c>
      <c r="D4717" s="4" t="str" cm="1">
        <f t="array" ref="D4717">IFERROR(INDEX(EmployeeData[Department], ROW() - 37), "")</f>
        <v/>
      </c>
      <c r="E4717" s="4" t="str" cm="1">
        <f t="array" ref="E4717">IFERROR(INDEX(EmployeeData[Gender], ROW() - 37), "")</f>
        <v/>
      </c>
      <c r="F4717" s="4" t="str" cm="1">
        <f t="array" ref="F4717">IFERROR(INDEX(EmployeeData[Age], ROW() - 37), "")</f>
        <v/>
      </c>
      <c r="G4717" s="6" t="str" cm="1">
        <f t="array" ref="G4717">IFERROR(INDEX(EmployeeData[Join Date], ROW() - 37), "")</f>
        <v/>
      </c>
      <c r="H4717" s="6" t="str" cm="1">
        <f t="array" ref="H4717">IFERROR(IF(INDEX(EmployeeData[Exit Date], ROW() - 37)=0, "",INDEX(EmployeeData[Exit Date], ROW() - 37)),"")</f>
        <v/>
      </c>
      <c r="I4717" s="4" t="str" cm="1">
        <f t="array" ref="I4717">IFERROR(IF(INDEX(EmployeeData[Exit Reason], ROW() - 37)=0, "",INDEX(EmployeeData[Exit Reason], ROW() - 37)),"")</f>
        <v/>
      </c>
      <c r="J4717" s="4" t="str" cm="1">
        <f t="array" ref="J4717">IFERROR(INDEX(EmployeeData[Status], ROW() - 37), "")</f>
        <v/>
      </c>
    </row>
    <row r="4718" spans="2:10" ht="19.95" customHeight="1" x14ac:dyDescent="0.3">
      <c r="B4718" s="4" t="str" cm="1">
        <f t="array" ref="B4718">IFERROR(INDEX(EmployeeData[Employee ID], ROW() - 37), "")</f>
        <v/>
      </c>
      <c r="C4718" s="4" t="str" cm="1">
        <f t="array" ref="C4718">IFERROR(INDEX(EmployeeData[Full Name], ROW() - 37), "")</f>
        <v/>
      </c>
      <c r="D4718" s="4" t="str" cm="1">
        <f t="array" ref="D4718">IFERROR(INDEX(EmployeeData[Department], ROW() - 37), "")</f>
        <v/>
      </c>
      <c r="E4718" s="4" t="str" cm="1">
        <f t="array" ref="E4718">IFERROR(INDEX(EmployeeData[Gender], ROW() - 37), "")</f>
        <v/>
      </c>
      <c r="F4718" s="4" t="str" cm="1">
        <f t="array" ref="F4718">IFERROR(INDEX(EmployeeData[Age], ROW() - 37), "")</f>
        <v/>
      </c>
      <c r="G4718" s="6" t="str" cm="1">
        <f t="array" ref="G4718">IFERROR(INDEX(EmployeeData[Join Date], ROW() - 37), "")</f>
        <v/>
      </c>
      <c r="H4718" s="6" t="str" cm="1">
        <f t="array" ref="H4718">IFERROR(IF(INDEX(EmployeeData[Exit Date], ROW() - 37)=0, "",INDEX(EmployeeData[Exit Date], ROW() - 37)),"")</f>
        <v/>
      </c>
      <c r="I4718" s="4" t="str" cm="1">
        <f t="array" ref="I4718">IFERROR(IF(INDEX(EmployeeData[Exit Reason], ROW() - 37)=0, "",INDEX(EmployeeData[Exit Reason], ROW() - 37)),"")</f>
        <v/>
      </c>
      <c r="J4718" s="4" t="str" cm="1">
        <f t="array" ref="J4718">IFERROR(INDEX(EmployeeData[Status], ROW() - 37), "")</f>
        <v/>
      </c>
    </row>
    <row r="4719" spans="2:10" ht="19.95" customHeight="1" x14ac:dyDescent="0.3">
      <c r="B4719" s="4" t="str" cm="1">
        <f t="array" ref="B4719">IFERROR(INDEX(EmployeeData[Employee ID], ROW() - 37), "")</f>
        <v/>
      </c>
      <c r="C4719" s="4" t="str" cm="1">
        <f t="array" ref="C4719">IFERROR(INDEX(EmployeeData[Full Name], ROW() - 37), "")</f>
        <v/>
      </c>
      <c r="D4719" s="4" t="str" cm="1">
        <f t="array" ref="D4719">IFERROR(INDEX(EmployeeData[Department], ROW() - 37), "")</f>
        <v/>
      </c>
      <c r="E4719" s="4" t="str" cm="1">
        <f t="array" ref="E4719">IFERROR(INDEX(EmployeeData[Gender], ROW() - 37), "")</f>
        <v/>
      </c>
      <c r="F4719" s="4" t="str" cm="1">
        <f t="array" ref="F4719">IFERROR(INDEX(EmployeeData[Age], ROW() - 37), "")</f>
        <v/>
      </c>
      <c r="G4719" s="6" t="str" cm="1">
        <f t="array" ref="G4719">IFERROR(INDEX(EmployeeData[Join Date], ROW() - 37), "")</f>
        <v/>
      </c>
      <c r="H4719" s="6" t="str" cm="1">
        <f t="array" ref="H4719">IFERROR(IF(INDEX(EmployeeData[Exit Date], ROW() - 37)=0, "",INDEX(EmployeeData[Exit Date], ROW() - 37)),"")</f>
        <v/>
      </c>
      <c r="I4719" s="4" t="str" cm="1">
        <f t="array" ref="I4719">IFERROR(IF(INDEX(EmployeeData[Exit Reason], ROW() - 37)=0, "",INDEX(EmployeeData[Exit Reason], ROW() - 37)),"")</f>
        <v/>
      </c>
      <c r="J4719" s="4" t="str" cm="1">
        <f t="array" ref="J4719">IFERROR(INDEX(EmployeeData[Status], ROW() - 37), "")</f>
        <v/>
      </c>
    </row>
    <row r="4720" spans="2:10" ht="19.95" customHeight="1" x14ac:dyDescent="0.3">
      <c r="B4720" s="4" t="str" cm="1">
        <f t="array" ref="B4720">IFERROR(INDEX(EmployeeData[Employee ID], ROW() - 37), "")</f>
        <v/>
      </c>
      <c r="C4720" s="4" t="str" cm="1">
        <f t="array" ref="C4720">IFERROR(INDEX(EmployeeData[Full Name], ROW() - 37), "")</f>
        <v/>
      </c>
      <c r="D4720" s="4" t="str" cm="1">
        <f t="array" ref="D4720">IFERROR(INDEX(EmployeeData[Department], ROW() - 37), "")</f>
        <v/>
      </c>
      <c r="E4720" s="4" t="str" cm="1">
        <f t="array" ref="E4720">IFERROR(INDEX(EmployeeData[Gender], ROW() - 37), "")</f>
        <v/>
      </c>
      <c r="F4720" s="4" t="str" cm="1">
        <f t="array" ref="F4720">IFERROR(INDEX(EmployeeData[Age], ROW() - 37), "")</f>
        <v/>
      </c>
      <c r="G4720" s="6" t="str" cm="1">
        <f t="array" ref="G4720">IFERROR(INDEX(EmployeeData[Join Date], ROW() - 37), "")</f>
        <v/>
      </c>
      <c r="H4720" s="6" t="str" cm="1">
        <f t="array" ref="H4720">IFERROR(IF(INDEX(EmployeeData[Exit Date], ROW() - 37)=0, "",INDEX(EmployeeData[Exit Date], ROW() - 37)),"")</f>
        <v/>
      </c>
      <c r="I4720" s="4" t="str" cm="1">
        <f t="array" ref="I4720">IFERROR(IF(INDEX(EmployeeData[Exit Reason], ROW() - 37)=0, "",INDEX(EmployeeData[Exit Reason], ROW() - 37)),"")</f>
        <v/>
      </c>
      <c r="J4720" s="4" t="str" cm="1">
        <f t="array" ref="J4720">IFERROR(INDEX(EmployeeData[Status], ROW() - 37), "")</f>
        <v/>
      </c>
    </row>
    <row r="4721" spans="2:10" ht="19.95" customHeight="1" x14ac:dyDescent="0.3">
      <c r="B4721" s="4" t="str" cm="1">
        <f t="array" ref="B4721">IFERROR(INDEX(EmployeeData[Employee ID], ROW() - 37), "")</f>
        <v/>
      </c>
      <c r="C4721" s="4" t="str" cm="1">
        <f t="array" ref="C4721">IFERROR(INDEX(EmployeeData[Full Name], ROW() - 37), "")</f>
        <v/>
      </c>
      <c r="D4721" s="4" t="str" cm="1">
        <f t="array" ref="D4721">IFERROR(INDEX(EmployeeData[Department], ROW() - 37), "")</f>
        <v/>
      </c>
      <c r="E4721" s="4" t="str" cm="1">
        <f t="array" ref="E4721">IFERROR(INDEX(EmployeeData[Gender], ROW() - 37), "")</f>
        <v/>
      </c>
      <c r="F4721" s="4" t="str" cm="1">
        <f t="array" ref="F4721">IFERROR(INDEX(EmployeeData[Age], ROW() - 37), "")</f>
        <v/>
      </c>
      <c r="G4721" s="6" t="str" cm="1">
        <f t="array" ref="G4721">IFERROR(INDEX(EmployeeData[Join Date], ROW() - 37), "")</f>
        <v/>
      </c>
      <c r="H4721" s="6" t="str" cm="1">
        <f t="array" ref="H4721">IFERROR(IF(INDEX(EmployeeData[Exit Date], ROW() - 37)=0, "",INDEX(EmployeeData[Exit Date], ROW() - 37)),"")</f>
        <v/>
      </c>
      <c r="I4721" s="4" t="str" cm="1">
        <f t="array" ref="I4721">IFERROR(IF(INDEX(EmployeeData[Exit Reason], ROW() - 37)=0, "",INDEX(EmployeeData[Exit Reason], ROW() - 37)),"")</f>
        <v/>
      </c>
      <c r="J4721" s="4" t="str" cm="1">
        <f t="array" ref="J4721">IFERROR(INDEX(EmployeeData[Status], ROW() - 37), "")</f>
        <v/>
      </c>
    </row>
    <row r="4722" spans="2:10" ht="19.95" customHeight="1" x14ac:dyDescent="0.3">
      <c r="B4722" s="4" t="str" cm="1">
        <f t="array" ref="B4722">IFERROR(INDEX(EmployeeData[Employee ID], ROW() - 37), "")</f>
        <v/>
      </c>
      <c r="C4722" s="4" t="str" cm="1">
        <f t="array" ref="C4722">IFERROR(INDEX(EmployeeData[Full Name], ROW() - 37), "")</f>
        <v/>
      </c>
      <c r="D4722" s="4" t="str" cm="1">
        <f t="array" ref="D4722">IFERROR(INDEX(EmployeeData[Department], ROW() - 37), "")</f>
        <v/>
      </c>
      <c r="E4722" s="4" t="str" cm="1">
        <f t="array" ref="E4722">IFERROR(INDEX(EmployeeData[Gender], ROW() - 37), "")</f>
        <v/>
      </c>
      <c r="F4722" s="4" t="str" cm="1">
        <f t="array" ref="F4722">IFERROR(INDEX(EmployeeData[Age], ROW() - 37), "")</f>
        <v/>
      </c>
      <c r="G4722" s="6" t="str" cm="1">
        <f t="array" ref="G4722">IFERROR(INDEX(EmployeeData[Join Date], ROW() - 37), "")</f>
        <v/>
      </c>
      <c r="H4722" s="6" t="str" cm="1">
        <f t="array" ref="H4722">IFERROR(IF(INDEX(EmployeeData[Exit Date], ROW() - 37)=0, "",INDEX(EmployeeData[Exit Date], ROW() - 37)),"")</f>
        <v/>
      </c>
      <c r="I4722" s="4" t="str" cm="1">
        <f t="array" ref="I4722">IFERROR(IF(INDEX(EmployeeData[Exit Reason], ROW() - 37)=0, "",INDEX(EmployeeData[Exit Reason], ROW() - 37)),"")</f>
        <v/>
      </c>
      <c r="J4722" s="4" t="str" cm="1">
        <f t="array" ref="J4722">IFERROR(INDEX(EmployeeData[Status], ROW() - 37), "")</f>
        <v/>
      </c>
    </row>
    <row r="4723" spans="2:10" ht="19.95" customHeight="1" x14ac:dyDescent="0.3">
      <c r="B4723" s="4" t="str" cm="1">
        <f t="array" ref="B4723">IFERROR(INDEX(EmployeeData[Employee ID], ROW() - 37), "")</f>
        <v/>
      </c>
      <c r="C4723" s="4" t="str" cm="1">
        <f t="array" ref="C4723">IFERROR(INDEX(EmployeeData[Full Name], ROW() - 37), "")</f>
        <v/>
      </c>
      <c r="D4723" s="4" t="str" cm="1">
        <f t="array" ref="D4723">IFERROR(INDEX(EmployeeData[Department], ROW() - 37), "")</f>
        <v/>
      </c>
      <c r="E4723" s="4" t="str" cm="1">
        <f t="array" ref="E4723">IFERROR(INDEX(EmployeeData[Gender], ROW() - 37), "")</f>
        <v/>
      </c>
      <c r="F4723" s="4" t="str" cm="1">
        <f t="array" ref="F4723">IFERROR(INDEX(EmployeeData[Age], ROW() - 37), "")</f>
        <v/>
      </c>
      <c r="G4723" s="6" t="str" cm="1">
        <f t="array" ref="G4723">IFERROR(INDEX(EmployeeData[Join Date], ROW() - 37), "")</f>
        <v/>
      </c>
      <c r="H4723" s="6" t="str" cm="1">
        <f t="array" ref="H4723">IFERROR(IF(INDEX(EmployeeData[Exit Date], ROW() - 37)=0, "",INDEX(EmployeeData[Exit Date], ROW() - 37)),"")</f>
        <v/>
      </c>
      <c r="I4723" s="4" t="str" cm="1">
        <f t="array" ref="I4723">IFERROR(IF(INDEX(EmployeeData[Exit Reason], ROW() - 37)=0, "",INDEX(EmployeeData[Exit Reason], ROW() - 37)),"")</f>
        <v/>
      </c>
      <c r="J4723" s="4" t="str" cm="1">
        <f t="array" ref="J4723">IFERROR(INDEX(EmployeeData[Status], ROW() - 37), "")</f>
        <v/>
      </c>
    </row>
    <row r="4724" spans="2:10" ht="19.95" customHeight="1" x14ac:dyDescent="0.3">
      <c r="B4724" s="4" t="str" cm="1">
        <f t="array" ref="B4724">IFERROR(INDEX(EmployeeData[Employee ID], ROW() - 37), "")</f>
        <v/>
      </c>
      <c r="C4724" s="4" t="str" cm="1">
        <f t="array" ref="C4724">IFERROR(INDEX(EmployeeData[Full Name], ROW() - 37), "")</f>
        <v/>
      </c>
      <c r="D4724" s="4" t="str" cm="1">
        <f t="array" ref="D4724">IFERROR(INDEX(EmployeeData[Department], ROW() - 37), "")</f>
        <v/>
      </c>
      <c r="E4724" s="4" t="str" cm="1">
        <f t="array" ref="E4724">IFERROR(INDEX(EmployeeData[Gender], ROW() - 37), "")</f>
        <v/>
      </c>
      <c r="F4724" s="4" t="str" cm="1">
        <f t="array" ref="F4724">IFERROR(INDEX(EmployeeData[Age], ROW() - 37), "")</f>
        <v/>
      </c>
      <c r="G4724" s="6" t="str" cm="1">
        <f t="array" ref="G4724">IFERROR(INDEX(EmployeeData[Join Date], ROW() - 37), "")</f>
        <v/>
      </c>
      <c r="H4724" s="6" t="str" cm="1">
        <f t="array" ref="H4724">IFERROR(IF(INDEX(EmployeeData[Exit Date], ROW() - 37)=0, "",INDEX(EmployeeData[Exit Date], ROW() - 37)),"")</f>
        <v/>
      </c>
      <c r="I4724" s="4" t="str" cm="1">
        <f t="array" ref="I4724">IFERROR(IF(INDEX(EmployeeData[Exit Reason], ROW() - 37)=0, "",INDEX(EmployeeData[Exit Reason], ROW() - 37)),"")</f>
        <v/>
      </c>
      <c r="J4724" s="4" t="str" cm="1">
        <f t="array" ref="J4724">IFERROR(INDEX(EmployeeData[Status], ROW() - 37), "")</f>
        <v/>
      </c>
    </row>
    <row r="4725" spans="2:10" ht="19.95" customHeight="1" x14ac:dyDescent="0.3">
      <c r="B4725" s="4" t="str" cm="1">
        <f t="array" ref="B4725">IFERROR(INDEX(EmployeeData[Employee ID], ROW() - 37), "")</f>
        <v/>
      </c>
      <c r="C4725" s="4" t="str" cm="1">
        <f t="array" ref="C4725">IFERROR(INDEX(EmployeeData[Full Name], ROW() - 37), "")</f>
        <v/>
      </c>
      <c r="D4725" s="4" t="str" cm="1">
        <f t="array" ref="D4725">IFERROR(INDEX(EmployeeData[Department], ROW() - 37), "")</f>
        <v/>
      </c>
      <c r="E4725" s="4" t="str" cm="1">
        <f t="array" ref="E4725">IFERROR(INDEX(EmployeeData[Gender], ROW() - 37), "")</f>
        <v/>
      </c>
      <c r="F4725" s="4" t="str" cm="1">
        <f t="array" ref="F4725">IFERROR(INDEX(EmployeeData[Age], ROW() - 37), "")</f>
        <v/>
      </c>
      <c r="G4725" s="6" t="str" cm="1">
        <f t="array" ref="G4725">IFERROR(INDEX(EmployeeData[Join Date], ROW() - 37), "")</f>
        <v/>
      </c>
      <c r="H4725" s="6" t="str" cm="1">
        <f t="array" ref="H4725">IFERROR(IF(INDEX(EmployeeData[Exit Date], ROW() - 37)=0, "",INDEX(EmployeeData[Exit Date], ROW() - 37)),"")</f>
        <v/>
      </c>
      <c r="I4725" s="4" t="str" cm="1">
        <f t="array" ref="I4725">IFERROR(IF(INDEX(EmployeeData[Exit Reason], ROW() - 37)=0, "",INDEX(EmployeeData[Exit Reason], ROW() - 37)),"")</f>
        <v/>
      </c>
      <c r="J4725" s="4" t="str" cm="1">
        <f t="array" ref="J4725">IFERROR(INDEX(EmployeeData[Status], ROW() - 37), "")</f>
        <v/>
      </c>
    </row>
    <row r="4726" spans="2:10" ht="19.95" customHeight="1" x14ac:dyDescent="0.3">
      <c r="B4726" s="4" t="str" cm="1">
        <f t="array" ref="B4726">IFERROR(INDEX(EmployeeData[Employee ID], ROW() - 37), "")</f>
        <v/>
      </c>
      <c r="C4726" s="4" t="str" cm="1">
        <f t="array" ref="C4726">IFERROR(INDEX(EmployeeData[Full Name], ROW() - 37), "")</f>
        <v/>
      </c>
      <c r="D4726" s="4" t="str" cm="1">
        <f t="array" ref="D4726">IFERROR(INDEX(EmployeeData[Department], ROW() - 37), "")</f>
        <v/>
      </c>
      <c r="E4726" s="4" t="str" cm="1">
        <f t="array" ref="E4726">IFERROR(INDEX(EmployeeData[Gender], ROW() - 37), "")</f>
        <v/>
      </c>
      <c r="F4726" s="4" t="str" cm="1">
        <f t="array" ref="F4726">IFERROR(INDEX(EmployeeData[Age], ROW() - 37), "")</f>
        <v/>
      </c>
      <c r="G4726" s="6" t="str" cm="1">
        <f t="array" ref="G4726">IFERROR(INDEX(EmployeeData[Join Date], ROW() - 37), "")</f>
        <v/>
      </c>
      <c r="H4726" s="6" t="str" cm="1">
        <f t="array" ref="H4726">IFERROR(IF(INDEX(EmployeeData[Exit Date], ROW() - 37)=0, "",INDEX(EmployeeData[Exit Date], ROW() - 37)),"")</f>
        <v/>
      </c>
      <c r="I4726" s="4" t="str" cm="1">
        <f t="array" ref="I4726">IFERROR(IF(INDEX(EmployeeData[Exit Reason], ROW() - 37)=0, "",INDEX(EmployeeData[Exit Reason], ROW() - 37)),"")</f>
        <v/>
      </c>
      <c r="J4726" s="4" t="str" cm="1">
        <f t="array" ref="J4726">IFERROR(INDEX(EmployeeData[Status], ROW() - 37), "")</f>
        <v/>
      </c>
    </row>
    <row r="4727" spans="2:10" ht="19.95" customHeight="1" x14ac:dyDescent="0.3">
      <c r="B4727" s="4" t="str" cm="1">
        <f t="array" ref="B4727">IFERROR(INDEX(EmployeeData[Employee ID], ROW() - 37), "")</f>
        <v/>
      </c>
      <c r="C4727" s="4" t="str" cm="1">
        <f t="array" ref="C4727">IFERROR(INDEX(EmployeeData[Full Name], ROW() - 37), "")</f>
        <v/>
      </c>
      <c r="D4727" s="4" t="str" cm="1">
        <f t="array" ref="D4727">IFERROR(INDEX(EmployeeData[Department], ROW() - 37), "")</f>
        <v/>
      </c>
      <c r="E4727" s="4" t="str" cm="1">
        <f t="array" ref="E4727">IFERROR(INDEX(EmployeeData[Gender], ROW() - 37), "")</f>
        <v/>
      </c>
      <c r="F4727" s="4" t="str" cm="1">
        <f t="array" ref="F4727">IFERROR(INDEX(EmployeeData[Age], ROW() - 37), "")</f>
        <v/>
      </c>
      <c r="G4727" s="6" t="str" cm="1">
        <f t="array" ref="G4727">IFERROR(INDEX(EmployeeData[Join Date], ROW() - 37), "")</f>
        <v/>
      </c>
      <c r="H4727" s="6" t="str" cm="1">
        <f t="array" ref="H4727">IFERROR(IF(INDEX(EmployeeData[Exit Date], ROW() - 37)=0, "",INDEX(EmployeeData[Exit Date], ROW() - 37)),"")</f>
        <v/>
      </c>
      <c r="I4727" s="4" t="str" cm="1">
        <f t="array" ref="I4727">IFERROR(IF(INDEX(EmployeeData[Exit Reason], ROW() - 37)=0, "",INDEX(EmployeeData[Exit Reason], ROW() - 37)),"")</f>
        <v/>
      </c>
      <c r="J4727" s="4" t="str" cm="1">
        <f t="array" ref="J4727">IFERROR(INDEX(EmployeeData[Status], ROW() - 37), "")</f>
        <v/>
      </c>
    </row>
    <row r="4728" spans="2:10" ht="19.95" customHeight="1" x14ac:dyDescent="0.3">
      <c r="B4728" s="4" t="str" cm="1">
        <f t="array" ref="B4728">IFERROR(INDEX(EmployeeData[Employee ID], ROW() - 37), "")</f>
        <v/>
      </c>
      <c r="C4728" s="4" t="str" cm="1">
        <f t="array" ref="C4728">IFERROR(INDEX(EmployeeData[Full Name], ROW() - 37), "")</f>
        <v/>
      </c>
      <c r="D4728" s="4" t="str" cm="1">
        <f t="array" ref="D4728">IFERROR(INDEX(EmployeeData[Department], ROW() - 37), "")</f>
        <v/>
      </c>
      <c r="E4728" s="4" t="str" cm="1">
        <f t="array" ref="E4728">IFERROR(INDEX(EmployeeData[Gender], ROW() - 37), "")</f>
        <v/>
      </c>
      <c r="F4728" s="4" t="str" cm="1">
        <f t="array" ref="F4728">IFERROR(INDEX(EmployeeData[Age], ROW() - 37), "")</f>
        <v/>
      </c>
      <c r="G4728" s="6" t="str" cm="1">
        <f t="array" ref="G4728">IFERROR(INDEX(EmployeeData[Join Date], ROW() - 37), "")</f>
        <v/>
      </c>
      <c r="H4728" s="6" t="str" cm="1">
        <f t="array" ref="H4728">IFERROR(IF(INDEX(EmployeeData[Exit Date], ROW() - 37)=0, "",INDEX(EmployeeData[Exit Date], ROW() - 37)),"")</f>
        <v/>
      </c>
      <c r="I4728" s="4" t="str" cm="1">
        <f t="array" ref="I4728">IFERROR(IF(INDEX(EmployeeData[Exit Reason], ROW() - 37)=0, "",INDEX(EmployeeData[Exit Reason], ROW() - 37)),"")</f>
        <v/>
      </c>
      <c r="J4728" s="4" t="str" cm="1">
        <f t="array" ref="J4728">IFERROR(INDEX(EmployeeData[Status], ROW() - 37), "")</f>
        <v/>
      </c>
    </row>
    <row r="4729" spans="2:10" ht="19.95" customHeight="1" x14ac:dyDescent="0.3">
      <c r="B4729" s="4" t="str" cm="1">
        <f t="array" ref="B4729">IFERROR(INDEX(EmployeeData[Employee ID], ROW() - 37), "")</f>
        <v/>
      </c>
      <c r="C4729" s="4" t="str" cm="1">
        <f t="array" ref="C4729">IFERROR(INDEX(EmployeeData[Full Name], ROW() - 37), "")</f>
        <v/>
      </c>
      <c r="D4729" s="4" t="str" cm="1">
        <f t="array" ref="D4729">IFERROR(INDEX(EmployeeData[Department], ROW() - 37), "")</f>
        <v/>
      </c>
      <c r="E4729" s="4" t="str" cm="1">
        <f t="array" ref="E4729">IFERROR(INDEX(EmployeeData[Gender], ROW() - 37), "")</f>
        <v/>
      </c>
      <c r="F4729" s="4" t="str" cm="1">
        <f t="array" ref="F4729">IFERROR(INDEX(EmployeeData[Age], ROW() - 37), "")</f>
        <v/>
      </c>
      <c r="G4729" s="6" t="str" cm="1">
        <f t="array" ref="G4729">IFERROR(INDEX(EmployeeData[Join Date], ROW() - 37), "")</f>
        <v/>
      </c>
      <c r="H4729" s="6" t="str" cm="1">
        <f t="array" ref="H4729">IFERROR(IF(INDEX(EmployeeData[Exit Date], ROW() - 37)=0, "",INDEX(EmployeeData[Exit Date], ROW() - 37)),"")</f>
        <v/>
      </c>
      <c r="I4729" s="4" t="str" cm="1">
        <f t="array" ref="I4729">IFERROR(IF(INDEX(EmployeeData[Exit Reason], ROW() - 37)=0, "",INDEX(EmployeeData[Exit Reason], ROW() - 37)),"")</f>
        <v/>
      </c>
      <c r="J4729" s="4" t="str" cm="1">
        <f t="array" ref="J4729">IFERROR(INDEX(EmployeeData[Status], ROW() - 37), "")</f>
        <v/>
      </c>
    </row>
    <row r="4730" spans="2:10" ht="19.95" customHeight="1" x14ac:dyDescent="0.3">
      <c r="B4730" s="4" t="str" cm="1">
        <f t="array" ref="B4730">IFERROR(INDEX(EmployeeData[Employee ID], ROW() - 37), "")</f>
        <v/>
      </c>
      <c r="C4730" s="4" t="str" cm="1">
        <f t="array" ref="C4730">IFERROR(INDEX(EmployeeData[Full Name], ROW() - 37), "")</f>
        <v/>
      </c>
      <c r="D4730" s="4" t="str" cm="1">
        <f t="array" ref="D4730">IFERROR(INDEX(EmployeeData[Department], ROW() - 37), "")</f>
        <v/>
      </c>
      <c r="E4730" s="4" t="str" cm="1">
        <f t="array" ref="E4730">IFERROR(INDEX(EmployeeData[Gender], ROW() - 37), "")</f>
        <v/>
      </c>
      <c r="F4730" s="4" t="str" cm="1">
        <f t="array" ref="F4730">IFERROR(INDEX(EmployeeData[Age], ROW() - 37), "")</f>
        <v/>
      </c>
      <c r="G4730" s="6" t="str" cm="1">
        <f t="array" ref="G4730">IFERROR(INDEX(EmployeeData[Join Date], ROW() - 37), "")</f>
        <v/>
      </c>
      <c r="H4730" s="6" t="str" cm="1">
        <f t="array" ref="H4730">IFERROR(IF(INDEX(EmployeeData[Exit Date], ROW() - 37)=0, "",INDEX(EmployeeData[Exit Date], ROW() - 37)),"")</f>
        <v/>
      </c>
      <c r="I4730" s="4" t="str" cm="1">
        <f t="array" ref="I4730">IFERROR(IF(INDEX(EmployeeData[Exit Reason], ROW() - 37)=0, "",INDEX(EmployeeData[Exit Reason], ROW() - 37)),"")</f>
        <v/>
      </c>
      <c r="J4730" s="4" t="str" cm="1">
        <f t="array" ref="J4730">IFERROR(INDEX(EmployeeData[Status], ROW() - 37), "")</f>
        <v/>
      </c>
    </row>
    <row r="4731" spans="2:10" ht="19.95" customHeight="1" x14ac:dyDescent="0.3">
      <c r="B4731" s="4" t="str" cm="1">
        <f t="array" ref="B4731">IFERROR(INDEX(EmployeeData[Employee ID], ROW() - 37), "")</f>
        <v/>
      </c>
      <c r="C4731" s="4" t="str" cm="1">
        <f t="array" ref="C4731">IFERROR(INDEX(EmployeeData[Full Name], ROW() - 37), "")</f>
        <v/>
      </c>
      <c r="D4731" s="4" t="str" cm="1">
        <f t="array" ref="D4731">IFERROR(INDEX(EmployeeData[Department], ROW() - 37), "")</f>
        <v/>
      </c>
      <c r="E4731" s="4" t="str" cm="1">
        <f t="array" ref="E4731">IFERROR(INDEX(EmployeeData[Gender], ROW() - 37), "")</f>
        <v/>
      </c>
      <c r="F4731" s="4" t="str" cm="1">
        <f t="array" ref="F4731">IFERROR(INDEX(EmployeeData[Age], ROW() - 37), "")</f>
        <v/>
      </c>
      <c r="G4731" s="6" t="str" cm="1">
        <f t="array" ref="G4731">IFERROR(INDEX(EmployeeData[Join Date], ROW() - 37), "")</f>
        <v/>
      </c>
      <c r="H4731" s="6" t="str" cm="1">
        <f t="array" ref="H4731">IFERROR(IF(INDEX(EmployeeData[Exit Date], ROW() - 37)=0, "",INDEX(EmployeeData[Exit Date], ROW() - 37)),"")</f>
        <v/>
      </c>
      <c r="I4731" s="4" t="str" cm="1">
        <f t="array" ref="I4731">IFERROR(IF(INDEX(EmployeeData[Exit Reason], ROW() - 37)=0, "",INDEX(EmployeeData[Exit Reason], ROW() - 37)),"")</f>
        <v/>
      </c>
      <c r="J4731" s="4" t="str" cm="1">
        <f t="array" ref="J4731">IFERROR(INDEX(EmployeeData[Status], ROW() - 37), "")</f>
        <v/>
      </c>
    </row>
    <row r="4732" spans="2:10" ht="19.95" customHeight="1" x14ac:dyDescent="0.3">
      <c r="B4732" s="4" t="str" cm="1">
        <f t="array" ref="B4732">IFERROR(INDEX(EmployeeData[Employee ID], ROW() - 37), "")</f>
        <v/>
      </c>
      <c r="C4732" s="4" t="str" cm="1">
        <f t="array" ref="C4732">IFERROR(INDEX(EmployeeData[Full Name], ROW() - 37), "")</f>
        <v/>
      </c>
      <c r="D4732" s="4" t="str" cm="1">
        <f t="array" ref="D4732">IFERROR(INDEX(EmployeeData[Department], ROW() - 37), "")</f>
        <v/>
      </c>
      <c r="E4732" s="4" t="str" cm="1">
        <f t="array" ref="E4732">IFERROR(INDEX(EmployeeData[Gender], ROW() - 37), "")</f>
        <v/>
      </c>
      <c r="F4732" s="4" t="str" cm="1">
        <f t="array" ref="F4732">IFERROR(INDEX(EmployeeData[Age], ROW() - 37), "")</f>
        <v/>
      </c>
      <c r="G4732" s="6" t="str" cm="1">
        <f t="array" ref="G4732">IFERROR(INDEX(EmployeeData[Join Date], ROW() - 37), "")</f>
        <v/>
      </c>
      <c r="H4732" s="6" t="str" cm="1">
        <f t="array" ref="H4732">IFERROR(IF(INDEX(EmployeeData[Exit Date], ROW() - 37)=0, "",INDEX(EmployeeData[Exit Date], ROW() - 37)),"")</f>
        <v/>
      </c>
      <c r="I4732" s="4" t="str" cm="1">
        <f t="array" ref="I4732">IFERROR(IF(INDEX(EmployeeData[Exit Reason], ROW() - 37)=0, "",INDEX(EmployeeData[Exit Reason], ROW() - 37)),"")</f>
        <v/>
      </c>
      <c r="J4732" s="4" t="str" cm="1">
        <f t="array" ref="J4732">IFERROR(INDEX(EmployeeData[Status], ROW() - 37), "")</f>
        <v/>
      </c>
    </row>
    <row r="4733" spans="2:10" ht="19.95" customHeight="1" x14ac:dyDescent="0.3">
      <c r="B4733" s="4" t="str" cm="1">
        <f t="array" ref="B4733">IFERROR(INDEX(EmployeeData[Employee ID], ROW() - 37), "")</f>
        <v/>
      </c>
      <c r="C4733" s="4" t="str" cm="1">
        <f t="array" ref="C4733">IFERROR(INDEX(EmployeeData[Full Name], ROW() - 37), "")</f>
        <v/>
      </c>
      <c r="D4733" s="4" t="str" cm="1">
        <f t="array" ref="D4733">IFERROR(INDEX(EmployeeData[Department], ROW() - 37), "")</f>
        <v/>
      </c>
      <c r="E4733" s="4" t="str" cm="1">
        <f t="array" ref="E4733">IFERROR(INDEX(EmployeeData[Gender], ROW() - 37), "")</f>
        <v/>
      </c>
      <c r="F4733" s="4" t="str" cm="1">
        <f t="array" ref="F4733">IFERROR(INDEX(EmployeeData[Age], ROW() - 37), "")</f>
        <v/>
      </c>
      <c r="G4733" s="6" t="str" cm="1">
        <f t="array" ref="G4733">IFERROR(INDEX(EmployeeData[Join Date], ROW() - 37), "")</f>
        <v/>
      </c>
      <c r="H4733" s="6" t="str" cm="1">
        <f t="array" ref="H4733">IFERROR(IF(INDEX(EmployeeData[Exit Date], ROW() - 37)=0, "",INDEX(EmployeeData[Exit Date], ROW() - 37)),"")</f>
        <v/>
      </c>
      <c r="I4733" s="4" t="str" cm="1">
        <f t="array" ref="I4733">IFERROR(IF(INDEX(EmployeeData[Exit Reason], ROW() - 37)=0, "",INDEX(EmployeeData[Exit Reason], ROW() - 37)),"")</f>
        <v/>
      </c>
      <c r="J4733" s="4" t="str" cm="1">
        <f t="array" ref="J4733">IFERROR(INDEX(EmployeeData[Status], ROW() - 37), "")</f>
        <v/>
      </c>
    </row>
    <row r="4734" spans="2:10" ht="19.95" customHeight="1" x14ac:dyDescent="0.3">
      <c r="B4734" s="4" t="str" cm="1">
        <f t="array" ref="B4734">IFERROR(INDEX(EmployeeData[Employee ID], ROW() - 37), "")</f>
        <v/>
      </c>
      <c r="C4734" s="4" t="str" cm="1">
        <f t="array" ref="C4734">IFERROR(INDEX(EmployeeData[Full Name], ROW() - 37), "")</f>
        <v/>
      </c>
      <c r="D4734" s="4" t="str" cm="1">
        <f t="array" ref="D4734">IFERROR(INDEX(EmployeeData[Department], ROW() - 37), "")</f>
        <v/>
      </c>
      <c r="E4734" s="4" t="str" cm="1">
        <f t="array" ref="E4734">IFERROR(INDEX(EmployeeData[Gender], ROW() - 37), "")</f>
        <v/>
      </c>
      <c r="F4734" s="4" t="str" cm="1">
        <f t="array" ref="F4734">IFERROR(INDEX(EmployeeData[Age], ROW() - 37), "")</f>
        <v/>
      </c>
      <c r="G4734" s="6" t="str" cm="1">
        <f t="array" ref="G4734">IFERROR(INDEX(EmployeeData[Join Date], ROW() - 37), "")</f>
        <v/>
      </c>
      <c r="H4734" s="6" t="str" cm="1">
        <f t="array" ref="H4734">IFERROR(IF(INDEX(EmployeeData[Exit Date], ROW() - 37)=0, "",INDEX(EmployeeData[Exit Date], ROW() - 37)),"")</f>
        <v/>
      </c>
      <c r="I4734" s="4" t="str" cm="1">
        <f t="array" ref="I4734">IFERROR(IF(INDEX(EmployeeData[Exit Reason], ROW() - 37)=0, "",INDEX(EmployeeData[Exit Reason], ROW() - 37)),"")</f>
        <v/>
      </c>
      <c r="J4734" s="4" t="str" cm="1">
        <f t="array" ref="J4734">IFERROR(INDEX(EmployeeData[Status], ROW() - 37), "")</f>
        <v/>
      </c>
    </row>
    <row r="4735" spans="2:10" ht="19.95" customHeight="1" x14ac:dyDescent="0.3">
      <c r="B4735" s="4" t="str" cm="1">
        <f t="array" ref="B4735">IFERROR(INDEX(EmployeeData[Employee ID], ROW() - 37), "")</f>
        <v/>
      </c>
      <c r="C4735" s="4" t="str" cm="1">
        <f t="array" ref="C4735">IFERROR(INDEX(EmployeeData[Full Name], ROW() - 37), "")</f>
        <v/>
      </c>
      <c r="D4735" s="4" t="str" cm="1">
        <f t="array" ref="D4735">IFERROR(INDEX(EmployeeData[Department], ROW() - 37), "")</f>
        <v/>
      </c>
      <c r="E4735" s="4" t="str" cm="1">
        <f t="array" ref="E4735">IFERROR(INDEX(EmployeeData[Gender], ROW() - 37), "")</f>
        <v/>
      </c>
      <c r="F4735" s="4" t="str" cm="1">
        <f t="array" ref="F4735">IFERROR(INDEX(EmployeeData[Age], ROW() - 37), "")</f>
        <v/>
      </c>
      <c r="G4735" s="6" t="str" cm="1">
        <f t="array" ref="G4735">IFERROR(INDEX(EmployeeData[Join Date], ROW() - 37), "")</f>
        <v/>
      </c>
      <c r="H4735" s="6" t="str" cm="1">
        <f t="array" ref="H4735">IFERROR(IF(INDEX(EmployeeData[Exit Date], ROW() - 37)=0, "",INDEX(EmployeeData[Exit Date], ROW() - 37)),"")</f>
        <v/>
      </c>
      <c r="I4735" s="4" t="str" cm="1">
        <f t="array" ref="I4735">IFERROR(IF(INDEX(EmployeeData[Exit Reason], ROW() - 37)=0, "",INDEX(EmployeeData[Exit Reason], ROW() - 37)),"")</f>
        <v/>
      </c>
      <c r="J4735" s="4" t="str" cm="1">
        <f t="array" ref="J4735">IFERROR(INDEX(EmployeeData[Status], ROW() - 37), "")</f>
        <v/>
      </c>
    </row>
    <row r="4736" spans="2:10" ht="19.95" customHeight="1" x14ac:dyDescent="0.3">
      <c r="B4736" s="4" t="str" cm="1">
        <f t="array" ref="B4736">IFERROR(INDEX(EmployeeData[Employee ID], ROW() - 37), "")</f>
        <v/>
      </c>
      <c r="C4736" s="4" t="str" cm="1">
        <f t="array" ref="C4736">IFERROR(INDEX(EmployeeData[Full Name], ROW() - 37), "")</f>
        <v/>
      </c>
      <c r="D4736" s="4" t="str" cm="1">
        <f t="array" ref="D4736">IFERROR(INDEX(EmployeeData[Department], ROW() - 37), "")</f>
        <v/>
      </c>
      <c r="E4736" s="4" t="str" cm="1">
        <f t="array" ref="E4736">IFERROR(INDEX(EmployeeData[Gender], ROW() - 37), "")</f>
        <v/>
      </c>
      <c r="F4736" s="4" t="str" cm="1">
        <f t="array" ref="F4736">IFERROR(INDEX(EmployeeData[Age], ROW() - 37), "")</f>
        <v/>
      </c>
      <c r="G4736" s="6" t="str" cm="1">
        <f t="array" ref="G4736">IFERROR(INDEX(EmployeeData[Join Date], ROW() - 37), "")</f>
        <v/>
      </c>
      <c r="H4736" s="6" t="str" cm="1">
        <f t="array" ref="H4736">IFERROR(IF(INDEX(EmployeeData[Exit Date], ROW() - 37)=0, "",INDEX(EmployeeData[Exit Date], ROW() - 37)),"")</f>
        <v/>
      </c>
      <c r="I4736" s="4" t="str" cm="1">
        <f t="array" ref="I4736">IFERROR(IF(INDEX(EmployeeData[Exit Reason], ROW() - 37)=0, "",INDEX(EmployeeData[Exit Reason], ROW() - 37)),"")</f>
        <v/>
      </c>
      <c r="J4736" s="4" t="str" cm="1">
        <f t="array" ref="J4736">IFERROR(INDEX(EmployeeData[Status], ROW() - 37), "")</f>
        <v/>
      </c>
    </row>
    <row r="4737" spans="2:10" ht="19.95" customHeight="1" x14ac:dyDescent="0.3">
      <c r="B4737" s="4" t="str" cm="1">
        <f t="array" ref="B4737">IFERROR(INDEX(EmployeeData[Employee ID], ROW() - 37), "")</f>
        <v/>
      </c>
      <c r="C4737" s="4" t="str" cm="1">
        <f t="array" ref="C4737">IFERROR(INDEX(EmployeeData[Full Name], ROW() - 37), "")</f>
        <v/>
      </c>
      <c r="D4737" s="4" t="str" cm="1">
        <f t="array" ref="D4737">IFERROR(INDEX(EmployeeData[Department], ROW() - 37), "")</f>
        <v/>
      </c>
      <c r="E4737" s="4" t="str" cm="1">
        <f t="array" ref="E4737">IFERROR(INDEX(EmployeeData[Gender], ROW() - 37), "")</f>
        <v/>
      </c>
      <c r="F4737" s="4" t="str" cm="1">
        <f t="array" ref="F4737">IFERROR(INDEX(EmployeeData[Age], ROW() - 37), "")</f>
        <v/>
      </c>
      <c r="G4737" s="6" t="str" cm="1">
        <f t="array" ref="G4737">IFERROR(INDEX(EmployeeData[Join Date], ROW() - 37), "")</f>
        <v/>
      </c>
      <c r="H4737" s="6" t="str" cm="1">
        <f t="array" ref="H4737">IFERROR(IF(INDEX(EmployeeData[Exit Date], ROW() - 37)=0, "",INDEX(EmployeeData[Exit Date], ROW() - 37)),"")</f>
        <v/>
      </c>
      <c r="I4737" s="4" t="str" cm="1">
        <f t="array" ref="I4737">IFERROR(IF(INDEX(EmployeeData[Exit Reason], ROW() - 37)=0, "",INDEX(EmployeeData[Exit Reason], ROW() - 37)),"")</f>
        <v/>
      </c>
      <c r="J4737" s="4" t="str" cm="1">
        <f t="array" ref="J4737">IFERROR(INDEX(EmployeeData[Status], ROW() - 37), "")</f>
        <v/>
      </c>
    </row>
    <row r="4738" spans="2:10" ht="19.95" customHeight="1" x14ac:dyDescent="0.3">
      <c r="B4738" s="4" t="str" cm="1">
        <f t="array" ref="B4738">IFERROR(INDEX(EmployeeData[Employee ID], ROW() - 37), "")</f>
        <v/>
      </c>
      <c r="C4738" s="4" t="str" cm="1">
        <f t="array" ref="C4738">IFERROR(INDEX(EmployeeData[Full Name], ROW() - 37), "")</f>
        <v/>
      </c>
      <c r="D4738" s="4" t="str" cm="1">
        <f t="array" ref="D4738">IFERROR(INDEX(EmployeeData[Department], ROW() - 37), "")</f>
        <v/>
      </c>
      <c r="E4738" s="4" t="str" cm="1">
        <f t="array" ref="E4738">IFERROR(INDEX(EmployeeData[Gender], ROW() - 37), "")</f>
        <v/>
      </c>
      <c r="F4738" s="4" t="str" cm="1">
        <f t="array" ref="F4738">IFERROR(INDEX(EmployeeData[Age], ROW() - 37), "")</f>
        <v/>
      </c>
      <c r="G4738" s="6" t="str" cm="1">
        <f t="array" ref="G4738">IFERROR(INDEX(EmployeeData[Join Date], ROW() - 37), "")</f>
        <v/>
      </c>
      <c r="H4738" s="6" t="str" cm="1">
        <f t="array" ref="H4738">IFERROR(IF(INDEX(EmployeeData[Exit Date], ROW() - 37)=0, "",INDEX(EmployeeData[Exit Date], ROW() - 37)),"")</f>
        <v/>
      </c>
      <c r="I4738" s="4" t="str" cm="1">
        <f t="array" ref="I4738">IFERROR(IF(INDEX(EmployeeData[Exit Reason], ROW() - 37)=0, "",INDEX(EmployeeData[Exit Reason], ROW() - 37)),"")</f>
        <v/>
      </c>
      <c r="J4738" s="4" t="str" cm="1">
        <f t="array" ref="J4738">IFERROR(INDEX(EmployeeData[Status], ROW() - 37), "")</f>
        <v/>
      </c>
    </row>
    <row r="4739" spans="2:10" ht="19.95" customHeight="1" x14ac:dyDescent="0.3">
      <c r="B4739" s="4" t="str" cm="1">
        <f t="array" ref="B4739">IFERROR(INDEX(EmployeeData[Employee ID], ROW() - 37), "")</f>
        <v/>
      </c>
      <c r="C4739" s="4" t="str" cm="1">
        <f t="array" ref="C4739">IFERROR(INDEX(EmployeeData[Full Name], ROW() - 37), "")</f>
        <v/>
      </c>
      <c r="D4739" s="4" t="str" cm="1">
        <f t="array" ref="D4739">IFERROR(INDEX(EmployeeData[Department], ROW() - 37), "")</f>
        <v/>
      </c>
      <c r="E4739" s="4" t="str" cm="1">
        <f t="array" ref="E4739">IFERROR(INDEX(EmployeeData[Gender], ROW() - 37), "")</f>
        <v/>
      </c>
      <c r="F4739" s="4" t="str" cm="1">
        <f t="array" ref="F4739">IFERROR(INDEX(EmployeeData[Age], ROW() - 37), "")</f>
        <v/>
      </c>
      <c r="G4739" s="6" t="str" cm="1">
        <f t="array" ref="G4739">IFERROR(INDEX(EmployeeData[Join Date], ROW() - 37), "")</f>
        <v/>
      </c>
      <c r="H4739" s="6" t="str" cm="1">
        <f t="array" ref="H4739">IFERROR(IF(INDEX(EmployeeData[Exit Date], ROW() - 37)=0, "",INDEX(EmployeeData[Exit Date], ROW() - 37)),"")</f>
        <v/>
      </c>
      <c r="I4739" s="4" t="str" cm="1">
        <f t="array" ref="I4739">IFERROR(IF(INDEX(EmployeeData[Exit Reason], ROW() - 37)=0, "",INDEX(EmployeeData[Exit Reason], ROW() - 37)),"")</f>
        <v/>
      </c>
      <c r="J4739" s="4" t="str" cm="1">
        <f t="array" ref="J4739">IFERROR(INDEX(EmployeeData[Status], ROW() - 37), "")</f>
        <v/>
      </c>
    </row>
    <row r="4740" spans="2:10" ht="19.95" customHeight="1" x14ac:dyDescent="0.3">
      <c r="B4740" s="4" t="str" cm="1">
        <f t="array" ref="B4740">IFERROR(INDEX(EmployeeData[Employee ID], ROW() - 37), "")</f>
        <v/>
      </c>
      <c r="C4740" s="4" t="str" cm="1">
        <f t="array" ref="C4740">IFERROR(INDEX(EmployeeData[Full Name], ROW() - 37), "")</f>
        <v/>
      </c>
      <c r="D4740" s="4" t="str" cm="1">
        <f t="array" ref="D4740">IFERROR(INDEX(EmployeeData[Department], ROW() - 37), "")</f>
        <v/>
      </c>
      <c r="E4740" s="4" t="str" cm="1">
        <f t="array" ref="E4740">IFERROR(INDEX(EmployeeData[Gender], ROW() - 37), "")</f>
        <v/>
      </c>
      <c r="F4740" s="4" t="str" cm="1">
        <f t="array" ref="F4740">IFERROR(INDEX(EmployeeData[Age], ROW() - 37), "")</f>
        <v/>
      </c>
      <c r="G4740" s="6" t="str" cm="1">
        <f t="array" ref="G4740">IFERROR(INDEX(EmployeeData[Join Date], ROW() - 37), "")</f>
        <v/>
      </c>
      <c r="H4740" s="6" t="str" cm="1">
        <f t="array" ref="H4740">IFERROR(IF(INDEX(EmployeeData[Exit Date], ROW() - 37)=0, "",INDEX(EmployeeData[Exit Date], ROW() - 37)),"")</f>
        <v/>
      </c>
      <c r="I4740" s="4" t="str" cm="1">
        <f t="array" ref="I4740">IFERROR(IF(INDEX(EmployeeData[Exit Reason], ROW() - 37)=0, "",INDEX(EmployeeData[Exit Reason], ROW() - 37)),"")</f>
        <v/>
      </c>
      <c r="J4740" s="4" t="str" cm="1">
        <f t="array" ref="J4740">IFERROR(INDEX(EmployeeData[Status], ROW() - 37), "")</f>
        <v/>
      </c>
    </row>
    <row r="4741" spans="2:10" ht="19.95" customHeight="1" x14ac:dyDescent="0.3">
      <c r="B4741" s="4" t="str" cm="1">
        <f t="array" ref="B4741">IFERROR(INDEX(EmployeeData[Employee ID], ROW() - 37), "")</f>
        <v/>
      </c>
      <c r="C4741" s="4" t="str" cm="1">
        <f t="array" ref="C4741">IFERROR(INDEX(EmployeeData[Full Name], ROW() - 37), "")</f>
        <v/>
      </c>
      <c r="D4741" s="4" t="str" cm="1">
        <f t="array" ref="D4741">IFERROR(INDEX(EmployeeData[Department], ROW() - 37), "")</f>
        <v/>
      </c>
      <c r="E4741" s="4" t="str" cm="1">
        <f t="array" ref="E4741">IFERROR(INDEX(EmployeeData[Gender], ROW() - 37), "")</f>
        <v/>
      </c>
      <c r="F4741" s="4" t="str" cm="1">
        <f t="array" ref="F4741">IFERROR(INDEX(EmployeeData[Age], ROW() - 37), "")</f>
        <v/>
      </c>
      <c r="G4741" s="6" t="str" cm="1">
        <f t="array" ref="G4741">IFERROR(INDEX(EmployeeData[Join Date], ROW() - 37), "")</f>
        <v/>
      </c>
      <c r="H4741" s="6" t="str" cm="1">
        <f t="array" ref="H4741">IFERROR(IF(INDEX(EmployeeData[Exit Date], ROW() - 37)=0, "",INDEX(EmployeeData[Exit Date], ROW() - 37)),"")</f>
        <v/>
      </c>
      <c r="I4741" s="4" t="str" cm="1">
        <f t="array" ref="I4741">IFERROR(IF(INDEX(EmployeeData[Exit Reason], ROW() - 37)=0, "",INDEX(EmployeeData[Exit Reason], ROW() - 37)),"")</f>
        <v/>
      </c>
      <c r="J4741" s="4" t="str" cm="1">
        <f t="array" ref="J4741">IFERROR(INDEX(EmployeeData[Status], ROW() - 37), "")</f>
        <v/>
      </c>
    </row>
    <row r="4742" spans="2:10" ht="19.95" customHeight="1" x14ac:dyDescent="0.3">
      <c r="B4742" s="4" t="str" cm="1">
        <f t="array" ref="B4742">IFERROR(INDEX(EmployeeData[Employee ID], ROW() - 37), "")</f>
        <v/>
      </c>
      <c r="C4742" s="4" t="str" cm="1">
        <f t="array" ref="C4742">IFERROR(INDEX(EmployeeData[Full Name], ROW() - 37), "")</f>
        <v/>
      </c>
      <c r="D4742" s="4" t="str" cm="1">
        <f t="array" ref="D4742">IFERROR(INDEX(EmployeeData[Department], ROW() - 37), "")</f>
        <v/>
      </c>
      <c r="E4742" s="4" t="str" cm="1">
        <f t="array" ref="E4742">IFERROR(INDEX(EmployeeData[Gender], ROW() - 37), "")</f>
        <v/>
      </c>
      <c r="F4742" s="4" t="str" cm="1">
        <f t="array" ref="F4742">IFERROR(INDEX(EmployeeData[Age], ROW() - 37), "")</f>
        <v/>
      </c>
      <c r="G4742" s="6" t="str" cm="1">
        <f t="array" ref="G4742">IFERROR(INDEX(EmployeeData[Join Date], ROW() - 37), "")</f>
        <v/>
      </c>
      <c r="H4742" s="6" t="str" cm="1">
        <f t="array" ref="H4742">IFERROR(IF(INDEX(EmployeeData[Exit Date], ROW() - 37)=0, "",INDEX(EmployeeData[Exit Date], ROW() - 37)),"")</f>
        <v/>
      </c>
      <c r="I4742" s="4" t="str" cm="1">
        <f t="array" ref="I4742">IFERROR(IF(INDEX(EmployeeData[Exit Reason], ROW() - 37)=0, "",INDEX(EmployeeData[Exit Reason], ROW() - 37)),"")</f>
        <v/>
      </c>
      <c r="J4742" s="4" t="str" cm="1">
        <f t="array" ref="J4742">IFERROR(INDEX(EmployeeData[Status], ROW() - 37), "")</f>
        <v/>
      </c>
    </row>
    <row r="4743" spans="2:10" ht="19.95" customHeight="1" x14ac:dyDescent="0.3">
      <c r="B4743" s="4" t="str" cm="1">
        <f t="array" ref="B4743">IFERROR(INDEX(EmployeeData[Employee ID], ROW() - 37), "")</f>
        <v/>
      </c>
      <c r="C4743" s="4" t="str" cm="1">
        <f t="array" ref="C4743">IFERROR(INDEX(EmployeeData[Full Name], ROW() - 37), "")</f>
        <v/>
      </c>
      <c r="D4743" s="4" t="str" cm="1">
        <f t="array" ref="D4743">IFERROR(INDEX(EmployeeData[Department], ROW() - 37), "")</f>
        <v/>
      </c>
      <c r="E4743" s="4" t="str" cm="1">
        <f t="array" ref="E4743">IFERROR(INDEX(EmployeeData[Gender], ROW() - 37), "")</f>
        <v/>
      </c>
      <c r="F4743" s="4" t="str" cm="1">
        <f t="array" ref="F4743">IFERROR(INDEX(EmployeeData[Age], ROW() - 37), "")</f>
        <v/>
      </c>
      <c r="G4743" s="6" t="str" cm="1">
        <f t="array" ref="G4743">IFERROR(INDEX(EmployeeData[Join Date], ROW() - 37), "")</f>
        <v/>
      </c>
      <c r="H4743" s="6" t="str" cm="1">
        <f t="array" ref="H4743">IFERROR(IF(INDEX(EmployeeData[Exit Date], ROW() - 37)=0, "",INDEX(EmployeeData[Exit Date], ROW() - 37)),"")</f>
        <v/>
      </c>
      <c r="I4743" s="4" t="str" cm="1">
        <f t="array" ref="I4743">IFERROR(IF(INDEX(EmployeeData[Exit Reason], ROW() - 37)=0, "",INDEX(EmployeeData[Exit Reason], ROW() - 37)),"")</f>
        <v/>
      </c>
      <c r="J4743" s="4" t="str" cm="1">
        <f t="array" ref="J4743">IFERROR(INDEX(EmployeeData[Status], ROW() - 37), "")</f>
        <v/>
      </c>
    </row>
    <row r="4744" spans="2:10" ht="19.95" customHeight="1" x14ac:dyDescent="0.3">
      <c r="B4744" s="4" t="str" cm="1">
        <f t="array" ref="B4744">IFERROR(INDEX(EmployeeData[Employee ID], ROW() - 37), "")</f>
        <v/>
      </c>
      <c r="C4744" s="4" t="str" cm="1">
        <f t="array" ref="C4744">IFERROR(INDEX(EmployeeData[Full Name], ROW() - 37), "")</f>
        <v/>
      </c>
      <c r="D4744" s="4" t="str" cm="1">
        <f t="array" ref="D4744">IFERROR(INDEX(EmployeeData[Department], ROW() - 37), "")</f>
        <v/>
      </c>
      <c r="E4744" s="4" t="str" cm="1">
        <f t="array" ref="E4744">IFERROR(INDEX(EmployeeData[Gender], ROW() - 37), "")</f>
        <v/>
      </c>
      <c r="F4744" s="4" t="str" cm="1">
        <f t="array" ref="F4744">IFERROR(INDEX(EmployeeData[Age], ROW() - 37), "")</f>
        <v/>
      </c>
      <c r="G4744" s="6" t="str" cm="1">
        <f t="array" ref="G4744">IFERROR(INDEX(EmployeeData[Join Date], ROW() - 37), "")</f>
        <v/>
      </c>
      <c r="H4744" s="6" t="str" cm="1">
        <f t="array" ref="H4744">IFERROR(IF(INDEX(EmployeeData[Exit Date], ROW() - 37)=0, "",INDEX(EmployeeData[Exit Date], ROW() - 37)),"")</f>
        <v/>
      </c>
      <c r="I4744" s="4" t="str" cm="1">
        <f t="array" ref="I4744">IFERROR(IF(INDEX(EmployeeData[Exit Reason], ROW() - 37)=0, "",INDEX(EmployeeData[Exit Reason], ROW() - 37)),"")</f>
        <v/>
      </c>
      <c r="J4744" s="4" t="str" cm="1">
        <f t="array" ref="J4744">IFERROR(INDEX(EmployeeData[Status], ROW() - 37), "")</f>
        <v/>
      </c>
    </row>
    <row r="4745" spans="2:10" ht="19.95" customHeight="1" x14ac:dyDescent="0.3">
      <c r="B4745" s="4" t="str" cm="1">
        <f t="array" ref="B4745">IFERROR(INDEX(EmployeeData[Employee ID], ROW() - 37), "")</f>
        <v/>
      </c>
      <c r="C4745" s="4" t="str" cm="1">
        <f t="array" ref="C4745">IFERROR(INDEX(EmployeeData[Full Name], ROW() - 37), "")</f>
        <v/>
      </c>
      <c r="D4745" s="4" t="str" cm="1">
        <f t="array" ref="D4745">IFERROR(INDEX(EmployeeData[Department], ROW() - 37), "")</f>
        <v/>
      </c>
      <c r="E4745" s="4" t="str" cm="1">
        <f t="array" ref="E4745">IFERROR(INDEX(EmployeeData[Gender], ROW() - 37), "")</f>
        <v/>
      </c>
      <c r="F4745" s="4" t="str" cm="1">
        <f t="array" ref="F4745">IFERROR(INDEX(EmployeeData[Age], ROW() - 37), "")</f>
        <v/>
      </c>
      <c r="G4745" s="6" t="str" cm="1">
        <f t="array" ref="G4745">IFERROR(INDEX(EmployeeData[Join Date], ROW() - 37), "")</f>
        <v/>
      </c>
      <c r="H4745" s="6" t="str" cm="1">
        <f t="array" ref="H4745">IFERROR(IF(INDEX(EmployeeData[Exit Date], ROW() - 37)=0, "",INDEX(EmployeeData[Exit Date], ROW() - 37)),"")</f>
        <v/>
      </c>
      <c r="I4745" s="4" t="str" cm="1">
        <f t="array" ref="I4745">IFERROR(IF(INDEX(EmployeeData[Exit Reason], ROW() - 37)=0, "",INDEX(EmployeeData[Exit Reason], ROW() - 37)),"")</f>
        <v/>
      </c>
      <c r="J4745" s="4" t="str" cm="1">
        <f t="array" ref="J4745">IFERROR(INDEX(EmployeeData[Status], ROW() - 37), "")</f>
        <v/>
      </c>
    </row>
    <row r="4746" spans="2:10" ht="19.95" customHeight="1" x14ac:dyDescent="0.3">
      <c r="B4746" s="4" t="str" cm="1">
        <f t="array" ref="B4746">IFERROR(INDEX(EmployeeData[Employee ID], ROW() - 37), "")</f>
        <v/>
      </c>
      <c r="C4746" s="4" t="str" cm="1">
        <f t="array" ref="C4746">IFERROR(INDEX(EmployeeData[Full Name], ROW() - 37), "")</f>
        <v/>
      </c>
      <c r="D4746" s="4" t="str" cm="1">
        <f t="array" ref="D4746">IFERROR(INDEX(EmployeeData[Department], ROW() - 37), "")</f>
        <v/>
      </c>
      <c r="E4746" s="4" t="str" cm="1">
        <f t="array" ref="E4746">IFERROR(INDEX(EmployeeData[Gender], ROW() - 37), "")</f>
        <v/>
      </c>
      <c r="F4746" s="4" t="str" cm="1">
        <f t="array" ref="F4746">IFERROR(INDEX(EmployeeData[Age], ROW() - 37), "")</f>
        <v/>
      </c>
      <c r="G4746" s="6" t="str" cm="1">
        <f t="array" ref="G4746">IFERROR(INDEX(EmployeeData[Join Date], ROW() - 37), "")</f>
        <v/>
      </c>
      <c r="H4746" s="6" t="str" cm="1">
        <f t="array" ref="H4746">IFERROR(IF(INDEX(EmployeeData[Exit Date], ROW() - 37)=0, "",INDEX(EmployeeData[Exit Date], ROW() - 37)),"")</f>
        <v/>
      </c>
      <c r="I4746" s="4" t="str" cm="1">
        <f t="array" ref="I4746">IFERROR(IF(INDEX(EmployeeData[Exit Reason], ROW() - 37)=0, "",INDEX(EmployeeData[Exit Reason], ROW() - 37)),"")</f>
        <v/>
      </c>
      <c r="J4746" s="4" t="str" cm="1">
        <f t="array" ref="J4746">IFERROR(INDEX(EmployeeData[Status], ROW() - 37), "")</f>
        <v/>
      </c>
    </row>
    <row r="4747" spans="2:10" ht="19.95" customHeight="1" x14ac:dyDescent="0.3">
      <c r="B4747" s="4" t="str" cm="1">
        <f t="array" ref="B4747">IFERROR(INDEX(EmployeeData[Employee ID], ROW() - 37), "")</f>
        <v/>
      </c>
      <c r="C4747" s="4" t="str" cm="1">
        <f t="array" ref="C4747">IFERROR(INDEX(EmployeeData[Full Name], ROW() - 37), "")</f>
        <v/>
      </c>
      <c r="D4747" s="4" t="str" cm="1">
        <f t="array" ref="D4747">IFERROR(INDEX(EmployeeData[Department], ROW() - 37), "")</f>
        <v/>
      </c>
      <c r="E4747" s="4" t="str" cm="1">
        <f t="array" ref="E4747">IFERROR(INDEX(EmployeeData[Gender], ROW() - 37), "")</f>
        <v/>
      </c>
      <c r="F4747" s="4" t="str" cm="1">
        <f t="array" ref="F4747">IFERROR(INDEX(EmployeeData[Age], ROW() - 37), "")</f>
        <v/>
      </c>
      <c r="G4747" s="6" t="str" cm="1">
        <f t="array" ref="G4747">IFERROR(INDEX(EmployeeData[Join Date], ROW() - 37), "")</f>
        <v/>
      </c>
      <c r="H4747" s="6" t="str" cm="1">
        <f t="array" ref="H4747">IFERROR(IF(INDEX(EmployeeData[Exit Date], ROW() - 37)=0, "",INDEX(EmployeeData[Exit Date], ROW() - 37)),"")</f>
        <v/>
      </c>
      <c r="I4747" s="4" t="str" cm="1">
        <f t="array" ref="I4747">IFERROR(IF(INDEX(EmployeeData[Exit Reason], ROW() - 37)=0, "",INDEX(EmployeeData[Exit Reason], ROW() - 37)),"")</f>
        <v/>
      </c>
      <c r="J4747" s="4" t="str" cm="1">
        <f t="array" ref="J4747">IFERROR(INDEX(EmployeeData[Status], ROW() - 37), "")</f>
        <v/>
      </c>
    </row>
    <row r="4748" spans="2:10" ht="19.95" customHeight="1" x14ac:dyDescent="0.3">
      <c r="B4748" s="4" t="str" cm="1">
        <f t="array" ref="B4748">IFERROR(INDEX(EmployeeData[Employee ID], ROW() - 37), "")</f>
        <v/>
      </c>
      <c r="C4748" s="4" t="str" cm="1">
        <f t="array" ref="C4748">IFERROR(INDEX(EmployeeData[Full Name], ROW() - 37), "")</f>
        <v/>
      </c>
      <c r="D4748" s="4" t="str" cm="1">
        <f t="array" ref="D4748">IFERROR(INDEX(EmployeeData[Department], ROW() - 37), "")</f>
        <v/>
      </c>
      <c r="E4748" s="4" t="str" cm="1">
        <f t="array" ref="E4748">IFERROR(INDEX(EmployeeData[Gender], ROW() - 37), "")</f>
        <v/>
      </c>
      <c r="F4748" s="4" t="str" cm="1">
        <f t="array" ref="F4748">IFERROR(INDEX(EmployeeData[Age], ROW() - 37), "")</f>
        <v/>
      </c>
      <c r="G4748" s="6" t="str" cm="1">
        <f t="array" ref="G4748">IFERROR(INDEX(EmployeeData[Join Date], ROW() - 37), "")</f>
        <v/>
      </c>
      <c r="H4748" s="6" t="str" cm="1">
        <f t="array" ref="H4748">IFERROR(IF(INDEX(EmployeeData[Exit Date], ROW() - 37)=0, "",INDEX(EmployeeData[Exit Date], ROW() - 37)),"")</f>
        <v/>
      </c>
      <c r="I4748" s="4" t="str" cm="1">
        <f t="array" ref="I4748">IFERROR(IF(INDEX(EmployeeData[Exit Reason], ROW() - 37)=0, "",INDEX(EmployeeData[Exit Reason], ROW() - 37)),"")</f>
        <v/>
      </c>
      <c r="J4748" s="4" t="str" cm="1">
        <f t="array" ref="J4748">IFERROR(INDEX(EmployeeData[Status], ROW() - 37), "")</f>
        <v/>
      </c>
    </row>
    <row r="4749" spans="2:10" ht="19.95" customHeight="1" x14ac:dyDescent="0.3">
      <c r="B4749" s="4" t="str" cm="1">
        <f t="array" ref="B4749">IFERROR(INDEX(EmployeeData[Employee ID], ROW() - 37), "")</f>
        <v/>
      </c>
      <c r="C4749" s="4" t="str" cm="1">
        <f t="array" ref="C4749">IFERROR(INDEX(EmployeeData[Full Name], ROW() - 37), "")</f>
        <v/>
      </c>
      <c r="D4749" s="4" t="str" cm="1">
        <f t="array" ref="D4749">IFERROR(INDEX(EmployeeData[Department], ROW() - 37), "")</f>
        <v/>
      </c>
      <c r="E4749" s="4" t="str" cm="1">
        <f t="array" ref="E4749">IFERROR(INDEX(EmployeeData[Gender], ROW() - 37), "")</f>
        <v/>
      </c>
      <c r="F4749" s="4" t="str" cm="1">
        <f t="array" ref="F4749">IFERROR(INDEX(EmployeeData[Age], ROW() - 37), "")</f>
        <v/>
      </c>
      <c r="G4749" s="6" t="str" cm="1">
        <f t="array" ref="G4749">IFERROR(INDEX(EmployeeData[Join Date], ROW() - 37), "")</f>
        <v/>
      </c>
      <c r="H4749" s="6" t="str" cm="1">
        <f t="array" ref="H4749">IFERROR(IF(INDEX(EmployeeData[Exit Date], ROW() - 37)=0, "",INDEX(EmployeeData[Exit Date], ROW() - 37)),"")</f>
        <v/>
      </c>
      <c r="I4749" s="4" t="str" cm="1">
        <f t="array" ref="I4749">IFERROR(IF(INDEX(EmployeeData[Exit Reason], ROW() - 37)=0, "",INDEX(EmployeeData[Exit Reason], ROW() - 37)),"")</f>
        <v/>
      </c>
      <c r="J4749" s="4" t="str" cm="1">
        <f t="array" ref="J4749">IFERROR(INDEX(EmployeeData[Status], ROW() - 37), "")</f>
        <v/>
      </c>
    </row>
    <row r="4750" spans="2:10" ht="19.95" customHeight="1" x14ac:dyDescent="0.3">
      <c r="B4750" s="4" t="str" cm="1">
        <f t="array" ref="B4750">IFERROR(INDEX(EmployeeData[Employee ID], ROW() - 37), "")</f>
        <v/>
      </c>
      <c r="C4750" s="4" t="str" cm="1">
        <f t="array" ref="C4750">IFERROR(INDEX(EmployeeData[Full Name], ROW() - 37), "")</f>
        <v/>
      </c>
      <c r="D4750" s="4" t="str" cm="1">
        <f t="array" ref="D4750">IFERROR(INDEX(EmployeeData[Department], ROW() - 37), "")</f>
        <v/>
      </c>
      <c r="E4750" s="4" t="str" cm="1">
        <f t="array" ref="E4750">IFERROR(INDEX(EmployeeData[Gender], ROW() - 37), "")</f>
        <v/>
      </c>
      <c r="F4750" s="4" t="str" cm="1">
        <f t="array" ref="F4750">IFERROR(INDEX(EmployeeData[Age], ROW() - 37), "")</f>
        <v/>
      </c>
      <c r="G4750" s="6" t="str" cm="1">
        <f t="array" ref="G4750">IFERROR(INDEX(EmployeeData[Join Date], ROW() - 37), "")</f>
        <v/>
      </c>
      <c r="H4750" s="6" t="str" cm="1">
        <f t="array" ref="H4750">IFERROR(IF(INDEX(EmployeeData[Exit Date], ROW() - 37)=0, "",INDEX(EmployeeData[Exit Date], ROW() - 37)),"")</f>
        <v/>
      </c>
      <c r="I4750" s="4" t="str" cm="1">
        <f t="array" ref="I4750">IFERROR(IF(INDEX(EmployeeData[Exit Reason], ROW() - 37)=0, "",INDEX(EmployeeData[Exit Reason], ROW() - 37)),"")</f>
        <v/>
      </c>
      <c r="J4750" s="4" t="str" cm="1">
        <f t="array" ref="J4750">IFERROR(INDEX(EmployeeData[Status], ROW() - 37), "")</f>
        <v/>
      </c>
    </row>
    <row r="4751" spans="2:10" ht="19.95" customHeight="1" x14ac:dyDescent="0.3">
      <c r="B4751" s="4" t="str" cm="1">
        <f t="array" ref="B4751">IFERROR(INDEX(EmployeeData[Employee ID], ROW() - 37), "")</f>
        <v/>
      </c>
      <c r="C4751" s="4" t="str" cm="1">
        <f t="array" ref="C4751">IFERROR(INDEX(EmployeeData[Full Name], ROW() - 37), "")</f>
        <v/>
      </c>
      <c r="D4751" s="4" t="str" cm="1">
        <f t="array" ref="D4751">IFERROR(INDEX(EmployeeData[Department], ROW() - 37), "")</f>
        <v/>
      </c>
      <c r="E4751" s="4" t="str" cm="1">
        <f t="array" ref="E4751">IFERROR(INDEX(EmployeeData[Gender], ROW() - 37), "")</f>
        <v/>
      </c>
      <c r="F4751" s="4" t="str" cm="1">
        <f t="array" ref="F4751">IFERROR(INDEX(EmployeeData[Age], ROW() - 37), "")</f>
        <v/>
      </c>
      <c r="G4751" s="6" t="str" cm="1">
        <f t="array" ref="G4751">IFERROR(INDEX(EmployeeData[Join Date], ROW() - 37), "")</f>
        <v/>
      </c>
      <c r="H4751" s="6" t="str" cm="1">
        <f t="array" ref="H4751">IFERROR(IF(INDEX(EmployeeData[Exit Date], ROW() - 37)=0, "",INDEX(EmployeeData[Exit Date], ROW() - 37)),"")</f>
        <v/>
      </c>
      <c r="I4751" s="4" t="str" cm="1">
        <f t="array" ref="I4751">IFERROR(IF(INDEX(EmployeeData[Exit Reason], ROW() - 37)=0, "",INDEX(EmployeeData[Exit Reason], ROW() - 37)),"")</f>
        <v/>
      </c>
      <c r="J4751" s="4" t="str" cm="1">
        <f t="array" ref="J4751">IFERROR(INDEX(EmployeeData[Status], ROW() - 37), "")</f>
        <v/>
      </c>
    </row>
    <row r="4752" spans="2:10" ht="19.95" customHeight="1" x14ac:dyDescent="0.3">
      <c r="B4752" s="4" t="str" cm="1">
        <f t="array" ref="B4752">IFERROR(INDEX(EmployeeData[Employee ID], ROW() - 37), "")</f>
        <v/>
      </c>
      <c r="C4752" s="4" t="str" cm="1">
        <f t="array" ref="C4752">IFERROR(INDEX(EmployeeData[Full Name], ROW() - 37), "")</f>
        <v/>
      </c>
      <c r="D4752" s="4" t="str" cm="1">
        <f t="array" ref="D4752">IFERROR(INDEX(EmployeeData[Department], ROW() - 37), "")</f>
        <v/>
      </c>
      <c r="E4752" s="4" t="str" cm="1">
        <f t="array" ref="E4752">IFERROR(INDEX(EmployeeData[Gender], ROW() - 37), "")</f>
        <v/>
      </c>
      <c r="F4752" s="4" t="str" cm="1">
        <f t="array" ref="F4752">IFERROR(INDEX(EmployeeData[Age], ROW() - 37), "")</f>
        <v/>
      </c>
      <c r="G4752" s="6" t="str" cm="1">
        <f t="array" ref="G4752">IFERROR(INDEX(EmployeeData[Join Date], ROW() - 37), "")</f>
        <v/>
      </c>
      <c r="H4752" s="6" t="str" cm="1">
        <f t="array" ref="H4752">IFERROR(IF(INDEX(EmployeeData[Exit Date], ROW() - 37)=0, "",INDEX(EmployeeData[Exit Date], ROW() - 37)),"")</f>
        <v/>
      </c>
      <c r="I4752" s="4" t="str" cm="1">
        <f t="array" ref="I4752">IFERROR(IF(INDEX(EmployeeData[Exit Reason], ROW() - 37)=0, "",INDEX(EmployeeData[Exit Reason], ROW() - 37)),"")</f>
        <v/>
      </c>
      <c r="J4752" s="4" t="str" cm="1">
        <f t="array" ref="J4752">IFERROR(INDEX(EmployeeData[Status], ROW() - 37), "")</f>
        <v/>
      </c>
    </row>
    <row r="4753" spans="2:10" ht="19.95" customHeight="1" x14ac:dyDescent="0.3">
      <c r="B4753" s="4" t="str" cm="1">
        <f t="array" ref="B4753">IFERROR(INDEX(EmployeeData[Employee ID], ROW() - 37), "")</f>
        <v/>
      </c>
      <c r="C4753" s="4" t="str" cm="1">
        <f t="array" ref="C4753">IFERROR(INDEX(EmployeeData[Full Name], ROW() - 37), "")</f>
        <v/>
      </c>
      <c r="D4753" s="4" t="str" cm="1">
        <f t="array" ref="D4753">IFERROR(INDEX(EmployeeData[Department], ROW() - 37), "")</f>
        <v/>
      </c>
      <c r="E4753" s="4" t="str" cm="1">
        <f t="array" ref="E4753">IFERROR(INDEX(EmployeeData[Gender], ROW() - 37), "")</f>
        <v/>
      </c>
      <c r="F4753" s="4" t="str" cm="1">
        <f t="array" ref="F4753">IFERROR(INDEX(EmployeeData[Age], ROW() - 37), "")</f>
        <v/>
      </c>
      <c r="G4753" s="6" t="str" cm="1">
        <f t="array" ref="G4753">IFERROR(INDEX(EmployeeData[Join Date], ROW() - 37), "")</f>
        <v/>
      </c>
      <c r="H4753" s="6" t="str" cm="1">
        <f t="array" ref="H4753">IFERROR(IF(INDEX(EmployeeData[Exit Date], ROW() - 37)=0, "",INDEX(EmployeeData[Exit Date], ROW() - 37)),"")</f>
        <v/>
      </c>
      <c r="I4753" s="4" t="str" cm="1">
        <f t="array" ref="I4753">IFERROR(IF(INDEX(EmployeeData[Exit Reason], ROW() - 37)=0, "",INDEX(EmployeeData[Exit Reason], ROW() - 37)),"")</f>
        <v/>
      </c>
      <c r="J4753" s="4" t="str" cm="1">
        <f t="array" ref="J4753">IFERROR(INDEX(EmployeeData[Status], ROW() - 37), "")</f>
        <v/>
      </c>
    </row>
    <row r="4754" spans="2:10" ht="19.95" customHeight="1" x14ac:dyDescent="0.3">
      <c r="B4754" s="4" t="str" cm="1">
        <f t="array" ref="B4754">IFERROR(INDEX(EmployeeData[Employee ID], ROW() - 37), "")</f>
        <v/>
      </c>
      <c r="C4754" s="4" t="str" cm="1">
        <f t="array" ref="C4754">IFERROR(INDEX(EmployeeData[Full Name], ROW() - 37), "")</f>
        <v/>
      </c>
      <c r="D4754" s="4" t="str" cm="1">
        <f t="array" ref="D4754">IFERROR(INDEX(EmployeeData[Department], ROW() - 37), "")</f>
        <v/>
      </c>
      <c r="E4754" s="4" t="str" cm="1">
        <f t="array" ref="E4754">IFERROR(INDEX(EmployeeData[Gender], ROW() - 37), "")</f>
        <v/>
      </c>
      <c r="F4754" s="4" t="str" cm="1">
        <f t="array" ref="F4754">IFERROR(INDEX(EmployeeData[Age], ROW() - 37), "")</f>
        <v/>
      </c>
      <c r="G4754" s="6" t="str" cm="1">
        <f t="array" ref="G4754">IFERROR(INDEX(EmployeeData[Join Date], ROW() - 37), "")</f>
        <v/>
      </c>
      <c r="H4754" s="6" t="str" cm="1">
        <f t="array" ref="H4754">IFERROR(IF(INDEX(EmployeeData[Exit Date], ROW() - 37)=0, "",INDEX(EmployeeData[Exit Date], ROW() - 37)),"")</f>
        <v/>
      </c>
      <c r="I4754" s="4" t="str" cm="1">
        <f t="array" ref="I4754">IFERROR(IF(INDEX(EmployeeData[Exit Reason], ROW() - 37)=0, "",INDEX(EmployeeData[Exit Reason], ROW() - 37)),"")</f>
        <v/>
      </c>
      <c r="J4754" s="4" t="str" cm="1">
        <f t="array" ref="J4754">IFERROR(INDEX(EmployeeData[Status], ROW() - 37), "")</f>
        <v/>
      </c>
    </row>
    <row r="4755" spans="2:10" ht="19.95" customHeight="1" x14ac:dyDescent="0.3">
      <c r="B4755" s="4" t="str" cm="1">
        <f t="array" ref="B4755">IFERROR(INDEX(EmployeeData[Employee ID], ROW() - 37), "")</f>
        <v/>
      </c>
      <c r="C4755" s="4" t="str" cm="1">
        <f t="array" ref="C4755">IFERROR(INDEX(EmployeeData[Full Name], ROW() - 37), "")</f>
        <v/>
      </c>
      <c r="D4755" s="4" t="str" cm="1">
        <f t="array" ref="D4755">IFERROR(INDEX(EmployeeData[Department], ROW() - 37), "")</f>
        <v/>
      </c>
      <c r="E4755" s="4" t="str" cm="1">
        <f t="array" ref="E4755">IFERROR(INDEX(EmployeeData[Gender], ROW() - 37), "")</f>
        <v/>
      </c>
      <c r="F4755" s="4" t="str" cm="1">
        <f t="array" ref="F4755">IFERROR(INDEX(EmployeeData[Age], ROW() - 37), "")</f>
        <v/>
      </c>
      <c r="G4755" s="6" t="str" cm="1">
        <f t="array" ref="G4755">IFERROR(INDEX(EmployeeData[Join Date], ROW() - 37), "")</f>
        <v/>
      </c>
      <c r="H4755" s="6" t="str" cm="1">
        <f t="array" ref="H4755">IFERROR(IF(INDEX(EmployeeData[Exit Date], ROW() - 37)=0, "",INDEX(EmployeeData[Exit Date], ROW() - 37)),"")</f>
        <v/>
      </c>
      <c r="I4755" s="4" t="str" cm="1">
        <f t="array" ref="I4755">IFERROR(IF(INDEX(EmployeeData[Exit Reason], ROW() - 37)=0, "",INDEX(EmployeeData[Exit Reason], ROW() - 37)),"")</f>
        <v/>
      </c>
      <c r="J4755" s="4" t="str" cm="1">
        <f t="array" ref="J4755">IFERROR(INDEX(EmployeeData[Status], ROW() - 37), "")</f>
        <v/>
      </c>
    </row>
    <row r="4756" spans="2:10" ht="19.95" customHeight="1" x14ac:dyDescent="0.3">
      <c r="B4756" s="4" t="str" cm="1">
        <f t="array" ref="B4756">IFERROR(INDEX(EmployeeData[Employee ID], ROW() - 37), "")</f>
        <v/>
      </c>
      <c r="C4756" s="4" t="str" cm="1">
        <f t="array" ref="C4756">IFERROR(INDEX(EmployeeData[Full Name], ROW() - 37), "")</f>
        <v/>
      </c>
      <c r="D4756" s="4" t="str" cm="1">
        <f t="array" ref="D4756">IFERROR(INDEX(EmployeeData[Department], ROW() - 37), "")</f>
        <v/>
      </c>
      <c r="E4756" s="4" t="str" cm="1">
        <f t="array" ref="E4756">IFERROR(INDEX(EmployeeData[Gender], ROW() - 37), "")</f>
        <v/>
      </c>
      <c r="F4756" s="4" t="str" cm="1">
        <f t="array" ref="F4756">IFERROR(INDEX(EmployeeData[Age], ROW() - 37), "")</f>
        <v/>
      </c>
      <c r="G4756" s="6" t="str" cm="1">
        <f t="array" ref="G4756">IFERROR(INDEX(EmployeeData[Join Date], ROW() - 37), "")</f>
        <v/>
      </c>
      <c r="H4756" s="6" t="str" cm="1">
        <f t="array" ref="H4756">IFERROR(IF(INDEX(EmployeeData[Exit Date], ROW() - 37)=0, "",INDEX(EmployeeData[Exit Date], ROW() - 37)),"")</f>
        <v/>
      </c>
      <c r="I4756" s="4" t="str" cm="1">
        <f t="array" ref="I4756">IFERROR(IF(INDEX(EmployeeData[Exit Reason], ROW() - 37)=0, "",INDEX(EmployeeData[Exit Reason], ROW() - 37)),"")</f>
        <v/>
      </c>
      <c r="J4756" s="4" t="str" cm="1">
        <f t="array" ref="J4756">IFERROR(INDEX(EmployeeData[Status], ROW() - 37), "")</f>
        <v/>
      </c>
    </row>
    <row r="4757" spans="2:10" ht="19.95" customHeight="1" x14ac:dyDescent="0.3">
      <c r="B4757" s="4" t="str" cm="1">
        <f t="array" ref="B4757">IFERROR(INDEX(EmployeeData[Employee ID], ROW() - 37), "")</f>
        <v/>
      </c>
      <c r="C4757" s="4" t="str" cm="1">
        <f t="array" ref="C4757">IFERROR(INDEX(EmployeeData[Full Name], ROW() - 37), "")</f>
        <v/>
      </c>
      <c r="D4757" s="4" t="str" cm="1">
        <f t="array" ref="D4757">IFERROR(INDEX(EmployeeData[Department], ROW() - 37), "")</f>
        <v/>
      </c>
      <c r="E4757" s="4" t="str" cm="1">
        <f t="array" ref="E4757">IFERROR(INDEX(EmployeeData[Gender], ROW() - 37), "")</f>
        <v/>
      </c>
      <c r="F4757" s="4" t="str" cm="1">
        <f t="array" ref="F4757">IFERROR(INDEX(EmployeeData[Age], ROW() - 37), "")</f>
        <v/>
      </c>
      <c r="G4757" s="6" t="str" cm="1">
        <f t="array" ref="G4757">IFERROR(INDEX(EmployeeData[Join Date], ROW() - 37), "")</f>
        <v/>
      </c>
      <c r="H4757" s="6" t="str" cm="1">
        <f t="array" ref="H4757">IFERROR(IF(INDEX(EmployeeData[Exit Date], ROW() - 37)=0, "",INDEX(EmployeeData[Exit Date], ROW() - 37)),"")</f>
        <v/>
      </c>
      <c r="I4757" s="4" t="str" cm="1">
        <f t="array" ref="I4757">IFERROR(IF(INDEX(EmployeeData[Exit Reason], ROW() - 37)=0, "",INDEX(EmployeeData[Exit Reason], ROW() - 37)),"")</f>
        <v/>
      </c>
      <c r="J4757" s="4" t="str" cm="1">
        <f t="array" ref="J4757">IFERROR(INDEX(EmployeeData[Status], ROW() - 37), "")</f>
        <v/>
      </c>
    </row>
    <row r="4758" spans="2:10" ht="19.95" customHeight="1" x14ac:dyDescent="0.3">
      <c r="B4758" s="4" t="str" cm="1">
        <f t="array" ref="B4758">IFERROR(INDEX(EmployeeData[Employee ID], ROW() - 37), "")</f>
        <v/>
      </c>
      <c r="C4758" s="4" t="str" cm="1">
        <f t="array" ref="C4758">IFERROR(INDEX(EmployeeData[Full Name], ROW() - 37), "")</f>
        <v/>
      </c>
      <c r="D4758" s="4" t="str" cm="1">
        <f t="array" ref="D4758">IFERROR(INDEX(EmployeeData[Department], ROW() - 37), "")</f>
        <v/>
      </c>
      <c r="E4758" s="4" t="str" cm="1">
        <f t="array" ref="E4758">IFERROR(INDEX(EmployeeData[Gender], ROW() - 37), "")</f>
        <v/>
      </c>
      <c r="F4758" s="4" t="str" cm="1">
        <f t="array" ref="F4758">IFERROR(INDEX(EmployeeData[Age], ROW() - 37), "")</f>
        <v/>
      </c>
      <c r="G4758" s="6" t="str" cm="1">
        <f t="array" ref="G4758">IFERROR(INDEX(EmployeeData[Join Date], ROW() - 37), "")</f>
        <v/>
      </c>
      <c r="H4758" s="6" t="str" cm="1">
        <f t="array" ref="H4758">IFERROR(IF(INDEX(EmployeeData[Exit Date], ROW() - 37)=0, "",INDEX(EmployeeData[Exit Date], ROW() - 37)),"")</f>
        <v/>
      </c>
      <c r="I4758" s="4" t="str" cm="1">
        <f t="array" ref="I4758">IFERROR(IF(INDEX(EmployeeData[Exit Reason], ROW() - 37)=0, "",INDEX(EmployeeData[Exit Reason], ROW() - 37)),"")</f>
        <v/>
      </c>
      <c r="J4758" s="4" t="str" cm="1">
        <f t="array" ref="J4758">IFERROR(INDEX(EmployeeData[Status], ROW() - 37), "")</f>
        <v/>
      </c>
    </row>
    <row r="4759" spans="2:10" ht="19.95" customHeight="1" x14ac:dyDescent="0.3">
      <c r="B4759" s="4" t="str" cm="1">
        <f t="array" ref="B4759">IFERROR(INDEX(EmployeeData[Employee ID], ROW() - 37), "")</f>
        <v/>
      </c>
      <c r="C4759" s="4" t="str" cm="1">
        <f t="array" ref="C4759">IFERROR(INDEX(EmployeeData[Full Name], ROW() - 37), "")</f>
        <v/>
      </c>
      <c r="D4759" s="4" t="str" cm="1">
        <f t="array" ref="D4759">IFERROR(INDEX(EmployeeData[Department], ROW() - 37), "")</f>
        <v/>
      </c>
      <c r="E4759" s="4" t="str" cm="1">
        <f t="array" ref="E4759">IFERROR(INDEX(EmployeeData[Gender], ROW() - 37), "")</f>
        <v/>
      </c>
      <c r="F4759" s="4" t="str" cm="1">
        <f t="array" ref="F4759">IFERROR(INDEX(EmployeeData[Age], ROW() - 37), "")</f>
        <v/>
      </c>
      <c r="G4759" s="6" t="str" cm="1">
        <f t="array" ref="G4759">IFERROR(INDEX(EmployeeData[Join Date], ROW() - 37), "")</f>
        <v/>
      </c>
      <c r="H4759" s="6" t="str" cm="1">
        <f t="array" ref="H4759">IFERROR(IF(INDEX(EmployeeData[Exit Date], ROW() - 37)=0, "",INDEX(EmployeeData[Exit Date], ROW() - 37)),"")</f>
        <v/>
      </c>
      <c r="I4759" s="4" t="str" cm="1">
        <f t="array" ref="I4759">IFERROR(IF(INDEX(EmployeeData[Exit Reason], ROW() - 37)=0, "",INDEX(EmployeeData[Exit Reason], ROW() - 37)),"")</f>
        <v/>
      </c>
      <c r="J4759" s="4" t="str" cm="1">
        <f t="array" ref="J4759">IFERROR(INDEX(EmployeeData[Status], ROW() - 37), "")</f>
        <v/>
      </c>
    </row>
    <row r="4760" spans="2:10" ht="19.95" customHeight="1" x14ac:dyDescent="0.3">
      <c r="B4760" s="4" t="str" cm="1">
        <f t="array" ref="B4760">IFERROR(INDEX(EmployeeData[Employee ID], ROW() - 37), "")</f>
        <v/>
      </c>
      <c r="C4760" s="4" t="str" cm="1">
        <f t="array" ref="C4760">IFERROR(INDEX(EmployeeData[Full Name], ROW() - 37), "")</f>
        <v/>
      </c>
      <c r="D4760" s="4" t="str" cm="1">
        <f t="array" ref="D4760">IFERROR(INDEX(EmployeeData[Department], ROW() - 37), "")</f>
        <v/>
      </c>
      <c r="E4760" s="4" t="str" cm="1">
        <f t="array" ref="E4760">IFERROR(INDEX(EmployeeData[Gender], ROW() - 37), "")</f>
        <v/>
      </c>
      <c r="F4760" s="4" t="str" cm="1">
        <f t="array" ref="F4760">IFERROR(INDEX(EmployeeData[Age], ROW() - 37), "")</f>
        <v/>
      </c>
      <c r="G4760" s="6" t="str" cm="1">
        <f t="array" ref="G4760">IFERROR(INDEX(EmployeeData[Join Date], ROW() - 37), "")</f>
        <v/>
      </c>
      <c r="H4760" s="6" t="str" cm="1">
        <f t="array" ref="H4760">IFERROR(IF(INDEX(EmployeeData[Exit Date], ROW() - 37)=0, "",INDEX(EmployeeData[Exit Date], ROW() - 37)),"")</f>
        <v/>
      </c>
      <c r="I4760" s="4" t="str" cm="1">
        <f t="array" ref="I4760">IFERROR(IF(INDEX(EmployeeData[Exit Reason], ROW() - 37)=0, "",INDEX(EmployeeData[Exit Reason], ROW() - 37)),"")</f>
        <v/>
      </c>
      <c r="J4760" s="4" t="str" cm="1">
        <f t="array" ref="J4760">IFERROR(INDEX(EmployeeData[Status], ROW() - 37), "")</f>
        <v/>
      </c>
    </row>
    <row r="4761" spans="2:10" ht="19.95" customHeight="1" x14ac:dyDescent="0.3">
      <c r="B4761" s="4" t="str" cm="1">
        <f t="array" ref="B4761">IFERROR(INDEX(EmployeeData[Employee ID], ROW() - 37), "")</f>
        <v/>
      </c>
      <c r="C4761" s="4" t="str" cm="1">
        <f t="array" ref="C4761">IFERROR(INDEX(EmployeeData[Full Name], ROW() - 37), "")</f>
        <v/>
      </c>
      <c r="D4761" s="4" t="str" cm="1">
        <f t="array" ref="D4761">IFERROR(INDEX(EmployeeData[Department], ROW() - 37), "")</f>
        <v/>
      </c>
      <c r="E4761" s="4" t="str" cm="1">
        <f t="array" ref="E4761">IFERROR(INDEX(EmployeeData[Gender], ROW() - 37), "")</f>
        <v/>
      </c>
      <c r="F4761" s="4" t="str" cm="1">
        <f t="array" ref="F4761">IFERROR(INDEX(EmployeeData[Age], ROW() - 37), "")</f>
        <v/>
      </c>
      <c r="G4761" s="6" t="str" cm="1">
        <f t="array" ref="G4761">IFERROR(INDEX(EmployeeData[Join Date], ROW() - 37), "")</f>
        <v/>
      </c>
      <c r="H4761" s="6" t="str" cm="1">
        <f t="array" ref="H4761">IFERROR(IF(INDEX(EmployeeData[Exit Date], ROW() - 37)=0, "",INDEX(EmployeeData[Exit Date], ROW() - 37)),"")</f>
        <v/>
      </c>
      <c r="I4761" s="4" t="str" cm="1">
        <f t="array" ref="I4761">IFERROR(IF(INDEX(EmployeeData[Exit Reason], ROW() - 37)=0, "",INDEX(EmployeeData[Exit Reason], ROW() - 37)),"")</f>
        <v/>
      </c>
      <c r="J4761" s="4" t="str" cm="1">
        <f t="array" ref="J4761">IFERROR(INDEX(EmployeeData[Status], ROW() - 37), "")</f>
        <v/>
      </c>
    </row>
    <row r="4762" spans="2:10" ht="19.95" customHeight="1" x14ac:dyDescent="0.3">
      <c r="B4762" s="4" t="str" cm="1">
        <f t="array" ref="B4762">IFERROR(INDEX(EmployeeData[Employee ID], ROW() - 37), "")</f>
        <v/>
      </c>
      <c r="C4762" s="4" t="str" cm="1">
        <f t="array" ref="C4762">IFERROR(INDEX(EmployeeData[Full Name], ROW() - 37), "")</f>
        <v/>
      </c>
      <c r="D4762" s="4" t="str" cm="1">
        <f t="array" ref="D4762">IFERROR(INDEX(EmployeeData[Department], ROW() - 37), "")</f>
        <v/>
      </c>
      <c r="E4762" s="4" t="str" cm="1">
        <f t="array" ref="E4762">IFERROR(INDEX(EmployeeData[Gender], ROW() - 37), "")</f>
        <v/>
      </c>
      <c r="F4762" s="4" t="str" cm="1">
        <f t="array" ref="F4762">IFERROR(INDEX(EmployeeData[Age], ROW() - 37), "")</f>
        <v/>
      </c>
      <c r="G4762" s="6" t="str" cm="1">
        <f t="array" ref="G4762">IFERROR(INDEX(EmployeeData[Join Date], ROW() - 37), "")</f>
        <v/>
      </c>
      <c r="H4762" s="6" t="str" cm="1">
        <f t="array" ref="H4762">IFERROR(IF(INDEX(EmployeeData[Exit Date], ROW() - 37)=0, "",INDEX(EmployeeData[Exit Date], ROW() - 37)),"")</f>
        <v/>
      </c>
      <c r="I4762" s="4" t="str" cm="1">
        <f t="array" ref="I4762">IFERROR(IF(INDEX(EmployeeData[Exit Reason], ROW() - 37)=0, "",INDEX(EmployeeData[Exit Reason], ROW() - 37)),"")</f>
        <v/>
      </c>
      <c r="J4762" s="4" t="str" cm="1">
        <f t="array" ref="J4762">IFERROR(INDEX(EmployeeData[Status], ROW() - 37), "")</f>
        <v/>
      </c>
    </row>
    <row r="4763" spans="2:10" ht="19.95" customHeight="1" x14ac:dyDescent="0.3">
      <c r="B4763" s="4" t="str" cm="1">
        <f t="array" ref="B4763">IFERROR(INDEX(EmployeeData[Employee ID], ROW() - 37), "")</f>
        <v/>
      </c>
      <c r="C4763" s="4" t="str" cm="1">
        <f t="array" ref="C4763">IFERROR(INDEX(EmployeeData[Full Name], ROW() - 37), "")</f>
        <v/>
      </c>
      <c r="D4763" s="4" t="str" cm="1">
        <f t="array" ref="D4763">IFERROR(INDEX(EmployeeData[Department], ROW() - 37), "")</f>
        <v/>
      </c>
      <c r="E4763" s="4" t="str" cm="1">
        <f t="array" ref="E4763">IFERROR(INDEX(EmployeeData[Gender], ROW() - 37), "")</f>
        <v/>
      </c>
      <c r="F4763" s="4" t="str" cm="1">
        <f t="array" ref="F4763">IFERROR(INDEX(EmployeeData[Age], ROW() - 37), "")</f>
        <v/>
      </c>
      <c r="G4763" s="6" t="str" cm="1">
        <f t="array" ref="G4763">IFERROR(INDEX(EmployeeData[Join Date], ROW() - 37), "")</f>
        <v/>
      </c>
      <c r="H4763" s="6" t="str" cm="1">
        <f t="array" ref="H4763">IFERROR(IF(INDEX(EmployeeData[Exit Date], ROW() - 37)=0, "",INDEX(EmployeeData[Exit Date], ROW() - 37)),"")</f>
        <v/>
      </c>
      <c r="I4763" s="4" t="str" cm="1">
        <f t="array" ref="I4763">IFERROR(IF(INDEX(EmployeeData[Exit Reason], ROW() - 37)=0, "",INDEX(EmployeeData[Exit Reason], ROW() - 37)),"")</f>
        <v/>
      </c>
      <c r="J4763" s="4" t="str" cm="1">
        <f t="array" ref="J4763">IFERROR(INDEX(EmployeeData[Status], ROW() - 37), "")</f>
        <v/>
      </c>
    </row>
    <row r="4764" spans="2:10" ht="19.95" customHeight="1" x14ac:dyDescent="0.3">
      <c r="B4764" s="4" t="str" cm="1">
        <f t="array" ref="B4764">IFERROR(INDEX(EmployeeData[Employee ID], ROW() - 37), "")</f>
        <v/>
      </c>
      <c r="C4764" s="4" t="str" cm="1">
        <f t="array" ref="C4764">IFERROR(INDEX(EmployeeData[Full Name], ROW() - 37), "")</f>
        <v/>
      </c>
      <c r="D4764" s="4" t="str" cm="1">
        <f t="array" ref="D4764">IFERROR(INDEX(EmployeeData[Department], ROW() - 37), "")</f>
        <v/>
      </c>
      <c r="E4764" s="4" t="str" cm="1">
        <f t="array" ref="E4764">IFERROR(INDEX(EmployeeData[Gender], ROW() - 37), "")</f>
        <v/>
      </c>
      <c r="F4764" s="4" t="str" cm="1">
        <f t="array" ref="F4764">IFERROR(INDEX(EmployeeData[Age], ROW() - 37), "")</f>
        <v/>
      </c>
      <c r="G4764" s="6" t="str" cm="1">
        <f t="array" ref="G4764">IFERROR(INDEX(EmployeeData[Join Date], ROW() - 37), "")</f>
        <v/>
      </c>
      <c r="H4764" s="6" t="str" cm="1">
        <f t="array" ref="H4764">IFERROR(IF(INDEX(EmployeeData[Exit Date], ROW() - 37)=0, "",INDEX(EmployeeData[Exit Date], ROW() - 37)),"")</f>
        <v/>
      </c>
      <c r="I4764" s="4" t="str" cm="1">
        <f t="array" ref="I4764">IFERROR(IF(INDEX(EmployeeData[Exit Reason], ROW() - 37)=0, "",INDEX(EmployeeData[Exit Reason], ROW() - 37)),"")</f>
        <v/>
      </c>
      <c r="J4764" s="4" t="str" cm="1">
        <f t="array" ref="J4764">IFERROR(INDEX(EmployeeData[Status], ROW() - 37), "")</f>
        <v/>
      </c>
    </row>
    <row r="4765" spans="2:10" ht="19.95" customHeight="1" x14ac:dyDescent="0.3">
      <c r="B4765" s="4" t="str" cm="1">
        <f t="array" ref="B4765">IFERROR(INDEX(EmployeeData[Employee ID], ROW() - 37), "")</f>
        <v/>
      </c>
      <c r="C4765" s="4" t="str" cm="1">
        <f t="array" ref="C4765">IFERROR(INDEX(EmployeeData[Full Name], ROW() - 37), "")</f>
        <v/>
      </c>
      <c r="D4765" s="4" t="str" cm="1">
        <f t="array" ref="D4765">IFERROR(INDEX(EmployeeData[Department], ROW() - 37), "")</f>
        <v/>
      </c>
      <c r="E4765" s="4" t="str" cm="1">
        <f t="array" ref="E4765">IFERROR(INDEX(EmployeeData[Gender], ROW() - 37), "")</f>
        <v/>
      </c>
      <c r="F4765" s="4" t="str" cm="1">
        <f t="array" ref="F4765">IFERROR(INDEX(EmployeeData[Age], ROW() - 37), "")</f>
        <v/>
      </c>
      <c r="G4765" s="6" t="str" cm="1">
        <f t="array" ref="G4765">IFERROR(INDEX(EmployeeData[Join Date], ROW() - 37), "")</f>
        <v/>
      </c>
      <c r="H4765" s="6" t="str" cm="1">
        <f t="array" ref="H4765">IFERROR(IF(INDEX(EmployeeData[Exit Date], ROW() - 37)=0, "",INDEX(EmployeeData[Exit Date], ROW() - 37)),"")</f>
        <v/>
      </c>
      <c r="I4765" s="4" t="str" cm="1">
        <f t="array" ref="I4765">IFERROR(IF(INDEX(EmployeeData[Exit Reason], ROW() - 37)=0, "",INDEX(EmployeeData[Exit Reason], ROW() - 37)),"")</f>
        <v/>
      </c>
      <c r="J4765" s="4" t="str" cm="1">
        <f t="array" ref="J4765">IFERROR(INDEX(EmployeeData[Status], ROW() - 37), "")</f>
        <v/>
      </c>
    </row>
    <row r="4766" spans="2:10" ht="19.95" customHeight="1" x14ac:dyDescent="0.3">
      <c r="B4766" s="4" t="str" cm="1">
        <f t="array" ref="B4766">IFERROR(INDEX(EmployeeData[Employee ID], ROW() - 37), "")</f>
        <v/>
      </c>
      <c r="C4766" s="4" t="str" cm="1">
        <f t="array" ref="C4766">IFERROR(INDEX(EmployeeData[Full Name], ROW() - 37), "")</f>
        <v/>
      </c>
      <c r="D4766" s="4" t="str" cm="1">
        <f t="array" ref="D4766">IFERROR(INDEX(EmployeeData[Department], ROW() - 37), "")</f>
        <v/>
      </c>
      <c r="E4766" s="4" t="str" cm="1">
        <f t="array" ref="E4766">IFERROR(INDEX(EmployeeData[Gender], ROW() - 37), "")</f>
        <v/>
      </c>
      <c r="F4766" s="4" t="str" cm="1">
        <f t="array" ref="F4766">IFERROR(INDEX(EmployeeData[Age], ROW() - 37), "")</f>
        <v/>
      </c>
      <c r="G4766" s="6" t="str" cm="1">
        <f t="array" ref="G4766">IFERROR(INDEX(EmployeeData[Join Date], ROW() - 37), "")</f>
        <v/>
      </c>
      <c r="H4766" s="6" t="str" cm="1">
        <f t="array" ref="H4766">IFERROR(IF(INDEX(EmployeeData[Exit Date], ROW() - 37)=0, "",INDEX(EmployeeData[Exit Date], ROW() - 37)),"")</f>
        <v/>
      </c>
      <c r="I4766" s="4" t="str" cm="1">
        <f t="array" ref="I4766">IFERROR(IF(INDEX(EmployeeData[Exit Reason], ROW() - 37)=0, "",INDEX(EmployeeData[Exit Reason], ROW() - 37)),"")</f>
        <v/>
      </c>
      <c r="J4766" s="4" t="str" cm="1">
        <f t="array" ref="J4766">IFERROR(INDEX(EmployeeData[Status], ROW() - 37), "")</f>
        <v/>
      </c>
    </row>
    <row r="4767" spans="2:10" ht="19.95" customHeight="1" x14ac:dyDescent="0.3">
      <c r="B4767" s="4" t="str" cm="1">
        <f t="array" ref="B4767">IFERROR(INDEX(EmployeeData[Employee ID], ROW() - 37), "")</f>
        <v/>
      </c>
      <c r="C4767" s="4" t="str" cm="1">
        <f t="array" ref="C4767">IFERROR(INDEX(EmployeeData[Full Name], ROW() - 37), "")</f>
        <v/>
      </c>
      <c r="D4767" s="4" t="str" cm="1">
        <f t="array" ref="D4767">IFERROR(INDEX(EmployeeData[Department], ROW() - 37), "")</f>
        <v/>
      </c>
      <c r="E4767" s="4" t="str" cm="1">
        <f t="array" ref="E4767">IFERROR(INDEX(EmployeeData[Gender], ROW() - 37), "")</f>
        <v/>
      </c>
      <c r="F4767" s="4" t="str" cm="1">
        <f t="array" ref="F4767">IFERROR(INDEX(EmployeeData[Age], ROW() - 37), "")</f>
        <v/>
      </c>
      <c r="G4767" s="6" t="str" cm="1">
        <f t="array" ref="G4767">IFERROR(INDEX(EmployeeData[Join Date], ROW() - 37), "")</f>
        <v/>
      </c>
      <c r="H4767" s="6" t="str" cm="1">
        <f t="array" ref="H4767">IFERROR(IF(INDEX(EmployeeData[Exit Date], ROW() - 37)=0, "",INDEX(EmployeeData[Exit Date], ROW() - 37)),"")</f>
        <v/>
      </c>
      <c r="I4767" s="4" t="str" cm="1">
        <f t="array" ref="I4767">IFERROR(IF(INDEX(EmployeeData[Exit Reason], ROW() - 37)=0, "",INDEX(EmployeeData[Exit Reason], ROW() - 37)),"")</f>
        <v/>
      </c>
      <c r="J4767" s="4" t="str" cm="1">
        <f t="array" ref="J4767">IFERROR(INDEX(EmployeeData[Status], ROW() - 37), "")</f>
        <v/>
      </c>
    </row>
    <row r="4768" spans="2:10" ht="19.95" customHeight="1" x14ac:dyDescent="0.3">
      <c r="B4768" s="4" t="str" cm="1">
        <f t="array" ref="B4768">IFERROR(INDEX(EmployeeData[Employee ID], ROW() - 37), "")</f>
        <v/>
      </c>
      <c r="C4768" s="4" t="str" cm="1">
        <f t="array" ref="C4768">IFERROR(INDEX(EmployeeData[Full Name], ROW() - 37), "")</f>
        <v/>
      </c>
      <c r="D4768" s="4" t="str" cm="1">
        <f t="array" ref="D4768">IFERROR(INDEX(EmployeeData[Department], ROW() - 37), "")</f>
        <v/>
      </c>
      <c r="E4768" s="4" t="str" cm="1">
        <f t="array" ref="E4768">IFERROR(INDEX(EmployeeData[Gender], ROW() - 37), "")</f>
        <v/>
      </c>
      <c r="F4768" s="4" t="str" cm="1">
        <f t="array" ref="F4768">IFERROR(INDEX(EmployeeData[Age], ROW() - 37), "")</f>
        <v/>
      </c>
      <c r="G4768" s="6" t="str" cm="1">
        <f t="array" ref="G4768">IFERROR(INDEX(EmployeeData[Join Date], ROW() - 37), "")</f>
        <v/>
      </c>
      <c r="H4768" s="6" t="str" cm="1">
        <f t="array" ref="H4768">IFERROR(IF(INDEX(EmployeeData[Exit Date], ROW() - 37)=0, "",INDEX(EmployeeData[Exit Date], ROW() - 37)),"")</f>
        <v/>
      </c>
      <c r="I4768" s="4" t="str" cm="1">
        <f t="array" ref="I4768">IFERROR(IF(INDEX(EmployeeData[Exit Reason], ROW() - 37)=0, "",INDEX(EmployeeData[Exit Reason], ROW() - 37)),"")</f>
        <v/>
      </c>
      <c r="J4768" s="4" t="str" cm="1">
        <f t="array" ref="J4768">IFERROR(INDEX(EmployeeData[Status], ROW() - 37), "")</f>
        <v/>
      </c>
    </row>
    <row r="4769" spans="2:10" ht="19.95" customHeight="1" x14ac:dyDescent="0.3">
      <c r="B4769" s="4" t="str" cm="1">
        <f t="array" ref="B4769">IFERROR(INDEX(EmployeeData[Employee ID], ROW() - 37), "")</f>
        <v/>
      </c>
      <c r="C4769" s="4" t="str" cm="1">
        <f t="array" ref="C4769">IFERROR(INDEX(EmployeeData[Full Name], ROW() - 37), "")</f>
        <v/>
      </c>
      <c r="D4769" s="4" t="str" cm="1">
        <f t="array" ref="D4769">IFERROR(INDEX(EmployeeData[Department], ROW() - 37), "")</f>
        <v/>
      </c>
      <c r="E4769" s="4" t="str" cm="1">
        <f t="array" ref="E4769">IFERROR(INDEX(EmployeeData[Gender], ROW() - 37), "")</f>
        <v/>
      </c>
      <c r="F4769" s="4" t="str" cm="1">
        <f t="array" ref="F4769">IFERROR(INDEX(EmployeeData[Age], ROW() - 37), "")</f>
        <v/>
      </c>
      <c r="G4769" s="6" t="str" cm="1">
        <f t="array" ref="G4769">IFERROR(INDEX(EmployeeData[Join Date], ROW() - 37), "")</f>
        <v/>
      </c>
      <c r="H4769" s="6" t="str" cm="1">
        <f t="array" ref="H4769">IFERROR(IF(INDEX(EmployeeData[Exit Date], ROW() - 37)=0, "",INDEX(EmployeeData[Exit Date], ROW() - 37)),"")</f>
        <v/>
      </c>
      <c r="I4769" s="4" t="str" cm="1">
        <f t="array" ref="I4769">IFERROR(IF(INDEX(EmployeeData[Exit Reason], ROW() - 37)=0, "",INDEX(EmployeeData[Exit Reason], ROW() - 37)),"")</f>
        <v/>
      </c>
      <c r="J4769" s="4" t="str" cm="1">
        <f t="array" ref="J4769">IFERROR(INDEX(EmployeeData[Status], ROW() - 37), "")</f>
        <v/>
      </c>
    </row>
    <row r="4770" spans="2:10" ht="19.95" customHeight="1" x14ac:dyDescent="0.3">
      <c r="B4770" s="4" t="str" cm="1">
        <f t="array" ref="B4770">IFERROR(INDEX(EmployeeData[Employee ID], ROW() - 37), "")</f>
        <v/>
      </c>
      <c r="C4770" s="4" t="str" cm="1">
        <f t="array" ref="C4770">IFERROR(INDEX(EmployeeData[Full Name], ROW() - 37), "")</f>
        <v/>
      </c>
      <c r="D4770" s="4" t="str" cm="1">
        <f t="array" ref="D4770">IFERROR(INDEX(EmployeeData[Department], ROW() - 37), "")</f>
        <v/>
      </c>
      <c r="E4770" s="4" t="str" cm="1">
        <f t="array" ref="E4770">IFERROR(INDEX(EmployeeData[Gender], ROW() - 37), "")</f>
        <v/>
      </c>
      <c r="F4770" s="4" t="str" cm="1">
        <f t="array" ref="F4770">IFERROR(INDEX(EmployeeData[Age], ROW() - 37), "")</f>
        <v/>
      </c>
      <c r="G4770" s="6" t="str" cm="1">
        <f t="array" ref="G4770">IFERROR(INDEX(EmployeeData[Join Date], ROW() - 37), "")</f>
        <v/>
      </c>
      <c r="H4770" s="6" t="str" cm="1">
        <f t="array" ref="H4770">IFERROR(IF(INDEX(EmployeeData[Exit Date], ROW() - 37)=0, "",INDEX(EmployeeData[Exit Date], ROW() - 37)),"")</f>
        <v/>
      </c>
      <c r="I4770" s="4" t="str" cm="1">
        <f t="array" ref="I4770">IFERROR(IF(INDEX(EmployeeData[Exit Reason], ROW() - 37)=0, "",INDEX(EmployeeData[Exit Reason], ROW() - 37)),"")</f>
        <v/>
      </c>
      <c r="J4770" s="4" t="str" cm="1">
        <f t="array" ref="J4770">IFERROR(INDEX(EmployeeData[Status], ROW() - 37), "")</f>
        <v/>
      </c>
    </row>
    <row r="4771" spans="2:10" ht="19.95" customHeight="1" x14ac:dyDescent="0.3">
      <c r="B4771" s="4" t="str" cm="1">
        <f t="array" ref="B4771">IFERROR(INDEX(EmployeeData[Employee ID], ROW() - 37), "")</f>
        <v/>
      </c>
      <c r="C4771" s="4" t="str" cm="1">
        <f t="array" ref="C4771">IFERROR(INDEX(EmployeeData[Full Name], ROW() - 37), "")</f>
        <v/>
      </c>
      <c r="D4771" s="4" t="str" cm="1">
        <f t="array" ref="D4771">IFERROR(INDEX(EmployeeData[Department], ROW() - 37), "")</f>
        <v/>
      </c>
      <c r="E4771" s="4" t="str" cm="1">
        <f t="array" ref="E4771">IFERROR(INDEX(EmployeeData[Gender], ROW() - 37), "")</f>
        <v/>
      </c>
      <c r="F4771" s="4" t="str" cm="1">
        <f t="array" ref="F4771">IFERROR(INDEX(EmployeeData[Age], ROW() - 37), "")</f>
        <v/>
      </c>
      <c r="G4771" s="6" t="str" cm="1">
        <f t="array" ref="G4771">IFERROR(INDEX(EmployeeData[Join Date], ROW() - 37), "")</f>
        <v/>
      </c>
      <c r="H4771" s="6" t="str" cm="1">
        <f t="array" ref="H4771">IFERROR(IF(INDEX(EmployeeData[Exit Date], ROW() - 37)=0, "",INDEX(EmployeeData[Exit Date], ROW() - 37)),"")</f>
        <v/>
      </c>
      <c r="I4771" s="4" t="str" cm="1">
        <f t="array" ref="I4771">IFERROR(IF(INDEX(EmployeeData[Exit Reason], ROW() - 37)=0, "",INDEX(EmployeeData[Exit Reason], ROW() - 37)),"")</f>
        <v/>
      </c>
      <c r="J4771" s="4" t="str" cm="1">
        <f t="array" ref="J4771">IFERROR(INDEX(EmployeeData[Status], ROW() - 37), "")</f>
        <v/>
      </c>
    </row>
    <row r="4772" spans="2:10" ht="19.95" customHeight="1" x14ac:dyDescent="0.3">
      <c r="B4772" s="4" t="str" cm="1">
        <f t="array" ref="B4772">IFERROR(INDEX(EmployeeData[Employee ID], ROW() - 37), "")</f>
        <v/>
      </c>
      <c r="C4772" s="4" t="str" cm="1">
        <f t="array" ref="C4772">IFERROR(INDEX(EmployeeData[Full Name], ROW() - 37), "")</f>
        <v/>
      </c>
      <c r="D4772" s="4" t="str" cm="1">
        <f t="array" ref="D4772">IFERROR(INDEX(EmployeeData[Department], ROW() - 37), "")</f>
        <v/>
      </c>
      <c r="E4772" s="4" t="str" cm="1">
        <f t="array" ref="E4772">IFERROR(INDEX(EmployeeData[Gender], ROW() - 37), "")</f>
        <v/>
      </c>
      <c r="F4772" s="4" t="str" cm="1">
        <f t="array" ref="F4772">IFERROR(INDEX(EmployeeData[Age], ROW() - 37), "")</f>
        <v/>
      </c>
      <c r="G4772" s="6" t="str" cm="1">
        <f t="array" ref="G4772">IFERROR(INDEX(EmployeeData[Join Date], ROW() - 37), "")</f>
        <v/>
      </c>
      <c r="H4772" s="6" t="str" cm="1">
        <f t="array" ref="H4772">IFERROR(IF(INDEX(EmployeeData[Exit Date], ROW() - 37)=0, "",INDEX(EmployeeData[Exit Date], ROW() - 37)),"")</f>
        <v/>
      </c>
      <c r="I4772" s="4" t="str" cm="1">
        <f t="array" ref="I4772">IFERROR(IF(INDEX(EmployeeData[Exit Reason], ROW() - 37)=0, "",INDEX(EmployeeData[Exit Reason], ROW() - 37)),"")</f>
        <v/>
      </c>
      <c r="J4772" s="4" t="str" cm="1">
        <f t="array" ref="J4772">IFERROR(INDEX(EmployeeData[Status], ROW() - 37), "")</f>
        <v/>
      </c>
    </row>
    <row r="4773" spans="2:10" ht="19.95" customHeight="1" x14ac:dyDescent="0.3">
      <c r="B4773" s="4" t="str" cm="1">
        <f t="array" ref="B4773">IFERROR(INDEX(EmployeeData[Employee ID], ROW() - 37), "")</f>
        <v/>
      </c>
      <c r="C4773" s="4" t="str" cm="1">
        <f t="array" ref="C4773">IFERROR(INDEX(EmployeeData[Full Name], ROW() - 37), "")</f>
        <v/>
      </c>
      <c r="D4773" s="4" t="str" cm="1">
        <f t="array" ref="D4773">IFERROR(INDEX(EmployeeData[Department], ROW() - 37), "")</f>
        <v/>
      </c>
      <c r="E4773" s="4" t="str" cm="1">
        <f t="array" ref="E4773">IFERROR(INDEX(EmployeeData[Gender], ROW() - 37), "")</f>
        <v/>
      </c>
      <c r="F4773" s="4" t="str" cm="1">
        <f t="array" ref="F4773">IFERROR(INDEX(EmployeeData[Age], ROW() - 37), "")</f>
        <v/>
      </c>
      <c r="G4773" s="6" t="str" cm="1">
        <f t="array" ref="G4773">IFERROR(INDEX(EmployeeData[Join Date], ROW() - 37), "")</f>
        <v/>
      </c>
      <c r="H4773" s="6" t="str" cm="1">
        <f t="array" ref="H4773">IFERROR(IF(INDEX(EmployeeData[Exit Date], ROW() - 37)=0, "",INDEX(EmployeeData[Exit Date], ROW() - 37)),"")</f>
        <v/>
      </c>
      <c r="I4773" s="4" t="str" cm="1">
        <f t="array" ref="I4773">IFERROR(IF(INDEX(EmployeeData[Exit Reason], ROW() - 37)=0, "",INDEX(EmployeeData[Exit Reason], ROW() - 37)),"")</f>
        <v/>
      </c>
      <c r="J4773" s="4" t="str" cm="1">
        <f t="array" ref="J4773">IFERROR(INDEX(EmployeeData[Status], ROW() - 37), "")</f>
        <v/>
      </c>
    </row>
    <row r="4774" spans="2:10" ht="19.95" customHeight="1" x14ac:dyDescent="0.3">
      <c r="B4774" s="4" t="str" cm="1">
        <f t="array" ref="B4774">IFERROR(INDEX(EmployeeData[Employee ID], ROW() - 37), "")</f>
        <v/>
      </c>
      <c r="C4774" s="4" t="str" cm="1">
        <f t="array" ref="C4774">IFERROR(INDEX(EmployeeData[Full Name], ROW() - 37), "")</f>
        <v/>
      </c>
      <c r="D4774" s="4" t="str" cm="1">
        <f t="array" ref="D4774">IFERROR(INDEX(EmployeeData[Department], ROW() - 37), "")</f>
        <v/>
      </c>
      <c r="E4774" s="4" t="str" cm="1">
        <f t="array" ref="E4774">IFERROR(INDEX(EmployeeData[Gender], ROW() - 37), "")</f>
        <v/>
      </c>
      <c r="F4774" s="4" t="str" cm="1">
        <f t="array" ref="F4774">IFERROR(INDEX(EmployeeData[Age], ROW() - 37), "")</f>
        <v/>
      </c>
      <c r="G4774" s="6" t="str" cm="1">
        <f t="array" ref="G4774">IFERROR(INDEX(EmployeeData[Join Date], ROW() - 37), "")</f>
        <v/>
      </c>
      <c r="H4774" s="6" t="str" cm="1">
        <f t="array" ref="H4774">IFERROR(IF(INDEX(EmployeeData[Exit Date], ROW() - 37)=0, "",INDEX(EmployeeData[Exit Date], ROW() - 37)),"")</f>
        <v/>
      </c>
      <c r="I4774" s="4" t="str" cm="1">
        <f t="array" ref="I4774">IFERROR(IF(INDEX(EmployeeData[Exit Reason], ROW() - 37)=0, "",INDEX(EmployeeData[Exit Reason], ROW() - 37)),"")</f>
        <v/>
      </c>
      <c r="J4774" s="4" t="str" cm="1">
        <f t="array" ref="J4774">IFERROR(INDEX(EmployeeData[Status], ROW() - 37), "")</f>
        <v/>
      </c>
    </row>
    <row r="4775" spans="2:10" ht="19.95" customHeight="1" x14ac:dyDescent="0.3">
      <c r="B4775" s="4" t="str" cm="1">
        <f t="array" ref="B4775">IFERROR(INDEX(EmployeeData[Employee ID], ROW() - 37), "")</f>
        <v/>
      </c>
      <c r="C4775" s="4" t="str" cm="1">
        <f t="array" ref="C4775">IFERROR(INDEX(EmployeeData[Full Name], ROW() - 37), "")</f>
        <v/>
      </c>
      <c r="D4775" s="4" t="str" cm="1">
        <f t="array" ref="D4775">IFERROR(INDEX(EmployeeData[Department], ROW() - 37), "")</f>
        <v/>
      </c>
      <c r="E4775" s="4" t="str" cm="1">
        <f t="array" ref="E4775">IFERROR(INDEX(EmployeeData[Gender], ROW() - 37), "")</f>
        <v/>
      </c>
      <c r="F4775" s="4" t="str" cm="1">
        <f t="array" ref="F4775">IFERROR(INDEX(EmployeeData[Age], ROW() - 37), "")</f>
        <v/>
      </c>
      <c r="G4775" s="6" t="str" cm="1">
        <f t="array" ref="G4775">IFERROR(INDEX(EmployeeData[Join Date], ROW() - 37), "")</f>
        <v/>
      </c>
      <c r="H4775" s="6" t="str" cm="1">
        <f t="array" ref="H4775">IFERROR(IF(INDEX(EmployeeData[Exit Date], ROW() - 37)=0, "",INDEX(EmployeeData[Exit Date], ROW() - 37)),"")</f>
        <v/>
      </c>
      <c r="I4775" s="4" t="str" cm="1">
        <f t="array" ref="I4775">IFERROR(IF(INDEX(EmployeeData[Exit Reason], ROW() - 37)=0, "",INDEX(EmployeeData[Exit Reason], ROW() - 37)),"")</f>
        <v/>
      </c>
      <c r="J4775" s="4" t="str" cm="1">
        <f t="array" ref="J4775">IFERROR(INDEX(EmployeeData[Status], ROW() - 37), "")</f>
        <v/>
      </c>
    </row>
    <row r="4776" spans="2:10" ht="19.95" customHeight="1" x14ac:dyDescent="0.3">
      <c r="B4776" s="4" t="str" cm="1">
        <f t="array" ref="B4776">IFERROR(INDEX(EmployeeData[Employee ID], ROW() - 37), "")</f>
        <v/>
      </c>
      <c r="C4776" s="4" t="str" cm="1">
        <f t="array" ref="C4776">IFERROR(INDEX(EmployeeData[Full Name], ROW() - 37), "")</f>
        <v/>
      </c>
      <c r="D4776" s="4" t="str" cm="1">
        <f t="array" ref="D4776">IFERROR(INDEX(EmployeeData[Department], ROW() - 37), "")</f>
        <v/>
      </c>
      <c r="E4776" s="4" t="str" cm="1">
        <f t="array" ref="E4776">IFERROR(INDEX(EmployeeData[Gender], ROW() - 37), "")</f>
        <v/>
      </c>
      <c r="F4776" s="4" t="str" cm="1">
        <f t="array" ref="F4776">IFERROR(INDEX(EmployeeData[Age], ROW() - 37), "")</f>
        <v/>
      </c>
      <c r="G4776" s="6" t="str" cm="1">
        <f t="array" ref="G4776">IFERROR(INDEX(EmployeeData[Join Date], ROW() - 37), "")</f>
        <v/>
      </c>
      <c r="H4776" s="6" t="str" cm="1">
        <f t="array" ref="H4776">IFERROR(IF(INDEX(EmployeeData[Exit Date], ROW() - 37)=0, "",INDEX(EmployeeData[Exit Date], ROW() - 37)),"")</f>
        <v/>
      </c>
      <c r="I4776" s="4" t="str" cm="1">
        <f t="array" ref="I4776">IFERROR(IF(INDEX(EmployeeData[Exit Reason], ROW() - 37)=0, "",INDEX(EmployeeData[Exit Reason], ROW() - 37)),"")</f>
        <v/>
      </c>
      <c r="J4776" s="4" t="str" cm="1">
        <f t="array" ref="J4776">IFERROR(INDEX(EmployeeData[Status], ROW() - 37), "")</f>
        <v/>
      </c>
    </row>
    <row r="4777" spans="2:10" ht="19.95" customHeight="1" x14ac:dyDescent="0.3">
      <c r="B4777" s="4" t="str" cm="1">
        <f t="array" ref="B4777">IFERROR(INDEX(EmployeeData[Employee ID], ROW() - 37), "")</f>
        <v/>
      </c>
      <c r="C4777" s="4" t="str" cm="1">
        <f t="array" ref="C4777">IFERROR(INDEX(EmployeeData[Full Name], ROW() - 37), "")</f>
        <v/>
      </c>
      <c r="D4777" s="4" t="str" cm="1">
        <f t="array" ref="D4777">IFERROR(INDEX(EmployeeData[Department], ROW() - 37), "")</f>
        <v/>
      </c>
      <c r="E4777" s="4" t="str" cm="1">
        <f t="array" ref="E4777">IFERROR(INDEX(EmployeeData[Gender], ROW() - 37), "")</f>
        <v/>
      </c>
      <c r="F4777" s="4" t="str" cm="1">
        <f t="array" ref="F4777">IFERROR(INDEX(EmployeeData[Age], ROW() - 37), "")</f>
        <v/>
      </c>
      <c r="G4777" s="6" t="str" cm="1">
        <f t="array" ref="G4777">IFERROR(INDEX(EmployeeData[Join Date], ROW() - 37), "")</f>
        <v/>
      </c>
      <c r="H4777" s="6" t="str" cm="1">
        <f t="array" ref="H4777">IFERROR(IF(INDEX(EmployeeData[Exit Date], ROW() - 37)=0, "",INDEX(EmployeeData[Exit Date], ROW() - 37)),"")</f>
        <v/>
      </c>
      <c r="I4777" s="4" t="str" cm="1">
        <f t="array" ref="I4777">IFERROR(IF(INDEX(EmployeeData[Exit Reason], ROW() - 37)=0, "",INDEX(EmployeeData[Exit Reason], ROW() - 37)),"")</f>
        <v/>
      </c>
      <c r="J4777" s="4" t="str" cm="1">
        <f t="array" ref="J4777">IFERROR(INDEX(EmployeeData[Status], ROW() - 37), "")</f>
        <v/>
      </c>
    </row>
    <row r="4778" spans="2:10" ht="19.95" customHeight="1" x14ac:dyDescent="0.3">
      <c r="B4778" s="4" t="str" cm="1">
        <f t="array" ref="B4778">IFERROR(INDEX(EmployeeData[Employee ID], ROW() - 37), "")</f>
        <v/>
      </c>
      <c r="C4778" s="4" t="str" cm="1">
        <f t="array" ref="C4778">IFERROR(INDEX(EmployeeData[Full Name], ROW() - 37), "")</f>
        <v/>
      </c>
      <c r="D4778" s="4" t="str" cm="1">
        <f t="array" ref="D4778">IFERROR(INDEX(EmployeeData[Department], ROW() - 37), "")</f>
        <v/>
      </c>
      <c r="E4778" s="4" t="str" cm="1">
        <f t="array" ref="E4778">IFERROR(INDEX(EmployeeData[Gender], ROW() - 37), "")</f>
        <v/>
      </c>
      <c r="F4778" s="4" t="str" cm="1">
        <f t="array" ref="F4778">IFERROR(INDEX(EmployeeData[Age], ROW() - 37), "")</f>
        <v/>
      </c>
      <c r="G4778" s="6" t="str" cm="1">
        <f t="array" ref="G4778">IFERROR(INDEX(EmployeeData[Join Date], ROW() - 37), "")</f>
        <v/>
      </c>
      <c r="H4778" s="6" t="str" cm="1">
        <f t="array" ref="H4778">IFERROR(IF(INDEX(EmployeeData[Exit Date], ROW() - 37)=0, "",INDEX(EmployeeData[Exit Date], ROW() - 37)),"")</f>
        <v/>
      </c>
      <c r="I4778" s="4" t="str" cm="1">
        <f t="array" ref="I4778">IFERROR(IF(INDEX(EmployeeData[Exit Reason], ROW() - 37)=0, "",INDEX(EmployeeData[Exit Reason], ROW() - 37)),"")</f>
        <v/>
      </c>
      <c r="J4778" s="4" t="str" cm="1">
        <f t="array" ref="J4778">IFERROR(INDEX(EmployeeData[Status], ROW() - 37), "")</f>
        <v/>
      </c>
    </row>
    <row r="4779" spans="2:10" ht="19.95" customHeight="1" x14ac:dyDescent="0.3">
      <c r="B4779" s="4" t="str" cm="1">
        <f t="array" ref="B4779">IFERROR(INDEX(EmployeeData[Employee ID], ROW() - 37), "")</f>
        <v/>
      </c>
      <c r="C4779" s="4" t="str" cm="1">
        <f t="array" ref="C4779">IFERROR(INDEX(EmployeeData[Full Name], ROW() - 37), "")</f>
        <v/>
      </c>
      <c r="D4779" s="4" t="str" cm="1">
        <f t="array" ref="D4779">IFERROR(INDEX(EmployeeData[Department], ROW() - 37), "")</f>
        <v/>
      </c>
      <c r="E4779" s="4" t="str" cm="1">
        <f t="array" ref="E4779">IFERROR(INDEX(EmployeeData[Gender], ROW() - 37), "")</f>
        <v/>
      </c>
      <c r="F4779" s="4" t="str" cm="1">
        <f t="array" ref="F4779">IFERROR(INDEX(EmployeeData[Age], ROW() - 37), "")</f>
        <v/>
      </c>
      <c r="G4779" s="6" t="str" cm="1">
        <f t="array" ref="G4779">IFERROR(INDEX(EmployeeData[Join Date], ROW() - 37), "")</f>
        <v/>
      </c>
      <c r="H4779" s="6" t="str" cm="1">
        <f t="array" ref="H4779">IFERROR(IF(INDEX(EmployeeData[Exit Date], ROW() - 37)=0, "",INDEX(EmployeeData[Exit Date], ROW() - 37)),"")</f>
        <v/>
      </c>
      <c r="I4779" s="4" t="str" cm="1">
        <f t="array" ref="I4779">IFERROR(IF(INDEX(EmployeeData[Exit Reason], ROW() - 37)=0, "",INDEX(EmployeeData[Exit Reason], ROW() - 37)),"")</f>
        <v/>
      </c>
      <c r="J4779" s="4" t="str" cm="1">
        <f t="array" ref="J4779">IFERROR(INDEX(EmployeeData[Status], ROW() - 37), "")</f>
        <v/>
      </c>
    </row>
    <row r="4780" spans="2:10" ht="19.95" customHeight="1" x14ac:dyDescent="0.3">
      <c r="B4780" s="4" t="str" cm="1">
        <f t="array" ref="B4780">IFERROR(INDEX(EmployeeData[Employee ID], ROW() - 37), "")</f>
        <v/>
      </c>
      <c r="C4780" s="4" t="str" cm="1">
        <f t="array" ref="C4780">IFERROR(INDEX(EmployeeData[Full Name], ROW() - 37), "")</f>
        <v/>
      </c>
      <c r="D4780" s="4" t="str" cm="1">
        <f t="array" ref="D4780">IFERROR(INDEX(EmployeeData[Department], ROW() - 37), "")</f>
        <v/>
      </c>
      <c r="E4780" s="4" t="str" cm="1">
        <f t="array" ref="E4780">IFERROR(INDEX(EmployeeData[Gender], ROW() - 37), "")</f>
        <v/>
      </c>
      <c r="F4780" s="4" t="str" cm="1">
        <f t="array" ref="F4780">IFERROR(INDEX(EmployeeData[Age], ROW() - 37), "")</f>
        <v/>
      </c>
      <c r="G4780" s="6" t="str" cm="1">
        <f t="array" ref="G4780">IFERROR(INDEX(EmployeeData[Join Date], ROW() - 37), "")</f>
        <v/>
      </c>
      <c r="H4780" s="6" t="str" cm="1">
        <f t="array" ref="H4780">IFERROR(IF(INDEX(EmployeeData[Exit Date], ROW() - 37)=0, "",INDEX(EmployeeData[Exit Date], ROW() - 37)),"")</f>
        <v/>
      </c>
      <c r="I4780" s="4" t="str" cm="1">
        <f t="array" ref="I4780">IFERROR(IF(INDEX(EmployeeData[Exit Reason], ROW() - 37)=0, "",INDEX(EmployeeData[Exit Reason], ROW() - 37)),"")</f>
        <v/>
      </c>
      <c r="J4780" s="4" t="str" cm="1">
        <f t="array" ref="J4780">IFERROR(INDEX(EmployeeData[Status], ROW() - 37), "")</f>
        <v/>
      </c>
    </row>
    <row r="4781" spans="2:10" ht="19.95" customHeight="1" x14ac:dyDescent="0.3">
      <c r="B4781" s="4" t="str" cm="1">
        <f t="array" ref="B4781">IFERROR(INDEX(EmployeeData[Employee ID], ROW() - 37), "")</f>
        <v/>
      </c>
      <c r="C4781" s="4" t="str" cm="1">
        <f t="array" ref="C4781">IFERROR(INDEX(EmployeeData[Full Name], ROW() - 37), "")</f>
        <v/>
      </c>
      <c r="D4781" s="4" t="str" cm="1">
        <f t="array" ref="D4781">IFERROR(INDEX(EmployeeData[Department], ROW() - 37), "")</f>
        <v/>
      </c>
      <c r="E4781" s="4" t="str" cm="1">
        <f t="array" ref="E4781">IFERROR(INDEX(EmployeeData[Gender], ROW() - 37), "")</f>
        <v/>
      </c>
      <c r="F4781" s="4" t="str" cm="1">
        <f t="array" ref="F4781">IFERROR(INDEX(EmployeeData[Age], ROW() - 37), "")</f>
        <v/>
      </c>
      <c r="G4781" s="6" t="str" cm="1">
        <f t="array" ref="G4781">IFERROR(INDEX(EmployeeData[Join Date], ROW() - 37), "")</f>
        <v/>
      </c>
      <c r="H4781" s="6" t="str" cm="1">
        <f t="array" ref="H4781">IFERROR(IF(INDEX(EmployeeData[Exit Date], ROW() - 37)=0, "",INDEX(EmployeeData[Exit Date], ROW() - 37)),"")</f>
        <v/>
      </c>
      <c r="I4781" s="4" t="str" cm="1">
        <f t="array" ref="I4781">IFERROR(IF(INDEX(EmployeeData[Exit Reason], ROW() - 37)=0, "",INDEX(EmployeeData[Exit Reason], ROW() - 37)),"")</f>
        <v/>
      </c>
      <c r="J4781" s="4" t="str" cm="1">
        <f t="array" ref="J4781">IFERROR(INDEX(EmployeeData[Status], ROW() - 37), "")</f>
        <v/>
      </c>
    </row>
    <row r="4782" spans="2:10" ht="19.95" customHeight="1" x14ac:dyDescent="0.3">
      <c r="B4782" s="4" t="str" cm="1">
        <f t="array" ref="B4782">IFERROR(INDEX(EmployeeData[Employee ID], ROW() - 37), "")</f>
        <v/>
      </c>
      <c r="C4782" s="4" t="str" cm="1">
        <f t="array" ref="C4782">IFERROR(INDEX(EmployeeData[Full Name], ROW() - 37), "")</f>
        <v/>
      </c>
      <c r="D4782" s="4" t="str" cm="1">
        <f t="array" ref="D4782">IFERROR(INDEX(EmployeeData[Department], ROW() - 37), "")</f>
        <v/>
      </c>
      <c r="E4782" s="4" t="str" cm="1">
        <f t="array" ref="E4782">IFERROR(INDEX(EmployeeData[Gender], ROW() - 37), "")</f>
        <v/>
      </c>
      <c r="F4782" s="4" t="str" cm="1">
        <f t="array" ref="F4782">IFERROR(INDEX(EmployeeData[Age], ROW() - 37), "")</f>
        <v/>
      </c>
      <c r="G4782" s="6" t="str" cm="1">
        <f t="array" ref="G4782">IFERROR(INDEX(EmployeeData[Join Date], ROW() - 37), "")</f>
        <v/>
      </c>
      <c r="H4782" s="6" t="str" cm="1">
        <f t="array" ref="H4782">IFERROR(IF(INDEX(EmployeeData[Exit Date], ROW() - 37)=0, "",INDEX(EmployeeData[Exit Date], ROW() - 37)),"")</f>
        <v/>
      </c>
      <c r="I4782" s="4" t="str" cm="1">
        <f t="array" ref="I4782">IFERROR(IF(INDEX(EmployeeData[Exit Reason], ROW() - 37)=0, "",INDEX(EmployeeData[Exit Reason], ROW() - 37)),"")</f>
        <v/>
      </c>
      <c r="J4782" s="4" t="str" cm="1">
        <f t="array" ref="J4782">IFERROR(INDEX(EmployeeData[Status], ROW() - 37), "")</f>
        <v/>
      </c>
    </row>
    <row r="4783" spans="2:10" ht="19.95" customHeight="1" x14ac:dyDescent="0.3">
      <c r="B4783" s="4" t="str" cm="1">
        <f t="array" ref="B4783">IFERROR(INDEX(EmployeeData[Employee ID], ROW() - 37), "")</f>
        <v/>
      </c>
      <c r="C4783" s="4" t="str" cm="1">
        <f t="array" ref="C4783">IFERROR(INDEX(EmployeeData[Full Name], ROW() - 37), "")</f>
        <v/>
      </c>
      <c r="D4783" s="4" t="str" cm="1">
        <f t="array" ref="D4783">IFERROR(INDEX(EmployeeData[Department], ROW() - 37), "")</f>
        <v/>
      </c>
      <c r="E4783" s="4" t="str" cm="1">
        <f t="array" ref="E4783">IFERROR(INDEX(EmployeeData[Gender], ROW() - 37), "")</f>
        <v/>
      </c>
      <c r="F4783" s="4" t="str" cm="1">
        <f t="array" ref="F4783">IFERROR(INDEX(EmployeeData[Age], ROW() - 37), "")</f>
        <v/>
      </c>
      <c r="G4783" s="6" t="str" cm="1">
        <f t="array" ref="G4783">IFERROR(INDEX(EmployeeData[Join Date], ROW() - 37), "")</f>
        <v/>
      </c>
      <c r="H4783" s="6" t="str" cm="1">
        <f t="array" ref="H4783">IFERROR(IF(INDEX(EmployeeData[Exit Date], ROW() - 37)=0, "",INDEX(EmployeeData[Exit Date], ROW() - 37)),"")</f>
        <v/>
      </c>
      <c r="I4783" s="4" t="str" cm="1">
        <f t="array" ref="I4783">IFERROR(IF(INDEX(EmployeeData[Exit Reason], ROW() - 37)=0, "",INDEX(EmployeeData[Exit Reason], ROW() - 37)),"")</f>
        <v/>
      </c>
      <c r="J4783" s="4" t="str" cm="1">
        <f t="array" ref="J4783">IFERROR(INDEX(EmployeeData[Status], ROW() - 37), "")</f>
        <v/>
      </c>
    </row>
    <row r="4784" spans="2:10" ht="19.95" customHeight="1" x14ac:dyDescent="0.3">
      <c r="B4784" s="4" t="str" cm="1">
        <f t="array" ref="B4784">IFERROR(INDEX(EmployeeData[Employee ID], ROW() - 37), "")</f>
        <v/>
      </c>
      <c r="C4784" s="4" t="str" cm="1">
        <f t="array" ref="C4784">IFERROR(INDEX(EmployeeData[Full Name], ROW() - 37), "")</f>
        <v/>
      </c>
      <c r="D4784" s="4" t="str" cm="1">
        <f t="array" ref="D4784">IFERROR(INDEX(EmployeeData[Department], ROW() - 37), "")</f>
        <v/>
      </c>
      <c r="E4784" s="4" t="str" cm="1">
        <f t="array" ref="E4784">IFERROR(INDEX(EmployeeData[Gender], ROW() - 37), "")</f>
        <v/>
      </c>
      <c r="F4784" s="4" t="str" cm="1">
        <f t="array" ref="F4784">IFERROR(INDEX(EmployeeData[Age], ROW() - 37), "")</f>
        <v/>
      </c>
      <c r="G4784" s="6" t="str" cm="1">
        <f t="array" ref="G4784">IFERROR(INDEX(EmployeeData[Join Date], ROW() - 37), "")</f>
        <v/>
      </c>
      <c r="H4784" s="6" t="str" cm="1">
        <f t="array" ref="H4784">IFERROR(IF(INDEX(EmployeeData[Exit Date], ROW() - 37)=0, "",INDEX(EmployeeData[Exit Date], ROW() - 37)),"")</f>
        <v/>
      </c>
      <c r="I4784" s="4" t="str" cm="1">
        <f t="array" ref="I4784">IFERROR(IF(INDEX(EmployeeData[Exit Reason], ROW() - 37)=0, "",INDEX(EmployeeData[Exit Reason], ROW() - 37)),"")</f>
        <v/>
      </c>
      <c r="J4784" s="4" t="str" cm="1">
        <f t="array" ref="J4784">IFERROR(INDEX(EmployeeData[Status], ROW() - 37), "")</f>
        <v/>
      </c>
    </row>
    <row r="4785" spans="2:10" ht="19.95" customHeight="1" x14ac:dyDescent="0.3">
      <c r="B4785" s="4" t="str" cm="1">
        <f t="array" ref="B4785">IFERROR(INDEX(EmployeeData[Employee ID], ROW() - 37), "")</f>
        <v/>
      </c>
      <c r="C4785" s="4" t="str" cm="1">
        <f t="array" ref="C4785">IFERROR(INDEX(EmployeeData[Full Name], ROW() - 37), "")</f>
        <v/>
      </c>
      <c r="D4785" s="4" t="str" cm="1">
        <f t="array" ref="D4785">IFERROR(INDEX(EmployeeData[Department], ROW() - 37), "")</f>
        <v/>
      </c>
      <c r="E4785" s="4" t="str" cm="1">
        <f t="array" ref="E4785">IFERROR(INDEX(EmployeeData[Gender], ROW() - 37), "")</f>
        <v/>
      </c>
      <c r="F4785" s="4" t="str" cm="1">
        <f t="array" ref="F4785">IFERROR(INDEX(EmployeeData[Age], ROW() - 37), "")</f>
        <v/>
      </c>
      <c r="G4785" s="6" t="str" cm="1">
        <f t="array" ref="G4785">IFERROR(INDEX(EmployeeData[Join Date], ROW() - 37), "")</f>
        <v/>
      </c>
      <c r="H4785" s="6" t="str" cm="1">
        <f t="array" ref="H4785">IFERROR(IF(INDEX(EmployeeData[Exit Date], ROW() - 37)=0, "",INDEX(EmployeeData[Exit Date], ROW() - 37)),"")</f>
        <v/>
      </c>
      <c r="I4785" s="4" t="str" cm="1">
        <f t="array" ref="I4785">IFERROR(IF(INDEX(EmployeeData[Exit Reason], ROW() - 37)=0, "",INDEX(EmployeeData[Exit Reason], ROW() - 37)),"")</f>
        <v/>
      </c>
      <c r="J4785" s="4" t="str" cm="1">
        <f t="array" ref="J4785">IFERROR(INDEX(EmployeeData[Status], ROW() - 37), "")</f>
        <v/>
      </c>
    </row>
    <row r="4786" spans="2:10" ht="19.95" customHeight="1" x14ac:dyDescent="0.3">
      <c r="B4786" s="4" t="str" cm="1">
        <f t="array" ref="B4786">IFERROR(INDEX(EmployeeData[Employee ID], ROW() - 37), "")</f>
        <v/>
      </c>
      <c r="C4786" s="4" t="str" cm="1">
        <f t="array" ref="C4786">IFERROR(INDEX(EmployeeData[Full Name], ROW() - 37), "")</f>
        <v/>
      </c>
      <c r="D4786" s="4" t="str" cm="1">
        <f t="array" ref="D4786">IFERROR(INDEX(EmployeeData[Department], ROW() - 37), "")</f>
        <v/>
      </c>
      <c r="E4786" s="4" t="str" cm="1">
        <f t="array" ref="E4786">IFERROR(INDEX(EmployeeData[Gender], ROW() - 37), "")</f>
        <v/>
      </c>
      <c r="F4786" s="4" t="str" cm="1">
        <f t="array" ref="F4786">IFERROR(INDEX(EmployeeData[Age], ROW() - 37), "")</f>
        <v/>
      </c>
      <c r="G4786" s="6" t="str" cm="1">
        <f t="array" ref="G4786">IFERROR(INDEX(EmployeeData[Join Date], ROW() - 37), "")</f>
        <v/>
      </c>
      <c r="H4786" s="6" t="str" cm="1">
        <f t="array" ref="H4786">IFERROR(IF(INDEX(EmployeeData[Exit Date], ROW() - 37)=0, "",INDEX(EmployeeData[Exit Date], ROW() - 37)),"")</f>
        <v/>
      </c>
      <c r="I4786" s="4" t="str" cm="1">
        <f t="array" ref="I4786">IFERROR(IF(INDEX(EmployeeData[Exit Reason], ROW() - 37)=0, "",INDEX(EmployeeData[Exit Reason], ROW() - 37)),"")</f>
        <v/>
      </c>
      <c r="J4786" s="4" t="str" cm="1">
        <f t="array" ref="J4786">IFERROR(INDEX(EmployeeData[Status], ROW() - 37), "")</f>
        <v/>
      </c>
    </row>
    <row r="4787" spans="2:10" ht="19.95" customHeight="1" x14ac:dyDescent="0.3">
      <c r="B4787" s="4" t="str" cm="1">
        <f t="array" ref="B4787">IFERROR(INDEX(EmployeeData[Employee ID], ROW() - 37), "")</f>
        <v/>
      </c>
      <c r="C4787" s="4" t="str" cm="1">
        <f t="array" ref="C4787">IFERROR(INDEX(EmployeeData[Full Name], ROW() - 37), "")</f>
        <v/>
      </c>
      <c r="D4787" s="4" t="str" cm="1">
        <f t="array" ref="D4787">IFERROR(INDEX(EmployeeData[Department], ROW() - 37), "")</f>
        <v/>
      </c>
      <c r="E4787" s="4" t="str" cm="1">
        <f t="array" ref="E4787">IFERROR(INDEX(EmployeeData[Gender], ROW() - 37), "")</f>
        <v/>
      </c>
      <c r="F4787" s="4" t="str" cm="1">
        <f t="array" ref="F4787">IFERROR(INDEX(EmployeeData[Age], ROW() - 37), "")</f>
        <v/>
      </c>
      <c r="G4787" s="6" t="str" cm="1">
        <f t="array" ref="G4787">IFERROR(INDEX(EmployeeData[Join Date], ROW() - 37), "")</f>
        <v/>
      </c>
      <c r="H4787" s="6" t="str" cm="1">
        <f t="array" ref="H4787">IFERROR(IF(INDEX(EmployeeData[Exit Date], ROW() - 37)=0, "",INDEX(EmployeeData[Exit Date], ROW() - 37)),"")</f>
        <v/>
      </c>
      <c r="I4787" s="4" t="str" cm="1">
        <f t="array" ref="I4787">IFERROR(IF(INDEX(EmployeeData[Exit Reason], ROW() - 37)=0, "",INDEX(EmployeeData[Exit Reason], ROW() - 37)),"")</f>
        <v/>
      </c>
      <c r="J4787" s="4" t="str" cm="1">
        <f t="array" ref="J4787">IFERROR(INDEX(EmployeeData[Status], ROW() - 37), "")</f>
        <v/>
      </c>
    </row>
    <row r="4788" spans="2:10" ht="19.95" customHeight="1" x14ac:dyDescent="0.3">
      <c r="B4788" s="4" t="str" cm="1">
        <f t="array" ref="B4788">IFERROR(INDEX(EmployeeData[Employee ID], ROW() - 37), "")</f>
        <v/>
      </c>
      <c r="C4788" s="4" t="str" cm="1">
        <f t="array" ref="C4788">IFERROR(INDEX(EmployeeData[Full Name], ROW() - 37), "")</f>
        <v/>
      </c>
      <c r="D4788" s="4" t="str" cm="1">
        <f t="array" ref="D4788">IFERROR(INDEX(EmployeeData[Department], ROW() - 37), "")</f>
        <v/>
      </c>
      <c r="E4788" s="4" t="str" cm="1">
        <f t="array" ref="E4788">IFERROR(INDEX(EmployeeData[Gender], ROW() - 37), "")</f>
        <v/>
      </c>
      <c r="F4788" s="4" t="str" cm="1">
        <f t="array" ref="F4788">IFERROR(INDEX(EmployeeData[Age], ROW() - 37), "")</f>
        <v/>
      </c>
      <c r="G4788" s="6" t="str" cm="1">
        <f t="array" ref="G4788">IFERROR(INDEX(EmployeeData[Join Date], ROW() - 37), "")</f>
        <v/>
      </c>
      <c r="H4788" s="6" t="str" cm="1">
        <f t="array" ref="H4788">IFERROR(IF(INDEX(EmployeeData[Exit Date], ROW() - 37)=0, "",INDEX(EmployeeData[Exit Date], ROW() - 37)),"")</f>
        <v/>
      </c>
      <c r="I4788" s="4" t="str" cm="1">
        <f t="array" ref="I4788">IFERROR(IF(INDEX(EmployeeData[Exit Reason], ROW() - 37)=0, "",INDEX(EmployeeData[Exit Reason], ROW() - 37)),"")</f>
        <v/>
      </c>
      <c r="J4788" s="4" t="str" cm="1">
        <f t="array" ref="J4788">IFERROR(INDEX(EmployeeData[Status], ROW() - 37), "")</f>
        <v/>
      </c>
    </row>
    <row r="4789" spans="2:10" ht="19.95" customHeight="1" x14ac:dyDescent="0.3">
      <c r="B4789" s="4" t="str" cm="1">
        <f t="array" ref="B4789">IFERROR(INDEX(EmployeeData[Employee ID], ROW() - 37), "")</f>
        <v/>
      </c>
      <c r="C4789" s="4" t="str" cm="1">
        <f t="array" ref="C4789">IFERROR(INDEX(EmployeeData[Full Name], ROW() - 37), "")</f>
        <v/>
      </c>
      <c r="D4789" s="4" t="str" cm="1">
        <f t="array" ref="D4789">IFERROR(INDEX(EmployeeData[Department], ROW() - 37), "")</f>
        <v/>
      </c>
      <c r="E4789" s="4" t="str" cm="1">
        <f t="array" ref="E4789">IFERROR(INDEX(EmployeeData[Gender], ROW() - 37), "")</f>
        <v/>
      </c>
      <c r="F4789" s="4" t="str" cm="1">
        <f t="array" ref="F4789">IFERROR(INDEX(EmployeeData[Age], ROW() - 37), "")</f>
        <v/>
      </c>
      <c r="G4789" s="6" t="str" cm="1">
        <f t="array" ref="G4789">IFERROR(INDEX(EmployeeData[Join Date], ROW() - 37), "")</f>
        <v/>
      </c>
      <c r="H4789" s="6" t="str" cm="1">
        <f t="array" ref="H4789">IFERROR(IF(INDEX(EmployeeData[Exit Date], ROW() - 37)=0, "",INDEX(EmployeeData[Exit Date], ROW() - 37)),"")</f>
        <v/>
      </c>
      <c r="I4789" s="4" t="str" cm="1">
        <f t="array" ref="I4789">IFERROR(IF(INDEX(EmployeeData[Exit Reason], ROW() - 37)=0, "",INDEX(EmployeeData[Exit Reason], ROW() - 37)),"")</f>
        <v/>
      </c>
      <c r="J4789" s="4" t="str" cm="1">
        <f t="array" ref="J4789">IFERROR(INDEX(EmployeeData[Status], ROW() - 37), "")</f>
        <v/>
      </c>
    </row>
    <row r="4790" spans="2:10" ht="19.95" customHeight="1" x14ac:dyDescent="0.3">
      <c r="B4790" s="4" t="str" cm="1">
        <f t="array" ref="B4790">IFERROR(INDEX(EmployeeData[Employee ID], ROW() - 37), "")</f>
        <v/>
      </c>
      <c r="C4790" s="4" t="str" cm="1">
        <f t="array" ref="C4790">IFERROR(INDEX(EmployeeData[Full Name], ROW() - 37), "")</f>
        <v/>
      </c>
      <c r="D4790" s="4" t="str" cm="1">
        <f t="array" ref="D4790">IFERROR(INDEX(EmployeeData[Department], ROW() - 37), "")</f>
        <v/>
      </c>
      <c r="E4790" s="4" t="str" cm="1">
        <f t="array" ref="E4790">IFERROR(INDEX(EmployeeData[Gender], ROW() - 37), "")</f>
        <v/>
      </c>
      <c r="F4790" s="4" t="str" cm="1">
        <f t="array" ref="F4790">IFERROR(INDEX(EmployeeData[Age], ROW() - 37), "")</f>
        <v/>
      </c>
      <c r="G4790" s="6" t="str" cm="1">
        <f t="array" ref="G4790">IFERROR(INDEX(EmployeeData[Join Date], ROW() - 37), "")</f>
        <v/>
      </c>
      <c r="H4790" s="6" t="str" cm="1">
        <f t="array" ref="H4790">IFERROR(IF(INDEX(EmployeeData[Exit Date], ROW() - 37)=0, "",INDEX(EmployeeData[Exit Date], ROW() - 37)),"")</f>
        <v/>
      </c>
      <c r="I4790" s="4" t="str" cm="1">
        <f t="array" ref="I4790">IFERROR(IF(INDEX(EmployeeData[Exit Reason], ROW() - 37)=0, "",INDEX(EmployeeData[Exit Reason], ROW() - 37)),"")</f>
        <v/>
      </c>
      <c r="J4790" s="4" t="str" cm="1">
        <f t="array" ref="J4790">IFERROR(INDEX(EmployeeData[Status], ROW() - 37), "")</f>
        <v/>
      </c>
    </row>
    <row r="4791" spans="2:10" ht="19.95" customHeight="1" x14ac:dyDescent="0.3">
      <c r="B4791" s="4" t="str" cm="1">
        <f t="array" ref="B4791">IFERROR(INDEX(EmployeeData[Employee ID], ROW() - 37), "")</f>
        <v/>
      </c>
      <c r="C4791" s="4" t="str" cm="1">
        <f t="array" ref="C4791">IFERROR(INDEX(EmployeeData[Full Name], ROW() - 37), "")</f>
        <v/>
      </c>
      <c r="D4791" s="4" t="str" cm="1">
        <f t="array" ref="D4791">IFERROR(INDEX(EmployeeData[Department], ROW() - 37), "")</f>
        <v/>
      </c>
      <c r="E4791" s="4" t="str" cm="1">
        <f t="array" ref="E4791">IFERROR(INDEX(EmployeeData[Gender], ROW() - 37), "")</f>
        <v/>
      </c>
      <c r="F4791" s="4" t="str" cm="1">
        <f t="array" ref="F4791">IFERROR(INDEX(EmployeeData[Age], ROW() - 37), "")</f>
        <v/>
      </c>
      <c r="G4791" s="6" t="str" cm="1">
        <f t="array" ref="G4791">IFERROR(INDEX(EmployeeData[Join Date], ROW() - 37), "")</f>
        <v/>
      </c>
      <c r="H4791" s="6" t="str" cm="1">
        <f t="array" ref="H4791">IFERROR(IF(INDEX(EmployeeData[Exit Date], ROW() - 37)=0, "",INDEX(EmployeeData[Exit Date], ROW() - 37)),"")</f>
        <v/>
      </c>
      <c r="I4791" s="4" t="str" cm="1">
        <f t="array" ref="I4791">IFERROR(IF(INDEX(EmployeeData[Exit Reason], ROW() - 37)=0, "",INDEX(EmployeeData[Exit Reason], ROW() - 37)),"")</f>
        <v/>
      </c>
      <c r="J4791" s="4" t="str" cm="1">
        <f t="array" ref="J4791">IFERROR(INDEX(EmployeeData[Status], ROW() - 37), "")</f>
        <v/>
      </c>
    </row>
    <row r="4792" spans="2:10" ht="19.95" customHeight="1" x14ac:dyDescent="0.3">
      <c r="B4792" s="4" t="str" cm="1">
        <f t="array" ref="B4792">IFERROR(INDEX(EmployeeData[Employee ID], ROW() - 37), "")</f>
        <v/>
      </c>
      <c r="C4792" s="4" t="str" cm="1">
        <f t="array" ref="C4792">IFERROR(INDEX(EmployeeData[Full Name], ROW() - 37), "")</f>
        <v/>
      </c>
      <c r="D4792" s="4" t="str" cm="1">
        <f t="array" ref="D4792">IFERROR(INDEX(EmployeeData[Department], ROW() - 37), "")</f>
        <v/>
      </c>
      <c r="E4792" s="4" t="str" cm="1">
        <f t="array" ref="E4792">IFERROR(INDEX(EmployeeData[Gender], ROW() - 37), "")</f>
        <v/>
      </c>
      <c r="F4792" s="4" t="str" cm="1">
        <f t="array" ref="F4792">IFERROR(INDEX(EmployeeData[Age], ROW() - 37), "")</f>
        <v/>
      </c>
      <c r="G4792" s="6" t="str" cm="1">
        <f t="array" ref="G4792">IFERROR(INDEX(EmployeeData[Join Date], ROW() - 37), "")</f>
        <v/>
      </c>
      <c r="H4792" s="6" t="str" cm="1">
        <f t="array" ref="H4792">IFERROR(IF(INDEX(EmployeeData[Exit Date], ROW() - 37)=0, "",INDEX(EmployeeData[Exit Date], ROW() - 37)),"")</f>
        <v/>
      </c>
      <c r="I4792" s="4" t="str" cm="1">
        <f t="array" ref="I4792">IFERROR(IF(INDEX(EmployeeData[Exit Reason], ROW() - 37)=0, "",INDEX(EmployeeData[Exit Reason], ROW() - 37)),"")</f>
        <v/>
      </c>
      <c r="J4792" s="4" t="str" cm="1">
        <f t="array" ref="J4792">IFERROR(INDEX(EmployeeData[Status], ROW() - 37), "")</f>
        <v/>
      </c>
    </row>
    <row r="4793" spans="2:10" ht="19.95" customHeight="1" x14ac:dyDescent="0.3">
      <c r="B4793" s="4" t="str" cm="1">
        <f t="array" ref="B4793">IFERROR(INDEX(EmployeeData[Employee ID], ROW() - 37), "")</f>
        <v/>
      </c>
      <c r="C4793" s="4" t="str" cm="1">
        <f t="array" ref="C4793">IFERROR(INDEX(EmployeeData[Full Name], ROW() - 37), "")</f>
        <v/>
      </c>
      <c r="D4793" s="4" t="str" cm="1">
        <f t="array" ref="D4793">IFERROR(INDEX(EmployeeData[Department], ROW() - 37), "")</f>
        <v/>
      </c>
      <c r="E4793" s="4" t="str" cm="1">
        <f t="array" ref="E4793">IFERROR(INDEX(EmployeeData[Gender], ROW() - 37), "")</f>
        <v/>
      </c>
      <c r="F4793" s="4" t="str" cm="1">
        <f t="array" ref="F4793">IFERROR(INDEX(EmployeeData[Age], ROW() - 37), "")</f>
        <v/>
      </c>
      <c r="G4793" s="6" t="str" cm="1">
        <f t="array" ref="G4793">IFERROR(INDEX(EmployeeData[Join Date], ROW() - 37), "")</f>
        <v/>
      </c>
      <c r="H4793" s="6" t="str" cm="1">
        <f t="array" ref="H4793">IFERROR(IF(INDEX(EmployeeData[Exit Date], ROW() - 37)=0, "",INDEX(EmployeeData[Exit Date], ROW() - 37)),"")</f>
        <v/>
      </c>
      <c r="I4793" s="4" t="str" cm="1">
        <f t="array" ref="I4793">IFERROR(IF(INDEX(EmployeeData[Exit Reason], ROW() - 37)=0, "",INDEX(EmployeeData[Exit Reason], ROW() - 37)),"")</f>
        <v/>
      </c>
      <c r="J4793" s="4" t="str" cm="1">
        <f t="array" ref="J4793">IFERROR(INDEX(EmployeeData[Status], ROW() - 37), "")</f>
        <v/>
      </c>
    </row>
    <row r="4794" spans="2:10" ht="19.95" customHeight="1" x14ac:dyDescent="0.3">
      <c r="B4794" s="4" t="str" cm="1">
        <f t="array" ref="B4794">IFERROR(INDEX(EmployeeData[Employee ID], ROW() - 37), "")</f>
        <v/>
      </c>
      <c r="C4794" s="4" t="str" cm="1">
        <f t="array" ref="C4794">IFERROR(INDEX(EmployeeData[Full Name], ROW() - 37), "")</f>
        <v/>
      </c>
      <c r="D4794" s="4" t="str" cm="1">
        <f t="array" ref="D4794">IFERROR(INDEX(EmployeeData[Department], ROW() - 37), "")</f>
        <v/>
      </c>
      <c r="E4794" s="4" t="str" cm="1">
        <f t="array" ref="E4794">IFERROR(INDEX(EmployeeData[Gender], ROW() - 37), "")</f>
        <v/>
      </c>
      <c r="F4794" s="4" t="str" cm="1">
        <f t="array" ref="F4794">IFERROR(INDEX(EmployeeData[Age], ROW() - 37), "")</f>
        <v/>
      </c>
      <c r="G4794" s="6" t="str" cm="1">
        <f t="array" ref="G4794">IFERROR(INDEX(EmployeeData[Join Date], ROW() - 37), "")</f>
        <v/>
      </c>
      <c r="H4794" s="6" t="str" cm="1">
        <f t="array" ref="H4794">IFERROR(IF(INDEX(EmployeeData[Exit Date], ROW() - 37)=0, "",INDEX(EmployeeData[Exit Date], ROW() - 37)),"")</f>
        <v/>
      </c>
      <c r="I4794" s="4" t="str" cm="1">
        <f t="array" ref="I4794">IFERROR(IF(INDEX(EmployeeData[Exit Reason], ROW() - 37)=0, "",INDEX(EmployeeData[Exit Reason], ROW() - 37)),"")</f>
        <v/>
      </c>
      <c r="J4794" s="4" t="str" cm="1">
        <f t="array" ref="J4794">IFERROR(INDEX(EmployeeData[Status], ROW() - 37), "")</f>
        <v/>
      </c>
    </row>
    <row r="4795" spans="2:10" ht="19.95" customHeight="1" x14ac:dyDescent="0.3">
      <c r="B4795" s="4" t="str" cm="1">
        <f t="array" ref="B4795">IFERROR(INDEX(EmployeeData[Employee ID], ROW() - 37), "")</f>
        <v/>
      </c>
      <c r="C4795" s="4" t="str" cm="1">
        <f t="array" ref="C4795">IFERROR(INDEX(EmployeeData[Full Name], ROW() - 37), "")</f>
        <v/>
      </c>
      <c r="D4795" s="4" t="str" cm="1">
        <f t="array" ref="D4795">IFERROR(INDEX(EmployeeData[Department], ROW() - 37), "")</f>
        <v/>
      </c>
      <c r="E4795" s="4" t="str" cm="1">
        <f t="array" ref="E4795">IFERROR(INDEX(EmployeeData[Gender], ROW() - 37), "")</f>
        <v/>
      </c>
      <c r="F4795" s="4" t="str" cm="1">
        <f t="array" ref="F4795">IFERROR(INDEX(EmployeeData[Age], ROW() - 37), "")</f>
        <v/>
      </c>
      <c r="G4795" s="6" t="str" cm="1">
        <f t="array" ref="G4795">IFERROR(INDEX(EmployeeData[Join Date], ROW() - 37), "")</f>
        <v/>
      </c>
      <c r="H4795" s="6" t="str" cm="1">
        <f t="array" ref="H4795">IFERROR(IF(INDEX(EmployeeData[Exit Date], ROW() - 37)=0, "",INDEX(EmployeeData[Exit Date], ROW() - 37)),"")</f>
        <v/>
      </c>
      <c r="I4795" s="4" t="str" cm="1">
        <f t="array" ref="I4795">IFERROR(IF(INDEX(EmployeeData[Exit Reason], ROW() - 37)=0, "",INDEX(EmployeeData[Exit Reason], ROW() - 37)),"")</f>
        <v/>
      </c>
      <c r="J4795" s="4" t="str" cm="1">
        <f t="array" ref="J4795">IFERROR(INDEX(EmployeeData[Status], ROW() - 37), "")</f>
        <v/>
      </c>
    </row>
    <row r="4796" spans="2:10" ht="19.95" customHeight="1" x14ac:dyDescent="0.3">
      <c r="B4796" s="4" t="str" cm="1">
        <f t="array" ref="B4796">IFERROR(INDEX(EmployeeData[Employee ID], ROW() - 37), "")</f>
        <v/>
      </c>
      <c r="C4796" s="4" t="str" cm="1">
        <f t="array" ref="C4796">IFERROR(INDEX(EmployeeData[Full Name], ROW() - 37), "")</f>
        <v/>
      </c>
      <c r="D4796" s="4" t="str" cm="1">
        <f t="array" ref="D4796">IFERROR(INDEX(EmployeeData[Department], ROW() - 37), "")</f>
        <v/>
      </c>
      <c r="E4796" s="4" t="str" cm="1">
        <f t="array" ref="E4796">IFERROR(INDEX(EmployeeData[Gender], ROW() - 37), "")</f>
        <v/>
      </c>
      <c r="F4796" s="4" t="str" cm="1">
        <f t="array" ref="F4796">IFERROR(INDEX(EmployeeData[Age], ROW() - 37), "")</f>
        <v/>
      </c>
      <c r="G4796" s="6" t="str" cm="1">
        <f t="array" ref="G4796">IFERROR(INDEX(EmployeeData[Join Date], ROW() - 37), "")</f>
        <v/>
      </c>
      <c r="H4796" s="6" t="str" cm="1">
        <f t="array" ref="H4796">IFERROR(IF(INDEX(EmployeeData[Exit Date], ROW() - 37)=0, "",INDEX(EmployeeData[Exit Date], ROW() - 37)),"")</f>
        <v/>
      </c>
      <c r="I4796" s="4" t="str" cm="1">
        <f t="array" ref="I4796">IFERROR(IF(INDEX(EmployeeData[Exit Reason], ROW() - 37)=0, "",INDEX(EmployeeData[Exit Reason], ROW() - 37)),"")</f>
        <v/>
      </c>
      <c r="J4796" s="4" t="str" cm="1">
        <f t="array" ref="J4796">IFERROR(INDEX(EmployeeData[Status], ROW() - 37), "")</f>
        <v/>
      </c>
    </row>
    <row r="4797" spans="2:10" ht="19.95" customHeight="1" x14ac:dyDescent="0.3">
      <c r="B4797" s="4" t="str" cm="1">
        <f t="array" ref="B4797">IFERROR(INDEX(EmployeeData[Employee ID], ROW() - 37), "")</f>
        <v/>
      </c>
      <c r="C4797" s="4" t="str" cm="1">
        <f t="array" ref="C4797">IFERROR(INDEX(EmployeeData[Full Name], ROW() - 37), "")</f>
        <v/>
      </c>
      <c r="D4797" s="4" t="str" cm="1">
        <f t="array" ref="D4797">IFERROR(INDEX(EmployeeData[Department], ROW() - 37), "")</f>
        <v/>
      </c>
      <c r="E4797" s="4" t="str" cm="1">
        <f t="array" ref="E4797">IFERROR(INDEX(EmployeeData[Gender], ROW() - 37), "")</f>
        <v/>
      </c>
      <c r="F4797" s="4" t="str" cm="1">
        <f t="array" ref="F4797">IFERROR(INDEX(EmployeeData[Age], ROW() - 37), "")</f>
        <v/>
      </c>
      <c r="G4797" s="6" t="str" cm="1">
        <f t="array" ref="G4797">IFERROR(INDEX(EmployeeData[Join Date], ROW() - 37), "")</f>
        <v/>
      </c>
      <c r="H4797" s="6" t="str" cm="1">
        <f t="array" ref="H4797">IFERROR(IF(INDEX(EmployeeData[Exit Date], ROW() - 37)=0, "",INDEX(EmployeeData[Exit Date], ROW() - 37)),"")</f>
        <v/>
      </c>
      <c r="I4797" s="4" t="str" cm="1">
        <f t="array" ref="I4797">IFERROR(IF(INDEX(EmployeeData[Exit Reason], ROW() - 37)=0, "",INDEX(EmployeeData[Exit Reason], ROW() - 37)),"")</f>
        <v/>
      </c>
      <c r="J4797" s="4" t="str" cm="1">
        <f t="array" ref="J4797">IFERROR(INDEX(EmployeeData[Status], ROW() - 37), "")</f>
        <v/>
      </c>
    </row>
    <row r="4798" spans="2:10" ht="19.95" customHeight="1" x14ac:dyDescent="0.3">
      <c r="B4798" s="4" t="str" cm="1">
        <f t="array" ref="B4798">IFERROR(INDEX(EmployeeData[Employee ID], ROW() - 37), "")</f>
        <v/>
      </c>
      <c r="C4798" s="4" t="str" cm="1">
        <f t="array" ref="C4798">IFERROR(INDEX(EmployeeData[Full Name], ROW() - 37), "")</f>
        <v/>
      </c>
      <c r="D4798" s="4" t="str" cm="1">
        <f t="array" ref="D4798">IFERROR(INDEX(EmployeeData[Department], ROW() - 37), "")</f>
        <v/>
      </c>
      <c r="E4798" s="4" t="str" cm="1">
        <f t="array" ref="E4798">IFERROR(INDEX(EmployeeData[Gender], ROW() - 37), "")</f>
        <v/>
      </c>
      <c r="F4798" s="4" t="str" cm="1">
        <f t="array" ref="F4798">IFERROR(INDEX(EmployeeData[Age], ROW() - 37), "")</f>
        <v/>
      </c>
      <c r="G4798" s="6" t="str" cm="1">
        <f t="array" ref="G4798">IFERROR(INDEX(EmployeeData[Join Date], ROW() - 37), "")</f>
        <v/>
      </c>
      <c r="H4798" s="6" t="str" cm="1">
        <f t="array" ref="H4798">IFERROR(IF(INDEX(EmployeeData[Exit Date], ROW() - 37)=0, "",INDEX(EmployeeData[Exit Date], ROW() - 37)),"")</f>
        <v/>
      </c>
      <c r="I4798" s="4" t="str" cm="1">
        <f t="array" ref="I4798">IFERROR(IF(INDEX(EmployeeData[Exit Reason], ROW() - 37)=0, "",INDEX(EmployeeData[Exit Reason], ROW() - 37)),"")</f>
        <v/>
      </c>
      <c r="J4798" s="4" t="str" cm="1">
        <f t="array" ref="J4798">IFERROR(INDEX(EmployeeData[Status], ROW() - 37), "")</f>
        <v/>
      </c>
    </row>
    <row r="4799" spans="2:10" ht="19.95" customHeight="1" x14ac:dyDescent="0.3">
      <c r="B4799" s="4" t="str" cm="1">
        <f t="array" ref="B4799">IFERROR(INDEX(EmployeeData[Employee ID], ROW() - 37), "")</f>
        <v/>
      </c>
      <c r="C4799" s="4" t="str" cm="1">
        <f t="array" ref="C4799">IFERROR(INDEX(EmployeeData[Full Name], ROW() - 37), "")</f>
        <v/>
      </c>
      <c r="D4799" s="4" t="str" cm="1">
        <f t="array" ref="D4799">IFERROR(INDEX(EmployeeData[Department], ROW() - 37), "")</f>
        <v/>
      </c>
      <c r="E4799" s="4" t="str" cm="1">
        <f t="array" ref="E4799">IFERROR(INDEX(EmployeeData[Gender], ROW() - 37), "")</f>
        <v/>
      </c>
      <c r="F4799" s="4" t="str" cm="1">
        <f t="array" ref="F4799">IFERROR(INDEX(EmployeeData[Age], ROW() - 37), "")</f>
        <v/>
      </c>
      <c r="G4799" s="6" t="str" cm="1">
        <f t="array" ref="G4799">IFERROR(INDEX(EmployeeData[Join Date], ROW() - 37), "")</f>
        <v/>
      </c>
      <c r="H4799" s="6" t="str" cm="1">
        <f t="array" ref="H4799">IFERROR(IF(INDEX(EmployeeData[Exit Date], ROW() - 37)=0, "",INDEX(EmployeeData[Exit Date], ROW() - 37)),"")</f>
        <v/>
      </c>
      <c r="I4799" s="4" t="str" cm="1">
        <f t="array" ref="I4799">IFERROR(IF(INDEX(EmployeeData[Exit Reason], ROW() - 37)=0, "",INDEX(EmployeeData[Exit Reason], ROW() - 37)),"")</f>
        <v/>
      </c>
      <c r="J4799" s="4" t="str" cm="1">
        <f t="array" ref="J4799">IFERROR(INDEX(EmployeeData[Status], ROW() - 37), "")</f>
        <v/>
      </c>
    </row>
    <row r="4800" spans="2:10" ht="19.95" customHeight="1" x14ac:dyDescent="0.3">
      <c r="B4800" s="4" t="str" cm="1">
        <f t="array" ref="B4800">IFERROR(INDEX(EmployeeData[Employee ID], ROW() - 37), "")</f>
        <v/>
      </c>
      <c r="C4800" s="4" t="str" cm="1">
        <f t="array" ref="C4800">IFERROR(INDEX(EmployeeData[Full Name], ROW() - 37), "")</f>
        <v/>
      </c>
      <c r="D4800" s="4" t="str" cm="1">
        <f t="array" ref="D4800">IFERROR(INDEX(EmployeeData[Department], ROW() - 37), "")</f>
        <v/>
      </c>
      <c r="E4800" s="4" t="str" cm="1">
        <f t="array" ref="E4800">IFERROR(INDEX(EmployeeData[Gender], ROW() - 37), "")</f>
        <v/>
      </c>
      <c r="F4800" s="4" t="str" cm="1">
        <f t="array" ref="F4800">IFERROR(INDEX(EmployeeData[Age], ROW() - 37), "")</f>
        <v/>
      </c>
      <c r="G4800" s="6" t="str" cm="1">
        <f t="array" ref="G4800">IFERROR(INDEX(EmployeeData[Join Date], ROW() - 37), "")</f>
        <v/>
      </c>
      <c r="H4800" s="6" t="str" cm="1">
        <f t="array" ref="H4800">IFERROR(IF(INDEX(EmployeeData[Exit Date], ROW() - 37)=0, "",INDEX(EmployeeData[Exit Date], ROW() - 37)),"")</f>
        <v/>
      </c>
      <c r="I4800" s="4" t="str" cm="1">
        <f t="array" ref="I4800">IFERROR(IF(INDEX(EmployeeData[Exit Reason], ROW() - 37)=0, "",INDEX(EmployeeData[Exit Reason], ROW() - 37)),"")</f>
        <v/>
      </c>
      <c r="J4800" s="4" t="str" cm="1">
        <f t="array" ref="J4800">IFERROR(INDEX(EmployeeData[Status], ROW() - 37), "")</f>
        <v/>
      </c>
    </row>
    <row r="4801" spans="2:10" ht="19.95" customHeight="1" x14ac:dyDescent="0.3">
      <c r="B4801" s="4" t="str" cm="1">
        <f t="array" ref="B4801">IFERROR(INDEX(EmployeeData[Employee ID], ROW() - 37), "")</f>
        <v/>
      </c>
      <c r="C4801" s="4" t="str" cm="1">
        <f t="array" ref="C4801">IFERROR(INDEX(EmployeeData[Full Name], ROW() - 37), "")</f>
        <v/>
      </c>
      <c r="D4801" s="4" t="str" cm="1">
        <f t="array" ref="D4801">IFERROR(INDEX(EmployeeData[Department], ROW() - 37), "")</f>
        <v/>
      </c>
      <c r="E4801" s="4" t="str" cm="1">
        <f t="array" ref="E4801">IFERROR(INDEX(EmployeeData[Gender], ROW() - 37), "")</f>
        <v/>
      </c>
      <c r="F4801" s="4" t="str" cm="1">
        <f t="array" ref="F4801">IFERROR(INDEX(EmployeeData[Age], ROW() - 37), "")</f>
        <v/>
      </c>
      <c r="G4801" s="6" t="str" cm="1">
        <f t="array" ref="G4801">IFERROR(INDEX(EmployeeData[Join Date], ROW() - 37), "")</f>
        <v/>
      </c>
      <c r="H4801" s="6" t="str" cm="1">
        <f t="array" ref="H4801">IFERROR(IF(INDEX(EmployeeData[Exit Date], ROW() - 37)=0, "",INDEX(EmployeeData[Exit Date], ROW() - 37)),"")</f>
        <v/>
      </c>
      <c r="I4801" s="4" t="str" cm="1">
        <f t="array" ref="I4801">IFERROR(IF(INDEX(EmployeeData[Exit Reason], ROW() - 37)=0, "",INDEX(EmployeeData[Exit Reason], ROW() - 37)),"")</f>
        <v/>
      </c>
      <c r="J4801" s="4" t="str" cm="1">
        <f t="array" ref="J4801">IFERROR(INDEX(EmployeeData[Status], ROW() - 37), "")</f>
        <v/>
      </c>
    </row>
    <row r="4802" spans="2:10" ht="19.95" customHeight="1" x14ac:dyDescent="0.3">
      <c r="B4802" s="4" t="str" cm="1">
        <f t="array" ref="B4802">IFERROR(INDEX(EmployeeData[Employee ID], ROW() - 37), "")</f>
        <v/>
      </c>
      <c r="C4802" s="4" t="str" cm="1">
        <f t="array" ref="C4802">IFERROR(INDEX(EmployeeData[Full Name], ROW() - 37), "")</f>
        <v/>
      </c>
      <c r="D4802" s="4" t="str" cm="1">
        <f t="array" ref="D4802">IFERROR(INDEX(EmployeeData[Department], ROW() - 37), "")</f>
        <v/>
      </c>
      <c r="E4802" s="4" t="str" cm="1">
        <f t="array" ref="E4802">IFERROR(INDEX(EmployeeData[Gender], ROW() - 37), "")</f>
        <v/>
      </c>
      <c r="F4802" s="4" t="str" cm="1">
        <f t="array" ref="F4802">IFERROR(INDEX(EmployeeData[Age], ROW() - 37), "")</f>
        <v/>
      </c>
      <c r="G4802" s="6" t="str" cm="1">
        <f t="array" ref="G4802">IFERROR(INDEX(EmployeeData[Join Date], ROW() - 37), "")</f>
        <v/>
      </c>
      <c r="H4802" s="6" t="str" cm="1">
        <f t="array" ref="H4802">IFERROR(IF(INDEX(EmployeeData[Exit Date], ROW() - 37)=0, "",INDEX(EmployeeData[Exit Date], ROW() - 37)),"")</f>
        <v/>
      </c>
      <c r="I4802" s="4" t="str" cm="1">
        <f t="array" ref="I4802">IFERROR(IF(INDEX(EmployeeData[Exit Reason], ROW() - 37)=0, "",INDEX(EmployeeData[Exit Reason], ROW() - 37)),"")</f>
        <v/>
      </c>
      <c r="J4802" s="4" t="str" cm="1">
        <f t="array" ref="J4802">IFERROR(INDEX(EmployeeData[Status], ROW() - 37), "")</f>
        <v/>
      </c>
    </row>
    <row r="4803" spans="2:10" ht="19.95" customHeight="1" x14ac:dyDescent="0.3">
      <c r="B4803" s="4" t="str" cm="1">
        <f t="array" ref="B4803">IFERROR(INDEX(EmployeeData[Employee ID], ROW() - 37), "")</f>
        <v/>
      </c>
      <c r="C4803" s="4" t="str" cm="1">
        <f t="array" ref="C4803">IFERROR(INDEX(EmployeeData[Full Name], ROW() - 37), "")</f>
        <v/>
      </c>
      <c r="D4803" s="4" t="str" cm="1">
        <f t="array" ref="D4803">IFERROR(INDEX(EmployeeData[Department], ROW() - 37), "")</f>
        <v/>
      </c>
      <c r="E4803" s="4" t="str" cm="1">
        <f t="array" ref="E4803">IFERROR(INDEX(EmployeeData[Gender], ROW() - 37), "")</f>
        <v/>
      </c>
      <c r="F4803" s="4" t="str" cm="1">
        <f t="array" ref="F4803">IFERROR(INDEX(EmployeeData[Age], ROW() - 37), "")</f>
        <v/>
      </c>
      <c r="G4803" s="6" t="str" cm="1">
        <f t="array" ref="G4803">IFERROR(INDEX(EmployeeData[Join Date], ROW() - 37), "")</f>
        <v/>
      </c>
      <c r="H4803" s="6" t="str" cm="1">
        <f t="array" ref="H4803">IFERROR(IF(INDEX(EmployeeData[Exit Date], ROW() - 37)=0, "",INDEX(EmployeeData[Exit Date], ROW() - 37)),"")</f>
        <v/>
      </c>
      <c r="I4803" s="4" t="str" cm="1">
        <f t="array" ref="I4803">IFERROR(IF(INDEX(EmployeeData[Exit Reason], ROW() - 37)=0, "",INDEX(EmployeeData[Exit Reason], ROW() - 37)),"")</f>
        <v/>
      </c>
      <c r="J4803" s="4" t="str" cm="1">
        <f t="array" ref="J4803">IFERROR(INDEX(EmployeeData[Status], ROW() - 37), "")</f>
        <v/>
      </c>
    </row>
    <row r="4804" spans="2:10" ht="19.95" customHeight="1" x14ac:dyDescent="0.3">
      <c r="B4804" s="4" t="str" cm="1">
        <f t="array" ref="B4804">IFERROR(INDEX(EmployeeData[Employee ID], ROW() - 37), "")</f>
        <v/>
      </c>
      <c r="C4804" s="4" t="str" cm="1">
        <f t="array" ref="C4804">IFERROR(INDEX(EmployeeData[Full Name], ROW() - 37), "")</f>
        <v/>
      </c>
      <c r="D4804" s="4" t="str" cm="1">
        <f t="array" ref="D4804">IFERROR(INDEX(EmployeeData[Department], ROW() - 37), "")</f>
        <v/>
      </c>
      <c r="E4804" s="4" t="str" cm="1">
        <f t="array" ref="E4804">IFERROR(INDEX(EmployeeData[Gender], ROW() - 37), "")</f>
        <v/>
      </c>
      <c r="F4804" s="4" t="str" cm="1">
        <f t="array" ref="F4804">IFERROR(INDEX(EmployeeData[Age], ROW() - 37), "")</f>
        <v/>
      </c>
      <c r="G4804" s="6" t="str" cm="1">
        <f t="array" ref="G4804">IFERROR(INDEX(EmployeeData[Join Date], ROW() - 37), "")</f>
        <v/>
      </c>
      <c r="H4804" s="6" t="str" cm="1">
        <f t="array" ref="H4804">IFERROR(IF(INDEX(EmployeeData[Exit Date], ROW() - 37)=0, "",INDEX(EmployeeData[Exit Date], ROW() - 37)),"")</f>
        <v/>
      </c>
      <c r="I4804" s="4" t="str" cm="1">
        <f t="array" ref="I4804">IFERROR(IF(INDEX(EmployeeData[Exit Reason], ROW() - 37)=0, "",INDEX(EmployeeData[Exit Reason], ROW() - 37)),"")</f>
        <v/>
      </c>
      <c r="J4804" s="4" t="str" cm="1">
        <f t="array" ref="J4804">IFERROR(INDEX(EmployeeData[Status], ROW() - 37), "")</f>
        <v/>
      </c>
    </row>
    <row r="4805" spans="2:10" ht="19.95" customHeight="1" x14ac:dyDescent="0.3">
      <c r="B4805" s="4" t="str" cm="1">
        <f t="array" ref="B4805">IFERROR(INDEX(EmployeeData[Employee ID], ROW() - 37), "")</f>
        <v/>
      </c>
      <c r="C4805" s="4" t="str" cm="1">
        <f t="array" ref="C4805">IFERROR(INDEX(EmployeeData[Full Name], ROW() - 37), "")</f>
        <v/>
      </c>
      <c r="D4805" s="4" t="str" cm="1">
        <f t="array" ref="D4805">IFERROR(INDEX(EmployeeData[Department], ROW() - 37), "")</f>
        <v/>
      </c>
      <c r="E4805" s="4" t="str" cm="1">
        <f t="array" ref="E4805">IFERROR(INDEX(EmployeeData[Gender], ROW() - 37), "")</f>
        <v/>
      </c>
      <c r="F4805" s="4" t="str" cm="1">
        <f t="array" ref="F4805">IFERROR(INDEX(EmployeeData[Age], ROW() - 37), "")</f>
        <v/>
      </c>
      <c r="G4805" s="6" t="str" cm="1">
        <f t="array" ref="G4805">IFERROR(INDEX(EmployeeData[Join Date], ROW() - 37), "")</f>
        <v/>
      </c>
      <c r="H4805" s="6" t="str" cm="1">
        <f t="array" ref="H4805">IFERROR(IF(INDEX(EmployeeData[Exit Date], ROW() - 37)=0, "",INDEX(EmployeeData[Exit Date], ROW() - 37)),"")</f>
        <v/>
      </c>
      <c r="I4805" s="4" t="str" cm="1">
        <f t="array" ref="I4805">IFERROR(IF(INDEX(EmployeeData[Exit Reason], ROW() - 37)=0, "",INDEX(EmployeeData[Exit Reason], ROW() - 37)),"")</f>
        <v/>
      </c>
      <c r="J4805" s="4" t="str" cm="1">
        <f t="array" ref="J4805">IFERROR(INDEX(EmployeeData[Status], ROW() - 37), "")</f>
        <v/>
      </c>
    </row>
    <row r="4806" spans="2:10" ht="19.95" customHeight="1" x14ac:dyDescent="0.3">
      <c r="B4806" s="4" t="str" cm="1">
        <f t="array" ref="B4806">IFERROR(INDEX(EmployeeData[Employee ID], ROW() - 37), "")</f>
        <v/>
      </c>
      <c r="C4806" s="4" t="str" cm="1">
        <f t="array" ref="C4806">IFERROR(INDEX(EmployeeData[Full Name], ROW() - 37), "")</f>
        <v/>
      </c>
      <c r="D4806" s="4" t="str" cm="1">
        <f t="array" ref="D4806">IFERROR(INDEX(EmployeeData[Department], ROW() - 37), "")</f>
        <v/>
      </c>
      <c r="E4806" s="4" t="str" cm="1">
        <f t="array" ref="E4806">IFERROR(INDEX(EmployeeData[Gender], ROW() - 37), "")</f>
        <v/>
      </c>
      <c r="F4806" s="4" t="str" cm="1">
        <f t="array" ref="F4806">IFERROR(INDEX(EmployeeData[Age], ROW() - 37), "")</f>
        <v/>
      </c>
      <c r="G4806" s="6" t="str" cm="1">
        <f t="array" ref="G4806">IFERROR(INDEX(EmployeeData[Join Date], ROW() - 37), "")</f>
        <v/>
      </c>
      <c r="H4806" s="6" t="str" cm="1">
        <f t="array" ref="H4806">IFERROR(IF(INDEX(EmployeeData[Exit Date], ROW() - 37)=0, "",INDEX(EmployeeData[Exit Date], ROW() - 37)),"")</f>
        <v/>
      </c>
      <c r="I4806" s="4" t="str" cm="1">
        <f t="array" ref="I4806">IFERROR(IF(INDEX(EmployeeData[Exit Reason], ROW() - 37)=0, "",INDEX(EmployeeData[Exit Reason], ROW() - 37)),"")</f>
        <v/>
      </c>
      <c r="J4806" s="4" t="str" cm="1">
        <f t="array" ref="J4806">IFERROR(INDEX(EmployeeData[Status], ROW() - 37), "")</f>
        <v/>
      </c>
    </row>
    <row r="4807" spans="2:10" ht="19.95" customHeight="1" x14ac:dyDescent="0.3">
      <c r="B4807" s="4" t="str" cm="1">
        <f t="array" ref="B4807">IFERROR(INDEX(EmployeeData[Employee ID], ROW() - 37), "")</f>
        <v/>
      </c>
      <c r="C4807" s="4" t="str" cm="1">
        <f t="array" ref="C4807">IFERROR(INDEX(EmployeeData[Full Name], ROW() - 37), "")</f>
        <v/>
      </c>
      <c r="D4807" s="4" t="str" cm="1">
        <f t="array" ref="D4807">IFERROR(INDEX(EmployeeData[Department], ROW() - 37), "")</f>
        <v/>
      </c>
      <c r="E4807" s="4" t="str" cm="1">
        <f t="array" ref="E4807">IFERROR(INDEX(EmployeeData[Gender], ROW() - 37), "")</f>
        <v/>
      </c>
      <c r="F4807" s="4" t="str" cm="1">
        <f t="array" ref="F4807">IFERROR(INDEX(EmployeeData[Age], ROW() - 37), "")</f>
        <v/>
      </c>
      <c r="G4807" s="6" t="str" cm="1">
        <f t="array" ref="G4807">IFERROR(INDEX(EmployeeData[Join Date], ROW() - 37), "")</f>
        <v/>
      </c>
      <c r="H4807" s="6" t="str" cm="1">
        <f t="array" ref="H4807">IFERROR(IF(INDEX(EmployeeData[Exit Date], ROW() - 37)=0, "",INDEX(EmployeeData[Exit Date], ROW() - 37)),"")</f>
        <v/>
      </c>
      <c r="I4807" s="4" t="str" cm="1">
        <f t="array" ref="I4807">IFERROR(IF(INDEX(EmployeeData[Exit Reason], ROW() - 37)=0, "",INDEX(EmployeeData[Exit Reason], ROW() - 37)),"")</f>
        <v/>
      </c>
      <c r="J4807" s="4" t="str" cm="1">
        <f t="array" ref="J4807">IFERROR(INDEX(EmployeeData[Status], ROW() - 37), "")</f>
        <v/>
      </c>
    </row>
    <row r="4808" spans="2:10" ht="19.95" customHeight="1" x14ac:dyDescent="0.3">
      <c r="B4808" s="4" t="str" cm="1">
        <f t="array" ref="B4808">IFERROR(INDEX(EmployeeData[Employee ID], ROW() - 37), "")</f>
        <v/>
      </c>
      <c r="C4808" s="4" t="str" cm="1">
        <f t="array" ref="C4808">IFERROR(INDEX(EmployeeData[Full Name], ROW() - 37), "")</f>
        <v/>
      </c>
      <c r="D4808" s="4" t="str" cm="1">
        <f t="array" ref="D4808">IFERROR(INDEX(EmployeeData[Department], ROW() - 37), "")</f>
        <v/>
      </c>
      <c r="E4808" s="4" t="str" cm="1">
        <f t="array" ref="E4808">IFERROR(INDEX(EmployeeData[Gender], ROW() - 37), "")</f>
        <v/>
      </c>
      <c r="F4808" s="4" t="str" cm="1">
        <f t="array" ref="F4808">IFERROR(INDEX(EmployeeData[Age], ROW() - 37), "")</f>
        <v/>
      </c>
      <c r="G4808" s="6" t="str" cm="1">
        <f t="array" ref="G4808">IFERROR(INDEX(EmployeeData[Join Date], ROW() - 37), "")</f>
        <v/>
      </c>
      <c r="H4808" s="6" t="str" cm="1">
        <f t="array" ref="H4808">IFERROR(IF(INDEX(EmployeeData[Exit Date], ROW() - 37)=0, "",INDEX(EmployeeData[Exit Date], ROW() - 37)),"")</f>
        <v/>
      </c>
      <c r="I4808" s="4" t="str" cm="1">
        <f t="array" ref="I4808">IFERROR(IF(INDEX(EmployeeData[Exit Reason], ROW() - 37)=0, "",INDEX(EmployeeData[Exit Reason], ROW() - 37)),"")</f>
        <v/>
      </c>
      <c r="J4808" s="4" t="str" cm="1">
        <f t="array" ref="J4808">IFERROR(INDEX(EmployeeData[Status], ROW() - 37), "")</f>
        <v/>
      </c>
    </row>
    <row r="4809" spans="2:10" ht="19.95" customHeight="1" x14ac:dyDescent="0.3">
      <c r="B4809" s="4" t="str" cm="1">
        <f t="array" ref="B4809">IFERROR(INDEX(EmployeeData[Employee ID], ROW() - 37), "")</f>
        <v/>
      </c>
      <c r="C4809" s="4" t="str" cm="1">
        <f t="array" ref="C4809">IFERROR(INDEX(EmployeeData[Full Name], ROW() - 37), "")</f>
        <v/>
      </c>
      <c r="D4809" s="4" t="str" cm="1">
        <f t="array" ref="D4809">IFERROR(INDEX(EmployeeData[Department], ROW() - 37), "")</f>
        <v/>
      </c>
      <c r="E4809" s="4" t="str" cm="1">
        <f t="array" ref="E4809">IFERROR(INDEX(EmployeeData[Gender], ROW() - 37), "")</f>
        <v/>
      </c>
      <c r="F4809" s="4" t="str" cm="1">
        <f t="array" ref="F4809">IFERROR(INDEX(EmployeeData[Age], ROW() - 37), "")</f>
        <v/>
      </c>
      <c r="G4809" s="6" t="str" cm="1">
        <f t="array" ref="G4809">IFERROR(INDEX(EmployeeData[Join Date], ROW() - 37), "")</f>
        <v/>
      </c>
      <c r="H4809" s="6" t="str" cm="1">
        <f t="array" ref="H4809">IFERROR(IF(INDEX(EmployeeData[Exit Date], ROW() - 37)=0, "",INDEX(EmployeeData[Exit Date], ROW() - 37)),"")</f>
        <v/>
      </c>
      <c r="I4809" s="4" t="str" cm="1">
        <f t="array" ref="I4809">IFERROR(IF(INDEX(EmployeeData[Exit Reason], ROW() - 37)=0, "",INDEX(EmployeeData[Exit Reason], ROW() - 37)),"")</f>
        <v/>
      </c>
      <c r="J4809" s="4" t="str" cm="1">
        <f t="array" ref="J4809">IFERROR(INDEX(EmployeeData[Status], ROW() - 37), "")</f>
        <v/>
      </c>
    </row>
    <row r="4810" spans="2:10" ht="19.95" customHeight="1" x14ac:dyDescent="0.3">
      <c r="B4810" s="4" t="str" cm="1">
        <f t="array" ref="B4810">IFERROR(INDEX(EmployeeData[Employee ID], ROW() - 37), "")</f>
        <v/>
      </c>
      <c r="C4810" s="4" t="str" cm="1">
        <f t="array" ref="C4810">IFERROR(INDEX(EmployeeData[Full Name], ROW() - 37), "")</f>
        <v/>
      </c>
      <c r="D4810" s="4" t="str" cm="1">
        <f t="array" ref="D4810">IFERROR(INDEX(EmployeeData[Department], ROW() - 37), "")</f>
        <v/>
      </c>
      <c r="E4810" s="4" t="str" cm="1">
        <f t="array" ref="E4810">IFERROR(INDEX(EmployeeData[Gender], ROW() - 37), "")</f>
        <v/>
      </c>
      <c r="F4810" s="4" t="str" cm="1">
        <f t="array" ref="F4810">IFERROR(INDEX(EmployeeData[Age], ROW() - 37), "")</f>
        <v/>
      </c>
      <c r="G4810" s="6" t="str" cm="1">
        <f t="array" ref="G4810">IFERROR(INDEX(EmployeeData[Join Date], ROW() - 37), "")</f>
        <v/>
      </c>
      <c r="H4810" s="6" t="str" cm="1">
        <f t="array" ref="H4810">IFERROR(IF(INDEX(EmployeeData[Exit Date], ROW() - 37)=0, "",INDEX(EmployeeData[Exit Date], ROW() - 37)),"")</f>
        <v/>
      </c>
      <c r="I4810" s="4" t="str" cm="1">
        <f t="array" ref="I4810">IFERROR(IF(INDEX(EmployeeData[Exit Reason], ROW() - 37)=0, "",INDEX(EmployeeData[Exit Reason], ROW() - 37)),"")</f>
        <v/>
      </c>
      <c r="J4810" s="4" t="str" cm="1">
        <f t="array" ref="J4810">IFERROR(INDEX(EmployeeData[Status], ROW() - 37), "")</f>
        <v/>
      </c>
    </row>
    <row r="4811" spans="2:10" ht="19.95" customHeight="1" x14ac:dyDescent="0.3">
      <c r="B4811" s="4" t="str" cm="1">
        <f t="array" ref="B4811">IFERROR(INDEX(EmployeeData[Employee ID], ROW() - 37), "")</f>
        <v/>
      </c>
      <c r="C4811" s="4" t="str" cm="1">
        <f t="array" ref="C4811">IFERROR(INDEX(EmployeeData[Full Name], ROW() - 37), "")</f>
        <v/>
      </c>
      <c r="D4811" s="4" t="str" cm="1">
        <f t="array" ref="D4811">IFERROR(INDEX(EmployeeData[Department], ROW() - 37), "")</f>
        <v/>
      </c>
      <c r="E4811" s="4" t="str" cm="1">
        <f t="array" ref="E4811">IFERROR(INDEX(EmployeeData[Gender], ROW() - 37), "")</f>
        <v/>
      </c>
      <c r="F4811" s="4" t="str" cm="1">
        <f t="array" ref="F4811">IFERROR(INDEX(EmployeeData[Age], ROW() - 37), "")</f>
        <v/>
      </c>
      <c r="G4811" s="6" t="str" cm="1">
        <f t="array" ref="G4811">IFERROR(INDEX(EmployeeData[Join Date], ROW() - 37), "")</f>
        <v/>
      </c>
      <c r="H4811" s="6" t="str" cm="1">
        <f t="array" ref="H4811">IFERROR(IF(INDEX(EmployeeData[Exit Date], ROW() - 37)=0, "",INDEX(EmployeeData[Exit Date], ROW() - 37)),"")</f>
        <v/>
      </c>
      <c r="I4811" s="4" t="str" cm="1">
        <f t="array" ref="I4811">IFERROR(IF(INDEX(EmployeeData[Exit Reason], ROW() - 37)=0, "",INDEX(EmployeeData[Exit Reason], ROW() - 37)),"")</f>
        <v/>
      </c>
      <c r="J4811" s="4" t="str" cm="1">
        <f t="array" ref="J4811">IFERROR(INDEX(EmployeeData[Status], ROW() - 37), "")</f>
        <v/>
      </c>
    </row>
    <row r="4812" spans="2:10" ht="19.95" customHeight="1" x14ac:dyDescent="0.3">
      <c r="B4812" s="4" t="str" cm="1">
        <f t="array" ref="B4812">IFERROR(INDEX(EmployeeData[Employee ID], ROW() - 37), "")</f>
        <v/>
      </c>
      <c r="C4812" s="4" t="str" cm="1">
        <f t="array" ref="C4812">IFERROR(INDEX(EmployeeData[Full Name], ROW() - 37), "")</f>
        <v/>
      </c>
      <c r="D4812" s="4" t="str" cm="1">
        <f t="array" ref="D4812">IFERROR(INDEX(EmployeeData[Department], ROW() - 37), "")</f>
        <v/>
      </c>
      <c r="E4812" s="4" t="str" cm="1">
        <f t="array" ref="E4812">IFERROR(INDEX(EmployeeData[Gender], ROW() - 37), "")</f>
        <v/>
      </c>
      <c r="F4812" s="4" t="str" cm="1">
        <f t="array" ref="F4812">IFERROR(INDEX(EmployeeData[Age], ROW() - 37), "")</f>
        <v/>
      </c>
      <c r="G4812" s="6" t="str" cm="1">
        <f t="array" ref="G4812">IFERROR(INDEX(EmployeeData[Join Date], ROW() - 37), "")</f>
        <v/>
      </c>
      <c r="H4812" s="6" t="str" cm="1">
        <f t="array" ref="H4812">IFERROR(IF(INDEX(EmployeeData[Exit Date], ROW() - 37)=0, "",INDEX(EmployeeData[Exit Date], ROW() - 37)),"")</f>
        <v/>
      </c>
      <c r="I4812" s="4" t="str" cm="1">
        <f t="array" ref="I4812">IFERROR(IF(INDEX(EmployeeData[Exit Reason], ROW() - 37)=0, "",INDEX(EmployeeData[Exit Reason], ROW() - 37)),"")</f>
        <v/>
      </c>
      <c r="J4812" s="4" t="str" cm="1">
        <f t="array" ref="J4812">IFERROR(INDEX(EmployeeData[Status], ROW() - 37), "")</f>
        <v/>
      </c>
    </row>
    <row r="4813" spans="2:10" ht="19.95" customHeight="1" x14ac:dyDescent="0.3">
      <c r="B4813" s="4" t="str" cm="1">
        <f t="array" ref="B4813">IFERROR(INDEX(EmployeeData[Employee ID], ROW() - 37), "")</f>
        <v/>
      </c>
      <c r="C4813" s="4" t="str" cm="1">
        <f t="array" ref="C4813">IFERROR(INDEX(EmployeeData[Full Name], ROW() - 37), "")</f>
        <v/>
      </c>
      <c r="D4813" s="4" t="str" cm="1">
        <f t="array" ref="D4813">IFERROR(INDEX(EmployeeData[Department], ROW() - 37), "")</f>
        <v/>
      </c>
      <c r="E4813" s="4" t="str" cm="1">
        <f t="array" ref="E4813">IFERROR(INDEX(EmployeeData[Gender], ROW() - 37), "")</f>
        <v/>
      </c>
      <c r="F4813" s="4" t="str" cm="1">
        <f t="array" ref="F4813">IFERROR(INDEX(EmployeeData[Age], ROW() - 37), "")</f>
        <v/>
      </c>
      <c r="G4813" s="6" t="str" cm="1">
        <f t="array" ref="G4813">IFERROR(INDEX(EmployeeData[Join Date], ROW() - 37), "")</f>
        <v/>
      </c>
      <c r="H4813" s="6" t="str" cm="1">
        <f t="array" ref="H4813">IFERROR(IF(INDEX(EmployeeData[Exit Date], ROW() - 37)=0, "",INDEX(EmployeeData[Exit Date], ROW() - 37)),"")</f>
        <v/>
      </c>
      <c r="I4813" s="4" t="str" cm="1">
        <f t="array" ref="I4813">IFERROR(IF(INDEX(EmployeeData[Exit Reason], ROW() - 37)=0, "",INDEX(EmployeeData[Exit Reason], ROW() - 37)),"")</f>
        <v/>
      </c>
      <c r="J4813" s="4" t="str" cm="1">
        <f t="array" ref="J4813">IFERROR(INDEX(EmployeeData[Status], ROW() - 37), "")</f>
        <v/>
      </c>
    </row>
    <row r="4814" spans="2:10" ht="19.95" customHeight="1" x14ac:dyDescent="0.3">
      <c r="B4814" s="4" t="str" cm="1">
        <f t="array" ref="B4814">IFERROR(INDEX(EmployeeData[Employee ID], ROW() - 37), "")</f>
        <v/>
      </c>
      <c r="C4814" s="4" t="str" cm="1">
        <f t="array" ref="C4814">IFERROR(INDEX(EmployeeData[Full Name], ROW() - 37), "")</f>
        <v/>
      </c>
      <c r="D4814" s="4" t="str" cm="1">
        <f t="array" ref="D4814">IFERROR(INDEX(EmployeeData[Department], ROW() - 37), "")</f>
        <v/>
      </c>
      <c r="E4814" s="4" t="str" cm="1">
        <f t="array" ref="E4814">IFERROR(INDEX(EmployeeData[Gender], ROW() - 37), "")</f>
        <v/>
      </c>
      <c r="F4814" s="4" t="str" cm="1">
        <f t="array" ref="F4814">IFERROR(INDEX(EmployeeData[Age], ROW() - 37), "")</f>
        <v/>
      </c>
      <c r="G4814" s="6" t="str" cm="1">
        <f t="array" ref="G4814">IFERROR(INDEX(EmployeeData[Join Date], ROW() - 37), "")</f>
        <v/>
      </c>
      <c r="H4814" s="6" t="str" cm="1">
        <f t="array" ref="H4814">IFERROR(IF(INDEX(EmployeeData[Exit Date], ROW() - 37)=0, "",INDEX(EmployeeData[Exit Date], ROW() - 37)),"")</f>
        <v/>
      </c>
      <c r="I4814" s="4" t="str" cm="1">
        <f t="array" ref="I4814">IFERROR(IF(INDEX(EmployeeData[Exit Reason], ROW() - 37)=0, "",INDEX(EmployeeData[Exit Reason], ROW() - 37)),"")</f>
        <v/>
      </c>
      <c r="J4814" s="4" t="str" cm="1">
        <f t="array" ref="J4814">IFERROR(INDEX(EmployeeData[Status], ROW() - 37), "")</f>
        <v/>
      </c>
    </row>
    <row r="4815" spans="2:10" ht="19.95" customHeight="1" x14ac:dyDescent="0.3">
      <c r="B4815" s="4" t="str" cm="1">
        <f t="array" ref="B4815">IFERROR(INDEX(EmployeeData[Employee ID], ROW() - 37), "")</f>
        <v/>
      </c>
      <c r="C4815" s="4" t="str" cm="1">
        <f t="array" ref="C4815">IFERROR(INDEX(EmployeeData[Full Name], ROW() - 37), "")</f>
        <v/>
      </c>
      <c r="D4815" s="4" t="str" cm="1">
        <f t="array" ref="D4815">IFERROR(INDEX(EmployeeData[Department], ROW() - 37), "")</f>
        <v/>
      </c>
      <c r="E4815" s="4" t="str" cm="1">
        <f t="array" ref="E4815">IFERROR(INDEX(EmployeeData[Gender], ROW() - 37), "")</f>
        <v/>
      </c>
      <c r="F4815" s="4" t="str" cm="1">
        <f t="array" ref="F4815">IFERROR(INDEX(EmployeeData[Age], ROW() - 37), "")</f>
        <v/>
      </c>
      <c r="G4815" s="6" t="str" cm="1">
        <f t="array" ref="G4815">IFERROR(INDEX(EmployeeData[Join Date], ROW() - 37), "")</f>
        <v/>
      </c>
      <c r="H4815" s="6" t="str" cm="1">
        <f t="array" ref="H4815">IFERROR(IF(INDEX(EmployeeData[Exit Date], ROW() - 37)=0, "",INDEX(EmployeeData[Exit Date], ROW() - 37)),"")</f>
        <v/>
      </c>
      <c r="I4815" s="4" t="str" cm="1">
        <f t="array" ref="I4815">IFERROR(IF(INDEX(EmployeeData[Exit Reason], ROW() - 37)=0, "",INDEX(EmployeeData[Exit Reason], ROW() - 37)),"")</f>
        <v/>
      </c>
      <c r="J4815" s="4" t="str" cm="1">
        <f t="array" ref="J4815">IFERROR(INDEX(EmployeeData[Status], ROW() - 37), "")</f>
        <v/>
      </c>
    </row>
    <row r="4816" spans="2:10" ht="19.95" customHeight="1" x14ac:dyDescent="0.3">
      <c r="B4816" s="4" t="str" cm="1">
        <f t="array" ref="B4816">IFERROR(INDEX(EmployeeData[Employee ID], ROW() - 37), "")</f>
        <v/>
      </c>
      <c r="C4816" s="4" t="str" cm="1">
        <f t="array" ref="C4816">IFERROR(INDEX(EmployeeData[Full Name], ROW() - 37), "")</f>
        <v/>
      </c>
      <c r="D4816" s="4" t="str" cm="1">
        <f t="array" ref="D4816">IFERROR(INDEX(EmployeeData[Department], ROW() - 37), "")</f>
        <v/>
      </c>
      <c r="E4816" s="4" t="str" cm="1">
        <f t="array" ref="E4816">IFERROR(INDEX(EmployeeData[Gender], ROW() - 37), "")</f>
        <v/>
      </c>
      <c r="F4816" s="4" t="str" cm="1">
        <f t="array" ref="F4816">IFERROR(INDEX(EmployeeData[Age], ROW() - 37), "")</f>
        <v/>
      </c>
      <c r="G4816" s="6" t="str" cm="1">
        <f t="array" ref="G4816">IFERROR(INDEX(EmployeeData[Join Date], ROW() - 37), "")</f>
        <v/>
      </c>
      <c r="H4816" s="6" t="str" cm="1">
        <f t="array" ref="H4816">IFERROR(IF(INDEX(EmployeeData[Exit Date], ROW() - 37)=0, "",INDEX(EmployeeData[Exit Date], ROW() - 37)),"")</f>
        <v/>
      </c>
      <c r="I4816" s="4" t="str" cm="1">
        <f t="array" ref="I4816">IFERROR(IF(INDEX(EmployeeData[Exit Reason], ROW() - 37)=0, "",INDEX(EmployeeData[Exit Reason], ROW() - 37)),"")</f>
        <v/>
      </c>
      <c r="J4816" s="4" t="str" cm="1">
        <f t="array" ref="J4816">IFERROR(INDEX(EmployeeData[Status], ROW() - 37), "")</f>
        <v/>
      </c>
    </row>
    <row r="4817" spans="2:10" ht="19.95" customHeight="1" x14ac:dyDescent="0.3">
      <c r="B4817" s="4" t="str" cm="1">
        <f t="array" ref="B4817">IFERROR(INDEX(EmployeeData[Employee ID], ROW() - 37), "")</f>
        <v/>
      </c>
      <c r="C4817" s="4" t="str" cm="1">
        <f t="array" ref="C4817">IFERROR(INDEX(EmployeeData[Full Name], ROW() - 37), "")</f>
        <v/>
      </c>
      <c r="D4817" s="4" t="str" cm="1">
        <f t="array" ref="D4817">IFERROR(INDEX(EmployeeData[Department], ROW() - 37), "")</f>
        <v/>
      </c>
      <c r="E4817" s="4" t="str" cm="1">
        <f t="array" ref="E4817">IFERROR(INDEX(EmployeeData[Gender], ROW() - 37), "")</f>
        <v/>
      </c>
      <c r="F4817" s="4" t="str" cm="1">
        <f t="array" ref="F4817">IFERROR(INDEX(EmployeeData[Age], ROW() - 37), "")</f>
        <v/>
      </c>
      <c r="G4817" s="6" t="str" cm="1">
        <f t="array" ref="G4817">IFERROR(INDEX(EmployeeData[Join Date], ROW() - 37), "")</f>
        <v/>
      </c>
      <c r="H4817" s="6" t="str" cm="1">
        <f t="array" ref="H4817">IFERROR(IF(INDEX(EmployeeData[Exit Date], ROW() - 37)=0, "",INDEX(EmployeeData[Exit Date], ROW() - 37)),"")</f>
        <v/>
      </c>
      <c r="I4817" s="4" t="str" cm="1">
        <f t="array" ref="I4817">IFERROR(IF(INDEX(EmployeeData[Exit Reason], ROW() - 37)=0, "",INDEX(EmployeeData[Exit Reason], ROW() - 37)),"")</f>
        <v/>
      </c>
      <c r="J4817" s="4" t="str" cm="1">
        <f t="array" ref="J4817">IFERROR(INDEX(EmployeeData[Status], ROW() - 37), "")</f>
        <v/>
      </c>
    </row>
    <row r="4818" spans="2:10" ht="19.95" customHeight="1" x14ac:dyDescent="0.3">
      <c r="B4818" s="4" t="str" cm="1">
        <f t="array" ref="B4818">IFERROR(INDEX(EmployeeData[Employee ID], ROW() - 37), "")</f>
        <v/>
      </c>
      <c r="C4818" s="4" t="str" cm="1">
        <f t="array" ref="C4818">IFERROR(INDEX(EmployeeData[Full Name], ROW() - 37), "")</f>
        <v/>
      </c>
      <c r="D4818" s="4" t="str" cm="1">
        <f t="array" ref="D4818">IFERROR(INDEX(EmployeeData[Department], ROW() - 37), "")</f>
        <v/>
      </c>
      <c r="E4818" s="4" t="str" cm="1">
        <f t="array" ref="E4818">IFERROR(INDEX(EmployeeData[Gender], ROW() - 37), "")</f>
        <v/>
      </c>
      <c r="F4818" s="4" t="str" cm="1">
        <f t="array" ref="F4818">IFERROR(INDEX(EmployeeData[Age], ROW() - 37), "")</f>
        <v/>
      </c>
      <c r="G4818" s="6" t="str" cm="1">
        <f t="array" ref="G4818">IFERROR(INDEX(EmployeeData[Join Date], ROW() - 37), "")</f>
        <v/>
      </c>
      <c r="H4818" s="6" t="str" cm="1">
        <f t="array" ref="H4818">IFERROR(IF(INDEX(EmployeeData[Exit Date], ROW() - 37)=0, "",INDEX(EmployeeData[Exit Date], ROW() - 37)),"")</f>
        <v/>
      </c>
      <c r="I4818" s="4" t="str" cm="1">
        <f t="array" ref="I4818">IFERROR(IF(INDEX(EmployeeData[Exit Reason], ROW() - 37)=0, "",INDEX(EmployeeData[Exit Reason], ROW() - 37)),"")</f>
        <v/>
      </c>
      <c r="J4818" s="4" t="str" cm="1">
        <f t="array" ref="J4818">IFERROR(INDEX(EmployeeData[Status], ROW() - 37), "")</f>
        <v/>
      </c>
    </row>
    <row r="4819" spans="2:10" ht="19.95" customHeight="1" x14ac:dyDescent="0.3">
      <c r="B4819" s="4" t="str" cm="1">
        <f t="array" ref="B4819">IFERROR(INDEX(EmployeeData[Employee ID], ROW() - 37), "")</f>
        <v/>
      </c>
      <c r="C4819" s="4" t="str" cm="1">
        <f t="array" ref="C4819">IFERROR(INDEX(EmployeeData[Full Name], ROW() - 37), "")</f>
        <v/>
      </c>
      <c r="D4819" s="4" t="str" cm="1">
        <f t="array" ref="D4819">IFERROR(INDEX(EmployeeData[Department], ROW() - 37), "")</f>
        <v/>
      </c>
      <c r="E4819" s="4" t="str" cm="1">
        <f t="array" ref="E4819">IFERROR(INDEX(EmployeeData[Gender], ROW() - 37), "")</f>
        <v/>
      </c>
      <c r="F4819" s="4" t="str" cm="1">
        <f t="array" ref="F4819">IFERROR(INDEX(EmployeeData[Age], ROW() - 37), "")</f>
        <v/>
      </c>
      <c r="G4819" s="6" t="str" cm="1">
        <f t="array" ref="G4819">IFERROR(INDEX(EmployeeData[Join Date], ROW() - 37), "")</f>
        <v/>
      </c>
      <c r="H4819" s="6" t="str" cm="1">
        <f t="array" ref="H4819">IFERROR(IF(INDEX(EmployeeData[Exit Date], ROW() - 37)=0, "",INDEX(EmployeeData[Exit Date], ROW() - 37)),"")</f>
        <v/>
      </c>
      <c r="I4819" s="4" t="str" cm="1">
        <f t="array" ref="I4819">IFERROR(IF(INDEX(EmployeeData[Exit Reason], ROW() - 37)=0, "",INDEX(EmployeeData[Exit Reason], ROW() - 37)),"")</f>
        <v/>
      </c>
      <c r="J4819" s="4" t="str" cm="1">
        <f t="array" ref="J4819">IFERROR(INDEX(EmployeeData[Status], ROW() - 37), "")</f>
        <v/>
      </c>
    </row>
    <row r="4820" spans="2:10" ht="19.95" customHeight="1" x14ac:dyDescent="0.3">
      <c r="B4820" s="4" t="str" cm="1">
        <f t="array" ref="B4820">IFERROR(INDEX(EmployeeData[Employee ID], ROW() - 37), "")</f>
        <v/>
      </c>
      <c r="C4820" s="4" t="str" cm="1">
        <f t="array" ref="C4820">IFERROR(INDEX(EmployeeData[Full Name], ROW() - 37), "")</f>
        <v/>
      </c>
      <c r="D4820" s="4" t="str" cm="1">
        <f t="array" ref="D4820">IFERROR(INDEX(EmployeeData[Department], ROW() - 37), "")</f>
        <v/>
      </c>
      <c r="E4820" s="4" t="str" cm="1">
        <f t="array" ref="E4820">IFERROR(INDEX(EmployeeData[Gender], ROW() - 37), "")</f>
        <v/>
      </c>
      <c r="F4820" s="4" t="str" cm="1">
        <f t="array" ref="F4820">IFERROR(INDEX(EmployeeData[Age], ROW() - 37), "")</f>
        <v/>
      </c>
      <c r="G4820" s="6" t="str" cm="1">
        <f t="array" ref="G4820">IFERROR(INDEX(EmployeeData[Join Date], ROW() - 37), "")</f>
        <v/>
      </c>
      <c r="H4820" s="6" t="str" cm="1">
        <f t="array" ref="H4820">IFERROR(IF(INDEX(EmployeeData[Exit Date], ROW() - 37)=0, "",INDEX(EmployeeData[Exit Date], ROW() - 37)),"")</f>
        <v/>
      </c>
      <c r="I4820" s="4" t="str" cm="1">
        <f t="array" ref="I4820">IFERROR(IF(INDEX(EmployeeData[Exit Reason], ROW() - 37)=0, "",INDEX(EmployeeData[Exit Reason], ROW() - 37)),"")</f>
        <v/>
      </c>
      <c r="J4820" s="4" t="str" cm="1">
        <f t="array" ref="J4820">IFERROR(INDEX(EmployeeData[Status], ROW() - 37), "")</f>
        <v/>
      </c>
    </row>
    <row r="4821" spans="2:10" ht="19.95" customHeight="1" x14ac:dyDescent="0.3">
      <c r="B4821" s="4" t="str" cm="1">
        <f t="array" ref="B4821">IFERROR(INDEX(EmployeeData[Employee ID], ROW() - 37), "")</f>
        <v/>
      </c>
      <c r="C4821" s="4" t="str" cm="1">
        <f t="array" ref="C4821">IFERROR(INDEX(EmployeeData[Full Name], ROW() - 37), "")</f>
        <v/>
      </c>
      <c r="D4821" s="4" t="str" cm="1">
        <f t="array" ref="D4821">IFERROR(INDEX(EmployeeData[Department], ROW() - 37), "")</f>
        <v/>
      </c>
      <c r="E4821" s="4" t="str" cm="1">
        <f t="array" ref="E4821">IFERROR(INDEX(EmployeeData[Gender], ROW() - 37), "")</f>
        <v/>
      </c>
      <c r="F4821" s="4" t="str" cm="1">
        <f t="array" ref="F4821">IFERROR(INDEX(EmployeeData[Age], ROW() - 37), "")</f>
        <v/>
      </c>
      <c r="G4821" s="6" t="str" cm="1">
        <f t="array" ref="G4821">IFERROR(INDEX(EmployeeData[Join Date], ROW() - 37), "")</f>
        <v/>
      </c>
      <c r="H4821" s="6" t="str" cm="1">
        <f t="array" ref="H4821">IFERROR(IF(INDEX(EmployeeData[Exit Date], ROW() - 37)=0, "",INDEX(EmployeeData[Exit Date], ROW() - 37)),"")</f>
        <v/>
      </c>
      <c r="I4821" s="4" t="str" cm="1">
        <f t="array" ref="I4821">IFERROR(IF(INDEX(EmployeeData[Exit Reason], ROW() - 37)=0, "",INDEX(EmployeeData[Exit Reason], ROW() - 37)),"")</f>
        <v/>
      </c>
      <c r="J4821" s="4" t="str" cm="1">
        <f t="array" ref="J4821">IFERROR(INDEX(EmployeeData[Status], ROW() - 37), "")</f>
        <v/>
      </c>
    </row>
    <row r="4822" spans="2:10" ht="19.95" customHeight="1" x14ac:dyDescent="0.3">
      <c r="B4822" s="4" t="str" cm="1">
        <f t="array" ref="B4822">IFERROR(INDEX(EmployeeData[Employee ID], ROW() - 37), "")</f>
        <v/>
      </c>
      <c r="C4822" s="4" t="str" cm="1">
        <f t="array" ref="C4822">IFERROR(INDEX(EmployeeData[Full Name], ROW() - 37), "")</f>
        <v/>
      </c>
      <c r="D4822" s="4" t="str" cm="1">
        <f t="array" ref="D4822">IFERROR(INDEX(EmployeeData[Department], ROW() - 37), "")</f>
        <v/>
      </c>
      <c r="E4822" s="4" t="str" cm="1">
        <f t="array" ref="E4822">IFERROR(INDEX(EmployeeData[Gender], ROW() - 37), "")</f>
        <v/>
      </c>
      <c r="F4822" s="4" t="str" cm="1">
        <f t="array" ref="F4822">IFERROR(INDEX(EmployeeData[Age], ROW() - 37), "")</f>
        <v/>
      </c>
      <c r="G4822" s="6" t="str" cm="1">
        <f t="array" ref="G4822">IFERROR(INDEX(EmployeeData[Join Date], ROW() - 37), "")</f>
        <v/>
      </c>
      <c r="H4822" s="6" t="str" cm="1">
        <f t="array" ref="H4822">IFERROR(IF(INDEX(EmployeeData[Exit Date], ROW() - 37)=0, "",INDEX(EmployeeData[Exit Date], ROW() - 37)),"")</f>
        <v/>
      </c>
      <c r="I4822" s="4" t="str" cm="1">
        <f t="array" ref="I4822">IFERROR(IF(INDEX(EmployeeData[Exit Reason], ROW() - 37)=0, "",INDEX(EmployeeData[Exit Reason], ROW() - 37)),"")</f>
        <v/>
      </c>
      <c r="J4822" s="4" t="str" cm="1">
        <f t="array" ref="J4822">IFERROR(INDEX(EmployeeData[Status], ROW() - 37), "")</f>
        <v/>
      </c>
    </row>
    <row r="4823" spans="2:10" ht="19.95" customHeight="1" x14ac:dyDescent="0.3">
      <c r="B4823" s="4" t="str" cm="1">
        <f t="array" ref="B4823">IFERROR(INDEX(EmployeeData[Employee ID], ROW() - 37), "")</f>
        <v/>
      </c>
      <c r="C4823" s="4" t="str" cm="1">
        <f t="array" ref="C4823">IFERROR(INDEX(EmployeeData[Full Name], ROW() - 37), "")</f>
        <v/>
      </c>
      <c r="D4823" s="4" t="str" cm="1">
        <f t="array" ref="D4823">IFERROR(INDEX(EmployeeData[Department], ROW() - 37), "")</f>
        <v/>
      </c>
      <c r="E4823" s="4" t="str" cm="1">
        <f t="array" ref="E4823">IFERROR(INDEX(EmployeeData[Gender], ROW() - 37), "")</f>
        <v/>
      </c>
      <c r="F4823" s="4" t="str" cm="1">
        <f t="array" ref="F4823">IFERROR(INDEX(EmployeeData[Age], ROW() - 37), "")</f>
        <v/>
      </c>
      <c r="G4823" s="6" t="str" cm="1">
        <f t="array" ref="G4823">IFERROR(INDEX(EmployeeData[Join Date], ROW() - 37), "")</f>
        <v/>
      </c>
      <c r="H4823" s="6" t="str" cm="1">
        <f t="array" ref="H4823">IFERROR(IF(INDEX(EmployeeData[Exit Date], ROW() - 37)=0, "",INDEX(EmployeeData[Exit Date], ROW() - 37)),"")</f>
        <v/>
      </c>
      <c r="I4823" s="4" t="str" cm="1">
        <f t="array" ref="I4823">IFERROR(IF(INDEX(EmployeeData[Exit Reason], ROW() - 37)=0, "",INDEX(EmployeeData[Exit Reason], ROW() - 37)),"")</f>
        <v/>
      </c>
      <c r="J4823" s="4" t="str" cm="1">
        <f t="array" ref="J4823">IFERROR(INDEX(EmployeeData[Status], ROW() - 37), "")</f>
        <v/>
      </c>
    </row>
    <row r="4824" spans="2:10" ht="19.95" customHeight="1" x14ac:dyDescent="0.3">
      <c r="B4824" s="4" t="str" cm="1">
        <f t="array" ref="B4824">IFERROR(INDEX(EmployeeData[Employee ID], ROW() - 37), "")</f>
        <v/>
      </c>
      <c r="C4824" s="4" t="str" cm="1">
        <f t="array" ref="C4824">IFERROR(INDEX(EmployeeData[Full Name], ROW() - 37), "")</f>
        <v/>
      </c>
      <c r="D4824" s="4" t="str" cm="1">
        <f t="array" ref="D4824">IFERROR(INDEX(EmployeeData[Department], ROW() - 37), "")</f>
        <v/>
      </c>
      <c r="E4824" s="4" t="str" cm="1">
        <f t="array" ref="E4824">IFERROR(INDEX(EmployeeData[Gender], ROW() - 37), "")</f>
        <v/>
      </c>
      <c r="F4824" s="4" t="str" cm="1">
        <f t="array" ref="F4824">IFERROR(INDEX(EmployeeData[Age], ROW() - 37), "")</f>
        <v/>
      </c>
      <c r="G4824" s="6" t="str" cm="1">
        <f t="array" ref="G4824">IFERROR(INDEX(EmployeeData[Join Date], ROW() - 37), "")</f>
        <v/>
      </c>
      <c r="H4824" s="6" t="str" cm="1">
        <f t="array" ref="H4824">IFERROR(IF(INDEX(EmployeeData[Exit Date], ROW() - 37)=0, "",INDEX(EmployeeData[Exit Date], ROW() - 37)),"")</f>
        <v/>
      </c>
      <c r="I4824" s="4" t="str" cm="1">
        <f t="array" ref="I4824">IFERROR(IF(INDEX(EmployeeData[Exit Reason], ROW() - 37)=0, "",INDEX(EmployeeData[Exit Reason], ROW() - 37)),"")</f>
        <v/>
      </c>
      <c r="J4824" s="4" t="str" cm="1">
        <f t="array" ref="J4824">IFERROR(INDEX(EmployeeData[Status], ROW() - 37), "")</f>
        <v/>
      </c>
    </row>
    <row r="4825" spans="2:10" ht="19.95" customHeight="1" x14ac:dyDescent="0.3">
      <c r="B4825" s="4" t="str" cm="1">
        <f t="array" ref="B4825">IFERROR(INDEX(EmployeeData[Employee ID], ROW() - 37), "")</f>
        <v/>
      </c>
      <c r="C4825" s="4" t="str" cm="1">
        <f t="array" ref="C4825">IFERROR(INDEX(EmployeeData[Full Name], ROW() - 37), "")</f>
        <v/>
      </c>
      <c r="D4825" s="4" t="str" cm="1">
        <f t="array" ref="D4825">IFERROR(INDEX(EmployeeData[Department], ROW() - 37), "")</f>
        <v/>
      </c>
      <c r="E4825" s="4" t="str" cm="1">
        <f t="array" ref="E4825">IFERROR(INDEX(EmployeeData[Gender], ROW() - 37), "")</f>
        <v/>
      </c>
      <c r="F4825" s="4" t="str" cm="1">
        <f t="array" ref="F4825">IFERROR(INDEX(EmployeeData[Age], ROW() - 37), "")</f>
        <v/>
      </c>
      <c r="G4825" s="6" t="str" cm="1">
        <f t="array" ref="G4825">IFERROR(INDEX(EmployeeData[Join Date], ROW() - 37), "")</f>
        <v/>
      </c>
      <c r="H4825" s="6" t="str" cm="1">
        <f t="array" ref="H4825">IFERROR(IF(INDEX(EmployeeData[Exit Date], ROW() - 37)=0, "",INDEX(EmployeeData[Exit Date], ROW() - 37)),"")</f>
        <v/>
      </c>
      <c r="I4825" s="4" t="str" cm="1">
        <f t="array" ref="I4825">IFERROR(IF(INDEX(EmployeeData[Exit Reason], ROW() - 37)=0, "",INDEX(EmployeeData[Exit Reason], ROW() - 37)),"")</f>
        <v/>
      </c>
      <c r="J4825" s="4" t="str" cm="1">
        <f t="array" ref="J4825">IFERROR(INDEX(EmployeeData[Status], ROW() - 37), "")</f>
        <v/>
      </c>
    </row>
    <row r="4826" spans="2:10" ht="19.95" customHeight="1" x14ac:dyDescent="0.3">
      <c r="B4826" s="4" t="str" cm="1">
        <f t="array" ref="B4826">IFERROR(INDEX(EmployeeData[Employee ID], ROW() - 37), "")</f>
        <v/>
      </c>
      <c r="C4826" s="4" t="str" cm="1">
        <f t="array" ref="C4826">IFERROR(INDEX(EmployeeData[Full Name], ROW() - 37), "")</f>
        <v/>
      </c>
      <c r="D4826" s="4" t="str" cm="1">
        <f t="array" ref="D4826">IFERROR(INDEX(EmployeeData[Department], ROW() - 37), "")</f>
        <v/>
      </c>
      <c r="E4826" s="4" t="str" cm="1">
        <f t="array" ref="E4826">IFERROR(INDEX(EmployeeData[Gender], ROW() - 37), "")</f>
        <v/>
      </c>
      <c r="F4826" s="4" t="str" cm="1">
        <f t="array" ref="F4826">IFERROR(INDEX(EmployeeData[Age], ROW() - 37), "")</f>
        <v/>
      </c>
      <c r="G4826" s="6" t="str" cm="1">
        <f t="array" ref="G4826">IFERROR(INDEX(EmployeeData[Join Date], ROW() - 37), "")</f>
        <v/>
      </c>
      <c r="H4826" s="6" t="str" cm="1">
        <f t="array" ref="H4826">IFERROR(IF(INDEX(EmployeeData[Exit Date], ROW() - 37)=0, "",INDEX(EmployeeData[Exit Date], ROW() - 37)),"")</f>
        <v/>
      </c>
      <c r="I4826" s="4" t="str" cm="1">
        <f t="array" ref="I4826">IFERROR(IF(INDEX(EmployeeData[Exit Reason], ROW() - 37)=0, "",INDEX(EmployeeData[Exit Reason], ROW() - 37)),"")</f>
        <v/>
      </c>
      <c r="J4826" s="4" t="str" cm="1">
        <f t="array" ref="J4826">IFERROR(INDEX(EmployeeData[Status], ROW() - 37), "")</f>
        <v/>
      </c>
    </row>
    <row r="4827" spans="2:10" ht="19.95" customHeight="1" x14ac:dyDescent="0.3">
      <c r="B4827" s="4" t="str" cm="1">
        <f t="array" ref="B4827">IFERROR(INDEX(EmployeeData[Employee ID], ROW() - 37), "")</f>
        <v/>
      </c>
      <c r="C4827" s="4" t="str" cm="1">
        <f t="array" ref="C4827">IFERROR(INDEX(EmployeeData[Full Name], ROW() - 37), "")</f>
        <v/>
      </c>
      <c r="D4827" s="4" t="str" cm="1">
        <f t="array" ref="D4827">IFERROR(INDEX(EmployeeData[Department], ROW() - 37), "")</f>
        <v/>
      </c>
      <c r="E4827" s="4" t="str" cm="1">
        <f t="array" ref="E4827">IFERROR(INDEX(EmployeeData[Gender], ROW() - 37), "")</f>
        <v/>
      </c>
      <c r="F4827" s="4" t="str" cm="1">
        <f t="array" ref="F4827">IFERROR(INDEX(EmployeeData[Age], ROW() - 37), "")</f>
        <v/>
      </c>
      <c r="G4827" s="6" t="str" cm="1">
        <f t="array" ref="G4827">IFERROR(INDEX(EmployeeData[Join Date], ROW() - 37), "")</f>
        <v/>
      </c>
      <c r="H4827" s="6" t="str" cm="1">
        <f t="array" ref="H4827">IFERROR(IF(INDEX(EmployeeData[Exit Date], ROW() - 37)=0, "",INDEX(EmployeeData[Exit Date], ROW() - 37)),"")</f>
        <v/>
      </c>
      <c r="I4827" s="4" t="str" cm="1">
        <f t="array" ref="I4827">IFERROR(IF(INDEX(EmployeeData[Exit Reason], ROW() - 37)=0, "",INDEX(EmployeeData[Exit Reason], ROW() - 37)),"")</f>
        <v/>
      </c>
      <c r="J4827" s="4" t="str" cm="1">
        <f t="array" ref="J4827">IFERROR(INDEX(EmployeeData[Status], ROW() - 37), "")</f>
        <v/>
      </c>
    </row>
    <row r="4828" spans="2:10" ht="19.95" customHeight="1" x14ac:dyDescent="0.3">
      <c r="B4828" s="4" t="str" cm="1">
        <f t="array" ref="B4828">IFERROR(INDEX(EmployeeData[Employee ID], ROW() - 37), "")</f>
        <v/>
      </c>
      <c r="C4828" s="4" t="str" cm="1">
        <f t="array" ref="C4828">IFERROR(INDEX(EmployeeData[Full Name], ROW() - 37), "")</f>
        <v/>
      </c>
      <c r="D4828" s="4" t="str" cm="1">
        <f t="array" ref="D4828">IFERROR(INDEX(EmployeeData[Department], ROW() - 37), "")</f>
        <v/>
      </c>
      <c r="E4828" s="4" t="str" cm="1">
        <f t="array" ref="E4828">IFERROR(INDEX(EmployeeData[Gender], ROW() - 37), "")</f>
        <v/>
      </c>
      <c r="F4828" s="4" t="str" cm="1">
        <f t="array" ref="F4828">IFERROR(INDEX(EmployeeData[Age], ROW() - 37), "")</f>
        <v/>
      </c>
      <c r="G4828" s="6" t="str" cm="1">
        <f t="array" ref="G4828">IFERROR(INDEX(EmployeeData[Join Date], ROW() - 37), "")</f>
        <v/>
      </c>
      <c r="H4828" s="6" t="str" cm="1">
        <f t="array" ref="H4828">IFERROR(IF(INDEX(EmployeeData[Exit Date], ROW() - 37)=0, "",INDEX(EmployeeData[Exit Date], ROW() - 37)),"")</f>
        <v/>
      </c>
      <c r="I4828" s="4" t="str" cm="1">
        <f t="array" ref="I4828">IFERROR(IF(INDEX(EmployeeData[Exit Reason], ROW() - 37)=0, "",INDEX(EmployeeData[Exit Reason], ROW() - 37)),"")</f>
        <v/>
      </c>
      <c r="J4828" s="4" t="str" cm="1">
        <f t="array" ref="J4828">IFERROR(INDEX(EmployeeData[Status], ROW() - 37), "")</f>
        <v/>
      </c>
    </row>
    <row r="4829" spans="2:10" ht="19.95" customHeight="1" x14ac:dyDescent="0.3">
      <c r="B4829" s="4" t="str" cm="1">
        <f t="array" ref="B4829">IFERROR(INDEX(EmployeeData[Employee ID], ROW() - 37), "")</f>
        <v/>
      </c>
      <c r="C4829" s="4" t="str" cm="1">
        <f t="array" ref="C4829">IFERROR(INDEX(EmployeeData[Full Name], ROW() - 37), "")</f>
        <v/>
      </c>
      <c r="D4829" s="4" t="str" cm="1">
        <f t="array" ref="D4829">IFERROR(INDEX(EmployeeData[Department], ROW() - 37), "")</f>
        <v/>
      </c>
      <c r="E4829" s="4" t="str" cm="1">
        <f t="array" ref="E4829">IFERROR(INDEX(EmployeeData[Gender], ROW() - 37), "")</f>
        <v/>
      </c>
      <c r="F4829" s="4" t="str" cm="1">
        <f t="array" ref="F4829">IFERROR(INDEX(EmployeeData[Age], ROW() - 37), "")</f>
        <v/>
      </c>
      <c r="G4829" s="6" t="str" cm="1">
        <f t="array" ref="G4829">IFERROR(INDEX(EmployeeData[Join Date], ROW() - 37), "")</f>
        <v/>
      </c>
      <c r="H4829" s="6" t="str" cm="1">
        <f t="array" ref="H4829">IFERROR(IF(INDEX(EmployeeData[Exit Date], ROW() - 37)=0, "",INDEX(EmployeeData[Exit Date], ROW() - 37)),"")</f>
        <v/>
      </c>
      <c r="I4829" s="4" t="str" cm="1">
        <f t="array" ref="I4829">IFERROR(IF(INDEX(EmployeeData[Exit Reason], ROW() - 37)=0, "",INDEX(EmployeeData[Exit Reason], ROW() - 37)),"")</f>
        <v/>
      </c>
      <c r="J4829" s="4" t="str" cm="1">
        <f t="array" ref="J4829">IFERROR(INDEX(EmployeeData[Status], ROW() - 37), "")</f>
        <v/>
      </c>
    </row>
    <row r="4830" spans="2:10" ht="19.95" customHeight="1" x14ac:dyDescent="0.3">
      <c r="B4830" s="4" t="str" cm="1">
        <f t="array" ref="B4830">IFERROR(INDEX(EmployeeData[Employee ID], ROW() - 37), "")</f>
        <v/>
      </c>
      <c r="C4830" s="4" t="str" cm="1">
        <f t="array" ref="C4830">IFERROR(INDEX(EmployeeData[Full Name], ROW() - 37), "")</f>
        <v/>
      </c>
      <c r="D4830" s="4" t="str" cm="1">
        <f t="array" ref="D4830">IFERROR(INDEX(EmployeeData[Department], ROW() - 37), "")</f>
        <v/>
      </c>
      <c r="E4830" s="4" t="str" cm="1">
        <f t="array" ref="E4830">IFERROR(INDEX(EmployeeData[Gender], ROW() - 37), "")</f>
        <v/>
      </c>
      <c r="F4830" s="4" t="str" cm="1">
        <f t="array" ref="F4830">IFERROR(INDEX(EmployeeData[Age], ROW() - 37), "")</f>
        <v/>
      </c>
      <c r="G4830" s="6" t="str" cm="1">
        <f t="array" ref="G4830">IFERROR(INDEX(EmployeeData[Join Date], ROW() - 37), "")</f>
        <v/>
      </c>
      <c r="H4830" s="6" t="str" cm="1">
        <f t="array" ref="H4830">IFERROR(IF(INDEX(EmployeeData[Exit Date], ROW() - 37)=0, "",INDEX(EmployeeData[Exit Date], ROW() - 37)),"")</f>
        <v/>
      </c>
      <c r="I4830" s="4" t="str" cm="1">
        <f t="array" ref="I4830">IFERROR(IF(INDEX(EmployeeData[Exit Reason], ROW() - 37)=0, "",INDEX(EmployeeData[Exit Reason], ROW() - 37)),"")</f>
        <v/>
      </c>
      <c r="J4830" s="4" t="str" cm="1">
        <f t="array" ref="J4830">IFERROR(INDEX(EmployeeData[Status], ROW() - 37), "")</f>
        <v/>
      </c>
    </row>
    <row r="4831" spans="2:10" ht="19.95" customHeight="1" x14ac:dyDescent="0.3">
      <c r="B4831" s="4" t="str" cm="1">
        <f t="array" ref="B4831">IFERROR(INDEX(EmployeeData[Employee ID], ROW() - 37), "")</f>
        <v/>
      </c>
      <c r="C4831" s="4" t="str" cm="1">
        <f t="array" ref="C4831">IFERROR(INDEX(EmployeeData[Full Name], ROW() - 37), "")</f>
        <v/>
      </c>
      <c r="D4831" s="4" t="str" cm="1">
        <f t="array" ref="D4831">IFERROR(INDEX(EmployeeData[Department], ROW() - 37), "")</f>
        <v/>
      </c>
      <c r="E4831" s="4" t="str" cm="1">
        <f t="array" ref="E4831">IFERROR(INDEX(EmployeeData[Gender], ROW() - 37), "")</f>
        <v/>
      </c>
      <c r="F4831" s="4" t="str" cm="1">
        <f t="array" ref="F4831">IFERROR(INDEX(EmployeeData[Age], ROW() - 37), "")</f>
        <v/>
      </c>
      <c r="G4831" s="6" t="str" cm="1">
        <f t="array" ref="G4831">IFERROR(INDEX(EmployeeData[Join Date], ROW() - 37), "")</f>
        <v/>
      </c>
      <c r="H4831" s="6" t="str" cm="1">
        <f t="array" ref="H4831">IFERROR(IF(INDEX(EmployeeData[Exit Date], ROW() - 37)=0, "",INDEX(EmployeeData[Exit Date], ROW() - 37)),"")</f>
        <v/>
      </c>
      <c r="I4831" s="4" t="str" cm="1">
        <f t="array" ref="I4831">IFERROR(IF(INDEX(EmployeeData[Exit Reason], ROW() - 37)=0, "",INDEX(EmployeeData[Exit Reason], ROW() - 37)),"")</f>
        <v/>
      </c>
      <c r="J4831" s="4" t="str" cm="1">
        <f t="array" ref="J4831">IFERROR(INDEX(EmployeeData[Status], ROW() - 37), "")</f>
        <v/>
      </c>
    </row>
    <row r="4832" spans="2:10" ht="19.95" customHeight="1" x14ac:dyDescent="0.3">
      <c r="B4832" s="4" t="str" cm="1">
        <f t="array" ref="B4832">IFERROR(INDEX(EmployeeData[Employee ID], ROW() - 37), "")</f>
        <v/>
      </c>
      <c r="C4832" s="4" t="str" cm="1">
        <f t="array" ref="C4832">IFERROR(INDEX(EmployeeData[Full Name], ROW() - 37), "")</f>
        <v/>
      </c>
      <c r="D4832" s="4" t="str" cm="1">
        <f t="array" ref="D4832">IFERROR(INDEX(EmployeeData[Department], ROW() - 37), "")</f>
        <v/>
      </c>
      <c r="E4832" s="4" t="str" cm="1">
        <f t="array" ref="E4832">IFERROR(INDEX(EmployeeData[Gender], ROW() - 37), "")</f>
        <v/>
      </c>
      <c r="F4832" s="4" t="str" cm="1">
        <f t="array" ref="F4832">IFERROR(INDEX(EmployeeData[Age], ROW() - 37), "")</f>
        <v/>
      </c>
      <c r="G4832" s="6" t="str" cm="1">
        <f t="array" ref="G4832">IFERROR(INDEX(EmployeeData[Join Date], ROW() - 37), "")</f>
        <v/>
      </c>
      <c r="H4832" s="6" t="str" cm="1">
        <f t="array" ref="H4832">IFERROR(IF(INDEX(EmployeeData[Exit Date], ROW() - 37)=0, "",INDEX(EmployeeData[Exit Date], ROW() - 37)),"")</f>
        <v/>
      </c>
      <c r="I4832" s="4" t="str" cm="1">
        <f t="array" ref="I4832">IFERROR(IF(INDEX(EmployeeData[Exit Reason], ROW() - 37)=0, "",INDEX(EmployeeData[Exit Reason], ROW() - 37)),"")</f>
        <v/>
      </c>
      <c r="J4832" s="4" t="str" cm="1">
        <f t="array" ref="J4832">IFERROR(INDEX(EmployeeData[Status], ROW() - 37), "")</f>
        <v/>
      </c>
    </row>
    <row r="4833" spans="2:10" ht="19.95" customHeight="1" x14ac:dyDescent="0.3">
      <c r="B4833" s="4" t="str" cm="1">
        <f t="array" ref="B4833">IFERROR(INDEX(EmployeeData[Employee ID], ROW() - 37), "")</f>
        <v/>
      </c>
      <c r="C4833" s="4" t="str" cm="1">
        <f t="array" ref="C4833">IFERROR(INDEX(EmployeeData[Full Name], ROW() - 37), "")</f>
        <v/>
      </c>
      <c r="D4833" s="4" t="str" cm="1">
        <f t="array" ref="D4833">IFERROR(INDEX(EmployeeData[Department], ROW() - 37), "")</f>
        <v/>
      </c>
      <c r="E4833" s="4" t="str" cm="1">
        <f t="array" ref="E4833">IFERROR(INDEX(EmployeeData[Gender], ROW() - 37), "")</f>
        <v/>
      </c>
      <c r="F4833" s="4" t="str" cm="1">
        <f t="array" ref="F4833">IFERROR(INDEX(EmployeeData[Age], ROW() - 37), "")</f>
        <v/>
      </c>
      <c r="G4833" s="6" t="str" cm="1">
        <f t="array" ref="G4833">IFERROR(INDEX(EmployeeData[Join Date], ROW() - 37), "")</f>
        <v/>
      </c>
      <c r="H4833" s="6" t="str" cm="1">
        <f t="array" ref="H4833">IFERROR(IF(INDEX(EmployeeData[Exit Date], ROW() - 37)=0, "",INDEX(EmployeeData[Exit Date], ROW() - 37)),"")</f>
        <v/>
      </c>
      <c r="I4833" s="4" t="str" cm="1">
        <f t="array" ref="I4833">IFERROR(IF(INDEX(EmployeeData[Exit Reason], ROW() - 37)=0, "",INDEX(EmployeeData[Exit Reason], ROW() - 37)),"")</f>
        <v/>
      </c>
      <c r="J4833" s="4" t="str" cm="1">
        <f t="array" ref="J4833">IFERROR(INDEX(EmployeeData[Status], ROW() - 37), "")</f>
        <v/>
      </c>
    </row>
    <row r="4834" spans="2:10" ht="19.95" customHeight="1" x14ac:dyDescent="0.3">
      <c r="B4834" s="4" t="str" cm="1">
        <f t="array" ref="B4834">IFERROR(INDEX(EmployeeData[Employee ID], ROW() - 37), "")</f>
        <v/>
      </c>
      <c r="C4834" s="4" t="str" cm="1">
        <f t="array" ref="C4834">IFERROR(INDEX(EmployeeData[Full Name], ROW() - 37), "")</f>
        <v/>
      </c>
      <c r="D4834" s="4" t="str" cm="1">
        <f t="array" ref="D4834">IFERROR(INDEX(EmployeeData[Department], ROW() - 37), "")</f>
        <v/>
      </c>
      <c r="E4834" s="4" t="str" cm="1">
        <f t="array" ref="E4834">IFERROR(INDEX(EmployeeData[Gender], ROW() - 37), "")</f>
        <v/>
      </c>
      <c r="F4834" s="4" t="str" cm="1">
        <f t="array" ref="F4834">IFERROR(INDEX(EmployeeData[Age], ROW() - 37), "")</f>
        <v/>
      </c>
      <c r="G4834" s="6" t="str" cm="1">
        <f t="array" ref="G4834">IFERROR(INDEX(EmployeeData[Join Date], ROW() - 37), "")</f>
        <v/>
      </c>
      <c r="H4834" s="6" t="str" cm="1">
        <f t="array" ref="H4834">IFERROR(IF(INDEX(EmployeeData[Exit Date], ROW() - 37)=0, "",INDEX(EmployeeData[Exit Date], ROW() - 37)),"")</f>
        <v/>
      </c>
      <c r="I4834" s="4" t="str" cm="1">
        <f t="array" ref="I4834">IFERROR(IF(INDEX(EmployeeData[Exit Reason], ROW() - 37)=0, "",INDEX(EmployeeData[Exit Reason], ROW() - 37)),"")</f>
        <v/>
      </c>
      <c r="J4834" s="4" t="str" cm="1">
        <f t="array" ref="J4834">IFERROR(INDEX(EmployeeData[Status], ROW() - 37), "")</f>
        <v/>
      </c>
    </row>
    <row r="4835" spans="2:10" ht="19.95" customHeight="1" x14ac:dyDescent="0.3">
      <c r="B4835" s="4" t="str" cm="1">
        <f t="array" ref="B4835">IFERROR(INDEX(EmployeeData[Employee ID], ROW() - 37), "")</f>
        <v/>
      </c>
      <c r="C4835" s="4" t="str" cm="1">
        <f t="array" ref="C4835">IFERROR(INDEX(EmployeeData[Full Name], ROW() - 37), "")</f>
        <v/>
      </c>
      <c r="D4835" s="4" t="str" cm="1">
        <f t="array" ref="D4835">IFERROR(INDEX(EmployeeData[Department], ROW() - 37), "")</f>
        <v/>
      </c>
      <c r="E4835" s="4" t="str" cm="1">
        <f t="array" ref="E4835">IFERROR(INDEX(EmployeeData[Gender], ROW() - 37), "")</f>
        <v/>
      </c>
      <c r="F4835" s="4" t="str" cm="1">
        <f t="array" ref="F4835">IFERROR(INDEX(EmployeeData[Age], ROW() - 37), "")</f>
        <v/>
      </c>
      <c r="G4835" s="6" t="str" cm="1">
        <f t="array" ref="G4835">IFERROR(INDEX(EmployeeData[Join Date], ROW() - 37), "")</f>
        <v/>
      </c>
      <c r="H4835" s="6" t="str" cm="1">
        <f t="array" ref="H4835">IFERROR(IF(INDEX(EmployeeData[Exit Date], ROW() - 37)=0, "",INDEX(EmployeeData[Exit Date], ROW() - 37)),"")</f>
        <v/>
      </c>
      <c r="I4835" s="4" t="str" cm="1">
        <f t="array" ref="I4835">IFERROR(IF(INDEX(EmployeeData[Exit Reason], ROW() - 37)=0, "",INDEX(EmployeeData[Exit Reason], ROW() - 37)),"")</f>
        <v/>
      </c>
      <c r="J4835" s="4" t="str" cm="1">
        <f t="array" ref="J4835">IFERROR(INDEX(EmployeeData[Status], ROW() - 37), "")</f>
        <v/>
      </c>
    </row>
    <row r="4836" spans="2:10" ht="19.95" customHeight="1" x14ac:dyDescent="0.3">
      <c r="B4836" s="4" t="str" cm="1">
        <f t="array" ref="B4836">IFERROR(INDEX(EmployeeData[Employee ID], ROW() - 37), "")</f>
        <v/>
      </c>
      <c r="C4836" s="4" t="str" cm="1">
        <f t="array" ref="C4836">IFERROR(INDEX(EmployeeData[Full Name], ROW() - 37), "")</f>
        <v/>
      </c>
      <c r="D4836" s="4" t="str" cm="1">
        <f t="array" ref="D4836">IFERROR(INDEX(EmployeeData[Department], ROW() - 37), "")</f>
        <v/>
      </c>
      <c r="E4836" s="4" t="str" cm="1">
        <f t="array" ref="E4836">IFERROR(INDEX(EmployeeData[Gender], ROW() - 37), "")</f>
        <v/>
      </c>
      <c r="F4836" s="4" t="str" cm="1">
        <f t="array" ref="F4836">IFERROR(INDEX(EmployeeData[Age], ROW() - 37), "")</f>
        <v/>
      </c>
      <c r="G4836" s="6" t="str" cm="1">
        <f t="array" ref="G4836">IFERROR(INDEX(EmployeeData[Join Date], ROW() - 37), "")</f>
        <v/>
      </c>
      <c r="H4836" s="6" t="str" cm="1">
        <f t="array" ref="H4836">IFERROR(IF(INDEX(EmployeeData[Exit Date], ROW() - 37)=0, "",INDEX(EmployeeData[Exit Date], ROW() - 37)),"")</f>
        <v/>
      </c>
      <c r="I4836" s="4" t="str" cm="1">
        <f t="array" ref="I4836">IFERROR(IF(INDEX(EmployeeData[Exit Reason], ROW() - 37)=0, "",INDEX(EmployeeData[Exit Reason], ROW() - 37)),"")</f>
        <v/>
      </c>
      <c r="J4836" s="4" t="str" cm="1">
        <f t="array" ref="J4836">IFERROR(INDEX(EmployeeData[Status], ROW() - 37), "")</f>
        <v/>
      </c>
    </row>
    <row r="4837" spans="2:10" ht="19.95" customHeight="1" x14ac:dyDescent="0.3">
      <c r="B4837" s="4" t="str" cm="1">
        <f t="array" ref="B4837">IFERROR(INDEX(EmployeeData[Employee ID], ROW() - 37), "")</f>
        <v/>
      </c>
      <c r="C4837" s="4" t="str" cm="1">
        <f t="array" ref="C4837">IFERROR(INDEX(EmployeeData[Full Name], ROW() - 37), "")</f>
        <v/>
      </c>
      <c r="D4837" s="4" t="str" cm="1">
        <f t="array" ref="D4837">IFERROR(INDEX(EmployeeData[Department], ROW() - 37), "")</f>
        <v/>
      </c>
      <c r="E4837" s="4" t="str" cm="1">
        <f t="array" ref="E4837">IFERROR(INDEX(EmployeeData[Gender], ROW() - 37), "")</f>
        <v/>
      </c>
      <c r="F4837" s="4" t="str" cm="1">
        <f t="array" ref="F4837">IFERROR(INDEX(EmployeeData[Age], ROW() - 37), "")</f>
        <v/>
      </c>
      <c r="G4837" s="6" t="str" cm="1">
        <f t="array" ref="G4837">IFERROR(INDEX(EmployeeData[Join Date], ROW() - 37), "")</f>
        <v/>
      </c>
      <c r="H4837" s="6" t="str" cm="1">
        <f t="array" ref="H4837">IFERROR(IF(INDEX(EmployeeData[Exit Date], ROW() - 37)=0, "",INDEX(EmployeeData[Exit Date], ROW() - 37)),"")</f>
        <v/>
      </c>
      <c r="I4837" s="4" t="str" cm="1">
        <f t="array" ref="I4837">IFERROR(IF(INDEX(EmployeeData[Exit Reason], ROW() - 37)=0, "",INDEX(EmployeeData[Exit Reason], ROW() - 37)),"")</f>
        <v/>
      </c>
      <c r="J4837" s="4" t="str" cm="1">
        <f t="array" ref="J4837">IFERROR(INDEX(EmployeeData[Status], ROW() - 37), "")</f>
        <v/>
      </c>
    </row>
    <row r="4838" spans="2:10" ht="19.95" customHeight="1" x14ac:dyDescent="0.3">
      <c r="B4838" s="4" t="str" cm="1">
        <f t="array" ref="B4838">IFERROR(INDEX(EmployeeData[Employee ID], ROW() - 37), "")</f>
        <v/>
      </c>
      <c r="C4838" s="4" t="str" cm="1">
        <f t="array" ref="C4838">IFERROR(INDEX(EmployeeData[Full Name], ROW() - 37), "")</f>
        <v/>
      </c>
      <c r="D4838" s="4" t="str" cm="1">
        <f t="array" ref="D4838">IFERROR(INDEX(EmployeeData[Department], ROW() - 37), "")</f>
        <v/>
      </c>
      <c r="E4838" s="4" t="str" cm="1">
        <f t="array" ref="E4838">IFERROR(INDEX(EmployeeData[Gender], ROW() - 37), "")</f>
        <v/>
      </c>
      <c r="F4838" s="4" t="str" cm="1">
        <f t="array" ref="F4838">IFERROR(INDEX(EmployeeData[Age], ROW() - 37), "")</f>
        <v/>
      </c>
      <c r="G4838" s="6" t="str" cm="1">
        <f t="array" ref="G4838">IFERROR(INDEX(EmployeeData[Join Date], ROW() - 37), "")</f>
        <v/>
      </c>
      <c r="H4838" s="6" t="str" cm="1">
        <f t="array" ref="H4838">IFERROR(IF(INDEX(EmployeeData[Exit Date], ROW() - 37)=0, "",INDEX(EmployeeData[Exit Date], ROW() - 37)),"")</f>
        <v/>
      </c>
      <c r="I4838" s="4" t="str" cm="1">
        <f t="array" ref="I4838">IFERROR(IF(INDEX(EmployeeData[Exit Reason], ROW() - 37)=0, "",INDEX(EmployeeData[Exit Reason], ROW() - 37)),"")</f>
        <v/>
      </c>
      <c r="J4838" s="4" t="str" cm="1">
        <f t="array" ref="J4838">IFERROR(INDEX(EmployeeData[Status], ROW() - 37), "")</f>
        <v/>
      </c>
    </row>
    <row r="4839" spans="2:10" ht="19.95" customHeight="1" x14ac:dyDescent="0.3">
      <c r="B4839" s="4" t="str" cm="1">
        <f t="array" ref="B4839">IFERROR(INDEX(EmployeeData[Employee ID], ROW() - 37), "")</f>
        <v/>
      </c>
      <c r="C4839" s="4" t="str" cm="1">
        <f t="array" ref="C4839">IFERROR(INDEX(EmployeeData[Full Name], ROW() - 37), "")</f>
        <v/>
      </c>
      <c r="D4839" s="4" t="str" cm="1">
        <f t="array" ref="D4839">IFERROR(INDEX(EmployeeData[Department], ROW() - 37), "")</f>
        <v/>
      </c>
      <c r="E4839" s="4" t="str" cm="1">
        <f t="array" ref="E4839">IFERROR(INDEX(EmployeeData[Gender], ROW() - 37), "")</f>
        <v/>
      </c>
      <c r="F4839" s="4" t="str" cm="1">
        <f t="array" ref="F4839">IFERROR(INDEX(EmployeeData[Age], ROW() - 37), "")</f>
        <v/>
      </c>
      <c r="G4839" s="6" t="str" cm="1">
        <f t="array" ref="G4839">IFERROR(INDEX(EmployeeData[Join Date], ROW() - 37), "")</f>
        <v/>
      </c>
      <c r="H4839" s="6" t="str" cm="1">
        <f t="array" ref="H4839">IFERROR(IF(INDEX(EmployeeData[Exit Date], ROW() - 37)=0, "",INDEX(EmployeeData[Exit Date], ROW() - 37)),"")</f>
        <v/>
      </c>
      <c r="I4839" s="4" t="str" cm="1">
        <f t="array" ref="I4839">IFERROR(IF(INDEX(EmployeeData[Exit Reason], ROW() - 37)=0, "",INDEX(EmployeeData[Exit Reason], ROW() - 37)),"")</f>
        <v/>
      </c>
      <c r="J4839" s="4" t="str" cm="1">
        <f t="array" ref="J4839">IFERROR(INDEX(EmployeeData[Status], ROW() - 37), "")</f>
        <v/>
      </c>
    </row>
    <row r="4840" spans="2:10" ht="19.95" customHeight="1" x14ac:dyDescent="0.3">
      <c r="B4840" s="4" t="str" cm="1">
        <f t="array" ref="B4840">IFERROR(INDEX(EmployeeData[Employee ID], ROW() - 37), "")</f>
        <v/>
      </c>
      <c r="C4840" s="4" t="str" cm="1">
        <f t="array" ref="C4840">IFERROR(INDEX(EmployeeData[Full Name], ROW() - 37), "")</f>
        <v/>
      </c>
      <c r="D4840" s="4" t="str" cm="1">
        <f t="array" ref="D4840">IFERROR(INDEX(EmployeeData[Department], ROW() - 37), "")</f>
        <v/>
      </c>
      <c r="E4840" s="4" t="str" cm="1">
        <f t="array" ref="E4840">IFERROR(INDEX(EmployeeData[Gender], ROW() - 37), "")</f>
        <v/>
      </c>
      <c r="F4840" s="4" t="str" cm="1">
        <f t="array" ref="F4840">IFERROR(INDEX(EmployeeData[Age], ROW() - 37), "")</f>
        <v/>
      </c>
      <c r="G4840" s="6" t="str" cm="1">
        <f t="array" ref="G4840">IFERROR(INDEX(EmployeeData[Join Date], ROW() - 37), "")</f>
        <v/>
      </c>
      <c r="H4840" s="6" t="str" cm="1">
        <f t="array" ref="H4840">IFERROR(IF(INDEX(EmployeeData[Exit Date], ROW() - 37)=0, "",INDEX(EmployeeData[Exit Date], ROW() - 37)),"")</f>
        <v/>
      </c>
      <c r="I4840" s="4" t="str" cm="1">
        <f t="array" ref="I4840">IFERROR(IF(INDEX(EmployeeData[Exit Reason], ROW() - 37)=0, "",INDEX(EmployeeData[Exit Reason], ROW() - 37)),"")</f>
        <v/>
      </c>
      <c r="J4840" s="4" t="str" cm="1">
        <f t="array" ref="J4840">IFERROR(INDEX(EmployeeData[Status], ROW() - 37), "")</f>
        <v/>
      </c>
    </row>
    <row r="4841" spans="2:10" ht="19.95" customHeight="1" x14ac:dyDescent="0.3">
      <c r="B4841" s="4" t="str" cm="1">
        <f t="array" ref="B4841">IFERROR(INDEX(EmployeeData[Employee ID], ROW() - 37), "")</f>
        <v/>
      </c>
      <c r="C4841" s="4" t="str" cm="1">
        <f t="array" ref="C4841">IFERROR(INDEX(EmployeeData[Full Name], ROW() - 37), "")</f>
        <v/>
      </c>
      <c r="D4841" s="4" t="str" cm="1">
        <f t="array" ref="D4841">IFERROR(INDEX(EmployeeData[Department], ROW() - 37), "")</f>
        <v/>
      </c>
      <c r="E4841" s="4" t="str" cm="1">
        <f t="array" ref="E4841">IFERROR(INDEX(EmployeeData[Gender], ROW() - 37), "")</f>
        <v/>
      </c>
      <c r="F4841" s="4" t="str" cm="1">
        <f t="array" ref="F4841">IFERROR(INDEX(EmployeeData[Age], ROW() - 37), "")</f>
        <v/>
      </c>
      <c r="G4841" s="6" t="str" cm="1">
        <f t="array" ref="G4841">IFERROR(INDEX(EmployeeData[Join Date], ROW() - 37), "")</f>
        <v/>
      </c>
      <c r="H4841" s="6" t="str" cm="1">
        <f t="array" ref="H4841">IFERROR(IF(INDEX(EmployeeData[Exit Date], ROW() - 37)=0, "",INDEX(EmployeeData[Exit Date], ROW() - 37)),"")</f>
        <v/>
      </c>
      <c r="I4841" s="4" t="str" cm="1">
        <f t="array" ref="I4841">IFERROR(IF(INDEX(EmployeeData[Exit Reason], ROW() - 37)=0, "",INDEX(EmployeeData[Exit Reason], ROW() - 37)),"")</f>
        <v/>
      </c>
      <c r="J4841" s="4" t="str" cm="1">
        <f t="array" ref="J4841">IFERROR(INDEX(EmployeeData[Status], ROW() - 37), "")</f>
        <v/>
      </c>
    </row>
    <row r="4842" spans="2:10" ht="19.95" customHeight="1" x14ac:dyDescent="0.3">
      <c r="B4842" s="4" t="str" cm="1">
        <f t="array" ref="B4842">IFERROR(INDEX(EmployeeData[Employee ID], ROW() - 37), "")</f>
        <v/>
      </c>
      <c r="C4842" s="4" t="str" cm="1">
        <f t="array" ref="C4842">IFERROR(INDEX(EmployeeData[Full Name], ROW() - 37), "")</f>
        <v/>
      </c>
      <c r="D4842" s="4" t="str" cm="1">
        <f t="array" ref="D4842">IFERROR(INDEX(EmployeeData[Department], ROW() - 37), "")</f>
        <v/>
      </c>
      <c r="E4842" s="4" t="str" cm="1">
        <f t="array" ref="E4842">IFERROR(INDEX(EmployeeData[Gender], ROW() - 37), "")</f>
        <v/>
      </c>
      <c r="F4842" s="4" t="str" cm="1">
        <f t="array" ref="F4842">IFERROR(INDEX(EmployeeData[Age], ROW() - 37), "")</f>
        <v/>
      </c>
      <c r="G4842" s="6" t="str" cm="1">
        <f t="array" ref="G4842">IFERROR(INDEX(EmployeeData[Join Date], ROW() - 37), "")</f>
        <v/>
      </c>
      <c r="H4842" s="6" t="str" cm="1">
        <f t="array" ref="H4842">IFERROR(IF(INDEX(EmployeeData[Exit Date], ROW() - 37)=0, "",INDEX(EmployeeData[Exit Date], ROW() - 37)),"")</f>
        <v/>
      </c>
      <c r="I4842" s="4" t="str" cm="1">
        <f t="array" ref="I4842">IFERROR(IF(INDEX(EmployeeData[Exit Reason], ROW() - 37)=0, "",INDEX(EmployeeData[Exit Reason], ROW() - 37)),"")</f>
        <v/>
      </c>
      <c r="J4842" s="4" t="str" cm="1">
        <f t="array" ref="J4842">IFERROR(INDEX(EmployeeData[Status], ROW() - 37), "")</f>
        <v/>
      </c>
    </row>
    <row r="4843" spans="2:10" ht="19.95" customHeight="1" x14ac:dyDescent="0.3">
      <c r="B4843" s="4" t="str" cm="1">
        <f t="array" ref="B4843">IFERROR(INDEX(EmployeeData[Employee ID], ROW() - 37), "")</f>
        <v/>
      </c>
      <c r="C4843" s="4" t="str" cm="1">
        <f t="array" ref="C4843">IFERROR(INDEX(EmployeeData[Full Name], ROW() - 37), "")</f>
        <v/>
      </c>
      <c r="D4843" s="4" t="str" cm="1">
        <f t="array" ref="D4843">IFERROR(INDEX(EmployeeData[Department], ROW() - 37), "")</f>
        <v/>
      </c>
      <c r="E4843" s="4" t="str" cm="1">
        <f t="array" ref="E4843">IFERROR(INDEX(EmployeeData[Gender], ROW() - 37), "")</f>
        <v/>
      </c>
      <c r="F4843" s="4" t="str" cm="1">
        <f t="array" ref="F4843">IFERROR(INDEX(EmployeeData[Age], ROW() - 37), "")</f>
        <v/>
      </c>
      <c r="G4843" s="6" t="str" cm="1">
        <f t="array" ref="G4843">IFERROR(INDEX(EmployeeData[Join Date], ROW() - 37), "")</f>
        <v/>
      </c>
      <c r="H4843" s="6" t="str" cm="1">
        <f t="array" ref="H4843">IFERROR(IF(INDEX(EmployeeData[Exit Date], ROW() - 37)=0, "",INDEX(EmployeeData[Exit Date], ROW() - 37)),"")</f>
        <v/>
      </c>
      <c r="I4843" s="4" t="str" cm="1">
        <f t="array" ref="I4843">IFERROR(IF(INDEX(EmployeeData[Exit Reason], ROW() - 37)=0, "",INDEX(EmployeeData[Exit Reason], ROW() - 37)),"")</f>
        <v/>
      </c>
      <c r="J4843" s="4" t="str" cm="1">
        <f t="array" ref="J4843">IFERROR(INDEX(EmployeeData[Status], ROW() - 37), "")</f>
        <v/>
      </c>
    </row>
    <row r="4844" spans="2:10" ht="19.95" customHeight="1" x14ac:dyDescent="0.3">
      <c r="B4844" s="4" t="str" cm="1">
        <f t="array" ref="B4844">IFERROR(INDEX(EmployeeData[Employee ID], ROW() - 37), "")</f>
        <v/>
      </c>
      <c r="C4844" s="4" t="str" cm="1">
        <f t="array" ref="C4844">IFERROR(INDEX(EmployeeData[Full Name], ROW() - 37), "")</f>
        <v/>
      </c>
      <c r="D4844" s="4" t="str" cm="1">
        <f t="array" ref="D4844">IFERROR(INDEX(EmployeeData[Department], ROW() - 37), "")</f>
        <v/>
      </c>
      <c r="E4844" s="4" t="str" cm="1">
        <f t="array" ref="E4844">IFERROR(INDEX(EmployeeData[Gender], ROW() - 37), "")</f>
        <v/>
      </c>
      <c r="F4844" s="4" t="str" cm="1">
        <f t="array" ref="F4844">IFERROR(INDEX(EmployeeData[Age], ROW() - 37), "")</f>
        <v/>
      </c>
      <c r="G4844" s="6" t="str" cm="1">
        <f t="array" ref="G4844">IFERROR(INDEX(EmployeeData[Join Date], ROW() - 37), "")</f>
        <v/>
      </c>
      <c r="H4844" s="6" t="str" cm="1">
        <f t="array" ref="H4844">IFERROR(IF(INDEX(EmployeeData[Exit Date], ROW() - 37)=0, "",INDEX(EmployeeData[Exit Date], ROW() - 37)),"")</f>
        <v/>
      </c>
      <c r="I4844" s="4" t="str" cm="1">
        <f t="array" ref="I4844">IFERROR(IF(INDEX(EmployeeData[Exit Reason], ROW() - 37)=0, "",INDEX(EmployeeData[Exit Reason], ROW() - 37)),"")</f>
        <v/>
      </c>
      <c r="J4844" s="4" t="str" cm="1">
        <f t="array" ref="J4844">IFERROR(INDEX(EmployeeData[Status], ROW() - 37), "")</f>
        <v/>
      </c>
    </row>
    <row r="4845" spans="2:10" ht="19.95" customHeight="1" x14ac:dyDescent="0.3">
      <c r="B4845" s="4" t="str" cm="1">
        <f t="array" ref="B4845">IFERROR(INDEX(EmployeeData[Employee ID], ROW() - 37), "")</f>
        <v/>
      </c>
      <c r="C4845" s="4" t="str" cm="1">
        <f t="array" ref="C4845">IFERROR(INDEX(EmployeeData[Full Name], ROW() - 37), "")</f>
        <v/>
      </c>
      <c r="D4845" s="4" t="str" cm="1">
        <f t="array" ref="D4845">IFERROR(INDEX(EmployeeData[Department], ROW() - 37), "")</f>
        <v/>
      </c>
      <c r="E4845" s="4" t="str" cm="1">
        <f t="array" ref="E4845">IFERROR(INDEX(EmployeeData[Gender], ROW() - 37), "")</f>
        <v/>
      </c>
      <c r="F4845" s="4" t="str" cm="1">
        <f t="array" ref="F4845">IFERROR(INDEX(EmployeeData[Age], ROW() - 37), "")</f>
        <v/>
      </c>
      <c r="G4845" s="6" t="str" cm="1">
        <f t="array" ref="G4845">IFERROR(INDEX(EmployeeData[Join Date], ROW() - 37), "")</f>
        <v/>
      </c>
      <c r="H4845" s="6" t="str" cm="1">
        <f t="array" ref="H4845">IFERROR(IF(INDEX(EmployeeData[Exit Date], ROW() - 37)=0, "",INDEX(EmployeeData[Exit Date], ROW() - 37)),"")</f>
        <v/>
      </c>
      <c r="I4845" s="4" t="str" cm="1">
        <f t="array" ref="I4845">IFERROR(IF(INDEX(EmployeeData[Exit Reason], ROW() - 37)=0, "",INDEX(EmployeeData[Exit Reason], ROW() - 37)),"")</f>
        <v/>
      </c>
      <c r="J4845" s="4" t="str" cm="1">
        <f t="array" ref="J4845">IFERROR(INDEX(EmployeeData[Status], ROW() - 37), "")</f>
        <v/>
      </c>
    </row>
    <row r="4846" spans="2:10" ht="19.95" customHeight="1" x14ac:dyDescent="0.3">
      <c r="B4846" s="4" t="str" cm="1">
        <f t="array" ref="B4846">IFERROR(INDEX(EmployeeData[Employee ID], ROW() - 37), "")</f>
        <v/>
      </c>
      <c r="C4846" s="4" t="str" cm="1">
        <f t="array" ref="C4846">IFERROR(INDEX(EmployeeData[Full Name], ROW() - 37), "")</f>
        <v/>
      </c>
      <c r="D4846" s="4" t="str" cm="1">
        <f t="array" ref="D4846">IFERROR(INDEX(EmployeeData[Department], ROW() - 37), "")</f>
        <v/>
      </c>
      <c r="E4846" s="4" t="str" cm="1">
        <f t="array" ref="E4846">IFERROR(INDEX(EmployeeData[Gender], ROW() - 37), "")</f>
        <v/>
      </c>
      <c r="F4846" s="4" t="str" cm="1">
        <f t="array" ref="F4846">IFERROR(INDEX(EmployeeData[Age], ROW() - 37), "")</f>
        <v/>
      </c>
      <c r="G4846" s="6" t="str" cm="1">
        <f t="array" ref="G4846">IFERROR(INDEX(EmployeeData[Join Date], ROW() - 37), "")</f>
        <v/>
      </c>
      <c r="H4846" s="6" t="str" cm="1">
        <f t="array" ref="H4846">IFERROR(IF(INDEX(EmployeeData[Exit Date], ROW() - 37)=0, "",INDEX(EmployeeData[Exit Date], ROW() - 37)),"")</f>
        <v/>
      </c>
      <c r="I4846" s="4" t="str" cm="1">
        <f t="array" ref="I4846">IFERROR(IF(INDEX(EmployeeData[Exit Reason], ROW() - 37)=0, "",INDEX(EmployeeData[Exit Reason], ROW() - 37)),"")</f>
        <v/>
      </c>
      <c r="J4846" s="4" t="str" cm="1">
        <f t="array" ref="J4846">IFERROR(INDEX(EmployeeData[Status], ROW() - 37), "")</f>
        <v/>
      </c>
    </row>
    <row r="4847" spans="2:10" ht="19.95" customHeight="1" x14ac:dyDescent="0.3">
      <c r="B4847" s="4" t="str" cm="1">
        <f t="array" ref="B4847">IFERROR(INDEX(EmployeeData[Employee ID], ROW() - 37), "")</f>
        <v/>
      </c>
      <c r="C4847" s="4" t="str" cm="1">
        <f t="array" ref="C4847">IFERROR(INDEX(EmployeeData[Full Name], ROW() - 37), "")</f>
        <v/>
      </c>
      <c r="D4847" s="4" t="str" cm="1">
        <f t="array" ref="D4847">IFERROR(INDEX(EmployeeData[Department], ROW() - 37), "")</f>
        <v/>
      </c>
      <c r="E4847" s="4" t="str" cm="1">
        <f t="array" ref="E4847">IFERROR(INDEX(EmployeeData[Gender], ROW() - 37), "")</f>
        <v/>
      </c>
      <c r="F4847" s="4" t="str" cm="1">
        <f t="array" ref="F4847">IFERROR(INDEX(EmployeeData[Age], ROW() - 37), "")</f>
        <v/>
      </c>
      <c r="G4847" s="6" t="str" cm="1">
        <f t="array" ref="G4847">IFERROR(INDEX(EmployeeData[Join Date], ROW() - 37), "")</f>
        <v/>
      </c>
      <c r="H4847" s="6" t="str" cm="1">
        <f t="array" ref="H4847">IFERROR(IF(INDEX(EmployeeData[Exit Date], ROW() - 37)=0, "",INDEX(EmployeeData[Exit Date], ROW() - 37)),"")</f>
        <v/>
      </c>
      <c r="I4847" s="4" t="str" cm="1">
        <f t="array" ref="I4847">IFERROR(IF(INDEX(EmployeeData[Exit Reason], ROW() - 37)=0, "",INDEX(EmployeeData[Exit Reason], ROW() - 37)),"")</f>
        <v/>
      </c>
      <c r="J4847" s="4" t="str" cm="1">
        <f t="array" ref="J4847">IFERROR(INDEX(EmployeeData[Status], ROW() - 37), "")</f>
        <v/>
      </c>
    </row>
    <row r="4848" spans="2:10" ht="19.95" customHeight="1" x14ac:dyDescent="0.3">
      <c r="B4848" s="4" t="str" cm="1">
        <f t="array" ref="B4848">IFERROR(INDEX(EmployeeData[Employee ID], ROW() - 37), "")</f>
        <v/>
      </c>
      <c r="C4848" s="4" t="str" cm="1">
        <f t="array" ref="C4848">IFERROR(INDEX(EmployeeData[Full Name], ROW() - 37), "")</f>
        <v/>
      </c>
      <c r="D4848" s="4" t="str" cm="1">
        <f t="array" ref="D4848">IFERROR(INDEX(EmployeeData[Department], ROW() - 37), "")</f>
        <v/>
      </c>
      <c r="E4848" s="4" t="str" cm="1">
        <f t="array" ref="E4848">IFERROR(INDEX(EmployeeData[Gender], ROW() - 37), "")</f>
        <v/>
      </c>
      <c r="F4848" s="4" t="str" cm="1">
        <f t="array" ref="F4848">IFERROR(INDEX(EmployeeData[Age], ROW() - 37), "")</f>
        <v/>
      </c>
      <c r="G4848" s="6" t="str" cm="1">
        <f t="array" ref="G4848">IFERROR(INDEX(EmployeeData[Join Date], ROW() - 37), "")</f>
        <v/>
      </c>
      <c r="H4848" s="6" t="str" cm="1">
        <f t="array" ref="H4848">IFERROR(IF(INDEX(EmployeeData[Exit Date], ROW() - 37)=0, "",INDEX(EmployeeData[Exit Date], ROW() - 37)),"")</f>
        <v/>
      </c>
      <c r="I4848" s="4" t="str" cm="1">
        <f t="array" ref="I4848">IFERROR(IF(INDEX(EmployeeData[Exit Reason], ROW() - 37)=0, "",INDEX(EmployeeData[Exit Reason], ROW() - 37)),"")</f>
        <v/>
      </c>
      <c r="J4848" s="4" t="str" cm="1">
        <f t="array" ref="J4848">IFERROR(INDEX(EmployeeData[Status], ROW() - 37), "")</f>
        <v/>
      </c>
    </row>
    <row r="4849" spans="2:10" ht="19.95" customHeight="1" x14ac:dyDescent="0.3">
      <c r="B4849" s="4" t="str" cm="1">
        <f t="array" ref="B4849">IFERROR(INDEX(EmployeeData[Employee ID], ROW() - 37), "")</f>
        <v/>
      </c>
      <c r="C4849" s="4" t="str" cm="1">
        <f t="array" ref="C4849">IFERROR(INDEX(EmployeeData[Full Name], ROW() - 37), "")</f>
        <v/>
      </c>
      <c r="D4849" s="4" t="str" cm="1">
        <f t="array" ref="D4849">IFERROR(INDEX(EmployeeData[Department], ROW() - 37), "")</f>
        <v/>
      </c>
      <c r="E4849" s="4" t="str" cm="1">
        <f t="array" ref="E4849">IFERROR(INDEX(EmployeeData[Gender], ROW() - 37), "")</f>
        <v/>
      </c>
      <c r="F4849" s="4" t="str" cm="1">
        <f t="array" ref="F4849">IFERROR(INDEX(EmployeeData[Age], ROW() - 37), "")</f>
        <v/>
      </c>
      <c r="G4849" s="6" t="str" cm="1">
        <f t="array" ref="G4849">IFERROR(INDEX(EmployeeData[Join Date], ROW() - 37), "")</f>
        <v/>
      </c>
      <c r="H4849" s="6" t="str" cm="1">
        <f t="array" ref="H4849">IFERROR(IF(INDEX(EmployeeData[Exit Date], ROW() - 37)=0, "",INDEX(EmployeeData[Exit Date], ROW() - 37)),"")</f>
        <v/>
      </c>
      <c r="I4849" s="4" t="str" cm="1">
        <f t="array" ref="I4849">IFERROR(IF(INDEX(EmployeeData[Exit Reason], ROW() - 37)=0, "",INDEX(EmployeeData[Exit Reason], ROW() - 37)),"")</f>
        <v/>
      </c>
      <c r="J4849" s="4" t="str" cm="1">
        <f t="array" ref="J4849">IFERROR(INDEX(EmployeeData[Status], ROW() - 37), "")</f>
        <v/>
      </c>
    </row>
    <row r="4850" spans="2:10" ht="19.95" customHeight="1" x14ac:dyDescent="0.3">
      <c r="B4850" s="4" t="str" cm="1">
        <f t="array" ref="B4850">IFERROR(INDEX(EmployeeData[Employee ID], ROW() - 37), "")</f>
        <v/>
      </c>
      <c r="C4850" s="4" t="str" cm="1">
        <f t="array" ref="C4850">IFERROR(INDEX(EmployeeData[Full Name], ROW() - 37), "")</f>
        <v/>
      </c>
      <c r="D4850" s="4" t="str" cm="1">
        <f t="array" ref="D4850">IFERROR(INDEX(EmployeeData[Department], ROW() - 37), "")</f>
        <v/>
      </c>
      <c r="E4850" s="4" t="str" cm="1">
        <f t="array" ref="E4850">IFERROR(INDEX(EmployeeData[Gender], ROW() - 37), "")</f>
        <v/>
      </c>
      <c r="F4850" s="4" t="str" cm="1">
        <f t="array" ref="F4850">IFERROR(INDEX(EmployeeData[Age], ROW() - 37), "")</f>
        <v/>
      </c>
      <c r="G4850" s="6" t="str" cm="1">
        <f t="array" ref="G4850">IFERROR(INDEX(EmployeeData[Join Date], ROW() - 37), "")</f>
        <v/>
      </c>
      <c r="H4850" s="6" t="str" cm="1">
        <f t="array" ref="H4850">IFERROR(IF(INDEX(EmployeeData[Exit Date], ROW() - 37)=0, "",INDEX(EmployeeData[Exit Date], ROW() - 37)),"")</f>
        <v/>
      </c>
      <c r="I4850" s="4" t="str" cm="1">
        <f t="array" ref="I4850">IFERROR(IF(INDEX(EmployeeData[Exit Reason], ROW() - 37)=0, "",INDEX(EmployeeData[Exit Reason], ROW() - 37)),"")</f>
        <v/>
      </c>
      <c r="J4850" s="4" t="str" cm="1">
        <f t="array" ref="J4850">IFERROR(INDEX(EmployeeData[Status], ROW() - 37), "")</f>
        <v/>
      </c>
    </row>
    <row r="4851" spans="2:10" ht="19.95" customHeight="1" x14ac:dyDescent="0.3">
      <c r="B4851" s="4" t="str" cm="1">
        <f t="array" ref="B4851">IFERROR(INDEX(EmployeeData[Employee ID], ROW() - 37), "")</f>
        <v/>
      </c>
      <c r="C4851" s="4" t="str" cm="1">
        <f t="array" ref="C4851">IFERROR(INDEX(EmployeeData[Full Name], ROW() - 37), "")</f>
        <v/>
      </c>
      <c r="D4851" s="4" t="str" cm="1">
        <f t="array" ref="D4851">IFERROR(INDEX(EmployeeData[Department], ROW() - 37), "")</f>
        <v/>
      </c>
      <c r="E4851" s="4" t="str" cm="1">
        <f t="array" ref="E4851">IFERROR(INDEX(EmployeeData[Gender], ROW() - 37), "")</f>
        <v/>
      </c>
      <c r="F4851" s="4" t="str" cm="1">
        <f t="array" ref="F4851">IFERROR(INDEX(EmployeeData[Age], ROW() - 37), "")</f>
        <v/>
      </c>
      <c r="G4851" s="6" t="str" cm="1">
        <f t="array" ref="G4851">IFERROR(INDEX(EmployeeData[Join Date], ROW() - 37), "")</f>
        <v/>
      </c>
      <c r="H4851" s="6" t="str" cm="1">
        <f t="array" ref="H4851">IFERROR(IF(INDEX(EmployeeData[Exit Date], ROW() - 37)=0, "",INDEX(EmployeeData[Exit Date], ROW() - 37)),"")</f>
        <v/>
      </c>
      <c r="I4851" s="4" t="str" cm="1">
        <f t="array" ref="I4851">IFERROR(IF(INDEX(EmployeeData[Exit Reason], ROW() - 37)=0, "",INDEX(EmployeeData[Exit Reason], ROW() - 37)),"")</f>
        <v/>
      </c>
      <c r="J4851" s="4" t="str" cm="1">
        <f t="array" ref="J4851">IFERROR(INDEX(EmployeeData[Status], ROW() - 37), "")</f>
        <v/>
      </c>
    </row>
    <row r="4852" spans="2:10" ht="19.95" customHeight="1" x14ac:dyDescent="0.3">
      <c r="B4852" s="4" t="str" cm="1">
        <f t="array" ref="B4852">IFERROR(INDEX(EmployeeData[Employee ID], ROW() - 37), "")</f>
        <v/>
      </c>
      <c r="C4852" s="4" t="str" cm="1">
        <f t="array" ref="C4852">IFERROR(INDEX(EmployeeData[Full Name], ROW() - 37), "")</f>
        <v/>
      </c>
      <c r="D4852" s="4" t="str" cm="1">
        <f t="array" ref="D4852">IFERROR(INDEX(EmployeeData[Department], ROW() - 37), "")</f>
        <v/>
      </c>
      <c r="E4852" s="4" t="str" cm="1">
        <f t="array" ref="E4852">IFERROR(INDEX(EmployeeData[Gender], ROW() - 37), "")</f>
        <v/>
      </c>
      <c r="F4852" s="4" t="str" cm="1">
        <f t="array" ref="F4852">IFERROR(INDEX(EmployeeData[Age], ROW() - 37), "")</f>
        <v/>
      </c>
      <c r="G4852" s="6" t="str" cm="1">
        <f t="array" ref="G4852">IFERROR(INDEX(EmployeeData[Join Date], ROW() - 37), "")</f>
        <v/>
      </c>
      <c r="H4852" s="6" t="str" cm="1">
        <f t="array" ref="H4852">IFERROR(IF(INDEX(EmployeeData[Exit Date], ROW() - 37)=0, "",INDEX(EmployeeData[Exit Date], ROW() - 37)),"")</f>
        <v/>
      </c>
      <c r="I4852" s="4" t="str" cm="1">
        <f t="array" ref="I4852">IFERROR(IF(INDEX(EmployeeData[Exit Reason], ROW() - 37)=0, "",INDEX(EmployeeData[Exit Reason], ROW() - 37)),"")</f>
        <v/>
      </c>
      <c r="J4852" s="4" t="str" cm="1">
        <f t="array" ref="J4852">IFERROR(INDEX(EmployeeData[Status], ROW() - 37), "")</f>
        <v/>
      </c>
    </row>
    <row r="4853" spans="2:10" ht="19.95" customHeight="1" x14ac:dyDescent="0.3">
      <c r="B4853" s="4" t="str" cm="1">
        <f t="array" ref="B4853">IFERROR(INDEX(EmployeeData[Employee ID], ROW() - 37), "")</f>
        <v/>
      </c>
      <c r="C4853" s="4" t="str" cm="1">
        <f t="array" ref="C4853">IFERROR(INDEX(EmployeeData[Full Name], ROW() - 37), "")</f>
        <v/>
      </c>
      <c r="D4853" s="4" t="str" cm="1">
        <f t="array" ref="D4853">IFERROR(INDEX(EmployeeData[Department], ROW() - 37), "")</f>
        <v/>
      </c>
      <c r="E4853" s="4" t="str" cm="1">
        <f t="array" ref="E4853">IFERROR(INDEX(EmployeeData[Gender], ROW() - 37), "")</f>
        <v/>
      </c>
      <c r="F4853" s="4" t="str" cm="1">
        <f t="array" ref="F4853">IFERROR(INDEX(EmployeeData[Age], ROW() - 37), "")</f>
        <v/>
      </c>
      <c r="G4853" s="6" t="str" cm="1">
        <f t="array" ref="G4853">IFERROR(INDEX(EmployeeData[Join Date], ROW() - 37), "")</f>
        <v/>
      </c>
      <c r="H4853" s="6" t="str" cm="1">
        <f t="array" ref="H4853">IFERROR(IF(INDEX(EmployeeData[Exit Date], ROW() - 37)=0, "",INDEX(EmployeeData[Exit Date], ROW() - 37)),"")</f>
        <v/>
      </c>
      <c r="I4853" s="4" t="str" cm="1">
        <f t="array" ref="I4853">IFERROR(IF(INDEX(EmployeeData[Exit Reason], ROW() - 37)=0, "",INDEX(EmployeeData[Exit Reason], ROW() - 37)),"")</f>
        <v/>
      </c>
      <c r="J4853" s="4" t="str" cm="1">
        <f t="array" ref="J4853">IFERROR(INDEX(EmployeeData[Status], ROW() - 37), "")</f>
        <v/>
      </c>
    </row>
    <row r="4854" spans="2:10" ht="19.95" customHeight="1" x14ac:dyDescent="0.3">
      <c r="B4854" s="4" t="str" cm="1">
        <f t="array" ref="B4854">IFERROR(INDEX(EmployeeData[Employee ID], ROW() - 37), "")</f>
        <v/>
      </c>
      <c r="C4854" s="4" t="str" cm="1">
        <f t="array" ref="C4854">IFERROR(INDEX(EmployeeData[Full Name], ROW() - 37), "")</f>
        <v/>
      </c>
      <c r="D4854" s="4" t="str" cm="1">
        <f t="array" ref="D4854">IFERROR(INDEX(EmployeeData[Department], ROW() - 37), "")</f>
        <v/>
      </c>
      <c r="E4854" s="4" t="str" cm="1">
        <f t="array" ref="E4854">IFERROR(INDEX(EmployeeData[Gender], ROW() - 37), "")</f>
        <v/>
      </c>
      <c r="F4854" s="4" t="str" cm="1">
        <f t="array" ref="F4854">IFERROR(INDEX(EmployeeData[Age], ROW() - 37), "")</f>
        <v/>
      </c>
      <c r="G4854" s="6" t="str" cm="1">
        <f t="array" ref="G4854">IFERROR(INDEX(EmployeeData[Join Date], ROW() - 37), "")</f>
        <v/>
      </c>
      <c r="H4854" s="6" t="str" cm="1">
        <f t="array" ref="H4854">IFERROR(IF(INDEX(EmployeeData[Exit Date], ROW() - 37)=0, "",INDEX(EmployeeData[Exit Date], ROW() - 37)),"")</f>
        <v/>
      </c>
      <c r="I4854" s="4" t="str" cm="1">
        <f t="array" ref="I4854">IFERROR(IF(INDEX(EmployeeData[Exit Reason], ROW() - 37)=0, "",INDEX(EmployeeData[Exit Reason], ROW() - 37)),"")</f>
        <v/>
      </c>
      <c r="J4854" s="4" t="str" cm="1">
        <f t="array" ref="J4854">IFERROR(INDEX(EmployeeData[Status], ROW() - 37), "")</f>
        <v/>
      </c>
    </row>
    <row r="4855" spans="2:10" ht="19.95" customHeight="1" x14ac:dyDescent="0.3">
      <c r="B4855" s="4" t="str" cm="1">
        <f t="array" ref="B4855">IFERROR(INDEX(EmployeeData[Employee ID], ROW() - 37), "")</f>
        <v/>
      </c>
      <c r="C4855" s="4" t="str" cm="1">
        <f t="array" ref="C4855">IFERROR(INDEX(EmployeeData[Full Name], ROW() - 37), "")</f>
        <v/>
      </c>
      <c r="D4855" s="4" t="str" cm="1">
        <f t="array" ref="D4855">IFERROR(INDEX(EmployeeData[Department], ROW() - 37), "")</f>
        <v/>
      </c>
      <c r="E4855" s="4" t="str" cm="1">
        <f t="array" ref="E4855">IFERROR(INDEX(EmployeeData[Gender], ROW() - 37), "")</f>
        <v/>
      </c>
      <c r="F4855" s="4" t="str" cm="1">
        <f t="array" ref="F4855">IFERROR(INDEX(EmployeeData[Age], ROW() - 37), "")</f>
        <v/>
      </c>
      <c r="G4855" s="6" t="str" cm="1">
        <f t="array" ref="G4855">IFERROR(INDEX(EmployeeData[Join Date], ROW() - 37), "")</f>
        <v/>
      </c>
      <c r="H4855" s="6" t="str" cm="1">
        <f t="array" ref="H4855">IFERROR(IF(INDEX(EmployeeData[Exit Date], ROW() - 37)=0, "",INDEX(EmployeeData[Exit Date], ROW() - 37)),"")</f>
        <v/>
      </c>
      <c r="I4855" s="4" t="str" cm="1">
        <f t="array" ref="I4855">IFERROR(IF(INDEX(EmployeeData[Exit Reason], ROW() - 37)=0, "",INDEX(EmployeeData[Exit Reason], ROW() - 37)),"")</f>
        <v/>
      </c>
      <c r="J4855" s="4" t="str" cm="1">
        <f t="array" ref="J4855">IFERROR(INDEX(EmployeeData[Status], ROW() - 37), "")</f>
        <v/>
      </c>
    </row>
    <row r="4856" spans="2:10" ht="19.95" customHeight="1" x14ac:dyDescent="0.3">
      <c r="B4856" s="4" t="str" cm="1">
        <f t="array" ref="B4856">IFERROR(INDEX(EmployeeData[Employee ID], ROW() - 37), "")</f>
        <v/>
      </c>
      <c r="C4856" s="4" t="str" cm="1">
        <f t="array" ref="C4856">IFERROR(INDEX(EmployeeData[Full Name], ROW() - 37), "")</f>
        <v/>
      </c>
      <c r="D4856" s="4" t="str" cm="1">
        <f t="array" ref="D4856">IFERROR(INDEX(EmployeeData[Department], ROW() - 37), "")</f>
        <v/>
      </c>
      <c r="E4856" s="4" t="str" cm="1">
        <f t="array" ref="E4856">IFERROR(INDEX(EmployeeData[Gender], ROW() - 37), "")</f>
        <v/>
      </c>
      <c r="F4856" s="4" t="str" cm="1">
        <f t="array" ref="F4856">IFERROR(INDEX(EmployeeData[Age], ROW() - 37), "")</f>
        <v/>
      </c>
      <c r="G4856" s="6" t="str" cm="1">
        <f t="array" ref="G4856">IFERROR(INDEX(EmployeeData[Join Date], ROW() - 37), "")</f>
        <v/>
      </c>
      <c r="H4856" s="6" t="str" cm="1">
        <f t="array" ref="H4856">IFERROR(IF(INDEX(EmployeeData[Exit Date], ROW() - 37)=0, "",INDEX(EmployeeData[Exit Date], ROW() - 37)),"")</f>
        <v/>
      </c>
      <c r="I4856" s="4" t="str" cm="1">
        <f t="array" ref="I4856">IFERROR(IF(INDEX(EmployeeData[Exit Reason], ROW() - 37)=0, "",INDEX(EmployeeData[Exit Reason], ROW() - 37)),"")</f>
        <v/>
      </c>
      <c r="J4856" s="4" t="str" cm="1">
        <f t="array" ref="J4856">IFERROR(INDEX(EmployeeData[Status], ROW() - 37), "")</f>
        <v/>
      </c>
    </row>
    <row r="4857" spans="2:10" ht="19.95" customHeight="1" x14ac:dyDescent="0.3">
      <c r="B4857" s="4" t="str" cm="1">
        <f t="array" ref="B4857">IFERROR(INDEX(EmployeeData[Employee ID], ROW() - 37), "")</f>
        <v/>
      </c>
      <c r="C4857" s="4" t="str" cm="1">
        <f t="array" ref="C4857">IFERROR(INDEX(EmployeeData[Full Name], ROW() - 37), "")</f>
        <v/>
      </c>
      <c r="D4857" s="4" t="str" cm="1">
        <f t="array" ref="D4857">IFERROR(INDEX(EmployeeData[Department], ROW() - 37), "")</f>
        <v/>
      </c>
      <c r="E4857" s="4" t="str" cm="1">
        <f t="array" ref="E4857">IFERROR(INDEX(EmployeeData[Gender], ROW() - 37), "")</f>
        <v/>
      </c>
      <c r="F4857" s="4" t="str" cm="1">
        <f t="array" ref="F4857">IFERROR(INDEX(EmployeeData[Age], ROW() - 37), "")</f>
        <v/>
      </c>
      <c r="G4857" s="6" t="str" cm="1">
        <f t="array" ref="G4857">IFERROR(INDEX(EmployeeData[Join Date], ROW() - 37), "")</f>
        <v/>
      </c>
      <c r="H4857" s="6" t="str" cm="1">
        <f t="array" ref="H4857">IFERROR(IF(INDEX(EmployeeData[Exit Date], ROW() - 37)=0, "",INDEX(EmployeeData[Exit Date], ROW() - 37)),"")</f>
        <v/>
      </c>
      <c r="I4857" s="4" t="str" cm="1">
        <f t="array" ref="I4857">IFERROR(IF(INDEX(EmployeeData[Exit Reason], ROW() - 37)=0, "",INDEX(EmployeeData[Exit Reason], ROW() - 37)),"")</f>
        <v/>
      </c>
      <c r="J4857" s="4" t="str" cm="1">
        <f t="array" ref="J4857">IFERROR(INDEX(EmployeeData[Status], ROW() - 37), "")</f>
        <v/>
      </c>
    </row>
    <row r="4858" spans="2:10" ht="19.95" customHeight="1" x14ac:dyDescent="0.3">
      <c r="B4858" s="4" t="str" cm="1">
        <f t="array" ref="B4858">IFERROR(INDEX(EmployeeData[Employee ID], ROW() - 37), "")</f>
        <v/>
      </c>
      <c r="C4858" s="4" t="str" cm="1">
        <f t="array" ref="C4858">IFERROR(INDEX(EmployeeData[Full Name], ROW() - 37), "")</f>
        <v/>
      </c>
      <c r="D4858" s="4" t="str" cm="1">
        <f t="array" ref="D4858">IFERROR(INDEX(EmployeeData[Department], ROW() - 37), "")</f>
        <v/>
      </c>
      <c r="E4858" s="4" t="str" cm="1">
        <f t="array" ref="E4858">IFERROR(INDEX(EmployeeData[Gender], ROW() - 37), "")</f>
        <v/>
      </c>
      <c r="F4858" s="4" t="str" cm="1">
        <f t="array" ref="F4858">IFERROR(INDEX(EmployeeData[Age], ROW() - 37), "")</f>
        <v/>
      </c>
      <c r="G4858" s="6" t="str" cm="1">
        <f t="array" ref="G4858">IFERROR(INDEX(EmployeeData[Join Date], ROW() - 37), "")</f>
        <v/>
      </c>
      <c r="H4858" s="6" t="str" cm="1">
        <f t="array" ref="H4858">IFERROR(IF(INDEX(EmployeeData[Exit Date], ROW() - 37)=0, "",INDEX(EmployeeData[Exit Date], ROW() - 37)),"")</f>
        <v/>
      </c>
      <c r="I4858" s="4" t="str" cm="1">
        <f t="array" ref="I4858">IFERROR(IF(INDEX(EmployeeData[Exit Reason], ROW() - 37)=0, "",INDEX(EmployeeData[Exit Reason], ROW() - 37)),"")</f>
        <v/>
      </c>
      <c r="J4858" s="4" t="str" cm="1">
        <f t="array" ref="J4858">IFERROR(INDEX(EmployeeData[Status], ROW() - 37), "")</f>
        <v/>
      </c>
    </row>
    <row r="4859" spans="2:10" ht="19.95" customHeight="1" x14ac:dyDescent="0.3">
      <c r="B4859" s="4" t="str" cm="1">
        <f t="array" ref="B4859">IFERROR(INDEX(EmployeeData[Employee ID], ROW() - 37), "")</f>
        <v/>
      </c>
      <c r="C4859" s="4" t="str" cm="1">
        <f t="array" ref="C4859">IFERROR(INDEX(EmployeeData[Full Name], ROW() - 37), "")</f>
        <v/>
      </c>
      <c r="D4859" s="4" t="str" cm="1">
        <f t="array" ref="D4859">IFERROR(INDEX(EmployeeData[Department], ROW() - 37), "")</f>
        <v/>
      </c>
      <c r="E4859" s="4" t="str" cm="1">
        <f t="array" ref="E4859">IFERROR(INDEX(EmployeeData[Gender], ROW() - 37), "")</f>
        <v/>
      </c>
      <c r="F4859" s="4" t="str" cm="1">
        <f t="array" ref="F4859">IFERROR(INDEX(EmployeeData[Age], ROW() - 37), "")</f>
        <v/>
      </c>
      <c r="G4859" s="6" t="str" cm="1">
        <f t="array" ref="G4859">IFERROR(INDEX(EmployeeData[Join Date], ROW() - 37), "")</f>
        <v/>
      </c>
      <c r="H4859" s="6" t="str" cm="1">
        <f t="array" ref="H4859">IFERROR(IF(INDEX(EmployeeData[Exit Date], ROW() - 37)=0, "",INDEX(EmployeeData[Exit Date], ROW() - 37)),"")</f>
        <v/>
      </c>
      <c r="I4859" s="4" t="str" cm="1">
        <f t="array" ref="I4859">IFERROR(IF(INDEX(EmployeeData[Exit Reason], ROW() - 37)=0, "",INDEX(EmployeeData[Exit Reason], ROW() - 37)),"")</f>
        <v/>
      </c>
      <c r="J4859" s="4" t="str" cm="1">
        <f t="array" ref="J4859">IFERROR(INDEX(EmployeeData[Status], ROW() - 37), "")</f>
        <v/>
      </c>
    </row>
    <row r="4860" spans="2:10" ht="19.95" customHeight="1" x14ac:dyDescent="0.3">
      <c r="B4860" s="4" t="str" cm="1">
        <f t="array" ref="B4860">IFERROR(INDEX(EmployeeData[Employee ID], ROW() - 37), "")</f>
        <v/>
      </c>
      <c r="C4860" s="4" t="str" cm="1">
        <f t="array" ref="C4860">IFERROR(INDEX(EmployeeData[Full Name], ROW() - 37), "")</f>
        <v/>
      </c>
      <c r="D4860" s="4" t="str" cm="1">
        <f t="array" ref="D4860">IFERROR(INDEX(EmployeeData[Department], ROW() - 37), "")</f>
        <v/>
      </c>
      <c r="E4860" s="4" t="str" cm="1">
        <f t="array" ref="E4860">IFERROR(INDEX(EmployeeData[Gender], ROW() - 37), "")</f>
        <v/>
      </c>
      <c r="F4860" s="4" t="str" cm="1">
        <f t="array" ref="F4860">IFERROR(INDEX(EmployeeData[Age], ROW() - 37), "")</f>
        <v/>
      </c>
      <c r="G4860" s="6" t="str" cm="1">
        <f t="array" ref="G4860">IFERROR(INDEX(EmployeeData[Join Date], ROW() - 37), "")</f>
        <v/>
      </c>
      <c r="H4860" s="6" t="str" cm="1">
        <f t="array" ref="H4860">IFERROR(IF(INDEX(EmployeeData[Exit Date], ROW() - 37)=0, "",INDEX(EmployeeData[Exit Date], ROW() - 37)),"")</f>
        <v/>
      </c>
      <c r="I4860" s="4" t="str" cm="1">
        <f t="array" ref="I4860">IFERROR(IF(INDEX(EmployeeData[Exit Reason], ROW() - 37)=0, "",INDEX(EmployeeData[Exit Reason], ROW() - 37)),"")</f>
        <v/>
      </c>
      <c r="J4860" s="4" t="str" cm="1">
        <f t="array" ref="J4860">IFERROR(INDEX(EmployeeData[Status], ROW() - 37), "")</f>
        <v/>
      </c>
    </row>
    <row r="4861" spans="2:10" ht="19.95" customHeight="1" x14ac:dyDescent="0.3">
      <c r="B4861" s="4" t="str" cm="1">
        <f t="array" ref="B4861">IFERROR(INDEX(EmployeeData[Employee ID], ROW() - 37), "")</f>
        <v/>
      </c>
      <c r="C4861" s="4" t="str" cm="1">
        <f t="array" ref="C4861">IFERROR(INDEX(EmployeeData[Full Name], ROW() - 37), "")</f>
        <v/>
      </c>
      <c r="D4861" s="4" t="str" cm="1">
        <f t="array" ref="D4861">IFERROR(INDEX(EmployeeData[Department], ROW() - 37), "")</f>
        <v/>
      </c>
      <c r="E4861" s="4" t="str" cm="1">
        <f t="array" ref="E4861">IFERROR(INDEX(EmployeeData[Gender], ROW() - 37), "")</f>
        <v/>
      </c>
      <c r="F4861" s="4" t="str" cm="1">
        <f t="array" ref="F4861">IFERROR(INDEX(EmployeeData[Age], ROW() - 37), "")</f>
        <v/>
      </c>
      <c r="G4861" s="6" t="str" cm="1">
        <f t="array" ref="G4861">IFERROR(INDEX(EmployeeData[Join Date], ROW() - 37), "")</f>
        <v/>
      </c>
      <c r="H4861" s="6" t="str" cm="1">
        <f t="array" ref="H4861">IFERROR(IF(INDEX(EmployeeData[Exit Date], ROW() - 37)=0, "",INDEX(EmployeeData[Exit Date], ROW() - 37)),"")</f>
        <v/>
      </c>
      <c r="I4861" s="4" t="str" cm="1">
        <f t="array" ref="I4861">IFERROR(IF(INDEX(EmployeeData[Exit Reason], ROW() - 37)=0, "",INDEX(EmployeeData[Exit Reason], ROW() - 37)),"")</f>
        <v/>
      </c>
      <c r="J4861" s="4" t="str" cm="1">
        <f t="array" ref="J4861">IFERROR(INDEX(EmployeeData[Status], ROW() - 37), "")</f>
        <v/>
      </c>
    </row>
    <row r="4862" spans="2:10" ht="19.95" customHeight="1" x14ac:dyDescent="0.3">
      <c r="B4862" s="4" t="str" cm="1">
        <f t="array" ref="B4862">IFERROR(INDEX(EmployeeData[Employee ID], ROW() - 37), "")</f>
        <v/>
      </c>
      <c r="C4862" s="4" t="str" cm="1">
        <f t="array" ref="C4862">IFERROR(INDEX(EmployeeData[Full Name], ROW() - 37), "")</f>
        <v/>
      </c>
      <c r="D4862" s="4" t="str" cm="1">
        <f t="array" ref="D4862">IFERROR(INDEX(EmployeeData[Department], ROW() - 37), "")</f>
        <v/>
      </c>
      <c r="E4862" s="4" t="str" cm="1">
        <f t="array" ref="E4862">IFERROR(INDEX(EmployeeData[Gender], ROW() - 37), "")</f>
        <v/>
      </c>
      <c r="F4862" s="4" t="str" cm="1">
        <f t="array" ref="F4862">IFERROR(INDEX(EmployeeData[Age], ROW() - 37), "")</f>
        <v/>
      </c>
      <c r="G4862" s="6" t="str" cm="1">
        <f t="array" ref="G4862">IFERROR(INDEX(EmployeeData[Join Date], ROW() - 37), "")</f>
        <v/>
      </c>
      <c r="H4862" s="6" t="str" cm="1">
        <f t="array" ref="H4862">IFERROR(IF(INDEX(EmployeeData[Exit Date], ROW() - 37)=0, "",INDEX(EmployeeData[Exit Date], ROW() - 37)),"")</f>
        <v/>
      </c>
      <c r="I4862" s="4" t="str" cm="1">
        <f t="array" ref="I4862">IFERROR(IF(INDEX(EmployeeData[Exit Reason], ROW() - 37)=0, "",INDEX(EmployeeData[Exit Reason], ROW() - 37)),"")</f>
        <v/>
      </c>
      <c r="J4862" s="4" t="str" cm="1">
        <f t="array" ref="J4862">IFERROR(INDEX(EmployeeData[Status], ROW() - 37), "")</f>
        <v/>
      </c>
    </row>
    <row r="4863" spans="2:10" ht="19.95" customHeight="1" x14ac:dyDescent="0.3">
      <c r="B4863" s="4" t="str" cm="1">
        <f t="array" ref="B4863">IFERROR(INDEX(EmployeeData[Employee ID], ROW() - 37), "")</f>
        <v/>
      </c>
      <c r="C4863" s="4" t="str" cm="1">
        <f t="array" ref="C4863">IFERROR(INDEX(EmployeeData[Full Name], ROW() - 37), "")</f>
        <v/>
      </c>
      <c r="D4863" s="4" t="str" cm="1">
        <f t="array" ref="D4863">IFERROR(INDEX(EmployeeData[Department], ROW() - 37), "")</f>
        <v/>
      </c>
      <c r="E4863" s="4" t="str" cm="1">
        <f t="array" ref="E4863">IFERROR(INDEX(EmployeeData[Gender], ROW() - 37), "")</f>
        <v/>
      </c>
      <c r="F4863" s="4" t="str" cm="1">
        <f t="array" ref="F4863">IFERROR(INDEX(EmployeeData[Age], ROW() - 37), "")</f>
        <v/>
      </c>
      <c r="G4863" s="6" t="str" cm="1">
        <f t="array" ref="G4863">IFERROR(INDEX(EmployeeData[Join Date], ROW() - 37), "")</f>
        <v/>
      </c>
      <c r="H4863" s="6" t="str" cm="1">
        <f t="array" ref="H4863">IFERROR(IF(INDEX(EmployeeData[Exit Date], ROW() - 37)=0, "",INDEX(EmployeeData[Exit Date], ROW() - 37)),"")</f>
        <v/>
      </c>
      <c r="I4863" s="4" t="str" cm="1">
        <f t="array" ref="I4863">IFERROR(IF(INDEX(EmployeeData[Exit Reason], ROW() - 37)=0, "",INDEX(EmployeeData[Exit Reason], ROW() - 37)),"")</f>
        <v/>
      </c>
      <c r="J4863" s="4" t="str" cm="1">
        <f t="array" ref="J4863">IFERROR(INDEX(EmployeeData[Status], ROW() - 37), "")</f>
        <v/>
      </c>
    </row>
    <row r="4864" spans="2:10" ht="19.95" customHeight="1" x14ac:dyDescent="0.3">
      <c r="B4864" s="4" t="str" cm="1">
        <f t="array" ref="B4864">IFERROR(INDEX(EmployeeData[Employee ID], ROW() - 37), "")</f>
        <v/>
      </c>
      <c r="C4864" s="4" t="str" cm="1">
        <f t="array" ref="C4864">IFERROR(INDEX(EmployeeData[Full Name], ROW() - 37), "")</f>
        <v/>
      </c>
      <c r="D4864" s="4" t="str" cm="1">
        <f t="array" ref="D4864">IFERROR(INDEX(EmployeeData[Department], ROW() - 37), "")</f>
        <v/>
      </c>
      <c r="E4864" s="4" t="str" cm="1">
        <f t="array" ref="E4864">IFERROR(INDEX(EmployeeData[Gender], ROW() - 37), "")</f>
        <v/>
      </c>
      <c r="F4864" s="4" t="str" cm="1">
        <f t="array" ref="F4864">IFERROR(INDEX(EmployeeData[Age], ROW() - 37), "")</f>
        <v/>
      </c>
      <c r="G4864" s="6" t="str" cm="1">
        <f t="array" ref="G4864">IFERROR(INDEX(EmployeeData[Join Date], ROW() - 37), "")</f>
        <v/>
      </c>
      <c r="H4864" s="6" t="str" cm="1">
        <f t="array" ref="H4864">IFERROR(IF(INDEX(EmployeeData[Exit Date], ROW() - 37)=0, "",INDEX(EmployeeData[Exit Date], ROW() - 37)),"")</f>
        <v/>
      </c>
      <c r="I4864" s="4" t="str" cm="1">
        <f t="array" ref="I4864">IFERROR(IF(INDEX(EmployeeData[Exit Reason], ROW() - 37)=0, "",INDEX(EmployeeData[Exit Reason], ROW() - 37)),"")</f>
        <v/>
      </c>
      <c r="J4864" s="4" t="str" cm="1">
        <f t="array" ref="J4864">IFERROR(INDEX(EmployeeData[Status], ROW() - 37), "")</f>
        <v/>
      </c>
    </row>
    <row r="4865" spans="2:10" ht="19.95" customHeight="1" x14ac:dyDescent="0.3">
      <c r="B4865" s="4" t="str" cm="1">
        <f t="array" ref="B4865">IFERROR(INDEX(EmployeeData[Employee ID], ROW() - 37), "")</f>
        <v/>
      </c>
      <c r="C4865" s="4" t="str" cm="1">
        <f t="array" ref="C4865">IFERROR(INDEX(EmployeeData[Full Name], ROW() - 37), "")</f>
        <v/>
      </c>
      <c r="D4865" s="4" t="str" cm="1">
        <f t="array" ref="D4865">IFERROR(INDEX(EmployeeData[Department], ROW() - 37), "")</f>
        <v/>
      </c>
      <c r="E4865" s="4" t="str" cm="1">
        <f t="array" ref="E4865">IFERROR(INDEX(EmployeeData[Gender], ROW() - 37), "")</f>
        <v/>
      </c>
      <c r="F4865" s="4" t="str" cm="1">
        <f t="array" ref="F4865">IFERROR(INDEX(EmployeeData[Age], ROW() - 37), "")</f>
        <v/>
      </c>
      <c r="G4865" s="6" t="str" cm="1">
        <f t="array" ref="G4865">IFERROR(INDEX(EmployeeData[Join Date], ROW() - 37), "")</f>
        <v/>
      </c>
      <c r="H4865" s="6" t="str" cm="1">
        <f t="array" ref="H4865">IFERROR(IF(INDEX(EmployeeData[Exit Date], ROW() - 37)=0, "",INDEX(EmployeeData[Exit Date], ROW() - 37)),"")</f>
        <v/>
      </c>
      <c r="I4865" s="4" t="str" cm="1">
        <f t="array" ref="I4865">IFERROR(IF(INDEX(EmployeeData[Exit Reason], ROW() - 37)=0, "",INDEX(EmployeeData[Exit Reason], ROW() - 37)),"")</f>
        <v/>
      </c>
      <c r="J4865" s="4" t="str" cm="1">
        <f t="array" ref="J4865">IFERROR(INDEX(EmployeeData[Status], ROW() - 37), "")</f>
        <v/>
      </c>
    </row>
    <row r="4866" spans="2:10" ht="19.95" customHeight="1" x14ac:dyDescent="0.3">
      <c r="B4866" s="4" t="str" cm="1">
        <f t="array" ref="B4866">IFERROR(INDEX(EmployeeData[Employee ID], ROW() - 37), "")</f>
        <v/>
      </c>
      <c r="C4866" s="4" t="str" cm="1">
        <f t="array" ref="C4866">IFERROR(INDEX(EmployeeData[Full Name], ROW() - 37), "")</f>
        <v/>
      </c>
      <c r="D4866" s="4" t="str" cm="1">
        <f t="array" ref="D4866">IFERROR(INDEX(EmployeeData[Department], ROW() - 37), "")</f>
        <v/>
      </c>
      <c r="E4866" s="4" t="str" cm="1">
        <f t="array" ref="E4866">IFERROR(INDEX(EmployeeData[Gender], ROW() - 37), "")</f>
        <v/>
      </c>
      <c r="F4866" s="4" t="str" cm="1">
        <f t="array" ref="F4866">IFERROR(INDEX(EmployeeData[Age], ROW() - 37), "")</f>
        <v/>
      </c>
      <c r="G4866" s="6" t="str" cm="1">
        <f t="array" ref="G4866">IFERROR(INDEX(EmployeeData[Join Date], ROW() - 37), "")</f>
        <v/>
      </c>
      <c r="H4866" s="6" t="str" cm="1">
        <f t="array" ref="H4866">IFERROR(IF(INDEX(EmployeeData[Exit Date], ROW() - 37)=0, "",INDEX(EmployeeData[Exit Date], ROW() - 37)),"")</f>
        <v/>
      </c>
      <c r="I4866" s="4" t="str" cm="1">
        <f t="array" ref="I4866">IFERROR(IF(INDEX(EmployeeData[Exit Reason], ROW() - 37)=0, "",INDEX(EmployeeData[Exit Reason], ROW() - 37)),"")</f>
        <v/>
      </c>
      <c r="J4866" s="4" t="str" cm="1">
        <f t="array" ref="J4866">IFERROR(INDEX(EmployeeData[Status], ROW() - 37), "")</f>
        <v/>
      </c>
    </row>
    <row r="4867" spans="2:10" ht="19.95" customHeight="1" x14ac:dyDescent="0.3">
      <c r="B4867" s="4" t="str" cm="1">
        <f t="array" ref="B4867">IFERROR(INDEX(EmployeeData[Employee ID], ROW() - 37), "")</f>
        <v/>
      </c>
      <c r="C4867" s="4" t="str" cm="1">
        <f t="array" ref="C4867">IFERROR(INDEX(EmployeeData[Full Name], ROW() - 37), "")</f>
        <v/>
      </c>
      <c r="D4867" s="4" t="str" cm="1">
        <f t="array" ref="D4867">IFERROR(INDEX(EmployeeData[Department], ROW() - 37), "")</f>
        <v/>
      </c>
      <c r="E4867" s="4" t="str" cm="1">
        <f t="array" ref="E4867">IFERROR(INDEX(EmployeeData[Gender], ROW() - 37), "")</f>
        <v/>
      </c>
      <c r="F4867" s="4" t="str" cm="1">
        <f t="array" ref="F4867">IFERROR(INDEX(EmployeeData[Age], ROW() - 37), "")</f>
        <v/>
      </c>
      <c r="G4867" s="6" t="str" cm="1">
        <f t="array" ref="G4867">IFERROR(INDEX(EmployeeData[Join Date], ROW() - 37), "")</f>
        <v/>
      </c>
      <c r="H4867" s="6" t="str" cm="1">
        <f t="array" ref="H4867">IFERROR(IF(INDEX(EmployeeData[Exit Date], ROW() - 37)=0, "",INDEX(EmployeeData[Exit Date], ROW() - 37)),"")</f>
        <v/>
      </c>
      <c r="I4867" s="4" t="str" cm="1">
        <f t="array" ref="I4867">IFERROR(IF(INDEX(EmployeeData[Exit Reason], ROW() - 37)=0, "",INDEX(EmployeeData[Exit Reason], ROW() - 37)),"")</f>
        <v/>
      </c>
      <c r="J4867" s="4" t="str" cm="1">
        <f t="array" ref="J4867">IFERROR(INDEX(EmployeeData[Status], ROW() - 37), "")</f>
        <v/>
      </c>
    </row>
    <row r="4868" spans="2:10" ht="19.95" customHeight="1" x14ac:dyDescent="0.3">
      <c r="B4868" s="4" t="str" cm="1">
        <f t="array" ref="B4868">IFERROR(INDEX(EmployeeData[Employee ID], ROW() - 37), "")</f>
        <v/>
      </c>
      <c r="C4868" s="4" t="str" cm="1">
        <f t="array" ref="C4868">IFERROR(INDEX(EmployeeData[Full Name], ROW() - 37), "")</f>
        <v/>
      </c>
      <c r="D4868" s="4" t="str" cm="1">
        <f t="array" ref="D4868">IFERROR(INDEX(EmployeeData[Department], ROW() - 37), "")</f>
        <v/>
      </c>
      <c r="E4868" s="4" t="str" cm="1">
        <f t="array" ref="E4868">IFERROR(INDEX(EmployeeData[Gender], ROW() - 37), "")</f>
        <v/>
      </c>
      <c r="F4868" s="4" t="str" cm="1">
        <f t="array" ref="F4868">IFERROR(INDEX(EmployeeData[Age], ROW() - 37), "")</f>
        <v/>
      </c>
      <c r="G4868" s="6" t="str" cm="1">
        <f t="array" ref="G4868">IFERROR(INDEX(EmployeeData[Join Date], ROW() - 37), "")</f>
        <v/>
      </c>
      <c r="H4868" s="6" t="str" cm="1">
        <f t="array" ref="H4868">IFERROR(IF(INDEX(EmployeeData[Exit Date], ROW() - 37)=0, "",INDEX(EmployeeData[Exit Date], ROW() - 37)),"")</f>
        <v/>
      </c>
      <c r="I4868" s="4" t="str" cm="1">
        <f t="array" ref="I4868">IFERROR(IF(INDEX(EmployeeData[Exit Reason], ROW() - 37)=0, "",INDEX(EmployeeData[Exit Reason], ROW() - 37)),"")</f>
        <v/>
      </c>
      <c r="J4868" s="4" t="str" cm="1">
        <f t="array" ref="J4868">IFERROR(INDEX(EmployeeData[Status], ROW() - 37), "")</f>
        <v/>
      </c>
    </row>
    <row r="4869" spans="2:10" ht="19.95" customHeight="1" x14ac:dyDescent="0.3">
      <c r="B4869" s="4" t="str" cm="1">
        <f t="array" ref="B4869">IFERROR(INDEX(EmployeeData[Employee ID], ROW() - 37), "")</f>
        <v/>
      </c>
      <c r="C4869" s="4" t="str" cm="1">
        <f t="array" ref="C4869">IFERROR(INDEX(EmployeeData[Full Name], ROW() - 37), "")</f>
        <v/>
      </c>
      <c r="D4869" s="4" t="str" cm="1">
        <f t="array" ref="D4869">IFERROR(INDEX(EmployeeData[Department], ROW() - 37), "")</f>
        <v/>
      </c>
      <c r="E4869" s="4" t="str" cm="1">
        <f t="array" ref="E4869">IFERROR(INDEX(EmployeeData[Gender], ROW() - 37), "")</f>
        <v/>
      </c>
      <c r="F4869" s="4" t="str" cm="1">
        <f t="array" ref="F4869">IFERROR(INDEX(EmployeeData[Age], ROW() - 37), "")</f>
        <v/>
      </c>
      <c r="G4869" s="6" t="str" cm="1">
        <f t="array" ref="G4869">IFERROR(INDEX(EmployeeData[Join Date], ROW() - 37), "")</f>
        <v/>
      </c>
      <c r="H4869" s="6" t="str" cm="1">
        <f t="array" ref="H4869">IFERROR(IF(INDEX(EmployeeData[Exit Date], ROW() - 37)=0, "",INDEX(EmployeeData[Exit Date], ROW() - 37)),"")</f>
        <v/>
      </c>
      <c r="I4869" s="4" t="str" cm="1">
        <f t="array" ref="I4869">IFERROR(IF(INDEX(EmployeeData[Exit Reason], ROW() - 37)=0, "",INDEX(EmployeeData[Exit Reason], ROW() - 37)),"")</f>
        <v/>
      </c>
      <c r="J4869" s="4" t="str" cm="1">
        <f t="array" ref="J4869">IFERROR(INDEX(EmployeeData[Status], ROW() - 37), "")</f>
        <v/>
      </c>
    </row>
    <row r="4870" spans="2:10" ht="19.95" customHeight="1" x14ac:dyDescent="0.3">
      <c r="B4870" s="4" t="str" cm="1">
        <f t="array" ref="B4870">IFERROR(INDEX(EmployeeData[Employee ID], ROW() - 37), "")</f>
        <v/>
      </c>
      <c r="C4870" s="4" t="str" cm="1">
        <f t="array" ref="C4870">IFERROR(INDEX(EmployeeData[Full Name], ROW() - 37), "")</f>
        <v/>
      </c>
      <c r="D4870" s="4" t="str" cm="1">
        <f t="array" ref="D4870">IFERROR(INDEX(EmployeeData[Department], ROW() - 37), "")</f>
        <v/>
      </c>
      <c r="E4870" s="4" t="str" cm="1">
        <f t="array" ref="E4870">IFERROR(INDEX(EmployeeData[Gender], ROW() - 37), "")</f>
        <v/>
      </c>
      <c r="F4870" s="4" t="str" cm="1">
        <f t="array" ref="F4870">IFERROR(INDEX(EmployeeData[Age], ROW() - 37), "")</f>
        <v/>
      </c>
      <c r="G4870" s="6" t="str" cm="1">
        <f t="array" ref="G4870">IFERROR(INDEX(EmployeeData[Join Date], ROW() - 37), "")</f>
        <v/>
      </c>
      <c r="H4870" s="6" t="str" cm="1">
        <f t="array" ref="H4870">IFERROR(IF(INDEX(EmployeeData[Exit Date], ROW() - 37)=0, "",INDEX(EmployeeData[Exit Date], ROW() - 37)),"")</f>
        <v/>
      </c>
      <c r="I4870" s="4" t="str" cm="1">
        <f t="array" ref="I4870">IFERROR(IF(INDEX(EmployeeData[Exit Reason], ROW() - 37)=0, "",INDEX(EmployeeData[Exit Reason], ROW() - 37)),"")</f>
        <v/>
      </c>
      <c r="J4870" s="4" t="str" cm="1">
        <f t="array" ref="J4870">IFERROR(INDEX(EmployeeData[Status], ROW() - 37), "")</f>
        <v/>
      </c>
    </row>
    <row r="4871" spans="2:10" ht="19.95" customHeight="1" x14ac:dyDescent="0.3">
      <c r="B4871" s="4" t="str" cm="1">
        <f t="array" ref="B4871">IFERROR(INDEX(EmployeeData[Employee ID], ROW() - 37), "")</f>
        <v/>
      </c>
      <c r="C4871" s="4" t="str" cm="1">
        <f t="array" ref="C4871">IFERROR(INDEX(EmployeeData[Full Name], ROW() - 37), "")</f>
        <v/>
      </c>
      <c r="D4871" s="4" t="str" cm="1">
        <f t="array" ref="D4871">IFERROR(INDEX(EmployeeData[Department], ROW() - 37), "")</f>
        <v/>
      </c>
      <c r="E4871" s="4" t="str" cm="1">
        <f t="array" ref="E4871">IFERROR(INDEX(EmployeeData[Gender], ROW() - 37), "")</f>
        <v/>
      </c>
      <c r="F4871" s="4" t="str" cm="1">
        <f t="array" ref="F4871">IFERROR(INDEX(EmployeeData[Age], ROW() - 37), "")</f>
        <v/>
      </c>
      <c r="G4871" s="6" t="str" cm="1">
        <f t="array" ref="G4871">IFERROR(INDEX(EmployeeData[Join Date], ROW() - 37), "")</f>
        <v/>
      </c>
      <c r="H4871" s="6" t="str" cm="1">
        <f t="array" ref="H4871">IFERROR(IF(INDEX(EmployeeData[Exit Date], ROW() - 37)=0, "",INDEX(EmployeeData[Exit Date], ROW() - 37)),"")</f>
        <v/>
      </c>
      <c r="I4871" s="4" t="str" cm="1">
        <f t="array" ref="I4871">IFERROR(IF(INDEX(EmployeeData[Exit Reason], ROW() - 37)=0, "",INDEX(EmployeeData[Exit Reason], ROW() - 37)),"")</f>
        <v/>
      </c>
      <c r="J4871" s="4" t="str" cm="1">
        <f t="array" ref="J4871">IFERROR(INDEX(EmployeeData[Status], ROW() - 37), "")</f>
        <v/>
      </c>
    </row>
    <row r="4872" spans="2:10" ht="19.95" customHeight="1" x14ac:dyDescent="0.3">
      <c r="B4872" s="4" t="str" cm="1">
        <f t="array" ref="B4872">IFERROR(INDEX(EmployeeData[Employee ID], ROW() - 37), "")</f>
        <v/>
      </c>
      <c r="C4872" s="4" t="str" cm="1">
        <f t="array" ref="C4872">IFERROR(INDEX(EmployeeData[Full Name], ROW() - 37), "")</f>
        <v/>
      </c>
      <c r="D4872" s="4" t="str" cm="1">
        <f t="array" ref="D4872">IFERROR(INDEX(EmployeeData[Department], ROW() - 37), "")</f>
        <v/>
      </c>
      <c r="E4872" s="4" t="str" cm="1">
        <f t="array" ref="E4872">IFERROR(INDEX(EmployeeData[Gender], ROW() - 37), "")</f>
        <v/>
      </c>
      <c r="F4872" s="4" t="str" cm="1">
        <f t="array" ref="F4872">IFERROR(INDEX(EmployeeData[Age], ROW() - 37), "")</f>
        <v/>
      </c>
      <c r="G4872" s="6" t="str" cm="1">
        <f t="array" ref="G4872">IFERROR(INDEX(EmployeeData[Join Date], ROW() - 37), "")</f>
        <v/>
      </c>
      <c r="H4872" s="6" t="str" cm="1">
        <f t="array" ref="H4872">IFERROR(IF(INDEX(EmployeeData[Exit Date], ROW() - 37)=0, "",INDEX(EmployeeData[Exit Date], ROW() - 37)),"")</f>
        <v/>
      </c>
      <c r="I4872" s="4" t="str" cm="1">
        <f t="array" ref="I4872">IFERROR(IF(INDEX(EmployeeData[Exit Reason], ROW() - 37)=0, "",INDEX(EmployeeData[Exit Reason], ROW() - 37)),"")</f>
        <v/>
      </c>
      <c r="J4872" s="4" t="str" cm="1">
        <f t="array" ref="J4872">IFERROR(INDEX(EmployeeData[Status], ROW() - 37), "")</f>
        <v/>
      </c>
    </row>
    <row r="4873" spans="2:10" ht="19.95" customHeight="1" x14ac:dyDescent="0.3">
      <c r="B4873" s="4" t="str" cm="1">
        <f t="array" ref="B4873">IFERROR(INDEX(EmployeeData[Employee ID], ROW() - 37), "")</f>
        <v/>
      </c>
      <c r="C4873" s="4" t="str" cm="1">
        <f t="array" ref="C4873">IFERROR(INDEX(EmployeeData[Full Name], ROW() - 37), "")</f>
        <v/>
      </c>
      <c r="D4873" s="4" t="str" cm="1">
        <f t="array" ref="D4873">IFERROR(INDEX(EmployeeData[Department], ROW() - 37), "")</f>
        <v/>
      </c>
      <c r="E4873" s="4" t="str" cm="1">
        <f t="array" ref="E4873">IFERROR(INDEX(EmployeeData[Gender], ROW() - 37), "")</f>
        <v/>
      </c>
      <c r="F4873" s="4" t="str" cm="1">
        <f t="array" ref="F4873">IFERROR(INDEX(EmployeeData[Age], ROW() - 37), "")</f>
        <v/>
      </c>
      <c r="G4873" s="6" t="str" cm="1">
        <f t="array" ref="G4873">IFERROR(INDEX(EmployeeData[Join Date], ROW() - 37), "")</f>
        <v/>
      </c>
      <c r="H4873" s="6" t="str" cm="1">
        <f t="array" ref="H4873">IFERROR(IF(INDEX(EmployeeData[Exit Date], ROW() - 37)=0, "",INDEX(EmployeeData[Exit Date], ROW() - 37)),"")</f>
        <v/>
      </c>
      <c r="I4873" s="4" t="str" cm="1">
        <f t="array" ref="I4873">IFERROR(IF(INDEX(EmployeeData[Exit Reason], ROW() - 37)=0, "",INDEX(EmployeeData[Exit Reason], ROW() - 37)),"")</f>
        <v/>
      </c>
      <c r="J4873" s="4" t="str" cm="1">
        <f t="array" ref="J4873">IFERROR(INDEX(EmployeeData[Status], ROW() - 37), "")</f>
        <v/>
      </c>
    </row>
    <row r="4874" spans="2:10" ht="19.95" customHeight="1" x14ac:dyDescent="0.3">
      <c r="B4874" s="4" t="str" cm="1">
        <f t="array" ref="B4874">IFERROR(INDEX(EmployeeData[Employee ID], ROW() - 37), "")</f>
        <v/>
      </c>
      <c r="C4874" s="4" t="str" cm="1">
        <f t="array" ref="C4874">IFERROR(INDEX(EmployeeData[Full Name], ROW() - 37), "")</f>
        <v/>
      </c>
      <c r="D4874" s="4" t="str" cm="1">
        <f t="array" ref="D4874">IFERROR(INDEX(EmployeeData[Department], ROW() - 37), "")</f>
        <v/>
      </c>
      <c r="E4874" s="4" t="str" cm="1">
        <f t="array" ref="E4874">IFERROR(INDEX(EmployeeData[Gender], ROW() - 37), "")</f>
        <v/>
      </c>
      <c r="F4874" s="4" t="str" cm="1">
        <f t="array" ref="F4874">IFERROR(INDEX(EmployeeData[Age], ROW() - 37), "")</f>
        <v/>
      </c>
      <c r="G4874" s="6" t="str" cm="1">
        <f t="array" ref="G4874">IFERROR(INDEX(EmployeeData[Join Date], ROW() - 37), "")</f>
        <v/>
      </c>
      <c r="H4874" s="6" t="str" cm="1">
        <f t="array" ref="H4874">IFERROR(IF(INDEX(EmployeeData[Exit Date], ROW() - 37)=0, "",INDEX(EmployeeData[Exit Date], ROW() - 37)),"")</f>
        <v/>
      </c>
      <c r="I4874" s="4" t="str" cm="1">
        <f t="array" ref="I4874">IFERROR(IF(INDEX(EmployeeData[Exit Reason], ROW() - 37)=0, "",INDEX(EmployeeData[Exit Reason], ROW() - 37)),"")</f>
        <v/>
      </c>
      <c r="J4874" s="4" t="str" cm="1">
        <f t="array" ref="J4874">IFERROR(INDEX(EmployeeData[Status], ROW() - 37), "")</f>
        <v/>
      </c>
    </row>
    <row r="4875" spans="2:10" ht="19.95" customHeight="1" x14ac:dyDescent="0.3">
      <c r="B4875" s="4" t="str" cm="1">
        <f t="array" ref="B4875">IFERROR(INDEX(EmployeeData[Employee ID], ROW() - 37), "")</f>
        <v/>
      </c>
      <c r="C4875" s="4" t="str" cm="1">
        <f t="array" ref="C4875">IFERROR(INDEX(EmployeeData[Full Name], ROW() - 37), "")</f>
        <v/>
      </c>
      <c r="D4875" s="4" t="str" cm="1">
        <f t="array" ref="D4875">IFERROR(INDEX(EmployeeData[Department], ROW() - 37), "")</f>
        <v/>
      </c>
      <c r="E4875" s="4" t="str" cm="1">
        <f t="array" ref="E4875">IFERROR(INDEX(EmployeeData[Gender], ROW() - 37), "")</f>
        <v/>
      </c>
      <c r="F4875" s="4" t="str" cm="1">
        <f t="array" ref="F4875">IFERROR(INDEX(EmployeeData[Age], ROW() - 37), "")</f>
        <v/>
      </c>
      <c r="G4875" s="6" t="str" cm="1">
        <f t="array" ref="G4875">IFERROR(INDEX(EmployeeData[Join Date], ROW() - 37), "")</f>
        <v/>
      </c>
      <c r="H4875" s="6" t="str" cm="1">
        <f t="array" ref="H4875">IFERROR(IF(INDEX(EmployeeData[Exit Date], ROW() - 37)=0, "",INDEX(EmployeeData[Exit Date], ROW() - 37)),"")</f>
        <v/>
      </c>
      <c r="I4875" s="4" t="str" cm="1">
        <f t="array" ref="I4875">IFERROR(IF(INDEX(EmployeeData[Exit Reason], ROW() - 37)=0, "",INDEX(EmployeeData[Exit Reason], ROW() - 37)),"")</f>
        <v/>
      </c>
      <c r="J4875" s="4" t="str" cm="1">
        <f t="array" ref="J4875">IFERROR(INDEX(EmployeeData[Status], ROW() - 37), "")</f>
        <v/>
      </c>
    </row>
    <row r="4876" spans="2:10" ht="19.95" customHeight="1" x14ac:dyDescent="0.3">
      <c r="B4876" s="4" t="str" cm="1">
        <f t="array" ref="B4876">IFERROR(INDEX(EmployeeData[Employee ID], ROW() - 37), "")</f>
        <v/>
      </c>
      <c r="C4876" s="4" t="str" cm="1">
        <f t="array" ref="C4876">IFERROR(INDEX(EmployeeData[Full Name], ROW() - 37), "")</f>
        <v/>
      </c>
      <c r="D4876" s="4" t="str" cm="1">
        <f t="array" ref="D4876">IFERROR(INDEX(EmployeeData[Department], ROW() - 37), "")</f>
        <v/>
      </c>
      <c r="E4876" s="4" t="str" cm="1">
        <f t="array" ref="E4876">IFERROR(INDEX(EmployeeData[Gender], ROW() - 37), "")</f>
        <v/>
      </c>
      <c r="F4876" s="4" t="str" cm="1">
        <f t="array" ref="F4876">IFERROR(INDEX(EmployeeData[Age], ROW() - 37), "")</f>
        <v/>
      </c>
      <c r="G4876" s="6" t="str" cm="1">
        <f t="array" ref="G4876">IFERROR(INDEX(EmployeeData[Join Date], ROW() - 37), "")</f>
        <v/>
      </c>
      <c r="H4876" s="6" t="str" cm="1">
        <f t="array" ref="H4876">IFERROR(IF(INDEX(EmployeeData[Exit Date], ROW() - 37)=0, "",INDEX(EmployeeData[Exit Date], ROW() - 37)),"")</f>
        <v/>
      </c>
      <c r="I4876" s="4" t="str" cm="1">
        <f t="array" ref="I4876">IFERROR(IF(INDEX(EmployeeData[Exit Reason], ROW() - 37)=0, "",INDEX(EmployeeData[Exit Reason], ROW() - 37)),"")</f>
        <v/>
      </c>
      <c r="J4876" s="4" t="str" cm="1">
        <f t="array" ref="J4876">IFERROR(INDEX(EmployeeData[Status], ROW() - 37), "")</f>
        <v/>
      </c>
    </row>
    <row r="4877" spans="2:10" ht="19.95" customHeight="1" x14ac:dyDescent="0.3">
      <c r="B4877" s="4" t="str" cm="1">
        <f t="array" ref="B4877">IFERROR(INDEX(EmployeeData[Employee ID], ROW() - 37), "")</f>
        <v/>
      </c>
      <c r="C4877" s="4" t="str" cm="1">
        <f t="array" ref="C4877">IFERROR(INDEX(EmployeeData[Full Name], ROW() - 37), "")</f>
        <v/>
      </c>
      <c r="D4877" s="4" t="str" cm="1">
        <f t="array" ref="D4877">IFERROR(INDEX(EmployeeData[Department], ROW() - 37), "")</f>
        <v/>
      </c>
      <c r="E4877" s="4" t="str" cm="1">
        <f t="array" ref="E4877">IFERROR(INDEX(EmployeeData[Gender], ROW() - 37), "")</f>
        <v/>
      </c>
      <c r="F4877" s="4" t="str" cm="1">
        <f t="array" ref="F4877">IFERROR(INDEX(EmployeeData[Age], ROW() - 37), "")</f>
        <v/>
      </c>
      <c r="G4877" s="6" t="str" cm="1">
        <f t="array" ref="G4877">IFERROR(INDEX(EmployeeData[Join Date], ROW() - 37), "")</f>
        <v/>
      </c>
      <c r="H4877" s="6" t="str" cm="1">
        <f t="array" ref="H4877">IFERROR(IF(INDEX(EmployeeData[Exit Date], ROW() - 37)=0, "",INDEX(EmployeeData[Exit Date], ROW() - 37)),"")</f>
        <v/>
      </c>
      <c r="I4877" s="4" t="str" cm="1">
        <f t="array" ref="I4877">IFERROR(IF(INDEX(EmployeeData[Exit Reason], ROW() - 37)=0, "",INDEX(EmployeeData[Exit Reason], ROW() - 37)),"")</f>
        <v/>
      </c>
      <c r="J4877" s="4" t="str" cm="1">
        <f t="array" ref="J4877">IFERROR(INDEX(EmployeeData[Status], ROW() - 37), "")</f>
        <v/>
      </c>
    </row>
    <row r="4878" spans="2:10" ht="19.95" customHeight="1" x14ac:dyDescent="0.3">
      <c r="B4878" s="4" t="str" cm="1">
        <f t="array" ref="B4878">IFERROR(INDEX(EmployeeData[Employee ID], ROW() - 37), "")</f>
        <v/>
      </c>
      <c r="C4878" s="4" t="str" cm="1">
        <f t="array" ref="C4878">IFERROR(INDEX(EmployeeData[Full Name], ROW() - 37), "")</f>
        <v/>
      </c>
      <c r="D4878" s="4" t="str" cm="1">
        <f t="array" ref="D4878">IFERROR(INDEX(EmployeeData[Department], ROW() - 37), "")</f>
        <v/>
      </c>
      <c r="E4878" s="4" t="str" cm="1">
        <f t="array" ref="E4878">IFERROR(INDEX(EmployeeData[Gender], ROW() - 37), "")</f>
        <v/>
      </c>
      <c r="F4878" s="4" t="str" cm="1">
        <f t="array" ref="F4878">IFERROR(INDEX(EmployeeData[Age], ROW() - 37), "")</f>
        <v/>
      </c>
      <c r="G4878" s="6" t="str" cm="1">
        <f t="array" ref="G4878">IFERROR(INDEX(EmployeeData[Join Date], ROW() - 37), "")</f>
        <v/>
      </c>
      <c r="H4878" s="6" t="str" cm="1">
        <f t="array" ref="H4878">IFERROR(IF(INDEX(EmployeeData[Exit Date], ROW() - 37)=0, "",INDEX(EmployeeData[Exit Date], ROW() - 37)),"")</f>
        <v/>
      </c>
      <c r="I4878" s="4" t="str" cm="1">
        <f t="array" ref="I4878">IFERROR(IF(INDEX(EmployeeData[Exit Reason], ROW() - 37)=0, "",INDEX(EmployeeData[Exit Reason], ROW() - 37)),"")</f>
        <v/>
      </c>
      <c r="J4878" s="4" t="str" cm="1">
        <f t="array" ref="J4878">IFERROR(INDEX(EmployeeData[Status], ROW() - 37), "")</f>
        <v/>
      </c>
    </row>
    <row r="4879" spans="2:10" ht="19.95" customHeight="1" x14ac:dyDescent="0.3">
      <c r="B4879" s="4" t="str" cm="1">
        <f t="array" ref="B4879">IFERROR(INDEX(EmployeeData[Employee ID], ROW() - 37), "")</f>
        <v/>
      </c>
      <c r="C4879" s="4" t="str" cm="1">
        <f t="array" ref="C4879">IFERROR(INDEX(EmployeeData[Full Name], ROW() - 37), "")</f>
        <v/>
      </c>
      <c r="D4879" s="4" t="str" cm="1">
        <f t="array" ref="D4879">IFERROR(INDEX(EmployeeData[Department], ROW() - 37), "")</f>
        <v/>
      </c>
      <c r="E4879" s="4" t="str" cm="1">
        <f t="array" ref="E4879">IFERROR(INDEX(EmployeeData[Gender], ROW() - 37), "")</f>
        <v/>
      </c>
      <c r="F4879" s="4" t="str" cm="1">
        <f t="array" ref="F4879">IFERROR(INDEX(EmployeeData[Age], ROW() - 37), "")</f>
        <v/>
      </c>
      <c r="G4879" s="6" t="str" cm="1">
        <f t="array" ref="G4879">IFERROR(INDEX(EmployeeData[Join Date], ROW() - 37), "")</f>
        <v/>
      </c>
      <c r="H4879" s="6" t="str" cm="1">
        <f t="array" ref="H4879">IFERROR(IF(INDEX(EmployeeData[Exit Date], ROW() - 37)=0, "",INDEX(EmployeeData[Exit Date], ROW() - 37)),"")</f>
        <v/>
      </c>
      <c r="I4879" s="4" t="str" cm="1">
        <f t="array" ref="I4879">IFERROR(IF(INDEX(EmployeeData[Exit Reason], ROW() - 37)=0, "",INDEX(EmployeeData[Exit Reason], ROW() - 37)),"")</f>
        <v/>
      </c>
      <c r="J4879" s="4" t="str" cm="1">
        <f t="array" ref="J4879">IFERROR(INDEX(EmployeeData[Status], ROW() - 37), "")</f>
        <v/>
      </c>
    </row>
    <row r="4880" spans="2:10" ht="19.95" customHeight="1" x14ac:dyDescent="0.3">
      <c r="B4880" s="4" t="str" cm="1">
        <f t="array" ref="B4880">IFERROR(INDEX(EmployeeData[Employee ID], ROW() - 37), "")</f>
        <v/>
      </c>
      <c r="C4880" s="4" t="str" cm="1">
        <f t="array" ref="C4880">IFERROR(INDEX(EmployeeData[Full Name], ROW() - 37), "")</f>
        <v/>
      </c>
      <c r="D4880" s="4" t="str" cm="1">
        <f t="array" ref="D4880">IFERROR(INDEX(EmployeeData[Department], ROW() - 37), "")</f>
        <v/>
      </c>
      <c r="E4880" s="4" t="str" cm="1">
        <f t="array" ref="E4880">IFERROR(INDEX(EmployeeData[Gender], ROW() - 37), "")</f>
        <v/>
      </c>
      <c r="F4880" s="4" t="str" cm="1">
        <f t="array" ref="F4880">IFERROR(INDEX(EmployeeData[Age], ROW() - 37), "")</f>
        <v/>
      </c>
      <c r="G4880" s="6" t="str" cm="1">
        <f t="array" ref="G4880">IFERROR(INDEX(EmployeeData[Join Date], ROW() - 37), "")</f>
        <v/>
      </c>
      <c r="H4880" s="6" t="str" cm="1">
        <f t="array" ref="H4880">IFERROR(IF(INDEX(EmployeeData[Exit Date], ROW() - 37)=0, "",INDEX(EmployeeData[Exit Date], ROW() - 37)),"")</f>
        <v/>
      </c>
      <c r="I4880" s="4" t="str" cm="1">
        <f t="array" ref="I4880">IFERROR(IF(INDEX(EmployeeData[Exit Reason], ROW() - 37)=0, "",INDEX(EmployeeData[Exit Reason], ROW() - 37)),"")</f>
        <v/>
      </c>
      <c r="J4880" s="4" t="str" cm="1">
        <f t="array" ref="J4880">IFERROR(INDEX(EmployeeData[Status], ROW() - 37), "")</f>
        <v/>
      </c>
    </row>
    <row r="4881" spans="2:10" ht="19.95" customHeight="1" x14ac:dyDescent="0.3">
      <c r="B4881" s="4" t="str" cm="1">
        <f t="array" ref="B4881">IFERROR(INDEX(EmployeeData[Employee ID], ROW() - 37), "")</f>
        <v/>
      </c>
      <c r="C4881" s="4" t="str" cm="1">
        <f t="array" ref="C4881">IFERROR(INDEX(EmployeeData[Full Name], ROW() - 37), "")</f>
        <v/>
      </c>
      <c r="D4881" s="4" t="str" cm="1">
        <f t="array" ref="D4881">IFERROR(INDEX(EmployeeData[Department], ROW() - 37), "")</f>
        <v/>
      </c>
      <c r="E4881" s="4" t="str" cm="1">
        <f t="array" ref="E4881">IFERROR(INDEX(EmployeeData[Gender], ROW() - 37), "")</f>
        <v/>
      </c>
      <c r="F4881" s="4" t="str" cm="1">
        <f t="array" ref="F4881">IFERROR(INDEX(EmployeeData[Age], ROW() - 37), "")</f>
        <v/>
      </c>
      <c r="G4881" s="6" t="str" cm="1">
        <f t="array" ref="G4881">IFERROR(INDEX(EmployeeData[Join Date], ROW() - 37), "")</f>
        <v/>
      </c>
      <c r="H4881" s="6" t="str" cm="1">
        <f t="array" ref="H4881">IFERROR(IF(INDEX(EmployeeData[Exit Date], ROW() - 37)=0, "",INDEX(EmployeeData[Exit Date], ROW() - 37)),"")</f>
        <v/>
      </c>
      <c r="I4881" s="4" t="str" cm="1">
        <f t="array" ref="I4881">IFERROR(IF(INDEX(EmployeeData[Exit Reason], ROW() - 37)=0, "",INDEX(EmployeeData[Exit Reason], ROW() - 37)),"")</f>
        <v/>
      </c>
      <c r="J4881" s="4" t="str" cm="1">
        <f t="array" ref="J4881">IFERROR(INDEX(EmployeeData[Status], ROW() - 37), "")</f>
        <v/>
      </c>
    </row>
    <row r="4882" spans="2:10" ht="19.95" customHeight="1" x14ac:dyDescent="0.3">
      <c r="B4882" s="4" t="str" cm="1">
        <f t="array" ref="B4882">IFERROR(INDEX(EmployeeData[Employee ID], ROW() - 37), "")</f>
        <v/>
      </c>
      <c r="C4882" s="4" t="str" cm="1">
        <f t="array" ref="C4882">IFERROR(INDEX(EmployeeData[Full Name], ROW() - 37), "")</f>
        <v/>
      </c>
      <c r="D4882" s="4" t="str" cm="1">
        <f t="array" ref="D4882">IFERROR(INDEX(EmployeeData[Department], ROW() - 37), "")</f>
        <v/>
      </c>
      <c r="E4882" s="4" t="str" cm="1">
        <f t="array" ref="E4882">IFERROR(INDEX(EmployeeData[Gender], ROW() - 37), "")</f>
        <v/>
      </c>
      <c r="F4882" s="4" t="str" cm="1">
        <f t="array" ref="F4882">IFERROR(INDEX(EmployeeData[Age], ROW() - 37), "")</f>
        <v/>
      </c>
      <c r="G4882" s="6" t="str" cm="1">
        <f t="array" ref="G4882">IFERROR(INDEX(EmployeeData[Join Date], ROW() - 37), "")</f>
        <v/>
      </c>
      <c r="H4882" s="6" t="str" cm="1">
        <f t="array" ref="H4882">IFERROR(IF(INDEX(EmployeeData[Exit Date], ROW() - 37)=0, "",INDEX(EmployeeData[Exit Date], ROW() - 37)),"")</f>
        <v/>
      </c>
      <c r="I4882" s="4" t="str" cm="1">
        <f t="array" ref="I4882">IFERROR(IF(INDEX(EmployeeData[Exit Reason], ROW() - 37)=0, "",INDEX(EmployeeData[Exit Reason], ROW() - 37)),"")</f>
        <v/>
      </c>
      <c r="J4882" s="4" t="str" cm="1">
        <f t="array" ref="J4882">IFERROR(INDEX(EmployeeData[Status], ROW() - 37), "")</f>
        <v/>
      </c>
    </row>
    <row r="4883" spans="2:10" ht="19.95" customHeight="1" x14ac:dyDescent="0.3">
      <c r="B4883" s="4" t="str" cm="1">
        <f t="array" ref="B4883">IFERROR(INDEX(EmployeeData[Employee ID], ROW() - 37), "")</f>
        <v/>
      </c>
      <c r="C4883" s="4" t="str" cm="1">
        <f t="array" ref="C4883">IFERROR(INDEX(EmployeeData[Full Name], ROW() - 37), "")</f>
        <v/>
      </c>
      <c r="D4883" s="4" t="str" cm="1">
        <f t="array" ref="D4883">IFERROR(INDEX(EmployeeData[Department], ROW() - 37), "")</f>
        <v/>
      </c>
      <c r="E4883" s="4" t="str" cm="1">
        <f t="array" ref="E4883">IFERROR(INDEX(EmployeeData[Gender], ROW() - 37), "")</f>
        <v/>
      </c>
      <c r="F4883" s="4" t="str" cm="1">
        <f t="array" ref="F4883">IFERROR(INDEX(EmployeeData[Age], ROW() - 37), "")</f>
        <v/>
      </c>
      <c r="G4883" s="6" t="str" cm="1">
        <f t="array" ref="G4883">IFERROR(INDEX(EmployeeData[Join Date], ROW() - 37), "")</f>
        <v/>
      </c>
      <c r="H4883" s="6" t="str" cm="1">
        <f t="array" ref="H4883">IFERROR(IF(INDEX(EmployeeData[Exit Date], ROW() - 37)=0, "",INDEX(EmployeeData[Exit Date], ROW() - 37)),"")</f>
        <v/>
      </c>
      <c r="I4883" s="4" t="str" cm="1">
        <f t="array" ref="I4883">IFERROR(IF(INDEX(EmployeeData[Exit Reason], ROW() - 37)=0, "",INDEX(EmployeeData[Exit Reason], ROW() - 37)),"")</f>
        <v/>
      </c>
      <c r="J4883" s="4" t="str" cm="1">
        <f t="array" ref="J4883">IFERROR(INDEX(EmployeeData[Status], ROW() - 37), "")</f>
        <v/>
      </c>
    </row>
    <row r="4884" spans="2:10" ht="19.95" customHeight="1" x14ac:dyDescent="0.3">
      <c r="B4884" s="4" t="str" cm="1">
        <f t="array" ref="B4884">IFERROR(INDEX(EmployeeData[Employee ID], ROW() - 37), "")</f>
        <v/>
      </c>
      <c r="C4884" s="4" t="str" cm="1">
        <f t="array" ref="C4884">IFERROR(INDEX(EmployeeData[Full Name], ROW() - 37), "")</f>
        <v/>
      </c>
      <c r="D4884" s="4" t="str" cm="1">
        <f t="array" ref="D4884">IFERROR(INDEX(EmployeeData[Department], ROW() - 37), "")</f>
        <v/>
      </c>
      <c r="E4884" s="4" t="str" cm="1">
        <f t="array" ref="E4884">IFERROR(INDEX(EmployeeData[Gender], ROW() - 37), "")</f>
        <v/>
      </c>
      <c r="F4884" s="4" t="str" cm="1">
        <f t="array" ref="F4884">IFERROR(INDEX(EmployeeData[Age], ROW() - 37), "")</f>
        <v/>
      </c>
      <c r="G4884" s="6" t="str" cm="1">
        <f t="array" ref="G4884">IFERROR(INDEX(EmployeeData[Join Date], ROW() - 37), "")</f>
        <v/>
      </c>
      <c r="H4884" s="6" t="str" cm="1">
        <f t="array" ref="H4884">IFERROR(IF(INDEX(EmployeeData[Exit Date], ROW() - 37)=0, "",INDEX(EmployeeData[Exit Date], ROW() - 37)),"")</f>
        <v/>
      </c>
      <c r="I4884" s="4" t="str" cm="1">
        <f t="array" ref="I4884">IFERROR(IF(INDEX(EmployeeData[Exit Reason], ROW() - 37)=0, "",INDEX(EmployeeData[Exit Reason], ROW() - 37)),"")</f>
        <v/>
      </c>
      <c r="J4884" s="4" t="str" cm="1">
        <f t="array" ref="J4884">IFERROR(INDEX(EmployeeData[Status], ROW() - 37), "")</f>
        <v/>
      </c>
    </row>
    <row r="4885" spans="2:10" ht="19.95" customHeight="1" x14ac:dyDescent="0.3">
      <c r="B4885" s="4" t="str" cm="1">
        <f t="array" ref="B4885">IFERROR(INDEX(EmployeeData[Employee ID], ROW() - 37), "")</f>
        <v/>
      </c>
      <c r="C4885" s="4" t="str" cm="1">
        <f t="array" ref="C4885">IFERROR(INDEX(EmployeeData[Full Name], ROW() - 37), "")</f>
        <v/>
      </c>
      <c r="D4885" s="4" t="str" cm="1">
        <f t="array" ref="D4885">IFERROR(INDEX(EmployeeData[Department], ROW() - 37), "")</f>
        <v/>
      </c>
      <c r="E4885" s="4" t="str" cm="1">
        <f t="array" ref="E4885">IFERROR(INDEX(EmployeeData[Gender], ROW() - 37), "")</f>
        <v/>
      </c>
      <c r="F4885" s="4" t="str" cm="1">
        <f t="array" ref="F4885">IFERROR(INDEX(EmployeeData[Age], ROW() - 37), "")</f>
        <v/>
      </c>
      <c r="G4885" s="6" t="str" cm="1">
        <f t="array" ref="G4885">IFERROR(INDEX(EmployeeData[Join Date], ROW() - 37), "")</f>
        <v/>
      </c>
      <c r="H4885" s="6" t="str" cm="1">
        <f t="array" ref="H4885">IFERROR(IF(INDEX(EmployeeData[Exit Date], ROW() - 37)=0, "",INDEX(EmployeeData[Exit Date], ROW() - 37)),"")</f>
        <v/>
      </c>
      <c r="I4885" s="4" t="str" cm="1">
        <f t="array" ref="I4885">IFERROR(IF(INDEX(EmployeeData[Exit Reason], ROW() - 37)=0, "",INDEX(EmployeeData[Exit Reason], ROW() - 37)),"")</f>
        <v/>
      </c>
      <c r="J4885" s="4" t="str" cm="1">
        <f t="array" ref="J4885">IFERROR(INDEX(EmployeeData[Status], ROW() - 37), "")</f>
        <v/>
      </c>
    </row>
    <row r="4886" spans="2:10" ht="19.95" customHeight="1" x14ac:dyDescent="0.3">
      <c r="B4886" s="4" t="str" cm="1">
        <f t="array" ref="B4886">IFERROR(INDEX(EmployeeData[Employee ID], ROW() - 37), "")</f>
        <v/>
      </c>
      <c r="C4886" s="4" t="str" cm="1">
        <f t="array" ref="C4886">IFERROR(INDEX(EmployeeData[Full Name], ROW() - 37), "")</f>
        <v/>
      </c>
      <c r="D4886" s="4" t="str" cm="1">
        <f t="array" ref="D4886">IFERROR(INDEX(EmployeeData[Department], ROW() - 37), "")</f>
        <v/>
      </c>
      <c r="E4886" s="4" t="str" cm="1">
        <f t="array" ref="E4886">IFERROR(INDEX(EmployeeData[Gender], ROW() - 37), "")</f>
        <v/>
      </c>
      <c r="F4886" s="4" t="str" cm="1">
        <f t="array" ref="F4886">IFERROR(INDEX(EmployeeData[Age], ROW() - 37), "")</f>
        <v/>
      </c>
      <c r="G4886" s="6" t="str" cm="1">
        <f t="array" ref="G4886">IFERROR(INDEX(EmployeeData[Join Date], ROW() - 37), "")</f>
        <v/>
      </c>
      <c r="H4886" s="6" t="str" cm="1">
        <f t="array" ref="H4886">IFERROR(IF(INDEX(EmployeeData[Exit Date], ROW() - 37)=0, "",INDEX(EmployeeData[Exit Date], ROW() - 37)),"")</f>
        <v/>
      </c>
      <c r="I4886" s="4" t="str" cm="1">
        <f t="array" ref="I4886">IFERROR(IF(INDEX(EmployeeData[Exit Reason], ROW() - 37)=0, "",INDEX(EmployeeData[Exit Reason], ROW() - 37)),"")</f>
        <v/>
      </c>
      <c r="J4886" s="4" t="str" cm="1">
        <f t="array" ref="J4886">IFERROR(INDEX(EmployeeData[Status], ROW() - 37), "")</f>
        <v/>
      </c>
    </row>
    <row r="4887" spans="2:10" ht="19.95" customHeight="1" x14ac:dyDescent="0.3">
      <c r="B4887" s="4" t="str" cm="1">
        <f t="array" ref="B4887">IFERROR(INDEX(EmployeeData[Employee ID], ROW() - 37), "")</f>
        <v/>
      </c>
      <c r="C4887" s="4" t="str" cm="1">
        <f t="array" ref="C4887">IFERROR(INDEX(EmployeeData[Full Name], ROW() - 37), "")</f>
        <v/>
      </c>
      <c r="D4887" s="4" t="str" cm="1">
        <f t="array" ref="D4887">IFERROR(INDEX(EmployeeData[Department], ROW() - 37), "")</f>
        <v/>
      </c>
      <c r="E4887" s="4" t="str" cm="1">
        <f t="array" ref="E4887">IFERROR(INDEX(EmployeeData[Gender], ROW() - 37), "")</f>
        <v/>
      </c>
      <c r="F4887" s="4" t="str" cm="1">
        <f t="array" ref="F4887">IFERROR(INDEX(EmployeeData[Age], ROW() - 37), "")</f>
        <v/>
      </c>
      <c r="G4887" s="6" t="str" cm="1">
        <f t="array" ref="G4887">IFERROR(INDEX(EmployeeData[Join Date], ROW() - 37), "")</f>
        <v/>
      </c>
      <c r="H4887" s="6" t="str" cm="1">
        <f t="array" ref="H4887">IFERROR(IF(INDEX(EmployeeData[Exit Date], ROW() - 37)=0, "",INDEX(EmployeeData[Exit Date], ROW() - 37)),"")</f>
        <v/>
      </c>
      <c r="I4887" s="4" t="str" cm="1">
        <f t="array" ref="I4887">IFERROR(IF(INDEX(EmployeeData[Exit Reason], ROW() - 37)=0, "",INDEX(EmployeeData[Exit Reason], ROW() - 37)),"")</f>
        <v/>
      </c>
      <c r="J4887" s="4" t="str" cm="1">
        <f t="array" ref="J4887">IFERROR(INDEX(EmployeeData[Status], ROW() - 37), "")</f>
        <v/>
      </c>
    </row>
    <row r="4888" spans="2:10" ht="19.95" customHeight="1" x14ac:dyDescent="0.3">
      <c r="B4888" s="4" t="str" cm="1">
        <f t="array" ref="B4888">IFERROR(INDEX(EmployeeData[Employee ID], ROW() - 37), "")</f>
        <v/>
      </c>
      <c r="C4888" s="4" t="str" cm="1">
        <f t="array" ref="C4888">IFERROR(INDEX(EmployeeData[Full Name], ROW() - 37), "")</f>
        <v/>
      </c>
      <c r="D4888" s="4" t="str" cm="1">
        <f t="array" ref="D4888">IFERROR(INDEX(EmployeeData[Department], ROW() - 37), "")</f>
        <v/>
      </c>
      <c r="E4888" s="4" t="str" cm="1">
        <f t="array" ref="E4888">IFERROR(INDEX(EmployeeData[Gender], ROW() - 37), "")</f>
        <v/>
      </c>
      <c r="F4888" s="4" t="str" cm="1">
        <f t="array" ref="F4888">IFERROR(INDEX(EmployeeData[Age], ROW() - 37), "")</f>
        <v/>
      </c>
      <c r="G4888" s="6" t="str" cm="1">
        <f t="array" ref="G4888">IFERROR(INDEX(EmployeeData[Join Date], ROW() - 37), "")</f>
        <v/>
      </c>
      <c r="H4888" s="6" t="str" cm="1">
        <f t="array" ref="H4888">IFERROR(IF(INDEX(EmployeeData[Exit Date], ROW() - 37)=0, "",INDEX(EmployeeData[Exit Date], ROW() - 37)),"")</f>
        <v/>
      </c>
      <c r="I4888" s="4" t="str" cm="1">
        <f t="array" ref="I4888">IFERROR(IF(INDEX(EmployeeData[Exit Reason], ROW() - 37)=0, "",INDEX(EmployeeData[Exit Reason], ROW() - 37)),"")</f>
        <v/>
      </c>
      <c r="J4888" s="4" t="str" cm="1">
        <f t="array" ref="J4888">IFERROR(INDEX(EmployeeData[Status], ROW() - 37), "")</f>
        <v/>
      </c>
    </row>
    <row r="4889" spans="2:10" ht="19.95" customHeight="1" x14ac:dyDescent="0.3">
      <c r="B4889" s="4" t="str" cm="1">
        <f t="array" ref="B4889">IFERROR(INDEX(EmployeeData[Employee ID], ROW() - 37), "")</f>
        <v/>
      </c>
      <c r="C4889" s="4" t="str" cm="1">
        <f t="array" ref="C4889">IFERROR(INDEX(EmployeeData[Full Name], ROW() - 37), "")</f>
        <v/>
      </c>
      <c r="D4889" s="4" t="str" cm="1">
        <f t="array" ref="D4889">IFERROR(INDEX(EmployeeData[Department], ROW() - 37), "")</f>
        <v/>
      </c>
      <c r="E4889" s="4" t="str" cm="1">
        <f t="array" ref="E4889">IFERROR(INDEX(EmployeeData[Gender], ROW() - 37), "")</f>
        <v/>
      </c>
      <c r="F4889" s="4" t="str" cm="1">
        <f t="array" ref="F4889">IFERROR(INDEX(EmployeeData[Age], ROW() - 37), "")</f>
        <v/>
      </c>
      <c r="G4889" s="6" t="str" cm="1">
        <f t="array" ref="G4889">IFERROR(INDEX(EmployeeData[Join Date], ROW() - 37), "")</f>
        <v/>
      </c>
      <c r="H4889" s="6" t="str" cm="1">
        <f t="array" ref="H4889">IFERROR(IF(INDEX(EmployeeData[Exit Date], ROW() - 37)=0, "",INDEX(EmployeeData[Exit Date], ROW() - 37)),"")</f>
        <v/>
      </c>
      <c r="I4889" s="4" t="str" cm="1">
        <f t="array" ref="I4889">IFERROR(IF(INDEX(EmployeeData[Exit Reason], ROW() - 37)=0, "",INDEX(EmployeeData[Exit Reason], ROW() - 37)),"")</f>
        <v/>
      </c>
      <c r="J4889" s="4" t="str" cm="1">
        <f t="array" ref="J4889">IFERROR(INDEX(EmployeeData[Status], ROW() - 37), "")</f>
        <v/>
      </c>
    </row>
    <row r="4890" spans="2:10" ht="19.95" customHeight="1" x14ac:dyDescent="0.3">
      <c r="B4890" s="4" t="str" cm="1">
        <f t="array" ref="B4890">IFERROR(INDEX(EmployeeData[Employee ID], ROW() - 37), "")</f>
        <v/>
      </c>
      <c r="C4890" s="4" t="str" cm="1">
        <f t="array" ref="C4890">IFERROR(INDEX(EmployeeData[Full Name], ROW() - 37), "")</f>
        <v/>
      </c>
      <c r="D4890" s="4" t="str" cm="1">
        <f t="array" ref="D4890">IFERROR(INDEX(EmployeeData[Department], ROW() - 37), "")</f>
        <v/>
      </c>
      <c r="E4890" s="4" t="str" cm="1">
        <f t="array" ref="E4890">IFERROR(INDEX(EmployeeData[Gender], ROW() - 37), "")</f>
        <v/>
      </c>
      <c r="F4890" s="4" t="str" cm="1">
        <f t="array" ref="F4890">IFERROR(INDEX(EmployeeData[Age], ROW() - 37), "")</f>
        <v/>
      </c>
      <c r="G4890" s="6" t="str" cm="1">
        <f t="array" ref="G4890">IFERROR(INDEX(EmployeeData[Join Date], ROW() - 37), "")</f>
        <v/>
      </c>
      <c r="H4890" s="6" t="str" cm="1">
        <f t="array" ref="H4890">IFERROR(IF(INDEX(EmployeeData[Exit Date], ROW() - 37)=0, "",INDEX(EmployeeData[Exit Date], ROW() - 37)),"")</f>
        <v/>
      </c>
      <c r="I4890" s="4" t="str" cm="1">
        <f t="array" ref="I4890">IFERROR(IF(INDEX(EmployeeData[Exit Reason], ROW() - 37)=0, "",INDEX(EmployeeData[Exit Reason], ROW() - 37)),"")</f>
        <v/>
      </c>
      <c r="J4890" s="4" t="str" cm="1">
        <f t="array" ref="J4890">IFERROR(INDEX(EmployeeData[Status], ROW() - 37), "")</f>
        <v/>
      </c>
    </row>
    <row r="4891" spans="2:10" ht="19.95" customHeight="1" x14ac:dyDescent="0.3">
      <c r="B4891" s="4" t="str" cm="1">
        <f t="array" ref="B4891">IFERROR(INDEX(EmployeeData[Employee ID], ROW() - 37), "")</f>
        <v/>
      </c>
      <c r="C4891" s="4" t="str" cm="1">
        <f t="array" ref="C4891">IFERROR(INDEX(EmployeeData[Full Name], ROW() - 37), "")</f>
        <v/>
      </c>
      <c r="D4891" s="4" t="str" cm="1">
        <f t="array" ref="D4891">IFERROR(INDEX(EmployeeData[Department], ROW() - 37), "")</f>
        <v/>
      </c>
      <c r="E4891" s="4" t="str" cm="1">
        <f t="array" ref="E4891">IFERROR(INDEX(EmployeeData[Gender], ROW() - 37), "")</f>
        <v/>
      </c>
      <c r="F4891" s="4" t="str" cm="1">
        <f t="array" ref="F4891">IFERROR(INDEX(EmployeeData[Age], ROW() - 37), "")</f>
        <v/>
      </c>
      <c r="G4891" s="6" t="str" cm="1">
        <f t="array" ref="G4891">IFERROR(INDEX(EmployeeData[Join Date], ROW() - 37), "")</f>
        <v/>
      </c>
      <c r="H4891" s="6" t="str" cm="1">
        <f t="array" ref="H4891">IFERROR(IF(INDEX(EmployeeData[Exit Date], ROW() - 37)=0, "",INDEX(EmployeeData[Exit Date], ROW() - 37)),"")</f>
        <v/>
      </c>
      <c r="I4891" s="4" t="str" cm="1">
        <f t="array" ref="I4891">IFERROR(IF(INDEX(EmployeeData[Exit Reason], ROW() - 37)=0, "",INDEX(EmployeeData[Exit Reason], ROW() - 37)),"")</f>
        <v/>
      </c>
      <c r="J4891" s="4" t="str" cm="1">
        <f t="array" ref="J4891">IFERROR(INDEX(EmployeeData[Status], ROW() - 37), "")</f>
        <v/>
      </c>
    </row>
    <row r="4892" spans="2:10" ht="19.95" customHeight="1" x14ac:dyDescent="0.3">
      <c r="B4892" s="4" t="str" cm="1">
        <f t="array" ref="B4892">IFERROR(INDEX(EmployeeData[Employee ID], ROW() - 37), "")</f>
        <v/>
      </c>
      <c r="C4892" s="4" t="str" cm="1">
        <f t="array" ref="C4892">IFERROR(INDEX(EmployeeData[Full Name], ROW() - 37), "")</f>
        <v/>
      </c>
      <c r="D4892" s="4" t="str" cm="1">
        <f t="array" ref="D4892">IFERROR(INDEX(EmployeeData[Department], ROW() - 37), "")</f>
        <v/>
      </c>
      <c r="E4892" s="4" t="str" cm="1">
        <f t="array" ref="E4892">IFERROR(INDEX(EmployeeData[Gender], ROW() - 37), "")</f>
        <v/>
      </c>
      <c r="F4892" s="4" t="str" cm="1">
        <f t="array" ref="F4892">IFERROR(INDEX(EmployeeData[Age], ROW() - 37), "")</f>
        <v/>
      </c>
      <c r="G4892" s="6" t="str" cm="1">
        <f t="array" ref="G4892">IFERROR(INDEX(EmployeeData[Join Date], ROW() - 37), "")</f>
        <v/>
      </c>
      <c r="H4892" s="6" t="str" cm="1">
        <f t="array" ref="H4892">IFERROR(IF(INDEX(EmployeeData[Exit Date], ROW() - 37)=0, "",INDEX(EmployeeData[Exit Date], ROW() - 37)),"")</f>
        <v/>
      </c>
      <c r="I4892" s="4" t="str" cm="1">
        <f t="array" ref="I4892">IFERROR(IF(INDEX(EmployeeData[Exit Reason], ROW() - 37)=0, "",INDEX(EmployeeData[Exit Reason], ROW() - 37)),"")</f>
        <v/>
      </c>
      <c r="J4892" s="4" t="str" cm="1">
        <f t="array" ref="J4892">IFERROR(INDEX(EmployeeData[Status], ROW() - 37), "")</f>
        <v/>
      </c>
    </row>
    <row r="4893" spans="2:10" ht="19.95" customHeight="1" x14ac:dyDescent="0.3">
      <c r="B4893" s="4" t="str" cm="1">
        <f t="array" ref="B4893">IFERROR(INDEX(EmployeeData[Employee ID], ROW() - 37), "")</f>
        <v/>
      </c>
      <c r="C4893" s="4" t="str" cm="1">
        <f t="array" ref="C4893">IFERROR(INDEX(EmployeeData[Full Name], ROW() - 37), "")</f>
        <v/>
      </c>
      <c r="D4893" s="4" t="str" cm="1">
        <f t="array" ref="D4893">IFERROR(INDEX(EmployeeData[Department], ROW() - 37), "")</f>
        <v/>
      </c>
      <c r="E4893" s="4" t="str" cm="1">
        <f t="array" ref="E4893">IFERROR(INDEX(EmployeeData[Gender], ROW() - 37), "")</f>
        <v/>
      </c>
      <c r="F4893" s="4" t="str" cm="1">
        <f t="array" ref="F4893">IFERROR(INDEX(EmployeeData[Age], ROW() - 37), "")</f>
        <v/>
      </c>
      <c r="G4893" s="6" t="str" cm="1">
        <f t="array" ref="G4893">IFERROR(INDEX(EmployeeData[Join Date], ROW() - 37), "")</f>
        <v/>
      </c>
      <c r="H4893" s="6" t="str" cm="1">
        <f t="array" ref="H4893">IFERROR(IF(INDEX(EmployeeData[Exit Date], ROW() - 37)=0, "",INDEX(EmployeeData[Exit Date], ROW() - 37)),"")</f>
        <v/>
      </c>
      <c r="I4893" s="4" t="str" cm="1">
        <f t="array" ref="I4893">IFERROR(IF(INDEX(EmployeeData[Exit Reason], ROW() - 37)=0, "",INDEX(EmployeeData[Exit Reason], ROW() - 37)),"")</f>
        <v/>
      </c>
      <c r="J4893" s="4" t="str" cm="1">
        <f t="array" ref="J4893">IFERROR(INDEX(EmployeeData[Status], ROW() - 37), "")</f>
        <v/>
      </c>
    </row>
    <row r="4894" spans="2:10" ht="19.95" customHeight="1" x14ac:dyDescent="0.3">
      <c r="B4894" s="4" t="str" cm="1">
        <f t="array" ref="B4894">IFERROR(INDEX(EmployeeData[Employee ID], ROW() - 37), "")</f>
        <v/>
      </c>
      <c r="C4894" s="4" t="str" cm="1">
        <f t="array" ref="C4894">IFERROR(INDEX(EmployeeData[Full Name], ROW() - 37), "")</f>
        <v/>
      </c>
      <c r="D4894" s="4" t="str" cm="1">
        <f t="array" ref="D4894">IFERROR(INDEX(EmployeeData[Department], ROW() - 37), "")</f>
        <v/>
      </c>
      <c r="E4894" s="4" t="str" cm="1">
        <f t="array" ref="E4894">IFERROR(INDEX(EmployeeData[Gender], ROW() - 37), "")</f>
        <v/>
      </c>
      <c r="F4894" s="4" t="str" cm="1">
        <f t="array" ref="F4894">IFERROR(INDEX(EmployeeData[Age], ROW() - 37), "")</f>
        <v/>
      </c>
      <c r="G4894" s="6" t="str" cm="1">
        <f t="array" ref="G4894">IFERROR(INDEX(EmployeeData[Join Date], ROW() - 37), "")</f>
        <v/>
      </c>
      <c r="H4894" s="6" t="str" cm="1">
        <f t="array" ref="H4894">IFERROR(IF(INDEX(EmployeeData[Exit Date], ROW() - 37)=0, "",INDEX(EmployeeData[Exit Date], ROW() - 37)),"")</f>
        <v/>
      </c>
      <c r="I4894" s="4" t="str" cm="1">
        <f t="array" ref="I4894">IFERROR(IF(INDEX(EmployeeData[Exit Reason], ROW() - 37)=0, "",INDEX(EmployeeData[Exit Reason], ROW() - 37)),"")</f>
        <v/>
      </c>
      <c r="J4894" s="4" t="str" cm="1">
        <f t="array" ref="J4894">IFERROR(INDEX(EmployeeData[Status], ROW() - 37), "")</f>
        <v/>
      </c>
    </row>
    <row r="4895" spans="2:10" ht="19.95" customHeight="1" x14ac:dyDescent="0.3">
      <c r="B4895" s="4" t="str" cm="1">
        <f t="array" ref="B4895">IFERROR(INDEX(EmployeeData[Employee ID], ROW() - 37), "")</f>
        <v/>
      </c>
      <c r="C4895" s="4" t="str" cm="1">
        <f t="array" ref="C4895">IFERROR(INDEX(EmployeeData[Full Name], ROW() - 37), "")</f>
        <v/>
      </c>
      <c r="D4895" s="4" t="str" cm="1">
        <f t="array" ref="D4895">IFERROR(INDEX(EmployeeData[Department], ROW() - 37), "")</f>
        <v/>
      </c>
      <c r="E4895" s="4" t="str" cm="1">
        <f t="array" ref="E4895">IFERROR(INDEX(EmployeeData[Gender], ROW() - 37), "")</f>
        <v/>
      </c>
      <c r="F4895" s="4" t="str" cm="1">
        <f t="array" ref="F4895">IFERROR(INDEX(EmployeeData[Age], ROW() - 37), "")</f>
        <v/>
      </c>
      <c r="G4895" s="6" t="str" cm="1">
        <f t="array" ref="G4895">IFERROR(INDEX(EmployeeData[Join Date], ROW() - 37), "")</f>
        <v/>
      </c>
      <c r="H4895" s="6" t="str" cm="1">
        <f t="array" ref="H4895">IFERROR(IF(INDEX(EmployeeData[Exit Date], ROW() - 37)=0, "",INDEX(EmployeeData[Exit Date], ROW() - 37)),"")</f>
        <v/>
      </c>
      <c r="I4895" s="4" t="str" cm="1">
        <f t="array" ref="I4895">IFERROR(IF(INDEX(EmployeeData[Exit Reason], ROW() - 37)=0, "",INDEX(EmployeeData[Exit Reason], ROW() - 37)),"")</f>
        <v/>
      </c>
      <c r="J4895" s="4" t="str" cm="1">
        <f t="array" ref="J4895">IFERROR(INDEX(EmployeeData[Status], ROW() - 37), "")</f>
        <v/>
      </c>
    </row>
    <row r="4896" spans="2:10" ht="19.95" customHeight="1" x14ac:dyDescent="0.3">
      <c r="B4896" s="4" t="str" cm="1">
        <f t="array" ref="B4896">IFERROR(INDEX(EmployeeData[Employee ID], ROW() - 37), "")</f>
        <v/>
      </c>
      <c r="C4896" s="4" t="str" cm="1">
        <f t="array" ref="C4896">IFERROR(INDEX(EmployeeData[Full Name], ROW() - 37), "")</f>
        <v/>
      </c>
      <c r="D4896" s="4" t="str" cm="1">
        <f t="array" ref="D4896">IFERROR(INDEX(EmployeeData[Department], ROW() - 37), "")</f>
        <v/>
      </c>
      <c r="E4896" s="4" t="str" cm="1">
        <f t="array" ref="E4896">IFERROR(INDEX(EmployeeData[Gender], ROW() - 37), "")</f>
        <v/>
      </c>
      <c r="F4896" s="4" t="str" cm="1">
        <f t="array" ref="F4896">IFERROR(INDEX(EmployeeData[Age], ROW() - 37), "")</f>
        <v/>
      </c>
      <c r="G4896" s="6" t="str" cm="1">
        <f t="array" ref="G4896">IFERROR(INDEX(EmployeeData[Join Date], ROW() - 37), "")</f>
        <v/>
      </c>
      <c r="H4896" s="6" t="str" cm="1">
        <f t="array" ref="H4896">IFERROR(IF(INDEX(EmployeeData[Exit Date], ROW() - 37)=0, "",INDEX(EmployeeData[Exit Date], ROW() - 37)),"")</f>
        <v/>
      </c>
      <c r="I4896" s="4" t="str" cm="1">
        <f t="array" ref="I4896">IFERROR(IF(INDEX(EmployeeData[Exit Reason], ROW() - 37)=0, "",INDEX(EmployeeData[Exit Reason], ROW() - 37)),"")</f>
        <v/>
      </c>
      <c r="J4896" s="4" t="str" cm="1">
        <f t="array" ref="J4896">IFERROR(INDEX(EmployeeData[Status], ROW() - 37), "")</f>
        <v/>
      </c>
    </row>
    <row r="4897" spans="2:10" ht="19.95" customHeight="1" x14ac:dyDescent="0.3">
      <c r="B4897" s="4" t="str" cm="1">
        <f t="array" ref="B4897">IFERROR(INDEX(EmployeeData[Employee ID], ROW() - 37), "")</f>
        <v/>
      </c>
      <c r="C4897" s="4" t="str" cm="1">
        <f t="array" ref="C4897">IFERROR(INDEX(EmployeeData[Full Name], ROW() - 37), "")</f>
        <v/>
      </c>
      <c r="D4897" s="4" t="str" cm="1">
        <f t="array" ref="D4897">IFERROR(INDEX(EmployeeData[Department], ROW() - 37), "")</f>
        <v/>
      </c>
      <c r="E4897" s="4" t="str" cm="1">
        <f t="array" ref="E4897">IFERROR(INDEX(EmployeeData[Gender], ROW() - 37), "")</f>
        <v/>
      </c>
      <c r="F4897" s="4" t="str" cm="1">
        <f t="array" ref="F4897">IFERROR(INDEX(EmployeeData[Age], ROW() - 37), "")</f>
        <v/>
      </c>
      <c r="G4897" s="6" t="str" cm="1">
        <f t="array" ref="G4897">IFERROR(INDEX(EmployeeData[Join Date], ROW() - 37), "")</f>
        <v/>
      </c>
      <c r="H4897" s="6" t="str" cm="1">
        <f t="array" ref="H4897">IFERROR(IF(INDEX(EmployeeData[Exit Date], ROW() - 37)=0, "",INDEX(EmployeeData[Exit Date], ROW() - 37)),"")</f>
        <v/>
      </c>
      <c r="I4897" s="4" t="str" cm="1">
        <f t="array" ref="I4897">IFERROR(IF(INDEX(EmployeeData[Exit Reason], ROW() - 37)=0, "",INDEX(EmployeeData[Exit Reason], ROW() - 37)),"")</f>
        <v/>
      </c>
      <c r="J4897" s="4" t="str" cm="1">
        <f t="array" ref="J4897">IFERROR(INDEX(EmployeeData[Status], ROW() - 37), "")</f>
        <v/>
      </c>
    </row>
    <row r="4898" spans="2:10" ht="19.95" customHeight="1" x14ac:dyDescent="0.3">
      <c r="B4898" s="4" t="str" cm="1">
        <f t="array" ref="B4898">IFERROR(INDEX(EmployeeData[Employee ID], ROW() - 37), "")</f>
        <v/>
      </c>
      <c r="C4898" s="4" t="str" cm="1">
        <f t="array" ref="C4898">IFERROR(INDEX(EmployeeData[Full Name], ROW() - 37), "")</f>
        <v/>
      </c>
      <c r="D4898" s="4" t="str" cm="1">
        <f t="array" ref="D4898">IFERROR(INDEX(EmployeeData[Department], ROW() - 37), "")</f>
        <v/>
      </c>
      <c r="E4898" s="4" t="str" cm="1">
        <f t="array" ref="E4898">IFERROR(INDEX(EmployeeData[Gender], ROW() - 37), "")</f>
        <v/>
      </c>
      <c r="F4898" s="4" t="str" cm="1">
        <f t="array" ref="F4898">IFERROR(INDEX(EmployeeData[Age], ROW() - 37), "")</f>
        <v/>
      </c>
      <c r="G4898" s="6" t="str" cm="1">
        <f t="array" ref="G4898">IFERROR(INDEX(EmployeeData[Join Date], ROW() - 37), "")</f>
        <v/>
      </c>
      <c r="H4898" s="6" t="str" cm="1">
        <f t="array" ref="H4898">IFERROR(IF(INDEX(EmployeeData[Exit Date], ROW() - 37)=0, "",INDEX(EmployeeData[Exit Date], ROW() - 37)),"")</f>
        <v/>
      </c>
      <c r="I4898" s="4" t="str" cm="1">
        <f t="array" ref="I4898">IFERROR(IF(INDEX(EmployeeData[Exit Reason], ROW() - 37)=0, "",INDEX(EmployeeData[Exit Reason], ROW() - 37)),"")</f>
        <v/>
      </c>
      <c r="J4898" s="4" t="str" cm="1">
        <f t="array" ref="J4898">IFERROR(INDEX(EmployeeData[Status], ROW() - 37), "")</f>
        <v/>
      </c>
    </row>
    <row r="4899" spans="2:10" ht="19.95" customHeight="1" x14ac:dyDescent="0.3">
      <c r="B4899" s="4" t="str" cm="1">
        <f t="array" ref="B4899">IFERROR(INDEX(EmployeeData[Employee ID], ROW() - 37), "")</f>
        <v/>
      </c>
      <c r="C4899" s="4" t="str" cm="1">
        <f t="array" ref="C4899">IFERROR(INDEX(EmployeeData[Full Name], ROW() - 37), "")</f>
        <v/>
      </c>
      <c r="D4899" s="4" t="str" cm="1">
        <f t="array" ref="D4899">IFERROR(INDEX(EmployeeData[Department], ROW() - 37), "")</f>
        <v/>
      </c>
      <c r="E4899" s="4" t="str" cm="1">
        <f t="array" ref="E4899">IFERROR(INDEX(EmployeeData[Gender], ROW() - 37), "")</f>
        <v/>
      </c>
      <c r="F4899" s="4" t="str" cm="1">
        <f t="array" ref="F4899">IFERROR(INDEX(EmployeeData[Age], ROW() - 37), "")</f>
        <v/>
      </c>
      <c r="G4899" s="6" t="str" cm="1">
        <f t="array" ref="G4899">IFERROR(INDEX(EmployeeData[Join Date], ROW() - 37), "")</f>
        <v/>
      </c>
      <c r="H4899" s="6" t="str" cm="1">
        <f t="array" ref="H4899">IFERROR(IF(INDEX(EmployeeData[Exit Date], ROW() - 37)=0, "",INDEX(EmployeeData[Exit Date], ROW() - 37)),"")</f>
        <v/>
      </c>
      <c r="I4899" s="4" t="str" cm="1">
        <f t="array" ref="I4899">IFERROR(IF(INDEX(EmployeeData[Exit Reason], ROW() - 37)=0, "",INDEX(EmployeeData[Exit Reason], ROW() - 37)),"")</f>
        <v/>
      </c>
      <c r="J4899" s="4" t="str" cm="1">
        <f t="array" ref="J4899">IFERROR(INDEX(EmployeeData[Status], ROW() - 37), "")</f>
        <v/>
      </c>
    </row>
    <row r="4900" spans="2:10" ht="19.95" customHeight="1" x14ac:dyDescent="0.3">
      <c r="B4900" s="4" t="str" cm="1">
        <f t="array" ref="B4900">IFERROR(INDEX(EmployeeData[Employee ID], ROW() - 37), "")</f>
        <v/>
      </c>
      <c r="C4900" s="4" t="str" cm="1">
        <f t="array" ref="C4900">IFERROR(INDEX(EmployeeData[Full Name], ROW() - 37), "")</f>
        <v/>
      </c>
      <c r="D4900" s="4" t="str" cm="1">
        <f t="array" ref="D4900">IFERROR(INDEX(EmployeeData[Department], ROW() - 37), "")</f>
        <v/>
      </c>
      <c r="E4900" s="4" t="str" cm="1">
        <f t="array" ref="E4900">IFERROR(INDEX(EmployeeData[Gender], ROW() - 37), "")</f>
        <v/>
      </c>
      <c r="F4900" s="4" t="str" cm="1">
        <f t="array" ref="F4900">IFERROR(INDEX(EmployeeData[Age], ROW() - 37), "")</f>
        <v/>
      </c>
      <c r="G4900" s="6" t="str" cm="1">
        <f t="array" ref="G4900">IFERROR(INDEX(EmployeeData[Join Date], ROW() - 37), "")</f>
        <v/>
      </c>
      <c r="H4900" s="6" t="str" cm="1">
        <f t="array" ref="H4900">IFERROR(IF(INDEX(EmployeeData[Exit Date], ROW() - 37)=0, "",INDEX(EmployeeData[Exit Date], ROW() - 37)),"")</f>
        <v/>
      </c>
      <c r="I4900" s="4" t="str" cm="1">
        <f t="array" ref="I4900">IFERROR(IF(INDEX(EmployeeData[Exit Reason], ROW() - 37)=0, "",INDEX(EmployeeData[Exit Reason], ROW() - 37)),"")</f>
        <v/>
      </c>
      <c r="J4900" s="4" t="str" cm="1">
        <f t="array" ref="J4900">IFERROR(INDEX(EmployeeData[Status], ROW() - 37), "")</f>
        <v/>
      </c>
    </row>
    <row r="4901" spans="2:10" ht="19.95" customHeight="1" x14ac:dyDescent="0.3">
      <c r="B4901" s="4" t="str" cm="1">
        <f t="array" ref="B4901">IFERROR(INDEX(EmployeeData[Employee ID], ROW() - 37), "")</f>
        <v/>
      </c>
      <c r="C4901" s="4" t="str" cm="1">
        <f t="array" ref="C4901">IFERROR(INDEX(EmployeeData[Full Name], ROW() - 37), "")</f>
        <v/>
      </c>
      <c r="D4901" s="4" t="str" cm="1">
        <f t="array" ref="D4901">IFERROR(INDEX(EmployeeData[Department], ROW() - 37), "")</f>
        <v/>
      </c>
      <c r="E4901" s="4" t="str" cm="1">
        <f t="array" ref="E4901">IFERROR(INDEX(EmployeeData[Gender], ROW() - 37), "")</f>
        <v/>
      </c>
      <c r="F4901" s="4" t="str" cm="1">
        <f t="array" ref="F4901">IFERROR(INDEX(EmployeeData[Age], ROW() - 37), "")</f>
        <v/>
      </c>
      <c r="G4901" s="6" t="str" cm="1">
        <f t="array" ref="G4901">IFERROR(INDEX(EmployeeData[Join Date], ROW() - 37), "")</f>
        <v/>
      </c>
      <c r="H4901" s="6" t="str" cm="1">
        <f t="array" ref="H4901">IFERROR(IF(INDEX(EmployeeData[Exit Date], ROW() - 37)=0, "",INDEX(EmployeeData[Exit Date], ROW() - 37)),"")</f>
        <v/>
      </c>
      <c r="I4901" s="4" t="str" cm="1">
        <f t="array" ref="I4901">IFERROR(IF(INDEX(EmployeeData[Exit Reason], ROW() - 37)=0, "",INDEX(EmployeeData[Exit Reason], ROW() - 37)),"")</f>
        <v/>
      </c>
      <c r="J4901" s="4" t="str" cm="1">
        <f t="array" ref="J4901">IFERROR(INDEX(EmployeeData[Status], ROW() - 37), "")</f>
        <v/>
      </c>
    </row>
    <row r="4902" spans="2:10" ht="19.95" customHeight="1" x14ac:dyDescent="0.3">
      <c r="B4902" s="4" t="str" cm="1">
        <f t="array" ref="B4902">IFERROR(INDEX(EmployeeData[Employee ID], ROW() - 37), "")</f>
        <v/>
      </c>
      <c r="C4902" s="4" t="str" cm="1">
        <f t="array" ref="C4902">IFERROR(INDEX(EmployeeData[Full Name], ROW() - 37), "")</f>
        <v/>
      </c>
      <c r="D4902" s="4" t="str" cm="1">
        <f t="array" ref="D4902">IFERROR(INDEX(EmployeeData[Department], ROW() - 37), "")</f>
        <v/>
      </c>
      <c r="E4902" s="4" t="str" cm="1">
        <f t="array" ref="E4902">IFERROR(INDEX(EmployeeData[Gender], ROW() - 37), "")</f>
        <v/>
      </c>
      <c r="F4902" s="4" t="str" cm="1">
        <f t="array" ref="F4902">IFERROR(INDEX(EmployeeData[Age], ROW() - 37), "")</f>
        <v/>
      </c>
      <c r="G4902" s="6" t="str" cm="1">
        <f t="array" ref="G4902">IFERROR(INDEX(EmployeeData[Join Date], ROW() - 37), "")</f>
        <v/>
      </c>
      <c r="H4902" s="6" t="str" cm="1">
        <f t="array" ref="H4902">IFERROR(IF(INDEX(EmployeeData[Exit Date], ROW() - 37)=0, "",INDEX(EmployeeData[Exit Date], ROW() - 37)),"")</f>
        <v/>
      </c>
      <c r="I4902" s="4" t="str" cm="1">
        <f t="array" ref="I4902">IFERROR(IF(INDEX(EmployeeData[Exit Reason], ROW() - 37)=0, "",INDEX(EmployeeData[Exit Reason], ROW() - 37)),"")</f>
        <v/>
      </c>
      <c r="J4902" s="4" t="str" cm="1">
        <f t="array" ref="J4902">IFERROR(INDEX(EmployeeData[Status], ROW() - 37), "")</f>
        <v/>
      </c>
    </row>
    <row r="4903" spans="2:10" ht="19.95" customHeight="1" x14ac:dyDescent="0.3">
      <c r="B4903" s="4" t="str" cm="1">
        <f t="array" ref="B4903">IFERROR(INDEX(EmployeeData[Employee ID], ROW() - 37), "")</f>
        <v/>
      </c>
      <c r="C4903" s="4" t="str" cm="1">
        <f t="array" ref="C4903">IFERROR(INDEX(EmployeeData[Full Name], ROW() - 37), "")</f>
        <v/>
      </c>
      <c r="D4903" s="4" t="str" cm="1">
        <f t="array" ref="D4903">IFERROR(INDEX(EmployeeData[Department], ROW() - 37), "")</f>
        <v/>
      </c>
      <c r="E4903" s="4" t="str" cm="1">
        <f t="array" ref="E4903">IFERROR(INDEX(EmployeeData[Gender], ROW() - 37), "")</f>
        <v/>
      </c>
      <c r="F4903" s="4" t="str" cm="1">
        <f t="array" ref="F4903">IFERROR(INDEX(EmployeeData[Age], ROW() - 37), "")</f>
        <v/>
      </c>
      <c r="G4903" s="6" t="str" cm="1">
        <f t="array" ref="G4903">IFERROR(INDEX(EmployeeData[Join Date], ROW() - 37), "")</f>
        <v/>
      </c>
      <c r="H4903" s="6" t="str" cm="1">
        <f t="array" ref="H4903">IFERROR(IF(INDEX(EmployeeData[Exit Date], ROW() - 37)=0, "",INDEX(EmployeeData[Exit Date], ROW() - 37)),"")</f>
        <v/>
      </c>
      <c r="I4903" s="4" t="str" cm="1">
        <f t="array" ref="I4903">IFERROR(IF(INDEX(EmployeeData[Exit Reason], ROW() - 37)=0, "",INDEX(EmployeeData[Exit Reason], ROW() - 37)),"")</f>
        <v/>
      </c>
      <c r="J4903" s="4" t="str" cm="1">
        <f t="array" ref="J4903">IFERROR(INDEX(EmployeeData[Status], ROW() - 37), "")</f>
        <v/>
      </c>
    </row>
    <row r="4904" spans="2:10" ht="19.95" customHeight="1" x14ac:dyDescent="0.3">
      <c r="B4904" s="4" t="str" cm="1">
        <f t="array" ref="B4904">IFERROR(INDEX(EmployeeData[Employee ID], ROW() - 37), "")</f>
        <v/>
      </c>
      <c r="C4904" s="4" t="str" cm="1">
        <f t="array" ref="C4904">IFERROR(INDEX(EmployeeData[Full Name], ROW() - 37), "")</f>
        <v/>
      </c>
      <c r="D4904" s="4" t="str" cm="1">
        <f t="array" ref="D4904">IFERROR(INDEX(EmployeeData[Department], ROW() - 37), "")</f>
        <v/>
      </c>
      <c r="E4904" s="4" t="str" cm="1">
        <f t="array" ref="E4904">IFERROR(INDEX(EmployeeData[Gender], ROW() - 37), "")</f>
        <v/>
      </c>
      <c r="F4904" s="4" t="str" cm="1">
        <f t="array" ref="F4904">IFERROR(INDEX(EmployeeData[Age], ROW() - 37), "")</f>
        <v/>
      </c>
      <c r="G4904" s="6" t="str" cm="1">
        <f t="array" ref="G4904">IFERROR(INDEX(EmployeeData[Join Date], ROW() - 37), "")</f>
        <v/>
      </c>
      <c r="H4904" s="6" t="str" cm="1">
        <f t="array" ref="H4904">IFERROR(IF(INDEX(EmployeeData[Exit Date], ROW() - 37)=0, "",INDEX(EmployeeData[Exit Date], ROW() - 37)),"")</f>
        <v/>
      </c>
      <c r="I4904" s="4" t="str" cm="1">
        <f t="array" ref="I4904">IFERROR(IF(INDEX(EmployeeData[Exit Reason], ROW() - 37)=0, "",INDEX(EmployeeData[Exit Reason], ROW() - 37)),"")</f>
        <v/>
      </c>
      <c r="J4904" s="4" t="str" cm="1">
        <f t="array" ref="J4904">IFERROR(INDEX(EmployeeData[Status], ROW() - 37), "")</f>
        <v/>
      </c>
    </row>
    <row r="4905" spans="2:10" ht="19.95" customHeight="1" x14ac:dyDescent="0.3">
      <c r="B4905" s="4" t="str" cm="1">
        <f t="array" ref="B4905">IFERROR(INDEX(EmployeeData[Employee ID], ROW() - 37), "")</f>
        <v/>
      </c>
      <c r="C4905" s="4" t="str" cm="1">
        <f t="array" ref="C4905">IFERROR(INDEX(EmployeeData[Full Name], ROW() - 37), "")</f>
        <v/>
      </c>
      <c r="D4905" s="4" t="str" cm="1">
        <f t="array" ref="D4905">IFERROR(INDEX(EmployeeData[Department], ROW() - 37), "")</f>
        <v/>
      </c>
      <c r="E4905" s="4" t="str" cm="1">
        <f t="array" ref="E4905">IFERROR(INDEX(EmployeeData[Gender], ROW() - 37), "")</f>
        <v/>
      </c>
      <c r="F4905" s="4" t="str" cm="1">
        <f t="array" ref="F4905">IFERROR(INDEX(EmployeeData[Age], ROW() - 37), "")</f>
        <v/>
      </c>
      <c r="G4905" s="6" t="str" cm="1">
        <f t="array" ref="G4905">IFERROR(INDEX(EmployeeData[Join Date], ROW() - 37), "")</f>
        <v/>
      </c>
      <c r="H4905" s="6" t="str" cm="1">
        <f t="array" ref="H4905">IFERROR(IF(INDEX(EmployeeData[Exit Date], ROW() - 37)=0, "",INDEX(EmployeeData[Exit Date], ROW() - 37)),"")</f>
        <v/>
      </c>
      <c r="I4905" s="4" t="str" cm="1">
        <f t="array" ref="I4905">IFERROR(IF(INDEX(EmployeeData[Exit Reason], ROW() - 37)=0, "",INDEX(EmployeeData[Exit Reason], ROW() - 37)),"")</f>
        <v/>
      </c>
      <c r="J4905" s="4" t="str" cm="1">
        <f t="array" ref="J4905">IFERROR(INDEX(EmployeeData[Status], ROW() - 37), "")</f>
        <v/>
      </c>
    </row>
    <row r="4906" spans="2:10" ht="19.95" customHeight="1" x14ac:dyDescent="0.3">
      <c r="B4906" s="4" t="str" cm="1">
        <f t="array" ref="B4906">IFERROR(INDEX(EmployeeData[Employee ID], ROW() - 37), "")</f>
        <v/>
      </c>
      <c r="C4906" s="4" t="str" cm="1">
        <f t="array" ref="C4906">IFERROR(INDEX(EmployeeData[Full Name], ROW() - 37), "")</f>
        <v/>
      </c>
      <c r="D4906" s="4" t="str" cm="1">
        <f t="array" ref="D4906">IFERROR(INDEX(EmployeeData[Department], ROW() - 37), "")</f>
        <v/>
      </c>
      <c r="E4906" s="4" t="str" cm="1">
        <f t="array" ref="E4906">IFERROR(INDEX(EmployeeData[Gender], ROW() - 37), "")</f>
        <v/>
      </c>
      <c r="F4906" s="4" t="str" cm="1">
        <f t="array" ref="F4906">IFERROR(INDEX(EmployeeData[Age], ROW() - 37), "")</f>
        <v/>
      </c>
      <c r="G4906" s="6" t="str" cm="1">
        <f t="array" ref="G4906">IFERROR(INDEX(EmployeeData[Join Date], ROW() - 37), "")</f>
        <v/>
      </c>
      <c r="H4906" s="6" t="str" cm="1">
        <f t="array" ref="H4906">IFERROR(IF(INDEX(EmployeeData[Exit Date], ROW() - 37)=0, "",INDEX(EmployeeData[Exit Date], ROW() - 37)),"")</f>
        <v/>
      </c>
      <c r="I4906" s="4" t="str" cm="1">
        <f t="array" ref="I4906">IFERROR(IF(INDEX(EmployeeData[Exit Reason], ROW() - 37)=0, "",INDEX(EmployeeData[Exit Reason], ROW() - 37)),"")</f>
        <v/>
      </c>
      <c r="J4906" s="4" t="str" cm="1">
        <f t="array" ref="J4906">IFERROR(INDEX(EmployeeData[Status], ROW() - 37), "")</f>
        <v/>
      </c>
    </row>
    <row r="4907" spans="2:10" ht="19.95" customHeight="1" x14ac:dyDescent="0.3">
      <c r="B4907" s="4" t="str" cm="1">
        <f t="array" ref="B4907">IFERROR(INDEX(EmployeeData[Employee ID], ROW() - 37), "")</f>
        <v/>
      </c>
      <c r="C4907" s="4" t="str" cm="1">
        <f t="array" ref="C4907">IFERROR(INDEX(EmployeeData[Full Name], ROW() - 37), "")</f>
        <v/>
      </c>
      <c r="D4907" s="4" t="str" cm="1">
        <f t="array" ref="D4907">IFERROR(INDEX(EmployeeData[Department], ROW() - 37), "")</f>
        <v/>
      </c>
      <c r="E4907" s="4" t="str" cm="1">
        <f t="array" ref="E4907">IFERROR(INDEX(EmployeeData[Gender], ROW() - 37), "")</f>
        <v/>
      </c>
      <c r="F4907" s="4" t="str" cm="1">
        <f t="array" ref="F4907">IFERROR(INDEX(EmployeeData[Age], ROW() - 37), "")</f>
        <v/>
      </c>
      <c r="G4907" s="6" t="str" cm="1">
        <f t="array" ref="G4907">IFERROR(INDEX(EmployeeData[Join Date], ROW() - 37), "")</f>
        <v/>
      </c>
      <c r="H4907" s="6" t="str" cm="1">
        <f t="array" ref="H4907">IFERROR(IF(INDEX(EmployeeData[Exit Date], ROW() - 37)=0, "",INDEX(EmployeeData[Exit Date], ROW() - 37)),"")</f>
        <v/>
      </c>
      <c r="I4907" s="4" t="str" cm="1">
        <f t="array" ref="I4907">IFERROR(IF(INDEX(EmployeeData[Exit Reason], ROW() - 37)=0, "",INDEX(EmployeeData[Exit Reason], ROW() - 37)),"")</f>
        <v/>
      </c>
      <c r="J4907" s="4" t="str" cm="1">
        <f t="array" ref="J4907">IFERROR(INDEX(EmployeeData[Status], ROW() - 37), "")</f>
        <v/>
      </c>
    </row>
    <row r="4908" spans="2:10" ht="19.95" customHeight="1" x14ac:dyDescent="0.3">
      <c r="B4908" s="4" t="str" cm="1">
        <f t="array" ref="B4908">IFERROR(INDEX(EmployeeData[Employee ID], ROW() - 37), "")</f>
        <v/>
      </c>
      <c r="C4908" s="4" t="str" cm="1">
        <f t="array" ref="C4908">IFERROR(INDEX(EmployeeData[Full Name], ROW() - 37), "")</f>
        <v/>
      </c>
      <c r="D4908" s="4" t="str" cm="1">
        <f t="array" ref="D4908">IFERROR(INDEX(EmployeeData[Department], ROW() - 37), "")</f>
        <v/>
      </c>
      <c r="E4908" s="4" t="str" cm="1">
        <f t="array" ref="E4908">IFERROR(INDEX(EmployeeData[Gender], ROW() - 37), "")</f>
        <v/>
      </c>
      <c r="F4908" s="4" t="str" cm="1">
        <f t="array" ref="F4908">IFERROR(INDEX(EmployeeData[Age], ROW() - 37), "")</f>
        <v/>
      </c>
      <c r="G4908" s="6" t="str" cm="1">
        <f t="array" ref="G4908">IFERROR(INDEX(EmployeeData[Join Date], ROW() - 37), "")</f>
        <v/>
      </c>
      <c r="H4908" s="6" t="str" cm="1">
        <f t="array" ref="H4908">IFERROR(IF(INDEX(EmployeeData[Exit Date], ROW() - 37)=0, "",INDEX(EmployeeData[Exit Date], ROW() - 37)),"")</f>
        <v/>
      </c>
      <c r="I4908" s="4" t="str" cm="1">
        <f t="array" ref="I4908">IFERROR(IF(INDEX(EmployeeData[Exit Reason], ROW() - 37)=0, "",INDEX(EmployeeData[Exit Reason], ROW() - 37)),"")</f>
        <v/>
      </c>
      <c r="J4908" s="4" t="str" cm="1">
        <f t="array" ref="J4908">IFERROR(INDEX(EmployeeData[Status], ROW() - 37), "")</f>
        <v/>
      </c>
    </row>
    <row r="4909" spans="2:10" ht="19.95" customHeight="1" x14ac:dyDescent="0.3">
      <c r="B4909" s="4" t="str" cm="1">
        <f t="array" ref="B4909">IFERROR(INDEX(EmployeeData[Employee ID], ROW() - 37), "")</f>
        <v/>
      </c>
      <c r="C4909" s="4" t="str" cm="1">
        <f t="array" ref="C4909">IFERROR(INDEX(EmployeeData[Full Name], ROW() - 37), "")</f>
        <v/>
      </c>
      <c r="D4909" s="4" t="str" cm="1">
        <f t="array" ref="D4909">IFERROR(INDEX(EmployeeData[Department], ROW() - 37), "")</f>
        <v/>
      </c>
      <c r="E4909" s="4" t="str" cm="1">
        <f t="array" ref="E4909">IFERROR(INDEX(EmployeeData[Gender], ROW() - 37), "")</f>
        <v/>
      </c>
      <c r="F4909" s="4" t="str" cm="1">
        <f t="array" ref="F4909">IFERROR(INDEX(EmployeeData[Age], ROW() - 37), "")</f>
        <v/>
      </c>
      <c r="G4909" s="6" t="str" cm="1">
        <f t="array" ref="G4909">IFERROR(INDEX(EmployeeData[Join Date], ROW() - 37), "")</f>
        <v/>
      </c>
      <c r="H4909" s="6" t="str" cm="1">
        <f t="array" ref="H4909">IFERROR(IF(INDEX(EmployeeData[Exit Date], ROW() - 37)=0, "",INDEX(EmployeeData[Exit Date], ROW() - 37)),"")</f>
        <v/>
      </c>
      <c r="I4909" s="4" t="str" cm="1">
        <f t="array" ref="I4909">IFERROR(IF(INDEX(EmployeeData[Exit Reason], ROW() - 37)=0, "",INDEX(EmployeeData[Exit Reason], ROW() - 37)),"")</f>
        <v/>
      </c>
      <c r="J4909" s="4" t="str" cm="1">
        <f t="array" ref="J4909">IFERROR(INDEX(EmployeeData[Status], ROW() - 37), "")</f>
        <v/>
      </c>
    </row>
    <row r="4910" spans="2:10" ht="19.95" customHeight="1" x14ac:dyDescent="0.3">
      <c r="B4910" s="4" t="str" cm="1">
        <f t="array" ref="B4910">IFERROR(INDEX(EmployeeData[Employee ID], ROW() - 37), "")</f>
        <v/>
      </c>
      <c r="C4910" s="4" t="str" cm="1">
        <f t="array" ref="C4910">IFERROR(INDEX(EmployeeData[Full Name], ROW() - 37), "")</f>
        <v/>
      </c>
      <c r="D4910" s="4" t="str" cm="1">
        <f t="array" ref="D4910">IFERROR(INDEX(EmployeeData[Department], ROW() - 37), "")</f>
        <v/>
      </c>
      <c r="E4910" s="4" t="str" cm="1">
        <f t="array" ref="E4910">IFERROR(INDEX(EmployeeData[Gender], ROW() - 37), "")</f>
        <v/>
      </c>
      <c r="F4910" s="4" t="str" cm="1">
        <f t="array" ref="F4910">IFERROR(INDEX(EmployeeData[Age], ROW() - 37), "")</f>
        <v/>
      </c>
      <c r="G4910" s="6" t="str" cm="1">
        <f t="array" ref="G4910">IFERROR(INDEX(EmployeeData[Join Date], ROW() - 37), "")</f>
        <v/>
      </c>
      <c r="H4910" s="6" t="str" cm="1">
        <f t="array" ref="H4910">IFERROR(IF(INDEX(EmployeeData[Exit Date], ROW() - 37)=0, "",INDEX(EmployeeData[Exit Date], ROW() - 37)),"")</f>
        <v/>
      </c>
      <c r="I4910" s="4" t="str" cm="1">
        <f t="array" ref="I4910">IFERROR(IF(INDEX(EmployeeData[Exit Reason], ROW() - 37)=0, "",INDEX(EmployeeData[Exit Reason], ROW() - 37)),"")</f>
        <v/>
      </c>
      <c r="J4910" s="4" t="str" cm="1">
        <f t="array" ref="J4910">IFERROR(INDEX(EmployeeData[Status], ROW() - 37), "")</f>
        <v/>
      </c>
    </row>
    <row r="4911" spans="2:10" ht="19.95" customHeight="1" x14ac:dyDescent="0.3">
      <c r="B4911" s="4" t="str" cm="1">
        <f t="array" ref="B4911">IFERROR(INDEX(EmployeeData[Employee ID], ROW() - 37), "")</f>
        <v/>
      </c>
      <c r="C4911" s="4" t="str" cm="1">
        <f t="array" ref="C4911">IFERROR(INDEX(EmployeeData[Full Name], ROW() - 37), "")</f>
        <v/>
      </c>
      <c r="D4911" s="4" t="str" cm="1">
        <f t="array" ref="D4911">IFERROR(INDEX(EmployeeData[Department], ROW() - 37), "")</f>
        <v/>
      </c>
      <c r="E4911" s="4" t="str" cm="1">
        <f t="array" ref="E4911">IFERROR(INDEX(EmployeeData[Gender], ROW() - 37), "")</f>
        <v/>
      </c>
      <c r="F4911" s="4" t="str" cm="1">
        <f t="array" ref="F4911">IFERROR(INDEX(EmployeeData[Age], ROW() - 37), "")</f>
        <v/>
      </c>
      <c r="G4911" s="6" t="str" cm="1">
        <f t="array" ref="G4911">IFERROR(INDEX(EmployeeData[Join Date], ROW() - 37), "")</f>
        <v/>
      </c>
      <c r="H4911" s="6" t="str" cm="1">
        <f t="array" ref="H4911">IFERROR(IF(INDEX(EmployeeData[Exit Date], ROW() - 37)=0, "",INDEX(EmployeeData[Exit Date], ROW() - 37)),"")</f>
        <v/>
      </c>
      <c r="I4911" s="4" t="str" cm="1">
        <f t="array" ref="I4911">IFERROR(IF(INDEX(EmployeeData[Exit Reason], ROW() - 37)=0, "",INDEX(EmployeeData[Exit Reason], ROW() - 37)),"")</f>
        <v/>
      </c>
      <c r="J4911" s="4" t="str" cm="1">
        <f t="array" ref="J4911">IFERROR(INDEX(EmployeeData[Status], ROW() - 37), "")</f>
        <v/>
      </c>
    </row>
    <row r="4912" spans="2:10" ht="19.95" customHeight="1" x14ac:dyDescent="0.3">
      <c r="B4912" s="4" t="str" cm="1">
        <f t="array" ref="B4912">IFERROR(INDEX(EmployeeData[Employee ID], ROW() - 37), "")</f>
        <v/>
      </c>
      <c r="C4912" s="4" t="str" cm="1">
        <f t="array" ref="C4912">IFERROR(INDEX(EmployeeData[Full Name], ROW() - 37), "")</f>
        <v/>
      </c>
      <c r="D4912" s="4" t="str" cm="1">
        <f t="array" ref="D4912">IFERROR(INDEX(EmployeeData[Department], ROW() - 37), "")</f>
        <v/>
      </c>
      <c r="E4912" s="4" t="str" cm="1">
        <f t="array" ref="E4912">IFERROR(INDEX(EmployeeData[Gender], ROW() - 37), "")</f>
        <v/>
      </c>
      <c r="F4912" s="4" t="str" cm="1">
        <f t="array" ref="F4912">IFERROR(INDEX(EmployeeData[Age], ROW() - 37), "")</f>
        <v/>
      </c>
      <c r="G4912" s="6" t="str" cm="1">
        <f t="array" ref="G4912">IFERROR(INDEX(EmployeeData[Join Date], ROW() - 37), "")</f>
        <v/>
      </c>
      <c r="H4912" s="6" t="str" cm="1">
        <f t="array" ref="H4912">IFERROR(IF(INDEX(EmployeeData[Exit Date], ROW() - 37)=0, "",INDEX(EmployeeData[Exit Date], ROW() - 37)),"")</f>
        <v/>
      </c>
      <c r="I4912" s="4" t="str" cm="1">
        <f t="array" ref="I4912">IFERROR(IF(INDEX(EmployeeData[Exit Reason], ROW() - 37)=0, "",INDEX(EmployeeData[Exit Reason], ROW() - 37)),"")</f>
        <v/>
      </c>
      <c r="J4912" s="4" t="str" cm="1">
        <f t="array" ref="J4912">IFERROR(INDEX(EmployeeData[Status], ROW() - 37), "")</f>
        <v/>
      </c>
    </row>
    <row r="4913" spans="2:10" ht="19.95" customHeight="1" x14ac:dyDescent="0.3">
      <c r="B4913" s="4" t="str" cm="1">
        <f t="array" ref="B4913">IFERROR(INDEX(EmployeeData[Employee ID], ROW() - 37), "")</f>
        <v/>
      </c>
      <c r="C4913" s="4" t="str" cm="1">
        <f t="array" ref="C4913">IFERROR(INDEX(EmployeeData[Full Name], ROW() - 37), "")</f>
        <v/>
      </c>
      <c r="D4913" s="4" t="str" cm="1">
        <f t="array" ref="D4913">IFERROR(INDEX(EmployeeData[Department], ROW() - 37), "")</f>
        <v/>
      </c>
      <c r="E4913" s="4" t="str" cm="1">
        <f t="array" ref="E4913">IFERROR(INDEX(EmployeeData[Gender], ROW() - 37), "")</f>
        <v/>
      </c>
      <c r="F4913" s="4" t="str" cm="1">
        <f t="array" ref="F4913">IFERROR(INDEX(EmployeeData[Age], ROW() - 37), "")</f>
        <v/>
      </c>
      <c r="G4913" s="6" t="str" cm="1">
        <f t="array" ref="G4913">IFERROR(INDEX(EmployeeData[Join Date], ROW() - 37), "")</f>
        <v/>
      </c>
      <c r="H4913" s="6" t="str" cm="1">
        <f t="array" ref="H4913">IFERROR(IF(INDEX(EmployeeData[Exit Date], ROW() - 37)=0, "",INDEX(EmployeeData[Exit Date], ROW() - 37)),"")</f>
        <v/>
      </c>
      <c r="I4913" s="4" t="str" cm="1">
        <f t="array" ref="I4913">IFERROR(IF(INDEX(EmployeeData[Exit Reason], ROW() - 37)=0, "",INDEX(EmployeeData[Exit Reason], ROW() - 37)),"")</f>
        <v/>
      </c>
      <c r="J4913" s="4" t="str" cm="1">
        <f t="array" ref="J4913">IFERROR(INDEX(EmployeeData[Status], ROW() - 37), "")</f>
        <v/>
      </c>
    </row>
    <row r="4914" spans="2:10" ht="19.95" customHeight="1" x14ac:dyDescent="0.3">
      <c r="B4914" s="4" t="str" cm="1">
        <f t="array" ref="B4914">IFERROR(INDEX(EmployeeData[Employee ID], ROW() - 37), "")</f>
        <v/>
      </c>
      <c r="C4914" s="4" t="str" cm="1">
        <f t="array" ref="C4914">IFERROR(INDEX(EmployeeData[Full Name], ROW() - 37), "")</f>
        <v/>
      </c>
      <c r="D4914" s="4" t="str" cm="1">
        <f t="array" ref="D4914">IFERROR(INDEX(EmployeeData[Department], ROW() - 37), "")</f>
        <v/>
      </c>
      <c r="E4914" s="4" t="str" cm="1">
        <f t="array" ref="E4914">IFERROR(INDEX(EmployeeData[Gender], ROW() - 37), "")</f>
        <v/>
      </c>
      <c r="F4914" s="4" t="str" cm="1">
        <f t="array" ref="F4914">IFERROR(INDEX(EmployeeData[Age], ROW() - 37), "")</f>
        <v/>
      </c>
      <c r="G4914" s="6" t="str" cm="1">
        <f t="array" ref="G4914">IFERROR(INDEX(EmployeeData[Join Date], ROW() - 37), "")</f>
        <v/>
      </c>
      <c r="H4914" s="6" t="str" cm="1">
        <f t="array" ref="H4914">IFERROR(IF(INDEX(EmployeeData[Exit Date], ROW() - 37)=0, "",INDEX(EmployeeData[Exit Date], ROW() - 37)),"")</f>
        <v/>
      </c>
      <c r="I4914" s="4" t="str" cm="1">
        <f t="array" ref="I4914">IFERROR(IF(INDEX(EmployeeData[Exit Reason], ROW() - 37)=0, "",INDEX(EmployeeData[Exit Reason], ROW() - 37)),"")</f>
        <v/>
      </c>
      <c r="J4914" s="4" t="str" cm="1">
        <f t="array" ref="J4914">IFERROR(INDEX(EmployeeData[Status], ROW() - 37), "")</f>
        <v/>
      </c>
    </row>
    <row r="4915" spans="2:10" ht="19.95" customHeight="1" x14ac:dyDescent="0.3">
      <c r="B4915" s="4" t="str" cm="1">
        <f t="array" ref="B4915">IFERROR(INDEX(EmployeeData[Employee ID], ROW() - 37), "")</f>
        <v/>
      </c>
      <c r="C4915" s="4" t="str" cm="1">
        <f t="array" ref="C4915">IFERROR(INDEX(EmployeeData[Full Name], ROW() - 37), "")</f>
        <v/>
      </c>
      <c r="D4915" s="4" t="str" cm="1">
        <f t="array" ref="D4915">IFERROR(INDEX(EmployeeData[Department], ROW() - 37), "")</f>
        <v/>
      </c>
      <c r="E4915" s="4" t="str" cm="1">
        <f t="array" ref="E4915">IFERROR(INDEX(EmployeeData[Gender], ROW() - 37), "")</f>
        <v/>
      </c>
      <c r="F4915" s="4" t="str" cm="1">
        <f t="array" ref="F4915">IFERROR(INDEX(EmployeeData[Age], ROW() - 37), "")</f>
        <v/>
      </c>
      <c r="G4915" s="6" t="str" cm="1">
        <f t="array" ref="G4915">IFERROR(INDEX(EmployeeData[Join Date], ROW() - 37), "")</f>
        <v/>
      </c>
      <c r="H4915" s="6" t="str" cm="1">
        <f t="array" ref="H4915">IFERROR(IF(INDEX(EmployeeData[Exit Date], ROW() - 37)=0, "",INDEX(EmployeeData[Exit Date], ROW() - 37)),"")</f>
        <v/>
      </c>
      <c r="I4915" s="4" t="str" cm="1">
        <f t="array" ref="I4915">IFERROR(IF(INDEX(EmployeeData[Exit Reason], ROW() - 37)=0, "",INDEX(EmployeeData[Exit Reason], ROW() - 37)),"")</f>
        <v/>
      </c>
      <c r="J4915" s="4" t="str" cm="1">
        <f t="array" ref="J4915">IFERROR(INDEX(EmployeeData[Status], ROW() - 37), "")</f>
        <v/>
      </c>
    </row>
    <row r="4916" spans="2:10" ht="19.95" customHeight="1" x14ac:dyDescent="0.3">
      <c r="B4916" s="4" t="str" cm="1">
        <f t="array" ref="B4916">IFERROR(INDEX(EmployeeData[Employee ID], ROW() - 37), "")</f>
        <v/>
      </c>
      <c r="C4916" s="4" t="str" cm="1">
        <f t="array" ref="C4916">IFERROR(INDEX(EmployeeData[Full Name], ROW() - 37), "")</f>
        <v/>
      </c>
      <c r="D4916" s="4" t="str" cm="1">
        <f t="array" ref="D4916">IFERROR(INDEX(EmployeeData[Department], ROW() - 37), "")</f>
        <v/>
      </c>
      <c r="E4916" s="4" t="str" cm="1">
        <f t="array" ref="E4916">IFERROR(INDEX(EmployeeData[Gender], ROW() - 37), "")</f>
        <v/>
      </c>
      <c r="F4916" s="4" t="str" cm="1">
        <f t="array" ref="F4916">IFERROR(INDEX(EmployeeData[Age], ROW() - 37), "")</f>
        <v/>
      </c>
      <c r="G4916" s="6" t="str" cm="1">
        <f t="array" ref="G4916">IFERROR(INDEX(EmployeeData[Join Date], ROW() - 37), "")</f>
        <v/>
      </c>
      <c r="H4916" s="6" t="str" cm="1">
        <f t="array" ref="H4916">IFERROR(IF(INDEX(EmployeeData[Exit Date], ROW() - 37)=0, "",INDEX(EmployeeData[Exit Date], ROW() - 37)),"")</f>
        <v/>
      </c>
      <c r="I4916" s="4" t="str" cm="1">
        <f t="array" ref="I4916">IFERROR(IF(INDEX(EmployeeData[Exit Reason], ROW() - 37)=0, "",INDEX(EmployeeData[Exit Reason], ROW() - 37)),"")</f>
        <v/>
      </c>
      <c r="J4916" s="4" t="str" cm="1">
        <f t="array" ref="J4916">IFERROR(INDEX(EmployeeData[Status], ROW() - 37), "")</f>
        <v/>
      </c>
    </row>
    <row r="4917" spans="2:10" ht="19.95" customHeight="1" x14ac:dyDescent="0.3">
      <c r="B4917" s="4" t="str" cm="1">
        <f t="array" ref="B4917">IFERROR(INDEX(EmployeeData[Employee ID], ROW() - 37), "")</f>
        <v/>
      </c>
      <c r="C4917" s="4" t="str" cm="1">
        <f t="array" ref="C4917">IFERROR(INDEX(EmployeeData[Full Name], ROW() - 37), "")</f>
        <v/>
      </c>
      <c r="D4917" s="4" t="str" cm="1">
        <f t="array" ref="D4917">IFERROR(INDEX(EmployeeData[Department], ROW() - 37), "")</f>
        <v/>
      </c>
      <c r="E4917" s="4" t="str" cm="1">
        <f t="array" ref="E4917">IFERROR(INDEX(EmployeeData[Gender], ROW() - 37), "")</f>
        <v/>
      </c>
      <c r="F4917" s="4" t="str" cm="1">
        <f t="array" ref="F4917">IFERROR(INDEX(EmployeeData[Age], ROW() - 37), "")</f>
        <v/>
      </c>
      <c r="G4917" s="6" t="str" cm="1">
        <f t="array" ref="G4917">IFERROR(INDEX(EmployeeData[Join Date], ROW() - 37), "")</f>
        <v/>
      </c>
      <c r="H4917" s="6" t="str" cm="1">
        <f t="array" ref="H4917">IFERROR(IF(INDEX(EmployeeData[Exit Date], ROW() - 37)=0, "",INDEX(EmployeeData[Exit Date], ROW() - 37)),"")</f>
        <v/>
      </c>
      <c r="I4917" s="4" t="str" cm="1">
        <f t="array" ref="I4917">IFERROR(IF(INDEX(EmployeeData[Exit Reason], ROW() - 37)=0, "",INDEX(EmployeeData[Exit Reason], ROW() - 37)),"")</f>
        <v/>
      </c>
      <c r="J4917" s="4" t="str" cm="1">
        <f t="array" ref="J4917">IFERROR(INDEX(EmployeeData[Status], ROW() - 37), "")</f>
        <v/>
      </c>
    </row>
    <row r="4918" spans="2:10" ht="19.95" customHeight="1" x14ac:dyDescent="0.3">
      <c r="B4918" s="4" t="str" cm="1">
        <f t="array" ref="B4918">IFERROR(INDEX(EmployeeData[Employee ID], ROW() - 37), "")</f>
        <v/>
      </c>
      <c r="C4918" s="4" t="str" cm="1">
        <f t="array" ref="C4918">IFERROR(INDEX(EmployeeData[Full Name], ROW() - 37), "")</f>
        <v/>
      </c>
      <c r="D4918" s="4" t="str" cm="1">
        <f t="array" ref="D4918">IFERROR(INDEX(EmployeeData[Department], ROW() - 37), "")</f>
        <v/>
      </c>
      <c r="E4918" s="4" t="str" cm="1">
        <f t="array" ref="E4918">IFERROR(INDEX(EmployeeData[Gender], ROW() - 37), "")</f>
        <v/>
      </c>
      <c r="F4918" s="4" t="str" cm="1">
        <f t="array" ref="F4918">IFERROR(INDEX(EmployeeData[Age], ROW() - 37), "")</f>
        <v/>
      </c>
      <c r="G4918" s="6" t="str" cm="1">
        <f t="array" ref="G4918">IFERROR(INDEX(EmployeeData[Join Date], ROW() - 37), "")</f>
        <v/>
      </c>
      <c r="H4918" s="6" t="str" cm="1">
        <f t="array" ref="H4918">IFERROR(IF(INDEX(EmployeeData[Exit Date], ROW() - 37)=0, "",INDEX(EmployeeData[Exit Date], ROW() - 37)),"")</f>
        <v/>
      </c>
      <c r="I4918" s="4" t="str" cm="1">
        <f t="array" ref="I4918">IFERROR(IF(INDEX(EmployeeData[Exit Reason], ROW() - 37)=0, "",INDEX(EmployeeData[Exit Reason], ROW() - 37)),"")</f>
        <v/>
      </c>
      <c r="J4918" s="4" t="str" cm="1">
        <f t="array" ref="J4918">IFERROR(INDEX(EmployeeData[Status], ROW() - 37), "")</f>
        <v/>
      </c>
    </row>
    <row r="4919" spans="2:10" ht="19.95" customHeight="1" x14ac:dyDescent="0.3">
      <c r="B4919" s="4" t="str" cm="1">
        <f t="array" ref="B4919">IFERROR(INDEX(EmployeeData[Employee ID], ROW() - 37), "")</f>
        <v/>
      </c>
      <c r="C4919" s="4" t="str" cm="1">
        <f t="array" ref="C4919">IFERROR(INDEX(EmployeeData[Full Name], ROW() - 37), "")</f>
        <v/>
      </c>
      <c r="D4919" s="4" t="str" cm="1">
        <f t="array" ref="D4919">IFERROR(INDEX(EmployeeData[Department], ROW() - 37), "")</f>
        <v/>
      </c>
      <c r="E4919" s="4" t="str" cm="1">
        <f t="array" ref="E4919">IFERROR(INDEX(EmployeeData[Gender], ROW() - 37), "")</f>
        <v/>
      </c>
      <c r="F4919" s="4" t="str" cm="1">
        <f t="array" ref="F4919">IFERROR(INDEX(EmployeeData[Age], ROW() - 37), "")</f>
        <v/>
      </c>
      <c r="G4919" s="6" t="str" cm="1">
        <f t="array" ref="G4919">IFERROR(INDEX(EmployeeData[Join Date], ROW() - 37), "")</f>
        <v/>
      </c>
      <c r="H4919" s="6" t="str" cm="1">
        <f t="array" ref="H4919">IFERROR(IF(INDEX(EmployeeData[Exit Date], ROW() - 37)=0, "",INDEX(EmployeeData[Exit Date], ROW() - 37)),"")</f>
        <v/>
      </c>
      <c r="I4919" s="4" t="str" cm="1">
        <f t="array" ref="I4919">IFERROR(IF(INDEX(EmployeeData[Exit Reason], ROW() - 37)=0, "",INDEX(EmployeeData[Exit Reason], ROW() - 37)),"")</f>
        <v/>
      </c>
      <c r="J4919" s="4" t="str" cm="1">
        <f t="array" ref="J4919">IFERROR(INDEX(EmployeeData[Status], ROW() - 37), "")</f>
        <v/>
      </c>
    </row>
    <row r="4920" spans="2:10" ht="19.95" customHeight="1" x14ac:dyDescent="0.3">
      <c r="B4920" s="4" t="str" cm="1">
        <f t="array" ref="B4920">IFERROR(INDEX(EmployeeData[Employee ID], ROW() - 37), "")</f>
        <v/>
      </c>
      <c r="C4920" s="4" t="str" cm="1">
        <f t="array" ref="C4920">IFERROR(INDEX(EmployeeData[Full Name], ROW() - 37), "")</f>
        <v/>
      </c>
      <c r="D4920" s="4" t="str" cm="1">
        <f t="array" ref="D4920">IFERROR(INDEX(EmployeeData[Department], ROW() - 37), "")</f>
        <v/>
      </c>
      <c r="E4920" s="4" t="str" cm="1">
        <f t="array" ref="E4920">IFERROR(INDEX(EmployeeData[Gender], ROW() - 37), "")</f>
        <v/>
      </c>
      <c r="F4920" s="4" t="str" cm="1">
        <f t="array" ref="F4920">IFERROR(INDEX(EmployeeData[Age], ROW() - 37), "")</f>
        <v/>
      </c>
      <c r="G4920" s="6" t="str" cm="1">
        <f t="array" ref="G4920">IFERROR(INDEX(EmployeeData[Join Date], ROW() - 37), "")</f>
        <v/>
      </c>
      <c r="H4920" s="6" t="str" cm="1">
        <f t="array" ref="H4920">IFERROR(IF(INDEX(EmployeeData[Exit Date], ROW() - 37)=0, "",INDEX(EmployeeData[Exit Date], ROW() - 37)),"")</f>
        <v/>
      </c>
      <c r="I4920" s="4" t="str" cm="1">
        <f t="array" ref="I4920">IFERROR(IF(INDEX(EmployeeData[Exit Reason], ROW() - 37)=0, "",INDEX(EmployeeData[Exit Reason], ROW() - 37)),"")</f>
        <v/>
      </c>
      <c r="J4920" s="4" t="str" cm="1">
        <f t="array" ref="J4920">IFERROR(INDEX(EmployeeData[Status], ROW() - 37), "")</f>
        <v/>
      </c>
    </row>
    <row r="4921" spans="2:10" ht="19.95" customHeight="1" x14ac:dyDescent="0.3">
      <c r="B4921" s="4" t="str" cm="1">
        <f t="array" ref="B4921">IFERROR(INDEX(EmployeeData[Employee ID], ROW() - 37), "")</f>
        <v/>
      </c>
      <c r="C4921" s="4" t="str" cm="1">
        <f t="array" ref="C4921">IFERROR(INDEX(EmployeeData[Full Name], ROW() - 37), "")</f>
        <v/>
      </c>
      <c r="D4921" s="4" t="str" cm="1">
        <f t="array" ref="D4921">IFERROR(INDEX(EmployeeData[Department], ROW() - 37), "")</f>
        <v/>
      </c>
      <c r="E4921" s="4" t="str" cm="1">
        <f t="array" ref="E4921">IFERROR(INDEX(EmployeeData[Gender], ROW() - 37), "")</f>
        <v/>
      </c>
      <c r="F4921" s="4" t="str" cm="1">
        <f t="array" ref="F4921">IFERROR(INDEX(EmployeeData[Age], ROW() - 37), "")</f>
        <v/>
      </c>
      <c r="G4921" s="6" t="str" cm="1">
        <f t="array" ref="G4921">IFERROR(INDEX(EmployeeData[Join Date], ROW() - 37), "")</f>
        <v/>
      </c>
      <c r="H4921" s="6" t="str" cm="1">
        <f t="array" ref="H4921">IFERROR(IF(INDEX(EmployeeData[Exit Date], ROW() - 37)=0, "",INDEX(EmployeeData[Exit Date], ROW() - 37)),"")</f>
        <v/>
      </c>
      <c r="I4921" s="4" t="str" cm="1">
        <f t="array" ref="I4921">IFERROR(IF(INDEX(EmployeeData[Exit Reason], ROW() - 37)=0, "",INDEX(EmployeeData[Exit Reason], ROW() - 37)),"")</f>
        <v/>
      </c>
      <c r="J4921" s="4" t="str" cm="1">
        <f t="array" ref="J4921">IFERROR(INDEX(EmployeeData[Status], ROW() - 37), "")</f>
        <v/>
      </c>
    </row>
    <row r="4922" spans="2:10" ht="19.95" customHeight="1" x14ac:dyDescent="0.3">
      <c r="B4922" s="4" t="str" cm="1">
        <f t="array" ref="B4922">IFERROR(INDEX(EmployeeData[Employee ID], ROW() - 37), "")</f>
        <v/>
      </c>
      <c r="C4922" s="4" t="str" cm="1">
        <f t="array" ref="C4922">IFERROR(INDEX(EmployeeData[Full Name], ROW() - 37), "")</f>
        <v/>
      </c>
      <c r="D4922" s="4" t="str" cm="1">
        <f t="array" ref="D4922">IFERROR(INDEX(EmployeeData[Department], ROW() - 37), "")</f>
        <v/>
      </c>
      <c r="E4922" s="4" t="str" cm="1">
        <f t="array" ref="E4922">IFERROR(INDEX(EmployeeData[Gender], ROW() - 37), "")</f>
        <v/>
      </c>
      <c r="F4922" s="4" t="str" cm="1">
        <f t="array" ref="F4922">IFERROR(INDEX(EmployeeData[Age], ROW() - 37), "")</f>
        <v/>
      </c>
      <c r="G4922" s="6" t="str" cm="1">
        <f t="array" ref="G4922">IFERROR(INDEX(EmployeeData[Join Date], ROW() - 37), "")</f>
        <v/>
      </c>
      <c r="H4922" s="6" t="str" cm="1">
        <f t="array" ref="H4922">IFERROR(IF(INDEX(EmployeeData[Exit Date], ROW() - 37)=0, "",INDEX(EmployeeData[Exit Date], ROW() - 37)),"")</f>
        <v/>
      </c>
      <c r="I4922" s="4" t="str" cm="1">
        <f t="array" ref="I4922">IFERROR(IF(INDEX(EmployeeData[Exit Reason], ROW() - 37)=0, "",INDEX(EmployeeData[Exit Reason], ROW() - 37)),"")</f>
        <v/>
      </c>
      <c r="J4922" s="4" t="str" cm="1">
        <f t="array" ref="J4922">IFERROR(INDEX(EmployeeData[Status], ROW() - 37), "")</f>
        <v/>
      </c>
    </row>
    <row r="4923" spans="2:10" ht="19.95" customHeight="1" x14ac:dyDescent="0.3">
      <c r="B4923" s="4" t="str" cm="1">
        <f t="array" ref="B4923">IFERROR(INDEX(EmployeeData[Employee ID], ROW() - 37), "")</f>
        <v/>
      </c>
      <c r="C4923" s="4" t="str" cm="1">
        <f t="array" ref="C4923">IFERROR(INDEX(EmployeeData[Full Name], ROW() - 37), "")</f>
        <v/>
      </c>
      <c r="D4923" s="4" t="str" cm="1">
        <f t="array" ref="D4923">IFERROR(INDEX(EmployeeData[Department], ROW() - 37), "")</f>
        <v/>
      </c>
      <c r="E4923" s="4" t="str" cm="1">
        <f t="array" ref="E4923">IFERROR(INDEX(EmployeeData[Gender], ROW() - 37), "")</f>
        <v/>
      </c>
      <c r="F4923" s="4" t="str" cm="1">
        <f t="array" ref="F4923">IFERROR(INDEX(EmployeeData[Age], ROW() - 37), "")</f>
        <v/>
      </c>
      <c r="G4923" s="6" t="str" cm="1">
        <f t="array" ref="G4923">IFERROR(INDEX(EmployeeData[Join Date], ROW() - 37), "")</f>
        <v/>
      </c>
      <c r="H4923" s="6" t="str" cm="1">
        <f t="array" ref="H4923">IFERROR(IF(INDEX(EmployeeData[Exit Date], ROW() - 37)=0, "",INDEX(EmployeeData[Exit Date], ROW() - 37)),"")</f>
        <v/>
      </c>
      <c r="I4923" s="4" t="str" cm="1">
        <f t="array" ref="I4923">IFERROR(IF(INDEX(EmployeeData[Exit Reason], ROW() - 37)=0, "",INDEX(EmployeeData[Exit Reason], ROW() - 37)),"")</f>
        <v/>
      </c>
      <c r="J4923" s="4" t="str" cm="1">
        <f t="array" ref="J4923">IFERROR(INDEX(EmployeeData[Status], ROW() - 37), "")</f>
        <v/>
      </c>
    </row>
    <row r="4924" spans="2:10" ht="19.95" customHeight="1" x14ac:dyDescent="0.3">
      <c r="B4924" s="4" t="str" cm="1">
        <f t="array" ref="B4924">IFERROR(INDEX(EmployeeData[Employee ID], ROW() - 37), "")</f>
        <v/>
      </c>
      <c r="C4924" s="4" t="str" cm="1">
        <f t="array" ref="C4924">IFERROR(INDEX(EmployeeData[Full Name], ROW() - 37), "")</f>
        <v/>
      </c>
      <c r="D4924" s="4" t="str" cm="1">
        <f t="array" ref="D4924">IFERROR(INDEX(EmployeeData[Department], ROW() - 37), "")</f>
        <v/>
      </c>
      <c r="E4924" s="4" t="str" cm="1">
        <f t="array" ref="E4924">IFERROR(INDEX(EmployeeData[Gender], ROW() - 37), "")</f>
        <v/>
      </c>
      <c r="F4924" s="4" t="str" cm="1">
        <f t="array" ref="F4924">IFERROR(INDEX(EmployeeData[Age], ROW() - 37), "")</f>
        <v/>
      </c>
      <c r="G4924" s="6" t="str" cm="1">
        <f t="array" ref="G4924">IFERROR(INDEX(EmployeeData[Join Date], ROW() - 37), "")</f>
        <v/>
      </c>
      <c r="H4924" s="6" t="str" cm="1">
        <f t="array" ref="H4924">IFERROR(IF(INDEX(EmployeeData[Exit Date], ROW() - 37)=0, "",INDEX(EmployeeData[Exit Date], ROW() - 37)),"")</f>
        <v/>
      </c>
      <c r="I4924" s="4" t="str" cm="1">
        <f t="array" ref="I4924">IFERROR(IF(INDEX(EmployeeData[Exit Reason], ROW() - 37)=0, "",INDEX(EmployeeData[Exit Reason], ROW() - 37)),"")</f>
        <v/>
      </c>
      <c r="J4924" s="4" t="str" cm="1">
        <f t="array" ref="J4924">IFERROR(INDEX(EmployeeData[Status], ROW() - 37), "")</f>
        <v/>
      </c>
    </row>
    <row r="4925" spans="2:10" ht="19.95" customHeight="1" x14ac:dyDescent="0.3">
      <c r="B4925" s="4" t="str" cm="1">
        <f t="array" ref="B4925">IFERROR(INDEX(EmployeeData[Employee ID], ROW() - 37), "")</f>
        <v/>
      </c>
      <c r="C4925" s="4" t="str" cm="1">
        <f t="array" ref="C4925">IFERROR(INDEX(EmployeeData[Full Name], ROW() - 37), "")</f>
        <v/>
      </c>
      <c r="D4925" s="4" t="str" cm="1">
        <f t="array" ref="D4925">IFERROR(INDEX(EmployeeData[Department], ROW() - 37), "")</f>
        <v/>
      </c>
      <c r="E4925" s="4" t="str" cm="1">
        <f t="array" ref="E4925">IFERROR(INDEX(EmployeeData[Gender], ROW() - 37), "")</f>
        <v/>
      </c>
      <c r="F4925" s="4" t="str" cm="1">
        <f t="array" ref="F4925">IFERROR(INDEX(EmployeeData[Age], ROW() - 37), "")</f>
        <v/>
      </c>
      <c r="G4925" s="6" t="str" cm="1">
        <f t="array" ref="G4925">IFERROR(INDEX(EmployeeData[Join Date], ROW() - 37), "")</f>
        <v/>
      </c>
      <c r="H4925" s="6" t="str" cm="1">
        <f t="array" ref="H4925">IFERROR(IF(INDEX(EmployeeData[Exit Date], ROW() - 37)=0, "",INDEX(EmployeeData[Exit Date], ROW() - 37)),"")</f>
        <v/>
      </c>
      <c r="I4925" s="4" t="str" cm="1">
        <f t="array" ref="I4925">IFERROR(IF(INDEX(EmployeeData[Exit Reason], ROW() - 37)=0, "",INDEX(EmployeeData[Exit Reason], ROW() - 37)),"")</f>
        <v/>
      </c>
      <c r="J4925" s="4" t="str" cm="1">
        <f t="array" ref="J4925">IFERROR(INDEX(EmployeeData[Status], ROW() - 37), "")</f>
        <v/>
      </c>
    </row>
    <row r="4926" spans="2:10" ht="19.95" customHeight="1" x14ac:dyDescent="0.3">
      <c r="B4926" s="4" t="str" cm="1">
        <f t="array" ref="B4926">IFERROR(INDEX(EmployeeData[Employee ID], ROW() - 37), "")</f>
        <v/>
      </c>
      <c r="C4926" s="4" t="str" cm="1">
        <f t="array" ref="C4926">IFERROR(INDEX(EmployeeData[Full Name], ROW() - 37), "")</f>
        <v/>
      </c>
      <c r="D4926" s="4" t="str" cm="1">
        <f t="array" ref="D4926">IFERROR(INDEX(EmployeeData[Department], ROW() - 37), "")</f>
        <v/>
      </c>
      <c r="E4926" s="4" t="str" cm="1">
        <f t="array" ref="E4926">IFERROR(INDEX(EmployeeData[Gender], ROW() - 37), "")</f>
        <v/>
      </c>
      <c r="F4926" s="4" t="str" cm="1">
        <f t="array" ref="F4926">IFERROR(INDEX(EmployeeData[Age], ROW() - 37), "")</f>
        <v/>
      </c>
      <c r="G4926" s="6" t="str" cm="1">
        <f t="array" ref="G4926">IFERROR(INDEX(EmployeeData[Join Date], ROW() - 37), "")</f>
        <v/>
      </c>
      <c r="H4926" s="6" t="str" cm="1">
        <f t="array" ref="H4926">IFERROR(IF(INDEX(EmployeeData[Exit Date], ROW() - 37)=0, "",INDEX(EmployeeData[Exit Date], ROW() - 37)),"")</f>
        <v/>
      </c>
      <c r="I4926" s="4" t="str" cm="1">
        <f t="array" ref="I4926">IFERROR(IF(INDEX(EmployeeData[Exit Reason], ROW() - 37)=0, "",INDEX(EmployeeData[Exit Reason], ROW() - 37)),"")</f>
        <v/>
      </c>
      <c r="J4926" s="4" t="str" cm="1">
        <f t="array" ref="J4926">IFERROR(INDEX(EmployeeData[Status], ROW() - 37), "")</f>
        <v/>
      </c>
    </row>
    <row r="4927" spans="2:10" ht="19.95" customHeight="1" x14ac:dyDescent="0.3">
      <c r="B4927" s="4" t="str" cm="1">
        <f t="array" ref="B4927">IFERROR(INDEX(EmployeeData[Employee ID], ROW() - 37), "")</f>
        <v/>
      </c>
      <c r="C4927" s="4" t="str" cm="1">
        <f t="array" ref="C4927">IFERROR(INDEX(EmployeeData[Full Name], ROW() - 37), "")</f>
        <v/>
      </c>
      <c r="D4927" s="4" t="str" cm="1">
        <f t="array" ref="D4927">IFERROR(INDEX(EmployeeData[Department], ROW() - 37), "")</f>
        <v/>
      </c>
      <c r="E4927" s="4" t="str" cm="1">
        <f t="array" ref="E4927">IFERROR(INDEX(EmployeeData[Gender], ROW() - 37), "")</f>
        <v/>
      </c>
      <c r="F4927" s="4" t="str" cm="1">
        <f t="array" ref="F4927">IFERROR(INDEX(EmployeeData[Age], ROW() - 37), "")</f>
        <v/>
      </c>
      <c r="G4927" s="6" t="str" cm="1">
        <f t="array" ref="G4927">IFERROR(INDEX(EmployeeData[Join Date], ROW() - 37), "")</f>
        <v/>
      </c>
      <c r="H4927" s="6" t="str" cm="1">
        <f t="array" ref="H4927">IFERROR(IF(INDEX(EmployeeData[Exit Date], ROW() - 37)=0, "",INDEX(EmployeeData[Exit Date], ROW() - 37)),"")</f>
        <v/>
      </c>
      <c r="I4927" s="4" t="str" cm="1">
        <f t="array" ref="I4927">IFERROR(IF(INDEX(EmployeeData[Exit Reason], ROW() - 37)=0, "",INDEX(EmployeeData[Exit Reason], ROW() - 37)),"")</f>
        <v/>
      </c>
      <c r="J4927" s="4" t="str" cm="1">
        <f t="array" ref="J4927">IFERROR(INDEX(EmployeeData[Status], ROW() - 37), "")</f>
        <v/>
      </c>
    </row>
    <row r="4928" spans="2:10" ht="19.95" customHeight="1" x14ac:dyDescent="0.3">
      <c r="B4928" s="4" t="str" cm="1">
        <f t="array" ref="B4928">IFERROR(INDEX(EmployeeData[Employee ID], ROW() - 37), "")</f>
        <v/>
      </c>
      <c r="C4928" s="4" t="str" cm="1">
        <f t="array" ref="C4928">IFERROR(INDEX(EmployeeData[Full Name], ROW() - 37), "")</f>
        <v/>
      </c>
      <c r="D4928" s="4" t="str" cm="1">
        <f t="array" ref="D4928">IFERROR(INDEX(EmployeeData[Department], ROW() - 37), "")</f>
        <v/>
      </c>
      <c r="E4928" s="4" t="str" cm="1">
        <f t="array" ref="E4928">IFERROR(INDEX(EmployeeData[Gender], ROW() - 37), "")</f>
        <v/>
      </c>
      <c r="F4928" s="4" t="str" cm="1">
        <f t="array" ref="F4928">IFERROR(INDEX(EmployeeData[Age], ROW() - 37), "")</f>
        <v/>
      </c>
      <c r="G4928" s="6" t="str" cm="1">
        <f t="array" ref="G4928">IFERROR(INDEX(EmployeeData[Join Date], ROW() - 37), "")</f>
        <v/>
      </c>
      <c r="H4928" s="6" t="str" cm="1">
        <f t="array" ref="H4928">IFERROR(IF(INDEX(EmployeeData[Exit Date], ROW() - 37)=0, "",INDEX(EmployeeData[Exit Date], ROW() - 37)),"")</f>
        <v/>
      </c>
      <c r="I4928" s="4" t="str" cm="1">
        <f t="array" ref="I4928">IFERROR(IF(INDEX(EmployeeData[Exit Reason], ROW() - 37)=0, "",INDEX(EmployeeData[Exit Reason], ROW() - 37)),"")</f>
        <v/>
      </c>
      <c r="J4928" s="4" t="str" cm="1">
        <f t="array" ref="J4928">IFERROR(INDEX(EmployeeData[Status], ROW() - 37), "")</f>
        <v/>
      </c>
    </row>
    <row r="4929" spans="2:10" ht="19.95" customHeight="1" x14ac:dyDescent="0.3">
      <c r="B4929" s="4" t="str" cm="1">
        <f t="array" ref="B4929">IFERROR(INDEX(EmployeeData[Employee ID], ROW() - 37), "")</f>
        <v/>
      </c>
      <c r="C4929" s="4" t="str" cm="1">
        <f t="array" ref="C4929">IFERROR(INDEX(EmployeeData[Full Name], ROW() - 37), "")</f>
        <v/>
      </c>
      <c r="D4929" s="4" t="str" cm="1">
        <f t="array" ref="D4929">IFERROR(INDEX(EmployeeData[Department], ROW() - 37), "")</f>
        <v/>
      </c>
      <c r="E4929" s="4" t="str" cm="1">
        <f t="array" ref="E4929">IFERROR(INDEX(EmployeeData[Gender], ROW() - 37), "")</f>
        <v/>
      </c>
      <c r="F4929" s="4" t="str" cm="1">
        <f t="array" ref="F4929">IFERROR(INDEX(EmployeeData[Age], ROW() - 37), "")</f>
        <v/>
      </c>
      <c r="G4929" s="6" t="str" cm="1">
        <f t="array" ref="G4929">IFERROR(INDEX(EmployeeData[Join Date], ROW() - 37), "")</f>
        <v/>
      </c>
      <c r="H4929" s="6" t="str" cm="1">
        <f t="array" ref="H4929">IFERROR(IF(INDEX(EmployeeData[Exit Date], ROW() - 37)=0, "",INDEX(EmployeeData[Exit Date], ROW() - 37)),"")</f>
        <v/>
      </c>
      <c r="I4929" s="4" t="str" cm="1">
        <f t="array" ref="I4929">IFERROR(IF(INDEX(EmployeeData[Exit Reason], ROW() - 37)=0, "",INDEX(EmployeeData[Exit Reason], ROW() - 37)),"")</f>
        <v/>
      </c>
      <c r="J4929" s="4" t="str" cm="1">
        <f t="array" ref="J4929">IFERROR(INDEX(EmployeeData[Status], ROW() - 37), "")</f>
        <v/>
      </c>
    </row>
    <row r="4930" spans="2:10" ht="19.95" customHeight="1" x14ac:dyDescent="0.3">
      <c r="B4930" s="4" t="str" cm="1">
        <f t="array" ref="B4930">IFERROR(INDEX(EmployeeData[Employee ID], ROW() - 37), "")</f>
        <v/>
      </c>
      <c r="C4930" s="4" t="str" cm="1">
        <f t="array" ref="C4930">IFERROR(INDEX(EmployeeData[Full Name], ROW() - 37), "")</f>
        <v/>
      </c>
      <c r="D4930" s="4" t="str" cm="1">
        <f t="array" ref="D4930">IFERROR(INDEX(EmployeeData[Department], ROW() - 37), "")</f>
        <v/>
      </c>
      <c r="E4930" s="4" t="str" cm="1">
        <f t="array" ref="E4930">IFERROR(INDEX(EmployeeData[Gender], ROW() - 37), "")</f>
        <v/>
      </c>
      <c r="F4930" s="4" t="str" cm="1">
        <f t="array" ref="F4930">IFERROR(INDEX(EmployeeData[Age], ROW() - 37), "")</f>
        <v/>
      </c>
      <c r="G4930" s="6" t="str" cm="1">
        <f t="array" ref="G4930">IFERROR(INDEX(EmployeeData[Join Date], ROW() - 37), "")</f>
        <v/>
      </c>
      <c r="H4930" s="6" t="str" cm="1">
        <f t="array" ref="H4930">IFERROR(IF(INDEX(EmployeeData[Exit Date], ROW() - 37)=0, "",INDEX(EmployeeData[Exit Date], ROW() - 37)),"")</f>
        <v/>
      </c>
      <c r="I4930" s="4" t="str" cm="1">
        <f t="array" ref="I4930">IFERROR(IF(INDEX(EmployeeData[Exit Reason], ROW() - 37)=0, "",INDEX(EmployeeData[Exit Reason], ROW() - 37)),"")</f>
        <v/>
      </c>
      <c r="J4930" s="4" t="str" cm="1">
        <f t="array" ref="J4930">IFERROR(INDEX(EmployeeData[Status], ROW() - 37), "")</f>
        <v/>
      </c>
    </row>
    <row r="4931" spans="2:10" ht="19.95" customHeight="1" x14ac:dyDescent="0.3">
      <c r="B4931" s="4" t="str" cm="1">
        <f t="array" ref="B4931">IFERROR(INDEX(EmployeeData[Employee ID], ROW() - 37), "")</f>
        <v/>
      </c>
      <c r="C4931" s="4" t="str" cm="1">
        <f t="array" ref="C4931">IFERROR(INDEX(EmployeeData[Full Name], ROW() - 37), "")</f>
        <v/>
      </c>
      <c r="D4931" s="4" t="str" cm="1">
        <f t="array" ref="D4931">IFERROR(INDEX(EmployeeData[Department], ROW() - 37), "")</f>
        <v/>
      </c>
      <c r="E4931" s="4" t="str" cm="1">
        <f t="array" ref="E4931">IFERROR(INDEX(EmployeeData[Gender], ROW() - 37), "")</f>
        <v/>
      </c>
      <c r="F4931" s="4" t="str" cm="1">
        <f t="array" ref="F4931">IFERROR(INDEX(EmployeeData[Age], ROW() - 37), "")</f>
        <v/>
      </c>
      <c r="G4931" s="6" t="str" cm="1">
        <f t="array" ref="G4931">IFERROR(INDEX(EmployeeData[Join Date], ROW() - 37), "")</f>
        <v/>
      </c>
      <c r="H4931" s="6" t="str" cm="1">
        <f t="array" ref="H4931">IFERROR(IF(INDEX(EmployeeData[Exit Date], ROW() - 37)=0, "",INDEX(EmployeeData[Exit Date], ROW() - 37)),"")</f>
        <v/>
      </c>
      <c r="I4931" s="4" t="str" cm="1">
        <f t="array" ref="I4931">IFERROR(IF(INDEX(EmployeeData[Exit Reason], ROW() - 37)=0, "",INDEX(EmployeeData[Exit Reason], ROW() - 37)),"")</f>
        <v/>
      </c>
      <c r="J4931" s="4" t="str" cm="1">
        <f t="array" ref="J4931">IFERROR(INDEX(EmployeeData[Status], ROW() - 37), "")</f>
        <v/>
      </c>
    </row>
    <row r="4932" spans="2:10" ht="19.95" customHeight="1" x14ac:dyDescent="0.3">
      <c r="B4932" s="4" t="str" cm="1">
        <f t="array" ref="B4932">IFERROR(INDEX(EmployeeData[Employee ID], ROW() - 37), "")</f>
        <v/>
      </c>
      <c r="C4932" s="4" t="str" cm="1">
        <f t="array" ref="C4932">IFERROR(INDEX(EmployeeData[Full Name], ROW() - 37), "")</f>
        <v/>
      </c>
      <c r="D4932" s="4" t="str" cm="1">
        <f t="array" ref="D4932">IFERROR(INDEX(EmployeeData[Department], ROW() - 37), "")</f>
        <v/>
      </c>
      <c r="E4932" s="4" t="str" cm="1">
        <f t="array" ref="E4932">IFERROR(INDEX(EmployeeData[Gender], ROW() - 37), "")</f>
        <v/>
      </c>
      <c r="F4932" s="4" t="str" cm="1">
        <f t="array" ref="F4932">IFERROR(INDEX(EmployeeData[Age], ROW() - 37), "")</f>
        <v/>
      </c>
      <c r="G4932" s="6" t="str" cm="1">
        <f t="array" ref="G4932">IFERROR(INDEX(EmployeeData[Join Date], ROW() - 37), "")</f>
        <v/>
      </c>
      <c r="H4932" s="6" t="str" cm="1">
        <f t="array" ref="H4932">IFERROR(IF(INDEX(EmployeeData[Exit Date], ROW() - 37)=0, "",INDEX(EmployeeData[Exit Date], ROW() - 37)),"")</f>
        <v/>
      </c>
      <c r="I4932" s="4" t="str" cm="1">
        <f t="array" ref="I4932">IFERROR(IF(INDEX(EmployeeData[Exit Reason], ROW() - 37)=0, "",INDEX(EmployeeData[Exit Reason], ROW() - 37)),"")</f>
        <v/>
      </c>
      <c r="J4932" s="4" t="str" cm="1">
        <f t="array" ref="J4932">IFERROR(INDEX(EmployeeData[Status], ROW() - 37), "")</f>
        <v/>
      </c>
    </row>
    <row r="4933" spans="2:10" ht="19.95" customHeight="1" x14ac:dyDescent="0.3">
      <c r="B4933" s="4" t="str" cm="1">
        <f t="array" ref="B4933">IFERROR(INDEX(EmployeeData[Employee ID], ROW() - 37), "")</f>
        <v/>
      </c>
      <c r="C4933" s="4" t="str" cm="1">
        <f t="array" ref="C4933">IFERROR(INDEX(EmployeeData[Full Name], ROW() - 37), "")</f>
        <v/>
      </c>
      <c r="D4933" s="4" t="str" cm="1">
        <f t="array" ref="D4933">IFERROR(INDEX(EmployeeData[Department], ROW() - 37), "")</f>
        <v/>
      </c>
      <c r="E4933" s="4" t="str" cm="1">
        <f t="array" ref="E4933">IFERROR(INDEX(EmployeeData[Gender], ROW() - 37), "")</f>
        <v/>
      </c>
      <c r="F4933" s="4" t="str" cm="1">
        <f t="array" ref="F4933">IFERROR(INDEX(EmployeeData[Age], ROW() - 37), "")</f>
        <v/>
      </c>
      <c r="G4933" s="6" t="str" cm="1">
        <f t="array" ref="G4933">IFERROR(INDEX(EmployeeData[Join Date], ROW() - 37), "")</f>
        <v/>
      </c>
      <c r="H4933" s="6" t="str" cm="1">
        <f t="array" ref="H4933">IFERROR(IF(INDEX(EmployeeData[Exit Date], ROW() - 37)=0, "",INDEX(EmployeeData[Exit Date], ROW() - 37)),"")</f>
        <v/>
      </c>
      <c r="I4933" s="4" t="str" cm="1">
        <f t="array" ref="I4933">IFERROR(IF(INDEX(EmployeeData[Exit Reason], ROW() - 37)=0, "",INDEX(EmployeeData[Exit Reason], ROW() - 37)),"")</f>
        <v/>
      </c>
      <c r="J4933" s="4" t="str" cm="1">
        <f t="array" ref="J4933">IFERROR(INDEX(EmployeeData[Status], ROW() - 37), "")</f>
        <v/>
      </c>
    </row>
    <row r="4934" spans="2:10" ht="19.95" customHeight="1" x14ac:dyDescent="0.3">
      <c r="B4934" s="4" t="str" cm="1">
        <f t="array" ref="B4934">IFERROR(INDEX(EmployeeData[Employee ID], ROW() - 37), "")</f>
        <v/>
      </c>
      <c r="C4934" s="4" t="str" cm="1">
        <f t="array" ref="C4934">IFERROR(INDEX(EmployeeData[Full Name], ROW() - 37), "")</f>
        <v/>
      </c>
      <c r="D4934" s="4" t="str" cm="1">
        <f t="array" ref="D4934">IFERROR(INDEX(EmployeeData[Department], ROW() - 37), "")</f>
        <v/>
      </c>
      <c r="E4934" s="4" t="str" cm="1">
        <f t="array" ref="E4934">IFERROR(INDEX(EmployeeData[Gender], ROW() - 37), "")</f>
        <v/>
      </c>
      <c r="F4934" s="4" t="str" cm="1">
        <f t="array" ref="F4934">IFERROR(INDEX(EmployeeData[Age], ROW() - 37), "")</f>
        <v/>
      </c>
      <c r="G4934" s="6" t="str" cm="1">
        <f t="array" ref="G4934">IFERROR(INDEX(EmployeeData[Join Date], ROW() - 37), "")</f>
        <v/>
      </c>
      <c r="H4934" s="6" t="str" cm="1">
        <f t="array" ref="H4934">IFERROR(IF(INDEX(EmployeeData[Exit Date], ROW() - 37)=0, "",INDEX(EmployeeData[Exit Date], ROW() - 37)),"")</f>
        <v/>
      </c>
      <c r="I4934" s="4" t="str" cm="1">
        <f t="array" ref="I4934">IFERROR(IF(INDEX(EmployeeData[Exit Reason], ROW() - 37)=0, "",INDEX(EmployeeData[Exit Reason], ROW() - 37)),"")</f>
        <v/>
      </c>
      <c r="J4934" s="4" t="str" cm="1">
        <f t="array" ref="J4934">IFERROR(INDEX(EmployeeData[Status], ROW() - 37), "")</f>
        <v/>
      </c>
    </row>
    <row r="4935" spans="2:10" ht="19.95" customHeight="1" x14ac:dyDescent="0.3">
      <c r="B4935" s="4" t="str" cm="1">
        <f t="array" ref="B4935">IFERROR(INDEX(EmployeeData[Employee ID], ROW() - 37), "")</f>
        <v/>
      </c>
      <c r="C4935" s="4" t="str" cm="1">
        <f t="array" ref="C4935">IFERROR(INDEX(EmployeeData[Full Name], ROW() - 37), "")</f>
        <v/>
      </c>
      <c r="D4935" s="4" t="str" cm="1">
        <f t="array" ref="D4935">IFERROR(INDEX(EmployeeData[Department], ROW() - 37), "")</f>
        <v/>
      </c>
      <c r="E4935" s="4" t="str" cm="1">
        <f t="array" ref="E4935">IFERROR(INDEX(EmployeeData[Gender], ROW() - 37), "")</f>
        <v/>
      </c>
      <c r="F4935" s="4" t="str" cm="1">
        <f t="array" ref="F4935">IFERROR(INDEX(EmployeeData[Age], ROW() - 37), "")</f>
        <v/>
      </c>
      <c r="G4935" s="6" t="str" cm="1">
        <f t="array" ref="G4935">IFERROR(INDEX(EmployeeData[Join Date], ROW() - 37), "")</f>
        <v/>
      </c>
      <c r="H4935" s="6" t="str" cm="1">
        <f t="array" ref="H4935">IFERROR(IF(INDEX(EmployeeData[Exit Date], ROW() - 37)=0, "",INDEX(EmployeeData[Exit Date], ROW() - 37)),"")</f>
        <v/>
      </c>
      <c r="I4935" s="4" t="str" cm="1">
        <f t="array" ref="I4935">IFERROR(IF(INDEX(EmployeeData[Exit Reason], ROW() - 37)=0, "",INDEX(EmployeeData[Exit Reason], ROW() - 37)),"")</f>
        <v/>
      </c>
      <c r="J4935" s="4" t="str" cm="1">
        <f t="array" ref="J4935">IFERROR(INDEX(EmployeeData[Status], ROW() - 37), "")</f>
        <v/>
      </c>
    </row>
    <row r="4936" spans="2:10" ht="19.95" customHeight="1" x14ac:dyDescent="0.3">
      <c r="B4936" s="4" t="str" cm="1">
        <f t="array" ref="B4936">IFERROR(INDEX(EmployeeData[Employee ID], ROW() - 37), "")</f>
        <v/>
      </c>
      <c r="C4936" s="4" t="str" cm="1">
        <f t="array" ref="C4936">IFERROR(INDEX(EmployeeData[Full Name], ROW() - 37), "")</f>
        <v/>
      </c>
      <c r="D4936" s="4" t="str" cm="1">
        <f t="array" ref="D4936">IFERROR(INDEX(EmployeeData[Department], ROW() - 37), "")</f>
        <v/>
      </c>
      <c r="E4936" s="4" t="str" cm="1">
        <f t="array" ref="E4936">IFERROR(INDEX(EmployeeData[Gender], ROW() - 37), "")</f>
        <v/>
      </c>
      <c r="F4936" s="4" t="str" cm="1">
        <f t="array" ref="F4936">IFERROR(INDEX(EmployeeData[Age], ROW() - 37), "")</f>
        <v/>
      </c>
      <c r="G4936" s="6" t="str" cm="1">
        <f t="array" ref="G4936">IFERROR(INDEX(EmployeeData[Join Date], ROW() - 37), "")</f>
        <v/>
      </c>
      <c r="H4936" s="6" t="str" cm="1">
        <f t="array" ref="H4936">IFERROR(IF(INDEX(EmployeeData[Exit Date], ROW() - 37)=0, "",INDEX(EmployeeData[Exit Date], ROW() - 37)),"")</f>
        <v/>
      </c>
      <c r="I4936" s="4" t="str" cm="1">
        <f t="array" ref="I4936">IFERROR(IF(INDEX(EmployeeData[Exit Reason], ROW() - 37)=0, "",INDEX(EmployeeData[Exit Reason], ROW() - 37)),"")</f>
        <v/>
      </c>
      <c r="J4936" s="4" t="str" cm="1">
        <f t="array" ref="J4936">IFERROR(INDEX(EmployeeData[Status], ROW() - 37), "")</f>
        <v/>
      </c>
    </row>
    <row r="4937" spans="2:10" ht="19.95" customHeight="1" x14ac:dyDescent="0.3">
      <c r="B4937" s="4" t="str" cm="1">
        <f t="array" ref="B4937">IFERROR(INDEX(EmployeeData[Employee ID], ROW() - 37), "")</f>
        <v/>
      </c>
      <c r="C4937" s="4" t="str" cm="1">
        <f t="array" ref="C4937">IFERROR(INDEX(EmployeeData[Full Name], ROW() - 37), "")</f>
        <v/>
      </c>
      <c r="D4937" s="4" t="str" cm="1">
        <f t="array" ref="D4937">IFERROR(INDEX(EmployeeData[Department], ROW() - 37), "")</f>
        <v/>
      </c>
      <c r="E4937" s="4" t="str" cm="1">
        <f t="array" ref="E4937">IFERROR(INDEX(EmployeeData[Gender], ROW() - 37), "")</f>
        <v/>
      </c>
      <c r="F4937" s="4" t="str" cm="1">
        <f t="array" ref="F4937">IFERROR(INDEX(EmployeeData[Age], ROW() - 37), "")</f>
        <v/>
      </c>
      <c r="G4937" s="6" t="str" cm="1">
        <f t="array" ref="G4937">IFERROR(INDEX(EmployeeData[Join Date], ROW() - 37), "")</f>
        <v/>
      </c>
      <c r="H4937" s="6" t="str" cm="1">
        <f t="array" ref="H4937">IFERROR(IF(INDEX(EmployeeData[Exit Date], ROW() - 37)=0, "",INDEX(EmployeeData[Exit Date], ROW() - 37)),"")</f>
        <v/>
      </c>
      <c r="I4937" s="4" t="str" cm="1">
        <f t="array" ref="I4937">IFERROR(IF(INDEX(EmployeeData[Exit Reason], ROW() - 37)=0, "",INDEX(EmployeeData[Exit Reason], ROW() - 37)),"")</f>
        <v/>
      </c>
      <c r="J4937" s="4" t="str" cm="1">
        <f t="array" ref="J4937">IFERROR(INDEX(EmployeeData[Status], ROW() - 37), "")</f>
        <v/>
      </c>
    </row>
    <row r="4938" spans="2:10" ht="19.95" customHeight="1" x14ac:dyDescent="0.3">
      <c r="B4938" s="4" t="str" cm="1">
        <f t="array" ref="B4938">IFERROR(INDEX(EmployeeData[Employee ID], ROW() - 37), "")</f>
        <v/>
      </c>
      <c r="C4938" s="4" t="str" cm="1">
        <f t="array" ref="C4938">IFERROR(INDEX(EmployeeData[Full Name], ROW() - 37), "")</f>
        <v/>
      </c>
      <c r="D4938" s="4" t="str" cm="1">
        <f t="array" ref="D4938">IFERROR(INDEX(EmployeeData[Department], ROW() - 37), "")</f>
        <v/>
      </c>
      <c r="E4938" s="4" t="str" cm="1">
        <f t="array" ref="E4938">IFERROR(INDEX(EmployeeData[Gender], ROW() - 37), "")</f>
        <v/>
      </c>
      <c r="F4938" s="4" t="str" cm="1">
        <f t="array" ref="F4938">IFERROR(INDEX(EmployeeData[Age], ROW() - 37), "")</f>
        <v/>
      </c>
      <c r="G4938" s="6" t="str" cm="1">
        <f t="array" ref="G4938">IFERROR(INDEX(EmployeeData[Join Date], ROW() - 37), "")</f>
        <v/>
      </c>
      <c r="H4938" s="6" t="str" cm="1">
        <f t="array" ref="H4938">IFERROR(IF(INDEX(EmployeeData[Exit Date], ROW() - 37)=0, "",INDEX(EmployeeData[Exit Date], ROW() - 37)),"")</f>
        <v/>
      </c>
      <c r="I4938" s="4" t="str" cm="1">
        <f t="array" ref="I4938">IFERROR(IF(INDEX(EmployeeData[Exit Reason], ROW() - 37)=0, "",INDEX(EmployeeData[Exit Reason], ROW() - 37)),"")</f>
        <v/>
      </c>
      <c r="J4938" s="4" t="str" cm="1">
        <f t="array" ref="J4938">IFERROR(INDEX(EmployeeData[Status], ROW() - 37), "")</f>
        <v/>
      </c>
    </row>
    <row r="4939" spans="2:10" ht="19.95" customHeight="1" x14ac:dyDescent="0.3">
      <c r="B4939" s="4" t="str" cm="1">
        <f t="array" ref="B4939">IFERROR(INDEX(EmployeeData[Employee ID], ROW() - 37), "")</f>
        <v/>
      </c>
      <c r="C4939" s="4" t="str" cm="1">
        <f t="array" ref="C4939">IFERROR(INDEX(EmployeeData[Full Name], ROW() - 37), "")</f>
        <v/>
      </c>
      <c r="D4939" s="4" t="str" cm="1">
        <f t="array" ref="D4939">IFERROR(INDEX(EmployeeData[Department], ROW() - 37), "")</f>
        <v/>
      </c>
      <c r="E4939" s="4" t="str" cm="1">
        <f t="array" ref="E4939">IFERROR(INDEX(EmployeeData[Gender], ROW() - 37), "")</f>
        <v/>
      </c>
      <c r="F4939" s="4" t="str" cm="1">
        <f t="array" ref="F4939">IFERROR(INDEX(EmployeeData[Age], ROW() - 37), "")</f>
        <v/>
      </c>
      <c r="G4939" s="6" t="str" cm="1">
        <f t="array" ref="G4939">IFERROR(INDEX(EmployeeData[Join Date], ROW() - 37), "")</f>
        <v/>
      </c>
      <c r="H4939" s="6" t="str" cm="1">
        <f t="array" ref="H4939">IFERROR(IF(INDEX(EmployeeData[Exit Date], ROW() - 37)=0, "",INDEX(EmployeeData[Exit Date], ROW() - 37)),"")</f>
        <v/>
      </c>
      <c r="I4939" s="4" t="str" cm="1">
        <f t="array" ref="I4939">IFERROR(IF(INDEX(EmployeeData[Exit Reason], ROW() - 37)=0, "",INDEX(EmployeeData[Exit Reason], ROW() - 37)),"")</f>
        <v/>
      </c>
      <c r="J4939" s="4" t="str" cm="1">
        <f t="array" ref="J4939">IFERROR(INDEX(EmployeeData[Status], ROW() - 37), "")</f>
        <v/>
      </c>
    </row>
    <row r="4940" spans="2:10" ht="19.95" customHeight="1" x14ac:dyDescent="0.3">
      <c r="B4940" s="4" t="str" cm="1">
        <f t="array" ref="B4940">IFERROR(INDEX(EmployeeData[Employee ID], ROW() - 37), "")</f>
        <v/>
      </c>
      <c r="C4940" s="4" t="str" cm="1">
        <f t="array" ref="C4940">IFERROR(INDEX(EmployeeData[Full Name], ROW() - 37), "")</f>
        <v/>
      </c>
      <c r="D4940" s="4" t="str" cm="1">
        <f t="array" ref="D4940">IFERROR(INDEX(EmployeeData[Department], ROW() - 37), "")</f>
        <v/>
      </c>
      <c r="E4940" s="4" t="str" cm="1">
        <f t="array" ref="E4940">IFERROR(INDEX(EmployeeData[Gender], ROW() - 37), "")</f>
        <v/>
      </c>
      <c r="F4940" s="4" t="str" cm="1">
        <f t="array" ref="F4940">IFERROR(INDEX(EmployeeData[Age], ROW() - 37), "")</f>
        <v/>
      </c>
      <c r="G4940" s="6" t="str" cm="1">
        <f t="array" ref="G4940">IFERROR(INDEX(EmployeeData[Join Date], ROW() - 37), "")</f>
        <v/>
      </c>
      <c r="H4940" s="6" t="str" cm="1">
        <f t="array" ref="H4940">IFERROR(IF(INDEX(EmployeeData[Exit Date], ROW() - 37)=0, "",INDEX(EmployeeData[Exit Date], ROW() - 37)),"")</f>
        <v/>
      </c>
      <c r="I4940" s="4" t="str" cm="1">
        <f t="array" ref="I4940">IFERROR(IF(INDEX(EmployeeData[Exit Reason], ROW() - 37)=0, "",INDEX(EmployeeData[Exit Reason], ROW() - 37)),"")</f>
        <v/>
      </c>
      <c r="J4940" s="4" t="str" cm="1">
        <f t="array" ref="J4940">IFERROR(INDEX(EmployeeData[Status], ROW() - 37), "")</f>
        <v/>
      </c>
    </row>
    <row r="4941" spans="2:10" ht="19.95" customHeight="1" x14ac:dyDescent="0.3">
      <c r="B4941" s="4" t="str" cm="1">
        <f t="array" ref="B4941">IFERROR(INDEX(EmployeeData[Employee ID], ROW() - 37), "")</f>
        <v/>
      </c>
      <c r="C4941" s="4" t="str" cm="1">
        <f t="array" ref="C4941">IFERROR(INDEX(EmployeeData[Full Name], ROW() - 37), "")</f>
        <v/>
      </c>
      <c r="D4941" s="4" t="str" cm="1">
        <f t="array" ref="D4941">IFERROR(INDEX(EmployeeData[Department], ROW() - 37), "")</f>
        <v/>
      </c>
      <c r="E4941" s="4" t="str" cm="1">
        <f t="array" ref="E4941">IFERROR(INDEX(EmployeeData[Gender], ROW() - 37), "")</f>
        <v/>
      </c>
      <c r="F4941" s="4" t="str" cm="1">
        <f t="array" ref="F4941">IFERROR(INDEX(EmployeeData[Age], ROW() - 37), "")</f>
        <v/>
      </c>
      <c r="G4941" s="6" t="str" cm="1">
        <f t="array" ref="G4941">IFERROR(INDEX(EmployeeData[Join Date], ROW() - 37), "")</f>
        <v/>
      </c>
      <c r="H4941" s="6" t="str" cm="1">
        <f t="array" ref="H4941">IFERROR(IF(INDEX(EmployeeData[Exit Date], ROW() - 37)=0, "",INDEX(EmployeeData[Exit Date], ROW() - 37)),"")</f>
        <v/>
      </c>
      <c r="I4941" s="4" t="str" cm="1">
        <f t="array" ref="I4941">IFERROR(IF(INDEX(EmployeeData[Exit Reason], ROW() - 37)=0, "",INDEX(EmployeeData[Exit Reason], ROW() - 37)),"")</f>
        <v/>
      </c>
      <c r="J4941" s="4" t="str" cm="1">
        <f t="array" ref="J4941">IFERROR(INDEX(EmployeeData[Status], ROW() - 37), "")</f>
        <v/>
      </c>
    </row>
    <row r="4942" spans="2:10" ht="19.95" customHeight="1" x14ac:dyDescent="0.3">
      <c r="B4942" s="4" t="str" cm="1">
        <f t="array" ref="B4942">IFERROR(INDEX(EmployeeData[Employee ID], ROW() - 37), "")</f>
        <v/>
      </c>
      <c r="C4942" s="4" t="str" cm="1">
        <f t="array" ref="C4942">IFERROR(INDEX(EmployeeData[Full Name], ROW() - 37), "")</f>
        <v/>
      </c>
      <c r="D4942" s="4" t="str" cm="1">
        <f t="array" ref="D4942">IFERROR(INDEX(EmployeeData[Department], ROW() - 37), "")</f>
        <v/>
      </c>
      <c r="E4942" s="4" t="str" cm="1">
        <f t="array" ref="E4942">IFERROR(INDEX(EmployeeData[Gender], ROW() - 37), "")</f>
        <v/>
      </c>
      <c r="F4942" s="4" t="str" cm="1">
        <f t="array" ref="F4942">IFERROR(INDEX(EmployeeData[Age], ROW() - 37), "")</f>
        <v/>
      </c>
      <c r="G4942" s="6" t="str" cm="1">
        <f t="array" ref="G4942">IFERROR(INDEX(EmployeeData[Join Date], ROW() - 37), "")</f>
        <v/>
      </c>
      <c r="H4942" s="6" t="str" cm="1">
        <f t="array" ref="H4942">IFERROR(IF(INDEX(EmployeeData[Exit Date], ROW() - 37)=0, "",INDEX(EmployeeData[Exit Date], ROW() - 37)),"")</f>
        <v/>
      </c>
      <c r="I4942" s="4" t="str" cm="1">
        <f t="array" ref="I4942">IFERROR(IF(INDEX(EmployeeData[Exit Reason], ROW() - 37)=0, "",INDEX(EmployeeData[Exit Reason], ROW() - 37)),"")</f>
        <v/>
      </c>
      <c r="J4942" s="4" t="str" cm="1">
        <f t="array" ref="J4942">IFERROR(INDEX(EmployeeData[Status], ROW() - 37), "")</f>
        <v/>
      </c>
    </row>
    <row r="4943" spans="2:10" ht="19.95" customHeight="1" x14ac:dyDescent="0.3">
      <c r="B4943" s="4" t="str" cm="1">
        <f t="array" ref="B4943">IFERROR(INDEX(EmployeeData[Employee ID], ROW() - 37), "")</f>
        <v/>
      </c>
      <c r="C4943" s="4" t="str" cm="1">
        <f t="array" ref="C4943">IFERROR(INDEX(EmployeeData[Full Name], ROW() - 37), "")</f>
        <v/>
      </c>
      <c r="D4943" s="4" t="str" cm="1">
        <f t="array" ref="D4943">IFERROR(INDEX(EmployeeData[Department], ROW() - 37), "")</f>
        <v/>
      </c>
      <c r="E4943" s="4" t="str" cm="1">
        <f t="array" ref="E4943">IFERROR(INDEX(EmployeeData[Gender], ROW() - 37), "")</f>
        <v/>
      </c>
      <c r="F4943" s="4" t="str" cm="1">
        <f t="array" ref="F4943">IFERROR(INDEX(EmployeeData[Age], ROW() - 37), "")</f>
        <v/>
      </c>
      <c r="G4943" s="6" t="str" cm="1">
        <f t="array" ref="G4943">IFERROR(INDEX(EmployeeData[Join Date], ROW() - 37), "")</f>
        <v/>
      </c>
      <c r="H4943" s="6" t="str" cm="1">
        <f t="array" ref="H4943">IFERROR(IF(INDEX(EmployeeData[Exit Date], ROW() - 37)=0, "",INDEX(EmployeeData[Exit Date], ROW() - 37)),"")</f>
        <v/>
      </c>
      <c r="I4943" s="4" t="str" cm="1">
        <f t="array" ref="I4943">IFERROR(IF(INDEX(EmployeeData[Exit Reason], ROW() - 37)=0, "",INDEX(EmployeeData[Exit Reason], ROW() - 37)),"")</f>
        <v/>
      </c>
      <c r="J4943" s="4" t="str" cm="1">
        <f t="array" ref="J4943">IFERROR(INDEX(EmployeeData[Status], ROW() - 37), "")</f>
        <v/>
      </c>
    </row>
    <row r="4944" spans="2:10" ht="19.95" customHeight="1" x14ac:dyDescent="0.3">
      <c r="B4944" s="4" t="str" cm="1">
        <f t="array" ref="B4944">IFERROR(INDEX(EmployeeData[Employee ID], ROW() - 37), "")</f>
        <v/>
      </c>
      <c r="C4944" s="4" t="str" cm="1">
        <f t="array" ref="C4944">IFERROR(INDEX(EmployeeData[Full Name], ROW() - 37), "")</f>
        <v/>
      </c>
      <c r="D4944" s="4" t="str" cm="1">
        <f t="array" ref="D4944">IFERROR(INDEX(EmployeeData[Department], ROW() - 37), "")</f>
        <v/>
      </c>
      <c r="E4944" s="4" t="str" cm="1">
        <f t="array" ref="E4944">IFERROR(INDEX(EmployeeData[Gender], ROW() - 37), "")</f>
        <v/>
      </c>
      <c r="F4944" s="4" t="str" cm="1">
        <f t="array" ref="F4944">IFERROR(INDEX(EmployeeData[Age], ROW() - 37), "")</f>
        <v/>
      </c>
      <c r="G4944" s="6" t="str" cm="1">
        <f t="array" ref="G4944">IFERROR(INDEX(EmployeeData[Join Date], ROW() - 37), "")</f>
        <v/>
      </c>
      <c r="H4944" s="6" t="str" cm="1">
        <f t="array" ref="H4944">IFERROR(IF(INDEX(EmployeeData[Exit Date], ROW() - 37)=0, "",INDEX(EmployeeData[Exit Date], ROW() - 37)),"")</f>
        <v/>
      </c>
      <c r="I4944" s="4" t="str" cm="1">
        <f t="array" ref="I4944">IFERROR(IF(INDEX(EmployeeData[Exit Reason], ROW() - 37)=0, "",INDEX(EmployeeData[Exit Reason], ROW() - 37)),"")</f>
        <v/>
      </c>
      <c r="J4944" s="4" t="str" cm="1">
        <f t="array" ref="J4944">IFERROR(INDEX(EmployeeData[Status], ROW() - 37), "")</f>
        <v/>
      </c>
    </row>
    <row r="4945" spans="2:10" ht="19.95" customHeight="1" x14ac:dyDescent="0.3">
      <c r="B4945" s="4" t="str" cm="1">
        <f t="array" ref="B4945">IFERROR(INDEX(EmployeeData[Employee ID], ROW() - 37), "")</f>
        <v/>
      </c>
      <c r="C4945" s="4" t="str" cm="1">
        <f t="array" ref="C4945">IFERROR(INDEX(EmployeeData[Full Name], ROW() - 37), "")</f>
        <v/>
      </c>
      <c r="D4945" s="4" t="str" cm="1">
        <f t="array" ref="D4945">IFERROR(INDEX(EmployeeData[Department], ROW() - 37), "")</f>
        <v/>
      </c>
      <c r="E4945" s="4" t="str" cm="1">
        <f t="array" ref="E4945">IFERROR(INDEX(EmployeeData[Gender], ROW() - 37), "")</f>
        <v/>
      </c>
      <c r="F4945" s="4" t="str" cm="1">
        <f t="array" ref="F4945">IFERROR(INDEX(EmployeeData[Age], ROW() - 37), "")</f>
        <v/>
      </c>
      <c r="G4945" s="6" t="str" cm="1">
        <f t="array" ref="G4945">IFERROR(INDEX(EmployeeData[Join Date], ROW() - 37), "")</f>
        <v/>
      </c>
      <c r="H4945" s="6" t="str" cm="1">
        <f t="array" ref="H4945">IFERROR(IF(INDEX(EmployeeData[Exit Date], ROW() - 37)=0, "",INDEX(EmployeeData[Exit Date], ROW() - 37)),"")</f>
        <v/>
      </c>
      <c r="I4945" s="4" t="str" cm="1">
        <f t="array" ref="I4945">IFERROR(IF(INDEX(EmployeeData[Exit Reason], ROW() - 37)=0, "",INDEX(EmployeeData[Exit Reason], ROW() - 37)),"")</f>
        <v/>
      </c>
      <c r="J4945" s="4" t="str" cm="1">
        <f t="array" ref="J4945">IFERROR(INDEX(EmployeeData[Status], ROW() - 37), "")</f>
        <v/>
      </c>
    </row>
    <row r="4946" spans="2:10" ht="19.95" customHeight="1" x14ac:dyDescent="0.3">
      <c r="B4946" s="4" t="str" cm="1">
        <f t="array" ref="B4946">IFERROR(INDEX(EmployeeData[Employee ID], ROW() - 37), "")</f>
        <v/>
      </c>
      <c r="C4946" s="4" t="str" cm="1">
        <f t="array" ref="C4946">IFERROR(INDEX(EmployeeData[Full Name], ROW() - 37), "")</f>
        <v/>
      </c>
      <c r="D4946" s="4" t="str" cm="1">
        <f t="array" ref="D4946">IFERROR(INDEX(EmployeeData[Department], ROW() - 37), "")</f>
        <v/>
      </c>
      <c r="E4946" s="4" t="str" cm="1">
        <f t="array" ref="E4946">IFERROR(INDEX(EmployeeData[Gender], ROW() - 37), "")</f>
        <v/>
      </c>
      <c r="F4946" s="4" t="str" cm="1">
        <f t="array" ref="F4946">IFERROR(INDEX(EmployeeData[Age], ROW() - 37), "")</f>
        <v/>
      </c>
      <c r="G4946" s="6" t="str" cm="1">
        <f t="array" ref="G4946">IFERROR(INDEX(EmployeeData[Join Date], ROW() - 37), "")</f>
        <v/>
      </c>
      <c r="H4946" s="6" t="str" cm="1">
        <f t="array" ref="H4946">IFERROR(IF(INDEX(EmployeeData[Exit Date], ROW() - 37)=0, "",INDEX(EmployeeData[Exit Date], ROW() - 37)),"")</f>
        <v/>
      </c>
      <c r="I4946" s="4" t="str" cm="1">
        <f t="array" ref="I4946">IFERROR(IF(INDEX(EmployeeData[Exit Reason], ROW() - 37)=0, "",INDEX(EmployeeData[Exit Reason], ROW() - 37)),"")</f>
        <v/>
      </c>
      <c r="J4946" s="4" t="str" cm="1">
        <f t="array" ref="J4946">IFERROR(INDEX(EmployeeData[Status], ROW() - 37), "")</f>
        <v/>
      </c>
    </row>
    <row r="4947" spans="2:10" ht="19.95" customHeight="1" x14ac:dyDescent="0.3">
      <c r="B4947" s="4" t="str" cm="1">
        <f t="array" ref="B4947">IFERROR(INDEX(EmployeeData[Employee ID], ROW() - 37), "")</f>
        <v/>
      </c>
      <c r="C4947" s="4" t="str" cm="1">
        <f t="array" ref="C4947">IFERROR(INDEX(EmployeeData[Full Name], ROW() - 37), "")</f>
        <v/>
      </c>
      <c r="D4947" s="4" t="str" cm="1">
        <f t="array" ref="D4947">IFERROR(INDEX(EmployeeData[Department], ROW() - 37), "")</f>
        <v/>
      </c>
      <c r="E4947" s="4" t="str" cm="1">
        <f t="array" ref="E4947">IFERROR(INDEX(EmployeeData[Gender], ROW() - 37), "")</f>
        <v/>
      </c>
      <c r="F4947" s="4" t="str" cm="1">
        <f t="array" ref="F4947">IFERROR(INDEX(EmployeeData[Age], ROW() - 37), "")</f>
        <v/>
      </c>
      <c r="G4947" s="6" t="str" cm="1">
        <f t="array" ref="G4947">IFERROR(INDEX(EmployeeData[Join Date], ROW() - 37), "")</f>
        <v/>
      </c>
      <c r="H4947" s="6" t="str" cm="1">
        <f t="array" ref="H4947">IFERROR(IF(INDEX(EmployeeData[Exit Date], ROW() - 37)=0, "",INDEX(EmployeeData[Exit Date], ROW() - 37)),"")</f>
        <v/>
      </c>
      <c r="I4947" s="4" t="str" cm="1">
        <f t="array" ref="I4947">IFERROR(IF(INDEX(EmployeeData[Exit Reason], ROW() - 37)=0, "",INDEX(EmployeeData[Exit Reason], ROW() - 37)),"")</f>
        <v/>
      </c>
      <c r="J4947" s="4" t="str" cm="1">
        <f t="array" ref="J4947">IFERROR(INDEX(EmployeeData[Status], ROW() - 37), "")</f>
        <v/>
      </c>
    </row>
    <row r="4948" spans="2:10" ht="19.95" customHeight="1" x14ac:dyDescent="0.3">
      <c r="B4948" s="4" t="str" cm="1">
        <f t="array" ref="B4948">IFERROR(INDEX(EmployeeData[Employee ID], ROW() - 37), "")</f>
        <v/>
      </c>
      <c r="C4948" s="4" t="str" cm="1">
        <f t="array" ref="C4948">IFERROR(INDEX(EmployeeData[Full Name], ROW() - 37), "")</f>
        <v/>
      </c>
      <c r="D4948" s="4" t="str" cm="1">
        <f t="array" ref="D4948">IFERROR(INDEX(EmployeeData[Department], ROW() - 37), "")</f>
        <v/>
      </c>
      <c r="E4948" s="4" t="str" cm="1">
        <f t="array" ref="E4948">IFERROR(INDEX(EmployeeData[Gender], ROW() - 37), "")</f>
        <v/>
      </c>
      <c r="F4948" s="4" t="str" cm="1">
        <f t="array" ref="F4948">IFERROR(INDEX(EmployeeData[Age], ROW() - 37), "")</f>
        <v/>
      </c>
      <c r="G4948" s="6" t="str" cm="1">
        <f t="array" ref="G4948">IFERROR(INDEX(EmployeeData[Join Date], ROW() - 37), "")</f>
        <v/>
      </c>
      <c r="H4948" s="6" t="str" cm="1">
        <f t="array" ref="H4948">IFERROR(IF(INDEX(EmployeeData[Exit Date], ROW() - 37)=0, "",INDEX(EmployeeData[Exit Date], ROW() - 37)),"")</f>
        <v/>
      </c>
      <c r="I4948" s="4" t="str" cm="1">
        <f t="array" ref="I4948">IFERROR(IF(INDEX(EmployeeData[Exit Reason], ROW() - 37)=0, "",INDEX(EmployeeData[Exit Reason], ROW() - 37)),"")</f>
        <v/>
      </c>
      <c r="J4948" s="4" t="str" cm="1">
        <f t="array" ref="J4948">IFERROR(INDEX(EmployeeData[Status], ROW() - 37), "")</f>
        <v/>
      </c>
    </row>
    <row r="4949" spans="2:10" ht="19.95" customHeight="1" x14ac:dyDescent="0.3">
      <c r="B4949" s="4" t="str" cm="1">
        <f t="array" ref="B4949">IFERROR(INDEX(EmployeeData[Employee ID], ROW() - 37), "")</f>
        <v/>
      </c>
      <c r="C4949" s="4" t="str" cm="1">
        <f t="array" ref="C4949">IFERROR(INDEX(EmployeeData[Full Name], ROW() - 37), "")</f>
        <v/>
      </c>
      <c r="D4949" s="4" t="str" cm="1">
        <f t="array" ref="D4949">IFERROR(INDEX(EmployeeData[Department], ROW() - 37), "")</f>
        <v/>
      </c>
      <c r="E4949" s="4" t="str" cm="1">
        <f t="array" ref="E4949">IFERROR(INDEX(EmployeeData[Gender], ROW() - 37), "")</f>
        <v/>
      </c>
      <c r="F4949" s="4" t="str" cm="1">
        <f t="array" ref="F4949">IFERROR(INDEX(EmployeeData[Age], ROW() - 37), "")</f>
        <v/>
      </c>
      <c r="G4949" s="6" t="str" cm="1">
        <f t="array" ref="G4949">IFERROR(INDEX(EmployeeData[Join Date], ROW() - 37), "")</f>
        <v/>
      </c>
      <c r="H4949" s="6" t="str" cm="1">
        <f t="array" ref="H4949">IFERROR(IF(INDEX(EmployeeData[Exit Date], ROW() - 37)=0, "",INDEX(EmployeeData[Exit Date], ROW() - 37)),"")</f>
        <v/>
      </c>
      <c r="I4949" s="4" t="str" cm="1">
        <f t="array" ref="I4949">IFERROR(IF(INDEX(EmployeeData[Exit Reason], ROW() - 37)=0, "",INDEX(EmployeeData[Exit Reason], ROW() - 37)),"")</f>
        <v/>
      </c>
      <c r="J4949" s="4" t="str" cm="1">
        <f t="array" ref="J4949">IFERROR(INDEX(EmployeeData[Status], ROW() - 37), "")</f>
        <v/>
      </c>
    </row>
    <row r="4950" spans="2:10" ht="19.95" customHeight="1" x14ac:dyDescent="0.3">
      <c r="B4950" s="4" t="str" cm="1">
        <f t="array" ref="B4950">IFERROR(INDEX(EmployeeData[Employee ID], ROW() - 37), "")</f>
        <v/>
      </c>
      <c r="C4950" s="4" t="str" cm="1">
        <f t="array" ref="C4950">IFERROR(INDEX(EmployeeData[Full Name], ROW() - 37), "")</f>
        <v/>
      </c>
      <c r="D4950" s="4" t="str" cm="1">
        <f t="array" ref="D4950">IFERROR(INDEX(EmployeeData[Department], ROW() - 37), "")</f>
        <v/>
      </c>
      <c r="E4950" s="4" t="str" cm="1">
        <f t="array" ref="E4950">IFERROR(INDEX(EmployeeData[Gender], ROW() - 37), "")</f>
        <v/>
      </c>
      <c r="F4950" s="4" t="str" cm="1">
        <f t="array" ref="F4950">IFERROR(INDEX(EmployeeData[Age], ROW() - 37), "")</f>
        <v/>
      </c>
      <c r="G4950" s="6" t="str" cm="1">
        <f t="array" ref="G4950">IFERROR(INDEX(EmployeeData[Join Date], ROW() - 37), "")</f>
        <v/>
      </c>
      <c r="H4950" s="6" t="str" cm="1">
        <f t="array" ref="H4950">IFERROR(IF(INDEX(EmployeeData[Exit Date], ROW() - 37)=0, "",INDEX(EmployeeData[Exit Date], ROW() - 37)),"")</f>
        <v/>
      </c>
      <c r="I4950" s="4" t="str" cm="1">
        <f t="array" ref="I4950">IFERROR(IF(INDEX(EmployeeData[Exit Reason], ROW() - 37)=0, "",INDEX(EmployeeData[Exit Reason], ROW() - 37)),"")</f>
        <v/>
      </c>
      <c r="J4950" s="4" t="str" cm="1">
        <f t="array" ref="J4950">IFERROR(INDEX(EmployeeData[Status], ROW() - 37), "")</f>
        <v/>
      </c>
    </row>
    <row r="4951" spans="2:10" ht="19.95" customHeight="1" x14ac:dyDescent="0.3">
      <c r="B4951" s="4" t="str" cm="1">
        <f t="array" ref="B4951">IFERROR(INDEX(EmployeeData[Employee ID], ROW() - 37), "")</f>
        <v/>
      </c>
      <c r="C4951" s="4" t="str" cm="1">
        <f t="array" ref="C4951">IFERROR(INDEX(EmployeeData[Full Name], ROW() - 37), "")</f>
        <v/>
      </c>
      <c r="D4951" s="4" t="str" cm="1">
        <f t="array" ref="D4951">IFERROR(INDEX(EmployeeData[Department], ROW() - 37), "")</f>
        <v/>
      </c>
      <c r="E4951" s="4" t="str" cm="1">
        <f t="array" ref="E4951">IFERROR(INDEX(EmployeeData[Gender], ROW() - 37), "")</f>
        <v/>
      </c>
      <c r="F4951" s="4" t="str" cm="1">
        <f t="array" ref="F4951">IFERROR(INDEX(EmployeeData[Age], ROW() - 37), "")</f>
        <v/>
      </c>
      <c r="G4951" s="6" t="str" cm="1">
        <f t="array" ref="G4951">IFERROR(INDEX(EmployeeData[Join Date], ROW() - 37), "")</f>
        <v/>
      </c>
      <c r="H4951" s="6" t="str" cm="1">
        <f t="array" ref="H4951">IFERROR(IF(INDEX(EmployeeData[Exit Date], ROW() - 37)=0, "",INDEX(EmployeeData[Exit Date], ROW() - 37)),"")</f>
        <v/>
      </c>
      <c r="I4951" s="4" t="str" cm="1">
        <f t="array" ref="I4951">IFERROR(IF(INDEX(EmployeeData[Exit Reason], ROW() - 37)=0, "",INDEX(EmployeeData[Exit Reason], ROW() - 37)),"")</f>
        <v/>
      </c>
      <c r="J4951" s="4" t="str" cm="1">
        <f t="array" ref="J4951">IFERROR(INDEX(EmployeeData[Status], ROW() - 37), "")</f>
        <v/>
      </c>
    </row>
    <row r="4952" spans="2:10" ht="19.95" customHeight="1" x14ac:dyDescent="0.3">
      <c r="B4952" s="4" t="str" cm="1">
        <f t="array" ref="B4952">IFERROR(INDEX(EmployeeData[Employee ID], ROW() - 37), "")</f>
        <v/>
      </c>
      <c r="C4952" s="4" t="str" cm="1">
        <f t="array" ref="C4952">IFERROR(INDEX(EmployeeData[Full Name], ROW() - 37), "")</f>
        <v/>
      </c>
      <c r="D4952" s="4" t="str" cm="1">
        <f t="array" ref="D4952">IFERROR(INDEX(EmployeeData[Department], ROW() - 37), "")</f>
        <v/>
      </c>
      <c r="E4952" s="4" t="str" cm="1">
        <f t="array" ref="E4952">IFERROR(INDEX(EmployeeData[Gender], ROW() - 37), "")</f>
        <v/>
      </c>
      <c r="F4952" s="4" t="str" cm="1">
        <f t="array" ref="F4952">IFERROR(INDEX(EmployeeData[Age], ROW() - 37), "")</f>
        <v/>
      </c>
      <c r="G4952" s="6" t="str" cm="1">
        <f t="array" ref="G4952">IFERROR(INDEX(EmployeeData[Join Date], ROW() - 37), "")</f>
        <v/>
      </c>
      <c r="H4952" s="6" t="str" cm="1">
        <f t="array" ref="H4952">IFERROR(IF(INDEX(EmployeeData[Exit Date], ROW() - 37)=0, "",INDEX(EmployeeData[Exit Date], ROW() - 37)),"")</f>
        <v/>
      </c>
      <c r="I4952" s="4" t="str" cm="1">
        <f t="array" ref="I4952">IFERROR(IF(INDEX(EmployeeData[Exit Reason], ROW() - 37)=0, "",INDEX(EmployeeData[Exit Reason], ROW() - 37)),"")</f>
        <v/>
      </c>
      <c r="J4952" s="4" t="str" cm="1">
        <f t="array" ref="J4952">IFERROR(INDEX(EmployeeData[Status], ROW() - 37), "")</f>
        <v/>
      </c>
    </row>
    <row r="4953" spans="2:10" ht="19.95" customHeight="1" x14ac:dyDescent="0.3">
      <c r="B4953" s="4" t="str" cm="1">
        <f t="array" ref="B4953">IFERROR(INDEX(EmployeeData[Employee ID], ROW() - 37), "")</f>
        <v/>
      </c>
      <c r="C4953" s="4" t="str" cm="1">
        <f t="array" ref="C4953">IFERROR(INDEX(EmployeeData[Full Name], ROW() - 37), "")</f>
        <v/>
      </c>
      <c r="D4953" s="4" t="str" cm="1">
        <f t="array" ref="D4953">IFERROR(INDEX(EmployeeData[Department], ROW() - 37), "")</f>
        <v/>
      </c>
      <c r="E4953" s="4" t="str" cm="1">
        <f t="array" ref="E4953">IFERROR(INDEX(EmployeeData[Gender], ROW() - 37), "")</f>
        <v/>
      </c>
      <c r="F4953" s="4" t="str" cm="1">
        <f t="array" ref="F4953">IFERROR(INDEX(EmployeeData[Age], ROW() - 37), "")</f>
        <v/>
      </c>
      <c r="G4953" s="6" t="str" cm="1">
        <f t="array" ref="G4953">IFERROR(INDEX(EmployeeData[Join Date], ROW() - 37), "")</f>
        <v/>
      </c>
      <c r="H4953" s="6" t="str" cm="1">
        <f t="array" ref="H4953">IFERROR(IF(INDEX(EmployeeData[Exit Date], ROW() - 37)=0, "",INDEX(EmployeeData[Exit Date], ROW() - 37)),"")</f>
        <v/>
      </c>
      <c r="I4953" s="4" t="str" cm="1">
        <f t="array" ref="I4953">IFERROR(IF(INDEX(EmployeeData[Exit Reason], ROW() - 37)=0, "",INDEX(EmployeeData[Exit Reason], ROW() - 37)),"")</f>
        <v/>
      </c>
      <c r="J4953" s="4" t="str" cm="1">
        <f t="array" ref="J4953">IFERROR(INDEX(EmployeeData[Status], ROW() - 37), "")</f>
        <v/>
      </c>
    </row>
    <row r="4954" spans="2:10" ht="19.95" customHeight="1" x14ac:dyDescent="0.3">
      <c r="B4954" s="4" t="str" cm="1">
        <f t="array" ref="B4954">IFERROR(INDEX(EmployeeData[Employee ID], ROW() - 37), "")</f>
        <v/>
      </c>
      <c r="C4954" s="4" t="str" cm="1">
        <f t="array" ref="C4954">IFERROR(INDEX(EmployeeData[Full Name], ROW() - 37), "")</f>
        <v/>
      </c>
      <c r="D4954" s="4" t="str" cm="1">
        <f t="array" ref="D4954">IFERROR(INDEX(EmployeeData[Department], ROW() - 37), "")</f>
        <v/>
      </c>
      <c r="E4954" s="4" t="str" cm="1">
        <f t="array" ref="E4954">IFERROR(INDEX(EmployeeData[Gender], ROW() - 37), "")</f>
        <v/>
      </c>
      <c r="F4954" s="4" t="str" cm="1">
        <f t="array" ref="F4954">IFERROR(INDEX(EmployeeData[Age], ROW() - 37), "")</f>
        <v/>
      </c>
      <c r="G4954" s="6" t="str" cm="1">
        <f t="array" ref="G4954">IFERROR(INDEX(EmployeeData[Join Date], ROW() - 37), "")</f>
        <v/>
      </c>
      <c r="H4954" s="6" t="str" cm="1">
        <f t="array" ref="H4954">IFERROR(IF(INDEX(EmployeeData[Exit Date], ROW() - 37)=0, "",INDEX(EmployeeData[Exit Date], ROW() - 37)),"")</f>
        <v/>
      </c>
      <c r="I4954" s="4" t="str" cm="1">
        <f t="array" ref="I4954">IFERROR(IF(INDEX(EmployeeData[Exit Reason], ROW() - 37)=0, "",INDEX(EmployeeData[Exit Reason], ROW() - 37)),"")</f>
        <v/>
      </c>
      <c r="J4954" s="4" t="str" cm="1">
        <f t="array" ref="J4954">IFERROR(INDEX(EmployeeData[Status], ROW() - 37), "")</f>
        <v/>
      </c>
    </row>
    <row r="4955" spans="2:10" ht="19.95" customHeight="1" x14ac:dyDescent="0.3">
      <c r="B4955" s="4" t="str" cm="1">
        <f t="array" ref="B4955">IFERROR(INDEX(EmployeeData[Employee ID], ROW() - 37), "")</f>
        <v/>
      </c>
      <c r="C4955" s="4" t="str" cm="1">
        <f t="array" ref="C4955">IFERROR(INDEX(EmployeeData[Full Name], ROW() - 37), "")</f>
        <v/>
      </c>
      <c r="D4955" s="4" t="str" cm="1">
        <f t="array" ref="D4955">IFERROR(INDEX(EmployeeData[Department], ROW() - 37), "")</f>
        <v/>
      </c>
      <c r="E4955" s="4" t="str" cm="1">
        <f t="array" ref="E4955">IFERROR(INDEX(EmployeeData[Gender], ROW() - 37), "")</f>
        <v/>
      </c>
      <c r="F4955" s="4" t="str" cm="1">
        <f t="array" ref="F4955">IFERROR(INDEX(EmployeeData[Age], ROW() - 37), "")</f>
        <v/>
      </c>
      <c r="G4955" s="6" t="str" cm="1">
        <f t="array" ref="G4955">IFERROR(INDEX(EmployeeData[Join Date], ROW() - 37), "")</f>
        <v/>
      </c>
      <c r="H4955" s="6" t="str" cm="1">
        <f t="array" ref="H4955">IFERROR(IF(INDEX(EmployeeData[Exit Date], ROW() - 37)=0, "",INDEX(EmployeeData[Exit Date], ROW() - 37)),"")</f>
        <v/>
      </c>
      <c r="I4955" s="4" t="str" cm="1">
        <f t="array" ref="I4955">IFERROR(IF(INDEX(EmployeeData[Exit Reason], ROW() - 37)=0, "",INDEX(EmployeeData[Exit Reason], ROW() - 37)),"")</f>
        <v/>
      </c>
      <c r="J4955" s="4" t="str" cm="1">
        <f t="array" ref="J4955">IFERROR(INDEX(EmployeeData[Status], ROW() - 37), "")</f>
        <v/>
      </c>
    </row>
    <row r="4956" spans="2:10" ht="19.95" customHeight="1" x14ac:dyDescent="0.3">
      <c r="B4956" s="4" t="str" cm="1">
        <f t="array" ref="B4956">IFERROR(INDEX(EmployeeData[Employee ID], ROW() - 37), "")</f>
        <v/>
      </c>
      <c r="C4956" s="4" t="str" cm="1">
        <f t="array" ref="C4956">IFERROR(INDEX(EmployeeData[Full Name], ROW() - 37), "")</f>
        <v/>
      </c>
      <c r="D4956" s="4" t="str" cm="1">
        <f t="array" ref="D4956">IFERROR(INDEX(EmployeeData[Department], ROW() - 37), "")</f>
        <v/>
      </c>
      <c r="E4956" s="4" t="str" cm="1">
        <f t="array" ref="E4956">IFERROR(INDEX(EmployeeData[Gender], ROW() - 37), "")</f>
        <v/>
      </c>
      <c r="F4956" s="4" t="str" cm="1">
        <f t="array" ref="F4956">IFERROR(INDEX(EmployeeData[Age], ROW() - 37), "")</f>
        <v/>
      </c>
      <c r="G4956" s="6" t="str" cm="1">
        <f t="array" ref="G4956">IFERROR(INDEX(EmployeeData[Join Date], ROW() - 37), "")</f>
        <v/>
      </c>
      <c r="H4956" s="6" t="str" cm="1">
        <f t="array" ref="H4956">IFERROR(IF(INDEX(EmployeeData[Exit Date], ROW() - 37)=0, "",INDEX(EmployeeData[Exit Date], ROW() - 37)),"")</f>
        <v/>
      </c>
      <c r="I4956" s="4" t="str" cm="1">
        <f t="array" ref="I4956">IFERROR(IF(INDEX(EmployeeData[Exit Reason], ROW() - 37)=0, "",INDEX(EmployeeData[Exit Reason], ROW() - 37)),"")</f>
        <v/>
      </c>
      <c r="J4956" s="4" t="str" cm="1">
        <f t="array" ref="J4956">IFERROR(INDEX(EmployeeData[Status], ROW() - 37), "")</f>
        <v/>
      </c>
    </row>
    <row r="4957" spans="2:10" ht="19.95" customHeight="1" x14ac:dyDescent="0.3">
      <c r="B4957" s="4" t="str" cm="1">
        <f t="array" ref="B4957">IFERROR(INDEX(EmployeeData[Employee ID], ROW() - 37), "")</f>
        <v/>
      </c>
      <c r="C4957" s="4" t="str" cm="1">
        <f t="array" ref="C4957">IFERROR(INDEX(EmployeeData[Full Name], ROW() - 37), "")</f>
        <v/>
      </c>
      <c r="D4957" s="4" t="str" cm="1">
        <f t="array" ref="D4957">IFERROR(INDEX(EmployeeData[Department], ROW() - 37), "")</f>
        <v/>
      </c>
      <c r="E4957" s="4" t="str" cm="1">
        <f t="array" ref="E4957">IFERROR(INDEX(EmployeeData[Gender], ROW() - 37), "")</f>
        <v/>
      </c>
      <c r="F4957" s="4" t="str" cm="1">
        <f t="array" ref="F4957">IFERROR(INDEX(EmployeeData[Age], ROW() - 37), "")</f>
        <v/>
      </c>
      <c r="G4957" s="6" t="str" cm="1">
        <f t="array" ref="G4957">IFERROR(INDEX(EmployeeData[Join Date], ROW() - 37), "")</f>
        <v/>
      </c>
      <c r="H4957" s="6" t="str" cm="1">
        <f t="array" ref="H4957">IFERROR(IF(INDEX(EmployeeData[Exit Date], ROW() - 37)=0, "",INDEX(EmployeeData[Exit Date], ROW() - 37)),"")</f>
        <v/>
      </c>
      <c r="I4957" s="4" t="str" cm="1">
        <f t="array" ref="I4957">IFERROR(IF(INDEX(EmployeeData[Exit Reason], ROW() - 37)=0, "",INDEX(EmployeeData[Exit Reason], ROW() - 37)),"")</f>
        <v/>
      </c>
      <c r="J4957" s="4" t="str" cm="1">
        <f t="array" ref="J4957">IFERROR(INDEX(EmployeeData[Status], ROW() - 37), "")</f>
        <v/>
      </c>
    </row>
    <row r="4958" spans="2:10" ht="19.95" customHeight="1" x14ac:dyDescent="0.3">
      <c r="B4958" s="4" t="str" cm="1">
        <f t="array" ref="B4958">IFERROR(INDEX(EmployeeData[Employee ID], ROW() - 37), "")</f>
        <v/>
      </c>
      <c r="C4958" s="4" t="str" cm="1">
        <f t="array" ref="C4958">IFERROR(INDEX(EmployeeData[Full Name], ROW() - 37), "")</f>
        <v/>
      </c>
      <c r="D4958" s="4" t="str" cm="1">
        <f t="array" ref="D4958">IFERROR(INDEX(EmployeeData[Department], ROW() - 37), "")</f>
        <v/>
      </c>
      <c r="E4958" s="4" t="str" cm="1">
        <f t="array" ref="E4958">IFERROR(INDEX(EmployeeData[Gender], ROW() - 37), "")</f>
        <v/>
      </c>
      <c r="F4958" s="4" t="str" cm="1">
        <f t="array" ref="F4958">IFERROR(INDEX(EmployeeData[Age], ROW() - 37), "")</f>
        <v/>
      </c>
      <c r="G4958" s="6" t="str" cm="1">
        <f t="array" ref="G4958">IFERROR(INDEX(EmployeeData[Join Date], ROW() - 37), "")</f>
        <v/>
      </c>
      <c r="H4958" s="6" t="str" cm="1">
        <f t="array" ref="H4958">IFERROR(IF(INDEX(EmployeeData[Exit Date], ROW() - 37)=0, "",INDEX(EmployeeData[Exit Date], ROW() - 37)),"")</f>
        <v/>
      </c>
      <c r="I4958" s="4" t="str" cm="1">
        <f t="array" ref="I4958">IFERROR(IF(INDEX(EmployeeData[Exit Reason], ROW() - 37)=0, "",INDEX(EmployeeData[Exit Reason], ROW() - 37)),"")</f>
        <v/>
      </c>
      <c r="J4958" s="4" t="str" cm="1">
        <f t="array" ref="J4958">IFERROR(INDEX(EmployeeData[Status], ROW() - 37), "")</f>
        <v/>
      </c>
    </row>
    <row r="4959" spans="2:10" ht="19.95" customHeight="1" x14ac:dyDescent="0.3">
      <c r="B4959" s="4" t="str" cm="1">
        <f t="array" ref="B4959">IFERROR(INDEX(EmployeeData[Employee ID], ROW() - 37), "")</f>
        <v/>
      </c>
      <c r="C4959" s="4" t="str" cm="1">
        <f t="array" ref="C4959">IFERROR(INDEX(EmployeeData[Full Name], ROW() - 37), "")</f>
        <v/>
      </c>
      <c r="D4959" s="4" t="str" cm="1">
        <f t="array" ref="D4959">IFERROR(INDEX(EmployeeData[Department], ROW() - 37), "")</f>
        <v/>
      </c>
      <c r="E4959" s="4" t="str" cm="1">
        <f t="array" ref="E4959">IFERROR(INDEX(EmployeeData[Gender], ROW() - 37), "")</f>
        <v/>
      </c>
      <c r="F4959" s="4" t="str" cm="1">
        <f t="array" ref="F4959">IFERROR(INDEX(EmployeeData[Age], ROW() - 37), "")</f>
        <v/>
      </c>
      <c r="G4959" s="6" t="str" cm="1">
        <f t="array" ref="G4959">IFERROR(INDEX(EmployeeData[Join Date], ROW() - 37), "")</f>
        <v/>
      </c>
      <c r="H4959" s="6" t="str" cm="1">
        <f t="array" ref="H4959">IFERROR(IF(INDEX(EmployeeData[Exit Date], ROW() - 37)=0, "",INDEX(EmployeeData[Exit Date], ROW() - 37)),"")</f>
        <v/>
      </c>
      <c r="I4959" s="4" t="str" cm="1">
        <f t="array" ref="I4959">IFERROR(IF(INDEX(EmployeeData[Exit Reason], ROW() - 37)=0, "",INDEX(EmployeeData[Exit Reason], ROW() - 37)),"")</f>
        <v/>
      </c>
      <c r="J4959" s="4" t="str" cm="1">
        <f t="array" ref="J4959">IFERROR(INDEX(EmployeeData[Status], ROW() - 37), "")</f>
        <v/>
      </c>
    </row>
    <row r="4960" spans="2:10" ht="19.95" customHeight="1" x14ac:dyDescent="0.3">
      <c r="B4960" s="4" t="str" cm="1">
        <f t="array" ref="B4960">IFERROR(INDEX(EmployeeData[Employee ID], ROW() - 37), "")</f>
        <v/>
      </c>
      <c r="C4960" s="4" t="str" cm="1">
        <f t="array" ref="C4960">IFERROR(INDEX(EmployeeData[Full Name], ROW() - 37), "")</f>
        <v/>
      </c>
      <c r="D4960" s="4" t="str" cm="1">
        <f t="array" ref="D4960">IFERROR(INDEX(EmployeeData[Department], ROW() - 37), "")</f>
        <v/>
      </c>
      <c r="E4960" s="4" t="str" cm="1">
        <f t="array" ref="E4960">IFERROR(INDEX(EmployeeData[Gender], ROW() - 37), "")</f>
        <v/>
      </c>
      <c r="F4960" s="4" t="str" cm="1">
        <f t="array" ref="F4960">IFERROR(INDEX(EmployeeData[Age], ROW() - 37), "")</f>
        <v/>
      </c>
      <c r="G4960" s="6" t="str" cm="1">
        <f t="array" ref="G4960">IFERROR(INDEX(EmployeeData[Join Date], ROW() - 37), "")</f>
        <v/>
      </c>
      <c r="H4960" s="6" t="str" cm="1">
        <f t="array" ref="H4960">IFERROR(IF(INDEX(EmployeeData[Exit Date], ROW() - 37)=0, "",INDEX(EmployeeData[Exit Date], ROW() - 37)),"")</f>
        <v/>
      </c>
      <c r="I4960" s="4" t="str" cm="1">
        <f t="array" ref="I4960">IFERROR(IF(INDEX(EmployeeData[Exit Reason], ROW() - 37)=0, "",INDEX(EmployeeData[Exit Reason], ROW() - 37)),"")</f>
        <v/>
      </c>
      <c r="J4960" s="4" t="str" cm="1">
        <f t="array" ref="J4960">IFERROR(INDEX(EmployeeData[Status], ROW() - 37), "")</f>
        <v/>
      </c>
    </row>
    <row r="4961" spans="2:10" ht="19.95" customHeight="1" x14ac:dyDescent="0.3">
      <c r="B4961" s="4" t="str" cm="1">
        <f t="array" ref="B4961">IFERROR(INDEX(EmployeeData[Employee ID], ROW() - 37), "")</f>
        <v/>
      </c>
      <c r="C4961" s="4" t="str" cm="1">
        <f t="array" ref="C4961">IFERROR(INDEX(EmployeeData[Full Name], ROW() - 37), "")</f>
        <v/>
      </c>
      <c r="D4961" s="4" t="str" cm="1">
        <f t="array" ref="D4961">IFERROR(INDEX(EmployeeData[Department], ROW() - 37), "")</f>
        <v/>
      </c>
      <c r="E4961" s="4" t="str" cm="1">
        <f t="array" ref="E4961">IFERROR(INDEX(EmployeeData[Gender], ROW() - 37), "")</f>
        <v/>
      </c>
      <c r="F4961" s="4" t="str" cm="1">
        <f t="array" ref="F4961">IFERROR(INDEX(EmployeeData[Age], ROW() - 37), "")</f>
        <v/>
      </c>
      <c r="G4961" s="6" t="str" cm="1">
        <f t="array" ref="G4961">IFERROR(INDEX(EmployeeData[Join Date], ROW() - 37), "")</f>
        <v/>
      </c>
      <c r="H4961" s="6" t="str" cm="1">
        <f t="array" ref="H4961">IFERROR(IF(INDEX(EmployeeData[Exit Date], ROW() - 37)=0, "",INDEX(EmployeeData[Exit Date], ROW() - 37)),"")</f>
        <v/>
      </c>
      <c r="I4961" s="4" t="str" cm="1">
        <f t="array" ref="I4961">IFERROR(IF(INDEX(EmployeeData[Exit Reason], ROW() - 37)=0, "",INDEX(EmployeeData[Exit Reason], ROW() - 37)),"")</f>
        <v/>
      </c>
      <c r="J4961" s="4" t="str" cm="1">
        <f t="array" ref="J4961">IFERROR(INDEX(EmployeeData[Status], ROW() - 37), "")</f>
        <v/>
      </c>
    </row>
    <row r="4962" spans="2:10" ht="19.95" customHeight="1" x14ac:dyDescent="0.3">
      <c r="B4962" s="4" t="str" cm="1">
        <f t="array" ref="B4962">IFERROR(INDEX(EmployeeData[Employee ID], ROW() - 37), "")</f>
        <v/>
      </c>
      <c r="C4962" s="4" t="str" cm="1">
        <f t="array" ref="C4962">IFERROR(INDEX(EmployeeData[Full Name], ROW() - 37), "")</f>
        <v/>
      </c>
      <c r="D4962" s="4" t="str" cm="1">
        <f t="array" ref="D4962">IFERROR(INDEX(EmployeeData[Department], ROW() - 37), "")</f>
        <v/>
      </c>
      <c r="E4962" s="4" t="str" cm="1">
        <f t="array" ref="E4962">IFERROR(INDEX(EmployeeData[Gender], ROW() - 37), "")</f>
        <v/>
      </c>
      <c r="F4962" s="4" t="str" cm="1">
        <f t="array" ref="F4962">IFERROR(INDEX(EmployeeData[Age], ROW() - 37), "")</f>
        <v/>
      </c>
      <c r="G4962" s="6" t="str" cm="1">
        <f t="array" ref="G4962">IFERROR(INDEX(EmployeeData[Join Date], ROW() - 37), "")</f>
        <v/>
      </c>
      <c r="H4962" s="6" t="str" cm="1">
        <f t="array" ref="H4962">IFERROR(IF(INDEX(EmployeeData[Exit Date], ROW() - 37)=0, "",INDEX(EmployeeData[Exit Date], ROW() - 37)),"")</f>
        <v/>
      </c>
      <c r="I4962" s="4" t="str" cm="1">
        <f t="array" ref="I4962">IFERROR(IF(INDEX(EmployeeData[Exit Reason], ROW() - 37)=0, "",INDEX(EmployeeData[Exit Reason], ROW() - 37)),"")</f>
        <v/>
      </c>
      <c r="J4962" s="4" t="str" cm="1">
        <f t="array" ref="J4962">IFERROR(INDEX(EmployeeData[Status], ROW() - 37), "")</f>
        <v/>
      </c>
    </row>
    <row r="4963" spans="2:10" ht="19.95" customHeight="1" x14ac:dyDescent="0.3">
      <c r="B4963" s="4" t="str" cm="1">
        <f t="array" ref="B4963">IFERROR(INDEX(EmployeeData[Employee ID], ROW() - 37), "")</f>
        <v/>
      </c>
      <c r="C4963" s="4" t="str" cm="1">
        <f t="array" ref="C4963">IFERROR(INDEX(EmployeeData[Full Name], ROW() - 37), "")</f>
        <v/>
      </c>
      <c r="D4963" s="4" t="str" cm="1">
        <f t="array" ref="D4963">IFERROR(INDEX(EmployeeData[Department], ROW() - 37), "")</f>
        <v/>
      </c>
      <c r="E4963" s="4" t="str" cm="1">
        <f t="array" ref="E4963">IFERROR(INDEX(EmployeeData[Gender], ROW() - 37), "")</f>
        <v/>
      </c>
      <c r="F4963" s="4" t="str" cm="1">
        <f t="array" ref="F4963">IFERROR(INDEX(EmployeeData[Age], ROW() - 37), "")</f>
        <v/>
      </c>
      <c r="G4963" s="6" t="str" cm="1">
        <f t="array" ref="G4963">IFERROR(INDEX(EmployeeData[Join Date], ROW() - 37), "")</f>
        <v/>
      </c>
      <c r="H4963" s="6" t="str" cm="1">
        <f t="array" ref="H4963">IFERROR(IF(INDEX(EmployeeData[Exit Date], ROW() - 37)=0, "",INDEX(EmployeeData[Exit Date], ROW() - 37)),"")</f>
        <v/>
      </c>
      <c r="I4963" s="4" t="str" cm="1">
        <f t="array" ref="I4963">IFERROR(IF(INDEX(EmployeeData[Exit Reason], ROW() - 37)=0, "",INDEX(EmployeeData[Exit Reason], ROW() - 37)),"")</f>
        <v/>
      </c>
      <c r="J4963" s="4" t="str" cm="1">
        <f t="array" ref="J4963">IFERROR(INDEX(EmployeeData[Status], ROW() - 37), "")</f>
        <v/>
      </c>
    </row>
    <row r="4964" spans="2:10" ht="19.95" customHeight="1" x14ac:dyDescent="0.3">
      <c r="B4964" s="4" t="str" cm="1">
        <f t="array" ref="B4964">IFERROR(INDEX(EmployeeData[Employee ID], ROW() - 37), "")</f>
        <v/>
      </c>
      <c r="C4964" s="4" t="str" cm="1">
        <f t="array" ref="C4964">IFERROR(INDEX(EmployeeData[Full Name], ROW() - 37), "")</f>
        <v/>
      </c>
      <c r="D4964" s="4" t="str" cm="1">
        <f t="array" ref="D4964">IFERROR(INDEX(EmployeeData[Department], ROW() - 37), "")</f>
        <v/>
      </c>
      <c r="E4964" s="4" t="str" cm="1">
        <f t="array" ref="E4964">IFERROR(INDEX(EmployeeData[Gender], ROW() - 37), "")</f>
        <v/>
      </c>
      <c r="F4964" s="4" t="str" cm="1">
        <f t="array" ref="F4964">IFERROR(INDEX(EmployeeData[Age], ROW() - 37), "")</f>
        <v/>
      </c>
      <c r="G4964" s="6" t="str" cm="1">
        <f t="array" ref="G4964">IFERROR(INDEX(EmployeeData[Join Date], ROW() - 37), "")</f>
        <v/>
      </c>
      <c r="H4964" s="6" t="str" cm="1">
        <f t="array" ref="H4964">IFERROR(IF(INDEX(EmployeeData[Exit Date], ROW() - 37)=0, "",INDEX(EmployeeData[Exit Date], ROW() - 37)),"")</f>
        <v/>
      </c>
      <c r="I4964" s="4" t="str" cm="1">
        <f t="array" ref="I4964">IFERROR(IF(INDEX(EmployeeData[Exit Reason], ROW() - 37)=0, "",INDEX(EmployeeData[Exit Reason], ROW() - 37)),"")</f>
        <v/>
      </c>
      <c r="J4964" s="4" t="str" cm="1">
        <f t="array" ref="J4964">IFERROR(INDEX(EmployeeData[Status], ROW() - 37), "")</f>
        <v/>
      </c>
    </row>
    <row r="4965" spans="2:10" ht="19.95" customHeight="1" x14ac:dyDescent="0.3">
      <c r="B4965" s="4" t="str" cm="1">
        <f t="array" ref="B4965">IFERROR(INDEX(EmployeeData[Employee ID], ROW() - 37), "")</f>
        <v/>
      </c>
      <c r="C4965" s="4" t="str" cm="1">
        <f t="array" ref="C4965">IFERROR(INDEX(EmployeeData[Full Name], ROW() - 37), "")</f>
        <v/>
      </c>
      <c r="D4965" s="4" t="str" cm="1">
        <f t="array" ref="D4965">IFERROR(INDEX(EmployeeData[Department], ROW() - 37), "")</f>
        <v/>
      </c>
      <c r="E4965" s="4" t="str" cm="1">
        <f t="array" ref="E4965">IFERROR(INDEX(EmployeeData[Gender], ROW() - 37), "")</f>
        <v/>
      </c>
      <c r="F4965" s="4" t="str" cm="1">
        <f t="array" ref="F4965">IFERROR(INDEX(EmployeeData[Age], ROW() - 37), "")</f>
        <v/>
      </c>
      <c r="G4965" s="6" t="str" cm="1">
        <f t="array" ref="G4965">IFERROR(INDEX(EmployeeData[Join Date], ROW() - 37), "")</f>
        <v/>
      </c>
      <c r="H4965" s="6" t="str" cm="1">
        <f t="array" ref="H4965">IFERROR(IF(INDEX(EmployeeData[Exit Date], ROW() - 37)=0, "",INDEX(EmployeeData[Exit Date], ROW() - 37)),"")</f>
        <v/>
      </c>
      <c r="I4965" s="4" t="str" cm="1">
        <f t="array" ref="I4965">IFERROR(IF(INDEX(EmployeeData[Exit Reason], ROW() - 37)=0, "",INDEX(EmployeeData[Exit Reason], ROW() - 37)),"")</f>
        <v/>
      </c>
      <c r="J4965" s="4" t="str" cm="1">
        <f t="array" ref="J4965">IFERROR(INDEX(EmployeeData[Status], ROW() - 37), "")</f>
        <v/>
      </c>
    </row>
    <row r="4966" spans="2:10" ht="19.95" customHeight="1" x14ac:dyDescent="0.3">
      <c r="B4966" s="4" t="str" cm="1">
        <f t="array" ref="B4966">IFERROR(INDEX(EmployeeData[Employee ID], ROW() - 37), "")</f>
        <v/>
      </c>
      <c r="C4966" s="4" t="str" cm="1">
        <f t="array" ref="C4966">IFERROR(INDEX(EmployeeData[Full Name], ROW() - 37), "")</f>
        <v/>
      </c>
      <c r="D4966" s="4" t="str" cm="1">
        <f t="array" ref="D4966">IFERROR(INDEX(EmployeeData[Department], ROW() - 37), "")</f>
        <v/>
      </c>
      <c r="E4966" s="4" t="str" cm="1">
        <f t="array" ref="E4966">IFERROR(INDEX(EmployeeData[Gender], ROW() - 37), "")</f>
        <v/>
      </c>
      <c r="F4966" s="4" t="str" cm="1">
        <f t="array" ref="F4966">IFERROR(INDEX(EmployeeData[Age], ROW() - 37), "")</f>
        <v/>
      </c>
      <c r="G4966" s="6" t="str" cm="1">
        <f t="array" ref="G4966">IFERROR(INDEX(EmployeeData[Join Date], ROW() - 37), "")</f>
        <v/>
      </c>
      <c r="H4966" s="6" t="str" cm="1">
        <f t="array" ref="H4966">IFERROR(IF(INDEX(EmployeeData[Exit Date], ROW() - 37)=0, "",INDEX(EmployeeData[Exit Date], ROW() - 37)),"")</f>
        <v/>
      </c>
      <c r="I4966" s="4" t="str" cm="1">
        <f t="array" ref="I4966">IFERROR(IF(INDEX(EmployeeData[Exit Reason], ROW() - 37)=0, "",INDEX(EmployeeData[Exit Reason], ROW() - 37)),"")</f>
        <v/>
      </c>
      <c r="J4966" s="4" t="str" cm="1">
        <f t="array" ref="J4966">IFERROR(INDEX(EmployeeData[Status], ROW() - 37), "")</f>
        <v/>
      </c>
    </row>
    <row r="4967" spans="2:10" ht="19.95" customHeight="1" x14ac:dyDescent="0.3">
      <c r="B4967" s="4" t="str" cm="1">
        <f t="array" ref="B4967">IFERROR(INDEX(EmployeeData[Employee ID], ROW() - 37), "")</f>
        <v/>
      </c>
      <c r="C4967" s="4" t="str" cm="1">
        <f t="array" ref="C4967">IFERROR(INDEX(EmployeeData[Full Name], ROW() - 37), "")</f>
        <v/>
      </c>
      <c r="D4967" s="4" t="str" cm="1">
        <f t="array" ref="D4967">IFERROR(INDEX(EmployeeData[Department], ROW() - 37), "")</f>
        <v/>
      </c>
      <c r="E4967" s="4" t="str" cm="1">
        <f t="array" ref="E4967">IFERROR(INDEX(EmployeeData[Gender], ROW() - 37), "")</f>
        <v/>
      </c>
      <c r="F4967" s="4" t="str" cm="1">
        <f t="array" ref="F4967">IFERROR(INDEX(EmployeeData[Age], ROW() - 37), "")</f>
        <v/>
      </c>
      <c r="G4967" s="6" t="str" cm="1">
        <f t="array" ref="G4967">IFERROR(INDEX(EmployeeData[Join Date], ROW() - 37), "")</f>
        <v/>
      </c>
      <c r="H4967" s="6" t="str" cm="1">
        <f t="array" ref="H4967">IFERROR(IF(INDEX(EmployeeData[Exit Date], ROW() - 37)=0, "",INDEX(EmployeeData[Exit Date], ROW() - 37)),"")</f>
        <v/>
      </c>
      <c r="I4967" s="4" t="str" cm="1">
        <f t="array" ref="I4967">IFERROR(IF(INDEX(EmployeeData[Exit Reason], ROW() - 37)=0, "",INDEX(EmployeeData[Exit Reason], ROW() - 37)),"")</f>
        <v/>
      </c>
      <c r="J4967" s="4" t="str" cm="1">
        <f t="array" ref="J4967">IFERROR(INDEX(EmployeeData[Status], ROW() - 37), "")</f>
        <v/>
      </c>
    </row>
    <row r="4968" spans="2:10" ht="19.95" customHeight="1" x14ac:dyDescent="0.3">
      <c r="B4968" s="4" t="str" cm="1">
        <f t="array" ref="B4968">IFERROR(INDEX(EmployeeData[Employee ID], ROW() - 37), "")</f>
        <v/>
      </c>
      <c r="C4968" s="4" t="str" cm="1">
        <f t="array" ref="C4968">IFERROR(INDEX(EmployeeData[Full Name], ROW() - 37), "")</f>
        <v/>
      </c>
      <c r="D4968" s="4" t="str" cm="1">
        <f t="array" ref="D4968">IFERROR(INDEX(EmployeeData[Department], ROW() - 37), "")</f>
        <v/>
      </c>
      <c r="E4968" s="4" t="str" cm="1">
        <f t="array" ref="E4968">IFERROR(INDEX(EmployeeData[Gender], ROW() - 37), "")</f>
        <v/>
      </c>
      <c r="F4968" s="4" t="str" cm="1">
        <f t="array" ref="F4968">IFERROR(INDEX(EmployeeData[Age], ROW() - 37), "")</f>
        <v/>
      </c>
      <c r="G4968" s="6" t="str" cm="1">
        <f t="array" ref="G4968">IFERROR(INDEX(EmployeeData[Join Date], ROW() - 37), "")</f>
        <v/>
      </c>
      <c r="H4968" s="6" t="str" cm="1">
        <f t="array" ref="H4968">IFERROR(IF(INDEX(EmployeeData[Exit Date], ROW() - 37)=0, "",INDEX(EmployeeData[Exit Date], ROW() - 37)),"")</f>
        <v/>
      </c>
      <c r="I4968" s="4" t="str" cm="1">
        <f t="array" ref="I4968">IFERROR(IF(INDEX(EmployeeData[Exit Reason], ROW() - 37)=0, "",INDEX(EmployeeData[Exit Reason], ROW() - 37)),"")</f>
        <v/>
      </c>
      <c r="J4968" s="4" t="str" cm="1">
        <f t="array" ref="J4968">IFERROR(INDEX(EmployeeData[Status], ROW() - 37), "")</f>
        <v/>
      </c>
    </row>
    <row r="4969" spans="2:10" ht="19.95" customHeight="1" x14ac:dyDescent="0.3">
      <c r="B4969" s="4" t="str" cm="1">
        <f t="array" ref="B4969">IFERROR(INDEX(EmployeeData[Employee ID], ROW() - 37), "")</f>
        <v/>
      </c>
      <c r="C4969" s="4" t="str" cm="1">
        <f t="array" ref="C4969">IFERROR(INDEX(EmployeeData[Full Name], ROW() - 37), "")</f>
        <v/>
      </c>
      <c r="D4969" s="4" t="str" cm="1">
        <f t="array" ref="D4969">IFERROR(INDEX(EmployeeData[Department], ROW() - 37), "")</f>
        <v/>
      </c>
      <c r="E4969" s="4" t="str" cm="1">
        <f t="array" ref="E4969">IFERROR(INDEX(EmployeeData[Gender], ROW() - 37), "")</f>
        <v/>
      </c>
      <c r="F4969" s="4" t="str" cm="1">
        <f t="array" ref="F4969">IFERROR(INDEX(EmployeeData[Age], ROW() - 37), "")</f>
        <v/>
      </c>
      <c r="G4969" s="6" t="str" cm="1">
        <f t="array" ref="G4969">IFERROR(INDEX(EmployeeData[Join Date], ROW() - 37), "")</f>
        <v/>
      </c>
      <c r="H4969" s="6" t="str" cm="1">
        <f t="array" ref="H4969">IFERROR(IF(INDEX(EmployeeData[Exit Date], ROW() - 37)=0, "",INDEX(EmployeeData[Exit Date], ROW() - 37)),"")</f>
        <v/>
      </c>
      <c r="I4969" s="4" t="str" cm="1">
        <f t="array" ref="I4969">IFERROR(IF(INDEX(EmployeeData[Exit Reason], ROW() - 37)=0, "",INDEX(EmployeeData[Exit Reason], ROW() - 37)),"")</f>
        <v/>
      </c>
      <c r="J4969" s="4" t="str" cm="1">
        <f t="array" ref="J4969">IFERROR(INDEX(EmployeeData[Status], ROW() - 37), "")</f>
        <v/>
      </c>
    </row>
    <row r="4970" spans="2:10" ht="19.95" customHeight="1" x14ac:dyDescent="0.3">
      <c r="B4970" s="4" t="str" cm="1">
        <f t="array" ref="B4970">IFERROR(INDEX(EmployeeData[Employee ID], ROW() - 37), "")</f>
        <v/>
      </c>
      <c r="C4970" s="4" t="str" cm="1">
        <f t="array" ref="C4970">IFERROR(INDEX(EmployeeData[Full Name], ROW() - 37), "")</f>
        <v/>
      </c>
      <c r="D4970" s="4" t="str" cm="1">
        <f t="array" ref="D4970">IFERROR(INDEX(EmployeeData[Department], ROW() - 37), "")</f>
        <v/>
      </c>
      <c r="E4970" s="4" t="str" cm="1">
        <f t="array" ref="E4970">IFERROR(INDEX(EmployeeData[Gender], ROW() - 37), "")</f>
        <v/>
      </c>
      <c r="F4970" s="4" t="str" cm="1">
        <f t="array" ref="F4970">IFERROR(INDEX(EmployeeData[Age], ROW() - 37), "")</f>
        <v/>
      </c>
      <c r="G4970" s="6" t="str" cm="1">
        <f t="array" ref="G4970">IFERROR(INDEX(EmployeeData[Join Date], ROW() - 37), "")</f>
        <v/>
      </c>
      <c r="H4970" s="6" t="str" cm="1">
        <f t="array" ref="H4970">IFERROR(IF(INDEX(EmployeeData[Exit Date], ROW() - 37)=0, "",INDEX(EmployeeData[Exit Date], ROW() - 37)),"")</f>
        <v/>
      </c>
      <c r="I4970" s="4" t="str" cm="1">
        <f t="array" ref="I4970">IFERROR(IF(INDEX(EmployeeData[Exit Reason], ROW() - 37)=0, "",INDEX(EmployeeData[Exit Reason], ROW() - 37)),"")</f>
        <v/>
      </c>
      <c r="J4970" s="4" t="str" cm="1">
        <f t="array" ref="J4970">IFERROR(INDEX(EmployeeData[Status], ROW() - 37), "")</f>
        <v/>
      </c>
    </row>
    <row r="4971" spans="2:10" ht="19.95" customHeight="1" x14ac:dyDescent="0.3">
      <c r="B4971" s="4" t="str" cm="1">
        <f t="array" ref="B4971">IFERROR(INDEX(EmployeeData[Employee ID], ROW() - 37), "")</f>
        <v/>
      </c>
      <c r="C4971" s="4" t="str" cm="1">
        <f t="array" ref="C4971">IFERROR(INDEX(EmployeeData[Full Name], ROW() - 37), "")</f>
        <v/>
      </c>
      <c r="D4971" s="4" t="str" cm="1">
        <f t="array" ref="D4971">IFERROR(INDEX(EmployeeData[Department], ROW() - 37), "")</f>
        <v/>
      </c>
      <c r="E4971" s="4" t="str" cm="1">
        <f t="array" ref="E4971">IFERROR(INDEX(EmployeeData[Gender], ROW() - 37), "")</f>
        <v/>
      </c>
      <c r="F4971" s="4" t="str" cm="1">
        <f t="array" ref="F4971">IFERROR(INDEX(EmployeeData[Age], ROW() - 37), "")</f>
        <v/>
      </c>
      <c r="G4971" s="6" t="str" cm="1">
        <f t="array" ref="G4971">IFERROR(INDEX(EmployeeData[Join Date], ROW() - 37), "")</f>
        <v/>
      </c>
      <c r="H4971" s="6" t="str" cm="1">
        <f t="array" ref="H4971">IFERROR(IF(INDEX(EmployeeData[Exit Date], ROW() - 37)=0, "",INDEX(EmployeeData[Exit Date], ROW() - 37)),"")</f>
        <v/>
      </c>
      <c r="I4971" s="4" t="str" cm="1">
        <f t="array" ref="I4971">IFERROR(IF(INDEX(EmployeeData[Exit Reason], ROW() - 37)=0, "",INDEX(EmployeeData[Exit Reason], ROW() - 37)),"")</f>
        <v/>
      </c>
      <c r="J4971" s="4" t="str" cm="1">
        <f t="array" ref="J4971">IFERROR(INDEX(EmployeeData[Status], ROW() - 37), "")</f>
        <v/>
      </c>
    </row>
    <row r="4972" spans="2:10" ht="19.95" customHeight="1" x14ac:dyDescent="0.3">
      <c r="B4972" s="4" t="str" cm="1">
        <f t="array" ref="B4972">IFERROR(INDEX(EmployeeData[Employee ID], ROW() - 37), "")</f>
        <v/>
      </c>
      <c r="C4972" s="4" t="str" cm="1">
        <f t="array" ref="C4972">IFERROR(INDEX(EmployeeData[Full Name], ROW() - 37), "")</f>
        <v/>
      </c>
      <c r="D4972" s="4" t="str" cm="1">
        <f t="array" ref="D4972">IFERROR(INDEX(EmployeeData[Department], ROW() - 37), "")</f>
        <v/>
      </c>
      <c r="E4972" s="4" t="str" cm="1">
        <f t="array" ref="E4972">IFERROR(INDEX(EmployeeData[Gender], ROW() - 37), "")</f>
        <v/>
      </c>
      <c r="F4972" s="4" t="str" cm="1">
        <f t="array" ref="F4972">IFERROR(INDEX(EmployeeData[Age], ROW() - 37), "")</f>
        <v/>
      </c>
      <c r="G4972" s="6" t="str" cm="1">
        <f t="array" ref="G4972">IFERROR(INDEX(EmployeeData[Join Date], ROW() - 37), "")</f>
        <v/>
      </c>
      <c r="H4972" s="6" t="str" cm="1">
        <f t="array" ref="H4972">IFERROR(IF(INDEX(EmployeeData[Exit Date], ROW() - 37)=0, "",INDEX(EmployeeData[Exit Date], ROW() - 37)),"")</f>
        <v/>
      </c>
      <c r="I4972" s="4" t="str" cm="1">
        <f t="array" ref="I4972">IFERROR(IF(INDEX(EmployeeData[Exit Reason], ROW() - 37)=0, "",INDEX(EmployeeData[Exit Reason], ROW() - 37)),"")</f>
        <v/>
      </c>
      <c r="J4972" s="4" t="str" cm="1">
        <f t="array" ref="J4972">IFERROR(INDEX(EmployeeData[Status], ROW() - 37), "")</f>
        <v/>
      </c>
    </row>
    <row r="4973" spans="2:10" ht="19.95" customHeight="1" x14ac:dyDescent="0.3">
      <c r="B4973" s="4" t="str" cm="1">
        <f t="array" ref="B4973">IFERROR(INDEX(EmployeeData[Employee ID], ROW() - 37), "")</f>
        <v/>
      </c>
      <c r="C4973" s="4" t="str" cm="1">
        <f t="array" ref="C4973">IFERROR(INDEX(EmployeeData[Full Name], ROW() - 37), "")</f>
        <v/>
      </c>
      <c r="D4973" s="4" t="str" cm="1">
        <f t="array" ref="D4973">IFERROR(INDEX(EmployeeData[Department], ROW() - 37), "")</f>
        <v/>
      </c>
      <c r="E4973" s="4" t="str" cm="1">
        <f t="array" ref="E4973">IFERROR(INDEX(EmployeeData[Gender], ROW() - 37), "")</f>
        <v/>
      </c>
      <c r="F4973" s="4" t="str" cm="1">
        <f t="array" ref="F4973">IFERROR(INDEX(EmployeeData[Age], ROW() - 37), "")</f>
        <v/>
      </c>
      <c r="G4973" s="6" t="str" cm="1">
        <f t="array" ref="G4973">IFERROR(INDEX(EmployeeData[Join Date], ROW() - 37), "")</f>
        <v/>
      </c>
      <c r="H4973" s="6" t="str" cm="1">
        <f t="array" ref="H4973">IFERROR(IF(INDEX(EmployeeData[Exit Date], ROW() - 37)=0, "",INDEX(EmployeeData[Exit Date], ROW() - 37)),"")</f>
        <v/>
      </c>
      <c r="I4973" s="4" t="str" cm="1">
        <f t="array" ref="I4973">IFERROR(IF(INDEX(EmployeeData[Exit Reason], ROW() - 37)=0, "",INDEX(EmployeeData[Exit Reason], ROW() - 37)),"")</f>
        <v/>
      </c>
      <c r="J4973" s="4" t="str" cm="1">
        <f t="array" ref="J4973">IFERROR(INDEX(EmployeeData[Status], ROW() - 37), "")</f>
        <v/>
      </c>
    </row>
    <row r="4974" spans="2:10" ht="19.95" customHeight="1" x14ac:dyDescent="0.3">
      <c r="B4974" s="4" t="str" cm="1">
        <f t="array" ref="B4974">IFERROR(INDEX(EmployeeData[Employee ID], ROW() - 37), "")</f>
        <v/>
      </c>
      <c r="C4974" s="4" t="str" cm="1">
        <f t="array" ref="C4974">IFERROR(INDEX(EmployeeData[Full Name], ROW() - 37), "")</f>
        <v/>
      </c>
      <c r="D4974" s="4" t="str" cm="1">
        <f t="array" ref="D4974">IFERROR(INDEX(EmployeeData[Department], ROW() - 37), "")</f>
        <v/>
      </c>
      <c r="E4974" s="4" t="str" cm="1">
        <f t="array" ref="E4974">IFERROR(INDEX(EmployeeData[Gender], ROW() - 37), "")</f>
        <v/>
      </c>
      <c r="F4974" s="4" t="str" cm="1">
        <f t="array" ref="F4974">IFERROR(INDEX(EmployeeData[Age], ROW() - 37), "")</f>
        <v/>
      </c>
      <c r="G4974" s="6" t="str" cm="1">
        <f t="array" ref="G4974">IFERROR(INDEX(EmployeeData[Join Date], ROW() - 37), "")</f>
        <v/>
      </c>
      <c r="H4974" s="6" t="str" cm="1">
        <f t="array" ref="H4974">IFERROR(IF(INDEX(EmployeeData[Exit Date], ROW() - 37)=0, "",INDEX(EmployeeData[Exit Date], ROW() - 37)),"")</f>
        <v/>
      </c>
      <c r="I4974" s="4" t="str" cm="1">
        <f t="array" ref="I4974">IFERROR(IF(INDEX(EmployeeData[Exit Reason], ROW() - 37)=0, "",INDEX(EmployeeData[Exit Reason], ROW() - 37)),"")</f>
        <v/>
      </c>
      <c r="J4974" s="4" t="str" cm="1">
        <f t="array" ref="J4974">IFERROR(INDEX(EmployeeData[Status], ROW() - 37), "")</f>
        <v/>
      </c>
    </row>
    <row r="4975" spans="2:10" ht="19.95" customHeight="1" x14ac:dyDescent="0.3">
      <c r="B4975" s="4" t="str" cm="1">
        <f t="array" ref="B4975">IFERROR(INDEX(EmployeeData[Employee ID], ROW() - 37), "")</f>
        <v/>
      </c>
      <c r="C4975" s="4" t="str" cm="1">
        <f t="array" ref="C4975">IFERROR(INDEX(EmployeeData[Full Name], ROW() - 37), "")</f>
        <v/>
      </c>
      <c r="D4975" s="4" t="str" cm="1">
        <f t="array" ref="D4975">IFERROR(INDEX(EmployeeData[Department], ROW() - 37), "")</f>
        <v/>
      </c>
      <c r="E4975" s="4" t="str" cm="1">
        <f t="array" ref="E4975">IFERROR(INDEX(EmployeeData[Gender], ROW() - 37), "")</f>
        <v/>
      </c>
      <c r="F4975" s="4" t="str" cm="1">
        <f t="array" ref="F4975">IFERROR(INDEX(EmployeeData[Age], ROW() - 37), "")</f>
        <v/>
      </c>
      <c r="G4975" s="6" t="str" cm="1">
        <f t="array" ref="G4975">IFERROR(INDEX(EmployeeData[Join Date], ROW() - 37), "")</f>
        <v/>
      </c>
      <c r="H4975" s="6" t="str" cm="1">
        <f t="array" ref="H4975">IFERROR(IF(INDEX(EmployeeData[Exit Date], ROW() - 37)=0, "",INDEX(EmployeeData[Exit Date], ROW() - 37)),"")</f>
        <v/>
      </c>
      <c r="I4975" s="4" t="str" cm="1">
        <f t="array" ref="I4975">IFERROR(IF(INDEX(EmployeeData[Exit Reason], ROW() - 37)=0, "",INDEX(EmployeeData[Exit Reason], ROW() - 37)),"")</f>
        <v/>
      </c>
      <c r="J4975" s="4" t="str" cm="1">
        <f t="array" ref="J4975">IFERROR(INDEX(EmployeeData[Status], ROW() - 37), "")</f>
        <v/>
      </c>
    </row>
    <row r="4976" spans="2:10" ht="19.95" customHeight="1" x14ac:dyDescent="0.3">
      <c r="B4976" s="4" t="str" cm="1">
        <f t="array" ref="B4976">IFERROR(INDEX(EmployeeData[Employee ID], ROW() - 37), "")</f>
        <v/>
      </c>
      <c r="C4976" s="4" t="str" cm="1">
        <f t="array" ref="C4976">IFERROR(INDEX(EmployeeData[Full Name], ROW() - 37), "")</f>
        <v/>
      </c>
      <c r="D4976" s="4" t="str" cm="1">
        <f t="array" ref="D4976">IFERROR(INDEX(EmployeeData[Department], ROW() - 37), "")</f>
        <v/>
      </c>
      <c r="E4976" s="4" t="str" cm="1">
        <f t="array" ref="E4976">IFERROR(INDEX(EmployeeData[Gender], ROW() - 37), "")</f>
        <v/>
      </c>
      <c r="F4976" s="4" t="str" cm="1">
        <f t="array" ref="F4976">IFERROR(INDEX(EmployeeData[Age], ROW() - 37), "")</f>
        <v/>
      </c>
      <c r="G4976" s="6" t="str" cm="1">
        <f t="array" ref="G4976">IFERROR(INDEX(EmployeeData[Join Date], ROW() - 37), "")</f>
        <v/>
      </c>
      <c r="H4976" s="6" t="str" cm="1">
        <f t="array" ref="H4976">IFERROR(IF(INDEX(EmployeeData[Exit Date], ROW() - 37)=0, "",INDEX(EmployeeData[Exit Date], ROW() - 37)),"")</f>
        <v/>
      </c>
      <c r="I4976" s="4" t="str" cm="1">
        <f t="array" ref="I4976">IFERROR(IF(INDEX(EmployeeData[Exit Reason], ROW() - 37)=0, "",INDEX(EmployeeData[Exit Reason], ROW() - 37)),"")</f>
        <v/>
      </c>
      <c r="J4976" s="4" t="str" cm="1">
        <f t="array" ref="J4976">IFERROR(INDEX(EmployeeData[Status], ROW() - 37), "")</f>
        <v/>
      </c>
    </row>
    <row r="4977" spans="2:10" ht="19.95" customHeight="1" x14ac:dyDescent="0.3">
      <c r="B4977" s="4" t="str" cm="1">
        <f t="array" ref="B4977">IFERROR(INDEX(EmployeeData[Employee ID], ROW() - 37), "")</f>
        <v/>
      </c>
      <c r="C4977" s="4" t="str" cm="1">
        <f t="array" ref="C4977">IFERROR(INDEX(EmployeeData[Full Name], ROW() - 37), "")</f>
        <v/>
      </c>
      <c r="D4977" s="4" t="str" cm="1">
        <f t="array" ref="D4977">IFERROR(INDEX(EmployeeData[Department], ROW() - 37), "")</f>
        <v/>
      </c>
      <c r="E4977" s="4" t="str" cm="1">
        <f t="array" ref="E4977">IFERROR(INDEX(EmployeeData[Gender], ROW() - 37), "")</f>
        <v/>
      </c>
      <c r="F4977" s="4" t="str" cm="1">
        <f t="array" ref="F4977">IFERROR(INDEX(EmployeeData[Age], ROW() - 37), "")</f>
        <v/>
      </c>
      <c r="G4977" s="6" t="str" cm="1">
        <f t="array" ref="G4977">IFERROR(INDEX(EmployeeData[Join Date], ROW() - 37), "")</f>
        <v/>
      </c>
      <c r="H4977" s="6" t="str" cm="1">
        <f t="array" ref="H4977">IFERROR(IF(INDEX(EmployeeData[Exit Date], ROW() - 37)=0, "",INDEX(EmployeeData[Exit Date], ROW() - 37)),"")</f>
        <v/>
      </c>
      <c r="I4977" s="4" t="str" cm="1">
        <f t="array" ref="I4977">IFERROR(IF(INDEX(EmployeeData[Exit Reason], ROW() - 37)=0, "",INDEX(EmployeeData[Exit Reason], ROW() - 37)),"")</f>
        <v/>
      </c>
      <c r="J4977" s="4" t="str" cm="1">
        <f t="array" ref="J4977">IFERROR(INDEX(EmployeeData[Status], ROW() - 37), "")</f>
        <v/>
      </c>
    </row>
    <row r="4978" spans="2:10" ht="19.95" customHeight="1" x14ac:dyDescent="0.3">
      <c r="B4978" s="4" t="str" cm="1">
        <f t="array" ref="B4978">IFERROR(INDEX(EmployeeData[Employee ID], ROW() - 37), "")</f>
        <v/>
      </c>
      <c r="C4978" s="4" t="str" cm="1">
        <f t="array" ref="C4978">IFERROR(INDEX(EmployeeData[Full Name], ROW() - 37), "")</f>
        <v/>
      </c>
      <c r="D4978" s="4" t="str" cm="1">
        <f t="array" ref="D4978">IFERROR(INDEX(EmployeeData[Department], ROW() - 37), "")</f>
        <v/>
      </c>
      <c r="E4978" s="4" t="str" cm="1">
        <f t="array" ref="E4978">IFERROR(INDEX(EmployeeData[Gender], ROW() - 37), "")</f>
        <v/>
      </c>
      <c r="F4978" s="4" t="str" cm="1">
        <f t="array" ref="F4978">IFERROR(INDEX(EmployeeData[Age], ROW() - 37), "")</f>
        <v/>
      </c>
      <c r="G4978" s="6" t="str" cm="1">
        <f t="array" ref="G4978">IFERROR(INDEX(EmployeeData[Join Date], ROW() - 37), "")</f>
        <v/>
      </c>
      <c r="H4978" s="6" t="str" cm="1">
        <f t="array" ref="H4978">IFERROR(IF(INDEX(EmployeeData[Exit Date], ROW() - 37)=0, "",INDEX(EmployeeData[Exit Date], ROW() - 37)),"")</f>
        <v/>
      </c>
      <c r="I4978" s="4" t="str" cm="1">
        <f t="array" ref="I4978">IFERROR(IF(INDEX(EmployeeData[Exit Reason], ROW() - 37)=0, "",INDEX(EmployeeData[Exit Reason], ROW() - 37)),"")</f>
        <v/>
      </c>
      <c r="J4978" s="4" t="str" cm="1">
        <f t="array" ref="J4978">IFERROR(INDEX(EmployeeData[Status], ROW() - 37), "")</f>
        <v/>
      </c>
    </row>
    <row r="4979" spans="2:10" ht="19.95" customHeight="1" x14ac:dyDescent="0.3">
      <c r="B4979" s="4" t="str" cm="1">
        <f t="array" ref="B4979">IFERROR(INDEX(EmployeeData[Employee ID], ROW() - 37), "")</f>
        <v/>
      </c>
      <c r="C4979" s="4" t="str" cm="1">
        <f t="array" ref="C4979">IFERROR(INDEX(EmployeeData[Full Name], ROW() - 37), "")</f>
        <v/>
      </c>
      <c r="D4979" s="4" t="str" cm="1">
        <f t="array" ref="D4979">IFERROR(INDEX(EmployeeData[Department], ROW() - 37), "")</f>
        <v/>
      </c>
      <c r="E4979" s="4" t="str" cm="1">
        <f t="array" ref="E4979">IFERROR(INDEX(EmployeeData[Gender], ROW() - 37), "")</f>
        <v/>
      </c>
      <c r="F4979" s="4" t="str" cm="1">
        <f t="array" ref="F4979">IFERROR(INDEX(EmployeeData[Age], ROW() - 37), "")</f>
        <v/>
      </c>
      <c r="G4979" s="6" t="str" cm="1">
        <f t="array" ref="G4979">IFERROR(INDEX(EmployeeData[Join Date], ROW() - 37), "")</f>
        <v/>
      </c>
      <c r="H4979" s="6" t="str" cm="1">
        <f t="array" ref="H4979">IFERROR(IF(INDEX(EmployeeData[Exit Date], ROW() - 37)=0, "",INDEX(EmployeeData[Exit Date], ROW() - 37)),"")</f>
        <v/>
      </c>
      <c r="I4979" s="4" t="str" cm="1">
        <f t="array" ref="I4979">IFERROR(IF(INDEX(EmployeeData[Exit Reason], ROW() - 37)=0, "",INDEX(EmployeeData[Exit Reason], ROW() - 37)),"")</f>
        <v/>
      </c>
      <c r="J4979" s="4" t="str" cm="1">
        <f t="array" ref="J4979">IFERROR(INDEX(EmployeeData[Status], ROW() - 37), "")</f>
        <v/>
      </c>
    </row>
    <row r="4980" spans="2:10" ht="19.95" customHeight="1" x14ac:dyDescent="0.3">
      <c r="B4980" s="4" t="str" cm="1">
        <f t="array" ref="B4980">IFERROR(INDEX(EmployeeData[Employee ID], ROW() - 37), "")</f>
        <v/>
      </c>
      <c r="C4980" s="4" t="str" cm="1">
        <f t="array" ref="C4980">IFERROR(INDEX(EmployeeData[Full Name], ROW() - 37), "")</f>
        <v/>
      </c>
      <c r="D4980" s="4" t="str" cm="1">
        <f t="array" ref="D4980">IFERROR(INDEX(EmployeeData[Department], ROW() - 37), "")</f>
        <v/>
      </c>
      <c r="E4980" s="4" t="str" cm="1">
        <f t="array" ref="E4980">IFERROR(INDEX(EmployeeData[Gender], ROW() - 37), "")</f>
        <v/>
      </c>
      <c r="F4980" s="4" t="str" cm="1">
        <f t="array" ref="F4980">IFERROR(INDEX(EmployeeData[Age], ROW() - 37), "")</f>
        <v/>
      </c>
      <c r="G4980" s="6" t="str" cm="1">
        <f t="array" ref="G4980">IFERROR(INDEX(EmployeeData[Join Date], ROW() - 37), "")</f>
        <v/>
      </c>
      <c r="H4980" s="6" t="str" cm="1">
        <f t="array" ref="H4980">IFERROR(IF(INDEX(EmployeeData[Exit Date], ROW() - 37)=0, "",INDEX(EmployeeData[Exit Date], ROW() - 37)),"")</f>
        <v/>
      </c>
      <c r="I4980" s="4" t="str" cm="1">
        <f t="array" ref="I4980">IFERROR(IF(INDEX(EmployeeData[Exit Reason], ROW() - 37)=0, "",INDEX(EmployeeData[Exit Reason], ROW() - 37)),"")</f>
        <v/>
      </c>
      <c r="J4980" s="4" t="str" cm="1">
        <f t="array" ref="J4980">IFERROR(INDEX(EmployeeData[Status], ROW() - 37), "")</f>
        <v/>
      </c>
    </row>
    <row r="4981" spans="2:10" ht="19.95" customHeight="1" x14ac:dyDescent="0.3">
      <c r="B4981" s="4" t="str" cm="1">
        <f t="array" ref="B4981">IFERROR(INDEX(EmployeeData[Employee ID], ROW() - 37), "")</f>
        <v/>
      </c>
      <c r="C4981" s="4" t="str" cm="1">
        <f t="array" ref="C4981">IFERROR(INDEX(EmployeeData[Full Name], ROW() - 37), "")</f>
        <v/>
      </c>
      <c r="D4981" s="4" t="str" cm="1">
        <f t="array" ref="D4981">IFERROR(INDEX(EmployeeData[Department], ROW() - 37), "")</f>
        <v/>
      </c>
      <c r="E4981" s="4" t="str" cm="1">
        <f t="array" ref="E4981">IFERROR(INDEX(EmployeeData[Gender], ROW() - 37), "")</f>
        <v/>
      </c>
      <c r="F4981" s="4" t="str" cm="1">
        <f t="array" ref="F4981">IFERROR(INDEX(EmployeeData[Age], ROW() - 37), "")</f>
        <v/>
      </c>
      <c r="G4981" s="6" t="str" cm="1">
        <f t="array" ref="G4981">IFERROR(INDEX(EmployeeData[Join Date], ROW() - 37), "")</f>
        <v/>
      </c>
      <c r="H4981" s="6" t="str" cm="1">
        <f t="array" ref="H4981">IFERROR(IF(INDEX(EmployeeData[Exit Date], ROW() - 37)=0, "",INDEX(EmployeeData[Exit Date], ROW() - 37)),"")</f>
        <v/>
      </c>
      <c r="I4981" s="4" t="str" cm="1">
        <f t="array" ref="I4981">IFERROR(IF(INDEX(EmployeeData[Exit Reason], ROW() - 37)=0, "",INDEX(EmployeeData[Exit Reason], ROW() - 37)),"")</f>
        <v/>
      </c>
      <c r="J4981" s="4" t="str" cm="1">
        <f t="array" ref="J4981">IFERROR(INDEX(EmployeeData[Status], ROW() - 37), "")</f>
        <v/>
      </c>
    </row>
    <row r="4982" spans="2:10" ht="19.95" customHeight="1" x14ac:dyDescent="0.3">
      <c r="B4982" s="4" t="str" cm="1">
        <f t="array" ref="B4982">IFERROR(INDEX(EmployeeData[Employee ID], ROW() - 37), "")</f>
        <v/>
      </c>
      <c r="C4982" s="4" t="str" cm="1">
        <f t="array" ref="C4982">IFERROR(INDEX(EmployeeData[Full Name], ROW() - 37), "")</f>
        <v/>
      </c>
      <c r="D4982" s="4" t="str" cm="1">
        <f t="array" ref="D4982">IFERROR(INDEX(EmployeeData[Department], ROW() - 37), "")</f>
        <v/>
      </c>
      <c r="E4982" s="4" t="str" cm="1">
        <f t="array" ref="E4982">IFERROR(INDEX(EmployeeData[Gender], ROW() - 37), "")</f>
        <v/>
      </c>
      <c r="F4982" s="4" t="str" cm="1">
        <f t="array" ref="F4982">IFERROR(INDEX(EmployeeData[Age], ROW() - 37), "")</f>
        <v/>
      </c>
      <c r="G4982" s="6" t="str" cm="1">
        <f t="array" ref="G4982">IFERROR(INDEX(EmployeeData[Join Date], ROW() - 37), "")</f>
        <v/>
      </c>
      <c r="H4982" s="6" t="str" cm="1">
        <f t="array" ref="H4982">IFERROR(IF(INDEX(EmployeeData[Exit Date], ROW() - 37)=0, "",INDEX(EmployeeData[Exit Date], ROW() - 37)),"")</f>
        <v/>
      </c>
      <c r="I4982" s="4" t="str" cm="1">
        <f t="array" ref="I4982">IFERROR(IF(INDEX(EmployeeData[Exit Reason], ROW() - 37)=0, "",INDEX(EmployeeData[Exit Reason], ROW() - 37)),"")</f>
        <v/>
      </c>
      <c r="J4982" s="4" t="str" cm="1">
        <f t="array" ref="J4982">IFERROR(INDEX(EmployeeData[Status], ROW() - 37), "")</f>
        <v/>
      </c>
    </row>
    <row r="4983" spans="2:10" ht="19.95" customHeight="1" x14ac:dyDescent="0.3">
      <c r="B4983" s="4" t="str" cm="1">
        <f t="array" ref="B4983">IFERROR(INDEX(EmployeeData[Employee ID], ROW() - 37), "")</f>
        <v/>
      </c>
      <c r="C4983" s="4" t="str" cm="1">
        <f t="array" ref="C4983">IFERROR(INDEX(EmployeeData[Full Name], ROW() - 37), "")</f>
        <v/>
      </c>
      <c r="D4983" s="4" t="str" cm="1">
        <f t="array" ref="D4983">IFERROR(INDEX(EmployeeData[Department], ROW() - 37), "")</f>
        <v/>
      </c>
      <c r="E4983" s="4" t="str" cm="1">
        <f t="array" ref="E4983">IFERROR(INDEX(EmployeeData[Gender], ROW() - 37), "")</f>
        <v/>
      </c>
      <c r="F4983" s="4" t="str" cm="1">
        <f t="array" ref="F4983">IFERROR(INDEX(EmployeeData[Age], ROW() - 37), "")</f>
        <v/>
      </c>
      <c r="G4983" s="6" t="str" cm="1">
        <f t="array" ref="G4983">IFERROR(INDEX(EmployeeData[Join Date], ROW() - 37), "")</f>
        <v/>
      </c>
      <c r="H4983" s="6" t="str" cm="1">
        <f t="array" ref="H4983">IFERROR(IF(INDEX(EmployeeData[Exit Date], ROW() - 37)=0, "",INDEX(EmployeeData[Exit Date], ROW() - 37)),"")</f>
        <v/>
      </c>
      <c r="I4983" s="4" t="str" cm="1">
        <f t="array" ref="I4983">IFERROR(IF(INDEX(EmployeeData[Exit Reason], ROW() - 37)=0, "",INDEX(EmployeeData[Exit Reason], ROW() - 37)),"")</f>
        <v/>
      </c>
      <c r="J4983" s="4" t="str" cm="1">
        <f t="array" ref="J4983">IFERROR(INDEX(EmployeeData[Status], ROW() - 37), "")</f>
        <v/>
      </c>
    </row>
    <row r="4984" spans="2:10" ht="19.95" customHeight="1" x14ac:dyDescent="0.3">
      <c r="B4984" s="4" t="str" cm="1">
        <f t="array" ref="B4984">IFERROR(INDEX(EmployeeData[Employee ID], ROW() - 37), "")</f>
        <v/>
      </c>
      <c r="C4984" s="4" t="str" cm="1">
        <f t="array" ref="C4984">IFERROR(INDEX(EmployeeData[Full Name], ROW() - 37), "")</f>
        <v/>
      </c>
      <c r="D4984" s="4" t="str" cm="1">
        <f t="array" ref="D4984">IFERROR(INDEX(EmployeeData[Department], ROW() - 37), "")</f>
        <v/>
      </c>
      <c r="E4984" s="4" t="str" cm="1">
        <f t="array" ref="E4984">IFERROR(INDEX(EmployeeData[Gender], ROW() - 37), "")</f>
        <v/>
      </c>
      <c r="F4984" s="4" t="str" cm="1">
        <f t="array" ref="F4984">IFERROR(INDEX(EmployeeData[Age], ROW() - 37), "")</f>
        <v/>
      </c>
      <c r="G4984" s="6" t="str" cm="1">
        <f t="array" ref="G4984">IFERROR(INDEX(EmployeeData[Join Date], ROW() - 37), "")</f>
        <v/>
      </c>
      <c r="H4984" s="6" t="str" cm="1">
        <f t="array" ref="H4984">IFERROR(IF(INDEX(EmployeeData[Exit Date], ROW() - 37)=0, "",INDEX(EmployeeData[Exit Date], ROW() - 37)),"")</f>
        <v/>
      </c>
      <c r="I4984" s="4" t="str" cm="1">
        <f t="array" ref="I4984">IFERROR(IF(INDEX(EmployeeData[Exit Reason], ROW() - 37)=0, "",INDEX(EmployeeData[Exit Reason], ROW() - 37)),"")</f>
        <v/>
      </c>
      <c r="J4984" s="4" t="str" cm="1">
        <f t="array" ref="J4984">IFERROR(INDEX(EmployeeData[Status], ROW() - 37), "")</f>
        <v/>
      </c>
    </row>
    <row r="4985" spans="2:10" ht="19.95" customHeight="1" x14ac:dyDescent="0.3">
      <c r="B4985" s="4" t="str" cm="1">
        <f t="array" ref="B4985">IFERROR(INDEX(EmployeeData[Employee ID], ROW() - 37), "")</f>
        <v/>
      </c>
      <c r="C4985" s="4" t="str" cm="1">
        <f t="array" ref="C4985">IFERROR(INDEX(EmployeeData[Full Name], ROW() - 37), "")</f>
        <v/>
      </c>
      <c r="D4985" s="4" t="str" cm="1">
        <f t="array" ref="D4985">IFERROR(INDEX(EmployeeData[Department], ROW() - 37), "")</f>
        <v/>
      </c>
      <c r="E4985" s="4" t="str" cm="1">
        <f t="array" ref="E4985">IFERROR(INDEX(EmployeeData[Gender], ROW() - 37), "")</f>
        <v/>
      </c>
      <c r="F4985" s="4" t="str" cm="1">
        <f t="array" ref="F4985">IFERROR(INDEX(EmployeeData[Age], ROW() - 37), "")</f>
        <v/>
      </c>
      <c r="G4985" s="6" t="str" cm="1">
        <f t="array" ref="G4985">IFERROR(INDEX(EmployeeData[Join Date], ROW() - 37), "")</f>
        <v/>
      </c>
      <c r="H4985" s="6" t="str" cm="1">
        <f t="array" ref="H4985">IFERROR(IF(INDEX(EmployeeData[Exit Date], ROW() - 37)=0, "",INDEX(EmployeeData[Exit Date], ROW() - 37)),"")</f>
        <v/>
      </c>
      <c r="I4985" s="4" t="str" cm="1">
        <f t="array" ref="I4985">IFERROR(IF(INDEX(EmployeeData[Exit Reason], ROW() - 37)=0, "",INDEX(EmployeeData[Exit Reason], ROW() - 37)),"")</f>
        <v/>
      </c>
      <c r="J4985" s="4" t="str" cm="1">
        <f t="array" ref="J4985">IFERROR(INDEX(EmployeeData[Status], ROW() - 37), "")</f>
        <v/>
      </c>
    </row>
    <row r="4986" spans="2:10" ht="19.95" customHeight="1" x14ac:dyDescent="0.3">
      <c r="B4986" s="4" t="str" cm="1">
        <f t="array" ref="B4986">IFERROR(INDEX(EmployeeData[Employee ID], ROW() - 37), "")</f>
        <v/>
      </c>
      <c r="C4986" s="4" t="str" cm="1">
        <f t="array" ref="C4986">IFERROR(INDEX(EmployeeData[Full Name], ROW() - 37), "")</f>
        <v/>
      </c>
      <c r="D4986" s="4" t="str" cm="1">
        <f t="array" ref="D4986">IFERROR(INDEX(EmployeeData[Department], ROW() - 37), "")</f>
        <v/>
      </c>
      <c r="E4986" s="4" t="str" cm="1">
        <f t="array" ref="E4986">IFERROR(INDEX(EmployeeData[Gender], ROW() - 37), "")</f>
        <v/>
      </c>
      <c r="F4986" s="4" t="str" cm="1">
        <f t="array" ref="F4986">IFERROR(INDEX(EmployeeData[Age], ROW() - 37), "")</f>
        <v/>
      </c>
      <c r="G4986" s="6" t="str" cm="1">
        <f t="array" ref="G4986">IFERROR(INDEX(EmployeeData[Join Date], ROW() - 37), "")</f>
        <v/>
      </c>
      <c r="H4986" s="6" t="str" cm="1">
        <f t="array" ref="H4986">IFERROR(IF(INDEX(EmployeeData[Exit Date], ROW() - 37)=0, "",INDEX(EmployeeData[Exit Date], ROW() - 37)),"")</f>
        <v/>
      </c>
      <c r="I4986" s="4" t="str" cm="1">
        <f t="array" ref="I4986">IFERROR(IF(INDEX(EmployeeData[Exit Reason], ROW() - 37)=0, "",INDEX(EmployeeData[Exit Reason], ROW() - 37)),"")</f>
        <v/>
      </c>
      <c r="J4986" s="4" t="str" cm="1">
        <f t="array" ref="J4986">IFERROR(INDEX(EmployeeData[Status], ROW() - 37), "")</f>
        <v/>
      </c>
    </row>
    <row r="4987" spans="2:10" ht="19.95" customHeight="1" x14ac:dyDescent="0.3">
      <c r="B4987" s="4" t="str" cm="1">
        <f t="array" ref="B4987">IFERROR(INDEX(EmployeeData[Employee ID], ROW() - 37), "")</f>
        <v/>
      </c>
      <c r="C4987" s="4" t="str" cm="1">
        <f t="array" ref="C4987">IFERROR(INDEX(EmployeeData[Full Name], ROW() - 37), "")</f>
        <v/>
      </c>
      <c r="D4987" s="4" t="str" cm="1">
        <f t="array" ref="D4987">IFERROR(INDEX(EmployeeData[Department], ROW() - 37), "")</f>
        <v/>
      </c>
      <c r="E4987" s="4" t="str" cm="1">
        <f t="array" ref="E4987">IFERROR(INDEX(EmployeeData[Gender], ROW() - 37), "")</f>
        <v/>
      </c>
      <c r="F4987" s="4" t="str" cm="1">
        <f t="array" ref="F4987">IFERROR(INDEX(EmployeeData[Age], ROW() - 37), "")</f>
        <v/>
      </c>
      <c r="G4987" s="6" t="str" cm="1">
        <f t="array" ref="G4987">IFERROR(INDEX(EmployeeData[Join Date], ROW() - 37), "")</f>
        <v/>
      </c>
      <c r="H4987" s="6" t="str" cm="1">
        <f t="array" ref="H4987">IFERROR(IF(INDEX(EmployeeData[Exit Date], ROW() - 37)=0, "",INDEX(EmployeeData[Exit Date], ROW() - 37)),"")</f>
        <v/>
      </c>
      <c r="I4987" s="4" t="str" cm="1">
        <f t="array" ref="I4987">IFERROR(IF(INDEX(EmployeeData[Exit Reason], ROW() - 37)=0, "",INDEX(EmployeeData[Exit Reason], ROW() - 37)),"")</f>
        <v/>
      </c>
      <c r="J4987" s="4" t="str" cm="1">
        <f t="array" ref="J4987">IFERROR(INDEX(EmployeeData[Status], ROW() - 37), "")</f>
        <v/>
      </c>
    </row>
    <row r="4988" spans="2:10" ht="19.95" customHeight="1" x14ac:dyDescent="0.3">
      <c r="B4988" s="4" t="str" cm="1">
        <f t="array" ref="B4988">IFERROR(INDEX(EmployeeData[Employee ID], ROW() - 37), "")</f>
        <v/>
      </c>
      <c r="C4988" s="4" t="str" cm="1">
        <f t="array" ref="C4988">IFERROR(INDEX(EmployeeData[Full Name], ROW() - 37), "")</f>
        <v/>
      </c>
      <c r="D4988" s="4" t="str" cm="1">
        <f t="array" ref="D4988">IFERROR(INDEX(EmployeeData[Department], ROW() - 37), "")</f>
        <v/>
      </c>
      <c r="E4988" s="4" t="str" cm="1">
        <f t="array" ref="E4988">IFERROR(INDEX(EmployeeData[Gender], ROW() - 37), "")</f>
        <v/>
      </c>
      <c r="F4988" s="4" t="str" cm="1">
        <f t="array" ref="F4988">IFERROR(INDEX(EmployeeData[Age], ROW() - 37), "")</f>
        <v/>
      </c>
      <c r="G4988" s="6" t="str" cm="1">
        <f t="array" ref="G4988">IFERROR(INDEX(EmployeeData[Join Date], ROW() - 37), "")</f>
        <v/>
      </c>
      <c r="H4988" s="6" t="str" cm="1">
        <f t="array" ref="H4988">IFERROR(IF(INDEX(EmployeeData[Exit Date], ROW() - 37)=0, "",INDEX(EmployeeData[Exit Date], ROW() - 37)),"")</f>
        <v/>
      </c>
      <c r="I4988" s="4" t="str" cm="1">
        <f t="array" ref="I4988">IFERROR(IF(INDEX(EmployeeData[Exit Reason], ROW() - 37)=0, "",INDEX(EmployeeData[Exit Reason], ROW() - 37)),"")</f>
        <v/>
      </c>
      <c r="J4988" s="4" t="str" cm="1">
        <f t="array" ref="J4988">IFERROR(INDEX(EmployeeData[Status], ROW() - 37), "")</f>
        <v/>
      </c>
    </row>
    <row r="4989" spans="2:10" ht="19.95" customHeight="1" x14ac:dyDescent="0.3">
      <c r="B4989" s="4" t="str" cm="1">
        <f t="array" ref="B4989">IFERROR(INDEX(EmployeeData[Employee ID], ROW() - 37), "")</f>
        <v/>
      </c>
      <c r="C4989" s="4" t="str" cm="1">
        <f t="array" ref="C4989">IFERROR(INDEX(EmployeeData[Full Name], ROW() - 37), "")</f>
        <v/>
      </c>
      <c r="D4989" s="4" t="str" cm="1">
        <f t="array" ref="D4989">IFERROR(INDEX(EmployeeData[Department], ROW() - 37), "")</f>
        <v/>
      </c>
      <c r="E4989" s="4" t="str" cm="1">
        <f t="array" ref="E4989">IFERROR(INDEX(EmployeeData[Gender], ROW() - 37), "")</f>
        <v/>
      </c>
      <c r="F4989" s="4" t="str" cm="1">
        <f t="array" ref="F4989">IFERROR(INDEX(EmployeeData[Age], ROW() - 37), "")</f>
        <v/>
      </c>
      <c r="G4989" s="6" t="str" cm="1">
        <f t="array" ref="G4989">IFERROR(INDEX(EmployeeData[Join Date], ROW() - 37), "")</f>
        <v/>
      </c>
      <c r="H4989" s="6" t="str" cm="1">
        <f t="array" ref="H4989">IFERROR(IF(INDEX(EmployeeData[Exit Date], ROW() - 37)=0, "",INDEX(EmployeeData[Exit Date], ROW() - 37)),"")</f>
        <v/>
      </c>
      <c r="I4989" s="4" t="str" cm="1">
        <f t="array" ref="I4989">IFERROR(IF(INDEX(EmployeeData[Exit Reason], ROW() - 37)=0, "",INDEX(EmployeeData[Exit Reason], ROW() - 37)),"")</f>
        <v/>
      </c>
      <c r="J4989" s="4" t="str" cm="1">
        <f t="array" ref="J4989">IFERROR(INDEX(EmployeeData[Status], ROW() - 37), "")</f>
        <v/>
      </c>
    </row>
    <row r="4990" spans="2:10" ht="19.95" customHeight="1" x14ac:dyDescent="0.3">
      <c r="B4990" s="4" t="str" cm="1">
        <f t="array" ref="B4990">IFERROR(INDEX(EmployeeData[Employee ID], ROW() - 37), "")</f>
        <v/>
      </c>
      <c r="C4990" s="4" t="str" cm="1">
        <f t="array" ref="C4990">IFERROR(INDEX(EmployeeData[Full Name], ROW() - 37), "")</f>
        <v/>
      </c>
      <c r="D4990" s="4" t="str" cm="1">
        <f t="array" ref="D4990">IFERROR(INDEX(EmployeeData[Department], ROW() - 37), "")</f>
        <v/>
      </c>
      <c r="E4990" s="4" t="str" cm="1">
        <f t="array" ref="E4990">IFERROR(INDEX(EmployeeData[Gender], ROW() - 37), "")</f>
        <v/>
      </c>
      <c r="F4990" s="4" t="str" cm="1">
        <f t="array" ref="F4990">IFERROR(INDEX(EmployeeData[Age], ROW() - 37), "")</f>
        <v/>
      </c>
      <c r="G4990" s="6" t="str" cm="1">
        <f t="array" ref="G4990">IFERROR(INDEX(EmployeeData[Join Date], ROW() - 37), "")</f>
        <v/>
      </c>
      <c r="H4990" s="6" t="str" cm="1">
        <f t="array" ref="H4990">IFERROR(IF(INDEX(EmployeeData[Exit Date], ROW() - 37)=0, "",INDEX(EmployeeData[Exit Date], ROW() - 37)),"")</f>
        <v/>
      </c>
      <c r="I4990" s="4" t="str" cm="1">
        <f t="array" ref="I4990">IFERROR(IF(INDEX(EmployeeData[Exit Reason], ROW() - 37)=0, "",INDEX(EmployeeData[Exit Reason], ROW() - 37)),"")</f>
        <v/>
      </c>
      <c r="J4990" s="4" t="str" cm="1">
        <f t="array" ref="J4990">IFERROR(INDEX(EmployeeData[Status], ROW() - 37), "")</f>
        <v/>
      </c>
    </row>
    <row r="4991" spans="2:10" ht="19.95" customHeight="1" x14ac:dyDescent="0.3">
      <c r="B4991" s="4" t="str" cm="1">
        <f t="array" ref="B4991">IFERROR(INDEX(EmployeeData[Employee ID], ROW() - 37), "")</f>
        <v/>
      </c>
      <c r="C4991" s="4" t="str" cm="1">
        <f t="array" ref="C4991">IFERROR(INDEX(EmployeeData[Full Name], ROW() - 37), "")</f>
        <v/>
      </c>
      <c r="D4991" s="4" t="str" cm="1">
        <f t="array" ref="D4991">IFERROR(INDEX(EmployeeData[Department], ROW() - 37), "")</f>
        <v/>
      </c>
      <c r="E4991" s="4" t="str" cm="1">
        <f t="array" ref="E4991">IFERROR(INDEX(EmployeeData[Gender], ROW() - 37), "")</f>
        <v/>
      </c>
      <c r="F4991" s="4" t="str" cm="1">
        <f t="array" ref="F4991">IFERROR(INDEX(EmployeeData[Age], ROW() - 37), "")</f>
        <v/>
      </c>
      <c r="G4991" s="6" t="str" cm="1">
        <f t="array" ref="G4991">IFERROR(INDEX(EmployeeData[Join Date], ROW() - 37), "")</f>
        <v/>
      </c>
      <c r="H4991" s="6" t="str" cm="1">
        <f t="array" ref="H4991">IFERROR(IF(INDEX(EmployeeData[Exit Date], ROW() - 37)=0, "",INDEX(EmployeeData[Exit Date], ROW() - 37)),"")</f>
        <v/>
      </c>
      <c r="I4991" s="4" t="str" cm="1">
        <f t="array" ref="I4991">IFERROR(IF(INDEX(EmployeeData[Exit Reason], ROW() - 37)=0, "",INDEX(EmployeeData[Exit Reason], ROW() - 37)),"")</f>
        <v/>
      </c>
      <c r="J4991" s="4" t="str" cm="1">
        <f t="array" ref="J4991">IFERROR(INDEX(EmployeeData[Status], ROW() - 37), "")</f>
        <v/>
      </c>
    </row>
    <row r="4992" spans="2:10" ht="19.95" customHeight="1" x14ac:dyDescent="0.3">
      <c r="B4992" s="4" t="str" cm="1">
        <f t="array" ref="B4992">IFERROR(INDEX(EmployeeData[Employee ID], ROW() - 37), "")</f>
        <v/>
      </c>
      <c r="C4992" s="4" t="str" cm="1">
        <f t="array" ref="C4992">IFERROR(INDEX(EmployeeData[Full Name], ROW() - 37), "")</f>
        <v/>
      </c>
      <c r="D4992" s="4" t="str" cm="1">
        <f t="array" ref="D4992">IFERROR(INDEX(EmployeeData[Department], ROW() - 37), "")</f>
        <v/>
      </c>
      <c r="E4992" s="4" t="str" cm="1">
        <f t="array" ref="E4992">IFERROR(INDEX(EmployeeData[Gender], ROW() - 37), "")</f>
        <v/>
      </c>
      <c r="F4992" s="4" t="str" cm="1">
        <f t="array" ref="F4992">IFERROR(INDEX(EmployeeData[Age], ROW() - 37), "")</f>
        <v/>
      </c>
      <c r="G4992" s="6" t="str" cm="1">
        <f t="array" ref="G4992">IFERROR(INDEX(EmployeeData[Join Date], ROW() - 37), "")</f>
        <v/>
      </c>
      <c r="H4992" s="6" t="str" cm="1">
        <f t="array" ref="H4992">IFERROR(IF(INDEX(EmployeeData[Exit Date], ROW() - 37)=0, "",INDEX(EmployeeData[Exit Date], ROW() - 37)),"")</f>
        <v/>
      </c>
      <c r="I4992" s="4" t="str" cm="1">
        <f t="array" ref="I4992">IFERROR(IF(INDEX(EmployeeData[Exit Reason], ROW() - 37)=0, "",INDEX(EmployeeData[Exit Reason], ROW() - 37)),"")</f>
        <v/>
      </c>
      <c r="J4992" s="4" t="str" cm="1">
        <f t="array" ref="J4992">IFERROR(INDEX(EmployeeData[Status], ROW() - 37), "")</f>
        <v/>
      </c>
    </row>
    <row r="4993" spans="2:10" ht="19.95" customHeight="1" x14ac:dyDescent="0.3">
      <c r="B4993" s="4" t="str" cm="1">
        <f t="array" ref="B4993">IFERROR(INDEX(EmployeeData[Employee ID], ROW() - 37), "")</f>
        <v/>
      </c>
      <c r="C4993" s="4" t="str" cm="1">
        <f t="array" ref="C4993">IFERROR(INDEX(EmployeeData[Full Name], ROW() - 37), "")</f>
        <v/>
      </c>
      <c r="D4993" s="4" t="str" cm="1">
        <f t="array" ref="D4993">IFERROR(INDEX(EmployeeData[Department], ROW() - 37), "")</f>
        <v/>
      </c>
      <c r="E4993" s="4" t="str" cm="1">
        <f t="array" ref="E4993">IFERROR(INDEX(EmployeeData[Gender], ROW() - 37), "")</f>
        <v/>
      </c>
      <c r="F4993" s="4" t="str" cm="1">
        <f t="array" ref="F4993">IFERROR(INDEX(EmployeeData[Age], ROW() - 37), "")</f>
        <v/>
      </c>
      <c r="G4993" s="6" t="str" cm="1">
        <f t="array" ref="G4993">IFERROR(INDEX(EmployeeData[Join Date], ROW() - 37), "")</f>
        <v/>
      </c>
      <c r="H4993" s="6" t="str" cm="1">
        <f t="array" ref="H4993">IFERROR(IF(INDEX(EmployeeData[Exit Date], ROW() - 37)=0, "",INDEX(EmployeeData[Exit Date], ROW() - 37)),"")</f>
        <v/>
      </c>
      <c r="I4993" s="4" t="str" cm="1">
        <f t="array" ref="I4993">IFERROR(IF(INDEX(EmployeeData[Exit Reason], ROW() - 37)=0, "",INDEX(EmployeeData[Exit Reason], ROW() - 37)),"")</f>
        <v/>
      </c>
      <c r="J4993" s="4" t="str" cm="1">
        <f t="array" ref="J4993">IFERROR(INDEX(EmployeeData[Status], ROW() - 37), "")</f>
        <v/>
      </c>
    </row>
    <row r="4994" spans="2:10" ht="19.95" customHeight="1" x14ac:dyDescent="0.3">
      <c r="B4994" s="4" t="str" cm="1">
        <f t="array" ref="B4994">IFERROR(INDEX(EmployeeData[Employee ID], ROW() - 37), "")</f>
        <v/>
      </c>
      <c r="C4994" s="4" t="str" cm="1">
        <f t="array" ref="C4994">IFERROR(INDEX(EmployeeData[Full Name], ROW() - 37), "")</f>
        <v/>
      </c>
      <c r="D4994" s="4" t="str" cm="1">
        <f t="array" ref="D4994">IFERROR(INDEX(EmployeeData[Department], ROW() - 37), "")</f>
        <v/>
      </c>
      <c r="E4994" s="4" t="str" cm="1">
        <f t="array" ref="E4994">IFERROR(INDEX(EmployeeData[Gender], ROW() - 37), "")</f>
        <v/>
      </c>
      <c r="F4994" s="4" t="str" cm="1">
        <f t="array" ref="F4994">IFERROR(INDEX(EmployeeData[Age], ROW() - 37), "")</f>
        <v/>
      </c>
      <c r="G4994" s="6" t="str" cm="1">
        <f t="array" ref="G4994">IFERROR(INDEX(EmployeeData[Join Date], ROW() - 37), "")</f>
        <v/>
      </c>
      <c r="H4994" s="6" t="str" cm="1">
        <f t="array" ref="H4994">IFERROR(IF(INDEX(EmployeeData[Exit Date], ROW() - 37)=0, "",INDEX(EmployeeData[Exit Date], ROW() - 37)),"")</f>
        <v/>
      </c>
      <c r="I4994" s="4" t="str" cm="1">
        <f t="array" ref="I4994">IFERROR(IF(INDEX(EmployeeData[Exit Reason], ROW() - 37)=0, "",INDEX(EmployeeData[Exit Reason], ROW() - 37)),"")</f>
        <v/>
      </c>
      <c r="J4994" s="4" t="str" cm="1">
        <f t="array" ref="J4994">IFERROR(INDEX(EmployeeData[Status], ROW() - 37), "")</f>
        <v/>
      </c>
    </row>
    <row r="4995" spans="2:10" ht="19.95" customHeight="1" x14ac:dyDescent="0.3">
      <c r="B4995" s="4" t="str" cm="1">
        <f t="array" ref="B4995">IFERROR(INDEX(EmployeeData[Employee ID], ROW() - 37), "")</f>
        <v/>
      </c>
      <c r="C4995" s="4" t="str" cm="1">
        <f t="array" ref="C4995">IFERROR(INDEX(EmployeeData[Full Name], ROW() - 37), "")</f>
        <v/>
      </c>
      <c r="D4995" s="4" t="str" cm="1">
        <f t="array" ref="D4995">IFERROR(INDEX(EmployeeData[Department], ROW() - 37), "")</f>
        <v/>
      </c>
      <c r="E4995" s="4" t="str" cm="1">
        <f t="array" ref="E4995">IFERROR(INDEX(EmployeeData[Gender], ROW() - 37), "")</f>
        <v/>
      </c>
      <c r="F4995" s="4" t="str" cm="1">
        <f t="array" ref="F4995">IFERROR(INDEX(EmployeeData[Age], ROW() - 37), "")</f>
        <v/>
      </c>
      <c r="G4995" s="6" t="str" cm="1">
        <f t="array" ref="G4995">IFERROR(INDEX(EmployeeData[Join Date], ROW() - 37), "")</f>
        <v/>
      </c>
      <c r="H4995" s="6" t="str" cm="1">
        <f t="array" ref="H4995">IFERROR(IF(INDEX(EmployeeData[Exit Date], ROW() - 37)=0, "",INDEX(EmployeeData[Exit Date], ROW() - 37)),"")</f>
        <v/>
      </c>
      <c r="I4995" s="4" t="str" cm="1">
        <f t="array" ref="I4995">IFERROR(IF(INDEX(EmployeeData[Exit Reason], ROW() - 37)=0, "",INDEX(EmployeeData[Exit Reason], ROW() - 37)),"")</f>
        <v/>
      </c>
      <c r="J4995" s="4" t="str" cm="1">
        <f t="array" ref="J4995">IFERROR(INDEX(EmployeeData[Status], ROW() - 37), "")</f>
        <v/>
      </c>
    </row>
    <row r="4996" spans="2:10" ht="19.95" customHeight="1" x14ac:dyDescent="0.3">
      <c r="B4996" s="4" t="str" cm="1">
        <f t="array" ref="B4996">IFERROR(INDEX(EmployeeData[Employee ID], ROW() - 37), "")</f>
        <v/>
      </c>
      <c r="C4996" s="4" t="str" cm="1">
        <f t="array" ref="C4996">IFERROR(INDEX(EmployeeData[Full Name], ROW() - 37), "")</f>
        <v/>
      </c>
      <c r="D4996" s="4" t="str" cm="1">
        <f t="array" ref="D4996">IFERROR(INDEX(EmployeeData[Department], ROW() - 37), "")</f>
        <v/>
      </c>
      <c r="E4996" s="4" t="str" cm="1">
        <f t="array" ref="E4996">IFERROR(INDEX(EmployeeData[Gender], ROW() - 37), "")</f>
        <v/>
      </c>
      <c r="F4996" s="4" t="str" cm="1">
        <f t="array" ref="F4996">IFERROR(INDEX(EmployeeData[Age], ROW() - 37), "")</f>
        <v/>
      </c>
      <c r="G4996" s="6" t="str" cm="1">
        <f t="array" ref="G4996">IFERROR(INDEX(EmployeeData[Join Date], ROW() - 37), "")</f>
        <v/>
      </c>
      <c r="H4996" s="6" t="str" cm="1">
        <f t="array" ref="H4996">IFERROR(IF(INDEX(EmployeeData[Exit Date], ROW() - 37)=0, "",INDEX(EmployeeData[Exit Date], ROW() - 37)),"")</f>
        <v/>
      </c>
      <c r="I4996" s="4" t="str" cm="1">
        <f t="array" ref="I4996">IFERROR(IF(INDEX(EmployeeData[Exit Reason], ROW() - 37)=0, "",INDEX(EmployeeData[Exit Reason], ROW() - 37)),"")</f>
        <v/>
      </c>
      <c r="J4996" s="4" t="str" cm="1">
        <f t="array" ref="J4996">IFERROR(INDEX(EmployeeData[Status], ROW() - 37), "")</f>
        <v/>
      </c>
    </row>
    <row r="4997" spans="2:10" ht="19.95" customHeight="1" x14ac:dyDescent="0.3">
      <c r="B4997" s="4" t="str" cm="1">
        <f t="array" ref="B4997">IFERROR(INDEX(EmployeeData[Employee ID], ROW() - 37), "")</f>
        <v/>
      </c>
      <c r="C4997" s="4" t="str" cm="1">
        <f t="array" ref="C4997">IFERROR(INDEX(EmployeeData[Full Name], ROW() - 37), "")</f>
        <v/>
      </c>
      <c r="D4997" s="4" t="str" cm="1">
        <f t="array" ref="D4997">IFERROR(INDEX(EmployeeData[Department], ROW() - 37), "")</f>
        <v/>
      </c>
      <c r="E4997" s="4" t="str" cm="1">
        <f t="array" ref="E4997">IFERROR(INDEX(EmployeeData[Gender], ROW() - 37), "")</f>
        <v/>
      </c>
      <c r="F4997" s="4" t="str" cm="1">
        <f t="array" ref="F4997">IFERROR(INDEX(EmployeeData[Age], ROW() - 37), "")</f>
        <v/>
      </c>
      <c r="G4997" s="6" t="str" cm="1">
        <f t="array" ref="G4997">IFERROR(INDEX(EmployeeData[Join Date], ROW() - 37), "")</f>
        <v/>
      </c>
      <c r="H4997" s="6" t="str" cm="1">
        <f t="array" ref="H4997">IFERROR(IF(INDEX(EmployeeData[Exit Date], ROW() - 37)=0, "",INDEX(EmployeeData[Exit Date], ROW() - 37)),"")</f>
        <v/>
      </c>
      <c r="I4997" s="4" t="str" cm="1">
        <f t="array" ref="I4997">IFERROR(IF(INDEX(EmployeeData[Exit Reason], ROW() - 37)=0, "",INDEX(EmployeeData[Exit Reason], ROW() - 37)),"")</f>
        <v/>
      </c>
      <c r="J4997" s="4" t="str" cm="1">
        <f t="array" ref="J4997">IFERROR(INDEX(EmployeeData[Status], ROW() - 37), "")</f>
        <v/>
      </c>
    </row>
    <row r="4998" spans="2:10" ht="19.95" customHeight="1" x14ac:dyDescent="0.3">
      <c r="B4998" s="4" t="str" cm="1">
        <f t="array" ref="B4998">IFERROR(INDEX(EmployeeData[Employee ID], ROW() - 37), "")</f>
        <v/>
      </c>
      <c r="C4998" s="4" t="str" cm="1">
        <f t="array" ref="C4998">IFERROR(INDEX(EmployeeData[Full Name], ROW() - 37), "")</f>
        <v/>
      </c>
      <c r="D4998" s="4" t="str" cm="1">
        <f t="array" ref="D4998">IFERROR(INDEX(EmployeeData[Department], ROW() - 37), "")</f>
        <v/>
      </c>
      <c r="E4998" s="4" t="str" cm="1">
        <f t="array" ref="E4998">IFERROR(INDEX(EmployeeData[Gender], ROW() - 37), "")</f>
        <v/>
      </c>
      <c r="F4998" s="4" t="str" cm="1">
        <f t="array" ref="F4998">IFERROR(INDEX(EmployeeData[Age], ROW() - 37), "")</f>
        <v/>
      </c>
      <c r="G4998" s="6" t="str" cm="1">
        <f t="array" ref="G4998">IFERROR(INDEX(EmployeeData[Join Date], ROW() - 37), "")</f>
        <v/>
      </c>
      <c r="H4998" s="6" t="str" cm="1">
        <f t="array" ref="H4998">IFERROR(IF(INDEX(EmployeeData[Exit Date], ROW() - 37)=0, "",INDEX(EmployeeData[Exit Date], ROW() - 37)),"")</f>
        <v/>
      </c>
      <c r="I4998" s="4" t="str" cm="1">
        <f t="array" ref="I4998">IFERROR(IF(INDEX(EmployeeData[Exit Reason], ROW() - 37)=0, "",INDEX(EmployeeData[Exit Reason], ROW() - 37)),"")</f>
        <v/>
      </c>
      <c r="J4998" s="4" t="str" cm="1">
        <f t="array" ref="J4998">IFERROR(INDEX(EmployeeData[Status], ROW() - 37), "")</f>
        <v/>
      </c>
    </row>
    <row r="4999" spans="2:10" ht="19.95" customHeight="1" x14ac:dyDescent="0.3">
      <c r="B4999" s="4" t="str" cm="1">
        <f t="array" ref="B4999">IFERROR(INDEX(EmployeeData[Employee ID], ROW() - 37), "")</f>
        <v/>
      </c>
      <c r="C4999" s="4" t="str" cm="1">
        <f t="array" ref="C4999">IFERROR(INDEX(EmployeeData[Full Name], ROW() - 37), "")</f>
        <v/>
      </c>
      <c r="D4999" s="4" t="str" cm="1">
        <f t="array" ref="D4999">IFERROR(INDEX(EmployeeData[Department], ROW() - 37), "")</f>
        <v/>
      </c>
      <c r="E4999" s="4" t="str" cm="1">
        <f t="array" ref="E4999">IFERROR(INDEX(EmployeeData[Gender], ROW() - 37), "")</f>
        <v/>
      </c>
      <c r="F4999" s="4" t="str" cm="1">
        <f t="array" ref="F4999">IFERROR(INDEX(EmployeeData[Age], ROW() - 37), "")</f>
        <v/>
      </c>
      <c r="G4999" s="6" t="str" cm="1">
        <f t="array" ref="G4999">IFERROR(INDEX(EmployeeData[Join Date], ROW() - 37), "")</f>
        <v/>
      </c>
      <c r="H4999" s="6" t="str" cm="1">
        <f t="array" ref="H4999">IFERROR(IF(INDEX(EmployeeData[Exit Date], ROW() - 37)=0, "",INDEX(EmployeeData[Exit Date], ROW() - 37)),"")</f>
        <v/>
      </c>
      <c r="I4999" s="4" t="str" cm="1">
        <f t="array" ref="I4999">IFERROR(IF(INDEX(EmployeeData[Exit Reason], ROW() - 37)=0, "",INDEX(EmployeeData[Exit Reason], ROW() - 37)),"")</f>
        <v/>
      </c>
      <c r="J4999" s="4" t="str" cm="1">
        <f t="array" ref="J4999">IFERROR(INDEX(EmployeeData[Status], ROW() - 37), "")</f>
        <v/>
      </c>
    </row>
    <row r="5000" spans="2:10" ht="19.95" customHeight="1" x14ac:dyDescent="0.3">
      <c r="B5000" s="4" t="str" cm="1">
        <f t="array" ref="B5000">IFERROR(INDEX(EmployeeData[Employee ID], ROW() - 37), "")</f>
        <v/>
      </c>
      <c r="C5000" s="4" t="str" cm="1">
        <f t="array" ref="C5000">IFERROR(INDEX(EmployeeData[Full Name], ROW() - 37), "")</f>
        <v/>
      </c>
      <c r="D5000" s="4" t="str" cm="1">
        <f t="array" ref="D5000">IFERROR(INDEX(EmployeeData[Department], ROW() - 37), "")</f>
        <v/>
      </c>
      <c r="E5000" s="4" t="str" cm="1">
        <f t="array" ref="E5000">IFERROR(INDEX(EmployeeData[Gender], ROW() - 37), "")</f>
        <v/>
      </c>
      <c r="F5000" s="4" t="str" cm="1">
        <f t="array" ref="F5000">IFERROR(INDEX(EmployeeData[Age], ROW() - 37), "")</f>
        <v/>
      </c>
      <c r="G5000" s="6" t="str" cm="1">
        <f t="array" ref="G5000">IFERROR(INDEX(EmployeeData[Join Date], ROW() - 37), "")</f>
        <v/>
      </c>
      <c r="H5000" s="6" t="str" cm="1">
        <f t="array" ref="H5000">IFERROR(IF(INDEX(EmployeeData[Exit Date], ROW() - 37)=0, "",INDEX(EmployeeData[Exit Date], ROW() - 37)),"")</f>
        <v/>
      </c>
      <c r="I5000" s="4" t="str" cm="1">
        <f t="array" ref="I5000">IFERROR(IF(INDEX(EmployeeData[Exit Reason], ROW() - 37)=0, "",INDEX(EmployeeData[Exit Reason], ROW() - 37)),"")</f>
        <v/>
      </c>
      <c r="J5000" s="4" t="str" cm="1">
        <f t="array" ref="J5000">IFERROR(INDEX(EmployeeData[Status], ROW() - 37), "")</f>
        <v/>
      </c>
    </row>
    <row r="5001" spans="2:10" ht="19.95" customHeight="1" x14ac:dyDescent="0.3">
      <c r="B5001" s="4" t="str" cm="1">
        <f t="array" ref="B5001">IFERROR(INDEX(EmployeeData[Employee ID], ROW() - 37), "")</f>
        <v/>
      </c>
      <c r="C5001" s="4" t="str" cm="1">
        <f t="array" ref="C5001">IFERROR(INDEX(EmployeeData[Full Name], ROW() - 37), "")</f>
        <v/>
      </c>
      <c r="D5001" s="4" t="str" cm="1">
        <f t="array" ref="D5001">IFERROR(INDEX(EmployeeData[Department], ROW() - 37), "")</f>
        <v/>
      </c>
      <c r="E5001" s="4" t="str" cm="1">
        <f t="array" ref="E5001">IFERROR(INDEX(EmployeeData[Gender], ROW() - 37), "")</f>
        <v/>
      </c>
      <c r="F5001" s="4" t="str" cm="1">
        <f t="array" ref="F5001">IFERROR(INDEX(EmployeeData[Age], ROW() - 37), "")</f>
        <v/>
      </c>
      <c r="G5001" s="6" t="str" cm="1">
        <f t="array" ref="G5001">IFERROR(INDEX(EmployeeData[Join Date], ROW() - 37), "")</f>
        <v/>
      </c>
      <c r="H5001" s="6" t="str" cm="1">
        <f t="array" ref="H5001">IFERROR(IF(INDEX(EmployeeData[Exit Date], ROW() - 37)=0, "",INDEX(EmployeeData[Exit Date], ROW() - 37)),"")</f>
        <v/>
      </c>
      <c r="I5001" s="4" t="str" cm="1">
        <f t="array" ref="I5001">IFERROR(IF(INDEX(EmployeeData[Exit Reason], ROW() - 37)=0, "",INDEX(EmployeeData[Exit Reason], ROW() - 37)),"")</f>
        <v/>
      </c>
      <c r="J5001" s="4" t="str" cm="1">
        <f t="array" ref="J5001">IFERROR(INDEX(EmployeeData[Status], ROW() - 37), "")</f>
        <v/>
      </c>
    </row>
    <row r="5002" spans="2:10" ht="19.95" customHeight="1" x14ac:dyDescent="0.3">
      <c r="B5002" s="4" t="str" cm="1">
        <f t="array" ref="B5002">IFERROR(INDEX(EmployeeData[Employee ID], ROW() - 37), "")</f>
        <v/>
      </c>
      <c r="C5002" s="4" t="str" cm="1">
        <f t="array" ref="C5002">IFERROR(INDEX(EmployeeData[Full Name], ROW() - 37), "")</f>
        <v/>
      </c>
      <c r="D5002" s="4" t="str" cm="1">
        <f t="array" ref="D5002">IFERROR(INDEX(EmployeeData[Department], ROW() - 37), "")</f>
        <v/>
      </c>
      <c r="E5002" s="4" t="str" cm="1">
        <f t="array" ref="E5002">IFERROR(INDEX(EmployeeData[Gender], ROW() - 37), "")</f>
        <v/>
      </c>
      <c r="F5002" s="4" t="str" cm="1">
        <f t="array" ref="F5002">IFERROR(INDEX(EmployeeData[Age], ROW() - 37), "")</f>
        <v/>
      </c>
      <c r="G5002" s="6" t="str" cm="1">
        <f t="array" ref="G5002">IFERROR(INDEX(EmployeeData[Join Date], ROW() - 37), "")</f>
        <v/>
      </c>
      <c r="H5002" s="6" t="str" cm="1">
        <f t="array" ref="H5002">IFERROR(IF(INDEX(EmployeeData[Exit Date], ROW() - 37)=0, "",INDEX(EmployeeData[Exit Date], ROW() - 37)),"")</f>
        <v/>
      </c>
      <c r="I5002" s="4" t="str" cm="1">
        <f t="array" ref="I5002">IFERROR(IF(INDEX(EmployeeData[Exit Reason], ROW() - 37)=0, "",INDEX(EmployeeData[Exit Reason], ROW() - 37)),"")</f>
        <v/>
      </c>
      <c r="J5002" s="4" t="str" cm="1">
        <f t="array" ref="J5002">IFERROR(INDEX(EmployeeData[Status], ROW() - 37), "")</f>
        <v/>
      </c>
    </row>
    <row r="5003" spans="2:10" ht="19.95" customHeight="1" x14ac:dyDescent="0.3">
      <c r="B5003" s="4" t="str" cm="1">
        <f t="array" ref="B5003">IFERROR(INDEX(EmployeeData[Employee ID], ROW() - 37), "")</f>
        <v/>
      </c>
      <c r="C5003" s="4" t="str" cm="1">
        <f t="array" ref="C5003">IFERROR(INDEX(EmployeeData[Full Name], ROW() - 37), "")</f>
        <v/>
      </c>
      <c r="D5003" s="4" t="str" cm="1">
        <f t="array" ref="D5003">IFERROR(INDEX(EmployeeData[Department], ROW() - 37), "")</f>
        <v/>
      </c>
      <c r="E5003" s="4" t="str" cm="1">
        <f t="array" ref="E5003">IFERROR(INDEX(EmployeeData[Gender], ROW() - 37), "")</f>
        <v/>
      </c>
      <c r="F5003" s="4" t="str" cm="1">
        <f t="array" ref="F5003">IFERROR(INDEX(EmployeeData[Age], ROW() - 37), "")</f>
        <v/>
      </c>
      <c r="G5003" s="6" t="str" cm="1">
        <f t="array" ref="G5003">IFERROR(INDEX(EmployeeData[Join Date], ROW() - 37), "")</f>
        <v/>
      </c>
      <c r="H5003" s="6" t="str" cm="1">
        <f t="array" ref="H5003">IFERROR(IF(INDEX(EmployeeData[Exit Date], ROW() - 37)=0, "",INDEX(EmployeeData[Exit Date], ROW() - 37)),"")</f>
        <v/>
      </c>
      <c r="I5003" s="4" t="str" cm="1">
        <f t="array" ref="I5003">IFERROR(IF(INDEX(EmployeeData[Exit Reason], ROW() - 37)=0, "",INDEX(EmployeeData[Exit Reason], ROW() - 37)),"")</f>
        <v/>
      </c>
      <c r="J5003" s="4" t="str" cm="1">
        <f t="array" ref="J5003">IFERROR(INDEX(EmployeeData[Status], ROW() - 37), "")</f>
        <v/>
      </c>
    </row>
    <row r="5004" spans="2:10" ht="19.95" customHeight="1" x14ac:dyDescent="0.3">
      <c r="B5004" s="4" t="str" cm="1">
        <f t="array" ref="B5004">IFERROR(INDEX(EmployeeData[Employee ID], ROW() - 37), "")</f>
        <v/>
      </c>
      <c r="C5004" s="4" t="str" cm="1">
        <f t="array" ref="C5004">IFERROR(INDEX(EmployeeData[Full Name], ROW() - 37), "")</f>
        <v/>
      </c>
      <c r="D5004" s="4" t="str" cm="1">
        <f t="array" ref="D5004">IFERROR(INDEX(EmployeeData[Department], ROW() - 37), "")</f>
        <v/>
      </c>
      <c r="E5004" s="4" t="str" cm="1">
        <f t="array" ref="E5004">IFERROR(INDEX(EmployeeData[Gender], ROW() - 37), "")</f>
        <v/>
      </c>
      <c r="F5004" s="4" t="str" cm="1">
        <f t="array" ref="F5004">IFERROR(INDEX(EmployeeData[Age], ROW() - 37), "")</f>
        <v/>
      </c>
      <c r="G5004" s="6" t="str" cm="1">
        <f t="array" ref="G5004">IFERROR(INDEX(EmployeeData[Join Date], ROW() - 37), "")</f>
        <v/>
      </c>
      <c r="H5004" s="6" t="str" cm="1">
        <f t="array" ref="H5004">IFERROR(IF(INDEX(EmployeeData[Exit Date], ROW() - 37)=0, "",INDEX(EmployeeData[Exit Date], ROW() - 37)),"")</f>
        <v/>
      </c>
      <c r="I5004" s="4" t="str" cm="1">
        <f t="array" ref="I5004">IFERROR(IF(INDEX(EmployeeData[Exit Reason], ROW() - 37)=0, "",INDEX(EmployeeData[Exit Reason], ROW() - 37)),"")</f>
        <v/>
      </c>
      <c r="J5004" s="4" t="str" cm="1">
        <f t="array" ref="J5004">IFERROR(INDEX(EmployeeData[Status], ROW() - 37), "")</f>
        <v/>
      </c>
    </row>
    <row r="5005" spans="2:10" ht="19.95" customHeight="1" x14ac:dyDescent="0.3">
      <c r="B5005" s="4" t="str" cm="1">
        <f t="array" ref="B5005">IFERROR(INDEX(EmployeeData[Employee ID], ROW() - 37), "")</f>
        <v/>
      </c>
      <c r="C5005" s="4" t="str" cm="1">
        <f t="array" ref="C5005">IFERROR(INDEX(EmployeeData[Full Name], ROW() - 37), "")</f>
        <v/>
      </c>
      <c r="D5005" s="4" t="str" cm="1">
        <f t="array" ref="D5005">IFERROR(INDEX(EmployeeData[Department], ROW() - 37), "")</f>
        <v/>
      </c>
      <c r="E5005" s="4" t="str" cm="1">
        <f t="array" ref="E5005">IFERROR(INDEX(EmployeeData[Gender], ROW() - 37), "")</f>
        <v/>
      </c>
      <c r="F5005" s="4" t="str" cm="1">
        <f t="array" ref="F5005">IFERROR(INDEX(EmployeeData[Age], ROW() - 37), "")</f>
        <v/>
      </c>
      <c r="G5005" s="6" t="str" cm="1">
        <f t="array" ref="G5005">IFERROR(INDEX(EmployeeData[Join Date], ROW() - 37), "")</f>
        <v/>
      </c>
      <c r="H5005" s="6" t="str" cm="1">
        <f t="array" ref="H5005">IFERROR(IF(INDEX(EmployeeData[Exit Date], ROW() - 37)=0, "",INDEX(EmployeeData[Exit Date], ROW() - 37)),"")</f>
        <v/>
      </c>
      <c r="I5005" s="4" t="str" cm="1">
        <f t="array" ref="I5005">IFERROR(IF(INDEX(EmployeeData[Exit Reason], ROW() - 37)=0, "",INDEX(EmployeeData[Exit Reason], ROW() - 37)),"")</f>
        <v/>
      </c>
      <c r="J5005" s="4" t="str" cm="1">
        <f t="array" ref="J5005">IFERROR(INDEX(EmployeeData[Status], ROW() - 37), "")</f>
        <v/>
      </c>
    </row>
    <row r="5006" spans="2:10" ht="19.95" customHeight="1" x14ac:dyDescent="0.3">
      <c r="B5006" s="4" t="str" cm="1">
        <f t="array" ref="B5006">IFERROR(INDEX(EmployeeData[Employee ID], ROW() - 37), "")</f>
        <v/>
      </c>
      <c r="C5006" s="4" t="str" cm="1">
        <f t="array" ref="C5006">IFERROR(INDEX(EmployeeData[Full Name], ROW() - 37), "")</f>
        <v/>
      </c>
      <c r="D5006" s="4" t="str" cm="1">
        <f t="array" ref="D5006">IFERROR(INDEX(EmployeeData[Department], ROW() - 37), "")</f>
        <v/>
      </c>
      <c r="E5006" s="4" t="str" cm="1">
        <f t="array" ref="E5006">IFERROR(INDEX(EmployeeData[Gender], ROW() - 37), "")</f>
        <v/>
      </c>
      <c r="F5006" s="4" t="str" cm="1">
        <f t="array" ref="F5006">IFERROR(INDEX(EmployeeData[Age], ROW() - 37), "")</f>
        <v/>
      </c>
      <c r="G5006" s="6" t="str" cm="1">
        <f t="array" ref="G5006">IFERROR(INDEX(EmployeeData[Join Date], ROW() - 37), "")</f>
        <v/>
      </c>
      <c r="H5006" s="6" t="str" cm="1">
        <f t="array" ref="H5006">IFERROR(IF(INDEX(EmployeeData[Exit Date], ROW() - 37)=0, "",INDEX(EmployeeData[Exit Date], ROW() - 37)),"")</f>
        <v/>
      </c>
      <c r="I5006" s="4" t="str" cm="1">
        <f t="array" ref="I5006">IFERROR(IF(INDEX(EmployeeData[Exit Reason], ROW() - 37)=0, "",INDEX(EmployeeData[Exit Reason], ROW() - 37)),"")</f>
        <v/>
      </c>
      <c r="J5006" s="4" t="str" cm="1">
        <f t="array" ref="J5006">IFERROR(INDEX(EmployeeData[Status], ROW() - 37), "")</f>
        <v/>
      </c>
    </row>
    <row r="5007" spans="2:10" ht="19.95" customHeight="1" x14ac:dyDescent="0.3">
      <c r="B5007" s="4" t="str" cm="1">
        <f t="array" ref="B5007">IFERROR(INDEX(EmployeeData[Employee ID], ROW() - 37), "")</f>
        <v/>
      </c>
      <c r="C5007" s="4" t="str" cm="1">
        <f t="array" ref="C5007">IFERROR(INDEX(EmployeeData[Full Name], ROW() - 37), "")</f>
        <v/>
      </c>
      <c r="D5007" s="4" t="str" cm="1">
        <f t="array" ref="D5007">IFERROR(INDEX(EmployeeData[Department], ROW() - 37), "")</f>
        <v/>
      </c>
      <c r="E5007" s="4" t="str" cm="1">
        <f t="array" ref="E5007">IFERROR(INDEX(EmployeeData[Gender], ROW() - 37), "")</f>
        <v/>
      </c>
      <c r="F5007" s="4" t="str" cm="1">
        <f t="array" ref="F5007">IFERROR(INDEX(EmployeeData[Age], ROW() - 37), "")</f>
        <v/>
      </c>
      <c r="G5007" s="6" t="str" cm="1">
        <f t="array" ref="G5007">IFERROR(INDEX(EmployeeData[Join Date], ROW() - 37), "")</f>
        <v/>
      </c>
      <c r="H5007" s="6" t="str" cm="1">
        <f t="array" ref="H5007">IFERROR(IF(INDEX(EmployeeData[Exit Date], ROW() - 37)=0, "",INDEX(EmployeeData[Exit Date], ROW() - 37)),"")</f>
        <v/>
      </c>
      <c r="I5007" s="4" t="str" cm="1">
        <f t="array" ref="I5007">IFERROR(IF(INDEX(EmployeeData[Exit Reason], ROW() - 37)=0, "",INDEX(EmployeeData[Exit Reason], ROW() - 37)),"")</f>
        <v/>
      </c>
      <c r="J5007" s="4" t="str" cm="1">
        <f t="array" ref="J5007">IFERROR(INDEX(EmployeeData[Status], ROW() - 37), "")</f>
        <v/>
      </c>
    </row>
    <row r="5008" spans="2:10" ht="19.95" customHeight="1" x14ac:dyDescent="0.3">
      <c r="B5008" s="4" t="str" cm="1">
        <f t="array" ref="B5008">IFERROR(INDEX(EmployeeData[Employee ID], ROW() - 37), "")</f>
        <v/>
      </c>
      <c r="C5008" s="4" t="str" cm="1">
        <f t="array" ref="C5008">IFERROR(INDEX(EmployeeData[Full Name], ROW() - 37), "")</f>
        <v/>
      </c>
      <c r="D5008" s="4" t="str" cm="1">
        <f t="array" ref="D5008">IFERROR(INDEX(EmployeeData[Department], ROW() - 37), "")</f>
        <v/>
      </c>
      <c r="E5008" s="4" t="str" cm="1">
        <f t="array" ref="E5008">IFERROR(INDEX(EmployeeData[Gender], ROW() - 37), "")</f>
        <v/>
      </c>
      <c r="F5008" s="4" t="str" cm="1">
        <f t="array" ref="F5008">IFERROR(INDEX(EmployeeData[Age], ROW() - 37), "")</f>
        <v/>
      </c>
      <c r="G5008" s="6" t="str" cm="1">
        <f t="array" ref="G5008">IFERROR(INDEX(EmployeeData[Join Date], ROW() - 37), "")</f>
        <v/>
      </c>
      <c r="H5008" s="6" t="str" cm="1">
        <f t="array" ref="H5008">IFERROR(IF(INDEX(EmployeeData[Exit Date], ROW() - 37)=0, "",INDEX(EmployeeData[Exit Date], ROW() - 37)),"")</f>
        <v/>
      </c>
      <c r="I5008" s="4" t="str" cm="1">
        <f t="array" ref="I5008">IFERROR(IF(INDEX(EmployeeData[Exit Reason], ROW() - 37)=0, "",INDEX(EmployeeData[Exit Reason], ROW() - 37)),"")</f>
        <v/>
      </c>
      <c r="J5008" s="4" t="str" cm="1">
        <f t="array" ref="J5008">IFERROR(INDEX(EmployeeData[Status], ROW() - 37), "")</f>
        <v/>
      </c>
    </row>
    <row r="5009" spans="2:10" ht="19.95" customHeight="1" x14ac:dyDescent="0.3">
      <c r="B5009" s="4" t="str" cm="1">
        <f t="array" ref="B5009">IFERROR(INDEX(EmployeeData[Employee ID], ROW() - 37), "")</f>
        <v/>
      </c>
      <c r="C5009" s="4" t="str" cm="1">
        <f t="array" ref="C5009">IFERROR(INDEX(EmployeeData[Full Name], ROW() - 37), "")</f>
        <v/>
      </c>
      <c r="D5009" s="4" t="str" cm="1">
        <f t="array" ref="D5009">IFERROR(INDEX(EmployeeData[Department], ROW() - 37), "")</f>
        <v/>
      </c>
      <c r="E5009" s="4" t="str" cm="1">
        <f t="array" ref="E5009">IFERROR(INDEX(EmployeeData[Gender], ROW() - 37), "")</f>
        <v/>
      </c>
      <c r="F5009" s="4" t="str" cm="1">
        <f t="array" ref="F5009">IFERROR(INDEX(EmployeeData[Age], ROW() - 37), "")</f>
        <v/>
      </c>
      <c r="G5009" s="6" t="str" cm="1">
        <f t="array" ref="G5009">IFERROR(INDEX(EmployeeData[Join Date], ROW() - 37), "")</f>
        <v/>
      </c>
      <c r="H5009" s="6" t="str" cm="1">
        <f t="array" ref="H5009">IFERROR(IF(INDEX(EmployeeData[Exit Date], ROW() - 37)=0, "",INDEX(EmployeeData[Exit Date], ROW() - 37)),"")</f>
        <v/>
      </c>
      <c r="I5009" s="4" t="str" cm="1">
        <f t="array" ref="I5009">IFERROR(IF(INDEX(EmployeeData[Exit Reason], ROW() - 37)=0, "",INDEX(EmployeeData[Exit Reason], ROW() - 37)),"")</f>
        <v/>
      </c>
      <c r="J5009" s="4" t="str" cm="1">
        <f t="array" ref="J5009">IFERROR(INDEX(EmployeeData[Status], ROW() - 37), "")</f>
        <v/>
      </c>
    </row>
    <row r="5010" spans="2:10" ht="19.95" customHeight="1" x14ac:dyDescent="0.3">
      <c r="B5010" s="4" t="str" cm="1">
        <f t="array" ref="B5010">IFERROR(INDEX(EmployeeData[Employee ID], ROW() - 37), "")</f>
        <v/>
      </c>
      <c r="C5010" s="4" t="str" cm="1">
        <f t="array" ref="C5010">IFERROR(INDEX(EmployeeData[Full Name], ROW() - 37), "")</f>
        <v/>
      </c>
      <c r="D5010" s="4" t="str" cm="1">
        <f t="array" ref="D5010">IFERROR(INDEX(EmployeeData[Department], ROW() - 37), "")</f>
        <v/>
      </c>
      <c r="E5010" s="4" t="str" cm="1">
        <f t="array" ref="E5010">IFERROR(INDEX(EmployeeData[Gender], ROW() - 37), "")</f>
        <v/>
      </c>
      <c r="F5010" s="4" t="str" cm="1">
        <f t="array" ref="F5010">IFERROR(INDEX(EmployeeData[Age], ROW() - 37), "")</f>
        <v/>
      </c>
      <c r="G5010" s="6" t="str" cm="1">
        <f t="array" ref="G5010">IFERROR(INDEX(EmployeeData[Join Date], ROW() - 37), "")</f>
        <v/>
      </c>
      <c r="H5010" s="6" t="str" cm="1">
        <f t="array" ref="H5010">IFERROR(IF(INDEX(EmployeeData[Exit Date], ROW() - 37)=0, "",INDEX(EmployeeData[Exit Date], ROW() - 37)),"")</f>
        <v/>
      </c>
      <c r="I5010" s="4" t="str" cm="1">
        <f t="array" ref="I5010">IFERROR(IF(INDEX(EmployeeData[Exit Reason], ROW() - 37)=0, "",INDEX(EmployeeData[Exit Reason], ROW() - 37)),"")</f>
        <v/>
      </c>
      <c r="J5010" s="4" t="str" cm="1">
        <f t="array" ref="J5010">IFERROR(INDEX(EmployeeData[Status], ROW() - 37), "")</f>
        <v/>
      </c>
    </row>
    <row r="5011" spans="2:10" ht="19.95" customHeight="1" x14ac:dyDescent="0.3">
      <c r="B5011" s="4" t="str" cm="1">
        <f t="array" ref="B5011">IFERROR(INDEX(EmployeeData[Employee ID], ROW() - 37), "")</f>
        <v/>
      </c>
      <c r="C5011" s="4" t="str" cm="1">
        <f t="array" ref="C5011">IFERROR(INDEX(EmployeeData[Full Name], ROW() - 37), "")</f>
        <v/>
      </c>
      <c r="D5011" s="4" t="str" cm="1">
        <f t="array" ref="D5011">IFERROR(INDEX(EmployeeData[Department], ROW() - 37), "")</f>
        <v/>
      </c>
      <c r="E5011" s="4" t="str" cm="1">
        <f t="array" ref="E5011">IFERROR(INDEX(EmployeeData[Gender], ROW() - 37), "")</f>
        <v/>
      </c>
      <c r="F5011" s="4" t="str" cm="1">
        <f t="array" ref="F5011">IFERROR(INDEX(EmployeeData[Age], ROW() - 37), "")</f>
        <v/>
      </c>
      <c r="G5011" s="6" t="str" cm="1">
        <f t="array" ref="G5011">IFERROR(INDEX(EmployeeData[Join Date], ROW() - 37), "")</f>
        <v/>
      </c>
      <c r="H5011" s="6" t="str" cm="1">
        <f t="array" ref="H5011">IFERROR(IF(INDEX(EmployeeData[Exit Date], ROW() - 37)=0, "",INDEX(EmployeeData[Exit Date], ROW() - 37)),"")</f>
        <v/>
      </c>
      <c r="I5011" s="4" t="str" cm="1">
        <f t="array" ref="I5011">IFERROR(IF(INDEX(EmployeeData[Exit Reason], ROW() - 37)=0, "",INDEX(EmployeeData[Exit Reason], ROW() - 37)),"")</f>
        <v/>
      </c>
      <c r="J5011" s="4" t="str" cm="1">
        <f t="array" ref="J5011">IFERROR(INDEX(EmployeeData[Status], ROW() - 37), "")</f>
        <v/>
      </c>
    </row>
    <row r="5012" spans="2:10" ht="19.95" customHeight="1" x14ac:dyDescent="0.3">
      <c r="B5012" s="4" t="str" cm="1">
        <f t="array" ref="B5012">IFERROR(INDEX(EmployeeData[Employee ID], ROW() - 37), "")</f>
        <v/>
      </c>
      <c r="C5012" s="4" t="str" cm="1">
        <f t="array" ref="C5012">IFERROR(INDEX(EmployeeData[Full Name], ROW() - 37), "")</f>
        <v/>
      </c>
      <c r="D5012" s="4" t="str" cm="1">
        <f t="array" ref="D5012">IFERROR(INDEX(EmployeeData[Department], ROW() - 37), "")</f>
        <v/>
      </c>
      <c r="E5012" s="4" t="str" cm="1">
        <f t="array" ref="E5012">IFERROR(INDEX(EmployeeData[Gender], ROW() - 37), "")</f>
        <v/>
      </c>
      <c r="F5012" s="4" t="str" cm="1">
        <f t="array" ref="F5012">IFERROR(INDEX(EmployeeData[Age], ROW() - 37), "")</f>
        <v/>
      </c>
      <c r="G5012" s="6" t="str" cm="1">
        <f t="array" ref="G5012">IFERROR(INDEX(EmployeeData[Join Date], ROW() - 37), "")</f>
        <v/>
      </c>
      <c r="H5012" s="6" t="str" cm="1">
        <f t="array" ref="H5012">IFERROR(IF(INDEX(EmployeeData[Exit Date], ROW() - 37)=0, "",INDEX(EmployeeData[Exit Date], ROW() - 37)),"")</f>
        <v/>
      </c>
      <c r="I5012" s="4" t="str" cm="1">
        <f t="array" ref="I5012">IFERROR(IF(INDEX(EmployeeData[Exit Reason], ROW() - 37)=0, "",INDEX(EmployeeData[Exit Reason], ROW() - 37)),"")</f>
        <v/>
      </c>
      <c r="J5012" s="4" t="str" cm="1">
        <f t="array" ref="J5012">IFERROR(INDEX(EmployeeData[Status], ROW() - 37), "")</f>
        <v/>
      </c>
    </row>
    <row r="5013" spans="2:10" ht="19.95" customHeight="1" x14ac:dyDescent="0.3">
      <c r="B5013" s="4" t="str" cm="1">
        <f t="array" ref="B5013">IFERROR(INDEX(EmployeeData[Employee ID], ROW() - 37), "")</f>
        <v/>
      </c>
      <c r="C5013" s="4" t="str" cm="1">
        <f t="array" ref="C5013">IFERROR(INDEX(EmployeeData[Full Name], ROW() - 37), "")</f>
        <v/>
      </c>
      <c r="D5013" s="4" t="str" cm="1">
        <f t="array" ref="D5013">IFERROR(INDEX(EmployeeData[Department], ROW() - 37), "")</f>
        <v/>
      </c>
      <c r="E5013" s="4" t="str" cm="1">
        <f t="array" ref="E5013">IFERROR(INDEX(EmployeeData[Gender], ROW() - 37), "")</f>
        <v/>
      </c>
      <c r="F5013" s="4" t="str" cm="1">
        <f t="array" ref="F5013">IFERROR(INDEX(EmployeeData[Age], ROW() - 37), "")</f>
        <v/>
      </c>
      <c r="G5013" s="6" t="str" cm="1">
        <f t="array" ref="G5013">IFERROR(INDEX(EmployeeData[Join Date], ROW() - 37), "")</f>
        <v/>
      </c>
      <c r="H5013" s="6" t="str" cm="1">
        <f t="array" ref="H5013">IFERROR(IF(INDEX(EmployeeData[Exit Date], ROW() - 37)=0, "",INDEX(EmployeeData[Exit Date], ROW() - 37)),"")</f>
        <v/>
      </c>
      <c r="I5013" s="4" t="str" cm="1">
        <f t="array" ref="I5013">IFERROR(IF(INDEX(EmployeeData[Exit Reason], ROW() - 37)=0, "",INDEX(EmployeeData[Exit Reason], ROW() - 37)),"")</f>
        <v/>
      </c>
      <c r="J5013" s="4" t="str" cm="1">
        <f t="array" ref="J5013">IFERROR(INDEX(EmployeeData[Status], ROW() - 37), "")</f>
        <v/>
      </c>
    </row>
    <row r="5014" spans="2:10" ht="19.95" customHeight="1" x14ac:dyDescent="0.3">
      <c r="B5014" s="4" t="str" cm="1">
        <f t="array" ref="B5014">IFERROR(INDEX(EmployeeData[Employee ID], ROW() - 37), "")</f>
        <v/>
      </c>
      <c r="C5014" s="4" t="str" cm="1">
        <f t="array" ref="C5014">IFERROR(INDEX(EmployeeData[Full Name], ROW() - 37), "")</f>
        <v/>
      </c>
      <c r="D5014" s="4" t="str" cm="1">
        <f t="array" ref="D5014">IFERROR(INDEX(EmployeeData[Department], ROW() - 37), "")</f>
        <v/>
      </c>
      <c r="E5014" s="4" t="str" cm="1">
        <f t="array" ref="E5014">IFERROR(INDEX(EmployeeData[Gender], ROW() - 37), "")</f>
        <v/>
      </c>
      <c r="F5014" s="4" t="str" cm="1">
        <f t="array" ref="F5014">IFERROR(INDEX(EmployeeData[Age], ROW() - 37), "")</f>
        <v/>
      </c>
      <c r="G5014" s="6" t="str" cm="1">
        <f t="array" ref="G5014">IFERROR(INDEX(EmployeeData[Join Date], ROW() - 37), "")</f>
        <v/>
      </c>
      <c r="H5014" s="6" t="str" cm="1">
        <f t="array" ref="H5014">IFERROR(IF(INDEX(EmployeeData[Exit Date], ROW() - 37)=0, "",INDEX(EmployeeData[Exit Date], ROW() - 37)),"")</f>
        <v/>
      </c>
      <c r="I5014" s="4" t="str" cm="1">
        <f t="array" ref="I5014">IFERROR(IF(INDEX(EmployeeData[Exit Reason], ROW() - 37)=0, "",INDEX(EmployeeData[Exit Reason], ROW() - 37)),"")</f>
        <v/>
      </c>
      <c r="J5014" s="4" t="str" cm="1">
        <f t="array" ref="J5014">IFERROR(INDEX(EmployeeData[Status], ROW() - 37), "")</f>
        <v/>
      </c>
    </row>
    <row r="5015" spans="2:10" ht="19.95" customHeight="1" x14ac:dyDescent="0.3">
      <c r="B5015" s="4" t="str" cm="1">
        <f t="array" ref="B5015">IFERROR(INDEX(EmployeeData[Employee ID], ROW() - 37), "")</f>
        <v/>
      </c>
      <c r="C5015" s="4" t="str" cm="1">
        <f t="array" ref="C5015">IFERROR(INDEX(EmployeeData[Full Name], ROW() - 37), "")</f>
        <v/>
      </c>
      <c r="D5015" s="4" t="str" cm="1">
        <f t="array" ref="D5015">IFERROR(INDEX(EmployeeData[Department], ROW() - 37), "")</f>
        <v/>
      </c>
      <c r="E5015" s="4" t="str" cm="1">
        <f t="array" ref="E5015">IFERROR(INDEX(EmployeeData[Gender], ROW() - 37), "")</f>
        <v/>
      </c>
      <c r="F5015" s="4" t="str" cm="1">
        <f t="array" ref="F5015">IFERROR(INDEX(EmployeeData[Age], ROW() - 37), "")</f>
        <v/>
      </c>
      <c r="G5015" s="6" t="str" cm="1">
        <f t="array" ref="G5015">IFERROR(INDEX(EmployeeData[Join Date], ROW() - 37), "")</f>
        <v/>
      </c>
      <c r="H5015" s="6" t="str" cm="1">
        <f t="array" ref="H5015">IFERROR(IF(INDEX(EmployeeData[Exit Date], ROW() - 37)=0, "",INDEX(EmployeeData[Exit Date], ROW() - 37)),"")</f>
        <v/>
      </c>
      <c r="I5015" s="4" t="str" cm="1">
        <f t="array" ref="I5015">IFERROR(IF(INDEX(EmployeeData[Exit Reason], ROW() - 37)=0, "",INDEX(EmployeeData[Exit Reason], ROW() - 37)),"")</f>
        <v/>
      </c>
      <c r="J5015" s="4" t="str" cm="1">
        <f t="array" ref="J5015">IFERROR(INDEX(EmployeeData[Status], ROW() - 37), "")</f>
        <v/>
      </c>
    </row>
    <row r="5016" spans="2:10" ht="19.95" customHeight="1" x14ac:dyDescent="0.3">
      <c r="B5016" s="4" t="str" cm="1">
        <f t="array" ref="B5016">IFERROR(INDEX(EmployeeData[Employee ID], ROW() - 37), "")</f>
        <v/>
      </c>
      <c r="C5016" s="4" t="str" cm="1">
        <f t="array" ref="C5016">IFERROR(INDEX(EmployeeData[Full Name], ROW() - 37), "")</f>
        <v/>
      </c>
      <c r="D5016" s="4" t="str" cm="1">
        <f t="array" ref="D5016">IFERROR(INDEX(EmployeeData[Department], ROW() - 37), "")</f>
        <v/>
      </c>
      <c r="E5016" s="4" t="str" cm="1">
        <f t="array" ref="E5016">IFERROR(INDEX(EmployeeData[Gender], ROW() - 37), "")</f>
        <v/>
      </c>
      <c r="F5016" s="4" t="str" cm="1">
        <f t="array" ref="F5016">IFERROR(INDEX(EmployeeData[Age], ROW() - 37), "")</f>
        <v/>
      </c>
      <c r="G5016" s="6" t="str" cm="1">
        <f t="array" ref="G5016">IFERROR(INDEX(EmployeeData[Join Date], ROW() - 37), "")</f>
        <v/>
      </c>
      <c r="H5016" s="6" t="str" cm="1">
        <f t="array" ref="H5016">IFERROR(IF(INDEX(EmployeeData[Exit Date], ROW() - 37)=0, "",INDEX(EmployeeData[Exit Date], ROW() - 37)),"")</f>
        <v/>
      </c>
      <c r="I5016" s="4" t="str" cm="1">
        <f t="array" ref="I5016">IFERROR(IF(INDEX(EmployeeData[Exit Reason], ROW() - 37)=0, "",INDEX(EmployeeData[Exit Reason], ROW() - 37)),"")</f>
        <v/>
      </c>
      <c r="J5016" s="4" t="str" cm="1">
        <f t="array" ref="J5016">IFERROR(INDEX(EmployeeData[Status], ROW() - 37), "")</f>
        <v/>
      </c>
    </row>
    <row r="5017" spans="2:10" ht="19.95" customHeight="1" x14ac:dyDescent="0.3">
      <c r="B5017" s="4" t="str" cm="1">
        <f t="array" ref="B5017">IFERROR(INDEX(EmployeeData[Employee ID], ROW() - 37), "")</f>
        <v/>
      </c>
      <c r="C5017" s="4" t="str" cm="1">
        <f t="array" ref="C5017">IFERROR(INDEX(EmployeeData[Full Name], ROW() - 37), "")</f>
        <v/>
      </c>
      <c r="D5017" s="4" t="str" cm="1">
        <f t="array" ref="D5017">IFERROR(INDEX(EmployeeData[Department], ROW() - 37), "")</f>
        <v/>
      </c>
      <c r="E5017" s="4" t="str" cm="1">
        <f t="array" ref="E5017">IFERROR(INDEX(EmployeeData[Gender], ROW() - 37), "")</f>
        <v/>
      </c>
      <c r="F5017" s="4" t="str" cm="1">
        <f t="array" ref="F5017">IFERROR(INDEX(EmployeeData[Age], ROW() - 37), "")</f>
        <v/>
      </c>
      <c r="G5017" s="6" t="str" cm="1">
        <f t="array" ref="G5017">IFERROR(INDEX(EmployeeData[Join Date], ROW() - 37), "")</f>
        <v/>
      </c>
      <c r="H5017" s="6" t="str" cm="1">
        <f t="array" ref="H5017">IFERROR(IF(INDEX(EmployeeData[Exit Date], ROW() - 37)=0, "",INDEX(EmployeeData[Exit Date], ROW() - 37)),"")</f>
        <v/>
      </c>
      <c r="I5017" s="4" t="str" cm="1">
        <f t="array" ref="I5017">IFERROR(IF(INDEX(EmployeeData[Exit Reason], ROW() - 37)=0, "",INDEX(EmployeeData[Exit Reason], ROW() - 37)),"")</f>
        <v/>
      </c>
      <c r="J5017" s="4" t="str" cm="1">
        <f t="array" ref="J5017">IFERROR(INDEX(EmployeeData[Status], ROW() - 37), "")</f>
        <v/>
      </c>
    </row>
    <row r="5018" spans="2:10" ht="19.95" customHeight="1" x14ac:dyDescent="0.3">
      <c r="B5018" s="4" t="str" cm="1">
        <f t="array" ref="B5018">IFERROR(INDEX(EmployeeData[Employee ID], ROW() - 37), "")</f>
        <v/>
      </c>
      <c r="C5018" s="4" t="str" cm="1">
        <f t="array" ref="C5018">IFERROR(INDEX(EmployeeData[Full Name], ROW() - 37), "")</f>
        <v/>
      </c>
      <c r="D5018" s="4" t="str" cm="1">
        <f t="array" ref="D5018">IFERROR(INDEX(EmployeeData[Department], ROW() - 37), "")</f>
        <v/>
      </c>
      <c r="E5018" s="4" t="str" cm="1">
        <f t="array" ref="E5018">IFERROR(INDEX(EmployeeData[Gender], ROW() - 37), "")</f>
        <v/>
      </c>
      <c r="F5018" s="4" t="str" cm="1">
        <f t="array" ref="F5018">IFERROR(INDEX(EmployeeData[Age], ROW() - 37), "")</f>
        <v/>
      </c>
      <c r="G5018" s="6" t="str" cm="1">
        <f t="array" ref="G5018">IFERROR(INDEX(EmployeeData[Join Date], ROW() - 37), "")</f>
        <v/>
      </c>
      <c r="H5018" s="6" t="str" cm="1">
        <f t="array" ref="H5018">IFERROR(IF(INDEX(EmployeeData[Exit Date], ROW() - 37)=0, "",INDEX(EmployeeData[Exit Date], ROW() - 37)),"")</f>
        <v/>
      </c>
      <c r="I5018" s="4" t="str" cm="1">
        <f t="array" ref="I5018">IFERROR(IF(INDEX(EmployeeData[Exit Reason], ROW() - 37)=0, "",INDEX(EmployeeData[Exit Reason], ROW() - 37)),"")</f>
        <v/>
      </c>
      <c r="J5018" s="4" t="str" cm="1">
        <f t="array" ref="J5018">IFERROR(INDEX(EmployeeData[Status], ROW() - 37), "")</f>
        <v/>
      </c>
    </row>
    <row r="5019" spans="2:10" ht="19.95" customHeight="1" x14ac:dyDescent="0.3">
      <c r="B5019" s="4" t="str" cm="1">
        <f t="array" ref="B5019">IFERROR(INDEX(EmployeeData[Employee ID], ROW() - 37), "")</f>
        <v/>
      </c>
      <c r="C5019" s="4" t="str" cm="1">
        <f t="array" ref="C5019">IFERROR(INDEX(EmployeeData[Full Name], ROW() - 37), "")</f>
        <v/>
      </c>
      <c r="D5019" s="4" t="str" cm="1">
        <f t="array" ref="D5019">IFERROR(INDEX(EmployeeData[Department], ROW() - 37), "")</f>
        <v/>
      </c>
      <c r="E5019" s="4" t="str" cm="1">
        <f t="array" ref="E5019">IFERROR(INDEX(EmployeeData[Gender], ROW() - 37), "")</f>
        <v/>
      </c>
      <c r="F5019" s="4" t="str" cm="1">
        <f t="array" ref="F5019">IFERROR(INDEX(EmployeeData[Age], ROW() - 37), "")</f>
        <v/>
      </c>
      <c r="G5019" s="6" t="str" cm="1">
        <f t="array" ref="G5019">IFERROR(INDEX(EmployeeData[Join Date], ROW() - 37), "")</f>
        <v/>
      </c>
      <c r="H5019" s="6" t="str" cm="1">
        <f t="array" ref="H5019">IFERROR(IF(INDEX(EmployeeData[Exit Date], ROW() - 37)=0, "",INDEX(EmployeeData[Exit Date], ROW() - 37)),"")</f>
        <v/>
      </c>
      <c r="I5019" s="4" t="str" cm="1">
        <f t="array" ref="I5019">IFERROR(IF(INDEX(EmployeeData[Exit Reason], ROW() - 37)=0, "",INDEX(EmployeeData[Exit Reason], ROW() - 37)),"")</f>
        <v/>
      </c>
      <c r="J5019" s="4" t="str" cm="1">
        <f t="array" ref="J5019">IFERROR(INDEX(EmployeeData[Status], ROW() - 37), "")</f>
        <v/>
      </c>
    </row>
    <row r="5020" spans="2:10" ht="19.95" customHeight="1" x14ac:dyDescent="0.3">
      <c r="B5020" s="4" t="str" cm="1">
        <f t="array" ref="B5020">IFERROR(INDEX(EmployeeData[Employee ID], ROW() - 37), "")</f>
        <v/>
      </c>
      <c r="C5020" s="4" t="str" cm="1">
        <f t="array" ref="C5020">IFERROR(INDEX(EmployeeData[Full Name], ROW() - 37), "")</f>
        <v/>
      </c>
      <c r="D5020" s="4" t="str" cm="1">
        <f t="array" ref="D5020">IFERROR(INDEX(EmployeeData[Department], ROW() - 37), "")</f>
        <v/>
      </c>
      <c r="E5020" s="4" t="str" cm="1">
        <f t="array" ref="E5020">IFERROR(INDEX(EmployeeData[Gender], ROW() - 37), "")</f>
        <v/>
      </c>
      <c r="F5020" s="4" t="str" cm="1">
        <f t="array" ref="F5020">IFERROR(INDEX(EmployeeData[Age], ROW() - 37), "")</f>
        <v/>
      </c>
      <c r="G5020" s="6" t="str" cm="1">
        <f t="array" ref="G5020">IFERROR(INDEX(EmployeeData[Join Date], ROW() - 37), "")</f>
        <v/>
      </c>
      <c r="H5020" s="6" t="str" cm="1">
        <f t="array" ref="H5020">IFERROR(IF(INDEX(EmployeeData[Exit Date], ROW() - 37)=0, "",INDEX(EmployeeData[Exit Date], ROW() - 37)),"")</f>
        <v/>
      </c>
      <c r="I5020" s="4" t="str" cm="1">
        <f t="array" ref="I5020">IFERROR(IF(INDEX(EmployeeData[Exit Reason], ROW() - 37)=0, "",INDEX(EmployeeData[Exit Reason], ROW() - 37)),"")</f>
        <v/>
      </c>
      <c r="J5020" s="4" t="str" cm="1">
        <f t="array" ref="J5020">IFERROR(INDEX(EmployeeData[Status], ROW() - 37), "")</f>
        <v/>
      </c>
    </row>
    <row r="5021" spans="2:10" ht="19.95" customHeight="1" x14ac:dyDescent="0.3">
      <c r="B5021" s="4" t="str" cm="1">
        <f t="array" ref="B5021">IFERROR(INDEX(EmployeeData[Employee ID], ROW() - 37), "")</f>
        <v/>
      </c>
      <c r="C5021" s="4" t="str" cm="1">
        <f t="array" ref="C5021">IFERROR(INDEX(EmployeeData[Full Name], ROW() - 37), "")</f>
        <v/>
      </c>
      <c r="D5021" s="4" t="str" cm="1">
        <f t="array" ref="D5021">IFERROR(INDEX(EmployeeData[Department], ROW() - 37), "")</f>
        <v/>
      </c>
      <c r="E5021" s="4" t="str" cm="1">
        <f t="array" ref="E5021">IFERROR(INDEX(EmployeeData[Gender], ROW() - 37), "")</f>
        <v/>
      </c>
      <c r="F5021" s="4" t="str" cm="1">
        <f t="array" ref="F5021">IFERROR(INDEX(EmployeeData[Age], ROW() - 37), "")</f>
        <v/>
      </c>
      <c r="G5021" s="6" t="str" cm="1">
        <f t="array" ref="G5021">IFERROR(INDEX(EmployeeData[Join Date], ROW() - 37), "")</f>
        <v/>
      </c>
      <c r="H5021" s="6" t="str" cm="1">
        <f t="array" ref="H5021">IFERROR(IF(INDEX(EmployeeData[Exit Date], ROW() - 37)=0, "",INDEX(EmployeeData[Exit Date], ROW() - 37)),"")</f>
        <v/>
      </c>
      <c r="I5021" s="4" t="str" cm="1">
        <f t="array" ref="I5021">IFERROR(IF(INDEX(EmployeeData[Exit Reason], ROW() - 37)=0, "",INDEX(EmployeeData[Exit Reason], ROW() - 37)),"")</f>
        <v/>
      </c>
      <c r="J5021" s="4" t="str" cm="1">
        <f t="array" ref="J5021">IFERROR(INDEX(EmployeeData[Status], ROW() - 37), "")</f>
        <v/>
      </c>
    </row>
    <row r="5022" spans="2:10" ht="19.95" customHeight="1" x14ac:dyDescent="0.3">
      <c r="B5022" s="4" t="str" cm="1">
        <f t="array" ref="B5022">IFERROR(INDEX(EmployeeData[Employee ID], ROW() - 37), "")</f>
        <v/>
      </c>
      <c r="C5022" s="4" t="str" cm="1">
        <f t="array" ref="C5022">IFERROR(INDEX(EmployeeData[Full Name], ROW() - 37), "")</f>
        <v/>
      </c>
      <c r="D5022" s="4" t="str" cm="1">
        <f t="array" ref="D5022">IFERROR(INDEX(EmployeeData[Department], ROW() - 37), "")</f>
        <v/>
      </c>
      <c r="E5022" s="4" t="str" cm="1">
        <f t="array" ref="E5022">IFERROR(INDEX(EmployeeData[Gender], ROW() - 37), "")</f>
        <v/>
      </c>
      <c r="F5022" s="4" t="str" cm="1">
        <f t="array" ref="F5022">IFERROR(INDEX(EmployeeData[Age], ROW() - 37), "")</f>
        <v/>
      </c>
      <c r="G5022" s="6" t="str" cm="1">
        <f t="array" ref="G5022">IFERROR(INDEX(EmployeeData[Join Date], ROW() - 37), "")</f>
        <v/>
      </c>
      <c r="H5022" s="6" t="str" cm="1">
        <f t="array" ref="H5022">IFERROR(IF(INDEX(EmployeeData[Exit Date], ROW() - 37)=0, "",INDEX(EmployeeData[Exit Date], ROW() - 37)),"")</f>
        <v/>
      </c>
      <c r="I5022" s="4" t="str" cm="1">
        <f t="array" ref="I5022">IFERROR(IF(INDEX(EmployeeData[Exit Reason], ROW() - 37)=0, "",INDEX(EmployeeData[Exit Reason], ROW() - 37)),"")</f>
        <v/>
      </c>
      <c r="J5022" s="4" t="str" cm="1">
        <f t="array" ref="J5022">IFERROR(INDEX(EmployeeData[Status], ROW() - 37), "")</f>
        <v/>
      </c>
    </row>
    <row r="5023" spans="2:10" ht="19.95" customHeight="1" x14ac:dyDescent="0.3">
      <c r="B5023" s="4" t="str" cm="1">
        <f t="array" ref="B5023">IFERROR(INDEX(EmployeeData[Employee ID], ROW() - 37), "")</f>
        <v/>
      </c>
      <c r="C5023" s="4" t="str" cm="1">
        <f t="array" ref="C5023">IFERROR(INDEX(EmployeeData[Full Name], ROW() - 37), "")</f>
        <v/>
      </c>
      <c r="D5023" s="4" t="str" cm="1">
        <f t="array" ref="D5023">IFERROR(INDEX(EmployeeData[Department], ROW() - 37), "")</f>
        <v/>
      </c>
      <c r="E5023" s="4" t="str" cm="1">
        <f t="array" ref="E5023">IFERROR(INDEX(EmployeeData[Gender], ROW() - 37), "")</f>
        <v/>
      </c>
      <c r="F5023" s="4" t="str" cm="1">
        <f t="array" ref="F5023">IFERROR(INDEX(EmployeeData[Age], ROW() - 37), "")</f>
        <v/>
      </c>
      <c r="G5023" s="6" t="str" cm="1">
        <f t="array" ref="G5023">IFERROR(INDEX(EmployeeData[Join Date], ROW() - 37), "")</f>
        <v/>
      </c>
      <c r="H5023" s="6" t="str" cm="1">
        <f t="array" ref="H5023">IFERROR(IF(INDEX(EmployeeData[Exit Date], ROW() - 37)=0, "",INDEX(EmployeeData[Exit Date], ROW() - 37)),"")</f>
        <v/>
      </c>
      <c r="I5023" s="4" t="str" cm="1">
        <f t="array" ref="I5023">IFERROR(IF(INDEX(EmployeeData[Exit Reason], ROW() - 37)=0, "",INDEX(EmployeeData[Exit Reason], ROW() - 37)),"")</f>
        <v/>
      </c>
      <c r="J5023" s="4" t="str" cm="1">
        <f t="array" ref="J5023">IFERROR(INDEX(EmployeeData[Status], ROW() - 37), "")</f>
        <v/>
      </c>
    </row>
    <row r="5024" spans="2:10" ht="19.95" customHeight="1" x14ac:dyDescent="0.3">
      <c r="B5024" s="4" t="str" cm="1">
        <f t="array" ref="B5024">IFERROR(INDEX(EmployeeData[Employee ID], ROW() - 37), "")</f>
        <v/>
      </c>
      <c r="C5024" s="4" t="str" cm="1">
        <f t="array" ref="C5024">IFERROR(INDEX(EmployeeData[Full Name], ROW() - 37), "")</f>
        <v/>
      </c>
      <c r="D5024" s="4" t="str" cm="1">
        <f t="array" ref="D5024">IFERROR(INDEX(EmployeeData[Department], ROW() - 37), "")</f>
        <v/>
      </c>
      <c r="E5024" s="4" t="str" cm="1">
        <f t="array" ref="E5024">IFERROR(INDEX(EmployeeData[Gender], ROW() - 37), "")</f>
        <v/>
      </c>
      <c r="F5024" s="4" t="str" cm="1">
        <f t="array" ref="F5024">IFERROR(INDEX(EmployeeData[Age], ROW() - 37), "")</f>
        <v/>
      </c>
      <c r="G5024" s="6" t="str" cm="1">
        <f t="array" ref="G5024">IFERROR(INDEX(EmployeeData[Join Date], ROW() - 37), "")</f>
        <v/>
      </c>
      <c r="H5024" s="6" t="str" cm="1">
        <f t="array" ref="H5024">IFERROR(IF(INDEX(EmployeeData[Exit Date], ROW() - 37)=0, "",INDEX(EmployeeData[Exit Date], ROW() - 37)),"")</f>
        <v/>
      </c>
      <c r="I5024" s="4" t="str" cm="1">
        <f t="array" ref="I5024">IFERROR(IF(INDEX(EmployeeData[Exit Reason], ROW() - 37)=0, "",INDEX(EmployeeData[Exit Reason], ROW() - 37)),"")</f>
        <v/>
      </c>
      <c r="J5024" s="4" t="str" cm="1">
        <f t="array" ref="J5024">IFERROR(INDEX(EmployeeData[Status], ROW() - 37), "")</f>
        <v/>
      </c>
    </row>
    <row r="5025" spans="2:10" ht="19.95" customHeight="1" x14ac:dyDescent="0.3">
      <c r="B5025" s="4" t="str" cm="1">
        <f t="array" ref="B5025">IFERROR(INDEX(EmployeeData[Employee ID], ROW() - 37), "")</f>
        <v/>
      </c>
      <c r="C5025" s="4" t="str" cm="1">
        <f t="array" ref="C5025">IFERROR(INDEX(EmployeeData[Full Name], ROW() - 37), "")</f>
        <v/>
      </c>
      <c r="D5025" s="4" t="str" cm="1">
        <f t="array" ref="D5025">IFERROR(INDEX(EmployeeData[Department], ROW() - 37), "")</f>
        <v/>
      </c>
      <c r="E5025" s="4" t="str" cm="1">
        <f t="array" ref="E5025">IFERROR(INDEX(EmployeeData[Gender], ROW() - 37), "")</f>
        <v/>
      </c>
      <c r="F5025" s="4" t="str" cm="1">
        <f t="array" ref="F5025">IFERROR(INDEX(EmployeeData[Age], ROW() - 37), "")</f>
        <v/>
      </c>
      <c r="G5025" s="6" t="str" cm="1">
        <f t="array" ref="G5025">IFERROR(INDEX(EmployeeData[Join Date], ROW() - 37), "")</f>
        <v/>
      </c>
      <c r="H5025" s="6" t="str" cm="1">
        <f t="array" ref="H5025">IFERROR(IF(INDEX(EmployeeData[Exit Date], ROW() - 37)=0, "",INDEX(EmployeeData[Exit Date], ROW() - 37)),"")</f>
        <v/>
      </c>
      <c r="I5025" s="4" t="str" cm="1">
        <f t="array" ref="I5025">IFERROR(IF(INDEX(EmployeeData[Exit Reason], ROW() - 37)=0, "",INDEX(EmployeeData[Exit Reason], ROW() - 37)),"")</f>
        <v/>
      </c>
      <c r="J5025" s="4" t="str" cm="1">
        <f t="array" ref="J5025">IFERROR(INDEX(EmployeeData[Status], ROW() - 37), "")</f>
        <v/>
      </c>
    </row>
    <row r="5026" spans="2:10" ht="19.95" customHeight="1" x14ac:dyDescent="0.3">
      <c r="B5026" s="4" t="str" cm="1">
        <f t="array" ref="B5026">IFERROR(INDEX(EmployeeData[Employee ID], ROW() - 37), "")</f>
        <v/>
      </c>
      <c r="C5026" s="4" t="str" cm="1">
        <f t="array" ref="C5026">IFERROR(INDEX(EmployeeData[Full Name], ROW() - 37), "")</f>
        <v/>
      </c>
      <c r="D5026" s="4" t="str" cm="1">
        <f t="array" ref="D5026">IFERROR(INDEX(EmployeeData[Department], ROW() - 37), "")</f>
        <v/>
      </c>
      <c r="E5026" s="4" t="str" cm="1">
        <f t="array" ref="E5026">IFERROR(INDEX(EmployeeData[Gender], ROW() - 37), "")</f>
        <v/>
      </c>
      <c r="F5026" s="4" t="str" cm="1">
        <f t="array" ref="F5026">IFERROR(INDEX(EmployeeData[Age], ROW() - 37), "")</f>
        <v/>
      </c>
      <c r="G5026" s="6" t="str" cm="1">
        <f t="array" ref="G5026">IFERROR(INDEX(EmployeeData[Join Date], ROW() - 37), "")</f>
        <v/>
      </c>
      <c r="H5026" s="6" t="str" cm="1">
        <f t="array" ref="H5026">IFERROR(IF(INDEX(EmployeeData[Exit Date], ROW() - 37)=0, "",INDEX(EmployeeData[Exit Date], ROW() - 37)),"")</f>
        <v/>
      </c>
      <c r="I5026" s="4" t="str" cm="1">
        <f t="array" ref="I5026">IFERROR(IF(INDEX(EmployeeData[Exit Reason], ROW() - 37)=0, "",INDEX(EmployeeData[Exit Reason], ROW() - 37)),"")</f>
        <v/>
      </c>
      <c r="J5026" s="4" t="str" cm="1">
        <f t="array" ref="J5026">IFERROR(INDEX(EmployeeData[Status], ROW() - 37), "")</f>
        <v/>
      </c>
    </row>
    <row r="5027" spans="2:10" ht="19.95" customHeight="1" x14ac:dyDescent="0.3">
      <c r="B5027" s="4" t="str" cm="1">
        <f t="array" ref="B5027">IFERROR(INDEX(EmployeeData[Employee ID], ROW() - 37), "")</f>
        <v/>
      </c>
      <c r="C5027" s="4" t="str" cm="1">
        <f t="array" ref="C5027">IFERROR(INDEX(EmployeeData[Full Name], ROW() - 37), "")</f>
        <v/>
      </c>
      <c r="D5027" s="4" t="str" cm="1">
        <f t="array" ref="D5027">IFERROR(INDEX(EmployeeData[Department], ROW() - 37), "")</f>
        <v/>
      </c>
      <c r="E5027" s="4" t="str" cm="1">
        <f t="array" ref="E5027">IFERROR(INDEX(EmployeeData[Gender], ROW() - 37), "")</f>
        <v/>
      </c>
      <c r="F5027" s="4" t="str" cm="1">
        <f t="array" ref="F5027">IFERROR(INDEX(EmployeeData[Age], ROW() - 37), "")</f>
        <v/>
      </c>
      <c r="G5027" s="6" t="str" cm="1">
        <f t="array" ref="G5027">IFERROR(INDEX(EmployeeData[Join Date], ROW() - 37), "")</f>
        <v/>
      </c>
      <c r="H5027" s="6" t="str" cm="1">
        <f t="array" ref="H5027">IFERROR(IF(INDEX(EmployeeData[Exit Date], ROW() - 37)=0, "",INDEX(EmployeeData[Exit Date], ROW() - 37)),"")</f>
        <v/>
      </c>
      <c r="I5027" s="4" t="str" cm="1">
        <f t="array" ref="I5027">IFERROR(IF(INDEX(EmployeeData[Exit Reason], ROW() - 37)=0, "",INDEX(EmployeeData[Exit Reason], ROW() - 37)),"")</f>
        <v/>
      </c>
      <c r="J5027" s="4" t="str" cm="1">
        <f t="array" ref="J5027">IFERROR(INDEX(EmployeeData[Status], ROW() - 37), "")</f>
        <v/>
      </c>
    </row>
    <row r="5028" spans="2:10" ht="19.95" customHeight="1" x14ac:dyDescent="0.3">
      <c r="B5028" s="4" t="str" cm="1">
        <f t="array" ref="B5028">IFERROR(INDEX(EmployeeData[Employee ID], ROW() - 37), "")</f>
        <v/>
      </c>
      <c r="C5028" s="4" t="str" cm="1">
        <f t="array" ref="C5028">IFERROR(INDEX(EmployeeData[Full Name], ROW() - 37), "")</f>
        <v/>
      </c>
      <c r="D5028" s="4" t="str" cm="1">
        <f t="array" ref="D5028">IFERROR(INDEX(EmployeeData[Department], ROW() - 37), "")</f>
        <v/>
      </c>
      <c r="E5028" s="4" t="str" cm="1">
        <f t="array" ref="E5028">IFERROR(INDEX(EmployeeData[Gender], ROW() - 37), "")</f>
        <v/>
      </c>
      <c r="F5028" s="4" t="str" cm="1">
        <f t="array" ref="F5028">IFERROR(INDEX(EmployeeData[Age], ROW() - 37), "")</f>
        <v/>
      </c>
      <c r="G5028" s="6" t="str" cm="1">
        <f t="array" ref="G5028">IFERROR(INDEX(EmployeeData[Join Date], ROW() - 37), "")</f>
        <v/>
      </c>
      <c r="H5028" s="6" t="str" cm="1">
        <f t="array" ref="H5028">IFERROR(IF(INDEX(EmployeeData[Exit Date], ROW() - 37)=0, "",INDEX(EmployeeData[Exit Date], ROW() - 37)),"")</f>
        <v/>
      </c>
      <c r="I5028" s="4" t="str" cm="1">
        <f t="array" ref="I5028">IFERROR(IF(INDEX(EmployeeData[Exit Reason], ROW() - 37)=0, "",INDEX(EmployeeData[Exit Reason], ROW() - 37)),"")</f>
        <v/>
      </c>
      <c r="J5028" s="4" t="str" cm="1">
        <f t="array" ref="J5028">IFERROR(INDEX(EmployeeData[Status], ROW() - 37), "")</f>
        <v/>
      </c>
    </row>
    <row r="5029" spans="2:10" ht="19.95" customHeight="1" x14ac:dyDescent="0.3">
      <c r="B5029" s="4" t="str" cm="1">
        <f t="array" ref="B5029">IFERROR(INDEX(EmployeeData[Employee ID], ROW() - 37), "")</f>
        <v/>
      </c>
      <c r="C5029" s="4" t="str" cm="1">
        <f t="array" ref="C5029">IFERROR(INDEX(EmployeeData[Full Name], ROW() - 37), "")</f>
        <v/>
      </c>
      <c r="D5029" s="4" t="str" cm="1">
        <f t="array" ref="D5029">IFERROR(INDEX(EmployeeData[Department], ROW() - 37), "")</f>
        <v/>
      </c>
      <c r="E5029" s="4" t="str" cm="1">
        <f t="array" ref="E5029">IFERROR(INDEX(EmployeeData[Gender], ROW() - 37), "")</f>
        <v/>
      </c>
      <c r="F5029" s="4" t="str" cm="1">
        <f t="array" ref="F5029">IFERROR(INDEX(EmployeeData[Age], ROW() - 37), "")</f>
        <v/>
      </c>
      <c r="G5029" s="6" t="str" cm="1">
        <f t="array" ref="G5029">IFERROR(INDEX(EmployeeData[Join Date], ROW() - 37), "")</f>
        <v/>
      </c>
      <c r="H5029" s="6" t="str" cm="1">
        <f t="array" ref="H5029">IFERROR(IF(INDEX(EmployeeData[Exit Date], ROW() - 37)=0, "",INDEX(EmployeeData[Exit Date], ROW() - 37)),"")</f>
        <v/>
      </c>
      <c r="I5029" s="4" t="str" cm="1">
        <f t="array" ref="I5029">IFERROR(IF(INDEX(EmployeeData[Exit Reason], ROW() - 37)=0, "",INDEX(EmployeeData[Exit Reason], ROW() - 37)),"")</f>
        <v/>
      </c>
      <c r="J5029" s="4" t="str" cm="1">
        <f t="array" ref="J5029">IFERROR(INDEX(EmployeeData[Status], ROW() - 37), "")</f>
        <v/>
      </c>
    </row>
    <row r="5030" spans="2:10" ht="19.95" customHeight="1" x14ac:dyDescent="0.3">
      <c r="B5030" s="4" t="str" cm="1">
        <f t="array" ref="B5030">IFERROR(INDEX(EmployeeData[Employee ID], ROW() - 37), "")</f>
        <v/>
      </c>
      <c r="C5030" s="4" t="str" cm="1">
        <f t="array" ref="C5030">IFERROR(INDEX(EmployeeData[Full Name], ROW() - 37), "")</f>
        <v/>
      </c>
      <c r="D5030" s="4" t="str" cm="1">
        <f t="array" ref="D5030">IFERROR(INDEX(EmployeeData[Department], ROW() - 37), "")</f>
        <v/>
      </c>
      <c r="E5030" s="4" t="str" cm="1">
        <f t="array" ref="E5030">IFERROR(INDEX(EmployeeData[Gender], ROW() - 37), "")</f>
        <v/>
      </c>
      <c r="F5030" s="4" t="str" cm="1">
        <f t="array" ref="F5030">IFERROR(INDEX(EmployeeData[Age], ROW() - 37), "")</f>
        <v/>
      </c>
      <c r="G5030" s="6" t="str" cm="1">
        <f t="array" ref="G5030">IFERROR(INDEX(EmployeeData[Join Date], ROW() - 37), "")</f>
        <v/>
      </c>
      <c r="H5030" s="6" t="str" cm="1">
        <f t="array" ref="H5030">IFERROR(IF(INDEX(EmployeeData[Exit Date], ROW() - 37)=0, "",INDEX(EmployeeData[Exit Date], ROW() - 37)),"")</f>
        <v/>
      </c>
      <c r="I5030" s="4" t="str" cm="1">
        <f t="array" ref="I5030">IFERROR(IF(INDEX(EmployeeData[Exit Reason], ROW() - 37)=0, "",INDEX(EmployeeData[Exit Reason], ROW() - 37)),"")</f>
        <v/>
      </c>
      <c r="J5030" s="4" t="str" cm="1">
        <f t="array" ref="J5030">IFERROR(INDEX(EmployeeData[Status], ROW() - 37), "")</f>
        <v/>
      </c>
    </row>
    <row r="5031" spans="2:10" ht="19.95" customHeight="1" x14ac:dyDescent="0.3">
      <c r="B5031" s="4" t="str" cm="1">
        <f t="array" ref="B5031">IFERROR(INDEX(EmployeeData[Employee ID], ROW() - 37), "")</f>
        <v/>
      </c>
      <c r="C5031" s="4" t="str" cm="1">
        <f t="array" ref="C5031">IFERROR(INDEX(EmployeeData[Full Name], ROW() - 37), "")</f>
        <v/>
      </c>
      <c r="D5031" s="4" t="str" cm="1">
        <f t="array" ref="D5031">IFERROR(INDEX(EmployeeData[Department], ROW() - 37), "")</f>
        <v/>
      </c>
      <c r="E5031" s="4" t="str" cm="1">
        <f t="array" ref="E5031">IFERROR(INDEX(EmployeeData[Gender], ROW() - 37), "")</f>
        <v/>
      </c>
      <c r="F5031" s="4" t="str" cm="1">
        <f t="array" ref="F5031">IFERROR(INDEX(EmployeeData[Age], ROW() - 37), "")</f>
        <v/>
      </c>
      <c r="G5031" s="6" t="str" cm="1">
        <f t="array" ref="G5031">IFERROR(INDEX(EmployeeData[Join Date], ROW() - 37), "")</f>
        <v/>
      </c>
      <c r="H5031" s="6" t="str" cm="1">
        <f t="array" ref="H5031">IFERROR(IF(INDEX(EmployeeData[Exit Date], ROW() - 37)=0, "",INDEX(EmployeeData[Exit Date], ROW() - 37)),"")</f>
        <v/>
      </c>
      <c r="I5031" s="4" t="str" cm="1">
        <f t="array" ref="I5031">IFERROR(IF(INDEX(EmployeeData[Exit Reason], ROW() - 37)=0, "",INDEX(EmployeeData[Exit Reason], ROW() - 37)),"")</f>
        <v/>
      </c>
      <c r="J5031" s="4" t="str" cm="1">
        <f t="array" ref="J5031">IFERROR(INDEX(EmployeeData[Status], ROW() - 37), "")</f>
        <v/>
      </c>
    </row>
    <row r="5032" spans="2:10" ht="19.95" customHeight="1" x14ac:dyDescent="0.3">
      <c r="B5032" s="4" t="str" cm="1">
        <f t="array" ref="B5032">IFERROR(INDEX(EmployeeData[Employee ID], ROW() - 37), "")</f>
        <v/>
      </c>
      <c r="C5032" s="4" t="str" cm="1">
        <f t="array" ref="C5032">IFERROR(INDEX(EmployeeData[Full Name], ROW() - 37), "")</f>
        <v/>
      </c>
      <c r="D5032" s="4" t="str" cm="1">
        <f t="array" ref="D5032">IFERROR(INDEX(EmployeeData[Department], ROW() - 37), "")</f>
        <v/>
      </c>
      <c r="E5032" s="4" t="str" cm="1">
        <f t="array" ref="E5032">IFERROR(INDEX(EmployeeData[Gender], ROW() - 37), "")</f>
        <v/>
      </c>
      <c r="F5032" s="4" t="str" cm="1">
        <f t="array" ref="F5032">IFERROR(INDEX(EmployeeData[Age], ROW() - 37), "")</f>
        <v/>
      </c>
      <c r="G5032" s="6" t="str" cm="1">
        <f t="array" ref="G5032">IFERROR(INDEX(EmployeeData[Join Date], ROW() - 37), "")</f>
        <v/>
      </c>
      <c r="H5032" s="6" t="str" cm="1">
        <f t="array" ref="H5032">IFERROR(IF(INDEX(EmployeeData[Exit Date], ROW() - 37)=0, "",INDEX(EmployeeData[Exit Date], ROW() - 37)),"")</f>
        <v/>
      </c>
      <c r="I5032" s="4" t="str" cm="1">
        <f t="array" ref="I5032">IFERROR(IF(INDEX(EmployeeData[Exit Reason], ROW() - 37)=0, "",INDEX(EmployeeData[Exit Reason], ROW() - 37)),"")</f>
        <v/>
      </c>
      <c r="J5032" s="4" t="str" cm="1">
        <f t="array" ref="J5032">IFERROR(INDEX(EmployeeData[Status], ROW() - 37), "")</f>
        <v/>
      </c>
    </row>
    <row r="5033" spans="2:10" ht="19.95" customHeight="1" x14ac:dyDescent="0.3">
      <c r="B5033" s="4" t="str" cm="1">
        <f t="array" ref="B5033">IFERROR(INDEX(EmployeeData[Employee ID], ROW() - 37), "")</f>
        <v/>
      </c>
      <c r="C5033" s="4" t="str" cm="1">
        <f t="array" ref="C5033">IFERROR(INDEX(EmployeeData[Full Name], ROW() - 37), "")</f>
        <v/>
      </c>
      <c r="D5033" s="4" t="str" cm="1">
        <f t="array" ref="D5033">IFERROR(INDEX(EmployeeData[Department], ROW() - 37), "")</f>
        <v/>
      </c>
      <c r="E5033" s="4" t="str" cm="1">
        <f t="array" ref="E5033">IFERROR(INDEX(EmployeeData[Gender], ROW() - 37), "")</f>
        <v/>
      </c>
      <c r="F5033" s="4" t="str" cm="1">
        <f t="array" ref="F5033">IFERROR(INDEX(EmployeeData[Age], ROW() - 37), "")</f>
        <v/>
      </c>
      <c r="G5033" s="6" t="str" cm="1">
        <f t="array" ref="G5033">IFERROR(INDEX(EmployeeData[Join Date], ROW() - 37), "")</f>
        <v/>
      </c>
      <c r="H5033" s="6" t="str" cm="1">
        <f t="array" ref="H5033">IFERROR(IF(INDEX(EmployeeData[Exit Date], ROW() - 37)=0, "",INDEX(EmployeeData[Exit Date], ROW() - 37)),"")</f>
        <v/>
      </c>
      <c r="I5033" s="4" t="str" cm="1">
        <f t="array" ref="I5033">IFERROR(IF(INDEX(EmployeeData[Exit Reason], ROW() - 37)=0, "",INDEX(EmployeeData[Exit Reason], ROW() - 37)),"")</f>
        <v/>
      </c>
      <c r="J5033" s="4" t="str" cm="1">
        <f t="array" ref="J5033">IFERROR(INDEX(EmployeeData[Status], ROW() - 37), "")</f>
        <v/>
      </c>
    </row>
    <row r="5034" spans="2:10" ht="19.95" customHeight="1" x14ac:dyDescent="0.3">
      <c r="B5034" s="4" t="str" cm="1">
        <f t="array" ref="B5034">IFERROR(INDEX(EmployeeData[Employee ID], ROW() - 37), "")</f>
        <v/>
      </c>
      <c r="C5034" s="4" t="str" cm="1">
        <f t="array" ref="C5034">IFERROR(INDEX(EmployeeData[Full Name], ROW() - 37), "")</f>
        <v/>
      </c>
      <c r="D5034" s="4" t="str" cm="1">
        <f t="array" ref="D5034">IFERROR(INDEX(EmployeeData[Department], ROW() - 37), "")</f>
        <v/>
      </c>
      <c r="E5034" s="4" t="str" cm="1">
        <f t="array" ref="E5034">IFERROR(INDEX(EmployeeData[Gender], ROW() - 37), "")</f>
        <v/>
      </c>
      <c r="F5034" s="4" t="str" cm="1">
        <f t="array" ref="F5034">IFERROR(INDEX(EmployeeData[Age], ROW() - 37), "")</f>
        <v/>
      </c>
      <c r="G5034" s="6" t="str" cm="1">
        <f t="array" ref="G5034">IFERROR(INDEX(EmployeeData[Join Date], ROW() - 37), "")</f>
        <v/>
      </c>
      <c r="H5034" s="6" t="str" cm="1">
        <f t="array" ref="H5034">IFERROR(IF(INDEX(EmployeeData[Exit Date], ROW() - 37)=0, "",INDEX(EmployeeData[Exit Date], ROW() - 37)),"")</f>
        <v/>
      </c>
      <c r="I5034" s="4" t="str" cm="1">
        <f t="array" ref="I5034">IFERROR(IF(INDEX(EmployeeData[Exit Reason], ROW() - 37)=0, "",INDEX(EmployeeData[Exit Reason], ROW() - 37)),"")</f>
        <v/>
      </c>
      <c r="J5034" s="4" t="str" cm="1">
        <f t="array" ref="J5034">IFERROR(INDEX(EmployeeData[Status], ROW() - 37), "")</f>
        <v/>
      </c>
    </row>
    <row r="5035" spans="2:10" ht="19.95" customHeight="1" x14ac:dyDescent="0.3">
      <c r="B5035" s="4" t="str" cm="1">
        <f t="array" ref="B5035">IFERROR(INDEX(EmployeeData[Employee ID], ROW() - 37), "")</f>
        <v/>
      </c>
      <c r="C5035" s="4" t="str" cm="1">
        <f t="array" ref="C5035">IFERROR(INDEX(EmployeeData[Full Name], ROW() - 37), "")</f>
        <v/>
      </c>
      <c r="D5035" s="4" t="str" cm="1">
        <f t="array" ref="D5035">IFERROR(INDEX(EmployeeData[Department], ROW() - 37), "")</f>
        <v/>
      </c>
      <c r="E5035" s="4" t="str" cm="1">
        <f t="array" ref="E5035">IFERROR(INDEX(EmployeeData[Gender], ROW() - 37), "")</f>
        <v/>
      </c>
      <c r="F5035" s="4" t="str" cm="1">
        <f t="array" ref="F5035">IFERROR(INDEX(EmployeeData[Age], ROW() - 37), "")</f>
        <v/>
      </c>
      <c r="G5035" s="6" t="str" cm="1">
        <f t="array" ref="G5035">IFERROR(INDEX(EmployeeData[Join Date], ROW() - 37), "")</f>
        <v/>
      </c>
      <c r="H5035" s="6" t="str" cm="1">
        <f t="array" ref="H5035">IFERROR(IF(INDEX(EmployeeData[Exit Date], ROW() - 37)=0, "",INDEX(EmployeeData[Exit Date], ROW() - 37)),"")</f>
        <v/>
      </c>
      <c r="I5035" s="4" t="str" cm="1">
        <f t="array" ref="I5035">IFERROR(IF(INDEX(EmployeeData[Exit Reason], ROW() - 37)=0, "",INDEX(EmployeeData[Exit Reason], ROW() - 37)),"")</f>
        <v/>
      </c>
      <c r="J5035" s="4" t="str" cm="1">
        <f t="array" ref="J5035">IFERROR(INDEX(EmployeeData[Status], ROW() - 37), "")</f>
        <v/>
      </c>
    </row>
    <row r="5036" spans="2:10" ht="19.95" customHeight="1" x14ac:dyDescent="0.3">
      <c r="B5036" s="4" t="str" cm="1">
        <f t="array" ref="B5036">IFERROR(INDEX(EmployeeData[Employee ID], ROW() - 37), "")</f>
        <v/>
      </c>
      <c r="C5036" s="4" t="str" cm="1">
        <f t="array" ref="C5036">IFERROR(INDEX(EmployeeData[Full Name], ROW() - 37), "")</f>
        <v/>
      </c>
      <c r="D5036" s="4" t="str" cm="1">
        <f t="array" ref="D5036">IFERROR(INDEX(EmployeeData[Department], ROW() - 37), "")</f>
        <v/>
      </c>
      <c r="E5036" s="4" t="str" cm="1">
        <f t="array" ref="E5036">IFERROR(INDEX(EmployeeData[Gender], ROW() - 37), "")</f>
        <v/>
      </c>
      <c r="F5036" s="4" t="str" cm="1">
        <f t="array" ref="F5036">IFERROR(INDEX(EmployeeData[Age], ROW() - 37), "")</f>
        <v/>
      </c>
      <c r="G5036" s="6" t="str" cm="1">
        <f t="array" ref="G5036">IFERROR(INDEX(EmployeeData[Join Date], ROW() - 37), "")</f>
        <v/>
      </c>
      <c r="H5036" s="6" t="str" cm="1">
        <f t="array" ref="H5036">IFERROR(IF(INDEX(EmployeeData[Exit Date], ROW() - 37)=0, "",INDEX(EmployeeData[Exit Date], ROW() - 37)),"")</f>
        <v/>
      </c>
      <c r="I5036" s="4" t="str" cm="1">
        <f t="array" ref="I5036">IFERROR(IF(INDEX(EmployeeData[Exit Reason], ROW() - 37)=0, "",INDEX(EmployeeData[Exit Reason], ROW() - 37)),"")</f>
        <v/>
      </c>
      <c r="J5036" s="4" t="str" cm="1">
        <f t="array" ref="J5036">IFERROR(INDEX(EmployeeData[Status], ROW() - 37), "")</f>
        <v/>
      </c>
    </row>
    <row r="5037" spans="2:10" ht="19.95" customHeight="1" x14ac:dyDescent="0.3">
      <c r="B5037" s="4" t="str" cm="1">
        <f t="array" ref="B5037">IFERROR(INDEX(EmployeeData[Employee ID], ROW() - 37), "")</f>
        <v/>
      </c>
      <c r="C5037" s="4" t="str" cm="1">
        <f t="array" ref="C5037">IFERROR(INDEX(EmployeeData[Full Name], ROW() - 37), "")</f>
        <v/>
      </c>
      <c r="D5037" s="4" t="str" cm="1">
        <f t="array" ref="D5037">IFERROR(INDEX(EmployeeData[Department], ROW() - 37), "")</f>
        <v/>
      </c>
      <c r="E5037" s="4" t="str" cm="1">
        <f t="array" ref="E5037">IFERROR(INDEX(EmployeeData[Gender], ROW() - 37), "")</f>
        <v/>
      </c>
      <c r="F5037" s="4" t="str" cm="1">
        <f t="array" ref="F5037">IFERROR(INDEX(EmployeeData[Age], ROW() - 37), "")</f>
        <v/>
      </c>
      <c r="G5037" s="6" t="str" cm="1">
        <f t="array" ref="G5037">IFERROR(INDEX(EmployeeData[Join Date], ROW() - 37), "")</f>
        <v/>
      </c>
      <c r="H5037" s="6" t="str" cm="1">
        <f t="array" ref="H5037">IFERROR(IF(INDEX(EmployeeData[Exit Date], ROW() - 37)=0, "",INDEX(EmployeeData[Exit Date], ROW() - 37)),"")</f>
        <v/>
      </c>
      <c r="I5037" s="4" t="str" cm="1">
        <f t="array" ref="I5037">IFERROR(IF(INDEX(EmployeeData[Exit Reason], ROW() - 37)=0, "",INDEX(EmployeeData[Exit Reason], ROW() - 37)),"")</f>
        <v/>
      </c>
      <c r="J5037" s="4" t="str" cm="1">
        <f t="array" ref="J5037">IFERROR(INDEX(EmployeeData[Status], ROW() - 37), "")</f>
        <v/>
      </c>
    </row>
    <row r="5038" spans="2:10" ht="19.95" customHeight="1" x14ac:dyDescent="0.3">
      <c r="B5038" s="4" t="str" cm="1">
        <f t="array" ref="B5038">IFERROR(INDEX(EmployeeData[Employee ID], ROW() - 37), "")</f>
        <v/>
      </c>
      <c r="C5038" s="4" t="str" cm="1">
        <f t="array" ref="C5038">IFERROR(INDEX(EmployeeData[Full Name], ROW() - 37), "")</f>
        <v/>
      </c>
      <c r="D5038" s="4" t="str" cm="1">
        <f t="array" ref="D5038">IFERROR(INDEX(EmployeeData[Department], ROW() - 37), "")</f>
        <v/>
      </c>
      <c r="E5038" s="4" t="str" cm="1">
        <f t="array" ref="E5038">IFERROR(INDEX(EmployeeData[Gender], ROW() - 37), "")</f>
        <v/>
      </c>
      <c r="F5038" s="4" t="str" cm="1">
        <f t="array" ref="F5038">IFERROR(INDEX(EmployeeData[Age], ROW() - 37), "")</f>
        <v/>
      </c>
      <c r="G5038" s="6" t="str" cm="1">
        <f t="array" ref="G5038">IFERROR(INDEX(EmployeeData[Join Date], ROW() - 37), "")</f>
        <v/>
      </c>
      <c r="H5038" s="6" t="str" cm="1">
        <f t="array" ref="H5038">IFERROR(IF(INDEX(EmployeeData[Exit Date], ROW() - 37)=0, "",INDEX(EmployeeData[Exit Date], ROW() - 37)),"")</f>
        <v/>
      </c>
      <c r="I5038" s="4" t="str" cm="1">
        <f t="array" ref="I5038">IFERROR(IF(INDEX(EmployeeData[Exit Reason], ROW() - 37)=0, "",INDEX(EmployeeData[Exit Reason], ROW() - 37)),"")</f>
        <v/>
      </c>
      <c r="J5038" s="4" t="str" cm="1">
        <f t="array" ref="J5038">IFERROR(INDEX(EmployeeData[Status], ROW() - 37), "")</f>
        <v/>
      </c>
    </row>
  </sheetData>
  <conditionalFormatting sqref="J38:J5038">
    <cfRule type="cellIs" dxfId="1544" priority="1" operator="equal">
      <formula>"Active"</formula>
    </cfRule>
    <cfRule type="cellIs" dxfId="1543" priority="2" operator="equal">
      <formula>"Exited"</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B20D-A8E9-405A-B710-E8E7E519C9C0}">
  <sheetPr codeName="Sheet2">
    <tabColor theme="4" tint="0.39997558519241921"/>
  </sheetPr>
  <dimension ref="B2:AO51"/>
  <sheetViews>
    <sheetView showGridLines="0" zoomScaleNormal="100" workbookViewId="0">
      <selection activeCell="H42" sqref="H41:H42"/>
    </sheetView>
  </sheetViews>
  <sheetFormatPr defaultRowHeight="14.4" x14ac:dyDescent="0.3"/>
  <cols>
    <col min="2" max="2" width="10.77734375" bestFit="1" customWidth="1"/>
    <col min="3" max="3" width="15" customWidth="1"/>
    <col min="4" max="4" width="11.33203125" customWidth="1"/>
    <col min="5" max="5" width="15" customWidth="1"/>
    <col min="6" max="6" width="14.5546875" bestFit="1" customWidth="1"/>
    <col min="7" max="7" width="13.88671875" bestFit="1" customWidth="1"/>
    <col min="8" max="8" width="12.88671875" bestFit="1" customWidth="1"/>
    <col min="9" max="9" width="10.77734375" style="9" customWidth="1"/>
    <col min="10" max="10" width="10.77734375" customWidth="1"/>
    <col min="11" max="11" width="16.44140625" bestFit="1" customWidth="1"/>
    <col min="12" max="12" width="9.5546875" bestFit="1" customWidth="1"/>
    <col min="13" max="13" width="10.77734375" style="9" customWidth="1"/>
    <col min="14" max="14" width="10.77734375" customWidth="1"/>
    <col min="15" max="15" width="25.5546875" customWidth="1"/>
    <col min="16" max="16" width="7" bestFit="1" customWidth="1"/>
    <col min="17" max="17" width="7" customWidth="1"/>
    <col min="18" max="18" width="22.5546875" bestFit="1" customWidth="1"/>
    <col min="19" max="19" width="6.109375" bestFit="1" customWidth="1"/>
    <col min="20" max="20" width="10.77734375" style="9" customWidth="1"/>
    <col min="21" max="22" width="10.77734375" customWidth="1"/>
    <col min="23" max="24" width="10.5546875" bestFit="1" customWidth="1"/>
    <col min="25" max="25" width="18.44140625" style="39" customWidth="1"/>
    <col min="26" max="26" width="14.77734375" bestFit="1" customWidth="1"/>
    <col min="27" max="27" width="17" bestFit="1" customWidth="1"/>
    <col min="28" max="28" width="14.5546875" bestFit="1" customWidth="1"/>
    <col min="29" max="29" width="10.77734375" style="9" customWidth="1"/>
    <col min="30" max="30" width="10.77734375" customWidth="1"/>
    <col min="31" max="31" width="15.44140625" bestFit="1" customWidth="1"/>
    <col min="32" max="32" width="6.109375" bestFit="1" customWidth="1"/>
    <col min="33" max="33" width="1.33203125" customWidth="1"/>
    <col min="34" max="34" width="15.44140625" bestFit="1" customWidth="1"/>
    <col min="35" max="35" width="6.21875" bestFit="1" customWidth="1"/>
    <col min="36" max="36" width="10.77734375" style="9" customWidth="1"/>
    <col min="37" max="37" width="10.77734375" customWidth="1"/>
    <col min="38" max="38" width="14.6640625" bestFit="1" customWidth="1"/>
    <col min="39" max="39" width="6.21875" bestFit="1" customWidth="1"/>
    <col min="40" max="40" width="6.109375" bestFit="1" customWidth="1"/>
    <col min="41" max="41" width="10.77734375" style="9" customWidth="1"/>
  </cols>
  <sheetData>
    <row r="2" spans="2:41" x14ac:dyDescent="0.3">
      <c r="B2" s="8" t="s">
        <v>1102</v>
      </c>
      <c r="K2" s="8" t="s">
        <v>1110</v>
      </c>
      <c r="O2" s="85" t="s">
        <v>1113</v>
      </c>
      <c r="V2" s="8" t="s">
        <v>1175</v>
      </c>
      <c r="AE2" s="8" t="s">
        <v>1114</v>
      </c>
      <c r="AL2" s="8" t="s">
        <v>1176</v>
      </c>
    </row>
    <row r="3" spans="2:41" x14ac:dyDescent="0.3">
      <c r="Y3" s="40"/>
    </row>
    <row r="4" spans="2:41" s="46" customFormat="1" ht="43.2" x14ac:dyDescent="0.3">
      <c r="B4" s="45" t="s">
        <v>1109</v>
      </c>
      <c r="I4" s="53"/>
      <c r="K4" s="47" t="s">
        <v>1111</v>
      </c>
      <c r="L4" s="48" t="s">
        <v>1112</v>
      </c>
      <c r="M4" s="53"/>
      <c r="O4" s="49" t="s">
        <v>1197</v>
      </c>
      <c r="P4" s="83" t="s">
        <v>17</v>
      </c>
      <c r="Q4" s="84"/>
      <c r="R4" s="49" t="s">
        <v>1198</v>
      </c>
      <c r="S4" s="21" t="s">
        <v>17</v>
      </c>
      <c r="T4" s="9"/>
      <c r="V4" s="50" t="s">
        <v>1185</v>
      </c>
      <c r="W4" s="42" t="s">
        <v>1186</v>
      </c>
      <c r="X4" s="42" t="s">
        <v>1187</v>
      </c>
      <c r="Y4" s="43" t="s">
        <v>1168</v>
      </c>
      <c r="Z4" s="42" t="s">
        <v>1172</v>
      </c>
      <c r="AA4" s="42" t="s">
        <v>1173</v>
      </c>
      <c r="AB4" s="44" t="s">
        <v>1174</v>
      </c>
      <c r="AC4" s="53"/>
      <c r="AE4" s="49" t="s">
        <v>8</v>
      </c>
      <c r="AF4" s="48" t="s">
        <v>1120</v>
      </c>
      <c r="AJ4" s="53"/>
      <c r="AL4" s="47" t="s">
        <v>1183</v>
      </c>
      <c r="AM4" s="16" t="s">
        <v>17</v>
      </c>
      <c r="AN4" s="28"/>
      <c r="AO4" s="9"/>
    </row>
    <row r="5" spans="2:41" x14ac:dyDescent="0.3">
      <c r="B5" s="56">
        <v>1081</v>
      </c>
      <c r="K5" s="17" t="s">
        <v>31</v>
      </c>
      <c r="L5" s="59">
        <v>81</v>
      </c>
      <c r="O5" s="22" t="s">
        <v>17</v>
      </c>
      <c r="P5" s="9" t="s">
        <v>18</v>
      </c>
      <c r="Q5" s="64"/>
      <c r="R5" s="22" t="s">
        <v>17</v>
      </c>
      <c r="S5" s="9" t="s">
        <v>13</v>
      </c>
      <c r="V5" s="33" t="s">
        <v>1136</v>
      </c>
      <c r="W5" s="34">
        <f>DATE(2018,3,31)</f>
        <v>43190</v>
      </c>
      <c r="X5" s="34">
        <f>DATE(2018,1,1)</f>
        <v>43101</v>
      </c>
      <c r="Y5" s="39">
        <f>COUNTIFS(EmployeeData[Join Date], "&lt;="&amp;W5, EmployeeData[Exit Date], "&gt;"&amp;W5) + COUNTIFS(EmployeeData[Join Date], "&lt;="&amp;W5, EmployeeData[Exit Date], "")</f>
        <v>28</v>
      </c>
      <c r="Z5">
        <f>COUNTIFS(EmployeeData[Exit Date], "&gt;="&amp;X5, EmployeeData[Exit Date], "&lt;="&amp;W5)</f>
        <v>0</v>
      </c>
      <c r="AB5" s="35">
        <v>0</v>
      </c>
      <c r="AE5" s="12" t="s">
        <v>18</v>
      </c>
      <c r="AF5" s="59">
        <v>1662.5067466266867</v>
      </c>
      <c r="AL5" s="16" t="s">
        <v>1182</v>
      </c>
      <c r="AM5" s="51" t="s">
        <v>18</v>
      </c>
      <c r="AN5" s="52" t="s">
        <v>13</v>
      </c>
    </row>
    <row r="6" spans="2:41" x14ac:dyDescent="0.3">
      <c r="K6" s="20" t="s">
        <v>12</v>
      </c>
      <c r="L6" s="60">
        <v>68</v>
      </c>
      <c r="O6" s="12" t="s">
        <v>1124</v>
      </c>
      <c r="P6" s="57">
        <v>82</v>
      </c>
      <c r="Q6" s="62"/>
      <c r="R6" s="12" t="s">
        <v>1124</v>
      </c>
      <c r="S6" s="57">
        <v>3</v>
      </c>
      <c r="V6" s="33" t="s">
        <v>1137</v>
      </c>
      <c r="W6" s="34">
        <f>DATE(2018,6,30)</f>
        <v>43281</v>
      </c>
      <c r="X6" s="34">
        <f>DATE(2018,4,1)</f>
        <v>43191</v>
      </c>
      <c r="Y6" s="39">
        <f>COUNTIFS(EmployeeData[Join Date], "&lt;="&amp;W6, EmployeeData[Exit Date], "&gt;"&amp;W6) + COUNTIFS(EmployeeData[Join Date], "&lt;="&amp;W6, EmployeeData[Exit Date], "")</f>
        <v>58</v>
      </c>
      <c r="Z6">
        <f>COUNTIFS(EmployeeData[Exit Date], "&gt;="&amp;X6, EmployeeData[Exit Date], "&lt;="&amp;W6)</f>
        <v>1</v>
      </c>
      <c r="AA6">
        <f>SUM(Y6,Y5)/2</f>
        <v>43</v>
      </c>
      <c r="AB6" s="35">
        <f>Z6/AA6</f>
        <v>2.3255813953488372E-2</v>
      </c>
      <c r="AE6" s="12" t="s">
        <v>13</v>
      </c>
      <c r="AF6" s="60">
        <v>800.89613526570054</v>
      </c>
      <c r="AL6" s="17" t="s">
        <v>1177</v>
      </c>
      <c r="AM6" s="65">
        <v>153</v>
      </c>
      <c r="AN6" s="63">
        <v>92</v>
      </c>
    </row>
    <row r="7" spans="2:41" x14ac:dyDescent="0.3">
      <c r="K7" s="20" t="s">
        <v>52</v>
      </c>
      <c r="L7" s="60">
        <v>64</v>
      </c>
      <c r="O7" s="31" t="s">
        <v>1132</v>
      </c>
      <c r="P7" s="57">
        <v>18</v>
      </c>
      <c r="Q7" s="62"/>
      <c r="R7" s="31" t="s">
        <v>1132</v>
      </c>
      <c r="S7" s="57"/>
      <c r="V7" s="33" t="s">
        <v>1138</v>
      </c>
      <c r="W7" s="34">
        <f>DATE(2018,9,30)</f>
        <v>43373</v>
      </c>
      <c r="X7" s="34">
        <f>DATE(2018,7,1)</f>
        <v>43282</v>
      </c>
      <c r="Y7" s="39">
        <f>COUNTIFS(EmployeeData[Join Date], "&lt;="&amp;W7, EmployeeData[Exit Date], "&gt;"&amp;W7) + COUNTIFS(EmployeeData[Join Date], "&lt;="&amp;W7, EmployeeData[Exit Date], "")</f>
        <v>98</v>
      </c>
      <c r="Z7">
        <f>COUNTIFS(EmployeeData[Exit Date], "&gt;="&amp;X7, EmployeeData[Exit Date], "&lt;="&amp;W7)</f>
        <v>2</v>
      </c>
      <c r="AA7">
        <f>SUM(Y7,Y6)/2</f>
        <v>78</v>
      </c>
      <c r="AB7" s="35">
        <f t="shared" ref="AB7:AB38" si="0">Z7/AA7</f>
        <v>2.564102564102564E-2</v>
      </c>
      <c r="AE7" s="13" t="s">
        <v>1099</v>
      </c>
      <c r="AF7" s="61">
        <v>1332.5282146160962</v>
      </c>
      <c r="AL7" s="20" t="s">
        <v>1178</v>
      </c>
      <c r="AM7" s="66">
        <v>162</v>
      </c>
      <c r="AN7" s="57">
        <v>83</v>
      </c>
    </row>
    <row r="8" spans="2:41" x14ac:dyDescent="0.3">
      <c r="B8" s="8" t="s">
        <v>1103</v>
      </c>
      <c r="K8" s="20" t="s">
        <v>34</v>
      </c>
      <c r="L8" s="60">
        <v>46</v>
      </c>
      <c r="O8" s="31" t="s">
        <v>1133</v>
      </c>
      <c r="P8" s="57">
        <v>21</v>
      </c>
      <c r="Q8" s="62"/>
      <c r="R8" s="31" t="s">
        <v>1133</v>
      </c>
      <c r="S8" s="57">
        <v>1</v>
      </c>
      <c r="V8" s="33" t="s">
        <v>1139</v>
      </c>
      <c r="W8" s="34">
        <f>DATE(2018,12,31)</f>
        <v>43465</v>
      </c>
      <c r="X8" s="34">
        <f>DATE(2018,10,1)</f>
        <v>43374</v>
      </c>
      <c r="Y8" s="39">
        <f>COUNTIFS(EmployeeData[Join Date], "&lt;="&amp;W8, EmployeeData[Exit Date], "&gt;"&amp;W8) + COUNTIFS(EmployeeData[Join Date], "&lt;="&amp;W8, EmployeeData[Exit Date], "")</f>
        <v>143</v>
      </c>
      <c r="Z8">
        <f>COUNTIFS(EmployeeData[Exit Date], "&gt;="&amp;X8, EmployeeData[Exit Date], "&lt;="&amp;W8)</f>
        <v>0</v>
      </c>
      <c r="AA8">
        <f>SUM(Y8,Y7)/2</f>
        <v>120.5</v>
      </c>
      <c r="AB8" s="35">
        <f t="shared" si="0"/>
        <v>0</v>
      </c>
      <c r="AL8" s="20" t="s">
        <v>1179</v>
      </c>
      <c r="AM8" s="66">
        <v>198</v>
      </c>
      <c r="AN8" s="57">
        <v>101</v>
      </c>
    </row>
    <row r="9" spans="2:41" x14ac:dyDescent="0.3">
      <c r="K9" s="20" t="s">
        <v>26</v>
      </c>
      <c r="L9" s="60">
        <v>44</v>
      </c>
      <c r="O9" s="31" t="s">
        <v>1134</v>
      </c>
      <c r="P9" s="57">
        <v>19</v>
      </c>
      <c r="Q9" s="62"/>
      <c r="R9" s="31" t="s">
        <v>1134</v>
      </c>
      <c r="S9" s="57">
        <v>2</v>
      </c>
      <c r="V9" s="33" t="s">
        <v>1140</v>
      </c>
      <c r="W9" s="34">
        <f>DATE(2019,3,31)</f>
        <v>43555</v>
      </c>
      <c r="X9" s="34">
        <f>DATE(2019,1,1)</f>
        <v>43466</v>
      </c>
      <c r="Y9" s="39">
        <f>COUNTIFS(EmployeeData[Join Date], "&lt;="&amp;W9, EmployeeData[Exit Date], "&gt;"&amp;W9) + COUNTIFS(EmployeeData[Join Date], "&lt;="&amp;W9, EmployeeData[Exit Date], "")</f>
        <v>186</v>
      </c>
      <c r="Z9">
        <f>COUNTIFS(EmployeeData[Exit Date], "&gt;="&amp;X9, EmployeeData[Exit Date], "&lt;="&amp;W9)</f>
        <v>0</v>
      </c>
      <c r="AA9">
        <f t="shared" ref="AA9:AA38" si="1">SUM(Y9,Y8)/2</f>
        <v>164.5</v>
      </c>
      <c r="AB9" s="35">
        <f t="shared" si="0"/>
        <v>0</v>
      </c>
      <c r="AE9" s="23" t="s">
        <v>1119</v>
      </c>
      <c r="AF9" s="25" t="str">
        <f>DATEDIF(0,GETPIVOTDATA("Tenure (days)",$AE$4,"Status","Active"),"Y") &amp; " years " &amp; DATEDIF(0,GETPIVOTDATA("Tenure (days)",$AE$4,"Status","Active"),"YM") &amp; " months"</f>
        <v>4 years 6 months</v>
      </c>
      <c r="AL9" s="20" t="s">
        <v>1180</v>
      </c>
      <c r="AM9" s="66">
        <v>154</v>
      </c>
      <c r="AN9" s="57">
        <v>119</v>
      </c>
    </row>
    <row r="10" spans="2:41" x14ac:dyDescent="0.3">
      <c r="B10" s="16" t="s">
        <v>8</v>
      </c>
      <c r="C10" s="7" t="s">
        <v>1109</v>
      </c>
      <c r="D10" s="64"/>
      <c r="E10" s="64"/>
      <c r="F10" s="64"/>
      <c r="G10" s="64"/>
      <c r="H10" s="64"/>
      <c r="K10" s="20" t="s">
        <v>65</v>
      </c>
      <c r="L10" s="60">
        <v>39</v>
      </c>
      <c r="O10" s="31" t="s">
        <v>1135</v>
      </c>
      <c r="P10" s="57">
        <v>24</v>
      </c>
      <c r="Q10" s="62"/>
      <c r="R10" s="31" t="s">
        <v>1135</v>
      </c>
      <c r="S10" s="57"/>
      <c r="V10" s="33" t="s">
        <v>1141</v>
      </c>
      <c r="W10" s="34">
        <f>DATE(2019,6,30)</f>
        <v>43646</v>
      </c>
      <c r="X10" s="34">
        <f>DATE(2019,4,1)</f>
        <v>43556</v>
      </c>
      <c r="Y10" s="39">
        <f>COUNTIFS(EmployeeData[Join Date], "&lt;="&amp;W10, EmployeeData[Exit Date], "&gt;"&amp;W10) + COUNTIFS(EmployeeData[Join Date], "&lt;="&amp;W10, EmployeeData[Exit Date], "")</f>
        <v>213</v>
      </c>
      <c r="Z10">
        <f>COUNTIFS(EmployeeData[Exit Date], "&gt;="&amp;X10, EmployeeData[Exit Date], "&lt;="&amp;W10)</f>
        <v>1</v>
      </c>
      <c r="AA10">
        <f t="shared" si="1"/>
        <v>199.5</v>
      </c>
      <c r="AB10" s="35">
        <f t="shared" si="0"/>
        <v>5.0125313283208017E-3</v>
      </c>
      <c r="AE10" s="24" t="s">
        <v>1121</v>
      </c>
      <c r="AF10" s="26" t="str">
        <f>DATEDIF(0,GETPIVOTDATA("Tenure (days)",$AE$4,"Status","Exited"),"Y") &amp; " years " &amp; DATEDIF(0,GETPIVOTDATA("Tenure (days)",$AE$4,"Status","Exited"),"YM") &amp; " months"</f>
        <v>2 years 2 months</v>
      </c>
      <c r="AL10" s="18" t="s">
        <v>1181</v>
      </c>
      <c r="AM10" s="66"/>
      <c r="AN10" s="57">
        <v>19</v>
      </c>
    </row>
    <row r="11" spans="2:41" x14ac:dyDescent="0.3">
      <c r="B11" s="17" t="s">
        <v>18</v>
      </c>
      <c r="C11" s="59">
        <v>667</v>
      </c>
      <c r="D11" s="62"/>
      <c r="E11" s="62"/>
      <c r="F11" s="62"/>
      <c r="G11" s="62"/>
      <c r="H11" s="62"/>
      <c r="K11" s="20" t="s">
        <v>21</v>
      </c>
      <c r="L11" s="60">
        <v>36</v>
      </c>
      <c r="O11" s="12" t="s">
        <v>1125</v>
      </c>
      <c r="P11" s="57">
        <v>96</v>
      </c>
      <c r="Q11" s="62"/>
      <c r="R11" s="12" t="s">
        <v>1125</v>
      </c>
      <c r="S11" s="57">
        <v>11</v>
      </c>
      <c r="V11" s="33" t="s">
        <v>1142</v>
      </c>
      <c r="W11" s="34">
        <f>DATE(2019,9,30)</f>
        <v>43738</v>
      </c>
      <c r="X11" s="34">
        <f>DATE(2019,7,1)</f>
        <v>43647</v>
      </c>
      <c r="Y11" s="39">
        <f>COUNTIFS(EmployeeData[Join Date], "&lt;="&amp;W11, EmployeeData[Exit Date], "&gt;"&amp;W11) + COUNTIFS(EmployeeData[Join Date], "&lt;="&amp;W11, EmployeeData[Exit Date], "")</f>
        <v>241</v>
      </c>
      <c r="Z11">
        <f>COUNTIFS(EmployeeData[Exit Date], "&gt;="&amp;X11, EmployeeData[Exit Date], "&lt;="&amp;W11)</f>
        <v>6</v>
      </c>
      <c r="AA11">
        <f t="shared" si="1"/>
        <v>227</v>
      </c>
      <c r="AB11" s="35">
        <f t="shared" si="0"/>
        <v>2.643171806167401E-2</v>
      </c>
      <c r="AL11" s="19" t="s">
        <v>1099</v>
      </c>
      <c r="AM11" s="67">
        <v>667</v>
      </c>
      <c r="AN11" s="58">
        <v>414</v>
      </c>
    </row>
    <row r="12" spans="2:41" x14ac:dyDescent="0.3">
      <c r="B12" s="20" t="s">
        <v>13</v>
      </c>
      <c r="C12" s="60">
        <v>414</v>
      </c>
      <c r="D12" s="62"/>
      <c r="E12" s="62"/>
      <c r="F12" s="62"/>
      <c r="G12" s="62"/>
      <c r="H12" s="62"/>
      <c r="K12" s="18" t="s">
        <v>28</v>
      </c>
      <c r="L12" s="60">
        <v>36</v>
      </c>
      <c r="O12" s="31" t="s">
        <v>1132</v>
      </c>
      <c r="P12" s="57">
        <v>30</v>
      </c>
      <c r="Q12" s="62"/>
      <c r="R12" s="31" t="s">
        <v>1132</v>
      </c>
      <c r="S12" s="57"/>
      <c r="V12" s="33" t="s">
        <v>1143</v>
      </c>
      <c r="W12" s="34">
        <f>DATE(2019,12,31)</f>
        <v>43830</v>
      </c>
      <c r="X12" s="34">
        <f>DATE(2019,10,1)</f>
        <v>43739</v>
      </c>
      <c r="Y12" s="39">
        <f>COUNTIFS(EmployeeData[Join Date], "&lt;="&amp;W12, EmployeeData[Exit Date], "&gt;"&amp;W12) + COUNTIFS(EmployeeData[Join Date], "&lt;="&amp;W12, EmployeeData[Exit Date], "")</f>
        <v>277</v>
      </c>
      <c r="Z12">
        <f>COUNTIFS(EmployeeData[Exit Date], "&gt;="&amp;X12, EmployeeData[Exit Date], "&lt;="&amp;W12)</f>
        <v>4</v>
      </c>
      <c r="AA12">
        <f t="shared" si="1"/>
        <v>259</v>
      </c>
      <c r="AB12" s="35">
        <f t="shared" si="0"/>
        <v>1.5444015444015444E-2</v>
      </c>
      <c r="AE12" s="11" t="s">
        <v>1122</v>
      </c>
      <c r="AF12" s="21" t="s">
        <v>17</v>
      </c>
      <c r="AH12" s="11" t="s">
        <v>1123</v>
      </c>
      <c r="AI12" s="21" t="s">
        <v>17</v>
      </c>
      <c r="AJ12" s="54"/>
    </row>
    <row r="13" spans="2:41" x14ac:dyDescent="0.3">
      <c r="B13" s="19" t="s">
        <v>1099</v>
      </c>
      <c r="C13" s="61">
        <v>1081</v>
      </c>
      <c r="D13" s="62"/>
      <c r="E13" s="62"/>
      <c r="F13" s="62"/>
      <c r="G13" s="62"/>
      <c r="H13" s="62"/>
      <c r="K13" s="19" t="s">
        <v>1099</v>
      </c>
      <c r="L13" s="61">
        <v>414</v>
      </c>
      <c r="O13" s="31" t="s">
        <v>1133</v>
      </c>
      <c r="P13" s="57">
        <v>14</v>
      </c>
      <c r="Q13" s="62"/>
      <c r="R13" s="31" t="s">
        <v>1133</v>
      </c>
      <c r="S13" s="57">
        <v>1</v>
      </c>
      <c r="V13" s="33" t="s">
        <v>1144</v>
      </c>
      <c r="W13" s="34">
        <f>DATE(2020,3,31)</f>
        <v>43921</v>
      </c>
      <c r="X13" s="34">
        <f>DATE(2020,1,1)</f>
        <v>43831</v>
      </c>
      <c r="Y13" s="39">
        <f>COUNTIFS(EmployeeData[Join Date], "&lt;="&amp;W13, EmployeeData[Exit Date], "&gt;"&amp;W13) + COUNTIFS(EmployeeData[Join Date], "&lt;="&amp;W13, EmployeeData[Exit Date], "")</f>
        <v>300</v>
      </c>
      <c r="Z13">
        <f>COUNTIFS(EmployeeData[Exit Date], "&gt;="&amp;X13, EmployeeData[Exit Date], "&lt;="&amp;W13)</f>
        <v>9</v>
      </c>
      <c r="AA13">
        <f t="shared" si="1"/>
        <v>288.5</v>
      </c>
      <c r="AB13" s="35">
        <f t="shared" si="0"/>
        <v>3.1195840554592721E-2</v>
      </c>
      <c r="AE13" s="22" t="s">
        <v>1118</v>
      </c>
      <c r="AF13" s="27" t="s">
        <v>13</v>
      </c>
      <c r="AH13" s="22" t="s">
        <v>1118</v>
      </c>
      <c r="AI13" s="9" t="s">
        <v>18</v>
      </c>
    </row>
    <row r="14" spans="2:41" x14ac:dyDescent="0.3">
      <c r="O14" s="31" t="s">
        <v>1134</v>
      </c>
      <c r="P14" s="57">
        <v>25</v>
      </c>
      <c r="Q14" s="62"/>
      <c r="R14" s="31" t="s">
        <v>1134</v>
      </c>
      <c r="S14" s="57">
        <v>6</v>
      </c>
      <c r="V14" s="33" t="s">
        <v>1145</v>
      </c>
      <c r="W14" s="34">
        <f>DATE(2020,6,30)</f>
        <v>44012</v>
      </c>
      <c r="X14" s="34">
        <f>DATE(2020,4,1)</f>
        <v>43922</v>
      </c>
      <c r="Y14" s="39">
        <f>COUNTIFS(EmployeeData[Join Date], "&lt;="&amp;W14, EmployeeData[Exit Date], "&gt;"&amp;W14) + COUNTIFS(EmployeeData[Join Date], "&lt;="&amp;W14, EmployeeData[Exit Date], "")</f>
        <v>323</v>
      </c>
      <c r="Z14">
        <f>COUNTIFS(EmployeeData[Exit Date], "&gt;="&amp;X14, EmployeeData[Exit Date], "&lt;="&amp;W14)</f>
        <v>7</v>
      </c>
      <c r="AA14">
        <f t="shared" si="1"/>
        <v>311.5</v>
      </c>
      <c r="AB14" s="35">
        <f t="shared" si="0"/>
        <v>2.247191011235955E-2</v>
      </c>
      <c r="AE14" s="12">
        <v>0</v>
      </c>
      <c r="AF14" s="57">
        <v>121</v>
      </c>
      <c r="AH14" s="12">
        <v>0</v>
      </c>
      <c r="AI14" s="57">
        <v>42</v>
      </c>
    </row>
    <row r="15" spans="2:41" x14ac:dyDescent="0.3">
      <c r="B15" s="14" t="s">
        <v>1101</v>
      </c>
      <c r="C15" s="15">
        <f>GETPIVOTDATA("Employee ID",$B$10,"Status","Exited")/GETPIVOTDATA("Employee ID",$B$10)</f>
        <v>0.38297872340425532</v>
      </c>
      <c r="D15" s="71"/>
      <c r="E15" s="71"/>
      <c r="F15" s="71"/>
      <c r="G15" s="71"/>
      <c r="H15" s="71"/>
      <c r="O15" s="31" t="s">
        <v>1135</v>
      </c>
      <c r="P15" s="57">
        <v>27</v>
      </c>
      <c r="Q15" s="62"/>
      <c r="R15" s="31" t="s">
        <v>1135</v>
      </c>
      <c r="S15" s="57">
        <v>4</v>
      </c>
      <c r="V15" s="33" t="s">
        <v>1146</v>
      </c>
      <c r="W15" s="34">
        <f>DATE(2020,9,30)</f>
        <v>44104</v>
      </c>
      <c r="X15" s="34">
        <f>DATE(2020,7,1)</f>
        <v>44013</v>
      </c>
      <c r="Y15" s="39">
        <f>COUNTIFS(EmployeeData[Join Date], "&lt;="&amp;W15, EmployeeData[Exit Date], "&gt;"&amp;W15) + COUNTIFS(EmployeeData[Join Date], "&lt;="&amp;W15, EmployeeData[Exit Date], "")</f>
        <v>356</v>
      </c>
      <c r="Z15">
        <f>COUNTIFS(EmployeeData[Exit Date], "&gt;="&amp;X15, EmployeeData[Exit Date], "&lt;="&amp;W15)</f>
        <v>5</v>
      </c>
      <c r="AA15">
        <f t="shared" si="1"/>
        <v>339.5</v>
      </c>
      <c r="AB15" s="35">
        <f t="shared" si="0"/>
        <v>1.4727540500736377E-2</v>
      </c>
      <c r="AE15" s="12">
        <v>1</v>
      </c>
      <c r="AF15" s="57">
        <v>100</v>
      </c>
      <c r="AH15" s="12">
        <v>1</v>
      </c>
      <c r="AI15" s="57">
        <v>79</v>
      </c>
    </row>
    <row r="16" spans="2:41" x14ac:dyDescent="0.3">
      <c r="O16" s="12" t="s">
        <v>1126</v>
      </c>
      <c r="P16" s="57">
        <v>80</v>
      </c>
      <c r="Q16" s="62"/>
      <c r="R16" s="12" t="s">
        <v>1126</v>
      </c>
      <c r="S16" s="57">
        <v>23</v>
      </c>
      <c r="V16" s="33" t="s">
        <v>1147</v>
      </c>
      <c r="W16" s="34">
        <f>DATE(2020,12,31)</f>
        <v>44196</v>
      </c>
      <c r="X16" s="34">
        <f>DATE(2020,10,1)</f>
        <v>44105</v>
      </c>
      <c r="Y16" s="39">
        <f>COUNTIFS(EmployeeData[Join Date], "&lt;="&amp;W16, EmployeeData[Exit Date], "&gt;"&amp;W16) + COUNTIFS(EmployeeData[Join Date], "&lt;="&amp;W16, EmployeeData[Exit Date], "")</f>
        <v>382</v>
      </c>
      <c r="Z16">
        <f>COUNTIFS(EmployeeData[Exit Date], "&gt;="&amp;X16, EmployeeData[Exit Date], "&lt;="&amp;W16)</f>
        <v>2</v>
      </c>
      <c r="AA16">
        <f t="shared" si="1"/>
        <v>369</v>
      </c>
      <c r="AB16" s="35">
        <f t="shared" si="0"/>
        <v>5.4200542005420054E-3</v>
      </c>
      <c r="AE16" s="12">
        <v>2</v>
      </c>
      <c r="AF16" s="57">
        <v>76</v>
      </c>
      <c r="AH16" s="12">
        <v>2</v>
      </c>
      <c r="AI16" s="57">
        <v>80</v>
      </c>
    </row>
    <row r="17" spans="2:35" x14ac:dyDescent="0.3">
      <c r="B17" s="8" t="s">
        <v>1107</v>
      </c>
      <c r="O17" s="31" t="s">
        <v>1132</v>
      </c>
      <c r="P17" s="57">
        <v>21</v>
      </c>
      <c r="Q17" s="62"/>
      <c r="R17" s="31" t="s">
        <v>1132</v>
      </c>
      <c r="S17" s="57">
        <v>9</v>
      </c>
      <c r="V17" s="33" t="s">
        <v>1148</v>
      </c>
      <c r="W17" s="34">
        <f>DATE(2021,3,31)</f>
        <v>44286</v>
      </c>
      <c r="X17" s="34">
        <f>DATE(2021,1,1)</f>
        <v>44197</v>
      </c>
      <c r="Y17" s="39">
        <f>COUNTIFS(EmployeeData[Join Date], "&lt;="&amp;W17, EmployeeData[Exit Date], "&gt;"&amp;W17) + COUNTIFS(EmployeeData[Join Date], "&lt;="&amp;W17, EmployeeData[Exit Date], "")</f>
        <v>412</v>
      </c>
      <c r="Z17">
        <f>COUNTIFS(EmployeeData[Exit Date], "&gt;="&amp;X17, EmployeeData[Exit Date], "&lt;="&amp;W17)</f>
        <v>7</v>
      </c>
      <c r="AA17">
        <f t="shared" si="1"/>
        <v>397</v>
      </c>
      <c r="AB17" s="35">
        <f t="shared" si="0"/>
        <v>1.7632241813602016E-2</v>
      </c>
      <c r="AE17" s="12">
        <v>3</v>
      </c>
      <c r="AF17" s="57">
        <v>46</v>
      </c>
      <c r="AH17" s="12">
        <v>3</v>
      </c>
      <c r="AI17" s="57">
        <v>80</v>
      </c>
    </row>
    <row r="18" spans="2:35" x14ac:dyDescent="0.3">
      <c r="O18" s="31" t="s">
        <v>1133</v>
      </c>
      <c r="P18" s="57">
        <v>24</v>
      </c>
      <c r="Q18" s="62"/>
      <c r="R18" s="31" t="s">
        <v>1133</v>
      </c>
      <c r="S18" s="57">
        <v>7</v>
      </c>
      <c r="V18" s="33" t="s">
        <v>1149</v>
      </c>
      <c r="W18" s="34">
        <f>DATE(2021,6,30)</f>
        <v>44377</v>
      </c>
      <c r="X18" s="34">
        <f>DATE(2021,4,1)</f>
        <v>44287</v>
      </c>
      <c r="Y18" s="39">
        <f>COUNTIFS(EmployeeData[Join Date], "&lt;="&amp;W18, EmployeeData[Exit Date], "&gt;"&amp;W18) + COUNTIFS(EmployeeData[Join Date], "&lt;="&amp;W18, EmployeeData[Exit Date], "")</f>
        <v>448</v>
      </c>
      <c r="Z18">
        <f>COUNTIFS(EmployeeData[Exit Date], "&gt;="&amp;X18, EmployeeData[Exit Date], "&lt;="&amp;W18)</f>
        <v>3</v>
      </c>
      <c r="AA18">
        <f t="shared" si="1"/>
        <v>430</v>
      </c>
      <c r="AB18" s="35">
        <f t="shared" si="0"/>
        <v>6.9767441860465115E-3</v>
      </c>
      <c r="AE18" s="12">
        <v>4</v>
      </c>
      <c r="AF18" s="57">
        <v>50</v>
      </c>
      <c r="AH18" s="12">
        <v>4</v>
      </c>
      <c r="AI18" s="57">
        <v>82</v>
      </c>
    </row>
    <row r="19" spans="2:35" x14ac:dyDescent="0.3">
      <c r="B19" s="11" t="s">
        <v>1108</v>
      </c>
      <c r="C19" s="21" t="s">
        <v>17</v>
      </c>
      <c r="D19" s="72"/>
      <c r="E19" s="72"/>
      <c r="F19" s="72"/>
      <c r="G19" s="72"/>
      <c r="H19" s="72"/>
      <c r="O19" s="31" t="s">
        <v>1134</v>
      </c>
      <c r="P19" s="57">
        <v>22</v>
      </c>
      <c r="Q19" s="62"/>
      <c r="R19" s="31" t="s">
        <v>1134</v>
      </c>
      <c r="S19" s="57">
        <v>5</v>
      </c>
      <c r="V19" s="33" t="s">
        <v>1150</v>
      </c>
      <c r="W19" s="34">
        <f>DATE(2021,9,30)</f>
        <v>44469</v>
      </c>
      <c r="X19" s="34">
        <f>DATE(2021,7,1)</f>
        <v>44378</v>
      </c>
      <c r="Y19" s="39">
        <f>COUNTIFS(EmployeeData[Join Date], "&lt;="&amp;W19, EmployeeData[Exit Date], "&gt;"&amp;W19) + COUNTIFS(EmployeeData[Join Date], "&lt;="&amp;W19, EmployeeData[Exit Date], "")</f>
        <v>471</v>
      </c>
      <c r="Z19">
        <f>COUNTIFS(EmployeeData[Exit Date], "&gt;="&amp;X19, EmployeeData[Exit Date], "&lt;="&amp;W19)</f>
        <v>6</v>
      </c>
      <c r="AA19">
        <f t="shared" si="1"/>
        <v>459.5</v>
      </c>
      <c r="AB19" s="35">
        <f t="shared" si="0"/>
        <v>1.3057671381936888E-2</v>
      </c>
      <c r="AE19" s="12">
        <v>5</v>
      </c>
      <c r="AF19" s="57">
        <v>21</v>
      </c>
      <c r="AH19" s="12">
        <v>5</v>
      </c>
      <c r="AI19" s="57">
        <v>83</v>
      </c>
    </row>
    <row r="20" spans="2:35" x14ac:dyDescent="0.3">
      <c r="B20" s="22" t="s">
        <v>2</v>
      </c>
      <c r="C20" s="9" t="s">
        <v>13</v>
      </c>
      <c r="D20" s="64"/>
      <c r="E20" s="64"/>
      <c r="F20" s="64"/>
      <c r="G20" s="64"/>
      <c r="H20" s="64"/>
      <c r="O20" s="31" t="s">
        <v>1135</v>
      </c>
      <c r="P20" s="57">
        <v>13</v>
      </c>
      <c r="Q20" s="62"/>
      <c r="R20" s="31" t="s">
        <v>1135</v>
      </c>
      <c r="S20" s="57">
        <v>2</v>
      </c>
      <c r="V20" s="33" t="s">
        <v>1151</v>
      </c>
      <c r="W20" s="34">
        <f>DATE(2021,12,31)</f>
        <v>44561</v>
      </c>
      <c r="X20" s="34">
        <f>DATE(2021,10,1)</f>
        <v>44470</v>
      </c>
      <c r="Y20" s="39">
        <f>COUNTIFS(EmployeeData[Join Date], "&lt;="&amp;W20, EmployeeData[Exit Date], "&gt;"&amp;W20) + COUNTIFS(EmployeeData[Join Date], "&lt;="&amp;W20, EmployeeData[Exit Date], "")</f>
        <v>492</v>
      </c>
      <c r="Z20">
        <f>COUNTIFS(EmployeeData[Exit Date], "&gt;="&amp;X20, EmployeeData[Exit Date], "&lt;="&amp;W20)</f>
        <v>8</v>
      </c>
      <c r="AA20">
        <f t="shared" si="1"/>
        <v>481.5</v>
      </c>
      <c r="AB20" s="35">
        <f t="shared" si="0"/>
        <v>1.6614745586708203E-2</v>
      </c>
      <c r="AE20" s="13" t="s">
        <v>1099</v>
      </c>
      <c r="AF20" s="58">
        <v>414</v>
      </c>
      <c r="AH20" s="12">
        <v>6</v>
      </c>
      <c r="AI20" s="57">
        <v>96</v>
      </c>
    </row>
    <row r="21" spans="2:35" x14ac:dyDescent="0.3">
      <c r="B21" s="12" t="s">
        <v>15</v>
      </c>
      <c r="C21" s="57">
        <v>100</v>
      </c>
      <c r="D21" s="62"/>
      <c r="E21" s="62"/>
      <c r="F21" s="62"/>
      <c r="G21" s="62"/>
      <c r="H21" s="62"/>
      <c r="O21" s="12" t="s">
        <v>1127</v>
      </c>
      <c r="P21" s="57">
        <v>87</v>
      </c>
      <c r="Q21" s="62"/>
      <c r="R21" s="12" t="s">
        <v>1127</v>
      </c>
      <c r="S21" s="57">
        <v>24</v>
      </c>
      <c r="V21" s="33" t="s">
        <v>1152</v>
      </c>
      <c r="W21" s="34">
        <f>DATE(2022,3,31)</f>
        <v>44651</v>
      </c>
      <c r="X21" s="34">
        <f>DATE(2022,1,1)</f>
        <v>44562</v>
      </c>
      <c r="Y21" s="39">
        <f>COUNTIFS(EmployeeData[Join Date], "&lt;="&amp;W21, EmployeeData[Exit Date], "&gt;"&amp;W21) + COUNTIFS(EmployeeData[Join Date], "&lt;="&amp;W21, EmployeeData[Exit Date], "")</f>
        <v>519</v>
      </c>
      <c r="Z21">
        <f>COUNTIFS(EmployeeData[Exit Date], "&gt;="&amp;X21, EmployeeData[Exit Date], "&lt;="&amp;W21)</f>
        <v>7</v>
      </c>
      <c r="AA21">
        <f t="shared" si="1"/>
        <v>505.5</v>
      </c>
      <c r="AB21" s="35">
        <f t="shared" si="0"/>
        <v>1.3847675568743818E-2</v>
      </c>
      <c r="AH21" s="12">
        <v>7</v>
      </c>
      <c r="AI21" s="57">
        <v>91</v>
      </c>
    </row>
    <row r="22" spans="2:35" x14ac:dyDescent="0.3">
      <c r="B22" s="12" t="s">
        <v>10</v>
      </c>
      <c r="C22" s="57">
        <v>96</v>
      </c>
      <c r="D22" s="62"/>
      <c r="E22" s="62"/>
      <c r="F22" s="62"/>
      <c r="G22" s="62"/>
      <c r="H22" s="62"/>
      <c r="O22" s="31" t="s">
        <v>1132</v>
      </c>
      <c r="P22" s="57">
        <v>24</v>
      </c>
      <c r="Q22" s="62"/>
      <c r="R22" s="31" t="s">
        <v>1132</v>
      </c>
      <c r="S22" s="57">
        <v>7</v>
      </c>
      <c r="V22" s="33" t="s">
        <v>1153</v>
      </c>
      <c r="W22" s="34">
        <f>DATE(2022,6,30)</f>
        <v>44742</v>
      </c>
      <c r="X22" s="34">
        <f>DATE(2022,4,1)</f>
        <v>44652</v>
      </c>
      <c r="Y22" s="39">
        <f>COUNTIFS(EmployeeData[Join Date], "&lt;="&amp;W22, EmployeeData[Exit Date], "&gt;"&amp;W22) + COUNTIFS(EmployeeData[Join Date], "&lt;="&amp;W22, EmployeeData[Exit Date], "")</f>
        <v>541</v>
      </c>
      <c r="Z22">
        <f>COUNTIFS(EmployeeData[Exit Date], "&gt;="&amp;X22, EmployeeData[Exit Date], "&lt;="&amp;W22)</f>
        <v>15</v>
      </c>
      <c r="AA22">
        <f t="shared" si="1"/>
        <v>530</v>
      </c>
      <c r="AB22" s="35">
        <f t="shared" si="0"/>
        <v>2.8301886792452831E-2</v>
      </c>
      <c r="AH22" s="12">
        <v>8</v>
      </c>
      <c r="AI22" s="57">
        <v>34</v>
      </c>
    </row>
    <row r="23" spans="2:35" x14ac:dyDescent="0.3">
      <c r="B23" s="12" t="s">
        <v>23</v>
      </c>
      <c r="C23" s="57">
        <v>71</v>
      </c>
      <c r="D23" s="62"/>
      <c r="E23" s="62"/>
      <c r="F23" s="62"/>
      <c r="G23" s="62"/>
      <c r="H23" s="62"/>
      <c r="O23" s="31" t="s">
        <v>1133</v>
      </c>
      <c r="P23" s="57">
        <v>27</v>
      </c>
      <c r="Q23" s="62"/>
      <c r="R23" s="31" t="s">
        <v>1133</v>
      </c>
      <c r="S23" s="57">
        <v>3</v>
      </c>
      <c r="V23" s="33" t="s">
        <v>1154</v>
      </c>
      <c r="W23" s="34">
        <f>DATE(2022,9,30)</f>
        <v>44834</v>
      </c>
      <c r="X23" s="34">
        <f>DATE(2022,7,1)</f>
        <v>44743</v>
      </c>
      <c r="Y23" s="39">
        <f>COUNTIFS(EmployeeData[Join Date], "&lt;="&amp;W23, EmployeeData[Exit Date], "&gt;"&amp;W23) + COUNTIFS(EmployeeData[Join Date], "&lt;="&amp;W23, EmployeeData[Exit Date], "")</f>
        <v>561</v>
      </c>
      <c r="Z23">
        <f>COUNTIFS(EmployeeData[Exit Date], "&gt;="&amp;X23, EmployeeData[Exit Date], "&lt;="&amp;W23)</f>
        <v>13</v>
      </c>
      <c r="AA23">
        <f t="shared" si="1"/>
        <v>551</v>
      </c>
      <c r="AB23" s="35">
        <f t="shared" si="0"/>
        <v>2.3593466424682397E-2</v>
      </c>
      <c r="AH23" s="13" t="s">
        <v>1099</v>
      </c>
      <c r="AI23" s="58">
        <v>667</v>
      </c>
    </row>
    <row r="24" spans="2:35" x14ac:dyDescent="0.3">
      <c r="B24" s="12" t="s">
        <v>20</v>
      </c>
      <c r="C24" s="57">
        <v>58</v>
      </c>
      <c r="D24" s="62"/>
      <c r="E24" s="62"/>
      <c r="F24" s="62"/>
      <c r="G24" s="62"/>
      <c r="H24" s="62"/>
      <c r="O24" s="31" t="s">
        <v>1134</v>
      </c>
      <c r="P24" s="57">
        <v>17</v>
      </c>
      <c r="Q24" s="62"/>
      <c r="R24" s="31" t="s">
        <v>1134</v>
      </c>
      <c r="S24" s="57">
        <v>6</v>
      </c>
      <c r="V24" s="33" t="s">
        <v>1155</v>
      </c>
      <c r="W24" s="34">
        <f>DATE(2022,12,31)</f>
        <v>44926</v>
      </c>
      <c r="X24" s="34">
        <f>DATE(2022,10,1)</f>
        <v>44835</v>
      </c>
      <c r="Y24" s="39">
        <f>COUNTIFS(EmployeeData[Join Date], "&lt;="&amp;W24, EmployeeData[Exit Date], "&gt;"&amp;W24) + COUNTIFS(EmployeeData[Join Date], "&lt;="&amp;W24, EmployeeData[Exit Date], "")</f>
        <v>583</v>
      </c>
      <c r="Z24">
        <f>COUNTIFS(EmployeeData[Exit Date], "&gt;="&amp;X24, EmployeeData[Exit Date], "&lt;="&amp;W24)</f>
        <v>14</v>
      </c>
      <c r="AA24">
        <f t="shared" si="1"/>
        <v>572</v>
      </c>
      <c r="AB24" s="35">
        <f t="shared" si="0"/>
        <v>2.4475524475524476E-2</v>
      </c>
    </row>
    <row r="25" spans="2:35" x14ac:dyDescent="0.3">
      <c r="B25" s="12" t="s">
        <v>33</v>
      </c>
      <c r="C25" s="57">
        <v>46</v>
      </c>
      <c r="D25" s="62"/>
      <c r="E25" s="62"/>
      <c r="F25" s="62"/>
      <c r="G25" s="62"/>
      <c r="H25" s="62"/>
      <c r="O25" s="31" t="s">
        <v>1135</v>
      </c>
      <c r="P25" s="57">
        <v>19</v>
      </c>
      <c r="Q25" s="62"/>
      <c r="R25" s="31" t="s">
        <v>1135</v>
      </c>
      <c r="S25" s="57">
        <v>8</v>
      </c>
      <c r="V25" s="33" t="s">
        <v>1156</v>
      </c>
      <c r="W25" s="34">
        <f>DATE(2023,3,31)</f>
        <v>45016</v>
      </c>
      <c r="X25" s="34">
        <f>DATE(2023,1,1)</f>
        <v>44927</v>
      </c>
      <c r="Y25" s="39">
        <f>COUNTIFS(EmployeeData[Join Date], "&lt;="&amp;W25, EmployeeData[Exit Date], "&gt;"&amp;W25) + COUNTIFS(EmployeeData[Join Date], "&lt;="&amp;W25, EmployeeData[Exit Date], "")</f>
        <v>598</v>
      </c>
      <c r="Z25">
        <f>COUNTIFS(EmployeeData[Exit Date], "&gt;="&amp;X25, EmployeeData[Exit Date], "&lt;="&amp;W25)</f>
        <v>13</v>
      </c>
      <c r="AA25">
        <f t="shared" si="1"/>
        <v>590.5</v>
      </c>
      <c r="AB25" s="35">
        <f t="shared" si="0"/>
        <v>2.201524132091448E-2</v>
      </c>
    </row>
    <row r="26" spans="2:35" x14ac:dyDescent="0.3">
      <c r="B26" s="13" t="s">
        <v>46</v>
      </c>
      <c r="C26" s="58">
        <v>43</v>
      </c>
      <c r="D26" s="62"/>
      <c r="E26" s="62"/>
      <c r="F26" s="62"/>
      <c r="G26" s="62"/>
      <c r="H26" s="62"/>
      <c r="O26" s="12" t="s">
        <v>1128</v>
      </c>
      <c r="P26" s="57">
        <v>83</v>
      </c>
      <c r="Q26" s="62"/>
      <c r="R26" s="12" t="s">
        <v>1128</v>
      </c>
      <c r="S26" s="57">
        <v>49</v>
      </c>
      <c r="V26" s="33" t="s">
        <v>1157</v>
      </c>
      <c r="W26" s="34">
        <f>DATE(2023,6,30)</f>
        <v>45107</v>
      </c>
      <c r="X26" s="34">
        <f>DATE(2023,4,1)</f>
        <v>45017</v>
      </c>
      <c r="Y26" s="39">
        <f>COUNTIFS(EmployeeData[Join Date], "&lt;="&amp;W26, EmployeeData[Exit Date], "&gt;"&amp;W26) + COUNTIFS(EmployeeData[Join Date], "&lt;="&amp;W26, EmployeeData[Exit Date], "")</f>
        <v>624</v>
      </c>
      <c r="Z26">
        <f>COUNTIFS(EmployeeData[Exit Date], "&gt;="&amp;X26, EmployeeData[Exit Date], "&lt;="&amp;W26)</f>
        <v>11</v>
      </c>
      <c r="AA26">
        <f t="shared" si="1"/>
        <v>611</v>
      </c>
      <c r="AB26" s="35">
        <f t="shared" si="0"/>
        <v>1.8003273322422259E-2</v>
      </c>
    </row>
    <row r="27" spans="2:35" x14ac:dyDescent="0.3">
      <c r="O27" s="31" t="s">
        <v>1132</v>
      </c>
      <c r="P27" s="57">
        <v>26</v>
      </c>
      <c r="Q27" s="62"/>
      <c r="R27" s="31" t="s">
        <v>1132</v>
      </c>
      <c r="S27" s="57">
        <v>7</v>
      </c>
      <c r="V27" s="33" t="s">
        <v>1158</v>
      </c>
      <c r="W27" s="34">
        <f>DATE(2023,9,30)</f>
        <v>45199</v>
      </c>
      <c r="X27" s="34">
        <f>DATE(2023,7,1)</f>
        <v>45108</v>
      </c>
      <c r="Y27" s="39">
        <f>COUNTIFS(EmployeeData[Join Date], "&lt;="&amp;W27, EmployeeData[Exit Date], "&gt;"&amp;W27) + COUNTIFS(EmployeeData[Join Date], "&lt;="&amp;W27, EmployeeData[Exit Date], "")</f>
        <v>646</v>
      </c>
      <c r="Z27">
        <f>COUNTIFS(EmployeeData[Exit Date], "&gt;="&amp;X27, EmployeeData[Exit Date], "&lt;="&amp;W27)</f>
        <v>15</v>
      </c>
      <c r="AA27">
        <f t="shared" si="1"/>
        <v>635</v>
      </c>
      <c r="AB27" s="35">
        <f t="shared" si="0"/>
        <v>2.3622047244094488E-2</v>
      </c>
    </row>
    <row r="28" spans="2:35" x14ac:dyDescent="0.3">
      <c r="B28" s="70" t="s">
        <v>1188</v>
      </c>
      <c r="O28" s="31" t="s">
        <v>1133</v>
      </c>
      <c r="P28" s="57">
        <v>16</v>
      </c>
      <c r="Q28" s="62"/>
      <c r="R28" s="31" t="s">
        <v>1133</v>
      </c>
      <c r="S28" s="57">
        <v>15</v>
      </c>
      <c r="V28" s="33" t="s">
        <v>1159</v>
      </c>
      <c r="W28" s="34">
        <f>DATE(2023,12,31)</f>
        <v>45291</v>
      </c>
      <c r="X28" s="34">
        <f>DATE(2023,10,1)</f>
        <v>45200</v>
      </c>
      <c r="Y28" s="39">
        <f>COUNTIFS(EmployeeData[Join Date], "&lt;="&amp;W28, EmployeeData[Exit Date], "&gt;"&amp;W28) + COUNTIFS(EmployeeData[Join Date], "&lt;="&amp;W28, EmployeeData[Exit Date], "")</f>
        <v>664</v>
      </c>
      <c r="Z28">
        <f>COUNTIFS(EmployeeData[Exit Date], "&gt;="&amp;X28, EmployeeData[Exit Date], "&lt;="&amp;W28)</f>
        <v>20</v>
      </c>
      <c r="AA28">
        <f t="shared" si="1"/>
        <v>655</v>
      </c>
      <c r="AB28" s="35">
        <f t="shared" si="0"/>
        <v>3.0534351145038167E-2</v>
      </c>
    </row>
    <row r="29" spans="2:35" x14ac:dyDescent="0.3">
      <c r="O29" s="31" t="s">
        <v>1134</v>
      </c>
      <c r="P29" s="57">
        <v>18</v>
      </c>
      <c r="Q29" s="62"/>
      <c r="R29" s="31" t="s">
        <v>1134</v>
      </c>
      <c r="S29" s="57">
        <v>13</v>
      </c>
      <c r="V29" s="33" t="s">
        <v>1160</v>
      </c>
      <c r="W29" s="34">
        <f>DATE(2024,3,31)</f>
        <v>45382</v>
      </c>
      <c r="X29" s="34">
        <f>DATE(2024,1,1)</f>
        <v>45292</v>
      </c>
      <c r="Y29" s="39">
        <f>COUNTIFS(EmployeeData[Join Date], "&lt;="&amp;W29, EmployeeData[Exit Date], "&gt;"&amp;W29) + COUNTIFS(EmployeeData[Join Date], "&lt;="&amp;W29, EmployeeData[Exit Date], "")</f>
        <v>674</v>
      </c>
      <c r="Z29">
        <f>COUNTIFS(EmployeeData[Exit Date], "&gt;="&amp;X29, EmployeeData[Exit Date], "&lt;="&amp;W29)</f>
        <v>18</v>
      </c>
      <c r="AA29">
        <f t="shared" si="1"/>
        <v>669</v>
      </c>
      <c r="AB29" s="35">
        <f t="shared" si="0"/>
        <v>2.6905829596412557E-2</v>
      </c>
    </row>
    <row r="30" spans="2:35" x14ac:dyDescent="0.3">
      <c r="B30" s="75" t="s">
        <v>1189</v>
      </c>
      <c r="C30" s="73" t="s">
        <v>1194</v>
      </c>
      <c r="D30" s="73" t="s">
        <v>1191</v>
      </c>
      <c r="E30" s="73" t="s">
        <v>1192</v>
      </c>
      <c r="F30" s="73" t="s">
        <v>1196</v>
      </c>
      <c r="G30" s="73" t="s">
        <v>1193</v>
      </c>
      <c r="H30" s="74" t="s">
        <v>1195</v>
      </c>
      <c r="O30" s="31" t="s">
        <v>1135</v>
      </c>
      <c r="P30" s="57">
        <v>23</v>
      </c>
      <c r="Q30" s="62"/>
      <c r="R30" s="31" t="s">
        <v>1135</v>
      </c>
      <c r="S30" s="57">
        <v>14</v>
      </c>
      <c r="V30" s="33" t="s">
        <v>1161</v>
      </c>
      <c r="W30" s="34">
        <f>DATE(2024,6,30)</f>
        <v>45473</v>
      </c>
      <c r="X30" s="34">
        <f>DATE(2024,4,1)</f>
        <v>45383</v>
      </c>
      <c r="Y30" s="39">
        <f>COUNTIFS(EmployeeData[Join Date], "&lt;="&amp;W30, EmployeeData[Exit Date], "&gt;"&amp;W30) + COUNTIFS(EmployeeData[Join Date], "&lt;="&amp;W30, EmployeeData[Exit Date], "")</f>
        <v>688</v>
      </c>
      <c r="Z30">
        <f>COUNTIFS(EmployeeData[Exit Date], "&gt;="&amp;X30, EmployeeData[Exit Date], "&lt;="&amp;W30)</f>
        <v>16</v>
      </c>
      <c r="AA30">
        <f t="shared" si="1"/>
        <v>681</v>
      </c>
      <c r="AB30" s="35">
        <f t="shared" si="0"/>
        <v>2.3494860499265784E-2</v>
      </c>
    </row>
    <row r="31" spans="2:35" x14ac:dyDescent="0.3">
      <c r="B31" s="29">
        <v>2018</v>
      </c>
      <c r="C31" s="64">
        <v>146</v>
      </c>
      <c r="D31" s="64">
        <v>3</v>
      </c>
      <c r="E31" s="64">
        <f>C31-D31</f>
        <v>143</v>
      </c>
      <c r="F31" s="64">
        <f>E31</f>
        <v>143</v>
      </c>
      <c r="G31" s="79">
        <v>1</v>
      </c>
      <c r="H31" s="35">
        <f>D31/F31</f>
        <v>2.097902097902098E-2</v>
      </c>
      <c r="O31" s="12" t="s">
        <v>1129</v>
      </c>
      <c r="P31" s="57">
        <v>84</v>
      </c>
      <c r="Q31" s="62"/>
      <c r="R31" s="12" t="s">
        <v>1129</v>
      </c>
      <c r="S31" s="57">
        <v>59</v>
      </c>
      <c r="V31" s="33" t="s">
        <v>1162</v>
      </c>
      <c r="W31" s="34">
        <f>DATE(2024,9,30)</f>
        <v>45565</v>
      </c>
      <c r="X31" s="34">
        <f>DATE(2024,7,1)</f>
        <v>45474</v>
      </c>
      <c r="Y31" s="39">
        <f>COUNTIFS(EmployeeData[Join Date], "&lt;="&amp;W31, EmployeeData[Exit Date], "&gt;"&amp;W31) + COUNTIFS(EmployeeData[Join Date], "&lt;="&amp;W31, EmployeeData[Exit Date], "")</f>
        <v>701</v>
      </c>
      <c r="Z31">
        <f>COUNTIFS(EmployeeData[Exit Date], "&gt;="&amp;X31, EmployeeData[Exit Date], "&lt;="&amp;W31)</f>
        <v>16</v>
      </c>
      <c r="AA31">
        <f t="shared" si="1"/>
        <v>694.5</v>
      </c>
      <c r="AB31" s="35">
        <f t="shared" si="0"/>
        <v>2.3038156947444204E-2</v>
      </c>
    </row>
    <row r="32" spans="2:35" x14ac:dyDescent="0.3">
      <c r="B32" s="29">
        <v>2019</v>
      </c>
      <c r="C32" s="64">
        <v>288</v>
      </c>
      <c r="D32" s="64">
        <v>11</v>
      </c>
      <c r="E32" s="64">
        <f t="shared" ref="E32:E39" si="2">C32-D32</f>
        <v>277</v>
      </c>
      <c r="F32" s="64">
        <f>SUM(E32,E31)/2</f>
        <v>210</v>
      </c>
      <c r="G32" s="79">
        <f>(E32-E31)/E31</f>
        <v>0.93706293706293708</v>
      </c>
      <c r="H32" s="35">
        <f t="shared" ref="H32:H39" si="3">D32/F32</f>
        <v>5.2380952380952382E-2</v>
      </c>
      <c r="O32" s="31" t="s">
        <v>1132</v>
      </c>
      <c r="P32" s="57">
        <v>18</v>
      </c>
      <c r="Q32" s="62"/>
      <c r="R32" s="31" t="s">
        <v>1132</v>
      </c>
      <c r="S32" s="57">
        <v>13</v>
      </c>
      <c r="V32" s="33" t="s">
        <v>1163</v>
      </c>
      <c r="W32" s="34">
        <f>DATE(2024,12,31)</f>
        <v>45657</v>
      </c>
      <c r="X32" s="34">
        <f>DATE(2024,10,1)</f>
        <v>45566</v>
      </c>
      <c r="Y32" s="39">
        <f>COUNTIFS(EmployeeData[Join Date], "&lt;="&amp;W32, EmployeeData[Exit Date], "&gt;"&amp;W32) + COUNTIFS(EmployeeData[Join Date], "&lt;="&amp;W32, EmployeeData[Exit Date], "")</f>
        <v>712</v>
      </c>
      <c r="Z32">
        <f>COUNTIFS(EmployeeData[Exit Date], "&gt;="&amp;X32, EmployeeData[Exit Date], "&lt;="&amp;W32)</f>
        <v>21</v>
      </c>
      <c r="AA32">
        <f t="shared" si="1"/>
        <v>706.5</v>
      </c>
      <c r="AB32" s="35">
        <f t="shared" si="0"/>
        <v>2.9723991507430998E-2</v>
      </c>
    </row>
    <row r="33" spans="2:28" x14ac:dyDescent="0.3">
      <c r="B33" s="29">
        <v>2020</v>
      </c>
      <c r="C33" s="64">
        <v>405</v>
      </c>
      <c r="D33" s="64">
        <v>23</v>
      </c>
      <c r="E33" s="64">
        <f t="shared" si="2"/>
        <v>382</v>
      </c>
      <c r="F33" s="64">
        <f t="shared" ref="F33:F39" si="4">SUM(E33,E32)/2</f>
        <v>329.5</v>
      </c>
      <c r="G33" s="79">
        <f t="shared" ref="G33:G39" si="5">(E33-E32)/E32</f>
        <v>0.37906137184115524</v>
      </c>
      <c r="H33" s="35">
        <f t="shared" si="3"/>
        <v>6.9802731411229141E-2</v>
      </c>
      <c r="O33" s="31" t="s">
        <v>1133</v>
      </c>
      <c r="P33" s="57">
        <v>22</v>
      </c>
      <c r="Q33" s="62"/>
      <c r="R33" s="31" t="s">
        <v>1133</v>
      </c>
      <c r="S33" s="57">
        <v>11</v>
      </c>
      <c r="V33" s="33" t="s">
        <v>1164</v>
      </c>
      <c r="W33" s="34">
        <f>DATE(2025,3,31)</f>
        <v>45747</v>
      </c>
      <c r="X33" s="34">
        <f>DATE(2025,1,1)</f>
        <v>45658</v>
      </c>
      <c r="Y33" s="39">
        <f>COUNTIFS(EmployeeData[Join Date], "&lt;="&amp;W33, EmployeeData[Exit Date], "&gt;"&amp;W33) + COUNTIFS(EmployeeData[Join Date], "&lt;="&amp;W33, EmployeeData[Exit Date], "")</f>
        <v>710</v>
      </c>
      <c r="Z33">
        <f>COUNTIFS(EmployeeData[Exit Date], "&gt;="&amp;X33, EmployeeData[Exit Date], "&lt;="&amp;W33)</f>
        <v>31</v>
      </c>
      <c r="AA33">
        <f t="shared" si="1"/>
        <v>711</v>
      </c>
      <c r="AB33" s="35">
        <f t="shared" si="0"/>
        <v>4.360056258790436E-2</v>
      </c>
    </row>
    <row r="34" spans="2:28" x14ac:dyDescent="0.3">
      <c r="B34" s="29">
        <v>2021</v>
      </c>
      <c r="C34" s="64">
        <v>516</v>
      </c>
      <c r="D34" s="64">
        <v>24</v>
      </c>
      <c r="E34" s="64">
        <f t="shared" si="2"/>
        <v>492</v>
      </c>
      <c r="F34" s="64">
        <f t="shared" si="4"/>
        <v>437</v>
      </c>
      <c r="G34" s="79">
        <f t="shared" si="5"/>
        <v>0.2879581151832461</v>
      </c>
      <c r="H34" s="35">
        <f t="shared" si="3"/>
        <v>5.4919908466819219E-2</v>
      </c>
      <c r="O34" s="31" t="s">
        <v>1134</v>
      </c>
      <c r="P34" s="57">
        <v>22</v>
      </c>
      <c r="Q34" s="62"/>
      <c r="R34" s="31" t="s">
        <v>1134</v>
      </c>
      <c r="S34" s="57">
        <v>15</v>
      </c>
      <c r="V34" s="33" t="s">
        <v>1165</v>
      </c>
      <c r="W34" s="34">
        <f>DATE(2025,6,30)</f>
        <v>45838</v>
      </c>
      <c r="X34" s="34">
        <f>DATE(2025,4,1)</f>
        <v>45748</v>
      </c>
      <c r="Y34" s="39">
        <f>COUNTIFS(EmployeeData[Join Date], "&lt;="&amp;W34, EmployeeData[Exit Date], "&gt;"&amp;W34) + COUNTIFS(EmployeeData[Join Date], "&lt;="&amp;W34, EmployeeData[Exit Date], "")</f>
        <v>720</v>
      </c>
      <c r="Z34">
        <f>COUNTIFS(EmployeeData[Exit Date], "&gt;="&amp;X34, EmployeeData[Exit Date], "&lt;="&amp;W34)</f>
        <v>26</v>
      </c>
      <c r="AA34">
        <f t="shared" si="1"/>
        <v>715</v>
      </c>
      <c r="AB34" s="35">
        <f t="shared" si="0"/>
        <v>3.6363636363636362E-2</v>
      </c>
    </row>
    <row r="35" spans="2:28" x14ac:dyDescent="0.3">
      <c r="B35" s="29">
        <v>2022</v>
      </c>
      <c r="C35" s="64">
        <v>632</v>
      </c>
      <c r="D35" s="64">
        <v>49</v>
      </c>
      <c r="E35" s="64">
        <f t="shared" si="2"/>
        <v>583</v>
      </c>
      <c r="F35" s="64">
        <f t="shared" si="4"/>
        <v>537.5</v>
      </c>
      <c r="G35" s="79">
        <f t="shared" si="5"/>
        <v>0.18495934959349594</v>
      </c>
      <c r="H35" s="35">
        <f t="shared" si="3"/>
        <v>9.1162790697674412E-2</v>
      </c>
      <c r="O35" s="31" t="s">
        <v>1135</v>
      </c>
      <c r="P35" s="57">
        <v>22</v>
      </c>
      <c r="Q35" s="62"/>
      <c r="R35" s="31" t="s">
        <v>1135</v>
      </c>
      <c r="S35" s="57">
        <v>20</v>
      </c>
      <c r="V35" s="33" t="s">
        <v>1166</v>
      </c>
      <c r="W35" s="34">
        <f>DATE(2025,9,30)</f>
        <v>45930</v>
      </c>
      <c r="X35" s="34">
        <f>DATE(2025,7,1)</f>
        <v>45839</v>
      </c>
      <c r="Y35" s="39">
        <f>COUNTIFS(EmployeeData[Join Date], "&lt;="&amp;W35, EmployeeData[Exit Date], "&gt;"&amp;W35) + COUNTIFS(EmployeeData[Join Date], "&lt;="&amp;W35, EmployeeData[Exit Date], "")</f>
        <v>735</v>
      </c>
      <c r="Z35">
        <f>COUNTIFS(EmployeeData[Exit Date], "&gt;="&amp;X35, EmployeeData[Exit Date], "&lt;="&amp;W35)</f>
        <v>22</v>
      </c>
      <c r="AA35">
        <f t="shared" si="1"/>
        <v>727.5</v>
      </c>
      <c r="AB35" s="35">
        <f t="shared" si="0"/>
        <v>3.0240549828178694E-2</v>
      </c>
    </row>
    <row r="36" spans="2:28" x14ac:dyDescent="0.3">
      <c r="B36" s="29">
        <v>2023</v>
      </c>
      <c r="C36" s="64">
        <v>723</v>
      </c>
      <c r="D36" s="64">
        <v>59</v>
      </c>
      <c r="E36" s="64">
        <f t="shared" si="2"/>
        <v>664</v>
      </c>
      <c r="F36" s="64">
        <f t="shared" si="4"/>
        <v>623.5</v>
      </c>
      <c r="G36" s="79">
        <f t="shared" si="5"/>
        <v>0.13893653516295026</v>
      </c>
      <c r="H36" s="35">
        <f t="shared" si="3"/>
        <v>9.4627105052125099E-2</v>
      </c>
      <c r="O36" s="12" t="s">
        <v>1130</v>
      </c>
      <c r="P36" s="57">
        <v>71</v>
      </c>
      <c r="Q36" s="62"/>
      <c r="R36" s="12" t="s">
        <v>1130</v>
      </c>
      <c r="S36" s="57">
        <v>71</v>
      </c>
      <c r="V36" s="33" t="s">
        <v>1167</v>
      </c>
      <c r="W36" s="34">
        <f>DATE(2025,12,31)</f>
        <v>46022</v>
      </c>
      <c r="X36" s="34">
        <f>DATE(2025,10,1)</f>
        <v>45931</v>
      </c>
      <c r="Y36" s="39">
        <f>COUNTIFS(EmployeeData[Join Date], "&lt;="&amp;W36, EmployeeData[Exit Date], "&gt;"&amp;W36) + COUNTIFS(EmployeeData[Join Date], "&lt;="&amp;W36, EmployeeData[Exit Date], "")</f>
        <v>725</v>
      </c>
      <c r="Z36">
        <f>COUNTIFS(EmployeeData[Exit Date], "&gt;="&amp;X36, EmployeeData[Exit Date], "&lt;="&amp;W36)</f>
        <v>37</v>
      </c>
      <c r="AA36">
        <f t="shared" si="1"/>
        <v>730</v>
      </c>
      <c r="AB36" s="35">
        <f t="shared" si="0"/>
        <v>5.0684931506849315E-2</v>
      </c>
    </row>
    <row r="37" spans="2:28" x14ac:dyDescent="0.3">
      <c r="B37" s="29">
        <v>2024</v>
      </c>
      <c r="C37" s="64">
        <v>783</v>
      </c>
      <c r="D37" s="64">
        <v>71</v>
      </c>
      <c r="E37" s="64">
        <f t="shared" si="2"/>
        <v>712</v>
      </c>
      <c r="F37" s="64">
        <f t="shared" si="4"/>
        <v>688</v>
      </c>
      <c r="G37" s="79">
        <f t="shared" si="5"/>
        <v>7.2289156626506021E-2</v>
      </c>
      <c r="H37" s="35">
        <f t="shared" si="3"/>
        <v>0.10319767441860465</v>
      </c>
      <c r="O37" s="31" t="s">
        <v>1132</v>
      </c>
      <c r="P37" s="57">
        <v>16</v>
      </c>
      <c r="Q37" s="62"/>
      <c r="R37" s="31" t="s">
        <v>1132</v>
      </c>
      <c r="S37" s="57">
        <v>18</v>
      </c>
      <c r="U37" s="32" t="s">
        <v>1171</v>
      </c>
      <c r="V37" s="33" t="s">
        <v>1169</v>
      </c>
      <c r="W37" s="34">
        <f>DATE(2026,3,31)</f>
        <v>46112</v>
      </c>
      <c r="X37" s="34">
        <f>DATE(2026,1,1)</f>
        <v>46023</v>
      </c>
      <c r="Y37" s="39">
        <f>COUNTIFS(EmployeeData[Join Date], "&lt;="&amp;W37, EmployeeData[Exit Date], "&gt;"&amp;W37) + COUNTIFS(EmployeeData[Join Date], "&lt;="&amp;W37, EmployeeData[Exit Date], "")</f>
        <v>689</v>
      </c>
      <c r="Z37">
        <f>COUNTIFS(EmployeeData[Exit Date], "&gt;="&amp;X37, EmployeeData[Exit Date], "&lt;="&amp;W37)</f>
        <v>36</v>
      </c>
      <c r="AA37">
        <f t="shared" si="1"/>
        <v>707</v>
      </c>
      <c r="AB37" s="35">
        <f t="shared" si="0"/>
        <v>5.0919377652050922E-2</v>
      </c>
    </row>
    <row r="38" spans="2:28" x14ac:dyDescent="0.3">
      <c r="B38" s="29">
        <v>2025</v>
      </c>
      <c r="C38" s="64">
        <v>841</v>
      </c>
      <c r="D38" s="64">
        <v>116</v>
      </c>
      <c r="E38" s="64">
        <f t="shared" si="2"/>
        <v>725</v>
      </c>
      <c r="F38" s="64">
        <f t="shared" si="4"/>
        <v>718.5</v>
      </c>
      <c r="G38" s="79">
        <f t="shared" si="5"/>
        <v>1.8258426966292134E-2</v>
      </c>
      <c r="H38" s="35">
        <f t="shared" si="3"/>
        <v>0.16144745998608212</v>
      </c>
      <c r="O38" s="31" t="s">
        <v>1133</v>
      </c>
      <c r="P38" s="57">
        <v>20</v>
      </c>
      <c r="Q38" s="62"/>
      <c r="R38" s="31" t="s">
        <v>1133</v>
      </c>
      <c r="S38" s="57">
        <v>16</v>
      </c>
      <c r="U38" s="32" t="s">
        <v>1171</v>
      </c>
      <c r="V38" s="36" t="s">
        <v>1170</v>
      </c>
      <c r="W38" s="37">
        <f>DATE(2026,6,30)</f>
        <v>46203</v>
      </c>
      <c r="X38" s="37">
        <f>DATE(2026,4,1)</f>
        <v>46113</v>
      </c>
      <c r="Y38" s="41">
        <f>COUNTIFS(EmployeeData[Join Date], "&lt;="&amp;W38, EmployeeData[Exit Date], "&gt;"&amp;W38) + COUNTIFS(EmployeeData[Join Date], "&lt;="&amp;W38, EmployeeData[Exit Date], "")</f>
        <v>667</v>
      </c>
      <c r="Z38" s="30">
        <f>COUNTIFS(EmployeeData[Exit Date], "&gt;="&amp;X38, EmployeeData[Exit Date], "&lt;="&amp;W38)</f>
        <v>22</v>
      </c>
      <c r="AA38" s="30">
        <f t="shared" si="1"/>
        <v>678</v>
      </c>
      <c r="AB38" s="38">
        <f t="shared" si="0"/>
        <v>3.2448377581120944E-2</v>
      </c>
    </row>
    <row r="39" spans="2:28" x14ac:dyDescent="0.3">
      <c r="B39" s="77">
        <v>2026</v>
      </c>
      <c r="C39" s="30">
        <v>725</v>
      </c>
      <c r="D39" s="30">
        <v>58</v>
      </c>
      <c r="E39" s="30">
        <f t="shared" si="2"/>
        <v>667</v>
      </c>
      <c r="F39" s="30">
        <f t="shared" si="4"/>
        <v>696</v>
      </c>
      <c r="G39" s="80">
        <f t="shared" si="5"/>
        <v>-0.08</v>
      </c>
      <c r="H39" s="38">
        <f t="shared" si="3"/>
        <v>8.3333333333333329E-2</v>
      </c>
      <c r="O39" s="31" t="s">
        <v>1134</v>
      </c>
      <c r="P39" s="57">
        <v>18</v>
      </c>
      <c r="Q39" s="62"/>
      <c r="R39" s="31" t="s">
        <v>1134</v>
      </c>
      <c r="S39" s="57">
        <v>16</v>
      </c>
    </row>
    <row r="40" spans="2:28" x14ac:dyDescent="0.3">
      <c r="O40" s="31" t="s">
        <v>1135</v>
      </c>
      <c r="P40" s="57">
        <v>17</v>
      </c>
      <c r="Q40" s="62"/>
      <c r="R40" s="31" t="s">
        <v>1135</v>
      </c>
      <c r="S40" s="57">
        <v>21</v>
      </c>
    </row>
    <row r="41" spans="2:28" x14ac:dyDescent="0.3">
      <c r="O41" s="12" t="s">
        <v>1131</v>
      </c>
      <c r="P41" s="57">
        <v>84</v>
      </c>
      <c r="Q41" s="62"/>
      <c r="R41" s="12" t="s">
        <v>1131</v>
      </c>
      <c r="S41" s="57">
        <v>116</v>
      </c>
    </row>
    <row r="42" spans="2:28" x14ac:dyDescent="0.3">
      <c r="O42" s="31" t="s">
        <v>1132</v>
      </c>
      <c r="P42" s="57">
        <v>21</v>
      </c>
      <c r="Q42" s="62"/>
      <c r="R42" s="31" t="s">
        <v>1132</v>
      </c>
      <c r="S42" s="57">
        <v>31</v>
      </c>
    </row>
    <row r="43" spans="2:28" x14ac:dyDescent="0.3">
      <c r="O43" s="31" t="s">
        <v>1133</v>
      </c>
      <c r="P43" s="57">
        <v>22</v>
      </c>
      <c r="Q43" s="62"/>
      <c r="R43" s="31" t="s">
        <v>1133</v>
      </c>
      <c r="S43" s="57">
        <v>26</v>
      </c>
    </row>
    <row r="44" spans="2:28" x14ac:dyDescent="0.3">
      <c r="O44" s="31" t="s">
        <v>1134</v>
      </c>
      <c r="P44" s="57">
        <v>23</v>
      </c>
      <c r="Q44" s="62"/>
      <c r="R44" s="31" t="s">
        <v>1134</v>
      </c>
      <c r="S44" s="57">
        <v>22</v>
      </c>
    </row>
    <row r="45" spans="2:28" x14ac:dyDescent="0.3">
      <c r="O45" s="31" t="s">
        <v>1135</v>
      </c>
      <c r="P45" s="57">
        <v>18</v>
      </c>
      <c r="Q45" s="62"/>
      <c r="R45" s="31" t="s">
        <v>1135</v>
      </c>
      <c r="S45" s="57">
        <v>37</v>
      </c>
    </row>
    <row r="46" spans="2:28" x14ac:dyDescent="0.3">
      <c r="O46" s="13" t="s">
        <v>1099</v>
      </c>
      <c r="P46" s="58">
        <v>667</v>
      </c>
      <c r="Q46" s="62"/>
      <c r="R46" s="12" t="s">
        <v>1190</v>
      </c>
      <c r="S46" s="57">
        <v>58</v>
      </c>
    </row>
    <row r="47" spans="2:28" x14ac:dyDescent="0.3">
      <c r="R47" s="31" t="s">
        <v>1132</v>
      </c>
      <c r="S47" s="57">
        <v>36</v>
      </c>
    </row>
    <row r="48" spans="2:28" x14ac:dyDescent="0.3">
      <c r="R48" s="31" t="s">
        <v>1133</v>
      </c>
      <c r="S48" s="57">
        <v>22</v>
      </c>
    </row>
    <row r="49" spans="18:19" x14ac:dyDescent="0.3">
      <c r="R49" s="31" t="s">
        <v>1134</v>
      </c>
      <c r="S49" s="57"/>
    </row>
    <row r="50" spans="18:19" x14ac:dyDescent="0.3">
      <c r="R50" s="31" t="s">
        <v>1135</v>
      </c>
      <c r="S50" s="57"/>
    </row>
    <row r="51" spans="18:19" x14ac:dyDescent="0.3">
      <c r="R51" s="13" t="s">
        <v>1099</v>
      </c>
      <c r="S51" s="58">
        <v>414</v>
      </c>
    </row>
  </sheetData>
  <conditionalFormatting sqref="H32:H39">
    <cfRule type="expression" dxfId="1542" priority="1">
      <formula>H32&lt;H31</formula>
    </cfRule>
    <cfRule type="expression" dxfId="1541" priority="2">
      <formula>H32&gt;H31</formula>
    </cfRule>
  </conditionalFormatting>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iconSet" priority="4" id="{D7C12470-D00F-49CF-936E-3E629DC8C3B8}">
            <x14:iconSet iconSet="3Triangles">
              <x14:cfvo type="percent">
                <xm:f>0</xm:f>
              </x14:cfvo>
              <x14:cfvo type="num">
                <xm:f>0</xm:f>
              </x14:cfvo>
              <x14:cfvo type="percent" gte="0">
                <xm:f>1</xm:f>
              </x14:cfvo>
            </x14:iconSet>
          </x14:cfRule>
          <xm:sqref>G31:G39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ECB8-AA26-4EDD-8EA4-F55AED936CA7}">
  <sheetPr codeName="Sheet3">
    <tabColor rgb="FF92D050"/>
  </sheetPr>
  <dimension ref="A1:Q1082"/>
  <sheetViews>
    <sheetView showGridLines="0" workbookViewId="0">
      <selection activeCell="M6" sqref="M6"/>
    </sheetView>
  </sheetViews>
  <sheetFormatPr defaultRowHeight="14.4" x14ac:dyDescent="0.3"/>
  <cols>
    <col min="1" max="1" width="13.77734375" bestFit="1" customWidth="1"/>
    <col min="2" max="2" width="27" bestFit="1" customWidth="1"/>
    <col min="3" max="3" width="15.77734375" bestFit="1" customWidth="1"/>
    <col min="4" max="4" width="9.33203125" bestFit="1" customWidth="1"/>
    <col min="5" max="5" width="6.44140625" bestFit="1" customWidth="1"/>
    <col min="6" max="6" width="13.21875" bestFit="1" customWidth="1"/>
    <col min="7" max="7" width="10.88671875" customWidth="1"/>
    <col min="8" max="8" width="10.5546875" style="5" bestFit="1" customWidth="1"/>
    <col min="9" max="9" width="16.44140625" bestFit="1" customWidth="1"/>
    <col min="10" max="10" width="8.44140625" bestFit="1" customWidth="1"/>
    <col min="11" max="11" width="14.77734375" bestFit="1" customWidth="1"/>
    <col min="12" max="15" width="14.77734375" customWidth="1"/>
    <col min="16" max="16" width="13.77734375" customWidth="1"/>
    <col min="17" max="17" width="22.6640625" bestFit="1" customWidth="1"/>
  </cols>
  <sheetData>
    <row r="1" spans="1:17" x14ac:dyDescent="0.3">
      <c r="A1" t="s">
        <v>0</v>
      </c>
      <c r="B1" t="s">
        <v>1</v>
      </c>
      <c r="C1" t="s">
        <v>2</v>
      </c>
      <c r="D1" t="s">
        <v>3</v>
      </c>
      <c r="E1" t="s">
        <v>4</v>
      </c>
      <c r="F1" t="s">
        <v>1117</v>
      </c>
      <c r="G1" s="5" t="s">
        <v>5</v>
      </c>
      <c r="H1" s="5" t="s">
        <v>6</v>
      </c>
      <c r="I1" t="s">
        <v>7</v>
      </c>
      <c r="J1" t="s">
        <v>8</v>
      </c>
      <c r="K1" t="s">
        <v>1115</v>
      </c>
      <c r="L1" t="s">
        <v>1118</v>
      </c>
      <c r="Q1" s="8" t="s">
        <v>1116</v>
      </c>
    </row>
    <row r="2" spans="1:17" x14ac:dyDescent="0.3">
      <c r="A2">
        <v>1001</v>
      </c>
      <c r="B2" t="s">
        <v>564</v>
      </c>
      <c r="C2" t="s">
        <v>23</v>
      </c>
      <c r="D2" t="s">
        <v>16</v>
      </c>
      <c r="E2">
        <v>38</v>
      </c>
      <c r="F2" t="str" cm="1">
        <f t="array" ref="F2">_xlfn.IFS(EmployeeData[[#This Row],[Age]]&lt;30,"20s",EmployeeData[[#This Row],[Age]]&lt;40,"30s",EmployeeData[[#This Row],[Age]]&lt;50,"40s",EmployeeData[[#This Row],[Age]]&lt;60,"50s",EmployeeData[[#This Row],[Age]]&gt;=60,"60s")</f>
        <v>30s</v>
      </c>
      <c r="G2" s="5">
        <v>44104</v>
      </c>
      <c r="H2" s="5">
        <v>45702</v>
      </c>
      <c r="I2" t="s">
        <v>31</v>
      </c>
      <c r="J2" t="s">
        <v>13</v>
      </c>
      <c r="K2" cm="1">
        <f t="array" aca="1" ref="K2" ca="1">_xlfn.IFS(EmployeeData[[#This Row],[Status]]="Active",_xlfn.DAYS(TODAY(),EmployeeData[[#This Row],[Join Date]]),EmployeeData[[#This Row],[Status]]="Exited",_xlfn.DAYS(EmployeeData[[#This Row],[Exit Date]],EmployeeData[[#This Row],[Join Date]]))</f>
        <v>1598</v>
      </c>
      <c r="L2" cm="1">
        <f t="array" aca="1" ref="L2" ca="1">_xlfn.IFS(EmployeeData[[#This Row],[Status]]="Exited",DATEDIF(EmployeeData[[#This Row],[Join Date]], EmployeeData[[#This Row],[Exit Date]], "Y"),EmployeeData[[#This Row],[Status]]="Active",DATEDIF(EmployeeData[[#This Row],[Join Date]], TODAY(), "Y"))</f>
        <v>4</v>
      </c>
      <c r="Q2" t="str" cm="1">
        <f t="array" aca="1" ref="Q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15 days</v>
      </c>
    </row>
    <row r="3" spans="1:17" x14ac:dyDescent="0.3">
      <c r="A3">
        <v>1002</v>
      </c>
      <c r="B3" t="s">
        <v>987</v>
      </c>
      <c r="C3" t="s">
        <v>15</v>
      </c>
      <c r="D3" t="s">
        <v>16</v>
      </c>
      <c r="E3">
        <v>53</v>
      </c>
      <c r="F3" t="str" cm="1">
        <f t="array" ref="F3">_xlfn.IFS(EmployeeData[[#This Row],[Age]]&lt;30,"20s",EmployeeData[[#This Row],[Age]]&lt;40,"30s",EmployeeData[[#This Row],[Age]]&lt;50,"40s",EmployeeData[[#This Row],[Age]]&lt;60,"50s",EmployeeData[[#This Row],[Age]]&gt;=60,"60s")</f>
        <v>50s</v>
      </c>
      <c r="G3" s="5">
        <v>45566</v>
      </c>
      <c r="H3" s="5">
        <v>45859</v>
      </c>
      <c r="I3" t="s">
        <v>34</v>
      </c>
      <c r="J3" t="s">
        <v>13</v>
      </c>
      <c r="K3" cm="1">
        <f t="array" aca="1" ref="K3" ca="1">_xlfn.IFS(EmployeeData[[#This Row],[Status]]="Active",_xlfn.DAYS(TODAY(),EmployeeData[[#This Row],[Join Date]]),EmployeeData[[#This Row],[Status]]="Exited",_xlfn.DAYS(EmployeeData[[#This Row],[Exit Date]],EmployeeData[[#This Row],[Join Date]]))</f>
        <v>293</v>
      </c>
      <c r="L3" cm="1">
        <f t="array" aca="1" ref="L3" ca="1">_xlfn.IFS(EmployeeData[[#This Row],[Status]]="Exited",DATEDIF(EmployeeData[[#This Row],[Join Date]], EmployeeData[[#This Row],[Exit Date]], "Y"),EmployeeData[[#This Row],[Status]]="Active",DATEDIF(EmployeeData[[#This Row],[Join Date]], TODAY(), "Y"))</f>
        <v>0</v>
      </c>
      <c r="Q3" t="str" cm="1">
        <f t="array" aca="1" ref="Q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20 days</v>
      </c>
    </row>
    <row r="4" spans="1:17" x14ac:dyDescent="0.3">
      <c r="A4">
        <v>1003</v>
      </c>
      <c r="B4" t="s">
        <v>83</v>
      </c>
      <c r="C4" t="s">
        <v>33</v>
      </c>
      <c r="D4" t="s">
        <v>16</v>
      </c>
      <c r="E4">
        <v>31</v>
      </c>
      <c r="F4" t="str" cm="1">
        <f t="array" ref="F4">_xlfn.IFS(EmployeeData[[#This Row],[Age]]&lt;30,"20s",EmployeeData[[#This Row],[Age]]&lt;40,"30s",EmployeeData[[#This Row],[Age]]&lt;50,"40s",EmployeeData[[#This Row],[Age]]&lt;60,"50s",EmployeeData[[#This Row],[Age]]&gt;=60,"60s")</f>
        <v>30s</v>
      </c>
      <c r="G4" s="5">
        <v>45960</v>
      </c>
      <c r="I4" t="s">
        <v>17</v>
      </c>
      <c r="J4" t="s">
        <v>18</v>
      </c>
      <c r="K4" cm="1">
        <f t="array" aca="1" ref="K4" ca="1">_xlfn.IFS(EmployeeData[[#This Row],[Status]]="Active",_xlfn.DAYS(TODAY(),EmployeeData[[#This Row],[Join Date]]),EmployeeData[[#This Row],[Status]]="Exited",_xlfn.DAYS(EmployeeData[[#This Row],[Exit Date]],EmployeeData[[#This Row],[Join Date]]))</f>
        <v>237</v>
      </c>
      <c r="L4" cm="1">
        <f t="array" aca="1" ref="L4" ca="1">_xlfn.IFS(EmployeeData[[#This Row],[Status]]="Exited",DATEDIF(EmployeeData[[#This Row],[Join Date]], EmployeeData[[#This Row],[Exit Date]], "Y"),EmployeeData[[#This Row],[Status]]="Active",DATEDIF(EmployeeData[[#This Row],[Join Date]], TODAY(), "Y"))</f>
        <v>0</v>
      </c>
      <c r="Q4" t="str" cm="1">
        <f t="array" aca="1" ref="Q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25 days</v>
      </c>
    </row>
    <row r="5" spans="1:17" x14ac:dyDescent="0.3">
      <c r="A5">
        <v>1004</v>
      </c>
      <c r="B5" t="s">
        <v>105</v>
      </c>
      <c r="C5" t="s">
        <v>15</v>
      </c>
      <c r="D5" t="s">
        <v>24</v>
      </c>
      <c r="E5">
        <v>43</v>
      </c>
      <c r="F5" t="str" cm="1">
        <f t="array" ref="F5">_xlfn.IFS(EmployeeData[[#This Row],[Age]]&lt;30,"20s",EmployeeData[[#This Row],[Age]]&lt;40,"30s",EmployeeData[[#This Row],[Age]]&lt;50,"40s",EmployeeData[[#This Row],[Age]]&lt;60,"50s",EmployeeData[[#This Row],[Age]]&gt;=60,"60s")</f>
        <v>40s</v>
      </c>
      <c r="G5" s="5">
        <v>44509</v>
      </c>
      <c r="I5" t="s">
        <v>17</v>
      </c>
      <c r="J5" t="s">
        <v>18</v>
      </c>
      <c r="K5" cm="1">
        <f t="array" aca="1" ref="K5" ca="1">_xlfn.IFS(EmployeeData[[#This Row],[Status]]="Active",_xlfn.DAYS(TODAY(),EmployeeData[[#This Row],[Join Date]]),EmployeeData[[#This Row],[Status]]="Exited",_xlfn.DAYS(EmployeeData[[#This Row],[Exit Date]],EmployeeData[[#This Row],[Join Date]]))</f>
        <v>1688</v>
      </c>
      <c r="L5" cm="1">
        <f t="array" aca="1" ref="L5" ca="1">_xlfn.IFS(EmployeeData[[#This Row],[Status]]="Exited",DATEDIF(EmployeeData[[#This Row],[Join Date]], EmployeeData[[#This Row],[Exit Date]], "Y"),EmployeeData[[#This Row],[Status]]="Active",DATEDIF(EmployeeData[[#This Row],[Join Date]], TODAY(), "Y"))</f>
        <v>4</v>
      </c>
      <c r="Q5" t="str" cm="1">
        <f t="array" aca="1" ref="Q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15 days</v>
      </c>
    </row>
    <row r="6" spans="1:17" x14ac:dyDescent="0.3">
      <c r="A6">
        <v>1005</v>
      </c>
      <c r="B6" t="s">
        <v>652</v>
      </c>
      <c r="C6" t="s">
        <v>46</v>
      </c>
      <c r="D6" t="s">
        <v>24</v>
      </c>
      <c r="E6">
        <v>56</v>
      </c>
      <c r="F6" t="str" cm="1">
        <f t="array" ref="F6">_xlfn.IFS(EmployeeData[[#This Row],[Age]]&lt;30,"20s",EmployeeData[[#This Row],[Age]]&lt;40,"30s",EmployeeData[[#This Row],[Age]]&lt;50,"40s",EmployeeData[[#This Row],[Age]]&lt;60,"50s",EmployeeData[[#This Row],[Age]]&gt;=60,"60s")</f>
        <v>50s</v>
      </c>
      <c r="G6" s="5">
        <v>44301</v>
      </c>
      <c r="I6" t="s">
        <v>17</v>
      </c>
      <c r="J6" t="s">
        <v>18</v>
      </c>
      <c r="K6" cm="1">
        <f t="array" aca="1" ref="K6" ca="1">_xlfn.IFS(EmployeeData[[#This Row],[Status]]="Active",_xlfn.DAYS(TODAY(),EmployeeData[[#This Row],[Join Date]]),EmployeeData[[#This Row],[Status]]="Exited",_xlfn.DAYS(EmployeeData[[#This Row],[Exit Date]],EmployeeData[[#This Row],[Join Date]]))</f>
        <v>1896</v>
      </c>
      <c r="L6" cm="1">
        <f t="array" aca="1" ref="L6" ca="1">_xlfn.IFS(EmployeeData[[#This Row],[Status]]="Exited",DATEDIF(EmployeeData[[#This Row],[Join Date]], EmployeeData[[#This Row],[Exit Date]], "Y"),EmployeeData[[#This Row],[Status]]="Active",DATEDIF(EmployeeData[[#This Row],[Join Date]], TODAY(), "Y"))</f>
        <v>5</v>
      </c>
      <c r="Q6" t="str" cm="1">
        <f t="array" aca="1" ref="Q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9 days</v>
      </c>
    </row>
    <row r="7" spans="1:17" x14ac:dyDescent="0.3">
      <c r="A7">
        <v>1006</v>
      </c>
      <c r="B7" t="s">
        <v>702</v>
      </c>
      <c r="C7" t="s">
        <v>15</v>
      </c>
      <c r="D7" t="s">
        <v>16</v>
      </c>
      <c r="E7">
        <v>39</v>
      </c>
      <c r="F7" t="str" cm="1">
        <f t="array" ref="F7">_xlfn.IFS(EmployeeData[[#This Row],[Age]]&lt;30,"20s",EmployeeData[[#This Row],[Age]]&lt;40,"30s",EmployeeData[[#This Row],[Age]]&lt;50,"40s",EmployeeData[[#This Row],[Age]]&lt;60,"50s",EmployeeData[[#This Row],[Age]]&gt;=60,"60s")</f>
        <v>30s</v>
      </c>
      <c r="G7" s="5">
        <v>43427</v>
      </c>
      <c r="I7" t="s">
        <v>17</v>
      </c>
      <c r="J7" t="s">
        <v>18</v>
      </c>
      <c r="K7" cm="1">
        <f t="array" aca="1" ref="K7" ca="1">_xlfn.IFS(EmployeeData[[#This Row],[Status]]="Active",_xlfn.DAYS(TODAY(),EmployeeData[[#This Row],[Join Date]]),EmployeeData[[#This Row],[Status]]="Exited",_xlfn.DAYS(EmployeeData[[#This Row],[Exit Date]],EmployeeData[[#This Row],[Join Date]]))</f>
        <v>2770</v>
      </c>
      <c r="L7" cm="1">
        <f t="array" aca="1" ref="L7" ca="1">_xlfn.IFS(EmployeeData[[#This Row],[Status]]="Exited",DATEDIF(EmployeeData[[#This Row],[Join Date]], EmployeeData[[#This Row],[Exit Date]], "Y"),EmployeeData[[#This Row],[Status]]="Active",DATEDIF(EmployeeData[[#This Row],[Join Date]], TODAY(), "Y"))</f>
        <v>7</v>
      </c>
      <c r="Q7" t="str" cm="1">
        <f t="array" aca="1" ref="Q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1 days</v>
      </c>
    </row>
    <row r="8" spans="1:17" x14ac:dyDescent="0.3">
      <c r="A8">
        <v>1007</v>
      </c>
      <c r="B8" t="s">
        <v>344</v>
      </c>
      <c r="C8" t="s">
        <v>15</v>
      </c>
      <c r="D8" t="s">
        <v>24</v>
      </c>
      <c r="E8">
        <v>38</v>
      </c>
      <c r="F8" t="str" cm="1">
        <f t="array" ref="F8">_xlfn.IFS(EmployeeData[[#This Row],[Age]]&lt;30,"20s",EmployeeData[[#This Row],[Age]]&lt;40,"30s",EmployeeData[[#This Row],[Age]]&lt;50,"40s",EmployeeData[[#This Row],[Age]]&lt;60,"50s",EmployeeData[[#This Row],[Age]]&gt;=60,"60s")</f>
        <v>30s</v>
      </c>
      <c r="G8" s="5">
        <v>45975</v>
      </c>
      <c r="I8" t="s">
        <v>17</v>
      </c>
      <c r="J8" t="s">
        <v>18</v>
      </c>
      <c r="K8" cm="1">
        <f t="array" aca="1" ref="K8" ca="1">_xlfn.IFS(EmployeeData[[#This Row],[Status]]="Active",_xlfn.DAYS(TODAY(),EmployeeData[[#This Row],[Join Date]]),EmployeeData[[#This Row],[Status]]="Exited",_xlfn.DAYS(EmployeeData[[#This Row],[Exit Date]],EmployeeData[[#This Row],[Join Date]]))</f>
        <v>222</v>
      </c>
      <c r="L8" cm="1">
        <f t="array" aca="1" ref="L8" ca="1">_xlfn.IFS(EmployeeData[[#This Row],[Status]]="Exited",DATEDIF(EmployeeData[[#This Row],[Join Date]], EmployeeData[[#This Row],[Exit Date]], "Y"),EmployeeData[[#This Row],[Status]]="Active",DATEDIF(EmployeeData[[#This Row],[Join Date]], TODAY(), "Y"))</f>
        <v>0</v>
      </c>
      <c r="Q8" t="str" cm="1">
        <f t="array" aca="1" ref="Q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10 days</v>
      </c>
    </row>
    <row r="9" spans="1:17" x14ac:dyDescent="0.3">
      <c r="A9">
        <v>1008</v>
      </c>
      <c r="B9" t="s">
        <v>213</v>
      </c>
      <c r="C9" t="s">
        <v>23</v>
      </c>
      <c r="D9" t="s">
        <v>16</v>
      </c>
      <c r="E9">
        <v>50</v>
      </c>
      <c r="F9" t="str" cm="1">
        <f t="array" ref="F9">_xlfn.IFS(EmployeeData[[#This Row],[Age]]&lt;30,"20s",EmployeeData[[#This Row],[Age]]&lt;40,"30s",EmployeeData[[#This Row],[Age]]&lt;50,"40s",EmployeeData[[#This Row],[Age]]&lt;60,"50s",EmployeeData[[#This Row],[Age]]&gt;=60,"60s")</f>
        <v>50s</v>
      </c>
      <c r="G9" s="5">
        <v>44655</v>
      </c>
      <c r="H9" s="5">
        <v>46055</v>
      </c>
      <c r="I9" t="s">
        <v>34</v>
      </c>
      <c r="J9" t="s">
        <v>13</v>
      </c>
      <c r="K9" cm="1">
        <f t="array" aca="1" ref="K9" ca="1">_xlfn.IFS(EmployeeData[[#This Row],[Status]]="Active",_xlfn.DAYS(TODAY(),EmployeeData[[#This Row],[Join Date]]),EmployeeData[[#This Row],[Status]]="Exited",_xlfn.DAYS(EmployeeData[[#This Row],[Exit Date]],EmployeeData[[#This Row],[Join Date]]))</f>
        <v>1400</v>
      </c>
      <c r="L9" cm="1">
        <f t="array" aca="1" ref="L9" ca="1">_xlfn.IFS(EmployeeData[[#This Row],[Status]]="Exited",DATEDIF(EmployeeData[[#This Row],[Join Date]], EmployeeData[[#This Row],[Exit Date]], "Y"),EmployeeData[[#This Row],[Status]]="Active",DATEDIF(EmployeeData[[#This Row],[Join Date]], TODAY(), "Y"))</f>
        <v>3</v>
      </c>
      <c r="Q9" t="str" cm="1">
        <f t="array" aca="1" ref="Q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29 days</v>
      </c>
    </row>
    <row r="10" spans="1:17" x14ac:dyDescent="0.3">
      <c r="A10">
        <v>1009</v>
      </c>
      <c r="B10" t="s">
        <v>769</v>
      </c>
      <c r="C10" t="s">
        <v>15</v>
      </c>
      <c r="D10" t="s">
        <v>16</v>
      </c>
      <c r="E10">
        <v>41</v>
      </c>
      <c r="F10" t="str" cm="1">
        <f t="array" ref="F10">_xlfn.IFS(EmployeeData[[#This Row],[Age]]&lt;30,"20s",EmployeeData[[#This Row],[Age]]&lt;40,"30s",EmployeeData[[#This Row],[Age]]&lt;50,"40s",EmployeeData[[#This Row],[Age]]&lt;60,"50s",EmployeeData[[#This Row],[Age]]&gt;=60,"60s")</f>
        <v>40s</v>
      </c>
      <c r="G10" s="5">
        <v>44744</v>
      </c>
      <c r="H10" s="5">
        <v>45266</v>
      </c>
      <c r="I10" t="s">
        <v>52</v>
      </c>
      <c r="J10" t="s">
        <v>13</v>
      </c>
      <c r="K10" cm="1">
        <f t="array" aca="1" ref="K10" ca="1">_xlfn.IFS(EmployeeData[[#This Row],[Status]]="Active",_xlfn.DAYS(TODAY(),EmployeeData[[#This Row],[Join Date]]),EmployeeData[[#This Row],[Status]]="Exited",_xlfn.DAYS(EmployeeData[[#This Row],[Exit Date]],EmployeeData[[#This Row],[Join Date]]))</f>
        <v>522</v>
      </c>
      <c r="L10" cm="1">
        <f t="array" aca="1" ref="L10" ca="1">_xlfn.IFS(EmployeeData[[#This Row],[Status]]="Exited",DATEDIF(EmployeeData[[#This Row],[Join Date]], EmployeeData[[#This Row],[Exit Date]], "Y"),EmployeeData[[#This Row],[Status]]="Active",DATEDIF(EmployeeData[[#This Row],[Join Date]], TODAY(), "Y"))</f>
        <v>1</v>
      </c>
      <c r="Q10" t="str" cm="1">
        <f t="array" aca="1" ref="Q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4 days</v>
      </c>
    </row>
    <row r="11" spans="1:17" x14ac:dyDescent="0.3">
      <c r="A11">
        <v>1010</v>
      </c>
      <c r="B11" t="s">
        <v>546</v>
      </c>
      <c r="C11" t="s">
        <v>10</v>
      </c>
      <c r="D11" t="s">
        <v>11</v>
      </c>
      <c r="E11">
        <v>50</v>
      </c>
      <c r="F11" t="str" cm="1">
        <f t="array" ref="F11">_xlfn.IFS(EmployeeData[[#This Row],[Age]]&lt;30,"20s",EmployeeData[[#This Row],[Age]]&lt;40,"30s",EmployeeData[[#This Row],[Age]]&lt;50,"40s",EmployeeData[[#This Row],[Age]]&lt;60,"50s",EmployeeData[[#This Row],[Age]]&gt;=60,"60s")</f>
        <v>50s</v>
      </c>
      <c r="G11" s="5">
        <v>43686</v>
      </c>
      <c r="H11" s="5">
        <v>44786</v>
      </c>
      <c r="I11" t="s">
        <v>34</v>
      </c>
      <c r="J11" t="s">
        <v>13</v>
      </c>
      <c r="K11" cm="1">
        <f t="array" aca="1" ref="K11" ca="1">_xlfn.IFS(EmployeeData[[#This Row],[Status]]="Active",_xlfn.DAYS(TODAY(),EmployeeData[[#This Row],[Join Date]]),EmployeeData[[#This Row],[Status]]="Exited",_xlfn.DAYS(EmployeeData[[#This Row],[Exit Date]],EmployeeData[[#This Row],[Join Date]]))</f>
        <v>1100</v>
      </c>
      <c r="L11" cm="1">
        <f t="array" aca="1" ref="L11" ca="1">_xlfn.IFS(EmployeeData[[#This Row],[Status]]="Exited",DATEDIF(EmployeeData[[#This Row],[Join Date]], EmployeeData[[#This Row],[Exit Date]], "Y"),EmployeeData[[#This Row],[Status]]="Active",DATEDIF(EmployeeData[[#This Row],[Join Date]], TODAY(), "Y"))</f>
        <v>3</v>
      </c>
      <c r="Q11" t="str" cm="1">
        <f t="array" aca="1" ref="Q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4 days</v>
      </c>
    </row>
    <row r="12" spans="1:17" x14ac:dyDescent="0.3">
      <c r="A12">
        <v>1011</v>
      </c>
      <c r="B12" t="s">
        <v>547</v>
      </c>
      <c r="C12" t="s">
        <v>10</v>
      </c>
      <c r="D12" t="s">
        <v>24</v>
      </c>
      <c r="E12">
        <v>44</v>
      </c>
      <c r="F12" t="str" cm="1">
        <f t="array" ref="F12">_xlfn.IFS(EmployeeData[[#This Row],[Age]]&lt;30,"20s",EmployeeData[[#This Row],[Age]]&lt;40,"30s",EmployeeData[[#This Row],[Age]]&lt;50,"40s",EmployeeData[[#This Row],[Age]]&lt;60,"50s",EmployeeData[[#This Row],[Age]]&gt;=60,"60s")</f>
        <v>40s</v>
      </c>
      <c r="G12" s="5">
        <v>43999</v>
      </c>
      <c r="I12" t="s">
        <v>17</v>
      </c>
      <c r="J12" t="s">
        <v>18</v>
      </c>
      <c r="K12" cm="1">
        <f t="array" aca="1" ref="K12" ca="1">_xlfn.IFS(EmployeeData[[#This Row],[Status]]="Active",_xlfn.DAYS(TODAY(),EmployeeData[[#This Row],[Join Date]]),EmployeeData[[#This Row],[Status]]="Exited",_xlfn.DAYS(EmployeeData[[#This Row],[Exit Date]],EmployeeData[[#This Row],[Join Date]]))</f>
        <v>2198</v>
      </c>
      <c r="L12" cm="1">
        <f t="array" aca="1" ref="L12" ca="1">_xlfn.IFS(EmployeeData[[#This Row],[Status]]="Exited",DATEDIF(EmployeeData[[#This Row],[Join Date]], EmployeeData[[#This Row],[Exit Date]], "Y"),EmployeeData[[#This Row],[Status]]="Active",DATEDIF(EmployeeData[[#This Row],[Join Date]], TODAY(), "Y"))</f>
        <v>6</v>
      </c>
      <c r="Q12" t="str" cm="1">
        <f t="array" aca="1" ref="Q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7 days</v>
      </c>
    </row>
    <row r="13" spans="1:17" x14ac:dyDescent="0.3">
      <c r="A13">
        <v>1012</v>
      </c>
      <c r="B13" t="s">
        <v>1068</v>
      </c>
      <c r="C13" t="s">
        <v>33</v>
      </c>
      <c r="D13" t="s">
        <v>16</v>
      </c>
      <c r="E13">
        <v>31</v>
      </c>
      <c r="F13" t="str" cm="1">
        <f t="array" ref="F13">_xlfn.IFS(EmployeeData[[#This Row],[Age]]&lt;30,"20s",EmployeeData[[#This Row],[Age]]&lt;40,"30s",EmployeeData[[#This Row],[Age]]&lt;50,"40s",EmployeeData[[#This Row],[Age]]&lt;60,"50s",EmployeeData[[#This Row],[Age]]&gt;=60,"60s")</f>
        <v>30s</v>
      </c>
      <c r="G13" s="5">
        <v>45888</v>
      </c>
      <c r="I13" t="s">
        <v>17</v>
      </c>
      <c r="J13" t="s">
        <v>18</v>
      </c>
      <c r="K13" cm="1">
        <f t="array" aca="1" ref="K13" ca="1">_xlfn.IFS(EmployeeData[[#This Row],[Status]]="Active",_xlfn.DAYS(TODAY(),EmployeeData[[#This Row],[Join Date]]),EmployeeData[[#This Row],[Status]]="Exited",_xlfn.DAYS(EmployeeData[[#This Row],[Exit Date]],EmployeeData[[#This Row],[Join Date]]))</f>
        <v>309</v>
      </c>
      <c r="L13" cm="1">
        <f t="array" aca="1" ref="L13" ca="1">_xlfn.IFS(EmployeeData[[#This Row],[Status]]="Exited",DATEDIF(EmployeeData[[#This Row],[Join Date]], EmployeeData[[#This Row],[Exit Date]], "Y"),EmployeeData[[#This Row],[Status]]="Active",DATEDIF(EmployeeData[[#This Row],[Join Date]], TODAY(), "Y"))</f>
        <v>0</v>
      </c>
      <c r="Q13" t="str" cm="1">
        <f t="array" aca="1" ref="Q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5 days</v>
      </c>
    </row>
    <row r="14" spans="1:17" x14ac:dyDescent="0.3">
      <c r="A14">
        <v>1013</v>
      </c>
      <c r="B14" t="s">
        <v>633</v>
      </c>
      <c r="C14" t="s">
        <v>23</v>
      </c>
      <c r="D14" t="s">
        <v>11</v>
      </c>
      <c r="E14">
        <v>21</v>
      </c>
      <c r="F14" t="str" cm="1">
        <f t="array" ref="F14">_xlfn.IFS(EmployeeData[[#This Row],[Age]]&lt;30,"20s",EmployeeData[[#This Row],[Age]]&lt;40,"30s",EmployeeData[[#This Row],[Age]]&lt;50,"40s",EmployeeData[[#This Row],[Age]]&lt;60,"50s",EmployeeData[[#This Row],[Age]]&gt;=60,"60s")</f>
        <v>20s</v>
      </c>
      <c r="G14" s="5">
        <v>45887</v>
      </c>
      <c r="I14" t="s">
        <v>17</v>
      </c>
      <c r="J14" t="s">
        <v>18</v>
      </c>
      <c r="K14" cm="1">
        <f t="array" aca="1" ref="K14" ca="1">_xlfn.IFS(EmployeeData[[#This Row],[Status]]="Active",_xlfn.DAYS(TODAY(),EmployeeData[[#This Row],[Join Date]]),EmployeeData[[#This Row],[Status]]="Exited",_xlfn.DAYS(EmployeeData[[#This Row],[Exit Date]],EmployeeData[[#This Row],[Join Date]]))</f>
        <v>310</v>
      </c>
      <c r="L14" cm="1">
        <f t="array" aca="1" ref="L14" ca="1">_xlfn.IFS(EmployeeData[[#This Row],[Status]]="Exited",DATEDIF(EmployeeData[[#This Row],[Join Date]], EmployeeData[[#This Row],[Exit Date]], "Y"),EmployeeData[[#This Row],[Status]]="Active",DATEDIF(EmployeeData[[#This Row],[Join Date]], TODAY(), "Y"))</f>
        <v>0</v>
      </c>
      <c r="Q14" t="str" cm="1">
        <f t="array" aca="1" ref="Q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6 days</v>
      </c>
    </row>
    <row r="15" spans="1:17" x14ac:dyDescent="0.3">
      <c r="A15">
        <v>1014</v>
      </c>
      <c r="B15" t="s">
        <v>1024</v>
      </c>
      <c r="C15" t="s">
        <v>10</v>
      </c>
      <c r="D15" t="s">
        <v>16</v>
      </c>
      <c r="E15">
        <v>31</v>
      </c>
      <c r="F15" t="str" cm="1">
        <f t="array" ref="F15">_xlfn.IFS(EmployeeData[[#This Row],[Age]]&lt;30,"20s",EmployeeData[[#This Row],[Age]]&lt;40,"30s",EmployeeData[[#This Row],[Age]]&lt;50,"40s",EmployeeData[[#This Row],[Age]]&lt;60,"50s",EmployeeData[[#This Row],[Age]]&gt;=60,"60s")</f>
        <v>30s</v>
      </c>
      <c r="G15" s="5">
        <v>44959</v>
      </c>
      <c r="H15" s="5">
        <v>45588</v>
      </c>
      <c r="I15" t="s">
        <v>21</v>
      </c>
      <c r="J15" t="s">
        <v>13</v>
      </c>
      <c r="K15" cm="1">
        <f t="array" aca="1" ref="K15" ca="1">_xlfn.IFS(EmployeeData[[#This Row],[Status]]="Active",_xlfn.DAYS(TODAY(),EmployeeData[[#This Row],[Join Date]]),EmployeeData[[#This Row],[Status]]="Exited",_xlfn.DAYS(EmployeeData[[#This Row],[Exit Date]],EmployeeData[[#This Row],[Join Date]]))</f>
        <v>629</v>
      </c>
      <c r="L15" cm="1">
        <f t="array" aca="1" ref="L15" ca="1">_xlfn.IFS(EmployeeData[[#This Row],[Status]]="Exited",DATEDIF(EmployeeData[[#This Row],[Join Date]], EmployeeData[[#This Row],[Exit Date]], "Y"),EmployeeData[[#This Row],[Status]]="Active",DATEDIF(EmployeeData[[#This Row],[Join Date]], TODAY(), "Y"))</f>
        <v>1</v>
      </c>
      <c r="Q15" t="str" cm="1">
        <f t="array" aca="1" ref="Q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21 days</v>
      </c>
    </row>
    <row r="16" spans="1:17" x14ac:dyDescent="0.3">
      <c r="A16">
        <v>1015</v>
      </c>
      <c r="B16" t="s">
        <v>922</v>
      </c>
      <c r="C16" t="s">
        <v>33</v>
      </c>
      <c r="D16" t="s">
        <v>16</v>
      </c>
      <c r="E16">
        <v>53</v>
      </c>
      <c r="F16" t="str" cm="1">
        <f t="array" ref="F16">_xlfn.IFS(EmployeeData[[#This Row],[Age]]&lt;30,"20s",EmployeeData[[#This Row],[Age]]&lt;40,"30s",EmployeeData[[#This Row],[Age]]&lt;50,"40s",EmployeeData[[#This Row],[Age]]&lt;60,"50s",EmployeeData[[#This Row],[Age]]&gt;=60,"60s")</f>
        <v>50s</v>
      </c>
      <c r="G16" s="5">
        <v>45595</v>
      </c>
      <c r="H16" s="5">
        <v>45876</v>
      </c>
      <c r="I16" t="s">
        <v>34</v>
      </c>
      <c r="J16" t="s">
        <v>13</v>
      </c>
      <c r="K16" cm="1">
        <f t="array" aca="1" ref="K16" ca="1">_xlfn.IFS(EmployeeData[[#This Row],[Status]]="Active",_xlfn.DAYS(TODAY(),EmployeeData[[#This Row],[Join Date]]),EmployeeData[[#This Row],[Status]]="Exited",_xlfn.DAYS(EmployeeData[[#This Row],[Exit Date]],EmployeeData[[#This Row],[Join Date]]))</f>
        <v>281</v>
      </c>
      <c r="L16" cm="1">
        <f t="array" aca="1" ref="L16" ca="1">_xlfn.IFS(EmployeeData[[#This Row],[Status]]="Exited",DATEDIF(EmployeeData[[#This Row],[Join Date]], EmployeeData[[#This Row],[Exit Date]], "Y"),EmployeeData[[#This Row],[Status]]="Active",DATEDIF(EmployeeData[[#This Row],[Join Date]], TODAY(), "Y"))</f>
        <v>0</v>
      </c>
      <c r="Q16" t="str" cm="1">
        <f t="array" aca="1" ref="Q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8 days</v>
      </c>
    </row>
    <row r="17" spans="1:17" x14ac:dyDescent="0.3">
      <c r="A17">
        <v>1016</v>
      </c>
      <c r="B17" t="s">
        <v>376</v>
      </c>
      <c r="C17" t="s">
        <v>23</v>
      </c>
      <c r="D17" t="s">
        <v>24</v>
      </c>
      <c r="E17">
        <v>28</v>
      </c>
      <c r="F17" t="str" cm="1">
        <f t="array" ref="F17">_xlfn.IFS(EmployeeData[[#This Row],[Age]]&lt;30,"20s",EmployeeData[[#This Row],[Age]]&lt;40,"30s",EmployeeData[[#This Row],[Age]]&lt;50,"40s",EmployeeData[[#This Row],[Age]]&lt;60,"50s",EmployeeData[[#This Row],[Age]]&gt;=60,"60s")</f>
        <v>20s</v>
      </c>
      <c r="G17" s="5">
        <v>44587</v>
      </c>
      <c r="I17" t="s">
        <v>17</v>
      </c>
      <c r="J17" t="s">
        <v>18</v>
      </c>
      <c r="K17" cm="1">
        <f t="array" aca="1" ref="K17" ca="1">_xlfn.IFS(EmployeeData[[#This Row],[Status]]="Active",_xlfn.DAYS(TODAY(),EmployeeData[[#This Row],[Join Date]]),EmployeeData[[#This Row],[Status]]="Exited",_xlfn.DAYS(EmployeeData[[#This Row],[Exit Date]],EmployeeData[[#This Row],[Join Date]]))</f>
        <v>1610</v>
      </c>
      <c r="L17" cm="1">
        <f t="array" aca="1" ref="L17" ca="1">_xlfn.IFS(EmployeeData[[#This Row],[Status]]="Exited",DATEDIF(EmployeeData[[#This Row],[Join Date]], EmployeeData[[#This Row],[Exit Date]], "Y"),EmployeeData[[#This Row],[Status]]="Active",DATEDIF(EmployeeData[[#This Row],[Join Date]], TODAY(), "Y"))</f>
        <v>4</v>
      </c>
      <c r="Q17" t="str" cm="1">
        <f t="array" aca="1" ref="Q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29 days</v>
      </c>
    </row>
    <row r="18" spans="1:17" x14ac:dyDescent="0.3">
      <c r="A18">
        <v>1017</v>
      </c>
      <c r="B18" t="s">
        <v>944</v>
      </c>
      <c r="C18" t="s">
        <v>15</v>
      </c>
      <c r="D18" t="s">
        <v>24</v>
      </c>
      <c r="E18">
        <v>25</v>
      </c>
      <c r="F18" t="str" cm="1">
        <f t="array" ref="F18">_xlfn.IFS(EmployeeData[[#This Row],[Age]]&lt;30,"20s",EmployeeData[[#This Row],[Age]]&lt;40,"30s",EmployeeData[[#This Row],[Age]]&lt;50,"40s",EmployeeData[[#This Row],[Age]]&lt;60,"50s",EmployeeData[[#This Row],[Age]]&gt;=60,"60s")</f>
        <v>20s</v>
      </c>
      <c r="G18" s="5">
        <v>45282</v>
      </c>
      <c r="I18" t="s">
        <v>17</v>
      </c>
      <c r="J18" t="s">
        <v>18</v>
      </c>
      <c r="K18" cm="1">
        <f t="array" aca="1" ref="K18" ca="1">_xlfn.IFS(EmployeeData[[#This Row],[Status]]="Active",_xlfn.DAYS(TODAY(),EmployeeData[[#This Row],[Join Date]]),EmployeeData[[#This Row],[Status]]="Exited",_xlfn.DAYS(EmployeeData[[#This Row],[Exit Date]],EmployeeData[[#This Row],[Join Date]]))</f>
        <v>915</v>
      </c>
      <c r="L18" cm="1">
        <f t="array" aca="1" ref="L18" ca="1">_xlfn.IFS(EmployeeData[[#This Row],[Status]]="Exited",DATEDIF(EmployeeData[[#This Row],[Join Date]], EmployeeData[[#This Row],[Exit Date]], "Y"),EmployeeData[[#This Row],[Status]]="Active",DATEDIF(EmployeeData[[#This Row],[Join Date]], TODAY(), "Y"))</f>
        <v>2</v>
      </c>
      <c r="Q18" t="str" cm="1">
        <f t="array" aca="1" ref="Q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 days</v>
      </c>
    </row>
    <row r="19" spans="1:17" x14ac:dyDescent="0.3">
      <c r="A19">
        <v>1018</v>
      </c>
      <c r="B19" t="s">
        <v>244</v>
      </c>
      <c r="C19" t="s">
        <v>10</v>
      </c>
      <c r="D19" t="s">
        <v>11</v>
      </c>
      <c r="E19">
        <v>48</v>
      </c>
      <c r="F19" t="str" cm="1">
        <f t="array" ref="F19">_xlfn.IFS(EmployeeData[[#This Row],[Age]]&lt;30,"20s",EmployeeData[[#This Row],[Age]]&lt;40,"30s",EmployeeData[[#This Row],[Age]]&lt;50,"40s",EmployeeData[[#This Row],[Age]]&lt;60,"50s",EmployeeData[[#This Row],[Age]]&gt;=60,"60s")</f>
        <v>40s</v>
      </c>
      <c r="G19" s="5">
        <v>43968</v>
      </c>
      <c r="I19" t="s">
        <v>17</v>
      </c>
      <c r="J19" t="s">
        <v>18</v>
      </c>
      <c r="K19" cm="1">
        <f t="array" aca="1" ref="K19" ca="1">_xlfn.IFS(EmployeeData[[#This Row],[Status]]="Active",_xlfn.DAYS(TODAY(),EmployeeData[[#This Row],[Join Date]]),EmployeeData[[#This Row],[Status]]="Exited",_xlfn.DAYS(EmployeeData[[#This Row],[Exit Date]],EmployeeData[[#This Row],[Join Date]]))</f>
        <v>2229</v>
      </c>
      <c r="L19" cm="1">
        <f t="array" aca="1" ref="L19" ca="1">_xlfn.IFS(EmployeeData[[#This Row],[Status]]="Exited",DATEDIF(EmployeeData[[#This Row],[Join Date]], EmployeeData[[#This Row],[Exit Date]], "Y"),EmployeeData[[#This Row],[Status]]="Active",DATEDIF(EmployeeData[[#This Row],[Join Date]], TODAY(), "Y"))</f>
        <v>6</v>
      </c>
      <c r="Q19" t="str" cm="1">
        <f t="array" aca="1" ref="Q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7 days</v>
      </c>
    </row>
    <row r="20" spans="1:17" x14ac:dyDescent="0.3">
      <c r="A20">
        <v>1019</v>
      </c>
      <c r="B20" t="s">
        <v>275</v>
      </c>
      <c r="C20" t="s">
        <v>10</v>
      </c>
      <c r="D20" t="s">
        <v>24</v>
      </c>
      <c r="E20">
        <v>28</v>
      </c>
      <c r="F20" t="str" cm="1">
        <f t="array" ref="F20">_xlfn.IFS(EmployeeData[[#This Row],[Age]]&lt;30,"20s",EmployeeData[[#This Row],[Age]]&lt;40,"30s",EmployeeData[[#This Row],[Age]]&lt;50,"40s",EmployeeData[[#This Row],[Age]]&lt;60,"50s",EmployeeData[[#This Row],[Age]]&gt;=60,"60s")</f>
        <v>20s</v>
      </c>
      <c r="G20" s="5">
        <v>44116</v>
      </c>
      <c r="H20" s="5">
        <v>44898</v>
      </c>
      <c r="I20" t="s">
        <v>31</v>
      </c>
      <c r="J20" t="s">
        <v>13</v>
      </c>
      <c r="K20" cm="1">
        <f t="array" aca="1" ref="K20" ca="1">_xlfn.IFS(EmployeeData[[#This Row],[Status]]="Active",_xlfn.DAYS(TODAY(),EmployeeData[[#This Row],[Join Date]]),EmployeeData[[#This Row],[Status]]="Exited",_xlfn.DAYS(EmployeeData[[#This Row],[Exit Date]],EmployeeData[[#This Row],[Join Date]]))</f>
        <v>782</v>
      </c>
      <c r="L20" cm="1">
        <f t="array" aca="1" ref="L20" ca="1">_xlfn.IFS(EmployeeData[[#This Row],[Status]]="Exited",DATEDIF(EmployeeData[[#This Row],[Join Date]], EmployeeData[[#This Row],[Exit Date]], "Y"),EmployeeData[[#This Row],[Status]]="Active",DATEDIF(EmployeeData[[#This Row],[Join Date]], TODAY(), "Y"))</f>
        <v>2</v>
      </c>
      <c r="Q20" t="str" cm="1">
        <f t="array" aca="1" ref="Q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21 days</v>
      </c>
    </row>
    <row r="21" spans="1:17" x14ac:dyDescent="0.3">
      <c r="A21">
        <v>1020</v>
      </c>
      <c r="B21" t="s">
        <v>835</v>
      </c>
      <c r="C21" t="s">
        <v>15</v>
      </c>
      <c r="D21" t="s">
        <v>24</v>
      </c>
      <c r="E21">
        <v>35</v>
      </c>
      <c r="F21" t="str" cm="1">
        <f t="array" ref="F21">_xlfn.IFS(EmployeeData[[#This Row],[Age]]&lt;30,"20s",EmployeeData[[#This Row],[Age]]&lt;40,"30s",EmployeeData[[#This Row],[Age]]&lt;50,"40s",EmployeeData[[#This Row],[Age]]&lt;60,"50s",EmployeeData[[#This Row],[Age]]&gt;=60,"60s")</f>
        <v>30s</v>
      </c>
      <c r="G21" s="5">
        <v>43377</v>
      </c>
      <c r="I21" t="s">
        <v>17</v>
      </c>
      <c r="J21" t="s">
        <v>18</v>
      </c>
      <c r="K21" cm="1">
        <f t="array" aca="1" ref="K21" ca="1">_xlfn.IFS(EmployeeData[[#This Row],[Status]]="Active",_xlfn.DAYS(TODAY(),EmployeeData[[#This Row],[Join Date]]),EmployeeData[[#This Row],[Status]]="Exited",_xlfn.DAYS(EmployeeData[[#This Row],[Exit Date]],EmployeeData[[#This Row],[Join Date]]))</f>
        <v>2820</v>
      </c>
      <c r="L21" cm="1">
        <f t="array" aca="1" ref="L21" ca="1">_xlfn.IFS(EmployeeData[[#This Row],[Status]]="Exited",DATEDIF(EmployeeData[[#This Row],[Join Date]], EmployeeData[[#This Row],[Exit Date]], "Y"),EmployeeData[[#This Row],[Status]]="Active",DATEDIF(EmployeeData[[#This Row],[Join Date]], TODAY(), "Y"))</f>
        <v>7</v>
      </c>
      <c r="Q21" t="str" cm="1">
        <f t="array" aca="1" ref="Q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20 days</v>
      </c>
    </row>
    <row r="22" spans="1:17" x14ac:dyDescent="0.3">
      <c r="A22">
        <v>1021</v>
      </c>
      <c r="B22" t="s">
        <v>190</v>
      </c>
      <c r="C22" t="s">
        <v>20</v>
      </c>
      <c r="D22" t="s">
        <v>16</v>
      </c>
      <c r="E22">
        <v>29</v>
      </c>
      <c r="F22" t="str" cm="1">
        <f t="array" ref="F22">_xlfn.IFS(EmployeeData[[#This Row],[Age]]&lt;30,"20s",EmployeeData[[#This Row],[Age]]&lt;40,"30s",EmployeeData[[#This Row],[Age]]&lt;50,"40s",EmployeeData[[#This Row],[Age]]&lt;60,"50s",EmployeeData[[#This Row],[Age]]&gt;=60,"60s")</f>
        <v>20s</v>
      </c>
      <c r="G22" s="5">
        <v>45439</v>
      </c>
      <c r="I22" t="s">
        <v>17</v>
      </c>
      <c r="J22" t="s">
        <v>18</v>
      </c>
      <c r="K22" cm="1">
        <f t="array" aca="1" ref="K22" ca="1">_xlfn.IFS(EmployeeData[[#This Row],[Status]]="Active",_xlfn.DAYS(TODAY(),EmployeeData[[#This Row],[Join Date]]),EmployeeData[[#This Row],[Status]]="Exited",_xlfn.DAYS(EmployeeData[[#This Row],[Exit Date]],EmployeeData[[#This Row],[Join Date]]))</f>
        <v>758</v>
      </c>
      <c r="L22" cm="1">
        <f t="array" aca="1" ref="L22" ca="1">_xlfn.IFS(EmployeeData[[#This Row],[Status]]="Exited",DATEDIF(EmployeeData[[#This Row],[Join Date]], EmployeeData[[#This Row],[Exit Date]], "Y"),EmployeeData[[#This Row],[Status]]="Active",DATEDIF(EmployeeData[[#This Row],[Join Date]], TODAY(), "Y"))</f>
        <v>2</v>
      </c>
      <c r="Q22" t="str" cm="1">
        <f t="array" aca="1" ref="Q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28 days</v>
      </c>
    </row>
    <row r="23" spans="1:17" x14ac:dyDescent="0.3">
      <c r="A23">
        <v>1022</v>
      </c>
      <c r="B23" t="s">
        <v>1002</v>
      </c>
      <c r="C23" t="s">
        <v>15</v>
      </c>
      <c r="D23" t="s">
        <v>16</v>
      </c>
      <c r="E23">
        <v>48</v>
      </c>
      <c r="F23" t="str" cm="1">
        <f t="array" ref="F23">_xlfn.IFS(EmployeeData[[#This Row],[Age]]&lt;30,"20s",EmployeeData[[#This Row],[Age]]&lt;40,"30s",EmployeeData[[#This Row],[Age]]&lt;50,"40s",EmployeeData[[#This Row],[Age]]&lt;60,"50s",EmployeeData[[#This Row],[Age]]&gt;=60,"60s")</f>
        <v>40s</v>
      </c>
      <c r="G23" s="5">
        <v>44552</v>
      </c>
      <c r="I23" t="s">
        <v>17</v>
      </c>
      <c r="J23" t="s">
        <v>18</v>
      </c>
      <c r="K23" cm="1">
        <f t="array" aca="1" ref="K23" ca="1">_xlfn.IFS(EmployeeData[[#This Row],[Status]]="Active",_xlfn.DAYS(TODAY(),EmployeeData[[#This Row],[Join Date]]),EmployeeData[[#This Row],[Status]]="Exited",_xlfn.DAYS(EmployeeData[[#This Row],[Exit Date]],EmployeeData[[#This Row],[Join Date]]))</f>
        <v>1645</v>
      </c>
      <c r="L23" cm="1">
        <f t="array" aca="1" ref="L23" ca="1">_xlfn.IFS(EmployeeData[[#This Row],[Status]]="Exited",DATEDIF(EmployeeData[[#This Row],[Join Date]], EmployeeData[[#This Row],[Exit Date]], "Y"),EmployeeData[[#This Row],[Status]]="Active",DATEDIF(EmployeeData[[#This Row],[Join Date]], TODAY(), "Y"))</f>
        <v>4</v>
      </c>
      <c r="Q23" t="str" cm="1">
        <f t="array" aca="1" ref="Q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2 days</v>
      </c>
    </row>
    <row r="24" spans="1:17" x14ac:dyDescent="0.3">
      <c r="A24">
        <v>1023</v>
      </c>
      <c r="B24" t="s">
        <v>116</v>
      </c>
      <c r="C24" t="s">
        <v>15</v>
      </c>
      <c r="D24" t="s">
        <v>11</v>
      </c>
      <c r="E24">
        <v>27</v>
      </c>
      <c r="F24" t="str" cm="1">
        <f t="array" ref="F24">_xlfn.IFS(EmployeeData[[#This Row],[Age]]&lt;30,"20s",EmployeeData[[#This Row],[Age]]&lt;40,"30s",EmployeeData[[#This Row],[Age]]&lt;50,"40s",EmployeeData[[#This Row],[Age]]&lt;60,"50s",EmployeeData[[#This Row],[Age]]&gt;=60,"60s")</f>
        <v>20s</v>
      </c>
      <c r="G24" s="5">
        <v>44119</v>
      </c>
      <c r="H24" s="5">
        <v>45307</v>
      </c>
      <c r="I24" t="s">
        <v>12</v>
      </c>
      <c r="J24" t="s">
        <v>13</v>
      </c>
      <c r="K24" cm="1">
        <f t="array" aca="1" ref="K24" ca="1">_xlfn.IFS(EmployeeData[[#This Row],[Status]]="Active",_xlfn.DAYS(TODAY(),EmployeeData[[#This Row],[Join Date]]),EmployeeData[[#This Row],[Status]]="Exited",_xlfn.DAYS(EmployeeData[[#This Row],[Exit Date]],EmployeeData[[#This Row],[Join Date]]))</f>
        <v>1188</v>
      </c>
      <c r="L24" cm="1">
        <f t="array" aca="1" ref="L24" ca="1">_xlfn.IFS(EmployeeData[[#This Row],[Status]]="Exited",DATEDIF(EmployeeData[[#This Row],[Join Date]], EmployeeData[[#This Row],[Exit Date]], "Y"),EmployeeData[[#This Row],[Status]]="Active",DATEDIF(EmployeeData[[#This Row],[Join Date]], TODAY(), "Y"))</f>
        <v>3</v>
      </c>
      <c r="Q24" t="str" cm="1">
        <f t="array" aca="1" ref="Q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1 days</v>
      </c>
    </row>
    <row r="25" spans="1:17" x14ac:dyDescent="0.3">
      <c r="A25">
        <v>1024</v>
      </c>
      <c r="B25" t="s">
        <v>207</v>
      </c>
      <c r="C25" t="s">
        <v>33</v>
      </c>
      <c r="D25" t="s">
        <v>16</v>
      </c>
      <c r="E25">
        <v>56</v>
      </c>
      <c r="F25" t="str" cm="1">
        <f t="array" ref="F25">_xlfn.IFS(EmployeeData[[#This Row],[Age]]&lt;30,"20s",EmployeeData[[#This Row],[Age]]&lt;40,"30s",EmployeeData[[#This Row],[Age]]&lt;50,"40s",EmployeeData[[#This Row],[Age]]&lt;60,"50s",EmployeeData[[#This Row],[Age]]&gt;=60,"60s")</f>
        <v>50s</v>
      </c>
      <c r="G25" s="5">
        <v>43502</v>
      </c>
      <c r="H25" s="5">
        <v>43652</v>
      </c>
      <c r="I25" t="s">
        <v>21</v>
      </c>
      <c r="J25" t="s">
        <v>13</v>
      </c>
      <c r="K25" cm="1">
        <f t="array" aca="1" ref="K25" ca="1">_xlfn.IFS(EmployeeData[[#This Row],[Status]]="Active",_xlfn.DAYS(TODAY(),EmployeeData[[#This Row],[Join Date]]),EmployeeData[[#This Row],[Status]]="Exited",_xlfn.DAYS(EmployeeData[[#This Row],[Exit Date]],EmployeeData[[#This Row],[Join Date]]))</f>
        <v>150</v>
      </c>
      <c r="L25" cm="1">
        <f t="array" aca="1" ref="L25" ca="1">_xlfn.IFS(EmployeeData[[#This Row],[Status]]="Exited",DATEDIF(EmployeeData[[#This Row],[Join Date]], EmployeeData[[#This Row],[Exit Date]], "Y"),EmployeeData[[#This Row],[Status]]="Active",DATEDIF(EmployeeData[[#This Row],[Join Date]], TODAY(), "Y"))</f>
        <v>0</v>
      </c>
      <c r="Q25" t="str" cm="1">
        <f t="array" aca="1" ref="Q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0 days</v>
      </c>
    </row>
    <row r="26" spans="1:17" x14ac:dyDescent="0.3">
      <c r="A26">
        <v>1025</v>
      </c>
      <c r="B26" t="s">
        <v>854</v>
      </c>
      <c r="C26" t="s">
        <v>15</v>
      </c>
      <c r="D26" t="s">
        <v>24</v>
      </c>
      <c r="E26">
        <v>64</v>
      </c>
      <c r="F26" t="str" cm="1">
        <f t="array" ref="F26">_xlfn.IFS(EmployeeData[[#This Row],[Age]]&lt;30,"20s",EmployeeData[[#This Row],[Age]]&lt;40,"30s",EmployeeData[[#This Row],[Age]]&lt;50,"40s",EmployeeData[[#This Row],[Age]]&lt;60,"50s",EmployeeData[[#This Row],[Age]]&gt;=60,"60s")</f>
        <v>60s</v>
      </c>
      <c r="G26" s="5">
        <v>43775</v>
      </c>
      <c r="H26" s="5">
        <v>45464</v>
      </c>
      <c r="I26" t="s">
        <v>26</v>
      </c>
      <c r="J26" t="s">
        <v>13</v>
      </c>
      <c r="K26" cm="1">
        <f t="array" aca="1" ref="K26" ca="1">_xlfn.IFS(EmployeeData[[#This Row],[Status]]="Active",_xlfn.DAYS(TODAY(),EmployeeData[[#This Row],[Join Date]]),EmployeeData[[#This Row],[Status]]="Exited",_xlfn.DAYS(EmployeeData[[#This Row],[Exit Date]],EmployeeData[[#This Row],[Join Date]]))</f>
        <v>1689</v>
      </c>
      <c r="L26" cm="1">
        <f t="array" aca="1" ref="L26" ca="1">_xlfn.IFS(EmployeeData[[#This Row],[Status]]="Exited",DATEDIF(EmployeeData[[#This Row],[Join Date]], EmployeeData[[#This Row],[Exit Date]], "Y"),EmployeeData[[#This Row],[Status]]="Active",DATEDIF(EmployeeData[[#This Row],[Join Date]], TODAY(), "Y"))</f>
        <v>4</v>
      </c>
      <c r="Q26" t="str" cm="1">
        <f t="array" aca="1" ref="Q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15 days</v>
      </c>
    </row>
    <row r="27" spans="1:17" x14ac:dyDescent="0.3">
      <c r="A27">
        <v>1026</v>
      </c>
      <c r="B27" t="s">
        <v>19</v>
      </c>
      <c r="C27" t="s">
        <v>20</v>
      </c>
      <c r="D27" t="s">
        <v>11</v>
      </c>
      <c r="E27">
        <v>52</v>
      </c>
      <c r="F27" t="str" cm="1">
        <f t="array" ref="F27">_xlfn.IFS(EmployeeData[[#This Row],[Age]]&lt;30,"20s",EmployeeData[[#This Row],[Age]]&lt;40,"30s",EmployeeData[[#This Row],[Age]]&lt;50,"40s",EmployeeData[[#This Row],[Age]]&lt;60,"50s",EmployeeData[[#This Row],[Age]]&gt;=60,"60s")</f>
        <v>50s</v>
      </c>
      <c r="G27" s="5">
        <v>43735</v>
      </c>
      <c r="H27" s="5">
        <v>44716</v>
      </c>
      <c r="I27" t="s">
        <v>21</v>
      </c>
      <c r="J27" t="s">
        <v>13</v>
      </c>
      <c r="K27" cm="1">
        <f t="array" aca="1" ref="K27" ca="1">_xlfn.IFS(EmployeeData[[#This Row],[Status]]="Active",_xlfn.DAYS(TODAY(),EmployeeData[[#This Row],[Join Date]]),EmployeeData[[#This Row],[Status]]="Exited",_xlfn.DAYS(EmployeeData[[#This Row],[Exit Date]],EmployeeData[[#This Row],[Join Date]]))</f>
        <v>981</v>
      </c>
      <c r="L27" cm="1">
        <f t="array" aca="1" ref="L27" ca="1">_xlfn.IFS(EmployeeData[[#This Row],[Status]]="Exited",DATEDIF(EmployeeData[[#This Row],[Join Date]], EmployeeData[[#This Row],[Exit Date]], "Y"),EmployeeData[[#This Row],[Status]]="Active",DATEDIF(EmployeeData[[#This Row],[Join Date]], TODAY(), "Y"))</f>
        <v>2</v>
      </c>
      <c r="Q27" t="str" cm="1">
        <f t="array" aca="1" ref="Q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8 days</v>
      </c>
    </row>
    <row r="28" spans="1:17" x14ac:dyDescent="0.3">
      <c r="A28">
        <v>1027</v>
      </c>
      <c r="B28" t="s">
        <v>530</v>
      </c>
      <c r="C28" t="s">
        <v>15</v>
      </c>
      <c r="D28" t="s">
        <v>24</v>
      </c>
      <c r="E28">
        <v>53</v>
      </c>
      <c r="F28" t="str" cm="1">
        <f t="array" ref="F28">_xlfn.IFS(EmployeeData[[#This Row],[Age]]&lt;30,"20s",EmployeeData[[#This Row],[Age]]&lt;40,"30s",EmployeeData[[#This Row],[Age]]&lt;50,"40s",EmployeeData[[#This Row],[Age]]&lt;60,"50s",EmployeeData[[#This Row],[Age]]&gt;=60,"60s")</f>
        <v>50s</v>
      </c>
      <c r="G28" s="5">
        <v>45276</v>
      </c>
      <c r="H28" s="5">
        <v>45886</v>
      </c>
      <c r="I28" t="s">
        <v>31</v>
      </c>
      <c r="J28" t="s">
        <v>13</v>
      </c>
      <c r="K28" cm="1">
        <f t="array" aca="1" ref="K28" ca="1">_xlfn.IFS(EmployeeData[[#This Row],[Status]]="Active",_xlfn.DAYS(TODAY(),EmployeeData[[#This Row],[Join Date]]),EmployeeData[[#This Row],[Status]]="Exited",_xlfn.DAYS(EmployeeData[[#This Row],[Exit Date]],EmployeeData[[#This Row],[Join Date]]))</f>
        <v>610</v>
      </c>
      <c r="L28" cm="1">
        <f t="array" aca="1" ref="L28" ca="1">_xlfn.IFS(EmployeeData[[#This Row],[Status]]="Exited",DATEDIF(EmployeeData[[#This Row],[Join Date]], EmployeeData[[#This Row],[Exit Date]], "Y"),EmployeeData[[#This Row],[Status]]="Active",DATEDIF(EmployeeData[[#This Row],[Join Date]], TODAY(), "Y"))</f>
        <v>1</v>
      </c>
      <c r="Q28" t="str" cm="1">
        <f t="array" aca="1" ref="Q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1 days</v>
      </c>
    </row>
    <row r="29" spans="1:17" x14ac:dyDescent="0.3">
      <c r="A29">
        <v>1028</v>
      </c>
      <c r="B29" t="s">
        <v>226</v>
      </c>
      <c r="C29" t="s">
        <v>10</v>
      </c>
      <c r="D29" t="s">
        <v>11</v>
      </c>
      <c r="E29">
        <v>57</v>
      </c>
      <c r="F29" t="str" cm="1">
        <f t="array" ref="F29">_xlfn.IFS(EmployeeData[[#This Row],[Age]]&lt;30,"20s",EmployeeData[[#This Row],[Age]]&lt;40,"30s",EmployeeData[[#This Row],[Age]]&lt;50,"40s",EmployeeData[[#This Row],[Age]]&lt;60,"50s",EmployeeData[[#This Row],[Age]]&gt;=60,"60s")</f>
        <v>50s</v>
      </c>
      <c r="G29" s="5">
        <v>44109</v>
      </c>
      <c r="I29" t="s">
        <v>17</v>
      </c>
      <c r="J29" t="s">
        <v>18</v>
      </c>
      <c r="K29" cm="1">
        <f t="array" aca="1" ref="K29" ca="1">_xlfn.IFS(EmployeeData[[#This Row],[Status]]="Active",_xlfn.DAYS(TODAY(),EmployeeData[[#This Row],[Join Date]]),EmployeeData[[#This Row],[Status]]="Exited",_xlfn.DAYS(EmployeeData[[#This Row],[Exit Date]],EmployeeData[[#This Row],[Join Date]]))</f>
        <v>2088</v>
      </c>
      <c r="L29" cm="1">
        <f t="array" aca="1" ref="L29" ca="1">_xlfn.IFS(EmployeeData[[#This Row],[Status]]="Exited",DATEDIF(EmployeeData[[#This Row],[Join Date]], EmployeeData[[#This Row],[Exit Date]], "Y"),EmployeeData[[#This Row],[Status]]="Active",DATEDIF(EmployeeData[[#This Row],[Join Date]], TODAY(), "Y"))</f>
        <v>5</v>
      </c>
      <c r="Q29" t="str" cm="1">
        <f t="array" aca="1" ref="Q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19 days</v>
      </c>
    </row>
    <row r="30" spans="1:17" x14ac:dyDescent="0.3">
      <c r="A30">
        <v>1029</v>
      </c>
      <c r="B30" t="s">
        <v>362</v>
      </c>
      <c r="C30" t="s">
        <v>46</v>
      </c>
      <c r="D30" t="s">
        <v>16</v>
      </c>
      <c r="E30">
        <v>41</v>
      </c>
      <c r="F30" t="str" cm="1">
        <f t="array" ref="F30">_xlfn.IFS(EmployeeData[[#This Row],[Age]]&lt;30,"20s",EmployeeData[[#This Row],[Age]]&lt;40,"30s",EmployeeData[[#This Row],[Age]]&lt;50,"40s",EmployeeData[[#This Row],[Age]]&lt;60,"50s",EmployeeData[[#This Row],[Age]]&gt;=60,"60s")</f>
        <v>40s</v>
      </c>
      <c r="G30" s="5">
        <v>44078</v>
      </c>
      <c r="H30" s="5">
        <v>44436</v>
      </c>
      <c r="I30" t="s">
        <v>28</v>
      </c>
      <c r="J30" t="s">
        <v>13</v>
      </c>
      <c r="K30" cm="1">
        <f t="array" aca="1" ref="K30" ca="1">_xlfn.IFS(EmployeeData[[#This Row],[Status]]="Active",_xlfn.DAYS(TODAY(),EmployeeData[[#This Row],[Join Date]]),EmployeeData[[#This Row],[Status]]="Exited",_xlfn.DAYS(EmployeeData[[#This Row],[Exit Date]],EmployeeData[[#This Row],[Join Date]]))</f>
        <v>358</v>
      </c>
      <c r="L30" cm="1">
        <f t="array" aca="1" ref="L30" ca="1">_xlfn.IFS(EmployeeData[[#This Row],[Status]]="Exited",DATEDIF(EmployeeData[[#This Row],[Join Date]], EmployeeData[[#This Row],[Exit Date]], "Y"),EmployeeData[[#This Row],[Status]]="Active",DATEDIF(EmployeeData[[#This Row],[Join Date]], TODAY(), "Y"))</f>
        <v>0</v>
      </c>
      <c r="Q30" t="str" cm="1">
        <f t="array" aca="1" ref="Q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24 days</v>
      </c>
    </row>
    <row r="31" spans="1:17" x14ac:dyDescent="0.3">
      <c r="A31">
        <v>1030</v>
      </c>
      <c r="B31" t="s">
        <v>1050</v>
      </c>
      <c r="C31" t="s">
        <v>15</v>
      </c>
      <c r="D31" t="s">
        <v>24</v>
      </c>
      <c r="E31">
        <v>57</v>
      </c>
      <c r="F31" t="str" cm="1">
        <f t="array" ref="F31">_xlfn.IFS(EmployeeData[[#This Row],[Age]]&lt;30,"20s",EmployeeData[[#This Row],[Age]]&lt;40,"30s",EmployeeData[[#This Row],[Age]]&lt;50,"40s",EmployeeData[[#This Row],[Age]]&lt;60,"50s",EmployeeData[[#This Row],[Age]]&gt;=60,"60s")</f>
        <v>50s</v>
      </c>
      <c r="G31" s="5">
        <v>43510</v>
      </c>
      <c r="H31" s="5">
        <v>44473</v>
      </c>
      <c r="I31" t="s">
        <v>65</v>
      </c>
      <c r="J31" t="s">
        <v>13</v>
      </c>
      <c r="K31" cm="1">
        <f t="array" aca="1" ref="K31" ca="1">_xlfn.IFS(EmployeeData[[#This Row],[Status]]="Active",_xlfn.DAYS(TODAY(),EmployeeData[[#This Row],[Join Date]]),EmployeeData[[#This Row],[Status]]="Exited",_xlfn.DAYS(EmployeeData[[#This Row],[Exit Date]],EmployeeData[[#This Row],[Join Date]]))</f>
        <v>963</v>
      </c>
      <c r="L31" cm="1">
        <f t="array" aca="1" ref="L31" ca="1">_xlfn.IFS(EmployeeData[[#This Row],[Status]]="Exited",DATEDIF(EmployeeData[[#This Row],[Join Date]], EmployeeData[[#This Row],[Exit Date]], "Y"),EmployeeData[[#This Row],[Status]]="Active",DATEDIF(EmployeeData[[#This Row],[Join Date]], TODAY(), "Y"))</f>
        <v>2</v>
      </c>
      <c r="Q31" t="str" cm="1">
        <f t="array" aca="1" ref="Q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20 days</v>
      </c>
    </row>
    <row r="32" spans="1:17" x14ac:dyDescent="0.3">
      <c r="A32">
        <v>1031</v>
      </c>
      <c r="B32" t="s">
        <v>104</v>
      </c>
      <c r="C32" t="s">
        <v>33</v>
      </c>
      <c r="D32" t="s">
        <v>24</v>
      </c>
      <c r="E32">
        <v>31</v>
      </c>
      <c r="F32" t="str" cm="1">
        <f t="array" ref="F32">_xlfn.IFS(EmployeeData[[#This Row],[Age]]&lt;30,"20s",EmployeeData[[#This Row],[Age]]&lt;40,"30s",EmployeeData[[#This Row],[Age]]&lt;50,"40s",EmployeeData[[#This Row],[Age]]&lt;60,"50s",EmployeeData[[#This Row],[Age]]&gt;=60,"60s")</f>
        <v>30s</v>
      </c>
      <c r="G32" s="5">
        <v>44895</v>
      </c>
      <c r="I32" t="s">
        <v>17</v>
      </c>
      <c r="J32" t="s">
        <v>18</v>
      </c>
      <c r="K32" cm="1">
        <f t="array" aca="1" ref="K32" ca="1">_xlfn.IFS(EmployeeData[[#This Row],[Status]]="Active",_xlfn.DAYS(TODAY(),EmployeeData[[#This Row],[Join Date]]),EmployeeData[[#This Row],[Status]]="Exited",_xlfn.DAYS(EmployeeData[[#This Row],[Exit Date]],EmployeeData[[#This Row],[Join Date]]))</f>
        <v>1302</v>
      </c>
      <c r="L32" cm="1">
        <f t="array" aca="1" ref="L32" ca="1">_xlfn.IFS(EmployeeData[[#This Row],[Status]]="Exited",DATEDIF(EmployeeData[[#This Row],[Join Date]], EmployeeData[[#This Row],[Exit Date]], "Y"),EmployeeData[[#This Row],[Status]]="Active",DATEDIF(EmployeeData[[#This Row],[Join Date]], TODAY(), "Y"))</f>
        <v>3</v>
      </c>
      <c r="Q32" t="str" cm="1">
        <f t="array" aca="1" ref="Q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25 days</v>
      </c>
    </row>
    <row r="33" spans="1:17" x14ac:dyDescent="0.3">
      <c r="A33">
        <v>1032</v>
      </c>
      <c r="B33" t="s">
        <v>974</v>
      </c>
      <c r="C33" t="s">
        <v>33</v>
      </c>
      <c r="D33" t="s">
        <v>24</v>
      </c>
      <c r="E33">
        <v>56</v>
      </c>
      <c r="F33" t="str" cm="1">
        <f t="array" ref="F33">_xlfn.IFS(EmployeeData[[#This Row],[Age]]&lt;30,"20s",EmployeeData[[#This Row],[Age]]&lt;40,"30s",EmployeeData[[#This Row],[Age]]&lt;50,"40s",EmployeeData[[#This Row],[Age]]&lt;60,"50s",EmployeeData[[#This Row],[Age]]&gt;=60,"60s")</f>
        <v>50s</v>
      </c>
      <c r="G33" s="5">
        <v>44327</v>
      </c>
      <c r="I33" t="s">
        <v>17</v>
      </c>
      <c r="J33" t="s">
        <v>18</v>
      </c>
      <c r="K33" cm="1">
        <f t="array" aca="1" ref="K33" ca="1">_xlfn.IFS(EmployeeData[[#This Row],[Status]]="Active",_xlfn.DAYS(TODAY(),EmployeeData[[#This Row],[Join Date]]),EmployeeData[[#This Row],[Status]]="Exited",_xlfn.DAYS(EmployeeData[[#This Row],[Exit Date]],EmployeeData[[#This Row],[Join Date]]))</f>
        <v>1870</v>
      </c>
      <c r="L33" cm="1">
        <f t="array" aca="1" ref="L33" ca="1">_xlfn.IFS(EmployeeData[[#This Row],[Status]]="Exited",DATEDIF(EmployeeData[[#This Row],[Join Date]], EmployeeData[[#This Row],[Exit Date]], "Y"),EmployeeData[[#This Row],[Status]]="Active",DATEDIF(EmployeeData[[#This Row],[Join Date]], TODAY(), "Y"))</f>
        <v>5</v>
      </c>
      <c r="Q33" t="str" cm="1">
        <f t="array" aca="1" ref="Q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13 days</v>
      </c>
    </row>
    <row r="34" spans="1:17" x14ac:dyDescent="0.3">
      <c r="A34">
        <v>1033</v>
      </c>
      <c r="B34" t="s">
        <v>305</v>
      </c>
      <c r="C34" t="s">
        <v>20</v>
      </c>
      <c r="D34" t="s">
        <v>16</v>
      </c>
      <c r="E34">
        <v>39</v>
      </c>
      <c r="F34" t="str" cm="1">
        <f t="array" ref="F34">_xlfn.IFS(EmployeeData[[#This Row],[Age]]&lt;30,"20s",EmployeeData[[#This Row],[Age]]&lt;40,"30s",EmployeeData[[#This Row],[Age]]&lt;50,"40s",EmployeeData[[#This Row],[Age]]&lt;60,"50s",EmployeeData[[#This Row],[Age]]&gt;=60,"60s")</f>
        <v>30s</v>
      </c>
      <c r="G34" s="5">
        <v>45578</v>
      </c>
      <c r="H34" s="5">
        <v>46019</v>
      </c>
      <c r="I34" t="s">
        <v>31</v>
      </c>
      <c r="J34" t="s">
        <v>13</v>
      </c>
      <c r="K34" cm="1">
        <f t="array" aca="1" ref="K34" ca="1">_xlfn.IFS(EmployeeData[[#This Row],[Status]]="Active",_xlfn.DAYS(TODAY(),EmployeeData[[#This Row],[Join Date]]),EmployeeData[[#This Row],[Status]]="Exited",_xlfn.DAYS(EmployeeData[[#This Row],[Exit Date]],EmployeeData[[#This Row],[Join Date]]))</f>
        <v>441</v>
      </c>
      <c r="L34" cm="1">
        <f t="array" aca="1" ref="L34" ca="1">_xlfn.IFS(EmployeeData[[#This Row],[Status]]="Exited",DATEDIF(EmployeeData[[#This Row],[Join Date]], EmployeeData[[#This Row],[Exit Date]], "Y"),EmployeeData[[#This Row],[Status]]="Active",DATEDIF(EmployeeData[[#This Row],[Join Date]], TODAY(), "Y"))</f>
        <v>1</v>
      </c>
      <c r="Q34" t="str" cm="1">
        <f t="array" aca="1" ref="Q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15 days</v>
      </c>
    </row>
    <row r="35" spans="1:17" x14ac:dyDescent="0.3">
      <c r="A35">
        <v>1034</v>
      </c>
      <c r="B35" t="s">
        <v>492</v>
      </c>
      <c r="C35" t="s">
        <v>15</v>
      </c>
      <c r="D35" t="s">
        <v>24</v>
      </c>
      <c r="E35">
        <v>38</v>
      </c>
      <c r="F35" t="str" cm="1">
        <f t="array" ref="F35">_xlfn.IFS(EmployeeData[[#This Row],[Age]]&lt;30,"20s",EmployeeData[[#This Row],[Age]]&lt;40,"30s",EmployeeData[[#This Row],[Age]]&lt;50,"40s",EmployeeData[[#This Row],[Age]]&lt;60,"50s",EmployeeData[[#This Row],[Age]]&gt;=60,"60s")</f>
        <v>30s</v>
      </c>
      <c r="G35" s="5">
        <v>43281</v>
      </c>
      <c r="H35" s="5">
        <v>43906</v>
      </c>
      <c r="I35" t="s">
        <v>28</v>
      </c>
      <c r="J35" t="s">
        <v>13</v>
      </c>
      <c r="K35" cm="1">
        <f t="array" aca="1" ref="K35" ca="1">_xlfn.IFS(EmployeeData[[#This Row],[Status]]="Active",_xlfn.DAYS(TODAY(),EmployeeData[[#This Row],[Join Date]]),EmployeeData[[#This Row],[Status]]="Exited",_xlfn.DAYS(EmployeeData[[#This Row],[Exit Date]],EmployeeData[[#This Row],[Join Date]]))</f>
        <v>625</v>
      </c>
      <c r="L35" cm="1">
        <f t="array" aca="1" ref="L35" ca="1">_xlfn.IFS(EmployeeData[[#This Row],[Status]]="Exited",DATEDIF(EmployeeData[[#This Row],[Join Date]], EmployeeData[[#This Row],[Exit Date]], "Y"),EmployeeData[[#This Row],[Status]]="Active",DATEDIF(EmployeeData[[#This Row],[Join Date]], TODAY(), "Y"))</f>
        <v>1</v>
      </c>
      <c r="Q35" t="str" cm="1">
        <f t="array" aca="1" ref="Q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15 days</v>
      </c>
    </row>
    <row r="36" spans="1:17" x14ac:dyDescent="0.3">
      <c r="A36">
        <v>1035</v>
      </c>
      <c r="B36" t="s">
        <v>661</v>
      </c>
      <c r="C36" t="s">
        <v>23</v>
      </c>
      <c r="D36" t="s">
        <v>24</v>
      </c>
      <c r="E36">
        <v>21</v>
      </c>
      <c r="F36" t="str" cm="1">
        <f t="array" ref="F36">_xlfn.IFS(EmployeeData[[#This Row],[Age]]&lt;30,"20s",EmployeeData[[#This Row],[Age]]&lt;40,"30s",EmployeeData[[#This Row],[Age]]&lt;50,"40s",EmployeeData[[#This Row],[Age]]&lt;60,"50s",EmployeeData[[#This Row],[Age]]&gt;=60,"60s")</f>
        <v>20s</v>
      </c>
      <c r="G36" s="5">
        <v>43559</v>
      </c>
      <c r="H36" s="5">
        <v>44259</v>
      </c>
      <c r="I36" t="s">
        <v>65</v>
      </c>
      <c r="J36" t="s">
        <v>13</v>
      </c>
      <c r="K36" cm="1">
        <f t="array" aca="1" ref="K36" ca="1">_xlfn.IFS(EmployeeData[[#This Row],[Status]]="Active",_xlfn.DAYS(TODAY(),EmployeeData[[#This Row],[Join Date]]),EmployeeData[[#This Row],[Status]]="Exited",_xlfn.DAYS(EmployeeData[[#This Row],[Exit Date]],EmployeeData[[#This Row],[Join Date]]))</f>
        <v>700</v>
      </c>
      <c r="L36" cm="1">
        <f t="array" aca="1" ref="L36" ca="1">_xlfn.IFS(EmployeeData[[#This Row],[Status]]="Exited",DATEDIF(EmployeeData[[#This Row],[Join Date]], EmployeeData[[#This Row],[Exit Date]], "Y"),EmployeeData[[#This Row],[Status]]="Active",DATEDIF(EmployeeData[[#This Row],[Join Date]], TODAY(), "Y"))</f>
        <v>1</v>
      </c>
      <c r="Q36" t="str" cm="1">
        <f t="array" aca="1" ref="Q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0 days</v>
      </c>
    </row>
    <row r="37" spans="1:17" x14ac:dyDescent="0.3">
      <c r="A37">
        <v>1036</v>
      </c>
      <c r="B37" t="s">
        <v>692</v>
      </c>
      <c r="C37" t="s">
        <v>15</v>
      </c>
      <c r="D37" t="s">
        <v>16</v>
      </c>
      <c r="E37">
        <v>23</v>
      </c>
      <c r="F37" t="str" cm="1">
        <f t="array" ref="F37">_xlfn.IFS(EmployeeData[[#This Row],[Age]]&lt;30,"20s",EmployeeData[[#This Row],[Age]]&lt;40,"30s",EmployeeData[[#This Row],[Age]]&lt;50,"40s",EmployeeData[[#This Row],[Age]]&lt;60,"50s",EmployeeData[[#This Row],[Age]]&gt;=60,"60s")</f>
        <v>20s</v>
      </c>
      <c r="G37" s="5">
        <v>44566</v>
      </c>
      <c r="H37" s="5">
        <v>45167</v>
      </c>
      <c r="I37" t="s">
        <v>28</v>
      </c>
      <c r="J37" t="s">
        <v>13</v>
      </c>
      <c r="K37" cm="1">
        <f t="array" aca="1" ref="K37" ca="1">_xlfn.IFS(EmployeeData[[#This Row],[Status]]="Active",_xlfn.DAYS(TODAY(),EmployeeData[[#This Row],[Join Date]]),EmployeeData[[#This Row],[Status]]="Exited",_xlfn.DAYS(EmployeeData[[#This Row],[Exit Date]],EmployeeData[[#This Row],[Join Date]]))</f>
        <v>601</v>
      </c>
      <c r="L37" cm="1">
        <f t="array" aca="1" ref="L37" ca="1">_xlfn.IFS(EmployeeData[[#This Row],[Status]]="Exited",DATEDIF(EmployeeData[[#This Row],[Join Date]], EmployeeData[[#This Row],[Exit Date]], "Y"),EmployeeData[[#This Row],[Status]]="Active",DATEDIF(EmployeeData[[#This Row],[Join Date]], TODAY(), "Y"))</f>
        <v>1</v>
      </c>
      <c r="Q37" t="str" cm="1">
        <f t="array" aca="1" ref="Q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24 days</v>
      </c>
    </row>
    <row r="38" spans="1:17" x14ac:dyDescent="0.3">
      <c r="A38">
        <v>1037</v>
      </c>
      <c r="B38" t="s">
        <v>584</v>
      </c>
      <c r="C38" t="s">
        <v>10</v>
      </c>
      <c r="D38" t="s">
        <v>24</v>
      </c>
      <c r="E38">
        <v>30</v>
      </c>
      <c r="F38" t="str" cm="1">
        <f t="array" ref="F38">_xlfn.IFS(EmployeeData[[#This Row],[Age]]&lt;30,"20s",EmployeeData[[#This Row],[Age]]&lt;40,"30s",EmployeeData[[#This Row],[Age]]&lt;50,"40s",EmployeeData[[#This Row],[Age]]&lt;60,"50s",EmployeeData[[#This Row],[Age]]&gt;=60,"60s")</f>
        <v>30s</v>
      </c>
      <c r="G38" s="5">
        <v>44070</v>
      </c>
      <c r="I38" t="s">
        <v>17</v>
      </c>
      <c r="J38" t="s">
        <v>18</v>
      </c>
      <c r="K38" cm="1">
        <f t="array" aca="1" ref="K38" ca="1">_xlfn.IFS(EmployeeData[[#This Row],[Status]]="Active",_xlfn.DAYS(TODAY(),EmployeeData[[#This Row],[Join Date]]),EmployeeData[[#This Row],[Status]]="Exited",_xlfn.DAYS(EmployeeData[[#This Row],[Exit Date]],EmployeeData[[#This Row],[Join Date]]))</f>
        <v>2127</v>
      </c>
      <c r="L38" cm="1">
        <f t="array" aca="1" ref="L38" ca="1">_xlfn.IFS(EmployeeData[[#This Row],[Status]]="Exited",DATEDIF(EmployeeData[[#This Row],[Join Date]], EmployeeData[[#This Row],[Exit Date]], "Y"),EmployeeData[[#This Row],[Status]]="Active",DATEDIF(EmployeeData[[#This Row],[Join Date]], TODAY(), "Y"))</f>
        <v>5</v>
      </c>
      <c r="Q38" t="str" cm="1">
        <f t="array" aca="1" ref="Q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28 days</v>
      </c>
    </row>
    <row r="39" spans="1:17" x14ac:dyDescent="0.3">
      <c r="A39">
        <v>1038</v>
      </c>
      <c r="B39" t="s">
        <v>488</v>
      </c>
      <c r="C39" t="s">
        <v>33</v>
      </c>
      <c r="D39" t="s">
        <v>24</v>
      </c>
      <c r="E39">
        <v>36</v>
      </c>
      <c r="F39" t="str" cm="1">
        <f t="array" ref="F39">_xlfn.IFS(EmployeeData[[#This Row],[Age]]&lt;30,"20s",EmployeeData[[#This Row],[Age]]&lt;40,"30s",EmployeeData[[#This Row],[Age]]&lt;50,"40s",EmployeeData[[#This Row],[Age]]&lt;60,"50s",EmployeeData[[#This Row],[Age]]&gt;=60,"60s")</f>
        <v>30s</v>
      </c>
      <c r="G39" s="5">
        <v>44193</v>
      </c>
      <c r="H39" s="5">
        <v>45719</v>
      </c>
      <c r="I39" t="s">
        <v>31</v>
      </c>
      <c r="J39" t="s">
        <v>13</v>
      </c>
      <c r="K39" cm="1">
        <f t="array" aca="1" ref="K39" ca="1">_xlfn.IFS(EmployeeData[[#This Row],[Status]]="Active",_xlfn.DAYS(TODAY(),EmployeeData[[#This Row],[Join Date]]),EmployeeData[[#This Row],[Status]]="Exited",_xlfn.DAYS(EmployeeData[[#This Row],[Exit Date]],EmployeeData[[#This Row],[Join Date]]))</f>
        <v>1526</v>
      </c>
      <c r="L39" cm="1">
        <f t="array" aca="1" ref="L39" ca="1">_xlfn.IFS(EmployeeData[[#This Row],[Status]]="Exited",DATEDIF(EmployeeData[[#This Row],[Join Date]], EmployeeData[[#This Row],[Exit Date]], "Y"),EmployeeData[[#This Row],[Status]]="Active",DATEDIF(EmployeeData[[#This Row],[Join Date]], TODAY(), "Y"))</f>
        <v>4</v>
      </c>
      <c r="Q39" t="str" cm="1">
        <f t="array" aca="1" ref="Q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3 days</v>
      </c>
    </row>
    <row r="40" spans="1:17" x14ac:dyDescent="0.3">
      <c r="A40">
        <v>1039</v>
      </c>
      <c r="B40" t="s">
        <v>576</v>
      </c>
      <c r="C40" t="s">
        <v>10</v>
      </c>
      <c r="D40" t="s">
        <v>11</v>
      </c>
      <c r="E40">
        <v>35</v>
      </c>
      <c r="F40" t="str" cm="1">
        <f t="array" ref="F40">_xlfn.IFS(EmployeeData[[#This Row],[Age]]&lt;30,"20s",EmployeeData[[#This Row],[Age]]&lt;40,"30s",EmployeeData[[#This Row],[Age]]&lt;50,"40s",EmployeeData[[#This Row],[Age]]&lt;60,"50s",EmployeeData[[#This Row],[Age]]&gt;=60,"60s")</f>
        <v>30s</v>
      </c>
      <c r="G40" s="5">
        <v>44014</v>
      </c>
      <c r="H40" s="5">
        <v>44895</v>
      </c>
      <c r="I40" t="s">
        <v>12</v>
      </c>
      <c r="J40" t="s">
        <v>13</v>
      </c>
      <c r="K40" cm="1">
        <f t="array" aca="1" ref="K40" ca="1">_xlfn.IFS(EmployeeData[[#This Row],[Status]]="Active",_xlfn.DAYS(TODAY(),EmployeeData[[#This Row],[Join Date]]),EmployeeData[[#This Row],[Status]]="Exited",_xlfn.DAYS(EmployeeData[[#This Row],[Exit Date]],EmployeeData[[#This Row],[Join Date]]))</f>
        <v>881</v>
      </c>
      <c r="L40" cm="1">
        <f t="array" aca="1" ref="L40" ca="1">_xlfn.IFS(EmployeeData[[#This Row],[Status]]="Exited",DATEDIF(EmployeeData[[#This Row],[Join Date]], EmployeeData[[#This Row],[Exit Date]], "Y"),EmployeeData[[#This Row],[Status]]="Active",DATEDIF(EmployeeData[[#This Row],[Join Date]], TODAY(), "Y"))</f>
        <v>2</v>
      </c>
      <c r="Q40" t="str" cm="1">
        <f t="array" aca="1" ref="Q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28 days</v>
      </c>
    </row>
    <row r="41" spans="1:17" x14ac:dyDescent="0.3">
      <c r="A41">
        <v>1040</v>
      </c>
      <c r="B41" t="s">
        <v>999</v>
      </c>
      <c r="C41" t="s">
        <v>10</v>
      </c>
      <c r="D41" t="s">
        <v>24</v>
      </c>
      <c r="E41">
        <v>46</v>
      </c>
      <c r="F41" t="str" cm="1">
        <f t="array" ref="F41">_xlfn.IFS(EmployeeData[[#This Row],[Age]]&lt;30,"20s",EmployeeData[[#This Row],[Age]]&lt;40,"30s",EmployeeData[[#This Row],[Age]]&lt;50,"40s",EmployeeData[[#This Row],[Age]]&lt;60,"50s",EmployeeData[[#This Row],[Age]]&gt;=60,"60s")</f>
        <v>40s</v>
      </c>
      <c r="G41" s="5">
        <v>45884</v>
      </c>
      <c r="I41" t="s">
        <v>17</v>
      </c>
      <c r="J41" t="s">
        <v>18</v>
      </c>
      <c r="K41" cm="1">
        <f t="array" aca="1" ref="K41" ca="1">_xlfn.IFS(EmployeeData[[#This Row],[Status]]="Active",_xlfn.DAYS(TODAY(),EmployeeData[[#This Row],[Join Date]]),EmployeeData[[#This Row],[Status]]="Exited",_xlfn.DAYS(EmployeeData[[#This Row],[Exit Date]],EmployeeData[[#This Row],[Join Date]]))</f>
        <v>313</v>
      </c>
      <c r="L41" cm="1">
        <f t="array" aca="1" ref="L41" ca="1">_xlfn.IFS(EmployeeData[[#This Row],[Status]]="Exited",DATEDIF(EmployeeData[[#This Row],[Join Date]], EmployeeData[[#This Row],[Exit Date]], "Y"),EmployeeData[[#This Row],[Status]]="Active",DATEDIF(EmployeeData[[#This Row],[Join Date]], TODAY(), "Y"))</f>
        <v>0</v>
      </c>
      <c r="Q41" t="str" cm="1">
        <f t="array" aca="1" ref="Q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9 days</v>
      </c>
    </row>
    <row r="42" spans="1:17" x14ac:dyDescent="0.3">
      <c r="A42">
        <v>1041</v>
      </c>
      <c r="B42" t="s">
        <v>299</v>
      </c>
      <c r="C42" t="s">
        <v>15</v>
      </c>
      <c r="D42" t="s">
        <v>11</v>
      </c>
      <c r="E42">
        <v>32</v>
      </c>
      <c r="F42" t="str" cm="1">
        <f t="array" ref="F42">_xlfn.IFS(EmployeeData[[#This Row],[Age]]&lt;30,"20s",EmployeeData[[#This Row],[Age]]&lt;40,"30s",EmployeeData[[#This Row],[Age]]&lt;50,"40s",EmployeeData[[#This Row],[Age]]&lt;60,"50s",EmployeeData[[#This Row],[Age]]&gt;=60,"60s")</f>
        <v>30s</v>
      </c>
      <c r="G42" s="5">
        <v>45479</v>
      </c>
      <c r="I42" t="s">
        <v>17</v>
      </c>
      <c r="J42" t="s">
        <v>18</v>
      </c>
      <c r="K42" cm="1">
        <f t="array" aca="1" ref="K42" ca="1">_xlfn.IFS(EmployeeData[[#This Row],[Status]]="Active",_xlfn.DAYS(TODAY(),EmployeeData[[#This Row],[Join Date]]),EmployeeData[[#This Row],[Status]]="Exited",_xlfn.DAYS(EmployeeData[[#This Row],[Exit Date]],EmployeeData[[#This Row],[Join Date]]))</f>
        <v>718</v>
      </c>
      <c r="L42" cm="1">
        <f t="array" aca="1" ref="L42" ca="1">_xlfn.IFS(EmployeeData[[#This Row],[Status]]="Exited",DATEDIF(EmployeeData[[#This Row],[Join Date]], EmployeeData[[#This Row],[Exit Date]], "Y"),EmployeeData[[#This Row],[Status]]="Active",DATEDIF(EmployeeData[[#This Row],[Join Date]], TODAY(), "Y"))</f>
        <v>1</v>
      </c>
      <c r="Q42" t="str" cm="1">
        <f t="array" aca="1" ref="Q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18 days</v>
      </c>
    </row>
    <row r="43" spans="1:17" x14ac:dyDescent="0.3">
      <c r="A43">
        <v>1042</v>
      </c>
      <c r="B43" t="s">
        <v>1043</v>
      </c>
      <c r="C43" t="s">
        <v>10</v>
      </c>
      <c r="D43" t="s">
        <v>11</v>
      </c>
      <c r="E43">
        <v>48</v>
      </c>
      <c r="F43" t="str" cm="1">
        <f t="array" ref="F43">_xlfn.IFS(EmployeeData[[#This Row],[Age]]&lt;30,"20s",EmployeeData[[#This Row],[Age]]&lt;40,"30s",EmployeeData[[#This Row],[Age]]&lt;50,"40s",EmployeeData[[#This Row],[Age]]&lt;60,"50s",EmployeeData[[#This Row],[Age]]&gt;=60,"60s")</f>
        <v>40s</v>
      </c>
      <c r="G43" s="5">
        <v>45584</v>
      </c>
      <c r="I43" t="s">
        <v>17</v>
      </c>
      <c r="J43" t="s">
        <v>18</v>
      </c>
      <c r="K43" cm="1">
        <f t="array" aca="1" ref="K43" ca="1">_xlfn.IFS(EmployeeData[[#This Row],[Status]]="Active",_xlfn.DAYS(TODAY(),EmployeeData[[#This Row],[Join Date]]),EmployeeData[[#This Row],[Status]]="Exited",_xlfn.DAYS(EmployeeData[[#This Row],[Exit Date]],EmployeeData[[#This Row],[Join Date]]))</f>
        <v>613</v>
      </c>
      <c r="L43" cm="1">
        <f t="array" aca="1" ref="L43" ca="1">_xlfn.IFS(EmployeeData[[#This Row],[Status]]="Exited",DATEDIF(EmployeeData[[#This Row],[Join Date]], EmployeeData[[#This Row],[Exit Date]], "Y"),EmployeeData[[#This Row],[Status]]="Active",DATEDIF(EmployeeData[[#This Row],[Join Date]], TODAY(), "Y"))</f>
        <v>1</v>
      </c>
      <c r="Q43" t="str" cm="1">
        <f t="array" aca="1" ref="Q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5 days</v>
      </c>
    </row>
    <row r="44" spans="1:17" x14ac:dyDescent="0.3">
      <c r="A44">
        <v>1043</v>
      </c>
      <c r="B44" t="s">
        <v>102</v>
      </c>
      <c r="C44" t="s">
        <v>15</v>
      </c>
      <c r="D44" t="s">
        <v>16</v>
      </c>
      <c r="E44">
        <v>48</v>
      </c>
      <c r="F44" t="str" cm="1">
        <f t="array" ref="F44">_xlfn.IFS(EmployeeData[[#This Row],[Age]]&lt;30,"20s",EmployeeData[[#This Row],[Age]]&lt;40,"30s",EmployeeData[[#This Row],[Age]]&lt;50,"40s",EmployeeData[[#This Row],[Age]]&lt;60,"50s",EmployeeData[[#This Row],[Age]]&gt;=60,"60s")</f>
        <v>40s</v>
      </c>
      <c r="G44" s="5">
        <v>43107</v>
      </c>
      <c r="I44" t="s">
        <v>17</v>
      </c>
      <c r="J44" t="s">
        <v>18</v>
      </c>
      <c r="K44" cm="1">
        <f t="array" aca="1" ref="K44" ca="1">_xlfn.IFS(EmployeeData[[#This Row],[Status]]="Active",_xlfn.DAYS(TODAY(),EmployeeData[[#This Row],[Join Date]]),EmployeeData[[#This Row],[Status]]="Exited",_xlfn.DAYS(EmployeeData[[#This Row],[Exit Date]],EmployeeData[[#This Row],[Join Date]]))</f>
        <v>3090</v>
      </c>
      <c r="L44" cm="1">
        <f t="array" aca="1" ref="L44" ca="1">_xlfn.IFS(EmployeeData[[#This Row],[Status]]="Exited",DATEDIF(EmployeeData[[#This Row],[Join Date]], EmployeeData[[#This Row],[Exit Date]], "Y"),EmployeeData[[#This Row],[Status]]="Active",DATEDIF(EmployeeData[[#This Row],[Join Date]], TODAY(), "Y"))</f>
        <v>8</v>
      </c>
      <c r="Q44" t="str" cm="1">
        <f t="array" aca="1" ref="Q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17 days</v>
      </c>
    </row>
    <row r="45" spans="1:17" x14ac:dyDescent="0.3">
      <c r="A45">
        <v>1044</v>
      </c>
      <c r="B45" t="s">
        <v>697</v>
      </c>
      <c r="C45" t="s">
        <v>20</v>
      </c>
      <c r="D45" t="s">
        <v>24</v>
      </c>
      <c r="E45">
        <v>44</v>
      </c>
      <c r="F45" t="str" cm="1">
        <f t="array" ref="F45">_xlfn.IFS(EmployeeData[[#This Row],[Age]]&lt;30,"20s",EmployeeData[[#This Row],[Age]]&lt;40,"30s",EmployeeData[[#This Row],[Age]]&lt;50,"40s",EmployeeData[[#This Row],[Age]]&lt;60,"50s",EmployeeData[[#This Row],[Age]]&gt;=60,"60s")</f>
        <v>40s</v>
      </c>
      <c r="G45" s="5">
        <v>44867</v>
      </c>
      <c r="H45" s="5">
        <v>45633</v>
      </c>
      <c r="I45" t="s">
        <v>28</v>
      </c>
      <c r="J45" t="s">
        <v>13</v>
      </c>
      <c r="K45" cm="1">
        <f t="array" aca="1" ref="K45" ca="1">_xlfn.IFS(EmployeeData[[#This Row],[Status]]="Active",_xlfn.DAYS(TODAY(),EmployeeData[[#This Row],[Join Date]]),EmployeeData[[#This Row],[Status]]="Exited",_xlfn.DAYS(EmployeeData[[#This Row],[Exit Date]],EmployeeData[[#This Row],[Join Date]]))</f>
        <v>766</v>
      </c>
      <c r="L45" cm="1">
        <f t="array" aca="1" ref="L45" ca="1">_xlfn.IFS(EmployeeData[[#This Row],[Status]]="Exited",DATEDIF(EmployeeData[[#This Row],[Join Date]], EmployeeData[[#This Row],[Exit Date]], "Y"),EmployeeData[[#This Row],[Status]]="Active",DATEDIF(EmployeeData[[#This Row],[Join Date]], TODAY(), "Y"))</f>
        <v>2</v>
      </c>
      <c r="Q45" t="str" cm="1">
        <f t="array" aca="1" ref="Q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5 days</v>
      </c>
    </row>
    <row r="46" spans="1:17" x14ac:dyDescent="0.3">
      <c r="A46">
        <v>1045</v>
      </c>
      <c r="B46" t="s">
        <v>653</v>
      </c>
      <c r="C46" t="s">
        <v>23</v>
      </c>
      <c r="D46" t="s">
        <v>24</v>
      </c>
      <c r="E46">
        <v>41</v>
      </c>
      <c r="F46" t="str" cm="1">
        <f t="array" ref="F46">_xlfn.IFS(EmployeeData[[#This Row],[Age]]&lt;30,"20s",EmployeeData[[#This Row],[Age]]&lt;40,"30s",EmployeeData[[#This Row],[Age]]&lt;50,"40s",EmployeeData[[#This Row],[Age]]&lt;60,"50s",EmployeeData[[#This Row],[Age]]&gt;=60,"60s")</f>
        <v>40s</v>
      </c>
      <c r="G46" s="5">
        <v>44749</v>
      </c>
      <c r="I46" t="s">
        <v>17</v>
      </c>
      <c r="J46" t="s">
        <v>18</v>
      </c>
      <c r="K46" cm="1">
        <f t="array" aca="1" ref="K46" ca="1">_xlfn.IFS(EmployeeData[[#This Row],[Status]]="Active",_xlfn.DAYS(TODAY(),EmployeeData[[#This Row],[Join Date]]),EmployeeData[[#This Row],[Status]]="Exited",_xlfn.DAYS(EmployeeData[[#This Row],[Exit Date]],EmployeeData[[#This Row],[Join Date]]))</f>
        <v>1448</v>
      </c>
      <c r="L46" cm="1">
        <f t="array" aca="1" ref="L46" ca="1">_xlfn.IFS(EmployeeData[[#This Row],[Status]]="Exited",DATEDIF(EmployeeData[[#This Row],[Join Date]], EmployeeData[[#This Row],[Exit Date]], "Y"),EmployeeData[[#This Row],[Status]]="Active",DATEDIF(EmployeeData[[#This Row],[Join Date]], TODAY(), "Y"))</f>
        <v>3</v>
      </c>
      <c r="Q46" t="str" cm="1">
        <f t="array" aca="1" ref="Q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17 days</v>
      </c>
    </row>
    <row r="47" spans="1:17" x14ac:dyDescent="0.3">
      <c r="A47">
        <v>1046</v>
      </c>
      <c r="B47" t="s">
        <v>1048</v>
      </c>
      <c r="C47" t="s">
        <v>20</v>
      </c>
      <c r="D47" t="s">
        <v>11</v>
      </c>
      <c r="E47">
        <v>57</v>
      </c>
      <c r="F47" t="str" cm="1">
        <f t="array" ref="F47">_xlfn.IFS(EmployeeData[[#This Row],[Age]]&lt;30,"20s",EmployeeData[[#This Row],[Age]]&lt;40,"30s",EmployeeData[[#This Row],[Age]]&lt;50,"40s",EmployeeData[[#This Row],[Age]]&lt;60,"50s",EmployeeData[[#This Row],[Age]]&gt;=60,"60s")</f>
        <v>50s</v>
      </c>
      <c r="G47" s="5">
        <v>44333</v>
      </c>
      <c r="I47" t="s">
        <v>17</v>
      </c>
      <c r="J47" t="s">
        <v>18</v>
      </c>
      <c r="K47" cm="1">
        <f t="array" aca="1" ref="K47" ca="1">_xlfn.IFS(EmployeeData[[#This Row],[Status]]="Active",_xlfn.DAYS(TODAY(),EmployeeData[[#This Row],[Join Date]]),EmployeeData[[#This Row],[Status]]="Exited",_xlfn.DAYS(EmployeeData[[#This Row],[Exit Date]],EmployeeData[[#This Row],[Join Date]]))</f>
        <v>1864</v>
      </c>
      <c r="L47" cm="1">
        <f t="array" aca="1" ref="L47" ca="1">_xlfn.IFS(EmployeeData[[#This Row],[Status]]="Exited",DATEDIF(EmployeeData[[#This Row],[Join Date]], EmployeeData[[#This Row],[Exit Date]], "Y"),EmployeeData[[#This Row],[Status]]="Active",DATEDIF(EmployeeData[[#This Row],[Join Date]], TODAY(), "Y"))</f>
        <v>5</v>
      </c>
      <c r="Q47" t="str" cm="1">
        <f t="array" aca="1" ref="Q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7 days</v>
      </c>
    </row>
    <row r="48" spans="1:17" x14ac:dyDescent="0.3">
      <c r="A48">
        <v>1047</v>
      </c>
      <c r="B48" t="s">
        <v>238</v>
      </c>
      <c r="C48" t="s">
        <v>33</v>
      </c>
      <c r="D48" t="s">
        <v>24</v>
      </c>
      <c r="E48">
        <v>41</v>
      </c>
      <c r="F48" t="str" cm="1">
        <f t="array" ref="F48">_xlfn.IFS(EmployeeData[[#This Row],[Age]]&lt;30,"20s",EmployeeData[[#This Row],[Age]]&lt;40,"30s",EmployeeData[[#This Row],[Age]]&lt;50,"40s",EmployeeData[[#This Row],[Age]]&lt;60,"50s",EmployeeData[[#This Row],[Age]]&gt;=60,"60s")</f>
        <v>40s</v>
      </c>
      <c r="G48" s="5">
        <v>45005</v>
      </c>
      <c r="I48" t="s">
        <v>17</v>
      </c>
      <c r="J48" t="s">
        <v>18</v>
      </c>
      <c r="K48" cm="1">
        <f t="array" aca="1" ref="K48" ca="1">_xlfn.IFS(EmployeeData[[#This Row],[Status]]="Active",_xlfn.DAYS(TODAY(),EmployeeData[[#This Row],[Join Date]]),EmployeeData[[#This Row],[Status]]="Exited",_xlfn.DAYS(EmployeeData[[#This Row],[Exit Date]],EmployeeData[[#This Row],[Join Date]]))</f>
        <v>1192</v>
      </c>
      <c r="L48" cm="1">
        <f t="array" aca="1" ref="L48" ca="1">_xlfn.IFS(EmployeeData[[#This Row],[Status]]="Exited",DATEDIF(EmployeeData[[#This Row],[Join Date]], EmployeeData[[#This Row],[Exit Date]], "Y"),EmployeeData[[#This Row],[Status]]="Active",DATEDIF(EmployeeData[[#This Row],[Join Date]], TODAY(), "Y"))</f>
        <v>3</v>
      </c>
      <c r="Q48" t="str" cm="1">
        <f t="array" aca="1" ref="Q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4 days</v>
      </c>
    </row>
    <row r="49" spans="1:17" x14ac:dyDescent="0.3">
      <c r="A49">
        <v>1048</v>
      </c>
      <c r="B49" t="s">
        <v>1083</v>
      </c>
      <c r="C49" t="s">
        <v>20</v>
      </c>
      <c r="D49" t="s">
        <v>16</v>
      </c>
      <c r="E49">
        <v>42</v>
      </c>
      <c r="F49" t="str" cm="1">
        <f t="array" ref="F49">_xlfn.IFS(EmployeeData[[#This Row],[Age]]&lt;30,"20s",EmployeeData[[#This Row],[Age]]&lt;40,"30s",EmployeeData[[#This Row],[Age]]&lt;50,"40s",EmployeeData[[#This Row],[Age]]&lt;60,"50s",EmployeeData[[#This Row],[Age]]&gt;=60,"60s")</f>
        <v>40s</v>
      </c>
      <c r="G49" s="5">
        <v>43483</v>
      </c>
      <c r="I49" t="s">
        <v>17</v>
      </c>
      <c r="J49" t="s">
        <v>18</v>
      </c>
      <c r="K49" cm="1">
        <f t="array" aca="1" ref="K49" ca="1">_xlfn.IFS(EmployeeData[[#This Row],[Status]]="Active",_xlfn.DAYS(TODAY(),EmployeeData[[#This Row],[Join Date]]),EmployeeData[[#This Row],[Status]]="Exited",_xlfn.DAYS(EmployeeData[[#This Row],[Exit Date]],EmployeeData[[#This Row],[Join Date]]))</f>
        <v>2714</v>
      </c>
      <c r="L49" cm="1">
        <f t="array" aca="1" ref="L49" ca="1">_xlfn.IFS(EmployeeData[[#This Row],[Status]]="Exited",DATEDIF(EmployeeData[[#This Row],[Join Date]], EmployeeData[[#This Row],[Exit Date]], "Y"),EmployeeData[[#This Row],[Status]]="Active",DATEDIF(EmployeeData[[#This Row],[Join Date]], TODAY(), "Y"))</f>
        <v>7</v>
      </c>
      <c r="Q49" t="str" cm="1">
        <f t="array" aca="1" ref="Q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6 days</v>
      </c>
    </row>
    <row r="50" spans="1:17" x14ac:dyDescent="0.3">
      <c r="A50">
        <v>1049</v>
      </c>
      <c r="B50" t="s">
        <v>187</v>
      </c>
      <c r="C50" t="s">
        <v>15</v>
      </c>
      <c r="D50" t="s">
        <v>16</v>
      </c>
      <c r="E50">
        <v>51</v>
      </c>
      <c r="F50" t="str" cm="1">
        <f t="array" ref="F50">_xlfn.IFS(EmployeeData[[#This Row],[Age]]&lt;30,"20s",EmployeeData[[#This Row],[Age]]&lt;40,"30s",EmployeeData[[#This Row],[Age]]&lt;50,"40s",EmployeeData[[#This Row],[Age]]&lt;60,"50s",EmployeeData[[#This Row],[Age]]&gt;=60,"60s")</f>
        <v>50s</v>
      </c>
      <c r="G50" s="5">
        <v>45604</v>
      </c>
      <c r="I50" t="s">
        <v>17</v>
      </c>
      <c r="J50" t="s">
        <v>18</v>
      </c>
      <c r="K50" cm="1">
        <f t="array" aca="1" ref="K50" ca="1">_xlfn.IFS(EmployeeData[[#This Row],[Status]]="Active",_xlfn.DAYS(TODAY(),EmployeeData[[#This Row],[Join Date]]),EmployeeData[[#This Row],[Status]]="Exited",_xlfn.DAYS(EmployeeData[[#This Row],[Exit Date]],EmployeeData[[#This Row],[Join Date]]))</f>
        <v>593</v>
      </c>
      <c r="L50" cm="1">
        <f t="array" aca="1" ref="L50" ca="1">_xlfn.IFS(EmployeeData[[#This Row],[Status]]="Exited",DATEDIF(EmployeeData[[#This Row],[Join Date]], EmployeeData[[#This Row],[Exit Date]], "Y"),EmployeeData[[#This Row],[Status]]="Active",DATEDIF(EmployeeData[[#This Row],[Join Date]], TODAY(), "Y"))</f>
        <v>1</v>
      </c>
      <c r="Q50" t="str" cm="1">
        <f t="array" aca="1" ref="Q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16 days</v>
      </c>
    </row>
    <row r="51" spans="1:17" x14ac:dyDescent="0.3">
      <c r="A51">
        <v>1050</v>
      </c>
      <c r="B51" t="s">
        <v>480</v>
      </c>
      <c r="C51" t="s">
        <v>20</v>
      </c>
      <c r="D51" t="s">
        <v>24</v>
      </c>
      <c r="E51">
        <v>46</v>
      </c>
      <c r="F51" t="str" cm="1">
        <f t="array" ref="F51">_xlfn.IFS(EmployeeData[[#This Row],[Age]]&lt;30,"20s",EmployeeData[[#This Row],[Age]]&lt;40,"30s",EmployeeData[[#This Row],[Age]]&lt;50,"40s",EmployeeData[[#This Row],[Age]]&lt;60,"50s",EmployeeData[[#This Row],[Age]]&gt;=60,"60s")</f>
        <v>40s</v>
      </c>
      <c r="G51" s="5">
        <v>44100</v>
      </c>
      <c r="H51" s="5">
        <v>45598</v>
      </c>
      <c r="I51" t="s">
        <v>31</v>
      </c>
      <c r="J51" t="s">
        <v>13</v>
      </c>
      <c r="K51" cm="1">
        <f t="array" aca="1" ref="K51" ca="1">_xlfn.IFS(EmployeeData[[#This Row],[Status]]="Active",_xlfn.DAYS(TODAY(),EmployeeData[[#This Row],[Join Date]]),EmployeeData[[#This Row],[Status]]="Exited",_xlfn.DAYS(EmployeeData[[#This Row],[Exit Date]],EmployeeData[[#This Row],[Join Date]]))</f>
        <v>1498</v>
      </c>
      <c r="L51" cm="1">
        <f t="array" aca="1" ref="L51" ca="1">_xlfn.IFS(EmployeeData[[#This Row],[Status]]="Exited",DATEDIF(EmployeeData[[#This Row],[Join Date]], EmployeeData[[#This Row],[Exit Date]], "Y"),EmployeeData[[#This Row],[Status]]="Active",DATEDIF(EmployeeData[[#This Row],[Join Date]], TODAY(), "Y"))</f>
        <v>4</v>
      </c>
      <c r="Q51" t="str" cm="1">
        <f t="array" aca="1" ref="Q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7 days</v>
      </c>
    </row>
    <row r="52" spans="1:17" x14ac:dyDescent="0.3">
      <c r="A52">
        <v>1051</v>
      </c>
      <c r="B52" t="s">
        <v>176</v>
      </c>
      <c r="C52" t="s">
        <v>15</v>
      </c>
      <c r="D52" t="s">
        <v>16</v>
      </c>
      <c r="E52">
        <v>28</v>
      </c>
      <c r="F52" t="str" cm="1">
        <f t="array" ref="F52">_xlfn.IFS(EmployeeData[[#This Row],[Age]]&lt;30,"20s",EmployeeData[[#This Row],[Age]]&lt;40,"30s",EmployeeData[[#This Row],[Age]]&lt;50,"40s",EmployeeData[[#This Row],[Age]]&lt;60,"50s",EmployeeData[[#This Row],[Age]]&gt;=60,"60s")</f>
        <v>20s</v>
      </c>
      <c r="G52" s="5">
        <v>44970</v>
      </c>
      <c r="H52" s="5">
        <v>46011</v>
      </c>
      <c r="I52" t="s">
        <v>28</v>
      </c>
      <c r="J52" t="s">
        <v>13</v>
      </c>
      <c r="K52" cm="1">
        <f t="array" aca="1" ref="K52" ca="1">_xlfn.IFS(EmployeeData[[#This Row],[Status]]="Active",_xlfn.DAYS(TODAY(),EmployeeData[[#This Row],[Join Date]]),EmployeeData[[#This Row],[Status]]="Exited",_xlfn.DAYS(EmployeeData[[#This Row],[Exit Date]],EmployeeData[[#This Row],[Join Date]]))</f>
        <v>1041</v>
      </c>
      <c r="L52" cm="1">
        <f t="array" aca="1" ref="L52" ca="1">_xlfn.IFS(EmployeeData[[#This Row],[Status]]="Exited",DATEDIF(EmployeeData[[#This Row],[Join Date]], EmployeeData[[#This Row],[Exit Date]], "Y"),EmployeeData[[#This Row],[Status]]="Active",DATEDIF(EmployeeData[[#This Row],[Join Date]], TODAY(), "Y"))</f>
        <v>2</v>
      </c>
      <c r="Q52" t="str" cm="1">
        <f t="array" aca="1" ref="Q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7 days</v>
      </c>
    </row>
    <row r="53" spans="1:17" x14ac:dyDescent="0.3">
      <c r="A53">
        <v>1052</v>
      </c>
      <c r="B53" t="s">
        <v>713</v>
      </c>
      <c r="C53" t="s">
        <v>23</v>
      </c>
      <c r="D53" t="s">
        <v>11</v>
      </c>
      <c r="E53">
        <v>53</v>
      </c>
      <c r="F53" t="str" cm="1">
        <f t="array" ref="F53">_xlfn.IFS(EmployeeData[[#This Row],[Age]]&lt;30,"20s",EmployeeData[[#This Row],[Age]]&lt;40,"30s",EmployeeData[[#This Row],[Age]]&lt;50,"40s",EmployeeData[[#This Row],[Age]]&lt;60,"50s",EmployeeData[[#This Row],[Age]]&gt;=60,"60s")</f>
        <v>50s</v>
      </c>
      <c r="G53" s="5">
        <v>44848</v>
      </c>
      <c r="I53" t="s">
        <v>17</v>
      </c>
      <c r="J53" t="s">
        <v>18</v>
      </c>
      <c r="K53" cm="1">
        <f t="array" aca="1" ref="K53" ca="1">_xlfn.IFS(EmployeeData[[#This Row],[Status]]="Active",_xlfn.DAYS(TODAY(),EmployeeData[[#This Row],[Join Date]]),EmployeeData[[#This Row],[Status]]="Exited",_xlfn.DAYS(EmployeeData[[#This Row],[Exit Date]],EmployeeData[[#This Row],[Join Date]]))</f>
        <v>1349</v>
      </c>
      <c r="L53" cm="1">
        <f t="array" aca="1" ref="L53" ca="1">_xlfn.IFS(EmployeeData[[#This Row],[Status]]="Exited",DATEDIF(EmployeeData[[#This Row],[Join Date]], EmployeeData[[#This Row],[Exit Date]], "Y"),EmployeeData[[#This Row],[Status]]="Active",DATEDIF(EmployeeData[[#This Row],[Join Date]], TODAY(), "Y"))</f>
        <v>3</v>
      </c>
      <c r="Q53" t="str" cm="1">
        <f t="array" aca="1" ref="Q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10 days</v>
      </c>
    </row>
    <row r="54" spans="1:17" x14ac:dyDescent="0.3">
      <c r="A54">
        <v>1053</v>
      </c>
      <c r="B54" t="s">
        <v>438</v>
      </c>
      <c r="C54" t="s">
        <v>20</v>
      </c>
      <c r="D54" t="s">
        <v>24</v>
      </c>
      <c r="E54">
        <v>37</v>
      </c>
      <c r="F54" t="str" cm="1">
        <f t="array" ref="F54">_xlfn.IFS(EmployeeData[[#This Row],[Age]]&lt;30,"20s",EmployeeData[[#This Row],[Age]]&lt;40,"30s",EmployeeData[[#This Row],[Age]]&lt;50,"40s",EmployeeData[[#This Row],[Age]]&lt;60,"50s",EmployeeData[[#This Row],[Age]]&gt;=60,"60s")</f>
        <v>30s</v>
      </c>
      <c r="G54" s="5">
        <v>44113</v>
      </c>
      <c r="I54" t="s">
        <v>17</v>
      </c>
      <c r="J54" t="s">
        <v>18</v>
      </c>
      <c r="K54" cm="1">
        <f t="array" aca="1" ref="K54" ca="1">_xlfn.IFS(EmployeeData[[#This Row],[Status]]="Active",_xlfn.DAYS(TODAY(),EmployeeData[[#This Row],[Join Date]]),EmployeeData[[#This Row],[Status]]="Exited",_xlfn.DAYS(EmployeeData[[#This Row],[Exit Date]],EmployeeData[[#This Row],[Join Date]]))</f>
        <v>2084</v>
      </c>
      <c r="L54" cm="1">
        <f t="array" aca="1" ref="L54" ca="1">_xlfn.IFS(EmployeeData[[#This Row],[Status]]="Exited",DATEDIF(EmployeeData[[#This Row],[Join Date]], EmployeeData[[#This Row],[Exit Date]], "Y"),EmployeeData[[#This Row],[Status]]="Active",DATEDIF(EmployeeData[[#This Row],[Join Date]], TODAY(), "Y"))</f>
        <v>5</v>
      </c>
      <c r="Q54" t="str" cm="1">
        <f t="array" aca="1" ref="Q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15 days</v>
      </c>
    </row>
    <row r="55" spans="1:17" x14ac:dyDescent="0.3">
      <c r="A55">
        <v>1054</v>
      </c>
      <c r="B55" t="s">
        <v>81</v>
      </c>
      <c r="C55" t="s">
        <v>10</v>
      </c>
      <c r="D55" t="s">
        <v>16</v>
      </c>
      <c r="E55">
        <v>39</v>
      </c>
      <c r="F55" t="str" cm="1">
        <f t="array" ref="F55">_xlfn.IFS(EmployeeData[[#This Row],[Age]]&lt;30,"20s",EmployeeData[[#This Row],[Age]]&lt;40,"30s",EmployeeData[[#This Row],[Age]]&lt;50,"40s",EmployeeData[[#This Row],[Age]]&lt;60,"50s",EmployeeData[[#This Row],[Age]]&gt;=60,"60s")</f>
        <v>30s</v>
      </c>
      <c r="G55" s="5">
        <v>44061</v>
      </c>
      <c r="H55" s="5">
        <v>44805</v>
      </c>
      <c r="I55" t="s">
        <v>52</v>
      </c>
      <c r="J55" t="s">
        <v>13</v>
      </c>
      <c r="K55" cm="1">
        <f t="array" aca="1" ref="K55" ca="1">_xlfn.IFS(EmployeeData[[#This Row],[Status]]="Active",_xlfn.DAYS(TODAY(),EmployeeData[[#This Row],[Join Date]]),EmployeeData[[#This Row],[Status]]="Exited",_xlfn.DAYS(EmployeeData[[#This Row],[Exit Date]],EmployeeData[[#This Row],[Join Date]]))</f>
        <v>744</v>
      </c>
      <c r="L55" cm="1">
        <f t="array" aca="1" ref="L55" ca="1">_xlfn.IFS(EmployeeData[[#This Row],[Status]]="Exited",DATEDIF(EmployeeData[[#This Row],[Join Date]], EmployeeData[[#This Row],[Exit Date]], "Y"),EmployeeData[[#This Row],[Status]]="Active",DATEDIF(EmployeeData[[#This Row],[Join Date]], TODAY(), "Y"))</f>
        <v>2</v>
      </c>
      <c r="Q55" t="str" cm="1">
        <f t="array" aca="1" ref="Q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14 days</v>
      </c>
    </row>
    <row r="56" spans="1:17" x14ac:dyDescent="0.3">
      <c r="A56">
        <v>1055</v>
      </c>
      <c r="B56" t="s">
        <v>842</v>
      </c>
      <c r="C56" t="s">
        <v>20</v>
      </c>
      <c r="D56" t="s">
        <v>11</v>
      </c>
      <c r="E56">
        <v>25</v>
      </c>
      <c r="F56" t="str" cm="1">
        <f t="array" ref="F56">_xlfn.IFS(EmployeeData[[#This Row],[Age]]&lt;30,"20s",EmployeeData[[#This Row],[Age]]&lt;40,"30s",EmployeeData[[#This Row],[Age]]&lt;50,"40s",EmployeeData[[#This Row],[Age]]&lt;60,"50s",EmployeeData[[#This Row],[Age]]&gt;=60,"60s")</f>
        <v>20s</v>
      </c>
      <c r="G56" s="5">
        <v>44800</v>
      </c>
      <c r="I56" t="s">
        <v>17</v>
      </c>
      <c r="J56" t="s">
        <v>18</v>
      </c>
      <c r="K56" cm="1">
        <f t="array" aca="1" ref="K56" ca="1">_xlfn.IFS(EmployeeData[[#This Row],[Status]]="Active",_xlfn.DAYS(TODAY(),EmployeeData[[#This Row],[Join Date]]),EmployeeData[[#This Row],[Status]]="Exited",_xlfn.DAYS(EmployeeData[[#This Row],[Exit Date]],EmployeeData[[#This Row],[Join Date]]))</f>
        <v>1397</v>
      </c>
      <c r="L56" cm="1">
        <f t="array" aca="1" ref="L56" ca="1">_xlfn.IFS(EmployeeData[[#This Row],[Status]]="Exited",DATEDIF(EmployeeData[[#This Row],[Join Date]], EmployeeData[[#This Row],[Exit Date]], "Y"),EmployeeData[[#This Row],[Status]]="Active",DATEDIF(EmployeeData[[#This Row],[Join Date]], TODAY(), "Y"))</f>
        <v>3</v>
      </c>
      <c r="Q56" t="str" cm="1">
        <f t="array" aca="1" ref="Q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28 days</v>
      </c>
    </row>
    <row r="57" spans="1:17" x14ac:dyDescent="0.3">
      <c r="A57">
        <v>1056</v>
      </c>
      <c r="B57" t="s">
        <v>1095</v>
      </c>
      <c r="C57" t="s">
        <v>33</v>
      </c>
      <c r="D57" t="s">
        <v>24</v>
      </c>
      <c r="E57">
        <v>58</v>
      </c>
      <c r="F57" t="str" cm="1">
        <f t="array" ref="F57">_xlfn.IFS(EmployeeData[[#This Row],[Age]]&lt;30,"20s",EmployeeData[[#This Row],[Age]]&lt;40,"30s",EmployeeData[[#This Row],[Age]]&lt;50,"40s",EmployeeData[[#This Row],[Age]]&lt;60,"50s",EmployeeData[[#This Row],[Age]]&gt;=60,"60s")</f>
        <v>50s</v>
      </c>
      <c r="G57" s="5">
        <v>45949</v>
      </c>
      <c r="H57" s="5">
        <v>46136</v>
      </c>
      <c r="I57" t="s">
        <v>12</v>
      </c>
      <c r="J57" t="s">
        <v>13</v>
      </c>
      <c r="K57" cm="1">
        <f t="array" aca="1" ref="K57" ca="1">_xlfn.IFS(EmployeeData[[#This Row],[Status]]="Active",_xlfn.DAYS(TODAY(),EmployeeData[[#This Row],[Join Date]]),EmployeeData[[#This Row],[Status]]="Exited",_xlfn.DAYS(EmployeeData[[#This Row],[Exit Date]],EmployeeData[[#This Row],[Join Date]]))</f>
        <v>187</v>
      </c>
      <c r="L57" cm="1">
        <f t="array" aca="1" ref="L57" ca="1">_xlfn.IFS(EmployeeData[[#This Row],[Status]]="Exited",DATEDIF(EmployeeData[[#This Row],[Join Date]], EmployeeData[[#This Row],[Exit Date]], "Y"),EmployeeData[[#This Row],[Status]]="Active",DATEDIF(EmployeeData[[#This Row],[Join Date]], TODAY(), "Y"))</f>
        <v>0</v>
      </c>
      <c r="Q57" t="str" cm="1">
        <f t="array" aca="1" ref="Q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5 days</v>
      </c>
    </row>
    <row r="58" spans="1:17" x14ac:dyDescent="0.3">
      <c r="A58">
        <v>1057</v>
      </c>
      <c r="B58" t="s">
        <v>886</v>
      </c>
      <c r="C58" t="s">
        <v>33</v>
      </c>
      <c r="D58" t="s">
        <v>11</v>
      </c>
      <c r="E58">
        <v>47</v>
      </c>
      <c r="F58" t="str" cm="1">
        <f t="array" ref="F58">_xlfn.IFS(EmployeeData[[#This Row],[Age]]&lt;30,"20s",EmployeeData[[#This Row],[Age]]&lt;40,"30s",EmployeeData[[#This Row],[Age]]&lt;50,"40s",EmployeeData[[#This Row],[Age]]&lt;60,"50s",EmployeeData[[#This Row],[Age]]&gt;=60,"60s")</f>
        <v>40s</v>
      </c>
      <c r="G58" s="5">
        <v>45305</v>
      </c>
      <c r="I58" t="s">
        <v>17</v>
      </c>
      <c r="J58" t="s">
        <v>18</v>
      </c>
      <c r="K58" cm="1">
        <f t="array" aca="1" ref="K58" ca="1">_xlfn.IFS(EmployeeData[[#This Row],[Status]]="Active",_xlfn.DAYS(TODAY(),EmployeeData[[#This Row],[Join Date]]),EmployeeData[[#This Row],[Status]]="Exited",_xlfn.DAYS(EmployeeData[[#This Row],[Exit Date]],EmployeeData[[#This Row],[Join Date]]))</f>
        <v>892</v>
      </c>
      <c r="L58" cm="1">
        <f t="array" aca="1" ref="L58" ca="1">_xlfn.IFS(EmployeeData[[#This Row],[Status]]="Exited",DATEDIF(EmployeeData[[#This Row],[Join Date]], EmployeeData[[#This Row],[Exit Date]], "Y"),EmployeeData[[#This Row],[Status]]="Active",DATEDIF(EmployeeData[[#This Row],[Join Date]], TODAY(), "Y"))</f>
        <v>2</v>
      </c>
      <c r="Q58" t="str" cm="1">
        <f t="array" aca="1" ref="Q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10 days</v>
      </c>
    </row>
    <row r="59" spans="1:17" x14ac:dyDescent="0.3">
      <c r="A59">
        <v>1058</v>
      </c>
      <c r="B59" t="s">
        <v>175</v>
      </c>
      <c r="C59" t="s">
        <v>23</v>
      </c>
      <c r="D59" t="s">
        <v>16</v>
      </c>
      <c r="E59">
        <v>52</v>
      </c>
      <c r="F59" t="str" cm="1">
        <f t="array" ref="F59">_xlfn.IFS(EmployeeData[[#This Row],[Age]]&lt;30,"20s",EmployeeData[[#This Row],[Age]]&lt;40,"30s",EmployeeData[[#This Row],[Age]]&lt;50,"40s",EmployeeData[[#This Row],[Age]]&lt;60,"50s",EmployeeData[[#This Row],[Age]]&gt;=60,"60s")</f>
        <v>50s</v>
      </c>
      <c r="G59" s="5">
        <v>43219</v>
      </c>
      <c r="I59" t="s">
        <v>17</v>
      </c>
      <c r="J59" t="s">
        <v>18</v>
      </c>
      <c r="K59" cm="1">
        <f t="array" aca="1" ref="K59" ca="1">_xlfn.IFS(EmployeeData[[#This Row],[Status]]="Active",_xlfn.DAYS(TODAY(),EmployeeData[[#This Row],[Join Date]]),EmployeeData[[#This Row],[Status]]="Exited",_xlfn.DAYS(EmployeeData[[#This Row],[Exit Date]],EmployeeData[[#This Row],[Join Date]]))</f>
        <v>2978</v>
      </c>
      <c r="L59" cm="1">
        <f t="array" aca="1" ref="L59" ca="1">_xlfn.IFS(EmployeeData[[#This Row],[Status]]="Exited",DATEDIF(EmployeeData[[#This Row],[Join Date]], EmployeeData[[#This Row],[Exit Date]], "Y"),EmployeeData[[#This Row],[Status]]="Active",DATEDIF(EmployeeData[[#This Row],[Join Date]], TODAY(), "Y"))</f>
        <v>8</v>
      </c>
      <c r="Q59" t="str" cm="1">
        <f t="array" aca="1" ref="Q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26 days</v>
      </c>
    </row>
    <row r="60" spans="1:17" x14ac:dyDescent="0.3">
      <c r="A60">
        <v>1059</v>
      </c>
      <c r="B60" t="s">
        <v>803</v>
      </c>
      <c r="C60" t="s">
        <v>46</v>
      </c>
      <c r="D60" t="s">
        <v>11</v>
      </c>
      <c r="E60">
        <v>55</v>
      </c>
      <c r="F60" t="str" cm="1">
        <f t="array" ref="F60">_xlfn.IFS(EmployeeData[[#This Row],[Age]]&lt;30,"20s",EmployeeData[[#This Row],[Age]]&lt;40,"30s",EmployeeData[[#This Row],[Age]]&lt;50,"40s",EmployeeData[[#This Row],[Age]]&lt;60,"50s",EmployeeData[[#This Row],[Age]]&gt;=60,"60s")</f>
        <v>50s</v>
      </c>
      <c r="G60" s="5">
        <v>43211</v>
      </c>
      <c r="I60" t="s">
        <v>17</v>
      </c>
      <c r="J60" t="s">
        <v>18</v>
      </c>
      <c r="K60" cm="1">
        <f t="array" aca="1" ref="K60" ca="1">_xlfn.IFS(EmployeeData[[#This Row],[Status]]="Active",_xlfn.DAYS(TODAY(),EmployeeData[[#This Row],[Join Date]]),EmployeeData[[#This Row],[Status]]="Exited",_xlfn.DAYS(EmployeeData[[#This Row],[Exit Date]],EmployeeData[[#This Row],[Join Date]]))</f>
        <v>2986</v>
      </c>
      <c r="L60" cm="1">
        <f t="array" aca="1" ref="L60" ca="1">_xlfn.IFS(EmployeeData[[#This Row],[Status]]="Exited",DATEDIF(EmployeeData[[#This Row],[Join Date]], EmployeeData[[#This Row],[Exit Date]], "Y"),EmployeeData[[#This Row],[Status]]="Active",DATEDIF(EmployeeData[[#This Row],[Join Date]], TODAY(), "Y"))</f>
        <v>8</v>
      </c>
      <c r="Q60" t="str" cm="1">
        <f t="array" aca="1" ref="Q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3 days</v>
      </c>
    </row>
    <row r="61" spans="1:17" x14ac:dyDescent="0.3">
      <c r="A61">
        <v>1060</v>
      </c>
      <c r="B61" t="s">
        <v>1092</v>
      </c>
      <c r="C61" t="s">
        <v>15</v>
      </c>
      <c r="D61" t="s">
        <v>24</v>
      </c>
      <c r="E61">
        <v>64</v>
      </c>
      <c r="F61" t="str" cm="1">
        <f t="array" ref="F61">_xlfn.IFS(EmployeeData[[#This Row],[Age]]&lt;30,"20s",EmployeeData[[#This Row],[Age]]&lt;40,"30s",EmployeeData[[#This Row],[Age]]&lt;50,"40s",EmployeeData[[#This Row],[Age]]&lt;60,"50s",EmployeeData[[#This Row],[Age]]&gt;=60,"60s")</f>
        <v>60s</v>
      </c>
      <c r="G61" s="5">
        <v>43845</v>
      </c>
      <c r="H61" s="5">
        <v>45487</v>
      </c>
      <c r="I61" t="s">
        <v>26</v>
      </c>
      <c r="J61" t="s">
        <v>13</v>
      </c>
      <c r="K61" cm="1">
        <f t="array" aca="1" ref="K61" ca="1">_xlfn.IFS(EmployeeData[[#This Row],[Status]]="Active",_xlfn.DAYS(TODAY(),EmployeeData[[#This Row],[Join Date]]),EmployeeData[[#This Row],[Status]]="Exited",_xlfn.DAYS(EmployeeData[[#This Row],[Exit Date]],EmployeeData[[#This Row],[Join Date]]))</f>
        <v>1642</v>
      </c>
      <c r="L61" cm="1">
        <f t="array" aca="1" ref="L61" ca="1">_xlfn.IFS(EmployeeData[[#This Row],[Status]]="Exited",DATEDIF(EmployeeData[[#This Row],[Join Date]], EmployeeData[[#This Row],[Exit Date]], "Y"),EmployeeData[[#This Row],[Status]]="Active",DATEDIF(EmployeeData[[#This Row],[Join Date]], TODAY(), "Y"))</f>
        <v>4</v>
      </c>
      <c r="Q61" t="str" cm="1">
        <f t="array" aca="1" ref="Q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29 days</v>
      </c>
    </row>
    <row r="62" spans="1:17" x14ac:dyDescent="0.3">
      <c r="A62">
        <v>1061</v>
      </c>
      <c r="B62" t="s">
        <v>1055</v>
      </c>
      <c r="C62" t="s">
        <v>10</v>
      </c>
      <c r="D62" t="s">
        <v>11</v>
      </c>
      <c r="E62">
        <v>47</v>
      </c>
      <c r="F62" t="str" cm="1">
        <f t="array" ref="F62">_xlfn.IFS(EmployeeData[[#This Row],[Age]]&lt;30,"20s",EmployeeData[[#This Row],[Age]]&lt;40,"30s",EmployeeData[[#This Row],[Age]]&lt;50,"40s",EmployeeData[[#This Row],[Age]]&lt;60,"50s",EmployeeData[[#This Row],[Age]]&gt;=60,"60s")</f>
        <v>40s</v>
      </c>
      <c r="G62" s="5">
        <v>44134</v>
      </c>
      <c r="I62" t="s">
        <v>17</v>
      </c>
      <c r="J62" t="s">
        <v>18</v>
      </c>
      <c r="K62" cm="1">
        <f t="array" aca="1" ref="K62" ca="1">_xlfn.IFS(EmployeeData[[#This Row],[Status]]="Active",_xlfn.DAYS(TODAY(),EmployeeData[[#This Row],[Join Date]]),EmployeeData[[#This Row],[Status]]="Exited",_xlfn.DAYS(EmployeeData[[#This Row],[Exit Date]],EmployeeData[[#This Row],[Join Date]]))</f>
        <v>2063</v>
      </c>
      <c r="L62" cm="1">
        <f t="array" aca="1" ref="L62" ca="1">_xlfn.IFS(EmployeeData[[#This Row],[Status]]="Exited",DATEDIF(EmployeeData[[#This Row],[Join Date]], EmployeeData[[#This Row],[Exit Date]], "Y"),EmployeeData[[#This Row],[Status]]="Active",DATEDIF(EmployeeData[[#This Row],[Join Date]], TODAY(), "Y"))</f>
        <v>5</v>
      </c>
      <c r="Q62" t="str" cm="1">
        <f t="array" aca="1" ref="Q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25 days</v>
      </c>
    </row>
    <row r="63" spans="1:17" x14ac:dyDescent="0.3">
      <c r="A63">
        <v>1062</v>
      </c>
      <c r="B63" t="s">
        <v>525</v>
      </c>
      <c r="C63" t="s">
        <v>15</v>
      </c>
      <c r="D63" t="s">
        <v>11</v>
      </c>
      <c r="E63">
        <v>35</v>
      </c>
      <c r="F63" t="str" cm="1">
        <f t="array" ref="F63">_xlfn.IFS(EmployeeData[[#This Row],[Age]]&lt;30,"20s",EmployeeData[[#This Row],[Age]]&lt;40,"30s",EmployeeData[[#This Row],[Age]]&lt;50,"40s",EmployeeData[[#This Row],[Age]]&lt;60,"50s",EmployeeData[[#This Row],[Age]]&gt;=60,"60s")</f>
        <v>30s</v>
      </c>
      <c r="G63" s="5">
        <v>45763</v>
      </c>
      <c r="H63" s="5">
        <v>45873</v>
      </c>
      <c r="I63" t="s">
        <v>34</v>
      </c>
      <c r="J63" t="s">
        <v>13</v>
      </c>
      <c r="K63" cm="1">
        <f t="array" aca="1" ref="K63" ca="1">_xlfn.IFS(EmployeeData[[#This Row],[Status]]="Active",_xlfn.DAYS(TODAY(),EmployeeData[[#This Row],[Join Date]]),EmployeeData[[#This Row],[Status]]="Exited",_xlfn.DAYS(EmployeeData[[#This Row],[Exit Date]],EmployeeData[[#This Row],[Join Date]]))</f>
        <v>110</v>
      </c>
      <c r="L63" cm="1">
        <f t="array" aca="1" ref="L63" ca="1">_xlfn.IFS(EmployeeData[[#This Row],[Status]]="Exited",DATEDIF(EmployeeData[[#This Row],[Join Date]], EmployeeData[[#This Row],[Exit Date]], "Y"),EmployeeData[[#This Row],[Status]]="Active",DATEDIF(EmployeeData[[#This Row],[Join Date]], TODAY(), "Y"))</f>
        <v>0</v>
      </c>
      <c r="Q63" t="str" cm="1">
        <f t="array" aca="1" ref="Q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19 days</v>
      </c>
    </row>
    <row r="64" spans="1:17" x14ac:dyDescent="0.3">
      <c r="A64">
        <v>1063</v>
      </c>
      <c r="B64" t="s">
        <v>280</v>
      </c>
      <c r="C64" t="s">
        <v>23</v>
      </c>
      <c r="D64" t="s">
        <v>16</v>
      </c>
      <c r="E64">
        <v>51</v>
      </c>
      <c r="F64" t="str" cm="1">
        <f t="array" ref="F64">_xlfn.IFS(EmployeeData[[#This Row],[Age]]&lt;30,"20s",EmployeeData[[#This Row],[Age]]&lt;40,"30s",EmployeeData[[#This Row],[Age]]&lt;50,"40s",EmployeeData[[#This Row],[Age]]&lt;60,"50s",EmployeeData[[#This Row],[Age]]&gt;=60,"60s")</f>
        <v>50s</v>
      </c>
      <c r="G64" s="5">
        <v>45843</v>
      </c>
      <c r="H64" s="5">
        <v>46175</v>
      </c>
      <c r="I64" t="s">
        <v>31</v>
      </c>
      <c r="J64" t="s">
        <v>13</v>
      </c>
      <c r="K64" cm="1">
        <f t="array" aca="1" ref="K64" ca="1">_xlfn.IFS(EmployeeData[[#This Row],[Status]]="Active",_xlfn.DAYS(TODAY(),EmployeeData[[#This Row],[Join Date]]),EmployeeData[[#This Row],[Status]]="Exited",_xlfn.DAYS(EmployeeData[[#This Row],[Exit Date]],EmployeeData[[#This Row],[Join Date]]))</f>
        <v>332</v>
      </c>
      <c r="L64" cm="1">
        <f t="array" aca="1" ref="L64" ca="1">_xlfn.IFS(EmployeeData[[#This Row],[Status]]="Exited",DATEDIF(EmployeeData[[#This Row],[Join Date]], EmployeeData[[#This Row],[Exit Date]], "Y"),EmployeeData[[#This Row],[Status]]="Active",DATEDIF(EmployeeData[[#This Row],[Join Date]], TODAY(), "Y"))</f>
        <v>0</v>
      </c>
      <c r="Q64" t="str" cm="1">
        <f t="array" aca="1" ref="Q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28 days</v>
      </c>
    </row>
    <row r="65" spans="1:17" x14ac:dyDescent="0.3">
      <c r="A65">
        <v>1064</v>
      </c>
      <c r="B65" t="s">
        <v>47</v>
      </c>
      <c r="C65" t="s">
        <v>20</v>
      </c>
      <c r="D65" t="s">
        <v>16</v>
      </c>
      <c r="E65">
        <v>40</v>
      </c>
      <c r="F65" t="str" cm="1">
        <f t="array" ref="F65">_xlfn.IFS(EmployeeData[[#This Row],[Age]]&lt;30,"20s",EmployeeData[[#This Row],[Age]]&lt;40,"30s",EmployeeData[[#This Row],[Age]]&lt;50,"40s",EmployeeData[[#This Row],[Age]]&lt;60,"50s",EmployeeData[[#This Row],[Age]]&gt;=60,"60s")</f>
        <v>40s</v>
      </c>
      <c r="G65" s="5">
        <v>43543</v>
      </c>
      <c r="I65" t="s">
        <v>17</v>
      </c>
      <c r="J65" t="s">
        <v>18</v>
      </c>
      <c r="K65" cm="1">
        <f t="array" aca="1" ref="K65" ca="1">_xlfn.IFS(EmployeeData[[#This Row],[Status]]="Active",_xlfn.DAYS(TODAY(),EmployeeData[[#This Row],[Join Date]]),EmployeeData[[#This Row],[Status]]="Exited",_xlfn.DAYS(EmployeeData[[#This Row],[Exit Date]],EmployeeData[[#This Row],[Join Date]]))</f>
        <v>2654</v>
      </c>
      <c r="L65" cm="1">
        <f t="array" aca="1" ref="L65" ca="1">_xlfn.IFS(EmployeeData[[#This Row],[Status]]="Exited",DATEDIF(EmployeeData[[#This Row],[Join Date]], EmployeeData[[#This Row],[Exit Date]], "Y"),EmployeeData[[#This Row],[Status]]="Active",DATEDIF(EmployeeData[[#This Row],[Join Date]], TODAY(), "Y"))</f>
        <v>7</v>
      </c>
      <c r="Q65" t="str" cm="1">
        <f t="array" aca="1" ref="Q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5 days</v>
      </c>
    </row>
    <row r="66" spans="1:17" x14ac:dyDescent="0.3">
      <c r="A66">
        <v>1065</v>
      </c>
      <c r="B66" t="s">
        <v>245</v>
      </c>
      <c r="C66" t="s">
        <v>46</v>
      </c>
      <c r="D66" t="s">
        <v>24</v>
      </c>
      <c r="E66">
        <v>33</v>
      </c>
      <c r="F66" t="str" cm="1">
        <f t="array" ref="F66">_xlfn.IFS(EmployeeData[[#This Row],[Age]]&lt;30,"20s",EmployeeData[[#This Row],[Age]]&lt;40,"30s",EmployeeData[[#This Row],[Age]]&lt;50,"40s",EmployeeData[[#This Row],[Age]]&lt;60,"50s",EmployeeData[[#This Row],[Age]]&gt;=60,"60s")</f>
        <v>30s</v>
      </c>
      <c r="G66" s="5">
        <v>43412</v>
      </c>
      <c r="I66" t="s">
        <v>17</v>
      </c>
      <c r="J66" t="s">
        <v>18</v>
      </c>
      <c r="K66" cm="1">
        <f t="array" aca="1" ref="K66" ca="1">_xlfn.IFS(EmployeeData[[#This Row],[Status]]="Active",_xlfn.DAYS(TODAY(),EmployeeData[[#This Row],[Join Date]]),EmployeeData[[#This Row],[Status]]="Exited",_xlfn.DAYS(EmployeeData[[#This Row],[Exit Date]],EmployeeData[[#This Row],[Join Date]]))</f>
        <v>2785</v>
      </c>
      <c r="L66" cm="1">
        <f t="array" aca="1" ref="L66" ca="1">_xlfn.IFS(EmployeeData[[#This Row],[Status]]="Exited",DATEDIF(EmployeeData[[#This Row],[Join Date]], EmployeeData[[#This Row],[Exit Date]], "Y"),EmployeeData[[#This Row],[Status]]="Active",DATEDIF(EmployeeData[[#This Row],[Join Date]], TODAY(), "Y"))</f>
        <v>7</v>
      </c>
      <c r="Q66" t="str" cm="1">
        <f t="array" aca="1" ref="Q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16 days</v>
      </c>
    </row>
    <row r="67" spans="1:17" x14ac:dyDescent="0.3">
      <c r="A67">
        <v>1066</v>
      </c>
      <c r="B67" t="s">
        <v>100</v>
      </c>
      <c r="C67" t="s">
        <v>10</v>
      </c>
      <c r="D67" t="s">
        <v>11</v>
      </c>
      <c r="E67">
        <v>28</v>
      </c>
      <c r="F67" t="str" cm="1">
        <f t="array" ref="F67">_xlfn.IFS(EmployeeData[[#This Row],[Age]]&lt;30,"20s",EmployeeData[[#This Row],[Age]]&lt;40,"30s",EmployeeData[[#This Row],[Age]]&lt;50,"40s",EmployeeData[[#This Row],[Age]]&lt;60,"50s",EmployeeData[[#This Row],[Age]]&gt;=60,"60s")</f>
        <v>20s</v>
      </c>
      <c r="G67" s="5">
        <v>45419</v>
      </c>
      <c r="I67" t="s">
        <v>17</v>
      </c>
      <c r="J67" t="s">
        <v>18</v>
      </c>
      <c r="K67" cm="1">
        <f t="array" aca="1" ref="K67" ca="1">_xlfn.IFS(EmployeeData[[#This Row],[Status]]="Active",_xlfn.DAYS(TODAY(),EmployeeData[[#This Row],[Join Date]]),EmployeeData[[#This Row],[Status]]="Exited",_xlfn.DAYS(EmployeeData[[#This Row],[Exit Date]],EmployeeData[[#This Row],[Join Date]]))</f>
        <v>778</v>
      </c>
      <c r="L67" cm="1">
        <f t="array" aca="1" ref="L67" ca="1">_xlfn.IFS(EmployeeData[[#This Row],[Status]]="Exited",DATEDIF(EmployeeData[[#This Row],[Join Date]], EmployeeData[[#This Row],[Exit Date]], "Y"),EmployeeData[[#This Row],[Status]]="Active",DATEDIF(EmployeeData[[#This Row],[Join Date]], TODAY(), "Y"))</f>
        <v>2</v>
      </c>
      <c r="Q67" t="str" cm="1">
        <f t="array" aca="1" ref="Q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17 days</v>
      </c>
    </row>
    <row r="68" spans="1:17" x14ac:dyDescent="0.3">
      <c r="A68">
        <v>1067</v>
      </c>
      <c r="B68" t="s">
        <v>947</v>
      </c>
      <c r="C68" t="s">
        <v>15</v>
      </c>
      <c r="D68" t="s">
        <v>24</v>
      </c>
      <c r="E68">
        <v>21</v>
      </c>
      <c r="F68" t="str" cm="1">
        <f t="array" ref="F68">_xlfn.IFS(EmployeeData[[#This Row],[Age]]&lt;30,"20s",EmployeeData[[#This Row],[Age]]&lt;40,"30s",EmployeeData[[#This Row],[Age]]&lt;50,"40s",EmployeeData[[#This Row],[Age]]&lt;60,"50s",EmployeeData[[#This Row],[Age]]&gt;=60,"60s")</f>
        <v>20s</v>
      </c>
      <c r="G68" s="5">
        <v>44821</v>
      </c>
      <c r="I68" t="s">
        <v>17</v>
      </c>
      <c r="J68" t="s">
        <v>18</v>
      </c>
      <c r="K68" cm="1">
        <f t="array" aca="1" ref="K68" ca="1">_xlfn.IFS(EmployeeData[[#This Row],[Status]]="Active",_xlfn.DAYS(TODAY(),EmployeeData[[#This Row],[Join Date]]),EmployeeData[[#This Row],[Status]]="Exited",_xlfn.DAYS(EmployeeData[[#This Row],[Exit Date]],EmployeeData[[#This Row],[Join Date]]))</f>
        <v>1376</v>
      </c>
      <c r="L68" cm="1">
        <f t="array" aca="1" ref="L68" ca="1">_xlfn.IFS(EmployeeData[[#This Row],[Status]]="Exited",DATEDIF(EmployeeData[[#This Row],[Join Date]], EmployeeData[[#This Row],[Exit Date]], "Y"),EmployeeData[[#This Row],[Status]]="Active",DATEDIF(EmployeeData[[#This Row],[Join Date]], TODAY(), "Y"))</f>
        <v>3</v>
      </c>
      <c r="Q68" t="str" cm="1">
        <f t="array" aca="1" ref="Q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7 days</v>
      </c>
    </row>
    <row r="69" spans="1:17" x14ac:dyDescent="0.3">
      <c r="A69">
        <v>1068</v>
      </c>
      <c r="B69" t="s">
        <v>834</v>
      </c>
      <c r="C69" t="s">
        <v>23</v>
      </c>
      <c r="D69" t="s">
        <v>11</v>
      </c>
      <c r="E69">
        <v>30</v>
      </c>
      <c r="F69" t="str" cm="1">
        <f t="array" ref="F69">_xlfn.IFS(EmployeeData[[#This Row],[Age]]&lt;30,"20s",EmployeeData[[#This Row],[Age]]&lt;40,"30s",EmployeeData[[#This Row],[Age]]&lt;50,"40s",EmployeeData[[#This Row],[Age]]&lt;60,"50s",EmployeeData[[#This Row],[Age]]&gt;=60,"60s")</f>
        <v>30s</v>
      </c>
      <c r="G69" s="5">
        <v>44884</v>
      </c>
      <c r="H69" s="5">
        <v>46042</v>
      </c>
      <c r="I69" t="s">
        <v>21</v>
      </c>
      <c r="J69" t="s">
        <v>13</v>
      </c>
      <c r="K69" cm="1">
        <f t="array" aca="1" ref="K69" ca="1">_xlfn.IFS(EmployeeData[[#This Row],[Status]]="Active",_xlfn.DAYS(TODAY(),EmployeeData[[#This Row],[Join Date]]),EmployeeData[[#This Row],[Status]]="Exited",_xlfn.DAYS(EmployeeData[[#This Row],[Exit Date]],EmployeeData[[#This Row],[Join Date]]))</f>
        <v>1158</v>
      </c>
      <c r="L69" cm="1">
        <f t="array" aca="1" ref="L69" ca="1">_xlfn.IFS(EmployeeData[[#This Row],[Status]]="Exited",DATEDIF(EmployeeData[[#This Row],[Join Date]], EmployeeData[[#This Row],[Exit Date]], "Y"),EmployeeData[[#This Row],[Status]]="Active",DATEDIF(EmployeeData[[#This Row],[Join Date]], TODAY(), "Y"))</f>
        <v>3</v>
      </c>
      <c r="Q69" t="str" cm="1">
        <f t="array" aca="1" ref="Q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 days</v>
      </c>
    </row>
    <row r="70" spans="1:17" x14ac:dyDescent="0.3">
      <c r="A70">
        <v>1069</v>
      </c>
      <c r="B70" t="s">
        <v>908</v>
      </c>
      <c r="C70" t="s">
        <v>23</v>
      </c>
      <c r="D70" t="s">
        <v>24</v>
      </c>
      <c r="E70">
        <v>48</v>
      </c>
      <c r="F70" t="str" cm="1">
        <f t="array" ref="F70">_xlfn.IFS(EmployeeData[[#This Row],[Age]]&lt;30,"20s",EmployeeData[[#This Row],[Age]]&lt;40,"30s",EmployeeData[[#This Row],[Age]]&lt;50,"40s",EmployeeData[[#This Row],[Age]]&lt;60,"50s",EmployeeData[[#This Row],[Age]]&gt;=60,"60s")</f>
        <v>40s</v>
      </c>
      <c r="G70" s="5">
        <v>45527</v>
      </c>
      <c r="H70" s="5">
        <v>45868</v>
      </c>
      <c r="I70" t="s">
        <v>52</v>
      </c>
      <c r="J70" t="s">
        <v>13</v>
      </c>
      <c r="K70" cm="1">
        <f t="array" aca="1" ref="K70" ca="1">_xlfn.IFS(EmployeeData[[#This Row],[Status]]="Active",_xlfn.DAYS(TODAY(),EmployeeData[[#This Row],[Join Date]]),EmployeeData[[#This Row],[Status]]="Exited",_xlfn.DAYS(EmployeeData[[#This Row],[Exit Date]],EmployeeData[[#This Row],[Join Date]]))</f>
        <v>341</v>
      </c>
      <c r="L70" cm="1">
        <f t="array" aca="1" ref="L70" ca="1">_xlfn.IFS(EmployeeData[[#This Row],[Status]]="Exited",DATEDIF(EmployeeData[[#This Row],[Join Date]], EmployeeData[[#This Row],[Exit Date]], "Y"),EmployeeData[[#This Row],[Status]]="Active",DATEDIF(EmployeeData[[#This Row],[Join Date]], TODAY(), "Y"))</f>
        <v>0</v>
      </c>
      <c r="Q70" t="str" cm="1">
        <f t="array" aca="1" ref="Q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7 days</v>
      </c>
    </row>
    <row r="71" spans="1:17" x14ac:dyDescent="0.3">
      <c r="A71">
        <v>1070</v>
      </c>
      <c r="B71" t="s">
        <v>798</v>
      </c>
      <c r="C71" t="s">
        <v>10</v>
      </c>
      <c r="D71" t="s">
        <v>24</v>
      </c>
      <c r="E71">
        <v>45</v>
      </c>
      <c r="F71" t="str" cm="1">
        <f t="array" ref="F71">_xlfn.IFS(EmployeeData[[#This Row],[Age]]&lt;30,"20s",EmployeeData[[#This Row],[Age]]&lt;40,"30s",EmployeeData[[#This Row],[Age]]&lt;50,"40s",EmployeeData[[#This Row],[Age]]&lt;60,"50s",EmployeeData[[#This Row],[Age]]&gt;=60,"60s")</f>
        <v>40s</v>
      </c>
      <c r="G71" s="5">
        <v>44478</v>
      </c>
      <c r="H71" s="5">
        <v>45233</v>
      </c>
      <c r="I71" t="s">
        <v>31</v>
      </c>
      <c r="J71" t="s">
        <v>13</v>
      </c>
      <c r="K71" cm="1">
        <f t="array" aca="1" ref="K71" ca="1">_xlfn.IFS(EmployeeData[[#This Row],[Status]]="Active",_xlfn.DAYS(TODAY(),EmployeeData[[#This Row],[Join Date]]),EmployeeData[[#This Row],[Status]]="Exited",_xlfn.DAYS(EmployeeData[[#This Row],[Exit Date]],EmployeeData[[#This Row],[Join Date]]))</f>
        <v>755</v>
      </c>
      <c r="L71" cm="1">
        <f t="array" aca="1" ref="L71" ca="1">_xlfn.IFS(EmployeeData[[#This Row],[Status]]="Exited",DATEDIF(EmployeeData[[#This Row],[Join Date]], EmployeeData[[#This Row],[Exit Date]], "Y"),EmployeeData[[#This Row],[Status]]="Active",DATEDIF(EmployeeData[[#This Row],[Join Date]], TODAY(), "Y"))</f>
        <v>2</v>
      </c>
      <c r="Q71" t="str" cm="1">
        <f t="array" aca="1" ref="Q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25 days</v>
      </c>
    </row>
    <row r="72" spans="1:17" x14ac:dyDescent="0.3">
      <c r="A72">
        <v>1071</v>
      </c>
      <c r="B72" t="s">
        <v>996</v>
      </c>
      <c r="C72" t="s">
        <v>10</v>
      </c>
      <c r="D72" t="s">
        <v>11</v>
      </c>
      <c r="E72">
        <v>38</v>
      </c>
      <c r="F72" t="str" cm="1">
        <f t="array" ref="F72">_xlfn.IFS(EmployeeData[[#This Row],[Age]]&lt;30,"20s",EmployeeData[[#This Row],[Age]]&lt;40,"30s",EmployeeData[[#This Row],[Age]]&lt;50,"40s",EmployeeData[[#This Row],[Age]]&lt;60,"50s",EmployeeData[[#This Row],[Age]]&gt;=60,"60s")</f>
        <v>30s</v>
      </c>
      <c r="G72" s="5">
        <v>45377</v>
      </c>
      <c r="H72" s="5">
        <v>45662</v>
      </c>
      <c r="I72" t="s">
        <v>31</v>
      </c>
      <c r="J72" t="s">
        <v>13</v>
      </c>
      <c r="K72" cm="1">
        <f t="array" aca="1" ref="K72" ca="1">_xlfn.IFS(EmployeeData[[#This Row],[Status]]="Active",_xlfn.DAYS(TODAY(),EmployeeData[[#This Row],[Join Date]]),EmployeeData[[#This Row],[Status]]="Exited",_xlfn.DAYS(EmployeeData[[#This Row],[Exit Date]],EmployeeData[[#This Row],[Join Date]]))</f>
        <v>285</v>
      </c>
      <c r="L72" cm="1">
        <f t="array" aca="1" ref="L72" ca="1">_xlfn.IFS(EmployeeData[[#This Row],[Status]]="Exited",DATEDIF(EmployeeData[[#This Row],[Join Date]], EmployeeData[[#This Row],[Exit Date]], "Y"),EmployeeData[[#This Row],[Status]]="Active",DATEDIF(EmployeeData[[#This Row],[Join Date]], TODAY(), "Y"))</f>
        <v>0</v>
      </c>
      <c r="Q72" t="str" cm="1">
        <f t="array" aca="1" ref="Q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10 days</v>
      </c>
    </row>
    <row r="73" spans="1:17" x14ac:dyDescent="0.3">
      <c r="A73">
        <v>1072</v>
      </c>
      <c r="B73" t="s">
        <v>596</v>
      </c>
      <c r="C73" t="s">
        <v>20</v>
      </c>
      <c r="D73" t="s">
        <v>24</v>
      </c>
      <c r="E73">
        <v>52</v>
      </c>
      <c r="F73" t="str" cm="1">
        <f t="array" ref="F73">_xlfn.IFS(EmployeeData[[#This Row],[Age]]&lt;30,"20s",EmployeeData[[#This Row],[Age]]&lt;40,"30s",EmployeeData[[#This Row],[Age]]&lt;50,"40s",EmployeeData[[#This Row],[Age]]&lt;60,"50s",EmployeeData[[#This Row],[Age]]&gt;=60,"60s")</f>
        <v>50s</v>
      </c>
      <c r="G73" s="5">
        <v>44936</v>
      </c>
      <c r="I73" t="s">
        <v>17</v>
      </c>
      <c r="J73" t="s">
        <v>18</v>
      </c>
      <c r="K73" cm="1">
        <f t="array" aca="1" ref="K73" ca="1">_xlfn.IFS(EmployeeData[[#This Row],[Status]]="Active",_xlfn.DAYS(TODAY(),EmployeeData[[#This Row],[Join Date]]),EmployeeData[[#This Row],[Status]]="Exited",_xlfn.DAYS(EmployeeData[[#This Row],[Exit Date]],EmployeeData[[#This Row],[Join Date]]))</f>
        <v>1261</v>
      </c>
      <c r="L73" cm="1">
        <f t="array" aca="1" ref="L73" ca="1">_xlfn.IFS(EmployeeData[[#This Row],[Status]]="Exited",DATEDIF(EmployeeData[[#This Row],[Join Date]], EmployeeData[[#This Row],[Exit Date]], "Y"),EmployeeData[[#This Row],[Status]]="Active",DATEDIF(EmployeeData[[#This Row],[Join Date]], TODAY(), "Y"))</f>
        <v>3</v>
      </c>
      <c r="Q73" t="str" cm="1">
        <f t="array" aca="1" ref="Q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14 days</v>
      </c>
    </row>
    <row r="74" spans="1:17" x14ac:dyDescent="0.3">
      <c r="A74">
        <v>1073</v>
      </c>
      <c r="B74" t="s">
        <v>301</v>
      </c>
      <c r="C74" t="s">
        <v>10</v>
      </c>
      <c r="D74" t="s">
        <v>24</v>
      </c>
      <c r="E74">
        <v>51</v>
      </c>
      <c r="F74" t="str" cm="1">
        <f t="array" ref="F74">_xlfn.IFS(EmployeeData[[#This Row],[Age]]&lt;30,"20s",EmployeeData[[#This Row],[Age]]&lt;40,"30s",EmployeeData[[#This Row],[Age]]&lt;50,"40s",EmployeeData[[#This Row],[Age]]&lt;60,"50s",EmployeeData[[#This Row],[Age]]&gt;=60,"60s")</f>
        <v>50s</v>
      </c>
      <c r="G74" s="5">
        <v>45368</v>
      </c>
      <c r="I74" t="s">
        <v>17</v>
      </c>
      <c r="J74" t="s">
        <v>18</v>
      </c>
      <c r="K74" cm="1">
        <f t="array" aca="1" ref="K74" ca="1">_xlfn.IFS(EmployeeData[[#This Row],[Status]]="Active",_xlfn.DAYS(TODAY(),EmployeeData[[#This Row],[Join Date]]),EmployeeData[[#This Row],[Status]]="Exited",_xlfn.DAYS(EmployeeData[[#This Row],[Exit Date]],EmployeeData[[#This Row],[Join Date]]))</f>
        <v>829</v>
      </c>
      <c r="L74" cm="1">
        <f t="array" aca="1" ref="L74" ca="1">_xlfn.IFS(EmployeeData[[#This Row],[Status]]="Exited",DATEDIF(EmployeeData[[#This Row],[Join Date]], EmployeeData[[#This Row],[Exit Date]], "Y"),EmployeeData[[#This Row],[Status]]="Active",DATEDIF(EmployeeData[[#This Row],[Join Date]], TODAY(), "Y"))</f>
        <v>2</v>
      </c>
      <c r="Q74" t="str" cm="1">
        <f t="array" aca="1" ref="Q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7 days</v>
      </c>
    </row>
    <row r="75" spans="1:17" x14ac:dyDescent="0.3">
      <c r="A75">
        <v>1074</v>
      </c>
      <c r="B75" t="s">
        <v>1078</v>
      </c>
      <c r="C75" t="s">
        <v>20</v>
      </c>
      <c r="D75" t="s">
        <v>16</v>
      </c>
      <c r="E75">
        <v>55</v>
      </c>
      <c r="F75" t="str" cm="1">
        <f t="array" ref="F75">_xlfn.IFS(EmployeeData[[#This Row],[Age]]&lt;30,"20s",EmployeeData[[#This Row],[Age]]&lt;40,"30s",EmployeeData[[#This Row],[Age]]&lt;50,"40s",EmployeeData[[#This Row],[Age]]&lt;60,"50s",EmployeeData[[#This Row],[Age]]&gt;=60,"60s")</f>
        <v>50s</v>
      </c>
      <c r="G75" s="5">
        <v>44045</v>
      </c>
      <c r="H75" s="5">
        <v>44923</v>
      </c>
      <c r="I75" t="s">
        <v>26</v>
      </c>
      <c r="J75" t="s">
        <v>13</v>
      </c>
      <c r="K75" cm="1">
        <f t="array" aca="1" ref="K75" ca="1">_xlfn.IFS(EmployeeData[[#This Row],[Status]]="Active",_xlfn.DAYS(TODAY(),EmployeeData[[#This Row],[Join Date]]),EmployeeData[[#This Row],[Status]]="Exited",_xlfn.DAYS(EmployeeData[[#This Row],[Exit Date]],EmployeeData[[#This Row],[Join Date]]))</f>
        <v>878</v>
      </c>
      <c r="L75" cm="1">
        <f t="array" aca="1" ref="L75" ca="1">_xlfn.IFS(EmployeeData[[#This Row],[Status]]="Exited",DATEDIF(EmployeeData[[#This Row],[Join Date]], EmployeeData[[#This Row],[Exit Date]], "Y"),EmployeeData[[#This Row],[Status]]="Active",DATEDIF(EmployeeData[[#This Row],[Join Date]], TODAY(), "Y"))</f>
        <v>2</v>
      </c>
      <c r="Q75" t="str" cm="1">
        <f t="array" aca="1" ref="Q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26 days</v>
      </c>
    </row>
    <row r="76" spans="1:17" x14ac:dyDescent="0.3">
      <c r="A76">
        <v>1075</v>
      </c>
      <c r="B76" t="s">
        <v>234</v>
      </c>
      <c r="C76" t="s">
        <v>10</v>
      </c>
      <c r="D76" t="s">
        <v>24</v>
      </c>
      <c r="E76">
        <v>54</v>
      </c>
      <c r="F76" t="str" cm="1">
        <f t="array" ref="F76">_xlfn.IFS(EmployeeData[[#This Row],[Age]]&lt;30,"20s",EmployeeData[[#This Row],[Age]]&lt;40,"30s",EmployeeData[[#This Row],[Age]]&lt;50,"40s",EmployeeData[[#This Row],[Age]]&lt;60,"50s",EmployeeData[[#This Row],[Age]]&gt;=60,"60s")</f>
        <v>50s</v>
      </c>
      <c r="G76" s="5">
        <v>45545</v>
      </c>
      <c r="H76" s="5">
        <v>45737</v>
      </c>
      <c r="I76" t="s">
        <v>52</v>
      </c>
      <c r="J76" t="s">
        <v>13</v>
      </c>
      <c r="K76" cm="1">
        <f t="array" aca="1" ref="K76" ca="1">_xlfn.IFS(EmployeeData[[#This Row],[Status]]="Active",_xlfn.DAYS(TODAY(),EmployeeData[[#This Row],[Join Date]]),EmployeeData[[#This Row],[Status]]="Exited",_xlfn.DAYS(EmployeeData[[#This Row],[Exit Date]],EmployeeData[[#This Row],[Join Date]]))</f>
        <v>192</v>
      </c>
      <c r="L76" cm="1">
        <f t="array" aca="1" ref="L76" ca="1">_xlfn.IFS(EmployeeData[[#This Row],[Status]]="Exited",DATEDIF(EmployeeData[[#This Row],[Join Date]], EmployeeData[[#This Row],[Exit Date]], "Y"),EmployeeData[[#This Row],[Status]]="Active",DATEDIF(EmployeeData[[#This Row],[Join Date]], TODAY(), "Y"))</f>
        <v>0</v>
      </c>
      <c r="Q76" t="str" cm="1">
        <f t="array" aca="1" ref="Q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11 days</v>
      </c>
    </row>
    <row r="77" spans="1:17" x14ac:dyDescent="0.3">
      <c r="A77">
        <v>1076</v>
      </c>
      <c r="B77" t="s">
        <v>710</v>
      </c>
      <c r="C77" t="s">
        <v>15</v>
      </c>
      <c r="D77" t="s">
        <v>24</v>
      </c>
      <c r="E77">
        <v>38</v>
      </c>
      <c r="F77" t="str" cm="1">
        <f t="array" ref="F77">_xlfn.IFS(EmployeeData[[#This Row],[Age]]&lt;30,"20s",EmployeeData[[#This Row],[Age]]&lt;40,"30s",EmployeeData[[#This Row],[Age]]&lt;50,"40s",EmployeeData[[#This Row],[Age]]&lt;60,"50s",EmployeeData[[#This Row],[Age]]&gt;=60,"60s")</f>
        <v>30s</v>
      </c>
      <c r="G77" s="5">
        <v>43287</v>
      </c>
      <c r="I77" t="s">
        <v>17</v>
      </c>
      <c r="J77" t="s">
        <v>18</v>
      </c>
      <c r="K77" cm="1">
        <f t="array" aca="1" ref="K77" ca="1">_xlfn.IFS(EmployeeData[[#This Row],[Status]]="Active",_xlfn.DAYS(TODAY(),EmployeeData[[#This Row],[Join Date]]),EmployeeData[[#This Row],[Status]]="Exited",_xlfn.DAYS(EmployeeData[[#This Row],[Exit Date]],EmployeeData[[#This Row],[Join Date]]))</f>
        <v>2910</v>
      </c>
      <c r="L77" cm="1">
        <f t="array" aca="1" ref="L77" ca="1">_xlfn.IFS(EmployeeData[[#This Row],[Status]]="Exited",DATEDIF(EmployeeData[[#This Row],[Join Date]], EmployeeData[[#This Row],[Exit Date]], "Y"),EmployeeData[[#This Row],[Status]]="Active",DATEDIF(EmployeeData[[#This Row],[Join Date]], TODAY(), "Y"))</f>
        <v>7</v>
      </c>
      <c r="Q77" t="str" cm="1">
        <f t="array" aca="1" ref="Q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18 days</v>
      </c>
    </row>
    <row r="78" spans="1:17" x14ac:dyDescent="0.3">
      <c r="A78">
        <v>1077</v>
      </c>
      <c r="B78" t="s">
        <v>862</v>
      </c>
      <c r="C78" t="s">
        <v>15</v>
      </c>
      <c r="D78" t="s">
        <v>11</v>
      </c>
      <c r="E78">
        <v>52</v>
      </c>
      <c r="F78" t="str" cm="1">
        <f t="array" ref="F78">_xlfn.IFS(EmployeeData[[#This Row],[Age]]&lt;30,"20s",EmployeeData[[#This Row],[Age]]&lt;40,"30s",EmployeeData[[#This Row],[Age]]&lt;50,"40s",EmployeeData[[#This Row],[Age]]&lt;60,"50s",EmployeeData[[#This Row],[Age]]&gt;=60,"60s")</f>
        <v>50s</v>
      </c>
      <c r="G78" s="5">
        <v>43521</v>
      </c>
      <c r="I78" t="s">
        <v>17</v>
      </c>
      <c r="J78" t="s">
        <v>18</v>
      </c>
      <c r="K78" cm="1">
        <f t="array" aca="1" ref="K78" ca="1">_xlfn.IFS(EmployeeData[[#This Row],[Status]]="Active",_xlfn.DAYS(TODAY(),EmployeeData[[#This Row],[Join Date]]),EmployeeData[[#This Row],[Status]]="Exited",_xlfn.DAYS(EmployeeData[[#This Row],[Exit Date]],EmployeeData[[#This Row],[Join Date]]))</f>
        <v>2676</v>
      </c>
      <c r="L78" cm="1">
        <f t="array" aca="1" ref="L78" ca="1">_xlfn.IFS(EmployeeData[[#This Row],[Status]]="Exited",DATEDIF(EmployeeData[[#This Row],[Join Date]], EmployeeData[[#This Row],[Exit Date]], "Y"),EmployeeData[[#This Row],[Status]]="Active",DATEDIF(EmployeeData[[#This Row],[Join Date]], TODAY(), "Y"))</f>
        <v>7</v>
      </c>
      <c r="Q78" t="str" cm="1">
        <f t="array" aca="1" ref="Q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30 days</v>
      </c>
    </row>
    <row r="79" spans="1:17" x14ac:dyDescent="0.3">
      <c r="A79">
        <v>1078</v>
      </c>
      <c r="B79" t="s">
        <v>254</v>
      </c>
      <c r="C79" t="s">
        <v>10</v>
      </c>
      <c r="D79" t="s">
        <v>11</v>
      </c>
      <c r="E79">
        <v>37</v>
      </c>
      <c r="F79" t="str" cm="1">
        <f t="array" ref="F79">_xlfn.IFS(EmployeeData[[#This Row],[Age]]&lt;30,"20s",EmployeeData[[#This Row],[Age]]&lt;40,"30s",EmployeeData[[#This Row],[Age]]&lt;50,"40s",EmployeeData[[#This Row],[Age]]&lt;60,"50s",EmployeeData[[#This Row],[Age]]&gt;=60,"60s")</f>
        <v>30s</v>
      </c>
      <c r="G79" s="5">
        <v>45057</v>
      </c>
      <c r="H79" s="5">
        <v>45280</v>
      </c>
      <c r="I79" t="s">
        <v>12</v>
      </c>
      <c r="J79" t="s">
        <v>13</v>
      </c>
      <c r="K79" cm="1">
        <f t="array" aca="1" ref="K79" ca="1">_xlfn.IFS(EmployeeData[[#This Row],[Status]]="Active",_xlfn.DAYS(TODAY(),EmployeeData[[#This Row],[Join Date]]),EmployeeData[[#This Row],[Status]]="Exited",_xlfn.DAYS(EmployeeData[[#This Row],[Exit Date]],EmployeeData[[#This Row],[Join Date]]))</f>
        <v>223</v>
      </c>
      <c r="L79" cm="1">
        <f t="array" aca="1" ref="L79" ca="1">_xlfn.IFS(EmployeeData[[#This Row],[Status]]="Exited",DATEDIF(EmployeeData[[#This Row],[Join Date]], EmployeeData[[#This Row],[Exit Date]], "Y"),EmployeeData[[#This Row],[Status]]="Active",DATEDIF(EmployeeData[[#This Row],[Join Date]], TODAY(), "Y"))</f>
        <v>0</v>
      </c>
      <c r="Q79" t="str" cm="1">
        <f t="array" aca="1" ref="Q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9 days</v>
      </c>
    </row>
    <row r="80" spans="1:17" x14ac:dyDescent="0.3">
      <c r="A80">
        <v>1079</v>
      </c>
      <c r="B80" t="s">
        <v>372</v>
      </c>
      <c r="C80" t="s">
        <v>15</v>
      </c>
      <c r="D80" t="s">
        <v>16</v>
      </c>
      <c r="E80">
        <v>57</v>
      </c>
      <c r="F80" t="str" cm="1">
        <f t="array" ref="F80">_xlfn.IFS(EmployeeData[[#This Row],[Age]]&lt;30,"20s",EmployeeData[[#This Row],[Age]]&lt;40,"30s",EmployeeData[[#This Row],[Age]]&lt;50,"40s",EmployeeData[[#This Row],[Age]]&lt;60,"50s",EmployeeData[[#This Row],[Age]]&gt;=60,"60s")</f>
        <v>50s</v>
      </c>
      <c r="G80" s="5">
        <v>44345</v>
      </c>
      <c r="H80" s="5">
        <v>44943</v>
      </c>
      <c r="I80" t="s">
        <v>31</v>
      </c>
      <c r="J80" t="s">
        <v>13</v>
      </c>
      <c r="K80" cm="1">
        <f t="array" aca="1" ref="K80" ca="1">_xlfn.IFS(EmployeeData[[#This Row],[Status]]="Active",_xlfn.DAYS(TODAY(),EmployeeData[[#This Row],[Join Date]]),EmployeeData[[#This Row],[Status]]="Exited",_xlfn.DAYS(EmployeeData[[#This Row],[Exit Date]],EmployeeData[[#This Row],[Join Date]]))</f>
        <v>598</v>
      </c>
      <c r="L80" cm="1">
        <f t="array" aca="1" ref="L80" ca="1">_xlfn.IFS(EmployeeData[[#This Row],[Status]]="Exited",DATEDIF(EmployeeData[[#This Row],[Join Date]], EmployeeData[[#This Row],[Exit Date]], "Y"),EmployeeData[[#This Row],[Status]]="Active",DATEDIF(EmployeeData[[#This Row],[Join Date]], TODAY(), "Y"))</f>
        <v>1</v>
      </c>
      <c r="Q80" t="str" cm="1">
        <f t="array" aca="1" ref="Q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19 days</v>
      </c>
    </row>
    <row r="81" spans="1:17" x14ac:dyDescent="0.3">
      <c r="A81">
        <v>1080</v>
      </c>
      <c r="B81" t="s">
        <v>448</v>
      </c>
      <c r="C81" t="s">
        <v>20</v>
      </c>
      <c r="D81" t="s">
        <v>24</v>
      </c>
      <c r="E81">
        <v>49</v>
      </c>
      <c r="F81" t="str" cm="1">
        <f t="array" ref="F81">_xlfn.IFS(EmployeeData[[#This Row],[Age]]&lt;30,"20s",EmployeeData[[#This Row],[Age]]&lt;40,"30s",EmployeeData[[#This Row],[Age]]&lt;50,"40s",EmployeeData[[#This Row],[Age]]&lt;60,"50s",EmployeeData[[#This Row],[Age]]&gt;=60,"60s")</f>
        <v>40s</v>
      </c>
      <c r="G81" s="5">
        <v>44318</v>
      </c>
      <c r="I81" t="s">
        <v>17</v>
      </c>
      <c r="J81" t="s">
        <v>18</v>
      </c>
      <c r="K81" cm="1">
        <f t="array" aca="1" ref="K81" ca="1">_xlfn.IFS(EmployeeData[[#This Row],[Status]]="Active",_xlfn.DAYS(TODAY(),EmployeeData[[#This Row],[Join Date]]),EmployeeData[[#This Row],[Status]]="Exited",_xlfn.DAYS(EmployeeData[[#This Row],[Exit Date]],EmployeeData[[#This Row],[Join Date]]))</f>
        <v>1879</v>
      </c>
      <c r="L81" cm="1">
        <f t="array" aca="1" ref="L81" ca="1">_xlfn.IFS(EmployeeData[[#This Row],[Status]]="Exited",DATEDIF(EmployeeData[[#This Row],[Join Date]], EmployeeData[[#This Row],[Exit Date]], "Y"),EmployeeData[[#This Row],[Status]]="Active",DATEDIF(EmployeeData[[#This Row],[Join Date]], TODAY(), "Y"))</f>
        <v>5</v>
      </c>
      <c r="Q81" t="str" cm="1">
        <f t="array" aca="1" ref="Q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22 days</v>
      </c>
    </row>
    <row r="82" spans="1:17" x14ac:dyDescent="0.3">
      <c r="A82">
        <v>1081</v>
      </c>
      <c r="B82" t="s">
        <v>406</v>
      </c>
      <c r="C82" t="s">
        <v>23</v>
      </c>
      <c r="D82" t="s">
        <v>11</v>
      </c>
      <c r="E82">
        <v>34</v>
      </c>
      <c r="F82" t="str" cm="1">
        <f t="array" ref="F82">_xlfn.IFS(EmployeeData[[#This Row],[Age]]&lt;30,"20s",EmployeeData[[#This Row],[Age]]&lt;40,"30s",EmployeeData[[#This Row],[Age]]&lt;50,"40s",EmployeeData[[#This Row],[Age]]&lt;60,"50s",EmployeeData[[#This Row],[Age]]&gt;=60,"60s")</f>
        <v>30s</v>
      </c>
      <c r="G82" s="5">
        <v>45663</v>
      </c>
      <c r="H82" s="5">
        <v>46091</v>
      </c>
      <c r="I82" t="s">
        <v>31</v>
      </c>
      <c r="J82" t="s">
        <v>13</v>
      </c>
      <c r="K82" cm="1">
        <f t="array" aca="1" ref="K82" ca="1">_xlfn.IFS(EmployeeData[[#This Row],[Status]]="Active",_xlfn.DAYS(TODAY(),EmployeeData[[#This Row],[Join Date]]),EmployeeData[[#This Row],[Status]]="Exited",_xlfn.DAYS(EmployeeData[[#This Row],[Exit Date]],EmployeeData[[#This Row],[Join Date]]))</f>
        <v>428</v>
      </c>
      <c r="L82" cm="1">
        <f t="array" aca="1" ref="L82" ca="1">_xlfn.IFS(EmployeeData[[#This Row],[Status]]="Exited",DATEDIF(EmployeeData[[#This Row],[Join Date]], EmployeeData[[#This Row],[Exit Date]], "Y"),EmployeeData[[#This Row],[Status]]="Active",DATEDIF(EmployeeData[[#This Row],[Join Date]], TODAY(), "Y"))</f>
        <v>1</v>
      </c>
      <c r="Q82" t="str" cm="1">
        <f t="array" aca="1" ref="Q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4 days</v>
      </c>
    </row>
    <row r="83" spans="1:17" x14ac:dyDescent="0.3">
      <c r="A83">
        <v>1082</v>
      </c>
      <c r="B83" t="s">
        <v>328</v>
      </c>
      <c r="C83" t="s">
        <v>15</v>
      </c>
      <c r="D83" t="s">
        <v>24</v>
      </c>
      <c r="E83">
        <v>51</v>
      </c>
      <c r="F83" t="str" cm="1">
        <f t="array" ref="F83">_xlfn.IFS(EmployeeData[[#This Row],[Age]]&lt;30,"20s",EmployeeData[[#This Row],[Age]]&lt;40,"30s",EmployeeData[[#This Row],[Age]]&lt;50,"40s",EmployeeData[[#This Row],[Age]]&lt;60,"50s",EmployeeData[[#This Row],[Age]]&gt;=60,"60s")</f>
        <v>50s</v>
      </c>
      <c r="G83" s="5">
        <v>44293</v>
      </c>
      <c r="H83" s="5">
        <v>44973</v>
      </c>
      <c r="I83" t="s">
        <v>34</v>
      </c>
      <c r="J83" t="s">
        <v>13</v>
      </c>
      <c r="K83" cm="1">
        <f t="array" aca="1" ref="K83" ca="1">_xlfn.IFS(EmployeeData[[#This Row],[Status]]="Active",_xlfn.DAYS(TODAY(),EmployeeData[[#This Row],[Join Date]]),EmployeeData[[#This Row],[Status]]="Exited",_xlfn.DAYS(EmployeeData[[#This Row],[Exit Date]],EmployeeData[[#This Row],[Join Date]]))</f>
        <v>680</v>
      </c>
      <c r="L83" cm="1">
        <f t="array" aca="1" ref="L83" ca="1">_xlfn.IFS(EmployeeData[[#This Row],[Status]]="Exited",DATEDIF(EmployeeData[[#This Row],[Join Date]], EmployeeData[[#This Row],[Exit Date]], "Y"),EmployeeData[[#This Row],[Status]]="Active",DATEDIF(EmployeeData[[#This Row],[Join Date]], TODAY(), "Y"))</f>
        <v>1</v>
      </c>
      <c r="Q83" t="str" cm="1">
        <f t="array" aca="1" ref="Q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9 days</v>
      </c>
    </row>
    <row r="84" spans="1:17" x14ac:dyDescent="0.3">
      <c r="A84">
        <v>1083</v>
      </c>
      <c r="B84" t="s">
        <v>859</v>
      </c>
      <c r="C84" t="s">
        <v>46</v>
      </c>
      <c r="D84" t="s">
        <v>11</v>
      </c>
      <c r="E84">
        <v>58</v>
      </c>
      <c r="F84" t="str" cm="1">
        <f t="array" ref="F84">_xlfn.IFS(EmployeeData[[#This Row],[Age]]&lt;30,"20s",EmployeeData[[#This Row],[Age]]&lt;40,"30s",EmployeeData[[#This Row],[Age]]&lt;50,"40s",EmployeeData[[#This Row],[Age]]&lt;60,"50s",EmployeeData[[#This Row],[Age]]&gt;=60,"60s")</f>
        <v>50s</v>
      </c>
      <c r="G84" s="5">
        <v>45809</v>
      </c>
      <c r="I84" t="s">
        <v>17</v>
      </c>
      <c r="J84" t="s">
        <v>18</v>
      </c>
      <c r="K84" cm="1">
        <f t="array" aca="1" ref="K84" ca="1">_xlfn.IFS(EmployeeData[[#This Row],[Status]]="Active",_xlfn.DAYS(TODAY(),EmployeeData[[#This Row],[Join Date]]),EmployeeData[[#This Row],[Status]]="Exited",_xlfn.DAYS(EmployeeData[[#This Row],[Exit Date]],EmployeeData[[#This Row],[Join Date]]))</f>
        <v>388</v>
      </c>
      <c r="L84" cm="1">
        <f t="array" aca="1" ref="L84" ca="1">_xlfn.IFS(EmployeeData[[#This Row],[Status]]="Exited",DATEDIF(EmployeeData[[#This Row],[Join Date]], EmployeeData[[#This Row],[Exit Date]], "Y"),EmployeeData[[#This Row],[Status]]="Active",DATEDIF(EmployeeData[[#This Row],[Join Date]], TODAY(), "Y"))</f>
        <v>1</v>
      </c>
      <c r="Q84" t="str" cm="1">
        <f t="array" aca="1" ref="Q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23 days</v>
      </c>
    </row>
    <row r="85" spans="1:17" x14ac:dyDescent="0.3">
      <c r="A85">
        <v>1084</v>
      </c>
      <c r="B85" t="s">
        <v>635</v>
      </c>
      <c r="C85" t="s">
        <v>20</v>
      </c>
      <c r="D85" t="s">
        <v>11</v>
      </c>
      <c r="E85">
        <v>30</v>
      </c>
      <c r="F85" t="str" cm="1">
        <f t="array" ref="F85">_xlfn.IFS(EmployeeData[[#This Row],[Age]]&lt;30,"20s",EmployeeData[[#This Row],[Age]]&lt;40,"30s",EmployeeData[[#This Row],[Age]]&lt;50,"40s",EmployeeData[[#This Row],[Age]]&lt;60,"50s",EmployeeData[[#This Row],[Age]]&gt;=60,"60s")</f>
        <v>30s</v>
      </c>
      <c r="G85" s="5">
        <v>43393</v>
      </c>
      <c r="H85" s="5">
        <v>44742</v>
      </c>
      <c r="I85" t="s">
        <v>28</v>
      </c>
      <c r="J85" t="s">
        <v>13</v>
      </c>
      <c r="K85" cm="1">
        <f t="array" aca="1" ref="K85" ca="1">_xlfn.IFS(EmployeeData[[#This Row],[Status]]="Active",_xlfn.DAYS(TODAY(),EmployeeData[[#This Row],[Join Date]]),EmployeeData[[#This Row],[Status]]="Exited",_xlfn.DAYS(EmployeeData[[#This Row],[Exit Date]],EmployeeData[[#This Row],[Join Date]]))</f>
        <v>1349</v>
      </c>
      <c r="L85" cm="1">
        <f t="array" aca="1" ref="L85" ca="1">_xlfn.IFS(EmployeeData[[#This Row],[Status]]="Exited",DATEDIF(EmployeeData[[#This Row],[Join Date]], EmployeeData[[#This Row],[Exit Date]], "Y"),EmployeeData[[#This Row],[Status]]="Active",DATEDIF(EmployeeData[[#This Row],[Join Date]], TODAY(), "Y"))</f>
        <v>3</v>
      </c>
      <c r="Q85" t="str" cm="1">
        <f t="array" aca="1" ref="Q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10 days</v>
      </c>
    </row>
    <row r="86" spans="1:17" x14ac:dyDescent="0.3">
      <c r="A86">
        <v>1085</v>
      </c>
      <c r="B86" t="s">
        <v>304</v>
      </c>
      <c r="C86" t="s">
        <v>20</v>
      </c>
      <c r="D86" t="s">
        <v>11</v>
      </c>
      <c r="E86">
        <v>38</v>
      </c>
      <c r="F86" t="str" cm="1">
        <f t="array" ref="F86">_xlfn.IFS(EmployeeData[[#This Row],[Age]]&lt;30,"20s",EmployeeData[[#This Row],[Age]]&lt;40,"30s",EmployeeData[[#This Row],[Age]]&lt;50,"40s",EmployeeData[[#This Row],[Age]]&lt;60,"50s",EmployeeData[[#This Row],[Age]]&gt;=60,"60s")</f>
        <v>30s</v>
      </c>
      <c r="G86" s="5">
        <v>45150</v>
      </c>
      <c r="I86" t="s">
        <v>17</v>
      </c>
      <c r="J86" t="s">
        <v>18</v>
      </c>
      <c r="K86" cm="1">
        <f t="array" aca="1" ref="K86" ca="1">_xlfn.IFS(EmployeeData[[#This Row],[Status]]="Active",_xlfn.DAYS(TODAY(),EmployeeData[[#This Row],[Join Date]]),EmployeeData[[#This Row],[Status]]="Exited",_xlfn.DAYS(EmployeeData[[#This Row],[Exit Date]],EmployeeData[[#This Row],[Join Date]]))</f>
        <v>1047</v>
      </c>
      <c r="L86" cm="1">
        <f t="array" aca="1" ref="L86" ca="1">_xlfn.IFS(EmployeeData[[#This Row],[Status]]="Exited",DATEDIF(EmployeeData[[#This Row],[Join Date]], EmployeeData[[#This Row],[Exit Date]], "Y"),EmployeeData[[#This Row],[Status]]="Active",DATEDIF(EmployeeData[[#This Row],[Join Date]], TODAY(), "Y"))</f>
        <v>2</v>
      </c>
      <c r="Q86" t="str" cm="1">
        <f t="array" aca="1" ref="Q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12 days</v>
      </c>
    </row>
    <row r="87" spans="1:17" x14ac:dyDescent="0.3">
      <c r="A87">
        <v>1086</v>
      </c>
      <c r="B87" t="s">
        <v>770</v>
      </c>
      <c r="C87" t="s">
        <v>20</v>
      </c>
      <c r="D87" t="s">
        <v>24</v>
      </c>
      <c r="E87">
        <v>22</v>
      </c>
      <c r="F87" t="str" cm="1">
        <f t="array" ref="F87">_xlfn.IFS(EmployeeData[[#This Row],[Age]]&lt;30,"20s",EmployeeData[[#This Row],[Age]]&lt;40,"30s",EmployeeData[[#This Row],[Age]]&lt;50,"40s",EmployeeData[[#This Row],[Age]]&lt;60,"50s",EmployeeData[[#This Row],[Age]]&gt;=60,"60s")</f>
        <v>20s</v>
      </c>
      <c r="G87" s="5">
        <v>43475</v>
      </c>
      <c r="H87" s="5">
        <v>43649</v>
      </c>
      <c r="I87" t="s">
        <v>21</v>
      </c>
      <c r="J87" t="s">
        <v>13</v>
      </c>
      <c r="K87" cm="1">
        <f t="array" aca="1" ref="K87" ca="1">_xlfn.IFS(EmployeeData[[#This Row],[Status]]="Active",_xlfn.DAYS(TODAY(),EmployeeData[[#This Row],[Join Date]]),EmployeeData[[#This Row],[Status]]="Exited",_xlfn.DAYS(EmployeeData[[#This Row],[Exit Date]],EmployeeData[[#This Row],[Join Date]]))</f>
        <v>174</v>
      </c>
      <c r="L87" cm="1">
        <f t="array" aca="1" ref="L87" ca="1">_xlfn.IFS(EmployeeData[[#This Row],[Status]]="Exited",DATEDIF(EmployeeData[[#This Row],[Join Date]], EmployeeData[[#This Row],[Exit Date]], "Y"),EmployeeData[[#This Row],[Status]]="Active",DATEDIF(EmployeeData[[#This Row],[Join Date]], TODAY(), "Y"))</f>
        <v>0</v>
      </c>
      <c r="Q87" t="str" cm="1">
        <f t="array" aca="1" ref="Q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23 days</v>
      </c>
    </row>
    <row r="88" spans="1:17" x14ac:dyDescent="0.3">
      <c r="A88">
        <v>1087</v>
      </c>
      <c r="B88" t="s">
        <v>22</v>
      </c>
      <c r="C88" t="s">
        <v>23</v>
      </c>
      <c r="D88" t="s">
        <v>24</v>
      </c>
      <c r="E88">
        <v>38</v>
      </c>
      <c r="F88" t="str" cm="1">
        <f t="array" ref="F88">_xlfn.IFS(EmployeeData[[#This Row],[Age]]&lt;30,"20s",EmployeeData[[#This Row],[Age]]&lt;40,"30s",EmployeeData[[#This Row],[Age]]&lt;50,"40s",EmployeeData[[#This Row],[Age]]&lt;60,"50s",EmployeeData[[#This Row],[Age]]&gt;=60,"60s")</f>
        <v>30s</v>
      </c>
      <c r="G88" s="5">
        <v>43844</v>
      </c>
      <c r="I88" t="s">
        <v>17</v>
      </c>
      <c r="J88" t="s">
        <v>18</v>
      </c>
      <c r="K88" cm="1">
        <f t="array" aca="1" ref="K88" ca="1">_xlfn.IFS(EmployeeData[[#This Row],[Status]]="Active",_xlfn.DAYS(TODAY(),EmployeeData[[#This Row],[Join Date]]),EmployeeData[[#This Row],[Status]]="Exited",_xlfn.DAYS(EmployeeData[[#This Row],[Exit Date]],EmployeeData[[#This Row],[Join Date]]))</f>
        <v>2353</v>
      </c>
      <c r="L88" cm="1">
        <f t="array" aca="1" ref="L88" ca="1">_xlfn.IFS(EmployeeData[[#This Row],[Status]]="Exited",DATEDIF(EmployeeData[[#This Row],[Join Date]], EmployeeData[[#This Row],[Exit Date]], "Y"),EmployeeData[[#This Row],[Status]]="Active",DATEDIF(EmployeeData[[#This Row],[Join Date]], TODAY(), "Y"))</f>
        <v>6</v>
      </c>
      <c r="Q88" t="str" cm="1">
        <f t="array" aca="1" ref="Q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10 days</v>
      </c>
    </row>
    <row r="89" spans="1:17" x14ac:dyDescent="0.3">
      <c r="A89">
        <v>1088</v>
      </c>
      <c r="B89" t="s">
        <v>676</v>
      </c>
      <c r="C89" t="s">
        <v>46</v>
      </c>
      <c r="D89" t="s">
        <v>24</v>
      </c>
      <c r="E89">
        <v>47</v>
      </c>
      <c r="F89" t="str" cm="1">
        <f t="array" ref="F89">_xlfn.IFS(EmployeeData[[#This Row],[Age]]&lt;30,"20s",EmployeeData[[#This Row],[Age]]&lt;40,"30s",EmployeeData[[#This Row],[Age]]&lt;50,"40s",EmployeeData[[#This Row],[Age]]&lt;60,"50s",EmployeeData[[#This Row],[Age]]&gt;=60,"60s")</f>
        <v>40s</v>
      </c>
      <c r="G89" s="5">
        <v>44466</v>
      </c>
      <c r="H89" s="5">
        <v>44770</v>
      </c>
      <c r="I89" t="s">
        <v>52</v>
      </c>
      <c r="J89" t="s">
        <v>13</v>
      </c>
      <c r="K89" cm="1">
        <f t="array" aca="1" ref="K89" ca="1">_xlfn.IFS(EmployeeData[[#This Row],[Status]]="Active",_xlfn.DAYS(TODAY(),EmployeeData[[#This Row],[Join Date]]),EmployeeData[[#This Row],[Status]]="Exited",_xlfn.DAYS(EmployeeData[[#This Row],[Exit Date]],EmployeeData[[#This Row],[Join Date]]))</f>
        <v>304</v>
      </c>
      <c r="L89" cm="1">
        <f t="array" aca="1" ref="L89" ca="1">_xlfn.IFS(EmployeeData[[#This Row],[Status]]="Exited",DATEDIF(EmployeeData[[#This Row],[Join Date]], EmployeeData[[#This Row],[Exit Date]], "Y"),EmployeeData[[#This Row],[Status]]="Active",DATEDIF(EmployeeData[[#This Row],[Join Date]], TODAY(), "Y"))</f>
        <v>0</v>
      </c>
      <c r="Q89" t="str" cm="1">
        <f t="array" aca="1" ref="Q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 days</v>
      </c>
    </row>
    <row r="90" spans="1:17" x14ac:dyDescent="0.3">
      <c r="A90">
        <v>1089</v>
      </c>
      <c r="B90" t="s">
        <v>98</v>
      </c>
      <c r="C90" t="s">
        <v>10</v>
      </c>
      <c r="D90" t="s">
        <v>11</v>
      </c>
      <c r="E90">
        <v>56</v>
      </c>
      <c r="F90" t="str" cm="1">
        <f t="array" ref="F90">_xlfn.IFS(EmployeeData[[#This Row],[Age]]&lt;30,"20s",EmployeeData[[#This Row],[Age]]&lt;40,"30s",EmployeeData[[#This Row],[Age]]&lt;50,"40s",EmployeeData[[#This Row],[Age]]&lt;60,"50s",EmployeeData[[#This Row],[Age]]&gt;=60,"60s")</f>
        <v>50s</v>
      </c>
      <c r="G90" s="5">
        <v>43251</v>
      </c>
      <c r="I90" t="s">
        <v>17</v>
      </c>
      <c r="J90" t="s">
        <v>18</v>
      </c>
      <c r="K90" cm="1">
        <f t="array" aca="1" ref="K90" ca="1">_xlfn.IFS(EmployeeData[[#This Row],[Status]]="Active",_xlfn.DAYS(TODAY(),EmployeeData[[#This Row],[Join Date]]),EmployeeData[[#This Row],[Status]]="Exited",_xlfn.DAYS(EmployeeData[[#This Row],[Exit Date]],EmployeeData[[#This Row],[Join Date]]))</f>
        <v>2946</v>
      </c>
      <c r="L90" cm="1">
        <f t="array" aca="1" ref="L90" ca="1">_xlfn.IFS(EmployeeData[[#This Row],[Status]]="Exited",DATEDIF(EmployeeData[[#This Row],[Join Date]], EmployeeData[[#This Row],[Exit Date]], "Y"),EmployeeData[[#This Row],[Status]]="Active",DATEDIF(EmployeeData[[#This Row],[Join Date]], TODAY(), "Y"))</f>
        <v>8</v>
      </c>
      <c r="Q90" t="str" cm="1">
        <f t="array" aca="1" ref="Q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24 days</v>
      </c>
    </row>
    <row r="91" spans="1:17" x14ac:dyDescent="0.3">
      <c r="A91">
        <v>1090</v>
      </c>
      <c r="B91" t="s">
        <v>599</v>
      </c>
      <c r="C91" t="s">
        <v>33</v>
      </c>
      <c r="D91" t="s">
        <v>11</v>
      </c>
      <c r="E91">
        <v>21</v>
      </c>
      <c r="F91" t="str" cm="1">
        <f t="array" ref="F91">_xlfn.IFS(EmployeeData[[#This Row],[Age]]&lt;30,"20s",EmployeeData[[#This Row],[Age]]&lt;40,"30s",EmployeeData[[#This Row],[Age]]&lt;50,"40s",EmployeeData[[#This Row],[Age]]&lt;60,"50s",EmployeeData[[#This Row],[Age]]&gt;=60,"60s")</f>
        <v>20s</v>
      </c>
      <c r="G91" s="5">
        <v>45794</v>
      </c>
      <c r="I91" t="s">
        <v>17</v>
      </c>
      <c r="J91" t="s">
        <v>18</v>
      </c>
      <c r="K91" cm="1">
        <f t="array" aca="1" ref="K91" ca="1">_xlfn.IFS(EmployeeData[[#This Row],[Status]]="Active",_xlfn.DAYS(TODAY(),EmployeeData[[#This Row],[Join Date]]),EmployeeData[[#This Row],[Status]]="Exited",_xlfn.DAYS(EmployeeData[[#This Row],[Exit Date]],EmployeeData[[#This Row],[Join Date]]))</f>
        <v>403</v>
      </c>
      <c r="L91" cm="1">
        <f t="array" aca="1" ref="L91" ca="1">_xlfn.IFS(EmployeeData[[#This Row],[Status]]="Exited",DATEDIF(EmployeeData[[#This Row],[Join Date]], EmployeeData[[#This Row],[Exit Date]], "Y"),EmployeeData[[#This Row],[Status]]="Active",DATEDIF(EmployeeData[[#This Row],[Join Date]], TODAY(), "Y"))</f>
        <v>1</v>
      </c>
      <c r="Q91" t="str" cm="1">
        <f t="array" aca="1" ref="Q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7 days</v>
      </c>
    </row>
    <row r="92" spans="1:17" x14ac:dyDescent="0.3">
      <c r="A92">
        <v>1091</v>
      </c>
      <c r="B92" t="s">
        <v>882</v>
      </c>
      <c r="C92" t="s">
        <v>23</v>
      </c>
      <c r="D92" t="s">
        <v>24</v>
      </c>
      <c r="E92">
        <v>49</v>
      </c>
      <c r="F92" t="str" cm="1">
        <f t="array" ref="F92">_xlfn.IFS(EmployeeData[[#This Row],[Age]]&lt;30,"20s",EmployeeData[[#This Row],[Age]]&lt;40,"30s",EmployeeData[[#This Row],[Age]]&lt;50,"40s",EmployeeData[[#This Row],[Age]]&lt;60,"50s",EmployeeData[[#This Row],[Age]]&gt;=60,"60s")</f>
        <v>40s</v>
      </c>
      <c r="G92" s="5">
        <v>43312</v>
      </c>
      <c r="H92" s="5">
        <v>43938</v>
      </c>
      <c r="I92" t="s">
        <v>21</v>
      </c>
      <c r="J92" t="s">
        <v>13</v>
      </c>
      <c r="K92" cm="1">
        <f t="array" aca="1" ref="K92" ca="1">_xlfn.IFS(EmployeeData[[#This Row],[Status]]="Active",_xlfn.DAYS(TODAY(),EmployeeData[[#This Row],[Join Date]]),EmployeeData[[#This Row],[Status]]="Exited",_xlfn.DAYS(EmployeeData[[#This Row],[Exit Date]],EmployeeData[[#This Row],[Join Date]]))</f>
        <v>626</v>
      </c>
      <c r="L92" cm="1">
        <f t="array" aca="1" ref="L92" ca="1">_xlfn.IFS(EmployeeData[[#This Row],[Status]]="Exited",DATEDIF(EmployeeData[[#This Row],[Join Date]], EmployeeData[[#This Row],[Exit Date]], "Y"),EmployeeData[[#This Row],[Status]]="Active",DATEDIF(EmployeeData[[#This Row],[Join Date]], TODAY(), "Y"))</f>
        <v>1</v>
      </c>
      <c r="Q92" t="str" cm="1">
        <f t="array" aca="1" ref="Q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17 days</v>
      </c>
    </row>
    <row r="93" spans="1:17" x14ac:dyDescent="0.3">
      <c r="A93">
        <v>1092</v>
      </c>
      <c r="B93" t="s">
        <v>732</v>
      </c>
      <c r="C93" t="s">
        <v>46</v>
      </c>
      <c r="D93" t="s">
        <v>24</v>
      </c>
      <c r="E93">
        <v>36</v>
      </c>
      <c r="F93" t="str" cm="1">
        <f t="array" ref="F93">_xlfn.IFS(EmployeeData[[#This Row],[Age]]&lt;30,"20s",EmployeeData[[#This Row],[Age]]&lt;40,"30s",EmployeeData[[#This Row],[Age]]&lt;50,"40s",EmployeeData[[#This Row],[Age]]&lt;60,"50s",EmployeeData[[#This Row],[Age]]&gt;=60,"60s")</f>
        <v>30s</v>
      </c>
      <c r="G93" s="5">
        <v>43749</v>
      </c>
      <c r="H93" s="5">
        <v>43895</v>
      </c>
      <c r="I93" t="s">
        <v>65</v>
      </c>
      <c r="J93" t="s">
        <v>13</v>
      </c>
      <c r="K93" cm="1">
        <f t="array" aca="1" ref="K93" ca="1">_xlfn.IFS(EmployeeData[[#This Row],[Status]]="Active",_xlfn.DAYS(TODAY(),EmployeeData[[#This Row],[Join Date]]),EmployeeData[[#This Row],[Status]]="Exited",_xlfn.DAYS(EmployeeData[[#This Row],[Exit Date]],EmployeeData[[#This Row],[Join Date]]))</f>
        <v>146</v>
      </c>
      <c r="L93" cm="1">
        <f t="array" aca="1" ref="L93" ca="1">_xlfn.IFS(EmployeeData[[#This Row],[Status]]="Exited",DATEDIF(EmployeeData[[#This Row],[Join Date]], EmployeeData[[#This Row],[Exit Date]], "Y"),EmployeeData[[#This Row],[Status]]="Active",DATEDIF(EmployeeData[[#This Row],[Join Date]], TODAY(), "Y"))</f>
        <v>0</v>
      </c>
      <c r="Q93" t="str" cm="1">
        <f t="array" aca="1" ref="Q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23 days</v>
      </c>
    </row>
    <row r="94" spans="1:17" x14ac:dyDescent="0.3">
      <c r="A94">
        <v>1093</v>
      </c>
      <c r="B94" t="s">
        <v>754</v>
      </c>
      <c r="C94" t="s">
        <v>46</v>
      </c>
      <c r="D94" t="s">
        <v>24</v>
      </c>
      <c r="E94">
        <v>28</v>
      </c>
      <c r="F94" t="str" cm="1">
        <f t="array" ref="F94">_xlfn.IFS(EmployeeData[[#This Row],[Age]]&lt;30,"20s",EmployeeData[[#This Row],[Age]]&lt;40,"30s",EmployeeData[[#This Row],[Age]]&lt;50,"40s",EmployeeData[[#This Row],[Age]]&lt;60,"50s",EmployeeData[[#This Row],[Age]]&gt;=60,"60s")</f>
        <v>20s</v>
      </c>
      <c r="G94" s="5">
        <v>45754</v>
      </c>
      <c r="I94" t="s">
        <v>17</v>
      </c>
      <c r="J94" t="s">
        <v>18</v>
      </c>
      <c r="K94" cm="1">
        <f t="array" aca="1" ref="K94" ca="1">_xlfn.IFS(EmployeeData[[#This Row],[Status]]="Active",_xlfn.DAYS(TODAY(),EmployeeData[[#This Row],[Join Date]]),EmployeeData[[#This Row],[Status]]="Exited",_xlfn.DAYS(EmployeeData[[#This Row],[Exit Date]],EmployeeData[[#This Row],[Join Date]]))</f>
        <v>443</v>
      </c>
      <c r="L94" cm="1">
        <f t="array" aca="1" ref="L94" ca="1">_xlfn.IFS(EmployeeData[[#This Row],[Status]]="Exited",DATEDIF(EmployeeData[[#This Row],[Join Date]], EmployeeData[[#This Row],[Exit Date]], "Y"),EmployeeData[[#This Row],[Status]]="Active",DATEDIF(EmployeeData[[#This Row],[Join Date]], TODAY(), "Y"))</f>
        <v>1</v>
      </c>
      <c r="Q94" t="str" cm="1">
        <f t="array" aca="1" ref="Q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17 days</v>
      </c>
    </row>
    <row r="95" spans="1:17" x14ac:dyDescent="0.3">
      <c r="A95">
        <v>1094</v>
      </c>
      <c r="B95" t="s">
        <v>684</v>
      </c>
      <c r="C95" t="s">
        <v>10</v>
      </c>
      <c r="D95" t="s">
        <v>24</v>
      </c>
      <c r="E95">
        <v>51</v>
      </c>
      <c r="F95" t="str" cm="1">
        <f t="array" ref="F95">_xlfn.IFS(EmployeeData[[#This Row],[Age]]&lt;30,"20s",EmployeeData[[#This Row],[Age]]&lt;40,"30s",EmployeeData[[#This Row],[Age]]&lt;50,"40s",EmployeeData[[#This Row],[Age]]&lt;60,"50s",EmployeeData[[#This Row],[Age]]&gt;=60,"60s")</f>
        <v>50s</v>
      </c>
      <c r="G95" s="5">
        <v>44099</v>
      </c>
      <c r="I95" t="s">
        <v>17</v>
      </c>
      <c r="J95" t="s">
        <v>18</v>
      </c>
      <c r="K95" cm="1">
        <f t="array" aca="1" ref="K95" ca="1">_xlfn.IFS(EmployeeData[[#This Row],[Status]]="Active",_xlfn.DAYS(TODAY(),EmployeeData[[#This Row],[Join Date]]),EmployeeData[[#This Row],[Status]]="Exited",_xlfn.DAYS(EmployeeData[[#This Row],[Exit Date]],EmployeeData[[#This Row],[Join Date]]))</f>
        <v>2098</v>
      </c>
      <c r="L95" cm="1">
        <f t="array" aca="1" ref="L95" ca="1">_xlfn.IFS(EmployeeData[[#This Row],[Status]]="Exited",DATEDIF(EmployeeData[[#This Row],[Join Date]], EmployeeData[[#This Row],[Exit Date]], "Y"),EmployeeData[[#This Row],[Status]]="Active",DATEDIF(EmployeeData[[#This Row],[Join Date]], TODAY(), "Y"))</f>
        <v>5</v>
      </c>
      <c r="Q95" t="str" cm="1">
        <f t="array" aca="1" ref="Q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30 days</v>
      </c>
    </row>
    <row r="96" spans="1:17" x14ac:dyDescent="0.3">
      <c r="A96">
        <v>1095</v>
      </c>
      <c r="B96" t="s">
        <v>712</v>
      </c>
      <c r="C96" t="s">
        <v>33</v>
      </c>
      <c r="D96" t="s">
        <v>16</v>
      </c>
      <c r="E96">
        <v>47</v>
      </c>
      <c r="F96" t="str" cm="1">
        <f t="array" ref="F96">_xlfn.IFS(EmployeeData[[#This Row],[Age]]&lt;30,"20s",EmployeeData[[#This Row],[Age]]&lt;40,"30s",EmployeeData[[#This Row],[Age]]&lt;50,"40s",EmployeeData[[#This Row],[Age]]&lt;60,"50s",EmployeeData[[#This Row],[Age]]&gt;=60,"60s")</f>
        <v>40s</v>
      </c>
      <c r="G96" s="5">
        <v>44493</v>
      </c>
      <c r="I96" t="s">
        <v>17</v>
      </c>
      <c r="J96" t="s">
        <v>18</v>
      </c>
      <c r="K96" cm="1">
        <f t="array" aca="1" ref="K96" ca="1">_xlfn.IFS(EmployeeData[[#This Row],[Status]]="Active",_xlfn.DAYS(TODAY(),EmployeeData[[#This Row],[Join Date]]),EmployeeData[[#This Row],[Status]]="Exited",_xlfn.DAYS(EmployeeData[[#This Row],[Exit Date]],EmployeeData[[#This Row],[Join Date]]))</f>
        <v>1704</v>
      </c>
      <c r="L96" cm="1">
        <f t="array" aca="1" ref="L96" ca="1">_xlfn.IFS(EmployeeData[[#This Row],[Status]]="Exited",DATEDIF(EmployeeData[[#This Row],[Join Date]], EmployeeData[[#This Row],[Exit Date]], "Y"),EmployeeData[[#This Row],[Status]]="Active",DATEDIF(EmployeeData[[#This Row],[Join Date]], TODAY(), "Y"))</f>
        <v>4</v>
      </c>
      <c r="Q96" t="str" cm="1">
        <f t="array" aca="1" ref="Q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0 days</v>
      </c>
    </row>
    <row r="97" spans="1:17" x14ac:dyDescent="0.3">
      <c r="A97">
        <v>1096</v>
      </c>
      <c r="B97" t="s">
        <v>950</v>
      </c>
      <c r="C97" t="s">
        <v>10</v>
      </c>
      <c r="D97" t="s">
        <v>16</v>
      </c>
      <c r="E97">
        <v>58</v>
      </c>
      <c r="F97" t="str" cm="1">
        <f t="array" ref="F97">_xlfn.IFS(EmployeeData[[#This Row],[Age]]&lt;30,"20s",EmployeeData[[#This Row],[Age]]&lt;40,"30s",EmployeeData[[#This Row],[Age]]&lt;50,"40s",EmployeeData[[#This Row],[Age]]&lt;60,"50s",EmployeeData[[#This Row],[Age]]&gt;=60,"60s")</f>
        <v>50s</v>
      </c>
      <c r="G97" s="5">
        <v>45476</v>
      </c>
      <c r="I97" t="s">
        <v>17</v>
      </c>
      <c r="J97" t="s">
        <v>18</v>
      </c>
      <c r="K97" cm="1">
        <f t="array" aca="1" ref="K97" ca="1">_xlfn.IFS(EmployeeData[[#This Row],[Status]]="Active",_xlfn.DAYS(TODAY(),EmployeeData[[#This Row],[Join Date]]),EmployeeData[[#This Row],[Status]]="Exited",_xlfn.DAYS(EmployeeData[[#This Row],[Exit Date]],EmployeeData[[#This Row],[Join Date]]))</f>
        <v>721</v>
      </c>
      <c r="L97" cm="1">
        <f t="array" aca="1" ref="L97" ca="1">_xlfn.IFS(EmployeeData[[#This Row],[Status]]="Exited",DATEDIF(EmployeeData[[#This Row],[Join Date]], EmployeeData[[#This Row],[Exit Date]], "Y"),EmployeeData[[#This Row],[Status]]="Active",DATEDIF(EmployeeData[[#This Row],[Join Date]], TODAY(), "Y"))</f>
        <v>1</v>
      </c>
      <c r="Q97" t="str" cm="1">
        <f t="array" aca="1" ref="Q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21 days</v>
      </c>
    </row>
    <row r="98" spans="1:17" x14ac:dyDescent="0.3">
      <c r="A98">
        <v>1097</v>
      </c>
      <c r="B98" t="s">
        <v>775</v>
      </c>
      <c r="C98" t="s">
        <v>10</v>
      </c>
      <c r="D98" t="s">
        <v>24</v>
      </c>
      <c r="E98">
        <v>55</v>
      </c>
      <c r="F98" t="str" cm="1">
        <f t="array" ref="F98">_xlfn.IFS(EmployeeData[[#This Row],[Age]]&lt;30,"20s",EmployeeData[[#This Row],[Age]]&lt;40,"30s",EmployeeData[[#This Row],[Age]]&lt;50,"40s",EmployeeData[[#This Row],[Age]]&lt;60,"50s",EmployeeData[[#This Row],[Age]]&gt;=60,"60s")</f>
        <v>50s</v>
      </c>
      <c r="G98" s="5">
        <v>44646</v>
      </c>
      <c r="I98" t="s">
        <v>17</v>
      </c>
      <c r="J98" t="s">
        <v>18</v>
      </c>
      <c r="K98" cm="1">
        <f t="array" aca="1" ref="K98" ca="1">_xlfn.IFS(EmployeeData[[#This Row],[Status]]="Active",_xlfn.DAYS(TODAY(),EmployeeData[[#This Row],[Join Date]]),EmployeeData[[#This Row],[Status]]="Exited",_xlfn.DAYS(EmployeeData[[#This Row],[Exit Date]],EmployeeData[[#This Row],[Join Date]]))</f>
        <v>1551</v>
      </c>
      <c r="L98" cm="1">
        <f t="array" aca="1" ref="L98" ca="1">_xlfn.IFS(EmployeeData[[#This Row],[Status]]="Exited",DATEDIF(EmployeeData[[#This Row],[Join Date]], EmployeeData[[#This Row],[Exit Date]], "Y"),EmployeeData[[#This Row],[Status]]="Active",DATEDIF(EmployeeData[[#This Row],[Join Date]], TODAY(), "Y"))</f>
        <v>4</v>
      </c>
      <c r="Q98" t="str" cm="1">
        <f t="array" aca="1" ref="Q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29 days</v>
      </c>
    </row>
    <row r="99" spans="1:17" x14ac:dyDescent="0.3">
      <c r="A99">
        <v>1098</v>
      </c>
      <c r="B99" t="s">
        <v>891</v>
      </c>
      <c r="C99" t="s">
        <v>15</v>
      </c>
      <c r="D99" t="s">
        <v>24</v>
      </c>
      <c r="E99">
        <v>47</v>
      </c>
      <c r="F99" t="str" cm="1">
        <f t="array" ref="F99">_xlfn.IFS(EmployeeData[[#This Row],[Age]]&lt;30,"20s",EmployeeData[[#This Row],[Age]]&lt;40,"30s",EmployeeData[[#This Row],[Age]]&lt;50,"40s",EmployeeData[[#This Row],[Age]]&lt;60,"50s",EmployeeData[[#This Row],[Age]]&gt;=60,"60s")</f>
        <v>40s</v>
      </c>
      <c r="G99" s="5">
        <v>43279</v>
      </c>
      <c r="H99" s="5">
        <v>45306</v>
      </c>
      <c r="I99" t="s">
        <v>34</v>
      </c>
      <c r="J99" t="s">
        <v>13</v>
      </c>
      <c r="K99" cm="1">
        <f t="array" aca="1" ref="K99" ca="1">_xlfn.IFS(EmployeeData[[#This Row],[Status]]="Active",_xlfn.DAYS(TODAY(),EmployeeData[[#This Row],[Join Date]]),EmployeeData[[#This Row],[Status]]="Exited",_xlfn.DAYS(EmployeeData[[#This Row],[Exit Date]],EmployeeData[[#This Row],[Join Date]]))</f>
        <v>2027</v>
      </c>
      <c r="L99" cm="1">
        <f t="array" aca="1" ref="L99" ca="1">_xlfn.IFS(EmployeeData[[#This Row],[Status]]="Exited",DATEDIF(EmployeeData[[#This Row],[Join Date]], EmployeeData[[#This Row],[Exit Date]], "Y"),EmployeeData[[#This Row],[Status]]="Active",DATEDIF(EmployeeData[[#This Row],[Join Date]], TODAY(), "Y"))</f>
        <v>5</v>
      </c>
      <c r="Q99" t="str" cm="1">
        <f t="array" aca="1" ref="Q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6 months 18 days</v>
      </c>
    </row>
    <row r="100" spans="1:17" x14ac:dyDescent="0.3">
      <c r="A100">
        <v>1099</v>
      </c>
      <c r="B100" t="s">
        <v>1000</v>
      </c>
      <c r="C100" t="s">
        <v>33</v>
      </c>
      <c r="D100" t="s">
        <v>24</v>
      </c>
      <c r="E100">
        <v>30</v>
      </c>
      <c r="F100" t="str" cm="1">
        <f t="array" ref="F100">_xlfn.IFS(EmployeeData[[#This Row],[Age]]&lt;30,"20s",EmployeeData[[#This Row],[Age]]&lt;40,"30s",EmployeeData[[#This Row],[Age]]&lt;50,"40s",EmployeeData[[#This Row],[Age]]&lt;60,"50s",EmployeeData[[#This Row],[Age]]&gt;=60,"60s")</f>
        <v>30s</v>
      </c>
      <c r="G100" s="5">
        <v>45129</v>
      </c>
      <c r="I100" t="s">
        <v>17</v>
      </c>
      <c r="J100" t="s">
        <v>18</v>
      </c>
      <c r="K100" cm="1">
        <f t="array" aca="1" ref="K100" ca="1">_xlfn.IFS(EmployeeData[[#This Row],[Status]]="Active",_xlfn.DAYS(TODAY(),EmployeeData[[#This Row],[Join Date]]),EmployeeData[[#This Row],[Status]]="Exited",_xlfn.DAYS(EmployeeData[[#This Row],[Exit Date]],EmployeeData[[#This Row],[Join Date]]))</f>
        <v>1068</v>
      </c>
      <c r="L100" cm="1">
        <f t="array" aca="1" ref="L100" ca="1">_xlfn.IFS(EmployeeData[[#This Row],[Status]]="Exited",DATEDIF(EmployeeData[[#This Row],[Join Date]], EmployeeData[[#This Row],[Exit Date]], "Y"),EmployeeData[[#This Row],[Status]]="Active",DATEDIF(EmployeeData[[#This Row],[Join Date]], TODAY(), "Y"))</f>
        <v>2</v>
      </c>
      <c r="Q100" t="str" cm="1">
        <f t="array" aca="1" ref="Q1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2 days</v>
      </c>
    </row>
    <row r="101" spans="1:17" x14ac:dyDescent="0.3">
      <c r="A101">
        <v>1100</v>
      </c>
      <c r="B101" t="s">
        <v>469</v>
      </c>
      <c r="C101" t="s">
        <v>10</v>
      </c>
      <c r="D101" t="s">
        <v>16</v>
      </c>
      <c r="E101">
        <v>49</v>
      </c>
      <c r="F101" t="str" cm="1">
        <f t="array" ref="F101">_xlfn.IFS(EmployeeData[[#This Row],[Age]]&lt;30,"20s",EmployeeData[[#This Row],[Age]]&lt;40,"30s",EmployeeData[[#This Row],[Age]]&lt;50,"40s",EmployeeData[[#This Row],[Age]]&lt;60,"50s",EmployeeData[[#This Row],[Age]]&gt;=60,"60s")</f>
        <v>40s</v>
      </c>
      <c r="G101" s="5">
        <v>43509</v>
      </c>
      <c r="I101" t="s">
        <v>17</v>
      </c>
      <c r="J101" t="s">
        <v>18</v>
      </c>
      <c r="K101" cm="1">
        <f t="array" aca="1" ref="K101" ca="1">_xlfn.IFS(EmployeeData[[#This Row],[Status]]="Active",_xlfn.DAYS(TODAY(),EmployeeData[[#This Row],[Join Date]]),EmployeeData[[#This Row],[Status]]="Exited",_xlfn.DAYS(EmployeeData[[#This Row],[Exit Date]],EmployeeData[[#This Row],[Join Date]]))</f>
        <v>2688</v>
      </c>
      <c r="L101" cm="1">
        <f t="array" aca="1" ref="L101" ca="1">_xlfn.IFS(EmployeeData[[#This Row],[Status]]="Exited",DATEDIF(EmployeeData[[#This Row],[Join Date]], EmployeeData[[#This Row],[Exit Date]], "Y"),EmployeeData[[#This Row],[Status]]="Active",DATEDIF(EmployeeData[[#This Row],[Join Date]], TODAY(), "Y"))</f>
        <v>7</v>
      </c>
      <c r="Q101" t="str" cm="1">
        <f t="array" aca="1" ref="Q1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11 days</v>
      </c>
    </row>
    <row r="102" spans="1:17" x14ac:dyDescent="0.3">
      <c r="A102">
        <v>1101</v>
      </c>
      <c r="B102" t="s">
        <v>285</v>
      </c>
      <c r="C102" t="s">
        <v>10</v>
      </c>
      <c r="D102" t="s">
        <v>24</v>
      </c>
      <c r="E102">
        <v>30</v>
      </c>
      <c r="F102" t="str" cm="1">
        <f t="array" ref="F102">_xlfn.IFS(EmployeeData[[#This Row],[Age]]&lt;30,"20s",EmployeeData[[#This Row],[Age]]&lt;40,"30s",EmployeeData[[#This Row],[Age]]&lt;50,"40s",EmployeeData[[#This Row],[Age]]&lt;60,"50s",EmployeeData[[#This Row],[Age]]&gt;=60,"60s")</f>
        <v>30s</v>
      </c>
      <c r="G102" s="5">
        <v>43407</v>
      </c>
      <c r="I102" t="s">
        <v>17</v>
      </c>
      <c r="J102" t="s">
        <v>18</v>
      </c>
      <c r="K102" cm="1">
        <f t="array" aca="1" ref="K102" ca="1">_xlfn.IFS(EmployeeData[[#This Row],[Status]]="Active",_xlfn.DAYS(TODAY(),EmployeeData[[#This Row],[Join Date]]),EmployeeData[[#This Row],[Status]]="Exited",_xlfn.DAYS(EmployeeData[[#This Row],[Exit Date]],EmployeeData[[#This Row],[Join Date]]))</f>
        <v>2790</v>
      </c>
      <c r="L102" cm="1">
        <f t="array" aca="1" ref="L102" ca="1">_xlfn.IFS(EmployeeData[[#This Row],[Status]]="Exited",DATEDIF(EmployeeData[[#This Row],[Join Date]], EmployeeData[[#This Row],[Exit Date]], "Y"),EmployeeData[[#This Row],[Status]]="Active",DATEDIF(EmployeeData[[#This Row],[Join Date]], TODAY(), "Y"))</f>
        <v>7</v>
      </c>
      <c r="Q102" t="str" cm="1">
        <f t="array" aca="1" ref="Q1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21 days</v>
      </c>
    </row>
    <row r="103" spans="1:17" x14ac:dyDescent="0.3">
      <c r="A103">
        <v>1102</v>
      </c>
      <c r="B103" t="s">
        <v>425</v>
      </c>
      <c r="C103" t="s">
        <v>10</v>
      </c>
      <c r="D103" t="s">
        <v>16</v>
      </c>
      <c r="E103">
        <v>42</v>
      </c>
      <c r="F103" t="str" cm="1">
        <f t="array" ref="F103">_xlfn.IFS(EmployeeData[[#This Row],[Age]]&lt;30,"20s",EmployeeData[[#This Row],[Age]]&lt;40,"30s",EmployeeData[[#This Row],[Age]]&lt;50,"40s",EmployeeData[[#This Row],[Age]]&lt;60,"50s",EmployeeData[[#This Row],[Age]]&gt;=60,"60s")</f>
        <v>40s</v>
      </c>
      <c r="G103" s="5">
        <v>45863</v>
      </c>
      <c r="I103" t="s">
        <v>17</v>
      </c>
      <c r="J103" t="s">
        <v>18</v>
      </c>
      <c r="K103" cm="1">
        <f t="array" aca="1" ref="K103" ca="1">_xlfn.IFS(EmployeeData[[#This Row],[Status]]="Active",_xlfn.DAYS(TODAY(),EmployeeData[[#This Row],[Join Date]]),EmployeeData[[#This Row],[Status]]="Exited",_xlfn.DAYS(EmployeeData[[#This Row],[Exit Date]],EmployeeData[[#This Row],[Join Date]]))</f>
        <v>334</v>
      </c>
      <c r="L103" cm="1">
        <f t="array" aca="1" ref="L103" ca="1">_xlfn.IFS(EmployeeData[[#This Row],[Status]]="Exited",DATEDIF(EmployeeData[[#This Row],[Join Date]], EmployeeData[[#This Row],[Exit Date]], "Y"),EmployeeData[[#This Row],[Status]]="Active",DATEDIF(EmployeeData[[#This Row],[Join Date]], TODAY(), "Y"))</f>
        <v>0</v>
      </c>
      <c r="Q103" t="str" cm="1">
        <f t="array" aca="1" ref="Q1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30 days</v>
      </c>
    </row>
    <row r="104" spans="1:17" x14ac:dyDescent="0.3">
      <c r="A104">
        <v>1103</v>
      </c>
      <c r="B104" t="s">
        <v>197</v>
      </c>
      <c r="C104" t="s">
        <v>33</v>
      </c>
      <c r="D104" t="s">
        <v>24</v>
      </c>
      <c r="E104">
        <v>55</v>
      </c>
      <c r="F104" t="str" cm="1">
        <f t="array" ref="F104">_xlfn.IFS(EmployeeData[[#This Row],[Age]]&lt;30,"20s",EmployeeData[[#This Row],[Age]]&lt;40,"30s",EmployeeData[[#This Row],[Age]]&lt;50,"40s",EmployeeData[[#This Row],[Age]]&lt;60,"50s",EmployeeData[[#This Row],[Age]]&gt;=60,"60s")</f>
        <v>50s</v>
      </c>
      <c r="G104" s="5">
        <v>43248</v>
      </c>
      <c r="I104" t="s">
        <v>17</v>
      </c>
      <c r="J104" t="s">
        <v>18</v>
      </c>
      <c r="K104" cm="1">
        <f t="array" aca="1" ref="K104" ca="1">_xlfn.IFS(EmployeeData[[#This Row],[Status]]="Active",_xlfn.DAYS(TODAY(),EmployeeData[[#This Row],[Join Date]]),EmployeeData[[#This Row],[Status]]="Exited",_xlfn.DAYS(EmployeeData[[#This Row],[Exit Date]],EmployeeData[[#This Row],[Join Date]]))</f>
        <v>2949</v>
      </c>
      <c r="L104" cm="1">
        <f t="array" aca="1" ref="L104" ca="1">_xlfn.IFS(EmployeeData[[#This Row],[Status]]="Exited",DATEDIF(EmployeeData[[#This Row],[Join Date]], EmployeeData[[#This Row],[Exit Date]], "Y"),EmployeeData[[#This Row],[Status]]="Active",DATEDIF(EmployeeData[[#This Row],[Join Date]], TODAY(), "Y"))</f>
        <v>8</v>
      </c>
      <c r="Q104" t="str" cm="1">
        <f t="array" aca="1" ref="Q1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27 days</v>
      </c>
    </row>
    <row r="105" spans="1:17" x14ac:dyDescent="0.3">
      <c r="A105">
        <v>1104</v>
      </c>
      <c r="B105" t="s">
        <v>637</v>
      </c>
      <c r="C105" t="s">
        <v>10</v>
      </c>
      <c r="D105" t="s">
        <v>16</v>
      </c>
      <c r="E105">
        <v>26</v>
      </c>
      <c r="F105" t="str" cm="1">
        <f t="array" ref="F105">_xlfn.IFS(EmployeeData[[#This Row],[Age]]&lt;30,"20s",EmployeeData[[#This Row],[Age]]&lt;40,"30s",EmployeeData[[#This Row],[Age]]&lt;50,"40s",EmployeeData[[#This Row],[Age]]&lt;60,"50s",EmployeeData[[#This Row],[Age]]&gt;=60,"60s")</f>
        <v>20s</v>
      </c>
      <c r="G105" s="5">
        <v>44878</v>
      </c>
      <c r="I105" t="s">
        <v>17</v>
      </c>
      <c r="J105" t="s">
        <v>18</v>
      </c>
      <c r="K105" cm="1">
        <f t="array" aca="1" ref="K105" ca="1">_xlfn.IFS(EmployeeData[[#This Row],[Status]]="Active",_xlfn.DAYS(TODAY(),EmployeeData[[#This Row],[Join Date]]),EmployeeData[[#This Row],[Status]]="Exited",_xlfn.DAYS(EmployeeData[[#This Row],[Exit Date]],EmployeeData[[#This Row],[Join Date]]))</f>
        <v>1319</v>
      </c>
      <c r="L105" cm="1">
        <f t="array" aca="1" ref="L105" ca="1">_xlfn.IFS(EmployeeData[[#This Row],[Status]]="Exited",DATEDIF(EmployeeData[[#This Row],[Join Date]], EmployeeData[[#This Row],[Exit Date]], "Y"),EmployeeData[[#This Row],[Status]]="Active",DATEDIF(EmployeeData[[#This Row],[Join Date]], TODAY(), "Y"))</f>
        <v>3</v>
      </c>
      <c r="Q105" t="str" cm="1">
        <f t="array" aca="1" ref="Q1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11 days</v>
      </c>
    </row>
    <row r="106" spans="1:17" x14ac:dyDescent="0.3">
      <c r="A106">
        <v>1105</v>
      </c>
      <c r="B106" t="s">
        <v>1054</v>
      </c>
      <c r="C106" t="s">
        <v>46</v>
      </c>
      <c r="D106" t="s">
        <v>16</v>
      </c>
      <c r="E106">
        <v>24</v>
      </c>
      <c r="F106" t="str" cm="1">
        <f t="array" ref="F106">_xlfn.IFS(EmployeeData[[#This Row],[Age]]&lt;30,"20s",EmployeeData[[#This Row],[Age]]&lt;40,"30s",EmployeeData[[#This Row],[Age]]&lt;50,"40s",EmployeeData[[#This Row],[Age]]&lt;60,"50s",EmployeeData[[#This Row],[Age]]&gt;=60,"60s")</f>
        <v>20s</v>
      </c>
      <c r="G106" s="5">
        <v>44302</v>
      </c>
      <c r="H106" s="5">
        <v>45274</v>
      </c>
      <c r="I106" t="s">
        <v>31</v>
      </c>
      <c r="J106" t="s">
        <v>13</v>
      </c>
      <c r="K106" cm="1">
        <f t="array" aca="1" ref="K106" ca="1">_xlfn.IFS(EmployeeData[[#This Row],[Status]]="Active",_xlfn.DAYS(TODAY(),EmployeeData[[#This Row],[Join Date]]),EmployeeData[[#This Row],[Status]]="Exited",_xlfn.DAYS(EmployeeData[[#This Row],[Exit Date]],EmployeeData[[#This Row],[Join Date]]))</f>
        <v>972</v>
      </c>
      <c r="L106" cm="1">
        <f t="array" aca="1" ref="L106" ca="1">_xlfn.IFS(EmployeeData[[#This Row],[Status]]="Exited",DATEDIF(EmployeeData[[#This Row],[Join Date]], EmployeeData[[#This Row],[Exit Date]], "Y"),EmployeeData[[#This Row],[Status]]="Active",DATEDIF(EmployeeData[[#This Row],[Join Date]], TODAY(), "Y"))</f>
        <v>2</v>
      </c>
      <c r="Q106" t="str" cm="1">
        <f t="array" aca="1" ref="Q1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28 days</v>
      </c>
    </row>
    <row r="107" spans="1:17" x14ac:dyDescent="0.3">
      <c r="A107">
        <v>1106</v>
      </c>
      <c r="B107" t="s">
        <v>390</v>
      </c>
      <c r="C107" t="s">
        <v>15</v>
      </c>
      <c r="D107" t="s">
        <v>16</v>
      </c>
      <c r="E107">
        <v>45</v>
      </c>
      <c r="F107" t="str" cm="1">
        <f t="array" ref="F107">_xlfn.IFS(EmployeeData[[#This Row],[Age]]&lt;30,"20s",EmployeeData[[#This Row],[Age]]&lt;40,"30s",EmployeeData[[#This Row],[Age]]&lt;50,"40s",EmployeeData[[#This Row],[Age]]&lt;60,"50s",EmployeeData[[#This Row],[Age]]&gt;=60,"60s")</f>
        <v>40s</v>
      </c>
      <c r="G107" s="5">
        <v>45639</v>
      </c>
      <c r="I107" t="s">
        <v>17</v>
      </c>
      <c r="J107" t="s">
        <v>18</v>
      </c>
      <c r="K107" cm="1">
        <f t="array" aca="1" ref="K107" ca="1">_xlfn.IFS(EmployeeData[[#This Row],[Status]]="Active",_xlfn.DAYS(TODAY(),EmployeeData[[#This Row],[Join Date]]),EmployeeData[[#This Row],[Status]]="Exited",_xlfn.DAYS(EmployeeData[[#This Row],[Exit Date]],EmployeeData[[#This Row],[Join Date]]))</f>
        <v>558</v>
      </c>
      <c r="L107" cm="1">
        <f t="array" aca="1" ref="L107" ca="1">_xlfn.IFS(EmployeeData[[#This Row],[Status]]="Exited",DATEDIF(EmployeeData[[#This Row],[Join Date]], EmployeeData[[#This Row],[Exit Date]], "Y"),EmployeeData[[#This Row],[Status]]="Active",DATEDIF(EmployeeData[[#This Row],[Join Date]], TODAY(), "Y"))</f>
        <v>1</v>
      </c>
      <c r="Q107" t="str" cm="1">
        <f t="array" aca="1" ref="Q1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11 days</v>
      </c>
    </row>
    <row r="108" spans="1:17" x14ac:dyDescent="0.3">
      <c r="A108">
        <v>1107</v>
      </c>
      <c r="B108" t="s">
        <v>849</v>
      </c>
      <c r="C108" t="s">
        <v>23</v>
      </c>
      <c r="D108" t="s">
        <v>24</v>
      </c>
      <c r="E108">
        <v>21</v>
      </c>
      <c r="F108" t="str" cm="1">
        <f t="array" ref="F108">_xlfn.IFS(EmployeeData[[#This Row],[Age]]&lt;30,"20s",EmployeeData[[#This Row],[Age]]&lt;40,"30s",EmployeeData[[#This Row],[Age]]&lt;50,"40s",EmployeeData[[#This Row],[Age]]&lt;60,"50s",EmployeeData[[#This Row],[Age]]&gt;=60,"60s")</f>
        <v>20s</v>
      </c>
      <c r="G108" s="5">
        <v>45006</v>
      </c>
      <c r="I108" t="s">
        <v>17</v>
      </c>
      <c r="J108" t="s">
        <v>18</v>
      </c>
      <c r="K108" cm="1">
        <f t="array" aca="1" ref="K108" ca="1">_xlfn.IFS(EmployeeData[[#This Row],[Status]]="Active",_xlfn.DAYS(TODAY(),EmployeeData[[#This Row],[Join Date]]),EmployeeData[[#This Row],[Status]]="Exited",_xlfn.DAYS(EmployeeData[[#This Row],[Exit Date]],EmployeeData[[#This Row],[Join Date]]))</f>
        <v>1191</v>
      </c>
      <c r="L108" cm="1">
        <f t="array" aca="1" ref="L108" ca="1">_xlfn.IFS(EmployeeData[[#This Row],[Status]]="Exited",DATEDIF(EmployeeData[[#This Row],[Join Date]], EmployeeData[[#This Row],[Exit Date]], "Y"),EmployeeData[[#This Row],[Status]]="Active",DATEDIF(EmployeeData[[#This Row],[Join Date]], TODAY(), "Y"))</f>
        <v>3</v>
      </c>
      <c r="Q108" t="str" cm="1">
        <f t="array" aca="1" ref="Q1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3 days</v>
      </c>
    </row>
    <row r="109" spans="1:17" x14ac:dyDescent="0.3">
      <c r="A109">
        <v>1108</v>
      </c>
      <c r="B109" t="s">
        <v>94</v>
      </c>
      <c r="C109" t="s">
        <v>46</v>
      </c>
      <c r="D109" t="s">
        <v>16</v>
      </c>
      <c r="E109">
        <v>48</v>
      </c>
      <c r="F109" t="str" cm="1">
        <f t="array" ref="F109">_xlfn.IFS(EmployeeData[[#This Row],[Age]]&lt;30,"20s",EmployeeData[[#This Row],[Age]]&lt;40,"30s",EmployeeData[[#This Row],[Age]]&lt;50,"40s",EmployeeData[[#This Row],[Age]]&lt;60,"50s",EmployeeData[[#This Row],[Age]]&gt;=60,"60s")</f>
        <v>40s</v>
      </c>
      <c r="G109" s="5">
        <v>45928</v>
      </c>
      <c r="H109" s="5">
        <v>46095</v>
      </c>
      <c r="I109" t="s">
        <v>31</v>
      </c>
      <c r="J109" t="s">
        <v>13</v>
      </c>
      <c r="K109" cm="1">
        <f t="array" aca="1" ref="K109" ca="1">_xlfn.IFS(EmployeeData[[#This Row],[Status]]="Active",_xlfn.DAYS(TODAY(),EmployeeData[[#This Row],[Join Date]]),EmployeeData[[#This Row],[Status]]="Exited",_xlfn.DAYS(EmployeeData[[#This Row],[Exit Date]],EmployeeData[[#This Row],[Join Date]]))</f>
        <v>167</v>
      </c>
      <c r="L109" cm="1">
        <f t="array" aca="1" ref="L109" ca="1">_xlfn.IFS(EmployeeData[[#This Row],[Status]]="Exited",DATEDIF(EmployeeData[[#This Row],[Join Date]], EmployeeData[[#This Row],[Exit Date]], "Y"),EmployeeData[[#This Row],[Status]]="Active",DATEDIF(EmployeeData[[#This Row],[Join Date]], TODAY(), "Y"))</f>
        <v>0</v>
      </c>
      <c r="Q109" t="str" cm="1">
        <f t="array" aca="1" ref="Q1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14 days</v>
      </c>
    </row>
    <row r="110" spans="1:17" x14ac:dyDescent="0.3">
      <c r="A110">
        <v>1109</v>
      </c>
      <c r="B110" t="s">
        <v>1049</v>
      </c>
      <c r="C110" t="s">
        <v>23</v>
      </c>
      <c r="D110" t="s">
        <v>24</v>
      </c>
      <c r="E110">
        <v>39</v>
      </c>
      <c r="F110" t="str" cm="1">
        <f t="array" ref="F110">_xlfn.IFS(EmployeeData[[#This Row],[Age]]&lt;30,"20s",EmployeeData[[#This Row],[Age]]&lt;40,"30s",EmployeeData[[#This Row],[Age]]&lt;50,"40s",EmployeeData[[#This Row],[Age]]&lt;60,"50s",EmployeeData[[#This Row],[Age]]&gt;=60,"60s")</f>
        <v>30s</v>
      </c>
      <c r="G110" s="5">
        <v>43190</v>
      </c>
      <c r="I110" t="s">
        <v>17</v>
      </c>
      <c r="J110" t="s">
        <v>18</v>
      </c>
      <c r="K110" cm="1">
        <f t="array" aca="1" ref="K110" ca="1">_xlfn.IFS(EmployeeData[[#This Row],[Status]]="Active",_xlfn.DAYS(TODAY(),EmployeeData[[#This Row],[Join Date]]),EmployeeData[[#This Row],[Status]]="Exited",_xlfn.DAYS(EmployeeData[[#This Row],[Exit Date]],EmployeeData[[#This Row],[Join Date]]))</f>
        <v>3007</v>
      </c>
      <c r="L110" cm="1">
        <f t="array" aca="1" ref="L110" ca="1">_xlfn.IFS(EmployeeData[[#This Row],[Status]]="Exited",DATEDIF(EmployeeData[[#This Row],[Join Date]], EmployeeData[[#This Row],[Exit Date]], "Y"),EmployeeData[[#This Row],[Status]]="Active",DATEDIF(EmployeeData[[#This Row],[Join Date]], TODAY(), "Y"))</f>
        <v>8</v>
      </c>
      <c r="Q110" t="str" cm="1">
        <f t="array" aca="1" ref="Q1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24 days</v>
      </c>
    </row>
    <row r="111" spans="1:17" x14ac:dyDescent="0.3">
      <c r="A111">
        <v>1110</v>
      </c>
      <c r="B111" t="s">
        <v>218</v>
      </c>
      <c r="C111" t="s">
        <v>46</v>
      </c>
      <c r="D111" t="s">
        <v>11</v>
      </c>
      <c r="E111">
        <v>39</v>
      </c>
      <c r="F111" t="str" cm="1">
        <f t="array" ref="F111">_xlfn.IFS(EmployeeData[[#This Row],[Age]]&lt;30,"20s",EmployeeData[[#This Row],[Age]]&lt;40,"30s",EmployeeData[[#This Row],[Age]]&lt;50,"40s",EmployeeData[[#This Row],[Age]]&lt;60,"50s",EmployeeData[[#This Row],[Age]]&gt;=60,"60s")</f>
        <v>30s</v>
      </c>
      <c r="G111" s="5">
        <v>44043</v>
      </c>
      <c r="I111" t="s">
        <v>17</v>
      </c>
      <c r="J111" t="s">
        <v>18</v>
      </c>
      <c r="K111" cm="1">
        <f t="array" aca="1" ref="K111" ca="1">_xlfn.IFS(EmployeeData[[#This Row],[Status]]="Active",_xlfn.DAYS(TODAY(),EmployeeData[[#This Row],[Join Date]]),EmployeeData[[#This Row],[Status]]="Exited",_xlfn.DAYS(EmployeeData[[#This Row],[Exit Date]],EmployeeData[[#This Row],[Join Date]]))</f>
        <v>2154</v>
      </c>
      <c r="L111" cm="1">
        <f t="array" aca="1" ref="L111" ca="1">_xlfn.IFS(EmployeeData[[#This Row],[Status]]="Exited",DATEDIF(EmployeeData[[#This Row],[Join Date]], EmployeeData[[#This Row],[Exit Date]], "Y"),EmployeeData[[#This Row],[Status]]="Active",DATEDIF(EmployeeData[[#This Row],[Join Date]], TODAY(), "Y"))</f>
        <v>5</v>
      </c>
      <c r="Q111" t="str" cm="1">
        <f t="array" aca="1" ref="Q1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24 days</v>
      </c>
    </row>
    <row r="112" spans="1:17" x14ac:dyDescent="0.3">
      <c r="A112">
        <v>1111</v>
      </c>
      <c r="B112" t="s">
        <v>868</v>
      </c>
      <c r="C112" t="s">
        <v>23</v>
      </c>
      <c r="D112" t="s">
        <v>24</v>
      </c>
      <c r="E112">
        <v>29</v>
      </c>
      <c r="F112" t="str" cm="1">
        <f t="array" ref="F112">_xlfn.IFS(EmployeeData[[#This Row],[Age]]&lt;30,"20s",EmployeeData[[#This Row],[Age]]&lt;40,"30s",EmployeeData[[#This Row],[Age]]&lt;50,"40s",EmployeeData[[#This Row],[Age]]&lt;60,"50s",EmployeeData[[#This Row],[Age]]&gt;=60,"60s")</f>
        <v>20s</v>
      </c>
      <c r="G112" s="5">
        <v>45674</v>
      </c>
      <c r="H112" s="5">
        <v>46085</v>
      </c>
      <c r="I112" t="s">
        <v>28</v>
      </c>
      <c r="J112" t="s">
        <v>13</v>
      </c>
      <c r="K112" cm="1">
        <f t="array" aca="1" ref="K112" ca="1">_xlfn.IFS(EmployeeData[[#This Row],[Status]]="Active",_xlfn.DAYS(TODAY(),EmployeeData[[#This Row],[Join Date]]),EmployeeData[[#This Row],[Status]]="Exited",_xlfn.DAYS(EmployeeData[[#This Row],[Exit Date]],EmployeeData[[#This Row],[Join Date]]))</f>
        <v>411</v>
      </c>
      <c r="L112" cm="1">
        <f t="array" aca="1" ref="L112" ca="1">_xlfn.IFS(EmployeeData[[#This Row],[Status]]="Exited",DATEDIF(EmployeeData[[#This Row],[Join Date]], EmployeeData[[#This Row],[Exit Date]], "Y"),EmployeeData[[#This Row],[Status]]="Active",DATEDIF(EmployeeData[[#This Row],[Join Date]], TODAY(), "Y"))</f>
        <v>1</v>
      </c>
      <c r="Q112" t="str" cm="1">
        <f t="array" aca="1" ref="Q1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15 days</v>
      </c>
    </row>
    <row r="113" spans="1:17" x14ac:dyDescent="0.3">
      <c r="A113">
        <v>1112</v>
      </c>
      <c r="B113" t="s">
        <v>610</v>
      </c>
      <c r="C113" t="s">
        <v>20</v>
      </c>
      <c r="D113" t="s">
        <v>16</v>
      </c>
      <c r="E113">
        <v>39</v>
      </c>
      <c r="F113" t="str" cm="1">
        <f t="array" ref="F113">_xlfn.IFS(EmployeeData[[#This Row],[Age]]&lt;30,"20s",EmployeeData[[#This Row],[Age]]&lt;40,"30s",EmployeeData[[#This Row],[Age]]&lt;50,"40s",EmployeeData[[#This Row],[Age]]&lt;60,"50s",EmployeeData[[#This Row],[Age]]&gt;=60,"60s")</f>
        <v>30s</v>
      </c>
      <c r="G113" s="5">
        <v>44439</v>
      </c>
      <c r="I113" t="s">
        <v>17</v>
      </c>
      <c r="J113" t="s">
        <v>18</v>
      </c>
      <c r="K113" cm="1">
        <f t="array" aca="1" ref="K113" ca="1">_xlfn.IFS(EmployeeData[[#This Row],[Status]]="Active",_xlfn.DAYS(TODAY(),EmployeeData[[#This Row],[Join Date]]),EmployeeData[[#This Row],[Status]]="Exited",_xlfn.DAYS(EmployeeData[[#This Row],[Exit Date]],EmployeeData[[#This Row],[Join Date]]))</f>
        <v>1758</v>
      </c>
      <c r="L113" cm="1">
        <f t="array" aca="1" ref="L113" ca="1">_xlfn.IFS(EmployeeData[[#This Row],[Status]]="Exited",DATEDIF(EmployeeData[[#This Row],[Join Date]], EmployeeData[[#This Row],[Exit Date]], "Y"),EmployeeData[[#This Row],[Status]]="Active",DATEDIF(EmployeeData[[#This Row],[Join Date]], TODAY(), "Y"))</f>
        <v>4</v>
      </c>
      <c r="Q113" t="str" cm="1">
        <f t="array" aca="1" ref="Q1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24 days</v>
      </c>
    </row>
    <row r="114" spans="1:17" x14ac:dyDescent="0.3">
      <c r="A114">
        <v>1113</v>
      </c>
      <c r="B114" t="s">
        <v>557</v>
      </c>
      <c r="C114" t="s">
        <v>23</v>
      </c>
      <c r="D114" t="s">
        <v>11</v>
      </c>
      <c r="E114">
        <v>31</v>
      </c>
      <c r="F114" t="str" cm="1">
        <f t="array" ref="F114">_xlfn.IFS(EmployeeData[[#This Row],[Age]]&lt;30,"20s",EmployeeData[[#This Row],[Age]]&lt;40,"30s",EmployeeData[[#This Row],[Age]]&lt;50,"40s",EmployeeData[[#This Row],[Age]]&lt;60,"50s",EmployeeData[[#This Row],[Age]]&gt;=60,"60s")</f>
        <v>30s</v>
      </c>
      <c r="G114" s="5">
        <v>44153</v>
      </c>
      <c r="I114" t="s">
        <v>17</v>
      </c>
      <c r="J114" t="s">
        <v>18</v>
      </c>
      <c r="K114" cm="1">
        <f t="array" aca="1" ref="K114" ca="1">_xlfn.IFS(EmployeeData[[#This Row],[Status]]="Active",_xlfn.DAYS(TODAY(),EmployeeData[[#This Row],[Join Date]]),EmployeeData[[#This Row],[Status]]="Exited",_xlfn.DAYS(EmployeeData[[#This Row],[Exit Date]],EmployeeData[[#This Row],[Join Date]]))</f>
        <v>2044</v>
      </c>
      <c r="L114" cm="1">
        <f t="array" aca="1" ref="L114" ca="1">_xlfn.IFS(EmployeeData[[#This Row],[Status]]="Exited",DATEDIF(EmployeeData[[#This Row],[Join Date]], EmployeeData[[#This Row],[Exit Date]], "Y"),EmployeeData[[#This Row],[Status]]="Active",DATEDIF(EmployeeData[[#This Row],[Join Date]], TODAY(), "Y"))</f>
        <v>5</v>
      </c>
      <c r="Q114" t="str" cm="1">
        <f t="array" aca="1" ref="Q1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6 days</v>
      </c>
    </row>
    <row r="115" spans="1:17" x14ac:dyDescent="0.3">
      <c r="A115">
        <v>1114</v>
      </c>
      <c r="B115" t="s">
        <v>233</v>
      </c>
      <c r="C115" t="s">
        <v>10</v>
      </c>
      <c r="D115" t="s">
        <v>16</v>
      </c>
      <c r="E115">
        <v>25</v>
      </c>
      <c r="F115" t="str" cm="1">
        <f t="array" ref="F115">_xlfn.IFS(EmployeeData[[#This Row],[Age]]&lt;30,"20s",EmployeeData[[#This Row],[Age]]&lt;40,"30s",EmployeeData[[#This Row],[Age]]&lt;50,"40s",EmployeeData[[#This Row],[Age]]&lt;60,"50s",EmployeeData[[#This Row],[Age]]&gt;=60,"60s")</f>
        <v>20s</v>
      </c>
      <c r="G115" s="5">
        <v>43677</v>
      </c>
      <c r="I115" t="s">
        <v>17</v>
      </c>
      <c r="J115" t="s">
        <v>18</v>
      </c>
      <c r="K115" cm="1">
        <f t="array" aca="1" ref="K115" ca="1">_xlfn.IFS(EmployeeData[[#This Row],[Status]]="Active",_xlfn.DAYS(TODAY(),EmployeeData[[#This Row],[Join Date]]),EmployeeData[[#This Row],[Status]]="Exited",_xlfn.DAYS(EmployeeData[[#This Row],[Exit Date]],EmployeeData[[#This Row],[Join Date]]))</f>
        <v>2520</v>
      </c>
      <c r="L115" cm="1">
        <f t="array" aca="1" ref="L115" ca="1">_xlfn.IFS(EmployeeData[[#This Row],[Status]]="Exited",DATEDIF(EmployeeData[[#This Row],[Join Date]], EmployeeData[[#This Row],[Exit Date]], "Y"),EmployeeData[[#This Row],[Status]]="Active",DATEDIF(EmployeeData[[#This Row],[Join Date]], TODAY(), "Y"))</f>
        <v>6</v>
      </c>
      <c r="Q115" t="str" cm="1">
        <f t="array" aca="1" ref="Q1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24 days</v>
      </c>
    </row>
    <row r="116" spans="1:17" x14ac:dyDescent="0.3">
      <c r="A116">
        <v>1115</v>
      </c>
      <c r="B116" t="s">
        <v>1069</v>
      </c>
      <c r="C116" t="s">
        <v>46</v>
      </c>
      <c r="D116" t="s">
        <v>11</v>
      </c>
      <c r="E116">
        <v>56</v>
      </c>
      <c r="F116" t="str" cm="1">
        <f t="array" ref="F116">_xlfn.IFS(EmployeeData[[#This Row],[Age]]&lt;30,"20s",EmployeeData[[#This Row],[Age]]&lt;40,"30s",EmployeeData[[#This Row],[Age]]&lt;50,"40s",EmployeeData[[#This Row],[Age]]&lt;60,"50s",EmployeeData[[#This Row],[Age]]&gt;=60,"60s")</f>
        <v>50s</v>
      </c>
      <c r="G116" s="5">
        <v>44599</v>
      </c>
      <c r="H116" s="5">
        <v>45497</v>
      </c>
      <c r="I116" t="s">
        <v>31</v>
      </c>
      <c r="J116" t="s">
        <v>13</v>
      </c>
      <c r="K116" cm="1">
        <f t="array" aca="1" ref="K116" ca="1">_xlfn.IFS(EmployeeData[[#This Row],[Status]]="Active",_xlfn.DAYS(TODAY(),EmployeeData[[#This Row],[Join Date]]),EmployeeData[[#This Row],[Status]]="Exited",_xlfn.DAYS(EmployeeData[[#This Row],[Exit Date]],EmployeeData[[#This Row],[Join Date]]))</f>
        <v>898</v>
      </c>
      <c r="L116" cm="1">
        <f t="array" aca="1" ref="L116" ca="1">_xlfn.IFS(EmployeeData[[#This Row],[Status]]="Exited",DATEDIF(EmployeeData[[#This Row],[Join Date]], EmployeeData[[#This Row],[Exit Date]], "Y"),EmployeeData[[#This Row],[Status]]="Active",DATEDIF(EmployeeData[[#This Row],[Join Date]], TODAY(), "Y"))</f>
        <v>2</v>
      </c>
      <c r="Q116" t="str" cm="1">
        <f t="array" aca="1" ref="Q1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17 days</v>
      </c>
    </row>
    <row r="117" spans="1:17" x14ac:dyDescent="0.3">
      <c r="A117">
        <v>1116</v>
      </c>
      <c r="B117" t="s">
        <v>330</v>
      </c>
      <c r="C117" t="s">
        <v>23</v>
      </c>
      <c r="D117" t="s">
        <v>11</v>
      </c>
      <c r="E117">
        <v>44</v>
      </c>
      <c r="F117" t="str" cm="1">
        <f t="array" ref="F117">_xlfn.IFS(EmployeeData[[#This Row],[Age]]&lt;30,"20s",EmployeeData[[#This Row],[Age]]&lt;40,"30s",EmployeeData[[#This Row],[Age]]&lt;50,"40s",EmployeeData[[#This Row],[Age]]&lt;60,"50s",EmployeeData[[#This Row],[Age]]&gt;=60,"60s")</f>
        <v>40s</v>
      </c>
      <c r="G117" s="5">
        <v>43544</v>
      </c>
      <c r="I117" t="s">
        <v>17</v>
      </c>
      <c r="J117" t="s">
        <v>18</v>
      </c>
      <c r="K117" cm="1">
        <f t="array" aca="1" ref="K117" ca="1">_xlfn.IFS(EmployeeData[[#This Row],[Status]]="Active",_xlfn.DAYS(TODAY(),EmployeeData[[#This Row],[Join Date]]),EmployeeData[[#This Row],[Status]]="Exited",_xlfn.DAYS(EmployeeData[[#This Row],[Exit Date]],EmployeeData[[#This Row],[Join Date]]))</f>
        <v>2653</v>
      </c>
      <c r="L117" cm="1">
        <f t="array" aca="1" ref="L117" ca="1">_xlfn.IFS(EmployeeData[[#This Row],[Status]]="Exited",DATEDIF(EmployeeData[[#This Row],[Join Date]], EmployeeData[[#This Row],[Exit Date]], "Y"),EmployeeData[[#This Row],[Status]]="Active",DATEDIF(EmployeeData[[#This Row],[Join Date]], TODAY(), "Y"))</f>
        <v>7</v>
      </c>
      <c r="Q117" t="str" cm="1">
        <f t="array" aca="1" ref="Q1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4 days</v>
      </c>
    </row>
    <row r="118" spans="1:17" x14ac:dyDescent="0.3">
      <c r="A118">
        <v>1117</v>
      </c>
      <c r="B118" t="s">
        <v>893</v>
      </c>
      <c r="C118" t="s">
        <v>46</v>
      </c>
      <c r="D118" t="s">
        <v>24</v>
      </c>
      <c r="E118">
        <v>35</v>
      </c>
      <c r="F118" t="str" cm="1">
        <f t="array" ref="F118">_xlfn.IFS(EmployeeData[[#This Row],[Age]]&lt;30,"20s",EmployeeData[[#This Row],[Age]]&lt;40,"30s",EmployeeData[[#This Row],[Age]]&lt;50,"40s",EmployeeData[[#This Row],[Age]]&lt;60,"50s",EmployeeData[[#This Row],[Age]]&gt;=60,"60s")</f>
        <v>30s</v>
      </c>
      <c r="G118" s="5">
        <v>45753</v>
      </c>
      <c r="H118" s="5">
        <v>46080</v>
      </c>
      <c r="I118" t="s">
        <v>52</v>
      </c>
      <c r="J118" t="s">
        <v>13</v>
      </c>
      <c r="K118" cm="1">
        <f t="array" aca="1" ref="K118" ca="1">_xlfn.IFS(EmployeeData[[#This Row],[Status]]="Active",_xlfn.DAYS(TODAY(),EmployeeData[[#This Row],[Join Date]]),EmployeeData[[#This Row],[Status]]="Exited",_xlfn.DAYS(EmployeeData[[#This Row],[Exit Date]],EmployeeData[[#This Row],[Join Date]]))</f>
        <v>327</v>
      </c>
      <c r="L118" cm="1">
        <f t="array" aca="1" ref="L118" ca="1">_xlfn.IFS(EmployeeData[[#This Row],[Status]]="Exited",DATEDIF(EmployeeData[[#This Row],[Join Date]], EmployeeData[[#This Row],[Exit Date]], "Y"),EmployeeData[[#This Row],[Status]]="Active",DATEDIF(EmployeeData[[#This Row],[Join Date]], TODAY(), "Y"))</f>
        <v>0</v>
      </c>
      <c r="Q118" t="str" cm="1">
        <f t="array" aca="1" ref="Q1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21 days</v>
      </c>
    </row>
    <row r="119" spans="1:17" x14ac:dyDescent="0.3">
      <c r="A119">
        <v>1118</v>
      </c>
      <c r="B119" t="s">
        <v>600</v>
      </c>
      <c r="C119" t="s">
        <v>15</v>
      </c>
      <c r="D119" t="s">
        <v>16</v>
      </c>
      <c r="E119">
        <v>52</v>
      </c>
      <c r="F119" t="str" cm="1">
        <f t="array" ref="F119">_xlfn.IFS(EmployeeData[[#This Row],[Age]]&lt;30,"20s",EmployeeData[[#This Row],[Age]]&lt;40,"30s",EmployeeData[[#This Row],[Age]]&lt;50,"40s",EmployeeData[[#This Row],[Age]]&lt;60,"50s",EmployeeData[[#This Row],[Age]]&gt;=60,"60s")</f>
        <v>50s</v>
      </c>
      <c r="G119" s="5">
        <v>43576</v>
      </c>
      <c r="H119" s="5">
        <v>44221</v>
      </c>
      <c r="I119" t="s">
        <v>12</v>
      </c>
      <c r="J119" t="s">
        <v>13</v>
      </c>
      <c r="K119" cm="1">
        <f t="array" aca="1" ref="K119" ca="1">_xlfn.IFS(EmployeeData[[#This Row],[Status]]="Active",_xlfn.DAYS(TODAY(),EmployeeData[[#This Row],[Join Date]]),EmployeeData[[#This Row],[Status]]="Exited",_xlfn.DAYS(EmployeeData[[#This Row],[Exit Date]],EmployeeData[[#This Row],[Join Date]]))</f>
        <v>645</v>
      </c>
      <c r="L119" cm="1">
        <f t="array" aca="1" ref="L119" ca="1">_xlfn.IFS(EmployeeData[[#This Row],[Status]]="Exited",DATEDIF(EmployeeData[[#This Row],[Join Date]], EmployeeData[[#This Row],[Exit Date]], "Y"),EmployeeData[[#This Row],[Status]]="Active",DATEDIF(EmployeeData[[#This Row],[Join Date]], TODAY(), "Y"))</f>
        <v>1</v>
      </c>
      <c r="Q119" t="str" cm="1">
        <f t="array" aca="1" ref="Q1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4 days</v>
      </c>
    </row>
    <row r="120" spans="1:17" x14ac:dyDescent="0.3">
      <c r="A120">
        <v>1119</v>
      </c>
      <c r="B120" t="s">
        <v>413</v>
      </c>
      <c r="C120" t="s">
        <v>20</v>
      </c>
      <c r="D120" t="s">
        <v>24</v>
      </c>
      <c r="E120">
        <v>58</v>
      </c>
      <c r="F120" t="str" cm="1">
        <f t="array" ref="F120">_xlfn.IFS(EmployeeData[[#This Row],[Age]]&lt;30,"20s",EmployeeData[[#This Row],[Age]]&lt;40,"30s",EmployeeData[[#This Row],[Age]]&lt;50,"40s",EmployeeData[[#This Row],[Age]]&lt;60,"50s",EmployeeData[[#This Row],[Age]]&gt;=60,"60s")</f>
        <v>50s</v>
      </c>
      <c r="G120" s="5">
        <v>43733</v>
      </c>
      <c r="I120" t="s">
        <v>17</v>
      </c>
      <c r="J120" t="s">
        <v>18</v>
      </c>
      <c r="K120" cm="1">
        <f t="array" aca="1" ref="K120" ca="1">_xlfn.IFS(EmployeeData[[#This Row],[Status]]="Active",_xlfn.DAYS(TODAY(),EmployeeData[[#This Row],[Join Date]]),EmployeeData[[#This Row],[Status]]="Exited",_xlfn.DAYS(EmployeeData[[#This Row],[Exit Date]],EmployeeData[[#This Row],[Join Date]]))</f>
        <v>2464</v>
      </c>
      <c r="L120" cm="1">
        <f t="array" aca="1" ref="L120" ca="1">_xlfn.IFS(EmployeeData[[#This Row],[Status]]="Exited",DATEDIF(EmployeeData[[#This Row],[Join Date]], EmployeeData[[#This Row],[Exit Date]], "Y"),EmployeeData[[#This Row],[Status]]="Active",DATEDIF(EmployeeData[[#This Row],[Join Date]], TODAY(), "Y"))</f>
        <v>6</v>
      </c>
      <c r="Q120" t="str" cm="1">
        <f t="array" aca="1" ref="Q1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30 days</v>
      </c>
    </row>
    <row r="121" spans="1:17" x14ac:dyDescent="0.3">
      <c r="A121">
        <v>1120</v>
      </c>
      <c r="B121" t="s">
        <v>404</v>
      </c>
      <c r="C121" t="s">
        <v>46</v>
      </c>
      <c r="D121" t="s">
        <v>16</v>
      </c>
      <c r="E121">
        <v>44</v>
      </c>
      <c r="F121" t="str" cm="1">
        <f t="array" ref="F121">_xlfn.IFS(EmployeeData[[#This Row],[Age]]&lt;30,"20s",EmployeeData[[#This Row],[Age]]&lt;40,"30s",EmployeeData[[#This Row],[Age]]&lt;50,"40s",EmployeeData[[#This Row],[Age]]&lt;60,"50s",EmployeeData[[#This Row],[Age]]&gt;=60,"60s")</f>
        <v>40s</v>
      </c>
      <c r="G121" s="5">
        <v>43990</v>
      </c>
      <c r="I121" t="s">
        <v>17</v>
      </c>
      <c r="J121" t="s">
        <v>18</v>
      </c>
      <c r="K121" cm="1">
        <f t="array" aca="1" ref="K121" ca="1">_xlfn.IFS(EmployeeData[[#This Row],[Status]]="Active",_xlfn.DAYS(TODAY(),EmployeeData[[#This Row],[Join Date]]),EmployeeData[[#This Row],[Status]]="Exited",_xlfn.DAYS(EmployeeData[[#This Row],[Exit Date]],EmployeeData[[#This Row],[Join Date]]))</f>
        <v>2207</v>
      </c>
      <c r="L121" cm="1">
        <f t="array" aca="1" ref="L121" ca="1">_xlfn.IFS(EmployeeData[[#This Row],[Status]]="Exited",DATEDIF(EmployeeData[[#This Row],[Join Date]], EmployeeData[[#This Row],[Exit Date]], "Y"),EmployeeData[[#This Row],[Status]]="Active",DATEDIF(EmployeeData[[#This Row],[Join Date]], TODAY(), "Y"))</f>
        <v>6</v>
      </c>
      <c r="Q121" t="str" cm="1">
        <f t="array" aca="1" ref="Q1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16 days</v>
      </c>
    </row>
    <row r="122" spans="1:17" x14ac:dyDescent="0.3">
      <c r="A122">
        <v>1121</v>
      </c>
      <c r="B122" t="s">
        <v>926</v>
      </c>
      <c r="C122" t="s">
        <v>23</v>
      </c>
      <c r="D122" t="s">
        <v>11</v>
      </c>
      <c r="E122">
        <v>43</v>
      </c>
      <c r="F122" t="str" cm="1">
        <f t="array" ref="F122">_xlfn.IFS(EmployeeData[[#This Row],[Age]]&lt;30,"20s",EmployeeData[[#This Row],[Age]]&lt;40,"30s",EmployeeData[[#This Row],[Age]]&lt;50,"40s",EmployeeData[[#This Row],[Age]]&lt;60,"50s",EmployeeData[[#This Row],[Age]]&gt;=60,"60s")</f>
        <v>40s</v>
      </c>
      <c r="G122" s="5">
        <v>43349</v>
      </c>
      <c r="I122" t="s">
        <v>17</v>
      </c>
      <c r="J122" t="s">
        <v>18</v>
      </c>
      <c r="K122" cm="1">
        <f t="array" aca="1" ref="K122" ca="1">_xlfn.IFS(EmployeeData[[#This Row],[Status]]="Active",_xlfn.DAYS(TODAY(),EmployeeData[[#This Row],[Join Date]]),EmployeeData[[#This Row],[Status]]="Exited",_xlfn.DAYS(EmployeeData[[#This Row],[Exit Date]],EmployeeData[[#This Row],[Join Date]]))</f>
        <v>2848</v>
      </c>
      <c r="L122" cm="1">
        <f t="array" aca="1" ref="L122" ca="1">_xlfn.IFS(EmployeeData[[#This Row],[Status]]="Exited",DATEDIF(EmployeeData[[#This Row],[Join Date]], EmployeeData[[#This Row],[Exit Date]], "Y"),EmployeeData[[#This Row],[Status]]="Active",DATEDIF(EmployeeData[[#This Row],[Join Date]], TODAY(), "Y"))</f>
        <v>7</v>
      </c>
      <c r="Q122" t="str" cm="1">
        <f t="array" aca="1" ref="Q1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18 days</v>
      </c>
    </row>
    <row r="123" spans="1:17" x14ac:dyDescent="0.3">
      <c r="A123">
        <v>1122</v>
      </c>
      <c r="B123" t="s">
        <v>777</v>
      </c>
      <c r="C123" t="s">
        <v>33</v>
      </c>
      <c r="D123" t="s">
        <v>16</v>
      </c>
      <c r="E123">
        <v>34</v>
      </c>
      <c r="F123" t="str" cm="1">
        <f t="array" ref="F123">_xlfn.IFS(EmployeeData[[#This Row],[Age]]&lt;30,"20s",EmployeeData[[#This Row],[Age]]&lt;40,"30s",EmployeeData[[#This Row],[Age]]&lt;50,"40s",EmployeeData[[#This Row],[Age]]&lt;60,"50s",EmployeeData[[#This Row],[Age]]&gt;=60,"60s")</f>
        <v>30s</v>
      </c>
      <c r="G123" s="5">
        <v>45729</v>
      </c>
      <c r="I123" t="s">
        <v>17</v>
      </c>
      <c r="J123" t="s">
        <v>18</v>
      </c>
      <c r="K123" cm="1">
        <f t="array" aca="1" ref="K123" ca="1">_xlfn.IFS(EmployeeData[[#This Row],[Status]]="Active",_xlfn.DAYS(TODAY(),EmployeeData[[#This Row],[Join Date]]),EmployeeData[[#This Row],[Status]]="Exited",_xlfn.DAYS(EmployeeData[[#This Row],[Exit Date]],EmployeeData[[#This Row],[Join Date]]))</f>
        <v>468</v>
      </c>
      <c r="L123" cm="1">
        <f t="array" aca="1" ref="L123" ca="1">_xlfn.IFS(EmployeeData[[#This Row],[Status]]="Exited",DATEDIF(EmployeeData[[#This Row],[Join Date]], EmployeeData[[#This Row],[Exit Date]], "Y"),EmployeeData[[#This Row],[Status]]="Active",DATEDIF(EmployeeData[[#This Row],[Join Date]], TODAY(), "Y"))</f>
        <v>1</v>
      </c>
      <c r="Q123" t="str" cm="1">
        <f t="array" aca="1" ref="Q1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11 days</v>
      </c>
    </row>
    <row r="124" spans="1:17" x14ac:dyDescent="0.3">
      <c r="A124">
        <v>1123</v>
      </c>
      <c r="B124" t="s">
        <v>1009</v>
      </c>
      <c r="C124" t="s">
        <v>10</v>
      </c>
      <c r="D124" t="s">
        <v>16</v>
      </c>
      <c r="E124">
        <v>57</v>
      </c>
      <c r="F124" t="str" cm="1">
        <f t="array" ref="F124">_xlfn.IFS(EmployeeData[[#This Row],[Age]]&lt;30,"20s",EmployeeData[[#This Row],[Age]]&lt;40,"30s",EmployeeData[[#This Row],[Age]]&lt;50,"40s",EmployeeData[[#This Row],[Age]]&lt;60,"50s",EmployeeData[[#This Row],[Age]]&gt;=60,"60s")</f>
        <v>50s</v>
      </c>
      <c r="G124" s="5">
        <v>43941</v>
      </c>
      <c r="H124" s="5">
        <v>44879</v>
      </c>
      <c r="I124" t="s">
        <v>28</v>
      </c>
      <c r="J124" t="s">
        <v>13</v>
      </c>
      <c r="K124" cm="1">
        <f t="array" aca="1" ref="K124" ca="1">_xlfn.IFS(EmployeeData[[#This Row],[Status]]="Active",_xlfn.DAYS(TODAY(),EmployeeData[[#This Row],[Join Date]]),EmployeeData[[#This Row],[Status]]="Exited",_xlfn.DAYS(EmployeeData[[#This Row],[Exit Date]],EmployeeData[[#This Row],[Join Date]]))</f>
        <v>938</v>
      </c>
      <c r="L124" cm="1">
        <f t="array" aca="1" ref="L124" ca="1">_xlfn.IFS(EmployeeData[[#This Row],[Status]]="Exited",DATEDIF(EmployeeData[[#This Row],[Join Date]], EmployeeData[[#This Row],[Exit Date]], "Y"),EmployeeData[[#This Row],[Status]]="Active",DATEDIF(EmployeeData[[#This Row],[Join Date]], TODAY(), "Y"))</f>
        <v>2</v>
      </c>
      <c r="Q124" t="str" cm="1">
        <f t="array" aca="1" ref="Q1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25 days</v>
      </c>
    </row>
    <row r="125" spans="1:17" x14ac:dyDescent="0.3">
      <c r="A125">
        <v>1124</v>
      </c>
      <c r="B125" t="s">
        <v>802</v>
      </c>
      <c r="C125" t="s">
        <v>33</v>
      </c>
      <c r="D125" t="s">
        <v>24</v>
      </c>
      <c r="E125">
        <v>38</v>
      </c>
      <c r="F125" t="str" cm="1">
        <f t="array" ref="F125">_xlfn.IFS(EmployeeData[[#This Row],[Age]]&lt;30,"20s",EmployeeData[[#This Row],[Age]]&lt;40,"30s",EmployeeData[[#This Row],[Age]]&lt;50,"40s",EmployeeData[[#This Row],[Age]]&lt;60,"50s",EmployeeData[[#This Row],[Age]]&gt;=60,"60s")</f>
        <v>30s</v>
      </c>
      <c r="G125" s="5">
        <v>43693</v>
      </c>
      <c r="I125" t="s">
        <v>17</v>
      </c>
      <c r="J125" t="s">
        <v>18</v>
      </c>
      <c r="K125" cm="1">
        <f t="array" aca="1" ref="K125" ca="1">_xlfn.IFS(EmployeeData[[#This Row],[Status]]="Active",_xlfn.DAYS(TODAY(),EmployeeData[[#This Row],[Join Date]]),EmployeeData[[#This Row],[Status]]="Exited",_xlfn.DAYS(EmployeeData[[#This Row],[Exit Date]],EmployeeData[[#This Row],[Join Date]]))</f>
        <v>2504</v>
      </c>
      <c r="L125" cm="1">
        <f t="array" aca="1" ref="L125" ca="1">_xlfn.IFS(EmployeeData[[#This Row],[Status]]="Exited",DATEDIF(EmployeeData[[#This Row],[Join Date]], EmployeeData[[#This Row],[Exit Date]], "Y"),EmployeeData[[#This Row],[Status]]="Active",DATEDIF(EmployeeData[[#This Row],[Join Date]], TODAY(), "Y"))</f>
        <v>6</v>
      </c>
      <c r="Q125" t="str" cm="1">
        <f t="array" aca="1" ref="Q1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8 days</v>
      </c>
    </row>
    <row r="126" spans="1:17" x14ac:dyDescent="0.3">
      <c r="A126">
        <v>1125</v>
      </c>
      <c r="B126" t="s">
        <v>273</v>
      </c>
      <c r="C126" t="s">
        <v>15</v>
      </c>
      <c r="D126" t="s">
        <v>11</v>
      </c>
      <c r="E126">
        <v>29</v>
      </c>
      <c r="F126" t="str" cm="1">
        <f t="array" ref="F126">_xlfn.IFS(EmployeeData[[#This Row],[Age]]&lt;30,"20s",EmployeeData[[#This Row],[Age]]&lt;40,"30s",EmployeeData[[#This Row],[Age]]&lt;50,"40s",EmployeeData[[#This Row],[Age]]&lt;60,"50s",EmployeeData[[#This Row],[Age]]&gt;=60,"60s")</f>
        <v>20s</v>
      </c>
      <c r="G126" s="5">
        <v>43161</v>
      </c>
      <c r="H126" s="5">
        <v>44225</v>
      </c>
      <c r="I126" t="s">
        <v>28</v>
      </c>
      <c r="J126" t="s">
        <v>13</v>
      </c>
      <c r="K126" cm="1">
        <f t="array" aca="1" ref="K126" ca="1">_xlfn.IFS(EmployeeData[[#This Row],[Status]]="Active",_xlfn.DAYS(TODAY(),EmployeeData[[#This Row],[Join Date]]),EmployeeData[[#This Row],[Status]]="Exited",_xlfn.DAYS(EmployeeData[[#This Row],[Exit Date]],EmployeeData[[#This Row],[Join Date]]))</f>
        <v>1064</v>
      </c>
      <c r="L126" cm="1">
        <f t="array" aca="1" ref="L126" ca="1">_xlfn.IFS(EmployeeData[[#This Row],[Status]]="Exited",DATEDIF(EmployeeData[[#This Row],[Join Date]], EmployeeData[[#This Row],[Exit Date]], "Y"),EmployeeData[[#This Row],[Status]]="Active",DATEDIF(EmployeeData[[#This Row],[Join Date]], TODAY(), "Y"))</f>
        <v>2</v>
      </c>
      <c r="Q126" t="str" cm="1">
        <f t="array" aca="1" ref="Q1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27 days</v>
      </c>
    </row>
    <row r="127" spans="1:17" x14ac:dyDescent="0.3">
      <c r="A127">
        <v>1126</v>
      </c>
      <c r="B127" t="s">
        <v>393</v>
      </c>
      <c r="C127" t="s">
        <v>20</v>
      </c>
      <c r="D127" t="s">
        <v>24</v>
      </c>
      <c r="E127">
        <v>25</v>
      </c>
      <c r="F127" t="str" cm="1">
        <f t="array" ref="F127">_xlfn.IFS(EmployeeData[[#This Row],[Age]]&lt;30,"20s",EmployeeData[[#This Row],[Age]]&lt;40,"30s",EmployeeData[[#This Row],[Age]]&lt;50,"40s",EmployeeData[[#This Row],[Age]]&lt;60,"50s",EmployeeData[[#This Row],[Age]]&gt;=60,"60s")</f>
        <v>20s</v>
      </c>
      <c r="G127" s="5">
        <v>45051</v>
      </c>
      <c r="I127" t="s">
        <v>17</v>
      </c>
      <c r="J127" t="s">
        <v>18</v>
      </c>
      <c r="K127" cm="1">
        <f t="array" aca="1" ref="K127" ca="1">_xlfn.IFS(EmployeeData[[#This Row],[Status]]="Active",_xlfn.DAYS(TODAY(),EmployeeData[[#This Row],[Join Date]]),EmployeeData[[#This Row],[Status]]="Exited",_xlfn.DAYS(EmployeeData[[#This Row],[Exit Date]],EmployeeData[[#This Row],[Join Date]]))</f>
        <v>1146</v>
      </c>
      <c r="L127" cm="1">
        <f t="array" aca="1" ref="L127" ca="1">_xlfn.IFS(EmployeeData[[#This Row],[Status]]="Exited",DATEDIF(EmployeeData[[#This Row],[Join Date]], EmployeeData[[#This Row],[Exit Date]], "Y"),EmployeeData[[#This Row],[Status]]="Active",DATEDIF(EmployeeData[[#This Row],[Join Date]], TODAY(), "Y"))</f>
        <v>3</v>
      </c>
      <c r="Q127" t="str" cm="1">
        <f t="array" aca="1" ref="Q1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19 days</v>
      </c>
    </row>
    <row r="128" spans="1:17" x14ac:dyDescent="0.3">
      <c r="A128">
        <v>1127</v>
      </c>
      <c r="B128" t="s">
        <v>242</v>
      </c>
      <c r="C128" t="s">
        <v>23</v>
      </c>
      <c r="D128" t="s">
        <v>11</v>
      </c>
      <c r="E128">
        <v>23</v>
      </c>
      <c r="F128" t="str" cm="1">
        <f t="array" ref="F128">_xlfn.IFS(EmployeeData[[#This Row],[Age]]&lt;30,"20s",EmployeeData[[#This Row],[Age]]&lt;40,"30s",EmployeeData[[#This Row],[Age]]&lt;50,"40s",EmployeeData[[#This Row],[Age]]&lt;60,"50s",EmployeeData[[#This Row],[Age]]&gt;=60,"60s")</f>
        <v>20s</v>
      </c>
      <c r="G128" s="5">
        <v>45799</v>
      </c>
      <c r="I128" t="s">
        <v>17</v>
      </c>
      <c r="J128" t="s">
        <v>18</v>
      </c>
      <c r="K128" cm="1">
        <f t="array" aca="1" ref="K128" ca="1">_xlfn.IFS(EmployeeData[[#This Row],[Status]]="Active",_xlfn.DAYS(TODAY(),EmployeeData[[#This Row],[Join Date]]),EmployeeData[[#This Row],[Status]]="Exited",_xlfn.DAYS(EmployeeData[[#This Row],[Exit Date]],EmployeeData[[#This Row],[Join Date]]))</f>
        <v>398</v>
      </c>
      <c r="L128" cm="1">
        <f t="array" aca="1" ref="L128" ca="1">_xlfn.IFS(EmployeeData[[#This Row],[Status]]="Exited",DATEDIF(EmployeeData[[#This Row],[Join Date]], EmployeeData[[#This Row],[Exit Date]], "Y"),EmployeeData[[#This Row],[Status]]="Active",DATEDIF(EmployeeData[[#This Row],[Join Date]], TODAY(), "Y"))</f>
        <v>1</v>
      </c>
      <c r="Q128" t="str" cm="1">
        <f t="array" aca="1" ref="Q1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 days</v>
      </c>
    </row>
    <row r="129" spans="1:17" x14ac:dyDescent="0.3">
      <c r="A129">
        <v>1128</v>
      </c>
      <c r="B129" t="s">
        <v>424</v>
      </c>
      <c r="C129" t="s">
        <v>15</v>
      </c>
      <c r="D129" t="s">
        <v>24</v>
      </c>
      <c r="E129">
        <v>46</v>
      </c>
      <c r="F129" t="str" cm="1">
        <f t="array" ref="F129">_xlfn.IFS(EmployeeData[[#This Row],[Age]]&lt;30,"20s",EmployeeData[[#This Row],[Age]]&lt;40,"30s",EmployeeData[[#This Row],[Age]]&lt;50,"40s",EmployeeData[[#This Row],[Age]]&lt;60,"50s",EmployeeData[[#This Row],[Age]]&gt;=60,"60s")</f>
        <v>40s</v>
      </c>
      <c r="G129" s="5">
        <v>44847</v>
      </c>
      <c r="I129" t="s">
        <v>17</v>
      </c>
      <c r="J129" t="s">
        <v>18</v>
      </c>
      <c r="K129" cm="1">
        <f t="array" aca="1" ref="K129" ca="1">_xlfn.IFS(EmployeeData[[#This Row],[Status]]="Active",_xlfn.DAYS(TODAY(),EmployeeData[[#This Row],[Join Date]]),EmployeeData[[#This Row],[Status]]="Exited",_xlfn.DAYS(EmployeeData[[#This Row],[Exit Date]],EmployeeData[[#This Row],[Join Date]]))</f>
        <v>1350</v>
      </c>
      <c r="L129" cm="1">
        <f t="array" aca="1" ref="L129" ca="1">_xlfn.IFS(EmployeeData[[#This Row],[Status]]="Exited",DATEDIF(EmployeeData[[#This Row],[Join Date]], EmployeeData[[#This Row],[Exit Date]], "Y"),EmployeeData[[#This Row],[Status]]="Active",DATEDIF(EmployeeData[[#This Row],[Join Date]], TODAY(), "Y"))</f>
        <v>3</v>
      </c>
      <c r="Q129" t="str" cm="1">
        <f t="array" aca="1" ref="Q1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11 days</v>
      </c>
    </row>
    <row r="130" spans="1:17" x14ac:dyDescent="0.3">
      <c r="A130">
        <v>1129</v>
      </c>
      <c r="B130" t="s">
        <v>875</v>
      </c>
      <c r="C130" t="s">
        <v>15</v>
      </c>
      <c r="D130" t="s">
        <v>16</v>
      </c>
      <c r="E130">
        <v>30</v>
      </c>
      <c r="F130" t="str" cm="1">
        <f t="array" ref="F130">_xlfn.IFS(EmployeeData[[#This Row],[Age]]&lt;30,"20s",EmployeeData[[#This Row],[Age]]&lt;40,"30s",EmployeeData[[#This Row],[Age]]&lt;50,"40s",EmployeeData[[#This Row],[Age]]&lt;60,"50s",EmployeeData[[#This Row],[Age]]&gt;=60,"60s")</f>
        <v>30s</v>
      </c>
      <c r="G130" s="5">
        <v>43370</v>
      </c>
      <c r="H130" s="5">
        <v>44791</v>
      </c>
      <c r="I130" t="s">
        <v>12</v>
      </c>
      <c r="J130" t="s">
        <v>13</v>
      </c>
      <c r="K130" cm="1">
        <f t="array" aca="1" ref="K130" ca="1">_xlfn.IFS(EmployeeData[[#This Row],[Status]]="Active",_xlfn.DAYS(TODAY(),EmployeeData[[#This Row],[Join Date]]),EmployeeData[[#This Row],[Status]]="Exited",_xlfn.DAYS(EmployeeData[[#This Row],[Exit Date]],EmployeeData[[#This Row],[Join Date]]))</f>
        <v>1421</v>
      </c>
      <c r="L130" cm="1">
        <f t="array" aca="1" ref="L130" ca="1">_xlfn.IFS(EmployeeData[[#This Row],[Status]]="Exited",DATEDIF(EmployeeData[[#This Row],[Join Date]], EmployeeData[[#This Row],[Exit Date]], "Y"),EmployeeData[[#This Row],[Status]]="Active",DATEDIF(EmployeeData[[#This Row],[Join Date]], TODAY(), "Y"))</f>
        <v>3</v>
      </c>
      <c r="Q130" t="str" cm="1">
        <f t="array" aca="1" ref="Q1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22 days</v>
      </c>
    </row>
    <row r="131" spans="1:17" x14ac:dyDescent="0.3">
      <c r="A131">
        <v>1130</v>
      </c>
      <c r="B131" t="s">
        <v>140</v>
      </c>
      <c r="C131" t="s">
        <v>15</v>
      </c>
      <c r="D131" t="s">
        <v>11</v>
      </c>
      <c r="E131">
        <v>56</v>
      </c>
      <c r="F131" t="str" cm="1">
        <f t="array" ref="F131">_xlfn.IFS(EmployeeData[[#This Row],[Age]]&lt;30,"20s",EmployeeData[[#This Row],[Age]]&lt;40,"30s",EmployeeData[[#This Row],[Age]]&lt;50,"40s",EmployeeData[[#This Row],[Age]]&lt;60,"50s",EmployeeData[[#This Row],[Age]]&gt;=60,"60s")</f>
        <v>50s</v>
      </c>
      <c r="G131" s="5">
        <v>43981</v>
      </c>
      <c r="I131" t="s">
        <v>17</v>
      </c>
      <c r="J131" t="s">
        <v>18</v>
      </c>
      <c r="K131" cm="1">
        <f t="array" aca="1" ref="K131" ca="1">_xlfn.IFS(EmployeeData[[#This Row],[Status]]="Active",_xlfn.DAYS(TODAY(),EmployeeData[[#This Row],[Join Date]]),EmployeeData[[#This Row],[Status]]="Exited",_xlfn.DAYS(EmployeeData[[#This Row],[Exit Date]],EmployeeData[[#This Row],[Join Date]]))</f>
        <v>2216</v>
      </c>
      <c r="L131" cm="1">
        <f t="array" aca="1" ref="L131" ca="1">_xlfn.IFS(EmployeeData[[#This Row],[Status]]="Exited",DATEDIF(EmployeeData[[#This Row],[Join Date]], EmployeeData[[#This Row],[Exit Date]], "Y"),EmployeeData[[#This Row],[Status]]="Active",DATEDIF(EmployeeData[[#This Row],[Join Date]], TODAY(), "Y"))</f>
        <v>6</v>
      </c>
      <c r="Q131" t="str" cm="1">
        <f t="array" aca="1" ref="Q1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25 days</v>
      </c>
    </row>
    <row r="132" spans="1:17" x14ac:dyDescent="0.3">
      <c r="A132">
        <v>1131</v>
      </c>
      <c r="B132" t="s">
        <v>838</v>
      </c>
      <c r="C132" t="s">
        <v>10</v>
      </c>
      <c r="D132" t="s">
        <v>11</v>
      </c>
      <c r="E132">
        <v>41</v>
      </c>
      <c r="F132" t="str" cm="1">
        <f t="array" ref="F132">_xlfn.IFS(EmployeeData[[#This Row],[Age]]&lt;30,"20s",EmployeeData[[#This Row],[Age]]&lt;40,"30s",EmployeeData[[#This Row],[Age]]&lt;50,"40s",EmployeeData[[#This Row],[Age]]&lt;60,"50s",EmployeeData[[#This Row],[Age]]&gt;=60,"60s")</f>
        <v>40s</v>
      </c>
      <c r="G132" s="5">
        <v>44849</v>
      </c>
      <c r="H132" s="5">
        <v>45461</v>
      </c>
      <c r="I132" t="s">
        <v>12</v>
      </c>
      <c r="J132" t="s">
        <v>13</v>
      </c>
      <c r="K132" cm="1">
        <f t="array" aca="1" ref="K132" ca="1">_xlfn.IFS(EmployeeData[[#This Row],[Status]]="Active",_xlfn.DAYS(TODAY(),EmployeeData[[#This Row],[Join Date]]),EmployeeData[[#This Row],[Status]]="Exited",_xlfn.DAYS(EmployeeData[[#This Row],[Exit Date]],EmployeeData[[#This Row],[Join Date]]))</f>
        <v>612</v>
      </c>
      <c r="L132" cm="1">
        <f t="array" aca="1" ref="L132" ca="1">_xlfn.IFS(EmployeeData[[#This Row],[Status]]="Exited",DATEDIF(EmployeeData[[#This Row],[Join Date]], EmployeeData[[#This Row],[Exit Date]], "Y"),EmployeeData[[#This Row],[Status]]="Active",DATEDIF(EmployeeData[[#This Row],[Join Date]], TODAY(), "Y"))</f>
        <v>1</v>
      </c>
      <c r="Q132" t="str" cm="1">
        <f t="array" aca="1" ref="Q1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3 days</v>
      </c>
    </row>
    <row r="133" spans="1:17" x14ac:dyDescent="0.3">
      <c r="A133">
        <v>1132</v>
      </c>
      <c r="B133" t="s">
        <v>178</v>
      </c>
      <c r="C133" t="s">
        <v>15</v>
      </c>
      <c r="D133" t="s">
        <v>11</v>
      </c>
      <c r="E133">
        <v>26</v>
      </c>
      <c r="F133" t="str" cm="1">
        <f t="array" ref="F133">_xlfn.IFS(EmployeeData[[#This Row],[Age]]&lt;30,"20s",EmployeeData[[#This Row],[Age]]&lt;40,"30s",EmployeeData[[#This Row],[Age]]&lt;50,"40s",EmployeeData[[#This Row],[Age]]&lt;60,"50s",EmployeeData[[#This Row],[Age]]&gt;=60,"60s")</f>
        <v>20s</v>
      </c>
      <c r="G133" s="5">
        <v>44869</v>
      </c>
      <c r="H133" s="5">
        <v>45722</v>
      </c>
      <c r="I133" t="s">
        <v>52</v>
      </c>
      <c r="J133" t="s">
        <v>13</v>
      </c>
      <c r="K133" cm="1">
        <f t="array" aca="1" ref="K133" ca="1">_xlfn.IFS(EmployeeData[[#This Row],[Status]]="Active",_xlfn.DAYS(TODAY(),EmployeeData[[#This Row],[Join Date]]),EmployeeData[[#This Row],[Status]]="Exited",_xlfn.DAYS(EmployeeData[[#This Row],[Exit Date]],EmployeeData[[#This Row],[Join Date]]))</f>
        <v>853</v>
      </c>
      <c r="L133" cm="1">
        <f t="array" aca="1" ref="L133" ca="1">_xlfn.IFS(EmployeeData[[#This Row],[Status]]="Exited",DATEDIF(EmployeeData[[#This Row],[Join Date]], EmployeeData[[#This Row],[Exit Date]], "Y"),EmployeeData[[#This Row],[Status]]="Active",DATEDIF(EmployeeData[[#This Row],[Join Date]], TODAY(), "Y"))</f>
        <v>2</v>
      </c>
      <c r="Q133" t="str" cm="1">
        <f t="array" aca="1" ref="Q1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 days</v>
      </c>
    </row>
    <row r="134" spans="1:17" x14ac:dyDescent="0.3">
      <c r="A134">
        <v>1133</v>
      </c>
      <c r="B134" t="s">
        <v>323</v>
      </c>
      <c r="C134" t="s">
        <v>20</v>
      </c>
      <c r="D134" t="s">
        <v>24</v>
      </c>
      <c r="E134">
        <v>48</v>
      </c>
      <c r="F134" t="str" cm="1">
        <f t="array" ref="F134">_xlfn.IFS(EmployeeData[[#This Row],[Age]]&lt;30,"20s",EmployeeData[[#This Row],[Age]]&lt;40,"30s",EmployeeData[[#This Row],[Age]]&lt;50,"40s",EmployeeData[[#This Row],[Age]]&lt;60,"50s",EmployeeData[[#This Row],[Age]]&gt;=60,"60s")</f>
        <v>40s</v>
      </c>
      <c r="G134" s="5">
        <v>43311</v>
      </c>
      <c r="I134" t="s">
        <v>17</v>
      </c>
      <c r="J134" t="s">
        <v>18</v>
      </c>
      <c r="K134" cm="1">
        <f t="array" aca="1" ref="K134" ca="1">_xlfn.IFS(EmployeeData[[#This Row],[Status]]="Active",_xlfn.DAYS(TODAY(),EmployeeData[[#This Row],[Join Date]]),EmployeeData[[#This Row],[Status]]="Exited",_xlfn.DAYS(EmployeeData[[#This Row],[Exit Date]],EmployeeData[[#This Row],[Join Date]]))</f>
        <v>2886</v>
      </c>
      <c r="L134" cm="1">
        <f t="array" aca="1" ref="L134" ca="1">_xlfn.IFS(EmployeeData[[#This Row],[Status]]="Exited",DATEDIF(EmployeeData[[#This Row],[Join Date]], EmployeeData[[#This Row],[Exit Date]], "Y"),EmployeeData[[#This Row],[Status]]="Active",DATEDIF(EmployeeData[[#This Row],[Join Date]], TODAY(), "Y"))</f>
        <v>7</v>
      </c>
      <c r="Q134" t="str" cm="1">
        <f t="array" aca="1" ref="Q1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25 days</v>
      </c>
    </row>
    <row r="135" spans="1:17" x14ac:dyDescent="0.3">
      <c r="A135">
        <v>1134</v>
      </c>
      <c r="B135" t="s">
        <v>973</v>
      </c>
      <c r="C135" t="s">
        <v>15</v>
      </c>
      <c r="D135" t="s">
        <v>24</v>
      </c>
      <c r="E135">
        <v>27</v>
      </c>
      <c r="F135" t="str" cm="1">
        <f t="array" ref="F135">_xlfn.IFS(EmployeeData[[#This Row],[Age]]&lt;30,"20s",EmployeeData[[#This Row],[Age]]&lt;40,"30s",EmployeeData[[#This Row],[Age]]&lt;50,"40s",EmployeeData[[#This Row],[Age]]&lt;60,"50s",EmployeeData[[#This Row],[Age]]&gt;=60,"60s")</f>
        <v>20s</v>
      </c>
      <c r="G135" s="5">
        <v>44535</v>
      </c>
      <c r="I135" t="s">
        <v>17</v>
      </c>
      <c r="J135" t="s">
        <v>18</v>
      </c>
      <c r="K135" cm="1">
        <f t="array" aca="1" ref="K135" ca="1">_xlfn.IFS(EmployeeData[[#This Row],[Status]]="Active",_xlfn.DAYS(TODAY(),EmployeeData[[#This Row],[Join Date]]),EmployeeData[[#This Row],[Status]]="Exited",_xlfn.DAYS(EmployeeData[[#This Row],[Exit Date]],EmployeeData[[#This Row],[Join Date]]))</f>
        <v>1662</v>
      </c>
      <c r="L135" cm="1">
        <f t="array" aca="1" ref="L135" ca="1">_xlfn.IFS(EmployeeData[[#This Row],[Status]]="Exited",DATEDIF(EmployeeData[[#This Row],[Join Date]], EmployeeData[[#This Row],[Exit Date]], "Y"),EmployeeData[[#This Row],[Status]]="Active",DATEDIF(EmployeeData[[#This Row],[Join Date]], TODAY(), "Y"))</f>
        <v>4</v>
      </c>
      <c r="Q135" t="str" cm="1">
        <f t="array" aca="1" ref="Q1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19 days</v>
      </c>
    </row>
    <row r="136" spans="1:17" x14ac:dyDescent="0.3">
      <c r="A136">
        <v>1135</v>
      </c>
      <c r="B136" t="s">
        <v>389</v>
      </c>
      <c r="C136" t="s">
        <v>23</v>
      </c>
      <c r="D136" t="s">
        <v>11</v>
      </c>
      <c r="E136">
        <v>56</v>
      </c>
      <c r="F136" t="str" cm="1">
        <f t="array" ref="F136">_xlfn.IFS(EmployeeData[[#This Row],[Age]]&lt;30,"20s",EmployeeData[[#This Row],[Age]]&lt;40,"30s",EmployeeData[[#This Row],[Age]]&lt;50,"40s",EmployeeData[[#This Row],[Age]]&lt;60,"50s",EmployeeData[[#This Row],[Age]]&gt;=60,"60s")</f>
        <v>50s</v>
      </c>
      <c r="G136" s="5">
        <v>45647</v>
      </c>
      <c r="I136" t="s">
        <v>17</v>
      </c>
      <c r="J136" t="s">
        <v>18</v>
      </c>
      <c r="K136" cm="1">
        <f t="array" aca="1" ref="K136" ca="1">_xlfn.IFS(EmployeeData[[#This Row],[Status]]="Active",_xlfn.DAYS(TODAY(),EmployeeData[[#This Row],[Join Date]]),EmployeeData[[#This Row],[Status]]="Exited",_xlfn.DAYS(EmployeeData[[#This Row],[Exit Date]],EmployeeData[[#This Row],[Join Date]]))</f>
        <v>550</v>
      </c>
      <c r="L136" cm="1">
        <f t="array" aca="1" ref="L136" ca="1">_xlfn.IFS(EmployeeData[[#This Row],[Status]]="Exited",DATEDIF(EmployeeData[[#This Row],[Join Date]], EmployeeData[[#This Row],[Exit Date]], "Y"),EmployeeData[[#This Row],[Status]]="Active",DATEDIF(EmployeeData[[#This Row],[Join Date]], TODAY(), "Y"))</f>
        <v>1</v>
      </c>
      <c r="Q136" t="str" cm="1">
        <f t="array" aca="1" ref="Q1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3 days</v>
      </c>
    </row>
    <row r="137" spans="1:17" x14ac:dyDescent="0.3">
      <c r="A137">
        <v>1136</v>
      </c>
      <c r="B137" t="s">
        <v>490</v>
      </c>
      <c r="C137" t="s">
        <v>20</v>
      </c>
      <c r="D137" t="s">
        <v>11</v>
      </c>
      <c r="E137">
        <v>22</v>
      </c>
      <c r="F137" t="str" cm="1">
        <f t="array" ref="F137">_xlfn.IFS(EmployeeData[[#This Row],[Age]]&lt;30,"20s",EmployeeData[[#This Row],[Age]]&lt;40,"30s",EmployeeData[[#This Row],[Age]]&lt;50,"40s",EmployeeData[[#This Row],[Age]]&lt;60,"50s",EmployeeData[[#This Row],[Age]]&gt;=60,"60s")</f>
        <v>20s</v>
      </c>
      <c r="G137" s="5">
        <v>43839</v>
      </c>
      <c r="H137" s="5">
        <v>45194</v>
      </c>
      <c r="I137" t="s">
        <v>21</v>
      </c>
      <c r="J137" t="s">
        <v>13</v>
      </c>
      <c r="K137" cm="1">
        <f t="array" aca="1" ref="K137" ca="1">_xlfn.IFS(EmployeeData[[#This Row],[Status]]="Active",_xlfn.DAYS(TODAY(),EmployeeData[[#This Row],[Join Date]]),EmployeeData[[#This Row],[Status]]="Exited",_xlfn.DAYS(EmployeeData[[#This Row],[Exit Date]],EmployeeData[[#This Row],[Join Date]]))</f>
        <v>1355</v>
      </c>
      <c r="L137" cm="1">
        <f t="array" aca="1" ref="L137" ca="1">_xlfn.IFS(EmployeeData[[#This Row],[Status]]="Exited",DATEDIF(EmployeeData[[#This Row],[Join Date]], EmployeeData[[#This Row],[Exit Date]], "Y"),EmployeeData[[#This Row],[Status]]="Active",DATEDIF(EmployeeData[[#This Row],[Join Date]], TODAY(), "Y"))</f>
        <v>3</v>
      </c>
      <c r="Q137" t="str" cm="1">
        <f t="array" aca="1" ref="Q1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16 days</v>
      </c>
    </row>
    <row r="138" spans="1:17" x14ac:dyDescent="0.3">
      <c r="A138">
        <v>1137</v>
      </c>
      <c r="B138" t="s">
        <v>69</v>
      </c>
      <c r="C138" t="s">
        <v>23</v>
      </c>
      <c r="D138" t="s">
        <v>24</v>
      </c>
      <c r="E138">
        <v>30</v>
      </c>
      <c r="F138" t="str" cm="1">
        <f t="array" ref="F138">_xlfn.IFS(EmployeeData[[#This Row],[Age]]&lt;30,"20s",EmployeeData[[#This Row],[Age]]&lt;40,"30s",EmployeeData[[#This Row],[Age]]&lt;50,"40s",EmployeeData[[#This Row],[Age]]&lt;60,"50s",EmployeeData[[#This Row],[Age]]&gt;=60,"60s")</f>
        <v>30s</v>
      </c>
      <c r="G138" s="5">
        <v>45694</v>
      </c>
      <c r="I138" t="s">
        <v>17</v>
      </c>
      <c r="J138" t="s">
        <v>18</v>
      </c>
      <c r="K138" cm="1">
        <f t="array" aca="1" ref="K138" ca="1">_xlfn.IFS(EmployeeData[[#This Row],[Status]]="Active",_xlfn.DAYS(TODAY(),EmployeeData[[#This Row],[Join Date]]),EmployeeData[[#This Row],[Status]]="Exited",_xlfn.DAYS(EmployeeData[[#This Row],[Exit Date]],EmployeeData[[#This Row],[Join Date]]))</f>
        <v>503</v>
      </c>
      <c r="L138" cm="1">
        <f t="array" aca="1" ref="L138" ca="1">_xlfn.IFS(EmployeeData[[#This Row],[Status]]="Exited",DATEDIF(EmployeeData[[#This Row],[Join Date]], EmployeeData[[#This Row],[Exit Date]], "Y"),EmployeeData[[#This Row],[Status]]="Active",DATEDIF(EmployeeData[[#This Row],[Join Date]], TODAY(), "Y"))</f>
        <v>1</v>
      </c>
      <c r="Q138" t="str" cm="1">
        <f t="array" aca="1" ref="Q1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18 days</v>
      </c>
    </row>
    <row r="139" spans="1:17" x14ac:dyDescent="0.3">
      <c r="A139">
        <v>1138</v>
      </c>
      <c r="B139" t="s">
        <v>622</v>
      </c>
      <c r="C139" t="s">
        <v>10</v>
      </c>
      <c r="D139" t="s">
        <v>24</v>
      </c>
      <c r="E139">
        <v>44</v>
      </c>
      <c r="F139" t="str" cm="1">
        <f t="array" ref="F139">_xlfn.IFS(EmployeeData[[#This Row],[Age]]&lt;30,"20s",EmployeeData[[#This Row],[Age]]&lt;40,"30s",EmployeeData[[#This Row],[Age]]&lt;50,"40s",EmployeeData[[#This Row],[Age]]&lt;60,"50s",EmployeeData[[#This Row],[Age]]&gt;=60,"60s")</f>
        <v>40s</v>
      </c>
      <c r="G139" s="5">
        <v>44377</v>
      </c>
      <c r="I139" t="s">
        <v>17</v>
      </c>
      <c r="J139" t="s">
        <v>18</v>
      </c>
      <c r="K139" cm="1">
        <f t="array" aca="1" ref="K139" ca="1">_xlfn.IFS(EmployeeData[[#This Row],[Status]]="Active",_xlfn.DAYS(TODAY(),EmployeeData[[#This Row],[Join Date]]),EmployeeData[[#This Row],[Status]]="Exited",_xlfn.DAYS(EmployeeData[[#This Row],[Exit Date]],EmployeeData[[#This Row],[Join Date]]))</f>
        <v>1820</v>
      </c>
      <c r="L139" cm="1">
        <f t="array" aca="1" ref="L139" ca="1">_xlfn.IFS(EmployeeData[[#This Row],[Status]]="Exited",DATEDIF(EmployeeData[[#This Row],[Join Date]], EmployeeData[[#This Row],[Exit Date]], "Y"),EmployeeData[[#This Row],[Status]]="Active",DATEDIF(EmployeeData[[#This Row],[Join Date]], TODAY(), "Y"))</f>
        <v>4</v>
      </c>
      <c r="Q139" t="str" cm="1">
        <f t="array" aca="1" ref="Q1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11 months 25 days</v>
      </c>
    </row>
    <row r="140" spans="1:17" x14ac:dyDescent="0.3">
      <c r="A140">
        <v>1139</v>
      </c>
      <c r="B140" t="s">
        <v>293</v>
      </c>
      <c r="C140" t="s">
        <v>15</v>
      </c>
      <c r="D140" t="s">
        <v>11</v>
      </c>
      <c r="E140">
        <v>24</v>
      </c>
      <c r="F140" t="str" cm="1">
        <f t="array" ref="F140">_xlfn.IFS(EmployeeData[[#This Row],[Age]]&lt;30,"20s",EmployeeData[[#This Row],[Age]]&lt;40,"30s",EmployeeData[[#This Row],[Age]]&lt;50,"40s",EmployeeData[[#This Row],[Age]]&lt;60,"50s",EmployeeData[[#This Row],[Age]]&gt;=60,"60s")</f>
        <v>20s</v>
      </c>
      <c r="G140" s="5">
        <v>45861</v>
      </c>
      <c r="H140" s="5">
        <v>46064</v>
      </c>
      <c r="I140" t="s">
        <v>28</v>
      </c>
      <c r="J140" t="s">
        <v>13</v>
      </c>
      <c r="K140" cm="1">
        <f t="array" aca="1" ref="K140" ca="1">_xlfn.IFS(EmployeeData[[#This Row],[Status]]="Active",_xlfn.DAYS(TODAY(),EmployeeData[[#This Row],[Join Date]]),EmployeeData[[#This Row],[Status]]="Exited",_xlfn.DAYS(EmployeeData[[#This Row],[Exit Date]],EmployeeData[[#This Row],[Join Date]]))</f>
        <v>203</v>
      </c>
      <c r="L140" cm="1">
        <f t="array" aca="1" ref="L140" ca="1">_xlfn.IFS(EmployeeData[[#This Row],[Status]]="Exited",DATEDIF(EmployeeData[[#This Row],[Join Date]], EmployeeData[[#This Row],[Exit Date]], "Y"),EmployeeData[[#This Row],[Status]]="Active",DATEDIF(EmployeeData[[#This Row],[Join Date]], TODAY(), "Y"))</f>
        <v>0</v>
      </c>
      <c r="Q140" t="str" cm="1">
        <f t="array" aca="1" ref="Q1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19 days</v>
      </c>
    </row>
    <row r="141" spans="1:17" x14ac:dyDescent="0.3">
      <c r="A141">
        <v>1140</v>
      </c>
      <c r="B141" t="s">
        <v>984</v>
      </c>
      <c r="C141" t="s">
        <v>15</v>
      </c>
      <c r="D141" t="s">
        <v>24</v>
      </c>
      <c r="E141">
        <v>43</v>
      </c>
      <c r="F141" t="str" cm="1">
        <f t="array" ref="F141">_xlfn.IFS(EmployeeData[[#This Row],[Age]]&lt;30,"20s",EmployeeData[[#This Row],[Age]]&lt;40,"30s",EmployeeData[[#This Row],[Age]]&lt;50,"40s",EmployeeData[[#This Row],[Age]]&lt;60,"50s",EmployeeData[[#This Row],[Age]]&gt;=60,"60s")</f>
        <v>40s</v>
      </c>
      <c r="G141" s="5">
        <v>44861</v>
      </c>
      <c r="H141" s="5">
        <v>46165</v>
      </c>
      <c r="I141" t="s">
        <v>65</v>
      </c>
      <c r="J141" t="s">
        <v>13</v>
      </c>
      <c r="K141" cm="1">
        <f t="array" aca="1" ref="K141" ca="1">_xlfn.IFS(EmployeeData[[#This Row],[Status]]="Active",_xlfn.DAYS(TODAY(),EmployeeData[[#This Row],[Join Date]]),EmployeeData[[#This Row],[Status]]="Exited",_xlfn.DAYS(EmployeeData[[#This Row],[Exit Date]],EmployeeData[[#This Row],[Join Date]]))</f>
        <v>1304</v>
      </c>
      <c r="L141" cm="1">
        <f t="array" aca="1" ref="L141" ca="1">_xlfn.IFS(EmployeeData[[#This Row],[Status]]="Exited",DATEDIF(EmployeeData[[#This Row],[Join Date]], EmployeeData[[#This Row],[Exit Date]], "Y"),EmployeeData[[#This Row],[Status]]="Active",DATEDIF(EmployeeData[[#This Row],[Join Date]], TODAY(), "Y"))</f>
        <v>3</v>
      </c>
      <c r="Q141" t="str" cm="1">
        <f t="array" aca="1" ref="Q1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26 days</v>
      </c>
    </row>
    <row r="142" spans="1:17" x14ac:dyDescent="0.3">
      <c r="A142">
        <v>1141</v>
      </c>
      <c r="B142" t="s">
        <v>522</v>
      </c>
      <c r="C142" t="s">
        <v>15</v>
      </c>
      <c r="D142" t="s">
        <v>16</v>
      </c>
      <c r="E142">
        <v>34</v>
      </c>
      <c r="F142" t="str" cm="1">
        <f t="array" ref="F142">_xlfn.IFS(EmployeeData[[#This Row],[Age]]&lt;30,"20s",EmployeeData[[#This Row],[Age]]&lt;40,"30s",EmployeeData[[#This Row],[Age]]&lt;50,"40s",EmployeeData[[#This Row],[Age]]&lt;60,"50s",EmployeeData[[#This Row],[Age]]&gt;=60,"60s")</f>
        <v>30s</v>
      </c>
      <c r="G142" s="5">
        <v>43663</v>
      </c>
      <c r="I142" t="s">
        <v>17</v>
      </c>
      <c r="J142" t="s">
        <v>18</v>
      </c>
      <c r="K142" cm="1">
        <f t="array" aca="1" ref="K142" ca="1">_xlfn.IFS(EmployeeData[[#This Row],[Status]]="Active",_xlfn.DAYS(TODAY(),EmployeeData[[#This Row],[Join Date]]),EmployeeData[[#This Row],[Status]]="Exited",_xlfn.DAYS(EmployeeData[[#This Row],[Exit Date]],EmployeeData[[#This Row],[Join Date]]))</f>
        <v>2534</v>
      </c>
      <c r="L142" cm="1">
        <f t="array" aca="1" ref="L142" ca="1">_xlfn.IFS(EmployeeData[[#This Row],[Status]]="Exited",DATEDIF(EmployeeData[[#This Row],[Join Date]], EmployeeData[[#This Row],[Exit Date]], "Y"),EmployeeData[[#This Row],[Status]]="Active",DATEDIF(EmployeeData[[#This Row],[Join Date]], TODAY(), "Y"))</f>
        <v>6</v>
      </c>
      <c r="Q142" t="str" cm="1">
        <f t="array" aca="1" ref="Q1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7 days</v>
      </c>
    </row>
    <row r="143" spans="1:17" x14ac:dyDescent="0.3">
      <c r="A143">
        <v>1142</v>
      </c>
      <c r="B143" t="s">
        <v>644</v>
      </c>
      <c r="C143" t="s">
        <v>20</v>
      </c>
      <c r="D143" t="s">
        <v>16</v>
      </c>
      <c r="E143">
        <v>45</v>
      </c>
      <c r="F143" t="str" cm="1">
        <f t="array" ref="F143">_xlfn.IFS(EmployeeData[[#This Row],[Age]]&lt;30,"20s",EmployeeData[[#This Row],[Age]]&lt;40,"30s",EmployeeData[[#This Row],[Age]]&lt;50,"40s",EmployeeData[[#This Row],[Age]]&lt;60,"50s",EmployeeData[[#This Row],[Age]]&gt;=60,"60s")</f>
        <v>40s</v>
      </c>
      <c r="G143" s="5">
        <v>45282</v>
      </c>
      <c r="I143" t="s">
        <v>17</v>
      </c>
      <c r="J143" t="s">
        <v>18</v>
      </c>
      <c r="K143" cm="1">
        <f t="array" aca="1" ref="K143" ca="1">_xlfn.IFS(EmployeeData[[#This Row],[Status]]="Active",_xlfn.DAYS(TODAY(),EmployeeData[[#This Row],[Join Date]]),EmployeeData[[#This Row],[Status]]="Exited",_xlfn.DAYS(EmployeeData[[#This Row],[Exit Date]],EmployeeData[[#This Row],[Join Date]]))</f>
        <v>915</v>
      </c>
      <c r="L143" cm="1">
        <f t="array" aca="1" ref="L143" ca="1">_xlfn.IFS(EmployeeData[[#This Row],[Status]]="Exited",DATEDIF(EmployeeData[[#This Row],[Join Date]], EmployeeData[[#This Row],[Exit Date]], "Y"),EmployeeData[[#This Row],[Status]]="Active",DATEDIF(EmployeeData[[#This Row],[Join Date]], TODAY(), "Y"))</f>
        <v>2</v>
      </c>
      <c r="Q143" t="str" cm="1">
        <f t="array" aca="1" ref="Q1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 days</v>
      </c>
    </row>
    <row r="144" spans="1:17" x14ac:dyDescent="0.3">
      <c r="A144">
        <v>1143</v>
      </c>
      <c r="B144" t="s">
        <v>650</v>
      </c>
      <c r="C144" t="s">
        <v>20</v>
      </c>
      <c r="D144" t="s">
        <v>16</v>
      </c>
      <c r="E144">
        <v>23</v>
      </c>
      <c r="F144" t="str" cm="1">
        <f t="array" ref="F144">_xlfn.IFS(EmployeeData[[#This Row],[Age]]&lt;30,"20s",EmployeeData[[#This Row],[Age]]&lt;40,"30s",EmployeeData[[#This Row],[Age]]&lt;50,"40s",EmployeeData[[#This Row],[Age]]&lt;60,"50s",EmployeeData[[#This Row],[Age]]&gt;=60,"60s")</f>
        <v>20s</v>
      </c>
      <c r="G144" s="5">
        <v>44887</v>
      </c>
      <c r="H144" s="5">
        <v>45136</v>
      </c>
      <c r="I144" t="s">
        <v>52</v>
      </c>
      <c r="J144" t="s">
        <v>13</v>
      </c>
      <c r="K144" cm="1">
        <f t="array" aca="1" ref="K144" ca="1">_xlfn.IFS(EmployeeData[[#This Row],[Status]]="Active",_xlfn.DAYS(TODAY(),EmployeeData[[#This Row],[Join Date]]),EmployeeData[[#This Row],[Status]]="Exited",_xlfn.DAYS(EmployeeData[[#This Row],[Exit Date]],EmployeeData[[#This Row],[Join Date]]))</f>
        <v>249</v>
      </c>
      <c r="L144" cm="1">
        <f t="array" aca="1" ref="L144" ca="1">_xlfn.IFS(EmployeeData[[#This Row],[Status]]="Exited",DATEDIF(EmployeeData[[#This Row],[Join Date]], EmployeeData[[#This Row],[Exit Date]], "Y"),EmployeeData[[#This Row],[Status]]="Active",DATEDIF(EmployeeData[[#This Row],[Join Date]], TODAY(), "Y"))</f>
        <v>0</v>
      </c>
      <c r="Q144" t="str" cm="1">
        <f t="array" aca="1" ref="Q1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7 days</v>
      </c>
    </row>
    <row r="145" spans="1:17" x14ac:dyDescent="0.3">
      <c r="A145">
        <v>1144</v>
      </c>
      <c r="B145" t="s">
        <v>149</v>
      </c>
      <c r="C145" t="s">
        <v>10</v>
      </c>
      <c r="D145" t="s">
        <v>24</v>
      </c>
      <c r="E145">
        <v>41</v>
      </c>
      <c r="F145" t="str" cm="1">
        <f t="array" ref="F145">_xlfn.IFS(EmployeeData[[#This Row],[Age]]&lt;30,"20s",EmployeeData[[#This Row],[Age]]&lt;40,"30s",EmployeeData[[#This Row],[Age]]&lt;50,"40s",EmployeeData[[#This Row],[Age]]&lt;60,"50s",EmployeeData[[#This Row],[Age]]&gt;=60,"60s")</f>
        <v>40s</v>
      </c>
      <c r="G145" s="5">
        <v>43804</v>
      </c>
      <c r="I145" t="s">
        <v>17</v>
      </c>
      <c r="J145" t="s">
        <v>18</v>
      </c>
      <c r="K145" cm="1">
        <f t="array" aca="1" ref="K145" ca="1">_xlfn.IFS(EmployeeData[[#This Row],[Status]]="Active",_xlfn.DAYS(TODAY(),EmployeeData[[#This Row],[Join Date]]),EmployeeData[[#This Row],[Status]]="Exited",_xlfn.DAYS(EmployeeData[[#This Row],[Exit Date]],EmployeeData[[#This Row],[Join Date]]))</f>
        <v>2393</v>
      </c>
      <c r="L145" cm="1">
        <f t="array" aca="1" ref="L145" ca="1">_xlfn.IFS(EmployeeData[[#This Row],[Status]]="Exited",DATEDIF(EmployeeData[[#This Row],[Join Date]], EmployeeData[[#This Row],[Exit Date]], "Y"),EmployeeData[[#This Row],[Status]]="Active",DATEDIF(EmployeeData[[#This Row],[Join Date]], TODAY(), "Y"))</f>
        <v>6</v>
      </c>
      <c r="Q145" t="str" cm="1">
        <f t="array" aca="1" ref="Q1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19 days</v>
      </c>
    </row>
    <row r="146" spans="1:17" x14ac:dyDescent="0.3">
      <c r="A146">
        <v>1145</v>
      </c>
      <c r="B146" t="s">
        <v>158</v>
      </c>
      <c r="C146" t="s">
        <v>15</v>
      </c>
      <c r="D146" t="s">
        <v>11</v>
      </c>
      <c r="E146">
        <v>36</v>
      </c>
      <c r="F146" t="str" cm="1">
        <f t="array" ref="F146">_xlfn.IFS(EmployeeData[[#This Row],[Age]]&lt;30,"20s",EmployeeData[[#This Row],[Age]]&lt;40,"30s",EmployeeData[[#This Row],[Age]]&lt;50,"40s",EmployeeData[[#This Row],[Age]]&lt;60,"50s",EmployeeData[[#This Row],[Age]]&gt;=60,"60s")</f>
        <v>30s</v>
      </c>
      <c r="G146" s="5">
        <v>44885</v>
      </c>
      <c r="I146" t="s">
        <v>17</v>
      </c>
      <c r="J146" t="s">
        <v>18</v>
      </c>
      <c r="K146" cm="1">
        <f t="array" aca="1" ref="K146" ca="1">_xlfn.IFS(EmployeeData[[#This Row],[Status]]="Active",_xlfn.DAYS(TODAY(),EmployeeData[[#This Row],[Join Date]]),EmployeeData[[#This Row],[Status]]="Exited",_xlfn.DAYS(EmployeeData[[#This Row],[Exit Date]],EmployeeData[[#This Row],[Join Date]]))</f>
        <v>1312</v>
      </c>
      <c r="L146" cm="1">
        <f t="array" aca="1" ref="L146" ca="1">_xlfn.IFS(EmployeeData[[#This Row],[Status]]="Exited",DATEDIF(EmployeeData[[#This Row],[Join Date]], EmployeeData[[#This Row],[Exit Date]], "Y"),EmployeeData[[#This Row],[Status]]="Active",DATEDIF(EmployeeData[[#This Row],[Join Date]], TODAY(), "Y"))</f>
        <v>3</v>
      </c>
      <c r="Q146" t="str" cm="1">
        <f t="array" aca="1" ref="Q1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4 days</v>
      </c>
    </row>
    <row r="147" spans="1:17" x14ac:dyDescent="0.3">
      <c r="A147">
        <v>1146</v>
      </c>
      <c r="B147" t="s">
        <v>873</v>
      </c>
      <c r="C147" t="s">
        <v>20</v>
      </c>
      <c r="D147" t="s">
        <v>16</v>
      </c>
      <c r="E147">
        <v>31</v>
      </c>
      <c r="F147" t="str" cm="1">
        <f t="array" ref="F147">_xlfn.IFS(EmployeeData[[#This Row],[Age]]&lt;30,"20s",EmployeeData[[#This Row],[Age]]&lt;40,"30s",EmployeeData[[#This Row],[Age]]&lt;50,"40s",EmployeeData[[#This Row],[Age]]&lt;60,"50s",EmployeeData[[#This Row],[Age]]&gt;=60,"60s")</f>
        <v>30s</v>
      </c>
      <c r="G147" s="5">
        <v>43413</v>
      </c>
      <c r="I147" t="s">
        <v>17</v>
      </c>
      <c r="J147" t="s">
        <v>18</v>
      </c>
      <c r="K147" cm="1">
        <f t="array" aca="1" ref="K147" ca="1">_xlfn.IFS(EmployeeData[[#This Row],[Status]]="Active",_xlfn.DAYS(TODAY(),EmployeeData[[#This Row],[Join Date]]),EmployeeData[[#This Row],[Status]]="Exited",_xlfn.DAYS(EmployeeData[[#This Row],[Exit Date]],EmployeeData[[#This Row],[Join Date]]))</f>
        <v>2784</v>
      </c>
      <c r="L147" cm="1">
        <f t="array" aca="1" ref="L147" ca="1">_xlfn.IFS(EmployeeData[[#This Row],[Status]]="Exited",DATEDIF(EmployeeData[[#This Row],[Join Date]], EmployeeData[[#This Row],[Exit Date]], "Y"),EmployeeData[[#This Row],[Status]]="Active",DATEDIF(EmployeeData[[#This Row],[Join Date]], TODAY(), "Y"))</f>
        <v>7</v>
      </c>
      <c r="Q147" t="str" cm="1">
        <f t="array" aca="1" ref="Q1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15 days</v>
      </c>
    </row>
    <row r="148" spans="1:17" x14ac:dyDescent="0.3">
      <c r="A148">
        <v>1147</v>
      </c>
      <c r="B148" t="s">
        <v>512</v>
      </c>
      <c r="C148" t="s">
        <v>10</v>
      </c>
      <c r="D148" t="s">
        <v>11</v>
      </c>
      <c r="E148">
        <v>30</v>
      </c>
      <c r="F148" t="str" cm="1">
        <f t="array" ref="F148">_xlfn.IFS(EmployeeData[[#This Row],[Age]]&lt;30,"20s",EmployeeData[[#This Row],[Age]]&lt;40,"30s",EmployeeData[[#This Row],[Age]]&lt;50,"40s",EmployeeData[[#This Row],[Age]]&lt;60,"50s",EmployeeData[[#This Row],[Age]]&gt;=60,"60s")</f>
        <v>30s</v>
      </c>
      <c r="G148" s="5">
        <v>44068</v>
      </c>
      <c r="H148" s="5">
        <v>44682</v>
      </c>
      <c r="I148" t="s">
        <v>31</v>
      </c>
      <c r="J148" t="s">
        <v>13</v>
      </c>
      <c r="K148" cm="1">
        <f t="array" aca="1" ref="K148" ca="1">_xlfn.IFS(EmployeeData[[#This Row],[Status]]="Active",_xlfn.DAYS(TODAY(),EmployeeData[[#This Row],[Join Date]]),EmployeeData[[#This Row],[Status]]="Exited",_xlfn.DAYS(EmployeeData[[#This Row],[Exit Date]],EmployeeData[[#This Row],[Join Date]]))</f>
        <v>614</v>
      </c>
      <c r="L148" cm="1">
        <f t="array" aca="1" ref="L148" ca="1">_xlfn.IFS(EmployeeData[[#This Row],[Status]]="Exited",DATEDIF(EmployeeData[[#This Row],[Join Date]], EmployeeData[[#This Row],[Exit Date]], "Y"),EmployeeData[[#This Row],[Status]]="Active",DATEDIF(EmployeeData[[#This Row],[Join Date]], TODAY(), "Y"))</f>
        <v>1</v>
      </c>
      <c r="Q148" t="str" cm="1">
        <f t="array" aca="1" ref="Q1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6 days</v>
      </c>
    </row>
    <row r="149" spans="1:17" x14ac:dyDescent="0.3">
      <c r="A149">
        <v>1148</v>
      </c>
      <c r="B149" t="s">
        <v>814</v>
      </c>
      <c r="C149" t="s">
        <v>20</v>
      </c>
      <c r="D149" t="s">
        <v>16</v>
      </c>
      <c r="E149">
        <v>52</v>
      </c>
      <c r="F149" t="str" cm="1">
        <f t="array" ref="F149">_xlfn.IFS(EmployeeData[[#This Row],[Age]]&lt;30,"20s",EmployeeData[[#This Row],[Age]]&lt;40,"30s",EmployeeData[[#This Row],[Age]]&lt;50,"40s",EmployeeData[[#This Row],[Age]]&lt;60,"50s",EmployeeData[[#This Row],[Age]]&gt;=60,"60s")</f>
        <v>50s</v>
      </c>
      <c r="G149" s="5">
        <v>45001</v>
      </c>
      <c r="I149" t="s">
        <v>17</v>
      </c>
      <c r="J149" t="s">
        <v>18</v>
      </c>
      <c r="K149" cm="1">
        <f t="array" aca="1" ref="K149" ca="1">_xlfn.IFS(EmployeeData[[#This Row],[Status]]="Active",_xlfn.DAYS(TODAY(),EmployeeData[[#This Row],[Join Date]]),EmployeeData[[#This Row],[Status]]="Exited",_xlfn.DAYS(EmployeeData[[#This Row],[Exit Date]],EmployeeData[[#This Row],[Join Date]]))</f>
        <v>1196</v>
      </c>
      <c r="L149" cm="1">
        <f t="array" aca="1" ref="L149" ca="1">_xlfn.IFS(EmployeeData[[#This Row],[Status]]="Exited",DATEDIF(EmployeeData[[#This Row],[Join Date]], EmployeeData[[#This Row],[Exit Date]], "Y"),EmployeeData[[#This Row],[Status]]="Active",DATEDIF(EmployeeData[[#This Row],[Join Date]], TODAY(), "Y"))</f>
        <v>3</v>
      </c>
      <c r="Q149" t="str" cm="1">
        <f t="array" aca="1" ref="Q1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8 days</v>
      </c>
    </row>
    <row r="150" spans="1:17" x14ac:dyDescent="0.3">
      <c r="A150">
        <v>1149</v>
      </c>
      <c r="B150" t="s">
        <v>724</v>
      </c>
      <c r="C150" t="s">
        <v>23</v>
      </c>
      <c r="D150" t="s">
        <v>24</v>
      </c>
      <c r="E150">
        <v>41</v>
      </c>
      <c r="F150" t="str" cm="1">
        <f t="array" ref="F150">_xlfn.IFS(EmployeeData[[#This Row],[Age]]&lt;30,"20s",EmployeeData[[#This Row],[Age]]&lt;40,"30s",EmployeeData[[#This Row],[Age]]&lt;50,"40s",EmployeeData[[#This Row],[Age]]&lt;60,"50s",EmployeeData[[#This Row],[Age]]&gt;=60,"60s")</f>
        <v>40s</v>
      </c>
      <c r="G150" s="5">
        <v>45670</v>
      </c>
      <c r="H150" s="5">
        <v>45985</v>
      </c>
      <c r="I150" t="s">
        <v>31</v>
      </c>
      <c r="J150" t="s">
        <v>13</v>
      </c>
      <c r="K150" cm="1">
        <f t="array" aca="1" ref="K150" ca="1">_xlfn.IFS(EmployeeData[[#This Row],[Status]]="Active",_xlfn.DAYS(TODAY(),EmployeeData[[#This Row],[Join Date]]),EmployeeData[[#This Row],[Status]]="Exited",_xlfn.DAYS(EmployeeData[[#This Row],[Exit Date]],EmployeeData[[#This Row],[Join Date]]))</f>
        <v>315</v>
      </c>
      <c r="L150" cm="1">
        <f t="array" aca="1" ref="L150" ca="1">_xlfn.IFS(EmployeeData[[#This Row],[Status]]="Exited",DATEDIF(EmployeeData[[#This Row],[Join Date]], EmployeeData[[#This Row],[Exit Date]], "Y"),EmployeeData[[#This Row],[Status]]="Active",DATEDIF(EmployeeData[[#This Row],[Join Date]], TODAY(), "Y"))</f>
        <v>0</v>
      </c>
      <c r="Q150" t="str" cm="1">
        <f t="array" aca="1" ref="Q1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11 days</v>
      </c>
    </row>
    <row r="151" spans="1:17" x14ac:dyDescent="0.3">
      <c r="A151">
        <v>1150</v>
      </c>
      <c r="B151" t="s">
        <v>916</v>
      </c>
      <c r="C151" t="s">
        <v>23</v>
      </c>
      <c r="D151" t="s">
        <v>24</v>
      </c>
      <c r="E151">
        <v>25</v>
      </c>
      <c r="F151" t="str" cm="1">
        <f t="array" ref="F151">_xlfn.IFS(EmployeeData[[#This Row],[Age]]&lt;30,"20s",EmployeeData[[#This Row],[Age]]&lt;40,"30s",EmployeeData[[#This Row],[Age]]&lt;50,"40s",EmployeeData[[#This Row],[Age]]&lt;60,"50s",EmployeeData[[#This Row],[Age]]&gt;=60,"60s")</f>
        <v>20s</v>
      </c>
      <c r="G151" s="5">
        <v>44372</v>
      </c>
      <c r="I151" t="s">
        <v>17</v>
      </c>
      <c r="J151" t="s">
        <v>18</v>
      </c>
      <c r="K151" cm="1">
        <f t="array" aca="1" ref="K151" ca="1">_xlfn.IFS(EmployeeData[[#This Row],[Status]]="Active",_xlfn.DAYS(TODAY(),EmployeeData[[#This Row],[Join Date]]),EmployeeData[[#This Row],[Status]]="Exited",_xlfn.DAYS(EmployeeData[[#This Row],[Exit Date]],EmployeeData[[#This Row],[Join Date]]))</f>
        <v>1825</v>
      </c>
      <c r="L151" cm="1">
        <f t="array" aca="1" ref="L151" ca="1">_xlfn.IFS(EmployeeData[[#This Row],[Status]]="Exited",DATEDIF(EmployeeData[[#This Row],[Join Date]], EmployeeData[[#This Row],[Exit Date]], "Y"),EmployeeData[[#This Row],[Status]]="Active",DATEDIF(EmployeeData[[#This Row],[Join Date]], TODAY(), "Y"))</f>
        <v>4</v>
      </c>
      <c r="Q151" t="str" cm="1">
        <f t="array" aca="1" ref="Q1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11 months 30 days</v>
      </c>
    </row>
    <row r="152" spans="1:17" x14ac:dyDescent="0.3">
      <c r="A152">
        <v>1151</v>
      </c>
      <c r="B152" t="s">
        <v>844</v>
      </c>
      <c r="C152" t="s">
        <v>15</v>
      </c>
      <c r="D152" t="s">
        <v>11</v>
      </c>
      <c r="E152">
        <v>26</v>
      </c>
      <c r="F152" t="str" cm="1">
        <f t="array" ref="F152">_xlfn.IFS(EmployeeData[[#This Row],[Age]]&lt;30,"20s",EmployeeData[[#This Row],[Age]]&lt;40,"30s",EmployeeData[[#This Row],[Age]]&lt;50,"40s",EmployeeData[[#This Row],[Age]]&lt;60,"50s",EmployeeData[[#This Row],[Age]]&gt;=60,"60s")</f>
        <v>20s</v>
      </c>
      <c r="G152" s="5">
        <v>45620</v>
      </c>
      <c r="I152" t="s">
        <v>17</v>
      </c>
      <c r="J152" t="s">
        <v>18</v>
      </c>
      <c r="K152" cm="1">
        <f t="array" aca="1" ref="K152" ca="1">_xlfn.IFS(EmployeeData[[#This Row],[Status]]="Active",_xlfn.DAYS(TODAY(),EmployeeData[[#This Row],[Join Date]]),EmployeeData[[#This Row],[Status]]="Exited",_xlfn.DAYS(EmployeeData[[#This Row],[Exit Date]],EmployeeData[[#This Row],[Join Date]]))</f>
        <v>577</v>
      </c>
      <c r="L152" cm="1">
        <f t="array" aca="1" ref="L152" ca="1">_xlfn.IFS(EmployeeData[[#This Row],[Status]]="Exited",DATEDIF(EmployeeData[[#This Row],[Join Date]], EmployeeData[[#This Row],[Exit Date]], "Y"),EmployeeData[[#This Row],[Status]]="Active",DATEDIF(EmployeeData[[#This Row],[Join Date]], TODAY(), "Y"))</f>
        <v>1</v>
      </c>
      <c r="Q152" t="str" cm="1">
        <f t="array" aca="1" ref="Q1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0 days</v>
      </c>
    </row>
    <row r="153" spans="1:17" x14ac:dyDescent="0.3">
      <c r="A153">
        <v>1152</v>
      </c>
      <c r="B153" t="s">
        <v>964</v>
      </c>
      <c r="C153" t="s">
        <v>10</v>
      </c>
      <c r="D153" t="s">
        <v>11</v>
      </c>
      <c r="E153">
        <v>33</v>
      </c>
      <c r="F153" t="str" cm="1">
        <f t="array" ref="F153">_xlfn.IFS(EmployeeData[[#This Row],[Age]]&lt;30,"20s",EmployeeData[[#This Row],[Age]]&lt;40,"30s",EmployeeData[[#This Row],[Age]]&lt;50,"40s",EmployeeData[[#This Row],[Age]]&lt;60,"50s",EmployeeData[[#This Row],[Age]]&gt;=60,"60s")</f>
        <v>30s</v>
      </c>
      <c r="G153" s="5">
        <v>44417</v>
      </c>
      <c r="I153" t="s">
        <v>17</v>
      </c>
      <c r="J153" t="s">
        <v>18</v>
      </c>
      <c r="K153" cm="1">
        <f t="array" aca="1" ref="K153" ca="1">_xlfn.IFS(EmployeeData[[#This Row],[Status]]="Active",_xlfn.DAYS(TODAY(),EmployeeData[[#This Row],[Join Date]]),EmployeeData[[#This Row],[Status]]="Exited",_xlfn.DAYS(EmployeeData[[#This Row],[Exit Date]],EmployeeData[[#This Row],[Join Date]]))</f>
        <v>1780</v>
      </c>
      <c r="L153" cm="1">
        <f t="array" aca="1" ref="L153" ca="1">_xlfn.IFS(EmployeeData[[#This Row],[Status]]="Exited",DATEDIF(EmployeeData[[#This Row],[Join Date]], EmployeeData[[#This Row],[Exit Date]], "Y"),EmployeeData[[#This Row],[Status]]="Active",DATEDIF(EmployeeData[[#This Row],[Join Date]], TODAY(), "Y"))</f>
        <v>4</v>
      </c>
      <c r="Q153" t="str" cm="1">
        <f t="array" aca="1" ref="Q1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15 days</v>
      </c>
    </row>
    <row r="154" spans="1:17" x14ac:dyDescent="0.3">
      <c r="A154">
        <v>1153</v>
      </c>
      <c r="B154" t="s">
        <v>217</v>
      </c>
      <c r="C154" t="s">
        <v>10</v>
      </c>
      <c r="D154" t="s">
        <v>11</v>
      </c>
      <c r="E154">
        <v>42</v>
      </c>
      <c r="F154" t="str" cm="1">
        <f t="array" ref="F154">_xlfn.IFS(EmployeeData[[#This Row],[Age]]&lt;30,"20s",EmployeeData[[#This Row],[Age]]&lt;40,"30s",EmployeeData[[#This Row],[Age]]&lt;50,"40s",EmployeeData[[#This Row],[Age]]&lt;60,"50s",EmployeeData[[#This Row],[Age]]&gt;=60,"60s")</f>
        <v>40s</v>
      </c>
      <c r="G154" s="5">
        <v>43446</v>
      </c>
      <c r="I154" t="s">
        <v>17</v>
      </c>
      <c r="J154" t="s">
        <v>18</v>
      </c>
      <c r="K154" cm="1">
        <f t="array" aca="1" ref="K154" ca="1">_xlfn.IFS(EmployeeData[[#This Row],[Status]]="Active",_xlfn.DAYS(TODAY(),EmployeeData[[#This Row],[Join Date]]),EmployeeData[[#This Row],[Status]]="Exited",_xlfn.DAYS(EmployeeData[[#This Row],[Exit Date]],EmployeeData[[#This Row],[Join Date]]))</f>
        <v>2751</v>
      </c>
      <c r="L154" cm="1">
        <f t="array" aca="1" ref="L154" ca="1">_xlfn.IFS(EmployeeData[[#This Row],[Status]]="Exited",DATEDIF(EmployeeData[[#This Row],[Join Date]], EmployeeData[[#This Row],[Exit Date]], "Y"),EmployeeData[[#This Row],[Status]]="Active",DATEDIF(EmployeeData[[#This Row],[Join Date]], TODAY(), "Y"))</f>
        <v>7</v>
      </c>
      <c r="Q154" t="str" cm="1">
        <f t="array" aca="1" ref="Q1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12 days</v>
      </c>
    </row>
    <row r="155" spans="1:17" x14ac:dyDescent="0.3">
      <c r="A155">
        <v>1154</v>
      </c>
      <c r="B155" t="s">
        <v>225</v>
      </c>
      <c r="C155" t="s">
        <v>46</v>
      </c>
      <c r="D155" t="s">
        <v>24</v>
      </c>
      <c r="E155">
        <v>31</v>
      </c>
      <c r="F155" t="str" cm="1">
        <f t="array" ref="F155">_xlfn.IFS(EmployeeData[[#This Row],[Age]]&lt;30,"20s",EmployeeData[[#This Row],[Age]]&lt;40,"30s",EmployeeData[[#This Row],[Age]]&lt;50,"40s",EmployeeData[[#This Row],[Age]]&lt;60,"50s",EmployeeData[[#This Row],[Age]]&gt;=60,"60s")</f>
        <v>30s</v>
      </c>
      <c r="G155" s="5">
        <v>44591</v>
      </c>
      <c r="H155" s="5">
        <v>45260</v>
      </c>
      <c r="I155" t="s">
        <v>12</v>
      </c>
      <c r="J155" t="s">
        <v>13</v>
      </c>
      <c r="K155" cm="1">
        <f t="array" aca="1" ref="K155" ca="1">_xlfn.IFS(EmployeeData[[#This Row],[Status]]="Active",_xlfn.DAYS(TODAY(),EmployeeData[[#This Row],[Join Date]]),EmployeeData[[#This Row],[Status]]="Exited",_xlfn.DAYS(EmployeeData[[#This Row],[Exit Date]],EmployeeData[[#This Row],[Join Date]]))</f>
        <v>669</v>
      </c>
      <c r="L155" cm="1">
        <f t="array" aca="1" ref="L155" ca="1">_xlfn.IFS(EmployeeData[[#This Row],[Status]]="Exited",DATEDIF(EmployeeData[[#This Row],[Join Date]], EmployeeData[[#This Row],[Exit Date]], "Y"),EmployeeData[[#This Row],[Status]]="Active",DATEDIF(EmployeeData[[#This Row],[Join Date]], TODAY(), "Y"))</f>
        <v>1</v>
      </c>
      <c r="Q155" t="str" cm="1">
        <f t="array" aca="1" ref="Q1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0 days</v>
      </c>
    </row>
    <row r="156" spans="1:17" x14ac:dyDescent="0.3">
      <c r="A156">
        <v>1155</v>
      </c>
      <c r="B156" t="s">
        <v>182</v>
      </c>
      <c r="C156" t="s">
        <v>15</v>
      </c>
      <c r="D156" t="s">
        <v>16</v>
      </c>
      <c r="E156">
        <v>45</v>
      </c>
      <c r="F156" t="str" cm="1">
        <f t="array" ref="F156">_xlfn.IFS(EmployeeData[[#This Row],[Age]]&lt;30,"20s",EmployeeData[[#This Row],[Age]]&lt;40,"30s",EmployeeData[[#This Row],[Age]]&lt;50,"40s",EmployeeData[[#This Row],[Age]]&lt;60,"50s",EmployeeData[[#This Row],[Age]]&gt;=60,"60s")</f>
        <v>40s</v>
      </c>
      <c r="G156" s="5">
        <v>44264</v>
      </c>
      <c r="H156" s="5">
        <v>46098</v>
      </c>
      <c r="I156" t="s">
        <v>28</v>
      </c>
      <c r="J156" t="s">
        <v>13</v>
      </c>
      <c r="K156" cm="1">
        <f t="array" aca="1" ref="K156" ca="1">_xlfn.IFS(EmployeeData[[#This Row],[Status]]="Active",_xlfn.DAYS(TODAY(),EmployeeData[[#This Row],[Join Date]]),EmployeeData[[#This Row],[Status]]="Exited",_xlfn.DAYS(EmployeeData[[#This Row],[Exit Date]],EmployeeData[[#This Row],[Join Date]]))</f>
        <v>1834</v>
      </c>
      <c r="L156" cm="1">
        <f t="array" aca="1" ref="L156" ca="1">_xlfn.IFS(EmployeeData[[#This Row],[Status]]="Exited",DATEDIF(EmployeeData[[#This Row],[Join Date]], EmployeeData[[#This Row],[Exit Date]], "Y"),EmployeeData[[#This Row],[Status]]="Active",DATEDIF(EmployeeData[[#This Row],[Join Date]], TODAY(), "Y"))</f>
        <v>5</v>
      </c>
      <c r="Q156" t="str" cm="1">
        <f t="array" aca="1" ref="Q1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8 days</v>
      </c>
    </row>
    <row r="157" spans="1:17" x14ac:dyDescent="0.3">
      <c r="A157">
        <v>1156</v>
      </c>
      <c r="B157" t="s">
        <v>533</v>
      </c>
      <c r="C157" t="s">
        <v>46</v>
      </c>
      <c r="D157" t="s">
        <v>16</v>
      </c>
      <c r="E157">
        <v>46</v>
      </c>
      <c r="F157" t="str" cm="1">
        <f t="array" ref="F157">_xlfn.IFS(EmployeeData[[#This Row],[Age]]&lt;30,"20s",EmployeeData[[#This Row],[Age]]&lt;40,"30s",EmployeeData[[#This Row],[Age]]&lt;50,"40s",EmployeeData[[#This Row],[Age]]&lt;60,"50s",EmployeeData[[#This Row],[Age]]&gt;=60,"60s")</f>
        <v>40s</v>
      </c>
      <c r="G157" s="5">
        <v>43629</v>
      </c>
      <c r="I157" t="s">
        <v>17</v>
      </c>
      <c r="J157" t="s">
        <v>18</v>
      </c>
      <c r="K157" cm="1">
        <f t="array" aca="1" ref="K157" ca="1">_xlfn.IFS(EmployeeData[[#This Row],[Status]]="Active",_xlfn.DAYS(TODAY(),EmployeeData[[#This Row],[Join Date]]),EmployeeData[[#This Row],[Status]]="Exited",_xlfn.DAYS(EmployeeData[[#This Row],[Exit Date]],EmployeeData[[#This Row],[Join Date]]))</f>
        <v>2568</v>
      </c>
      <c r="L157" cm="1">
        <f t="array" aca="1" ref="L157" ca="1">_xlfn.IFS(EmployeeData[[#This Row],[Status]]="Exited",DATEDIF(EmployeeData[[#This Row],[Join Date]], EmployeeData[[#This Row],[Exit Date]], "Y"),EmployeeData[[#This Row],[Status]]="Active",DATEDIF(EmployeeData[[#This Row],[Join Date]], TODAY(), "Y"))</f>
        <v>7</v>
      </c>
      <c r="Q157" t="str" cm="1">
        <f t="array" aca="1" ref="Q1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0 months 11 days</v>
      </c>
    </row>
    <row r="158" spans="1:17" x14ac:dyDescent="0.3">
      <c r="A158">
        <v>1157</v>
      </c>
      <c r="B158" t="s">
        <v>778</v>
      </c>
      <c r="C158" t="s">
        <v>33</v>
      </c>
      <c r="D158" t="s">
        <v>24</v>
      </c>
      <c r="E158">
        <v>54</v>
      </c>
      <c r="F158" t="str" cm="1">
        <f t="array" ref="F158">_xlfn.IFS(EmployeeData[[#This Row],[Age]]&lt;30,"20s",EmployeeData[[#This Row],[Age]]&lt;40,"30s",EmployeeData[[#This Row],[Age]]&lt;50,"40s",EmployeeData[[#This Row],[Age]]&lt;60,"50s",EmployeeData[[#This Row],[Age]]&gt;=60,"60s")</f>
        <v>50s</v>
      </c>
      <c r="G158" s="5">
        <v>43483</v>
      </c>
      <c r="I158" t="s">
        <v>17</v>
      </c>
      <c r="J158" t="s">
        <v>18</v>
      </c>
      <c r="K158" cm="1">
        <f t="array" aca="1" ref="K158" ca="1">_xlfn.IFS(EmployeeData[[#This Row],[Status]]="Active",_xlfn.DAYS(TODAY(),EmployeeData[[#This Row],[Join Date]]),EmployeeData[[#This Row],[Status]]="Exited",_xlfn.DAYS(EmployeeData[[#This Row],[Exit Date]],EmployeeData[[#This Row],[Join Date]]))</f>
        <v>2714</v>
      </c>
      <c r="L158" cm="1">
        <f t="array" aca="1" ref="L158" ca="1">_xlfn.IFS(EmployeeData[[#This Row],[Status]]="Exited",DATEDIF(EmployeeData[[#This Row],[Join Date]], EmployeeData[[#This Row],[Exit Date]], "Y"),EmployeeData[[#This Row],[Status]]="Active",DATEDIF(EmployeeData[[#This Row],[Join Date]], TODAY(), "Y"))</f>
        <v>7</v>
      </c>
      <c r="Q158" t="str" cm="1">
        <f t="array" aca="1" ref="Q1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6 days</v>
      </c>
    </row>
    <row r="159" spans="1:17" x14ac:dyDescent="0.3">
      <c r="A159">
        <v>1158</v>
      </c>
      <c r="B159" t="s">
        <v>1011</v>
      </c>
      <c r="C159" t="s">
        <v>10</v>
      </c>
      <c r="D159" t="s">
        <v>11</v>
      </c>
      <c r="E159">
        <v>42</v>
      </c>
      <c r="F159" t="str" cm="1">
        <f t="array" ref="F159">_xlfn.IFS(EmployeeData[[#This Row],[Age]]&lt;30,"20s",EmployeeData[[#This Row],[Age]]&lt;40,"30s",EmployeeData[[#This Row],[Age]]&lt;50,"40s",EmployeeData[[#This Row],[Age]]&lt;60,"50s",EmployeeData[[#This Row],[Age]]&gt;=60,"60s")</f>
        <v>40s</v>
      </c>
      <c r="G159" s="5">
        <v>45092</v>
      </c>
      <c r="H159" s="5">
        <v>45322</v>
      </c>
      <c r="I159" t="s">
        <v>31</v>
      </c>
      <c r="J159" t="s">
        <v>13</v>
      </c>
      <c r="K159" cm="1">
        <f t="array" aca="1" ref="K159" ca="1">_xlfn.IFS(EmployeeData[[#This Row],[Status]]="Active",_xlfn.DAYS(TODAY(),EmployeeData[[#This Row],[Join Date]]),EmployeeData[[#This Row],[Status]]="Exited",_xlfn.DAYS(EmployeeData[[#This Row],[Exit Date]],EmployeeData[[#This Row],[Join Date]]))</f>
        <v>230</v>
      </c>
      <c r="L159" cm="1">
        <f t="array" aca="1" ref="L159" ca="1">_xlfn.IFS(EmployeeData[[#This Row],[Status]]="Exited",DATEDIF(EmployeeData[[#This Row],[Join Date]], EmployeeData[[#This Row],[Exit Date]], "Y"),EmployeeData[[#This Row],[Status]]="Active",DATEDIF(EmployeeData[[#This Row],[Join Date]], TODAY(), "Y"))</f>
        <v>0</v>
      </c>
      <c r="Q159" t="str" cm="1">
        <f t="array" aca="1" ref="Q1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16 days</v>
      </c>
    </row>
    <row r="160" spans="1:17" x14ac:dyDescent="0.3">
      <c r="A160">
        <v>1159</v>
      </c>
      <c r="B160" t="s">
        <v>945</v>
      </c>
      <c r="C160" t="s">
        <v>20</v>
      </c>
      <c r="D160" t="s">
        <v>11</v>
      </c>
      <c r="E160">
        <v>29</v>
      </c>
      <c r="F160" t="str" cm="1">
        <f t="array" ref="F160">_xlfn.IFS(EmployeeData[[#This Row],[Age]]&lt;30,"20s",EmployeeData[[#This Row],[Age]]&lt;40,"30s",EmployeeData[[#This Row],[Age]]&lt;50,"40s",EmployeeData[[#This Row],[Age]]&lt;60,"50s",EmployeeData[[#This Row],[Age]]&gt;=60,"60s")</f>
        <v>20s</v>
      </c>
      <c r="G160" s="5">
        <v>45547</v>
      </c>
      <c r="H160" s="5">
        <v>45803</v>
      </c>
      <c r="I160" t="s">
        <v>31</v>
      </c>
      <c r="J160" t="s">
        <v>13</v>
      </c>
      <c r="K160" cm="1">
        <f t="array" aca="1" ref="K160" ca="1">_xlfn.IFS(EmployeeData[[#This Row],[Status]]="Active",_xlfn.DAYS(TODAY(),EmployeeData[[#This Row],[Join Date]]),EmployeeData[[#This Row],[Status]]="Exited",_xlfn.DAYS(EmployeeData[[#This Row],[Exit Date]],EmployeeData[[#This Row],[Join Date]]))</f>
        <v>256</v>
      </c>
      <c r="L160" cm="1">
        <f t="array" aca="1" ref="L160" ca="1">_xlfn.IFS(EmployeeData[[#This Row],[Status]]="Exited",DATEDIF(EmployeeData[[#This Row],[Join Date]], EmployeeData[[#This Row],[Exit Date]], "Y"),EmployeeData[[#This Row],[Status]]="Active",DATEDIF(EmployeeData[[#This Row],[Join Date]], TODAY(), "Y"))</f>
        <v>0</v>
      </c>
      <c r="Q160" t="str" cm="1">
        <f t="array" aca="1" ref="Q1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14 days</v>
      </c>
    </row>
    <row r="161" spans="1:17" x14ac:dyDescent="0.3">
      <c r="A161">
        <v>1160</v>
      </c>
      <c r="B161" t="s">
        <v>1020</v>
      </c>
      <c r="C161" t="s">
        <v>15</v>
      </c>
      <c r="D161" t="s">
        <v>24</v>
      </c>
      <c r="E161">
        <v>36</v>
      </c>
      <c r="F161" t="str" cm="1">
        <f t="array" ref="F161">_xlfn.IFS(EmployeeData[[#This Row],[Age]]&lt;30,"20s",EmployeeData[[#This Row],[Age]]&lt;40,"30s",EmployeeData[[#This Row],[Age]]&lt;50,"40s",EmployeeData[[#This Row],[Age]]&lt;60,"50s",EmployeeData[[#This Row],[Age]]&gt;=60,"60s")</f>
        <v>30s</v>
      </c>
      <c r="G161" s="5">
        <v>44920</v>
      </c>
      <c r="I161" t="s">
        <v>17</v>
      </c>
      <c r="J161" t="s">
        <v>18</v>
      </c>
      <c r="K161" cm="1">
        <f t="array" aca="1" ref="K161" ca="1">_xlfn.IFS(EmployeeData[[#This Row],[Status]]="Active",_xlfn.DAYS(TODAY(),EmployeeData[[#This Row],[Join Date]]),EmployeeData[[#This Row],[Status]]="Exited",_xlfn.DAYS(EmployeeData[[#This Row],[Exit Date]],EmployeeData[[#This Row],[Join Date]]))</f>
        <v>1277</v>
      </c>
      <c r="L161" cm="1">
        <f t="array" aca="1" ref="L161" ca="1">_xlfn.IFS(EmployeeData[[#This Row],[Status]]="Exited",DATEDIF(EmployeeData[[#This Row],[Join Date]], EmployeeData[[#This Row],[Exit Date]], "Y"),EmployeeData[[#This Row],[Status]]="Active",DATEDIF(EmployeeData[[#This Row],[Join Date]], TODAY(), "Y"))</f>
        <v>3</v>
      </c>
      <c r="Q161" t="str" cm="1">
        <f t="array" aca="1" ref="Q1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30 days</v>
      </c>
    </row>
    <row r="162" spans="1:17" x14ac:dyDescent="0.3">
      <c r="A162">
        <v>1161</v>
      </c>
      <c r="B162" t="s">
        <v>433</v>
      </c>
      <c r="C162" t="s">
        <v>46</v>
      </c>
      <c r="D162" t="s">
        <v>11</v>
      </c>
      <c r="E162">
        <v>33</v>
      </c>
      <c r="F162" t="str" cm="1">
        <f t="array" ref="F162">_xlfn.IFS(EmployeeData[[#This Row],[Age]]&lt;30,"20s",EmployeeData[[#This Row],[Age]]&lt;40,"30s",EmployeeData[[#This Row],[Age]]&lt;50,"40s",EmployeeData[[#This Row],[Age]]&lt;60,"50s",EmployeeData[[#This Row],[Age]]&gt;=60,"60s")</f>
        <v>30s</v>
      </c>
      <c r="G162" s="5">
        <v>44607</v>
      </c>
      <c r="I162" t="s">
        <v>17</v>
      </c>
      <c r="J162" t="s">
        <v>18</v>
      </c>
      <c r="K162" cm="1">
        <f t="array" aca="1" ref="K162" ca="1">_xlfn.IFS(EmployeeData[[#This Row],[Status]]="Active",_xlfn.DAYS(TODAY(),EmployeeData[[#This Row],[Join Date]]),EmployeeData[[#This Row],[Status]]="Exited",_xlfn.DAYS(EmployeeData[[#This Row],[Exit Date]],EmployeeData[[#This Row],[Join Date]]))</f>
        <v>1590</v>
      </c>
      <c r="L162" cm="1">
        <f t="array" aca="1" ref="L162" ca="1">_xlfn.IFS(EmployeeData[[#This Row],[Status]]="Exited",DATEDIF(EmployeeData[[#This Row],[Join Date]], EmployeeData[[#This Row],[Exit Date]], "Y"),EmployeeData[[#This Row],[Status]]="Active",DATEDIF(EmployeeData[[#This Row],[Join Date]], TODAY(), "Y"))</f>
        <v>4</v>
      </c>
      <c r="Q162" t="str" cm="1">
        <f t="array" aca="1" ref="Q1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9 days</v>
      </c>
    </row>
    <row r="163" spans="1:17" x14ac:dyDescent="0.3">
      <c r="A163">
        <v>1162</v>
      </c>
      <c r="B163" t="s">
        <v>978</v>
      </c>
      <c r="C163" t="s">
        <v>20</v>
      </c>
      <c r="D163" t="s">
        <v>24</v>
      </c>
      <c r="E163">
        <v>47</v>
      </c>
      <c r="F163" t="str" cm="1">
        <f t="array" ref="F163">_xlfn.IFS(EmployeeData[[#This Row],[Age]]&lt;30,"20s",EmployeeData[[#This Row],[Age]]&lt;40,"30s",EmployeeData[[#This Row],[Age]]&lt;50,"40s",EmployeeData[[#This Row],[Age]]&lt;60,"50s",EmployeeData[[#This Row],[Age]]&gt;=60,"60s")</f>
        <v>40s</v>
      </c>
      <c r="G163" s="5">
        <v>43764</v>
      </c>
      <c r="I163" t="s">
        <v>17</v>
      </c>
      <c r="J163" t="s">
        <v>18</v>
      </c>
      <c r="K163" cm="1">
        <f t="array" aca="1" ref="K163" ca="1">_xlfn.IFS(EmployeeData[[#This Row],[Status]]="Active",_xlfn.DAYS(TODAY(),EmployeeData[[#This Row],[Join Date]]),EmployeeData[[#This Row],[Status]]="Exited",_xlfn.DAYS(EmployeeData[[#This Row],[Exit Date]],EmployeeData[[#This Row],[Join Date]]))</f>
        <v>2433</v>
      </c>
      <c r="L163" cm="1">
        <f t="array" aca="1" ref="L163" ca="1">_xlfn.IFS(EmployeeData[[#This Row],[Status]]="Exited",DATEDIF(EmployeeData[[#This Row],[Join Date]], EmployeeData[[#This Row],[Exit Date]], "Y"),EmployeeData[[#This Row],[Status]]="Active",DATEDIF(EmployeeData[[#This Row],[Join Date]], TODAY(), "Y"))</f>
        <v>6</v>
      </c>
      <c r="Q163" t="str" cm="1">
        <f t="array" aca="1" ref="Q1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29 days</v>
      </c>
    </row>
    <row r="164" spans="1:17" x14ac:dyDescent="0.3">
      <c r="A164">
        <v>1163</v>
      </c>
      <c r="B164" t="s">
        <v>673</v>
      </c>
      <c r="C164" t="s">
        <v>15</v>
      </c>
      <c r="D164" t="s">
        <v>24</v>
      </c>
      <c r="E164">
        <v>44</v>
      </c>
      <c r="F164" t="str" cm="1">
        <f t="array" ref="F164">_xlfn.IFS(EmployeeData[[#This Row],[Age]]&lt;30,"20s",EmployeeData[[#This Row],[Age]]&lt;40,"30s",EmployeeData[[#This Row],[Age]]&lt;50,"40s",EmployeeData[[#This Row],[Age]]&lt;60,"50s",EmployeeData[[#This Row],[Age]]&gt;=60,"60s")</f>
        <v>40s</v>
      </c>
      <c r="G164" s="5">
        <v>45372</v>
      </c>
      <c r="I164" t="s">
        <v>17</v>
      </c>
      <c r="J164" t="s">
        <v>18</v>
      </c>
      <c r="K164" cm="1">
        <f t="array" aca="1" ref="K164" ca="1">_xlfn.IFS(EmployeeData[[#This Row],[Status]]="Active",_xlfn.DAYS(TODAY(),EmployeeData[[#This Row],[Join Date]]),EmployeeData[[#This Row],[Status]]="Exited",_xlfn.DAYS(EmployeeData[[#This Row],[Exit Date]],EmployeeData[[#This Row],[Join Date]]))</f>
        <v>825</v>
      </c>
      <c r="L164" cm="1">
        <f t="array" aca="1" ref="L164" ca="1">_xlfn.IFS(EmployeeData[[#This Row],[Status]]="Exited",DATEDIF(EmployeeData[[#This Row],[Join Date]], EmployeeData[[#This Row],[Exit Date]], "Y"),EmployeeData[[#This Row],[Status]]="Active",DATEDIF(EmployeeData[[#This Row],[Join Date]], TODAY(), "Y"))</f>
        <v>2</v>
      </c>
      <c r="Q164" t="str" cm="1">
        <f t="array" aca="1" ref="Q1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3 days</v>
      </c>
    </row>
    <row r="165" spans="1:17" x14ac:dyDescent="0.3">
      <c r="A165">
        <v>1164</v>
      </c>
      <c r="B165" t="s">
        <v>589</v>
      </c>
      <c r="C165" t="s">
        <v>10</v>
      </c>
      <c r="D165" t="s">
        <v>11</v>
      </c>
      <c r="E165">
        <v>30</v>
      </c>
      <c r="F165" t="str" cm="1">
        <f t="array" ref="F165">_xlfn.IFS(EmployeeData[[#This Row],[Age]]&lt;30,"20s",EmployeeData[[#This Row],[Age]]&lt;40,"30s",EmployeeData[[#This Row],[Age]]&lt;50,"40s",EmployeeData[[#This Row],[Age]]&lt;60,"50s",EmployeeData[[#This Row],[Age]]&gt;=60,"60s")</f>
        <v>30s</v>
      </c>
      <c r="G165" s="5">
        <v>44892</v>
      </c>
      <c r="H165" s="5">
        <v>45436</v>
      </c>
      <c r="I165" t="s">
        <v>52</v>
      </c>
      <c r="J165" t="s">
        <v>13</v>
      </c>
      <c r="K165" cm="1">
        <f t="array" aca="1" ref="K165" ca="1">_xlfn.IFS(EmployeeData[[#This Row],[Status]]="Active",_xlfn.DAYS(TODAY(),EmployeeData[[#This Row],[Join Date]]),EmployeeData[[#This Row],[Status]]="Exited",_xlfn.DAYS(EmployeeData[[#This Row],[Exit Date]],EmployeeData[[#This Row],[Join Date]]))</f>
        <v>544</v>
      </c>
      <c r="L165" cm="1">
        <f t="array" aca="1" ref="L165" ca="1">_xlfn.IFS(EmployeeData[[#This Row],[Status]]="Exited",DATEDIF(EmployeeData[[#This Row],[Join Date]], EmployeeData[[#This Row],[Exit Date]], "Y"),EmployeeData[[#This Row],[Status]]="Active",DATEDIF(EmployeeData[[#This Row],[Join Date]], TODAY(), "Y"))</f>
        <v>1</v>
      </c>
      <c r="Q165" t="str" cm="1">
        <f t="array" aca="1" ref="Q1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27 days</v>
      </c>
    </row>
    <row r="166" spans="1:17" x14ac:dyDescent="0.3">
      <c r="A166">
        <v>1165</v>
      </c>
      <c r="B166" t="s">
        <v>790</v>
      </c>
      <c r="C166" t="s">
        <v>23</v>
      </c>
      <c r="D166" t="s">
        <v>16</v>
      </c>
      <c r="E166">
        <v>26</v>
      </c>
      <c r="F166" t="str" cm="1">
        <f t="array" ref="F166">_xlfn.IFS(EmployeeData[[#This Row],[Age]]&lt;30,"20s",EmployeeData[[#This Row],[Age]]&lt;40,"30s",EmployeeData[[#This Row],[Age]]&lt;50,"40s",EmployeeData[[#This Row],[Age]]&lt;60,"50s",EmployeeData[[#This Row],[Age]]&gt;=60,"60s")</f>
        <v>20s</v>
      </c>
      <c r="G166" s="5">
        <v>44636</v>
      </c>
      <c r="H166" s="5">
        <v>45378</v>
      </c>
      <c r="I166" t="s">
        <v>21</v>
      </c>
      <c r="J166" t="s">
        <v>13</v>
      </c>
      <c r="K166" cm="1">
        <f t="array" aca="1" ref="K166" ca="1">_xlfn.IFS(EmployeeData[[#This Row],[Status]]="Active",_xlfn.DAYS(TODAY(),EmployeeData[[#This Row],[Join Date]]),EmployeeData[[#This Row],[Status]]="Exited",_xlfn.DAYS(EmployeeData[[#This Row],[Exit Date]],EmployeeData[[#This Row],[Join Date]]))</f>
        <v>742</v>
      </c>
      <c r="L166" cm="1">
        <f t="array" aca="1" ref="L166" ca="1">_xlfn.IFS(EmployeeData[[#This Row],[Status]]="Exited",DATEDIF(EmployeeData[[#This Row],[Join Date]], EmployeeData[[#This Row],[Exit Date]], "Y"),EmployeeData[[#This Row],[Status]]="Active",DATEDIF(EmployeeData[[#This Row],[Join Date]], TODAY(), "Y"))</f>
        <v>2</v>
      </c>
      <c r="Q166" t="str" cm="1">
        <f t="array" aca="1" ref="Q1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11 days</v>
      </c>
    </row>
    <row r="167" spans="1:17" x14ac:dyDescent="0.3">
      <c r="A167">
        <v>1166</v>
      </c>
      <c r="B167" t="s">
        <v>1040</v>
      </c>
      <c r="C167" t="s">
        <v>46</v>
      </c>
      <c r="D167" t="s">
        <v>24</v>
      </c>
      <c r="E167">
        <v>29</v>
      </c>
      <c r="F167" t="str" cm="1">
        <f t="array" ref="F167">_xlfn.IFS(EmployeeData[[#This Row],[Age]]&lt;30,"20s",EmployeeData[[#This Row],[Age]]&lt;40,"30s",EmployeeData[[#This Row],[Age]]&lt;50,"40s",EmployeeData[[#This Row],[Age]]&lt;60,"50s",EmployeeData[[#This Row],[Age]]&gt;=60,"60s")</f>
        <v>20s</v>
      </c>
      <c r="G167" s="5">
        <v>45990</v>
      </c>
      <c r="I167" t="s">
        <v>17</v>
      </c>
      <c r="J167" t="s">
        <v>18</v>
      </c>
      <c r="K167" cm="1">
        <f t="array" aca="1" ref="K167" ca="1">_xlfn.IFS(EmployeeData[[#This Row],[Status]]="Active",_xlfn.DAYS(TODAY(),EmployeeData[[#This Row],[Join Date]]),EmployeeData[[#This Row],[Status]]="Exited",_xlfn.DAYS(EmployeeData[[#This Row],[Exit Date]],EmployeeData[[#This Row],[Join Date]]))</f>
        <v>207</v>
      </c>
      <c r="L167" cm="1">
        <f t="array" aca="1" ref="L167" ca="1">_xlfn.IFS(EmployeeData[[#This Row],[Status]]="Exited",DATEDIF(EmployeeData[[#This Row],[Join Date]], EmployeeData[[#This Row],[Exit Date]], "Y"),EmployeeData[[#This Row],[Status]]="Active",DATEDIF(EmployeeData[[#This Row],[Join Date]], TODAY(), "Y"))</f>
        <v>0</v>
      </c>
      <c r="Q167" t="str" cm="1">
        <f t="array" aca="1" ref="Q1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26 days</v>
      </c>
    </row>
    <row r="168" spans="1:17" x14ac:dyDescent="0.3">
      <c r="A168">
        <v>1167</v>
      </c>
      <c r="B168" t="s">
        <v>541</v>
      </c>
      <c r="C168" t="s">
        <v>33</v>
      </c>
      <c r="D168" t="s">
        <v>24</v>
      </c>
      <c r="E168">
        <v>53</v>
      </c>
      <c r="F168" t="str" cm="1">
        <f t="array" ref="F168">_xlfn.IFS(EmployeeData[[#This Row],[Age]]&lt;30,"20s",EmployeeData[[#This Row],[Age]]&lt;40,"30s",EmployeeData[[#This Row],[Age]]&lt;50,"40s",EmployeeData[[#This Row],[Age]]&lt;60,"50s",EmployeeData[[#This Row],[Age]]&gt;=60,"60s")</f>
        <v>50s</v>
      </c>
      <c r="G168" s="5">
        <v>44834</v>
      </c>
      <c r="H168" s="5">
        <v>45514</v>
      </c>
      <c r="I168" t="s">
        <v>26</v>
      </c>
      <c r="J168" t="s">
        <v>13</v>
      </c>
      <c r="K168" cm="1">
        <f t="array" aca="1" ref="K168" ca="1">_xlfn.IFS(EmployeeData[[#This Row],[Status]]="Active",_xlfn.DAYS(TODAY(),EmployeeData[[#This Row],[Join Date]]),EmployeeData[[#This Row],[Status]]="Exited",_xlfn.DAYS(EmployeeData[[#This Row],[Exit Date]],EmployeeData[[#This Row],[Join Date]]))</f>
        <v>680</v>
      </c>
      <c r="L168" cm="1">
        <f t="array" aca="1" ref="L168" ca="1">_xlfn.IFS(EmployeeData[[#This Row],[Status]]="Exited",DATEDIF(EmployeeData[[#This Row],[Join Date]], EmployeeData[[#This Row],[Exit Date]], "Y"),EmployeeData[[#This Row],[Status]]="Active",DATEDIF(EmployeeData[[#This Row],[Join Date]], TODAY(), "Y"))</f>
        <v>1</v>
      </c>
      <c r="Q168" t="str" cm="1">
        <f t="array" aca="1" ref="Q1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11 days</v>
      </c>
    </row>
    <row r="169" spans="1:17" x14ac:dyDescent="0.3">
      <c r="A169">
        <v>1168</v>
      </c>
      <c r="B169" t="s">
        <v>177</v>
      </c>
      <c r="C169" t="s">
        <v>15</v>
      </c>
      <c r="D169" t="s">
        <v>11</v>
      </c>
      <c r="E169">
        <v>52</v>
      </c>
      <c r="F169" t="str" cm="1">
        <f t="array" ref="F169">_xlfn.IFS(EmployeeData[[#This Row],[Age]]&lt;30,"20s",EmployeeData[[#This Row],[Age]]&lt;40,"30s",EmployeeData[[#This Row],[Age]]&lt;50,"40s",EmployeeData[[#This Row],[Age]]&lt;60,"50s",EmployeeData[[#This Row],[Age]]&gt;=60,"60s")</f>
        <v>50s</v>
      </c>
      <c r="G169" s="5">
        <v>45545</v>
      </c>
      <c r="I169" t="s">
        <v>17</v>
      </c>
      <c r="J169" t="s">
        <v>18</v>
      </c>
      <c r="K169" cm="1">
        <f t="array" aca="1" ref="K169" ca="1">_xlfn.IFS(EmployeeData[[#This Row],[Status]]="Active",_xlfn.DAYS(TODAY(),EmployeeData[[#This Row],[Join Date]]),EmployeeData[[#This Row],[Status]]="Exited",_xlfn.DAYS(EmployeeData[[#This Row],[Exit Date]],EmployeeData[[#This Row],[Join Date]]))</f>
        <v>652</v>
      </c>
      <c r="L169" cm="1">
        <f t="array" aca="1" ref="L169" ca="1">_xlfn.IFS(EmployeeData[[#This Row],[Status]]="Exited",DATEDIF(EmployeeData[[#This Row],[Join Date]], EmployeeData[[#This Row],[Exit Date]], "Y"),EmployeeData[[#This Row],[Status]]="Active",DATEDIF(EmployeeData[[#This Row],[Join Date]], TODAY(), "Y"))</f>
        <v>1</v>
      </c>
      <c r="Q169" t="str" cm="1">
        <f t="array" aca="1" ref="Q1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14 days</v>
      </c>
    </row>
    <row r="170" spans="1:17" x14ac:dyDescent="0.3">
      <c r="A170">
        <v>1169</v>
      </c>
      <c r="B170" t="s">
        <v>597</v>
      </c>
      <c r="C170" t="s">
        <v>10</v>
      </c>
      <c r="D170" t="s">
        <v>16</v>
      </c>
      <c r="E170">
        <v>43</v>
      </c>
      <c r="F170" t="str" cm="1">
        <f t="array" ref="F170">_xlfn.IFS(EmployeeData[[#This Row],[Age]]&lt;30,"20s",EmployeeData[[#This Row],[Age]]&lt;40,"30s",EmployeeData[[#This Row],[Age]]&lt;50,"40s",EmployeeData[[#This Row],[Age]]&lt;60,"50s",EmployeeData[[#This Row],[Age]]&gt;=60,"60s")</f>
        <v>40s</v>
      </c>
      <c r="G170" s="5">
        <v>44086</v>
      </c>
      <c r="I170" t="s">
        <v>17</v>
      </c>
      <c r="J170" t="s">
        <v>18</v>
      </c>
      <c r="K170" cm="1">
        <f t="array" aca="1" ref="K170" ca="1">_xlfn.IFS(EmployeeData[[#This Row],[Status]]="Active",_xlfn.DAYS(TODAY(),EmployeeData[[#This Row],[Join Date]]),EmployeeData[[#This Row],[Status]]="Exited",_xlfn.DAYS(EmployeeData[[#This Row],[Exit Date]],EmployeeData[[#This Row],[Join Date]]))</f>
        <v>2111</v>
      </c>
      <c r="L170" cm="1">
        <f t="array" aca="1" ref="L170" ca="1">_xlfn.IFS(EmployeeData[[#This Row],[Status]]="Exited",DATEDIF(EmployeeData[[#This Row],[Join Date]], EmployeeData[[#This Row],[Exit Date]], "Y"),EmployeeData[[#This Row],[Status]]="Active",DATEDIF(EmployeeData[[#This Row],[Join Date]], TODAY(), "Y"))</f>
        <v>5</v>
      </c>
      <c r="Q170" t="str" cm="1">
        <f t="array" aca="1" ref="Q1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12 days</v>
      </c>
    </row>
    <row r="171" spans="1:17" x14ac:dyDescent="0.3">
      <c r="A171">
        <v>1170</v>
      </c>
      <c r="B171" t="s">
        <v>1076</v>
      </c>
      <c r="C171" t="s">
        <v>23</v>
      </c>
      <c r="D171" t="s">
        <v>24</v>
      </c>
      <c r="E171">
        <v>54</v>
      </c>
      <c r="F171" t="str" cm="1">
        <f t="array" ref="F171">_xlfn.IFS(EmployeeData[[#This Row],[Age]]&lt;30,"20s",EmployeeData[[#This Row],[Age]]&lt;40,"30s",EmployeeData[[#This Row],[Age]]&lt;50,"40s",EmployeeData[[#This Row],[Age]]&lt;60,"50s",EmployeeData[[#This Row],[Age]]&gt;=60,"60s")</f>
        <v>50s</v>
      </c>
      <c r="G171" s="5">
        <v>45329</v>
      </c>
      <c r="I171" t="s">
        <v>17</v>
      </c>
      <c r="J171" t="s">
        <v>18</v>
      </c>
      <c r="K171" cm="1">
        <f t="array" aca="1" ref="K171" ca="1">_xlfn.IFS(EmployeeData[[#This Row],[Status]]="Active",_xlfn.DAYS(TODAY(),EmployeeData[[#This Row],[Join Date]]),EmployeeData[[#This Row],[Status]]="Exited",_xlfn.DAYS(EmployeeData[[#This Row],[Exit Date]],EmployeeData[[#This Row],[Join Date]]))</f>
        <v>868</v>
      </c>
      <c r="L171" cm="1">
        <f t="array" aca="1" ref="L171" ca="1">_xlfn.IFS(EmployeeData[[#This Row],[Status]]="Exited",DATEDIF(EmployeeData[[#This Row],[Join Date]], EmployeeData[[#This Row],[Exit Date]], "Y"),EmployeeData[[#This Row],[Status]]="Active",DATEDIF(EmployeeData[[#This Row],[Join Date]], TODAY(), "Y"))</f>
        <v>2</v>
      </c>
      <c r="Q171" t="str" cm="1">
        <f t="array" aca="1" ref="Q1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17 days</v>
      </c>
    </row>
    <row r="172" spans="1:17" x14ac:dyDescent="0.3">
      <c r="A172">
        <v>1171</v>
      </c>
      <c r="B172" t="s">
        <v>885</v>
      </c>
      <c r="C172" t="s">
        <v>15</v>
      </c>
      <c r="D172" t="s">
        <v>24</v>
      </c>
      <c r="E172">
        <v>44</v>
      </c>
      <c r="F172" t="str" cm="1">
        <f t="array" ref="F172">_xlfn.IFS(EmployeeData[[#This Row],[Age]]&lt;30,"20s",EmployeeData[[#This Row],[Age]]&lt;40,"30s",EmployeeData[[#This Row],[Age]]&lt;50,"40s",EmployeeData[[#This Row],[Age]]&lt;60,"50s",EmployeeData[[#This Row],[Age]]&gt;=60,"60s")</f>
        <v>40s</v>
      </c>
      <c r="G172" s="5">
        <v>44139</v>
      </c>
      <c r="I172" t="s">
        <v>17</v>
      </c>
      <c r="J172" t="s">
        <v>18</v>
      </c>
      <c r="K172" cm="1">
        <f t="array" aca="1" ref="K172" ca="1">_xlfn.IFS(EmployeeData[[#This Row],[Status]]="Active",_xlfn.DAYS(TODAY(),EmployeeData[[#This Row],[Join Date]]),EmployeeData[[#This Row],[Status]]="Exited",_xlfn.DAYS(EmployeeData[[#This Row],[Exit Date]],EmployeeData[[#This Row],[Join Date]]))</f>
        <v>2058</v>
      </c>
      <c r="L172" cm="1">
        <f t="array" aca="1" ref="L172" ca="1">_xlfn.IFS(EmployeeData[[#This Row],[Status]]="Exited",DATEDIF(EmployeeData[[#This Row],[Join Date]], EmployeeData[[#This Row],[Exit Date]], "Y"),EmployeeData[[#This Row],[Status]]="Active",DATEDIF(EmployeeData[[#This Row],[Join Date]], TODAY(), "Y"))</f>
        <v>5</v>
      </c>
      <c r="Q172" t="str" cm="1">
        <f t="array" aca="1" ref="Q1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20 days</v>
      </c>
    </row>
    <row r="173" spans="1:17" x14ac:dyDescent="0.3">
      <c r="A173">
        <v>1172</v>
      </c>
      <c r="B173" t="s">
        <v>142</v>
      </c>
      <c r="C173" t="s">
        <v>20</v>
      </c>
      <c r="D173" t="s">
        <v>11</v>
      </c>
      <c r="E173">
        <v>42</v>
      </c>
      <c r="F173" t="str" cm="1">
        <f t="array" ref="F173">_xlfn.IFS(EmployeeData[[#This Row],[Age]]&lt;30,"20s",EmployeeData[[#This Row],[Age]]&lt;40,"30s",EmployeeData[[#This Row],[Age]]&lt;50,"40s",EmployeeData[[#This Row],[Age]]&lt;60,"50s",EmployeeData[[#This Row],[Age]]&gt;=60,"60s")</f>
        <v>40s</v>
      </c>
      <c r="G173" s="5">
        <v>43647</v>
      </c>
      <c r="H173" s="5">
        <v>45123</v>
      </c>
      <c r="I173" t="s">
        <v>52</v>
      </c>
      <c r="J173" t="s">
        <v>13</v>
      </c>
      <c r="K173" cm="1">
        <f t="array" aca="1" ref="K173" ca="1">_xlfn.IFS(EmployeeData[[#This Row],[Status]]="Active",_xlfn.DAYS(TODAY(),EmployeeData[[#This Row],[Join Date]]),EmployeeData[[#This Row],[Status]]="Exited",_xlfn.DAYS(EmployeeData[[#This Row],[Exit Date]],EmployeeData[[#This Row],[Join Date]]))</f>
        <v>1476</v>
      </c>
      <c r="L173" cm="1">
        <f t="array" aca="1" ref="L173" ca="1">_xlfn.IFS(EmployeeData[[#This Row],[Status]]="Exited",DATEDIF(EmployeeData[[#This Row],[Join Date]], EmployeeData[[#This Row],[Exit Date]], "Y"),EmployeeData[[#This Row],[Status]]="Active",DATEDIF(EmployeeData[[#This Row],[Join Date]], TODAY(), "Y"))</f>
        <v>4</v>
      </c>
      <c r="Q173" t="str" cm="1">
        <f t="array" aca="1" ref="Q1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15 days</v>
      </c>
    </row>
    <row r="174" spans="1:17" x14ac:dyDescent="0.3">
      <c r="A174">
        <v>1173</v>
      </c>
      <c r="B174" t="s">
        <v>43</v>
      </c>
      <c r="C174" t="s">
        <v>23</v>
      </c>
      <c r="D174" t="s">
        <v>11</v>
      </c>
      <c r="E174">
        <v>25</v>
      </c>
      <c r="F174" t="str" cm="1">
        <f t="array" ref="F174">_xlfn.IFS(EmployeeData[[#This Row],[Age]]&lt;30,"20s",EmployeeData[[#This Row],[Age]]&lt;40,"30s",EmployeeData[[#This Row],[Age]]&lt;50,"40s",EmployeeData[[#This Row],[Age]]&lt;60,"50s",EmployeeData[[#This Row],[Age]]&gt;=60,"60s")</f>
        <v>20s</v>
      </c>
      <c r="G174" s="5">
        <v>44975</v>
      </c>
      <c r="H174" s="5">
        <v>45477</v>
      </c>
      <c r="I174" t="s">
        <v>31</v>
      </c>
      <c r="J174" t="s">
        <v>13</v>
      </c>
      <c r="K174" cm="1">
        <f t="array" aca="1" ref="K174" ca="1">_xlfn.IFS(EmployeeData[[#This Row],[Status]]="Active",_xlfn.DAYS(TODAY(),EmployeeData[[#This Row],[Join Date]]),EmployeeData[[#This Row],[Status]]="Exited",_xlfn.DAYS(EmployeeData[[#This Row],[Exit Date]],EmployeeData[[#This Row],[Join Date]]))</f>
        <v>502</v>
      </c>
      <c r="L174" cm="1">
        <f t="array" aca="1" ref="L174" ca="1">_xlfn.IFS(EmployeeData[[#This Row],[Status]]="Exited",DATEDIF(EmployeeData[[#This Row],[Join Date]], EmployeeData[[#This Row],[Exit Date]], "Y"),EmployeeData[[#This Row],[Status]]="Active",DATEDIF(EmployeeData[[#This Row],[Join Date]], TODAY(), "Y"))</f>
        <v>1</v>
      </c>
      <c r="Q174" t="str" cm="1">
        <f t="array" aca="1" ref="Q1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16 days</v>
      </c>
    </row>
    <row r="175" spans="1:17" x14ac:dyDescent="0.3">
      <c r="A175">
        <v>1174</v>
      </c>
      <c r="B175" t="s">
        <v>711</v>
      </c>
      <c r="C175" t="s">
        <v>23</v>
      </c>
      <c r="D175" t="s">
        <v>11</v>
      </c>
      <c r="E175">
        <v>51</v>
      </c>
      <c r="F175" t="str" cm="1">
        <f t="array" ref="F175">_xlfn.IFS(EmployeeData[[#This Row],[Age]]&lt;30,"20s",EmployeeData[[#This Row],[Age]]&lt;40,"30s",EmployeeData[[#This Row],[Age]]&lt;50,"40s",EmployeeData[[#This Row],[Age]]&lt;60,"50s",EmployeeData[[#This Row],[Age]]&gt;=60,"60s")</f>
        <v>50s</v>
      </c>
      <c r="G175" s="5">
        <v>45040</v>
      </c>
      <c r="H175" s="5">
        <v>45521</v>
      </c>
      <c r="I175" t="s">
        <v>26</v>
      </c>
      <c r="J175" t="s">
        <v>13</v>
      </c>
      <c r="K175" cm="1">
        <f t="array" aca="1" ref="K175" ca="1">_xlfn.IFS(EmployeeData[[#This Row],[Status]]="Active",_xlfn.DAYS(TODAY(),EmployeeData[[#This Row],[Join Date]]),EmployeeData[[#This Row],[Status]]="Exited",_xlfn.DAYS(EmployeeData[[#This Row],[Exit Date]],EmployeeData[[#This Row],[Join Date]]))</f>
        <v>481</v>
      </c>
      <c r="L175" cm="1">
        <f t="array" aca="1" ref="L175" ca="1">_xlfn.IFS(EmployeeData[[#This Row],[Status]]="Exited",DATEDIF(EmployeeData[[#This Row],[Join Date]], EmployeeData[[#This Row],[Exit Date]], "Y"),EmployeeData[[#This Row],[Status]]="Active",DATEDIF(EmployeeData[[#This Row],[Join Date]], TODAY(), "Y"))</f>
        <v>1</v>
      </c>
      <c r="Q175" t="str" cm="1">
        <f t="array" aca="1" ref="Q1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24 days</v>
      </c>
    </row>
    <row r="176" spans="1:17" x14ac:dyDescent="0.3">
      <c r="A176">
        <v>1175</v>
      </c>
      <c r="B176" t="s">
        <v>440</v>
      </c>
      <c r="C176" t="s">
        <v>10</v>
      </c>
      <c r="D176" t="s">
        <v>24</v>
      </c>
      <c r="E176">
        <v>49</v>
      </c>
      <c r="F176" t="str" cm="1">
        <f t="array" ref="F176">_xlfn.IFS(EmployeeData[[#This Row],[Age]]&lt;30,"20s",EmployeeData[[#This Row],[Age]]&lt;40,"30s",EmployeeData[[#This Row],[Age]]&lt;50,"40s",EmployeeData[[#This Row],[Age]]&lt;60,"50s",EmployeeData[[#This Row],[Age]]&gt;=60,"60s")</f>
        <v>40s</v>
      </c>
      <c r="G176" s="5">
        <v>44684</v>
      </c>
      <c r="H176" s="5">
        <v>45156</v>
      </c>
      <c r="I176" t="s">
        <v>65</v>
      </c>
      <c r="J176" t="s">
        <v>13</v>
      </c>
      <c r="K176" cm="1">
        <f t="array" aca="1" ref="K176" ca="1">_xlfn.IFS(EmployeeData[[#This Row],[Status]]="Active",_xlfn.DAYS(TODAY(),EmployeeData[[#This Row],[Join Date]]),EmployeeData[[#This Row],[Status]]="Exited",_xlfn.DAYS(EmployeeData[[#This Row],[Exit Date]],EmployeeData[[#This Row],[Join Date]]))</f>
        <v>472</v>
      </c>
      <c r="L176" cm="1">
        <f t="array" aca="1" ref="L176" ca="1">_xlfn.IFS(EmployeeData[[#This Row],[Status]]="Exited",DATEDIF(EmployeeData[[#This Row],[Join Date]], EmployeeData[[#This Row],[Exit Date]], "Y"),EmployeeData[[#This Row],[Status]]="Active",DATEDIF(EmployeeData[[#This Row],[Join Date]], TODAY(), "Y"))</f>
        <v>1</v>
      </c>
      <c r="Q176" t="str" cm="1">
        <f t="array" aca="1" ref="Q1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15 days</v>
      </c>
    </row>
    <row r="177" spans="1:17" x14ac:dyDescent="0.3">
      <c r="A177">
        <v>1176</v>
      </c>
      <c r="B177" t="s">
        <v>593</v>
      </c>
      <c r="C177" t="s">
        <v>23</v>
      </c>
      <c r="D177" t="s">
        <v>11</v>
      </c>
      <c r="E177">
        <v>48</v>
      </c>
      <c r="F177" t="str" cm="1">
        <f t="array" ref="F177">_xlfn.IFS(EmployeeData[[#This Row],[Age]]&lt;30,"20s",EmployeeData[[#This Row],[Age]]&lt;40,"30s",EmployeeData[[#This Row],[Age]]&lt;50,"40s",EmployeeData[[#This Row],[Age]]&lt;60,"50s",EmployeeData[[#This Row],[Age]]&gt;=60,"60s")</f>
        <v>40s</v>
      </c>
      <c r="G177" s="5">
        <v>43424</v>
      </c>
      <c r="I177" t="s">
        <v>17</v>
      </c>
      <c r="J177" t="s">
        <v>18</v>
      </c>
      <c r="K177" cm="1">
        <f t="array" aca="1" ref="K177" ca="1">_xlfn.IFS(EmployeeData[[#This Row],[Status]]="Active",_xlfn.DAYS(TODAY(),EmployeeData[[#This Row],[Join Date]]),EmployeeData[[#This Row],[Status]]="Exited",_xlfn.DAYS(EmployeeData[[#This Row],[Exit Date]],EmployeeData[[#This Row],[Join Date]]))</f>
        <v>2773</v>
      </c>
      <c r="L177" cm="1">
        <f t="array" aca="1" ref="L177" ca="1">_xlfn.IFS(EmployeeData[[#This Row],[Status]]="Exited",DATEDIF(EmployeeData[[#This Row],[Join Date]], EmployeeData[[#This Row],[Exit Date]], "Y"),EmployeeData[[#This Row],[Status]]="Active",DATEDIF(EmployeeData[[#This Row],[Join Date]], TODAY(), "Y"))</f>
        <v>7</v>
      </c>
      <c r="Q177" t="str" cm="1">
        <f t="array" aca="1" ref="Q1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4 days</v>
      </c>
    </row>
    <row r="178" spans="1:17" x14ac:dyDescent="0.3">
      <c r="A178">
        <v>1177</v>
      </c>
      <c r="B178" t="s">
        <v>1093</v>
      </c>
      <c r="C178" t="s">
        <v>15</v>
      </c>
      <c r="D178" t="s">
        <v>24</v>
      </c>
      <c r="E178">
        <v>40</v>
      </c>
      <c r="F178" t="str" cm="1">
        <f t="array" ref="F178">_xlfn.IFS(EmployeeData[[#This Row],[Age]]&lt;30,"20s",EmployeeData[[#This Row],[Age]]&lt;40,"30s",EmployeeData[[#This Row],[Age]]&lt;50,"40s",EmployeeData[[#This Row],[Age]]&lt;60,"50s",EmployeeData[[#This Row],[Age]]&gt;=60,"60s")</f>
        <v>40s</v>
      </c>
      <c r="G178" s="5">
        <v>44927</v>
      </c>
      <c r="I178" t="s">
        <v>17</v>
      </c>
      <c r="J178" t="s">
        <v>18</v>
      </c>
      <c r="K178" cm="1">
        <f t="array" aca="1" ref="K178" ca="1">_xlfn.IFS(EmployeeData[[#This Row],[Status]]="Active",_xlfn.DAYS(TODAY(),EmployeeData[[#This Row],[Join Date]]),EmployeeData[[#This Row],[Status]]="Exited",_xlfn.DAYS(EmployeeData[[#This Row],[Exit Date]],EmployeeData[[#This Row],[Join Date]]))</f>
        <v>1270</v>
      </c>
      <c r="L178" cm="1">
        <f t="array" aca="1" ref="L178" ca="1">_xlfn.IFS(EmployeeData[[#This Row],[Status]]="Exited",DATEDIF(EmployeeData[[#This Row],[Join Date]], EmployeeData[[#This Row],[Exit Date]], "Y"),EmployeeData[[#This Row],[Status]]="Active",DATEDIF(EmployeeData[[#This Row],[Join Date]], TODAY(), "Y"))</f>
        <v>3</v>
      </c>
      <c r="Q178" t="str" cm="1">
        <f t="array" aca="1" ref="Q1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23 days</v>
      </c>
    </row>
    <row r="179" spans="1:17" x14ac:dyDescent="0.3">
      <c r="A179">
        <v>1178</v>
      </c>
      <c r="B179" t="s">
        <v>171</v>
      </c>
      <c r="C179" t="s">
        <v>10</v>
      </c>
      <c r="D179" t="s">
        <v>16</v>
      </c>
      <c r="E179">
        <v>43</v>
      </c>
      <c r="F179" t="str" cm="1">
        <f t="array" ref="F179">_xlfn.IFS(EmployeeData[[#This Row],[Age]]&lt;30,"20s",EmployeeData[[#This Row],[Age]]&lt;40,"30s",EmployeeData[[#This Row],[Age]]&lt;50,"40s",EmployeeData[[#This Row],[Age]]&lt;60,"50s",EmployeeData[[#This Row],[Age]]&gt;=60,"60s")</f>
        <v>40s</v>
      </c>
      <c r="G179" s="5">
        <v>45619</v>
      </c>
      <c r="I179" t="s">
        <v>17</v>
      </c>
      <c r="J179" t="s">
        <v>18</v>
      </c>
      <c r="K179" cm="1">
        <f t="array" aca="1" ref="K179" ca="1">_xlfn.IFS(EmployeeData[[#This Row],[Status]]="Active",_xlfn.DAYS(TODAY(),EmployeeData[[#This Row],[Join Date]]),EmployeeData[[#This Row],[Status]]="Exited",_xlfn.DAYS(EmployeeData[[#This Row],[Exit Date]],EmployeeData[[#This Row],[Join Date]]))</f>
        <v>578</v>
      </c>
      <c r="L179" cm="1">
        <f t="array" aca="1" ref="L179" ca="1">_xlfn.IFS(EmployeeData[[#This Row],[Status]]="Exited",DATEDIF(EmployeeData[[#This Row],[Join Date]], EmployeeData[[#This Row],[Exit Date]], "Y"),EmployeeData[[#This Row],[Status]]="Active",DATEDIF(EmployeeData[[#This Row],[Join Date]], TODAY(), "Y"))</f>
        <v>1</v>
      </c>
      <c r="Q179" t="str" cm="1">
        <f t="array" aca="1" ref="Q1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 days</v>
      </c>
    </row>
    <row r="180" spans="1:17" x14ac:dyDescent="0.3">
      <c r="A180">
        <v>1179</v>
      </c>
      <c r="B180" t="s">
        <v>680</v>
      </c>
      <c r="C180" t="s">
        <v>46</v>
      </c>
      <c r="D180" t="s">
        <v>16</v>
      </c>
      <c r="E180">
        <v>46</v>
      </c>
      <c r="F180" t="str" cm="1">
        <f t="array" ref="F180">_xlfn.IFS(EmployeeData[[#This Row],[Age]]&lt;30,"20s",EmployeeData[[#This Row],[Age]]&lt;40,"30s",EmployeeData[[#This Row],[Age]]&lt;50,"40s",EmployeeData[[#This Row],[Age]]&lt;60,"50s",EmployeeData[[#This Row],[Age]]&gt;=60,"60s")</f>
        <v>40s</v>
      </c>
      <c r="G180" s="5">
        <v>44589</v>
      </c>
      <c r="I180" t="s">
        <v>17</v>
      </c>
      <c r="J180" t="s">
        <v>18</v>
      </c>
      <c r="K180" cm="1">
        <f t="array" aca="1" ref="K180" ca="1">_xlfn.IFS(EmployeeData[[#This Row],[Status]]="Active",_xlfn.DAYS(TODAY(),EmployeeData[[#This Row],[Join Date]]),EmployeeData[[#This Row],[Status]]="Exited",_xlfn.DAYS(EmployeeData[[#This Row],[Exit Date]],EmployeeData[[#This Row],[Join Date]]))</f>
        <v>1608</v>
      </c>
      <c r="L180" cm="1">
        <f t="array" aca="1" ref="L180" ca="1">_xlfn.IFS(EmployeeData[[#This Row],[Status]]="Exited",DATEDIF(EmployeeData[[#This Row],[Join Date]], EmployeeData[[#This Row],[Exit Date]], "Y"),EmployeeData[[#This Row],[Status]]="Active",DATEDIF(EmployeeData[[#This Row],[Join Date]], TODAY(), "Y"))</f>
        <v>4</v>
      </c>
      <c r="Q180" t="str" cm="1">
        <f t="array" aca="1" ref="Q1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27 days</v>
      </c>
    </row>
    <row r="181" spans="1:17" x14ac:dyDescent="0.3">
      <c r="A181">
        <v>1180</v>
      </c>
      <c r="B181" t="s">
        <v>14</v>
      </c>
      <c r="C181" t="s">
        <v>15</v>
      </c>
      <c r="D181" t="s">
        <v>16</v>
      </c>
      <c r="E181">
        <v>44</v>
      </c>
      <c r="F181" t="str" cm="1">
        <f t="array" ref="F181">_xlfn.IFS(EmployeeData[[#This Row],[Age]]&lt;30,"20s",EmployeeData[[#This Row],[Age]]&lt;40,"30s",EmployeeData[[#This Row],[Age]]&lt;50,"40s",EmployeeData[[#This Row],[Age]]&lt;60,"50s",EmployeeData[[#This Row],[Age]]&gt;=60,"60s")</f>
        <v>40s</v>
      </c>
      <c r="G181" s="5">
        <v>44584</v>
      </c>
      <c r="I181" t="s">
        <v>17</v>
      </c>
      <c r="J181" t="s">
        <v>18</v>
      </c>
      <c r="K181" cm="1">
        <f t="array" aca="1" ref="K181" ca="1">_xlfn.IFS(EmployeeData[[#This Row],[Status]]="Active",_xlfn.DAYS(TODAY(),EmployeeData[[#This Row],[Join Date]]),EmployeeData[[#This Row],[Status]]="Exited",_xlfn.DAYS(EmployeeData[[#This Row],[Exit Date]],EmployeeData[[#This Row],[Join Date]]))</f>
        <v>1613</v>
      </c>
      <c r="L181" cm="1">
        <f t="array" aca="1" ref="L181" ca="1">_xlfn.IFS(EmployeeData[[#This Row],[Status]]="Exited",DATEDIF(EmployeeData[[#This Row],[Join Date]], EmployeeData[[#This Row],[Exit Date]], "Y"),EmployeeData[[#This Row],[Status]]="Active",DATEDIF(EmployeeData[[#This Row],[Join Date]], TODAY(), "Y"))</f>
        <v>4</v>
      </c>
      <c r="Q181" t="str" cm="1">
        <f t="array" aca="1" ref="Q1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 days</v>
      </c>
    </row>
    <row r="182" spans="1:17" x14ac:dyDescent="0.3">
      <c r="A182">
        <v>1181</v>
      </c>
      <c r="B182" t="s">
        <v>640</v>
      </c>
      <c r="C182" t="s">
        <v>20</v>
      </c>
      <c r="D182" t="s">
        <v>11</v>
      </c>
      <c r="E182">
        <v>44</v>
      </c>
      <c r="F182" t="str" cm="1">
        <f t="array" ref="F182">_xlfn.IFS(EmployeeData[[#This Row],[Age]]&lt;30,"20s",EmployeeData[[#This Row],[Age]]&lt;40,"30s",EmployeeData[[#This Row],[Age]]&lt;50,"40s",EmployeeData[[#This Row],[Age]]&lt;60,"50s",EmployeeData[[#This Row],[Age]]&gt;=60,"60s")</f>
        <v>40s</v>
      </c>
      <c r="G182" s="5">
        <v>44919</v>
      </c>
      <c r="I182" t="s">
        <v>17</v>
      </c>
      <c r="J182" t="s">
        <v>18</v>
      </c>
      <c r="K182" cm="1">
        <f t="array" aca="1" ref="K182" ca="1">_xlfn.IFS(EmployeeData[[#This Row],[Status]]="Active",_xlfn.DAYS(TODAY(),EmployeeData[[#This Row],[Join Date]]),EmployeeData[[#This Row],[Status]]="Exited",_xlfn.DAYS(EmployeeData[[#This Row],[Exit Date]],EmployeeData[[#This Row],[Join Date]]))</f>
        <v>1278</v>
      </c>
      <c r="L182" cm="1">
        <f t="array" aca="1" ref="L182" ca="1">_xlfn.IFS(EmployeeData[[#This Row],[Status]]="Exited",DATEDIF(EmployeeData[[#This Row],[Join Date]], EmployeeData[[#This Row],[Exit Date]], "Y"),EmployeeData[[#This Row],[Status]]="Active",DATEDIF(EmployeeData[[#This Row],[Join Date]], TODAY(), "Y"))</f>
        <v>3</v>
      </c>
      <c r="Q182" t="str" cm="1">
        <f t="array" aca="1" ref="Q1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0 days</v>
      </c>
    </row>
    <row r="183" spans="1:17" x14ac:dyDescent="0.3">
      <c r="A183">
        <v>1182</v>
      </c>
      <c r="B183" t="s">
        <v>1051</v>
      </c>
      <c r="C183" t="s">
        <v>10</v>
      </c>
      <c r="D183" t="s">
        <v>16</v>
      </c>
      <c r="E183">
        <v>28</v>
      </c>
      <c r="F183" t="str" cm="1">
        <f t="array" ref="F183">_xlfn.IFS(EmployeeData[[#This Row],[Age]]&lt;30,"20s",EmployeeData[[#This Row],[Age]]&lt;40,"30s",EmployeeData[[#This Row],[Age]]&lt;50,"40s",EmployeeData[[#This Row],[Age]]&lt;60,"50s",EmployeeData[[#This Row],[Age]]&gt;=60,"60s")</f>
        <v>20s</v>
      </c>
      <c r="G183" s="5">
        <v>43207</v>
      </c>
      <c r="I183" t="s">
        <v>17</v>
      </c>
      <c r="J183" t="s">
        <v>18</v>
      </c>
      <c r="K183" cm="1">
        <f t="array" aca="1" ref="K183" ca="1">_xlfn.IFS(EmployeeData[[#This Row],[Status]]="Active",_xlfn.DAYS(TODAY(),EmployeeData[[#This Row],[Join Date]]),EmployeeData[[#This Row],[Status]]="Exited",_xlfn.DAYS(EmployeeData[[#This Row],[Exit Date]],EmployeeData[[#This Row],[Join Date]]))</f>
        <v>2990</v>
      </c>
      <c r="L183" cm="1">
        <f t="array" aca="1" ref="L183" ca="1">_xlfn.IFS(EmployeeData[[#This Row],[Status]]="Exited",DATEDIF(EmployeeData[[#This Row],[Join Date]], EmployeeData[[#This Row],[Exit Date]], "Y"),EmployeeData[[#This Row],[Status]]="Active",DATEDIF(EmployeeData[[#This Row],[Join Date]], TODAY(), "Y"))</f>
        <v>8</v>
      </c>
      <c r="Q183" t="str" cm="1">
        <f t="array" aca="1" ref="Q1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7 days</v>
      </c>
    </row>
    <row r="184" spans="1:17" x14ac:dyDescent="0.3">
      <c r="A184">
        <v>1183</v>
      </c>
      <c r="B184" t="s">
        <v>287</v>
      </c>
      <c r="C184" t="s">
        <v>10</v>
      </c>
      <c r="D184" t="s">
        <v>16</v>
      </c>
      <c r="E184">
        <v>49</v>
      </c>
      <c r="F184" t="str" cm="1">
        <f t="array" ref="F184">_xlfn.IFS(EmployeeData[[#This Row],[Age]]&lt;30,"20s",EmployeeData[[#This Row],[Age]]&lt;40,"30s",EmployeeData[[#This Row],[Age]]&lt;50,"40s",EmployeeData[[#This Row],[Age]]&lt;60,"50s",EmployeeData[[#This Row],[Age]]&gt;=60,"60s")</f>
        <v>40s</v>
      </c>
      <c r="G184" s="5">
        <v>43979</v>
      </c>
      <c r="I184" t="s">
        <v>17</v>
      </c>
      <c r="J184" t="s">
        <v>18</v>
      </c>
      <c r="K184" cm="1">
        <f t="array" aca="1" ref="K184" ca="1">_xlfn.IFS(EmployeeData[[#This Row],[Status]]="Active",_xlfn.DAYS(TODAY(),EmployeeData[[#This Row],[Join Date]]),EmployeeData[[#This Row],[Status]]="Exited",_xlfn.DAYS(EmployeeData[[#This Row],[Exit Date]],EmployeeData[[#This Row],[Join Date]]))</f>
        <v>2218</v>
      </c>
      <c r="L184" cm="1">
        <f t="array" aca="1" ref="L184" ca="1">_xlfn.IFS(EmployeeData[[#This Row],[Status]]="Exited",DATEDIF(EmployeeData[[#This Row],[Join Date]], EmployeeData[[#This Row],[Exit Date]], "Y"),EmployeeData[[#This Row],[Status]]="Active",DATEDIF(EmployeeData[[#This Row],[Join Date]], TODAY(), "Y"))</f>
        <v>6</v>
      </c>
      <c r="Q184" t="str" cm="1">
        <f t="array" aca="1" ref="Q1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27 days</v>
      </c>
    </row>
    <row r="185" spans="1:17" x14ac:dyDescent="0.3">
      <c r="A185">
        <v>1184</v>
      </c>
      <c r="B185" t="s">
        <v>577</v>
      </c>
      <c r="C185" t="s">
        <v>23</v>
      </c>
      <c r="D185" t="s">
        <v>16</v>
      </c>
      <c r="E185">
        <v>25</v>
      </c>
      <c r="F185" t="str" cm="1">
        <f t="array" ref="F185">_xlfn.IFS(EmployeeData[[#This Row],[Age]]&lt;30,"20s",EmployeeData[[#This Row],[Age]]&lt;40,"30s",EmployeeData[[#This Row],[Age]]&lt;50,"40s",EmployeeData[[#This Row],[Age]]&lt;60,"50s",EmployeeData[[#This Row],[Age]]&gt;=60,"60s")</f>
        <v>20s</v>
      </c>
      <c r="G185" s="5">
        <v>44952</v>
      </c>
      <c r="H185" s="5">
        <v>45953</v>
      </c>
      <c r="I185" t="s">
        <v>21</v>
      </c>
      <c r="J185" t="s">
        <v>13</v>
      </c>
      <c r="K185" cm="1">
        <f t="array" aca="1" ref="K185" ca="1">_xlfn.IFS(EmployeeData[[#This Row],[Status]]="Active",_xlfn.DAYS(TODAY(),EmployeeData[[#This Row],[Join Date]]),EmployeeData[[#This Row],[Status]]="Exited",_xlfn.DAYS(EmployeeData[[#This Row],[Exit Date]],EmployeeData[[#This Row],[Join Date]]))</f>
        <v>1001</v>
      </c>
      <c r="L185" cm="1">
        <f t="array" aca="1" ref="L185" ca="1">_xlfn.IFS(EmployeeData[[#This Row],[Status]]="Exited",DATEDIF(EmployeeData[[#This Row],[Join Date]], EmployeeData[[#This Row],[Exit Date]], "Y"),EmployeeData[[#This Row],[Status]]="Active",DATEDIF(EmployeeData[[#This Row],[Join Date]], TODAY(), "Y"))</f>
        <v>2</v>
      </c>
      <c r="Q185" t="str" cm="1">
        <f t="array" aca="1" ref="Q1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27 days</v>
      </c>
    </row>
    <row r="186" spans="1:17" x14ac:dyDescent="0.3">
      <c r="A186">
        <v>1185</v>
      </c>
      <c r="B186" t="s">
        <v>1032</v>
      </c>
      <c r="C186" t="s">
        <v>23</v>
      </c>
      <c r="D186" t="s">
        <v>16</v>
      </c>
      <c r="E186">
        <v>40</v>
      </c>
      <c r="F186" t="str" cm="1">
        <f t="array" ref="F186">_xlfn.IFS(EmployeeData[[#This Row],[Age]]&lt;30,"20s",EmployeeData[[#This Row],[Age]]&lt;40,"30s",EmployeeData[[#This Row],[Age]]&lt;50,"40s",EmployeeData[[#This Row],[Age]]&lt;60,"50s",EmployeeData[[#This Row],[Age]]&gt;=60,"60s")</f>
        <v>40s</v>
      </c>
      <c r="G186" s="5">
        <v>43746</v>
      </c>
      <c r="I186" t="s">
        <v>17</v>
      </c>
      <c r="J186" t="s">
        <v>18</v>
      </c>
      <c r="K186" cm="1">
        <f t="array" aca="1" ref="K186" ca="1">_xlfn.IFS(EmployeeData[[#This Row],[Status]]="Active",_xlfn.DAYS(TODAY(),EmployeeData[[#This Row],[Join Date]]),EmployeeData[[#This Row],[Status]]="Exited",_xlfn.DAYS(EmployeeData[[#This Row],[Exit Date]],EmployeeData[[#This Row],[Join Date]]))</f>
        <v>2451</v>
      </c>
      <c r="L186" cm="1">
        <f t="array" aca="1" ref="L186" ca="1">_xlfn.IFS(EmployeeData[[#This Row],[Status]]="Exited",DATEDIF(EmployeeData[[#This Row],[Join Date]], EmployeeData[[#This Row],[Exit Date]], "Y"),EmployeeData[[#This Row],[Status]]="Active",DATEDIF(EmployeeData[[#This Row],[Join Date]], TODAY(), "Y"))</f>
        <v>6</v>
      </c>
      <c r="Q186" t="str" cm="1">
        <f t="array" aca="1" ref="Q1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16 days</v>
      </c>
    </row>
    <row r="187" spans="1:17" x14ac:dyDescent="0.3">
      <c r="A187">
        <v>1186</v>
      </c>
      <c r="B187" t="s">
        <v>462</v>
      </c>
      <c r="C187" t="s">
        <v>46</v>
      </c>
      <c r="D187" t="s">
        <v>11</v>
      </c>
      <c r="E187">
        <v>36</v>
      </c>
      <c r="F187" t="str" cm="1">
        <f t="array" ref="F187">_xlfn.IFS(EmployeeData[[#This Row],[Age]]&lt;30,"20s",EmployeeData[[#This Row],[Age]]&lt;40,"30s",EmployeeData[[#This Row],[Age]]&lt;50,"40s",EmployeeData[[#This Row],[Age]]&lt;60,"50s",EmployeeData[[#This Row],[Age]]&gt;=60,"60s")</f>
        <v>30s</v>
      </c>
      <c r="G187" s="5">
        <v>45124</v>
      </c>
      <c r="H187" s="5">
        <v>45781</v>
      </c>
      <c r="I187" t="s">
        <v>65</v>
      </c>
      <c r="J187" t="s">
        <v>13</v>
      </c>
      <c r="K187" cm="1">
        <f t="array" aca="1" ref="K187" ca="1">_xlfn.IFS(EmployeeData[[#This Row],[Status]]="Active",_xlfn.DAYS(TODAY(),EmployeeData[[#This Row],[Join Date]]),EmployeeData[[#This Row],[Status]]="Exited",_xlfn.DAYS(EmployeeData[[#This Row],[Exit Date]],EmployeeData[[#This Row],[Join Date]]))</f>
        <v>657</v>
      </c>
      <c r="L187" cm="1">
        <f t="array" aca="1" ref="L187" ca="1">_xlfn.IFS(EmployeeData[[#This Row],[Status]]="Exited",DATEDIF(EmployeeData[[#This Row],[Join Date]], EmployeeData[[#This Row],[Exit Date]], "Y"),EmployeeData[[#This Row],[Status]]="Active",DATEDIF(EmployeeData[[#This Row],[Join Date]], TODAY(), "Y"))</f>
        <v>1</v>
      </c>
      <c r="Q187" t="str" cm="1">
        <f t="array" aca="1" ref="Q1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17 days</v>
      </c>
    </row>
    <row r="188" spans="1:17" x14ac:dyDescent="0.3">
      <c r="A188">
        <v>1187</v>
      </c>
      <c r="B188" t="s">
        <v>545</v>
      </c>
      <c r="C188" t="s">
        <v>15</v>
      </c>
      <c r="D188" t="s">
        <v>24</v>
      </c>
      <c r="E188">
        <v>51</v>
      </c>
      <c r="F188" t="str" cm="1">
        <f t="array" ref="F188">_xlfn.IFS(EmployeeData[[#This Row],[Age]]&lt;30,"20s",EmployeeData[[#This Row],[Age]]&lt;40,"30s",EmployeeData[[#This Row],[Age]]&lt;50,"40s",EmployeeData[[#This Row],[Age]]&lt;60,"50s",EmployeeData[[#This Row],[Age]]&gt;=60,"60s")</f>
        <v>50s</v>
      </c>
      <c r="G188" s="5">
        <v>45254</v>
      </c>
      <c r="I188" t="s">
        <v>17</v>
      </c>
      <c r="J188" t="s">
        <v>18</v>
      </c>
      <c r="K188" cm="1">
        <f t="array" aca="1" ref="K188" ca="1">_xlfn.IFS(EmployeeData[[#This Row],[Status]]="Active",_xlfn.DAYS(TODAY(),EmployeeData[[#This Row],[Join Date]]),EmployeeData[[#This Row],[Status]]="Exited",_xlfn.DAYS(EmployeeData[[#This Row],[Exit Date]],EmployeeData[[#This Row],[Join Date]]))</f>
        <v>943</v>
      </c>
      <c r="L188" cm="1">
        <f t="array" aca="1" ref="L188" ca="1">_xlfn.IFS(EmployeeData[[#This Row],[Status]]="Exited",DATEDIF(EmployeeData[[#This Row],[Join Date]], EmployeeData[[#This Row],[Exit Date]], "Y"),EmployeeData[[#This Row],[Status]]="Active",DATEDIF(EmployeeData[[#This Row],[Join Date]], TODAY(), "Y"))</f>
        <v>2</v>
      </c>
      <c r="Q188" t="str" cm="1">
        <f t="array" aca="1" ref="Q1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0 days</v>
      </c>
    </row>
    <row r="189" spans="1:17" x14ac:dyDescent="0.3">
      <c r="A189">
        <v>1188</v>
      </c>
      <c r="B189" t="s">
        <v>1036</v>
      </c>
      <c r="C189" t="s">
        <v>20</v>
      </c>
      <c r="D189" t="s">
        <v>24</v>
      </c>
      <c r="E189">
        <v>54</v>
      </c>
      <c r="F189" t="str" cm="1">
        <f t="array" ref="F189">_xlfn.IFS(EmployeeData[[#This Row],[Age]]&lt;30,"20s",EmployeeData[[#This Row],[Age]]&lt;40,"30s",EmployeeData[[#This Row],[Age]]&lt;50,"40s",EmployeeData[[#This Row],[Age]]&lt;60,"50s",EmployeeData[[#This Row],[Age]]&gt;=60,"60s")</f>
        <v>50s</v>
      </c>
      <c r="G189" s="5">
        <v>44512</v>
      </c>
      <c r="H189" s="5">
        <v>45731</v>
      </c>
      <c r="I189" t="s">
        <v>28</v>
      </c>
      <c r="J189" t="s">
        <v>13</v>
      </c>
      <c r="K189" cm="1">
        <f t="array" aca="1" ref="K189" ca="1">_xlfn.IFS(EmployeeData[[#This Row],[Status]]="Active",_xlfn.DAYS(TODAY(),EmployeeData[[#This Row],[Join Date]]),EmployeeData[[#This Row],[Status]]="Exited",_xlfn.DAYS(EmployeeData[[#This Row],[Exit Date]],EmployeeData[[#This Row],[Join Date]]))</f>
        <v>1219</v>
      </c>
      <c r="L189" cm="1">
        <f t="array" aca="1" ref="L189" ca="1">_xlfn.IFS(EmployeeData[[#This Row],[Status]]="Exited",DATEDIF(EmployeeData[[#This Row],[Join Date]], EmployeeData[[#This Row],[Exit Date]], "Y"),EmployeeData[[#This Row],[Status]]="Active",DATEDIF(EmployeeData[[#This Row],[Join Date]], TODAY(), "Y"))</f>
        <v>3</v>
      </c>
      <c r="Q189" t="str" cm="1">
        <f t="array" aca="1" ref="Q1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3 days</v>
      </c>
    </row>
    <row r="190" spans="1:17" x14ac:dyDescent="0.3">
      <c r="A190">
        <v>1189</v>
      </c>
      <c r="B190" t="s">
        <v>156</v>
      </c>
      <c r="C190" t="s">
        <v>33</v>
      </c>
      <c r="D190" t="s">
        <v>24</v>
      </c>
      <c r="E190">
        <v>40</v>
      </c>
      <c r="F190" t="str" cm="1">
        <f t="array" ref="F190">_xlfn.IFS(EmployeeData[[#This Row],[Age]]&lt;30,"20s",EmployeeData[[#This Row],[Age]]&lt;40,"30s",EmployeeData[[#This Row],[Age]]&lt;50,"40s",EmployeeData[[#This Row],[Age]]&lt;60,"50s",EmployeeData[[#This Row],[Age]]&gt;=60,"60s")</f>
        <v>40s</v>
      </c>
      <c r="G190" s="5">
        <v>43775</v>
      </c>
      <c r="H190" s="5">
        <v>44788</v>
      </c>
      <c r="I190" t="s">
        <v>12</v>
      </c>
      <c r="J190" t="s">
        <v>13</v>
      </c>
      <c r="K190" cm="1">
        <f t="array" aca="1" ref="K190" ca="1">_xlfn.IFS(EmployeeData[[#This Row],[Status]]="Active",_xlfn.DAYS(TODAY(),EmployeeData[[#This Row],[Join Date]]),EmployeeData[[#This Row],[Status]]="Exited",_xlfn.DAYS(EmployeeData[[#This Row],[Exit Date]],EmployeeData[[#This Row],[Join Date]]))</f>
        <v>1013</v>
      </c>
      <c r="L190" cm="1">
        <f t="array" aca="1" ref="L190" ca="1">_xlfn.IFS(EmployeeData[[#This Row],[Status]]="Exited",DATEDIF(EmployeeData[[#This Row],[Join Date]], EmployeeData[[#This Row],[Exit Date]], "Y"),EmployeeData[[#This Row],[Status]]="Active",DATEDIF(EmployeeData[[#This Row],[Join Date]], TODAY(), "Y"))</f>
        <v>2</v>
      </c>
      <c r="Q190" t="str" cm="1">
        <f t="array" aca="1" ref="Q1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9 days</v>
      </c>
    </row>
    <row r="191" spans="1:17" x14ac:dyDescent="0.3">
      <c r="A191">
        <v>1190</v>
      </c>
      <c r="B191" t="s">
        <v>1012</v>
      </c>
      <c r="C191" t="s">
        <v>10</v>
      </c>
      <c r="D191" t="s">
        <v>24</v>
      </c>
      <c r="E191">
        <v>56</v>
      </c>
      <c r="F191" t="str" cm="1">
        <f t="array" ref="F191">_xlfn.IFS(EmployeeData[[#This Row],[Age]]&lt;30,"20s",EmployeeData[[#This Row],[Age]]&lt;40,"30s",EmployeeData[[#This Row],[Age]]&lt;50,"40s",EmployeeData[[#This Row],[Age]]&lt;60,"50s",EmployeeData[[#This Row],[Age]]&gt;=60,"60s")</f>
        <v>50s</v>
      </c>
      <c r="G191" s="5">
        <v>44225</v>
      </c>
      <c r="H191" s="5">
        <v>44935</v>
      </c>
      <c r="I191" t="s">
        <v>28</v>
      </c>
      <c r="J191" t="s">
        <v>13</v>
      </c>
      <c r="K191" cm="1">
        <f t="array" aca="1" ref="K191" ca="1">_xlfn.IFS(EmployeeData[[#This Row],[Status]]="Active",_xlfn.DAYS(TODAY(),EmployeeData[[#This Row],[Join Date]]),EmployeeData[[#This Row],[Status]]="Exited",_xlfn.DAYS(EmployeeData[[#This Row],[Exit Date]],EmployeeData[[#This Row],[Join Date]]))</f>
        <v>710</v>
      </c>
      <c r="L191" cm="1">
        <f t="array" aca="1" ref="L191" ca="1">_xlfn.IFS(EmployeeData[[#This Row],[Status]]="Exited",DATEDIF(EmployeeData[[#This Row],[Join Date]], EmployeeData[[#This Row],[Exit Date]], "Y"),EmployeeData[[#This Row],[Status]]="Active",DATEDIF(EmployeeData[[#This Row],[Join Date]], TODAY(), "Y"))</f>
        <v>1</v>
      </c>
      <c r="Q191" t="str" cm="1">
        <f t="array" aca="1" ref="Q1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11 days</v>
      </c>
    </row>
    <row r="192" spans="1:17" x14ac:dyDescent="0.3">
      <c r="A192">
        <v>1191</v>
      </c>
      <c r="B192" t="s">
        <v>679</v>
      </c>
      <c r="C192" t="s">
        <v>23</v>
      </c>
      <c r="D192" t="s">
        <v>24</v>
      </c>
      <c r="E192">
        <v>31</v>
      </c>
      <c r="F192" t="str" cm="1">
        <f t="array" ref="F192">_xlfn.IFS(EmployeeData[[#This Row],[Age]]&lt;30,"20s",EmployeeData[[#This Row],[Age]]&lt;40,"30s",EmployeeData[[#This Row],[Age]]&lt;50,"40s",EmployeeData[[#This Row],[Age]]&lt;60,"50s",EmployeeData[[#This Row],[Age]]&gt;=60,"60s")</f>
        <v>30s</v>
      </c>
      <c r="G192" s="5">
        <v>45799</v>
      </c>
      <c r="I192" t="s">
        <v>17</v>
      </c>
      <c r="J192" t="s">
        <v>18</v>
      </c>
      <c r="K192" cm="1">
        <f t="array" aca="1" ref="K192" ca="1">_xlfn.IFS(EmployeeData[[#This Row],[Status]]="Active",_xlfn.DAYS(TODAY(),EmployeeData[[#This Row],[Join Date]]),EmployeeData[[#This Row],[Status]]="Exited",_xlfn.DAYS(EmployeeData[[#This Row],[Exit Date]],EmployeeData[[#This Row],[Join Date]]))</f>
        <v>398</v>
      </c>
      <c r="L192" cm="1">
        <f t="array" aca="1" ref="L192" ca="1">_xlfn.IFS(EmployeeData[[#This Row],[Status]]="Exited",DATEDIF(EmployeeData[[#This Row],[Join Date]], EmployeeData[[#This Row],[Exit Date]], "Y"),EmployeeData[[#This Row],[Status]]="Active",DATEDIF(EmployeeData[[#This Row],[Join Date]], TODAY(), "Y"))</f>
        <v>1</v>
      </c>
      <c r="Q192" t="str" cm="1">
        <f t="array" aca="1" ref="Q1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 days</v>
      </c>
    </row>
    <row r="193" spans="1:17" x14ac:dyDescent="0.3">
      <c r="A193">
        <v>1192</v>
      </c>
      <c r="B193" t="s">
        <v>309</v>
      </c>
      <c r="C193" t="s">
        <v>23</v>
      </c>
      <c r="D193" t="s">
        <v>11</v>
      </c>
      <c r="E193">
        <v>22</v>
      </c>
      <c r="F193" t="str" cm="1">
        <f t="array" ref="F193">_xlfn.IFS(EmployeeData[[#This Row],[Age]]&lt;30,"20s",EmployeeData[[#This Row],[Age]]&lt;40,"30s",EmployeeData[[#This Row],[Age]]&lt;50,"40s",EmployeeData[[#This Row],[Age]]&lt;60,"50s",EmployeeData[[#This Row],[Age]]&gt;=60,"60s")</f>
        <v>20s</v>
      </c>
      <c r="G193" s="5">
        <v>43433</v>
      </c>
      <c r="H193" s="5">
        <v>44607</v>
      </c>
      <c r="I193" t="s">
        <v>28</v>
      </c>
      <c r="J193" t="s">
        <v>13</v>
      </c>
      <c r="K193" cm="1">
        <f t="array" aca="1" ref="K193" ca="1">_xlfn.IFS(EmployeeData[[#This Row],[Status]]="Active",_xlfn.DAYS(TODAY(),EmployeeData[[#This Row],[Join Date]]),EmployeeData[[#This Row],[Status]]="Exited",_xlfn.DAYS(EmployeeData[[#This Row],[Exit Date]],EmployeeData[[#This Row],[Join Date]]))</f>
        <v>1174</v>
      </c>
      <c r="L193" cm="1">
        <f t="array" aca="1" ref="L193" ca="1">_xlfn.IFS(EmployeeData[[#This Row],[Status]]="Exited",DATEDIF(EmployeeData[[#This Row],[Join Date]], EmployeeData[[#This Row],[Exit Date]], "Y"),EmployeeData[[#This Row],[Status]]="Active",DATEDIF(EmployeeData[[#This Row],[Join Date]], TODAY(), "Y"))</f>
        <v>3</v>
      </c>
      <c r="Q193" t="str" cm="1">
        <f t="array" aca="1" ref="Q1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17 days</v>
      </c>
    </row>
    <row r="194" spans="1:17" x14ac:dyDescent="0.3">
      <c r="A194">
        <v>1193</v>
      </c>
      <c r="B194" t="s">
        <v>1090</v>
      </c>
      <c r="C194" t="s">
        <v>15</v>
      </c>
      <c r="D194" t="s">
        <v>11</v>
      </c>
      <c r="E194">
        <v>55</v>
      </c>
      <c r="F194" t="str" cm="1">
        <f t="array" ref="F194">_xlfn.IFS(EmployeeData[[#This Row],[Age]]&lt;30,"20s",EmployeeData[[#This Row],[Age]]&lt;40,"30s",EmployeeData[[#This Row],[Age]]&lt;50,"40s",EmployeeData[[#This Row],[Age]]&lt;60,"50s",EmployeeData[[#This Row],[Age]]&gt;=60,"60s")</f>
        <v>50s</v>
      </c>
      <c r="G194" s="5">
        <v>44287</v>
      </c>
      <c r="I194" t="s">
        <v>17</v>
      </c>
      <c r="J194" t="s">
        <v>18</v>
      </c>
      <c r="K194" cm="1">
        <f t="array" aca="1" ref="K194" ca="1">_xlfn.IFS(EmployeeData[[#This Row],[Status]]="Active",_xlfn.DAYS(TODAY(),EmployeeData[[#This Row],[Join Date]]),EmployeeData[[#This Row],[Status]]="Exited",_xlfn.DAYS(EmployeeData[[#This Row],[Exit Date]],EmployeeData[[#This Row],[Join Date]]))</f>
        <v>1910</v>
      </c>
      <c r="L194" cm="1">
        <f t="array" aca="1" ref="L194" ca="1">_xlfn.IFS(EmployeeData[[#This Row],[Status]]="Exited",DATEDIF(EmployeeData[[#This Row],[Join Date]], EmployeeData[[#This Row],[Exit Date]], "Y"),EmployeeData[[#This Row],[Status]]="Active",DATEDIF(EmployeeData[[#This Row],[Join Date]], TODAY(), "Y"))</f>
        <v>5</v>
      </c>
      <c r="Q194" t="str" cm="1">
        <f t="array" aca="1" ref="Q1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23 days</v>
      </c>
    </row>
    <row r="195" spans="1:17" x14ac:dyDescent="0.3">
      <c r="A195">
        <v>1194</v>
      </c>
      <c r="B195" t="s">
        <v>898</v>
      </c>
      <c r="C195" t="s">
        <v>10</v>
      </c>
      <c r="D195" t="s">
        <v>16</v>
      </c>
      <c r="E195">
        <v>24</v>
      </c>
      <c r="F195" t="str" cm="1">
        <f t="array" ref="F195">_xlfn.IFS(EmployeeData[[#This Row],[Age]]&lt;30,"20s",EmployeeData[[#This Row],[Age]]&lt;40,"30s",EmployeeData[[#This Row],[Age]]&lt;50,"40s",EmployeeData[[#This Row],[Age]]&lt;60,"50s",EmployeeData[[#This Row],[Age]]&gt;=60,"60s")</f>
        <v>20s</v>
      </c>
      <c r="G195" s="5">
        <v>43748</v>
      </c>
      <c r="I195" t="s">
        <v>17</v>
      </c>
      <c r="J195" t="s">
        <v>18</v>
      </c>
      <c r="K195" cm="1">
        <f t="array" aca="1" ref="K195" ca="1">_xlfn.IFS(EmployeeData[[#This Row],[Status]]="Active",_xlfn.DAYS(TODAY(),EmployeeData[[#This Row],[Join Date]]),EmployeeData[[#This Row],[Status]]="Exited",_xlfn.DAYS(EmployeeData[[#This Row],[Exit Date]],EmployeeData[[#This Row],[Join Date]]))</f>
        <v>2449</v>
      </c>
      <c r="L195" cm="1">
        <f t="array" aca="1" ref="L195" ca="1">_xlfn.IFS(EmployeeData[[#This Row],[Status]]="Exited",DATEDIF(EmployeeData[[#This Row],[Join Date]], EmployeeData[[#This Row],[Exit Date]], "Y"),EmployeeData[[#This Row],[Status]]="Active",DATEDIF(EmployeeData[[#This Row],[Join Date]], TODAY(), "Y"))</f>
        <v>6</v>
      </c>
      <c r="Q195" t="str" cm="1">
        <f t="array" aca="1" ref="Q1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14 days</v>
      </c>
    </row>
    <row r="196" spans="1:17" x14ac:dyDescent="0.3">
      <c r="A196">
        <v>1195</v>
      </c>
      <c r="B196" t="s">
        <v>667</v>
      </c>
      <c r="C196" t="s">
        <v>10</v>
      </c>
      <c r="D196" t="s">
        <v>11</v>
      </c>
      <c r="E196">
        <v>43</v>
      </c>
      <c r="F196" t="str" cm="1">
        <f t="array" ref="F196">_xlfn.IFS(EmployeeData[[#This Row],[Age]]&lt;30,"20s",EmployeeData[[#This Row],[Age]]&lt;40,"30s",EmployeeData[[#This Row],[Age]]&lt;50,"40s",EmployeeData[[#This Row],[Age]]&lt;60,"50s",EmployeeData[[#This Row],[Age]]&gt;=60,"60s")</f>
        <v>40s</v>
      </c>
      <c r="G196" s="5">
        <v>44734</v>
      </c>
      <c r="H196" s="5">
        <v>45582</v>
      </c>
      <c r="I196" t="s">
        <v>65</v>
      </c>
      <c r="J196" t="s">
        <v>13</v>
      </c>
      <c r="K196" cm="1">
        <f t="array" aca="1" ref="K196" ca="1">_xlfn.IFS(EmployeeData[[#This Row],[Status]]="Active",_xlfn.DAYS(TODAY(),EmployeeData[[#This Row],[Join Date]]),EmployeeData[[#This Row],[Status]]="Exited",_xlfn.DAYS(EmployeeData[[#This Row],[Exit Date]],EmployeeData[[#This Row],[Join Date]]))</f>
        <v>848</v>
      </c>
      <c r="L196" cm="1">
        <f t="array" aca="1" ref="L196" ca="1">_xlfn.IFS(EmployeeData[[#This Row],[Status]]="Exited",DATEDIF(EmployeeData[[#This Row],[Join Date]], EmployeeData[[#This Row],[Exit Date]], "Y"),EmployeeData[[#This Row],[Status]]="Active",DATEDIF(EmployeeData[[#This Row],[Join Date]], TODAY(), "Y"))</f>
        <v>2</v>
      </c>
      <c r="Q196" t="str" cm="1">
        <f t="array" aca="1" ref="Q1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25 days</v>
      </c>
    </row>
    <row r="197" spans="1:17" x14ac:dyDescent="0.3">
      <c r="A197">
        <v>1196</v>
      </c>
      <c r="B197" t="s">
        <v>617</v>
      </c>
      <c r="C197" t="s">
        <v>10</v>
      </c>
      <c r="D197" t="s">
        <v>16</v>
      </c>
      <c r="E197">
        <v>27</v>
      </c>
      <c r="F197" t="str" cm="1">
        <f t="array" ref="F197">_xlfn.IFS(EmployeeData[[#This Row],[Age]]&lt;30,"20s",EmployeeData[[#This Row],[Age]]&lt;40,"30s",EmployeeData[[#This Row],[Age]]&lt;50,"40s",EmployeeData[[#This Row],[Age]]&lt;60,"50s",EmployeeData[[#This Row],[Age]]&gt;=60,"60s")</f>
        <v>20s</v>
      </c>
      <c r="G197" s="5">
        <v>43308</v>
      </c>
      <c r="H197" s="5">
        <v>44971</v>
      </c>
      <c r="I197" t="s">
        <v>52</v>
      </c>
      <c r="J197" t="s">
        <v>13</v>
      </c>
      <c r="K197" cm="1">
        <f t="array" aca="1" ref="K197" ca="1">_xlfn.IFS(EmployeeData[[#This Row],[Status]]="Active",_xlfn.DAYS(TODAY(),EmployeeData[[#This Row],[Join Date]]),EmployeeData[[#This Row],[Status]]="Exited",_xlfn.DAYS(EmployeeData[[#This Row],[Exit Date]],EmployeeData[[#This Row],[Join Date]]))</f>
        <v>1663</v>
      </c>
      <c r="L197" cm="1">
        <f t="array" aca="1" ref="L197" ca="1">_xlfn.IFS(EmployeeData[[#This Row],[Status]]="Exited",DATEDIF(EmployeeData[[#This Row],[Join Date]], EmployeeData[[#This Row],[Exit Date]], "Y"),EmployeeData[[#This Row],[Status]]="Active",DATEDIF(EmployeeData[[#This Row],[Join Date]], TODAY(), "Y"))</f>
        <v>4</v>
      </c>
      <c r="Q197" t="str" cm="1">
        <f t="array" aca="1" ref="Q1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18 days</v>
      </c>
    </row>
    <row r="198" spans="1:17" x14ac:dyDescent="0.3">
      <c r="A198">
        <v>1197</v>
      </c>
      <c r="B198" t="s">
        <v>930</v>
      </c>
      <c r="C198" t="s">
        <v>46</v>
      </c>
      <c r="D198" t="s">
        <v>11</v>
      </c>
      <c r="E198">
        <v>57</v>
      </c>
      <c r="F198" t="str" cm="1">
        <f t="array" ref="F198">_xlfn.IFS(EmployeeData[[#This Row],[Age]]&lt;30,"20s",EmployeeData[[#This Row],[Age]]&lt;40,"30s",EmployeeData[[#This Row],[Age]]&lt;50,"40s",EmployeeData[[#This Row],[Age]]&lt;60,"50s",EmployeeData[[#This Row],[Age]]&gt;=60,"60s")</f>
        <v>50s</v>
      </c>
      <c r="G198" s="5">
        <v>44381</v>
      </c>
      <c r="H198" s="5">
        <v>44797</v>
      </c>
      <c r="I198" t="s">
        <v>65</v>
      </c>
      <c r="J198" t="s">
        <v>13</v>
      </c>
      <c r="K198" cm="1">
        <f t="array" aca="1" ref="K198" ca="1">_xlfn.IFS(EmployeeData[[#This Row],[Status]]="Active",_xlfn.DAYS(TODAY(),EmployeeData[[#This Row],[Join Date]]),EmployeeData[[#This Row],[Status]]="Exited",_xlfn.DAYS(EmployeeData[[#This Row],[Exit Date]],EmployeeData[[#This Row],[Join Date]]))</f>
        <v>416</v>
      </c>
      <c r="L198" cm="1">
        <f t="array" aca="1" ref="L198" ca="1">_xlfn.IFS(EmployeeData[[#This Row],[Status]]="Exited",DATEDIF(EmployeeData[[#This Row],[Join Date]], EmployeeData[[#This Row],[Exit Date]], "Y"),EmployeeData[[#This Row],[Status]]="Active",DATEDIF(EmployeeData[[#This Row],[Join Date]], TODAY(), "Y"))</f>
        <v>1</v>
      </c>
      <c r="Q198" t="str" cm="1">
        <f t="array" aca="1" ref="Q1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20 days</v>
      </c>
    </row>
    <row r="199" spans="1:17" x14ac:dyDescent="0.3">
      <c r="A199">
        <v>1198</v>
      </c>
      <c r="B199" t="s">
        <v>461</v>
      </c>
      <c r="C199" t="s">
        <v>23</v>
      </c>
      <c r="D199" t="s">
        <v>16</v>
      </c>
      <c r="E199">
        <v>46</v>
      </c>
      <c r="F199" t="str" cm="1">
        <f t="array" ref="F199">_xlfn.IFS(EmployeeData[[#This Row],[Age]]&lt;30,"20s",EmployeeData[[#This Row],[Age]]&lt;40,"30s",EmployeeData[[#This Row],[Age]]&lt;50,"40s",EmployeeData[[#This Row],[Age]]&lt;60,"50s",EmployeeData[[#This Row],[Age]]&gt;=60,"60s")</f>
        <v>40s</v>
      </c>
      <c r="G199" s="5">
        <v>45171</v>
      </c>
      <c r="I199" t="s">
        <v>17</v>
      </c>
      <c r="J199" t="s">
        <v>18</v>
      </c>
      <c r="K199" cm="1">
        <f t="array" aca="1" ref="K199" ca="1">_xlfn.IFS(EmployeeData[[#This Row],[Status]]="Active",_xlfn.DAYS(TODAY(),EmployeeData[[#This Row],[Join Date]]),EmployeeData[[#This Row],[Status]]="Exited",_xlfn.DAYS(EmployeeData[[#This Row],[Exit Date]],EmployeeData[[#This Row],[Join Date]]))</f>
        <v>1026</v>
      </c>
      <c r="L199" cm="1">
        <f t="array" aca="1" ref="L199" ca="1">_xlfn.IFS(EmployeeData[[#This Row],[Status]]="Exited",DATEDIF(EmployeeData[[#This Row],[Join Date]], EmployeeData[[#This Row],[Exit Date]], "Y"),EmployeeData[[#This Row],[Status]]="Active",DATEDIF(EmployeeData[[#This Row],[Join Date]], TODAY(), "Y"))</f>
        <v>2</v>
      </c>
      <c r="Q199" t="str" cm="1">
        <f t="array" aca="1" ref="Q1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22 days</v>
      </c>
    </row>
    <row r="200" spans="1:17" x14ac:dyDescent="0.3">
      <c r="A200">
        <v>1199</v>
      </c>
      <c r="B200" t="s">
        <v>936</v>
      </c>
      <c r="C200" t="s">
        <v>15</v>
      </c>
      <c r="D200" t="s">
        <v>24</v>
      </c>
      <c r="E200">
        <v>51</v>
      </c>
      <c r="F200" t="str" cm="1">
        <f t="array" ref="F200">_xlfn.IFS(EmployeeData[[#This Row],[Age]]&lt;30,"20s",EmployeeData[[#This Row],[Age]]&lt;40,"30s",EmployeeData[[#This Row],[Age]]&lt;50,"40s",EmployeeData[[#This Row],[Age]]&lt;60,"50s",EmployeeData[[#This Row],[Age]]&gt;=60,"60s")</f>
        <v>50s</v>
      </c>
      <c r="G200" s="5">
        <v>44271</v>
      </c>
      <c r="I200" t="s">
        <v>17</v>
      </c>
      <c r="J200" t="s">
        <v>18</v>
      </c>
      <c r="K200" cm="1">
        <f t="array" aca="1" ref="K200" ca="1">_xlfn.IFS(EmployeeData[[#This Row],[Status]]="Active",_xlfn.DAYS(TODAY(),EmployeeData[[#This Row],[Join Date]]),EmployeeData[[#This Row],[Status]]="Exited",_xlfn.DAYS(EmployeeData[[#This Row],[Exit Date]],EmployeeData[[#This Row],[Join Date]]))</f>
        <v>1926</v>
      </c>
      <c r="L200" cm="1">
        <f t="array" aca="1" ref="L200" ca="1">_xlfn.IFS(EmployeeData[[#This Row],[Status]]="Exited",DATEDIF(EmployeeData[[#This Row],[Join Date]], EmployeeData[[#This Row],[Exit Date]], "Y"),EmployeeData[[#This Row],[Status]]="Active",DATEDIF(EmployeeData[[#This Row],[Join Date]], TODAY(), "Y"))</f>
        <v>5</v>
      </c>
      <c r="Q200" t="str" cm="1">
        <f t="array" aca="1" ref="Q2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8 days</v>
      </c>
    </row>
    <row r="201" spans="1:17" x14ac:dyDescent="0.3">
      <c r="A201">
        <v>1200</v>
      </c>
      <c r="B201" t="s">
        <v>401</v>
      </c>
      <c r="C201" t="s">
        <v>20</v>
      </c>
      <c r="D201" t="s">
        <v>11</v>
      </c>
      <c r="E201">
        <v>44</v>
      </c>
      <c r="F201" t="str" cm="1">
        <f t="array" ref="F201">_xlfn.IFS(EmployeeData[[#This Row],[Age]]&lt;30,"20s",EmployeeData[[#This Row],[Age]]&lt;40,"30s",EmployeeData[[#This Row],[Age]]&lt;50,"40s",EmployeeData[[#This Row],[Age]]&lt;60,"50s",EmployeeData[[#This Row],[Age]]&gt;=60,"60s")</f>
        <v>40s</v>
      </c>
      <c r="G201" s="5">
        <v>43286</v>
      </c>
      <c r="I201" t="s">
        <v>17</v>
      </c>
      <c r="J201" t="s">
        <v>18</v>
      </c>
      <c r="K201" cm="1">
        <f t="array" aca="1" ref="K201" ca="1">_xlfn.IFS(EmployeeData[[#This Row],[Status]]="Active",_xlfn.DAYS(TODAY(),EmployeeData[[#This Row],[Join Date]]),EmployeeData[[#This Row],[Status]]="Exited",_xlfn.DAYS(EmployeeData[[#This Row],[Exit Date]],EmployeeData[[#This Row],[Join Date]]))</f>
        <v>2911</v>
      </c>
      <c r="L201" cm="1">
        <f t="array" aca="1" ref="L201" ca="1">_xlfn.IFS(EmployeeData[[#This Row],[Status]]="Exited",DATEDIF(EmployeeData[[#This Row],[Join Date]], EmployeeData[[#This Row],[Exit Date]], "Y"),EmployeeData[[#This Row],[Status]]="Active",DATEDIF(EmployeeData[[#This Row],[Join Date]], TODAY(), "Y"))</f>
        <v>7</v>
      </c>
      <c r="Q201" t="str" cm="1">
        <f t="array" aca="1" ref="Q2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19 days</v>
      </c>
    </row>
    <row r="202" spans="1:17" x14ac:dyDescent="0.3">
      <c r="A202">
        <v>1201</v>
      </c>
      <c r="B202" t="s">
        <v>730</v>
      </c>
      <c r="C202" t="s">
        <v>15</v>
      </c>
      <c r="D202" t="s">
        <v>24</v>
      </c>
      <c r="E202">
        <v>56</v>
      </c>
      <c r="F202" t="str" cm="1">
        <f t="array" ref="F202">_xlfn.IFS(EmployeeData[[#This Row],[Age]]&lt;30,"20s",EmployeeData[[#This Row],[Age]]&lt;40,"30s",EmployeeData[[#This Row],[Age]]&lt;50,"40s",EmployeeData[[#This Row],[Age]]&lt;60,"50s",EmployeeData[[#This Row],[Age]]&gt;=60,"60s")</f>
        <v>50s</v>
      </c>
      <c r="G202" s="5">
        <v>44246</v>
      </c>
      <c r="I202" t="s">
        <v>17</v>
      </c>
      <c r="J202" t="s">
        <v>18</v>
      </c>
      <c r="K202" cm="1">
        <f t="array" aca="1" ref="K202" ca="1">_xlfn.IFS(EmployeeData[[#This Row],[Status]]="Active",_xlfn.DAYS(TODAY(),EmployeeData[[#This Row],[Join Date]]),EmployeeData[[#This Row],[Status]]="Exited",_xlfn.DAYS(EmployeeData[[#This Row],[Exit Date]],EmployeeData[[#This Row],[Join Date]]))</f>
        <v>1951</v>
      </c>
      <c r="L202" cm="1">
        <f t="array" aca="1" ref="L202" ca="1">_xlfn.IFS(EmployeeData[[#This Row],[Status]]="Exited",DATEDIF(EmployeeData[[#This Row],[Join Date]], EmployeeData[[#This Row],[Exit Date]], "Y"),EmployeeData[[#This Row],[Status]]="Active",DATEDIF(EmployeeData[[#This Row],[Join Date]], TODAY(), "Y"))</f>
        <v>5</v>
      </c>
      <c r="Q202" t="str" cm="1">
        <f t="array" aca="1" ref="Q2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5 days</v>
      </c>
    </row>
    <row r="203" spans="1:17" x14ac:dyDescent="0.3">
      <c r="A203">
        <v>1202</v>
      </c>
      <c r="B203" t="s">
        <v>894</v>
      </c>
      <c r="C203" t="s">
        <v>10</v>
      </c>
      <c r="D203" t="s">
        <v>11</v>
      </c>
      <c r="E203">
        <v>42</v>
      </c>
      <c r="F203" t="str" cm="1">
        <f t="array" ref="F203">_xlfn.IFS(EmployeeData[[#This Row],[Age]]&lt;30,"20s",EmployeeData[[#This Row],[Age]]&lt;40,"30s",EmployeeData[[#This Row],[Age]]&lt;50,"40s",EmployeeData[[#This Row],[Age]]&lt;60,"50s",EmployeeData[[#This Row],[Age]]&gt;=60,"60s")</f>
        <v>40s</v>
      </c>
      <c r="G203" s="5">
        <v>45385</v>
      </c>
      <c r="I203" t="s">
        <v>17</v>
      </c>
      <c r="J203" t="s">
        <v>18</v>
      </c>
      <c r="K203" cm="1">
        <f t="array" aca="1" ref="K203" ca="1">_xlfn.IFS(EmployeeData[[#This Row],[Status]]="Active",_xlfn.DAYS(TODAY(),EmployeeData[[#This Row],[Join Date]]),EmployeeData[[#This Row],[Status]]="Exited",_xlfn.DAYS(EmployeeData[[#This Row],[Exit Date]],EmployeeData[[#This Row],[Join Date]]))</f>
        <v>812</v>
      </c>
      <c r="L203" cm="1">
        <f t="array" aca="1" ref="L203" ca="1">_xlfn.IFS(EmployeeData[[#This Row],[Status]]="Exited",DATEDIF(EmployeeData[[#This Row],[Join Date]], EmployeeData[[#This Row],[Exit Date]], "Y"),EmployeeData[[#This Row],[Status]]="Active",DATEDIF(EmployeeData[[#This Row],[Join Date]], TODAY(), "Y"))</f>
        <v>2</v>
      </c>
      <c r="Q203" t="str" cm="1">
        <f t="array" aca="1" ref="Q2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21 days</v>
      </c>
    </row>
    <row r="204" spans="1:17" x14ac:dyDescent="0.3">
      <c r="A204">
        <v>1203</v>
      </c>
      <c r="B204" t="s">
        <v>655</v>
      </c>
      <c r="C204" t="s">
        <v>10</v>
      </c>
      <c r="D204" t="s">
        <v>16</v>
      </c>
      <c r="E204">
        <v>23</v>
      </c>
      <c r="F204" t="str" cm="1">
        <f t="array" ref="F204">_xlfn.IFS(EmployeeData[[#This Row],[Age]]&lt;30,"20s",EmployeeData[[#This Row],[Age]]&lt;40,"30s",EmployeeData[[#This Row],[Age]]&lt;50,"40s",EmployeeData[[#This Row],[Age]]&lt;60,"50s",EmployeeData[[#This Row],[Age]]&gt;=60,"60s")</f>
        <v>20s</v>
      </c>
      <c r="G204" s="5">
        <v>43662</v>
      </c>
      <c r="I204" t="s">
        <v>17</v>
      </c>
      <c r="J204" t="s">
        <v>18</v>
      </c>
      <c r="K204" cm="1">
        <f t="array" aca="1" ref="K204" ca="1">_xlfn.IFS(EmployeeData[[#This Row],[Status]]="Active",_xlfn.DAYS(TODAY(),EmployeeData[[#This Row],[Join Date]]),EmployeeData[[#This Row],[Status]]="Exited",_xlfn.DAYS(EmployeeData[[#This Row],[Exit Date]],EmployeeData[[#This Row],[Join Date]]))</f>
        <v>2535</v>
      </c>
      <c r="L204" cm="1">
        <f t="array" aca="1" ref="L204" ca="1">_xlfn.IFS(EmployeeData[[#This Row],[Status]]="Exited",DATEDIF(EmployeeData[[#This Row],[Join Date]], EmployeeData[[#This Row],[Exit Date]], "Y"),EmployeeData[[#This Row],[Status]]="Active",DATEDIF(EmployeeData[[#This Row],[Join Date]], TODAY(), "Y"))</f>
        <v>6</v>
      </c>
      <c r="Q204" t="str" cm="1">
        <f t="array" aca="1" ref="Q2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8 days</v>
      </c>
    </row>
    <row r="205" spans="1:17" x14ac:dyDescent="0.3">
      <c r="A205">
        <v>1204</v>
      </c>
      <c r="B205" t="s">
        <v>255</v>
      </c>
      <c r="C205" t="s">
        <v>10</v>
      </c>
      <c r="D205" t="s">
        <v>24</v>
      </c>
      <c r="E205">
        <v>31</v>
      </c>
      <c r="F205" t="str" cm="1">
        <f t="array" ref="F205">_xlfn.IFS(EmployeeData[[#This Row],[Age]]&lt;30,"20s",EmployeeData[[#This Row],[Age]]&lt;40,"30s",EmployeeData[[#This Row],[Age]]&lt;50,"40s",EmployeeData[[#This Row],[Age]]&lt;60,"50s",EmployeeData[[#This Row],[Age]]&gt;=60,"60s")</f>
        <v>30s</v>
      </c>
      <c r="G205" s="5">
        <v>44710</v>
      </c>
      <c r="I205" t="s">
        <v>17</v>
      </c>
      <c r="J205" t="s">
        <v>18</v>
      </c>
      <c r="K205" cm="1">
        <f t="array" aca="1" ref="K205" ca="1">_xlfn.IFS(EmployeeData[[#This Row],[Status]]="Active",_xlfn.DAYS(TODAY(),EmployeeData[[#This Row],[Join Date]]),EmployeeData[[#This Row],[Status]]="Exited",_xlfn.DAYS(EmployeeData[[#This Row],[Exit Date]],EmployeeData[[#This Row],[Join Date]]))</f>
        <v>1487</v>
      </c>
      <c r="L205" cm="1">
        <f t="array" aca="1" ref="L205" ca="1">_xlfn.IFS(EmployeeData[[#This Row],[Status]]="Exited",DATEDIF(EmployeeData[[#This Row],[Join Date]], EmployeeData[[#This Row],[Exit Date]], "Y"),EmployeeData[[#This Row],[Status]]="Active",DATEDIF(EmployeeData[[#This Row],[Join Date]], TODAY(), "Y"))</f>
        <v>4</v>
      </c>
      <c r="Q205" t="str" cm="1">
        <f t="array" aca="1" ref="Q2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26 days</v>
      </c>
    </row>
    <row r="206" spans="1:17" x14ac:dyDescent="0.3">
      <c r="A206">
        <v>1205</v>
      </c>
      <c r="B206" t="s">
        <v>543</v>
      </c>
      <c r="C206" t="s">
        <v>20</v>
      </c>
      <c r="D206" t="s">
        <v>16</v>
      </c>
      <c r="E206">
        <v>22</v>
      </c>
      <c r="F206" t="str" cm="1">
        <f t="array" ref="F206">_xlfn.IFS(EmployeeData[[#This Row],[Age]]&lt;30,"20s",EmployeeData[[#This Row],[Age]]&lt;40,"30s",EmployeeData[[#This Row],[Age]]&lt;50,"40s",EmployeeData[[#This Row],[Age]]&lt;60,"50s",EmployeeData[[#This Row],[Age]]&gt;=60,"60s")</f>
        <v>20s</v>
      </c>
      <c r="G206" s="5">
        <v>44609</v>
      </c>
      <c r="H206" s="5">
        <v>44923</v>
      </c>
      <c r="I206" t="s">
        <v>21</v>
      </c>
      <c r="J206" t="s">
        <v>13</v>
      </c>
      <c r="K206" cm="1">
        <f t="array" aca="1" ref="K206" ca="1">_xlfn.IFS(EmployeeData[[#This Row],[Status]]="Active",_xlfn.DAYS(TODAY(),EmployeeData[[#This Row],[Join Date]]),EmployeeData[[#This Row],[Status]]="Exited",_xlfn.DAYS(EmployeeData[[#This Row],[Exit Date]],EmployeeData[[#This Row],[Join Date]]))</f>
        <v>314</v>
      </c>
      <c r="L206" cm="1">
        <f t="array" aca="1" ref="L206" ca="1">_xlfn.IFS(EmployeeData[[#This Row],[Status]]="Exited",DATEDIF(EmployeeData[[#This Row],[Join Date]], EmployeeData[[#This Row],[Exit Date]], "Y"),EmployeeData[[#This Row],[Status]]="Active",DATEDIF(EmployeeData[[#This Row],[Join Date]], TODAY(), "Y"))</f>
        <v>0</v>
      </c>
      <c r="Q206" t="str" cm="1">
        <f t="array" aca="1" ref="Q2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11 days</v>
      </c>
    </row>
    <row r="207" spans="1:17" x14ac:dyDescent="0.3">
      <c r="A207">
        <v>1206</v>
      </c>
      <c r="B207" t="s">
        <v>883</v>
      </c>
      <c r="C207" t="s">
        <v>23</v>
      </c>
      <c r="D207" t="s">
        <v>24</v>
      </c>
      <c r="E207">
        <v>37</v>
      </c>
      <c r="F207" t="str" cm="1">
        <f t="array" ref="F207">_xlfn.IFS(EmployeeData[[#This Row],[Age]]&lt;30,"20s",EmployeeData[[#This Row],[Age]]&lt;40,"30s",EmployeeData[[#This Row],[Age]]&lt;50,"40s",EmployeeData[[#This Row],[Age]]&lt;60,"50s",EmployeeData[[#This Row],[Age]]&gt;=60,"60s")</f>
        <v>30s</v>
      </c>
      <c r="G207" s="5">
        <v>45786</v>
      </c>
      <c r="I207" t="s">
        <v>17</v>
      </c>
      <c r="J207" t="s">
        <v>18</v>
      </c>
      <c r="K207" cm="1">
        <f t="array" aca="1" ref="K207" ca="1">_xlfn.IFS(EmployeeData[[#This Row],[Status]]="Active",_xlfn.DAYS(TODAY(),EmployeeData[[#This Row],[Join Date]]),EmployeeData[[#This Row],[Status]]="Exited",_xlfn.DAYS(EmployeeData[[#This Row],[Exit Date]],EmployeeData[[#This Row],[Join Date]]))</f>
        <v>411</v>
      </c>
      <c r="L207" cm="1">
        <f t="array" aca="1" ref="L207" ca="1">_xlfn.IFS(EmployeeData[[#This Row],[Status]]="Exited",DATEDIF(EmployeeData[[#This Row],[Join Date]], EmployeeData[[#This Row],[Exit Date]], "Y"),EmployeeData[[#This Row],[Status]]="Active",DATEDIF(EmployeeData[[#This Row],[Join Date]], TODAY(), "Y"))</f>
        <v>1</v>
      </c>
      <c r="Q207" t="str" cm="1">
        <f t="array" aca="1" ref="Q2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15 days</v>
      </c>
    </row>
    <row r="208" spans="1:17" x14ac:dyDescent="0.3">
      <c r="A208">
        <v>1207</v>
      </c>
      <c r="B208" t="s">
        <v>636</v>
      </c>
      <c r="C208" t="s">
        <v>23</v>
      </c>
      <c r="D208" t="s">
        <v>16</v>
      </c>
      <c r="E208">
        <v>45</v>
      </c>
      <c r="F208" t="str" cm="1">
        <f t="array" ref="F208">_xlfn.IFS(EmployeeData[[#This Row],[Age]]&lt;30,"20s",EmployeeData[[#This Row],[Age]]&lt;40,"30s",EmployeeData[[#This Row],[Age]]&lt;50,"40s",EmployeeData[[#This Row],[Age]]&lt;60,"50s",EmployeeData[[#This Row],[Age]]&gt;=60,"60s")</f>
        <v>40s</v>
      </c>
      <c r="G208" s="5">
        <v>43706</v>
      </c>
      <c r="I208" t="s">
        <v>17</v>
      </c>
      <c r="J208" t="s">
        <v>18</v>
      </c>
      <c r="K208" cm="1">
        <f t="array" aca="1" ref="K208" ca="1">_xlfn.IFS(EmployeeData[[#This Row],[Status]]="Active",_xlfn.DAYS(TODAY(),EmployeeData[[#This Row],[Join Date]]),EmployeeData[[#This Row],[Status]]="Exited",_xlfn.DAYS(EmployeeData[[#This Row],[Exit Date]],EmployeeData[[#This Row],[Join Date]]))</f>
        <v>2491</v>
      </c>
      <c r="L208" cm="1">
        <f t="array" aca="1" ref="L208" ca="1">_xlfn.IFS(EmployeeData[[#This Row],[Status]]="Exited",DATEDIF(EmployeeData[[#This Row],[Join Date]], EmployeeData[[#This Row],[Exit Date]], "Y"),EmployeeData[[#This Row],[Status]]="Active",DATEDIF(EmployeeData[[#This Row],[Join Date]], TODAY(), "Y"))</f>
        <v>6</v>
      </c>
      <c r="Q208" t="str" cm="1">
        <f t="array" aca="1" ref="Q2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26 days</v>
      </c>
    </row>
    <row r="209" spans="1:17" x14ac:dyDescent="0.3">
      <c r="A209">
        <v>1208</v>
      </c>
      <c r="B209" t="s">
        <v>150</v>
      </c>
      <c r="C209" t="s">
        <v>15</v>
      </c>
      <c r="D209" t="s">
        <v>24</v>
      </c>
      <c r="E209">
        <v>47</v>
      </c>
      <c r="F209" t="str" cm="1">
        <f t="array" ref="F209">_xlfn.IFS(EmployeeData[[#This Row],[Age]]&lt;30,"20s",EmployeeData[[#This Row],[Age]]&lt;40,"30s",EmployeeData[[#This Row],[Age]]&lt;50,"40s",EmployeeData[[#This Row],[Age]]&lt;60,"50s",EmployeeData[[#This Row],[Age]]&gt;=60,"60s")</f>
        <v>40s</v>
      </c>
      <c r="G209" s="5">
        <v>43721</v>
      </c>
      <c r="I209" t="s">
        <v>17</v>
      </c>
      <c r="J209" t="s">
        <v>18</v>
      </c>
      <c r="K209" cm="1">
        <f t="array" aca="1" ref="K209" ca="1">_xlfn.IFS(EmployeeData[[#This Row],[Status]]="Active",_xlfn.DAYS(TODAY(),EmployeeData[[#This Row],[Join Date]]),EmployeeData[[#This Row],[Status]]="Exited",_xlfn.DAYS(EmployeeData[[#This Row],[Exit Date]],EmployeeData[[#This Row],[Join Date]]))</f>
        <v>2476</v>
      </c>
      <c r="L209" cm="1">
        <f t="array" aca="1" ref="L209" ca="1">_xlfn.IFS(EmployeeData[[#This Row],[Status]]="Exited",DATEDIF(EmployeeData[[#This Row],[Join Date]], EmployeeData[[#This Row],[Exit Date]], "Y"),EmployeeData[[#This Row],[Status]]="Active",DATEDIF(EmployeeData[[#This Row],[Join Date]], TODAY(), "Y"))</f>
        <v>6</v>
      </c>
      <c r="Q209" t="str" cm="1">
        <f t="array" aca="1" ref="Q2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11 days</v>
      </c>
    </row>
    <row r="210" spans="1:17" x14ac:dyDescent="0.3">
      <c r="A210">
        <v>1209</v>
      </c>
      <c r="B210" t="s">
        <v>333</v>
      </c>
      <c r="C210" t="s">
        <v>33</v>
      </c>
      <c r="D210" t="s">
        <v>11</v>
      </c>
      <c r="E210">
        <v>24</v>
      </c>
      <c r="F210" t="str" cm="1">
        <f t="array" ref="F210">_xlfn.IFS(EmployeeData[[#This Row],[Age]]&lt;30,"20s",EmployeeData[[#This Row],[Age]]&lt;40,"30s",EmployeeData[[#This Row],[Age]]&lt;50,"40s",EmployeeData[[#This Row],[Age]]&lt;60,"50s",EmployeeData[[#This Row],[Age]]&gt;=60,"60s")</f>
        <v>20s</v>
      </c>
      <c r="G210" s="5">
        <v>45991</v>
      </c>
      <c r="H210" s="5">
        <v>46107</v>
      </c>
      <c r="I210" t="s">
        <v>65</v>
      </c>
      <c r="J210" t="s">
        <v>13</v>
      </c>
      <c r="K210" cm="1">
        <f t="array" aca="1" ref="K210" ca="1">_xlfn.IFS(EmployeeData[[#This Row],[Status]]="Active",_xlfn.DAYS(TODAY(),EmployeeData[[#This Row],[Join Date]]),EmployeeData[[#This Row],[Status]]="Exited",_xlfn.DAYS(EmployeeData[[#This Row],[Exit Date]],EmployeeData[[#This Row],[Join Date]]))</f>
        <v>116</v>
      </c>
      <c r="L210" cm="1">
        <f t="array" aca="1" ref="L210" ca="1">_xlfn.IFS(EmployeeData[[#This Row],[Status]]="Exited",DATEDIF(EmployeeData[[#This Row],[Join Date]], EmployeeData[[#This Row],[Exit Date]], "Y"),EmployeeData[[#This Row],[Status]]="Active",DATEDIF(EmployeeData[[#This Row],[Join Date]], TODAY(), "Y"))</f>
        <v>0</v>
      </c>
      <c r="Q210" t="str" cm="1">
        <f t="array" aca="1" ref="Q2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24 days</v>
      </c>
    </row>
    <row r="211" spans="1:17" x14ac:dyDescent="0.3">
      <c r="A211">
        <v>1210</v>
      </c>
      <c r="B211" t="s">
        <v>672</v>
      </c>
      <c r="C211" t="s">
        <v>10</v>
      </c>
      <c r="D211" t="s">
        <v>24</v>
      </c>
      <c r="E211">
        <v>55</v>
      </c>
      <c r="F211" t="str" cm="1">
        <f t="array" ref="F211">_xlfn.IFS(EmployeeData[[#This Row],[Age]]&lt;30,"20s",EmployeeData[[#This Row],[Age]]&lt;40,"30s",EmployeeData[[#This Row],[Age]]&lt;50,"40s",EmployeeData[[#This Row],[Age]]&lt;60,"50s",EmployeeData[[#This Row],[Age]]&gt;=60,"60s")</f>
        <v>50s</v>
      </c>
      <c r="G211" s="5">
        <v>44552</v>
      </c>
      <c r="I211" t="s">
        <v>17</v>
      </c>
      <c r="J211" t="s">
        <v>18</v>
      </c>
      <c r="K211" cm="1">
        <f t="array" aca="1" ref="K211" ca="1">_xlfn.IFS(EmployeeData[[#This Row],[Status]]="Active",_xlfn.DAYS(TODAY(),EmployeeData[[#This Row],[Join Date]]),EmployeeData[[#This Row],[Status]]="Exited",_xlfn.DAYS(EmployeeData[[#This Row],[Exit Date]],EmployeeData[[#This Row],[Join Date]]))</f>
        <v>1645</v>
      </c>
      <c r="L211" cm="1">
        <f t="array" aca="1" ref="L211" ca="1">_xlfn.IFS(EmployeeData[[#This Row],[Status]]="Exited",DATEDIF(EmployeeData[[#This Row],[Join Date]], EmployeeData[[#This Row],[Exit Date]], "Y"),EmployeeData[[#This Row],[Status]]="Active",DATEDIF(EmployeeData[[#This Row],[Join Date]], TODAY(), "Y"))</f>
        <v>4</v>
      </c>
      <c r="Q211" t="str" cm="1">
        <f t="array" aca="1" ref="Q2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2 days</v>
      </c>
    </row>
    <row r="212" spans="1:17" x14ac:dyDescent="0.3">
      <c r="A212">
        <v>1211</v>
      </c>
      <c r="B212" t="s">
        <v>648</v>
      </c>
      <c r="C212" t="s">
        <v>10</v>
      </c>
      <c r="D212" t="s">
        <v>16</v>
      </c>
      <c r="E212">
        <v>40</v>
      </c>
      <c r="F212" t="str" cm="1">
        <f t="array" ref="F212">_xlfn.IFS(EmployeeData[[#This Row],[Age]]&lt;30,"20s",EmployeeData[[#This Row],[Age]]&lt;40,"30s",EmployeeData[[#This Row],[Age]]&lt;50,"40s",EmployeeData[[#This Row],[Age]]&lt;60,"50s",EmployeeData[[#This Row],[Age]]&gt;=60,"60s")</f>
        <v>40s</v>
      </c>
      <c r="G212" s="5">
        <v>44284</v>
      </c>
      <c r="I212" t="s">
        <v>17</v>
      </c>
      <c r="J212" t="s">
        <v>18</v>
      </c>
      <c r="K212" cm="1">
        <f t="array" aca="1" ref="K212" ca="1">_xlfn.IFS(EmployeeData[[#This Row],[Status]]="Active",_xlfn.DAYS(TODAY(),EmployeeData[[#This Row],[Join Date]]),EmployeeData[[#This Row],[Status]]="Exited",_xlfn.DAYS(EmployeeData[[#This Row],[Exit Date]],EmployeeData[[#This Row],[Join Date]]))</f>
        <v>1913</v>
      </c>
      <c r="L212" cm="1">
        <f t="array" aca="1" ref="L212" ca="1">_xlfn.IFS(EmployeeData[[#This Row],[Status]]="Exited",DATEDIF(EmployeeData[[#This Row],[Join Date]], EmployeeData[[#This Row],[Exit Date]], "Y"),EmployeeData[[#This Row],[Status]]="Active",DATEDIF(EmployeeData[[#This Row],[Join Date]], TODAY(), "Y"))</f>
        <v>5</v>
      </c>
      <c r="Q212" t="str" cm="1">
        <f t="array" aca="1" ref="Q2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26 days</v>
      </c>
    </row>
    <row r="213" spans="1:17" x14ac:dyDescent="0.3">
      <c r="A213">
        <v>1212</v>
      </c>
      <c r="B213" t="s">
        <v>411</v>
      </c>
      <c r="C213" t="s">
        <v>10</v>
      </c>
      <c r="D213" t="s">
        <v>24</v>
      </c>
      <c r="E213">
        <v>55</v>
      </c>
      <c r="F213" t="str" cm="1">
        <f t="array" ref="F213">_xlfn.IFS(EmployeeData[[#This Row],[Age]]&lt;30,"20s",EmployeeData[[#This Row],[Age]]&lt;40,"30s",EmployeeData[[#This Row],[Age]]&lt;50,"40s",EmployeeData[[#This Row],[Age]]&lt;60,"50s",EmployeeData[[#This Row],[Age]]&gt;=60,"60s")</f>
        <v>50s</v>
      </c>
      <c r="G213" s="5">
        <v>44656</v>
      </c>
      <c r="I213" t="s">
        <v>17</v>
      </c>
      <c r="J213" t="s">
        <v>18</v>
      </c>
      <c r="K213" cm="1">
        <f t="array" aca="1" ref="K213" ca="1">_xlfn.IFS(EmployeeData[[#This Row],[Status]]="Active",_xlfn.DAYS(TODAY(),EmployeeData[[#This Row],[Join Date]]),EmployeeData[[#This Row],[Status]]="Exited",_xlfn.DAYS(EmployeeData[[#This Row],[Exit Date]],EmployeeData[[#This Row],[Join Date]]))</f>
        <v>1541</v>
      </c>
      <c r="L213" cm="1">
        <f t="array" aca="1" ref="L213" ca="1">_xlfn.IFS(EmployeeData[[#This Row],[Status]]="Exited",DATEDIF(EmployeeData[[#This Row],[Join Date]], EmployeeData[[#This Row],[Exit Date]], "Y"),EmployeeData[[#This Row],[Status]]="Active",DATEDIF(EmployeeData[[#This Row],[Join Date]], TODAY(), "Y"))</f>
        <v>4</v>
      </c>
      <c r="Q213" t="str" cm="1">
        <f t="array" aca="1" ref="Q2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19 days</v>
      </c>
    </row>
    <row r="214" spans="1:17" x14ac:dyDescent="0.3">
      <c r="A214">
        <v>1213</v>
      </c>
      <c r="B214" t="s">
        <v>817</v>
      </c>
      <c r="C214" t="s">
        <v>33</v>
      </c>
      <c r="D214" t="s">
        <v>16</v>
      </c>
      <c r="E214">
        <v>39</v>
      </c>
      <c r="F214" t="str" cm="1">
        <f t="array" ref="F214">_xlfn.IFS(EmployeeData[[#This Row],[Age]]&lt;30,"20s",EmployeeData[[#This Row],[Age]]&lt;40,"30s",EmployeeData[[#This Row],[Age]]&lt;50,"40s",EmployeeData[[#This Row],[Age]]&lt;60,"50s",EmployeeData[[#This Row],[Age]]&gt;=60,"60s")</f>
        <v>30s</v>
      </c>
      <c r="G214" s="5">
        <v>43424</v>
      </c>
      <c r="H214" s="5">
        <v>45325</v>
      </c>
      <c r="I214" t="s">
        <v>28</v>
      </c>
      <c r="J214" t="s">
        <v>13</v>
      </c>
      <c r="K214" cm="1">
        <f t="array" aca="1" ref="K214" ca="1">_xlfn.IFS(EmployeeData[[#This Row],[Status]]="Active",_xlfn.DAYS(TODAY(),EmployeeData[[#This Row],[Join Date]]),EmployeeData[[#This Row],[Status]]="Exited",_xlfn.DAYS(EmployeeData[[#This Row],[Exit Date]],EmployeeData[[#This Row],[Join Date]]))</f>
        <v>1901</v>
      </c>
      <c r="L214" cm="1">
        <f t="array" aca="1" ref="L214" ca="1">_xlfn.IFS(EmployeeData[[#This Row],[Status]]="Exited",DATEDIF(EmployeeData[[#This Row],[Join Date]], EmployeeData[[#This Row],[Exit Date]], "Y"),EmployeeData[[#This Row],[Status]]="Active",DATEDIF(EmployeeData[[#This Row],[Join Date]], TODAY(), "Y"))</f>
        <v>5</v>
      </c>
      <c r="Q214" t="str" cm="1">
        <f t="array" aca="1" ref="Q2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14 days</v>
      </c>
    </row>
    <row r="215" spans="1:17" x14ac:dyDescent="0.3">
      <c r="A215">
        <v>1214</v>
      </c>
      <c r="B215" t="s">
        <v>56</v>
      </c>
      <c r="C215" t="s">
        <v>46</v>
      </c>
      <c r="D215" t="s">
        <v>11</v>
      </c>
      <c r="E215">
        <v>29</v>
      </c>
      <c r="F215" t="str" cm="1">
        <f t="array" ref="F215">_xlfn.IFS(EmployeeData[[#This Row],[Age]]&lt;30,"20s",EmployeeData[[#This Row],[Age]]&lt;40,"30s",EmployeeData[[#This Row],[Age]]&lt;50,"40s",EmployeeData[[#This Row],[Age]]&lt;60,"50s",EmployeeData[[#This Row],[Age]]&gt;=60,"60s")</f>
        <v>20s</v>
      </c>
      <c r="G215" s="5">
        <v>43548</v>
      </c>
      <c r="I215" t="s">
        <v>17</v>
      </c>
      <c r="J215" t="s">
        <v>18</v>
      </c>
      <c r="K215" cm="1">
        <f t="array" aca="1" ref="K215" ca="1">_xlfn.IFS(EmployeeData[[#This Row],[Status]]="Active",_xlfn.DAYS(TODAY(),EmployeeData[[#This Row],[Join Date]]),EmployeeData[[#This Row],[Status]]="Exited",_xlfn.DAYS(EmployeeData[[#This Row],[Exit Date]],EmployeeData[[#This Row],[Join Date]]))</f>
        <v>2649</v>
      </c>
      <c r="L215" cm="1">
        <f t="array" aca="1" ref="L215" ca="1">_xlfn.IFS(EmployeeData[[#This Row],[Status]]="Exited",DATEDIF(EmployeeData[[#This Row],[Join Date]], EmployeeData[[#This Row],[Exit Date]], "Y"),EmployeeData[[#This Row],[Status]]="Active",DATEDIF(EmployeeData[[#This Row],[Join Date]], TODAY(), "Y"))</f>
        <v>7</v>
      </c>
      <c r="Q215" t="str" cm="1">
        <f t="array" aca="1" ref="Q2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0 days</v>
      </c>
    </row>
    <row r="216" spans="1:17" x14ac:dyDescent="0.3">
      <c r="A216">
        <v>1215</v>
      </c>
      <c r="B216" t="s">
        <v>133</v>
      </c>
      <c r="C216" t="s">
        <v>23</v>
      </c>
      <c r="D216" t="s">
        <v>16</v>
      </c>
      <c r="E216">
        <v>47</v>
      </c>
      <c r="F216" t="str" cm="1">
        <f t="array" ref="F216">_xlfn.IFS(EmployeeData[[#This Row],[Age]]&lt;30,"20s",EmployeeData[[#This Row],[Age]]&lt;40,"30s",EmployeeData[[#This Row],[Age]]&lt;50,"40s",EmployeeData[[#This Row],[Age]]&lt;60,"50s",EmployeeData[[#This Row],[Age]]&gt;=60,"60s")</f>
        <v>40s</v>
      </c>
      <c r="G216" s="5">
        <v>44453</v>
      </c>
      <c r="I216" t="s">
        <v>17</v>
      </c>
      <c r="J216" t="s">
        <v>18</v>
      </c>
      <c r="K216" cm="1">
        <f t="array" aca="1" ref="K216" ca="1">_xlfn.IFS(EmployeeData[[#This Row],[Status]]="Active",_xlfn.DAYS(TODAY(),EmployeeData[[#This Row],[Join Date]]),EmployeeData[[#This Row],[Status]]="Exited",_xlfn.DAYS(EmployeeData[[#This Row],[Exit Date]],EmployeeData[[#This Row],[Join Date]]))</f>
        <v>1744</v>
      </c>
      <c r="L216" cm="1">
        <f t="array" aca="1" ref="L216" ca="1">_xlfn.IFS(EmployeeData[[#This Row],[Status]]="Exited",DATEDIF(EmployeeData[[#This Row],[Join Date]], EmployeeData[[#This Row],[Exit Date]], "Y"),EmployeeData[[#This Row],[Status]]="Active",DATEDIF(EmployeeData[[#This Row],[Join Date]], TODAY(), "Y"))</f>
        <v>4</v>
      </c>
      <c r="Q216" t="str" cm="1">
        <f t="array" aca="1" ref="Q2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10 days</v>
      </c>
    </row>
    <row r="217" spans="1:17" x14ac:dyDescent="0.3">
      <c r="A217">
        <v>1216</v>
      </c>
      <c r="B217" t="s">
        <v>228</v>
      </c>
      <c r="C217" t="s">
        <v>15</v>
      </c>
      <c r="D217" t="s">
        <v>24</v>
      </c>
      <c r="E217">
        <v>31</v>
      </c>
      <c r="F217" t="str" cm="1">
        <f t="array" ref="F217">_xlfn.IFS(EmployeeData[[#This Row],[Age]]&lt;30,"20s",EmployeeData[[#This Row],[Age]]&lt;40,"30s",EmployeeData[[#This Row],[Age]]&lt;50,"40s",EmployeeData[[#This Row],[Age]]&lt;60,"50s",EmployeeData[[#This Row],[Age]]&gt;=60,"60s")</f>
        <v>30s</v>
      </c>
      <c r="G217" s="5">
        <v>44767</v>
      </c>
      <c r="I217" t="s">
        <v>17</v>
      </c>
      <c r="J217" t="s">
        <v>18</v>
      </c>
      <c r="K217" cm="1">
        <f t="array" aca="1" ref="K217" ca="1">_xlfn.IFS(EmployeeData[[#This Row],[Status]]="Active",_xlfn.DAYS(TODAY(),EmployeeData[[#This Row],[Join Date]]),EmployeeData[[#This Row],[Status]]="Exited",_xlfn.DAYS(EmployeeData[[#This Row],[Exit Date]],EmployeeData[[#This Row],[Join Date]]))</f>
        <v>1430</v>
      </c>
      <c r="L217" cm="1">
        <f t="array" aca="1" ref="L217" ca="1">_xlfn.IFS(EmployeeData[[#This Row],[Status]]="Exited",DATEDIF(EmployeeData[[#This Row],[Join Date]], EmployeeData[[#This Row],[Exit Date]], "Y"),EmployeeData[[#This Row],[Status]]="Active",DATEDIF(EmployeeData[[#This Row],[Join Date]], TODAY(), "Y"))</f>
        <v>3</v>
      </c>
      <c r="Q217" t="str" cm="1">
        <f t="array" aca="1" ref="Q2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30 days</v>
      </c>
    </row>
    <row r="218" spans="1:17" x14ac:dyDescent="0.3">
      <c r="A218">
        <v>1217</v>
      </c>
      <c r="B218" t="s">
        <v>502</v>
      </c>
      <c r="C218" t="s">
        <v>20</v>
      </c>
      <c r="D218" t="s">
        <v>16</v>
      </c>
      <c r="E218">
        <v>39</v>
      </c>
      <c r="F218" t="str" cm="1">
        <f t="array" ref="F218">_xlfn.IFS(EmployeeData[[#This Row],[Age]]&lt;30,"20s",EmployeeData[[#This Row],[Age]]&lt;40,"30s",EmployeeData[[#This Row],[Age]]&lt;50,"40s",EmployeeData[[#This Row],[Age]]&lt;60,"50s",EmployeeData[[#This Row],[Age]]&gt;=60,"60s")</f>
        <v>30s</v>
      </c>
      <c r="G218" s="5">
        <v>45746</v>
      </c>
      <c r="H218" s="5">
        <v>45881</v>
      </c>
      <c r="I218" t="s">
        <v>28</v>
      </c>
      <c r="J218" t="s">
        <v>13</v>
      </c>
      <c r="K218" cm="1">
        <f t="array" aca="1" ref="K218" ca="1">_xlfn.IFS(EmployeeData[[#This Row],[Status]]="Active",_xlfn.DAYS(TODAY(),EmployeeData[[#This Row],[Join Date]]),EmployeeData[[#This Row],[Status]]="Exited",_xlfn.DAYS(EmployeeData[[#This Row],[Exit Date]],EmployeeData[[#This Row],[Join Date]]))</f>
        <v>135</v>
      </c>
      <c r="L218" cm="1">
        <f t="array" aca="1" ref="L218" ca="1">_xlfn.IFS(EmployeeData[[#This Row],[Status]]="Exited",DATEDIF(EmployeeData[[#This Row],[Join Date]], EmployeeData[[#This Row],[Exit Date]], "Y"),EmployeeData[[#This Row],[Status]]="Active",DATEDIF(EmployeeData[[#This Row],[Join Date]], TODAY(), "Y"))</f>
        <v>0</v>
      </c>
      <c r="Q218" t="str" cm="1">
        <f t="array" aca="1" ref="Q2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13 days</v>
      </c>
    </row>
    <row r="219" spans="1:17" x14ac:dyDescent="0.3">
      <c r="A219">
        <v>1218</v>
      </c>
      <c r="B219" t="s">
        <v>42</v>
      </c>
      <c r="C219" t="s">
        <v>33</v>
      </c>
      <c r="D219" t="s">
        <v>16</v>
      </c>
      <c r="E219">
        <v>32</v>
      </c>
      <c r="F219" t="str" cm="1">
        <f t="array" ref="F219">_xlfn.IFS(EmployeeData[[#This Row],[Age]]&lt;30,"20s",EmployeeData[[#This Row],[Age]]&lt;40,"30s",EmployeeData[[#This Row],[Age]]&lt;50,"40s",EmployeeData[[#This Row],[Age]]&lt;60,"50s",EmployeeData[[#This Row],[Age]]&gt;=60,"60s")</f>
        <v>30s</v>
      </c>
      <c r="G219" s="5">
        <v>44812</v>
      </c>
      <c r="I219" t="s">
        <v>17</v>
      </c>
      <c r="J219" t="s">
        <v>18</v>
      </c>
      <c r="K219" cm="1">
        <f t="array" aca="1" ref="K219" ca="1">_xlfn.IFS(EmployeeData[[#This Row],[Status]]="Active",_xlfn.DAYS(TODAY(),EmployeeData[[#This Row],[Join Date]]),EmployeeData[[#This Row],[Status]]="Exited",_xlfn.DAYS(EmployeeData[[#This Row],[Exit Date]],EmployeeData[[#This Row],[Join Date]]))</f>
        <v>1385</v>
      </c>
      <c r="L219" cm="1">
        <f t="array" aca="1" ref="L219" ca="1">_xlfn.IFS(EmployeeData[[#This Row],[Status]]="Exited",DATEDIF(EmployeeData[[#This Row],[Join Date]], EmployeeData[[#This Row],[Exit Date]], "Y"),EmployeeData[[#This Row],[Status]]="Active",DATEDIF(EmployeeData[[#This Row],[Join Date]], TODAY(), "Y"))</f>
        <v>3</v>
      </c>
      <c r="Q219" t="str" cm="1">
        <f t="array" aca="1" ref="Q2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16 days</v>
      </c>
    </row>
    <row r="220" spans="1:17" x14ac:dyDescent="0.3">
      <c r="A220">
        <v>1219</v>
      </c>
      <c r="B220" t="s">
        <v>261</v>
      </c>
      <c r="C220" t="s">
        <v>10</v>
      </c>
      <c r="D220" t="s">
        <v>24</v>
      </c>
      <c r="E220">
        <v>39</v>
      </c>
      <c r="F220" t="str" cm="1">
        <f t="array" ref="F220">_xlfn.IFS(EmployeeData[[#This Row],[Age]]&lt;30,"20s",EmployeeData[[#This Row],[Age]]&lt;40,"30s",EmployeeData[[#This Row],[Age]]&lt;50,"40s",EmployeeData[[#This Row],[Age]]&lt;60,"50s",EmployeeData[[#This Row],[Age]]&gt;=60,"60s")</f>
        <v>30s</v>
      </c>
      <c r="G220" s="5">
        <v>43254</v>
      </c>
      <c r="H220" s="5">
        <v>43783</v>
      </c>
      <c r="I220" t="s">
        <v>21</v>
      </c>
      <c r="J220" t="s">
        <v>13</v>
      </c>
      <c r="K220" cm="1">
        <f t="array" aca="1" ref="K220" ca="1">_xlfn.IFS(EmployeeData[[#This Row],[Status]]="Active",_xlfn.DAYS(TODAY(),EmployeeData[[#This Row],[Join Date]]),EmployeeData[[#This Row],[Status]]="Exited",_xlfn.DAYS(EmployeeData[[#This Row],[Exit Date]],EmployeeData[[#This Row],[Join Date]]))</f>
        <v>529</v>
      </c>
      <c r="L220" cm="1">
        <f t="array" aca="1" ref="L220" ca="1">_xlfn.IFS(EmployeeData[[#This Row],[Status]]="Exited",DATEDIF(EmployeeData[[#This Row],[Join Date]], EmployeeData[[#This Row],[Exit Date]], "Y"),EmployeeData[[#This Row],[Status]]="Active",DATEDIF(EmployeeData[[#This Row],[Join Date]], TODAY(), "Y"))</f>
        <v>1</v>
      </c>
      <c r="Q220" t="str" cm="1">
        <f t="array" aca="1" ref="Q2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11 days</v>
      </c>
    </row>
    <row r="221" spans="1:17" x14ac:dyDescent="0.3">
      <c r="A221">
        <v>1220</v>
      </c>
      <c r="B221" t="s">
        <v>168</v>
      </c>
      <c r="C221" t="s">
        <v>33</v>
      </c>
      <c r="D221" t="s">
        <v>16</v>
      </c>
      <c r="E221">
        <v>64</v>
      </c>
      <c r="F221" t="str" cm="1">
        <f t="array" ref="F221">_xlfn.IFS(EmployeeData[[#This Row],[Age]]&lt;30,"20s",EmployeeData[[#This Row],[Age]]&lt;40,"30s",EmployeeData[[#This Row],[Age]]&lt;50,"40s",EmployeeData[[#This Row],[Age]]&lt;60,"50s",EmployeeData[[#This Row],[Age]]&gt;=60,"60s")</f>
        <v>60s</v>
      </c>
      <c r="G221" s="5">
        <v>45018</v>
      </c>
      <c r="H221" s="5">
        <v>45338</v>
      </c>
      <c r="I221" t="s">
        <v>26</v>
      </c>
      <c r="J221" t="s">
        <v>13</v>
      </c>
      <c r="K221" cm="1">
        <f t="array" aca="1" ref="K221" ca="1">_xlfn.IFS(EmployeeData[[#This Row],[Status]]="Active",_xlfn.DAYS(TODAY(),EmployeeData[[#This Row],[Join Date]]),EmployeeData[[#This Row],[Status]]="Exited",_xlfn.DAYS(EmployeeData[[#This Row],[Exit Date]],EmployeeData[[#This Row],[Join Date]]))</f>
        <v>320</v>
      </c>
      <c r="L221" cm="1">
        <f t="array" aca="1" ref="L221" ca="1">_xlfn.IFS(EmployeeData[[#This Row],[Status]]="Exited",DATEDIF(EmployeeData[[#This Row],[Join Date]], EmployeeData[[#This Row],[Exit Date]], "Y"),EmployeeData[[#This Row],[Status]]="Active",DATEDIF(EmployeeData[[#This Row],[Join Date]], TODAY(), "Y"))</f>
        <v>0</v>
      </c>
      <c r="Q221" t="str" cm="1">
        <f t="array" aca="1" ref="Q2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14 days</v>
      </c>
    </row>
    <row r="222" spans="1:17" x14ac:dyDescent="0.3">
      <c r="A222">
        <v>1221</v>
      </c>
      <c r="B222" t="s">
        <v>219</v>
      </c>
      <c r="C222" t="s">
        <v>33</v>
      </c>
      <c r="D222" t="s">
        <v>24</v>
      </c>
      <c r="E222">
        <v>32</v>
      </c>
      <c r="F222" t="str" cm="1">
        <f t="array" ref="F222">_xlfn.IFS(EmployeeData[[#This Row],[Age]]&lt;30,"20s",EmployeeData[[#This Row],[Age]]&lt;40,"30s",EmployeeData[[#This Row],[Age]]&lt;50,"40s",EmployeeData[[#This Row],[Age]]&lt;60,"50s",EmployeeData[[#This Row],[Age]]&gt;=60,"60s")</f>
        <v>30s</v>
      </c>
      <c r="G222" s="5">
        <v>43819</v>
      </c>
      <c r="I222" t="s">
        <v>17</v>
      </c>
      <c r="J222" t="s">
        <v>18</v>
      </c>
      <c r="K222" cm="1">
        <f t="array" aca="1" ref="K222" ca="1">_xlfn.IFS(EmployeeData[[#This Row],[Status]]="Active",_xlfn.DAYS(TODAY(),EmployeeData[[#This Row],[Join Date]]),EmployeeData[[#This Row],[Status]]="Exited",_xlfn.DAYS(EmployeeData[[#This Row],[Exit Date]],EmployeeData[[#This Row],[Join Date]]))</f>
        <v>2378</v>
      </c>
      <c r="L222" cm="1">
        <f t="array" aca="1" ref="L222" ca="1">_xlfn.IFS(EmployeeData[[#This Row],[Status]]="Exited",DATEDIF(EmployeeData[[#This Row],[Join Date]], EmployeeData[[#This Row],[Exit Date]], "Y"),EmployeeData[[#This Row],[Status]]="Active",DATEDIF(EmployeeData[[#This Row],[Join Date]], TODAY(), "Y"))</f>
        <v>6</v>
      </c>
      <c r="Q222" t="str" cm="1">
        <f t="array" aca="1" ref="Q2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4 days</v>
      </c>
    </row>
    <row r="223" spans="1:17" x14ac:dyDescent="0.3">
      <c r="A223">
        <v>1222</v>
      </c>
      <c r="B223" t="s">
        <v>629</v>
      </c>
      <c r="C223" t="s">
        <v>10</v>
      </c>
      <c r="D223" t="s">
        <v>16</v>
      </c>
      <c r="E223">
        <v>29</v>
      </c>
      <c r="F223" t="str" cm="1">
        <f t="array" ref="F223">_xlfn.IFS(EmployeeData[[#This Row],[Age]]&lt;30,"20s",EmployeeData[[#This Row],[Age]]&lt;40,"30s",EmployeeData[[#This Row],[Age]]&lt;50,"40s",EmployeeData[[#This Row],[Age]]&lt;60,"50s",EmployeeData[[#This Row],[Age]]&gt;=60,"60s")</f>
        <v>20s</v>
      </c>
      <c r="G223" s="5">
        <v>45056</v>
      </c>
      <c r="H223" s="5">
        <v>45654</v>
      </c>
      <c r="I223" t="s">
        <v>31</v>
      </c>
      <c r="J223" t="s">
        <v>13</v>
      </c>
      <c r="K223" cm="1">
        <f t="array" aca="1" ref="K223" ca="1">_xlfn.IFS(EmployeeData[[#This Row],[Status]]="Active",_xlfn.DAYS(TODAY(),EmployeeData[[#This Row],[Join Date]]),EmployeeData[[#This Row],[Status]]="Exited",_xlfn.DAYS(EmployeeData[[#This Row],[Exit Date]],EmployeeData[[#This Row],[Join Date]]))</f>
        <v>598</v>
      </c>
      <c r="L223" cm="1">
        <f t="array" aca="1" ref="L223" ca="1">_xlfn.IFS(EmployeeData[[#This Row],[Status]]="Exited",DATEDIF(EmployeeData[[#This Row],[Join Date]], EmployeeData[[#This Row],[Exit Date]], "Y"),EmployeeData[[#This Row],[Status]]="Active",DATEDIF(EmployeeData[[#This Row],[Join Date]], TODAY(), "Y"))</f>
        <v>1</v>
      </c>
      <c r="Q223" t="str" cm="1">
        <f t="array" aca="1" ref="Q2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18 days</v>
      </c>
    </row>
    <row r="224" spans="1:17" x14ac:dyDescent="0.3">
      <c r="A224">
        <v>1223</v>
      </c>
      <c r="B224" t="s">
        <v>324</v>
      </c>
      <c r="C224" t="s">
        <v>46</v>
      </c>
      <c r="D224" t="s">
        <v>16</v>
      </c>
      <c r="E224">
        <v>57</v>
      </c>
      <c r="F224" t="str" cm="1">
        <f t="array" ref="F224">_xlfn.IFS(EmployeeData[[#This Row],[Age]]&lt;30,"20s",EmployeeData[[#This Row],[Age]]&lt;40,"30s",EmployeeData[[#This Row],[Age]]&lt;50,"40s",EmployeeData[[#This Row],[Age]]&lt;60,"50s",EmployeeData[[#This Row],[Age]]&gt;=60,"60s")</f>
        <v>50s</v>
      </c>
      <c r="G224" s="5">
        <v>43147</v>
      </c>
      <c r="H224" s="5">
        <v>44709</v>
      </c>
      <c r="I224" t="s">
        <v>34</v>
      </c>
      <c r="J224" t="s">
        <v>13</v>
      </c>
      <c r="K224" cm="1">
        <f t="array" aca="1" ref="K224" ca="1">_xlfn.IFS(EmployeeData[[#This Row],[Status]]="Active",_xlfn.DAYS(TODAY(),EmployeeData[[#This Row],[Join Date]]),EmployeeData[[#This Row],[Status]]="Exited",_xlfn.DAYS(EmployeeData[[#This Row],[Exit Date]],EmployeeData[[#This Row],[Join Date]]))</f>
        <v>1562</v>
      </c>
      <c r="L224" cm="1">
        <f t="array" aca="1" ref="L224" ca="1">_xlfn.IFS(EmployeeData[[#This Row],[Status]]="Exited",DATEDIF(EmployeeData[[#This Row],[Join Date]], EmployeeData[[#This Row],[Exit Date]], "Y"),EmployeeData[[#This Row],[Status]]="Active",DATEDIF(EmployeeData[[#This Row],[Join Date]], TODAY(), "Y"))</f>
        <v>4</v>
      </c>
      <c r="Q224" t="str" cm="1">
        <f t="array" aca="1" ref="Q2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12 days</v>
      </c>
    </row>
    <row r="225" spans="1:17" x14ac:dyDescent="0.3">
      <c r="A225">
        <v>1224</v>
      </c>
      <c r="B225" t="s">
        <v>138</v>
      </c>
      <c r="C225" t="s">
        <v>15</v>
      </c>
      <c r="D225" t="s">
        <v>11</v>
      </c>
      <c r="E225">
        <v>40</v>
      </c>
      <c r="F225" t="str" cm="1">
        <f t="array" ref="F225">_xlfn.IFS(EmployeeData[[#This Row],[Age]]&lt;30,"20s",EmployeeData[[#This Row],[Age]]&lt;40,"30s",EmployeeData[[#This Row],[Age]]&lt;50,"40s",EmployeeData[[#This Row],[Age]]&lt;60,"50s",EmployeeData[[#This Row],[Age]]&gt;=60,"60s")</f>
        <v>40s</v>
      </c>
      <c r="G225" s="5">
        <v>45928</v>
      </c>
      <c r="H225" s="5">
        <v>46093</v>
      </c>
      <c r="I225" t="s">
        <v>12</v>
      </c>
      <c r="J225" t="s">
        <v>13</v>
      </c>
      <c r="K225" cm="1">
        <f t="array" aca="1" ref="K225" ca="1">_xlfn.IFS(EmployeeData[[#This Row],[Status]]="Active",_xlfn.DAYS(TODAY(),EmployeeData[[#This Row],[Join Date]]),EmployeeData[[#This Row],[Status]]="Exited",_xlfn.DAYS(EmployeeData[[#This Row],[Exit Date]],EmployeeData[[#This Row],[Join Date]]))</f>
        <v>165</v>
      </c>
      <c r="L225" cm="1">
        <f t="array" aca="1" ref="L225" ca="1">_xlfn.IFS(EmployeeData[[#This Row],[Status]]="Exited",DATEDIF(EmployeeData[[#This Row],[Join Date]], EmployeeData[[#This Row],[Exit Date]], "Y"),EmployeeData[[#This Row],[Status]]="Active",DATEDIF(EmployeeData[[#This Row],[Join Date]], TODAY(), "Y"))</f>
        <v>0</v>
      </c>
      <c r="Q225" t="str" cm="1">
        <f t="array" aca="1" ref="Q2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12 days</v>
      </c>
    </row>
    <row r="226" spans="1:17" x14ac:dyDescent="0.3">
      <c r="A226">
        <v>1225</v>
      </c>
      <c r="B226" t="s">
        <v>132</v>
      </c>
      <c r="C226" t="s">
        <v>23</v>
      </c>
      <c r="D226" t="s">
        <v>24</v>
      </c>
      <c r="E226">
        <v>44</v>
      </c>
      <c r="F226" t="str" cm="1">
        <f t="array" ref="F226">_xlfn.IFS(EmployeeData[[#This Row],[Age]]&lt;30,"20s",EmployeeData[[#This Row],[Age]]&lt;40,"30s",EmployeeData[[#This Row],[Age]]&lt;50,"40s",EmployeeData[[#This Row],[Age]]&lt;60,"50s",EmployeeData[[#This Row],[Age]]&gt;=60,"60s")</f>
        <v>40s</v>
      </c>
      <c r="G226" s="5">
        <v>44804</v>
      </c>
      <c r="I226" t="s">
        <v>17</v>
      </c>
      <c r="J226" t="s">
        <v>18</v>
      </c>
      <c r="K226" cm="1">
        <f t="array" aca="1" ref="K226" ca="1">_xlfn.IFS(EmployeeData[[#This Row],[Status]]="Active",_xlfn.DAYS(TODAY(),EmployeeData[[#This Row],[Join Date]]),EmployeeData[[#This Row],[Status]]="Exited",_xlfn.DAYS(EmployeeData[[#This Row],[Exit Date]],EmployeeData[[#This Row],[Join Date]]))</f>
        <v>1393</v>
      </c>
      <c r="L226" cm="1">
        <f t="array" aca="1" ref="L226" ca="1">_xlfn.IFS(EmployeeData[[#This Row],[Status]]="Exited",DATEDIF(EmployeeData[[#This Row],[Join Date]], EmployeeData[[#This Row],[Exit Date]], "Y"),EmployeeData[[#This Row],[Status]]="Active",DATEDIF(EmployeeData[[#This Row],[Join Date]], TODAY(), "Y"))</f>
        <v>3</v>
      </c>
      <c r="Q226" t="str" cm="1">
        <f t="array" aca="1" ref="Q2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24 days</v>
      </c>
    </row>
    <row r="227" spans="1:17" x14ac:dyDescent="0.3">
      <c r="A227">
        <v>1226</v>
      </c>
      <c r="B227" t="s">
        <v>37</v>
      </c>
      <c r="C227" t="s">
        <v>33</v>
      </c>
      <c r="D227" t="s">
        <v>11</v>
      </c>
      <c r="E227">
        <v>26</v>
      </c>
      <c r="F227" t="str" cm="1">
        <f t="array" ref="F227">_xlfn.IFS(EmployeeData[[#This Row],[Age]]&lt;30,"20s",EmployeeData[[#This Row],[Age]]&lt;40,"30s",EmployeeData[[#This Row],[Age]]&lt;50,"40s",EmployeeData[[#This Row],[Age]]&lt;60,"50s",EmployeeData[[#This Row],[Age]]&gt;=60,"60s")</f>
        <v>20s</v>
      </c>
      <c r="G227" s="5">
        <v>45253</v>
      </c>
      <c r="I227" t="s">
        <v>17</v>
      </c>
      <c r="J227" t="s">
        <v>18</v>
      </c>
      <c r="K227" cm="1">
        <f t="array" aca="1" ref="K227" ca="1">_xlfn.IFS(EmployeeData[[#This Row],[Status]]="Active",_xlfn.DAYS(TODAY(),EmployeeData[[#This Row],[Join Date]]),EmployeeData[[#This Row],[Status]]="Exited",_xlfn.DAYS(EmployeeData[[#This Row],[Exit Date]],EmployeeData[[#This Row],[Join Date]]))</f>
        <v>944</v>
      </c>
      <c r="L227" cm="1">
        <f t="array" aca="1" ref="L227" ca="1">_xlfn.IFS(EmployeeData[[#This Row],[Status]]="Exited",DATEDIF(EmployeeData[[#This Row],[Join Date]], EmployeeData[[#This Row],[Exit Date]], "Y"),EmployeeData[[#This Row],[Status]]="Active",DATEDIF(EmployeeData[[#This Row],[Join Date]], TODAY(), "Y"))</f>
        <v>2</v>
      </c>
      <c r="Q227" t="str" cm="1">
        <f t="array" aca="1" ref="Q2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 days</v>
      </c>
    </row>
    <row r="228" spans="1:17" x14ac:dyDescent="0.3">
      <c r="A228">
        <v>1227</v>
      </c>
      <c r="B228" t="s">
        <v>612</v>
      </c>
      <c r="C228" t="s">
        <v>15</v>
      </c>
      <c r="D228" t="s">
        <v>11</v>
      </c>
      <c r="E228">
        <v>53</v>
      </c>
      <c r="F228" t="str" cm="1">
        <f t="array" ref="F228">_xlfn.IFS(EmployeeData[[#This Row],[Age]]&lt;30,"20s",EmployeeData[[#This Row],[Age]]&lt;40,"30s",EmployeeData[[#This Row],[Age]]&lt;50,"40s",EmployeeData[[#This Row],[Age]]&lt;60,"50s",EmployeeData[[#This Row],[Age]]&gt;=60,"60s")</f>
        <v>50s</v>
      </c>
      <c r="G228" s="5">
        <v>43929</v>
      </c>
      <c r="I228" t="s">
        <v>17</v>
      </c>
      <c r="J228" t="s">
        <v>18</v>
      </c>
      <c r="K228" cm="1">
        <f t="array" aca="1" ref="K228" ca="1">_xlfn.IFS(EmployeeData[[#This Row],[Status]]="Active",_xlfn.DAYS(TODAY(),EmployeeData[[#This Row],[Join Date]]),EmployeeData[[#This Row],[Status]]="Exited",_xlfn.DAYS(EmployeeData[[#This Row],[Exit Date]],EmployeeData[[#This Row],[Join Date]]))</f>
        <v>2268</v>
      </c>
      <c r="L228" cm="1">
        <f t="array" aca="1" ref="L228" ca="1">_xlfn.IFS(EmployeeData[[#This Row],[Status]]="Exited",DATEDIF(EmployeeData[[#This Row],[Join Date]], EmployeeData[[#This Row],[Exit Date]], "Y"),EmployeeData[[#This Row],[Status]]="Active",DATEDIF(EmployeeData[[#This Row],[Join Date]], TODAY(), "Y"))</f>
        <v>6</v>
      </c>
      <c r="Q228" t="str" cm="1">
        <f t="array" aca="1" ref="Q2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2 months 16 days</v>
      </c>
    </row>
    <row r="229" spans="1:17" x14ac:dyDescent="0.3">
      <c r="A229">
        <v>1228</v>
      </c>
      <c r="B229" t="s">
        <v>767</v>
      </c>
      <c r="C229" t="s">
        <v>15</v>
      </c>
      <c r="D229" t="s">
        <v>16</v>
      </c>
      <c r="E229">
        <v>58</v>
      </c>
      <c r="F229" t="str" cm="1">
        <f t="array" ref="F229">_xlfn.IFS(EmployeeData[[#This Row],[Age]]&lt;30,"20s",EmployeeData[[#This Row],[Age]]&lt;40,"30s",EmployeeData[[#This Row],[Age]]&lt;50,"40s",EmployeeData[[#This Row],[Age]]&lt;60,"50s",EmployeeData[[#This Row],[Age]]&gt;=60,"60s")</f>
        <v>50s</v>
      </c>
      <c r="G229" s="5">
        <v>45103</v>
      </c>
      <c r="H229" s="5">
        <v>45715</v>
      </c>
      <c r="I229" t="s">
        <v>12</v>
      </c>
      <c r="J229" t="s">
        <v>13</v>
      </c>
      <c r="K229" cm="1">
        <f t="array" aca="1" ref="K229" ca="1">_xlfn.IFS(EmployeeData[[#This Row],[Status]]="Active",_xlfn.DAYS(TODAY(),EmployeeData[[#This Row],[Join Date]]),EmployeeData[[#This Row],[Status]]="Exited",_xlfn.DAYS(EmployeeData[[#This Row],[Exit Date]],EmployeeData[[#This Row],[Join Date]]))</f>
        <v>612</v>
      </c>
      <c r="L229" cm="1">
        <f t="array" aca="1" ref="L229" ca="1">_xlfn.IFS(EmployeeData[[#This Row],[Status]]="Exited",DATEDIF(EmployeeData[[#This Row],[Join Date]], EmployeeData[[#This Row],[Exit Date]], "Y"),EmployeeData[[#This Row],[Status]]="Active",DATEDIF(EmployeeData[[#This Row],[Join Date]], TODAY(), "Y"))</f>
        <v>1</v>
      </c>
      <c r="Q229" t="str" cm="1">
        <f t="array" aca="1" ref="Q2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1 days</v>
      </c>
    </row>
    <row r="230" spans="1:17" x14ac:dyDescent="0.3">
      <c r="A230">
        <v>1229</v>
      </c>
      <c r="B230" t="s">
        <v>701</v>
      </c>
      <c r="C230" t="s">
        <v>10</v>
      </c>
      <c r="D230" t="s">
        <v>16</v>
      </c>
      <c r="E230">
        <v>50</v>
      </c>
      <c r="F230" t="str" cm="1">
        <f t="array" ref="F230">_xlfn.IFS(EmployeeData[[#This Row],[Age]]&lt;30,"20s",EmployeeData[[#This Row],[Age]]&lt;40,"30s",EmployeeData[[#This Row],[Age]]&lt;50,"40s",EmployeeData[[#This Row],[Age]]&lt;60,"50s",EmployeeData[[#This Row],[Age]]&gt;=60,"60s")</f>
        <v>50s</v>
      </c>
      <c r="G230" s="5">
        <v>45856</v>
      </c>
      <c r="I230" t="s">
        <v>17</v>
      </c>
      <c r="J230" t="s">
        <v>18</v>
      </c>
      <c r="K230" cm="1">
        <f t="array" aca="1" ref="K230" ca="1">_xlfn.IFS(EmployeeData[[#This Row],[Status]]="Active",_xlfn.DAYS(TODAY(),EmployeeData[[#This Row],[Join Date]]),EmployeeData[[#This Row],[Status]]="Exited",_xlfn.DAYS(EmployeeData[[#This Row],[Exit Date]],EmployeeData[[#This Row],[Join Date]]))</f>
        <v>341</v>
      </c>
      <c r="L230" cm="1">
        <f t="array" aca="1" ref="L230" ca="1">_xlfn.IFS(EmployeeData[[#This Row],[Status]]="Exited",DATEDIF(EmployeeData[[#This Row],[Join Date]], EmployeeData[[#This Row],[Exit Date]], "Y"),EmployeeData[[#This Row],[Status]]="Active",DATEDIF(EmployeeData[[#This Row],[Join Date]], TODAY(), "Y"))</f>
        <v>0</v>
      </c>
      <c r="Q230" t="str" cm="1">
        <f t="array" aca="1" ref="Q2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6 days</v>
      </c>
    </row>
    <row r="231" spans="1:17" x14ac:dyDescent="0.3">
      <c r="A231">
        <v>1230</v>
      </c>
      <c r="B231" t="s">
        <v>576</v>
      </c>
      <c r="C231" t="s">
        <v>20</v>
      </c>
      <c r="D231" t="s">
        <v>24</v>
      </c>
      <c r="E231">
        <v>23</v>
      </c>
      <c r="F231" t="str" cm="1">
        <f t="array" ref="F231">_xlfn.IFS(EmployeeData[[#This Row],[Age]]&lt;30,"20s",EmployeeData[[#This Row],[Age]]&lt;40,"30s",EmployeeData[[#This Row],[Age]]&lt;50,"40s",EmployeeData[[#This Row],[Age]]&lt;60,"50s",EmployeeData[[#This Row],[Age]]&gt;=60,"60s")</f>
        <v>20s</v>
      </c>
      <c r="G231" s="5">
        <v>44836</v>
      </c>
      <c r="H231" s="5">
        <v>45056</v>
      </c>
      <c r="I231" t="s">
        <v>65</v>
      </c>
      <c r="J231" t="s">
        <v>13</v>
      </c>
      <c r="K231" cm="1">
        <f t="array" aca="1" ref="K231" ca="1">_xlfn.IFS(EmployeeData[[#This Row],[Status]]="Active",_xlfn.DAYS(TODAY(),EmployeeData[[#This Row],[Join Date]]),EmployeeData[[#This Row],[Status]]="Exited",_xlfn.DAYS(EmployeeData[[#This Row],[Exit Date]],EmployeeData[[#This Row],[Join Date]]))</f>
        <v>220</v>
      </c>
      <c r="L231" cm="1">
        <f t="array" aca="1" ref="L231" ca="1">_xlfn.IFS(EmployeeData[[#This Row],[Status]]="Exited",DATEDIF(EmployeeData[[#This Row],[Join Date]], EmployeeData[[#This Row],[Exit Date]], "Y"),EmployeeData[[#This Row],[Status]]="Active",DATEDIF(EmployeeData[[#This Row],[Join Date]], TODAY(), "Y"))</f>
        <v>0</v>
      </c>
      <c r="Q231" t="str" cm="1">
        <f t="array" aca="1" ref="Q2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8 days</v>
      </c>
    </row>
    <row r="232" spans="1:17" x14ac:dyDescent="0.3">
      <c r="A232">
        <v>1231</v>
      </c>
      <c r="B232" t="s">
        <v>230</v>
      </c>
      <c r="C232" t="s">
        <v>23</v>
      </c>
      <c r="D232" t="s">
        <v>16</v>
      </c>
      <c r="E232">
        <v>32</v>
      </c>
      <c r="F232" t="str" cm="1">
        <f t="array" ref="F232">_xlfn.IFS(EmployeeData[[#This Row],[Age]]&lt;30,"20s",EmployeeData[[#This Row],[Age]]&lt;40,"30s",EmployeeData[[#This Row],[Age]]&lt;50,"40s",EmployeeData[[#This Row],[Age]]&lt;60,"50s",EmployeeData[[#This Row],[Age]]&gt;=60,"60s")</f>
        <v>30s</v>
      </c>
      <c r="G232" s="5">
        <v>43655</v>
      </c>
      <c r="I232" t="s">
        <v>17</v>
      </c>
      <c r="J232" t="s">
        <v>18</v>
      </c>
      <c r="K232" cm="1">
        <f t="array" aca="1" ref="K232" ca="1">_xlfn.IFS(EmployeeData[[#This Row],[Status]]="Active",_xlfn.DAYS(TODAY(),EmployeeData[[#This Row],[Join Date]]),EmployeeData[[#This Row],[Status]]="Exited",_xlfn.DAYS(EmployeeData[[#This Row],[Exit Date]],EmployeeData[[#This Row],[Join Date]]))</f>
        <v>2542</v>
      </c>
      <c r="L232" cm="1">
        <f t="array" aca="1" ref="L232" ca="1">_xlfn.IFS(EmployeeData[[#This Row],[Status]]="Exited",DATEDIF(EmployeeData[[#This Row],[Join Date]], EmployeeData[[#This Row],[Exit Date]], "Y"),EmployeeData[[#This Row],[Status]]="Active",DATEDIF(EmployeeData[[#This Row],[Join Date]], TODAY(), "Y"))</f>
        <v>6</v>
      </c>
      <c r="Q232" t="str" cm="1">
        <f t="array" aca="1" ref="Q2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15 days</v>
      </c>
    </row>
    <row r="233" spans="1:17" x14ac:dyDescent="0.3">
      <c r="A233">
        <v>1232</v>
      </c>
      <c r="B233" t="s">
        <v>591</v>
      </c>
      <c r="C233" t="s">
        <v>10</v>
      </c>
      <c r="D233" t="s">
        <v>11</v>
      </c>
      <c r="E233">
        <v>45</v>
      </c>
      <c r="F233" t="str" cm="1">
        <f t="array" ref="F233">_xlfn.IFS(EmployeeData[[#This Row],[Age]]&lt;30,"20s",EmployeeData[[#This Row],[Age]]&lt;40,"30s",EmployeeData[[#This Row],[Age]]&lt;50,"40s",EmployeeData[[#This Row],[Age]]&lt;60,"50s",EmployeeData[[#This Row],[Age]]&gt;=60,"60s")</f>
        <v>40s</v>
      </c>
      <c r="G233" s="5">
        <v>44639</v>
      </c>
      <c r="H233" s="5">
        <v>46084</v>
      </c>
      <c r="I233" t="s">
        <v>52</v>
      </c>
      <c r="J233" t="s">
        <v>13</v>
      </c>
      <c r="K233" cm="1">
        <f t="array" aca="1" ref="K233" ca="1">_xlfn.IFS(EmployeeData[[#This Row],[Status]]="Active",_xlfn.DAYS(TODAY(),EmployeeData[[#This Row],[Join Date]]),EmployeeData[[#This Row],[Status]]="Exited",_xlfn.DAYS(EmployeeData[[#This Row],[Exit Date]],EmployeeData[[#This Row],[Join Date]]))</f>
        <v>1445</v>
      </c>
      <c r="L233" cm="1">
        <f t="array" aca="1" ref="L233" ca="1">_xlfn.IFS(EmployeeData[[#This Row],[Status]]="Exited",DATEDIF(EmployeeData[[#This Row],[Join Date]], EmployeeData[[#This Row],[Exit Date]], "Y"),EmployeeData[[#This Row],[Status]]="Active",DATEDIF(EmployeeData[[#This Row],[Join Date]], TODAY(), "Y"))</f>
        <v>3</v>
      </c>
      <c r="Q233" t="str" cm="1">
        <f t="array" aca="1" ref="Q2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12 days</v>
      </c>
    </row>
    <row r="234" spans="1:17" x14ac:dyDescent="0.3">
      <c r="A234">
        <v>1233</v>
      </c>
      <c r="B234" t="s">
        <v>360</v>
      </c>
      <c r="C234" t="s">
        <v>15</v>
      </c>
      <c r="D234" t="s">
        <v>11</v>
      </c>
      <c r="E234">
        <v>46</v>
      </c>
      <c r="F234" t="str" cm="1">
        <f t="array" ref="F234">_xlfn.IFS(EmployeeData[[#This Row],[Age]]&lt;30,"20s",EmployeeData[[#This Row],[Age]]&lt;40,"30s",EmployeeData[[#This Row],[Age]]&lt;50,"40s",EmployeeData[[#This Row],[Age]]&lt;60,"50s",EmployeeData[[#This Row],[Age]]&gt;=60,"60s")</f>
        <v>40s</v>
      </c>
      <c r="G234" s="5">
        <v>45267</v>
      </c>
      <c r="H234" s="5">
        <v>45585</v>
      </c>
      <c r="I234" t="s">
        <v>52</v>
      </c>
      <c r="J234" t="s">
        <v>13</v>
      </c>
      <c r="K234" cm="1">
        <f t="array" aca="1" ref="K234" ca="1">_xlfn.IFS(EmployeeData[[#This Row],[Status]]="Active",_xlfn.DAYS(TODAY(),EmployeeData[[#This Row],[Join Date]]),EmployeeData[[#This Row],[Status]]="Exited",_xlfn.DAYS(EmployeeData[[#This Row],[Exit Date]],EmployeeData[[#This Row],[Join Date]]))</f>
        <v>318</v>
      </c>
      <c r="L234" cm="1">
        <f t="array" aca="1" ref="L234" ca="1">_xlfn.IFS(EmployeeData[[#This Row],[Status]]="Exited",DATEDIF(EmployeeData[[#This Row],[Join Date]], EmployeeData[[#This Row],[Exit Date]], "Y"),EmployeeData[[#This Row],[Status]]="Active",DATEDIF(EmployeeData[[#This Row],[Join Date]], TODAY(), "Y"))</f>
        <v>0</v>
      </c>
      <c r="Q234" t="str" cm="1">
        <f t="array" aca="1" ref="Q2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13 days</v>
      </c>
    </row>
    <row r="235" spans="1:17" x14ac:dyDescent="0.3">
      <c r="A235">
        <v>1234</v>
      </c>
      <c r="B235" t="s">
        <v>122</v>
      </c>
      <c r="C235" t="s">
        <v>23</v>
      </c>
      <c r="D235" t="s">
        <v>11</v>
      </c>
      <c r="E235">
        <v>36</v>
      </c>
      <c r="F235" t="str" cm="1">
        <f t="array" ref="F235">_xlfn.IFS(EmployeeData[[#This Row],[Age]]&lt;30,"20s",EmployeeData[[#This Row],[Age]]&lt;40,"30s",EmployeeData[[#This Row],[Age]]&lt;50,"40s",EmployeeData[[#This Row],[Age]]&lt;60,"50s",EmployeeData[[#This Row],[Age]]&gt;=60,"60s")</f>
        <v>30s</v>
      </c>
      <c r="G235" s="5">
        <v>44987</v>
      </c>
      <c r="H235" s="5">
        <v>45641</v>
      </c>
      <c r="I235" t="s">
        <v>31</v>
      </c>
      <c r="J235" t="s">
        <v>13</v>
      </c>
      <c r="K235" cm="1">
        <f t="array" aca="1" ref="K235" ca="1">_xlfn.IFS(EmployeeData[[#This Row],[Status]]="Active",_xlfn.DAYS(TODAY(),EmployeeData[[#This Row],[Join Date]]),EmployeeData[[#This Row],[Status]]="Exited",_xlfn.DAYS(EmployeeData[[#This Row],[Exit Date]],EmployeeData[[#This Row],[Join Date]]))</f>
        <v>654</v>
      </c>
      <c r="L235" cm="1">
        <f t="array" aca="1" ref="L235" ca="1">_xlfn.IFS(EmployeeData[[#This Row],[Status]]="Exited",DATEDIF(EmployeeData[[#This Row],[Join Date]], EmployeeData[[#This Row],[Exit Date]], "Y"),EmployeeData[[#This Row],[Status]]="Active",DATEDIF(EmployeeData[[#This Row],[Join Date]], TODAY(), "Y"))</f>
        <v>1</v>
      </c>
      <c r="Q235" t="str" cm="1">
        <f t="array" aca="1" ref="Q2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13 days</v>
      </c>
    </row>
    <row r="236" spans="1:17" x14ac:dyDescent="0.3">
      <c r="A236">
        <v>1235</v>
      </c>
      <c r="B236" t="s">
        <v>223</v>
      </c>
      <c r="C236" t="s">
        <v>10</v>
      </c>
      <c r="D236" t="s">
        <v>11</v>
      </c>
      <c r="E236">
        <v>22</v>
      </c>
      <c r="F236" t="str" cm="1">
        <f t="array" ref="F236">_xlfn.IFS(EmployeeData[[#This Row],[Age]]&lt;30,"20s",EmployeeData[[#This Row],[Age]]&lt;40,"30s",EmployeeData[[#This Row],[Age]]&lt;50,"40s",EmployeeData[[#This Row],[Age]]&lt;60,"50s",EmployeeData[[#This Row],[Age]]&gt;=60,"60s")</f>
        <v>20s</v>
      </c>
      <c r="G236" s="5">
        <v>44086</v>
      </c>
      <c r="H236" s="5">
        <v>44382</v>
      </c>
      <c r="I236" t="s">
        <v>28</v>
      </c>
      <c r="J236" t="s">
        <v>13</v>
      </c>
      <c r="K236" cm="1">
        <f t="array" aca="1" ref="K236" ca="1">_xlfn.IFS(EmployeeData[[#This Row],[Status]]="Active",_xlfn.DAYS(TODAY(),EmployeeData[[#This Row],[Join Date]]),EmployeeData[[#This Row],[Status]]="Exited",_xlfn.DAYS(EmployeeData[[#This Row],[Exit Date]],EmployeeData[[#This Row],[Join Date]]))</f>
        <v>296</v>
      </c>
      <c r="L236" cm="1">
        <f t="array" aca="1" ref="L236" ca="1">_xlfn.IFS(EmployeeData[[#This Row],[Status]]="Exited",DATEDIF(EmployeeData[[#This Row],[Join Date]], EmployeeData[[#This Row],[Exit Date]], "Y"),EmployeeData[[#This Row],[Status]]="Active",DATEDIF(EmployeeData[[#This Row],[Join Date]], TODAY(), "Y"))</f>
        <v>0</v>
      </c>
      <c r="Q236" t="str" cm="1">
        <f t="array" aca="1" ref="Q2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23 days</v>
      </c>
    </row>
    <row r="237" spans="1:17" x14ac:dyDescent="0.3">
      <c r="A237">
        <v>1236</v>
      </c>
      <c r="B237" t="s">
        <v>278</v>
      </c>
      <c r="C237" t="s">
        <v>33</v>
      </c>
      <c r="D237" t="s">
        <v>16</v>
      </c>
      <c r="E237">
        <v>23</v>
      </c>
      <c r="F237" t="str" cm="1">
        <f t="array" ref="F237">_xlfn.IFS(EmployeeData[[#This Row],[Age]]&lt;30,"20s",EmployeeData[[#This Row],[Age]]&lt;40,"30s",EmployeeData[[#This Row],[Age]]&lt;50,"40s",EmployeeData[[#This Row],[Age]]&lt;60,"50s",EmployeeData[[#This Row],[Age]]&gt;=60,"60s")</f>
        <v>20s</v>
      </c>
      <c r="G237" s="5">
        <v>44748</v>
      </c>
      <c r="I237" t="s">
        <v>17</v>
      </c>
      <c r="J237" t="s">
        <v>18</v>
      </c>
      <c r="K237" cm="1">
        <f t="array" aca="1" ref="K237" ca="1">_xlfn.IFS(EmployeeData[[#This Row],[Status]]="Active",_xlfn.DAYS(TODAY(),EmployeeData[[#This Row],[Join Date]]),EmployeeData[[#This Row],[Status]]="Exited",_xlfn.DAYS(EmployeeData[[#This Row],[Exit Date]],EmployeeData[[#This Row],[Join Date]]))</f>
        <v>1449</v>
      </c>
      <c r="L237" cm="1">
        <f t="array" aca="1" ref="L237" ca="1">_xlfn.IFS(EmployeeData[[#This Row],[Status]]="Exited",DATEDIF(EmployeeData[[#This Row],[Join Date]], EmployeeData[[#This Row],[Exit Date]], "Y"),EmployeeData[[#This Row],[Status]]="Active",DATEDIF(EmployeeData[[#This Row],[Join Date]], TODAY(), "Y"))</f>
        <v>3</v>
      </c>
      <c r="Q237" t="str" cm="1">
        <f t="array" aca="1" ref="Q2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18 days</v>
      </c>
    </row>
    <row r="238" spans="1:17" x14ac:dyDescent="0.3">
      <c r="A238">
        <v>1237</v>
      </c>
      <c r="B238" t="s">
        <v>224</v>
      </c>
      <c r="C238" t="s">
        <v>20</v>
      </c>
      <c r="D238" t="s">
        <v>16</v>
      </c>
      <c r="E238">
        <v>39</v>
      </c>
      <c r="F238" t="str" cm="1">
        <f t="array" ref="F238">_xlfn.IFS(EmployeeData[[#This Row],[Age]]&lt;30,"20s",EmployeeData[[#This Row],[Age]]&lt;40,"30s",EmployeeData[[#This Row],[Age]]&lt;50,"40s",EmployeeData[[#This Row],[Age]]&lt;60,"50s",EmployeeData[[#This Row],[Age]]&gt;=60,"60s")</f>
        <v>30s</v>
      </c>
      <c r="G238" s="5">
        <v>44060</v>
      </c>
      <c r="I238" t="s">
        <v>17</v>
      </c>
      <c r="J238" t="s">
        <v>18</v>
      </c>
      <c r="K238" cm="1">
        <f t="array" aca="1" ref="K238" ca="1">_xlfn.IFS(EmployeeData[[#This Row],[Status]]="Active",_xlfn.DAYS(TODAY(),EmployeeData[[#This Row],[Join Date]]),EmployeeData[[#This Row],[Status]]="Exited",_xlfn.DAYS(EmployeeData[[#This Row],[Exit Date]],EmployeeData[[#This Row],[Join Date]]))</f>
        <v>2137</v>
      </c>
      <c r="L238" cm="1">
        <f t="array" aca="1" ref="L238" ca="1">_xlfn.IFS(EmployeeData[[#This Row],[Status]]="Exited",DATEDIF(EmployeeData[[#This Row],[Join Date]], EmployeeData[[#This Row],[Exit Date]], "Y"),EmployeeData[[#This Row],[Status]]="Active",DATEDIF(EmployeeData[[#This Row],[Join Date]], TODAY(), "Y"))</f>
        <v>5</v>
      </c>
      <c r="Q238" t="str" cm="1">
        <f t="array" aca="1" ref="Q2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7 days</v>
      </c>
    </row>
    <row r="239" spans="1:17" x14ac:dyDescent="0.3">
      <c r="A239">
        <v>1238</v>
      </c>
      <c r="B239" t="s">
        <v>662</v>
      </c>
      <c r="C239" t="s">
        <v>15</v>
      </c>
      <c r="D239" t="s">
        <v>11</v>
      </c>
      <c r="E239">
        <v>54</v>
      </c>
      <c r="F239" t="str" cm="1">
        <f t="array" ref="F239">_xlfn.IFS(EmployeeData[[#This Row],[Age]]&lt;30,"20s",EmployeeData[[#This Row],[Age]]&lt;40,"30s",EmployeeData[[#This Row],[Age]]&lt;50,"40s",EmployeeData[[#This Row],[Age]]&lt;60,"50s",EmployeeData[[#This Row],[Age]]&gt;=60,"60s")</f>
        <v>50s</v>
      </c>
      <c r="G239" s="5">
        <v>44006</v>
      </c>
      <c r="I239" t="s">
        <v>17</v>
      </c>
      <c r="J239" t="s">
        <v>18</v>
      </c>
      <c r="K239" cm="1">
        <f t="array" aca="1" ref="K239" ca="1">_xlfn.IFS(EmployeeData[[#This Row],[Status]]="Active",_xlfn.DAYS(TODAY(),EmployeeData[[#This Row],[Join Date]]),EmployeeData[[#This Row],[Status]]="Exited",_xlfn.DAYS(EmployeeData[[#This Row],[Exit Date]],EmployeeData[[#This Row],[Join Date]]))</f>
        <v>2191</v>
      </c>
      <c r="L239" cm="1">
        <f t="array" aca="1" ref="L239" ca="1">_xlfn.IFS(EmployeeData[[#This Row],[Status]]="Exited",DATEDIF(EmployeeData[[#This Row],[Join Date]], EmployeeData[[#This Row],[Exit Date]], "Y"),EmployeeData[[#This Row],[Status]]="Active",DATEDIF(EmployeeData[[#This Row],[Join Date]], TODAY(), "Y"))</f>
        <v>6</v>
      </c>
      <c r="Q239" t="str" cm="1">
        <f t="array" aca="1" ref="Q2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0 days</v>
      </c>
    </row>
    <row r="240" spans="1:17" x14ac:dyDescent="0.3">
      <c r="A240">
        <v>1239</v>
      </c>
      <c r="B240" t="s">
        <v>924</v>
      </c>
      <c r="C240" t="s">
        <v>23</v>
      </c>
      <c r="D240" t="s">
        <v>24</v>
      </c>
      <c r="E240">
        <v>52</v>
      </c>
      <c r="F240" t="str" cm="1">
        <f t="array" ref="F240">_xlfn.IFS(EmployeeData[[#This Row],[Age]]&lt;30,"20s",EmployeeData[[#This Row],[Age]]&lt;40,"30s",EmployeeData[[#This Row],[Age]]&lt;50,"40s",EmployeeData[[#This Row],[Age]]&lt;60,"50s",EmployeeData[[#This Row],[Age]]&gt;=60,"60s")</f>
        <v>50s</v>
      </c>
      <c r="G240" s="5">
        <v>43293</v>
      </c>
      <c r="I240" t="s">
        <v>17</v>
      </c>
      <c r="J240" t="s">
        <v>18</v>
      </c>
      <c r="K240" cm="1">
        <f t="array" aca="1" ref="K240" ca="1">_xlfn.IFS(EmployeeData[[#This Row],[Status]]="Active",_xlfn.DAYS(TODAY(),EmployeeData[[#This Row],[Join Date]]),EmployeeData[[#This Row],[Status]]="Exited",_xlfn.DAYS(EmployeeData[[#This Row],[Exit Date]],EmployeeData[[#This Row],[Join Date]]))</f>
        <v>2904</v>
      </c>
      <c r="L240" cm="1">
        <f t="array" aca="1" ref="L240" ca="1">_xlfn.IFS(EmployeeData[[#This Row],[Status]]="Exited",DATEDIF(EmployeeData[[#This Row],[Join Date]], EmployeeData[[#This Row],[Exit Date]], "Y"),EmployeeData[[#This Row],[Status]]="Active",DATEDIF(EmployeeData[[#This Row],[Join Date]], TODAY(), "Y"))</f>
        <v>7</v>
      </c>
      <c r="Q240" t="str" cm="1">
        <f t="array" aca="1" ref="Q2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12 days</v>
      </c>
    </row>
    <row r="241" spans="1:17" x14ac:dyDescent="0.3">
      <c r="A241">
        <v>1240</v>
      </c>
      <c r="B241" t="s">
        <v>1077</v>
      </c>
      <c r="C241" t="s">
        <v>10</v>
      </c>
      <c r="D241" t="s">
        <v>16</v>
      </c>
      <c r="E241">
        <v>32</v>
      </c>
      <c r="F241" t="str" cm="1">
        <f t="array" ref="F241">_xlfn.IFS(EmployeeData[[#This Row],[Age]]&lt;30,"20s",EmployeeData[[#This Row],[Age]]&lt;40,"30s",EmployeeData[[#This Row],[Age]]&lt;50,"40s",EmployeeData[[#This Row],[Age]]&lt;60,"50s",EmployeeData[[#This Row],[Age]]&gt;=60,"60s")</f>
        <v>30s</v>
      </c>
      <c r="G241" s="5">
        <v>45304</v>
      </c>
      <c r="I241" t="s">
        <v>17</v>
      </c>
      <c r="J241" t="s">
        <v>18</v>
      </c>
      <c r="K241" cm="1">
        <f t="array" aca="1" ref="K241" ca="1">_xlfn.IFS(EmployeeData[[#This Row],[Status]]="Active",_xlfn.DAYS(TODAY(),EmployeeData[[#This Row],[Join Date]]),EmployeeData[[#This Row],[Status]]="Exited",_xlfn.DAYS(EmployeeData[[#This Row],[Exit Date]],EmployeeData[[#This Row],[Join Date]]))</f>
        <v>893</v>
      </c>
      <c r="L241" cm="1">
        <f t="array" aca="1" ref="L241" ca="1">_xlfn.IFS(EmployeeData[[#This Row],[Status]]="Exited",DATEDIF(EmployeeData[[#This Row],[Join Date]], EmployeeData[[#This Row],[Exit Date]], "Y"),EmployeeData[[#This Row],[Status]]="Active",DATEDIF(EmployeeData[[#This Row],[Join Date]], TODAY(), "Y"))</f>
        <v>2</v>
      </c>
      <c r="Q241" t="str" cm="1">
        <f t="array" aca="1" ref="Q2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11 days</v>
      </c>
    </row>
    <row r="242" spans="1:17" x14ac:dyDescent="0.3">
      <c r="A242">
        <v>1241</v>
      </c>
      <c r="B242" t="s">
        <v>1023</v>
      </c>
      <c r="C242" t="s">
        <v>15</v>
      </c>
      <c r="D242" t="s">
        <v>24</v>
      </c>
      <c r="E242">
        <v>24</v>
      </c>
      <c r="F242" t="str" cm="1">
        <f t="array" ref="F242">_xlfn.IFS(EmployeeData[[#This Row],[Age]]&lt;30,"20s",EmployeeData[[#This Row],[Age]]&lt;40,"30s",EmployeeData[[#This Row],[Age]]&lt;50,"40s",EmployeeData[[#This Row],[Age]]&lt;60,"50s",EmployeeData[[#This Row],[Age]]&gt;=60,"60s")</f>
        <v>20s</v>
      </c>
      <c r="G242" s="5">
        <v>45404</v>
      </c>
      <c r="I242" t="s">
        <v>17</v>
      </c>
      <c r="J242" t="s">
        <v>18</v>
      </c>
      <c r="K242" cm="1">
        <f t="array" aca="1" ref="K242" ca="1">_xlfn.IFS(EmployeeData[[#This Row],[Status]]="Active",_xlfn.DAYS(TODAY(),EmployeeData[[#This Row],[Join Date]]),EmployeeData[[#This Row],[Status]]="Exited",_xlfn.DAYS(EmployeeData[[#This Row],[Exit Date]],EmployeeData[[#This Row],[Join Date]]))</f>
        <v>793</v>
      </c>
      <c r="L242" cm="1">
        <f t="array" aca="1" ref="L242" ca="1">_xlfn.IFS(EmployeeData[[#This Row],[Status]]="Exited",DATEDIF(EmployeeData[[#This Row],[Join Date]], EmployeeData[[#This Row],[Exit Date]], "Y"),EmployeeData[[#This Row],[Status]]="Active",DATEDIF(EmployeeData[[#This Row],[Join Date]], TODAY(), "Y"))</f>
        <v>2</v>
      </c>
      <c r="Q242" t="str" cm="1">
        <f t="array" aca="1" ref="Q2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 days</v>
      </c>
    </row>
    <row r="243" spans="1:17" x14ac:dyDescent="0.3">
      <c r="A243">
        <v>1242</v>
      </c>
      <c r="B243" t="s">
        <v>888</v>
      </c>
      <c r="C243" t="s">
        <v>10</v>
      </c>
      <c r="D243" t="s">
        <v>16</v>
      </c>
      <c r="E243">
        <v>26</v>
      </c>
      <c r="F243" t="str" cm="1">
        <f t="array" ref="F243">_xlfn.IFS(EmployeeData[[#This Row],[Age]]&lt;30,"20s",EmployeeData[[#This Row],[Age]]&lt;40,"30s",EmployeeData[[#This Row],[Age]]&lt;50,"40s",EmployeeData[[#This Row],[Age]]&lt;60,"50s",EmployeeData[[#This Row],[Age]]&gt;=60,"60s")</f>
        <v>20s</v>
      </c>
      <c r="G243" s="5">
        <v>44943</v>
      </c>
      <c r="I243" t="s">
        <v>17</v>
      </c>
      <c r="J243" t="s">
        <v>18</v>
      </c>
      <c r="K243" cm="1">
        <f t="array" aca="1" ref="K243" ca="1">_xlfn.IFS(EmployeeData[[#This Row],[Status]]="Active",_xlfn.DAYS(TODAY(),EmployeeData[[#This Row],[Join Date]]),EmployeeData[[#This Row],[Status]]="Exited",_xlfn.DAYS(EmployeeData[[#This Row],[Exit Date]],EmployeeData[[#This Row],[Join Date]]))</f>
        <v>1254</v>
      </c>
      <c r="L243" cm="1">
        <f t="array" aca="1" ref="L243" ca="1">_xlfn.IFS(EmployeeData[[#This Row],[Status]]="Exited",DATEDIF(EmployeeData[[#This Row],[Join Date]], EmployeeData[[#This Row],[Exit Date]], "Y"),EmployeeData[[#This Row],[Status]]="Active",DATEDIF(EmployeeData[[#This Row],[Join Date]], TODAY(), "Y"))</f>
        <v>3</v>
      </c>
      <c r="Q243" t="str" cm="1">
        <f t="array" aca="1" ref="Q2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7 days</v>
      </c>
    </row>
    <row r="244" spans="1:17" x14ac:dyDescent="0.3">
      <c r="A244">
        <v>1243</v>
      </c>
      <c r="B244" t="s">
        <v>129</v>
      </c>
      <c r="C244" t="s">
        <v>15</v>
      </c>
      <c r="D244" t="s">
        <v>16</v>
      </c>
      <c r="E244">
        <v>23</v>
      </c>
      <c r="F244" t="str" cm="1">
        <f t="array" ref="F244">_xlfn.IFS(EmployeeData[[#This Row],[Age]]&lt;30,"20s",EmployeeData[[#This Row],[Age]]&lt;40,"30s",EmployeeData[[#This Row],[Age]]&lt;50,"40s",EmployeeData[[#This Row],[Age]]&lt;60,"50s",EmployeeData[[#This Row],[Age]]&gt;=60,"60s")</f>
        <v>20s</v>
      </c>
      <c r="G244" s="5">
        <v>43399</v>
      </c>
      <c r="H244" s="5">
        <v>44377</v>
      </c>
      <c r="I244" t="s">
        <v>12</v>
      </c>
      <c r="J244" t="s">
        <v>13</v>
      </c>
      <c r="K244" cm="1">
        <f t="array" aca="1" ref="K244" ca="1">_xlfn.IFS(EmployeeData[[#This Row],[Status]]="Active",_xlfn.DAYS(TODAY(),EmployeeData[[#This Row],[Join Date]]),EmployeeData[[#This Row],[Status]]="Exited",_xlfn.DAYS(EmployeeData[[#This Row],[Exit Date]],EmployeeData[[#This Row],[Join Date]]))</f>
        <v>978</v>
      </c>
      <c r="L244" cm="1">
        <f t="array" aca="1" ref="L244" ca="1">_xlfn.IFS(EmployeeData[[#This Row],[Status]]="Exited",DATEDIF(EmployeeData[[#This Row],[Join Date]], EmployeeData[[#This Row],[Exit Date]], "Y"),EmployeeData[[#This Row],[Status]]="Active",DATEDIF(EmployeeData[[#This Row],[Join Date]], TODAY(), "Y"))</f>
        <v>2</v>
      </c>
      <c r="Q244" t="str" cm="1">
        <f t="array" aca="1" ref="Q2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4 days</v>
      </c>
    </row>
    <row r="245" spans="1:17" x14ac:dyDescent="0.3">
      <c r="A245">
        <v>1244</v>
      </c>
      <c r="B245" t="s">
        <v>946</v>
      </c>
      <c r="C245" t="s">
        <v>15</v>
      </c>
      <c r="D245" t="s">
        <v>11</v>
      </c>
      <c r="E245">
        <v>28</v>
      </c>
      <c r="F245" t="str" cm="1">
        <f t="array" ref="F245">_xlfn.IFS(EmployeeData[[#This Row],[Age]]&lt;30,"20s",EmployeeData[[#This Row],[Age]]&lt;40,"30s",EmployeeData[[#This Row],[Age]]&lt;50,"40s",EmployeeData[[#This Row],[Age]]&lt;60,"50s",EmployeeData[[#This Row],[Age]]&gt;=60,"60s")</f>
        <v>20s</v>
      </c>
      <c r="G245" s="5">
        <v>45062</v>
      </c>
      <c r="I245" t="s">
        <v>17</v>
      </c>
      <c r="J245" t="s">
        <v>18</v>
      </c>
      <c r="K245" cm="1">
        <f t="array" aca="1" ref="K245" ca="1">_xlfn.IFS(EmployeeData[[#This Row],[Status]]="Active",_xlfn.DAYS(TODAY(),EmployeeData[[#This Row],[Join Date]]),EmployeeData[[#This Row],[Status]]="Exited",_xlfn.DAYS(EmployeeData[[#This Row],[Exit Date]],EmployeeData[[#This Row],[Join Date]]))</f>
        <v>1135</v>
      </c>
      <c r="L245" cm="1">
        <f t="array" aca="1" ref="L245" ca="1">_xlfn.IFS(EmployeeData[[#This Row],[Status]]="Exited",DATEDIF(EmployeeData[[#This Row],[Join Date]], EmployeeData[[#This Row],[Exit Date]], "Y"),EmployeeData[[#This Row],[Status]]="Active",DATEDIF(EmployeeData[[#This Row],[Join Date]], TODAY(), "Y"))</f>
        <v>3</v>
      </c>
      <c r="Q245" t="str" cm="1">
        <f t="array" aca="1" ref="Q2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8 days</v>
      </c>
    </row>
    <row r="246" spans="1:17" x14ac:dyDescent="0.3">
      <c r="A246">
        <v>1245</v>
      </c>
      <c r="B246" t="s">
        <v>1091</v>
      </c>
      <c r="C246" t="s">
        <v>23</v>
      </c>
      <c r="D246" t="s">
        <v>11</v>
      </c>
      <c r="E246">
        <v>45</v>
      </c>
      <c r="F246" t="str" cm="1">
        <f t="array" ref="F246">_xlfn.IFS(EmployeeData[[#This Row],[Age]]&lt;30,"20s",EmployeeData[[#This Row],[Age]]&lt;40,"30s",EmployeeData[[#This Row],[Age]]&lt;50,"40s",EmployeeData[[#This Row],[Age]]&lt;60,"50s",EmployeeData[[#This Row],[Age]]&gt;=60,"60s")</f>
        <v>40s</v>
      </c>
      <c r="G246" s="5">
        <v>45010</v>
      </c>
      <c r="I246" t="s">
        <v>17</v>
      </c>
      <c r="J246" t="s">
        <v>18</v>
      </c>
      <c r="K246" cm="1">
        <f t="array" aca="1" ref="K246" ca="1">_xlfn.IFS(EmployeeData[[#This Row],[Status]]="Active",_xlfn.DAYS(TODAY(),EmployeeData[[#This Row],[Join Date]]),EmployeeData[[#This Row],[Status]]="Exited",_xlfn.DAYS(EmployeeData[[#This Row],[Exit Date]],EmployeeData[[#This Row],[Join Date]]))</f>
        <v>1187</v>
      </c>
      <c r="L246" cm="1">
        <f t="array" aca="1" ref="L246" ca="1">_xlfn.IFS(EmployeeData[[#This Row],[Status]]="Exited",DATEDIF(EmployeeData[[#This Row],[Join Date]], EmployeeData[[#This Row],[Exit Date]], "Y"),EmployeeData[[#This Row],[Status]]="Active",DATEDIF(EmployeeData[[#This Row],[Join Date]], TODAY(), "Y"))</f>
        <v>3</v>
      </c>
      <c r="Q246" t="str" cm="1">
        <f t="array" aca="1" ref="Q2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30 days</v>
      </c>
    </row>
    <row r="247" spans="1:17" x14ac:dyDescent="0.3">
      <c r="A247">
        <v>1246</v>
      </c>
      <c r="B247" t="s">
        <v>148</v>
      </c>
      <c r="C247" t="s">
        <v>23</v>
      </c>
      <c r="D247" t="s">
        <v>11</v>
      </c>
      <c r="E247">
        <v>51</v>
      </c>
      <c r="F247" t="str" cm="1">
        <f t="array" ref="F247">_xlfn.IFS(EmployeeData[[#This Row],[Age]]&lt;30,"20s",EmployeeData[[#This Row],[Age]]&lt;40,"30s",EmployeeData[[#This Row],[Age]]&lt;50,"40s",EmployeeData[[#This Row],[Age]]&lt;60,"50s",EmployeeData[[#This Row],[Age]]&gt;=60,"60s")</f>
        <v>50s</v>
      </c>
      <c r="G247" s="5">
        <v>44412</v>
      </c>
      <c r="I247" t="s">
        <v>17</v>
      </c>
      <c r="J247" t="s">
        <v>18</v>
      </c>
      <c r="K247" cm="1">
        <f t="array" aca="1" ref="K247" ca="1">_xlfn.IFS(EmployeeData[[#This Row],[Status]]="Active",_xlfn.DAYS(TODAY(),EmployeeData[[#This Row],[Join Date]]),EmployeeData[[#This Row],[Status]]="Exited",_xlfn.DAYS(EmployeeData[[#This Row],[Exit Date]],EmployeeData[[#This Row],[Join Date]]))</f>
        <v>1785</v>
      </c>
      <c r="L247" cm="1">
        <f t="array" aca="1" ref="L247" ca="1">_xlfn.IFS(EmployeeData[[#This Row],[Status]]="Exited",DATEDIF(EmployeeData[[#This Row],[Join Date]], EmployeeData[[#This Row],[Exit Date]], "Y"),EmployeeData[[#This Row],[Status]]="Active",DATEDIF(EmployeeData[[#This Row],[Join Date]], TODAY(), "Y"))</f>
        <v>4</v>
      </c>
      <c r="Q247" t="str" cm="1">
        <f t="array" aca="1" ref="Q2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20 days</v>
      </c>
    </row>
    <row r="248" spans="1:17" x14ac:dyDescent="0.3">
      <c r="A248">
        <v>1247</v>
      </c>
      <c r="B248" t="s">
        <v>872</v>
      </c>
      <c r="C248" t="s">
        <v>20</v>
      </c>
      <c r="D248" t="s">
        <v>16</v>
      </c>
      <c r="E248">
        <v>56</v>
      </c>
      <c r="F248" t="str" cm="1">
        <f t="array" ref="F248">_xlfn.IFS(EmployeeData[[#This Row],[Age]]&lt;30,"20s",EmployeeData[[#This Row],[Age]]&lt;40,"30s",EmployeeData[[#This Row],[Age]]&lt;50,"40s",EmployeeData[[#This Row],[Age]]&lt;60,"50s",EmployeeData[[#This Row],[Age]]&gt;=60,"60s")</f>
        <v>50s</v>
      </c>
      <c r="G248" s="5">
        <v>45493</v>
      </c>
      <c r="I248" t="s">
        <v>17</v>
      </c>
      <c r="J248" t="s">
        <v>18</v>
      </c>
      <c r="K248" cm="1">
        <f t="array" aca="1" ref="K248" ca="1">_xlfn.IFS(EmployeeData[[#This Row],[Status]]="Active",_xlfn.DAYS(TODAY(),EmployeeData[[#This Row],[Join Date]]),EmployeeData[[#This Row],[Status]]="Exited",_xlfn.DAYS(EmployeeData[[#This Row],[Exit Date]],EmployeeData[[#This Row],[Join Date]]))</f>
        <v>704</v>
      </c>
      <c r="L248" cm="1">
        <f t="array" aca="1" ref="L248" ca="1">_xlfn.IFS(EmployeeData[[#This Row],[Status]]="Exited",DATEDIF(EmployeeData[[#This Row],[Join Date]], EmployeeData[[#This Row],[Exit Date]], "Y"),EmployeeData[[#This Row],[Status]]="Active",DATEDIF(EmployeeData[[#This Row],[Join Date]], TODAY(), "Y"))</f>
        <v>1</v>
      </c>
      <c r="Q248" t="str" cm="1">
        <f t="array" aca="1" ref="Q2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4 days</v>
      </c>
    </row>
    <row r="249" spans="1:17" x14ac:dyDescent="0.3">
      <c r="A249">
        <v>1248</v>
      </c>
      <c r="B249" t="s">
        <v>496</v>
      </c>
      <c r="C249" t="s">
        <v>15</v>
      </c>
      <c r="D249" t="s">
        <v>24</v>
      </c>
      <c r="E249">
        <v>36</v>
      </c>
      <c r="F249" t="str" cm="1">
        <f t="array" ref="F249">_xlfn.IFS(EmployeeData[[#This Row],[Age]]&lt;30,"20s",EmployeeData[[#This Row],[Age]]&lt;40,"30s",EmployeeData[[#This Row],[Age]]&lt;50,"40s",EmployeeData[[#This Row],[Age]]&lt;60,"50s",EmployeeData[[#This Row],[Age]]&gt;=60,"60s")</f>
        <v>30s</v>
      </c>
      <c r="G249" s="5">
        <v>45146</v>
      </c>
      <c r="I249" t="s">
        <v>17</v>
      </c>
      <c r="J249" t="s">
        <v>18</v>
      </c>
      <c r="K249" cm="1">
        <f t="array" aca="1" ref="K249" ca="1">_xlfn.IFS(EmployeeData[[#This Row],[Status]]="Active",_xlfn.DAYS(TODAY(),EmployeeData[[#This Row],[Join Date]]),EmployeeData[[#This Row],[Status]]="Exited",_xlfn.DAYS(EmployeeData[[#This Row],[Exit Date]],EmployeeData[[#This Row],[Join Date]]))</f>
        <v>1051</v>
      </c>
      <c r="L249" cm="1">
        <f t="array" aca="1" ref="L249" ca="1">_xlfn.IFS(EmployeeData[[#This Row],[Status]]="Exited",DATEDIF(EmployeeData[[#This Row],[Join Date]], EmployeeData[[#This Row],[Exit Date]], "Y"),EmployeeData[[#This Row],[Status]]="Active",DATEDIF(EmployeeData[[#This Row],[Join Date]], TODAY(), "Y"))</f>
        <v>2</v>
      </c>
      <c r="Q249" t="str" cm="1">
        <f t="array" aca="1" ref="Q2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16 days</v>
      </c>
    </row>
    <row r="250" spans="1:17" x14ac:dyDescent="0.3">
      <c r="A250">
        <v>1249</v>
      </c>
      <c r="B250" t="s">
        <v>981</v>
      </c>
      <c r="C250" t="s">
        <v>23</v>
      </c>
      <c r="D250" t="s">
        <v>11</v>
      </c>
      <c r="E250">
        <v>52</v>
      </c>
      <c r="F250" t="str" cm="1">
        <f t="array" ref="F250">_xlfn.IFS(EmployeeData[[#This Row],[Age]]&lt;30,"20s",EmployeeData[[#This Row],[Age]]&lt;40,"30s",EmployeeData[[#This Row],[Age]]&lt;50,"40s",EmployeeData[[#This Row],[Age]]&lt;60,"50s",EmployeeData[[#This Row],[Age]]&gt;=60,"60s")</f>
        <v>50s</v>
      </c>
      <c r="G250" s="5">
        <v>44988</v>
      </c>
      <c r="H250" s="5">
        <v>45799</v>
      </c>
      <c r="I250" t="s">
        <v>31</v>
      </c>
      <c r="J250" t="s">
        <v>13</v>
      </c>
      <c r="K250" cm="1">
        <f t="array" aca="1" ref="K250" ca="1">_xlfn.IFS(EmployeeData[[#This Row],[Status]]="Active",_xlfn.DAYS(TODAY(),EmployeeData[[#This Row],[Join Date]]),EmployeeData[[#This Row],[Status]]="Exited",_xlfn.DAYS(EmployeeData[[#This Row],[Exit Date]],EmployeeData[[#This Row],[Join Date]]))</f>
        <v>811</v>
      </c>
      <c r="L250" cm="1">
        <f t="array" aca="1" ref="L250" ca="1">_xlfn.IFS(EmployeeData[[#This Row],[Status]]="Exited",DATEDIF(EmployeeData[[#This Row],[Join Date]], EmployeeData[[#This Row],[Exit Date]], "Y"),EmployeeData[[#This Row],[Status]]="Active",DATEDIF(EmployeeData[[#This Row],[Join Date]], TODAY(), "Y"))</f>
        <v>2</v>
      </c>
      <c r="Q250" t="str" cm="1">
        <f t="array" aca="1" ref="Q2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19 days</v>
      </c>
    </row>
    <row r="251" spans="1:17" x14ac:dyDescent="0.3">
      <c r="A251">
        <v>1250</v>
      </c>
      <c r="B251" t="s">
        <v>727</v>
      </c>
      <c r="C251" t="s">
        <v>23</v>
      </c>
      <c r="D251" t="s">
        <v>11</v>
      </c>
      <c r="E251">
        <v>25</v>
      </c>
      <c r="F251" t="str" cm="1">
        <f t="array" ref="F251">_xlfn.IFS(EmployeeData[[#This Row],[Age]]&lt;30,"20s",EmployeeData[[#This Row],[Age]]&lt;40,"30s",EmployeeData[[#This Row],[Age]]&lt;50,"40s",EmployeeData[[#This Row],[Age]]&lt;60,"50s",EmployeeData[[#This Row],[Age]]&gt;=60,"60s")</f>
        <v>20s</v>
      </c>
      <c r="G251" s="5">
        <v>45838</v>
      </c>
      <c r="H251" s="5">
        <v>45931</v>
      </c>
      <c r="I251" t="s">
        <v>12</v>
      </c>
      <c r="J251" t="s">
        <v>13</v>
      </c>
      <c r="K251" cm="1">
        <f t="array" aca="1" ref="K251" ca="1">_xlfn.IFS(EmployeeData[[#This Row],[Status]]="Active",_xlfn.DAYS(TODAY(),EmployeeData[[#This Row],[Join Date]]),EmployeeData[[#This Row],[Status]]="Exited",_xlfn.DAYS(EmployeeData[[#This Row],[Exit Date]],EmployeeData[[#This Row],[Join Date]]))</f>
        <v>93</v>
      </c>
      <c r="L251" cm="1">
        <f t="array" aca="1" ref="L251" ca="1">_xlfn.IFS(EmployeeData[[#This Row],[Status]]="Exited",DATEDIF(EmployeeData[[#This Row],[Join Date]], EmployeeData[[#This Row],[Exit Date]], "Y"),EmployeeData[[#This Row],[Status]]="Active",DATEDIF(EmployeeData[[#This Row],[Join Date]], TODAY(), "Y"))</f>
        <v>0</v>
      </c>
      <c r="Q251" t="str" cm="1">
        <f t="array" aca="1" ref="Q2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1 days</v>
      </c>
    </row>
    <row r="252" spans="1:17" x14ac:dyDescent="0.3">
      <c r="A252">
        <v>1251</v>
      </c>
      <c r="B252" t="s">
        <v>933</v>
      </c>
      <c r="C252" t="s">
        <v>15</v>
      </c>
      <c r="D252" t="s">
        <v>24</v>
      </c>
      <c r="E252">
        <v>44</v>
      </c>
      <c r="F252" t="str" cm="1">
        <f t="array" ref="F252">_xlfn.IFS(EmployeeData[[#This Row],[Age]]&lt;30,"20s",EmployeeData[[#This Row],[Age]]&lt;40,"30s",EmployeeData[[#This Row],[Age]]&lt;50,"40s",EmployeeData[[#This Row],[Age]]&lt;60,"50s",EmployeeData[[#This Row],[Age]]&gt;=60,"60s")</f>
        <v>40s</v>
      </c>
      <c r="G252" s="5">
        <v>43348</v>
      </c>
      <c r="I252" t="s">
        <v>17</v>
      </c>
      <c r="J252" t="s">
        <v>18</v>
      </c>
      <c r="K252" cm="1">
        <f t="array" aca="1" ref="K252" ca="1">_xlfn.IFS(EmployeeData[[#This Row],[Status]]="Active",_xlfn.DAYS(TODAY(),EmployeeData[[#This Row],[Join Date]]),EmployeeData[[#This Row],[Status]]="Exited",_xlfn.DAYS(EmployeeData[[#This Row],[Exit Date]],EmployeeData[[#This Row],[Join Date]]))</f>
        <v>2849</v>
      </c>
      <c r="L252" cm="1">
        <f t="array" aca="1" ref="L252" ca="1">_xlfn.IFS(EmployeeData[[#This Row],[Status]]="Exited",DATEDIF(EmployeeData[[#This Row],[Join Date]], EmployeeData[[#This Row],[Exit Date]], "Y"),EmployeeData[[#This Row],[Status]]="Active",DATEDIF(EmployeeData[[#This Row],[Join Date]], TODAY(), "Y"))</f>
        <v>7</v>
      </c>
      <c r="Q252" t="str" cm="1">
        <f t="array" aca="1" ref="Q2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19 days</v>
      </c>
    </row>
    <row r="253" spans="1:17" x14ac:dyDescent="0.3">
      <c r="A253">
        <v>1252</v>
      </c>
      <c r="B253" t="s">
        <v>815</v>
      </c>
      <c r="C253" t="s">
        <v>23</v>
      </c>
      <c r="D253" t="s">
        <v>24</v>
      </c>
      <c r="E253">
        <v>22</v>
      </c>
      <c r="F253" t="str" cm="1">
        <f t="array" ref="F253">_xlfn.IFS(EmployeeData[[#This Row],[Age]]&lt;30,"20s",EmployeeData[[#This Row],[Age]]&lt;40,"30s",EmployeeData[[#This Row],[Age]]&lt;50,"40s",EmployeeData[[#This Row],[Age]]&lt;60,"50s",EmployeeData[[#This Row],[Age]]&gt;=60,"60s")</f>
        <v>20s</v>
      </c>
      <c r="G253" s="5">
        <v>45269</v>
      </c>
      <c r="I253" t="s">
        <v>17</v>
      </c>
      <c r="J253" t="s">
        <v>18</v>
      </c>
      <c r="K253" cm="1">
        <f t="array" aca="1" ref="K253" ca="1">_xlfn.IFS(EmployeeData[[#This Row],[Status]]="Active",_xlfn.DAYS(TODAY(),EmployeeData[[#This Row],[Join Date]]),EmployeeData[[#This Row],[Status]]="Exited",_xlfn.DAYS(EmployeeData[[#This Row],[Exit Date]],EmployeeData[[#This Row],[Join Date]]))</f>
        <v>928</v>
      </c>
      <c r="L253" cm="1">
        <f t="array" aca="1" ref="L253" ca="1">_xlfn.IFS(EmployeeData[[#This Row],[Status]]="Exited",DATEDIF(EmployeeData[[#This Row],[Join Date]], EmployeeData[[#This Row],[Exit Date]], "Y"),EmployeeData[[#This Row],[Status]]="Active",DATEDIF(EmployeeData[[#This Row],[Join Date]], TODAY(), "Y"))</f>
        <v>2</v>
      </c>
      <c r="Q253" t="str" cm="1">
        <f t="array" aca="1" ref="Q2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15 days</v>
      </c>
    </row>
    <row r="254" spans="1:17" x14ac:dyDescent="0.3">
      <c r="A254">
        <v>1253</v>
      </c>
      <c r="B254" t="s">
        <v>923</v>
      </c>
      <c r="C254" t="s">
        <v>33</v>
      </c>
      <c r="D254" t="s">
        <v>11</v>
      </c>
      <c r="E254">
        <v>27</v>
      </c>
      <c r="F254" t="str" cm="1">
        <f t="array" ref="F254">_xlfn.IFS(EmployeeData[[#This Row],[Age]]&lt;30,"20s",EmployeeData[[#This Row],[Age]]&lt;40,"30s",EmployeeData[[#This Row],[Age]]&lt;50,"40s",EmployeeData[[#This Row],[Age]]&lt;60,"50s",EmployeeData[[#This Row],[Age]]&gt;=60,"60s")</f>
        <v>20s</v>
      </c>
      <c r="G254" s="5">
        <v>43495</v>
      </c>
      <c r="I254" t="s">
        <v>17</v>
      </c>
      <c r="J254" t="s">
        <v>18</v>
      </c>
      <c r="K254" cm="1">
        <f t="array" aca="1" ref="K254" ca="1">_xlfn.IFS(EmployeeData[[#This Row],[Status]]="Active",_xlfn.DAYS(TODAY(),EmployeeData[[#This Row],[Join Date]]),EmployeeData[[#This Row],[Status]]="Exited",_xlfn.DAYS(EmployeeData[[#This Row],[Exit Date]],EmployeeData[[#This Row],[Join Date]]))</f>
        <v>2702</v>
      </c>
      <c r="L254" cm="1">
        <f t="array" aca="1" ref="L254" ca="1">_xlfn.IFS(EmployeeData[[#This Row],[Status]]="Exited",DATEDIF(EmployeeData[[#This Row],[Join Date]], EmployeeData[[#This Row],[Exit Date]], "Y"),EmployeeData[[#This Row],[Status]]="Active",DATEDIF(EmployeeData[[#This Row],[Join Date]], TODAY(), "Y"))</f>
        <v>7</v>
      </c>
      <c r="Q254" t="str" cm="1">
        <f t="array" aca="1" ref="Q2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25 days</v>
      </c>
    </row>
    <row r="255" spans="1:17" x14ac:dyDescent="0.3">
      <c r="A255">
        <v>1254</v>
      </c>
      <c r="B255" t="s">
        <v>75</v>
      </c>
      <c r="C255" t="s">
        <v>10</v>
      </c>
      <c r="D255" t="s">
        <v>24</v>
      </c>
      <c r="E255">
        <v>46</v>
      </c>
      <c r="F255" t="str" cm="1">
        <f t="array" ref="F255">_xlfn.IFS(EmployeeData[[#This Row],[Age]]&lt;30,"20s",EmployeeData[[#This Row],[Age]]&lt;40,"30s",EmployeeData[[#This Row],[Age]]&lt;50,"40s",EmployeeData[[#This Row],[Age]]&lt;60,"50s",EmployeeData[[#This Row],[Age]]&gt;=60,"60s")</f>
        <v>40s</v>
      </c>
      <c r="G255" s="5">
        <v>43424</v>
      </c>
      <c r="H255" s="5">
        <v>45177</v>
      </c>
      <c r="I255" t="s">
        <v>12</v>
      </c>
      <c r="J255" t="s">
        <v>13</v>
      </c>
      <c r="K255" cm="1">
        <f t="array" aca="1" ref="K255" ca="1">_xlfn.IFS(EmployeeData[[#This Row],[Status]]="Active",_xlfn.DAYS(TODAY(),EmployeeData[[#This Row],[Join Date]]),EmployeeData[[#This Row],[Status]]="Exited",_xlfn.DAYS(EmployeeData[[#This Row],[Exit Date]],EmployeeData[[#This Row],[Join Date]]))</f>
        <v>1753</v>
      </c>
      <c r="L255" cm="1">
        <f t="array" aca="1" ref="L255" ca="1">_xlfn.IFS(EmployeeData[[#This Row],[Status]]="Exited",DATEDIF(EmployeeData[[#This Row],[Join Date]], EmployeeData[[#This Row],[Exit Date]], "Y"),EmployeeData[[#This Row],[Status]]="Active",DATEDIF(EmployeeData[[#This Row],[Join Date]], TODAY(), "Y"))</f>
        <v>4</v>
      </c>
      <c r="Q255" t="str" cm="1">
        <f t="array" aca="1" ref="Q2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19 days</v>
      </c>
    </row>
    <row r="256" spans="1:17" x14ac:dyDescent="0.3">
      <c r="A256">
        <v>1255</v>
      </c>
      <c r="B256" t="s">
        <v>126</v>
      </c>
      <c r="C256" t="s">
        <v>20</v>
      </c>
      <c r="D256" t="s">
        <v>11</v>
      </c>
      <c r="E256">
        <v>23</v>
      </c>
      <c r="F256" t="str" cm="1">
        <f t="array" ref="F256">_xlfn.IFS(EmployeeData[[#This Row],[Age]]&lt;30,"20s",EmployeeData[[#This Row],[Age]]&lt;40,"30s",EmployeeData[[#This Row],[Age]]&lt;50,"40s",EmployeeData[[#This Row],[Age]]&lt;60,"50s",EmployeeData[[#This Row],[Age]]&gt;=60,"60s")</f>
        <v>20s</v>
      </c>
      <c r="G256" s="5">
        <v>43483</v>
      </c>
      <c r="I256" t="s">
        <v>17</v>
      </c>
      <c r="J256" t="s">
        <v>18</v>
      </c>
      <c r="K256" cm="1">
        <f t="array" aca="1" ref="K256" ca="1">_xlfn.IFS(EmployeeData[[#This Row],[Status]]="Active",_xlfn.DAYS(TODAY(),EmployeeData[[#This Row],[Join Date]]),EmployeeData[[#This Row],[Status]]="Exited",_xlfn.DAYS(EmployeeData[[#This Row],[Exit Date]],EmployeeData[[#This Row],[Join Date]]))</f>
        <v>2714</v>
      </c>
      <c r="L256" cm="1">
        <f t="array" aca="1" ref="L256" ca="1">_xlfn.IFS(EmployeeData[[#This Row],[Status]]="Exited",DATEDIF(EmployeeData[[#This Row],[Join Date]], EmployeeData[[#This Row],[Exit Date]], "Y"),EmployeeData[[#This Row],[Status]]="Active",DATEDIF(EmployeeData[[#This Row],[Join Date]], TODAY(), "Y"))</f>
        <v>7</v>
      </c>
      <c r="Q256" t="str" cm="1">
        <f t="array" aca="1" ref="Q2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6 days</v>
      </c>
    </row>
    <row r="257" spans="1:17" x14ac:dyDescent="0.3">
      <c r="A257">
        <v>1256</v>
      </c>
      <c r="B257" t="s">
        <v>860</v>
      </c>
      <c r="C257" t="s">
        <v>20</v>
      </c>
      <c r="D257" t="s">
        <v>16</v>
      </c>
      <c r="E257">
        <v>48</v>
      </c>
      <c r="F257" t="str" cm="1">
        <f t="array" ref="F257">_xlfn.IFS(EmployeeData[[#This Row],[Age]]&lt;30,"20s",EmployeeData[[#This Row],[Age]]&lt;40,"30s",EmployeeData[[#This Row],[Age]]&lt;50,"40s",EmployeeData[[#This Row],[Age]]&lt;60,"50s",EmployeeData[[#This Row],[Age]]&gt;=60,"60s")</f>
        <v>40s</v>
      </c>
      <c r="G257" s="5">
        <v>45742</v>
      </c>
      <c r="I257" t="s">
        <v>17</v>
      </c>
      <c r="J257" t="s">
        <v>18</v>
      </c>
      <c r="K257" cm="1">
        <f t="array" aca="1" ref="K257" ca="1">_xlfn.IFS(EmployeeData[[#This Row],[Status]]="Active",_xlfn.DAYS(TODAY(),EmployeeData[[#This Row],[Join Date]]),EmployeeData[[#This Row],[Status]]="Exited",_xlfn.DAYS(EmployeeData[[#This Row],[Exit Date]],EmployeeData[[#This Row],[Join Date]]))</f>
        <v>455</v>
      </c>
      <c r="L257" cm="1">
        <f t="array" aca="1" ref="L257" ca="1">_xlfn.IFS(EmployeeData[[#This Row],[Status]]="Exited",DATEDIF(EmployeeData[[#This Row],[Join Date]], EmployeeData[[#This Row],[Exit Date]], "Y"),EmployeeData[[#This Row],[Status]]="Active",DATEDIF(EmployeeData[[#This Row],[Join Date]], TODAY(), "Y"))</f>
        <v>1</v>
      </c>
      <c r="Q257" t="str" cm="1">
        <f t="array" aca="1" ref="Q2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29 days</v>
      </c>
    </row>
    <row r="258" spans="1:17" x14ac:dyDescent="0.3">
      <c r="A258">
        <v>1257</v>
      </c>
      <c r="B258" t="s">
        <v>966</v>
      </c>
      <c r="C258" t="s">
        <v>46</v>
      </c>
      <c r="D258" t="s">
        <v>16</v>
      </c>
      <c r="E258">
        <v>57</v>
      </c>
      <c r="F258" t="str" cm="1">
        <f t="array" ref="F258">_xlfn.IFS(EmployeeData[[#This Row],[Age]]&lt;30,"20s",EmployeeData[[#This Row],[Age]]&lt;40,"30s",EmployeeData[[#This Row],[Age]]&lt;50,"40s",EmployeeData[[#This Row],[Age]]&lt;60,"50s",EmployeeData[[#This Row],[Age]]&gt;=60,"60s")</f>
        <v>50s</v>
      </c>
      <c r="G258" s="5">
        <v>45048</v>
      </c>
      <c r="H258" s="5">
        <v>45290</v>
      </c>
      <c r="I258" t="s">
        <v>34</v>
      </c>
      <c r="J258" t="s">
        <v>13</v>
      </c>
      <c r="K258" cm="1">
        <f t="array" aca="1" ref="K258" ca="1">_xlfn.IFS(EmployeeData[[#This Row],[Status]]="Active",_xlfn.DAYS(TODAY(),EmployeeData[[#This Row],[Join Date]]),EmployeeData[[#This Row],[Status]]="Exited",_xlfn.DAYS(EmployeeData[[#This Row],[Exit Date]],EmployeeData[[#This Row],[Join Date]]))</f>
        <v>242</v>
      </c>
      <c r="L258" cm="1">
        <f t="array" aca="1" ref="L258" ca="1">_xlfn.IFS(EmployeeData[[#This Row],[Status]]="Exited",DATEDIF(EmployeeData[[#This Row],[Join Date]], EmployeeData[[#This Row],[Exit Date]], "Y"),EmployeeData[[#This Row],[Status]]="Active",DATEDIF(EmployeeData[[#This Row],[Join Date]], TODAY(), "Y"))</f>
        <v>0</v>
      </c>
      <c r="Q258" t="str" cm="1">
        <f t="array" aca="1" ref="Q2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28 days</v>
      </c>
    </row>
    <row r="259" spans="1:17" x14ac:dyDescent="0.3">
      <c r="A259">
        <v>1258</v>
      </c>
      <c r="B259" t="s">
        <v>134</v>
      </c>
      <c r="C259" t="s">
        <v>15</v>
      </c>
      <c r="D259" t="s">
        <v>11</v>
      </c>
      <c r="E259">
        <v>22</v>
      </c>
      <c r="F259" t="str" cm="1">
        <f t="array" ref="F259">_xlfn.IFS(EmployeeData[[#This Row],[Age]]&lt;30,"20s",EmployeeData[[#This Row],[Age]]&lt;40,"30s",EmployeeData[[#This Row],[Age]]&lt;50,"40s",EmployeeData[[#This Row],[Age]]&lt;60,"50s",EmployeeData[[#This Row],[Age]]&gt;=60,"60s")</f>
        <v>20s</v>
      </c>
      <c r="G259" s="5">
        <v>43949</v>
      </c>
      <c r="I259" t="s">
        <v>17</v>
      </c>
      <c r="J259" t="s">
        <v>18</v>
      </c>
      <c r="K259" cm="1">
        <f t="array" aca="1" ref="K259" ca="1">_xlfn.IFS(EmployeeData[[#This Row],[Status]]="Active",_xlfn.DAYS(TODAY(),EmployeeData[[#This Row],[Join Date]]),EmployeeData[[#This Row],[Status]]="Exited",_xlfn.DAYS(EmployeeData[[#This Row],[Exit Date]],EmployeeData[[#This Row],[Join Date]]))</f>
        <v>2248</v>
      </c>
      <c r="L259" cm="1">
        <f t="array" aca="1" ref="L259" ca="1">_xlfn.IFS(EmployeeData[[#This Row],[Status]]="Exited",DATEDIF(EmployeeData[[#This Row],[Join Date]], EmployeeData[[#This Row],[Exit Date]], "Y"),EmployeeData[[#This Row],[Status]]="Active",DATEDIF(EmployeeData[[#This Row],[Join Date]], TODAY(), "Y"))</f>
        <v>6</v>
      </c>
      <c r="Q259" t="str" cm="1">
        <f t="array" aca="1" ref="Q2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27 days</v>
      </c>
    </row>
    <row r="260" spans="1:17" x14ac:dyDescent="0.3">
      <c r="A260">
        <v>1259</v>
      </c>
      <c r="B260" t="s">
        <v>421</v>
      </c>
      <c r="C260" t="s">
        <v>23</v>
      </c>
      <c r="D260" t="s">
        <v>11</v>
      </c>
      <c r="E260">
        <v>55</v>
      </c>
      <c r="F260" t="str" cm="1">
        <f t="array" ref="F260">_xlfn.IFS(EmployeeData[[#This Row],[Age]]&lt;30,"20s",EmployeeData[[#This Row],[Age]]&lt;40,"30s",EmployeeData[[#This Row],[Age]]&lt;50,"40s",EmployeeData[[#This Row],[Age]]&lt;60,"50s",EmployeeData[[#This Row],[Age]]&gt;=60,"60s")</f>
        <v>50s</v>
      </c>
      <c r="G260" s="5">
        <v>44459</v>
      </c>
      <c r="I260" t="s">
        <v>17</v>
      </c>
      <c r="J260" t="s">
        <v>18</v>
      </c>
      <c r="K260" cm="1">
        <f t="array" aca="1" ref="K260" ca="1">_xlfn.IFS(EmployeeData[[#This Row],[Status]]="Active",_xlfn.DAYS(TODAY(),EmployeeData[[#This Row],[Join Date]]),EmployeeData[[#This Row],[Status]]="Exited",_xlfn.DAYS(EmployeeData[[#This Row],[Exit Date]],EmployeeData[[#This Row],[Join Date]]))</f>
        <v>1738</v>
      </c>
      <c r="L260" cm="1">
        <f t="array" aca="1" ref="L260" ca="1">_xlfn.IFS(EmployeeData[[#This Row],[Status]]="Exited",DATEDIF(EmployeeData[[#This Row],[Join Date]], EmployeeData[[#This Row],[Exit Date]], "Y"),EmployeeData[[#This Row],[Status]]="Active",DATEDIF(EmployeeData[[#This Row],[Join Date]], TODAY(), "Y"))</f>
        <v>4</v>
      </c>
      <c r="Q260" t="str" cm="1">
        <f t="array" aca="1" ref="Q2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4 days</v>
      </c>
    </row>
    <row r="261" spans="1:17" x14ac:dyDescent="0.3">
      <c r="A261">
        <v>1260</v>
      </c>
      <c r="B261" t="s">
        <v>199</v>
      </c>
      <c r="C261" t="s">
        <v>23</v>
      </c>
      <c r="D261" t="s">
        <v>11</v>
      </c>
      <c r="E261">
        <v>24</v>
      </c>
      <c r="F261" t="str" cm="1">
        <f t="array" ref="F261">_xlfn.IFS(EmployeeData[[#This Row],[Age]]&lt;30,"20s",EmployeeData[[#This Row],[Age]]&lt;40,"30s",EmployeeData[[#This Row],[Age]]&lt;50,"40s",EmployeeData[[#This Row],[Age]]&lt;60,"50s",EmployeeData[[#This Row],[Age]]&gt;=60,"60s")</f>
        <v>20s</v>
      </c>
      <c r="G261" s="5">
        <v>43501</v>
      </c>
      <c r="I261" t="s">
        <v>17</v>
      </c>
      <c r="J261" t="s">
        <v>18</v>
      </c>
      <c r="K261" cm="1">
        <f t="array" aca="1" ref="K261" ca="1">_xlfn.IFS(EmployeeData[[#This Row],[Status]]="Active",_xlfn.DAYS(TODAY(),EmployeeData[[#This Row],[Join Date]]),EmployeeData[[#This Row],[Status]]="Exited",_xlfn.DAYS(EmployeeData[[#This Row],[Exit Date]],EmployeeData[[#This Row],[Join Date]]))</f>
        <v>2696</v>
      </c>
      <c r="L261" cm="1">
        <f t="array" aca="1" ref="L261" ca="1">_xlfn.IFS(EmployeeData[[#This Row],[Status]]="Exited",DATEDIF(EmployeeData[[#This Row],[Join Date]], EmployeeData[[#This Row],[Exit Date]], "Y"),EmployeeData[[#This Row],[Status]]="Active",DATEDIF(EmployeeData[[#This Row],[Join Date]], TODAY(), "Y"))</f>
        <v>7</v>
      </c>
      <c r="Q261" t="str" cm="1">
        <f t="array" aca="1" ref="Q2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19 days</v>
      </c>
    </row>
    <row r="262" spans="1:17" x14ac:dyDescent="0.3">
      <c r="A262">
        <v>1261</v>
      </c>
      <c r="B262" t="s">
        <v>837</v>
      </c>
      <c r="C262" t="s">
        <v>23</v>
      </c>
      <c r="D262" t="s">
        <v>24</v>
      </c>
      <c r="E262">
        <v>41</v>
      </c>
      <c r="F262" t="str" cm="1">
        <f t="array" ref="F262">_xlfn.IFS(EmployeeData[[#This Row],[Age]]&lt;30,"20s",EmployeeData[[#This Row],[Age]]&lt;40,"30s",EmployeeData[[#This Row],[Age]]&lt;50,"40s",EmployeeData[[#This Row],[Age]]&lt;60,"50s",EmployeeData[[#This Row],[Age]]&gt;=60,"60s")</f>
        <v>40s</v>
      </c>
      <c r="G262" s="5">
        <v>43222</v>
      </c>
      <c r="I262" t="s">
        <v>17</v>
      </c>
      <c r="J262" t="s">
        <v>18</v>
      </c>
      <c r="K262" cm="1">
        <f t="array" aca="1" ref="K262" ca="1">_xlfn.IFS(EmployeeData[[#This Row],[Status]]="Active",_xlfn.DAYS(TODAY(),EmployeeData[[#This Row],[Join Date]]),EmployeeData[[#This Row],[Status]]="Exited",_xlfn.DAYS(EmployeeData[[#This Row],[Exit Date]],EmployeeData[[#This Row],[Join Date]]))</f>
        <v>2975</v>
      </c>
      <c r="L262" cm="1">
        <f t="array" aca="1" ref="L262" ca="1">_xlfn.IFS(EmployeeData[[#This Row],[Status]]="Exited",DATEDIF(EmployeeData[[#This Row],[Join Date]], EmployeeData[[#This Row],[Exit Date]], "Y"),EmployeeData[[#This Row],[Status]]="Active",DATEDIF(EmployeeData[[#This Row],[Join Date]], TODAY(), "Y"))</f>
        <v>8</v>
      </c>
      <c r="Q262" t="str" cm="1">
        <f t="array" aca="1" ref="Q2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22 days</v>
      </c>
    </row>
    <row r="263" spans="1:17" x14ac:dyDescent="0.3">
      <c r="A263">
        <v>1262</v>
      </c>
      <c r="B263" t="s">
        <v>698</v>
      </c>
      <c r="C263" t="s">
        <v>10</v>
      </c>
      <c r="D263" t="s">
        <v>24</v>
      </c>
      <c r="E263">
        <v>45</v>
      </c>
      <c r="F263" t="str" cm="1">
        <f t="array" ref="F263">_xlfn.IFS(EmployeeData[[#This Row],[Age]]&lt;30,"20s",EmployeeData[[#This Row],[Age]]&lt;40,"30s",EmployeeData[[#This Row],[Age]]&lt;50,"40s",EmployeeData[[#This Row],[Age]]&lt;60,"50s",EmployeeData[[#This Row],[Age]]&gt;=60,"60s")</f>
        <v>40s</v>
      </c>
      <c r="G263" s="5">
        <v>43452</v>
      </c>
      <c r="I263" t="s">
        <v>17</v>
      </c>
      <c r="J263" t="s">
        <v>18</v>
      </c>
      <c r="K263" cm="1">
        <f t="array" aca="1" ref="K263" ca="1">_xlfn.IFS(EmployeeData[[#This Row],[Status]]="Active",_xlfn.DAYS(TODAY(),EmployeeData[[#This Row],[Join Date]]),EmployeeData[[#This Row],[Status]]="Exited",_xlfn.DAYS(EmployeeData[[#This Row],[Exit Date]],EmployeeData[[#This Row],[Join Date]]))</f>
        <v>2745</v>
      </c>
      <c r="L263" cm="1">
        <f t="array" aca="1" ref="L263" ca="1">_xlfn.IFS(EmployeeData[[#This Row],[Status]]="Exited",DATEDIF(EmployeeData[[#This Row],[Join Date]], EmployeeData[[#This Row],[Exit Date]], "Y"),EmployeeData[[#This Row],[Status]]="Active",DATEDIF(EmployeeData[[#This Row],[Join Date]], TODAY(), "Y"))</f>
        <v>7</v>
      </c>
      <c r="Q263" t="str" cm="1">
        <f t="array" aca="1" ref="Q2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6 days</v>
      </c>
    </row>
    <row r="264" spans="1:17" x14ac:dyDescent="0.3">
      <c r="A264">
        <v>1263</v>
      </c>
      <c r="B264" t="s">
        <v>227</v>
      </c>
      <c r="C264" t="s">
        <v>15</v>
      </c>
      <c r="D264" t="s">
        <v>16</v>
      </c>
      <c r="E264">
        <v>30</v>
      </c>
      <c r="F264" t="str" cm="1">
        <f t="array" ref="F264">_xlfn.IFS(EmployeeData[[#This Row],[Age]]&lt;30,"20s",EmployeeData[[#This Row],[Age]]&lt;40,"30s",EmployeeData[[#This Row],[Age]]&lt;50,"40s",EmployeeData[[#This Row],[Age]]&lt;60,"50s",EmployeeData[[#This Row],[Age]]&gt;=60,"60s")</f>
        <v>30s</v>
      </c>
      <c r="G264" s="5">
        <v>44696</v>
      </c>
      <c r="H264" s="5">
        <v>45004</v>
      </c>
      <c r="I264" t="s">
        <v>31</v>
      </c>
      <c r="J264" t="s">
        <v>13</v>
      </c>
      <c r="K264" cm="1">
        <f t="array" aca="1" ref="K264" ca="1">_xlfn.IFS(EmployeeData[[#This Row],[Status]]="Active",_xlfn.DAYS(TODAY(),EmployeeData[[#This Row],[Join Date]]),EmployeeData[[#This Row],[Status]]="Exited",_xlfn.DAYS(EmployeeData[[#This Row],[Exit Date]],EmployeeData[[#This Row],[Join Date]]))</f>
        <v>308</v>
      </c>
      <c r="L264" cm="1">
        <f t="array" aca="1" ref="L264" ca="1">_xlfn.IFS(EmployeeData[[#This Row],[Status]]="Exited",DATEDIF(EmployeeData[[#This Row],[Join Date]], EmployeeData[[#This Row],[Exit Date]], "Y"),EmployeeData[[#This Row],[Status]]="Active",DATEDIF(EmployeeData[[#This Row],[Join Date]], TODAY(), "Y"))</f>
        <v>0</v>
      </c>
      <c r="Q264" t="str" cm="1">
        <f t="array" aca="1" ref="Q2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4 days</v>
      </c>
    </row>
    <row r="265" spans="1:17" x14ac:dyDescent="0.3">
      <c r="A265">
        <v>1264</v>
      </c>
      <c r="B265" t="s">
        <v>590</v>
      </c>
      <c r="C265" t="s">
        <v>15</v>
      </c>
      <c r="D265" t="s">
        <v>16</v>
      </c>
      <c r="E265">
        <v>48</v>
      </c>
      <c r="F265" t="str" cm="1">
        <f t="array" ref="F265">_xlfn.IFS(EmployeeData[[#This Row],[Age]]&lt;30,"20s",EmployeeData[[#This Row],[Age]]&lt;40,"30s",EmployeeData[[#This Row],[Age]]&lt;50,"40s",EmployeeData[[#This Row],[Age]]&lt;60,"50s",EmployeeData[[#This Row],[Age]]&gt;=60,"60s")</f>
        <v>40s</v>
      </c>
      <c r="G265" s="5">
        <v>44939</v>
      </c>
      <c r="I265" t="s">
        <v>17</v>
      </c>
      <c r="J265" t="s">
        <v>18</v>
      </c>
      <c r="K265" cm="1">
        <f t="array" aca="1" ref="K265" ca="1">_xlfn.IFS(EmployeeData[[#This Row],[Status]]="Active",_xlfn.DAYS(TODAY(),EmployeeData[[#This Row],[Join Date]]),EmployeeData[[#This Row],[Status]]="Exited",_xlfn.DAYS(EmployeeData[[#This Row],[Exit Date]],EmployeeData[[#This Row],[Join Date]]))</f>
        <v>1258</v>
      </c>
      <c r="L265" cm="1">
        <f t="array" aca="1" ref="L265" ca="1">_xlfn.IFS(EmployeeData[[#This Row],[Status]]="Exited",DATEDIF(EmployeeData[[#This Row],[Join Date]], EmployeeData[[#This Row],[Exit Date]], "Y"),EmployeeData[[#This Row],[Status]]="Active",DATEDIF(EmployeeData[[#This Row],[Join Date]], TODAY(), "Y"))</f>
        <v>3</v>
      </c>
      <c r="Q265" t="str" cm="1">
        <f t="array" aca="1" ref="Q2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11 days</v>
      </c>
    </row>
    <row r="266" spans="1:17" x14ac:dyDescent="0.3">
      <c r="A266">
        <v>1265</v>
      </c>
      <c r="B266" t="s">
        <v>994</v>
      </c>
      <c r="C266" t="s">
        <v>10</v>
      </c>
      <c r="D266" t="s">
        <v>16</v>
      </c>
      <c r="E266">
        <v>41</v>
      </c>
      <c r="F266" t="str" cm="1">
        <f t="array" ref="F266">_xlfn.IFS(EmployeeData[[#This Row],[Age]]&lt;30,"20s",EmployeeData[[#This Row],[Age]]&lt;40,"30s",EmployeeData[[#This Row],[Age]]&lt;50,"40s",EmployeeData[[#This Row],[Age]]&lt;60,"50s",EmployeeData[[#This Row],[Age]]&gt;=60,"60s")</f>
        <v>40s</v>
      </c>
      <c r="G266" s="5">
        <v>44678</v>
      </c>
      <c r="H266" s="5">
        <v>45615</v>
      </c>
      <c r="I266" t="s">
        <v>12</v>
      </c>
      <c r="J266" t="s">
        <v>13</v>
      </c>
      <c r="K266" cm="1">
        <f t="array" aca="1" ref="K266" ca="1">_xlfn.IFS(EmployeeData[[#This Row],[Status]]="Active",_xlfn.DAYS(TODAY(),EmployeeData[[#This Row],[Join Date]]),EmployeeData[[#This Row],[Status]]="Exited",_xlfn.DAYS(EmployeeData[[#This Row],[Exit Date]],EmployeeData[[#This Row],[Join Date]]))</f>
        <v>937</v>
      </c>
      <c r="L266" cm="1">
        <f t="array" aca="1" ref="L266" ca="1">_xlfn.IFS(EmployeeData[[#This Row],[Status]]="Exited",DATEDIF(EmployeeData[[#This Row],[Join Date]], EmployeeData[[#This Row],[Exit Date]], "Y"),EmployeeData[[#This Row],[Status]]="Active",DATEDIF(EmployeeData[[#This Row],[Join Date]], TODAY(), "Y"))</f>
        <v>2</v>
      </c>
      <c r="Q266" t="str" cm="1">
        <f t="array" aca="1" ref="Q2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23 days</v>
      </c>
    </row>
    <row r="267" spans="1:17" x14ac:dyDescent="0.3">
      <c r="A267">
        <v>1266</v>
      </c>
      <c r="B267" t="s">
        <v>806</v>
      </c>
      <c r="C267" t="s">
        <v>46</v>
      </c>
      <c r="D267" t="s">
        <v>11</v>
      </c>
      <c r="E267">
        <v>57</v>
      </c>
      <c r="F267" t="str" cm="1">
        <f t="array" ref="F267">_xlfn.IFS(EmployeeData[[#This Row],[Age]]&lt;30,"20s",EmployeeData[[#This Row],[Age]]&lt;40,"30s",EmployeeData[[#This Row],[Age]]&lt;50,"40s",EmployeeData[[#This Row],[Age]]&lt;60,"50s",EmployeeData[[#This Row],[Age]]&gt;=60,"60s")</f>
        <v>50s</v>
      </c>
      <c r="G267" s="5">
        <v>45235</v>
      </c>
      <c r="H267" s="5">
        <v>45714</v>
      </c>
      <c r="I267" t="s">
        <v>31</v>
      </c>
      <c r="J267" t="s">
        <v>13</v>
      </c>
      <c r="K267" cm="1">
        <f t="array" aca="1" ref="K267" ca="1">_xlfn.IFS(EmployeeData[[#This Row],[Status]]="Active",_xlfn.DAYS(TODAY(),EmployeeData[[#This Row],[Join Date]]),EmployeeData[[#This Row],[Status]]="Exited",_xlfn.DAYS(EmployeeData[[#This Row],[Exit Date]],EmployeeData[[#This Row],[Join Date]]))</f>
        <v>479</v>
      </c>
      <c r="L267" cm="1">
        <f t="array" aca="1" ref="L267" ca="1">_xlfn.IFS(EmployeeData[[#This Row],[Status]]="Exited",DATEDIF(EmployeeData[[#This Row],[Join Date]], EmployeeData[[#This Row],[Exit Date]], "Y"),EmployeeData[[#This Row],[Status]]="Active",DATEDIF(EmployeeData[[#This Row],[Join Date]], TODAY(), "Y"))</f>
        <v>1</v>
      </c>
      <c r="Q267" t="str" cm="1">
        <f t="array" aca="1" ref="Q2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21 days</v>
      </c>
    </row>
    <row r="268" spans="1:17" x14ac:dyDescent="0.3">
      <c r="A268">
        <v>1267</v>
      </c>
      <c r="B268" t="s">
        <v>145</v>
      </c>
      <c r="C268" t="s">
        <v>15</v>
      </c>
      <c r="D268" t="s">
        <v>24</v>
      </c>
      <c r="E268">
        <v>47</v>
      </c>
      <c r="F268" t="str" cm="1">
        <f t="array" ref="F268">_xlfn.IFS(EmployeeData[[#This Row],[Age]]&lt;30,"20s",EmployeeData[[#This Row],[Age]]&lt;40,"30s",EmployeeData[[#This Row],[Age]]&lt;50,"40s",EmployeeData[[#This Row],[Age]]&lt;60,"50s",EmployeeData[[#This Row],[Age]]&gt;=60,"60s")</f>
        <v>40s</v>
      </c>
      <c r="G268" s="5">
        <v>44328</v>
      </c>
      <c r="I268" t="s">
        <v>17</v>
      </c>
      <c r="J268" t="s">
        <v>18</v>
      </c>
      <c r="K268" cm="1">
        <f t="array" aca="1" ref="K268" ca="1">_xlfn.IFS(EmployeeData[[#This Row],[Status]]="Active",_xlfn.DAYS(TODAY(),EmployeeData[[#This Row],[Join Date]]),EmployeeData[[#This Row],[Status]]="Exited",_xlfn.DAYS(EmployeeData[[#This Row],[Exit Date]],EmployeeData[[#This Row],[Join Date]]))</f>
        <v>1869</v>
      </c>
      <c r="L268" cm="1">
        <f t="array" aca="1" ref="L268" ca="1">_xlfn.IFS(EmployeeData[[#This Row],[Status]]="Exited",DATEDIF(EmployeeData[[#This Row],[Join Date]], EmployeeData[[#This Row],[Exit Date]], "Y"),EmployeeData[[#This Row],[Status]]="Active",DATEDIF(EmployeeData[[#This Row],[Join Date]], TODAY(), "Y"))</f>
        <v>5</v>
      </c>
      <c r="Q268" t="str" cm="1">
        <f t="array" aca="1" ref="Q2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12 days</v>
      </c>
    </row>
    <row r="269" spans="1:17" x14ac:dyDescent="0.3">
      <c r="A269">
        <v>1268</v>
      </c>
      <c r="B269" t="s">
        <v>326</v>
      </c>
      <c r="C269" t="s">
        <v>20</v>
      </c>
      <c r="D269" t="s">
        <v>24</v>
      </c>
      <c r="E269">
        <v>33</v>
      </c>
      <c r="F269" t="str" cm="1">
        <f t="array" ref="F269">_xlfn.IFS(EmployeeData[[#This Row],[Age]]&lt;30,"20s",EmployeeData[[#This Row],[Age]]&lt;40,"30s",EmployeeData[[#This Row],[Age]]&lt;50,"40s",EmployeeData[[#This Row],[Age]]&lt;60,"50s",EmployeeData[[#This Row],[Age]]&gt;=60,"60s")</f>
        <v>30s</v>
      </c>
      <c r="G269" s="5">
        <v>44976</v>
      </c>
      <c r="H269" s="5">
        <v>45689</v>
      </c>
      <c r="I269" t="s">
        <v>31</v>
      </c>
      <c r="J269" t="s">
        <v>13</v>
      </c>
      <c r="K269" cm="1">
        <f t="array" aca="1" ref="K269" ca="1">_xlfn.IFS(EmployeeData[[#This Row],[Status]]="Active",_xlfn.DAYS(TODAY(),EmployeeData[[#This Row],[Join Date]]),EmployeeData[[#This Row],[Status]]="Exited",_xlfn.DAYS(EmployeeData[[#This Row],[Exit Date]],EmployeeData[[#This Row],[Join Date]]))</f>
        <v>713</v>
      </c>
      <c r="L269" cm="1">
        <f t="array" aca="1" ref="L269" ca="1">_xlfn.IFS(EmployeeData[[#This Row],[Status]]="Exited",DATEDIF(EmployeeData[[#This Row],[Join Date]], EmployeeData[[#This Row],[Exit Date]], "Y"),EmployeeData[[#This Row],[Status]]="Active",DATEDIF(EmployeeData[[#This Row],[Join Date]], TODAY(), "Y"))</f>
        <v>1</v>
      </c>
      <c r="Q269" t="str" cm="1">
        <f t="array" aca="1" ref="Q2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13 days</v>
      </c>
    </row>
    <row r="270" spans="1:17" x14ac:dyDescent="0.3">
      <c r="A270">
        <v>1269</v>
      </c>
      <c r="B270" t="s">
        <v>1066</v>
      </c>
      <c r="C270" t="s">
        <v>10</v>
      </c>
      <c r="D270" t="s">
        <v>11</v>
      </c>
      <c r="E270">
        <v>49</v>
      </c>
      <c r="F270" t="str" cm="1">
        <f t="array" ref="F270">_xlfn.IFS(EmployeeData[[#This Row],[Age]]&lt;30,"20s",EmployeeData[[#This Row],[Age]]&lt;40,"30s",EmployeeData[[#This Row],[Age]]&lt;50,"40s",EmployeeData[[#This Row],[Age]]&lt;60,"50s",EmployeeData[[#This Row],[Age]]&gt;=60,"60s")</f>
        <v>40s</v>
      </c>
      <c r="G270" s="5">
        <v>44472</v>
      </c>
      <c r="I270" t="s">
        <v>17</v>
      </c>
      <c r="J270" t="s">
        <v>18</v>
      </c>
      <c r="K270" cm="1">
        <f t="array" aca="1" ref="K270" ca="1">_xlfn.IFS(EmployeeData[[#This Row],[Status]]="Active",_xlfn.DAYS(TODAY(),EmployeeData[[#This Row],[Join Date]]),EmployeeData[[#This Row],[Status]]="Exited",_xlfn.DAYS(EmployeeData[[#This Row],[Exit Date]],EmployeeData[[#This Row],[Join Date]]))</f>
        <v>1725</v>
      </c>
      <c r="L270" cm="1">
        <f t="array" aca="1" ref="L270" ca="1">_xlfn.IFS(EmployeeData[[#This Row],[Status]]="Exited",DATEDIF(EmployeeData[[#This Row],[Join Date]], EmployeeData[[#This Row],[Exit Date]], "Y"),EmployeeData[[#This Row],[Status]]="Active",DATEDIF(EmployeeData[[#This Row],[Join Date]], TODAY(), "Y"))</f>
        <v>4</v>
      </c>
      <c r="Q270" t="str" cm="1">
        <f t="array" aca="1" ref="Q2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21 days</v>
      </c>
    </row>
    <row r="271" spans="1:17" x14ac:dyDescent="0.3">
      <c r="A271">
        <v>1270</v>
      </c>
      <c r="B271" t="s">
        <v>106</v>
      </c>
      <c r="C271" t="s">
        <v>23</v>
      </c>
      <c r="D271" t="s">
        <v>16</v>
      </c>
      <c r="E271">
        <v>46</v>
      </c>
      <c r="F271" t="str" cm="1">
        <f t="array" ref="F271">_xlfn.IFS(EmployeeData[[#This Row],[Age]]&lt;30,"20s",EmployeeData[[#This Row],[Age]]&lt;40,"30s",EmployeeData[[#This Row],[Age]]&lt;50,"40s",EmployeeData[[#This Row],[Age]]&lt;60,"50s",EmployeeData[[#This Row],[Age]]&gt;=60,"60s")</f>
        <v>40s</v>
      </c>
      <c r="G271" s="5">
        <v>44408</v>
      </c>
      <c r="H271" s="5">
        <v>45921</v>
      </c>
      <c r="I271" t="s">
        <v>28</v>
      </c>
      <c r="J271" t="s">
        <v>13</v>
      </c>
      <c r="K271" cm="1">
        <f t="array" aca="1" ref="K271" ca="1">_xlfn.IFS(EmployeeData[[#This Row],[Status]]="Active",_xlfn.DAYS(TODAY(),EmployeeData[[#This Row],[Join Date]]),EmployeeData[[#This Row],[Status]]="Exited",_xlfn.DAYS(EmployeeData[[#This Row],[Exit Date]],EmployeeData[[#This Row],[Join Date]]))</f>
        <v>1513</v>
      </c>
      <c r="L271" cm="1">
        <f t="array" aca="1" ref="L271" ca="1">_xlfn.IFS(EmployeeData[[#This Row],[Status]]="Exited",DATEDIF(EmployeeData[[#This Row],[Join Date]], EmployeeData[[#This Row],[Exit Date]], "Y"),EmployeeData[[#This Row],[Status]]="Active",DATEDIF(EmployeeData[[#This Row],[Join Date]], TODAY(), "Y"))</f>
        <v>4</v>
      </c>
      <c r="Q271" t="str" cm="1">
        <f t="array" aca="1" ref="Q2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21 days</v>
      </c>
    </row>
    <row r="272" spans="1:17" x14ac:dyDescent="0.3">
      <c r="A272">
        <v>1271</v>
      </c>
      <c r="B272" t="s">
        <v>609</v>
      </c>
      <c r="C272" t="s">
        <v>10</v>
      </c>
      <c r="D272" t="s">
        <v>11</v>
      </c>
      <c r="E272">
        <v>33</v>
      </c>
      <c r="F272" t="str" cm="1">
        <f t="array" ref="F272">_xlfn.IFS(EmployeeData[[#This Row],[Age]]&lt;30,"20s",EmployeeData[[#This Row],[Age]]&lt;40,"30s",EmployeeData[[#This Row],[Age]]&lt;50,"40s",EmployeeData[[#This Row],[Age]]&lt;60,"50s",EmployeeData[[#This Row],[Age]]&gt;=60,"60s")</f>
        <v>30s</v>
      </c>
      <c r="G272" s="5">
        <v>45526</v>
      </c>
      <c r="I272" t="s">
        <v>17</v>
      </c>
      <c r="J272" t="s">
        <v>18</v>
      </c>
      <c r="K272" cm="1">
        <f t="array" aca="1" ref="K272" ca="1">_xlfn.IFS(EmployeeData[[#This Row],[Status]]="Active",_xlfn.DAYS(TODAY(),EmployeeData[[#This Row],[Join Date]]),EmployeeData[[#This Row],[Status]]="Exited",_xlfn.DAYS(EmployeeData[[#This Row],[Exit Date]],EmployeeData[[#This Row],[Join Date]]))</f>
        <v>671</v>
      </c>
      <c r="L272" cm="1">
        <f t="array" aca="1" ref="L272" ca="1">_xlfn.IFS(EmployeeData[[#This Row],[Status]]="Exited",DATEDIF(EmployeeData[[#This Row],[Join Date]], EmployeeData[[#This Row],[Exit Date]], "Y"),EmployeeData[[#This Row],[Status]]="Active",DATEDIF(EmployeeData[[#This Row],[Join Date]], TODAY(), "Y"))</f>
        <v>1</v>
      </c>
      <c r="Q272" t="str" cm="1">
        <f t="array" aca="1" ref="Q2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 days</v>
      </c>
    </row>
    <row r="273" spans="1:17" x14ac:dyDescent="0.3">
      <c r="A273">
        <v>1272</v>
      </c>
      <c r="B273" t="s">
        <v>423</v>
      </c>
      <c r="C273" t="s">
        <v>15</v>
      </c>
      <c r="D273" t="s">
        <v>11</v>
      </c>
      <c r="E273">
        <v>34</v>
      </c>
      <c r="F273" t="str" cm="1">
        <f t="array" ref="F273">_xlfn.IFS(EmployeeData[[#This Row],[Age]]&lt;30,"20s",EmployeeData[[#This Row],[Age]]&lt;40,"30s",EmployeeData[[#This Row],[Age]]&lt;50,"40s",EmployeeData[[#This Row],[Age]]&lt;60,"50s",EmployeeData[[#This Row],[Age]]&gt;=60,"60s")</f>
        <v>30s</v>
      </c>
      <c r="G273" s="5">
        <v>44896</v>
      </c>
      <c r="I273" t="s">
        <v>17</v>
      </c>
      <c r="J273" t="s">
        <v>18</v>
      </c>
      <c r="K273" cm="1">
        <f t="array" aca="1" ref="K273" ca="1">_xlfn.IFS(EmployeeData[[#This Row],[Status]]="Active",_xlfn.DAYS(TODAY(),EmployeeData[[#This Row],[Join Date]]),EmployeeData[[#This Row],[Status]]="Exited",_xlfn.DAYS(EmployeeData[[#This Row],[Exit Date]],EmployeeData[[#This Row],[Join Date]]))</f>
        <v>1301</v>
      </c>
      <c r="L273" cm="1">
        <f t="array" aca="1" ref="L273" ca="1">_xlfn.IFS(EmployeeData[[#This Row],[Status]]="Exited",DATEDIF(EmployeeData[[#This Row],[Join Date]], EmployeeData[[#This Row],[Exit Date]], "Y"),EmployeeData[[#This Row],[Status]]="Active",DATEDIF(EmployeeData[[#This Row],[Join Date]], TODAY(), "Y"))</f>
        <v>3</v>
      </c>
      <c r="Q273" t="str" cm="1">
        <f t="array" aca="1" ref="Q2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23 days</v>
      </c>
    </row>
    <row r="274" spans="1:17" x14ac:dyDescent="0.3">
      <c r="A274">
        <v>1273</v>
      </c>
      <c r="B274" t="s">
        <v>110</v>
      </c>
      <c r="C274" t="s">
        <v>15</v>
      </c>
      <c r="D274" t="s">
        <v>16</v>
      </c>
      <c r="E274">
        <v>37</v>
      </c>
      <c r="F274" t="str" cm="1">
        <f t="array" ref="F274">_xlfn.IFS(EmployeeData[[#This Row],[Age]]&lt;30,"20s",EmployeeData[[#This Row],[Age]]&lt;40,"30s",EmployeeData[[#This Row],[Age]]&lt;50,"40s",EmployeeData[[#This Row],[Age]]&lt;60,"50s",EmployeeData[[#This Row],[Age]]&gt;=60,"60s")</f>
        <v>30s</v>
      </c>
      <c r="G274" s="5">
        <v>45798</v>
      </c>
      <c r="H274" s="5">
        <v>46104</v>
      </c>
      <c r="I274" t="s">
        <v>52</v>
      </c>
      <c r="J274" t="s">
        <v>13</v>
      </c>
      <c r="K274" cm="1">
        <f t="array" aca="1" ref="K274" ca="1">_xlfn.IFS(EmployeeData[[#This Row],[Status]]="Active",_xlfn.DAYS(TODAY(),EmployeeData[[#This Row],[Join Date]]),EmployeeData[[#This Row],[Status]]="Exited",_xlfn.DAYS(EmployeeData[[#This Row],[Exit Date]],EmployeeData[[#This Row],[Join Date]]))</f>
        <v>306</v>
      </c>
      <c r="L274" cm="1">
        <f t="array" aca="1" ref="L274" ca="1">_xlfn.IFS(EmployeeData[[#This Row],[Status]]="Exited",DATEDIF(EmployeeData[[#This Row],[Join Date]], EmployeeData[[#This Row],[Exit Date]], "Y"),EmployeeData[[#This Row],[Status]]="Active",DATEDIF(EmployeeData[[#This Row],[Join Date]], TODAY(), "Y"))</f>
        <v>0</v>
      </c>
      <c r="Q274" t="str" cm="1">
        <f t="array" aca="1" ref="Q2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2 days</v>
      </c>
    </row>
    <row r="275" spans="1:17" x14ac:dyDescent="0.3">
      <c r="A275">
        <v>1274</v>
      </c>
      <c r="B275" t="s">
        <v>664</v>
      </c>
      <c r="C275" t="s">
        <v>23</v>
      </c>
      <c r="D275" t="s">
        <v>24</v>
      </c>
      <c r="E275">
        <v>53</v>
      </c>
      <c r="F275" t="str" cm="1">
        <f t="array" ref="F275">_xlfn.IFS(EmployeeData[[#This Row],[Age]]&lt;30,"20s",EmployeeData[[#This Row],[Age]]&lt;40,"30s",EmployeeData[[#This Row],[Age]]&lt;50,"40s",EmployeeData[[#This Row],[Age]]&lt;60,"50s",EmployeeData[[#This Row],[Age]]&gt;=60,"60s")</f>
        <v>50s</v>
      </c>
      <c r="G275" s="5">
        <v>45934</v>
      </c>
      <c r="I275" t="s">
        <v>17</v>
      </c>
      <c r="J275" t="s">
        <v>18</v>
      </c>
      <c r="K275" cm="1">
        <f t="array" aca="1" ref="K275" ca="1">_xlfn.IFS(EmployeeData[[#This Row],[Status]]="Active",_xlfn.DAYS(TODAY(),EmployeeData[[#This Row],[Join Date]]),EmployeeData[[#This Row],[Status]]="Exited",_xlfn.DAYS(EmployeeData[[#This Row],[Exit Date]],EmployeeData[[#This Row],[Join Date]]))</f>
        <v>263</v>
      </c>
      <c r="L275" cm="1">
        <f t="array" aca="1" ref="L275" ca="1">_xlfn.IFS(EmployeeData[[#This Row],[Status]]="Exited",DATEDIF(EmployeeData[[#This Row],[Join Date]], EmployeeData[[#This Row],[Exit Date]], "Y"),EmployeeData[[#This Row],[Status]]="Active",DATEDIF(EmployeeData[[#This Row],[Join Date]], TODAY(), "Y"))</f>
        <v>0</v>
      </c>
      <c r="Q275" t="str" cm="1">
        <f t="array" aca="1" ref="Q2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20 days</v>
      </c>
    </row>
    <row r="276" spans="1:17" x14ac:dyDescent="0.3">
      <c r="A276">
        <v>1275</v>
      </c>
      <c r="B276" t="s">
        <v>995</v>
      </c>
      <c r="C276" t="s">
        <v>33</v>
      </c>
      <c r="D276" t="s">
        <v>24</v>
      </c>
      <c r="E276">
        <v>26</v>
      </c>
      <c r="F276" t="str" cm="1">
        <f t="array" ref="F276">_xlfn.IFS(EmployeeData[[#This Row],[Age]]&lt;30,"20s",EmployeeData[[#This Row],[Age]]&lt;40,"30s",EmployeeData[[#This Row],[Age]]&lt;50,"40s",EmployeeData[[#This Row],[Age]]&lt;60,"50s",EmployeeData[[#This Row],[Age]]&gt;=60,"60s")</f>
        <v>20s</v>
      </c>
      <c r="G276" s="5">
        <v>43548</v>
      </c>
      <c r="I276" t="s">
        <v>17</v>
      </c>
      <c r="J276" t="s">
        <v>18</v>
      </c>
      <c r="K276" cm="1">
        <f t="array" aca="1" ref="K276" ca="1">_xlfn.IFS(EmployeeData[[#This Row],[Status]]="Active",_xlfn.DAYS(TODAY(),EmployeeData[[#This Row],[Join Date]]),EmployeeData[[#This Row],[Status]]="Exited",_xlfn.DAYS(EmployeeData[[#This Row],[Exit Date]],EmployeeData[[#This Row],[Join Date]]))</f>
        <v>2649</v>
      </c>
      <c r="L276" cm="1">
        <f t="array" aca="1" ref="L276" ca="1">_xlfn.IFS(EmployeeData[[#This Row],[Status]]="Exited",DATEDIF(EmployeeData[[#This Row],[Join Date]], EmployeeData[[#This Row],[Exit Date]], "Y"),EmployeeData[[#This Row],[Status]]="Active",DATEDIF(EmployeeData[[#This Row],[Join Date]], TODAY(), "Y"))</f>
        <v>7</v>
      </c>
      <c r="Q276" t="str" cm="1">
        <f t="array" aca="1" ref="Q2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0 days</v>
      </c>
    </row>
    <row r="277" spans="1:17" x14ac:dyDescent="0.3">
      <c r="A277">
        <v>1276</v>
      </c>
      <c r="B277" t="s">
        <v>193</v>
      </c>
      <c r="C277" t="s">
        <v>15</v>
      </c>
      <c r="D277" t="s">
        <v>11</v>
      </c>
      <c r="E277">
        <v>46</v>
      </c>
      <c r="F277" t="str" cm="1">
        <f t="array" ref="F277">_xlfn.IFS(EmployeeData[[#This Row],[Age]]&lt;30,"20s",EmployeeData[[#This Row],[Age]]&lt;40,"30s",EmployeeData[[#This Row],[Age]]&lt;50,"40s",EmployeeData[[#This Row],[Age]]&lt;60,"50s",EmployeeData[[#This Row],[Age]]&gt;=60,"60s")</f>
        <v>40s</v>
      </c>
      <c r="G277" s="5">
        <v>44459</v>
      </c>
      <c r="I277" t="s">
        <v>17</v>
      </c>
      <c r="J277" t="s">
        <v>18</v>
      </c>
      <c r="K277" cm="1">
        <f t="array" aca="1" ref="K277" ca="1">_xlfn.IFS(EmployeeData[[#This Row],[Status]]="Active",_xlfn.DAYS(TODAY(),EmployeeData[[#This Row],[Join Date]]),EmployeeData[[#This Row],[Status]]="Exited",_xlfn.DAYS(EmployeeData[[#This Row],[Exit Date]],EmployeeData[[#This Row],[Join Date]]))</f>
        <v>1738</v>
      </c>
      <c r="L277" cm="1">
        <f t="array" aca="1" ref="L277" ca="1">_xlfn.IFS(EmployeeData[[#This Row],[Status]]="Exited",DATEDIF(EmployeeData[[#This Row],[Join Date]], EmployeeData[[#This Row],[Exit Date]], "Y"),EmployeeData[[#This Row],[Status]]="Active",DATEDIF(EmployeeData[[#This Row],[Join Date]], TODAY(), "Y"))</f>
        <v>4</v>
      </c>
      <c r="Q277" t="str" cm="1">
        <f t="array" aca="1" ref="Q2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4 days</v>
      </c>
    </row>
    <row r="278" spans="1:17" x14ac:dyDescent="0.3">
      <c r="A278">
        <v>1277</v>
      </c>
      <c r="B278" t="s">
        <v>821</v>
      </c>
      <c r="C278" t="s">
        <v>15</v>
      </c>
      <c r="D278" t="s">
        <v>11</v>
      </c>
      <c r="E278">
        <v>56</v>
      </c>
      <c r="F278" t="str" cm="1">
        <f t="array" ref="F278">_xlfn.IFS(EmployeeData[[#This Row],[Age]]&lt;30,"20s",EmployeeData[[#This Row],[Age]]&lt;40,"30s",EmployeeData[[#This Row],[Age]]&lt;50,"40s",EmployeeData[[#This Row],[Age]]&lt;60,"50s",EmployeeData[[#This Row],[Age]]&gt;=60,"60s")</f>
        <v>50s</v>
      </c>
      <c r="G278" s="5">
        <v>45478</v>
      </c>
      <c r="I278" t="s">
        <v>17</v>
      </c>
      <c r="J278" t="s">
        <v>18</v>
      </c>
      <c r="K278" cm="1">
        <f t="array" aca="1" ref="K278" ca="1">_xlfn.IFS(EmployeeData[[#This Row],[Status]]="Active",_xlfn.DAYS(TODAY(),EmployeeData[[#This Row],[Join Date]]),EmployeeData[[#This Row],[Status]]="Exited",_xlfn.DAYS(EmployeeData[[#This Row],[Exit Date]],EmployeeData[[#This Row],[Join Date]]))</f>
        <v>719</v>
      </c>
      <c r="L278" cm="1">
        <f t="array" aca="1" ref="L278" ca="1">_xlfn.IFS(EmployeeData[[#This Row],[Status]]="Exited",DATEDIF(EmployeeData[[#This Row],[Join Date]], EmployeeData[[#This Row],[Exit Date]], "Y"),EmployeeData[[#This Row],[Status]]="Active",DATEDIF(EmployeeData[[#This Row],[Join Date]], TODAY(), "Y"))</f>
        <v>1</v>
      </c>
      <c r="Q278" t="str" cm="1">
        <f t="array" aca="1" ref="Q2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19 days</v>
      </c>
    </row>
    <row r="279" spans="1:17" x14ac:dyDescent="0.3">
      <c r="A279">
        <v>1278</v>
      </c>
      <c r="B279" t="s">
        <v>313</v>
      </c>
      <c r="C279" t="s">
        <v>20</v>
      </c>
      <c r="D279" t="s">
        <v>24</v>
      </c>
      <c r="E279">
        <v>53</v>
      </c>
      <c r="F279" t="str" cm="1">
        <f t="array" ref="F279">_xlfn.IFS(EmployeeData[[#This Row],[Age]]&lt;30,"20s",EmployeeData[[#This Row],[Age]]&lt;40,"30s",EmployeeData[[#This Row],[Age]]&lt;50,"40s",EmployeeData[[#This Row],[Age]]&lt;60,"50s",EmployeeData[[#This Row],[Age]]&gt;=60,"60s")</f>
        <v>50s</v>
      </c>
      <c r="G279" s="5">
        <v>43718</v>
      </c>
      <c r="H279" s="5">
        <v>43908</v>
      </c>
      <c r="I279" t="s">
        <v>65</v>
      </c>
      <c r="J279" t="s">
        <v>13</v>
      </c>
      <c r="K279" cm="1">
        <f t="array" aca="1" ref="K279" ca="1">_xlfn.IFS(EmployeeData[[#This Row],[Status]]="Active",_xlfn.DAYS(TODAY(),EmployeeData[[#This Row],[Join Date]]),EmployeeData[[#This Row],[Status]]="Exited",_xlfn.DAYS(EmployeeData[[#This Row],[Exit Date]],EmployeeData[[#This Row],[Join Date]]))</f>
        <v>190</v>
      </c>
      <c r="L279" cm="1">
        <f t="array" aca="1" ref="L279" ca="1">_xlfn.IFS(EmployeeData[[#This Row],[Status]]="Exited",DATEDIF(EmployeeData[[#This Row],[Join Date]], EmployeeData[[#This Row],[Exit Date]], "Y"),EmployeeData[[#This Row],[Status]]="Active",DATEDIF(EmployeeData[[#This Row],[Join Date]], TODAY(), "Y"))</f>
        <v>0</v>
      </c>
      <c r="Q279" t="str" cm="1">
        <f t="array" aca="1" ref="Q2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8 days</v>
      </c>
    </row>
    <row r="280" spans="1:17" x14ac:dyDescent="0.3">
      <c r="A280">
        <v>1279</v>
      </c>
      <c r="B280" t="s">
        <v>762</v>
      </c>
      <c r="C280" t="s">
        <v>15</v>
      </c>
      <c r="D280" t="s">
        <v>11</v>
      </c>
      <c r="E280">
        <v>30</v>
      </c>
      <c r="F280" t="str" cm="1">
        <f t="array" ref="F280">_xlfn.IFS(EmployeeData[[#This Row],[Age]]&lt;30,"20s",EmployeeData[[#This Row],[Age]]&lt;40,"30s",EmployeeData[[#This Row],[Age]]&lt;50,"40s",EmployeeData[[#This Row],[Age]]&lt;60,"50s",EmployeeData[[#This Row],[Age]]&gt;=60,"60s")</f>
        <v>30s</v>
      </c>
      <c r="G280" s="5">
        <v>44527</v>
      </c>
      <c r="H280" s="5">
        <v>45549</v>
      </c>
      <c r="I280" t="s">
        <v>52</v>
      </c>
      <c r="J280" t="s">
        <v>13</v>
      </c>
      <c r="K280" cm="1">
        <f t="array" aca="1" ref="K280" ca="1">_xlfn.IFS(EmployeeData[[#This Row],[Status]]="Active",_xlfn.DAYS(TODAY(),EmployeeData[[#This Row],[Join Date]]),EmployeeData[[#This Row],[Status]]="Exited",_xlfn.DAYS(EmployeeData[[#This Row],[Exit Date]],EmployeeData[[#This Row],[Join Date]]))</f>
        <v>1022</v>
      </c>
      <c r="L280" cm="1">
        <f t="array" aca="1" ref="L280" ca="1">_xlfn.IFS(EmployeeData[[#This Row],[Status]]="Exited",DATEDIF(EmployeeData[[#This Row],[Join Date]], EmployeeData[[#This Row],[Exit Date]], "Y"),EmployeeData[[#This Row],[Status]]="Active",DATEDIF(EmployeeData[[#This Row],[Join Date]], TODAY(), "Y"))</f>
        <v>2</v>
      </c>
      <c r="Q280" t="str" cm="1">
        <f t="array" aca="1" ref="Q2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18 days</v>
      </c>
    </row>
    <row r="281" spans="1:17" x14ac:dyDescent="0.3">
      <c r="A281">
        <v>1280</v>
      </c>
      <c r="B281" t="s">
        <v>765</v>
      </c>
      <c r="C281" t="s">
        <v>10</v>
      </c>
      <c r="D281" t="s">
        <v>11</v>
      </c>
      <c r="E281">
        <v>41</v>
      </c>
      <c r="F281" t="str" cm="1">
        <f t="array" ref="F281">_xlfn.IFS(EmployeeData[[#This Row],[Age]]&lt;30,"20s",EmployeeData[[#This Row],[Age]]&lt;40,"30s",EmployeeData[[#This Row],[Age]]&lt;50,"40s",EmployeeData[[#This Row],[Age]]&lt;60,"50s",EmployeeData[[#This Row],[Age]]&gt;=60,"60s")</f>
        <v>40s</v>
      </c>
      <c r="G281" s="5">
        <v>43376</v>
      </c>
      <c r="H281" s="5">
        <v>43937</v>
      </c>
      <c r="I281" t="s">
        <v>31</v>
      </c>
      <c r="J281" t="s">
        <v>13</v>
      </c>
      <c r="K281" cm="1">
        <f t="array" aca="1" ref="K281" ca="1">_xlfn.IFS(EmployeeData[[#This Row],[Status]]="Active",_xlfn.DAYS(TODAY(),EmployeeData[[#This Row],[Join Date]]),EmployeeData[[#This Row],[Status]]="Exited",_xlfn.DAYS(EmployeeData[[#This Row],[Exit Date]],EmployeeData[[#This Row],[Join Date]]))</f>
        <v>561</v>
      </c>
      <c r="L281" cm="1">
        <f t="array" aca="1" ref="L281" ca="1">_xlfn.IFS(EmployeeData[[#This Row],[Status]]="Exited",DATEDIF(EmployeeData[[#This Row],[Join Date]], EmployeeData[[#This Row],[Exit Date]], "Y"),EmployeeData[[#This Row],[Status]]="Active",DATEDIF(EmployeeData[[#This Row],[Join Date]], TODAY(), "Y"))</f>
        <v>1</v>
      </c>
      <c r="Q281" t="str" cm="1">
        <f t="array" aca="1" ref="Q2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13 days</v>
      </c>
    </row>
    <row r="282" spans="1:17" x14ac:dyDescent="0.3">
      <c r="A282">
        <v>1281</v>
      </c>
      <c r="B282" t="s">
        <v>738</v>
      </c>
      <c r="C282" t="s">
        <v>46</v>
      </c>
      <c r="D282" t="s">
        <v>11</v>
      </c>
      <c r="E282">
        <v>54</v>
      </c>
      <c r="F282" t="str" cm="1">
        <f t="array" ref="F282">_xlfn.IFS(EmployeeData[[#This Row],[Age]]&lt;30,"20s",EmployeeData[[#This Row],[Age]]&lt;40,"30s",EmployeeData[[#This Row],[Age]]&lt;50,"40s",EmployeeData[[#This Row],[Age]]&lt;60,"50s",EmployeeData[[#This Row],[Age]]&gt;=60,"60s")</f>
        <v>50s</v>
      </c>
      <c r="G282" s="5">
        <v>43815</v>
      </c>
      <c r="I282" t="s">
        <v>17</v>
      </c>
      <c r="J282" t="s">
        <v>18</v>
      </c>
      <c r="K282" cm="1">
        <f t="array" aca="1" ref="K282" ca="1">_xlfn.IFS(EmployeeData[[#This Row],[Status]]="Active",_xlfn.DAYS(TODAY(),EmployeeData[[#This Row],[Join Date]]),EmployeeData[[#This Row],[Status]]="Exited",_xlfn.DAYS(EmployeeData[[#This Row],[Exit Date]],EmployeeData[[#This Row],[Join Date]]))</f>
        <v>2382</v>
      </c>
      <c r="L282" cm="1">
        <f t="array" aca="1" ref="L282" ca="1">_xlfn.IFS(EmployeeData[[#This Row],[Status]]="Exited",DATEDIF(EmployeeData[[#This Row],[Join Date]], EmployeeData[[#This Row],[Exit Date]], "Y"),EmployeeData[[#This Row],[Status]]="Active",DATEDIF(EmployeeData[[#This Row],[Join Date]], TODAY(), "Y"))</f>
        <v>6</v>
      </c>
      <c r="Q282" t="str" cm="1">
        <f t="array" aca="1" ref="Q2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8 days</v>
      </c>
    </row>
    <row r="283" spans="1:17" x14ac:dyDescent="0.3">
      <c r="A283">
        <v>1282</v>
      </c>
      <c r="B283" t="s">
        <v>654</v>
      </c>
      <c r="C283" t="s">
        <v>15</v>
      </c>
      <c r="D283" t="s">
        <v>24</v>
      </c>
      <c r="E283">
        <v>32</v>
      </c>
      <c r="F283" t="str" cm="1">
        <f t="array" ref="F283">_xlfn.IFS(EmployeeData[[#This Row],[Age]]&lt;30,"20s",EmployeeData[[#This Row],[Age]]&lt;40,"30s",EmployeeData[[#This Row],[Age]]&lt;50,"40s",EmployeeData[[#This Row],[Age]]&lt;60,"50s",EmployeeData[[#This Row],[Age]]&gt;=60,"60s")</f>
        <v>30s</v>
      </c>
      <c r="G283" s="5">
        <v>43864</v>
      </c>
      <c r="I283" t="s">
        <v>17</v>
      </c>
      <c r="J283" t="s">
        <v>18</v>
      </c>
      <c r="K283" cm="1">
        <f t="array" aca="1" ref="K283" ca="1">_xlfn.IFS(EmployeeData[[#This Row],[Status]]="Active",_xlfn.DAYS(TODAY(),EmployeeData[[#This Row],[Join Date]]),EmployeeData[[#This Row],[Status]]="Exited",_xlfn.DAYS(EmployeeData[[#This Row],[Exit Date]],EmployeeData[[#This Row],[Join Date]]))</f>
        <v>2333</v>
      </c>
      <c r="L283" cm="1">
        <f t="array" aca="1" ref="L283" ca="1">_xlfn.IFS(EmployeeData[[#This Row],[Status]]="Exited",DATEDIF(EmployeeData[[#This Row],[Join Date]], EmployeeData[[#This Row],[Exit Date]], "Y"),EmployeeData[[#This Row],[Status]]="Active",DATEDIF(EmployeeData[[#This Row],[Join Date]], TODAY(), "Y"))</f>
        <v>6</v>
      </c>
      <c r="Q283" t="str" cm="1">
        <f t="array" aca="1" ref="Q2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21 days</v>
      </c>
    </row>
    <row r="284" spans="1:17" x14ac:dyDescent="0.3">
      <c r="A284">
        <v>1283</v>
      </c>
      <c r="B284" t="s">
        <v>793</v>
      </c>
      <c r="C284" t="s">
        <v>10</v>
      </c>
      <c r="D284" t="s">
        <v>24</v>
      </c>
      <c r="E284">
        <v>21</v>
      </c>
      <c r="F284" t="str" cm="1">
        <f t="array" ref="F284">_xlfn.IFS(EmployeeData[[#This Row],[Age]]&lt;30,"20s",EmployeeData[[#This Row],[Age]]&lt;40,"30s",EmployeeData[[#This Row],[Age]]&lt;50,"40s",EmployeeData[[#This Row],[Age]]&lt;60,"50s",EmployeeData[[#This Row],[Age]]&gt;=60,"60s")</f>
        <v>20s</v>
      </c>
      <c r="G284" s="5">
        <v>45987</v>
      </c>
      <c r="H284" s="5">
        <v>46112</v>
      </c>
      <c r="I284" t="s">
        <v>34</v>
      </c>
      <c r="J284" t="s">
        <v>13</v>
      </c>
      <c r="K284" cm="1">
        <f t="array" aca="1" ref="K284" ca="1">_xlfn.IFS(EmployeeData[[#This Row],[Status]]="Active",_xlfn.DAYS(TODAY(),EmployeeData[[#This Row],[Join Date]]),EmployeeData[[#This Row],[Status]]="Exited",_xlfn.DAYS(EmployeeData[[#This Row],[Exit Date]],EmployeeData[[#This Row],[Join Date]]))</f>
        <v>125</v>
      </c>
      <c r="L284" cm="1">
        <f t="array" aca="1" ref="L284" ca="1">_xlfn.IFS(EmployeeData[[#This Row],[Status]]="Exited",DATEDIF(EmployeeData[[#This Row],[Join Date]], EmployeeData[[#This Row],[Exit Date]], "Y"),EmployeeData[[#This Row],[Status]]="Active",DATEDIF(EmployeeData[[#This Row],[Join Date]], TODAY(), "Y"))</f>
        <v>0</v>
      </c>
      <c r="Q284" t="str" cm="1">
        <f t="array" aca="1" ref="Q2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5 days</v>
      </c>
    </row>
    <row r="285" spans="1:17" x14ac:dyDescent="0.3">
      <c r="A285">
        <v>1284</v>
      </c>
      <c r="B285" t="s">
        <v>379</v>
      </c>
      <c r="C285" t="s">
        <v>10</v>
      </c>
      <c r="D285" t="s">
        <v>16</v>
      </c>
      <c r="E285">
        <v>28</v>
      </c>
      <c r="F285" t="str" cm="1">
        <f t="array" ref="F285">_xlfn.IFS(EmployeeData[[#This Row],[Age]]&lt;30,"20s",EmployeeData[[#This Row],[Age]]&lt;40,"30s",EmployeeData[[#This Row],[Age]]&lt;50,"40s",EmployeeData[[#This Row],[Age]]&lt;60,"50s",EmployeeData[[#This Row],[Age]]&gt;=60,"60s")</f>
        <v>20s</v>
      </c>
      <c r="G285" s="5">
        <v>44175</v>
      </c>
      <c r="I285" t="s">
        <v>17</v>
      </c>
      <c r="J285" t="s">
        <v>18</v>
      </c>
      <c r="K285" cm="1">
        <f t="array" aca="1" ref="K285" ca="1">_xlfn.IFS(EmployeeData[[#This Row],[Status]]="Active",_xlfn.DAYS(TODAY(),EmployeeData[[#This Row],[Join Date]]),EmployeeData[[#This Row],[Status]]="Exited",_xlfn.DAYS(EmployeeData[[#This Row],[Exit Date]],EmployeeData[[#This Row],[Join Date]]))</f>
        <v>2022</v>
      </c>
      <c r="L285" cm="1">
        <f t="array" aca="1" ref="L285" ca="1">_xlfn.IFS(EmployeeData[[#This Row],[Status]]="Exited",DATEDIF(EmployeeData[[#This Row],[Join Date]], EmployeeData[[#This Row],[Exit Date]], "Y"),EmployeeData[[#This Row],[Status]]="Active",DATEDIF(EmployeeData[[#This Row],[Join Date]], TODAY(), "Y"))</f>
        <v>5</v>
      </c>
      <c r="Q285" t="str" cm="1">
        <f t="array" aca="1" ref="Q2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6 months 14 days</v>
      </c>
    </row>
    <row r="286" spans="1:17" x14ac:dyDescent="0.3">
      <c r="A286">
        <v>1285</v>
      </c>
      <c r="B286" t="s">
        <v>1038</v>
      </c>
      <c r="C286" t="s">
        <v>10</v>
      </c>
      <c r="D286" t="s">
        <v>24</v>
      </c>
      <c r="E286">
        <v>46</v>
      </c>
      <c r="F286" t="str" cm="1">
        <f t="array" ref="F286">_xlfn.IFS(EmployeeData[[#This Row],[Age]]&lt;30,"20s",EmployeeData[[#This Row],[Age]]&lt;40,"30s",EmployeeData[[#This Row],[Age]]&lt;50,"40s",EmployeeData[[#This Row],[Age]]&lt;60,"50s",EmployeeData[[#This Row],[Age]]&gt;=60,"60s")</f>
        <v>40s</v>
      </c>
      <c r="G286" s="5">
        <v>45505</v>
      </c>
      <c r="H286" s="5">
        <v>45955</v>
      </c>
      <c r="I286" t="s">
        <v>52</v>
      </c>
      <c r="J286" t="s">
        <v>13</v>
      </c>
      <c r="K286" cm="1">
        <f t="array" aca="1" ref="K286" ca="1">_xlfn.IFS(EmployeeData[[#This Row],[Status]]="Active",_xlfn.DAYS(TODAY(),EmployeeData[[#This Row],[Join Date]]),EmployeeData[[#This Row],[Status]]="Exited",_xlfn.DAYS(EmployeeData[[#This Row],[Exit Date]],EmployeeData[[#This Row],[Join Date]]))</f>
        <v>450</v>
      </c>
      <c r="L286" cm="1">
        <f t="array" aca="1" ref="L286" ca="1">_xlfn.IFS(EmployeeData[[#This Row],[Status]]="Exited",DATEDIF(EmployeeData[[#This Row],[Join Date]], EmployeeData[[#This Row],[Exit Date]], "Y"),EmployeeData[[#This Row],[Status]]="Active",DATEDIF(EmployeeData[[#This Row],[Join Date]], TODAY(), "Y"))</f>
        <v>1</v>
      </c>
      <c r="Q286" t="str" cm="1">
        <f t="array" aca="1" ref="Q2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24 days</v>
      </c>
    </row>
    <row r="287" spans="1:17" x14ac:dyDescent="0.3">
      <c r="A287">
        <v>1286</v>
      </c>
      <c r="B287" t="s">
        <v>468</v>
      </c>
      <c r="C287" t="s">
        <v>10</v>
      </c>
      <c r="D287" t="s">
        <v>24</v>
      </c>
      <c r="E287">
        <v>53</v>
      </c>
      <c r="F287" t="str" cm="1">
        <f t="array" ref="F287">_xlfn.IFS(EmployeeData[[#This Row],[Age]]&lt;30,"20s",EmployeeData[[#This Row],[Age]]&lt;40,"30s",EmployeeData[[#This Row],[Age]]&lt;50,"40s",EmployeeData[[#This Row],[Age]]&lt;60,"50s",EmployeeData[[#This Row],[Age]]&gt;=60,"60s")</f>
        <v>50s</v>
      </c>
      <c r="G287" s="5">
        <v>45853</v>
      </c>
      <c r="H287" s="5">
        <v>45973</v>
      </c>
      <c r="I287" t="s">
        <v>26</v>
      </c>
      <c r="J287" t="s">
        <v>13</v>
      </c>
      <c r="K287" cm="1">
        <f t="array" aca="1" ref="K287" ca="1">_xlfn.IFS(EmployeeData[[#This Row],[Status]]="Active",_xlfn.DAYS(TODAY(),EmployeeData[[#This Row],[Join Date]]),EmployeeData[[#This Row],[Status]]="Exited",_xlfn.DAYS(EmployeeData[[#This Row],[Exit Date]],EmployeeData[[#This Row],[Join Date]]))</f>
        <v>120</v>
      </c>
      <c r="L287" cm="1">
        <f t="array" aca="1" ref="L287" ca="1">_xlfn.IFS(EmployeeData[[#This Row],[Status]]="Exited",DATEDIF(EmployeeData[[#This Row],[Join Date]], EmployeeData[[#This Row],[Exit Date]], "Y"),EmployeeData[[#This Row],[Status]]="Active",DATEDIF(EmployeeData[[#This Row],[Join Date]], TODAY(), "Y"))</f>
        <v>0</v>
      </c>
      <c r="Q287" t="str" cm="1">
        <f t="array" aca="1" ref="Q2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28 days</v>
      </c>
    </row>
    <row r="288" spans="1:17" x14ac:dyDescent="0.3">
      <c r="A288">
        <v>1287</v>
      </c>
      <c r="B288" t="s">
        <v>980</v>
      </c>
      <c r="C288" t="s">
        <v>23</v>
      </c>
      <c r="D288" t="s">
        <v>24</v>
      </c>
      <c r="E288">
        <v>29</v>
      </c>
      <c r="F288" t="str" cm="1">
        <f t="array" ref="F288">_xlfn.IFS(EmployeeData[[#This Row],[Age]]&lt;30,"20s",EmployeeData[[#This Row],[Age]]&lt;40,"30s",EmployeeData[[#This Row],[Age]]&lt;50,"40s",EmployeeData[[#This Row],[Age]]&lt;60,"50s",EmployeeData[[#This Row],[Age]]&gt;=60,"60s")</f>
        <v>20s</v>
      </c>
      <c r="G288" s="5">
        <v>45455</v>
      </c>
      <c r="I288" t="s">
        <v>17</v>
      </c>
      <c r="J288" t="s">
        <v>18</v>
      </c>
      <c r="K288" cm="1">
        <f t="array" aca="1" ref="K288" ca="1">_xlfn.IFS(EmployeeData[[#This Row],[Status]]="Active",_xlfn.DAYS(TODAY(),EmployeeData[[#This Row],[Join Date]]),EmployeeData[[#This Row],[Status]]="Exited",_xlfn.DAYS(EmployeeData[[#This Row],[Exit Date]],EmployeeData[[#This Row],[Join Date]]))</f>
        <v>742</v>
      </c>
      <c r="L288" cm="1">
        <f t="array" aca="1" ref="L288" ca="1">_xlfn.IFS(EmployeeData[[#This Row],[Status]]="Exited",DATEDIF(EmployeeData[[#This Row],[Join Date]], EmployeeData[[#This Row],[Exit Date]], "Y"),EmployeeData[[#This Row],[Status]]="Active",DATEDIF(EmployeeData[[#This Row],[Join Date]], TODAY(), "Y"))</f>
        <v>2</v>
      </c>
      <c r="Q288" t="str" cm="1">
        <f t="array" aca="1" ref="Q2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12 days</v>
      </c>
    </row>
    <row r="289" spans="1:17" x14ac:dyDescent="0.3">
      <c r="A289">
        <v>1288</v>
      </c>
      <c r="B289" t="s">
        <v>204</v>
      </c>
      <c r="C289" t="s">
        <v>20</v>
      </c>
      <c r="D289" t="s">
        <v>24</v>
      </c>
      <c r="E289">
        <v>32</v>
      </c>
      <c r="F289" t="str" cm="1">
        <f t="array" ref="F289">_xlfn.IFS(EmployeeData[[#This Row],[Age]]&lt;30,"20s",EmployeeData[[#This Row],[Age]]&lt;40,"30s",EmployeeData[[#This Row],[Age]]&lt;50,"40s",EmployeeData[[#This Row],[Age]]&lt;60,"50s",EmployeeData[[#This Row],[Age]]&gt;=60,"60s")</f>
        <v>30s</v>
      </c>
      <c r="G289" s="5">
        <v>45373</v>
      </c>
      <c r="H289" s="5">
        <v>45758</v>
      </c>
      <c r="I289" t="s">
        <v>31</v>
      </c>
      <c r="J289" t="s">
        <v>13</v>
      </c>
      <c r="K289" cm="1">
        <f t="array" aca="1" ref="K289" ca="1">_xlfn.IFS(EmployeeData[[#This Row],[Status]]="Active",_xlfn.DAYS(TODAY(),EmployeeData[[#This Row],[Join Date]]),EmployeeData[[#This Row],[Status]]="Exited",_xlfn.DAYS(EmployeeData[[#This Row],[Exit Date]],EmployeeData[[#This Row],[Join Date]]))</f>
        <v>385</v>
      </c>
      <c r="L289" cm="1">
        <f t="array" aca="1" ref="L289" ca="1">_xlfn.IFS(EmployeeData[[#This Row],[Status]]="Exited",DATEDIF(EmployeeData[[#This Row],[Join Date]], EmployeeData[[#This Row],[Exit Date]], "Y"),EmployeeData[[#This Row],[Status]]="Active",DATEDIF(EmployeeData[[#This Row],[Join Date]], TODAY(), "Y"))</f>
        <v>1</v>
      </c>
      <c r="Q289" t="str" cm="1">
        <f t="array" aca="1" ref="Q2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20 days</v>
      </c>
    </row>
    <row r="290" spans="1:17" x14ac:dyDescent="0.3">
      <c r="A290">
        <v>1289</v>
      </c>
      <c r="B290" t="s">
        <v>366</v>
      </c>
      <c r="C290" t="s">
        <v>33</v>
      </c>
      <c r="D290" t="s">
        <v>11</v>
      </c>
      <c r="E290">
        <v>52</v>
      </c>
      <c r="F290" t="str" cm="1">
        <f t="array" ref="F290">_xlfn.IFS(EmployeeData[[#This Row],[Age]]&lt;30,"20s",EmployeeData[[#This Row],[Age]]&lt;40,"30s",EmployeeData[[#This Row],[Age]]&lt;50,"40s",EmployeeData[[#This Row],[Age]]&lt;60,"50s",EmployeeData[[#This Row],[Age]]&gt;=60,"60s")</f>
        <v>50s</v>
      </c>
      <c r="G290" s="5">
        <v>43660</v>
      </c>
      <c r="H290" s="5">
        <v>45322</v>
      </c>
      <c r="I290" t="s">
        <v>21</v>
      </c>
      <c r="J290" t="s">
        <v>13</v>
      </c>
      <c r="K290" cm="1">
        <f t="array" aca="1" ref="K290" ca="1">_xlfn.IFS(EmployeeData[[#This Row],[Status]]="Active",_xlfn.DAYS(TODAY(),EmployeeData[[#This Row],[Join Date]]),EmployeeData[[#This Row],[Status]]="Exited",_xlfn.DAYS(EmployeeData[[#This Row],[Exit Date]],EmployeeData[[#This Row],[Join Date]]))</f>
        <v>1662</v>
      </c>
      <c r="L290" cm="1">
        <f t="array" aca="1" ref="L290" ca="1">_xlfn.IFS(EmployeeData[[#This Row],[Status]]="Exited",DATEDIF(EmployeeData[[#This Row],[Join Date]], EmployeeData[[#This Row],[Exit Date]], "Y"),EmployeeData[[#This Row],[Status]]="Active",DATEDIF(EmployeeData[[#This Row],[Join Date]], TODAY(), "Y"))</f>
        <v>4</v>
      </c>
      <c r="Q290" t="str" cm="1">
        <f t="array" aca="1" ref="Q2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17 days</v>
      </c>
    </row>
    <row r="291" spans="1:17" x14ac:dyDescent="0.3">
      <c r="A291">
        <v>1290</v>
      </c>
      <c r="B291" t="s">
        <v>550</v>
      </c>
      <c r="C291" t="s">
        <v>10</v>
      </c>
      <c r="D291" t="s">
        <v>11</v>
      </c>
      <c r="E291">
        <v>52</v>
      </c>
      <c r="F291" t="str" cm="1">
        <f t="array" ref="F291">_xlfn.IFS(EmployeeData[[#This Row],[Age]]&lt;30,"20s",EmployeeData[[#This Row],[Age]]&lt;40,"30s",EmployeeData[[#This Row],[Age]]&lt;50,"40s",EmployeeData[[#This Row],[Age]]&lt;60,"50s",EmployeeData[[#This Row],[Age]]&gt;=60,"60s")</f>
        <v>50s</v>
      </c>
      <c r="G291" s="5">
        <v>43786</v>
      </c>
      <c r="H291" s="5">
        <v>44002</v>
      </c>
      <c r="I291" t="s">
        <v>52</v>
      </c>
      <c r="J291" t="s">
        <v>13</v>
      </c>
      <c r="K291" cm="1">
        <f t="array" aca="1" ref="K291" ca="1">_xlfn.IFS(EmployeeData[[#This Row],[Status]]="Active",_xlfn.DAYS(TODAY(),EmployeeData[[#This Row],[Join Date]]),EmployeeData[[#This Row],[Status]]="Exited",_xlfn.DAYS(EmployeeData[[#This Row],[Exit Date]],EmployeeData[[#This Row],[Join Date]]))</f>
        <v>216</v>
      </c>
      <c r="L291" cm="1">
        <f t="array" aca="1" ref="L291" ca="1">_xlfn.IFS(EmployeeData[[#This Row],[Status]]="Exited",DATEDIF(EmployeeData[[#This Row],[Join Date]], EmployeeData[[#This Row],[Exit Date]], "Y"),EmployeeData[[#This Row],[Status]]="Active",DATEDIF(EmployeeData[[#This Row],[Join Date]], TODAY(), "Y"))</f>
        <v>0</v>
      </c>
      <c r="Q291" t="str" cm="1">
        <f t="array" aca="1" ref="Q2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3 days</v>
      </c>
    </row>
    <row r="292" spans="1:17" x14ac:dyDescent="0.3">
      <c r="A292">
        <v>1291</v>
      </c>
      <c r="B292" t="s">
        <v>942</v>
      </c>
      <c r="C292" t="s">
        <v>23</v>
      </c>
      <c r="D292" t="s">
        <v>16</v>
      </c>
      <c r="E292">
        <v>50</v>
      </c>
      <c r="F292" t="str" cm="1">
        <f t="array" ref="F292">_xlfn.IFS(EmployeeData[[#This Row],[Age]]&lt;30,"20s",EmployeeData[[#This Row],[Age]]&lt;40,"30s",EmployeeData[[#This Row],[Age]]&lt;50,"40s",EmployeeData[[#This Row],[Age]]&lt;60,"50s",EmployeeData[[#This Row],[Age]]&gt;=60,"60s")</f>
        <v>50s</v>
      </c>
      <c r="G292" s="5">
        <v>45417</v>
      </c>
      <c r="I292" t="s">
        <v>17</v>
      </c>
      <c r="J292" t="s">
        <v>18</v>
      </c>
      <c r="K292" cm="1">
        <f t="array" aca="1" ref="K292" ca="1">_xlfn.IFS(EmployeeData[[#This Row],[Status]]="Active",_xlfn.DAYS(TODAY(),EmployeeData[[#This Row],[Join Date]]),EmployeeData[[#This Row],[Status]]="Exited",_xlfn.DAYS(EmployeeData[[#This Row],[Exit Date]],EmployeeData[[#This Row],[Join Date]]))</f>
        <v>780</v>
      </c>
      <c r="L292" cm="1">
        <f t="array" aca="1" ref="L292" ca="1">_xlfn.IFS(EmployeeData[[#This Row],[Status]]="Exited",DATEDIF(EmployeeData[[#This Row],[Join Date]], EmployeeData[[#This Row],[Exit Date]], "Y"),EmployeeData[[#This Row],[Status]]="Active",DATEDIF(EmployeeData[[#This Row],[Join Date]], TODAY(), "Y"))</f>
        <v>2</v>
      </c>
      <c r="Q292" t="str" cm="1">
        <f t="array" aca="1" ref="Q2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19 days</v>
      </c>
    </row>
    <row r="293" spans="1:17" x14ac:dyDescent="0.3">
      <c r="A293">
        <v>1292</v>
      </c>
      <c r="B293" t="s">
        <v>865</v>
      </c>
      <c r="C293" t="s">
        <v>10</v>
      </c>
      <c r="D293" t="s">
        <v>24</v>
      </c>
      <c r="E293">
        <v>44</v>
      </c>
      <c r="F293" t="str" cm="1">
        <f t="array" ref="F293">_xlfn.IFS(EmployeeData[[#This Row],[Age]]&lt;30,"20s",EmployeeData[[#This Row],[Age]]&lt;40,"30s",EmployeeData[[#This Row],[Age]]&lt;50,"40s",EmployeeData[[#This Row],[Age]]&lt;60,"50s",EmployeeData[[#This Row],[Age]]&gt;=60,"60s")</f>
        <v>40s</v>
      </c>
      <c r="G293" s="5">
        <v>45321</v>
      </c>
      <c r="I293" t="s">
        <v>17</v>
      </c>
      <c r="J293" t="s">
        <v>18</v>
      </c>
      <c r="K293" cm="1">
        <f t="array" aca="1" ref="K293" ca="1">_xlfn.IFS(EmployeeData[[#This Row],[Status]]="Active",_xlfn.DAYS(TODAY(),EmployeeData[[#This Row],[Join Date]]),EmployeeData[[#This Row],[Status]]="Exited",_xlfn.DAYS(EmployeeData[[#This Row],[Exit Date]],EmployeeData[[#This Row],[Join Date]]))</f>
        <v>876</v>
      </c>
      <c r="L293" cm="1">
        <f t="array" aca="1" ref="L293" ca="1">_xlfn.IFS(EmployeeData[[#This Row],[Status]]="Exited",DATEDIF(EmployeeData[[#This Row],[Join Date]], EmployeeData[[#This Row],[Exit Date]], "Y"),EmployeeData[[#This Row],[Status]]="Active",DATEDIF(EmployeeData[[#This Row],[Join Date]], TODAY(), "Y"))</f>
        <v>2</v>
      </c>
      <c r="Q293" t="str" cm="1">
        <f t="array" aca="1" ref="Q2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25 days</v>
      </c>
    </row>
    <row r="294" spans="1:17" x14ac:dyDescent="0.3">
      <c r="A294">
        <v>1293</v>
      </c>
      <c r="B294" t="s">
        <v>422</v>
      </c>
      <c r="C294" t="s">
        <v>46</v>
      </c>
      <c r="D294" t="s">
        <v>16</v>
      </c>
      <c r="E294">
        <v>36</v>
      </c>
      <c r="F294" t="str" cm="1">
        <f t="array" ref="F294">_xlfn.IFS(EmployeeData[[#This Row],[Age]]&lt;30,"20s",EmployeeData[[#This Row],[Age]]&lt;40,"30s",EmployeeData[[#This Row],[Age]]&lt;50,"40s",EmployeeData[[#This Row],[Age]]&lt;60,"50s",EmployeeData[[#This Row],[Age]]&gt;=60,"60s")</f>
        <v>30s</v>
      </c>
      <c r="G294" s="5">
        <v>44320</v>
      </c>
      <c r="I294" t="s">
        <v>17</v>
      </c>
      <c r="J294" t="s">
        <v>18</v>
      </c>
      <c r="K294" cm="1">
        <f t="array" aca="1" ref="K294" ca="1">_xlfn.IFS(EmployeeData[[#This Row],[Status]]="Active",_xlfn.DAYS(TODAY(),EmployeeData[[#This Row],[Join Date]]),EmployeeData[[#This Row],[Status]]="Exited",_xlfn.DAYS(EmployeeData[[#This Row],[Exit Date]],EmployeeData[[#This Row],[Join Date]]))</f>
        <v>1877</v>
      </c>
      <c r="L294" cm="1">
        <f t="array" aca="1" ref="L294" ca="1">_xlfn.IFS(EmployeeData[[#This Row],[Status]]="Exited",DATEDIF(EmployeeData[[#This Row],[Join Date]], EmployeeData[[#This Row],[Exit Date]], "Y"),EmployeeData[[#This Row],[Status]]="Active",DATEDIF(EmployeeData[[#This Row],[Join Date]], TODAY(), "Y"))</f>
        <v>5</v>
      </c>
      <c r="Q294" t="str" cm="1">
        <f t="array" aca="1" ref="Q2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20 days</v>
      </c>
    </row>
    <row r="295" spans="1:17" x14ac:dyDescent="0.3">
      <c r="A295">
        <v>1294</v>
      </c>
      <c r="B295" t="s">
        <v>786</v>
      </c>
      <c r="C295" t="s">
        <v>10</v>
      </c>
      <c r="D295" t="s">
        <v>11</v>
      </c>
      <c r="E295">
        <v>36</v>
      </c>
      <c r="F295" t="str" cm="1">
        <f t="array" ref="F295">_xlfn.IFS(EmployeeData[[#This Row],[Age]]&lt;30,"20s",EmployeeData[[#This Row],[Age]]&lt;40,"30s",EmployeeData[[#This Row],[Age]]&lt;50,"40s",EmployeeData[[#This Row],[Age]]&lt;60,"50s",EmployeeData[[#This Row],[Age]]&gt;=60,"60s")</f>
        <v>30s</v>
      </c>
      <c r="G295" s="5">
        <v>43960</v>
      </c>
      <c r="I295" t="s">
        <v>17</v>
      </c>
      <c r="J295" t="s">
        <v>18</v>
      </c>
      <c r="K295" cm="1">
        <f t="array" aca="1" ref="K295" ca="1">_xlfn.IFS(EmployeeData[[#This Row],[Status]]="Active",_xlfn.DAYS(TODAY(),EmployeeData[[#This Row],[Join Date]]),EmployeeData[[#This Row],[Status]]="Exited",_xlfn.DAYS(EmployeeData[[#This Row],[Exit Date]],EmployeeData[[#This Row],[Join Date]]))</f>
        <v>2237</v>
      </c>
      <c r="L295" cm="1">
        <f t="array" aca="1" ref="L295" ca="1">_xlfn.IFS(EmployeeData[[#This Row],[Status]]="Exited",DATEDIF(EmployeeData[[#This Row],[Join Date]], EmployeeData[[#This Row],[Exit Date]], "Y"),EmployeeData[[#This Row],[Status]]="Active",DATEDIF(EmployeeData[[#This Row],[Join Date]], TODAY(), "Y"))</f>
        <v>6</v>
      </c>
      <c r="Q295" t="str" cm="1">
        <f t="array" aca="1" ref="Q2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15 days</v>
      </c>
    </row>
    <row r="296" spans="1:17" x14ac:dyDescent="0.3">
      <c r="A296">
        <v>1295</v>
      </c>
      <c r="B296" t="s">
        <v>321</v>
      </c>
      <c r="C296" t="s">
        <v>15</v>
      </c>
      <c r="D296" t="s">
        <v>16</v>
      </c>
      <c r="E296">
        <v>34</v>
      </c>
      <c r="F296" t="str" cm="1">
        <f t="array" ref="F296">_xlfn.IFS(EmployeeData[[#This Row],[Age]]&lt;30,"20s",EmployeeData[[#This Row],[Age]]&lt;40,"30s",EmployeeData[[#This Row],[Age]]&lt;50,"40s",EmployeeData[[#This Row],[Age]]&lt;60,"50s",EmployeeData[[#This Row],[Age]]&gt;=60,"60s")</f>
        <v>30s</v>
      </c>
      <c r="G296" s="5">
        <v>43948</v>
      </c>
      <c r="I296" t="s">
        <v>17</v>
      </c>
      <c r="J296" t="s">
        <v>18</v>
      </c>
      <c r="K296" cm="1">
        <f t="array" aca="1" ref="K296" ca="1">_xlfn.IFS(EmployeeData[[#This Row],[Status]]="Active",_xlfn.DAYS(TODAY(),EmployeeData[[#This Row],[Join Date]]),EmployeeData[[#This Row],[Status]]="Exited",_xlfn.DAYS(EmployeeData[[#This Row],[Exit Date]],EmployeeData[[#This Row],[Join Date]]))</f>
        <v>2249</v>
      </c>
      <c r="L296" cm="1">
        <f t="array" aca="1" ref="L296" ca="1">_xlfn.IFS(EmployeeData[[#This Row],[Status]]="Exited",DATEDIF(EmployeeData[[#This Row],[Join Date]], EmployeeData[[#This Row],[Exit Date]], "Y"),EmployeeData[[#This Row],[Status]]="Active",DATEDIF(EmployeeData[[#This Row],[Join Date]], TODAY(), "Y"))</f>
        <v>6</v>
      </c>
      <c r="Q296" t="str" cm="1">
        <f t="array" aca="1" ref="Q2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28 days</v>
      </c>
    </row>
    <row r="297" spans="1:17" x14ac:dyDescent="0.3">
      <c r="A297">
        <v>1296</v>
      </c>
      <c r="B297" t="s">
        <v>154</v>
      </c>
      <c r="C297" t="s">
        <v>10</v>
      </c>
      <c r="D297" t="s">
        <v>11</v>
      </c>
      <c r="E297">
        <v>39</v>
      </c>
      <c r="F297" t="str" cm="1">
        <f t="array" ref="F297">_xlfn.IFS(EmployeeData[[#This Row],[Age]]&lt;30,"20s",EmployeeData[[#This Row],[Age]]&lt;40,"30s",EmployeeData[[#This Row],[Age]]&lt;50,"40s",EmployeeData[[#This Row],[Age]]&lt;60,"50s",EmployeeData[[#This Row],[Age]]&gt;=60,"60s")</f>
        <v>30s</v>
      </c>
      <c r="G297" s="5">
        <v>45446</v>
      </c>
      <c r="H297" s="5">
        <v>46062</v>
      </c>
      <c r="I297" t="s">
        <v>21</v>
      </c>
      <c r="J297" t="s">
        <v>13</v>
      </c>
      <c r="K297" cm="1">
        <f t="array" aca="1" ref="K297" ca="1">_xlfn.IFS(EmployeeData[[#This Row],[Status]]="Active",_xlfn.DAYS(TODAY(),EmployeeData[[#This Row],[Join Date]]),EmployeeData[[#This Row],[Status]]="Exited",_xlfn.DAYS(EmployeeData[[#This Row],[Exit Date]],EmployeeData[[#This Row],[Join Date]]))</f>
        <v>616</v>
      </c>
      <c r="L297" cm="1">
        <f t="array" aca="1" ref="L297" ca="1">_xlfn.IFS(EmployeeData[[#This Row],[Status]]="Exited",DATEDIF(EmployeeData[[#This Row],[Join Date]], EmployeeData[[#This Row],[Exit Date]], "Y"),EmployeeData[[#This Row],[Status]]="Active",DATEDIF(EmployeeData[[#This Row],[Join Date]], TODAY(), "Y"))</f>
        <v>1</v>
      </c>
      <c r="Q297" t="str" cm="1">
        <f t="array" aca="1" ref="Q2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6 days</v>
      </c>
    </row>
    <row r="298" spans="1:17" x14ac:dyDescent="0.3">
      <c r="A298">
        <v>1297</v>
      </c>
      <c r="B298" t="s">
        <v>910</v>
      </c>
      <c r="C298" t="s">
        <v>33</v>
      </c>
      <c r="D298" t="s">
        <v>11</v>
      </c>
      <c r="E298">
        <v>60</v>
      </c>
      <c r="F298" t="str" cm="1">
        <f t="array" ref="F298">_xlfn.IFS(EmployeeData[[#This Row],[Age]]&lt;30,"20s",EmployeeData[[#This Row],[Age]]&lt;40,"30s",EmployeeData[[#This Row],[Age]]&lt;50,"40s",EmployeeData[[#This Row],[Age]]&lt;60,"50s",EmployeeData[[#This Row],[Age]]&gt;=60,"60s")</f>
        <v>60s</v>
      </c>
      <c r="G298" s="5">
        <v>45787</v>
      </c>
      <c r="H298" s="5">
        <v>45944</v>
      </c>
      <c r="I298" t="s">
        <v>26</v>
      </c>
      <c r="J298" t="s">
        <v>13</v>
      </c>
      <c r="K298" cm="1">
        <f t="array" aca="1" ref="K298" ca="1">_xlfn.IFS(EmployeeData[[#This Row],[Status]]="Active",_xlfn.DAYS(TODAY(),EmployeeData[[#This Row],[Join Date]]),EmployeeData[[#This Row],[Status]]="Exited",_xlfn.DAYS(EmployeeData[[#This Row],[Exit Date]],EmployeeData[[#This Row],[Join Date]]))</f>
        <v>157</v>
      </c>
      <c r="L298" cm="1">
        <f t="array" aca="1" ref="L298" ca="1">_xlfn.IFS(EmployeeData[[#This Row],[Status]]="Exited",DATEDIF(EmployeeData[[#This Row],[Join Date]], EmployeeData[[#This Row],[Exit Date]], "Y"),EmployeeData[[#This Row],[Status]]="Active",DATEDIF(EmployeeData[[#This Row],[Join Date]], TODAY(), "Y"))</f>
        <v>0</v>
      </c>
      <c r="Q298" t="str" cm="1">
        <f t="array" aca="1" ref="Q2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4 days</v>
      </c>
    </row>
    <row r="299" spans="1:17" x14ac:dyDescent="0.3">
      <c r="A299">
        <v>1298</v>
      </c>
      <c r="B299" t="s">
        <v>1006</v>
      </c>
      <c r="C299" t="s">
        <v>23</v>
      </c>
      <c r="D299" t="s">
        <v>16</v>
      </c>
      <c r="E299">
        <v>47</v>
      </c>
      <c r="F299" t="str" cm="1">
        <f t="array" ref="F299">_xlfn.IFS(EmployeeData[[#This Row],[Age]]&lt;30,"20s",EmployeeData[[#This Row],[Age]]&lt;40,"30s",EmployeeData[[#This Row],[Age]]&lt;50,"40s",EmployeeData[[#This Row],[Age]]&lt;60,"50s",EmployeeData[[#This Row],[Age]]&gt;=60,"60s")</f>
        <v>40s</v>
      </c>
      <c r="G299" s="5">
        <v>44637</v>
      </c>
      <c r="I299" t="s">
        <v>17</v>
      </c>
      <c r="J299" t="s">
        <v>18</v>
      </c>
      <c r="K299" cm="1">
        <f t="array" aca="1" ref="K299" ca="1">_xlfn.IFS(EmployeeData[[#This Row],[Status]]="Active",_xlfn.DAYS(TODAY(),EmployeeData[[#This Row],[Join Date]]),EmployeeData[[#This Row],[Status]]="Exited",_xlfn.DAYS(EmployeeData[[#This Row],[Exit Date]],EmployeeData[[#This Row],[Join Date]]))</f>
        <v>1560</v>
      </c>
      <c r="L299" cm="1">
        <f t="array" aca="1" ref="L299" ca="1">_xlfn.IFS(EmployeeData[[#This Row],[Status]]="Exited",DATEDIF(EmployeeData[[#This Row],[Join Date]], EmployeeData[[#This Row],[Exit Date]], "Y"),EmployeeData[[#This Row],[Status]]="Active",DATEDIF(EmployeeData[[#This Row],[Join Date]], TODAY(), "Y"))</f>
        <v>4</v>
      </c>
      <c r="Q299" t="str" cm="1">
        <f t="array" aca="1" ref="Q2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7 days</v>
      </c>
    </row>
    <row r="300" spans="1:17" x14ac:dyDescent="0.3">
      <c r="A300">
        <v>1299</v>
      </c>
      <c r="B300" t="s">
        <v>1041</v>
      </c>
      <c r="C300" t="s">
        <v>20</v>
      </c>
      <c r="D300" t="s">
        <v>11</v>
      </c>
      <c r="E300">
        <v>50</v>
      </c>
      <c r="F300" t="str" cm="1">
        <f t="array" ref="F300">_xlfn.IFS(EmployeeData[[#This Row],[Age]]&lt;30,"20s",EmployeeData[[#This Row],[Age]]&lt;40,"30s",EmployeeData[[#This Row],[Age]]&lt;50,"40s",EmployeeData[[#This Row],[Age]]&lt;60,"50s",EmployeeData[[#This Row],[Age]]&gt;=60,"60s")</f>
        <v>50s</v>
      </c>
      <c r="G300" s="5">
        <v>45100</v>
      </c>
      <c r="H300" s="5">
        <v>45192</v>
      </c>
      <c r="I300" t="s">
        <v>52</v>
      </c>
      <c r="J300" t="s">
        <v>13</v>
      </c>
      <c r="K300" cm="1">
        <f t="array" aca="1" ref="K300" ca="1">_xlfn.IFS(EmployeeData[[#This Row],[Status]]="Active",_xlfn.DAYS(TODAY(),EmployeeData[[#This Row],[Join Date]]),EmployeeData[[#This Row],[Status]]="Exited",_xlfn.DAYS(EmployeeData[[#This Row],[Exit Date]],EmployeeData[[#This Row],[Join Date]]))</f>
        <v>92</v>
      </c>
      <c r="L300" cm="1">
        <f t="array" aca="1" ref="L300" ca="1">_xlfn.IFS(EmployeeData[[#This Row],[Status]]="Exited",DATEDIF(EmployeeData[[#This Row],[Join Date]], EmployeeData[[#This Row],[Exit Date]], "Y"),EmployeeData[[#This Row],[Status]]="Active",DATEDIF(EmployeeData[[#This Row],[Join Date]], TODAY(), "Y"))</f>
        <v>0</v>
      </c>
      <c r="Q300" t="str" cm="1">
        <f t="array" aca="1" ref="Q3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0 days</v>
      </c>
    </row>
    <row r="301" spans="1:17" x14ac:dyDescent="0.3">
      <c r="A301">
        <v>1300</v>
      </c>
      <c r="B301" t="s">
        <v>40</v>
      </c>
      <c r="C301" t="s">
        <v>23</v>
      </c>
      <c r="D301" t="s">
        <v>11</v>
      </c>
      <c r="E301">
        <v>25</v>
      </c>
      <c r="F301" t="str" cm="1">
        <f t="array" ref="F301">_xlfn.IFS(EmployeeData[[#This Row],[Age]]&lt;30,"20s",EmployeeData[[#This Row],[Age]]&lt;40,"30s",EmployeeData[[#This Row],[Age]]&lt;50,"40s",EmployeeData[[#This Row],[Age]]&lt;60,"50s",EmployeeData[[#This Row],[Age]]&gt;=60,"60s")</f>
        <v>20s</v>
      </c>
      <c r="G301" s="5">
        <v>45290</v>
      </c>
      <c r="I301" t="s">
        <v>17</v>
      </c>
      <c r="J301" t="s">
        <v>18</v>
      </c>
      <c r="K301" cm="1">
        <f t="array" aca="1" ref="K301" ca="1">_xlfn.IFS(EmployeeData[[#This Row],[Status]]="Active",_xlfn.DAYS(TODAY(),EmployeeData[[#This Row],[Join Date]]),EmployeeData[[#This Row],[Status]]="Exited",_xlfn.DAYS(EmployeeData[[#This Row],[Exit Date]],EmployeeData[[#This Row],[Join Date]]))</f>
        <v>907</v>
      </c>
      <c r="L301" cm="1">
        <f t="array" aca="1" ref="L301" ca="1">_xlfn.IFS(EmployeeData[[#This Row],[Status]]="Exited",DATEDIF(EmployeeData[[#This Row],[Join Date]], EmployeeData[[#This Row],[Exit Date]], "Y"),EmployeeData[[#This Row],[Status]]="Active",DATEDIF(EmployeeData[[#This Row],[Join Date]], TODAY(), "Y"))</f>
        <v>2</v>
      </c>
      <c r="Q301" t="str" cm="1">
        <f t="array" aca="1" ref="Q3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25 days</v>
      </c>
    </row>
    <row r="302" spans="1:17" x14ac:dyDescent="0.3">
      <c r="A302">
        <v>1301</v>
      </c>
      <c r="B302" t="s">
        <v>131</v>
      </c>
      <c r="C302" t="s">
        <v>33</v>
      </c>
      <c r="D302" t="s">
        <v>24</v>
      </c>
      <c r="E302">
        <v>57</v>
      </c>
      <c r="F302" t="str" cm="1">
        <f t="array" ref="F302">_xlfn.IFS(EmployeeData[[#This Row],[Age]]&lt;30,"20s",EmployeeData[[#This Row],[Age]]&lt;40,"30s",EmployeeData[[#This Row],[Age]]&lt;50,"40s",EmployeeData[[#This Row],[Age]]&lt;60,"50s",EmployeeData[[#This Row],[Age]]&gt;=60,"60s")</f>
        <v>50s</v>
      </c>
      <c r="G302" s="5">
        <v>43635</v>
      </c>
      <c r="I302" t="s">
        <v>17</v>
      </c>
      <c r="J302" t="s">
        <v>18</v>
      </c>
      <c r="K302" cm="1">
        <f t="array" aca="1" ref="K302" ca="1">_xlfn.IFS(EmployeeData[[#This Row],[Status]]="Active",_xlfn.DAYS(TODAY(),EmployeeData[[#This Row],[Join Date]]),EmployeeData[[#This Row],[Status]]="Exited",_xlfn.DAYS(EmployeeData[[#This Row],[Exit Date]],EmployeeData[[#This Row],[Join Date]]))</f>
        <v>2562</v>
      </c>
      <c r="L302" cm="1">
        <f t="array" aca="1" ref="L302" ca="1">_xlfn.IFS(EmployeeData[[#This Row],[Status]]="Exited",DATEDIF(EmployeeData[[#This Row],[Join Date]], EmployeeData[[#This Row],[Exit Date]], "Y"),EmployeeData[[#This Row],[Status]]="Active",DATEDIF(EmployeeData[[#This Row],[Join Date]], TODAY(), "Y"))</f>
        <v>7</v>
      </c>
      <c r="Q302" t="str" cm="1">
        <f t="array" aca="1" ref="Q3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0 months 5 days</v>
      </c>
    </row>
    <row r="303" spans="1:17" x14ac:dyDescent="0.3">
      <c r="A303">
        <v>1302</v>
      </c>
      <c r="B303" t="s">
        <v>115</v>
      </c>
      <c r="C303" t="s">
        <v>20</v>
      </c>
      <c r="D303" t="s">
        <v>16</v>
      </c>
      <c r="E303">
        <v>50</v>
      </c>
      <c r="F303" t="str" cm="1">
        <f t="array" ref="F303">_xlfn.IFS(EmployeeData[[#This Row],[Age]]&lt;30,"20s",EmployeeData[[#This Row],[Age]]&lt;40,"30s",EmployeeData[[#This Row],[Age]]&lt;50,"40s",EmployeeData[[#This Row],[Age]]&lt;60,"50s",EmployeeData[[#This Row],[Age]]&gt;=60,"60s")</f>
        <v>50s</v>
      </c>
      <c r="G303" s="5">
        <v>43167</v>
      </c>
      <c r="H303" s="5">
        <v>43904</v>
      </c>
      <c r="I303" t="s">
        <v>12</v>
      </c>
      <c r="J303" t="s">
        <v>13</v>
      </c>
      <c r="K303" cm="1">
        <f t="array" aca="1" ref="K303" ca="1">_xlfn.IFS(EmployeeData[[#This Row],[Status]]="Active",_xlfn.DAYS(TODAY(),EmployeeData[[#This Row],[Join Date]]),EmployeeData[[#This Row],[Status]]="Exited",_xlfn.DAYS(EmployeeData[[#This Row],[Exit Date]],EmployeeData[[#This Row],[Join Date]]))</f>
        <v>737</v>
      </c>
      <c r="L303" cm="1">
        <f t="array" aca="1" ref="L303" ca="1">_xlfn.IFS(EmployeeData[[#This Row],[Status]]="Exited",DATEDIF(EmployeeData[[#This Row],[Join Date]], EmployeeData[[#This Row],[Exit Date]], "Y"),EmployeeData[[#This Row],[Status]]="Active",DATEDIF(EmployeeData[[#This Row],[Join Date]], TODAY(), "Y"))</f>
        <v>2</v>
      </c>
      <c r="Q303" t="str" cm="1">
        <f t="array" aca="1" ref="Q3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6 days</v>
      </c>
    </row>
    <row r="304" spans="1:17" x14ac:dyDescent="0.3">
      <c r="A304">
        <v>1303</v>
      </c>
      <c r="B304" t="s">
        <v>592</v>
      </c>
      <c r="C304" t="s">
        <v>33</v>
      </c>
      <c r="D304" t="s">
        <v>16</v>
      </c>
      <c r="E304">
        <v>38</v>
      </c>
      <c r="F304" t="str" cm="1">
        <f t="array" ref="F304">_xlfn.IFS(EmployeeData[[#This Row],[Age]]&lt;30,"20s",EmployeeData[[#This Row],[Age]]&lt;40,"30s",EmployeeData[[#This Row],[Age]]&lt;50,"40s",EmployeeData[[#This Row],[Age]]&lt;60,"50s",EmployeeData[[#This Row],[Age]]&gt;=60,"60s")</f>
        <v>30s</v>
      </c>
      <c r="G304" s="5">
        <v>43483</v>
      </c>
      <c r="I304" t="s">
        <v>17</v>
      </c>
      <c r="J304" t="s">
        <v>18</v>
      </c>
      <c r="K304" cm="1">
        <f t="array" aca="1" ref="K304" ca="1">_xlfn.IFS(EmployeeData[[#This Row],[Status]]="Active",_xlfn.DAYS(TODAY(),EmployeeData[[#This Row],[Join Date]]),EmployeeData[[#This Row],[Status]]="Exited",_xlfn.DAYS(EmployeeData[[#This Row],[Exit Date]],EmployeeData[[#This Row],[Join Date]]))</f>
        <v>2714</v>
      </c>
      <c r="L304" cm="1">
        <f t="array" aca="1" ref="L304" ca="1">_xlfn.IFS(EmployeeData[[#This Row],[Status]]="Exited",DATEDIF(EmployeeData[[#This Row],[Join Date]], EmployeeData[[#This Row],[Exit Date]], "Y"),EmployeeData[[#This Row],[Status]]="Active",DATEDIF(EmployeeData[[#This Row],[Join Date]], TODAY(), "Y"))</f>
        <v>7</v>
      </c>
      <c r="Q304" t="str" cm="1">
        <f t="array" aca="1" ref="Q3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6 days</v>
      </c>
    </row>
    <row r="305" spans="1:17" x14ac:dyDescent="0.3">
      <c r="A305">
        <v>1304</v>
      </c>
      <c r="B305" t="s">
        <v>830</v>
      </c>
      <c r="C305" t="s">
        <v>15</v>
      </c>
      <c r="D305" t="s">
        <v>24</v>
      </c>
      <c r="E305">
        <v>35</v>
      </c>
      <c r="F305" t="str" cm="1">
        <f t="array" ref="F305">_xlfn.IFS(EmployeeData[[#This Row],[Age]]&lt;30,"20s",EmployeeData[[#This Row],[Age]]&lt;40,"30s",EmployeeData[[#This Row],[Age]]&lt;50,"40s",EmployeeData[[#This Row],[Age]]&lt;60,"50s",EmployeeData[[#This Row],[Age]]&gt;=60,"60s")</f>
        <v>30s</v>
      </c>
      <c r="G305" s="5">
        <v>44859</v>
      </c>
      <c r="I305" t="s">
        <v>17</v>
      </c>
      <c r="J305" t="s">
        <v>18</v>
      </c>
      <c r="K305" cm="1">
        <f t="array" aca="1" ref="K305" ca="1">_xlfn.IFS(EmployeeData[[#This Row],[Status]]="Active",_xlfn.DAYS(TODAY(),EmployeeData[[#This Row],[Join Date]]),EmployeeData[[#This Row],[Status]]="Exited",_xlfn.DAYS(EmployeeData[[#This Row],[Exit Date]],EmployeeData[[#This Row],[Join Date]]))</f>
        <v>1338</v>
      </c>
      <c r="L305" cm="1">
        <f t="array" aca="1" ref="L305" ca="1">_xlfn.IFS(EmployeeData[[#This Row],[Status]]="Exited",DATEDIF(EmployeeData[[#This Row],[Join Date]], EmployeeData[[#This Row],[Exit Date]], "Y"),EmployeeData[[#This Row],[Status]]="Active",DATEDIF(EmployeeData[[#This Row],[Join Date]], TODAY(), "Y"))</f>
        <v>3</v>
      </c>
      <c r="Q305" t="str" cm="1">
        <f t="array" aca="1" ref="Q3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30 days</v>
      </c>
    </row>
    <row r="306" spans="1:17" x14ac:dyDescent="0.3">
      <c r="A306">
        <v>1305</v>
      </c>
      <c r="B306" t="s">
        <v>969</v>
      </c>
      <c r="C306" t="s">
        <v>15</v>
      </c>
      <c r="D306" t="s">
        <v>16</v>
      </c>
      <c r="E306">
        <v>49</v>
      </c>
      <c r="F306" t="str" cm="1">
        <f t="array" ref="F306">_xlfn.IFS(EmployeeData[[#This Row],[Age]]&lt;30,"20s",EmployeeData[[#This Row],[Age]]&lt;40,"30s",EmployeeData[[#This Row],[Age]]&lt;50,"40s",EmployeeData[[#This Row],[Age]]&lt;60,"50s",EmployeeData[[#This Row],[Age]]&gt;=60,"60s")</f>
        <v>40s</v>
      </c>
      <c r="G306" s="5">
        <v>43139</v>
      </c>
      <c r="H306" s="5">
        <v>44636</v>
      </c>
      <c r="I306" t="s">
        <v>52</v>
      </c>
      <c r="J306" t="s">
        <v>13</v>
      </c>
      <c r="K306" cm="1">
        <f t="array" aca="1" ref="K306" ca="1">_xlfn.IFS(EmployeeData[[#This Row],[Status]]="Active",_xlfn.DAYS(TODAY(),EmployeeData[[#This Row],[Join Date]]),EmployeeData[[#This Row],[Status]]="Exited",_xlfn.DAYS(EmployeeData[[#This Row],[Exit Date]],EmployeeData[[#This Row],[Join Date]]))</f>
        <v>1497</v>
      </c>
      <c r="L306" cm="1">
        <f t="array" aca="1" ref="L306" ca="1">_xlfn.IFS(EmployeeData[[#This Row],[Status]]="Exited",DATEDIF(EmployeeData[[#This Row],[Join Date]], EmployeeData[[#This Row],[Exit Date]], "Y"),EmployeeData[[#This Row],[Status]]="Active",DATEDIF(EmployeeData[[#This Row],[Join Date]], TODAY(), "Y"))</f>
        <v>4</v>
      </c>
      <c r="Q306" t="str" cm="1">
        <f t="array" aca="1" ref="Q3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8 days</v>
      </c>
    </row>
    <row r="307" spans="1:17" x14ac:dyDescent="0.3">
      <c r="A307">
        <v>1306</v>
      </c>
      <c r="B307" t="s">
        <v>30</v>
      </c>
      <c r="C307" t="s">
        <v>15</v>
      </c>
      <c r="D307" t="s">
        <v>16</v>
      </c>
      <c r="E307">
        <v>27</v>
      </c>
      <c r="F307" t="str" cm="1">
        <f t="array" ref="F307">_xlfn.IFS(EmployeeData[[#This Row],[Age]]&lt;30,"20s",EmployeeData[[#This Row],[Age]]&lt;40,"30s",EmployeeData[[#This Row],[Age]]&lt;50,"40s",EmployeeData[[#This Row],[Age]]&lt;60,"50s",EmployeeData[[#This Row],[Age]]&gt;=60,"60s")</f>
        <v>20s</v>
      </c>
      <c r="G307" s="5">
        <v>43523</v>
      </c>
      <c r="H307" s="5">
        <v>44838</v>
      </c>
      <c r="I307" t="s">
        <v>31</v>
      </c>
      <c r="J307" t="s">
        <v>13</v>
      </c>
      <c r="K307" cm="1">
        <f t="array" aca="1" ref="K307" ca="1">_xlfn.IFS(EmployeeData[[#This Row],[Status]]="Active",_xlfn.DAYS(TODAY(),EmployeeData[[#This Row],[Join Date]]),EmployeeData[[#This Row],[Status]]="Exited",_xlfn.DAYS(EmployeeData[[#This Row],[Exit Date]],EmployeeData[[#This Row],[Join Date]]))</f>
        <v>1315</v>
      </c>
      <c r="L307" cm="1">
        <f t="array" aca="1" ref="L307" ca="1">_xlfn.IFS(EmployeeData[[#This Row],[Status]]="Exited",DATEDIF(EmployeeData[[#This Row],[Join Date]], EmployeeData[[#This Row],[Exit Date]], "Y"),EmployeeData[[#This Row],[Status]]="Active",DATEDIF(EmployeeData[[#This Row],[Join Date]], TODAY(), "Y"))</f>
        <v>3</v>
      </c>
      <c r="Q307" t="str" cm="1">
        <f t="array" aca="1" ref="Q3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7 days</v>
      </c>
    </row>
    <row r="308" spans="1:17" x14ac:dyDescent="0.3">
      <c r="A308">
        <v>1307</v>
      </c>
      <c r="B308" t="s">
        <v>579</v>
      </c>
      <c r="C308" t="s">
        <v>15</v>
      </c>
      <c r="D308" t="s">
        <v>24</v>
      </c>
      <c r="E308">
        <v>21</v>
      </c>
      <c r="F308" t="str" cm="1">
        <f t="array" ref="F308">_xlfn.IFS(EmployeeData[[#This Row],[Age]]&lt;30,"20s",EmployeeData[[#This Row],[Age]]&lt;40,"30s",EmployeeData[[#This Row],[Age]]&lt;50,"40s",EmployeeData[[#This Row],[Age]]&lt;60,"50s",EmployeeData[[#This Row],[Age]]&gt;=60,"60s")</f>
        <v>20s</v>
      </c>
      <c r="G308" s="5">
        <v>45600</v>
      </c>
      <c r="I308" t="s">
        <v>17</v>
      </c>
      <c r="J308" t="s">
        <v>18</v>
      </c>
      <c r="K308" cm="1">
        <f t="array" aca="1" ref="K308" ca="1">_xlfn.IFS(EmployeeData[[#This Row],[Status]]="Active",_xlfn.DAYS(TODAY(),EmployeeData[[#This Row],[Join Date]]),EmployeeData[[#This Row],[Status]]="Exited",_xlfn.DAYS(EmployeeData[[#This Row],[Exit Date]],EmployeeData[[#This Row],[Join Date]]))</f>
        <v>597</v>
      </c>
      <c r="L308" cm="1">
        <f t="array" aca="1" ref="L308" ca="1">_xlfn.IFS(EmployeeData[[#This Row],[Status]]="Exited",DATEDIF(EmployeeData[[#This Row],[Join Date]], EmployeeData[[#This Row],[Exit Date]], "Y"),EmployeeData[[#This Row],[Status]]="Active",DATEDIF(EmployeeData[[#This Row],[Join Date]], TODAY(), "Y"))</f>
        <v>1</v>
      </c>
      <c r="Q308" t="str" cm="1">
        <f t="array" aca="1" ref="Q3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20 days</v>
      </c>
    </row>
    <row r="309" spans="1:17" x14ac:dyDescent="0.3">
      <c r="A309">
        <v>1308</v>
      </c>
      <c r="B309" t="s">
        <v>216</v>
      </c>
      <c r="C309" t="s">
        <v>23</v>
      </c>
      <c r="D309" t="s">
        <v>16</v>
      </c>
      <c r="E309">
        <v>47</v>
      </c>
      <c r="F309" t="str" cm="1">
        <f t="array" ref="F309">_xlfn.IFS(EmployeeData[[#This Row],[Age]]&lt;30,"20s",EmployeeData[[#This Row],[Age]]&lt;40,"30s",EmployeeData[[#This Row],[Age]]&lt;50,"40s",EmployeeData[[#This Row],[Age]]&lt;60,"50s",EmployeeData[[#This Row],[Age]]&gt;=60,"60s")</f>
        <v>40s</v>
      </c>
      <c r="G309" s="5">
        <v>45624</v>
      </c>
      <c r="I309" t="s">
        <v>17</v>
      </c>
      <c r="J309" t="s">
        <v>18</v>
      </c>
      <c r="K309" cm="1">
        <f t="array" aca="1" ref="K309" ca="1">_xlfn.IFS(EmployeeData[[#This Row],[Status]]="Active",_xlfn.DAYS(TODAY(),EmployeeData[[#This Row],[Join Date]]),EmployeeData[[#This Row],[Status]]="Exited",_xlfn.DAYS(EmployeeData[[#This Row],[Exit Date]],EmployeeData[[#This Row],[Join Date]]))</f>
        <v>573</v>
      </c>
      <c r="L309" cm="1">
        <f t="array" aca="1" ref="L309" ca="1">_xlfn.IFS(EmployeeData[[#This Row],[Status]]="Exited",DATEDIF(EmployeeData[[#This Row],[Join Date]], EmployeeData[[#This Row],[Exit Date]], "Y"),EmployeeData[[#This Row],[Status]]="Active",DATEDIF(EmployeeData[[#This Row],[Join Date]], TODAY(), "Y"))</f>
        <v>1</v>
      </c>
      <c r="Q309" t="str" cm="1">
        <f t="array" aca="1" ref="Q3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27 days</v>
      </c>
    </row>
    <row r="310" spans="1:17" x14ac:dyDescent="0.3">
      <c r="A310">
        <v>1309</v>
      </c>
      <c r="B310" t="s">
        <v>202</v>
      </c>
      <c r="C310" t="s">
        <v>15</v>
      </c>
      <c r="D310" t="s">
        <v>16</v>
      </c>
      <c r="E310">
        <v>45</v>
      </c>
      <c r="F310" t="str" cm="1">
        <f t="array" ref="F310">_xlfn.IFS(EmployeeData[[#This Row],[Age]]&lt;30,"20s",EmployeeData[[#This Row],[Age]]&lt;40,"30s",EmployeeData[[#This Row],[Age]]&lt;50,"40s",EmployeeData[[#This Row],[Age]]&lt;60,"50s",EmployeeData[[#This Row],[Age]]&gt;=60,"60s")</f>
        <v>40s</v>
      </c>
      <c r="G310" s="5">
        <v>44540</v>
      </c>
      <c r="I310" t="s">
        <v>17</v>
      </c>
      <c r="J310" t="s">
        <v>18</v>
      </c>
      <c r="K310" cm="1">
        <f t="array" aca="1" ref="K310" ca="1">_xlfn.IFS(EmployeeData[[#This Row],[Status]]="Active",_xlfn.DAYS(TODAY(),EmployeeData[[#This Row],[Join Date]]),EmployeeData[[#This Row],[Status]]="Exited",_xlfn.DAYS(EmployeeData[[#This Row],[Exit Date]],EmployeeData[[#This Row],[Join Date]]))</f>
        <v>1657</v>
      </c>
      <c r="L310" cm="1">
        <f t="array" aca="1" ref="L310" ca="1">_xlfn.IFS(EmployeeData[[#This Row],[Status]]="Exited",DATEDIF(EmployeeData[[#This Row],[Join Date]], EmployeeData[[#This Row],[Exit Date]], "Y"),EmployeeData[[#This Row],[Status]]="Active",DATEDIF(EmployeeData[[#This Row],[Join Date]], TODAY(), "Y"))</f>
        <v>4</v>
      </c>
      <c r="Q310" t="str" cm="1">
        <f t="array" aca="1" ref="Q3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14 days</v>
      </c>
    </row>
    <row r="311" spans="1:17" x14ac:dyDescent="0.3">
      <c r="A311">
        <v>1310</v>
      </c>
      <c r="B311" t="s">
        <v>638</v>
      </c>
      <c r="C311" t="s">
        <v>10</v>
      </c>
      <c r="D311" t="s">
        <v>24</v>
      </c>
      <c r="E311">
        <v>39</v>
      </c>
      <c r="F311" t="str" cm="1">
        <f t="array" ref="F311">_xlfn.IFS(EmployeeData[[#This Row],[Age]]&lt;30,"20s",EmployeeData[[#This Row],[Age]]&lt;40,"30s",EmployeeData[[#This Row],[Age]]&lt;50,"40s",EmployeeData[[#This Row],[Age]]&lt;60,"50s",EmployeeData[[#This Row],[Age]]&gt;=60,"60s")</f>
        <v>30s</v>
      </c>
      <c r="G311" s="5">
        <v>45929</v>
      </c>
      <c r="H311" s="5">
        <v>46096</v>
      </c>
      <c r="I311" t="s">
        <v>31</v>
      </c>
      <c r="J311" t="s">
        <v>13</v>
      </c>
      <c r="K311" cm="1">
        <f t="array" aca="1" ref="K311" ca="1">_xlfn.IFS(EmployeeData[[#This Row],[Status]]="Active",_xlfn.DAYS(TODAY(),EmployeeData[[#This Row],[Join Date]]),EmployeeData[[#This Row],[Status]]="Exited",_xlfn.DAYS(EmployeeData[[#This Row],[Exit Date]],EmployeeData[[#This Row],[Join Date]]))</f>
        <v>167</v>
      </c>
      <c r="L311" cm="1">
        <f t="array" aca="1" ref="L311" ca="1">_xlfn.IFS(EmployeeData[[#This Row],[Status]]="Exited",DATEDIF(EmployeeData[[#This Row],[Join Date]], EmployeeData[[#This Row],[Exit Date]], "Y"),EmployeeData[[#This Row],[Status]]="Active",DATEDIF(EmployeeData[[#This Row],[Join Date]], TODAY(), "Y"))</f>
        <v>0</v>
      </c>
      <c r="Q311" t="str" cm="1">
        <f t="array" aca="1" ref="Q3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14 days</v>
      </c>
    </row>
    <row r="312" spans="1:17" x14ac:dyDescent="0.3">
      <c r="A312">
        <v>1311</v>
      </c>
      <c r="B312" t="s">
        <v>796</v>
      </c>
      <c r="C312" t="s">
        <v>10</v>
      </c>
      <c r="D312" t="s">
        <v>16</v>
      </c>
      <c r="E312">
        <v>36</v>
      </c>
      <c r="F312" t="str" cm="1">
        <f t="array" ref="F312">_xlfn.IFS(EmployeeData[[#This Row],[Age]]&lt;30,"20s",EmployeeData[[#This Row],[Age]]&lt;40,"30s",EmployeeData[[#This Row],[Age]]&lt;50,"40s",EmployeeData[[#This Row],[Age]]&lt;60,"50s",EmployeeData[[#This Row],[Age]]&gt;=60,"60s")</f>
        <v>30s</v>
      </c>
      <c r="G312" s="5">
        <v>45128</v>
      </c>
      <c r="I312" t="s">
        <v>17</v>
      </c>
      <c r="J312" t="s">
        <v>18</v>
      </c>
      <c r="K312" cm="1">
        <f t="array" aca="1" ref="K312" ca="1">_xlfn.IFS(EmployeeData[[#This Row],[Status]]="Active",_xlfn.DAYS(TODAY(),EmployeeData[[#This Row],[Join Date]]),EmployeeData[[#This Row],[Status]]="Exited",_xlfn.DAYS(EmployeeData[[#This Row],[Exit Date]],EmployeeData[[#This Row],[Join Date]]))</f>
        <v>1069</v>
      </c>
      <c r="L312" cm="1">
        <f t="array" aca="1" ref="L312" ca="1">_xlfn.IFS(EmployeeData[[#This Row],[Status]]="Exited",DATEDIF(EmployeeData[[#This Row],[Join Date]], EmployeeData[[#This Row],[Exit Date]], "Y"),EmployeeData[[#This Row],[Status]]="Active",DATEDIF(EmployeeData[[#This Row],[Join Date]], TODAY(), "Y"))</f>
        <v>2</v>
      </c>
      <c r="Q312" t="str" cm="1">
        <f t="array" aca="1" ref="Q3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3 days</v>
      </c>
    </row>
    <row r="313" spans="1:17" x14ac:dyDescent="0.3">
      <c r="A313">
        <v>1312</v>
      </c>
      <c r="B313" t="s">
        <v>967</v>
      </c>
      <c r="C313" t="s">
        <v>15</v>
      </c>
      <c r="D313" t="s">
        <v>11</v>
      </c>
      <c r="E313">
        <v>21</v>
      </c>
      <c r="F313" t="str" cm="1">
        <f t="array" ref="F313">_xlfn.IFS(EmployeeData[[#This Row],[Age]]&lt;30,"20s",EmployeeData[[#This Row],[Age]]&lt;40,"30s",EmployeeData[[#This Row],[Age]]&lt;50,"40s",EmployeeData[[#This Row],[Age]]&lt;60,"50s",EmployeeData[[#This Row],[Age]]&gt;=60,"60s")</f>
        <v>20s</v>
      </c>
      <c r="G313" s="5">
        <v>44580</v>
      </c>
      <c r="I313" t="s">
        <v>17</v>
      </c>
      <c r="J313" t="s">
        <v>18</v>
      </c>
      <c r="K313" cm="1">
        <f t="array" aca="1" ref="K313" ca="1">_xlfn.IFS(EmployeeData[[#This Row],[Status]]="Active",_xlfn.DAYS(TODAY(),EmployeeData[[#This Row],[Join Date]]),EmployeeData[[#This Row],[Status]]="Exited",_xlfn.DAYS(EmployeeData[[#This Row],[Exit Date]],EmployeeData[[#This Row],[Join Date]]))</f>
        <v>1617</v>
      </c>
      <c r="L313" cm="1">
        <f t="array" aca="1" ref="L313" ca="1">_xlfn.IFS(EmployeeData[[#This Row],[Status]]="Exited",DATEDIF(EmployeeData[[#This Row],[Join Date]], EmployeeData[[#This Row],[Exit Date]], "Y"),EmployeeData[[#This Row],[Status]]="Active",DATEDIF(EmployeeData[[#This Row],[Join Date]], TODAY(), "Y"))</f>
        <v>4</v>
      </c>
      <c r="Q313" t="str" cm="1">
        <f t="array" aca="1" ref="Q3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5 days</v>
      </c>
    </row>
    <row r="314" spans="1:17" x14ac:dyDescent="0.3">
      <c r="A314">
        <v>1313</v>
      </c>
      <c r="B314" t="s">
        <v>709</v>
      </c>
      <c r="C314" t="s">
        <v>23</v>
      </c>
      <c r="D314" t="s">
        <v>24</v>
      </c>
      <c r="E314">
        <v>32</v>
      </c>
      <c r="F314" t="str" cm="1">
        <f t="array" ref="F314">_xlfn.IFS(EmployeeData[[#This Row],[Age]]&lt;30,"20s",EmployeeData[[#This Row],[Age]]&lt;40,"30s",EmployeeData[[#This Row],[Age]]&lt;50,"40s",EmployeeData[[#This Row],[Age]]&lt;60,"50s",EmployeeData[[#This Row],[Age]]&gt;=60,"60s")</f>
        <v>30s</v>
      </c>
      <c r="G314" s="5">
        <v>45030</v>
      </c>
      <c r="I314" t="s">
        <v>17</v>
      </c>
      <c r="J314" t="s">
        <v>18</v>
      </c>
      <c r="K314" cm="1">
        <f t="array" aca="1" ref="K314" ca="1">_xlfn.IFS(EmployeeData[[#This Row],[Status]]="Active",_xlfn.DAYS(TODAY(),EmployeeData[[#This Row],[Join Date]]),EmployeeData[[#This Row],[Status]]="Exited",_xlfn.DAYS(EmployeeData[[#This Row],[Exit Date]],EmployeeData[[#This Row],[Join Date]]))</f>
        <v>1167</v>
      </c>
      <c r="L314" cm="1">
        <f t="array" aca="1" ref="L314" ca="1">_xlfn.IFS(EmployeeData[[#This Row],[Status]]="Exited",DATEDIF(EmployeeData[[#This Row],[Join Date]], EmployeeData[[#This Row],[Exit Date]], "Y"),EmployeeData[[#This Row],[Status]]="Active",DATEDIF(EmployeeData[[#This Row],[Join Date]], TODAY(), "Y"))</f>
        <v>3</v>
      </c>
      <c r="Q314" t="str" cm="1">
        <f t="array" aca="1" ref="Q3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10 days</v>
      </c>
    </row>
    <row r="315" spans="1:17" x14ac:dyDescent="0.3">
      <c r="A315">
        <v>1314</v>
      </c>
      <c r="B315" t="s">
        <v>582</v>
      </c>
      <c r="C315" t="s">
        <v>10</v>
      </c>
      <c r="D315" t="s">
        <v>16</v>
      </c>
      <c r="E315">
        <v>24</v>
      </c>
      <c r="F315" t="str" cm="1">
        <f t="array" ref="F315">_xlfn.IFS(EmployeeData[[#This Row],[Age]]&lt;30,"20s",EmployeeData[[#This Row],[Age]]&lt;40,"30s",EmployeeData[[#This Row],[Age]]&lt;50,"40s",EmployeeData[[#This Row],[Age]]&lt;60,"50s",EmployeeData[[#This Row],[Age]]&gt;=60,"60s")</f>
        <v>20s</v>
      </c>
      <c r="G315" s="5">
        <v>44731</v>
      </c>
      <c r="I315" t="s">
        <v>17</v>
      </c>
      <c r="J315" t="s">
        <v>18</v>
      </c>
      <c r="K315" cm="1">
        <f t="array" aca="1" ref="K315" ca="1">_xlfn.IFS(EmployeeData[[#This Row],[Status]]="Active",_xlfn.DAYS(TODAY(),EmployeeData[[#This Row],[Join Date]]),EmployeeData[[#This Row],[Status]]="Exited",_xlfn.DAYS(EmployeeData[[#This Row],[Exit Date]],EmployeeData[[#This Row],[Join Date]]))</f>
        <v>1466</v>
      </c>
      <c r="L315" cm="1">
        <f t="array" aca="1" ref="L315" ca="1">_xlfn.IFS(EmployeeData[[#This Row],[Status]]="Exited",DATEDIF(EmployeeData[[#This Row],[Join Date]], EmployeeData[[#This Row],[Exit Date]], "Y"),EmployeeData[[#This Row],[Status]]="Active",DATEDIF(EmployeeData[[#This Row],[Join Date]], TODAY(), "Y"))</f>
        <v>4</v>
      </c>
      <c r="Q315" t="str" cm="1">
        <f t="array" aca="1" ref="Q3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5 days</v>
      </c>
    </row>
    <row r="316" spans="1:17" x14ac:dyDescent="0.3">
      <c r="A316">
        <v>1315</v>
      </c>
      <c r="B316" t="s">
        <v>748</v>
      </c>
      <c r="C316" t="s">
        <v>15</v>
      </c>
      <c r="D316" t="s">
        <v>24</v>
      </c>
      <c r="E316">
        <v>30</v>
      </c>
      <c r="F316" t="str" cm="1">
        <f t="array" ref="F316">_xlfn.IFS(EmployeeData[[#This Row],[Age]]&lt;30,"20s",EmployeeData[[#This Row],[Age]]&lt;40,"30s",EmployeeData[[#This Row],[Age]]&lt;50,"40s",EmployeeData[[#This Row],[Age]]&lt;60,"50s",EmployeeData[[#This Row],[Age]]&gt;=60,"60s")</f>
        <v>30s</v>
      </c>
      <c r="G316" s="5">
        <v>44237</v>
      </c>
      <c r="H316" s="5">
        <v>44488</v>
      </c>
      <c r="I316" t="s">
        <v>65</v>
      </c>
      <c r="J316" t="s">
        <v>13</v>
      </c>
      <c r="K316" cm="1">
        <f t="array" aca="1" ref="K316" ca="1">_xlfn.IFS(EmployeeData[[#This Row],[Status]]="Active",_xlfn.DAYS(TODAY(),EmployeeData[[#This Row],[Join Date]]),EmployeeData[[#This Row],[Status]]="Exited",_xlfn.DAYS(EmployeeData[[#This Row],[Exit Date]],EmployeeData[[#This Row],[Join Date]]))</f>
        <v>251</v>
      </c>
      <c r="L316" cm="1">
        <f t="array" aca="1" ref="L316" ca="1">_xlfn.IFS(EmployeeData[[#This Row],[Status]]="Exited",DATEDIF(EmployeeData[[#This Row],[Join Date]], EmployeeData[[#This Row],[Exit Date]], "Y"),EmployeeData[[#This Row],[Status]]="Active",DATEDIF(EmployeeData[[#This Row],[Join Date]], TODAY(), "Y"))</f>
        <v>0</v>
      </c>
      <c r="Q316" t="str" cm="1">
        <f t="array" aca="1" ref="Q3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9 days</v>
      </c>
    </row>
    <row r="317" spans="1:17" x14ac:dyDescent="0.3">
      <c r="A317">
        <v>1316</v>
      </c>
      <c r="B317" t="s">
        <v>1058</v>
      </c>
      <c r="C317" t="s">
        <v>23</v>
      </c>
      <c r="D317" t="s">
        <v>11</v>
      </c>
      <c r="E317">
        <v>25</v>
      </c>
      <c r="F317" t="str" cm="1">
        <f t="array" ref="F317">_xlfn.IFS(EmployeeData[[#This Row],[Age]]&lt;30,"20s",EmployeeData[[#This Row],[Age]]&lt;40,"30s",EmployeeData[[#This Row],[Age]]&lt;50,"40s",EmployeeData[[#This Row],[Age]]&lt;60,"50s",EmployeeData[[#This Row],[Age]]&gt;=60,"60s")</f>
        <v>20s</v>
      </c>
      <c r="G317" s="5">
        <v>44371</v>
      </c>
      <c r="I317" t="s">
        <v>17</v>
      </c>
      <c r="J317" t="s">
        <v>18</v>
      </c>
      <c r="K317" cm="1">
        <f t="array" aca="1" ref="K317" ca="1">_xlfn.IFS(EmployeeData[[#This Row],[Status]]="Active",_xlfn.DAYS(TODAY(),EmployeeData[[#This Row],[Join Date]]),EmployeeData[[#This Row],[Status]]="Exited",_xlfn.DAYS(EmployeeData[[#This Row],[Exit Date]],EmployeeData[[#This Row],[Join Date]]))</f>
        <v>1826</v>
      </c>
      <c r="L317" cm="1">
        <f t="array" aca="1" ref="L317" ca="1">_xlfn.IFS(EmployeeData[[#This Row],[Status]]="Exited",DATEDIF(EmployeeData[[#This Row],[Join Date]], EmployeeData[[#This Row],[Exit Date]], "Y"),EmployeeData[[#This Row],[Status]]="Active",DATEDIF(EmployeeData[[#This Row],[Join Date]], TODAY(), "Y"))</f>
        <v>5</v>
      </c>
      <c r="Q317" t="str" cm="1">
        <f t="array" aca="1" ref="Q3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0 days</v>
      </c>
    </row>
    <row r="318" spans="1:17" x14ac:dyDescent="0.3">
      <c r="A318">
        <v>1317</v>
      </c>
      <c r="B318" t="s">
        <v>643</v>
      </c>
      <c r="C318" t="s">
        <v>15</v>
      </c>
      <c r="D318" t="s">
        <v>24</v>
      </c>
      <c r="E318">
        <v>24</v>
      </c>
      <c r="F318" t="str" cm="1">
        <f t="array" ref="F318">_xlfn.IFS(EmployeeData[[#This Row],[Age]]&lt;30,"20s",EmployeeData[[#This Row],[Age]]&lt;40,"30s",EmployeeData[[#This Row],[Age]]&lt;50,"40s",EmployeeData[[#This Row],[Age]]&lt;60,"50s",EmployeeData[[#This Row],[Age]]&gt;=60,"60s")</f>
        <v>20s</v>
      </c>
      <c r="G318" s="5">
        <v>44367</v>
      </c>
      <c r="I318" t="s">
        <v>17</v>
      </c>
      <c r="J318" t="s">
        <v>18</v>
      </c>
      <c r="K318" cm="1">
        <f t="array" aca="1" ref="K318" ca="1">_xlfn.IFS(EmployeeData[[#This Row],[Status]]="Active",_xlfn.DAYS(TODAY(),EmployeeData[[#This Row],[Join Date]]),EmployeeData[[#This Row],[Status]]="Exited",_xlfn.DAYS(EmployeeData[[#This Row],[Exit Date]],EmployeeData[[#This Row],[Join Date]]))</f>
        <v>1830</v>
      </c>
      <c r="L318" cm="1">
        <f t="array" aca="1" ref="L318" ca="1">_xlfn.IFS(EmployeeData[[#This Row],[Status]]="Exited",DATEDIF(EmployeeData[[#This Row],[Join Date]], EmployeeData[[#This Row],[Exit Date]], "Y"),EmployeeData[[#This Row],[Status]]="Active",DATEDIF(EmployeeData[[#This Row],[Join Date]], TODAY(), "Y"))</f>
        <v>5</v>
      </c>
      <c r="Q318" t="str" cm="1">
        <f t="array" aca="1" ref="Q3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4 days</v>
      </c>
    </row>
    <row r="319" spans="1:17" x14ac:dyDescent="0.3">
      <c r="A319">
        <v>1318</v>
      </c>
      <c r="B319" t="s">
        <v>191</v>
      </c>
      <c r="C319" t="s">
        <v>20</v>
      </c>
      <c r="D319" t="s">
        <v>16</v>
      </c>
      <c r="E319">
        <v>43</v>
      </c>
      <c r="F319" t="str" cm="1">
        <f t="array" ref="F319">_xlfn.IFS(EmployeeData[[#This Row],[Age]]&lt;30,"20s",EmployeeData[[#This Row],[Age]]&lt;40,"30s",EmployeeData[[#This Row],[Age]]&lt;50,"40s",EmployeeData[[#This Row],[Age]]&lt;60,"50s",EmployeeData[[#This Row],[Age]]&gt;=60,"60s")</f>
        <v>40s</v>
      </c>
      <c r="G319" s="5">
        <v>45243</v>
      </c>
      <c r="I319" t="s">
        <v>17</v>
      </c>
      <c r="J319" t="s">
        <v>18</v>
      </c>
      <c r="K319" cm="1">
        <f t="array" aca="1" ref="K319" ca="1">_xlfn.IFS(EmployeeData[[#This Row],[Status]]="Active",_xlfn.DAYS(TODAY(),EmployeeData[[#This Row],[Join Date]]),EmployeeData[[#This Row],[Status]]="Exited",_xlfn.DAYS(EmployeeData[[#This Row],[Exit Date]],EmployeeData[[#This Row],[Join Date]]))</f>
        <v>954</v>
      </c>
      <c r="L319" cm="1">
        <f t="array" aca="1" ref="L319" ca="1">_xlfn.IFS(EmployeeData[[#This Row],[Status]]="Exited",DATEDIF(EmployeeData[[#This Row],[Join Date]], EmployeeData[[#This Row],[Exit Date]], "Y"),EmployeeData[[#This Row],[Status]]="Active",DATEDIF(EmployeeData[[#This Row],[Join Date]], TODAY(), "Y"))</f>
        <v>2</v>
      </c>
      <c r="Q319" t="str" cm="1">
        <f t="array" aca="1" ref="Q3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11 days</v>
      </c>
    </row>
    <row r="320" spans="1:17" x14ac:dyDescent="0.3">
      <c r="A320">
        <v>1319</v>
      </c>
      <c r="B320" t="s">
        <v>706</v>
      </c>
      <c r="C320" t="s">
        <v>20</v>
      </c>
      <c r="D320" t="s">
        <v>16</v>
      </c>
      <c r="E320">
        <v>22</v>
      </c>
      <c r="F320" t="str" cm="1">
        <f t="array" ref="F320">_xlfn.IFS(EmployeeData[[#This Row],[Age]]&lt;30,"20s",EmployeeData[[#This Row],[Age]]&lt;40,"30s",EmployeeData[[#This Row],[Age]]&lt;50,"40s",EmployeeData[[#This Row],[Age]]&lt;60,"50s",EmployeeData[[#This Row],[Age]]&gt;=60,"60s")</f>
        <v>20s</v>
      </c>
      <c r="G320" s="5">
        <v>44473</v>
      </c>
      <c r="I320" t="s">
        <v>17</v>
      </c>
      <c r="J320" t="s">
        <v>18</v>
      </c>
      <c r="K320" cm="1">
        <f t="array" aca="1" ref="K320" ca="1">_xlfn.IFS(EmployeeData[[#This Row],[Status]]="Active",_xlfn.DAYS(TODAY(),EmployeeData[[#This Row],[Join Date]]),EmployeeData[[#This Row],[Status]]="Exited",_xlfn.DAYS(EmployeeData[[#This Row],[Exit Date]],EmployeeData[[#This Row],[Join Date]]))</f>
        <v>1724</v>
      </c>
      <c r="L320" cm="1">
        <f t="array" aca="1" ref="L320" ca="1">_xlfn.IFS(EmployeeData[[#This Row],[Status]]="Exited",DATEDIF(EmployeeData[[#This Row],[Join Date]], EmployeeData[[#This Row],[Exit Date]], "Y"),EmployeeData[[#This Row],[Status]]="Active",DATEDIF(EmployeeData[[#This Row],[Join Date]], TODAY(), "Y"))</f>
        <v>4</v>
      </c>
      <c r="Q320" t="str" cm="1">
        <f t="array" aca="1" ref="Q3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20 days</v>
      </c>
    </row>
    <row r="321" spans="1:17" x14ac:dyDescent="0.3">
      <c r="A321">
        <v>1320</v>
      </c>
      <c r="B321" t="s">
        <v>91</v>
      </c>
      <c r="C321" t="s">
        <v>23</v>
      </c>
      <c r="D321" t="s">
        <v>24</v>
      </c>
      <c r="E321">
        <v>24</v>
      </c>
      <c r="F321" t="str" cm="1">
        <f t="array" ref="F321">_xlfn.IFS(EmployeeData[[#This Row],[Age]]&lt;30,"20s",EmployeeData[[#This Row],[Age]]&lt;40,"30s",EmployeeData[[#This Row],[Age]]&lt;50,"40s",EmployeeData[[#This Row],[Age]]&lt;60,"50s",EmployeeData[[#This Row],[Age]]&gt;=60,"60s")</f>
        <v>20s</v>
      </c>
      <c r="G321" s="5">
        <v>45147</v>
      </c>
      <c r="I321" t="s">
        <v>17</v>
      </c>
      <c r="J321" t="s">
        <v>18</v>
      </c>
      <c r="K321" cm="1">
        <f t="array" aca="1" ref="K321" ca="1">_xlfn.IFS(EmployeeData[[#This Row],[Status]]="Active",_xlfn.DAYS(TODAY(),EmployeeData[[#This Row],[Join Date]]),EmployeeData[[#This Row],[Status]]="Exited",_xlfn.DAYS(EmployeeData[[#This Row],[Exit Date]],EmployeeData[[#This Row],[Join Date]]))</f>
        <v>1050</v>
      </c>
      <c r="L321" cm="1">
        <f t="array" aca="1" ref="L321" ca="1">_xlfn.IFS(EmployeeData[[#This Row],[Status]]="Exited",DATEDIF(EmployeeData[[#This Row],[Join Date]], EmployeeData[[#This Row],[Exit Date]], "Y"),EmployeeData[[#This Row],[Status]]="Active",DATEDIF(EmployeeData[[#This Row],[Join Date]], TODAY(), "Y"))</f>
        <v>2</v>
      </c>
      <c r="Q321" t="str" cm="1">
        <f t="array" aca="1" ref="Q3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15 days</v>
      </c>
    </row>
    <row r="322" spans="1:17" x14ac:dyDescent="0.3">
      <c r="A322">
        <v>1321</v>
      </c>
      <c r="B322" t="s">
        <v>957</v>
      </c>
      <c r="C322" t="s">
        <v>33</v>
      </c>
      <c r="D322" t="s">
        <v>24</v>
      </c>
      <c r="E322">
        <v>28</v>
      </c>
      <c r="F322" t="str" cm="1">
        <f t="array" ref="F322">_xlfn.IFS(EmployeeData[[#This Row],[Age]]&lt;30,"20s",EmployeeData[[#This Row],[Age]]&lt;40,"30s",EmployeeData[[#This Row],[Age]]&lt;50,"40s",EmployeeData[[#This Row],[Age]]&lt;60,"50s",EmployeeData[[#This Row],[Age]]&gt;=60,"60s")</f>
        <v>20s</v>
      </c>
      <c r="G322" s="5">
        <v>44036</v>
      </c>
      <c r="I322" t="s">
        <v>17</v>
      </c>
      <c r="J322" t="s">
        <v>18</v>
      </c>
      <c r="K322" cm="1">
        <f t="array" aca="1" ref="K322" ca="1">_xlfn.IFS(EmployeeData[[#This Row],[Status]]="Active",_xlfn.DAYS(TODAY(),EmployeeData[[#This Row],[Join Date]]),EmployeeData[[#This Row],[Status]]="Exited",_xlfn.DAYS(EmployeeData[[#This Row],[Exit Date]],EmployeeData[[#This Row],[Join Date]]))</f>
        <v>2161</v>
      </c>
      <c r="L322" cm="1">
        <f t="array" aca="1" ref="L322" ca="1">_xlfn.IFS(EmployeeData[[#This Row],[Status]]="Exited",DATEDIF(EmployeeData[[#This Row],[Join Date]], EmployeeData[[#This Row],[Exit Date]], "Y"),EmployeeData[[#This Row],[Status]]="Active",DATEDIF(EmployeeData[[#This Row],[Join Date]], TODAY(), "Y"))</f>
        <v>5</v>
      </c>
      <c r="Q322" t="str" cm="1">
        <f t="array" aca="1" ref="Q3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0 days</v>
      </c>
    </row>
    <row r="323" spans="1:17" x14ac:dyDescent="0.3">
      <c r="A323">
        <v>1322</v>
      </c>
      <c r="B323" t="s">
        <v>602</v>
      </c>
      <c r="C323" t="s">
        <v>15</v>
      </c>
      <c r="D323" t="s">
        <v>16</v>
      </c>
      <c r="E323">
        <v>44</v>
      </c>
      <c r="F323" t="str" cm="1">
        <f t="array" ref="F323">_xlfn.IFS(EmployeeData[[#This Row],[Age]]&lt;30,"20s",EmployeeData[[#This Row],[Age]]&lt;40,"30s",EmployeeData[[#This Row],[Age]]&lt;50,"40s",EmployeeData[[#This Row],[Age]]&lt;60,"50s",EmployeeData[[#This Row],[Age]]&gt;=60,"60s")</f>
        <v>40s</v>
      </c>
      <c r="G323" s="5">
        <v>44669</v>
      </c>
      <c r="I323" t="s">
        <v>17</v>
      </c>
      <c r="J323" t="s">
        <v>18</v>
      </c>
      <c r="K323" cm="1">
        <f t="array" aca="1" ref="K323" ca="1">_xlfn.IFS(EmployeeData[[#This Row],[Status]]="Active",_xlfn.DAYS(TODAY(),EmployeeData[[#This Row],[Join Date]]),EmployeeData[[#This Row],[Status]]="Exited",_xlfn.DAYS(EmployeeData[[#This Row],[Exit Date]],EmployeeData[[#This Row],[Join Date]]))</f>
        <v>1528</v>
      </c>
      <c r="L323" cm="1">
        <f t="array" aca="1" ref="L323" ca="1">_xlfn.IFS(EmployeeData[[#This Row],[Status]]="Exited",DATEDIF(EmployeeData[[#This Row],[Join Date]], EmployeeData[[#This Row],[Exit Date]], "Y"),EmployeeData[[#This Row],[Status]]="Active",DATEDIF(EmployeeData[[#This Row],[Join Date]], TODAY(), "Y"))</f>
        <v>4</v>
      </c>
      <c r="Q323" t="str" cm="1">
        <f t="array" aca="1" ref="Q3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6 days</v>
      </c>
    </row>
    <row r="324" spans="1:17" x14ac:dyDescent="0.3">
      <c r="A324">
        <v>1323</v>
      </c>
      <c r="B324" t="s">
        <v>572</v>
      </c>
      <c r="C324" t="s">
        <v>15</v>
      </c>
      <c r="D324" t="s">
        <v>16</v>
      </c>
      <c r="E324">
        <v>41</v>
      </c>
      <c r="F324" t="str" cm="1">
        <f t="array" ref="F324">_xlfn.IFS(EmployeeData[[#This Row],[Age]]&lt;30,"20s",EmployeeData[[#This Row],[Age]]&lt;40,"30s",EmployeeData[[#This Row],[Age]]&lt;50,"40s",EmployeeData[[#This Row],[Age]]&lt;60,"50s",EmployeeData[[#This Row],[Age]]&gt;=60,"60s")</f>
        <v>40s</v>
      </c>
      <c r="G324" s="5">
        <v>44212</v>
      </c>
      <c r="I324" t="s">
        <v>17</v>
      </c>
      <c r="J324" t="s">
        <v>18</v>
      </c>
      <c r="K324" cm="1">
        <f t="array" aca="1" ref="K324" ca="1">_xlfn.IFS(EmployeeData[[#This Row],[Status]]="Active",_xlfn.DAYS(TODAY(),EmployeeData[[#This Row],[Join Date]]),EmployeeData[[#This Row],[Status]]="Exited",_xlfn.DAYS(EmployeeData[[#This Row],[Exit Date]],EmployeeData[[#This Row],[Join Date]]))</f>
        <v>1985</v>
      </c>
      <c r="L324" cm="1">
        <f t="array" aca="1" ref="L324" ca="1">_xlfn.IFS(EmployeeData[[#This Row],[Status]]="Exited",DATEDIF(EmployeeData[[#This Row],[Join Date]], EmployeeData[[#This Row],[Exit Date]], "Y"),EmployeeData[[#This Row],[Status]]="Active",DATEDIF(EmployeeData[[#This Row],[Join Date]], TODAY(), "Y"))</f>
        <v>5</v>
      </c>
      <c r="Q324" t="str" cm="1">
        <f t="array" aca="1" ref="Q3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8 days</v>
      </c>
    </row>
    <row r="325" spans="1:17" x14ac:dyDescent="0.3">
      <c r="A325">
        <v>1324</v>
      </c>
      <c r="B325" t="s">
        <v>897</v>
      </c>
      <c r="C325" t="s">
        <v>15</v>
      </c>
      <c r="D325" t="s">
        <v>11</v>
      </c>
      <c r="E325">
        <v>23</v>
      </c>
      <c r="F325" t="str" cm="1">
        <f t="array" ref="F325">_xlfn.IFS(EmployeeData[[#This Row],[Age]]&lt;30,"20s",EmployeeData[[#This Row],[Age]]&lt;40,"30s",EmployeeData[[#This Row],[Age]]&lt;50,"40s",EmployeeData[[#This Row],[Age]]&lt;60,"50s",EmployeeData[[#This Row],[Age]]&gt;=60,"60s")</f>
        <v>20s</v>
      </c>
      <c r="G325" s="5">
        <v>44743</v>
      </c>
      <c r="H325" s="5">
        <v>45785</v>
      </c>
      <c r="I325" t="s">
        <v>52</v>
      </c>
      <c r="J325" t="s">
        <v>13</v>
      </c>
      <c r="K325" cm="1">
        <f t="array" aca="1" ref="K325" ca="1">_xlfn.IFS(EmployeeData[[#This Row],[Status]]="Active",_xlfn.DAYS(TODAY(),EmployeeData[[#This Row],[Join Date]]),EmployeeData[[#This Row],[Status]]="Exited",_xlfn.DAYS(EmployeeData[[#This Row],[Exit Date]],EmployeeData[[#This Row],[Join Date]]))</f>
        <v>1042</v>
      </c>
      <c r="L325" cm="1">
        <f t="array" aca="1" ref="L325" ca="1">_xlfn.IFS(EmployeeData[[#This Row],[Status]]="Exited",DATEDIF(EmployeeData[[#This Row],[Join Date]], EmployeeData[[#This Row],[Exit Date]], "Y"),EmployeeData[[#This Row],[Status]]="Active",DATEDIF(EmployeeData[[#This Row],[Join Date]], TODAY(), "Y"))</f>
        <v>2</v>
      </c>
      <c r="Q325" t="str" cm="1">
        <f t="array" aca="1" ref="Q3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7 days</v>
      </c>
    </row>
    <row r="326" spans="1:17" x14ac:dyDescent="0.3">
      <c r="A326">
        <v>1325</v>
      </c>
      <c r="B326" t="s">
        <v>836</v>
      </c>
      <c r="C326" t="s">
        <v>15</v>
      </c>
      <c r="D326" t="s">
        <v>16</v>
      </c>
      <c r="E326">
        <v>57</v>
      </c>
      <c r="F326" t="str" cm="1">
        <f t="array" ref="F326">_xlfn.IFS(EmployeeData[[#This Row],[Age]]&lt;30,"20s",EmployeeData[[#This Row],[Age]]&lt;40,"30s",EmployeeData[[#This Row],[Age]]&lt;50,"40s",EmployeeData[[#This Row],[Age]]&lt;60,"50s",EmployeeData[[#This Row],[Age]]&gt;=60,"60s")</f>
        <v>50s</v>
      </c>
      <c r="G326" s="5">
        <v>44345</v>
      </c>
      <c r="I326" t="s">
        <v>17</v>
      </c>
      <c r="J326" t="s">
        <v>18</v>
      </c>
      <c r="K326" cm="1">
        <f t="array" aca="1" ref="K326" ca="1">_xlfn.IFS(EmployeeData[[#This Row],[Status]]="Active",_xlfn.DAYS(TODAY(),EmployeeData[[#This Row],[Join Date]]),EmployeeData[[#This Row],[Status]]="Exited",_xlfn.DAYS(EmployeeData[[#This Row],[Exit Date]],EmployeeData[[#This Row],[Join Date]]))</f>
        <v>1852</v>
      </c>
      <c r="L326" cm="1">
        <f t="array" aca="1" ref="L326" ca="1">_xlfn.IFS(EmployeeData[[#This Row],[Status]]="Exited",DATEDIF(EmployeeData[[#This Row],[Join Date]], EmployeeData[[#This Row],[Exit Date]], "Y"),EmployeeData[[#This Row],[Status]]="Active",DATEDIF(EmployeeData[[#This Row],[Join Date]], TODAY(), "Y"))</f>
        <v>5</v>
      </c>
      <c r="Q326" t="str" cm="1">
        <f t="array" aca="1" ref="Q3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26 days</v>
      </c>
    </row>
    <row r="327" spans="1:17" x14ac:dyDescent="0.3">
      <c r="A327">
        <v>1326</v>
      </c>
      <c r="B327" t="s">
        <v>895</v>
      </c>
      <c r="C327" t="s">
        <v>46</v>
      </c>
      <c r="D327" t="s">
        <v>11</v>
      </c>
      <c r="E327">
        <v>55</v>
      </c>
      <c r="F327" t="str" cm="1">
        <f t="array" ref="F327">_xlfn.IFS(EmployeeData[[#This Row],[Age]]&lt;30,"20s",EmployeeData[[#This Row],[Age]]&lt;40,"30s",EmployeeData[[#This Row],[Age]]&lt;50,"40s",EmployeeData[[#This Row],[Age]]&lt;60,"50s",EmployeeData[[#This Row],[Age]]&gt;=60,"60s")</f>
        <v>50s</v>
      </c>
      <c r="G327" s="5">
        <v>44105</v>
      </c>
      <c r="H327" s="5">
        <v>46104</v>
      </c>
      <c r="I327" t="s">
        <v>12</v>
      </c>
      <c r="J327" t="s">
        <v>13</v>
      </c>
      <c r="K327" cm="1">
        <f t="array" aca="1" ref="K327" ca="1">_xlfn.IFS(EmployeeData[[#This Row],[Status]]="Active",_xlfn.DAYS(TODAY(),EmployeeData[[#This Row],[Join Date]]),EmployeeData[[#This Row],[Status]]="Exited",_xlfn.DAYS(EmployeeData[[#This Row],[Exit Date]],EmployeeData[[#This Row],[Join Date]]))</f>
        <v>1999</v>
      </c>
      <c r="L327" cm="1">
        <f t="array" aca="1" ref="L327" ca="1">_xlfn.IFS(EmployeeData[[#This Row],[Status]]="Exited",DATEDIF(EmployeeData[[#This Row],[Join Date]], EmployeeData[[#This Row],[Exit Date]], "Y"),EmployeeData[[#This Row],[Status]]="Active",DATEDIF(EmployeeData[[#This Row],[Join Date]], TODAY(), "Y"))</f>
        <v>5</v>
      </c>
      <c r="Q327" t="str" cm="1">
        <f t="array" aca="1" ref="Q3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22 days</v>
      </c>
    </row>
    <row r="328" spans="1:17" x14ac:dyDescent="0.3">
      <c r="A328">
        <v>1327</v>
      </c>
      <c r="B328" t="s">
        <v>520</v>
      </c>
      <c r="C328" t="s">
        <v>46</v>
      </c>
      <c r="D328" t="s">
        <v>16</v>
      </c>
      <c r="E328">
        <v>45</v>
      </c>
      <c r="F328" t="str" cm="1">
        <f t="array" ref="F328">_xlfn.IFS(EmployeeData[[#This Row],[Age]]&lt;30,"20s",EmployeeData[[#This Row],[Age]]&lt;40,"30s",EmployeeData[[#This Row],[Age]]&lt;50,"40s",EmployeeData[[#This Row],[Age]]&lt;60,"50s",EmployeeData[[#This Row],[Age]]&gt;=60,"60s")</f>
        <v>40s</v>
      </c>
      <c r="G328" s="5">
        <v>44360</v>
      </c>
      <c r="H328" s="5">
        <v>45535</v>
      </c>
      <c r="I328" t="s">
        <v>21</v>
      </c>
      <c r="J328" t="s">
        <v>13</v>
      </c>
      <c r="K328" cm="1">
        <f t="array" aca="1" ref="K328" ca="1">_xlfn.IFS(EmployeeData[[#This Row],[Status]]="Active",_xlfn.DAYS(TODAY(),EmployeeData[[#This Row],[Join Date]]),EmployeeData[[#This Row],[Status]]="Exited",_xlfn.DAYS(EmployeeData[[#This Row],[Exit Date]],EmployeeData[[#This Row],[Join Date]]))</f>
        <v>1175</v>
      </c>
      <c r="L328" cm="1">
        <f t="array" aca="1" ref="L328" ca="1">_xlfn.IFS(EmployeeData[[#This Row],[Status]]="Exited",DATEDIF(EmployeeData[[#This Row],[Join Date]], EmployeeData[[#This Row],[Exit Date]], "Y"),EmployeeData[[#This Row],[Status]]="Active",DATEDIF(EmployeeData[[#This Row],[Join Date]], TODAY(), "Y"))</f>
        <v>3</v>
      </c>
      <c r="Q328" t="str" cm="1">
        <f t="array" aca="1" ref="Q3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18 days</v>
      </c>
    </row>
    <row r="329" spans="1:17" x14ac:dyDescent="0.3">
      <c r="A329">
        <v>1328</v>
      </c>
      <c r="B329" t="s">
        <v>965</v>
      </c>
      <c r="C329" t="s">
        <v>46</v>
      </c>
      <c r="D329" t="s">
        <v>16</v>
      </c>
      <c r="E329">
        <v>38</v>
      </c>
      <c r="F329" t="str" cm="1">
        <f t="array" ref="F329">_xlfn.IFS(EmployeeData[[#This Row],[Age]]&lt;30,"20s",EmployeeData[[#This Row],[Age]]&lt;40,"30s",EmployeeData[[#This Row],[Age]]&lt;50,"40s",EmployeeData[[#This Row],[Age]]&lt;60,"50s",EmployeeData[[#This Row],[Age]]&gt;=60,"60s")</f>
        <v>30s</v>
      </c>
      <c r="G329" s="5">
        <v>43482</v>
      </c>
      <c r="H329" s="5">
        <v>44520</v>
      </c>
      <c r="I329" t="s">
        <v>52</v>
      </c>
      <c r="J329" t="s">
        <v>13</v>
      </c>
      <c r="K329" cm="1">
        <f t="array" aca="1" ref="K329" ca="1">_xlfn.IFS(EmployeeData[[#This Row],[Status]]="Active",_xlfn.DAYS(TODAY(),EmployeeData[[#This Row],[Join Date]]),EmployeeData[[#This Row],[Status]]="Exited",_xlfn.DAYS(EmployeeData[[#This Row],[Exit Date]],EmployeeData[[#This Row],[Join Date]]))</f>
        <v>1038</v>
      </c>
      <c r="L329" cm="1">
        <f t="array" aca="1" ref="L329" ca="1">_xlfn.IFS(EmployeeData[[#This Row],[Status]]="Exited",DATEDIF(EmployeeData[[#This Row],[Join Date]], EmployeeData[[#This Row],[Exit Date]], "Y"),EmployeeData[[#This Row],[Status]]="Active",DATEDIF(EmployeeData[[#This Row],[Join Date]], TODAY(), "Y"))</f>
        <v>2</v>
      </c>
      <c r="Q329" t="str" cm="1">
        <f t="array" aca="1" ref="Q3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3 days</v>
      </c>
    </row>
    <row r="330" spans="1:17" x14ac:dyDescent="0.3">
      <c r="A330">
        <v>1329</v>
      </c>
      <c r="B330" t="s">
        <v>632</v>
      </c>
      <c r="C330" t="s">
        <v>10</v>
      </c>
      <c r="D330" t="s">
        <v>11</v>
      </c>
      <c r="E330">
        <v>26</v>
      </c>
      <c r="F330" t="str" cm="1">
        <f t="array" ref="F330">_xlfn.IFS(EmployeeData[[#This Row],[Age]]&lt;30,"20s",EmployeeData[[#This Row],[Age]]&lt;40,"30s",EmployeeData[[#This Row],[Age]]&lt;50,"40s",EmployeeData[[#This Row],[Age]]&lt;60,"50s",EmployeeData[[#This Row],[Age]]&gt;=60,"60s")</f>
        <v>20s</v>
      </c>
      <c r="G330" s="5">
        <v>45479</v>
      </c>
      <c r="H330" s="5">
        <v>45705</v>
      </c>
      <c r="I330" t="s">
        <v>28</v>
      </c>
      <c r="J330" t="s">
        <v>13</v>
      </c>
      <c r="K330" cm="1">
        <f t="array" aca="1" ref="K330" ca="1">_xlfn.IFS(EmployeeData[[#This Row],[Status]]="Active",_xlfn.DAYS(TODAY(),EmployeeData[[#This Row],[Join Date]]),EmployeeData[[#This Row],[Status]]="Exited",_xlfn.DAYS(EmployeeData[[#This Row],[Exit Date]],EmployeeData[[#This Row],[Join Date]]))</f>
        <v>226</v>
      </c>
      <c r="L330" cm="1">
        <f t="array" aca="1" ref="L330" ca="1">_xlfn.IFS(EmployeeData[[#This Row],[Status]]="Exited",DATEDIF(EmployeeData[[#This Row],[Join Date]], EmployeeData[[#This Row],[Exit Date]], "Y"),EmployeeData[[#This Row],[Status]]="Active",DATEDIF(EmployeeData[[#This Row],[Join Date]], TODAY(), "Y"))</f>
        <v>0</v>
      </c>
      <c r="Q330" t="str" cm="1">
        <f t="array" aca="1" ref="Q3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11 days</v>
      </c>
    </row>
    <row r="331" spans="1:17" x14ac:dyDescent="0.3">
      <c r="A331">
        <v>1330</v>
      </c>
      <c r="B331" t="s">
        <v>119</v>
      </c>
      <c r="C331" t="s">
        <v>10</v>
      </c>
      <c r="D331" t="s">
        <v>11</v>
      </c>
      <c r="E331">
        <v>36</v>
      </c>
      <c r="F331" t="str" cm="1">
        <f t="array" ref="F331">_xlfn.IFS(EmployeeData[[#This Row],[Age]]&lt;30,"20s",EmployeeData[[#This Row],[Age]]&lt;40,"30s",EmployeeData[[#This Row],[Age]]&lt;50,"40s",EmployeeData[[#This Row],[Age]]&lt;60,"50s",EmployeeData[[#This Row],[Age]]&gt;=60,"60s")</f>
        <v>30s</v>
      </c>
      <c r="G331" s="5">
        <v>44295</v>
      </c>
      <c r="H331" s="5">
        <v>45030</v>
      </c>
      <c r="I331" t="s">
        <v>21</v>
      </c>
      <c r="J331" t="s">
        <v>13</v>
      </c>
      <c r="K331" cm="1">
        <f t="array" aca="1" ref="K331" ca="1">_xlfn.IFS(EmployeeData[[#This Row],[Status]]="Active",_xlfn.DAYS(TODAY(),EmployeeData[[#This Row],[Join Date]]),EmployeeData[[#This Row],[Status]]="Exited",_xlfn.DAYS(EmployeeData[[#This Row],[Exit Date]],EmployeeData[[#This Row],[Join Date]]))</f>
        <v>735</v>
      </c>
      <c r="L331" cm="1">
        <f t="array" aca="1" ref="L331" ca="1">_xlfn.IFS(EmployeeData[[#This Row],[Status]]="Exited",DATEDIF(EmployeeData[[#This Row],[Join Date]], EmployeeData[[#This Row],[Exit Date]], "Y"),EmployeeData[[#This Row],[Status]]="Active",DATEDIF(EmployeeData[[#This Row],[Join Date]], TODAY(), "Y"))</f>
        <v>2</v>
      </c>
      <c r="Q331" t="str" cm="1">
        <f t="array" aca="1" ref="Q3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5 days</v>
      </c>
    </row>
    <row r="332" spans="1:17" x14ac:dyDescent="0.3">
      <c r="A332">
        <v>1331</v>
      </c>
      <c r="B332" t="s">
        <v>819</v>
      </c>
      <c r="C332" t="s">
        <v>10</v>
      </c>
      <c r="D332" t="s">
        <v>24</v>
      </c>
      <c r="E332">
        <v>35</v>
      </c>
      <c r="F332" t="str" cm="1">
        <f t="array" ref="F332">_xlfn.IFS(EmployeeData[[#This Row],[Age]]&lt;30,"20s",EmployeeData[[#This Row],[Age]]&lt;40,"30s",EmployeeData[[#This Row],[Age]]&lt;50,"40s",EmployeeData[[#This Row],[Age]]&lt;60,"50s",EmployeeData[[#This Row],[Age]]&gt;=60,"60s")</f>
        <v>30s</v>
      </c>
      <c r="G332" s="5">
        <v>43406</v>
      </c>
      <c r="I332" t="s">
        <v>17</v>
      </c>
      <c r="J332" t="s">
        <v>18</v>
      </c>
      <c r="K332" cm="1">
        <f t="array" aca="1" ref="K332" ca="1">_xlfn.IFS(EmployeeData[[#This Row],[Status]]="Active",_xlfn.DAYS(TODAY(),EmployeeData[[#This Row],[Join Date]]),EmployeeData[[#This Row],[Status]]="Exited",_xlfn.DAYS(EmployeeData[[#This Row],[Exit Date]],EmployeeData[[#This Row],[Join Date]]))</f>
        <v>2791</v>
      </c>
      <c r="L332" cm="1">
        <f t="array" aca="1" ref="L332" ca="1">_xlfn.IFS(EmployeeData[[#This Row],[Status]]="Exited",DATEDIF(EmployeeData[[#This Row],[Join Date]], EmployeeData[[#This Row],[Exit Date]], "Y"),EmployeeData[[#This Row],[Status]]="Active",DATEDIF(EmployeeData[[#This Row],[Join Date]], TODAY(), "Y"))</f>
        <v>7</v>
      </c>
      <c r="Q332" t="str" cm="1">
        <f t="array" aca="1" ref="Q3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22 days</v>
      </c>
    </row>
    <row r="333" spans="1:17" x14ac:dyDescent="0.3">
      <c r="A333">
        <v>1332</v>
      </c>
      <c r="B333" t="s">
        <v>583</v>
      </c>
      <c r="C333" t="s">
        <v>15</v>
      </c>
      <c r="D333" t="s">
        <v>24</v>
      </c>
      <c r="E333">
        <v>47</v>
      </c>
      <c r="F333" t="str" cm="1">
        <f t="array" ref="F333">_xlfn.IFS(EmployeeData[[#This Row],[Age]]&lt;30,"20s",EmployeeData[[#This Row],[Age]]&lt;40,"30s",EmployeeData[[#This Row],[Age]]&lt;50,"40s",EmployeeData[[#This Row],[Age]]&lt;60,"50s",EmployeeData[[#This Row],[Age]]&gt;=60,"60s")</f>
        <v>40s</v>
      </c>
      <c r="G333" s="5">
        <v>43595</v>
      </c>
      <c r="I333" t="s">
        <v>17</v>
      </c>
      <c r="J333" t="s">
        <v>18</v>
      </c>
      <c r="K333" cm="1">
        <f t="array" aca="1" ref="K333" ca="1">_xlfn.IFS(EmployeeData[[#This Row],[Status]]="Active",_xlfn.DAYS(TODAY(),EmployeeData[[#This Row],[Join Date]]),EmployeeData[[#This Row],[Status]]="Exited",_xlfn.DAYS(EmployeeData[[#This Row],[Exit Date]],EmployeeData[[#This Row],[Join Date]]))</f>
        <v>2602</v>
      </c>
      <c r="L333" cm="1">
        <f t="array" aca="1" ref="L333" ca="1">_xlfn.IFS(EmployeeData[[#This Row],[Status]]="Exited",DATEDIF(EmployeeData[[#This Row],[Join Date]], EmployeeData[[#This Row],[Exit Date]], "Y"),EmployeeData[[#This Row],[Status]]="Active",DATEDIF(EmployeeData[[#This Row],[Join Date]], TODAY(), "Y"))</f>
        <v>7</v>
      </c>
      <c r="Q333" t="str" cm="1">
        <f t="array" aca="1" ref="Q3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 months 14 days</v>
      </c>
    </row>
    <row r="334" spans="1:17" x14ac:dyDescent="0.3">
      <c r="A334">
        <v>1333</v>
      </c>
      <c r="B334" t="s">
        <v>78</v>
      </c>
      <c r="C334" t="s">
        <v>33</v>
      </c>
      <c r="D334" t="s">
        <v>16</v>
      </c>
      <c r="E334">
        <v>40</v>
      </c>
      <c r="F334" t="str" cm="1">
        <f t="array" ref="F334">_xlfn.IFS(EmployeeData[[#This Row],[Age]]&lt;30,"20s",EmployeeData[[#This Row],[Age]]&lt;40,"30s",EmployeeData[[#This Row],[Age]]&lt;50,"40s",EmployeeData[[#This Row],[Age]]&lt;60,"50s",EmployeeData[[#This Row],[Age]]&gt;=60,"60s")</f>
        <v>40s</v>
      </c>
      <c r="G334" s="5">
        <v>45987</v>
      </c>
      <c r="I334" t="s">
        <v>17</v>
      </c>
      <c r="J334" t="s">
        <v>18</v>
      </c>
      <c r="K334" cm="1">
        <f t="array" aca="1" ref="K334" ca="1">_xlfn.IFS(EmployeeData[[#This Row],[Status]]="Active",_xlfn.DAYS(TODAY(),EmployeeData[[#This Row],[Join Date]]),EmployeeData[[#This Row],[Status]]="Exited",_xlfn.DAYS(EmployeeData[[#This Row],[Exit Date]],EmployeeData[[#This Row],[Join Date]]))</f>
        <v>210</v>
      </c>
      <c r="L334" cm="1">
        <f t="array" aca="1" ref="L334" ca="1">_xlfn.IFS(EmployeeData[[#This Row],[Status]]="Exited",DATEDIF(EmployeeData[[#This Row],[Join Date]], EmployeeData[[#This Row],[Exit Date]], "Y"),EmployeeData[[#This Row],[Status]]="Active",DATEDIF(EmployeeData[[#This Row],[Join Date]], TODAY(), "Y"))</f>
        <v>0</v>
      </c>
      <c r="Q334" t="str" cm="1">
        <f t="array" aca="1" ref="Q3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29 days</v>
      </c>
    </row>
    <row r="335" spans="1:17" x14ac:dyDescent="0.3">
      <c r="A335">
        <v>1334</v>
      </c>
      <c r="B335" t="s">
        <v>222</v>
      </c>
      <c r="C335" t="s">
        <v>10</v>
      </c>
      <c r="D335" t="s">
        <v>16</v>
      </c>
      <c r="E335">
        <v>36</v>
      </c>
      <c r="F335" t="str" cm="1">
        <f t="array" ref="F335">_xlfn.IFS(EmployeeData[[#This Row],[Age]]&lt;30,"20s",EmployeeData[[#This Row],[Age]]&lt;40,"30s",EmployeeData[[#This Row],[Age]]&lt;50,"40s",EmployeeData[[#This Row],[Age]]&lt;60,"50s",EmployeeData[[#This Row],[Age]]&gt;=60,"60s")</f>
        <v>30s</v>
      </c>
      <c r="G335" s="5">
        <v>44558</v>
      </c>
      <c r="I335" t="s">
        <v>17</v>
      </c>
      <c r="J335" t="s">
        <v>18</v>
      </c>
      <c r="K335" cm="1">
        <f t="array" aca="1" ref="K335" ca="1">_xlfn.IFS(EmployeeData[[#This Row],[Status]]="Active",_xlfn.DAYS(TODAY(),EmployeeData[[#This Row],[Join Date]]),EmployeeData[[#This Row],[Status]]="Exited",_xlfn.DAYS(EmployeeData[[#This Row],[Exit Date]],EmployeeData[[#This Row],[Join Date]]))</f>
        <v>1639</v>
      </c>
      <c r="L335" cm="1">
        <f t="array" aca="1" ref="L335" ca="1">_xlfn.IFS(EmployeeData[[#This Row],[Status]]="Exited",DATEDIF(EmployeeData[[#This Row],[Join Date]], EmployeeData[[#This Row],[Exit Date]], "Y"),EmployeeData[[#This Row],[Status]]="Active",DATEDIF(EmployeeData[[#This Row],[Join Date]], TODAY(), "Y"))</f>
        <v>4</v>
      </c>
      <c r="Q335" t="str" cm="1">
        <f t="array" aca="1" ref="Q3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27 days</v>
      </c>
    </row>
    <row r="336" spans="1:17" x14ac:dyDescent="0.3">
      <c r="A336">
        <v>1335</v>
      </c>
      <c r="B336" t="s">
        <v>1030</v>
      </c>
      <c r="C336" t="s">
        <v>15</v>
      </c>
      <c r="D336" t="s">
        <v>24</v>
      </c>
      <c r="E336">
        <v>49</v>
      </c>
      <c r="F336" t="str" cm="1">
        <f t="array" ref="F336">_xlfn.IFS(EmployeeData[[#This Row],[Age]]&lt;30,"20s",EmployeeData[[#This Row],[Age]]&lt;40,"30s",EmployeeData[[#This Row],[Age]]&lt;50,"40s",EmployeeData[[#This Row],[Age]]&lt;60,"50s",EmployeeData[[#This Row],[Age]]&gt;=60,"60s")</f>
        <v>40s</v>
      </c>
      <c r="G336" s="5">
        <v>45378</v>
      </c>
      <c r="I336" t="s">
        <v>17</v>
      </c>
      <c r="J336" t="s">
        <v>18</v>
      </c>
      <c r="K336" cm="1">
        <f t="array" aca="1" ref="K336" ca="1">_xlfn.IFS(EmployeeData[[#This Row],[Status]]="Active",_xlfn.DAYS(TODAY(),EmployeeData[[#This Row],[Join Date]]),EmployeeData[[#This Row],[Status]]="Exited",_xlfn.DAYS(EmployeeData[[#This Row],[Exit Date]],EmployeeData[[#This Row],[Join Date]]))</f>
        <v>819</v>
      </c>
      <c r="L336" cm="1">
        <f t="array" aca="1" ref="L336" ca="1">_xlfn.IFS(EmployeeData[[#This Row],[Status]]="Exited",DATEDIF(EmployeeData[[#This Row],[Join Date]], EmployeeData[[#This Row],[Exit Date]], "Y"),EmployeeData[[#This Row],[Status]]="Active",DATEDIF(EmployeeData[[#This Row],[Join Date]], TODAY(), "Y"))</f>
        <v>2</v>
      </c>
      <c r="Q336" t="str" cm="1">
        <f t="array" aca="1" ref="Q3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28 days</v>
      </c>
    </row>
    <row r="337" spans="1:17" x14ac:dyDescent="0.3">
      <c r="A337">
        <v>1336</v>
      </c>
      <c r="B337" t="s">
        <v>746</v>
      </c>
      <c r="C337" t="s">
        <v>15</v>
      </c>
      <c r="D337" t="s">
        <v>16</v>
      </c>
      <c r="E337">
        <v>35</v>
      </c>
      <c r="F337" t="str" cm="1">
        <f t="array" ref="F337">_xlfn.IFS(EmployeeData[[#This Row],[Age]]&lt;30,"20s",EmployeeData[[#This Row],[Age]]&lt;40,"30s",EmployeeData[[#This Row],[Age]]&lt;50,"40s",EmployeeData[[#This Row],[Age]]&lt;60,"50s",EmployeeData[[#This Row],[Age]]&gt;=60,"60s")</f>
        <v>30s</v>
      </c>
      <c r="G337" s="5">
        <v>43636</v>
      </c>
      <c r="H337" s="5">
        <v>45366</v>
      </c>
      <c r="I337" t="s">
        <v>12</v>
      </c>
      <c r="J337" t="s">
        <v>13</v>
      </c>
      <c r="K337" cm="1">
        <f t="array" aca="1" ref="K337" ca="1">_xlfn.IFS(EmployeeData[[#This Row],[Status]]="Active",_xlfn.DAYS(TODAY(),EmployeeData[[#This Row],[Join Date]]),EmployeeData[[#This Row],[Status]]="Exited",_xlfn.DAYS(EmployeeData[[#This Row],[Exit Date]],EmployeeData[[#This Row],[Join Date]]))</f>
        <v>1730</v>
      </c>
      <c r="L337" cm="1">
        <f t="array" aca="1" ref="L337" ca="1">_xlfn.IFS(EmployeeData[[#This Row],[Status]]="Exited",DATEDIF(EmployeeData[[#This Row],[Join Date]], EmployeeData[[#This Row],[Exit Date]], "Y"),EmployeeData[[#This Row],[Status]]="Active",DATEDIF(EmployeeData[[#This Row],[Join Date]], TODAY(), "Y"))</f>
        <v>4</v>
      </c>
      <c r="Q337" t="str" cm="1">
        <f t="array" aca="1" ref="Q3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24 days</v>
      </c>
    </row>
    <row r="338" spans="1:17" x14ac:dyDescent="0.3">
      <c r="A338">
        <v>1337</v>
      </c>
      <c r="B338" t="s">
        <v>618</v>
      </c>
      <c r="C338" t="s">
        <v>15</v>
      </c>
      <c r="D338" t="s">
        <v>16</v>
      </c>
      <c r="E338">
        <v>49</v>
      </c>
      <c r="F338" t="str" cm="1">
        <f t="array" ref="F338">_xlfn.IFS(EmployeeData[[#This Row],[Age]]&lt;30,"20s",EmployeeData[[#This Row],[Age]]&lt;40,"30s",EmployeeData[[#This Row],[Age]]&lt;50,"40s",EmployeeData[[#This Row],[Age]]&lt;60,"50s",EmployeeData[[#This Row],[Age]]&gt;=60,"60s")</f>
        <v>40s</v>
      </c>
      <c r="G338" s="5">
        <v>43628</v>
      </c>
      <c r="H338" s="5">
        <v>45076</v>
      </c>
      <c r="I338" t="s">
        <v>31</v>
      </c>
      <c r="J338" t="s">
        <v>13</v>
      </c>
      <c r="K338" cm="1">
        <f t="array" aca="1" ref="K338" ca="1">_xlfn.IFS(EmployeeData[[#This Row],[Status]]="Active",_xlfn.DAYS(TODAY(),EmployeeData[[#This Row],[Join Date]]),EmployeeData[[#This Row],[Status]]="Exited",_xlfn.DAYS(EmployeeData[[#This Row],[Exit Date]],EmployeeData[[#This Row],[Join Date]]))</f>
        <v>1448</v>
      </c>
      <c r="L338" cm="1">
        <f t="array" aca="1" ref="L338" ca="1">_xlfn.IFS(EmployeeData[[#This Row],[Status]]="Exited",DATEDIF(EmployeeData[[#This Row],[Join Date]], EmployeeData[[#This Row],[Exit Date]], "Y"),EmployeeData[[#This Row],[Status]]="Active",DATEDIF(EmployeeData[[#This Row],[Join Date]], TODAY(), "Y"))</f>
        <v>3</v>
      </c>
      <c r="Q338" t="str" cm="1">
        <f t="array" aca="1" ref="Q3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18 days</v>
      </c>
    </row>
    <row r="339" spans="1:17" x14ac:dyDescent="0.3">
      <c r="A339">
        <v>1338</v>
      </c>
      <c r="B339" t="s">
        <v>766</v>
      </c>
      <c r="C339" t="s">
        <v>33</v>
      </c>
      <c r="D339" t="s">
        <v>24</v>
      </c>
      <c r="E339">
        <v>22</v>
      </c>
      <c r="F339" t="str" cm="1">
        <f t="array" ref="F339">_xlfn.IFS(EmployeeData[[#This Row],[Age]]&lt;30,"20s",EmployeeData[[#This Row],[Age]]&lt;40,"30s",EmployeeData[[#This Row],[Age]]&lt;50,"40s",EmployeeData[[#This Row],[Age]]&lt;60,"50s",EmployeeData[[#This Row],[Age]]&gt;=60,"60s")</f>
        <v>20s</v>
      </c>
      <c r="G339" s="5">
        <v>44668</v>
      </c>
      <c r="I339" t="s">
        <v>17</v>
      </c>
      <c r="J339" t="s">
        <v>18</v>
      </c>
      <c r="K339" cm="1">
        <f t="array" aca="1" ref="K339" ca="1">_xlfn.IFS(EmployeeData[[#This Row],[Status]]="Active",_xlfn.DAYS(TODAY(),EmployeeData[[#This Row],[Join Date]]),EmployeeData[[#This Row],[Status]]="Exited",_xlfn.DAYS(EmployeeData[[#This Row],[Exit Date]],EmployeeData[[#This Row],[Join Date]]))</f>
        <v>1529</v>
      </c>
      <c r="L339" cm="1">
        <f t="array" aca="1" ref="L339" ca="1">_xlfn.IFS(EmployeeData[[#This Row],[Status]]="Exited",DATEDIF(EmployeeData[[#This Row],[Join Date]], EmployeeData[[#This Row],[Exit Date]], "Y"),EmployeeData[[#This Row],[Status]]="Active",DATEDIF(EmployeeData[[#This Row],[Join Date]], TODAY(), "Y"))</f>
        <v>4</v>
      </c>
      <c r="Q339" t="str" cm="1">
        <f t="array" aca="1" ref="Q3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7 days</v>
      </c>
    </row>
    <row r="340" spans="1:17" x14ac:dyDescent="0.3">
      <c r="A340">
        <v>1339</v>
      </c>
      <c r="B340" t="s">
        <v>170</v>
      </c>
      <c r="C340" t="s">
        <v>10</v>
      </c>
      <c r="D340" t="s">
        <v>24</v>
      </c>
      <c r="E340">
        <v>30</v>
      </c>
      <c r="F340" t="str" cm="1">
        <f t="array" ref="F340">_xlfn.IFS(EmployeeData[[#This Row],[Age]]&lt;30,"20s",EmployeeData[[#This Row],[Age]]&lt;40,"30s",EmployeeData[[#This Row],[Age]]&lt;50,"40s",EmployeeData[[#This Row],[Age]]&lt;60,"50s",EmployeeData[[#This Row],[Age]]&gt;=60,"60s")</f>
        <v>30s</v>
      </c>
      <c r="G340" s="5">
        <v>43242</v>
      </c>
      <c r="I340" t="s">
        <v>17</v>
      </c>
      <c r="J340" t="s">
        <v>18</v>
      </c>
      <c r="K340" cm="1">
        <f t="array" aca="1" ref="K340" ca="1">_xlfn.IFS(EmployeeData[[#This Row],[Status]]="Active",_xlfn.DAYS(TODAY(),EmployeeData[[#This Row],[Join Date]]),EmployeeData[[#This Row],[Status]]="Exited",_xlfn.DAYS(EmployeeData[[#This Row],[Exit Date]],EmployeeData[[#This Row],[Join Date]]))</f>
        <v>2955</v>
      </c>
      <c r="L340" cm="1">
        <f t="array" aca="1" ref="L340" ca="1">_xlfn.IFS(EmployeeData[[#This Row],[Status]]="Exited",DATEDIF(EmployeeData[[#This Row],[Join Date]], EmployeeData[[#This Row],[Exit Date]], "Y"),EmployeeData[[#This Row],[Status]]="Active",DATEDIF(EmployeeData[[#This Row],[Join Date]], TODAY(), "Y"))</f>
        <v>8</v>
      </c>
      <c r="Q340" t="str" cm="1">
        <f t="array" aca="1" ref="Q3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2 days</v>
      </c>
    </row>
    <row r="341" spans="1:17" x14ac:dyDescent="0.3">
      <c r="A341">
        <v>1340</v>
      </c>
      <c r="B341" t="s">
        <v>979</v>
      </c>
      <c r="C341" t="s">
        <v>33</v>
      </c>
      <c r="D341" t="s">
        <v>24</v>
      </c>
      <c r="E341">
        <v>26</v>
      </c>
      <c r="F341" t="str" cm="1">
        <f t="array" ref="F341">_xlfn.IFS(EmployeeData[[#This Row],[Age]]&lt;30,"20s",EmployeeData[[#This Row],[Age]]&lt;40,"30s",EmployeeData[[#This Row],[Age]]&lt;50,"40s",EmployeeData[[#This Row],[Age]]&lt;60,"50s",EmployeeData[[#This Row],[Age]]&gt;=60,"60s")</f>
        <v>20s</v>
      </c>
      <c r="G341" s="5">
        <v>44246</v>
      </c>
      <c r="I341" t="s">
        <v>17</v>
      </c>
      <c r="J341" t="s">
        <v>18</v>
      </c>
      <c r="K341" cm="1">
        <f t="array" aca="1" ref="K341" ca="1">_xlfn.IFS(EmployeeData[[#This Row],[Status]]="Active",_xlfn.DAYS(TODAY(),EmployeeData[[#This Row],[Join Date]]),EmployeeData[[#This Row],[Status]]="Exited",_xlfn.DAYS(EmployeeData[[#This Row],[Exit Date]],EmployeeData[[#This Row],[Join Date]]))</f>
        <v>1951</v>
      </c>
      <c r="L341" cm="1">
        <f t="array" aca="1" ref="L341" ca="1">_xlfn.IFS(EmployeeData[[#This Row],[Status]]="Exited",DATEDIF(EmployeeData[[#This Row],[Join Date]], EmployeeData[[#This Row],[Exit Date]], "Y"),EmployeeData[[#This Row],[Status]]="Active",DATEDIF(EmployeeData[[#This Row],[Join Date]], TODAY(), "Y"))</f>
        <v>5</v>
      </c>
      <c r="Q341" t="str" cm="1">
        <f t="array" aca="1" ref="Q3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5 days</v>
      </c>
    </row>
    <row r="342" spans="1:17" x14ac:dyDescent="0.3">
      <c r="A342">
        <v>1341</v>
      </c>
      <c r="B342" t="s">
        <v>728</v>
      </c>
      <c r="C342" t="s">
        <v>33</v>
      </c>
      <c r="D342" t="s">
        <v>16</v>
      </c>
      <c r="E342">
        <v>55</v>
      </c>
      <c r="F342" t="str" cm="1">
        <f t="array" ref="F342">_xlfn.IFS(EmployeeData[[#This Row],[Age]]&lt;30,"20s",EmployeeData[[#This Row],[Age]]&lt;40,"30s",EmployeeData[[#This Row],[Age]]&lt;50,"40s",EmployeeData[[#This Row],[Age]]&lt;60,"50s",EmployeeData[[#This Row],[Age]]&gt;=60,"60s")</f>
        <v>50s</v>
      </c>
      <c r="G342" s="5">
        <v>43180</v>
      </c>
      <c r="I342" t="s">
        <v>17</v>
      </c>
      <c r="J342" t="s">
        <v>18</v>
      </c>
      <c r="K342" cm="1">
        <f t="array" aca="1" ref="K342" ca="1">_xlfn.IFS(EmployeeData[[#This Row],[Status]]="Active",_xlfn.DAYS(TODAY(),EmployeeData[[#This Row],[Join Date]]),EmployeeData[[#This Row],[Status]]="Exited",_xlfn.DAYS(EmployeeData[[#This Row],[Exit Date]],EmployeeData[[#This Row],[Join Date]]))</f>
        <v>3017</v>
      </c>
      <c r="L342" cm="1">
        <f t="array" aca="1" ref="L342" ca="1">_xlfn.IFS(EmployeeData[[#This Row],[Status]]="Exited",DATEDIF(EmployeeData[[#This Row],[Join Date]], EmployeeData[[#This Row],[Exit Date]], "Y"),EmployeeData[[#This Row],[Status]]="Active",DATEDIF(EmployeeData[[#This Row],[Join Date]], TODAY(), "Y"))</f>
        <v>8</v>
      </c>
      <c r="Q342" t="str" cm="1">
        <f t="array" aca="1" ref="Q3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3 months 3 days</v>
      </c>
    </row>
    <row r="343" spans="1:17" x14ac:dyDescent="0.3">
      <c r="A343">
        <v>1342</v>
      </c>
      <c r="B343" t="s">
        <v>776</v>
      </c>
      <c r="C343" t="s">
        <v>10</v>
      </c>
      <c r="D343" t="s">
        <v>24</v>
      </c>
      <c r="E343">
        <v>57</v>
      </c>
      <c r="F343" t="str" cm="1">
        <f t="array" ref="F343">_xlfn.IFS(EmployeeData[[#This Row],[Age]]&lt;30,"20s",EmployeeData[[#This Row],[Age]]&lt;40,"30s",EmployeeData[[#This Row],[Age]]&lt;50,"40s",EmployeeData[[#This Row],[Age]]&lt;60,"50s",EmployeeData[[#This Row],[Age]]&gt;=60,"60s")</f>
        <v>50s</v>
      </c>
      <c r="G343" s="5">
        <v>44691</v>
      </c>
      <c r="H343" s="5">
        <v>44834</v>
      </c>
      <c r="I343" t="s">
        <v>26</v>
      </c>
      <c r="J343" t="s">
        <v>13</v>
      </c>
      <c r="K343" cm="1">
        <f t="array" aca="1" ref="K343" ca="1">_xlfn.IFS(EmployeeData[[#This Row],[Status]]="Active",_xlfn.DAYS(TODAY(),EmployeeData[[#This Row],[Join Date]]),EmployeeData[[#This Row],[Status]]="Exited",_xlfn.DAYS(EmployeeData[[#This Row],[Exit Date]],EmployeeData[[#This Row],[Join Date]]))</f>
        <v>143</v>
      </c>
      <c r="L343" cm="1">
        <f t="array" aca="1" ref="L343" ca="1">_xlfn.IFS(EmployeeData[[#This Row],[Status]]="Exited",DATEDIF(EmployeeData[[#This Row],[Join Date]], EmployeeData[[#This Row],[Exit Date]], "Y"),EmployeeData[[#This Row],[Status]]="Active",DATEDIF(EmployeeData[[#This Row],[Join Date]], TODAY(), "Y"))</f>
        <v>0</v>
      </c>
      <c r="Q343" t="str" cm="1">
        <f t="array" aca="1" ref="Q3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20 days</v>
      </c>
    </row>
    <row r="344" spans="1:17" x14ac:dyDescent="0.3">
      <c r="A344">
        <v>1343</v>
      </c>
      <c r="B344" t="s">
        <v>73</v>
      </c>
      <c r="C344" t="s">
        <v>23</v>
      </c>
      <c r="D344" t="s">
        <v>11</v>
      </c>
      <c r="E344">
        <v>51</v>
      </c>
      <c r="F344" t="str" cm="1">
        <f t="array" ref="F344">_xlfn.IFS(EmployeeData[[#This Row],[Age]]&lt;30,"20s",EmployeeData[[#This Row],[Age]]&lt;40,"30s",EmployeeData[[#This Row],[Age]]&lt;50,"40s",EmployeeData[[#This Row],[Age]]&lt;60,"50s",EmployeeData[[#This Row],[Age]]&gt;=60,"60s")</f>
        <v>50s</v>
      </c>
      <c r="G344" s="5">
        <v>43754</v>
      </c>
      <c r="H344" s="5">
        <v>44831</v>
      </c>
      <c r="I344" t="s">
        <v>26</v>
      </c>
      <c r="J344" t="s">
        <v>13</v>
      </c>
      <c r="K344" cm="1">
        <f t="array" aca="1" ref="K344" ca="1">_xlfn.IFS(EmployeeData[[#This Row],[Status]]="Active",_xlfn.DAYS(TODAY(),EmployeeData[[#This Row],[Join Date]]),EmployeeData[[#This Row],[Status]]="Exited",_xlfn.DAYS(EmployeeData[[#This Row],[Exit Date]],EmployeeData[[#This Row],[Join Date]]))</f>
        <v>1077</v>
      </c>
      <c r="L344" cm="1">
        <f t="array" aca="1" ref="L344" ca="1">_xlfn.IFS(EmployeeData[[#This Row],[Status]]="Exited",DATEDIF(EmployeeData[[#This Row],[Join Date]], EmployeeData[[#This Row],[Exit Date]], "Y"),EmployeeData[[#This Row],[Status]]="Active",DATEDIF(EmployeeData[[#This Row],[Join Date]], TODAY(), "Y"))</f>
        <v>2</v>
      </c>
      <c r="Q344" t="str" cm="1">
        <f t="array" aca="1" ref="Q3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11 days</v>
      </c>
    </row>
    <row r="345" spans="1:17" x14ac:dyDescent="0.3">
      <c r="A345">
        <v>1344</v>
      </c>
      <c r="B345" t="s">
        <v>203</v>
      </c>
      <c r="C345" t="s">
        <v>33</v>
      </c>
      <c r="D345" t="s">
        <v>24</v>
      </c>
      <c r="E345">
        <v>32</v>
      </c>
      <c r="F345" t="str" cm="1">
        <f t="array" ref="F345">_xlfn.IFS(EmployeeData[[#This Row],[Age]]&lt;30,"20s",EmployeeData[[#This Row],[Age]]&lt;40,"30s",EmployeeData[[#This Row],[Age]]&lt;50,"40s",EmployeeData[[#This Row],[Age]]&lt;60,"50s",EmployeeData[[#This Row],[Age]]&gt;=60,"60s")</f>
        <v>30s</v>
      </c>
      <c r="G345" s="5">
        <v>43822</v>
      </c>
      <c r="H345" s="5">
        <v>45214</v>
      </c>
      <c r="I345" t="s">
        <v>52</v>
      </c>
      <c r="J345" t="s">
        <v>13</v>
      </c>
      <c r="K345" cm="1">
        <f t="array" aca="1" ref="K345" ca="1">_xlfn.IFS(EmployeeData[[#This Row],[Status]]="Active",_xlfn.DAYS(TODAY(),EmployeeData[[#This Row],[Join Date]]),EmployeeData[[#This Row],[Status]]="Exited",_xlfn.DAYS(EmployeeData[[#This Row],[Exit Date]],EmployeeData[[#This Row],[Join Date]]))</f>
        <v>1392</v>
      </c>
      <c r="L345" cm="1">
        <f t="array" aca="1" ref="L345" ca="1">_xlfn.IFS(EmployeeData[[#This Row],[Status]]="Exited",DATEDIF(EmployeeData[[#This Row],[Join Date]], EmployeeData[[#This Row],[Exit Date]], "Y"),EmployeeData[[#This Row],[Status]]="Active",DATEDIF(EmployeeData[[#This Row],[Join Date]], TODAY(), "Y"))</f>
        <v>3</v>
      </c>
      <c r="Q345" t="str" cm="1">
        <f t="array" aca="1" ref="Q3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22 days</v>
      </c>
    </row>
    <row r="346" spans="1:17" x14ac:dyDescent="0.3">
      <c r="A346">
        <v>1345</v>
      </c>
      <c r="B346" t="s">
        <v>286</v>
      </c>
      <c r="C346" t="s">
        <v>46</v>
      </c>
      <c r="D346" t="s">
        <v>24</v>
      </c>
      <c r="E346">
        <v>57</v>
      </c>
      <c r="F346" t="str" cm="1">
        <f t="array" ref="F346">_xlfn.IFS(EmployeeData[[#This Row],[Age]]&lt;30,"20s",EmployeeData[[#This Row],[Age]]&lt;40,"30s",EmployeeData[[#This Row],[Age]]&lt;50,"40s",EmployeeData[[#This Row],[Age]]&lt;60,"50s",EmployeeData[[#This Row],[Age]]&gt;=60,"60s")</f>
        <v>50s</v>
      </c>
      <c r="G346" s="5">
        <v>43872</v>
      </c>
      <c r="I346" t="s">
        <v>17</v>
      </c>
      <c r="J346" t="s">
        <v>18</v>
      </c>
      <c r="K346" cm="1">
        <f t="array" aca="1" ref="K346" ca="1">_xlfn.IFS(EmployeeData[[#This Row],[Status]]="Active",_xlfn.DAYS(TODAY(),EmployeeData[[#This Row],[Join Date]]),EmployeeData[[#This Row],[Status]]="Exited",_xlfn.DAYS(EmployeeData[[#This Row],[Exit Date]],EmployeeData[[#This Row],[Join Date]]))</f>
        <v>2325</v>
      </c>
      <c r="L346" cm="1">
        <f t="array" aca="1" ref="L346" ca="1">_xlfn.IFS(EmployeeData[[#This Row],[Status]]="Exited",DATEDIF(EmployeeData[[#This Row],[Join Date]], EmployeeData[[#This Row],[Exit Date]], "Y"),EmployeeData[[#This Row],[Status]]="Active",DATEDIF(EmployeeData[[#This Row],[Join Date]], TODAY(), "Y"))</f>
        <v>6</v>
      </c>
      <c r="Q346" t="str" cm="1">
        <f t="array" aca="1" ref="Q3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13 days</v>
      </c>
    </row>
    <row r="347" spans="1:17" x14ac:dyDescent="0.3">
      <c r="A347">
        <v>1346</v>
      </c>
      <c r="B347" t="s">
        <v>931</v>
      </c>
      <c r="C347" t="s">
        <v>15</v>
      </c>
      <c r="D347" t="s">
        <v>16</v>
      </c>
      <c r="E347">
        <v>35</v>
      </c>
      <c r="F347" t="str" cm="1">
        <f t="array" ref="F347">_xlfn.IFS(EmployeeData[[#This Row],[Age]]&lt;30,"20s",EmployeeData[[#This Row],[Age]]&lt;40,"30s",EmployeeData[[#This Row],[Age]]&lt;50,"40s",EmployeeData[[#This Row],[Age]]&lt;60,"50s",EmployeeData[[#This Row],[Age]]&gt;=60,"60s")</f>
        <v>30s</v>
      </c>
      <c r="G347" s="5">
        <v>43182</v>
      </c>
      <c r="I347" t="s">
        <v>17</v>
      </c>
      <c r="J347" t="s">
        <v>18</v>
      </c>
      <c r="K347" cm="1">
        <f t="array" aca="1" ref="K347" ca="1">_xlfn.IFS(EmployeeData[[#This Row],[Status]]="Active",_xlfn.DAYS(TODAY(),EmployeeData[[#This Row],[Join Date]]),EmployeeData[[#This Row],[Status]]="Exited",_xlfn.DAYS(EmployeeData[[#This Row],[Exit Date]],EmployeeData[[#This Row],[Join Date]]))</f>
        <v>3015</v>
      </c>
      <c r="L347" cm="1">
        <f t="array" aca="1" ref="L347" ca="1">_xlfn.IFS(EmployeeData[[#This Row],[Status]]="Exited",DATEDIF(EmployeeData[[#This Row],[Join Date]], EmployeeData[[#This Row],[Exit Date]], "Y"),EmployeeData[[#This Row],[Status]]="Active",DATEDIF(EmployeeData[[#This Row],[Join Date]], TODAY(), "Y"))</f>
        <v>8</v>
      </c>
      <c r="Q347" t="str" cm="1">
        <f t="array" aca="1" ref="Q3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3 months 1 days</v>
      </c>
    </row>
    <row r="348" spans="1:17" x14ac:dyDescent="0.3">
      <c r="A348">
        <v>1347</v>
      </c>
      <c r="B348" t="s">
        <v>890</v>
      </c>
      <c r="C348" t="s">
        <v>15</v>
      </c>
      <c r="D348" t="s">
        <v>16</v>
      </c>
      <c r="E348">
        <v>32</v>
      </c>
      <c r="F348" t="str" cm="1">
        <f t="array" ref="F348">_xlfn.IFS(EmployeeData[[#This Row],[Age]]&lt;30,"20s",EmployeeData[[#This Row],[Age]]&lt;40,"30s",EmployeeData[[#This Row],[Age]]&lt;50,"40s",EmployeeData[[#This Row],[Age]]&lt;60,"50s",EmployeeData[[#This Row],[Age]]&gt;=60,"60s")</f>
        <v>30s</v>
      </c>
      <c r="G348" s="5">
        <v>44426</v>
      </c>
      <c r="H348" s="5">
        <v>44818</v>
      </c>
      <c r="I348" t="s">
        <v>28</v>
      </c>
      <c r="J348" t="s">
        <v>13</v>
      </c>
      <c r="K348" cm="1">
        <f t="array" aca="1" ref="K348" ca="1">_xlfn.IFS(EmployeeData[[#This Row],[Status]]="Active",_xlfn.DAYS(TODAY(),EmployeeData[[#This Row],[Join Date]]),EmployeeData[[#This Row],[Status]]="Exited",_xlfn.DAYS(EmployeeData[[#This Row],[Exit Date]],EmployeeData[[#This Row],[Join Date]]))</f>
        <v>392</v>
      </c>
      <c r="L348" cm="1">
        <f t="array" aca="1" ref="L348" ca="1">_xlfn.IFS(EmployeeData[[#This Row],[Status]]="Exited",DATEDIF(EmployeeData[[#This Row],[Join Date]], EmployeeData[[#This Row],[Exit Date]], "Y"),EmployeeData[[#This Row],[Status]]="Active",DATEDIF(EmployeeData[[#This Row],[Join Date]], TODAY(), "Y"))</f>
        <v>1</v>
      </c>
      <c r="Q348" t="str" cm="1">
        <f t="array" aca="1" ref="Q3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27 days</v>
      </c>
    </row>
    <row r="349" spans="1:17" x14ac:dyDescent="0.3">
      <c r="A349">
        <v>1348</v>
      </c>
      <c r="B349" t="s">
        <v>476</v>
      </c>
      <c r="C349" t="s">
        <v>33</v>
      </c>
      <c r="D349" t="s">
        <v>11</v>
      </c>
      <c r="E349">
        <v>44</v>
      </c>
      <c r="F349" t="str" cm="1">
        <f t="array" ref="F349">_xlfn.IFS(EmployeeData[[#This Row],[Age]]&lt;30,"20s",EmployeeData[[#This Row],[Age]]&lt;40,"30s",EmployeeData[[#This Row],[Age]]&lt;50,"40s",EmployeeData[[#This Row],[Age]]&lt;60,"50s",EmployeeData[[#This Row],[Age]]&gt;=60,"60s")</f>
        <v>40s</v>
      </c>
      <c r="G349" s="5">
        <v>45986</v>
      </c>
      <c r="I349" t="s">
        <v>17</v>
      </c>
      <c r="J349" t="s">
        <v>18</v>
      </c>
      <c r="K349" cm="1">
        <f t="array" aca="1" ref="K349" ca="1">_xlfn.IFS(EmployeeData[[#This Row],[Status]]="Active",_xlfn.DAYS(TODAY(),EmployeeData[[#This Row],[Join Date]]),EmployeeData[[#This Row],[Status]]="Exited",_xlfn.DAYS(EmployeeData[[#This Row],[Exit Date]],EmployeeData[[#This Row],[Join Date]]))</f>
        <v>211</v>
      </c>
      <c r="L349" cm="1">
        <f t="array" aca="1" ref="L349" ca="1">_xlfn.IFS(EmployeeData[[#This Row],[Status]]="Exited",DATEDIF(EmployeeData[[#This Row],[Join Date]], EmployeeData[[#This Row],[Exit Date]], "Y"),EmployeeData[[#This Row],[Status]]="Active",DATEDIF(EmployeeData[[#This Row],[Join Date]], TODAY(), "Y"))</f>
        <v>0</v>
      </c>
      <c r="Q349" t="str" cm="1">
        <f t="array" aca="1" ref="Q3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30 days</v>
      </c>
    </row>
    <row r="350" spans="1:17" x14ac:dyDescent="0.3">
      <c r="A350">
        <v>1349</v>
      </c>
      <c r="B350" t="s">
        <v>539</v>
      </c>
      <c r="C350" t="s">
        <v>10</v>
      </c>
      <c r="D350" t="s">
        <v>11</v>
      </c>
      <c r="E350">
        <v>48</v>
      </c>
      <c r="F350" t="str" cm="1">
        <f t="array" ref="F350">_xlfn.IFS(EmployeeData[[#This Row],[Age]]&lt;30,"20s",EmployeeData[[#This Row],[Age]]&lt;40,"30s",EmployeeData[[#This Row],[Age]]&lt;50,"40s",EmployeeData[[#This Row],[Age]]&lt;60,"50s",EmployeeData[[#This Row],[Age]]&gt;=60,"60s")</f>
        <v>40s</v>
      </c>
      <c r="G350" s="5">
        <v>45719</v>
      </c>
      <c r="I350" t="s">
        <v>17</v>
      </c>
      <c r="J350" t="s">
        <v>18</v>
      </c>
      <c r="K350" cm="1">
        <f t="array" aca="1" ref="K350" ca="1">_xlfn.IFS(EmployeeData[[#This Row],[Status]]="Active",_xlfn.DAYS(TODAY(),EmployeeData[[#This Row],[Join Date]]),EmployeeData[[#This Row],[Status]]="Exited",_xlfn.DAYS(EmployeeData[[#This Row],[Exit Date]],EmployeeData[[#This Row],[Join Date]]))</f>
        <v>478</v>
      </c>
      <c r="L350" cm="1">
        <f t="array" aca="1" ref="L350" ca="1">_xlfn.IFS(EmployeeData[[#This Row],[Status]]="Exited",DATEDIF(EmployeeData[[#This Row],[Join Date]], EmployeeData[[#This Row],[Exit Date]], "Y"),EmployeeData[[#This Row],[Status]]="Active",DATEDIF(EmployeeData[[#This Row],[Join Date]], TODAY(), "Y"))</f>
        <v>1</v>
      </c>
      <c r="Q350" t="str" cm="1">
        <f t="array" aca="1" ref="Q3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21 days</v>
      </c>
    </row>
    <row r="351" spans="1:17" x14ac:dyDescent="0.3">
      <c r="A351">
        <v>1350</v>
      </c>
      <c r="B351" t="s">
        <v>1047</v>
      </c>
      <c r="C351" t="s">
        <v>23</v>
      </c>
      <c r="D351" t="s">
        <v>11</v>
      </c>
      <c r="E351">
        <v>43</v>
      </c>
      <c r="F351" t="str" cm="1">
        <f t="array" ref="F351">_xlfn.IFS(EmployeeData[[#This Row],[Age]]&lt;30,"20s",EmployeeData[[#This Row],[Age]]&lt;40,"30s",EmployeeData[[#This Row],[Age]]&lt;50,"40s",EmployeeData[[#This Row],[Age]]&lt;60,"50s",EmployeeData[[#This Row],[Age]]&gt;=60,"60s")</f>
        <v>40s</v>
      </c>
      <c r="G351" s="5">
        <v>44015</v>
      </c>
      <c r="I351" t="s">
        <v>17</v>
      </c>
      <c r="J351" t="s">
        <v>18</v>
      </c>
      <c r="K351" cm="1">
        <f t="array" aca="1" ref="K351" ca="1">_xlfn.IFS(EmployeeData[[#This Row],[Status]]="Active",_xlfn.DAYS(TODAY(),EmployeeData[[#This Row],[Join Date]]),EmployeeData[[#This Row],[Status]]="Exited",_xlfn.DAYS(EmployeeData[[#This Row],[Exit Date]],EmployeeData[[#This Row],[Join Date]]))</f>
        <v>2182</v>
      </c>
      <c r="L351" cm="1">
        <f t="array" aca="1" ref="L351" ca="1">_xlfn.IFS(EmployeeData[[#This Row],[Status]]="Exited",DATEDIF(EmployeeData[[#This Row],[Join Date]], EmployeeData[[#This Row],[Exit Date]], "Y"),EmployeeData[[#This Row],[Status]]="Active",DATEDIF(EmployeeData[[#This Row],[Join Date]], TODAY(), "Y"))</f>
        <v>5</v>
      </c>
      <c r="Q351" t="str" cm="1">
        <f t="array" aca="1" ref="Q3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21 days</v>
      </c>
    </row>
    <row r="352" spans="1:17" x14ac:dyDescent="0.3">
      <c r="A352">
        <v>1351</v>
      </c>
      <c r="B352" t="s">
        <v>196</v>
      </c>
      <c r="C352" t="s">
        <v>15</v>
      </c>
      <c r="D352" t="s">
        <v>11</v>
      </c>
      <c r="E352">
        <v>57</v>
      </c>
      <c r="F352" t="str" cm="1">
        <f t="array" ref="F352">_xlfn.IFS(EmployeeData[[#This Row],[Age]]&lt;30,"20s",EmployeeData[[#This Row],[Age]]&lt;40,"30s",EmployeeData[[#This Row],[Age]]&lt;50,"40s",EmployeeData[[#This Row],[Age]]&lt;60,"50s",EmployeeData[[#This Row],[Age]]&gt;=60,"60s")</f>
        <v>50s</v>
      </c>
      <c r="G352" s="5">
        <v>44704</v>
      </c>
      <c r="I352" t="s">
        <v>17</v>
      </c>
      <c r="J352" t="s">
        <v>18</v>
      </c>
      <c r="K352" cm="1">
        <f t="array" aca="1" ref="K352" ca="1">_xlfn.IFS(EmployeeData[[#This Row],[Status]]="Active",_xlfn.DAYS(TODAY(),EmployeeData[[#This Row],[Join Date]]),EmployeeData[[#This Row],[Status]]="Exited",_xlfn.DAYS(EmployeeData[[#This Row],[Exit Date]],EmployeeData[[#This Row],[Join Date]]))</f>
        <v>1493</v>
      </c>
      <c r="L352" cm="1">
        <f t="array" aca="1" ref="L352" ca="1">_xlfn.IFS(EmployeeData[[#This Row],[Status]]="Exited",DATEDIF(EmployeeData[[#This Row],[Join Date]], EmployeeData[[#This Row],[Exit Date]], "Y"),EmployeeData[[#This Row],[Status]]="Active",DATEDIF(EmployeeData[[#This Row],[Join Date]], TODAY(), "Y"))</f>
        <v>4</v>
      </c>
      <c r="Q352" t="str" cm="1">
        <f t="array" aca="1" ref="Q3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 days</v>
      </c>
    </row>
    <row r="353" spans="1:17" x14ac:dyDescent="0.3">
      <c r="A353">
        <v>1352</v>
      </c>
      <c r="B353" t="s">
        <v>369</v>
      </c>
      <c r="C353" t="s">
        <v>46</v>
      </c>
      <c r="D353" t="s">
        <v>11</v>
      </c>
      <c r="E353">
        <v>35</v>
      </c>
      <c r="F353" t="str" cm="1">
        <f t="array" ref="F353">_xlfn.IFS(EmployeeData[[#This Row],[Age]]&lt;30,"20s",EmployeeData[[#This Row],[Age]]&lt;40,"30s",EmployeeData[[#This Row],[Age]]&lt;50,"40s",EmployeeData[[#This Row],[Age]]&lt;60,"50s",EmployeeData[[#This Row],[Age]]&gt;=60,"60s")</f>
        <v>30s</v>
      </c>
      <c r="G353" s="5">
        <v>45720</v>
      </c>
      <c r="I353" t="s">
        <v>17</v>
      </c>
      <c r="J353" t="s">
        <v>18</v>
      </c>
      <c r="K353" cm="1">
        <f t="array" aca="1" ref="K353" ca="1">_xlfn.IFS(EmployeeData[[#This Row],[Status]]="Active",_xlfn.DAYS(TODAY(),EmployeeData[[#This Row],[Join Date]]),EmployeeData[[#This Row],[Status]]="Exited",_xlfn.DAYS(EmployeeData[[#This Row],[Exit Date]],EmployeeData[[#This Row],[Join Date]]))</f>
        <v>477</v>
      </c>
      <c r="L353" cm="1">
        <f t="array" aca="1" ref="L353" ca="1">_xlfn.IFS(EmployeeData[[#This Row],[Status]]="Exited",DATEDIF(EmployeeData[[#This Row],[Join Date]], EmployeeData[[#This Row],[Exit Date]], "Y"),EmployeeData[[#This Row],[Status]]="Active",DATEDIF(EmployeeData[[#This Row],[Join Date]], TODAY(), "Y"))</f>
        <v>1</v>
      </c>
      <c r="Q353" t="str" cm="1">
        <f t="array" aca="1" ref="Q3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20 days</v>
      </c>
    </row>
    <row r="354" spans="1:17" x14ac:dyDescent="0.3">
      <c r="A354">
        <v>1353</v>
      </c>
      <c r="B354" t="s">
        <v>1071</v>
      </c>
      <c r="C354" t="s">
        <v>15</v>
      </c>
      <c r="D354" t="s">
        <v>11</v>
      </c>
      <c r="E354">
        <v>31</v>
      </c>
      <c r="F354" t="str" cm="1">
        <f t="array" ref="F354">_xlfn.IFS(EmployeeData[[#This Row],[Age]]&lt;30,"20s",EmployeeData[[#This Row],[Age]]&lt;40,"30s",EmployeeData[[#This Row],[Age]]&lt;50,"40s",EmployeeData[[#This Row],[Age]]&lt;60,"50s",EmployeeData[[#This Row],[Age]]&gt;=60,"60s")</f>
        <v>30s</v>
      </c>
      <c r="G354" s="5">
        <v>45706</v>
      </c>
      <c r="I354" t="s">
        <v>17</v>
      </c>
      <c r="J354" t="s">
        <v>18</v>
      </c>
      <c r="K354" cm="1">
        <f t="array" aca="1" ref="K354" ca="1">_xlfn.IFS(EmployeeData[[#This Row],[Status]]="Active",_xlfn.DAYS(TODAY(),EmployeeData[[#This Row],[Join Date]]),EmployeeData[[#This Row],[Status]]="Exited",_xlfn.DAYS(EmployeeData[[#This Row],[Exit Date]],EmployeeData[[#This Row],[Join Date]]))</f>
        <v>491</v>
      </c>
      <c r="L354" cm="1">
        <f t="array" aca="1" ref="L354" ca="1">_xlfn.IFS(EmployeeData[[#This Row],[Status]]="Exited",DATEDIF(EmployeeData[[#This Row],[Join Date]], EmployeeData[[#This Row],[Exit Date]], "Y"),EmployeeData[[#This Row],[Status]]="Active",DATEDIF(EmployeeData[[#This Row],[Join Date]], TODAY(), "Y"))</f>
        <v>1</v>
      </c>
      <c r="Q354" t="str" cm="1">
        <f t="array" aca="1" ref="Q3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6 days</v>
      </c>
    </row>
    <row r="355" spans="1:17" x14ac:dyDescent="0.3">
      <c r="A355">
        <v>1354</v>
      </c>
      <c r="B355" t="s">
        <v>282</v>
      </c>
      <c r="C355" t="s">
        <v>20</v>
      </c>
      <c r="D355" t="s">
        <v>24</v>
      </c>
      <c r="E355">
        <v>21</v>
      </c>
      <c r="F355" t="str" cm="1">
        <f t="array" ref="F355">_xlfn.IFS(EmployeeData[[#This Row],[Age]]&lt;30,"20s",EmployeeData[[#This Row],[Age]]&lt;40,"30s",EmployeeData[[#This Row],[Age]]&lt;50,"40s",EmployeeData[[#This Row],[Age]]&lt;60,"50s",EmployeeData[[#This Row],[Age]]&gt;=60,"60s")</f>
        <v>20s</v>
      </c>
      <c r="G355" s="5">
        <v>44187</v>
      </c>
      <c r="H355" s="5">
        <v>45696</v>
      </c>
      <c r="I355" t="s">
        <v>31</v>
      </c>
      <c r="J355" t="s">
        <v>13</v>
      </c>
      <c r="K355" cm="1">
        <f t="array" aca="1" ref="K355" ca="1">_xlfn.IFS(EmployeeData[[#This Row],[Status]]="Active",_xlfn.DAYS(TODAY(),EmployeeData[[#This Row],[Join Date]]),EmployeeData[[#This Row],[Status]]="Exited",_xlfn.DAYS(EmployeeData[[#This Row],[Exit Date]],EmployeeData[[#This Row],[Join Date]]))</f>
        <v>1509</v>
      </c>
      <c r="L355" cm="1">
        <f t="array" aca="1" ref="L355" ca="1">_xlfn.IFS(EmployeeData[[#This Row],[Status]]="Exited",DATEDIF(EmployeeData[[#This Row],[Join Date]], EmployeeData[[#This Row],[Exit Date]], "Y"),EmployeeData[[#This Row],[Status]]="Active",DATEDIF(EmployeeData[[#This Row],[Join Date]], TODAY(), "Y"))</f>
        <v>4</v>
      </c>
      <c r="Q355" t="str" cm="1">
        <f t="array" aca="1" ref="Q3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17 days</v>
      </c>
    </row>
    <row r="356" spans="1:17" x14ac:dyDescent="0.3">
      <c r="A356">
        <v>1355</v>
      </c>
      <c r="B356" t="s">
        <v>1005</v>
      </c>
      <c r="C356" t="s">
        <v>15</v>
      </c>
      <c r="D356" t="s">
        <v>24</v>
      </c>
      <c r="E356">
        <v>47</v>
      </c>
      <c r="F356" t="str" cm="1">
        <f t="array" ref="F356">_xlfn.IFS(EmployeeData[[#This Row],[Age]]&lt;30,"20s",EmployeeData[[#This Row],[Age]]&lt;40,"30s",EmployeeData[[#This Row],[Age]]&lt;50,"40s",EmployeeData[[#This Row],[Age]]&lt;60,"50s",EmployeeData[[#This Row],[Age]]&gt;=60,"60s")</f>
        <v>40s</v>
      </c>
      <c r="G356" s="5">
        <v>43782</v>
      </c>
      <c r="I356" t="s">
        <v>17</v>
      </c>
      <c r="J356" t="s">
        <v>18</v>
      </c>
      <c r="K356" cm="1">
        <f t="array" aca="1" ref="K356" ca="1">_xlfn.IFS(EmployeeData[[#This Row],[Status]]="Active",_xlfn.DAYS(TODAY(),EmployeeData[[#This Row],[Join Date]]),EmployeeData[[#This Row],[Status]]="Exited",_xlfn.DAYS(EmployeeData[[#This Row],[Exit Date]],EmployeeData[[#This Row],[Join Date]]))</f>
        <v>2415</v>
      </c>
      <c r="L356" cm="1">
        <f t="array" aca="1" ref="L356" ca="1">_xlfn.IFS(EmployeeData[[#This Row],[Status]]="Exited",DATEDIF(EmployeeData[[#This Row],[Join Date]], EmployeeData[[#This Row],[Exit Date]], "Y"),EmployeeData[[#This Row],[Status]]="Active",DATEDIF(EmployeeData[[#This Row],[Join Date]], TODAY(), "Y"))</f>
        <v>6</v>
      </c>
      <c r="Q356" t="str" cm="1">
        <f t="array" aca="1" ref="Q3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11 days</v>
      </c>
    </row>
    <row r="357" spans="1:17" x14ac:dyDescent="0.3">
      <c r="A357">
        <v>1356</v>
      </c>
      <c r="B357" t="s">
        <v>1029</v>
      </c>
      <c r="C357" t="s">
        <v>15</v>
      </c>
      <c r="D357" t="s">
        <v>24</v>
      </c>
      <c r="E357">
        <v>57</v>
      </c>
      <c r="F357" t="str" cm="1">
        <f t="array" ref="F357">_xlfn.IFS(EmployeeData[[#This Row],[Age]]&lt;30,"20s",EmployeeData[[#This Row],[Age]]&lt;40,"30s",EmployeeData[[#This Row],[Age]]&lt;50,"40s",EmployeeData[[#This Row],[Age]]&lt;60,"50s",EmployeeData[[#This Row],[Age]]&gt;=60,"60s")</f>
        <v>50s</v>
      </c>
      <c r="G357" s="5">
        <v>45767</v>
      </c>
      <c r="I357" t="s">
        <v>17</v>
      </c>
      <c r="J357" t="s">
        <v>18</v>
      </c>
      <c r="K357" cm="1">
        <f t="array" aca="1" ref="K357" ca="1">_xlfn.IFS(EmployeeData[[#This Row],[Status]]="Active",_xlfn.DAYS(TODAY(),EmployeeData[[#This Row],[Join Date]]),EmployeeData[[#This Row],[Status]]="Exited",_xlfn.DAYS(EmployeeData[[#This Row],[Exit Date]],EmployeeData[[#This Row],[Join Date]]))</f>
        <v>430</v>
      </c>
      <c r="L357" cm="1">
        <f t="array" aca="1" ref="L357" ca="1">_xlfn.IFS(EmployeeData[[#This Row],[Status]]="Exited",DATEDIF(EmployeeData[[#This Row],[Join Date]], EmployeeData[[#This Row],[Exit Date]], "Y"),EmployeeData[[#This Row],[Status]]="Active",DATEDIF(EmployeeData[[#This Row],[Join Date]], TODAY(), "Y"))</f>
        <v>1</v>
      </c>
      <c r="Q357" t="str" cm="1">
        <f t="array" aca="1" ref="Q3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4 days</v>
      </c>
    </row>
    <row r="358" spans="1:17" x14ac:dyDescent="0.3">
      <c r="A358">
        <v>1357</v>
      </c>
      <c r="B358" t="s">
        <v>79</v>
      </c>
      <c r="C358" t="s">
        <v>10</v>
      </c>
      <c r="D358" t="s">
        <v>16</v>
      </c>
      <c r="E358">
        <v>27</v>
      </c>
      <c r="F358" t="str" cm="1">
        <f t="array" ref="F358">_xlfn.IFS(EmployeeData[[#This Row],[Age]]&lt;30,"20s",EmployeeData[[#This Row],[Age]]&lt;40,"30s",EmployeeData[[#This Row],[Age]]&lt;50,"40s",EmployeeData[[#This Row],[Age]]&lt;60,"50s",EmployeeData[[#This Row],[Age]]&gt;=60,"60s")</f>
        <v>20s</v>
      </c>
      <c r="G358" s="5">
        <v>43404</v>
      </c>
      <c r="H358" s="5">
        <v>45031</v>
      </c>
      <c r="I358" t="s">
        <v>31</v>
      </c>
      <c r="J358" t="s">
        <v>13</v>
      </c>
      <c r="K358" cm="1">
        <f t="array" aca="1" ref="K358" ca="1">_xlfn.IFS(EmployeeData[[#This Row],[Status]]="Active",_xlfn.DAYS(TODAY(),EmployeeData[[#This Row],[Join Date]]),EmployeeData[[#This Row],[Status]]="Exited",_xlfn.DAYS(EmployeeData[[#This Row],[Exit Date]],EmployeeData[[#This Row],[Join Date]]))</f>
        <v>1627</v>
      </c>
      <c r="L358" cm="1">
        <f t="array" aca="1" ref="L358" ca="1">_xlfn.IFS(EmployeeData[[#This Row],[Status]]="Exited",DATEDIF(EmployeeData[[#This Row],[Join Date]], EmployeeData[[#This Row],[Exit Date]], "Y"),EmployeeData[[#This Row],[Status]]="Active",DATEDIF(EmployeeData[[#This Row],[Join Date]], TODAY(), "Y"))</f>
        <v>4</v>
      </c>
      <c r="Q358" t="str" cm="1">
        <f t="array" aca="1" ref="Q3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15 days</v>
      </c>
    </row>
    <row r="359" spans="1:17" x14ac:dyDescent="0.3">
      <c r="A359">
        <v>1358</v>
      </c>
      <c r="B359" t="s">
        <v>426</v>
      </c>
      <c r="C359" t="s">
        <v>46</v>
      </c>
      <c r="D359" t="s">
        <v>24</v>
      </c>
      <c r="E359">
        <v>51</v>
      </c>
      <c r="F359" t="str" cm="1">
        <f t="array" ref="F359">_xlfn.IFS(EmployeeData[[#This Row],[Age]]&lt;30,"20s",EmployeeData[[#This Row],[Age]]&lt;40,"30s",EmployeeData[[#This Row],[Age]]&lt;50,"40s",EmployeeData[[#This Row],[Age]]&lt;60,"50s",EmployeeData[[#This Row],[Age]]&gt;=60,"60s")</f>
        <v>50s</v>
      </c>
      <c r="G359" s="5">
        <v>45986</v>
      </c>
      <c r="H359" s="5">
        <v>46159</v>
      </c>
      <c r="I359" t="s">
        <v>31</v>
      </c>
      <c r="J359" t="s">
        <v>13</v>
      </c>
      <c r="K359" cm="1">
        <f t="array" aca="1" ref="K359" ca="1">_xlfn.IFS(EmployeeData[[#This Row],[Status]]="Active",_xlfn.DAYS(TODAY(),EmployeeData[[#This Row],[Join Date]]),EmployeeData[[#This Row],[Status]]="Exited",_xlfn.DAYS(EmployeeData[[#This Row],[Exit Date]],EmployeeData[[#This Row],[Join Date]]))</f>
        <v>173</v>
      </c>
      <c r="L359" cm="1">
        <f t="array" aca="1" ref="L359" ca="1">_xlfn.IFS(EmployeeData[[#This Row],[Status]]="Exited",DATEDIF(EmployeeData[[#This Row],[Join Date]], EmployeeData[[#This Row],[Exit Date]], "Y"),EmployeeData[[#This Row],[Status]]="Active",DATEDIF(EmployeeData[[#This Row],[Join Date]], TODAY(), "Y"))</f>
        <v>0</v>
      </c>
      <c r="Q359" t="str" cm="1">
        <f t="array" aca="1" ref="Q3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22 days</v>
      </c>
    </row>
    <row r="360" spans="1:17" x14ac:dyDescent="0.3">
      <c r="A360">
        <v>1359</v>
      </c>
      <c r="B360" t="s">
        <v>657</v>
      </c>
      <c r="C360" t="s">
        <v>15</v>
      </c>
      <c r="D360" t="s">
        <v>16</v>
      </c>
      <c r="E360">
        <v>53</v>
      </c>
      <c r="F360" t="str" cm="1">
        <f t="array" ref="F360">_xlfn.IFS(EmployeeData[[#This Row],[Age]]&lt;30,"20s",EmployeeData[[#This Row],[Age]]&lt;40,"30s",EmployeeData[[#This Row],[Age]]&lt;50,"40s",EmployeeData[[#This Row],[Age]]&lt;60,"50s",EmployeeData[[#This Row],[Age]]&gt;=60,"60s")</f>
        <v>50s</v>
      </c>
      <c r="G360" s="5">
        <v>45313</v>
      </c>
      <c r="H360" s="5">
        <v>45691</v>
      </c>
      <c r="I360" t="s">
        <v>26</v>
      </c>
      <c r="J360" t="s">
        <v>13</v>
      </c>
      <c r="K360" cm="1">
        <f t="array" aca="1" ref="K360" ca="1">_xlfn.IFS(EmployeeData[[#This Row],[Status]]="Active",_xlfn.DAYS(TODAY(),EmployeeData[[#This Row],[Join Date]]),EmployeeData[[#This Row],[Status]]="Exited",_xlfn.DAYS(EmployeeData[[#This Row],[Exit Date]],EmployeeData[[#This Row],[Join Date]]))</f>
        <v>378</v>
      </c>
      <c r="L360" cm="1">
        <f t="array" aca="1" ref="L360" ca="1">_xlfn.IFS(EmployeeData[[#This Row],[Status]]="Exited",DATEDIF(EmployeeData[[#This Row],[Join Date]], EmployeeData[[#This Row],[Exit Date]], "Y"),EmployeeData[[#This Row],[Status]]="Active",DATEDIF(EmployeeData[[#This Row],[Join Date]], TODAY(), "Y"))</f>
        <v>1</v>
      </c>
      <c r="Q360" t="str" cm="1">
        <f t="array" aca="1" ref="Q3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12 days</v>
      </c>
    </row>
    <row r="361" spans="1:17" x14ac:dyDescent="0.3">
      <c r="A361">
        <v>1360</v>
      </c>
      <c r="B361" t="s">
        <v>949</v>
      </c>
      <c r="C361" t="s">
        <v>15</v>
      </c>
      <c r="D361" t="s">
        <v>24</v>
      </c>
      <c r="E361">
        <v>48</v>
      </c>
      <c r="F361" t="str" cm="1">
        <f t="array" ref="F361">_xlfn.IFS(EmployeeData[[#This Row],[Age]]&lt;30,"20s",EmployeeData[[#This Row],[Age]]&lt;40,"30s",EmployeeData[[#This Row],[Age]]&lt;50,"40s",EmployeeData[[#This Row],[Age]]&lt;60,"50s",EmployeeData[[#This Row],[Age]]&gt;=60,"60s")</f>
        <v>40s</v>
      </c>
      <c r="G361" s="5">
        <v>43459</v>
      </c>
      <c r="H361" s="5">
        <v>45516</v>
      </c>
      <c r="I361" t="s">
        <v>31</v>
      </c>
      <c r="J361" t="s">
        <v>13</v>
      </c>
      <c r="K361" cm="1">
        <f t="array" aca="1" ref="K361" ca="1">_xlfn.IFS(EmployeeData[[#This Row],[Status]]="Active",_xlfn.DAYS(TODAY(),EmployeeData[[#This Row],[Join Date]]),EmployeeData[[#This Row],[Status]]="Exited",_xlfn.DAYS(EmployeeData[[#This Row],[Exit Date]],EmployeeData[[#This Row],[Join Date]]))</f>
        <v>2057</v>
      </c>
      <c r="L361" cm="1">
        <f t="array" aca="1" ref="L361" ca="1">_xlfn.IFS(EmployeeData[[#This Row],[Status]]="Exited",DATEDIF(EmployeeData[[#This Row],[Join Date]], EmployeeData[[#This Row],[Exit Date]], "Y"),EmployeeData[[#This Row],[Status]]="Active",DATEDIF(EmployeeData[[#This Row],[Join Date]], TODAY(), "Y"))</f>
        <v>5</v>
      </c>
      <c r="Q361" t="str" cm="1">
        <f t="array" aca="1" ref="Q3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18 days</v>
      </c>
    </row>
    <row r="362" spans="1:17" x14ac:dyDescent="0.3">
      <c r="A362">
        <v>1361</v>
      </c>
      <c r="B362" t="s">
        <v>431</v>
      </c>
      <c r="C362" t="s">
        <v>46</v>
      </c>
      <c r="D362" t="s">
        <v>24</v>
      </c>
      <c r="E362">
        <v>28</v>
      </c>
      <c r="F362" t="str" cm="1">
        <f t="array" ref="F362">_xlfn.IFS(EmployeeData[[#This Row],[Age]]&lt;30,"20s",EmployeeData[[#This Row],[Age]]&lt;40,"30s",EmployeeData[[#This Row],[Age]]&lt;50,"40s",EmployeeData[[#This Row],[Age]]&lt;60,"50s",EmployeeData[[#This Row],[Age]]&gt;=60,"60s")</f>
        <v>20s</v>
      </c>
      <c r="G362" s="5">
        <v>44364</v>
      </c>
      <c r="I362" t="s">
        <v>17</v>
      </c>
      <c r="J362" t="s">
        <v>18</v>
      </c>
      <c r="K362" cm="1">
        <f t="array" aca="1" ref="K362" ca="1">_xlfn.IFS(EmployeeData[[#This Row],[Status]]="Active",_xlfn.DAYS(TODAY(),EmployeeData[[#This Row],[Join Date]]),EmployeeData[[#This Row],[Status]]="Exited",_xlfn.DAYS(EmployeeData[[#This Row],[Exit Date]],EmployeeData[[#This Row],[Join Date]]))</f>
        <v>1833</v>
      </c>
      <c r="L362" cm="1">
        <f t="array" aca="1" ref="L362" ca="1">_xlfn.IFS(EmployeeData[[#This Row],[Status]]="Exited",DATEDIF(EmployeeData[[#This Row],[Join Date]], EmployeeData[[#This Row],[Exit Date]], "Y"),EmployeeData[[#This Row],[Status]]="Active",DATEDIF(EmployeeData[[#This Row],[Join Date]], TODAY(), "Y"))</f>
        <v>5</v>
      </c>
      <c r="Q362" t="str" cm="1">
        <f t="array" aca="1" ref="Q3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7 days</v>
      </c>
    </row>
    <row r="363" spans="1:17" x14ac:dyDescent="0.3">
      <c r="A363">
        <v>1362</v>
      </c>
      <c r="B363" t="s">
        <v>961</v>
      </c>
      <c r="C363" t="s">
        <v>10</v>
      </c>
      <c r="D363" t="s">
        <v>24</v>
      </c>
      <c r="E363">
        <v>45</v>
      </c>
      <c r="F363" t="str" cm="1">
        <f t="array" ref="F363">_xlfn.IFS(EmployeeData[[#This Row],[Age]]&lt;30,"20s",EmployeeData[[#This Row],[Age]]&lt;40,"30s",EmployeeData[[#This Row],[Age]]&lt;50,"40s",EmployeeData[[#This Row],[Age]]&lt;60,"50s",EmployeeData[[#This Row],[Age]]&gt;=60,"60s")</f>
        <v>40s</v>
      </c>
      <c r="G363" s="5">
        <v>43858</v>
      </c>
      <c r="H363" s="5">
        <v>45510</v>
      </c>
      <c r="I363" t="s">
        <v>12</v>
      </c>
      <c r="J363" t="s">
        <v>13</v>
      </c>
      <c r="K363" cm="1">
        <f t="array" aca="1" ref="K363" ca="1">_xlfn.IFS(EmployeeData[[#This Row],[Status]]="Active",_xlfn.DAYS(TODAY(),EmployeeData[[#This Row],[Join Date]]),EmployeeData[[#This Row],[Status]]="Exited",_xlfn.DAYS(EmployeeData[[#This Row],[Exit Date]],EmployeeData[[#This Row],[Join Date]]))</f>
        <v>1652</v>
      </c>
      <c r="L363" cm="1">
        <f t="array" aca="1" ref="L363" ca="1">_xlfn.IFS(EmployeeData[[#This Row],[Status]]="Exited",DATEDIF(EmployeeData[[#This Row],[Join Date]], EmployeeData[[#This Row],[Exit Date]], "Y"),EmployeeData[[#This Row],[Status]]="Active",DATEDIF(EmployeeData[[#This Row],[Join Date]], TODAY(), "Y"))</f>
        <v>4</v>
      </c>
      <c r="Q363" t="str" cm="1">
        <f t="array" aca="1" ref="Q3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9 days</v>
      </c>
    </row>
    <row r="364" spans="1:17" x14ac:dyDescent="0.3">
      <c r="A364">
        <v>1363</v>
      </c>
      <c r="B364" t="s">
        <v>651</v>
      </c>
      <c r="C364" t="s">
        <v>10</v>
      </c>
      <c r="D364" t="s">
        <v>11</v>
      </c>
      <c r="E364">
        <v>57</v>
      </c>
      <c r="F364" t="str" cm="1">
        <f t="array" ref="F364">_xlfn.IFS(EmployeeData[[#This Row],[Age]]&lt;30,"20s",EmployeeData[[#This Row],[Age]]&lt;40,"30s",EmployeeData[[#This Row],[Age]]&lt;50,"40s",EmployeeData[[#This Row],[Age]]&lt;60,"50s",EmployeeData[[#This Row],[Age]]&gt;=60,"60s")</f>
        <v>50s</v>
      </c>
      <c r="G364" s="5">
        <v>43353</v>
      </c>
      <c r="H364" s="5">
        <v>43839</v>
      </c>
      <c r="I364" t="s">
        <v>31</v>
      </c>
      <c r="J364" t="s">
        <v>13</v>
      </c>
      <c r="K364" cm="1">
        <f t="array" aca="1" ref="K364" ca="1">_xlfn.IFS(EmployeeData[[#This Row],[Status]]="Active",_xlfn.DAYS(TODAY(),EmployeeData[[#This Row],[Join Date]]),EmployeeData[[#This Row],[Status]]="Exited",_xlfn.DAYS(EmployeeData[[#This Row],[Exit Date]],EmployeeData[[#This Row],[Join Date]]))</f>
        <v>486</v>
      </c>
      <c r="L364" cm="1">
        <f t="array" aca="1" ref="L364" ca="1">_xlfn.IFS(EmployeeData[[#This Row],[Status]]="Exited",DATEDIF(EmployeeData[[#This Row],[Join Date]], EmployeeData[[#This Row],[Exit Date]], "Y"),EmployeeData[[#This Row],[Status]]="Active",DATEDIF(EmployeeData[[#This Row],[Join Date]], TODAY(), "Y"))</f>
        <v>1</v>
      </c>
      <c r="Q364" t="str" cm="1">
        <f t="array" aca="1" ref="Q3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30 days</v>
      </c>
    </row>
    <row r="365" spans="1:17" x14ac:dyDescent="0.3">
      <c r="A365">
        <v>1364</v>
      </c>
      <c r="B365" t="s">
        <v>805</v>
      </c>
      <c r="C365" t="s">
        <v>23</v>
      </c>
      <c r="D365" t="s">
        <v>11</v>
      </c>
      <c r="E365">
        <v>54</v>
      </c>
      <c r="F365" t="str" cm="1">
        <f t="array" ref="F365">_xlfn.IFS(EmployeeData[[#This Row],[Age]]&lt;30,"20s",EmployeeData[[#This Row],[Age]]&lt;40,"30s",EmployeeData[[#This Row],[Age]]&lt;50,"40s",EmployeeData[[#This Row],[Age]]&lt;60,"50s",EmployeeData[[#This Row],[Age]]&gt;=60,"60s")</f>
        <v>50s</v>
      </c>
      <c r="G365" s="5">
        <v>44815</v>
      </c>
      <c r="I365" t="s">
        <v>17</v>
      </c>
      <c r="J365" t="s">
        <v>18</v>
      </c>
      <c r="K365" cm="1">
        <f t="array" aca="1" ref="K365" ca="1">_xlfn.IFS(EmployeeData[[#This Row],[Status]]="Active",_xlfn.DAYS(TODAY(),EmployeeData[[#This Row],[Join Date]]),EmployeeData[[#This Row],[Status]]="Exited",_xlfn.DAYS(EmployeeData[[#This Row],[Exit Date]],EmployeeData[[#This Row],[Join Date]]))</f>
        <v>1382</v>
      </c>
      <c r="L365" cm="1">
        <f t="array" aca="1" ref="L365" ca="1">_xlfn.IFS(EmployeeData[[#This Row],[Status]]="Exited",DATEDIF(EmployeeData[[#This Row],[Join Date]], EmployeeData[[#This Row],[Exit Date]], "Y"),EmployeeData[[#This Row],[Status]]="Active",DATEDIF(EmployeeData[[#This Row],[Join Date]], TODAY(), "Y"))</f>
        <v>3</v>
      </c>
      <c r="Q365" t="str" cm="1">
        <f t="array" aca="1" ref="Q3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13 days</v>
      </c>
    </row>
    <row r="366" spans="1:17" x14ac:dyDescent="0.3">
      <c r="A366">
        <v>1365</v>
      </c>
      <c r="B366" t="s">
        <v>794</v>
      </c>
      <c r="C366" t="s">
        <v>23</v>
      </c>
      <c r="D366" t="s">
        <v>16</v>
      </c>
      <c r="E366">
        <v>23</v>
      </c>
      <c r="F366" t="str" cm="1">
        <f t="array" ref="F366">_xlfn.IFS(EmployeeData[[#This Row],[Age]]&lt;30,"20s",EmployeeData[[#This Row],[Age]]&lt;40,"30s",EmployeeData[[#This Row],[Age]]&lt;50,"40s",EmployeeData[[#This Row],[Age]]&lt;60,"50s",EmployeeData[[#This Row],[Age]]&gt;=60,"60s")</f>
        <v>20s</v>
      </c>
      <c r="G366" s="5">
        <v>45157</v>
      </c>
      <c r="I366" t="s">
        <v>17</v>
      </c>
      <c r="J366" t="s">
        <v>18</v>
      </c>
      <c r="K366" cm="1">
        <f t="array" aca="1" ref="K366" ca="1">_xlfn.IFS(EmployeeData[[#This Row],[Status]]="Active",_xlfn.DAYS(TODAY(),EmployeeData[[#This Row],[Join Date]]),EmployeeData[[#This Row],[Status]]="Exited",_xlfn.DAYS(EmployeeData[[#This Row],[Exit Date]],EmployeeData[[#This Row],[Join Date]]))</f>
        <v>1040</v>
      </c>
      <c r="L366" cm="1">
        <f t="array" aca="1" ref="L366" ca="1">_xlfn.IFS(EmployeeData[[#This Row],[Status]]="Exited",DATEDIF(EmployeeData[[#This Row],[Join Date]], EmployeeData[[#This Row],[Exit Date]], "Y"),EmployeeData[[#This Row],[Status]]="Active",DATEDIF(EmployeeData[[#This Row],[Join Date]], TODAY(), "Y"))</f>
        <v>2</v>
      </c>
      <c r="Q366" t="str" cm="1">
        <f t="array" aca="1" ref="Q3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5 days</v>
      </c>
    </row>
    <row r="367" spans="1:17" x14ac:dyDescent="0.3">
      <c r="A367">
        <v>1366</v>
      </c>
      <c r="B367" t="s">
        <v>470</v>
      </c>
      <c r="C367" t="s">
        <v>23</v>
      </c>
      <c r="D367" t="s">
        <v>16</v>
      </c>
      <c r="E367">
        <v>49</v>
      </c>
      <c r="F367" t="str" cm="1">
        <f t="array" ref="F367">_xlfn.IFS(EmployeeData[[#This Row],[Age]]&lt;30,"20s",EmployeeData[[#This Row],[Age]]&lt;40,"30s",EmployeeData[[#This Row],[Age]]&lt;50,"40s",EmployeeData[[#This Row],[Age]]&lt;60,"50s",EmployeeData[[#This Row],[Age]]&gt;=60,"60s")</f>
        <v>40s</v>
      </c>
      <c r="G367" s="5">
        <v>43809</v>
      </c>
      <c r="I367" t="s">
        <v>17</v>
      </c>
      <c r="J367" t="s">
        <v>18</v>
      </c>
      <c r="K367" cm="1">
        <f t="array" aca="1" ref="K367" ca="1">_xlfn.IFS(EmployeeData[[#This Row],[Status]]="Active",_xlfn.DAYS(TODAY(),EmployeeData[[#This Row],[Join Date]]),EmployeeData[[#This Row],[Status]]="Exited",_xlfn.DAYS(EmployeeData[[#This Row],[Exit Date]],EmployeeData[[#This Row],[Join Date]]))</f>
        <v>2388</v>
      </c>
      <c r="L367" cm="1">
        <f t="array" aca="1" ref="L367" ca="1">_xlfn.IFS(EmployeeData[[#This Row],[Status]]="Exited",DATEDIF(EmployeeData[[#This Row],[Join Date]], EmployeeData[[#This Row],[Exit Date]], "Y"),EmployeeData[[#This Row],[Status]]="Active",DATEDIF(EmployeeData[[#This Row],[Join Date]], TODAY(), "Y"))</f>
        <v>6</v>
      </c>
      <c r="Q367" t="str" cm="1">
        <f t="array" aca="1" ref="Q3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14 days</v>
      </c>
    </row>
    <row r="368" spans="1:17" x14ac:dyDescent="0.3">
      <c r="A368">
        <v>1367</v>
      </c>
      <c r="B368" t="s">
        <v>538</v>
      </c>
      <c r="C368" t="s">
        <v>15</v>
      </c>
      <c r="D368" t="s">
        <v>24</v>
      </c>
      <c r="E368">
        <v>48</v>
      </c>
      <c r="F368" t="str" cm="1">
        <f t="array" ref="F368">_xlfn.IFS(EmployeeData[[#This Row],[Age]]&lt;30,"20s",EmployeeData[[#This Row],[Age]]&lt;40,"30s",EmployeeData[[#This Row],[Age]]&lt;50,"40s",EmployeeData[[#This Row],[Age]]&lt;60,"50s",EmployeeData[[#This Row],[Age]]&gt;=60,"60s")</f>
        <v>40s</v>
      </c>
      <c r="G368" s="5">
        <v>43928</v>
      </c>
      <c r="I368" t="s">
        <v>17</v>
      </c>
      <c r="J368" t="s">
        <v>18</v>
      </c>
      <c r="K368" cm="1">
        <f t="array" aca="1" ref="K368" ca="1">_xlfn.IFS(EmployeeData[[#This Row],[Status]]="Active",_xlfn.DAYS(TODAY(),EmployeeData[[#This Row],[Join Date]]),EmployeeData[[#This Row],[Status]]="Exited",_xlfn.DAYS(EmployeeData[[#This Row],[Exit Date]],EmployeeData[[#This Row],[Join Date]]))</f>
        <v>2269</v>
      </c>
      <c r="L368" cm="1">
        <f t="array" aca="1" ref="L368" ca="1">_xlfn.IFS(EmployeeData[[#This Row],[Status]]="Exited",DATEDIF(EmployeeData[[#This Row],[Join Date]], EmployeeData[[#This Row],[Exit Date]], "Y"),EmployeeData[[#This Row],[Status]]="Active",DATEDIF(EmployeeData[[#This Row],[Join Date]], TODAY(), "Y"))</f>
        <v>6</v>
      </c>
      <c r="Q368" t="str" cm="1">
        <f t="array" aca="1" ref="Q3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2 months 17 days</v>
      </c>
    </row>
    <row r="369" spans="1:17" x14ac:dyDescent="0.3">
      <c r="A369">
        <v>1368</v>
      </c>
      <c r="B369" t="s">
        <v>337</v>
      </c>
      <c r="C369" t="s">
        <v>15</v>
      </c>
      <c r="D369" t="s">
        <v>24</v>
      </c>
      <c r="E369">
        <v>56</v>
      </c>
      <c r="F369" t="str" cm="1">
        <f t="array" ref="F369">_xlfn.IFS(EmployeeData[[#This Row],[Age]]&lt;30,"20s",EmployeeData[[#This Row],[Age]]&lt;40,"30s",EmployeeData[[#This Row],[Age]]&lt;50,"40s",EmployeeData[[#This Row],[Age]]&lt;60,"50s",EmployeeData[[#This Row],[Age]]&gt;=60,"60s")</f>
        <v>50s</v>
      </c>
      <c r="G369" s="5">
        <v>44436</v>
      </c>
      <c r="I369" t="s">
        <v>17</v>
      </c>
      <c r="J369" t="s">
        <v>18</v>
      </c>
      <c r="K369" cm="1">
        <f t="array" aca="1" ref="K369" ca="1">_xlfn.IFS(EmployeeData[[#This Row],[Status]]="Active",_xlfn.DAYS(TODAY(),EmployeeData[[#This Row],[Join Date]]),EmployeeData[[#This Row],[Status]]="Exited",_xlfn.DAYS(EmployeeData[[#This Row],[Exit Date]],EmployeeData[[#This Row],[Join Date]]))</f>
        <v>1761</v>
      </c>
      <c r="L369" cm="1">
        <f t="array" aca="1" ref="L369" ca="1">_xlfn.IFS(EmployeeData[[#This Row],[Status]]="Exited",DATEDIF(EmployeeData[[#This Row],[Join Date]], EmployeeData[[#This Row],[Exit Date]], "Y"),EmployeeData[[#This Row],[Status]]="Active",DATEDIF(EmployeeData[[#This Row],[Join Date]], TODAY(), "Y"))</f>
        <v>4</v>
      </c>
      <c r="Q369" t="str" cm="1">
        <f t="array" aca="1" ref="Q3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27 days</v>
      </c>
    </row>
    <row r="370" spans="1:17" x14ac:dyDescent="0.3">
      <c r="A370">
        <v>1369</v>
      </c>
      <c r="B370" t="s">
        <v>355</v>
      </c>
      <c r="C370" t="s">
        <v>15</v>
      </c>
      <c r="D370" t="s">
        <v>11</v>
      </c>
      <c r="E370">
        <v>58</v>
      </c>
      <c r="F370" t="str" cm="1">
        <f t="array" ref="F370">_xlfn.IFS(EmployeeData[[#This Row],[Age]]&lt;30,"20s",EmployeeData[[#This Row],[Age]]&lt;40,"30s",EmployeeData[[#This Row],[Age]]&lt;50,"40s",EmployeeData[[#This Row],[Age]]&lt;60,"50s",EmployeeData[[#This Row],[Age]]&gt;=60,"60s")</f>
        <v>50s</v>
      </c>
      <c r="G370" s="5">
        <v>45241</v>
      </c>
      <c r="I370" t="s">
        <v>17</v>
      </c>
      <c r="J370" t="s">
        <v>18</v>
      </c>
      <c r="K370" cm="1">
        <f t="array" aca="1" ref="K370" ca="1">_xlfn.IFS(EmployeeData[[#This Row],[Status]]="Active",_xlfn.DAYS(TODAY(),EmployeeData[[#This Row],[Join Date]]),EmployeeData[[#This Row],[Status]]="Exited",_xlfn.DAYS(EmployeeData[[#This Row],[Exit Date]],EmployeeData[[#This Row],[Join Date]]))</f>
        <v>956</v>
      </c>
      <c r="L370" cm="1">
        <f t="array" aca="1" ref="L370" ca="1">_xlfn.IFS(EmployeeData[[#This Row],[Status]]="Exited",DATEDIF(EmployeeData[[#This Row],[Join Date]], EmployeeData[[#This Row],[Exit Date]], "Y"),EmployeeData[[#This Row],[Status]]="Active",DATEDIF(EmployeeData[[#This Row],[Join Date]], TODAY(), "Y"))</f>
        <v>2</v>
      </c>
      <c r="Q370" t="str" cm="1">
        <f t="array" aca="1" ref="Q3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13 days</v>
      </c>
    </row>
    <row r="371" spans="1:17" x14ac:dyDescent="0.3">
      <c r="A371">
        <v>1370</v>
      </c>
      <c r="B371" t="s">
        <v>354</v>
      </c>
      <c r="C371" t="s">
        <v>46</v>
      </c>
      <c r="D371" t="s">
        <v>24</v>
      </c>
      <c r="E371">
        <v>27</v>
      </c>
      <c r="F371" t="str" cm="1">
        <f t="array" ref="F371">_xlfn.IFS(EmployeeData[[#This Row],[Age]]&lt;30,"20s",EmployeeData[[#This Row],[Age]]&lt;40,"30s",EmployeeData[[#This Row],[Age]]&lt;50,"40s",EmployeeData[[#This Row],[Age]]&lt;60,"50s",EmployeeData[[#This Row],[Age]]&gt;=60,"60s")</f>
        <v>20s</v>
      </c>
      <c r="G371" s="5">
        <v>44272</v>
      </c>
      <c r="I371" t="s">
        <v>17</v>
      </c>
      <c r="J371" t="s">
        <v>18</v>
      </c>
      <c r="K371" cm="1">
        <f t="array" aca="1" ref="K371" ca="1">_xlfn.IFS(EmployeeData[[#This Row],[Status]]="Active",_xlfn.DAYS(TODAY(),EmployeeData[[#This Row],[Join Date]]),EmployeeData[[#This Row],[Status]]="Exited",_xlfn.DAYS(EmployeeData[[#This Row],[Exit Date]],EmployeeData[[#This Row],[Join Date]]))</f>
        <v>1925</v>
      </c>
      <c r="L371" cm="1">
        <f t="array" aca="1" ref="L371" ca="1">_xlfn.IFS(EmployeeData[[#This Row],[Status]]="Exited",DATEDIF(EmployeeData[[#This Row],[Join Date]], EmployeeData[[#This Row],[Exit Date]], "Y"),EmployeeData[[#This Row],[Status]]="Active",DATEDIF(EmployeeData[[#This Row],[Join Date]], TODAY(), "Y"))</f>
        <v>5</v>
      </c>
      <c r="Q371" t="str" cm="1">
        <f t="array" aca="1" ref="Q3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7 days</v>
      </c>
    </row>
    <row r="372" spans="1:17" x14ac:dyDescent="0.3">
      <c r="A372">
        <v>1371</v>
      </c>
      <c r="B372" t="s">
        <v>453</v>
      </c>
      <c r="C372" t="s">
        <v>23</v>
      </c>
      <c r="D372" t="s">
        <v>24</v>
      </c>
      <c r="E372">
        <v>32</v>
      </c>
      <c r="F372" t="str" cm="1">
        <f t="array" ref="F372">_xlfn.IFS(EmployeeData[[#This Row],[Age]]&lt;30,"20s",EmployeeData[[#This Row],[Age]]&lt;40,"30s",EmployeeData[[#This Row],[Age]]&lt;50,"40s",EmployeeData[[#This Row],[Age]]&lt;60,"50s",EmployeeData[[#This Row],[Age]]&gt;=60,"60s")</f>
        <v>30s</v>
      </c>
      <c r="G372" s="5">
        <v>44229</v>
      </c>
      <c r="I372" t="s">
        <v>17</v>
      </c>
      <c r="J372" t="s">
        <v>18</v>
      </c>
      <c r="K372" cm="1">
        <f t="array" aca="1" ref="K372" ca="1">_xlfn.IFS(EmployeeData[[#This Row],[Status]]="Active",_xlfn.DAYS(TODAY(),EmployeeData[[#This Row],[Join Date]]),EmployeeData[[#This Row],[Status]]="Exited",_xlfn.DAYS(EmployeeData[[#This Row],[Exit Date]],EmployeeData[[#This Row],[Join Date]]))</f>
        <v>1968</v>
      </c>
      <c r="L372" cm="1">
        <f t="array" aca="1" ref="L372" ca="1">_xlfn.IFS(EmployeeData[[#This Row],[Status]]="Exited",DATEDIF(EmployeeData[[#This Row],[Join Date]], EmployeeData[[#This Row],[Exit Date]], "Y"),EmployeeData[[#This Row],[Status]]="Active",DATEDIF(EmployeeData[[#This Row],[Join Date]], TODAY(), "Y"))</f>
        <v>5</v>
      </c>
      <c r="Q372" t="str" cm="1">
        <f t="array" aca="1" ref="Q3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22 days</v>
      </c>
    </row>
    <row r="373" spans="1:17" x14ac:dyDescent="0.3">
      <c r="A373">
        <v>1372</v>
      </c>
      <c r="B373" t="s">
        <v>659</v>
      </c>
      <c r="C373" t="s">
        <v>15</v>
      </c>
      <c r="D373" t="s">
        <v>11</v>
      </c>
      <c r="E373">
        <v>42</v>
      </c>
      <c r="F373" t="str" cm="1">
        <f t="array" ref="F373">_xlfn.IFS(EmployeeData[[#This Row],[Age]]&lt;30,"20s",EmployeeData[[#This Row],[Age]]&lt;40,"30s",EmployeeData[[#This Row],[Age]]&lt;50,"40s",EmployeeData[[#This Row],[Age]]&lt;60,"50s",EmployeeData[[#This Row],[Age]]&gt;=60,"60s")</f>
        <v>40s</v>
      </c>
      <c r="G373" s="5">
        <v>45929</v>
      </c>
      <c r="H373" s="5">
        <v>46140</v>
      </c>
      <c r="I373" t="s">
        <v>21</v>
      </c>
      <c r="J373" t="s">
        <v>13</v>
      </c>
      <c r="K373" cm="1">
        <f t="array" aca="1" ref="K373" ca="1">_xlfn.IFS(EmployeeData[[#This Row],[Status]]="Active",_xlfn.DAYS(TODAY(),EmployeeData[[#This Row],[Join Date]]),EmployeeData[[#This Row],[Status]]="Exited",_xlfn.DAYS(EmployeeData[[#This Row],[Exit Date]],EmployeeData[[#This Row],[Join Date]]))</f>
        <v>211</v>
      </c>
      <c r="L373" cm="1">
        <f t="array" aca="1" ref="L373" ca="1">_xlfn.IFS(EmployeeData[[#This Row],[Status]]="Exited",DATEDIF(EmployeeData[[#This Row],[Join Date]], EmployeeData[[#This Row],[Exit Date]], "Y"),EmployeeData[[#This Row],[Status]]="Active",DATEDIF(EmployeeData[[#This Row],[Join Date]], TODAY(), "Y"))</f>
        <v>0</v>
      </c>
      <c r="Q373" t="str" cm="1">
        <f t="array" aca="1" ref="Q3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30 days</v>
      </c>
    </row>
    <row r="374" spans="1:17" x14ac:dyDescent="0.3">
      <c r="A374">
        <v>1373</v>
      </c>
      <c r="B374" t="s">
        <v>526</v>
      </c>
      <c r="C374" t="s">
        <v>10</v>
      </c>
      <c r="D374" t="s">
        <v>11</v>
      </c>
      <c r="E374">
        <v>27</v>
      </c>
      <c r="F374" t="str" cm="1">
        <f t="array" ref="F374">_xlfn.IFS(EmployeeData[[#This Row],[Age]]&lt;30,"20s",EmployeeData[[#This Row],[Age]]&lt;40,"30s",EmployeeData[[#This Row],[Age]]&lt;50,"40s",EmployeeData[[#This Row],[Age]]&lt;60,"50s",EmployeeData[[#This Row],[Age]]&gt;=60,"60s")</f>
        <v>20s</v>
      </c>
      <c r="G374" s="5">
        <v>44034</v>
      </c>
      <c r="H374" s="5">
        <v>45938</v>
      </c>
      <c r="I374" t="s">
        <v>34</v>
      </c>
      <c r="J374" t="s">
        <v>13</v>
      </c>
      <c r="K374" cm="1">
        <f t="array" aca="1" ref="K374" ca="1">_xlfn.IFS(EmployeeData[[#This Row],[Status]]="Active",_xlfn.DAYS(TODAY(),EmployeeData[[#This Row],[Join Date]]),EmployeeData[[#This Row],[Status]]="Exited",_xlfn.DAYS(EmployeeData[[#This Row],[Exit Date]],EmployeeData[[#This Row],[Join Date]]))</f>
        <v>1904</v>
      </c>
      <c r="L374" cm="1">
        <f t="array" aca="1" ref="L374" ca="1">_xlfn.IFS(EmployeeData[[#This Row],[Status]]="Exited",DATEDIF(EmployeeData[[#This Row],[Join Date]], EmployeeData[[#This Row],[Exit Date]], "Y"),EmployeeData[[#This Row],[Status]]="Active",DATEDIF(EmployeeData[[#This Row],[Join Date]], TODAY(), "Y"))</f>
        <v>5</v>
      </c>
      <c r="Q374" t="str" cm="1">
        <f t="array" aca="1" ref="Q3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16 days</v>
      </c>
    </row>
    <row r="375" spans="1:17" x14ac:dyDescent="0.3">
      <c r="A375">
        <v>1374</v>
      </c>
      <c r="B375" t="s">
        <v>403</v>
      </c>
      <c r="C375" t="s">
        <v>23</v>
      </c>
      <c r="D375" t="s">
        <v>16</v>
      </c>
      <c r="E375">
        <v>49</v>
      </c>
      <c r="F375" t="str" cm="1">
        <f t="array" ref="F375">_xlfn.IFS(EmployeeData[[#This Row],[Age]]&lt;30,"20s",EmployeeData[[#This Row],[Age]]&lt;40,"30s",EmployeeData[[#This Row],[Age]]&lt;50,"40s",EmployeeData[[#This Row],[Age]]&lt;60,"50s",EmployeeData[[#This Row],[Age]]&gt;=60,"60s")</f>
        <v>40s</v>
      </c>
      <c r="G375" s="5">
        <v>43966</v>
      </c>
      <c r="I375" t="s">
        <v>17</v>
      </c>
      <c r="J375" t="s">
        <v>18</v>
      </c>
      <c r="K375" cm="1">
        <f t="array" aca="1" ref="K375" ca="1">_xlfn.IFS(EmployeeData[[#This Row],[Status]]="Active",_xlfn.DAYS(TODAY(),EmployeeData[[#This Row],[Join Date]]),EmployeeData[[#This Row],[Status]]="Exited",_xlfn.DAYS(EmployeeData[[#This Row],[Exit Date]],EmployeeData[[#This Row],[Join Date]]))</f>
        <v>2231</v>
      </c>
      <c r="L375" cm="1">
        <f t="array" aca="1" ref="L375" ca="1">_xlfn.IFS(EmployeeData[[#This Row],[Status]]="Exited",DATEDIF(EmployeeData[[#This Row],[Join Date]], EmployeeData[[#This Row],[Exit Date]], "Y"),EmployeeData[[#This Row],[Status]]="Active",DATEDIF(EmployeeData[[#This Row],[Join Date]], TODAY(), "Y"))</f>
        <v>6</v>
      </c>
      <c r="Q375" t="str" cm="1">
        <f t="array" aca="1" ref="Q3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9 days</v>
      </c>
    </row>
    <row r="376" spans="1:17" x14ac:dyDescent="0.3">
      <c r="A376">
        <v>1375</v>
      </c>
      <c r="B376" t="s">
        <v>410</v>
      </c>
      <c r="C376" t="s">
        <v>33</v>
      </c>
      <c r="D376" t="s">
        <v>24</v>
      </c>
      <c r="E376">
        <v>31</v>
      </c>
      <c r="F376" t="str" cm="1">
        <f t="array" ref="F376">_xlfn.IFS(EmployeeData[[#This Row],[Age]]&lt;30,"20s",EmployeeData[[#This Row],[Age]]&lt;40,"30s",EmployeeData[[#This Row],[Age]]&lt;50,"40s",EmployeeData[[#This Row],[Age]]&lt;60,"50s",EmployeeData[[#This Row],[Age]]&gt;=60,"60s")</f>
        <v>30s</v>
      </c>
      <c r="G376" s="5">
        <v>43369</v>
      </c>
      <c r="H376" s="5">
        <v>45534</v>
      </c>
      <c r="I376" t="s">
        <v>12</v>
      </c>
      <c r="J376" t="s">
        <v>13</v>
      </c>
      <c r="K376" cm="1">
        <f t="array" aca="1" ref="K376" ca="1">_xlfn.IFS(EmployeeData[[#This Row],[Status]]="Active",_xlfn.DAYS(TODAY(),EmployeeData[[#This Row],[Join Date]]),EmployeeData[[#This Row],[Status]]="Exited",_xlfn.DAYS(EmployeeData[[#This Row],[Exit Date]],EmployeeData[[#This Row],[Join Date]]))</f>
        <v>2165</v>
      </c>
      <c r="L376" cm="1">
        <f t="array" aca="1" ref="L376" ca="1">_xlfn.IFS(EmployeeData[[#This Row],[Status]]="Exited",DATEDIF(EmployeeData[[#This Row],[Join Date]], EmployeeData[[#This Row],[Exit Date]], "Y"),EmployeeData[[#This Row],[Status]]="Active",DATEDIF(EmployeeData[[#This Row],[Join Date]], TODAY(), "Y"))</f>
        <v>5</v>
      </c>
      <c r="Q376" t="str" cm="1">
        <f t="array" aca="1" ref="Q3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4 days</v>
      </c>
    </row>
    <row r="377" spans="1:17" x14ac:dyDescent="0.3">
      <c r="A377">
        <v>1376</v>
      </c>
      <c r="B377" t="s">
        <v>237</v>
      </c>
      <c r="C377" t="s">
        <v>33</v>
      </c>
      <c r="D377" t="s">
        <v>16</v>
      </c>
      <c r="E377">
        <v>24</v>
      </c>
      <c r="F377" t="str" cm="1">
        <f t="array" ref="F377">_xlfn.IFS(EmployeeData[[#This Row],[Age]]&lt;30,"20s",EmployeeData[[#This Row],[Age]]&lt;40,"30s",EmployeeData[[#This Row],[Age]]&lt;50,"40s",EmployeeData[[#This Row],[Age]]&lt;60,"50s",EmployeeData[[#This Row],[Age]]&gt;=60,"60s")</f>
        <v>20s</v>
      </c>
      <c r="G377" s="5">
        <v>44122</v>
      </c>
      <c r="H377" s="5">
        <v>44315</v>
      </c>
      <c r="I377" t="s">
        <v>52</v>
      </c>
      <c r="J377" t="s">
        <v>13</v>
      </c>
      <c r="K377" cm="1">
        <f t="array" aca="1" ref="K377" ca="1">_xlfn.IFS(EmployeeData[[#This Row],[Status]]="Active",_xlfn.DAYS(TODAY(),EmployeeData[[#This Row],[Join Date]]),EmployeeData[[#This Row],[Status]]="Exited",_xlfn.DAYS(EmployeeData[[#This Row],[Exit Date]],EmployeeData[[#This Row],[Join Date]]))</f>
        <v>193</v>
      </c>
      <c r="L377" cm="1">
        <f t="array" aca="1" ref="L377" ca="1">_xlfn.IFS(EmployeeData[[#This Row],[Status]]="Exited",DATEDIF(EmployeeData[[#This Row],[Join Date]], EmployeeData[[#This Row],[Exit Date]], "Y"),EmployeeData[[#This Row],[Status]]="Active",DATEDIF(EmployeeData[[#This Row],[Join Date]], TODAY(), "Y"))</f>
        <v>0</v>
      </c>
      <c r="Q377" t="str" cm="1">
        <f t="array" aca="1" ref="Q3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11 days</v>
      </c>
    </row>
    <row r="378" spans="1:17" x14ac:dyDescent="0.3">
      <c r="A378">
        <v>1377</v>
      </c>
      <c r="B378" t="s">
        <v>388</v>
      </c>
      <c r="C378" t="s">
        <v>23</v>
      </c>
      <c r="D378" t="s">
        <v>24</v>
      </c>
      <c r="E378">
        <v>28</v>
      </c>
      <c r="F378" t="str" cm="1">
        <f t="array" ref="F378">_xlfn.IFS(EmployeeData[[#This Row],[Age]]&lt;30,"20s",EmployeeData[[#This Row],[Age]]&lt;40,"30s",EmployeeData[[#This Row],[Age]]&lt;50,"40s",EmployeeData[[#This Row],[Age]]&lt;60,"50s",EmployeeData[[#This Row],[Age]]&gt;=60,"60s")</f>
        <v>20s</v>
      </c>
      <c r="G378" s="5">
        <v>45891</v>
      </c>
      <c r="H378" s="5">
        <v>46076</v>
      </c>
      <c r="I378" t="s">
        <v>65</v>
      </c>
      <c r="J378" t="s">
        <v>13</v>
      </c>
      <c r="K378" cm="1">
        <f t="array" aca="1" ref="K378" ca="1">_xlfn.IFS(EmployeeData[[#This Row],[Status]]="Active",_xlfn.DAYS(TODAY(),EmployeeData[[#This Row],[Join Date]]),EmployeeData[[#This Row],[Status]]="Exited",_xlfn.DAYS(EmployeeData[[#This Row],[Exit Date]],EmployeeData[[#This Row],[Join Date]]))</f>
        <v>185</v>
      </c>
      <c r="L378" cm="1">
        <f t="array" aca="1" ref="L378" ca="1">_xlfn.IFS(EmployeeData[[#This Row],[Status]]="Exited",DATEDIF(EmployeeData[[#This Row],[Join Date]], EmployeeData[[#This Row],[Exit Date]], "Y"),EmployeeData[[#This Row],[Status]]="Active",DATEDIF(EmployeeData[[#This Row],[Join Date]], TODAY(), "Y"))</f>
        <v>0</v>
      </c>
      <c r="Q378" t="str" cm="1">
        <f t="array" aca="1" ref="Q3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 days</v>
      </c>
    </row>
    <row r="379" spans="1:17" x14ac:dyDescent="0.3">
      <c r="A379">
        <v>1378</v>
      </c>
      <c r="B379" t="s">
        <v>418</v>
      </c>
      <c r="C379" t="s">
        <v>23</v>
      </c>
      <c r="D379" t="s">
        <v>24</v>
      </c>
      <c r="E379">
        <v>43</v>
      </c>
      <c r="F379" t="str" cm="1">
        <f t="array" ref="F379">_xlfn.IFS(EmployeeData[[#This Row],[Age]]&lt;30,"20s",EmployeeData[[#This Row],[Age]]&lt;40,"30s",EmployeeData[[#This Row],[Age]]&lt;50,"40s",EmployeeData[[#This Row],[Age]]&lt;60,"50s",EmployeeData[[#This Row],[Age]]&gt;=60,"60s")</f>
        <v>40s</v>
      </c>
      <c r="G379" s="5">
        <v>43770</v>
      </c>
      <c r="I379" t="s">
        <v>17</v>
      </c>
      <c r="J379" t="s">
        <v>18</v>
      </c>
      <c r="K379" cm="1">
        <f t="array" aca="1" ref="K379" ca="1">_xlfn.IFS(EmployeeData[[#This Row],[Status]]="Active",_xlfn.DAYS(TODAY(),EmployeeData[[#This Row],[Join Date]]),EmployeeData[[#This Row],[Status]]="Exited",_xlfn.DAYS(EmployeeData[[#This Row],[Exit Date]],EmployeeData[[#This Row],[Join Date]]))</f>
        <v>2427</v>
      </c>
      <c r="L379" cm="1">
        <f t="array" aca="1" ref="L379" ca="1">_xlfn.IFS(EmployeeData[[#This Row],[Status]]="Exited",DATEDIF(EmployeeData[[#This Row],[Join Date]], EmployeeData[[#This Row],[Exit Date]], "Y"),EmployeeData[[#This Row],[Status]]="Active",DATEDIF(EmployeeData[[#This Row],[Join Date]], TODAY(), "Y"))</f>
        <v>6</v>
      </c>
      <c r="Q379" t="str" cm="1">
        <f t="array" aca="1" ref="Q3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23 days</v>
      </c>
    </row>
    <row r="380" spans="1:17" x14ac:dyDescent="0.3">
      <c r="A380">
        <v>1379</v>
      </c>
      <c r="B380" t="s">
        <v>36</v>
      </c>
      <c r="C380" t="s">
        <v>15</v>
      </c>
      <c r="D380" t="s">
        <v>16</v>
      </c>
      <c r="E380">
        <v>24</v>
      </c>
      <c r="F380" t="str" cm="1">
        <f t="array" ref="F380">_xlfn.IFS(EmployeeData[[#This Row],[Age]]&lt;30,"20s",EmployeeData[[#This Row],[Age]]&lt;40,"30s",EmployeeData[[#This Row],[Age]]&lt;50,"40s",EmployeeData[[#This Row],[Age]]&lt;60,"50s",EmployeeData[[#This Row],[Age]]&gt;=60,"60s")</f>
        <v>20s</v>
      </c>
      <c r="G380" s="5">
        <v>43768</v>
      </c>
      <c r="I380" t="s">
        <v>17</v>
      </c>
      <c r="J380" t="s">
        <v>18</v>
      </c>
      <c r="K380" cm="1">
        <f t="array" aca="1" ref="K380" ca="1">_xlfn.IFS(EmployeeData[[#This Row],[Status]]="Active",_xlfn.DAYS(TODAY(),EmployeeData[[#This Row],[Join Date]]),EmployeeData[[#This Row],[Status]]="Exited",_xlfn.DAYS(EmployeeData[[#This Row],[Exit Date]],EmployeeData[[#This Row],[Join Date]]))</f>
        <v>2429</v>
      </c>
      <c r="L380" cm="1">
        <f t="array" aca="1" ref="L380" ca="1">_xlfn.IFS(EmployeeData[[#This Row],[Status]]="Exited",DATEDIF(EmployeeData[[#This Row],[Join Date]], EmployeeData[[#This Row],[Exit Date]], "Y"),EmployeeData[[#This Row],[Status]]="Active",DATEDIF(EmployeeData[[#This Row],[Join Date]], TODAY(), "Y"))</f>
        <v>6</v>
      </c>
      <c r="Q380" t="str" cm="1">
        <f t="array" aca="1" ref="Q3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25 days</v>
      </c>
    </row>
    <row r="381" spans="1:17" x14ac:dyDescent="0.3">
      <c r="A381">
        <v>1380</v>
      </c>
      <c r="B381" t="s">
        <v>861</v>
      </c>
      <c r="C381" t="s">
        <v>20</v>
      </c>
      <c r="D381" t="s">
        <v>16</v>
      </c>
      <c r="E381">
        <v>47</v>
      </c>
      <c r="F381" t="str" cm="1">
        <f t="array" ref="F381">_xlfn.IFS(EmployeeData[[#This Row],[Age]]&lt;30,"20s",EmployeeData[[#This Row],[Age]]&lt;40,"30s",EmployeeData[[#This Row],[Age]]&lt;50,"40s",EmployeeData[[#This Row],[Age]]&lt;60,"50s",EmployeeData[[#This Row],[Age]]&gt;=60,"60s")</f>
        <v>40s</v>
      </c>
      <c r="G381" s="5">
        <v>45203</v>
      </c>
      <c r="H381" s="5">
        <v>46092</v>
      </c>
      <c r="I381" t="s">
        <v>21</v>
      </c>
      <c r="J381" t="s">
        <v>13</v>
      </c>
      <c r="K381" cm="1">
        <f t="array" aca="1" ref="K381" ca="1">_xlfn.IFS(EmployeeData[[#This Row],[Status]]="Active",_xlfn.DAYS(TODAY(),EmployeeData[[#This Row],[Join Date]]),EmployeeData[[#This Row],[Status]]="Exited",_xlfn.DAYS(EmployeeData[[#This Row],[Exit Date]],EmployeeData[[#This Row],[Join Date]]))</f>
        <v>889</v>
      </c>
      <c r="L381" cm="1">
        <f t="array" aca="1" ref="L381" ca="1">_xlfn.IFS(EmployeeData[[#This Row],[Status]]="Exited",DATEDIF(EmployeeData[[#This Row],[Join Date]], EmployeeData[[#This Row],[Exit Date]], "Y"),EmployeeData[[#This Row],[Status]]="Active",DATEDIF(EmployeeData[[#This Row],[Join Date]], TODAY(), "Y"))</f>
        <v>2</v>
      </c>
      <c r="Q381" t="str" cm="1">
        <f t="array" aca="1" ref="Q3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7 days</v>
      </c>
    </row>
    <row r="382" spans="1:17" x14ac:dyDescent="0.3">
      <c r="A382">
        <v>1381</v>
      </c>
      <c r="B382" t="s">
        <v>809</v>
      </c>
      <c r="C382" t="s">
        <v>20</v>
      </c>
      <c r="D382" t="s">
        <v>24</v>
      </c>
      <c r="E382">
        <v>21</v>
      </c>
      <c r="F382" t="str" cm="1">
        <f t="array" ref="F382">_xlfn.IFS(EmployeeData[[#This Row],[Age]]&lt;30,"20s",EmployeeData[[#This Row],[Age]]&lt;40,"30s",EmployeeData[[#This Row],[Age]]&lt;50,"40s",EmployeeData[[#This Row],[Age]]&lt;60,"50s",EmployeeData[[#This Row],[Age]]&gt;=60,"60s")</f>
        <v>20s</v>
      </c>
      <c r="G382" s="5">
        <v>44017</v>
      </c>
      <c r="H382" s="5">
        <v>45358</v>
      </c>
      <c r="I382" t="s">
        <v>34</v>
      </c>
      <c r="J382" t="s">
        <v>13</v>
      </c>
      <c r="K382" cm="1">
        <f t="array" aca="1" ref="K382" ca="1">_xlfn.IFS(EmployeeData[[#This Row],[Status]]="Active",_xlfn.DAYS(TODAY(),EmployeeData[[#This Row],[Join Date]]),EmployeeData[[#This Row],[Status]]="Exited",_xlfn.DAYS(EmployeeData[[#This Row],[Exit Date]],EmployeeData[[#This Row],[Join Date]]))</f>
        <v>1341</v>
      </c>
      <c r="L382" cm="1">
        <f t="array" aca="1" ref="L382" ca="1">_xlfn.IFS(EmployeeData[[#This Row],[Status]]="Exited",DATEDIF(EmployeeData[[#This Row],[Join Date]], EmployeeData[[#This Row],[Exit Date]], "Y"),EmployeeData[[#This Row],[Status]]="Active",DATEDIF(EmployeeData[[#This Row],[Join Date]], TODAY(), "Y"))</f>
        <v>3</v>
      </c>
      <c r="Q382" t="str" cm="1">
        <f t="array" aca="1" ref="Q3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2 days</v>
      </c>
    </row>
    <row r="383" spans="1:17" x14ac:dyDescent="0.3">
      <c r="A383">
        <v>1382</v>
      </c>
      <c r="B383" t="s">
        <v>1059</v>
      </c>
      <c r="C383" t="s">
        <v>33</v>
      </c>
      <c r="D383" t="s">
        <v>24</v>
      </c>
      <c r="E383">
        <v>34</v>
      </c>
      <c r="F383" t="str" cm="1">
        <f t="array" ref="F383">_xlfn.IFS(EmployeeData[[#This Row],[Age]]&lt;30,"20s",EmployeeData[[#This Row],[Age]]&lt;40,"30s",EmployeeData[[#This Row],[Age]]&lt;50,"40s",EmployeeData[[#This Row],[Age]]&lt;60,"50s",EmployeeData[[#This Row],[Age]]&gt;=60,"60s")</f>
        <v>30s</v>
      </c>
      <c r="G383" s="5">
        <v>45012</v>
      </c>
      <c r="H383" s="5">
        <v>46168</v>
      </c>
      <c r="I383" t="s">
        <v>52</v>
      </c>
      <c r="J383" t="s">
        <v>13</v>
      </c>
      <c r="K383" cm="1">
        <f t="array" aca="1" ref="K383" ca="1">_xlfn.IFS(EmployeeData[[#This Row],[Status]]="Active",_xlfn.DAYS(TODAY(),EmployeeData[[#This Row],[Join Date]]),EmployeeData[[#This Row],[Status]]="Exited",_xlfn.DAYS(EmployeeData[[#This Row],[Exit Date]],EmployeeData[[#This Row],[Join Date]]))</f>
        <v>1156</v>
      </c>
      <c r="L383" cm="1">
        <f t="array" aca="1" ref="L383" ca="1">_xlfn.IFS(EmployeeData[[#This Row],[Status]]="Exited",DATEDIF(EmployeeData[[#This Row],[Join Date]], EmployeeData[[#This Row],[Exit Date]], "Y"),EmployeeData[[#This Row],[Status]]="Active",DATEDIF(EmployeeData[[#This Row],[Join Date]], TODAY(), "Y"))</f>
        <v>3</v>
      </c>
      <c r="Q383" t="str" cm="1">
        <f t="array" aca="1" ref="Q3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29 days</v>
      </c>
    </row>
    <row r="384" spans="1:17" x14ac:dyDescent="0.3">
      <c r="A384">
        <v>1383</v>
      </c>
      <c r="B384" t="s">
        <v>628</v>
      </c>
      <c r="C384" t="s">
        <v>23</v>
      </c>
      <c r="D384" t="s">
        <v>24</v>
      </c>
      <c r="E384">
        <v>39</v>
      </c>
      <c r="F384" t="str" cm="1">
        <f t="array" ref="F384">_xlfn.IFS(EmployeeData[[#This Row],[Age]]&lt;30,"20s",EmployeeData[[#This Row],[Age]]&lt;40,"30s",EmployeeData[[#This Row],[Age]]&lt;50,"40s",EmployeeData[[#This Row],[Age]]&lt;60,"50s",EmployeeData[[#This Row],[Age]]&gt;=60,"60s")</f>
        <v>30s</v>
      </c>
      <c r="G384" s="5">
        <v>44323</v>
      </c>
      <c r="I384" t="s">
        <v>17</v>
      </c>
      <c r="J384" t="s">
        <v>18</v>
      </c>
      <c r="K384" cm="1">
        <f t="array" aca="1" ref="K384" ca="1">_xlfn.IFS(EmployeeData[[#This Row],[Status]]="Active",_xlfn.DAYS(TODAY(),EmployeeData[[#This Row],[Join Date]]),EmployeeData[[#This Row],[Status]]="Exited",_xlfn.DAYS(EmployeeData[[#This Row],[Exit Date]],EmployeeData[[#This Row],[Join Date]]))</f>
        <v>1874</v>
      </c>
      <c r="L384" cm="1">
        <f t="array" aca="1" ref="L384" ca="1">_xlfn.IFS(EmployeeData[[#This Row],[Status]]="Exited",DATEDIF(EmployeeData[[#This Row],[Join Date]], EmployeeData[[#This Row],[Exit Date]], "Y"),EmployeeData[[#This Row],[Status]]="Active",DATEDIF(EmployeeData[[#This Row],[Join Date]], TODAY(), "Y"))</f>
        <v>5</v>
      </c>
      <c r="Q384" t="str" cm="1">
        <f t="array" aca="1" ref="Q3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17 days</v>
      </c>
    </row>
    <row r="385" spans="1:17" x14ac:dyDescent="0.3">
      <c r="A385">
        <v>1384</v>
      </c>
      <c r="B385" t="s">
        <v>54</v>
      </c>
      <c r="C385" t="s">
        <v>20</v>
      </c>
      <c r="D385" t="s">
        <v>11</v>
      </c>
      <c r="E385">
        <v>37</v>
      </c>
      <c r="F385" t="str" cm="1">
        <f t="array" ref="F385">_xlfn.IFS(EmployeeData[[#This Row],[Age]]&lt;30,"20s",EmployeeData[[#This Row],[Age]]&lt;40,"30s",EmployeeData[[#This Row],[Age]]&lt;50,"40s",EmployeeData[[#This Row],[Age]]&lt;60,"50s",EmployeeData[[#This Row],[Age]]&gt;=60,"60s")</f>
        <v>30s</v>
      </c>
      <c r="G385" s="5">
        <v>45788</v>
      </c>
      <c r="I385" t="s">
        <v>17</v>
      </c>
      <c r="J385" t="s">
        <v>18</v>
      </c>
      <c r="K385" cm="1">
        <f t="array" aca="1" ref="K385" ca="1">_xlfn.IFS(EmployeeData[[#This Row],[Status]]="Active",_xlfn.DAYS(TODAY(),EmployeeData[[#This Row],[Join Date]]),EmployeeData[[#This Row],[Status]]="Exited",_xlfn.DAYS(EmployeeData[[#This Row],[Exit Date]],EmployeeData[[#This Row],[Join Date]]))</f>
        <v>409</v>
      </c>
      <c r="L385" cm="1">
        <f t="array" aca="1" ref="L385" ca="1">_xlfn.IFS(EmployeeData[[#This Row],[Status]]="Exited",DATEDIF(EmployeeData[[#This Row],[Join Date]], EmployeeData[[#This Row],[Exit Date]], "Y"),EmployeeData[[#This Row],[Status]]="Active",DATEDIF(EmployeeData[[#This Row],[Join Date]], TODAY(), "Y"))</f>
        <v>1</v>
      </c>
      <c r="Q385" t="str" cm="1">
        <f t="array" aca="1" ref="Q3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13 days</v>
      </c>
    </row>
    <row r="386" spans="1:17" x14ac:dyDescent="0.3">
      <c r="A386">
        <v>1385</v>
      </c>
      <c r="B386" t="s">
        <v>50</v>
      </c>
      <c r="C386" t="s">
        <v>33</v>
      </c>
      <c r="D386" t="s">
        <v>11</v>
      </c>
      <c r="E386">
        <v>46</v>
      </c>
      <c r="F386" t="str" cm="1">
        <f t="array" ref="F386">_xlfn.IFS(EmployeeData[[#This Row],[Age]]&lt;30,"20s",EmployeeData[[#This Row],[Age]]&lt;40,"30s",EmployeeData[[#This Row],[Age]]&lt;50,"40s",EmployeeData[[#This Row],[Age]]&lt;60,"50s",EmployeeData[[#This Row],[Age]]&gt;=60,"60s")</f>
        <v>40s</v>
      </c>
      <c r="G386" s="5">
        <v>45806</v>
      </c>
      <c r="H386" s="5">
        <v>45967</v>
      </c>
      <c r="I386" t="s">
        <v>34</v>
      </c>
      <c r="J386" t="s">
        <v>13</v>
      </c>
      <c r="K386" cm="1">
        <f t="array" aca="1" ref="K386" ca="1">_xlfn.IFS(EmployeeData[[#This Row],[Status]]="Active",_xlfn.DAYS(TODAY(),EmployeeData[[#This Row],[Join Date]]),EmployeeData[[#This Row],[Status]]="Exited",_xlfn.DAYS(EmployeeData[[#This Row],[Exit Date]],EmployeeData[[#This Row],[Join Date]]))</f>
        <v>161</v>
      </c>
      <c r="L386" cm="1">
        <f t="array" aca="1" ref="L386" ca="1">_xlfn.IFS(EmployeeData[[#This Row],[Status]]="Exited",DATEDIF(EmployeeData[[#This Row],[Join Date]], EmployeeData[[#This Row],[Exit Date]], "Y"),EmployeeData[[#This Row],[Status]]="Active",DATEDIF(EmployeeData[[#This Row],[Join Date]], TODAY(), "Y"))</f>
        <v>0</v>
      </c>
      <c r="Q386" t="str" cm="1">
        <f t="array" aca="1" ref="Q3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8 days</v>
      </c>
    </row>
    <row r="387" spans="1:17" x14ac:dyDescent="0.3">
      <c r="A387">
        <v>1386</v>
      </c>
      <c r="B387" t="s">
        <v>827</v>
      </c>
      <c r="C387" t="s">
        <v>10</v>
      </c>
      <c r="D387" t="s">
        <v>11</v>
      </c>
      <c r="E387">
        <v>58</v>
      </c>
      <c r="F387" t="str" cm="1">
        <f t="array" ref="F387">_xlfn.IFS(EmployeeData[[#This Row],[Age]]&lt;30,"20s",EmployeeData[[#This Row],[Age]]&lt;40,"30s",EmployeeData[[#This Row],[Age]]&lt;50,"40s",EmployeeData[[#This Row],[Age]]&lt;60,"50s",EmployeeData[[#This Row],[Age]]&gt;=60,"60s")</f>
        <v>50s</v>
      </c>
      <c r="G387" s="5">
        <v>46001</v>
      </c>
      <c r="I387" t="s">
        <v>17</v>
      </c>
      <c r="J387" t="s">
        <v>18</v>
      </c>
      <c r="K387" cm="1">
        <f t="array" aca="1" ref="K387" ca="1">_xlfn.IFS(EmployeeData[[#This Row],[Status]]="Active",_xlfn.DAYS(TODAY(),EmployeeData[[#This Row],[Join Date]]),EmployeeData[[#This Row],[Status]]="Exited",_xlfn.DAYS(EmployeeData[[#This Row],[Exit Date]],EmployeeData[[#This Row],[Join Date]]))</f>
        <v>196</v>
      </c>
      <c r="L387" cm="1">
        <f t="array" aca="1" ref="L387" ca="1">_xlfn.IFS(EmployeeData[[#This Row],[Status]]="Exited",DATEDIF(EmployeeData[[#This Row],[Join Date]], EmployeeData[[#This Row],[Exit Date]], "Y"),EmployeeData[[#This Row],[Status]]="Active",DATEDIF(EmployeeData[[#This Row],[Join Date]], TODAY(), "Y"))</f>
        <v>0</v>
      </c>
      <c r="Q387" t="str" cm="1">
        <f t="array" aca="1" ref="Q3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14 days</v>
      </c>
    </row>
    <row r="388" spans="1:17" x14ac:dyDescent="0.3">
      <c r="A388">
        <v>1387</v>
      </c>
      <c r="B388" t="s">
        <v>251</v>
      </c>
      <c r="C388" t="s">
        <v>15</v>
      </c>
      <c r="D388" t="s">
        <v>24</v>
      </c>
      <c r="E388">
        <v>51</v>
      </c>
      <c r="F388" t="str" cm="1">
        <f t="array" ref="F388">_xlfn.IFS(EmployeeData[[#This Row],[Age]]&lt;30,"20s",EmployeeData[[#This Row],[Age]]&lt;40,"30s",EmployeeData[[#This Row],[Age]]&lt;50,"40s",EmployeeData[[#This Row],[Age]]&lt;60,"50s",EmployeeData[[#This Row],[Age]]&gt;=60,"60s")</f>
        <v>50s</v>
      </c>
      <c r="G388" s="5">
        <v>45852</v>
      </c>
      <c r="H388" s="5">
        <v>46018</v>
      </c>
      <c r="I388" t="s">
        <v>52</v>
      </c>
      <c r="J388" t="s">
        <v>13</v>
      </c>
      <c r="K388" cm="1">
        <f t="array" aca="1" ref="K388" ca="1">_xlfn.IFS(EmployeeData[[#This Row],[Status]]="Active",_xlfn.DAYS(TODAY(),EmployeeData[[#This Row],[Join Date]]),EmployeeData[[#This Row],[Status]]="Exited",_xlfn.DAYS(EmployeeData[[#This Row],[Exit Date]],EmployeeData[[#This Row],[Join Date]]))</f>
        <v>166</v>
      </c>
      <c r="L388" cm="1">
        <f t="array" aca="1" ref="L388" ca="1">_xlfn.IFS(EmployeeData[[#This Row],[Status]]="Exited",DATEDIF(EmployeeData[[#This Row],[Join Date]], EmployeeData[[#This Row],[Exit Date]], "Y"),EmployeeData[[#This Row],[Status]]="Active",DATEDIF(EmployeeData[[#This Row],[Join Date]], TODAY(), "Y"))</f>
        <v>0</v>
      </c>
      <c r="Q388" t="str" cm="1">
        <f t="array" aca="1" ref="Q3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13 days</v>
      </c>
    </row>
    <row r="389" spans="1:17" x14ac:dyDescent="0.3">
      <c r="A389">
        <v>1388</v>
      </c>
      <c r="B389" t="s">
        <v>721</v>
      </c>
      <c r="C389" t="s">
        <v>15</v>
      </c>
      <c r="D389" t="s">
        <v>16</v>
      </c>
      <c r="E389">
        <v>56</v>
      </c>
      <c r="F389" t="str" cm="1">
        <f t="array" ref="F389">_xlfn.IFS(EmployeeData[[#This Row],[Age]]&lt;30,"20s",EmployeeData[[#This Row],[Age]]&lt;40,"30s",EmployeeData[[#This Row],[Age]]&lt;50,"40s",EmployeeData[[#This Row],[Age]]&lt;60,"50s",EmployeeData[[#This Row],[Age]]&gt;=60,"60s")</f>
        <v>50s</v>
      </c>
      <c r="G389" s="5">
        <v>43850</v>
      </c>
      <c r="I389" t="s">
        <v>17</v>
      </c>
      <c r="J389" t="s">
        <v>18</v>
      </c>
      <c r="K389" cm="1">
        <f t="array" aca="1" ref="K389" ca="1">_xlfn.IFS(EmployeeData[[#This Row],[Status]]="Active",_xlfn.DAYS(TODAY(),EmployeeData[[#This Row],[Join Date]]),EmployeeData[[#This Row],[Status]]="Exited",_xlfn.DAYS(EmployeeData[[#This Row],[Exit Date]],EmployeeData[[#This Row],[Join Date]]))</f>
        <v>2347</v>
      </c>
      <c r="L389" cm="1">
        <f t="array" aca="1" ref="L389" ca="1">_xlfn.IFS(EmployeeData[[#This Row],[Status]]="Exited",DATEDIF(EmployeeData[[#This Row],[Join Date]], EmployeeData[[#This Row],[Exit Date]], "Y"),EmployeeData[[#This Row],[Status]]="Active",DATEDIF(EmployeeData[[#This Row],[Join Date]], TODAY(), "Y"))</f>
        <v>6</v>
      </c>
      <c r="Q389" t="str" cm="1">
        <f t="array" aca="1" ref="Q3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4 days</v>
      </c>
    </row>
    <row r="390" spans="1:17" x14ac:dyDescent="0.3">
      <c r="A390">
        <v>1389</v>
      </c>
      <c r="B390" t="s">
        <v>863</v>
      </c>
      <c r="C390" t="s">
        <v>15</v>
      </c>
      <c r="D390" t="s">
        <v>11</v>
      </c>
      <c r="E390">
        <v>53</v>
      </c>
      <c r="F390" t="str" cm="1">
        <f t="array" ref="F390">_xlfn.IFS(EmployeeData[[#This Row],[Age]]&lt;30,"20s",EmployeeData[[#This Row],[Age]]&lt;40,"30s",EmployeeData[[#This Row],[Age]]&lt;50,"40s",EmployeeData[[#This Row],[Age]]&lt;60,"50s",EmployeeData[[#This Row],[Age]]&gt;=60,"60s")</f>
        <v>50s</v>
      </c>
      <c r="G390" s="5">
        <v>44458</v>
      </c>
      <c r="H390" s="5">
        <v>45747</v>
      </c>
      <c r="I390" t="s">
        <v>26</v>
      </c>
      <c r="J390" t="s">
        <v>13</v>
      </c>
      <c r="K390" cm="1">
        <f t="array" aca="1" ref="K390" ca="1">_xlfn.IFS(EmployeeData[[#This Row],[Status]]="Active",_xlfn.DAYS(TODAY(),EmployeeData[[#This Row],[Join Date]]),EmployeeData[[#This Row],[Status]]="Exited",_xlfn.DAYS(EmployeeData[[#This Row],[Exit Date]],EmployeeData[[#This Row],[Join Date]]))</f>
        <v>1289</v>
      </c>
      <c r="L390" cm="1">
        <f t="array" aca="1" ref="L390" ca="1">_xlfn.IFS(EmployeeData[[#This Row],[Status]]="Exited",DATEDIF(EmployeeData[[#This Row],[Join Date]], EmployeeData[[#This Row],[Exit Date]], "Y"),EmployeeData[[#This Row],[Status]]="Active",DATEDIF(EmployeeData[[#This Row],[Join Date]], TODAY(), "Y"))</f>
        <v>3</v>
      </c>
      <c r="Q390" t="str" cm="1">
        <f t="array" aca="1" ref="Q3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12 days</v>
      </c>
    </row>
    <row r="391" spans="1:17" x14ac:dyDescent="0.3">
      <c r="A391">
        <v>1390</v>
      </c>
      <c r="B391" t="s">
        <v>39</v>
      </c>
      <c r="C391" t="s">
        <v>23</v>
      </c>
      <c r="D391" t="s">
        <v>11</v>
      </c>
      <c r="E391">
        <v>25</v>
      </c>
      <c r="F391" t="str" cm="1">
        <f t="array" ref="F391">_xlfn.IFS(EmployeeData[[#This Row],[Age]]&lt;30,"20s",EmployeeData[[#This Row],[Age]]&lt;40,"30s",EmployeeData[[#This Row],[Age]]&lt;50,"40s",EmployeeData[[#This Row],[Age]]&lt;60,"50s",EmployeeData[[#This Row],[Age]]&gt;=60,"60s")</f>
        <v>20s</v>
      </c>
      <c r="G391" s="5">
        <v>45035</v>
      </c>
      <c r="I391" t="s">
        <v>17</v>
      </c>
      <c r="J391" t="s">
        <v>18</v>
      </c>
      <c r="K391" cm="1">
        <f t="array" aca="1" ref="K391" ca="1">_xlfn.IFS(EmployeeData[[#This Row],[Status]]="Active",_xlfn.DAYS(TODAY(),EmployeeData[[#This Row],[Join Date]]),EmployeeData[[#This Row],[Status]]="Exited",_xlfn.DAYS(EmployeeData[[#This Row],[Exit Date]],EmployeeData[[#This Row],[Join Date]]))</f>
        <v>1162</v>
      </c>
      <c r="L391" cm="1">
        <f t="array" aca="1" ref="L391" ca="1">_xlfn.IFS(EmployeeData[[#This Row],[Status]]="Exited",DATEDIF(EmployeeData[[#This Row],[Join Date]], EmployeeData[[#This Row],[Exit Date]], "Y"),EmployeeData[[#This Row],[Status]]="Active",DATEDIF(EmployeeData[[#This Row],[Join Date]], TODAY(), "Y"))</f>
        <v>3</v>
      </c>
      <c r="Q391" t="str" cm="1">
        <f t="array" aca="1" ref="Q3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5 days</v>
      </c>
    </row>
    <row r="392" spans="1:17" x14ac:dyDescent="0.3">
      <c r="A392">
        <v>1391</v>
      </c>
      <c r="B392" t="s">
        <v>267</v>
      </c>
      <c r="C392" t="s">
        <v>10</v>
      </c>
      <c r="D392" t="s">
        <v>16</v>
      </c>
      <c r="E392">
        <v>24</v>
      </c>
      <c r="F392" t="str" cm="1">
        <f t="array" ref="F392">_xlfn.IFS(EmployeeData[[#This Row],[Age]]&lt;30,"20s",EmployeeData[[#This Row],[Age]]&lt;40,"30s",EmployeeData[[#This Row],[Age]]&lt;50,"40s",EmployeeData[[#This Row],[Age]]&lt;60,"50s",EmployeeData[[#This Row],[Age]]&gt;=60,"60s")</f>
        <v>20s</v>
      </c>
      <c r="G392" s="5">
        <v>43718</v>
      </c>
      <c r="H392" s="5">
        <v>44628</v>
      </c>
      <c r="I392" t="s">
        <v>12</v>
      </c>
      <c r="J392" t="s">
        <v>13</v>
      </c>
      <c r="K392" cm="1">
        <f t="array" aca="1" ref="K392" ca="1">_xlfn.IFS(EmployeeData[[#This Row],[Status]]="Active",_xlfn.DAYS(TODAY(),EmployeeData[[#This Row],[Join Date]]),EmployeeData[[#This Row],[Status]]="Exited",_xlfn.DAYS(EmployeeData[[#This Row],[Exit Date]],EmployeeData[[#This Row],[Join Date]]))</f>
        <v>910</v>
      </c>
      <c r="L392" cm="1">
        <f t="array" aca="1" ref="L392" ca="1">_xlfn.IFS(EmployeeData[[#This Row],[Status]]="Exited",DATEDIF(EmployeeData[[#This Row],[Join Date]], EmployeeData[[#This Row],[Exit Date]], "Y"),EmployeeData[[#This Row],[Status]]="Active",DATEDIF(EmployeeData[[#This Row],[Join Date]], TODAY(), "Y"))</f>
        <v>2</v>
      </c>
      <c r="Q392" t="str" cm="1">
        <f t="array" aca="1" ref="Q3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26 days</v>
      </c>
    </row>
    <row r="393" spans="1:17" x14ac:dyDescent="0.3">
      <c r="A393">
        <v>1392</v>
      </c>
      <c r="B393" t="s">
        <v>511</v>
      </c>
      <c r="C393" t="s">
        <v>20</v>
      </c>
      <c r="D393" t="s">
        <v>24</v>
      </c>
      <c r="E393">
        <v>32</v>
      </c>
      <c r="F393" t="str" cm="1">
        <f t="array" ref="F393">_xlfn.IFS(EmployeeData[[#This Row],[Age]]&lt;30,"20s",EmployeeData[[#This Row],[Age]]&lt;40,"30s",EmployeeData[[#This Row],[Age]]&lt;50,"40s",EmployeeData[[#This Row],[Age]]&lt;60,"50s",EmployeeData[[#This Row],[Age]]&gt;=60,"60s")</f>
        <v>30s</v>
      </c>
      <c r="G393" s="5">
        <v>44384</v>
      </c>
      <c r="I393" t="s">
        <v>17</v>
      </c>
      <c r="J393" t="s">
        <v>18</v>
      </c>
      <c r="K393" cm="1">
        <f t="array" aca="1" ref="K393" ca="1">_xlfn.IFS(EmployeeData[[#This Row],[Status]]="Active",_xlfn.DAYS(TODAY(),EmployeeData[[#This Row],[Join Date]]),EmployeeData[[#This Row],[Status]]="Exited",_xlfn.DAYS(EmployeeData[[#This Row],[Exit Date]],EmployeeData[[#This Row],[Join Date]]))</f>
        <v>1813</v>
      </c>
      <c r="L393" cm="1">
        <f t="array" aca="1" ref="L393" ca="1">_xlfn.IFS(EmployeeData[[#This Row],[Status]]="Exited",DATEDIF(EmployeeData[[#This Row],[Join Date]], EmployeeData[[#This Row],[Exit Date]], "Y"),EmployeeData[[#This Row],[Status]]="Active",DATEDIF(EmployeeData[[#This Row],[Join Date]], TODAY(), "Y"))</f>
        <v>4</v>
      </c>
      <c r="Q393" t="str" cm="1">
        <f t="array" aca="1" ref="Q3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11 months 17 days</v>
      </c>
    </row>
    <row r="394" spans="1:17" x14ac:dyDescent="0.3">
      <c r="A394">
        <v>1393</v>
      </c>
      <c r="B394" t="s">
        <v>683</v>
      </c>
      <c r="C394" t="s">
        <v>23</v>
      </c>
      <c r="D394" t="s">
        <v>16</v>
      </c>
      <c r="E394">
        <v>26</v>
      </c>
      <c r="F394" t="str" cm="1">
        <f t="array" ref="F394">_xlfn.IFS(EmployeeData[[#This Row],[Age]]&lt;30,"20s",EmployeeData[[#This Row],[Age]]&lt;40,"30s",EmployeeData[[#This Row],[Age]]&lt;50,"40s",EmployeeData[[#This Row],[Age]]&lt;60,"50s",EmployeeData[[#This Row],[Age]]&gt;=60,"60s")</f>
        <v>20s</v>
      </c>
      <c r="G394" s="5">
        <v>43631</v>
      </c>
      <c r="I394" t="s">
        <v>17</v>
      </c>
      <c r="J394" t="s">
        <v>18</v>
      </c>
      <c r="K394" cm="1">
        <f t="array" aca="1" ref="K394" ca="1">_xlfn.IFS(EmployeeData[[#This Row],[Status]]="Active",_xlfn.DAYS(TODAY(),EmployeeData[[#This Row],[Join Date]]),EmployeeData[[#This Row],[Status]]="Exited",_xlfn.DAYS(EmployeeData[[#This Row],[Exit Date]],EmployeeData[[#This Row],[Join Date]]))</f>
        <v>2566</v>
      </c>
      <c r="L394" cm="1">
        <f t="array" aca="1" ref="L394" ca="1">_xlfn.IFS(EmployeeData[[#This Row],[Status]]="Exited",DATEDIF(EmployeeData[[#This Row],[Join Date]], EmployeeData[[#This Row],[Exit Date]], "Y"),EmployeeData[[#This Row],[Status]]="Active",DATEDIF(EmployeeData[[#This Row],[Join Date]], TODAY(), "Y"))</f>
        <v>7</v>
      </c>
      <c r="Q394" t="str" cm="1">
        <f t="array" aca="1" ref="Q3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0 months 9 days</v>
      </c>
    </row>
    <row r="395" spans="1:17" x14ac:dyDescent="0.3">
      <c r="A395">
        <v>1394</v>
      </c>
      <c r="B395" t="s">
        <v>627</v>
      </c>
      <c r="C395" t="s">
        <v>10</v>
      </c>
      <c r="D395" t="s">
        <v>16</v>
      </c>
      <c r="E395">
        <v>33</v>
      </c>
      <c r="F395" t="str" cm="1">
        <f t="array" ref="F395">_xlfn.IFS(EmployeeData[[#This Row],[Age]]&lt;30,"20s",EmployeeData[[#This Row],[Age]]&lt;40,"30s",EmployeeData[[#This Row],[Age]]&lt;50,"40s",EmployeeData[[#This Row],[Age]]&lt;60,"50s",EmployeeData[[#This Row],[Age]]&gt;=60,"60s")</f>
        <v>30s</v>
      </c>
      <c r="G395" s="5">
        <v>44629</v>
      </c>
      <c r="I395" t="s">
        <v>17</v>
      </c>
      <c r="J395" t="s">
        <v>18</v>
      </c>
      <c r="K395" cm="1">
        <f t="array" aca="1" ref="K395" ca="1">_xlfn.IFS(EmployeeData[[#This Row],[Status]]="Active",_xlfn.DAYS(TODAY(),EmployeeData[[#This Row],[Join Date]]),EmployeeData[[#This Row],[Status]]="Exited",_xlfn.DAYS(EmployeeData[[#This Row],[Exit Date]],EmployeeData[[#This Row],[Join Date]]))</f>
        <v>1568</v>
      </c>
      <c r="L395" cm="1">
        <f t="array" aca="1" ref="L395" ca="1">_xlfn.IFS(EmployeeData[[#This Row],[Status]]="Exited",DATEDIF(EmployeeData[[#This Row],[Join Date]], EmployeeData[[#This Row],[Exit Date]], "Y"),EmployeeData[[#This Row],[Status]]="Active",DATEDIF(EmployeeData[[#This Row],[Join Date]], TODAY(), "Y"))</f>
        <v>4</v>
      </c>
      <c r="Q395" t="str" cm="1">
        <f t="array" aca="1" ref="Q3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15 days</v>
      </c>
    </row>
    <row r="396" spans="1:17" x14ac:dyDescent="0.3">
      <c r="A396">
        <v>1395</v>
      </c>
      <c r="B396" t="s">
        <v>758</v>
      </c>
      <c r="C396" t="s">
        <v>23</v>
      </c>
      <c r="D396" t="s">
        <v>16</v>
      </c>
      <c r="E396">
        <v>43</v>
      </c>
      <c r="F396" t="str" cm="1">
        <f t="array" ref="F396">_xlfn.IFS(EmployeeData[[#This Row],[Age]]&lt;30,"20s",EmployeeData[[#This Row],[Age]]&lt;40,"30s",EmployeeData[[#This Row],[Age]]&lt;50,"40s",EmployeeData[[#This Row],[Age]]&lt;60,"50s",EmployeeData[[#This Row],[Age]]&gt;=60,"60s")</f>
        <v>40s</v>
      </c>
      <c r="G396" s="5">
        <v>44379</v>
      </c>
      <c r="H396" s="5">
        <v>45254</v>
      </c>
      <c r="I396" t="s">
        <v>65</v>
      </c>
      <c r="J396" t="s">
        <v>13</v>
      </c>
      <c r="K396" cm="1">
        <f t="array" aca="1" ref="K396" ca="1">_xlfn.IFS(EmployeeData[[#This Row],[Status]]="Active",_xlfn.DAYS(TODAY(),EmployeeData[[#This Row],[Join Date]]),EmployeeData[[#This Row],[Status]]="Exited",_xlfn.DAYS(EmployeeData[[#This Row],[Exit Date]],EmployeeData[[#This Row],[Join Date]]))</f>
        <v>875</v>
      </c>
      <c r="L396" cm="1">
        <f t="array" aca="1" ref="L396" ca="1">_xlfn.IFS(EmployeeData[[#This Row],[Status]]="Exited",DATEDIF(EmployeeData[[#This Row],[Join Date]], EmployeeData[[#This Row],[Exit Date]], "Y"),EmployeeData[[#This Row],[Status]]="Active",DATEDIF(EmployeeData[[#This Row],[Join Date]], TODAY(), "Y"))</f>
        <v>2</v>
      </c>
      <c r="Q396" t="str" cm="1">
        <f t="array" aca="1" ref="Q3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22 days</v>
      </c>
    </row>
    <row r="397" spans="1:17" x14ac:dyDescent="0.3">
      <c r="A397">
        <v>1396</v>
      </c>
      <c r="B397" t="s">
        <v>917</v>
      </c>
      <c r="C397" t="s">
        <v>10</v>
      </c>
      <c r="D397" t="s">
        <v>16</v>
      </c>
      <c r="E397">
        <v>54</v>
      </c>
      <c r="F397" t="str" cm="1">
        <f t="array" ref="F397">_xlfn.IFS(EmployeeData[[#This Row],[Age]]&lt;30,"20s",EmployeeData[[#This Row],[Age]]&lt;40,"30s",EmployeeData[[#This Row],[Age]]&lt;50,"40s",EmployeeData[[#This Row],[Age]]&lt;60,"50s",EmployeeData[[#This Row],[Age]]&gt;=60,"60s")</f>
        <v>50s</v>
      </c>
      <c r="G397" s="5">
        <v>45543</v>
      </c>
      <c r="I397" t="s">
        <v>17</v>
      </c>
      <c r="J397" t="s">
        <v>18</v>
      </c>
      <c r="K397" cm="1">
        <f t="array" aca="1" ref="K397" ca="1">_xlfn.IFS(EmployeeData[[#This Row],[Status]]="Active",_xlfn.DAYS(TODAY(),EmployeeData[[#This Row],[Join Date]]),EmployeeData[[#This Row],[Status]]="Exited",_xlfn.DAYS(EmployeeData[[#This Row],[Exit Date]],EmployeeData[[#This Row],[Join Date]]))</f>
        <v>654</v>
      </c>
      <c r="L397" cm="1">
        <f t="array" aca="1" ref="L397" ca="1">_xlfn.IFS(EmployeeData[[#This Row],[Status]]="Exited",DATEDIF(EmployeeData[[#This Row],[Join Date]], EmployeeData[[#This Row],[Exit Date]], "Y"),EmployeeData[[#This Row],[Status]]="Active",DATEDIF(EmployeeData[[#This Row],[Join Date]], TODAY(), "Y"))</f>
        <v>1</v>
      </c>
      <c r="Q397" t="str" cm="1">
        <f t="array" aca="1" ref="Q3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16 days</v>
      </c>
    </row>
    <row r="398" spans="1:17" x14ac:dyDescent="0.3">
      <c r="A398">
        <v>1397</v>
      </c>
      <c r="B398" t="s">
        <v>407</v>
      </c>
      <c r="C398" t="s">
        <v>10</v>
      </c>
      <c r="D398" t="s">
        <v>11</v>
      </c>
      <c r="E398">
        <v>43</v>
      </c>
      <c r="F398" t="str" cm="1">
        <f t="array" ref="F398">_xlfn.IFS(EmployeeData[[#This Row],[Age]]&lt;30,"20s",EmployeeData[[#This Row],[Age]]&lt;40,"30s",EmployeeData[[#This Row],[Age]]&lt;50,"40s",EmployeeData[[#This Row],[Age]]&lt;60,"50s",EmployeeData[[#This Row],[Age]]&gt;=60,"60s")</f>
        <v>40s</v>
      </c>
      <c r="G398" s="5">
        <v>43872</v>
      </c>
      <c r="H398" s="5">
        <v>45614</v>
      </c>
      <c r="I398" t="s">
        <v>31</v>
      </c>
      <c r="J398" t="s">
        <v>13</v>
      </c>
      <c r="K398" cm="1">
        <f t="array" aca="1" ref="K398" ca="1">_xlfn.IFS(EmployeeData[[#This Row],[Status]]="Active",_xlfn.DAYS(TODAY(),EmployeeData[[#This Row],[Join Date]]),EmployeeData[[#This Row],[Status]]="Exited",_xlfn.DAYS(EmployeeData[[#This Row],[Exit Date]],EmployeeData[[#This Row],[Join Date]]))</f>
        <v>1742</v>
      </c>
      <c r="L398" cm="1">
        <f t="array" aca="1" ref="L398" ca="1">_xlfn.IFS(EmployeeData[[#This Row],[Status]]="Exited",DATEDIF(EmployeeData[[#This Row],[Join Date]], EmployeeData[[#This Row],[Exit Date]], "Y"),EmployeeData[[#This Row],[Status]]="Active",DATEDIF(EmployeeData[[#This Row],[Join Date]], TODAY(), "Y"))</f>
        <v>4</v>
      </c>
      <c r="Q398" t="str" cm="1">
        <f t="array" aca="1" ref="Q3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7 days</v>
      </c>
    </row>
    <row r="399" spans="1:17" x14ac:dyDescent="0.3">
      <c r="A399">
        <v>1398</v>
      </c>
      <c r="B399" t="s">
        <v>263</v>
      </c>
      <c r="C399" t="s">
        <v>15</v>
      </c>
      <c r="D399" t="s">
        <v>16</v>
      </c>
      <c r="E399">
        <v>53</v>
      </c>
      <c r="F399" t="str" cm="1">
        <f t="array" ref="F399">_xlfn.IFS(EmployeeData[[#This Row],[Age]]&lt;30,"20s",EmployeeData[[#This Row],[Age]]&lt;40,"30s",EmployeeData[[#This Row],[Age]]&lt;50,"40s",EmployeeData[[#This Row],[Age]]&lt;60,"50s",EmployeeData[[#This Row],[Age]]&gt;=60,"60s")</f>
        <v>50s</v>
      </c>
      <c r="G399" s="5">
        <v>43793</v>
      </c>
      <c r="H399" s="5">
        <v>44036</v>
      </c>
      <c r="I399" t="s">
        <v>12</v>
      </c>
      <c r="J399" t="s">
        <v>13</v>
      </c>
      <c r="K399" cm="1">
        <f t="array" aca="1" ref="K399" ca="1">_xlfn.IFS(EmployeeData[[#This Row],[Status]]="Active",_xlfn.DAYS(TODAY(),EmployeeData[[#This Row],[Join Date]]),EmployeeData[[#This Row],[Status]]="Exited",_xlfn.DAYS(EmployeeData[[#This Row],[Exit Date]],EmployeeData[[#This Row],[Join Date]]))</f>
        <v>243</v>
      </c>
      <c r="L399" cm="1">
        <f t="array" aca="1" ref="L399" ca="1">_xlfn.IFS(EmployeeData[[#This Row],[Status]]="Exited",DATEDIF(EmployeeData[[#This Row],[Join Date]], EmployeeData[[#This Row],[Exit Date]], "Y"),EmployeeData[[#This Row],[Status]]="Active",DATEDIF(EmployeeData[[#This Row],[Join Date]], TODAY(), "Y"))</f>
        <v>0</v>
      </c>
      <c r="Q399" t="str" cm="1">
        <f t="array" aca="1" ref="Q3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0 days</v>
      </c>
    </row>
    <row r="400" spans="1:17" x14ac:dyDescent="0.3">
      <c r="A400">
        <v>1399</v>
      </c>
      <c r="B400" t="s">
        <v>690</v>
      </c>
      <c r="C400" t="s">
        <v>23</v>
      </c>
      <c r="D400" t="s">
        <v>16</v>
      </c>
      <c r="E400">
        <v>27</v>
      </c>
      <c r="F400" t="str" cm="1">
        <f t="array" ref="F400">_xlfn.IFS(EmployeeData[[#This Row],[Age]]&lt;30,"20s",EmployeeData[[#This Row],[Age]]&lt;40,"30s",EmployeeData[[#This Row],[Age]]&lt;50,"40s",EmployeeData[[#This Row],[Age]]&lt;60,"50s",EmployeeData[[#This Row],[Age]]&gt;=60,"60s")</f>
        <v>20s</v>
      </c>
      <c r="G400" s="5">
        <v>45778</v>
      </c>
      <c r="I400" t="s">
        <v>17</v>
      </c>
      <c r="J400" t="s">
        <v>18</v>
      </c>
      <c r="K400" cm="1">
        <f t="array" aca="1" ref="K400" ca="1">_xlfn.IFS(EmployeeData[[#This Row],[Status]]="Active",_xlfn.DAYS(TODAY(),EmployeeData[[#This Row],[Join Date]]),EmployeeData[[#This Row],[Status]]="Exited",_xlfn.DAYS(EmployeeData[[#This Row],[Exit Date]],EmployeeData[[#This Row],[Join Date]]))</f>
        <v>419</v>
      </c>
      <c r="L400" cm="1">
        <f t="array" aca="1" ref="L400" ca="1">_xlfn.IFS(EmployeeData[[#This Row],[Status]]="Exited",DATEDIF(EmployeeData[[#This Row],[Join Date]], EmployeeData[[#This Row],[Exit Date]], "Y"),EmployeeData[[#This Row],[Status]]="Active",DATEDIF(EmployeeData[[#This Row],[Join Date]], TODAY(), "Y"))</f>
        <v>1</v>
      </c>
      <c r="Q400" t="str" cm="1">
        <f t="array" aca="1" ref="Q4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23 days</v>
      </c>
    </row>
    <row r="401" spans="1:17" x14ac:dyDescent="0.3">
      <c r="A401">
        <v>1400</v>
      </c>
      <c r="B401" t="s">
        <v>435</v>
      </c>
      <c r="C401" t="s">
        <v>10</v>
      </c>
      <c r="D401" t="s">
        <v>24</v>
      </c>
      <c r="E401">
        <v>51</v>
      </c>
      <c r="F401" t="str" cm="1">
        <f t="array" ref="F401">_xlfn.IFS(EmployeeData[[#This Row],[Age]]&lt;30,"20s",EmployeeData[[#This Row],[Age]]&lt;40,"30s",EmployeeData[[#This Row],[Age]]&lt;50,"40s",EmployeeData[[#This Row],[Age]]&lt;60,"50s",EmployeeData[[#This Row],[Age]]&gt;=60,"60s")</f>
        <v>50s</v>
      </c>
      <c r="G401" s="5">
        <v>45975</v>
      </c>
      <c r="H401" s="5">
        <v>46153</v>
      </c>
      <c r="I401" t="s">
        <v>34</v>
      </c>
      <c r="J401" t="s">
        <v>13</v>
      </c>
      <c r="K401" cm="1">
        <f t="array" aca="1" ref="K401" ca="1">_xlfn.IFS(EmployeeData[[#This Row],[Status]]="Active",_xlfn.DAYS(TODAY(),EmployeeData[[#This Row],[Join Date]]),EmployeeData[[#This Row],[Status]]="Exited",_xlfn.DAYS(EmployeeData[[#This Row],[Exit Date]],EmployeeData[[#This Row],[Join Date]]))</f>
        <v>178</v>
      </c>
      <c r="L401" cm="1">
        <f t="array" aca="1" ref="L401" ca="1">_xlfn.IFS(EmployeeData[[#This Row],[Status]]="Exited",DATEDIF(EmployeeData[[#This Row],[Join Date]], EmployeeData[[#This Row],[Exit Date]], "Y"),EmployeeData[[#This Row],[Status]]="Active",DATEDIF(EmployeeData[[#This Row],[Join Date]], TODAY(), "Y"))</f>
        <v>0</v>
      </c>
      <c r="Q401" t="str" cm="1">
        <f t="array" aca="1" ref="Q4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27 days</v>
      </c>
    </row>
    <row r="402" spans="1:17" x14ac:dyDescent="0.3">
      <c r="A402">
        <v>1401</v>
      </c>
      <c r="B402" t="s">
        <v>840</v>
      </c>
      <c r="C402" t="s">
        <v>20</v>
      </c>
      <c r="D402" t="s">
        <v>16</v>
      </c>
      <c r="E402">
        <v>29</v>
      </c>
      <c r="F402" t="str" cm="1">
        <f t="array" ref="F402">_xlfn.IFS(EmployeeData[[#This Row],[Age]]&lt;30,"20s",EmployeeData[[#This Row],[Age]]&lt;40,"30s",EmployeeData[[#This Row],[Age]]&lt;50,"40s",EmployeeData[[#This Row],[Age]]&lt;60,"50s",EmployeeData[[#This Row],[Age]]&gt;=60,"60s")</f>
        <v>20s</v>
      </c>
      <c r="G402" s="5">
        <v>44816</v>
      </c>
      <c r="I402" t="s">
        <v>17</v>
      </c>
      <c r="J402" t="s">
        <v>18</v>
      </c>
      <c r="K402" cm="1">
        <f t="array" aca="1" ref="K402" ca="1">_xlfn.IFS(EmployeeData[[#This Row],[Status]]="Active",_xlfn.DAYS(TODAY(),EmployeeData[[#This Row],[Join Date]]),EmployeeData[[#This Row],[Status]]="Exited",_xlfn.DAYS(EmployeeData[[#This Row],[Exit Date]],EmployeeData[[#This Row],[Join Date]]))</f>
        <v>1381</v>
      </c>
      <c r="L402" cm="1">
        <f t="array" aca="1" ref="L402" ca="1">_xlfn.IFS(EmployeeData[[#This Row],[Status]]="Exited",DATEDIF(EmployeeData[[#This Row],[Join Date]], EmployeeData[[#This Row],[Exit Date]], "Y"),EmployeeData[[#This Row],[Status]]="Active",DATEDIF(EmployeeData[[#This Row],[Join Date]], TODAY(), "Y"))</f>
        <v>3</v>
      </c>
      <c r="Q402" t="str" cm="1">
        <f t="array" aca="1" ref="Q4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12 days</v>
      </c>
    </row>
    <row r="403" spans="1:17" x14ac:dyDescent="0.3">
      <c r="A403">
        <v>1402</v>
      </c>
      <c r="B403" t="s">
        <v>169</v>
      </c>
      <c r="C403" t="s">
        <v>15</v>
      </c>
      <c r="D403" t="s">
        <v>16</v>
      </c>
      <c r="E403">
        <v>27</v>
      </c>
      <c r="F403" t="str" cm="1">
        <f t="array" ref="F403">_xlfn.IFS(EmployeeData[[#This Row],[Age]]&lt;30,"20s",EmployeeData[[#This Row],[Age]]&lt;40,"30s",EmployeeData[[#This Row],[Age]]&lt;50,"40s",EmployeeData[[#This Row],[Age]]&lt;60,"50s",EmployeeData[[#This Row],[Age]]&gt;=60,"60s")</f>
        <v>20s</v>
      </c>
      <c r="G403" s="5">
        <v>45139</v>
      </c>
      <c r="H403" s="5">
        <v>45433</v>
      </c>
      <c r="I403" t="s">
        <v>34</v>
      </c>
      <c r="J403" t="s">
        <v>13</v>
      </c>
      <c r="K403" cm="1">
        <f t="array" aca="1" ref="K403" ca="1">_xlfn.IFS(EmployeeData[[#This Row],[Status]]="Active",_xlfn.DAYS(TODAY(),EmployeeData[[#This Row],[Join Date]]),EmployeeData[[#This Row],[Status]]="Exited",_xlfn.DAYS(EmployeeData[[#This Row],[Exit Date]],EmployeeData[[#This Row],[Join Date]]))</f>
        <v>294</v>
      </c>
      <c r="L403" cm="1">
        <f t="array" aca="1" ref="L403" ca="1">_xlfn.IFS(EmployeeData[[#This Row],[Status]]="Exited",DATEDIF(EmployeeData[[#This Row],[Join Date]], EmployeeData[[#This Row],[Exit Date]], "Y"),EmployeeData[[#This Row],[Status]]="Active",DATEDIF(EmployeeData[[#This Row],[Join Date]], TODAY(), "Y"))</f>
        <v>0</v>
      </c>
      <c r="Q403" t="str" cm="1">
        <f t="array" aca="1" ref="Q4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20 days</v>
      </c>
    </row>
    <row r="404" spans="1:17" x14ac:dyDescent="0.3">
      <c r="A404">
        <v>1403</v>
      </c>
      <c r="B404" t="s">
        <v>726</v>
      </c>
      <c r="C404" t="s">
        <v>10</v>
      </c>
      <c r="D404" t="s">
        <v>16</v>
      </c>
      <c r="E404">
        <v>52</v>
      </c>
      <c r="F404" t="str" cm="1">
        <f t="array" ref="F404">_xlfn.IFS(EmployeeData[[#This Row],[Age]]&lt;30,"20s",EmployeeData[[#This Row],[Age]]&lt;40,"30s",EmployeeData[[#This Row],[Age]]&lt;50,"40s",EmployeeData[[#This Row],[Age]]&lt;60,"50s",EmployeeData[[#This Row],[Age]]&gt;=60,"60s")</f>
        <v>50s</v>
      </c>
      <c r="G404" s="5">
        <v>43951</v>
      </c>
      <c r="I404" t="s">
        <v>17</v>
      </c>
      <c r="J404" t="s">
        <v>18</v>
      </c>
      <c r="K404" cm="1">
        <f t="array" aca="1" ref="K404" ca="1">_xlfn.IFS(EmployeeData[[#This Row],[Status]]="Active",_xlfn.DAYS(TODAY(),EmployeeData[[#This Row],[Join Date]]),EmployeeData[[#This Row],[Status]]="Exited",_xlfn.DAYS(EmployeeData[[#This Row],[Exit Date]],EmployeeData[[#This Row],[Join Date]]))</f>
        <v>2246</v>
      </c>
      <c r="L404" cm="1">
        <f t="array" aca="1" ref="L404" ca="1">_xlfn.IFS(EmployeeData[[#This Row],[Status]]="Exited",DATEDIF(EmployeeData[[#This Row],[Join Date]], EmployeeData[[#This Row],[Exit Date]], "Y"),EmployeeData[[#This Row],[Status]]="Active",DATEDIF(EmployeeData[[#This Row],[Join Date]], TODAY(), "Y"))</f>
        <v>6</v>
      </c>
      <c r="Q404" t="str" cm="1">
        <f t="array" aca="1" ref="Q4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25 days</v>
      </c>
    </row>
    <row r="405" spans="1:17" x14ac:dyDescent="0.3">
      <c r="A405">
        <v>1404</v>
      </c>
      <c r="B405" t="s">
        <v>97</v>
      </c>
      <c r="C405" t="s">
        <v>20</v>
      </c>
      <c r="D405" t="s">
        <v>11</v>
      </c>
      <c r="E405">
        <v>57</v>
      </c>
      <c r="F405" t="str" cm="1">
        <f t="array" ref="F405">_xlfn.IFS(EmployeeData[[#This Row],[Age]]&lt;30,"20s",EmployeeData[[#This Row],[Age]]&lt;40,"30s",EmployeeData[[#This Row],[Age]]&lt;50,"40s",EmployeeData[[#This Row],[Age]]&lt;60,"50s",EmployeeData[[#This Row],[Age]]&gt;=60,"60s")</f>
        <v>50s</v>
      </c>
      <c r="G405" s="5">
        <v>45841</v>
      </c>
      <c r="I405" t="s">
        <v>17</v>
      </c>
      <c r="J405" t="s">
        <v>18</v>
      </c>
      <c r="K405" cm="1">
        <f t="array" aca="1" ref="K405" ca="1">_xlfn.IFS(EmployeeData[[#This Row],[Status]]="Active",_xlfn.DAYS(TODAY(),EmployeeData[[#This Row],[Join Date]]),EmployeeData[[#This Row],[Status]]="Exited",_xlfn.DAYS(EmployeeData[[#This Row],[Exit Date]],EmployeeData[[#This Row],[Join Date]]))</f>
        <v>356</v>
      </c>
      <c r="L405" cm="1">
        <f t="array" aca="1" ref="L405" ca="1">_xlfn.IFS(EmployeeData[[#This Row],[Status]]="Exited",DATEDIF(EmployeeData[[#This Row],[Join Date]], EmployeeData[[#This Row],[Exit Date]], "Y"),EmployeeData[[#This Row],[Status]]="Active",DATEDIF(EmployeeData[[#This Row],[Join Date]], TODAY(), "Y"))</f>
        <v>0</v>
      </c>
      <c r="Q405" t="str" cm="1">
        <f t="array" aca="1" ref="Q4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21 days</v>
      </c>
    </row>
    <row r="406" spans="1:17" x14ac:dyDescent="0.3">
      <c r="A406">
        <v>1405</v>
      </c>
      <c r="B406" t="s">
        <v>887</v>
      </c>
      <c r="C406" t="s">
        <v>46</v>
      </c>
      <c r="D406" t="s">
        <v>24</v>
      </c>
      <c r="E406">
        <v>50</v>
      </c>
      <c r="F406" t="str" cm="1">
        <f t="array" ref="F406">_xlfn.IFS(EmployeeData[[#This Row],[Age]]&lt;30,"20s",EmployeeData[[#This Row],[Age]]&lt;40,"30s",EmployeeData[[#This Row],[Age]]&lt;50,"40s",EmployeeData[[#This Row],[Age]]&lt;60,"50s",EmployeeData[[#This Row],[Age]]&gt;=60,"60s")</f>
        <v>50s</v>
      </c>
      <c r="G406" s="5">
        <v>44313</v>
      </c>
      <c r="H406" s="5">
        <v>44505</v>
      </c>
      <c r="I406" t="s">
        <v>31</v>
      </c>
      <c r="J406" t="s">
        <v>13</v>
      </c>
      <c r="K406" cm="1">
        <f t="array" aca="1" ref="K406" ca="1">_xlfn.IFS(EmployeeData[[#This Row],[Status]]="Active",_xlfn.DAYS(TODAY(),EmployeeData[[#This Row],[Join Date]]),EmployeeData[[#This Row],[Status]]="Exited",_xlfn.DAYS(EmployeeData[[#This Row],[Exit Date]],EmployeeData[[#This Row],[Join Date]]))</f>
        <v>192</v>
      </c>
      <c r="L406" cm="1">
        <f t="array" aca="1" ref="L406" ca="1">_xlfn.IFS(EmployeeData[[#This Row],[Status]]="Exited",DATEDIF(EmployeeData[[#This Row],[Join Date]], EmployeeData[[#This Row],[Exit Date]], "Y"),EmployeeData[[#This Row],[Status]]="Active",DATEDIF(EmployeeData[[#This Row],[Join Date]], TODAY(), "Y"))</f>
        <v>0</v>
      </c>
      <c r="Q406" t="str" cm="1">
        <f t="array" aca="1" ref="Q4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9 days</v>
      </c>
    </row>
    <row r="407" spans="1:17" x14ac:dyDescent="0.3">
      <c r="A407">
        <v>1406</v>
      </c>
      <c r="B407" t="s">
        <v>44</v>
      </c>
      <c r="C407" t="s">
        <v>10</v>
      </c>
      <c r="D407" t="s">
        <v>24</v>
      </c>
      <c r="E407">
        <v>48</v>
      </c>
      <c r="F407" t="str" cm="1">
        <f t="array" ref="F407">_xlfn.IFS(EmployeeData[[#This Row],[Age]]&lt;30,"20s",EmployeeData[[#This Row],[Age]]&lt;40,"30s",EmployeeData[[#This Row],[Age]]&lt;50,"40s",EmployeeData[[#This Row],[Age]]&lt;60,"50s",EmployeeData[[#This Row],[Age]]&gt;=60,"60s")</f>
        <v>40s</v>
      </c>
      <c r="G407" s="5">
        <v>43575</v>
      </c>
      <c r="H407" s="5">
        <v>43852</v>
      </c>
      <c r="I407" t="s">
        <v>31</v>
      </c>
      <c r="J407" t="s">
        <v>13</v>
      </c>
      <c r="K407" cm="1">
        <f t="array" aca="1" ref="K407" ca="1">_xlfn.IFS(EmployeeData[[#This Row],[Status]]="Active",_xlfn.DAYS(TODAY(),EmployeeData[[#This Row],[Join Date]]),EmployeeData[[#This Row],[Status]]="Exited",_xlfn.DAYS(EmployeeData[[#This Row],[Exit Date]],EmployeeData[[#This Row],[Join Date]]))</f>
        <v>277</v>
      </c>
      <c r="L407" cm="1">
        <f t="array" aca="1" ref="L407" ca="1">_xlfn.IFS(EmployeeData[[#This Row],[Status]]="Exited",DATEDIF(EmployeeData[[#This Row],[Join Date]], EmployeeData[[#This Row],[Exit Date]], "Y"),EmployeeData[[#This Row],[Status]]="Active",DATEDIF(EmployeeData[[#This Row],[Join Date]], TODAY(), "Y"))</f>
        <v>0</v>
      </c>
      <c r="Q407" t="str" cm="1">
        <f t="array" aca="1" ref="Q4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 days</v>
      </c>
    </row>
    <row r="408" spans="1:17" x14ac:dyDescent="0.3">
      <c r="A408">
        <v>1407</v>
      </c>
      <c r="B408" t="s">
        <v>864</v>
      </c>
      <c r="C408" t="s">
        <v>10</v>
      </c>
      <c r="D408" t="s">
        <v>11</v>
      </c>
      <c r="E408">
        <v>38</v>
      </c>
      <c r="F408" t="str" cm="1">
        <f t="array" ref="F408">_xlfn.IFS(EmployeeData[[#This Row],[Age]]&lt;30,"20s",EmployeeData[[#This Row],[Age]]&lt;40,"30s",EmployeeData[[#This Row],[Age]]&lt;50,"40s",EmployeeData[[#This Row],[Age]]&lt;60,"50s",EmployeeData[[#This Row],[Age]]&gt;=60,"60s")</f>
        <v>30s</v>
      </c>
      <c r="G408" s="5">
        <v>43481</v>
      </c>
      <c r="H408" s="5">
        <v>44974</v>
      </c>
      <c r="I408" t="s">
        <v>31</v>
      </c>
      <c r="J408" t="s">
        <v>13</v>
      </c>
      <c r="K408" cm="1">
        <f t="array" aca="1" ref="K408" ca="1">_xlfn.IFS(EmployeeData[[#This Row],[Status]]="Active",_xlfn.DAYS(TODAY(),EmployeeData[[#This Row],[Join Date]]),EmployeeData[[#This Row],[Status]]="Exited",_xlfn.DAYS(EmployeeData[[#This Row],[Exit Date]],EmployeeData[[#This Row],[Join Date]]))</f>
        <v>1493</v>
      </c>
      <c r="L408" cm="1">
        <f t="array" aca="1" ref="L408" ca="1">_xlfn.IFS(EmployeeData[[#This Row],[Status]]="Exited",DATEDIF(EmployeeData[[#This Row],[Join Date]], EmployeeData[[#This Row],[Exit Date]], "Y"),EmployeeData[[#This Row],[Status]]="Active",DATEDIF(EmployeeData[[#This Row],[Join Date]], TODAY(), "Y"))</f>
        <v>4</v>
      </c>
      <c r="Q408" t="str" cm="1">
        <f t="array" aca="1" ref="Q4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 days</v>
      </c>
    </row>
    <row r="409" spans="1:17" x14ac:dyDescent="0.3">
      <c r="A409">
        <v>1408</v>
      </c>
      <c r="B409" t="s">
        <v>112</v>
      </c>
      <c r="C409" t="s">
        <v>10</v>
      </c>
      <c r="D409" t="s">
        <v>24</v>
      </c>
      <c r="E409">
        <v>51</v>
      </c>
      <c r="F409" t="str" cm="1">
        <f t="array" ref="F409">_xlfn.IFS(EmployeeData[[#This Row],[Age]]&lt;30,"20s",EmployeeData[[#This Row],[Age]]&lt;40,"30s",EmployeeData[[#This Row],[Age]]&lt;50,"40s",EmployeeData[[#This Row],[Age]]&lt;60,"50s",EmployeeData[[#This Row],[Age]]&gt;=60,"60s")</f>
        <v>50s</v>
      </c>
      <c r="G409" s="5">
        <v>44828</v>
      </c>
      <c r="I409" t="s">
        <v>17</v>
      </c>
      <c r="J409" t="s">
        <v>18</v>
      </c>
      <c r="K409" cm="1">
        <f t="array" aca="1" ref="K409" ca="1">_xlfn.IFS(EmployeeData[[#This Row],[Status]]="Active",_xlfn.DAYS(TODAY(),EmployeeData[[#This Row],[Join Date]]),EmployeeData[[#This Row],[Status]]="Exited",_xlfn.DAYS(EmployeeData[[#This Row],[Exit Date]],EmployeeData[[#This Row],[Join Date]]))</f>
        <v>1369</v>
      </c>
      <c r="L409" cm="1">
        <f t="array" aca="1" ref="L409" ca="1">_xlfn.IFS(EmployeeData[[#This Row],[Status]]="Exited",DATEDIF(EmployeeData[[#This Row],[Join Date]], EmployeeData[[#This Row],[Exit Date]], "Y"),EmployeeData[[#This Row],[Status]]="Active",DATEDIF(EmployeeData[[#This Row],[Join Date]], TODAY(), "Y"))</f>
        <v>3</v>
      </c>
      <c r="Q409" t="str" cm="1">
        <f t="array" aca="1" ref="Q4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0 days</v>
      </c>
    </row>
    <row r="410" spans="1:17" x14ac:dyDescent="0.3">
      <c r="A410">
        <v>1409</v>
      </c>
      <c r="B410" t="s">
        <v>878</v>
      </c>
      <c r="C410" t="s">
        <v>46</v>
      </c>
      <c r="D410" t="s">
        <v>11</v>
      </c>
      <c r="E410">
        <v>27</v>
      </c>
      <c r="F410" t="str" cm="1">
        <f t="array" ref="F410">_xlfn.IFS(EmployeeData[[#This Row],[Age]]&lt;30,"20s",EmployeeData[[#This Row],[Age]]&lt;40,"30s",EmployeeData[[#This Row],[Age]]&lt;50,"40s",EmployeeData[[#This Row],[Age]]&lt;60,"50s",EmployeeData[[#This Row],[Age]]&gt;=60,"60s")</f>
        <v>20s</v>
      </c>
      <c r="G410" s="5">
        <v>44805</v>
      </c>
      <c r="I410" t="s">
        <v>17</v>
      </c>
      <c r="J410" t="s">
        <v>18</v>
      </c>
      <c r="K410" cm="1">
        <f t="array" aca="1" ref="K410" ca="1">_xlfn.IFS(EmployeeData[[#This Row],[Status]]="Active",_xlfn.DAYS(TODAY(),EmployeeData[[#This Row],[Join Date]]),EmployeeData[[#This Row],[Status]]="Exited",_xlfn.DAYS(EmployeeData[[#This Row],[Exit Date]],EmployeeData[[#This Row],[Join Date]]))</f>
        <v>1392</v>
      </c>
      <c r="L410" cm="1">
        <f t="array" aca="1" ref="L410" ca="1">_xlfn.IFS(EmployeeData[[#This Row],[Status]]="Exited",DATEDIF(EmployeeData[[#This Row],[Join Date]], EmployeeData[[#This Row],[Exit Date]], "Y"),EmployeeData[[#This Row],[Status]]="Active",DATEDIF(EmployeeData[[#This Row],[Join Date]], TODAY(), "Y"))</f>
        <v>3</v>
      </c>
      <c r="Q410" t="str" cm="1">
        <f t="array" aca="1" ref="Q4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23 days</v>
      </c>
    </row>
    <row r="411" spans="1:17" x14ac:dyDescent="0.3">
      <c r="A411">
        <v>1410</v>
      </c>
      <c r="B411" t="s">
        <v>839</v>
      </c>
      <c r="C411" t="s">
        <v>15</v>
      </c>
      <c r="D411" t="s">
        <v>24</v>
      </c>
      <c r="E411">
        <v>43</v>
      </c>
      <c r="F411" t="str" cm="1">
        <f t="array" ref="F411">_xlfn.IFS(EmployeeData[[#This Row],[Age]]&lt;30,"20s",EmployeeData[[#This Row],[Age]]&lt;40,"30s",EmployeeData[[#This Row],[Age]]&lt;50,"40s",EmployeeData[[#This Row],[Age]]&lt;60,"50s",EmployeeData[[#This Row],[Age]]&gt;=60,"60s")</f>
        <v>40s</v>
      </c>
      <c r="G411" s="5">
        <v>45605</v>
      </c>
      <c r="H411" s="5">
        <v>46045</v>
      </c>
      <c r="I411" t="s">
        <v>52</v>
      </c>
      <c r="J411" t="s">
        <v>13</v>
      </c>
      <c r="K411" cm="1">
        <f t="array" aca="1" ref="K411" ca="1">_xlfn.IFS(EmployeeData[[#This Row],[Status]]="Active",_xlfn.DAYS(TODAY(),EmployeeData[[#This Row],[Join Date]]),EmployeeData[[#This Row],[Status]]="Exited",_xlfn.DAYS(EmployeeData[[#This Row],[Exit Date]],EmployeeData[[#This Row],[Join Date]]))</f>
        <v>440</v>
      </c>
      <c r="L411" cm="1">
        <f t="array" aca="1" ref="L411" ca="1">_xlfn.IFS(EmployeeData[[#This Row],[Status]]="Exited",DATEDIF(EmployeeData[[#This Row],[Join Date]], EmployeeData[[#This Row],[Exit Date]], "Y"),EmployeeData[[#This Row],[Status]]="Active",DATEDIF(EmployeeData[[#This Row],[Join Date]], TODAY(), "Y"))</f>
        <v>1</v>
      </c>
      <c r="Q411" t="str" cm="1">
        <f t="array" aca="1" ref="Q4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14 days</v>
      </c>
    </row>
    <row r="412" spans="1:17" x14ac:dyDescent="0.3">
      <c r="A412">
        <v>1411</v>
      </c>
      <c r="B412" t="s">
        <v>739</v>
      </c>
      <c r="C412" t="s">
        <v>15</v>
      </c>
      <c r="D412" t="s">
        <v>24</v>
      </c>
      <c r="E412">
        <v>23</v>
      </c>
      <c r="F412" t="str" cm="1">
        <f t="array" ref="F412">_xlfn.IFS(EmployeeData[[#This Row],[Age]]&lt;30,"20s",EmployeeData[[#This Row],[Age]]&lt;40,"30s",EmployeeData[[#This Row],[Age]]&lt;50,"40s",EmployeeData[[#This Row],[Age]]&lt;60,"50s",EmployeeData[[#This Row],[Age]]&gt;=60,"60s")</f>
        <v>20s</v>
      </c>
      <c r="G412" s="5">
        <v>43360</v>
      </c>
      <c r="H412" s="5">
        <v>44737</v>
      </c>
      <c r="I412" t="s">
        <v>31</v>
      </c>
      <c r="J412" t="s">
        <v>13</v>
      </c>
      <c r="K412" cm="1">
        <f t="array" aca="1" ref="K412" ca="1">_xlfn.IFS(EmployeeData[[#This Row],[Status]]="Active",_xlfn.DAYS(TODAY(),EmployeeData[[#This Row],[Join Date]]),EmployeeData[[#This Row],[Status]]="Exited",_xlfn.DAYS(EmployeeData[[#This Row],[Exit Date]],EmployeeData[[#This Row],[Join Date]]))</f>
        <v>1377</v>
      </c>
      <c r="L412" cm="1">
        <f t="array" aca="1" ref="L412" ca="1">_xlfn.IFS(EmployeeData[[#This Row],[Status]]="Exited",DATEDIF(EmployeeData[[#This Row],[Join Date]], EmployeeData[[#This Row],[Exit Date]], "Y"),EmployeeData[[#This Row],[Status]]="Active",DATEDIF(EmployeeData[[#This Row],[Join Date]], TODAY(), "Y"))</f>
        <v>3</v>
      </c>
      <c r="Q412" t="str" cm="1">
        <f t="array" aca="1" ref="Q4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8 days</v>
      </c>
    </row>
    <row r="413" spans="1:17" x14ac:dyDescent="0.3">
      <c r="A413">
        <v>1412</v>
      </c>
      <c r="B413" t="s">
        <v>571</v>
      </c>
      <c r="C413" t="s">
        <v>46</v>
      </c>
      <c r="D413" t="s">
        <v>24</v>
      </c>
      <c r="E413">
        <v>42</v>
      </c>
      <c r="F413" t="str" cm="1">
        <f t="array" ref="F413">_xlfn.IFS(EmployeeData[[#This Row],[Age]]&lt;30,"20s",EmployeeData[[#This Row],[Age]]&lt;40,"30s",EmployeeData[[#This Row],[Age]]&lt;50,"40s",EmployeeData[[#This Row],[Age]]&lt;60,"50s",EmployeeData[[#This Row],[Age]]&gt;=60,"60s")</f>
        <v>40s</v>
      </c>
      <c r="G413" s="5">
        <v>45227</v>
      </c>
      <c r="I413" t="s">
        <v>17</v>
      </c>
      <c r="J413" t="s">
        <v>18</v>
      </c>
      <c r="K413" cm="1">
        <f t="array" aca="1" ref="K413" ca="1">_xlfn.IFS(EmployeeData[[#This Row],[Status]]="Active",_xlfn.DAYS(TODAY(),EmployeeData[[#This Row],[Join Date]]),EmployeeData[[#This Row],[Status]]="Exited",_xlfn.DAYS(EmployeeData[[#This Row],[Exit Date]],EmployeeData[[#This Row],[Join Date]]))</f>
        <v>970</v>
      </c>
      <c r="L413" cm="1">
        <f t="array" aca="1" ref="L413" ca="1">_xlfn.IFS(EmployeeData[[#This Row],[Status]]="Exited",DATEDIF(EmployeeData[[#This Row],[Join Date]], EmployeeData[[#This Row],[Exit Date]], "Y"),EmployeeData[[#This Row],[Status]]="Active",DATEDIF(EmployeeData[[#This Row],[Join Date]], TODAY(), "Y"))</f>
        <v>2</v>
      </c>
      <c r="Q413" t="str" cm="1">
        <f t="array" aca="1" ref="Q4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27 days</v>
      </c>
    </row>
    <row r="414" spans="1:17" x14ac:dyDescent="0.3">
      <c r="A414">
        <v>1413</v>
      </c>
      <c r="B414" t="s">
        <v>937</v>
      </c>
      <c r="C414" t="s">
        <v>10</v>
      </c>
      <c r="D414" t="s">
        <v>24</v>
      </c>
      <c r="E414">
        <v>45</v>
      </c>
      <c r="F414" t="str" cm="1">
        <f t="array" ref="F414">_xlfn.IFS(EmployeeData[[#This Row],[Age]]&lt;30,"20s",EmployeeData[[#This Row],[Age]]&lt;40,"30s",EmployeeData[[#This Row],[Age]]&lt;50,"40s",EmployeeData[[#This Row],[Age]]&lt;60,"50s",EmployeeData[[#This Row],[Age]]&gt;=60,"60s")</f>
        <v>40s</v>
      </c>
      <c r="G414" s="5">
        <v>43709</v>
      </c>
      <c r="I414" t="s">
        <v>17</v>
      </c>
      <c r="J414" t="s">
        <v>18</v>
      </c>
      <c r="K414" cm="1">
        <f t="array" aca="1" ref="K414" ca="1">_xlfn.IFS(EmployeeData[[#This Row],[Status]]="Active",_xlfn.DAYS(TODAY(),EmployeeData[[#This Row],[Join Date]]),EmployeeData[[#This Row],[Status]]="Exited",_xlfn.DAYS(EmployeeData[[#This Row],[Exit Date]],EmployeeData[[#This Row],[Join Date]]))</f>
        <v>2488</v>
      </c>
      <c r="L414" cm="1">
        <f t="array" aca="1" ref="L414" ca="1">_xlfn.IFS(EmployeeData[[#This Row],[Status]]="Exited",DATEDIF(EmployeeData[[#This Row],[Join Date]], EmployeeData[[#This Row],[Exit Date]], "Y"),EmployeeData[[#This Row],[Status]]="Active",DATEDIF(EmployeeData[[#This Row],[Join Date]], TODAY(), "Y"))</f>
        <v>6</v>
      </c>
      <c r="Q414" t="str" cm="1">
        <f t="array" aca="1" ref="Q4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23 days</v>
      </c>
    </row>
    <row r="415" spans="1:17" x14ac:dyDescent="0.3">
      <c r="A415">
        <v>1414</v>
      </c>
      <c r="B415" t="s">
        <v>972</v>
      </c>
      <c r="C415" t="s">
        <v>23</v>
      </c>
      <c r="D415" t="s">
        <v>24</v>
      </c>
      <c r="E415">
        <v>60</v>
      </c>
      <c r="F415" t="str" cm="1">
        <f t="array" ref="F415">_xlfn.IFS(EmployeeData[[#This Row],[Age]]&lt;30,"20s",EmployeeData[[#This Row],[Age]]&lt;40,"30s",EmployeeData[[#This Row],[Age]]&lt;50,"40s",EmployeeData[[#This Row],[Age]]&lt;60,"50s",EmployeeData[[#This Row],[Age]]&gt;=60,"60s")</f>
        <v>60s</v>
      </c>
      <c r="G415" s="5">
        <v>43778</v>
      </c>
      <c r="H415" s="5">
        <v>45881</v>
      </c>
      <c r="I415" t="s">
        <v>26</v>
      </c>
      <c r="J415" t="s">
        <v>13</v>
      </c>
      <c r="K415" cm="1">
        <f t="array" aca="1" ref="K415" ca="1">_xlfn.IFS(EmployeeData[[#This Row],[Status]]="Active",_xlfn.DAYS(TODAY(),EmployeeData[[#This Row],[Join Date]]),EmployeeData[[#This Row],[Status]]="Exited",_xlfn.DAYS(EmployeeData[[#This Row],[Exit Date]],EmployeeData[[#This Row],[Join Date]]))</f>
        <v>2103</v>
      </c>
      <c r="L415" cm="1">
        <f t="array" aca="1" ref="L415" ca="1">_xlfn.IFS(EmployeeData[[#This Row],[Status]]="Exited",DATEDIF(EmployeeData[[#This Row],[Join Date]], EmployeeData[[#This Row],[Exit Date]], "Y"),EmployeeData[[#This Row],[Status]]="Active",DATEDIF(EmployeeData[[#This Row],[Join Date]], TODAY(), "Y"))</f>
        <v>5</v>
      </c>
      <c r="Q415" t="str" cm="1">
        <f t="array" aca="1" ref="Q4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3 days</v>
      </c>
    </row>
    <row r="416" spans="1:17" x14ac:dyDescent="0.3">
      <c r="A416">
        <v>1415</v>
      </c>
      <c r="B416" t="s">
        <v>569</v>
      </c>
      <c r="C416" t="s">
        <v>10</v>
      </c>
      <c r="D416" t="s">
        <v>16</v>
      </c>
      <c r="E416">
        <v>50</v>
      </c>
      <c r="F416" t="str" cm="1">
        <f t="array" ref="F416">_xlfn.IFS(EmployeeData[[#This Row],[Age]]&lt;30,"20s",EmployeeData[[#This Row],[Age]]&lt;40,"30s",EmployeeData[[#This Row],[Age]]&lt;50,"40s",EmployeeData[[#This Row],[Age]]&lt;60,"50s",EmployeeData[[#This Row],[Age]]&gt;=60,"60s")</f>
        <v>50s</v>
      </c>
      <c r="G416" s="5">
        <v>44920</v>
      </c>
      <c r="I416" t="s">
        <v>17</v>
      </c>
      <c r="J416" t="s">
        <v>18</v>
      </c>
      <c r="K416" cm="1">
        <f t="array" aca="1" ref="K416" ca="1">_xlfn.IFS(EmployeeData[[#This Row],[Status]]="Active",_xlfn.DAYS(TODAY(),EmployeeData[[#This Row],[Join Date]]),EmployeeData[[#This Row],[Status]]="Exited",_xlfn.DAYS(EmployeeData[[#This Row],[Exit Date]],EmployeeData[[#This Row],[Join Date]]))</f>
        <v>1277</v>
      </c>
      <c r="L416" cm="1">
        <f t="array" aca="1" ref="L416" ca="1">_xlfn.IFS(EmployeeData[[#This Row],[Status]]="Exited",DATEDIF(EmployeeData[[#This Row],[Join Date]], EmployeeData[[#This Row],[Exit Date]], "Y"),EmployeeData[[#This Row],[Status]]="Active",DATEDIF(EmployeeData[[#This Row],[Join Date]], TODAY(), "Y"))</f>
        <v>3</v>
      </c>
      <c r="Q416" t="str" cm="1">
        <f t="array" aca="1" ref="Q4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30 days</v>
      </c>
    </row>
    <row r="417" spans="1:17" x14ac:dyDescent="0.3">
      <c r="A417">
        <v>1416</v>
      </c>
      <c r="B417" t="s">
        <v>457</v>
      </c>
      <c r="C417" t="s">
        <v>10</v>
      </c>
      <c r="D417" t="s">
        <v>16</v>
      </c>
      <c r="E417">
        <v>52</v>
      </c>
      <c r="F417" t="str" cm="1">
        <f t="array" ref="F417">_xlfn.IFS(EmployeeData[[#This Row],[Age]]&lt;30,"20s",EmployeeData[[#This Row],[Age]]&lt;40,"30s",EmployeeData[[#This Row],[Age]]&lt;50,"40s",EmployeeData[[#This Row],[Age]]&lt;60,"50s",EmployeeData[[#This Row],[Age]]&gt;=60,"60s")</f>
        <v>50s</v>
      </c>
      <c r="G417" s="5">
        <v>45777</v>
      </c>
      <c r="H417" s="5">
        <v>46073</v>
      </c>
      <c r="I417" t="s">
        <v>12</v>
      </c>
      <c r="J417" t="s">
        <v>13</v>
      </c>
      <c r="K417" cm="1">
        <f t="array" aca="1" ref="K417" ca="1">_xlfn.IFS(EmployeeData[[#This Row],[Status]]="Active",_xlfn.DAYS(TODAY(),EmployeeData[[#This Row],[Join Date]]),EmployeeData[[#This Row],[Status]]="Exited",_xlfn.DAYS(EmployeeData[[#This Row],[Exit Date]],EmployeeData[[#This Row],[Join Date]]))</f>
        <v>296</v>
      </c>
      <c r="L417" cm="1">
        <f t="array" aca="1" ref="L417" ca="1">_xlfn.IFS(EmployeeData[[#This Row],[Status]]="Exited",DATEDIF(EmployeeData[[#This Row],[Join Date]], EmployeeData[[#This Row],[Exit Date]], "Y"),EmployeeData[[#This Row],[Status]]="Active",DATEDIF(EmployeeData[[#This Row],[Join Date]], TODAY(), "Y"))</f>
        <v>0</v>
      </c>
      <c r="Q417" t="str" cm="1">
        <f t="array" aca="1" ref="Q4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21 days</v>
      </c>
    </row>
    <row r="418" spans="1:17" x14ac:dyDescent="0.3">
      <c r="A418">
        <v>1417</v>
      </c>
      <c r="B418" t="s">
        <v>493</v>
      </c>
      <c r="C418" t="s">
        <v>33</v>
      </c>
      <c r="D418" t="s">
        <v>11</v>
      </c>
      <c r="E418">
        <v>40</v>
      </c>
      <c r="F418" t="str" cm="1">
        <f t="array" ref="F418">_xlfn.IFS(EmployeeData[[#This Row],[Age]]&lt;30,"20s",EmployeeData[[#This Row],[Age]]&lt;40,"30s",EmployeeData[[#This Row],[Age]]&lt;50,"40s",EmployeeData[[#This Row],[Age]]&lt;60,"50s",EmployeeData[[#This Row],[Age]]&gt;=60,"60s")</f>
        <v>40s</v>
      </c>
      <c r="G418" s="5">
        <v>45183</v>
      </c>
      <c r="I418" t="s">
        <v>17</v>
      </c>
      <c r="J418" t="s">
        <v>18</v>
      </c>
      <c r="K418" cm="1">
        <f t="array" aca="1" ref="K418" ca="1">_xlfn.IFS(EmployeeData[[#This Row],[Status]]="Active",_xlfn.DAYS(TODAY(),EmployeeData[[#This Row],[Join Date]]),EmployeeData[[#This Row],[Status]]="Exited",_xlfn.DAYS(EmployeeData[[#This Row],[Exit Date]],EmployeeData[[#This Row],[Join Date]]))</f>
        <v>1014</v>
      </c>
      <c r="L418" cm="1">
        <f t="array" aca="1" ref="L418" ca="1">_xlfn.IFS(EmployeeData[[#This Row],[Status]]="Exited",DATEDIF(EmployeeData[[#This Row],[Join Date]], EmployeeData[[#This Row],[Exit Date]], "Y"),EmployeeData[[#This Row],[Status]]="Active",DATEDIF(EmployeeData[[#This Row],[Join Date]], TODAY(), "Y"))</f>
        <v>2</v>
      </c>
      <c r="Q418" t="str" cm="1">
        <f t="array" aca="1" ref="Q4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10 days</v>
      </c>
    </row>
    <row r="419" spans="1:17" x14ac:dyDescent="0.3">
      <c r="A419">
        <v>1418</v>
      </c>
      <c r="B419" t="s">
        <v>146</v>
      </c>
      <c r="C419" t="s">
        <v>33</v>
      </c>
      <c r="D419" t="s">
        <v>11</v>
      </c>
      <c r="E419">
        <v>42</v>
      </c>
      <c r="F419" t="str" cm="1">
        <f t="array" ref="F419">_xlfn.IFS(EmployeeData[[#This Row],[Age]]&lt;30,"20s",EmployeeData[[#This Row],[Age]]&lt;40,"30s",EmployeeData[[#This Row],[Age]]&lt;50,"40s",EmployeeData[[#This Row],[Age]]&lt;60,"50s",EmployeeData[[#This Row],[Age]]&gt;=60,"60s")</f>
        <v>40s</v>
      </c>
      <c r="G419" s="5">
        <v>45395</v>
      </c>
      <c r="I419" t="s">
        <v>17</v>
      </c>
      <c r="J419" t="s">
        <v>18</v>
      </c>
      <c r="K419" cm="1">
        <f t="array" aca="1" ref="K419" ca="1">_xlfn.IFS(EmployeeData[[#This Row],[Status]]="Active",_xlfn.DAYS(TODAY(),EmployeeData[[#This Row],[Join Date]]),EmployeeData[[#This Row],[Status]]="Exited",_xlfn.DAYS(EmployeeData[[#This Row],[Exit Date]],EmployeeData[[#This Row],[Join Date]]))</f>
        <v>802</v>
      </c>
      <c r="L419" cm="1">
        <f t="array" aca="1" ref="L419" ca="1">_xlfn.IFS(EmployeeData[[#This Row],[Status]]="Exited",DATEDIF(EmployeeData[[#This Row],[Join Date]], EmployeeData[[#This Row],[Exit Date]], "Y"),EmployeeData[[#This Row],[Status]]="Active",DATEDIF(EmployeeData[[#This Row],[Join Date]], TODAY(), "Y"))</f>
        <v>2</v>
      </c>
      <c r="Q419" t="str" cm="1">
        <f t="array" aca="1" ref="Q4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11 days</v>
      </c>
    </row>
    <row r="420" spans="1:17" x14ac:dyDescent="0.3">
      <c r="A420">
        <v>1419</v>
      </c>
      <c r="B420" t="s">
        <v>527</v>
      </c>
      <c r="C420" t="s">
        <v>10</v>
      </c>
      <c r="D420" t="s">
        <v>24</v>
      </c>
      <c r="E420">
        <v>27</v>
      </c>
      <c r="F420" t="str" cm="1">
        <f t="array" ref="F420">_xlfn.IFS(EmployeeData[[#This Row],[Age]]&lt;30,"20s",EmployeeData[[#This Row],[Age]]&lt;40,"30s",EmployeeData[[#This Row],[Age]]&lt;50,"40s",EmployeeData[[#This Row],[Age]]&lt;60,"50s",EmployeeData[[#This Row],[Age]]&gt;=60,"60s")</f>
        <v>20s</v>
      </c>
      <c r="G420" s="5">
        <v>45799</v>
      </c>
      <c r="H420" s="5">
        <v>46063</v>
      </c>
      <c r="I420" t="s">
        <v>12</v>
      </c>
      <c r="J420" t="s">
        <v>13</v>
      </c>
      <c r="K420" cm="1">
        <f t="array" aca="1" ref="K420" ca="1">_xlfn.IFS(EmployeeData[[#This Row],[Status]]="Active",_xlfn.DAYS(TODAY(),EmployeeData[[#This Row],[Join Date]]),EmployeeData[[#This Row],[Status]]="Exited",_xlfn.DAYS(EmployeeData[[#This Row],[Exit Date]],EmployeeData[[#This Row],[Join Date]]))</f>
        <v>264</v>
      </c>
      <c r="L420" cm="1">
        <f t="array" aca="1" ref="L420" ca="1">_xlfn.IFS(EmployeeData[[#This Row],[Status]]="Exited",DATEDIF(EmployeeData[[#This Row],[Join Date]], EmployeeData[[#This Row],[Exit Date]], "Y"),EmployeeData[[#This Row],[Status]]="Active",DATEDIF(EmployeeData[[#This Row],[Join Date]], TODAY(), "Y"))</f>
        <v>0</v>
      </c>
      <c r="Q420" t="str" cm="1">
        <f t="array" aca="1" ref="Q4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19 days</v>
      </c>
    </row>
    <row r="421" spans="1:17" x14ac:dyDescent="0.3">
      <c r="A421">
        <v>1420</v>
      </c>
      <c r="B421" t="s">
        <v>716</v>
      </c>
      <c r="C421" t="s">
        <v>15</v>
      </c>
      <c r="D421" t="s">
        <v>16</v>
      </c>
      <c r="E421">
        <v>29</v>
      </c>
      <c r="F421" t="str" cm="1">
        <f t="array" ref="F421">_xlfn.IFS(EmployeeData[[#This Row],[Age]]&lt;30,"20s",EmployeeData[[#This Row],[Age]]&lt;40,"30s",EmployeeData[[#This Row],[Age]]&lt;50,"40s",EmployeeData[[#This Row],[Age]]&lt;60,"50s",EmployeeData[[#This Row],[Age]]&gt;=60,"60s")</f>
        <v>20s</v>
      </c>
      <c r="G421" s="5">
        <v>44777</v>
      </c>
      <c r="H421" s="5">
        <v>46118</v>
      </c>
      <c r="I421" t="s">
        <v>31</v>
      </c>
      <c r="J421" t="s">
        <v>13</v>
      </c>
      <c r="K421" cm="1">
        <f t="array" aca="1" ref="K421" ca="1">_xlfn.IFS(EmployeeData[[#This Row],[Status]]="Active",_xlfn.DAYS(TODAY(),EmployeeData[[#This Row],[Join Date]]),EmployeeData[[#This Row],[Status]]="Exited",_xlfn.DAYS(EmployeeData[[#This Row],[Exit Date]],EmployeeData[[#This Row],[Join Date]]))</f>
        <v>1341</v>
      </c>
      <c r="L421" cm="1">
        <f t="array" aca="1" ref="L421" ca="1">_xlfn.IFS(EmployeeData[[#This Row],[Status]]="Exited",DATEDIF(EmployeeData[[#This Row],[Join Date]], EmployeeData[[#This Row],[Exit Date]], "Y"),EmployeeData[[#This Row],[Status]]="Active",DATEDIF(EmployeeData[[#This Row],[Join Date]], TODAY(), "Y"))</f>
        <v>3</v>
      </c>
      <c r="Q421" t="str" cm="1">
        <f t="array" aca="1" ref="Q4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2 days</v>
      </c>
    </row>
    <row r="422" spans="1:17" x14ac:dyDescent="0.3">
      <c r="A422">
        <v>1421</v>
      </c>
      <c r="B422" t="s">
        <v>308</v>
      </c>
      <c r="C422" t="s">
        <v>20</v>
      </c>
      <c r="D422" t="s">
        <v>16</v>
      </c>
      <c r="E422">
        <v>47</v>
      </c>
      <c r="F422" t="str" cm="1">
        <f t="array" ref="F422">_xlfn.IFS(EmployeeData[[#This Row],[Age]]&lt;30,"20s",EmployeeData[[#This Row],[Age]]&lt;40,"30s",EmployeeData[[#This Row],[Age]]&lt;50,"40s",EmployeeData[[#This Row],[Age]]&lt;60,"50s",EmployeeData[[#This Row],[Age]]&gt;=60,"60s")</f>
        <v>40s</v>
      </c>
      <c r="G422" s="5">
        <v>43291</v>
      </c>
      <c r="I422" t="s">
        <v>17</v>
      </c>
      <c r="J422" t="s">
        <v>18</v>
      </c>
      <c r="K422" cm="1">
        <f t="array" aca="1" ref="K422" ca="1">_xlfn.IFS(EmployeeData[[#This Row],[Status]]="Active",_xlfn.DAYS(TODAY(),EmployeeData[[#This Row],[Join Date]]),EmployeeData[[#This Row],[Status]]="Exited",_xlfn.DAYS(EmployeeData[[#This Row],[Exit Date]],EmployeeData[[#This Row],[Join Date]]))</f>
        <v>2906</v>
      </c>
      <c r="L422" cm="1">
        <f t="array" aca="1" ref="L422" ca="1">_xlfn.IFS(EmployeeData[[#This Row],[Status]]="Exited",DATEDIF(EmployeeData[[#This Row],[Join Date]], EmployeeData[[#This Row],[Exit Date]], "Y"),EmployeeData[[#This Row],[Status]]="Active",DATEDIF(EmployeeData[[#This Row],[Join Date]], TODAY(), "Y"))</f>
        <v>7</v>
      </c>
      <c r="Q422" t="str" cm="1">
        <f t="array" aca="1" ref="Q4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14 days</v>
      </c>
    </row>
    <row r="423" spans="1:17" x14ac:dyDescent="0.3">
      <c r="A423">
        <v>1422</v>
      </c>
      <c r="B423" t="s">
        <v>464</v>
      </c>
      <c r="C423" t="s">
        <v>46</v>
      </c>
      <c r="D423" t="s">
        <v>16</v>
      </c>
      <c r="E423">
        <v>24</v>
      </c>
      <c r="F423" t="str" cm="1">
        <f t="array" ref="F423">_xlfn.IFS(EmployeeData[[#This Row],[Age]]&lt;30,"20s",EmployeeData[[#This Row],[Age]]&lt;40,"30s",EmployeeData[[#This Row],[Age]]&lt;50,"40s",EmployeeData[[#This Row],[Age]]&lt;60,"50s",EmployeeData[[#This Row],[Age]]&gt;=60,"60s")</f>
        <v>20s</v>
      </c>
      <c r="G423" s="5">
        <v>45367</v>
      </c>
      <c r="I423" t="s">
        <v>17</v>
      </c>
      <c r="J423" t="s">
        <v>18</v>
      </c>
      <c r="K423" cm="1">
        <f t="array" aca="1" ref="K423" ca="1">_xlfn.IFS(EmployeeData[[#This Row],[Status]]="Active",_xlfn.DAYS(TODAY(),EmployeeData[[#This Row],[Join Date]]),EmployeeData[[#This Row],[Status]]="Exited",_xlfn.DAYS(EmployeeData[[#This Row],[Exit Date]],EmployeeData[[#This Row],[Join Date]]))</f>
        <v>830</v>
      </c>
      <c r="L423" cm="1">
        <f t="array" aca="1" ref="L423" ca="1">_xlfn.IFS(EmployeeData[[#This Row],[Status]]="Exited",DATEDIF(EmployeeData[[#This Row],[Join Date]], EmployeeData[[#This Row],[Exit Date]], "Y"),EmployeeData[[#This Row],[Status]]="Active",DATEDIF(EmployeeData[[#This Row],[Join Date]], TODAY(), "Y"))</f>
        <v>2</v>
      </c>
      <c r="Q423" t="str" cm="1">
        <f t="array" aca="1" ref="Q4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8 days</v>
      </c>
    </row>
    <row r="424" spans="1:17" x14ac:dyDescent="0.3">
      <c r="A424">
        <v>1423</v>
      </c>
      <c r="B424" t="s">
        <v>1060</v>
      </c>
      <c r="C424" t="s">
        <v>46</v>
      </c>
      <c r="D424" t="s">
        <v>11</v>
      </c>
      <c r="E424">
        <v>32</v>
      </c>
      <c r="F424" t="str" cm="1">
        <f t="array" ref="F424">_xlfn.IFS(EmployeeData[[#This Row],[Age]]&lt;30,"20s",EmployeeData[[#This Row],[Age]]&lt;40,"30s",EmployeeData[[#This Row],[Age]]&lt;50,"40s",EmployeeData[[#This Row],[Age]]&lt;60,"50s",EmployeeData[[#This Row],[Age]]&gt;=60,"60s")</f>
        <v>30s</v>
      </c>
      <c r="G424" s="5">
        <v>43626</v>
      </c>
      <c r="H424" s="5">
        <v>45034</v>
      </c>
      <c r="I424" t="s">
        <v>65</v>
      </c>
      <c r="J424" t="s">
        <v>13</v>
      </c>
      <c r="K424" cm="1">
        <f t="array" aca="1" ref="K424" ca="1">_xlfn.IFS(EmployeeData[[#This Row],[Status]]="Active",_xlfn.DAYS(TODAY(),EmployeeData[[#This Row],[Join Date]]),EmployeeData[[#This Row],[Status]]="Exited",_xlfn.DAYS(EmployeeData[[#This Row],[Exit Date]],EmployeeData[[#This Row],[Join Date]]))</f>
        <v>1408</v>
      </c>
      <c r="L424" cm="1">
        <f t="array" aca="1" ref="L424" ca="1">_xlfn.IFS(EmployeeData[[#This Row],[Status]]="Exited",DATEDIF(EmployeeData[[#This Row],[Join Date]], EmployeeData[[#This Row],[Exit Date]], "Y"),EmployeeData[[#This Row],[Status]]="Active",DATEDIF(EmployeeData[[#This Row],[Join Date]], TODAY(), "Y"))</f>
        <v>3</v>
      </c>
      <c r="Q424" t="str" cm="1">
        <f t="array" aca="1" ref="Q4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8 days</v>
      </c>
    </row>
    <row r="425" spans="1:17" x14ac:dyDescent="0.3">
      <c r="A425">
        <v>1424</v>
      </c>
      <c r="B425" t="s">
        <v>559</v>
      </c>
      <c r="C425" t="s">
        <v>46</v>
      </c>
      <c r="D425" t="s">
        <v>11</v>
      </c>
      <c r="E425">
        <v>38</v>
      </c>
      <c r="F425" t="str" cm="1">
        <f t="array" ref="F425">_xlfn.IFS(EmployeeData[[#This Row],[Age]]&lt;30,"20s",EmployeeData[[#This Row],[Age]]&lt;40,"30s",EmployeeData[[#This Row],[Age]]&lt;50,"40s",EmployeeData[[#This Row],[Age]]&lt;60,"50s",EmployeeData[[#This Row],[Age]]&gt;=60,"60s")</f>
        <v>30s</v>
      </c>
      <c r="G425" s="5">
        <v>44730</v>
      </c>
      <c r="I425" t="s">
        <v>17</v>
      </c>
      <c r="J425" t="s">
        <v>18</v>
      </c>
      <c r="K425" cm="1">
        <f t="array" aca="1" ref="K425" ca="1">_xlfn.IFS(EmployeeData[[#This Row],[Status]]="Active",_xlfn.DAYS(TODAY(),EmployeeData[[#This Row],[Join Date]]),EmployeeData[[#This Row],[Status]]="Exited",_xlfn.DAYS(EmployeeData[[#This Row],[Exit Date]],EmployeeData[[#This Row],[Join Date]]))</f>
        <v>1467</v>
      </c>
      <c r="L425" cm="1">
        <f t="array" aca="1" ref="L425" ca="1">_xlfn.IFS(EmployeeData[[#This Row],[Status]]="Exited",DATEDIF(EmployeeData[[#This Row],[Join Date]], EmployeeData[[#This Row],[Exit Date]], "Y"),EmployeeData[[#This Row],[Status]]="Active",DATEDIF(EmployeeData[[#This Row],[Join Date]], TODAY(), "Y"))</f>
        <v>4</v>
      </c>
      <c r="Q425" t="str" cm="1">
        <f t="array" aca="1" ref="Q4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6 days</v>
      </c>
    </row>
    <row r="426" spans="1:17" x14ac:dyDescent="0.3">
      <c r="A426">
        <v>1425</v>
      </c>
      <c r="B426" t="s">
        <v>909</v>
      </c>
      <c r="C426" t="s">
        <v>15</v>
      </c>
      <c r="D426" t="s">
        <v>24</v>
      </c>
      <c r="E426">
        <v>53</v>
      </c>
      <c r="F426" t="str" cm="1">
        <f t="array" ref="F426">_xlfn.IFS(EmployeeData[[#This Row],[Age]]&lt;30,"20s",EmployeeData[[#This Row],[Age]]&lt;40,"30s",EmployeeData[[#This Row],[Age]]&lt;50,"40s",EmployeeData[[#This Row],[Age]]&lt;60,"50s",EmployeeData[[#This Row],[Age]]&gt;=60,"60s")</f>
        <v>50s</v>
      </c>
      <c r="G426" s="5">
        <v>44325</v>
      </c>
      <c r="I426" t="s">
        <v>17</v>
      </c>
      <c r="J426" t="s">
        <v>18</v>
      </c>
      <c r="K426" cm="1">
        <f t="array" aca="1" ref="K426" ca="1">_xlfn.IFS(EmployeeData[[#This Row],[Status]]="Active",_xlfn.DAYS(TODAY(),EmployeeData[[#This Row],[Join Date]]),EmployeeData[[#This Row],[Status]]="Exited",_xlfn.DAYS(EmployeeData[[#This Row],[Exit Date]],EmployeeData[[#This Row],[Join Date]]))</f>
        <v>1872</v>
      </c>
      <c r="L426" cm="1">
        <f t="array" aca="1" ref="L426" ca="1">_xlfn.IFS(EmployeeData[[#This Row],[Status]]="Exited",DATEDIF(EmployeeData[[#This Row],[Join Date]], EmployeeData[[#This Row],[Exit Date]], "Y"),EmployeeData[[#This Row],[Status]]="Active",DATEDIF(EmployeeData[[#This Row],[Join Date]], TODAY(), "Y"))</f>
        <v>5</v>
      </c>
      <c r="Q426" t="str" cm="1">
        <f t="array" aca="1" ref="Q4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15 days</v>
      </c>
    </row>
    <row r="427" spans="1:17" x14ac:dyDescent="0.3">
      <c r="A427">
        <v>1426</v>
      </c>
      <c r="B427" t="s">
        <v>248</v>
      </c>
      <c r="C427" t="s">
        <v>46</v>
      </c>
      <c r="D427" t="s">
        <v>24</v>
      </c>
      <c r="E427">
        <v>33</v>
      </c>
      <c r="F427" t="str" cm="1">
        <f t="array" ref="F427">_xlfn.IFS(EmployeeData[[#This Row],[Age]]&lt;30,"20s",EmployeeData[[#This Row],[Age]]&lt;40,"30s",EmployeeData[[#This Row],[Age]]&lt;50,"40s",EmployeeData[[#This Row],[Age]]&lt;60,"50s",EmployeeData[[#This Row],[Age]]&gt;=60,"60s")</f>
        <v>30s</v>
      </c>
      <c r="G427" s="5">
        <v>43959</v>
      </c>
      <c r="I427" t="s">
        <v>17</v>
      </c>
      <c r="J427" t="s">
        <v>18</v>
      </c>
      <c r="K427" cm="1">
        <f t="array" aca="1" ref="K427" ca="1">_xlfn.IFS(EmployeeData[[#This Row],[Status]]="Active",_xlfn.DAYS(TODAY(),EmployeeData[[#This Row],[Join Date]]),EmployeeData[[#This Row],[Status]]="Exited",_xlfn.DAYS(EmployeeData[[#This Row],[Exit Date]],EmployeeData[[#This Row],[Join Date]]))</f>
        <v>2238</v>
      </c>
      <c r="L427" cm="1">
        <f t="array" aca="1" ref="L427" ca="1">_xlfn.IFS(EmployeeData[[#This Row],[Status]]="Exited",DATEDIF(EmployeeData[[#This Row],[Join Date]], EmployeeData[[#This Row],[Exit Date]], "Y"),EmployeeData[[#This Row],[Status]]="Active",DATEDIF(EmployeeData[[#This Row],[Join Date]], TODAY(), "Y"))</f>
        <v>6</v>
      </c>
      <c r="Q427" t="str" cm="1">
        <f t="array" aca="1" ref="Q4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16 days</v>
      </c>
    </row>
    <row r="428" spans="1:17" x14ac:dyDescent="0.3">
      <c r="A428">
        <v>1427</v>
      </c>
      <c r="B428" t="s">
        <v>918</v>
      </c>
      <c r="C428" t="s">
        <v>46</v>
      </c>
      <c r="D428" t="s">
        <v>24</v>
      </c>
      <c r="E428">
        <v>32</v>
      </c>
      <c r="F428" t="str" cm="1">
        <f t="array" ref="F428">_xlfn.IFS(EmployeeData[[#This Row],[Age]]&lt;30,"20s",EmployeeData[[#This Row],[Age]]&lt;40,"30s",EmployeeData[[#This Row],[Age]]&lt;50,"40s",EmployeeData[[#This Row],[Age]]&lt;60,"50s",EmployeeData[[#This Row],[Age]]&gt;=60,"60s")</f>
        <v>30s</v>
      </c>
      <c r="G428" s="5">
        <v>45164</v>
      </c>
      <c r="I428" t="s">
        <v>17</v>
      </c>
      <c r="J428" t="s">
        <v>18</v>
      </c>
      <c r="K428" cm="1">
        <f t="array" aca="1" ref="K428" ca="1">_xlfn.IFS(EmployeeData[[#This Row],[Status]]="Active",_xlfn.DAYS(TODAY(),EmployeeData[[#This Row],[Join Date]]),EmployeeData[[#This Row],[Status]]="Exited",_xlfn.DAYS(EmployeeData[[#This Row],[Exit Date]],EmployeeData[[#This Row],[Join Date]]))</f>
        <v>1033</v>
      </c>
      <c r="L428" cm="1">
        <f t="array" aca="1" ref="L428" ca="1">_xlfn.IFS(EmployeeData[[#This Row],[Status]]="Exited",DATEDIF(EmployeeData[[#This Row],[Join Date]], EmployeeData[[#This Row],[Exit Date]], "Y"),EmployeeData[[#This Row],[Status]]="Active",DATEDIF(EmployeeData[[#This Row],[Join Date]], TODAY(), "Y"))</f>
        <v>2</v>
      </c>
      <c r="Q428" t="str" cm="1">
        <f t="array" aca="1" ref="Q4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29 days</v>
      </c>
    </row>
    <row r="429" spans="1:17" x14ac:dyDescent="0.3">
      <c r="A429">
        <v>1428</v>
      </c>
      <c r="B429" t="s">
        <v>551</v>
      </c>
      <c r="C429" t="s">
        <v>23</v>
      </c>
      <c r="D429" t="s">
        <v>24</v>
      </c>
      <c r="E429">
        <v>47</v>
      </c>
      <c r="F429" t="str" cm="1">
        <f t="array" ref="F429">_xlfn.IFS(EmployeeData[[#This Row],[Age]]&lt;30,"20s",EmployeeData[[#This Row],[Age]]&lt;40,"30s",EmployeeData[[#This Row],[Age]]&lt;50,"40s",EmployeeData[[#This Row],[Age]]&lt;60,"50s",EmployeeData[[#This Row],[Age]]&gt;=60,"60s")</f>
        <v>40s</v>
      </c>
      <c r="G429" s="5">
        <v>45862</v>
      </c>
      <c r="I429" t="s">
        <v>17</v>
      </c>
      <c r="J429" t="s">
        <v>18</v>
      </c>
      <c r="K429" cm="1">
        <f t="array" aca="1" ref="K429" ca="1">_xlfn.IFS(EmployeeData[[#This Row],[Status]]="Active",_xlfn.DAYS(TODAY(),EmployeeData[[#This Row],[Join Date]]),EmployeeData[[#This Row],[Status]]="Exited",_xlfn.DAYS(EmployeeData[[#This Row],[Exit Date]],EmployeeData[[#This Row],[Join Date]]))</f>
        <v>335</v>
      </c>
      <c r="L429" cm="1">
        <f t="array" aca="1" ref="L429" ca="1">_xlfn.IFS(EmployeeData[[#This Row],[Status]]="Exited",DATEDIF(EmployeeData[[#This Row],[Join Date]], EmployeeData[[#This Row],[Exit Date]], "Y"),EmployeeData[[#This Row],[Status]]="Active",DATEDIF(EmployeeData[[#This Row],[Join Date]], TODAY(), "Y"))</f>
        <v>0</v>
      </c>
      <c r="Q429" t="str" cm="1">
        <f t="array" aca="1" ref="Q4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0 days</v>
      </c>
    </row>
    <row r="430" spans="1:17" x14ac:dyDescent="0.3">
      <c r="A430">
        <v>1429</v>
      </c>
      <c r="B430" t="s">
        <v>491</v>
      </c>
      <c r="C430" t="s">
        <v>10</v>
      </c>
      <c r="D430" t="s">
        <v>16</v>
      </c>
      <c r="E430">
        <v>27</v>
      </c>
      <c r="F430" t="str" cm="1">
        <f t="array" ref="F430">_xlfn.IFS(EmployeeData[[#This Row],[Age]]&lt;30,"20s",EmployeeData[[#This Row],[Age]]&lt;40,"30s",EmployeeData[[#This Row],[Age]]&lt;50,"40s",EmployeeData[[#This Row],[Age]]&lt;60,"50s",EmployeeData[[#This Row],[Age]]&gt;=60,"60s")</f>
        <v>20s</v>
      </c>
      <c r="G430" s="5">
        <v>43204</v>
      </c>
      <c r="I430" t="s">
        <v>17</v>
      </c>
      <c r="J430" t="s">
        <v>18</v>
      </c>
      <c r="K430" cm="1">
        <f t="array" aca="1" ref="K430" ca="1">_xlfn.IFS(EmployeeData[[#This Row],[Status]]="Active",_xlfn.DAYS(TODAY(),EmployeeData[[#This Row],[Join Date]]),EmployeeData[[#This Row],[Status]]="Exited",_xlfn.DAYS(EmployeeData[[#This Row],[Exit Date]],EmployeeData[[#This Row],[Join Date]]))</f>
        <v>2993</v>
      </c>
      <c r="L430" cm="1">
        <f t="array" aca="1" ref="L430" ca="1">_xlfn.IFS(EmployeeData[[#This Row],[Status]]="Exited",DATEDIF(EmployeeData[[#This Row],[Join Date]], EmployeeData[[#This Row],[Exit Date]], "Y"),EmployeeData[[#This Row],[Status]]="Active",DATEDIF(EmployeeData[[#This Row],[Join Date]], TODAY(), "Y"))</f>
        <v>8</v>
      </c>
      <c r="Q430" t="str" cm="1">
        <f t="array" aca="1" ref="Q4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10 days</v>
      </c>
    </row>
    <row r="431" spans="1:17" x14ac:dyDescent="0.3">
      <c r="A431">
        <v>1430</v>
      </c>
      <c r="B431" t="s">
        <v>700</v>
      </c>
      <c r="C431" t="s">
        <v>20</v>
      </c>
      <c r="D431" t="s">
        <v>16</v>
      </c>
      <c r="E431">
        <v>39</v>
      </c>
      <c r="F431" t="str" cm="1">
        <f t="array" ref="F431">_xlfn.IFS(EmployeeData[[#This Row],[Age]]&lt;30,"20s",EmployeeData[[#This Row],[Age]]&lt;40,"30s",EmployeeData[[#This Row],[Age]]&lt;50,"40s",EmployeeData[[#This Row],[Age]]&lt;60,"50s",EmployeeData[[#This Row],[Age]]&gt;=60,"60s")</f>
        <v>30s</v>
      </c>
      <c r="G431" s="5">
        <v>45900</v>
      </c>
      <c r="H431" s="5">
        <v>46005</v>
      </c>
      <c r="I431" t="s">
        <v>34</v>
      </c>
      <c r="J431" t="s">
        <v>13</v>
      </c>
      <c r="K431" cm="1">
        <f t="array" aca="1" ref="K431" ca="1">_xlfn.IFS(EmployeeData[[#This Row],[Status]]="Active",_xlfn.DAYS(TODAY(),EmployeeData[[#This Row],[Join Date]]),EmployeeData[[#This Row],[Status]]="Exited",_xlfn.DAYS(EmployeeData[[#This Row],[Exit Date]],EmployeeData[[#This Row],[Join Date]]))</f>
        <v>105</v>
      </c>
      <c r="L431" cm="1">
        <f t="array" aca="1" ref="L431" ca="1">_xlfn.IFS(EmployeeData[[#This Row],[Status]]="Exited",DATEDIF(EmployeeData[[#This Row],[Join Date]], EmployeeData[[#This Row],[Exit Date]], "Y"),EmployeeData[[#This Row],[Status]]="Active",DATEDIF(EmployeeData[[#This Row],[Join Date]], TODAY(), "Y"))</f>
        <v>0</v>
      </c>
      <c r="Q431" t="str" cm="1">
        <f t="array" aca="1" ref="Q4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13 days</v>
      </c>
    </row>
    <row r="432" spans="1:17" x14ac:dyDescent="0.3">
      <c r="A432">
        <v>1431</v>
      </c>
      <c r="B432" t="s">
        <v>919</v>
      </c>
      <c r="C432" t="s">
        <v>15</v>
      </c>
      <c r="D432" t="s">
        <v>11</v>
      </c>
      <c r="E432">
        <v>27</v>
      </c>
      <c r="F432" t="str" cm="1">
        <f t="array" ref="F432">_xlfn.IFS(EmployeeData[[#This Row],[Age]]&lt;30,"20s",EmployeeData[[#This Row],[Age]]&lt;40,"30s",EmployeeData[[#This Row],[Age]]&lt;50,"40s",EmployeeData[[#This Row],[Age]]&lt;60,"50s",EmployeeData[[#This Row],[Age]]&gt;=60,"60s")</f>
        <v>20s</v>
      </c>
      <c r="G432" s="5">
        <v>45624</v>
      </c>
      <c r="I432" t="s">
        <v>17</v>
      </c>
      <c r="J432" t="s">
        <v>18</v>
      </c>
      <c r="K432" cm="1">
        <f t="array" aca="1" ref="K432" ca="1">_xlfn.IFS(EmployeeData[[#This Row],[Status]]="Active",_xlfn.DAYS(TODAY(),EmployeeData[[#This Row],[Join Date]]),EmployeeData[[#This Row],[Status]]="Exited",_xlfn.DAYS(EmployeeData[[#This Row],[Exit Date]],EmployeeData[[#This Row],[Join Date]]))</f>
        <v>573</v>
      </c>
      <c r="L432" cm="1">
        <f t="array" aca="1" ref="L432" ca="1">_xlfn.IFS(EmployeeData[[#This Row],[Status]]="Exited",DATEDIF(EmployeeData[[#This Row],[Join Date]], EmployeeData[[#This Row],[Exit Date]], "Y"),EmployeeData[[#This Row],[Status]]="Active",DATEDIF(EmployeeData[[#This Row],[Join Date]], TODAY(), "Y"))</f>
        <v>1</v>
      </c>
      <c r="Q432" t="str" cm="1">
        <f t="array" aca="1" ref="Q4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27 days</v>
      </c>
    </row>
    <row r="433" spans="1:17" x14ac:dyDescent="0.3">
      <c r="A433">
        <v>1432</v>
      </c>
      <c r="B433" t="s">
        <v>963</v>
      </c>
      <c r="C433" t="s">
        <v>23</v>
      </c>
      <c r="D433" t="s">
        <v>16</v>
      </c>
      <c r="E433">
        <v>39</v>
      </c>
      <c r="F433" t="str" cm="1">
        <f t="array" ref="F433">_xlfn.IFS(EmployeeData[[#This Row],[Age]]&lt;30,"20s",EmployeeData[[#This Row],[Age]]&lt;40,"30s",EmployeeData[[#This Row],[Age]]&lt;50,"40s",EmployeeData[[#This Row],[Age]]&lt;60,"50s",EmployeeData[[#This Row],[Age]]&gt;=60,"60s")</f>
        <v>30s</v>
      </c>
      <c r="G433" s="5">
        <v>45939</v>
      </c>
      <c r="I433" t="s">
        <v>17</v>
      </c>
      <c r="J433" t="s">
        <v>18</v>
      </c>
      <c r="K433" cm="1">
        <f t="array" aca="1" ref="K433" ca="1">_xlfn.IFS(EmployeeData[[#This Row],[Status]]="Active",_xlfn.DAYS(TODAY(),EmployeeData[[#This Row],[Join Date]]),EmployeeData[[#This Row],[Status]]="Exited",_xlfn.DAYS(EmployeeData[[#This Row],[Exit Date]],EmployeeData[[#This Row],[Join Date]]))</f>
        <v>258</v>
      </c>
      <c r="L433" cm="1">
        <f t="array" aca="1" ref="L433" ca="1">_xlfn.IFS(EmployeeData[[#This Row],[Status]]="Exited",DATEDIF(EmployeeData[[#This Row],[Join Date]], EmployeeData[[#This Row],[Exit Date]], "Y"),EmployeeData[[#This Row],[Status]]="Active",DATEDIF(EmployeeData[[#This Row],[Join Date]], TODAY(), "Y"))</f>
        <v>0</v>
      </c>
      <c r="Q433" t="str" cm="1">
        <f t="array" aca="1" ref="Q4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15 days</v>
      </c>
    </row>
    <row r="434" spans="1:17" x14ac:dyDescent="0.3">
      <c r="A434">
        <v>1433</v>
      </c>
      <c r="B434" t="s">
        <v>962</v>
      </c>
      <c r="C434" t="s">
        <v>46</v>
      </c>
      <c r="D434" t="s">
        <v>16</v>
      </c>
      <c r="E434">
        <v>37</v>
      </c>
      <c r="F434" t="str" cm="1">
        <f t="array" ref="F434">_xlfn.IFS(EmployeeData[[#This Row],[Age]]&lt;30,"20s",EmployeeData[[#This Row],[Age]]&lt;40,"30s",EmployeeData[[#This Row],[Age]]&lt;50,"40s",EmployeeData[[#This Row],[Age]]&lt;60,"50s",EmployeeData[[#This Row],[Age]]&gt;=60,"60s")</f>
        <v>30s</v>
      </c>
      <c r="G434" s="5">
        <v>43932</v>
      </c>
      <c r="I434" t="s">
        <v>17</v>
      </c>
      <c r="J434" t="s">
        <v>18</v>
      </c>
      <c r="K434" cm="1">
        <f t="array" aca="1" ref="K434" ca="1">_xlfn.IFS(EmployeeData[[#This Row],[Status]]="Active",_xlfn.DAYS(TODAY(),EmployeeData[[#This Row],[Join Date]]),EmployeeData[[#This Row],[Status]]="Exited",_xlfn.DAYS(EmployeeData[[#This Row],[Exit Date]],EmployeeData[[#This Row],[Join Date]]))</f>
        <v>2265</v>
      </c>
      <c r="L434" cm="1">
        <f t="array" aca="1" ref="L434" ca="1">_xlfn.IFS(EmployeeData[[#This Row],[Status]]="Exited",DATEDIF(EmployeeData[[#This Row],[Join Date]], EmployeeData[[#This Row],[Exit Date]], "Y"),EmployeeData[[#This Row],[Status]]="Active",DATEDIF(EmployeeData[[#This Row],[Join Date]], TODAY(), "Y"))</f>
        <v>6</v>
      </c>
      <c r="Q434" t="str" cm="1">
        <f t="array" aca="1" ref="Q4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2 months 13 days</v>
      </c>
    </row>
    <row r="435" spans="1:17" x14ac:dyDescent="0.3">
      <c r="A435">
        <v>1434</v>
      </c>
      <c r="B435" t="s">
        <v>588</v>
      </c>
      <c r="C435" t="s">
        <v>20</v>
      </c>
      <c r="D435" t="s">
        <v>24</v>
      </c>
      <c r="E435">
        <v>58</v>
      </c>
      <c r="F435" t="str" cm="1">
        <f t="array" ref="F435">_xlfn.IFS(EmployeeData[[#This Row],[Age]]&lt;30,"20s",EmployeeData[[#This Row],[Age]]&lt;40,"30s",EmployeeData[[#This Row],[Age]]&lt;50,"40s",EmployeeData[[#This Row],[Age]]&lt;60,"50s",EmployeeData[[#This Row],[Age]]&gt;=60,"60s")</f>
        <v>50s</v>
      </c>
      <c r="G435" s="5">
        <v>45339</v>
      </c>
      <c r="I435" t="s">
        <v>17</v>
      </c>
      <c r="J435" t="s">
        <v>18</v>
      </c>
      <c r="K435" cm="1">
        <f t="array" aca="1" ref="K435" ca="1">_xlfn.IFS(EmployeeData[[#This Row],[Status]]="Active",_xlfn.DAYS(TODAY(),EmployeeData[[#This Row],[Join Date]]),EmployeeData[[#This Row],[Status]]="Exited",_xlfn.DAYS(EmployeeData[[#This Row],[Exit Date]],EmployeeData[[#This Row],[Join Date]]))</f>
        <v>858</v>
      </c>
      <c r="L435" cm="1">
        <f t="array" aca="1" ref="L435" ca="1">_xlfn.IFS(EmployeeData[[#This Row],[Status]]="Exited",DATEDIF(EmployeeData[[#This Row],[Join Date]], EmployeeData[[#This Row],[Exit Date]], "Y"),EmployeeData[[#This Row],[Status]]="Active",DATEDIF(EmployeeData[[#This Row],[Join Date]], TODAY(), "Y"))</f>
        <v>2</v>
      </c>
      <c r="Q435" t="str" cm="1">
        <f t="array" aca="1" ref="Q4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7 days</v>
      </c>
    </row>
    <row r="436" spans="1:17" x14ac:dyDescent="0.3">
      <c r="A436">
        <v>1435</v>
      </c>
      <c r="B436" t="s">
        <v>415</v>
      </c>
      <c r="C436" t="s">
        <v>10</v>
      </c>
      <c r="D436" t="s">
        <v>16</v>
      </c>
      <c r="E436">
        <v>25</v>
      </c>
      <c r="F436" t="str" cm="1">
        <f t="array" ref="F436">_xlfn.IFS(EmployeeData[[#This Row],[Age]]&lt;30,"20s",EmployeeData[[#This Row],[Age]]&lt;40,"30s",EmployeeData[[#This Row],[Age]]&lt;50,"40s",EmployeeData[[#This Row],[Age]]&lt;60,"50s",EmployeeData[[#This Row],[Age]]&gt;=60,"60s")</f>
        <v>20s</v>
      </c>
      <c r="G436" s="5">
        <v>43866</v>
      </c>
      <c r="I436" t="s">
        <v>17</v>
      </c>
      <c r="J436" t="s">
        <v>18</v>
      </c>
      <c r="K436" cm="1">
        <f t="array" aca="1" ref="K436" ca="1">_xlfn.IFS(EmployeeData[[#This Row],[Status]]="Active",_xlfn.DAYS(TODAY(),EmployeeData[[#This Row],[Join Date]]),EmployeeData[[#This Row],[Status]]="Exited",_xlfn.DAYS(EmployeeData[[#This Row],[Exit Date]],EmployeeData[[#This Row],[Join Date]]))</f>
        <v>2331</v>
      </c>
      <c r="L436" cm="1">
        <f t="array" aca="1" ref="L436" ca="1">_xlfn.IFS(EmployeeData[[#This Row],[Status]]="Exited",DATEDIF(EmployeeData[[#This Row],[Join Date]], EmployeeData[[#This Row],[Exit Date]], "Y"),EmployeeData[[#This Row],[Status]]="Active",DATEDIF(EmployeeData[[#This Row],[Join Date]], TODAY(), "Y"))</f>
        <v>6</v>
      </c>
      <c r="Q436" t="str" cm="1">
        <f t="array" aca="1" ref="Q4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19 days</v>
      </c>
    </row>
    <row r="437" spans="1:17" x14ac:dyDescent="0.3">
      <c r="A437">
        <v>1436</v>
      </c>
      <c r="B437" t="s">
        <v>574</v>
      </c>
      <c r="C437" t="s">
        <v>10</v>
      </c>
      <c r="D437" t="s">
        <v>16</v>
      </c>
      <c r="E437">
        <v>31</v>
      </c>
      <c r="F437" t="str" cm="1">
        <f t="array" ref="F437">_xlfn.IFS(EmployeeData[[#This Row],[Age]]&lt;30,"20s",EmployeeData[[#This Row],[Age]]&lt;40,"30s",EmployeeData[[#This Row],[Age]]&lt;50,"40s",EmployeeData[[#This Row],[Age]]&lt;60,"50s",EmployeeData[[#This Row],[Age]]&gt;=60,"60s")</f>
        <v>30s</v>
      </c>
      <c r="G437" s="5">
        <v>45493</v>
      </c>
      <c r="I437" t="s">
        <v>17</v>
      </c>
      <c r="J437" t="s">
        <v>18</v>
      </c>
      <c r="K437" cm="1">
        <f t="array" aca="1" ref="K437" ca="1">_xlfn.IFS(EmployeeData[[#This Row],[Status]]="Active",_xlfn.DAYS(TODAY(),EmployeeData[[#This Row],[Join Date]]),EmployeeData[[#This Row],[Status]]="Exited",_xlfn.DAYS(EmployeeData[[#This Row],[Exit Date]],EmployeeData[[#This Row],[Join Date]]))</f>
        <v>704</v>
      </c>
      <c r="L437" cm="1">
        <f t="array" aca="1" ref="L437" ca="1">_xlfn.IFS(EmployeeData[[#This Row],[Status]]="Exited",DATEDIF(EmployeeData[[#This Row],[Join Date]], EmployeeData[[#This Row],[Exit Date]], "Y"),EmployeeData[[#This Row],[Status]]="Active",DATEDIF(EmployeeData[[#This Row],[Join Date]], TODAY(), "Y"))</f>
        <v>1</v>
      </c>
      <c r="Q437" t="str" cm="1">
        <f t="array" aca="1" ref="Q4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4 days</v>
      </c>
    </row>
    <row r="438" spans="1:17" x14ac:dyDescent="0.3">
      <c r="A438">
        <v>1437</v>
      </c>
      <c r="B438" t="s">
        <v>212</v>
      </c>
      <c r="C438" t="s">
        <v>15</v>
      </c>
      <c r="D438" t="s">
        <v>11</v>
      </c>
      <c r="E438">
        <v>24</v>
      </c>
      <c r="F438" t="str" cm="1">
        <f t="array" ref="F438">_xlfn.IFS(EmployeeData[[#This Row],[Age]]&lt;30,"20s",EmployeeData[[#This Row],[Age]]&lt;40,"30s",EmployeeData[[#This Row],[Age]]&lt;50,"40s",EmployeeData[[#This Row],[Age]]&lt;60,"50s",EmployeeData[[#This Row],[Age]]&gt;=60,"60s")</f>
        <v>20s</v>
      </c>
      <c r="G438" s="5">
        <v>45662</v>
      </c>
      <c r="I438" t="s">
        <v>17</v>
      </c>
      <c r="J438" t="s">
        <v>18</v>
      </c>
      <c r="K438" cm="1">
        <f t="array" aca="1" ref="K438" ca="1">_xlfn.IFS(EmployeeData[[#This Row],[Status]]="Active",_xlfn.DAYS(TODAY(),EmployeeData[[#This Row],[Join Date]]),EmployeeData[[#This Row],[Status]]="Exited",_xlfn.DAYS(EmployeeData[[#This Row],[Exit Date]],EmployeeData[[#This Row],[Join Date]]))</f>
        <v>535</v>
      </c>
      <c r="L438" cm="1">
        <f t="array" aca="1" ref="L438" ca="1">_xlfn.IFS(EmployeeData[[#This Row],[Status]]="Exited",DATEDIF(EmployeeData[[#This Row],[Join Date]], EmployeeData[[#This Row],[Exit Date]], "Y"),EmployeeData[[#This Row],[Status]]="Active",DATEDIF(EmployeeData[[#This Row],[Join Date]], TODAY(), "Y"))</f>
        <v>1</v>
      </c>
      <c r="Q438" t="str" cm="1">
        <f t="array" aca="1" ref="Q4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19 days</v>
      </c>
    </row>
    <row r="439" spans="1:17" x14ac:dyDescent="0.3">
      <c r="A439">
        <v>1438</v>
      </c>
      <c r="B439" t="s">
        <v>303</v>
      </c>
      <c r="C439" t="s">
        <v>23</v>
      </c>
      <c r="D439" t="s">
        <v>16</v>
      </c>
      <c r="E439">
        <v>41</v>
      </c>
      <c r="F439" t="str" cm="1">
        <f t="array" ref="F439">_xlfn.IFS(EmployeeData[[#This Row],[Age]]&lt;30,"20s",EmployeeData[[#This Row],[Age]]&lt;40,"30s",EmployeeData[[#This Row],[Age]]&lt;50,"40s",EmployeeData[[#This Row],[Age]]&lt;60,"50s",EmployeeData[[#This Row],[Age]]&gt;=60,"60s")</f>
        <v>40s</v>
      </c>
      <c r="G439" s="5">
        <v>45253</v>
      </c>
      <c r="H439" s="5">
        <v>45531</v>
      </c>
      <c r="I439" t="s">
        <v>65</v>
      </c>
      <c r="J439" t="s">
        <v>13</v>
      </c>
      <c r="K439" cm="1">
        <f t="array" aca="1" ref="K439" ca="1">_xlfn.IFS(EmployeeData[[#This Row],[Status]]="Active",_xlfn.DAYS(TODAY(),EmployeeData[[#This Row],[Join Date]]),EmployeeData[[#This Row],[Status]]="Exited",_xlfn.DAYS(EmployeeData[[#This Row],[Exit Date]],EmployeeData[[#This Row],[Join Date]]))</f>
        <v>278</v>
      </c>
      <c r="L439" cm="1">
        <f t="array" aca="1" ref="L439" ca="1">_xlfn.IFS(EmployeeData[[#This Row],[Status]]="Exited",DATEDIF(EmployeeData[[#This Row],[Join Date]], EmployeeData[[#This Row],[Exit Date]], "Y"),EmployeeData[[#This Row],[Status]]="Active",DATEDIF(EmployeeData[[#This Row],[Join Date]], TODAY(), "Y"))</f>
        <v>0</v>
      </c>
      <c r="Q439" t="str" cm="1">
        <f t="array" aca="1" ref="Q4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4 days</v>
      </c>
    </row>
    <row r="440" spans="1:17" x14ac:dyDescent="0.3">
      <c r="A440">
        <v>1439</v>
      </c>
      <c r="B440" t="s">
        <v>519</v>
      </c>
      <c r="C440" t="s">
        <v>15</v>
      </c>
      <c r="D440" t="s">
        <v>16</v>
      </c>
      <c r="E440">
        <v>65</v>
      </c>
      <c r="F440" t="str" cm="1">
        <f t="array" ref="F440">_xlfn.IFS(EmployeeData[[#This Row],[Age]]&lt;30,"20s",EmployeeData[[#This Row],[Age]]&lt;40,"30s",EmployeeData[[#This Row],[Age]]&lt;50,"40s",EmployeeData[[#This Row],[Age]]&lt;60,"50s",EmployeeData[[#This Row],[Age]]&gt;=60,"60s")</f>
        <v>60s</v>
      </c>
      <c r="G440" s="5">
        <v>45818</v>
      </c>
      <c r="H440" s="5">
        <v>46092</v>
      </c>
      <c r="I440" t="s">
        <v>26</v>
      </c>
      <c r="J440" t="s">
        <v>13</v>
      </c>
      <c r="K440" cm="1">
        <f t="array" aca="1" ref="K440" ca="1">_xlfn.IFS(EmployeeData[[#This Row],[Status]]="Active",_xlfn.DAYS(TODAY(),EmployeeData[[#This Row],[Join Date]]),EmployeeData[[#This Row],[Status]]="Exited",_xlfn.DAYS(EmployeeData[[#This Row],[Exit Date]],EmployeeData[[#This Row],[Join Date]]))</f>
        <v>274</v>
      </c>
      <c r="L440" cm="1">
        <f t="array" aca="1" ref="L440" ca="1">_xlfn.IFS(EmployeeData[[#This Row],[Status]]="Exited",DATEDIF(EmployeeData[[#This Row],[Join Date]], EmployeeData[[#This Row],[Exit Date]], "Y"),EmployeeData[[#This Row],[Status]]="Active",DATEDIF(EmployeeData[[#This Row],[Join Date]], TODAY(), "Y"))</f>
        <v>0</v>
      </c>
      <c r="Q440" t="str" cm="1">
        <f t="array" aca="1" ref="Q4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 days</v>
      </c>
    </row>
    <row r="441" spans="1:17" x14ac:dyDescent="0.3">
      <c r="A441">
        <v>1440</v>
      </c>
      <c r="B441" t="s">
        <v>688</v>
      </c>
      <c r="C441" t="s">
        <v>10</v>
      </c>
      <c r="D441" t="s">
        <v>11</v>
      </c>
      <c r="E441">
        <v>36</v>
      </c>
      <c r="F441" t="str" cm="1">
        <f t="array" ref="F441">_xlfn.IFS(EmployeeData[[#This Row],[Age]]&lt;30,"20s",EmployeeData[[#This Row],[Age]]&lt;40,"30s",EmployeeData[[#This Row],[Age]]&lt;50,"40s",EmployeeData[[#This Row],[Age]]&lt;60,"50s",EmployeeData[[#This Row],[Age]]&gt;=60,"60s")</f>
        <v>30s</v>
      </c>
      <c r="G441" s="5">
        <v>43264</v>
      </c>
      <c r="I441" t="s">
        <v>17</v>
      </c>
      <c r="J441" t="s">
        <v>18</v>
      </c>
      <c r="K441" cm="1">
        <f t="array" aca="1" ref="K441" ca="1">_xlfn.IFS(EmployeeData[[#This Row],[Status]]="Active",_xlfn.DAYS(TODAY(),EmployeeData[[#This Row],[Join Date]]),EmployeeData[[#This Row],[Status]]="Exited",_xlfn.DAYS(EmployeeData[[#This Row],[Exit Date]],EmployeeData[[#This Row],[Join Date]]))</f>
        <v>2933</v>
      </c>
      <c r="L441" cm="1">
        <f t="array" aca="1" ref="L441" ca="1">_xlfn.IFS(EmployeeData[[#This Row],[Status]]="Exited",DATEDIF(EmployeeData[[#This Row],[Join Date]], EmployeeData[[#This Row],[Exit Date]], "Y"),EmployeeData[[#This Row],[Status]]="Active",DATEDIF(EmployeeData[[#This Row],[Join Date]], TODAY(), "Y"))</f>
        <v>8</v>
      </c>
      <c r="Q441" t="str" cm="1">
        <f t="array" aca="1" ref="Q4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11 days</v>
      </c>
    </row>
    <row r="442" spans="1:17" x14ac:dyDescent="0.3">
      <c r="A442">
        <v>1441</v>
      </c>
      <c r="B442" t="s">
        <v>615</v>
      </c>
      <c r="C442" t="s">
        <v>46</v>
      </c>
      <c r="D442" t="s">
        <v>24</v>
      </c>
      <c r="E442">
        <v>55</v>
      </c>
      <c r="F442" t="str" cm="1">
        <f t="array" ref="F442">_xlfn.IFS(EmployeeData[[#This Row],[Age]]&lt;30,"20s",EmployeeData[[#This Row],[Age]]&lt;40,"30s",EmployeeData[[#This Row],[Age]]&lt;50,"40s",EmployeeData[[#This Row],[Age]]&lt;60,"50s",EmployeeData[[#This Row],[Age]]&gt;=60,"60s")</f>
        <v>50s</v>
      </c>
      <c r="G442" s="5">
        <v>44259</v>
      </c>
      <c r="H442" s="5">
        <v>45407</v>
      </c>
      <c r="I442" t="s">
        <v>52</v>
      </c>
      <c r="J442" t="s">
        <v>13</v>
      </c>
      <c r="K442" cm="1">
        <f t="array" aca="1" ref="K442" ca="1">_xlfn.IFS(EmployeeData[[#This Row],[Status]]="Active",_xlfn.DAYS(TODAY(),EmployeeData[[#This Row],[Join Date]]),EmployeeData[[#This Row],[Status]]="Exited",_xlfn.DAYS(EmployeeData[[#This Row],[Exit Date]],EmployeeData[[#This Row],[Join Date]]))</f>
        <v>1148</v>
      </c>
      <c r="L442" cm="1">
        <f t="array" aca="1" ref="L442" ca="1">_xlfn.IFS(EmployeeData[[#This Row],[Status]]="Exited",DATEDIF(EmployeeData[[#This Row],[Join Date]], EmployeeData[[#This Row],[Exit Date]], "Y"),EmployeeData[[#This Row],[Status]]="Active",DATEDIF(EmployeeData[[#This Row],[Join Date]], TODAY(), "Y"))</f>
        <v>3</v>
      </c>
      <c r="Q442" t="str" cm="1">
        <f t="array" aca="1" ref="Q4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21 days</v>
      </c>
    </row>
    <row r="443" spans="1:17" x14ac:dyDescent="0.3">
      <c r="A443">
        <v>1442</v>
      </c>
      <c r="B443" t="s">
        <v>159</v>
      </c>
      <c r="C443" t="s">
        <v>10</v>
      </c>
      <c r="D443" t="s">
        <v>16</v>
      </c>
      <c r="E443">
        <v>33</v>
      </c>
      <c r="F443" t="str" cm="1">
        <f t="array" ref="F443">_xlfn.IFS(EmployeeData[[#This Row],[Age]]&lt;30,"20s",EmployeeData[[#This Row],[Age]]&lt;40,"30s",EmployeeData[[#This Row],[Age]]&lt;50,"40s",EmployeeData[[#This Row],[Age]]&lt;60,"50s",EmployeeData[[#This Row],[Age]]&gt;=60,"60s")</f>
        <v>30s</v>
      </c>
      <c r="G443" s="5">
        <v>44413</v>
      </c>
      <c r="I443" t="s">
        <v>17</v>
      </c>
      <c r="J443" t="s">
        <v>18</v>
      </c>
      <c r="K443" cm="1">
        <f t="array" aca="1" ref="K443" ca="1">_xlfn.IFS(EmployeeData[[#This Row],[Status]]="Active",_xlfn.DAYS(TODAY(),EmployeeData[[#This Row],[Join Date]]),EmployeeData[[#This Row],[Status]]="Exited",_xlfn.DAYS(EmployeeData[[#This Row],[Exit Date]],EmployeeData[[#This Row],[Join Date]]))</f>
        <v>1784</v>
      </c>
      <c r="L443" cm="1">
        <f t="array" aca="1" ref="L443" ca="1">_xlfn.IFS(EmployeeData[[#This Row],[Status]]="Exited",DATEDIF(EmployeeData[[#This Row],[Join Date]], EmployeeData[[#This Row],[Exit Date]], "Y"),EmployeeData[[#This Row],[Status]]="Active",DATEDIF(EmployeeData[[#This Row],[Join Date]], TODAY(), "Y"))</f>
        <v>4</v>
      </c>
      <c r="Q443" t="str" cm="1">
        <f t="array" aca="1" ref="Q4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19 days</v>
      </c>
    </row>
    <row r="444" spans="1:17" x14ac:dyDescent="0.3">
      <c r="A444">
        <v>1443</v>
      </c>
      <c r="B444" t="s">
        <v>736</v>
      </c>
      <c r="C444" t="s">
        <v>20</v>
      </c>
      <c r="D444" t="s">
        <v>24</v>
      </c>
      <c r="E444">
        <v>25</v>
      </c>
      <c r="F444" t="str" cm="1">
        <f t="array" ref="F444">_xlfn.IFS(EmployeeData[[#This Row],[Age]]&lt;30,"20s",EmployeeData[[#This Row],[Age]]&lt;40,"30s",EmployeeData[[#This Row],[Age]]&lt;50,"40s",EmployeeData[[#This Row],[Age]]&lt;60,"50s",EmployeeData[[#This Row],[Age]]&gt;=60,"60s")</f>
        <v>20s</v>
      </c>
      <c r="G444" s="5">
        <v>43964</v>
      </c>
      <c r="I444" t="s">
        <v>17</v>
      </c>
      <c r="J444" t="s">
        <v>18</v>
      </c>
      <c r="K444" cm="1">
        <f t="array" aca="1" ref="K444" ca="1">_xlfn.IFS(EmployeeData[[#This Row],[Status]]="Active",_xlfn.DAYS(TODAY(),EmployeeData[[#This Row],[Join Date]]),EmployeeData[[#This Row],[Status]]="Exited",_xlfn.DAYS(EmployeeData[[#This Row],[Exit Date]],EmployeeData[[#This Row],[Join Date]]))</f>
        <v>2233</v>
      </c>
      <c r="L444" cm="1">
        <f t="array" aca="1" ref="L444" ca="1">_xlfn.IFS(EmployeeData[[#This Row],[Status]]="Exited",DATEDIF(EmployeeData[[#This Row],[Join Date]], EmployeeData[[#This Row],[Exit Date]], "Y"),EmployeeData[[#This Row],[Status]]="Active",DATEDIF(EmployeeData[[#This Row],[Join Date]], TODAY(), "Y"))</f>
        <v>6</v>
      </c>
      <c r="Q444" t="str" cm="1">
        <f t="array" aca="1" ref="Q4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11 days</v>
      </c>
    </row>
    <row r="445" spans="1:17" x14ac:dyDescent="0.3">
      <c r="A445">
        <v>1444</v>
      </c>
      <c r="B445" t="s">
        <v>900</v>
      </c>
      <c r="C445" t="s">
        <v>15</v>
      </c>
      <c r="D445" t="s">
        <v>11</v>
      </c>
      <c r="E445">
        <v>48</v>
      </c>
      <c r="F445" t="str" cm="1">
        <f t="array" ref="F445">_xlfn.IFS(EmployeeData[[#This Row],[Age]]&lt;30,"20s",EmployeeData[[#This Row],[Age]]&lt;40,"30s",EmployeeData[[#This Row],[Age]]&lt;50,"40s",EmployeeData[[#This Row],[Age]]&lt;60,"50s",EmployeeData[[#This Row],[Age]]&gt;=60,"60s")</f>
        <v>40s</v>
      </c>
      <c r="G445" s="5">
        <v>45749</v>
      </c>
      <c r="I445" t="s">
        <v>17</v>
      </c>
      <c r="J445" t="s">
        <v>18</v>
      </c>
      <c r="K445" cm="1">
        <f t="array" aca="1" ref="K445" ca="1">_xlfn.IFS(EmployeeData[[#This Row],[Status]]="Active",_xlfn.DAYS(TODAY(),EmployeeData[[#This Row],[Join Date]]),EmployeeData[[#This Row],[Status]]="Exited",_xlfn.DAYS(EmployeeData[[#This Row],[Exit Date]],EmployeeData[[#This Row],[Join Date]]))</f>
        <v>448</v>
      </c>
      <c r="L445" cm="1">
        <f t="array" aca="1" ref="L445" ca="1">_xlfn.IFS(EmployeeData[[#This Row],[Status]]="Exited",DATEDIF(EmployeeData[[#This Row],[Join Date]], EmployeeData[[#This Row],[Exit Date]], "Y"),EmployeeData[[#This Row],[Status]]="Active",DATEDIF(EmployeeData[[#This Row],[Join Date]], TODAY(), "Y"))</f>
        <v>1</v>
      </c>
      <c r="Q445" t="str" cm="1">
        <f t="array" aca="1" ref="Q4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22 days</v>
      </c>
    </row>
    <row r="446" spans="1:17" x14ac:dyDescent="0.3">
      <c r="A446">
        <v>1445</v>
      </c>
      <c r="B446" t="s">
        <v>998</v>
      </c>
      <c r="C446" t="s">
        <v>15</v>
      </c>
      <c r="D446" t="s">
        <v>11</v>
      </c>
      <c r="E446">
        <v>23</v>
      </c>
      <c r="F446" t="str" cm="1">
        <f t="array" ref="F446">_xlfn.IFS(EmployeeData[[#This Row],[Age]]&lt;30,"20s",EmployeeData[[#This Row],[Age]]&lt;40,"30s",EmployeeData[[#This Row],[Age]]&lt;50,"40s",EmployeeData[[#This Row],[Age]]&lt;60,"50s",EmployeeData[[#This Row],[Age]]&gt;=60,"60s")</f>
        <v>20s</v>
      </c>
      <c r="G446" s="5">
        <v>43459</v>
      </c>
      <c r="H446" s="5">
        <v>44278</v>
      </c>
      <c r="I446" t="s">
        <v>52</v>
      </c>
      <c r="J446" t="s">
        <v>13</v>
      </c>
      <c r="K446" cm="1">
        <f t="array" aca="1" ref="K446" ca="1">_xlfn.IFS(EmployeeData[[#This Row],[Status]]="Active",_xlfn.DAYS(TODAY(),EmployeeData[[#This Row],[Join Date]]),EmployeeData[[#This Row],[Status]]="Exited",_xlfn.DAYS(EmployeeData[[#This Row],[Exit Date]],EmployeeData[[#This Row],[Join Date]]))</f>
        <v>819</v>
      </c>
      <c r="L446" cm="1">
        <f t="array" aca="1" ref="L446" ca="1">_xlfn.IFS(EmployeeData[[#This Row],[Status]]="Exited",DATEDIF(EmployeeData[[#This Row],[Join Date]], EmployeeData[[#This Row],[Exit Date]], "Y"),EmployeeData[[#This Row],[Status]]="Active",DATEDIF(EmployeeData[[#This Row],[Join Date]], TODAY(), "Y"))</f>
        <v>2</v>
      </c>
      <c r="Q446" t="str" cm="1">
        <f t="array" aca="1" ref="Q4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26 days</v>
      </c>
    </row>
    <row r="447" spans="1:17" x14ac:dyDescent="0.3">
      <c r="A447">
        <v>1446</v>
      </c>
      <c r="B447" t="s">
        <v>1061</v>
      </c>
      <c r="C447" t="s">
        <v>46</v>
      </c>
      <c r="D447" t="s">
        <v>24</v>
      </c>
      <c r="E447">
        <v>49</v>
      </c>
      <c r="F447" t="str" cm="1">
        <f t="array" ref="F447">_xlfn.IFS(EmployeeData[[#This Row],[Age]]&lt;30,"20s",EmployeeData[[#This Row],[Age]]&lt;40,"30s",EmployeeData[[#This Row],[Age]]&lt;50,"40s",EmployeeData[[#This Row],[Age]]&lt;60,"50s",EmployeeData[[#This Row],[Age]]&gt;=60,"60s")</f>
        <v>40s</v>
      </c>
      <c r="G447" s="5">
        <v>45682</v>
      </c>
      <c r="I447" t="s">
        <v>17</v>
      </c>
      <c r="J447" t="s">
        <v>18</v>
      </c>
      <c r="K447" cm="1">
        <f t="array" aca="1" ref="K447" ca="1">_xlfn.IFS(EmployeeData[[#This Row],[Status]]="Active",_xlfn.DAYS(TODAY(),EmployeeData[[#This Row],[Join Date]]),EmployeeData[[#This Row],[Status]]="Exited",_xlfn.DAYS(EmployeeData[[#This Row],[Exit Date]],EmployeeData[[#This Row],[Join Date]]))</f>
        <v>515</v>
      </c>
      <c r="L447" cm="1">
        <f t="array" aca="1" ref="L447" ca="1">_xlfn.IFS(EmployeeData[[#This Row],[Status]]="Exited",DATEDIF(EmployeeData[[#This Row],[Join Date]], EmployeeData[[#This Row],[Exit Date]], "Y"),EmployeeData[[#This Row],[Status]]="Active",DATEDIF(EmployeeData[[#This Row],[Join Date]], TODAY(), "Y"))</f>
        <v>1</v>
      </c>
      <c r="Q447" t="str" cm="1">
        <f t="array" aca="1" ref="Q4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30 days</v>
      </c>
    </row>
    <row r="448" spans="1:17" x14ac:dyDescent="0.3">
      <c r="A448">
        <v>1447</v>
      </c>
      <c r="B448" t="s">
        <v>1046</v>
      </c>
      <c r="C448" t="s">
        <v>23</v>
      </c>
      <c r="D448" t="s">
        <v>24</v>
      </c>
      <c r="E448">
        <v>25</v>
      </c>
      <c r="F448" t="str" cm="1">
        <f t="array" ref="F448">_xlfn.IFS(EmployeeData[[#This Row],[Age]]&lt;30,"20s",EmployeeData[[#This Row],[Age]]&lt;40,"30s",EmployeeData[[#This Row],[Age]]&lt;50,"40s",EmployeeData[[#This Row],[Age]]&lt;60,"50s",EmployeeData[[#This Row],[Age]]&gt;=60,"60s")</f>
        <v>20s</v>
      </c>
      <c r="G448" s="5">
        <v>45499</v>
      </c>
      <c r="H448" s="5">
        <v>45663</v>
      </c>
      <c r="I448" t="s">
        <v>12</v>
      </c>
      <c r="J448" t="s">
        <v>13</v>
      </c>
      <c r="K448" cm="1">
        <f t="array" aca="1" ref="K448" ca="1">_xlfn.IFS(EmployeeData[[#This Row],[Status]]="Active",_xlfn.DAYS(TODAY(),EmployeeData[[#This Row],[Join Date]]),EmployeeData[[#This Row],[Status]]="Exited",_xlfn.DAYS(EmployeeData[[#This Row],[Exit Date]],EmployeeData[[#This Row],[Join Date]]))</f>
        <v>164</v>
      </c>
      <c r="L448" cm="1">
        <f t="array" aca="1" ref="L448" ca="1">_xlfn.IFS(EmployeeData[[#This Row],[Status]]="Exited",DATEDIF(EmployeeData[[#This Row],[Join Date]], EmployeeData[[#This Row],[Exit Date]], "Y"),EmployeeData[[#This Row],[Status]]="Active",DATEDIF(EmployeeData[[#This Row],[Join Date]], TODAY(), "Y"))</f>
        <v>0</v>
      </c>
      <c r="Q448" t="str" cm="1">
        <f t="array" aca="1" ref="Q4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11 days</v>
      </c>
    </row>
    <row r="449" spans="1:17" x14ac:dyDescent="0.3">
      <c r="A449">
        <v>1448</v>
      </c>
      <c r="B449" t="s">
        <v>446</v>
      </c>
      <c r="C449" t="s">
        <v>23</v>
      </c>
      <c r="D449" t="s">
        <v>16</v>
      </c>
      <c r="E449">
        <v>49</v>
      </c>
      <c r="F449" t="str" cm="1">
        <f t="array" ref="F449">_xlfn.IFS(EmployeeData[[#This Row],[Age]]&lt;30,"20s",EmployeeData[[#This Row],[Age]]&lt;40,"30s",EmployeeData[[#This Row],[Age]]&lt;50,"40s",EmployeeData[[#This Row],[Age]]&lt;60,"50s",EmployeeData[[#This Row],[Age]]&gt;=60,"60s")</f>
        <v>40s</v>
      </c>
      <c r="G449" s="5">
        <v>44663</v>
      </c>
      <c r="I449" t="s">
        <v>17</v>
      </c>
      <c r="J449" t="s">
        <v>18</v>
      </c>
      <c r="K449" cm="1">
        <f t="array" aca="1" ref="K449" ca="1">_xlfn.IFS(EmployeeData[[#This Row],[Status]]="Active",_xlfn.DAYS(TODAY(),EmployeeData[[#This Row],[Join Date]]),EmployeeData[[#This Row],[Status]]="Exited",_xlfn.DAYS(EmployeeData[[#This Row],[Exit Date]],EmployeeData[[#This Row],[Join Date]]))</f>
        <v>1534</v>
      </c>
      <c r="L449" cm="1">
        <f t="array" aca="1" ref="L449" ca="1">_xlfn.IFS(EmployeeData[[#This Row],[Status]]="Exited",DATEDIF(EmployeeData[[#This Row],[Join Date]], EmployeeData[[#This Row],[Exit Date]], "Y"),EmployeeData[[#This Row],[Status]]="Active",DATEDIF(EmployeeData[[#This Row],[Join Date]], TODAY(), "Y"))</f>
        <v>4</v>
      </c>
      <c r="Q449" t="str" cm="1">
        <f t="array" aca="1" ref="Q4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12 days</v>
      </c>
    </row>
    <row r="450" spans="1:17" x14ac:dyDescent="0.3">
      <c r="A450">
        <v>1449</v>
      </c>
      <c r="B450" t="s">
        <v>826</v>
      </c>
      <c r="C450" t="s">
        <v>15</v>
      </c>
      <c r="D450" t="s">
        <v>24</v>
      </c>
      <c r="E450">
        <v>55</v>
      </c>
      <c r="F450" t="str" cm="1">
        <f t="array" ref="F450">_xlfn.IFS(EmployeeData[[#This Row],[Age]]&lt;30,"20s",EmployeeData[[#This Row],[Age]]&lt;40,"30s",EmployeeData[[#This Row],[Age]]&lt;50,"40s",EmployeeData[[#This Row],[Age]]&lt;60,"50s",EmployeeData[[#This Row],[Age]]&gt;=60,"60s")</f>
        <v>50s</v>
      </c>
      <c r="G450" s="5">
        <v>44309</v>
      </c>
      <c r="I450" t="s">
        <v>17</v>
      </c>
      <c r="J450" t="s">
        <v>18</v>
      </c>
      <c r="K450" cm="1">
        <f t="array" aca="1" ref="K450" ca="1">_xlfn.IFS(EmployeeData[[#This Row],[Status]]="Active",_xlfn.DAYS(TODAY(),EmployeeData[[#This Row],[Join Date]]),EmployeeData[[#This Row],[Status]]="Exited",_xlfn.DAYS(EmployeeData[[#This Row],[Exit Date]],EmployeeData[[#This Row],[Join Date]]))</f>
        <v>1888</v>
      </c>
      <c r="L450" cm="1">
        <f t="array" aca="1" ref="L450" ca="1">_xlfn.IFS(EmployeeData[[#This Row],[Status]]="Exited",DATEDIF(EmployeeData[[#This Row],[Join Date]], EmployeeData[[#This Row],[Exit Date]], "Y"),EmployeeData[[#This Row],[Status]]="Active",DATEDIF(EmployeeData[[#This Row],[Join Date]], TODAY(), "Y"))</f>
        <v>5</v>
      </c>
      <c r="Q450" t="str" cm="1">
        <f t="array" aca="1" ref="Q4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 days</v>
      </c>
    </row>
    <row r="451" spans="1:17" x14ac:dyDescent="0.3">
      <c r="A451">
        <v>1450</v>
      </c>
      <c r="B451" t="s">
        <v>1094</v>
      </c>
      <c r="C451" t="s">
        <v>46</v>
      </c>
      <c r="D451" t="s">
        <v>11</v>
      </c>
      <c r="E451">
        <v>44</v>
      </c>
      <c r="F451" t="str" cm="1">
        <f t="array" ref="F451">_xlfn.IFS(EmployeeData[[#This Row],[Age]]&lt;30,"20s",EmployeeData[[#This Row],[Age]]&lt;40,"30s",EmployeeData[[#This Row],[Age]]&lt;50,"40s",EmployeeData[[#This Row],[Age]]&lt;60,"50s",EmployeeData[[#This Row],[Age]]&gt;=60,"60s")</f>
        <v>40s</v>
      </c>
      <c r="G451" s="5">
        <v>43146</v>
      </c>
      <c r="I451" t="s">
        <v>17</v>
      </c>
      <c r="J451" t="s">
        <v>18</v>
      </c>
      <c r="K451" cm="1">
        <f t="array" aca="1" ref="K451" ca="1">_xlfn.IFS(EmployeeData[[#This Row],[Status]]="Active",_xlfn.DAYS(TODAY(),EmployeeData[[#This Row],[Join Date]]),EmployeeData[[#This Row],[Status]]="Exited",_xlfn.DAYS(EmployeeData[[#This Row],[Exit Date]],EmployeeData[[#This Row],[Join Date]]))</f>
        <v>3051</v>
      </c>
      <c r="L451" cm="1">
        <f t="array" aca="1" ref="L451" ca="1">_xlfn.IFS(EmployeeData[[#This Row],[Status]]="Exited",DATEDIF(EmployeeData[[#This Row],[Join Date]], EmployeeData[[#This Row],[Exit Date]], "Y"),EmployeeData[[#This Row],[Status]]="Active",DATEDIF(EmployeeData[[#This Row],[Join Date]], TODAY(), "Y"))</f>
        <v>8</v>
      </c>
      <c r="Q451" t="str" cm="1">
        <f t="array" aca="1" ref="Q4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4 months 9 days</v>
      </c>
    </row>
    <row r="452" spans="1:17" x14ac:dyDescent="0.3">
      <c r="A452">
        <v>1451</v>
      </c>
      <c r="B452" t="s">
        <v>214</v>
      </c>
      <c r="C452" t="s">
        <v>23</v>
      </c>
      <c r="D452" t="s">
        <v>24</v>
      </c>
      <c r="E452">
        <v>56</v>
      </c>
      <c r="F452" t="str" cm="1">
        <f t="array" ref="F452">_xlfn.IFS(EmployeeData[[#This Row],[Age]]&lt;30,"20s",EmployeeData[[#This Row],[Age]]&lt;40,"30s",EmployeeData[[#This Row],[Age]]&lt;50,"40s",EmployeeData[[#This Row],[Age]]&lt;60,"50s",EmployeeData[[#This Row],[Age]]&gt;=60,"60s")</f>
        <v>50s</v>
      </c>
      <c r="G452" s="5">
        <v>43449</v>
      </c>
      <c r="H452" s="5">
        <v>44947</v>
      </c>
      <c r="I452" t="s">
        <v>31</v>
      </c>
      <c r="J452" t="s">
        <v>13</v>
      </c>
      <c r="K452" cm="1">
        <f t="array" aca="1" ref="K452" ca="1">_xlfn.IFS(EmployeeData[[#This Row],[Status]]="Active",_xlfn.DAYS(TODAY(),EmployeeData[[#This Row],[Join Date]]),EmployeeData[[#This Row],[Status]]="Exited",_xlfn.DAYS(EmployeeData[[#This Row],[Exit Date]],EmployeeData[[#This Row],[Join Date]]))</f>
        <v>1498</v>
      </c>
      <c r="L452" cm="1">
        <f t="array" aca="1" ref="L452" ca="1">_xlfn.IFS(EmployeeData[[#This Row],[Status]]="Exited",DATEDIF(EmployeeData[[#This Row],[Join Date]], EmployeeData[[#This Row],[Exit Date]], "Y"),EmployeeData[[#This Row],[Status]]="Active",DATEDIF(EmployeeData[[#This Row],[Join Date]], TODAY(), "Y"))</f>
        <v>4</v>
      </c>
      <c r="Q452" t="str" cm="1">
        <f t="array" aca="1" ref="Q4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6 days</v>
      </c>
    </row>
    <row r="453" spans="1:17" x14ac:dyDescent="0.3">
      <c r="A453">
        <v>1452</v>
      </c>
      <c r="B453" t="s">
        <v>124</v>
      </c>
      <c r="C453" t="s">
        <v>23</v>
      </c>
      <c r="D453" t="s">
        <v>16</v>
      </c>
      <c r="E453">
        <v>28</v>
      </c>
      <c r="F453" t="str" cm="1">
        <f t="array" ref="F453">_xlfn.IFS(EmployeeData[[#This Row],[Age]]&lt;30,"20s",EmployeeData[[#This Row],[Age]]&lt;40,"30s",EmployeeData[[#This Row],[Age]]&lt;50,"40s",EmployeeData[[#This Row],[Age]]&lt;60,"50s",EmployeeData[[#This Row],[Age]]&gt;=60,"60s")</f>
        <v>20s</v>
      </c>
      <c r="G453" s="5">
        <v>43843</v>
      </c>
      <c r="I453" t="s">
        <v>17</v>
      </c>
      <c r="J453" t="s">
        <v>18</v>
      </c>
      <c r="K453" cm="1">
        <f t="array" aca="1" ref="K453" ca="1">_xlfn.IFS(EmployeeData[[#This Row],[Status]]="Active",_xlfn.DAYS(TODAY(),EmployeeData[[#This Row],[Join Date]]),EmployeeData[[#This Row],[Status]]="Exited",_xlfn.DAYS(EmployeeData[[#This Row],[Exit Date]],EmployeeData[[#This Row],[Join Date]]))</f>
        <v>2354</v>
      </c>
      <c r="L453" cm="1">
        <f t="array" aca="1" ref="L453" ca="1">_xlfn.IFS(EmployeeData[[#This Row],[Status]]="Exited",DATEDIF(EmployeeData[[#This Row],[Join Date]], EmployeeData[[#This Row],[Exit Date]], "Y"),EmployeeData[[#This Row],[Status]]="Active",DATEDIF(EmployeeData[[#This Row],[Join Date]], TODAY(), "Y"))</f>
        <v>6</v>
      </c>
      <c r="Q453" t="str" cm="1">
        <f t="array" aca="1" ref="Q4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11 days</v>
      </c>
    </row>
    <row r="454" spans="1:17" x14ac:dyDescent="0.3">
      <c r="A454">
        <v>1453</v>
      </c>
      <c r="B454" t="s">
        <v>575</v>
      </c>
      <c r="C454" t="s">
        <v>46</v>
      </c>
      <c r="D454" t="s">
        <v>11</v>
      </c>
      <c r="E454">
        <v>50</v>
      </c>
      <c r="F454" t="str" cm="1">
        <f t="array" ref="F454">_xlfn.IFS(EmployeeData[[#This Row],[Age]]&lt;30,"20s",EmployeeData[[#This Row],[Age]]&lt;40,"30s",EmployeeData[[#This Row],[Age]]&lt;50,"40s",EmployeeData[[#This Row],[Age]]&lt;60,"50s",EmployeeData[[#This Row],[Age]]&gt;=60,"60s")</f>
        <v>50s</v>
      </c>
      <c r="G454" s="5">
        <v>45741</v>
      </c>
      <c r="I454" t="s">
        <v>17</v>
      </c>
      <c r="J454" t="s">
        <v>18</v>
      </c>
      <c r="K454" cm="1">
        <f t="array" aca="1" ref="K454" ca="1">_xlfn.IFS(EmployeeData[[#This Row],[Status]]="Active",_xlfn.DAYS(TODAY(),EmployeeData[[#This Row],[Join Date]]),EmployeeData[[#This Row],[Status]]="Exited",_xlfn.DAYS(EmployeeData[[#This Row],[Exit Date]],EmployeeData[[#This Row],[Join Date]]))</f>
        <v>456</v>
      </c>
      <c r="L454" cm="1">
        <f t="array" aca="1" ref="L454" ca="1">_xlfn.IFS(EmployeeData[[#This Row],[Status]]="Exited",DATEDIF(EmployeeData[[#This Row],[Join Date]], EmployeeData[[#This Row],[Exit Date]], "Y"),EmployeeData[[#This Row],[Status]]="Active",DATEDIF(EmployeeData[[#This Row],[Join Date]], TODAY(), "Y"))</f>
        <v>1</v>
      </c>
      <c r="Q454" t="str" cm="1">
        <f t="array" aca="1" ref="Q4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30 days</v>
      </c>
    </row>
    <row r="455" spans="1:17" x14ac:dyDescent="0.3">
      <c r="A455">
        <v>1454</v>
      </c>
      <c r="B455" t="s">
        <v>353</v>
      </c>
      <c r="C455" t="s">
        <v>15</v>
      </c>
      <c r="D455" t="s">
        <v>24</v>
      </c>
      <c r="E455">
        <v>59</v>
      </c>
      <c r="F455" t="str" cm="1">
        <f t="array" ref="F455">_xlfn.IFS(EmployeeData[[#This Row],[Age]]&lt;30,"20s",EmployeeData[[#This Row],[Age]]&lt;40,"30s",EmployeeData[[#This Row],[Age]]&lt;50,"40s",EmployeeData[[#This Row],[Age]]&lt;60,"50s",EmployeeData[[#This Row],[Age]]&gt;=60,"60s")</f>
        <v>50s</v>
      </c>
      <c r="G455" s="5">
        <v>44563</v>
      </c>
      <c r="H455" s="5">
        <v>45995</v>
      </c>
      <c r="I455" t="s">
        <v>26</v>
      </c>
      <c r="J455" t="s">
        <v>13</v>
      </c>
      <c r="K455" cm="1">
        <f t="array" aca="1" ref="K455" ca="1">_xlfn.IFS(EmployeeData[[#This Row],[Status]]="Active",_xlfn.DAYS(TODAY(),EmployeeData[[#This Row],[Join Date]]),EmployeeData[[#This Row],[Status]]="Exited",_xlfn.DAYS(EmployeeData[[#This Row],[Exit Date]],EmployeeData[[#This Row],[Join Date]]))</f>
        <v>1432</v>
      </c>
      <c r="L455" cm="1">
        <f t="array" aca="1" ref="L455" ca="1">_xlfn.IFS(EmployeeData[[#This Row],[Status]]="Exited",DATEDIF(EmployeeData[[#This Row],[Join Date]], EmployeeData[[#This Row],[Exit Date]], "Y"),EmployeeData[[#This Row],[Status]]="Active",DATEDIF(EmployeeData[[#This Row],[Join Date]], TODAY(), "Y"))</f>
        <v>3</v>
      </c>
      <c r="Q455" t="str" cm="1">
        <f t="array" aca="1" ref="Q4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2 days</v>
      </c>
    </row>
    <row r="456" spans="1:17" x14ac:dyDescent="0.3">
      <c r="A456">
        <v>1455</v>
      </c>
      <c r="B456" t="s">
        <v>903</v>
      </c>
      <c r="C456" t="s">
        <v>10</v>
      </c>
      <c r="D456" t="s">
        <v>24</v>
      </c>
      <c r="E456">
        <v>58</v>
      </c>
      <c r="F456" t="str" cm="1">
        <f t="array" ref="F456">_xlfn.IFS(EmployeeData[[#This Row],[Age]]&lt;30,"20s",EmployeeData[[#This Row],[Age]]&lt;40,"30s",EmployeeData[[#This Row],[Age]]&lt;50,"40s",EmployeeData[[#This Row],[Age]]&lt;60,"50s",EmployeeData[[#This Row],[Age]]&gt;=60,"60s")</f>
        <v>50s</v>
      </c>
      <c r="G456" s="5">
        <v>43725</v>
      </c>
      <c r="I456" t="s">
        <v>17</v>
      </c>
      <c r="J456" t="s">
        <v>18</v>
      </c>
      <c r="K456" cm="1">
        <f t="array" aca="1" ref="K456" ca="1">_xlfn.IFS(EmployeeData[[#This Row],[Status]]="Active",_xlfn.DAYS(TODAY(),EmployeeData[[#This Row],[Join Date]]),EmployeeData[[#This Row],[Status]]="Exited",_xlfn.DAYS(EmployeeData[[#This Row],[Exit Date]],EmployeeData[[#This Row],[Join Date]]))</f>
        <v>2472</v>
      </c>
      <c r="L456" cm="1">
        <f t="array" aca="1" ref="L456" ca="1">_xlfn.IFS(EmployeeData[[#This Row],[Status]]="Exited",DATEDIF(EmployeeData[[#This Row],[Join Date]], EmployeeData[[#This Row],[Exit Date]], "Y"),EmployeeData[[#This Row],[Status]]="Active",DATEDIF(EmployeeData[[#This Row],[Join Date]], TODAY(), "Y"))</f>
        <v>6</v>
      </c>
      <c r="Q456" t="str" cm="1">
        <f t="array" aca="1" ref="Q4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7 days</v>
      </c>
    </row>
    <row r="457" spans="1:17" x14ac:dyDescent="0.3">
      <c r="A457">
        <v>1456</v>
      </c>
      <c r="B457" t="s">
        <v>598</v>
      </c>
      <c r="C457" t="s">
        <v>15</v>
      </c>
      <c r="D457" t="s">
        <v>16</v>
      </c>
      <c r="E457">
        <v>35</v>
      </c>
      <c r="F457" t="str" cm="1">
        <f t="array" ref="F457">_xlfn.IFS(EmployeeData[[#This Row],[Age]]&lt;30,"20s",EmployeeData[[#This Row],[Age]]&lt;40,"30s",EmployeeData[[#This Row],[Age]]&lt;50,"40s",EmployeeData[[#This Row],[Age]]&lt;60,"50s",EmployeeData[[#This Row],[Age]]&gt;=60,"60s")</f>
        <v>30s</v>
      </c>
      <c r="G457" s="5">
        <v>45725</v>
      </c>
      <c r="I457" t="s">
        <v>17</v>
      </c>
      <c r="J457" t="s">
        <v>18</v>
      </c>
      <c r="K457" cm="1">
        <f t="array" aca="1" ref="K457" ca="1">_xlfn.IFS(EmployeeData[[#This Row],[Status]]="Active",_xlfn.DAYS(TODAY(),EmployeeData[[#This Row],[Join Date]]),EmployeeData[[#This Row],[Status]]="Exited",_xlfn.DAYS(EmployeeData[[#This Row],[Exit Date]],EmployeeData[[#This Row],[Join Date]]))</f>
        <v>472</v>
      </c>
      <c r="L457" cm="1">
        <f t="array" aca="1" ref="L457" ca="1">_xlfn.IFS(EmployeeData[[#This Row],[Status]]="Exited",DATEDIF(EmployeeData[[#This Row],[Join Date]], EmployeeData[[#This Row],[Exit Date]], "Y"),EmployeeData[[#This Row],[Status]]="Active",DATEDIF(EmployeeData[[#This Row],[Join Date]], TODAY(), "Y"))</f>
        <v>1</v>
      </c>
      <c r="Q457" t="str" cm="1">
        <f t="array" aca="1" ref="Q4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15 days</v>
      </c>
    </row>
    <row r="458" spans="1:17" x14ac:dyDescent="0.3">
      <c r="A458">
        <v>1457</v>
      </c>
      <c r="B458" t="s">
        <v>335</v>
      </c>
      <c r="C458" t="s">
        <v>10</v>
      </c>
      <c r="D458" t="s">
        <v>24</v>
      </c>
      <c r="E458">
        <v>49</v>
      </c>
      <c r="F458" t="str" cm="1">
        <f t="array" ref="F458">_xlfn.IFS(EmployeeData[[#This Row],[Age]]&lt;30,"20s",EmployeeData[[#This Row],[Age]]&lt;40,"30s",EmployeeData[[#This Row],[Age]]&lt;50,"40s",EmployeeData[[#This Row],[Age]]&lt;60,"50s",EmployeeData[[#This Row],[Age]]&gt;=60,"60s")</f>
        <v>40s</v>
      </c>
      <c r="G458" s="5">
        <v>44570</v>
      </c>
      <c r="I458" t="s">
        <v>17</v>
      </c>
      <c r="J458" t="s">
        <v>18</v>
      </c>
      <c r="K458" cm="1">
        <f t="array" aca="1" ref="K458" ca="1">_xlfn.IFS(EmployeeData[[#This Row],[Status]]="Active",_xlfn.DAYS(TODAY(),EmployeeData[[#This Row],[Join Date]]),EmployeeData[[#This Row],[Status]]="Exited",_xlfn.DAYS(EmployeeData[[#This Row],[Exit Date]],EmployeeData[[#This Row],[Join Date]]))</f>
        <v>1627</v>
      </c>
      <c r="L458" cm="1">
        <f t="array" aca="1" ref="L458" ca="1">_xlfn.IFS(EmployeeData[[#This Row],[Status]]="Exited",DATEDIF(EmployeeData[[#This Row],[Join Date]], EmployeeData[[#This Row],[Exit Date]], "Y"),EmployeeData[[#This Row],[Status]]="Active",DATEDIF(EmployeeData[[#This Row],[Join Date]], TODAY(), "Y"))</f>
        <v>4</v>
      </c>
      <c r="Q458" t="str" cm="1">
        <f t="array" aca="1" ref="Q4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15 days</v>
      </c>
    </row>
    <row r="459" spans="1:17" x14ac:dyDescent="0.3">
      <c r="A459">
        <v>1458</v>
      </c>
      <c r="B459" t="s">
        <v>51</v>
      </c>
      <c r="C459" t="s">
        <v>33</v>
      </c>
      <c r="D459" t="s">
        <v>11</v>
      </c>
      <c r="E459">
        <v>29</v>
      </c>
      <c r="F459" t="str" cm="1">
        <f t="array" ref="F459">_xlfn.IFS(EmployeeData[[#This Row],[Age]]&lt;30,"20s",EmployeeData[[#This Row],[Age]]&lt;40,"30s",EmployeeData[[#This Row],[Age]]&lt;50,"40s",EmployeeData[[#This Row],[Age]]&lt;60,"50s",EmployeeData[[#This Row],[Age]]&gt;=60,"60s")</f>
        <v>20s</v>
      </c>
      <c r="G459" s="5">
        <v>45307</v>
      </c>
      <c r="H459" s="5">
        <v>46148</v>
      </c>
      <c r="I459" t="s">
        <v>52</v>
      </c>
      <c r="J459" t="s">
        <v>13</v>
      </c>
      <c r="K459" cm="1">
        <f t="array" aca="1" ref="K459" ca="1">_xlfn.IFS(EmployeeData[[#This Row],[Status]]="Active",_xlfn.DAYS(TODAY(),EmployeeData[[#This Row],[Join Date]]),EmployeeData[[#This Row],[Status]]="Exited",_xlfn.DAYS(EmployeeData[[#This Row],[Exit Date]],EmployeeData[[#This Row],[Join Date]]))</f>
        <v>841</v>
      </c>
      <c r="L459" cm="1">
        <f t="array" aca="1" ref="L459" ca="1">_xlfn.IFS(EmployeeData[[#This Row],[Status]]="Exited",DATEDIF(EmployeeData[[#This Row],[Join Date]], EmployeeData[[#This Row],[Exit Date]], "Y"),EmployeeData[[#This Row],[Status]]="Active",DATEDIF(EmployeeData[[#This Row],[Join Date]], TODAY(), "Y"))</f>
        <v>2</v>
      </c>
      <c r="Q459" t="str" cm="1">
        <f t="array" aca="1" ref="Q4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20 days</v>
      </c>
    </row>
    <row r="460" spans="1:17" x14ac:dyDescent="0.3">
      <c r="A460">
        <v>1459</v>
      </c>
      <c r="B460" t="s">
        <v>977</v>
      </c>
      <c r="C460" t="s">
        <v>33</v>
      </c>
      <c r="D460" t="s">
        <v>24</v>
      </c>
      <c r="E460">
        <v>58</v>
      </c>
      <c r="F460" t="str" cm="1">
        <f t="array" ref="F460">_xlfn.IFS(EmployeeData[[#This Row],[Age]]&lt;30,"20s",EmployeeData[[#This Row],[Age]]&lt;40,"30s",EmployeeData[[#This Row],[Age]]&lt;50,"40s",EmployeeData[[#This Row],[Age]]&lt;60,"50s",EmployeeData[[#This Row],[Age]]&gt;=60,"60s")</f>
        <v>50s</v>
      </c>
      <c r="G460" s="5">
        <v>45472</v>
      </c>
      <c r="I460" t="s">
        <v>17</v>
      </c>
      <c r="J460" t="s">
        <v>18</v>
      </c>
      <c r="K460" cm="1">
        <f t="array" aca="1" ref="K460" ca="1">_xlfn.IFS(EmployeeData[[#This Row],[Status]]="Active",_xlfn.DAYS(TODAY(),EmployeeData[[#This Row],[Join Date]]),EmployeeData[[#This Row],[Status]]="Exited",_xlfn.DAYS(EmployeeData[[#This Row],[Exit Date]],EmployeeData[[#This Row],[Join Date]]))</f>
        <v>725</v>
      </c>
      <c r="L460" cm="1">
        <f t="array" aca="1" ref="L460" ca="1">_xlfn.IFS(EmployeeData[[#This Row],[Status]]="Exited",DATEDIF(EmployeeData[[#This Row],[Join Date]], EmployeeData[[#This Row],[Exit Date]], "Y"),EmployeeData[[#This Row],[Status]]="Active",DATEDIF(EmployeeData[[#This Row],[Join Date]], TODAY(), "Y"))</f>
        <v>1</v>
      </c>
      <c r="Q460" t="str" cm="1">
        <f t="array" aca="1" ref="Q4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26 days</v>
      </c>
    </row>
    <row r="461" spans="1:17" x14ac:dyDescent="0.3">
      <c r="A461">
        <v>1460</v>
      </c>
      <c r="B461" t="s">
        <v>604</v>
      </c>
      <c r="C461" t="s">
        <v>23</v>
      </c>
      <c r="D461" t="s">
        <v>24</v>
      </c>
      <c r="E461">
        <v>55</v>
      </c>
      <c r="F461" t="str" cm="1">
        <f t="array" ref="F461">_xlfn.IFS(EmployeeData[[#This Row],[Age]]&lt;30,"20s",EmployeeData[[#This Row],[Age]]&lt;40,"30s",EmployeeData[[#This Row],[Age]]&lt;50,"40s",EmployeeData[[#This Row],[Age]]&lt;60,"50s",EmployeeData[[#This Row],[Age]]&gt;=60,"60s")</f>
        <v>50s</v>
      </c>
      <c r="G461" s="5">
        <v>45034</v>
      </c>
      <c r="I461" t="s">
        <v>17</v>
      </c>
      <c r="J461" t="s">
        <v>18</v>
      </c>
      <c r="K461" cm="1">
        <f t="array" aca="1" ref="K461" ca="1">_xlfn.IFS(EmployeeData[[#This Row],[Status]]="Active",_xlfn.DAYS(TODAY(),EmployeeData[[#This Row],[Join Date]]),EmployeeData[[#This Row],[Status]]="Exited",_xlfn.DAYS(EmployeeData[[#This Row],[Exit Date]],EmployeeData[[#This Row],[Join Date]]))</f>
        <v>1163</v>
      </c>
      <c r="L461" cm="1">
        <f t="array" aca="1" ref="L461" ca="1">_xlfn.IFS(EmployeeData[[#This Row],[Status]]="Exited",DATEDIF(EmployeeData[[#This Row],[Join Date]], EmployeeData[[#This Row],[Exit Date]], "Y"),EmployeeData[[#This Row],[Status]]="Active",DATEDIF(EmployeeData[[#This Row],[Join Date]], TODAY(), "Y"))</f>
        <v>3</v>
      </c>
      <c r="Q461" t="str" cm="1">
        <f t="array" aca="1" ref="Q4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6 days</v>
      </c>
    </row>
    <row r="462" spans="1:17" x14ac:dyDescent="0.3">
      <c r="A462">
        <v>1461</v>
      </c>
      <c r="B462" t="s">
        <v>879</v>
      </c>
      <c r="C462" t="s">
        <v>15</v>
      </c>
      <c r="D462" t="s">
        <v>24</v>
      </c>
      <c r="E462">
        <v>26</v>
      </c>
      <c r="F462" t="str" cm="1">
        <f t="array" ref="F462">_xlfn.IFS(EmployeeData[[#This Row],[Age]]&lt;30,"20s",EmployeeData[[#This Row],[Age]]&lt;40,"30s",EmployeeData[[#This Row],[Age]]&lt;50,"40s",EmployeeData[[#This Row],[Age]]&lt;60,"50s",EmployeeData[[#This Row],[Age]]&gt;=60,"60s")</f>
        <v>20s</v>
      </c>
      <c r="G462" s="5">
        <v>44726</v>
      </c>
      <c r="H462" s="5">
        <v>44837</v>
      </c>
      <c r="I462" t="s">
        <v>28</v>
      </c>
      <c r="J462" t="s">
        <v>13</v>
      </c>
      <c r="K462" cm="1">
        <f t="array" aca="1" ref="K462" ca="1">_xlfn.IFS(EmployeeData[[#This Row],[Status]]="Active",_xlfn.DAYS(TODAY(),EmployeeData[[#This Row],[Join Date]]),EmployeeData[[#This Row],[Status]]="Exited",_xlfn.DAYS(EmployeeData[[#This Row],[Exit Date]],EmployeeData[[#This Row],[Join Date]]))</f>
        <v>111</v>
      </c>
      <c r="L462" cm="1">
        <f t="array" aca="1" ref="L462" ca="1">_xlfn.IFS(EmployeeData[[#This Row],[Status]]="Exited",DATEDIF(EmployeeData[[#This Row],[Join Date]], EmployeeData[[#This Row],[Exit Date]], "Y"),EmployeeData[[#This Row],[Status]]="Active",DATEDIF(EmployeeData[[#This Row],[Join Date]], TODAY(), "Y"))</f>
        <v>0</v>
      </c>
      <c r="Q462" t="str" cm="1">
        <f t="array" aca="1" ref="Q4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19 days</v>
      </c>
    </row>
    <row r="463" spans="1:17" x14ac:dyDescent="0.3">
      <c r="A463">
        <v>1462</v>
      </c>
      <c r="B463" t="s">
        <v>562</v>
      </c>
      <c r="C463" t="s">
        <v>15</v>
      </c>
      <c r="D463" t="s">
        <v>11</v>
      </c>
      <c r="E463">
        <v>30</v>
      </c>
      <c r="F463" t="str" cm="1">
        <f t="array" ref="F463">_xlfn.IFS(EmployeeData[[#This Row],[Age]]&lt;30,"20s",EmployeeData[[#This Row],[Age]]&lt;40,"30s",EmployeeData[[#This Row],[Age]]&lt;50,"40s",EmployeeData[[#This Row],[Age]]&lt;60,"50s",EmployeeData[[#This Row],[Age]]&gt;=60,"60s")</f>
        <v>30s</v>
      </c>
      <c r="G463" s="5">
        <v>45081</v>
      </c>
      <c r="I463" t="s">
        <v>17</v>
      </c>
      <c r="J463" t="s">
        <v>18</v>
      </c>
      <c r="K463" cm="1">
        <f t="array" aca="1" ref="K463" ca="1">_xlfn.IFS(EmployeeData[[#This Row],[Status]]="Active",_xlfn.DAYS(TODAY(),EmployeeData[[#This Row],[Join Date]]),EmployeeData[[#This Row],[Status]]="Exited",_xlfn.DAYS(EmployeeData[[#This Row],[Exit Date]],EmployeeData[[#This Row],[Join Date]]))</f>
        <v>1116</v>
      </c>
      <c r="L463" cm="1">
        <f t="array" aca="1" ref="L463" ca="1">_xlfn.IFS(EmployeeData[[#This Row],[Status]]="Exited",DATEDIF(EmployeeData[[#This Row],[Join Date]], EmployeeData[[#This Row],[Exit Date]], "Y"),EmployeeData[[#This Row],[Status]]="Active",DATEDIF(EmployeeData[[#This Row],[Join Date]], TODAY(), "Y"))</f>
        <v>3</v>
      </c>
      <c r="Q463" t="str" cm="1">
        <f t="array" aca="1" ref="Q4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20 days</v>
      </c>
    </row>
    <row r="464" spans="1:17" x14ac:dyDescent="0.3">
      <c r="A464">
        <v>1463</v>
      </c>
      <c r="B464" t="s">
        <v>385</v>
      </c>
      <c r="C464" t="s">
        <v>15</v>
      </c>
      <c r="D464" t="s">
        <v>16</v>
      </c>
      <c r="E464">
        <v>35</v>
      </c>
      <c r="F464" t="str" cm="1">
        <f t="array" ref="F464">_xlfn.IFS(EmployeeData[[#This Row],[Age]]&lt;30,"20s",EmployeeData[[#This Row],[Age]]&lt;40,"30s",EmployeeData[[#This Row],[Age]]&lt;50,"40s",EmployeeData[[#This Row],[Age]]&lt;60,"50s",EmployeeData[[#This Row],[Age]]&gt;=60,"60s")</f>
        <v>30s</v>
      </c>
      <c r="G464" s="5">
        <v>43276</v>
      </c>
      <c r="I464" t="s">
        <v>17</v>
      </c>
      <c r="J464" t="s">
        <v>18</v>
      </c>
      <c r="K464" cm="1">
        <f t="array" aca="1" ref="K464" ca="1">_xlfn.IFS(EmployeeData[[#This Row],[Status]]="Active",_xlfn.DAYS(TODAY(),EmployeeData[[#This Row],[Join Date]]),EmployeeData[[#This Row],[Status]]="Exited",_xlfn.DAYS(EmployeeData[[#This Row],[Exit Date]],EmployeeData[[#This Row],[Join Date]]))</f>
        <v>2921</v>
      </c>
      <c r="L464" cm="1">
        <f t="array" aca="1" ref="L464" ca="1">_xlfn.IFS(EmployeeData[[#This Row],[Status]]="Exited",DATEDIF(EmployeeData[[#This Row],[Join Date]], EmployeeData[[#This Row],[Exit Date]], "Y"),EmployeeData[[#This Row],[Status]]="Active",DATEDIF(EmployeeData[[#This Row],[Join Date]], TODAY(), "Y"))</f>
        <v>7</v>
      </c>
      <c r="Q464" t="str" cm="1">
        <f t="array" aca="1" ref="Q4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30 days</v>
      </c>
    </row>
    <row r="465" spans="1:17" x14ac:dyDescent="0.3">
      <c r="A465">
        <v>1464</v>
      </c>
      <c r="B465" t="s">
        <v>400</v>
      </c>
      <c r="C465" t="s">
        <v>33</v>
      </c>
      <c r="D465" t="s">
        <v>16</v>
      </c>
      <c r="E465">
        <v>41</v>
      </c>
      <c r="F465" t="str" cm="1">
        <f t="array" ref="F465">_xlfn.IFS(EmployeeData[[#This Row],[Age]]&lt;30,"20s",EmployeeData[[#This Row],[Age]]&lt;40,"30s",EmployeeData[[#This Row],[Age]]&lt;50,"40s",EmployeeData[[#This Row],[Age]]&lt;60,"50s",EmployeeData[[#This Row],[Age]]&gt;=60,"60s")</f>
        <v>40s</v>
      </c>
      <c r="G465" s="5">
        <v>43523</v>
      </c>
      <c r="I465" t="s">
        <v>17</v>
      </c>
      <c r="J465" t="s">
        <v>18</v>
      </c>
      <c r="K465" cm="1">
        <f t="array" aca="1" ref="K465" ca="1">_xlfn.IFS(EmployeeData[[#This Row],[Status]]="Active",_xlfn.DAYS(TODAY(),EmployeeData[[#This Row],[Join Date]]),EmployeeData[[#This Row],[Status]]="Exited",_xlfn.DAYS(EmployeeData[[#This Row],[Exit Date]],EmployeeData[[#This Row],[Join Date]]))</f>
        <v>2674</v>
      </c>
      <c r="L465" cm="1">
        <f t="array" aca="1" ref="L465" ca="1">_xlfn.IFS(EmployeeData[[#This Row],[Status]]="Exited",DATEDIF(EmployeeData[[#This Row],[Join Date]], EmployeeData[[#This Row],[Exit Date]], "Y"),EmployeeData[[#This Row],[Status]]="Active",DATEDIF(EmployeeData[[#This Row],[Join Date]], TODAY(), "Y"))</f>
        <v>7</v>
      </c>
      <c r="Q465" t="str" cm="1">
        <f t="array" aca="1" ref="Q4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28 days</v>
      </c>
    </row>
    <row r="466" spans="1:17" x14ac:dyDescent="0.3">
      <c r="A466">
        <v>1465</v>
      </c>
      <c r="B466" t="s">
        <v>510</v>
      </c>
      <c r="C466" t="s">
        <v>33</v>
      </c>
      <c r="D466" t="s">
        <v>16</v>
      </c>
      <c r="E466">
        <v>55</v>
      </c>
      <c r="F466" t="str" cm="1">
        <f t="array" ref="F466">_xlfn.IFS(EmployeeData[[#This Row],[Age]]&lt;30,"20s",EmployeeData[[#This Row],[Age]]&lt;40,"30s",EmployeeData[[#This Row],[Age]]&lt;50,"40s",EmployeeData[[#This Row],[Age]]&lt;60,"50s",EmployeeData[[#This Row],[Age]]&gt;=60,"60s")</f>
        <v>50s</v>
      </c>
      <c r="G466" s="5">
        <v>45436</v>
      </c>
      <c r="H466" s="5">
        <v>45913</v>
      </c>
      <c r="I466" t="s">
        <v>12</v>
      </c>
      <c r="J466" t="s">
        <v>13</v>
      </c>
      <c r="K466" cm="1">
        <f t="array" aca="1" ref="K466" ca="1">_xlfn.IFS(EmployeeData[[#This Row],[Status]]="Active",_xlfn.DAYS(TODAY(),EmployeeData[[#This Row],[Join Date]]),EmployeeData[[#This Row],[Status]]="Exited",_xlfn.DAYS(EmployeeData[[#This Row],[Exit Date]],EmployeeData[[#This Row],[Join Date]]))</f>
        <v>477</v>
      </c>
      <c r="L466" cm="1">
        <f t="array" aca="1" ref="L466" ca="1">_xlfn.IFS(EmployeeData[[#This Row],[Status]]="Exited",DATEDIF(EmployeeData[[#This Row],[Join Date]], EmployeeData[[#This Row],[Exit Date]], "Y"),EmployeeData[[#This Row],[Status]]="Active",DATEDIF(EmployeeData[[#This Row],[Join Date]], TODAY(), "Y"))</f>
        <v>1</v>
      </c>
      <c r="Q466" t="str" cm="1">
        <f t="array" aca="1" ref="Q4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20 days</v>
      </c>
    </row>
    <row r="467" spans="1:17" x14ac:dyDescent="0.3">
      <c r="A467">
        <v>1466</v>
      </c>
      <c r="B467" t="s">
        <v>523</v>
      </c>
      <c r="C467" t="s">
        <v>23</v>
      </c>
      <c r="D467" t="s">
        <v>24</v>
      </c>
      <c r="E467">
        <v>43</v>
      </c>
      <c r="F467" t="str" cm="1">
        <f t="array" ref="F467">_xlfn.IFS(EmployeeData[[#This Row],[Age]]&lt;30,"20s",EmployeeData[[#This Row],[Age]]&lt;40,"30s",EmployeeData[[#This Row],[Age]]&lt;50,"40s",EmployeeData[[#This Row],[Age]]&lt;60,"50s",EmployeeData[[#This Row],[Age]]&gt;=60,"60s")</f>
        <v>40s</v>
      </c>
      <c r="G467" s="5">
        <v>45095</v>
      </c>
      <c r="I467" t="s">
        <v>17</v>
      </c>
      <c r="J467" t="s">
        <v>18</v>
      </c>
      <c r="K467" cm="1">
        <f t="array" aca="1" ref="K467" ca="1">_xlfn.IFS(EmployeeData[[#This Row],[Status]]="Active",_xlfn.DAYS(TODAY(),EmployeeData[[#This Row],[Join Date]]),EmployeeData[[#This Row],[Status]]="Exited",_xlfn.DAYS(EmployeeData[[#This Row],[Exit Date]],EmployeeData[[#This Row],[Join Date]]))</f>
        <v>1102</v>
      </c>
      <c r="L467" cm="1">
        <f t="array" aca="1" ref="L467" ca="1">_xlfn.IFS(EmployeeData[[#This Row],[Status]]="Exited",DATEDIF(EmployeeData[[#This Row],[Join Date]], EmployeeData[[#This Row],[Exit Date]], "Y"),EmployeeData[[#This Row],[Status]]="Active",DATEDIF(EmployeeData[[#This Row],[Join Date]], TODAY(), "Y"))</f>
        <v>3</v>
      </c>
      <c r="Q467" t="str" cm="1">
        <f t="array" aca="1" ref="Q4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6 days</v>
      </c>
    </row>
    <row r="468" spans="1:17" x14ac:dyDescent="0.3">
      <c r="A468">
        <v>1467</v>
      </c>
      <c r="B468" t="s">
        <v>318</v>
      </c>
      <c r="C468" t="s">
        <v>10</v>
      </c>
      <c r="D468" t="s">
        <v>16</v>
      </c>
      <c r="E468">
        <v>53</v>
      </c>
      <c r="F468" t="str" cm="1">
        <f t="array" ref="F468">_xlfn.IFS(EmployeeData[[#This Row],[Age]]&lt;30,"20s",EmployeeData[[#This Row],[Age]]&lt;40,"30s",EmployeeData[[#This Row],[Age]]&lt;50,"40s",EmployeeData[[#This Row],[Age]]&lt;60,"50s",EmployeeData[[#This Row],[Age]]&gt;=60,"60s")</f>
        <v>50s</v>
      </c>
      <c r="G468" s="5">
        <v>45736</v>
      </c>
      <c r="H468" s="5">
        <v>45902</v>
      </c>
      <c r="I468" t="s">
        <v>31</v>
      </c>
      <c r="J468" t="s">
        <v>13</v>
      </c>
      <c r="K468" cm="1">
        <f t="array" aca="1" ref="K468" ca="1">_xlfn.IFS(EmployeeData[[#This Row],[Status]]="Active",_xlfn.DAYS(TODAY(),EmployeeData[[#This Row],[Join Date]]),EmployeeData[[#This Row],[Status]]="Exited",_xlfn.DAYS(EmployeeData[[#This Row],[Exit Date]],EmployeeData[[#This Row],[Join Date]]))</f>
        <v>166</v>
      </c>
      <c r="L468" cm="1">
        <f t="array" aca="1" ref="L468" ca="1">_xlfn.IFS(EmployeeData[[#This Row],[Status]]="Exited",DATEDIF(EmployeeData[[#This Row],[Join Date]], EmployeeData[[#This Row],[Exit Date]], "Y"),EmployeeData[[#This Row],[Status]]="Active",DATEDIF(EmployeeData[[#This Row],[Join Date]], TODAY(), "Y"))</f>
        <v>0</v>
      </c>
      <c r="Q468" t="str" cm="1">
        <f t="array" aca="1" ref="Q4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13 days</v>
      </c>
    </row>
    <row r="469" spans="1:17" x14ac:dyDescent="0.3">
      <c r="A469">
        <v>1468</v>
      </c>
      <c r="B469" t="s">
        <v>130</v>
      </c>
      <c r="C469" t="s">
        <v>15</v>
      </c>
      <c r="D469" t="s">
        <v>16</v>
      </c>
      <c r="E469">
        <v>42</v>
      </c>
      <c r="F469" t="str" cm="1">
        <f t="array" ref="F469">_xlfn.IFS(EmployeeData[[#This Row],[Age]]&lt;30,"20s",EmployeeData[[#This Row],[Age]]&lt;40,"30s",EmployeeData[[#This Row],[Age]]&lt;50,"40s",EmployeeData[[#This Row],[Age]]&lt;60,"50s",EmployeeData[[#This Row],[Age]]&gt;=60,"60s")</f>
        <v>40s</v>
      </c>
      <c r="G469" s="5">
        <v>43565</v>
      </c>
      <c r="I469" t="s">
        <v>17</v>
      </c>
      <c r="J469" t="s">
        <v>18</v>
      </c>
      <c r="K469" cm="1">
        <f t="array" aca="1" ref="K469" ca="1">_xlfn.IFS(EmployeeData[[#This Row],[Status]]="Active",_xlfn.DAYS(TODAY(),EmployeeData[[#This Row],[Join Date]]),EmployeeData[[#This Row],[Status]]="Exited",_xlfn.DAYS(EmployeeData[[#This Row],[Exit Date]],EmployeeData[[#This Row],[Join Date]]))</f>
        <v>2632</v>
      </c>
      <c r="L469" cm="1">
        <f t="array" aca="1" ref="L469" ca="1">_xlfn.IFS(EmployeeData[[#This Row],[Status]]="Exited",DATEDIF(EmployeeData[[#This Row],[Join Date]], EmployeeData[[#This Row],[Exit Date]], "Y"),EmployeeData[[#This Row],[Status]]="Active",DATEDIF(EmployeeData[[#This Row],[Join Date]], TODAY(), "Y"))</f>
        <v>7</v>
      </c>
      <c r="Q469" t="str" cm="1">
        <f t="array" aca="1" ref="Q4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2 months 14 days</v>
      </c>
    </row>
    <row r="470" spans="1:17" x14ac:dyDescent="0.3">
      <c r="A470">
        <v>1469</v>
      </c>
      <c r="B470" t="s">
        <v>155</v>
      </c>
      <c r="C470" t="s">
        <v>20</v>
      </c>
      <c r="D470" t="s">
        <v>24</v>
      </c>
      <c r="E470">
        <v>36</v>
      </c>
      <c r="F470" t="str" cm="1">
        <f t="array" ref="F470">_xlfn.IFS(EmployeeData[[#This Row],[Age]]&lt;30,"20s",EmployeeData[[#This Row],[Age]]&lt;40,"30s",EmployeeData[[#This Row],[Age]]&lt;50,"40s",EmployeeData[[#This Row],[Age]]&lt;60,"50s",EmployeeData[[#This Row],[Age]]&gt;=60,"60s")</f>
        <v>30s</v>
      </c>
      <c r="G470" s="5">
        <v>43277</v>
      </c>
      <c r="H470" s="5">
        <v>44026</v>
      </c>
      <c r="I470" t="s">
        <v>31</v>
      </c>
      <c r="J470" t="s">
        <v>13</v>
      </c>
      <c r="K470" cm="1">
        <f t="array" aca="1" ref="K470" ca="1">_xlfn.IFS(EmployeeData[[#This Row],[Status]]="Active",_xlfn.DAYS(TODAY(),EmployeeData[[#This Row],[Join Date]]),EmployeeData[[#This Row],[Status]]="Exited",_xlfn.DAYS(EmployeeData[[#This Row],[Exit Date]],EmployeeData[[#This Row],[Join Date]]))</f>
        <v>749</v>
      </c>
      <c r="L470" cm="1">
        <f t="array" aca="1" ref="L470" ca="1">_xlfn.IFS(EmployeeData[[#This Row],[Status]]="Exited",DATEDIF(EmployeeData[[#This Row],[Join Date]], EmployeeData[[#This Row],[Exit Date]], "Y"),EmployeeData[[#This Row],[Status]]="Active",DATEDIF(EmployeeData[[#This Row],[Join Date]], TODAY(), "Y"))</f>
        <v>2</v>
      </c>
      <c r="Q470" t="str" cm="1">
        <f t="array" aca="1" ref="Q4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18 days</v>
      </c>
    </row>
    <row r="471" spans="1:17" x14ac:dyDescent="0.3">
      <c r="A471">
        <v>1470</v>
      </c>
      <c r="B471" t="s">
        <v>329</v>
      </c>
      <c r="C471" t="s">
        <v>15</v>
      </c>
      <c r="D471" t="s">
        <v>16</v>
      </c>
      <c r="E471">
        <v>32</v>
      </c>
      <c r="F471" t="str" cm="1">
        <f t="array" ref="F471">_xlfn.IFS(EmployeeData[[#This Row],[Age]]&lt;30,"20s",EmployeeData[[#This Row],[Age]]&lt;40,"30s",EmployeeData[[#This Row],[Age]]&lt;50,"40s",EmployeeData[[#This Row],[Age]]&lt;60,"50s",EmployeeData[[#This Row],[Age]]&gt;=60,"60s")</f>
        <v>30s</v>
      </c>
      <c r="G471" s="5">
        <v>45217</v>
      </c>
      <c r="I471" t="s">
        <v>17</v>
      </c>
      <c r="J471" t="s">
        <v>18</v>
      </c>
      <c r="K471" cm="1">
        <f t="array" aca="1" ref="K471" ca="1">_xlfn.IFS(EmployeeData[[#This Row],[Status]]="Active",_xlfn.DAYS(TODAY(),EmployeeData[[#This Row],[Join Date]]),EmployeeData[[#This Row],[Status]]="Exited",_xlfn.DAYS(EmployeeData[[#This Row],[Exit Date]],EmployeeData[[#This Row],[Join Date]]))</f>
        <v>980</v>
      </c>
      <c r="L471" cm="1">
        <f t="array" aca="1" ref="L471" ca="1">_xlfn.IFS(EmployeeData[[#This Row],[Status]]="Exited",DATEDIF(EmployeeData[[#This Row],[Join Date]], EmployeeData[[#This Row],[Exit Date]], "Y"),EmployeeData[[#This Row],[Status]]="Active",DATEDIF(EmployeeData[[#This Row],[Join Date]], TODAY(), "Y"))</f>
        <v>2</v>
      </c>
      <c r="Q471" t="str" cm="1">
        <f t="array" aca="1" ref="Q4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6 days</v>
      </c>
    </row>
    <row r="472" spans="1:17" x14ac:dyDescent="0.3">
      <c r="A472">
        <v>1471</v>
      </c>
      <c r="B472" t="s">
        <v>783</v>
      </c>
      <c r="C472" t="s">
        <v>46</v>
      </c>
      <c r="D472" t="s">
        <v>16</v>
      </c>
      <c r="E472">
        <v>51</v>
      </c>
      <c r="F472" t="str" cm="1">
        <f t="array" ref="F472">_xlfn.IFS(EmployeeData[[#This Row],[Age]]&lt;30,"20s",EmployeeData[[#This Row],[Age]]&lt;40,"30s",EmployeeData[[#This Row],[Age]]&lt;50,"40s",EmployeeData[[#This Row],[Age]]&lt;60,"50s",EmployeeData[[#This Row],[Age]]&gt;=60,"60s")</f>
        <v>50s</v>
      </c>
      <c r="G472" s="5">
        <v>45073</v>
      </c>
      <c r="H472" s="5">
        <v>46013</v>
      </c>
      <c r="I472" t="s">
        <v>12</v>
      </c>
      <c r="J472" t="s">
        <v>13</v>
      </c>
      <c r="K472" cm="1">
        <f t="array" aca="1" ref="K472" ca="1">_xlfn.IFS(EmployeeData[[#This Row],[Status]]="Active",_xlfn.DAYS(TODAY(),EmployeeData[[#This Row],[Join Date]]),EmployeeData[[#This Row],[Status]]="Exited",_xlfn.DAYS(EmployeeData[[#This Row],[Exit Date]],EmployeeData[[#This Row],[Join Date]]))</f>
        <v>940</v>
      </c>
      <c r="L472" cm="1">
        <f t="array" aca="1" ref="L472" ca="1">_xlfn.IFS(EmployeeData[[#This Row],[Status]]="Exited",DATEDIF(EmployeeData[[#This Row],[Join Date]], EmployeeData[[#This Row],[Exit Date]], "Y"),EmployeeData[[#This Row],[Status]]="Active",DATEDIF(EmployeeData[[#This Row],[Join Date]], TODAY(), "Y"))</f>
        <v>2</v>
      </c>
      <c r="Q472" t="str" cm="1">
        <f t="array" aca="1" ref="Q4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25 days</v>
      </c>
    </row>
    <row r="473" spans="1:17" x14ac:dyDescent="0.3">
      <c r="A473">
        <v>1472</v>
      </c>
      <c r="B473" t="s">
        <v>689</v>
      </c>
      <c r="C473" t="s">
        <v>15</v>
      </c>
      <c r="D473" t="s">
        <v>24</v>
      </c>
      <c r="E473">
        <v>37</v>
      </c>
      <c r="F473" t="str" cm="1">
        <f t="array" ref="F473">_xlfn.IFS(EmployeeData[[#This Row],[Age]]&lt;30,"20s",EmployeeData[[#This Row],[Age]]&lt;40,"30s",EmployeeData[[#This Row],[Age]]&lt;50,"40s",EmployeeData[[#This Row],[Age]]&lt;60,"50s",EmployeeData[[#This Row],[Age]]&gt;=60,"60s")</f>
        <v>30s</v>
      </c>
      <c r="G473" s="5">
        <v>43787</v>
      </c>
      <c r="I473" t="s">
        <v>17</v>
      </c>
      <c r="J473" t="s">
        <v>18</v>
      </c>
      <c r="K473" cm="1">
        <f t="array" aca="1" ref="K473" ca="1">_xlfn.IFS(EmployeeData[[#This Row],[Status]]="Active",_xlfn.DAYS(TODAY(),EmployeeData[[#This Row],[Join Date]]),EmployeeData[[#This Row],[Status]]="Exited",_xlfn.DAYS(EmployeeData[[#This Row],[Exit Date]],EmployeeData[[#This Row],[Join Date]]))</f>
        <v>2410</v>
      </c>
      <c r="L473" cm="1">
        <f t="array" aca="1" ref="L473" ca="1">_xlfn.IFS(EmployeeData[[#This Row],[Status]]="Exited",DATEDIF(EmployeeData[[#This Row],[Join Date]], EmployeeData[[#This Row],[Exit Date]], "Y"),EmployeeData[[#This Row],[Status]]="Active",DATEDIF(EmployeeData[[#This Row],[Join Date]], TODAY(), "Y"))</f>
        <v>6</v>
      </c>
      <c r="Q473" t="str" cm="1">
        <f t="array" aca="1" ref="Q4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6 days</v>
      </c>
    </row>
    <row r="474" spans="1:17" x14ac:dyDescent="0.3">
      <c r="A474">
        <v>1473</v>
      </c>
      <c r="B474" t="s">
        <v>953</v>
      </c>
      <c r="C474" t="s">
        <v>15</v>
      </c>
      <c r="D474" t="s">
        <v>24</v>
      </c>
      <c r="E474">
        <v>27</v>
      </c>
      <c r="F474" t="str" cm="1">
        <f t="array" ref="F474">_xlfn.IFS(EmployeeData[[#This Row],[Age]]&lt;30,"20s",EmployeeData[[#This Row],[Age]]&lt;40,"30s",EmployeeData[[#This Row],[Age]]&lt;50,"40s",EmployeeData[[#This Row],[Age]]&lt;60,"50s",EmployeeData[[#This Row],[Age]]&gt;=60,"60s")</f>
        <v>20s</v>
      </c>
      <c r="G474" s="5">
        <v>43168</v>
      </c>
      <c r="H474" s="5">
        <v>45323</v>
      </c>
      <c r="I474" t="s">
        <v>34</v>
      </c>
      <c r="J474" t="s">
        <v>13</v>
      </c>
      <c r="K474" cm="1">
        <f t="array" aca="1" ref="K474" ca="1">_xlfn.IFS(EmployeeData[[#This Row],[Status]]="Active",_xlfn.DAYS(TODAY(),EmployeeData[[#This Row],[Join Date]]),EmployeeData[[#This Row],[Status]]="Exited",_xlfn.DAYS(EmployeeData[[#This Row],[Exit Date]],EmployeeData[[#This Row],[Join Date]]))</f>
        <v>2155</v>
      </c>
      <c r="L474" cm="1">
        <f t="array" aca="1" ref="L474" ca="1">_xlfn.IFS(EmployeeData[[#This Row],[Status]]="Exited",DATEDIF(EmployeeData[[#This Row],[Join Date]], EmployeeData[[#This Row],[Exit Date]], "Y"),EmployeeData[[#This Row],[Status]]="Active",DATEDIF(EmployeeData[[#This Row],[Join Date]], TODAY(), "Y"))</f>
        <v>5</v>
      </c>
      <c r="Q474" t="str" cm="1">
        <f t="array" aca="1" ref="Q4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23 days</v>
      </c>
    </row>
    <row r="475" spans="1:17" x14ac:dyDescent="0.3">
      <c r="A475">
        <v>1474</v>
      </c>
      <c r="B475" t="s">
        <v>387</v>
      </c>
      <c r="C475" t="s">
        <v>46</v>
      </c>
      <c r="D475" t="s">
        <v>24</v>
      </c>
      <c r="E475">
        <v>55</v>
      </c>
      <c r="F475" t="str" cm="1">
        <f t="array" ref="F475">_xlfn.IFS(EmployeeData[[#This Row],[Age]]&lt;30,"20s",EmployeeData[[#This Row],[Age]]&lt;40,"30s",EmployeeData[[#This Row],[Age]]&lt;50,"40s",EmployeeData[[#This Row],[Age]]&lt;60,"50s",EmployeeData[[#This Row],[Age]]&gt;=60,"60s")</f>
        <v>50s</v>
      </c>
      <c r="G475" s="5">
        <v>45162</v>
      </c>
      <c r="I475" t="s">
        <v>17</v>
      </c>
      <c r="J475" t="s">
        <v>18</v>
      </c>
      <c r="K475" cm="1">
        <f t="array" aca="1" ref="K475" ca="1">_xlfn.IFS(EmployeeData[[#This Row],[Status]]="Active",_xlfn.DAYS(TODAY(),EmployeeData[[#This Row],[Join Date]]),EmployeeData[[#This Row],[Status]]="Exited",_xlfn.DAYS(EmployeeData[[#This Row],[Exit Date]],EmployeeData[[#This Row],[Join Date]]))</f>
        <v>1035</v>
      </c>
      <c r="L475" cm="1">
        <f t="array" aca="1" ref="L475" ca="1">_xlfn.IFS(EmployeeData[[#This Row],[Status]]="Exited",DATEDIF(EmployeeData[[#This Row],[Join Date]], EmployeeData[[#This Row],[Exit Date]], "Y"),EmployeeData[[#This Row],[Status]]="Active",DATEDIF(EmployeeData[[#This Row],[Join Date]], TODAY(), "Y"))</f>
        <v>2</v>
      </c>
      <c r="Q475" t="str" cm="1">
        <f t="array" aca="1" ref="Q4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0 days</v>
      </c>
    </row>
    <row r="476" spans="1:17" x14ac:dyDescent="0.3">
      <c r="A476">
        <v>1475</v>
      </c>
      <c r="B476" t="s">
        <v>76</v>
      </c>
      <c r="C476" t="s">
        <v>46</v>
      </c>
      <c r="D476" t="s">
        <v>24</v>
      </c>
      <c r="E476">
        <v>21</v>
      </c>
      <c r="F476" t="str" cm="1">
        <f t="array" ref="F476">_xlfn.IFS(EmployeeData[[#This Row],[Age]]&lt;30,"20s",EmployeeData[[#This Row],[Age]]&lt;40,"30s",EmployeeData[[#This Row],[Age]]&lt;50,"40s",EmployeeData[[#This Row],[Age]]&lt;60,"50s",EmployeeData[[#This Row],[Age]]&gt;=60,"60s")</f>
        <v>20s</v>
      </c>
      <c r="G476" s="5">
        <v>45880</v>
      </c>
      <c r="I476" t="s">
        <v>17</v>
      </c>
      <c r="J476" t="s">
        <v>18</v>
      </c>
      <c r="K476" cm="1">
        <f t="array" aca="1" ref="K476" ca="1">_xlfn.IFS(EmployeeData[[#This Row],[Status]]="Active",_xlfn.DAYS(TODAY(),EmployeeData[[#This Row],[Join Date]]),EmployeeData[[#This Row],[Status]]="Exited",_xlfn.DAYS(EmployeeData[[#This Row],[Exit Date]],EmployeeData[[#This Row],[Join Date]]))</f>
        <v>317</v>
      </c>
      <c r="L476" cm="1">
        <f t="array" aca="1" ref="L476" ca="1">_xlfn.IFS(EmployeeData[[#This Row],[Status]]="Exited",DATEDIF(EmployeeData[[#This Row],[Join Date]], EmployeeData[[#This Row],[Exit Date]], "Y"),EmployeeData[[#This Row],[Status]]="Active",DATEDIF(EmployeeData[[#This Row],[Join Date]], TODAY(), "Y"))</f>
        <v>0</v>
      </c>
      <c r="Q476" t="str" cm="1">
        <f t="array" aca="1" ref="Q4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13 days</v>
      </c>
    </row>
    <row r="477" spans="1:17" x14ac:dyDescent="0.3">
      <c r="A477">
        <v>1476</v>
      </c>
      <c r="B477" t="s">
        <v>1025</v>
      </c>
      <c r="C477" t="s">
        <v>20</v>
      </c>
      <c r="D477" t="s">
        <v>24</v>
      </c>
      <c r="E477">
        <v>51</v>
      </c>
      <c r="F477" t="str" cm="1">
        <f t="array" ref="F477">_xlfn.IFS(EmployeeData[[#This Row],[Age]]&lt;30,"20s",EmployeeData[[#This Row],[Age]]&lt;40,"30s",EmployeeData[[#This Row],[Age]]&lt;50,"40s",EmployeeData[[#This Row],[Age]]&lt;60,"50s",EmployeeData[[#This Row],[Age]]&gt;=60,"60s")</f>
        <v>50s</v>
      </c>
      <c r="G477" s="5">
        <v>44662</v>
      </c>
      <c r="H477" s="5">
        <v>46178</v>
      </c>
      <c r="I477" t="s">
        <v>65</v>
      </c>
      <c r="J477" t="s">
        <v>13</v>
      </c>
      <c r="K477" cm="1">
        <f t="array" aca="1" ref="K477" ca="1">_xlfn.IFS(EmployeeData[[#This Row],[Status]]="Active",_xlfn.DAYS(TODAY(),EmployeeData[[#This Row],[Join Date]]),EmployeeData[[#This Row],[Status]]="Exited",_xlfn.DAYS(EmployeeData[[#This Row],[Exit Date]],EmployeeData[[#This Row],[Join Date]]))</f>
        <v>1516</v>
      </c>
      <c r="L477" cm="1">
        <f t="array" aca="1" ref="L477" ca="1">_xlfn.IFS(EmployeeData[[#This Row],[Status]]="Exited",DATEDIF(EmployeeData[[#This Row],[Join Date]], EmployeeData[[#This Row],[Exit Date]], "Y"),EmployeeData[[#This Row],[Status]]="Active",DATEDIF(EmployeeData[[#This Row],[Join Date]], TODAY(), "Y"))</f>
        <v>4</v>
      </c>
      <c r="Q477" t="str" cm="1">
        <f t="array" aca="1" ref="Q4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25 days</v>
      </c>
    </row>
    <row r="478" spans="1:17" x14ac:dyDescent="0.3">
      <c r="A478">
        <v>1477</v>
      </c>
      <c r="B478" t="s">
        <v>430</v>
      </c>
      <c r="C478" t="s">
        <v>46</v>
      </c>
      <c r="D478" t="s">
        <v>16</v>
      </c>
      <c r="E478">
        <v>55</v>
      </c>
      <c r="F478" t="str" cm="1">
        <f t="array" ref="F478">_xlfn.IFS(EmployeeData[[#This Row],[Age]]&lt;30,"20s",EmployeeData[[#This Row],[Age]]&lt;40,"30s",EmployeeData[[#This Row],[Age]]&lt;50,"40s",EmployeeData[[#This Row],[Age]]&lt;60,"50s",EmployeeData[[#This Row],[Age]]&gt;=60,"60s")</f>
        <v>50s</v>
      </c>
      <c r="G478" s="5">
        <v>44774</v>
      </c>
      <c r="H478" s="5">
        <v>44875</v>
      </c>
      <c r="I478" t="s">
        <v>34</v>
      </c>
      <c r="J478" t="s">
        <v>13</v>
      </c>
      <c r="K478" cm="1">
        <f t="array" aca="1" ref="K478" ca="1">_xlfn.IFS(EmployeeData[[#This Row],[Status]]="Active",_xlfn.DAYS(TODAY(),EmployeeData[[#This Row],[Join Date]]),EmployeeData[[#This Row],[Status]]="Exited",_xlfn.DAYS(EmployeeData[[#This Row],[Exit Date]],EmployeeData[[#This Row],[Join Date]]))</f>
        <v>101</v>
      </c>
      <c r="L478" cm="1">
        <f t="array" aca="1" ref="L478" ca="1">_xlfn.IFS(EmployeeData[[#This Row],[Status]]="Exited",DATEDIF(EmployeeData[[#This Row],[Join Date]], EmployeeData[[#This Row],[Exit Date]], "Y"),EmployeeData[[#This Row],[Status]]="Active",DATEDIF(EmployeeData[[#This Row],[Join Date]], TODAY(), "Y"))</f>
        <v>0</v>
      </c>
      <c r="Q478" t="str" cm="1">
        <f t="array" aca="1" ref="Q4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9 days</v>
      </c>
    </row>
    <row r="479" spans="1:17" x14ac:dyDescent="0.3">
      <c r="A479">
        <v>1478</v>
      </c>
      <c r="B479" t="s">
        <v>348</v>
      </c>
      <c r="C479" t="s">
        <v>10</v>
      </c>
      <c r="D479" t="s">
        <v>16</v>
      </c>
      <c r="E479">
        <v>41</v>
      </c>
      <c r="F479" t="str" cm="1">
        <f t="array" ref="F479">_xlfn.IFS(EmployeeData[[#This Row],[Age]]&lt;30,"20s",EmployeeData[[#This Row],[Age]]&lt;40,"30s",EmployeeData[[#This Row],[Age]]&lt;50,"40s",EmployeeData[[#This Row],[Age]]&lt;60,"50s",EmployeeData[[#This Row],[Age]]&gt;=60,"60s")</f>
        <v>40s</v>
      </c>
      <c r="G479" s="5">
        <v>44775</v>
      </c>
      <c r="H479" s="5">
        <v>45181</v>
      </c>
      <c r="I479" t="s">
        <v>12</v>
      </c>
      <c r="J479" t="s">
        <v>13</v>
      </c>
      <c r="K479" cm="1">
        <f t="array" aca="1" ref="K479" ca="1">_xlfn.IFS(EmployeeData[[#This Row],[Status]]="Active",_xlfn.DAYS(TODAY(),EmployeeData[[#This Row],[Join Date]]),EmployeeData[[#This Row],[Status]]="Exited",_xlfn.DAYS(EmployeeData[[#This Row],[Exit Date]],EmployeeData[[#This Row],[Join Date]]))</f>
        <v>406</v>
      </c>
      <c r="L479" cm="1">
        <f t="array" aca="1" ref="L479" ca="1">_xlfn.IFS(EmployeeData[[#This Row],[Status]]="Exited",DATEDIF(EmployeeData[[#This Row],[Join Date]], EmployeeData[[#This Row],[Exit Date]], "Y"),EmployeeData[[#This Row],[Status]]="Active",DATEDIF(EmployeeData[[#This Row],[Join Date]], TODAY(), "Y"))</f>
        <v>1</v>
      </c>
      <c r="Q479" t="str" cm="1">
        <f t="array" aca="1" ref="Q4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10 days</v>
      </c>
    </row>
    <row r="480" spans="1:17" x14ac:dyDescent="0.3">
      <c r="A480">
        <v>1479</v>
      </c>
      <c r="B480" t="s">
        <v>150</v>
      </c>
      <c r="C480" t="s">
        <v>10</v>
      </c>
      <c r="D480" t="s">
        <v>24</v>
      </c>
      <c r="E480">
        <v>38</v>
      </c>
      <c r="F480" t="str" cm="1">
        <f t="array" ref="F480">_xlfn.IFS(EmployeeData[[#This Row],[Age]]&lt;30,"20s",EmployeeData[[#This Row],[Age]]&lt;40,"30s",EmployeeData[[#This Row],[Age]]&lt;50,"40s",EmployeeData[[#This Row],[Age]]&lt;60,"50s",EmployeeData[[#This Row],[Age]]&gt;=60,"60s")</f>
        <v>30s</v>
      </c>
      <c r="G480" s="5">
        <v>45888</v>
      </c>
      <c r="I480" t="s">
        <v>17</v>
      </c>
      <c r="J480" t="s">
        <v>18</v>
      </c>
      <c r="K480" cm="1">
        <f t="array" aca="1" ref="K480" ca="1">_xlfn.IFS(EmployeeData[[#This Row],[Status]]="Active",_xlfn.DAYS(TODAY(),EmployeeData[[#This Row],[Join Date]]),EmployeeData[[#This Row],[Status]]="Exited",_xlfn.DAYS(EmployeeData[[#This Row],[Exit Date]],EmployeeData[[#This Row],[Join Date]]))</f>
        <v>309</v>
      </c>
      <c r="L480" cm="1">
        <f t="array" aca="1" ref="L480" ca="1">_xlfn.IFS(EmployeeData[[#This Row],[Status]]="Exited",DATEDIF(EmployeeData[[#This Row],[Join Date]], EmployeeData[[#This Row],[Exit Date]], "Y"),EmployeeData[[#This Row],[Status]]="Active",DATEDIF(EmployeeData[[#This Row],[Join Date]], TODAY(), "Y"))</f>
        <v>0</v>
      </c>
      <c r="Q480" t="str" cm="1">
        <f t="array" aca="1" ref="Q4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5 days</v>
      </c>
    </row>
    <row r="481" spans="1:17" x14ac:dyDescent="0.3">
      <c r="A481">
        <v>1480</v>
      </c>
      <c r="B481" t="s">
        <v>896</v>
      </c>
      <c r="C481" t="s">
        <v>15</v>
      </c>
      <c r="D481" t="s">
        <v>24</v>
      </c>
      <c r="E481">
        <v>51</v>
      </c>
      <c r="F481" t="str" cm="1">
        <f t="array" ref="F481">_xlfn.IFS(EmployeeData[[#This Row],[Age]]&lt;30,"20s",EmployeeData[[#This Row],[Age]]&lt;40,"30s",EmployeeData[[#This Row],[Age]]&lt;50,"40s",EmployeeData[[#This Row],[Age]]&lt;60,"50s",EmployeeData[[#This Row],[Age]]&gt;=60,"60s")</f>
        <v>50s</v>
      </c>
      <c r="G481" s="5">
        <v>44140</v>
      </c>
      <c r="I481" t="s">
        <v>17</v>
      </c>
      <c r="J481" t="s">
        <v>18</v>
      </c>
      <c r="K481" cm="1">
        <f t="array" aca="1" ref="K481" ca="1">_xlfn.IFS(EmployeeData[[#This Row],[Status]]="Active",_xlfn.DAYS(TODAY(),EmployeeData[[#This Row],[Join Date]]),EmployeeData[[#This Row],[Status]]="Exited",_xlfn.DAYS(EmployeeData[[#This Row],[Exit Date]],EmployeeData[[#This Row],[Join Date]]))</f>
        <v>2057</v>
      </c>
      <c r="L481" cm="1">
        <f t="array" aca="1" ref="L481" ca="1">_xlfn.IFS(EmployeeData[[#This Row],[Status]]="Exited",DATEDIF(EmployeeData[[#This Row],[Join Date]], EmployeeData[[#This Row],[Exit Date]], "Y"),EmployeeData[[#This Row],[Status]]="Active",DATEDIF(EmployeeData[[#This Row],[Join Date]], TODAY(), "Y"))</f>
        <v>5</v>
      </c>
      <c r="Q481" t="str" cm="1">
        <f t="array" aca="1" ref="Q4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19 days</v>
      </c>
    </row>
    <row r="482" spans="1:17" x14ac:dyDescent="0.3">
      <c r="A482">
        <v>1481</v>
      </c>
      <c r="B482" t="s">
        <v>447</v>
      </c>
      <c r="C482" t="s">
        <v>10</v>
      </c>
      <c r="D482" t="s">
        <v>16</v>
      </c>
      <c r="E482">
        <v>28</v>
      </c>
      <c r="F482" t="str" cm="1">
        <f t="array" ref="F482">_xlfn.IFS(EmployeeData[[#This Row],[Age]]&lt;30,"20s",EmployeeData[[#This Row],[Age]]&lt;40,"30s",EmployeeData[[#This Row],[Age]]&lt;50,"40s",EmployeeData[[#This Row],[Age]]&lt;60,"50s",EmployeeData[[#This Row],[Age]]&gt;=60,"60s")</f>
        <v>20s</v>
      </c>
      <c r="G482" s="5">
        <v>44042</v>
      </c>
      <c r="I482" t="s">
        <v>17</v>
      </c>
      <c r="J482" t="s">
        <v>18</v>
      </c>
      <c r="K482" cm="1">
        <f t="array" aca="1" ref="K482" ca="1">_xlfn.IFS(EmployeeData[[#This Row],[Status]]="Active",_xlfn.DAYS(TODAY(),EmployeeData[[#This Row],[Join Date]]),EmployeeData[[#This Row],[Status]]="Exited",_xlfn.DAYS(EmployeeData[[#This Row],[Exit Date]],EmployeeData[[#This Row],[Join Date]]))</f>
        <v>2155</v>
      </c>
      <c r="L482" cm="1">
        <f t="array" aca="1" ref="L482" ca="1">_xlfn.IFS(EmployeeData[[#This Row],[Status]]="Exited",DATEDIF(EmployeeData[[#This Row],[Join Date]], EmployeeData[[#This Row],[Exit Date]], "Y"),EmployeeData[[#This Row],[Status]]="Active",DATEDIF(EmployeeData[[#This Row],[Join Date]], TODAY(), "Y"))</f>
        <v>5</v>
      </c>
      <c r="Q482" t="str" cm="1">
        <f t="array" aca="1" ref="Q4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25 days</v>
      </c>
    </row>
    <row r="483" spans="1:17" x14ac:dyDescent="0.3">
      <c r="A483">
        <v>1482</v>
      </c>
      <c r="B483" t="s">
        <v>334</v>
      </c>
      <c r="C483" t="s">
        <v>33</v>
      </c>
      <c r="D483" t="s">
        <v>11</v>
      </c>
      <c r="E483">
        <v>24</v>
      </c>
      <c r="F483" t="str" cm="1">
        <f t="array" ref="F483">_xlfn.IFS(EmployeeData[[#This Row],[Age]]&lt;30,"20s",EmployeeData[[#This Row],[Age]]&lt;40,"30s",EmployeeData[[#This Row],[Age]]&lt;50,"40s",EmployeeData[[#This Row],[Age]]&lt;60,"50s",EmployeeData[[#This Row],[Age]]&gt;=60,"60s")</f>
        <v>20s</v>
      </c>
      <c r="G483" s="5">
        <v>43759</v>
      </c>
      <c r="I483" t="s">
        <v>17</v>
      </c>
      <c r="J483" t="s">
        <v>18</v>
      </c>
      <c r="K483" cm="1">
        <f t="array" aca="1" ref="K483" ca="1">_xlfn.IFS(EmployeeData[[#This Row],[Status]]="Active",_xlfn.DAYS(TODAY(),EmployeeData[[#This Row],[Join Date]]),EmployeeData[[#This Row],[Status]]="Exited",_xlfn.DAYS(EmployeeData[[#This Row],[Exit Date]],EmployeeData[[#This Row],[Join Date]]))</f>
        <v>2438</v>
      </c>
      <c r="L483" cm="1">
        <f t="array" aca="1" ref="L483" ca="1">_xlfn.IFS(EmployeeData[[#This Row],[Status]]="Exited",DATEDIF(EmployeeData[[#This Row],[Join Date]], EmployeeData[[#This Row],[Exit Date]], "Y"),EmployeeData[[#This Row],[Status]]="Active",DATEDIF(EmployeeData[[#This Row],[Join Date]], TODAY(), "Y"))</f>
        <v>6</v>
      </c>
      <c r="Q483" t="str" cm="1">
        <f t="array" aca="1" ref="Q4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3 days</v>
      </c>
    </row>
    <row r="484" spans="1:17" x14ac:dyDescent="0.3">
      <c r="A484">
        <v>1483</v>
      </c>
      <c r="B484" t="s">
        <v>725</v>
      </c>
      <c r="C484" t="s">
        <v>23</v>
      </c>
      <c r="D484" t="s">
        <v>24</v>
      </c>
      <c r="E484">
        <v>26</v>
      </c>
      <c r="F484" t="str" cm="1">
        <f t="array" ref="F484">_xlfn.IFS(EmployeeData[[#This Row],[Age]]&lt;30,"20s",EmployeeData[[#This Row],[Age]]&lt;40,"30s",EmployeeData[[#This Row],[Age]]&lt;50,"40s",EmployeeData[[#This Row],[Age]]&lt;60,"50s",EmployeeData[[#This Row],[Age]]&gt;=60,"60s")</f>
        <v>20s</v>
      </c>
      <c r="G484" s="5">
        <v>43363</v>
      </c>
      <c r="H484" s="5">
        <v>44971</v>
      </c>
      <c r="I484" t="s">
        <v>31</v>
      </c>
      <c r="J484" t="s">
        <v>13</v>
      </c>
      <c r="K484" cm="1">
        <f t="array" aca="1" ref="K484" ca="1">_xlfn.IFS(EmployeeData[[#This Row],[Status]]="Active",_xlfn.DAYS(TODAY(),EmployeeData[[#This Row],[Join Date]]),EmployeeData[[#This Row],[Status]]="Exited",_xlfn.DAYS(EmployeeData[[#This Row],[Exit Date]],EmployeeData[[#This Row],[Join Date]]))</f>
        <v>1608</v>
      </c>
      <c r="L484" cm="1">
        <f t="array" aca="1" ref="L484" ca="1">_xlfn.IFS(EmployeeData[[#This Row],[Status]]="Exited",DATEDIF(EmployeeData[[#This Row],[Join Date]], EmployeeData[[#This Row],[Exit Date]], "Y"),EmployeeData[[#This Row],[Status]]="Active",DATEDIF(EmployeeData[[#This Row],[Join Date]], TODAY(), "Y"))</f>
        <v>4</v>
      </c>
      <c r="Q484" t="str" cm="1">
        <f t="array" aca="1" ref="Q4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25 days</v>
      </c>
    </row>
    <row r="485" spans="1:17" x14ac:dyDescent="0.3">
      <c r="A485">
        <v>1484</v>
      </c>
      <c r="B485" t="s">
        <v>347</v>
      </c>
      <c r="C485" t="s">
        <v>23</v>
      </c>
      <c r="D485" t="s">
        <v>24</v>
      </c>
      <c r="E485">
        <v>24</v>
      </c>
      <c r="F485" t="str" cm="1">
        <f t="array" ref="F485">_xlfn.IFS(EmployeeData[[#This Row],[Age]]&lt;30,"20s",EmployeeData[[#This Row],[Age]]&lt;40,"30s",EmployeeData[[#This Row],[Age]]&lt;50,"40s",EmployeeData[[#This Row],[Age]]&lt;60,"50s",EmployeeData[[#This Row],[Age]]&gt;=60,"60s")</f>
        <v>20s</v>
      </c>
      <c r="G485" s="5">
        <v>43818</v>
      </c>
      <c r="I485" t="s">
        <v>17</v>
      </c>
      <c r="J485" t="s">
        <v>18</v>
      </c>
      <c r="K485" cm="1">
        <f t="array" aca="1" ref="K485" ca="1">_xlfn.IFS(EmployeeData[[#This Row],[Status]]="Active",_xlfn.DAYS(TODAY(),EmployeeData[[#This Row],[Join Date]]),EmployeeData[[#This Row],[Status]]="Exited",_xlfn.DAYS(EmployeeData[[#This Row],[Exit Date]],EmployeeData[[#This Row],[Join Date]]))</f>
        <v>2379</v>
      </c>
      <c r="L485" cm="1">
        <f t="array" aca="1" ref="L485" ca="1">_xlfn.IFS(EmployeeData[[#This Row],[Status]]="Exited",DATEDIF(EmployeeData[[#This Row],[Join Date]], EmployeeData[[#This Row],[Exit Date]], "Y"),EmployeeData[[#This Row],[Status]]="Active",DATEDIF(EmployeeData[[#This Row],[Join Date]], TODAY(), "Y"))</f>
        <v>6</v>
      </c>
      <c r="Q485" t="str" cm="1">
        <f t="array" aca="1" ref="Q4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5 days</v>
      </c>
    </row>
    <row r="486" spans="1:17" x14ac:dyDescent="0.3">
      <c r="A486">
        <v>1485</v>
      </c>
      <c r="B486" t="s">
        <v>945</v>
      </c>
      <c r="C486" t="s">
        <v>15</v>
      </c>
      <c r="D486" t="s">
        <v>11</v>
      </c>
      <c r="E486">
        <v>53</v>
      </c>
      <c r="F486" t="str" cm="1">
        <f t="array" ref="F486">_xlfn.IFS(EmployeeData[[#This Row],[Age]]&lt;30,"20s",EmployeeData[[#This Row],[Age]]&lt;40,"30s",EmployeeData[[#This Row],[Age]]&lt;50,"40s",EmployeeData[[#This Row],[Age]]&lt;60,"50s",EmployeeData[[#This Row],[Age]]&gt;=60,"60s")</f>
        <v>50s</v>
      </c>
      <c r="G486" s="5">
        <v>45213</v>
      </c>
      <c r="I486" t="s">
        <v>17</v>
      </c>
      <c r="J486" t="s">
        <v>18</v>
      </c>
      <c r="K486" cm="1">
        <f t="array" aca="1" ref="K486" ca="1">_xlfn.IFS(EmployeeData[[#This Row],[Status]]="Active",_xlfn.DAYS(TODAY(),EmployeeData[[#This Row],[Join Date]]),EmployeeData[[#This Row],[Status]]="Exited",_xlfn.DAYS(EmployeeData[[#This Row],[Exit Date]],EmployeeData[[#This Row],[Join Date]]))</f>
        <v>984</v>
      </c>
      <c r="L486" cm="1">
        <f t="array" aca="1" ref="L486" ca="1">_xlfn.IFS(EmployeeData[[#This Row],[Status]]="Exited",DATEDIF(EmployeeData[[#This Row],[Join Date]], EmployeeData[[#This Row],[Exit Date]], "Y"),EmployeeData[[#This Row],[Status]]="Active",DATEDIF(EmployeeData[[#This Row],[Join Date]], TODAY(), "Y"))</f>
        <v>2</v>
      </c>
      <c r="Q486" t="str" cm="1">
        <f t="array" aca="1" ref="Q4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10 days</v>
      </c>
    </row>
    <row r="487" spans="1:17" x14ac:dyDescent="0.3">
      <c r="A487">
        <v>1486</v>
      </c>
      <c r="B487" t="s">
        <v>938</v>
      </c>
      <c r="C487" t="s">
        <v>10</v>
      </c>
      <c r="D487" t="s">
        <v>24</v>
      </c>
      <c r="E487">
        <v>31</v>
      </c>
      <c r="F487" t="str" cm="1">
        <f t="array" ref="F487">_xlfn.IFS(EmployeeData[[#This Row],[Age]]&lt;30,"20s",EmployeeData[[#This Row],[Age]]&lt;40,"30s",EmployeeData[[#This Row],[Age]]&lt;50,"40s",EmployeeData[[#This Row],[Age]]&lt;60,"50s",EmployeeData[[#This Row],[Age]]&gt;=60,"60s")</f>
        <v>30s</v>
      </c>
      <c r="G487" s="5">
        <v>43456</v>
      </c>
      <c r="I487" t="s">
        <v>17</v>
      </c>
      <c r="J487" t="s">
        <v>18</v>
      </c>
      <c r="K487" cm="1">
        <f t="array" aca="1" ref="K487" ca="1">_xlfn.IFS(EmployeeData[[#This Row],[Status]]="Active",_xlfn.DAYS(TODAY(),EmployeeData[[#This Row],[Join Date]]),EmployeeData[[#This Row],[Status]]="Exited",_xlfn.DAYS(EmployeeData[[#This Row],[Exit Date]],EmployeeData[[#This Row],[Join Date]]))</f>
        <v>2741</v>
      </c>
      <c r="L487" cm="1">
        <f t="array" aca="1" ref="L487" ca="1">_xlfn.IFS(EmployeeData[[#This Row],[Status]]="Exited",DATEDIF(EmployeeData[[#This Row],[Join Date]], EmployeeData[[#This Row],[Exit Date]], "Y"),EmployeeData[[#This Row],[Status]]="Active",DATEDIF(EmployeeData[[#This Row],[Join Date]], TODAY(), "Y"))</f>
        <v>7</v>
      </c>
      <c r="Q487" t="str" cm="1">
        <f t="array" aca="1" ref="Q4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2 days</v>
      </c>
    </row>
    <row r="488" spans="1:17" x14ac:dyDescent="0.3">
      <c r="A488">
        <v>1487</v>
      </c>
      <c r="B488" t="s">
        <v>880</v>
      </c>
      <c r="C488" t="s">
        <v>10</v>
      </c>
      <c r="D488" t="s">
        <v>16</v>
      </c>
      <c r="E488">
        <v>21</v>
      </c>
      <c r="F488" t="str" cm="1">
        <f t="array" ref="F488">_xlfn.IFS(EmployeeData[[#This Row],[Age]]&lt;30,"20s",EmployeeData[[#This Row],[Age]]&lt;40,"30s",EmployeeData[[#This Row],[Age]]&lt;50,"40s",EmployeeData[[#This Row],[Age]]&lt;60,"50s",EmployeeData[[#This Row],[Age]]&gt;=60,"60s")</f>
        <v>20s</v>
      </c>
      <c r="G488" s="5">
        <v>45983</v>
      </c>
      <c r="H488" s="5">
        <v>46084</v>
      </c>
      <c r="I488" t="s">
        <v>65</v>
      </c>
      <c r="J488" t="s">
        <v>13</v>
      </c>
      <c r="K488" cm="1">
        <f t="array" aca="1" ref="K488" ca="1">_xlfn.IFS(EmployeeData[[#This Row],[Status]]="Active",_xlfn.DAYS(TODAY(),EmployeeData[[#This Row],[Join Date]]),EmployeeData[[#This Row],[Status]]="Exited",_xlfn.DAYS(EmployeeData[[#This Row],[Exit Date]],EmployeeData[[#This Row],[Join Date]]))</f>
        <v>101</v>
      </c>
      <c r="L488" cm="1">
        <f t="array" aca="1" ref="L488" ca="1">_xlfn.IFS(EmployeeData[[#This Row],[Status]]="Exited",DATEDIF(EmployeeData[[#This Row],[Join Date]], EmployeeData[[#This Row],[Exit Date]], "Y"),EmployeeData[[#This Row],[Status]]="Active",DATEDIF(EmployeeData[[#This Row],[Join Date]], TODAY(), "Y"))</f>
        <v>0</v>
      </c>
      <c r="Q488" t="str" cm="1">
        <f t="array" aca="1" ref="Q4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9 days</v>
      </c>
    </row>
    <row r="489" spans="1:17" x14ac:dyDescent="0.3">
      <c r="A489">
        <v>1488</v>
      </c>
      <c r="B489" t="s">
        <v>831</v>
      </c>
      <c r="C489" t="s">
        <v>15</v>
      </c>
      <c r="D489" t="s">
        <v>11</v>
      </c>
      <c r="E489">
        <v>50</v>
      </c>
      <c r="F489" t="str" cm="1">
        <f t="array" ref="F489">_xlfn.IFS(EmployeeData[[#This Row],[Age]]&lt;30,"20s",EmployeeData[[#This Row],[Age]]&lt;40,"30s",EmployeeData[[#This Row],[Age]]&lt;50,"40s",EmployeeData[[#This Row],[Age]]&lt;60,"50s",EmployeeData[[#This Row],[Age]]&gt;=60,"60s")</f>
        <v>50s</v>
      </c>
      <c r="G489" s="5">
        <v>44755</v>
      </c>
      <c r="I489" t="s">
        <v>17</v>
      </c>
      <c r="J489" t="s">
        <v>18</v>
      </c>
      <c r="K489" cm="1">
        <f t="array" aca="1" ref="K489" ca="1">_xlfn.IFS(EmployeeData[[#This Row],[Status]]="Active",_xlfn.DAYS(TODAY(),EmployeeData[[#This Row],[Join Date]]),EmployeeData[[#This Row],[Status]]="Exited",_xlfn.DAYS(EmployeeData[[#This Row],[Exit Date]],EmployeeData[[#This Row],[Join Date]]))</f>
        <v>1442</v>
      </c>
      <c r="L489" cm="1">
        <f t="array" aca="1" ref="L489" ca="1">_xlfn.IFS(EmployeeData[[#This Row],[Status]]="Exited",DATEDIF(EmployeeData[[#This Row],[Join Date]], EmployeeData[[#This Row],[Exit Date]], "Y"),EmployeeData[[#This Row],[Status]]="Active",DATEDIF(EmployeeData[[#This Row],[Join Date]], TODAY(), "Y"))</f>
        <v>3</v>
      </c>
      <c r="Q489" t="str" cm="1">
        <f t="array" aca="1" ref="Q4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11 days</v>
      </c>
    </row>
    <row r="490" spans="1:17" x14ac:dyDescent="0.3">
      <c r="A490">
        <v>1489</v>
      </c>
      <c r="B490" t="s">
        <v>498</v>
      </c>
      <c r="C490" t="s">
        <v>23</v>
      </c>
      <c r="D490" t="s">
        <v>24</v>
      </c>
      <c r="E490">
        <v>42</v>
      </c>
      <c r="F490" t="str" cm="1">
        <f t="array" ref="F490">_xlfn.IFS(EmployeeData[[#This Row],[Age]]&lt;30,"20s",EmployeeData[[#This Row],[Age]]&lt;40,"30s",EmployeeData[[#This Row],[Age]]&lt;50,"40s",EmployeeData[[#This Row],[Age]]&lt;60,"50s",EmployeeData[[#This Row],[Age]]&gt;=60,"60s")</f>
        <v>40s</v>
      </c>
      <c r="G490" s="5">
        <v>43580</v>
      </c>
      <c r="I490" t="s">
        <v>17</v>
      </c>
      <c r="J490" t="s">
        <v>18</v>
      </c>
      <c r="K490" cm="1">
        <f t="array" aca="1" ref="K490" ca="1">_xlfn.IFS(EmployeeData[[#This Row],[Status]]="Active",_xlfn.DAYS(TODAY(),EmployeeData[[#This Row],[Join Date]]),EmployeeData[[#This Row],[Status]]="Exited",_xlfn.DAYS(EmployeeData[[#This Row],[Exit Date]],EmployeeData[[#This Row],[Join Date]]))</f>
        <v>2617</v>
      </c>
      <c r="L490" cm="1">
        <f t="array" aca="1" ref="L490" ca="1">_xlfn.IFS(EmployeeData[[#This Row],[Status]]="Exited",DATEDIF(EmployeeData[[#This Row],[Join Date]], EmployeeData[[#This Row],[Exit Date]], "Y"),EmployeeData[[#This Row],[Status]]="Active",DATEDIF(EmployeeData[[#This Row],[Join Date]], TODAY(), "Y"))</f>
        <v>7</v>
      </c>
      <c r="Q490" t="str" cm="1">
        <f t="array" aca="1" ref="Q4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 months 30 days</v>
      </c>
    </row>
    <row r="491" spans="1:17" x14ac:dyDescent="0.3">
      <c r="A491">
        <v>1490</v>
      </c>
      <c r="B491" t="s">
        <v>350</v>
      </c>
      <c r="C491" t="s">
        <v>23</v>
      </c>
      <c r="D491" t="s">
        <v>11</v>
      </c>
      <c r="E491">
        <v>45</v>
      </c>
      <c r="F491" t="str" cm="1">
        <f t="array" ref="F491">_xlfn.IFS(EmployeeData[[#This Row],[Age]]&lt;30,"20s",EmployeeData[[#This Row],[Age]]&lt;40,"30s",EmployeeData[[#This Row],[Age]]&lt;50,"40s",EmployeeData[[#This Row],[Age]]&lt;60,"50s",EmployeeData[[#This Row],[Age]]&gt;=60,"60s")</f>
        <v>40s</v>
      </c>
      <c r="G491" s="5">
        <v>45407</v>
      </c>
      <c r="I491" t="s">
        <v>17</v>
      </c>
      <c r="J491" t="s">
        <v>18</v>
      </c>
      <c r="K491" cm="1">
        <f t="array" aca="1" ref="K491" ca="1">_xlfn.IFS(EmployeeData[[#This Row],[Status]]="Active",_xlfn.DAYS(TODAY(),EmployeeData[[#This Row],[Join Date]]),EmployeeData[[#This Row],[Status]]="Exited",_xlfn.DAYS(EmployeeData[[#This Row],[Exit Date]],EmployeeData[[#This Row],[Join Date]]))</f>
        <v>790</v>
      </c>
      <c r="L491" cm="1">
        <f t="array" aca="1" ref="L491" ca="1">_xlfn.IFS(EmployeeData[[#This Row],[Status]]="Exited",DATEDIF(EmployeeData[[#This Row],[Join Date]], EmployeeData[[#This Row],[Exit Date]], "Y"),EmployeeData[[#This Row],[Status]]="Active",DATEDIF(EmployeeData[[#This Row],[Join Date]], TODAY(), "Y"))</f>
        <v>2</v>
      </c>
      <c r="Q491" t="str" cm="1">
        <f t="array" aca="1" ref="Q4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30 days</v>
      </c>
    </row>
    <row r="492" spans="1:17" x14ac:dyDescent="0.3">
      <c r="A492">
        <v>1491</v>
      </c>
      <c r="B492" t="s">
        <v>1057</v>
      </c>
      <c r="C492" t="s">
        <v>10</v>
      </c>
      <c r="D492" t="s">
        <v>24</v>
      </c>
      <c r="E492">
        <v>58</v>
      </c>
      <c r="F492" t="str" cm="1">
        <f t="array" ref="F492">_xlfn.IFS(EmployeeData[[#This Row],[Age]]&lt;30,"20s",EmployeeData[[#This Row],[Age]]&lt;40,"30s",EmployeeData[[#This Row],[Age]]&lt;50,"40s",EmployeeData[[#This Row],[Age]]&lt;60,"50s",EmployeeData[[#This Row],[Age]]&gt;=60,"60s")</f>
        <v>50s</v>
      </c>
      <c r="G492" s="5">
        <v>43213</v>
      </c>
      <c r="I492" t="s">
        <v>17</v>
      </c>
      <c r="J492" t="s">
        <v>18</v>
      </c>
      <c r="K492" cm="1">
        <f t="array" aca="1" ref="K492" ca="1">_xlfn.IFS(EmployeeData[[#This Row],[Status]]="Active",_xlfn.DAYS(TODAY(),EmployeeData[[#This Row],[Join Date]]),EmployeeData[[#This Row],[Status]]="Exited",_xlfn.DAYS(EmployeeData[[#This Row],[Exit Date]],EmployeeData[[#This Row],[Join Date]]))</f>
        <v>2984</v>
      </c>
      <c r="L492" cm="1">
        <f t="array" aca="1" ref="L492" ca="1">_xlfn.IFS(EmployeeData[[#This Row],[Status]]="Exited",DATEDIF(EmployeeData[[#This Row],[Join Date]], EmployeeData[[#This Row],[Exit Date]], "Y"),EmployeeData[[#This Row],[Status]]="Active",DATEDIF(EmployeeData[[#This Row],[Join Date]], TODAY(), "Y"))</f>
        <v>8</v>
      </c>
      <c r="Q492" t="str" cm="1">
        <f t="array" aca="1" ref="Q4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1 days</v>
      </c>
    </row>
    <row r="493" spans="1:17" x14ac:dyDescent="0.3">
      <c r="A493">
        <v>1492</v>
      </c>
      <c r="B493" t="s">
        <v>316</v>
      </c>
      <c r="C493" t="s">
        <v>20</v>
      </c>
      <c r="D493" t="s">
        <v>16</v>
      </c>
      <c r="E493">
        <v>41</v>
      </c>
      <c r="F493" t="str" cm="1">
        <f t="array" ref="F493">_xlfn.IFS(EmployeeData[[#This Row],[Age]]&lt;30,"20s",EmployeeData[[#This Row],[Age]]&lt;40,"30s",EmployeeData[[#This Row],[Age]]&lt;50,"40s",EmployeeData[[#This Row],[Age]]&lt;60,"50s",EmployeeData[[#This Row],[Age]]&gt;=60,"60s")</f>
        <v>40s</v>
      </c>
      <c r="G493" s="5">
        <v>44790</v>
      </c>
      <c r="I493" t="s">
        <v>17</v>
      </c>
      <c r="J493" t="s">
        <v>18</v>
      </c>
      <c r="K493" cm="1">
        <f t="array" aca="1" ref="K493" ca="1">_xlfn.IFS(EmployeeData[[#This Row],[Status]]="Active",_xlfn.DAYS(TODAY(),EmployeeData[[#This Row],[Join Date]]),EmployeeData[[#This Row],[Status]]="Exited",_xlfn.DAYS(EmployeeData[[#This Row],[Exit Date]],EmployeeData[[#This Row],[Join Date]]))</f>
        <v>1407</v>
      </c>
      <c r="L493" cm="1">
        <f t="array" aca="1" ref="L493" ca="1">_xlfn.IFS(EmployeeData[[#This Row],[Status]]="Exited",DATEDIF(EmployeeData[[#This Row],[Join Date]], EmployeeData[[#This Row],[Exit Date]], "Y"),EmployeeData[[#This Row],[Status]]="Active",DATEDIF(EmployeeData[[#This Row],[Join Date]], TODAY(), "Y"))</f>
        <v>3</v>
      </c>
      <c r="Q493" t="str" cm="1">
        <f t="array" aca="1" ref="Q4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7 days</v>
      </c>
    </row>
    <row r="494" spans="1:17" x14ac:dyDescent="0.3">
      <c r="A494">
        <v>1493</v>
      </c>
      <c r="B494" t="s">
        <v>884</v>
      </c>
      <c r="C494" t="s">
        <v>10</v>
      </c>
      <c r="D494" t="s">
        <v>16</v>
      </c>
      <c r="E494">
        <v>42</v>
      </c>
      <c r="F494" t="str" cm="1">
        <f t="array" ref="F494">_xlfn.IFS(EmployeeData[[#This Row],[Age]]&lt;30,"20s",EmployeeData[[#This Row],[Age]]&lt;40,"30s",EmployeeData[[#This Row],[Age]]&lt;50,"40s",EmployeeData[[#This Row],[Age]]&lt;60,"50s",EmployeeData[[#This Row],[Age]]&gt;=60,"60s")</f>
        <v>40s</v>
      </c>
      <c r="G494" s="5">
        <v>43412</v>
      </c>
      <c r="I494" t="s">
        <v>17</v>
      </c>
      <c r="J494" t="s">
        <v>18</v>
      </c>
      <c r="K494" cm="1">
        <f t="array" aca="1" ref="K494" ca="1">_xlfn.IFS(EmployeeData[[#This Row],[Status]]="Active",_xlfn.DAYS(TODAY(),EmployeeData[[#This Row],[Join Date]]),EmployeeData[[#This Row],[Status]]="Exited",_xlfn.DAYS(EmployeeData[[#This Row],[Exit Date]],EmployeeData[[#This Row],[Join Date]]))</f>
        <v>2785</v>
      </c>
      <c r="L494" cm="1">
        <f t="array" aca="1" ref="L494" ca="1">_xlfn.IFS(EmployeeData[[#This Row],[Status]]="Exited",DATEDIF(EmployeeData[[#This Row],[Join Date]], EmployeeData[[#This Row],[Exit Date]], "Y"),EmployeeData[[#This Row],[Status]]="Active",DATEDIF(EmployeeData[[#This Row],[Join Date]], TODAY(), "Y"))</f>
        <v>7</v>
      </c>
      <c r="Q494" t="str" cm="1">
        <f t="array" aca="1" ref="Q4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16 days</v>
      </c>
    </row>
    <row r="495" spans="1:17" x14ac:dyDescent="0.3">
      <c r="A495">
        <v>1494</v>
      </c>
      <c r="B495" t="s">
        <v>113</v>
      </c>
      <c r="C495" t="s">
        <v>33</v>
      </c>
      <c r="D495" t="s">
        <v>16</v>
      </c>
      <c r="E495">
        <v>33</v>
      </c>
      <c r="F495" t="str" cm="1">
        <f t="array" ref="F495">_xlfn.IFS(EmployeeData[[#This Row],[Age]]&lt;30,"20s",EmployeeData[[#This Row],[Age]]&lt;40,"30s",EmployeeData[[#This Row],[Age]]&lt;50,"40s",EmployeeData[[#This Row],[Age]]&lt;60,"50s",EmployeeData[[#This Row],[Age]]&gt;=60,"60s")</f>
        <v>30s</v>
      </c>
      <c r="G495" s="5">
        <v>45144</v>
      </c>
      <c r="I495" t="s">
        <v>17</v>
      </c>
      <c r="J495" t="s">
        <v>18</v>
      </c>
      <c r="K495" cm="1">
        <f t="array" aca="1" ref="K495" ca="1">_xlfn.IFS(EmployeeData[[#This Row],[Status]]="Active",_xlfn.DAYS(TODAY(),EmployeeData[[#This Row],[Join Date]]),EmployeeData[[#This Row],[Status]]="Exited",_xlfn.DAYS(EmployeeData[[#This Row],[Exit Date]],EmployeeData[[#This Row],[Join Date]]))</f>
        <v>1053</v>
      </c>
      <c r="L495" cm="1">
        <f t="array" aca="1" ref="L495" ca="1">_xlfn.IFS(EmployeeData[[#This Row],[Status]]="Exited",DATEDIF(EmployeeData[[#This Row],[Join Date]], EmployeeData[[#This Row],[Exit Date]], "Y"),EmployeeData[[#This Row],[Status]]="Active",DATEDIF(EmployeeData[[#This Row],[Join Date]], TODAY(), "Y"))</f>
        <v>2</v>
      </c>
      <c r="Q495" t="str" cm="1">
        <f t="array" aca="1" ref="Q4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18 days</v>
      </c>
    </row>
    <row r="496" spans="1:17" x14ac:dyDescent="0.3">
      <c r="A496">
        <v>1495</v>
      </c>
      <c r="B496" t="s">
        <v>445</v>
      </c>
      <c r="C496" t="s">
        <v>15</v>
      </c>
      <c r="D496" t="s">
        <v>16</v>
      </c>
      <c r="E496">
        <v>36</v>
      </c>
      <c r="F496" t="str" cm="1">
        <f t="array" ref="F496">_xlfn.IFS(EmployeeData[[#This Row],[Age]]&lt;30,"20s",EmployeeData[[#This Row],[Age]]&lt;40,"30s",EmployeeData[[#This Row],[Age]]&lt;50,"40s",EmployeeData[[#This Row],[Age]]&lt;60,"50s",EmployeeData[[#This Row],[Age]]&gt;=60,"60s")</f>
        <v>30s</v>
      </c>
      <c r="G496" s="5">
        <v>45634</v>
      </c>
      <c r="H496" s="5">
        <v>46122</v>
      </c>
      <c r="I496" t="s">
        <v>31</v>
      </c>
      <c r="J496" t="s">
        <v>13</v>
      </c>
      <c r="K496" cm="1">
        <f t="array" aca="1" ref="K496" ca="1">_xlfn.IFS(EmployeeData[[#This Row],[Status]]="Active",_xlfn.DAYS(TODAY(),EmployeeData[[#This Row],[Join Date]]),EmployeeData[[#This Row],[Status]]="Exited",_xlfn.DAYS(EmployeeData[[#This Row],[Exit Date]],EmployeeData[[#This Row],[Join Date]]))</f>
        <v>488</v>
      </c>
      <c r="L496" cm="1">
        <f t="array" aca="1" ref="L496" ca="1">_xlfn.IFS(EmployeeData[[#This Row],[Status]]="Exited",DATEDIF(EmployeeData[[#This Row],[Join Date]], EmployeeData[[#This Row],[Exit Date]], "Y"),EmployeeData[[#This Row],[Status]]="Active",DATEDIF(EmployeeData[[#This Row],[Join Date]], TODAY(), "Y"))</f>
        <v>1</v>
      </c>
      <c r="Q496" t="str" cm="1">
        <f t="array" aca="1" ref="Q4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2 days</v>
      </c>
    </row>
    <row r="497" spans="1:17" x14ac:dyDescent="0.3">
      <c r="A497">
        <v>1496</v>
      </c>
      <c r="B497" t="s">
        <v>514</v>
      </c>
      <c r="C497" t="s">
        <v>23</v>
      </c>
      <c r="D497" t="s">
        <v>16</v>
      </c>
      <c r="E497">
        <v>55</v>
      </c>
      <c r="F497" t="str" cm="1">
        <f t="array" ref="F497">_xlfn.IFS(EmployeeData[[#This Row],[Age]]&lt;30,"20s",EmployeeData[[#This Row],[Age]]&lt;40,"30s",EmployeeData[[#This Row],[Age]]&lt;50,"40s",EmployeeData[[#This Row],[Age]]&lt;60,"50s",EmployeeData[[#This Row],[Age]]&gt;=60,"60s")</f>
        <v>50s</v>
      </c>
      <c r="G497" s="5">
        <v>43274</v>
      </c>
      <c r="I497" t="s">
        <v>17</v>
      </c>
      <c r="J497" t="s">
        <v>18</v>
      </c>
      <c r="K497" cm="1">
        <f t="array" aca="1" ref="K497" ca="1">_xlfn.IFS(EmployeeData[[#This Row],[Status]]="Active",_xlfn.DAYS(TODAY(),EmployeeData[[#This Row],[Join Date]]),EmployeeData[[#This Row],[Status]]="Exited",_xlfn.DAYS(EmployeeData[[#This Row],[Exit Date]],EmployeeData[[#This Row],[Join Date]]))</f>
        <v>2923</v>
      </c>
      <c r="L497" cm="1">
        <f t="array" aca="1" ref="L497" ca="1">_xlfn.IFS(EmployeeData[[#This Row],[Status]]="Exited",DATEDIF(EmployeeData[[#This Row],[Join Date]], EmployeeData[[#This Row],[Exit Date]], "Y"),EmployeeData[[#This Row],[Status]]="Active",DATEDIF(EmployeeData[[#This Row],[Join Date]], TODAY(), "Y"))</f>
        <v>8</v>
      </c>
      <c r="Q497" t="str" cm="1">
        <f t="array" aca="1" ref="Q4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1 days</v>
      </c>
    </row>
    <row r="498" spans="1:17" x14ac:dyDescent="0.3">
      <c r="A498">
        <v>1497</v>
      </c>
      <c r="B498" t="s">
        <v>613</v>
      </c>
      <c r="C498" t="s">
        <v>23</v>
      </c>
      <c r="D498" t="s">
        <v>11</v>
      </c>
      <c r="E498">
        <v>53</v>
      </c>
      <c r="F498" t="str" cm="1">
        <f t="array" ref="F498">_xlfn.IFS(EmployeeData[[#This Row],[Age]]&lt;30,"20s",EmployeeData[[#This Row],[Age]]&lt;40,"30s",EmployeeData[[#This Row],[Age]]&lt;50,"40s",EmployeeData[[#This Row],[Age]]&lt;60,"50s",EmployeeData[[#This Row],[Age]]&gt;=60,"60s")</f>
        <v>50s</v>
      </c>
      <c r="G498" s="5">
        <v>44248</v>
      </c>
      <c r="I498" t="s">
        <v>17</v>
      </c>
      <c r="J498" t="s">
        <v>18</v>
      </c>
      <c r="K498" cm="1">
        <f t="array" aca="1" ref="K498" ca="1">_xlfn.IFS(EmployeeData[[#This Row],[Status]]="Active",_xlfn.DAYS(TODAY(),EmployeeData[[#This Row],[Join Date]]),EmployeeData[[#This Row],[Status]]="Exited",_xlfn.DAYS(EmployeeData[[#This Row],[Exit Date]],EmployeeData[[#This Row],[Join Date]]))</f>
        <v>1949</v>
      </c>
      <c r="L498" cm="1">
        <f t="array" aca="1" ref="L498" ca="1">_xlfn.IFS(EmployeeData[[#This Row],[Status]]="Exited",DATEDIF(EmployeeData[[#This Row],[Join Date]], EmployeeData[[#This Row],[Exit Date]], "Y"),EmployeeData[[#This Row],[Status]]="Active",DATEDIF(EmployeeData[[#This Row],[Join Date]], TODAY(), "Y"))</f>
        <v>5</v>
      </c>
      <c r="Q498" t="str" cm="1">
        <f t="array" aca="1" ref="Q4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3 days</v>
      </c>
    </row>
    <row r="499" spans="1:17" x14ac:dyDescent="0.3">
      <c r="A499">
        <v>1498</v>
      </c>
      <c r="B499" t="s">
        <v>642</v>
      </c>
      <c r="C499" t="s">
        <v>23</v>
      </c>
      <c r="D499" t="s">
        <v>24</v>
      </c>
      <c r="E499">
        <v>53</v>
      </c>
      <c r="F499" t="str" cm="1">
        <f t="array" ref="F499">_xlfn.IFS(EmployeeData[[#This Row],[Age]]&lt;30,"20s",EmployeeData[[#This Row],[Age]]&lt;40,"30s",EmployeeData[[#This Row],[Age]]&lt;50,"40s",EmployeeData[[#This Row],[Age]]&lt;60,"50s",EmployeeData[[#This Row],[Age]]&gt;=60,"60s")</f>
        <v>50s</v>
      </c>
      <c r="G499" s="5">
        <v>44523</v>
      </c>
      <c r="I499" t="s">
        <v>17</v>
      </c>
      <c r="J499" t="s">
        <v>18</v>
      </c>
      <c r="K499" cm="1">
        <f t="array" aca="1" ref="K499" ca="1">_xlfn.IFS(EmployeeData[[#This Row],[Status]]="Active",_xlfn.DAYS(TODAY(),EmployeeData[[#This Row],[Join Date]]),EmployeeData[[#This Row],[Status]]="Exited",_xlfn.DAYS(EmployeeData[[#This Row],[Exit Date]],EmployeeData[[#This Row],[Join Date]]))</f>
        <v>1674</v>
      </c>
      <c r="L499" cm="1">
        <f t="array" aca="1" ref="L499" ca="1">_xlfn.IFS(EmployeeData[[#This Row],[Status]]="Exited",DATEDIF(EmployeeData[[#This Row],[Join Date]], EmployeeData[[#This Row],[Exit Date]], "Y"),EmployeeData[[#This Row],[Status]]="Active",DATEDIF(EmployeeData[[#This Row],[Join Date]], TODAY(), "Y"))</f>
        <v>4</v>
      </c>
      <c r="Q499" t="str" cm="1">
        <f t="array" aca="1" ref="Q4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1 days</v>
      </c>
    </row>
    <row r="500" spans="1:17" x14ac:dyDescent="0.3">
      <c r="A500">
        <v>1499</v>
      </c>
      <c r="B500" t="s">
        <v>614</v>
      </c>
      <c r="C500" t="s">
        <v>20</v>
      </c>
      <c r="D500" t="s">
        <v>24</v>
      </c>
      <c r="E500">
        <v>21</v>
      </c>
      <c r="F500" t="str" cm="1">
        <f t="array" ref="F500">_xlfn.IFS(EmployeeData[[#This Row],[Age]]&lt;30,"20s",EmployeeData[[#This Row],[Age]]&lt;40,"30s",EmployeeData[[#This Row],[Age]]&lt;50,"40s",EmployeeData[[#This Row],[Age]]&lt;60,"50s",EmployeeData[[#This Row],[Age]]&gt;=60,"60s")</f>
        <v>20s</v>
      </c>
      <c r="G500" s="5">
        <v>43149</v>
      </c>
      <c r="I500" t="s">
        <v>17</v>
      </c>
      <c r="J500" t="s">
        <v>18</v>
      </c>
      <c r="K500" cm="1">
        <f t="array" aca="1" ref="K500" ca="1">_xlfn.IFS(EmployeeData[[#This Row],[Status]]="Active",_xlfn.DAYS(TODAY(),EmployeeData[[#This Row],[Join Date]]),EmployeeData[[#This Row],[Status]]="Exited",_xlfn.DAYS(EmployeeData[[#This Row],[Exit Date]],EmployeeData[[#This Row],[Join Date]]))</f>
        <v>3048</v>
      </c>
      <c r="L500" cm="1">
        <f t="array" aca="1" ref="L500" ca="1">_xlfn.IFS(EmployeeData[[#This Row],[Status]]="Exited",DATEDIF(EmployeeData[[#This Row],[Join Date]], EmployeeData[[#This Row],[Exit Date]], "Y"),EmployeeData[[#This Row],[Status]]="Active",DATEDIF(EmployeeData[[#This Row],[Join Date]], TODAY(), "Y"))</f>
        <v>8</v>
      </c>
      <c r="Q500" t="str" cm="1">
        <f t="array" aca="1" ref="Q5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4 months 6 days</v>
      </c>
    </row>
    <row r="501" spans="1:17" x14ac:dyDescent="0.3">
      <c r="A501">
        <v>1500</v>
      </c>
      <c r="B501" t="s">
        <v>249</v>
      </c>
      <c r="C501" t="s">
        <v>23</v>
      </c>
      <c r="D501" t="s">
        <v>16</v>
      </c>
      <c r="E501">
        <v>56</v>
      </c>
      <c r="F501" t="str" cm="1">
        <f t="array" ref="F501">_xlfn.IFS(EmployeeData[[#This Row],[Age]]&lt;30,"20s",EmployeeData[[#This Row],[Age]]&lt;40,"30s",EmployeeData[[#This Row],[Age]]&lt;50,"40s",EmployeeData[[#This Row],[Age]]&lt;60,"50s",EmployeeData[[#This Row],[Age]]&gt;=60,"60s")</f>
        <v>50s</v>
      </c>
      <c r="G501" s="5">
        <v>44177</v>
      </c>
      <c r="H501" s="5">
        <v>45232</v>
      </c>
      <c r="I501" t="s">
        <v>21</v>
      </c>
      <c r="J501" t="s">
        <v>13</v>
      </c>
      <c r="K501" cm="1">
        <f t="array" aca="1" ref="K501" ca="1">_xlfn.IFS(EmployeeData[[#This Row],[Status]]="Active",_xlfn.DAYS(TODAY(),EmployeeData[[#This Row],[Join Date]]),EmployeeData[[#This Row],[Status]]="Exited",_xlfn.DAYS(EmployeeData[[#This Row],[Exit Date]],EmployeeData[[#This Row],[Join Date]]))</f>
        <v>1055</v>
      </c>
      <c r="L501" cm="1">
        <f t="array" aca="1" ref="L501" ca="1">_xlfn.IFS(EmployeeData[[#This Row],[Status]]="Exited",DATEDIF(EmployeeData[[#This Row],[Join Date]], EmployeeData[[#This Row],[Exit Date]], "Y"),EmployeeData[[#This Row],[Status]]="Active",DATEDIF(EmployeeData[[#This Row],[Join Date]], TODAY(), "Y"))</f>
        <v>2</v>
      </c>
      <c r="Q501" t="str" cm="1">
        <f t="array" aca="1" ref="Q5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21 days</v>
      </c>
    </row>
    <row r="502" spans="1:17" x14ac:dyDescent="0.3">
      <c r="A502">
        <v>1501</v>
      </c>
      <c r="B502" t="s">
        <v>394</v>
      </c>
      <c r="C502" t="s">
        <v>15</v>
      </c>
      <c r="D502" t="s">
        <v>11</v>
      </c>
      <c r="E502">
        <v>44</v>
      </c>
      <c r="F502" t="str" cm="1">
        <f t="array" ref="F502">_xlfn.IFS(EmployeeData[[#This Row],[Age]]&lt;30,"20s",EmployeeData[[#This Row],[Age]]&lt;40,"30s",EmployeeData[[#This Row],[Age]]&lt;50,"40s",EmployeeData[[#This Row],[Age]]&lt;60,"50s",EmployeeData[[#This Row],[Age]]&gt;=60,"60s")</f>
        <v>40s</v>
      </c>
      <c r="G502" s="5">
        <v>44596</v>
      </c>
      <c r="I502" t="s">
        <v>17</v>
      </c>
      <c r="J502" t="s">
        <v>18</v>
      </c>
      <c r="K502" cm="1">
        <f t="array" aca="1" ref="K502" ca="1">_xlfn.IFS(EmployeeData[[#This Row],[Status]]="Active",_xlfn.DAYS(TODAY(),EmployeeData[[#This Row],[Join Date]]),EmployeeData[[#This Row],[Status]]="Exited",_xlfn.DAYS(EmployeeData[[#This Row],[Exit Date]],EmployeeData[[#This Row],[Join Date]]))</f>
        <v>1601</v>
      </c>
      <c r="L502" cm="1">
        <f t="array" aca="1" ref="L502" ca="1">_xlfn.IFS(EmployeeData[[#This Row],[Status]]="Exited",DATEDIF(EmployeeData[[#This Row],[Join Date]], EmployeeData[[#This Row],[Exit Date]], "Y"),EmployeeData[[#This Row],[Status]]="Active",DATEDIF(EmployeeData[[#This Row],[Join Date]], TODAY(), "Y"))</f>
        <v>4</v>
      </c>
      <c r="Q502" t="str" cm="1">
        <f t="array" aca="1" ref="Q5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20 days</v>
      </c>
    </row>
    <row r="503" spans="1:17" x14ac:dyDescent="0.3">
      <c r="A503">
        <v>1502</v>
      </c>
      <c r="B503" t="s">
        <v>298</v>
      </c>
      <c r="C503" t="s">
        <v>46</v>
      </c>
      <c r="D503" t="s">
        <v>11</v>
      </c>
      <c r="E503">
        <v>27</v>
      </c>
      <c r="F503" t="str" cm="1">
        <f t="array" ref="F503">_xlfn.IFS(EmployeeData[[#This Row],[Age]]&lt;30,"20s",EmployeeData[[#This Row],[Age]]&lt;40,"30s",EmployeeData[[#This Row],[Age]]&lt;50,"40s",EmployeeData[[#This Row],[Age]]&lt;60,"50s",EmployeeData[[#This Row],[Age]]&gt;=60,"60s")</f>
        <v>20s</v>
      </c>
      <c r="G503" s="5">
        <v>44206</v>
      </c>
      <c r="I503" t="s">
        <v>17</v>
      </c>
      <c r="J503" t="s">
        <v>18</v>
      </c>
      <c r="K503" cm="1">
        <f t="array" aca="1" ref="K503" ca="1">_xlfn.IFS(EmployeeData[[#This Row],[Status]]="Active",_xlfn.DAYS(TODAY(),EmployeeData[[#This Row],[Join Date]]),EmployeeData[[#This Row],[Status]]="Exited",_xlfn.DAYS(EmployeeData[[#This Row],[Exit Date]],EmployeeData[[#This Row],[Join Date]]))</f>
        <v>1991</v>
      </c>
      <c r="L503" cm="1">
        <f t="array" aca="1" ref="L503" ca="1">_xlfn.IFS(EmployeeData[[#This Row],[Status]]="Exited",DATEDIF(EmployeeData[[#This Row],[Join Date]], EmployeeData[[#This Row],[Exit Date]], "Y"),EmployeeData[[#This Row],[Status]]="Active",DATEDIF(EmployeeData[[#This Row],[Join Date]], TODAY(), "Y"))</f>
        <v>5</v>
      </c>
      <c r="Q503" t="str" cm="1">
        <f t="array" aca="1" ref="Q5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14 days</v>
      </c>
    </row>
    <row r="504" spans="1:17" x14ac:dyDescent="0.3">
      <c r="A504">
        <v>1503</v>
      </c>
      <c r="B504" t="s">
        <v>246</v>
      </c>
      <c r="C504" t="s">
        <v>15</v>
      </c>
      <c r="D504" t="s">
        <v>11</v>
      </c>
      <c r="E504">
        <v>30</v>
      </c>
      <c r="F504" t="str" cm="1">
        <f t="array" ref="F504">_xlfn.IFS(EmployeeData[[#This Row],[Age]]&lt;30,"20s",EmployeeData[[#This Row],[Age]]&lt;40,"30s",EmployeeData[[#This Row],[Age]]&lt;50,"40s",EmployeeData[[#This Row],[Age]]&lt;60,"50s",EmployeeData[[#This Row],[Age]]&gt;=60,"60s")</f>
        <v>30s</v>
      </c>
      <c r="G504" s="5">
        <v>45038</v>
      </c>
      <c r="I504" t="s">
        <v>17</v>
      </c>
      <c r="J504" t="s">
        <v>18</v>
      </c>
      <c r="K504" cm="1">
        <f t="array" aca="1" ref="K504" ca="1">_xlfn.IFS(EmployeeData[[#This Row],[Status]]="Active",_xlfn.DAYS(TODAY(),EmployeeData[[#This Row],[Join Date]]),EmployeeData[[#This Row],[Status]]="Exited",_xlfn.DAYS(EmployeeData[[#This Row],[Exit Date]],EmployeeData[[#This Row],[Join Date]]))</f>
        <v>1159</v>
      </c>
      <c r="L504" cm="1">
        <f t="array" aca="1" ref="L504" ca="1">_xlfn.IFS(EmployeeData[[#This Row],[Status]]="Exited",DATEDIF(EmployeeData[[#This Row],[Join Date]], EmployeeData[[#This Row],[Exit Date]], "Y"),EmployeeData[[#This Row],[Status]]="Active",DATEDIF(EmployeeData[[#This Row],[Join Date]], TODAY(), "Y"))</f>
        <v>3</v>
      </c>
      <c r="Q504" t="str" cm="1">
        <f t="array" aca="1" ref="Q5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2 days</v>
      </c>
    </row>
    <row r="505" spans="1:17" x14ac:dyDescent="0.3">
      <c r="A505">
        <v>1504</v>
      </c>
      <c r="B505" t="s">
        <v>1018</v>
      </c>
      <c r="C505" t="s">
        <v>33</v>
      </c>
      <c r="D505" t="s">
        <v>16</v>
      </c>
      <c r="E505">
        <v>56</v>
      </c>
      <c r="F505" t="str" cm="1">
        <f t="array" ref="F505">_xlfn.IFS(EmployeeData[[#This Row],[Age]]&lt;30,"20s",EmployeeData[[#This Row],[Age]]&lt;40,"30s",EmployeeData[[#This Row],[Age]]&lt;50,"40s",EmployeeData[[#This Row],[Age]]&lt;60,"50s",EmployeeData[[#This Row],[Age]]&gt;=60,"60s")</f>
        <v>50s</v>
      </c>
      <c r="G505" s="5">
        <v>45426</v>
      </c>
      <c r="H505" s="5">
        <v>45617</v>
      </c>
      <c r="I505" t="s">
        <v>34</v>
      </c>
      <c r="J505" t="s">
        <v>13</v>
      </c>
      <c r="K505" cm="1">
        <f t="array" aca="1" ref="K505" ca="1">_xlfn.IFS(EmployeeData[[#This Row],[Status]]="Active",_xlfn.DAYS(TODAY(),EmployeeData[[#This Row],[Join Date]]),EmployeeData[[#This Row],[Status]]="Exited",_xlfn.DAYS(EmployeeData[[#This Row],[Exit Date]],EmployeeData[[#This Row],[Join Date]]))</f>
        <v>191</v>
      </c>
      <c r="L505" cm="1">
        <f t="array" aca="1" ref="L505" ca="1">_xlfn.IFS(EmployeeData[[#This Row],[Status]]="Exited",DATEDIF(EmployeeData[[#This Row],[Join Date]], EmployeeData[[#This Row],[Exit Date]], "Y"),EmployeeData[[#This Row],[Status]]="Active",DATEDIF(EmployeeData[[#This Row],[Join Date]], TODAY(), "Y"))</f>
        <v>0</v>
      </c>
      <c r="Q505" t="str" cm="1">
        <f t="array" aca="1" ref="Q5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7 days</v>
      </c>
    </row>
    <row r="506" spans="1:17" x14ac:dyDescent="0.3">
      <c r="A506">
        <v>1505</v>
      </c>
      <c r="B506" t="s">
        <v>952</v>
      </c>
      <c r="C506" t="s">
        <v>23</v>
      </c>
      <c r="D506" t="s">
        <v>24</v>
      </c>
      <c r="E506">
        <v>49</v>
      </c>
      <c r="F506" t="str" cm="1">
        <f t="array" ref="F506">_xlfn.IFS(EmployeeData[[#This Row],[Age]]&lt;30,"20s",EmployeeData[[#This Row],[Age]]&lt;40,"30s",EmployeeData[[#This Row],[Age]]&lt;50,"40s",EmployeeData[[#This Row],[Age]]&lt;60,"50s",EmployeeData[[#This Row],[Age]]&gt;=60,"60s")</f>
        <v>40s</v>
      </c>
      <c r="G506" s="5">
        <v>44471</v>
      </c>
      <c r="H506" s="5">
        <v>45298</v>
      </c>
      <c r="I506" t="s">
        <v>65</v>
      </c>
      <c r="J506" t="s">
        <v>13</v>
      </c>
      <c r="K506" cm="1">
        <f t="array" aca="1" ref="K506" ca="1">_xlfn.IFS(EmployeeData[[#This Row],[Status]]="Active",_xlfn.DAYS(TODAY(),EmployeeData[[#This Row],[Join Date]]),EmployeeData[[#This Row],[Status]]="Exited",_xlfn.DAYS(EmployeeData[[#This Row],[Exit Date]],EmployeeData[[#This Row],[Join Date]]))</f>
        <v>827</v>
      </c>
      <c r="L506" cm="1">
        <f t="array" aca="1" ref="L506" ca="1">_xlfn.IFS(EmployeeData[[#This Row],[Status]]="Exited",DATEDIF(EmployeeData[[#This Row],[Join Date]], EmployeeData[[#This Row],[Exit Date]], "Y"),EmployeeData[[#This Row],[Status]]="Active",DATEDIF(EmployeeData[[#This Row],[Join Date]], TODAY(), "Y"))</f>
        <v>2</v>
      </c>
      <c r="Q506" t="str" cm="1">
        <f t="array" aca="1" ref="Q5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5 days</v>
      </c>
    </row>
    <row r="507" spans="1:17" x14ac:dyDescent="0.3">
      <c r="A507">
        <v>1506</v>
      </c>
      <c r="B507" t="s">
        <v>1087</v>
      </c>
      <c r="C507" t="s">
        <v>10</v>
      </c>
      <c r="D507" t="s">
        <v>24</v>
      </c>
      <c r="E507">
        <v>33</v>
      </c>
      <c r="F507" t="str" cm="1">
        <f t="array" ref="F507">_xlfn.IFS(EmployeeData[[#This Row],[Age]]&lt;30,"20s",EmployeeData[[#This Row],[Age]]&lt;40,"30s",EmployeeData[[#This Row],[Age]]&lt;50,"40s",EmployeeData[[#This Row],[Age]]&lt;60,"50s",EmployeeData[[#This Row],[Age]]&gt;=60,"60s")</f>
        <v>30s</v>
      </c>
      <c r="G507" s="5">
        <v>45463</v>
      </c>
      <c r="I507" t="s">
        <v>17</v>
      </c>
      <c r="J507" t="s">
        <v>18</v>
      </c>
      <c r="K507" cm="1">
        <f t="array" aca="1" ref="K507" ca="1">_xlfn.IFS(EmployeeData[[#This Row],[Status]]="Active",_xlfn.DAYS(TODAY(),EmployeeData[[#This Row],[Join Date]]),EmployeeData[[#This Row],[Status]]="Exited",_xlfn.DAYS(EmployeeData[[#This Row],[Exit Date]],EmployeeData[[#This Row],[Join Date]]))</f>
        <v>734</v>
      </c>
      <c r="L507" cm="1">
        <f t="array" aca="1" ref="L507" ca="1">_xlfn.IFS(EmployeeData[[#This Row],[Status]]="Exited",DATEDIF(EmployeeData[[#This Row],[Join Date]], EmployeeData[[#This Row],[Exit Date]], "Y"),EmployeeData[[#This Row],[Status]]="Active",DATEDIF(EmployeeData[[#This Row],[Join Date]], TODAY(), "Y"))</f>
        <v>2</v>
      </c>
      <c r="Q507" t="str" cm="1">
        <f t="array" aca="1" ref="Q5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4 days</v>
      </c>
    </row>
    <row r="508" spans="1:17" x14ac:dyDescent="0.3">
      <c r="A508">
        <v>1507</v>
      </c>
      <c r="B508" t="s">
        <v>751</v>
      </c>
      <c r="C508" t="s">
        <v>10</v>
      </c>
      <c r="D508" t="s">
        <v>24</v>
      </c>
      <c r="E508">
        <v>53</v>
      </c>
      <c r="F508" t="str" cm="1">
        <f t="array" ref="F508">_xlfn.IFS(EmployeeData[[#This Row],[Age]]&lt;30,"20s",EmployeeData[[#This Row],[Age]]&lt;40,"30s",EmployeeData[[#This Row],[Age]]&lt;50,"40s",EmployeeData[[#This Row],[Age]]&lt;60,"50s",EmployeeData[[#This Row],[Age]]&gt;=60,"60s")</f>
        <v>50s</v>
      </c>
      <c r="G508" s="5">
        <v>45097</v>
      </c>
      <c r="I508" t="s">
        <v>17</v>
      </c>
      <c r="J508" t="s">
        <v>18</v>
      </c>
      <c r="K508" cm="1">
        <f t="array" aca="1" ref="K508" ca="1">_xlfn.IFS(EmployeeData[[#This Row],[Status]]="Active",_xlfn.DAYS(TODAY(),EmployeeData[[#This Row],[Join Date]]),EmployeeData[[#This Row],[Status]]="Exited",_xlfn.DAYS(EmployeeData[[#This Row],[Exit Date]],EmployeeData[[#This Row],[Join Date]]))</f>
        <v>1100</v>
      </c>
      <c r="L508" cm="1">
        <f t="array" aca="1" ref="L508" ca="1">_xlfn.IFS(EmployeeData[[#This Row],[Status]]="Exited",DATEDIF(EmployeeData[[#This Row],[Join Date]], EmployeeData[[#This Row],[Exit Date]], "Y"),EmployeeData[[#This Row],[Status]]="Active",DATEDIF(EmployeeData[[#This Row],[Join Date]], TODAY(), "Y"))</f>
        <v>3</v>
      </c>
      <c r="Q508" t="str" cm="1">
        <f t="array" aca="1" ref="Q5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4 days</v>
      </c>
    </row>
    <row r="509" spans="1:17" x14ac:dyDescent="0.3">
      <c r="A509">
        <v>1508</v>
      </c>
      <c r="B509" t="s">
        <v>625</v>
      </c>
      <c r="C509" t="s">
        <v>23</v>
      </c>
      <c r="D509" t="s">
        <v>11</v>
      </c>
      <c r="E509">
        <v>31</v>
      </c>
      <c r="F509" t="str" cm="1">
        <f t="array" ref="F509">_xlfn.IFS(EmployeeData[[#This Row],[Age]]&lt;30,"20s",EmployeeData[[#This Row],[Age]]&lt;40,"30s",EmployeeData[[#This Row],[Age]]&lt;50,"40s",EmployeeData[[#This Row],[Age]]&lt;60,"50s",EmployeeData[[#This Row],[Age]]&gt;=60,"60s")</f>
        <v>30s</v>
      </c>
      <c r="G509" s="5">
        <v>45724</v>
      </c>
      <c r="I509" t="s">
        <v>17</v>
      </c>
      <c r="J509" t="s">
        <v>18</v>
      </c>
      <c r="K509" cm="1">
        <f t="array" aca="1" ref="K509" ca="1">_xlfn.IFS(EmployeeData[[#This Row],[Status]]="Active",_xlfn.DAYS(TODAY(),EmployeeData[[#This Row],[Join Date]]),EmployeeData[[#This Row],[Status]]="Exited",_xlfn.DAYS(EmployeeData[[#This Row],[Exit Date]],EmployeeData[[#This Row],[Join Date]]))</f>
        <v>473</v>
      </c>
      <c r="L509" cm="1">
        <f t="array" aca="1" ref="L509" ca="1">_xlfn.IFS(EmployeeData[[#This Row],[Status]]="Exited",DATEDIF(EmployeeData[[#This Row],[Join Date]], EmployeeData[[#This Row],[Exit Date]], "Y"),EmployeeData[[#This Row],[Status]]="Active",DATEDIF(EmployeeData[[#This Row],[Join Date]], TODAY(), "Y"))</f>
        <v>1</v>
      </c>
      <c r="Q509" t="str" cm="1">
        <f t="array" aca="1" ref="Q5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16 days</v>
      </c>
    </row>
    <row r="510" spans="1:17" x14ac:dyDescent="0.3">
      <c r="A510">
        <v>1509</v>
      </c>
      <c r="B510" t="s">
        <v>717</v>
      </c>
      <c r="C510" t="s">
        <v>23</v>
      </c>
      <c r="D510" t="s">
        <v>11</v>
      </c>
      <c r="E510">
        <v>59</v>
      </c>
      <c r="F510" t="str" cm="1">
        <f t="array" ref="F510">_xlfn.IFS(EmployeeData[[#This Row],[Age]]&lt;30,"20s",EmployeeData[[#This Row],[Age]]&lt;40,"30s",EmployeeData[[#This Row],[Age]]&lt;50,"40s",EmployeeData[[#This Row],[Age]]&lt;60,"50s",EmployeeData[[#This Row],[Age]]&gt;=60,"60s")</f>
        <v>50s</v>
      </c>
      <c r="G510" s="5">
        <v>43425</v>
      </c>
      <c r="H510" s="5">
        <v>44449</v>
      </c>
      <c r="I510" t="s">
        <v>26</v>
      </c>
      <c r="J510" t="s">
        <v>13</v>
      </c>
      <c r="K510" cm="1">
        <f t="array" aca="1" ref="K510" ca="1">_xlfn.IFS(EmployeeData[[#This Row],[Status]]="Active",_xlfn.DAYS(TODAY(),EmployeeData[[#This Row],[Join Date]]),EmployeeData[[#This Row],[Status]]="Exited",_xlfn.DAYS(EmployeeData[[#This Row],[Exit Date]],EmployeeData[[#This Row],[Join Date]]))</f>
        <v>1024</v>
      </c>
      <c r="L510" cm="1">
        <f t="array" aca="1" ref="L510" ca="1">_xlfn.IFS(EmployeeData[[#This Row],[Status]]="Exited",DATEDIF(EmployeeData[[#This Row],[Join Date]], EmployeeData[[#This Row],[Exit Date]], "Y"),EmployeeData[[#This Row],[Status]]="Active",DATEDIF(EmployeeData[[#This Row],[Join Date]], TODAY(), "Y"))</f>
        <v>2</v>
      </c>
      <c r="Q510" t="str" cm="1">
        <f t="array" aca="1" ref="Q5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20 days</v>
      </c>
    </row>
    <row r="511" spans="1:17" x14ac:dyDescent="0.3">
      <c r="A511">
        <v>1510</v>
      </c>
      <c r="B511" t="s">
        <v>300</v>
      </c>
      <c r="C511" t="s">
        <v>10</v>
      </c>
      <c r="D511" t="s">
        <v>24</v>
      </c>
      <c r="E511">
        <v>44</v>
      </c>
      <c r="F511" t="str" cm="1">
        <f t="array" ref="F511">_xlfn.IFS(EmployeeData[[#This Row],[Age]]&lt;30,"20s",EmployeeData[[#This Row],[Age]]&lt;40,"30s",EmployeeData[[#This Row],[Age]]&lt;50,"40s",EmployeeData[[#This Row],[Age]]&lt;60,"50s",EmployeeData[[#This Row],[Age]]&gt;=60,"60s")</f>
        <v>40s</v>
      </c>
      <c r="G511" s="5">
        <v>45505</v>
      </c>
      <c r="I511" t="s">
        <v>17</v>
      </c>
      <c r="J511" t="s">
        <v>18</v>
      </c>
      <c r="K511" cm="1">
        <f t="array" aca="1" ref="K511" ca="1">_xlfn.IFS(EmployeeData[[#This Row],[Status]]="Active",_xlfn.DAYS(TODAY(),EmployeeData[[#This Row],[Join Date]]),EmployeeData[[#This Row],[Status]]="Exited",_xlfn.DAYS(EmployeeData[[#This Row],[Exit Date]],EmployeeData[[#This Row],[Join Date]]))</f>
        <v>692</v>
      </c>
      <c r="L511" cm="1">
        <f t="array" aca="1" ref="L511" ca="1">_xlfn.IFS(EmployeeData[[#This Row],[Status]]="Exited",DATEDIF(EmployeeData[[#This Row],[Join Date]], EmployeeData[[#This Row],[Exit Date]], "Y"),EmployeeData[[#This Row],[Status]]="Active",DATEDIF(EmployeeData[[#This Row],[Join Date]], TODAY(), "Y"))</f>
        <v>1</v>
      </c>
      <c r="Q511" t="str" cm="1">
        <f t="array" aca="1" ref="Q5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23 days</v>
      </c>
    </row>
    <row r="512" spans="1:17" x14ac:dyDescent="0.3">
      <c r="A512">
        <v>1511</v>
      </c>
      <c r="B512" t="s">
        <v>797</v>
      </c>
      <c r="C512" t="s">
        <v>15</v>
      </c>
      <c r="D512" t="s">
        <v>16</v>
      </c>
      <c r="E512">
        <v>37</v>
      </c>
      <c r="F512" t="str" cm="1">
        <f t="array" ref="F512">_xlfn.IFS(EmployeeData[[#This Row],[Age]]&lt;30,"20s",EmployeeData[[#This Row],[Age]]&lt;40,"30s",EmployeeData[[#This Row],[Age]]&lt;50,"40s",EmployeeData[[#This Row],[Age]]&lt;60,"50s",EmployeeData[[#This Row],[Age]]&gt;=60,"60s")</f>
        <v>30s</v>
      </c>
      <c r="G512" s="5">
        <v>45971</v>
      </c>
      <c r="I512" t="s">
        <v>17</v>
      </c>
      <c r="J512" t="s">
        <v>18</v>
      </c>
      <c r="K512" cm="1">
        <f t="array" aca="1" ref="K512" ca="1">_xlfn.IFS(EmployeeData[[#This Row],[Status]]="Active",_xlfn.DAYS(TODAY(),EmployeeData[[#This Row],[Join Date]]),EmployeeData[[#This Row],[Status]]="Exited",_xlfn.DAYS(EmployeeData[[#This Row],[Exit Date]],EmployeeData[[#This Row],[Join Date]]))</f>
        <v>226</v>
      </c>
      <c r="L512" cm="1">
        <f t="array" aca="1" ref="L512" ca="1">_xlfn.IFS(EmployeeData[[#This Row],[Status]]="Exited",DATEDIF(EmployeeData[[#This Row],[Join Date]], EmployeeData[[#This Row],[Exit Date]], "Y"),EmployeeData[[#This Row],[Status]]="Active",DATEDIF(EmployeeData[[#This Row],[Join Date]], TODAY(), "Y"))</f>
        <v>0</v>
      </c>
      <c r="Q512" t="str" cm="1">
        <f t="array" aca="1" ref="Q5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14 days</v>
      </c>
    </row>
    <row r="513" spans="1:17" x14ac:dyDescent="0.3">
      <c r="A513">
        <v>1512</v>
      </c>
      <c r="B513" t="s">
        <v>687</v>
      </c>
      <c r="C513" t="s">
        <v>15</v>
      </c>
      <c r="D513" t="s">
        <v>11</v>
      </c>
      <c r="E513">
        <v>56</v>
      </c>
      <c r="F513" t="str" cm="1">
        <f t="array" ref="F513">_xlfn.IFS(EmployeeData[[#This Row],[Age]]&lt;30,"20s",EmployeeData[[#This Row],[Age]]&lt;40,"30s",EmployeeData[[#This Row],[Age]]&lt;50,"40s",EmployeeData[[#This Row],[Age]]&lt;60,"50s",EmployeeData[[#This Row],[Age]]&gt;=60,"60s")</f>
        <v>50s</v>
      </c>
      <c r="G513" s="5">
        <v>43321</v>
      </c>
      <c r="H513" s="5">
        <v>45037</v>
      </c>
      <c r="I513" t="s">
        <v>65</v>
      </c>
      <c r="J513" t="s">
        <v>13</v>
      </c>
      <c r="K513" cm="1">
        <f t="array" aca="1" ref="K513" ca="1">_xlfn.IFS(EmployeeData[[#This Row],[Status]]="Active",_xlfn.DAYS(TODAY(),EmployeeData[[#This Row],[Join Date]]),EmployeeData[[#This Row],[Status]]="Exited",_xlfn.DAYS(EmployeeData[[#This Row],[Exit Date]],EmployeeData[[#This Row],[Join Date]]))</f>
        <v>1716</v>
      </c>
      <c r="L513" cm="1">
        <f t="array" aca="1" ref="L513" ca="1">_xlfn.IFS(EmployeeData[[#This Row],[Status]]="Exited",DATEDIF(EmployeeData[[#This Row],[Join Date]], EmployeeData[[#This Row],[Exit Date]], "Y"),EmployeeData[[#This Row],[Status]]="Active",DATEDIF(EmployeeData[[#This Row],[Join Date]], TODAY(), "Y"))</f>
        <v>4</v>
      </c>
      <c r="Q513" t="str" cm="1">
        <f t="array" aca="1" ref="Q5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12 days</v>
      </c>
    </row>
    <row r="514" spans="1:17" x14ac:dyDescent="0.3">
      <c r="A514">
        <v>1513</v>
      </c>
      <c r="B514" t="s">
        <v>258</v>
      </c>
      <c r="C514" t="s">
        <v>15</v>
      </c>
      <c r="D514" t="s">
        <v>11</v>
      </c>
      <c r="E514">
        <v>54</v>
      </c>
      <c r="F514" t="str" cm="1">
        <f t="array" ref="F514">_xlfn.IFS(EmployeeData[[#This Row],[Age]]&lt;30,"20s",EmployeeData[[#This Row],[Age]]&lt;40,"30s",EmployeeData[[#This Row],[Age]]&lt;50,"40s",EmployeeData[[#This Row],[Age]]&lt;60,"50s",EmployeeData[[#This Row],[Age]]&gt;=60,"60s")</f>
        <v>50s</v>
      </c>
      <c r="G514" s="5">
        <v>44368</v>
      </c>
      <c r="H514" s="5">
        <v>45968</v>
      </c>
      <c r="I514" t="s">
        <v>26</v>
      </c>
      <c r="J514" t="s">
        <v>13</v>
      </c>
      <c r="K514" cm="1">
        <f t="array" aca="1" ref="K514" ca="1">_xlfn.IFS(EmployeeData[[#This Row],[Status]]="Active",_xlfn.DAYS(TODAY(),EmployeeData[[#This Row],[Join Date]]),EmployeeData[[#This Row],[Status]]="Exited",_xlfn.DAYS(EmployeeData[[#This Row],[Exit Date]],EmployeeData[[#This Row],[Join Date]]))</f>
        <v>1600</v>
      </c>
      <c r="L514" cm="1">
        <f t="array" aca="1" ref="L514" ca="1">_xlfn.IFS(EmployeeData[[#This Row],[Status]]="Exited",DATEDIF(EmployeeData[[#This Row],[Join Date]], EmployeeData[[#This Row],[Exit Date]], "Y"),EmployeeData[[#This Row],[Status]]="Active",DATEDIF(EmployeeData[[#This Row],[Join Date]], TODAY(), "Y"))</f>
        <v>4</v>
      </c>
      <c r="Q514" t="str" cm="1">
        <f t="array" aca="1" ref="Q5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17 days</v>
      </c>
    </row>
    <row r="515" spans="1:17" x14ac:dyDescent="0.3">
      <c r="A515">
        <v>1514</v>
      </c>
      <c r="B515" t="s">
        <v>668</v>
      </c>
      <c r="C515" t="s">
        <v>15</v>
      </c>
      <c r="D515" t="s">
        <v>24</v>
      </c>
      <c r="E515">
        <v>41</v>
      </c>
      <c r="F515" t="str" cm="1">
        <f t="array" ref="F515">_xlfn.IFS(EmployeeData[[#This Row],[Age]]&lt;30,"20s",EmployeeData[[#This Row],[Age]]&lt;40,"30s",EmployeeData[[#This Row],[Age]]&lt;50,"40s",EmployeeData[[#This Row],[Age]]&lt;60,"50s",EmployeeData[[#This Row],[Age]]&gt;=60,"60s")</f>
        <v>40s</v>
      </c>
      <c r="G515" s="5">
        <v>45051</v>
      </c>
      <c r="I515" t="s">
        <v>17</v>
      </c>
      <c r="J515" t="s">
        <v>18</v>
      </c>
      <c r="K515" cm="1">
        <f t="array" aca="1" ref="K515" ca="1">_xlfn.IFS(EmployeeData[[#This Row],[Status]]="Active",_xlfn.DAYS(TODAY(),EmployeeData[[#This Row],[Join Date]]),EmployeeData[[#This Row],[Status]]="Exited",_xlfn.DAYS(EmployeeData[[#This Row],[Exit Date]],EmployeeData[[#This Row],[Join Date]]))</f>
        <v>1146</v>
      </c>
      <c r="L515" cm="1">
        <f t="array" aca="1" ref="L515" ca="1">_xlfn.IFS(EmployeeData[[#This Row],[Status]]="Exited",DATEDIF(EmployeeData[[#This Row],[Join Date]], EmployeeData[[#This Row],[Exit Date]], "Y"),EmployeeData[[#This Row],[Status]]="Active",DATEDIF(EmployeeData[[#This Row],[Join Date]], TODAY(), "Y"))</f>
        <v>3</v>
      </c>
      <c r="Q515" t="str" cm="1">
        <f t="array" aca="1" ref="Q5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19 days</v>
      </c>
    </row>
    <row r="516" spans="1:17" x14ac:dyDescent="0.3">
      <c r="A516">
        <v>1515</v>
      </c>
      <c r="B516" t="s">
        <v>395</v>
      </c>
      <c r="C516" t="s">
        <v>46</v>
      </c>
      <c r="D516" t="s">
        <v>11</v>
      </c>
      <c r="E516">
        <v>32</v>
      </c>
      <c r="F516" t="str" cm="1">
        <f t="array" ref="F516">_xlfn.IFS(EmployeeData[[#This Row],[Age]]&lt;30,"20s",EmployeeData[[#This Row],[Age]]&lt;40,"30s",EmployeeData[[#This Row],[Age]]&lt;50,"40s",EmployeeData[[#This Row],[Age]]&lt;60,"50s",EmployeeData[[#This Row],[Age]]&gt;=60,"60s")</f>
        <v>30s</v>
      </c>
      <c r="G516" s="5">
        <v>45521</v>
      </c>
      <c r="I516" t="s">
        <v>17</v>
      </c>
      <c r="J516" t="s">
        <v>18</v>
      </c>
      <c r="K516" cm="1">
        <f t="array" aca="1" ref="K516" ca="1">_xlfn.IFS(EmployeeData[[#This Row],[Status]]="Active",_xlfn.DAYS(TODAY(),EmployeeData[[#This Row],[Join Date]]),EmployeeData[[#This Row],[Status]]="Exited",_xlfn.DAYS(EmployeeData[[#This Row],[Exit Date]],EmployeeData[[#This Row],[Join Date]]))</f>
        <v>676</v>
      </c>
      <c r="L516" cm="1">
        <f t="array" aca="1" ref="L516" ca="1">_xlfn.IFS(EmployeeData[[#This Row],[Status]]="Exited",DATEDIF(EmployeeData[[#This Row],[Join Date]], EmployeeData[[#This Row],[Exit Date]], "Y"),EmployeeData[[#This Row],[Status]]="Active",DATEDIF(EmployeeData[[#This Row],[Join Date]], TODAY(), "Y"))</f>
        <v>1</v>
      </c>
      <c r="Q516" t="str" cm="1">
        <f t="array" aca="1" ref="Q5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7 days</v>
      </c>
    </row>
    <row r="517" spans="1:17" x14ac:dyDescent="0.3">
      <c r="A517">
        <v>1516</v>
      </c>
      <c r="B517" t="s">
        <v>439</v>
      </c>
      <c r="C517" t="s">
        <v>46</v>
      </c>
      <c r="D517" t="s">
        <v>24</v>
      </c>
      <c r="E517">
        <v>35</v>
      </c>
      <c r="F517" t="str" cm="1">
        <f t="array" ref="F517">_xlfn.IFS(EmployeeData[[#This Row],[Age]]&lt;30,"20s",EmployeeData[[#This Row],[Age]]&lt;40,"30s",EmployeeData[[#This Row],[Age]]&lt;50,"40s",EmployeeData[[#This Row],[Age]]&lt;60,"50s",EmployeeData[[#This Row],[Age]]&gt;=60,"60s")</f>
        <v>30s</v>
      </c>
      <c r="G517" s="5">
        <v>43467</v>
      </c>
      <c r="I517" t="s">
        <v>17</v>
      </c>
      <c r="J517" t="s">
        <v>18</v>
      </c>
      <c r="K517" cm="1">
        <f t="array" aca="1" ref="K517" ca="1">_xlfn.IFS(EmployeeData[[#This Row],[Status]]="Active",_xlfn.DAYS(TODAY(),EmployeeData[[#This Row],[Join Date]]),EmployeeData[[#This Row],[Status]]="Exited",_xlfn.DAYS(EmployeeData[[#This Row],[Exit Date]],EmployeeData[[#This Row],[Join Date]]))</f>
        <v>2730</v>
      </c>
      <c r="L517" cm="1">
        <f t="array" aca="1" ref="L517" ca="1">_xlfn.IFS(EmployeeData[[#This Row],[Status]]="Exited",DATEDIF(EmployeeData[[#This Row],[Join Date]], EmployeeData[[#This Row],[Exit Date]], "Y"),EmployeeData[[#This Row],[Status]]="Active",DATEDIF(EmployeeData[[#This Row],[Join Date]], TODAY(), "Y"))</f>
        <v>7</v>
      </c>
      <c r="Q517" t="str" cm="1">
        <f t="array" aca="1" ref="Q5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22 days</v>
      </c>
    </row>
    <row r="518" spans="1:17" x14ac:dyDescent="0.3">
      <c r="A518">
        <v>1517</v>
      </c>
      <c r="B518" t="s">
        <v>611</v>
      </c>
      <c r="C518" t="s">
        <v>15</v>
      </c>
      <c r="D518" t="s">
        <v>24</v>
      </c>
      <c r="E518">
        <v>29</v>
      </c>
      <c r="F518" t="str" cm="1">
        <f t="array" ref="F518">_xlfn.IFS(EmployeeData[[#This Row],[Age]]&lt;30,"20s",EmployeeData[[#This Row],[Age]]&lt;40,"30s",EmployeeData[[#This Row],[Age]]&lt;50,"40s",EmployeeData[[#This Row],[Age]]&lt;60,"50s",EmployeeData[[#This Row],[Age]]&gt;=60,"60s")</f>
        <v>20s</v>
      </c>
      <c r="G518" s="5">
        <v>44509</v>
      </c>
      <c r="H518" s="5">
        <v>45694</v>
      </c>
      <c r="I518" t="s">
        <v>31</v>
      </c>
      <c r="J518" t="s">
        <v>13</v>
      </c>
      <c r="K518" cm="1">
        <f t="array" aca="1" ref="K518" ca="1">_xlfn.IFS(EmployeeData[[#This Row],[Status]]="Active",_xlfn.DAYS(TODAY(),EmployeeData[[#This Row],[Join Date]]),EmployeeData[[#This Row],[Status]]="Exited",_xlfn.DAYS(EmployeeData[[#This Row],[Exit Date]],EmployeeData[[#This Row],[Join Date]]))</f>
        <v>1185</v>
      </c>
      <c r="L518" cm="1">
        <f t="array" aca="1" ref="L518" ca="1">_xlfn.IFS(EmployeeData[[#This Row],[Status]]="Exited",DATEDIF(EmployeeData[[#This Row],[Join Date]], EmployeeData[[#This Row],[Exit Date]], "Y"),EmployeeData[[#This Row],[Status]]="Active",DATEDIF(EmployeeData[[#This Row],[Join Date]], TODAY(), "Y"))</f>
        <v>3</v>
      </c>
      <c r="Q518" t="str" cm="1">
        <f t="array" aca="1" ref="Q5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28 days</v>
      </c>
    </row>
    <row r="519" spans="1:17" x14ac:dyDescent="0.3">
      <c r="A519">
        <v>1518</v>
      </c>
      <c r="B519" t="s">
        <v>1004</v>
      </c>
      <c r="C519" t="s">
        <v>33</v>
      </c>
      <c r="D519" t="s">
        <v>24</v>
      </c>
      <c r="E519">
        <v>21</v>
      </c>
      <c r="F519" t="str" cm="1">
        <f t="array" ref="F519">_xlfn.IFS(EmployeeData[[#This Row],[Age]]&lt;30,"20s",EmployeeData[[#This Row],[Age]]&lt;40,"30s",EmployeeData[[#This Row],[Age]]&lt;50,"40s",EmployeeData[[#This Row],[Age]]&lt;60,"50s",EmployeeData[[#This Row],[Age]]&gt;=60,"60s")</f>
        <v>20s</v>
      </c>
      <c r="G519" s="5">
        <v>45346</v>
      </c>
      <c r="H519" s="5">
        <v>45857</v>
      </c>
      <c r="I519" t="s">
        <v>52</v>
      </c>
      <c r="J519" t="s">
        <v>13</v>
      </c>
      <c r="K519" cm="1">
        <f t="array" aca="1" ref="K519" ca="1">_xlfn.IFS(EmployeeData[[#This Row],[Status]]="Active",_xlfn.DAYS(TODAY(),EmployeeData[[#This Row],[Join Date]]),EmployeeData[[#This Row],[Status]]="Exited",_xlfn.DAYS(EmployeeData[[#This Row],[Exit Date]],EmployeeData[[#This Row],[Join Date]]))</f>
        <v>511</v>
      </c>
      <c r="L519" cm="1">
        <f t="array" aca="1" ref="L519" ca="1">_xlfn.IFS(EmployeeData[[#This Row],[Status]]="Exited",DATEDIF(EmployeeData[[#This Row],[Join Date]], EmployeeData[[#This Row],[Exit Date]], "Y"),EmployeeData[[#This Row],[Status]]="Active",DATEDIF(EmployeeData[[#This Row],[Join Date]], TODAY(), "Y"))</f>
        <v>1</v>
      </c>
      <c r="Q519" t="str" cm="1">
        <f t="array" aca="1" ref="Q5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25 days</v>
      </c>
    </row>
    <row r="520" spans="1:17" x14ac:dyDescent="0.3">
      <c r="A520">
        <v>1519</v>
      </c>
      <c r="B520" t="s">
        <v>208</v>
      </c>
      <c r="C520" t="s">
        <v>33</v>
      </c>
      <c r="D520" t="s">
        <v>16</v>
      </c>
      <c r="E520">
        <v>26</v>
      </c>
      <c r="F520" t="str" cm="1">
        <f t="array" ref="F520">_xlfn.IFS(EmployeeData[[#This Row],[Age]]&lt;30,"20s",EmployeeData[[#This Row],[Age]]&lt;40,"30s",EmployeeData[[#This Row],[Age]]&lt;50,"40s",EmployeeData[[#This Row],[Age]]&lt;60,"50s",EmployeeData[[#This Row],[Age]]&gt;=60,"60s")</f>
        <v>20s</v>
      </c>
      <c r="G520" s="5">
        <v>44830</v>
      </c>
      <c r="I520" t="s">
        <v>17</v>
      </c>
      <c r="J520" t="s">
        <v>18</v>
      </c>
      <c r="K520" cm="1">
        <f t="array" aca="1" ref="K520" ca="1">_xlfn.IFS(EmployeeData[[#This Row],[Status]]="Active",_xlfn.DAYS(TODAY(),EmployeeData[[#This Row],[Join Date]]),EmployeeData[[#This Row],[Status]]="Exited",_xlfn.DAYS(EmployeeData[[#This Row],[Exit Date]],EmployeeData[[#This Row],[Join Date]]))</f>
        <v>1367</v>
      </c>
      <c r="L520" cm="1">
        <f t="array" aca="1" ref="L520" ca="1">_xlfn.IFS(EmployeeData[[#This Row],[Status]]="Exited",DATEDIF(EmployeeData[[#This Row],[Join Date]], EmployeeData[[#This Row],[Exit Date]], "Y"),EmployeeData[[#This Row],[Status]]="Active",DATEDIF(EmployeeData[[#This Row],[Join Date]], TODAY(), "Y"))</f>
        <v>3</v>
      </c>
      <c r="Q520" t="str" cm="1">
        <f t="array" aca="1" ref="Q5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29 days</v>
      </c>
    </row>
    <row r="521" spans="1:17" x14ac:dyDescent="0.3">
      <c r="A521">
        <v>1520</v>
      </c>
      <c r="B521" t="s">
        <v>509</v>
      </c>
      <c r="C521" t="s">
        <v>20</v>
      </c>
      <c r="D521" t="s">
        <v>16</v>
      </c>
      <c r="E521">
        <v>55</v>
      </c>
      <c r="F521" t="str" cm="1">
        <f t="array" ref="F521">_xlfn.IFS(EmployeeData[[#This Row],[Age]]&lt;30,"20s",EmployeeData[[#This Row],[Age]]&lt;40,"30s",EmployeeData[[#This Row],[Age]]&lt;50,"40s",EmployeeData[[#This Row],[Age]]&lt;60,"50s",EmployeeData[[#This Row],[Age]]&gt;=60,"60s")</f>
        <v>50s</v>
      </c>
      <c r="G521" s="5">
        <v>44202</v>
      </c>
      <c r="I521" t="s">
        <v>17</v>
      </c>
      <c r="J521" t="s">
        <v>18</v>
      </c>
      <c r="K521" cm="1">
        <f t="array" aca="1" ref="K521" ca="1">_xlfn.IFS(EmployeeData[[#This Row],[Status]]="Active",_xlfn.DAYS(TODAY(),EmployeeData[[#This Row],[Join Date]]),EmployeeData[[#This Row],[Status]]="Exited",_xlfn.DAYS(EmployeeData[[#This Row],[Exit Date]],EmployeeData[[#This Row],[Join Date]]))</f>
        <v>1995</v>
      </c>
      <c r="L521" cm="1">
        <f t="array" aca="1" ref="L521" ca="1">_xlfn.IFS(EmployeeData[[#This Row],[Status]]="Exited",DATEDIF(EmployeeData[[#This Row],[Join Date]], EmployeeData[[#This Row],[Exit Date]], "Y"),EmployeeData[[#This Row],[Status]]="Active",DATEDIF(EmployeeData[[#This Row],[Join Date]], TODAY(), "Y"))</f>
        <v>5</v>
      </c>
      <c r="Q521" t="str" cm="1">
        <f t="array" aca="1" ref="Q5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18 days</v>
      </c>
    </row>
    <row r="522" spans="1:17" x14ac:dyDescent="0.3">
      <c r="A522">
        <v>1521</v>
      </c>
      <c r="B522" t="s">
        <v>486</v>
      </c>
      <c r="C522" t="s">
        <v>23</v>
      </c>
      <c r="D522" t="s">
        <v>24</v>
      </c>
      <c r="E522">
        <v>38</v>
      </c>
      <c r="F522" t="str" cm="1">
        <f t="array" ref="F522">_xlfn.IFS(EmployeeData[[#This Row],[Age]]&lt;30,"20s",EmployeeData[[#This Row],[Age]]&lt;40,"30s",EmployeeData[[#This Row],[Age]]&lt;50,"40s",EmployeeData[[#This Row],[Age]]&lt;60,"50s",EmployeeData[[#This Row],[Age]]&gt;=60,"60s")</f>
        <v>30s</v>
      </c>
      <c r="G522" s="5">
        <v>45970</v>
      </c>
      <c r="I522" t="s">
        <v>17</v>
      </c>
      <c r="J522" t="s">
        <v>18</v>
      </c>
      <c r="K522" cm="1">
        <f t="array" aca="1" ref="K522" ca="1">_xlfn.IFS(EmployeeData[[#This Row],[Status]]="Active",_xlfn.DAYS(TODAY(),EmployeeData[[#This Row],[Join Date]]),EmployeeData[[#This Row],[Status]]="Exited",_xlfn.DAYS(EmployeeData[[#This Row],[Exit Date]],EmployeeData[[#This Row],[Join Date]]))</f>
        <v>227</v>
      </c>
      <c r="L522" cm="1">
        <f t="array" aca="1" ref="L522" ca="1">_xlfn.IFS(EmployeeData[[#This Row],[Status]]="Exited",DATEDIF(EmployeeData[[#This Row],[Join Date]], EmployeeData[[#This Row],[Exit Date]], "Y"),EmployeeData[[#This Row],[Status]]="Active",DATEDIF(EmployeeData[[#This Row],[Join Date]], TODAY(), "Y"))</f>
        <v>0</v>
      </c>
      <c r="Q522" t="str" cm="1">
        <f t="array" aca="1" ref="Q5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15 days</v>
      </c>
    </row>
    <row r="523" spans="1:17" x14ac:dyDescent="0.3">
      <c r="A523">
        <v>1522</v>
      </c>
      <c r="B523" t="s">
        <v>955</v>
      </c>
      <c r="C523" t="s">
        <v>46</v>
      </c>
      <c r="D523" t="s">
        <v>16</v>
      </c>
      <c r="E523">
        <v>27</v>
      </c>
      <c r="F523" t="str" cm="1">
        <f t="array" ref="F523">_xlfn.IFS(EmployeeData[[#This Row],[Age]]&lt;30,"20s",EmployeeData[[#This Row],[Age]]&lt;40,"30s",EmployeeData[[#This Row],[Age]]&lt;50,"40s",EmployeeData[[#This Row],[Age]]&lt;60,"50s",EmployeeData[[#This Row],[Age]]&gt;=60,"60s")</f>
        <v>20s</v>
      </c>
      <c r="G523" s="5">
        <v>44256</v>
      </c>
      <c r="H523" s="5">
        <v>45810</v>
      </c>
      <c r="I523" t="s">
        <v>12</v>
      </c>
      <c r="J523" t="s">
        <v>13</v>
      </c>
      <c r="K523" cm="1">
        <f t="array" aca="1" ref="K523" ca="1">_xlfn.IFS(EmployeeData[[#This Row],[Status]]="Active",_xlfn.DAYS(TODAY(),EmployeeData[[#This Row],[Join Date]]),EmployeeData[[#This Row],[Status]]="Exited",_xlfn.DAYS(EmployeeData[[#This Row],[Exit Date]],EmployeeData[[#This Row],[Join Date]]))</f>
        <v>1554</v>
      </c>
      <c r="L523" cm="1">
        <f t="array" aca="1" ref="L523" ca="1">_xlfn.IFS(EmployeeData[[#This Row],[Status]]="Exited",DATEDIF(EmployeeData[[#This Row],[Join Date]], EmployeeData[[#This Row],[Exit Date]], "Y"),EmployeeData[[#This Row],[Status]]="Active",DATEDIF(EmployeeData[[#This Row],[Join Date]], TODAY(), "Y"))</f>
        <v>4</v>
      </c>
      <c r="Q523" t="str" cm="1">
        <f t="array" aca="1" ref="Q5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 days</v>
      </c>
    </row>
    <row r="524" spans="1:17" x14ac:dyDescent="0.3">
      <c r="A524">
        <v>1523</v>
      </c>
      <c r="B524" t="s">
        <v>396</v>
      </c>
      <c r="C524" t="s">
        <v>23</v>
      </c>
      <c r="D524" t="s">
        <v>24</v>
      </c>
      <c r="E524">
        <v>40</v>
      </c>
      <c r="F524" t="str" cm="1">
        <f t="array" ref="F524">_xlfn.IFS(EmployeeData[[#This Row],[Age]]&lt;30,"20s",EmployeeData[[#This Row],[Age]]&lt;40,"30s",EmployeeData[[#This Row],[Age]]&lt;50,"40s",EmployeeData[[#This Row],[Age]]&lt;60,"50s",EmployeeData[[#This Row],[Age]]&gt;=60,"60s")</f>
        <v>40s</v>
      </c>
      <c r="G524" s="5">
        <v>45142</v>
      </c>
      <c r="I524" t="s">
        <v>17</v>
      </c>
      <c r="J524" t="s">
        <v>18</v>
      </c>
      <c r="K524" cm="1">
        <f t="array" aca="1" ref="K524" ca="1">_xlfn.IFS(EmployeeData[[#This Row],[Status]]="Active",_xlfn.DAYS(TODAY(),EmployeeData[[#This Row],[Join Date]]),EmployeeData[[#This Row],[Status]]="Exited",_xlfn.DAYS(EmployeeData[[#This Row],[Exit Date]],EmployeeData[[#This Row],[Join Date]]))</f>
        <v>1055</v>
      </c>
      <c r="L524" cm="1">
        <f t="array" aca="1" ref="L524" ca="1">_xlfn.IFS(EmployeeData[[#This Row],[Status]]="Exited",DATEDIF(EmployeeData[[#This Row],[Join Date]], EmployeeData[[#This Row],[Exit Date]], "Y"),EmployeeData[[#This Row],[Status]]="Active",DATEDIF(EmployeeData[[#This Row],[Join Date]], TODAY(), "Y"))</f>
        <v>2</v>
      </c>
      <c r="Q524" t="str" cm="1">
        <f t="array" aca="1" ref="Q5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20 days</v>
      </c>
    </row>
    <row r="525" spans="1:17" x14ac:dyDescent="0.3">
      <c r="A525">
        <v>1524</v>
      </c>
      <c r="B525" t="s">
        <v>800</v>
      </c>
      <c r="C525" t="s">
        <v>10</v>
      </c>
      <c r="D525" t="s">
        <v>11</v>
      </c>
      <c r="E525">
        <v>30</v>
      </c>
      <c r="F525" t="str" cm="1">
        <f t="array" ref="F525">_xlfn.IFS(EmployeeData[[#This Row],[Age]]&lt;30,"20s",EmployeeData[[#This Row],[Age]]&lt;40,"30s",EmployeeData[[#This Row],[Age]]&lt;50,"40s",EmployeeData[[#This Row],[Age]]&lt;60,"50s",EmployeeData[[#This Row],[Age]]&gt;=60,"60s")</f>
        <v>30s</v>
      </c>
      <c r="G525" s="5">
        <v>43330</v>
      </c>
      <c r="H525" s="5">
        <v>45027</v>
      </c>
      <c r="I525" t="s">
        <v>31</v>
      </c>
      <c r="J525" t="s">
        <v>13</v>
      </c>
      <c r="K525" cm="1">
        <f t="array" aca="1" ref="K525" ca="1">_xlfn.IFS(EmployeeData[[#This Row],[Status]]="Active",_xlfn.DAYS(TODAY(),EmployeeData[[#This Row],[Join Date]]),EmployeeData[[#This Row],[Status]]="Exited",_xlfn.DAYS(EmployeeData[[#This Row],[Exit Date]],EmployeeData[[#This Row],[Join Date]]))</f>
        <v>1697</v>
      </c>
      <c r="L525" cm="1">
        <f t="array" aca="1" ref="L525" ca="1">_xlfn.IFS(EmployeeData[[#This Row],[Status]]="Exited",DATEDIF(EmployeeData[[#This Row],[Join Date]], EmployeeData[[#This Row],[Exit Date]], "Y"),EmployeeData[[#This Row],[Status]]="Active",DATEDIF(EmployeeData[[#This Row],[Join Date]], TODAY(), "Y"))</f>
        <v>4</v>
      </c>
      <c r="Q525" t="str" cm="1">
        <f t="array" aca="1" ref="Q5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24 days</v>
      </c>
    </row>
    <row r="526" spans="1:17" x14ac:dyDescent="0.3">
      <c r="A526">
        <v>1525</v>
      </c>
      <c r="B526" t="s">
        <v>829</v>
      </c>
      <c r="C526" t="s">
        <v>33</v>
      </c>
      <c r="D526" t="s">
        <v>11</v>
      </c>
      <c r="E526">
        <v>28</v>
      </c>
      <c r="F526" t="str" cm="1">
        <f t="array" ref="F526">_xlfn.IFS(EmployeeData[[#This Row],[Age]]&lt;30,"20s",EmployeeData[[#This Row],[Age]]&lt;40,"30s",EmployeeData[[#This Row],[Age]]&lt;50,"40s",EmployeeData[[#This Row],[Age]]&lt;60,"50s",EmployeeData[[#This Row],[Age]]&gt;=60,"60s")</f>
        <v>20s</v>
      </c>
      <c r="G526" s="5">
        <v>44120</v>
      </c>
      <c r="I526" t="s">
        <v>17</v>
      </c>
      <c r="J526" t="s">
        <v>18</v>
      </c>
      <c r="K526" cm="1">
        <f t="array" aca="1" ref="K526" ca="1">_xlfn.IFS(EmployeeData[[#This Row],[Status]]="Active",_xlfn.DAYS(TODAY(),EmployeeData[[#This Row],[Join Date]]),EmployeeData[[#This Row],[Status]]="Exited",_xlfn.DAYS(EmployeeData[[#This Row],[Exit Date]],EmployeeData[[#This Row],[Join Date]]))</f>
        <v>2077</v>
      </c>
      <c r="L526" cm="1">
        <f t="array" aca="1" ref="L526" ca="1">_xlfn.IFS(EmployeeData[[#This Row],[Status]]="Exited",DATEDIF(EmployeeData[[#This Row],[Join Date]], EmployeeData[[#This Row],[Exit Date]], "Y"),EmployeeData[[#This Row],[Status]]="Active",DATEDIF(EmployeeData[[#This Row],[Join Date]], TODAY(), "Y"))</f>
        <v>5</v>
      </c>
      <c r="Q526" t="str" cm="1">
        <f t="array" aca="1" ref="Q5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8 days</v>
      </c>
    </row>
    <row r="527" spans="1:17" x14ac:dyDescent="0.3">
      <c r="A527">
        <v>1526</v>
      </c>
      <c r="B527" t="s">
        <v>921</v>
      </c>
      <c r="C527" t="s">
        <v>15</v>
      </c>
      <c r="D527" t="s">
        <v>24</v>
      </c>
      <c r="E527">
        <v>27</v>
      </c>
      <c r="F527" t="str" cm="1">
        <f t="array" ref="F527">_xlfn.IFS(EmployeeData[[#This Row],[Age]]&lt;30,"20s",EmployeeData[[#This Row],[Age]]&lt;40,"30s",EmployeeData[[#This Row],[Age]]&lt;50,"40s",EmployeeData[[#This Row],[Age]]&lt;60,"50s",EmployeeData[[#This Row],[Age]]&gt;=60,"60s")</f>
        <v>20s</v>
      </c>
      <c r="G527" s="5">
        <v>45235</v>
      </c>
      <c r="I527" t="s">
        <v>17</v>
      </c>
      <c r="J527" t="s">
        <v>18</v>
      </c>
      <c r="K527" cm="1">
        <f t="array" aca="1" ref="K527" ca="1">_xlfn.IFS(EmployeeData[[#This Row],[Status]]="Active",_xlfn.DAYS(TODAY(),EmployeeData[[#This Row],[Join Date]]),EmployeeData[[#This Row],[Status]]="Exited",_xlfn.DAYS(EmployeeData[[#This Row],[Exit Date]],EmployeeData[[#This Row],[Join Date]]))</f>
        <v>962</v>
      </c>
      <c r="L527" cm="1">
        <f t="array" aca="1" ref="L527" ca="1">_xlfn.IFS(EmployeeData[[#This Row],[Status]]="Exited",DATEDIF(EmployeeData[[#This Row],[Join Date]], EmployeeData[[#This Row],[Exit Date]], "Y"),EmployeeData[[#This Row],[Status]]="Active",DATEDIF(EmployeeData[[#This Row],[Join Date]], TODAY(), "Y"))</f>
        <v>2</v>
      </c>
      <c r="Q527" t="str" cm="1">
        <f t="array" aca="1" ref="Q5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19 days</v>
      </c>
    </row>
    <row r="528" spans="1:17" x14ac:dyDescent="0.3">
      <c r="A528">
        <v>1527</v>
      </c>
      <c r="B528" t="s">
        <v>414</v>
      </c>
      <c r="C528" t="s">
        <v>46</v>
      </c>
      <c r="D528" t="s">
        <v>16</v>
      </c>
      <c r="E528">
        <v>23</v>
      </c>
      <c r="F528" t="str" cm="1">
        <f t="array" ref="F528">_xlfn.IFS(EmployeeData[[#This Row],[Age]]&lt;30,"20s",EmployeeData[[#This Row],[Age]]&lt;40,"30s",EmployeeData[[#This Row],[Age]]&lt;50,"40s",EmployeeData[[#This Row],[Age]]&lt;60,"50s",EmployeeData[[#This Row],[Age]]&gt;=60,"60s")</f>
        <v>20s</v>
      </c>
      <c r="G528" s="5">
        <v>45352</v>
      </c>
      <c r="I528" t="s">
        <v>17</v>
      </c>
      <c r="J528" t="s">
        <v>18</v>
      </c>
      <c r="K528" cm="1">
        <f t="array" aca="1" ref="K528" ca="1">_xlfn.IFS(EmployeeData[[#This Row],[Status]]="Active",_xlfn.DAYS(TODAY(),EmployeeData[[#This Row],[Join Date]]),EmployeeData[[#This Row],[Status]]="Exited",_xlfn.DAYS(EmployeeData[[#This Row],[Exit Date]],EmployeeData[[#This Row],[Join Date]]))</f>
        <v>845</v>
      </c>
      <c r="L528" cm="1">
        <f t="array" aca="1" ref="L528" ca="1">_xlfn.IFS(EmployeeData[[#This Row],[Status]]="Exited",DATEDIF(EmployeeData[[#This Row],[Join Date]], EmployeeData[[#This Row],[Exit Date]], "Y"),EmployeeData[[#This Row],[Status]]="Active",DATEDIF(EmployeeData[[#This Row],[Join Date]], TODAY(), "Y"))</f>
        <v>2</v>
      </c>
      <c r="Q528" t="str" cm="1">
        <f t="array" aca="1" ref="Q5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23 days</v>
      </c>
    </row>
    <row r="529" spans="1:17" x14ac:dyDescent="0.3">
      <c r="A529">
        <v>1528</v>
      </c>
      <c r="B529" t="s">
        <v>157</v>
      </c>
      <c r="C529" t="s">
        <v>15</v>
      </c>
      <c r="D529" t="s">
        <v>11</v>
      </c>
      <c r="E529">
        <v>55</v>
      </c>
      <c r="F529" t="str" cm="1">
        <f t="array" ref="F529">_xlfn.IFS(EmployeeData[[#This Row],[Age]]&lt;30,"20s",EmployeeData[[#This Row],[Age]]&lt;40,"30s",EmployeeData[[#This Row],[Age]]&lt;50,"40s",EmployeeData[[#This Row],[Age]]&lt;60,"50s",EmployeeData[[#This Row],[Age]]&gt;=60,"60s")</f>
        <v>50s</v>
      </c>
      <c r="G529" s="5">
        <v>43563</v>
      </c>
      <c r="H529" s="5">
        <v>45431</v>
      </c>
      <c r="I529" t="s">
        <v>26</v>
      </c>
      <c r="J529" t="s">
        <v>13</v>
      </c>
      <c r="K529" cm="1">
        <f t="array" aca="1" ref="K529" ca="1">_xlfn.IFS(EmployeeData[[#This Row],[Status]]="Active",_xlfn.DAYS(TODAY(),EmployeeData[[#This Row],[Join Date]]),EmployeeData[[#This Row],[Status]]="Exited",_xlfn.DAYS(EmployeeData[[#This Row],[Exit Date]],EmployeeData[[#This Row],[Join Date]]))</f>
        <v>1868</v>
      </c>
      <c r="L529" cm="1">
        <f t="array" aca="1" ref="L529" ca="1">_xlfn.IFS(EmployeeData[[#This Row],[Status]]="Exited",DATEDIF(EmployeeData[[#This Row],[Join Date]], EmployeeData[[#This Row],[Exit Date]], "Y"),EmployeeData[[#This Row],[Status]]="Active",DATEDIF(EmployeeData[[#This Row],[Join Date]], TODAY(), "Y"))</f>
        <v>5</v>
      </c>
      <c r="Q529" t="str" cm="1">
        <f t="array" aca="1" ref="Q5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11 days</v>
      </c>
    </row>
    <row r="530" spans="1:17" x14ac:dyDescent="0.3">
      <c r="A530">
        <v>1529</v>
      </c>
      <c r="B530" t="s">
        <v>503</v>
      </c>
      <c r="C530" t="s">
        <v>15</v>
      </c>
      <c r="D530" t="s">
        <v>16</v>
      </c>
      <c r="E530">
        <v>51</v>
      </c>
      <c r="F530" t="str" cm="1">
        <f t="array" ref="F530">_xlfn.IFS(EmployeeData[[#This Row],[Age]]&lt;30,"20s",EmployeeData[[#This Row],[Age]]&lt;40,"30s",EmployeeData[[#This Row],[Age]]&lt;50,"40s",EmployeeData[[#This Row],[Age]]&lt;60,"50s",EmployeeData[[#This Row],[Age]]&gt;=60,"60s")</f>
        <v>50s</v>
      </c>
      <c r="G530" s="5">
        <v>45920</v>
      </c>
      <c r="I530" t="s">
        <v>17</v>
      </c>
      <c r="J530" t="s">
        <v>18</v>
      </c>
      <c r="K530" cm="1">
        <f t="array" aca="1" ref="K530" ca="1">_xlfn.IFS(EmployeeData[[#This Row],[Status]]="Active",_xlfn.DAYS(TODAY(),EmployeeData[[#This Row],[Join Date]]),EmployeeData[[#This Row],[Status]]="Exited",_xlfn.DAYS(EmployeeData[[#This Row],[Exit Date]],EmployeeData[[#This Row],[Join Date]]))</f>
        <v>277</v>
      </c>
      <c r="L530" cm="1">
        <f t="array" aca="1" ref="L530" ca="1">_xlfn.IFS(EmployeeData[[#This Row],[Status]]="Exited",DATEDIF(EmployeeData[[#This Row],[Join Date]], EmployeeData[[#This Row],[Exit Date]], "Y"),EmployeeData[[#This Row],[Status]]="Active",DATEDIF(EmployeeData[[#This Row],[Join Date]], TODAY(), "Y"))</f>
        <v>0</v>
      </c>
      <c r="Q530" t="str" cm="1">
        <f t="array" aca="1" ref="Q5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4 days</v>
      </c>
    </row>
    <row r="531" spans="1:17" x14ac:dyDescent="0.3">
      <c r="A531">
        <v>1530</v>
      </c>
      <c r="B531" t="s">
        <v>380</v>
      </c>
      <c r="C531" t="s">
        <v>15</v>
      </c>
      <c r="D531" t="s">
        <v>24</v>
      </c>
      <c r="E531">
        <v>24</v>
      </c>
      <c r="F531" t="str" cm="1">
        <f t="array" ref="F531">_xlfn.IFS(EmployeeData[[#This Row],[Age]]&lt;30,"20s",EmployeeData[[#This Row],[Age]]&lt;40,"30s",EmployeeData[[#This Row],[Age]]&lt;50,"40s",EmployeeData[[#This Row],[Age]]&lt;60,"50s",EmployeeData[[#This Row],[Age]]&gt;=60,"60s")</f>
        <v>20s</v>
      </c>
      <c r="G531" s="5">
        <v>43345</v>
      </c>
      <c r="H531" s="5">
        <v>44065</v>
      </c>
      <c r="I531" t="s">
        <v>34</v>
      </c>
      <c r="J531" t="s">
        <v>13</v>
      </c>
      <c r="K531" cm="1">
        <f t="array" aca="1" ref="K531" ca="1">_xlfn.IFS(EmployeeData[[#This Row],[Status]]="Active",_xlfn.DAYS(TODAY(),EmployeeData[[#This Row],[Join Date]]),EmployeeData[[#This Row],[Status]]="Exited",_xlfn.DAYS(EmployeeData[[#This Row],[Exit Date]],EmployeeData[[#This Row],[Join Date]]))</f>
        <v>720</v>
      </c>
      <c r="L531" cm="1">
        <f t="array" aca="1" ref="L531" ca="1">_xlfn.IFS(EmployeeData[[#This Row],[Status]]="Exited",DATEDIF(EmployeeData[[#This Row],[Join Date]], EmployeeData[[#This Row],[Exit Date]], "Y"),EmployeeData[[#This Row],[Status]]="Active",DATEDIF(EmployeeData[[#This Row],[Join Date]], TODAY(), "Y"))</f>
        <v>1</v>
      </c>
      <c r="Q531" t="str" cm="1">
        <f t="array" aca="1" ref="Q5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20 days</v>
      </c>
    </row>
    <row r="532" spans="1:17" x14ac:dyDescent="0.3">
      <c r="A532">
        <v>1531</v>
      </c>
      <c r="B532" t="s">
        <v>958</v>
      </c>
      <c r="C532" t="s">
        <v>46</v>
      </c>
      <c r="D532" t="s">
        <v>11</v>
      </c>
      <c r="E532">
        <v>43</v>
      </c>
      <c r="F532" t="str" cm="1">
        <f t="array" ref="F532">_xlfn.IFS(EmployeeData[[#This Row],[Age]]&lt;30,"20s",EmployeeData[[#This Row],[Age]]&lt;40,"30s",EmployeeData[[#This Row],[Age]]&lt;50,"40s",EmployeeData[[#This Row],[Age]]&lt;60,"50s",EmployeeData[[#This Row],[Age]]&gt;=60,"60s")</f>
        <v>40s</v>
      </c>
      <c r="G532" s="5">
        <v>44897</v>
      </c>
      <c r="I532" t="s">
        <v>17</v>
      </c>
      <c r="J532" t="s">
        <v>18</v>
      </c>
      <c r="K532" cm="1">
        <f t="array" aca="1" ref="K532" ca="1">_xlfn.IFS(EmployeeData[[#This Row],[Status]]="Active",_xlfn.DAYS(TODAY(),EmployeeData[[#This Row],[Join Date]]),EmployeeData[[#This Row],[Status]]="Exited",_xlfn.DAYS(EmployeeData[[#This Row],[Exit Date]],EmployeeData[[#This Row],[Join Date]]))</f>
        <v>1300</v>
      </c>
      <c r="L532" cm="1">
        <f t="array" aca="1" ref="L532" ca="1">_xlfn.IFS(EmployeeData[[#This Row],[Status]]="Exited",DATEDIF(EmployeeData[[#This Row],[Join Date]], EmployeeData[[#This Row],[Exit Date]], "Y"),EmployeeData[[#This Row],[Status]]="Active",DATEDIF(EmployeeData[[#This Row],[Join Date]], TODAY(), "Y"))</f>
        <v>3</v>
      </c>
      <c r="Q532" t="str" cm="1">
        <f t="array" aca="1" ref="Q5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22 days</v>
      </c>
    </row>
    <row r="533" spans="1:17" x14ac:dyDescent="0.3">
      <c r="A533">
        <v>1532</v>
      </c>
      <c r="B533" t="s">
        <v>1074</v>
      </c>
      <c r="C533" t="s">
        <v>10</v>
      </c>
      <c r="D533" t="s">
        <v>16</v>
      </c>
      <c r="E533">
        <v>49</v>
      </c>
      <c r="F533" t="str" cm="1">
        <f t="array" ref="F533">_xlfn.IFS(EmployeeData[[#This Row],[Age]]&lt;30,"20s",EmployeeData[[#This Row],[Age]]&lt;40,"30s",EmployeeData[[#This Row],[Age]]&lt;50,"40s",EmployeeData[[#This Row],[Age]]&lt;60,"50s",EmployeeData[[#This Row],[Age]]&gt;=60,"60s")</f>
        <v>40s</v>
      </c>
      <c r="G533" s="5">
        <v>45390</v>
      </c>
      <c r="H533" s="5">
        <v>45981</v>
      </c>
      <c r="I533" t="s">
        <v>31</v>
      </c>
      <c r="J533" t="s">
        <v>13</v>
      </c>
      <c r="K533" cm="1">
        <f t="array" aca="1" ref="K533" ca="1">_xlfn.IFS(EmployeeData[[#This Row],[Status]]="Active",_xlfn.DAYS(TODAY(),EmployeeData[[#This Row],[Join Date]]),EmployeeData[[#This Row],[Status]]="Exited",_xlfn.DAYS(EmployeeData[[#This Row],[Exit Date]],EmployeeData[[#This Row],[Join Date]]))</f>
        <v>591</v>
      </c>
      <c r="L533" cm="1">
        <f t="array" aca="1" ref="L533" ca="1">_xlfn.IFS(EmployeeData[[#This Row],[Status]]="Exited",DATEDIF(EmployeeData[[#This Row],[Join Date]], EmployeeData[[#This Row],[Exit Date]], "Y"),EmployeeData[[#This Row],[Status]]="Active",DATEDIF(EmployeeData[[#This Row],[Join Date]], TODAY(), "Y"))</f>
        <v>1</v>
      </c>
      <c r="Q533" t="str" cm="1">
        <f t="array" aca="1" ref="Q5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12 days</v>
      </c>
    </row>
    <row r="534" spans="1:17" x14ac:dyDescent="0.3">
      <c r="A534">
        <v>1533</v>
      </c>
      <c r="B534" t="s">
        <v>9</v>
      </c>
      <c r="C534" t="s">
        <v>10</v>
      </c>
      <c r="D534" t="s">
        <v>11</v>
      </c>
      <c r="E534">
        <v>56</v>
      </c>
      <c r="F534" t="str" cm="1">
        <f t="array" ref="F534">_xlfn.IFS(EmployeeData[[#This Row],[Age]]&lt;30,"20s",EmployeeData[[#This Row],[Age]]&lt;40,"30s",EmployeeData[[#This Row],[Age]]&lt;50,"40s",EmployeeData[[#This Row],[Age]]&lt;60,"50s",EmployeeData[[#This Row],[Age]]&gt;=60,"60s")</f>
        <v>50s</v>
      </c>
      <c r="G534" s="5">
        <v>43757</v>
      </c>
      <c r="H534" s="5">
        <v>44481</v>
      </c>
      <c r="I534" t="s">
        <v>12</v>
      </c>
      <c r="J534" t="s">
        <v>13</v>
      </c>
      <c r="K534" cm="1">
        <f t="array" aca="1" ref="K534" ca="1">_xlfn.IFS(EmployeeData[[#This Row],[Status]]="Active",_xlfn.DAYS(TODAY(),EmployeeData[[#This Row],[Join Date]]),EmployeeData[[#This Row],[Status]]="Exited",_xlfn.DAYS(EmployeeData[[#This Row],[Exit Date]],EmployeeData[[#This Row],[Join Date]]))</f>
        <v>724</v>
      </c>
      <c r="L534" cm="1">
        <f t="array" aca="1" ref="L534" ca="1">_xlfn.IFS(EmployeeData[[#This Row],[Status]]="Exited",DATEDIF(EmployeeData[[#This Row],[Join Date]], EmployeeData[[#This Row],[Exit Date]], "Y"),EmployeeData[[#This Row],[Status]]="Active",DATEDIF(EmployeeData[[#This Row],[Join Date]], TODAY(), "Y"))</f>
        <v>1</v>
      </c>
      <c r="Q534" t="str" cm="1">
        <f t="array" aca="1" ref="Q5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23 days</v>
      </c>
    </row>
    <row r="535" spans="1:17" x14ac:dyDescent="0.3">
      <c r="A535">
        <v>1534</v>
      </c>
      <c r="B535" t="s">
        <v>857</v>
      </c>
      <c r="C535" t="s">
        <v>20</v>
      </c>
      <c r="D535" t="s">
        <v>24</v>
      </c>
      <c r="E535">
        <v>32</v>
      </c>
      <c r="F535" t="str" cm="1">
        <f t="array" ref="F535">_xlfn.IFS(EmployeeData[[#This Row],[Age]]&lt;30,"20s",EmployeeData[[#This Row],[Age]]&lt;40,"30s",EmployeeData[[#This Row],[Age]]&lt;50,"40s",EmployeeData[[#This Row],[Age]]&lt;60,"50s",EmployeeData[[#This Row],[Age]]&gt;=60,"60s")</f>
        <v>30s</v>
      </c>
      <c r="G535" s="5">
        <v>43177</v>
      </c>
      <c r="I535" t="s">
        <v>17</v>
      </c>
      <c r="J535" t="s">
        <v>18</v>
      </c>
      <c r="K535" cm="1">
        <f t="array" aca="1" ref="K535" ca="1">_xlfn.IFS(EmployeeData[[#This Row],[Status]]="Active",_xlfn.DAYS(TODAY(),EmployeeData[[#This Row],[Join Date]]),EmployeeData[[#This Row],[Status]]="Exited",_xlfn.DAYS(EmployeeData[[#This Row],[Exit Date]],EmployeeData[[#This Row],[Join Date]]))</f>
        <v>3020</v>
      </c>
      <c r="L535" cm="1">
        <f t="array" aca="1" ref="L535" ca="1">_xlfn.IFS(EmployeeData[[#This Row],[Status]]="Exited",DATEDIF(EmployeeData[[#This Row],[Join Date]], EmployeeData[[#This Row],[Exit Date]], "Y"),EmployeeData[[#This Row],[Status]]="Active",DATEDIF(EmployeeData[[#This Row],[Join Date]], TODAY(), "Y"))</f>
        <v>8</v>
      </c>
      <c r="Q535" t="str" cm="1">
        <f t="array" aca="1" ref="Q5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3 months 6 days</v>
      </c>
    </row>
    <row r="536" spans="1:17" x14ac:dyDescent="0.3">
      <c r="A536">
        <v>1535</v>
      </c>
      <c r="B536" t="s">
        <v>993</v>
      </c>
      <c r="C536" t="s">
        <v>20</v>
      </c>
      <c r="D536" t="s">
        <v>24</v>
      </c>
      <c r="E536">
        <v>45</v>
      </c>
      <c r="F536" t="str" cm="1">
        <f t="array" ref="F536">_xlfn.IFS(EmployeeData[[#This Row],[Age]]&lt;30,"20s",EmployeeData[[#This Row],[Age]]&lt;40,"30s",EmployeeData[[#This Row],[Age]]&lt;50,"40s",EmployeeData[[#This Row],[Age]]&lt;60,"50s",EmployeeData[[#This Row],[Age]]&gt;=60,"60s")</f>
        <v>40s</v>
      </c>
      <c r="G536" s="5">
        <v>43878</v>
      </c>
      <c r="I536" t="s">
        <v>17</v>
      </c>
      <c r="J536" t="s">
        <v>18</v>
      </c>
      <c r="K536" cm="1">
        <f t="array" aca="1" ref="K536" ca="1">_xlfn.IFS(EmployeeData[[#This Row],[Status]]="Active",_xlfn.DAYS(TODAY(),EmployeeData[[#This Row],[Join Date]]),EmployeeData[[#This Row],[Status]]="Exited",_xlfn.DAYS(EmployeeData[[#This Row],[Exit Date]],EmployeeData[[#This Row],[Join Date]]))</f>
        <v>2319</v>
      </c>
      <c r="L536" cm="1">
        <f t="array" aca="1" ref="L536" ca="1">_xlfn.IFS(EmployeeData[[#This Row],[Status]]="Exited",DATEDIF(EmployeeData[[#This Row],[Join Date]], EmployeeData[[#This Row],[Exit Date]], "Y"),EmployeeData[[#This Row],[Status]]="Active",DATEDIF(EmployeeData[[#This Row],[Join Date]], TODAY(), "Y"))</f>
        <v>6</v>
      </c>
      <c r="Q536" t="str" cm="1">
        <f t="array" aca="1" ref="Q5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7 days</v>
      </c>
    </row>
    <row r="537" spans="1:17" x14ac:dyDescent="0.3">
      <c r="A537">
        <v>1536</v>
      </c>
      <c r="B537" t="s">
        <v>1042</v>
      </c>
      <c r="C537" t="s">
        <v>10</v>
      </c>
      <c r="D537" t="s">
        <v>24</v>
      </c>
      <c r="E537">
        <v>28</v>
      </c>
      <c r="F537" t="str" cm="1">
        <f t="array" ref="F537">_xlfn.IFS(EmployeeData[[#This Row],[Age]]&lt;30,"20s",EmployeeData[[#This Row],[Age]]&lt;40,"30s",EmployeeData[[#This Row],[Age]]&lt;50,"40s",EmployeeData[[#This Row],[Age]]&lt;60,"50s",EmployeeData[[#This Row],[Age]]&gt;=60,"60s")</f>
        <v>20s</v>
      </c>
      <c r="G537" s="5">
        <v>43495</v>
      </c>
      <c r="I537" t="s">
        <v>17</v>
      </c>
      <c r="J537" t="s">
        <v>18</v>
      </c>
      <c r="K537" cm="1">
        <f t="array" aca="1" ref="K537" ca="1">_xlfn.IFS(EmployeeData[[#This Row],[Status]]="Active",_xlfn.DAYS(TODAY(),EmployeeData[[#This Row],[Join Date]]),EmployeeData[[#This Row],[Status]]="Exited",_xlfn.DAYS(EmployeeData[[#This Row],[Exit Date]],EmployeeData[[#This Row],[Join Date]]))</f>
        <v>2702</v>
      </c>
      <c r="L537" cm="1">
        <f t="array" aca="1" ref="L537" ca="1">_xlfn.IFS(EmployeeData[[#This Row],[Status]]="Exited",DATEDIF(EmployeeData[[#This Row],[Join Date]], EmployeeData[[#This Row],[Exit Date]], "Y"),EmployeeData[[#This Row],[Status]]="Active",DATEDIF(EmployeeData[[#This Row],[Join Date]], TODAY(), "Y"))</f>
        <v>7</v>
      </c>
      <c r="Q537" t="str" cm="1">
        <f t="array" aca="1" ref="Q5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25 days</v>
      </c>
    </row>
    <row r="538" spans="1:17" x14ac:dyDescent="0.3">
      <c r="A538">
        <v>1537</v>
      </c>
      <c r="B538" t="s">
        <v>537</v>
      </c>
      <c r="C538" t="s">
        <v>15</v>
      </c>
      <c r="D538" t="s">
        <v>11</v>
      </c>
      <c r="E538">
        <v>33</v>
      </c>
      <c r="F538" t="str" cm="1">
        <f t="array" ref="F538">_xlfn.IFS(EmployeeData[[#This Row],[Age]]&lt;30,"20s",EmployeeData[[#This Row],[Age]]&lt;40,"30s",EmployeeData[[#This Row],[Age]]&lt;50,"40s",EmployeeData[[#This Row],[Age]]&lt;60,"50s",EmployeeData[[#This Row],[Age]]&gt;=60,"60s")</f>
        <v>30s</v>
      </c>
      <c r="G538" s="5">
        <v>43539</v>
      </c>
      <c r="I538" t="s">
        <v>17</v>
      </c>
      <c r="J538" t="s">
        <v>18</v>
      </c>
      <c r="K538" cm="1">
        <f t="array" aca="1" ref="K538" ca="1">_xlfn.IFS(EmployeeData[[#This Row],[Status]]="Active",_xlfn.DAYS(TODAY(),EmployeeData[[#This Row],[Join Date]]),EmployeeData[[#This Row],[Status]]="Exited",_xlfn.DAYS(EmployeeData[[#This Row],[Exit Date]],EmployeeData[[#This Row],[Join Date]]))</f>
        <v>2658</v>
      </c>
      <c r="L538" cm="1">
        <f t="array" aca="1" ref="L538" ca="1">_xlfn.IFS(EmployeeData[[#This Row],[Status]]="Exited",DATEDIF(EmployeeData[[#This Row],[Join Date]], EmployeeData[[#This Row],[Exit Date]], "Y"),EmployeeData[[#This Row],[Status]]="Active",DATEDIF(EmployeeData[[#This Row],[Join Date]], TODAY(), "Y"))</f>
        <v>7</v>
      </c>
      <c r="Q538" t="str" cm="1">
        <f t="array" aca="1" ref="Q5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9 days</v>
      </c>
    </row>
    <row r="539" spans="1:17" x14ac:dyDescent="0.3">
      <c r="A539">
        <v>1538</v>
      </c>
      <c r="B539" t="s">
        <v>1022</v>
      </c>
      <c r="C539" t="s">
        <v>20</v>
      </c>
      <c r="D539" t="s">
        <v>24</v>
      </c>
      <c r="E539">
        <v>58</v>
      </c>
      <c r="F539" t="str" cm="1">
        <f t="array" ref="F539">_xlfn.IFS(EmployeeData[[#This Row],[Age]]&lt;30,"20s",EmployeeData[[#This Row],[Age]]&lt;40,"30s",EmployeeData[[#This Row],[Age]]&lt;50,"40s",EmployeeData[[#This Row],[Age]]&lt;60,"50s",EmployeeData[[#This Row],[Age]]&gt;=60,"60s")</f>
        <v>50s</v>
      </c>
      <c r="G539" s="5">
        <v>44149</v>
      </c>
      <c r="H539" s="5">
        <v>44691</v>
      </c>
      <c r="I539" t="s">
        <v>28</v>
      </c>
      <c r="J539" t="s">
        <v>13</v>
      </c>
      <c r="K539" cm="1">
        <f t="array" aca="1" ref="K539" ca="1">_xlfn.IFS(EmployeeData[[#This Row],[Status]]="Active",_xlfn.DAYS(TODAY(),EmployeeData[[#This Row],[Join Date]]),EmployeeData[[#This Row],[Status]]="Exited",_xlfn.DAYS(EmployeeData[[#This Row],[Exit Date]],EmployeeData[[#This Row],[Join Date]]))</f>
        <v>542</v>
      </c>
      <c r="L539" cm="1">
        <f t="array" aca="1" ref="L539" ca="1">_xlfn.IFS(EmployeeData[[#This Row],[Status]]="Exited",DATEDIF(EmployeeData[[#This Row],[Join Date]], EmployeeData[[#This Row],[Exit Date]], "Y"),EmployeeData[[#This Row],[Status]]="Active",DATEDIF(EmployeeData[[#This Row],[Join Date]], TODAY(), "Y"))</f>
        <v>1</v>
      </c>
      <c r="Q539" t="str" cm="1">
        <f t="array" aca="1" ref="Q5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26 days</v>
      </c>
    </row>
    <row r="540" spans="1:17" x14ac:dyDescent="0.3">
      <c r="A540">
        <v>1539</v>
      </c>
      <c r="B540" t="s">
        <v>343</v>
      </c>
      <c r="C540" t="s">
        <v>15</v>
      </c>
      <c r="D540" t="s">
        <v>24</v>
      </c>
      <c r="E540">
        <v>26</v>
      </c>
      <c r="F540" t="str" cm="1">
        <f t="array" ref="F540">_xlfn.IFS(EmployeeData[[#This Row],[Age]]&lt;30,"20s",EmployeeData[[#This Row],[Age]]&lt;40,"30s",EmployeeData[[#This Row],[Age]]&lt;50,"40s",EmployeeData[[#This Row],[Age]]&lt;60,"50s",EmployeeData[[#This Row],[Age]]&gt;=60,"60s")</f>
        <v>20s</v>
      </c>
      <c r="G540" s="5">
        <v>45018</v>
      </c>
      <c r="I540" t="s">
        <v>17</v>
      </c>
      <c r="J540" t="s">
        <v>18</v>
      </c>
      <c r="K540" cm="1">
        <f t="array" aca="1" ref="K540" ca="1">_xlfn.IFS(EmployeeData[[#This Row],[Status]]="Active",_xlfn.DAYS(TODAY(),EmployeeData[[#This Row],[Join Date]]),EmployeeData[[#This Row],[Status]]="Exited",_xlfn.DAYS(EmployeeData[[#This Row],[Exit Date]],EmployeeData[[#This Row],[Join Date]]))</f>
        <v>1179</v>
      </c>
      <c r="L540" cm="1">
        <f t="array" aca="1" ref="L540" ca="1">_xlfn.IFS(EmployeeData[[#This Row],[Status]]="Exited",DATEDIF(EmployeeData[[#This Row],[Join Date]], EmployeeData[[#This Row],[Exit Date]], "Y"),EmployeeData[[#This Row],[Status]]="Active",DATEDIF(EmployeeData[[#This Row],[Join Date]], TODAY(), "Y"))</f>
        <v>3</v>
      </c>
      <c r="Q540" t="str" cm="1">
        <f t="array" aca="1" ref="Q5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22 days</v>
      </c>
    </row>
    <row r="541" spans="1:17" x14ac:dyDescent="0.3">
      <c r="A541">
        <v>1540</v>
      </c>
      <c r="B541" t="s">
        <v>32</v>
      </c>
      <c r="C541" t="s">
        <v>33</v>
      </c>
      <c r="D541" t="s">
        <v>11</v>
      </c>
      <c r="E541">
        <v>24</v>
      </c>
      <c r="F541" t="str" cm="1">
        <f t="array" ref="F541">_xlfn.IFS(EmployeeData[[#This Row],[Age]]&lt;30,"20s",EmployeeData[[#This Row],[Age]]&lt;40,"30s",EmployeeData[[#This Row],[Age]]&lt;50,"40s",EmployeeData[[#This Row],[Age]]&lt;60,"50s",EmployeeData[[#This Row],[Age]]&gt;=60,"60s")</f>
        <v>20s</v>
      </c>
      <c r="G541" s="5">
        <v>45627</v>
      </c>
      <c r="H541" s="5">
        <v>45737</v>
      </c>
      <c r="I541" t="s">
        <v>34</v>
      </c>
      <c r="J541" t="s">
        <v>13</v>
      </c>
      <c r="K541" cm="1">
        <f t="array" aca="1" ref="K541" ca="1">_xlfn.IFS(EmployeeData[[#This Row],[Status]]="Active",_xlfn.DAYS(TODAY(),EmployeeData[[#This Row],[Join Date]]),EmployeeData[[#This Row],[Status]]="Exited",_xlfn.DAYS(EmployeeData[[#This Row],[Exit Date]],EmployeeData[[#This Row],[Join Date]]))</f>
        <v>110</v>
      </c>
      <c r="L541" cm="1">
        <f t="array" aca="1" ref="L541" ca="1">_xlfn.IFS(EmployeeData[[#This Row],[Status]]="Exited",DATEDIF(EmployeeData[[#This Row],[Join Date]], EmployeeData[[#This Row],[Exit Date]], "Y"),EmployeeData[[#This Row],[Status]]="Active",DATEDIF(EmployeeData[[#This Row],[Join Date]], TODAY(), "Y"))</f>
        <v>0</v>
      </c>
      <c r="Q541" t="str" cm="1">
        <f t="array" aca="1" ref="Q5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20 days</v>
      </c>
    </row>
    <row r="542" spans="1:17" x14ac:dyDescent="0.3">
      <c r="A542">
        <v>1541</v>
      </c>
      <c r="B542" t="s">
        <v>733</v>
      </c>
      <c r="C542" t="s">
        <v>46</v>
      </c>
      <c r="D542" t="s">
        <v>16</v>
      </c>
      <c r="E542">
        <v>35</v>
      </c>
      <c r="F542" t="str" cm="1">
        <f t="array" ref="F542">_xlfn.IFS(EmployeeData[[#This Row],[Age]]&lt;30,"20s",EmployeeData[[#This Row],[Age]]&lt;40,"30s",EmployeeData[[#This Row],[Age]]&lt;50,"40s",EmployeeData[[#This Row],[Age]]&lt;60,"50s",EmployeeData[[#This Row],[Age]]&gt;=60,"60s")</f>
        <v>30s</v>
      </c>
      <c r="G542" s="5">
        <v>45278</v>
      </c>
      <c r="I542" t="s">
        <v>17</v>
      </c>
      <c r="J542" t="s">
        <v>18</v>
      </c>
      <c r="K542" cm="1">
        <f t="array" aca="1" ref="K542" ca="1">_xlfn.IFS(EmployeeData[[#This Row],[Status]]="Active",_xlfn.DAYS(TODAY(),EmployeeData[[#This Row],[Join Date]]),EmployeeData[[#This Row],[Status]]="Exited",_xlfn.DAYS(EmployeeData[[#This Row],[Exit Date]],EmployeeData[[#This Row],[Join Date]]))</f>
        <v>919</v>
      </c>
      <c r="L542" cm="1">
        <f t="array" aca="1" ref="L542" ca="1">_xlfn.IFS(EmployeeData[[#This Row],[Status]]="Exited",DATEDIF(EmployeeData[[#This Row],[Join Date]], EmployeeData[[#This Row],[Exit Date]], "Y"),EmployeeData[[#This Row],[Status]]="Active",DATEDIF(EmployeeData[[#This Row],[Join Date]], TODAY(), "Y"))</f>
        <v>2</v>
      </c>
      <c r="Q542" t="str" cm="1">
        <f t="array" aca="1" ref="Q5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6 days</v>
      </c>
    </row>
    <row r="543" spans="1:17" x14ac:dyDescent="0.3">
      <c r="A543">
        <v>1542</v>
      </c>
      <c r="B543" t="s">
        <v>125</v>
      </c>
      <c r="C543" t="s">
        <v>23</v>
      </c>
      <c r="D543" t="s">
        <v>11</v>
      </c>
      <c r="E543">
        <v>56</v>
      </c>
      <c r="F543" t="str" cm="1">
        <f t="array" ref="F543">_xlfn.IFS(EmployeeData[[#This Row],[Age]]&lt;30,"20s",EmployeeData[[#This Row],[Age]]&lt;40,"30s",EmployeeData[[#This Row],[Age]]&lt;50,"40s",EmployeeData[[#This Row],[Age]]&lt;60,"50s",EmployeeData[[#This Row],[Age]]&gt;=60,"60s")</f>
        <v>50s</v>
      </c>
      <c r="G543" s="5">
        <v>45387</v>
      </c>
      <c r="I543" t="s">
        <v>17</v>
      </c>
      <c r="J543" t="s">
        <v>18</v>
      </c>
      <c r="K543" cm="1">
        <f t="array" aca="1" ref="K543" ca="1">_xlfn.IFS(EmployeeData[[#This Row],[Status]]="Active",_xlfn.DAYS(TODAY(),EmployeeData[[#This Row],[Join Date]]),EmployeeData[[#This Row],[Status]]="Exited",_xlfn.DAYS(EmployeeData[[#This Row],[Exit Date]],EmployeeData[[#This Row],[Join Date]]))</f>
        <v>810</v>
      </c>
      <c r="L543" cm="1">
        <f t="array" aca="1" ref="L543" ca="1">_xlfn.IFS(EmployeeData[[#This Row],[Status]]="Exited",DATEDIF(EmployeeData[[#This Row],[Join Date]], EmployeeData[[#This Row],[Exit Date]], "Y"),EmployeeData[[#This Row],[Status]]="Active",DATEDIF(EmployeeData[[#This Row],[Join Date]], TODAY(), "Y"))</f>
        <v>2</v>
      </c>
      <c r="Q543" t="str" cm="1">
        <f t="array" aca="1" ref="Q5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19 days</v>
      </c>
    </row>
    <row r="544" spans="1:17" x14ac:dyDescent="0.3">
      <c r="A544">
        <v>1543</v>
      </c>
      <c r="B544" t="s">
        <v>121</v>
      </c>
      <c r="C544" t="s">
        <v>20</v>
      </c>
      <c r="D544" t="s">
        <v>24</v>
      </c>
      <c r="E544">
        <v>27</v>
      </c>
      <c r="F544" t="str" cm="1">
        <f t="array" ref="F544">_xlfn.IFS(EmployeeData[[#This Row],[Age]]&lt;30,"20s",EmployeeData[[#This Row],[Age]]&lt;40,"30s",EmployeeData[[#This Row],[Age]]&lt;50,"40s",EmployeeData[[#This Row],[Age]]&lt;60,"50s",EmployeeData[[#This Row],[Age]]&gt;=60,"60s")</f>
        <v>20s</v>
      </c>
      <c r="G544" s="5">
        <v>43784</v>
      </c>
      <c r="I544" t="s">
        <v>17</v>
      </c>
      <c r="J544" t="s">
        <v>18</v>
      </c>
      <c r="K544" cm="1">
        <f t="array" aca="1" ref="K544" ca="1">_xlfn.IFS(EmployeeData[[#This Row],[Status]]="Active",_xlfn.DAYS(TODAY(),EmployeeData[[#This Row],[Join Date]]),EmployeeData[[#This Row],[Status]]="Exited",_xlfn.DAYS(EmployeeData[[#This Row],[Exit Date]],EmployeeData[[#This Row],[Join Date]]))</f>
        <v>2413</v>
      </c>
      <c r="L544" cm="1">
        <f t="array" aca="1" ref="L544" ca="1">_xlfn.IFS(EmployeeData[[#This Row],[Status]]="Exited",DATEDIF(EmployeeData[[#This Row],[Join Date]], EmployeeData[[#This Row],[Exit Date]], "Y"),EmployeeData[[#This Row],[Status]]="Active",DATEDIF(EmployeeData[[#This Row],[Join Date]], TODAY(), "Y"))</f>
        <v>6</v>
      </c>
      <c r="Q544" t="str" cm="1">
        <f t="array" aca="1" ref="Q5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9 days</v>
      </c>
    </row>
    <row r="545" spans="1:17" x14ac:dyDescent="0.3">
      <c r="A545">
        <v>1544</v>
      </c>
      <c r="B545" t="s">
        <v>144</v>
      </c>
      <c r="C545" t="s">
        <v>23</v>
      </c>
      <c r="D545" t="s">
        <v>24</v>
      </c>
      <c r="E545">
        <v>43</v>
      </c>
      <c r="F545" t="str" cm="1">
        <f t="array" ref="F545">_xlfn.IFS(EmployeeData[[#This Row],[Age]]&lt;30,"20s",EmployeeData[[#This Row],[Age]]&lt;40,"30s",EmployeeData[[#This Row],[Age]]&lt;50,"40s",EmployeeData[[#This Row],[Age]]&lt;60,"50s",EmployeeData[[#This Row],[Age]]&gt;=60,"60s")</f>
        <v>40s</v>
      </c>
      <c r="G545" s="5">
        <v>44391</v>
      </c>
      <c r="I545" t="s">
        <v>17</v>
      </c>
      <c r="J545" t="s">
        <v>18</v>
      </c>
      <c r="K545" cm="1">
        <f t="array" aca="1" ref="K545" ca="1">_xlfn.IFS(EmployeeData[[#This Row],[Status]]="Active",_xlfn.DAYS(TODAY(),EmployeeData[[#This Row],[Join Date]]),EmployeeData[[#This Row],[Status]]="Exited",_xlfn.DAYS(EmployeeData[[#This Row],[Exit Date]],EmployeeData[[#This Row],[Join Date]]))</f>
        <v>1806</v>
      </c>
      <c r="L545" cm="1">
        <f t="array" aca="1" ref="L545" ca="1">_xlfn.IFS(EmployeeData[[#This Row],[Status]]="Exited",DATEDIF(EmployeeData[[#This Row],[Join Date]], EmployeeData[[#This Row],[Exit Date]], "Y"),EmployeeData[[#This Row],[Status]]="Active",DATEDIF(EmployeeData[[#This Row],[Join Date]], TODAY(), "Y"))</f>
        <v>4</v>
      </c>
      <c r="Q545" t="str" cm="1">
        <f t="array" aca="1" ref="Q5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11 months 10 days</v>
      </c>
    </row>
    <row r="546" spans="1:17" x14ac:dyDescent="0.3">
      <c r="A546">
        <v>1545</v>
      </c>
      <c r="B546" t="s">
        <v>427</v>
      </c>
      <c r="C546" t="s">
        <v>33</v>
      </c>
      <c r="D546" t="s">
        <v>24</v>
      </c>
      <c r="E546">
        <v>36</v>
      </c>
      <c r="F546" t="str" cm="1">
        <f t="array" ref="F546">_xlfn.IFS(EmployeeData[[#This Row],[Age]]&lt;30,"20s",EmployeeData[[#This Row],[Age]]&lt;40,"30s",EmployeeData[[#This Row],[Age]]&lt;50,"40s",EmployeeData[[#This Row],[Age]]&lt;60,"50s",EmployeeData[[#This Row],[Age]]&gt;=60,"60s")</f>
        <v>30s</v>
      </c>
      <c r="G546" s="5">
        <v>45407</v>
      </c>
      <c r="I546" t="s">
        <v>17</v>
      </c>
      <c r="J546" t="s">
        <v>18</v>
      </c>
      <c r="K546" cm="1">
        <f t="array" aca="1" ref="K546" ca="1">_xlfn.IFS(EmployeeData[[#This Row],[Status]]="Active",_xlfn.DAYS(TODAY(),EmployeeData[[#This Row],[Join Date]]),EmployeeData[[#This Row],[Status]]="Exited",_xlfn.DAYS(EmployeeData[[#This Row],[Exit Date]],EmployeeData[[#This Row],[Join Date]]))</f>
        <v>790</v>
      </c>
      <c r="L546" cm="1">
        <f t="array" aca="1" ref="L546" ca="1">_xlfn.IFS(EmployeeData[[#This Row],[Status]]="Exited",DATEDIF(EmployeeData[[#This Row],[Join Date]], EmployeeData[[#This Row],[Exit Date]], "Y"),EmployeeData[[#This Row],[Status]]="Active",DATEDIF(EmployeeData[[#This Row],[Join Date]], TODAY(), "Y"))</f>
        <v>2</v>
      </c>
      <c r="Q546" t="str" cm="1">
        <f t="array" aca="1" ref="Q5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30 days</v>
      </c>
    </row>
    <row r="547" spans="1:17" x14ac:dyDescent="0.3">
      <c r="A547">
        <v>1546</v>
      </c>
      <c r="B547" t="s">
        <v>932</v>
      </c>
      <c r="C547" t="s">
        <v>10</v>
      </c>
      <c r="D547" t="s">
        <v>11</v>
      </c>
      <c r="E547">
        <v>49</v>
      </c>
      <c r="F547" t="str" cm="1">
        <f t="array" ref="F547">_xlfn.IFS(EmployeeData[[#This Row],[Age]]&lt;30,"20s",EmployeeData[[#This Row],[Age]]&lt;40,"30s",EmployeeData[[#This Row],[Age]]&lt;50,"40s",EmployeeData[[#This Row],[Age]]&lt;60,"50s",EmployeeData[[#This Row],[Age]]&gt;=60,"60s")</f>
        <v>40s</v>
      </c>
      <c r="G547" s="5">
        <v>44727</v>
      </c>
      <c r="H547" s="5">
        <v>44887</v>
      </c>
      <c r="I547" t="s">
        <v>21</v>
      </c>
      <c r="J547" t="s">
        <v>13</v>
      </c>
      <c r="K547" cm="1">
        <f t="array" aca="1" ref="K547" ca="1">_xlfn.IFS(EmployeeData[[#This Row],[Status]]="Active",_xlfn.DAYS(TODAY(),EmployeeData[[#This Row],[Join Date]]),EmployeeData[[#This Row],[Status]]="Exited",_xlfn.DAYS(EmployeeData[[#This Row],[Exit Date]],EmployeeData[[#This Row],[Join Date]]))</f>
        <v>160</v>
      </c>
      <c r="L547" cm="1">
        <f t="array" aca="1" ref="L547" ca="1">_xlfn.IFS(EmployeeData[[#This Row],[Status]]="Exited",DATEDIF(EmployeeData[[#This Row],[Join Date]], EmployeeData[[#This Row],[Exit Date]], "Y"),EmployeeData[[#This Row],[Status]]="Active",DATEDIF(EmployeeData[[#This Row],[Join Date]], TODAY(), "Y"))</f>
        <v>0</v>
      </c>
      <c r="Q547" t="str" cm="1">
        <f t="array" aca="1" ref="Q5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7 days</v>
      </c>
    </row>
    <row r="548" spans="1:17" x14ac:dyDescent="0.3">
      <c r="A548">
        <v>1547</v>
      </c>
      <c r="B548" t="s">
        <v>397</v>
      </c>
      <c r="C548" t="s">
        <v>15</v>
      </c>
      <c r="D548" t="s">
        <v>11</v>
      </c>
      <c r="E548">
        <v>34</v>
      </c>
      <c r="F548" t="str" cm="1">
        <f t="array" ref="F548">_xlfn.IFS(EmployeeData[[#This Row],[Age]]&lt;30,"20s",EmployeeData[[#This Row],[Age]]&lt;40,"30s",EmployeeData[[#This Row],[Age]]&lt;50,"40s",EmployeeData[[#This Row],[Age]]&lt;60,"50s",EmployeeData[[#This Row],[Age]]&gt;=60,"60s")</f>
        <v>30s</v>
      </c>
      <c r="G548" s="5">
        <v>44390</v>
      </c>
      <c r="H548" s="5">
        <v>46163</v>
      </c>
      <c r="I548" t="s">
        <v>21</v>
      </c>
      <c r="J548" t="s">
        <v>13</v>
      </c>
      <c r="K548" cm="1">
        <f t="array" aca="1" ref="K548" ca="1">_xlfn.IFS(EmployeeData[[#This Row],[Status]]="Active",_xlfn.DAYS(TODAY(),EmployeeData[[#This Row],[Join Date]]),EmployeeData[[#This Row],[Status]]="Exited",_xlfn.DAYS(EmployeeData[[#This Row],[Exit Date]],EmployeeData[[#This Row],[Join Date]]))</f>
        <v>1773</v>
      </c>
      <c r="L548" cm="1">
        <f t="array" aca="1" ref="L548" ca="1">_xlfn.IFS(EmployeeData[[#This Row],[Status]]="Exited",DATEDIF(EmployeeData[[#This Row],[Join Date]], EmployeeData[[#This Row],[Exit Date]], "Y"),EmployeeData[[#This Row],[Status]]="Active",DATEDIF(EmployeeData[[#This Row],[Join Date]], TODAY(), "Y"))</f>
        <v>4</v>
      </c>
      <c r="Q548" t="str" cm="1">
        <f t="array" aca="1" ref="Q5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8 days</v>
      </c>
    </row>
    <row r="549" spans="1:17" x14ac:dyDescent="0.3">
      <c r="A549">
        <v>1548</v>
      </c>
      <c r="B549" t="s">
        <v>474</v>
      </c>
      <c r="C549" t="s">
        <v>15</v>
      </c>
      <c r="D549" t="s">
        <v>24</v>
      </c>
      <c r="E549">
        <v>59</v>
      </c>
      <c r="F549" t="str" cm="1">
        <f t="array" ref="F549">_xlfn.IFS(EmployeeData[[#This Row],[Age]]&lt;30,"20s",EmployeeData[[#This Row],[Age]]&lt;40,"30s",EmployeeData[[#This Row],[Age]]&lt;50,"40s",EmployeeData[[#This Row],[Age]]&lt;60,"50s",EmployeeData[[#This Row],[Age]]&gt;=60,"60s")</f>
        <v>50s</v>
      </c>
      <c r="G549" s="5">
        <v>43667</v>
      </c>
      <c r="H549" s="5">
        <v>44780</v>
      </c>
      <c r="I549" t="s">
        <v>26</v>
      </c>
      <c r="J549" t="s">
        <v>13</v>
      </c>
      <c r="K549" cm="1">
        <f t="array" aca="1" ref="K549" ca="1">_xlfn.IFS(EmployeeData[[#This Row],[Status]]="Active",_xlfn.DAYS(TODAY(),EmployeeData[[#This Row],[Join Date]]),EmployeeData[[#This Row],[Status]]="Exited",_xlfn.DAYS(EmployeeData[[#This Row],[Exit Date]],EmployeeData[[#This Row],[Join Date]]))</f>
        <v>1113</v>
      </c>
      <c r="L549" cm="1">
        <f t="array" aca="1" ref="L549" ca="1">_xlfn.IFS(EmployeeData[[#This Row],[Status]]="Exited",DATEDIF(EmployeeData[[#This Row],[Join Date]], EmployeeData[[#This Row],[Exit Date]], "Y"),EmployeeData[[#This Row],[Status]]="Active",DATEDIF(EmployeeData[[#This Row],[Join Date]], TODAY(), "Y"))</f>
        <v>3</v>
      </c>
      <c r="Q549" t="str" cm="1">
        <f t="array" aca="1" ref="Q5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17 days</v>
      </c>
    </row>
    <row r="550" spans="1:17" x14ac:dyDescent="0.3">
      <c r="A550">
        <v>1549</v>
      </c>
      <c r="B550" t="s">
        <v>359</v>
      </c>
      <c r="C550" t="s">
        <v>20</v>
      </c>
      <c r="D550" t="s">
        <v>11</v>
      </c>
      <c r="E550">
        <v>51</v>
      </c>
      <c r="F550" t="str" cm="1">
        <f t="array" ref="F550">_xlfn.IFS(EmployeeData[[#This Row],[Age]]&lt;30,"20s",EmployeeData[[#This Row],[Age]]&lt;40,"30s",EmployeeData[[#This Row],[Age]]&lt;50,"40s",EmployeeData[[#This Row],[Age]]&lt;60,"50s",EmployeeData[[#This Row],[Age]]&gt;=60,"60s")</f>
        <v>50s</v>
      </c>
      <c r="G550" s="5">
        <v>43809</v>
      </c>
      <c r="I550" t="s">
        <v>17</v>
      </c>
      <c r="J550" t="s">
        <v>18</v>
      </c>
      <c r="K550" cm="1">
        <f t="array" aca="1" ref="K550" ca="1">_xlfn.IFS(EmployeeData[[#This Row],[Status]]="Active",_xlfn.DAYS(TODAY(),EmployeeData[[#This Row],[Join Date]]),EmployeeData[[#This Row],[Status]]="Exited",_xlfn.DAYS(EmployeeData[[#This Row],[Exit Date]],EmployeeData[[#This Row],[Join Date]]))</f>
        <v>2388</v>
      </c>
      <c r="L550" cm="1">
        <f t="array" aca="1" ref="L550" ca="1">_xlfn.IFS(EmployeeData[[#This Row],[Status]]="Exited",DATEDIF(EmployeeData[[#This Row],[Join Date]], EmployeeData[[#This Row],[Exit Date]], "Y"),EmployeeData[[#This Row],[Status]]="Active",DATEDIF(EmployeeData[[#This Row],[Join Date]], TODAY(), "Y"))</f>
        <v>6</v>
      </c>
      <c r="Q550" t="str" cm="1">
        <f t="array" aca="1" ref="Q5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14 days</v>
      </c>
    </row>
    <row r="551" spans="1:17" x14ac:dyDescent="0.3">
      <c r="A551">
        <v>1550</v>
      </c>
      <c r="B551" t="s">
        <v>581</v>
      </c>
      <c r="C551" t="s">
        <v>15</v>
      </c>
      <c r="D551" t="s">
        <v>11</v>
      </c>
      <c r="E551">
        <v>45</v>
      </c>
      <c r="F551" t="str" cm="1">
        <f t="array" ref="F551">_xlfn.IFS(EmployeeData[[#This Row],[Age]]&lt;30,"20s",EmployeeData[[#This Row],[Age]]&lt;40,"30s",EmployeeData[[#This Row],[Age]]&lt;50,"40s",EmployeeData[[#This Row],[Age]]&lt;60,"50s",EmployeeData[[#This Row],[Age]]&gt;=60,"60s")</f>
        <v>40s</v>
      </c>
      <c r="G551" s="5">
        <v>43422</v>
      </c>
      <c r="I551" t="s">
        <v>17</v>
      </c>
      <c r="J551" t="s">
        <v>18</v>
      </c>
      <c r="K551" cm="1">
        <f t="array" aca="1" ref="K551" ca="1">_xlfn.IFS(EmployeeData[[#This Row],[Status]]="Active",_xlfn.DAYS(TODAY(),EmployeeData[[#This Row],[Join Date]]),EmployeeData[[#This Row],[Status]]="Exited",_xlfn.DAYS(EmployeeData[[#This Row],[Exit Date]],EmployeeData[[#This Row],[Join Date]]))</f>
        <v>2775</v>
      </c>
      <c r="L551" cm="1">
        <f t="array" aca="1" ref="L551" ca="1">_xlfn.IFS(EmployeeData[[#This Row],[Status]]="Exited",DATEDIF(EmployeeData[[#This Row],[Join Date]], EmployeeData[[#This Row],[Exit Date]], "Y"),EmployeeData[[#This Row],[Status]]="Active",DATEDIF(EmployeeData[[#This Row],[Join Date]], TODAY(), "Y"))</f>
        <v>7</v>
      </c>
      <c r="Q551" t="str" cm="1">
        <f t="array" aca="1" ref="Q5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6 days</v>
      </c>
    </row>
    <row r="552" spans="1:17" x14ac:dyDescent="0.3">
      <c r="A552">
        <v>1551</v>
      </c>
      <c r="B552" t="s">
        <v>905</v>
      </c>
      <c r="C552" t="s">
        <v>10</v>
      </c>
      <c r="D552" t="s">
        <v>11</v>
      </c>
      <c r="E552">
        <v>28</v>
      </c>
      <c r="F552" t="str" cm="1">
        <f t="array" ref="F552">_xlfn.IFS(EmployeeData[[#This Row],[Age]]&lt;30,"20s",EmployeeData[[#This Row],[Age]]&lt;40,"30s",EmployeeData[[#This Row],[Age]]&lt;50,"40s",EmployeeData[[#This Row],[Age]]&lt;60,"50s",EmployeeData[[#This Row],[Age]]&gt;=60,"60s")</f>
        <v>20s</v>
      </c>
      <c r="G552" s="5">
        <v>44029</v>
      </c>
      <c r="I552" t="s">
        <v>17</v>
      </c>
      <c r="J552" t="s">
        <v>18</v>
      </c>
      <c r="K552" cm="1">
        <f t="array" aca="1" ref="K552" ca="1">_xlfn.IFS(EmployeeData[[#This Row],[Status]]="Active",_xlfn.DAYS(TODAY(),EmployeeData[[#This Row],[Join Date]]),EmployeeData[[#This Row],[Status]]="Exited",_xlfn.DAYS(EmployeeData[[#This Row],[Exit Date]],EmployeeData[[#This Row],[Join Date]]))</f>
        <v>2168</v>
      </c>
      <c r="L552" cm="1">
        <f t="array" aca="1" ref="L552" ca="1">_xlfn.IFS(EmployeeData[[#This Row],[Status]]="Exited",DATEDIF(EmployeeData[[#This Row],[Join Date]], EmployeeData[[#This Row],[Exit Date]], "Y"),EmployeeData[[#This Row],[Status]]="Active",DATEDIF(EmployeeData[[#This Row],[Join Date]], TODAY(), "Y"))</f>
        <v>5</v>
      </c>
      <c r="Q552" t="str" cm="1">
        <f t="array" aca="1" ref="Q5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7 days</v>
      </c>
    </row>
    <row r="553" spans="1:17" x14ac:dyDescent="0.3">
      <c r="A553">
        <v>1552</v>
      </c>
      <c r="B553" t="s">
        <v>714</v>
      </c>
      <c r="C553" t="s">
        <v>23</v>
      </c>
      <c r="D553" t="s">
        <v>16</v>
      </c>
      <c r="E553">
        <v>57</v>
      </c>
      <c r="F553" t="str" cm="1">
        <f t="array" ref="F553">_xlfn.IFS(EmployeeData[[#This Row],[Age]]&lt;30,"20s",EmployeeData[[#This Row],[Age]]&lt;40,"30s",EmployeeData[[#This Row],[Age]]&lt;50,"40s",EmployeeData[[#This Row],[Age]]&lt;60,"50s",EmployeeData[[#This Row],[Age]]&gt;=60,"60s")</f>
        <v>50s</v>
      </c>
      <c r="G553" s="5">
        <v>43269</v>
      </c>
      <c r="H553" s="5">
        <v>43971</v>
      </c>
      <c r="I553" t="s">
        <v>26</v>
      </c>
      <c r="J553" t="s">
        <v>13</v>
      </c>
      <c r="K553" cm="1">
        <f t="array" aca="1" ref="K553" ca="1">_xlfn.IFS(EmployeeData[[#This Row],[Status]]="Active",_xlfn.DAYS(TODAY(),EmployeeData[[#This Row],[Join Date]]),EmployeeData[[#This Row],[Status]]="Exited",_xlfn.DAYS(EmployeeData[[#This Row],[Exit Date]],EmployeeData[[#This Row],[Join Date]]))</f>
        <v>702</v>
      </c>
      <c r="L553" cm="1">
        <f t="array" aca="1" ref="L553" ca="1">_xlfn.IFS(EmployeeData[[#This Row],[Status]]="Exited",DATEDIF(EmployeeData[[#This Row],[Join Date]], EmployeeData[[#This Row],[Exit Date]], "Y"),EmployeeData[[#This Row],[Status]]="Active",DATEDIF(EmployeeData[[#This Row],[Join Date]], TODAY(), "Y"))</f>
        <v>1</v>
      </c>
      <c r="Q553" t="str" cm="1">
        <f t="array" aca="1" ref="Q5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2 days</v>
      </c>
    </row>
    <row r="554" spans="1:17" x14ac:dyDescent="0.3">
      <c r="A554">
        <v>1553</v>
      </c>
      <c r="B554" t="s">
        <v>232</v>
      </c>
      <c r="C554" t="s">
        <v>46</v>
      </c>
      <c r="D554" t="s">
        <v>11</v>
      </c>
      <c r="E554">
        <v>62</v>
      </c>
      <c r="F554" t="str" cm="1">
        <f t="array" ref="F554">_xlfn.IFS(EmployeeData[[#This Row],[Age]]&lt;30,"20s",EmployeeData[[#This Row],[Age]]&lt;40,"30s",EmployeeData[[#This Row],[Age]]&lt;50,"40s",EmployeeData[[#This Row],[Age]]&lt;60,"50s",EmployeeData[[#This Row],[Age]]&gt;=60,"60s")</f>
        <v>60s</v>
      </c>
      <c r="G554" s="5">
        <v>45168</v>
      </c>
      <c r="H554" s="5">
        <v>45700</v>
      </c>
      <c r="I554" t="s">
        <v>26</v>
      </c>
      <c r="J554" t="s">
        <v>13</v>
      </c>
      <c r="K554" cm="1">
        <f t="array" aca="1" ref="K554" ca="1">_xlfn.IFS(EmployeeData[[#This Row],[Status]]="Active",_xlfn.DAYS(TODAY(),EmployeeData[[#This Row],[Join Date]]),EmployeeData[[#This Row],[Status]]="Exited",_xlfn.DAYS(EmployeeData[[#This Row],[Exit Date]],EmployeeData[[#This Row],[Join Date]]))</f>
        <v>532</v>
      </c>
      <c r="L554" cm="1">
        <f t="array" aca="1" ref="L554" ca="1">_xlfn.IFS(EmployeeData[[#This Row],[Status]]="Exited",DATEDIF(EmployeeData[[#This Row],[Join Date]], EmployeeData[[#This Row],[Exit Date]], "Y"),EmployeeData[[#This Row],[Status]]="Active",DATEDIF(EmployeeData[[#This Row],[Join Date]], TODAY(), "Y"))</f>
        <v>1</v>
      </c>
      <c r="Q554" t="str" cm="1">
        <f t="array" aca="1" ref="Q5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13 days</v>
      </c>
    </row>
    <row r="555" spans="1:17" x14ac:dyDescent="0.3">
      <c r="A555">
        <v>1554</v>
      </c>
      <c r="B555" t="s">
        <v>373</v>
      </c>
      <c r="C555" t="s">
        <v>23</v>
      </c>
      <c r="D555" t="s">
        <v>16</v>
      </c>
      <c r="E555">
        <v>46</v>
      </c>
      <c r="F555" t="str" cm="1">
        <f t="array" ref="F555">_xlfn.IFS(EmployeeData[[#This Row],[Age]]&lt;30,"20s",EmployeeData[[#This Row],[Age]]&lt;40,"30s",EmployeeData[[#This Row],[Age]]&lt;50,"40s",EmployeeData[[#This Row],[Age]]&lt;60,"50s",EmployeeData[[#This Row],[Age]]&gt;=60,"60s")</f>
        <v>40s</v>
      </c>
      <c r="G555" s="5">
        <v>44176</v>
      </c>
      <c r="H555" s="5">
        <v>45293</v>
      </c>
      <c r="I555" t="s">
        <v>12</v>
      </c>
      <c r="J555" t="s">
        <v>13</v>
      </c>
      <c r="K555" cm="1">
        <f t="array" aca="1" ref="K555" ca="1">_xlfn.IFS(EmployeeData[[#This Row],[Status]]="Active",_xlfn.DAYS(TODAY(),EmployeeData[[#This Row],[Join Date]]),EmployeeData[[#This Row],[Status]]="Exited",_xlfn.DAYS(EmployeeData[[#This Row],[Exit Date]],EmployeeData[[#This Row],[Join Date]]))</f>
        <v>1117</v>
      </c>
      <c r="L555" cm="1">
        <f t="array" aca="1" ref="L555" ca="1">_xlfn.IFS(EmployeeData[[#This Row],[Status]]="Exited",DATEDIF(EmployeeData[[#This Row],[Join Date]], EmployeeData[[#This Row],[Exit Date]], "Y"),EmployeeData[[#This Row],[Status]]="Active",DATEDIF(EmployeeData[[#This Row],[Join Date]], TODAY(), "Y"))</f>
        <v>3</v>
      </c>
      <c r="Q555" t="str" cm="1">
        <f t="array" aca="1" ref="Q5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22 days</v>
      </c>
    </row>
    <row r="556" spans="1:17" x14ac:dyDescent="0.3">
      <c r="A556">
        <v>1555</v>
      </c>
      <c r="B556" t="s">
        <v>929</v>
      </c>
      <c r="C556" t="s">
        <v>23</v>
      </c>
      <c r="D556" t="s">
        <v>24</v>
      </c>
      <c r="E556">
        <v>33</v>
      </c>
      <c r="F556" t="str" cm="1">
        <f t="array" ref="F556">_xlfn.IFS(EmployeeData[[#This Row],[Age]]&lt;30,"20s",EmployeeData[[#This Row],[Age]]&lt;40,"30s",EmployeeData[[#This Row],[Age]]&lt;50,"40s",EmployeeData[[#This Row],[Age]]&lt;60,"50s",EmployeeData[[#This Row],[Age]]&gt;=60,"60s")</f>
        <v>30s</v>
      </c>
      <c r="G556" s="5">
        <v>45399</v>
      </c>
      <c r="I556" t="s">
        <v>17</v>
      </c>
      <c r="J556" t="s">
        <v>18</v>
      </c>
      <c r="K556" cm="1">
        <f t="array" aca="1" ref="K556" ca="1">_xlfn.IFS(EmployeeData[[#This Row],[Status]]="Active",_xlfn.DAYS(TODAY(),EmployeeData[[#This Row],[Join Date]]),EmployeeData[[#This Row],[Status]]="Exited",_xlfn.DAYS(EmployeeData[[#This Row],[Exit Date]],EmployeeData[[#This Row],[Join Date]]))</f>
        <v>798</v>
      </c>
      <c r="L556" cm="1">
        <f t="array" aca="1" ref="L556" ca="1">_xlfn.IFS(EmployeeData[[#This Row],[Status]]="Exited",DATEDIF(EmployeeData[[#This Row],[Join Date]], EmployeeData[[#This Row],[Exit Date]], "Y"),EmployeeData[[#This Row],[Status]]="Active",DATEDIF(EmployeeData[[#This Row],[Join Date]], TODAY(), "Y"))</f>
        <v>2</v>
      </c>
      <c r="Q556" t="str" cm="1">
        <f t="array" aca="1" ref="Q5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7 days</v>
      </c>
    </row>
    <row r="557" spans="1:17" x14ac:dyDescent="0.3">
      <c r="A557">
        <v>1556</v>
      </c>
      <c r="B557" t="s">
        <v>103</v>
      </c>
      <c r="C557" t="s">
        <v>20</v>
      </c>
      <c r="D557" t="s">
        <v>24</v>
      </c>
      <c r="E557">
        <v>57</v>
      </c>
      <c r="F557" t="str" cm="1">
        <f t="array" ref="F557">_xlfn.IFS(EmployeeData[[#This Row],[Age]]&lt;30,"20s",EmployeeData[[#This Row],[Age]]&lt;40,"30s",EmployeeData[[#This Row],[Age]]&lt;50,"40s",EmployeeData[[#This Row],[Age]]&lt;60,"50s",EmployeeData[[#This Row],[Age]]&gt;=60,"60s")</f>
        <v>50s</v>
      </c>
      <c r="G557" s="5">
        <v>43467</v>
      </c>
      <c r="H557" s="5">
        <v>45251</v>
      </c>
      <c r="I557" t="s">
        <v>12</v>
      </c>
      <c r="J557" t="s">
        <v>13</v>
      </c>
      <c r="K557" cm="1">
        <f t="array" aca="1" ref="K557" ca="1">_xlfn.IFS(EmployeeData[[#This Row],[Status]]="Active",_xlfn.DAYS(TODAY(),EmployeeData[[#This Row],[Join Date]]),EmployeeData[[#This Row],[Status]]="Exited",_xlfn.DAYS(EmployeeData[[#This Row],[Exit Date]],EmployeeData[[#This Row],[Join Date]]))</f>
        <v>1784</v>
      </c>
      <c r="L557" cm="1">
        <f t="array" aca="1" ref="L557" ca="1">_xlfn.IFS(EmployeeData[[#This Row],[Status]]="Exited",DATEDIF(EmployeeData[[#This Row],[Join Date]], EmployeeData[[#This Row],[Exit Date]], "Y"),EmployeeData[[#This Row],[Status]]="Active",DATEDIF(EmployeeData[[#This Row],[Join Date]], TODAY(), "Y"))</f>
        <v>4</v>
      </c>
      <c r="Q557" t="str" cm="1">
        <f t="array" aca="1" ref="Q5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19 days</v>
      </c>
    </row>
    <row r="558" spans="1:17" x14ac:dyDescent="0.3">
      <c r="A558">
        <v>1557</v>
      </c>
      <c r="B558" t="s">
        <v>681</v>
      </c>
      <c r="C558" t="s">
        <v>20</v>
      </c>
      <c r="D558" t="s">
        <v>16</v>
      </c>
      <c r="E558">
        <v>43</v>
      </c>
      <c r="F558" t="str" cm="1">
        <f t="array" ref="F558">_xlfn.IFS(EmployeeData[[#This Row],[Age]]&lt;30,"20s",EmployeeData[[#This Row],[Age]]&lt;40,"30s",EmployeeData[[#This Row],[Age]]&lt;50,"40s",EmployeeData[[#This Row],[Age]]&lt;60,"50s",EmployeeData[[#This Row],[Age]]&gt;=60,"60s")</f>
        <v>40s</v>
      </c>
      <c r="G558" s="5">
        <v>45625</v>
      </c>
      <c r="I558" t="s">
        <v>17</v>
      </c>
      <c r="J558" t="s">
        <v>18</v>
      </c>
      <c r="K558" cm="1">
        <f t="array" aca="1" ref="K558" ca="1">_xlfn.IFS(EmployeeData[[#This Row],[Status]]="Active",_xlfn.DAYS(TODAY(),EmployeeData[[#This Row],[Join Date]]),EmployeeData[[#This Row],[Status]]="Exited",_xlfn.DAYS(EmployeeData[[#This Row],[Exit Date]],EmployeeData[[#This Row],[Join Date]]))</f>
        <v>572</v>
      </c>
      <c r="L558" cm="1">
        <f t="array" aca="1" ref="L558" ca="1">_xlfn.IFS(EmployeeData[[#This Row],[Status]]="Exited",DATEDIF(EmployeeData[[#This Row],[Join Date]], EmployeeData[[#This Row],[Exit Date]], "Y"),EmployeeData[[#This Row],[Status]]="Active",DATEDIF(EmployeeData[[#This Row],[Join Date]], TODAY(), "Y"))</f>
        <v>1</v>
      </c>
      <c r="Q558" t="str" cm="1">
        <f t="array" aca="1" ref="Q5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26 days</v>
      </c>
    </row>
    <row r="559" spans="1:17" x14ac:dyDescent="0.3">
      <c r="A559">
        <v>1558</v>
      </c>
      <c r="B559" t="s">
        <v>784</v>
      </c>
      <c r="C559" t="s">
        <v>46</v>
      </c>
      <c r="D559" t="s">
        <v>16</v>
      </c>
      <c r="E559">
        <v>44</v>
      </c>
      <c r="F559" t="str" cm="1">
        <f t="array" ref="F559">_xlfn.IFS(EmployeeData[[#This Row],[Age]]&lt;30,"20s",EmployeeData[[#This Row],[Age]]&lt;40,"30s",EmployeeData[[#This Row],[Age]]&lt;50,"40s",EmployeeData[[#This Row],[Age]]&lt;60,"50s",EmployeeData[[#This Row],[Age]]&gt;=60,"60s")</f>
        <v>40s</v>
      </c>
      <c r="G559" s="5">
        <v>43739</v>
      </c>
      <c r="I559" t="s">
        <v>17</v>
      </c>
      <c r="J559" t="s">
        <v>18</v>
      </c>
      <c r="K559" cm="1">
        <f t="array" aca="1" ref="K559" ca="1">_xlfn.IFS(EmployeeData[[#This Row],[Status]]="Active",_xlfn.DAYS(TODAY(),EmployeeData[[#This Row],[Join Date]]),EmployeeData[[#This Row],[Status]]="Exited",_xlfn.DAYS(EmployeeData[[#This Row],[Exit Date]],EmployeeData[[#This Row],[Join Date]]))</f>
        <v>2458</v>
      </c>
      <c r="L559" cm="1">
        <f t="array" aca="1" ref="L559" ca="1">_xlfn.IFS(EmployeeData[[#This Row],[Status]]="Exited",DATEDIF(EmployeeData[[#This Row],[Join Date]], EmployeeData[[#This Row],[Exit Date]], "Y"),EmployeeData[[#This Row],[Status]]="Active",DATEDIF(EmployeeData[[#This Row],[Join Date]], TODAY(), "Y"))</f>
        <v>6</v>
      </c>
      <c r="Q559" t="str" cm="1">
        <f t="array" aca="1" ref="Q5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23 days</v>
      </c>
    </row>
    <row r="560" spans="1:17" x14ac:dyDescent="0.3">
      <c r="A560">
        <v>1559</v>
      </c>
      <c r="B560" t="s">
        <v>74</v>
      </c>
      <c r="C560" t="s">
        <v>10</v>
      </c>
      <c r="D560" t="s">
        <v>24</v>
      </c>
      <c r="E560">
        <v>30</v>
      </c>
      <c r="F560" t="str" cm="1">
        <f t="array" ref="F560">_xlfn.IFS(EmployeeData[[#This Row],[Age]]&lt;30,"20s",EmployeeData[[#This Row],[Age]]&lt;40,"30s",EmployeeData[[#This Row],[Age]]&lt;50,"40s",EmployeeData[[#This Row],[Age]]&lt;60,"50s",EmployeeData[[#This Row],[Age]]&gt;=60,"60s")</f>
        <v>30s</v>
      </c>
      <c r="G560" s="5">
        <v>44279</v>
      </c>
      <c r="H560" s="5">
        <v>45789</v>
      </c>
      <c r="I560" t="s">
        <v>52</v>
      </c>
      <c r="J560" t="s">
        <v>13</v>
      </c>
      <c r="K560" cm="1">
        <f t="array" aca="1" ref="K560" ca="1">_xlfn.IFS(EmployeeData[[#This Row],[Status]]="Active",_xlfn.DAYS(TODAY(),EmployeeData[[#This Row],[Join Date]]),EmployeeData[[#This Row],[Status]]="Exited",_xlfn.DAYS(EmployeeData[[#This Row],[Exit Date]],EmployeeData[[#This Row],[Join Date]]))</f>
        <v>1510</v>
      </c>
      <c r="L560" cm="1">
        <f t="array" aca="1" ref="L560" ca="1">_xlfn.IFS(EmployeeData[[#This Row],[Status]]="Exited",DATEDIF(EmployeeData[[#This Row],[Join Date]], EmployeeData[[#This Row],[Exit Date]], "Y"),EmployeeData[[#This Row],[Status]]="Active",DATEDIF(EmployeeData[[#This Row],[Join Date]], TODAY(), "Y"))</f>
        <v>4</v>
      </c>
      <c r="Q560" t="str" cm="1">
        <f t="array" aca="1" ref="Q5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18 days</v>
      </c>
    </row>
    <row r="561" spans="1:17" x14ac:dyDescent="0.3">
      <c r="A561">
        <v>1560</v>
      </c>
      <c r="B561" t="s">
        <v>920</v>
      </c>
      <c r="C561" t="s">
        <v>15</v>
      </c>
      <c r="D561" t="s">
        <v>24</v>
      </c>
      <c r="E561">
        <v>34</v>
      </c>
      <c r="F561" t="str" cm="1">
        <f t="array" ref="F561">_xlfn.IFS(EmployeeData[[#This Row],[Age]]&lt;30,"20s",EmployeeData[[#This Row],[Age]]&lt;40,"30s",EmployeeData[[#This Row],[Age]]&lt;50,"40s",EmployeeData[[#This Row],[Age]]&lt;60,"50s",EmployeeData[[#This Row],[Age]]&gt;=60,"60s")</f>
        <v>30s</v>
      </c>
      <c r="G561" s="5">
        <v>45339</v>
      </c>
      <c r="I561" t="s">
        <v>17</v>
      </c>
      <c r="J561" t="s">
        <v>18</v>
      </c>
      <c r="K561" cm="1">
        <f t="array" aca="1" ref="K561" ca="1">_xlfn.IFS(EmployeeData[[#This Row],[Status]]="Active",_xlfn.DAYS(TODAY(),EmployeeData[[#This Row],[Join Date]]),EmployeeData[[#This Row],[Status]]="Exited",_xlfn.DAYS(EmployeeData[[#This Row],[Exit Date]],EmployeeData[[#This Row],[Join Date]]))</f>
        <v>858</v>
      </c>
      <c r="L561" cm="1">
        <f t="array" aca="1" ref="L561" ca="1">_xlfn.IFS(EmployeeData[[#This Row],[Status]]="Exited",DATEDIF(EmployeeData[[#This Row],[Join Date]], EmployeeData[[#This Row],[Exit Date]], "Y"),EmployeeData[[#This Row],[Status]]="Active",DATEDIF(EmployeeData[[#This Row],[Join Date]], TODAY(), "Y"))</f>
        <v>2</v>
      </c>
      <c r="Q561" t="str" cm="1">
        <f t="array" aca="1" ref="Q5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7 days</v>
      </c>
    </row>
    <row r="562" spans="1:17" x14ac:dyDescent="0.3">
      <c r="A562">
        <v>1561</v>
      </c>
      <c r="B562" t="s">
        <v>95</v>
      </c>
      <c r="C562" t="s">
        <v>20</v>
      </c>
      <c r="D562" t="s">
        <v>24</v>
      </c>
      <c r="E562">
        <v>45</v>
      </c>
      <c r="F562" t="str" cm="1">
        <f t="array" ref="F562">_xlfn.IFS(EmployeeData[[#This Row],[Age]]&lt;30,"20s",EmployeeData[[#This Row],[Age]]&lt;40,"30s",EmployeeData[[#This Row],[Age]]&lt;50,"40s",EmployeeData[[#This Row],[Age]]&lt;60,"50s",EmployeeData[[#This Row],[Age]]&gt;=60,"60s")</f>
        <v>40s</v>
      </c>
      <c r="G562" s="5">
        <v>45488</v>
      </c>
      <c r="I562" t="s">
        <v>17</v>
      </c>
      <c r="J562" t="s">
        <v>18</v>
      </c>
      <c r="K562" cm="1">
        <f t="array" aca="1" ref="K562" ca="1">_xlfn.IFS(EmployeeData[[#This Row],[Status]]="Active",_xlfn.DAYS(TODAY(),EmployeeData[[#This Row],[Join Date]]),EmployeeData[[#This Row],[Status]]="Exited",_xlfn.DAYS(EmployeeData[[#This Row],[Exit Date]],EmployeeData[[#This Row],[Join Date]]))</f>
        <v>709</v>
      </c>
      <c r="L562" cm="1">
        <f t="array" aca="1" ref="L562" ca="1">_xlfn.IFS(EmployeeData[[#This Row],[Status]]="Exited",DATEDIF(EmployeeData[[#This Row],[Join Date]], EmployeeData[[#This Row],[Exit Date]], "Y"),EmployeeData[[#This Row],[Status]]="Active",DATEDIF(EmployeeData[[#This Row],[Join Date]], TODAY(), "Y"))</f>
        <v>1</v>
      </c>
      <c r="Q562" t="str" cm="1">
        <f t="array" aca="1" ref="Q5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9 days</v>
      </c>
    </row>
    <row r="563" spans="1:17" x14ac:dyDescent="0.3">
      <c r="A563">
        <v>1562</v>
      </c>
      <c r="B563" t="s">
        <v>60</v>
      </c>
      <c r="C563" t="s">
        <v>10</v>
      </c>
      <c r="D563" t="s">
        <v>11</v>
      </c>
      <c r="E563">
        <v>38</v>
      </c>
      <c r="F563" t="str" cm="1">
        <f t="array" ref="F563">_xlfn.IFS(EmployeeData[[#This Row],[Age]]&lt;30,"20s",EmployeeData[[#This Row],[Age]]&lt;40,"30s",EmployeeData[[#This Row],[Age]]&lt;50,"40s",EmployeeData[[#This Row],[Age]]&lt;60,"50s",EmployeeData[[#This Row],[Age]]&gt;=60,"60s")</f>
        <v>30s</v>
      </c>
      <c r="G563" s="5">
        <v>43318</v>
      </c>
      <c r="I563" t="s">
        <v>17</v>
      </c>
      <c r="J563" t="s">
        <v>18</v>
      </c>
      <c r="K563" cm="1">
        <f t="array" aca="1" ref="K563" ca="1">_xlfn.IFS(EmployeeData[[#This Row],[Status]]="Active",_xlfn.DAYS(TODAY(),EmployeeData[[#This Row],[Join Date]]),EmployeeData[[#This Row],[Status]]="Exited",_xlfn.DAYS(EmployeeData[[#This Row],[Exit Date]],EmployeeData[[#This Row],[Join Date]]))</f>
        <v>2879</v>
      </c>
      <c r="L563" cm="1">
        <f t="array" aca="1" ref="L563" ca="1">_xlfn.IFS(EmployeeData[[#This Row],[Status]]="Exited",DATEDIF(EmployeeData[[#This Row],[Join Date]], EmployeeData[[#This Row],[Exit Date]], "Y"),EmployeeData[[#This Row],[Status]]="Active",DATEDIF(EmployeeData[[#This Row],[Join Date]], TODAY(), "Y"))</f>
        <v>7</v>
      </c>
      <c r="Q563" t="str" cm="1">
        <f t="array" aca="1" ref="Q5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18 days</v>
      </c>
    </row>
    <row r="564" spans="1:17" x14ac:dyDescent="0.3">
      <c r="A564">
        <v>1563</v>
      </c>
      <c r="B564" t="s">
        <v>25</v>
      </c>
      <c r="C564" t="s">
        <v>20</v>
      </c>
      <c r="D564" t="s">
        <v>11</v>
      </c>
      <c r="E564">
        <v>62</v>
      </c>
      <c r="F564" t="str" cm="1">
        <f t="array" ref="F564">_xlfn.IFS(EmployeeData[[#This Row],[Age]]&lt;30,"20s",EmployeeData[[#This Row],[Age]]&lt;40,"30s",EmployeeData[[#This Row],[Age]]&lt;50,"40s",EmployeeData[[#This Row],[Age]]&lt;60,"50s",EmployeeData[[#This Row],[Age]]&gt;=60,"60s")</f>
        <v>60s</v>
      </c>
      <c r="G564" s="5">
        <v>43542</v>
      </c>
      <c r="H564" s="5">
        <v>45215</v>
      </c>
      <c r="I564" t="s">
        <v>26</v>
      </c>
      <c r="J564" t="s">
        <v>13</v>
      </c>
      <c r="K564" cm="1">
        <f t="array" aca="1" ref="K564" ca="1">_xlfn.IFS(EmployeeData[[#This Row],[Status]]="Active",_xlfn.DAYS(TODAY(),EmployeeData[[#This Row],[Join Date]]),EmployeeData[[#This Row],[Status]]="Exited",_xlfn.DAYS(EmployeeData[[#This Row],[Exit Date]],EmployeeData[[#This Row],[Join Date]]))</f>
        <v>1673</v>
      </c>
      <c r="L564" cm="1">
        <f t="array" aca="1" ref="L564" ca="1">_xlfn.IFS(EmployeeData[[#This Row],[Status]]="Exited",DATEDIF(EmployeeData[[#This Row],[Join Date]], EmployeeData[[#This Row],[Exit Date]], "Y"),EmployeeData[[#This Row],[Status]]="Active",DATEDIF(EmployeeData[[#This Row],[Join Date]], TODAY(), "Y"))</f>
        <v>4</v>
      </c>
      <c r="Q564" t="str" cm="1">
        <f t="array" aca="1" ref="Q5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28 days</v>
      </c>
    </row>
    <row r="565" spans="1:17" x14ac:dyDescent="0.3">
      <c r="A565">
        <v>1564</v>
      </c>
      <c r="B565" t="s">
        <v>43</v>
      </c>
      <c r="C565" t="s">
        <v>23</v>
      </c>
      <c r="D565" t="s">
        <v>24</v>
      </c>
      <c r="E565">
        <v>26</v>
      </c>
      <c r="F565" t="str" cm="1">
        <f t="array" ref="F565">_xlfn.IFS(EmployeeData[[#This Row],[Age]]&lt;30,"20s",EmployeeData[[#This Row],[Age]]&lt;40,"30s",EmployeeData[[#This Row],[Age]]&lt;50,"40s",EmployeeData[[#This Row],[Age]]&lt;60,"50s",EmployeeData[[#This Row],[Age]]&gt;=60,"60s")</f>
        <v>20s</v>
      </c>
      <c r="G565" s="5">
        <v>43864</v>
      </c>
      <c r="H565" s="5">
        <v>45829</v>
      </c>
      <c r="I565" t="s">
        <v>65</v>
      </c>
      <c r="J565" t="s">
        <v>13</v>
      </c>
      <c r="K565" cm="1">
        <f t="array" aca="1" ref="K565" ca="1">_xlfn.IFS(EmployeeData[[#This Row],[Status]]="Active",_xlfn.DAYS(TODAY(),EmployeeData[[#This Row],[Join Date]]),EmployeeData[[#This Row],[Status]]="Exited",_xlfn.DAYS(EmployeeData[[#This Row],[Exit Date]],EmployeeData[[#This Row],[Join Date]]))</f>
        <v>1965</v>
      </c>
      <c r="L565" cm="1">
        <f t="array" aca="1" ref="L565" ca="1">_xlfn.IFS(EmployeeData[[#This Row],[Status]]="Exited",DATEDIF(EmployeeData[[#This Row],[Join Date]], EmployeeData[[#This Row],[Exit Date]], "Y"),EmployeeData[[#This Row],[Status]]="Active",DATEDIF(EmployeeData[[#This Row],[Join Date]], TODAY(), "Y"))</f>
        <v>5</v>
      </c>
      <c r="Q565" t="str" cm="1">
        <f t="array" aca="1" ref="Q5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18 days</v>
      </c>
    </row>
    <row r="566" spans="1:17" x14ac:dyDescent="0.3">
      <c r="A566">
        <v>1565</v>
      </c>
      <c r="B566" t="s">
        <v>818</v>
      </c>
      <c r="C566" t="s">
        <v>10</v>
      </c>
      <c r="D566" t="s">
        <v>24</v>
      </c>
      <c r="E566">
        <v>31</v>
      </c>
      <c r="F566" t="str" cm="1">
        <f t="array" ref="F566">_xlfn.IFS(EmployeeData[[#This Row],[Age]]&lt;30,"20s",EmployeeData[[#This Row],[Age]]&lt;40,"30s",EmployeeData[[#This Row],[Age]]&lt;50,"40s",EmployeeData[[#This Row],[Age]]&lt;60,"50s",EmployeeData[[#This Row],[Age]]&gt;=60,"60s")</f>
        <v>30s</v>
      </c>
      <c r="G566" s="5">
        <v>43176</v>
      </c>
      <c r="H566" s="5">
        <v>44707</v>
      </c>
      <c r="I566" t="s">
        <v>12</v>
      </c>
      <c r="J566" t="s">
        <v>13</v>
      </c>
      <c r="K566" cm="1">
        <f t="array" aca="1" ref="K566" ca="1">_xlfn.IFS(EmployeeData[[#This Row],[Status]]="Active",_xlfn.DAYS(TODAY(),EmployeeData[[#This Row],[Join Date]]),EmployeeData[[#This Row],[Status]]="Exited",_xlfn.DAYS(EmployeeData[[#This Row],[Exit Date]],EmployeeData[[#This Row],[Join Date]]))</f>
        <v>1531</v>
      </c>
      <c r="L566" cm="1">
        <f t="array" aca="1" ref="L566" ca="1">_xlfn.IFS(EmployeeData[[#This Row],[Status]]="Exited",DATEDIF(EmployeeData[[#This Row],[Join Date]], EmployeeData[[#This Row],[Exit Date]], "Y"),EmployeeData[[#This Row],[Status]]="Active",DATEDIF(EmployeeData[[#This Row],[Join Date]], TODAY(), "Y"))</f>
        <v>4</v>
      </c>
      <c r="Q566" t="str" cm="1">
        <f t="array" aca="1" ref="Q5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9 days</v>
      </c>
    </row>
    <row r="567" spans="1:17" x14ac:dyDescent="0.3">
      <c r="A567">
        <v>1566</v>
      </c>
      <c r="B567" t="s">
        <v>80</v>
      </c>
      <c r="C567" t="s">
        <v>46</v>
      </c>
      <c r="D567" t="s">
        <v>16</v>
      </c>
      <c r="E567">
        <v>24</v>
      </c>
      <c r="F567" t="str" cm="1">
        <f t="array" ref="F567">_xlfn.IFS(EmployeeData[[#This Row],[Age]]&lt;30,"20s",EmployeeData[[#This Row],[Age]]&lt;40,"30s",EmployeeData[[#This Row],[Age]]&lt;50,"40s",EmployeeData[[#This Row],[Age]]&lt;60,"50s",EmployeeData[[#This Row],[Age]]&gt;=60,"60s")</f>
        <v>20s</v>
      </c>
      <c r="G567" s="5">
        <v>45664</v>
      </c>
      <c r="H567" s="5">
        <v>45952</v>
      </c>
      <c r="I567" t="s">
        <v>52</v>
      </c>
      <c r="J567" t="s">
        <v>13</v>
      </c>
      <c r="K567" cm="1">
        <f t="array" aca="1" ref="K567" ca="1">_xlfn.IFS(EmployeeData[[#This Row],[Status]]="Active",_xlfn.DAYS(TODAY(),EmployeeData[[#This Row],[Join Date]]),EmployeeData[[#This Row],[Status]]="Exited",_xlfn.DAYS(EmployeeData[[#This Row],[Exit Date]],EmployeeData[[#This Row],[Join Date]]))</f>
        <v>288</v>
      </c>
      <c r="L567" cm="1">
        <f t="array" aca="1" ref="L567" ca="1">_xlfn.IFS(EmployeeData[[#This Row],[Status]]="Exited",DATEDIF(EmployeeData[[#This Row],[Join Date]], EmployeeData[[#This Row],[Exit Date]], "Y"),EmployeeData[[#This Row],[Status]]="Active",DATEDIF(EmployeeData[[#This Row],[Join Date]], TODAY(), "Y"))</f>
        <v>0</v>
      </c>
      <c r="Q567" t="str" cm="1">
        <f t="array" aca="1" ref="Q5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15 days</v>
      </c>
    </row>
    <row r="568" spans="1:17" x14ac:dyDescent="0.3">
      <c r="A568">
        <v>1567</v>
      </c>
      <c r="B568" t="s">
        <v>64</v>
      </c>
      <c r="C568" t="s">
        <v>15</v>
      </c>
      <c r="D568" t="s">
        <v>24</v>
      </c>
      <c r="E568">
        <v>46</v>
      </c>
      <c r="F568" t="str" cm="1">
        <f t="array" ref="F568">_xlfn.IFS(EmployeeData[[#This Row],[Age]]&lt;30,"20s",EmployeeData[[#This Row],[Age]]&lt;40,"30s",EmployeeData[[#This Row],[Age]]&lt;50,"40s",EmployeeData[[#This Row],[Age]]&lt;60,"50s",EmployeeData[[#This Row],[Age]]&gt;=60,"60s")</f>
        <v>40s</v>
      </c>
      <c r="G568" s="5">
        <v>45791</v>
      </c>
      <c r="H568" s="5">
        <v>46076</v>
      </c>
      <c r="I568" t="s">
        <v>65</v>
      </c>
      <c r="J568" t="s">
        <v>13</v>
      </c>
      <c r="K568" cm="1">
        <f t="array" aca="1" ref="K568" ca="1">_xlfn.IFS(EmployeeData[[#This Row],[Status]]="Active",_xlfn.DAYS(TODAY(),EmployeeData[[#This Row],[Join Date]]),EmployeeData[[#This Row],[Status]]="Exited",_xlfn.DAYS(EmployeeData[[#This Row],[Exit Date]],EmployeeData[[#This Row],[Join Date]]))</f>
        <v>285</v>
      </c>
      <c r="L568" cm="1">
        <f t="array" aca="1" ref="L568" ca="1">_xlfn.IFS(EmployeeData[[#This Row],[Status]]="Exited",DATEDIF(EmployeeData[[#This Row],[Join Date]], EmployeeData[[#This Row],[Exit Date]], "Y"),EmployeeData[[#This Row],[Status]]="Active",DATEDIF(EmployeeData[[#This Row],[Join Date]], TODAY(), "Y"))</f>
        <v>0</v>
      </c>
      <c r="Q568" t="str" cm="1">
        <f t="array" aca="1" ref="Q5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9 days</v>
      </c>
    </row>
    <row r="569" spans="1:17" x14ac:dyDescent="0.3">
      <c r="A569">
        <v>1568</v>
      </c>
      <c r="B569" t="s">
        <v>649</v>
      </c>
      <c r="C569" t="s">
        <v>10</v>
      </c>
      <c r="D569" t="s">
        <v>16</v>
      </c>
      <c r="E569">
        <v>42</v>
      </c>
      <c r="F569" t="str" cm="1">
        <f t="array" ref="F569">_xlfn.IFS(EmployeeData[[#This Row],[Age]]&lt;30,"20s",EmployeeData[[#This Row],[Age]]&lt;40,"30s",EmployeeData[[#This Row],[Age]]&lt;50,"40s",EmployeeData[[#This Row],[Age]]&lt;60,"50s",EmployeeData[[#This Row],[Age]]&gt;=60,"60s")</f>
        <v>40s</v>
      </c>
      <c r="G569" s="5">
        <v>44940</v>
      </c>
      <c r="I569" t="s">
        <v>17</v>
      </c>
      <c r="J569" t="s">
        <v>18</v>
      </c>
      <c r="K569" cm="1">
        <f t="array" aca="1" ref="K569" ca="1">_xlfn.IFS(EmployeeData[[#This Row],[Status]]="Active",_xlfn.DAYS(TODAY(),EmployeeData[[#This Row],[Join Date]]),EmployeeData[[#This Row],[Status]]="Exited",_xlfn.DAYS(EmployeeData[[#This Row],[Exit Date]],EmployeeData[[#This Row],[Join Date]]))</f>
        <v>1257</v>
      </c>
      <c r="L569" cm="1">
        <f t="array" aca="1" ref="L569" ca="1">_xlfn.IFS(EmployeeData[[#This Row],[Status]]="Exited",DATEDIF(EmployeeData[[#This Row],[Join Date]], EmployeeData[[#This Row],[Exit Date]], "Y"),EmployeeData[[#This Row],[Status]]="Active",DATEDIF(EmployeeData[[#This Row],[Join Date]], TODAY(), "Y"))</f>
        <v>3</v>
      </c>
      <c r="Q569" t="str" cm="1">
        <f t="array" aca="1" ref="Q5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10 days</v>
      </c>
    </row>
    <row r="570" spans="1:17" x14ac:dyDescent="0.3">
      <c r="A570">
        <v>1569</v>
      </c>
      <c r="B570" t="s">
        <v>742</v>
      </c>
      <c r="C570" t="s">
        <v>33</v>
      </c>
      <c r="D570" t="s">
        <v>16</v>
      </c>
      <c r="E570">
        <v>54</v>
      </c>
      <c r="F570" t="str" cm="1">
        <f t="array" ref="F570">_xlfn.IFS(EmployeeData[[#This Row],[Age]]&lt;30,"20s",EmployeeData[[#This Row],[Age]]&lt;40,"30s",EmployeeData[[#This Row],[Age]]&lt;50,"40s",EmployeeData[[#This Row],[Age]]&lt;60,"50s",EmployeeData[[#This Row],[Age]]&gt;=60,"60s")</f>
        <v>50s</v>
      </c>
      <c r="G570" s="5">
        <v>43654</v>
      </c>
      <c r="I570" t="s">
        <v>17</v>
      </c>
      <c r="J570" t="s">
        <v>18</v>
      </c>
      <c r="K570" cm="1">
        <f t="array" aca="1" ref="K570" ca="1">_xlfn.IFS(EmployeeData[[#This Row],[Status]]="Active",_xlfn.DAYS(TODAY(),EmployeeData[[#This Row],[Join Date]]),EmployeeData[[#This Row],[Status]]="Exited",_xlfn.DAYS(EmployeeData[[#This Row],[Exit Date]],EmployeeData[[#This Row],[Join Date]]))</f>
        <v>2543</v>
      </c>
      <c r="L570" cm="1">
        <f t="array" aca="1" ref="L570" ca="1">_xlfn.IFS(EmployeeData[[#This Row],[Status]]="Exited",DATEDIF(EmployeeData[[#This Row],[Join Date]], EmployeeData[[#This Row],[Exit Date]], "Y"),EmployeeData[[#This Row],[Status]]="Active",DATEDIF(EmployeeData[[#This Row],[Join Date]], TODAY(), "Y"))</f>
        <v>6</v>
      </c>
      <c r="Q570" t="str" cm="1">
        <f t="array" aca="1" ref="Q5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16 days</v>
      </c>
    </row>
    <row r="571" spans="1:17" x14ac:dyDescent="0.3">
      <c r="A571">
        <v>1570</v>
      </c>
      <c r="B571" t="s">
        <v>181</v>
      </c>
      <c r="C571" t="s">
        <v>46</v>
      </c>
      <c r="D571" t="s">
        <v>16</v>
      </c>
      <c r="E571">
        <v>56</v>
      </c>
      <c r="F571" t="str" cm="1">
        <f t="array" ref="F571">_xlfn.IFS(EmployeeData[[#This Row],[Age]]&lt;30,"20s",EmployeeData[[#This Row],[Age]]&lt;40,"30s",EmployeeData[[#This Row],[Age]]&lt;50,"40s",EmployeeData[[#This Row],[Age]]&lt;60,"50s",EmployeeData[[#This Row],[Age]]&gt;=60,"60s")</f>
        <v>50s</v>
      </c>
      <c r="G571" s="5">
        <v>45284</v>
      </c>
      <c r="I571" t="s">
        <v>17</v>
      </c>
      <c r="J571" t="s">
        <v>18</v>
      </c>
      <c r="K571" cm="1">
        <f t="array" aca="1" ref="K571" ca="1">_xlfn.IFS(EmployeeData[[#This Row],[Status]]="Active",_xlfn.DAYS(TODAY(),EmployeeData[[#This Row],[Join Date]]),EmployeeData[[#This Row],[Status]]="Exited",_xlfn.DAYS(EmployeeData[[#This Row],[Exit Date]],EmployeeData[[#This Row],[Join Date]]))</f>
        <v>913</v>
      </c>
      <c r="L571" cm="1">
        <f t="array" aca="1" ref="L571" ca="1">_xlfn.IFS(EmployeeData[[#This Row],[Status]]="Exited",DATEDIF(EmployeeData[[#This Row],[Join Date]], EmployeeData[[#This Row],[Exit Date]], "Y"),EmployeeData[[#This Row],[Status]]="Active",DATEDIF(EmployeeData[[#This Row],[Join Date]], TODAY(), "Y"))</f>
        <v>2</v>
      </c>
      <c r="Q571" t="str" cm="1">
        <f t="array" aca="1" ref="Q5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0 days</v>
      </c>
    </row>
    <row r="572" spans="1:17" x14ac:dyDescent="0.3">
      <c r="A572">
        <v>1571</v>
      </c>
      <c r="B572" t="s">
        <v>70</v>
      </c>
      <c r="C572" t="s">
        <v>20</v>
      </c>
      <c r="D572" t="s">
        <v>11</v>
      </c>
      <c r="E572">
        <v>47</v>
      </c>
      <c r="F572" t="str" cm="1">
        <f t="array" ref="F572">_xlfn.IFS(EmployeeData[[#This Row],[Age]]&lt;30,"20s",EmployeeData[[#This Row],[Age]]&lt;40,"30s",EmployeeData[[#This Row],[Age]]&lt;50,"40s",EmployeeData[[#This Row],[Age]]&lt;60,"50s",EmployeeData[[#This Row],[Age]]&gt;=60,"60s")</f>
        <v>40s</v>
      </c>
      <c r="G572" s="5">
        <v>44785</v>
      </c>
      <c r="H572" s="5">
        <v>46179</v>
      </c>
      <c r="I572" t="s">
        <v>21</v>
      </c>
      <c r="J572" t="s">
        <v>13</v>
      </c>
      <c r="K572" cm="1">
        <f t="array" aca="1" ref="K572" ca="1">_xlfn.IFS(EmployeeData[[#This Row],[Status]]="Active",_xlfn.DAYS(TODAY(),EmployeeData[[#This Row],[Join Date]]),EmployeeData[[#This Row],[Status]]="Exited",_xlfn.DAYS(EmployeeData[[#This Row],[Exit Date]],EmployeeData[[#This Row],[Join Date]]))</f>
        <v>1394</v>
      </c>
      <c r="L572" cm="1">
        <f t="array" aca="1" ref="L572" ca="1">_xlfn.IFS(EmployeeData[[#This Row],[Status]]="Exited",DATEDIF(EmployeeData[[#This Row],[Join Date]], EmployeeData[[#This Row],[Exit Date]], "Y"),EmployeeData[[#This Row],[Status]]="Active",DATEDIF(EmployeeData[[#This Row],[Join Date]], TODAY(), "Y"))</f>
        <v>3</v>
      </c>
      <c r="Q572" t="str" cm="1">
        <f t="array" aca="1" ref="Q5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25 days</v>
      </c>
    </row>
    <row r="573" spans="1:17" x14ac:dyDescent="0.3">
      <c r="A573">
        <v>1572</v>
      </c>
      <c r="B573" t="s">
        <v>391</v>
      </c>
      <c r="C573" t="s">
        <v>15</v>
      </c>
      <c r="D573" t="s">
        <v>16</v>
      </c>
      <c r="E573">
        <v>38</v>
      </c>
      <c r="F573" t="str" cm="1">
        <f t="array" ref="F573">_xlfn.IFS(EmployeeData[[#This Row],[Age]]&lt;30,"20s",EmployeeData[[#This Row],[Age]]&lt;40,"30s",EmployeeData[[#This Row],[Age]]&lt;50,"40s",EmployeeData[[#This Row],[Age]]&lt;60,"50s",EmployeeData[[#This Row],[Age]]&gt;=60,"60s")</f>
        <v>30s</v>
      </c>
      <c r="G573" s="5">
        <v>45581</v>
      </c>
      <c r="I573" t="s">
        <v>17</v>
      </c>
      <c r="J573" t="s">
        <v>18</v>
      </c>
      <c r="K573" cm="1">
        <f t="array" aca="1" ref="K573" ca="1">_xlfn.IFS(EmployeeData[[#This Row],[Status]]="Active",_xlfn.DAYS(TODAY(),EmployeeData[[#This Row],[Join Date]]),EmployeeData[[#This Row],[Status]]="Exited",_xlfn.DAYS(EmployeeData[[#This Row],[Exit Date]],EmployeeData[[#This Row],[Join Date]]))</f>
        <v>616</v>
      </c>
      <c r="L573" cm="1">
        <f t="array" aca="1" ref="L573" ca="1">_xlfn.IFS(EmployeeData[[#This Row],[Status]]="Exited",DATEDIF(EmployeeData[[#This Row],[Join Date]], EmployeeData[[#This Row],[Exit Date]], "Y"),EmployeeData[[#This Row],[Status]]="Active",DATEDIF(EmployeeData[[#This Row],[Join Date]], TODAY(), "Y"))</f>
        <v>1</v>
      </c>
      <c r="Q573" t="str" cm="1">
        <f t="array" aca="1" ref="Q5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8 days</v>
      </c>
    </row>
    <row r="574" spans="1:17" x14ac:dyDescent="0.3">
      <c r="A574">
        <v>1573</v>
      </c>
      <c r="B574" t="s">
        <v>146</v>
      </c>
      <c r="C574" t="s">
        <v>10</v>
      </c>
      <c r="D574" t="s">
        <v>11</v>
      </c>
      <c r="E574">
        <v>51</v>
      </c>
      <c r="F574" t="str" cm="1">
        <f t="array" ref="F574">_xlfn.IFS(EmployeeData[[#This Row],[Age]]&lt;30,"20s",EmployeeData[[#This Row],[Age]]&lt;40,"30s",EmployeeData[[#This Row],[Age]]&lt;50,"40s",EmployeeData[[#This Row],[Age]]&lt;60,"50s",EmployeeData[[#This Row],[Age]]&gt;=60,"60s")</f>
        <v>50s</v>
      </c>
      <c r="G574" s="5">
        <v>43650</v>
      </c>
      <c r="I574" t="s">
        <v>17</v>
      </c>
      <c r="J574" t="s">
        <v>18</v>
      </c>
      <c r="K574" cm="1">
        <f t="array" aca="1" ref="K574" ca="1">_xlfn.IFS(EmployeeData[[#This Row],[Status]]="Active",_xlfn.DAYS(TODAY(),EmployeeData[[#This Row],[Join Date]]),EmployeeData[[#This Row],[Status]]="Exited",_xlfn.DAYS(EmployeeData[[#This Row],[Exit Date]],EmployeeData[[#This Row],[Join Date]]))</f>
        <v>2547</v>
      </c>
      <c r="L574" cm="1">
        <f t="array" aca="1" ref="L574" ca="1">_xlfn.IFS(EmployeeData[[#This Row],[Status]]="Exited",DATEDIF(EmployeeData[[#This Row],[Join Date]], EmployeeData[[#This Row],[Exit Date]], "Y"),EmployeeData[[#This Row],[Status]]="Active",DATEDIF(EmployeeData[[#This Row],[Join Date]], TODAY(), "Y"))</f>
        <v>6</v>
      </c>
      <c r="Q574" t="str" cm="1">
        <f t="array" aca="1" ref="Q5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20 days</v>
      </c>
    </row>
    <row r="575" spans="1:17" x14ac:dyDescent="0.3">
      <c r="A575">
        <v>1574</v>
      </c>
      <c r="B575" t="s">
        <v>761</v>
      </c>
      <c r="C575" t="s">
        <v>10</v>
      </c>
      <c r="D575" t="s">
        <v>11</v>
      </c>
      <c r="E575">
        <v>63</v>
      </c>
      <c r="F575" t="str" cm="1">
        <f t="array" ref="F575">_xlfn.IFS(EmployeeData[[#This Row],[Age]]&lt;30,"20s",EmployeeData[[#This Row],[Age]]&lt;40,"30s",EmployeeData[[#This Row],[Age]]&lt;50,"40s",EmployeeData[[#This Row],[Age]]&lt;60,"50s",EmployeeData[[#This Row],[Age]]&gt;=60,"60s")</f>
        <v>60s</v>
      </c>
      <c r="G575" s="5">
        <v>45041</v>
      </c>
      <c r="H575" s="5">
        <v>45526</v>
      </c>
      <c r="I575" t="s">
        <v>26</v>
      </c>
      <c r="J575" t="s">
        <v>13</v>
      </c>
      <c r="K575" cm="1">
        <f t="array" aca="1" ref="K575" ca="1">_xlfn.IFS(EmployeeData[[#This Row],[Status]]="Active",_xlfn.DAYS(TODAY(),EmployeeData[[#This Row],[Join Date]]),EmployeeData[[#This Row],[Status]]="Exited",_xlfn.DAYS(EmployeeData[[#This Row],[Exit Date]],EmployeeData[[#This Row],[Join Date]]))</f>
        <v>485</v>
      </c>
      <c r="L575" cm="1">
        <f t="array" aca="1" ref="L575" ca="1">_xlfn.IFS(EmployeeData[[#This Row],[Status]]="Exited",DATEDIF(EmployeeData[[#This Row],[Join Date]], EmployeeData[[#This Row],[Exit Date]], "Y"),EmployeeData[[#This Row],[Status]]="Active",DATEDIF(EmployeeData[[#This Row],[Join Date]], TODAY(), "Y"))</f>
        <v>1</v>
      </c>
      <c r="Q575" t="str" cm="1">
        <f t="array" aca="1" ref="Q5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28 days</v>
      </c>
    </row>
    <row r="576" spans="1:17" x14ac:dyDescent="0.3">
      <c r="A576">
        <v>1575</v>
      </c>
      <c r="B576" t="s">
        <v>288</v>
      </c>
      <c r="C576" t="s">
        <v>15</v>
      </c>
      <c r="D576" t="s">
        <v>24</v>
      </c>
      <c r="E576">
        <v>33</v>
      </c>
      <c r="F576" t="str" cm="1">
        <f t="array" ref="F576">_xlfn.IFS(EmployeeData[[#This Row],[Age]]&lt;30,"20s",EmployeeData[[#This Row],[Age]]&lt;40,"30s",EmployeeData[[#This Row],[Age]]&lt;50,"40s",EmployeeData[[#This Row],[Age]]&lt;60,"50s",EmployeeData[[#This Row],[Age]]&gt;=60,"60s")</f>
        <v>30s</v>
      </c>
      <c r="G576" s="5">
        <v>43938</v>
      </c>
      <c r="H576" s="5">
        <v>45827</v>
      </c>
      <c r="I576" t="s">
        <v>52</v>
      </c>
      <c r="J576" t="s">
        <v>13</v>
      </c>
      <c r="K576" cm="1">
        <f t="array" aca="1" ref="K576" ca="1">_xlfn.IFS(EmployeeData[[#This Row],[Status]]="Active",_xlfn.DAYS(TODAY(),EmployeeData[[#This Row],[Join Date]]),EmployeeData[[#This Row],[Status]]="Exited",_xlfn.DAYS(EmployeeData[[#This Row],[Exit Date]],EmployeeData[[#This Row],[Join Date]]))</f>
        <v>1889</v>
      </c>
      <c r="L576" cm="1">
        <f t="array" aca="1" ref="L576" ca="1">_xlfn.IFS(EmployeeData[[#This Row],[Status]]="Exited",DATEDIF(EmployeeData[[#This Row],[Join Date]], EmployeeData[[#This Row],[Exit Date]], "Y"),EmployeeData[[#This Row],[Status]]="Active",DATEDIF(EmployeeData[[#This Row],[Join Date]], TODAY(), "Y"))</f>
        <v>5</v>
      </c>
      <c r="Q576" t="str" cm="1">
        <f t="array" aca="1" ref="Q5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2 days</v>
      </c>
    </row>
    <row r="577" spans="1:17" x14ac:dyDescent="0.3">
      <c r="A577">
        <v>1576</v>
      </c>
      <c r="B577" t="s">
        <v>760</v>
      </c>
      <c r="C577" t="s">
        <v>33</v>
      </c>
      <c r="D577" t="s">
        <v>24</v>
      </c>
      <c r="E577">
        <v>23</v>
      </c>
      <c r="F577" t="str" cm="1">
        <f t="array" ref="F577">_xlfn.IFS(EmployeeData[[#This Row],[Age]]&lt;30,"20s",EmployeeData[[#This Row],[Age]]&lt;40,"30s",EmployeeData[[#This Row],[Age]]&lt;50,"40s",EmployeeData[[#This Row],[Age]]&lt;60,"50s",EmployeeData[[#This Row],[Age]]&gt;=60,"60s")</f>
        <v>20s</v>
      </c>
      <c r="G577" s="5">
        <v>45591</v>
      </c>
      <c r="I577" t="s">
        <v>17</v>
      </c>
      <c r="J577" t="s">
        <v>18</v>
      </c>
      <c r="K577" cm="1">
        <f t="array" aca="1" ref="K577" ca="1">_xlfn.IFS(EmployeeData[[#This Row],[Status]]="Active",_xlfn.DAYS(TODAY(),EmployeeData[[#This Row],[Join Date]]),EmployeeData[[#This Row],[Status]]="Exited",_xlfn.DAYS(EmployeeData[[#This Row],[Exit Date]],EmployeeData[[#This Row],[Join Date]]))</f>
        <v>606</v>
      </c>
      <c r="L577" cm="1">
        <f t="array" aca="1" ref="L577" ca="1">_xlfn.IFS(EmployeeData[[#This Row],[Status]]="Exited",DATEDIF(EmployeeData[[#This Row],[Join Date]], EmployeeData[[#This Row],[Exit Date]], "Y"),EmployeeData[[#This Row],[Status]]="Active",DATEDIF(EmployeeData[[#This Row],[Join Date]], TODAY(), "Y"))</f>
        <v>1</v>
      </c>
      <c r="Q577" t="str" cm="1">
        <f t="array" aca="1" ref="Q5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29 days</v>
      </c>
    </row>
    <row r="578" spans="1:17" x14ac:dyDescent="0.3">
      <c r="A578">
        <v>1577</v>
      </c>
      <c r="B578" t="s">
        <v>381</v>
      </c>
      <c r="C578" t="s">
        <v>23</v>
      </c>
      <c r="D578" t="s">
        <v>24</v>
      </c>
      <c r="E578">
        <v>23</v>
      </c>
      <c r="F578" t="str" cm="1">
        <f t="array" ref="F578">_xlfn.IFS(EmployeeData[[#This Row],[Age]]&lt;30,"20s",EmployeeData[[#This Row],[Age]]&lt;40,"30s",EmployeeData[[#This Row],[Age]]&lt;50,"40s",EmployeeData[[#This Row],[Age]]&lt;60,"50s",EmployeeData[[#This Row],[Age]]&gt;=60,"60s")</f>
        <v>20s</v>
      </c>
      <c r="G578" s="5">
        <v>44107</v>
      </c>
      <c r="I578" t="s">
        <v>17</v>
      </c>
      <c r="J578" t="s">
        <v>18</v>
      </c>
      <c r="K578" cm="1">
        <f t="array" aca="1" ref="K578" ca="1">_xlfn.IFS(EmployeeData[[#This Row],[Status]]="Active",_xlfn.DAYS(TODAY(),EmployeeData[[#This Row],[Join Date]]),EmployeeData[[#This Row],[Status]]="Exited",_xlfn.DAYS(EmployeeData[[#This Row],[Exit Date]],EmployeeData[[#This Row],[Join Date]]))</f>
        <v>2090</v>
      </c>
      <c r="L578" cm="1">
        <f t="array" aca="1" ref="L578" ca="1">_xlfn.IFS(EmployeeData[[#This Row],[Status]]="Exited",DATEDIF(EmployeeData[[#This Row],[Join Date]], EmployeeData[[#This Row],[Exit Date]], "Y"),EmployeeData[[#This Row],[Status]]="Active",DATEDIF(EmployeeData[[#This Row],[Join Date]], TODAY(), "Y"))</f>
        <v>5</v>
      </c>
      <c r="Q578" t="str" cm="1">
        <f t="array" aca="1" ref="Q5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21 days</v>
      </c>
    </row>
    <row r="579" spans="1:17" x14ac:dyDescent="0.3">
      <c r="A579">
        <v>1578</v>
      </c>
      <c r="B579" t="s">
        <v>954</v>
      </c>
      <c r="C579" t="s">
        <v>23</v>
      </c>
      <c r="D579" t="s">
        <v>24</v>
      </c>
      <c r="E579">
        <v>24</v>
      </c>
      <c r="F579" t="str" cm="1">
        <f t="array" ref="F579">_xlfn.IFS(EmployeeData[[#This Row],[Age]]&lt;30,"20s",EmployeeData[[#This Row],[Age]]&lt;40,"30s",EmployeeData[[#This Row],[Age]]&lt;50,"40s",EmployeeData[[#This Row],[Age]]&lt;60,"50s",EmployeeData[[#This Row],[Age]]&gt;=60,"60s")</f>
        <v>20s</v>
      </c>
      <c r="G579" s="5">
        <v>43878</v>
      </c>
      <c r="H579" s="5">
        <v>45598</v>
      </c>
      <c r="I579" t="s">
        <v>52</v>
      </c>
      <c r="J579" t="s">
        <v>13</v>
      </c>
      <c r="K579" cm="1">
        <f t="array" aca="1" ref="K579" ca="1">_xlfn.IFS(EmployeeData[[#This Row],[Status]]="Active",_xlfn.DAYS(TODAY(),EmployeeData[[#This Row],[Join Date]]),EmployeeData[[#This Row],[Status]]="Exited",_xlfn.DAYS(EmployeeData[[#This Row],[Exit Date]],EmployeeData[[#This Row],[Join Date]]))</f>
        <v>1720</v>
      </c>
      <c r="L579" cm="1">
        <f t="array" aca="1" ref="L579" ca="1">_xlfn.IFS(EmployeeData[[#This Row],[Status]]="Exited",DATEDIF(EmployeeData[[#This Row],[Join Date]], EmployeeData[[#This Row],[Exit Date]], "Y"),EmployeeData[[#This Row],[Status]]="Active",DATEDIF(EmployeeData[[#This Row],[Join Date]], TODAY(), "Y"))</f>
        <v>4</v>
      </c>
      <c r="Q579" t="str" cm="1">
        <f t="array" aca="1" ref="Q5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16 days</v>
      </c>
    </row>
    <row r="580" spans="1:17" x14ac:dyDescent="0.3">
      <c r="A580">
        <v>1579</v>
      </c>
      <c r="B580" t="s">
        <v>569</v>
      </c>
      <c r="C580" t="s">
        <v>23</v>
      </c>
      <c r="D580" t="s">
        <v>16</v>
      </c>
      <c r="E580">
        <v>54</v>
      </c>
      <c r="F580" t="str" cm="1">
        <f t="array" ref="F580">_xlfn.IFS(EmployeeData[[#This Row],[Age]]&lt;30,"20s",EmployeeData[[#This Row],[Age]]&lt;40,"30s",EmployeeData[[#This Row],[Age]]&lt;50,"40s",EmployeeData[[#This Row],[Age]]&lt;60,"50s",EmployeeData[[#This Row],[Age]]&gt;=60,"60s")</f>
        <v>50s</v>
      </c>
      <c r="G580" s="5">
        <v>43683</v>
      </c>
      <c r="I580" t="s">
        <v>17</v>
      </c>
      <c r="J580" t="s">
        <v>18</v>
      </c>
      <c r="K580" cm="1">
        <f t="array" aca="1" ref="K580" ca="1">_xlfn.IFS(EmployeeData[[#This Row],[Status]]="Active",_xlfn.DAYS(TODAY(),EmployeeData[[#This Row],[Join Date]]),EmployeeData[[#This Row],[Status]]="Exited",_xlfn.DAYS(EmployeeData[[#This Row],[Exit Date]],EmployeeData[[#This Row],[Join Date]]))</f>
        <v>2514</v>
      </c>
      <c r="L580" cm="1">
        <f t="array" aca="1" ref="L580" ca="1">_xlfn.IFS(EmployeeData[[#This Row],[Status]]="Exited",DATEDIF(EmployeeData[[#This Row],[Join Date]], EmployeeData[[#This Row],[Exit Date]], "Y"),EmployeeData[[#This Row],[Status]]="Active",DATEDIF(EmployeeData[[#This Row],[Join Date]], TODAY(), "Y"))</f>
        <v>6</v>
      </c>
      <c r="Q580" t="str" cm="1">
        <f t="array" aca="1" ref="Q5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18 days</v>
      </c>
    </row>
    <row r="581" spans="1:17" x14ac:dyDescent="0.3">
      <c r="A581">
        <v>1580</v>
      </c>
      <c r="B581" t="s">
        <v>983</v>
      </c>
      <c r="C581" t="s">
        <v>15</v>
      </c>
      <c r="D581" t="s">
        <v>11</v>
      </c>
      <c r="E581">
        <v>55</v>
      </c>
      <c r="F581" t="str" cm="1">
        <f t="array" ref="F581">_xlfn.IFS(EmployeeData[[#This Row],[Age]]&lt;30,"20s",EmployeeData[[#This Row],[Age]]&lt;40,"30s",EmployeeData[[#This Row],[Age]]&lt;50,"40s",EmployeeData[[#This Row],[Age]]&lt;60,"50s",EmployeeData[[#This Row],[Age]]&gt;=60,"60s")</f>
        <v>50s</v>
      </c>
      <c r="G581" s="5">
        <v>43655</v>
      </c>
      <c r="I581" t="s">
        <v>17</v>
      </c>
      <c r="J581" t="s">
        <v>18</v>
      </c>
      <c r="K581" cm="1">
        <f t="array" aca="1" ref="K581" ca="1">_xlfn.IFS(EmployeeData[[#This Row],[Status]]="Active",_xlfn.DAYS(TODAY(),EmployeeData[[#This Row],[Join Date]]),EmployeeData[[#This Row],[Status]]="Exited",_xlfn.DAYS(EmployeeData[[#This Row],[Exit Date]],EmployeeData[[#This Row],[Join Date]]))</f>
        <v>2542</v>
      </c>
      <c r="L581" cm="1">
        <f t="array" aca="1" ref="L581" ca="1">_xlfn.IFS(EmployeeData[[#This Row],[Status]]="Exited",DATEDIF(EmployeeData[[#This Row],[Join Date]], EmployeeData[[#This Row],[Exit Date]], "Y"),EmployeeData[[#This Row],[Status]]="Active",DATEDIF(EmployeeData[[#This Row],[Join Date]], TODAY(), "Y"))</f>
        <v>6</v>
      </c>
      <c r="Q581" t="str" cm="1">
        <f t="array" aca="1" ref="Q5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15 days</v>
      </c>
    </row>
    <row r="582" spans="1:17" x14ac:dyDescent="0.3">
      <c r="A582">
        <v>1581</v>
      </c>
      <c r="B582" t="s">
        <v>386</v>
      </c>
      <c r="C582" t="s">
        <v>23</v>
      </c>
      <c r="D582" t="s">
        <v>11</v>
      </c>
      <c r="E582">
        <v>33</v>
      </c>
      <c r="F582" t="str" cm="1">
        <f t="array" ref="F582">_xlfn.IFS(EmployeeData[[#This Row],[Age]]&lt;30,"20s",EmployeeData[[#This Row],[Age]]&lt;40,"30s",EmployeeData[[#This Row],[Age]]&lt;50,"40s",EmployeeData[[#This Row],[Age]]&lt;60,"50s",EmployeeData[[#This Row],[Age]]&gt;=60,"60s")</f>
        <v>30s</v>
      </c>
      <c r="G582" s="5">
        <v>44963</v>
      </c>
      <c r="H582" s="5">
        <v>45716</v>
      </c>
      <c r="I582" t="s">
        <v>34</v>
      </c>
      <c r="J582" t="s">
        <v>13</v>
      </c>
      <c r="K582" cm="1">
        <f t="array" aca="1" ref="K582" ca="1">_xlfn.IFS(EmployeeData[[#This Row],[Status]]="Active",_xlfn.DAYS(TODAY(),EmployeeData[[#This Row],[Join Date]]),EmployeeData[[#This Row],[Status]]="Exited",_xlfn.DAYS(EmployeeData[[#This Row],[Exit Date]],EmployeeData[[#This Row],[Join Date]]))</f>
        <v>753</v>
      </c>
      <c r="L582" cm="1">
        <f t="array" aca="1" ref="L582" ca="1">_xlfn.IFS(EmployeeData[[#This Row],[Status]]="Exited",DATEDIF(EmployeeData[[#This Row],[Join Date]], EmployeeData[[#This Row],[Exit Date]], "Y"),EmployeeData[[#This Row],[Status]]="Active",DATEDIF(EmployeeData[[#This Row],[Join Date]], TODAY(), "Y"))</f>
        <v>2</v>
      </c>
      <c r="Q582" t="str" cm="1">
        <f t="array" aca="1" ref="Q5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22 days</v>
      </c>
    </row>
    <row r="583" spans="1:17" x14ac:dyDescent="0.3">
      <c r="A583">
        <v>1582</v>
      </c>
      <c r="B583" t="s">
        <v>552</v>
      </c>
      <c r="C583" t="s">
        <v>15</v>
      </c>
      <c r="D583" t="s">
        <v>11</v>
      </c>
      <c r="E583">
        <v>44</v>
      </c>
      <c r="F583" t="str" cm="1">
        <f t="array" ref="F583">_xlfn.IFS(EmployeeData[[#This Row],[Age]]&lt;30,"20s",EmployeeData[[#This Row],[Age]]&lt;40,"30s",EmployeeData[[#This Row],[Age]]&lt;50,"40s",EmployeeData[[#This Row],[Age]]&lt;60,"50s",EmployeeData[[#This Row],[Age]]&gt;=60,"60s")</f>
        <v>40s</v>
      </c>
      <c r="G583" s="5">
        <v>43450</v>
      </c>
      <c r="I583" t="s">
        <v>17</v>
      </c>
      <c r="J583" t="s">
        <v>18</v>
      </c>
      <c r="K583" cm="1">
        <f t="array" aca="1" ref="K583" ca="1">_xlfn.IFS(EmployeeData[[#This Row],[Status]]="Active",_xlfn.DAYS(TODAY(),EmployeeData[[#This Row],[Join Date]]),EmployeeData[[#This Row],[Status]]="Exited",_xlfn.DAYS(EmployeeData[[#This Row],[Exit Date]],EmployeeData[[#This Row],[Join Date]]))</f>
        <v>2747</v>
      </c>
      <c r="L583" cm="1">
        <f t="array" aca="1" ref="L583" ca="1">_xlfn.IFS(EmployeeData[[#This Row],[Status]]="Exited",DATEDIF(EmployeeData[[#This Row],[Join Date]], EmployeeData[[#This Row],[Exit Date]], "Y"),EmployeeData[[#This Row],[Status]]="Active",DATEDIF(EmployeeData[[#This Row],[Join Date]], TODAY(), "Y"))</f>
        <v>7</v>
      </c>
      <c r="Q583" t="str" cm="1">
        <f t="array" aca="1" ref="Q5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8 days</v>
      </c>
    </row>
    <row r="584" spans="1:17" x14ac:dyDescent="0.3">
      <c r="A584">
        <v>1583</v>
      </c>
      <c r="B584" t="s">
        <v>463</v>
      </c>
      <c r="C584" t="s">
        <v>23</v>
      </c>
      <c r="D584" t="s">
        <v>11</v>
      </c>
      <c r="E584">
        <v>45</v>
      </c>
      <c r="F584" t="str" cm="1">
        <f t="array" ref="F584">_xlfn.IFS(EmployeeData[[#This Row],[Age]]&lt;30,"20s",EmployeeData[[#This Row],[Age]]&lt;40,"30s",EmployeeData[[#This Row],[Age]]&lt;50,"40s",EmployeeData[[#This Row],[Age]]&lt;60,"50s",EmployeeData[[#This Row],[Age]]&gt;=60,"60s")</f>
        <v>40s</v>
      </c>
      <c r="G584" s="5">
        <v>45355</v>
      </c>
      <c r="I584" t="s">
        <v>17</v>
      </c>
      <c r="J584" t="s">
        <v>18</v>
      </c>
      <c r="K584" cm="1">
        <f t="array" aca="1" ref="K584" ca="1">_xlfn.IFS(EmployeeData[[#This Row],[Status]]="Active",_xlfn.DAYS(TODAY(),EmployeeData[[#This Row],[Join Date]]),EmployeeData[[#This Row],[Status]]="Exited",_xlfn.DAYS(EmployeeData[[#This Row],[Exit Date]],EmployeeData[[#This Row],[Join Date]]))</f>
        <v>842</v>
      </c>
      <c r="L584" cm="1">
        <f t="array" aca="1" ref="L584" ca="1">_xlfn.IFS(EmployeeData[[#This Row],[Status]]="Exited",DATEDIF(EmployeeData[[#This Row],[Join Date]], EmployeeData[[#This Row],[Exit Date]], "Y"),EmployeeData[[#This Row],[Status]]="Active",DATEDIF(EmployeeData[[#This Row],[Join Date]], TODAY(), "Y"))</f>
        <v>2</v>
      </c>
      <c r="Q584" t="str" cm="1">
        <f t="array" aca="1" ref="Q5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20 days</v>
      </c>
    </row>
    <row r="585" spans="1:17" x14ac:dyDescent="0.3">
      <c r="A585">
        <v>1584</v>
      </c>
      <c r="B585" t="s">
        <v>71</v>
      </c>
      <c r="C585" t="s">
        <v>15</v>
      </c>
      <c r="D585" t="s">
        <v>16</v>
      </c>
      <c r="E585">
        <v>55</v>
      </c>
      <c r="F585" t="str" cm="1">
        <f t="array" ref="F585">_xlfn.IFS(EmployeeData[[#This Row],[Age]]&lt;30,"20s",EmployeeData[[#This Row],[Age]]&lt;40,"30s",EmployeeData[[#This Row],[Age]]&lt;50,"40s",EmployeeData[[#This Row],[Age]]&lt;60,"50s",EmployeeData[[#This Row],[Age]]&gt;=60,"60s")</f>
        <v>50s</v>
      </c>
      <c r="G585" s="5">
        <v>44819</v>
      </c>
      <c r="H585" s="5">
        <v>45822</v>
      </c>
      <c r="I585" t="s">
        <v>26</v>
      </c>
      <c r="J585" t="s">
        <v>13</v>
      </c>
      <c r="K585" cm="1">
        <f t="array" aca="1" ref="K585" ca="1">_xlfn.IFS(EmployeeData[[#This Row],[Status]]="Active",_xlfn.DAYS(TODAY(),EmployeeData[[#This Row],[Join Date]]),EmployeeData[[#This Row],[Status]]="Exited",_xlfn.DAYS(EmployeeData[[#This Row],[Exit Date]],EmployeeData[[#This Row],[Join Date]]))</f>
        <v>1003</v>
      </c>
      <c r="L585" cm="1">
        <f t="array" aca="1" ref="L585" ca="1">_xlfn.IFS(EmployeeData[[#This Row],[Status]]="Exited",DATEDIF(EmployeeData[[#This Row],[Join Date]], EmployeeData[[#This Row],[Exit Date]], "Y"),EmployeeData[[#This Row],[Status]]="Active",DATEDIF(EmployeeData[[#This Row],[Join Date]], TODAY(), "Y"))</f>
        <v>2</v>
      </c>
      <c r="Q585" t="str" cm="1">
        <f t="array" aca="1" ref="Q5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30 days</v>
      </c>
    </row>
    <row r="586" spans="1:17" x14ac:dyDescent="0.3">
      <c r="A586">
        <v>1585</v>
      </c>
      <c r="B586" t="s">
        <v>735</v>
      </c>
      <c r="C586" t="s">
        <v>15</v>
      </c>
      <c r="D586" t="s">
        <v>11</v>
      </c>
      <c r="E586">
        <v>21</v>
      </c>
      <c r="F586" t="str" cm="1">
        <f t="array" ref="F586">_xlfn.IFS(EmployeeData[[#This Row],[Age]]&lt;30,"20s",EmployeeData[[#This Row],[Age]]&lt;40,"30s",EmployeeData[[#This Row],[Age]]&lt;50,"40s",EmployeeData[[#This Row],[Age]]&lt;60,"50s",EmployeeData[[#This Row],[Age]]&gt;=60,"60s")</f>
        <v>20s</v>
      </c>
      <c r="G586" s="5">
        <v>44979</v>
      </c>
      <c r="I586" t="s">
        <v>17</v>
      </c>
      <c r="J586" t="s">
        <v>18</v>
      </c>
      <c r="K586" cm="1">
        <f t="array" aca="1" ref="K586" ca="1">_xlfn.IFS(EmployeeData[[#This Row],[Status]]="Active",_xlfn.DAYS(TODAY(),EmployeeData[[#This Row],[Join Date]]),EmployeeData[[#This Row],[Status]]="Exited",_xlfn.DAYS(EmployeeData[[#This Row],[Exit Date]],EmployeeData[[#This Row],[Join Date]]))</f>
        <v>1218</v>
      </c>
      <c r="L586" cm="1">
        <f t="array" aca="1" ref="L586" ca="1">_xlfn.IFS(EmployeeData[[#This Row],[Status]]="Exited",DATEDIF(EmployeeData[[#This Row],[Join Date]], EmployeeData[[#This Row],[Exit Date]], "Y"),EmployeeData[[#This Row],[Status]]="Active",DATEDIF(EmployeeData[[#This Row],[Join Date]], TODAY(), "Y"))</f>
        <v>3</v>
      </c>
      <c r="Q586" t="str" cm="1">
        <f t="array" aca="1" ref="Q5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2 days</v>
      </c>
    </row>
    <row r="587" spans="1:17" x14ac:dyDescent="0.3">
      <c r="A587">
        <v>1586</v>
      </c>
      <c r="B587" t="s">
        <v>705</v>
      </c>
      <c r="C587" t="s">
        <v>23</v>
      </c>
      <c r="D587" t="s">
        <v>24</v>
      </c>
      <c r="E587">
        <v>34</v>
      </c>
      <c r="F587" t="str" cm="1">
        <f t="array" ref="F587">_xlfn.IFS(EmployeeData[[#This Row],[Age]]&lt;30,"20s",EmployeeData[[#This Row],[Age]]&lt;40,"30s",EmployeeData[[#This Row],[Age]]&lt;50,"40s",EmployeeData[[#This Row],[Age]]&lt;60,"50s",EmployeeData[[#This Row],[Age]]&gt;=60,"60s")</f>
        <v>30s</v>
      </c>
      <c r="G587" s="5">
        <v>45512</v>
      </c>
      <c r="I587" t="s">
        <v>17</v>
      </c>
      <c r="J587" t="s">
        <v>18</v>
      </c>
      <c r="K587" cm="1">
        <f t="array" aca="1" ref="K587" ca="1">_xlfn.IFS(EmployeeData[[#This Row],[Status]]="Active",_xlfn.DAYS(TODAY(),EmployeeData[[#This Row],[Join Date]]),EmployeeData[[#This Row],[Status]]="Exited",_xlfn.DAYS(EmployeeData[[#This Row],[Exit Date]],EmployeeData[[#This Row],[Join Date]]))</f>
        <v>685</v>
      </c>
      <c r="L587" cm="1">
        <f t="array" aca="1" ref="L587" ca="1">_xlfn.IFS(EmployeeData[[#This Row],[Status]]="Exited",DATEDIF(EmployeeData[[#This Row],[Join Date]], EmployeeData[[#This Row],[Exit Date]], "Y"),EmployeeData[[#This Row],[Status]]="Active",DATEDIF(EmployeeData[[#This Row],[Join Date]], TODAY(), "Y"))</f>
        <v>1</v>
      </c>
      <c r="Q587" t="str" cm="1">
        <f t="array" aca="1" ref="Q5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16 days</v>
      </c>
    </row>
    <row r="588" spans="1:17" x14ac:dyDescent="0.3">
      <c r="A588">
        <v>1587</v>
      </c>
      <c r="B588" t="s">
        <v>257</v>
      </c>
      <c r="C588" t="s">
        <v>10</v>
      </c>
      <c r="D588" t="s">
        <v>24</v>
      </c>
      <c r="E588">
        <v>56</v>
      </c>
      <c r="F588" t="str" cm="1">
        <f t="array" ref="F588">_xlfn.IFS(EmployeeData[[#This Row],[Age]]&lt;30,"20s",EmployeeData[[#This Row],[Age]]&lt;40,"30s",EmployeeData[[#This Row],[Age]]&lt;50,"40s",EmployeeData[[#This Row],[Age]]&lt;60,"50s",EmployeeData[[#This Row],[Age]]&gt;=60,"60s")</f>
        <v>50s</v>
      </c>
      <c r="G588" s="5">
        <v>43951</v>
      </c>
      <c r="H588" s="5">
        <v>44648</v>
      </c>
      <c r="I588" t="s">
        <v>31</v>
      </c>
      <c r="J588" t="s">
        <v>13</v>
      </c>
      <c r="K588" cm="1">
        <f t="array" aca="1" ref="K588" ca="1">_xlfn.IFS(EmployeeData[[#This Row],[Status]]="Active",_xlfn.DAYS(TODAY(),EmployeeData[[#This Row],[Join Date]]),EmployeeData[[#This Row],[Status]]="Exited",_xlfn.DAYS(EmployeeData[[#This Row],[Exit Date]],EmployeeData[[#This Row],[Join Date]]))</f>
        <v>697</v>
      </c>
      <c r="L588" cm="1">
        <f t="array" aca="1" ref="L588" ca="1">_xlfn.IFS(EmployeeData[[#This Row],[Status]]="Exited",DATEDIF(EmployeeData[[#This Row],[Join Date]], EmployeeData[[#This Row],[Exit Date]], "Y"),EmployeeData[[#This Row],[Status]]="Active",DATEDIF(EmployeeData[[#This Row],[Join Date]], TODAY(), "Y"))</f>
        <v>1</v>
      </c>
      <c r="Q588" t="str" cm="1">
        <f t="array" aca="1" ref="Q5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26 days</v>
      </c>
    </row>
    <row r="589" spans="1:17" x14ac:dyDescent="0.3">
      <c r="A589">
        <v>1588</v>
      </c>
      <c r="B589" t="s">
        <v>206</v>
      </c>
      <c r="C589" t="s">
        <v>20</v>
      </c>
      <c r="D589" t="s">
        <v>11</v>
      </c>
      <c r="E589">
        <v>40</v>
      </c>
      <c r="F589" t="str" cm="1">
        <f t="array" ref="F589">_xlfn.IFS(EmployeeData[[#This Row],[Age]]&lt;30,"20s",EmployeeData[[#This Row],[Age]]&lt;40,"30s",EmployeeData[[#This Row],[Age]]&lt;50,"40s",EmployeeData[[#This Row],[Age]]&lt;60,"50s",EmployeeData[[#This Row],[Age]]&gt;=60,"60s")</f>
        <v>40s</v>
      </c>
      <c r="G589" s="5">
        <v>44457</v>
      </c>
      <c r="I589" t="s">
        <v>17</v>
      </c>
      <c r="J589" t="s">
        <v>18</v>
      </c>
      <c r="K589" cm="1">
        <f t="array" aca="1" ref="K589" ca="1">_xlfn.IFS(EmployeeData[[#This Row],[Status]]="Active",_xlfn.DAYS(TODAY(),EmployeeData[[#This Row],[Join Date]]),EmployeeData[[#This Row],[Status]]="Exited",_xlfn.DAYS(EmployeeData[[#This Row],[Exit Date]],EmployeeData[[#This Row],[Join Date]]))</f>
        <v>1740</v>
      </c>
      <c r="L589" cm="1">
        <f t="array" aca="1" ref="L589" ca="1">_xlfn.IFS(EmployeeData[[#This Row],[Status]]="Exited",DATEDIF(EmployeeData[[#This Row],[Join Date]], EmployeeData[[#This Row],[Exit Date]], "Y"),EmployeeData[[#This Row],[Status]]="Active",DATEDIF(EmployeeData[[#This Row],[Join Date]], TODAY(), "Y"))</f>
        <v>4</v>
      </c>
      <c r="Q589" t="str" cm="1">
        <f t="array" aca="1" ref="Q5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6 days</v>
      </c>
    </row>
    <row r="590" spans="1:17" x14ac:dyDescent="0.3">
      <c r="A590">
        <v>1589</v>
      </c>
      <c r="B590" t="s">
        <v>195</v>
      </c>
      <c r="C590" t="s">
        <v>15</v>
      </c>
      <c r="D590" t="s">
        <v>16</v>
      </c>
      <c r="E590">
        <v>57</v>
      </c>
      <c r="F590" t="str" cm="1">
        <f t="array" ref="F590">_xlfn.IFS(EmployeeData[[#This Row],[Age]]&lt;30,"20s",EmployeeData[[#This Row],[Age]]&lt;40,"30s",EmployeeData[[#This Row],[Age]]&lt;50,"40s",EmployeeData[[#This Row],[Age]]&lt;60,"50s",EmployeeData[[#This Row],[Age]]&gt;=60,"60s")</f>
        <v>50s</v>
      </c>
      <c r="G590" s="5">
        <v>45403</v>
      </c>
      <c r="H590" s="5">
        <v>45959</v>
      </c>
      <c r="I590" t="s">
        <v>34</v>
      </c>
      <c r="J590" t="s">
        <v>13</v>
      </c>
      <c r="K590" cm="1">
        <f t="array" aca="1" ref="K590" ca="1">_xlfn.IFS(EmployeeData[[#This Row],[Status]]="Active",_xlfn.DAYS(TODAY(),EmployeeData[[#This Row],[Join Date]]),EmployeeData[[#This Row],[Status]]="Exited",_xlfn.DAYS(EmployeeData[[#This Row],[Exit Date]],EmployeeData[[#This Row],[Join Date]]))</f>
        <v>556</v>
      </c>
      <c r="L590" cm="1">
        <f t="array" aca="1" ref="L590" ca="1">_xlfn.IFS(EmployeeData[[#This Row],[Status]]="Exited",DATEDIF(EmployeeData[[#This Row],[Join Date]], EmployeeData[[#This Row],[Exit Date]], "Y"),EmployeeData[[#This Row],[Status]]="Active",DATEDIF(EmployeeData[[#This Row],[Join Date]], TODAY(), "Y"))</f>
        <v>1</v>
      </c>
      <c r="Q590" t="str" cm="1">
        <f t="array" aca="1" ref="Q5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8 days</v>
      </c>
    </row>
    <row r="591" spans="1:17" x14ac:dyDescent="0.3">
      <c r="A591">
        <v>1590</v>
      </c>
      <c r="B591" t="s">
        <v>1013</v>
      </c>
      <c r="C591" t="s">
        <v>10</v>
      </c>
      <c r="D591" t="s">
        <v>11</v>
      </c>
      <c r="E591">
        <v>25</v>
      </c>
      <c r="F591" t="str" cm="1">
        <f t="array" ref="F591">_xlfn.IFS(EmployeeData[[#This Row],[Age]]&lt;30,"20s",EmployeeData[[#This Row],[Age]]&lt;40,"30s",EmployeeData[[#This Row],[Age]]&lt;50,"40s",EmployeeData[[#This Row],[Age]]&lt;60,"50s",EmployeeData[[#This Row],[Age]]&gt;=60,"60s")</f>
        <v>20s</v>
      </c>
      <c r="G591" s="5">
        <v>44851</v>
      </c>
      <c r="I591" t="s">
        <v>17</v>
      </c>
      <c r="J591" t="s">
        <v>18</v>
      </c>
      <c r="K591" cm="1">
        <f t="array" aca="1" ref="K591" ca="1">_xlfn.IFS(EmployeeData[[#This Row],[Status]]="Active",_xlfn.DAYS(TODAY(),EmployeeData[[#This Row],[Join Date]]),EmployeeData[[#This Row],[Status]]="Exited",_xlfn.DAYS(EmployeeData[[#This Row],[Exit Date]],EmployeeData[[#This Row],[Join Date]]))</f>
        <v>1346</v>
      </c>
      <c r="L591" cm="1">
        <f t="array" aca="1" ref="L591" ca="1">_xlfn.IFS(EmployeeData[[#This Row],[Status]]="Exited",DATEDIF(EmployeeData[[#This Row],[Join Date]], EmployeeData[[#This Row],[Exit Date]], "Y"),EmployeeData[[#This Row],[Status]]="Active",DATEDIF(EmployeeData[[#This Row],[Join Date]], TODAY(), "Y"))</f>
        <v>3</v>
      </c>
      <c r="Q591" t="str" cm="1">
        <f t="array" aca="1" ref="Q5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7 days</v>
      </c>
    </row>
    <row r="592" spans="1:17" x14ac:dyDescent="0.3">
      <c r="A592">
        <v>1591</v>
      </c>
      <c r="B592" t="s">
        <v>256</v>
      </c>
      <c r="C592" t="s">
        <v>20</v>
      </c>
      <c r="D592" t="s">
        <v>16</v>
      </c>
      <c r="E592">
        <v>54</v>
      </c>
      <c r="F592" t="str" cm="1">
        <f t="array" ref="F592">_xlfn.IFS(EmployeeData[[#This Row],[Age]]&lt;30,"20s",EmployeeData[[#This Row],[Age]]&lt;40,"30s",EmployeeData[[#This Row],[Age]]&lt;50,"40s",EmployeeData[[#This Row],[Age]]&lt;60,"50s",EmployeeData[[#This Row],[Age]]&gt;=60,"60s")</f>
        <v>50s</v>
      </c>
      <c r="G592" s="5">
        <v>44795</v>
      </c>
      <c r="I592" t="s">
        <v>17</v>
      </c>
      <c r="J592" t="s">
        <v>18</v>
      </c>
      <c r="K592" cm="1">
        <f t="array" aca="1" ref="K592" ca="1">_xlfn.IFS(EmployeeData[[#This Row],[Status]]="Active",_xlfn.DAYS(TODAY(),EmployeeData[[#This Row],[Join Date]]),EmployeeData[[#This Row],[Status]]="Exited",_xlfn.DAYS(EmployeeData[[#This Row],[Exit Date]],EmployeeData[[#This Row],[Join Date]]))</f>
        <v>1402</v>
      </c>
      <c r="L592" cm="1">
        <f t="array" aca="1" ref="L592" ca="1">_xlfn.IFS(EmployeeData[[#This Row],[Status]]="Exited",DATEDIF(EmployeeData[[#This Row],[Join Date]], EmployeeData[[#This Row],[Exit Date]], "Y"),EmployeeData[[#This Row],[Status]]="Active",DATEDIF(EmployeeData[[#This Row],[Join Date]], TODAY(), "Y"))</f>
        <v>3</v>
      </c>
      <c r="Q592" t="str" cm="1">
        <f t="array" aca="1" ref="Q5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2 days</v>
      </c>
    </row>
    <row r="593" spans="1:17" x14ac:dyDescent="0.3">
      <c r="A593">
        <v>1592</v>
      </c>
      <c r="B593" t="s">
        <v>1085</v>
      </c>
      <c r="C593" t="s">
        <v>23</v>
      </c>
      <c r="D593" t="s">
        <v>11</v>
      </c>
      <c r="E593">
        <v>39</v>
      </c>
      <c r="F593" t="str" cm="1">
        <f t="array" ref="F593">_xlfn.IFS(EmployeeData[[#This Row],[Age]]&lt;30,"20s",EmployeeData[[#This Row],[Age]]&lt;40,"30s",EmployeeData[[#This Row],[Age]]&lt;50,"40s",EmployeeData[[#This Row],[Age]]&lt;60,"50s",EmployeeData[[#This Row],[Age]]&gt;=60,"60s")</f>
        <v>30s</v>
      </c>
      <c r="G593" s="5">
        <v>44850</v>
      </c>
      <c r="I593" t="s">
        <v>17</v>
      </c>
      <c r="J593" t="s">
        <v>18</v>
      </c>
      <c r="K593" cm="1">
        <f t="array" aca="1" ref="K593" ca="1">_xlfn.IFS(EmployeeData[[#This Row],[Status]]="Active",_xlfn.DAYS(TODAY(),EmployeeData[[#This Row],[Join Date]]),EmployeeData[[#This Row],[Status]]="Exited",_xlfn.DAYS(EmployeeData[[#This Row],[Exit Date]],EmployeeData[[#This Row],[Join Date]]))</f>
        <v>1347</v>
      </c>
      <c r="L593" cm="1">
        <f t="array" aca="1" ref="L593" ca="1">_xlfn.IFS(EmployeeData[[#This Row],[Status]]="Exited",DATEDIF(EmployeeData[[#This Row],[Join Date]], EmployeeData[[#This Row],[Exit Date]], "Y"),EmployeeData[[#This Row],[Status]]="Active",DATEDIF(EmployeeData[[#This Row],[Join Date]], TODAY(), "Y"))</f>
        <v>3</v>
      </c>
      <c r="Q593" t="str" cm="1">
        <f t="array" aca="1" ref="Q5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8 days</v>
      </c>
    </row>
    <row r="594" spans="1:17" x14ac:dyDescent="0.3">
      <c r="A594">
        <v>1593</v>
      </c>
      <c r="B594" t="s">
        <v>755</v>
      </c>
      <c r="C594" t="s">
        <v>46</v>
      </c>
      <c r="D594" t="s">
        <v>24</v>
      </c>
      <c r="E594">
        <v>52</v>
      </c>
      <c r="F594" t="str" cm="1">
        <f t="array" ref="F594">_xlfn.IFS(EmployeeData[[#This Row],[Age]]&lt;30,"20s",EmployeeData[[#This Row],[Age]]&lt;40,"30s",EmployeeData[[#This Row],[Age]]&lt;50,"40s",EmployeeData[[#This Row],[Age]]&lt;60,"50s",EmployeeData[[#This Row],[Age]]&gt;=60,"60s")</f>
        <v>50s</v>
      </c>
      <c r="G594" s="5">
        <v>45229</v>
      </c>
      <c r="I594" t="s">
        <v>17</v>
      </c>
      <c r="J594" t="s">
        <v>18</v>
      </c>
      <c r="K594" cm="1">
        <f t="array" aca="1" ref="K594" ca="1">_xlfn.IFS(EmployeeData[[#This Row],[Status]]="Active",_xlfn.DAYS(TODAY(),EmployeeData[[#This Row],[Join Date]]),EmployeeData[[#This Row],[Status]]="Exited",_xlfn.DAYS(EmployeeData[[#This Row],[Exit Date]],EmployeeData[[#This Row],[Join Date]]))</f>
        <v>968</v>
      </c>
      <c r="L594" cm="1">
        <f t="array" aca="1" ref="L594" ca="1">_xlfn.IFS(EmployeeData[[#This Row],[Status]]="Exited",DATEDIF(EmployeeData[[#This Row],[Join Date]], EmployeeData[[#This Row],[Exit Date]], "Y"),EmployeeData[[#This Row],[Status]]="Active",DATEDIF(EmployeeData[[#This Row],[Join Date]], TODAY(), "Y"))</f>
        <v>2</v>
      </c>
      <c r="Q594" t="str" cm="1">
        <f t="array" aca="1" ref="Q5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25 days</v>
      </c>
    </row>
    <row r="595" spans="1:17" x14ac:dyDescent="0.3">
      <c r="A595">
        <v>1594</v>
      </c>
      <c r="B595" t="s">
        <v>573</v>
      </c>
      <c r="C595" t="s">
        <v>33</v>
      </c>
      <c r="D595" t="s">
        <v>16</v>
      </c>
      <c r="E595">
        <v>39</v>
      </c>
      <c r="F595" t="str" cm="1">
        <f t="array" ref="F595">_xlfn.IFS(EmployeeData[[#This Row],[Age]]&lt;30,"20s",EmployeeData[[#This Row],[Age]]&lt;40,"30s",EmployeeData[[#This Row],[Age]]&lt;50,"40s",EmployeeData[[#This Row],[Age]]&lt;60,"50s",EmployeeData[[#This Row],[Age]]&gt;=60,"60s")</f>
        <v>30s</v>
      </c>
      <c r="G595" s="5">
        <v>43893</v>
      </c>
      <c r="H595" s="5">
        <v>44081</v>
      </c>
      <c r="I595" t="s">
        <v>12</v>
      </c>
      <c r="J595" t="s">
        <v>13</v>
      </c>
      <c r="K595" cm="1">
        <f t="array" aca="1" ref="K595" ca="1">_xlfn.IFS(EmployeeData[[#This Row],[Status]]="Active",_xlfn.DAYS(TODAY(),EmployeeData[[#This Row],[Join Date]]),EmployeeData[[#This Row],[Status]]="Exited",_xlfn.DAYS(EmployeeData[[#This Row],[Exit Date]],EmployeeData[[#This Row],[Join Date]]))</f>
        <v>188</v>
      </c>
      <c r="L595" cm="1">
        <f t="array" aca="1" ref="L595" ca="1">_xlfn.IFS(EmployeeData[[#This Row],[Status]]="Exited",DATEDIF(EmployeeData[[#This Row],[Join Date]], EmployeeData[[#This Row],[Exit Date]], "Y"),EmployeeData[[#This Row],[Status]]="Active",DATEDIF(EmployeeData[[#This Row],[Join Date]], TODAY(), "Y"))</f>
        <v>0</v>
      </c>
      <c r="Q595" t="str" cm="1">
        <f t="array" aca="1" ref="Q5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4 days</v>
      </c>
    </row>
    <row r="596" spans="1:17" x14ac:dyDescent="0.3">
      <c r="A596">
        <v>1595</v>
      </c>
      <c r="B596" t="s">
        <v>518</v>
      </c>
      <c r="C596" t="s">
        <v>33</v>
      </c>
      <c r="D596" t="s">
        <v>11</v>
      </c>
      <c r="E596">
        <v>47</v>
      </c>
      <c r="F596" t="str" cm="1">
        <f t="array" ref="F596">_xlfn.IFS(EmployeeData[[#This Row],[Age]]&lt;30,"20s",EmployeeData[[#This Row],[Age]]&lt;40,"30s",EmployeeData[[#This Row],[Age]]&lt;50,"40s",EmployeeData[[#This Row],[Age]]&lt;60,"50s",EmployeeData[[#This Row],[Age]]&gt;=60,"60s")</f>
        <v>40s</v>
      </c>
      <c r="G596" s="5">
        <v>43287</v>
      </c>
      <c r="H596" s="5">
        <v>44246</v>
      </c>
      <c r="I596" t="s">
        <v>31</v>
      </c>
      <c r="J596" t="s">
        <v>13</v>
      </c>
      <c r="K596" cm="1">
        <f t="array" aca="1" ref="K596" ca="1">_xlfn.IFS(EmployeeData[[#This Row],[Status]]="Active",_xlfn.DAYS(TODAY(),EmployeeData[[#This Row],[Join Date]]),EmployeeData[[#This Row],[Status]]="Exited",_xlfn.DAYS(EmployeeData[[#This Row],[Exit Date]],EmployeeData[[#This Row],[Join Date]]))</f>
        <v>959</v>
      </c>
      <c r="L596" cm="1">
        <f t="array" aca="1" ref="L596" ca="1">_xlfn.IFS(EmployeeData[[#This Row],[Status]]="Exited",DATEDIF(EmployeeData[[#This Row],[Join Date]], EmployeeData[[#This Row],[Exit Date]], "Y"),EmployeeData[[#This Row],[Status]]="Active",DATEDIF(EmployeeData[[#This Row],[Join Date]], TODAY(), "Y"))</f>
        <v>2</v>
      </c>
      <c r="Q596" t="str" cm="1">
        <f t="array" aca="1" ref="Q5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13 days</v>
      </c>
    </row>
    <row r="597" spans="1:17" x14ac:dyDescent="0.3">
      <c r="A597">
        <v>1596</v>
      </c>
      <c r="B597" t="s">
        <v>521</v>
      </c>
      <c r="C597" t="s">
        <v>10</v>
      </c>
      <c r="D597" t="s">
        <v>24</v>
      </c>
      <c r="E597">
        <v>41</v>
      </c>
      <c r="F597" t="str" cm="1">
        <f t="array" ref="F597">_xlfn.IFS(EmployeeData[[#This Row],[Age]]&lt;30,"20s",EmployeeData[[#This Row],[Age]]&lt;40,"30s",EmployeeData[[#This Row],[Age]]&lt;50,"40s",EmployeeData[[#This Row],[Age]]&lt;60,"50s",EmployeeData[[#This Row],[Age]]&gt;=60,"60s")</f>
        <v>40s</v>
      </c>
      <c r="G597" s="5">
        <v>43126</v>
      </c>
      <c r="H597" s="5">
        <v>44581</v>
      </c>
      <c r="I597" t="s">
        <v>12</v>
      </c>
      <c r="J597" t="s">
        <v>13</v>
      </c>
      <c r="K597" cm="1">
        <f t="array" aca="1" ref="K597" ca="1">_xlfn.IFS(EmployeeData[[#This Row],[Status]]="Active",_xlfn.DAYS(TODAY(),EmployeeData[[#This Row],[Join Date]]),EmployeeData[[#This Row],[Status]]="Exited",_xlfn.DAYS(EmployeeData[[#This Row],[Exit Date]],EmployeeData[[#This Row],[Join Date]]))</f>
        <v>1455</v>
      </c>
      <c r="L597" cm="1">
        <f t="array" aca="1" ref="L597" ca="1">_xlfn.IFS(EmployeeData[[#This Row],[Status]]="Exited",DATEDIF(EmployeeData[[#This Row],[Join Date]], EmployeeData[[#This Row],[Exit Date]], "Y"),EmployeeData[[#This Row],[Status]]="Active",DATEDIF(EmployeeData[[#This Row],[Join Date]], TODAY(), "Y"))</f>
        <v>3</v>
      </c>
      <c r="Q597" t="str" cm="1">
        <f t="array" aca="1" ref="Q5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25 days</v>
      </c>
    </row>
    <row r="598" spans="1:17" x14ac:dyDescent="0.3">
      <c r="A598">
        <v>1597</v>
      </c>
      <c r="B598" t="s">
        <v>473</v>
      </c>
      <c r="C598" t="s">
        <v>33</v>
      </c>
      <c r="D598" t="s">
        <v>16</v>
      </c>
      <c r="E598">
        <v>42</v>
      </c>
      <c r="F598" t="str" cm="1">
        <f t="array" ref="F598">_xlfn.IFS(EmployeeData[[#This Row],[Age]]&lt;30,"20s",EmployeeData[[#This Row],[Age]]&lt;40,"30s",EmployeeData[[#This Row],[Age]]&lt;50,"40s",EmployeeData[[#This Row],[Age]]&lt;60,"50s",EmployeeData[[#This Row],[Age]]&gt;=60,"60s")</f>
        <v>40s</v>
      </c>
      <c r="G598" s="5">
        <v>45855</v>
      </c>
      <c r="I598" t="s">
        <v>17</v>
      </c>
      <c r="J598" t="s">
        <v>18</v>
      </c>
      <c r="K598" cm="1">
        <f t="array" aca="1" ref="K598" ca="1">_xlfn.IFS(EmployeeData[[#This Row],[Status]]="Active",_xlfn.DAYS(TODAY(),EmployeeData[[#This Row],[Join Date]]),EmployeeData[[#This Row],[Status]]="Exited",_xlfn.DAYS(EmployeeData[[#This Row],[Exit Date]],EmployeeData[[#This Row],[Join Date]]))</f>
        <v>342</v>
      </c>
      <c r="L598" cm="1">
        <f t="array" aca="1" ref="L598" ca="1">_xlfn.IFS(EmployeeData[[#This Row],[Status]]="Exited",DATEDIF(EmployeeData[[#This Row],[Join Date]], EmployeeData[[#This Row],[Exit Date]], "Y"),EmployeeData[[#This Row],[Status]]="Active",DATEDIF(EmployeeData[[#This Row],[Join Date]], TODAY(), "Y"))</f>
        <v>0</v>
      </c>
      <c r="Q598" t="str" cm="1">
        <f t="array" aca="1" ref="Q5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7 days</v>
      </c>
    </row>
    <row r="599" spans="1:17" x14ac:dyDescent="0.3">
      <c r="A599">
        <v>1598</v>
      </c>
      <c r="B599" t="s">
        <v>160</v>
      </c>
      <c r="C599" t="s">
        <v>23</v>
      </c>
      <c r="D599" t="s">
        <v>24</v>
      </c>
      <c r="E599">
        <v>55</v>
      </c>
      <c r="F599" t="str" cm="1">
        <f t="array" ref="F599">_xlfn.IFS(EmployeeData[[#This Row],[Age]]&lt;30,"20s",EmployeeData[[#This Row],[Age]]&lt;40,"30s",EmployeeData[[#This Row],[Age]]&lt;50,"40s",EmployeeData[[#This Row],[Age]]&lt;60,"50s",EmployeeData[[#This Row],[Age]]&gt;=60,"60s")</f>
        <v>50s</v>
      </c>
      <c r="G599" s="5">
        <v>44473</v>
      </c>
      <c r="I599" t="s">
        <v>17</v>
      </c>
      <c r="J599" t="s">
        <v>18</v>
      </c>
      <c r="K599" cm="1">
        <f t="array" aca="1" ref="K599" ca="1">_xlfn.IFS(EmployeeData[[#This Row],[Status]]="Active",_xlfn.DAYS(TODAY(),EmployeeData[[#This Row],[Join Date]]),EmployeeData[[#This Row],[Status]]="Exited",_xlfn.DAYS(EmployeeData[[#This Row],[Exit Date]],EmployeeData[[#This Row],[Join Date]]))</f>
        <v>1724</v>
      </c>
      <c r="L599" cm="1">
        <f t="array" aca="1" ref="L599" ca="1">_xlfn.IFS(EmployeeData[[#This Row],[Status]]="Exited",DATEDIF(EmployeeData[[#This Row],[Join Date]], EmployeeData[[#This Row],[Exit Date]], "Y"),EmployeeData[[#This Row],[Status]]="Active",DATEDIF(EmployeeData[[#This Row],[Join Date]], TODAY(), "Y"))</f>
        <v>4</v>
      </c>
      <c r="Q599" t="str" cm="1">
        <f t="array" aca="1" ref="Q5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20 days</v>
      </c>
    </row>
    <row r="600" spans="1:17" x14ac:dyDescent="0.3">
      <c r="A600">
        <v>1599</v>
      </c>
      <c r="B600" t="s">
        <v>277</v>
      </c>
      <c r="C600" t="s">
        <v>23</v>
      </c>
      <c r="D600" t="s">
        <v>24</v>
      </c>
      <c r="E600">
        <v>56</v>
      </c>
      <c r="F600" t="str" cm="1">
        <f t="array" ref="F600">_xlfn.IFS(EmployeeData[[#This Row],[Age]]&lt;30,"20s",EmployeeData[[#This Row],[Age]]&lt;40,"30s",EmployeeData[[#This Row],[Age]]&lt;50,"40s",EmployeeData[[#This Row],[Age]]&lt;60,"50s",EmployeeData[[#This Row],[Age]]&gt;=60,"60s")</f>
        <v>50s</v>
      </c>
      <c r="G600" s="5">
        <v>45295</v>
      </c>
      <c r="H600" s="5">
        <v>45976</v>
      </c>
      <c r="I600" t="s">
        <v>34</v>
      </c>
      <c r="J600" t="s">
        <v>13</v>
      </c>
      <c r="K600" cm="1">
        <f t="array" aca="1" ref="K600" ca="1">_xlfn.IFS(EmployeeData[[#This Row],[Status]]="Active",_xlfn.DAYS(TODAY(),EmployeeData[[#This Row],[Join Date]]),EmployeeData[[#This Row],[Status]]="Exited",_xlfn.DAYS(EmployeeData[[#This Row],[Exit Date]],EmployeeData[[#This Row],[Join Date]]))</f>
        <v>681</v>
      </c>
      <c r="L600" cm="1">
        <f t="array" aca="1" ref="L600" ca="1">_xlfn.IFS(EmployeeData[[#This Row],[Status]]="Exited",DATEDIF(EmployeeData[[#This Row],[Join Date]], EmployeeData[[#This Row],[Exit Date]], "Y"),EmployeeData[[#This Row],[Status]]="Active",DATEDIF(EmployeeData[[#This Row],[Join Date]], TODAY(), "Y"))</f>
        <v>1</v>
      </c>
      <c r="Q600" t="str" cm="1">
        <f t="array" aca="1" ref="Q6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11 days</v>
      </c>
    </row>
    <row r="601" spans="1:17" x14ac:dyDescent="0.3">
      <c r="A601">
        <v>1600</v>
      </c>
      <c r="B601" t="s">
        <v>889</v>
      </c>
      <c r="C601" t="s">
        <v>10</v>
      </c>
      <c r="D601" t="s">
        <v>16</v>
      </c>
      <c r="E601">
        <v>45</v>
      </c>
      <c r="F601" t="str" cm="1">
        <f t="array" ref="F601">_xlfn.IFS(EmployeeData[[#This Row],[Age]]&lt;30,"20s",EmployeeData[[#This Row],[Age]]&lt;40,"30s",EmployeeData[[#This Row],[Age]]&lt;50,"40s",EmployeeData[[#This Row],[Age]]&lt;60,"50s",EmployeeData[[#This Row],[Age]]&gt;=60,"60s")</f>
        <v>40s</v>
      </c>
      <c r="G601" s="5">
        <v>45667</v>
      </c>
      <c r="I601" t="s">
        <v>17</v>
      </c>
      <c r="J601" t="s">
        <v>18</v>
      </c>
      <c r="K601" cm="1">
        <f t="array" aca="1" ref="K601" ca="1">_xlfn.IFS(EmployeeData[[#This Row],[Status]]="Active",_xlfn.DAYS(TODAY(),EmployeeData[[#This Row],[Join Date]]),EmployeeData[[#This Row],[Status]]="Exited",_xlfn.DAYS(EmployeeData[[#This Row],[Exit Date]],EmployeeData[[#This Row],[Join Date]]))</f>
        <v>530</v>
      </c>
      <c r="L601" cm="1">
        <f t="array" aca="1" ref="L601" ca="1">_xlfn.IFS(EmployeeData[[#This Row],[Status]]="Exited",DATEDIF(EmployeeData[[#This Row],[Join Date]], EmployeeData[[#This Row],[Exit Date]], "Y"),EmployeeData[[#This Row],[Status]]="Active",DATEDIF(EmployeeData[[#This Row],[Join Date]], TODAY(), "Y"))</f>
        <v>1</v>
      </c>
      <c r="Q601" t="str" cm="1">
        <f t="array" aca="1" ref="Q6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14 days</v>
      </c>
    </row>
    <row r="602" spans="1:17" x14ac:dyDescent="0.3">
      <c r="A602">
        <v>1601</v>
      </c>
      <c r="B602" t="s">
        <v>279</v>
      </c>
      <c r="C602" t="s">
        <v>15</v>
      </c>
      <c r="D602" t="s">
        <v>16</v>
      </c>
      <c r="E602">
        <v>40</v>
      </c>
      <c r="F602" t="str" cm="1">
        <f t="array" ref="F602">_xlfn.IFS(EmployeeData[[#This Row],[Age]]&lt;30,"20s",EmployeeData[[#This Row],[Age]]&lt;40,"30s",EmployeeData[[#This Row],[Age]]&lt;50,"40s",EmployeeData[[#This Row],[Age]]&lt;60,"50s",EmployeeData[[#This Row],[Age]]&gt;=60,"60s")</f>
        <v>40s</v>
      </c>
      <c r="G602" s="5">
        <v>45989</v>
      </c>
      <c r="I602" t="s">
        <v>17</v>
      </c>
      <c r="J602" t="s">
        <v>18</v>
      </c>
      <c r="K602" cm="1">
        <f t="array" aca="1" ref="K602" ca="1">_xlfn.IFS(EmployeeData[[#This Row],[Status]]="Active",_xlfn.DAYS(TODAY(),EmployeeData[[#This Row],[Join Date]]),EmployeeData[[#This Row],[Status]]="Exited",_xlfn.DAYS(EmployeeData[[#This Row],[Exit Date]],EmployeeData[[#This Row],[Join Date]]))</f>
        <v>208</v>
      </c>
      <c r="L602" cm="1">
        <f t="array" aca="1" ref="L602" ca="1">_xlfn.IFS(EmployeeData[[#This Row],[Status]]="Exited",DATEDIF(EmployeeData[[#This Row],[Join Date]], EmployeeData[[#This Row],[Exit Date]], "Y"),EmployeeData[[#This Row],[Status]]="Active",DATEDIF(EmployeeData[[#This Row],[Join Date]], TODAY(), "Y"))</f>
        <v>0</v>
      </c>
      <c r="Q602" t="str" cm="1">
        <f t="array" aca="1" ref="Q6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27 days</v>
      </c>
    </row>
    <row r="603" spans="1:17" x14ac:dyDescent="0.3">
      <c r="A603">
        <v>1602</v>
      </c>
      <c r="B603" t="s">
        <v>914</v>
      </c>
      <c r="C603" t="s">
        <v>33</v>
      </c>
      <c r="D603" t="s">
        <v>24</v>
      </c>
      <c r="E603">
        <v>40</v>
      </c>
      <c r="F603" t="str" cm="1">
        <f t="array" ref="F603">_xlfn.IFS(EmployeeData[[#This Row],[Age]]&lt;30,"20s",EmployeeData[[#This Row],[Age]]&lt;40,"30s",EmployeeData[[#This Row],[Age]]&lt;50,"40s",EmployeeData[[#This Row],[Age]]&lt;60,"50s",EmployeeData[[#This Row],[Age]]&gt;=60,"60s")</f>
        <v>40s</v>
      </c>
      <c r="G603" s="5">
        <v>43986</v>
      </c>
      <c r="I603" t="s">
        <v>17</v>
      </c>
      <c r="J603" t="s">
        <v>18</v>
      </c>
      <c r="K603" cm="1">
        <f t="array" aca="1" ref="K603" ca="1">_xlfn.IFS(EmployeeData[[#This Row],[Status]]="Active",_xlfn.DAYS(TODAY(),EmployeeData[[#This Row],[Join Date]]),EmployeeData[[#This Row],[Status]]="Exited",_xlfn.DAYS(EmployeeData[[#This Row],[Exit Date]],EmployeeData[[#This Row],[Join Date]]))</f>
        <v>2211</v>
      </c>
      <c r="L603" cm="1">
        <f t="array" aca="1" ref="L603" ca="1">_xlfn.IFS(EmployeeData[[#This Row],[Status]]="Exited",DATEDIF(EmployeeData[[#This Row],[Join Date]], EmployeeData[[#This Row],[Exit Date]], "Y"),EmployeeData[[#This Row],[Status]]="Active",DATEDIF(EmployeeData[[#This Row],[Join Date]], TODAY(), "Y"))</f>
        <v>6</v>
      </c>
      <c r="Q603" t="str" cm="1">
        <f t="array" aca="1" ref="Q6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20 days</v>
      </c>
    </row>
    <row r="604" spans="1:17" x14ac:dyDescent="0.3">
      <c r="A604">
        <v>1603</v>
      </c>
      <c r="B604" t="s">
        <v>62</v>
      </c>
      <c r="C604" t="s">
        <v>20</v>
      </c>
      <c r="D604" t="s">
        <v>11</v>
      </c>
      <c r="E604">
        <v>49</v>
      </c>
      <c r="F604" t="str" cm="1">
        <f t="array" ref="F604">_xlfn.IFS(EmployeeData[[#This Row],[Age]]&lt;30,"20s",EmployeeData[[#This Row],[Age]]&lt;40,"30s",EmployeeData[[#This Row],[Age]]&lt;50,"40s",EmployeeData[[#This Row],[Age]]&lt;60,"50s",EmployeeData[[#This Row],[Age]]&gt;=60,"60s")</f>
        <v>40s</v>
      </c>
      <c r="G604" s="5">
        <v>45173</v>
      </c>
      <c r="H604" s="5">
        <v>45757</v>
      </c>
      <c r="I604" t="s">
        <v>52</v>
      </c>
      <c r="J604" t="s">
        <v>13</v>
      </c>
      <c r="K604" cm="1">
        <f t="array" aca="1" ref="K604" ca="1">_xlfn.IFS(EmployeeData[[#This Row],[Status]]="Active",_xlfn.DAYS(TODAY(),EmployeeData[[#This Row],[Join Date]]),EmployeeData[[#This Row],[Status]]="Exited",_xlfn.DAYS(EmployeeData[[#This Row],[Exit Date]],EmployeeData[[#This Row],[Join Date]]))</f>
        <v>584</v>
      </c>
      <c r="L604" cm="1">
        <f t="array" aca="1" ref="L604" ca="1">_xlfn.IFS(EmployeeData[[#This Row],[Status]]="Exited",DATEDIF(EmployeeData[[#This Row],[Join Date]], EmployeeData[[#This Row],[Exit Date]], "Y"),EmployeeData[[#This Row],[Status]]="Active",DATEDIF(EmployeeData[[#This Row],[Join Date]], TODAY(), "Y"))</f>
        <v>1</v>
      </c>
      <c r="Q604" t="str" cm="1">
        <f t="array" aca="1" ref="Q6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6 days</v>
      </c>
    </row>
    <row r="605" spans="1:17" x14ac:dyDescent="0.3">
      <c r="A605">
        <v>1604</v>
      </c>
      <c r="B605" t="s">
        <v>428</v>
      </c>
      <c r="C605" t="s">
        <v>20</v>
      </c>
      <c r="D605" t="s">
        <v>24</v>
      </c>
      <c r="E605">
        <v>41</v>
      </c>
      <c r="F605" t="str" cm="1">
        <f t="array" ref="F605">_xlfn.IFS(EmployeeData[[#This Row],[Age]]&lt;30,"20s",EmployeeData[[#This Row],[Age]]&lt;40,"30s",EmployeeData[[#This Row],[Age]]&lt;50,"40s",EmployeeData[[#This Row],[Age]]&lt;60,"50s",EmployeeData[[#This Row],[Age]]&gt;=60,"60s")</f>
        <v>40s</v>
      </c>
      <c r="G605" s="5">
        <v>43687</v>
      </c>
      <c r="I605" t="s">
        <v>17</v>
      </c>
      <c r="J605" t="s">
        <v>18</v>
      </c>
      <c r="K605" cm="1">
        <f t="array" aca="1" ref="K605" ca="1">_xlfn.IFS(EmployeeData[[#This Row],[Status]]="Active",_xlfn.DAYS(TODAY(),EmployeeData[[#This Row],[Join Date]]),EmployeeData[[#This Row],[Status]]="Exited",_xlfn.DAYS(EmployeeData[[#This Row],[Exit Date]],EmployeeData[[#This Row],[Join Date]]))</f>
        <v>2510</v>
      </c>
      <c r="L605" cm="1">
        <f t="array" aca="1" ref="L605" ca="1">_xlfn.IFS(EmployeeData[[#This Row],[Status]]="Exited",DATEDIF(EmployeeData[[#This Row],[Join Date]], EmployeeData[[#This Row],[Exit Date]], "Y"),EmployeeData[[#This Row],[Status]]="Active",DATEDIF(EmployeeData[[#This Row],[Join Date]], TODAY(), "Y"))</f>
        <v>6</v>
      </c>
      <c r="Q605" t="str" cm="1">
        <f t="array" aca="1" ref="Q6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14 days</v>
      </c>
    </row>
    <row r="606" spans="1:17" x14ac:dyDescent="0.3">
      <c r="A606">
        <v>1605</v>
      </c>
      <c r="B606" t="s">
        <v>810</v>
      </c>
      <c r="C606" t="s">
        <v>15</v>
      </c>
      <c r="D606" t="s">
        <v>11</v>
      </c>
      <c r="E606">
        <v>50</v>
      </c>
      <c r="F606" t="str" cm="1">
        <f t="array" ref="F606">_xlfn.IFS(EmployeeData[[#This Row],[Age]]&lt;30,"20s",EmployeeData[[#This Row],[Age]]&lt;40,"30s",EmployeeData[[#This Row],[Age]]&lt;50,"40s",EmployeeData[[#This Row],[Age]]&lt;60,"50s",EmployeeData[[#This Row],[Age]]&gt;=60,"60s")</f>
        <v>50s</v>
      </c>
      <c r="G606" s="5">
        <v>44688</v>
      </c>
      <c r="I606" t="s">
        <v>17</v>
      </c>
      <c r="J606" t="s">
        <v>18</v>
      </c>
      <c r="K606" cm="1">
        <f t="array" aca="1" ref="K606" ca="1">_xlfn.IFS(EmployeeData[[#This Row],[Status]]="Active",_xlfn.DAYS(TODAY(),EmployeeData[[#This Row],[Join Date]]),EmployeeData[[#This Row],[Status]]="Exited",_xlfn.DAYS(EmployeeData[[#This Row],[Exit Date]],EmployeeData[[#This Row],[Join Date]]))</f>
        <v>1509</v>
      </c>
      <c r="L606" cm="1">
        <f t="array" aca="1" ref="L606" ca="1">_xlfn.IFS(EmployeeData[[#This Row],[Status]]="Exited",DATEDIF(EmployeeData[[#This Row],[Join Date]], EmployeeData[[#This Row],[Exit Date]], "Y"),EmployeeData[[#This Row],[Status]]="Active",DATEDIF(EmployeeData[[#This Row],[Join Date]], TODAY(), "Y"))</f>
        <v>4</v>
      </c>
      <c r="Q606" t="str" cm="1">
        <f t="array" aca="1" ref="Q6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17 days</v>
      </c>
    </row>
    <row r="607" spans="1:17" x14ac:dyDescent="0.3">
      <c r="A607">
        <v>1606</v>
      </c>
      <c r="B607" t="s">
        <v>49</v>
      </c>
      <c r="C607" t="s">
        <v>20</v>
      </c>
      <c r="D607" t="s">
        <v>24</v>
      </c>
      <c r="E607">
        <v>26</v>
      </c>
      <c r="F607" t="str" cm="1">
        <f t="array" ref="F607">_xlfn.IFS(EmployeeData[[#This Row],[Age]]&lt;30,"20s",EmployeeData[[#This Row],[Age]]&lt;40,"30s",EmployeeData[[#This Row],[Age]]&lt;50,"40s",EmployeeData[[#This Row],[Age]]&lt;60,"50s",EmployeeData[[#This Row],[Age]]&gt;=60,"60s")</f>
        <v>20s</v>
      </c>
      <c r="G607" s="5">
        <v>44466</v>
      </c>
      <c r="I607" t="s">
        <v>17</v>
      </c>
      <c r="J607" t="s">
        <v>18</v>
      </c>
      <c r="K607" cm="1">
        <f t="array" aca="1" ref="K607" ca="1">_xlfn.IFS(EmployeeData[[#This Row],[Status]]="Active",_xlfn.DAYS(TODAY(),EmployeeData[[#This Row],[Join Date]]),EmployeeData[[#This Row],[Status]]="Exited",_xlfn.DAYS(EmployeeData[[#This Row],[Exit Date]],EmployeeData[[#This Row],[Join Date]]))</f>
        <v>1731</v>
      </c>
      <c r="L607" cm="1">
        <f t="array" aca="1" ref="L607" ca="1">_xlfn.IFS(EmployeeData[[#This Row],[Status]]="Exited",DATEDIF(EmployeeData[[#This Row],[Join Date]], EmployeeData[[#This Row],[Exit Date]], "Y"),EmployeeData[[#This Row],[Status]]="Active",DATEDIF(EmployeeData[[#This Row],[Join Date]], TODAY(), "Y"))</f>
        <v>4</v>
      </c>
      <c r="Q607" t="str" cm="1">
        <f t="array" aca="1" ref="Q6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28 days</v>
      </c>
    </row>
    <row r="608" spans="1:17" x14ac:dyDescent="0.3">
      <c r="A608">
        <v>1607</v>
      </c>
      <c r="B608" t="s">
        <v>320</v>
      </c>
      <c r="C608" t="s">
        <v>15</v>
      </c>
      <c r="D608" t="s">
        <v>11</v>
      </c>
      <c r="E608">
        <v>60</v>
      </c>
      <c r="F608" t="str" cm="1">
        <f t="array" ref="F608">_xlfn.IFS(EmployeeData[[#This Row],[Age]]&lt;30,"20s",EmployeeData[[#This Row],[Age]]&lt;40,"30s",EmployeeData[[#This Row],[Age]]&lt;50,"40s",EmployeeData[[#This Row],[Age]]&lt;60,"50s",EmployeeData[[#This Row],[Age]]&gt;=60,"60s")</f>
        <v>60s</v>
      </c>
      <c r="G608" s="5">
        <v>44415</v>
      </c>
      <c r="H608" s="5">
        <v>45091</v>
      </c>
      <c r="I608" t="s">
        <v>26</v>
      </c>
      <c r="J608" t="s">
        <v>13</v>
      </c>
      <c r="K608" cm="1">
        <f t="array" aca="1" ref="K608" ca="1">_xlfn.IFS(EmployeeData[[#This Row],[Status]]="Active",_xlfn.DAYS(TODAY(),EmployeeData[[#This Row],[Join Date]]),EmployeeData[[#This Row],[Status]]="Exited",_xlfn.DAYS(EmployeeData[[#This Row],[Exit Date]],EmployeeData[[#This Row],[Join Date]]))</f>
        <v>676</v>
      </c>
      <c r="L608" cm="1">
        <f t="array" aca="1" ref="L608" ca="1">_xlfn.IFS(EmployeeData[[#This Row],[Status]]="Exited",DATEDIF(EmployeeData[[#This Row],[Join Date]], EmployeeData[[#This Row],[Exit Date]], "Y"),EmployeeData[[#This Row],[Status]]="Active",DATEDIF(EmployeeData[[#This Row],[Join Date]], TODAY(), "Y"))</f>
        <v>1</v>
      </c>
      <c r="Q608" t="str" cm="1">
        <f t="array" aca="1" ref="Q6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7 days</v>
      </c>
    </row>
    <row r="609" spans="1:17" x14ac:dyDescent="0.3">
      <c r="A609">
        <v>1608</v>
      </c>
      <c r="B609" t="s">
        <v>720</v>
      </c>
      <c r="C609" t="s">
        <v>15</v>
      </c>
      <c r="D609" t="s">
        <v>16</v>
      </c>
      <c r="E609">
        <v>56</v>
      </c>
      <c r="F609" t="str" cm="1">
        <f t="array" ref="F609">_xlfn.IFS(EmployeeData[[#This Row],[Age]]&lt;30,"20s",EmployeeData[[#This Row],[Age]]&lt;40,"30s",EmployeeData[[#This Row],[Age]]&lt;50,"40s",EmployeeData[[#This Row],[Age]]&lt;60,"50s",EmployeeData[[#This Row],[Age]]&gt;=60,"60s")</f>
        <v>50s</v>
      </c>
      <c r="G609" s="5">
        <v>45206</v>
      </c>
      <c r="H609" s="5">
        <v>45851</v>
      </c>
      <c r="I609" t="s">
        <v>12</v>
      </c>
      <c r="J609" t="s">
        <v>13</v>
      </c>
      <c r="K609" cm="1">
        <f t="array" aca="1" ref="K609" ca="1">_xlfn.IFS(EmployeeData[[#This Row],[Status]]="Active",_xlfn.DAYS(TODAY(),EmployeeData[[#This Row],[Join Date]]),EmployeeData[[#This Row],[Status]]="Exited",_xlfn.DAYS(EmployeeData[[#This Row],[Exit Date]],EmployeeData[[#This Row],[Join Date]]))</f>
        <v>645</v>
      </c>
      <c r="L609" cm="1">
        <f t="array" aca="1" ref="L609" ca="1">_xlfn.IFS(EmployeeData[[#This Row],[Status]]="Exited",DATEDIF(EmployeeData[[#This Row],[Join Date]], EmployeeData[[#This Row],[Exit Date]], "Y"),EmployeeData[[#This Row],[Status]]="Active",DATEDIF(EmployeeData[[#This Row],[Join Date]], TODAY(), "Y"))</f>
        <v>1</v>
      </c>
      <c r="Q609" t="str" cm="1">
        <f t="array" aca="1" ref="Q6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6 days</v>
      </c>
    </row>
    <row r="610" spans="1:17" x14ac:dyDescent="0.3">
      <c r="A610">
        <v>1609</v>
      </c>
      <c r="B610" t="s">
        <v>694</v>
      </c>
      <c r="C610" t="s">
        <v>23</v>
      </c>
      <c r="D610" t="s">
        <v>16</v>
      </c>
      <c r="E610">
        <v>40</v>
      </c>
      <c r="F610" t="str" cm="1">
        <f t="array" ref="F610">_xlfn.IFS(EmployeeData[[#This Row],[Age]]&lt;30,"20s",EmployeeData[[#This Row],[Age]]&lt;40,"30s",EmployeeData[[#This Row],[Age]]&lt;50,"40s",EmployeeData[[#This Row],[Age]]&lt;60,"50s",EmployeeData[[#This Row],[Age]]&gt;=60,"60s")</f>
        <v>40s</v>
      </c>
      <c r="G610" s="5">
        <v>45612</v>
      </c>
      <c r="I610" t="s">
        <v>17</v>
      </c>
      <c r="J610" t="s">
        <v>18</v>
      </c>
      <c r="K610" cm="1">
        <f t="array" aca="1" ref="K610" ca="1">_xlfn.IFS(EmployeeData[[#This Row],[Status]]="Active",_xlfn.DAYS(TODAY(),EmployeeData[[#This Row],[Join Date]]),EmployeeData[[#This Row],[Status]]="Exited",_xlfn.DAYS(EmployeeData[[#This Row],[Exit Date]],EmployeeData[[#This Row],[Join Date]]))</f>
        <v>585</v>
      </c>
      <c r="L610" cm="1">
        <f t="array" aca="1" ref="L610" ca="1">_xlfn.IFS(EmployeeData[[#This Row],[Status]]="Exited",DATEDIF(EmployeeData[[#This Row],[Join Date]], EmployeeData[[#This Row],[Exit Date]], "Y"),EmployeeData[[#This Row],[Status]]="Active",DATEDIF(EmployeeData[[#This Row],[Join Date]], TODAY(), "Y"))</f>
        <v>1</v>
      </c>
      <c r="Q610" t="str" cm="1">
        <f t="array" aca="1" ref="Q6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8 days</v>
      </c>
    </row>
    <row r="611" spans="1:17" x14ac:dyDescent="0.3">
      <c r="A611">
        <v>1610</v>
      </c>
      <c r="B611" t="s">
        <v>737</v>
      </c>
      <c r="C611" t="s">
        <v>23</v>
      </c>
      <c r="D611" t="s">
        <v>24</v>
      </c>
      <c r="E611">
        <v>27</v>
      </c>
      <c r="F611" t="str" cm="1">
        <f t="array" ref="F611">_xlfn.IFS(EmployeeData[[#This Row],[Age]]&lt;30,"20s",EmployeeData[[#This Row],[Age]]&lt;40,"30s",EmployeeData[[#This Row],[Age]]&lt;50,"40s",EmployeeData[[#This Row],[Age]]&lt;60,"50s",EmployeeData[[#This Row],[Age]]&gt;=60,"60s")</f>
        <v>20s</v>
      </c>
      <c r="G611" s="5">
        <v>44672</v>
      </c>
      <c r="H611" s="5">
        <v>45635</v>
      </c>
      <c r="I611" t="s">
        <v>12</v>
      </c>
      <c r="J611" t="s">
        <v>13</v>
      </c>
      <c r="K611" cm="1">
        <f t="array" aca="1" ref="K611" ca="1">_xlfn.IFS(EmployeeData[[#This Row],[Status]]="Active",_xlfn.DAYS(TODAY(),EmployeeData[[#This Row],[Join Date]]),EmployeeData[[#This Row],[Status]]="Exited",_xlfn.DAYS(EmployeeData[[#This Row],[Exit Date]],EmployeeData[[#This Row],[Join Date]]))</f>
        <v>963</v>
      </c>
      <c r="L611" cm="1">
        <f t="array" aca="1" ref="L611" ca="1">_xlfn.IFS(EmployeeData[[#This Row],[Status]]="Exited",DATEDIF(EmployeeData[[#This Row],[Join Date]], EmployeeData[[#This Row],[Exit Date]], "Y"),EmployeeData[[#This Row],[Status]]="Active",DATEDIF(EmployeeData[[#This Row],[Join Date]], TODAY(), "Y"))</f>
        <v>2</v>
      </c>
      <c r="Q611" t="str" cm="1">
        <f t="array" aca="1" ref="Q6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18 days</v>
      </c>
    </row>
    <row r="612" spans="1:17" x14ac:dyDescent="0.3">
      <c r="A612">
        <v>1611</v>
      </c>
      <c r="B612" t="s">
        <v>292</v>
      </c>
      <c r="C612" t="s">
        <v>20</v>
      </c>
      <c r="D612" t="s">
        <v>24</v>
      </c>
      <c r="E612">
        <v>43</v>
      </c>
      <c r="F612" t="str" cm="1">
        <f t="array" ref="F612">_xlfn.IFS(EmployeeData[[#This Row],[Age]]&lt;30,"20s",EmployeeData[[#This Row],[Age]]&lt;40,"30s",EmployeeData[[#This Row],[Age]]&lt;50,"40s",EmployeeData[[#This Row],[Age]]&lt;60,"50s",EmployeeData[[#This Row],[Age]]&gt;=60,"60s")</f>
        <v>40s</v>
      </c>
      <c r="G612" s="5">
        <v>44380</v>
      </c>
      <c r="H612" s="5">
        <v>44875</v>
      </c>
      <c r="I612" t="s">
        <v>34</v>
      </c>
      <c r="J612" t="s">
        <v>13</v>
      </c>
      <c r="K612" cm="1">
        <f t="array" aca="1" ref="K612" ca="1">_xlfn.IFS(EmployeeData[[#This Row],[Status]]="Active",_xlfn.DAYS(TODAY(),EmployeeData[[#This Row],[Join Date]]),EmployeeData[[#This Row],[Status]]="Exited",_xlfn.DAYS(EmployeeData[[#This Row],[Exit Date]],EmployeeData[[#This Row],[Join Date]]))</f>
        <v>495</v>
      </c>
      <c r="L612" cm="1">
        <f t="array" aca="1" ref="L612" ca="1">_xlfn.IFS(EmployeeData[[#This Row],[Status]]="Exited",DATEDIF(EmployeeData[[#This Row],[Join Date]], EmployeeData[[#This Row],[Exit Date]], "Y"),EmployeeData[[#This Row],[Status]]="Active",DATEDIF(EmployeeData[[#This Row],[Join Date]], TODAY(), "Y"))</f>
        <v>1</v>
      </c>
      <c r="Q612" t="str" cm="1">
        <f t="array" aca="1" ref="Q6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7 days</v>
      </c>
    </row>
    <row r="613" spans="1:17" x14ac:dyDescent="0.3">
      <c r="A613">
        <v>1612</v>
      </c>
      <c r="B613" t="s">
        <v>87</v>
      </c>
      <c r="C613" t="s">
        <v>20</v>
      </c>
      <c r="D613" t="s">
        <v>24</v>
      </c>
      <c r="E613">
        <v>29</v>
      </c>
      <c r="F613" t="str" cm="1">
        <f t="array" ref="F613">_xlfn.IFS(EmployeeData[[#This Row],[Age]]&lt;30,"20s",EmployeeData[[#This Row],[Age]]&lt;40,"30s",EmployeeData[[#This Row],[Age]]&lt;50,"40s",EmployeeData[[#This Row],[Age]]&lt;60,"50s",EmployeeData[[#This Row],[Age]]&gt;=60,"60s")</f>
        <v>20s</v>
      </c>
      <c r="G613" s="5">
        <v>43481</v>
      </c>
      <c r="I613" t="s">
        <v>17</v>
      </c>
      <c r="J613" t="s">
        <v>18</v>
      </c>
      <c r="K613" cm="1">
        <f t="array" aca="1" ref="K613" ca="1">_xlfn.IFS(EmployeeData[[#This Row],[Status]]="Active",_xlfn.DAYS(TODAY(),EmployeeData[[#This Row],[Join Date]]),EmployeeData[[#This Row],[Status]]="Exited",_xlfn.DAYS(EmployeeData[[#This Row],[Exit Date]],EmployeeData[[#This Row],[Join Date]]))</f>
        <v>2716</v>
      </c>
      <c r="L613" cm="1">
        <f t="array" aca="1" ref="L613" ca="1">_xlfn.IFS(EmployeeData[[#This Row],[Status]]="Exited",DATEDIF(EmployeeData[[#This Row],[Join Date]], EmployeeData[[#This Row],[Exit Date]], "Y"),EmployeeData[[#This Row],[Status]]="Active",DATEDIF(EmployeeData[[#This Row],[Join Date]], TODAY(), "Y"))</f>
        <v>7</v>
      </c>
      <c r="Q613" t="str" cm="1">
        <f t="array" aca="1" ref="Q6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8 days</v>
      </c>
    </row>
    <row r="614" spans="1:17" x14ac:dyDescent="0.3">
      <c r="A614">
        <v>1613</v>
      </c>
      <c r="B614" t="s">
        <v>392</v>
      </c>
      <c r="C614" t="s">
        <v>23</v>
      </c>
      <c r="D614" t="s">
        <v>11</v>
      </c>
      <c r="E614">
        <v>30</v>
      </c>
      <c r="F614" t="str" cm="1">
        <f t="array" ref="F614">_xlfn.IFS(EmployeeData[[#This Row],[Age]]&lt;30,"20s",EmployeeData[[#This Row],[Age]]&lt;40,"30s",EmployeeData[[#This Row],[Age]]&lt;50,"40s",EmployeeData[[#This Row],[Age]]&lt;60,"50s",EmployeeData[[#This Row],[Age]]&gt;=60,"60s")</f>
        <v>30s</v>
      </c>
      <c r="G614" s="5">
        <v>45627</v>
      </c>
      <c r="H614" s="5">
        <v>45903</v>
      </c>
      <c r="I614" t="s">
        <v>12</v>
      </c>
      <c r="J614" t="s">
        <v>13</v>
      </c>
      <c r="K614" cm="1">
        <f t="array" aca="1" ref="K614" ca="1">_xlfn.IFS(EmployeeData[[#This Row],[Status]]="Active",_xlfn.DAYS(TODAY(),EmployeeData[[#This Row],[Join Date]]),EmployeeData[[#This Row],[Status]]="Exited",_xlfn.DAYS(EmployeeData[[#This Row],[Exit Date]],EmployeeData[[#This Row],[Join Date]]))</f>
        <v>276</v>
      </c>
      <c r="L614" cm="1">
        <f t="array" aca="1" ref="L614" ca="1">_xlfn.IFS(EmployeeData[[#This Row],[Status]]="Exited",DATEDIF(EmployeeData[[#This Row],[Join Date]], EmployeeData[[#This Row],[Exit Date]], "Y"),EmployeeData[[#This Row],[Status]]="Active",DATEDIF(EmployeeData[[#This Row],[Join Date]], TODAY(), "Y"))</f>
        <v>0</v>
      </c>
      <c r="Q614" t="str" cm="1">
        <f t="array" aca="1" ref="Q6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 days</v>
      </c>
    </row>
    <row r="615" spans="1:17" x14ac:dyDescent="0.3">
      <c r="A615">
        <v>1614</v>
      </c>
      <c r="B615" t="s">
        <v>302</v>
      </c>
      <c r="C615" t="s">
        <v>15</v>
      </c>
      <c r="D615" t="s">
        <v>16</v>
      </c>
      <c r="E615">
        <v>51</v>
      </c>
      <c r="F615" t="str" cm="1">
        <f t="array" ref="F615">_xlfn.IFS(EmployeeData[[#This Row],[Age]]&lt;30,"20s",EmployeeData[[#This Row],[Age]]&lt;40,"30s",EmployeeData[[#This Row],[Age]]&lt;50,"40s",EmployeeData[[#This Row],[Age]]&lt;60,"50s",EmployeeData[[#This Row],[Age]]&gt;=60,"60s")</f>
        <v>50s</v>
      </c>
      <c r="G615" s="5">
        <v>44990</v>
      </c>
      <c r="I615" t="s">
        <v>17</v>
      </c>
      <c r="J615" t="s">
        <v>18</v>
      </c>
      <c r="K615" cm="1">
        <f t="array" aca="1" ref="K615" ca="1">_xlfn.IFS(EmployeeData[[#This Row],[Status]]="Active",_xlfn.DAYS(TODAY(),EmployeeData[[#This Row],[Join Date]]),EmployeeData[[#This Row],[Status]]="Exited",_xlfn.DAYS(EmployeeData[[#This Row],[Exit Date]],EmployeeData[[#This Row],[Join Date]]))</f>
        <v>1207</v>
      </c>
      <c r="L615" cm="1">
        <f t="array" aca="1" ref="L615" ca="1">_xlfn.IFS(EmployeeData[[#This Row],[Status]]="Exited",DATEDIF(EmployeeData[[#This Row],[Join Date]], EmployeeData[[#This Row],[Exit Date]], "Y"),EmployeeData[[#This Row],[Status]]="Active",DATEDIF(EmployeeData[[#This Row],[Join Date]], TODAY(), "Y"))</f>
        <v>3</v>
      </c>
      <c r="Q615" t="str" cm="1">
        <f t="array" aca="1" ref="Q6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19 days</v>
      </c>
    </row>
    <row r="616" spans="1:17" x14ac:dyDescent="0.3">
      <c r="A616">
        <v>1615</v>
      </c>
      <c r="B616" t="s">
        <v>669</v>
      </c>
      <c r="C616" t="s">
        <v>15</v>
      </c>
      <c r="D616" t="s">
        <v>16</v>
      </c>
      <c r="E616">
        <v>27</v>
      </c>
      <c r="F616" t="str" cm="1">
        <f t="array" ref="F616">_xlfn.IFS(EmployeeData[[#This Row],[Age]]&lt;30,"20s",EmployeeData[[#This Row],[Age]]&lt;40,"30s",EmployeeData[[#This Row],[Age]]&lt;50,"40s",EmployeeData[[#This Row],[Age]]&lt;60,"50s",EmployeeData[[#This Row],[Age]]&gt;=60,"60s")</f>
        <v>20s</v>
      </c>
      <c r="G616" s="5">
        <v>44435</v>
      </c>
      <c r="I616" t="s">
        <v>17</v>
      </c>
      <c r="J616" t="s">
        <v>18</v>
      </c>
      <c r="K616" cm="1">
        <f t="array" aca="1" ref="K616" ca="1">_xlfn.IFS(EmployeeData[[#This Row],[Status]]="Active",_xlfn.DAYS(TODAY(),EmployeeData[[#This Row],[Join Date]]),EmployeeData[[#This Row],[Status]]="Exited",_xlfn.DAYS(EmployeeData[[#This Row],[Exit Date]],EmployeeData[[#This Row],[Join Date]]))</f>
        <v>1762</v>
      </c>
      <c r="L616" cm="1">
        <f t="array" aca="1" ref="L616" ca="1">_xlfn.IFS(EmployeeData[[#This Row],[Status]]="Exited",DATEDIF(EmployeeData[[#This Row],[Join Date]], EmployeeData[[#This Row],[Exit Date]], "Y"),EmployeeData[[#This Row],[Status]]="Active",DATEDIF(EmployeeData[[#This Row],[Join Date]], TODAY(), "Y"))</f>
        <v>4</v>
      </c>
      <c r="Q616" t="str" cm="1">
        <f t="array" aca="1" ref="Q6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28 days</v>
      </c>
    </row>
    <row r="617" spans="1:17" x14ac:dyDescent="0.3">
      <c r="A617">
        <v>1616</v>
      </c>
      <c r="B617" t="s">
        <v>315</v>
      </c>
      <c r="C617" t="s">
        <v>23</v>
      </c>
      <c r="D617" t="s">
        <v>16</v>
      </c>
      <c r="E617">
        <v>36</v>
      </c>
      <c r="F617" t="str" cm="1">
        <f t="array" ref="F617">_xlfn.IFS(EmployeeData[[#This Row],[Age]]&lt;30,"20s",EmployeeData[[#This Row],[Age]]&lt;40,"30s",EmployeeData[[#This Row],[Age]]&lt;50,"40s",EmployeeData[[#This Row],[Age]]&lt;60,"50s",EmployeeData[[#This Row],[Age]]&gt;=60,"60s")</f>
        <v>30s</v>
      </c>
      <c r="G617" s="5">
        <v>45345</v>
      </c>
      <c r="H617" s="5">
        <v>45928</v>
      </c>
      <c r="I617" t="s">
        <v>12</v>
      </c>
      <c r="J617" t="s">
        <v>13</v>
      </c>
      <c r="K617" cm="1">
        <f t="array" aca="1" ref="K617" ca="1">_xlfn.IFS(EmployeeData[[#This Row],[Status]]="Active",_xlfn.DAYS(TODAY(),EmployeeData[[#This Row],[Join Date]]),EmployeeData[[#This Row],[Status]]="Exited",_xlfn.DAYS(EmployeeData[[#This Row],[Exit Date]],EmployeeData[[#This Row],[Join Date]]))</f>
        <v>583</v>
      </c>
      <c r="L617" cm="1">
        <f t="array" aca="1" ref="L617" ca="1">_xlfn.IFS(EmployeeData[[#This Row],[Status]]="Exited",DATEDIF(EmployeeData[[#This Row],[Join Date]], EmployeeData[[#This Row],[Exit Date]], "Y"),EmployeeData[[#This Row],[Status]]="Active",DATEDIF(EmployeeData[[#This Row],[Join Date]], TODAY(), "Y"))</f>
        <v>1</v>
      </c>
      <c r="Q617" t="str" cm="1">
        <f t="array" aca="1" ref="Q6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5 days</v>
      </c>
    </row>
    <row r="618" spans="1:17" x14ac:dyDescent="0.3">
      <c r="A618">
        <v>1617</v>
      </c>
      <c r="B618" t="s">
        <v>442</v>
      </c>
      <c r="C618" t="s">
        <v>23</v>
      </c>
      <c r="D618" t="s">
        <v>11</v>
      </c>
      <c r="E618">
        <v>48</v>
      </c>
      <c r="F618" t="str" cm="1">
        <f t="array" ref="F618">_xlfn.IFS(EmployeeData[[#This Row],[Age]]&lt;30,"20s",EmployeeData[[#This Row],[Age]]&lt;40,"30s",EmployeeData[[#This Row],[Age]]&lt;50,"40s",EmployeeData[[#This Row],[Age]]&lt;60,"50s",EmployeeData[[#This Row],[Age]]&gt;=60,"60s")</f>
        <v>40s</v>
      </c>
      <c r="G618" s="5">
        <v>45424</v>
      </c>
      <c r="I618" t="s">
        <v>17</v>
      </c>
      <c r="J618" t="s">
        <v>18</v>
      </c>
      <c r="K618" cm="1">
        <f t="array" aca="1" ref="K618" ca="1">_xlfn.IFS(EmployeeData[[#This Row],[Status]]="Active",_xlfn.DAYS(TODAY(),EmployeeData[[#This Row],[Join Date]]),EmployeeData[[#This Row],[Status]]="Exited",_xlfn.DAYS(EmployeeData[[#This Row],[Exit Date]],EmployeeData[[#This Row],[Join Date]]))</f>
        <v>773</v>
      </c>
      <c r="L618" cm="1">
        <f t="array" aca="1" ref="L618" ca="1">_xlfn.IFS(EmployeeData[[#This Row],[Status]]="Exited",DATEDIF(EmployeeData[[#This Row],[Join Date]], EmployeeData[[#This Row],[Exit Date]], "Y"),EmployeeData[[#This Row],[Status]]="Active",DATEDIF(EmployeeData[[#This Row],[Join Date]], TODAY(), "Y"))</f>
        <v>2</v>
      </c>
      <c r="Q618" t="str" cm="1">
        <f t="array" aca="1" ref="Q6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12 days</v>
      </c>
    </row>
    <row r="619" spans="1:17" x14ac:dyDescent="0.3">
      <c r="A619">
        <v>1618</v>
      </c>
      <c r="B619" t="s">
        <v>450</v>
      </c>
      <c r="C619" t="s">
        <v>20</v>
      </c>
      <c r="D619" t="s">
        <v>11</v>
      </c>
      <c r="E619">
        <v>52</v>
      </c>
      <c r="F619" t="str" cm="1">
        <f t="array" ref="F619">_xlfn.IFS(EmployeeData[[#This Row],[Age]]&lt;30,"20s",EmployeeData[[#This Row],[Age]]&lt;40,"30s",EmployeeData[[#This Row],[Age]]&lt;50,"40s",EmployeeData[[#This Row],[Age]]&lt;60,"50s",EmployeeData[[#This Row],[Age]]&gt;=60,"60s")</f>
        <v>50s</v>
      </c>
      <c r="G619" s="5">
        <v>43569</v>
      </c>
      <c r="I619" t="s">
        <v>17</v>
      </c>
      <c r="J619" t="s">
        <v>18</v>
      </c>
      <c r="K619" cm="1">
        <f t="array" aca="1" ref="K619" ca="1">_xlfn.IFS(EmployeeData[[#This Row],[Status]]="Active",_xlfn.DAYS(TODAY(),EmployeeData[[#This Row],[Join Date]]),EmployeeData[[#This Row],[Status]]="Exited",_xlfn.DAYS(EmployeeData[[#This Row],[Exit Date]],EmployeeData[[#This Row],[Join Date]]))</f>
        <v>2628</v>
      </c>
      <c r="L619" cm="1">
        <f t="array" aca="1" ref="L619" ca="1">_xlfn.IFS(EmployeeData[[#This Row],[Status]]="Exited",DATEDIF(EmployeeData[[#This Row],[Join Date]], EmployeeData[[#This Row],[Exit Date]], "Y"),EmployeeData[[#This Row],[Status]]="Active",DATEDIF(EmployeeData[[#This Row],[Join Date]], TODAY(), "Y"))</f>
        <v>7</v>
      </c>
      <c r="Q619" t="str" cm="1">
        <f t="array" aca="1" ref="Q6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2 months 10 days</v>
      </c>
    </row>
    <row r="620" spans="1:17" x14ac:dyDescent="0.3">
      <c r="A620">
        <v>1619</v>
      </c>
      <c r="B620" t="s">
        <v>72</v>
      </c>
      <c r="C620" t="s">
        <v>15</v>
      </c>
      <c r="D620" t="s">
        <v>11</v>
      </c>
      <c r="E620">
        <v>51</v>
      </c>
      <c r="F620" t="str" cm="1">
        <f t="array" ref="F620">_xlfn.IFS(EmployeeData[[#This Row],[Age]]&lt;30,"20s",EmployeeData[[#This Row],[Age]]&lt;40,"30s",EmployeeData[[#This Row],[Age]]&lt;50,"40s",EmployeeData[[#This Row],[Age]]&lt;60,"50s",EmployeeData[[#This Row],[Age]]&gt;=60,"60s")</f>
        <v>50s</v>
      </c>
      <c r="G620" s="5">
        <v>45551</v>
      </c>
      <c r="H620" s="5">
        <v>46029</v>
      </c>
      <c r="I620" t="s">
        <v>26</v>
      </c>
      <c r="J620" t="s">
        <v>13</v>
      </c>
      <c r="K620" cm="1">
        <f t="array" aca="1" ref="K620" ca="1">_xlfn.IFS(EmployeeData[[#This Row],[Status]]="Active",_xlfn.DAYS(TODAY(),EmployeeData[[#This Row],[Join Date]]),EmployeeData[[#This Row],[Status]]="Exited",_xlfn.DAYS(EmployeeData[[#This Row],[Exit Date]],EmployeeData[[#This Row],[Join Date]]))</f>
        <v>478</v>
      </c>
      <c r="L620" cm="1">
        <f t="array" aca="1" ref="L620" ca="1">_xlfn.IFS(EmployeeData[[#This Row],[Status]]="Exited",DATEDIF(EmployeeData[[#This Row],[Join Date]], EmployeeData[[#This Row],[Exit Date]], "Y"),EmployeeData[[#This Row],[Status]]="Active",DATEDIF(EmployeeData[[#This Row],[Join Date]], TODAY(), "Y"))</f>
        <v>1</v>
      </c>
      <c r="Q620" t="str" cm="1">
        <f t="array" aca="1" ref="Q6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22 days</v>
      </c>
    </row>
    <row r="621" spans="1:17" x14ac:dyDescent="0.3">
      <c r="A621">
        <v>1620</v>
      </c>
      <c r="B621" t="s">
        <v>265</v>
      </c>
      <c r="C621" t="s">
        <v>33</v>
      </c>
      <c r="D621" t="s">
        <v>11</v>
      </c>
      <c r="E621">
        <v>21</v>
      </c>
      <c r="F621" t="str" cm="1">
        <f t="array" ref="F621">_xlfn.IFS(EmployeeData[[#This Row],[Age]]&lt;30,"20s",EmployeeData[[#This Row],[Age]]&lt;40,"30s",EmployeeData[[#This Row],[Age]]&lt;50,"40s",EmployeeData[[#This Row],[Age]]&lt;60,"50s",EmployeeData[[#This Row],[Age]]&gt;=60,"60s")</f>
        <v>20s</v>
      </c>
      <c r="G621" s="5">
        <v>43701</v>
      </c>
      <c r="I621" t="s">
        <v>17</v>
      </c>
      <c r="J621" t="s">
        <v>18</v>
      </c>
      <c r="K621" cm="1">
        <f t="array" aca="1" ref="K621" ca="1">_xlfn.IFS(EmployeeData[[#This Row],[Status]]="Active",_xlfn.DAYS(TODAY(),EmployeeData[[#This Row],[Join Date]]),EmployeeData[[#This Row],[Status]]="Exited",_xlfn.DAYS(EmployeeData[[#This Row],[Exit Date]],EmployeeData[[#This Row],[Join Date]]))</f>
        <v>2496</v>
      </c>
      <c r="L621" cm="1">
        <f t="array" aca="1" ref="L621" ca="1">_xlfn.IFS(EmployeeData[[#This Row],[Status]]="Exited",DATEDIF(EmployeeData[[#This Row],[Join Date]], EmployeeData[[#This Row],[Exit Date]], "Y"),EmployeeData[[#This Row],[Status]]="Active",DATEDIF(EmployeeData[[#This Row],[Join Date]], TODAY(), "Y"))</f>
        <v>6</v>
      </c>
      <c r="Q621" t="str" cm="1">
        <f t="array" aca="1" ref="Q6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0 days</v>
      </c>
    </row>
    <row r="622" spans="1:17" x14ac:dyDescent="0.3">
      <c r="A622">
        <v>1621</v>
      </c>
      <c r="B622" t="s">
        <v>1016</v>
      </c>
      <c r="C622" t="s">
        <v>15</v>
      </c>
      <c r="D622" t="s">
        <v>11</v>
      </c>
      <c r="E622">
        <v>41</v>
      </c>
      <c r="F622" t="str" cm="1">
        <f t="array" ref="F622">_xlfn.IFS(EmployeeData[[#This Row],[Age]]&lt;30,"20s",EmployeeData[[#This Row],[Age]]&lt;40,"30s",EmployeeData[[#This Row],[Age]]&lt;50,"40s",EmployeeData[[#This Row],[Age]]&lt;60,"50s",EmployeeData[[#This Row],[Age]]&gt;=60,"60s")</f>
        <v>40s</v>
      </c>
      <c r="G622" s="5">
        <v>44328</v>
      </c>
      <c r="I622" t="s">
        <v>17</v>
      </c>
      <c r="J622" t="s">
        <v>18</v>
      </c>
      <c r="K622" cm="1">
        <f t="array" aca="1" ref="K622" ca="1">_xlfn.IFS(EmployeeData[[#This Row],[Status]]="Active",_xlfn.DAYS(TODAY(),EmployeeData[[#This Row],[Join Date]]),EmployeeData[[#This Row],[Status]]="Exited",_xlfn.DAYS(EmployeeData[[#This Row],[Exit Date]],EmployeeData[[#This Row],[Join Date]]))</f>
        <v>1869</v>
      </c>
      <c r="L622" cm="1">
        <f t="array" aca="1" ref="L622" ca="1">_xlfn.IFS(EmployeeData[[#This Row],[Status]]="Exited",DATEDIF(EmployeeData[[#This Row],[Join Date]], EmployeeData[[#This Row],[Exit Date]], "Y"),EmployeeData[[#This Row],[Status]]="Active",DATEDIF(EmployeeData[[#This Row],[Join Date]], TODAY(), "Y"))</f>
        <v>5</v>
      </c>
      <c r="Q622" t="str" cm="1">
        <f t="array" aca="1" ref="Q6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12 days</v>
      </c>
    </row>
    <row r="623" spans="1:17" x14ac:dyDescent="0.3">
      <c r="A623">
        <v>1622</v>
      </c>
      <c r="B623" t="s">
        <v>1052</v>
      </c>
      <c r="C623" t="s">
        <v>46</v>
      </c>
      <c r="D623" t="s">
        <v>11</v>
      </c>
      <c r="E623">
        <v>58</v>
      </c>
      <c r="F623" t="str" cm="1">
        <f t="array" ref="F623">_xlfn.IFS(EmployeeData[[#This Row],[Age]]&lt;30,"20s",EmployeeData[[#This Row],[Age]]&lt;40,"30s",EmployeeData[[#This Row],[Age]]&lt;50,"40s",EmployeeData[[#This Row],[Age]]&lt;60,"50s",EmployeeData[[#This Row],[Age]]&gt;=60,"60s")</f>
        <v>50s</v>
      </c>
      <c r="G623" s="5">
        <v>43134</v>
      </c>
      <c r="I623" t="s">
        <v>17</v>
      </c>
      <c r="J623" t="s">
        <v>18</v>
      </c>
      <c r="K623" cm="1">
        <f t="array" aca="1" ref="K623" ca="1">_xlfn.IFS(EmployeeData[[#This Row],[Status]]="Active",_xlfn.DAYS(TODAY(),EmployeeData[[#This Row],[Join Date]]),EmployeeData[[#This Row],[Status]]="Exited",_xlfn.DAYS(EmployeeData[[#This Row],[Exit Date]],EmployeeData[[#This Row],[Join Date]]))</f>
        <v>3063</v>
      </c>
      <c r="L623" cm="1">
        <f t="array" aca="1" ref="L623" ca="1">_xlfn.IFS(EmployeeData[[#This Row],[Status]]="Exited",DATEDIF(EmployeeData[[#This Row],[Join Date]], EmployeeData[[#This Row],[Exit Date]], "Y"),EmployeeData[[#This Row],[Status]]="Active",DATEDIF(EmployeeData[[#This Row],[Join Date]], TODAY(), "Y"))</f>
        <v>8</v>
      </c>
      <c r="Q623" t="str" cm="1">
        <f t="array" aca="1" ref="Q6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4 months 21 days</v>
      </c>
    </row>
    <row r="624" spans="1:17" x14ac:dyDescent="0.3">
      <c r="A624">
        <v>1623</v>
      </c>
      <c r="B624" t="s">
        <v>877</v>
      </c>
      <c r="C624" t="s">
        <v>33</v>
      </c>
      <c r="D624" t="s">
        <v>16</v>
      </c>
      <c r="E624">
        <v>56</v>
      </c>
      <c r="F624" t="str" cm="1">
        <f t="array" ref="F624">_xlfn.IFS(EmployeeData[[#This Row],[Age]]&lt;30,"20s",EmployeeData[[#This Row],[Age]]&lt;40,"30s",EmployeeData[[#This Row],[Age]]&lt;50,"40s",EmployeeData[[#This Row],[Age]]&lt;60,"50s",EmployeeData[[#This Row],[Age]]&gt;=60,"60s")</f>
        <v>50s</v>
      </c>
      <c r="G624" s="5">
        <v>43318</v>
      </c>
      <c r="H624" s="5">
        <v>44879</v>
      </c>
      <c r="I624" t="s">
        <v>31</v>
      </c>
      <c r="J624" t="s">
        <v>13</v>
      </c>
      <c r="K624" cm="1">
        <f t="array" aca="1" ref="K624" ca="1">_xlfn.IFS(EmployeeData[[#This Row],[Status]]="Active",_xlfn.DAYS(TODAY(),EmployeeData[[#This Row],[Join Date]]),EmployeeData[[#This Row],[Status]]="Exited",_xlfn.DAYS(EmployeeData[[#This Row],[Exit Date]],EmployeeData[[#This Row],[Join Date]]))</f>
        <v>1561</v>
      </c>
      <c r="L624" cm="1">
        <f t="array" aca="1" ref="L624" ca="1">_xlfn.IFS(EmployeeData[[#This Row],[Status]]="Exited",DATEDIF(EmployeeData[[#This Row],[Join Date]], EmployeeData[[#This Row],[Exit Date]], "Y"),EmployeeData[[#This Row],[Status]]="Active",DATEDIF(EmployeeData[[#This Row],[Join Date]], TODAY(), "Y"))</f>
        <v>4</v>
      </c>
      <c r="Q624" t="str" cm="1">
        <f t="array" aca="1" ref="Q6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8 days</v>
      </c>
    </row>
    <row r="625" spans="1:17" x14ac:dyDescent="0.3">
      <c r="A625">
        <v>1624</v>
      </c>
      <c r="B625" t="s">
        <v>339</v>
      </c>
      <c r="C625" t="s">
        <v>23</v>
      </c>
      <c r="D625" t="s">
        <v>11</v>
      </c>
      <c r="E625">
        <v>46</v>
      </c>
      <c r="F625" t="str" cm="1">
        <f t="array" ref="F625">_xlfn.IFS(EmployeeData[[#This Row],[Age]]&lt;30,"20s",EmployeeData[[#This Row],[Age]]&lt;40,"30s",EmployeeData[[#This Row],[Age]]&lt;50,"40s",EmployeeData[[#This Row],[Age]]&lt;60,"50s",EmployeeData[[#This Row],[Age]]&gt;=60,"60s")</f>
        <v>40s</v>
      </c>
      <c r="G625" s="5">
        <v>44663</v>
      </c>
      <c r="I625" t="s">
        <v>17</v>
      </c>
      <c r="J625" t="s">
        <v>18</v>
      </c>
      <c r="K625" cm="1">
        <f t="array" aca="1" ref="K625" ca="1">_xlfn.IFS(EmployeeData[[#This Row],[Status]]="Active",_xlfn.DAYS(TODAY(),EmployeeData[[#This Row],[Join Date]]),EmployeeData[[#This Row],[Status]]="Exited",_xlfn.DAYS(EmployeeData[[#This Row],[Exit Date]],EmployeeData[[#This Row],[Join Date]]))</f>
        <v>1534</v>
      </c>
      <c r="L625" cm="1">
        <f t="array" aca="1" ref="L625" ca="1">_xlfn.IFS(EmployeeData[[#This Row],[Status]]="Exited",DATEDIF(EmployeeData[[#This Row],[Join Date]], EmployeeData[[#This Row],[Exit Date]], "Y"),EmployeeData[[#This Row],[Status]]="Active",DATEDIF(EmployeeData[[#This Row],[Join Date]], TODAY(), "Y"))</f>
        <v>4</v>
      </c>
      <c r="Q625" t="str" cm="1">
        <f t="array" aca="1" ref="Q6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12 days</v>
      </c>
    </row>
    <row r="626" spans="1:17" x14ac:dyDescent="0.3">
      <c r="A626">
        <v>1625</v>
      </c>
      <c r="B626" t="s">
        <v>869</v>
      </c>
      <c r="C626" t="s">
        <v>15</v>
      </c>
      <c r="D626" t="s">
        <v>24</v>
      </c>
      <c r="E626">
        <v>44</v>
      </c>
      <c r="F626" t="str" cm="1">
        <f t="array" ref="F626">_xlfn.IFS(EmployeeData[[#This Row],[Age]]&lt;30,"20s",EmployeeData[[#This Row],[Age]]&lt;40,"30s",EmployeeData[[#This Row],[Age]]&lt;50,"40s",EmployeeData[[#This Row],[Age]]&lt;60,"50s",EmployeeData[[#This Row],[Age]]&gt;=60,"60s")</f>
        <v>40s</v>
      </c>
      <c r="G626" s="5">
        <v>44809</v>
      </c>
      <c r="H626" s="5">
        <v>45156</v>
      </c>
      <c r="I626" t="s">
        <v>31</v>
      </c>
      <c r="J626" t="s">
        <v>13</v>
      </c>
      <c r="K626" cm="1">
        <f t="array" aca="1" ref="K626" ca="1">_xlfn.IFS(EmployeeData[[#This Row],[Status]]="Active",_xlfn.DAYS(TODAY(),EmployeeData[[#This Row],[Join Date]]),EmployeeData[[#This Row],[Status]]="Exited",_xlfn.DAYS(EmployeeData[[#This Row],[Exit Date]],EmployeeData[[#This Row],[Join Date]]))</f>
        <v>347</v>
      </c>
      <c r="L626" cm="1">
        <f t="array" aca="1" ref="L626" ca="1">_xlfn.IFS(EmployeeData[[#This Row],[Status]]="Exited",DATEDIF(EmployeeData[[#This Row],[Join Date]], EmployeeData[[#This Row],[Exit Date]], "Y"),EmployeeData[[#This Row],[Status]]="Active",DATEDIF(EmployeeData[[#This Row],[Join Date]], TODAY(), "Y"))</f>
        <v>0</v>
      </c>
      <c r="Q626" t="str" cm="1">
        <f t="array" aca="1" ref="Q6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13 days</v>
      </c>
    </row>
    <row r="627" spans="1:17" x14ac:dyDescent="0.3">
      <c r="A627">
        <v>1626</v>
      </c>
      <c r="B627" t="s">
        <v>420</v>
      </c>
      <c r="C627" t="s">
        <v>20</v>
      </c>
      <c r="D627" t="s">
        <v>11</v>
      </c>
      <c r="E627">
        <v>29</v>
      </c>
      <c r="F627" t="str" cm="1">
        <f t="array" ref="F627">_xlfn.IFS(EmployeeData[[#This Row],[Age]]&lt;30,"20s",EmployeeData[[#This Row],[Age]]&lt;40,"30s",EmployeeData[[#This Row],[Age]]&lt;50,"40s",EmployeeData[[#This Row],[Age]]&lt;60,"50s",EmployeeData[[#This Row],[Age]]&gt;=60,"60s")</f>
        <v>20s</v>
      </c>
      <c r="G627" s="5">
        <v>43447</v>
      </c>
      <c r="H627" s="5">
        <v>45240</v>
      </c>
      <c r="I627" t="s">
        <v>52</v>
      </c>
      <c r="J627" t="s">
        <v>13</v>
      </c>
      <c r="K627" cm="1">
        <f t="array" aca="1" ref="K627" ca="1">_xlfn.IFS(EmployeeData[[#This Row],[Status]]="Active",_xlfn.DAYS(TODAY(),EmployeeData[[#This Row],[Join Date]]),EmployeeData[[#This Row],[Status]]="Exited",_xlfn.DAYS(EmployeeData[[#This Row],[Exit Date]],EmployeeData[[#This Row],[Join Date]]))</f>
        <v>1793</v>
      </c>
      <c r="L627" cm="1">
        <f t="array" aca="1" ref="L627" ca="1">_xlfn.IFS(EmployeeData[[#This Row],[Status]]="Exited",DATEDIF(EmployeeData[[#This Row],[Join Date]], EmployeeData[[#This Row],[Exit Date]], "Y"),EmployeeData[[#This Row],[Status]]="Active",DATEDIF(EmployeeData[[#This Row],[Join Date]], TODAY(), "Y"))</f>
        <v>4</v>
      </c>
      <c r="Q627" t="str" cm="1">
        <f t="array" aca="1" ref="Q6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28 days</v>
      </c>
    </row>
    <row r="628" spans="1:17" x14ac:dyDescent="0.3">
      <c r="A628">
        <v>1627</v>
      </c>
      <c r="B628" t="s">
        <v>1065</v>
      </c>
      <c r="C628" t="s">
        <v>10</v>
      </c>
      <c r="D628" t="s">
        <v>24</v>
      </c>
      <c r="E628">
        <v>49</v>
      </c>
      <c r="F628" t="str" cm="1">
        <f t="array" ref="F628">_xlfn.IFS(EmployeeData[[#This Row],[Age]]&lt;30,"20s",EmployeeData[[#This Row],[Age]]&lt;40,"30s",EmployeeData[[#This Row],[Age]]&lt;50,"40s",EmployeeData[[#This Row],[Age]]&lt;60,"50s",EmployeeData[[#This Row],[Age]]&gt;=60,"60s")</f>
        <v>40s</v>
      </c>
      <c r="G628" s="5">
        <v>44676</v>
      </c>
      <c r="H628" s="5">
        <v>45146</v>
      </c>
      <c r="I628" t="s">
        <v>12</v>
      </c>
      <c r="J628" t="s">
        <v>13</v>
      </c>
      <c r="K628" cm="1">
        <f t="array" aca="1" ref="K628" ca="1">_xlfn.IFS(EmployeeData[[#This Row],[Status]]="Active",_xlfn.DAYS(TODAY(),EmployeeData[[#This Row],[Join Date]]),EmployeeData[[#This Row],[Status]]="Exited",_xlfn.DAYS(EmployeeData[[#This Row],[Exit Date]],EmployeeData[[#This Row],[Join Date]]))</f>
        <v>470</v>
      </c>
      <c r="L628" cm="1">
        <f t="array" aca="1" ref="L628" ca="1">_xlfn.IFS(EmployeeData[[#This Row],[Status]]="Exited",DATEDIF(EmployeeData[[#This Row],[Join Date]], EmployeeData[[#This Row],[Exit Date]], "Y"),EmployeeData[[#This Row],[Status]]="Active",DATEDIF(EmployeeData[[#This Row],[Join Date]], TODAY(), "Y"))</f>
        <v>1</v>
      </c>
      <c r="Q628" t="str" cm="1">
        <f t="array" aca="1" ref="Q6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14 days</v>
      </c>
    </row>
    <row r="629" spans="1:17" x14ac:dyDescent="0.3">
      <c r="A629">
        <v>1628</v>
      </c>
      <c r="B629" t="s">
        <v>626</v>
      </c>
      <c r="C629" t="s">
        <v>20</v>
      </c>
      <c r="D629" t="s">
        <v>16</v>
      </c>
      <c r="E629">
        <v>55</v>
      </c>
      <c r="F629" t="str" cm="1">
        <f t="array" ref="F629">_xlfn.IFS(EmployeeData[[#This Row],[Age]]&lt;30,"20s",EmployeeData[[#This Row],[Age]]&lt;40,"30s",EmployeeData[[#This Row],[Age]]&lt;50,"40s",EmployeeData[[#This Row],[Age]]&lt;60,"50s",EmployeeData[[#This Row],[Age]]&gt;=60,"60s")</f>
        <v>50s</v>
      </c>
      <c r="G629" s="5">
        <v>45461</v>
      </c>
      <c r="H629" s="5">
        <v>45589</v>
      </c>
      <c r="I629" t="s">
        <v>65</v>
      </c>
      <c r="J629" t="s">
        <v>13</v>
      </c>
      <c r="K629" cm="1">
        <f t="array" aca="1" ref="K629" ca="1">_xlfn.IFS(EmployeeData[[#This Row],[Status]]="Active",_xlfn.DAYS(TODAY(),EmployeeData[[#This Row],[Join Date]]),EmployeeData[[#This Row],[Status]]="Exited",_xlfn.DAYS(EmployeeData[[#This Row],[Exit Date]],EmployeeData[[#This Row],[Join Date]]))</f>
        <v>128</v>
      </c>
      <c r="L629" cm="1">
        <f t="array" aca="1" ref="L629" ca="1">_xlfn.IFS(EmployeeData[[#This Row],[Status]]="Exited",DATEDIF(EmployeeData[[#This Row],[Join Date]], EmployeeData[[#This Row],[Exit Date]], "Y"),EmployeeData[[#This Row],[Status]]="Active",DATEDIF(EmployeeData[[#This Row],[Join Date]], TODAY(), "Y"))</f>
        <v>0</v>
      </c>
      <c r="Q629" t="str" cm="1">
        <f t="array" aca="1" ref="Q6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6 days</v>
      </c>
    </row>
    <row r="630" spans="1:17" x14ac:dyDescent="0.3">
      <c r="A630">
        <v>1629</v>
      </c>
      <c r="B630" t="s">
        <v>443</v>
      </c>
      <c r="C630" t="s">
        <v>15</v>
      </c>
      <c r="D630" t="s">
        <v>11</v>
      </c>
      <c r="E630">
        <v>38</v>
      </c>
      <c r="F630" t="str" cm="1">
        <f t="array" ref="F630">_xlfn.IFS(EmployeeData[[#This Row],[Age]]&lt;30,"20s",EmployeeData[[#This Row],[Age]]&lt;40,"30s",EmployeeData[[#This Row],[Age]]&lt;50,"40s",EmployeeData[[#This Row],[Age]]&lt;60,"50s",EmployeeData[[#This Row],[Age]]&gt;=60,"60s")</f>
        <v>30s</v>
      </c>
      <c r="G630" s="5">
        <v>45005</v>
      </c>
      <c r="I630" t="s">
        <v>17</v>
      </c>
      <c r="J630" t="s">
        <v>18</v>
      </c>
      <c r="K630" cm="1">
        <f t="array" aca="1" ref="K630" ca="1">_xlfn.IFS(EmployeeData[[#This Row],[Status]]="Active",_xlfn.DAYS(TODAY(),EmployeeData[[#This Row],[Join Date]]),EmployeeData[[#This Row],[Status]]="Exited",_xlfn.DAYS(EmployeeData[[#This Row],[Exit Date]],EmployeeData[[#This Row],[Join Date]]))</f>
        <v>1192</v>
      </c>
      <c r="L630" cm="1">
        <f t="array" aca="1" ref="L630" ca="1">_xlfn.IFS(EmployeeData[[#This Row],[Status]]="Exited",DATEDIF(EmployeeData[[#This Row],[Join Date]], EmployeeData[[#This Row],[Exit Date]], "Y"),EmployeeData[[#This Row],[Status]]="Active",DATEDIF(EmployeeData[[#This Row],[Join Date]], TODAY(), "Y"))</f>
        <v>3</v>
      </c>
      <c r="Q630" t="str" cm="1">
        <f t="array" aca="1" ref="Q6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4 days</v>
      </c>
    </row>
    <row r="631" spans="1:17" x14ac:dyDescent="0.3">
      <c r="A631">
        <v>1630</v>
      </c>
      <c r="B631" t="s">
        <v>990</v>
      </c>
      <c r="C631" t="s">
        <v>23</v>
      </c>
      <c r="D631" t="s">
        <v>24</v>
      </c>
      <c r="E631">
        <v>25</v>
      </c>
      <c r="F631" t="str" cm="1">
        <f t="array" ref="F631">_xlfn.IFS(EmployeeData[[#This Row],[Age]]&lt;30,"20s",EmployeeData[[#This Row],[Age]]&lt;40,"30s",EmployeeData[[#This Row],[Age]]&lt;50,"40s",EmployeeData[[#This Row],[Age]]&lt;60,"50s",EmployeeData[[#This Row],[Age]]&gt;=60,"60s")</f>
        <v>20s</v>
      </c>
      <c r="G631" s="5">
        <v>45902</v>
      </c>
      <c r="I631" t="s">
        <v>17</v>
      </c>
      <c r="J631" t="s">
        <v>18</v>
      </c>
      <c r="K631" cm="1">
        <f t="array" aca="1" ref="K631" ca="1">_xlfn.IFS(EmployeeData[[#This Row],[Status]]="Active",_xlfn.DAYS(TODAY(),EmployeeData[[#This Row],[Join Date]]),EmployeeData[[#This Row],[Status]]="Exited",_xlfn.DAYS(EmployeeData[[#This Row],[Exit Date]],EmployeeData[[#This Row],[Join Date]]))</f>
        <v>295</v>
      </c>
      <c r="L631" cm="1">
        <f t="array" aca="1" ref="L631" ca="1">_xlfn.IFS(EmployeeData[[#This Row],[Status]]="Exited",DATEDIF(EmployeeData[[#This Row],[Join Date]], EmployeeData[[#This Row],[Exit Date]], "Y"),EmployeeData[[#This Row],[Status]]="Active",DATEDIF(EmployeeData[[#This Row],[Join Date]], TODAY(), "Y"))</f>
        <v>0</v>
      </c>
      <c r="Q631" t="str" cm="1">
        <f t="array" aca="1" ref="Q6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22 days</v>
      </c>
    </row>
    <row r="632" spans="1:17" x14ac:dyDescent="0.3">
      <c r="A632">
        <v>1631</v>
      </c>
      <c r="B632" t="s">
        <v>82</v>
      </c>
      <c r="C632" t="s">
        <v>46</v>
      </c>
      <c r="D632" t="s">
        <v>24</v>
      </c>
      <c r="E632">
        <v>21</v>
      </c>
      <c r="F632" t="str" cm="1">
        <f t="array" ref="F632">_xlfn.IFS(EmployeeData[[#This Row],[Age]]&lt;30,"20s",EmployeeData[[#This Row],[Age]]&lt;40,"30s",EmployeeData[[#This Row],[Age]]&lt;50,"40s",EmployeeData[[#This Row],[Age]]&lt;60,"50s",EmployeeData[[#This Row],[Age]]&gt;=60,"60s")</f>
        <v>20s</v>
      </c>
      <c r="G632" s="5">
        <v>45021</v>
      </c>
      <c r="I632" t="s">
        <v>17</v>
      </c>
      <c r="J632" t="s">
        <v>18</v>
      </c>
      <c r="K632" cm="1">
        <f t="array" aca="1" ref="K632" ca="1">_xlfn.IFS(EmployeeData[[#This Row],[Status]]="Active",_xlfn.DAYS(TODAY(),EmployeeData[[#This Row],[Join Date]]),EmployeeData[[#This Row],[Status]]="Exited",_xlfn.DAYS(EmployeeData[[#This Row],[Exit Date]],EmployeeData[[#This Row],[Join Date]]))</f>
        <v>1176</v>
      </c>
      <c r="L632" cm="1">
        <f t="array" aca="1" ref="L632" ca="1">_xlfn.IFS(EmployeeData[[#This Row],[Status]]="Exited",DATEDIF(EmployeeData[[#This Row],[Join Date]], EmployeeData[[#This Row],[Exit Date]], "Y"),EmployeeData[[#This Row],[Status]]="Active",DATEDIF(EmployeeData[[#This Row],[Join Date]], TODAY(), "Y"))</f>
        <v>3</v>
      </c>
      <c r="Q632" t="str" cm="1">
        <f t="array" aca="1" ref="Q6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19 days</v>
      </c>
    </row>
    <row r="633" spans="1:17" x14ac:dyDescent="0.3">
      <c r="A633">
        <v>1632</v>
      </c>
      <c r="B633" t="s">
        <v>951</v>
      </c>
      <c r="C633" t="s">
        <v>10</v>
      </c>
      <c r="D633" t="s">
        <v>11</v>
      </c>
      <c r="E633">
        <v>39</v>
      </c>
      <c r="F633" t="str" cm="1">
        <f t="array" ref="F633">_xlfn.IFS(EmployeeData[[#This Row],[Age]]&lt;30,"20s",EmployeeData[[#This Row],[Age]]&lt;40,"30s",EmployeeData[[#This Row],[Age]]&lt;50,"40s",EmployeeData[[#This Row],[Age]]&lt;60,"50s",EmployeeData[[#This Row],[Age]]&gt;=60,"60s")</f>
        <v>30s</v>
      </c>
      <c r="G633" s="5">
        <v>44285</v>
      </c>
      <c r="H633" s="5">
        <v>45798</v>
      </c>
      <c r="I633" t="s">
        <v>21</v>
      </c>
      <c r="J633" t="s">
        <v>13</v>
      </c>
      <c r="K633" cm="1">
        <f t="array" aca="1" ref="K633" ca="1">_xlfn.IFS(EmployeeData[[#This Row],[Status]]="Active",_xlfn.DAYS(TODAY(),EmployeeData[[#This Row],[Join Date]]),EmployeeData[[#This Row],[Status]]="Exited",_xlfn.DAYS(EmployeeData[[#This Row],[Exit Date]],EmployeeData[[#This Row],[Join Date]]))</f>
        <v>1513</v>
      </c>
      <c r="L633" cm="1">
        <f t="array" aca="1" ref="L633" ca="1">_xlfn.IFS(EmployeeData[[#This Row],[Status]]="Exited",DATEDIF(EmployeeData[[#This Row],[Join Date]], EmployeeData[[#This Row],[Exit Date]], "Y"),EmployeeData[[#This Row],[Status]]="Active",DATEDIF(EmployeeData[[#This Row],[Join Date]], TODAY(), "Y"))</f>
        <v>4</v>
      </c>
      <c r="Q633" t="str" cm="1">
        <f t="array" aca="1" ref="Q6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21 days</v>
      </c>
    </row>
    <row r="634" spans="1:17" x14ac:dyDescent="0.3">
      <c r="A634">
        <v>1633</v>
      </c>
      <c r="B634" t="s">
        <v>666</v>
      </c>
      <c r="C634" t="s">
        <v>10</v>
      </c>
      <c r="D634" t="s">
        <v>24</v>
      </c>
      <c r="E634">
        <v>58</v>
      </c>
      <c r="F634" t="str" cm="1">
        <f t="array" ref="F634">_xlfn.IFS(EmployeeData[[#This Row],[Age]]&lt;30,"20s",EmployeeData[[#This Row],[Age]]&lt;40,"30s",EmployeeData[[#This Row],[Age]]&lt;50,"40s",EmployeeData[[#This Row],[Age]]&lt;60,"50s",EmployeeData[[#This Row],[Age]]&gt;=60,"60s")</f>
        <v>50s</v>
      </c>
      <c r="G634" s="5">
        <v>43793</v>
      </c>
      <c r="I634" t="s">
        <v>17</v>
      </c>
      <c r="J634" t="s">
        <v>18</v>
      </c>
      <c r="K634" cm="1">
        <f t="array" aca="1" ref="K634" ca="1">_xlfn.IFS(EmployeeData[[#This Row],[Status]]="Active",_xlfn.DAYS(TODAY(),EmployeeData[[#This Row],[Join Date]]),EmployeeData[[#This Row],[Status]]="Exited",_xlfn.DAYS(EmployeeData[[#This Row],[Exit Date]],EmployeeData[[#This Row],[Join Date]]))</f>
        <v>2404</v>
      </c>
      <c r="L634" cm="1">
        <f t="array" aca="1" ref="L634" ca="1">_xlfn.IFS(EmployeeData[[#This Row],[Status]]="Exited",DATEDIF(EmployeeData[[#This Row],[Join Date]], EmployeeData[[#This Row],[Exit Date]], "Y"),EmployeeData[[#This Row],[Status]]="Active",DATEDIF(EmployeeData[[#This Row],[Join Date]], TODAY(), "Y"))</f>
        <v>6</v>
      </c>
      <c r="Q634" t="str" cm="1">
        <f t="array" aca="1" ref="Q6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0 days</v>
      </c>
    </row>
    <row r="635" spans="1:17" x14ac:dyDescent="0.3">
      <c r="A635">
        <v>1634</v>
      </c>
      <c r="B635" t="s">
        <v>782</v>
      </c>
      <c r="C635" t="s">
        <v>10</v>
      </c>
      <c r="D635" t="s">
        <v>16</v>
      </c>
      <c r="E635">
        <v>53</v>
      </c>
      <c r="F635" t="str" cm="1">
        <f t="array" ref="F635">_xlfn.IFS(EmployeeData[[#This Row],[Age]]&lt;30,"20s",EmployeeData[[#This Row],[Age]]&lt;40,"30s",EmployeeData[[#This Row],[Age]]&lt;50,"40s",EmployeeData[[#This Row],[Age]]&lt;60,"50s",EmployeeData[[#This Row],[Age]]&gt;=60,"60s")</f>
        <v>50s</v>
      </c>
      <c r="G635" s="5">
        <v>43415</v>
      </c>
      <c r="I635" t="s">
        <v>17</v>
      </c>
      <c r="J635" t="s">
        <v>18</v>
      </c>
      <c r="K635" cm="1">
        <f t="array" aca="1" ref="K635" ca="1">_xlfn.IFS(EmployeeData[[#This Row],[Status]]="Active",_xlfn.DAYS(TODAY(),EmployeeData[[#This Row],[Join Date]]),EmployeeData[[#This Row],[Status]]="Exited",_xlfn.DAYS(EmployeeData[[#This Row],[Exit Date]],EmployeeData[[#This Row],[Join Date]]))</f>
        <v>2782</v>
      </c>
      <c r="L635" cm="1">
        <f t="array" aca="1" ref="L635" ca="1">_xlfn.IFS(EmployeeData[[#This Row],[Status]]="Exited",DATEDIF(EmployeeData[[#This Row],[Join Date]], EmployeeData[[#This Row],[Exit Date]], "Y"),EmployeeData[[#This Row],[Status]]="Active",DATEDIF(EmployeeData[[#This Row],[Join Date]], TODAY(), "Y"))</f>
        <v>7</v>
      </c>
      <c r="Q635" t="str" cm="1">
        <f t="array" aca="1" ref="Q6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13 days</v>
      </c>
    </row>
    <row r="636" spans="1:17" x14ac:dyDescent="0.3">
      <c r="A636">
        <v>1635</v>
      </c>
      <c r="B636" t="s">
        <v>1053</v>
      </c>
      <c r="C636" t="s">
        <v>10</v>
      </c>
      <c r="D636" t="s">
        <v>16</v>
      </c>
      <c r="E636">
        <v>28</v>
      </c>
      <c r="F636" t="str" cm="1">
        <f t="array" ref="F636">_xlfn.IFS(EmployeeData[[#This Row],[Age]]&lt;30,"20s",EmployeeData[[#This Row],[Age]]&lt;40,"30s",EmployeeData[[#This Row],[Age]]&lt;50,"40s",EmployeeData[[#This Row],[Age]]&lt;60,"50s",EmployeeData[[#This Row],[Age]]&gt;=60,"60s")</f>
        <v>20s</v>
      </c>
      <c r="G636" s="5">
        <v>45574</v>
      </c>
      <c r="H636" s="5">
        <v>45818</v>
      </c>
      <c r="I636" t="s">
        <v>28</v>
      </c>
      <c r="J636" t="s">
        <v>13</v>
      </c>
      <c r="K636" cm="1">
        <f t="array" aca="1" ref="K636" ca="1">_xlfn.IFS(EmployeeData[[#This Row],[Status]]="Active",_xlfn.DAYS(TODAY(),EmployeeData[[#This Row],[Join Date]]),EmployeeData[[#This Row],[Status]]="Exited",_xlfn.DAYS(EmployeeData[[#This Row],[Exit Date]],EmployeeData[[#This Row],[Join Date]]))</f>
        <v>244</v>
      </c>
      <c r="L636" cm="1">
        <f t="array" aca="1" ref="L636" ca="1">_xlfn.IFS(EmployeeData[[#This Row],[Status]]="Exited",DATEDIF(EmployeeData[[#This Row],[Join Date]], EmployeeData[[#This Row],[Exit Date]], "Y"),EmployeeData[[#This Row],[Status]]="Active",DATEDIF(EmployeeData[[#This Row],[Join Date]], TODAY(), "Y"))</f>
        <v>0</v>
      </c>
      <c r="Q636" t="str" cm="1">
        <f t="array" aca="1" ref="Q6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 days</v>
      </c>
    </row>
    <row r="637" spans="1:17" x14ac:dyDescent="0.3">
      <c r="A637">
        <v>1636</v>
      </c>
      <c r="B637" t="s">
        <v>674</v>
      </c>
      <c r="C637" t="s">
        <v>23</v>
      </c>
      <c r="D637" t="s">
        <v>11</v>
      </c>
      <c r="E637">
        <v>23</v>
      </c>
      <c r="F637" t="str" cm="1">
        <f t="array" ref="F637">_xlfn.IFS(EmployeeData[[#This Row],[Age]]&lt;30,"20s",EmployeeData[[#This Row],[Age]]&lt;40,"30s",EmployeeData[[#This Row],[Age]]&lt;50,"40s",EmployeeData[[#This Row],[Age]]&lt;60,"50s",EmployeeData[[#This Row],[Age]]&gt;=60,"60s")</f>
        <v>20s</v>
      </c>
      <c r="G637" s="5">
        <v>44505</v>
      </c>
      <c r="I637" t="s">
        <v>17</v>
      </c>
      <c r="J637" t="s">
        <v>18</v>
      </c>
      <c r="K637" cm="1">
        <f t="array" aca="1" ref="K637" ca="1">_xlfn.IFS(EmployeeData[[#This Row],[Status]]="Active",_xlfn.DAYS(TODAY(),EmployeeData[[#This Row],[Join Date]]),EmployeeData[[#This Row],[Status]]="Exited",_xlfn.DAYS(EmployeeData[[#This Row],[Exit Date]],EmployeeData[[#This Row],[Join Date]]))</f>
        <v>1692</v>
      </c>
      <c r="L637" cm="1">
        <f t="array" aca="1" ref="L637" ca="1">_xlfn.IFS(EmployeeData[[#This Row],[Status]]="Exited",DATEDIF(EmployeeData[[#This Row],[Join Date]], EmployeeData[[#This Row],[Exit Date]], "Y"),EmployeeData[[#This Row],[Status]]="Active",DATEDIF(EmployeeData[[#This Row],[Join Date]], TODAY(), "Y"))</f>
        <v>4</v>
      </c>
      <c r="Q637" t="str" cm="1">
        <f t="array" aca="1" ref="Q6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19 days</v>
      </c>
    </row>
    <row r="638" spans="1:17" x14ac:dyDescent="0.3">
      <c r="A638">
        <v>1637</v>
      </c>
      <c r="B638" t="s">
        <v>183</v>
      </c>
      <c r="C638" t="s">
        <v>15</v>
      </c>
      <c r="D638" t="s">
        <v>24</v>
      </c>
      <c r="E638">
        <v>47</v>
      </c>
      <c r="F638" t="str" cm="1">
        <f t="array" ref="F638">_xlfn.IFS(EmployeeData[[#This Row],[Age]]&lt;30,"20s",EmployeeData[[#This Row],[Age]]&lt;40,"30s",EmployeeData[[#This Row],[Age]]&lt;50,"40s",EmployeeData[[#This Row],[Age]]&lt;60,"50s",EmployeeData[[#This Row],[Age]]&gt;=60,"60s")</f>
        <v>40s</v>
      </c>
      <c r="G638" s="5">
        <v>44670</v>
      </c>
      <c r="H638" s="5">
        <v>45661</v>
      </c>
      <c r="I638" t="s">
        <v>34</v>
      </c>
      <c r="J638" t="s">
        <v>13</v>
      </c>
      <c r="K638" cm="1">
        <f t="array" aca="1" ref="K638" ca="1">_xlfn.IFS(EmployeeData[[#This Row],[Status]]="Active",_xlfn.DAYS(TODAY(),EmployeeData[[#This Row],[Join Date]]),EmployeeData[[#This Row],[Status]]="Exited",_xlfn.DAYS(EmployeeData[[#This Row],[Exit Date]],EmployeeData[[#This Row],[Join Date]]))</f>
        <v>991</v>
      </c>
      <c r="L638" cm="1">
        <f t="array" aca="1" ref="L638" ca="1">_xlfn.IFS(EmployeeData[[#This Row],[Status]]="Exited",DATEDIF(EmployeeData[[#This Row],[Join Date]], EmployeeData[[#This Row],[Exit Date]], "Y"),EmployeeData[[#This Row],[Status]]="Active",DATEDIF(EmployeeData[[#This Row],[Join Date]], TODAY(), "Y"))</f>
        <v>2</v>
      </c>
      <c r="Q638" t="str" cm="1">
        <f t="array" aca="1" ref="Q6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16 days</v>
      </c>
    </row>
    <row r="639" spans="1:17" x14ac:dyDescent="0.3">
      <c r="A639">
        <v>1638</v>
      </c>
      <c r="B639" t="s">
        <v>291</v>
      </c>
      <c r="C639" t="s">
        <v>15</v>
      </c>
      <c r="D639" t="s">
        <v>16</v>
      </c>
      <c r="E639">
        <v>28</v>
      </c>
      <c r="F639" t="str" cm="1">
        <f t="array" ref="F639">_xlfn.IFS(EmployeeData[[#This Row],[Age]]&lt;30,"20s",EmployeeData[[#This Row],[Age]]&lt;40,"30s",EmployeeData[[#This Row],[Age]]&lt;50,"40s",EmployeeData[[#This Row],[Age]]&lt;60,"50s",EmployeeData[[#This Row],[Age]]&gt;=60,"60s")</f>
        <v>20s</v>
      </c>
      <c r="G639" s="5">
        <v>43316</v>
      </c>
      <c r="H639" s="5">
        <v>45039</v>
      </c>
      <c r="I639" t="s">
        <v>12</v>
      </c>
      <c r="J639" t="s">
        <v>13</v>
      </c>
      <c r="K639" cm="1">
        <f t="array" aca="1" ref="K639" ca="1">_xlfn.IFS(EmployeeData[[#This Row],[Status]]="Active",_xlfn.DAYS(TODAY(),EmployeeData[[#This Row],[Join Date]]),EmployeeData[[#This Row],[Status]]="Exited",_xlfn.DAYS(EmployeeData[[#This Row],[Exit Date]],EmployeeData[[#This Row],[Join Date]]))</f>
        <v>1723</v>
      </c>
      <c r="L639" cm="1">
        <f t="array" aca="1" ref="L639" ca="1">_xlfn.IFS(EmployeeData[[#This Row],[Status]]="Exited",DATEDIF(EmployeeData[[#This Row],[Join Date]], EmployeeData[[#This Row],[Exit Date]], "Y"),EmployeeData[[#This Row],[Status]]="Active",DATEDIF(EmployeeData[[#This Row],[Join Date]], TODAY(), "Y"))</f>
        <v>4</v>
      </c>
      <c r="Q639" t="str" cm="1">
        <f t="array" aca="1" ref="Q6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19 days</v>
      </c>
    </row>
    <row r="640" spans="1:17" x14ac:dyDescent="0.3">
      <c r="A640">
        <v>1639</v>
      </c>
      <c r="B640" t="s">
        <v>382</v>
      </c>
      <c r="C640" t="s">
        <v>46</v>
      </c>
      <c r="D640" t="s">
        <v>16</v>
      </c>
      <c r="E640">
        <v>45</v>
      </c>
      <c r="F640" t="str" cm="1">
        <f t="array" ref="F640">_xlfn.IFS(EmployeeData[[#This Row],[Age]]&lt;30,"20s",EmployeeData[[#This Row],[Age]]&lt;40,"30s",EmployeeData[[#This Row],[Age]]&lt;50,"40s",EmployeeData[[#This Row],[Age]]&lt;60,"50s",EmployeeData[[#This Row],[Age]]&gt;=60,"60s")</f>
        <v>40s</v>
      </c>
      <c r="G640" s="5">
        <v>45044</v>
      </c>
      <c r="H640" s="5">
        <v>46024</v>
      </c>
      <c r="I640" t="s">
        <v>31</v>
      </c>
      <c r="J640" t="s">
        <v>13</v>
      </c>
      <c r="K640" cm="1">
        <f t="array" aca="1" ref="K640" ca="1">_xlfn.IFS(EmployeeData[[#This Row],[Status]]="Active",_xlfn.DAYS(TODAY(),EmployeeData[[#This Row],[Join Date]]),EmployeeData[[#This Row],[Status]]="Exited",_xlfn.DAYS(EmployeeData[[#This Row],[Exit Date]],EmployeeData[[#This Row],[Join Date]]))</f>
        <v>980</v>
      </c>
      <c r="L640" cm="1">
        <f t="array" aca="1" ref="L640" ca="1">_xlfn.IFS(EmployeeData[[#This Row],[Status]]="Exited",DATEDIF(EmployeeData[[#This Row],[Join Date]], EmployeeData[[#This Row],[Exit Date]], "Y"),EmployeeData[[#This Row],[Status]]="Active",DATEDIF(EmployeeData[[#This Row],[Join Date]], TODAY(), "Y"))</f>
        <v>2</v>
      </c>
      <c r="Q640" t="str" cm="1">
        <f t="array" aca="1" ref="Q6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8 months 5 days</v>
      </c>
    </row>
    <row r="641" spans="1:17" x14ac:dyDescent="0.3">
      <c r="A641">
        <v>1640</v>
      </c>
      <c r="B641" t="s">
        <v>571</v>
      </c>
      <c r="C641" t="s">
        <v>46</v>
      </c>
      <c r="D641" t="s">
        <v>11</v>
      </c>
      <c r="E641">
        <v>23</v>
      </c>
      <c r="F641" t="str" cm="1">
        <f t="array" ref="F641">_xlfn.IFS(EmployeeData[[#This Row],[Age]]&lt;30,"20s",EmployeeData[[#This Row],[Age]]&lt;40,"30s",EmployeeData[[#This Row],[Age]]&lt;50,"40s",EmployeeData[[#This Row],[Age]]&lt;60,"50s",EmployeeData[[#This Row],[Age]]&gt;=60,"60s")</f>
        <v>20s</v>
      </c>
      <c r="G641" s="5">
        <v>43499</v>
      </c>
      <c r="I641" t="s">
        <v>17</v>
      </c>
      <c r="J641" t="s">
        <v>18</v>
      </c>
      <c r="K641" cm="1">
        <f t="array" aca="1" ref="K641" ca="1">_xlfn.IFS(EmployeeData[[#This Row],[Status]]="Active",_xlfn.DAYS(TODAY(),EmployeeData[[#This Row],[Join Date]]),EmployeeData[[#This Row],[Status]]="Exited",_xlfn.DAYS(EmployeeData[[#This Row],[Exit Date]],EmployeeData[[#This Row],[Join Date]]))</f>
        <v>2698</v>
      </c>
      <c r="L641" cm="1">
        <f t="array" aca="1" ref="L641" ca="1">_xlfn.IFS(EmployeeData[[#This Row],[Status]]="Exited",DATEDIF(EmployeeData[[#This Row],[Join Date]], EmployeeData[[#This Row],[Exit Date]], "Y"),EmployeeData[[#This Row],[Status]]="Active",DATEDIF(EmployeeData[[#This Row],[Join Date]], TODAY(), "Y"))</f>
        <v>7</v>
      </c>
      <c r="Q641" t="str" cm="1">
        <f t="array" aca="1" ref="Q6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21 days</v>
      </c>
    </row>
    <row r="642" spans="1:17" x14ac:dyDescent="0.3">
      <c r="A642">
        <v>1641</v>
      </c>
      <c r="B642" t="s">
        <v>997</v>
      </c>
      <c r="C642" t="s">
        <v>20</v>
      </c>
      <c r="D642" t="s">
        <v>16</v>
      </c>
      <c r="E642">
        <v>38</v>
      </c>
      <c r="F642" t="str" cm="1">
        <f t="array" ref="F642">_xlfn.IFS(EmployeeData[[#This Row],[Age]]&lt;30,"20s",EmployeeData[[#This Row],[Age]]&lt;40,"30s",EmployeeData[[#This Row],[Age]]&lt;50,"40s",EmployeeData[[#This Row],[Age]]&lt;60,"50s",EmployeeData[[#This Row],[Age]]&gt;=60,"60s")</f>
        <v>30s</v>
      </c>
      <c r="G642" s="5">
        <v>44194</v>
      </c>
      <c r="I642" t="s">
        <v>17</v>
      </c>
      <c r="J642" t="s">
        <v>18</v>
      </c>
      <c r="K642" cm="1">
        <f t="array" aca="1" ref="K642" ca="1">_xlfn.IFS(EmployeeData[[#This Row],[Status]]="Active",_xlfn.DAYS(TODAY(),EmployeeData[[#This Row],[Join Date]]),EmployeeData[[#This Row],[Status]]="Exited",_xlfn.DAYS(EmployeeData[[#This Row],[Exit Date]],EmployeeData[[#This Row],[Join Date]]))</f>
        <v>2003</v>
      </c>
      <c r="L642" cm="1">
        <f t="array" aca="1" ref="L642" ca="1">_xlfn.IFS(EmployeeData[[#This Row],[Status]]="Exited",DATEDIF(EmployeeData[[#This Row],[Join Date]], EmployeeData[[#This Row],[Exit Date]], "Y"),EmployeeData[[#This Row],[Status]]="Active",DATEDIF(EmployeeData[[#This Row],[Join Date]], TODAY(), "Y"))</f>
        <v>5</v>
      </c>
      <c r="Q642" t="str" cm="1">
        <f t="array" aca="1" ref="Q6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26 days</v>
      </c>
    </row>
    <row r="643" spans="1:17" x14ac:dyDescent="0.3">
      <c r="A643">
        <v>1642</v>
      </c>
      <c r="B643" t="s">
        <v>1098</v>
      </c>
      <c r="C643" t="s">
        <v>20</v>
      </c>
      <c r="D643" t="s">
        <v>11</v>
      </c>
      <c r="E643">
        <v>58</v>
      </c>
      <c r="F643" t="str" cm="1">
        <f t="array" ref="F643">_xlfn.IFS(EmployeeData[[#This Row],[Age]]&lt;30,"20s",EmployeeData[[#This Row],[Age]]&lt;40,"30s",EmployeeData[[#This Row],[Age]]&lt;50,"40s",EmployeeData[[#This Row],[Age]]&lt;60,"50s",EmployeeData[[#This Row],[Age]]&gt;=60,"60s")</f>
        <v>50s</v>
      </c>
      <c r="G643" s="5">
        <v>43899</v>
      </c>
      <c r="I643" t="s">
        <v>17</v>
      </c>
      <c r="J643" t="s">
        <v>18</v>
      </c>
      <c r="K643" cm="1">
        <f t="array" aca="1" ref="K643" ca="1">_xlfn.IFS(EmployeeData[[#This Row],[Status]]="Active",_xlfn.DAYS(TODAY(),EmployeeData[[#This Row],[Join Date]]),EmployeeData[[#This Row],[Status]]="Exited",_xlfn.DAYS(EmployeeData[[#This Row],[Exit Date]],EmployeeData[[#This Row],[Join Date]]))</f>
        <v>2298</v>
      </c>
      <c r="L643" cm="1">
        <f t="array" aca="1" ref="L643" ca="1">_xlfn.IFS(EmployeeData[[#This Row],[Status]]="Exited",DATEDIF(EmployeeData[[#This Row],[Join Date]], EmployeeData[[#This Row],[Exit Date]], "Y"),EmployeeData[[#This Row],[Status]]="Active",DATEDIF(EmployeeData[[#This Row],[Join Date]], TODAY(), "Y"))</f>
        <v>6</v>
      </c>
      <c r="Q643" t="str" cm="1">
        <f t="array" aca="1" ref="Q6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3 months 15 days</v>
      </c>
    </row>
    <row r="644" spans="1:17" x14ac:dyDescent="0.3">
      <c r="A644">
        <v>1643</v>
      </c>
      <c r="B644" t="s">
        <v>747</v>
      </c>
      <c r="C644" t="s">
        <v>33</v>
      </c>
      <c r="D644" t="s">
        <v>16</v>
      </c>
      <c r="E644">
        <v>27</v>
      </c>
      <c r="F644" t="str" cm="1">
        <f t="array" ref="F644">_xlfn.IFS(EmployeeData[[#This Row],[Age]]&lt;30,"20s",EmployeeData[[#This Row],[Age]]&lt;40,"30s",EmployeeData[[#This Row],[Age]]&lt;50,"40s",EmployeeData[[#This Row],[Age]]&lt;60,"50s",EmployeeData[[#This Row],[Age]]&gt;=60,"60s")</f>
        <v>20s</v>
      </c>
      <c r="G644" s="5">
        <v>45252</v>
      </c>
      <c r="H644" s="5">
        <v>45798</v>
      </c>
      <c r="I644" t="s">
        <v>12</v>
      </c>
      <c r="J644" t="s">
        <v>13</v>
      </c>
      <c r="K644" cm="1">
        <f t="array" aca="1" ref="K644" ca="1">_xlfn.IFS(EmployeeData[[#This Row],[Status]]="Active",_xlfn.DAYS(TODAY(),EmployeeData[[#This Row],[Join Date]]),EmployeeData[[#This Row],[Status]]="Exited",_xlfn.DAYS(EmployeeData[[#This Row],[Exit Date]],EmployeeData[[#This Row],[Join Date]]))</f>
        <v>546</v>
      </c>
      <c r="L644" cm="1">
        <f t="array" aca="1" ref="L644" ca="1">_xlfn.IFS(EmployeeData[[#This Row],[Status]]="Exited",DATEDIF(EmployeeData[[#This Row],[Join Date]], EmployeeData[[#This Row],[Exit Date]], "Y"),EmployeeData[[#This Row],[Status]]="Active",DATEDIF(EmployeeData[[#This Row],[Join Date]], TODAY(), "Y"))</f>
        <v>1</v>
      </c>
      <c r="Q644" t="str" cm="1">
        <f t="array" aca="1" ref="Q6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29 days</v>
      </c>
    </row>
    <row r="645" spans="1:17" x14ac:dyDescent="0.3">
      <c r="A645">
        <v>1644</v>
      </c>
      <c r="B645" t="s">
        <v>163</v>
      </c>
      <c r="C645" t="s">
        <v>23</v>
      </c>
      <c r="D645" t="s">
        <v>16</v>
      </c>
      <c r="E645">
        <v>34</v>
      </c>
      <c r="F645" t="str" cm="1">
        <f t="array" ref="F645">_xlfn.IFS(EmployeeData[[#This Row],[Age]]&lt;30,"20s",EmployeeData[[#This Row],[Age]]&lt;40,"30s",EmployeeData[[#This Row],[Age]]&lt;50,"40s",EmployeeData[[#This Row],[Age]]&lt;60,"50s",EmployeeData[[#This Row],[Age]]&gt;=60,"60s")</f>
        <v>30s</v>
      </c>
      <c r="G645" s="5">
        <v>45556</v>
      </c>
      <c r="I645" t="s">
        <v>17</v>
      </c>
      <c r="J645" t="s">
        <v>18</v>
      </c>
      <c r="K645" cm="1">
        <f t="array" aca="1" ref="K645" ca="1">_xlfn.IFS(EmployeeData[[#This Row],[Status]]="Active",_xlfn.DAYS(TODAY(),EmployeeData[[#This Row],[Join Date]]),EmployeeData[[#This Row],[Status]]="Exited",_xlfn.DAYS(EmployeeData[[#This Row],[Exit Date]],EmployeeData[[#This Row],[Join Date]]))</f>
        <v>641</v>
      </c>
      <c r="L645" cm="1">
        <f t="array" aca="1" ref="L645" ca="1">_xlfn.IFS(EmployeeData[[#This Row],[Status]]="Exited",DATEDIF(EmployeeData[[#This Row],[Join Date]], EmployeeData[[#This Row],[Exit Date]], "Y"),EmployeeData[[#This Row],[Status]]="Active",DATEDIF(EmployeeData[[#This Row],[Join Date]], TODAY(), "Y"))</f>
        <v>1</v>
      </c>
      <c r="Q645" t="str" cm="1">
        <f t="array" aca="1" ref="Q6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3 days</v>
      </c>
    </row>
    <row r="646" spans="1:17" x14ac:dyDescent="0.3">
      <c r="A646">
        <v>1645</v>
      </c>
      <c r="B646" t="s">
        <v>467</v>
      </c>
      <c r="C646" t="s">
        <v>15</v>
      </c>
      <c r="D646" t="s">
        <v>24</v>
      </c>
      <c r="E646">
        <v>57</v>
      </c>
      <c r="F646" t="str" cm="1">
        <f t="array" ref="F646">_xlfn.IFS(EmployeeData[[#This Row],[Age]]&lt;30,"20s",EmployeeData[[#This Row],[Age]]&lt;40,"30s",EmployeeData[[#This Row],[Age]]&lt;50,"40s",EmployeeData[[#This Row],[Age]]&lt;60,"50s",EmployeeData[[#This Row],[Age]]&gt;=60,"60s")</f>
        <v>50s</v>
      </c>
      <c r="G646" s="5">
        <v>43857</v>
      </c>
      <c r="I646" t="s">
        <v>17</v>
      </c>
      <c r="J646" t="s">
        <v>18</v>
      </c>
      <c r="K646" cm="1">
        <f t="array" aca="1" ref="K646" ca="1">_xlfn.IFS(EmployeeData[[#This Row],[Status]]="Active",_xlfn.DAYS(TODAY(),EmployeeData[[#This Row],[Join Date]]),EmployeeData[[#This Row],[Status]]="Exited",_xlfn.DAYS(EmployeeData[[#This Row],[Exit Date]],EmployeeData[[#This Row],[Join Date]]))</f>
        <v>2340</v>
      </c>
      <c r="L646" cm="1">
        <f t="array" aca="1" ref="L646" ca="1">_xlfn.IFS(EmployeeData[[#This Row],[Status]]="Exited",DATEDIF(EmployeeData[[#This Row],[Join Date]], EmployeeData[[#This Row],[Exit Date]], "Y"),EmployeeData[[#This Row],[Status]]="Active",DATEDIF(EmployeeData[[#This Row],[Join Date]], TODAY(), "Y"))</f>
        <v>6</v>
      </c>
      <c r="Q646" t="str" cm="1">
        <f t="array" aca="1" ref="Q6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28 days</v>
      </c>
    </row>
    <row r="647" spans="1:17" x14ac:dyDescent="0.3">
      <c r="A647">
        <v>1646</v>
      </c>
      <c r="B647" t="s">
        <v>935</v>
      </c>
      <c r="C647" t="s">
        <v>23</v>
      </c>
      <c r="D647" t="s">
        <v>11</v>
      </c>
      <c r="E647">
        <v>38</v>
      </c>
      <c r="F647" t="str" cm="1">
        <f t="array" ref="F647">_xlfn.IFS(EmployeeData[[#This Row],[Age]]&lt;30,"20s",EmployeeData[[#This Row],[Age]]&lt;40,"30s",EmployeeData[[#This Row],[Age]]&lt;50,"40s",EmployeeData[[#This Row],[Age]]&lt;60,"50s",EmployeeData[[#This Row],[Age]]&gt;=60,"60s")</f>
        <v>30s</v>
      </c>
      <c r="G647" s="5">
        <v>44849</v>
      </c>
      <c r="I647" t="s">
        <v>17</v>
      </c>
      <c r="J647" t="s">
        <v>18</v>
      </c>
      <c r="K647" cm="1">
        <f t="array" aca="1" ref="K647" ca="1">_xlfn.IFS(EmployeeData[[#This Row],[Status]]="Active",_xlfn.DAYS(TODAY(),EmployeeData[[#This Row],[Join Date]]),EmployeeData[[#This Row],[Status]]="Exited",_xlfn.DAYS(EmployeeData[[#This Row],[Exit Date]],EmployeeData[[#This Row],[Join Date]]))</f>
        <v>1348</v>
      </c>
      <c r="L647" cm="1">
        <f t="array" aca="1" ref="L647" ca="1">_xlfn.IFS(EmployeeData[[#This Row],[Status]]="Exited",DATEDIF(EmployeeData[[#This Row],[Join Date]], EmployeeData[[#This Row],[Exit Date]], "Y"),EmployeeData[[#This Row],[Status]]="Active",DATEDIF(EmployeeData[[#This Row],[Join Date]], TODAY(), "Y"))</f>
        <v>3</v>
      </c>
      <c r="Q647" t="str" cm="1">
        <f t="array" aca="1" ref="Q6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9 days</v>
      </c>
    </row>
    <row r="648" spans="1:17" x14ac:dyDescent="0.3">
      <c r="A648">
        <v>1647</v>
      </c>
      <c r="B648" t="s">
        <v>172</v>
      </c>
      <c r="C648" t="s">
        <v>10</v>
      </c>
      <c r="D648" t="s">
        <v>16</v>
      </c>
      <c r="E648">
        <v>45</v>
      </c>
      <c r="F648" t="str" cm="1">
        <f t="array" ref="F648">_xlfn.IFS(EmployeeData[[#This Row],[Age]]&lt;30,"20s",EmployeeData[[#This Row],[Age]]&lt;40,"30s",EmployeeData[[#This Row],[Age]]&lt;50,"40s",EmployeeData[[#This Row],[Age]]&lt;60,"50s",EmployeeData[[#This Row],[Age]]&gt;=60,"60s")</f>
        <v>40s</v>
      </c>
      <c r="G648" s="5">
        <v>44463</v>
      </c>
      <c r="I648" t="s">
        <v>17</v>
      </c>
      <c r="J648" t="s">
        <v>18</v>
      </c>
      <c r="K648" cm="1">
        <f t="array" aca="1" ref="K648" ca="1">_xlfn.IFS(EmployeeData[[#This Row],[Status]]="Active",_xlfn.DAYS(TODAY(),EmployeeData[[#This Row],[Join Date]]),EmployeeData[[#This Row],[Status]]="Exited",_xlfn.DAYS(EmployeeData[[#This Row],[Exit Date]],EmployeeData[[#This Row],[Join Date]]))</f>
        <v>1734</v>
      </c>
      <c r="L648" cm="1">
        <f t="array" aca="1" ref="L648" ca="1">_xlfn.IFS(EmployeeData[[#This Row],[Status]]="Exited",DATEDIF(EmployeeData[[#This Row],[Join Date]], EmployeeData[[#This Row],[Exit Date]], "Y"),EmployeeData[[#This Row],[Status]]="Active",DATEDIF(EmployeeData[[#This Row],[Join Date]], TODAY(), "Y"))</f>
        <v>4</v>
      </c>
      <c r="Q648" t="str" cm="1">
        <f t="array" aca="1" ref="Q6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0 days</v>
      </c>
    </row>
    <row r="649" spans="1:17" x14ac:dyDescent="0.3">
      <c r="A649">
        <v>1648</v>
      </c>
      <c r="B649" t="s">
        <v>269</v>
      </c>
      <c r="C649" t="s">
        <v>23</v>
      </c>
      <c r="D649" t="s">
        <v>11</v>
      </c>
      <c r="E649">
        <v>46</v>
      </c>
      <c r="F649" t="str" cm="1">
        <f t="array" ref="F649">_xlfn.IFS(EmployeeData[[#This Row],[Age]]&lt;30,"20s",EmployeeData[[#This Row],[Age]]&lt;40,"30s",EmployeeData[[#This Row],[Age]]&lt;50,"40s",EmployeeData[[#This Row],[Age]]&lt;60,"50s",EmployeeData[[#This Row],[Age]]&gt;=60,"60s")</f>
        <v>40s</v>
      </c>
      <c r="G649" s="5">
        <v>43831</v>
      </c>
      <c r="I649" t="s">
        <v>17</v>
      </c>
      <c r="J649" t="s">
        <v>18</v>
      </c>
      <c r="K649" cm="1">
        <f t="array" aca="1" ref="K649" ca="1">_xlfn.IFS(EmployeeData[[#This Row],[Status]]="Active",_xlfn.DAYS(TODAY(),EmployeeData[[#This Row],[Join Date]]),EmployeeData[[#This Row],[Status]]="Exited",_xlfn.DAYS(EmployeeData[[#This Row],[Exit Date]],EmployeeData[[#This Row],[Join Date]]))</f>
        <v>2366</v>
      </c>
      <c r="L649" cm="1">
        <f t="array" aca="1" ref="L649" ca="1">_xlfn.IFS(EmployeeData[[#This Row],[Status]]="Exited",DATEDIF(EmployeeData[[#This Row],[Join Date]], EmployeeData[[#This Row],[Exit Date]], "Y"),EmployeeData[[#This Row],[Status]]="Active",DATEDIF(EmployeeData[[#This Row],[Join Date]], TODAY(), "Y"))</f>
        <v>6</v>
      </c>
      <c r="Q649" t="str" cm="1">
        <f t="array" aca="1" ref="Q6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23 days</v>
      </c>
    </row>
    <row r="650" spans="1:17" x14ac:dyDescent="0.3">
      <c r="A650">
        <v>1649</v>
      </c>
      <c r="B650" t="s">
        <v>55</v>
      </c>
      <c r="C650" t="s">
        <v>15</v>
      </c>
      <c r="D650" t="s">
        <v>24</v>
      </c>
      <c r="E650">
        <v>49</v>
      </c>
      <c r="F650" t="str" cm="1">
        <f t="array" ref="F650">_xlfn.IFS(EmployeeData[[#This Row],[Age]]&lt;30,"20s",EmployeeData[[#This Row],[Age]]&lt;40,"30s",EmployeeData[[#This Row],[Age]]&lt;50,"40s",EmployeeData[[#This Row],[Age]]&lt;60,"50s",EmployeeData[[#This Row],[Age]]&gt;=60,"60s")</f>
        <v>40s</v>
      </c>
      <c r="G650" s="5">
        <v>44161</v>
      </c>
      <c r="H650" s="5">
        <v>44400</v>
      </c>
      <c r="I650" t="s">
        <v>31</v>
      </c>
      <c r="J650" t="s">
        <v>13</v>
      </c>
      <c r="K650" cm="1">
        <f t="array" aca="1" ref="K650" ca="1">_xlfn.IFS(EmployeeData[[#This Row],[Status]]="Active",_xlfn.DAYS(TODAY(),EmployeeData[[#This Row],[Join Date]]),EmployeeData[[#This Row],[Status]]="Exited",_xlfn.DAYS(EmployeeData[[#This Row],[Exit Date]],EmployeeData[[#This Row],[Join Date]]))</f>
        <v>239</v>
      </c>
      <c r="L650" cm="1">
        <f t="array" aca="1" ref="L650" ca="1">_xlfn.IFS(EmployeeData[[#This Row],[Status]]="Exited",DATEDIF(EmployeeData[[#This Row],[Join Date]], EmployeeData[[#This Row],[Exit Date]], "Y"),EmployeeData[[#This Row],[Status]]="Active",DATEDIF(EmployeeData[[#This Row],[Join Date]], TODAY(), "Y"))</f>
        <v>0</v>
      </c>
      <c r="Q650" t="str" cm="1">
        <f t="array" aca="1" ref="Q6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27 days</v>
      </c>
    </row>
    <row r="651" spans="1:17" x14ac:dyDescent="0.3">
      <c r="A651">
        <v>1650</v>
      </c>
      <c r="B651" t="s">
        <v>352</v>
      </c>
      <c r="C651" t="s">
        <v>15</v>
      </c>
      <c r="D651" t="s">
        <v>24</v>
      </c>
      <c r="E651">
        <v>23</v>
      </c>
      <c r="F651" t="str" cm="1">
        <f t="array" ref="F651">_xlfn.IFS(EmployeeData[[#This Row],[Age]]&lt;30,"20s",EmployeeData[[#This Row],[Age]]&lt;40,"30s",EmployeeData[[#This Row],[Age]]&lt;50,"40s",EmployeeData[[#This Row],[Age]]&lt;60,"50s",EmployeeData[[#This Row],[Age]]&gt;=60,"60s")</f>
        <v>20s</v>
      </c>
      <c r="G651" s="5">
        <v>45823</v>
      </c>
      <c r="I651" t="s">
        <v>17</v>
      </c>
      <c r="J651" t="s">
        <v>18</v>
      </c>
      <c r="K651" cm="1">
        <f t="array" aca="1" ref="K651" ca="1">_xlfn.IFS(EmployeeData[[#This Row],[Status]]="Active",_xlfn.DAYS(TODAY(),EmployeeData[[#This Row],[Join Date]]),EmployeeData[[#This Row],[Status]]="Exited",_xlfn.DAYS(EmployeeData[[#This Row],[Exit Date]],EmployeeData[[#This Row],[Join Date]]))</f>
        <v>374</v>
      </c>
      <c r="L651" cm="1">
        <f t="array" aca="1" ref="L651" ca="1">_xlfn.IFS(EmployeeData[[#This Row],[Status]]="Exited",DATEDIF(EmployeeData[[#This Row],[Join Date]], EmployeeData[[#This Row],[Exit Date]], "Y"),EmployeeData[[#This Row],[Status]]="Active",DATEDIF(EmployeeData[[#This Row],[Join Date]], TODAY(), "Y"))</f>
        <v>1</v>
      </c>
      <c r="Q651" t="str" cm="1">
        <f t="array" aca="1" ref="Q6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9 days</v>
      </c>
    </row>
    <row r="652" spans="1:17" x14ac:dyDescent="0.3">
      <c r="A652">
        <v>1651</v>
      </c>
      <c r="B652" t="s">
        <v>1017</v>
      </c>
      <c r="C652" t="s">
        <v>23</v>
      </c>
      <c r="D652" t="s">
        <v>24</v>
      </c>
      <c r="E652">
        <v>52</v>
      </c>
      <c r="F652" t="str" cm="1">
        <f t="array" ref="F652">_xlfn.IFS(EmployeeData[[#This Row],[Age]]&lt;30,"20s",EmployeeData[[#This Row],[Age]]&lt;40,"30s",EmployeeData[[#This Row],[Age]]&lt;50,"40s",EmployeeData[[#This Row],[Age]]&lt;60,"50s",EmployeeData[[#This Row],[Age]]&gt;=60,"60s")</f>
        <v>50s</v>
      </c>
      <c r="G652" s="5">
        <v>45059</v>
      </c>
      <c r="I652" t="s">
        <v>17</v>
      </c>
      <c r="J652" t="s">
        <v>18</v>
      </c>
      <c r="K652" cm="1">
        <f t="array" aca="1" ref="K652" ca="1">_xlfn.IFS(EmployeeData[[#This Row],[Status]]="Active",_xlfn.DAYS(TODAY(),EmployeeData[[#This Row],[Join Date]]),EmployeeData[[#This Row],[Status]]="Exited",_xlfn.DAYS(EmployeeData[[#This Row],[Exit Date]],EmployeeData[[#This Row],[Join Date]]))</f>
        <v>1138</v>
      </c>
      <c r="L652" cm="1">
        <f t="array" aca="1" ref="L652" ca="1">_xlfn.IFS(EmployeeData[[#This Row],[Status]]="Exited",DATEDIF(EmployeeData[[#This Row],[Join Date]], EmployeeData[[#This Row],[Exit Date]], "Y"),EmployeeData[[#This Row],[Status]]="Active",DATEDIF(EmployeeData[[#This Row],[Join Date]], TODAY(), "Y"))</f>
        <v>3</v>
      </c>
      <c r="Q652" t="str" cm="1">
        <f t="array" aca="1" ref="Q6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11 days</v>
      </c>
    </row>
    <row r="653" spans="1:17" x14ac:dyDescent="0.3">
      <c r="A653">
        <v>1652</v>
      </c>
      <c r="B653" t="s">
        <v>723</v>
      </c>
      <c r="C653" t="s">
        <v>46</v>
      </c>
      <c r="D653" t="s">
        <v>11</v>
      </c>
      <c r="E653">
        <v>51</v>
      </c>
      <c r="F653" t="str" cm="1">
        <f t="array" ref="F653">_xlfn.IFS(EmployeeData[[#This Row],[Age]]&lt;30,"20s",EmployeeData[[#This Row],[Age]]&lt;40,"30s",EmployeeData[[#This Row],[Age]]&lt;50,"40s",EmployeeData[[#This Row],[Age]]&lt;60,"50s",EmployeeData[[#This Row],[Age]]&gt;=60,"60s")</f>
        <v>50s</v>
      </c>
      <c r="G653" s="5">
        <v>43597</v>
      </c>
      <c r="I653" t="s">
        <v>17</v>
      </c>
      <c r="J653" t="s">
        <v>18</v>
      </c>
      <c r="K653" cm="1">
        <f t="array" aca="1" ref="K653" ca="1">_xlfn.IFS(EmployeeData[[#This Row],[Status]]="Active",_xlfn.DAYS(TODAY(),EmployeeData[[#This Row],[Join Date]]),EmployeeData[[#This Row],[Status]]="Exited",_xlfn.DAYS(EmployeeData[[#This Row],[Exit Date]],EmployeeData[[#This Row],[Join Date]]))</f>
        <v>2600</v>
      </c>
      <c r="L653" cm="1">
        <f t="array" aca="1" ref="L653" ca="1">_xlfn.IFS(EmployeeData[[#This Row],[Status]]="Exited",DATEDIF(EmployeeData[[#This Row],[Join Date]], EmployeeData[[#This Row],[Exit Date]], "Y"),EmployeeData[[#This Row],[Status]]="Active",DATEDIF(EmployeeData[[#This Row],[Join Date]], TODAY(), "Y"))</f>
        <v>7</v>
      </c>
      <c r="Q653" t="str" cm="1">
        <f t="array" aca="1" ref="Q6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 months 12 days</v>
      </c>
    </row>
    <row r="654" spans="1:17" x14ac:dyDescent="0.3">
      <c r="A654">
        <v>1653</v>
      </c>
      <c r="B654" t="s">
        <v>1089</v>
      </c>
      <c r="C654" t="s">
        <v>10</v>
      </c>
      <c r="D654" t="s">
        <v>24</v>
      </c>
      <c r="E654">
        <v>26</v>
      </c>
      <c r="F654" t="str" cm="1">
        <f t="array" ref="F654">_xlfn.IFS(EmployeeData[[#This Row],[Age]]&lt;30,"20s",EmployeeData[[#This Row],[Age]]&lt;40,"30s",EmployeeData[[#This Row],[Age]]&lt;50,"40s",EmployeeData[[#This Row],[Age]]&lt;60,"50s",EmployeeData[[#This Row],[Age]]&gt;=60,"60s")</f>
        <v>20s</v>
      </c>
      <c r="G654" s="5">
        <v>44597</v>
      </c>
      <c r="I654" t="s">
        <v>17</v>
      </c>
      <c r="J654" t="s">
        <v>18</v>
      </c>
      <c r="K654" cm="1">
        <f t="array" aca="1" ref="K654" ca="1">_xlfn.IFS(EmployeeData[[#This Row],[Status]]="Active",_xlfn.DAYS(TODAY(),EmployeeData[[#This Row],[Join Date]]),EmployeeData[[#This Row],[Status]]="Exited",_xlfn.DAYS(EmployeeData[[#This Row],[Exit Date]],EmployeeData[[#This Row],[Join Date]]))</f>
        <v>1600</v>
      </c>
      <c r="L654" cm="1">
        <f t="array" aca="1" ref="L654" ca="1">_xlfn.IFS(EmployeeData[[#This Row],[Status]]="Exited",DATEDIF(EmployeeData[[#This Row],[Join Date]], EmployeeData[[#This Row],[Exit Date]], "Y"),EmployeeData[[#This Row],[Status]]="Active",DATEDIF(EmployeeData[[#This Row],[Join Date]], TODAY(), "Y"))</f>
        <v>4</v>
      </c>
      <c r="Q654" t="str" cm="1">
        <f t="array" aca="1" ref="Q6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19 days</v>
      </c>
    </row>
    <row r="655" spans="1:17" x14ac:dyDescent="0.3">
      <c r="A655">
        <v>1654</v>
      </c>
      <c r="B655" t="s">
        <v>296</v>
      </c>
      <c r="C655" t="s">
        <v>20</v>
      </c>
      <c r="D655" t="s">
        <v>16</v>
      </c>
      <c r="E655">
        <v>33</v>
      </c>
      <c r="F655" t="str" cm="1">
        <f t="array" ref="F655">_xlfn.IFS(EmployeeData[[#This Row],[Age]]&lt;30,"20s",EmployeeData[[#This Row],[Age]]&lt;40,"30s",EmployeeData[[#This Row],[Age]]&lt;50,"40s",EmployeeData[[#This Row],[Age]]&lt;60,"50s",EmployeeData[[#This Row],[Age]]&gt;=60,"60s")</f>
        <v>30s</v>
      </c>
      <c r="G655" s="5">
        <v>43824</v>
      </c>
      <c r="I655" t="s">
        <v>17</v>
      </c>
      <c r="J655" t="s">
        <v>18</v>
      </c>
      <c r="K655" cm="1">
        <f t="array" aca="1" ref="K655" ca="1">_xlfn.IFS(EmployeeData[[#This Row],[Status]]="Active",_xlfn.DAYS(TODAY(),EmployeeData[[#This Row],[Join Date]]),EmployeeData[[#This Row],[Status]]="Exited",_xlfn.DAYS(EmployeeData[[#This Row],[Exit Date]],EmployeeData[[#This Row],[Join Date]]))</f>
        <v>2373</v>
      </c>
      <c r="L655" cm="1">
        <f t="array" aca="1" ref="L655" ca="1">_xlfn.IFS(EmployeeData[[#This Row],[Status]]="Exited",DATEDIF(EmployeeData[[#This Row],[Join Date]], EmployeeData[[#This Row],[Exit Date]], "Y"),EmployeeData[[#This Row],[Status]]="Active",DATEDIF(EmployeeData[[#This Row],[Join Date]], TODAY(), "Y"))</f>
        <v>6</v>
      </c>
      <c r="Q655" t="str" cm="1">
        <f t="array" aca="1" ref="Q6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30 days</v>
      </c>
    </row>
    <row r="656" spans="1:17" x14ac:dyDescent="0.3">
      <c r="A656">
        <v>1655</v>
      </c>
      <c r="B656" t="s">
        <v>568</v>
      </c>
      <c r="C656" t="s">
        <v>33</v>
      </c>
      <c r="D656" t="s">
        <v>24</v>
      </c>
      <c r="E656">
        <v>43</v>
      </c>
      <c r="F656" t="str" cm="1">
        <f t="array" ref="F656">_xlfn.IFS(EmployeeData[[#This Row],[Age]]&lt;30,"20s",EmployeeData[[#This Row],[Age]]&lt;40,"30s",EmployeeData[[#This Row],[Age]]&lt;50,"40s",EmployeeData[[#This Row],[Age]]&lt;60,"50s",EmployeeData[[#This Row],[Age]]&gt;=60,"60s")</f>
        <v>40s</v>
      </c>
      <c r="G656" s="5">
        <v>45093</v>
      </c>
      <c r="H656" s="5">
        <v>45830</v>
      </c>
      <c r="I656" t="s">
        <v>12</v>
      </c>
      <c r="J656" t="s">
        <v>13</v>
      </c>
      <c r="K656" cm="1">
        <f t="array" aca="1" ref="K656" ca="1">_xlfn.IFS(EmployeeData[[#This Row],[Status]]="Active",_xlfn.DAYS(TODAY(),EmployeeData[[#This Row],[Join Date]]),EmployeeData[[#This Row],[Status]]="Exited",_xlfn.DAYS(EmployeeData[[#This Row],[Exit Date]],EmployeeData[[#This Row],[Join Date]]))</f>
        <v>737</v>
      </c>
      <c r="L656" cm="1">
        <f t="array" aca="1" ref="L656" ca="1">_xlfn.IFS(EmployeeData[[#This Row],[Status]]="Exited",DATEDIF(EmployeeData[[#This Row],[Join Date]], EmployeeData[[#This Row],[Exit Date]], "Y"),EmployeeData[[#This Row],[Status]]="Active",DATEDIF(EmployeeData[[#This Row],[Join Date]], TODAY(), "Y"))</f>
        <v>2</v>
      </c>
      <c r="Q656" t="str" cm="1">
        <f t="array" aca="1" ref="Q6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6 days</v>
      </c>
    </row>
    <row r="657" spans="1:17" x14ac:dyDescent="0.3">
      <c r="A657">
        <v>1656</v>
      </c>
      <c r="B657" t="s">
        <v>371</v>
      </c>
      <c r="C657" t="s">
        <v>20</v>
      </c>
      <c r="D657" t="s">
        <v>24</v>
      </c>
      <c r="E657">
        <v>52</v>
      </c>
      <c r="F657" t="str" cm="1">
        <f t="array" ref="F657">_xlfn.IFS(EmployeeData[[#This Row],[Age]]&lt;30,"20s",EmployeeData[[#This Row],[Age]]&lt;40,"30s",EmployeeData[[#This Row],[Age]]&lt;50,"40s",EmployeeData[[#This Row],[Age]]&lt;60,"50s",EmployeeData[[#This Row],[Age]]&gt;=60,"60s")</f>
        <v>50s</v>
      </c>
      <c r="G657" s="5">
        <v>44693</v>
      </c>
      <c r="H657" s="5">
        <v>45890</v>
      </c>
      <c r="I657" t="s">
        <v>28</v>
      </c>
      <c r="J657" t="s">
        <v>13</v>
      </c>
      <c r="K657" cm="1">
        <f t="array" aca="1" ref="K657" ca="1">_xlfn.IFS(EmployeeData[[#This Row],[Status]]="Active",_xlfn.DAYS(TODAY(),EmployeeData[[#This Row],[Join Date]]),EmployeeData[[#This Row],[Status]]="Exited",_xlfn.DAYS(EmployeeData[[#This Row],[Exit Date]],EmployeeData[[#This Row],[Join Date]]))</f>
        <v>1197</v>
      </c>
      <c r="L657" cm="1">
        <f t="array" aca="1" ref="L657" ca="1">_xlfn.IFS(EmployeeData[[#This Row],[Status]]="Exited",DATEDIF(EmployeeData[[#This Row],[Join Date]], EmployeeData[[#This Row],[Exit Date]], "Y"),EmployeeData[[#This Row],[Status]]="Active",DATEDIF(EmployeeData[[#This Row],[Join Date]], TODAY(), "Y"))</f>
        <v>3</v>
      </c>
      <c r="Q657" t="str" cm="1">
        <f t="array" aca="1" ref="Q6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9 days</v>
      </c>
    </row>
    <row r="658" spans="1:17" x14ac:dyDescent="0.3">
      <c r="A658">
        <v>1657</v>
      </c>
      <c r="B658" t="s">
        <v>594</v>
      </c>
      <c r="C658" t="s">
        <v>33</v>
      </c>
      <c r="D658" t="s">
        <v>11</v>
      </c>
      <c r="E658">
        <v>22</v>
      </c>
      <c r="F658" t="str" cm="1">
        <f t="array" ref="F658">_xlfn.IFS(EmployeeData[[#This Row],[Age]]&lt;30,"20s",EmployeeData[[#This Row],[Age]]&lt;40,"30s",EmployeeData[[#This Row],[Age]]&lt;50,"40s",EmployeeData[[#This Row],[Age]]&lt;60,"50s",EmployeeData[[#This Row],[Age]]&gt;=60,"60s")</f>
        <v>20s</v>
      </c>
      <c r="G658" s="5">
        <v>43252</v>
      </c>
      <c r="H658" s="5">
        <v>44725</v>
      </c>
      <c r="I658" t="s">
        <v>52</v>
      </c>
      <c r="J658" t="s">
        <v>13</v>
      </c>
      <c r="K658" cm="1">
        <f t="array" aca="1" ref="K658" ca="1">_xlfn.IFS(EmployeeData[[#This Row],[Status]]="Active",_xlfn.DAYS(TODAY(),EmployeeData[[#This Row],[Join Date]]),EmployeeData[[#This Row],[Status]]="Exited",_xlfn.DAYS(EmployeeData[[#This Row],[Exit Date]],EmployeeData[[#This Row],[Join Date]]))</f>
        <v>1473</v>
      </c>
      <c r="L658" cm="1">
        <f t="array" aca="1" ref="L658" ca="1">_xlfn.IFS(EmployeeData[[#This Row],[Status]]="Exited",DATEDIF(EmployeeData[[#This Row],[Join Date]], EmployeeData[[#This Row],[Exit Date]], "Y"),EmployeeData[[#This Row],[Status]]="Active",DATEDIF(EmployeeData[[#This Row],[Join Date]], TODAY(), "Y"))</f>
        <v>4</v>
      </c>
      <c r="Q658" t="str" cm="1">
        <f t="array" aca="1" ref="Q6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12 days</v>
      </c>
    </row>
    <row r="659" spans="1:17" x14ac:dyDescent="0.3">
      <c r="A659">
        <v>1658</v>
      </c>
      <c r="B659" t="s">
        <v>549</v>
      </c>
      <c r="C659" t="s">
        <v>46</v>
      </c>
      <c r="D659" t="s">
        <v>11</v>
      </c>
      <c r="E659">
        <v>55</v>
      </c>
      <c r="F659" t="str" cm="1">
        <f t="array" ref="F659">_xlfn.IFS(EmployeeData[[#This Row],[Age]]&lt;30,"20s",EmployeeData[[#This Row],[Age]]&lt;40,"30s",EmployeeData[[#This Row],[Age]]&lt;50,"40s",EmployeeData[[#This Row],[Age]]&lt;60,"50s",EmployeeData[[#This Row],[Age]]&gt;=60,"60s")</f>
        <v>50s</v>
      </c>
      <c r="G659" s="5">
        <v>43711</v>
      </c>
      <c r="I659" t="s">
        <v>17</v>
      </c>
      <c r="J659" t="s">
        <v>18</v>
      </c>
      <c r="K659" cm="1">
        <f t="array" aca="1" ref="K659" ca="1">_xlfn.IFS(EmployeeData[[#This Row],[Status]]="Active",_xlfn.DAYS(TODAY(),EmployeeData[[#This Row],[Join Date]]),EmployeeData[[#This Row],[Status]]="Exited",_xlfn.DAYS(EmployeeData[[#This Row],[Exit Date]],EmployeeData[[#This Row],[Join Date]]))</f>
        <v>2486</v>
      </c>
      <c r="L659" cm="1">
        <f t="array" aca="1" ref="L659" ca="1">_xlfn.IFS(EmployeeData[[#This Row],[Status]]="Exited",DATEDIF(EmployeeData[[#This Row],[Join Date]], EmployeeData[[#This Row],[Exit Date]], "Y"),EmployeeData[[#This Row],[Status]]="Active",DATEDIF(EmployeeData[[#This Row],[Join Date]], TODAY(), "Y"))</f>
        <v>6</v>
      </c>
      <c r="Q659" t="str" cm="1">
        <f t="array" aca="1" ref="Q6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21 days</v>
      </c>
    </row>
    <row r="660" spans="1:17" x14ac:dyDescent="0.3">
      <c r="A660">
        <v>1659</v>
      </c>
      <c r="B660" t="s">
        <v>1056</v>
      </c>
      <c r="C660" t="s">
        <v>23</v>
      </c>
      <c r="D660" t="s">
        <v>16</v>
      </c>
      <c r="E660">
        <v>23</v>
      </c>
      <c r="F660" t="str" cm="1">
        <f t="array" ref="F660">_xlfn.IFS(EmployeeData[[#This Row],[Age]]&lt;30,"20s",EmployeeData[[#This Row],[Age]]&lt;40,"30s",EmployeeData[[#This Row],[Age]]&lt;50,"40s",EmployeeData[[#This Row],[Age]]&lt;60,"50s",EmployeeData[[#This Row],[Age]]&gt;=60,"60s")</f>
        <v>20s</v>
      </c>
      <c r="G660" s="5">
        <v>44095</v>
      </c>
      <c r="I660" t="s">
        <v>17</v>
      </c>
      <c r="J660" t="s">
        <v>18</v>
      </c>
      <c r="K660" cm="1">
        <f t="array" aca="1" ref="K660" ca="1">_xlfn.IFS(EmployeeData[[#This Row],[Status]]="Active",_xlfn.DAYS(TODAY(),EmployeeData[[#This Row],[Join Date]]),EmployeeData[[#This Row],[Status]]="Exited",_xlfn.DAYS(EmployeeData[[#This Row],[Exit Date]],EmployeeData[[#This Row],[Join Date]]))</f>
        <v>2102</v>
      </c>
      <c r="L660" cm="1">
        <f t="array" aca="1" ref="L660" ca="1">_xlfn.IFS(EmployeeData[[#This Row],[Status]]="Exited",DATEDIF(EmployeeData[[#This Row],[Join Date]], EmployeeData[[#This Row],[Exit Date]], "Y"),EmployeeData[[#This Row],[Status]]="Active",DATEDIF(EmployeeData[[#This Row],[Join Date]], TODAY(), "Y"))</f>
        <v>5</v>
      </c>
      <c r="Q660" t="str" cm="1">
        <f t="array" aca="1" ref="Q6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3 days</v>
      </c>
    </row>
    <row r="661" spans="1:17" x14ac:dyDescent="0.3">
      <c r="A661">
        <v>1660</v>
      </c>
      <c r="B661" t="s">
        <v>45</v>
      </c>
      <c r="C661" t="s">
        <v>46</v>
      </c>
      <c r="D661" t="s">
        <v>11</v>
      </c>
      <c r="E661">
        <v>27</v>
      </c>
      <c r="F661" t="str" cm="1">
        <f t="array" ref="F661">_xlfn.IFS(EmployeeData[[#This Row],[Age]]&lt;30,"20s",EmployeeData[[#This Row],[Age]]&lt;40,"30s",EmployeeData[[#This Row],[Age]]&lt;50,"40s",EmployeeData[[#This Row],[Age]]&lt;60,"50s",EmployeeData[[#This Row],[Age]]&gt;=60,"60s")</f>
        <v>20s</v>
      </c>
      <c r="G661" s="5">
        <v>44969</v>
      </c>
      <c r="I661" t="s">
        <v>17</v>
      </c>
      <c r="J661" t="s">
        <v>18</v>
      </c>
      <c r="K661" cm="1">
        <f t="array" aca="1" ref="K661" ca="1">_xlfn.IFS(EmployeeData[[#This Row],[Status]]="Active",_xlfn.DAYS(TODAY(),EmployeeData[[#This Row],[Join Date]]),EmployeeData[[#This Row],[Status]]="Exited",_xlfn.DAYS(EmployeeData[[#This Row],[Exit Date]],EmployeeData[[#This Row],[Join Date]]))</f>
        <v>1228</v>
      </c>
      <c r="L661" cm="1">
        <f t="array" aca="1" ref="L661" ca="1">_xlfn.IFS(EmployeeData[[#This Row],[Status]]="Exited",DATEDIF(EmployeeData[[#This Row],[Join Date]], EmployeeData[[#This Row],[Exit Date]], "Y"),EmployeeData[[#This Row],[Status]]="Active",DATEDIF(EmployeeData[[#This Row],[Join Date]], TODAY(), "Y"))</f>
        <v>3</v>
      </c>
      <c r="Q661" t="str" cm="1">
        <f t="array" aca="1" ref="Q6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12 days</v>
      </c>
    </row>
    <row r="662" spans="1:17" x14ac:dyDescent="0.3">
      <c r="A662">
        <v>1661</v>
      </c>
      <c r="B662" t="s">
        <v>167</v>
      </c>
      <c r="C662" t="s">
        <v>15</v>
      </c>
      <c r="D662" t="s">
        <v>24</v>
      </c>
      <c r="E662">
        <v>35</v>
      </c>
      <c r="F662" t="str" cm="1">
        <f t="array" ref="F662">_xlfn.IFS(EmployeeData[[#This Row],[Age]]&lt;30,"20s",EmployeeData[[#This Row],[Age]]&lt;40,"30s",EmployeeData[[#This Row],[Age]]&lt;50,"40s",EmployeeData[[#This Row],[Age]]&lt;60,"50s",EmployeeData[[#This Row],[Age]]&gt;=60,"60s")</f>
        <v>30s</v>
      </c>
      <c r="G662" s="5">
        <v>43359</v>
      </c>
      <c r="I662" t="s">
        <v>17</v>
      </c>
      <c r="J662" t="s">
        <v>18</v>
      </c>
      <c r="K662" cm="1">
        <f t="array" aca="1" ref="K662" ca="1">_xlfn.IFS(EmployeeData[[#This Row],[Status]]="Active",_xlfn.DAYS(TODAY(),EmployeeData[[#This Row],[Join Date]]),EmployeeData[[#This Row],[Status]]="Exited",_xlfn.DAYS(EmployeeData[[#This Row],[Exit Date]],EmployeeData[[#This Row],[Join Date]]))</f>
        <v>2838</v>
      </c>
      <c r="L662" cm="1">
        <f t="array" aca="1" ref="L662" ca="1">_xlfn.IFS(EmployeeData[[#This Row],[Status]]="Exited",DATEDIF(EmployeeData[[#This Row],[Join Date]], EmployeeData[[#This Row],[Exit Date]], "Y"),EmployeeData[[#This Row],[Status]]="Active",DATEDIF(EmployeeData[[#This Row],[Join Date]], TODAY(), "Y"))</f>
        <v>7</v>
      </c>
      <c r="Q662" t="str" cm="1">
        <f t="array" aca="1" ref="Q6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8 days</v>
      </c>
    </row>
    <row r="663" spans="1:17" x14ac:dyDescent="0.3">
      <c r="A663">
        <v>1662</v>
      </c>
      <c r="B663" t="s">
        <v>856</v>
      </c>
      <c r="C663" t="s">
        <v>46</v>
      </c>
      <c r="D663" t="s">
        <v>24</v>
      </c>
      <c r="E663">
        <v>41</v>
      </c>
      <c r="F663" t="str" cm="1">
        <f t="array" ref="F663">_xlfn.IFS(EmployeeData[[#This Row],[Age]]&lt;30,"20s",EmployeeData[[#This Row],[Age]]&lt;40,"30s",EmployeeData[[#This Row],[Age]]&lt;50,"40s",EmployeeData[[#This Row],[Age]]&lt;60,"50s",EmployeeData[[#This Row],[Age]]&gt;=60,"60s")</f>
        <v>40s</v>
      </c>
      <c r="G663" s="5">
        <v>43595</v>
      </c>
      <c r="I663" t="s">
        <v>17</v>
      </c>
      <c r="J663" t="s">
        <v>18</v>
      </c>
      <c r="K663" cm="1">
        <f t="array" aca="1" ref="K663" ca="1">_xlfn.IFS(EmployeeData[[#This Row],[Status]]="Active",_xlfn.DAYS(TODAY(),EmployeeData[[#This Row],[Join Date]]),EmployeeData[[#This Row],[Status]]="Exited",_xlfn.DAYS(EmployeeData[[#This Row],[Exit Date]],EmployeeData[[#This Row],[Join Date]]))</f>
        <v>2602</v>
      </c>
      <c r="L663" cm="1">
        <f t="array" aca="1" ref="L663" ca="1">_xlfn.IFS(EmployeeData[[#This Row],[Status]]="Exited",DATEDIF(EmployeeData[[#This Row],[Join Date]], EmployeeData[[#This Row],[Exit Date]], "Y"),EmployeeData[[#This Row],[Status]]="Active",DATEDIF(EmployeeData[[#This Row],[Join Date]], TODAY(), "Y"))</f>
        <v>7</v>
      </c>
      <c r="Q663" t="str" cm="1">
        <f t="array" aca="1" ref="Q6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 months 14 days</v>
      </c>
    </row>
    <row r="664" spans="1:17" x14ac:dyDescent="0.3">
      <c r="A664">
        <v>1663</v>
      </c>
      <c r="B664" t="s">
        <v>398</v>
      </c>
      <c r="C664" t="s">
        <v>20</v>
      </c>
      <c r="D664" t="s">
        <v>24</v>
      </c>
      <c r="E664">
        <v>42</v>
      </c>
      <c r="F664" t="str" cm="1">
        <f t="array" ref="F664">_xlfn.IFS(EmployeeData[[#This Row],[Age]]&lt;30,"20s",EmployeeData[[#This Row],[Age]]&lt;40,"30s",EmployeeData[[#This Row],[Age]]&lt;50,"40s",EmployeeData[[#This Row],[Age]]&lt;60,"50s",EmployeeData[[#This Row],[Age]]&gt;=60,"60s")</f>
        <v>40s</v>
      </c>
      <c r="G664" s="5">
        <v>43359</v>
      </c>
      <c r="H664" s="5">
        <v>44027</v>
      </c>
      <c r="I664" t="s">
        <v>34</v>
      </c>
      <c r="J664" t="s">
        <v>13</v>
      </c>
      <c r="K664" cm="1">
        <f t="array" aca="1" ref="K664" ca="1">_xlfn.IFS(EmployeeData[[#This Row],[Status]]="Active",_xlfn.DAYS(TODAY(),EmployeeData[[#This Row],[Join Date]]),EmployeeData[[#This Row],[Status]]="Exited",_xlfn.DAYS(EmployeeData[[#This Row],[Exit Date]],EmployeeData[[#This Row],[Join Date]]))</f>
        <v>668</v>
      </c>
      <c r="L664" cm="1">
        <f t="array" aca="1" ref="L664" ca="1">_xlfn.IFS(EmployeeData[[#This Row],[Status]]="Exited",DATEDIF(EmployeeData[[#This Row],[Join Date]], EmployeeData[[#This Row],[Exit Date]], "Y"),EmployeeData[[#This Row],[Status]]="Active",DATEDIF(EmployeeData[[#This Row],[Join Date]], TODAY(), "Y"))</f>
        <v>1</v>
      </c>
      <c r="Q664" t="str" cm="1">
        <f t="array" aca="1" ref="Q6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29 days</v>
      </c>
    </row>
    <row r="665" spans="1:17" x14ac:dyDescent="0.3">
      <c r="A665">
        <v>1664</v>
      </c>
      <c r="B665" t="s">
        <v>1062</v>
      </c>
      <c r="C665" t="s">
        <v>10</v>
      </c>
      <c r="D665" t="s">
        <v>11</v>
      </c>
      <c r="E665">
        <v>23</v>
      </c>
      <c r="F665" t="str" cm="1">
        <f t="array" ref="F665">_xlfn.IFS(EmployeeData[[#This Row],[Age]]&lt;30,"20s",EmployeeData[[#This Row],[Age]]&lt;40,"30s",EmployeeData[[#This Row],[Age]]&lt;50,"40s",EmployeeData[[#This Row],[Age]]&lt;60,"50s",EmployeeData[[#This Row],[Age]]&gt;=60,"60s")</f>
        <v>20s</v>
      </c>
      <c r="G665" s="5">
        <v>43647</v>
      </c>
      <c r="H665" s="5">
        <v>45277</v>
      </c>
      <c r="I665" t="s">
        <v>34</v>
      </c>
      <c r="J665" t="s">
        <v>13</v>
      </c>
      <c r="K665" cm="1">
        <f t="array" aca="1" ref="K665" ca="1">_xlfn.IFS(EmployeeData[[#This Row],[Status]]="Active",_xlfn.DAYS(TODAY(),EmployeeData[[#This Row],[Join Date]]),EmployeeData[[#This Row],[Status]]="Exited",_xlfn.DAYS(EmployeeData[[#This Row],[Exit Date]],EmployeeData[[#This Row],[Join Date]]))</f>
        <v>1630</v>
      </c>
      <c r="L665" cm="1">
        <f t="array" aca="1" ref="L665" ca="1">_xlfn.IFS(EmployeeData[[#This Row],[Status]]="Exited",DATEDIF(EmployeeData[[#This Row],[Join Date]], EmployeeData[[#This Row],[Exit Date]], "Y"),EmployeeData[[#This Row],[Status]]="Active",DATEDIF(EmployeeData[[#This Row],[Join Date]], TODAY(), "Y"))</f>
        <v>4</v>
      </c>
      <c r="Q665" t="str" cm="1">
        <f t="array" aca="1" ref="Q6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16 days</v>
      </c>
    </row>
    <row r="666" spans="1:17" x14ac:dyDescent="0.3">
      <c r="A666">
        <v>1665</v>
      </c>
      <c r="B666" t="s">
        <v>489</v>
      </c>
      <c r="C666" t="s">
        <v>15</v>
      </c>
      <c r="D666" t="s">
        <v>16</v>
      </c>
      <c r="E666">
        <v>58</v>
      </c>
      <c r="F666" t="str" cm="1">
        <f t="array" ref="F666">_xlfn.IFS(EmployeeData[[#This Row],[Age]]&lt;30,"20s",EmployeeData[[#This Row],[Age]]&lt;40,"30s",EmployeeData[[#This Row],[Age]]&lt;50,"40s",EmployeeData[[#This Row],[Age]]&lt;60,"50s",EmployeeData[[#This Row],[Age]]&gt;=60,"60s")</f>
        <v>50s</v>
      </c>
      <c r="G666" s="5">
        <v>44263</v>
      </c>
      <c r="I666" t="s">
        <v>17</v>
      </c>
      <c r="J666" t="s">
        <v>18</v>
      </c>
      <c r="K666" cm="1">
        <f t="array" aca="1" ref="K666" ca="1">_xlfn.IFS(EmployeeData[[#This Row],[Status]]="Active",_xlfn.DAYS(TODAY(),EmployeeData[[#This Row],[Join Date]]),EmployeeData[[#This Row],[Status]]="Exited",_xlfn.DAYS(EmployeeData[[#This Row],[Exit Date]],EmployeeData[[#This Row],[Join Date]]))</f>
        <v>1934</v>
      </c>
      <c r="L666" cm="1">
        <f t="array" aca="1" ref="L666" ca="1">_xlfn.IFS(EmployeeData[[#This Row],[Status]]="Exited",DATEDIF(EmployeeData[[#This Row],[Join Date]], EmployeeData[[#This Row],[Exit Date]], "Y"),EmployeeData[[#This Row],[Status]]="Active",DATEDIF(EmployeeData[[#This Row],[Join Date]], TODAY(), "Y"))</f>
        <v>5</v>
      </c>
      <c r="Q666" t="str" cm="1">
        <f t="array" aca="1" ref="Q6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16 days</v>
      </c>
    </row>
    <row r="667" spans="1:17" x14ac:dyDescent="0.3">
      <c r="A667">
        <v>1666</v>
      </c>
      <c r="B667" t="s">
        <v>960</v>
      </c>
      <c r="C667" t="s">
        <v>23</v>
      </c>
      <c r="D667" t="s">
        <v>24</v>
      </c>
      <c r="E667">
        <v>47</v>
      </c>
      <c r="F667" t="str" cm="1">
        <f t="array" ref="F667">_xlfn.IFS(EmployeeData[[#This Row],[Age]]&lt;30,"20s",EmployeeData[[#This Row],[Age]]&lt;40,"30s",EmployeeData[[#This Row],[Age]]&lt;50,"40s",EmployeeData[[#This Row],[Age]]&lt;60,"50s",EmployeeData[[#This Row],[Age]]&gt;=60,"60s")</f>
        <v>40s</v>
      </c>
      <c r="G667" s="5">
        <v>44080</v>
      </c>
      <c r="I667" t="s">
        <v>17</v>
      </c>
      <c r="J667" t="s">
        <v>18</v>
      </c>
      <c r="K667" cm="1">
        <f t="array" aca="1" ref="K667" ca="1">_xlfn.IFS(EmployeeData[[#This Row],[Status]]="Active",_xlfn.DAYS(TODAY(),EmployeeData[[#This Row],[Join Date]]),EmployeeData[[#This Row],[Status]]="Exited",_xlfn.DAYS(EmployeeData[[#This Row],[Exit Date]],EmployeeData[[#This Row],[Join Date]]))</f>
        <v>2117</v>
      </c>
      <c r="L667" cm="1">
        <f t="array" aca="1" ref="L667" ca="1">_xlfn.IFS(EmployeeData[[#This Row],[Status]]="Exited",DATEDIF(EmployeeData[[#This Row],[Join Date]], EmployeeData[[#This Row],[Exit Date]], "Y"),EmployeeData[[#This Row],[Status]]="Active",DATEDIF(EmployeeData[[#This Row],[Join Date]], TODAY(), "Y"))</f>
        <v>5</v>
      </c>
      <c r="Q667" t="str" cm="1">
        <f t="array" aca="1" ref="Q6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18 days</v>
      </c>
    </row>
    <row r="668" spans="1:17" x14ac:dyDescent="0.3">
      <c r="A668">
        <v>1667</v>
      </c>
      <c r="B668" t="s">
        <v>484</v>
      </c>
      <c r="C668" t="s">
        <v>23</v>
      </c>
      <c r="D668" t="s">
        <v>16</v>
      </c>
      <c r="E668">
        <v>40</v>
      </c>
      <c r="F668" t="str" cm="1">
        <f t="array" ref="F668">_xlfn.IFS(EmployeeData[[#This Row],[Age]]&lt;30,"20s",EmployeeData[[#This Row],[Age]]&lt;40,"30s",EmployeeData[[#This Row],[Age]]&lt;50,"40s",EmployeeData[[#This Row],[Age]]&lt;60,"50s",EmployeeData[[#This Row],[Age]]&gt;=60,"60s")</f>
        <v>40s</v>
      </c>
      <c r="G668" s="5">
        <v>44525</v>
      </c>
      <c r="I668" t="s">
        <v>17</v>
      </c>
      <c r="J668" t="s">
        <v>18</v>
      </c>
      <c r="K668" cm="1">
        <f t="array" aca="1" ref="K668" ca="1">_xlfn.IFS(EmployeeData[[#This Row],[Status]]="Active",_xlfn.DAYS(TODAY(),EmployeeData[[#This Row],[Join Date]]),EmployeeData[[#This Row],[Status]]="Exited",_xlfn.DAYS(EmployeeData[[#This Row],[Exit Date]],EmployeeData[[#This Row],[Join Date]]))</f>
        <v>1672</v>
      </c>
      <c r="L668" cm="1">
        <f t="array" aca="1" ref="L668" ca="1">_xlfn.IFS(EmployeeData[[#This Row],[Status]]="Exited",DATEDIF(EmployeeData[[#This Row],[Join Date]], EmployeeData[[#This Row],[Exit Date]], "Y"),EmployeeData[[#This Row],[Status]]="Active",DATEDIF(EmployeeData[[#This Row],[Join Date]], TODAY(), "Y"))</f>
        <v>4</v>
      </c>
      <c r="Q668" t="str" cm="1">
        <f t="array" aca="1" ref="Q6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30 days</v>
      </c>
    </row>
    <row r="669" spans="1:17" x14ac:dyDescent="0.3">
      <c r="A669">
        <v>1668</v>
      </c>
      <c r="B669" t="s">
        <v>363</v>
      </c>
      <c r="C669" t="s">
        <v>23</v>
      </c>
      <c r="D669" t="s">
        <v>11</v>
      </c>
      <c r="E669">
        <v>55</v>
      </c>
      <c r="F669" t="str" cm="1">
        <f t="array" ref="F669">_xlfn.IFS(EmployeeData[[#This Row],[Age]]&lt;30,"20s",EmployeeData[[#This Row],[Age]]&lt;40,"30s",EmployeeData[[#This Row],[Age]]&lt;50,"40s",EmployeeData[[#This Row],[Age]]&lt;60,"50s",EmployeeData[[#This Row],[Age]]&gt;=60,"60s")</f>
        <v>50s</v>
      </c>
      <c r="G669" s="5">
        <v>45179</v>
      </c>
      <c r="H669" s="5">
        <v>46057</v>
      </c>
      <c r="I669" t="s">
        <v>28</v>
      </c>
      <c r="J669" t="s">
        <v>13</v>
      </c>
      <c r="K669" cm="1">
        <f t="array" aca="1" ref="K669" ca="1">_xlfn.IFS(EmployeeData[[#This Row],[Status]]="Active",_xlfn.DAYS(TODAY(),EmployeeData[[#This Row],[Join Date]]),EmployeeData[[#This Row],[Status]]="Exited",_xlfn.DAYS(EmployeeData[[#This Row],[Exit Date]],EmployeeData[[#This Row],[Join Date]]))</f>
        <v>878</v>
      </c>
      <c r="L669" cm="1">
        <f t="array" aca="1" ref="L669" ca="1">_xlfn.IFS(EmployeeData[[#This Row],[Status]]="Exited",DATEDIF(EmployeeData[[#This Row],[Join Date]], EmployeeData[[#This Row],[Exit Date]], "Y"),EmployeeData[[#This Row],[Status]]="Active",DATEDIF(EmployeeData[[#This Row],[Join Date]], TODAY(), "Y"))</f>
        <v>2</v>
      </c>
      <c r="Q669" t="str" cm="1">
        <f t="array" aca="1" ref="Q6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4 months 25 days</v>
      </c>
    </row>
    <row r="670" spans="1:17" x14ac:dyDescent="0.3">
      <c r="A670">
        <v>1669</v>
      </c>
      <c r="B670" t="s">
        <v>619</v>
      </c>
      <c r="C670" t="s">
        <v>33</v>
      </c>
      <c r="D670" t="s">
        <v>11</v>
      </c>
      <c r="E670">
        <v>51</v>
      </c>
      <c r="F670" t="str" cm="1">
        <f t="array" ref="F670">_xlfn.IFS(EmployeeData[[#This Row],[Age]]&lt;30,"20s",EmployeeData[[#This Row],[Age]]&lt;40,"30s",EmployeeData[[#This Row],[Age]]&lt;50,"40s",EmployeeData[[#This Row],[Age]]&lt;60,"50s",EmployeeData[[#This Row],[Age]]&gt;=60,"60s")</f>
        <v>50s</v>
      </c>
      <c r="G670" s="5">
        <v>45138</v>
      </c>
      <c r="H670" s="5">
        <v>45914</v>
      </c>
      <c r="I670" t="s">
        <v>21</v>
      </c>
      <c r="J670" t="s">
        <v>13</v>
      </c>
      <c r="K670" cm="1">
        <f t="array" aca="1" ref="K670" ca="1">_xlfn.IFS(EmployeeData[[#This Row],[Status]]="Active",_xlfn.DAYS(TODAY(),EmployeeData[[#This Row],[Join Date]]),EmployeeData[[#This Row],[Status]]="Exited",_xlfn.DAYS(EmployeeData[[#This Row],[Exit Date]],EmployeeData[[#This Row],[Join Date]]))</f>
        <v>776</v>
      </c>
      <c r="L670" cm="1">
        <f t="array" aca="1" ref="L670" ca="1">_xlfn.IFS(EmployeeData[[#This Row],[Status]]="Exited",DATEDIF(EmployeeData[[#This Row],[Join Date]], EmployeeData[[#This Row],[Exit Date]], "Y"),EmployeeData[[#This Row],[Status]]="Active",DATEDIF(EmployeeData[[#This Row],[Join Date]], TODAY(), "Y"))</f>
        <v>2</v>
      </c>
      <c r="Q670" t="str" cm="1">
        <f t="array" aca="1" ref="Q6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14 days</v>
      </c>
    </row>
    <row r="671" spans="1:17" x14ac:dyDescent="0.3">
      <c r="A671">
        <v>1670</v>
      </c>
      <c r="B671" t="s">
        <v>120</v>
      </c>
      <c r="C671" t="s">
        <v>10</v>
      </c>
      <c r="D671" t="s">
        <v>24</v>
      </c>
      <c r="E671">
        <v>50</v>
      </c>
      <c r="F671" t="str" cm="1">
        <f t="array" ref="F671">_xlfn.IFS(EmployeeData[[#This Row],[Age]]&lt;30,"20s",EmployeeData[[#This Row],[Age]]&lt;40,"30s",EmployeeData[[#This Row],[Age]]&lt;50,"40s",EmployeeData[[#This Row],[Age]]&lt;60,"50s",EmployeeData[[#This Row],[Age]]&gt;=60,"60s")</f>
        <v>50s</v>
      </c>
      <c r="G671" s="5">
        <v>43278</v>
      </c>
      <c r="H671" s="5">
        <v>43582</v>
      </c>
      <c r="I671" t="s">
        <v>21</v>
      </c>
      <c r="J671" t="s">
        <v>13</v>
      </c>
      <c r="K671" cm="1">
        <f t="array" aca="1" ref="K671" ca="1">_xlfn.IFS(EmployeeData[[#This Row],[Status]]="Active",_xlfn.DAYS(TODAY(),EmployeeData[[#This Row],[Join Date]]),EmployeeData[[#This Row],[Status]]="Exited",_xlfn.DAYS(EmployeeData[[#This Row],[Exit Date]],EmployeeData[[#This Row],[Join Date]]))</f>
        <v>304</v>
      </c>
      <c r="L671" cm="1">
        <f t="array" aca="1" ref="L671" ca="1">_xlfn.IFS(EmployeeData[[#This Row],[Status]]="Exited",DATEDIF(EmployeeData[[#This Row],[Join Date]], EmployeeData[[#This Row],[Exit Date]], "Y"),EmployeeData[[#This Row],[Status]]="Active",DATEDIF(EmployeeData[[#This Row],[Join Date]], TODAY(), "Y"))</f>
        <v>0</v>
      </c>
      <c r="Q671" t="str" cm="1">
        <f t="array" aca="1" ref="Q6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0 days</v>
      </c>
    </row>
    <row r="672" spans="1:17" x14ac:dyDescent="0.3">
      <c r="A672">
        <v>1671</v>
      </c>
      <c r="B672" t="s">
        <v>114</v>
      </c>
      <c r="C672" t="s">
        <v>23</v>
      </c>
      <c r="D672" t="s">
        <v>16</v>
      </c>
      <c r="E672">
        <v>36</v>
      </c>
      <c r="F672" t="str" cm="1">
        <f t="array" ref="F672">_xlfn.IFS(EmployeeData[[#This Row],[Age]]&lt;30,"20s",EmployeeData[[#This Row],[Age]]&lt;40,"30s",EmployeeData[[#This Row],[Age]]&lt;50,"40s",EmployeeData[[#This Row],[Age]]&lt;60,"50s",EmployeeData[[#This Row],[Age]]&gt;=60,"60s")</f>
        <v>30s</v>
      </c>
      <c r="G672" s="5">
        <v>44922</v>
      </c>
      <c r="I672" t="s">
        <v>17</v>
      </c>
      <c r="J672" t="s">
        <v>18</v>
      </c>
      <c r="K672" cm="1">
        <f t="array" aca="1" ref="K672" ca="1">_xlfn.IFS(EmployeeData[[#This Row],[Status]]="Active",_xlfn.DAYS(TODAY(),EmployeeData[[#This Row],[Join Date]]),EmployeeData[[#This Row],[Status]]="Exited",_xlfn.DAYS(EmployeeData[[#This Row],[Exit Date]],EmployeeData[[#This Row],[Join Date]]))</f>
        <v>1275</v>
      </c>
      <c r="L672" cm="1">
        <f t="array" aca="1" ref="L672" ca="1">_xlfn.IFS(EmployeeData[[#This Row],[Status]]="Exited",DATEDIF(EmployeeData[[#This Row],[Join Date]], EmployeeData[[#This Row],[Exit Date]], "Y"),EmployeeData[[#This Row],[Status]]="Active",DATEDIF(EmployeeData[[#This Row],[Join Date]], TODAY(), "Y"))</f>
        <v>3</v>
      </c>
      <c r="Q672" t="str" cm="1">
        <f t="array" aca="1" ref="Q6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28 days</v>
      </c>
    </row>
    <row r="673" spans="1:17" x14ac:dyDescent="0.3">
      <c r="A673">
        <v>1672</v>
      </c>
      <c r="B673" t="s">
        <v>370</v>
      </c>
      <c r="C673" t="s">
        <v>15</v>
      </c>
      <c r="D673" t="s">
        <v>16</v>
      </c>
      <c r="E673">
        <v>35</v>
      </c>
      <c r="F673" t="str" cm="1">
        <f t="array" ref="F673">_xlfn.IFS(EmployeeData[[#This Row],[Age]]&lt;30,"20s",EmployeeData[[#This Row],[Age]]&lt;40,"30s",EmployeeData[[#This Row],[Age]]&lt;50,"40s",EmployeeData[[#This Row],[Age]]&lt;60,"50s",EmployeeData[[#This Row],[Age]]&gt;=60,"60s")</f>
        <v>30s</v>
      </c>
      <c r="G673" s="5">
        <v>43502</v>
      </c>
      <c r="H673" s="5">
        <v>45281</v>
      </c>
      <c r="I673" t="s">
        <v>52</v>
      </c>
      <c r="J673" t="s">
        <v>13</v>
      </c>
      <c r="K673" cm="1">
        <f t="array" aca="1" ref="K673" ca="1">_xlfn.IFS(EmployeeData[[#This Row],[Status]]="Active",_xlfn.DAYS(TODAY(),EmployeeData[[#This Row],[Join Date]]),EmployeeData[[#This Row],[Status]]="Exited",_xlfn.DAYS(EmployeeData[[#This Row],[Exit Date]],EmployeeData[[#This Row],[Join Date]]))</f>
        <v>1779</v>
      </c>
      <c r="L673" cm="1">
        <f t="array" aca="1" ref="L673" ca="1">_xlfn.IFS(EmployeeData[[#This Row],[Status]]="Exited",DATEDIF(EmployeeData[[#This Row],[Join Date]], EmployeeData[[#This Row],[Exit Date]], "Y"),EmployeeData[[#This Row],[Status]]="Active",DATEDIF(EmployeeData[[#This Row],[Join Date]], TODAY(), "Y"))</f>
        <v>4</v>
      </c>
      <c r="Q673" t="str" cm="1">
        <f t="array" aca="1" ref="Q6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15 days</v>
      </c>
    </row>
    <row r="674" spans="1:17" x14ac:dyDescent="0.3">
      <c r="A674">
        <v>1673</v>
      </c>
      <c r="B674" t="s">
        <v>846</v>
      </c>
      <c r="C674" t="s">
        <v>15</v>
      </c>
      <c r="D674" t="s">
        <v>24</v>
      </c>
      <c r="E674">
        <v>34</v>
      </c>
      <c r="F674" t="str" cm="1">
        <f t="array" ref="F674">_xlfn.IFS(EmployeeData[[#This Row],[Age]]&lt;30,"20s",EmployeeData[[#This Row],[Age]]&lt;40,"30s",EmployeeData[[#This Row],[Age]]&lt;50,"40s",EmployeeData[[#This Row],[Age]]&lt;60,"50s",EmployeeData[[#This Row],[Age]]&gt;=60,"60s")</f>
        <v>30s</v>
      </c>
      <c r="G674" s="5">
        <v>45597</v>
      </c>
      <c r="I674" t="s">
        <v>17</v>
      </c>
      <c r="J674" t="s">
        <v>18</v>
      </c>
      <c r="K674" cm="1">
        <f t="array" aca="1" ref="K674" ca="1">_xlfn.IFS(EmployeeData[[#This Row],[Status]]="Active",_xlfn.DAYS(TODAY(),EmployeeData[[#This Row],[Join Date]]),EmployeeData[[#This Row],[Status]]="Exited",_xlfn.DAYS(EmployeeData[[#This Row],[Exit Date]],EmployeeData[[#This Row],[Join Date]]))</f>
        <v>600</v>
      </c>
      <c r="L674" cm="1">
        <f t="array" aca="1" ref="L674" ca="1">_xlfn.IFS(EmployeeData[[#This Row],[Status]]="Exited",DATEDIF(EmployeeData[[#This Row],[Join Date]], EmployeeData[[#This Row],[Exit Date]], "Y"),EmployeeData[[#This Row],[Status]]="Active",DATEDIF(EmployeeData[[#This Row],[Join Date]], TODAY(), "Y"))</f>
        <v>1</v>
      </c>
      <c r="Q674" t="str" cm="1">
        <f t="array" aca="1" ref="Q6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23 days</v>
      </c>
    </row>
    <row r="675" spans="1:17" x14ac:dyDescent="0.3">
      <c r="A675">
        <v>1674</v>
      </c>
      <c r="B675" t="s">
        <v>314</v>
      </c>
      <c r="C675" t="s">
        <v>23</v>
      </c>
      <c r="D675" t="s">
        <v>11</v>
      </c>
      <c r="E675">
        <v>33</v>
      </c>
      <c r="F675" t="str" cm="1">
        <f t="array" ref="F675">_xlfn.IFS(EmployeeData[[#This Row],[Age]]&lt;30,"20s",EmployeeData[[#This Row],[Age]]&lt;40,"30s",EmployeeData[[#This Row],[Age]]&lt;50,"40s",EmployeeData[[#This Row],[Age]]&lt;60,"50s",EmployeeData[[#This Row],[Age]]&gt;=60,"60s")</f>
        <v>30s</v>
      </c>
      <c r="G675" s="5">
        <v>44476</v>
      </c>
      <c r="H675" s="5">
        <v>45983</v>
      </c>
      <c r="I675" t="s">
        <v>65</v>
      </c>
      <c r="J675" t="s">
        <v>13</v>
      </c>
      <c r="K675" cm="1">
        <f t="array" aca="1" ref="K675" ca="1">_xlfn.IFS(EmployeeData[[#This Row],[Status]]="Active",_xlfn.DAYS(TODAY(),EmployeeData[[#This Row],[Join Date]]),EmployeeData[[#This Row],[Status]]="Exited",_xlfn.DAYS(EmployeeData[[#This Row],[Exit Date]],EmployeeData[[#This Row],[Join Date]]))</f>
        <v>1507</v>
      </c>
      <c r="L675" cm="1">
        <f t="array" aca="1" ref="L675" ca="1">_xlfn.IFS(EmployeeData[[#This Row],[Status]]="Exited",DATEDIF(EmployeeData[[#This Row],[Join Date]], EmployeeData[[#This Row],[Exit Date]], "Y"),EmployeeData[[#This Row],[Status]]="Active",DATEDIF(EmployeeData[[#This Row],[Join Date]], TODAY(), "Y"))</f>
        <v>4</v>
      </c>
      <c r="Q675" t="str" cm="1">
        <f t="array" aca="1" ref="Q6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15 days</v>
      </c>
    </row>
    <row r="676" spans="1:17" x14ac:dyDescent="0.3">
      <c r="A676">
        <v>1675</v>
      </c>
      <c r="B676" t="s">
        <v>357</v>
      </c>
      <c r="C676" t="s">
        <v>10</v>
      </c>
      <c r="D676" t="s">
        <v>16</v>
      </c>
      <c r="E676">
        <v>42</v>
      </c>
      <c r="F676" t="str" cm="1">
        <f t="array" ref="F676">_xlfn.IFS(EmployeeData[[#This Row],[Age]]&lt;30,"20s",EmployeeData[[#This Row],[Age]]&lt;40,"30s",EmployeeData[[#This Row],[Age]]&lt;50,"40s",EmployeeData[[#This Row],[Age]]&lt;60,"50s",EmployeeData[[#This Row],[Age]]&gt;=60,"60s")</f>
        <v>40s</v>
      </c>
      <c r="G676" s="5">
        <v>44001</v>
      </c>
      <c r="I676" t="s">
        <v>17</v>
      </c>
      <c r="J676" t="s">
        <v>18</v>
      </c>
      <c r="K676" cm="1">
        <f t="array" aca="1" ref="K676" ca="1">_xlfn.IFS(EmployeeData[[#This Row],[Status]]="Active",_xlfn.DAYS(TODAY(),EmployeeData[[#This Row],[Join Date]]),EmployeeData[[#This Row],[Status]]="Exited",_xlfn.DAYS(EmployeeData[[#This Row],[Exit Date]],EmployeeData[[#This Row],[Join Date]]))</f>
        <v>2196</v>
      </c>
      <c r="L676" cm="1">
        <f t="array" aca="1" ref="L676" ca="1">_xlfn.IFS(EmployeeData[[#This Row],[Status]]="Exited",DATEDIF(EmployeeData[[#This Row],[Join Date]], EmployeeData[[#This Row],[Exit Date]], "Y"),EmployeeData[[#This Row],[Status]]="Active",DATEDIF(EmployeeData[[#This Row],[Join Date]], TODAY(), "Y"))</f>
        <v>6</v>
      </c>
      <c r="Q676" t="str" cm="1">
        <f t="array" aca="1" ref="Q6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5 days</v>
      </c>
    </row>
    <row r="677" spans="1:17" x14ac:dyDescent="0.3">
      <c r="A677">
        <v>1676</v>
      </c>
      <c r="B677" t="s">
        <v>295</v>
      </c>
      <c r="C677" t="s">
        <v>46</v>
      </c>
      <c r="D677" t="s">
        <v>24</v>
      </c>
      <c r="E677">
        <v>56</v>
      </c>
      <c r="F677" t="str" cm="1">
        <f t="array" ref="F677">_xlfn.IFS(EmployeeData[[#This Row],[Age]]&lt;30,"20s",EmployeeData[[#This Row],[Age]]&lt;40,"30s",EmployeeData[[#This Row],[Age]]&lt;50,"40s",EmployeeData[[#This Row],[Age]]&lt;60,"50s",EmployeeData[[#This Row],[Age]]&gt;=60,"60s")</f>
        <v>50s</v>
      </c>
      <c r="G677" s="5">
        <v>44041</v>
      </c>
      <c r="H677" s="5">
        <v>46134</v>
      </c>
      <c r="I677" t="s">
        <v>52</v>
      </c>
      <c r="J677" t="s">
        <v>13</v>
      </c>
      <c r="K677" cm="1">
        <f t="array" aca="1" ref="K677" ca="1">_xlfn.IFS(EmployeeData[[#This Row],[Status]]="Active",_xlfn.DAYS(TODAY(),EmployeeData[[#This Row],[Join Date]]),EmployeeData[[#This Row],[Status]]="Exited",_xlfn.DAYS(EmployeeData[[#This Row],[Exit Date]],EmployeeData[[#This Row],[Join Date]]))</f>
        <v>2093</v>
      </c>
      <c r="L677" cm="1">
        <f t="array" aca="1" ref="L677" ca="1">_xlfn.IFS(EmployeeData[[#This Row],[Status]]="Exited",DATEDIF(EmployeeData[[#This Row],[Join Date]], EmployeeData[[#This Row],[Exit Date]], "Y"),EmployeeData[[#This Row],[Status]]="Active",DATEDIF(EmployeeData[[#This Row],[Join Date]], TODAY(), "Y"))</f>
        <v>5</v>
      </c>
      <c r="Q677" t="str" cm="1">
        <f t="array" aca="1" ref="Q6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8 months 24 days</v>
      </c>
    </row>
    <row r="678" spans="1:17" x14ac:dyDescent="0.3">
      <c r="A678">
        <v>1677</v>
      </c>
      <c r="B678" t="s">
        <v>162</v>
      </c>
      <c r="C678" t="s">
        <v>10</v>
      </c>
      <c r="D678" t="s">
        <v>11</v>
      </c>
      <c r="E678">
        <v>54</v>
      </c>
      <c r="F678" t="str" cm="1">
        <f t="array" ref="F678">_xlfn.IFS(EmployeeData[[#This Row],[Age]]&lt;30,"20s",EmployeeData[[#This Row],[Age]]&lt;40,"30s",EmployeeData[[#This Row],[Age]]&lt;50,"40s",EmployeeData[[#This Row],[Age]]&lt;60,"50s",EmployeeData[[#This Row],[Age]]&gt;=60,"60s")</f>
        <v>50s</v>
      </c>
      <c r="G678" s="5">
        <v>44116</v>
      </c>
      <c r="H678" s="5">
        <v>45392</v>
      </c>
      <c r="I678" t="s">
        <v>26</v>
      </c>
      <c r="J678" t="s">
        <v>13</v>
      </c>
      <c r="K678" cm="1">
        <f t="array" aca="1" ref="K678" ca="1">_xlfn.IFS(EmployeeData[[#This Row],[Status]]="Active",_xlfn.DAYS(TODAY(),EmployeeData[[#This Row],[Join Date]]),EmployeeData[[#This Row],[Status]]="Exited",_xlfn.DAYS(EmployeeData[[#This Row],[Exit Date]],EmployeeData[[#This Row],[Join Date]]))</f>
        <v>1276</v>
      </c>
      <c r="L678" cm="1">
        <f t="array" aca="1" ref="L678" ca="1">_xlfn.IFS(EmployeeData[[#This Row],[Status]]="Exited",DATEDIF(EmployeeData[[#This Row],[Join Date]], EmployeeData[[#This Row],[Exit Date]], "Y"),EmployeeData[[#This Row],[Status]]="Active",DATEDIF(EmployeeData[[#This Row],[Join Date]], TODAY(), "Y"))</f>
        <v>3</v>
      </c>
      <c r="Q678" t="str" cm="1">
        <f t="array" aca="1" ref="Q6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29 days</v>
      </c>
    </row>
    <row r="679" spans="1:17" x14ac:dyDescent="0.3">
      <c r="A679">
        <v>1678</v>
      </c>
      <c r="B679" t="s">
        <v>499</v>
      </c>
      <c r="C679" t="s">
        <v>15</v>
      </c>
      <c r="D679" t="s">
        <v>24</v>
      </c>
      <c r="E679">
        <v>53</v>
      </c>
      <c r="F679" t="str" cm="1">
        <f t="array" ref="F679">_xlfn.IFS(EmployeeData[[#This Row],[Age]]&lt;30,"20s",EmployeeData[[#This Row],[Age]]&lt;40,"30s",EmployeeData[[#This Row],[Age]]&lt;50,"40s",EmployeeData[[#This Row],[Age]]&lt;60,"50s",EmployeeData[[#This Row],[Age]]&gt;=60,"60s")</f>
        <v>50s</v>
      </c>
      <c r="G679" s="5">
        <v>43238</v>
      </c>
      <c r="I679" t="s">
        <v>17</v>
      </c>
      <c r="J679" t="s">
        <v>18</v>
      </c>
      <c r="K679" cm="1">
        <f t="array" aca="1" ref="K679" ca="1">_xlfn.IFS(EmployeeData[[#This Row],[Status]]="Active",_xlfn.DAYS(TODAY(),EmployeeData[[#This Row],[Join Date]]),EmployeeData[[#This Row],[Status]]="Exited",_xlfn.DAYS(EmployeeData[[#This Row],[Exit Date]],EmployeeData[[#This Row],[Join Date]]))</f>
        <v>2959</v>
      </c>
      <c r="L679" cm="1">
        <f t="array" aca="1" ref="L679" ca="1">_xlfn.IFS(EmployeeData[[#This Row],[Status]]="Exited",DATEDIF(EmployeeData[[#This Row],[Join Date]], EmployeeData[[#This Row],[Exit Date]], "Y"),EmployeeData[[#This Row],[Status]]="Active",DATEDIF(EmployeeData[[#This Row],[Join Date]], TODAY(), "Y"))</f>
        <v>8</v>
      </c>
      <c r="Q679" t="str" cm="1">
        <f t="array" aca="1" ref="Q6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6 days</v>
      </c>
    </row>
    <row r="680" spans="1:17" x14ac:dyDescent="0.3">
      <c r="A680">
        <v>1679</v>
      </c>
      <c r="B680" t="s">
        <v>565</v>
      </c>
      <c r="C680" t="s">
        <v>20</v>
      </c>
      <c r="D680" t="s">
        <v>16</v>
      </c>
      <c r="E680">
        <v>52</v>
      </c>
      <c r="F680" t="str" cm="1">
        <f t="array" ref="F680">_xlfn.IFS(EmployeeData[[#This Row],[Age]]&lt;30,"20s",EmployeeData[[#This Row],[Age]]&lt;40,"30s",EmployeeData[[#This Row],[Age]]&lt;50,"40s",EmployeeData[[#This Row],[Age]]&lt;60,"50s",EmployeeData[[#This Row],[Age]]&gt;=60,"60s")</f>
        <v>50s</v>
      </c>
      <c r="G680" s="5">
        <v>44086</v>
      </c>
      <c r="H680" s="5">
        <v>45718</v>
      </c>
      <c r="I680" t="s">
        <v>31</v>
      </c>
      <c r="J680" t="s">
        <v>13</v>
      </c>
      <c r="K680" cm="1">
        <f t="array" aca="1" ref="K680" ca="1">_xlfn.IFS(EmployeeData[[#This Row],[Status]]="Active",_xlfn.DAYS(TODAY(),EmployeeData[[#This Row],[Join Date]]),EmployeeData[[#This Row],[Status]]="Exited",_xlfn.DAYS(EmployeeData[[#This Row],[Exit Date]],EmployeeData[[#This Row],[Join Date]]))</f>
        <v>1632</v>
      </c>
      <c r="L680" cm="1">
        <f t="array" aca="1" ref="L680" ca="1">_xlfn.IFS(EmployeeData[[#This Row],[Status]]="Exited",DATEDIF(EmployeeData[[#This Row],[Join Date]], EmployeeData[[#This Row],[Exit Date]], "Y"),EmployeeData[[#This Row],[Status]]="Active",DATEDIF(EmployeeData[[#This Row],[Join Date]], TODAY(), "Y"))</f>
        <v>4</v>
      </c>
      <c r="Q680" t="str" cm="1">
        <f t="array" aca="1" ref="Q6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18 days</v>
      </c>
    </row>
    <row r="681" spans="1:17" x14ac:dyDescent="0.3">
      <c r="A681">
        <v>1680</v>
      </c>
      <c r="B681" t="s">
        <v>151</v>
      </c>
      <c r="C681" t="s">
        <v>15</v>
      </c>
      <c r="D681" t="s">
        <v>11</v>
      </c>
      <c r="E681">
        <v>22</v>
      </c>
      <c r="F681" t="str" cm="1">
        <f t="array" ref="F681">_xlfn.IFS(EmployeeData[[#This Row],[Age]]&lt;30,"20s",EmployeeData[[#This Row],[Age]]&lt;40,"30s",EmployeeData[[#This Row],[Age]]&lt;50,"40s",EmployeeData[[#This Row],[Age]]&lt;60,"50s",EmployeeData[[#This Row],[Age]]&gt;=60,"60s")</f>
        <v>20s</v>
      </c>
      <c r="G681" s="5">
        <v>45066</v>
      </c>
      <c r="I681" t="s">
        <v>17</v>
      </c>
      <c r="J681" t="s">
        <v>18</v>
      </c>
      <c r="K681" cm="1">
        <f t="array" aca="1" ref="K681" ca="1">_xlfn.IFS(EmployeeData[[#This Row],[Status]]="Active",_xlfn.DAYS(TODAY(),EmployeeData[[#This Row],[Join Date]]),EmployeeData[[#This Row],[Status]]="Exited",_xlfn.DAYS(EmployeeData[[#This Row],[Exit Date]],EmployeeData[[#This Row],[Join Date]]))</f>
        <v>1131</v>
      </c>
      <c r="L681" cm="1">
        <f t="array" aca="1" ref="L681" ca="1">_xlfn.IFS(EmployeeData[[#This Row],[Status]]="Exited",DATEDIF(EmployeeData[[#This Row],[Join Date]], EmployeeData[[#This Row],[Exit Date]], "Y"),EmployeeData[[#This Row],[Status]]="Active",DATEDIF(EmployeeData[[#This Row],[Join Date]], TODAY(), "Y"))</f>
        <v>3</v>
      </c>
      <c r="Q681" t="str" cm="1">
        <f t="array" aca="1" ref="Q6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4 days</v>
      </c>
    </row>
    <row r="682" spans="1:17" x14ac:dyDescent="0.3">
      <c r="A682">
        <v>1681</v>
      </c>
      <c r="B682" t="s">
        <v>259</v>
      </c>
      <c r="C682" t="s">
        <v>46</v>
      </c>
      <c r="D682" t="s">
        <v>24</v>
      </c>
      <c r="E682">
        <v>29</v>
      </c>
      <c r="F682" t="str" cm="1">
        <f t="array" ref="F682">_xlfn.IFS(EmployeeData[[#This Row],[Age]]&lt;30,"20s",EmployeeData[[#This Row],[Age]]&lt;40,"30s",EmployeeData[[#This Row],[Age]]&lt;50,"40s",EmployeeData[[#This Row],[Age]]&lt;60,"50s",EmployeeData[[#This Row],[Age]]&gt;=60,"60s")</f>
        <v>20s</v>
      </c>
      <c r="G682" s="5">
        <v>45981</v>
      </c>
      <c r="I682" t="s">
        <v>17</v>
      </c>
      <c r="J682" t="s">
        <v>18</v>
      </c>
      <c r="K682" cm="1">
        <f t="array" aca="1" ref="K682" ca="1">_xlfn.IFS(EmployeeData[[#This Row],[Status]]="Active",_xlfn.DAYS(TODAY(),EmployeeData[[#This Row],[Join Date]]),EmployeeData[[#This Row],[Status]]="Exited",_xlfn.DAYS(EmployeeData[[#This Row],[Exit Date]],EmployeeData[[#This Row],[Join Date]]))</f>
        <v>216</v>
      </c>
      <c r="L682" cm="1">
        <f t="array" aca="1" ref="L682" ca="1">_xlfn.IFS(EmployeeData[[#This Row],[Status]]="Exited",DATEDIF(EmployeeData[[#This Row],[Join Date]], EmployeeData[[#This Row],[Exit Date]], "Y"),EmployeeData[[#This Row],[Status]]="Active",DATEDIF(EmployeeData[[#This Row],[Join Date]], TODAY(), "Y"))</f>
        <v>0</v>
      </c>
      <c r="Q682" t="str" cm="1">
        <f t="array" aca="1" ref="Q6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4 days</v>
      </c>
    </row>
    <row r="683" spans="1:17" x14ac:dyDescent="0.3">
      <c r="A683">
        <v>1682</v>
      </c>
      <c r="B683" t="s">
        <v>378</v>
      </c>
      <c r="C683" t="s">
        <v>33</v>
      </c>
      <c r="D683" t="s">
        <v>16</v>
      </c>
      <c r="E683">
        <v>42</v>
      </c>
      <c r="F683" t="str" cm="1">
        <f t="array" ref="F683">_xlfn.IFS(EmployeeData[[#This Row],[Age]]&lt;30,"20s",EmployeeData[[#This Row],[Age]]&lt;40,"30s",EmployeeData[[#This Row],[Age]]&lt;50,"40s",EmployeeData[[#This Row],[Age]]&lt;60,"50s",EmployeeData[[#This Row],[Age]]&gt;=60,"60s")</f>
        <v>40s</v>
      </c>
      <c r="G683" s="5">
        <v>45275</v>
      </c>
      <c r="H683" s="5">
        <v>45801</v>
      </c>
      <c r="I683" t="s">
        <v>34</v>
      </c>
      <c r="J683" t="s">
        <v>13</v>
      </c>
      <c r="K683" cm="1">
        <f t="array" aca="1" ref="K683" ca="1">_xlfn.IFS(EmployeeData[[#This Row],[Status]]="Active",_xlfn.DAYS(TODAY(),EmployeeData[[#This Row],[Join Date]]),EmployeeData[[#This Row],[Status]]="Exited",_xlfn.DAYS(EmployeeData[[#This Row],[Exit Date]],EmployeeData[[#This Row],[Join Date]]))</f>
        <v>526</v>
      </c>
      <c r="L683" cm="1">
        <f t="array" aca="1" ref="L683" ca="1">_xlfn.IFS(EmployeeData[[#This Row],[Status]]="Exited",DATEDIF(EmployeeData[[#This Row],[Join Date]], EmployeeData[[#This Row],[Exit Date]], "Y"),EmployeeData[[#This Row],[Status]]="Active",DATEDIF(EmployeeData[[#This Row],[Join Date]], TODAY(), "Y"))</f>
        <v>1</v>
      </c>
      <c r="Q683" t="str" cm="1">
        <f t="array" aca="1" ref="Q6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9 days</v>
      </c>
    </row>
    <row r="684" spans="1:17" x14ac:dyDescent="0.3">
      <c r="A684">
        <v>1683</v>
      </c>
      <c r="B684" t="s">
        <v>429</v>
      </c>
      <c r="C684" t="s">
        <v>33</v>
      </c>
      <c r="D684" t="s">
        <v>16</v>
      </c>
      <c r="E684">
        <v>42</v>
      </c>
      <c r="F684" t="str" cm="1">
        <f t="array" ref="F684">_xlfn.IFS(EmployeeData[[#This Row],[Age]]&lt;30,"20s",EmployeeData[[#This Row],[Age]]&lt;40,"30s",EmployeeData[[#This Row],[Age]]&lt;50,"40s",EmployeeData[[#This Row],[Age]]&lt;60,"50s",EmployeeData[[#This Row],[Age]]&gt;=60,"60s")</f>
        <v>40s</v>
      </c>
      <c r="G684" s="5">
        <v>43325</v>
      </c>
      <c r="I684" t="s">
        <v>17</v>
      </c>
      <c r="J684" t="s">
        <v>18</v>
      </c>
      <c r="K684" cm="1">
        <f t="array" aca="1" ref="K684" ca="1">_xlfn.IFS(EmployeeData[[#This Row],[Status]]="Active",_xlfn.DAYS(TODAY(),EmployeeData[[#This Row],[Join Date]]),EmployeeData[[#This Row],[Status]]="Exited",_xlfn.DAYS(EmployeeData[[#This Row],[Exit Date]],EmployeeData[[#This Row],[Join Date]]))</f>
        <v>2872</v>
      </c>
      <c r="L684" cm="1">
        <f t="array" aca="1" ref="L684" ca="1">_xlfn.IFS(EmployeeData[[#This Row],[Status]]="Exited",DATEDIF(EmployeeData[[#This Row],[Join Date]], EmployeeData[[#This Row],[Exit Date]], "Y"),EmployeeData[[#This Row],[Status]]="Active",DATEDIF(EmployeeData[[#This Row],[Join Date]], TODAY(), "Y"))</f>
        <v>7</v>
      </c>
      <c r="Q684" t="str" cm="1">
        <f t="array" aca="1" ref="Q6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11 days</v>
      </c>
    </row>
    <row r="685" spans="1:17" x14ac:dyDescent="0.3">
      <c r="A685">
        <v>1684</v>
      </c>
      <c r="B685" t="s">
        <v>351</v>
      </c>
      <c r="C685" t="s">
        <v>23</v>
      </c>
      <c r="D685" t="s">
        <v>16</v>
      </c>
      <c r="E685">
        <v>44</v>
      </c>
      <c r="F685" t="str" cm="1">
        <f t="array" ref="F685">_xlfn.IFS(EmployeeData[[#This Row],[Age]]&lt;30,"20s",EmployeeData[[#This Row],[Age]]&lt;40,"30s",EmployeeData[[#This Row],[Age]]&lt;50,"40s",EmployeeData[[#This Row],[Age]]&lt;60,"50s",EmployeeData[[#This Row],[Age]]&gt;=60,"60s")</f>
        <v>40s</v>
      </c>
      <c r="G685" s="5">
        <v>43818</v>
      </c>
      <c r="I685" t="s">
        <v>17</v>
      </c>
      <c r="J685" t="s">
        <v>18</v>
      </c>
      <c r="K685" cm="1">
        <f t="array" aca="1" ref="K685" ca="1">_xlfn.IFS(EmployeeData[[#This Row],[Status]]="Active",_xlfn.DAYS(TODAY(),EmployeeData[[#This Row],[Join Date]]),EmployeeData[[#This Row],[Status]]="Exited",_xlfn.DAYS(EmployeeData[[#This Row],[Exit Date]],EmployeeData[[#This Row],[Join Date]]))</f>
        <v>2379</v>
      </c>
      <c r="L685" cm="1">
        <f t="array" aca="1" ref="L685" ca="1">_xlfn.IFS(EmployeeData[[#This Row],[Status]]="Exited",DATEDIF(EmployeeData[[#This Row],[Join Date]], EmployeeData[[#This Row],[Exit Date]], "Y"),EmployeeData[[#This Row],[Status]]="Active",DATEDIF(EmployeeData[[#This Row],[Join Date]], TODAY(), "Y"))</f>
        <v>6</v>
      </c>
      <c r="Q685" t="str" cm="1">
        <f t="array" aca="1" ref="Q6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5 days</v>
      </c>
    </row>
    <row r="686" spans="1:17" x14ac:dyDescent="0.3">
      <c r="A686">
        <v>1685</v>
      </c>
      <c r="B686" t="s">
        <v>504</v>
      </c>
      <c r="C686" t="s">
        <v>15</v>
      </c>
      <c r="D686" t="s">
        <v>11</v>
      </c>
      <c r="E686">
        <v>36</v>
      </c>
      <c r="F686" t="str" cm="1">
        <f t="array" ref="F686">_xlfn.IFS(EmployeeData[[#This Row],[Age]]&lt;30,"20s",EmployeeData[[#This Row],[Age]]&lt;40,"30s",EmployeeData[[#This Row],[Age]]&lt;50,"40s",EmployeeData[[#This Row],[Age]]&lt;60,"50s",EmployeeData[[#This Row],[Age]]&gt;=60,"60s")</f>
        <v>30s</v>
      </c>
      <c r="G686" s="5">
        <v>45311</v>
      </c>
      <c r="H686" s="5">
        <v>45890</v>
      </c>
      <c r="I686" t="s">
        <v>34</v>
      </c>
      <c r="J686" t="s">
        <v>13</v>
      </c>
      <c r="K686" cm="1">
        <f t="array" aca="1" ref="K686" ca="1">_xlfn.IFS(EmployeeData[[#This Row],[Status]]="Active",_xlfn.DAYS(TODAY(),EmployeeData[[#This Row],[Join Date]]),EmployeeData[[#This Row],[Status]]="Exited",_xlfn.DAYS(EmployeeData[[#This Row],[Exit Date]],EmployeeData[[#This Row],[Join Date]]))</f>
        <v>579</v>
      </c>
      <c r="L686" cm="1">
        <f t="array" aca="1" ref="L686" ca="1">_xlfn.IFS(EmployeeData[[#This Row],[Status]]="Exited",DATEDIF(EmployeeData[[#This Row],[Join Date]], EmployeeData[[#This Row],[Exit Date]], "Y"),EmployeeData[[#This Row],[Status]]="Active",DATEDIF(EmployeeData[[#This Row],[Join Date]], TODAY(), "Y"))</f>
        <v>1</v>
      </c>
      <c r="Q686" t="str" cm="1">
        <f t="array" aca="1" ref="Q6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 days</v>
      </c>
    </row>
    <row r="687" spans="1:17" x14ac:dyDescent="0.3">
      <c r="A687">
        <v>1686</v>
      </c>
      <c r="B687" t="s">
        <v>192</v>
      </c>
      <c r="C687" t="s">
        <v>10</v>
      </c>
      <c r="D687" t="s">
        <v>11</v>
      </c>
      <c r="E687">
        <v>53</v>
      </c>
      <c r="F687" t="str" cm="1">
        <f t="array" ref="F687">_xlfn.IFS(EmployeeData[[#This Row],[Age]]&lt;30,"20s",EmployeeData[[#This Row],[Age]]&lt;40,"30s",EmployeeData[[#This Row],[Age]]&lt;50,"40s",EmployeeData[[#This Row],[Age]]&lt;60,"50s",EmployeeData[[#This Row],[Age]]&gt;=60,"60s")</f>
        <v>50s</v>
      </c>
      <c r="G687" s="5">
        <v>45887</v>
      </c>
      <c r="I687" t="s">
        <v>17</v>
      </c>
      <c r="J687" t="s">
        <v>18</v>
      </c>
      <c r="K687" cm="1">
        <f t="array" aca="1" ref="K687" ca="1">_xlfn.IFS(EmployeeData[[#This Row],[Status]]="Active",_xlfn.DAYS(TODAY(),EmployeeData[[#This Row],[Join Date]]),EmployeeData[[#This Row],[Status]]="Exited",_xlfn.DAYS(EmployeeData[[#This Row],[Exit Date]],EmployeeData[[#This Row],[Join Date]]))</f>
        <v>310</v>
      </c>
      <c r="L687" cm="1">
        <f t="array" aca="1" ref="L687" ca="1">_xlfn.IFS(EmployeeData[[#This Row],[Status]]="Exited",DATEDIF(EmployeeData[[#This Row],[Join Date]], EmployeeData[[#This Row],[Exit Date]], "Y"),EmployeeData[[#This Row],[Status]]="Active",DATEDIF(EmployeeData[[#This Row],[Join Date]], TODAY(), "Y"))</f>
        <v>0</v>
      </c>
      <c r="Q687" t="str" cm="1">
        <f t="array" aca="1" ref="Q6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6 days</v>
      </c>
    </row>
    <row r="688" spans="1:17" x14ac:dyDescent="0.3">
      <c r="A688">
        <v>1687</v>
      </c>
      <c r="B688" t="s">
        <v>143</v>
      </c>
      <c r="C688" t="s">
        <v>23</v>
      </c>
      <c r="D688" t="s">
        <v>24</v>
      </c>
      <c r="E688">
        <v>28</v>
      </c>
      <c r="F688" t="str" cm="1">
        <f t="array" ref="F688">_xlfn.IFS(EmployeeData[[#This Row],[Age]]&lt;30,"20s",EmployeeData[[#This Row],[Age]]&lt;40,"30s",EmployeeData[[#This Row],[Age]]&lt;50,"40s",EmployeeData[[#This Row],[Age]]&lt;60,"50s",EmployeeData[[#This Row],[Age]]&gt;=60,"60s")</f>
        <v>20s</v>
      </c>
      <c r="G688" s="5">
        <v>45026</v>
      </c>
      <c r="I688" t="s">
        <v>17</v>
      </c>
      <c r="J688" t="s">
        <v>18</v>
      </c>
      <c r="K688" cm="1">
        <f t="array" aca="1" ref="K688" ca="1">_xlfn.IFS(EmployeeData[[#This Row],[Status]]="Active",_xlfn.DAYS(TODAY(),EmployeeData[[#This Row],[Join Date]]),EmployeeData[[#This Row],[Status]]="Exited",_xlfn.DAYS(EmployeeData[[#This Row],[Exit Date]],EmployeeData[[#This Row],[Join Date]]))</f>
        <v>1171</v>
      </c>
      <c r="L688" cm="1">
        <f t="array" aca="1" ref="L688" ca="1">_xlfn.IFS(EmployeeData[[#This Row],[Status]]="Exited",DATEDIF(EmployeeData[[#This Row],[Join Date]], EmployeeData[[#This Row],[Exit Date]], "Y"),EmployeeData[[#This Row],[Status]]="Active",DATEDIF(EmployeeData[[#This Row],[Join Date]], TODAY(), "Y"))</f>
        <v>3</v>
      </c>
      <c r="Q688" t="str" cm="1">
        <f t="array" aca="1" ref="Q6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14 days</v>
      </c>
    </row>
    <row r="689" spans="1:17" x14ac:dyDescent="0.3">
      <c r="A689">
        <v>1688</v>
      </c>
      <c r="B689" t="s">
        <v>745</v>
      </c>
      <c r="C689" t="s">
        <v>33</v>
      </c>
      <c r="D689" t="s">
        <v>11</v>
      </c>
      <c r="E689">
        <v>25</v>
      </c>
      <c r="F689" t="str" cm="1">
        <f t="array" ref="F689">_xlfn.IFS(EmployeeData[[#This Row],[Age]]&lt;30,"20s",EmployeeData[[#This Row],[Age]]&lt;40,"30s",EmployeeData[[#This Row],[Age]]&lt;50,"40s",EmployeeData[[#This Row],[Age]]&lt;60,"50s",EmployeeData[[#This Row],[Age]]&gt;=60,"60s")</f>
        <v>20s</v>
      </c>
      <c r="G689" s="5">
        <v>43872</v>
      </c>
      <c r="I689" t="s">
        <v>17</v>
      </c>
      <c r="J689" t="s">
        <v>18</v>
      </c>
      <c r="K689" cm="1">
        <f t="array" aca="1" ref="K689" ca="1">_xlfn.IFS(EmployeeData[[#This Row],[Status]]="Active",_xlfn.DAYS(TODAY(),EmployeeData[[#This Row],[Join Date]]),EmployeeData[[#This Row],[Status]]="Exited",_xlfn.DAYS(EmployeeData[[#This Row],[Exit Date]],EmployeeData[[#This Row],[Join Date]]))</f>
        <v>2325</v>
      </c>
      <c r="L689" cm="1">
        <f t="array" aca="1" ref="L689" ca="1">_xlfn.IFS(EmployeeData[[#This Row],[Status]]="Exited",DATEDIF(EmployeeData[[#This Row],[Join Date]], EmployeeData[[#This Row],[Exit Date]], "Y"),EmployeeData[[#This Row],[Status]]="Active",DATEDIF(EmployeeData[[#This Row],[Join Date]], TODAY(), "Y"))</f>
        <v>6</v>
      </c>
      <c r="Q689" t="str" cm="1">
        <f t="array" aca="1" ref="Q6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13 days</v>
      </c>
    </row>
    <row r="690" spans="1:17" x14ac:dyDescent="0.3">
      <c r="A690">
        <v>1689</v>
      </c>
      <c r="B690" t="s">
        <v>1031</v>
      </c>
      <c r="C690" t="s">
        <v>10</v>
      </c>
      <c r="D690" t="s">
        <v>11</v>
      </c>
      <c r="E690">
        <v>27</v>
      </c>
      <c r="F690" t="str" cm="1">
        <f t="array" ref="F690">_xlfn.IFS(EmployeeData[[#This Row],[Age]]&lt;30,"20s",EmployeeData[[#This Row],[Age]]&lt;40,"30s",EmployeeData[[#This Row],[Age]]&lt;50,"40s",EmployeeData[[#This Row],[Age]]&lt;60,"50s",EmployeeData[[#This Row],[Age]]&gt;=60,"60s")</f>
        <v>20s</v>
      </c>
      <c r="G690" s="5">
        <v>43775</v>
      </c>
      <c r="H690" s="5">
        <v>44471</v>
      </c>
      <c r="I690" t="s">
        <v>65</v>
      </c>
      <c r="J690" t="s">
        <v>13</v>
      </c>
      <c r="K690" cm="1">
        <f t="array" aca="1" ref="K690" ca="1">_xlfn.IFS(EmployeeData[[#This Row],[Status]]="Active",_xlfn.DAYS(TODAY(),EmployeeData[[#This Row],[Join Date]]),EmployeeData[[#This Row],[Status]]="Exited",_xlfn.DAYS(EmployeeData[[#This Row],[Exit Date]],EmployeeData[[#This Row],[Join Date]]))</f>
        <v>696</v>
      </c>
      <c r="L690" cm="1">
        <f t="array" aca="1" ref="L690" ca="1">_xlfn.IFS(EmployeeData[[#This Row],[Status]]="Exited",DATEDIF(EmployeeData[[#This Row],[Join Date]], EmployeeData[[#This Row],[Exit Date]], "Y"),EmployeeData[[#This Row],[Status]]="Active",DATEDIF(EmployeeData[[#This Row],[Join Date]], TODAY(), "Y"))</f>
        <v>1</v>
      </c>
      <c r="Q690" t="str" cm="1">
        <f t="array" aca="1" ref="Q6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26 days</v>
      </c>
    </row>
    <row r="691" spans="1:17" x14ac:dyDescent="0.3">
      <c r="A691">
        <v>1690</v>
      </c>
      <c r="B691" t="s">
        <v>250</v>
      </c>
      <c r="C691" t="s">
        <v>15</v>
      </c>
      <c r="D691" t="s">
        <v>24</v>
      </c>
      <c r="E691">
        <v>55</v>
      </c>
      <c r="F691" t="str" cm="1">
        <f t="array" ref="F691">_xlfn.IFS(EmployeeData[[#This Row],[Age]]&lt;30,"20s",EmployeeData[[#This Row],[Age]]&lt;40,"30s",EmployeeData[[#This Row],[Age]]&lt;50,"40s",EmployeeData[[#This Row],[Age]]&lt;60,"50s",EmployeeData[[#This Row],[Age]]&gt;=60,"60s")</f>
        <v>50s</v>
      </c>
      <c r="G691" s="5">
        <v>43641</v>
      </c>
      <c r="I691" t="s">
        <v>17</v>
      </c>
      <c r="J691" t="s">
        <v>18</v>
      </c>
      <c r="K691" cm="1">
        <f t="array" aca="1" ref="K691" ca="1">_xlfn.IFS(EmployeeData[[#This Row],[Status]]="Active",_xlfn.DAYS(TODAY(),EmployeeData[[#This Row],[Join Date]]),EmployeeData[[#This Row],[Status]]="Exited",_xlfn.DAYS(EmployeeData[[#This Row],[Exit Date]],EmployeeData[[#This Row],[Join Date]]))</f>
        <v>2556</v>
      </c>
      <c r="L691" cm="1">
        <f t="array" aca="1" ref="L691" ca="1">_xlfn.IFS(EmployeeData[[#This Row],[Status]]="Exited",DATEDIF(EmployeeData[[#This Row],[Join Date]], EmployeeData[[#This Row],[Exit Date]], "Y"),EmployeeData[[#This Row],[Status]]="Active",DATEDIF(EmployeeData[[#This Row],[Join Date]], TODAY(), "Y"))</f>
        <v>6</v>
      </c>
      <c r="Q691" t="str" cm="1">
        <f t="array" aca="1" ref="Q6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30 days</v>
      </c>
    </row>
    <row r="692" spans="1:17" x14ac:dyDescent="0.3">
      <c r="A692">
        <v>1691</v>
      </c>
      <c r="B692" t="s">
        <v>1073</v>
      </c>
      <c r="C692" t="s">
        <v>15</v>
      </c>
      <c r="D692" t="s">
        <v>16</v>
      </c>
      <c r="E692">
        <v>22</v>
      </c>
      <c r="F692" t="str" cm="1">
        <f t="array" ref="F692">_xlfn.IFS(EmployeeData[[#This Row],[Age]]&lt;30,"20s",EmployeeData[[#This Row],[Age]]&lt;40,"30s",EmployeeData[[#This Row],[Age]]&lt;50,"40s",EmployeeData[[#This Row],[Age]]&lt;60,"50s",EmployeeData[[#This Row],[Age]]&gt;=60,"60s")</f>
        <v>20s</v>
      </c>
      <c r="G692" s="5">
        <v>44052</v>
      </c>
      <c r="I692" t="s">
        <v>17</v>
      </c>
      <c r="J692" t="s">
        <v>18</v>
      </c>
      <c r="K692" cm="1">
        <f t="array" aca="1" ref="K692" ca="1">_xlfn.IFS(EmployeeData[[#This Row],[Status]]="Active",_xlfn.DAYS(TODAY(),EmployeeData[[#This Row],[Join Date]]),EmployeeData[[#This Row],[Status]]="Exited",_xlfn.DAYS(EmployeeData[[#This Row],[Exit Date]],EmployeeData[[#This Row],[Join Date]]))</f>
        <v>2145</v>
      </c>
      <c r="L692" cm="1">
        <f t="array" aca="1" ref="L692" ca="1">_xlfn.IFS(EmployeeData[[#This Row],[Status]]="Exited",DATEDIF(EmployeeData[[#This Row],[Join Date]], EmployeeData[[#This Row],[Exit Date]], "Y"),EmployeeData[[#This Row],[Status]]="Active",DATEDIF(EmployeeData[[#This Row],[Join Date]], TODAY(), "Y"))</f>
        <v>5</v>
      </c>
      <c r="Q692" t="str" cm="1">
        <f t="array" aca="1" ref="Q6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15 days</v>
      </c>
    </row>
    <row r="693" spans="1:17" x14ac:dyDescent="0.3">
      <c r="A693">
        <v>1692</v>
      </c>
      <c r="B693" t="s">
        <v>734</v>
      </c>
      <c r="C693" t="s">
        <v>20</v>
      </c>
      <c r="D693" t="s">
        <v>11</v>
      </c>
      <c r="E693">
        <v>52</v>
      </c>
      <c r="F693" t="str" cm="1">
        <f t="array" ref="F693">_xlfn.IFS(EmployeeData[[#This Row],[Age]]&lt;30,"20s",EmployeeData[[#This Row],[Age]]&lt;40,"30s",EmployeeData[[#This Row],[Age]]&lt;50,"40s",EmployeeData[[#This Row],[Age]]&lt;60,"50s",EmployeeData[[#This Row],[Age]]&gt;=60,"60s")</f>
        <v>50s</v>
      </c>
      <c r="G693" s="5">
        <v>45531</v>
      </c>
      <c r="I693" t="s">
        <v>17</v>
      </c>
      <c r="J693" t="s">
        <v>18</v>
      </c>
      <c r="K693" cm="1">
        <f t="array" aca="1" ref="K693" ca="1">_xlfn.IFS(EmployeeData[[#This Row],[Status]]="Active",_xlfn.DAYS(TODAY(),EmployeeData[[#This Row],[Join Date]]),EmployeeData[[#This Row],[Status]]="Exited",_xlfn.DAYS(EmployeeData[[#This Row],[Exit Date]],EmployeeData[[#This Row],[Join Date]]))</f>
        <v>666</v>
      </c>
      <c r="L693" cm="1">
        <f t="array" aca="1" ref="L693" ca="1">_xlfn.IFS(EmployeeData[[#This Row],[Status]]="Exited",DATEDIF(EmployeeData[[#This Row],[Join Date]], EmployeeData[[#This Row],[Exit Date]], "Y"),EmployeeData[[#This Row],[Status]]="Active",DATEDIF(EmployeeData[[#This Row],[Join Date]], TODAY(), "Y"))</f>
        <v>1</v>
      </c>
      <c r="Q693" t="str" cm="1">
        <f t="array" aca="1" ref="Q6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28 days</v>
      </c>
    </row>
    <row r="694" spans="1:17" x14ac:dyDescent="0.3">
      <c r="A694">
        <v>1693</v>
      </c>
      <c r="B694" t="s">
        <v>107</v>
      </c>
      <c r="C694" t="s">
        <v>23</v>
      </c>
      <c r="D694" t="s">
        <v>11</v>
      </c>
      <c r="E694">
        <v>40</v>
      </c>
      <c r="F694" t="str" cm="1">
        <f t="array" ref="F694">_xlfn.IFS(EmployeeData[[#This Row],[Age]]&lt;30,"20s",EmployeeData[[#This Row],[Age]]&lt;40,"30s",EmployeeData[[#This Row],[Age]]&lt;50,"40s",EmployeeData[[#This Row],[Age]]&lt;60,"50s",EmployeeData[[#This Row],[Age]]&gt;=60,"60s")</f>
        <v>40s</v>
      </c>
      <c r="G694" s="5">
        <v>43804</v>
      </c>
      <c r="I694" t="s">
        <v>17</v>
      </c>
      <c r="J694" t="s">
        <v>18</v>
      </c>
      <c r="K694" cm="1">
        <f t="array" aca="1" ref="K694" ca="1">_xlfn.IFS(EmployeeData[[#This Row],[Status]]="Active",_xlfn.DAYS(TODAY(),EmployeeData[[#This Row],[Join Date]]),EmployeeData[[#This Row],[Status]]="Exited",_xlfn.DAYS(EmployeeData[[#This Row],[Exit Date]],EmployeeData[[#This Row],[Join Date]]))</f>
        <v>2393</v>
      </c>
      <c r="L694" cm="1">
        <f t="array" aca="1" ref="L694" ca="1">_xlfn.IFS(EmployeeData[[#This Row],[Status]]="Exited",DATEDIF(EmployeeData[[#This Row],[Join Date]], EmployeeData[[#This Row],[Exit Date]], "Y"),EmployeeData[[#This Row],[Status]]="Active",DATEDIF(EmployeeData[[#This Row],[Join Date]], TODAY(), "Y"))</f>
        <v>6</v>
      </c>
      <c r="Q694" t="str" cm="1">
        <f t="array" aca="1" ref="Q6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19 days</v>
      </c>
    </row>
    <row r="695" spans="1:17" x14ac:dyDescent="0.3">
      <c r="A695">
        <v>1694</v>
      </c>
      <c r="B695" t="s">
        <v>558</v>
      </c>
      <c r="C695" t="s">
        <v>20</v>
      </c>
      <c r="D695" t="s">
        <v>16</v>
      </c>
      <c r="E695">
        <v>43</v>
      </c>
      <c r="F695" t="str" cm="1">
        <f t="array" ref="F695">_xlfn.IFS(EmployeeData[[#This Row],[Age]]&lt;30,"20s",EmployeeData[[#This Row],[Age]]&lt;40,"30s",EmployeeData[[#This Row],[Age]]&lt;50,"40s",EmployeeData[[#This Row],[Age]]&lt;60,"50s",EmployeeData[[#This Row],[Age]]&gt;=60,"60s")</f>
        <v>40s</v>
      </c>
      <c r="G695" s="5">
        <v>44265</v>
      </c>
      <c r="I695" t="s">
        <v>17</v>
      </c>
      <c r="J695" t="s">
        <v>18</v>
      </c>
      <c r="K695" cm="1">
        <f t="array" aca="1" ref="K695" ca="1">_xlfn.IFS(EmployeeData[[#This Row],[Status]]="Active",_xlfn.DAYS(TODAY(),EmployeeData[[#This Row],[Join Date]]),EmployeeData[[#This Row],[Status]]="Exited",_xlfn.DAYS(EmployeeData[[#This Row],[Exit Date]],EmployeeData[[#This Row],[Join Date]]))</f>
        <v>1932</v>
      </c>
      <c r="L695" cm="1">
        <f t="array" aca="1" ref="L695" ca="1">_xlfn.IFS(EmployeeData[[#This Row],[Status]]="Exited",DATEDIF(EmployeeData[[#This Row],[Join Date]], EmployeeData[[#This Row],[Exit Date]], "Y"),EmployeeData[[#This Row],[Status]]="Active",DATEDIF(EmployeeData[[#This Row],[Join Date]], TODAY(), "Y"))</f>
        <v>5</v>
      </c>
      <c r="Q695" t="str" cm="1">
        <f t="array" aca="1" ref="Q6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14 days</v>
      </c>
    </row>
    <row r="696" spans="1:17" x14ac:dyDescent="0.3">
      <c r="A696">
        <v>1695</v>
      </c>
      <c r="B696" t="s">
        <v>744</v>
      </c>
      <c r="C696" t="s">
        <v>20</v>
      </c>
      <c r="D696" t="s">
        <v>16</v>
      </c>
      <c r="E696">
        <v>32</v>
      </c>
      <c r="F696" t="str" cm="1">
        <f t="array" ref="F696">_xlfn.IFS(EmployeeData[[#This Row],[Age]]&lt;30,"20s",EmployeeData[[#This Row],[Age]]&lt;40,"30s",EmployeeData[[#This Row],[Age]]&lt;50,"40s",EmployeeData[[#This Row],[Age]]&lt;60,"50s",EmployeeData[[#This Row],[Age]]&gt;=60,"60s")</f>
        <v>30s</v>
      </c>
      <c r="G696" s="5">
        <v>46001</v>
      </c>
      <c r="I696" t="s">
        <v>17</v>
      </c>
      <c r="J696" t="s">
        <v>18</v>
      </c>
      <c r="K696" cm="1">
        <f t="array" aca="1" ref="K696" ca="1">_xlfn.IFS(EmployeeData[[#This Row],[Status]]="Active",_xlfn.DAYS(TODAY(),EmployeeData[[#This Row],[Join Date]]),EmployeeData[[#This Row],[Status]]="Exited",_xlfn.DAYS(EmployeeData[[#This Row],[Exit Date]],EmployeeData[[#This Row],[Join Date]]))</f>
        <v>196</v>
      </c>
      <c r="L696" cm="1">
        <f t="array" aca="1" ref="L696" ca="1">_xlfn.IFS(EmployeeData[[#This Row],[Status]]="Exited",DATEDIF(EmployeeData[[#This Row],[Join Date]], EmployeeData[[#This Row],[Exit Date]], "Y"),EmployeeData[[#This Row],[Status]]="Active",DATEDIF(EmployeeData[[#This Row],[Join Date]], TODAY(), "Y"))</f>
        <v>0</v>
      </c>
      <c r="Q696" t="str" cm="1">
        <f t="array" aca="1" ref="Q6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14 days</v>
      </c>
    </row>
    <row r="697" spans="1:17" x14ac:dyDescent="0.3">
      <c r="A697">
        <v>1696</v>
      </c>
      <c r="B697" t="s">
        <v>139</v>
      </c>
      <c r="C697" t="s">
        <v>46</v>
      </c>
      <c r="D697" t="s">
        <v>24</v>
      </c>
      <c r="E697">
        <v>49</v>
      </c>
      <c r="F697" t="str" cm="1">
        <f t="array" ref="F697">_xlfn.IFS(EmployeeData[[#This Row],[Age]]&lt;30,"20s",EmployeeData[[#This Row],[Age]]&lt;40,"30s",EmployeeData[[#This Row],[Age]]&lt;50,"40s",EmployeeData[[#This Row],[Age]]&lt;60,"50s",EmployeeData[[#This Row],[Age]]&gt;=60,"60s")</f>
        <v>40s</v>
      </c>
      <c r="G697" s="5">
        <v>44167</v>
      </c>
      <c r="H697" s="5">
        <v>44677</v>
      </c>
      <c r="I697" t="s">
        <v>65</v>
      </c>
      <c r="J697" t="s">
        <v>13</v>
      </c>
      <c r="K697" cm="1">
        <f t="array" aca="1" ref="K697" ca="1">_xlfn.IFS(EmployeeData[[#This Row],[Status]]="Active",_xlfn.DAYS(TODAY(),EmployeeData[[#This Row],[Join Date]]),EmployeeData[[#This Row],[Status]]="Exited",_xlfn.DAYS(EmployeeData[[#This Row],[Exit Date]],EmployeeData[[#This Row],[Join Date]]))</f>
        <v>510</v>
      </c>
      <c r="L697" cm="1">
        <f t="array" aca="1" ref="L697" ca="1">_xlfn.IFS(EmployeeData[[#This Row],[Status]]="Exited",DATEDIF(EmployeeData[[#This Row],[Join Date]], EmployeeData[[#This Row],[Exit Date]], "Y"),EmployeeData[[#This Row],[Status]]="Active",DATEDIF(EmployeeData[[#This Row],[Join Date]], TODAY(), "Y"))</f>
        <v>1</v>
      </c>
      <c r="Q697" t="str" cm="1">
        <f t="array" aca="1" ref="Q6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24 days</v>
      </c>
    </row>
    <row r="698" spans="1:17" x14ac:dyDescent="0.3">
      <c r="A698">
        <v>1697</v>
      </c>
      <c r="B698" t="s">
        <v>792</v>
      </c>
      <c r="C698" t="s">
        <v>15</v>
      </c>
      <c r="D698" t="s">
        <v>24</v>
      </c>
      <c r="E698">
        <v>31</v>
      </c>
      <c r="F698" t="str" cm="1">
        <f t="array" ref="F698">_xlfn.IFS(EmployeeData[[#This Row],[Age]]&lt;30,"20s",EmployeeData[[#This Row],[Age]]&lt;40,"30s",EmployeeData[[#This Row],[Age]]&lt;50,"40s",EmployeeData[[#This Row],[Age]]&lt;60,"50s",EmployeeData[[#This Row],[Age]]&gt;=60,"60s")</f>
        <v>30s</v>
      </c>
      <c r="G698" s="5">
        <v>45286</v>
      </c>
      <c r="H698" s="5">
        <v>45401</v>
      </c>
      <c r="I698" t="s">
        <v>12</v>
      </c>
      <c r="J698" t="s">
        <v>13</v>
      </c>
      <c r="K698" cm="1">
        <f t="array" aca="1" ref="K698" ca="1">_xlfn.IFS(EmployeeData[[#This Row],[Status]]="Active",_xlfn.DAYS(TODAY(),EmployeeData[[#This Row],[Join Date]]),EmployeeData[[#This Row],[Status]]="Exited",_xlfn.DAYS(EmployeeData[[#This Row],[Exit Date]],EmployeeData[[#This Row],[Join Date]]))</f>
        <v>115</v>
      </c>
      <c r="L698" cm="1">
        <f t="array" aca="1" ref="L698" ca="1">_xlfn.IFS(EmployeeData[[#This Row],[Status]]="Exited",DATEDIF(EmployeeData[[#This Row],[Join Date]], EmployeeData[[#This Row],[Exit Date]], "Y"),EmployeeData[[#This Row],[Status]]="Active",DATEDIF(EmployeeData[[#This Row],[Join Date]], TODAY(), "Y"))</f>
        <v>0</v>
      </c>
      <c r="Q698" t="str" cm="1">
        <f t="array" aca="1" ref="Q6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24 days</v>
      </c>
    </row>
    <row r="699" spans="1:17" x14ac:dyDescent="0.3">
      <c r="A699">
        <v>1698</v>
      </c>
      <c r="B699" t="s">
        <v>312</v>
      </c>
      <c r="C699" t="s">
        <v>46</v>
      </c>
      <c r="D699" t="s">
        <v>16</v>
      </c>
      <c r="E699">
        <v>59</v>
      </c>
      <c r="F699" t="str" cm="1">
        <f t="array" ref="F699">_xlfn.IFS(EmployeeData[[#This Row],[Age]]&lt;30,"20s",EmployeeData[[#This Row],[Age]]&lt;40,"30s",EmployeeData[[#This Row],[Age]]&lt;50,"40s",EmployeeData[[#This Row],[Age]]&lt;60,"50s",EmployeeData[[#This Row],[Age]]&gt;=60,"60s")</f>
        <v>50s</v>
      </c>
      <c r="G699" s="5">
        <v>45179</v>
      </c>
      <c r="H699" s="5">
        <v>45991</v>
      </c>
      <c r="I699" t="s">
        <v>26</v>
      </c>
      <c r="J699" t="s">
        <v>13</v>
      </c>
      <c r="K699" cm="1">
        <f t="array" aca="1" ref="K699" ca="1">_xlfn.IFS(EmployeeData[[#This Row],[Status]]="Active",_xlfn.DAYS(TODAY(),EmployeeData[[#This Row],[Join Date]]),EmployeeData[[#This Row],[Status]]="Exited",_xlfn.DAYS(EmployeeData[[#This Row],[Exit Date]],EmployeeData[[#This Row],[Join Date]]))</f>
        <v>812</v>
      </c>
      <c r="L699" cm="1">
        <f t="array" aca="1" ref="L699" ca="1">_xlfn.IFS(EmployeeData[[#This Row],[Status]]="Exited",DATEDIF(EmployeeData[[#This Row],[Join Date]], EmployeeData[[#This Row],[Exit Date]], "Y"),EmployeeData[[#This Row],[Status]]="Active",DATEDIF(EmployeeData[[#This Row],[Join Date]], TODAY(), "Y"))</f>
        <v>2</v>
      </c>
      <c r="Q699" t="str" cm="1">
        <f t="array" aca="1" ref="Q6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20 days</v>
      </c>
    </row>
    <row r="700" spans="1:17" x14ac:dyDescent="0.3">
      <c r="A700">
        <v>1699</v>
      </c>
      <c r="B700" t="s">
        <v>768</v>
      </c>
      <c r="C700" t="s">
        <v>46</v>
      </c>
      <c r="D700" t="s">
        <v>24</v>
      </c>
      <c r="E700">
        <v>28</v>
      </c>
      <c r="F700" t="str" cm="1">
        <f t="array" ref="F700">_xlfn.IFS(EmployeeData[[#This Row],[Age]]&lt;30,"20s",EmployeeData[[#This Row],[Age]]&lt;40,"30s",EmployeeData[[#This Row],[Age]]&lt;50,"40s",EmployeeData[[#This Row],[Age]]&lt;60,"50s",EmployeeData[[#This Row],[Age]]&gt;=60,"60s")</f>
        <v>20s</v>
      </c>
      <c r="G700" s="5">
        <v>45062</v>
      </c>
      <c r="I700" t="s">
        <v>17</v>
      </c>
      <c r="J700" t="s">
        <v>18</v>
      </c>
      <c r="K700" cm="1">
        <f t="array" aca="1" ref="K700" ca="1">_xlfn.IFS(EmployeeData[[#This Row],[Status]]="Active",_xlfn.DAYS(TODAY(),EmployeeData[[#This Row],[Join Date]]),EmployeeData[[#This Row],[Status]]="Exited",_xlfn.DAYS(EmployeeData[[#This Row],[Exit Date]],EmployeeData[[#This Row],[Join Date]]))</f>
        <v>1135</v>
      </c>
      <c r="L700" cm="1">
        <f t="array" aca="1" ref="L700" ca="1">_xlfn.IFS(EmployeeData[[#This Row],[Status]]="Exited",DATEDIF(EmployeeData[[#This Row],[Join Date]], EmployeeData[[#This Row],[Exit Date]], "Y"),EmployeeData[[#This Row],[Status]]="Active",DATEDIF(EmployeeData[[#This Row],[Join Date]], TODAY(), "Y"))</f>
        <v>3</v>
      </c>
      <c r="Q700" t="str" cm="1">
        <f t="array" aca="1" ref="Q7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8 days</v>
      </c>
    </row>
    <row r="701" spans="1:17" x14ac:dyDescent="0.3">
      <c r="A701">
        <v>1700</v>
      </c>
      <c r="B701" t="s">
        <v>528</v>
      </c>
      <c r="C701" t="s">
        <v>15</v>
      </c>
      <c r="D701" t="s">
        <v>24</v>
      </c>
      <c r="E701">
        <v>35</v>
      </c>
      <c r="F701" t="str" cm="1">
        <f t="array" ref="F701">_xlfn.IFS(EmployeeData[[#This Row],[Age]]&lt;30,"20s",EmployeeData[[#This Row],[Age]]&lt;40,"30s",EmployeeData[[#This Row],[Age]]&lt;50,"40s",EmployeeData[[#This Row],[Age]]&lt;60,"50s",EmployeeData[[#This Row],[Age]]&gt;=60,"60s")</f>
        <v>30s</v>
      </c>
      <c r="G701" s="5">
        <v>44927</v>
      </c>
      <c r="H701" s="5">
        <v>45685</v>
      </c>
      <c r="I701" t="s">
        <v>31</v>
      </c>
      <c r="J701" t="s">
        <v>13</v>
      </c>
      <c r="K701" cm="1">
        <f t="array" aca="1" ref="K701" ca="1">_xlfn.IFS(EmployeeData[[#This Row],[Status]]="Active",_xlfn.DAYS(TODAY(),EmployeeData[[#This Row],[Join Date]]),EmployeeData[[#This Row],[Status]]="Exited",_xlfn.DAYS(EmployeeData[[#This Row],[Exit Date]],EmployeeData[[#This Row],[Join Date]]))</f>
        <v>758</v>
      </c>
      <c r="L701" cm="1">
        <f t="array" aca="1" ref="L701" ca="1">_xlfn.IFS(EmployeeData[[#This Row],[Status]]="Exited",DATEDIF(EmployeeData[[#This Row],[Join Date]], EmployeeData[[#This Row],[Exit Date]], "Y"),EmployeeData[[#This Row],[Status]]="Active",DATEDIF(EmployeeData[[#This Row],[Join Date]], TODAY(), "Y"))</f>
        <v>2</v>
      </c>
      <c r="Q701" t="str" cm="1">
        <f t="array" aca="1" ref="Q7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27 days</v>
      </c>
    </row>
    <row r="702" spans="1:17" x14ac:dyDescent="0.3">
      <c r="A702">
        <v>1701</v>
      </c>
      <c r="B702" t="s">
        <v>623</v>
      </c>
      <c r="C702" t="s">
        <v>15</v>
      </c>
      <c r="D702" t="s">
        <v>16</v>
      </c>
      <c r="E702">
        <v>49</v>
      </c>
      <c r="F702" t="str" cm="1">
        <f t="array" ref="F702">_xlfn.IFS(EmployeeData[[#This Row],[Age]]&lt;30,"20s",EmployeeData[[#This Row],[Age]]&lt;40,"30s",EmployeeData[[#This Row],[Age]]&lt;50,"40s",EmployeeData[[#This Row],[Age]]&lt;60,"50s",EmployeeData[[#This Row],[Age]]&gt;=60,"60s")</f>
        <v>40s</v>
      </c>
      <c r="G702" s="5">
        <v>45874</v>
      </c>
      <c r="I702" t="s">
        <v>17</v>
      </c>
      <c r="J702" t="s">
        <v>18</v>
      </c>
      <c r="K702" cm="1">
        <f t="array" aca="1" ref="K702" ca="1">_xlfn.IFS(EmployeeData[[#This Row],[Status]]="Active",_xlfn.DAYS(TODAY(),EmployeeData[[#This Row],[Join Date]]),EmployeeData[[#This Row],[Status]]="Exited",_xlfn.DAYS(EmployeeData[[#This Row],[Exit Date]],EmployeeData[[#This Row],[Join Date]]))</f>
        <v>323</v>
      </c>
      <c r="L702" cm="1">
        <f t="array" aca="1" ref="L702" ca="1">_xlfn.IFS(EmployeeData[[#This Row],[Status]]="Exited",DATEDIF(EmployeeData[[#This Row],[Join Date]], EmployeeData[[#This Row],[Exit Date]], "Y"),EmployeeData[[#This Row],[Status]]="Active",DATEDIF(EmployeeData[[#This Row],[Join Date]], TODAY(), "Y"))</f>
        <v>0</v>
      </c>
      <c r="Q702" t="str" cm="1">
        <f t="array" aca="1" ref="Q7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19 days</v>
      </c>
    </row>
    <row r="703" spans="1:17" x14ac:dyDescent="0.3">
      <c r="A703">
        <v>1702</v>
      </c>
      <c r="B703" t="s">
        <v>235</v>
      </c>
      <c r="C703" t="s">
        <v>10</v>
      </c>
      <c r="D703" t="s">
        <v>24</v>
      </c>
      <c r="E703">
        <v>24</v>
      </c>
      <c r="F703" t="str" cm="1">
        <f t="array" ref="F703">_xlfn.IFS(EmployeeData[[#This Row],[Age]]&lt;30,"20s",EmployeeData[[#This Row],[Age]]&lt;40,"30s",EmployeeData[[#This Row],[Age]]&lt;50,"40s",EmployeeData[[#This Row],[Age]]&lt;60,"50s",EmployeeData[[#This Row],[Age]]&gt;=60,"60s")</f>
        <v>20s</v>
      </c>
      <c r="G703" s="5">
        <v>45832</v>
      </c>
      <c r="H703" s="5">
        <v>45997</v>
      </c>
      <c r="I703" t="s">
        <v>34</v>
      </c>
      <c r="J703" t="s">
        <v>13</v>
      </c>
      <c r="K703" cm="1">
        <f t="array" aca="1" ref="K703" ca="1">_xlfn.IFS(EmployeeData[[#This Row],[Status]]="Active",_xlfn.DAYS(TODAY(),EmployeeData[[#This Row],[Join Date]]),EmployeeData[[#This Row],[Status]]="Exited",_xlfn.DAYS(EmployeeData[[#This Row],[Exit Date]],EmployeeData[[#This Row],[Join Date]]))</f>
        <v>165</v>
      </c>
      <c r="L703" cm="1">
        <f t="array" aca="1" ref="L703" ca="1">_xlfn.IFS(EmployeeData[[#This Row],[Status]]="Exited",DATEDIF(EmployeeData[[#This Row],[Join Date]], EmployeeData[[#This Row],[Exit Date]], "Y"),EmployeeData[[#This Row],[Status]]="Active",DATEDIF(EmployeeData[[#This Row],[Join Date]], TODAY(), "Y"))</f>
        <v>0</v>
      </c>
      <c r="Q703" t="str" cm="1">
        <f t="array" aca="1" ref="Q7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12 days</v>
      </c>
    </row>
    <row r="704" spans="1:17" x14ac:dyDescent="0.3">
      <c r="A704">
        <v>1703</v>
      </c>
      <c r="B704" t="s">
        <v>141</v>
      </c>
      <c r="C704" t="s">
        <v>10</v>
      </c>
      <c r="D704" t="s">
        <v>24</v>
      </c>
      <c r="E704">
        <v>49</v>
      </c>
      <c r="F704" t="str" cm="1">
        <f t="array" ref="F704">_xlfn.IFS(EmployeeData[[#This Row],[Age]]&lt;30,"20s",EmployeeData[[#This Row],[Age]]&lt;40,"30s",EmployeeData[[#This Row],[Age]]&lt;50,"40s",EmployeeData[[#This Row],[Age]]&lt;60,"50s",EmployeeData[[#This Row],[Age]]&gt;=60,"60s")</f>
        <v>40s</v>
      </c>
      <c r="G704" s="5">
        <v>45398</v>
      </c>
      <c r="H704" s="5">
        <v>45942</v>
      </c>
      <c r="I704" t="s">
        <v>34</v>
      </c>
      <c r="J704" t="s">
        <v>13</v>
      </c>
      <c r="K704" cm="1">
        <f t="array" aca="1" ref="K704" ca="1">_xlfn.IFS(EmployeeData[[#This Row],[Status]]="Active",_xlfn.DAYS(TODAY(),EmployeeData[[#This Row],[Join Date]]),EmployeeData[[#This Row],[Status]]="Exited",_xlfn.DAYS(EmployeeData[[#This Row],[Exit Date]],EmployeeData[[#This Row],[Join Date]]))</f>
        <v>544</v>
      </c>
      <c r="L704" cm="1">
        <f t="array" aca="1" ref="L704" ca="1">_xlfn.IFS(EmployeeData[[#This Row],[Status]]="Exited",DATEDIF(EmployeeData[[#This Row],[Join Date]], EmployeeData[[#This Row],[Exit Date]], "Y"),EmployeeData[[#This Row],[Status]]="Active",DATEDIF(EmployeeData[[#This Row],[Join Date]], TODAY(), "Y"))</f>
        <v>1</v>
      </c>
      <c r="Q704" t="str" cm="1">
        <f t="array" aca="1" ref="Q7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26 days</v>
      </c>
    </row>
    <row r="705" spans="1:17" x14ac:dyDescent="0.3">
      <c r="A705">
        <v>1704</v>
      </c>
      <c r="B705" t="s">
        <v>346</v>
      </c>
      <c r="C705" t="s">
        <v>20</v>
      </c>
      <c r="D705" t="s">
        <v>24</v>
      </c>
      <c r="E705">
        <v>60</v>
      </c>
      <c r="F705" t="str" cm="1">
        <f t="array" ref="F705">_xlfn.IFS(EmployeeData[[#This Row],[Age]]&lt;30,"20s",EmployeeData[[#This Row],[Age]]&lt;40,"30s",EmployeeData[[#This Row],[Age]]&lt;50,"40s",EmployeeData[[#This Row],[Age]]&lt;60,"50s",EmployeeData[[#This Row],[Age]]&gt;=60,"60s")</f>
        <v>60s</v>
      </c>
      <c r="G705" s="5">
        <v>45550</v>
      </c>
      <c r="H705" s="5">
        <v>45852</v>
      </c>
      <c r="I705" t="s">
        <v>26</v>
      </c>
      <c r="J705" t="s">
        <v>13</v>
      </c>
      <c r="K705" cm="1">
        <f t="array" aca="1" ref="K705" ca="1">_xlfn.IFS(EmployeeData[[#This Row],[Status]]="Active",_xlfn.DAYS(TODAY(),EmployeeData[[#This Row],[Join Date]]),EmployeeData[[#This Row],[Status]]="Exited",_xlfn.DAYS(EmployeeData[[#This Row],[Exit Date]],EmployeeData[[#This Row],[Join Date]]))</f>
        <v>302</v>
      </c>
      <c r="L705" cm="1">
        <f t="array" aca="1" ref="L705" ca="1">_xlfn.IFS(EmployeeData[[#This Row],[Status]]="Exited",DATEDIF(EmployeeData[[#This Row],[Join Date]], EmployeeData[[#This Row],[Exit Date]], "Y"),EmployeeData[[#This Row],[Status]]="Active",DATEDIF(EmployeeData[[#This Row],[Join Date]], TODAY(), "Y"))</f>
        <v>0</v>
      </c>
      <c r="Q705" t="str" cm="1">
        <f t="array" aca="1" ref="Q7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29 days</v>
      </c>
    </row>
    <row r="706" spans="1:17" x14ac:dyDescent="0.3">
      <c r="A706">
        <v>1705</v>
      </c>
      <c r="B706" t="s">
        <v>471</v>
      </c>
      <c r="C706" t="s">
        <v>15</v>
      </c>
      <c r="D706" t="s">
        <v>24</v>
      </c>
      <c r="E706">
        <v>38</v>
      </c>
      <c r="F706" t="str" cm="1">
        <f t="array" ref="F706">_xlfn.IFS(EmployeeData[[#This Row],[Age]]&lt;30,"20s",EmployeeData[[#This Row],[Age]]&lt;40,"30s",EmployeeData[[#This Row],[Age]]&lt;50,"40s",EmployeeData[[#This Row],[Age]]&lt;60,"50s",EmployeeData[[#This Row],[Age]]&gt;=60,"60s")</f>
        <v>30s</v>
      </c>
      <c r="G706" s="5">
        <v>44798</v>
      </c>
      <c r="H706" s="5">
        <v>45834</v>
      </c>
      <c r="I706" t="s">
        <v>34</v>
      </c>
      <c r="J706" t="s">
        <v>13</v>
      </c>
      <c r="K706" cm="1">
        <f t="array" aca="1" ref="K706" ca="1">_xlfn.IFS(EmployeeData[[#This Row],[Status]]="Active",_xlfn.DAYS(TODAY(),EmployeeData[[#This Row],[Join Date]]),EmployeeData[[#This Row],[Status]]="Exited",_xlfn.DAYS(EmployeeData[[#This Row],[Exit Date]],EmployeeData[[#This Row],[Join Date]]))</f>
        <v>1036</v>
      </c>
      <c r="L706" cm="1">
        <f t="array" aca="1" ref="L706" ca="1">_xlfn.IFS(EmployeeData[[#This Row],[Status]]="Exited",DATEDIF(EmployeeData[[#This Row],[Join Date]], EmployeeData[[#This Row],[Exit Date]], "Y"),EmployeeData[[#This Row],[Status]]="Active",DATEDIF(EmployeeData[[#This Row],[Join Date]], TODAY(), "Y"))</f>
        <v>2</v>
      </c>
      <c r="Q706" t="str" cm="1">
        <f t="array" aca="1" ref="Q7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 days</v>
      </c>
    </row>
    <row r="707" spans="1:17" x14ac:dyDescent="0.3">
      <c r="A707">
        <v>1706</v>
      </c>
      <c r="B707" t="s">
        <v>1003</v>
      </c>
      <c r="C707" t="s">
        <v>10</v>
      </c>
      <c r="D707" t="s">
        <v>24</v>
      </c>
      <c r="E707">
        <v>40</v>
      </c>
      <c r="F707" t="str" cm="1">
        <f t="array" ref="F707">_xlfn.IFS(EmployeeData[[#This Row],[Age]]&lt;30,"20s",EmployeeData[[#This Row],[Age]]&lt;40,"30s",EmployeeData[[#This Row],[Age]]&lt;50,"40s",EmployeeData[[#This Row],[Age]]&lt;60,"50s",EmployeeData[[#This Row],[Age]]&gt;=60,"60s")</f>
        <v>40s</v>
      </c>
      <c r="G707" s="5">
        <v>45498</v>
      </c>
      <c r="H707" s="5">
        <v>46160</v>
      </c>
      <c r="I707" t="s">
        <v>34</v>
      </c>
      <c r="J707" t="s">
        <v>13</v>
      </c>
      <c r="K707" cm="1">
        <f t="array" aca="1" ref="K707" ca="1">_xlfn.IFS(EmployeeData[[#This Row],[Status]]="Active",_xlfn.DAYS(TODAY(),EmployeeData[[#This Row],[Join Date]]),EmployeeData[[#This Row],[Status]]="Exited",_xlfn.DAYS(EmployeeData[[#This Row],[Exit Date]],EmployeeData[[#This Row],[Join Date]]))</f>
        <v>662</v>
      </c>
      <c r="L707" cm="1">
        <f t="array" aca="1" ref="L707" ca="1">_xlfn.IFS(EmployeeData[[#This Row],[Status]]="Exited",DATEDIF(EmployeeData[[#This Row],[Join Date]], EmployeeData[[#This Row],[Exit Date]], "Y"),EmployeeData[[#This Row],[Status]]="Active",DATEDIF(EmployeeData[[#This Row],[Join Date]], TODAY(), "Y"))</f>
        <v>1</v>
      </c>
      <c r="Q707" t="str" cm="1">
        <f t="array" aca="1" ref="Q7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23 days</v>
      </c>
    </row>
    <row r="708" spans="1:17" x14ac:dyDescent="0.3">
      <c r="A708">
        <v>1707</v>
      </c>
      <c r="B708" t="s">
        <v>101</v>
      </c>
      <c r="C708" t="s">
        <v>15</v>
      </c>
      <c r="D708" t="s">
        <v>16</v>
      </c>
      <c r="E708">
        <v>51</v>
      </c>
      <c r="F708" t="str" cm="1">
        <f t="array" ref="F708">_xlfn.IFS(EmployeeData[[#This Row],[Age]]&lt;30,"20s",EmployeeData[[#This Row],[Age]]&lt;40,"30s",EmployeeData[[#This Row],[Age]]&lt;50,"40s",EmployeeData[[#This Row],[Age]]&lt;60,"50s",EmployeeData[[#This Row],[Age]]&gt;=60,"60s")</f>
        <v>50s</v>
      </c>
      <c r="G708" s="5">
        <v>43609</v>
      </c>
      <c r="I708" t="s">
        <v>17</v>
      </c>
      <c r="J708" t="s">
        <v>18</v>
      </c>
      <c r="K708" cm="1">
        <f t="array" aca="1" ref="K708" ca="1">_xlfn.IFS(EmployeeData[[#This Row],[Status]]="Active",_xlfn.DAYS(TODAY(),EmployeeData[[#This Row],[Join Date]]),EmployeeData[[#This Row],[Status]]="Exited",_xlfn.DAYS(EmployeeData[[#This Row],[Exit Date]],EmployeeData[[#This Row],[Join Date]]))</f>
        <v>2588</v>
      </c>
      <c r="L708" cm="1">
        <f t="array" aca="1" ref="L708" ca="1">_xlfn.IFS(EmployeeData[[#This Row],[Status]]="Exited",DATEDIF(EmployeeData[[#This Row],[Join Date]], EmployeeData[[#This Row],[Exit Date]], "Y"),EmployeeData[[#This Row],[Status]]="Active",DATEDIF(EmployeeData[[#This Row],[Join Date]], TODAY(), "Y"))</f>
        <v>7</v>
      </c>
      <c r="Q708" t="str" cm="1">
        <f t="array" aca="1" ref="Q7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 months 0 days</v>
      </c>
    </row>
    <row r="709" spans="1:17" x14ac:dyDescent="0.3">
      <c r="A709">
        <v>1708</v>
      </c>
      <c r="B709" t="s">
        <v>532</v>
      </c>
      <c r="C709" t="s">
        <v>15</v>
      </c>
      <c r="D709" t="s">
        <v>11</v>
      </c>
      <c r="E709">
        <v>52</v>
      </c>
      <c r="F709" t="str" cm="1">
        <f t="array" ref="F709">_xlfn.IFS(EmployeeData[[#This Row],[Age]]&lt;30,"20s",EmployeeData[[#This Row],[Age]]&lt;40,"30s",EmployeeData[[#This Row],[Age]]&lt;50,"40s",EmployeeData[[#This Row],[Age]]&lt;60,"50s",EmployeeData[[#This Row],[Age]]&gt;=60,"60s")</f>
        <v>50s</v>
      </c>
      <c r="G709" s="5">
        <v>43374</v>
      </c>
      <c r="I709" t="s">
        <v>17</v>
      </c>
      <c r="J709" t="s">
        <v>18</v>
      </c>
      <c r="K709" cm="1">
        <f t="array" aca="1" ref="K709" ca="1">_xlfn.IFS(EmployeeData[[#This Row],[Status]]="Active",_xlfn.DAYS(TODAY(),EmployeeData[[#This Row],[Join Date]]),EmployeeData[[#This Row],[Status]]="Exited",_xlfn.DAYS(EmployeeData[[#This Row],[Exit Date]],EmployeeData[[#This Row],[Join Date]]))</f>
        <v>2823</v>
      </c>
      <c r="L709" cm="1">
        <f t="array" aca="1" ref="L709" ca="1">_xlfn.IFS(EmployeeData[[#This Row],[Status]]="Exited",DATEDIF(EmployeeData[[#This Row],[Join Date]], EmployeeData[[#This Row],[Exit Date]], "Y"),EmployeeData[[#This Row],[Status]]="Active",DATEDIF(EmployeeData[[#This Row],[Join Date]], TODAY(), "Y"))</f>
        <v>7</v>
      </c>
      <c r="Q709" t="str" cm="1">
        <f t="array" aca="1" ref="Q7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23 days</v>
      </c>
    </row>
    <row r="710" spans="1:17" x14ac:dyDescent="0.3">
      <c r="A710">
        <v>1709</v>
      </c>
      <c r="B710" t="s">
        <v>615</v>
      </c>
      <c r="C710" t="s">
        <v>33</v>
      </c>
      <c r="D710" t="s">
        <v>24</v>
      </c>
      <c r="E710">
        <v>51</v>
      </c>
      <c r="F710" t="str" cm="1">
        <f t="array" ref="F710">_xlfn.IFS(EmployeeData[[#This Row],[Age]]&lt;30,"20s",EmployeeData[[#This Row],[Age]]&lt;40,"30s",EmployeeData[[#This Row],[Age]]&lt;50,"40s",EmployeeData[[#This Row],[Age]]&lt;60,"50s",EmployeeData[[#This Row],[Age]]&gt;=60,"60s")</f>
        <v>50s</v>
      </c>
      <c r="G710" s="5">
        <v>45944</v>
      </c>
      <c r="I710" t="s">
        <v>17</v>
      </c>
      <c r="J710" t="s">
        <v>18</v>
      </c>
      <c r="K710" cm="1">
        <f t="array" aca="1" ref="K710" ca="1">_xlfn.IFS(EmployeeData[[#This Row],[Status]]="Active",_xlfn.DAYS(TODAY(),EmployeeData[[#This Row],[Join Date]]),EmployeeData[[#This Row],[Status]]="Exited",_xlfn.DAYS(EmployeeData[[#This Row],[Exit Date]],EmployeeData[[#This Row],[Join Date]]))</f>
        <v>253</v>
      </c>
      <c r="L710" cm="1">
        <f t="array" aca="1" ref="L710" ca="1">_xlfn.IFS(EmployeeData[[#This Row],[Status]]="Exited",DATEDIF(EmployeeData[[#This Row],[Join Date]], EmployeeData[[#This Row],[Exit Date]], "Y"),EmployeeData[[#This Row],[Status]]="Active",DATEDIF(EmployeeData[[#This Row],[Join Date]], TODAY(), "Y"))</f>
        <v>0</v>
      </c>
      <c r="Q710" t="str" cm="1">
        <f t="array" aca="1" ref="Q7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10 days</v>
      </c>
    </row>
    <row r="711" spans="1:17" x14ac:dyDescent="0.3">
      <c r="A711">
        <v>1710</v>
      </c>
      <c r="B711" t="s">
        <v>152</v>
      </c>
      <c r="C711" t="s">
        <v>15</v>
      </c>
      <c r="D711" t="s">
        <v>16</v>
      </c>
      <c r="E711">
        <v>58</v>
      </c>
      <c r="F711" t="str" cm="1">
        <f t="array" ref="F711">_xlfn.IFS(EmployeeData[[#This Row],[Age]]&lt;30,"20s",EmployeeData[[#This Row],[Age]]&lt;40,"30s",EmployeeData[[#This Row],[Age]]&lt;50,"40s",EmployeeData[[#This Row],[Age]]&lt;60,"50s",EmployeeData[[#This Row],[Age]]&gt;=60,"60s")</f>
        <v>50s</v>
      </c>
      <c r="G711" s="5">
        <v>43340</v>
      </c>
      <c r="H711" s="5">
        <v>45318</v>
      </c>
      <c r="I711" t="s">
        <v>52</v>
      </c>
      <c r="J711" t="s">
        <v>13</v>
      </c>
      <c r="K711" cm="1">
        <f t="array" aca="1" ref="K711" ca="1">_xlfn.IFS(EmployeeData[[#This Row],[Status]]="Active",_xlfn.DAYS(TODAY(),EmployeeData[[#This Row],[Join Date]]),EmployeeData[[#This Row],[Status]]="Exited",_xlfn.DAYS(EmployeeData[[#This Row],[Exit Date]],EmployeeData[[#This Row],[Join Date]]))</f>
        <v>1978</v>
      </c>
      <c r="L711" cm="1">
        <f t="array" aca="1" ref="L711" ca="1">_xlfn.IFS(EmployeeData[[#This Row],[Status]]="Exited",DATEDIF(EmployeeData[[#This Row],[Join Date]], EmployeeData[[#This Row],[Exit Date]], "Y"),EmployeeData[[#This Row],[Status]]="Active",DATEDIF(EmployeeData[[#This Row],[Join Date]], TODAY(), "Y"))</f>
        <v>5</v>
      </c>
      <c r="Q711" t="str" cm="1">
        <f t="array" aca="1" ref="Q7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30 days</v>
      </c>
    </row>
    <row r="712" spans="1:17" x14ac:dyDescent="0.3">
      <c r="A712">
        <v>1711</v>
      </c>
      <c r="B712" t="s">
        <v>718</v>
      </c>
      <c r="C712" t="s">
        <v>10</v>
      </c>
      <c r="D712" t="s">
        <v>24</v>
      </c>
      <c r="E712">
        <v>43</v>
      </c>
      <c r="F712" t="str" cm="1">
        <f t="array" ref="F712">_xlfn.IFS(EmployeeData[[#This Row],[Age]]&lt;30,"20s",EmployeeData[[#This Row],[Age]]&lt;40,"30s",EmployeeData[[#This Row],[Age]]&lt;50,"40s",EmployeeData[[#This Row],[Age]]&lt;60,"50s",EmployeeData[[#This Row],[Age]]&gt;=60,"60s")</f>
        <v>40s</v>
      </c>
      <c r="G712" s="5">
        <v>43300</v>
      </c>
      <c r="H712" s="5">
        <v>43704</v>
      </c>
      <c r="I712" t="s">
        <v>65</v>
      </c>
      <c r="J712" t="s">
        <v>13</v>
      </c>
      <c r="K712" cm="1">
        <f t="array" aca="1" ref="K712" ca="1">_xlfn.IFS(EmployeeData[[#This Row],[Status]]="Active",_xlfn.DAYS(TODAY(),EmployeeData[[#This Row],[Join Date]]),EmployeeData[[#This Row],[Status]]="Exited",_xlfn.DAYS(EmployeeData[[#This Row],[Exit Date]],EmployeeData[[#This Row],[Join Date]]))</f>
        <v>404</v>
      </c>
      <c r="L712" cm="1">
        <f t="array" aca="1" ref="L712" ca="1">_xlfn.IFS(EmployeeData[[#This Row],[Status]]="Exited",DATEDIF(EmployeeData[[#This Row],[Join Date]], EmployeeData[[#This Row],[Exit Date]], "Y"),EmployeeData[[#This Row],[Status]]="Active",DATEDIF(EmployeeData[[#This Row],[Join Date]], TODAY(), "Y"))</f>
        <v>1</v>
      </c>
      <c r="Q712" t="str" cm="1">
        <f t="array" aca="1" ref="Q7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8 days</v>
      </c>
    </row>
    <row r="713" spans="1:17" x14ac:dyDescent="0.3">
      <c r="A713">
        <v>1712</v>
      </c>
      <c r="B713" t="s">
        <v>319</v>
      </c>
      <c r="C713" t="s">
        <v>23</v>
      </c>
      <c r="D713" t="s">
        <v>11</v>
      </c>
      <c r="E713">
        <v>40</v>
      </c>
      <c r="F713" t="str" cm="1">
        <f t="array" ref="F713">_xlfn.IFS(EmployeeData[[#This Row],[Age]]&lt;30,"20s",EmployeeData[[#This Row],[Age]]&lt;40,"30s",EmployeeData[[#This Row],[Age]]&lt;50,"40s",EmployeeData[[#This Row],[Age]]&lt;60,"50s",EmployeeData[[#This Row],[Age]]&gt;=60,"60s")</f>
        <v>40s</v>
      </c>
      <c r="G713" s="5">
        <v>44212</v>
      </c>
      <c r="I713" t="s">
        <v>17</v>
      </c>
      <c r="J713" t="s">
        <v>18</v>
      </c>
      <c r="K713" cm="1">
        <f t="array" aca="1" ref="K713" ca="1">_xlfn.IFS(EmployeeData[[#This Row],[Status]]="Active",_xlfn.DAYS(TODAY(),EmployeeData[[#This Row],[Join Date]]),EmployeeData[[#This Row],[Status]]="Exited",_xlfn.DAYS(EmployeeData[[#This Row],[Exit Date]],EmployeeData[[#This Row],[Join Date]]))</f>
        <v>1985</v>
      </c>
      <c r="L713" cm="1">
        <f t="array" aca="1" ref="L713" ca="1">_xlfn.IFS(EmployeeData[[#This Row],[Status]]="Exited",DATEDIF(EmployeeData[[#This Row],[Join Date]], EmployeeData[[#This Row],[Exit Date]], "Y"),EmployeeData[[#This Row],[Status]]="Active",DATEDIF(EmployeeData[[#This Row],[Join Date]], TODAY(), "Y"))</f>
        <v>5</v>
      </c>
      <c r="Q713" t="str" cm="1">
        <f t="array" aca="1" ref="Q7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8 days</v>
      </c>
    </row>
    <row r="714" spans="1:17" x14ac:dyDescent="0.3">
      <c r="A714">
        <v>1713</v>
      </c>
      <c r="B714" t="s">
        <v>696</v>
      </c>
      <c r="C714" t="s">
        <v>33</v>
      </c>
      <c r="D714" t="s">
        <v>16</v>
      </c>
      <c r="E714">
        <v>54</v>
      </c>
      <c r="F714" t="str" cm="1">
        <f t="array" ref="F714">_xlfn.IFS(EmployeeData[[#This Row],[Age]]&lt;30,"20s",EmployeeData[[#This Row],[Age]]&lt;40,"30s",EmployeeData[[#This Row],[Age]]&lt;50,"40s",EmployeeData[[#This Row],[Age]]&lt;60,"50s",EmployeeData[[#This Row],[Age]]&gt;=60,"60s")</f>
        <v>50s</v>
      </c>
      <c r="G714" s="5">
        <v>44253</v>
      </c>
      <c r="H714" s="5">
        <v>45336</v>
      </c>
      <c r="I714" t="s">
        <v>12</v>
      </c>
      <c r="J714" t="s">
        <v>13</v>
      </c>
      <c r="K714" cm="1">
        <f t="array" aca="1" ref="K714" ca="1">_xlfn.IFS(EmployeeData[[#This Row],[Status]]="Active",_xlfn.DAYS(TODAY(),EmployeeData[[#This Row],[Join Date]]),EmployeeData[[#This Row],[Status]]="Exited",_xlfn.DAYS(EmployeeData[[#This Row],[Exit Date]],EmployeeData[[#This Row],[Join Date]]))</f>
        <v>1083</v>
      </c>
      <c r="L714" cm="1">
        <f t="array" aca="1" ref="L714" ca="1">_xlfn.IFS(EmployeeData[[#This Row],[Status]]="Exited",DATEDIF(EmployeeData[[#This Row],[Join Date]], EmployeeData[[#This Row],[Exit Date]], "Y"),EmployeeData[[#This Row],[Status]]="Active",DATEDIF(EmployeeData[[#This Row],[Join Date]], TODAY(), "Y"))</f>
        <v>2</v>
      </c>
      <c r="Q714" t="str" cm="1">
        <f t="array" aca="1" ref="Q7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19 days</v>
      </c>
    </row>
    <row r="715" spans="1:17" x14ac:dyDescent="0.3">
      <c r="A715">
        <v>1714</v>
      </c>
      <c r="B715" t="s">
        <v>165</v>
      </c>
      <c r="C715" t="s">
        <v>33</v>
      </c>
      <c r="D715" t="s">
        <v>11</v>
      </c>
      <c r="E715">
        <v>56</v>
      </c>
      <c r="F715" t="str" cm="1">
        <f t="array" ref="F715">_xlfn.IFS(EmployeeData[[#This Row],[Age]]&lt;30,"20s",EmployeeData[[#This Row],[Age]]&lt;40,"30s",EmployeeData[[#This Row],[Age]]&lt;50,"40s",EmployeeData[[#This Row],[Age]]&lt;60,"50s",EmployeeData[[#This Row],[Age]]&gt;=60,"60s")</f>
        <v>50s</v>
      </c>
      <c r="G715" s="5">
        <v>45613</v>
      </c>
      <c r="I715" t="s">
        <v>17</v>
      </c>
      <c r="J715" t="s">
        <v>18</v>
      </c>
      <c r="K715" cm="1">
        <f t="array" aca="1" ref="K715" ca="1">_xlfn.IFS(EmployeeData[[#This Row],[Status]]="Active",_xlfn.DAYS(TODAY(),EmployeeData[[#This Row],[Join Date]]),EmployeeData[[#This Row],[Status]]="Exited",_xlfn.DAYS(EmployeeData[[#This Row],[Exit Date]],EmployeeData[[#This Row],[Join Date]]))</f>
        <v>584</v>
      </c>
      <c r="L715" cm="1">
        <f t="array" aca="1" ref="L715" ca="1">_xlfn.IFS(EmployeeData[[#This Row],[Status]]="Exited",DATEDIF(EmployeeData[[#This Row],[Join Date]], EmployeeData[[#This Row],[Exit Date]], "Y"),EmployeeData[[#This Row],[Status]]="Active",DATEDIF(EmployeeData[[#This Row],[Join Date]], TODAY(), "Y"))</f>
        <v>1</v>
      </c>
      <c r="Q715" t="str" cm="1">
        <f t="array" aca="1" ref="Q7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7 days</v>
      </c>
    </row>
    <row r="716" spans="1:17" x14ac:dyDescent="0.3">
      <c r="A716">
        <v>1715</v>
      </c>
      <c r="B716" t="s">
        <v>459</v>
      </c>
      <c r="C716" t="s">
        <v>20</v>
      </c>
      <c r="D716" t="s">
        <v>11</v>
      </c>
      <c r="E716">
        <v>47</v>
      </c>
      <c r="F716" t="str" cm="1">
        <f t="array" ref="F716">_xlfn.IFS(EmployeeData[[#This Row],[Age]]&lt;30,"20s",EmployeeData[[#This Row],[Age]]&lt;40,"30s",EmployeeData[[#This Row],[Age]]&lt;50,"40s",EmployeeData[[#This Row],[Age]]&lt;60,"50s",EmployeeData[[#This Row],[Age]]&gt;=60,"60s")</f>
        <v>40s</v>
      </c>
      <c r="G716" s="5">
        <v>44987</v>
      </c>
      <c r="I716" t="s">
        <v>17</v>
      </c>
      <c r="J716" t="s">
        <v>18</v>
      </c>
      <c r="K716" cm="1">
        <f t="array" aca="1" ref="K716" ca="1">_xlfn.IFS(EmployeeData[[#This Row],[Status]]="Active",_xlfn.DAYS(TODAY(),EmployeeData[[#This Row],[Join Date]]),EmployeeData[[#This Row],[Status]]="Exited",_xlfn.DAYS(EmployeeData[[#This Row],[Exit Date]],EmployeeData[[#This Row],[Join Date]]))</f>
        <v>1210</v>
      </c>
      <c r="L716" cm="1">
        <f t="array" aca="1" ref="L716" ca="1">_xlfn.IFS(EmployeeData[[#This Row],[Status]]="Exited",DATEDIF(EmployeeData[[#This Row],[Join Date]], EmployeeData[[#This Row],[Exit Date]], "Y"),EmployeeData[[#This Row],[Status]]="Active",DATEDIF(EmployeeData[[#This Row],[Join Date]], TODAY(), "Y"))</f>
        <v>3</v>
      </c>
      <c r="Q716" t="str" cm="1">
        <f t="array" aca="1" ref="Q7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22 days</v>
      </c>
    </row>
    <row r="717" spans="1:17" x14ac:dyDescent="0.3">
      <c r="A717">
        <v>1716</v>
      </c>
      <c r="B717" t="s">
        <v>867</v>
      </c>
      <c r="C717" t="s">
        <v>23</v>
      </c>
      <c r="D717" t="s">
        <v>16</v>
      </c>
      <c r="E717">
        <v>44</v>
      </c>
      <c r="F717" t="str" cm="1">
        <f t="array" ref="F717">_xlfn.IFS(EmployeeData[[#This Row],[Age]]&lt;30,"20s",EmployeeData[[#This Row],[Age]]&lt;40,"30s",EmployeeData[[#This Row],[Age]]&lt;50,"40s",EmployeeData[[#This Row],[Age]]&lt;60,"50s",EmployeeData[[#This Row],[Age]]&gt;=60,"60s")</f>
        <v>40s</v>
      </c>
      <c r="G717" s="5">
        <v>43670</v>
      </c>
      <c r="I717" t="s">
        <v>17</v>
      </c>
      <c r="J717" t="s">
        <v>18</v>
      </c>
      <c r="K717" cm="1">
        <f t="array" aca="1" ref="K717" ca="1">_xlfn.IFS(EmployeeData[[#This Row],[Status]]="Active",_xlfn.DAYS(TODAY(),EmployeeData[[#This Row],[Join Date]]),EmployeeData[[#This Row],[Status]]="Exited",_xlfn.DAYS(EmployeeData[[#This Row],[Exit Date]],EmployeeData[[#This Row],[Join Date]]))</f>
        <v>2527</v>
      </c>
      <c r="L717" cm="1">
        <f t="array" aca="1" ref="L717" ca="1">_xlfn.IFS(EmployeeData[[#This Row],[Status]]="Exited",DATEDIF(EmployeeData[[#This Row],[Join Date]], EmployeeData[[#This Row],[Exit Date]], "Y"),EmployeeData[[#This Row],[Status]]="Active",DATEDIF(EmployeeData[[#This Row],[Join Date]], TODAY(), "Y"))</f>
        <v>6</v>
      </c>
      <c r="Q717" t="str" cm="1">
        <f t="array" aca="1" ref="Q7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11 months 0 days</v>
      </c>
    </row>
    <row r="718" spans="1:17" x14ac:dyDescent="0.3">
      <c r="A718">
        <v>1717</v>
      </c>
      <c r="B718" t="s">
        <v>243</v>
      </c>
      <c r="C718" t="s">
        <v>15</v>
      </c>
      <c r="D718" t="s">
        <v>11</v>
      </c>
      <c r="E718">
        <v>35</v>
      </c>
      <c r="F718" t="str" cm="1">
        <f t="array" ref="F718">_xlfn.IFS(EmployeeData[[#This Row],[Age]]&lt;30,"20s",EmployeeData[[#This Row],[Age]]&lt;40,"30s",EmployeeData[[#This Row],[Age]]&lt;50,"40s",EmployeeData[[#This Row],[Age]]&lt;60,"50s",EmployeeData[[#This Row],[Age]]&gt;=60,"60s")</f>
        <v>30s</v>
      </c>
      <c r="G718" s="5">
        <v>43628</v>
      </c>
      <c r="I718" t="s">
        <v>17</v>
      </c>
      <c r="J718" t="s">
        <v>18</v>
      </c>
      <c r="K718" cm="1">
        <f t="array" aca="1" ref="K718" ca="1">_xlfn.IFS(EmployeeData[[#This Row],[Status]]="Active",_xlfn.DAYS(TODAY(),EmployeeData[[#This Row],[Join Date]]),EmployeeData[[#This Row],[Status]]="Exited",_xlfn.DAYS(EmployeeData[[#This Row],[Exit Date]],EmployeeData[[#This Row],[Join Date]]))</f>
        <v>2569</v>
      </c>
      <c r="L718" cm="1">
        <f t="array" aca="1" ref="L718" ca="1">_xlfn.IFS(EmployeeData[[#This Row],[Status]]="Exited",DATEDIF(EmployeeData[[#This Row],[Join Date]], EmployeeData[[#This Row],[Exit Date]], "Y"),EmployeeData[[#This Row],[Status]]="Active",DATEDIF(EmployeeData[[#This Row],[Join Date]], TODAY(), "Y"))</f>
        <v>7</v>
      </c>
      <c r="Q718" t="str" cm="1">
        <f t="array" aca="1" ref="Q7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0 months 12 days</v>
      </c>
    </row>
    <row r="719" spans="1:17" x14ac:dyDescent="0.3">
      <c r="A719">
        <v>1718</v>
      </c>
      <c r="B719" t="s">
        <v>699</v>
      </c>
      <c r="C719" t="s">
        <v>15</v>
      </c>
      <c r="D719" t="s">
        <v>11</v>
      </c>
      <c r="E719">
        <v>48</v>
      </c>
      <c r="F719" t="str" cm="1">
        <f t="array" ref="F719">_xlfn.IFS(EmployeeData[[#This Row],[Age]]&lt;30,"20s",EmployeeData[[#This Row],[Age]]&lt;40,"30s",EmployeeData[[#This Row],[Age]]&lt;50,"40s",EmployeeData[[#This Row],[Age]]&lt;60,"50s",EmployeeData[[#This Row],[Age]]&gt;=60,"60s")</f>
        <v>40s</v>
      </c>
      <c r="G719" s="5">
        <v>45930</v>
      </c>
      <c r="I719" t="s">
        <v>17</v>
      </c>
      <c r="J719" t="s">
        <v>18</v>
      </c>
      <c r="K719" cm="1">
        <f t="array" aca="1" ref="K719" ca="1">_xlfn.IFS(EmployeeData[[#This Row],[Status]]="Active",_xlfn.DAYS(TODAY(),EmployeeData[[#This Row],[Join Date]]),EmployeeData[[#This Row],[Status]]="Exited",_xlfn.DAYS(EmployeeData[[#This Row],[Exit Date]],EmployeeData[[#This Row],[Join Date]]))</f>
        <v>267</v>
      </c>
      <c r="L719" cm="1">
        <f t="array" aca="1" ref="L719" ca="1">_xlfn.IFS(EmployeeData[[#This Row],[Status]]="Exited",DATEDIF(EmployeeData[[#This Row],[Join Date]], EmployeeData[[#This Row],[Exit Date]], "Y"),EmployeeData[[#This Row],[Status]]="Active",DATEDIF(EmployeeData[[#This Row],[Join Date]], TODAY(), "Y"))</f>
        <v>0</v>
      </c>
      <c r="Q719" t="str" cm="1">
        <f t="array" aca="1" ref="Q7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25 days</v>
      </c>
    </row>
    <row r="720" spans="1:17" x14ac:dyDescent="0.3">
      <c r="A720">
        <v>1719</v>
      </c>
      <c r="B720" t="s">
        <v>513</v>
      </c>
      <c r="C720" t="s">
        <v>20</v>
      </c>
      <c r="D720" t="s">
        <v>16</v>
      </c>
      <c r="E720">
        <v>27</v>
      </c>
      <c r="F720" t="str" cm="1">
        <f t="array" ref="F720">_xlfn.IFS(EmployeeData[[#This Row],[Age]]&lt;30,"20s",EmployeeData[[#This Row],[Age]]&lt;40,"30s",EmployeeData[[#This Row],[Age]]&lt;50,"40s",EmployeeData[[#This Row],[Age]]&lt;60,"50s",EmployeeData[[#This Row],[Age]]&gt;=60,"60s")</f>
        <v>20s</v>
      </c>
      <c r="G720" s="5">
        <v>43235</v>
      </c>
      <c r="I720" t="s">
        <v>17</v>
      </c>
      <c r="J720" t="s">
        <v>18</v>
      </c>
      <c r="K720" cm="1">
        <f t="array" aca="1" ref="K720" ca="1">_xlfn.IFS(EmployeeData[[#This Row],[Status]]="Active",_xlfn.DAYS(TODAY(),EmployeeData[[#This Row],[Join Date]]),EmployeeData[[#This Row],[Status]]="Exited",_xlfn.DAYS(EmployeeData[[#This Row],[Exit Date]],EmployeeData[[#This Row],[Join Date]]))</f>
        <v>2962</v>
      </c>
      <c r="L720" cm="1">
        <f t="array" aca="1" ref="L720" ca="1">_xlfn.IFS(EmployeeData[[#This Row],[Status]]="Exited",DATEDIF(EmployeeData[[#This Row],[Join Date]], EmployeeData[[#This Row],[Exit Date]], "Y"),EmployeeData[[#This Row],[Status]]="Active",DATEDIF(EmployeeData[[#This Row],[Join Date]], TODAY(), "Y"))</f>
        <v>8</v>
      </c>
      <c r="Q720" t="str" cm="1">
        <f t="array" aca="1" ref="Q7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9 days</v>
      </c>
    </row>
    <row r="721" spans="1:17" x14ac:dyDescent="0.3">
      <c r="A721">
        <v>1720</v>
      </c>
      <c r="B721" t="s">
        <v>111</v>
      </c>
      <c r="C721" t="s">
        <v>46</v>
      </c>
      <c r="D721" t="s">
        <v>16</v>
      </c>
      <c r="E721">
        <v>40</v>
      </c>
      <c r="F721" t="str" cm="1">
        <f t="array" ref="F721">_xlfn.IFS(EmployeeData[[#This Row],[Age]]&lt;30,"20s",EmployeeData[[#This Row],[Age]]&lt;40,"30s",EmployeeData[[#This Row],[Age]]&lt;50,"40s",EmployeeData[[#This Row],[Age]]&lt;60,"50s",EmployeeData[[#This Row],[Age]]&gt;=60,"60s")</f>
        <v>40s</v>
      </c>
      <c r="G721" s="5">
        <v>45835</v>
      </c>
      <c r="H721" s="5">
        <v>45974</v>
      </c>
      <c r="I721" t="s">
        <v>52</v>
      </c>
      <c r="J721" t="s">
        <v>13</v>
      </c>
      <c r="K721" cm="1">
        <f t="array" aca="1" ref="K721" ca="1">_xlfn.IFS(EmployeeData[[#This Row],[Status]]="Active",_xlfn.DAYS(TODAY(),EmployeeData[[#This Row],[Join Date]]),EmployeeData[[#This Row],[Status]]="Exited",_xlfn.DAYS(EmployeeData[[#This Row],[Exit Date]],EmployeeData[[#This Row],[Join Date]]))</f>
        <v>139</v>
      </c>
      <c r="L721" cm="1">
        <f t="array" aca="1" ref="L721" ca="1">_xlfn.IFS(EmployeeData[[#This Row],[Status]]="Exited",DATEDIF(EmployeeData[[#This Row],[Join Date]], EmployeeData[[#This Row],[Exit Date]], "Y"),EmployeeData[[#This Row],[Status]]="Active",DATEDIF(EmployeeData[[#This Row],[Join Date]], TODAY(), "Y"))</f>
        <v>0</v>
      </c>
      <c r="Q721" t="str" cm="1">
        <f t="array" aca="1" ref="Q7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17 days</v>
      </c>
    </row>
    <row r="722" spans="1:17" x14ac:dyDescent="0.3">
      <c r="A722">
        <v>1721</v>
      </c>
      <c r="B722" t="s">
        <v>405</v>
      </c>
      <c r="C722" t="s">
        <v>15</v>
      </c>
      <c r="D722" t="s">
        <v>24</v>
      </c>
      <c r="E722">
        <v>26</v>
      </c>
      <c r="F722" t="str" cm="1">
        <f t="array" ref="F722">_xlfn.IFS(EmployeeData[[#This Row],[Age]]&lt;30,"20s",EmployeeData[[#This Row],[Age]]&lt;40,"30s",EmployeeData[[#This Row],[Age]]&lt;50,"40s",EmployeeData[[#This Row],[Age]]&lt;60,"50s",EmployeeData[[#This Row],[Age]]&gt;=60,"60s")</f>
        <v>20s</v>
      </c>
      <c r="G722" s="5">
        <v>43697</v>
      </c>
      <c r="I722" t="s">
        <v>17</v>
      </c>
      <c r="J722" t="s">
        <v>18</v>
      </c>
      <c r="K722" cm="1">
        <f t="array" aca="1" ref="K722" ca="1">_xlfn.IFS(EmployeeData[[#This Row],[Status]]="Active",_xlfn.DAYS(TODAY(),EmployeeData[[#This Row],[Join Date]]),EmployeeData[[#This Row],[Status]]="Exited",_xlfn.DAYS(EmployeeData[[#This Row],[Exit Date]],EmployeeData[[#This Row],[Join Date]]))</f>
        <v>2500</v>
      </c>
      <c r="L722" cm="1">
        <f t="array" aca="1" ref="L722" ca="1">_xlfn.IFS(EmployeeData[[#This Row],[Status]]="Exited",DATEDIF(EmployeeData[[#This Row],[Join Date]], EmployeeData[[#This Row],[Exit Date]], "Y"),EmployeeData[[#This Row],[Status]]="Active",DATEDIF(EmployeeData[[#This Row],[Join Date]], TODAY(), "Y"))</f>
        <v>6</v>
      </c>
      <c r="Q722" t="str" cm="1">
        <f t="array" aca="1" ref="Q7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4 days</v>
      </c>
    </row>
    <row r="723" spans="1:17" x14ac:dyDescent="0.3">
      <c r="A723">
        <v>1722</v>
      </c>
      <c r="B723" t="s">
        <v>88</v>
      </c>
      <c r="C723" t="s">
        <v>33</v>
      </c>
      <c r="D723" t="s">
        <v>11</v>
      </c>
      <c r="E723">
        <v>36</v>
      </c>
      <c r="F723" t="str" cm="1">
        <f t="array" ref="F723">_xlfn.IFS(EmployeeData[[#This Row],[Age]]&lt;30,"20s",EmployeeData[[#This Row],[Age]]&lt;40,"30s",EmployeeData[[#This Row],[Age]]&lt;50,"40s",EmployeeData[[#This Row],[Age]]&lt;60,"50s",EmployeeData[[#This Row],[Age]]&gt;=60,"60s")</f>
        <v>30s</v>
      </c>
      <c r="G723" s="5">
        <v>45169</v>
      </c>
      <c r="I723" t="s">
        <v>17</v>
      </c>
      <c r="J723" t="s">
        <v>18</v>
      </c>
      <c r="K723" cm="1">
        <f t="array" aca="1" ref="K723" ca="1">_xlfn.IFS(EmployeeData[[#This Row],[Status]]="Active",_xlfn.DAYS(TODAY(),EmployeeData[[#This Row],[Join Date]]),EmployeeData[[#This Row],[Status]]="Exited",_xlfn.DAYS(EmployeeData[[#This Row],[Exit Date]],EmployeeData[[#This Row],[Join Date]]))</f>
        <v>1028</v>
      </c>
      <c r="L723" cm="1">
        <f t="array" aca="1" ref="L723" ca="1">_xlfn.IFS(EmployeeData[[#This Row],[Status]]="Exited",DATEDIF(EmployeeData[[#This Row],[Join Date]], EmployeeData[[#This Row],[Exit Date]], "Y"),EmployeeData[[#This Row],[Status]]="Active",DATEDIF(EmployeeData[[#This Row],[Join Date]], TODAY(), "Y"))</f>
        <v>2</v>
      </c>
      <c r="Q723" t="str" cm="1">
        <f t="array" aca="1" ref="Q7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24 days</v>
      </c>
    </row>
    <row r="724" spans="1:17" x14ac:dyDescent="0.3">
      <c r="A724">
        <v>1723</v>
      </c>
      <c r="B724" t="s">
        <v>656</v>
      </c>
      <c r="C724" t="s">
        <v>23</v>
      </c>
      <c r="D724" t="s">
        <v>11</v>
      </c>
      <c r="E724">
        <v>39</v>
      </c>
      <c r="F724" t="str" cm="1">
        <f t="array" ref="F724">_xlfn.IFS(EmployeeData[[#This Row],[Age]]&lt;30,"20s",EmployeeData[[#This Row],[Age]]&lt;40,"30s",EmployeeData[[#This Row],[Age]]&lt;50,"40s",EmployeeData[[#This Row],[Age]]&lt;60,"50s",EmployeeData[[#This Row],[Age]]&gt;=60,"60s")</f>
        <v>30s</v>
      </c>
      <c r="G724" s="5">
        <v>43804</v>
      </c>
      <c r="I724" t="s">
        <v>17</v>
      </c>
      <c r="J724" t="s">
        <v>18</v>
      </c>
      <c r="K724" cm="1">
        <f t="array" aca="1" ref="K724" ca="1">_xlfn.IFS(EmployeeData[[#This Row],[Status]]="Active",_xlfn.DAYS(TODAY(),EmployeeData[[#This Row],[Join Date]]),EmployeeData[[#This Row],[Status]]="Exited",_xlfn.DAYS(EmployeeData[[#This Row],[Exit Date]],EmployeeData[[#This Row],[Join Date]]))</f>
        <v>2393</v>
      </c>
      <c r="L724" cm="1">
        <f t="array" aca="1" ref="L724" ca="1">_xlfn.IFS(EmployeeData[[#This Row],[Status]]="Exited",DATEDIF(EmployeeData[[#This Row],[Join Date]], EmployeeData[[#This Row],[Exit Date]], "Y"),EmployeeData[[#This Row],[Status]]="Active",DATEDIF(EmployeeData[[#This Row],[Join Date]], TODAY(), "Y"))</f>
        <v>6</v>
      </c>
      <c r="Q724" t="str" cm="1">
        <f t="array" aca="1" ref="Q7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19 days</v>
      </c>
    </row>
    <row r="725" spans="1:17" x14ac:dyDescent="0.3">
      <c r="A725">
        <v>1724</v>
      </c>
      <c r="B725" t="s">
        <v>785</v>
      </c>
      <c r="C725" t="s">
        <v>15</v>
      </c>
      <c r="D725" t="s">
        <v>16</v>
      </c>
      <c r="E725">
        <v>53</v>
      </c>
      <c r="F725" t="str" cm="1">
        <f t="array" ref="F725">_xlfn.IFS(EmployeeData[[#This Row],[Age]]&lt;30,"20s",EmployeeData[[#This Row],[Age]]&lt;40,"30s",EmployeeData[[#This Row],[Age]]&lt;50,"40s",EmployeeData[[#This Row],[Age]]&lt;60,"50s",EmployeeData[[#This Row],[Age]]&gt;=60,"60s")</f>
        <v>50s</v>
      </c>
      <c r="G725" s="5">
        <v>45999</v>
      </c>
      <c r="I725" t="s">
        <v>17</v>
      </c>
      <c r="J725" t="s">
        <v>18</v>
      </c>
      <c r="K725" cm="1">
        <f t="array" aca="1" ref="K725" ca="1">_xlfn.IFS(EmployeeData[[#This Row],[Status]]="Active",_xlfn.DAYS(TODAY(),EmployeeData[[#This Row],[Join Date]]),EmployeeData[[#This Row],[Status]]="Exited",_xlfn.DAYS(EmployeeData[[#This Row],[Exit Date]],EmployeeData[[#This Row],[Join Date]]))</f>
        <v>198</v>
      </c>
      <c r="L725" cm="1">
        <f t="array" aca="1" ref="L725" ca="1">_xlfn.IFS(EmployeeData[[#This Row],[Status]]="Exited",DATEDIF(EmployeeData[[#This Row],[Join Date]], EmployeeData[[#This Row],[Exit Date]], "Y"),EmployeeData[[#This Row],[Status]]="Active",DATEDIF(EmployeeData[[#This Row],[Join Date]], TODAY(), "Y"))</f>
        <v>0</v>
      </c>
      <c r="Q725" t="str" cm="1">
        <f t="array" aca="1" ref="Q7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16 days</v>
      </c>
    </row>
    <row r="726" spans="1:17" x14ac:dyDescent="0.3">
      <c r="A726">
        <v>1725</v>
      </c>
      <c r="B726" t="s">
        <v>274</v>
      </c>
      <c r="C726" t="s">
        <v>15</v>
      </c>
      <c r="D726" t="s">
        <v>11</v>
      </c>
      <c r="E726">
        <v>45</v>
      </c>
      <c r="F726" t="str" cm="1">
        <f t="array" ref="F726">_xlfn.IFS(EmployeeData[[#This Row],[Age]]&lt;30,"20s",EmployeeData[[#This Row],[Age]]&lt;40,"30s",EmployeeData[[#This Row],[Age]]&lt;50,"40s",EmployeeData[[#This Row],[Age]]&lt;60,"50s",EmployeeData[[#This Row],[Age]]&gt;=60,"60s")</f>
        <v>40s</v>
      </c>
      <c r="G726" s="5">
        <v>44838</v>
      </c>
      <c r="H726" s="5">
        <v>45394</v>
      </c>
      <c r="I726" t="s">
        <v>12</v>
      </c>
      <c r="J726" t="s">
        <v>13</v>
      </c>
      <c r="K726" cm="1">
        <f t="array" aca="1" ref="K726" ca="1">_xlfn.IFS(EmployeeData[[#This Row],[Status]]="Active",_xlfn.DAYS(TODAY(),EmployeeData[[#This Row],[Join Date]]),EmployeeData[[#This Row],[Status]]="Exited",_xlfn.DAYS(EmployeeData[[#This Row],[Exit Date]],EmployeeData[[#This Row],[Join Date]]))</f>
        <v>556</v>
      </c>
      <c r="L726" cm="1">
        <f t="array" aca="1" ref="L726" ca="1">_xlfn.IFS(EmployeeData[[#This Row],[Status]]="Exited",DATEDIF(EmployeeData[[#This Row],[Join Date]], EmployeeData[[#This Row],[Exit Date]], "Y"),EmployeeData[[#This Row],[Status]]="Active",DATEDIF(EmployeeData[[#This Row],[Join Date]], TODAY(), "Y"))</f>
        <v>1</v>
      </c>
      <c r="Q726" t="str" cm="1">
        <f t="array" aca="1" ref="Q7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8 days</v>
      </c>
    </row>
    <row r="727" spans="1:17" x14ac:dyDescent="0.3">
      <c r="A727">
        <v>1726</v>
      </c>
      <c r="B727" t="s">
        <v>901</v>
      </c>
      <c r="C727" t="s">
        <v>23</v>
      </c>
      <c r="D727" t="s">
        <v>24</v>
      </c>
      <c r="E727">
        <v>39</v>
      </c>
      <c r="F727" t="str" cm="1">
        <f t="array" ref="F727">_xlfn.IFS(EmployeeData[[#This Row],[Age]]&lt;30,"20s",EmployeeData[[#This Row],[Age]]&lt;40,"30s",EmployeeData[[#This Row],[Age]]&lt;50,"40s",EmployeeData[[#This Row],[Age]]&lt;60,"50s",EmployeeData[[#This Row],[Age]]&gt;=60,"60s")</f>
        <v>30s</v>
      </c>
      <c r="G727" s="5">
        <v>45383</v>
      </c>
      <c r="I727" t="s">
        <v>17</v>
      </c>
      <c r="J727" t="s">
        <v>18</v>
      </c>
      <c r="K727" cm="1">
        <f t="array" aca="1" ref="K727" ca="1">_xlfn.IFS(EmployeeData[[#This Row],[Status]]="Active",_xlfn.DAYS(TODAY(),EmployeeData[[#This Row],[Join Date]]),EmployeeData[[#This Row],[Status]]="Exited",_xlfn.DAYS(EmployeeData[[#This Row],[Exit Date]],EmployeeData[[#This Row],[Join Date]]))</f>
        <v>814</v>
      </c>
      <c r="L727" cm="1">
        <f t="array" aca="1" ref="L727" ca="1">_xlfn.IFS(EmployeeData[[#This Row],[Status]]="Exited",DATEDIF(EmployeeData[[#This Row],[Join Date]], EmployeeData[[#This Row],[Exit Date]], "Y"),EmployeeData[[#This Row],[Status]]="Active",DATEDIF(EmployeeData[[#This Row],[Join Date]], TODAY(), "Y"))</f>
        <v>2</v>
      </c>
      <c r="Q727" t="str" cm="1">
        <f t="array" aca="1" ref="Q7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23 days</v>
      </c>
    </row>
    <row r="728" spans="1:17" x14ac:dyDescent="0.3">
      <c r="A728">
        <v>1727</v>
      </c>
      <c r="B728" t="s">
        <v>682</v>
      </c>
      <c r="C728" t="s">
        <v>10</v>
      </c>
      <c r="D728" t="s">
        <v>24</v>
      </c>
      <c r="E728">
        <v>40</v>
      </c>
      <c r="F728" t="str" cm="1">
        <f t="array" ref="F728">_xlfn.IFS(EmployeeData[[#This Row],[Age]]&lt;30,"20s",EmployeeData[[#This Row],[Age]]&lt;40,"30s",EmployeeData[[#This Row],[Age]]&lt;50,"40s",EmployeeData[[#This Row],[Age]]&lt;60,"50s",EmployeeData[[#This Row],[Age]]&gt;=60,"60s")</f>
        <v>40s</v>
      </c>
      <c r="G728" s="5">
        <v>45915</v>
      </c>
      <c r="I728" t="s">
        <v>17</v>
      </c>
      <c r="J728" t="s">
        <v>18</v>
      </c>
      <c r="K728" cm="1">
        <f t="array" aca="1" ref="K728" ca="1">_xlfn.IFS(EmployeeData[[#This Row],[Status]]="Active",_xlfn.DAYS(TODAY(),EmployeeData[[#This Row],[Join Date]]),EmployeeData[[#This Row],[Status]]="Exited",_xlfn.DAYS(EmployeeData[[#This Row],[Exit Date]],EmployeeData[[#This Row],[Join Date]]))</f>
        <v>282</v>
      </c>
      <c r="L728" cm="1">
        <f t="array" aca="1" ref="L728" ca="1">_xlfn.IFS(EmployeeData[[#This Row],[Status]]="Exited",DATEDIF(EmployeeData[[#This Row],[Join Date]], EmployeeData[[#This Row],[Exit Date]], "Y"),EmployeeData[[#This Row],[Status]]="Active",DATEDIF(EmployeeData[[#This Row],[Join Date]], TODAY(), "Y"))</f>
        <v>0</v>
      </c>
      <c r="Q728" t="str" cm="1">
        <f t="array" aca="1" ref="Q7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9 days</v>
      </c>
    </row>
    <row r="729" spans="1:17" x14ac:dyDescent="0.3">
      <c r="A729">
        <v>1728</v>
      </c>
      <c r="B729" t="s">
        <v>188</v>
      </c>
      <c r="C729" t="s">
        <v>46</v>
      </c>
      <c r="D729" t="s">
        <v>24</v>
      </c>
      <c r="E729">
        <v>25</v>
      </c>
      <c r="F729" t="str" cm="1">
        <f t="array" ref="F729">_xlfn.IFS(EmployeeData[[#This Row],[Age]]&lt;30,"20s",EmployeeData[[#This Row],[Age]]&lt;40,"30s",EmployeeData[[#This Row],[Age]]&lt;50,"40s",EmployeeData[[#This Row],[Age]]&lt;60,"50s",EmployeeData[[#This Row],[Age]]&gt;=60,"60s")</f>
        <v>20s</v>
      </c>
      <c r="G729" s="5">
        <v>45049</v>
      </c>
      <c r="I729" t="s">
        <v>17</v>
      </c>
      <c r="J729" t="s">
        <v>18</v>
      </c>
      <c r="K729" cm="1">
        <f t="array" aca="1" ref="K729" ca="1">_xlfn.IFS(EmployeeData[[#This Row],[Status]]="Active",_xlfn.DAYS(TODAY(),EmployeeData[[#This Row],[Join Date]]),EmployeeData[[#This Row],[Status]]="Exited",_xlfn.DAYS(EmployeeData[[#This Row],[Exit Date]],EmployeeData[[#This Row],[Join Date]]))</f>
        <v>1148</v>
      </c>
      <c r="L729" cm="1">
        <f t="array" aca="1" ref="L729" ca="1">_xlfn.IFS(EmployeeData[[#This Row],[Status]]="Exited",DATEDIF(EmployeeData[[#This Row],[Join Date]], EmployeeData[[#This Row],[Exit Date]], "Y"),EmployeeData[[#This Row],[Status]]="Active",DATEDIF(EmployeeData[[#This Row],[Join Date]], TODAY(), "Y"))</f>
        <v>3</v>
      </c>
      <c r="Q729" t="str" cm="1">
        <f t="array" aca="1" ref="Q7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21 days</v>
      </c>
    </row>
    <row r="730" spans="1:17" x14ac:dyDescent="0.3">
      <c r="A730">
        <v>1729</v>
      </c>
      <c r="B730" t="s">
        <v>608</v>
      </c>
      <c r="C730" t="s">
        <v>20</v>
      </c>
      <c r="D730" t="s">
        <v>24</v>
      </c>
      <c r="E730">
        <v>54</v>
      </c>
      <c r="F730" t="str" cm="1">
        <f t="array" ref="F730">_xlfn.IFS(EmployeeData[[#This Row],[Age]]&lt;30,"20s",EmployeeData[[#This Row],[Age]]&lt;40,"30s",EmployeeData[[#This Row],[Age]]&lt;50,"40s",EmployeeData[[#This Row],[Age]]&lt;60,"50s",EmployeeData[[#This Row],[Age]]&gt;=60,"60s")</f>
        <v>50s</v>
      </c>
      <c r="G730" s="5">
        <v>45798</v>
      </c>
      <c r="I730" t="s">
        <v>17</v>
      </c>
      <c r="J730" t="s">
        <v>18</v>
      </c>
      <c r="K730" cm="1">
        <f t="array" aca="1" ref="K730" ca="1">_xlfn.IFS(EmployeeData[[#This Row],[Status]]="Active",_xlfn.DAYS(TODAY(),EmployeeData[[#This Row],[Join Date]]),EmployeeData[[#This Row],[Status]]="Exited",_xlfn.DAYS(EmployeeData[[#This Row],[Exit Date]],EmployeeData[[#This Row],[Join Date]]))</f>
        <v>399</v>
      </c>
      <c r="L730" cm="1">
        <f t="array" aca="1" ref="L730" ca="1">_xlfn.IFS(EmployeeData[[#This Row],[Status]]="Exited",DATEDIF(EmployeeData[[#This Row],[Join Date]], EmployeeData[[#This Row],[Exit Date]], "Y"),EmployeeData[[#This Row],[Status]]="Active",DATEDIF(EmployeeData[[#This Row],[Join Date]], TODAY(), "Y"))</f>
        <v>1</v>
      </c>
      <c r="Q730" t="str" cm="1">
        <f t="array" aca="1" ref="Q7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3 days</v>
      </c>
    </row>
    <row r="731" spans="1:17" x14ac:dyDescent="0.3">
      <c r="A731">
        <v>1730</v>
      </c>
      <c r="B731" t="s">
        <v>368</v>
      </c>
      <c r="C731" t="s">
        <v>20</v>
      </c>
      <c r="D731" t="s">
        <v>11</v>
      </c>
      <c r="E731">
        <v>62</v>
      </c>
      <c r="F731" t="str" cm="1">
        <f t="array" ref="F731">_xlfn.IFS(EmployeeData[[#This Row],[Age]]&lt;30,"20s",EmployeeData[[#This Row],[Age]]&lt;40,"30s",EmployeeData[[#This Row],[Age]]&lt;50,"40s",EmployeeData[[#This Row],[Age]]&lt;60,"50s",EmployeeData[[#This Row],[Age]]&gt;=60,"60s")</f>
        <v>60s</v>
      </c>
      <c r="G731" s="5">
        <v>43366</v>
      </c>
      <c r="H731" s="5">
        <v>44271</v>
      </c>
      <c r="I731" t="s">
        <v>26</v>
      </c>
      <c r="J731" t="s">
        <v>13</v>
      </c>
      <c r="K731" cm="1">
        <f t="array" aca="1" ref="K731" ca="1">_xlfn.IFS(EmployeeData[[#This Row],[Status]]="Active",_xlfn.DAYS(TODAY(),EmployeeData[[#This Row],[Join Date]]),EmployeeData[[#This Row],[Status]]="Exited",_xlfn.DAYS(EmployeeData[[#This Row],[Exit Date]],EmployeeData[[#This Row],[Join Date]]))</f>
        <v>905</v>
      </c>
      <c r="L731" cm="1">
        <f t="array" aca="1" ref="L731" ca="1">_xlfn.IFS(EmployeeData[[#This Row],[Status]]="Exited",DATEDIF(EmployeeData[[#This Row],[Join Date]], EmployeeData[[#This Row],[Exit Date]], "Y"),EmployeeData[[#This Row],[Status]]="Active",DATEDIF(EmployeeData[[#This Row],[Join Date]], TODAY(), "Y"))</f>
        <v>2</v>
      </c>
      <c r="Q731" t="str" cm="1">
        <f t="array" aca="1" ref="Q7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21 days</v>
      </c>
    </row>
    <row r="732" spans="1:17" x14ac:dyDescent="0.3">
      <c r="A732">
        <v>1731</v>
      </c>
      <c r="B732" t="s">
        <v>174</v>
      </c>
      <c r="C732" t="s">
        <v>20</v>
      </c>
      <c r="D732" t="s">
        <v>16</v>
      </c>
      <c r="E732">
        <v>58</v>
      </c>
      <c r="F732" t="str" cm="1">
        <f t="array" ref="F732">_xlfn.IFS(EmployeeData[[#This Row],[Age]]&lt;30,"20s",EmployeeData[[#This Row],[Age]]&lt;40,"30s",EmployeeData[[#This Row],[Age]]&lt;50,"40s",EmployeeData[[#This Row],[Age]]&lt;60,"50s",EmployeeData[[#This Row],[Age]]&gt;=60,"60s")</f>
        <v>50s</v>
      </c>
      <c r="G732" s="5">
        <v>45532</v>
      </c>
      <c r="H732" s="5">
        <v>46031</v>
      </c>
      <c r="I732" t="s">
        <v>12</v>
      </c>
      <c r="J732" t="s">
        <v>13</v>
      </c>
      <c r="K732" cm="1">
        <f t="array" aca="1" ref="K732" ca="1">_xlfn.IFS(EmployeeData[[#This Row],[Status]]="Active",_xlfn.DAYS(TODAY(),EmployeeData[[#This Row],[Join Date]]),EmployeeData[[#This Row],[Status]]="Exited",_xlfn.DAYS(EmployeeData[[#This Row],[Exit Date]],EmployeeData[[#This Row],[Join Date]]))</f>
        <v>499</v>
      </c>
      <c r="L732" cm="1">
        <f t="array" aca="1" ref="L732" ca="1">_xlfn.IFS(EmployeeData[[#This Row],[Status]]="Exited",DATEDIF(EmployeeData[[#This Row],[Join Date]], EmployeeData[[#This Row],[Exit Date]], "Y"),EmployeeData[[#This Row],[Status]]="Active",DATEDIF(EmployeeData[[#This Row],[Join Date]], TODAY(), "Y"))</f>
        <v>1</v>
      </c>
      <c r="Q732" t="str" cm="1">
        <f t="array" aca="1" ref="Q7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12 days</v>
      </c>
    </row>
    <row r="733" spans="1:17" x14ac:dyDescent="0.3">
      <c r="A733">
        <v>1732</v>
      </c>
      <c r="B733" t="s">
        <v>992</v>
      </c>
      <c r="C733" t="s">
        <v>20</v>
      </c>
      <c r="D733" t="s">
        <v>16</v>
      </c>
      <c r="E733">
        <v>37</v>
      </c>
      <c r="F733" t="str" cm="1">
        <f t="array" ref="F733">_xlfn.IFS(EmployeeData[[#This Row],[Age]]&lt;30,"20s",EmployeeData[[#This Row],[Age]]&lt;40,"30s",EmployeeData[[#This Row],[Age]]&lt;50,"40s",EmployeeData[[#This Row],[Age]]&lt;60,"50s",EmployeeData[[#This Row],[Age]]&gt;=60,"60s")</f>
        <v>30s</v>
      </c>
      <c r="G733" s="5">
        <v>45105</v>
      </c>
      <c r="I733" t="s">
        <v>17</v>
      </c>
      <c r="J733" t="s">
        <v>18</v>
      </c>
      <c r="K733" cm="1">
        <f t="array" aca="1" ref="K733" ca="1">_xlfn.IFS(EmployeeData[[#This Row],[Status]]="Active",_xlfn.DAYS(TODAY(),EmployeeData[[#This Row],[Join Date]]),EmployeeData[[#This Row],[Status]]="Exited",_xlfn.DAYS(EmployeeData[[#This Row],[Exit Date]],EmployeeData[[#This Row],[Join Date]]))</f>
        <v>1092</v>
      </c>
      <c r="L733" cm="1">
        <f t="array" aca="1" ref="L733" ca="1">_xlfn.IFS(EmployeeData[[#This Row],[Status]]="Exited",DATEDIF(EmployeeData[[#This Row],[Join Date]], EmployeeData[[#This Row],[Exit Date]], "Y"),EmployeeData[[#This Row],[Status]]="Active",DATEDIF(EmployeeData[[#This Row],[Join Date]], TODAY(), "Y"))</f>
        <v>2</v>
      </c>
      <c r="Q733" t="str" cm="1">
        <f t="array" aca="1" ref="Q7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27 days</v>
      </c>
    </row>
    <row r="734" spans="1:17" x14ac:dyDescent="0.3">
      <c r="A734">
        <v>1733</v>
      </c>
      <c r="B734" t="s">
        <v>548</v>
      </c>
      <c r="C734" t="s">
        <v>33</v>
      </c>
      <c r="D734" t="s">
        <v>24</v>
      </c>
      <c r="E734">
        <v>22</v>
      </c>
      <c r="F734" t="str" cm="1">
        <f t="array" ref="F734">_xlfn.IFS(EmployeeData[[#This Row],[Age]]&lt;30,"20s",EmployeeData[[#This Row],[Age]]&lt;40,"30s",EmployeeData[[#This Row],[Age]]&lt;50,"40s",EmployeeData[[#This Row],[Age]]&lt;60,"50s",EmployeeData[[#This Row],[Age]]&gt;=60,"60s")</f>
        <v>20s</v>
      </c>
      <c r="G734" s="5">
        <v>43834</v>
      </c>
      <c r="I734" t="s">
        <v>17</v>
      </c>
      <c r="J734" t="s">
        <v>18</v>
      </c>
      <c r="K734" cm="1">
        <f t="array" aca="1" ref="K734" ca="1">_xlfn.IFS(EmployeeData[[#This Row],[Status]]="Active",_xlfn.DAYS(TODAY(),EmployeeData[[#This Row],[Join Date]]),EmployeeData[[#This Row],[Status]]="Exited",_xlfn.DAYS(EmployeeData[[#This Row],[Exit Date]],EmployeeData[[#This Row],[Join Date]]))</f>
        <v>2363</v>
      </c>
      <c r="L734" cm="1">
        <f t="array" aca="1" ref="L734" ca="1">_xlfn.IFS(EmployeeData[[#This Row],[Status]]="Exited",DATEDIF(EmployeeData[[#This Row],[Join Date]], EmployeeData[[#This Row],[Exit Date]], "Y"),EmployeeData[[#This Row],[Status]]="Active",DATEDIF(EmployeeData[[#This Row],[Join Date]], TODAY(), "Y"))</f>
        <v>6</v>
      </c>
      <c r="Q734" t="str" cm="1">
        <f t="array" aca="1" ref="Q7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20 days</v>
      </c>
    </row>
    <row r="735" spans="1:17" x14ac:dyDescent="0.3">
      <c r="A735">
        <v>1734</v>
      </c>
      <c r="B735" t="s">
        <v>229</v>
      </c>
      <c r="C735" t="s">
        <v>20</v>
      </c>
      <c r="D735" t="s">
        <v>24</v>
      </c>
      <c r="E735">
        <v>54</v>
      </c>
      <c r="F735" t="str" cm="1">
        <f t="array" ref="F735">_xlfn.IFS(EmployeeData[[#This Row],[Age]]&lt;30,"20s",EmployeeData[[#This Row],[Age]]&lt;40,"30s",EmployeeData[[#This Row],[Age]]&lt;50,"40s",EmployeeData[[#This Row],[Age]]&lt;60,"50s",EmployeeData[[#This Row],[Age]]&gt;=60,"60s")</f>
        <v>50s</v>
      </c>
      <c r="G735" s="5">
        <v>45117</v>
      </c>
      <c r="I735" t="s">
        <v>17</v>
      </c>
      <c r="J735" t="s">
        <v>18</v>
      </c>
      <c r="K735" cm="1">
        <f t="array" aca="1" ref="K735" ca="1">_xlfn.IFS(EmployeeData[[#This Row],[Status]]="Active",_xlfn.DAYS(TODAY(),EmployeeData[[#This Row],[Join Date]]),EmployeeData[[#This Row],[Status]]="Exited",_xlfn.DAYS(EmployeeData[[#This Row],[Exit Date]],EmployeeData[[#This Row],[Join Date]]))</f>
        <v>1080</v>
      </c>
      <c r="L735" cm="1">
        <f t="array" aca="1" ref="L735" ca="1">_xlfn.IFS(EmployeeData[[#This Row],[Status]]="Exited",DATEDIF(EmployeeData[[#This Row],[Join Date]], EmployeeData[[#This Row],[Exit Date]], "Y"),EmployeeData[[#This Row],[Status]]="Active",DATEDIF(EmployeeData[[#This Row],[Join Date]], TODAY(), "Y"))</f>
        <v>2</v>
      </c>
      <c r="Q735" t="str" cm="1">
        <f t="array" aca="1" ref="Q7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14 days</v>
      </c>
    </row>
    <row r="736" spans="1:17" x14ac:dyDescent="0.3">
      <c r="A736">
        <v>1735</v>
      </c>
      <c r="B736" t="s">
        <v>161</v>
      </c>
      <c r="C736" t="s">
        <v>23</v>
      </c>
      <c r="D736" t="s">
        <v>16</v>
      </c>
      <c r="E736">
        <v>42</v>
      </c>
      <c r="F736" t="str" cm="1">
        <f t="array" ref="F736">_xlfn.IFS(EmployeeData[[#This Row],[Age]]&lt;30,"20s",EmployeeData[[#This Row],[Age]]&lt;40,"30s",EmployeeData[[#This Row],[Age]]&lt;50,"40s",EmployeeData[[#This Row],[Age]]&lt;60,"50s",EmployeeData[[#This Row],[Age]]&gt;=60,"60s")</f>
        <v>40s</v>
      </c>
      <c r="G736" s="5">
        <v>45315</v>
      </c>
      <c r="I736" t="s">
        <v>17</v>
      </c>
      <c r="J736" t="s">
        <v>18</v>
      </c>
      <c r="K736" cm="1">
        <f t="array" aca="1" ref="K736" ca="1">_xlfn.IFS(EmployeeData[[#This Row],[Status]]="Active",_xlfn.DAYS(TODAY(),EmployeeData[[#This Row],[Join Date]]),EmployeeData[[#This Row],[Status]]="Exited",_xlfn.DAYS(EmployeeData[[#This Row],[Exit Date]],EmployeeData[[#This Row],[Join Date]]))</f>
        <v>882</v>
      </c>
      <c r="L736" cm="1">
        <f t="array" aca="1" ref="L736" ca="1">_xlfn.IFS(EmployeeData[[#This Row],[Status]]="Exited",DATEDIF(EmployeeData[[#This Row],[Join Date]], EmployeeData[[#This Row],[Exit Date]], "Y"),EmployeeData[[#This Row],[Status]]="Active",DATEDIF(EmployeeData[[#This Row],[Join Date]], TODAY(), "Y"))</f>
        <v>2</v>
      </c>
      <c r="Q736" t="str" cm="1">
        <f t="array" aca="1" ref="Q7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0 days</v>
      </c>
    </row>
    <row r="737" spans="1:17" x14ac:dyDescent="0.3">
      <c r="A737">
        <v>1736</v>
      </c>
      <c r="B737" t="s">
        <v>763</v>
      </c>
      <c r="C737" t="s">
        <v>15</v>
      </c>
      <c r="D737" t="s">
        <v>24</v>
      </c>
      <c r="E737">
        <v>45</v>
      </c>
      <c r="F737" t="str" cm="1">
        <f t="array" ref="F737">_xlfn.IFS(EmployeeData[[#This Row],[Age]]&lt;30,"20s",EmployeeData[[#This Row],[Age]]&lt;40,"30s",EmployeeData[[#This Row],[Age]]&lt;50,"40s",EmployeeData[[#This Row],[Age]]&lt;60,"50s",EmployeeData[[#This Row],[Age]]&gt;=60,"60s")</f>
        <v>40s</v>
      </c>
      <c r="G737" s="5">
        <v>44913</v>
      </c>
      <c r="I737" t="s">
        <v>17</v>
      </c>
      <c r="J737" t="s">
        <v>18</v>
      </c>
      <c r="K737" cm="1">
        <f t="array" aca="1" ref="K737" ca="1">_xlfn.IFS(EmployeeData[[#This Row],[Status]]="Active",_xlfn.DAYS(TODAY(),EmployeeData[[#This Row],[Join Date]]),EmployeeData[[#This Row],[Status]]="Exited",_xlfn.DAYS(EmployeeData[[#This Row],[Exit Date]],EmployeeData[[#This Row],[Join Date]]))</f>
        <v>1284</v>
      </c>
      <c r="L737" cm="1">
        <f t="array" aca="1" ref="L737" ca="1">_xlfn.IFS(EmployeeData[[#This Row],[Status]]="Exited",DATEDIF(EmployeeData[[#This Row],[Join Date]], EmployeeData[[#This Row],[Exit Date]], "Y"),EmployeeData[[#This Row],[Status]]="Active",DATEDIF(EmployeeData[[#This Row],[Join Date]], TODAY(), "Y"))</f>
        <v>3</v>
      </c>
      <c r="Q737" t="str" cm="1">
        <f t="array" aca="1" ref="Q7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6 days</v>
      </c>
    </row>
    <row r="738" spans="1:17" x14ac:dyDescent="0.3">
      <c r="A738">
        <v>1737</v>
      </c>
      <c r="B738" t="s">
        <v>988</v>
      </c>
      <c r="C738" t="s">
        <v>33</v>
      </c>
      <c r="D738" t="s">
        <v>16</v>
      </c>
      <c r="E738">
        <v>48</v>
      </c>
      <c r="F738" t="str" cm="1">
        <f t="array" ref="F738">_xlfn.IFS(EmployeeData[[#This Row],[Age]]&lt;30,"20s",EmployeeData[[#This Row],[Age]]&lt;40,"30s",EmployeeData[[#This Row],[Age]]&lt;50,"40s",EmployeeData[[#This Row],[Age]]&lt;60,"50s",EmployeeData[[#This Row],[Age]]&gt;=60,"60s")</f>
        <v>40s</v>
      </c>
      <c r="G738" s="5">
        <v>43651</v>
      </c>
      <c r="H738" s="5">
        <v>45334</v>
      </c>
      <c r="I738" t="s">
        <v>65</v>
      </c>
      <c r="J738" t="s">
        <v>13</v>
      </c>
      <c r="K738" cm="1">
        <f t="array" aca="1" ref="K738" ca="1">_xlfn.IFS(EmployeeData[[#This Row],[Status]]="Active",_xlfn.DAYS(TODAY(),EmployeeData[[#This Row],[Join Date]]),EmployeeData[[#This Row],[Status]]="Exited",_xlfn.DAYS(EmployeeData[[#This Row],[Exit Date]],EmployeeData[[#This Row],[Join Date]]))</f>
        <v>1683</v>
      </c>
      <c r="L738" cm="1">
        <f t="array" aca="1" ref="L738" ca="1">_xlfn.IFS(EmployeeData[[#This Row],[Status]]="Exited",DATEDIF(EmployeeData[[#This Row],[Join Date]], EmployeeData[[#This Row],[Exit Date]], "Y"),EmployeeData[[#This Row],[Status]]="Active",DATEDIF(EmployeeData[[#This Row],[Join Date]], TODAY(), "Y"))</f>
        <v>4</v>
      </c>
      <c r="Q738" t="str" cm="1">
        <f t="array" aca="1" ref="Q7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7 days</v>
      </c>
    </row>
    <row r="739" spans="1:17" x14ac:dyDescent="0.3">
      <c r="A739">
        <v>1738</v>
      </c>
      <c r="B739" t="s">
        <v>911</v>
      </c>
      <c r="C739" t="s">
        <v>20</v>
      </c>
      <c r="D739" t="s">
        <v>11</v>
      </c>
      <c r="E739">
        <v>57</v>
      </c>
      <c r="F739" t="str" cm="1">
        <f t="array" ref="F739">_xlfn.IFS(EmployeeData[[#This Row],[Age]]&lt;30,"20s",EmployeeData[[#This Row],[Age]]&lt;40,"30s",EmployeeData[[#This Row],[Age]]&lt;50,"40s",EmployeeData[[#This Row],[Age]]&lt;60,"50s",EmployeeData[[#This Row],[Age]]&gt;=60,"60s")</f>
        <v>50s</v>
      </c>
      <c r="G739" s="5">
        <v>45025</v>
      </c>
      <c r="I739" t="s">
        <v>17</v>
      </c>
      <c r="J739" t="s">
        <v>18</v>
      </c>
      <c r="K739" cm="1">
        <f t="array" aca="1" ref="K739" ca="1">_xlfn.IFS(EmployeeData[[#This Row],[Status]]="Active",_xlfn.DAYS(TODAY(),EmployeeData[[#This Row],[Join Date]]),EmployeeData[[#This Row],[Status]]="Exited",_xlfn.DAYS(EmployeeData[[#This Row],[Exit Date]],EmployeeData[[#This Row],[Join Date]]))</f>
        <v>1172</v>
      </c>
      <c r="L739" cm="1">
        <f t="array" aca="1" ref="L739" ca="1">_xlfn.IFS(EmployeeData[[#This Row],[Status]]="Exited",DATEDIF(EmployeeData[[#This Row],[Join Date]], EmployeeData[[#This Row],[Exit Date]], "Y"),EmployeeData[[#This Row],[Status]]="Active",DATEDIF(EmployeeData[[#This Row],[Join Date]], TODAY(), "Y"))</f>
        <v>3</v>
      </c>
      <c r="Q739" t="str" cm="1">
        <f t="array" aca="1" ref="Q7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2 months 15 days</v>
      </c>
    </row>
    <row r="740" spans="1:17" x14ac:dyDescent="0.3">
      <c r="A740">
        <v>1739</v>
      </c>
      <c r="B740" t="s">
        <v>164</v>
      </c>
      <c r="C740" t="s">
        <v>23</v>
      </c>
      <c r="D740" t="s">
        <v>11</v>
      </c>
      <c r="E740">
        <v>43</v>
      </c>
      <c r="F740" t="str" cm="1">
        <f t="array" ref="F740">_xlfn.IFS(EmployeeData[[#This Row],[Age]]&lt;30,"20s",EmployeeData[[#This Row],[Age]]&lt;40,"30s",EmployeeData[[#This Row],[Age]]&lt;50,"40s",EmployeeData[[#This Row],[Age]]&lt;60,"50s",EmployeeData[[#This Row],[Age]]&gt;=60,"60s")</f>
        <v>40s</v>
      </c>
      <c r="G740" s="5">
        <v>44266</v>
      </c>
      <c r="H740" s="5">
        <v>44413</v>
      </c>
      <c r="I740" t="s">
        <v>28</v>
      </c>
      <c r="J740" t="s">
        <v>13</v>
      </c>
      <c r="K740" cm="1">
        <f t="array" aca="1" ref="K740" ca="1">_xlfn.IFS(EmployeeData[[#This Row],[Status]]="Active",_xlfn.DAYS(TODAY(),EmployeeData[[#This Row],[Join Date]]),EmployeeData[[#This Row],[Status]]="Exited",_xlfn.DAYS(EmployeeData[[#This Row],[Exit Date]],EmployeeData[[#This Row],[Join Date]]))</f>
        <v>147</v>
      </c>
      <c r="L740" cm="1">
        <f t="array" aca="1" ref="L740" ca="1">_xlfn.IFS(EmployeeData[[#This Row],[Status]]="Exited",DATEDIF(EmployeeData[[#This Row],[Join Date]], EmployeeData[[#This Row],[Exit Date]], "Y"),EmployeeData[[#This Row],[Status]]="Active",DATEDIF(EmployeeData[[#This Row],[Join Date]], TODAY(), "Y"))</f>
        <v>0</v>
      </c>
      <c r="Q740" t="str" cm="1">
        <f t="array" aca="1" ref="Q7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25 days</v>
      </c>
    </row>
    <row r="741" spans="1:17" x14ac:dyDescent="0.3">
      <c r="A741">
        <v>1740</v>
      </c>
      <c r="B741" t="s">
        <v>934</v>
      </c>
      <c r="C741" t="s">
        <v>20</v>
      </c>
      <c r="D741" t="s">
        <v>24</v>
      </c>
      <c r="E741">
        <v>45</v>
      </c>
      <c r="F741" t="str" cm="1">
        <f t="array" ref="F741">_xlfn.IFS(EmployeeData[[#This Row],[Age]]&lt;30,"20s",EmployeeData[[#This Row],[Age]]&lt;40,"30s",EmployeeData[[#This Row],[Age]]&lt;50,"40s",EmployeeData[[#This Row],[Age]]&lt;60,"50s",EmployeeData[[#This Row],[Age]]&gt;=60,"60s")</f>
        <v>40s</v>
      </c>
      <c r="G741" s="5">
        <v>43499</v>
      </c>
      <c r="I741" t="s">
        <v>17</v>
      </c>
      <c r="J741" t="s">
        <v>18</v>
      </c>
      <c r="K741" cm="1">
        <f t="array" aca="1" ref="K741" ca="1">_xlfn.IFS(EmployeeData[[#This Row],[Status]]="Active",_xlfn.DAYS(TODAY(),EmployeeData[[#This Row],[Join Date]]),EmployeeData[[#This Row],[Status]]="Exited",_xlfn.DAYS(EmployeeData[[#This Row],[Exit Date]],EmployeeData[[#This Row],[Join Date]]))</f>
        <v>2698</v>
      </c>
      <c r="L741" cm="1">
        <f t="array" aca="1" ref="L741" ca="1">_xlfn.IFS(EmployeeData[[#This Row],[Status]]="Exited",DATEDIF(EmployeeData[[#This Row],[Join Date]], EmployeeData[[#This Row],[Exit Date]], "Y"),EmployeeData[[#This Row],[Status]]="Active",DATEDIF(EmployeeData[[#This Row],[Join Date]], TODAY(), "Y"))</f>
        <v>7</v>
      </c>
      <c r="Q741" t="str" cm="1">
        <f t="array" aca="1" ref="Q7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21 days</v>
      </c>
    </row>
    <row r="742" spans="1:17" x14ac:dyDescent="0.3">
      <c r="A742">
        <v>1741</v>
      </c>
      <c r="B742" t="s">
        <v>1080</v>
      </c>
      <c r="C742" t="s">
        <v>10</v>
      </c>
      <c r="D742" t="s">
        <v>24</v>
      </c>
      <c r="E742">
        <v>58</v>
      </c>
      <c r="F742" t="str" cm="1">
        <f t="array" ref="F742">_xlfn.IFS(EmployeeData[[#This Row],[Age]]&lt;30,"20s",EmployeeData[[#This Row],[Age]]&lt;40,"30s",EmployeeData[[#This Row],[Age]]&lt;50,"40s",EmployeeData[[#This Row],[Age]]&lt;60,"50s",EmployeeData[[#This Row],[Age]]&gt;=60,"60s")</f>
        <v>50s</v>
      </c>
      <c r="G742" s="5">
        <v>43448</v>
      </c>
      <c r="I742" t="s">
        <v>17</v>
      </c>
      <c r="J742" t="s">
        <v>18</v>
      </c>
      <c r="K742" cm="1">
        <f t="array" aca="1" ref="K742" ca="1">_xlfn.IFS(EmployeeData[[#This Row],[Status]]="Active",_xlfn.DAYS(TODAY(),EmployeeData[[#This Row],[Join Date]]),EmployeeData[[#This Row],[Status]]="Exited",_xlfn.DAYS(EmployeeData[[#This Row],[Exit Date]],EmployeeData[[#This Row],[Join Date]]))</f>
        <v>2749</v>
      </c>
      <c r="L742" cm="1">
        <f t="array" aca="1" ref="L742" ca="1">_xlfn.IFS(EmployeeData[[#This Row],[Status]]="Exited",DATEDIF(EmployeeData[[#This Row],[Join Date]], EmployeeData[[#This Row],[Exit Date]], "Y"),EmployeeData[[#This Row],[Status]]="Active",DATEDIF(EmployeeData[[#This Row],[Join Date]], TODAY(), "Y"))</f>
        <v>7</v>
      </c>
      <c r="Q742" t="str" cm="1">
        <f t="array" aca="1" ref="Q7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10 days</v>
      </c>
    </row>
    <row r="743" spans="1:17" x14ac:dyDescent="0.3">
      <c r="A743">
        <v>1742</v>
      </c>
      <c r="B743" t="s">
        <v>1081</v>
      </c>
      <c r="C743" t="s">
        <v>15</v>
      </c>
      <c r="D743" t="s">
        <v>24</v>
      </c>
      <c r="E743">
        <v>50</v>
      </c>
      <c r="F743" t="str" cm="1">
        <f t="array" ref="F743">_xlfn.IFS(EmployeeData[[#This Row],[Age]]&lt;30,"20s",EmployeeData[[#This Row],[Age]]&lt;40,"30s",EmployeeData[[#This Row],[Age]]&lt;50,"40s",EmployeeData[[#This Row],[Age]]&lt;60,"50s",EmployeeData[[#This Row],[Age]]&gt;=60,"60s")</f>
        <v>50s</v>
      </c>
      <c r="G743" s="5">
        <v>45795</v>
      </c>
      <c r="I743" t="s">
        <v>17</v>
      </c>
      <c r="J743" t="s">
        <v>18</v>
      </c>
      <c r="K743" cm="1">
        <f t="array" aca="1" ref="K743" ca="1">_xlfn.IFS(EmployeeData[[#This Row],[Status]]="Active",_xlfn.DAYS(TODAY(),EmployeeData[[#This Row],[Join Date]]),EmployeeData[[#This Row],[Status]]="Exited",_xlfn.DAYS(EmployeeData[[#This Row],[Exit Date]],EmployeeData[[#This Row],[Join Date]]))</f>
        <v>402</v>
      </c>
      <c r="L743" cm="1">
        <f t="array" aca="1" ref="L743" ca="1">_xlfn.IFS(EmployeeData[[#This Row],[Status]]="Exited",DATEDIF(EmployeeData[[#This Row],[Join Date]], EmployeeData[[#This Row],[Exit Date]], "Y"),EmployeeData[[#This Row],[Status]]="Active",DATEDIF(EmployeeData[[#This Row],[Join Date]], TODAY(), "Y"))</f>
        <v>1</v>
      </c>
      <c r="Q743" t="str" cm="1">
        <f t="array" aca="1" ref="Q7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6 days</v>
      </c>
    </row>
    <row r="744" spans="1:17" x14ac:dyDescent="0.3">
      <c r="A744">
        <v>1743</v>
      </c>
      <c r="B744" t="s">
        <v>731</v>
      </c>
      <c r="C744" t="s">
        <v>10</v>
      </c>
      <c r="D744" t="s">
        <v>11</v>
      </c>
      <c r="E744">
        <v>58</v>
      </c>
      <c r="F744" t="str" cm="1">
        <f t="array" ref="F744">_xlfn.IFS(EmployeeData[[#This Row],[Age]]&lt;30,"20s",EmployeeData[[#This Row],[Age]]&lt;40,"30s",EmployeeData[[#This Row],[Age]]&lt;50,"40s",EmployeeData[[#This Row],[Age]]&lt;60,"50s",EmployeeData[[#This Row],[Age]]&gt;=60,"60s")</f>
        <v>50s</v>
      </c>
      <c r="G744" s="5">
        <v>43192</v>
      </c>
      <c r="I744" t="s">
        <v>17</v>
      </c>
      <c r="J744" t="s">
        <v>18</v>
      </c>
      <c r="K744" cm="1">
        <f t="array" aca="1" ref="K744" ca="1">_xlfn.IFS(EmployeeData[[#This Row],[Status]]="Active",_xlfn.DAYS(TODAY(),EmployeeData[[#This Row],[Join Date]]),EmployeeData[[#This Row],[Status]]="Exited",_xlfn.DAYS(EmployeeData[[#This Row],[Exit Date]],EmployeeData[[#This Row],[Join Date]]))</f>
        <v>3005</v>
      </c>
      <c r="L744" cm="1">
        <f t="array" aca="1" ref="L744" ca="1">_xlfn.IFS(EmployeeData[[#This Row],[Status]]="Exited",DATEDIF(EmployeeData[[#This Row],[Join Date]], EmployeeData[[#This Row],[Exit Date]], "Y"),EmployeeData[[#This Row],[Status]]="Active",DATEDIF(EmployeeData[[#This Row],[Join Date]], TODAY(), "Y"))</f>
        <v>8</v>
      </c>
      <c r="Q744" t="str" cm="1">
        <f t="array" aca="1" ref="Q7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22 days</v>
      </c>
    </row>
    <row r="745" spans="1:17" x14ac:dyDescent="0.3">
      <c r="A745">
        <v>1744</v>
      </c>
      <c r="B745" t="s">
        <v>850</v>
      </c>
      <c r="C745" t="s">
        <v>33</v>
      </c>
      <c r="D745" t="s">
        <v>16</v>
      </c>
      <c r="E745">
        <v>34</v>
      </c>
      <c r="F745" t="str" cm="1">
        <f t="array" ref="F745">_xlfn.IFS(EmployeeData[[#This Row],[Age]]&lt;30,"20s",EmployeeData[[#This Row],[Age]]&lt;40,"30s",EmployeeData[[#This Row],[Age]]&lt;50,"40s",EmployeeData[[#This Row],[Age]]&lt;60,"50s",EmployeeData[[#This Row],[Age]]&gt;=60,"60s")</f>
        <v>30s</v>
      </c>
      <c r="G745" s="5">
        <v>44477</v>
      </c>
      <c r="I745" t="s">
        <v>17</v>
      </c>
      <c r="J745" t="s">
        <v>18</v>
      </c>
      <c r="K745" cm="1">
        <f t="array" aca="1" ref="K745" ca="1">_xlfn.IFS(EmployeeData[[#This Row],[Status]]="Active",_xlfn.DAYS(TODAY(),EmployeeData[[#This Row],[Join Date]]),EmployeeData[[#This Row],[Status]]="Exited",_xlfn.DAYS(EmployeeData[[#This Row],[Exit Date]],EmployeeData[[#This Row],[Join Date]]))</f>
        <v>1720</v>
      </c>
      <c r="L745" cm="1">
        <f t="array" aca="1" ref="L745" ca="1">_xlfn.IFS(EmployeeData[[#This Row],[Status]]="Exited",DATEDIF(EmployeeData[[#This Row],[Join Date]], EmployeeData[[#This Row],[Exit Date]], "Y"),EmployeeData[[#This Row],[Status]]="Active",DATEDIF(EmployeeData[[#This Row],[Join Date]], TODAY(), "Y"))</f>
        <v>4</v>
      </c>
      <c r="Q745" t="str" cm="1">
        <f t="array" aca="1" ref="Q7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16 days</v>
      </c>
    </row>
    <row r="746" spans="1:17" x14ac:dyDescent="0.3">
      <c r="A746">
        <v>1745</v>
      </c>
      <c r="B746" t="s">
        <v>841</v>
      </c>
      <c r="C746" t="s">
        <v>10</v>
      </c>
      <c r="D746" t="s">
        <v>24</v>
      </c>
      <c r="E746">
        <v>52</v>
      </c>
      <c r="F746" t="str" cm="1">
        <f t="array" ref="F746">_xlfn.IFS(EmployeeData[[#This Row],[Age]]&lt;30,"20s",EmployeeData[[#This Row],[Age]]&lt;40,"30s",EmployeeData[[#This Row],[Age]]&lt;50,"40s",EmployeeData[[#This Row],[Age]]&lt;60,"50s",EmployeeData[[#This Row],[Age]]&gt;=60,"60s")</f>
        <v>50s</v>
      </c>
      <c r="G746" s="5">
        <v>45703</v>
      </c>
      <c r="I746" t="s">
        <v>17</v>
      </c>
      <c r="J746" t="s">
        <v>18</v>
      </c>
      <c r="K746" cm="1">
        <f t="array" aca="1" ref="K746" ca="1">_xlfn.IFS(EmployeeData[[#This Row],[Status]]="Active",_xlfn.DAYS(TODAY(),EmployeeData[[#This Row],[Join Date]]),EmployeeData[[#This Row],[Status]]="Exited",_xlfn.DAYS(EmployeeData[[#This Row],[Exit Date]],EmployeeData[[#This Row],[Join Date]]))</f>
        <v>494</v>
      </c>
      <c r="L746" cm="1">
        <f t="array" aca="1" ref="L746" ca="1">_xlfn.IFS(EmployeeData[[#This Row],[Status]]="Exited",DATEDIF(EmployeeData[[#This Row],[Join Date]], EmployeeData[[#This Row],[Exit Date]], "Y"),EmployeeData[[#This Row],[Status]]="Active",DATEDIF(EmployeeData[[#This Row],[Join Date]], TODAY(), "Y"))</f>
        <v>1</v>
      </c>
      <c r="Q746" t="str" cm="1">
        <f t="array" aca="1" ref="Q7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9 days</v>
      </c>
    </row>
    <row r="747" spans="1:17" x14ac:dyDescent="0.3">
      <c r="A747">
        <v>1746</v>
      </c>
      <c r="B747" t="s">
        <v>620</v>
      </c>
      <c r="C747" t="s">
        <v>15</v>
      </c>
      <c r="D747" t="s">
        <v>11</v>
      </c>
      <c r="E747">
        <v>46</v>
      </c>
      <c r="F747" t="str" cm="1">
        <f t="array" ref="F747">_xlfn.IFS(EmployeeData[[#This Row],[Age]]&lt;30,"20s",EmployeeData[[#This Row],[Age]]&lt;40,"30s",EmployeeData[[#This Row],[Age]]&lt;50,"40s",EmployeeData[[#This Row],[Age]]&lt;60,"50s",EmployeeData[[#This Row],[Age]]&gt;=60,"60s")</f>
        <v>40s</v>
      </c>
      <c r="G747" s="5">
        <v>44026</v>
      </c>
      <c r="I747" t="s">
        <v>17</v>
      </c>
      <c r="J747" t="s">
        <v>18</v>
      </c>
      <c r="K747" cm="1">
        <f t="array" aca="1" ref="K747" ca="1">_xlfn.IFS(EmployeeData[[#This Row],[Status]]="Active",_xlfn.DAYS(TODAY(),EmployeeData[[#This Row],[Join Date]]),EmployeeData[[#This Row],[Status]]="Exited",_xlfn.DAYS(EmployeeData[[#This Row],[Exit Date]],EmployeeData[[#This Row],[Join Date]]))</f>
        <v>2171</v>
      </c>
      <c r="L747" cm="1">
        <f t="array" aca="1" ref="L747" ca="1">_xlfn.IFS(EmployeeData[[#This Row],[Status]]="Exited",DATEDIF(EmployeeData[[#This Row],[Join Date]], EmployeeData[[#This Row],[Exit Date]], "Y"),EmployeeData[[#This Row],[Status]]="Active",DATEDIF(EmployeeData[[#This Row],[Join Date]], TODAY(), "Y"))</f>
        <v>5</v>
      </c>
      <c r="Q747" t="str" cm="1">
        <f t="array" aca="1" ref="Q7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10 days</v>
      </c>
    </row>
    <row r="748" spans="1:17" x14ac:dyDescent="0.3">
      <c r="A748">
        <v>1747</v>
      </c>
      <c r="B748" t="s">
        <v>795</v>
      </c>
      <c r="C748" t="s">
        <v>15</v>
      </c>
      <c r="D748" t="s">
        <v>24</v>
      </c>
      <c r="E748">
        <v>25</v>
      </c>
      <c r="F748" t="str" cm="1">
        <f t="array" ref="F748">_xlfn.IFS(EmployeeData[[#This Row],[Age]]&lt;30,"20s",EmployeeData[[#This Row],[Age]]&lt;40,"30s",EmployeeData[[#This Row],[Age]]&lt;50,"40s",EmployeeData[[#This Row],[Age]]&lt;60,"50s",EmployeeData[[#This Row],[Age]]&gt;=60,"60s")</f>
        <v>20s</v>
      </c>
      <c r="G748" s="5">
        <v>45421</v>
      </c>
      <c r="I748" t="s">
        <v>17</v>
      </c>
      <c r="J748" t="s">
        <v>18</v>
      </c>
      <c r="K748" cm="1">
        <f t="array" aca="1" ref="K748" ca="1">_xlfn.IFS(EmployeeData[[#This Row],[Status]]="Active",_xlfn.DAYS(TODAY(),EmployeeData[[#This Row],[Join Date]]),EmployeeData[[#This Row],[Status]]="Exited",_xlfn.DAYS(EmployeeData[[#This Row],[Exit Date]],EmployeeData[[#This Row],[Join Date]]))</f>
        <v>776</v>
      </c>
      <c r="L748" cm="1">
        <f t="array" aca="1" ref="L748" ca="1">_xlfn.IFS(EmployeeData[[#This Row],[Status]]="Exited",DATEDIF(EmployeeData[[#This Row],[Join Date]], EmployeeData[[#This Row],[Exit Date]], "Y"),EmployeeData[[#This Row],[Status]]="Active",DATEDIF(EmployeeData[[#This Row],[Join Date]], TODAY(), "Y"))</f>
        <v>2</v>
      </c>
      <c r="Q748" t="str" cm="1">
        <f t="array" aca="1" ref="Q7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15 days</v>
      </c>
    </row>
    <row r="749" spans="1:17" x14ac:dyDescent="0.3">
      <c r="A749">
        <v>1748</v>
      </c>
      <c r="B749" t="s">
        <v>253</v>
      </c>
      <c r="C749" t="s">
        <v>20</v>
      </c>
      <c r="D749" t="s">
        <v>16</v>
      </c>
      <c r="E749">
        <v>40</v>
      </c>
      <c r="F749" t="str" cm="1">
        <f t="array" ref="F749">_xlfn.IFS(EmployeeData[[#This Row],[Age]]&lt;30,"20s",EmployeeData[[#This Row],[Age]]&lt;40,"30s",EmployeeData[[#This Row],[Age]]&lt;50,"40s",EmployeeData[[#This Row],[Age]]&lt;60,"50s",EmployeeData[[#This Row],[Age]]&gt;=60,"60s")</f>
        <v>40s</v>
      </c>
      <c r="G749" s="5">
        <v>44874</v>
      </c>
      <c r="I749" t="s">
        <v>17</v>
      </c>
      <c r="J749" t="s">
        <v>18</v>
      </c>
      <c r="K749" cm="1">
        <f t="array" aca="1" ref="K749" ca="1">_xlfn.IFS(EmployeeData[[#This Row],[Status]]="Active",_xlfn.DAYS(TODAY(),EmployeeData[[#This Row],[Join Date]]),EmployeeData[[#This Row],[Status]]="Exited",_xlfn.DAYS(EmployeeData[[#This Row],[Exit Date]],EmployeeData[[#This Row],[Join Date]]))</f>
        <v>1323</v>
      </c>
      <c r="L749" cm="1">
        <f t="array" aca="1" ref="L749" ca="1">_xlfn.IFS(EmployeeData[[#This Row],[Status]]="Exited",DATEDIF(EmployeeData[[#This Row],[Join Date]], EmployeeData[[#This Row],[Exit Date]], "Y"),EmployeeData[[#This Row],[Status]]="Active",DATEDIF(EmployeeData[[#This Row],[Join Date]], TODAY(), "Y"))</f>
        <v>3</v>
      </c>
      <c r="Q749" t="str" cm="1">
        <f t="array" aca="1" ref="Q7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15 days</v>
      </c>
    </row>
    <row r="750" spans="1:17" x14ac:dyDescent="0.3">
      <c r="A750">
        <v>1749</v>
      </c>
      <c r="B750" t="s">
        <v>1045</v>
      </c>
      <c r="C750" t="s">
        <v>23</v>
      </c>
      <c r="D750" t="s">
        <v>24</v>
      </c>
      <c r="E750">
        <v>56</v>
      </c>
      <c r="F750" t="str" cm="1">
        <f t="array" ref="F750">_xlfn.IFS(EmployeeData[[#This Row],[Age]]&lt;30,"20s",EmployeeData[[#This Row],[Age]]&lt;40,"30s",EmployeeData[[#This Row],[Age]]&lt;50,"40s",EmployeeData[[#This Row],[Age]]&lt;60,"50s",EmployeeData[[#This Row],[Age]]&gt;=60,"60s")</f>
        <v>50s</v>
      </c>
      <c r="G750" s="5">
        <v>43840</v>
      </c>
      <c r="I750" t="s">
        <v>17</v>
      </c>
      <c r="J750" t="s">
        <v>18</v>
      </c>
      <c r="K750" cm="1">
        <f t="array" aca="1" ref="K750" ca="1">_xlfn.IFS(EmployeeData[[#This Row],[Status]]="Active",_xlfn.DAYS(TODAY(),EmployeeData[[#This Row],[Join Date]]),EmployeeData[[#This Row],[Status]]="Exited",_xlfn.DAYS(EmployeeData[[#This Row],[Exit Date]],EmployeeData[[#This Row],[Join Date]]))</f>
        <v>2357</v>
      </c>
      <c r="L750" cm="1">
        <f t="array" aca="1" ref="L750" ca="1">_xlfn.IFS(EmployeeData[[#This Row],[Status]]="Exited",DATEDIF(EmployeeData[[#This Row],[Join Date]], EmployeeData[[#This Row],[Exit Date]], "Y"),EmployeeData[[#This Row],[Status]]="Active",DATEDIF(EmployeeData[[#This Row],[Join Date]], TODAY(), "Y"))</f>
        <v>6</v>
      </c>
      <c r="Q750" t="str" cm="1">
        <f t="array" aca="1" ref="Q7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14 days</v>
      </c>
    </row>
    <row r="751" spans="1:17" x14ac:dyDescent="0.3">
      <c r="A751">
        <v>1750</v>
      </c>
      <c r="B751" t="s">
        <v>852</v>
      </c>
      <c r="C751" t="s">
        <v>20</v>
      </c>
      <c r="D751" t="s">
        <v>11</v>
      </c>
      <c r="E751">
        <v>50</v>
      </c>
      <c r="F751" t="str" cm="1">
        <f t="array" ref="F751">_xlfn.IFS(EmployeeData[[#This Row],[Age]]&lt;30,"20s",EmployeeData[[#This Row],[Age]]&lt;40,"30s",EmployeeData[[#This Row],[Age]]&lt;50,"40s",EmployeeData[[#This Row],[Age]]&lt;60,"50s",EmployeeData[[#This Row],[Age]]&gt;=60,"60s")</f>
        <v>50s</v>
      </c>
      <c r="G751" s="5">
        <v>44198</v>
      </c>
      <c r="I751" t="s">
        <v>17</v>
      </c>
      <c r="J751" t="s">
        <v>18</v>
      </c>
      <c r="K751" cm="1">
        <f t="array" aca="1" ref="K751" ca="1">_xlfn.IFS(EmployeeData[[#This Row],[Status]]="Active",_xlfn.DAYS(TODAY(),EmployeeData[[#This Row],[Join Date]]),EmployeeData[[#This Row],[Status]]="Exited",_xlfn.DAYS(EmployeeData[[#This Row],[Exit Date]],EmployeeData[[#This Row],[Join Date]]))</f>
        <v>1999</v>
      </c>
      <c r="L751" cm="1">
        <f t="array" aca="1" ref="L751" ca="1">_xlfn.IFS(EmployeeData[[#This Row],[Status]]="Exited",DATEDIF(EmployeeData[[#This Row],[Join Date]], EmployeeData[[#This Row],[Exit Date]], "Y"),EmployeeData[[#This Row],[Status]]="Active",DATEDIF(EmployeeData[[#This Row],[Join Date]], TODAY(), "Y"))</f>
        <v>5</v>
      </c>
      <c r="Q751" t="str" cm="1">
        <f t="array" aca="1" ref="Q7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22 days</v>
      </c>
    </row>
    <row r="752" spans="1:17" x14ac:dyDescent="0.3">
      <c r="A752">
        <v>1751</v>
      </c>
      <c r="B752" t="s">
        <v>750</v>
      </c>
      <c r="C752" t="s">
        <v>46</v>
      </c>
      <c r="D752" t="s">
        <v>11</v>
      </c>
      <c r="E752">
        <v>24</v>
      </c>
      <c r="F752" t="str" cm="1">
        <f t="array" ref="F752">_xlfn.IFS(EmployeeData[[#This Row],[Age]]&lt;30,"20s",EmployeeData[[#This Row],[Age]]&lt;40,"30s",EmployeeData[[#This Row],[Age]]&lt;50,"40s",EmployeeData[[#This Row],[Age]]&lt;60,"50s",EmployeeData[[#This Row],[Age]]&gt;=60,"60s")</f>
        <v>20s</v>
      </c>
      <c r="G752" s="5">
        <v>45240</v>
      </c>
      <c r="H752" s="5">
        <v>45803</v>
      </c>
      <c r="I752" t="s">
        <v>31</v>
      </c>
      <c r="J752" t="s">
        <v>13</v>
      </c>
      <c r="K752" cm="1">
        <f t="array" aca="1" ref="K752" ca="1">_xlfn.IFS(EmployeeData[[#This Row],[Status]]="Active",_xlfn.DAYS(TODAY(),EmployeeData[[#This Row],[Join Date]]),EmployeeData[[#This Row],[Status]]="Exited",_xlfn.DAYS(EmployeeData[[#This Row],[Exit Date]],EmployeeData[[#This Row],[Join Date]]))</f>
        <v>563</v>
      </c>
      <c r="L752" cm="1">
        <f t="array" aca="1" ref="L752" ca="1">_xlfn.IFS(EmployeeData[[#This Row],[Status]]="Exited",DATEDIF(EmployeeData[[#This Row],[Join Date]], EmployeeData[[#This Row],[Exit Date]], "Y"),EmployeeData[[#This Row],[Status]]="Active",DATEDIF(EmployeeData[[#This Row],[Join Date]], TODAY(), "Y"))</f>
        <v>1</v>
      </c>
      <c r="Q752" t="str" cm="1">
        <f t="array" aca="1" ref="Q7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6 months 16 days</v>
      </c>
    </row>
    <row r="753" spans="1:17" x14ac:dyDescent="0.3">
      <c r="A753">
        <v>1752</v>
      </c>
      <c r="B753" t="s">
        <v>434</v>
      </c>
      <c r="C753" t="s">
        <v>10</v>
      </c>
      <c r="D753" t="s">
        <v>24</v>
      </c>
      <c r="E753">
        <v>41</v>
      </c>
      <c r="F753" t="str" cm="1">
        <f t="array" ref="F753">_xlfn.IFS(EmployeeData[[#This Row],[Age]]&lt;30,"20s",EmployeeData[[#This Row],[Age]]&lt;40,"30s",EmployeeData[[#This Row],[Age]]&lt;50,"40s",EmployeeData[[#This Row],[Age]]&lt;60,"50s",EmployeeData[[#This Row],[Age]]&gt;=60,"60s")</f>
        <v>40s</v>
      </c>
      <c r="G753" s="5">
        <v>43364</v>
      </c>
      <c r="I753" t="s">
        <v>17</v>
      </c>
      <c r="J753" t="s">
        <v>18</v>
      </c>
      <c r="K753" cm="1">
        <f t="array" aca="1" ref="K753" ca="1">_xlfn.IFS(EmployeeData[[#This Row],[Status]]="Active",_xlfn.DAYS(TODAY(),EmployeeData[[#This Row],[Join Date]]),EmployeeData[[#This Row],[Status]]="Exited",_xlfn.DAYS(EmployeeData[[#This Row],[Exit Date]],EmployeeData[[#This Row],[Join Date]]))</f>
        <v>2833</v>
      </c>
      <c r="L753" cm="1">
        <f t="array" aca="1" ref="L753" ca="1">_xlfn.IFS(EmployeeData[[#This Row],[Status]]="Exited",DATEDIF(EmployeeData[[#This Row],[Join Date]], EmployeeData[[#This Row],[Exit Date]], "Y"),EmployeeData[[#This Row],[Status]]="Active",DATEDIF(EmployeeData[[#This Row],[Join Date]], TODAY(), "Y"))</f>
        <v>7</v>
      </c>
      <c r="Q753" t="str" cm="1">
        <f t="array" aca="1" ref="Q7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3 days</v>
      </c>
    </row>
    <row r="754" spans="1:17" x14ac:dyDescent="0.3">
      <c r="A754">
        <v>1753</v>
      </c>
      <c r="B754" t="s">
        <v>375</v>
      </c>
      <c r="C754" t="s">
        <v>20</v>
      </c>
      <c r="D754" t="s">
        <v>16</v>
      </c>
      <c r="E754">
        <v>36</v>
      </c>
      <c r="F754" t="str" cm="1">
        <f t="array" ref="F754">_xlfn.IFS(EmployeeData[[#This Row],[Age]]&lt;30,"20s",EmployeeData[[#This Row],[Age]]&lt;40,"30s",EmployeeData[[#This Row],[Age]]&lt;50,"40s",EmployeeData[[#This Row],[Age]]&lt;60,"50s",EmployeeData[[#This Row],[Age]]&gt;=60,"60s")</f>
        <v>30s</v>
      </c>
      <c r="G754" s="5">
        <v>44763</v>
      </c>
      <c r="H754" s="5">
        <v>45160</v>
      </c>
      <c r="I754" t="s">
        <v>31</v>
      </c>
      <c r="J754" t="s">
        <v>13</v>
      </c>
      <c r="K754" cm="1">
        <f t="array" aca="1" ref="K754" ca="1">_xlfn.IFS(EmployeeData[[#This Row],[Status]]="Active",_xlfn.DAYS(TODAY(),EmployeeData[[#This Row],[Join Date]]),EmployeeData[[#This Row],[Status]]="Exited",_xlfn.DAYS(EmployeeData[[#This Row],[Exit Date]],EmployeeData[[#This Row],[Join Date]]))</f>
        <v>397</v>
      </c>
      <c r="L754" cm="1">
        <f t="array" aca="1" ref="L754" ca="1">_xlfn.IFS(EmployeeData[[#This Row],[Status]]="Exited",DATEDIF(EmployeeData[[#This Row],[Join Date]], EmployeeData[[#This Row],[Exit Date]], "Y"),EmployeeData[[#This Row],[Status]]="Active",DATEDIF(EmployeeData[[#This Row],[Join Date]], TODAY(), "Y"))</f>
        <v>1</v>
      </c>
      <c r="Q754" t="str" cm="1">
        <f t="array" aca="1" ref="Q7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 days</v>
      </c>
    </row>
    <row r="755" spans="1:17" x14ac:dyDescent="0.3">
      <c r="A755">
        <v>1754</v>
      </c>
      <c r="B755" t="s">
        <v>691</v>
      </c>
      <c r="C755" t="s">
        <v>10</v>
      </c>
      <c r="D755" t="s">
        <v>11</v>
      </c>
      <c r="E755">
        <v>58</v>
      </c>
      <c r="F755" t="str" cm="1">
        <f t="array" ref="F755">_xlfn.IFS(EmployeeData[[#This Row],[Age]]&lt;30,"20s",EmployeeData[[#This Row],[Age]]&lt;40,"30s",EmployeeData[[#This Row],[Age]]&lt;50,"40s",EmployeeData[[#This Row],[Age]]&lt;60,"50s",EmployeeData[[#This Row],[Age]]&gt;=60,"60s")</f>
        <v>50s</v>
      </c>
      <c r="G755" s="5">
        <v>43753</v>
      </c>
      <c r="H755" s="5">
        <v>43962</v>
      </c>
      <c r="I755" t="s">
        <v>26</v>
      </c>
      <c r="J755" t="s">
        <v>13</v>
      </c>
      <c r="K755" cm="1">
        <f t="array" aca="1" ref="K755" ca="1">_xlfn.IFS(EmployeeData[[#This Row],[Status]]="Active",_xlfn.DAYS(TODAY(),EmployeeData[[#This Row],[Join Date]]),EmployeeData[[#This Row],[Status]]="Exited",_xlfn.DAYS(EmployeeData[[#This Row],[Exit Date]],EmployeeData[[#This Row],[Join Date]]))</f>
        <v>209</v>
      </c>
      <c r="L755" cm="1">
        <f t="array" aca="1" ref="L755" ca="1">_xlfn.IFS(EmployeeData[[#This Row],[Status]]="Exited",DATEDIF(EmployeeData[[#This Row],[Join Date]], EmployeeData[[#This Row],[Exit Date]], "Y"),EmployeeData[[#This Row],[Status]]="Active",DATEDIF(EmployeeData[[#This Row],[Join Date]], TODAY(), "Y"))</f>
        <v>0</v>
      </c>
      <c r="Q755" t="str" cm="1">
        <f t="array" aca="1" ref="Q7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26 days</v>
      </c>
    </row>
    <row r="756" spans="1:17" x14ac:dyDescent="0.3">
      <c r="A756">
        <v>1755</v>
      </c>
      <c r="B756" t="s">
        <v>96</v>
      </c>
      <c r="C756" t="s">
        <v>15</v>
      </c>
      <c r="D756" t="s">
        <v>11</v>
      </c>
      <c r="E756">
        <v>22</v>
      </c>
      <c r="F756" t="str" cm="1">
        <f t="array" ref="F756">_xlfn.IFS(EmployeeData[[#This Row],[Age]]&lt;30,"20s",EmployeeData[[#This Row],[Age]]&lt;40,"30s",EmployeeData[[#This Row],[Age]]&lt;50,"40s",EmployeeData[[#This Row],[Age]]&lt;60,"50s",EmployeeData[[#This Row],[Age]]&gt;=60,"60s")</f>
        <v>20s</v>
      </c>
      <c r="G756" s="5">
        <v>43327</v>
      </c>
      <c r="I756" t="s">
        <v>17</v>
      </c>
      <c r="J756" t="s">
        <v>18</v>
      </c>
      <c r="K756" cm="1">
        <f t="array" aca="1" ref="K756" ca="1">_xlfn.IFS(EmployeeData[[#This Row],[Status]]="Active",_xlfn.DAYS(TODAY(),EmployeeData[[#This Row],[Join Date]]),EmployeeData[[#This Row],[Status]]="Exited",_xlfn.DAYS(EmployeeData[[#This Row],[Exit Date]],EmployeeData[[#This Row],[Join Date]]))</f>
        <v>2870</v>
      </c>
      <c r="L756" cm="1">
        <f t="array" aca="1" ref="L756" ca="1">_xlfn.IFS(EmployeeData[[#This Row],[Status]]="Exited",DATEDIF(EmployeeData[[#This Row],[Join Date]], EmployeeData[[#This Row],[Exit Date]], "Y"),EmployeeData[[#This Row],[Status]]="Active",DATEDIF(EmployeeData[[#This Row],[Join Date]], TODAY(), "Y"))</f>
        <v>7</v>
      </c>
      <c r="Q756" t="str" cm="1">
        <f t="array" aca="1" ref="Q7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9 days</v>
      </c>
    </row>
    <row r="757" spans="1:17" x14ac:dyDescent="0.3">
      <c r="A757">
        <v>1756</v>
      </c>
      <c r="B757" t="s">
        <v>853</v>
      </c>
      <c r="C757" t="s">
        <v>33</v>
      </c>
      <c r="D757" t="s">
        <v>11</v>
      </c>
      <c r="E757">
        <v>47</v>
      </c>
      <c r="F757" t="str" cm="1">
        <f t="array" ref="F757">_xlfn.IFS(EmployeeData[[#This Row],[Age]]&lt;30,"20s",EmployeeData[[#This Row],[Age]]&lt;40,"30s",EmployeeData[[#This Row],[Age]]&lt;50,"40s",EmployeeData[[#This Row],[Age]]&lt;60,"50s",EmployeeData[[#This Row],[Age]]&gt;=60,"60s")</f>
        <v>40s</v>
      </c>
      <c r="G757" s="5">
        <v>44589</v>
      </c>
      <c r="I757" t="s">
        <v>17</v>
      </c>
      <c r="J757" t="s">
        <v>18</v>
      </c>
      <c r="K757" cm="1">
        <f t="array" aca="1" ref="K757" ca="1">_xlfn.IFS(EmployeeData[[#This Row],[Status]]="Active",_xlfn.DAYS(TODAY(),EmployeeData[[#This Row],[Join Date]]),EmployeeData[[#This Row],[Status]]="Exited",_xlfn.DAYS(EmployeeData[[#This Row],[Exit Date]],EmployeeData[[#This Row],[Join Date]]))</f>
        <v>1608</v>
      </c>
      <c r="L757" cm="1">
        <f t="array" aca="1" ref="L757" ca="1">_xlfn.IFS(EmployeeData[[#This Row],[Status]]="Exited",DATEDIF(EmployeeData[[#This Row],[Join Date]], EmployeeData[[#This Row],[Exit Date]], "Y"),EmployeeData[[#This Row],[Status]]="Active",DATEDIF(EmployeeData[[#This Row],[Join Date]], TODAY(), "Y"))</f>
        <v>4</v>
      </c>
      <c r="Q757" t="str" cm="1">
        <f t="array" aca="1" ref="Q7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27 days</v>
      </c>
    </row>
    <row r="758" spans="1:17" x14ac:dyDescent="0.3">
      <c r="A758">
        <v>1757</v>
      </c>
      <c r="B758" t="s">
        <v>497</v>
      </c>
      <c r="C758" t="s">
        <v>20</v>
      </c>
      <c r="D758" t="s">
        <v>16</v>
      </c>
      <c r="E758">
        <v>28</v>
      </c>
      <c r="F758" t="str" cm="1">
        <f t="array" ref="F758">_xlfn.IFS(EmployeeData[[#This Row],[Age]]&lt;30,"20s",EmployeeData[[#This Row],[Age]]&lt;40,"30s",EmployeeData[[#This Row],[Age]]&lt;50,"40s",EmployeeData[[#This Row],[Age]]&lt;60,"50s",EmployeeData[[#This Row],[Age]]&gt;=60,"60s")</f>
        <v>20s</v>
      </c>
      <c r="G758" s="5">
        <v>45439</v>
      </c>
      <c r="I758" t="s">
        <v>17</v>
      </c>
      <c r="J758" t="s">
        <v>18</v>
      </c>
      <c r="K758" cm="1">
        <f t="array" aca="1" ref="K758" ca="1">_xlfn.IFS(EmployeeData[[#This Row],[Status]]="Active",_xlfn.DAYS(TODAY(),EmployeeData[[#This Row],[Join Date]]),EmployeeData[[#This Row],[Status]]="Exited",_xlfn.DAYS(EmployeeData[[#This Row],[Exit Date]],EmployeeData[[#This Row],[Join Date]]))</f>
        <v>758</v>
      </c>
      <c r="L758" cm="1">
        <f t="array" aca="1" ref="L758" ca="1">_xlfn.IFS(EmployeeData[[#This Row],[Status]]="Exited",DATEDIF(EmployeeData[[#This Row],[Join Date]], EmployeeData[[#This Row],[Exit Date]], "Y"),EmployeeData[[#This Row],[Status]]="Active",DATEDIF(EmployeeData[[#This Row],[Join Date]], TODAY(), "Y"))</f>
        <v>2</v>
      </c>
      <c r="Q758" t="str" cm="1">
        <f t="array" aca="1" ref="Q7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28 days</v>
      </c>
    </row>
    <row r="759" spans="1:17" x14ac:dyDescent="0.3">
      <c r="A759">
        <v>1758</v>
      </c>
      <c r="B759" t="s">
        <v>606</v>
      </c>
      <c r="C759" t="s">
        <v>23</v>
      </c>
      <c r="D759" t="s">
        <v>11</v>
      </c>
      <c r="E759">
        <v>54</v>
      </c>
      <c r="F759" t="str" cm="1">
        <f t="array" ref="F759">_xlfn.IFS(EmployeeData[[#This Row],[Age]]&lt;30,"20s",EmployeeData[[#This Row],[Age]]&lt;40,"30s",EmployeeData[[#This Row],[Age]]&lt;50,"40s",EmployeeData[[#This Row],[Age]]&lt;60,"50s",EmployeeData[[#This Row],[Age]]&gt;=60,"60s")</f>
        <v>50s</v>
      </c>
      <c r="G759" s="5">
        <v>44132</v>
      </c>
      <c r="I759" t="s">
        <v>17</v>
      </c>
      <c r="J759" t="s">
        <v>18</v>
      </c>
      <c r="K759" cm="1">
        <f t="array" aca="1" ref="K759" ca="1">_xlfn.IFS(EmployeeData[[#This Row],[Status]]="Active",_xlfn.DAYS(TODAY(),EmployeeData[[#This Row],[Join Date]]),EmployeeData[[#This Row],[Status]]="Exited",_xlfn.DAYS(EmployeeData[[#This Row],[Exit Date]],EmployeeData[[#This Row],[Join Date]]))</f>
        <v>2065</v>
      </c>
      <c r="L759" cm="1">
        <f t="array" aca="1" ref="L759" ca="1">_xlfn.IFS(EmployeeData[[#This Row],[Status]]="Exited",DATEDIF(EmployeeData[[#This Row],[Join Date]], EmployeeData[[#This Row],[Exit Date]], "Y"),EmployeeData[[#This Row],[Status]]="Active",DATEDIF(EmployeeData[[#This Row],[Join Date]], TODAY(), "Y"))</f>
        <v>5</v>
      </c>
      <c r="Q759" t="str" cm="1">
        <f t="array" aca="1" ref="Q7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27 days</v>
      </c>
    </row>
    <row r="760" spans="1:17" x14ac:dyDescent="0.3">
      <c r="A760">
        <v>1759</v>
      </c>
      <c r="B760" t="s">
        <v>264</v>
      </c>
      <c r="C760" t="s">
        <v>10</v>
      </c>
      <c r="D760" t="s">
        <v>24</v>
      </c>
      <c r="E760">
        <v>45</v>
      </c>
      <c r="F760" t="str" cm="1">
        <f t="array" ref="F760">_xlfn.IFS(EmployeeData[[#This Row],[Age]]&lt;30,"20s",EmployeeData[[#This Row],[Age]]&lt;40,"30s",EmployeeData[[#This Row],[Age]]&lt;50,"40s",EmployeeData[[#This Row],[Age]]&lt;60,"50s",EmployeeData[[#This Row],[Age]]&gt;=60,"60s")</f>
        <v>40s</v>
      </c>
      <c r="G760" s="5">
        <v>44067</v>
      </c>
      <c r="I760" t="s">
        <v>17</v>
      </c>
      <c r="J760" t="s">
        <v>18</v>
      </c>
      <c r="K760" cm="1">
        <f t="array" aca="1" ref="K760" ca="1">_xlfn.IFS(EmployeeData[[#This Row],[Status]]="Active",_xlfn.DAYS(TODAY(),EmployeeData[[#This Row],[Join Date]]),EmployeeData[[#This Row],[Status]]="Exited",_xlfn.DAYS(EmployeeData[[#This Row],[Exit Date]],EmployeeData[[#This Row],[Join Date]]))</f>
        <v>2130</v>
      </c>
      <c r="L760" cm="1">
        <f t="array" aca="1" ref="L760" ca="1">_xlfn.IFS(EmployeeData[[#This Row],[Status]]="Exited",DATEDIF(EmployeeData[[#This Row],[Join Date]], EmployeeData[[#This Row],[Exit Date]], "Y"),EmployeeData[[#This Row],[Status]]="Active",DATEDIF(EmployeeData[[#This Row],[Join Date]], TODAY(), "Y"))</f>
        <v>5</v>
      </c>
      <c r="Q760" t="str" cm="1">
        <f t="array" aca="1" ref="Q7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0 days</v>
      </c>
    </row>
    <row r="761" spans="1:17" x14ac:dyDescent="0.3">
      <c r="A761">
        <v>1760</v>
      </c>
      <c r="B761" t="s">
        <v>198</v>
      </c>
      <c r="C761" t="s">
        <v>46</v>
      </c>
      <c r="D761" t="s">
        <v>24</v>
      </c>
      <c r="E761">
        <v>37</v>
      </c>
      <c r="F761" t="str" cm="1">
        <f t="array" ref="F761">_xlfn.IFS(EmployeeData[[#This Row],[Age]]&lt;30,"20s",EmployeeData[[#This Row],[Age]]&lt;40,"30s",EmployeeData[[#This Row],[Age]]&lt;50,"40s",EmployeeData[[#This Row],[Age]]&lt;60,"50s",EmployeeData[[#This Row],[Age]]&gt;=60,"60s")</f>
        <v>30s</v>
      </c>
      <c r="G761" s="5">
        <v>45515</v>
      </c>
      <c r="H761" s="5">
        <v>46151</v>
      </c>
      <c r="I761" t="s">
        <v>12</v>
      </c>
      <c r="J761" t="s">
        <v>13</v>
      </c>
      <c r="K761" cm="1">
        <f t="array" aca="1" ref="K761" ca="1">_xlfn.IFS(EmployeeData[[#This Row],[Status]]="Active",_xlfn.DAYS(TODAY(),EmployeeData[[#This Row],[Join Date]]),EmployeeData[[#This Row],[Status]]="Exited",_xlfn.DAYS(EmployeeData[[#This Row],[Exit Date]],EmployeeData[[#This Row],[Join Date]]))</f>
        <v>636</v>
      </c>
      <c r="L761" cm="1">
        <f t="array" aca="1" ref="L761" ca="1">_xlfn.IFS(EmployeeData[[#This Row],[Status]]="Exited",DATEDIF(EmployeeData[[#This Row],[Join Date]], EmployeeData[[#This Row],[Exit Date]], "Y"),EmployeeData[[#This Row],[Status]]="Active",DATEDIF(EmployeeData[[#This Row],[Join Date]], TODAY(), "Y"))</f>
        <v>1</v>
      </c>
      <c r="Q761" t="str" cm="1">
        <f t="array" aca="1" ref="Q7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28 days</v>
      </c>
    </row>
    <row r="762" spans="1:17" x14ac:dyDescent="0.3">
      <c r="A762">
        <v>1761</v>
      </c>
      <c r="B762" t="s">
        <v>1014</v>
      </c>
      <c r="C762" t="s">
        <v>20</v>
      </c>
      <c r="D762" t="s">
        <v>11</v>
      </c>
      <c r="E762">
        <v>30</v>
      </c>
      <c r="F762" t="str" cm="1">
        <f t="array" ref="F762">_xlfn.IFS(EmployeeData[[#This Row],[Age]]&lt;30,"20s",EmployeeData[[#This Row],[Age]]&lt;40,"30s",EmployeeData[[#This Row],[Age]]&lt;50,"40s",EmployeeData[[#This Row],[Age]]&lt;60,"50s",EmployeeData[[#This Row],[Age]]&gt;=60,"60s")</f>
        <v>30s</v>
      </c>
      <c r="G762" s="5">
        <v>44587</v>
      </c>
      <c r="I762" t="s">
        <v>17</v>
      </c>
      <c r="J762" t="s">
        <v>18</v>
      </c>
      <c r="K762" cm="1">
        <f t="array" aca="1" ref="K762" ca="1">_xlfn.IFS(EmployeeData[[#This Row],[Status]]="Active",_xlfn.DAYS(TODAY(),EmployeeData[[#This Row],[Join Date]]),EmployeeData[[#This Row],[Status]]="Exited",_xlfn.DAYS(EmployeeData[[#This Row],[Exit Date]],EmployeeData[[#This Row],[Join Date]]))</f>
        <v>1610</v>
      </c>
      <c r="L762" cm="1">
        <f t="array" aca="1" ref="L762" ca="1">_xlfn.IFS(EmployeeData[[#This Row],[Status]]="Exited",DATEDIF(EmployeeData[[#This Row],[Join Date]], EmployeeData[[#This Row],[Exit Date]], "Y"),EmployeeData[[#This Row],[Status]]="Active",DATEDIF(EmployeeData[[#This Row],[Join Date]], TODAY(), "Y"))</f>
        <v>4</v>
      </c>
      <c r="Q762" t="str" cm="1">
        <f t="array" aca="1" ref="Q7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29 days</v>
      </c>
    </row>
    <row r="763" spans="1:17" x14ac:dyDescent="0.3">
      <c r="A763">
        <v>1762</v>
      </c>
      <c r="B763" t="s">
        <v>1079</v>
      </c>
      <c r="C763" t="s">
        <v>33</v>
      </c>
      <c r="D763" t="s">
        <v>24</v>
      </c>
      <c r="E763">
        <v>24</v>
      </c>
      <c r="F763" t="str" cm="1">
        <f t="array" ref="F763">_xlfn.IFS(EmployeeData[[#This Row],[Age]]&lt;30,"20s",EmployeeData[[#This Row],[Age]]&lt;40,"30s",EmployeeData[[#This Row],[Age]]&lt;50,"40s",EmployeeData[[#This Row],[Age]]&lt;60,"50s",EmployeeData[[#This Row],[Age]]&gt;=60,"60s")</f>
        <v>20s</v>
      </c>
      <c r="G763" s="5">
        <v>45930</v>
      </c>
      <c r="I763" t="s">
        <v>17</v>
      </c>
      <c r="J763" t="s">
        <v>18</v>
      </c>
      <c r="K763" cm="1">
        <f t="array" aca="1" ref="K763" ca="1">_xlfn.IFS(EmployeeData[[#This Row],[Status]]="Active",_xlfn.DAYS(TODAY(),EmployeeData[[#This Row],[Join Date]]),EmployeeData[[#This Row],[Status]]="Exited",_xlfn.DAYS(EmployeeData[[#This Row],[Exit Date]],EmployeeData[[#This Row],[Join Date]]))</f>
        <v>267</v>
      </c>
      <c r="L763" cm="1">
        <f t="array" aca="1" ref="L763" ca="1">_xlfn.IFS(EmployeeData[[#This Row],[Status]]="Exited",DATEDIF(EmployeeData[[#This Row],[Join Date]], EmployeeData[[#This Row],[Exit Date]], "Y"),EmployeeData[[#This Row],[Status]]="Active",DATEDIF(EmployeeData[[#This Row],[Join Date]], TODAY(), "Y"))</f>
        <v>0</v>
      </c>
      <c r="Q763" t="str" cm="1">
        <f t="array" aca="1" ref="Q7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25 days</v>
      </c>
    </row>
    <row r="764" spans="1:17" x14ac:dyDescent="0.3">
      <c r="A764">
        <v>1763</v>
      </c>
      <c r="B764" t="s">
        <v>1084</v>
      </c>
      <c r="C764" t="s">
        <v>23</v>
      </c>
      <c r="D764" t="s">
        <v>11</v>
      </c>
      <c r="E764">
        <v>28</v>
      </c>
      <c r="F764" t="str" cm="1">
        <f t="array" ref="F764">_xlfn.IFS(EmployeeData[[#This Row],[Age]]&lt;30,"20s",EmployeeData[[#This Row],[Age]]&lt;40,"30s",EmployeeData[[#This Row],[Age]]&lt;50,"40s",EmployeeData[[#This Row],[Age]]&lt;60,"50s",EmployeeData[[#This Row],[Age]]&gt;=60,"60s")</f>
        <v>20s</v>
      </c>
      <c r="G764" s="5">
        <v>45291</v>
      </c>
      <c r="I764" t="s">
        <v>17</v>
      </c>
      <c r="J764" t="s">
        <v>18</v>
      </c>
      <c r="K764" cm="1">
        <f t="array" aca="1" ref="K764" ca="1">_xlfn.IFS(EmployeeData[[#This Row],[Status]]="Active",_xlfn.DAYS(TODAY(),EmployeeData[[#This Row],[Join Date]]),EmployeeData[[#This Row],[Status]]="Exited",_xlfn.DAYS(EmployeeData[[#This Row],[Exit Date]],EmployeeData[[#This Row],[Join Date]]))</f>
        <v>906</v>
      </c>
      <c r="L764" cm="1">
        <f t="array" aca="1" ref="L764" ca="1">_xlfn.IFS(EmployeeData[[#This Row],[Status]]="Exited",DATEDIF(EmployeeData[[#This Row],[Join Date]], EmployeeData[[#This Row],[Exit Date]], "Y"),EmployeeData[[#This Row],[Status]]="Active",DATEDIF(EmployeeData[[#This Row],[Join Date]], TODAY(), "Y"))</f>
        <v>2</v>
      </c>
      <c r="Q764" t="str" cm="1">
        <f t="array" aca="1" ref="Q7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24 days</v>
      </c>
    </row>
    <row r="765" spans="1:17" x14ac:dyDescent="0.3">
      <c r="A765">
        <v>1764</v>
      </c>
      <c r="B765" t="s">
        <v>184</v>
      </c>
      <c r="C765" t="s">
        <v>46</v>
      </c>
      <c r="D765" t="s">
        <v>11</v>
      </c>
      <c r="E765">
        <v>40</v>
      </c>
      <c r="F765" t="str" cm="1">
        <f t="array" ref="F765">_xlfn.IFS(EmployeeData[[#This Row],[Age]]&lt;30,"20s",EmployeeData[[#This Row],[Age]]&lt;40,"30s",EmployeeData[[#This Row],[Age]]&lt;50,"40s",EmployeeData[[#This Row],[Age]]&lt;60,"50s",EmployeeData[[#This Row],[Age]]&gt;=60,"60s")</f>
        <v>40s</v>
      </c>
      <c r="G765" s="5">
        <v>43470</v>
      </c>
      <c r="I765" t="s">
        <v>17</v>
      </c>
      <c r="J765" t="s">
        <v>18</v>
      </c>
      <c r="K765" cm="1">
        <f t="array" aca="1" ref="K765" ca="1">_xlfn.IFS(EmployeeData[[#This Row],[Status]]="Active",_xlfn.DAYS(TODAY(),EmployeeData[[#This Row],[Join Date]]),EmployeeData[[#This Row],[Status]]="Exited",_xlfn.DAYS(EmployeeData[[#This Row],[Exit Date]],EmployeeData[[#This Row],[Join Date]]))</f>
        <v>2727</v>
      </c>
      <c r="L765" cm="1">
        <f t="array" aca="1" ref="L765" ca="1">_xlfn.IFS(EmployeeData[[#This Row],[Status]]="Exited",DATEDIF(EmployeeData[[#This Row],[Join Date]], EmployeeData[[#This Row],[Exit Date]], "Y"),EmployeeData[[#This Row],[Status]]="Active",DATEDIF(EmployeeData[[#This Row],[Join Date]], TODAY(), "Y"))</f>
        <v>7</v>
      </c>
      <c r="Q765" t="str" cm="1">
        <f t="array" aca="1" ref="Q7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19 days</v>
      </c>
    </row>
    <row r="766" spans="1:17" x14ac:dyDescent="0.3">
      <c r="A766">
        <v>1765</v>
      </c>
      <c r="B766" t="s">
        <v>306</v>
      </c>
      <c r="C766" t="s">
        <v>46</v>
      </c>
      <c r="D766" t="s">
        <v>24</v>
      </c>
      <c r="E766">
        <v>47</v>
      </c>
      <c r="F766" t="str" cm="1">
        <f t="array" ref="F766">_xlfn.IFS(EmployeeData[[#This Row],[Age]]&lt;30,"20s",EmployeeData[[#This Row],[Age]]&lt;40,"30s",EmployeeData[[#This Row],[Age]]&lt;50,"40s",EmployeeData[[#This Row],[Age]]&lt;60,"50s",EmployeeData[[#This Row],[Age]]&gt;=60,"60s")</f>
        <v>40s</v>
      </c>
      <c r="G766" s="5">
        <v>43239</v>
      </c>
      <c r="H766" s="5">
        <v>43657</v>
      </c>
      <c r="I766" t="s">
        <v>52</v>
      </c>
      <c r="J766" t="s">
        <v>13</v>
      </c>
      <c r="K766" cm="1">
        <f t="array" aca="1" ref="K766" ca="1">_xlfn.IFS(EmployeeData[[#This Row],[Status]]="Active",_xlfn.DAYS(TODAY(),EmployeeData[[#This Row],[Join Date]]),EmployeeData[[#This Row],[Status]]="Exited",_xlfn.DAYS(EmployeeData[[#This Row],[Exit Date]],EmployeeData[[#This Row],[Join Date]]))</f>
        <v>418</v>
      </c>
      <c r="L766" cm="1">
        <f t="array" aca="1" ref="L766" ca="1">_xlfn.IFS(EmployeeData[[#This Row],[Status]]="Exited",DATEDIF(EmployeeData[[#This Row],[Join Date]], EmployeeData[[#This Row],[Exit Date]], "Y"),EmployeeData[[#This Row],[Status]]="Active",DATEDIF(EmployeeData[[#This Row],[Join Date]], TODAY(), "Y"))</f>
        <v>1</v>
      </c>
      <c r="Q766" t="str" cm="1">
        <f t="array" aca="1" ref="Q7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22 days</v>
      </c>
    </row>
    <row r="767" spans="1:17" x14ac:dyDescent="0.3">
      <c r="A767">
        <v>1766</v>
      </c>
      <c r="B767" t="s">
        <v>975</v>
      </c>
      <c r="C767" t="s">
        <v>46</v>
      </c>
      <c r="D767" t="s">
        <v>24</v>
      </c>
      <c r="E767">
        <v>48</v>
      </c>
      <c r="F767" t="str" cm="1">
        <f t="array" ref="F767">_xlfn.IFS(EmployeeData[[#This Row],[Age]]&lt;30,"20s",EmployeeData[[#This Row],[Age]]&lt;40,"30s",EmployeeData[[#This Row],[Age]]&lt;50,"40s",EmployeeData[[#This Row],[Age]]&lt;60,"50s",EmployeeData[[#This Row],[Age]]&gt;=60,"60s")</f>
        <v>40s</v>
      </c>
      <c r="G767" s="5">
        <v>43512</v>
      </c>
      <c r="I767" t="s">
        <v>17</v>
      </c>
      <c r="J767" t="s">
        <v>18</v>
      </c>
      <c r="K767" cm="1">
        <f t="array" aca="1" ref="K767" ca="1">_xlfn.IFS(EmployeeData[[#This Row],[Status]]="Active",_xlfn.DAYS(TODAY(),EmployeeData[[#This Row],[Join Date]]),EmployeeData[[#This Row],[Status]]="Exited",_xlfn.DAYS(EmployeeData[[#This Row],[Exit Date]],EmployeeData[[#This Row],[Join Date]]))</f>
        <v>2685</v>
      </c>
      <c r="L767" cm="1">
        <f t="array" aca="1" ref="L767" ca="1">_xlfn.IFS(EmployeeData[[#This Row],[Status]]="Exited",DATEDIF(EmployeeData[[#This Row],[Join Date]], EmployeeData[[#This Row],[Exit Date]], "Y"),EmployeeData[[#This Row],[Status]]="Active",DATEDIF(EmployeeData[[#This Row],[Join Date]], TODAY(), "Y"))</f>
        <v>7</v>
      </c>
      <c r="Q767" t="str" cm="1">
        <f t="array" aca="1" ref="Q7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8 days</v>
      </c>
    </row>
    <row r="768" spans="1:17" x14ac:dyDescent="0.3">
      <c r="A768">
        <v>1767</v>
      </c>
      <c r="B768" t="s">
        <v>332</v>
      </c>
      <c r="C768" t="s">
        <v>23</v>
      </c>
      <c r="D768" t="s">
        <v>11</v>
      </c>
      <c r="E768">
        <v>41</v>
      </c>
      <c r="F768" t="str" cm="1">
        <f t="array" ref="F768">_xlfn.IFS(EmployeeData[[#This Row],[Age]]&lt;30,"20s",EmployeeData[[#This Row],[Age]]&lt;40,"30s",EmployeeData[[#This Row],[Age]]&lt;50,"40s",EmployeeData[[#This Row],[Age]]&lt;60,"50s",EmployeeData[[#This Row],[Age]]&gt;=60,"60s")</f>
        <v>40s</v>
      </c>
      <c r="G768" s="5">
        <v>44957</v>
      </c>
      <c r="I768" t="s">
        <v>17</v>
      </c>
      <c r="J768" t="s">
        <v>18</v>
      </c>
      <c r="K768" cm="1">
        <f t="array" aca="1" ref="K768" ca="1">_xlfn.IFS(EmployeeData[[#This Row],[Status]]="Active",_xlfn.DAYS(TODAY(),EmployeeData[[#This Row],[Join Date]]),EmployeeData[[#This Row],[Status]]="Exited",_xlfn.DAYS(EmployeeData[[#This Row],[Exit Date]],EmployeeData[[#This Row],[Join Date]]))</f>
        <v>1240</v>
      </c>
      <c r="L768" cm="1">
        <f t="array" aca="1" ref="L768" ca="1">_xlfn.IFS(EmployeeData[[#This Row],[Status]]="Exited",DATEDIF(EmployeeData[[#This Row],[Join Date]], EmployeeData[[#This Row],[Exit Date]], "Y"),EmployeeData[[#This Row],[Status]]="Active",DATEDIF(EmployeeData[[#This Row],[Join Date]], TODAY(), "Y"))</f>
        <v>3</v>
      </c>
      <c r="Q768" t="str" cm="1">
        <f t="array" aca="1" ref="Q7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24 days</v>
      </c>
    </row>
    <row r="769" spans="1:17" x14ac:dyDescent="0.3">
      <c r="A769">
        <v>1768</v>
      </c>
      <c r="B769" t="s">
        <v>634</v>
      </c>
      <c r="C769" t="s">
        <v>23</v>
      </c>
      <c r="D769" t="s">
        <v>11</v>
      </c>
      <c r="E769">
        <v>29</v>
      </c>
      <c r="F769" t="str" cm="1">
        <f t="array" ref="F769">_xlfn.IFS(EmployeeData[[#This Row],[Age]]&lt;30,"20s",EmployeeData[[#This Row],[Age]]&lt;40,"30s",EmployeeData[[#This Row],[Age]]&lt;50,"40s",EmployeeData[[#This Row],[Age]]&lt;60,"50s",EmployeeData[[#This Row],[Age]]&gt;=60,"60s")</f>
        <v>20s</v>
      </c>
      <c r="G769" s="5">
        <v>43113</v>
      </c>
      <c r="I769" t="s">
        <v>17</v>
      </c>
      <c r="J769" t="s">
        <v>18</v>
      </c>
      <c r="K769" cm="1">
        <f t="array" aca="1" ref="K769" ca="1">_xlfn.IFS(EmployeeData[[#This Row],[Status]]="Active",_xlfn.DAYS(TODAY(),EmployeeData[[#This Row],[Join Date]]),EmployeeData[[#This Row],[Status]]="Exited",_xlfn.DAYS(EmployeeData[[#This Row],[Exit Date]],EmployeeData[[#This Row],[Join Date]]))</f>
        <v>3084</v>
      </c>
      <c r="L769" cm="1">
        <f t="array" aca="1" ref="L769" ca="1">_xlfn.IFS(EmployeeData[[#This Row],[Status]]="Exited",DATEDIF(EmployeeData[[#This Row],[Join Date]], EmployeeData[[#This Row],[Exit Date]], "Y"),EmployeeData[[#This Row],[Status]]="Active",DATEDIF(EmployeeData[[#This Row],[Join Date]], TODAY(), "Y"))</f>
        <v>8</v>
      </c>
      <c r="Q769" t="str" cm="1">
        <f t="array" aca="1" ref="Q7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11 days</v>
      </c>
    </row>
    <row r="770" spans="1:17" x14ac:dyDescent="0.3">
      <c r="A770">
        <v>1769</v>
      </c>
      <c r="B770" t="s">
        <v>483</v>
      </c>
      <c r="C770" t="s">
        <v>15</v>
      </c>
      <c r="D770" t="s">
        <v>24</v>
      </c>
      <c r="E770">
        <v>29</v>
      </c>
      <c r="F770" t="str" cm="1">
        <f t="array" ref="F770">_xlfn.IFS(EmployeeData[[#This Row],[Age]]&lt;30,"20s",EmployeeData[[#This Row],[Age]]&lt;40,"30s",EmployeeData[[#This Row],[Age]]&lt;50,"40s",EmployeeData[[#This Row],[Age]]&lt;60,"50s",EmployeeData[[#This Row],[Age]]&gt;=60,"60s")</f>
        <v>20s</v>
      </c>
      <c r="G770" s="5">
        <v>45534</v>
      </c>
      <c r="I770" t="s">
        <v>17</v>
      </c>
      <c r="J770" t="s">
        <v>18</v>
      </c>
      <c r="K770" cm="1">
        <f t="array" aca="1" ref="K770" ca="1">_xlfn.IFS(EmployeeData[[#This Row],[Status]]="Active",_xlfn.DAYS(TODAY(),EmployeeData[[#This Row],[Join Date]]),EmployeeData[[#This Row],[Status]]="Exited",_xlfn.DAYS(EmployeeData[[#This Row],[Exit Date]],EmployeeData[[#This Row],[Join Date]]))</f>
        <v>663</v>
      </c>
      <c r="L770" cm="1">
        <f t="array" aca="1" ref="L770" ca="1">_xlfn.IFS(EmployeeData[[#This Row],[Status]]="Exited",DATEDIF(EmployeeData[[#This Row],[Join Date]], EmployeeData[[#This Row],[Exit Date]], "Y"),EmployeeData[[#This Row],[Status]]="Active",DATEDIF(EmployeeData[[#This Row],[Join Date]], TODAY(), "Y"))</f>
        <v>1</v>
      </c>
      <c r="Q770" t="str" cm="1">
        <f t="array" aca="1" ref="Q7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25 days</v>
      </c>
    </row>
    <row r="771" spans="1:17" x14ac:dyDescent="0.3">
      <c r="A771">
        <v>1770</v>
      </c>
      <c r="B771" t="s">
        <v>93</v>
      </c>
      <c r="C771" t="s">
        <v>10</v>
      </c>
      <c r="D771" t="s">
        <v>11</v>
      </c>
      <c r="E771">
        <v>41</v>
      </c>
      <c r="F771" t="str" cm="1">
        <f t="array" ref="F771">_xlfn.IFS(EmployeeData[[#This Row],[Age]]&lt;30,"20s",EmployeeData[[#This Row],[Age]]&lt;40,"30s",EmployeeData[[#This Row],[Age]]&lt;50,"40s",EmployeeData[[#This Row],[Age]]&lt;60,"50s",EmployeeData[[#This Row],[Age]]&gt;=60,"60s")</f>
        <v>40s</v>
      </c>
      <c r="G771" s="5">
        <v>44255</v>
      </c>
      <c r="H771" s="5">
        <v>45193</v>
      </c>
      <c r="I771" t="s">
        <v>12</v>
      </c>
      <c r="J771" t="s">
        <v>13</v>
      </c>
      <c r="K771" cm="1">
        <f t="array" aca="1" ref="K771" ca="1">_xlfn.IFS(EmployeeData[[#This Row],[Status]]="Active",_xlfn.DAYS(TODAY(),EmployeeData[[#This Row],[Join Date]]),EmployeeData[[#This Row],[Status]]="Exited",_xlfn.DAYS(EmployeeData[[#This Row],[Exit Date]],EmployeeData[[#This Row],[Join Date]]))</f>
        <v>938</v>
      </c>
      <c r="L771" cm="1">
        <f t="array" aca="1" ref="L771" ca="1">_xlfn.IFS(EmployeeData[[#This Row],[Status]]="Exited",DATEDIF(EmployeeData[[#This Row],[Join Date]], EmployeeData[[#This Row],[Exit Date]], "Y"),EmployeeData[[#This Row],[Status]]="Active",DATEDIF(EmployeeData[[#This Row],[Join Date]], TODAY(), "Y"))</f>
        <v>2</v>
      </c>
      <c r="Q771" t="str" cm="1">
        <f t="array" aca="1" ref="Q7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27 days</v>
      </c>
    </row>
    <row r="772" spans="1:17" x14ac:dyDescent="0.3">
      <c r="A772">
        <v>1771</v>
      </c>
      <c r="B772" t="s">
        <v>294</v>
      </c>
      <c r="C772" t="s">
        <v>33</v>
      </c>
      <c r="D772" t="s">
        <v>16</v>
      </c>
      <c r="E772">
        <v>22</v>
      </c>
      <c r="F772" t="str" cm="1">
        <f t="array" ref="F772">_xlfn.IFS(EmployeeData[[#This Row],[Age]]&lt;30,"20s",EmployeeData[[#This Row],[Age]]&lt;40,"30s",EmployeeData[[#This Row],[Age]]&lt;50,"40s",EmployeeData[[#This Row],[Age]]&lt;60,"50s",EmployeeData[[#This Row],[Age]]&gt;=60,"60s")</f>
        <v>20s</v>
      </c>
      <c r="G772" s="5">
        <v>45388</v>
      </c>
      <c r="I772" t="s">
        <v>17</v>
      </c>
      <c r="J772" t="s">
        <v>18</v>
      </c>
      <c r="K772" cm="1">
        <f t="array" aca="1" ref="K772" ca="1">_xlfn.IFS(EmployeeData[[#This Row],[Status]]="Active",_xlfn.DAYS(TODAY(),EmployeeData[[#This Row],[Join Date]]),EmployeeData[[#This Row],[Status]]="Exited",_xlfn.DAYS(EmployeeData[[#This Row],[Exit Date]],EmployeeData[[#This Row],[Join Date]]))</f>
        <v>809</v>
      </c>
      <c r="L772" cm="1">
        <f t="array" aca="1" ref="L772" ca="1">_xlfn.IFS(EmployeeData[[#This Row],[Status]]="Exited",DATEDIF(EmployeeData[[#This Row],[Join Date]], EmployeeData[[#This Row],[Exit Date]], "Y"),EmployeeData[[#This Row],[Status]]="Active",DATEDIF(EmployeeData[[#This Row],[Join Date]], TODAY(), "Y"))</f>
        <v>2</v>
      </c>
      <c r="Q772" t="str" cm="1">
        <f t="array" aca="1" ref="Q7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18 days</v>
      </c>
    </row>
    <row r="773" spans="1:17" x14ac:dyDescent="0.3">
      <c r="A773">
        <v>1772</v>
      </c>
      <c r="B773" t="s">
        <v>660</v>
      </c>
      <c r="C773" t="s">
        <v>15</v>
      </c>
      <c r="D773" t="s">
        <v>11</v>
      </c>
      <c r="E773">
        <v>31</v>
      </c>
      <c r="F773" t="str" cm="1">
        <f t="array" ref="F773">_xlfn.IFS(EmployeeData[[#This Row],[Age]]&lt;30,"20s",EmployeeData[[#This Row],[Age]]&lt;40,"30s",EmployeeData[[#This Row],[Age]]&lt;50,"40s",EmployeeData[[#This Row],[Age]]&lt;60,"50s",EmployeeData[[#This Row],[Age]]&gt;=60,"60s")</f>
        <v>30s</v>
      </c>
      <c r="G773" s="5">
        <v>43304</v>
      </c>
      <c r="I773" t="s">
        <v>17</v>
      </c>
      <c r="J773" t="s">
        <v>18</v>
      </c>
      <c r="K773" cm="1">
        <f t="array" aca="1" ref="K773" ca="1">_xlfn.IFS(EmployeeData[[#This Row],[Status]]="Active",_xlfn.DAYS(TODAY(),EmployeeData[[#This Row],[Join Date]]),EmployeeData[[#This Row],[Status]]="Exited",_xlfn.DAYS(EmployeeData[[#This Row],[Exit Date]],EmployeeData[[#This Row],[Join Date]]))</f>
        <v>2893</v>
      </c>
      <c r="L773" cm="1">
        <f t="array" aca="1" ref="L773" ca="1">_xlfn.IFS(EmployeeData[[#This Row],[Status]]="Exited",DATEDIF(EmployeeData[[#This Row],[Join Date]], EmployeeData[[#This Row],[Exit Date]], "Y"),EmployeeData[[#This Row],[Status]]="Active",DATEDIF(EmployeeData[[#This Row],[Join Date]], TODAY(), "Y"))</f>
        <v>7</v>
      </c>
      <c r="Q773" t="str" cm="1">
        <f t="array" aca="1" ref="Q7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 days</v>
      </c>
    </row>
    <row r="774" spans="1:17" x14ac:dyDescent="0.3">
      <c r="A774">
        <v>1773</v>
      </c>
      <c r="B774" t="s">
        <v>787</v>
      </c>
      <c r="C774" t="s">
        <v>46</v>
      </c>
      <c r="D774" t="s">
        <v>16</v>
      </c>
      <c r="E774">
        <v>57</v>
      </c>
      <c r="F774" t="str" cm="1">
        <f t="array" ref="F774">_xlfn.IFS(EmployeeData[[#This Row],[Age]]&lt;30,"20s",EmployeeData[[#This Row],[Age]]&lt;40,"30s",EmployeeData[[#This Row],[Age]]&lt;50,"40s",EmployeeData[[#This Row],[Age]]&lt;60,"50s",EmployeeData[[#This Row],[Age]]&gt;=60,"60s")</f>
        <v>50s</v>
      </c>
      <c r="G774" s="5">
        <v>43581</v>
      </c>
      <c r="H774" s="5">
        <v>45453</v>
      </c>
      <c r="I774" t="s">
        <v>34</v>
      </c>
      <c r="J774" t="s">
        <v>13</v>
      </c>
      <c r="K774" cm="1">
        <f t="array" aca="1" ref="K774" ca="1">_xlfn.IFS(EmployeeData[[#This Row],[Status]]="Active",_xlfn.DAYS(TODAY(),EmployeeData[[#This Row],[Join Date]]),EmployeeData[[#This Row],[Status]]="Exited",_xlfn.DAYS(EmployeeData[[#This Row],[Exit Date]],EmployeeData[[#This Row],[Join Date]]))</f>
        <v>1872</v>
      </c>
      <c r="L774" cm="1">
        <f t="array" aca="1" ref="L774" ca="1">_xlfn.IFS(EmployeeData[[#This Row],[Status]]="Exited",DATEDIF(EmployeeData[[#This Row],[Join Date]], EmployeeData[[#This Row],[Exit Date]], "Y"),EmployeeData[[#This Row],[Status]]="Active",DATEDIF(EmployeeData[[#This Row],[Join Date]], TODAY(), "Y"))</f>
        <v>5</v>
      </c>
      <c r="Q774" t="str" cm="1">
        <f t="array" aca="1" ref="Q7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15 days</v>
      </c>
    </row>
    <row r="775" spans="1:17" x14ac:dyDescent="0.3">
      <c r="A775">
        <v>1774</v>
      </c>
      <c r="B775" t="s">
        <v>1072</v>
      </c>
      <c r="C775" t="s">
        <v>20</v>
      </c>
      <c r="D775" t="s">
        <v>16</v>
      </c>
      <c r="E775">
        <v>38</v>
      </c>
      <c r="F775" t="str" cm="1">
        <f t="array" ref="F775">_xlfn.IFS(EmployeeData[[#This Row],[Age]]&lt;30,"20s",EmployeeData[[#This Row],[Age]]&lt;40,"30s",EmployeeData[[#This Row],[Age]]&lt;50,"40s",EmployeeData[[#This Row],[Age]]&lt;60,"50s",EmployeeData[[#This Row],[Age]]&gt;=60,"60s")</f>
        <v>30s</v>
      </c>
      <c r="G775" s="5">
        <v>44280</v>
      </c>
      <c r="I775" t="s">
        <v>17</v>
      </c>
      <c r="J775" t="s">
        <v>18</v>
      </c>
      <c r="K775" cm="1">
        <f t="array" aca="1" ref="K775" ca="1">_xlfn.IFS(EmployeeData[[#This Row],[Status]]="Active",_xlfn.DAYS(TODAY(),EmployeeData[[#This Row],[Join Date]]),EmployeeData[[#This Row],[Status]]="Exited",_xlfn.DAYS(EmployeeData[[#This Row],[Exit Date]],EmployeeData[[#This Row],[Join Date]]))</f>
        <v>1917</v>
      </c>
      <c r="L775" cm="1">
        <f t="array" aca="1" ref="L775" ca="1">_xlfn.IFS(EmployeeData[[#This Row],[Status]]="Exited",DATEDIF(EmployeeData[[#This Row],[Join Date]], EmployeeData[[#This Row],[Exit Date]], "Y"),EmployeeData[[#This Row],[Status]]="Active",DATEDIF(EmployeeData[[#This Row],[Join Date]], TODAY(), "Y"))</f>
        <v>5</v>
      </c>
      <c r="Q775" t="str" cm="1">
        <f t="array" aca="1" ref="Q7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30 days</v>
      </c>
    </row>
    <row r="776" spans="1:17" x14ac:dyDescent="0.3">
      <c r="A776">
        <v>1775</v>
      </c>
      <c r="B776" t="s">
        <v>554</v>
      </c>
      <c r="C776" t="s">
        <v>23</v>
      </c>
      <c r="D776" t="s">
        <v>11</v>
      </c>
      <c r="E776">
        <v>39</v>
      </c>
      <c r="F776" t="str" cm="1">
        <f t="array" ref="F776">_xlfn.IFS(EmployeeData[[#This Row],[Age]]&lt;30,"20s",EmployeeData[[#This Row],[Age]]&lt;40,"30s",EmployeeData[[#This Row],[Age]]&lt;50,"40s",EmployeeData[[#This Row],[Age]]&lt;60,"50s",EmployeeData[[#This Row],[Age]]&gt;=60,"60s")</f>
        <v>30s</v>
      </c>
      <c r="G776" s="5">
        <v>45874</v>
      </c>
      <c r="H776" s="5">
        <v>46010</v>
      </c>
      <c r="I776" t="s">
        <v>12</v>
      </c>
      <c r="J776" t="s">
        <v>13</v>
      </c>
      <c r="K776" cm="1">
        <f t="array" aca="1" ref="K776" ca="1">_xlfn.IFS(EmployeeData[[#This Row],[Status]]="Active",_xlfn.DAYS(TODAY(),EmployeeData[[#This Row],[Join Date]]),EmployeeData[[#This Row],[Status]]="Exited",_xlfn.DAYS(EmployeeData[[#This Row],[Exit Date]],EmployeeData[[#This Row],[Join Date]]))</f>
        <v>136</v>
      </c>
      <c r="L776" cm="1">
        <f t="array" aca="1" ref="L776" ca="1">_xlfn.IFS(EmployeeData[[#This Row],[Status]]="Exited",DATEDIF(EmployeeData[[#This Row],[Join Date]], EmployeeData[[#This Row],[Exit Date]], "Y"),EmployeeData[[#This Row],[Status]]="Active",DATEDIF(EmployeeData[[#This Row],[Join Date]], TODAY(), "Y"))</f>
        <v>0</v>
      </c>
      <c r="Q776" t="str" cm="1">
        <f t="array" aca="1" ref="Q7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14 days</v>
      </c>
    </row>
    <row r="777" spans="1:17" x14ac:dyDescent="0.3">
      <c r="A777">
        <v>1776</v>
      </c>
      <c r="B777" t="s">
        <v>185</v>
      </c>
      <c r="C777" t="s">
        <v>15</v>
      </c>
      <c r="D777" t="s">
        <v>24</v>
      </c>
      <c r="E777">
        <v>36</v>
      </c>
      <c r="F777" t="str" cm="1">
        <f t="array" ref="F777">_xlfn.IFS(EmployeeData[[#This Row],[Age]]&lt;30,"20s",EmployeeData[[#This Row],[Age]]&lt;40,"30s",EmployeeData[[#This Row],[Age]]&lt;50,"40s",EmployeeData[[#This Row],[Age]]&lt;60,"50s",EmployeeData[[#This Row],[Age]]&gt;=60,"60s")</f>
        <v>30s</v>
      </c>
      <c r="G777" s="5">
        <v>44615</v>
      </c>
      <c r="I777" t="s">
        <v>17</v>
      </c>
      <c r="J777" t="s">
        <v>18</v>
      </c>
      <c r="K777" cm="1">
        <f t="array" aca="1" ref="K777" ca="1">_xlfn.IFS(EmployeeData[[#This Row],[Status]]="Active",_xlfn.DAYS(TODAY(),EmployeeData[[#This Row],[Join Date]]),EmployeeData[[#This Row],[Status]]="Exited",_xlfn.DAYS(EmployeeData[[#This Row],[Exit Date]],EmployeeData[[#This Row],[Join Date]]))</f>
        <v>1582</v>
      </c>
      <c r="L777" cm="1">
        <f t="array" aca="1" ref="L777" ca="1">_xlfn.IFS(EmployeeData[[#This Row],[Status]]="Exited",DATEDIF(EmployeeData[[#This Row],[Join Date]], EmployeeData[[#This Row],[Exit Date]], "Y"),EmployeeData[[#This Row],[Status]]="Active",DATEDIF(EmployeeData[[#This Row],[Join Date]], TODAY(), "Y"))</f>
        <v>4</v>
      </c>
      <c r="Q777" t="str" cm="1">
        <f t="array" aca="1" ref="Q7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1 days</v>
      </c>
    </row>
    <row r="778" spans="1:17" x14ac:dyDescent="0.3">
      <c r="A778">
        <v>1777</v>
      </c>
      <c r="B778" t="s">
        <v>501</v>
      </c>
      <c r="C778" t="s">
        <v>33</v>
      </c>
      <c r="D778" t="s">
        <v>11</v>
      </c>
      <c r="E778">
        <v>46</v>
      </c>
      <c r="F778" t="str" cm="1">
        <f t="array" ref="F778">_xlfn.IFS(EmployeeData[[#This Row],[Age]]&lt;30,"20s",EmployeeData[[#This Row],[Age]]&lt;40,"30s",EmployeeData[[#This Row],[Age]]&lt;50,"40s",EmployeeData[[#This Row],[Age]]&lt;60,"50s",EmployeeData[[#This Row],[Age]]&gt;=60,"60s")</f>
        <v>40s</v>
      </c>
      <c r="G778" s="5">
        <v>45914</v>
      </c>
      <c r="H778" s="5">
        <v>46102</v>
      </c>
      <c r="I778" t="s">
        <v>34</v>
      </c>
      <c r="J778" t="s">
        <v>13</v>
      </c>
      <c r="K778" cm="1">
        <f t="array" aca="1" ref="K778" ca="1">_xlfn.IFS(EmployeeData[[#This Row],[Status]]="Active",_xlfn.DAYS(TODAY(),EmployeeData[[#This Row],[Join Date]]),EmployeeData[[#This Row],[Status]]="Exited",_xlfn.DAYS(EmployeeData[[#This Row],[Exit Date]],EmployeeData[[#This Row],[Join Date]]))</f>
        <v>188</v>
      </c>
      <c r="L778" cm="1">
        <f t="array" aca="1" ref="L778" ca="1">_xlfn.IFS(EmployeeData[[#This Row],[Status]]="Exited",DATEDIF(EmployeeData[[#This Row],[Join Date]], EmployeeData[[#This Row],[Exit Date]], "Y"),EmployeeData[[#This Row],[Status]]="Active",DATEDIF(EmployeeData[[#This Row],[Join Date]], TODAY(), "Y"))</f>
        <v>0</v>
      </c>
      <c r="Q778" t="str" cm="1">
        <f t="array" aca="1" ref="Q7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7 days</v>
      </c>
    </row>
    <row r="779" spans="1:17" x14ac:dyDescent="0.3">
      <c r="A779">
        <v>1778</v>
      </c>
      <c r="B779" t="s">
        <v>345</v>
      </c>
      <c r="C779" t="s">
        <v>15</v>
      </c>
      <c r="D779" t="s">
        <v>11</v>
      </c>
      <c r="E779">
        <v>51</v>
      </c>
      <c r="F779" t="str" cm="1">
        <f t="array" ref="F779">_xlfn.IFS(EmployeeData[[#This Row],[Age]]&lt;30,"20s",EmployeeData[[#This Row],[Age]]&lt;40,"30s",EmployeeData[[#This Row],[Age]]&lt;50,"40s",EmployeeData[[#This Row],[Age]]&lt;60,"50s",EmployeeData[[#This Row],[Age]]&gt;=60,"60s")</f>
        <v>50s</v>
      </c>
      <c r="G779" s="5">
        <v>44552</v>
      </c>
      <c r="I779" t="s">
        <v>17</v>
      </c>
      <c r="J779" t="s">
        <v>18</v>
      </c>
      <c r="K779" cm="1">
        <f t="array" aca="1" ref="K779" ca="1">_xlfn.IFS(EmployeeData[[#This Row],[Status]]="Active",_xlfn.DAYS(TODAY(),EmployeeData[[#This Row],[Join Date]]),EmployeeData[[#This Row],[Status]]="Exited",_xlfn.DAYS(EmployeeData[[#This Row],[Exit Date]],EmployeeData[[#This Row],[Join Date]]))</f>
        <v>1645</v>
      </c>
      <c r="L779" cm="1">
        <f t="array" aca="1" ref="L779" ca="1">_xlfn.IFS(EmployeeData[[#This Row],[Status]]="Exited",DATEDIF(EmployeeData[[#This Row],[Join Date]], EmployeeData[[#This Row],[Exit Date]], "Y"),EmployeeData[[#This Row],[Status]]="Active",DATEDIF(EmployeeData[[#This Row],[Join Date]], TODAY(), "Y"))</f>
        <v>4</v>
      </c>
      <c r="Q779" t="str" cm="1">
        <f t="array" aca="1" ref="Q7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2 days</v>
      </c>
    </row>
    <row r="780" spans="1:17" x14ac:dyDescent="0.3">
      <c r="A780">
        <v>1779</v>
      </c>
      <c r="B780" t="s">
        <v>137</v>
      </c>
      <c r="C780" t="s">
        <v>15</v>
      </c>
      <c r="D780" t="s">
        <v>16</v>
      </c>
      <c r="E780">
        <v>45</v>
      </c>
      <c r="F780" t="str" cm="1">
        <f t="array" ref="F780">_xlfn.IFS(EmployeeData[[#This Row],[Age]]&lt;30,"20s",EmployeeData[[#This Row],[Age]]&lt;40,"30s",EmployeeData[[#This Row],[Age]]&lt;50,"40s",EmployeeData[[#This Row],[Age]]&lt;60,"50s",EmployeeData[[#This Row],[Age]]&gt;=60,"60s")</f>
        <v>40s</v>
      </c>
      <c r="G780" s="5">
        <v>44340</v>
      </c>
      <c r="I780" t="s">
        <v>17</v>
      </c>
      <c r="J780" t="s">
        <v>18</v>
      </c>
      <c r="K780" cm="1">
        <f t="array" aca="1" ref="K780" ca="1">_xlfn.IFS(EmployeeData[[#This Row],[Status]]="Active",_xlfn.DAYS(TODAY(),EmployeeData[[#This Row],[Join Date]]),EmployeeData[[#This Row],[Status]]="Exited",_xlfn.DAYS(EmployeeData[[#This Row],[Exit Date]],EmployeeData[[#This Row],[Join Date]]))</f>
        <v>1857</v>
      </c>
      <c r="L780" cm="1">
        <f t="array" aca="1" ref="L780" ca="1">_xlfn.IFS(EmployeeData[[#This Row],[Status]]="Exited",DATEDIF(EmployeeData[[#This Row],[Join Date]], EmployeeData[[#This Row],[Exit Date]], "Y"),EmployeeData[[#This Row],[Status]]="Active",DATEDIF(EmployeeData[[#This Row],[Join Date]], TODAY(), "Y"))</f>
        <v>5</v>
      </c>
      <c r="Q780" t="str" cm="1">
        <f t="array" aca="1" ref="Q7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0 days</v>
      </c>
    </row>
    <row r="781" spans="1:17" x14ac:dyDescent="0.3">
      <c r="A781">
        <v>1780</v>
      </c>
      <c r="B781" t="s">
        <v>1064</v>
      </c>
      <c r="C781" t="s">
        <v>23</v>
      </c>
      <c r="D781" t="s">
        <v>24</v>
      </c>
      <c r="E781">
        <v>37</v>
      </c>
      <c r="F781" t="str" cm="1">
        <f t="array" ref="F781">_xlfn.IFS(EmployeeData[[#This Row],[Age]]&lt;30,"20s",EmployeeData[[#This Row],[Age]]&lt;40,"30s",EmployeeData[[#This Row],[Age]]&lt;50,"40s",EmployeeData[[#This Row],[Age]]&lt;60,"50s",EmployeeData[[#This Row],[Age]]&gt;=60,"60s")</f>
        <v>30s</v>
      </c>
      <c r="G781" s="5">
        <v>43796</v>
      </c>
      <c r="I781" t="s">
        <v>17</v>
      </c>
      <c r="J781" t="s">
        <v>18</v>
      </c>
      <c r="K781" cm="1">
        <f t="array" aca="1" ref="K781" ca="1">_xlfn.IFS(EmployeeData[[#This Row],[Status]]="Active",_xlfn.DAYS(TODAY(),EmployeeData[[#This Row],[Join Date]]),EmployeeData[[#This Row],[Status]]="Exited",_xlfn.DAYS(EmployeeData[[#This Row],[Exit Date]],EmployeeData[[#This Row],[Join Date]]))</f>
        <v>2401</v>
      </c>
      <c r="L781" cm="1">
        <f t="array" aca="1" ref="L781" ca="1">_xlfn.IFS(EmployeeData[[#This Row],[Status]]="Exited",DATEDIF(EmployeeData[[#This Row],[Join Date]], EmployeeData[[#This Row],[Exit Date]], "Y"),EmployeeData[[#This Row],[Status]]="Active",DATEDIF(EmployeeData[[#This Row],[Join Date]], TODAY(), "Y"))</f>
        <v>6</v>
      </c>
      <c r="Q781" t="str" cm="1">
        <f t="array" aca="1" ref="Q7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6 months 28 days</v>
      </c>
    </row>
    <row r="782" spans="1:17" x14ac:dyDescent="0.3">
      <c r="A782">
        <v>1781</v>
      </c>
      <c r="B782" t="s">
        <v>678</v>
      </c>
      <c r="C782" t="s">
        <v>20</v>
      </c>
      <c r="D782" t="s">
        <v>24</v>
      </c>
      <c r="E782">
        <v>37</v>
      </c>
      <c r="F782" t="str" cm="1">
        <f t="array" ref="F782">_xlfn.IFS(EmployeeData[[#This Row],[Age]]&lt;30,"20s",EmployeeData[[#This Row],[Age]]&lt;40,"30s",EmployeeData[[#This Row],[Age]]&lt;50,"40s",EmployeeData[[#This Row],[Age]]&lt;60,"50s",EmployeeData[[#This Row],[Age]]&gt;=60,"60s")</f>
        <v>30s</v>
      </c>
      <c r="G782" s="5">
        <v>43579</v>
      </c>
      <c r="H782" s="5">
        <v>44192</v>
      </c>
      <c r="I782" t="s">
        <v>65</v>
      </c>
      <c r="J782" t="s">
        <v>13</v>
      </c>
      <c r="K782" cm="1">
        <f t="array" aca="1" ref="K782" ca="1">_xlfn.IFS(EmployeeData[[#This Row],[Status]]="Active",_xlfn.DAYS(TODAY(),EmployeeData[[#This Row],[Join Date]]),EmployeeData[[#This Row],[Status]]="Exited",_xlfn.DAYS(EmployeeData[[#This Row],[Exit Date]],EmployeeData[[#This Row],[Join Date]]))</f>
        <v>613</v>
      </c>
      <c r="L782" cm="1">
        <f t="array" aca="1" ref="L782" ca="1">_xlfn.IFS(EmployeeData[[#This Row],[Status]]="Exited",DATEDIF(EmployeeData[[#This Row],[Join Date]], EmployeeData[[#This Row],[Exit Date]], "Y"),EmployeeData[[#This Row],[Status]]="Active",DATEDIF(EmployeeData[[#This Row],[Join Date]], TODAY(), "Y"))</f>
        <v>1</v>
      </c>
      <c r="Q782" t="str" cm="1">
        <f t="array" aca="1" ref="Q7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3 days</v>
      </c>
    </row>
    <row r="783" spans="1:17" x14ac:dyDescent="0.3">
      <c r="A783">
        <v>1782</v>
      </c>
      <c r="B783" t="s">
        <v>743</v>
      </c>
      <c r="C783" t="s">
        <v>10</v>
      </c>
      <c r="D783" t="s">
        <v>11</v>
      </c>
      <c r="E783">
        <v>65</v>
      </c>
      <c r="F783" t="str" cm="1">
        <f t="array" ref="F783">_xlfn.IFS(EmployeeData[[#This Row],[Age]]&lt;30,"20s",EmployeeData[[#This Row],[Age]]&lt;40,"30s",EmployeeData[[#This Row],[Age]]&lt;50,"40s",EmployeeData[[#This Row],[Age]]&lt;60,"50s",EmployeeData[[#This Row],[Age]]&gt;=60,"60s")</f>
        <v>60s</v>
      </c>
      <c r="G783" s="5">
        <v>45218</v>
      </c>
      <c r="H783" s="5">
        <v>45476</v>
      </c>
      <c r="I783" t="s">
        <v>26</v>
      </c>
      <c r="J783" t="s">
        <v>13</v>
      </c>
      <c r="K783" cm="1">
        <f t="array" aca="1" ref="K783" ca="1">_xlfn.IFS(EmployeeData[[#This Row],[Status]]="Active",_xlfn.DAYS(TODAY(),EmployeeData[[#This Row],[Join Date]]),EmployeeData[[#This Row],[Status]]="Exited",_xlfn.DAYS(EmployeeData[[#This Row],[Exit Date]],EmployeeData[[#This Row],[Join Date]]))</f>
        <v>258</v>
      </c>
      <c r="L783" cm="1">
        <f t="array" aca="1" ref="L783" ca="1">_xlfn.IFS(EmployeeData[[#This Row],[Status]]="Exited",DATEDIF(EmployeeData[[#This Row],[Join Date]], EmployeeData[[#This Row],[Exit Date]], "Y"),EmployeeData[[#This Row],[Status]]="Active",DATEDIF(EmployeeData[[#This Row],[Join Date]], TODAY(), "Y"))</f>
        <v>0</v>
      </c>
      <c r="Q783" t="str" cm="1">
        <f t="array" aca="1" ref="Q7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14 days</v>
      </c>
    </row>
    <row r="784" spans="1:17" x14ac:dyDescent="0.3">
      <c r="A784">
        <v>1783</v>
      </c>
      <c r="B784" t="s">
        <v>976</v>
      </c>
      <c r="C784" t="s">
        <v>20</v>
      </c>
      <c r="D784" t="s">
        <v>11</v>
      </c>
      <c r="E784">
        <v>24</v>
      </c>
      <c r="F784" t="str" cm="1">
        <f t="array" ref="F784">_xlfn.IFS(EmployeeData[[#This Row],[Age]]&lt;30,"20s",EmployeeData[[#This Row],[Age]]&lt;40,"30s",EmployeeData[[#This Row],[Age]]&lt;50,"40s",EmployeeData[[#This Row],[Age]]&lt;60,"50s",EmployeeData[[#This Row],[Age]]&gt;=60,"60s")</f>
        <v>20s</v>
      </c>
      <c r="G784" s="5">
        <v>43874</v>
      </c>
      <c r="H784" s="5">
        <v>44905</v>
      </c>
      <c r="I784" t="s">
        <v>31</v>
      </c>
      <c r="J784" t="s">
        <v>13</v>
      </c>
      <c r="K784" cm="1">
        <f t="array" aca="1" ref="K784" ca="1">_xlfn.IFS(EmployeeData[[#This Row],[Status]]="Active",_xlfn.DAYS(TODAY(),EmployeeData[[#This Row],[Join Date]]),EmployeeData[[#This Row],[Status]]="Exited",_xlfn.DAYS(EmployeeData[[#This Row],[Exit Date]],EmployeeData[[#This Row],[Join Date]]))</f>
        <v>1031</v>
      </c>
      <c r="L784" cm="1">
        <f t="array" aca="1" ref="L784" ca="1">_xlfn.IFS(EmployeeData[[#This Row],[Status]]="Exited",DATEDIF(EmployeeData[[#This Row],[Join Date]], EmployeeData[[#This Row],[Exit Date]], "Y"),EmployeeData[[#This Row],[Status]]="Active",DATEDIF(EmployeeData[[#This Row],[Join Date]], TODAY(), "Y"))</f>
        <v>2</v>
      </c>
      <c r="Q784" t="str" cm="1">
        <f t="array" aca="1" ref="Q7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27 days</v>
      </c>
    </row>
    <row r="785" spans="1:17" x14ac:dyDescent="0.3">
      <c r="A785">
        <v>1784</v>
      </c>
      <c r="B785" t="s">
        <v>799</v>
      </c>
      <c r="C785" t="s">
        <v>10</v>
      </c>
      <c r="D785" t="s">
        <v>11</v>
      </c>
      <c r="E785">
        <v>52</v>
      </c>
      <c r="F785" t="str" cm="1">
        <f t="array" ref="F785">_xlfn.IFS(EmployeeData[[#This Row],[Age]]&lt;30,"20s",EmployeeData[[#This Row],[Age]]&lt;40,"30s",EmployeeData[[#This Row],[Age]]&lt;50,"40s",EmployeeData[[#This Row],[Age]]&lt;60,"50s",EmployeeData[[#This Row],[Age]]&gt;=60,"60s")</f>
        <v>50s</v>
      </c>
      <c r="G785" s="5">
        <v>43268</v>
      </c>
      <c r="I785" t="s">
        <v>17</v>
      </c>
      <c r="J785" t="s">
        <v>18</v>
      </c>
      <c r="K785" cm="1">
        <f t="array" aca="1" ref="K785" ca="1">_xlfn.IFS(EmployeeData[[#This Row],[Status]]="Active",_xlfn.DAYS(TODAY(),EmployeeData[[#This Row],[Join Date]]),EmployeeData[[#This Row],[Status]]="Exited",_xlfn.DAYS(EmployeeData[[#This Row],[Exit Date]],EmployeeData[[#This Row],[Join Date]]))</f>
        <v>2929</v>
      </c>
      <c r="L785" cm="1">
        <f t="array" aca="1" ref="L785" ca="1">_xlfn.IFS(EmployeeData[[#This Row],[Status]]="Exited",DATEDIF(EmployeeData[[#This Row],[Join Date]], EmployeeData[[#This Row],[Exit Date]], "Y"),EmployeeData[[#This Row],[Status]]="Active",DATEDIF(EmployeeData[[#This Row],[Join Date]], TODAY(), "Y"))</f>
        <v>8</v>
      </c>
      <c r="Q785" t="str" cm="1">
        <f t="array" aca="1" ref="Q7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7 days</v>
      </c>
    </row>
    <row r="786" spans="1:17" x14ac:dyDescent="0.3">
      <c r="A786">
        <v>1785</v>
      </c>
      <c r="B786" t="s">
        <v>970</v>
      </c>
      <c r="C786" t="s">
        <v>33</v>
      </c>
      <c r="D786" t="s">
        <v>11</v>
      </c>
      <c r="E786">
        <v>28</v>
      </c>
      <c r="F786" t="str" cm="1">
        <f t="array" ref="F786">_xlfn.IFS(EmployeeData[[#This Row],[Age]]&lt;30,"20s",EmployeeData[[#This Row],[Age]]&lt;40,"30s",EmployeeData[[#This Row],[Age]]&lt;50,"40s",EmployeeData[[#This Row],[Age]]&lt;60,"50s",EmployeeData[[#This Row],[Age]]&gt;=60,"60s")</f>
        <v>20s</v>
      </c>
      <c r="G786" s="5">
        <v>44532</v>
      </c>
      <c r="H786" s="5">
        <v>45203</v>
      </c>
      <c r="I786" t="s">
        <v>31</v>
      </c>
      <c r="J786" t="s">
        <v>13</v>
      </c>
      <c r="K786" cm="1">
        <f t="array" aca="1" ref="K786" ca="1">_xlfn.IFS(EmployeeData[[#This Row],[Status]]="Active",_xlfn.DAYS(TODAY(),EmployeeData[[#This Row],[Join Date]]),EmployeeData[[#This Row],[Status]]="Exited",_xlfn.DAYS(EmployeeData[[#This Row],[Exit Date]],EmployeeData[[#This Row],[Join Date]]))</f>
        <v>671</v>
      </c>
      <c r="L786" cm="1">
        <f t="array" aca="1" ref="L786" ca="1">_xlfn.IFS(EmployeeData[[#This Row],[Status]]="Exited",DATEDIF(EmployeeData[[#This Row],[Join Date]], EmployeeData[[#This Row],[Exit Date]], "Y"),EmployeeData[[#This Row],[Status]]="Active",DATEDIF(EmployeeData[[#This Row],[Join Date]], TODAY(), "Y"))</f>
        <v>1</v>
      </c>
      <c r="Q786" t="str" cm="1">
        <f t="array" aca="1" ref="Q7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 days</v>
      </c>
    </row>
    <row r="787" spans="1:17" x14ac:dyDescent="0.3">
      <c r="A787">
        <v>1786</v>
      </c>
      <c r="B787" t="s">
        <v>205</v>
      </c>
      <c r="C787" t="s">
        <v>23</v>
      </c>
      <c r="D787" t="s">
        <v>24</v>
      </c>
      <c r="E787">
        <v>34</v>
      </c>
      <c r="F787" t="str" cm="1">
        <f t="array" ref="F787">_xlfn.IFS(EmployeeData[[#This Row],[Age]]&lt;30,"20s",EmployeeData[[#This Row],[Age]]&lt;40,"30s",EmployeeData[[#This Row],[Age]]&lt;50,"40s",EmployeeData[[#This Row],[Age]]&lt;60,"50s",EmployeeData[[#This Row],[Age]]&gt;=60,"60s")</f>
        <v>30s</v>
      </c>
      <c r="G787" s="5">
        <v>45491</v>
      </c>
      <c r="I787" t="s">
        <v>17</v>
      </c>
      <c r="J787" t="s">
        <v>18</v>
      </c>
      <c r="K787" cm="1">
        <f t="array" aca="1" ref="K787" ca="1">_xlfn.IFS(EmployeeData[[#This Row],[Status]]="Active",_xlfn.DAYS(TODAY(),EmployeeData[[#This Row],[Join Date]]),EmployeeData[[#This Row],[Status]]="Exited",_xlfn.DAYS(EmployeeData[[#This Row],[Exit Date]],EmployeeData[[#This Row],[Join Date]]))</f>
        <v>706</v>
      </c>
      <c r="L787" cm="1">
        <f t="array" aca="1" ref="L787" ca="1">_xlfn.IFS(EmployeeData[[#This Row],[Status]]="Exited",DATEDIF(EmployeeData[[#This Row],[Join Date]], EmployeeData[[#This Row],[Exit Date]], "Y"),EmployeeData[[#This Row],[Status]]="Active",DATEDIF(EmployeeData[[#This Row],[Join Date]], TODAY(), "Y"))</f>
        <v>1</v>
      </c>
      <c r="Q787" t="str" cm="1">
        <f t="array" aca="1" ref="Q7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6 days</v>
      </c>
    </row>
    <row r="788" spans="1:17" x14ac:dyDescent="0.3">
      <c r="A788">
        <v>1787</v>
      </c>
      <c r="B788" t="s">
        <v>570</v>
      </c>
      <c r="C788" t="s">
        <v>15</v>
      </c>
      <c r="D788" t="s">
        <v>11</v>
      </c>
      <c r="E788">
        <v>36</v>
      </c>
      <c r="F788" t="str" cm="1">
        <f t="array" ref="F788">_xlfn.IFS(EmployeeData[[#This Row],[Age]]&lt;30,"20s",EmployeeData[[#This Row],[Age]]&lt;40,"30s",EmployeeData[[#This Row],[Age]]&lt;50,"40s",EmployeeData[[#This Row],[Age]]&lt;60,"50s",EmployeeData[[#This Row],[Age]]&gt;=60,"60s")</f>
        <v>30s</v>
      </c>
      <c r="G788" s="5">
        <v>45141</v>
      </c>
      <c r="I788" t="s">
        <v>17</v>
      </c>
      <c r="J788" t="s">
        <v>18</v>
      </c>
      <c r="K788" cm="1">
        <f t="array" aca="1" ref="K788" ca="1">_xlfn.IFS(EmployeeData[[#This Row],[Status]]="Active",_xlfn.DAYS(TODAY(),EmployeeData[[#This Row],[Join Date]]),EmployeeData[[#This Row],[Status]]="Exited",_xlfn.DAYS(EmployeeData[[#This Row],[Exit Date]],EmployeeData[[#This Row],[Join Date]]))</f>
        <v>1056</v>
      </c>
      <c r="L788" cm="1">
        <f t="array" aca="1" ref="L788" ca="1">_xlfn.IFS(EmployeeData[[#This Row],[Status]]="Exited",DATEDIF(EmployeeData[[#This Row],[Join Date]], EmployeeData[[#This Row],[Exit Date]], "Y"),EmployeeData[[#This Row],[Status]]="Active",DATEDIF(EmployeeData[[#This Row],[Join Date]], TODAY(), "Y"))</f>
        <v>2</v>
      </c>
      <c r="Q788" t="str" cm="1">
        <f t="array" aca="1" ref="Q7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21 days</v>
      </c>
    </row>
    <row r="789" spans="1:17" x14ac:dyDescent="0.3">
      <c r="A789">
        <v>1788</v>
      </c>
      <c r="B789" t="s">
        <v>266</v>
      </c>
      <c r="C789" t="s">
        <v>10</v>
      </c>
      <c r="D789" t="s">
        <v>24</v>
      </c>
      <c r="E789">
        <v>27</v>
      </c>
      <c r="F789" t="str" cm="1">
        <f t="array" ref="F789">_xlfn.IFS(EmployeeData[[#This Row],[Age]]&lt;30,"20s",EmployeeData[[#This Row],[Age]]&lt;40,"30s",EmployeeData[[#This Row],[Age]]&lt;50,"40s",EmployeeData[[#This Row],[Age]]&lt;60,"50s",EmployeeData[[#This Row],[Age]]&gt;=60,"60s")</f>
        <v>20s</v>
      </c>
      <c r="G789" s="5">
        <v>44426</v>
      </c>
      <c r="H789" s="5">
        <v>44682</v>
      </c>
      <c r="I789" t="s">
        <v>12</v>
      </c>
      <c r="J789" t="s">
        <v>13</v>
      </c>
      <c r="K789" cm="1">
        <f t="array" aca="1" ref="K789" ca="1">_xlfn.IFS(EmployeeData[[#This Row],[Status]]="Active",_xlfn.DAYS(TODAY(),EmployeeData[[#This Row],[Join Date]]),EmployeeData[[#This Row],[Status]]="Exited",_xlfn.DAYS(EmployeeData[[#This Row],[Exit Date]],EmployeeData[[#This Row],[Join Date]]))</f>
        <v>256</v>
      </c>
      <c r="L789" cm="1">
        <f t="array" aca="1" ref="L789" ca="1">_xlfn.IFS(EmployeeData[[#This Row],[Status]]="Exited",DATEDIF(EmployeeData[[#This Row],[Join Date]], EmployeeData[[#This Row],[Exit Date]], "Y"),EmployeeData[[#This Row],[Status]]="Active",DATEDIF(EmployeeData[[#This Row],[Join Date]], TODAY(), "Y"))</f>
        <v>0</v>
      </c>
      <c r="Q789" t="str" cm="1">
        <f t="array" aca="1" ref="Q7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13 days</v>
      </c>
    </row>
    <row r="790" spans="1:17" x14ac:dyDescent="0.3">
      <c r="A790">
        <v>1789</v>
      </c>
      <c r="B790" t="s">
        <v>456</v>
      </c>
      <c r="C790" t="s">
        <v>10</v>
      </c>
      <c r="D790" t="s">
        <v>24</v>
      </c>
      <c r="E790">
        <v>42</v>
      </c>
      <c r="F790" t="str" cm="1">
        <f t="array" ref="F790">_xlfn.IFS(EmployeeData[[#This Row],[Age]]&lt;30,"20s",EmployeeData[[#This Row],[Age]]&lt;40,"30s",EmployeeData[[#This Row],[Age]]&lt;50,"40s",EmployeeData[[#This Row],[Age]]&lt;60,"50s",EmployeeData[[#This Row],[Age]]&gt;=60,"60s")</f>
        <v>40s</v>
      </c>
      <c r="G790" s="5">
        <v>43280</v>
      </c>
      <c r="I790" t="s">
        <v>17</v>
      </c>
      <c r="J790" t="s">
        <v>18</v>
      </c>
      <c r="K790" cm="1">
        <f t="array" aca="1" ref="K790" ca="1">_xlfn.IFS(EmployeeData[[#This Row],[Status]]="Active",_xlfn.DAYS(TODAY(),EmployeeData[[#This Row],[Join Date]]),EmployeeData[[#This Row],[Status]]="Exited",_xlfn.DAYS(EmployeeData[[#This Row],[Exit Date]],EmployeeData[[#This Row],[Join Date]]))</f>
        <v>2917</v>
      </c>
      <c r="L790" cm="1">
        <f t="array" aca="1" ref="L790" ca="1">_xlfn.IFS(EmployeeData[[#This Row],[Status]]="Exited",DATEDIF(EmployeeData[[#This Row],[Join Date]], EmployeeData[[#This Row],[Exit Date]], "Y"),EmployeeData[[#This Row],[Status]]="Active",DATEDIF(EmployeeData[[#This Row],[Join Date]], TODAY(), "Y"))</f>
        <v>7</v>
      </c>
      <c r="Q790" t="str" cm="1">
        <f t="array" aca="1" ref="Q7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26 days</v>
      </c>
    </row>
    <row r="791" spans="1:17" x14ac:dyDescent="0.3">
      <c r="A791">
        <v>1790</v>
      </c>
      <c r="B791" t="s">
        <v>749</v>
      </c>
      <c r="C791" t="s">
        <v>46</v>
      </c>
      <c r="D791" t="s">
        <v>11</v>
      </c>
      <c r="E791">
        <v>57</v>
      </c>
      <c r="F791" t="str" cm="1">
        <f t="array" ref="F791">_xlfn.IFS(EmployeeData[[#This Row],[Age]]&lt;30,"20s",EmployeeData[[#This Row],[Age]]&lt;40,"30s",EmployeeData[[#This Row],[Age]]&lt;50,"40s",EmployeeData[[#This Row],[Age]]&lt;60,"50s",EmployeeData[[#This Row],[Age]]&gt;=60,"60s")</f>
        <v>50s</v>
      </c>
      <c r="G791" s="5">
        <v>43630</v>
      </c>
      <c r="H791" s="5">
        <v>43919</v>
      </c>
      <c r="I791" t="s">
        <v>52</v>
      </c>
      <c r="J791" t="s">
        <v>13</v>
      </c>
      <c r="K791" cm="1">
        <f t="array" aca="1" ref="K791" ca="1">_xlfn.IFS(EmployeeData[[#This Row],[Status]]="Active",_xlfn.DAYS(TODAY(),EmployeeData[[#This Row],[Join Date]]),EmployeeData[[#This Row],[Status]]="Exited",_xlfn.DAYS(EmployeeData[[#This Row],[Exit Date]],EmployeeData[[#This Row],[Join Date]]))</f>
        <v>289</v>
      </c>
      <c r="L791" cm="1">
        <f t="array" aca="1" ref="L791" ca="1">_xlfn.IFS(EmployeeData[[#This Row],[Status]]="Exited",DATEDIF(EmployeeData[[#This Row],[Join Date]], EmployeeData[[#This Row],[Exit Date]], "Y"),EmployeeData[[#This Row],[Status]]="Active",DATEDIF(EmployeeData[[#This Row],[Join Date]], TODAY(), "Y"))</f>
        <v>0</v>
      </c>
      <c r="Q791" t="str" cm="1">
        <f t="array" aca="1" ref="Q7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15 days</v>
      </c>
    </row>
    <row r="792" spans="1:17" x14ac:dyDescent="0.3">
      <c r="A792">
        <v>1791</v>
      </c>
      <c r="B792" t="s">
        <v>452</v>
      </c>
      <c r="C792" t="s">
        <v>20</v>
      </c>
      <c r="D792" t="s">
        <v>24</v>
      </c>
      <c r="E792">
        <v>45</v>
      </c>
      <c r="F792" t="str" cm="1">
        <f t="array" ref="F792">_xlfn.IFS(EmployeeData[[#This Row],[Age]]&lt;30,"20s",EmployeeData[[#This Row],[Age]]&lt;40,"30s",EmployeeData[[#This Row],[Age]]&lt;50,"40s",EmployeeData[[#This Row],[Age]]&lt;60,"50s",EmployeeData[[#This Row],[Age]]&gt;=60,"60s")</f>
        <v>40s</v>
      </c>
      <c r="G792" s="5">
        <v>43480</v>
      </c>
      <c r="I792" t="s">
        <v>17</v>
      </c>
      <c r="J792" t="s">
        <v>18</v>
      </c>
      <c r="K792" cm="1">
        <f t="array" aca="1" ref="K792" ca="1">_xlfn.IFS(EmployeeData[[#This Row],[Status]]="Active",_xlfn.DAYS(TODAY(),EmployeeData[[#This Row],[Join Date]]),EmployeeData[[#This Row],[Status]]="Exited",_xlfn.DAYS(EmployeeData[[#This Row],[Exit Date]],EmployeeData[[#This Row],[Join Date]]))</f>
        <v>2717</v>
      </c>
      <c r="L792" cm="1">
        <f t="array" aca="1" ref="L792" ca="1">_xlfn.IFS(EmployeeData[[#This Row],[Status]]="Exited",DATEDIF(EmployeeData[[#This Row],[Join Date]], EmployeeData[[#This Row],[Exit Date]], "Y"),EmployeeData[[#This Row],[Status]]="Active",DATEDIF(EmployeeData[[#This Row],[Join Date]], TODAY(), "Y"))</f>
        <v>7</v>
      </c>
      <c r="Q792" t="str" cm="1">
        <f t="array" aca="1" ref="Q7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9 days</v>
      </c>
    </row>
    <row r="793" spans="1:17" x14ac:dyDescent="0.3">
      <c r="A793">
        <v>1792</v>
      </c>
      <c r="B793" t="s">
        <v>358</v>
      </c>
      <c r="C793" t="s">
        <v>33</v>
      </c>
      <c r="D793" t="s">
        <v>16</v>
      </c>
      <c r="E793">
        <v>34</v>
      </c>
      <c r="F793" t="str" cm="1">
        <f t="array" ref="F793">_xlfn.IFS(EmployeeData[[#This Row],[Age]]&lt;30,"20s",EmployeeData[[#This Row],[Age]]&lt;40,"30s",EmployeeData[[#This Row],[Age]]&lt;50,"40s",EmployeeData[[#This Row],[Age]]&lt;60,"50s",EmployeeData[[#This Row],[Age]]&gt;=60,"60s")</f>
        <v>30s</v>
      </c>
      <c r="G793" s="5">
        <v>43768</v>
      </c>
      <c r="I793" t="s">
        <v>17</v>
      </c>
      <c r="J793" t="s">
        <v>18</v>
      </c>
      <c r="K793" cm="1">
        <f t="array" aca="1" ref="K793" ca="1">_xlfn.IFS(EmployeeData[[#This Row],[Status]]="Active",_xlfn.DAYS(TODAY(),EmployeeData[[#This Row],[Join Date]]),EmployeeData[[#This Row],[Status]]="Exited",_xlfn.DAYS(EmployeeData[[#This Row],[Exit Date]],EmployeeData[[#This Row],[Join Date]]))</f>
        <v>2429</v>
      </c>
      <c r="L793" cm="1">
        <f t="array" aca="1" ref="L793" ca="1">_xlfn.IFS(EmployeeData[[#This Row],[Status]]="Exited",DATEDIF(EmployeeData[[#This Row],[Join Date]], EmployeeData[[#This Row],[Exit Date]], "Y"),EmployeeData[[#This Row],[Status]]="Active",DATEDIF(EmployeeData[[#This Row],[Join Date]], TODAY(), "Y"))</f>
        <v>6</v>
      </c>
      <c r="Q793" t="str" cm="1">
        <f t="array" aca="1" ref="Q7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25 days</v>
      </c>
    </row>
    <row r="794" spans="1:17" x14ac:dyDescent="0.3">
      <c r="A794">
        <v>1793</v>
      </c>
      <c r="B794" t="s">
        <v>377</v>
      </c>
      <c r="C794" t="s">
        <v>46</v>
      </c>
      <c r="D794" t="s">
        <v>16</v>
      </c>
      <c r="E794">
        <v>40</v>
      </c>
      <c r="F794" t="str" cm="1">
        <f t="array" ref="F794">_xlfn.IFS(EmployeeData[[#This Row],[Age]]&lt;30,"20s",EmployeeData[[#This Row],[Age]]&lt;40,"30s",EmployeeData[[#This Row],[Age]]&lt;50,"40s",EmployeeData[[#This Row],[Age]]&lt;60,"50s",EmployeeData[[#This Row],[Age]]&gt;=60,"60s")</f>
        <v>40s</v>
      </c>
      <c r="G794" s="5">
        <v>45111</v>
      </c>
      <c r="I794" t="s">
        <v>17</v>
      </c>
      <c r="J794" t="s">
        <v>18</v>
      </c>
      <c r="K794" cm="1">
        <f t="array" aca="1" ref="K794" ca="1">_xlfn.IFS(EmployeeData[[#This Row],[Status]]="Active",_xlfn.DAYS(TODAY(),EmployeeData[[#This Row],[Join Date]]),EmployeeData[[#This Row],[Status]]="Exited",_xlfn.DAYS(EmployeeData[[#This Row],[Exit Date]],EmployeeData[[#This Row],[Join Date]]))</f>
        <v>1086</v>
      </c>
      <c r="L794" cm="1">
        <f t="array" aca="1" ref="L794" ca="1">_xlfn.IFS(EmployeeData[[#This Row],[Status]]="Exited",DATEDIF(EmployeeData[[#This Row],[Join Date]], EmployeeData[[#This Row],[Exit Date]], "Y"),EmployeeData[[#This Row],[Status]]="Active",DATEDIF(EmployeeData[[#This Row],[Join Date]], TODAY(), "Y"))</f>
        <v>2</v>
      </c>
      <c r="Q794" t="str" cm="1">
        <f t="array" aca="1" ref="Q7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20 days</v>
      </c>
    </row>
    <row r="795" spans="1:17" x14ac:dyDescent="0.3">
      <c r="A795">
        <v>1794</v>
      </c>
      <c r="B795" t="s">
        <v>621</v>
      </c>
      <c r="C795" t="s">
        <v>10</v>
      </c>
      <c r="D795" t="s">
        <v>16</v>
      </c>
      <c r="E795">
        <v>44</v>
      </c>
      <c r="F795" t="str" cm="1">
        <f t="array" ref="F795">_xlfn.IFS(EmployeeData[[#This Row],[Age]]&lt;30,"20s",EmployeeData[[#This Row],[Age]]&lt;40,"30s",EmployeeData[[#This Row],[Age]]&lt;50,"40s",EmployeeData[[#This Row],[Age]]&lt;60,"50s",EmployeeData[[#This Row],[Age]]&gt;=60,"60s")</f>
        <v>40s</v>
      </c>
      <c r="G795" s="5">
        <v>45200</v>
      </c>
      <c r="H795" s="5">
        <v>45746</v>
      </c>
      <c r="I795" t="s">
        <v>52</v>
      </c>
      <c r="J795" t="s">
        <v>13</v>
      </c>
      <c r="K795" cm="1">
        <f t="array" aca="1" ref="K795" ca="1">_xlfn.IFS(EmployeeData[[#This Row],[Status]]="Active",_xlfn.DAYS(TODAY(),EmployeeData[[#This Row],[Join Date]]),EmployeeData[[#This Row],[Status]]="Exited",_xlfn.DAYS(EmployeeData[[#This Row],[Exit Date]],EmployeeData[[#This Row],[Join Date]]))</f>
        <v>546</v>
      </c>
      <c r="L795" cm="1">
        <f t="array" aca="1" ref="L795" ca="1">_xlfn.IFS(EmployeeData[[#This Row],[Status]]="Exited",DATEDIF(EmployeeData[[#This Row],[Join Date]], EmployeeData[[#This Row],[Exit Date]], "Y"),EmployeeData[[#This Row],[Status]]="Active",DATEDIF(EmployeeData[[#This Row],[Join Date]], TODAY(), "Y"))</f>
        <v>1</v>
      </c>
      <c r="Q795" t="str" cm="1">
        <f t="array" aca="1" ref="Q7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29 days</v>
      </c>
    </row>
    <row r="796" spans="1:17" x14ac:dyDescent="0.3">
      <c r="A796">
        <v>1795</v>
      </c>
      <c r="B796" t="s">
        <v>866</v>
      </c>
      <c r="C796" t="s">
        <v>15</v>
      </c>
      <c r="D796" t="s">
        <v>24</v>
      </c>
      <c r="E796">
        <v>44</v>
      </c>
      <c r="F796" t="str" cm="1">
        <f t="array" ref="F796">_xlfn.IFS(EmployeeData[[#This Row],[Age]]&lt;30,"20s",EmployeeData[[#This Row],[Age]]&lt;40,"30s",EmployeeData[[#This Row],[Age]]&lt;50,"40s",EmployeeData[[#This Row],[Age]]&lt;60,"50s",EmployeeData[[#This Row],[Age]]&gt;=60,"60s")</f>
        <v>40s</v>
      </c>
      <c r="G796" s="5">
        <v>45615</v>
      </c>
      <c r="H796" s="5">
        <v>46027</v>
      </c>
      <c r="I796" t="s">
        <v>12</v>
      </c>
      <c r="J796" t="s">
        <v>13</v>
      </c>
      <c r="K796" cm="1">
        <f t="array" aca="1" ref="K796" ca="1">_xlfn.IFS(EmployeeData[[#This Row],[Status]]="Active",_xlfn.DAYS(TODAY(),EmployeeData[[#This Row],[Join Date]]),EmployeeData[[#This Row],[Status]]="Exited",_xlfn.DAYS(EmployeeData[[#This Row],[Exit Date]],EmployeeData[[#This Row],[Join Date]]))</f>
        <v>412</v>
      </c>
      <c r="L796" cm="1">
        <f t="array" aca="1" ref="L796" ca="1">_xlfn.IFS(EmployeeData[[#This Row],[Status]]="Exited",DATEDIF(EmployeeData[[#This Row],[Join Date]], EmployeeData[[#This Row],[Exit Date]], "Y"),EmployeeData[[#This Row],[Status]]="Active",DATEDIF(EmployeeData[[#This Row],[Join Date]], TODAY(), "Y"))</f>
        <v>1</v>
      </c>
      <c r="Q796" t="str" cm="1">
        <f t="array" aca="1" ref="Q7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17 days</v>
      </c>
    </row>
    <row r="797" spans="1:17" x14ac:dyDescent="0.3">
      <c r="A797">
        <v>1796</v>
      </c>
      <c r="B797" t="s">
        <v>1028</v>
      </c>
      <c r="C797" t="s">
        <v>20</v>
      </c>
      <c r="D797" t="s">
        <v>24</v>
      </c>
      <c r="E797">
        <v>30</v>
      </c>
      <c r="F797" t="str" cm="1">
        <f t="array" ref="F797">_xlfn.IFS(EmployeeData[[#This Row],[Age]]&lt;30,"20s",EmployeeData[[#This Row],[Age]]&lt;40,"30s",EmployeeData[[#This Row],[Age]]&lt;50,"40s",EmployeeData[[#This Row],[Age]]&lt;60,"50s",EmployeeData[[#This Row],[Age]]&gt;=60,"60s")</f>
        <v>30s</v>
      </c>
      <c r="G797" s="5">
        <v>45129</v>
      </c>
      <c r="I797" t="s">
        <v>17</v>
      </c>
      <c r="J797" t="s">
        <v>18</v>
      </c>
      <c r="K797" cm="1">
        <f t="array" aca="1" ref="K797" ca="1">_xlfn.IFS(EmployeeData[[#This Row],[Status]]="Active",_xlfn.DAYS(TODAY(),EmployeeData[[#This Row],[Join Date]]),EmployeeData[[#This Row],[Status]]="Exited",_xlfn.DAYS(EmployeeData[[#This Row],[Exit Date]],EmployeeData[[#This Row],[Join Date]]))</f>
        <v>1068</v>
      </c>
      <c r="L797" cm="1">
        <f t="array" aca="1" ref="L797" ca="1">_xlfn.IFS(EmployeeData[[#This Row],[Status]]="Exited",DATEDIF(EmployeeData[[#This Row],[Join Date]], EmployeeData[[#This Row],[Exit Date]], "Y"),EmployeeData[[#This Row],[Status]]="Active",DATEDIF(EmployeeData[[#This Row],[Join Date]], TODAY(), "Y"))</f>
        <v>2</v>
      </c>
      <c r="Q797" t="str" cm="1">
        <f t="array" aca="1" ref="Q7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2 days</v>
      </c>
    </row>
    <row r="798" spans="1:17" x14ac:dyDescent="0.3">
      <c r="A798">
        <v>1797</v>
      </c>
      <c r="B798" t="s">
        <v>507</v>
      </c>
      <c r="C798" t="s">
        <v>15</v>
      </c>
      <c r="D798" t="s">
        <v>11</v>
      </c>
      <c r="E798">
        <v>40</v>
      </c>
      <c r="F798" t="str" cm="1">
        <f t="array" ref="F798">_xlfn.IFS(EmployeeData[[#This Row],[Age]]&lt;30,"20s",EmployeeData[[#This Row],[Age]]&lt;40,"30s",EmployeeData[[#This Row],[Age]]&lt;50,"40s",EmployeeData[[#This Row],[Age]]&lt;60,"50s",EmployeeData[[#This Row],[Age]]&gt;=60,"60s")</f>
        <v>40s</v>
      </c>
      <c r="G798" s="5">
        <v>43709</v>
      </c>
      <c r="I798" t="s">
        <v>17</v>
      </c>
      <c r="J798" t="s">
        <v>18</v>
      </c>
      <c r="K798" cm="1">
        <f t="array" aca="1" ref="K798" ca="1">_xlfn.IFS(EmployeeData[[#This Row],[Status]]="Active",_xlfn.DAYS(TODAY(),EmployeeData[[#This Row],[Join Date]]),EmployeeData[[#This Row],[Status]]="Exited",_xlfn.DAYS(EmployeeData[[#This Row],[Exit Date]],EmployeeData[[#This Row],[Join Date]]))</f>
        <v>2488</v>
      </c>
      <c r="L798" cm="1">
        <f t="array" aca="1" ref="L798" ca="1">_xlfn.IFS(EmployeeData[[#This Row],[Status]]="Exited",DATEDIF(EmployeeData[[#This Row],[Join Date]], EmployeeData[[#This Row],[Exit Date]], "Y"),EmployeeData[[#This Row],[Status]]="Active",DATEDIF(EmployeeData[[#This Row],[Join Date]], TODAY(), "Y"))</f>
        <v>6</v>
      </c>
      <c r="Q798" t="str" cm="1">
        <f t="array" aca="1" ref="Q7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23 days</v>
      </c>
    </row>
    <row r="799" spans="1:17" x14ac:dyDescent="0.3">
      <c r="A799">
        <v>1798</v>
      </c>
      <c r="B799" t="s">
        <v>247</v>
      </c>
      <c r="C799" t="s">
        <v>23</v>
      </c>
      <c r="D799" t="s">
        <v>24</v>
      </c>
      <c r="E799">
        <v>23</v>
      </c>
      <c r="F799" t="str" cm="1">
        <f t="array" ref="F799">_xlfn.IFS(EmployeeData[[#This Row],[Age]]&lt;30,"20s",EmployeeData[[#This Row],[Age]]&lt;40,"30s",EmployeeData[[#This Row],[Age]]&lt;50,"40s",EmployeeData[[#This Row],[Age]]&lt;60,"50s",EmployeeData[[#This Row],[Age]]&gt;=60,"60s")</f>
        <v>20s</v>
      </c>
      <c r="G799" s="5">
        <v>45203</v>
      </c>
      <c r="H799" s="5">
        <v>45728</v>
      </c>
      <c r="I799" t="s">
        <v>12</v>
      </c>
      <c r="J799" t="s">
        <v>13</v>
      </c>
      <c r="K799" cm="1">
        <f t="array" aca="1" ref="K799" ca="1">_xlfn.IFS(EmployeeData[[#This Row],[Status]]="Active",_xlfn.DAYS(TODAY(),EmployeeData[[#This Row],[Join Date]]),EmployeeData[[#This Row],[Status]]="Exited",_xlfn.DAYS(EmployeeData[[#This Row],[Exit Date]],EmployeeData[[#This Row],[Join Date]]))</f>
        <v>525</v>
      </c>
      <c r="L799" cm="1">
        <f t="array" aca="1" ref="L799" ca="1">_xlfn.IFS(EmployeeData[[#This Row],[Status]]="Exited",DATEDIF(EmployeeData[[#This Row],[Join Date]], EmployeeData[[#This Row],[Exit Date]], "Y"),EmployeeData[[#This Row],[Status]]="Active",DATEDIF(EmployeeData[[#This Row],[Join Date]], TODAY(), "Y"))</f>
        <v>1</v>
      </c>
      <c r="Q799" t="str" cm="1">
        <f t="array" aca="1" ref="Q7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8 days</v>
      </c>
    </row>
    <row r="800" spans="1:17" x14ac:dyDescent="0.3">
      <c r="A800">
        <v>1799</v>
      </c>
      <c r="B800" t="s">
        <v>772</v>
      </c>
      <c r="C800" t="s">
        <v>33</v>
      </c>
      <c r="D800" t="s">
        <v>24</v>
      </c>
      <c r="E800">
        <v>58</v>
      </c>
      <c r="F800" t="str" cm="1">
        <f t="array" ref="F800">_xlfn.IFS(EmployeeData[[#This Row],[Age]]&lt;30,"20s",EmployeeData[[#This Row],[Age]]&lt;40,"30s",EmployeeData[[#This Row],[Age]]&lt;50,"40s",EmployeeData[[#This Row],[Age]]&lt;60,"50s",EmployeeData[[#This Row],[Age]]&gt;=60,"60s")</f>
        <v>50s</v>
      </c>
      <c r="G800" s="5">
        <v>43435</v>
      </c>
      <c r="I800" t="s">
        <v>17</v>
      </c>
      <c r="J800" t="s">
        <v>18</v>
      </c>
      <c r="K800" cm="1">
        <f t="array" aca="1" ref="K800" ca="1">_xlfn.IFS(EmployeeData[[#This Row],[Status]]="Active",_xlfn.DAYS(TODAY(),EmployeeData[[#This Row],[Join Date]]),EmployeeData[[#This Row],[Status]]="Exited",_xlfn.DAYS(EmployeeData[[#This Row],[Exit Date]],EmployeeData[[#This Row],[Join Date]]))</f>
        <v>2762</v>
      </c>
      <c r="L800" cm="1">
        <f t="array" aca="1" ref="L800" ca="1">_xlfn.IFS(EmployeeData[[#This Row],[Status]]="Exited",DATEDIF(EmployeeData[[#This Row],[Join Date]], EmployeeData[[#This Row],[Exit Date]], "Y"),EmployeeData[[#This Row],[Status]]="Active",DATEDIF(EmployeeData[[#This Row],[Join Date]], TODAY(), "Y"))</f>
        <v>7</v>
      </c>
      <c r="Q800" t="str" cm="1">
        <f t="array" aca="1" ref="Q8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23 days</v>
      </c>
    </row>
    <row r="801" spans="1:17" x14ac:dyDescent="0.3">
      <c r="A801">
        <v>1800</v>
      </c>
      <c r="B801" t="s">
        <v>663</v>
      </c>
      <c r="C801" t="s">
        <v>23</v>
      </c>
      <c r="D801" t="s">
        <v>11</v>
      </c>
      <c r="E801">
        <v>64</v>
      </c>
      <c r="F801" t="str" cm="1">
        <f t="array" ref="F801">_xlfn.IFS(EmployeeData[[#This Row],[Age]]&lt;30,"20s",EmployeeData[[#This Row],[Age]]&lt;40,"30s",EmployeeData[[#This Row],[Age]]&lt;50,"40s",EmployeeData[[#This Row],[Age]]&lt;60,"50s",EmployeeData[[#This Row],[Age]]&gt;=60,"60s")</f>
        <v>60s</v>
      </c>
      <c r="G801" s="5">
        <v>43286</v>
      </c>
      <c r="H801" s="5">
        <v>44595</v>
      </c>
      <c r="I801" t="s">
        <v>26</v>
      </c>
      <c r="J801" t="s">
        <v>13</v>
      </c>
      <c r="K801" cm="1">
        <f t="array" aca="1" ref="K801" ca="1">_xlfn.IFS(EmployeeData[[#This Row],[Status]]="Active",_xlfn.DAYS(TODAY(),EmployeeData[[#This Row],[Join Date]]),EmployeeData[[#This Row],[Status]]="Exited",_xlfn.DAYS(EmployeeData[[#This Row],[Exit Date]],EmployeeData[[#This Row],[Join Date]]))</f>
        <v>1309</v>
      </c>
      <c r="L801" cm="1">
        <f t="array" aca="1" ref="L801" ca="1">_xlfn.IFS(EmployeeData[[#This Row],[Status]]="Exited",DATEDIF(EmployeeData[[#This Row],[Join Date]], EmployeeData[[#This Row],[Exit Date]], "Y"),EmployeeData[[#This Row],[Status]]="Active",DATEDIF(EmployeeData[[#This Row],[Join Date]], TODAY(), "Y"))</f>
        <v>3</v>
      </c>
      <c r="Q801" t="str" cm="1">
        <f t="array" aca="1" ref="Q8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29 days</v>
      </c>
    </row>
    <row r="802" spans="1:17" x14ac:dyDescent="0.3">
      <c r="A802">
        <v>1801</v>
      </c>
      <c r="B802" t="s">
        <v>59</v>
      </c>
      <c r="C802" t="s">
        <v>10</v>
      </c>
      <c r="D802" t="s">
        <v>11</v>
      </c>
      <c r="E802">
        <v>32</v>
      </c>
      <c r="F802" t="str" cm="1">
        <f t="array" ref="F802">_xlfn.IFS(EmployeeData[[#This Row],[Age]]&lt;30,"20s",EmployeeData[[#This Row],[Age]]&lt;40,"30s",EmployeeData[[#This Row],[Age]]&lt;50,"40s",EmployeeData[[#This Row],[Age]]&lt;60,"50s",EmployeeData[[#This Row],[Age]]&gt;=60,"60s")</f>
        <v>30s</v>
      </c>
      <c r="G802" s="5">
        <v>43965</v>
      </c>
      <c r="H802" s="5">
        <v>45117</v>
      </c>
      <c r="I802" t="s">
        <v>52</v>
      </c>
      <c r="J802" t="s">
        <v>13</v>
      </c>
      <c r="K802" cm="1">
        <f t="array" aca="1" ref="K802" ca="1">_xlfn.IFS(EmployeeData[[#This Row],[Status]]="Active",_xlfn.DAYS(TODAY(),EmployeeData[[#This Row],[Join Date]]),EmployeeData[[#This Row],[Status]]="Exited",_xlfn.DAYS(EmployeeData[[#This Row],[Exit Date]],EmployeeData[[#This Row],[Join Date]]))</f>
        <v>1152</v>
      </c>
      <c r="L802" cm="1">
        <f t="array" aca="1" ref="L802" ca="1">_xlfn.IFS(EmployeeData[[#This Row],[Status]]="Exited",DATEDIF(EmployeeData[[#This Row],[Join Date]], EmployeeData[[#This Row],[Exit Date]], "Y"),EmployeeData[[#This Row],[Status]]="Active",DATEDIF(EmployeeData[[#This Row],[Join Date]], TODAY(), "Y"))</f>
        <v>3</v>
      </c>
      <c r="Q802" t="str" cm="1">
        <f t="array" aca="1" ref="Q8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26 days</v>
      </c>
    </row>
    <row r="803" spans="1:17" x14ac:dyDescent="0.3">
      <c r="A803">
        <v>1802</v>
      </c>
      <c r="B803" t="s">
        <v>729</v>
      </c>
      <c r="C803" t="s">
        <v>10</v>
      </c>
      <c r="D803" t="s">
        <v>16</v>
      </c>
      <c r="E803">
        <v>51</v>
      </c>
      <c r="F803" t="str" cm="1">
        <f t="array" ref="F803">_xlfn.IFS(EmployeeData[[#This Row],[Age]]&lt;30,"20s",EmployeeData[[#This Row],[Age]]&lt;40,"30s",EmployeeData[[#This Row],[Age]]&lt;50,"40s",EmployeeData[[#This Row],[Age]]&lt;60,"50s",EmployeeData[[#This Row],[Age]]&gt;=60,"60s")</f>
        <v>50s</v>
      </c>
      <c r="G803" s="5">
        <v>44985</v>
      </c>
      <c r="I803" t="s">
        <v>17</v>
      </c>
      <c r="J803" t="s">
        <v>18</v>
      </c>
      <c r="K803" cm="1">
        <f t="array" aca="1" ref="K803" ca="1">_xlfn.IFS(EmployeeData[[#This Row],[Status]]="Active",_xlfn.DAYS(TODAY(),EmployeeData[[#This Row],[Join Date]]),EmployeeData[[#This Row],[Status]]="Exited",_xlfn.DAYS(EmployeeData[[#This Row],[Exit Date]],EmployeeData[[#This Row],[Join Date]]))</f>
        <v>1212</v>
      </c>
      <c r="L803" cm="1">
        <f t="array" aca="1" ref="L803" ca="1">_xlfn.IFS(EmployeeData[[#This Row],[Status]]="Exited",DATEDIF(EmployeeData[[#This Row],[Join Date]], EmployeeData[[#This Row],[Exit Date]], "Y"),EmployeeData[[#This Row],[Status]]="Active",DATEDIF(EmployeeData[[#This Row],[Join Date]], TODAY(), "Y"))</f>
        <v>3</v>
      </c>
      <c r="Q803" t="str" cm="1">
        <f t="array" aca="1" ref="Q8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27 days</v>
      </c>
    </row>
    <row r="804" spans="1:17" x14ac:dyDescent="0.3">
      <c r="A804">
        <v>1803</v>
      </c>
      <c r="B804" t="s">
        <v>252</v>
      </c>
      <c r="C804" t="s">
        <v>46</v>
      </c>
      <c r="D804" t="s">
        <v>24</v>
      </c>
      <c r="E804">
        <v>46</v>
      </c>
      <c r="F804" t="str" cm="1">
        <f t="array" ref="F804">_xlfn.IFS(EmployeeData[[#This Row],[Age]]&lt;30,"20s",EmployeeData[[#This Row],[Age]]&lt;40,"30s",EmployeeData[[#This Row],[Age]]&lt;50,"40s",EmployeeData[[#This Row],[Age]]&lt;60,"50s",EmployeeData[[#This Row],[Age]]&gt;=60,"60s")</f>
        <v>40s</v>
      </c>
      <c r="G804" s="5">
        <v>44340</v>
      </c>
      <c r="H804" s="5">
        <v>44706</v>
      </c>
      <c r="I804" t="s">
        <v>31</v>
      </c>
      <c r="J804" t="s">
        <v>13</v>
      </c>
      <c r="K804" cm="1">
        <f t="array" aca="1" ref="K804" ca="1">_xlfn.IFS(EmployeeData[[#This Row],[Status]]="Active",_xlfn.DAYS(TODAY(),EmployeeData[[#This Row],[Join Date]]),EmployeeData[[#This Row],[Status]]="Exited",_xlfn.DAYS(EmployeeData[[#This Row],[Exit Date]],EmployeeData[[#This Row],[Join Date]]))</f>
        <v>366</v>
      </c>
      <c r="L804" cm="1">
        <f t="array" aca="1" ref="L804" ca="1">_xlfn.IFS(EmployeeData[[#This Row],[Status]]="Exited",DATEDIF(EmployeeData[[#This Row],[Join Date]], EmployeeData[[#This Row],[Exit Date]], "Y"),EmployeeData[[#This Row],[Status]]="Active",DATEDIF(EmployeeData[[#This Row],[Join Date]], TODAY(), "Y"))</f>
        <v>1</v>
      </c>
      <c r="Q804" t="str" cm="1">
        <f t="array" aca="1" ref="Q8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 days</v>
      </c>
    </row>
    <row r="805" spans="1:17" x14ac:dyDescent="0.3">
      <c r="A805">
        <v>1804</v>
      </c>
      <c r="B805" t="s">
        <v>61</v>
      </c>
      <c r="C805" t="s">
        <v>15</v>
      </c>
      <c r="D805" t="s">
        <v>16</v>
      </c>
      <c r="E805">
        <v>51</v>
      </c>
      <c r="F805" t="str" cm="1">
        <f t="array" ref="F805">_xlfn.IFS(EmployeeData[[#This Row],[Age]]&lt;30,"20s",EmployeeData[[#This Row],[Age]]&lt;40,"30s",EmployeeData[[#This Row],[Age]]&lt;50,"40s",EmployeeData[[#This Row],[Age]]&lt;60,"50s",EmployeeData[[#This Row],[Age]]&gt;=60,"60s")</f>
        <v>50s</v>
      </c>
      <c r="G805" s="5">
        <v>45757</v>
      </c>
      <c r="H805" s="5">
        <v>45970</v>
      </c>
      <c r="I805" t="s">
        <v>12</v>
      </c>
      <c r="J805" t="s">
        <v>13</v>
      </c>
      <c r="K805" cm="1">
        <f t="array" aca="1" ref="K805" ca="1">_xlfn.IFS(EmployeeData[[#This Row],[Status]]="Active",_xlfn.DAYS(TODAY(),EmployeeData[[#This Row],[Join Date]]),EmployeeData[[#This Row],[Status]]="Exited",_xlfn.DAYS(EmployeeData[[#This Row],[Exit Date]],EmployeeData[[#This Row],[Join Date]]))</f>
        <v>213</v>
      </c>
      <c r="L805" cm="1">
        <f t="array" aca="1" ref="L805" ca="1">_xlfn.IFS(EmployeeData[[#This Row],[Status]]="Exited",DATEDIF(EmployeeData[[#This Row],[Join Date]], EmployeeData[[#This Row],[Exit Date]], "Y"),EmployeeData[[#This Row],[Status]]="Active",DATEDIF(EmployeeData[[#This Row],[Join Date]], TODAY(), "Y"))</f>
        <v>0</v>
      </c>
      <c r="Q805" t="str" cm="1">
        <f t="array" aca="1" ref="Q8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30 days</v>
      </c>
    </row>
    <row r="806" spans="1:17" x14ac:dyDescent="0.3">
      <c r="A806">
        <v>1805</v>
      </c>
      <c r="B806" t="s">
        <v>603</v>
      </c>
      <c r="C806" t="s">
        <v>15</v>
      </c>
      <c r="D806" t="s">
        <v>24</v>
      </c>
      <c r="E806">
        <v>28</v>
      </c>
      <c r="F806" t="str" cm="1">
        <f t="array" ref="F806">_xlfn.IFS(EmployeeData[[#This Row],[Age]]&lt;30,"20s",EmployeeData[[#This Row],[Age]]&lt;40,"30s",EmployeeData[[#This Row],[Age]]&lt;50,"40s",EmployeeData[[#This Row],[Age]]&lt;60,"50s",EmployeeData[[#This Row],[Age]]&gt;=60,"60s")</f>
        <v>20s</v>
      </c>
      <c r="G806" s="5">
        <v>43781</v>
      </c>
      <c r="I806" t="s">
        <v>17</v>
      </c>
      <c r="J806" t="s">
        <v>18</v>
      </c>
      <c r="K806" cm="1">
        <f t="array" aca="1" ref="K806" ca="1">_xlfn.IFS(EmployeeData[[#This Row],[Status]]="Active",_xlfn.DAYS(TODAY(),EmployeeData[[#This Row],[Join Date]]),EmployeeData[[#This Row],[Status]]="Exited",_xlfn.DAYS(EmployeeData[[#This Row],[Exit Date]],EmployeeData[[#This Row],[Join Date]]))</f>
        <v>2416</v>
      </c>
      <c r="L806" cm="1">
        <f t="array" aca="1" ref="L806" ca="1">_xlfn.IFS(EmployeeData[[#This Row],[Status]]="Exited",DATEDIF(EmployeeData[[#This Row],[Join Date]], EmployeeData[[#This Row],[Exit Date]], "Y"),EmployeeData[[#This Row],[Status]]="Active",DATEDIF(EmployeeData[[#This Row],[Join Date]], TODAY(), "Y"))</f>
        <v>6</v>
      </c>
      <c r="Q806" t="str" cm="1">
        <f t="array" aca="1" ref="Q8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7 months 12 days</v>
      </c>
    </row>
    <row r="807" spans="1:17" x14ac:dyDescent="0.3">
      <c r="A807">
        <v>1806</v>
      </c>
      <c r="B807" t="s">
        <v>460</v>
      </c>
      <c r="C807" t="s">
        <v>23</v>
      </c>
      <c r="D807" t="s">
        <v>16</v>
      </c>
      <c r="E807">
        <v>57</v>
      </c>
      <c r="F807" t="str" cm="1">
        <f t="array" ref="F807">_xlfn.IFS(EmployeeData[[#This Row],[Age]]&lt;30,"20s",EmployeeData[[#This Row],[Age]]&lt;40,"30s",EmployeeData[[#This Row],[Age]]&lt;50,"40s",EmployeeData[[#This Row],[Age]]&lt;60,"50s",EmployeeData[[#This Row],[Age]]&gt;=60,"60s")</f>
        <v>50s</v>
      </c>
      <c r="G807" s="5">
        <v>44705</v>
      </c>
      <c r="H807" s="5">
        <v>44811</v>
      </c>
      <c r="I807" t="s">
        <v>31</v>
      </c>
      <c r="J807" t="s">
        <v>13</v>
      </c>
      <c r="K807" cm="1">
        <f t="array" aca="1" ref="K807" ca="1">_xlfn.IFS(EmployeeData[[#This Row],[Status]]="Active",_xlfn.DAYS(TODAY(),EmployeeData[[#This Row],[Join Date]]),EmployeeData[[#This Row],[Status]]="Exited",_xlfn.DAYS(EmployeeData[[#This Row],[Exit Date]],EmployeeData[[#This Row],[Join Date]]))</f>
        <v>106</v>
      </c>
      <c r="L807" cm="1">
        <f t="array" aca="1" ref="L807" ca="1">_xlfn.IFS(EmployeeData[[#This Row],[Status]]="Exited",DATEDIF(EmployeeData[[#This Row],[Join Date]], EmployeeData[[#This Row],[Exit Date]], "Y"),EmployeeData[[#This Row],[Status]]="Active",DATEDIF(EmployeeData[[#This Row],[Join Date]], TODAY(), "Y"))</f>
        <v>0</v>
      </c>
      <c r="Q807" t="str" cm="1">
        <f t="array" aca="1" ref="Q8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14 days</v>
      </c>
    </row>
    <row r="808" spans="1:17" x14ac:dyDescent="0.3">
      <c r="A808">
        <v>1807</v>
      </c>
      <c r="B808" t="s">
        <v>220</v>
      </c>
      <c r="C808" t="s">
        <v>20</v>
      </c>
      <c r="D808" t="s">
        <v>24</v>
      </c>
      <c r="E808">
        <v>56</v>
      </c>
      <c r="F808" t="str" cm="1">
        <f t="array" ref="F808">_xlfn.IFS(EmployeeData[[#This Row],[Age]]&lt;30,"20s",EmployeeData[[#This Row],[Age]]&lt;40,"30s",EmployeeData[[#This Row],[Age]]&lt;50,"40s",EmployeeData[[#This Row],[Age]]&lt;60,"50s",EmployeeData[[#This Row],[Age]]&gt;=60,"60s")</f>
        <v>50s</v>
      </c>
      <c r="G808" s="5">
        <v>44292</v>
      </c>
      <c r="H808" s="5">
        <v>45200</v>
      </c>
      <c r="I808" t="s">
        <v>65</v>
      </c>
      <c r="J808" t="s">
        <v>13</v>
      </c>
      <c r="K808" cm="1">
        <f t="array" aca="1" ref="K808" ca="1">_xlfn.IFS(EmployeeData[[#This Row],[Status]]="Active",_xlfn.DAYS(TODAY(),EmployeeData[[#This Row],[Join Date]]),EmployeeData[[#This Row],[Status]]="Exited",_xlfn.DAYS(EmployeeData[[#This Row],[Exit Date]],EmployeeData[[#This Row],[Join Date]]))</f>
        <v>908</v>
      </c>
      <c r="L808" cm="1">
        <f t="array" aca="1" ref="L808" ca="1">_xlfn.IFS(EmployeeData[[#This Row],[Status]]="Exited",DATEDIF(EmployeeData[[#This Row],[Join Date]], EmployeeData[[#This Row],[Exit Date]], "Y"),EmployeeData[[#This Row],[Status]]="Active",DATEDIF(EmployeeData[[#This Row],[Join Date]], TODAY(), "Y"))</f>
        <v>2</v>
      </c>
      <c r="Q808" t="str" cm="1">
        <f t="array" aca="1" ref="Q8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25 days</v>
      </c>
    </row>
    <row r="809" spans="1:17" x14ac:dyDescent="0.3">
      <c r="A809">
        <v>1808</v>
      </c>
      <c r="B809" t="s">
        <v>1086</v>
      </c>
      <c r="C809" t="s">
        <v>20</v>
      </c>
      <c r="D809" t="s">
        <v>11</v>
      </c>
      <c r="E809">
        <v>52</v>
      </c>
      <c r="F809" t="str" cm="1">
        <f t="array" ref="F809">_xlfn.IFS(EmployeeData[[#This Row],[Age]]&lt;30,"20s",EmployeeData[[#This Row],[Age]]&lt;40,"30s",EmployeeData[[#This Row],[Age]]&lt;50,"40s",EmployeeData[[#This Row],[Age]]&lt;60,"50s",EmployeeData[[#This Row],[Age]]&gt;=60,"60s")</f>
        <v>50s</v>
      </c>
      <c r="G809" s="5">
        <v>44050</v>
      </c>
      <c r="I809" t="s">
        <v>17</v>
      </c>
      <c r="J809" t="s">
        <v>18</v>
      </c>
      <c r="K809" cm="1">
        <f t="array" aca="1" ref="K809" ca="1">_xlfn.IFS(EmployeeData[[#This Row],[Status]]="Active",_xlfn.DAYS(TODAY(),EmployeeData[[#This Row],[Join Date]]),EmployeeData[[#This Row],[Status]]="Exited",_xlfn.DAYS(EmployeeData[[#This Row],[Exit Date]],EmployeeData[[#This Row],[Join Date]]))</f>
        <v>2147</v>
      </c>
      <c r="L809" cm="1">
        <f t="array" aca="1" ref="L809" ca="1">_xlfn.IFS(EmployeeData[[#This Row],[Status]]="Exited",DATEDIF(EmployeeData[[#This Row],[Join Date]], EmployeeData[[#This Row],[Exit Date]], "Y"),EmployeeData[[#This Row],[Status]]="Active",DATEDIF(EmployeeData[[#This Row],[Join Date]], TODAY(), "Y"))</f>
        <v>5</v>
      </c>
      <c r="Q809" t="str" cm="1">
        <f t="array" aca="1" ref="Q8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10 months 17 days</v>
      </c>
    </row>
    <row r="810" spans="1:17" x14ac:dyDescent="0.3">
      <c r="A810">
        <v>1809</v>
      </c>
      <c r="B810" t="s">
        <v>454</v>
      </c>
      <c r="C810" t="s">
        <v>23</v>
      </c>
      <c r="D810" t="s">
        <v>16</v>
      </c>
      <c r="E810">
        <v>47</v>
      </c>
      <c r="F810" t="str" cm="1">
        <f t="array" ref="F810">_xlfn.IFS(EmployeeData[[#This Row],[Age]]&lt;30,"20s",EmployeeData[[#This Row],[Age]]&lt;40,"30s",EmployeeData[[#This Row],[Age]]&lt;50,"40s",EmployeeData[[#This Row],[Age]]&lt;60,"50s",EmployeeData[[#This Row],[Age]]&gt;=60,"60s")</f>
        <v>40s</v>
      </c>
      <c r="G810" s="5">
        <v>45039</v>
      </c>
      <c r="H810" s="5">
        <v>45839</v>
      </c>
      <c r="I810" t="s">
        <v>12</v>
      </c>
      <c r="J810" t="s">
        <v>13</v>
      </c>
      <c r="K810" cm="1">
        <f t="array" aca="1" ref="K810" ca="1">_xlfn.IFS(EmployeeData[[#This Row],[Status]]="Active",_xlfn.DAYS(TODAY(),EmployeeData[[#This Row],[Join Date]]),EmployeeData[[#This Row],[Status]]="Exited",_xlfn.DAYS(EmployeeData[[#This Row],[Exit Date]],EmployeeData[[#This Row],[Join Date]]))</f>
        <v>800</v>
      </c>
      <c r="L810" cm="1">
        <f t="array" aca="1" ref="L810" ca="1">_xlfn.IFS(EmployeeData[[#This Row],[Status]]="Exited",DATEDIF(EmployeeData[[#This Row],[Join Date]], EmployeeData[[#This Row],[Exit Date]], "Y"),EmployeeData[[#This Row],[Status]]="Active",DATEDIF(EmployeeData[[#This Row],[Join Date]], TODAY(), "Y"))</f>
        <v>2</v>
      </c>
      <c r="Q810" t="str" cm="1">
        <f t="array" aca="1" ref="Q8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8 days</v>
      </c>
    </row>
    <row r="811" spans="1:17" x14ac:dyDescent="0.3">
      <c r="A811">
        <v>1810</v>
      </c>
      <c r="B811" t="s">
        <v>77</v>
      </c>
      <c r="C811" t="s">
        <v>23</v>
      </c>
      <c r="D811" t="s">
        <v>24</v>
      </c>
      <c r="E811">
        <v>53</v>
      </c>
      <c r="F811" t="str" cm="1">
        <f t="array" ref="F811">_xlfn.IFS(EmployeeData[[#This Row],[Age]]&lt;30,"20s",EmployeeData[[#This Row],[Age]]&lt;40,"30s",EmployeeData[[#This Row],[Age]]&lt;50,"40s",EmployeeData[[#This Row],[Age]]&lt;60,"50s",EmployeeData[[#This Row],[Age]]&gt;=60,"60s")</f>
        <v>50s</v>
      </c>
      <c r="G811" s="5">
        <v>44000</v>
      </c>
      <c r="I811" t="s">
        <v>17</v>
      </c>
      <c r="J811" t="s">
        <v>18</v>
      </c>
      <c r="K811" cm="1">
        <f t="array" aca="1" ref="K811" ca="1">_xlfn.IFS(EmployeeData[[#This Row],[Status]]="Active",_xlfn.DAYS(TODAY(),EmployeeData[[#This Row],[Join Date]]),EmployeeData[[#This Row],[Status]]="Exited",_xlfn.DAYS(EmployeeData[[#This Row],[Exit Date]],EmployeeData[[#This Row],[Join Date]]))</f>
        <v>2197</v>
      </c>
      <c r="L811" cm="1">
        <f t="array" aca="1" ref="L811" ca="1">_xlfn.IFS(EmployeeData[[#This Row],[Status]]="Exited",DATEDIF(EmployeeData[[#This Row],[Join Date]], EmployeeData[[#This Row],[Exit Date]], "Y"),EmployeeData[[#This Row],[Status]]="Active",DATEDIF(EmployeeData[[#This Row],[Join Date]], TODAY(), "Y"))</f>
        <v>6</v>
      </c>
      <c r="Q811" t="str" cm="1">
        <f t="array" aca="1" ref="Q8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6 days</v>
      </c>
    </row>
    <row r="812" spans="1:17" x14ac:dyDescent="0.3">
      <c r="A812">
        <v>1811</v>
      </c>
      <c r="B812" t="s">
        <v>236</v>
      </c>
      <c r="C812" t="s">
        <v>20</v>
      </c>
      <c r="D812" t="s">
        <v>24</v>
      </c>
      <c r="E812">
        <v>39</v>
      </c>
      <c r="F812" t="str" cm="1">
        <f t="array" ref="F812">_xlfn.IFS(EmployeeData[[#This Row],[Age]]&lt;30,"20s",EmployeeData[[#This Row],[Age]]&lt;40,"30s",EmployeeData[[#This Row],[Age]]&lt;50,"40s",EmployeeData[[#This Row],[Age]]&lt;60,"50s",EmployeeData[[#This Row],[Age]]&gt;=60,"60s")</f>
        <v>30s</v>
      </c>
      <c r="G812" s="5">
        <v>44699</v>
      </c>
      <c r="I812" t="s">
        <v>17</v>
      </c>
      <c r="J812" t="s">
        <v>18</v>
      </c>
      <c r="K812" cm="1">
        <f t="array" aca="1" ref="K812" ca="1">_xlfn.IFS(EmployeeData[[#This Row],[Status]]="Active",_xlfn.DAYS(TODAY(),EmployeeData[[#This Row],[Join Date]]),EmployeeData[[#This Row],[Status]]="Exited",_xlfn.DAYS(EmployeeData[[#This Row],[Exit Date]],EmployeeData[[#This Row],[Join Date]]))</f>
        <v>1498</v>
      </c>
      <c r="L812" cm="1">
        <f t="array" aca="1" ref="L812" ca="1">_xlfn.IFS(EmployeeData[[#This Row],[Status]]="Exited",DATEDIF(EmployeeData[[#This Row],[Join Date]], EmployeeData[[#This Row],[Exit Date]], "Y"),EmployeeData[[#This Row],[Status]]="Active",DATEDIF(EmployeeData[[#This Row],[Join Date]], TODAY(), "Y"))</f>
        <v>4</v>
      </c>
      <c r="Q812" t="str" cm="1">
        <f t="array" aca="1" ref="Q8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6 days</v>
      </c>
    </row>
    <row r="813" spans="1:17" x14ac:dyDescent="0.3">
      <c r="A813">
        <v>1812</v>
      </c>
      <c r="B813" t="s">
        <v>855</v>
      </c>
      <c r="C813" t="s">
        <v>33</v>
      </c>
      <c r="D813" t="s">
        <v>24</v>
      </c>
      <c r="E813">
        <v>39</v>
      </c>
      <c r="F813" t="str" cm="1">
        <f t="array" ref="F813">_xlfn.IFS(EmployeeData[[#This Row],[Age]]&lt;30,"20s",EmployeeData[[#This Row],[Age]]&lt;40,"30s",EmployeeData[[#This Row],[Age]]&lt;50,"40s",EmployeeData[[#This Row],[Age]]&lt;60,"50s",EmployeeData[[#This Row],[Age]]&gt;=60,"60s")</f>
        <v>30s</v>
      </c>
      <c r="G813" s="5">
        <v>45930</v>
      </c>
      <c r="I813" t="s">
        <v>17</v>
      </c>
      <c r="J813" t="s">
        <v>18</v>
      </c>
      <c r="K813" cm="1">
        <f t="array" aca="1" ref="K813" ca="1">_xlfn.IFS(EmployeeData[[#This Row],[Status]]="Active",_xlfn.DAYS(TODAY(),EmployeeData[[#This Row],[Join Date]]),EmployeeData[[#This Row],[Status]]="Exited",_xlfn.DAYS(EmployeeData[[#This Row],[Exit Date]],EmployeeData[[#This Row],[Join Date]]))</f>
        <v>267</v>
      </c>
      <c r="L813" cm="1">
        <f t="array" aca="1" ref="L813" ca="1">_xlfn.IFS(EmployeeData[[#This Row],[Status]]="Exited",DATEDIF(EmployeeData[[#This Row],[Join Date]], EmployeeData[[#This Row],[Exit Date]], "Y"),EmployeeData[[#This Row],[Status]]="Active",DATEDIF(EmployeeData[[#This Row],[Join Date]], TODAY(), "Y"))</f>
        <v>0</v>
      </c>
      <c r="Q813" t="str" cm="1">
        <f t="array" aca="1" ref="Q8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25 days</v>
      </c>
    </row>
    <row r="814" spans="1:17" x14ac:dyDescent="0.3">
      <c r="A814">
        <v>1813</v>
      </c>
      <c r="B814" t="s">
        <v>437</v>
      </c>
      <c r="C814" t="s">
        <v>23</v>
      </c>
      <c r="D814" t="s">
        <v>16</v>
      </c>
      <c r="E814">
        <v>47</v>
      </c>
      <c r="F814" t="str" cm="1">
        <f t="array" ref="F814">_xlfn.IFS(EmployeeData[[#This Row],[Age]]&lt;30,"20s",EmployeeData[[#This Row],[Age]]&lt;40,"30s",EmployeeData[[#This Row],[Age]]&lt;50,"40s",EmployeeData[[#This Row],[Age]]&lt;60,"50s",EmployeeData[[#This Row],[Age]]&gt;=60,"60s")</f>
        <v>40s</v>
      </c>
      <c r="G814" s="5">
        <v>45123</v>
      </c>
      <c r="H814" s="5">
        <v>45427</v>
      </c>
      <c r="I814" t="s">
        <v>65</v>
      </c>
      <c r="J814" t="s">
        <v>13</v>
      </c>
      <c r="K814" cm="1">
        <f t="array" aca="1" ref="K814" ca="1">_xlfn.IFS(EmployeeData[[#This Row],[Status]]="Active",_xlfn.DAYS(TODAY(),EmployeeData[[#This Row],[Join Date]]),EmployeeData[[#This Row],[Status]]="Exited",_xlfn.DAYS(EmployeeData[[#This Row],[Exit Date]],EmployeeData[[#This Row],[Join Date]]))</f>
        <v>304</v>
      </c>
      <c r="L814" cm="1">
        <f t="array" aca="1" ref="L814" ca="1">_xlfn.IFS(EmployeeData[[#This Row],[Status]]="Exited",DATEDIF(EmployeeData[[#This Row],[Join Date]], EmployeeData[[#This Row],[Exit Date]], "Y"),EmployeeData[[#This Row],[Status]]="Active",DATEDIF(EmployeeData[[#This Row],[Join Date]], TODAY(), "Y"))</f>
        <v>0</v>
      </c>
      <c r="Q814" t="str" cm="1">
        <f t="array" aca="1" ref="Q8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29 days</v>
      </c>
    </row>
    <row r="815" spans="1:17" x14ac:dyDescent="0.3">
      <c r="A815">
        <v>1814</v>
      </c>
      <c r="B815" t="s">
        <v>417</v>
      </c>
      <c r="C815" t="s">
        <v>10</v>
      </c>
      <c r="D815" t="s">
        <v>16</v>
      </c>
      <c r="E815">
        <v>53</v>
      </c>
      <c r="F815" t="str" cm="1">
        <f t="array" ref="F815">_xlfn.IFS(EmployeeData[[#This Row],[Age]]&lt;30,"20s",EmployeeData[[#This Row],[Age]]&lt;40,"30s",EmployeeData[[#This Row],[Age]]&lt;50,"40s",EmployeeData[[#This Row],[Age]]&lt;60,"50s",EmployeeData[[#This Row],[Age]]&gt;=60,"60s")</f>
        <v>50s</v>
      </c>
      <c r="G815" s="5">
        <v>43231</v>
      </c>
      <c r="I815" t="s">
        <v>17</v>
      </c>
      <c r="J815" t="s">
        <v>18</v>
      </c>
      <c r="K815" cm="1">
        <f t="array" aca="1" ref="K815" ca="1">_xlfn.IFS(EmployeeData[[#This Row],[Status]]="Active",_xlfn.DAYS(TODAY(),EmployeeData[[#This Row],[Join Date]]),EmployeeData[[#This Row],[Status]]="Exited",_xlfn.DAYS(EmployeeData[[#This Row],[Exit Date]],EmployeeData[[#This Row],[Join Date]]))</f>
        <v>2966</v>
      </c>
      <c r="L815" cm="1">
        <f t="array" aca="1" ref="L815" ca="1">_xlfn.IFS(EmployeeData[[#This Row],[Status]]="Exited",DATEDIF(EmployeeData[[#This Row],[Join Date]], EmployeeData[[#This Row],[Exit Date]], "Y"),EmployeeData[[#This Row],[Status]]="Active",DATEDIF(EmployeeData[[#This Row],[Join Date]], TODAY(), "Y"))</f>
        <v>8</v>
      </c>
      <c r="Q815" t="str" cm="1">
        <f t="array" aca="1" ref="Q8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1 months 13 days</v>
      </c>
    </row>
    <row r="816" spans="1:17" x14ac:dyDescent="0.3">
      <c r="A816">
        <v>1815</v>
      </c>
      <c r="B816" t="s">
        <v>340</v>
      </c>
      <c r="C816" t="s">
        <v>15</v>
      </c>
      <c r="D816" t="s">
        <v>16</v>
      </c>
      <c r="E816">
        <v>37</v>
      </c>
      <c r="F816" t="str" cm="1">
        <f t="array" ref="F816">_xlfn.IFS(EmployeeData[[#This Row],[Age]]&lt;30,"20s",EmployeeData[[#This Row],[Age]]&lt;40,"30s",EmployeeData[[#This Row],[Age]]&lt;50,"40s",EmployeeData[[#This Row],[Age]]&lt;60,"50s",EmployeeData[[#This Row],[Age]]&gt;=60,"60s")</f>
        <v>30s</v>
      </c>
      <c r="G816" s="5">
        <v>44494</v>
      </c>
      <c r="I816" t="s">
        <v>17</v>
      </c>
      <c r="J816" t="s">
        <v>18</v>
      </c>
      <c r="K816" cm="1">
        <f t="array" aca="1" ref="K816" ca="1">_xlfn.IFS(EmployeeData[[#This Row],[Status]]="Active",_xlfn.DAYS(TODAY(),EmployeeData[[#This Row],[Join Date]]),EmployeeData[[#This Row],[Status]]="Exited",_xlfn.DAYS(EmployeeData[[#This Row],[Exit Date]],EmployeeData[[#This Row],[Join Date]]))</f>
        <v>1703</v>
      </c>
      <c r="L816" cm="1">
        <f t="array" aca="1" ref="L816" ca="1">_xlfn.IFS(EmployeeData[[#This Row],[Status]]="Exited",DATEDIF(EmployeeData[[#This Row],[Join Date]], EmployeeData[[#This Row],[Exit Date]], "Y"),EmployeeData[[#This Row],[Status]]="Active",DATEDIF(EmployeeData[[#This Row],[Join Date]], TODAY(), "Y"))</f>
        <v>4</v>
      </c>
      <c r="Q816" t="str" cm="1">
        <f t="array" aca="1" ref="Q8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7 months 30 days</v>
      </c>
    </row>
    <row r="817" spans="1:17" x14ac:dyDescent="0.3">
      <c r="A817">
        <v>1816</v>
      </c>
      <c r="B817" t="s">
        <v>86</v>
      </c>
      <c r="C817" t="s">
        <v>33</v>
      </c>
      <c r="D817" t="s">
        <v>11</v>
      </c>
      <c r="E817">
        <v>27</v>
      </c>
      <c r="F817" t="str" cm="1">
        <f t="array" ref="F817">_xlfn.IFS(EmployeeData[[#This Row],[Age]]&lt;30,"20s",EmployeeData[[#This Row],[Age]]&lt;40,"30s",EmployeeData[[#This Row],[Age]]&lt;50,"40s",EmployeeData[[#This Row],[Age]]&lt;60,"50s",EmployeeData[[#This Row],[Age]]&gt;=60,"60s")</f>
        <v>20s</v>
      </c>
      <c r="G817" s="5">
        <v>45994</v>
      </c>
      <c r="H817" s="5">
        <v>46140</v>
      </c>
      <c r="I817" t="s">
        <v>52</v>
      </c>
      <c r="J817" t="s">
        <v>13</v>
      </c>
      <c r="K817" cm="1">
        <f t="array" aca="1" ref="K817" ca="1">_xlfn.IFS(EmployeeData[[#This Row],[Status]]="Active",_xlfn.DAYS(TODAY(),EmployeeData[[#This Row],[Join Date]]),EmployeeData[[#This Row],[Status]]="Exited",_xlfn.DAYS(EmployeeData[[#This Row],[Exit Date]],EmployeeData[[#This Row],[Join Date]]))</f>
        <v>146</v>
      </c>
      <c r="L817" cm="1">
        <f t="array" aca="1" ref="L817" ca="1">_xlfn.IFS(EmployeeData[[#This Row],[Status]]="Exited",DATEDIF(EmployeeData[[#This Row],[Join Date]], EmployeeData[[#This Row],[Exit Date]], "Y"),EmployeeData[[#This Row],[Status]]="Active",DATEDIF(EmployeeData[[#This Row],[Join Date]], TODAY(), "Y"))</f>
        <v>0</v>
      </c>
      <c r="Q817" t="str" cm="1">
        <f t="array" aca="1" ref="Q8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25 days</v>
      </c>
    </row>
    <row r="818" spans="1:17" x14ac:dyDescent="0.3">
      <c r="A818">
        <v>1817</v>
      </c>
      <c r="B818" t="s">
        <v>566</v>
      </c>
      <c r="C818" t="s">
        <v>23</v>
      </c>
      <c r="D818" t="s">
        <v>11</v>
      </c>
      <c r="E818">
        <v>27</v>
      </c>
      <c r="F818" t="str" cm="1">
        <f t="array" ref="F818">_xlfn.IFS(EmployeeData[[#This Row],[Age]]&lt;30,"20s",EmployeeData[[#This Row],[Age]]&lt;40,"30s",EmployeeData[[#This Row],[Age]]&lt;50,"40s",EmployeeData[[#This Row],[Age]]&lt;60,"50s",EmployeeData[[#This Row],[Age]]&gt;=60,"60s")</f>
        <v>20s</v>
      </c>
      <c r="G818" s="5">
        <v>45404</v>
      </c>
      <c r="H818" s="5">
        <v>45601</v>
      </c>
      <c r="I818" t="s">
        <v>31</v>
      </c>
      <c r="J818" t="s">
        <v>13</v>
      </c>
      <c r="K818" cm="1">
        <f t="array" aca="1" ref="K818" ca="1">_xlfn.IFS(EmployeeData[[#This Row],[Status]]="Active",_xlfn.DAYS(TODAY(),EmployeeData[[#This Row],[Join Date]]),EmployeeData[[#This Row],[Status]]="Exited",_xlfn.DAYS(EmployeeData[[#This Row],[Exit Date]],EmployeeData[[#This Row],[Join Date]]))</f>
        <v>197</v>
      </c>
      <c r="L818" cm="1">
        <f t="array" aca="1" ref="L818" ca="1">_xlfn.IFS(EmployeeData[[#This Row],[Status]]="Exited",DATEDIF(EmployeeData[[#This Row],[Join Date]], EmployeeData[[#This Row],[Exit Date]], "Y"),EmployeeData[[#This Row],[Status]]="Active",DATEDIF(EmployeeData[[#This Row],[Join Date]], TODAY(), "Y"))</f>
        <v>0</v>
      </c>
      <c r="Q818" t="str" cm="1">
        <f t="array" aca="1" ref="Q8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14 days</v>
      </c>
    </row>
    <row r="819" spans="1:17" x14ac:dyDescent="0.3">
      <c r="A819">
        <v>1818</v>
      </c>
      <c r="B819" t="s">
        <v>780</v>
      </c>
      <c r="C819" t="s">
        <v>15</v>
      </c>
      <c r="D819" t="s">
        <v>16</v>
      </c>
      <c r="E819">
        <v>49</v>
      </c>
      <c r="F819" t="str" cm="1">
        <f t="array" ref="F819">_xlfn.IFS(EmployeeData[[#This Row],[Age]]&lt;30,"20s",EmployeeData[[#This Row],[Age]]&lt;40,"30s",EmployeeData[[#This Row],[Age]]&lt;50,"40s",EmployeeData[[#This Row],[Age]]&lt;60,"50s",EmployeeData[[#This Row],[Age]]&gt;=60,"60s")</f>
        <v>40s</v>
      </c>
      <c r="G819" s="5">
        <v>45173</v>
      </c>
      <c r="I819" t="s">
        <v>17</v>
      </c>
      <c r="J819" t="s">
        <v>18</v>
      </c>
      <c r="K819" cm="1">
        <f t="array" aca="1" ref="K819" ca="1">_xlfn.IFS(EmployeeData[[#This Row],[Status]]="Active",_xlfn.DAYS(TODAY(),EmployeeData[[#This Row],[Join Date]]),EmployeeData[[#This Row],[Status]]="Exited",_xlfn.DAYS(EmployeeData[[#This Row],[Exit Date]],EmployeeData[[#This Row],[Join Date]]))</f>
        <v>1024</v>
      </c>
      <c r="L819" cm="1">
        <f t="array" aca="1" ref="L819" ca="1">_xlfn.IFS(EmployeeData[[#This Row],[Status]]="Exited",DATEDIF(EmployeeData[[#This Row],[Join Date]], EmployeeData[[#This Row],[Exit Date]], "Y"),EmployeeData[[#This Row],[Status]]="Active",DATEDIF(EmployeeData[[#This Row],[Join Date]], TODAY(), "Y"))</f>
        <v>2</v>
      </c>
      <c r="Q819" t="str" cm="1">
        <f t="array" aca="1" ref="Q8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20 days</v>
      </c>
    </row>
    <row r="820" spans="1:17" x14ac:dyDescent="0.3">
      <c r="A820">
        <v>1819</v>
      </c>
      <c r="B820" t="s">
        <v>605</v>
      </c>
      <c r="C820" t="s">
        <v>10</v>
      </c>
      <c r="D820" t="s">
        <v>16</v>
      </c>
      <c r="E820">
        <v>33</v>
      </c>
      <c r="F820" t="str" cm="1">
        <f t="array" ref="F820">_xlfn.IFS(EmployeeData[[#This Row],[Age]]&lt;30,"20s",EmployeeData[[#This Row],[Age]]&lt;40,"30s",EmployeeData[[#This Row],[Age]]&lt;50,"40s",EmployeeData[[#This Row],[Age]]&lt;60,"50s",EmployeeData[[#This Row],[Age]]&gt;=60,"60s")</f>
        <v>30s</v>
      </c>
      <c r="G820" s="5">
        <v>44899</v>
      </c>
      <c r="I820" t="s">
        <v>17</v>
      </c>
      <c r="J820" t="s">
        <v>18</v>
      </c>
      <c r="K820" cm="1">
        <f t="array" aca="1" ref="K820" ca="1">_xlfn.IFS(EmployeeData[[#This Row],[Status]]="Active",_xlfn.DAYS(TODAY(),EmployeeData[[#This Row],[Join Date]]),EmployeeData[[#This Row],[Status]]="Exited",_xlfn.DAYS(EmployeeData[[#This Row],[Exit Date]],EmployeeData[[#This Row],[Join Date]]))</f>
        <v>1298</v>
      </c>
      <c r="L820" cm="1">
        <f t="array" aca="1" ref="L820" ca="1">_xlfn.IFS(EmployeeData[[#This Row],[Status]]="Exited",DATEDIF(EmployeeData[[#This Row],[Join Date]], EmployeeData[[#This Row],[Exit Date]], "Y"),EmployeeData[[#This Row],[Status]]="Active",DATEDIF(EmployeeData[[#This Row],[Join Date]], TODAY(), "Y"))</f>
        <v>3</v>
      </c>
      <c r="Q820" t="str" cm="1">
        <f t="array" aca="1" ref="Q8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20 days</v>
      </c>
    </row>
    <row r="821" spans="1:17" x14ac:dyDescent="0.3">
      <c r="A821">
        <v>1820</v>
      </c>
      <c r="B821" t="s">
        <v>276</v>
      </c>
      <c r="C821" t="s">
        <v>23</v>
      </c>
      <c r="D821" t="s">
        <v>16</v>
      </c>
      <c r="E821">
        <v>31</v>
      </c>
      <c r="F821" t="str" cm="1">
        <f t="array" ref="F821">_xlfn.IFS(EmployeeData[[#This Row],[Age]]&lt;30,"20s",EmployeeData[[#This Row],[Age]]&lt;40,"30s",EmployeeData[[#This Row],[Age]]&lt;50,"40s",EmployeeData[[#This Row],[Age]]&lt;60,"50s",EmployeeData[[#This Row],[Age]]&gt;=60,"60s")</f>
        <v>30s</v>
      </c>
      <c r="G821" s="5">
        <v>43450</v>
      </c>
      <c r="H821" s="5">
        <v>45239</v>
      </c>
      <c r="I821" t="s">
        <v>12</v>
      </c>
      <c r="J821" t="s">
        <v>13</v>
      </c>
      <c r="K821" cm="1">
        <f t="array" aca="1" ref="K821" ca="1">_xlfn.IFS(EmployeeData[[#This Row],[Status]]="Active",_xlfn.DAYS(TODAY(),EmployeeData[[#This Row],[Join Date]]),EmployeeData[[#This Row],[Status]]="Exited",_xlfn.DAYS(EmployeeData[[#This Row],[Exit Date]],EmployeeData[[#This Row],[Join Date]]))</f>
        <v>1789</v>
      </c>
      <c r="L821" cm="1">
        <f t="array" aca="1" ref="L821" ca="1">_xlfn.IFS(EmployeeData[[#This Row],[Status]]="Exited",DATEDIF(EmployeeData[[#This Row],[Join Date]], EmployeeData[[#This Row],[Exit Date]], "Y"),EmployeeData[[#This Row],[Status]]="Active",DATEDIF(EmployeeData[[#This Row],[Join Date]], TODAY(), "Y"))</f>
        <v>4</v>
      </c>
      <c r="Q821" t="str" cm="1">
        <f t="array" aca="1" ref="Q8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24 days</v>
      </c>
    </row>
    <row r="822" spans="1:17" x14ac:dyDescent="0.3">
      <c r="A822">
        <v>1821</v>
      </c>
      <c r="B822" t="s">
        <v>580</v>
      </c>
      <c r="C822" t="s">
        <v>23</v>
      </c>
      <c r="D822" t="s">
        <v>11</v>
      </c>
      <c r="E822">
        <v>29</v>
      </c>
      <c r="F822" t="str" cm="1">
        <f t="array" ref="F822">_xlfn.IFS(EmployeeData[[#This Row],[Age]]&lt;30,"20s",EmployeeData[[#This Row],[Age]]&lt;40,"30s",EmployeeData[[#This Row],[Age]]&lt;50,"40s",EmployeeData[[#This Row],[Age]]&lt;60,"50s",EmployeeData[[#This Row],[Age]]&gt;=60,"60s")</f>
        <v>20s</v>
      </c>
      <c r="G822" s="5">
        <v>44857</v>
      </c>
      <c r="I822" t="s">
        <v>17</v>
      </c>
      <c r="J822" t="s">
        <v>18</v>
      </c>
      <c r="K822" cm="1">
        <f t="array" aca="1" ref="K822" ca="1">_xlfn.IFS(EmployeeData[[#This Row],[Status]]="Active",_xlfn.DAYS(TODAY(),EmployeeData[[#This Row],[Join Date]]),EmployeeData[[#This Row],[Status]]="Exited",_xlfn.DAYS(EmployeeData[[#This Row],[Exit Date]],EmployeeData[[#This Row],[Join Date]]))</f>
        <v>1340</v>
      </c>
      <c r="L822" cm="1">
        <f t="array" aca="1" ref="L822" ca="1">_xlfn.IFS(EmployeeData[[#This Row],[Status]]="Exited",DATEDIF(EmployeeData[[#This Row],[Join Date]], EmployeeData[[#This Row],[Exit Date]], "Y"),EmployeeData[[#This Row],[Status]]="Active",DATEDIF(EmployeeData[[#This Row],[Join Date]], TODAY(), "Y"))</f>
        <v>3</v>
      </c>
      <c r="Q822" t="str" cm="1">
        <f t="array" aca="1" ref="Q8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 days</v>
      </c>
    </row>
    <row r="823" spans="1:17" x14ac:dyDescent="0.3">
      <c r="A823">
        <v>1822</v>
      </c>
      <c r="B823" t="s">
        <v>479</v>
      </c>
      <c r="C823" t="s">
        <v>23</v>
      </c>
      <c r="D823" t="s">
        <v>11</v>
      </c>
      <c r="E823">
        <v>22</v>
      </c>
      <c r="F823" t="str" cm="1">
        <f t="array" ref="F823">_xlfn.IFS(EmployeeData[[#This Row],[Age]]&lt;30,"20s",EmployeeData[[#This Row],[Age]]&lt;40,"30s",EmployeeData[[#This Row],[Age]]&lt;50,"40s",EmployeeData[[#This Row],[Age]]&lt;60,"50s",EmployeeData[[#This Row],[Age]]&gt;=60,"60s")</f>
        <v>20s</v>
      </c>
      <c r="G823" s="5">
        <v>44913</v>
      </c>
      <c r="H823" s="5">
        <v>45023</v>
      </c>
      <c r="I823" t="s">
        <v>34</v>
      </c>
      <c r="J823" t="s">
        <v>13</v>
      </c>
      <c r="K823" cm="1">
        <f t="array" aca="1" ref="K823" ca="1">_xlfn.IFS(EmployeeData[[#This Row],[Status]]="Active",_xlfn.DAYS(TODAY(),EmployeeData[[#This Row],[Join Date]]),EmployeeData[[#This Row],[Status]]="Exited",_xlfn.DAYS(EmployeeData[[#This Row],[Exit Date]],EmployeeData[[#This Row],[Join Date]]))</f>
        <v>110</v>
      </c>
      <c r="L823" cm="1">
        <f t="array" aca="1" ref="L823" ca="1">_xlfn.IFS(EmployeeData[[#This Row],[Status]]="Exited",DATEDIF(EmployeeData[[#This Row],[Join Date]], EmployeeData[[#This Row],[Exit Date]], "Y"),EmployeeData[[#This Row],[Status]]="Active",DATEDIF(EmployeeData[[#This Row],[Join Date]], TODAY(), "Y"))</f>
        <v>0</v>
      </c>
      <c r="Q823" t="str" cm="1">
        <f t="array" aca="1" ref="Q8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20 days</v>
      </c>
    </row>
    <row r="824" spans="1:17" x14ac:dyDescent="0.3">
      <c r="A824">
        <v>1823</v>
      </c>
      <c r="B824" t="s">
        <v>943</v>
      </c>
      <c r="C824" t="s">
        <v>10</v>
      </c>
      <c r="D824" t="s">
        <v>11</v>
      </c>
      <c r="E824">
        <v>48</v>
      </c>
      <c r="F824" t="str" cm="1">
        <f t="array" ref="F824">_xlfn.IFS(EmployeeData[[#This Row],[Age]]&lt;30,"20s",EmployeeData[[#This Row],[Age]]&lt;40,"30s",EmployeeData[[#This Row],[Age]]&lt;50,"40s",EmployeeData[[#This Row],[Age]]&lt;60,"50s",EmployeeData[[#This Row],[Age]]&gt;=60,"60s")</f>
        <v>40s</v>
      </c>
      <c r="G824" s="5">
        <v>43352</v>
      </c>
      <c r="I824" t="s">
        <v>17</v>
      </c>
      <c r="J824" t="s">
        <v>18</v>
      </c>
      <c r="K824" cm="1">
        <f t="array" aca="1" ref="K824" ca="1">_xlfn.IFS(EmployeeData[[#This Row],[Status]]="Active",_xlfn.DAYS(TODAY(),EmployeeData[[#This Row],[Join Date]]),EmployeeData[[#This Row],[Status]]="Exited",_xlfn.DAYS(EmployeeData[[#This Row],[Exit Date]],EmployeeData[[#This Row],[Join Date]]))</f>
        <v>2845</v>
      </c>
      <c r="L824" cm="1">
        <f t="array" aca="1" ref="L824" ca="1">_xlfn.IFS(EmployeeData[[#This Row],[Status]]="Exited",DATEDIF(EmployeeData[[#This Row],[Join Date]], EmployeeData[[#This Row],[Exit Date]], "Y"),EmployeeData[[#This Row],[Status]]="Active",DATEDIF(EmployeeData[[#This Row],[Join Date]], TODAY(), "Y"))</f>
        <v>7</v>
      </c>
      <c r="Q824" t="str" cm="1">
        <f t="array" aca="1" ref="Q8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15 days</v>
      </c>
    </row>
    <row r="825" spans="1:17" x14ac:dyDescent="0.3">
      <c r="A825">
        <v>1824</v>
      </c>
      <c r="B825" t="s">
        <v>1033</v>
      </c>
      <c r="C825" t="s">
        <v>15</v>
      </c>
      <c r="D825" t="s">
        <v>24</v>
      </c>
      <c r="E825">
        <v>54</v>
      </c>
      <c r="F825" t="str" cm="1">
        <f t="array" ref="F825">_xlfn.IFS(EmployeeData[[#This Row],[Age]]&lt;30,"20s",EmployeeData[[#This Row],[Age]]&lt;40,"30s",EmployeeData[[#This Row],[Age]]&lt;50,"40s",EmployeeData[[#This Row],[Age]]&lt;60,"50s",EmployeeData[[#This Row],[Age]]&gt;=60,"60s")</f>
        <v>50s</v>
      </c>
      <c r="G825" s="5">
        <v>44312</v>
      </c>
      <c r="I825" t="s">
        <v>17</v>
      </c>
      <c r="J825" t="s">
        <v>18</v>
      </c>
      <c r="K825" cm="1">
        <f t="array" aca="1" ref="K825" ca="1">_xlfn.IFS(EmployeeData[[#This Row],[Status]]="Active",_xlfn.DAYS(TODAY(),EmployeeData[[#This Row],[Join Date]]),EmployeeData[[#This Row],[Status]]="Exited",_xlfn.DAYS(EmployeeData[[#This Row],[Exit Date]],EmployeeData[[#This Row],[Join Date]]))</f>
        <v>1885</v>
      </c>
      <c r="L825" cm="1">
        <f t="array" aca="1" ref="L825" ca="1">_xlfn.IFS(EmployeeData[[#This Row],[Status]]="Exited",DATEDIF(EmployeeData[[#This Row],[Join Date]], EmployeeData[[#This Row],[Exit Date]], "Y"),EmployeeData[[#This Row],[Status]]="Active",DATEDIF(EmployeeData[[#This Row],[Join Date]], TODAY(), "Y"))</f>
        <v>5</v>
      </c>
      <c r="Q825" t="str" cm="1">
        <f t="array" aca="1" ref="Q8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29 days</v>
      </c>
    </row>
    <row r="826" spans="1:17" x14ac:dyDescent="0.3">
      <c r="A826">
        <v>1825</v>
      </c>
      <c r="B826" t="s">
        <v>67</v>
      </c>
      <c r="C826" t="s">
        <v>10</v>
      </c>
      <c r="D826" t="s">
        <v>24</v>
      </c>
      <c r="E826">
        <v>38</v>
      </c>
      <c r="F826" t="str" cm="1">
        <f t="array" ref="F826">_xlfn.IFS(EmployeeData[[#This Row],[Age]]&lt;30,"20s",EmployeeData[[#This Row],[Age]]&lt;40,"30s",EmployeeData[[#This Row],[Age]]&lt;50,"40s",EmployeeData[[#This Row],[Age]]&lt;60,"50s",EmployeeData[[#This Row],[Age]]&gt;=60,"60s")</f>
        <v>30s</v>
      </c>
      <c r="G826" s="5">
        <v>45262</v>
      </c>
      <c r="I826" t="s">
        <v>17</v>
      </c>
      <c r="J826" t="s">
        <v>18</v>
      </c>
      <c r="K826" cm="1">
        <f t="array" aca="1" ref="K826" ca="1">_xlfn.IFS(EmployeeData[[#This Row],[Status]]="Active",_xlfn.DAYS(TODAY(),EmployeeData[[#This Row],[Join Date]]),EmployeeData[[#This Row],[Status]]="Exited",_xlfn.DAYS(EmployeeData[[#This Row],[Exit Date]],EmployeeData[[#This Row],[Join Date]]))</f>
        <v>935</v>
      </c>
      <c r="L826" cm="1">
        <f t="array" aca="1" ref="L826" ca="1">_xlfn.IFS(EmployeeData[[#This Row],[Status]]="Exited",DATEDIF(EmployeeData[[#This Row],[Join Date]], EmployeeData[[#This Row],[Exit Date]], "Y"),EmployeeData[[#This Row],[Status]]="Active",DATEDIF(EmployeeData[[#This Row],[Join Date]], TODAY(), "Y"))</f>
        <v>2</v>
      </c>
      <c r="Q826" t="str" cm="1">
        <f t="array" aca="1" ref="Q8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22 days</v>
      </c>
    </row>
    <row r="827" spans="1:17" x14ac:dyDescent="0.3">
      <c r="A827">
        <v>1826</v>
      </c>
      <c r="B827" t="s">
        <v>239</v>
      </c>
      <c r="C827" t="s">
        <v>33</v>
      </c>
      <c r="D827" t="s">
        <v>24</v>
      </c>
      <c r="E827">
        <v>49</v>
      </c>
      <c r="F827" t="str" cm="1">
        <f t="array" ref="F827">_xlfn.IFS(EmployeeData[[#This Row],[Age]]&lt;30,"20s",EmployeeData[[#This Row],[Age]]&lt;40,"30s",EmployeeData[[#This Row],[Age]]&lt;50,"40s",EmployeeData[[#This Row],[Age]]&lt;60,"50s",EmployeeData[[#This Row],[Age]]&gt;=60,"60s")</f>
        <v>40s</v>
      </c>
      <c r="G827" s="5">
        <v>45957</v>
      </c>
      <c r="H827" s="5">
        <v>46150</v>
      </c>
      <c r="I827" t="s">
        <v>34</v>
      </c>
      <c r="J827" t="s">
        <v>13</v>
      </c>
      <c r="K827" cm="1">
        <f t="array" aca="1" ref="K827" ca="1">_xlfn.IFS(EmployeeData[[#This Row],[Status]]="Active",_xlfn.DAYS(TODAY(),EmployeeData[[#This Row],[Join Date]]),EmployeeData[[#This Row],[Status]]="Exited",_xlfn.DAYS(EmployeeData[[#This Row],[Exit Date]],EmployeeData[[#This Row],[Join Date]]))</f>
        <v>193</v>
      </c>
      <c r="L827" cm="1">
        <f t="array" aca="1" ref="L827" ca="1">_xlfn.IFS(EmployeeData[[#This Row],[Status]]="Exited",DATEDIF(EmployeeData[[#This Row],[Join Date]], EmployeeData[[#This Row],[Exit Date]], "Y"),EmployeeData[[#This Row],[Status]]="Active",DATEDIF(EmployeeData[[#This Row],[Join Date]], TODAY(), "Y"))</f>
        <v>0</v>
      </c>
      <c r="Q827" t="str" cm="1">
        <f t="array" aca="1" ref="Q8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11 days</v>
      </c>
    </row>
    <row r="828" spans="1:17" x14ac:dyDescent="0.3">
      <c r="A828">
        <v>1827</v>
      </c>
      <c r="B828" t="s">
        <v>892</v>
      </c>
      <c r="C828" t="s">
        <v>10</v>
      </c>
      <c r="D828" t="s">
        <v>11</v>
      </c>
      <c r="E828">
        <v>29</v>
      </c>
      <c r="F828" t="str" cm="1">
        <f t="array" ref="F828">_xlfn.IFS(EmployeeData[[#This Row],[Age]]&lt;30,"20s",EmployeeData[[#This Row],[Age]]&lt;40,"30s",EmployeeData[[#This Row],[Age]]&lt;50,"40s",EmployeeData[[#This Row],[Age]]&lt;60,"50s",EmployeeData[[#This Row],[Age]]&gt;=60,"60s")</f>
        <v>20s</v>
      </c>
      <c r="G828" s="5">
        <v>45232</v>
      </c>
      <c r="I828" t="s">
        <v>17</v>
      </c>
      <c r="J828" t="s">
        <v>18</v>
      </c>
      <c r="K828" cm="1">
        <f t="array" aca="1" ref="K828" ca="1">_xlfn.IFS(EmployeeData[[#This Row],[Status]]="Active",_xlfn.DAYS(TODAY(),EmployeeData[[#This Row],[Join Date]]),EmployeeData[[#This Row],[Status]]="Exited",_xlfn.DAYS(EmployeeData[[#This Row],[Exit Date]],EmployeeData[[#This Row],[Join Date]]))</f>
        <v>965</v>
      </c>
      <c r="L828" cm="1">
        <f t="array" aca="1" ref="L828" ca="1">_xlfn.IFS(EmployeeData[[#This Row],[Status]]="Exited",DATEDIF(EmployeeData[[#This Row],[Join Date]], EmployeeData[[#This Row],[Exit Date]], "Y"),EmployeeData[[#This Row],[Status]]="Active",DATEDIF(EmployeeData[[#This Row],[Join Date]], TODAY(), "Y"))</f>
        <v>2</v>
      </c>
      <c r="Q828" t="str" cm="1">
        <f t="array" aca="1" ref="Q8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22 days</v>
      </c>
    </row>
    <row r="829" spans="1:17" x14ac:dyDescent="0.3">
      <c r="A829">
        <v>1828</v>
      </c>
      <c r="B829" t="s">
        <v>85</v>
      </c>
      <c r="C829" t="s">
        <v>23</v>
      </c>
      <c r="D829" t="s">
        <v>11</v>
      </c>
      <c r="E829">
        <v>59</v>
      </c>
      <c r="F829" t="str" cm="1">
        <f t="array" ref="F829">_xlfn.IFS(EmployeeData[[#This Row],[Age]]&lt;30,"20s",EmployeeData[[#This Row],[Age]]&lt;40,"30s",EmployeeData[[#This Row],[Age]]&lt;50,"40s",EmployeeData[[#This Row],[Age]]&lt;60,"50s",EmployeeData[[#This Row],[Age]]&gt;=60,"60s")</f>
        <v>50s</v>
      </c>
      <c r="G829" s="5">
        <v>43196</v>
      </c>
      <c r="H829" s="5">
        <v>44345</v>
      </c>
      <c r="I829" t="s">
        <v>26</v>
      </c>
      <c r="J829" t="s">
        <v>13</v>
      </c>
      <c r="K829" cm="1">
        <f t="array" aca="1" ref="K829" ca="1">_xlfn.IFS(EmployeeData[[#This Row],[Status]]="Active",_xlfn.DAYS(TODAY(),EmployeeData[[#This Row],[Join Date]]),EmployeeData[[#This Row],[Status]]="Exited",_xlfn.DAYS(EmployeeData[[#This Row],[Exit Date]],EmployeeData[[#This Row],[Join Date]]))</f>
        <v>1149</v>
      </c>
      <c r="L829" cm="1">
        <f t="array" aca="1" ref="L829" ca="1">_xlfn.IFS(EmployeeData[[#This Row],[Status]]="Exited",DATEDIF(EmployeeData[[#This Row],[Join Date]], EmployeeData[[#This Row],[Exit Date]], "Y"),EmployeeData[[#This Row],[Status]]="Active",DATEDIF(EmployeeData[[#This Row],[Join Date]], TODAY(), "Y"))</f>
        <v>3</v>
      </c>
      <c r="Q829" t="str" cm="1">
        <f t="array" aca="1" ref="Q8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 months 23 days</v>
      </c>
    </row>
    <row r="830" spans="1:17" x14ac:dyDescent="0.3">
      <c r="A830">
        <v>1829</v>
      </c>
      <c r="B830" t="s">
        <v>587</v>
      </c>
      <c r="C830" t="s">
        <v>33</v>
      </c>
      <c r="D830" t="s">
        <v>16</v>
      </c>
      <c r="E830">
        <v>53</v>
      </c>
      <c r="F830" t="str" cm="1">
        <f t="array" ref="F830">_xlfn.IFS(EmployeeData[[#This Row],[Age]]&lt;30,"20s",EmployeeData[[#This Row],[Age]]&lt;40,"30s",EmployeeData[[#This Row],[Age]]&lt;50,"40s",EmployeeData[[#This Row],[Age]]&lt;60,"50s",EmployeeData[[#This Row],[Age]]&gt;=60,"60s")</f>
        <v>50s</v>
      </c>
      <c r="G830" s="5">
        <v>44552</v>
      </c>
      <c r="H830" s="5">
        <v>45975</v>
      </c>
      <c r="I830" t="s">
        <v>21</v>
      </c>
      <c r="J830" t="s">
        <v>13</v>
      </c>
      <c r="K830" cm="1">
        <f t="array" aca="1" ref="K830" ca="1">_xlfn.IFS(EmployeeData[[#This Row],[Status]]="Active",_xlfn.DAYS(TODAY(),EmployeeData[[#This Row],[Join Date]]),EmployeeData[[#This Row],[Status]]="Exited",_xlfn.DAYS(EmployeeData[[#This Row],[Exit Date]],EmployeeData[[#This Row],[Join Date]]))</f>
        <v>1423</v>
      </c>
      <c r="L830" cm="1">
        <f t="array" aca="1" ref="L830" ca="1">_xlfn.IFS(EmployeeData[[#This Row],[Status]]="Exited",DATEDIF(EmployeeData[[#This Row],[Join Date]], EmployeeData[[#This Row],[Exit Date]], "Y"),EmployeeData[[#This Row],[Status]]="Active",DATEDIF(EmployeeData[[#This Row],[Join Date]], TODAY(), "Y"))</f>
        <v>3</v>
      </c>
      <c r="Q830" t="str" cm="1">
        <f t="array" aca="1" ref="Q8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23 days</v>
      </c>
    </row>
    <row r="831" spans="1:17" x14ac:dyDescent="0.3">
      <c r="A831">
        <v>1830</v>
      </c>
      <c r="B831" t="s">
        <v>472</v>
      </c>
      <c r="C831" t="s">
        <v>10</v>
      </c>
      <c r="D831" t="s">
        <v>11</v>
      </c>
      <c r="E831">
        <v>58</v>
      </c>
      <c r="F831" t="str" cm="1">
        <f t="array" ref="F831">_xlfn.IFS(EmployeeData[[#This Row],[Age]]&lt;30,"20s",EmployeeData[[#This Row],[Age]]&lt;40,"30s",EmployeeData[[#This Row],[Age]]&lt;50,"40s",EmployeeData[[#This Row],[Age]]&lt;60,"50s",EmployeeData[[#This Row],[Age]]&gt;=60,"60s")</f>
        <v>50s</v>
      </c>
      <c r="G831" s="5">
        <v>45417</v>
      </c>
      <c r="I831" t="s">
        <v>17</v>
      </c>
      <c r="J831" t="s">
        <v>18</v>
      </c>
      <c r="K831" cm="1">
        <f t="array" aca="1" ref="K831" ca="1">_xlfn.IFS(EmployeeData[[#This Row],[Status]]="Active",_xlfn.DAYS(TODAY(),EmployeeData[[#This Row],[Join Date]]),EmployeeData[[#This Row],[Status]]="Exited",_xlfn.DAYS(EmployeeData[[#This Row],[Exit Date]],EmployeeData[[#This Row],[Join Date]]))</f>
        <v>780</v>
      </c>
      <c r="L831" cm="1">
        <f t="array" aca="1" ref="L831" ca="1">_xlfn.IFS(EmployeeData[[#This Row],[Status]]="Exited",DATEDIF(EmployeeData[[#This Row],[Join Date]], EmployeeData[[#This Row],[Exit Date]], "Y"),EmployeeData[[#This Row],[Status]]="Active",DATEDIF(EmployeeData[[#This Row],[Join Date]], TODAY(), "Y"))</f>
        <v>2</v>
      </c>
      <c r="Q831" t="str" cm="1">
        <f t="array" aca="1" ref="Q8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19 days</v>
      </c>
    </row>
    <row r="832" spans="1:17" x14ac:dyDescent="0.3">
      <c r="A832">
        <v>1831</v>
      </c>
      <c r="B832" t="s">
        <v>1082</v>
      </c>
      <c r="C832" t="s">
        <v>10</v>
      </c>
      <c r="D832" t="s">
        <v>11</v>
      </c>
      <c r="E832">
        <v>57</v>
      </c>
      <c r="F832" t="str" cm="1">
        <f t="array" ref="F832">_xlfn.IFS(EmployeeData[[#This Row],[Age]]&lt;30,"20s",EmployeeData[[#This Row],[Age]]&lt;40,"30s",EmployeeData[[#This Row],[Age]]&lt;50,"40s",EmployeeData[[#This Row],[Age]]&lt;60,"50s",EmployeeData[[#This Row],[Age]]&gt;=60,"60s")</f>
        <v>50s</v>
      </c>
      <c r="G832" s="5">
        <v>45855</v>
      </c>
      <c r="H832" s="5">
        <v>46041</v>
      </c>
      <c r="I832" t="s">
        <v>65</v>
      </c>
      <c r="J832" t="s">
        <v>13</v>
      </c>
      <c r="K832" cm="1">
        <f t="array" aca="1" ref="K832" ca="1">_xlfn.IFS(EmployeeData[[#This Row],[Status]]="Active",_xlfn.DAYS(TODAY(),EmployeeData[[#This Row],[Join Date]]),EmployeeData[[#This Row],[Status]]="Exited",_xlfn.DAYS(EmployeeData[[#This Row],[Exit Date]],EmployeeData[[#This Row],[Join Date]]))</f>
        <v>186</v>
      </c>
      <c r="L832" cm="1">
        <f t="array" aca="1" ref="L832" ca="1">_xlfn.IFS(EmployeeData[[#This Row],[Status]]="Exited",DATEDIF(EmployeeData[[#This Row],[Join Date]], EmployeeData[[#This Row],[Exit Date]], "Y"),EmployeeData[[#This Row],[Status]]="Active",DATEDIF(EmployeeData[[#This Row],[Join Date]], TODAY(), "Y"))</f>
        <v>0</v>
      </c>
      <c r="Q832" t="str" cm="1">
        <f t="array" aca="1" ref="Q8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 days</v>
      </c>
    </row>
    <row r="833" spans="1:17" x14ac:dyDescent="0.3">
      <c r="A833">
        <v>1832</v>
      </c>
      <c r="B833" t="s">
        <v>560</v>
      </c>
      <c r="C833" t="s">
        <v>33</v>
      </c>
      <c r="D833" t="s">
        <v>24</v>
      </c>
      <c r="E833">
        <v>27</v>
      </c>
      <c r="F833" t="str" cm="1">
        <f t="array" ref="F833">_xlfn.IFS(EmployeeData[[#This Row],[Age]]&lt;30,"20s",EmployeeData[[#This Row],[Age]]&lt;40,"30s",EmployeeData[[#This Row],[Age]]&lt;50,"40s",EmployeeData[[#This Row],[Age]]&lt;60,"50s",EmployeeData[[#This Row],[Age]]&gt;=60,"60s")</f>
        <v>20s</v>
      </c>
      <c r="G833" s="5">
        <v>43701</v>
      </c>
      <c r="I833" t="s">
        <v>17</v>
      </c>
      <c r="J833" t="s">
        <v>18</v>
      </c>
      <c r="K833" cm="1">
        <f t="array" aca="1" ref="K833" ca="1">_xlfn.IFS(EmployeeData[[#This Row],[Status]]="Active",_xlfn.DAYS(TODAY(),EmployeeData[[#This Row],[Join Date]]),EmployeeData[[#This Row],[Status]]="Exited",_xlfn.DAYS(EmployeeData[[#This Row],[Exit Date]],EmployeeData[[#This Row],[Join Date]]))</f>
        <v>2496</v>
      </c>
      <c r="L833" cm="1">
        <f t="array" aca="1" ref="L833" ca="1">_xlfn.IFS(EmployeeData[[#This Row],[Status]]="Exited",DATEDIF(EmployeeData[[#This Row],[Join Date]], EmployeeData[[#This Row],[Exit Date]], "Y"),EmployeeData[[#This Row],[Status]]="Active",DATEDIF(EmployeeData[[#This Row],[Join Date]], TODAY(), "Y"))</f>
        <v>6</v>
      </c>
      <c r="Q833" t="str" cm="1">
        <f t="array" aca="1" ref="Q8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0 days</v>
      </c>
    </row>
    <row r="834" spans="1:17" x14ac:dyDescent="0.3">
      <c r="A834">
        <v>1833</v>
      </c>
      <c r="B834" t="s">
        <v>240</v>
      </c>
      <c r="C834" t="s">
        <v>33</v>
      </c>
      <c r="D834" t="s">
        <v>24</v>
      </c>
      <c r="E834">
        <v>49</v>
      </c>
      <c r="F834" t="str" cm="1">
        <f t="array" ref="F834">_xlfn.IFS(EmployeeData[[#This Row],[Age]]&lt;30,"20s",EmployeeData[[#This Row],[Age]]&lt;40,"30s",EmployeeData[[#This Row],[Age]]&lt;50,"40s",EmployeeData[[#This Row],[Age]]&lt;60,"50s",EmployeeData[[#This Row],[Age]]&gt;=60,"60s")</f>
        <v>40s</v>
      </c>
      <c r="G834" s="5">
        <v>43420</v>
      </c>
      <c r="H834" s="5">
        <v>45159</v>
      </c>
      <c r="I834" t="s">
        <v>28</v>
      </c>
      <c r="J834" t="s">
        <v>13</v>
      </c>
      <c r="K834" cm="1">
        <f t="array" aca="1" ref="K834" ca="1">_xlfn.IFS(EmployeeData[[#This Row],[Status]]="Active",_xlfn.DAYS(TODAY(),EmployeeData[[#This Row],[Join Date]]),EmployeeData[[#This Row],[Status]]="Exited",_xlfn.DAYS(EmployeeData[[#This Row],[Exit Date]],EmployeeData[[#This Row],[Join Date]]))</f>
        <v>1739</v>
      </c>
      <c r="L834" cm="1">
        <f t="array" aca="1" ref="L834" ca="1">_xlfn.IFS(EmployeeData[[#This Row],[Status]]="Exited",DATEDIF(EmployeeData[[#This Row],[Join Date]], EmployeeData[[#This Row],[Exit Date]], "Y"),EmployeeData[[#This Row],[Status]]="Active",DATEDIF(EmployeeData[[#This Row],[Join Date]], TODAY(), "Y"))</f>
        <v>4</v>
      </c>
      <c r="Q834" t="str" cm="1">
        <f t="array" aca="1" ref="Q8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5 days</v>
      </c>
    </row>
    <row r="835" spans="1:17" x14ac:dyDescent="0.3">
      <c r="A835">
        <v>1834</v>
      </c>
      <c r="B835" t="s">
        <v>374</v>
      </c>
      <c r="C835" t="s">
        <v>23</v>
      </c>
      <c r="D835" t="s">
        <v>24</v>
      </c>
      <c r="E835">
        <v>49</v>
      </c>
      <c r="F835" t="str" cm="1">
        <f t="array" ref="F835">_xlfn.IFS(EmployeeData[[#This Row],[Age]]&lt;30,"20s",EmployeeData[[#This Row],[Age]]&lt;40,"30s",EmployeeData[[#This Row],[Age]]&lt;50,"40s",EmployeeData[[#This Row],[Age]]&lt;60,"50s",EmployeeData[[#This Row],[Age]]&gt;=60,"60s")</f>
        <v>40s</v>
      </c>
      <c r="G835" s="5">
        <v>45923</v>
      </c>
      <c r="I835" t="s">
        <v>17</v>
      </c>
      <c r="J835" t="s">
        <v>18</v>
      </c>
      <c r="K835" cm="1">
        <f t="array" aca="1" ref="K835" ca="1">_xlfn.IFS(EmployeeData[[#This Row],[Status]]="Active",_xlfn.DAYS(TODAY(),EmployeeData[[#This Row],[Join Date]]),EmployeeData[[#This Row],[Status]]="Exited",_xlfn.DAYS(EmployeeData[[#This Row],[Exit Date]],EmployeeData[[#This Row],[Join Date]]))</f>
        <v>274</v>
      </c>
      <c r="L835" cm="1">
        <f t="array" aca="1" ref="L835" ca="1">_xlfn.IFS(EmployeeData[[#This Row],[Status]]="Exited",DATEDIF(EmployeeData[[#This Row],[Join Date]], EmployeeData[[#This Row],[Exit Date]], "Y"),EmployeeData[[#This Row],[Status]]="Active",DATEDIF(EmployeeData[[#This Row],[Join Date]], TODAY(), "Y"))</f>
        <v>0</v>
      </c>
      <c r="Q835" t="str" cm="1">
        <f t="array" aca="1" ref="Q8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 days</v>
      </c>
    </row>
    <row r="836" spans="1:17" x14ac:dyDescent="0.3">
      <c r="A836">
        <v>1835</v>
      </c>
      <c r="B836" t="s">
        <v>601</v>
      </c>
      <c r="C836" t="s">
        <v>33</v>
      </c>
      <c r="D836" t="s">
        <v>16</v>
      </c>
      <c r="E836">
        <v>29</v>
      </c>
      <c r="F836" t="str" cm="1">
        <f t="array" ref="F836">_xlfn.IFS(EmployeeData[[#This Row],[Age]]&lt;30,"20s",EmployeeData[[#This Row],[Age]]&lt;40,"30s",EmployeeData[[#This Row],[Age]]&lt;50,"40s",EmployeeData[[#This Row],[Age]]&lt;60,"50s",EmployeeData[[#This Row],[Age]]&gt;=60,"60s")</f>
        <v>20s</v>
      </c>
      <c r="G836" s="5">
        <v>45086</v>
      </c>
      <c r="I836" t="s">
        <v>17</v>
      </c>
      <c r="J836" t="s">
        <v>18</v>
      </c>
      <c r="K836" cm="1">
        <f t="array" aca="1" ref="K836" ca="1">_xlfn.IFS(EmployeeData[[#This Row],[Status]]="Active",_xlfn.DAYS(TODAY(),EmployeeData[[#This Row],[Join Date]]),EmployeeData[[#This Row],[Status]]="Exited",_xlfn.DAYS(EmployeeData[[#This Row],[Exit Date]],EmployeeData[[#This Row],[Join Date]]))</f>
        <v>1111</v>
      </c>
      <c r="L836" cm="1">
        <f t="array" aca="1" ref="L836" ca="1">_xlfn.IFS(EmployeeData[[#This Row],[Status]]="Exited",DATEDIF(EmployeeData[[#This Row],[Join Date]], EmployeeData[[#This Row],[Exit Date]], "Y"),EmployeeData[[#This Row],[Status]]="Active",DATEDIF(EmployeeData[[#This Row],[Join Date]], TODAY(), "Y"))</f>
        <v>3</v>
      </c>
      <c r="Q836" t="str" cm="1">
        <f t="array" aca="1" ref="Q8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15 days</v>
      </c>
    </row>
    <row r="837" spans="1:17" x14ac:dyDescent="0.3">
      <c r="A837">
        <v>1836</v>
      </c>
      <c r="B837" t="s">
        <v>535</v>
      </c>
      <c r="C837" t="s">
        <v>20</v>
      </c>
      <c r="D837" t="s">
        <v>24</v>
      </c>
      <c r="E837">
        <v>23</v>
      </c>
      <c r="F837" t="str" cm="1">
        <f t="array" ref="F837">_xlfn.IFS(EmployeeData[[#This Row],[Age]]&lt;30,"20s",EmployeeData[[#This Row],[Age]]&lt;40,"30s",EmployeeData[[#This Row],[Age]]&lt;50,"40s",EmployeeData[[#This Row],[Age]]&lt;60,"50s",EmployeeData[[#This Row],[Age]]&gt;=60,"60s")</f>
        <v>20s</v>
      </c>
      <c r="G837" s="5">
        <v>43743</v>
      </c>
      <c r="I837" t="s">
        <v>17</v>
      </c>
      <c r="J837" t="s">
        <v>18</v>
      </c>
      <c r="K837" cm="1">
        <f t="array" aca="1" ref="K837" ca="1">_xlfn.IFS(EmployeeData[[#This Row],[Status]]="Active",_xlfn.DAYS(TODAY(),EmployeeData[[#This Row],[Join Date]]),EmployeeData[[#This Row],[Status]]="Exited",_xlfn.DAYS(EmployeeData[[#This Row],[Exit Date]],EmployeeData[[#This Row],[Join Date]]))</f>
        <v>2454</v>
      </c>
      <c r="L837" cm="1">
        <f t="array" aca="1" ref="L837" ca="1">_xlfn.IFS(EmployeeData[[#This Row],[Status]]="Exited",DATEDIF(EmployeeData[[#This Row],[Join Date]], EmployeeData[[#This Row],[Exit Date]], "Y"),EmployeeData[[#This Row],[Status]]="Active",DATEDIF(EmployeeData[[#This Row],[Join Date]], TODAY(), "Y"))</f>
        <v>6</v>
      </c>
      <c r="Q837" t="str" cm="1">
        <f t="array" aca="1" ref="Q8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8 months 19 days</v>
      </c>
    </row>
    <row r="838" spans="1:17" x14ac:dyDescent="0.3">
      <c r="A838">
        <v>1837</v>
      </c>
      <c r="B838" t="s">
        <v>84</v>
      </c>
      <c r="C838" t="s">
        <v>10</v>
      </c>
      <c r="D838" t="s">
        <v>16</v>
      </c>
      <c r="E838">
        <v>57</v>
      </c>
      <c r="F838" t="str" cm="1">
        <f t="array" ref="F838">_xlfn.IFS(EmployeeData[[#This Row],[Age]]&lt;30,"20s",EmployeeData[[#This Row],[Age]]&lt;40,"30s",EmployeeData[[#This Row],[Age]]&lt;50,"40s",EmployeeData[[#This Row],[Age]]&lt;60,"50s",EmployeeData[[#This Row],[Age]]&gt;=60,"60s")</f>
        <v>50s</v>
      </c>
      <c r="G838" s="5">
        <v>44287</v>
      </c>
      <c r="H838" s="5">
        <v>44690</v>
      </c>
      <c r="I838" t="s">
        <v>31</v>
      </c>
      <c r="J838" t="s">
        <v>13</v>
      </c>
      <c r="K838" cm="1">
        <f t="array" aca="1" ref="K838" ca="1">_xlfn.IFS(EmployeeData[[#This Row],[Status]]="Active",_xlfn.DAYS(TODAY(),EmployeeData[[#This Row],[Join Date]]),EmployeeData[[#This Row],[Status]]="Exited",_xlfn.DAYS(EmployeeData[[#This Row],[Exit Date]],EmployeeData[[#This Row],[Join Date]]))</f>
        <v>403</v>
      </c>
      <c r="L838" cm="1">
        <f t="array" aca="1" ref="L838" ca="1">_xlfn.IFS(EmployeeData[[#This Row],[Status]]="Exited",DATEDIF(EmployeeData[[#This Row],[Join Date]], EmployeeData[[#This Row],[Exit Date]], "Y"),EmployeeData[[#This Row],[Status]]="Active",DATEDIF(EmployeeData[[#This Row],[Join Date]], TODAY(), "Y"))</f>
        <v>1</v>
      </c>
      <c r="Q838" t="str" cm="1">
        <f t="array" aca="1" ref="Q8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8 days</v>
      </c>
    </row>
    <row r="839" spans="1:17" x14ac:dyDescent="0.3">
      <c r="A839">
        <v>1838</v>
      </c>
      <c r="B839" t="s">
        <v>327</v>
      </c>
      <c r="C839" t="s">
        <v>15</v>
      </c>
      <c r="D839" t="s">
        <v>16</v>
      </c>
      <c r="E839">
        <v>58</v>
      </c>
      <c r="F839" t="str" cm="1">
        <f t="array" ref="F839">_xlfn.IFS(EmployeeData[[#This Row],[Age]]&lt;30,"20s",EmployeeData[[#This Row],[Age]]&lt;40,"30s",EmployeeData[[#This Row],[Age]]&lt;50,"40s",EmployeeData[[#This Row],[Age]]&lt;60,"50s",EmployeeData[[#This Row],[Age]]&gt;=60,"60s")</f>
        <v>50s</v>
      </c>
      <c r="G839" s="5">
        <v>44828</v>
      </c>
      <c r="H839" s="5">
        <v>45542</v>
      </c>
      <c r="I839" t="s">
        <v>52</v>
      </c>
      <c r="J839" t="s">
        <v>13</v>
      </c>
      <c r="K839" cm="1">
        <f t="array" aca="1" ref="K839" ca="1">_xlfn.IFS(EmployeeData[[#This Row],[Status]]="Active",_xlfn.DAYS(TODAY(),EmployeeData[[#This Row],[Join Date]]),EmployeeData[[#This Row],[Status]]="Exited",_xlfn.DAYS(EmployeeData[[#This Row],[Exit Date]],EmployeeData[[#This Row],[Join Date]]))</f>
        <v>714</v>
      </c>
      <c r="L839" cm="1">
        <f t="array" aca="1" ref="L839" ca="1">_xlfn.IFS(EmployeeData[[#This Row],[Status]]="Exited",DATEDIF(EmployeeData[[#This Row],[Join Date]], EmployeeData[[#This Row],[Exit Date]], "Y"),EmployeeData[[#This Row],[Status]]="Active",DATEDIF(EmployeeData[[#This Row],[Join Date]], TODAY(), "Y"))</f>
        <v>1</v>
      </c>
      <c r="Q839" t="str" cm="1">
        <f t="array" aca="1" ref="Q8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14 days</v>
      </c>
    </row>
    <row r="840" spans="1:17" x14ac:dyDescent="0.3">
      <c r="A840">
        <v>1839</v>
      </c>
      <c r="B840" t="s">
        <v>262</v>
      </c>
      <c r="C840" t="s">
        <v>23</v>
      </c>
      <c r="D840" t="s">
        <v>16</v>
      </c>
      <c r="E840">
        <v>43</v>
      </c>
      <c r="F840" t="str" cm="1">
        <f t="array" ref="F840">_xlfn.IFS(EmployeeData[[#This Row],[Age]]&lt;30,"20s",EmployeeData[[#This Row],[Age]]&lt;40,"30s",EmployeeData[[#This Row],[Age]]&lt;50,"40s",EmployeeData[[#This Row],[Age]]&lt;60,"50s",EmployeeData[[#This Row],[Age]]&gt;=60,"60s")</f>
        <v>40s</v>
      </c>
      <c r="G840" s="5">
        <v>43377</v>
      </c>
      <c r="I840" t="s">
        <v>17</v>
      </c>
      <c r="J840" t="s">
        <v>18</v>
      </c>
      <c r="K840" cm="1">
        <f t="array" aca="1" ref="K840" ca="1">_xlfn.IFS(EmployeeData[[#This Row],[Status]]="Active",_xlfn.DAYS(TODAY(),EmployeeData[[#This Row],[Join Date]]),EmployeeData[[#This Row],[Status]]="Exited",_xlfn.DAYS(EmployeeData[[#This Row],[Exit Date]],EmployeeData[[#This Row],[Join Date]]))</f>
        <v>2820</v>
      </c>
      <c r="L840" cm="1">
        <f t="array" aca="1" ref="L840" ca="1">_xlfn.IFS(EmployeeData[[#This Row],[Status]]="Exited",DATEDIF(EmployeeData[[#This Row],[Join Date]], EmployeeData[[#This Row],[Exit Date]], "Y"),EmployeeData[[#This Row],[Status]]="Active",DATEDIF(EmployeeData[[#This Row],[Join Date]], TODAY(), "Y"))</f>
        <v>7</v>
      </c>
      <c r="Q840" t="str" cm="1">
        <f t="array" aca="1" ref="Q8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20 days</v>
      </c>
    </row>
    <row r="841" spans="1:17" x14ac:dyDescent="0.3">
      <c r="A841">
        <v>1840</v>
      </c>
      <c r="B841" t="s">
        <v>1007</v>
      </c>
      <c r="C841" t="s">
        <v>46</v>
      </c>
      <c r="D841" t="s">
        <v>11</v>
      </c>
      <c r="E841">
        <v>51</v>
      </c>
      <c r="F841" t="str" cm="1">
        <f t="array" ref="F841">_xlfn.IFS(EmployeeData[[#This Row],[Age]]&lt;30,"20s",EmployeeData[[#This Row],[Age]]&lt;40,"30s",EmployeeData[[#This Row],[Age]]&lt;50,"40s",EmployeeData[[#This Row],[Age]]&lt;60,"50s",EmployeeData[[#This Row],[Age]]&gt;=60,"60s")</f>
        <v>50s</v>
      </c>
      <c r="G841" s="5">
        <v>45581</v>
      </c>
      <c r="H841" s="5">
        <v>45812</v>
      </c>
      <c r="I841" t="s">
        <v>65</v>
      </c>
      <c r="J841" t="s">
        <v>13</v>
      </c>
      <c r="K841" cm="1">
        <f t="array" aca="1" ref="K841" ca="1">_xlfn.IFS(EmployeeData[[#This Row],[Status]]="Active",_xlfn.DAYS(TODAY(),EmployeeData[[#This Row],[Join Date]]),EmployeeData[[#This Row],[Status]]="Exited",_xlfn.DAYS(EmployeeData[[#This Row],[Exit Date]],EmployeeData[[#This Row],[Join Date]]))</f>
        <v>231</v>
      </c>
      <c r="L841" cm="1">
        <f t="array" aca="1" ref="L841" ca="1">_xlfn.IFS(EmployeeData[[#This Row],[Status]]="Exited",DATEDIF(EmployeeData[[#This Row],[Join Date]], EmployeeData[[#This Row],[Exit Date]], "Y"),EmployeeData[[#This Row],[Status]]="Active",DATEDIF(EmployeeData[[#This Row],[Join Date]], TODAY(), "Y"))</f>
        <v>0</v>
      </c>
      <c r="Q841" t="str" cm="1">
        <f t="array" aca="1" ref="Q8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19 days</v>
      </c>
    </row>
    <row r="842" spans="1:17" x14ac:dyDescent="0.3">
      <c r="A842">
        <v>1841</v>
      </c>
      <c r="B842" t="s">
        <v>925</v>
      </c>
      <c r="C842" t="s">
        <v>15</v>
      </c>
      <c r="D842" t="s">
        <v>11</v>
      </c>
      <c r="E842">
        <v>26</v>
      </c>
      <c r="F842" t="str" cm="1">
        <f t="array" ref="F842">_xlfn.IFS(EmployeeData[[#This Row],[Age]]&lt;30,"20s",EmployeeData[[#This Row],[Age]]&lt;40,"30s",EmployeeData[[#This Row],[Age]]&lt;50,"40s",EmployeeData[[#This Row],[Age]]&lt;60,"50s",EmployeeData[[#This Row],[Age]]&gt;=60,"60s")</f>
        <v>20s</v>
      </c>
      <c r="G842" s="5">
        <v>45660</v>
      </c>
      <c r="I842" t="s">
        <v>17</v>
      </c>
      <c r="J842" t="s">
        <v>18</v>
      </c>
      <c r="K842" cm="1">
        <f t="array" aca="1" ref="K842" ca="1">_xlfn.IFS(EmployeeData[[#This Row],[Status]]="Active",_xlfn.DAYS(TODAY(),EmployeeData[[#This Row],[Join Date]]),EmployeeData[[#This Row],[Status]]="Exited",_xlfn.DAYS(EmployeeData[[#This Row],[Exit Date]],EmployeeData[[#This Row],[Join Date]]))</f>
        <v>537</v>
      </c>
      <c r="L842" cm="1">
        <f t="array" aca="1" ref="L842" ca="1">_xlfn.IFS(EmployeeData[[#This Row],[Status]]="Exited",DATEDIF(EmployeeData[[#This Row],[Join Date]], EmployeeData[[#This Row],[Exit Date]], "Y"),EmployeeData[[#This Row],[Status]]="Active",DATEDIF(EmployeeData[[#This Row],[Join Date]], TODAY(), "Y"))</f>
        <v>1</v>
      </c>
      <c r="Q842" t="str" cm="1">
        <f t="array" aca="1" ref="Q8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21 days</v>
      </c>
    </row>
    <row r="843" spans="1:17" x14ac:dyDescent="0.3">
      <c r="A843">
        <v>1842</v>
      </c>
      <c r="B843" t="s">
        <v>561</v>
      </c>
      <c r="C843" t="s">
        <v>10</v>
      </c>
      <c r="D843" t="s">
        <v>16</v>
      </c>
      <c r="E843">
        <v>49</v>
      </c>
      <c r="F843" t="str" cm="1">
        <f t="array" ref="F843">_xlfn.IFS(EmployeeData[[#This Row],[Age]]&lt;30,"20s",EmployeeData[[#This Row],[Age]]&lt;40,"30s",EmployeeData[[#This Row],[Age]]&lt;50,"40s",EmployeeData[[#This Row],[Age]]&lt;60,"50s",EmployeeData[[#This Row],[Age]]&gt;=60,"60s")</f>
        <v>40s</v>
      </c>
      <c r="G843" s="5">
        <v>44237</v>
      </c>
      <c r="I843" t="s">
        <v>17</v>
      </c>
      <c r="J843" t="s">
        <v>18</v>
      </c>
      <c r="K843" cm="1">
        <f t="array" aca="1" ref="K843" ca="1">_xlfn.IFS(EmployeeData[[#This Row],[Status]]="Active",_xlfn.DAYS(TODAY(),EmployeeData[[#This Row],[Join Date]]),EmployeeData[[#This Row],[Status]]="Exited",_xlfn.DAYS(EmployeeData[[#This Row],[Exit Date]],EmployeeData[[#This Row],[Join Date]]))</f>
        <v>1960</v>
      </c>
      <c r="L843" cm="1">
        <f t="array" aca="1" ref="L843" ca="1">_xlfn.IFS(EmployeeData[[#This Row],[Status]]="Exited",DATEDIF(EmployeeData[[#This Row],[Join Date]], EmployeeData[[#This Row],[Exit Date]], "Y"),EmployeeData[[#This Row],[Status]]="Active",DATEDIF(EmployeeData[[#This Row],[Join Date]], TODAY(), "Y"))</f>
        <v>5</v>
      </c>
      <c r="Q843" t="str" cm="1">
        <f t="array" aca="1" ref="Q8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14 days</v>
      </c>
    </row>
    <row r="844" spans="1:17" x14ac:dyDescent="0.3">
      <c r="A844">
        <v>1843</v>
      </c>
      <c r="B844" t="s">
        <v>971</v>
      </c>
      <c r="C844" t="s">
        <v>23</v>
      </c>
      <c r="D844" t="s">
        <v>16</v>
      </c>
      <c r="E844">
        <v>56</v>
      </c>
      <c r="F844" t="str" cm="1">
        <f t="array" ref="F844">_xlfn.IFS(EmployeeData[[#This Row],[Age]]&lt;30,"20s",EmployeeData[[#This Row],[Age]]&lt;40,"30s",EmployeeData[[#This Row],[Age]]&lt;50,"40s",EmployeeData[[#This Row],[Age]]&lt;60,"50s",EmployeeData[[#This Row],[Age]]&gt;=60,"60s")</f>
        <v>50s</v>
      </c>
      <c r="G844" s="5">
        <v>43449</v>
      </c>
      <c r="H844" s="5">
        <v>43755</v>
      </c>
      <c r="I844" t="s">
        <v>21</v>
      </c>
      <c r="J844" t="s">
        <v>13</v>
      </c>
      <c r="K844" cm="1">
        <f t="array" aca="1" ref="K844" ca="1">_xlfn.IFS(EmployeeData[[#This Row],[Status]]="Active",_xlfn.DAYS(TODAY(),EmployeeData[[#This Row],[Join Date]]),EmployeeData[[#This Row],[Status]]="Exited",_xlfn.DAYS(EmployeeData[[#This Row],[Exit Date]],EmployeeData[[#This Row],[Join Date]]))</f>
        <v>306</v>
      </c>
      <c r="L844" cm="1">
        <f t="array" aca="1" ref="L844" ca="1">_xlfn.IFS(EmployeeData[[#This Row],[Status]]="Exited",DATEDIF(EmployeeData[[#This Row],[Join Date]], EmployeeData[[#This Row],[Exit Date]], "Y"),EmployeeData[[#This Row],[Status]]="Active",DATEDIF(EmployeeData[[#This Row],[Join Date]], TODAY(), "Y"))</f>
        <v>0</v>
      </c>
      <c r="Q844" t="str" cm="1">
        <f t="array" aca="1" ref="Q8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2 days</v>
      </c>
    </row>
    <row r="845" spans="1:17" x14ac:dyDescent="0.3">
      <c r="A845">
        <v>1844</v>
      </c>
      <c r="B845" t="s">
        <v>1070</v>
      </c>
      <c r="C845" t="s">
        <v>23</v>
      </c>
      <c r="D845" t="s">
        <v>16</v>
      </c>
      <c r="E845">
        <v>55</v>
      </c>
      <c r="F845" t="str" cm="1">
        <f t="array" ref="F845">_xlfn.IFS(EmployeeData[[#This Row],[Age]]&lt;30,"20s",EmployeeData[[#This Row],[Age]]&lt;40,"30s",EmployeeData[[#This Row],[Age]]&lt;50,"40s",EmployeeData[[#This Row],[Age]]&lt;60,"50s",EmployeeData[[#This Row],[Age]]&gt;=60,"60s")</f>
        <v>50s</v>
      </c>
      <c r="G845" s="5">
        <v>43837</v>
      </c>
      <c r="I845" t="s">
        <v>17</v>
      </c>
      <c r="J845" t="s">
        <v>18</v>
      </c>
      <c r="K845" cm="1">
        <f t="array" aca="1" ref="K845" ca="1">_xlfn.IFS(EmployeeData[[#This Row],[Status]]="Active",_xlfn.DAYS(TODAY(),EmployeeData[[#This Row],[Join Date]]),EmployeeData[[#This Row],[Status]]="Exited",_xlfn.DAYS(EmployeeData[[#This Row],[Exit Date]],EmployeeData[[#This Row],[Join Date]]))</f>
        <v>2360</v>
      </c>
      <c r="L845" cm="1">
        <f t="array" aca="1" ref="L845" ca="1">_xlfn.IFS(EmployeeData[[#This Row],[Status]]="Exited",DATEDIF(EmployeeData[[#This Row],[Join Date]], EmployeeData[[#This Row],[Exit Date]], "Y"),EmployeeData[[#This Row],[Status]]="Active",DATEDIF(EmployeeData[[#This Row],[Join Date]], TODAY(), "Y"))</f>
        <v>6</v>
      </c>
      <c r="Q845" t="str" cm="1">
        <f t="array" aca="1" ref="Q8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17 days</v>
      </c>
    </row>
    <row r="846" spans="1:17" x14ac:dyDescent="0.3">
      <c r="A846">
        <v>1845</v>
      </c>
      <c r="B846" t="s">
        <v>927</v>
      </c>
      <c r="C846" t="s">
        <v>15</v>
      </c>
      <c r="D846" t="s">
        <v>24</v>
      </c>
      <c r="E846">
        <v>41</v>
      </c>
      <c r="F846" t="str" cm="1">
        <f t="array" ref="F846">_xlfn.IFS(EmployeeData[[#This Row],[Age]]&lt;30,"20s",EmployeeData[[#This Row],[Age]]&lt;40,"30s",EmployeeData[[#This Row],[Age]]&lt;50,"40s",EmployeeData[[#This Row],[Age]]&lt;60,"50s",EmployeeData[[#This Row],[Age]]&gt;=60,"60s")</f>
        <v>40s</v>
      </c>
      <c r="G846" s="5">
        <v>44746</v>
      </c>
      <c r="I846" t="s">
        <v>17</v>
      </c>
      <c r="J846" t="s">
        <v>18</v>
      </c>
      <c r="K846" cm="1">
        <f t="array" aca="1" ref="K846" ca="1">_xlfn.IFS(EmployeeData[[#This Row],[Status]]="Active",_xlfn.DAYS(TODAY(),EmployeeData[[#This Row],[Join Date]]),EmployeeData[[#This Row],[Status]]="Exited",_xlfn.DAYS(EmployeeData[[#This Row],[Exit Date]],EmployeeData[[#This Row],[Join Date]]))</f>
        <v>1451</v>
      </c>
      <c r="L846" cm="1">
        <f t="array" aca="1" ref="L846" ca="1">_xlfn.IFS(EmployeeData[[#This Row],[Status]]="Exited",DATEDIF(EmployeeData[[#This Row],[Join Date]], EmployeeData[[#This Row],[Exit Date]], "Y"),EmployeeData[[#This Row],[Status]]="Active",DATEDIF(EmployeeData[[#This Row],[Join Date]], TODAY(), "Y"))</f>
        <v>3</v>
      </c>
      <c r="Q846" t="str" cm="1">
        <f t="array" aca="1" ref="Q8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20 days</v>
      </c>
    </row>
    <row r="847" spans="1:17" x14ac:dyDescent="0.3">
      <c r="A847">
        <v>1846</v>
      </c>
      <c r="B847" t="s">
        <v>928</v>
      </c>
      <c r="C847" t="s">
        <v>10</v>
      </c>
      <c r="D847" t="s">
        <v>11</v>
      </c>
      <c r="E847">
        <v>41</v>
      </c>
      <c r="F847" t="str" cm="1">
        <f t="array" ref="F847">_xlfn.IFS(EmployeeData[[#This Row],[Age]]&lt;30,"20s",EmployeeData[[#This Row],[Age]]&lt;40,"30s",EmployeeData[[#This Row],[Age]]&lt;50,"40s",EmployeeData[[#This Row],[Age]]&lt;60,"50s",EmployeeData[[#This Row],[Age]]&gt;=60,"60s")</f>
        <v>40s</v>
      </c>
      <c r="G847" s="5">
        <v>44665</v>
      </c>
      <c r="H847" s="5">
        <v>44989</v>
      </c>
      <c r="I847" t="s">
        <v>21</v>
      </c>
      <c r="J847" t="s">
        <v>13</v>
      </c>
      <c r="K847" cm="1">
        <f t="array" aca="1" ref="K847" ca="1">_xlfn.IFS(EmployeeData[[#This Row],[Status]]="Active",_xlfn.DAYS(TODAY(),EmployeeData[[#This Row],[Join Date]]),EmployeeData[[#This Row],[Status]]="Exited",_xlfn.DAYS(EmployeeData[[#This Row],[Exit Date]],EmployeeData[[#This Row],[Join Date]]))</f>
        <v>324</v>
      </c>
      <c r="L847" cm="1">
        <f t="array" aca="1" ref="L847" ca="1">_xlfn.IFS(EmployeeData[[#This Row],[Status]]="Exited",DATEDIF(EmployeeData[[#This Row],[Join Date]], EmployeeData[[#This Row],[Exit Date]], "Y"),EmployeeData[[#This Row],[Status]]="Active",DATEDIF(EmployeeData[[#This Row],[Join Date]], TODAY(), "Y"))</f>
        <v>0</v>
      </c>
      <c r="Q847" t="str" cm="1">
        <f t="array" aca="1" ref="Q8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18 days</v>
      </c>
    </row>
    <row r="848" spans="1:17" x14ac:dyDescent="0.3">
      <c r="A848">
        <v>1847</v>
      </c>
      <c r="B848" t="s">
        <v>209</v>
      </c>
      <c r="C848" t="s">
        <v>10</v>
      </c>
      <c r="D848" t="s">
        <v>16</v>
      </c>
      <c r="E848">
        <v>40</v>
      </c>
      <c r="F848" t="str" cm="1">
        <f t="array" ref="F848">_xlfn.IFS(EmployeeData[[#This Row],[Age]]&lt;30,"20s",EmployeeData[[#This Row],[Age]]&lt;40,"30s",EmployeeData[[#This Row],[Age]]&lt;50,"40s",EmployeeData[[#This Row],[Age]]&lt;60,"50s",EmployeeData[[#This Row],[Age]]&gt;=60,"60s")</f>
        <v>40s</v>
      </c>
      <c r="G848" s="5">
        <v>44769</v>
      </c>
      <c r="I848" t="s">
        <v>17</v>
      </c>
      <c r="J848" t="s">
        <v>18</v>
      </c>
      <c r="K848" cm="1">
        <f t="array" aca="1" ref="K848" ca="1">_xlfn.IFS(EmployeeData[[#This Row],[Status]]="Active",_xlfn.DAYS(TODAY(),EmployeeData[[#This Row],[Join Date]]),EmployeeData[[#This Row],[Status]]="Exited",_xlfn.DAYS(EmployeeData[[#This Row],[Exit Date]],EmployeeData[[#This Row],[Join Date]]))</f>
        <v>1428</v>
      </c>
      <c r="L848" cm="1">
        <f t="array" aca="1" ref="L848" ca="1">_xlfn.IFS(EmployeeData[[#This Row],[Status]]="Exited",DATEDIF(EmployeeData[[#This Row],[Join Date]], EmployeeData[[#This Row],[Exit Date]], "Y"),EmployeeData[[#This Row],[Status]]="Active",DATEDIF(EmployeeData[[#This Row],[Join Date]], TODAY(), "Y"))</f>
        <v>3</v>
      </c>
      <c r="Q848" t="str" cm="1">
        <f t="array" aca="1" ref="Q8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28 days</v>
      </c>
    </row>
    <row r="849" spans="1:17" x14ac:dyDescent="0.3">
      <c r="A849">
        <v>1848</v>
      </c>
      <c r="B849" t="s">
        <v>48</v>
      </c>
      <c r="C849" t="s">
        <v>15</v>
      </c>
      <c r="D849" t="s">
        <v>11</v>
      </c>
      <c r="E849">
        <v>40</v>
      </c>
      <c r="F849" t="str" cm="1">
        <f t="array" ref="F849">_xlfn.IFS(EmployeeData[[#This Row],[Age]]&lt;30,"20s",EmployeeData[[#This Row],[Age]]&lt;40,"30s",EmployeeData[[#This Row],[Age]]&lt;50,"40s",EmployeeData[[#This Row],[Age]]&lt;60,"50s",EmployeeData[[#This Row],[Age]]&gt;=60,"60s")</f>
        <v>40s</v>
      </c>
      <c r="G849" s="5">
        <v>44698</v>
      </c>
      <c r="H849" s="5">
        <v>45079</v>
      </c>
      <c r="I849" t="s">
        <v>12</v>
      </c>
      <c r="J849" t="s">
        <v>13</v>
      </c>
      <c r="K849" cm="1">
        <f t="array" aca="1" ref="K849" ca="1">_xlfn.IFS(EmployeeData[[#This Row],[Status]]="Active",_xlfn.DAYS(TODAY(),EmployeeData[[#This Row],[Join Date]]),EmployeeData[[#This Row],[Status]]="Exited",_xlfn.DAYS(EmployeeData[[#This Row],[Exit Date]],EmployeeData[[#This Row],[Join Date]]))</f>
        <v>381</v>
      </c>
      <c r="L849" cm="1">
        <f t="array" aca="1" ref="L849" ca="1">_xlfn.IFS(EmployeeData[[#This Row],[Status]]="Exited",DATEDIF(EmployeeData[[#This Row],[Join Date]], EmployeeData[[#This Row],[Exit Date]], "Y"),EmployeeData[[#This Row],[Status]]="Active",DATEDIF(EmployeeData[[#This Row],[Join Date]], TODAY(), "Y"))</f>
        <v>1</v>
      </c>
      <c r="Q849" t="str" cm="1">
        <f t="array" aca="1" ref="Q8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16 days</v>
      </c>
    </row>
    <row r="850" spans="1:17" x14ac:dyDescent="0.3">
      <c r="A850">
        <v>1849</v>
      </c>
      <c r="B850" t="s">
        <v>986</v>
      </c>
      <c r="C850" t="s">
        <v>15</v>
      </c>
      <c r="D850" t="s">
        <v>16</v>
      </c>
      <c r="E850">
        <v>58</v>
      </c>
      <c r="F850" t="str" cm="1">
        <f t="array" ref="F850">_xlfn.IFS(EmployeeData[[#This Row],[Age]]&lt;30,"20s",EmployeeData[[#This Row],[Age]]&lt;40,"30s",EmployeeData[[#This Row],[Age]]&lt;50,"40s",EmployeeData[[#This Row],[Age]]&lt;60,"50s",EmployeeData[[#This Row],[Age]]&gt;=60,"60s")</f>
        <v>50s</v>
      </c>
      <c r="G850" s="5">
        <v>44069</v>
      </c>
      <c r="I850" t="s">
        <v>17</v>
      </c>
      <c r="J850" t="s">
        <v>18</v>
      </c>
      <c r="K850" cm="1">
        <f t="array" aca="1" ref="K850" ca="1">_xlfn.IFS(EmployeeData[[#This Row],[Status]]="Active",_xlfn.DAYS(TODAY(),EmployeeData[[#This Row],[Join Date]]),EmployeeData[[#This Row],[Status]]="Exited",_xlfn.DAYS(EmployeeData[[#This Row],[Exit Date]],EmployeeData[[#This Row],[Join Date]]))</f>
        <v>2128</v>
      </c>
      <c r="L850" cm="1">
        <f t="array" aca="1" ref="L850" ca="1">_xlfn.IFS(EmployeeData[[#This Row],[Status]]="Exited",DATEDIF(EmployeeData[[#This Row],[Join Date]], EmployeeData[[#This Row],[Exit Date]], "Y"),EmployeeData[[#This Row],[Status]]="Active",DATEDIF(EmployeeData[[#This Row],[Join Date]], TODAY(), "Y"))</f>
        <v>5</v>
      </c>
      <c r="Q850" t="str" cm="1">
        <f t="array" aca="1" ref="Q8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29 days</v>
      </c>
    </row>
    <row r="851" spans="1:17" x14ac:dyDescent="0.3">
      <c r="A851">
        <v>1850</v>
      </c>
      <c r="B851" t="s">
        <v>211</v>
      </c>
      <c r="C851" t="s">
        <v>10</v>
      </c>
      <c r="D851" t="s">
        <v>16</v>
      </c>
      <c r="E851">
        <v>56</v>
      </c>
      <c r="F851" t="str" cm="1">
        <f t="array" ref="F851">_xlfn.IFS(EmployeeData[[#This Row],[Age]]&lt;30,"20s",EmployeeData[[#This Row],[Age]]&lt;40,"30s",EmployeeData[[#This Row],[Age]]&lt;50,"40s",EmployeeData[[#This Row],[Age]]&lt;60,"50s",EmployeeData[[#This Row],[Age]]&gt;=60,"60s")</f>
        <v>50s</v>
      </c>
      <c r="G851" s="5">
        <v>44768</v>
      </c>
      <c r="H851" s="5">
        <v>44917</v>
      </c>
      <c r="I851" t="s">
        <v>12</v>
      </c>
      <c r="J851" t="s">
        <v>13</v>
      </c>
      <c r="K851" cm="1">
        <f t="array" aca="1" ref="K851" ca="1">_xlfn.IFS(EmployeeData[[#This Row],[Status]]="Active",_xlfn.DAYS(TODAY(),EmployeeData[[#This Row],[Join Date]]),EmployeeData[[#This Row],[Status]]="Exited",_xlfn.DAYS(EmployeeData[[#This Row],[Exit Date]],EmployeeData[[#This Row],[Join Date]]))</f>
        <v>149</v>
      </c>
      <c r="L851" cm="1">
        <f t="array" aca="1" ref="L851" ca="1">_xlfn.IFS(EmployeeData[[#This Row],[Status]]="Exited",DATEDIF(EmployeeData[[#This Row],[Join Date]], EmployeeData[[#This Row],[Exit Date]], "Y"),EmployeeData[[#This Row],[Status]]="Active",DATEDIF(EmployeeData[[#This Row],[Join Date]], TODAY(), "Y"))</f>
        <v>0</v>
      </c>
      <c r="Q851" t="str" cm="1">
        <f t="array" aca="1" ref="Q8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26 days</v>
      </c>
    </row>
    <row r="852" spans="1:17" x14ac:dyDescent="0.3">
      <c r="A852">
        <v>1851</v>
      </c>
      <c r="B852" t="s">
        <v>675</v>
      </c>
      <c r="C852" t="s">
        <v>10</v>
      </c>
      <c r="D852" t="s">
        <v>24</v>
      </c>
      <c r="E852">
        <v>29</v>
      </c>
      <c r="F852" t="str" cm="1">
        <f t="array" ref="F852">_xlfn.IFS(EmployeeData[[#This Row],[Age]]&lt;30,"20s",EmployeeData[[#This Row],[Age]]&lt;40,"30s",EmployeeData[[#This Row],[Age]]&lt;50,"40s",EmployeeData[[#This Row],[Age]]&lt;60,"50s",EmployeeData[[#This Row],[Age]]&gt;=60,"60s")</f>
        <v>20s</v>
      </c>
      <c r="G852" s="5">
        <v>44348</v>
      </c>
      <c r="I852" t="s">
        <v>17</v>
      </c>
      <c r="J852" t="s">
        <v>18</v>
      </c>
      <c r="K852" cm="1">
        <f t="array" aca="1" ref="K852" ca="1">_xlfn.IFS(EmployeeData[[#This Row],[Status]]="Active",_xlfn.DAYS(TODAY(),EmployeeData[[#This Row],[Join Date]]),EmployeeData[[#This Row],[Status]]="Exited",_xlfn.DAYS(EmployeeData[[#This Row],[Exit Date]],EmployeeData[[#This Row],[Join Date]]))</f>
        <v>1849</v>
      </c>
      <c r="L852" cm="1">
        <f t="array" aca="1" ref="L852" ca="1">_xlfn.IFS(EmployeeData[[#This Row],[Status]]="Exited",DATEDIF(EmployeeData[[#This Row],[Join Date]], EmployeeData[[#This Row],[Exit Date]], "Y"),EmployeeData[[#This Row],[Status]]="Active",DATEDIF(EmployeeData[[#This Row],[Join Date]], TODAY(), "Y"))</f>
        <v>5</v>
      </c>
      <c r="Q852" t="str" cm="1">
        <f t="array" aca="1" ref="Q8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23 days</v>
      </c>
    </row>
    <row r="853" spans="1:17" x14ac:dyDescent="0.3">
      <c r="A853">
        <v>1852</v>
      </c>
      <c r="B853" t="s">
        <v>419</v>
      </c>
      <c r="C853" t="s">
        <v>23</v>
      </c>
      <c r="D853" t="s">
        <v>11</v>
      </c>
      <c r="E853">
        <v>30</v>
      </c>
      <c r="F853" t="str" cm="1">
        <f t="array" ref="F853">_xlfn.IFS(EmployeeData[[#This Row],[Age]]&lt;30,"20s",EmployeeData[[#This Row],[Age]]&lt;40,"30s",EmployeeData[[#This Row],[Age]]&lt;50,"40s",EmployeeData[[#This Row],[Age]]&lt;60,"50s",EmployeeData[[#This Row],[Age]]&gt;=60,"60s")</f>
        <v>30s</v>
      </c>
      <c r="G853" s="5">
        <v>44630</v>
      </c>
      <c r="I853" t="s">
        <v>17</v>
      </c>
      <c r="J853" t="s">
        <v>18</v>
      </c>
      <c r="K853" cm="1">
        <f t="array" aca="1" ref="K853" ca="1">_xlfn.IFS(EmployeeData[[#This Row],[Status]]="Active",_xlfn.DAYS(TODAY(),EmployeeData[[#This Row],[Join Date]]),EmployeeData[[#This Row],[Status]]="Exited",_xlfn.DAYS(EmployeeData[[#This Row],[Exit Date]],EmployeeData[[#This Row],[Join Date]]))</f>
        <v>1567</v>
      </c>
      <c r="L853" cm="1">
        <f t="array" aca="1" ref="L853" ca="1">_xlfn.IFS(EmployeeData[[#This Row],[Status]]="Exited",DATEDIF(EmployeeData[[#This Row],[Join Date]], EmployeeData[[#This Row],[Exit Date]], "Y"),EmployeeData[[#This Row],[Status]]="Active",DATEDIF(EmployeeData[[#This Row],[Join Date]], TODAY(), "Y"))</f>
        <v>4</v>
      </c>
      <c r="Q853" t="str" cm="1">
        <f t="array" aca="1" ref="Q8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14 days</v>
      </c>
    </row>
    <row r="854" spans="1:17" x14ac:dyDescent="0.3">
      <c r="A854">
        <v>1853</v>
      </c>
      <c r="B854" t="s">
        <v>342</v>
      </c>
      <c r="C854" t="s">
        <v>46</v>
      </c>
      <c r="D854" t="s">
        <v>24</v>
      </c>
      <c r="E854">
        <v>23</v>
      </c>
      <c r="F854" t="str" cm="1">
        <f t="array" ref="F854">_xlfn.IFS(EmployeeData[[#This Row],[Age]]&lt;30,"20s",EmployeeData[[#This Row],[Age]]&lt;40,"30s",EmployeeData[[#This Row],[Age]]&lt;50,"40s",EmployeeData[[#This Row],[Age]]&lt;60,"50s",EmployeeData[[#This Row],[Age]]&gt;=60,"60s")</f>
        <v>20s</v>
      </c>
      <c r="G854" s="5">
        <v>43105</v>
      </c>
      <c r="I854" t="s">
        <v>17</v>
      </c>
      <c r="J854" t="s">
        <v>18</v>
      </c>
      <c r="K854" cm="1">
        <f t="array" aca="1" ref="K854" ca="1">_xlfn.IFS(EmployeeData[[#This Row],[Status]]="Active",_xlfn.DAYS(TODAY(),EmployeeData[[#This Row],[Join Date]]),EmployeeData[[#This Row],[Status]]="Exited",_xlfn.DAYS(EmployeeData[[#This Row],[Exit Date]],EmployeeData[[#This Row],[Join Date]]))</f>
        <v>3092</v>
      </c>
      <c r="L854" cm="1">
        <f t="array" aca="1" ref="L854" ca="1">_xlfn.IFS(EmployeeData[[#This Row],[Status]]="Exited",DATEDIF(EmployeeData[[#This Row],[Join Date]], EmployeeData[[#This Row],[Exit Date]], "Y"),EmployeeData[[#This Row],[Status]]="Active",DATEDIF(EmployeeData[[#This Row],[Join Date]], TODAY(), "Y"))</f>
        <v>8</v>
      </c>
      <c r="Q854" t="str" cm="1">
        <f t="array" aca="1" ref="Q8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19 days</v>
      </c>
    </row>
    <row r="855" spans="1:17" x14ac:dyDescent="0.3">
      <c r="A855">
        <v>1854</v>
      </c>
      <c r="B855" t="s">
        <v>985</v>
      </c>
      <c r="C855" t="s">
        <v>15</v>
      </c>
      <c r="D855" t="s">
        <v>11</v>
      </c>
      <c r="E855">
        <v>51</v>
      </c>
      <c r="F855" t="str" cm="1">
        <f t="array" ref="F855">_xlfn.IFS(EmployeeData[[#This Row],[Age]]&lt;30,"20s",EmployeeData[[#This Row],[Age]]&lt;40,"30s",EmployeeData[[#This Row],[Age]]&lt;50,"40s",EmployeeData[[#This Row],[Age]]&lt;60,"50s",EmployeeData[[#This Row],[Age]]&gt;=60,"60s")</f>
        <v>50s</v>
      </c>
      <c r="G855" s="5">
        <v>44220</v>
      </c>
      <c r="I855" t="s">
        <v>17</v>
      </c>
      <c r="J855" t="s">
        <v>18</v>
      </c>
      <c r="K855" cm="1">
        <f t="array" aca="1" ref="K855" ca="1">_xlfn.IFS(EmployeeData[[#This Row],[Status]]="Active",_xlfn.DAYS(TODAY(),EmployeeData[[#This Row],[Join Date]]),EmployeeData[[#This Row],[Status]]="Exited",_xlfn.DAYS(EmployeeData[[#This Row],[Exit Date]],EmployeeData[[#This Row],[Join Date]]))</f>
        <v>1977</v>
      </c>
      <c r="L855" cm="1">
        <f t="array" aca="1" ref="L855" ca="1">_xlfn.IFS(EmployeeData[[#This Row],[Status]]="Exited",DATEDIF(EmployeeData[[#This Row],[Join Date]], EmployeeData[[#This Row],[Exit Date]], "Y"),EmployeeData[[#This Row],[Status]]="Active",DATEDIF(EmployeeData[[#This Row],[Join Date]], TODAY(), "Y"))</f>
        <v>5</v>
      </c>
      <c r="Q855" t="str" cm="1">
        <f t="array" aca="1" ref="Q8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0 days</v>
      </c>
    </row>
    <row r="856" spans="1:17" x14ac:dyDescent="0.3">
      <c r="A856">
        <v>1855</v>
      </c>
      <c r="B856" t="s">
        <v>338</v>
      </c>
      <c r="C856" t="s">
        <v>15</v>
      </c>
      <c r="D856" t="s">
        <v>11</v>
      </c>
      <c r="E856">
        <v>62</v>
      </c>
      <c r="F856" t="str" cm="1">
        <f t="array" ref="F856">_xlfn.IFS(EmployeeData[[#This Row],[Age]]&lt;30,"20s",EmployeeData[[#This Row],[Age]]&lt;40,"30s",EmployeeData[[#This Row],[Age]]&lt;50,"40s",EmployeeData[[#This Row],[Age]]&lt;60,"50s",EmployeeData[[#This Row],[Age]]&gt;=60,"60s")</f>
        <v>60s</v>
      </c>
      <c r="G856" s="5">
        <v>43287</v>
      </c>
      <c r="H856" s="5">
        <v>43663</v>
      </c>
      <c r="I856" t="s">
        <v>26</v>
      </c>
      <c r="J856" t="s">
        <v>13</v>
      </c>
      <c r="K856" cm="1">
        <f t="array" aca="1" ref="K856" ca="1">_xlfn.IFS(EmployeeData[[#This Row],[Status]]="Active",_xlfn.DAYS(TODAY(),EmployeeData[[#This Row],[Join Date]]),EmployeeData[[#This Row],[Status]]="Exited",_xlfn.DAYS(EmployeeData[[#This Row],[Exit Date]],EmployeeData[[#This Row],[Join Date]]))</f>
        <v>376</v>
      </c>
      <c r="L856" cm="1">
        <f t="array" aca="1" ref="L856" ca="1">_xlfn.IFS(EmployeeData[[#This Row],[Status]]="Exited",DATEDIF(EmployeeData[[#This Row],[Join Date]], EmployeeData[[#This Row],[Exit Date]], "Y"),EmployeeData[[#This Row],[Status]]="Active",DATEDIF(EmployeeData[[#This Row],[Join Date]], TODAY(), "Y"))</f>
        <v>1</v>
      </c>
      <c r="Q856" t="str" cm="1">
        <f t="array" aca="1" ref="Q8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11 days</v>
      </c>
    </row>
    <row r="857" spans="1:17" x14ac:dyDescent="0.3">
      <c r="A857">
        <v>1856</v>
      </c>
      <c r="B857" t="s">
        <v>563</v>
      </c>
      <c r="C857" t="s">
        <v>46</v>
      </c>
      <c r="D857" t="s">
        <v>11</v>
      </c>
      <c r="E857">
        <v>34</v>
      </c>
      <c r="F857" t="str" cm="1">
        <f t="array" ref="F857">_xlfn.IFS(EmployeeData[[#This Row],[Age]]&lt;30,"20s",EmployeeData[[#This Row],[Age]]&lt;40,"30s",EmployeeData[[#This Row],[Age]]&lt;50,"40s",EmployeeData[[#This Row],[Age]]&lt;60,"50s",EmployeeData[[#This Row],[Age]]&gt;=60,"60s")</f>
        <v>30s</v>
      </c>
      <c r="G857" s="5">
        <v>45601</v>
      </c>
      <c r="I857" t="s">
        <v>17</v>
      </c>
      <c r="J857" t="s">
        <v>18</v>
      </c>
      <c r="K857" cm="1">
        <f t="array" aca="1" ref="K857" ca="1">_xlfn.IFS(EmployeeData[[#This Row],[Status]]="Active",_xlfn.DAYS(TODAY(),EmployeeData[[#This Row],[Join Date]]),EmployeeData[[#This Row],[Status]]="Exited",_xlfn.DAYS(EmployeeData[[#This Row],[Exit Date]],EmployeeData[[#This Row],[Join Date]]))</f>
        <v>596</v>
      </c>
      <c r="L857" cm="1">
        <f t="array" aca="1" ref="L857" ca="1">_xlfn.IFS(EmployeeData[[#This Row],[Status]]="Exited",DATEDIF(EmployeeData[[#This Row],[Join Date]], EmployeeData[[#This Row],[Exit Date]], "Y"),EmployeeData[[#This Row],[Status]]="Active",DATEDIF(EmployeeData[[#This Row],[Join Date]], TODAY(), "Y"))</f>
        <v>1</v>
      </c>
      <c r="Q857" t="str" cm="1">
        <f t="array" aca="1" ref="Q8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19 days</v>
      </c>
    </row>
    <row r="858" spans="1:17" x14ac:dyDescent="0.3">
      <c r="A858">
        <v>1857</v>
      </c>
      <c r="B858" t="s">
        <v>567</v>
      </c>
      <c r="C858" t="s">
        <v>23</v>
      </c>
      <c r="D858" t="s">
        <v>11</v>
      </c>
      <c r="E858">
        <v>49</v>
      </c>
      <c r="F858" t="str" cm="1">
        <f t="array" ref="F858">_xlfn.IFS(EmployeeData[[#This Row],[Age]]&lt;30,"20s",EmployeeData[[#This Row],[Age]]&lt;40,"30s",EmployeeData[[#This Row],[Age]]&lt;50,"40s",EmployeeData[[#This Row],[Age]]&lt;60,"50s",EmployeeData[[#This Row],[Age]]&gt;=60,"60s")</f>
        <v>40s</v>
      </c>
      <c r="G858" s="5">
        <v>44219</v>
      </c>
      <c r="H858" s="5">
        <v>44967</v>
      </c>
      <c r="I858" t="s">
        <v>12</v>
      </c>
      <c r="J858" t="s">
        <v>13</v>
      </c>
      <c r="K858" cm="1">
        <f t="array" aca="1" ref="K858" ca="1">_xlfn.IFS(EmployeeData[[#This Row],[Status]]="Active",_xlfn.DAYS(TODAY(),EmployeeData[[#This Row],[Join Date]]),EmployeeData[[#This Row],[Status]]="Exited",_xlfn.DAYS(EmployeeData[[#This Row],[Exit Date]],EmployeeData[[#This Row],[Join Date]]))</f>
        <v>748</v>
      </c>
      <c r="L858" cm="1">
        <f t="array" aca="1" ref="L858" ca="1">_xlfn.IFS(EmployeeData[[#This Row],[Status]]="Exited",DATEDIF(EmployeeData[[#This Row],[Join Date]], EmployeeData[[#This Row],[Exit Date]], "Y"),EmployeeData[[#This Row],[Status]]="Active",DATEDIF(EmployeeData[[#This Row],[Join Date]], TODAY(), "Y"))</f>
        <v>2</v>
      </c>
      <c r="Q858" t="str" cm="1">
        <f t="array" aca="1" ref="Q8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18 days</v>
      </c>
    </row>
    <row r="859" spans="1:17" x14ac:dyDescent="0.3">
      <c r="A859">
        <v>1858</v>
      </c>
      <c r="B859" t="s">
        <v>781</v>
      </c>
      <c r="C859" t="s">
        <v>20</v>
      </c>
      <c r="D859" t="s">
        <v>16</v>
      </c>
      <c r="E859">
        <v>51</v>
      </c>
      <c r="F859" t="str" cm="1">
        <f t="array" ref="F859">_xlfn.IFS(EmployeeData[[#This Row],[Age]]&lt;30,"20s",EmployeeData[[#This Row],[Age]]&lt;40,"30s",EmployeeData[[#This Row],[Age]]&lt;50,"40s",EmployeeData[[#This Row],[Age]]&lt;60,"50s",EmployeeData[[#This Row],[Age]]&gt;=60,"60s")</f>
        <v>50s</v>
      </c>
      <c r="G859" s="5">
        <v>43118</v>
      </c>
      <c r="I859" t="s">
        <v>17</v>
      </c>
      <c r="J859" t="s">
        <v>18</v>
      </c>
      <c r="K859" cm="1">
        <f t="array" aca="1" ref="K859" ca="1">_xlfn.IFS(EmployeeData[[#This Row],[Status]]="Active",_xlfn.DAYS(TODAY(),EmployeeData[[#This Row],[Join Date]]),EmployeeData[[#This Row],[Status]]="Exited",_xlfn.DAYS(EmployeeData[[#This Row],[Exit Date]],EmployeeData[[#This Row],[Join Date]]))</f>
        <v>3079</v>
      </c>
      <c r="L859" cm="1">
        <f t="array" aca="1" ref="L859" ca="1">_xlfn.IFS(EmployeeData[[#This Row],[Status]]="Exited",DATEDIF(EmployeeData[[#This Row],[Join Date]], EmployeeData[[#This Row],[Exit Date]], "Y"),EmployeeData[[#This Row],[Status]]="Active",DATEDIF(EmployeeData[[#This Row],[Join Date]], TODAY(), "Y"))</f>
        <v>8</v>
      </c>
      <c r="Q859" t="str" cm="1">
        <f t="array" aca="1" ref="Q8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6 days</v>
      </c>
    </row>
    <row r="860" spans="1:17" x14ac:dyDescent="0.3">
      <c r="A860">
        <v>1859</v>
      </c>
      <c r="B860" t="s">
        <v>367</v>
      </c>
      <c r="C860" t="s">
        <v>20</v>
      </c>
      <c r="D860" t="s">
        <v>24</v>
      </c>
      <c r="E860">
        <v>25</v>
      </c>
      <c r="F860" t="str" cm="1">
        <f t="array" ref="F860">_xlfn.IFS(EmployeeData[[#This Row],[Age]]&lt;30,"20s",EmployeeData[[#This Row],[Age]]&lt;40,"30s",EmployeeData[[#This Row],[Age]]&lt;50,"40s",EmployeeData[[#This Row],[Age]]&lt;60,"50s",EmployeeData[[#This Row],[Age]]&gt;=60,"60s")</f>
        <v>20s</v>
      </c>
      <c r="G860" s="5">
        <v>45307</v>
      </c>
      <c r="H860" s="5">
        <v>46084</v>
      </c>
      <c r="I860" t="s">
        <v>12</v>
      </c>
      <c r="J860" t="s">
        <v>13</v>
      </c>
      <c r="K860" cm="1">
        <f t="array" aca="1" ref="K860" ca="1">_xlfn.IFS(EmployeeData[[#This Row],[Status]]="Active",_xlfn.DAYS(TODAY(),EmployeeData[[#This Row],[Join Date]]),EmployeeData[[#This Row],[Status]]="Exited",_xlfn.DAYS(EmployeeData[[#This Row],[Exit Date]],EmployeeData[[#This Row],[Join Date]]))</f>
        <v>777</v>
      </c>
      <c r="L860" cm="1">
        <f t="array" aca="1" ref="L860" ca="1">_xlfn.IFS(EmployeeData[[#This Row],[Status]]="Exited",DATEDIF(EmployeeData[[#This Row],[Join Date]], EmployeeData[[#This Row],[Exit Date]], "Y"),EmployeeData[[#This Row],[Status]]="Active",DATEDIF(EmployeeData[[#This Row],[Join Date]], TODAY(), "Y"))</f>
        <v>2</v>
      </c>
      <c r="Q860" t="str" cm="1">
        <f t="array" aca="1" ref="Q8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15 days</v>
      </c>
    </row>
    <row r="861" spans="1:17" x14ac:dyDescent="0.3">
      <c r="A861">
        <v>1860</v>
      </c>
      <c r="B861" t="s">
        <v>671</v>
      </c>
      <c r="C861" t="s">
        <v>10</v>
      </c>
      <c r="D861" t="s">
        <v>24</v>
      </c>
      <c r="E861">
        <v>45</v>
      </c>
      <c r="F861" t="str" cm="1">
        <f t="array" ref="F861">_xlfn.IFS(EmployeeData[[#This Row],[Age]]&lt;30,"20s",EmployeeData[[#This Row],[Age]]&lt;40,"30s",EmployeeData[[#This Row],[Age]]&lt;50,"40s",EmployeeData[[#This Row],[Age]]&lt;60,"50s",EmployeeData[[#This Row],[Age]]&gt;=60,"60s")</f>
        <v>40s</v>
      </c>
      <c r="G861" s="5">
        <v>43826</v>
      </c>
      <c r="I861" t="s">
        <v>17</v>
      </c>
      <c r="J861" t="s">
        <v>18</v>
      </c>
      <c r="K861" cm="1">
        <f t="array" aca="1" ref="K861" ca="1">_xlfn.IFS(EmployeeData[[#This Row],[Status]]="Active",_xlfn.DAYS(TODAY(),EmployeeData[[#This Row],[Join Date]]),EmployeeData[[#This Row],[Status]]="Exited",_xlfn.DAYS(EmployeeData[[#This Row],[Exit Date]],EmployeeData[[#This Row],[Join Date]]))</f>
        <v>2371</v>
      </c>
      <c r="L861" cm="1">
        <f t="array" aca="1" ref="L861" ca="1">_xlfn.IFS(EmployeeData[[#This Row],[Status]]="Exited",DATEDIF(EmployeeData[[#This Row],[Join Date]], EmployeeData[[#This Row],[Exit Date]], "Y"),EmployeeData[[#This Row],[Status]]="Active",DATEDIF(EmployeeData[[#This Row],[Join Date]], TODAY(), "Y"))</f>
        <v>6</v>
      </c>
      <c r="Q861" t="str" cm="1">
        <f t="array" aca="1" ref="Q8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28 days</v>
      </c>
    </row>
    <row r="862" spans="1:17" x14ac:dyDescent="0.3">
      <c r="A862">
        <v>1861</v>
      </c>
      <c r="B862" t="s">
        <v>268</v>
      </c>
      <c r="C862" t="s">
        <v>10</v>
      </c>
      <c r="D862" t="s">
        <v>16</v>
      </c>
      <c r="E862">
        <v>22</v>
      </c>
      <c r="F862" t="str" cm="1">
        <f t="array" ref="F862">_xlfn.IFS(EmployeeData[[#This Row],[Age]]&lt;30,"20s",EmployeeData[[#This Row],[Age]]&lt;40,"30s",EmployeeData[[#This Row],[Age]]&lt;50,"40s",EmployeeData[[#This Row],[Age]]&lt;60,"50s",EmployeeData[[#This Row],[Age]]&gt;=60,"60s")</f>
        <v>20s</v>
      </c>
      <c r="G862" s="5">
        <v>44252</v>
      </c>
      <c r="I862" t="s">
        <v>17</v>
      </c>
      <c r="J862" t="s">
        <v>18</v>
      </c>
      <c r="K862" cm="1">
        <f t="array" aca="1" ref="K862" ca="1">_xlfn.IFS(EmployeeData[[#This Row],[Status]]="Active",_xlfn.DAYS(TODAY(),EmployeeData[[#This Row],[Join Date]]),EmployeeData[[#This Row],[Status]]="Exited",_xlfn.DAYS(EmployeeData[[#This Row],[Exit Date]],EmployeeData[[#This Row],[Join Date]]))</f>
        <v>1945</v>
      </c>
      <c r="L862" cm="1">
        <f t="array" aca="1" ref="L862" ca="1">_xlfn.IFS(EmployeeData[[#This Row],[Status]]="Exited",DATEDIF(EmployeeData[[#This Row],[Join Date]], EmployeeData[[#This Row],[Exit Date]], "Y"),EmployeeData[[#This Row],[Status]]="Active",DATEDIF(EmployeeData[[#This Row],[Join Date]], TODAY(), "Y"))</f>
        <v>5</v>
      </c>
      <c r="Q862" t="str" cm="1">
        <f t="array" aca="1" ref="Q8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30 days</v>
      </c>
    </row>
    <row r="863" spans="1:17" x14ac:dyDescent="0.3">
      <c r="A863">
        <v>1862</v>
      </c>
      <c r="B863" t="s">
        <v>481</v>
      </c>
      <c r="C863" t="s">
        <v>33</v>
      </c>
      <c r="D863" t="s">
        <v>16</v>
      </c>
      <c r="E863">
        <v>52</v>
      </c>
      <c r="F863" t="str" cm="1">
        <f t="array" ref="F863">_xlfn.IFS(EmployeeData[[#This Row],[Age]]&lt;30,"20s",EmployeeData[[#This Row],[Age]]&lt;40,"30s",EmployeeData[[#This Row],[Age]]&lt;50,"40s",EmployeeData[[#This Row],[Age]]&lt;60,"50s",EmployeeData[[#This Row],[Age]]&gt;=60,"60s")</f>
        <v>50s</v>
      </c>
      <c r="G863" s="5">
        <v>44587</v>
      </c>
      <c r="H863" s="5">
        <v>45686</v>
      </c>
      <c r="I863" t="s">
        <v>52</v>
      </c>
      <c r="J863" t="s">
        <v>13</v>
      </c>
      <c r="K863" cm="1">
        <f t="array" aca="1" ref="K863" ca="1">_xlfn.IFS(EmployeeData[[#This Row],[Status]]="Active",_xlfn.DAYS(TODAY(),EmployeeData[[#This Row],[Join Date]]),EmployeeData[[#This Row],[Status]]="Exited",_xlfn.DAYS(EmployeeData[[#This Row],[Exit Date]],EmployeeData[[#This Row],[Join Date]]))</f>
        <v>1099</v>
      </c>
      <c r="L863" cm="1">
        <f t="array" aca="1" ref="L863" ca="1">_xlfn.IFS(EmployeeData[[#This Row],[Status]]="Exited",DATEDIF(EmployeeData[[#This Row],[Join Date]], EmployeeData[[#This Row],[Exit Date]], "Y"),EmployeeData[[#This Row],[Status]]="Active",DATEDIF(EmployeeData[[#This Row],[Join Date]], TODAY(), "Y"))</f>
        <v>3</v>
      </c>
      <c r="Q863" t="str" cm="1">
        <f t="array" aca="1" ref="Q8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3 days</v>
      </c>
    </row>
    <row r="864" spans="1:17" x14ac:dyDescent="0.3">
      <c r="A864">
        <v>1863</v>
      </c>
      <c r="B864" t="s">
        <v>811</v>
      </c>
      <c r="C864" t="s">
        <v>15</v>
      </c>
      <c r="D864" t="s">
        <v>16</v>
      </c>
      <c r="E864">
        <v>53</v>
      </c>
      <c r="F864" t="str" cm="1">
        <f t="array" ref="F864">_xlfn.IFS(EmployeeData[[#This Row],[Age]]&lt;30,"20s",EmployeeData[[#This Row],[Age]]&lt;40,"30s",EmployeeData[[#This Row],[Age]]&lt;50,"40s",EmployeeData[[#This Row],[Age]]&lt;60,"50s",EmployeeData[[#This Row],[Age]]&gt;=60,"60s")</f>
        <v>50s</v>
      </c>
      <c r="G864" s="5">
        <v>45124</v>
      </c>
      <c r="H864" s="5">
        <v>45412</v>
      </c>
      <c r="I864" t="s">
        <v>28</v>
      </c>
      <c r="J864" t="s">
        <v>13</v>
      </c>
      <c r="K864" cm="1">
        <f t="array" aca="1" ref="K864" ca="1">_xlfn.IFS(EmployeeData[[#This Row],[Status]]="Active",_xlfn.DAYS(TODAY(),EmployeeData[[#This Row],[Join Date]]),EmployeeData[[#This Row],[Status]]="Exited",_xlfn.DAYS(EmployeeData[[#This Row],[Exit Date]],EmployeeData[[#This Row],[Join Date]]))</f>
        <v>288</v>
      </c>
      <c r="L864" cm="1">
        <f t="array" aca="1" ref="L864" ca="1">_xlfn.IFS(EmployeeData[[#This Row],[Status]]="Exited",DATEDIF(EmployeeData[[#This Row],[Join Date]], EmployeeData[[#This Row],[Exit Date]], "Y"),EmployeeData[[#This Row],[Status]]="Active",DATEDIF(EmployeeData[[#This Row],[Join Date]], TODAY(), "Y"))</f>
        <v>0</v>
      </c>
      <c r="Q864" t="str" cm="1">
        <f t="array" aca="1" ref="Q8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13 days</v>
      </c>
    </row>
    <row r="865" spans="1:17" x14ac:dyDescent="0.3">
      <c r="A865">
        <v>1864</v>
      </c>
      <c r="B865" t="s">
        <v>536</v>
      </c>
      <c r="C865" t="s">
        <v>23</v>
      </c>
      <c r="D865" t="s">
        <v>16</v>
      </c>
      <c r="E865">
        <v>29</v>
      </c>
      <c r="F865" t="str" cm="1">
        <f t="array" ref="F865">_xlfn.IFS(EmployeeData[[#This Row],[Age]]&lt;30,"20s",EmployeeData[[#This Row],[Age]]&lt;40,"30s",EmployeeData[[#This Row],[Age]]&lt;50,"40s",EmployeeData[[#This Row],[Age]]&lt;60,"50s",EmployeeData[[#This Row],[Age]]&gt;=60,"60s")</f>
        <v>20s</v>
      </c>
      <c r="G865" s="5">
        <v>43367</v>
      </c>
      <c r="H865" s="5">
        <v>44390</v>
      </c>
      <c r="I865" t="s">
        <v>52</v>
      </c>
      <c r="J865" t="s">
        <v>13</v>
      </c>
      <c r="K865" cm="1">
        <f t="array" aca="1" ref="K865" ca="1">_xlfn.IFS(EmployeeData[[#This Row],[Status]]="Active",_xlfn.DAYS(TODAY(),EmployeeData[[#This Row],[Join Date]]),EmployeeData[[#This Row],[Status]]="Exited",_xlfn.DAYS(EmployeeData[[#This Row],[Exit Date]],EmployeeData[[#This Row],[Join Date]]))</f>
        <v>1023</v>
      </c>
      <c r="L865" cm="1">
        <f t="array" aca="1" ref="L865" ca="1">_xlfn.IFS(EmployeeData[[#This Row],[Status]]="Exited",DATEDIF(EmployeeData[[#This Row],[Join Date]], EmployeeData[[#This Row],[Exit Date]], "Y"),EmployeeData[[#This Row],[Status]]="Active",DATEDIF(EmployeeData[[#This Row],[Join Date]], TODAY(), "Y"))</f>
        <v>2</v>
      </c>
      <c r="Q865" t="str" cm="1">
        <f t="array" aca="1" ref="Q8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19 days</v>
      </c>
    </row>
    <row r="866" spans="1:17" x14ac:dyDescent="0.3">
      <c r="A866">
        <v>1865</v>
      </c>
      <c r="B866" t="s">
        <v>57</v>
      </c>
      <c r="C866" t="s">
        <v>15</v>
      </c>
      <c r="D866" t="s">
        <v>11</v>
      </c>
      <c r="E866">
        <v>55</v>
      </c>
      <c r="F866" t="str" cm="1">
        <f t="array" ref="F866">_xlfn.IFS(EmployeeData[[#This Row],[Age]]&lt;30,"20s",EmployeeData[[#This Row],[Age]]&lt;40,"30s",EmployeeData[[#This Row],[Age]]&lt;50,"40s",EmployeeData[[#This Row],[Age]]&lt;60,"50s",EmployeeData[[#This Row],[Age]]&gt;=60,"60s")</f>
        <v>50s</v>
      </c>
      <c r="G866" s="5">
        <v>45617</v>
      </c>
      <c r="H866" s="5">
        <v>45993</v>
      </c>
      <c r="I866" t="s">
        <v>52</v>
      </c>
      <c r="J866" t="s">
        <v>13</v>
      </c>
      <c r="K866" cm="1">
        <f t="array" aca="1" ref="K866" ca="1">_xlfn.IFS(EmployeeData[[#This Row],[Status]]="Active",_xlfn.DAYS(TODAY(),EmployeeData[[#This Row],[Join Date]]),EmployeeData[[#This Row],[Status]]="Exited",_xlfn.DAYS(EmployeeData[[#This Row],[Exit Date]],EmployeeData[[#This Row],[Join Date]]))</f>
        <v>376</v>
      </c>
      <c r="L866" cm="1">
        <f t="array" aca="1" ref="L866" ca="1">_xlfn.IFS(EmployeeData[[#This Row],[Status]]="Exited",DATEDIF(EmployeeData[[#This Row],[Join Date]], EmployeeData[[#This Row],[Exit Date]], "Y"),EmployeeData[[#This Row],[Status]]="Active",DATEDIF(EmployeeData[[#This Row],[Join Date]], TODAY(), "Y"))</f>
        <v>1</v>
      </c>
      <c r="Q866" t="str" cm="1">
        <f t="array" aca="1" ref="Q8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11 days</v>
      </c>
    </row>
    <row r="867" spans="1:17" x14ac:dyDescent="0.3">
      <c r="A867">
        <v>1866</v>
      </c>
      <c r="B867" t="s">
        <v>365</v>
      </c>
      <c r="C867" t="s">
        <v>46</v>
      </c>
      <c r="D867" t="s">
        <v>16</v>
      </c>
      <c r="E867">
        <v>41</v>
      </c>
      <c r="F867" t="str" cm="1">
        <f t="array" ref="F867">_xlfn.IFS(EmployeeData[[#This Row],[Age]]&lt;30,"20s",EmployeeData[[#This Row],[Age]]&lt;40,"30s",EmployeeData[[#This Row],[Age]]&lt;50,"40s",EmployeeData[[#This Row],[Age]]&lt;60,"50s",EmployeeData[[#This Row],[Age]]&gt;=60,"60s")</f>
        <v>40s</v>
      </c>
      <c r="G867" s="5">
        <v>44872</v>
      </c>
      <c r="I867" t="s">
        <v>17</v>
      </c>
      <c r="J867" t="s">
        <v>18</v>
      </c>
      <c r="K867" cm="1">
        <f t="array" aca="1" ref="K867" ca="1">_xlfn.IFS(EmployeeData[[#This Row],[Status]]="Active",_xlfn.DAYS(TODAY(),EmployeeData[[#This Row],[Join Date]]),EmployeeData[[#This Row],[Status]]="Exited",_xlfn.DAYS(EmployeeData[[#This Row],[Exit Date]],EmployeeData[[#This Row],[Join Date]]))</f>
        <v>1325</v>
      </c>
      <c r="L867" cm="1">
        <f t="array" aca="1" ref="L867" ca="1">_xlfn.IFS(EmployeeData[[#This Row],[Status]]="Exited",DATEDIF(EmployeeData[[#This Row],[Join Date]], EmployeeData[[#This Row],[Exit Date]], "Y"),EmployeeData[[#This Row],[Status]]="Active",DATEDIF(EmployeeData[[#This Row],[Join Date]], TODAY(), "Y"))</f>
        <v>3</v>
      </c>
      <c r="Q867" t="str" cm="1">
        <f t="array" aca="1" ref="Q8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17 days</v>
      </c>
    </row>
    <row r="868" spans="1:17" x14ac:dyDescent="0.3">
      <c r="A868">
        <v>1867</v>
      </c>
      <c r="B868" t="s">
        <v>906</v>
      </c>
      <c r="C868" t="s">
        <v>23</v>
      </c>
      <c r="D868" t="s">
        <v>24</v>
      </c>
      <c r="E868">
        <v>23</v>
      </c>
      <c r="F868" t="str" cm="1">
        <f t="array" ref="F868">_xlfn.IFS(EmployeeData[[#This Row],[Age]]&lt;30,"20s",EmployeeData[[#This Row],[Age]]&lt;40,"30s",EmployeeData[[#This Row],[Age]]&lt;50,"40s",EmployeeData[[#This Row],[Age]]&lt;60,"50s",EmployeeData[[#This Row],[Age]]&gt;=60,"60s")</f>
        <v>20s</v>
      </c>
      <c r="G868" s="5">
        <v>44020</v>
      </c>
      <c r="H868" s="5">
        <v>45830</v>
      </c>
      <c r="I868" t="s">
        <v>65</v>
      </c>
      <c r="J868" t="s">
        <v>13</v>
      </c>
      <c r="K868" cm="1">
        <f t="array" aca="1" ref="K868" ca="1">_xlfn.IFS(EmployeeData[[#This Row],[Status]]="Active",_xlfn.DAYS(TODAY(),EmployeeData[[#This Row],[Join Date]]),EmployeeData[[#This Row],[Status]]="Exited",_xlfn.DAYS(EmployeeData[[#This Row],[Exit Date]],EmployeeData[[#This Row],[Join Date]]))</f>
        <v>1810</v>
      </c>
      <c r="L868" cm="1">
        <f t="array" aca="1" ref="L868" ca="1">_xlfn.IFS(EmployeeData[[#This Row],[Status]]="Exited",DATEDIF(EmployeeData[[#This Row],[Join Date]], EmployeeData[[#This Row],[Exit Date]], "Y"),EmployeeData[[#This Row],[Status]]="Active",DATEDIF(EmployeeData[[#This Row],[Join Date]], TODAY(), "Y"))</f>
        <v>4</v>
      </c>
      <c r="Q868" t="str" cm="1">
        <f t="array" aca="1" ref="Q8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11 months 14 days</v>
      </c>
    </row>
    <row r="869" spans="1:17" x14ac:dyDescent="0.3">
      <c r="A869">
        <v>1868</v>
      </c>
      <c r="B869" t="s">
        <v>1075</v>
      </c>
      <c r="C869" t="s">
        <v>15</v>
      </c>
      <c r="D869" t="s">
        <v>24</v>
      </c>
      <c r="E869">
        <v>22</v>
      </c>
      <c r="F869" t="str" cm="1">
        <f t="array" ref="F869">_xlfn.IFS(EmployeeData[[#This Row],[Age]]&lt;30,"20s",EmployeeData[[#This Row],[Age]]&lt;40,"30s",EmployeeData[[#This Row],[Age]]&lt;50,"40s",EmployeeData[[#This Row],[Age]]&lt;60,"50s",EmployeeData[[#This Row],[Age]]&gt;=60,"60s")</f>
        <v>20s</v>
      </c>
      <c r="G869" s="5">
        <v>44025</v>
      </c>
      <c r="I869" t="s">
        <v>17</v>
      </c>
      <c r="J869" t="s">
        <v>18</v>
      </c>
      <c r="K869" cm="1">
        <f t="array" aca="1" ref="K869" ca="1">_xlfn.IFS(EmployeeData[[#This Row],[Status]]="Active",_xlfn.DAYS(TODAY(),EmployeeData[[#This Row],[Join Date]]),EmployeeData[[#This Row],[Status]]="Exited",_xlfn.DAYS(EmployeeData[[#This Row],[Exit Date]],EmployeeData[[#This Row],[Join Date]]))</f>
        <v>2172</v>
      </c>
      <c r="L869" cm="1">
        <f t="array" aca="1" ref="L869" ca="1">_xlfn.IFS(EmployeeData[[#This Row],[Status]]="Exited",DATEDIF(EmployeeData[[#This Row],[Join Date]], EmployeeData[[#This Row],[Exit Date]], "Y"),EmployeeData[[#This Row],[Status]]="Active",DATEDIF(EmployeeData[[#This Row],[Join Date]], TODAY(), "Y"))</f>
        <v>5</v>
      </c>
      <c r="Q869" t="str" cm="1">
        <f t="array" aca="1" ref="Q8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11 days</v>
      </c>
    </row>
    <row r="870" spans="1:17" x14ac:dyDescent="0.3">
      <c r="A870">
        <v>1869</v>
      </c>
      <c r="B870" t="s">
        <v>1044</v>
      </c>
      <c r="C870" t="s">
        <v>15</v>
      </c>
      <c r="D870" t="s">
        <v>24</v>
      </c>
      <c r="E870">
        <v>25</v>
      </c>
      <c r="F870" t="str" cm="1">
        <f t="array" ref="F870">_xlfn.IFS(EmployeeData[[#This Row],[Age]]&lt;30,"20s",EmployeeData[[#This Row],[Age]]&lt;40,"30s",EmployeeData[[#This Row],[Age]]&lt;50,"40s",EmployeeData[[#This Row],[Age]]&lt;60,"50s",EmployeeData[[#This Row],[Age]]&gt;=60,"60s")</f>
        <v>20s</v>
      </c>
      <c r="G870" s="5">
        <v>45665</v>
      </c>
      <c r="I870" t="s">
        <v>17</v>
      </c>
      <c r="J870" t="s">
        <v>18</v>
      </c>
      <c r="K870" cm="1">
        <f t="array" aca="1" ref="K870" ca="1">_xlfn.IFS(EmployeeData[[#This Row],[Status]]="Active",_xlfn.DAYS(TODAY(),EmployeeData[[#This Row],[Join Date]]),EmployeeData[[#This Row],[Status]]="Exited",_xlfn.DAYS(EmployeeData[[#This Row],[Exit Date]],EmployeeData[[#This Row],[Join Date]]))</f>
        <v>532</v>
      </c>
      <c r="L870" cm="1">
        <f t="array" aca="1" ref="L870" ca="1">_xlfn.IFS(EmployeeData[[#This Row],[Status]]="Exited",DATEDIF(EmployeeData[[#This Row],[Join Date]], EmployeeData[[#This Row],[Exit Date]], "Y"),EmployeeData[[#This Row],[Status]]="Active",DATEDIF(EmployeeData[[#This Row],[Join Date]], TODAY(), "Y"))</f>
        <v>1</v>
      </c>
      <c r="Q870" t="str" cm="1">
        <f t="array" aca="1" ref="Q8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16 days</v>
      </c>
    </row>
    <row r="871" spans="1:17" x14ac:dyDescent="0.3">
      <c r="A871">
        <v>1870</v>
      </c>
      <c r="B871" t="s">
        <v>665</v>
      </c>
      <c r="C871" t="s">
        <v>23</v>
      </c>
      <c r="D871" t="s">
        <v>24</v>
      </c>
      <c r="E871">
        <v>60</v>
      </c>
      <c r="F871" t="str" cm="1">
        <f t="array" ref="F871">_xlfn.IFS(EmployeeData[[#This Row],[Age]]&lt;30,"20s",EmployeeData[[#This Row],[Age]]&lt;40,"30s",EmployeeData[[#This Row],[Age]]&lt;50,"40s",EmployeeData[[#This Row],[Age]]&lt;60,"50s",EmployeeData[[#This Row],[Age]]&gt;=60,"60s")</f>
        <v>60s</v>
      </c>
      <c r="G871" s="5">
        <v>44126</v>
      </c>
      <c r="H871" s="5">
        <v>45185</v>
      </c>
      <c r="I871" t="s">
        <v>26</v>
      </c>
      <c r="J871" t="s">
        <v>13</v>
      </c>
      <c r="K871" cm="1">
        <f t="array" aca="1" ref="K871" ca="1">_xlfn.IFS(EmployeeData[[#This Row],[Status]]="Active",_xlfn.DAYS(TODAY(),EmployeeData[[#This Row],[Join Date]]),EmployeeData[[#This Row],[Status]]="Exited",_xlfn.DAYS(EmployeeData[[#This Row],[Exit Date]],EmployeeData[[#This Row],[Join Date]]))</f>
        <v>1059</v>
      </c>
      <c r="L871" cm="1">
        <f t="array" aca="1" ref="L871" ca="1">_xlfn.IFS(EmployeeData[[#This Row],[Status]]="Exited",DATEDIF(EmployeeData[[#This Row],[Join Date]], EmployeeData[[#This Row],[Exit Date]], "Y"),EmployeeData[[#This Row],[Status]]="Active",DATEDIF(EmployeeData[[#This Row],[Join Date]], TODAY(), "Y"))</f>
        <v>2</v>
      </c>
      <c r="Q871" t="str" cm="1">
        <f t="array" aca="1" ref="Q8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25 days</v>
      </c>
    </row>
    <row r="872" spans="1:17" x14ac:dyDescent="0.3">
      <c r="A872">
        <v>1871</v>
      </c>
      <c r="B872" t="s">
        <v>915</v>
      </c>
      <c r="C872" t="s">
        <v>46</v>
      </c>
      <c r="D872" t="s">
        <v>11</v>
      </c>
      <c r="E872">
        <v>49</v>
      </c>
      <c r="F872" t="str" cm="1">
        <f t="array" ref="F872">_xlfn.IFS(EmployeeData[[#This Row],[Age]]&lt;30,"20s",EmployeeData[[#This Row],[Age]]&lt;40,"30s",EmployeeData[[#This Row],[Age]]&lt;50,"40s",EmployeeData[[#This Row],[Age]]&lt;60,"50s",EmployeeData[[#This Row],[Age]]&gt;=60,"60s")</f>
        <v>40s</v>
      </c>
      <c r="G872" s="5">
        <v>43492</v>
      </c>
      <c r="I872" t="s">
        <v>17</v>
      </c>
      <c r="J872" t="s">
        <v>18</v>
      </c>
      <c r="K872" cm="1">
        <f t="array" aca="1" ref="K872" ca="1">_xlfn.IFS(EmployeeData[[#This Row],[Status]]="Active",_xlfn.DAYS(TODAY(),EmployeeData[[#This Row],[Join Date]]),EmployeeData[[#This Row],[Status]]="Exited",_xlfn.DAYS(EmployeeData[[#This Row],[Exit Date]],EmployeeData[[#This Row],[Join Date]]))</f>
        <v>2705</v>
      </c>
      <c r="L872" cm="1">
        <f t="array" aca="1" ref="L872" ca="1">_xlfn.IFS(EmployeeData[[#This Row],[Status]]="Exited",DATEDIF(EmployeeData[[#This Row],[Join Date]], EmployeeData[[#This Row],[Exit Date]], "Y"),EmployeeData[[#This Row],[Status]]="Active",DATEDIF(EmployeeData[[#This Row],[Join Date]], TODAY(), "Y"))</f>
        <v>7</v>
      </c>
      <c r="Q872" t="str" cm="1">
        <f t="array" aca="1" ref="Q8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28 days</v>
      </c>
    </row>
    <row r="873" spans="1:17" x14ac:dyDescent="0.3">
      <c r="A873">
        <v>1872</v>
      </c>
      <c r="B873" t="s">
        <v>825</v>
      </c>
      <c r="C873" t="s">
        <v>46</v>
      </c>
      <c r="D873" t="s">
        <v>24</v>
      </c>
      <c r="E873">
        <v>25</v>
      </c>
      <c r="F873" t="str" cm="1">
        <f t="array" ref="F873">_xlfn.IFS(EmployeeData[[#This Row],[Age]]&lt;30,"20s",EmployeeData[[#This Row],[Age]]&lt;40,"30s",EmployeeData[[#This Row],[Age]]&lt;50,"40s",EmployeeData[[#This Row],[Age]]&lt;60,"50s",EmployeeData[[#This Row],[Age]]&gt;=60,"60s")</f>
        <v>20s</v>
      </c>
      <c r="G873" s="5">
        <v>43623</v>
      </c>
      <c r="H873" s="5">
        <v>45523</v>
      </c>
      <c r="I873" t="s">
        <v>31</v>
      </c>
      <c r="J873" t="s">
        <v>13</v>
      </c>
      <c r="K873" cm="1">
        <f t="array" aca="1" ref="K873" ca="1">_xlfn.IFS(EmployeeData[[#This Row],[Status]]="Active",_xlfn.DAYS(TODAY(),EmployeeData[[#This Row],[Join Date]]),EmployeeData[[#This Row],[Status]]="Exited",_xlfn.DAYS(EmployeeData[[#This Row],[Exit Date]],EmployeeData[[#This Row],[Join Date]]))</f>
        <v>1900</v>
      </c>
      <c r="L873" cm="1">
        <f t="array" aca="1" ref="L873" ca="1">_xlfn.IFS(EmployeeData[[#This Row],[Status]]="Exited",DATEDIF(EmployeeData[[#This Row],[Join Date]], EmployeeData[[#This Row],[Exit Date]], "Y"),EmployeeData[[#This Row],[Status]]="Active",DATEDIF(EmployeeData[[#This Row],[Join Date]], TODAY(), "Y"))</f>
        <v>5</v>
      </c>
      <c r="Q873" t="str" cm="1">
        <f t="array" aca="1" ref="Q8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12 days</v>
      </c>
    </row>
    <row r="874" spans="1:17" x14ac:dyDescent="0.3">
      <c r="A874">
        <v>1873</v>
      </c>
      <c r="B874" t="s">
        <v>331</v>
      </c>
      <c r="C874" t="s">
        <v>23</v>
      </c>
      <c r="D874" t="s">
        <v>16</v>
      </c>
      <c r="E874">
        <v>50</v>
      </c>
      <c r="F874" t="str" cm="1">
        <f t="array" ref="F874">_xlfn.IFS(EmployeeData[[#This Row],[Age]]&lt;30,"20s",EmployeeData[[#This Row],[Age]]&lt;40,"30s",EmployeeData[[#This Row],[Age]]&lt;50,"40s",EmployeeData[[#This Row],[Age]]&lt;60,"50s",EmployeeData[[#This Row],[Age]]&gt;=60,"60s")</f>
        <v>50s</v>
      </c>
      <c r="G874" s="5">
        <v>44746</v>
      </c>
      <c r="H874" s="5">
        <v>45677</v>
      </c>
      <c r="I874" t="s">
        <v>26</v>
      </c>
      <c r="J874" t="s">
        <v>13</v>
      </c>
      <c r="K874" cm="1">
        <f t="array" aca="1" ref="K874" ca="1">_xlfn.IFS(EmployeeData[[#This Row],[Status]]="Active",_xlfn.DAYS(TODAY(),EmployeeData[[#This Row],[Join Date]]),EmployeeData[[#This Row],[Status]]="Exited",_xlfn.DAYS(EmployeeData[[#This Row],[Exit Date]],EmployeeData[[#This Row],[Join Date]]))</f>
        <v>931</v>
      </c>
      <c r="L874" cm="1">
        <f t="array" aca="1" ref="L874" ca="1">_xlfn.IFS(EmployeeData[[#This Row],[Status]]="Exited",DATEDIF(EmployeeData[[#This Row],[Join Date]], EmployeeData[[#This Row],[Exit Date]], "Y"),EmployeeData[[#This Row],[Status]]="Active",DATEDIF(EmployeeData[[#This Row],[Join Date]], TODAY(), "Y"))</f>
        <v>2</v>
      </c>
      <c r="Q874" t="str" cm="1">
        <f t="array" aca="1" ref="Q8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16 days</v>
      </c>
    </row>
    <row r="875" spans="1:17" x14ac:dyDescent="0.3">
      <c r="A875">
        <v>1874</v>
      </c>
      <c r="B875" t="s">
        <v>703</v>
      </c>
      <c r="C875" t="s">
        <v>33</v>
      </c>
      <c r="D875" t="s">
        <v>24</v>
      </c>
      <c r="E875">
        <v>42</v>
      </c>
      <c r="F875" t="str" cm="1">
        <f t="array" ref="F875">_xlfn.IFS(EmployeeData[[#This Row],[Age]]&lt;30,"20s",EmployeeData[[#This Row],[Age]]&lt;40,"30s",EmployeeData[[#This Row],[Age]]&lt;50,"40s",EmployeeData[[#This Row],[Age]]&lt;60,"50s",EmployeeData[[#This Row],[Age]]&gt;=60,"60s")</f>
        <v>40s</v>
      </c>
      <c r="G875" s="5">
        <v>45767</v>
      </c>
      <c r="I875" t="s">
        <v>17</v>
      </c>
      <c r="J875" t="s">
        <v>18</v>
      </c>
      <c r="K875" cm="1">
        <f t="array" aca="1" ref="K875" ca="1">_xlfn.IFS(EmployeeData[[#This Row],[Status]]="Active",_xlfn.DAYS(TODAY(),EmployeeData[[#This Row],[Join Date]]),EmployeeData[[#This Row],[Status]]="Exited",_xlfn.DAYS(EmployeeData[[#This Row],[Exit Date]],EmployeeData[[#This Row],[Join Date]]))</f>
        <v>430</v>
      </c>
      <c r="L875" cm="1">
        <f t="array" aca="1" ref="L875" ca="1">_xlfn.IFS(EmployeeData[[#This Row],[Status]]="Exited",DATEDIF(EmployeeData[[#This Row],[Join Date]], EmployeeData[[#This Row],[Exit Date]], "Y"),EmployeeData[[#This Row],[Status]]="Active",DATEDIF(EmployeeData[[#This Row],[Join Date]], TODAY(), "Y"))</f>
        <v>1</v>
      </c>
      <c r="Q875" t="str" cm="1">
        <f t="array" aca="1" ref="Q8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4 days</v>
      </c>
    </row>
    <row r="876" spans="1:17" x14ac:dyDescent="0.3">
      <c r="A876">
        <v>1875</v>
      </c>
      <c r="B876" t="s">
        <v>585</v>
      </c>
      <c r="C876" t="s">
        <v>15</v>
      </c>
      <c r="D876" t="s">
        <v>16</v>
      </c>
      <c r="E876">
        <v>25</v>
      </c>
      <c r="F876" t="str" cm="1">
        <f t="array" ref="F876">_xlfn.IFS(EmployeeData[[#This Row],[Age]]&lt;30,"20s",EmployeeData[[#This Row],[Age]]&lt;40,"30s",EmployeeData[[#This Row],[Age]]&lt;50,"40s",EmployeeData[[#This Row],[Age]]&lt;60,"50s",EmployeeData[[#This Row],[Age]]&gt;=60,"60s")</f>
        <v>20s</v>
      </c>
      <c r="G876" s="5">
        <v>45529</v>
      </c>
      <c r="I876" t="s">
        <v>17</v>
      </c>
      <c r="J876" t="s">
        <v>18</v>
      </c>
      <c r="K876" cm="1">
        <f t="array" aca="1" ref="K876" ca="1">_xlfn.IFS(EmployeeData[[#This Row],[Status]]="Active",_xlfn.DAYS(TODAY(),EmployeeData[[#This Row],[Join Date]]),EmployeeData[[#This Row],[Status]]="Exited",_xlfn.DAYS(EmployeeData[[#This Row],[Exit Date]],EmployeeData[[#This Row],[Join Date]]))</f>
        <v>668</v>
      </c>
      <c r="L876" cm="1">
        <f t="array" aca="1" ref="L876" ca="1">_xlfn.IFS(EmployeeData[[#This Row],[Status]]="Exited",DATEDIF(EmployeeData[[#This Row],[Join Date]], EmployeeData[[#This Row],[Exit Date]], "Y"),EmployeeData[[#This Row],[Status]]="Active",DATEDIF(EmployeeData[[#This Row],[Join Date]], TODAY(), "Y"))</f>
        <v>1</v>
      </c>
      <c r="Q876" t="str" cm="1">
        <f t="array" aca="1" ref="Q8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30 days</v>
      </c>
    </row>
    <row r="877" spans="1:17" x14ac:dyDescent="0.3">
      <c r="A877">
        <v>1876</v>
      </c>
      <c r="B877" t="s">
        <v>631</v>
      </c>
      <c r="C877" t="s">
        <v>10</v>
      </c>
      <c r="D877" t="s">
        <v>24</v>
      </c>
      <c r="E877">
        <v>49</v>
      </c>
      <c r="F877" t="str" cm="1">
        <f t="array" ref="F877">_xlfn.IFS(EmployeeData[[#This Row],[Age]]&lt;30,"20s",EmployeeData[[#This Row],[Age]]&lt;40,"30s",EmployeeData[[#This Row],[Age]]&lt;50,"40s",EmployeeData[[#This Row],[Age]]&lt;60,"50s",EmployeeData[[#This Row],[Age]]&gt;=60,"60s")</f>
        <v>40s</v>
      </c>
      <c r="G877" s="5">
        <v>43862</v>
      </c>
      <c r="H877" s="5">
        <v>44132</v>
      </c>
      <c r="I877" t="s">
        <v>31</v>
      </c>
      <c r="J877" t="s">
        <v>13</v>
      </c>
      <c r="K877" cm="1">
        <f t="array" aca="1" ref="K877" ca="1">_xlfn.IFS(EmployeeData[[#This Row],[Status]]="Active",_xlfn.DAYS(TODAY(),EmployeeData[[#This Row],[Join Date]]),EmployeeData[[#This Row],[Status]]="Exited",_xlfn.DAYS(EmployeeData[[#This Row],[Exit Date]],EmployeeData[[#This Row],[Join Date]]))</f>
        <v>270</v>
      </c>
      <c r="L877" cm="1">
        <f t="array" aca="1" ref="L877" ca="1">_xlfn.IFS(EmployeeData[[#This Row],[Status]]="Exited",DATEDIF(EmployeeData[[#This Row],[Join Date]], EmployeeData[[#This Row],[Exit Date]], "Y"),EmployeeData[[#This Row],[Status]]="Active",DATEDIF(EmployeeData[[#This Row],[Join Date]], TODAY(), "Y"))</f>
        <v>0</v>
      </c>
      <c r="Q877" t="str" cm="1">
        <f t="array" aca="1" ref="Q8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27 days</v>
      </c>
    </row>
    <row r="878" spans="1:17" x14ac:dyDescent="0.3">
      <c r="A878">
        <v>1877</v>
      </c>
      <c r="B878" t="s">
        <v>845</v>
      </c>
      <c r="C878" t="s">
        <v>10</v>
      </c>
      <c r="D878" t="s">
        <v>11</v>
      </c>
      <c r="E878">
        <v>30</v>
      </c>
      <c r="F878" t="str" cm="1">
        <f t="array" ref="F878">_xlfn.IFS(EmployeeData[[#This Row],[Age]]&lt;30,"20s",EmployeeData[[#This Row],[Age]]&lt;40,"30s",EmployeeData[[#This Row],[Age]]&lt;50,"40s",EmployeeData[[#This Row],[Age]]&lt;60,"50s",EmployeeData[[#This Row],[Age]]&gt;=60,"60s")</f>
        <v>30s</v>
      </c>
      <c r="G878" s="5">
        <v>43704</v>
      </c>
      <c r="I878" t="s">
        <v>17</v>
      </c>
      <c r="J878" t="s">
        <v>18</v>
      </c>
      <c r="K878" cm="1">
        <f t="array" aca="1" ref="K878" ca="1">_xlfn.IFS(EmployeeData[[#This Row],[Status]]="Active",_xlfn.DAYS(TODAY(),EmployeeData[[#This Row],[Join Date]]),EmployeeData[[#This Row],[Status]]="Exited",_xlfn.DAYS(EmployeeData[[#This Row],[Exit Date]],EmployeeData[[#This Row],[Join Date]]))</f>
        <v>2493</v>
      </c>
      <c r="L878" cm="1">
        <f t="array" aca="1" ref="L878" ca="1">_xlfn.IFS(EmployeeData[[#This Row],[Status]]="Exited",DATEDIF(EmployeeData[[#This Row],[Join Date]], EmployeeData[[#This Row],[Exit Date]], "Y"),EmployeeData[[#This Row],[Status]]="Active",DATEDIF(EmployeeData[[#This Row],[Join Date]], TODAY(), "Y"))</f>
        <v>6</v>
      </c>
      <c r="Q878" t="str" cm="1">
        <f t="array" aca="1" ref="Q8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28 days</v>
      </c>
    </row>
    <row r="879" spans="1:17" x14ac:dyDescent="0.3">
      <c r="A879">
        <v>1878</v>
      </c>
      <c r="B879" t="s">
        <v>639</v>
      </c>
      <c r="C879" t="s">
        <v>23</v>
      </c>
      <c r="D879" t="s">
        <v>24</v>
      </c>
      <c r="E879">
        <v>30</v>
      </c>
      <c r="F879" t="str" cm="1">
        <f t="array" ref="F879">_xlfn.IFS(EmployeeData[[#This Row],[Age]]&lt;30,"20s",EmployeeData[[#This Row],[Age]]&lt;40,"30s",EmployeeData[[#This Row],[Age]]&lt;50,"40s",EmployeeData[[#This Row],[Age]]&lt;60,"50s",EmployeeData[[#This Row],[Age]]&gt;=60,"60s")</f>
        <v>30s</v>
      </c>
      <c r="G879" s="5">
        <v>43335</v>
      </c>
      <c r="H879" s="5">
        <v>43648</v>
      </c>
      <c r="I879" t="s">
        <v>12</v>
      </c>
      <c r="J879" t="s">
        <v>13</v>
      </c>
      <c r="K879" cm="1">
        <f t="array" aca="1" ref="K879" ca="1">_xlfn.IFS(EmployeeData[[#This Row],[Status]]="Active",_xlfn.DAYS(TODAY(),EmployeeData[[#This Row],[Join Date]]),EmployeeData[[#This Row],[Status]]="Exited",_xlfn.DAYS(EmployeeData[[#This Row],[Exit Date]],EmployeeData[[#This Row],[Join Date]]))</f>
        <v>313</v>
      </c>
      <c r="L879" cm="1">
        <f t="array" aca="1" ref="L879" ca="1">_xlfn.IFS(EmployeeData[[#This Row],[Status]]="Exited",DATEDIF(EmployeeData[[#This Row],[Join Date]], EmployeeData[[#This Row],[Exit Date]], "Y"),EmployeeData[[#This Row],[Status]]="Active",DATEDIF(EmployeeData[[#This Row],[Join Date]], TODAY(), "Y"))</f>
        <v>0</v>
      </c>
      <c r="Q879" t="str" cm="1">
        <f t="array" aca="1" ref="Q8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9 days</v>
      </c>
    </row>
    <row r="880" spans="1:17" x14ac:dyDescent="0.3">
      <c r="A880">
        <v>1879</v>
      </c>
      <c r="B880" t="s">
        <v>63</v>
      </c>
      <c r="C880" t="s">
        <v>15</v>
      </c>
      <c r="D880" t="s">
        <v>16</v>
      </c>
      <c r="E880">
        <v>33</v>
      </c>
      <c r="F880" t="str" cm="1">
        <f t="array" ref="F880">_xlfn.IFS(EmployeeData[[#This Row],[Age]]&lt;30,"20s",EmployeeData[[#This Row],[Age]]&lt;40,"30s",EmployeeData[[#This Row],[Age]]&lt;50,"40s",EmployeeData[[#This Row],[Age]]&lt;60,"50s",EmployeeData[[#This Row],[Age]]&gt;=60,"60s")</f>
        <v>30s</v>
      </c>
      <c r="G880" s="5">
        <v>45836</v>
      </c>
      <c r="I880" t="s">
        <v>17</v>
      </c>
      <c r="J880" t="s">
        <v>18</v>
      </c>
      <c r="K880" cm="1">
        <f t="array" aca="1" ref="K880" ca="1">_xlfn.IFS(EmployeeData[[#This Row],[Status]]="Active",_xlfn.DAYS(TODAY(),EmployeeData[[#This Row],[Join Date]]),EmployeeData[[#This Row],[Status]]="Exited",_xlfn.DAYS(EmployeeData[[#This Row],[Exit Date]],EmployeeData[[#This Row],[Join Date]]))</f>
        <v>361</v>
      </c>
      <c r="L880" cm="1">
        <f t="array" aca="1" ref="L880" ca="1">_xlfn.IFS(EmployeeData[[#This Row],[Status]]="Exited",DATEDIF(EmployeeData[[#This Row],[Join Date]], EmployeeData[[#This Row],[Exit Date]], "Y"),EmployeeData[[#This Row],[Status]]="Active",DATEDIF(EmployeeData[[#This Row],[Join Date]], TODAY(), "Y"))</f>
        <v>0</v>
      </c>
      <c r="Q880" t="str" cm="1">
        <f t="array" aca="1" ref="Q8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27 days</v>
      </c>
    </row>
    <row r="881" spans="1:17" x14ac:dyDescent="0.3">
      <c r="A881">
        <v>1880</v>
      </c>
      <c r="B881" t="s">
        <v>147</v>
      </c>
      <c r="C881" t="s">
        <v>33</v>
      </c>
      <c r="D881" t="s">
        <v>24</v>
      </c>
      <c r="E881">
        <v>42</v>
      </c>
      <c r="F881" t="str" cm="1">
        <f t="array" ref="F881">_xlfn.IFS(EmployeeData[[#This Row],[Age]]&lt;30,"20s",EmployeeData[[#This Row],[Age]]&lt;40,"30s",EmployeeData[[#This Row],[Age]]&lt;50,"40s",EmployeeData[[#This Row],[Age]]&lt;60,"50s",EmployeeData[[#This Row],[Age]]&gt;=60,"60s")</f>
        <v>40s</v>
      </c>
      <c r="G881" s="5">
        <v>45624</v>
      </c>
      <c r="H881" s="5">
        <v>45882</v>
      </c>
      <c r="I881" t="s">
        <v>31</v>
      </c>
      <c r="J881" t="s">
        <v>13</v>
      </c>
      <c r="K881" cm="1">
        <f t="array" aca="1" ref="K881" ca="1">_xlfn.IFS(EmployeeData[[#This Row],[Status]]="Active",_xlfn.DAYS(TODAY(),EmployeeData[[#This Row],[Join Date]]),EmployeeData[[#This Row],[Status]]="Exited",_xlfn.DAYS(EmployeeData[[#This Row],[Exit Date]],EmployeeData[[#This Row],[Join Date]]))</f>
        <v>258</v>
      </c>
      <c r="L881" cm="1">
        <f t="array" aca="1" ref="L881" ca="1">_xlfn.IFS(EmployeeData[[#This Row],[Status]]="Exited",DATEDIF(EmployeeData[[#This Row],[Join Date]], EmployeeData[[#This Row],[Exit Date]], "Y"),EmployeeData[[#This Row],[Status]]="Active",DATEDIF(EmployeeData[[#This Row],[Join Date]], TODAY(), "Y"))</f>
        <v>0</v>
      </c>
      <c r="Q881" t="str" cm="1">
        <f t="array" aca="1" ref="Q8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16 days</v>
      </c>
    </row>
    <row r="882" spans="1:17" x14ac:dyDescent="0.3">
      <c r="A882">
        <v>1881</v>
      </c>
      <c r="B882" t="s">
        <v>740</v>
      </c>
      <c r="C882" t="s">
        <v>23</v>
      </c>
      <c r="D882" t="s">
        <v>11</v>
      </c>
      <c r="E882">
        <v>50</v>
      </c>
      <c r="F882" t="str" cm="1">
        <f t="array" ref="F882">_xlfn.IFS(EmployeeData[[#This Row],[Age]]&lt;30,"20s",EmployeeData[[#This Row],[Age]]&lt;40,"30s",EmployeeData[[#This Row],[Age]]&lt;50,"40s",EmployeeData[[#This Row],[Age]]&lt;60,"50s",EmployeeData[[#This Row],[Age]]&gt;=60,"60s")</f>
        <v>50s</v>
      </c>
      <c r="G882" s="5">
        <v>45656</v>
      </c>
      <c r="H882" s="5">
        <v>45992</v>
      </c>
      <c r="I882" t="s">
        <v>34</v>
      </c>
      <c r="J882" t="s">
        <v>13</v>
      </c>
      <c r="K882" cm="1">
        <f t="array" aca="1" ref="K882" ca="1">_xlfn.IFS(EmployeeData[[#This Row],[Status]]="Active",_xlfn.DAYS(TODAY(),EmployeeData[[#This Row],[Join Date]]),EmployeeData[[#This Row],[Status]]="Exited",_xlfn.DAYS(EmployeeData[[#This Row],[Exit Date]],EmployeeData[[#This Row],[Join Date]]))</f>
        <v>336</v>
      </c>
      <c r="L882" cm="1">
        <f t="array" aca="1" ref="L882" ca="1">_xlfn.IFS(EmployeeData[[#This Row],[Status]]="Exited",DATEDIF(EmployeeData[[#This Row],[Join Date]], EmployeeData[[#This Row],[Exit Date]], "Y"),EmployeeData[[#This Row],[Status]]="Active",DATEDIF(EmployeeData[[#This Row],[Join Date]], TODAY(), "Y"))</f>
        <v>0</v>
      </c>
      <c r="Q882" t="str" cm="1">
        <f t="array" aca="1" ref="Q8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1 days</v>
      </c>
    </row>
    <row r="883" spans="1:17" x14ac:dyDescent="0.3">
      <c r="A883">
        <v>1882</v>
      </c>
      <c r="B883" t="s">
        <v>283</v>
      </c>
      <c r="C883" t="s">
        <v>15</v>
      </c>
      <c r="D883" t="s">
        <v>11</v>
      </c>
      <c r="E883">
        <v>44</v>
      </c>
      <c r="F883" t="str" cm="1">
        <f t="array" ref="F883">_xlfn.IFS(EmployeeData[[#This Row],[Age]]&lt;30,"20s",EmployeeData[[#This Row],[Age]]&lt;40,"30s",EmployeeData[[#This Row],[Age]]&lt;50,"40s",EmployeeData[[#This Row],[Age]]&lt;60,"50s",EmployeeData[[#This Row],[Age]]&gt;=60,"60s")</f>
        <v>40s</v>
      </c>
      <c r="G883" s="5">
        <v>43141</v>
      </c>
      <c r="H883" s="5">
        <v>43353</v>
      </c>
      <c r="I883" t="s">
        <v>65</v>
      </c>
      <c r="J883" t="s">
        <v>13</v>
      </c>
      <c r="K883" cm="1">
        <f t="array" aca="1" ref="K883" ca="1">_xlfn.IFS(EmployeeData[[#This Row],[Status]]="Active",_xlfn.DAYS(TODAY(),EmployeeData[[#This Row],[Join Date]]),EmployeeData[[#This Row],[Status]]="Exited",_xlfn.DAYS(EmployeeData[[#This Row],[Exit Date]],EmployeeData[[#This Row],[Join Date]]))</f>
        <v>212</v>
      </c>
      <c r="L883" cm="1">
        <f t="array" aca="1" ref="L883" ca="1">_xlfn.IFS(EmployeeData[[#This Row],[Status]]="Exited",DATEDIF(EmployeeData[[#This Row],[Join Date]], EmployeeData[[#This Row],[Exit Date]], "Y"),EmployeeData[[#This Row],[Status]]="Active",DATEDIF(EmployeeData[[#This Row],[Join Date]], TODAY(), "Y"))</f>
        <v>0</v>
      </c>
      <c r="Q883" t="str" cm="1">
        <f t="array" aca="1" ref="Q8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0 days</v>
      </c>
    </row>
    <row r="884" spans="1:17" x14ac:dyDescent="0.3">
      <c r="A884">
        <v>1883</v>
      </c>
      <c r="B884" t="s">
        <v>1021</v>
      </c>
      <c r="C884" t="s">
        <v>15</v>
      </c>
      <c r="D884" t="s">
        <v>16</v>
      </c>
      <c r="E884">
        <v>55</v>
      </c>
      <c r="F884" t="str" cm="1">
        <f t="array" ref="F884">_xlfn.IFS(EmployeeData[[#This Row],[Age]]&lt;30,"20s",EmployeeData[[#This Row],[Age]]&lt;40,"30s",EmployeeData[[#This Row],[Age]]&lt;50,"40s",EmployeeData[[#This Row],[Age]]&lt;60,"50s",EmployeeData[[#This Row],[Age]]&gt;=60,"60s")</f>
        <v>50s</v>
      </c>
      <c r="G884" s="5">
        <v>44264</v>
      </c>
      <c r="H884" s="5">
        <v>46167</v>
      </c>
      <c r="I884" t="s">
        <v>26</v>
      </c>
      <c r="J884" t="s">
        <v>13</v>
      </c>
      <c r="K884" cm="1">
        <f t="array" aca="1" ref="K884" ca="1">_xlfn.IFS(EmployeeData[[#This Row],[Status]]="Active",_xlfn.DAYS(TODAY(),EmployeeData[[#This Row],[Join Date]]),EmployeeData[[#This Row],[Status]]="Exited",_xlfn.DAYS(EmployeeData[[#This Row],[Exit Date]],EmployeeData[[#This Row],[Join Date]]))</f>
        <v>1903</v>
      </c>
      <c r="L884" cm="1">
        <f t="array" aca="1" ref="L884" ca="1">_xlfn.IFS(EmployeeData[[#This Row],[Status]]="Exited",DATEDIF(EmployeeData[[#This Row],[Join Date]], EmployeeData[[#This Row],[Exit Date]], "Y"),EmployeeData[[#This Row],[Status]]="Active",DATEDIF(EmployeeData[[#This Row],[Join Date]], TODAY(), "Y"))</f>
        <v>5</v>
      </c>
      <c r="Q884" t="str" cm="1">
        <f t="array" aca="1" ref="Q8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16 days</v>
      </c>
    </row>
    <row r="885" spans="1:17" x14ac:dyDescent="0.3">
      <c r="A885">
        <v>1884</v>
      </c>
      <c r="B885" t="s">
        <v>555</v>
      </c>
      <c r="C885" t="s">
        <v>15</v>
      </c>
      <c r="D885" t="s">
        <v>11</v>
      </c>
      <c r="E885">
        <v>27</v>
      </c>
      <c r="F885" t="str" cm="1">
        <f t="array" ref="F885">_xlfn.IFS(EmployeeData[[#This Row],[Age]]&lt;30,"20s",EmployeeData[[#This Row],[Age]]&lt;40,"30s",EmployeeData[[#This Row],[Age]]&lt;50,"40s",EmployeeData[[#This Row],[Age]]&lt;60,"50s",EmployeeData[[#This Row],[Age]]&gt;=60,"60s")</f>
        <v>20s</v>
      </c>
      <c r="G885" s="5">
        <v>43186</v>
      </c>
      <c r="I885" t="s">
        <v>17</v>
      </c>
      <c r="J885" t="s">
        <v>18</v>
      </c>
      <c r="K885" cm="1">
        <f t="array" aca="1" ref="K885" ca="1">_xlfn.IFS(EmployeeData[[#This Row],[Status]]="Active",_xlfn.DAYS(TODAY(),EmployeeData[[#This Row],[Join Date]]),EmployeeData[[#This Row],[Status]]="Exited",_xlfn.DAYS(EmployeeData[[#This Row],[Exit Date]],EmployeeData[[#This Row],[Join Date]]))</f>
        <v>3011</v>
      </c>
      <c r="L885" cm="1">
        <f t="array" aca="1" ref="L885" ca="1">_xlfn.IFS(EmployeeData[[#This Row],[Status]]="Exited",DATEDIF(EmployeeData[[#This Row],[Join Date]], EmployeeData[[#This Row],[Exit Date]], "Y"),EmployeeData[[#This Row],[Status]]="Active",DATEDIF(EmployeeData[[#This Row],[Join Date]], TODAY(), "Y"))</f>
        <v>8</v>
      </c>
      <c r="Q885" t="str" cm="1">
        <f t="array" aca="1" ref="Q8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28 days</v>
      </c>
    </row>
    <row r="886" spans="1:17" x14ac:dyDescent="0.3">
      <c r="A886">
        <v>1885</v>
      </c>
      <c r="B886" t="s">
        <v>1015</v>
      </c>
      <c r="C886" t="s">
        <v>33</v>
      </c>
      <c r="D886" t="s">
        <v>24</v>
      </c>
      <c r="E886">
        <v>34</v>
      </c>
      <c r="F886" t="str" cm="1">
        <f t="array" ref="F886">_xlfn.IFS(EmployeeData[[#This Row],[Age]]&lt;30,"20s",EmployeeData[[#This Row],[Age]]&lt;40,"30s",EmployeeData[[#This Row],[Age]]&lt;50,"40s",EmployeeData[[#This Row],[Age]]&lt;60,"50s",EmployeeData[[#This Row],[Age]]&gt;=60,"60s")</f>
        <v>30s</v>
      </c>
      <c r="G886" s="5">
        <v>44350</v>
      </c>
      <c r="I886" t="s">
        <v>17</v>
      </c>
      <c r="J886" t="s">
        <v>18</v>
      </c>
      <c r="K886" cm="1">
        <f t="array" aca="1" ref="K886" ca="1">_xlfn.IFS(EmployeeData[[#This Row],[Status]]="Active",_xlfn.DAYS(TODAY(),EmployeeData[[#This Row],[Join Date]]),EmployeeData[[#This Row],[Status]]="Exited",_xlfn.DAYS(EmployeeData[[#This Row],[Exit Date]],EmployeeData[[#This Row],[Join Date]]))</f>
        <v>1847</v>
      </c>
      <c r="L886" cm="1">
        <f t="array" aca="1" ref="L886" ca="1">_xlfn.IFS(EmployeeData[[#This Row],[Status]]="Exited",DATEDIF(EmployeeData[[#This Row],[Join Date]], EmployeeData[[#This Row],[Exit Date]], "Y"),EmployeeData[[#This Row],[Status]]="Active",DATEDIF(EmployeeData[[#This Row],[Join Date]], TODAY(), "Y"))</f>
        <v>5</v>
      </c>
      <c r="Q886" t="str" cm="1">
        <f t="array" aca="1" ref="Q8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21 days</v>
      </c>
    </row>
    <row r="887" spans="1:17" x14ac:dyDescent="0.3">
      <c r="A887">
        <v>1886</v>
      </c>
      <c r="B887" t="s">
        <v>848</v>
      </c>
      <c r="C887" t="s">
        <v>46</v>
      </c>
      <c r="D887" t="s">
        <v>11</v>
      </c>
      <c r="E887">
        <v>48</v>
      </c>
      <c r="F887" t="str" cm="1">
        <f t="array" ref="F887">_xlfn.IFS(EmployeeData[[#This Row],[Age]]&lt;30,"20s",EmployeeData[[#This Row],[Age]]&lt;40,"30s",EmployeeData[[#This Row],[Age]]&lt;50,"40s",EmployeeData[[#This Row],[Age]]&lt;60,"50s",EmployeeData[[#This Row],[Age]]&gt;=60,"60s")</f>
        <v>40s</v>
      </c>
      <c r="G887" s="5">
        <v>43368</v>
      </c>
      <c r="H887" s="5">
        <v>43993</v>
      </c>
      <c r="I887" t="s">
        <v>52</v>
      </c>
      <c r="J887" t="s">
        <v>13</v>
      </c>
      <c r="K887" cm="1">
        <f t="array" aca="1" ref="K887" ca="1">_xlfn.IFS(EmployeeData[[#This Row],[Status]]="Active",_xlfn.DAYS(TODAY(),EmployeeData[[#This Row],[Join Date]]),EmployeeData[[#This Row],[Status]]="Exited",_xlfn.DAYS(EmployeeData[[#This Row],[Exit Date]],EmployeeData[[#This Row],[Join Date]]))</f>
        <v>625</v>
      </c>
      <c r="L887" cm="1">
        <f t="array" aca="1" ref="L887" ca="1">_xlfn.IFS(EmployeeData[[#This Row],[Status]]="Exited",DATEDIF(EmployeeData[[#This Row],[Join Date]], EmployeeData[[#This Row],[Exit Date]], "Y"),EmployeeData[[#This Row],[Status]]="Active",DATEDIF(EmployeeData[[#This Row],[Join Date]], TODAY(), "Y"))</f>
        <v>1</v>
      </c>
      <c r="Q887" t="str" cm="1">
        <f t="array" aca="1" ref="Q8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17 days</v>
      </c>
    </row>
    <row r="888" spans="1:17" x14ac:dyDescent="0.3">
      <c r="A888">
        <v>1887</v>
      </c>
      <c r="B888" t="s">
        <v>828</v>
      </c>
      <c r="C888" t="s">
        <v>10</v>
      </c>
      <c r="D888" t="s">
        <v>24</v>
      </c>
      <c r="E888">
        <v>36</v>
      </c>
      <c r="F888" t="str" cm="1">
        <f t="array" ref="F888">_xlfn.IFS(EmployeeData[[#This Row],[Age]]&lt;30,"20s",EmployeeData[[#This Row],[Age]]&lt;40,"30s",EmployeeData[[#This Row],[Age]]&lt;50,"40s",EmployeeData[[#This Row],[Age]]&lt;60,"50s",EmployeeData[[#This Row],[Age]]&gt;=60,"60s")</f>
        <v>30s</v>
      </c>
      <c r="G888" s="5">
        <v>43290</v>
      </c>
      <c r="I888" t="s">
        <v>17</v>
      </c>
      <c r="J888" t="s">
        <v>18</v>
      </c>
      <c r="K888" cm="1">
        <f t="array" aca="1" ref="K888" ca="1">_xlfn.IFS(EmployeeData[[#This Row],[Status]]="Active",_xlfn.DAYS(TODAY(),EmployeeData[[#This Row],[Join Date]]),EmployeeData[[#This Row],[Status]]="Exited",_xlfn.DAYS(EmployeeData[[#This Row],[Exit Date]],EmployeeData[[#This Row],[Join Date]]))</f>
        <v>2907</v>
      </c>
      <c r="L888" cm="1">
        <f t="array" aca="1" ref="L888" ca="1">_xlfn.IFS(EmployeeData[[#This Row],[Status]]="Exited",DATEDIF(EmployeeData[[#This Row],[Join Date]], EmployeeData[[#This Row],[Exit Date]], "Y"),EmployeeData[[#This Row],[Status]]="Active",DATEDIF(EmployeeData[[#This Row],[Join Date]], TODAY(), "Y"))</f>
        <v>7</v>
      </c>
      <c r="Q888" t="str" cm="1">
        <f t="array" aca="1" ref="Q8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15 days</v>
      </c>
    </row>
    <row r="889" spans="1:17" x14ac:dyDescent="0.3">
      <c r="A889">
        <v>1888</v>
      </c>
      <c r="B889" t="s">
        <v>58</v>
      </c>
      <c r="C889" t="s">
        <v>10</v>
      </c>
      <c r="D889" t="s">
        <v>16</v>
      </c>
      <c r="E889">
        <v>36</v>
      </c>
      <c r="F889" t="str" cm="1">
        <f t="array" ref="F889">_xlfn.IFS(EmployeeData[[#This Row],[Age]]&lt;30,"20s",EmployeeData[[#This Row],[Age]]&lt;40,"30s",EmployeeData[[#This Row],[Age]]&lt;50,"40s",EmployeeData[[#This Row],[Age]]&lt;60,"50s",EmployeeData[[#This Row],[Age]]&gt;=60,"60s")</f>
        <v>30s</v>
      </c>
      <c r="G889" s="5">
        <v>43319</v>
      </c>
      <c r="I889" t="s">
        <v>17</v>
      </c>
      <c r="J889" t="s">
        <v>18</v>
      </c>
      <c r="K889" cm="1">
        <f t="array" aca="1" ref="K889" ca="1">_xlfn.IFS(EmployeeData[[#This Row],[Status]]="Active",_xlfn.DAYS(TODAY(),EmployeeData[[#This Row],[Join Date]]),EmployeeData[[#This Row],[Status]]="Exited",_xlfn.DAYS(EmployeeData[[#This Row],[Exit Date]],EmployeeData[[#This Row],[Join Date]]))</f>
        <v>2878</v>
      </c>
      <c r="L889" cm="1">
        <f t="array" aca="1" ref="L889" ca="1">_xlfn.IFS(EmployeeData[[#This Row],[Status]]="Exited",DATEDIF(EmployeeData[[#This Row],[Join Date]], EmployeeData[[#This Row],[Exit Date]], "Y"),EmployeeData[[#This Row],[Status]]="Active",DATEDIF(EmployeeData[[#This Row],[Join Date]], TODAY(), "Y"))</f>
        <v>7</v>
      </c>
      <c r="Q889" t="str" cm="1">
        <f t="array" aca="1" ref="Q8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17 days</v>
      </c>
    </row>
    <row r="890" spans="1:17" x14ac:dyDescent="0.3">
      <c r="A890">
        <v>1889</v>
      </c>
      <c r="B890" t="s">
        <v>281</v>
      </c>
      <c r="C890" t="s">
        <v>46</v>
      </c>
      <c r="D890" t="s">
        <v>11</v>
      </c>
      <c r="E890">
        <v>34</v>
      </c>
      <c r="F890" t="str" cm="1">
        <f t="array" ref="F890">_xlfn.IFS(EmployeeData[[#This Row],[Age]]&lt;30,"20s",EmployeeData[[#This Row],[Age]]&lt;40,"30s",EmployeeData[[#This Row],[Age]]&lt;50,"40s",EmployeeData[[#This Row],[Age]]&lt;60,"50s",EmployeeData[[#This Row],[Age]]&gt;=60,"60s")</f>
        <v>30s</v>
      </c>
      <c r="G890" s="5">
        <v>43434</v>
      </c>
      <c r="I890" t="s">
        <v>17</v>
      </c>
      <c r="J890" t="s">
        <v>18</v>
      </c>
      <c r="K890" cm="1">
        <f t="array" aca="1" ref="K890" ca="1">_xlfn.IFS(EmployeeData[[#This Row],[Status]]="Active",_xlfn.DAYS(TODAY(),EmployeeData[[#This Row],[Join Date]]),EmployeeData[[#This Row],[Status]]="Exited",_xlfn.DAYS(EmployeeData[[#This Row],[Exit Date]],EmployeeData[[#This Row],[Join Date]]))</f>
        <v>2763</v>
      </c>
      <c r="L890" cm="1">
        <f t="array" aca="1" ref="L890" ca="1">_xlfn.IFS(EmployeeData[[#This Row],[Status]]="Exited",DATEDIF(EmployeeData[[#This Row],[Join Date]], EmployeeData[[#This Row],[Exit Date]], "Y"),EmployeeData[[#This Row],[Status]]="Active",DATEDIF(EmployeeData[[#This Row],[Join Date]], TODAY(), "Y"))</f>
        <v>7</v>
      </c>
      <c r="Q890" t="str" cm="1">
        <f t="array" aca="1" ref="Q8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25 days</v>
      </c>
    </row>
    <row r="891" spans="1:17" x14ac:dyDescent="0.3">
      <c r="A891">
        <v>1890</v>
      </c>
      <c r="B891" t="s">
        <v>693</v>
      </c>
      <c r="C891" t="s">
        <v>20</v>
      </c>
      <c r="D891" t="s">
        <v>24</v>
      </c>
      <c r="E891">
        <v>53</v>
      </c>
      <c r="F891" t="str" cm="1">
        <f t="array" ref="F891">_xlfn.IFS(EmployeeData[[#This Row],[Age]]&lt;30,"20s",EmployeeData[[#This Row],[Age]]&lt;40,"30s",EmployeeData[[#This Row],[Age]]&lt;50,"40s",EmployeeData[[#This Row],[Age]]&lt;60,"50s",EmployeeData[[#This Row],[Age]]&gt;=60,"60s")</f>
        <v>50s</v>
      </c>
      <c r="G891" s="5">
        <v>44633</v>
      </c>
      <c r="I891" t="s">
        <v>17</v>
      </c>
      <c r="J891" t="s">
        <v>18</v>
      </c>
      <c r="K891" cm="1">
        <f t="array" aca="1" ref="K891" ca="1">_xlfn.IFS(EmployeeData[[#This Row],[Status]]="Active",_xlfn.DAYS(TODAY(),EmployeeData[[#This Row],[Join Date]]),EmployeeData[[#This Row],[Status]]="Exited",_xlfn.DAYS(EmployeeData[[#This Row],[Exit Date]],EmployeeData[[#This Row],[Join Date]]))</f>
        <v>1564</v>
      </c>
      <c r="L891" cm="1">
        <f t="array" aca="1" ref="L891" ca="1">_xlfn.IFS(EmployeeData[[#This Row],[Status]]="Exited",DATEDIF(EmployeeData[[#This Row],[Join Date]], EmployeeData[[#This Row],[Exit Date]], "Y"),EmployeeData[[#This Row],[Status]]="Active",DATEDIF(EmployeeData[[#This Row],[Join Date]], TODAY(), "Y"))</f>
        <v>4</v>
      </c>
      <c r="Q891" t="str" cm="1">
        <f t="array" aca="1" ref="Q8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11 days</v>
      </c>
    </row>
    <row r="892" spans="1:17" x14ac:dyDescent="0.3">
      <c r="A892">
        <v>1891</v>
      </c>
      <c r="B892" t="s">
        <v>364</v>
      </c>
      <c r="C892" t="s">
        <v>23</v>
      </c>
      <c r="D892" t="s">
        <v>24</v>
      </c>
      <c r="E892">
        <v>52</v>
      </c>
      <c r="F892" t="str" cm="1">
        <f t="array" ref="F892">_xlfn.IFS(EmployeeData[[#This Row],[Age]]&lt;30,"20s",EmployeeData[[#This Row],[Age]]&lt;40,"30s",EmployeeData[[#This Row],[Age]]&lt;50,"40s",EmployeeData[[#This Row],[Age]]&lt;60,"50s",EmployeeData[[#This Row],[Age]]&gt;=60,"60s")</f>
        <v>50s</v>
      </c>
      <c r="G892" s="5">
        <v>45041</v>
      </c>
      <c r="H892" s="5">
        <v>45952</v>
      </c>
      <c r="I892" t="s">
        <v>28</v>
      </c>
      <c r="J892" t="s">
        <v>13</v>
      </c>
      <c r="K892" cm="1">
        <f t="array" aca="1" ref="K892" ca="1">_xlfn.IFS(EmployeeData[[#This Row],[Status]]="Active",_xlfn.DAYS(TODAY(),EmployeeData[[#This Row],[Join Date]]),EmployeeData[[#This Row],[Status]]="Exited",_xlfn.DAYS(EmployeeData[[#This Row],[Exit Date]],EmployeeData[[#This Row],[Join Date]]))</f>
        <v>911</v>
      </c>
      <c r="L892" cm="1">
        <f t="array" aca="1" ref="L892" ca="1">_xlfn.IFS(EmployeeData[[#This Row],[Status]]="Exited",DATEDIF(EmployeeData[[#This Row],[Join Date]], EmployeeData[[#This Row],[Exit Date]], "Y"),EmployeeData[[#This Row],[Status]]="Active",DATEDIF(EmployeeData[[#This Row],[Join Date]], TODAY(), "Y"))</f>
        <v>2</v>
      </c>
      <c r="Q892" t="str" cm="1">
        <f t="array" aca="1" ref="Q8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27 days</v>
      </c>
    </row>
    <row r="893" spans="1:17" x14ac:dyDescent="0.3">
      <c r="A893">
        <v>1892</v>
      </c>
      <c r="B893" t="s">
        <v>485</v>
      </c>
      <c r="C893" t="s">
        <v>33</v>
      </c>
      <c r="D893" t="s">
        <v>24</v>
      </c>
      <c r="E893">
        <v>36</v>
      </c>
      <c r="F893" t="str" cm="1">
        <f t="array" ref="F893">_xlfn.IFS(EmployeeData[[#This Row],[Age]]&lt;30,"20s",EmployeeData[[#This Row],[Age]]&lt;40,"30s",EmployeeData[[#This Row],[Age]]&lt;50,"40s",EmployeeData[[#This Row],[Age]]&lt;60,"50s",EmployeeData[[#This Row],[Age]]&gt;=60,"60s")</f>
        <v>30s</v>
      </c>
      <c r="G893" s="5">
        <v>44722</v>
      </c>
      <c r="H893" s="5">
        <v>45682</v>
      </c>
      <c r="I893" t="s">
        <v>52</v>
      </c>
      <c r="J893" t="s">
        <v>13</v>
      </c>
      <c r="K893" cm="1">
        <f t="array" aca="1" ref="K893" ca="1">_xlfn.IFS(EmployeeData[[#This Row],[Status]]="Active",_xlfn.DAYS(TODAY(),EmployeeData[[#This Row],[Join Date]]),EmployeeData[[#This Row],[Status]]="Exited",_xlfn.DAYS(EmployeeData[[#This Row],[Exit Date]],EmployeeData[[#This Row],[Join Date]]))</f>
        <v>960</v>
      </c>
      <c r="L893" cm="1">
        <f t="array" aca="1" ref="L893" ca="1">_xlfn.IFS(EmployeeData[[#This Row],[Status]]="Exited",DATEDIF(EmployeeData[[#This Row],[Join Date]], EmployeeData[[#This Row],[Exit Date]], "Y"),EmployeeData[[#This Row],[Status]]="Active",DATEDIF(EmployeeData[[#This Row],[Join Date]], TODAY(), "Y"))</f>
        <v>2</v>
      </c>
      <c r="Q893" t="str" cm="1">
        <f t="array" aca="1" ref="Q8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15 days</v>
      </c>
    </row>
    <row r="894" spans="1:17" x14ac:dyDescent="0.3">
      <c r="A894">
        <v>1893</v>
      </c>
      <c r="B894" t="s">
        <v>322</v>
      </c>
      <c r="C894" t="s">
        <v>10</v>
      </c>
      <c r="D894" t="s">
        <v>24</v>
      </c>
      <c r="E894">
        <v>51</v>
      </c>
      <c r="F894" t="str" cm="1">
        <f t="array" ref="F894">_xlfn.IFS(EmployeeData[[#This Row],[Age]]&lt;30,"20s",EmployeeData[[#This Row],[Age]]&lt;40,"30s",EmployeeData[[#This Row],[Age]]&lt;50,"40s",EmployeeData[[#This Row],[Age]]&lt;60,"50s",EmployeeData[[#This Row],[Age]]&gt;=60,"60s")</f>
        <v>50s</v>
      </c>
      <c r="G894" s="5">
        <v>43445</v>
      </c>
      <c r="H894" s="5">
        <v>44975</v>
      </c>
      <c r="I894" t="s">
        <v>26</v>
      </c>
      <c r="J894" t="s">
        <v>13</v>
      </c>
      <c r="K894" cm="1">
        <f t="array" aca="1" ref="K894" ca="1">_xlfn.IFS(EmployeeData[[#This Row],[Status]]="Active",_xlfn.DAYS(TODAY(),EmployeeData[[#This Row],[Join Date]]),EmployeeData[[#This Row],[Status]]="Exited",_xlfn.DAYS(EmployeeData[[#This Row],[Exit Date]],EmployeeData[[#This Row],[Join Date]]))</f>
        <v>1530</v>
      </c>
      <c r="L894" cm="1">
        <f t="array" aca="1" ref="L894" ca="1">_xlfn.IFS(EmployeeData[[#This Row],[Status]]="Exited",DATEDIF(EmployeeData[[#This Row],[Join Date]], EmployeeData[[#This Row],[Exit Date]], "Y"),EmployeeData[[#This Row],[Status]]="Active",DATEDIF(EmployeeData[[#This Row],[Join Date]], TODAY(), "Y"))</f>
        <v>4</v>
      </c>
      <c r="Q894" t="str" cm="1">
        <f t="array" aca="1" ref="Q8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7 days</v>
      </c>
    </row>
    <row r="895" spans="1:17" x14ac:dyDescent="0.3">
      <c r="A895">
        <v>1894</v>
      </c>
      <c r="B895" t="s">
        <v>719</v>
      </c>
      <c r="C895" t="s">
        <v>10</v>
      </c>
      <c r="D895" t="s">
        <v>24</v>
      </c>
      <c r="E895">
        <v>47</v>
      </c>
      <c r="F895" t="str" cm="1">
        <f t="array" ref="F895">_xlfn.IFS(EmployeeData[[#This Row],[Age]]&lt;30,"20s",EmployeeData[[#This Row],[Age]]&lt;40,"30s",EmployeeData[[#This Row],[Age]]&lt;50,"40s",EmployeeData[[#This Row],[Age]]&lt;60,"50s",EmployeeData[[#This Row],[Age]]&gt;=60,"60s")</f>
        <v>40s</v>
      </c>
      <c r="G895" s="5">
        <v>44606</v>
      </c>
      <c r="I895" t="s">
        <v>17</v>
      </c>
      <c r="J895" t="s">
        <v>18</v>
      </c>
      <c r="K895" cm="1">
        <f t="array" aca="1" ref="K895" ca="1">_xlfn.IFS(EmployeeData[[#This Row],[Status]]="Active",_xlfn.DAYS(TODAY(),EmployeeData[[#This Row],[Join Date]]),EmployeeData[[#This Row],[Status]]="Exited",_xlfn.DAYS(EmployeeData[[#This Row],[Exit Date]],EmployeeData[[#This Row],[Join Date]]))</f>
        <v>1591</v>
      </c>
      <c r="L895" cm="1">
        <f t="array" aca="1" ref="L895" ca="1">_xlfn.IFS(EmployeeData[[#This Row],[Status]]="Exited",DATEDIF(EmployeeData[[#This Row],[Join Date]], EmployeeData[[#This Row],[Exit Date]], "Y"),EmployeeData[[#This Row],[Status]]="Active",DATEDIF(EmployeeData[[#This Row],[Join Date]], TODAY(), "Y"))</f>
        <v>4</v>
      </c>
      <c r="Q895" t="str" cm="1">
        <f t="array" aca="1" ref="Q8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10 days</v>
      </c>
    </row>
    <row r="896" spans="1:17" x14ac:dyDescent="0.3">
      <c r="A896">
        <v>1895</v>
      </c>
      <c r="B896" t="s">
        <v>241</v>
      </c>
      <c r="C896" t="s">
        <v>10</v>
      </c>
      <c r="D896" t="s">
        <v>16</v>
      </c>
      <c r="E896">
        <v>25</v>
      </c>
      <c r="F896" t="str" cm="1">
        <f t="array" ref="F896">_xlfn.IFS(EmployeeData[[#This Row],[Age]]&lt;30,"20s",EmployeeData[[#This Row],[Age]]&lt;40,"30s",EmployeeData[[#This Row],[Age]]&lt;50,"40s",EmployeeData[[#This Row],[Age]]&lt;60,"50s",EmployeeData[[#This Row],[Age]]&gt;=60,"60s")</f>
        <v>20s</v>
      </c>
      <c r="G896" s="5">
        <v>44571</v>
      </c>
      <c r="I896" t="s">
        <v>17</v>
      </c>
      <c r="J896" t="s">
        <v>18</v>
      </c>
      <c r="K896" cm="1">
        <f t="array" aca="1" ref="K896" ca="1">_xlfn.IFS(EmployeeData[[#This Row],[Status]]="Active",_xlfn.DAYS(TODAY(),EmployeeData[[#This Row],[Join Date]]),EmployeeData[[#This Row],[Status]]="Exited",_xlfn.DAYS(EmployeeData[[#This Row],[Exit Date]],EmployeeData[[#This Row],[Join Date]]))</f>
        <v>1626</v>
      </c>
      <c r="L896" cm="1">
        <f t="array" aca="1" ref="L896" ca="1">_xlfn.IFS(EmployeeData[[#This Row],[Status]]="Exited",DATEDIF(EmployeeData[[#This Row],[Join Date]], EmployeeData[[#This Row],[Exit Date]], "Y"),EmployeeData[[#This Row],[Status]]="Active",DATEDIF(EmployeeData[[#This Row],[Join Date]], TODAY(), "Y"))</f>
        <v>4</v>
      </c>
      <c r="Q896" t="str" cm="1">
        <f t="array" aca="1" ref="Q8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14 days</v>
      </c>
    </row>
    <row r="897" spans="1:17" x14ac:dyDescent="0.3">
      <c r="A897">
        <v>1896</v>
      </c>
      <c r="B897" t="s">
        <v>616</v>
      </c>
      <c r="C897" t="s">
        <v>33</v>
      </c>
      <c r="D897" t="s">
        <v>11</v>
      </c>
      <c r="E897">
        <v>27</v>
      </c>
      <c r="F897" t="str" cm="1">
        <f t="array" ref="F897">_xlfn.IFS(EmployeeData[[#This Row],[Age]]&lt;30,"20s",EmployeeData[[#This Row],[Age]]&lt;40,"30s",EmployeeData[[#This Row],[Age]]&lt;50,"40s",EmployeeData[[#This Row],[Age]]&lt;60,"50s",EmployeeData[[#This Row],[Age]]&gt;=60,"60s")</f>
        <v>20s</v>
      </c>
      <c r="G897" s="5">
        <v>43586</v>
      </c>
      <c r="H897" s="5">
        <v>43832</v>
      </c>
      <c r="I897" t="s">
        <v>65</v>
      </c>
      <c r="J897" t="s">
        <v>13</v>
      </c>
      <c r="K897" cm="1">
        <f t="array" aca="1" ref="K897" ca="1">_xlfn.IFS(EmployeeData[[#This Row],[Status]]="Active",_xlfn.DAYS(TODAY(),EmployeeData[[#This Row],[Join Date]]),EmployeeData[[#This Row],[Status]]="Exited",_xlfn.DAYS(EmployeeData[[#This Row],[Exit Date]],EmployeeData[[#This Row],[Join Date]]))</f>
        <v>246</v>
      </c>
      <c r="L897" cm="1">
        <f t="array" aca="1" ref="L897" ca="1">_xlfn.IFS(EmployeeData[[#This Row],[Status]]="Exited",DATEDIF(EmployeeData[[#This Row],[Join Date]], EmployeeData[[#This Row],[Exit Date]], "Y"),EmployeeData[[#This Row],[Status]]="Active",DATEDIF(EmployeeData[[#This Row],[Join Date]], TODAY(), "Y"))</f>
        <v>0</v>
      </c>
      <c r="Q897" t="str" cm="1">
        <f t="array" aca="1" ref="Q8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1 days</v>
      </c>
    </row>
    <row r="898" spans="1:17" x14ac:dyDescent="0.3">
      <c r="A898">
        <v>1897</v>
      </c>
      <c r="B898" t="s">
        <v>607</v>
      </c>
      <c r="C898" t="s">
        <v>10</v>
      </c>
      <c r="D898" t="s">
        <v>11</v>
      </c>
      <c r="E898">
        <v>38</v>
      </c>
      <c r="F898" t="str" cm="1">
        <f t="array" ref="F898">_xlfn.IFS(EmployeeData[[#This Row],[Age]]&lt;30,"20s",EmployeeData[[#This Row],[Age]]&lt;40,"30s",EmployeeData[[#This Row],[Age]]&lt;50,"40s",EmployeeData[[#This Row],[Age]]&lt;60,"50s",EmployeeData[[#This Row],[Age]]&gt;=60,"60s")</f>
        <v>30s</v>
      </c>
      <c r="G898" s="5">
        <v>43881</v>
      </c>
      <c r="I898" t="s">
        <v>17</v>
      </c>
      <c r="J898" t="s">
        <v>18</v>
      </c>
      <c r="K898" cm="1">
        <f t="array" aca="1" ref="K898" ca="1">_xlfn.IFS(EmployeeData[[#This Row],[Status]]="Active",_xlfn.DAYS(TODAY(),EmployeeData[[#This Row],[Join Date]]),EmployeeData[[#This Row],[Status]]="Exited",_xlfn.DAYS(EmployeeData[[#This Row],[Exit Date]],EmployeeData[[#This Row],[Join Date]]))</f>
        <v>2316</v>
      </c>
      <c r="L898" cm="1">
        <f t="array" aca="1" ref="L898" ca="1">_xlfn.IFS(EmployeeData[[#This Row],[Status]]="Exited",DATEDIF(EmployeeData[[#This Row],[Join Date]], EmployeeData[[#This Row],[Exit Date]], "Y"),EmployeeData[[#This Row],[Status]]="Active",DATEDIF(EmployeeData[[#This Row],[Join Date]], TODAY(), "Y"))</f>
        <v>6</v>
      </c>
      <c r="Q898" t="str" cm="1">
        <f t="array" aca="1" ref="Q8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4 days</v>
      </c>
    </row>
    <row r="899" spans="1:17" x14ac:dyDescent="0.3">
      <c r="A899">
        <v>1898</v>
      </c>
      <c r="B899" t="s">
        <v>939</v>
      </c>
      <c r="C899" t="s">
        <v>46</v>
      </c>
      <c r="D899" t="s">
        <v>16</v>
      </c>
      <c r="E899">
        <v>40</v>
      </c>
      <c r="F899" t="str" cm="1">
        <f t="array" ref="F899">_xlfn.IFS(EmployeeData[[#This Row],[Age]]&lt;30,"20s",EmployeeData[[#This Row],[Age]]&lt;40,"30s",EmployeeData[[#This Row],[Age]]&lt;50,"40s",EmployeeData[[#This Row],[Age]]&lt;60,"50s",EmployeeData[[#This Row],[Age]]&gt;=60,"60s")</f>
        <v>40s</v>
      </c>
      <c r="G899" s="5">
        <v>44255</v>
      </c>
      <c r="I899" t="s">
        <v>17</v>
      </c>
      <c r="J899" t="s">
        <v>18</v>
      </c>
      <c r="K899" cm="1">
        <f t="array" aca="1" ref="K899" ca="1">_xlfn.IFS(EmployeeData[[#This Row],[Status]]="Active",_xlfn.DAYS(TODAY(),EmployeeData[[#This Row],[Join Date]]),EmployeeData[[#This Row],[Status]]="Exited",_xlfn.DAYS(EmployeeData[[#This Row],[Exit Date]],EmployeeData[[#This Row],[Join Date]]))</f>
        <v>1942</v>
      </c>
      <c r="L899" cm="1">
        <f t="array" aca="1" ref="L899" ca="1">_xlfn.IFS(EmployeeData[[#This Row],[Status]]="Exited",DATEDIF(EmployeeData[[#This Row],[Join Date]], EmployeeData[[#This Row],[Exit Date]], "Y"),EmployeeData[[#This Row],[Status]]="Active",DATEDIF(EmployeeData[[#This Row],[Join Date]], TODAY(), "Y"))</f>
        <v>5</v>
      </c>
      <c r="Q899" t="str" cm="1">
        <f t="array" aca="1" ref="Q8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3 months 27 days</v>
      </c>
    </row>
    <row r="900" spans="1:17" x14ac:dyDescent="0.3">
      <c r="A900">
        <v>1899</v>
      </c>
      <c r="B900" t="s">
        <v>647</v>
      </c>
      <c r="C900" t="s">
        <v>20</v>
      </c>
      <c r="D900" t="s">
        <v>16</v>
      </c>
      <c r="E900">
        <v>53</v>
      </c>
      <c r="F900" t="str" cm="1">
        <f t="array" ref="F900">_xlfn.IFS(EmployeeData[[#This Row],[Age]]&lt;30,"20s",EmployeeData[[#This Row],[Age]]&lt;40,"30s",EmployeeData[[#This Row],[Age]]&lt;50,"40s",EmployeeData[[#This Row],[Age]]&lt;60,"50s",EmployeeData[[#This Row],[Age]]&gt;=60,"60s")</f>
        <v>50s</v>
      </c>
      <c r="G900" s="5">
        <v>43712</v>
      </c>
      <c r="I900" t="s">
        <v>17</v>
      </c>
      <c r="J900" t="s">
        <v>18</v>
      </c>
      <c r="K900" cm="1">
        <f t="array" aca="1" ref="K900" ca="1">_xlfn.IFS(EmployeeData[[#This Row],[Status]]="Active",_xlfn.DAYS(TODAY(),EmployeeData[[#This Row],[Join Date]]),EmployeeData[[#This Row],[Status]]="Exited",_xlfn.DAYS(EmployeeData[[#This Row],[Exit Date]],EmployeeData[[#This Row],[Join Date]]))</f>
        <v>2485</v>
      </c>
      <c r="L900" cm="1">
        <f t="array" aca="1" ref="L900" ca="1">_xlfn.IFS(EmployeeData[[#This Row],[Status]]="Exited",DATEDIF(EmployeeData[[#This Row],[Join Date]], EmployeeData[[#This Row],[Exit Date]], "Y"),EmployeeData[[#This Row],[Status]]="Active",DATEDIF(EmployeeData[[#This Row],[Join Date]], TODAY(), "Y"))</f>
        <v>6</v>
      </c>
      <c r="Q900" t="str" cm="1">
        <f t="array" aca="1" ref="Q9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20 days</v>
      </c>
    </row>
    <row r="901" spans="1:17" x14ac:dyDescent="0.3">
      <c r="A901">
        <v>1900</v>
      </c>
      <c r="B901" t="s">
        <v>1039</v>
      </c>
      <c r="C901" t="s">
        <v>15</v>
      </c>
      <c r="D901" t="s">
        <v>16</v>
      </c>
      <c r="E901">
        <v>58</v>
      </c>
      <c r="F901" t="str" cm="1">
        <f t="array" ref="F901">_xlfn.IFS(EmployeeData[[#This Row],[Age]]&lt;30,"20s",EmployeeData[[#This Row],[Age]]&lt;40,"30s",EmployeeData[[#This Row],[Age]]&lt;50,"40s",EmployeeData[[#This Row],[Age]]&lt;60,"50s",EmployeeData[[#This Row],[Age]]&gt;=60,"60s")</f>
        <v>50s</v>
      </c>
      <c r="G901" s="5">
        <v>45364</v>
      </c>
      <c r="I901" t="s">
        <v>17</v>
      </c>
      <c r="J901" t="s">
        <v>18</v>
      </c>
      <c r="K901" cm="1">
        <f t="array" aca="1" ref="K901" ca="1">_xlfn.IFS(EmployeeData[[#This Row],[Status]]="Active",_xlfn.DAYS(TODAY(),EmployeeData[[#This Row],[Join Date]]),EmployeeData[[#This Row],[Status]]="Exited",_xlfn.DAYS(EmployeeData[[#This Row],[Exit Date]],EmployeeData[[#This Row],[Join Date]]))</f>
        <v>833</v>
      </c>
      <c r="L901" cm="1">
        <f t="array" aca="1" ref="L901" ca="1">_xlfn.IFS(EmployeeData[[#This Row],[Status]]="Exited",DATEDIF(EmployeeData[[#This Row],[Join Date]], EmployeeData[[#This Row],[Exit Date]], "Y"),EmployeeData[[#This Row],[Status]]="Active",DATEDIF(EmployeeData[[#This Row],[Join Date]], TODAY(), "Y"))</f>
        <v>2</v>
      </c>
      <c r="Q901" t="str" cm="1">
        <f t="array" aca="1" ref="Q9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11 days</v>
      </c>
    </row>
    <row r="902" spans="1:17" x14ac:dyDescent="0.3">
      <c r="A902">
        <v>1901</v>
      </c>
      <c r="B902" t="s">
        <v>991</v>
      </c>
      <c r="C902" t="s">
        <v>10</v>
      </c>
      <c r="D902" t="s">
        <v>16</v>
      </c>
      <c r="E902">
        <v>47</v>
      </c>
      <c r="F902" t="str" cm="1">
        <f t="array" ref="F902">_xlfn.IFS(EmployeeData[[#This Row],[Age]]&lt;30,"20s",EmployeeData[[#This Row],[Age]]&lt;40,"30s",EmployeeData[[#This Row],[Age]]&lt;50,"40s",EmployeeData[[#This Row],[Age]]&lt;60,"50s",EmployeeData[[#This Row],[Age]]&gt;=60,"60s")</f>
        <v>40s</v>
      </c>
      <c r="G902" s="5">
        <v>43959</v>
      </c>
      <c r="I902" t="s">
        <v>17</v>
      </c>
      <c r="J902" t="s">
        <v>18</v>
      </c>
      <c r="K902" cm="1">
        <f t="array" aca="1" ref="K902" ca="1">_xlfn.IFS(EmployeeData[[#This Row],[Status]]="Active",_xlfn.DAYS(TODAY(),EmployeeData[[#This Row],[Join Date]]),EmployeeData[[#This Row],[Status]]="Exited",_xlfn.DAYS(EmployeeData[[#This Row],[Exit Date]],EmployeeData[[#This Row],[Join Date]]))</f>
        <v>2238</v>
      </c>
      <c r="L902" cm="1">
        <f t="array" aca="1" ref="L902" ca="1">_xlfn.IFS(EmployeeData[[#This Row],[Status]]="Exited",DATEDIF(EmployeeData[[#This Row],[Join Date]], EmployeeData[[#This Row],[Exit Date]], "Y"),EmployeeData[[#This Row],[Status]]="Active",DATEDIF(EmployeeData[[#This Row],[Join Date]], TODAY(), "Y"))</f>
        <v>6</v>
      </c>
      <c r="Q902" t="str" cm="1">
        <f t="array" aca="1" ref="Q9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16 days</v>
      </c>
    </row>
    <row r="903" spans="1:17" x14ac:dyDescent="0.3">
      <c r="A903">
        <v>1902</v>
      </c>
      <c r="B903" t="s">
        <v>35</v>
      </c>
      <c r="C903" t="s">
        <v>10</v>
      </c>
      <c r="D903" t="s">
        <v>11</v>
      </c>
      <c r="E903">
        <v>52</v>
      </c>
      <c r="F903" t="str" cm="1">
        <f t="array" ref="F903">_xlfn.IFS(EmployeeData[[#This Row],[Age]]&lt;30,"20s",EmployeeData[[#This Row],[Age]]&lt;40,"30s",EmployeeData[[#This Row],[Age]]&lt;50,"40s",EmployeeData[[#This Row],[Age]]&lt;60,"50s",EmployeeData[[#This Row],[Age]]&gt;=60,"60s")</f>
        <v>50s</v>
      </c>
      <c r="G903" s="5">
        <v>45799</v>
      </c>
      <c r="I903" t="s">
        <v>17</v>
      </c>
      <c r="J903" t="s">
        <v>18</v>
      </c>
      <c r="K903" cm="1">
        <f t="array" aca="1" ref="K903" ca="1">_xlfn.IFS(EmployeeData[[#This Row],[Status]]="Active",_xlfn.DAYS(TODAY(),EmployeeData[[#This Row],[Join Date]]),EmployeeData[[#This Row],[Status]]="Exited",_xlfn.DAYS(EmployeeData[[#This Row],[Exit Date]],EmployeeData[[#This Row],[Join Date]]))</f>
        <v>398</v>
      </c>
      <c r="L903" cm="1">
        <f t="array" aca="1" ref="L903" ca="1">_xlfn.IFS(EmployeeData[[#This Row],[Status]]="Exited",DATEDIF(EmployeeData[[#This Row],[Join Date]], EmployeeData[[#This Row],[Exit Date]], "Y"),EmployeeData[[#This Row],[Status]]="Active",DATEDIF(EmployeeData[[#This Row],[Join Date]], TODAY(), "Y"))</f>
        <v>1</v>
      </c>
      <c r="Q903" t="str" cm="1">
        <f t="array" aca="1" ref="Q9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 days</v>
      </c>
    </row>
    <row r="904" spans="1:17" x14ac:dyDescent="0.3">
      <c r="A904">
        <v>1903</v>
      </c>
      <c r="B904" t="s">
        <v>913</v>
      </c>
      <c r="C904" t="s">
        <v>20</v>
      </c>
      <c r="D904" t="s">
        <v>11</v>
      </c>
      <c r="E904">
        <v>40</v>
      </c>
      <c r="F904" t="str" cm="1">
        <f t="array" ref="F904">_xlfn.IFS(EmployeeData[[#This Row],[Age]]&lt;30,"20s",EmployeeData[[#This Row],[Age]]&lt;40,"30s",EmployeeData[[#This Row],[Age]]&lt;50,"40s",EmployeeData[[#This Row],[Age]]&lt;60,"50s",EmployeeData[[#This Row],[Age]]&gt;=60,"60s")</f>
        <v>40s</v>
      </c>
      <c r="G904" s="5">
        <v>44436</v>
      </c>
      <c r="I904" t="s">
        <v>17</v>
      </c>
      <c r="J904" t="s">
        <v>18</v>
      </c>
      <c r="K904" cm="1">
        <f t="array" aca="1" ref="K904" ca="1">_xlfn.IFS(EmployeeData[[#This Row],[Status]]="Active",_xlfn.DAYS(TODAY(),EmployeeData[[#This Row],[Join Date]]),EmployeeData[[#This Row],[Status]]="Exited",_xlfn.DAYS(EmployeeData[[#This Row],[Exit Date]],EmployeeData[[#This Row],[Join Date]]))</f>
        <v>1761</v>
      </c>
      <c r="L904" cm="1">
        <f t="array" aca="1" ref="L904" ca="1">_xlfn.IFS(EmployeeData[[#This Row],[Status]]="Exited",DATEDIF(EmployeeData[[#This Row],[Join Date]], EmployeeData[[#This Row],[Exit Date]], "Y"),EmployeeData[[#This Row],[Status]]="Active",DATEDIF(EmployeeData[[#This Row],[Join Date]], TODAY(), "Y"))</f>
        <v>4</v>
      </c>
      <c r="Q904" t="str" cm="1">
        <f t="array" aca="1" ref="Q9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27 days</v>
      </c>
    </row>
    <row r="905" spans="1:17" x14ac:dyDescent="0.3">
      <c r="A905">
        <v>1904</v>
      </c>
      <c r="B905" t="s">
        <v>173</v>
      </c>
      <c r="C905" t="s">
        <v>15</v>
      </c>
      <c r="D905" t="s">
        <v>11</v>
      </c>
      <c r="E905">
        <v>42</v>
      </c>
      <c r="F905" t="str" cm="1">
        <f t="array" ref="F905">_xlfn.IFS(EmployeeData[[#This Row],[Age]]&lt;30,"20s",EmployeeData[[#This Row],[Age]]&lt;40,"30s",EmployeeData[[#This Row],[Age]]&lt;50,"40s",EmployeeData[[#This Row],[Age]]&lt;60,"50s",EmployeeData[[#This Row],[Age]]&gt;=60,"60s")</f>
        <v>40s</v>
      </c>
      <c r="G905" s="5">
        <v>45428</v>
      </c>
      <c r="I905" t="s">
        <v>17</v>
      </c>
      <c r="J905" t="s">
        <v>18</v>
      </c>
      <c r="K905" cm="1">
        <f t="array" aca="1" ref="K905" ca="1">_xlfn.IFS(EmployeeData[[#This Row],[Status]]="Active",_xlfn.DAYS(TODAY(),EmployeeData[[#This Row],[Join Date]]),EmployeeData[[#This Row],[Status]]="Exited",_xlfn.DAYS(EmployeeData[[#This Row],[Exit Date]],EmployeeData[[#This Row],[Join Date]]))</f>
        <v>769</v>
      </c>
      <c r="L905" cm="1">
        <f t="array" aca="1" ref="L905" ca="1">_xlfn.IFS(EmployeeData[[#This Row],[Status]]="Exited",DATEDIF(EmployeeData[[#This Row],[Join Date]], EmployeeData[[#This Row],[Exit Date]], "Y"),EmployeeData[[#This Row],[Status]]="Active",DATEDIF(EmployeeData[[#This Row],[Join Date]], TODAY(), "Y"))</f>
        <v>2</v>
      </c>
      <c r="Q905" t="str" cm="1">
        <f t="array" aca="1" ref="Q9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8 days</v>
      </c>
    </row>
    <row r="906" spans="1:17" x14ac:dyDescent="0.3">
      <c r="A906">
        <v>1905</v>
      </c>
      <c r="B906" t="s">
        <v>260</v>
      </c>
      <c r="C906" t="s">
        <v>46</v>
      </c>
      <c r="D906" t="s">
        <v>16</v>
      </c>
      <c r="E906">
        <v>46</v>
      </c>
      <c r="F906" t="str" cm="1">
        <f t="array" ref="F906">_xlfn.IFS(EmployeeData[[#This Row],[Age]]&lt;30,"20s",EmployeeData[[#This Row],[Age]]&lt;40,"30s",EmployeeData[[#This Row],[Age]]&lt;50,"40s",EmployeeData[[#This Row],[Age]]&lt;60,"50s",EmployeeData[[#This Row],[Age]]&gt;=60,"60s")</f>
        <v>40s</v>
      </c>
      <c r="G906" s="5">
        <v>43361</v>
      </c>
      <c r="I906" t="s">
        <v>17</v>
      </c>
      <c r="J906" t="s">
        <v>18</v>
      </c>
      <c r="K906" cm="1">
        <f t="array" aca="1" ref="K906" ca="1">_xlfn.IFS(EmployeeData[[#This Row],[Status]]="Active",_xlfn.DAYS(TODAY(),EmployeeData[[#This Row],[Join Date]]),EmployeeData[[#This Row],[Status]]="Exited",_xlfn.DAYS(EmployeeData[[#This Row],[Exit Date]],EmployeeData[[#This Row],[Join Date]]))</f>
        <v>2836</v>
      </c>
      <c r="L906" cm="1">
        <f t="array" aca="1" ref="L906" ca="1">_xlfn.IFS(EmployeeData[[#This Row],[Status]]="Exited",DATEDIF(EmployeeData[[#This Row],[Join Date]], EmployeeData[[#This Row],[Exit Date]], "Y"),EmployeeData[[#This Row],[Status]]="Active",DATEDIF(EmployeeData[[#This Row],[Join Date]], TODAY(), "Y"))</f>
        <v>7</v>
      </c>
      <c r="Q906" t="str" cm="1">
        <f t="array" aca="1" ref="Q9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9 months 6 days</v>
      </c>
    </row>
    <row r="907" spans="1:17" x14ac:dyDescent="0.3">
      <c r="A907">
        <v>1906</v>
      </c>
      <c r="B907" t="s">
        <v>42</v>
      </c>
      <c r="C907" t="s">
        <v>23</v>
      </c>
      <c r="D907" t="s">
        <v>16</v>
      </c>
      <c r="E907">
        <v>31</v>
      </c>
      <c r="F907" t="str" cm="1">
        <f t="array" ref="F907">_xlfn.IFS(EmployeeData[[#This Row],[Age]]&lt;30,"20s",EmployeeData[[#This Row],[Age]]&lt;40,"30s",EmployeeData[[#This Row],[Age]]&lt;50,"40s",EmployeeData[[#This Row],[Age]]&lt;60,"50s",EmployeeData[[#This Row],[Age]]&gt;=60,"60s")</f>
        <v>30s</v>
      </c>
      <c r="G907" s="5">
        <v>43528</v>
      </c>
      <c r="I907" t="s">
        <v>17</v>
      </c>
      <c r="J907" t="s">
        <v>18</v>
      </c>
      <c r="K907" cm="1">
        <f t="array" aca="1" ref="K907" ca="1">_xlfn.IFS(EmployeeData[[#This Row],[Status]]="Active",_xlfn.DAYS(TODAY(),EmployeeData[[#This Row],[Join Date]]),EmployeeData[[#This Row],[Status]]="Exited",_xlfn.DAYS(EmployeeData[[#This Row],[Exit Date]],EmployeeData[[#This Row],[Join Date]]))</f>
        <v>2669</v>
      </c>
      <c r="L907" cm="1">
        <f t="array" aca="1" ref="L907" ca="1">_xlfn.IFS(EmployeeData[[#This Row],[Status]]="Exited",DATEDIF(EmployeeData[[#This Row],[Join Date]], EmployeeData[[#This Row],[Exit Date]], "Y"),EmployeeData[[#This Row],[Status]]="Active",DATEDIF(EmployeeData[[#This Row],[Join Date]], TODAY(), "Y"))</f>
        <v>7</v>
      </c>
      <c r="Q907" t="str" cm="1">
        <f t="array" aca="1" ref="Q9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20 days</v>
      </c>
    </row>
    <row r="908" spans="1:17" x14ac:dyDescent="0.3">
      <c r="A908">
        <v>1907</v>
      </c>
      <c r="B908" t="s">
        <v>38</v>
      </c>
      <c r="C908" t="s">
        <v>23</v>
      </c>
      <c r="D908" t="s">
        <v>16</v>
      </c>
      <c r="E908">
        <v>33</v>
      </c>
      <c r="F908" t="str" cm="1">
        <f t="array" ref="F908">_xlfn.IFS(EmployeeData[[#This Row],[Age]]&lt;30,"20s",EmployeeData[[#This Row],[Age]]&lt;40,"30s",EmployeeData[[#This Row],[Age]]&lt;50,"40s",EmployeeData[[#This Row],[Age]]&lt;60,"50s",EmployeeData[[#This Row],[Age]]&gt;=60,"60s")</f>
        <v>30s</v>
      </c>
      <c r="G908" s="5">
        <v>43385</v>
      </c>
      <c r="I908" t="s">
        <v>17</v>
      </c>
      <c r="J908" t="s">
        <v>18</v>
      </c>
      <c r="K908" cm="1">
        <f t="array" aca="1" ref="K908" ca="1">_xlfn.IFS(EmployeeData[[#This Row],[Status]]="Active",_xlfn.DAYS(TODAY(),EmployeeData[[#This Row],[Join Date]]),EmployeeData[[#This Row],[Status]]="Exited",_xlfn.DAYS(EmployeeData[[#This Row],[Exit Date]],EmployeeData[[#This Row],[Join Date]]))</f>
        <v>2812</v>
      </c>
      <c r="L908" cm="1">
        <f t="array" aca="1" ref="L908" ca="1">_xlfn.IFS(EmployeeData[[#This Row],[Status]]="Exited",DATEDIF(EmployeeData[[#This Row],[Join Date]], EmployeeData[[#This Row],[Exit Date]], "Y"),EmployeeData[[#This Row],[Status]]="Active",DATEDIF(EmployeeData[[#This Row],[Join Date]], TODAY(), "Y"))</f>
        <v>7</v>
      </c>
      <c r="Q908" t="str" cm="1">
        <f t="array" aca="1" ref="Q9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12 days</v>
      </c>
    </row>
    <row r="909" spans="1:17" x14ac:dyDescent="0.3">
      <c r="A909">
        <v>1908</v>
      </c>
      <c r="B909" t="s">
        <v>789</v>
      </c>
      <c r="C909" t="s">
        <v>20</v>
      </c>
      <c r="D909" t="s">
        <v>16</v>
      </c>
      <c r="E909">
        <v>24</v>
      </c>
      <c r="F909" t="str" cm="1">
        <f t="array" ref="F909">_xlfn.IFS(EmployeeData[[#This Row],[Age]]&lt;30,"20s",EmployeeData[[#This Row],[Age]]&lt;40,"30s",EmployeeData[[#This Row],[Age]]&lt;50,"40s",EmployeeData[[#This Row],[Age]]&lt;60,"50s",EmployeeData[[#This Row],[Age]]&gt;=60,"60s")</f>
        <v>20s</v>
      </c>
      <c r="G909" s="5">
        <v>44610</v>
      </c>
      <c r="I909" t="s">
        <v>17</v>
      </c>
      <c r="J909" t="s">
        <v>18</v>
      </c>
      <c r="K909" cm="1">
        <f t="array" aca="1" ref="K909" ca="1">_xlfn.IFS(EmployeeData[[#This Row],[Status]]="Active",_xlfn.DAYS(TODAY(),EmployeeData[[#This Row],[Join Date]]),EmployeeData[[#This Row],[Status]]="Exited",_xlfn.DAYS(EmployeeData[[#This Row],[Exit Date]],EmployeeData[[#This Row],[Join Date]]))</f>
        <v>1587</v>
      </c>
      <c r="L909" cm="1">
        <f t="array" aca="1" ref="L909" ca="1">_xlfn.IFS(EmployeeData[[#This Row],[Status]]="Exited",DATEDIF(EmployeeData[[#This Row],[Join Date]], EmployeeData[[#This Row],[Exit Date]], "Y"),EmployeeData[[#This Row],[Status]]="Active",DATEDIF(EmployeeData[[#This Row],[Join Date]], TODAY(), "Y"))</f>
        <v>4</v>
      </c>
      <c r="Q909" t="str" cm="1">
        <f t="array" aca="1" ref="Q9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6 days</v>
      </c>
    </row>
    <row r="910" spans="1:17" x14ac:dyDescent="0.3">
      <c r="A910">
        <v>1909</v>
      </c>
      <c r="B910" t="s">
        <v>851</v>
      </c>
      <c r="C910" t="s">
        <v>10</v>
      </c>
      <c r="D910" t="s">
        <v>16</v>
      </c>
      <c r="E910">
        <v>28</v>
      </c>
      <c r="F910" t="str" cm="1">
        <f t="array" ref="F910">_xlfn.IFS(EmployeeData[[#This Row],[Age]]&lt;30,"20s",EmployeeData[[#This Row],[Age]]&lt;40,"30s",EmployeeData[[#This Row],[Age]]&lt;50,"40s",EmployeeData[[#This Row],[Age]]&lt;60,"50s",EmployeeData[[#This Row],[Age]]&gt;=60,"60s")</f>
        <v>20s</v>
      </c>
      <c r="G910" s="5">
        <v>43629</v>
      </c>
      <c r="I910" t="s">
        <v>17</v>
      </c>
      <c r="J910" t="s">
        <v>18</v>
      </c>
      <c r="K910" cm="1">
        <f t="array" aca="1" ref="K910" ca="1">_xlfn.IFS(EmployeeData[[#This Row],[Status]]="Active",_xlfn.DAYS(TODAY(),EmployeeData[[#This Row],[Join Date]]),EmployeeData[[#This Row],[Status]]="Exited",_xlfn.DAYS(EmployeeData[[#This Row],[Exit Date]],EmployeeData[[#This Row],[Join Date]]))</f>
        <v>2568</v>
      </c>
      <c r="L910" cm="1">
        <f t="array" aca="1" ref="L910" ca="1">_xlfn.IFS(EmployeeData[[#This Row],[Status]]="Exited",DATEDIF(EmployeeData[[#This Row],[Join Date]], EmployeeData[[#This Row],[Exit Date]], "Y"),EmployeeData[[#This Row],[Status]]="Active",DATEDIF(EmployeeData[[#This Row],[Join Date]], TODAY(), "Y"))</f>
        <v>7</v>
      </c>
      <c r="Q910" t="str" cm="1">
        <f t="array" aca="1" ref="Q9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0 months 11 days</v>
      </c>
    </row>
    <row r="911" spans="1:17" x14ac:dyDescent="0.3">
      <c r="A911">
        <v>1910</v>
      </c>
      <c r="B911" t="s">
        <v>325</v>
      </c>
      <c r="C911" t="s">
        <v>15</v>
      </c>
      <c r="D911" t="s">
        <v>16</v>
      </c>
      <c r="E911">
        <v>48</v>
      </c>
      <c r="F911" t="str" cm="1">
        <f t="array" ref="F911">_xlfn.IFS(EmployeeData[[#This Row],[Age]]&lt;30,"20s",EmployeeData[[#This Row],[Age]]&lt;40,"30s",EmployeeData[[#This Row],[Age]]&lt;50,"40s",EmployeeData[[#This Row],[Age]]&lt;60,"50s",EmployeeData[[#This Row],[Age]]&gt;=60,"60s")</f>
        <v>40s</v>
      </c>
      <c r="G911" s="5">
        <v>45823</v>
      </c>
      <c r="I911" t="s">
        <v>17</v>
      </c>
      <c r="J911" t="s">
        <v>18</v>
      </c>
      <c r="K911" cm="1">
        <f t="array" aca="1" ref="K911" ca="1">_xlfn.IFS(EmployeeData[[#This Row],[Status]]="Active",_xlfn.DAYS(TODAY(),EmployeeData[[#This Row],[Join Date]]),EmployeeData[[#This Row],[Status]]="Exited",_xlfn.DAYS(EmployeeData[[#This Row],[Exit Date]],EmployeeData[[#This Row],[Join Date]]))</f>
        <v>374</v>
      </c>
      <c r="L911" cm="1">
        <f t="array" aca="1" ref="L911" ca="1">_xlfn.IFS(EmployeeData[[#This Row],[Status]]="Exited",DATEDIF(EmployeeData[[#This Row],[Join Date]], EmployeeData[[#This Row],[Exit Date]], "Y"),EmployeeData[[#This Row],[Status]]="Active",DATEDIF(EmployeeData[[#This Row],[Join Date]], TODAY(), "Y"))</f>
        <v>1</v>
      </c>
      <c r="Q911" t="str" cm="1">
        <f t="array" aca="1" ref="Q9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9 days</v>
      </c>
    </row>
    <row r="912" spans="1:17" x14ac:dyDescent="0.3">
      <c r="A912">
        <v>1911</v>
      </c>
      <c r="B912" t="s">
        <v>586</v>
      </c>
      <c r="C912" t="s">
        <v>10</v>
      </c>
      <c r="D912" t="s">
        <v>16</v>
      </c>
      <c r="E912">
        <v>30</v>
      </c>
      <c r="F912" t="str" cm="1">
        <f t="array" ref="F912">_xlfn.IFS(EmployeeData[[#This Row],[Age]]&lt;30,"20s",EmployeeData[[#This Row],[Age]]&lt;40,"30s",EmployeeData[[#This Row],[Age]]&lt;50,"40s",EmployeeData[[#This Row],[Age]]&lt;60,"50s",EmployeeData[[#This Row],[Age]]&gt;=60,"60s")</f>
        <v>30s</v>
      </c>
      <c r="G912" s="5">
        <v>44926</v>
      </c>
      <c r="H912" s="5">
        <v>45833</v>
      </c>
      <c r="I912" t="s">
        <v>28</v>
      </c>
      <c r="J912" t="s">
        <v>13</v>
      </c>
      <c r="K912" cm="1">
        <f t="array" aca="1" ref="K912" ca="1">_xlfn.IFS(EmployeeData[[#This Row],[Status]]="Active",_xlfn.DAYS(TODAY(),EmployeeData[[#This Row],[Join Date]]),EmployeeData[[#This Row],[Status]]="Exited",_xlfn.DAYS(EmployeeData[[#This Row],[Exit Date]],EmployeeData[[#This Row],[Join Date]]))</f>
        <v>907</v>
      </c>
      <c r="L912" cm="1">
        <f t="array" aca="1" ref="L912" ca="1">_xlfn.IFS(EmployeeData[[#This Row],[Status]]="Exited",DATEDIF(EmployeeData[[#This Row],[Join Date]], EmployeeData[[#This Row],[Exit Date]], "Y"),EmployeeData[[#This Row],[Status]]="Active",DATEDIF(EmployeeData[[#This Row],[Join Date]], TODAY(), "Y"))</f>
        <v>2</v>
      </c>
      <c r="Q912" t="str" cm="1">
        <f t="array" aca="1" ref="Q9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25 days</v>
      </c>
    </row>
    <row r="913" spans="1:17" x14ac:dyDescent="0.3">
      <c r="A913">
        <v>1912</v>
      </c>
      <c r="B913" t="s">
        <v>383</v>
      </c>
      <c r="C913" t="s">
        <v>23</v>
      </c>
      <c r="D913" t="s">
        <v>24</v>
      </c>
      <c r="E913">
        <v>26</v>
      </c>
      <c r="F913" t="str" cm="1">
        <f t="array" ref="F913">_xlfn.IFS(EmployeeData[[#This Row],[Age]]&lt;30,"20s",EmployeeData[[#This Row],[Age]]&lt;40,"30s",EmployeeData[[#This Row],[Age]]&lt;50,"40s",EmployeeData[[#This Row],[Age]]&lt;60,"50s",EmployeeData[[#This Row],[Age]]&gt;=60,"60s")</f>
        <v>20s</v>
      </c>
      <c r="G913" s="5">
        <v>44280</v>
      </c>
      <c r="I913" t="s">
        <v>17</v>
      </c>
      <c r="J913" t="s">
        <v>18</v>
      </c>
      <c r="K913" cm="1">
        <f t="array" aca="1" ref="K913" ca="1">_xlfn.IFS(EmployeeData[[#This Row],[Status]]="Active",_xlfn.DAYS(TODAY(),EmployeeData[[#This Row],[Join Date]]),EmployeeData[[#This Row],[Status]]="Exited",_xlfn.DAYS(EmployeeData[[#This Row],[Exit Date]],EmployeeData[[#This Row],[Join Date]]))</f>
        <v>1917</v>
      </c>
      <c r="L913" cm="1">
        <f t="array" aca="1" ref="L913" ca="1">_xlfn.IFS(EmployeeData[[#This Row],[Status]]="Exited",DATEDIF(EmployeeData[[#This Row],[Join Date]], EmployeeData[[#This Row],[Exit Date]], "Y"),EmployeeData[[#This Row],[Status]]="Active",DATEDIF(EmployeeData[[#This Row],[Join Date]], TODAY(), "Y"))</f>
        <v>5</v>
      </c>
      <c r="Q913" t="str" cm="1">
        <f t="array" aca="1" ref="Q9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30 days</v>
      </c>
    </row>
    <row r="914" spans="1:17" x14ac:dyDescent="0.3">
      <c r="A914">
        <v>1913</v>
      </c>
      <c r="B914" t="s">
        <v>624</v>
      </c>
      <c r="C914" t="s">
        <v>20</v>
      </c>
      <c r="D914" t="s">
        <v>16</v>
      </c>
      <c r="E914">
        <v>32</v>
      </c>
      <c r="F914" t="str" cm="1">
        <f t="array" ref="F914">_xlfn.IFS(EmployeeData[[#This Row],[Age]]&lt;30,"20s",EmployeeData[[#This Row],[Age]]&lt;40,"30s",EmployeeData[[#This Row],[Age]]&lt;50,"40s",EmployeeData[[#This Row],[Age]]&lt;60,"50s",EmployeeData[[#This Row],[Age]]&gt;=60,"60s")</f>
        <v>30s</v>
      </c>
      <c r="G914" s="5">
        <v>44801</v>
      </c>
      <c r="H914" s="5">
        <v>46156</v>
      </c>
      <c r="I914" t="s">
        <v>34</v>
      </c>
      <c r="J914" t="s">
        <v>13</v>
      </c>
      <c r="K914" cm="1">
        <f t="array" aca="1" ref="K914" ca="1">_xlfn.IFS(EmployeeData[[#This Row],[Status]]="Active",_xlfn.DAYS(TODAY(),EmployeeData[[#This Row],[Join Date]]),EmployeeData[[#This Row],[Status]]="Exited",_xlfn.DAYS(EmployeeData[[#This Row],[Exit Date]],EmployeeData[[#This Row],[Join Date]]))</f>
        <v>1355</v>
      </c>
      <c r="L914" cm="1">
        <f t="array" aca="1" ref="L914" ca="1">_xlfn.IFS(EmployeeData[[#This Row],[Status]]="Exited",DATEDIF(EmployeeData[[#This Row],[Join Date]], EmployeeData[[#This Row],[Exit Date]], "Y"),EmployeeData[[#This Row],[Status]]="Active",DATEDIF(EmployeeData[[#This Row],[Join Date]], TODAY(), "Y"))</f>
        <v>3</v>
      </c>
      <c r="Q914" t="str" cm="1">
        <f t="array" aca="1" ref="Q9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16 days</v>
      </c>
    </row>
    <row r="915" spans="1:17" x14ac:dyDescent="0.3">
      <c r="A915">
        <v>1914</v>
      </c>
      <c r="B915" t="s">
        <v>317</v>
      </c>
      <c r="C915" t="s">
        <v>15</v>
      </c>
      <c r="D915" t="s">
        <v>24</v>
      </c>
      <c r="E915">
        <v>46</v>
      </c>
      <c r="F915" t="str" cm="1">
        <f t="array" ref="F915">_xlfn.IFS(EmployeeData[[#This Row],[Age]]&lt;30,"20s",EmployeeData[[#This Row],[Age]]&lt;40,"30s",EmployeeData[[#This Row],[Age]]&lt;50,"40s",EmployeeData[[#This Row],[Age]]&lt;60,"50s",EmployeeData[[#This Row],[Age]]&gt;=60,"60s")</f>
        <v>40s</v>
      </c>
      <c r="G915" s="5">
        <v>45962</v>
      </c>
      <c r="I915" t="s">
        <v>17</v>
      </c>
      <c r="J915" t="s">
        <v>18</v>
      </c>
      <c r="K915" cm="1">
        <f t="array" aca="1" ref="K915" ca="1">_xlfn.IFS(EmployeeData[[#This Row],[Status]]="Active",_xlfn.DAYS(TODAY(),EmployeeData[[#This Row],[Join Date]]),EmployeeData[[#This Row],[Status]]="Exited",_xlfn.DAYS(EmployeeData[[#This Row],[Exit Date]],EmployeeData[[#This Row],[Join Date]]))</f>
        <v>235</v>
      </c>
      <c r="L915" cm="1">
        <f t="array" aca="1" ref="L915" ca="1">_xlfn.IFS(EmployeeData[[#This Row],[Status]]="Exited",DATEDIF(EmployeeData[[#This Row],[Join Date]], EmployeeData[[#This Row],[Exit Date]], "Y"),EmployeeData[[#This Row],[Status]]="Active",DATEDIF(EmployeeData[[#This Row],[Join Date]], TODAY(), "Y"))</f>
        <v>0</v>
      </c>
      <c r="Q915" t="str" cm="1">
        <f t="array" aca="1" ref="Q9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23 days</v>
      </c>
    </row>
    <row r="916" spans="1:17" x14ac:dyDescent="0.3">
      <c r="A916">
        <v>1915</v>
      </c>
      <c r="B916" t="s">
        <v>813</v>
      </c>
      <c r="C916" t="s">
        <v>20</v>
      </c>
      <c r="D916" t="s">
        <v>16</v>
      </c>
      <c r="E916">
        <v>34</v>
      </c>
      <c r="F916" t="str" cm="1">
        <f t="array" ref="F916">_xlfn.IFS(EmployeeData[[#This Row],[Age]]&lt;30,"20s",EmployeeData[[#This Row],[Age]]&lt;40,"30s",EmployeeData[[#This Row],[Age]]&lt;50,"40s",EmployeeData[[#This Row],[Age]]&lt;60,"50s",EmployeeData[[#This Row],[Age]]&gt;=60,"60s")</f>
        <v>30s</v>
      </c>
      <c r="G916" s="5">
        <v>45122</v>
      </c>
      <c r="I916" t="s">
        <v>17</v>
      </c>
      <c r="J916" t="s">
        <v>18</v>
      </c>
      <c r="K916" cm="1">
        <f t="array" aca="1" ref="K916" ca="1">_xlfn.IFS(EmployeeData[[#This Row],[Status]]="Active",_xlfn.DAYS(TODAY(),EmployeeData[[#This Row],[Join Date]]),EmployeeData[[#This Row],[Status]]="Exited",_xlfn.DAYS(EmployeeData[[#This Row],[Exit Date]],EmployeeData[[#This Row],[Join Date]]))</f>
        <v>1075</v>
      </c>
      <c r="L916" cm="1">
        <f t="array" aca="1" ref="L916" ca="1">_xlfn.IFS(EmployeeData[[#This Row],[Status]]="Exited",DATEDIF(EmployeeData[[#This Row],[Join Date]], EmployeeData[[#This Row],[Exit Date]], "Y"),EmployeeData[[#This Row],[Status]]="Active",DATEDIF(EmployeeData[[#This Row],[Join Date]], TODAY(), "Y"))</f>
        <v>2</v>
      </c>
      <c r="Q916" t="str" cm="1">
        <f t="array" aca="1" ref="Q9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9 days</v>
      </c>
    </row>
    <row r="917" spans="1:17" x14ac:dyDescent="0.3">
      <c r="A917">
        <v>1916</v>
      </c>
      <c r="B917" t="s">
        <v>436</v>
      </c>
      <c r="C917" t="s">
        <v>15</v>
      </c>
      <c r="D917" t="s">
        <v>16</v>
      </c>
      <c r="E917">
        <v>41</v>
      </c>
      <c r="F917" t="str" cm="1">
        <f t="array" ref="F917">_xlfn.IFS(EmployeeData[[#This Row],[Age]]&lt;30,"20s",EmployeeData[[#This Row],[Age]]&lt;40,"30s",EmployeeData[[#This Row],[Age]]&lt;50,"40s",EmployeeData[[#This Row],[Age]]&lt;60,"50s",EmployeeData[[#This Row],[Age]]&gt;=60,"60s")</f>
        <v>40s</v>
      </c>
      <c r="G917" s="5">
        <v>44780</v>
      </c>
      <c r="I917" t="s">
        <v>17</v>
      </c>
      <c r="J917" t="s">
        <v>18</v>
      </c>
      <c r="K917" cm="1">
        <f t="array" aca="1" ref="K917" ca="1">_xlfn.IFS(EmployeeData[[#This Row],[Status]]="Active",_xlfn.DAYS(TODAY(),EmployeeData[[#This Row],[Join Date]]),EmployeeData[[#This Row],[Status]]="Exited",_xlfn.DAYS(EmployeeData[[#This Row],[Exit Date]],EmployeeData[[#This Row],[Join Date]]))</f>
        <v>1417</v>
      </c>
      <c r="L917" cm="1">
        <f t="array" aca="1" ref="L917" ca="1">_xlfn.IFS(EmployeeData[[#This Row],[Status]]="Exited",DATEDIF(EmployeeData[[#This Row],[Join Date]], EmployeeData[[#This Row],[Exit Date]], "Y"),EmployeeData[[#This Row],[Status]]="Active",DATEDIF(EmployeeData[[#This Row],[Join Date]], TODAY(), "Y"))</f>
        <v>3</v>
      </c>
      <c r="Q917" t="str" cm="1">
        <f t="array" aca="1" ref="Q9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10 months 17 days</v>
      </c>
    </row>
    <row r="918" spans="1:17" x14ac:dyDescent="0.3">
      <c r="A918">
        <v>1917</v>
      </c>
      <c r="B918" t="s">
        <v>200</v>
      </c>
      <c r="C918" t="s">
        <v>15</v>
      </c>
      <c r="D918" t="s">
        <v>24</v>
      </c>
      <c r="E918">
        <v>50</v>
      </c>
      <c r="F918" t="str" cm="1">
        <f t="array" ref="F918">_xlfn.IFS(EmployeeData[[#This Row],[Age]]&lt;30,"20s",EmployeeData[[#This Row],[Age]]&lt;40,"30s",EmployeeData[[#This Row],[Age]]&lt;50,"40s",EmployeeData[[#This Row],[Age]]&lt;60,"50s",EmployeeData[[#This Row],[Age]]&gt;=60,"60s")</f>
        <v>50s</v>
      </c>
      <c r="G918" s="5">
        <v>44662</v>
      </c>
      <c r="H918" s="5">
        <v>45569</v>
      </c>
      <c r="I918" t="s">
        <v>52</v>
      </c>
      <c r="J918" t="s">
        <v>13</v>
      </c>
      <c r="K918" cm="1">
        <f t="array" aca="1" ref="K918" ca="1">_xlfn.IFS(EmployeeData[[#This Row],[Status]]="Active",_xlfn.DAYS(TODAY(),EmployeeData[[#This Row],[Join Date]]),EmployeeData[[#This Row],[Status]]="Exited",_xlfn.DAYS(EmployeeData[[#This Row],[Exit Date]],EmployeeData[[#This Row],[Join Date]]))</f>
        <v>907</v>
      </c>
      <c r="L918" cm="1">
        <f t="array" aca="1" ref="L918" ca="1">_xlfn.IFS(EmployeeData[[#This Row],[Status]]="Exited",DATEDIF(EmployeeData[[#This Row],[Join Date]], EmployeeData[[#This Row],[Exit Date]], "Y"),EmployeeData[[#This Row],[Status]]="Active",DATEDIF(EmployeeData[[#This Row],[Join Date]], TODAY(), "Y"))</f>
        <v>2</v>
      </c>
      <c r="Q918" t="str" cm="1">
        <f t="array" aca="1" ref="Q9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23 days</v>
      </c>
    </row>
    <row r="919" spans="1:17" x14ac:dyDescent="0.3">
      <c r="A919">
        <v>1918</v>
      </c>
      <c r="B919" t="s">
        <v>773</v>
      </c>
      <c r="C919" t="s">
        <v>20</v>
      </c>
      <c r="D919" t="s">
        <v>16</v>
      </c>
      <c r="E919">
        <v>50</v>
      </c>
      <c r="F919" t="str" cm="1">
        <f t="array" ref="F919">_xlfn.IFS(EmployeeData[[#This Row],[Age]]&lt;30,"20s",EmployeeData[[#This Row],[Age]]&lt;40,"30s",EmployeeData[[#This Row],[Age]]&lt;50,"40s",EmployeeData[[#This Row],[Age]]&lt;60,"50s",EmployeeData[[#This Row],[Age]]&gt;=60,"60s")</f>
        <v>50s</v>
      </c>
      <c r="G919" s="5">
        <v>45086</v>
      </c>
      <c r="I919" t="s">
        <v>17</v>
      </c>
      <c r="J919" t="s">
        <v>18</v>
      </c>
      <c r="K919" cm="1">
        <f t="array" aca="1" ref="K919" ca="1">_xlfn.IFS(EmployeeData[[#This Row],[Status]]="Active",_xlfn.DAYS(TODAY(),EmployeeData[[#This Row],[Join Date]]),EmployeeData[[#This Row],[Status]]="Exited",_xlfn.DAYS(EmployeeData[[#This Row],[Exit Date]],EmployeeData[[#This Row],[Join Date]]))</f>
        <v>1111</v>
      </c>
      <c r="L919" cm="1">
        <f t="array" aca="1" ref="L919" ca="1">_xlfn.IFS(EmployeeData[[#This Row],[Status]]="Exited",DATEDIF(EmployeeData[[#This Row],[Join Date]], EmployeeData[[#This Row],[Exit Date]], "Y"),EmployeeData[[#This Row],[Status]]="Active",DATEDIF(EmployeeData[[#This Row],[Join Date]], TODAY(), "Y"))</f>
        <v>3</v>
      </c>
      <c r="Q919" t="str" cm="1">
        <f t="array" aca="1" ref="Q9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15 days</v>
      </c>
    </row>
    <row r="920" spans="1:17" x14ac:dyDescent="0.3">
      <c r="A920">
        <v>1919</v>
      </c>
      <c r="B920" t="s">
        <v>458</v>
      </c>
      <c r="C920" t="s">
        <v>20</v>
      </c>
      <c r="D920" t="s">
        <v>24</v>
      </c>
      <c r="E920">
        <v>51</v>
      </c>
      <c r="F920" t="str" cm="1">
        <f t="array" ref="F920">_xlfn.IFS(EmployeeData[[#This Row],[Age]]&lt;30,"20s",EmployeeData[[#This Row],[Age]]&lt;40,"30s",EmployeeData[[#This Row],[Age]]&lt;50,"40s",EmployeeData[[#This Row],[Age]]&lt;60,"50s",EmployeeData[[#This Row],[Age]]&gt;=60,"60s")</f>
        <v>50s</v>
      </c>
      <c r="G920" s="5">
        <v>44244</v>
      </c>
      <c r="I920" t="s">
        <v>17</v>
      </c>
      <c r="J920" t="s">
        <v>18</v>
      </c>
      <c r="K920" cm="1">
        <f t="array" aca="1" ref="K920" ca="1">_xlfn.IFS(EmployeeData[[#This Row],[Status]]="Active",_xlfn.DAYS(TODAY(),EmployeeData[[#This Row],[Join Date]]),EmployeeData[[#This Row],[Status]]="Exited",_xlfn.DAYS(EmployeeData[[#This Row],[Exit Date]],EmployeeData[[#This Row],[Join Date]]))</f>
        <v>1953</v>
      </c>
      <c r="L920" cm="1">
        <f t="array" aca="1" ref="L920" ca="1">_xlfn.IFS(EmployeeData[[#This Row],[Status]]="Exited",DATEDIF(EmployeeData[[#This Row],[Join Date]], EmployeeData[[#This Row],[Exit Date]], "Y"),EmployeeData[[#This Row],[Status]]="Active",DATEDIF(EmployeeData[[#This Row],[Join Date]], TODAY(), "Y"))</f>
        <v>5</v>
      </c>
      <c r="Q920" t="str" cm="1">
        <f t="array" aca="1" ref="Q9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7 days</v>
      </c>
    </row>
    <row r="921" spans="1:17" x14ac:dyDescent="0.3">
      <c r="A921">
        <v>1920</v>
      </c>
      <c r="B921" t="s">
        <v>1096</v>
      </c>
      <c r="C921" t="s">
        <v>15</v>
      </c>
      <c r="D921" t="s">
        <v>16</v>
      </c>
      <c r="E921">
        <v>46</v>
      </c>
      <c r="F921" t="str" cm="1">
        <f t="array" ref="F921">_xlfn.IFS(EmployeeData[[#This Row],[Age]]&lt;30,"20s",EmployeeData[[#This Row],[Age]]&lt;40,"30s",EmployeeData[[#This Row],[Age]]&lt;50,"40s",EmployeeData[[#This Row],[Age]]&lt;60,"50s",EmployeeData[[#This Row],[Age]]&gt;=60,"60s")</f>
        <v>40s</v>
      </c>
      <c r="G921" s="5">
        <v>43790</v>
      </c>
      <c r="H921" s="5">
        <v>43925</v>
      </c>
      <c r="I921" t="s">
        <v>28</v>
      </c>
      <c r="J921" t="s">
        <v>13</v>
      </c>
      <c r="K921" cm="1">
        <f t="array" aca="1" ref="K921" ca="1">_xlfn.IFS(EmployeeData[[#This Row],[Status]]="Active",_xlfn.DAYS(TODAY(),EmployeeData[[#This Row],[Join Date]]),EmployeeData[[#This Row],[Status]]="Exited",_xlfn.DAYS(EmployeeData[[#This Row],[Exit Date]],EmployeeData[[#This Row],[Join Date]]))</f>
        <v>135</v>
      </c>
      <c r="L921" cm="1">
        <f t="array" aca="1" ref="L921" ca="1">_xlfn.IFS(EmployeeData[[#This Row],[Status]]="Exited",DATEDIF(EmployeeData[[#This Row],[Join Date]], EmployeeData[[#This Row],[Exit Date]], "Y"),EmployeeData[[#This Row],[Status]]="Active",DATEDIF(EmployeeData[[#This Row],[Join Date]], TODAY(), "Y"))</f>
        <v>0</v>
      </c>
      <c r="Q921" t="str" cm="1">
        <f t="array" aca="1" ref="Q9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14 days</v>
      </c>
    </row>
    <row r="922" spans="1:17" x14ac:dyDescent="0.3">
      <c r="A922">
        <v>1921</v>
      </c>
      <c r="B922" t="s">
        <v>764</v>
      </c>
      <c r="C922" t="s">
        <v>20</v>
      </c>
      <c r="D922" t="s">
        <v>11</v>
      </c>
      <c r="E922">
        <v>55</v>
      </c>
      <c r="F922" t="str" cm="1">
        <f t="array" ref="F922">_xlfn.IFS(EmployeeData[[#This Row],[Age]]&lt;30,"20s",EmployeeData[[#This Row],[Age]]&lt;40,"30s",EmployeeData[[#This Row],[Age]]&lt;50,"40s",EmployeeData[[#This Row],[Age]]&lt;60,"50s",EmployeeData[[#This Row],[Age]]&gt;=60,"60s")</f>
        <v>50s</v>
      </c>
      <c r="G922" s="5">
        <v>43986</v>
      </c>
      <c r="I922" t="s">
        <v>17</v>
      </c>
      <c r="J922" t="s">
        <v>18</v>
      </c>
      <c r="K922" cm="1">
        <f t="array" aca="1" ref="K922" ca="1">_xlfn.IFS(EmployeeData[[#This Row],[Status]]="Active",_xlfn.DAYS(TODAY(),EmployeeData[[#This Row],[Join Date]]),EmployeeData[[#This Row],[Status]]="Exited",_xlfn.DAYS(EmployeeData[[#This Row],[Exit Date]],EmployeeData[[#This Row],[Join Date]]))</f>
        <v>2211</v>
      </c>
      <c r="L922" cm="1">
        <f t="array" aca="1" ref="L922" ca="1">_xlfn.IFS(EmployeeData[[#This Row],[Status]]="Exited",DATEDIF(EmployeeData[[#This Row],[Join Date]], EmployeeData[[#This Row],[Exit Date]], "Y"),EmployeeData[[#This Row],[Status]]="Active",DATEDIF(EmployeeData[[#This Row],[Join Date]], TODAY(), "Y"))</f>
        <v>6</v>
      </c>
      <c r="Q922" t="str" cm="1">
        <f t="array" aca="1" ref="Q9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20 days</v>
      </c>
    </row>
    <row r="923" spans="1:17" x14ac:dyDescent="0.3">
      <c r="A923">
        <v>1922</v>
      </c>
      <c r="B923" t="s">
        <v>495</v>
      </c>
      <c r="C923" t="s">
        <v>20</v>
      </c>
      <c r="D923" t="s">
        <v>11</v>
      </c>
      <c r="E923">
        <v>27</v>
      </c>
      <c r="F923" t="str" cm="1">
        <f t="array" ref="F923">_xlfn.IFS(EmployeeData[[#This Row],[Age]]&lt;30,"20s",EmployeeData[[#This Row],[Age]]&lt;40,"30s",EmployeeData[[#This Row],[Age]]&lt;50,"40s",EmployeeData[[#This Row],[Age]]&lt;60,"50s",EmployeeData[[#This Row],[Age]]&gt;=60,"60s")</f>
        <v>20s</v>
      </c>
      <c r="G923" s="5">
        <v>44700</v>
      </c>
      <c r="I923" t="s">
        <v>17</v>
      </c>
      <c r="J923" t="s">
        <v>18</v>
      </c>
      <c r="K923" cm="1">
        <f t="array" aca="1" ref="K923" ca="1">_xlfn.IFS(EmployeeData[[#This Row],[Status]]="Active",_xlfn.DAYS(TODAY(),EmployeeData[[#This Row],[Join Date]]),EmployeeData[[#This Row],[Status]]="Exited",_xlfn.DAYS(EmployeeData[[#This Row],[Exit Date]],EmployeeData[[#This Row],[Join Date]]))</f>
        <v>1497</v>
      </c>
      <c r="L923" cm="1">
        <f t="array" aca="1" ref="L923" ca="1">_xlfn.IFS(EmployeeData[[#This Row],[Status]]="Exited",DATEDIF(EmployeeData[[#This Row],[Join Date]], EmployeeData[[#This Row],[Exit Date]], "Y"),EmployeeData[[#This Row],[Status]]="Active",DATEDIF(EmployeeData[[#This Row],[Join Date]], TODAY(), "Y"))</f>
        <v>4</v>
      </c>
      <c r="Q923" t="str" cm="1">
        <f t="array" aca="1" ref="Q9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5 days</v>
      </c>
    </row>
    <row r="924" spans="1:17" x14ac:dyDescent="0.3">
      <c r="A924">
        <v>1923</v>
      </c>
      <c r="B924" t="s">
        <v>1019</v>
      </c>
      <c r="C924" t="s">
        <v>20</v>
      </c>
      <c r="D924" t="s">
        <v>11</v>
      </c>
      <c r="E924">
        <v>36</v>
      </c>
      <c r="F924" t="str" cm="1">
        <f t="array" ref="F924">_xlfn.IFS(EmployeeData[[#This Row],[Age]]&lt;30,"20s",EmployeeData[[#This Row],[Age]]&lt;40,"30s",EmployeeData[[#This Row],[Age]]&lt;50,"40s",EmployeeData[[#This Row],[Age]]&lt;60,"50s",EmployeeData[[#This Row],[Age]]&gt;=60,"60s")</f>
        <v>30s</v>
      </c>
      <c r="G924" s="5">
        <v>44635</v>
      </c>
      <c r="I924" t="s">
        <v>17</v>
      </c>
      <c r="J924" t="s">
        <v>18</v>
      </c>
      <c r="K924" cm="1">
        <f t="array" aca="1" ref="K924" ca="1">_xlfn.IFS(EmployeeData[[#This Row],[Status]]="Active",_xlfn.DAYS(TODAY(),EmployeeData[[#This Row],[Join Date]]),EmployeeData[[#This Row],[Status]]="Exited",_xlfn.DAYS(EmployeeData[[#This Row],[Exit Date]],EmployeeData[[#This Row],[Join Date]]))</f>
        <v>1562</v>
      </c>
      <c r="L924" cm="1">
        <f t="array" aca="1" ref="L924" ca="1">_xlfn.IFS(EmployeeData[[#This Row],[Status]]="Exited",DATEDIF(EmployeeData[[#This Row],[Join Date]], EmployeeData[[#This Row],[Exit Date]], "Y"),EmployeeData[[#This Row],[Status]]="Active",DATEDIF(EmployeeData[[#This Row],[Join Date]], TODAY(), "Y"))</f>
        <v>4</v>
      </c>
      <c r="Q924" t="str" cm="1">
        <f t="array" aca="1" ref="Q9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9 days</v>
      </c>
    </row>
    <row r="925" spans="1:17" x14ac:dyDescent="0.3">
      <c r="A925">
        <v>1924</v>
      </c>
      <c r="B925" t="s">
        <v>741</v>
      </c>
      <c r="C925" t="s">
        <v>46</v>
      </c>
      <c r="D925" t="s">
        <v>24</v>
      </c>
      <c r="E925">
        <v>33</v>
      </c>
      <c r="F925" t="str" cm="1">
        <f t="array" ref="F925">_xlfn.IFS(EmployeeData[[#This Row],[Age]]&lt;30,"20s",EmployeeData[[#This Row],[Age]]&lt;40,"30s",EmployeeData[[#This Row],[Age]]&lt;50,"40s",EmployeeData[[#This Row],[Age]]&lt;60,"50s",EmployeeData[[#This Row],[Age]]&gt;=60,"60s")</f>
        <v>30s</v>
      </c>
      <c r="G925" s="5">
        <v>45886</v>
      </c>
      <c r="I925" t="s">
        <v>17</v>
      </c>
      <c r="J925" t="s">
        <v>18</v>
      </c>
      <c r="K925" cm="1">
        <f t="array" aca="1" ref="K925" ca="1">_xlfn.IFS(EmployeeData[[#This Row],[Status]]="Active",_xlfn.DAYS(TODAY(),EmployeeData[[#This Row],[Join Date]]),EmployeeData[[#This Row],[Status]]="Exited",_xlfn.DAYS(EmployeeData[[#This Row],[Exit Date]],EmployeeData[[#This Row],[Join Date]]))</f>
        <v>311</v>
      </c>
      <c r="L925" cm="1">
        <f t="array" aca="1" ref="L925" ca="1">_xlfn.IFS(EmployeeData[[#This Row],[Status]]="Exited",DATEDIF(EmployeeData[[#This Row],[Join Date]], EmployeeData[[#This Row],[Exit Date]], "Y"),EmployeeData[[#This Row],[Status]]="Active",DATEDIF(EmployeeData[[#This Row],[Join Date]], TODAY(), "Y"))</f>
        <v>0</v>
      </c>
      <c r="Q925" t="str" cm="1">
        <f t="array" aca="1" ref="Q9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7 days</v>
      </c>
    </row>
    <row r="926" spans="1:17" x14ac:dyDescent="0.3">
      <c r="A926">
        <v>1925</v>
      </c>
      <c r="B926" t="s">
        <v>1008</v>
      </c>
      <c r="C926" t="s">
        <v>33</v>
      </c>
      <c r="D926" t="s">
        <v>16</v>
      </c>
      <c r="E926">
        <v>31</v>
      </c>
      <c r="F926" t="str" cm="1">
        <f t="array" ref="F926">_xlfn.IFS(EmployeeData[[#This Row],[Age]]&lt;30,"20s",EmployeeData[[#This Row],[Age]]&lt;40,"30s",EmployeeData[[#This Row],[Age]]&lt;50,"40s",EmployeeData[[#This Row],[Age]]&lt;60,"50s",EmployeeData[[#This Row],[Age]]&gt;=60,"60s")</f>
        <v>30s</v>
      </c>
      <c r="G926" s="5">
        <v>43281</v>
      </c>
      <c r="I926" t="s">
        <v>17</v>
      </c>
      <c r="J926" t="s">
        <v>18</v>
      </c>
      <c r="K926" cm="1">
        <f t="array" aca="1" ref="K926" ca="1">_xlfn.IFS(EmployeeData[[#This Row],[Status]]="Active",_xlfn.DAYS(TODAY(),EmployeeData[[#This Row],[Join Date]]),EmployeeData[[#This Row],[Status]]="Exited",_xlfn.DAYS(EmployeeData[[#This Row],[Exit Date]],EmployeeData[[#This Row],[Join Date]]))</f>
        <v>2916</v>
      </c>
      <c r="L926" cm="1">
        <f t="array" aca="1" ref="L926" ca="1">_xlfn.IFS(EmployeeData[[#This Row],[Status]]="Exited",DATEDIF(EmployeeData[[#This Row],[Join Date]], EmployeeData[[#This Row],[Exit Date]], "Y"),EmployeeData[[#This Row],[Status]]="Active",DATEDIF(EmployeeData[[#This Row],[Join Date]], TODAY(), "Y"))</f>
        <v>7</v>
      </c>
      <c r="Q926" t="str" cm="1">
        <f t="array" aca="1" ref="Q9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25 days</v>
      </c>
    </row>
    <row r="927" spans="1:17" x14ac:dyDescent="0.3">
      <c r="A927">
        <v>1926</v>
      </c>
      <c r="B927" t="s">
        <v>595</v>
      </c>
      <c r="C927" t="s">
        <v>23</v>
      </c>
      <c r="D927" t="s">
        <v>11</v>
      </c>
      <c r="E927">
        <v>46</v>
      </c>
      <c r="F927" t="str" cm="1">
        <f t="array" ref="F927">_xlfn.IFS(EmployeeData[[#This Row],[Age]]&lt;30,"20s",EmployeeData[[#This Row],[Age]]&lt;40,"30s",EmployeeData[[#This Row],[Age]]&lt;50,"40s",EmployeeData[[#This Row],[Age]]&lt;60,"50s",EmployeeData[[#This Row],[Age]]&gt;=60,"60s")</f>
        <v>40s</v>
      </c>
      <c r="G927" s="5">
        <v>44853</v>
      </c>
      <c r="H927" s="5">
        <v>45380</v>
      </c>
      <c r="I927" t="s">
        <v>31</v>
      </c>
      <c r="J927" t="s">
        <v>13</v>
      </c>
      <c r="K927" cm="1">
        <f t="array" aca="1" ref="K927" ca="1">_xlfn.IFS(EmployeeData[[#This Row],[Status]]="Active",_xlfn.DAYS(TODAY(),EmployeeData[[#This Row],[Join Date]]),EmployeeData[[#This Row],[Status]]="Exited",_xlfn.DAYS(EmployeeData[[#This Row],[Exit Date]],EmployeeData[[#This Row],[Join Date]]))</f>
        <v>527</v>
      </c>
      <c r="L927" cm="1">
        <f t="array" aca="1" ref="L927" ca="1">_xlfn.IFS(EmployeeData[[#This Row],[Status]]="Exited",DATEDIF(EmployeeData[[#This Row],[Join Date]], EmployeeData[[#This Row],[Exit Date]], "Y"),EmployeeData[[#This Row],[Status]]="Active",DATEDIF(EmployeeData[[#This Row],[Join Date]], TODAY(), "Y"))</f>
        <v>1</v>
      </c>
      <c r="Q927" t="str" cm="1">
        <f t="array" aca="1" ref="Q9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10 days</v>
      </c>
    </row>
    <row r="928" spans="1:17" x14ac:dyDescent="0.3">
      <c r="A928">
        <v>1927</v>
      </c>
      <c r="B928" t="s">
        <v>832</v>
      </c>
      <c r="C928" t="s">
        <v>15</v>
      </c>
      <c r="D928" t="s">
        <v>16</v>
      </c>
      <c r="E928">
        <v>35</v>
      </c>
      <c r="F928" t="str" cm="1">
        <f t="array" ref="F928">_xlfn.IFS(EmployeeData[[#This Row],[Age]]&lt;30,"20s",EmployeeData[[#This Row],[Age]]&lt;40,"30s",EmployeeData[[#This Row],[Age]]&lt;50,"40s",EmployeeData[[#This Row],[Age]]&lt;60,"50s",EmployeeData[[#This Row],[Age]]&gt;=60,"60s")</f>
        <v>30s</v>
      </c>
      <c r="G928" s="5">
        <v>43371</v>
      </c>
      <c r="I928" t="s">
        <v>17</v>
      </c>
      <c r="J928" t="s">
        <v>18</v>
      </c>
      <c r="K928" cm="1">
        <f t="array" aca="1" ref="K928" ca="1">_xlfn.IFS(EmployeeData[[#This Row],[Status]]="Active",_xlfn.DAYS(TODAY(),EmployeeData[[#This Row],[Join Date]]),EmployeeData[[#This Row],[Status]]="Exited",_xlfn.DAYS(EmployeeData[[#This Row],[Exit Date]],EmployeeData[[#This Row],[Join Date]]))</f>
        <v>2826</v>
      </c>
      <c r="L928" cm="1">
        <f t="array" aca="1" ref="L928" ca="1">_xlfn.IFS(EmployeeData[[#This Row],[Status]]="Exited",DATEDIF(EmployeeData[[#This Row],[Join Date]], EmployeeData[[#This Row],[Exit Date]], "Y"),EmployeeData[[#This Row],[Status]]="Active",DATEDIF(EmployeeData[[#This Row],[Join Date]], TODAY(), "Y"))</f>
        <v>7</v>
      </c>
      <c r="Q928" t="str" cm="1">
        <f t="array" aca="1" ref="Q9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27 days</v>
      </c>
    </row>
    <row r="929" spans="1:17" x14ac:dyDescent="0.3">
      <c r="A929">
        <v>1928</v>
      </c>
      <c r="B929" t="s">
        <v>757</v>
      </c>
      <c r="C929" t="s">
        <v>15</v>
      </c>
      <c r="D929" t="s">
        <v>11</v>
      </c>
      <c r="E929">
        <v>47</v>
      </c>
      <c r="F929" t="str" cm="1">
        <f t="array" ref="F929">_xlfn.IFS(EmployeeData[[#This Row],[Age]]&lt;30,"20s",EmployeeData[[#This Row],[Age]]&lt;40,"30s",EmployeeData[[#This Row],[Age]]&lt;50,"40s",EmployeeData[[#This Row],[Age]]&lt;60,"50s",EmployeeData[[#This Row],[Age]]&gt;=60,"60s")</f>
        <v>40s</v>
      </c>
      <c r="G929" s="5">
        <v>44336</v>
      </c>
      <c r="I929" t="s">
        <v>17</v>
      </c>
      <c r="J929" t="s">
        <v>18</v>
      </c>
      <c r="K929" cm="1">
        <f t="array" aca="1" ref="K929" ca="1">_xlfn.IFS(EmployeeData[[#This Row],[Status]]="Active",_xlfn.DAYS(TODAY(),EmployeeData[[#This Row],[Join Date]]),EmployeeData[[#This Row],[Status]]="Exited",_xlfn.DAYS(EmployeeData[[#This Row],[Exit Date]],EmployeeData[[#This Row],[Join Date]]))</f>
        <v>1861</v>
      </c>
      <c r="L929" cm="1">
        <f t="array" aca="1" ref="L929" ca="1">_xlfn.IFS(EmployeeData[[#This Row],[Status]]="Exited",DATEDIF(EmployeeData[[#This Row],[Join Date]], EmployeeData[[#This Row],[Exit Date]], "Y"),EmployeeData[[#This Row],[Status]]="Active",DATEDIF(EmployeeData[[#This Row],[Join Date]], TODAY(), "Y"))</f>
        <v>5</v>
      </c>
      <c r="Q929" t="str" cm="1">
        <f t="array" aca="1" ref="Q9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 months 4 days</v>
      </c>
    </row>
    <row r="930" spans="1:17" x14ac:dyDescent="0.3">
      <c r="A930">
        <v>1929</v>
      </c>
      <c r="B930" t="s">
        <v>1027</v>
      </c>
      <c r="C930" t="s">
        <v>33</v>
      </c>
      <c r="D930" t="s">
        <v>11</v>
      </c>
      <c r="E930">
        <v>57</v>
      </c>
      <c r="F930" t="str" cm="1">
        <f t="array" ref="F930">_xlfn.IFS(EmployeeData[[#This Row],[Age]]&lt;30,"20s",EmployeeData[[#This Row],[Age]]&lt;40,"30s",EmployeeData[[#This Row],[Age]]&lt;50,"40s",EmployeeData[[#This Row],[Age]]&lt;60,"50s",EmployeeData[[#This Row],[Age]]&gt;=60,"60s")</f>
        <v>50s</v>
      </c>
      <c r="G930" s="5">
        <v>43803</v>
      </c>
      <c r="H930" s="5">
        <v>44281</v>
      </c>
      <c r="I930" t="s">
        <v>28</v>
      </c>
      <c r="J930" t="s">
        <v>13</v>
      </c>
      <c r="K930" cm="1">
        <f t="array" aca="1" ref="K930" ca="1">_xlfn.IFS(EmployeeData[[#This Row],[Status]]="Active",_xlfn.DAYS(TODAY(),EmployeeData[[#This Row],[Join Date]]),EmployeeData[[#This Row],[Status]]="Exited",_xlfn.DAYS(EmployeeData[[#This Row],[Exit Date]],EmployeeData[[#This Row],[Join Date]]))</f>
        <v>478</v>
      </c>
      <c r="L930" cm="1">
        <f t="array" aca="1" ref="L930" ca="1">_xlfn.IFS(EmployeeData[[#This Row],[Status]]="Exited",DATEDIF(EmployeeData[[#This Row],[Join Date]], EmployeeData[[#This Row],[Exit Date]], "Y"),EmployeeData[[#This Row],[Status]]="Active",DATEDIF(EmployeeData[[#This Row],[Join Date]], TODAY(), "Y"))</f>
        <v>1</v>
      </c>
      <c r="Q930" t="str" cm="1">
        <f t="array" aca="1" ref="Q9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22 days</v>
      </c>
    </row>
    <row r="931" spans="1:17" x14ac:dyDescent="0.3">
      <c r="A931">
        <v>1930</v>
      </c>
      <c r="B931" t="s">
        <v>1067</v>
      </c>
      <c r="C931" t="s">
        <v>20</v>
      </c>
      <c r="D931" t="s">
        <v>16</v>
      </c>
      <c r="E931">
        <v>32</v>
      </c>
      <c r="F931" t="str" cm="1">
        <f t="array" ref="F931">_xlfn.IFS(EmployeeData[[#This Row],[Age]]&lt;30,"20s",EmployeeData[[#This Row],[Age]]&lt;40,"30s",EmployeeData[[#This Row],[Age]]&lt;50,"40s",EmployeeData[[#This Row],[Age]]&lt;60,"50s",EmployeeData[[#This Row],[Age]]&gt;=60,"60s")</f>
        <v>30s</v>
      </c>
      <c r="G931" s="5">
        <v>45703</v>
      </c>
      <c r="I931" t="s">
        <v>17</v>
      </c>
      <c r="J931" t="s">
        <v>18</v>
      </c>
      <c r="K931" cm="1">
        <f t="array" aca="1" ref="K931" ca="1">_xlfn.IFS(EmployeeData[[#This Row],[Status]]="Active",_xlfn.DAYS(TODAY(),EmployeeData[[#This Row],[Join Date]]),EmployeeData[[#This Row],[Status]]="Exited",_xlfn.DAYS(EmployeeData[[#This Row],[Exit Date]],EmployeeData[[#This Row],[Join Date]]))</f>
        <v>494</v>
      </c>
      <c r="L931" cm="1">
        <f t="array" aca="1" ref="L931" ca="1">_xlfn.IFS(EmployeeData[[#This Row],[Status]]="Exited",DATEDIF(EmployeeData[[#This Row],[Join Date]], EmployeeData[[#This Row],[Exit Date]], "Y"),EmployeeData[[#This Row],[Status]]="Active",DATEDIF(EmployeeData[[#This Row],[Join Date]], TODAY(), "Y"))</f>
        <v>1</v>
      </c>
      <c r="Q931" t="str" cm="1">
        <f t="array" aca="1" ref="Q9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4 months 9 days</v>
      </c>
    </row>
    <row r="932" spans="1:17" x14ac:dyDescent="0.3">
      <c r="A932">
        <v>1931</v>
      </c>
      <c r="B932" t="s">
        <v>99</v>
      </c>
      <c r="C932" t="s">
        <v>15</v>
      </c>
      <c r="D932" t="s">
        <v>11</v>
      </c>
      <c r="E932">
        <v>49</v>
      </c>
      <c r="F932" t="str" cm="1">
        <f t="array" ref="F932">_xlfn.IFS(EmployeeData[[#This Row],[Age]]&lt;30,"20s",EmployeeData[[#This Row],[Age]]&lt;40,"30s",EmployeeData[[#This Row],[Age]]&lt;50,"40s",EmployeeData[[#This Row],[Age]]&lt;60,"50s",EmployeeData[[#This Row],[Age]]&gt;=60,"60s")</f>
        <v>40s</v>
      </c>
      <c r="G932" s="5">
        <v>44667</v>
      </c>
      <c r="I932" t="s">
        <v>17</v>
      </c>
      <c r="J932" t="s">
        <v>18</v>
      </c>
      <c r="K932" cm="1">
        <f t="array" aca="1" ref="K932" ca="1">_xlfn.IFS(EmployeeData[[#This Row],[Status]]="Active",_xlfn.DAYS(TODAY(),EmployeeData[[#This Row],[Join Date]]),EmployeeData[[#This Row],[Status]]="Exited",_xlfn.DAYS(EmployeeData[[#This Row],[Exit Date]],EmployeeData[[#This Row],[Join Date]]))</f>
        <v>1530</v>
      </c>
      <c r="L932" cm="1">
        <f t="array" aca="1" ref="L932" ca="1">_xlfn.IFS(EmployeeData[[#This Row],[Status]]="Exited",DATEDIF(EmployeeData[[#This Row],[Join Date]], EmployeeData[[#This Row],[Exit Date]], "Y"),EmployeeData[[#This Row],[Status]]="Active",DATEDIF(EmployeeData[[#This Row],[Join Date]], TODAY(), "Y"))</f>
        <v>4</v>
      </c>
      <c r="Q932" t="str" cm="1">
        <f t="array" aca="1" ref="Q9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8 days</v>
      </c>
    </row>
    <row r="933" spans="1:17" x14ac:dyDescent="0.3">
      <c r="A933">
        <v>1932</v>
      </c>
      <c r="B933" t="s">
        <v>756</v>
      </c>
      <c r="C933" t="s">
        <v>15</v>
      </c>
      <c r="D933" t="s">
        <v>24</v>
      </c>
      <c r="E933">
        <v>28</v>
      </c>
      <c r="F933" t="str" cm="1">
        <f t="array" ref="F933">_xlfn.IFS(EmployeeData[[#This Row],[Age]]&lt;30,"20s",EmployeeData[[#This Row],[Age]]&lt;40,"30s",EmployeeData[[#This Row],[Age]]&lt;50,"40s",EmployeeData[[#This Row],[Age]]&lt;60,"50s",EmployeeData[[#This Row],[Age]]&gt;=60,"60s")</f>
        <v>20s</v>
      </c>
      <c r="G933" s="5">
        <v>44366</v>
      </c>
      <c r="H933" s="5">
        <v>45333</v>
      </c>
      <c r="I933" t="s">
        <v>34</v>
      </c>
      <c r="J933" t="s">
        <v>13</v>
      </c>
      <c r="K933" cm="1">
        <f t="array" aca="1" ref="K933" ca="1">_xlfn.IFS(EmployeeData[[#This Row],[Status]]="Active",_xlfn.DAYS(TODAY(),EmployeeData[[#This Row],[Join Date]]),EmployeeData[[#This Row],[Status]]="Exited",_xlfn.DAYS(EmployeeData[[#This Row],[Exit Date]],EmployeeData[[#This Row],[Join Date]]))</f>
        <v>967</v>
      </c>
      <c r="L933" cm="1">
        <f t="array" aca="1" ref="L933" ca="1">_xlfn.IFS(EmployeeData[[#This Row],[Status]]="Exited",DATEDIF(EmployeeData[[#This Row],[Join Date]], EmployeeData[[#This Row],[Exit Date]], "Y"),EmployeeData[[#This Row],[Status]]="Active",DATEDIF(EmployeeData[[#This Row],[Join Date]], TODAY(), "Y"))</f>
        <v>2</v>
      </c>
      <c r="Q933" t="str" cm="1">
        <f t="array" aca="1" ref="Q9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23 days</v>
      </c>
    </row>
    <row r="934" spans="1:17" x14ac:dyDescent="0.3">
      <c r="A934">
        <v>1933</v>
      </c>
      <c r="B934" t="s">
        <v>482</v>
      </c>
      <c r="C934" t="s">
        <v>10</v>
      </c>
      <c r="D934" t="s">
        <v>16</v>
      </c>
      <c r="E934">
        <v>34</v>
      </c>
      <c r="F934" t="str" cm="1">
        <f t="array" ref="F934">_xlfn.IFS(EmployeeData[[#This Row],[Age]]&lt;30,"20s",EmployeeData[[#This Row],[Age]]&lt;40,"30s",EmployeeData[[#This Row],[Age]]&lt;50,"40s",EmployeeData[[#This Row],[Age]]&lt;60,"50s",EmployeeData[[#This Row],[Age]]&gt;=60,"60s")</f>
        <v>30s</v>
      </c>
      <c r="G934" s="5">
        <v>45730</v>
      </c>
      <c r="H934" s="5">
        <v>46126</v>
      </c>
      <c r="I934" t="s">
        <v>21</v>
      </c>
      <c r="J934" t="s">
        <v>13</v>
      </c>
      <c r="K934" cm="1">
        <f t="array" aca="1" ref="K934" ca="1">_xlfn.IFS(EmployeeData[[#This Row],[Status]]="Active",_xlfn.DAYS(TODAY(),EmployeeData[[#This Row],[Join Date]]),EmployeeData[[#This Row],[Status]]="Exited",_xlfn.DAYS(EmployeeData[[#This Row],[Exit Date]],EmployeeData[[#This Row],[Join Date]]))</f>
        <v>396</v>
      </c>
      <c r="L934" cm="1">
        <f t="array" aca="1" ref="L934" ca="1">_xlfn.IFS(EmployeeData[[#This Row],[Status]]="Exited",DATEDIF(EmployeeData[[#This Row],[Join Date]], EmployeeData[[#This Row],[Exit Date]], "Y"),EmployeeData[[#This Row],[Status]]="Active",DATEDIF(EmployeeData[[#This Row],[Join Date]], TODAY(), "Y"))</f>
        <v>1</v>
      </c>
      <c r="Q934" t="str" cm="1">
        <f t="array" aca="1" ref="Q9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0 days</v>
      </c>
    </row>
    <row r="935" spans="1:17" x14ac:dyDescent="0.3">
      <c r="A935">
        <v>1934</v>
      </c>
      <c r="B935" t="s">
        <v>948</v>
      </c>
      <c r="C935" t="s">
        <v>15</v>
      </c>
      <c r="D935" t="s">
        <v>16</v>
      </c>
      <c r="E935">
        <v>23</v>
      </c>
      <c r="F935" t="str" cm="1">
        <f t="array" ref="F935">_xlfn.IFS(EmployeeData[[#This Row],[Age]]&lt;30,"20s",EmployeeData[[#This Row],[Age]]&lt;40,"30s",EmployeeData[[#This Row],[Age]]&lt;50,"40s",EmployeeData[[#This Row],[Age]]&lt;60,"50s",EmployeeData[[#This Row],[Age]]&gt;=60,"60s")</f>
        <v>20s</v>
      </c>
      <c r="G935" s="5">
        <v>45234</v>
      </c>
      <c r="I935" t="s">
        <v>17</v>
      </c>
      <c r="J935" t="s">
        <v>18</v>
      </c>
      <c r="K935" cm="1">
        <f t="array" aca="1" ref="K935" ca="1">_xlfn.IFS(EmployeeData[[#This Row],[Status]]="Active",_xlfn.DAYS(TODAY(),EmployeeData[[#This Row],[Join Date]]),EmployeeData[[#This Row],[Status]]="Exited",_xlfn.DAYS(EmployeeData[[#This Row],[Exit Date]],EmployeeData[[#This Row],[Join Date]]))</f>
        <v>963</v>
      </c>
      <c r="L935" cm="1">
        <f t="array" aca="1" ref="L935" ca="1">_xlfn.IFS(EmployeeData[[#This Row],[Status]]="Exited",DATEDIF(EmployeeData[[#This Row],[Join Date]], EmployeeData[[#This Row],[Exit Date]], "Y"),EmployeeData[[#This Row],[Status]]="Active",DATEDIF(EmployeeData[[#This Row],[Join Date]], TODAY(), "Y"))</f>
        <v>2</v>
      </c>
      <c r="Q935" t="str" cm="1">
        <f t="array" aca="1" ref="Q9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20 days</v>
      </c>
    </row>
    <row r="936" spans="1:17" x14ac:dyDescent="0.3">
      <c r="A936">
        <v>1935</v>
      </c>
      <c r="B936" t="s">
        <v>788</v>
      </c>
      <c r="C936" t="s">
        <v>20</v>
      </c>
      <c r="D936" t="s">
        <v>16</v>
      </c>
      <c r="E936">
        <v>42</v>
      </c>
      <c r="F936" t="str" cm="1">
        <f t="array" ref="F936">_xlfn.IFS(EmployeeData[[#This Row],[Age]]&lt;30,"20s",EmployeeData[[#This Row],[Age]]&lt;40,"30s",EmployeeData[[#This Row],[Age]]&lt;50,"40s",EmployeeData[[#This Row],[Age]]&lt;60,"50s",EmployeeData[[#This Row],[Age]]&gt;=60,"60s")</f>
        <v>40s</v>
      </c>
      <c r="G936" s="5">
        <v>44504</v>
      </c>
      <c r="H936" s="5">
        <v>45698</v>
      </c>
      <c r="I936" t="s">
        <v>31</v>
      </c>
      <c r="J936" t="s">
        <v>13</v>
      </c>
      <c r="K936" cm="1">
        <f t="array" aca="1" ref="K936" ca="1">_xlfn.IFS(EmployeeData[[#This Row],[Status]]="Active",_xlfn.DAYS(TODAY(),EmployeeData[[#This Row],[Join Date]]),EmployeeData[[#This Row],[Status]]="Exited",_xlfn.DAYS(EmployeeData[[#This Row],[Exit Date]],EmployeeData[[#This Row],[Join Date]]))</f>
        <v>1194</v>
      </c>
      <c r="L936" cm="1">
        <f t="array" aca="1" ref="L936" ca="1">_xlfn.IFS(EmployeeData[[#This Row],[Status]]="Exited",DATEDIF(EmployeeData[[#This Row],[Join Date]], EmployeeData[[#This Row],[Exit Date]], "Y"),EmployeeData[[#This Row],[Status]]="Active",DATEDIF(EmployeeData[[#This Row],[Join Date]], TODAY(), "Y"))</f>
        <v>3</v>
      </c>
      <c r="Q936" t="str" cm="1">
        <f t="array" aca="1" ref="Q9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6 days</v>
      </c>
    </row>
    <row r="937" spans="1:17" x14ac:dyDescent="0.3">
      <c r="A937">
        <v>1936</v>
      </c>
      <c r="B937" t="s">
        <v>824</v>
      </c>
      <c r="C937" t="s">
        <v>15</v>
      </c>
      <c r="D937" t="s">
        <v>11</v>
      </c>
      <c r="E937">
        <v>54</v>
      </c>
      <c r="F937" t="str" cm="1">
        <f t="array" ref="F937">_xlfn.IFS(EmployeeData[[#This Row],[Age]]&lt;30,"20s",EmployeeData[[#This Row],[Age]]&lt;40,"30s",EmployeeData[[#This Row],[Age]]&lt;50,"40s",EmployeeData[[#This Row],[Age]]&lt;60,"50s",EmployeeData[[#This Row],[Age]]&gt;=60,"60s")</f>
        <v>50s</v>
      </c>
      <c r="G937" s="5">
        <v>44418</v>
      </c>
      <c r="H937" s="5">
        <v>45797</v>
      </c>
      <c r="I937" t="s">
        <v>31</v>
      </c>
      <c r="J937" t="s">
        <v>13</v>
      </c>
      <c r="K937" cm="1">
        <f t="array" aca="1" ref="K937" ca="1">_xlfn.IFS(EmployeeData[[#This Row],[Status]]="Active",_xlfn.DAYS(TODAY(),EmployeeData[[#This Row],[Join Date]]),EmployeeData[[#This Row],[Status]]="Exited",_xlfn.DAYS(EmployeeData[[#This Row],[Exit Date]],EmployeeData[[#This Row],[Join Date]]))</f>
        <v>1379</v>
      </c>
      <c r="L937" cm="1">
        <f t="array" aca="1" ref="L937" ca="1">_xlfn.IFS(EmployeeData[[#This Row],[Status]]="Exited",DATEDIF(EmployeeData[[#This Row],[Join Date]], EmployeeData[[#This Row],[Exit Date]], "Y"),EmployeeData[[#This Row],[Status]]="Active",DATEDIF(EmployeeData[[#This Row],[Join Date]], TODAY(), "Y"))</f>
        <v>3</v>
      </c>
      <c r="Q937" t="str" cm="1">
        <f t="array" aca="1" ref="Q9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9 months 10 days</v>
      </c>
    </row>
    <row r="938" spans="1:17" x14ac:dyDescent="0.3">
      <c r="A938">
        <v>1937</v>
      </c>
      <c r="B938" t="s">
        <v>791</v>
      </c>
      <c r="C938" t="s">
        <v>15</v>
      </c>
      <c r="D938" t="s">
        <v>11</v>
      </c>
      <c r="E938">
        <v>52</v>
      </c>
      <c r="F938" t="str" cm="1">
        <f t="array" ref="F938">_xlfn.IFS(EmployeeData[[#This Row],[Age]]&lt;30,"20s",EmployeeData[[#This Row],[Age]]&lt;40,"30s",EmployeeData[[#This Row],[Age]]&lt;50,"40s",EmployeeData[[#This Row],[Age]]&lt;60,"50s",EmployeeData[[#This Row],[Age]]&gt;=60,"60s")</f>
        <v>50s</v>
      </c>
      <c r="G938" s="5">
        <v>43615</v>
      </c>
      <c r="H938" s="5">
        <v>44542</v>
      </c>
      <c r="I938" t="s">
        <v>26</v>
      </c>
      <c r="J938" t="s">
        <v>13</v>
      </c>
      <c r="K938" cm="1">
        <f t="array" aca="1" ref="K938" ca="1">_xlfn.IFS(EmployeeData[[#This Row],[Status]]="Active",_xlfn.DAYS(TODAY(),EmployeeData[[#This Row],[Join Date]]),EmployeeData[[#This Row],[Status]]="Exited",_xlfn.DAYS(EmployeeData[[#This Row],[Exit Date]],EmployeeData[[#This Row],[Join Date]]))</f>
        <v>927</v>
      </c>
      <c r="L938" cm="1">
        <f t="array" aca="1" ref="L938" ca="1">_xlfn.IFS(EmployeeData[[#This Row],[Status]]="Exited",DATEDIF(EmployeeData[[#This Row],[Join Date]], EmployeeData[[#This Row],[Exit Date]], "Y"),EmployeeData[[#This Row],[Status]]="Active",DATEDIF(EmployeeData[[#This Row],[Join Date]], TODAY(), "Y"))</f>
        <v>2</v>
      </c>
      <c r="Q938" t="str" cm="1">
        <f t="array" aca="1" ref="Q9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12 days</v>
      </c>
    </row>
    <row r="939" spans="1:17" x14ac:dyDescent="0.3">
      <c r="A939">
        <v>1938</v>
      </c>
      <c r="B939" t="s">
        <v>517</v>
      </c>
      <c r="C939" t="s">
        <v>20</v>
      </c>
      <c r="D939" t="s">
        <v>16</v>
      </c>
      <c r="E939">
        <v>32</v>
      </c>
      <c r="F939" t="str" cm="1">
        <f t="array" ref="F939">_xlfn.IFS(EmployeeData[[#This Row],[Age]]&lt;30,"20s",EmployeeData[[#This Row],[Age]]&lt;40,"30s",EmployeeData[[#This Row],[Age]]&lt;50,"40s",EmployeeData[[#This Row],[Age]]&lt;60,"50s",EmployeeData[[#This Row],[Age]]&gt;=60,"60s")</f>
        <v>30s</v>
      </c>
      <c r="G939" s="5">
        <v>45582</v>
      </c>
      <c r="H939" s="5">
        <v>45964</v>
      </c>
      <c r="I939" t="s">
        <v>65</v>
      </c>
      <c r="J939" t="s">
        <v>13</v>
      </c>
      <c r="K939" cm="1">
        <f t="array" aca="1" ref="K939" ca="1">_xlfn.IFS(EmployeeData[[#This Row],[Status]]="Active",_xlfn.DAYS(TODAY(),EmployeeData[[#This Row],[Join Date]]),EmployeeData[[#This Row],[Status]]="Exited",_xlfn.DAYS(EmployeeData[[#This Row],[Exit Date]],EmployeeData[[#This Row],[Join Date]]))</f>
        <v>382</v>
      </c>
      <c r="L939" cm="1">
        <f t="array" aca="1" ref="L939" ca="1">_xlfn.IFS(EmployeeData[[#This Row],[Status]]="Exited",DATEDIF(EmployeeData[[#This Row],[Join Date]], EmployeeData[[#This Row],[Exit Date]], "Y"),EmployeeData[[#This Row],[Status]]="Active",DATEDIF(EmployeeData[[#This Row],[Join Date]], TODAY(), "Y"))</f>
        <v>1</v>
      </c>
      <c r="Q939" t="str" cm="1">
        <f t="array" aca="1" ref="Q9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17 days</v>
      </c>
    </row>
    <row r="940" spans="1:17" x14ac:dyDescent="0.3">
      <c r="A940">
        <v>1939</v>
      </c>
      <c r="B940" t="s">
        <v>209</v>
      </c>
      <c r="C940" t="s">
        <v>23</v>
      </c>
      <c r="D940" t="s">
        <v>11</v>
      </c>
      <c r="E940">
        <v>44</v>
      </c>
      <c r="F940" t="str" cm="1">
        <f t="array" ref="F940">_xlfn.IFS(EmployeeData[[#This Row],[Age]]&lt;30,"20s",EmployeeData[[#This Row],[Age]]&lt;40,"30s",EmployeeData[[#This Row],[Age]]&lt;50,"40s",EmployeeData[[#This Row],[Age]]&lt;60,"50s",EmployeeData[[#This Row],[Age]]&gt;=60,"60s")</f>
        <v>40s</v>
      </c>
      <c r="G940" s="5">
        <v>44732</v>
      </c>
      <c r="H940" s="5">
        <v>45786</v>
      </c>
      <c r="I940" t="s">
        <v>12</v>
      </c>
      <c r="J940" t="s">
        <v>13</v>
      </c>
      <c r="K940" cm="1">
        <f t="array" aca="1" ref="K940" ca="1">_xlfn.IFS(EmployeeData[[#This Row],[Status]]="Active",_xlfn.DAYS(TODAY(),EmployeeData[[#This Row],[Join Date]]),EmployeeData[[#This Row],[Status]]="Exited",_xlfn.DAYS(EmployeeData[[#This Row],[Exit Date]],EmployeeData[[#This Row],[Join Date]]))</f>
        <v>1054</v>
      </c>
      <c r="L940" cm="1">
        <f t="array" aca="1" ref="L940" ca="1">_xlfn.IFS(EmployeeData[[#This Row],[Status]]="Exited",DATEDIF(EmployeeData[[#This Row],[Join Date]], EmployeeData[[#This Row],[Exit Date]], "Y"),EmployeeData[[#This Row],[Status]]="Active",DATEDIF(EmployeeData[[#This Row],[Join Date]], TODAY(), "Y"))</f>
        <v>2</v>
      </c>
      <c r="Q940" t="str" cm="1">
        <f t="array" aca="1" ref="Q9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19 days</v>
      </c>
    </row>
    <row r="941" spans="1:17" x14ac:dyDescent="0.3">
      <c r="A941">
        <v>1940</v>
      </c>
      <c r="B941" t="s">
        <v>361</v>
      </c>
      <c r="C941" t="s">
        <v>20</v>
      </c>
      <c r="D941" t="s">
        <v>11</v>
      </c>
      <c r="E941">
        <v>51</v>
      </c>
      <c r="F941" t="str" cm="1">
        <f t="array" ref="F941">_xlfn.IFS(EmployeeData[[#This Row],[Age]]&lt;30,"20s",EmployeeData[[#This Row],[Age]]&lt;40,"30s",EmployeeData[[#This Row],[Age]]&lt;50,"40s",EmployeeData[[#This Row],[Age]]&lt;60,"50s",EmployeeData[[#This Row],[Age]]&gt;=60,"60s")</f>
        <v>50s</v>
      </c>
      <c r="G941" s="5">
        <v>43182</v>
      </c>
      <c r="I941" t="s">
        <v>17</v>
      </c>
      <c r="J941" t="s">
        <v>18</v>
      </c>
      <c r="K941" cm="1">
        <f t="array" aca="1" ref="K941" ca="1">_xlfn.IFS(EmployeeData[[#This Row],[Status]]="Active",_xlfn.DAYS(TODAY(),EmployeeData[[#This Row],[Join Date]]),EmployeeData[[#This Row],[Status]]="Exited",_xlfn.DAYS(EmployeeData[[#This Row],[Exit Date]],EmployeeData[[#This Row],[Join Date]]))</f>
        <v>3015</v>
      </c>
      <c r="L941" cm="1">
        <f t="array" aca="1" ref="L941" ca="1">_xlfn.IFS(EmployeeData[[#This Row],[Status]]="Exited",DATEDIF(EmployeeData[[#This Row],[Join Date]], EmployeeData[[#This Row],[Exit Date]], "Y"),EmployeeData[[#This Row],[Status]]="Active",DATEDIF(EmployeeData[[#This Row],[Join Date]], TODAY(), "Y"))</f>
        <v>8</v>
      </c>
      <c r="Q941" t="str" cm="1">
        <f t="array" aca="1" ref="Q9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3 months 1 days</v>
      </c>
    </row>
    <row r="942" spans="1:17" x14ac:dyDescent="0.3">
      <c r="A942">
        <v>1941</v>
      </c>
      <c r="B942" t="s">
        <v>771</v>
      </c>
      <c r="C942" t="s">
        <v>46</v>
      </c>
      <c r="D942" t="s">
        <v>24</v>
      </c>
      <c r="E942">
        <v>30</v>
      </c>
      <c r="F942" t="str" cm="1">
        <f t="array" ref="F942">_xlfn.IFS(EmployeeData[[#This Row],[Age]]&lt;30,"20s",EmployeeData[[#This Row],[Age]]&lt;40,"30s",EmployeeData[[#This Row],[Age]]&lt;50,"40s",EmployeeData[[#This Row],[Age]]&lt;60,"50s",EmployeeData[[#This Row],[Age]]&gt;=60,"60s")</f>
        <v>30s</v>
      </c>
      <c r="G942" s="5">
        <v>45365</v>
      </c>
      <c r="I942" t="s">
        <v>17</v>
      </c>
      <c r="J942" t="s">
        <v>18</v>
      </c>
      <c r="K942" cm="1">
        <f t="array" aca="1" ref="K942" ca="1">_xlfn.IFS(EmployeeData[[#This Row],[Status]]="Active",_xlfn.DAYS(TODAY(),EmployeeData[[#This Row],[Join Date]]),EmployeeData[[#This Row],[Status]]="Exited",_xlfn.DAYS(EmployeeData[[#This Row],[Exit Date]],EmployeeData[[#This Row],[Join Date]]))</f>
        <v>832</v>
      </c>
      <c r="L942" cm="1">
        <f t="array" aca="1" ref="L942" ca="1">_xlfn.IFS(EmployeeData[[#This Row],[Status]]="Exited",DATEDIF(EmployeeData[[#This Row],[Join Date]], EmployeeData[[#This Row],[Exit Date]], "Y"),EmployeeData[[#This Row],[Status]]="Active",DATEDIF(EmployeeData[[#This Row],[Join Date]], TODAY(), "Y"))</f>
        <v>2</v>
      </c>
      <c r="Q942" t="str" cm="1">
        <f t="array" aca="1" ref="Q9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10 days</v>
      </c>
    </row>
    <row r="943" spans="1:17" x14ac:dyDescent="0.3">
      <c r="A943">
        <v>1942</v>
      </c>
      <c r="B943" t="s">
        <v>1037</v>
      </c>
      <c r="C943" t="s">
        <v>10</v>
      </c>
      <c r="D943" t="s">
        <v>24</v>
      </c>
      <c r="E943">
        <v>51</v>
      </c>
      <c r="F943" t="str" cm="1">
        <f t="array" ref="F943">_xlfn.IFS(EmployeeData[[#This Row],[Age]]&lt;30,"20s",EmployeeData[[#This Row],[Age]]&lt;40,"30s",EmployeeData[[#This Row],[Age]]&lt;50,"40s",EmployeeData[[#This Row],[Age]]&lt;60,"50s",EmployeeData[[#This Row],[Age]]&gt;=60,"60s")</f>
        <v>50s</v>
      </c>
      <c r="G943" s="5">
        <v>43395</v>
      </c>
      <c r="H943" s="5">
        <v>45407</v>
      </c>
      <c r="I943" t="s">
        <v>31</v>
      </c>
      <c r="J943" t="s">
        <v>13</v>
      </c>
      <c r="K943" cm="1">
        <f t="array" aca="1" ref="K943" ca="1">_xlfn.IFS(EmployeeData[[#This Row],[Status]]="Active",_xlfn.DAYS(TODAY(),EmployeeData[[#This Row],[Join Date]]),EmployeeData[[#This Row],[Status]]="Exited",_xlfn.DAYS(EmployeeData[[#This Row],[Exit Date]],EmployeeData[[#This Row],[Join Date]]))</f>
        <v>2012</v>
      </c>
      <c r="L943" cm="1">
        <f t="array" aca="1" ref="L943" ca="1">_xlfn.IFS(EmployeeData[[#This Row],[Status]]="Exited",DATEDIF(EmployeeData[[#This Row],[Join Date]], EmployeeData[[#This Row],[Exit Date]], "Y"),EmployeeData[[#This Row],[Status]]="Active",DATEDIF(EmployeeData[[#This Row],[Join Date]], TODAY(), "Y"))</f>
        <v>5</v>
      </c>
      <c r="Q943" t="str" cm="1">
        <f t="array" aca="1" ref="Q9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6 months 3 days</v>
      </c>
    </row>
    <row r="944" spans="1:17" x14ac:dyDescent="0.3">
      <c r="A944">
        <v>1943</v>
      </c>
      <c r="B944" t="s">
        <v>677</v>
      </c>
      <c r="C944" t="s">
        <v>23</v>
      </c>
      <c r="D944" t="s">
        <v>11</v>
      </c>
      <c r="E944">
        <v>46</v>
      </c>
      <c r="F944" t="str" cm="1">
        <f t="array" ref="F944">_xlfn.IFS(EmployeeData[[#This Row],[Age]]&lt;30,"20s",EmployeeData[[#This Row],[Age]]&lt;40,"30s",EmployeeData[[#This Row],[Age]]&lt;50,"40s",EmployeeData[[#This Row],[Age]]&lt;60,"50s",EmployeeData[[#This Row],[Age]]&gt;=60,"60s")</f>
        <v>40s</v>
      </c>
      <c r="G944" s="5">
        <v>44629</v>
      </c>
      <c r="I944" t="s">
        <v>17</v>
      </c>
      <c r="J944" t="s">
        <v>18</v>
      </c>
      <c r="K944" cm="1">
        <f t="array" aca="1" ref="K944" ca="1">_xlfn.IFS(EmployeeData[[#This Row],[Status]]="Active",_xlfn.DAYS(TODAY(),EmployeeData[[#This Row],[Join Date]]),EmployeeData[[#This Row],[Status]]="Exited",_xlfn.DAYS(EmployeeData[[#This Row],[Exit Date]],EmployeeData[[#This Row],[Join Date]]))</f>
        <v>1568</v>
      </c>
      <c r="L944" cm="1">
        <f t="array" aca="1" ref="L944" ca="1">_xlfn.IFS(EmployeeData[[#This Row],[Status]]="Exited",DATEDIF(EmployeeData[[#This Row],[Join Date]], EmployeeData[[#This Row],[Exit Date]], "Y"),EmployeeData[[#This Row],[Status]]="Active",DATEDIF(EmployeeData[[#This Row],[Join Date]], TODAY(), "Y"))</f>
        <v>4</v>
      </c>
      <c r="Q944" t="str" cm="1">
        <f t="array" aca="1" ref="Q9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15 days</v>
      </c>
    </row>
    <row r="945" spans="1:17" x14ac:dyDescent="0.3">
      <c r="A945">
        <v>1944</v>
      </c>
      <c r="B945" t="s">
        <v>779</v>
      </c>
      <c r="C945" t="s">
        <v>15</v>
      </c>
      <c r="D945" t="s">
        <v>11</v>
      </c>
      <c r="E945">
        <v>28</v>
      </c>
      <c r="F945" t="str" cm="1">
        <f t="array" ref="F945">_xlfn.IFS(EmployeeData[[#This Row],[Age]]&lt;30,"20s",EmployeeData[[#This Row],[Age]]&lt;40,"30s",EmployeeData[[#This Row],[Age]]&lt;50,"40s",EmployeeData[[#This Row],[Age]]&lt;60,"50s",EmployeeData[[#This Row],[Age]]&gt;=60,"60s")</f>
        <v>20s</v>
      </c>
      <c r="G945" s="5">
        <v>44677</v>
      </c>
      <c r="I945" t="s">
        <v>17</v>
      </c>
      <c r="J945" t="s">
        <v>18</v>
      </c>
      <c r="K945" cm="1">
        <f t="array" aca="1" ref="K945" ca="1">_xlfn.IFS(EmployeeData[[#This Row],[Status]]="Active",_xlfn.DAYS(TODAY(),EmployeeData[[#This Row],[Join Date]]),EmployeeData[[#This Row],[Status]]="Exited",_xlfn.DAYS(EmployeeData[[#This Row],[Exit Date]],EmployeeData[[#This Row],[Join Date]]))</f>
        <v>1520</v>
      </c>
      <c r="L945" cm="1">
        <f t="array" aca="1" ref="L945" ca="1">_xlfn.IFS(EmployeeData[[#This Row],[Status]]="Exited",DATEDIF(EmployeeData[[#This Row],[Join Date]], EmployeeData[[#This Row],[Exit Date]], "Y"),EmployeeData[[#This Row],[Status]]="Active",DATEDIF(EmployeeData[[#This Row],[Join Date]], TODAY(), "Y"))</f>
        <v>4</v>
      </c>
      <c r="Q945" t="str" cm="1">
        <f t="array" aca="1" ref="Q9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29 days</v>
      </c>
    </row>
    <row r="946" spans="1:17" x14ac:dyDescent="0.3">
      <c r="A946">
        <v>1945</v>
      </c>
      <c r="B946" t="s">
        <v>752</v>
      </c>
      <c r="C946" t="s">
        <v>46</v>
      </c>
      <c r="D946" t="s">
        <v>11</v>
      </c>
      <c r="E946">
        <v>43</v>
      </c>
      <c r="F946" t="str" cm="1">
        <f t="array" ref="F946">_xlfn.IFS(EmployeeData[[#This Row],[Age]]&lt;30,"20s",EmployeeData[[#This Row],[Age]]&lt;40,"30s",EmployeeData[[#This Row],[Age]]&lt;50,"40s",EmployeeData[[#This Row],[Age]]&lt;60,"50s",EmployeeData[[#This Row],[Age]]&gt;=60,"60s")</f>
        <v>40s</v>
      </c>
      <c r="G946" s="5">
        <v>45188</v>
      </c>
      <c r="I946" t="s">
        <v>17</v>
      </c>
      <c r="J946" t="s">
        <v>18</v>
      </c>
      <c r="K946" cm="1">
        <f t="array" aca="1" ref="K946" ca="1">_xlfn.IFS(EmployeeData[[#This Row],[Status]]="Active",_xlfn.DAYS(TODAY(),EmployeeData[[#This Row],[Join Date]]),EmployeeData[[#This Row],[Status]]="Exited",_xlfn.DAYS(EmployeeData[[#This Row],[Exit Date]],EmployeeData[[#This Row],[Join Date]]))</f>
        <v>1009</v>
      </c>
      <c r="L946" cm="1">
        <f t="array" aca="1" ref="L946" ca="1">_xlfn.IFS(EmployeeData[[#This Row],[Status]]="Exited",DATEDIF(EmployeeData[[#This Row],[Join Date]], EmployeeData[[#This Row],[Exit Date]], "Y"),EmployeeData[[#This Row],[Status]]="Active",DATEDIF(EmployeeData[[#This Row],[Join Date]], TODAY(), "Y"))</f>
        <v>2</v>
      </c>
      <c r="Q946" t="str" cm="1">
        <f t="array" aca="1" ref="Q9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5 days</v>
      </c>
    </row>
    <row r="947" spans="1:17" x14ac:dyDescent="0.3">
      <c r="A947">
        <v>1946</v>
      </c>
      <c r="B947" t="s">
        <v>221</v>
      </c>
      <c r="C947" t="s">
        <v>46</v>
      </c>
      <c r="D947" t="s">
        <v>11</v>
      </c>
      <c r="E947">
        <v>36</v>
      </c>
      <c r="F947" t="str" cm="1">
        <f t="array" ref="F947">_xlfn.IFS(EmployeeData[[#This Row],[Age]]&lt;30,"20s",EmployeeData[[#This Row],[Age]]&lt;40,"30s",EmployeeData[[#This Row],[Age]]&lt;50,"40s",EmployeeData[[#This Row],[Age]]&lt;60,"50s",EmployeeData[[#This Row],[Age]]&gt;=60,"60s")</f>
        <v>30s</v>
      </c>
      <c r="G947" s="5">
        <v>45057</v>
      </c>
      <c r="H947" s="5">
        <v>45887</v>
      </c>
      <c r="I947" t="s">
        <v>28</v>
      </c>
      <c r="J947" t="s">
        <v>13</v>
      </c>
      <c r="K947" cm="1">
        <f t="array" aca="1" ref="K947" ca="1">_xlfn.IFS(EmployeeData[[#This Row],[Status]]="Active",_xlfn.DAYS(TODAY(),EmployeeData[[#This Row],[Join Date]]),EmployeeData[[#This Row],[Status]]="Exited",_xlfn.DAYS(EmployeeData[[#This Row],[Exit Date]],EmployeeData[[#This Row],[Join Date]]))</f>
        <v>830</v>
      </c>
      <c r="L947" cm="1">
        <f t="array" aca="1" ref="L947" ca="1">_xlfn.IFS(EmployeeData[[#This Row],[Status]]="Exited",DATEDIF(EmployeeData[[#This Row],[Join Date]], EmployeeData[[#This Row],[Exit Date]], "Y"),EmployeeData[[#This Row],[Status]]="Active",DATEDIF(EmployeeData[[#This Row],[Join Date]], TODAY(), "Y"))</f>
        <v>2</v>
      </c>
      <c r="Q947" t="str" cm="1">
        <f t="array" aca="1" ref="Q9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7 days</v>
      </c>
    </row>
    <row r="948" spans="1:17" x14ac:dyDescent="0.3">
      <c r="A948">
        <v>1947</v>
      </c>
      <c r="B948" t="s">
        <v>186</v>
      </c>
      <c r="C948" t="s">
        <v>15</v>
      </c>
      <c r="D948" t="s">
        <v>24</v>
      </c>
      <c r="E948">
        <v>30</v>
      </c>
      <c r="F948" t="str" cm="1">
        <f t="array" ref="F948">_xlfn.IFS(EmployeeData[[#This Row],[Age]]&lt;30,"20s",EmployeeData[[#This Row],[Age]]&lt;40,"30s",EmployeeData[[#This Row],[Age]]&lt;50,"40s",EmployeeData[[#This Row],[Age]]&lt;60,"50s",EmployeeData[[#This Row],[Age]]&gt;=60,"60s")</f>
        <v>30s</v>
      </c>
      <c r="G948" s="5">
        <v>44142</v>
      </c>
      <c r="H948" s="5">
        <v>45416</v>
      </c>
      <c r="I948" t="s">
        <v>21</v>
      </c>
      <c r="J948" t="s">
        <v>13</v>
      </c>
      <c r="K948" cm="1">
        <f t="array" aca="1" ref="K948" ca="1">_xlfn.IFS(EmployeeData[[#This Row],[Status]]="Active",_xlfn.DAYS(TODAY(),EmployeeData[[#This Row],[Join Date]]),EmployeeData[[#This Row],[Status]]="Exited",_xlfn.DAYS(EmployeeData[[#This Row],[Exit Date]],EmployeeData[[#This Row],[Join Date]]))</f>
        <v>1274</v>
      </c>
      <c r="L948" cm="1">
        <f t="array" aca="1" ref="L948" ca="1">_xlfn.IFS(EmployeeData[[#This Row],[Status]]="Exited",DATEDIF(EmployeeData[[#This Row],[Join Date]], EmployeeData[[#This Row],[Exit Date]], "Y"),EmployeeData[[#This Row],[Status]]="Active",DATEDIF(EmployeeData[[#This Row],[Join Date]], TODAY(), "Y"))</f>
        <v>3</v>
      </c>
      <c r="Q948" t="str" cm="1">
        <f t="array" aca="1" ref="Q9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27 days</v>
      </c>
    </row>
    <row r="949" spans="1:17" x14ac:dyDescent="0.3">
      <c r="A949">
        <v>1948</v>
      </c>
      <c r="B949" t="s">
        <v>506</v>
      </c>
      <c r="C949" t="s">
        <v>20</v>
      </c>
      <c r="D949" t="s">
        <v>11</v>
      </c>
      <c r="E949">
        <v>46</v>
      </c>
      <c r="F949" t="str" cm="1">
        <f t="array" ref="F949">_xlfn.IFS(EmployeeData[[#This Row],[Age]]&lt;30,"20s",EmployeeData[[#This Row],[Age]]&lt;40,"30s",EmployeeData[[#This Row],[Age]]&lt;50,"40s",EmployeeData[[#This Row],[Age]]&lt;60,"50s",EmployeeData[[#This Row],[Age]]&gt;=60,"60s")</f>
        <v>40s</v>
      </c>
      <c r="G949" s="5">
        <v>45993</v>
      </c>
      <c r="I949" t="s">
        <v>17</v>
      </c>
      <c r="J949" t="s">
        <v>18</v>
      </c>
      <c r="K949" cm="1">
        <f t="array" aca="1" ref="K949" ca="1">_xlfn.IFS(EmployeeData[[#This Row],[Status]]="Active",_xlfn.DAYS(TODAY(),EmployeeData[[#This Row],[Join Date]]),EmployeeData[[#This Row],[Status]]="Exited",_xlfn.DAYS(EmployeeData[[#This Row],[Exit Date]],EmployeeData[[#This Row],[Join Date]]))</f>
        <v>204</v>
      </c>
      <c r="L949" cm="1">
        <f t="array" aca="1" ref="L949" ca="1">_xlfn.IFS(EmployeeData[[#This Row],[Status]]="Exited",DATEDIF(EmployeeData[[#This Row],[Join Date]], EmployeeData[[#This Row],[Exit Date]], "Y"),EmployeeData[[#This Row],[Status]]="Active",DATEDIF(EmployeeData[[#This Row],[Join Date]], TODAY(), "Y"))</f>
        <v>0</v>
      </c>
      <c r="Q949" t="str" cm="1">
        <f t="array" aca="1" ref="Q9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22 days</v>
      </c>
    </row>
    <row r="950" spans="1:17" x14ac:dyDescent="0.3">
      <c r="A950">
        <v>1949</v>
      </c>
      <c r="B950" t="s">
        <v>136</v>
      </c>
      <c r="C950" t="s">
        <v>33</v>
      </c>
      <c r="D950" t="s">
        <v>16</v>
      </c>
      <c r="E950">
        <v>48</v>
      </c>
      <c r="F950" t="str" cm="1">
        <f t="array" ref="F950">_xlfn.IFS(EmployeeData[[#This Row],[Age]]&lt;30,"20s",EmployeeData[[#This Row],[Age]]&lt;40,"30s",EmployeeData[[#This Row],[Age]]&lt;50,"40s",EmployeeData[[#This Row],[Age]]&lt;60,"50s",EmployeeData[[#This Row],[Age]]&gt;=60,"60s")</f>
        <v>40s</v>
      </c>
      <c r="G950" s="5">
        <v>44136</v>
      </c>
      <c r="I950" t="s">
        <v>17</v>
      </c>
      <c r="J950" t="s">
        <v>18</v>
      </c>
      <c r="K950" cm="1">
        <f t="array" aca="1" ref="K950" ca="1">_xlfn.IFS(EmployeeData[[#This Row],[Status]]="Active",_xlfn.DAYS(TODAY(),EmployeeData[[#This Row],[Join Date]]),EmployeeData[[#This Row],[Status]]="Exited",_xlfn.DAYS(EmployeeData[[#This Row],[Exit Date]],EmployeeData[[#This Row],[Join Date]]))</f>
        <v>2061</v>
      </c>
      <c r="L950" cm="1">
        <f t="array" aca="1" ref="L950" ca="1">_xlfn.IFS(EmployeeData[[#This Row],[Status]]="Exited",DATEDIF(EmployeeData[[#This Row],[Join Date]], EmployeeData[[#This Row],[Exit Date]], "Y"),EmployeeData[[#This Row],[Status]]="Active",DATEDIF(EmployeeData[[#This Row],[Join Date]], TODAY(), "Y"))</f>
        <v>5</v>
      </c>
      <c r="Q950" t="str" cm="1">
        <f t="array" aca="1" ref="Q9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23 days</v>
      </c>
    </row>
    <row r="951" spans="1:17" x14ac:dyDescent="0.3">
      <c r="A951">
        <v>1950</v>
      </c>
      <c r="B951" t="s">
        <v>982</v>
      </c>
      <c r="C951" t="s">
        <v>10</v>
      </c>
      <c r="D951" t="s">
        <v>16</v>
      </c>
      <c r="E951">
        <v>47</v>
      </c>
      <c r="F951" t="str" cm="1">
        <f t="array" ref="F951">_xlfn.IFS(EmployeeData[[#This Row],[Age]]&lt;30,"20s",EmployeeData[[#This Row],[Age]]&lt;40,"30s",EmployeeData[[#This Row],[Age]]&lt;50,"40s",EmployeeData[[#This Row],[Age]]&lt;60,"50s",EmployeeData[[#This Row],[Age]]&gt;=60,"60s")</f>
        <v>40s</v>
      </c>
      <c r="G951" s="5">
        <v>43465</v>
      </c>
      <c r="H951" s="5">
        <v>44965</v>
      </c>
      <c r="I951" t="s">
        <v>52</v>
      </c>
      <c r="J951" t="s">
        <v>13</v>
      </c>
      <c r="K951" cm="1">
        <f t="array" aca="1" ref="K951" ca="1">_xlfn.IFS(EmployeeData[[#This Row],[Status]]="Active",_xlfn.DAYS(TODAY(),EmployeeData[[#This Row],[Join Date]]),EmployeeData[[#This Row],[Status]]="Exited",_xlfn.DAYS(EmployeeData[[#This Row],[Exit Date]],EmployeeData[[#This Row],[Join Date]]))</f>
        <v>1500</v>
      </c>
      <c r="L951" cm="1">
        <f t="array" aca="1" ref="L951" ca="1">_xlfn.IFS(EmployeeData[[#This Row],[Status]]="Exited",DATEDIF(EmployeeData[[#This Row],[Join Date]], EmployeeData[[#This Row],[Exit Date]], "Y"),EmployeeData[[#This Row],[Status]]="Active",DATEDIF(EmployeeData[[#This Row],[Join Date]], TODAY(), "Y"))</f>
        <v>4</v>
      </c>
      <c r="Q951" t="str" cm="1">
        <f t="array" aca="1" ref="Q9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 months 8 days</v>
      </c>
    </row>
    <row r="952" spans="1:17" x14ac:dyDescent="0.3">
      <c r="A952">
        <v>1951</v>
      </c>
      <c r="B952" t="s">
        <v>307</v>
      </c>
      <c r="C952" t="s">
        <v>20</v>
      </c>
      <c r="D952" t="s">
        <v>16</v>
      </c>
      <c r="E952">
        <v>31</v>
      </c>
      <c r="F952" t="str" cm="1">
        <f t="array" ref="F952">_xlfn.IFS(EmployeeData[[#This Row],[Age]]&lt;30,"20s",EmployeeData[[#This Row],[Age]]&lt;40,"30s",EmployeeData[[#This Row],[Age]]&lt;50,"40s",EmployeeData[[#This Row],[Age]]&lt;60,"50s",EmployeeData[[#This Row],[Age]]&gt;=60,"60s")</f>
        <v>30s</v>
      </c>
      <c r="G952" s="5">
        <v>45115</v>
      </c>
      <c r="H952" s="5">
        <v>45276</v>
      </c>
      <c r="I952" t="s">
        <v>34</v>
      </c>
      <c r="J952" t="s">
        <v>13</v>
      </c>
      <c r="K952" cm="1">
        <f t="array" aca="1" ref="K952" ca="1">_xlfn.IFS(EmployeeData[[#This Row],[Status]]="Active",_xlfn.DAYS(TODAY(),EmployeeData[[#This Row],[Join Date]]),EmployeeData[[#This Row],[Status]]="Exited",_xlfn.DAYS(EmployeeData[[#This Row],[Exit Date]],EmployeeData[[#This Row],[Join Date]]))</f>
        <v>161</v>
      </c>
      <c r="L952" cm="1">
        <f t="array" aca="1" ref="L952" ca="1">_xlfn.IFS(EmployeeData[[#This Row],[Status]]="Exited",DATEDIF(EmployeeData[[#This Row],[Join Date]], EmployeeData[[#This Row],[Exit Date]], "Y"),EmployeeData[[#This Row],[Status]]="Active",DATEDIF(EmployeeData[[#This Row],[Join Date]], TODAY(), "Y"))</f>
        <v>0</v>
      </c>
      <c r="Q952" t="str" cm="1">
        <f t="array" aca="1" ref="Q9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5 months 8 days</v>
      </c>
    </row>
    <row r="953" spans="1:17" x14ac:dyDescent="0.3">
      <c r="A953">
        <v>1952</v>
      </c>
      <c r="B953" t="s">
        <v>384</v>
      </c>
      <c r="C953" t="s">
        <v>20</v>
      </c>
      <c r="D953" t="s">
        <v>16</v>
      </c>
      <c r="E953">
        <v>44</v>
      </c>
      <c r="F953" t="str" cm="1">
        <f t="array" ref="F953">_xlfn.IFS(EmployeeData[[#This Row],[Age]]&lt;30,"20s",EmployeeData[[#This Row],[Age]]&lt;40,"30s",EmployeeData[[#This Row],[Age]]&lt;50,"40s",EmployeeData[[#This Row],[Age]]&lt;60,"50s",EmployeeData[[#This Row],[Age]]&gt;=60,"60s")</f>
        <v>40s</v>
      </c>
      <c r="G953" s="5">
        <v>43864</v>
      </c>
      <c r="I953" t="s">
        <v>17</v>
      </c>
      <c r="J953" t="s">
        <v>18</v>
      </c>
      <c r="K953" cm="1">
        <f t="array" aca="1" ref="K953" ca="1">_xlfn.IFS(EmployeeData[[#This Row],[Status]]="Active",_xlfn.DAYS(TODAY(),EmployeeData[[#This Row],[Join Date]]),EmployeeData[[#This Row],[Status]]="Exited",_xlfn.DAYS(EmployeeData[[#This Row],[Exit Date]],EmployeeData[[#This Row],[Join Date]]))</f>
        <v>2333</v>
      </c>
      <c r="L953" cm="1">
        <f t="array" aca="1" ref="L953" ca="1">_xlfn.IFS(EmployeeData[[#This Row],[Status]]="Exited",DATEDIF(EmployeeData[[#This Row],[Join Date]], EmployeeData[[#This Row],[Exit Date]], "Y"),EmployeeData[[#This Row],[Status]]="Active",DATEDIF(EmployeeData[[#This Row],[Join Date]], TODAY(), "Y"))</f>
        <v>6</v>
      </c>
      <c r="Q953" t="str" cm="1">
        <f t="array" aca="1" ref="Q9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21 days</v>
      </c>
    </row>
    <row r="954" spans="1:17" x14ac:dyDescent="0.3">
      <c r="A954">
        <v>1953</v>
      </c>
      <c r="B954" t="s">
        <v>753</v>
      </c>
      <c r="C954" t="s">
        <v>10</v>
      </c>
      <c r="D954" t="s">
        <v>11</v>
      </c>
      <c r="E954">
        <v>32</v>
      </c>
      <c r="F954" t="str" cm="1">
        <f t="array" ref="F954">_xlfn.IFS(EmployeeData[[#This Row],[Age]]&lt;30,"20s",EmployeeData[[#This Row],[Age]]&lt;40,"30s",EmployeeData[[#This Row],[Age]]&lt;50,"40s",EmployeeData[[#This Row],[Age]]&lt;60,"50s",EmployeeData[[#This Row],[Age]]&gt;=60,"60s")</f>
        <v>30s</v>
      </c>
      <c r="G954" s="5">
        <v>43924</v>
      </c>
      <c r="H954" s="5">
        <v>44762</v>
      </c>
      <c r="I954" t="s">
        <v>52</v>
      </c>
      <c r="J954" t="s">
        <v>13</v>
      </c>
      <c r="K954" cm="1">
        <f t="array" aca="1" ref="K954" ca="1">_xlfn.IFS(EmployeeData[[#This Row],[Status]]="Active",_xlfn.DAYS(TODAY(),EmployeeData[[#This Row],[Join Date]]),EmployeeData[[#This Row],[Status]]="Exited",_xlfn.DAYS(EmployeeData[[#This Row],[Exit Date]],EmployeeData[[#This Row],[Join Date]]))</f>
        <v>838</v>
      </c>
      <c r="L954" cm="1">
        <f t="array" aca="1" ref="L954" ca="1">_xlfn.IFS(EmployeeData[[#This Row],[Status]]="Exited",DATEDIF(EmployeeData[[#This Row],[Join Date]], EmployeeData[[#This Row],[Exit Date]], "Y"),EmployeeData[[#This Row],[Status]]="Active",DATEDIF(EmployeeData[[#This Row],[Join Date]], TODAY(), "Y"))</f>
        <v>2</v>
      </c>
      <c r="Q954" t="str" cm="1">
        <f t="array" aca="1" ref="Q9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17 days</v>
      </c>
    </row>
    <row r="955" spans="1:17" x14ac:dyDescent="0.3">
      <c r="A955">
        <v>1954</v>
      </c>
      <c r="B955" t="s">
        <v>289</v>
      </c>
      <c r="C955" t="s">
        <v>33</v>
      </c>
      <c r="D955" t="s">
        <v>24</v>
      </c>
      <c r="E955">
        <v>27</v>
      </c>
      <c r="F955" t="str" cm="1">
        <f t="array" ref="F955">_xlfn.IFS(EmployeeData[[#This Row],[Age]]&lt;30,"20s",EmployeeData[[#This Row],[Age]]&lt;40,"30s",EmployeeData[[#This Row],[Age]]&lt;50,"40s",EmployeeData[[#This Row],[Age]]&lt;60,"50s",EmployeeData[[#This Row],[Age]]&gt;=60,"60s")</f>
        <v>20s</v>
      </c>
      <c r="G955" s="5">
        <v>45707</v>
      </c>
      <c r="H955" s="5">
        <v>45947</v>
      </c>
      <c r="I955" t="s">
        <v>31</v>
      </c>
      <c r="J955" t="s">
        <v>13</v>
      </c>
      <c r="K955" cm="1">
        <f t="array" aca="1" ref="K955" ca="1">_xlfn.IFS(EmployeeData[[#This Row],[Status]]="Active",_xlfn.DAYS(TODAY(),EmployeeData[[#This Row],[Join Date]]),EmployeeData[[#This Row],[Status]]="Exited",_xlfn.DAYS(EmployeeData[[#This Row],[Exit Date]],EmployeeData[[#This Row],[Join Date]]))</f>
        <v>240</v>
      </c>
      <c r="L955" cm="1">
        <f t="array" aca="1" ref="L955" ca="1">_xlfn.IFS(EmployeeData[[#This Row],[Status]]="Exited",DATEDIF(EmployeeData[[#This Row],[Join Date]], EmployeeData[[#This Row],[Exit Date]], "Y"),EmployeeData[[#This Row],[Status]]="Active",DATEDIF(EmployeeData[[#This Row],[Join Date]], TODAY(), "Y"))</f>
        <v>0</v>
      </c>
      <c r="Q955" t="str" cm="1">
        <f t="array" aca="1" ref="Q9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28 days</v>
      </c>
    </row>
    <row r="956" spans="1:17" x14ac:dyDescent="0.3">
      <c r="A956">
        <v>1955</v>
      </c>
      <c r="B956" t="s">
        <v>956</v>
      </c>
      <c r="C956" t="s">
        <v>23</v>
      </c>
      <c r="D956" t="s">
        <v>24</v>
      </c>
      <c r="E956">
        <v>27</v>
      </c>
      <c r="F956" t="str" cm="1">
        <f t="array" ref="F956">_xlfn.IFS(EmployeeData[[#This Row],[Age]]&lt;30,"20s",EmployeeData[[#This Row],[Age]]&lt;40,"30s",EmployeeData[[#This Row],[Age]]&lt;50,"40s",EmployeeData[[#This Row],[Age]]&lt;60,"50s",EmployeeData[[#This Row],[Age]]&gt;=60,"60s")</f>
        <v>20s</v>
      </c>
      <c r="G956" s="5">
        <v>43139</v>
      </c>
      <c r="H956" s="5">
        <v>43258</v>
      </c>
      <c r="I956" t="s">
        <v>28</v>
      </c>
      <c r="J956" t="s">
        <v>13</v>
      </c>
      <c r="K956" cm="1">
        <f t="array" aca="1" ref="K956" ca="1">_xlfn.IFS(EmployeeData[[#This Row],[Status]]="Active",_xlfn.DAYS(TODAY(),EmployeeData[[#This Row],[Join Date]]),EmployeeData[[#This Row],[Status]]="Exited",_xlfn.DAYS(EmployeeData[[#This Row],[Exit Date]],EmployeeData[[#This Row],[Join Date]]))</f>
        <v>119</v>
      </c>
      <c r="L956" cm="1">
        <f t="array" aca="1" ref="L956" ca="1">_xlfn.IFS(EmployeeData[[#This Row],[Status]]="Exited",DATEDIF(EmployeeData[[#This Row],[Join Date]], EmployeeData[[#This Row],[Exit Date]], "Y"),EmployeeData[[#This Row],[Status]]="Active",DATEDIF(EmployeeData[[#This Row],[Join Date]], TODAY(), "Y"))</f>
        <v>0</v>
      </c>
      <c r="Q956" t="str" cm="1">
        <f t="array" aca="1" ref="Q9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3 months 30 days</v>
      </c>
    </row>
    <row r="957" spans="1:17" x14ac:dyDescent="0.3">
      <c r="A957">
        <v>1956</v>
      </c>
      <c r="B957" t="s">
        <v>128</v>
      </c>
      <c r="C957" t="s">
        <v>10</v>
      </c>
      <c r="D957" t="s">
        <v>24</v>
      </c>
      <c r="E957">
        <v>38</v>
      </c>
      <c r="F957" t="str" cm="1">
        <f t="array" ref="F957">_xlfn.IFS(EmployeeData[[#This Row],[Age]]&lt;30,"20s",EmployeeData[[#This Row],[Age]]&lt;40,"30s",EmployeeData[[#This Row],[Age]]&lt;50,"40s",EmployeeData[[#This Row],[Age]]&lt;60,"50s",EmployeeData[[#This Row],[Age]]&gt;=60,"60s")</f>
        <v>30s</v>
      </c>
      <c r="G957" s="5">
        <v>45091</v>
      </c>
      <c r="I957" t="s">
        <v>17</v>
      </c>
      <c r="J957" t="s">
        <v>18</v>
      </c>
      <c r="K957" cm="1">
        <f t="array" aca="1" ref="K957" ca="1">_xlfn.IFS(EmployeeData[[#This Row],[Status]]="Active",_xlfn.DAYS(TODAY(),EmployeeData[[#This Row],[Join Date]]),EmployeeData[[#This Row],[Status]]="Exited",_xlfn.DAYS(EmployeeData[[#This Row],[Exit Date]],EmployeeData[[#This Row],[Join Date]]))</f>
        <v>1106</v>
      </c>
      <c r="L957" cm="1">
        <f t="array" aca="1" ref="L957" ca="1">_xlfn.IFS(EmployeeData[[#This Row],[Status]]="Exited",DATEDIF(EmployeeData[[#This Row],[Join Date]], EmployeeData[[#This Row],[Exit Date]], "Y"),EmployeeData[[#This Row],[Status]]="Active",DATEDIF(EmployeeData[[#This Row],[Join Date]], TODAY(), "Y"))</f>
        <v>3</v>
      </c>
      <c r="Q957" t="str" cm="1">
        <f t="array" aca="1" ref="Q9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10 days</v>
      </c>
    </row>
    <row r="958" spans="1:17" x14ac:dyDescent="0.3">
      <c r="A958">
        <v>1957</v>
      </c>
      <c r="B958" t="s">
        <v>180</v>
      </c>
      <c r="C958" t="s">
        <v>20</v>
      </c>
      <c r="D958" t="s">
        <v>24</v>
      </c>
      <c r="E958">
        <v>41</v>
      </c>
      <c r="F958" t="str" cm="1">
        <f t="array" ref="F958">_xlfn.IFS(EmployeeData[[#This Row],[Age]]&lt;30,"20s",EmployeeData[[#This Row],[Age]]&lt;40,"30s",EmployeeData[[#This Row],[Age]]&lt;50,"40s",EmployeeData[[#This Row],[Age]]&lt;60,"50s",EmployeeData[[#This Row],[Age]]&gt;=60,"60s")</f>
        <v>40s</v>
      </c>
      <c r="G958" s="5">
        <v>44082</v>
      </c>
      <c r="I958" t="s">
        <v>17</v>
      </c>
      <c r="J958" t="s">
        <v>18</v>
      </c>
      <c r="K958" cm="1">
        <f t="array" aca="1" ref="K958" ca="1">_xlfn.IFS(EmployeeData[[#This Row],[Status]]="Active",_xlfn.DAYS(TODAY(),EmployeeData[[#This Row],[Join Date]]),EmployeeData[[#This Row],[Status]]="Exited",_xlfn.DAYS(EmployeeData[[#This Row],[Exit Date]],EmployeeData[[#This Row],[Join Date]]))</f>
        <v>2115</v>
      </c>
      <c r="L958" cm="1">
        <f t="array" aca="1" ref="L958" ca="1">_xlfn.IFS(EmployeeData[[#This Row],[Status]]="Exited",DATEDIF(EmployeeData[[#This Row],[Join Date]], EmployeeData[[#This Row],[Exit Date]], "Y"),EmployeeData[[#This Row],[Status]]="Active",DATEDIF(EmployeeData[[#This Row],[Join Date]], TODAY(), "Y"))</f>
        <v>5</v>
      </c>
      <c r="Q958" t="str" cm="1">
        <f t="array" aca="1" ref="Q9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16 days</v>
      </c>
    </row>
    <row r="959" spans="1:17" x14ac:dyDescent="0.3">
      <c r="A959">
        <v>1958</v>
      </c>
      <c r="B959" t="s">
        <v>231</v>
      </c>
      <c r="C959" t="s">
        <v>46</v>
      </c>
      <c r="D959" t="s">
        <v>11</v>
      </c>
      <c r="E959">
        <v>27</v>
      </c>
      <c r="F959" t="str" cm="1">
        <f t="array" ref="F959">_xlfn.IFS(EmployeeData[[#This Row],[Age]]&lt;30,"20s",EmployeeData[[#This Row],[Age]]&lt;40,"30s",EmployeeData[[#This Row],[Age]]&lt;50,"40s",EmployeeData[[#This Row],[Age]]&lt;60,"50s",EmployeeData[[#This Row],[Age]]&gt;=60,"60s")</f>
        <v>20s</v>
      </c>
      <c r="G959" s="5">
        <v>43113</v>
      </c>
      <c r="I959" t="s">
        <v>17</v>
      </c>
      <c r="J959" t="s">
        <v>18</v>
      </c>
      <c r="K959" cm="1">
        <f t="array" aca="1" ref="K959" ca="1">_xlfn.IFS(EmployeeData[[#This Row],[Status]]="Active",_xlfn.DAYS(TODAY(),EmployeeData[[#This Row],[Join Date]]),EmployeeData[[#This Row],[Status]]="Exited",_xlfn.DAYS(EmployeeData[[#This Row],[Exit Date]],EmployeeData[[#This Row],[Join Date]]))</f>
        <v>3084</v>
      </c>
      <c r="L959" cm="1">
        <f t="array" aca="1" ref="L959" ca="1">_xlfn.IFS(EmployeeData[[#This Row],[Status]]="Exited",DATEDIF(EmployeeData[[#This Row],[Join Date]], EmployeeData[[#This Row],[Exit Date]], "Y"),EmployeeData[[#This Row],[Status]]="Active",DATEDIF(EmployeeData[[#This Row],[Join Date]], TODAY(), "Y"))</f>
        <v>8</v>
      </c>
      <c r="Q959" t="str" cm="1">
        <f t="array" aca="1" ref="Q9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11 days</v>
      </c>
    </row>
    <row r="960" spans="1:17" x14ac:dyDescent="0.3">
      <c r="A960">
        <v>1959</v>
      </c>
      <c r="B960" t="s">
        <v>109</v>
      </c>
      <c r="C960" t="s">
        <v>46</v>
      </c>
      <c r="D960" t="s">
        <v>16</v>
      </c>
      <c r="E960">
        <v>28</v>
      </c>
      <c r="F960" t="str" cm="1">
        <f t="array" ref="F960">_xlfn.IFS(EmployeeData[[#This Row],[Age]]&lt;30,"20s",EmployeeData[[#This Row],[Age]]&lt;40,"30s",EmployeeData[[#This Row],[Age]]&lt;50,"40s",EmployeeData[[#This Row],[Age]]&lt;60,"50s",EmployeeData[[#This Row],[Age]]&gt;=60,"60s")</f>
        <v>20s</v>
      </c>
      <c r="G960" s="5">
        <v>45274</v>
      </c>
      <c r="H960" s="5">
        <v>46080</v>
      </c>
      <c r="I960" t="s">
        <v>34</v>
      </c>
      <c r="J960" t="s">
        <v>13</v>
      </c>
      <c r="K960" cm="1">
        <f t="array" aca="1" ref="K960" ca="1">_xlfn.IFS(EmployeeData[[#This Row],[Status]]="Active",_xlfn.DAYS(TODAY(),EmployeeData[[#This Row],[Join Date]]),EmployeeData[[#This Row],[Status]]="Exited",_xlfn.DAYS(EmployeeData[[#This Row],[Exit Date]],EmployeeData[[#This Row],[Join Date]]))</f>
        <v>806</v>
      </c>
      <c r="L960" cm="1">
        <f t="array" aca="1" ref="L960" ca="1">_xlfn.IFS(EmployeeData[[#This Row],[Status]]="Exited",DATEDIF(EmployeeData[[#This Row],[Join Date]], EmployeeData[[#This Row],[Exit Date]], "Y"),EmployeeData[[#This Row],[Status]]="Active",DATEDIF(EmployeeData[[#This Row],[Join Date]], TODAY(), "Y"))</f>
        <v>2</v>
      </c>
      <c r="Q960" t="str" cm="1">
        <f t="array" aca="1" ref="Q9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2 months 13 days</v>
      </c>
    </row>
    <row r="961" spans="1:17" x14ac:dyDescent="0.3">
      <c r="A961">
        <v>1960</v>
      </c>
      <c r="B961" t="s">
        <v>812</v>
      </c>
      <c r="C961" t="s">
        <v>23</v>
      </c>
      <c r="D961" t="s">
        <v>24</v>
      </c>
      <c r="E961">
        <v>21</v>
      </c>
      <c r="F961" t="str" cm="1">
        <f t="array" ref="F961">_xlfn.IFS(EmployeeData[[#This Row],[Age]]&lt;30,"20s",EmployeeData[[#This Row],[Age]]&lt;40,"30s",EmployeeData[[#This Row],[Age]]&lt;50,"40s",EmployeeData[[#This Row],[Age]]&lt;60,"50s",EmployeeData[[#This Row],[Age]]&gt;=60,"60s")</f>
        <v>20s</v>
      </c>
      <c r="G961" s="5">
        <v>45714</v>
      </c>
      <c r="I961" t="s">
        <v>17</v>
      </c>
      <c r="J961" t="s">
        <v>18</v>
      </c>
      <c r="K961" cm="1">
        <f t="array" aca="1" ref="K961" ca="1">_xlfn.IFS(EmployeeData[[#This Row],[Status]]="Active",_xlfn.DAYS(TODAY(),EmployeeData[[#This Row],[Join Date]]),EmployeeData[[#This Row],[Status]]="Exited",_xlfn.DAYS(EmployeeData[[#This Row],[Exit Date]],EmployeeData[[#This Row],[Join Date]]))</f>
        <v>483</v>
      </c>
      <c r="L961" cm="1">
        <f t="array" aca="1" ref="L961" ca="1">_xlfn.IFS(EmployeeData[[#This Row],[Status]]="Exited",DATEDIF(EmployeeData[[#This Row],[Join Date]], EmployeeData[[#This Row],[Exit Date]], "Y"),EmployeeData[[#This Row],[Status]]="Active",DATEDIF(EmployeeData[[#This Row],[Join Date]], TODAY(), "Y"))</f>
        <v>1</v>
      </c>
      <c r="Q961" t="str" cm="1">
        <f t="array" aca="1" ref="Q9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29 days</v>
      </c>
    </row>
    <row r="962" spans="1:17" x14ac:dyDescent="0.3">
      <c r="A962">
        <v>1961</v>
      </c>
      <c r="B962" t="s">
        <v>941</v>
      </c>
      <c r="C962" t="s">
        <v>33</v>
      </c>
      <c r="D962" t="s">
        <v>11</v>
      </c>
      <c r="E962">
        <v>41</v>
      </c>
      <c r="F962" t="str" cm="1">
        <f t="array" ref="F962">_xlfn.IFS(EmployeeData[[#This Row],[Age]]&lt;30,"20s",EmployeeData[[#This Row],[Age]]&lt;40,"30s",EmployeeData[[#This Row],[Age]]&lt;50,"40s",EmployeeData[[#This Row],[Age]]&lt;60,"50s",EmployeeData[[#This Row],[Age]]&gt;=60,"60s")</f>
        <v>40s</v>
      </c>
      <c r="G962" s="5">
        <v>45877</v>
      </c>
      <c r="I962" t="s">
        <v>17</v>
      </c>
      <c r="J962" t="s">
        <v>18</v>
      </c>
      <c r="K962" cm="1">
        <f t="array" aca="1" ref="K962" ca="1">_xlfn.IFS(EmployeeData[[#This Row],[Status]]="Active",_xlfn.DAYS(TODAY(),EmployeeData[[#This Row],[Join Date]]),EmployeeData[[#This Row],[Status]]="Exited",_xlfn.DAYS(EmployeeData[[#This Row],[Exit Date]],EmployeeData[[#This Row],[Join Date]]))</f>
        <v>320</v>
      </c>
      <c r="L962" cm="1">
        <f t="array" aca="1" ref="L962" ca="1">_xlfn.IFS(EmployeeData[[#This Row],[Status]]="Exited",DATEDIF(EmployeeData[[#This Row],[Join Date]], EmployeeData[[#This Row],[Exit Date]], "Y"),EmployeeData[[#This Row],[Status]]="Active",DATEDIF(EmployeeData[[#This Row],[Join Date]], TODAY(), "Y"))</f>
        <v>0</v>
      </c>
      <c r="Q962" t="str" cm="1">
        <f t="array" aca="1" ref="Q9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16 days</v>
      </c>
    </row>
    <row r="963" spans="1:17" x14ac:dyDescent="0.3">
      <c r="A963">
        <v>1962</v>
      </c>
      <c r="B963" t="s">
        <v>695</v>
      </c>
      <c r="C963" t="s">
        <v>10</v>
      </c>
      <c r="D963" t="s">
        <v>11</v>
      </c>
      <c r="E963">
        <v>51</v>
      </c>
      <c r="F963" t="str" cm="1">
        <f t="array" ref="F963">_xlfn.IFS(EmployeeData[[#This Row],[Age]]&lt;30,"20s",EmployeeData[[#This Row],[Age]]&lt;40,"30s",EmployeeData[[#This Row],[Age]]&lt;50,"40s",EmployeeData[[#This Row],[Age]]&lt;60,"50s",EmployeeData[[#This Row],[Age]]&gt;=60,"60s")</f>
        <v>50s</v>
      </c>
      <c r="G963" s="5">
        <v>45797</v>
      </c>
      <c r="I963" t="s">
        <v>17</v>
      </c>
      <c r="J963" t="s">
        <v>18</v>
      </c>
      <c r="K963" cm="1">
        <f t="array" aca="1" ref="K963" ca="1">_xlfn.IFS(EmployeeData[[#This Row],[Status]]="Active",_xlfn.DAYS(TODAY(),EmployeeData[[#This Row],[Join Date]]),EmployeeData[[#This Row],[Status]]="Exited",_xlfn.DAYS(EmployeeData[[#This Row],[Exit Date]],EmployeeData[[#This Row],[Join Date]]))</f>
        <v>400</v>
      </c>
      <c r="L963" cm="1">
        <f t="array" aca="1" ref="L963" ca="1">_xlfn.IFS(EmployeeData[[#This Row],[Status]]="Exited",DATEDIF(EmployeeData[[#This Row],[Join Date]], EmployeeData[[#This Row],[Exit Date]], "Y"),EmployeeData[[#This Row],[Status]]="Active",DATEDIF(EmployeeData[[#This Row],[Join Date]], TODAY(), "Y"))</f>
        <v>1</v>
      </c>
      <c r="Q963" t="str" cm="1">
        <f t="array" aca="1" ref="Q9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4 days</v>
      </c>
    </row>
    <row r="964" spans="1:17" x14ac:dyDescent="0.3">
      <c r="A964">
        <v>1963</v>
      </c>
      <c r="B964" t="s">
        <v>117</v>
      </c>
      <c r="C964" t="s">
        <v>20</v>
      </c>
      <c r="D964" t="s">
        <v>11</v>
      </c>
      <c r="E964">
        <v>57</v>
      </c>
      <c r="F964" t="str" cm="1">
        <f t="array" ref="F964">_xlfn.IFS(EmployeeData[[#This Row],[Age]]&lt;30,"20s",EmployeeData[[#This Row],[Age]]&lt;40,"30s",EmployeeData[[#This Row],[Age]]&lt;50,"40s",EmployeeData[[#This Row],[Age]]&lt;60,"50s",EmployeeData[[#This Row],[Age]]&gt;=60,"60s")</f>
        <v>50s</v>
      </c>
      <c r="G964" s="5">
        <v>45167</v>
      </c>
      <c r="H964" s="5">
        <v>45766</v>
      </c>
      <c r="I964" t="s">
        <v>52</v>
      </c>
      <c r="J964" t="s">
        <v>13</v>
      </c>
      <c r="K964" cm="1">
        <f t="array" aca="1" ref="K964" ca="1">_xlfn.IFS(EmployeeData[[#This Row],[Status]]="Active",_xlfn.DAYS(TODAY(),EmployeeData[[#This Row],[Join Date]]),EmployeeData[[#This Row],[Status]]="Exited",_xlfn.DAYS(EmployeeData[[#This Row],[Exit Date]],EmployeeData[[#This Row],[Join Date]]))</f>
        <v>599</v>
      </c>
      <c r="L964" cm="1">
        <f t="array" aca="1" ref="L964" ca="1">_xlfn.IFS(EmployeeData[[#This Row],[Status]]="Exited",DATEDIF(EmployeeData[[#This Row],[Join Date]], EmployeeData[[#This Row],[Exit Date]], "Y"),EmployeeData[[#This Row],[Status]]="Active",DATEDIF(EmployeeData[[#This Row],[Join Date]], TODAY(), "Y"))</f>
        <v>1</v>
      </c>
      <c r="Q964" t="str" cm="1">
        <f t="array" aca="1" ref="Q9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21 days</v>
      </c>
    </row>
    <row r="965" spans="1:17" x14ac:dyDescent="0.3">
      <c r="A965">
        <v>1964</v>
      </c>
      <c r="B965" t="s">
        <v>807</v>
      </c>
      <c r="C965" t="s">
        <v>46</v>
      </c>
      <c r="D965" t="s">
        <v>24</v>
      </c>
      <c r="E965">
        <v>49</v>
      </c>
      <c r="F965" t="str" cm="1">
        <f t="array" ref="F965">_xlfn.IFS(EmployeeData[[#This Row],[Age]]&lt;30,"20s",EmployeeData[[#This Row],[Age]]&lt;40,"30s",EmployeeData[[#This Row],[Age]]&lt;50,"40s",EmployeeData[[#This Row],[Age]]&lt;60,"50s",EmployeeData[[#This Row],[Age]]&gt;=60,"60s")</f>
        <v>40s</v>
      </c>
      <c r="G965" s="5">
        <v>43574</v>
      </c>
      <c r="I965" t="s">
        <v>17</v>
      </c>
      <c r="J965" t="s">
        <v>18</v>
      </c>
      <c r="K965" cm="1">
        <f t="array" aca="1" ref="K965" ca="1">_xlfn.IFS(EmployeeData[[#This Row],[Status]]="Active",_xlfn.DAYS(TODAY(),EmployeeData[[#This Row],[Join Date]]),EmployeeData[[#This Row],[Status]]="Exited",_xlfn.DAYS(EmployeeData[[#This Row],[Exit Date]],EmployeeData[[#This Row],[Join Date]]))</f>
        <v>2623</v>
      </c>
      <c r="L965" cm="1">
        <f t="array" aca="1" ref="L965" ca="1">_xlfn.IFS(EmployeeData[[#This Row],[Status]]="Exited",DATEDIF(EmployeeData[[#This Row],[Join Date]], EmployeeData[[#This Row],[Exit Date]], "Y"),EmployeeData[[#This Row],[Status]]="Active",DATEDIF(EmployeeData[[#This Row],[Join Date]], TODAY(), "Y"))</f>
        <v>7</v>
      </c>
      <c r="Q965" t="str" cm="1">
        <f t="array" aca="1" ref="Q9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2 months 5 days</v>
      </c>
    </row>
    <row r="966" spans="1:17" x14ac:dyDescent="0.3">
      <c r="A966">
        <v>1965</v>
      </c>
      <c r="B966" t="s">
        <v>409</v>
      </c>
      <c r="C966" t="s">
        <v>20</v>
      </c>
      <c r="D966" t="s">
        <v>24</v>
      </c>
      <c r="E966">
        <v>26</v>
      </c>
      <c r="F966" t="str" cm="1">
        <f t="array" ref="F966">_xlfn.IFS(EmployeeData[[#This Row],[Age]]&lt;30,"20s",EmployeeData[[#This Row],[Age]]&lt;40,"30s",EmployeeData[[#This Row],[Age]]&lt;50,"40s",EmployeeData[[#This Row],[Age]]&lt;60,"50s",EmployeeData[[#This Row],[Age]]&gt;=60,"60s")</f>
        <v>20s</v>
      </c>
      <c r="G966" s="5">
        <v>43533</v>
      </c>
      <c r="I966" t="s">
        <v>17</v>
      </c>
      <c r="J966" t="s">
        <v>18</v>
      </c>
      <c r="K966" cm="1">
        <f t="array" aca="1" ref="K966" ca="1">_xlfn.IFS(EmployeeData[[#This Row],[Status]]="Active",_xlfn.DAYS(TODAY(),EmployeeData[[#This Row],[Join Date]]),EmployeeData[[#This Row],[Status]]="Exited",_xlfn.DAYS(EmployeeData[[#This Row],[Exit Date]],EmployeeData[[#This Row],[Join Date]]))</f>
        <v>2664</v>
      </c>
      <c r="L966" cm="1">
        <f t="array" aca="1" ref="L966" ca="1">_xlfn.IFS(EmployeeData[[#This Row],[Status]]="Exited",DATEDIF(EmployeeData[[#This Row],[Join Date]], EmployeeData[[#This Row],[Exit Date]], "Y"),EmployeeData[[#This Row],[Status]]="Active",DATEDIF(EmployeeData[[#This Row],[Join Date]], TODAY(), "Y"))</f>
        <v>7</v>
      </c>
      <c r="Q966" t="str" cm="1">
        <f t="array" aca="1" ref="Q9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15 days</v>
      </c>
    </row>
    <row r="967" spans="1:17" x14ac:dyDescent="0.3">
      <c r="A967">
        <v>1966</v>
      </c>
      <c r="B967" t="s">
        <v>135</v>
      </c>
      <c r="C967" t="s">
        <v>10</v>
      </c>
      <c r="D967" t="s">
        <v>24</v>
      </c>
      <c r="E967">
        <v>38</v>
      </c>
      <c r="F967" t="str" cm="1">
        <f t="array" ref="F967">_xlfn.IFS(EmployeeData[[#This Row],[Age]]&lt;30,"20s",EmployeeData[[#This Row],[Age]]&lt;40,"30s",EmployeeData[[#This Row],[Age]]&lt;50,"40s",EmployeeData[[#This Row],[Age]]&lt;60,"50s",EmployeeData[[#This Row],[Age]]&gt;=60,"60s")</f>
        <v>30s</v>
      </c>
      <c r="G967" s="5">
        <v>44003</v>
      </c>
      <c r="I967" t="s">
        <v>17</v>
      </c>
      <c r="J967" t="s">
        <v>18</v>
      </c>
      <c r="K967" cm="1">
        <f t="array" aca="1" ref="K967" ca="1">_xlfn.IFS(EmployeeData[[#This Row],[Status]]="Active",_xlfn.DAYS(TODAY(),EmployeeData[[#This Row],[Join Date]]),EmployeeData[[#This Row],[Status]]="Exited",_xlfn.DAYS(EmployeeData[[#This Row],[Exit Date]],EmployeeData[[#This Row],[Join Date]]))</f>
        <v>2194</v>
      </c>
      <c r="L967" cm="1">
        <f t="array" aca="1" ref="L967" ca="1">_xlfn.IFS(EmployeeData[[#This Row],[Status]]="Exited",DATEDIF(EmployeeData[[#This Row],[Join Date]], EmployeeData[[#This Row],[Exit Date]], "Y"),EmployeeData[[#This Row],[Status]]="Active",DATEDIF(EmployeeData[[#This Row],[Join Date]], TODAY(), "Y"))</f>
        <v>6</v>
      </c>
      <c r="Q967" t="str" cm="1">
        <f t="array" aca="1" ref="Q9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3 days</v>
      </c>
    </row>
    <row r="968" spans="1:17" x14ac:dyDescent="0.3">
      <c r="A968">
        <v>1967</v>
      </c>
      <c r="B968" t="s">
        <v>1010</v>
      </c>
      <c r="C968" t="s">
        <v>46</v>
      </c>
      <c r="D968" t="s">
        <v>24</v>
      </c>
      <c r="E968">
        <v>52</v>
      </c>
      <c r="F968" t="str" cm="1">
        <f t="array" ref="F968">_xlfn.IFS(EmployeeData[[#This Row],[Age]]&lt;30,"20s",EmployeeData[[#This Row],[Age]]&lt;40,"30s",EmployeeData[[#This Row],[Age]]&lt;50,"40s",EmployeeData[[#This Row],[Age]]&lt;60,"50s",EmployeeData[[#This Row],[Age]]&gt;=60,"60s")</f>
        <v>50s</v>
      </c>
      <c r="G968" s="5">
        <v>43471</v>
      </c>
      <c r="I968" t="s">
        <v>17</v>
      </c>
      <c r="J968" t="s">
        <v>18</v>
      </c>
      <c r="K968" cm="1">
        <f t="array" aca="1" ref="K968" ca="1">_xlfn.IFS(EmployeeData[[#This Row],[Status]]="Active",_xlfn.DAYS(TODAY(),EmployeeData[[#This Row],[Join Date]]),EmployeeData[[#This Row],[Status]]="Exited",_xlfn.DAYS(EmployeeData[[#This Row],[Exit Date]],EmployeeData[[#This Row],[Join Date]]))</f>
        <v>2726</v>
      </c>
      <c r="L968" cm="1">
        <f t="array" aca="1" ref="L968" ca="1">_xlfn.IFS(EmployeeData[[#This Row],[Status]]="Exited",DATEDIF(EmployeeData[[#This Row],[Join Date]], EmployeeData[[#This Row],[Exit Date]], "Y"),EmployeeData[[#This Row],[Status]]="Active",DATEDIF(EmployeeData[[#This Row],[Join Date]], TODAY(), "Y"))</f>
        <v>7</v>
      </c>
      <c r="Q968" t="str" cm="1">
        <f t="array" aca="1" ref="Q9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5 months 18 days</v>
      </c>
    </row>
    <row r="969" spans="1:17" x14ac:dyDescent="0.3">
      <c r="A969">
        <v>1968</v>
      </c>
      <c r="B969" t="s">
        <v>871</v>
      </c>
      <c r="C969" t="s">
        <v>20</v>
      </c>
      <c r="D969" t="s">
        <v>24</v>
      </c>
      <c r="E969">
        <v>42</v>
      </c>
      <c r="F969" t="str" cm="1">
        <f t="array" ref="F969">_xlfn.IFS(EmployeeData[[#This Row],[Age]]&lt;30,"20s",EmployeeData[[#This Row],[Age]]&lt;40,"30s",EmployeeData[[#This Row],[Age]]&lt;50,"40s",EmployeeData[[#This Row],[Age]]&lt;60,"50s",EmployeeData[[#This Row],[Age]]&gt;=60,"60s")</f>
        <v>40s</v>
      </c>
      <c r="G969" s="5">
        <v>44645</v>
      </c>
      <c r="I969" t="s">
        <v>17</v>
      </c>
      <c r="J969" t="s">
        <v>18</v>
      </c>
      <c r="K969" cm="1">
        <f t="array" aca="1" ref="K969" ca="1">_xlfn.IFS(EmployeeData[[#This Row],[Status]]="Active",_xlfn.DAYS(TODAY(),EmployeeData[[#This Row],[Join Date]]),EmployeeData[[#This Row],[Status]]="Exited",_xlfn.DAYS(EmployeeData[[#This Row],[Exit Date]],EmployeeData[[#This Row],[Join Date]]))</f>
        <v>1552</v>
      </c>
      <c r="L969" cm="1">
        <f t="array" aca="1" ref="L969" ca="1">_xlfn.IFS(EmployeeData[[#This Row],[Status]]="Exited",DATEDIF(EmployeeData[[#This Row],[Join Date]], EmployeeData[[#This Row],[Exit Date]], "Y"),EmployeeData[[#This Row],[Status]]="Active",DATEDIF(EmployeeData[[#This Row],[Join Date]], TODAY(), "Y"))</f>
        <v>4</v>
      </c>
      <c r="Q969" t="str" cm="1">
        <f t="array" aca="1" ref="Q9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30 days</v>
      </c>
    </row>
    <row r="970" spans="1:17" x14ac:dyDescent="0.3">
      <c r="A970">
        <v>1969</v>
      </c>
      <c r="B970" t="s">
        <v>578</v>
      </c>
      <c r="C970" t="s">
        <v>23</v>
      </c>
      <c r="D970" t="s">
        <v>11</v>
      </c>
      <c r="E970">
        <v>35</v>
      </c>
      <c r="F970" t="str" cm="1">
        <f t="array" ref="F970">_xlfn.IFS(EmployeeData[[#This Row],[Age]]&lt;30,"20s",EmployeeData[[#This Row],[Age]]&lt;40,"30s",EmployeeData[[#This Row],[Age]]&lt;50,"40s",EmployeeData[[#This Row],[Age]]&lt;60,"50s",EmployeeData[[#This Row],[Age]]&gt;=60,"60s")</f>
        <v>30s</v>
      </c>
      <c r="G970" s="5">
        <v>44016</v>
      </c>
      <c r="H970" s="5">
        <v>45297</v>
      </c>
      <c r="I970" t="s">
        <v>31</v>
      </c>
      <c r="J970" t="s">
        <v>13</v>
      </c>
      <c r="K970" cm="1">
        <f t="array" aca="1" ref="K970" ca="1">_xlfn.IFS(EmployeeData[[#This Row],[Status]]="Active",_xlfn.DAYS(TODAY(),EmployeeData[[#This Row],[Join Date]]),EmployeeData[[#This Row],[Status]]="Exited",_xlfn.DAYS(EmployeeData[[#This Row],[Exit Date]],EmployeeData[[#This Row],[Join Date]]))</f>
        <v>1281</v>
      </c>
      <c r="L970" cm="1">
        <f t="array" aca="1" ref="L970" ca="1">_xlfn.IFS(EmployeeData[[#This Row],[Status]]="Exited",DATEDIF(EmployeeData[[#This Row],[Join Date]], EmployeeData[[#This Row],[Exit Date]], "Y"),EmployeeData[[#This Row],[Status]]="Active",DATEDIF(EmployeeData[[#This Row],[Join Date]], TODAY(), "Y"))</f>
        <v>3</v>
      </c>
      <c r="Q970" t="str" cm="1">
        <f t="array" aca="1" ref="Q9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2 days</v>
      </c>
    </row>
    <row r="971" spans="1:17" x14ac:dyDescent="0.3">
      <c r="A971">
        <v>1970</v>
      </c>
      <c r="B971" t="s">
        <v>542</v>
      </c>
      <c r="C971" t="s">
        <v>46</v>
      </c>
      <c r="D971" t="s">
        <v>11</v>
      </c>
      <c r="E971">
        <v>28</v>
      </c>
      <c r="F971" t="str" cm="1">
        <f t="array" ref="F971">_xlfn.IFS(EmployeeData[[#This Row],[Age]]&lt;30,"20s",EmployeeData[[#This Row],[Age]]&lt;40,"30s",EmployeeData[[#This Row],[Age]]&lt;50,"40s",EmployeeData[[#This Row],[Age]]&lt;60,"50s",EmployeeData[[#This Row],[Age]]&gt;=60,"60s")</f>
        <v>20s</v>
      </c>
      <c r="G971" s="5">
        <v>45447</v>
      </c>
      <c r="H971" s="5">
        <v>45857</v>
      </c>
      <c r="I971" t="s">
        <v>21</v>
      </c>
      <c r="J971" t="s">
        <v>13</v>
      </c>
      <c r="K971" cm="1">
        <f t="array" aca="1" ref="K971" ca="1">_xlfn.IFS(EmployeeData[[#This Row],[Status]]="Active",_xlfn.DAYS(TODAY(),EmployeeData[[#This Row],[Join Date]]),EmployeeData[[#This Row],[Status]]="Exited",_xlfn.DAYS(EmployeeData[[#This Row],[Exit Date]],EmployeeData[[#This Row],[Join Date]]))</f>
        <v>410</v>
      </c>
      <c r="L971" cm="1">
        <f t="array" aca="1" ref="L971" ca="1">_xlfn.IFS(EmployeeData[[#This Row],[Status]]="Exited",DATEDIF(EmployeeData[[#This Row],[Join Date]], EmployeeData[[#This Row],[Exit Date]], "Y"),EmployeeData[[#This Row],[Status]]="Active",DATEDIF(EmployeeData[[#This Row],[Join Date]], TODAY(), "Y"))</f>
        <v>1</v>
      </c>
      <c r="Q971" t="str" cm="1">
        <f t="array" aca="1" ref="Q9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15 days</v>
      </c>
    </row>
    <row r="972" spans="1:17" x14ac:dyDescent="0.3">
      <c r="A972">
        <v>1971</v>
      </c>
      <c r="B972" t="s">
        <v>475</v>
      </c>
      <c r="C972" t="s">
        <v>23</v>
      </c>
      <c r="D972" t="s">
        <v>16</v>
      </c>
      <c r="E972">
        <v>45</v>
      </c>
      <c r="F972" t="str" cm="1">
        <f t="array" ref="F972">_xlfn.IFS(EmployeeData[[#This Row],[Age]]&lt;30,"20s",EmployeeData[[#This Row],[Age]]&lt;40,"30s",EmployeeData[[#This Row],[Age]]&lt;50,"40s",EmployeeData[[#This Row],[Age]]&lt;60,"50s",EmployeeData[[#This Row],[Age]]&gt;=60,"60s")</f>
        <v>40s</v>
      </c>
      <c r="G972" s="5">
        <v>44836</v>
      </c>
      <c r="H972" s="5">
        <v>45673</v>
      </c>
      <c r="I972" t="s">
        <v>52</v>
      </c>
      <c r="J972" t="s">
        <v>13</v>
      </c>
      <c r="K972" cm="1">
        <f t="array" aca="1" ref="K972" ca="1">_xlfn.IFS(EmployeeData[[#This Row],[Status]]="Active",_xlfn.DAYS(TODAY(),EmployeeData[[#This Row],[Join Date]]),EmployeeData[[#This Row],[Status]]="Exited",_xlfn.DAYS(EmployeeData[[#This Row],[Exit Date]],EmployeeData[[#This Row],[Join Date]]))</f>
        <v>837</v>
      </c>
      <c r="L972" cm="1">
        <f t="array" aca="1" ref="L972" ca="1">_xlfn.IFS(EmployeeData[[#This Row],[Status]]="Exited",DATEDIF(EmployeeData[[#This Row],[Join Date]], EmployeeData[[#This Row],[Exit Date]], "Y"),EmployeeData[[#This Row],[Status]]="Active",DATEDIF(EmployeeData[[#This Row],[Join Date]], TODAY(), "Y"))</f>
        <v>2</v>
      </c>
      <c r="Q972" t="str" cm="1">
        <f t="array" aca="1" ref="Q9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3 months 14 days</v>
      </c>
    </row>
    <row r="973" spans="1:17" x14ac:dyDescent="0.3">
      <c r="A973">
        <v>1972</v>
      </c>
      <c r="B973" t="s">
        <v>451</v>
      </c>
      <c r="C973" t="s">
        <v>23</v>
      </c>
      <c r="D973" t="s">
        <v>16</v>
      </c>
      <c r="E973">
        <v>21</v>
      </c>
      <c r="F973" t="str" cm="1">
        <f t="array" ref="F973">_xlfn.IFS(EmployeeData[[#This Row],[Age]]&lt;30,"20s",EmployeeData[[#This Row],[Age]]&lt;40,"30s",EmployeeData[[#This Row],[Age]]&lt;50,"40s",EmployeeData[[#This Row],[Age]]&lt;60,"50s",EmployeeData[[#This Row],[Age]]&gt;=60,"60s")</f>
        <v>20s</v>
      </c>
      <c r="G973" s="5">
        <v>45305</v>
      </c>
      <c r="I973" t="s">
        <v>17</v>
      </c>
      <c r="J973" t="s">
        <v>18</v>
      </c>
      <c r="K973" cm="1">
        <f t="array" aca="1" ref="K973" ca="1">_xlfn.IFS(EmployeeData[[#This Row],[Status]]="Active",_xlfn.DAYS(TODAY(),EmployeeData[[#This Row],[Join Date]]),EmployeeData[[#This Row],[Status]]="Exited",_xlfn.DAYS(EmployeeData[[#This Row],[Exit Date]],EmployeeData[[#This Row],[Join Date]]))</f>
        <v>892</v>
      </c>
      <c r="L973" cm="1">
        <f t="array" aca="1" ref="L973" ca="1">_xlfn.IFS(EmployeeData[[#This Row],[Status]]="Exited",DATEDIF(EmployeeData[[#This Row],[Join Date]], EmployeeData[[#This Row],[Exit Date]], "Y"),EmployeeData[[#This Row],[Status]]="Active",DATEDIF(EmployeeData[[#This Row],[Join Date]], TODAY(), "Y"))</f>
        <v>2</v>
      </c>
      <c r="Q973" t="str" cm="1">
        <f t="array" aca="1" ref="Q9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5 months 10 days</v>
      </c>
    </row>
    <row r="974" spans="1:17" x14ac:dyDescent="0.3">
      <c r="A974">
        <v>1973</v>
      </c>
      <c r="B974" t="s">
        <v>441</v>
      </c>
      <c r="C974" t="s">
        <v>10</v>
      </c>
      <c r="D974" t="s">
        <v>16</v>
      </c>
      <c r="E974">
        <v>50</v>
      </c>
      <c r="F974" t="str" cm="1">
        <f t="array" ref="F974">_xlfn.IFS(EmployeeData[[#This Row],[Age]]&lt;30,"20s",EmployeeData[[#This Row],[Age]]&lt;40,"30s",EmployeeData[[#This Row],[Age]]&lt;50,"40s",EmployeeData[[#This Row],[Age]]&lt;60,"50s",EmployeeData[[#This Row],[Age]]&gt;=60,"60s")</f>
        <v>50s</v>
      </c>
      <c r="G974" s="5">
        <v>43704</v>
      </c>
      <c r="I974" t="s">
        <v>17</v>
      </c>
      <c r="J974" t="s">
        <v>18</v>
      </c>
      <c r="K974" cm="1">
        <f t="array" aca="1" ref="K974" ca="1">_xlfn.IFS(EmployeeData[[#This Row],[Status]]="Active",_xlfn.DAYS(TODAY(),EmployeeData[[#This Row],[Join Date]]),EmployeeData[[#This Row],[Status]]="Exited",_xlfn.DAYS(EmployeeData[[#This Row],[Exit Date]],EmployeeData[[#This Row],[Join Date]]))</f>
        <v>2493</v>
      </c>
      <c r="L974" cm="1">
        <f t="array" aca="1" ref="L974" ca="1">_xlfn.IFS(EmployeeData[[#This Row],[Status]]="Exited",DATEDIF(EmployeeData[[#This Row],[Join Date]], EmployeeData[[#This Row],[Exit Date]], "Y"),EmployeeData[[#This Row],[Status]]="Active",DATEDIF(EmployeeData[[#This Row],[Join Date]], TODAY(), "Y"))</f>
        <v>6</v>
      </c>
      <c r="Q974" t="str" cm="1">
        <f t="array" aca="1" ref="Q9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9 months 28 days</v>
      </c>
    </row>
    <row r="975" spans="1:17" x14ac:dyDescent="0.3">
      <c r="A975">
        <v>1974</v>
      </c>
      <c r="B975" t="s">
        <v>127</v>
      </c>
      <c r="C975" t="s">
        <v>33</v>
      </c>
      <c r="D975" t="s">
        <v>11</v>
      </c>
      <c r="E975">
        <v>41</v>
      </c>
      <c r="F975" t="str" cm="1">
        <f t="array" ref="F975">_xlfn.IFS(EmployeeData[[#This Row],[Age]]&lt;30,"20s",EmployeeData[[#This Row],[Age]]&lt;40,"30s",EmployeeData[[#This Row],[Age]]&lt;50,"40s",EmployeeData[[#This Row],[Age]]&lt;60,"50s",EmployeeData[[#This Row],[Age]]&gt;=60,"60s")</f>
        <v>40s</v>
      </c>
      <c r="G975" s="5">
        <v>44366</v>
      </c>
      <c r="I975" t="s">
        <v>17</v>
      </c>
      <c r="J975" t="s">
        <v>18</v>
      </c>
      <c r="K975" cm="1">
        <f t="array" aca="1" ref="K975" ca="1">_xlfn.IFS(EmployeeData[[#This Row],[Status]]="Active",_xlfn.DAYS(TODAY(),EmployeeData[[#This Row],[Join Date]]),EmployeeData[[#This Row],[Status]]="Exited",_xlfn.DAYS(EmployeeData[[#This Row],[Exit Date]],EmployeeData[[#This Row],[Join Date]]))</f>
        <v>1831</v>
      </c>
      <c r="L975" cm="1">
        <f t="array" aca="1" ref="L975" ca="1">_xlfn.IFS(EmployeeData[[#This Row],[Status]]="Exited",DATEDIF(EmployeeData[[#This Row],[Join Date]], EmployeeData[[#This Row],[Exit Date]], "Y"),EmployeeData[[#This Row],[Status]]="Active",DATEDIF(EmployeeData[[#This Row],[Join Date]], TODAY(), "Y"))</f>
        <v>5</v>
      </c>
      <c r="Q975" t="str" cm="1">
        <f t="array" aca="1" ref="Q9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5 days</v>
      </c>
    </row>
    <row r="976" spans="1:17" x14ac:dyDescent="0.3">
      <c r="A976">
        <v>1975</v>
      </c>
      <c r="B976" t="s">
        <v>959</v>
      </c>
      <c r="C976" t="s">
        <v>20</v>
      </c>
      <c r="D976" t="s">
        <v>24</v>
      </c>
      <c r="E976">
        <v>34</v>
      </c>
      <c r="F976" t="str" cm="1">
        <f t="array" ref="F976">_xlfn.IFS(EmployeeData[[#This Row],[Age]]&lt;30,"20s",EmployeeData[[#This Row],[Age]]&lt;40,"30s",EmployeeData[[#This Row],[Age]]&lt;50,"40s",EmployeeData[[#This Row],[Age]]&lt;60,"50s",EmployeeData[[#This Row],[Age]]&gt;=60,"60s")</f>
        <v>30s</v>
      </c>
      <c r="G976" s="5">
        <v>45128</v>
      </c>
      <c r="H976" s="5">
        <v>45603</v>
      </c>
      <c r="I976" t="s">
        <v>31</v>
      </c>
      <c r="J976" t="s">
        <v>13</v>
      </c>
      <c r="K976" cm="1">
        <f t="array" aca="1" ref="K976" ca="1">_xlfn.IFS(EmployeeData[[#This Row],[Status]]="Active",_xlfn.DAYS(TODAY(),EmployeeData[[#This Row],[Join Date]]),EmployeeData[[#This Row],[Status]]="Exited",_xlfn.DAYS(EmployeeData[[#This Row],[Exit Date]],EmployeeData[[#This Row],[Join Date]]))</f>
        <v>475</v>
      </c>
      <c r="L976" cm="1">
        <f t="array" aca="1" ref="L976" ca="1">_xlfn.IFS(EmployeeData[[#This Row],[Status]]="Exited",DATEDIF(EmployeeData[[#This Row],[Join Date]], EmployeeData[[#This Row],[Exit Date]], "Y"),EmployeeData[[#This Row],[Status]]="Active",DATEDIF(EmployeeData[[#This Row],[Join Date]], TODAY(), "Y"))</f>
        <v>1</v>
      </c>
      <c r="Q976" t="str" cm="1">
        <f t="array" aca="1" ref="Q9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17 days</v>
      </c>
    </row>
    <row r="977" spans="1:17" x14ac:dyDescent="0.3">
      <c r="A977">
        <v>1976</v>
      </c>
      <c r="B977" t="s">
        <v>270</v>
      </c>
      <c r="C977" t="s">
        <v>15</v>
      </c>
      <c r="D977" t="s">
        <v>11</v>
      </c>
      <c r="E977">
        <v>35</v>
      </c>
      <c r="F977" t="str" cm="1">
        <f t="array" ref="F977">_xlfn.IFS(EmployeeData[[#This Row],[Age]]&lt;30,"20s",EmployeeData[[#This Row],[Age]]&lt;40,"30s",EmployeeData[[#This Row],[Age]]&lt;50,"40s",EmployeeData[[#This Row],[Age]]&lt;60,"50s",EmployeeData[[#This Row],[Age]]&gt;=60,"60s")</f>
        <v>30s</v>
      </c>
      <c r="G977" s="5">
        <v>45969</v>
      </c>
      <c r="I977" t="s">
        <v>17</v>
      </c>
      <c r="J977" t="s">
        <v>18</v>
      </c>
      <c r="K977" cm="1">
        <f t="array" aca="1" ref="K977" ca="1">_xlfn.IFS(EmployeeData[[#This Row],[Status]]="Active",_xlfn.DAYS(TODAY(),EmployeeData[[#This Row],[Join Date]]),EmployeeData[[#This Row],[Status]]="Exited",_xlfn.DAYS(EmployeeData[[#This Row],[Exit Date]],EmployeeData[[#This Row],[Join Date]]))</f>
        <v>228</v>
      </c>
      <c r="L977" cm="1">
        <f t="array" aca="1" ref="L977" ca="1">_xlfn.IFS(EmployeeData[[#This Row],[Status]]="Exited",DATEDIF(EmployeeData[[#This Row],[Join Date]], EmployeeData[[#This Row],[Exit Date]], "Y"),EmployeeData[[#This Row],[Status]]="Active",DATEDIF(EmployeeData[[#This Row],[Join Date]], TODAY(), "Y"))</f>
        <v>0</v>
      </c>
      <c r="Q977" t="str" cm="1">
        <f t="array" aca="1" ref="Q9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16 days</v>
      </c>
    </row>
    <row r="978" spans="1:17" x14ac:dyDescent="0.3">
      <c r="A978">
        <v>1977</v>
      </c>
      <c r="B978" t="s">
        <v>658</v>
      </c>
      <c r="C978" t="s">
        <v>10</v>
      </c>
      <c r="D978" t="s">
        <v>11</v>
      </c>
      <c r="E978">
        <v>31</v>
      </c>
      <c r="F978" t="str" cm="1">
        <f t="array" ref="F978">_xlfn.IFS(EmployeeData[[#This Row],[Age]]&lt;30,"20s",EmployeeData[[#This Row],[Age]]&lt;40,"30s",EmployeeData[[#This Row],[Age]]&lt;50,"40s",EmployeeData[[#This Row],[Age]]&lt;60,"50s",EmployeeData[[#This Row],[Age]]&gt;=60,"60s")</f>
        <v>30s</v>
      </c>
      <c r="G978" s="5">
        <v>43189</v>
      </c>
      <c r="I978" t="s">
        <v>17</v>
      </c>
      <c r="J978" t="s">
        <v>18</v>
      </c>
      <c r="K978" cm="1">
        <f t="array" aca="1" ref="K978" ca="1">_xlfn.IFS(EmployeeData[[#This Row],[Status]]="Active",_xlfn.DAYS(TODAY(),EmployeeData[[#This Row],[Join Date]]),EmployeeData[[#This Row],[Status]]="Exited",_xlfn.DAYS(EmployeeData[[#This Row],[Exit Date]],EmployeeData[[#This Row],[Join Date]]))</f>
        <v>3008</v>
      </c>
      <c r="L978" cm="1">
        <f t="array" aca="1" ref="L978" ca="1">_xlfn.IFS(EmployeeData[[#This Row],[Status]]="Exited",DATEDIF(EmployeeData[[#This Row],[Join Date]], EmployeeData[[#This Row],[Exit Date]], "Y"),EmployeeData[[#This Row],[Status]]="Active",DATEDIF(EmployeeData[[#This Row],[Join Date]], TODAY(), "Y"))</f>
        <v>8</v>
      </c>
      <c r="Q978" t="str" cm="1">
        <f t="array" aca="1" ref="Q9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2 months 25 days</v>
      </c>
    </row>
    <row r="979" spans="1:17" x14ac:dyDescent="0.3">
      <c r="A979">
        <v>1978</v>
      </c>
      <c r="B979" t="s">
        <v>123</v>
      </c>
      <c r="C979" t="s">
        <v>46</v>
      </c>
      <c r="D979" t="s">
        <v>11</v>
      </c>
      <c r="E979">
        <v>46</v>
      </c>
      <c r="F979" t="str" cm="1">
        <f t="array" ref="F979">_xlfn.IFS(EmployeeData[[#This Row],[Age]]&lt;30,"20s",EmployeeData[[#This Row],[Age]]&lt;40,"30s",EmployeeData[[#This Row],[Age]]&lt;50,"40s",EmployeeData[[#This Row],[Age]]&lt;60,"50s",EmployeeData[[#This Row],[Age]]&gt;=60,"60s")</f>
        <v>40s</v>
      </c>
      <c r="G979" s="5">
        <v>43395</v>
      </c>
      <c r="I979" t="s">
        <v>17</v>
      </c>
      <c r="J979" t="s">
        <v>18</v>
      </c>
      <c r="K979" cm="1">
        <f t="array" aca="1" ref="K979" ca="1">_xlfn.IFS(EmployeeData[[#This Row],[Status]]="Active",_xlfn.DAYS(TODAY(),EmployeeData[[#This Row],[Join Date]]),EmployeeData[[#This Row],[Status]]="Exited",_xlfn.DAYS(EmployeeData[[#This Row],[Exit Date]],EmployeeData[[#This Row],[Join Date]]))</f>
        <v>2802</v>
      </c>
      <c r="L979" cm="1">
        <f t="array" aca="1" ref="L979" ca="1">_xlfn.IFS(EmployeeData[[#This Row],[Status]]="Exited",DATEDIF(EmployeeData[[#This Row],[Join Date]], EmployeeData[[#This Row],[Exit Date]], "Y"),EmployeeData[[#This Row],[Status]]="Active",DATEDIF(EmployeeData[[#This Row],[Join Date]], TODAY(), "Y"))</f>
        <v>7</v>
      </c>
      <c r="Q979" t="str" cm="1">
        <f t="array" aca="1" ref="Q9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2 days</v>
      </c>
    </row>
    <row r="980" spans="1:17" x14ac:dyDescent="0.3">
      <c r="A980">
        <v>1979</v>
      </c>
      <c r="B980" t="s">
        <v>820</v>
      </c>
      <c r="C980" t="s">
        <v>15</v>
      </c>
      <c r="D980" t="s">
        <v>11</v>
      </c>
      <c r="E980">
        <v>46</v>
      </c>
      <c r="F980" t="str" cm="1">
        <f t="array" ref="F980">_xlfn.IFS(EmployeeData[[#This Row],[Age]]&lt;30,"20s",EmployeeData[[#This Row],[Age]]&lt;40,"30s",EmployeeData[[#This Row],[Age]]&lt;50,"40s",EmployeeData[[#This Row],[Age]]&lt;60,"50s",EmployeeData[[#This Row],[Age]]&gt;=60,"60s")</f>
        <v>40s</v>
      </c>
      <c r="G980" s="5">
        <v>43499</v>
      </c>
      <c r="H980" s="5">
        <v>43810</v>
      </c>
      <c r="I980" t="s">
        <v>52</v>
      </c>
      <c r="J980" t="s">
        <v>13</v>
      </c>
      <c r="K980" cm="1">
        <f t="array" aca="1" ref="K980" ca="1">_xlfn.IFS(EmployeeData[[#This Row],[Status]]="Active",_xlfn.DAYS(TODAY(),EmployeeData[[#This Row],[Join Date]]),EmployeeData[[#This Row],[Status]]="Exited",_xlfn.DAYS(EmployeeData[[#This Row],[Exit Date]],EmployeeData[[#This Row],[Join Date]]))</f>
        <v>311</v>
      </c>
      <c r="L980" cm="1">
        <f t="array" aca="1" ref="L980" ca="1">_xlfn.IFS(EmployeeData[[#This Row],[Status]]="Exited",DATEDIF(EmployeeData[[#This Row],[Join Date]], EmployeeData[[#This Row],[Exit Date]], "Y"),EmployeeData[[#This Row],[Status]]="Active",DATEDIF(EmployeeData[[#This Row],[Join Date]], TODAY(), "Y"))</f>
        <v>0</v>
      </c>
      <c r="Q980" t="str" cm="1">
        <f t="array" aca="1" ref="Q9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8 days</v>
      </c>
    </row>
    <row r="981" spans="1:17" x14ac:dyDescent="0.3">
      <c r="A981">
        <v>1980</v>
      </c>
      <c r="B981" t="s">
        <v>670</v>
      </c>
      <c r="C981" t="s">
        <v>23</v>
      </c>
      <c r="D981" t="s">
        <v>24</v>
      </c>
      <c r="E981">
        <v>51</v>
      </c>
      <c r="F981" t="str" cm="1">
        <f t="array" ref="F981">_xlfn.IFS(EmployeeData[[#This Row],[Age]]&lt;30,"20s",EmployeeData[[#This Row],[Age]]&lt;40,"30s",EmployeeData[[#This Row],[Age]]&lt;50,"40s",EmployeeData[[#This Row],[Age]]&lt;60,"50s",EmployeeData[[#This Row],[Age]]&gt;=60,"60s")</f>
        <v>50s</v>
      </c>
      <c r="G981" s="5">
        <v>44293</v>
      </c>
      <c r="I981" t="s">
        <v>17</v>
      </c>
      <c r="J981" t="s">
        <v>18</v>
      </c>
      <c r="K981" cm="1">
        <f t="array" aca="1" ref="K981" ca="1">_xlfn.IFS(EmployeeData[[#This Row],[Status]]="Active",_xlfn.DAYS(TODAY(),EmployeeData[[#This Row],[Join Date]]),EmployeeData[[#This Row],[Status]]="Exited",_xlfn.DAYS(EmployeeData[[#This Row],[Exit Date]],EmployeeData[[#This Row],[Join Date]]))</f>
        <v>1904</v>
      </c>
      <c r="L981" cm="1">
        <f t="array" aca="1" ref="L981" ca="1">_xlfn.IFS(EmployeeData[[#This Row],[Status]]="Exited",DATEDIF(EmployeeData[[#This Row],[Join Date]], EmployeeData[[#This Row],[Exit Date]], "Y"),EmployeeData[[#This Row],[Status]]="Active",DATEDIF(EmployeeData[[#This Row],[Join Date]], TODAY(), "Y"))</f>
        <v>5</v>
      </c>
      <c r="Q981" t="str" cm="1">
        <f t="array" aca="1" ref="Q9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17 days</v>
      </c>
    </row>
    <row r="982" spans="1:17" x14ac:dyDescent="0.3">
      <c r="A982">
        <v>1981</v>
      </c>
      <c r="B982" t="s">
        <v>531</v>
      </c>
      <c r="C982" t="s">
        <v>15</v>
      </c>
      <c r="D982" t="s">
        <v>24</v>
      </c>
      <c r="E982">
        <v>44</v>
      </c>
      <c r="F982" t="str" cm="1">
        <f t="array" ref="F982">_xlfn.IFS(EmployeeData[[#This Row],[Age]]&lt;30,"20s",EmployeeData[[#This Row],[Age]]&lt;40,"30s",EmployeeData[[#This Row],[Age]]&lt;50,"40s",EmployeeData[[#This Row],[Age]]&lt;60,"50s",EmployeeData[[#This Row],[Age]]&gt;=60,"60s")</f>
        <v>40s</v>
      </c>
      <c r="G982" s="5">
        <v>45458</v>
      </c>
      <c r="H982" s="5">
        <v>45699</v>
      </c>
      <c r="I982" t="s">
        <v>12</v>
      </c>
      <c r="J982" t="s">
        <v>13</v>
      </c>
      <c r="K982" cm="1">
        <f t="array" aca="1" ref="K982" ca="1">_xlfn.IFS(EmployeeData[[#This Row],[Status]]="Active",_xlfn.DAYS(TODAY(),EmployeeData[[#This Row],[Join Date]]),EmployeeData[[#This Row],[Status]]="Exited",_xlfn.DAYS(EmployeeData[[#This Row],[Exit Date]],EmployeeData[[#This Row],[Join Date]]))</f>
        <v>241</v>
      </c>
      <c r="L982" cm="1">
        <f t="array" aca="1" ref="L982" ca="1">_xlfn.IFS(EmployeeData[[#This Row],[Status]]="Exited",DATEDIF(EmployeeData[[#This Row],[Join Date]], EmployeeData[[#This Row],[Exit Date]], "Y"),EmployeeData[[#This Row],[Status]]="Active",DATEDIF(EmployeeData[[#This Row],[Join Date]], TODAY(), "Y"))</f>
        <v>0</v>
      </c>
      <c r="Q982" t="str" cm="1">
        <f t="array" aca="1" ref="Q9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27 days</v>
      </c>
    </row>
    <row r="983" spans="1:17" x14ac:dyDescent="0.3">
      <c r="A983">
        <v>1982</v>
      </c>
      <c r="B983" t="s">
        <v>556</v>
      </c>
      <c r="C983" t="s">
        <v>46</v>
      </c>
      <c r="D983" t="s">
        <v>16</v>
      </c>
      <c r="E983">
        <v>51</v>
      </c>
      <c r="F983" t="str" cm="1">
        <f t="array" ref="F983">_xlfn.IFS(EmployeeData[[#This Row],[Age]]&lt;30,"20s",EmployeeData[[#This Row],[Age]]&lt;40,"30s",EmployeeData[[#This Row],[Age]]&lt;50,"40s",EmployeeData[[#This Row],[Age]]&lt;60,"50s",EmployeeData[[#This Row],[Age]]&gt;=60,"60s")</f>
        <v>50s</v>
      </c>
      <c r="G983" s="5">
        <v>43836</v>
      </c>
      <c r="I983" t="s">
        <v>17</v>
      </c>
      <c r="J983" t="s">
        <v>18</v>
      </c>
      <c r="K983" cm="1">
        <f t="array" aca="1" ref="K983" ca="1">_xlfn.IFS(EmployeeData[[#This Row],[Status]]="Active",_xlfn.DAYS(TODAY(),EmployeeData[[#This Row],[Join Date]]),EmployeeData[[#This Row],[Status]]="Exited",_xlfn.DAYS(EmployeeData[[#This Row],[Exit Date]],EmployeeData[[#This Row],[Join Date]]))</f>
        <v>2361</v>
      </c>
      <c r="L983" cm="1">
        <f t="array" aca="1" ref="L983" ca="1">_xlfn.IFS(EmployeeData[[#This Row],[Status]]="Exited",DATEDIF(EmployeeData[[#This Row],[Join Date]], EmployeeData[[#This Row],[Exit Date]], "Y"),EmployeeData[[#This Row],[Status]]="Active",DATEDIF(EmployeeData[[#This Row],[Join Date]], TODAY(), "Y"))</f>
        <v>6</v>
      </c>
      <c r="Q983" t="str" cm="1">
        <f t="array" aca="1" ref="Q98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18 days</v>
      </c>
    </row>
    <row r="984" spans="1:17" x14ac:dyDescent="0.3">
      <c r="A984">
        <v>1983</v>
      </c>
      <c r="B984" t="s">
        <v>646</v>
      </c>
      <c r="C984" t="s">
        <v>23</v>
      </c>
      <c r="D984" t="s">
        <v>11</v>
      </c>
      <c r="E984">
        <v>46</v>
      </c>
      <c r="F984" t="str" cm="1">
        <f t="array" ref="F984">_xlfn.IFS(EmployeeData[[#This Row],[Age]]&lt;30,"20s",EmployeeData[[#This Row],[Age]]&lt;40,"30s",EmployeeData[[#This Row],[Age]]&lt;50,"40s",EmployeeData[[#This Row],[Age]]&lt;60,"50s",EmployeeData[[#This Row],[Age]]&gt;=60,"60s")</f>
        <v>40s</v>
      </c>
      <c r="G984" s="5">
        <v>44104</v>
      </c>
      <c r="H984" s="5">
        <v>44687</v>
      </c>
      <c r="I984" t="s">
        <v>12</v>
      </c>
      <c r="J984" t="s">
        <v>13</v>
      </c>
      <c r="K984" cm="1">
        <f t="array" aca="1" ref="K984" ca="1">_xlfn.IFS(EmployeeData[[#This Row],[Status]]="Active",_xlfn.DAYS(TODAY(),EmployeeData[[#This Row],[Join Date]]),EmployeeData[[#This Row],[Status]]="Exited",_xlfn.DAYS(EmployeeData[[#This Row],[Exit Date]],EmployeeData[[#This Row],[Join Date]]))</f>
        <v>583</v>
      </c>
      <c r="L984" cm="1">
        <f t="array" aca="1" ref="L984" ca="1">_xlfn.IFS(EmployeeData[[#This Row],[Status]]="Exited",DATEDIF(EmployeeData[[#This Row],[Join Date]], EmployeeData[[#This Row],[Exit Date]], "Y"),EmployeeData[[#This Row],[Status]]="Active",DATEDIF(EmployeeData[[#This Row],[Join Date]], TODAY(), "Y"))</f>
        <v>1</v>
      </c>
      <c r="Q984" t="str" cm="1">
        <f t="array" aca="1" ref="Q98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6 days</v>
      </c>
    </row>
    <row r="985" spans="1:17" x14ac:dyDescent="0.3">
      <c r="A985">
        <v>1984</v>
      </c>
      <c r="B985" t="s">
        <v>465</v>
      </c>
      <c r="C985" t="s">
        <v>20</v>
      </c>
      <c r="D985" t="s">
        <v>24</v>
      </c>
      <c r="E985">
        <v>26</v>
      </c>
      <c r="F985" t="str" cm="1">
        <f t="array" ref="F985">_xlfn.IFS(EmployeeData[[#This Row],[Age]]&lt;30,"20s",EmployeeData[[#This Row],[Age]]&lt;40,"30s",EmployeeData[[#This Row],[Age]]&lt;50,"40s",EmployeeData[[#This Row],[Age]]&lt;60,"50s",EmployeeData[[#This Row],[Age]]&gt;=60,"60s")</f>
        <v>20s</v>
      </c>
      <c r="G985" s="5">
        <v>45000</v>
      </c>
      <c r="I985" t="s">
        <v>17</v>
      </c>
      <c r="J985" t="s">
        <v>18</v>
      </c>
      <c r="K985" cm="1">
        <f t="array" aca="1" ref="K985" ca="1">_xlfn.IFS(EmployeeData[[#This Row],[Status]]="Active",_xlfn.DAYS(TODAY(),EmployeeData[[#This Row],[Join Date]]),EmployeeData[[#This Row],[Status]]="Exited",_xlfn.DAYS(EmployeeData[[#This Row],[Exit Date]],EmployeeData[[#This Row],[Join Date]]))</f>
        <v>1197</v>
      </c>
      <c r="L985" cm="1">
        <f t="array" aca="1" ref="L985" ca="1">_xlfn.IFS(EmployeeData[[#This Row],[Status]]="Exited",DATEDIF(EmployeeData[[#This Row],[Join Date]], EmployeeData[[#This Row],[Exit Date]], "Y"),EmployeeData[[#This Row],[Status]]="Active",DATEDIF(EmployeeData[[#This Row],[Join Date]], TODAY(), "Y"))</f>
        <v>3</v>
      </c>
      <c r="Q985" t="str" cm="1">
        <f t="array" aca="1" ref="Q98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3 months 9 days</v>
      </c>
    </row>
    <row r="986" spans="1:17" x14ac:dyDescent="0.3">
      <c r="A986">
        <v>1985</v>
      </c>
      <c r="B986" t="s">
        <v>823</v>
      </c>
      <c r="C986" t="s">
        <v>10</v>
      </c>
      <c r="D986" t="s">
        <v>16</v>
      </c>
      <c r="E986">
        <v>65</v>
      </c>
      <c r="F986" t="str" cm="1">
        <f t="array" ref="F986">_xlfn.IFS(EmployeeData[[#This Row],[Age]]&lt;30,"20s",EmployeeData[[#This Row],[Age]]&lt;40,"30s",EmployeeData[[#This Row],[Age]]&lt;50,"40s",EmployeeData[[#This Row],[Age]]&lt;60,"50s",EmployeeData[[#This Row],[Age]]&gt;=60,"60s")</f>
        <v>60s</v>
      </c>
      <c r="G986" s="5">
        <v>43439</v>
      </c>
      <c r="H986" s="5">
        <v>45616</v>
      </c>
      <c r="I986" t="s">
        <v>26</v>
      </c>
      <c r="J986" t="s">
        <v>13</v>
      </c>
      <c r="K986" cm="1">
        <f t="array" aca="1" ref="K986" ca="1">_xlfn.IFS(EmployeeData[[#This Row],[Status]]="Active",_xlfn.DAYS(TODAY(),EmployeeData[[#This Row],[Join Date]]),EmployeeData[[#This Row],[Status]]="Exited",_xlfn.DAYS(EmployeeData[[#This Row],[Exit Date]],EmployeeData[[#This Row],[Join Date]]))</f>
        <v>2177</v>
      </c>
      <c r="L986" cm="1">
        <f t="array" aca="1" ref="L986" ca="1">_xlfn.IFS(EmployeeData[[#This Row],[Status]]="Exited",DATEDIF(EmployeeData[[#This Row],[Join Date]], EmployeeData[[#This Row],[Exit Date]], "Y"),EmployeeData[[#This Row],[Status]]="Active",DATEDIF(EmployeeData[[#This Row],[Join Date]], TODAY(), "Y"))</f>
        <v>5</v>
      </c>
      <c r="Q986" t="str" cm="1">
        <f t="array" aca="1" ref="Q98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15 days</v>
      </c>
    </row>
    <row r="987" spans="1:17" x14ac:dyDescent="0.3">
      <c r="A987">
        <v>1986</v>
      </c>
      <c r="B987" t="s">
        <v>685</v>
      </c>
      <c r="C987" t="s">
        <v>33</v>
      </c>
      <c r="D987" t="s">
        <v>16</v>
      </c>
      <c r="E987">
        <v>51</v>
      </c>
      <c r="F987" t="str" cm="1">
        <f t="array" ref="F987">_xlfn.IFS(EmployeeData[[#This Row],[Age]]&lt;30,"20s",EmployeeData[[#This Row],[Age]]&lt;40,"30s",EmployeeData[[#This Row],[Age]]&lt;50,"40s",EmployeeData[[#This Row],[Age]]&lt;60,"50s",EmployeeData[[#This Row],[Age]]&gt;=60,"60s")</f>
        <v>50s</v>
      </c>
      <c r="G987" s="5">
        <v>45741</v>
      </c>
      <c r="I987" t="s">
        <v>17</v>
      </c>
      <c r="J987" t="s">
        <v>18</v>
      </c>
      <c r="K987" cm="1">
        <f t="array" aca="1" ref="K987" ca="1">_xlfn.IFS(EmployeeData[[#This Row],[Status]]="Active",_xlfn.DAYS(TODAY(),EmployeeData[[#This Row],[Join Date]]),EmployeeData[[#This Row],[Status]]="Exited",_xlfn.DAYS(EmployeeData[[#This Row],[Exit Date]],EmployeeData[[#This Row],[Join Date]]))</f>
        <v>456</v>
      </c>
      <c r="L987" cm="1">
        <f t="array" aca="1" ref="L987" ca="1">_xlfn.IFS(EmployeeData[[#This Row],[Status]]="Exited",DATEDIF(EmployeeData[[#This Row],[Join Date]], EmployeeData[[#This Row],[Exit Date]], "Y"),EmployeeData[[#This Row],[Status]]="Active",DATEDIF(EmployeeData[[#This Row],[Join Date]], TODAY(), "Y"))</f>
        <v>1</v>
      </c>
      <c r="Q987" t="str" cm="1">
        <f t="array" aca="1" ref="Q98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2 months 30 days</v>
      </c>
    </row>
    <row r="988" spans="1:17" x14ac:dyDescent="0.3">
      <c r="A988">
        <v>1987</v>
      </c>
      <c r="B988" t="s">
        <v>108</v>
      </c>
      <c r="C988" t="s">
        <v>15</v>
      </c>
      <c r="D988" t="s">
        <v>11</v>
      </c>
      <c r="E988">
        <v>55</v>
      </c>
      <c r="F988" t="str" cm="1">
        <f t="array" ref="F988">_xlfn.IFS(EmployeeData[[#This Row],[Age]]&lt;30,"20s",EmployeeData[[#This Row],[Age]]&lt;40,"30s",EmployeeData[[#This Row],[Age]]&lt;50,"40s",EmployeeData[[#This Row],[Age]]&lt;60,"50s",EmployeeData[[#This Row],[Age]]&gt;=60,"60s")</f>
        <v>50s</v>
      </c>
      <c r="G988" s="5">
        <v>43858</v>
      </c>
      <c r="I988" t="s">
        <v>17</v>
      </c>
      <c r="J988" t="s">
        <v>18</v>
      </c>
      <c r="K988" cm="1">
        <f t="array" aca="1" ref="K988" ca="1">_xlfn.IFS(EmployeeData[[#This Row],[Status]]="Active",_xlfn.DAYS(TODAY(),EmployeeData[[#This Row],[Join Date]]),EmployeeData[[#This Row],[Status]]="Exited",_xlfn.DAYS(EmployeeData[[#This Row],[Exit Date]],EmployeeData[[#This Row],[Join Date]]))</f>
        <v>2339</v>
      </c>
      <c r="L988" cm="1">
        <f t="array" aca="1" ref="L988" ca="1">_xlfn.IFS(EmployeeData[[#This Row],[Status]]="Exited",DATEDIF(EmployeeData[[#This Row],[Join Date]], EmployeeData[[#This Row],[Exit Date]], "Y"),EmployeeData[[#This Row],[Status]]="Active",DATEDIF(EmployeeData[[#This Row],[Join Date]], TODAY(), "Y"))</f>
        <v>6</v>
      </c>
      <c r="Q988" t="str" cm="1">
        <f t="array" aca="1" ref="Q98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27 days</v>
      </c>
    </row>
    <row r="989" spans="1:17" x14ac:dyDescent="0.3">
      <c r="A989">
        <v>1988</v>
      </c>
      <c r="B989" t="s">
        <v>189</v>
      </c>
      <c r="C989" t="s">
        <v>15</v>
      </c>
      <c r="D989" t="s">
        <v>11</v>
      </c>
      <c r="E989">
        <v>55</v>
      </c>
      <c r="F989" t="str" cm="1">
        <f t="array" ref="F989">_xlfn.IFS(EmployeeData[[#This Row],[Age]]&lt;30,"20s",EmployeeData[[#This Row],[Age]]&lt;40,"30s",EmployeeData[[#This Row],[Age]]&lt;50,"40s",EmployeeData[[#This Row],[Age]]&lt;60,"50s",EmployeeData[[#This Row],[Age]]&gt;=60,"60s")</f>
        <v>50s</v>
      </c>
      <c r="G989" s="5">
        <v>45770</v>
      </c>
      <c r="H989" s="5">
        <v>45966</v>
      </c>
      <c r="I989" t="s">
        <v>21</v>
      </c>
      <c r="J989" t="s">
        <v>13</v>
      </c>
      <c r="K989" cm="1">
        <f t="array" aca="1" ref="K989" ca="1">_xlfn.IFS(EmployeeData[[#This Row],[Status]]="Active",_xlfn.DAYS(TODAY(),EmployeeData[[#This Row],[Join Date]]),EmployeeData[[#This Row],[Status]]="Exited",_xlfn.DAYS(EmployeeData[[#This Row],[Exit Date]],EmployeeData[[#This Row],[Join Date]]))</f>
        <v>196</v>
      </c>
      <c r="L989" cm="1">
        <f t="array" aca="1" ref="L989" ca="1">_xlfn.IFS(EmployeeData[[#This Row],[Status]]="Exited",DATEDIF(EmployeeData[[#This Row],[Join Date]], EmployeeData[[#This Row],[Exit Date]], "Y"),EmployeeData[[#This Row],[Status]]="Active",DATEDIF(EmployeeData[[#This Row],[Join Date]], TODAY(), "Y"))</f>
        <v>0</v>
      </c>
      <c r="Q989" t="str" cm="1">
        <f t="array" aca="1" ref="Q98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13 days</v>
      </c>
    </row>
    <row r="990" spans="1:17" x14ac:dyDescent="0.3">
      <c r="A990">
        <v>1989</v>
      </c>
      <c r="B990" t="s">
        <v>630</v>
      </c>
      <c r="C990" t="s">
        <v>20</v>
      </c>
      <c r="D990" t="s">
        <v>16</v>
      </c>
      <c r="E990">
        <v>49</v>
      </c>
      <c r="F990" t="str" cm="1">
        <f t="array" ref="F990">_xlfn.IFS(EmployeeData[[#This Row],[Age]]&lt;30,"20s",EmployeeData[[#This Row],[Age]]&lt;40,"30s",EmployeeData[[#This Row],[Age]]&lt;50,"40s",EmployeeData[[#This Row],[Age]]&lt;60,"50s",EmployeeData[[#This Row],[Age]]&gt;=60,"60s")</f>
        <v>40s</v>
      </c>
      <c r="G990" s="5">
        <v>44388</v>
      </c>
      <c r="H990" s="5">
        <v>44741</v>
      </c>
      <c r="I990" t="s">
        <v>65</v>
      </c>
      <c r="J990" t="s">
        <v>13</v>
      </c>
      <c r="K990" cm="1">
        <f t="array" aca="1" ref="K990" ca="1">_xlfn.IFS(EmployeeData[[#This Row],[Status]]="Active",_xlfn.DAYS(TODAY(),EmployeeData[[#This Row],[Join Date]]),EmployeeData[[#This Row],[Status]]="Exited",_xlfn.DAYS(EmployeeData[[#This Row],[Exit Date]],EmployeeData[[#This Row],[Join Date]]))</f>
        <v>353</v>
      </c>
      <c r="L990" cm="1">
        <f t="array" aca="1" ref="L990" ca="1">_xlfn.IFS(EmployeeData[[#This Row],[Status]]="Exited",DATEDIF(EmployeeData[[#This Row],[Join Date]], EmployeeData[[#This Row],[Exit Date]], "Y"),EmployeeData[[#This Row],[Status]]="Active",DATEDIF(EmployeeData[[#This Row],[Join Date]], TODAY(), "Y"))</f>
        <v>0</v>
      </c>
      <c r="Q990" t="str" cm="1">
        <f t="array" aca="1" ref="Q99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11 months 18 days</v>
      </c>
    </row>
    <row r="991" spans="1:17" x14ac:dyDescent="0.3">
      <c r="A991">
        <v>1990</v>
      </c>
      <c r="B991" t="s">
        <v>336</v>
      </c>
      <c r="C991" t="s">
        <v>15</v>
      </c>
      <c r="D991" t="s">
        <v>16</v>
      </c>
      <c r="E991">
        <v>40</v>
      </c>
      <c r="F991" t="str" cm="1">
        <f t="array" ref="F991">_xlfn.IFS(EmployeeData[[#This Row],[Age]]&lt;30,"20s",EmployeeData[[#This Row],[Age]]&lt;40,"30s",EmployeeData[[#This Row],[Age]]&lt;50,"40s",EmployeeData[[#This Row],[Age]]&lt;60,"50s",EmployeeData[[#This Row],[Age]]&gt;=60,"60s")</f>
        <v>40s</v>
      </c>
      <c r="G991" s="5">
        <v>44590</v>
      </c>
      <c r="I991" t="s">
        <v>17</v>
      </c>
      <c r="J991" t="s">
        <v>18</v>
      </c>
      <c r="K991" cm="1">
        <f t="array" aca="1" ref="K991" ca="1">_xlfn.IFS(EmployeeData[[#This Row],[Status]]="Active",_xlfn.DAYS(TODAY(),EmployeeData[[#This Row],[Join Date]]),EmployeeData[[#This Row],[Status]]="Exited",_xlfn.DAYS(EmployeeData[[#This Row],[Exit Date]],EmployeeData[[#This Row],[Join Date]]))</f>
        <v>1607</v>
      </c>
      <c r="L991" cm="1">
        <f t="array" aca="1" ref="L991" ca="1">_xlfn.IFS(EmployeeData[[#This Row],[Status]]="Exited",DATEDIF(EmployeeData[[#This Row],[Join Date]], EmployeeData[[#This Row],[Exit Date]], "Y"),EmployeeData[[#This Row],[Status]]="Active",DATEDIF(EmployeeData[[#This Row],[Join Date]], TODAY(), "Y"))</f>
        <v>4</v>
      </c>
      <c r="Q991" t="str" cm="1">
        <f t="array" aca="1" ref="Q99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26 days</v>
      </c>
    </row>
    <row r="992" spans="1:17" x14ac:dyDescent="0.3">
      <c r="A992">
        <v>1991</v>
      </c>
      <c r="B992" t="s">
        <v>940</v>
      </c>
      <c r="C992" t="s">
        <v>20</v>
      </c>
      <c r="D992" t="s">
        <v>16</v>
      </c>
      <c r="E992">
        <v>23</v>
      </c>
      <c r="F992" t="str" cm="1">
        <f t="array" ref="F992">_xlfn.IFS(EmployeeData[[#This Row],[Age]]&lt;30,"20s",EmployeeData[[#This Row],[Age]]&lt;40,"30s",EmployeeData[[#This Row],[Age]]&lt;50,"40s",EmployeeData[[#This Row],[Age]]&lt;60,"50s",EmployeeData[[#This Row],[Age]]&gt;=60,"60s")</f>
        <v>20s</v>
      </c>
      <c r="G992" s="5">
        <v>45228</v>
      </c>
      <c r="I992" t="s">
        <v>17</v>
      </c>
      <c r="J992" t="s">
        <v>18</v>
      </c>
      <c r="K992" cm="1">
        <f t="array" aca="1" ref="K992" ca="1">_xlfn.IFS(EmployeeData[[#This Row],[Status]]="Active",_xlfn.DAYS(TODAY(),EmployeeData[[#This Row],[Join Date]]),EmployeeData[[#This Row],[Status]]="Exited",_xlfn.DAYS(EmployeeData[[#This Row],[Exit Date]],EmployeeData[[#This Row],[Join Date]]))</f>
        <v>969</v>
      </c>
      <c r="L992" cm="1">
        <f t="array" aca="1" ref="L992" ca="1">_xlfn.IFS(EmployeeData[[#This Row],[Status]]="Exited",DATEDIF(EmployeeData[[#This Row],[Join Date]], EmployeeData[[#This Row],[Exit Date]], "Y"),EmployeeData[[#This Row],[Status]]="Active",DATEDIF(EmployeeData[[#This Row],[Join Date]], TODAY(), "Y"))</f>
        <v>2</v>
      </c>
      <c r="Q992" t="str" cm="1">
        <f t="array" aca="1" ref="Q99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26 days</v>
      </c>
    </row>
    <row r="993" spans="1:17" x14ac:dyDescent="0.3">
      <c r="A993">
        <v>1992</v>
      </c>
      <c r="B993" t="s">
        <v>870</v>
      </c>
      <c r="C993" t="s">
        <v>23</v>
      </c>
      <c r="D993" t="s">
        <v>11</v>
      </c>
      <c r="E993">
        <v>54</v>
      </c>
      <c r="F993" t="str" cm="1">
        <f t="array" ref="F993">_xlfn.IFS(EmployeeData[[#This Row],[Age]]&lt;30,"20s",EmployeeData[[#This Row],[Age]]&lt;40,"30s",EmployeeData[[#This Row],[Age]]&lt;50,"40s",EmployeeData[[#This Row],[Age]]&lt;60,"50s",EmployeeData[[#This Row],[Age]]&gt;=60,"60s")</f>
        <v>50s</v>
      </c>
      <c r="G993" s="5">
        <v>44543</v>
      </c>
      <c r="I993" t="s">
        <v>17</v>
      </c>
      <c r="J993" t="s">
        <v>18</v>
      </c>
      <c r="K993" cm="1">
        <f t="array" aca="1" ref="K993" ca="1">_xlfn.IFS(EmployeeData[[#This Row],[Status]]="Active",_xlfn.DAYS(TODAY(),EmployeeData[[#This Row],[Join Date]]),EmployeeData[[#This Row],[Status]]="Exited",_xlfn.DAYS(EmployeeData[[#This Row],[Exit Date]],EmployeeData[[#This Row],[Join Date]]))</f>
        <v>1654</v>
      </c>
      <c r="L993" cm="1">
        <f t="array" aca="1" ref="L993" ca="1">_xlfn.IFS(EmployeeData[[#This Row],[Status]]="Exited",DATEDIF(EmployeeData[[#This Row],[Join Date]], EmployeeData[[#This Row],[Exit Date]], "Y"),EmployeeData[[#This Row],[Status]]="Active",DATEDIF(EmployeeData[[#This Row],[Join Date]], TODAY(), "Y"))</f>
        <v>4</v>
      </c>
      <c r="Q993" t="str" cm="1">
        <f t="array" aca="1" ref="Q99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11 days</v>
      </c>
    </row>
    <row r="994" spans="1:17" x14ac:dyDescent="0.3">
      <c r="A994">
        <v>1993</v>
      </c>
      <c r="B994" t="s">
        <v>722</v>
      </c>
      <c r="C994" t="s">
        <v>20</v>
      </c>
      <c r="D994" t="s">
        <v>16</v>
      </c>
      <c r="E994">
        <v>23</v>
      </c>
      <c r="F994" t="str" cm="1">
        <f t="array" ref="F994">_xlfn.IFS(EmployeeData[[#This Row],[Age]]&lt;30,"20s",EmployeeData[[#This Row],[Age]]&lt;40,"30s",EmployeeData[[#This Row],[Age]]&lt;50,"40s",EmployeeData[[#This Row],[Age]]&lt;60,"50s",EmployeeData[[#This Row],[Age]]&gt;=60,"60s")</f>
        <v>20s</v>
      </c>
      <c r="G994" s="5">
        <v>43871</v>
      </c>
      <c r="H994" s="5">
        <v>44842</v>
      </c>
      <c r="I994" t="s">
        <v>21</v>
      </c>
      <c r="J994" t="s">
        <v>13</v>
      </c>
      <c r="K994" cm="1">
        <f t="array" aca="1" ref="K994" ca="1">_xlfn.IFS(EmployeeData[[#This Row],[Status]]="Active",_xlfn.DAYS(TODAY(),EmployeeData[[#This Row],[Join Date]]),EmployeeData[[#This Row],[Status]]="Exited",_xlfn.DAYS(EmployeeData[[#This Row],[Exit Date]],EmployeeData[[#This Row],[Join Date]]))</f>
        <v>971</v>
      </c>
      <c r="L994" cm="1">
        <f t="array" aca="1" ref="L994" ca="1">_xlfn.IFS(EmployeeData[[#This Row],[Status]]="Exited",DATEDIF(EmployeeData[[#This Row],[Join Date]], EmployeeData[[#This Row],[Exit Date]], "Y"),EmployeeData[[#This Row],[Status]]="Active",DATEDIF(EmployeeData[[#This Row],[Join Date]], TODAY(), "Y"))</f>
        <v>2</v>
      </c>
      <c r="Q994" t="str" cm="1">
        <f t="array" aca="1" ref="Q99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7 months 28 days</v>
      </c>
    </row>
    <row r="995" spans="1:17" x14ac:dyDescent="0.3">
      <c r="A995">
        <v>1994</v>
      </c>
      <c r="B995" t="s">
        <v>27</v>
      </c>
      <c r="C995" t="s">
        <v>15</v>
      </c>
      <c r="D995" t="s">
        <v>24</v>
      </c>
      <c r="E995">
        <v>25</v>
      </c>
      <c r="F995" t="str" cm="1">
        <f t="array" ref="F995">_xlfn.IFS(EmployeeData[[#This Row],[Age]]&lt;30,"20s",EmployeeData[[#This Row],[Age]]&lt;40,"30s",EmployeeData[[#This Row],[Age]]&lt;50,"40s",EmployeeData[[#This Row],[Age]]&lt;60,"50s",EmployeeData[[#This Row],[Age]]&gt;=60,"60s")</f>
        <v>20s</v>
      </c>
      <c r="G995" s="5">
        <v>45353</v>
      </c>
      <c r="H995" s="5">
        <v>45833</v>
      </c>
      <c r="I995" t="s">
        <v>28</v>
      </c>
      <c r="J995" t="s">
        <v>13</v>
      </c>
      <c r="K995" cm="1">
        <f t="array" aca="1" ref="K995" ca="1">_xlfn.IFS(EmployeeData[[#This Row],[Status]]="Active",_xlfn.DAYS(TODAY(),EmployeeData[[#This Row],[Join Date]]),EmployeeData[[#This Row],[Status]]="Exited",_xlfn.DAYS(EmployeeData[[#This Row],[Exit Date]],EmployeeData[[#This Row],[Join Date]]))</f>
        <v>480</v>
      </c>
      <c r="L995" cm="1">
        <f t="array" aca="1" ref="L995" ca="1">_xlfn.IFS(EmployeeData[[#This Row],[Status]]="Exited",DATEDIF(EmployeeData[[#This Row],[Join Date]], EmployeeData[[#This Row],[Exit Date]], "Y"),EmployeeData[[#This Row],[Status]]="Active",DATEDIF(EmployeeData[[#This Row],[Join Date]], TODAY(), "Y"))</f>
        <v>1</v>
      </c>
      <c r="Q995" t="str" cm="1">
        <f t="array" aca="1" ref="Q99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23 days</v>
      </c>
    </row>
    <row r="996" spans="1:17" x14ac:dyDescent="0.3">
      <c r="A996">
        <v>1995</v>
      </c>
      <c r="B996" t="s">
        <v>715</v>
      </c>
      <c r="C996" t="s">
        <v>20</v>
      </c>
      <c r="D996" t="s">
        <v>11</v>
      </c>
      <c r="E996">
        <v>30</v>
      </c>
      <c r="F996" t="str" cm="1">
        <f t="array" ref="F996">_xlfn.IFS(EmployeeData[[#This Row],[Age]]&lt;30,"20s",EmployeeData[[#This Row],[Age]]&lt;40,"30s",EmployeeData[[#This Row],[Age]]&lt;50,"40s",EmployeeData[[#This Row],[Age]]&lt;60,"50s",EmployeeData[[#This Row],[Age]]&gt;=60,"60s")</f>
        <v>30s</v>
      </c>
      <c r="G996" s="5">
        <v>45296</v>
      </c>
      <c r="H996" s="5">
        <v>46030</v>
      </c>
      <c r="I996" t="s">
        <v>34</v>
      </c>
      <c r="J996" t="s">
        <v>13</v>
      </c>
      <c r="K996" cm="1">
        <f t="array" aca="1" ref="K996" ca="1">_xlfn.IFS(EmployeeData[[#This Row],[Status]]="Active",_xlfn.DAYS(TODAY(),EmployeeData[[#This Row],[Join Date]]),EmployeeData[[#This Row],[Status]]="Exited",_xlfn.DAYS(EmployeeData[[#This Row],[Exit Date]],EmployeeData[[#This Row],[Join Date]]))</f>
        <v>734</v>
      </c>
      <c r="L996" cm="1">
        <f t="array" aca="1" ref="L996" ca="1">_xlfn.IFS(EmployeeData[[#This Row],[Status]]="Exited",DATEDIF(EmployeeData[[#This Row],[Join Date]], EmployeeData[[#This Row],[Exit Date]], "Y"),EmployeeData[[#This Row],[Status]]="Active",DATEDIF(EmployeeData[[#This Row],[Join Date]], TODAY(), "Y"))</f>
        <v>2</v>
      </c>
      <c r="Q996" t="str" cm="1">
        <f t="array" aca="1" ref="Q99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3 days</v>
      </c>
    </row>
    <row r="997" spans="1:17" x14ac:dyDescent="0.3">
      <c r="A997">
        <v>1996</v>
      </c>
      <c r="B997" t="s">
        <v>399</v>
      </c>
      <c r="C997" t="s">
        <v>10</v>
      </c>
      <c r="D997" t="s">
        <v>16</v>
      </c>
      <c r="E997">
        <v>58</v>
      </c>
      <c r="F997" t="str" cm="1">
        <f t="array" ref="F997">_xlfn.IFS(EmployeeData[[#This Row],[Age]]&lt;30,"20s",EmployeeData[[#This Row],[Age]]&lt;40,"30s",EmployeeData[[#This Row],[Age]]&lt;50,"40s",EmployeeData[[#This Row],[Age]]&lt;60,"50s",EmployeeData[[#This Row],[Age]]&gt;=60,"60s")</f>
        <v>50s</v>
      </c>
      <c r="G997" s="5">
        <v>44653</v>
      </c>
      <c r="H997" s="5">
        <v>45979</v>
      </c>
      <c r="I997" t="s">
        <v>26</v>
      </c>
      <c r="J997" t="s">
        <v>13</v>
      </c>
      <c r="K997" cm="1">
        <f t="array" aca="1" ref="K997" ca="1">_xlfn.IFS(EmployeeData[[#This Row],[Status]]="Active",_xlfn.DAYS(TODAY(),EmployeeData[[#This Row],[Join Date]]),EmployeeData[[#This Row],[Status]]="Exited",_xlfn.DAYS(EmployeeData[[#This Row],[Exit Date]],EmployeeData[[#This Row],[Join Date]]))</f>
        <v>1326</v>
      </c>
      <c r="L997" cm="1">
        <f t="array" aca="1" ref="L997" ca="1">_xlfn.IFS(EmployeeData[[#This Row],[Status]]="Exited",DATEDIF(EmployeeData[[#This Row],[Join Date]], EmployeeData[[#This Row],[Exit Date]], "Y"),EmployeeData[[#This Row],[Status]]="Active",DATEDIF(EmployeeData[[#This Row],[Join Date]], TODAY(), "Y"))</f>
        <v>3</v>
      </c>
      <c r="Q997" t="str" cm="1">
        <f t="array" aca="1" ref="Q99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7 months 16 days</v>
      </c>
    </row>
    <row r="998" spans="1:17" x14ac:dyDescent="0.3">
      <c r="A998">
        <v>1997</v>
      </c>
      <c r="B998" t="s">
        <v>500</v>
      </c>
      <c r="C998" t="s">
        <v>15</v>
      </c>
      <c r="D998" t="s">
        <v>24</v>
      </c>
      <c r="E998">
        <v>44</v>
      </c>
      <c r="F998" t="str" cm="1">
        <f t="array" ref="F998">_xlfn.IFS(EmployeeData[[#This Row],[Age]]&lt;30,"20s",EmployeeData[[#This Row],[Age]]&lt;40,"30s",EmployeeData[[#This Row],[Age]]&lt;50,"40s",EmployeeData[[#This Row],[Age]]&lt;60,"50s",EmployeeData[[#This Row],[Age]]&gt;=60,"60s")</f>
        <v>40s</v>
      </c>
      <c r="G998" s="5">
        <v>44467</v>
      </c>
      <c r="I998" t="s">
        <v>17</v>
      </c>
      <c r="J998" t="s">
        <v>18</v>
      </c>
      <c r="K998" cm="1">
        <f t="array" aca="1" ref="K998" ca="1">_xlfn.IFS(EmployeeData[[#This Row],[Status]]="Active",_xlfn.DAYS(TODAY(),EmployeeData[[#This Row],[Join Date]]),EmployeeData[[#This Row],[Status]]="Exited",_xlfn.DAYS(EmployeeData[[#This Row],[Exit Date]],EmployeeData[[#This Row],[Join Date]]))</f>
        <v>1730</v>
      </c>
      <c r="L998" cm="1">
        <f t="array" aca="1" ref="L998" ca="1">_xlfn.IFS(EmployeeData[[#This Row],[Status]]="Exited",DATEDIF(EmployeeData[[#This Row],[Join Date]], EmployeeData[[#This Row],[Exit Date]], "Y"),EmployeeData[[#This Row],[Status]]="Active",DATEDIF(EmployeeData[[#This Row],[Join Date]], TODAY(), "Y"))</f>
        <v>4</v>
      </c>
      <c r="Q998" t="str" cm="1">
        <f t="array" aca="1" ref="Q99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8 months 27 days</v>
      </c>
    </row>
    <row r="999" spans="1:17" x14ac:dyDescent="0.3">
      <c r="A999">
        <v>1998</v>
      </c>
      <c r="B999" t="s">
        <v>432</v>
      </c>
      <c r="C999" t="s">
        <v>10</v>
      </c>
      <c r="D999" t="s">
        <v>11</v>
      </c>
      <c r="E999">
        <v>45</v>
      </c>
      <c r="F999" t="str" cm="1">
        <f t="array" ref="F999">_xlfn.IFS(EmployeeData[[#This Row],[Age]]&lt;30,"20s",EmployeeData[[#This Row],[Age]]&lt;40,"30s",EmployeeData[[#This Row],[Age]]&lt;50,"40s",EmployeeData[[#This Row],[Age]]&lt;60,"50s",EmployeeData[[#This Row],[Age]]&gt;=60,"60s")</f>
        <v>40s</v>
      </c>
      <c r="G999" s="5">
        <v>43531</v>
      </c>
      <c r="I999" t="s">
        <v>17</v>
      </c>
      <c r="J999" t="s">
        <v>18</v>
      </c>
      <c r="K999" cm="1">
        <f t="array" aca="1" ref="K999" ca="1">_xlfn.IFS(EmployeeData[[#This Row],[Status]]="Active",_xlfn.DAYS(TODAY(),EmployeeData[[#This Row],[Join Date]]),EmployeeData[[#This Row],[Status]]="Exited",_xlfn.DAYS(EmployeeData[[#This Row],[Exit Date]],EmployeeData[[#This Row],[Join Date]]))</f>
        <v>2666</v>
      </c>
      <c r="L999" cm="1">
        <f t="array" aca="1" ref="L999" ca="1">_xlfn.IFS(EmployeeData[[#This Row],[Status]]="Exited",DATEDIF(EmployeeData[[#This Row],[Join Date]], EmployeeData[[#This Row],[Exit Date]], "Y"),EmployeeData[[#This Row],[Status]]="Active",DATEDIF(EmployeeData[[#This Row],[Join Date]], TODAY(), "Y"))</f>
        <v>7</v>
      </c>
      <c r="Q999" t="str" cm="1">
        <f t="array" aca="1" ref="Q99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17 days</v>
      </c>
    </row>
    <row r="1000" spans="1:17" x14ac:dyDescent="0.3">
      <c r="A1000">
        <v>1999</v>
      </c>
      <c r="B1000" t="s">
        <v>808</v>
      </c>
      <c r="C1000" t="s">
        <v>23</v>
      </c>
      <c r="D1000" t="s">
        <v>11</v>
      </c>
      <c r="E1000">
        <v>27</v>
      </c>
      <c r="F1000" t="str" cm="1">
        <f t="array" ref="F1000">_xlfn.IFS(EmployeeData[[#This Row],[Age]]&lt;30,"20s",EmployeeData[[#This Row],[Age]]&lt;40,"30s",EmployeeData[[#This Row],[Age]]&lt;50,"40s",EmployeeData[[#This Row],[Age]]&lt;60,"50s",EmployeeData[[#This Row],[Age]]&gt;=60,"60s")</f>
        <v>20s</v>
      </c>
      <c r="G1000" s="5">
        <v>45267</v>
      </c>
      <c r="H1000" s="5">
        <v>45942</v>
      </c>
      <c r="I1000" t="s">
        <v>52</v>
      </c>
      <c r="J1000" t="s">
        <v>13</v>
      </c>
      <c r="K1000" cm="1">
        <f t="array" aca="1" ref="K1000" ca="1">_xlfn.IFS(EmployeeData[[#This Row],[Status]]="Active",_xlfn.DAYS(TODAY(),EmployeeData[[#This Row],[Join Date]]),EmployeeData[[#This Row],[Status]]="Exited",_xlfn.DAYS(EmployeeData[[#This Row],[Exit Date]],EmployeeData[[#This Row],[Join Date]]))</f>
        <v>675</v>
      </c>
      <c r="L1000" cm="1">
        <f t="array" aca="1" ref="L1000" ca="1">_xlfn.IFS(EmployeeData[[#This Row],[Status]]="Exited",DATEDIF(EmployeeData[[#This Row],[Join Date]], EmployeeData[[#This Row],[Exit Date]], "Y"),EmployeeData[[#This Row],[Status]]="Active",DATEDIF(EmployeeData[[#This Row],[Join Date]], TODAY(), "Y"))</f>
        <v>1</v>
      </c>
      <c r="Q1000" t="str" cm="1">
        <f t="array" aca="1" ref="Q100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5 days</v>
      </c>
    </row>
    <row r="1001" spans="1:17" x14ac:dyDescent="0.3">
      <c r="A1001">
        <v>2000</v>
      </c>
      <c r="B1001" t="s">
        <v>822</v>
      </c>
      <c r="C1001" t="s">
        <v>33</v>
      </c>
      <c r="D1001" t="s">
        <v>16</v>
      </c>
      <c r="E1001">
        <v>45</v>
      </c>
      <c r="F1001" t="str" cm="1">
        <f t="array" ref="F1001">_xlfn.IFS(EmployeeData[[#This Row],[Age]]&lt;30,"20s",EmployeeData[[#This Row],[Age]]&lt;40,"30s",EmployeeData[[#This Row],[Age]]&lt;50,"40s",EmployeeData[[#This Row],[Age]]&lt;60,"50s",EmployeeData[[#This Row],[Age]]&gt;=60,"60s")</f>
        <v>40s</v>
      </c>
      <c r="G1001" s="5">
        <v>43841</v>
      </c>
      <c r="H1001" s="5">
        <v>45580</v>
      </c>
      <c r="I1001" t="s">
        <v>12</v>
      </c>
      <c r="J1001" t="s">
        <v>13</v>
      </c>
      <c r="K1001" cm="1">
        <f t="array" aca="1" ref="K1001" ca="1">_xlfn.IFS(EmployeeData[[#This Row],[Status]]="Active",_xlfn.DAYS(TODAY(),EmployeeData[[#This Row],[Join Date]]),EmployeeData[[#This Row],[Status]]="Exited",_xlfn.DAYS(EmployeeData[[#This Row],[Exit Date]],EmployeeData[[#This Row],[Join Date]]))</f>
        <v>1739</v>
      </c>
      <c r="L1001" cm="1">
        <f t="array" aca="1" ref="L1001" ca="1">_xlfn.IFS(EmployeeData[[#This Row],[Status]]="Exited",DATEDIF(EmployeeData[[#This Row],[Join Date]], EmployeeData[[#This Row],[Exit Date]], "Y"),EmployeeData[[#This Row],[Status]]="Active",DATEDIF(EmployeeData[[#This Row],[Join Date]], TODAY(), "Y"))</f>
        <v>4</v>
      </c>
      <c r="Q1001" t="str" cm="1">
        <f t="array" aca="1" ref="Q100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9 months 4 days</v>
      </c>
    </row>
    <row r="1002" spans="1:17" x14ac:dyDescent="0.3">
      <c r="A1002">
        <v>2001</v>
      </c>
      <c r="B1002" t="s">
        <v>466</v>
      </c>
      <c r="C1002" t="s">
        <v>20</v>
      </c>
      <c r="D1002" t="s">
        <v>16</v>
      </c>
      <c r="E1002">
        <v>57</v>
      </c>
      <c r="F1002" t="str" cm="1">
        <f t="array" ref="F1002">_xlfn.IFS(EmployeeData[[#This Row],[Age]]&lt;30,"20s",EmployeeData[[#This Row],[Age]]&lt;40,"30s",EmployeeData[[#This Row],[Age]]&lt;50,"40s",EmployeeData[[#This Row],[Age]]&lt;60,"50s",EmployeeData[[#This Row],[Age]]&gt;=60,"60s")</f>
        <v>50s</v>
      </c>
      <c r="G1002" s="5">
        <v>44196</v>
      </c>
      <c r="H1002" s="5">
        <v>45771</v>
      </c>
      <c r="I1002" t="s">
        <v>28</v>
      </c>
      <c r="J1002" t="s">
        <v>13</v>
      </c>
      <c r="K1002" cm="1">
        <f t="array" aca="1" ref="K1002" ca="1">_xlfn.IFS(EmployeeData[[#This Row],[Status]]="Active",_xlfn.DAYS(TODAY(),EmployeeData[[#This Row],[Join Date]]),EmployeeData[[#This Row],[Status]]="Exited",_xlfn.DAYS(EmployeeData[[#This Row],[Exit Date]],EmployeeData[[#This Row],[Join Date]]))</f>
        <v>1575</v>
      </c>
      <c r="L1002" cm="1">
        <f t="array" aca="1" ref="L1002" ca="1">_xlfn.IFS(EmployeeData[[#This Row],[Status]]="Exited",DATEDIF(EmployeeData[[#This Row],[Join Date]], EmployeeData[[#This Row],[Exit Date]], "Y"),EmployeeData[[#This Row],[Status]]="Active",DATEDIF(EmployeeData[[#This Row],[Join Date]], TODAY(), "Y"))</f>
        <v>4</v>
      </c>
      <c r="Q1002" t="str" cm="1">
        <f t="array" aca="1" ref="Q100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3 months 24 days</v>
      </c>
    </row>
    <row r="1003" spans="1:17" x14ac:dyDescent="0.3">
      <c r="A1003">
        <v>2002</v>
      </c>
      <c r="B1003" t="s">
        <v>1035</v>
      </c>
      <c r="C1003" t="s">
        <v>20</v>
      </c>
      <c r="D1003" t="s">
        <v>24</v>
      </c>
      <c r="E1003">
        <v>50</v>
      </c>
      <c r="F1003" t="str" cm="1">
        <f t="array" ref="F1003">_xlfn.IFS(EmployeeData[[#This Row],[Age]]&lt;30,"20s",EmployeeData[[#This Row],[Age]]&lt;40,"30s",EmployeeData[[#This Row],[Age]]&lt;50,"40s",EmployeeData[[#This Row],[Age]]&lt;60,"50s",EmployeeData[[#This Row],[Age]]&gt;=60,"60s")</f>
        <v>50s</v>
      </c>
      <c r="G1003" s="5">
        <v>43850</v>
      </c>
      <c r="I1003" t="s">
        <v>17</v>
      </c>
      <c r="J1003" t="s">
        <v>18</v>
      </c>
      <c r="K1003" cm="1">
        <f t="array" aca="1" ref="K1003" ca="1">_xlfn.IFS(EmployeeData[[#This Row],[Status]]="Active",_xlfn.DAYS(TODAY(),EmployeeData[[#This Row],[Join Date]]),EmployeeData[[#This Row],[Status]]="Exited",_xlfn.DAYS(EmployeeData[[#This Row],[Exit Date]],EmployeeData[[#This Row],[Join Date]]))</f>
        <v>2347</v>
      </c>
      <c r="L1003" cm="1">
        <f t="array" aca="1" ref="L1003" ca="1">_xlfn.IFS(EmployeeData[[#This Row],[Status]]="Exited",DATEDIF(EmployeeData[[#This Row],[Join Date]], EmployeeData[[#This Row],[Exit Date]], "Y"),EmployeeData[[#This Row],[Status]]="Active",DATEDIF(EmployeeData[[#This Row],[Join Date]], TODAY(), "Y"))</f>
        <v>6</v>
      </c>
      <c r="Q1003" t="str" cm="1">
        <f t="array" aca="1" ref="Q100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4 days</v>
      </c>
    </row>
    <row r="1004" spans="1:17" x14ac:dyDescent="0.3">
      <c r="A1004">
        <v>2003</v>
      </c>
      <c r="B1004" t="s">
        <v>311</v>
      </c>
      <c r="C1004" t="s">
        <v>46</v>
      </c>
      <c r="D1004" t="s">
        <v>24</v>
      </c>
      <c r="E1004">
        <v>35</v>
      </c>
      <c r="F1004" t="str" cm="1">
        <f t="array" ref="F1004">_xlfn.IFS(EmployeeData[[#This Row],[Age]]&lt;30,"20s",EmployeeData[[#This Row],[Age]]&lt;40,"30s",EmployeeData[[#This Row],[Age]]&lt;50,"40s",EmployeeData[[#This Row],[Age]]&lt;60,"50s",EmployeeData[[#This Row],[Age]]&gt;=60,"60s")</f>
        <v>30s</v>
      </c>
      <c r="G1004" s="5">
        <v>44351</v>
      </c>
      <c r="I1004" t="s">
        <v>17</v>
      </c>
      <c r="J1004" t="s">
        <v>18</v>
      </c>
      <c r="K1004" cm="1">
        <f t="array" aca="1" ref="K1004" ca="1">_xlfn.IFS(EmployeeData[[#This Row],[Status]]="Active",_xlfn.DAYS(TODAY(),EmployeeData[[#This Row],[Join Date]]),EmployeeData[[#This Row],[Status]]="Exited",_xlfn.DAYS(EmployeeData[[#This Row],[Exit Date]],EmployeeData[[#This Row],[Join Date]]))</f>
        <v>1846</v>
      </c>
      <c r="L1004" cm="1">
        <f t="array" aca="1" ref="L1004" ca="1">_xlfn.IFS(EmployeeData[[#This Row],[Status]]="Exited",DATEDIF(EmployeeData[[#This Row],[Join Date]], EmployeeData[[#This Row],[Exit Date]], "Y"),EmployeeData[[#This Row],[Status]]="Active",DATEDIF(EmployeeData[[#This Row],[Join Date]], TODAY(), "Y"))</f>
        <v>5</v>
      </c>
      <c r="Q1004" t="str" cm="1">
        <f t="array" aca="1" ref="Q100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20 days</v>
      </c>
    </row>
    <row r="1005" spans="1:17" x14ac:dyDescent="0.3">
      <c r="A1005">
        <v>2004</v>
      </c>
      <c r="B1005" t="s">
        <v>66</v>
      </c>
      <c r="C1005" t="s">
        <v>33</v>
      </c>
      <c r="D1005" t="s">
        <v>24</v>
      </c>
      <c r="E1005">
        <v>25</v>
      </c>
      <c r="F1005" t="str" cm="1">
        <f t="array" ref="F1005">_xlfn.IFS(EmployeeData[[#This Row],[Age]]&lt;30,"20s",EmployeeData[[#This Row],[Age]]&lt;40,"30s",EmployeeData[[#This Row],[Age]]&lt;50,"40s",EmployeeData[[#This Row],[Age]]&lt;60,"50s",EmployeeData[[#This Row],[Age]]&gt;=60,"60s")</f>
        <v>20s</v>
      </c>
      <c r="G1005" s="5">
        <v>44084</v>
      </c>
      <c r="I1005" t="s">
        <v>17</v>
      </c>
      <c r="J1005" t="s">
        <v>18</v>
      </c>
      <c r="K1005" cm="1">
        <f t="array" aca="1" ref="K1005" ca="1">_xlfn.IFS(EmployeeData[[#This Row],[Status]]="Active",_xlfn.DAYS(TODAY(),EmployeeData[[#This Row],[Join Date]]),EmployeeData[[#This Row],[Status]]="Exited",_xlfn.DAYS(EmployeeData[[#This Row],[Exit Date]],EmployeeData[[#This Row],[Join Date]]))</f>
        <v>2113</v>
      </c>
      <c r="L1005" cm="1">
        <f t="array" aca="1" ref="L1005" ca="1">_xlfn.IFS(EmployeeData[[#This Row],[Status]]="Exited",DATEDIF(EmployeeData[[#This Row],[Join Date]], EmployeeData[[#This Row],[Exit Date]], "Y"),EmployeeData[[#This Row],[Status]]="Active",DATEDIF(EmployeeData[[#This Row],[Join Date]], TODAY(), "Y"))</f>
        <v>5</v>
      </c>
      <c r="Q1005" t="str" cm="1">
        <f t="array" aca="1" ref="Q100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14 days</v>
      </c>
    </row>
    <row r="1006" spans="1:17" x14ac:dyDescent="0.3">
      <c r="A1006">
        <v>2005</v>
      </c>
      <c r="B1006" t="s">
        <v>505</v>
      </c>
      <c r="C1006" t="s">
        <v>23</v>
      </c>
      <c r="D1006" t="s">
        <v>24</v>
      </c>
      <c r="E1006">
        <v>21</v>
      </c>
      <c r="F1006" t="str" cm="1">
        <f t="array" ref="F1006">_xlfn.IFS(EmployeeData[[#This Row],[Age]]&lt;30,"20s",EmployeeData[[#This Row],[Age]]&lt;40,"30s",EmployeeData[[#This Row],[Age]]&lt;50,"40s",EmployeeData[[#This Row],[Age]]&lt;60,"50s",EmployeeData[[#This Row],[Age]]&gt;=60,"60s")</f>
        <v>20s</v>
      </c>
      <c r="G1006" s="5">
        <v>44837</v>
      </c>
      <c r="I1006" t="s">
        <v>17</v>
      </c>
      <c r="J1006" t="s">
        <v>18</v>
      </c>
      <c r="K1006" cm="1">
        <f t="array" aca="1" ref="K1006" ca="1">_xlfn.IFS(EmployeeData[[#This Row],[Status]]="Active",_xlfn.DAYS(TODAY(),EmployeeData[[#This Row],[Join Date]]),EmployeeData[[#This Row],[Status]]="Exited",_xlfn.DAYS(EmployeeData[[#This Row],[Exit Date]],EmployeeData[[#This Row],[Join Date]]))</f>
        <v>1360</v>
      </c>
      <c r="L1006" cm="1">
        <f t="array" aca="1" ref="L1006" ca="1">_xlfn.IFS(EmployeeData[[#This Row],[Status]]="Exited",DATEDIF(EmployeeData[[#This Row],[Join Date]], EmployeeData[[#This Row],[Exit Date]], "Y"),EmployeeData[[#This Row],[Status]]="Active",DATEDIF(EmployeeData[[#This Row],[Join Date]], TODAY(), "Y"))</f>
        <v>3</v>
      </c>
      <c r="Q1006" t="str" cm="1">
        <f t="array" aca="1" ref="Q100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21 days</v>
      </c>
    </row>
    <row r="1007" spans="1:17" x14ac:dyDescent="0.3">
      <c r="A1007">
        <v>2006</v>
      </c>
      <c r="B1007" t="s">
        <v>968</v>
      </c>
      <c r="C1007" t="s">
        <v>10</v>
      </c>
      <c r="D1007" t="s">
        <v>24</v>
      </c>
      <c r="E1007">
        <v>21</v>
      </c>
      <c r="F1007" t="str" cm="1">
        <f t="array" ref="F1007">_xlfn.IFS(EmployeeData[[#This Row],[Age]]&lt;30,"20s",EmployeeData[[#This Row],[Age]]&lt;40,"30s",EmployeeData[[#This Row],[Age]]&lt;50,"40s",EmployeeData[[#This Row],[Age]]&lt;60,"50s",EmployeeData[[#This Row],[Age]]&gt;=60,"60s")</f>
        <v>20s</v>
      </c>
      <c r="G1007" s="5">
        <v>44841</v>
      </c>
      <c r="I1007" t="s">
        <v>17</v>
      </c>
      <c r="J1007" t="s">
        <v>18</v>
      </c>
      <c r="K1007" cm="1">
        <f t="array" aca="1" ref="K1007" ca="1">_xlfn.IFS(EmployeeData[[#This Row],[Status]]="Active",_xlfn.DAYS(TODAY(),EmployeeData[[#This Row],[Join Date]]),EmployeeData[[#This Row],[Status]]="Exited",_xlfn.DAYS(EmployeeData[[#This Row],[Exit Date]],EmployeeData[[#This Row],[Join Date]]))</f>
        <v>1356</v>
      </c>
      <c r="L1007" cm="1">
        <f t="array" aca="1" ref="L1007" ca="1">_xlfn.IFS(EmployeeData[[#This Row],[Status]]="Exited",DATEDIF(EmployeeData[[#This Row],[Join Date]], EmployeeData[[#This Row],[Exit Date]], "Y"),EmployeeData[[#This Row],[Status]]="Active",DATEDIF(EmployeeData[[#This Row],[Join Date]], TODAY(), "Y"))</f>
        <v>3</v>
      </c>
      <c r="Q1007" t="str" cm="1">
        <f t="array" aca="1" ref="Q100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17 days</v>
      </c>
    </row>
    <row r="1008" spans="1:17" x14ac:dyDescent="0.3">
      <c r="A1008">
        <v>2007</v>
      </c>
      <c r="B1008" t="s">
        <v>904</v>
      </c>
      <c r="C1008" t="s">
        <v>20</v>
      </c>
      <c r="D1008" t="s">
        <v>11</v>
      </c>
      <c r="E1008">
        <v>54</v>
      </c>
      <c r="F1008" t="str" cm="1">
        <f t="array" ref="F1008">_xlfn.IFS(EmployeeData[[#This Row],[Age]]&lt;30,"20s",EmployeeData[[#This Row],[Age]]&lt;40,"30s",EmployeeData[[#This Row],[Age]]&lt;50,"40s",EmployeeData[[#This Row],[Age]]&lt;60,"50s",EmployeeData[[#This Row],[Age]]&gt;=60,"60s")</f>
        <v>50s</v>
      </c>
      <c r="G1008" s="5">
        <v>45902</v>
      </c>
      <c r="I1008" t="s">
        <v>17</v>
      </c>
      <c r="J1008" t="s">
        <v>18</v>
      </c>
      <c r="K1008" cm="1">
        <f t="array" aca="1" ref="K1008" ca="1">_xlfn.IFS(EmployeeData[[#This Row],[Status]]="Active",_xlfn.DAYS(TODAY(),EmployeeData[[#This Row],[Join Date]]),EmployeeData[[#This Row],[Status]]="Exited",_xlfn.DAYS(EmployeeData[[#This Row],[Exit Date]],EmployeeData[[#This Row],[Join Date]]))</f>
        <v>295</v>
      </c>
      <c r="L1008" cm="1">
        <f t="array" aca="1" ref="L1008" ca="1">_xlfn.IFS(EmployeeData[[#This Row],[Status]]="Exited",DATEDIF(EmployeeData[[#This Row],[Join Date]], EmployeeData[[#This Row],[Exit Date]], "Y"),EmployeeData[[#This Row],[Status]]="Active",DATEDIF(EmployeeData[[#This Row],[Join Date]], TODAY(), "Y"))</f>
        <v>0</v>
      </c>
      <c r="Q1008" t="str" cm="1">
        <f t="array" aca="1" ref="Q100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22 days</v>
      </c>
    </row>
    <row r="1009" spans="1:17" x14ac:dyDescent="0.3">
      <c r="A1009">
        <v>2008</v>
      </c>
      <c r="B1009" t="s">
        <v>271</v>
      </c>
      <c r="C1009" t="s">
        <v>20</v>
      </c>
      <c r="D1009" t="s">
        <v>11</v>
      </c>
      <c r="E1009">
        <v>54</v>
      </c>
      <c r="F1009" t="str" cm="1">
        <f t="array" ref="F1009">_xlfn.IFS(EmployeeData[[#This Row],[Age]]&lt;30,"20s",EmployeeData[[#This Row],[Age]]&lt;40,"30s",EmployeeData[[#This Row],[Age]]&lt;50,"40s",EmployeeData[[#This Row],[Age]]&lt;60,"50s",EmployeeData[[#This Row],[Age]]&gt;=60,"60s")</f>
        <v>50s</v>
      </c>
      <c r="G1009" s="5">
        <v>44022</v>
      </c>
      <c r="H1009" s="5">
        <v>45615</v>
      </c>
      <c r="I1009" t="s">
        <v>52</v>
      </c>
      <c r="J1009" t="s">
        <v>13</v>
      </c>
      <c r="K1009" cm="1">
        <f t="array" aca="1" ref="K1009" ca="1">_xlfn.IFS(EmployeeData[[#This Row],[Status]]="Active",_xlfn.DAYS(TODAY(),EmployeeData[[#This Row],[Join Date]]),EmployeeData[[#This Row],[Status]]="Exited",_xlfn.DAYS(EmployeeData[[#This Row],[Exit Date]],EmployeeData[[#This Row],[Join Date]]))</f>
        <v>1593</v>
      </c>
      <c r="L1009" cm="1">
        <f t="array" aca="1" ref="L1009" ca="1">_xlfn.IFS(EmployeeData[[#This Row],[Status]]="Exited",DATEDIF(EmployeeData[[#This Row],[Join Date]], EmployeeData[[#This Row],[Exit Date]], "Y"),EmployeeData[[#This Row],[Status]]="Active",DATEDIF(EmployeeData[[#This Row],[Join Date]], TODAY(), "Y"))</f>
        <v>4</v>
      </c>
      <c r="Q1009" t="str" cm="1">
        <f t="array" aca="1" ref="Q100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4 months 9 days</v>
      </c>
    </row>
    <row r="1010" spans="1:17" x14ac:dyDescent="0.3">
      <c r="A1010">
        <v>2009</v>
      </c>
      <c r="B1010" t="s">
        <v>166</v>
      </c>
      <c r="C1010" t="s">
        <v>10</v>
      </c>
      <c r="D1010" t="s">
        <v>24</v>
      </c>
      <c r="E1010">
        <v>44</v>
      </c>
      <c r="F1010" t="str" cm="1">
        <f t="array" ref="F1010">_xlfn.IFS(EmployeeData[[#This Row],[Age]]&lt;30,"20s",EmployeeData[[#This Row],[Age]]&lt;40,"30s",EmployeeData[[#This Row],[Age]]&lt;50,"40s",EmployeeData[[#This Row],[Age]]&lt;60,"50s",EmployeeData[[#This Row],[Age]]&gt;=60,"60s")</f>
        <v>40s</v>
      </c>
      <c r="G1010" s="5">
        <v>43564</v>
      </c>
      <c r="H1010" s="5">
        <v>44677</v>
      </c>
      <c r="I1010" t="s">
        <v>52</v>
      </c>
      <c r="J1010" t="s">
        <v>13</v>
      </c>
      <c r="K1010" cm="1">
        <f t="array" aca="1" ref="K1010" ca="1">_xlfn.IFS(EmployeeData[[#This Row],[Status]]="Active",_xlfn.DAYS(TODAY(),EmployeeData[[#This Row],[Join Date]]),EmployeeData[[#This Row],[Status]]="Exited",_xlfn.DAYS(EmployeeData[[#This Row],[Exit Date]],EmployeeData[[#This Row],[Join Date]]))</f>
        <v>1113</v>
      </c>
      <c r="L1010" cm="1">
        <f t="array" aca="1" ref="L1010" ca="1">_xlfn.IFS(EmployeeData[[#This Row],[Status]]="Exited",DATEDIF(EmployeeData[[#This Row],[Join Date]], EmployeeData[[#This Row],[Exit Date]], "Y"),EmployeeData[[#This Row],[Status]]="Active",DATEDIF(EmployeeData[[#This Row],[Join Date]], TODAY(), "Y"))</f>
        <v>3</v>
      </c>
      <c r="Q1010" t="str" cm="1">
        <f t="array" aca="1" ref="Q101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0 months 17 days</v>
      </c>
    </row>
    <row r="1011" spans="1:17" x14ac:dyDescent="0.3">
      <c r="A1011">
        <v>2010</v>
      </c>
      <c r="B1011" t="s">
        <v>529</v>
      </c>
      <c r="C1011" t="s">
        <v>10</v>
      </c>
      <c r="D1011" t="s">
        <v>16</v>
      </c>
      <c r="E1011">
        <v>57</v>
      </c>
      <c r="F1011" t="str" cm="1">
        <f t="array" ref="F1011">_xlfn.IFS(EmployeeData[[#This Row],[Age]]&lt;30,"20s",EmployeeData[[#This Row],[Age]]&lt;40,"30s",EmployeeData[[#This Row],[Age]]&lt;50,"40s",EmployeeData[[#This Row],[Age]]&lt;60,"50s",EmployeeData[[#This Row],[Age]]&gt;=60,"60s")</f>
        <v>50s</v>
      </c>
      <c r="G1011" s="5">
        <v>44713</v>
      </c>
      <c r="H1011" s="5">
        <v>45427</v>
      </c>
      <c r="I1011" t="s">
        <v>21</v>
      </c>
      <c r="J1011" t="s">
        <v>13</v>
      </c>
      <c r="K1011" cm="1">
        <f t="array" aca="1" ref="K1011" ca="1">_xlfn.IFS(EmployeeData[[#This Row],[Status]]="Active",_xlfn.DAYS(TODAY(),EmployeeData[[#This Row],[Join Date]]),EmployeeData[[#This Row],[Status]]="Exited",_xlfn.DAYS(EmployeeData[[#This Row],[Exit Date]],EmployeeData[[#This Row],[Join Date]]))</f>
        <v>714</v>
      </c>
      <c r="L1011" cm="1">
        <f t="array" aca="1" ref="L1011" ca="1">_xlfn.IFS(EmployeeData[[#This Row],[Status]]="Exited",DATEDIF(EmployeeData[[#This Row],[Join Date]], EmployeeData[[#This Row],[Exit Date]], "Y"),EmployeeData[[#This Row],[Status]]="Active",DATEDIF(EmployeeData[[#This Row],[Join Date]], TODAY(), "Y"))</f>
        <v>1</v>
      </c>
      <c r="Q1011" t="str" cm="1">
        <f t="array" aca="1" ref="Q101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11 months 14 days</v>
      </c>
    </row>
    <row r="1012" spans="1:17" x14ac:dyDescent="0.3">
      <c r="A1012">
        <v>2011</v>
      </c>
      <c r="B1012" t="s">
        <v>707</v>
      </c>
      <c r="C1012" t="s">
        <v>33</v>
      </c>
      <c r="D1012" t="s">
        <v>11</v>
      </c>
      <c r="E1012">
        <v>61</v>
      </c>
      <c r="F1012" t="str" cm="1">
        <f t="array" ref="F1012">_xlfn.IFS(EmployeeData[[#This Row],[Age]]&lt;30,"20s",EmployeeData[[#This Row],[Age]]&lt;40,"30s",EmployeeData[[#This Row],[Age]]&lt;50,"40s",EmployeeData[[#This Row],[Age]]&lt;60,"50s",EmployeeData[[#This Row],[Age]]&gt;=60,"60s")</f>
        <v>60s</v>
      </c>
      <c r="G1012" s="5">
        <v>44558</v>
      </c>
      <c r="H1012" s="5">
        <v>45590</v>
      </c>
      <c r="I1012" t="s">
        <v>26</v>
      </c>
      <c r="J1012" t="s">
        <v>13</v>
      </c>
      <c r="K1012" cm="1">
        <f t="array" aca="1" ref="K1012" ca="1">_xlfn.IFS(EmployeeData[[#This Row],[Status]]="Active",_xlfn.DAYS(TODAY(),EmployeeData[[#This Row],[Join Date]]),EmployeeData[[#This Row],[Status]]="Exited",_xlfn.DAYS(EmployeeData[[#This Row],[Exit Date]],EmployeeData[[#This Row],[Join Date]]))</f>
        <v>1032</v>
      </c>
      <c r="L1012" cm="1">
        <f t="array" aca="1" ref="L1012" ca="1">_xlfn.IFS(EmployeeData[[#This Row],[Status]]="Exited",DATEDIF(EmployeeData[[#This Row],[Join Date]], EmployeeData[[#This Row],[Exit Date]], "Y"),EmployeeData[[#This Row],[Status]]="Active",DATEDIF(EmployeeData[[#This Row],[Join Date]], TODAY(), "Y"))</f>
        <v>2</v>
      </c>
      <c r="Q1012" t="str" cm="1">
        <f t="array" aca="1" ref="Q101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9 months 27 days</v>
      </c>
    </row>
    <row r="1013" spans="1:17" x14ac:dyDescent="0.3">
      <c r="A1013">
        <v>2012</v>
      </c>
      <c r="B1013" t="s">
        <v>416</v>
      </c>
      <c r="C1013" t="s">
        <v>10</v>
      </c>
      <c r="D1013" t="s">
        <v>16</v>
      </c>
      <c r="E1013">
        <v>48</v>
      </c>
      <c r="F1013" t="str" cm="1">
        <f t="array" ref="F1013">_xlfn.IFS(EmployeeData[[#This Row],[Age]]&lt;30,"20s",EmployeeData[[#This Row],[Age]]&lt;40,"30s",EmployeeData[[#This Row],[Age]]&lt;50,"40s",EmployeeData[[#This Row],[Age]]&lt;60,"50s",EmployeeData[[#This Row],[Age]]&gt;=60,"60s")</f>
        <v>40s</v>
      </c>
      <c r="G1013" s="5">
        <v>45116</v>
      </c>
      <c r="H1013" s="5">
        <v>45747</v>
      </c>
      <c r="I1013" t="s">
        <v>65</v>
      </c>
      <c r="J1013" t="s">
        <v>13</v>
      </c>
      <c r="K1013" cm="1">
        <f t="array" aca="1" ref="K1013" ca="1">_xlfn.IFS(EmployeeData[[#This Row],[Status]]="Active",_xlfn.DAYS(TODAY(),EmployeeData[[#This Row],[Join Date]]),EmployeeData[[#This Row],[Status]]="Exited",_xlfn.DAYS(EmployeeData[[#This Row],[Exit Date]],EmployeeData[[#This Row],[Join Date]]))</f>
        <v>631</v>
      </c>
      <c r="L1013" cm="1">
        <f t="array" aca="1" ref="L1013" ca="1">_xlfn.IFS(EmployeeData[[#This Row],[Status]]="Exited",DATEDIF(EmployeeData[[#This Row],[Join Date]], EmployeeData[[#This Row],[Exit Date]], "Y"),EmployeeData[[#This Row],[Status]]="Active",DATEDIF(EmployeeData[[#This Row],[Join Date]], TODAY(), "Y"))</f>
        <v>1</v>
      </c>
      <c r="Q1013" t="str" cm="1">
        <f t="array" aca="1" ref="Q101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8 months 22 days</v>
      </c>
    </row>
    <row r="1014" spans="1:17" x14ac:dyDescent="0.3">
      <c r="A1014">
        <v>2013</v>
      </c>
      <c r="B1014" t="s">
        <v>341</v>
      </c>
      <c r="C1014" t="s">
        <v>15</v>
      </c>
      <c r="D1014" t="s">
        <v>11</v>
      </c>
      <c r="E1014">
        <v>37</v>
      </c>
      <c r="F1014" t="str" cm="1">
        <f t="array" ref="F1014">_xlfn.IFS(EmployeeData[[#This Row],[Age]]&lt;30,"20s",EmployeeData[[#This Row],[Age]]&lt;40,"30s",EmployeeData[[#This Row],[Age]]&lt;50,"40s",EmployeeData[[#This Row],[Age]]&lt;60,"50s",EmployeeData[[#This Row],[Age]]&gt;=60,"60s")</f>
        <v>30s</v>
      </c>
      <c r="G1014" s="5">
        <v>44027</v>
      </c>
      <c r="I1014" t="s">
        <v>17</v>
      </c>
      <c r="J1014" t="s">
        <v>18</v>
      </c>
      <c r="K1014" cm="1">
        <f t="array" aca="1" ref="K1014" ca="1">_xlfn.IFS(EmployeeData[[#This Row],[Status]]="Active",_xlfn.DAYS(TODAY(),EmployeeData[[#This Row],[Join Date]]),EmployeeData[[#This Row],[Status]]="Exited",_xlfn.DAYS(EmployeeData[[#This Row],[Exit Date]],EmployeeData[[#This Row],[Join Date]]))</f>
        <v>2170</v>
      </c>
      <c r="L1014" cm="1">
        <f t="array" aca="1" ref="L1014" ca="1">_xlfn.IFS(EmployeeData[[#This Row],[Status]]="Exited",DATEDIF(EmployeeData[[#This Row],[Join Date]], EmployeeData[[#This Row],[Exit Date]], "Y"),EmployeeData[[#This Row],[Status]]="Active",DATEDIF(EmployeeData[[#This Row],[Join Date]], TODAY(), "Y"))</f>
        <v>5</v>
      </c>
      <c r="Q1014" t="str" cm="1">
        <f t="array" aca="1" ref="Q101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9 days</v>
      </c>
    </row>
    <row r="1015" spans="1:17" x14ac:dyDescent="0.3">
      <c r="A1015">
        <v>2014</v>
      </c>
      <c r="B1015" t="s">
        <v>118</v>
      </c>
      <c r="C1015" t="s">
        <v>23</v>
      </c>
      <c r="D1015" t="s">
        <v>16</v>
      </c>
      <c r="E1015">
        <v>49</v>
      </c>
      <c r="F1015" t="str" cm="1">
        <f t="array" ref="F1015">_xlfn.IFS(EmployeeData[[#This Row],[Age]]&lt;30,"20s",EmployeeData[[#This Row],[Age]]&lt;40,"30s",EmployeeData[[#This Row],[Age]]&lt;50,"40s",EmployeeData[[#This Row],[Age]]&lt;60,"50s",EmployeeData[[#This Row],[Age]]&gt;=60,"60s")</f>
        <v>40s</v>
      </c>
      <c r="G1015" s="5">
        <v>45789</v>
      </c>
      <c r="I1015" t="s">
        <v>17</v>
      </c>
      <c r="J1015" t="s">
        <v>18</v>
      </c>
      <c r="K1015" cm="1">
        <f t="array" aca="1" ref="K1015" ca="1">_xlfn.IFS(EmployeeData[[#This Row],[Status]]="Active",_xlfn.DAYS(TODAY(),EmployeeData[[#This Row],[Join Date]]),EmployeeData[[#This Row],[Status]]="Exited",_xlfn.DAYS(EmployeeData[[#This Row],[Exit Date]],EmployeeData[[#This Row],[Join Date]]))</f>
        <v>408</v>
      </c>
      <c r="L1015" cm="1">
        <f t="array" aca="1" ref="L1015" ca="1">_xlfn.IFS(EmployeeData[[#This Row],[Status]]="Exited",DATEDIF(EmployeeData[[#This Row],[Join Date]], EmployeeData[[#This Row],[Exit Date]], "Y"),EmployeeData[[#This Row],[Status]]="Active",DATEDIF(EmployeeData[[#This Row],[Join Date]], TODAY(), "Y"))</f>
        <v>1</v>
      </c>
      <c r="Q1015" t="str" cm="1">
        <f t="array" aca="1" ref="Q101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12 days</v>
      </c>
    </row>
    <row r="1016" spans="1:17" x14ac:dyDescent="0.3">
      <c r="A1016">
        <v>2015</v>
      </c>
      <c r="B1016" t="s">
        <v>515</v>
      </c>
      <c r="C1016" t="s">
        <v>15</v>
      </c>
      <c r="D1016" t="s">
        <v>11</v>
      </c>
      <c r="E1016">
        <v>33</v>
      </c>
      <c r="F1016" t="str" cm="1">
        <f t="array" ref="F1016">_xlfn.IFS(EmployeeData[[#This Row],[Age]]&lt;30,"20s",EmployeeData[[#This Row],[Age]]&lt;40,"30s",EmployeeData[[#This Row],[Age]]&lt;50,"40s",EmployeeData[[#This Row],[Age]]&lt;60,"50s",EmployeeData[[#This Row],[Age]]&gt;=60,"60s")</f>
        <v>30s</v>
      </c>
      <c r="G1016" s="5">
        <v>43554</v>
      </c>
      <c r="H1016" s="5">
        <v>43808</v>
      </c>
      <c r="I1016" t="s">
        <v>31</v>
      </c>
      <c r="J1016" t="s">
        <v>13</v>
      </c>
      <c r="K1016" cm="1">
        <f t="array" aca="1" ref="K1016" ca="1">_xlfn.IFS(EmployeeData[[#This Row],[Status]]="Active",_xlfn.DAYS(TODAY(),EmployeeData[[#This Row],[Join Date]]),EmployeeData[[#This Row],[Status]]="Exited",_xlfn.DAYS(EmployeeData[[#This Row],[Exit Date]],EmployeeData[[#This Row],[Join Date]]))</f>
        <v>254</v>
      </c>
      <c r="L1016" cm="1">
        <f t="array" aca="1" ref="L1016" ca="1">_xlfn.IFS(EmployeeData[[#This Row],[Status]]="Exited",DATEDIF(EmployeeData[[#This Row],[Join Date]], EmployeeData[[#This Row],[Exit Date]], "Y"),EmployeeData[[#This Row],[Status]]="Active",DATEDIF(EmployeeData[[#This Row],[Join Date]], TODAY(), "Y"))</f>
        <v>0</v>
      </c>
      <c r="Q1016" t="str" cm="1">
        <f t="array" aca="1" ref="Q101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8 months 9 days</v>
      </c>
    </row>
    <row r="1017" spans="1:17" x14ac:dyDescent="0.3">
      <c r="A1017">
        <v>2016</v>
      </c>
      <c r="B1017" t="s">
        <v>90</v>
      </c>
      <c r="C1017" t="s">
        <v>15</v>
      </c>
      <c r="D1017" t="s">
        <v>16</v>
      </c>
      <c r="E1017">
        <v>51</v>
      </c>
      <c r="F1017" t="str" cm="1">
        <f t="array" ref="F1017">_xlfn.IFS(EmployeeData[[#This Row],[Age]]&lt;30,"20s",EmployeeData[[#This Row],[Age]]&lt;40,"30s",EmployeeData[[#This Row],[Age]]&lt;50,"40s",EmployeeData[[#This Row],[Age]]&lt;60,"50s",EmployeeData[[#This Row],[Age]]&gt;=60,"60s")</f>
        <v>50s</v>
      </c>
      <c r="G1017" s="5">
        <v>45825</v>
      </c>
      <c r="I1017" t="s">
        <v>17</v>
      </c>
      <c r="J1017" t="s">
        <v>18</v>
      </c>
      <c r="K1017" cm="1">
        <f t="array" aca="1" ref="K1017" ca="1">_xlfn.IFS(EmployeeData[[#This Row],[Status]]="Active",_xlfn.DAYS(TODAY(),EmployeeData[[#This Row],[Join Date]]),EmployeeData[[#This Row],[Status]]="Exited",_xlfn.DAYS(EmployeeData[[#This Row],[Exit Date]],EmployeeData[[#This Row],[Join Date]]))</f>
        <v>372</v>
      </c>
      <c r="L1017" cm="1">
        <f t="array" aca="1" ref="L1017" ca="1">_xlfn.IFS(EmployeeData[[#This Row],[Status]]="Exited",DATEDIF(EmployeeData[[#This Row],[Join Date]], EmployeeData[[#This Row],[Exit Date]], "Y"),EmployeeData[[#This Row],[Status]]="Active",DATEDIF(EmployeeData[[#This Row],[Join Date]], TODAY(), "Y"))</f>
        <v>1</v>
      </c>
      <c r="Q1017" t="str" cm="1">
        <f t="array" aca="1" ref="Q101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0 months 7 days</v>
      </c>
    </row>
    <row r="1018" spans="1:17" x14ac:dyDescent="0.3">
      <c r="A1018">
        <v>2017</v>
      </c>
      <c r="B1018" t="s">
        <v>477</v>
      </c>
      <c r="C1018" t="s">
        <v>33</v>
      </c>
      <c r="D1018" t="s">
        <v>11</v>
      </c>
      <c r="E1018">
        <v>41</v>
      </c>
      <c r="F1018" t="str" cm="1">
        <f t="array" ref="F1018">_xlfn.IFS(EmployeeData[[#This Row],[Age]]&lt;30,"20s",EmployeeData[[#This Row],[Age]]&lt;40,"30s",EmployeeData[[#This Row],[Age]]&lt;50,"40s",EmployeeData[[#This Row],[Age]]&lt;60,"50s",EmployeeData[[#This Row],[Age]]&gt;=60,"60s")</f>
        <v>40s</v>
      </c>
      <c r="G1018" s="5">
        <v>44738</v>
      </c>
      <c r="I1018" t="s">
        <v>17</v>
      </c>
      <c r="J1018" t="s">
        <v>18</v>
      </c>
      <c r="K1018" cm="1">
        <f t="array" aca="1" ref="K1018" ca="1">_xlfn.IFS(EmployeeData[[#This Row],[Status]]="Active",_xlfn.DAYS(TODAY(),EmployeeData[[#This Row],[Join Date]]),EmployeeData[[#This Row],[Status]]="Exited",_xlfn.DAYS(EmployeeData[[#This Row],[Exit Date]],EmployeeData[[#This Row],[Join Date]]))</f>
        <v>1459</v>
      </c>
      <c r="L1018" cm="1">
        <f t="array" aca="1" ref="L1018" ca="1">_xlfn.IFS(EmployeeData[[#This Row],[Status]]="Exited",DATEDIF(EmployeeData[[#This Row],[Join Date]], EmployeeData[[#This Row],[Exit Date]], "Y"),EmployeeData[[#This Row],[Status]]="Active",DATEDIF(EmployeeData[[#This Row],[Join Date]], TODAY(), "Y"))</f>
        <v>3</v>
      </c>
      <c r="Q1018" t="str" cm="1">
        <f t="array" aca="1" ref="Q101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11 months 29 days</v>
      </c>
    </row>
    <row r="1019" spans="1:17" x14ac:dyDescent="0.3">
      <c r="A1019">
        <v>2018</v>
      </c>
      <c r="B1019" t="s">
        <v>349</v>
      </c>
      <c r="C1019" t="s">
        <v>33</v>
      </c>
      <c r="D1019" t="s">
        <v>16</v>
      </c>
      <c r="E1019">
        <v>60</v>
      </c>
      <c r="F1019" t="str" cm="1">
        <f t="array" ref="F1019">_xlfn.IFS(EmployeeData[[#This Row],[Age]]&lt;30,"20s",EmployeeData[[#This Row],[Age]]&lt;40,"30s",EmployeeData[[#This Row],[Age]]&lt;50,"40s",EmployeeData[[#This Row],[Age]]&lt;60,"50s",EmployeeData[[#This Row],[Age]]&gt;=60,"60s")</f>
        <v>60s</v>
      </c>
      <c r="G1019" s="5">
        <v>45149</v>
      </c>
      <c r="H1019" s="5">
        <v>45939</v>
      </c>
      <c r="I1019" t="s">
        <v>26</v>
      </c>
      <c r="J1019" t="s">
        <v>13</v>
      </c>
      <c r="K1019" cm="1">
        <f t="array" aca="1" ref="K1019" ca="1">_xlfn.IFS(EmployeeData[[#This Row],[Status]]="Active",_xlfn.DAYS(TODAY(),EmployeeData[[#This Row],[Join Date]]),EmployeeData[[#This Row],[Status]]="Exited",_xlfn.DAYS(EmployeeData[[#This Row],[Exit Date]],EmployeeData[[#This Row],[Join Date]]))</f>
        <v>790</v>
      </c>
      <c r="L1019" cm="1">
        <f t="array" aca="1" ref="L1019" ca="1">_xlfn.IFS(EmployeeData[[#This Row],[Status]]="Exited",DATEDIF(EmployeeData[[#This Row],[Join Date]], EmployeeData[[#This Row],[Exit Date]], "Y"),EmployeeData[[#This Row],[Status]]="Active",DATEDIF(EmployeeData[[#This Row],[Join Date]], TODAY(), "Y"))</f>
        <v>2</v>
      </c>
      <c r="Q1019" t="str" cm="1">
        <f t="array" aca="1" ref="Q101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 months 28 days</v>
      </c>
    </row>
    <row r="1020" spans="1:17" x14ac:dyDescent="0.3">
      <c r="A1020">
        <v>2019</v>
      </c>
      <c r="B1020" t="s">
        <v>516</v>
      </c>
      <c r="C1020" t="s">
        <v>10</v>
      </c>
      <c r="D1020" t="s">
        <v>16</v>
      </c>
      <c r="E1020">
        <v>52</v>
      </c>
      <c r="F1020" t="str" cm="1">
        <f t="array" ref="F1020">_xlfn.IFS(EmployeeData[[#This Row],[Age]]&lt;30,"20s",EmployeeData[[#This Row],[Age]]&lt;40,"30s",EmployeeData[[#This Row],[Age]]&lt;50,"40s",EmployeeData[[#This Row],[Age]]&lt;60,"50s",EmployeeData[[#This Row],[Age]]&gt;=60,"60s")</f>
        <v>50s</v>
      </c>
      <c r="G1020" s="5">
        <v>43439</v>
      </c>
      <c r="I1020" t="s">
        <v>17</v>
      </c>
      <c r="J1020" t="s">
        <v>18</v>
      </c>
      <c r="K1020" cm="1">
        <f t="array" aca="1" ref="K1020" ca="1">_xlfn.IFS(EmployeeData[[#This Row],[Status]]="Active",_xlfn.DAYS(TODAY(),EmployeeData[[#This Row],[Join Date]]),EmployeeData[[#This Row],[Status]]="Exited",_xlfn.DAYS(EmployeeData[[#This Row],[Exit Date]],EmployeeData[[#This Row],[Join Date]]))</f>
        <v>2758</v>
      </c>
      <c r="L1020" cm="1">
        <f t="array" aca="1" ref="L1020" ca="1">_xlfn.IFS(EmployeeData[[#This Row],[Status]]="Exited",DATEDIF(EmployeeData[[#This Row],[Join Date]], EmployeeData[[#This Row],[Exit Date]], "Y"),EmployeeData[[#This Row],[Status]]="Active",DATEDIF(EmployeeData[[#This Row],[Join Date]], TODAY(), "Y"))</f>
        <v>7</v>
      </c>
      <c r="Q1020" t="str" cm="1">
        <f t="array" aca="1" ref="Q102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6 months 19 days</v>
      </c>
    </row>
    <row r="1021" spans="1:17" x14ac:dyDescent="0.3">
      <c r="A1021">
        <v>2020</v>
      </c>
      <c r="B1021" t="s">
        <v>902</v>
      </c>
      <c r="C1021" t="s">
        <v>10</v>
      </c>
      <c r="D1021" t="s">
        <v>11</v>
      </c>
      <c r="E1021">
        <v>37</v>
      </c>
      <c r="F1021" t="str" cm="1">
        <f t="array" ref="F1021">_xlfn.IFS(EmployeeData[[#This Row],[Age]]&lt;30,"20s",EmployeeData[[#This Row],[Age]]&lt;40,"30s",EmployeeData[[#This Row],[Age]]&lt;50,"40s",EmployeeData[[#This Row],[Age]]&lt;60,"50s",EmployeeData[[#This Row],[Age]]&gt;=60,"60s")</f>
        <v>30s</v>
      </c>
      <c r="G1021" s="5">
        <v>45972</v>
      </c>
      <c r="H1021" s="5">
        <v>46167</v>
      </c>
      <c r="I1021" t="s">
        <v>12</v>
      </c>
      <c r="J1021" t="s">
        <v>13</v>
      </c>
      <c r="K1021" cm="1">
        <f t="array" aca="1" ref="K1021" ca="1">_xlfn.IFS(EmployeeData[[#This Row],[Status]]="Active",_xlfn.DAYS(TODAY(),EmployeeData[[#This Row],[Join Date]]),EmployeeData[[#This Row],[Status]]="Exited",_xlfn.DAYS(EmployeeData[[#This Row],[Exit Date]],EmployeeData[[#This Row],[Join Date]]))</f>
        <v>195</v>
      </c>
      <c r="L1021" cm="1">
        <f t="array" aca="1" ref="L1021" ca="1">_xlfn.IFS(EmployeeData[[#This Row],[Status]]="Exited",DATEDIF(EmployeeData[[#This Row],[Join Date]], EmployeeData[[#This Row],[Exit Date]], "Y"),EmployeeData[[#This Row],[Status]]="Active",DATEDIF(EmployeeData[[#This Row],[Join Date]], TODAY(), "Y"))</f>
        <v>0</v>
      </c>
      <c r="Q1021" t="str" cm="1">
        <f t="array" aca="1" ref="Q102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14 days</v>
      </c>
    </row>
    <row r="1022" spans="1:17" x14ac:dyDescent="0.3">
      <c r="A1022">
        <v>2021</v>
      </c>
      <c r="B1022" t="s">
        <v>290</v>
      </c>
      <c r="C1022" t="s">
        <v>15</v>
      </c>
      <c r="D1022" t="s">
        <v>11</v>
      </c>
      <c r="E1022">
        <v>32</v>
      </c>
      <c r="F1022" t="str" cm="1">
        <f t="array" ref="F1022">_xlfn.IFS(EmployeeData[[#This Row],[Age]]&lt;30,"20s",EmployeeData[[#This Row],[Age]]&lt;40,"30s",EmployeeData[[#This Row],[Age]]&lt;50,"40s",EmployeeData[[#This Row],[Age]]&lt;60,"50s",EmployeeData[[#This Row],[Age]]&gt;=60,"60s")</f>
        <v>30s</v>
      </c>
      <c r="G1022" s="5">
        <v>43873</v>
      </c>
      <c r="I1022" t="s">
        <v>17</v>
      </c>
      <c r="J1022" t="s">
        <v>18</v>
      </c>
      <c r="K1022" cm="1">
        <f t="array" aca="1" ref="K1022" ca="1">_xlfn.IFS(EmployeeData[[#This Row],[Status]]="Active",_xlfn.DAYS(TODAY(),EmployeeData[[#This Row],[Join Date]]),EmployeeData[[#This Row],[Status]]="Exited",_xlfn.DAYS(EmployeeData[[#This Row],[Exit Date]],EmployeeData[[#This Row],[Join Date]]))</f>
        <v>2324</v>
      </c>
      <c r="L1022" cm="1">
        <f t="array" aca="1" ref="L1022" ca="1">_xlfn.IFS(EmployeeData[[#This Row],[Status]]="Exited",DATEDIF(EmployeeData[[#This Row],[Join Date]], EmployeeData[[#This Row],[Exit Date]], "Y"),EmployeeData[[#This Row],[Status]]="Active",DATEDIF(EmployeeData[[#This Row],[Join Date]], TODAY(), "Y"))</f>
        <v>6</v>
      </c>
      <c r="Q1022" t="str" cm="1">
        <f t="array" aca="1" ref="Q102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12 days</v>
      </c>
    </row>
    <row r="1023" spans="1:17" x14ac:dyDescent="0.3">
      <c r="A1023">
        <v>2022</v>
      </c>
      <c r="B1023" t="s">
        <v>858</v>
      </c>
      <c r="C1023" t="s">
        <v>15</v>
      </c>
      <c r="D1023" t="s">
        <v>16</v>
      </c>
      <c r="E1023">
        <v>23</v>
      </c>
      <c r="F1023" t="str" cm="1">
        <f t="array" ref="F1023">_xlfn.IFS(EmployeeData[[#This Row],[Age]]&lt;30,"20s",EmployeeData[[#This Row],[Age]]&lt;40,"30s",EmployeeData[[#This Row],[Age]]&lt;50,"40s",EmployeeData[[#This Row],[Age]]&lt;60,"50s",EmployeeData[[#This Row],[Age]]&gt;=60,"60s")</f>
        <v>20s</v>
      </c>
      <c r="G1023" s="5">
        <v>44222</v>
      </c>
      <c r="I1023" t="s">
        <v>17</v>
      </c>
      <c r="J1023" t="s">
        <v>18</v>
      </c>
      <c r="K1023" cm="1">
        <f t="array" aca="1" ref="K1023" ca="1">_xlfn.IFS(EmployeeData[[#This Row],[Status]]="Active",_xlfn.DAYS(TODAY(),EmployeeData[[#This Row],[Join Date]]),EmployeeData[[#This Row],[Status]]="Exited",_xlfn.DAYS(EmployeeData[[#This Row],[Exit Date]],EmployeeData[[#This Row],[Join Date]]))</f>
        <v>1975</v>
      </c>
      <c r="L1023" cm="1">
        <f t="array" aca="1" ref="L1023" ca="1">_xlfn.IFS(EmployeeData[[#This Row],[Status]]="Exited",DATEDIF(EmployeeData[[#This Row],[Join Date]], EmployeeData[[#This Row],[Exit Date]], "Y"),EmployeeData[[#This Row],[Status]]="Active",DATEDIF(EmployeeData[[#This Row],[Join Date]], TODAY(), "Y"))</f>
        <v>5</v>
      </c>
      <c r="Q1023" t="str" cm="1">
        <f t="array" aca="1" ref="Q102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29 days</v>
      </c>
    </row>
    <row r="1024" spans="1:17" x14ac:dyDescent="0.3">
      <c r="A1024">
        <v>2023</v>
      </c>
      <c r="B1024" t="s">
        <v>907</v>
      </c>
      <c r="C1024" t="s">
        <v>15</v>
      </c>
      <c r="D1024" t="s">
        <v>16</v>
      </c>
      <c r="E1024">
        <v>47</v>
      </c>
      <c r="F1024" t="str" cm="1">
        <f t="array" ref="F1024">_xlfn.IFS(EmployeeData[[#This Row],[Age]]&lt;30,"20s",EmployeeData[[#This Row],[Age]]&lt;40,"30s",EmployeeData[[#This Row],[Age]]&lt;50,"40s",EmployeeData[[#This Row],[Age]]&lt;60,"50s",EmployeeData[[#This Row],[Age]]&gt;=60,"60s")</f>
        <v>40s</v>
      </c>
      <c r="G1024" s="5">
        <v>45251</v>
      </c>
      <c r="H1024" s="5">
        <v>45989</v>
      </c>
      <c r="I1024" t="s">
        <v>21</v>
      </c>
      <c r="J1024" t="s">
        <v>13</v>
      </c>
      <c r="K1024" cm="1">
        <f t="array" aca="1" ref="K1024" ca="1">_xlfn.IFS(EmployeeData[[#This Row],[Status]]="Active",_xlfn.DAYS(TODAY(),EmployeeData[[#This Row],[Join Date]]),EmployeeData[[#This Row],[Status]]="Exited",_xlfn.DAYS(EmployeeData[[#This Row],[Exit Date]],EmployeeData[[#This Row],[Join Date]]))</f>
        <v>738</v>
      </c>
      <c r="L1024" cm="1">
        <f t="array" aca="1" ref="L1024" ca="1">_xlfn.IFS(EmployeeData[[#This Row],[Status]]="Exited",DATEDIF(EmployeeData[[#This Row],[Join Date]], EmployeeData[[#This Row],[Exit Date]], "Y"),EmployeeData[[#This Row],[Status]]="Active",DATEDIF(EmployeeData[[#This Row],[Join Date]], TODAY(), "Y"))</f>
        <v>2</v>
      </c>
      <c r="Q1024" t="str" cm="1">
        <f t="array" aca="1" ref="Q102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0 months 7 days</v>
      </c>
    </row>
    <row r="1025" spans="1:17" x14ac:dyDescent="0.3">
      <c r="A1025">
        <v>2024</v>
      </c>
      <c r="B1025" t="s">
        <v>704</v>
      </c>
      <c r="C1025" t="s">
        <v>23</v>
      </c>
      <c r="D1025" t="s">
        <v>24</v>
      </c>
      <c r="E1025">
        <v>40</v>
      </c>
      <c r="F1025" t="str" cm="1">
        <f t="array" ref="F1025">_xlfn.IFS(EmployeeData[[#This Row],[Age]]&lt;30,"20s",EmployeeData[[#This Row],[Age]]&lt;40,"30s",EmployeeData[[#This Row],[Age]]&lt;50,"40s",EmployeeData[[#This Row],[Age]]&lt;60,"50s",EmployeeData[[#This Row],[Age]]&gt;=60,"60s")</f>
        <v>40s</v>
      </c>
      <c r="G1025" s="5">
        <v>43551</v>
      </c>
      <c r="H1025" s="5">
        <v>44790</v>
      </c>
      <c r="I1025" t="s">
        <v>21</v>
      </c>
      <c r="J1025" t="s">
        <v>13</v>
      </c>
      <c r="K1025" cm="1">
        <f t="array" aca="1" ref="K1025" ca="1">_xlfn.IFS(EmployeeData[[#This Row],[Status]]="Active",_xlfn.DAYS(TODAY(),EmployeeData[[#This Row],[Join Date]]),EmployeeData[[#This Row],[Status]]="Exited",_xlfn.DAYS(EmployeeData[[#This Row],[Exit Date]],EmployeeData[[#This Row],[Join Date]]))</f>
        <v>1239</v>
      </c>
      <c r="L1025" cm="1">
        <f t="array" aca="1" ref="L1025" ca="1">_xlfn.IFS(EmployeeData[[#This Row],[Status]]="Exited",DATEDIF(EmployeeData[[#This Row],[Join Date]], EmployeeData[[#This Row],[Exit Date]], "Y"),EmployeeData[[#This Row],[Status]]="Active",DATEDIF(EmployeeData[[#This Row],[Join Date]], TODAY(), "Y"))</f>
        <v>3</v>
      </c>
      <c r="Q1025" t="str" cm="1">
        <f t="array" aca="1" ref="Q102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21 days</v>
      </c>
    </row>
    <row r="1026" spans="1:17" x14ac:dyDescent="0.3">
      <c r="A1026">
        <v>2025</v>
      </c>
      <c r="B1026" t="s">
        <v>1063</v>
      </c>
      <c r="C1026" t="s">
        <v>15</v>
      </c>
      <c r="D1026" t="s">
        <v>16</v>
      </c>
      <c r="E1026">
        <v>41</v>
      </c>
      <c r="F1026" t="str" cm="1">
        <f t="array" ref="F1026">_xlfn.IFS(EmployeeData[[#This Row],[Age]]&lt;30,"20s",EmployeeData[[#This Row],[Age]]&lt;40,"30s",EmployeeData[[#This Row],[Age]]&lt;50,"40s",EmployeeData[[#This Row],[Age]]&lt;60,"50s",EmployeeData[[#This Row],[Age]]&gt;=60,"60s")</f>
        <v>40s</v>
      </c>
      <c r="G1026" s="5">
        <v>43969</v>
      </c>
      <c r="H1026" s="5">
        <v>45206</v>
      </c>
      <c r="I1026" t="s">
        <v>52</v>
      </c>
      <c r="J1026" t="s">
        <v>13</v>
      </c>
      <c r="K1026" cm="1">
        <f t="array" aca="1" ref="K1026" ca="1">_xlfn.IFS(EmployeeData[[#This Row],[Status]]="Active",_xlfn.DAYS(TODAY(),EmployeeData[[#This Row],[Join Date]]),EmployeeData[[#This Row],[Status]]="Exited",_xlfn.DAYS(EmployeeData[[#This Row],[Exit Date]],EmployeeData[[#This Row],[Join Date]]))</f>
        <v>1237</v>
      </c>
      <c r="L1026" cm="1">
        <f t="array" aca="1" ref="L1026" ca="1">_xlfn.IFS(EmployeeData[[#This Row],[Status]]="Exited",DATEDIF(EmployeeData[[#This Row],[Join Date]], EmployeeData[[#This Row],[Exit Date]], "Y"),EmployeeData[[#This Row],[Status]]="Active",DATEDIF(EmployeeData[[#This Row],[Join Date]], TODAY(), "Y"))</f>
        <v>3</v>
      </c>
      <c r="Q1026" t="str" cm="1">
        <f t="array" aca="1" ref="Q102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19 days</v>
      </c>
    </row>
    <row r="1027" spans="1:17" x14ac:dyDescent="0.3">
      <c r="A1027">
        <v>2026</v>
      </c>
      <c r="B1027" t="s">
        <v>41</v>
      </c>
      <c r="C1027" t="s">
        <v>10</v>
      </c>
      <c r="D1027" t="s">
        <v>16</v>
      </c>
      <c r="E1027">
        <v>27</v>
      </c>
      <c r="F1027" t="str" cm="1">
        <f t="array" ref="F1027">_xlfn.IFS(EmployeeData[[#This Row],[Age]]&lt;30,"20s",EmployeeData[[#This Row],[Age]]&lt;40,"30s",EmployeeData[[#This Row],[Age]]&lt;50,"40s",EmployeeData[[#This Row],[Age]]&lt;60,"50s",EmployeeData[[#This Row],[Age]]&gt;=60,"60s")</f>
        <v>20s</v>
      </c>
      <c r="G1027" s="5">
        <v>45841</v>
      </c>
      <c r="H1027" s="5">
        <v>46072</v>
      </c>
      <c r="I1027" t="s">
        <v>34</v>
      </c>
      <c r="J1027" t="s">
        <v>13</v>
      </c>
      <c r="K1027" cm="1">
        <f t="array" aca="1" ref="K1027" ca="1">_xlfn.IFS(EmployeeData[[#This Row],[Status]]="Active",_xlfn.DAYS(TODAY(),EmployeeData[[#This Row],[Join Date]]),EmployeeData[[#This Row],[Status]]="Exited",_xlfn.DAYS(EmployeeData[[#This Row],[Exit Date]],EmployeeData[[#This Row],[Join Date]]))</f>
        <v>231</v>
      </c>
      <c r="L1027" cm="1">
        <f t="array" aca="1" ref="L1027" ca="1">_xlfn.IFS(EmployeeData[[#This Row],[Status]]="Exited",DATEDIF(EmployeeData[[#This Row],[Join Date]], EmployeeData[[#This Row],[Exit Date]], "Y"),EmployeeData[[#This Row],[Status]]="Active",DATEDIF(EmployeeData[[#This Row],[Join Date]], TODAY(), "Y"))</f>
        <v>0</v>
      </c>
      <c r="Q1027" t="str" cm="1">
        <f t="array" aca="1" ref="Q102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7 months 16 days</v>
      </c>
    </row>
    <row r="1028" spans="1:17" x14ac:dyDescent="0.3">
      <c r="A1028">
        <v>2027</v>
      </c>
      <c r="B1028" t="s">
        <v>494</v>
      </c>
      <c r="C1028" t="s">
        <v>20</v>
      </c>
      <c r="D1028" t="s">
        <v>24</v>
      </c>
      <c r="E1028">
        <v>44</v>
      </c>
      <c r="F1028" t="str" cm="1">
        <f t="array" ref="F1028">_xlfn.IFS(EmployeeData[[#This Row],[Age]]&lt;30,"20s",EmployeeData[[#This Row],[Age]]&lt;40,"30s",EmployeeData[[#This Row],[Age]]&lt;50,"40s",EmployeeData[[#This Row],[Age]]&lt;60,"50s",EmployeeData[[#This Row],[Age]]&gt;=60,"60s")</f>
        <v>40s</v>
      </c>
      <c r="G1028" s="5">
        <v>44076</v>
      </c>
      <c r="I1028" t="s">
        <v>17</v>
      </c>
      <c r="J1028" t="s">
        <v>18</v>
      </c>
      <c r="K1028" cm="1">
        <f t="array" aca="1" ref="K1028" ca="1">_xlfn.IFS(EmployeeData[[#This Row],[Status]]="Active",_xlfn.DAYS(TODAY(),EmployeeData[[#This Row],[Join Date]]),EmployeeData[[#This Row],[Status]]="Exited",_xlfn.DAYS(EmployeeData[[#This Row],[Exit Date]],EmployeeData[[#This Row],[Join Date]]))</f>
        <v>2121</v>
      </c>
      <c r="L1028" cm="1">
        <f t="array" aca="1" ref="L1028" ca="1">_xlfn.IFS(EmployeeData[[#This Row],[Status]]="Exited",DATEDIF(EmployeeData[[#This Row],[Join Date]], EmployeeData[[#This Row],[Exit Date]], "Y"),EmployeeData[[#This Row],[Status]]="Active",DATEDIF(EmployeeData[[#This Row],[Join Date]], TODAY(), "Y"))</f>
        <v>5</v>
      </c>
      <c r="Q1028" t="str" cm="1">
        <f t="array" aca="1" ref="Q102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9 months 22 days</v>
      </c>
    </row>
    <row r="1029" spans="1:17" x14ac:dyDescent="0.3">
      <c r="A1029">
        <v>2028</v>
      </c>
      <c r="B1029" t="s">
        <v>544</v>
      </c>
      <c r="C1029" t="s">
        <v>15</v>
      </c>
      <c r="D1029" t="s">
        <v>11</v>
      </c>
      <c r="E1029">
        <v>28</v>
      </c>
      <c r="F1029" t="str" cm="1">
        <f t="array" ref="F1029">_xlfn.IFS(EmployeeData[[#This Row],[Age]]&lt;30,"20s",EmployeeData[[#This Row],[Age]]&lt;40,"30s",EmployeeData[[#This Row],[Age]]&lt;50,"40s",EmployeeData[[#This Row],[Age]]&lt;60,"50s",EmployeeData[[#This Row],[Age]]&gt;=60,"60s")</f>
        <v>20s</v>
      </c>
      <c r="G1029" s="5">
        <v>43269</v>
      </c>
      <c r="I1029" t="s">
        <v>17</v>
      </c>
      <c r="J1029" t="s">
        <v>18</v>
      </c>
      <c r="K1029" cm="1">
        <f t="array" aca="1" ref="K1029" ca="1">_xlfn.IFS(EmployeeData[[#This Row],[Status]]="Active",_xlfn.DAYS(TODAY(),EmployeeData[[#This Row],[Join Date]]),EmployeeData[[#This Row],[Status]]="Exited",_xlfn.DAYS(EmployeeData[[#This Row],[Exit Date]],EmployeeData[[#This Row],[Join Date]]))</f>
        <v>2928</v>
      </c>
      <c r="L1029" cm="1">
        <f t="array" aca="1" ref="L1029" ca="1">_xlfn.IFS(EmployeeData[[#This Row],[Status]]="Exited",DATEDIF(EmployeeData[[#This Row],[Join Date]], EmployeeData[[#This Row],[Exit Date]], "Y"),EmployeeData[[#This Row],[Status]]="Active",DATEDIF(EmployeeData[[#This Row],[Join Date]], TODAY(), "Y"))</f>
        <v>8</v>
      </c>
      <c r="Q1029" t="str" cm="1">
        <f t="array" aca="1" ref="Q102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0 months 6 days</v>
      </c>
    </row>
    <row r="1030" spans="1:17" x14ac:dyDescent="0.3">
      <c r="A1030">
        <v>2029</v>
      </c>
      <c r="B1030" t="s">
        <v>540</v>
      </c>
      <c r="C1030" t="s">
        <v>46</v>
      </c>
      <c r="D1030" t="s">
        <v>16</v>
      </c>
      <c r="E1030">
        <v>55</v>
      </c>
      <c r="F1030" t="str" cm="1">
        <f t="array" ref="F1030">_xlfn.IFS(EmployeeData[[#This Row],[Age]]&lt;30,"20s",EmployeeData[[#This Row],[Age]]&lt;40,"30s",EmployeeData[[#This Row],[Age]]&lt;50,"40s",EmployeeData[[#This Row],[Age]]&lt;60,"50s",EmployeeData[[#This Row],[Age]]&gt;=60,"60s")</f>
        <v>50s</v>
      </c>
      <c r="G1030" s="5">
        <v>45636</v>
      </c>
      <c r="H1030" s="5">
        <v>46097</v>
      </c>
      <c r="I1030" t="s">
        <v>12</v>
      </c>
      <c r="J1030" t="s">
        <v>13</v>
      </c>
      <c r="K1030" cm="1">
        <f t="array" aca="1" ref="K1030" ca="1">_xlfn.IFS(EmployeeData[[#This Row],[Status]]="Active",_xlfn.DAYS(TODAY(),EmployeeData[[#This Row],[Join Date]]),EmployeeData[[#This Row],[Status]]="Exited",_xlfn.DAYS(EmployeeData[[#This Row],[Exit Date]],EmployeeData[[#This Row],[Join Date]]))</f>
        <v>461</v>
      </c>
      <c r="L1030" cm="1">
        <f t="array" aca="1" ref="L1030" ca="1">_xlfn.IFS(EmployeeData[[#This Row],[Status]]="Exited",DATEDIF(EmployeeData[[#This Row],[Join Date]], EmployeeData[[#This Row],[Exit Date]], "Y"),EmployeeData[[#This Row],[Status]]="Active",DATEDIF(EmployeeData[[#This Row],[Join Date]], TODAY(), "Y"))</f>
        <v>1</v>
      </c>
      <c r="Q1030" t="str" cm="1">
        <f t="array" aca="1" ref="Q103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3 months 6 days</v>
      </c>
    </row>
    <row r="1031" spans="1:17" x14ac:dyDescent="0.3">
      <c r="A1031">
        <v>2030</v>
      </c>
      <c r="B1031" t="s">
        <v>645</v>
      </c>
      <c r="C1031" t="s">
        <v>15</v>
      </c>
      <c r="D1031" t="s">
        <v>16</v>
      </c>
      <c r="E1031">
        <v>56</v>
      </c>
      <c r="F1031" t="str" cm="1">
        <f t="array" ref="F1031">_xlfn.IFS(EmployeeData[[#This Row],[Age]]&lt;30,"20s",EmployeeData[[#This Row],[Age]]&lt;40,"30s",EmployeeData[[#This Row],[Age]]&lt;50,"40s",EmployeeData[[#This Row],[Age]]&lt;60,"50s",EmployeeData[[#This Row],[Age]]&gt;=60,"60s")</f>
        <v>50s</v>
      </c>
      <c r="G1031" s="5">
        <v>44135</v>
      </c>
      <c r="I1031" t="s">
        <v>17</v>
      </c>
      <c r="J1031" t="s">
        <v>18</v>
      </c>
      <c r="K1031" cm="1">
        <f t="array" aca="1" ref="K1031" ca="1">_xlfn.IFS(EmployeeData[[#This Row],[Status]]="Active",_xlfn.DAYS(TODAY(),EmployeeData[[#This Row],[Join Date]]),EmployeeData[[#This Row],[Status]]="Exited",_xlfn.DAYS(EmployeeData[[#This Row],[Exit Date]],EmployeeData[[#This Row],[Join Date]]))</f>
        <v>2062</v>
      </c>
      <c r="L1031" cm="1">
        <f t="array" aca="1" ref="L1031" ca="1">_xlfn.IFS(EmployeeData[[#This Row],[Status]]="Exited",DATEDIF(EmployeeData[[#This Row],[Join Date]], EmployeeData[[#This Row],[Exit Date]], "Y"),EmployeeData[[#This Row],[Status]]="Active",DATEDIF(EmployeeData[[#This Row],[Join Date]], TODAY(), "Y"))</f>
        <v>5</v>
      </c>
      <c r="Q1031" t="str" cm="1">
        <f t="array" aca="1" ref="Q103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7 months 24 days</v>
      </c>
    </row>
    <row r="1032" spans="1:17" x14ac:dyDescent="0.3">
      <c r="A1032">
        <v>2031</v>
      </c>
      <c r="B1032" t="s">
        <v>194</v>
      </c>
      <c r="C1032" t="s">
        <v>10</v>
      </c>
      <c r="D1032" t="s">
        <v>11</v>
      </c>
      <c r="E1032">
        <v>48</v>
      </c>
      <c r="F1032" t="str" cm="1">
        <f t="array" ref="F1032">_xlfn.IFS(EmployeeData[[#This Row],[Age]]&lt;30,"20s",EmployeeData[[#This Row],[Age]]&lt;40,"30s",EmployeeData[[#This Row],[Age]]&lt;50,"40s",EmployeeData[[#This Row],[Age]]&lt;60,"50s",EmployeeData[[#This Row],[Age]]&gt;=60,"60s")</f>
        <v>40s</v>
      </c>
      <c r="G1032" s="5">
        <v>43378</v>
      </c>
      <c r="I1032" t="s">
        <v>17</v>
      </c>
      <c r="J1032" t="s">
        <v>18</v>
      </c>
      <c r="K1032" cm="1">
        <f t="array" aca="1" ref="K1032" ca="1">_xlfn.IFS(EmployeeData[[#This Row],[Status]]="Active",_xlfn.DAYS(TODAY(),EmployeeData[[#This Row],[Join Date]]),EmployeeData[[#This Row],[Status]]="Exited",_xlfn.DAYS(EmployeeData[[#This Row],[Exit Date]],EmployeeData[[#This Row],[Join Date]]))</f>
        <v>2819</v>
      </c>
      <c r="L1032" cm="1">
        <f t="array" aca="1" ref="L1032" ca="1">_xlfn.IFS(EmployeeData[[#This Row],[Status]]="Exited",DATEDIF(EmployeeData[[#This Row],[Join Date]], EmployeeData[[#This Row],[Exit Date]], "Y"),EmployeeData[[#This Row],[Status]]="Active",DATEDIF(EmployeeData[[#This Row],[Join Date]], TODAY(), "Y"))</f>
        <v>7</v>
      </c>
      <c r="Q1032" t="str" cm="1">
        <f t="array" aca="1" ref="Q103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8 months 19 days</v>
      </c>
    </row>
    <row r="1033" spans="1:17" x14ac:dyDescent="0.3">
      <c r="A1033">
        <v>2032</v>
      </c>
      <c r="B1033" t="s">
        <v>68</v>
      </c>
      <c r="C1033" t="s">
        <v>15</v>
      </c>
      <c r="D1033" t="s">
        <v>16</v>
      </c>
      <c r="E1033">
        <v>29</v>
      </c>
      <c r="F1033" t="str" cm="1">
        <f t="array" ref="F1033">_xlfn.IFS(EmployeeData[[#This Row],[Age]]&lt;30,"20s",EmployeeData[[#This Row],[Age]]&lt;40,"30s",EmployeeData[[#This Row],[Age]]&lt;50,"40s",EmployeeData[[#This Row],[Age]]&lt;60,"50s",EmployeeData[[#This Row],[Age]]&gt;=60,"60s")</f>
        <v>20s</v>
      </c>
      <c r="G1033" s="5">
        <v>44287</v>
      </c>
      <c r="H1033" s="5">
        <v>45536</v>
      </c>
      <c r="I1033" t="s">
        <v>31</v>
      </c>
      <c r="J1033" t="s">
        <v>13</v>
      </c>
      <c r="K1033" cm="1">
        <f t="array" aca="1" ref="K1033" ca="1">_xlfn.IFS(EmployeeData[[#This Row],[Status]]="Active",_xlfn.DAYS(TODAY(),EmployeeData[[#This Row],[Join Date]]),EmployeeData[[#This Row],[Status]]="Exited",_xlfn.DAYS(EmployeeData[[#This Row],[Exit Date]],EmployeeData[[#This Row],[Join Date]]))</f>
        <v>1249</v>
      </c>
      <c r="L1033" cm="1">
        <f t="array" aca="1" ref="L1033" ca="1">_xlfn.IFS(EmployeeData[[#This Row],[Status]]="Exited",DATEDIF(EmployeeData[[#This Row],[Join Date]], EmployeeData[[#This Row],[Exit Date]], "Y"),EmployeeData[[#This Row],[Status]]="Active",DATEDIF(EmployeeData[[#This Row],[Join Date]], TODAY(), "Y"))</f>
        <v>3</v>
      </c>
      <c r="Q1033" t="str" cm="1">
        <f t="array" aca="1" ref="Q103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5 months 0 days</v>
      </c>
    </row>
    <row r="1034" spans="1:17" x14ac:dyDescent="0.3">
      <c r="A1034">
        <v>2033</v>
      </c>
      <c r="B1034" t="s">
        <v>201</v>
      </c>
      <c r="C1034" t="s">
        <v>23</v>
      </c>
      <c r="D1034" t="s">
        <v>24</v>
      </c>
      <c r="E1034">
        <v>53</v>
      </c>
      <c r="F1034" t="str" cm="1">
        <f t="array" ref="F1034">_xlfn.IFS(EmployeeData[[#This Row],[Age]]&lt;30,"20s",EmployeeData[[#This Row],[Age]]&lt;40,"30s",EmployeeData[[#This Row],[Age]]&lt;50,"40s",EmployeeData[[#This Row],[Age]]&lt;60,"50s",EmployeeData[[#This Row],[Age]]&gt;=60,"60s")</f>
        <v>50s</v>
      </c>
      <c r="G1034" s="5">
        <v>43408</v>
      </c>
      <c r="H1034" s="5">
        <v>45584</v>
      </c>
      <c r="I1034" t="s">
        <v>12</v>
      </c>
      <c r="J1034" t="s">
        <v>13</v>
      </c>
      <c r="K1034" cm="1">
        <f t="array" aca="1" ref="K1034" ca="1">_xlfn.IFS(EmployeeData[[#This Row],[Status]]="Active",_xlfn.DAYS(TODAY(),EmployeeData[[#This Row],[Join Date]]),EmployeeData[[#This Row],[Status]]="Exited",_xlfn.DAYS(EmployeeData[[#This Row],[Exit Date]],EmployeeData[[#This Row],[Join Date]]))</f>
        <v>2176</v>
      </c>
      <c r="L1034" cm="1">
        <f t="array" aca="1" ref="L1034" ca="1">_xlfn.IFS(EmployeeData[[#This Row],[Status]]="Exited",DATEDIF(EmployeeData[[#This Row],[Join Date]], EmployeeData[[#This Row],[Exit Date]], "Y"),EmployeeData[[#This Row],[Status]]="Active",DATEDIF(EmployeeData[[#This Row],[Join Date]], TODAY(), "Y"))</f>
        <v>5</v>
      </c>
      <c r="Q1034" t="str" cm="1">
        <f t="array" aca="1" ref="Q103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15 days</v>
      </c>
    </row>
    <row r="1035" spans="1:17" x14ac:dyDescent="0.3">
      <c r="A1035">
        <v>2034</v>
      </c>
      <c r="B1035" t="s">
        <v>310</v>
      </c>
      <c r="C1035" t="s">
        <v>15</v>
      </c>
      <c r="D1035" t="s">
        <v>16</v>
      </c>
      <c r="E1035">
        <v>57</v>
      </c>
      <c r="F1035" t="str" cm="1">
        <f t="array" ref="F1035">_xlfn.IFS(EmployeeData[[#This Row],[Age]]&lt;30,"20s",EmployeeData[[#This Row],[Age]]&lt;40,"30s",EmployeeData[[#This Row],[Age]]&lt;50,"40s",EmployeeData[[#This Row],[Age]]&lt;60,"50s",EmployeeData[[#This Row],[Age]]&gt;=60,"60s")</f>
        <v>50s</v>
      </c>
      <c r="G1035" s="5">
        <v>43993</v>
      </c>
      <c r="I1035" t="s">
        <v>17</v>
      </c>
      <c r="J1035" t="s">
        <v>18</v>
      </c>
      <c r="K1035" cm="1">
        <f t="array" aca="1" ref="K1035" ca="1">_xlfn.IFS(EmployeeData[[#This Row],[Status]]="Active",_xlfn.DAYS(TODAY(),EmployeeData[[#This Row],[Join Date]]),EmployeeData[[#This Row],[Status]]="Exited",_xlfn.DAYS(EmployeeData[[#This Row],[Exit Date]],EmployeeData[[#This Row],[Join Date]]))</f>
        <v>2204</v>
      </c>
      <c r="L1035" cm="1">
        <f t="array" aca="1" ref="L1035" ca="1">_xlfn.IFS(EmployeeData[[#This Row],[Status]]="Exited",DATEDIF(EmployeeData[[#This Row],[Join Date]], EmployeeData[[#This Row],[Exit Date]], "Y"),EmployeeData[[#This Row],[Status]]="Active",DATEDIF(EmployeeData[[#This Row],[Join Date]], TODAY(), "Y"))</f>
        <v>6</v>
      </c>
      <c r="Q1035" t="str" cm="1">
        <f t="array" aca="1" ref="Q103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0 months 13 days</v>
      </c>
    </row>
    <row r="1036" spans="1:17" x14ac:dyDescent="0.3">
      <c r="A1036">
        <v>2035</v>
      </c>
      <c r="B1036" t="s">
        <v>774</v>
      </c>
      <c r="C1036" t="s">
        <v>10</v>
      </c>
      <c r="D1036" t="s">
        <v>16</v>
      </c>
      <c r="E1036">
        <v>38</v>
      </c>
      <c r="F1036" t="str" cm="1">
        <f t="array" ref="F1036">_xlfn.IFS(EmployeeData[[#This Row],[Age]]&lt;30,"20s",EmployeeData[[#This Row],[Age]]&lt;40,"30s",EmployeeData[[#This Row],[Age]]&lt;50,"40s",EmployeeData[[#This Row],[Age]]&lt;60,"50s",EmployeeData[[#This Row],[Age]]&gt;=60,"60s")</f>
        <v>30s</v>
      </c>
      <c r="G1036" s="5">
        <v>45362</v>
      </c>
      <c r="H1036" s="5">
        <v>45681</v>
      </c>
      <c r="I1036" t="s">
        <v>31</v>
      </c>
      <c r="J1036" t="s">
        <v>13</v>
      </c>
      <c r="K1036" cm="1">
        <f t="array" aca="1" ref="K1036" ca="1">_xlfn.IFS(EmployeeData[[#This Row],[Status]]="Active",_xlfn.DAYS(TODAY(),EmployeeData[[#This Row],[Join Date]]),EmployeeData[[#This Row],[Status]]="Exited",_xlfn.DAYS(EmployeeData[[#This Row],[Exit Date]],EmployeeData[[#This Row],[Join Date]]))</f>
        <v>319</v>
      </c>
      <c r="L1036" cm="1">
        <f t="array" aca="1" ref="L1036" ca="1">_xlfn.IFS(EmployeeData[[#This Row],[Status]]="Exited",DATEDIF(EmployeeData[[#This Row],[Join Date]], EmployeeData[[#This Row],[Exit Date]], "Y"),EmployeeData[[#This Row],[Status]]="Active",DATEDIF(EmployeeData[[#This Row],[Join Date]], TODAY(), "Y"))</f>
        <v>0</v>
      </c>
      <c r="Q1036" t="str" cm="1">
        <f t="array" aca="1" ref="Q103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13 days</v>
      </c>
    </row>
    <row r="1037" spans="1:17" x14ac:dyDescent="0.3">
      <c r="A1037">
        <v>2036</v>
      </c>
      <c r="B1037" t="s">
        <v>297</v>
      </c>
      <c r="C1037" t="s">
        <v>46</v>
      </c>
      <c r="D1037" t="s">
        <v>16</v>
      </c>
      <c r="E1037">
        <v>29</v>
      </c>
      <c r="F1037" t="str" cm="1">
        <f t="array" ref="F1037">_xlfn.IFS(EmployeeData[[#This Row],[Age]]&lt;30,"20s",EmployeeData[[#This Row],[Age]]&lt;40,"30s",EmployeeData[[#This Row],[Age]]&lt;50,"40s",EmployeeData[[#This Row],[Age]]&lt;60,"50s",EmployeeData[[#This Row],[Age]]&gt;=60,"60s")</f>
        <v>20s</v>
      </c>
      <c r="G1037" s="5">
        <v>44208</v>
      </c>
      <c r="I1037" t="s">
        <v>17</v>
      </c>
      <c r="J1037" t="s">
        <v>18</v>
      </c>
      <c r="K1037" cm="1">
        <f t="array" aca="1" ref="K1037" ca="1">_xlfn.IFS(EmployeeData[[#This Row],[Status]]="Active",_xlfn.DAYS(TODAY(),EmployeeData[[#This Row],[Join Date]]),EmployeeData[[#This Row],[Status]]="Exited",_xlfn.DAYS(EmployeeData[[#This Row],[Exit Date]],EmployeeData[[#This Row],[Join Date]]))</f>
        <v>1989</v>
      </c>
      <c r="L1037" cm="1">
        <f t="array" aca="1" ref="L1037" ca="1">_xlfn.IFS(EmployeeData[[#This Row],[Status]]="Exited",DATEDIF(EmployeeData[[#This Row],[Join Date]], EmployeeData[[#This Row],[Exit Date]], "Y"),EmployeeData[[#This Row],[Status]]="Active",DATEDIF(EmployeeData[[#This Row],[Join Date]], TODAY(), "Y"))</f>
        <v>5</v>
      </c>
      <c r="Q1037" t="str" cm="1">
        <f t="array" aca="1" ref="Q103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5 months 12 days</v>
      </c>
    </row>
    <row r="1038" spans="1:17" x14ac:dyDescent="0.3">
      <c r="A1038">
        <v>2037</v>
      </c>
      <c r="B1038" t="s">
        <v>876</v>
      </c>
      <c r="C1038" t="s">
        <v>46</v>
      </c>
      <c r="D1038" t="s">
        <v>16</v>
      </c>
      <c r="E1038">
        <v>28</v>
      </c>
      <c r="F1038" t="str" cm="1">
        <f t="array" ref="F1038">_xlfn.IFS(EmployeeData[[#This Row],[Age]]&lt;30,"20s",EmployeeData[[#This Row],[Age]]&lt;40,"30s",EmployeeData[[#This Row],[Age]]&lt;50,"40s",EmployeeData[[#This Row],[Age]]&lt;60,"50s",EmployeeData[[#This Row],[Age]]&gt;=60,"60s")</f>
        <v>20s</v>
      </c>
      <c r="G1038" s="5">
        <v>43106</v>
      </c>
      <c r="I1038" t="s">
        <v>17</v>
      </c>
      <c r="J1038" t="s">
        <v>18</v>
      </c>
      <c r="K1038" cm="1">
        <f t="array" aca="1" ref="K1038" ca="1">_xlfn.IFS(EmployeeData[[#This Row],[Status]]="Active",_xlfn.DAYS(TODAY(),EmployeeData[[#This Row],[Join Date]]),EmployeeData[[#This Row],[Status]]="Exited",_xlfn.DAYS(EmployeeData[[#This Row],[Exit Date]],EmployeeData[[#This Row],[Join Date]]))</f>
        <v>3091</v>
      </c>
      <c r="L1038" cm="1">
        <f t="array" aca="1" ref="L1038" ca="1">_xlfn.IFS(EmployeeData[[#This Row],[Status]]="Exited",DATEDIF(EmployeeData[[#This Row],[Join Date]], EmployeeData[[#This Row],[Exit Date]], "Y"),EmployeeData[[#This Row],[Status]]="Active",DATEDIF(EmployeeData[[#This Row],[Join Date]], TODAY(), "Y"))</f>
        <v>8</v>
      </c>
      <c r="Q1038" t="str" cm="1">
        <f t="array" aca="1" ref="Q103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18 days</v>
      </c>
    </row>
    <row r="1039" spans="1:17" x14ac:dyDescent="0.3">
      <c r="A1039">
        <v>2038</v>
      </c>
      <c r="B1039" t="s">
        <v>92</v>
      </c>
      <c r="C1039" t="s">
        <v>20</v>
      </c>
      <c r="D1039" t="s">
        <v>24</v>
      </c>
      <c r="E1039">
        <v>39</v>
      </c>
      <c r="F1039" t="str" cm="1">
        <f t="array" ref="F1039">_xlfn.IFS(EmployeeData[[#This Row],[Age]]&lt;30,"20s",EmployeeData[[#This Row],[Age]]&lt;40,"30s",EmployeeData[[#This Row],[Age]]&lt;50,"40s",EmployeeData[[#This Row],[Age]]&lt;60,"50s",EmployeeData[[#This Row],[Age]]&gt;=60,"60s")</f>
        <v>30s</v>
      </c>
      <c r="G1039" s="5">
        <v>44430</v>
      </c>
      <c r="I1039" t="s">
        <v>17</v>
      </c>
      <c r="J1039" t="s">
        <v>18</v>
      </c>
      <c r="K1039" cm="1">
        <f t="array" aca="1" ref="K1039" ca="1">_xlfn.IFS(EmployeeData[[#This Row],[Status]]="Active",_xlfn.DAYS(TODAY(),EmployeeData[[#This Row],[Join Date]]),EmployeeData[[#This Row],[Status]]="Exited",_xlfn.DAYS(EmployeeData[[#This Row],[Exit Date]],EmployeeData[[#This Row],[Join Date]]))</f>
        <v>1767</v>
      </c>
      <c r="L1039" cm="1">
        <f t="array" aca="1" ref="L1039" ca="1">_xlfn.IFS(EmployeeData[[#This Row],[Status]]="Exited",DATEDIF(EmployeeData[[#This Row],[Join Date]], EmployeeData[[#This Row],[Exit Date]], "Y"),EmployeeData[[#This Row],[Status]]="Active",DATEDIF(EmployeeData[[#This Row],[Join Date]], TODAY(), "Y"))</f>
        <v>4</v>
      </c>
      <c r="Q1039" t="str" cm="1">
        <f t="array" aca="1" ref="Q103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10 months 2 days</v>
      </c>
    </row>
    <row r="1040" spans="1:17" x14ac:dyDescent="0.3">
      <c r="A1040">
        <v>2039</v>
      </c>
      <c r="B1040" t="s">
        <v>29</v>
      </c>
      <c r="C1040" t="s">
        <v>15</v>
      </c>
      <c r="D1040" t="s">
        <v>11</v>
      </c>
      <c r="E1040">
        <v>55</v>
      </c>
      <c r="F1040" t="str" cm="1">
        <f t="array" ref="F1040">_xlfn.IFS(EmployeeData[[#This Row],[Age]]&lt;30,"20s",EmployeeData[[#This Row],[Age]]&lt;40,"30s",EmployeeData[[#This Row],[Age]]&lt;50,"40s",EmployeeData[[#This Row],[Age]]&lt;60,"50s",EmployeeData[[#This Row],[Age]]&gt;=60,"60s")</f>
        <v>50s</v>
      </c>
      <c r="G1040" s="5">
        <v>45793</v>
      </c>
      <c r="I1040" t="s">
        <v>17</v>
      </c>
      <c r="J1040" t="s">
        <v>18</v>
      </c>
      <c r="K1040" cm="1">
        <f t="array" aca="1" ref="K1040" ca="1">_xlfn.IFS(EmployeeData[[#This Row],[Status]]="Active",_xlfn.DAYS(TODAY(),EmployeeData[[#This Row],[Join Date]]),EmployeeData[[#This Row],[Status]]="Exited",_xlfn.DAYS(EmployeeData[[#This Row],[Exit Date]],EmployeeData[[#This Row],[Join Date]]))</f>
        <v>404</v>
      </c>
      <c r="L1040" cm="1">
        <f t="array" aca="1" ref="L1040" ca="1">_xlfn.IFS(EmployeeData[[#This Row],[Status]]="Exited",DATEDIF(EmployeeData[[#This Row],[Join Date]], EmployeeData[[#This Row],[Exit Date]], "Y"),EmployeeData[[#This Row],[Status]]="Active",DATEDIF(EmployeeData[[#This Row],[Join Date]], TODAY(), "Y"))</f>
        <v>1</v>
      </c>
      <c r="Q1040" t="str" cm="1">
        <f t="array" aca="1" ref="Q104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8 days</v>
      </c>
    </row>
    <row r="1041" spans="1:17" x14ac:dyDescent="0.3">
      <c r="A1041">
        <v>2040</v>
      </c>
      <c r="B1041" t="s">
        <v>686</v>
      </c>
      <c r="C1041" t="s">
        <v>20</v>
      </c>
      <c r="D1041" t="s">
        <v>11</v>
      </c>
      <c r="E1041">
        <v>37</v>
      </c>
      <c r="F1041" t="str" cm="1">
        <f t="array" ref="F1041">_xlfn.IFS(EmployeeData[[#This Row],[Age]]&lt;30,"20s",EmployeeData[[#This Row],[Age]]&lt;40,"30s",EmployeeData[[#This Row],[Age]]&lt;50,"40s",EmployeeData[[#This Row],[Age]]&lt;60,"50s",EmployeeData[[#This Row],[Age]]&gt;=60,"60s")</f>
        <v>30s</v>
      </c>
      <c r="G1041" s="5">
        <v>45666</v>
      </c>
      <c r="I1041" t="s">
        <v>17</v>
      </c>
      <c r="J1041" t="s">
        <v>18</v>
      </c>
      <c r="K1041" cm="1">
        <f t="array" aca="1" ref="K1041" ca="1">_xlfn.IFS(EmployeeData[[#This Row],[Status]]="Active",_xlfn.DAYS(TODAY(),EmployeeData[[#This Row],[Join Date]]),EmployeeData[[#This Row],[Status]]="Exited",_xlfn.DAYS(EmployeeData[[#This Row],[Exit Date]],EmployeeData[[#This Row],[Join Date]]))</f>
        <v>531</v>
      </c>
      <c r="L1041" cm="1">
        <f t="array" aca="1" ref="L1041" ca="1">_xlfn.IFS(EmployeeData[[#This Row],[Status]]="Exited",DATEDIF(EmployeeData[[#This Row],[Join Date]], EmployeeData[[#This Row],[Exit Date]], "Y"),EmployeeData[[#This Row],[Status]]="Active",DATEDIF(EmployeeData[[#This Row],[Join Date]], TODAY(), "Y"))</f>
        <v>1</v>
      </c>
      <c r="Q1041" t="str" cm="1">
        <f t="array" aca="1" ref="Q104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15 days</v>
      </c>
    </row>
    <row r="1042" spans="1:17" x14ac:dyDescent="0.3">
      <c r="A1042">
        <v>2041</v>
      </c>
      <c r="B1042" t="s">
        <v>708</v>
      </c>
      <c r="C1042" t="s">
        <v>15</v>
      </c>
      <c r="D1042" t="s">
        <v>16</v>
      </c>
      <c r="E1042">
        <v>58</v>
      </c>
      <c r="F1042" t="str" cm="1">
        <f t="array" ref="F1042">_xlfn.IFS(EmployeeData[[#This Row],[Age]]&lt;30,"20s",EmployeeData[[#This Row],[Age]]&lt;40,"30s",EmployeeData[[#This Row],[Age]]&lt;50,"40s",EmployeeData[[#This Row],[Age]]&lt;60,"50s",EmployeeData[[#This Row],[Age]]&gt;=60,"60s")</f>
        <v>50s</v>
      </c>
      <c r="G1042" s="5">
        <v>45680</v>
      </c>
      <c r="I1042" t="s">
        <v>17</v>
      </c>
      <c r="J1042" t="s">
        <v>18</v>
      </c>
      <c r="K1042" cm="1">
        <f t="array" aca="1" ref="K1042" ca="1">_xlfn.IFS(EmployeeData[[#This Row],[Status]]="Active",_xlfn.DAYS(TODAY(),EmployeeData[[#This Row],[Join Date]]),EmployeeData[[#This Row],[Status]]="Exited",_xlfn.DAYS(EmployeeData[[#This Row],[Exit Date]],EmployeeData[[#This Row],[Join Date]]))</f>
        <v>517</v>
      </c>
      <c r="L1042" cm="1">
        <f t="array" aca="1" ref="L1042" ca="1">_xlfn.IFS(EmployeeData[[#This Row],[Status]]="Exited",DATEDIF(EmployeeData[[#This Row],[Join Date]], EmployeeData[[#This Row],[Exit Date]], "Y"),EmployeeData[[#This Row],[Status]]="Active",DATEDIF(EmployeeData[[#This Row],[Join Date]], TODAY(), "Y"))</f>
        <v>1</v>
      </c>
      <c r="Q1042" t="str" cm="1">
        <f t="array" aca="1" ref="Q104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1 days</v>
      </c>
    </row>
    <row r="1043" spans="1:17" x14ac:dyDescent="0.3">
      <c r="A1043">
        <v>2042</v>
      </c>
      <c r="B1043" t="s">
        <v>508</v>
      </c>
      <c r="C1043" t="s">
        <v>10</v>
      </c>
      <c r="D1043" t="s">
        <v>11</v>
      </c>
      <c r="E1043">
        <v>26</v>
      </c>
      <c r="F1043" t="str" cm="1">
        <f t="array" ref="F1043">_xlfn.IFS(EmployeeData[[#This Row],[Age]]&lt;30,"20s",EmployeeData[[#This Row],[Age]]&lt;40,"30s",EmployeeData[[#This Row],[Age]]&lt;50,"40s",EmployeeData[[#This Row],[Age]]&lt;60,"50s",EmployeeData[[#This Row],[Age]]&gt;=60,"60s")</f>
        <v>20s</v>
      </c>
      <c r="G1043" s="5">
        <v>45132</v>
      </c>
      <c r="H1043" s="5">
        <v>45411</v>
      </c>
      <c r="I1043" t="s">
        <v>52</v>
      </c>
      <c r="J1043" t="s">
        <v>13</v>
      </c>
      <c r="K1043" cm="1">
        <f t="array" aca="1" ref="K1043" ca="1">_xlfn.IFS(EmployeeData[[#This Row],[Status]]="Active",_xlfn.DAYS(TODAY(),EmployeeData[[#This Row],[Join Date]]),EmployeeData[[#This Row],[Status]]="Exited",_xlfn.DAYS(EmployeeData[[#This Row],[Exit Date]],EmployeeData[[#This Row],[Join Date]]))</f>
        <v>279</v>
      </c>
      <c r="L1043" cm="1">
        <f t="array" aca="1" ref="L1043" ca="1">_xlfn.IFS(EmployeeData[[#This Row],[Status]]="Exited",DATEDIF(EmployeeData[[#This Row],[Join Date]], EmployeeData[[#This Row],[Exit Date]], "Y"),EmployeeData[[#This Row],[Status]]="Active",DATEDIF(EmployeeData[[#This Row],[Join Date]], TODAY(), "Y"))</f>
        <v>0</v>
      </c>
      <c r="Q1043" t="str" cm="1">
        <f t="array" aca="1" ref="Q104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9 months 4 days</v>
      </c>
    </row>
    <row r="1044" spans="1:17" x14ac:dyDescent="0.3">
      <c r="A1044">
        <v>2043</v>
      </c>
      <c r="B1044" t="s">
        <v>284</v>
      </c>
      <c r="C1044" t="s">
        <v>20</v>
      </c>
      <c r="D1044" t="s">
        <v>16</v>
      </c>
      <c r="E1044">
        <v>31</v>
      </c>
      <c r="F1044" t="str" cm="1">
        <f t="array" ref="F1044">_xlfn.IFS(EmployeeData[[#This Row],[Age]]&lt;30,"20s",EmployeeData[[#This Row],[Age]]&lt;40,"30s",EmployeeData[[#This Row],[Age]]&lt;50,"40s",EmployeeData[[#This Row],[Age]]&lt;60,"50s",EmployeeData[[#This Row],[Age]]&gt;=60,"60s")</f>
        <v>30s</v>
      </c>
      <c r="G1044" s="5">
        <v>43828</v>
      </c>
      <c r="I1044" t="s">
        <v>17</v>
      </c>
      <c r="J1044" t="s">
        <v>18</v>
      </c>
      <c r="K1044" cm="1">
        <f t="array" aca="1" ref="K1044" ca="1">_xlfn.IFS(EmployeeData[[#This Row],[Status]]="Active",_xlfn.DAYS(TODAY(),EmployeeData[[#This Row],[Join Date]]),EmployeeData[[#This Row],[Status]]="Exited",_xlfn.DAYS(EmployeeData[[#This Row],[Exit Date]],EmployeeData[[#This Row],[Join Date]]))</f>
        <v>2369</v>
      </c>
      <c r="L1044" cm="1">
        <f t="array" aca="1" ref="L1044" ca="1">_xlfn.IFS(EmployeeData[[#This Row],[Status]]="Exited",DATEDIF(EmployeeData[[#This Row],[Join Date]], EmployeeData[[#This Row],[Exit Date]], "Y"),EmployeeData[[#This Row],[Status]]="Active",DATEDIF(EmployeeData[[#This Row],[Join Date]], TODAY(), "Y"))</f>
        <v>6</v>
      </c>
      <c r="Q1044" t="str" cm="1">
        <f t="array" aca="1" ref="Q104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5 months 26 days</v>
      </c>
    </row>
    <row r="1045" spans="1:17" x14ac:dyDescent="0.3">
      <c r="A1045">
        <v>2044</v>
      </c>
      <c r="B1045" t="s">
        <v>412</v>
      </c>
      <c r="C1045" t="s">
        <v>10</v>
      </c>
      <c r="D1045" t="s">
        <v>11</v>
      </c>
      <c r="E1045">
        <v>46</v>
      </c>
      <c r="F1045" t="str" cm="1">
        <f t="array" ref="F1045">_xlfn.IFS(EmployeeData[[#This Row],[Age]]&lt;30,"20s",EmployeeData[[#This Row],[Age]]&lt;40,"30s",EmployeeData[[#This Row],[Age]]&lt;50,"40s",EmployeeData[[#This Row],[Age]]&lt;60,"50s",EmployeeData[[#This Row],[Age]]&gt;=60,"60s")</f>
        <v>40s</v>
      </c>
      <c r="G1045" s="5">
        <v>43511</v>
      </c>
      <c r="I1045" t="s">
        <v>17</v>
      </c>
      <c r="J1045" t="s">
        <v>18</v>
      </c>
      <c r="K1045" cm="1">
        <f t="array" aca="1" ref="K1045" ca="1">_xlfn.IFS(EmployeeData[[#This Row],[Status]]="Active",_xlfn.DAYS(TODAY(),EmployeeData[[#This Row],[Join Date]]),EmployeeData[[#This Row],[Status]]="Exited",_xlfn.DAYS(EmployeeData[[#This Row],[Exit Date]],EmployeeData[[#This Row],[Join Date]]))</f>
        <v>2686</v>
      </c>
      <c r="L1045" cm="1">
        <f t="array" aca="1" ref="L1045" ca="1">_xlfn.IFS(EmployeeData[[#This Row],[Status]]="Exited",DATEDIF(EmployeeData[[#This Row],[Join Date]], EmployeeData[[#This Row],[Exit Date]], "Y"),EmployeeData[[#This Row],[Status]]="Active",DATEDIF(EmployeeData[[#This Row],[Join Date]], TODAY(), "Y"))</f>
        <v>7</v>
      </c>
      <c r="Q1045" t="str" cm="1">
        <f t="array" aca="1" ref="Q104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9 days</v>
      </c>
    </row>
    <row r="1046" spans="1:17" x14ac:dyDescent="0.3">
      <c r="A1046">
        <v>2045</v>
      </c>
      <c r="B1046" t="s">
        <v>1088</v>
      </c>
      <c r="C1046" t="s">
        <v>15</v>
      </c>
      <c r="D1046" t="s">
        <v>16</v>
      </c>
      <c r="E1046">
        <v>45</v>
      </c>
      <c r="F1046" t="str" cm="1">
        <f t="array" ref="F1046">_xlfn.IFS(EmployeeData[[#This Row],[Age]]&lt;30,"20s",EmployeeData[[#This Row],[Age]]&lt;40,"30s",EmployeeData[[#This Row],[Age]]&lt;50,"40s",EmployeeData[[#This Row],[Age]]&lt;60,"50s",EmployeeData[[#This Row],[Age]]&gt;=60,"60s")</f>
        <v>40s</v>
      </c>
      <c r="G1046" s="5">
        <v>43185</v>
      </c>
      <c r="H1046" s="5">
        <v>43330</v>
      </c>
      <c r="I1046" t="s">
        <v>34</v>
      </c>
      <c r="J1046" t="s">
        <v>13</v>
      </c>
      <c r="K1046" cm="1">
        <f t="array" aca="1" ref="K1046" ca="1">_xlfn.IFS(EmployeeData[[#This Row],[Status]]="Active",_xlfn.DAYS(TODAY(),EmployeeData[[#This Row],[Join Date]]),EmployeeData[[#This Row],[Status]]="Exited",_xlfn.DAYS(EmployeeData[[#This Row],[Exit Date]],EmployeeData[[#This Row],[Join Date]]))</f>
        <v>145</v>
      </c>
      <c r="L1046" cm="1">
        <f t="array" aca="1" ref="L1046" ca="1">_xlfn.IFS(EmployeeData[[#This Row],[Status]]="Exited",DATEDIF(EmployeeData[[#This Row],[Join Date]], EmployeeData[[#This Row],[Exit Date]], "Y"),EmployeeData[[#This Row],[Status]]="Active",DATEDIF(EmployeeData[[#This Row],[Join Date]], TODAY(), "Y"))</f>
        <v>0</v>
      </c>
      <c r="Q1046" t="str" cm="1">
        <f t="array" aca="1" ref="Q104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4 months 23 days</v>
      </c>
    </row>
    <row r="1047" spans="1:17" x14ac:dyDescent="0.3">
      <c r="A1047">
        <v>2046</v>
      </c>
      <c r="B1047" t="s">
        <v>179</v>
      </c>
      <c r="C1047" t="s">
        <v>10</v>
      </c>
      <c r="D1047" t="s">
        <v>11</v>
      </c>
      <c r="E1047">
        <v>21</v>
      </c>
      <c r="F1047" t="str" cm="1">
        <f t="array" ref="F1047">_xlfn.IFS(EmployeeData[[#This Row],[Age]]&lt;30,"20s",EmployeeData[[#This Row],[Age]]&lt;40,"30s",EmployeeData[[#This Row],[Age]]&lt;50,"40s",EmployeeData[[#This Row],[Age]]&lt;60,"50s",EmployeeData[[#This Row],[Age]]&gt;=60,"60s")</f>
        <v>20s</v>
      </c>
      <c r="G1047" s="5">
        <v>43139</v>
      </c>
      <c r="I1047" t="s">
        <v>17</v>
      </c>
      <c r="J1047" t="s">
        <v>18</v>
      </c>
      <c r="K1047" cm="1">
        <f t="array" aca="1" ref="K1047" ca="1">_xlfn.IFS(EmployeeData[[#This Row],[Status]]="Active",_xlfn.DAYS(TODAY(),EmployeeData[[#This Row],[Join Date]]),EmployeeData[[#This Row],[Status]]="Exited",_xlfn.DAYS(EmployeeData[[#This Row],[Exit Date]],EmployeeData[[#This Row],[Join Date]]))</f>
        <v>3058</v>
      </c>
      <c r="L1047" cm="1">
        <f t="array" aca="1" ref="L1047" ca="1">_xlfn.IFS(EmployeeData[[#This Row],[Status]]="Exited",DATEDIF(EmployeeData[[#This Row],[Join Date]], EmployeeData[[#This Row],[Exit Date]], "Y"),EmployeeData[[#This Row],[Status]]="Active",DATEDIF(EmployeeData[[#This Row],[Join Date]], TODAY(), "Y"))</f>
        <v>8</v>
      </c>
      <c r="Q1047" t="str" cm="1">
        <f t="array" aca="1" ref="Q104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4 months 16 days</v>
      </c>
    </row>
    <row r="1048" spans="1:17" x14ac:dyDescent="0.3">
      <c r="A1048">
        <v>2047</v>
      </c>
      <c r="B1048" t="s">
        <v>487</v>
      </c>
      <c r="C1048" t="s">
        <v>10</v>
      </c>
      <c r="D1048" t="s">
        <v>11</v>
      </c>
      <c r="E1048">
        <v>33</v>
      </c>
      <c r="F1048" t="str" cm="1">
        <f t="array" ref="F1048">_xlfn.IFS(EmployeeData[[#This Row],[Age]]&lt;30,"20s",EmployeeData[[#This Row],[Age]]&lt;40,"30s",EmployeeData[[#This Row],[Age]]&lt;50,"40s",EmployeeData[[#This Row],[Age]]&lt;60,"50s",EmployeeData[[#This Row],[Age]]&gt;=60,"60s")</f>
        <v>30s</v>
      </c>
      <c r="G1048" s="5">
        <v>43671</v>
      </c>
      <c r="I1048" t="s">
        <v>17</v>
      </c>
      <c r="J1048" t="s">
        <v>18</v>
      </c>
      <c r="K1048" cm="1">
        <f t="array" aca="1" ref="K1048" ca="1">_xlfn.IFS(EmployeeData[[#This Row],[Status]]="Active",_xlfn.DAYS(TODAY(),EmployeeData[[#This Row],[Join Date]]),EmployeeData[[#This Row],[Status]]="Exited",_xlfn.DAYS(EmployeeData[[#This Row],[Exit Date]],EmployeeData[[#This Row],[Join Date]]))</f>
        <v>2526</v>
      </c>
      <c r="L1048" cm="1">
        <f t="array" aca="1" ref="L1048" ca="1">_xlfn.IFS(EmployeeData[[#This Row],[Status]]="Exited",DATEDIF(EmployeeData[[#This Row],[Join Date]], EmployeeData[[#This Row],[Exit Date]], "Y"),EmployeeData[[#This Row],[Status]]="Active",DATEDIF(EmployeeData[[#This Row],[Join Date]], TODAY(), "Y"))</f>
        <v>6</v>
      </c>
      <c r="Q1048" t="str" cm="1">
        <f t="array" aca="1" ref="Q104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10 months 30 days</v>
      </c>
    </row>
    <row r="1049" spans="1:17" x14ac:dyDescent="0.3">
      <c r="A1049">
        <v>2048</v>
      </c>
      <c r="B1049" t="s">
        <v>1001</v>
      </c>
      <c r="C1049" t="s">
        <v>10</v>
      </c>
      <c r="D1049" t="s">
        <v>24</v>
      </c>
      <c r="E1049">
        <v>36</v>
      </c>
      <c r="F1049" t="str" cm="1">
        <f t="array" ref="F1049">_xlfn.IFS(EmployeeData[[#This Row],[Age]]&lt;30,"20s",EmployeeData[[#This Row],[Age]]&lt;40,"30s",EmployeeData[[#This Row],[Age]]&lt;50,"40s",EmployeeData[[#This Row],[Age]]&lt;60,"50s",EmployeeData[[#This Row],[Age]]&gt;=60,"60s")</f>
        <v>30s</v>
      </c>
      <c r="G1049" s="5">
        <v>43329</v>
      </c>
      <c r="I1049" t="s">
        <v>17</v>
      </c>
      <c r="J1049" t="s">
        <v>18</v>
      </c>
      <c r="K1049" cm="1">
        <f t="array" aca="1" ref="K1049" ca="1">_xlfn.IFS(EmployeeData[[#This Row],[Status]]="Active",_xlfn.DAYS(TODAY(),EmployeeData[[#This Row],[Join Date]]),EmployeeData[[#This Row],[Status]]="Exited",_xlfn.DAYS(EmployeeData[[#This Row],[Exit Date]],EmployeeData[[#This Row],[Join Date]]))</f>
        <v>2868</v>
      </c>
      <c r="L1049" cm="1">
        <f t="array" aca="1" ref="L1049" ca="1">_xlfn.IFS(EmployeeData[[#This Row],[Status]]="Exited",DATEDIF(EmployeeData[[#This Row],[Join Date]], EmployeeData[[#This Row],[Exit Date]], "Y"),EmployeeData[[#This Row],[Status]]="Active",DATEDIF(EmployeeData[[#This Row],[Join Date]], TODAY(), "Y"))</f>
        <v>7</v>
      </c>
      <c r="Q1049" t="str" cm="1">
        <f t="array" aca="1" ref="Q104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10 months 7 days</v>
      </c>
    </row>
    <row r="1050" spans="1:17" x14ac:dyDescent="0.3">
      <c r="A1050">
        <v>2049</v>
      </c>
      <c r="B1050" t="s">
        <v>478</v>
      </c>
      <c r="C1050" t="s">
        <v>33</v>
      </c>
      <c r="D1050" t="s">
        <v>16</v>
      </c>
      <c r="E1050">
        <v>39</v>
      </c>
      <c r="F1050" t="str" cm="1">
        <f t="array" ref="F1050">_xlfn.IFS(EmployeeData[[#This Row],[Age]]&lt;30,"20s",EmployeeData[[#This Row],[Age]]&lt;40,"30s",EmployeeData[[#This Row],[Age]]&lt;50,"40s",EmployeeData[[#This Row],[Age]]&lt;60,"50s",EmployeeData[[#This Row],[Age]]&gt;=60,"60s")</f>
        <v>30s</v>
      </c>
      <c r="G1050" s="5">
        <v>43521</v>
      </c>
      <c r="I1050" t="s">
        <v>17</v>
      </c>
      <c r="J1050" t="s">
        <v>18</v>
      </c>
      <c r="K1050" cm="1">
        <f t="array" aca="1" ref="K1050" ca="1">_xlfn.IFS(EmployeeData[[#This Row],[Status]]="Active",_xlfn.DAYS(TODAY(),EmployeeData[[#This Row],[Join Date]]),EmployeeData[[#This Row],[Status]]="Exited",_xlfn.DAYS(EmployeeData[[#This Row],[Exit Date]],EmployeeData[[#This Row],[Join Date]]))</f>
        <v>2676</v>
      </c>
      <c r="L1050" cm="1">
        <f t="array" aca="1" ref="L1050" ca="1">_xlfn.IFS(EmployeeData[[#This Row],[Status]]="Exited",DATEDIF(EmployeeData[[#This Row],[Join Date]], EmployeeData[[#This Row],[Exit Date]], "Y"),EmployeeData[[#This Row],[Status]]="Active",DATEDIF(EmployeeData[[#This Row],[Join Date]], TODAY(), "Y"))</f>
        <v>7</v>
      </c>
      <c r="Q1050" t="str" cm="1">
        <f t="array" aca="1" ref="Q105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3 months 30 days</v>
      </c>
    </row>
    <row r="1051" spans="1:17" x14ac:dyDescent="0.3">
      <c r="A1051">
        <v>2050</v>
      </c>
      <c r="B1051" t="s">
        <v>816</v>
      </c>
      <c r="C1051" t="s">
        <v>15</v>
      </c>
      <c r="D1051" t="s">
        <v>24</v>
      </c>
      <c r="E1051">
        <v>30</v>
      </c>
      <c r="F1051" t="str" cm="1">
        <f t="array" ref="F1051">_xlfn.IFS(EmployeeData[[#This Row],[Age]]&lt;30,"20s",EmployeeData[[#This Row],[Age]]&lt;40,"30s",EmployeeData[[#This Row],[Age]]&lt;50,"40s",EmployeeData[[#This Row],[Age]]&lt;60,"50s",EmployeeData[[#This Row],[Age]]&gt;=60,"60s")</f>
        <v>30s</v>
      </c>
      <c r="G1051" s="5">
        <v>44548</v>
      </c>
      <c r="I1051" t="s">
        <v>17</v>
      </c>
      <c r="J1051" t="s">
        <v>18</v>
      </c>
      <c r="K1051" cm="1">
        <f t="array" aca="1" ref="K1051" ca="1">_xlfn.IFS(EmployeeData[[#This Row],[Status]]="Active",_xlfn.DAYS(TODAY(),EmployeeData[[#This Row],[Join Date]]),EmployeeData[[#This Row],[Status]]="Exited",_xlfn.DAYS(EmployeeData[[#This Row],[Exit Date]],EmployeeData[[#This Row],[Join Date]]))</f>
        <v>1649</v>
      </c>
      <c r="L1051" cm="1">
        <f t="array" aca="1" ref="L1051" ca="1">_xlfn.IFS(EmployeeData[[#This Row],[Status]]="Exited",DATEDIF(EmployeeData[[#This Row],[Join Date]], EmployeeData[[#This Row],[Exit Date]], "Y"),EmployeeData[[#This Row],[Status]]="Active",DATEDIF(EmployeeData[[#This Row],[Join Date]], TODAY(), "Y"))</f>
        <v>4</v>
      </c>
      <c r="Q1051" t="str" cm="1">
        <f t="array" aca="1" ref="Q105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6 months 6 days</v>
      </c>
    </row>
    <row r="1052" spans="1:17" x14ac:dyDescent="0.3">
      <c r="A1052">
        <v>2051</v>
      </c>
      <c r="B1052" t="s">
        <v>402</v>
      </c>
      <c r="C1052" t="s">
        <v>23</v>
      </c>
      <c r="D1052" t="s">
        <v>11</v>
      </c>
      <c r="E1052">
        <v>35</v>
      </c>
      <c r="F1052" t="str" cm="1">
        <f t="array" ref="F1052">_xlfn.IFS(EmployeeData[[#This Row],[Age]]&lt;30,"20s",EmployeeData[[#This Row],[Age]]&lt;40,"30s",EmployeeData[[#This Row],[Age]]&lt;50,"40s",EmployeeData[[#This Row],[Age]]&lt;60,"50s",EmployeeData[[#This Row],[Age]]&gt;=60,"60s")</f>
        <v>30s</v>
      </c>
      <c r="G1052" s="5">
        <v>43517</v>
      </c>
      <c r="I1052" t="s">
        <v>17</v>
      </c>
      <c r="J1052" t="s">
        <v>18</v>
      </c>
      <c r="K1052" cm="1">
        <f t="array" aca="1" ref="K1052" ca="1">_xlfn.IFS(EmployeeData[[#This Row],[Status]]="Active",_xlfn.DAYS(TODAY(),EmployeeData[[#This Row],[Join Date]]),EmployeeData[[#This Row],[Status]]="Exited",_xlfn.DAYS(EmployeeData[[#This Row],[Exit Date]],EmployeeData[[#This Row],[Join Date]]))</f>
        <v>2680</v>
      </c>
      <c r="L1052" cm="1">
        <f t="array" aca="1" ref="L1052" ca="1">_xlfn.IFS(EmployeeData[[#This Row],[Status]]="Exited",DATEDIF(EmployeeData[[#This Row],[Join Date]], EmployeeData[[#This Row],[Exit Date]], "Y"),EmployeeData[[#This Row],[Status]]="Active",DATEDIF(EmployeeData[[#This Row],[Join Date]], TODAY(), "Y"))</f>
        <v>7</v>
      </c>
      <c r="Q1052" t="str" cm="1">
        <f t="array" aca="1" ref="Q105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4 months 3 days</v>
      </c>
    </row>
    <row r="1053" spans="1:17" x14ac:dyDescent="0.3">
      <c r="A1053">
        <v>2052</v>
      </c>
      <c r="B1053" t="s">
        <v>449</v>
      </c>
      <c r="C1053" t="s">
        <v>15</v>
      </c>
      <c r="D1053" t="s">
        <v>11</v>
      </c>
      <c r="E1053">
        <v>26</v>
      </c>
      <c r="F1053" t="str" cm="1">
        <f t="array" ref="F1053">_xlfn.IFS(EmployeeData[[#This Row],[Age]]&lt;30,"20s",EmployeeData[[#This Row],[Age]]&lt;40,"30s",EmployeeData[[#This Row],[Age]]&lt;50,"40s",EmployeeData[[#This Row],[Age]]&lt;60,"50s",EmployeeData[[#This Row],[Age]]&gt;=60,"60s")</f>
        <v>20s</v>
      </c>
      <c r="G1053" s="5">
        <v>43278</v>
      </c>
      <c r="I1053" t="s">
        <v>17</v>
      </c>
      <c r="J1053" t="s">
        <v>18</v>
      </c>
      <c r="K1053" cm="1">
        <f t="array" aca="1" ref="K1053" ca="1">_xlfn.IFS(EmployeeData[[#This Row],[Status]]="Active",_xlfn.DAYS(TODAY(),EmployeeData[[#This Row],[Join Date]]),EmployeeData[[#This Row],[Status]]="Exited",_xlfn.DAYS(EmployeeData[[#This Row],[Exit Date]],EmployeeData[[#This Row],[Join Date]]))</f>
        <v>2919</v>
      </c>
      <c r="L1053" cm="1">
        <f t="array" aca="1" ref="L1053" ca="1">_xlfn.IFS(EmployeeData[[#This Row],[Status]]="Exited",DATEDIF(EmployeeData[[#This Row],[Join Date]], EmployeeData[[#This Row],[Exit Date]], "Y"),EmployeeData[[#This Row],[Status]]="Active",DATEDIF(EmployeeData[[#This Row],[Join Date]], TODAY(), "Y"))</f>
        <v>7</v>
      </c>
      <c r="Q1053" t="str" cm="1">
        <f t="array" aca="1" ref="Q105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11 months 28 days</v>
      </c>
    </row>
    <row r="1054" spans="1:17" x14ac:dyDescent="0.3">
      <c r="A1054">
        <v>2053</v>
      </c>
      <c r="B1054" t="s">
        <v>874</v>
      </c>
      <c r="C1054" t="s">
        <v>20</v>
      </c>
      <c r="D1054" t="s">
        <v>16</v>
      </c>
      <c r="E1054">
        <v>40</v>
      </c>
      <c r="F1054" t="str" cm="1">
        <f t="array" ref="F1054">_xlfn.IFS(EmployeeData[[#This Row],[Age]]&lt;30,"20s",EmployeeData[[#This Row],[Age]]&lt;40,"30s",EmployeeData[[#This Row],[Age]]&lt;50,"40s",EmployeeData[[#This Row],[Age]]&lt;60,"50s",EmployeeData[[#This Row],[Age]]&gt;=60,"60s")</f>
        <v>40s</v>
      </c>
      <c r="G1054" s="5">
        <v>45660</v>
      </c>
      <c r="I1054" t="s">
        <v>17</v>
      </c>
      <c r="J1054" t="s">
        <v>18</v>
      </c>
      <c r="K1054" cm="1">
        <f t="array" aca="1" ref="K1054" ca="1">_xlfn.IFS(EmployeeData[[#This Row],[Status]]="Active",_xlfn.DAYS(TODAY(),EmployeeData[[#This Row],[Join Date]]),EmployeeData[[#This Row],[Status]]="Exited",_xlfn.DAYS(EmployeeData[[#This Row],[Exit Date]],EmployeeData[[#This Row],[Join Date]]))</f>
        <v>537</v>
      </c>
      <c r="L1054" cm="1">
        <f t="array" aca="1" ref="L1054" ca="1">_xlfn.IFS(EmployeeData[[#This Row],[Status]]="Exited",DATEDIF(EmployeeData[[#This Row],[Join Date]], EmployeeData[[#This Row],[Exit Date]], "Y"),EmployeeData[[#This Row],[Status]]="Active",DATEDIF(EmployeeData[[#This Row],[Join Date]], TODAY(), "Y"))</f>
        <v>1</v>
      </c>
      <c r="Q1054" t="str" cm="1">
        <f t="array" aca="1" ref="Q105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5 months 21 days</v>
      </c>
    </row>
    <row r="1055" spans="1:17" x14ac:dyDescent="0.3">
      <c r="A1055">
        <v>2054</v>
      </c>
      <c r="B1055" t="s">
        <v>408</v>
      </c>
      <c r="C1055" t="s">
        <v>20</v>
      </c>
      <c r="D1055" t="s">
        <v>11</v>
      </c>
      <c r="E1055">
        <v>25</v>
      </c>
      <c r="F1055" t="str" cm="1">
        <f t="array" ref="F1055">_xlfn.IFS(EmployeeData[[#This Row],[Age]]&lt;30,"20s",EmployeeData[[#This Row],[Age]]&lt;40,"30s",EmployeeData[[#This Row],[Age]]&lt;50,"40s",EmployeeData[[#This Row],[Age]]&lt;60,"50s",EmployeeData[[#This Row],[Age]]&gt;=60,"60s")</f>
        <v>20s</v>
      </c>
      <c r="G1055" s="5">
        <v>43109</v>
      </c>
      <c r="I1055" t="s">
        <v>17</v>
      </c>
      <c r="J1055" t="s">
        <v>18</v>
      </c>
      <c r="K1055" cm="1">
        <f t="array" aca="1" ref="K1055" ca="1">_xlfn.IFS(EmployeeData[[#This Row],[Status]]="Active",_xlfn.DAYS(TODAY(),EmployeeData[[#This Row],[Join Date]]),EmployeeData[[#This Row],[Status]]="Exited",_xlfn.DAYS(EmployeeData[[#This Row],[Exit Date]],EmployeeData[[#This Row],[Join Date]]))</f>
        <v>3088</v>
      </c>
      <c r="L1055" cm="1">
        <f t="array" aca="1" ref="L1055" ca="1">_xlfn.IFS(EmployeeData[[#This Row],[Status]]="Exited",DATEDIF(EmployeeData[[#This Row],[Join Date]], EmployeeData[[#This Row],[Exit Date]], "Y"),EmployeeData[[#This Row],[Status]]="Active",DATEDIF(EmployeeData[[#This Row],[Join Date]], TODAY(), "Y"))</f>
        <v>8</v>
      </c>
      <c r="Q1055" t="str" cm="1">
        <f t="array" aca="1" ref="Q105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8 years 5 months 15 days</v>
      </c>
    </row>
    <row r="1056" spans="1:17" x14ac:dyDescent="0.3">
      <c r="A1056">
        <v>2055</v>
      </c>
      <c r="B1056" t="s">
        <v>210</v>
      </c>
      <c r="C1056" t="s">
        <v>10</v>
      </c>
      <c r="D1056" t="s">
        <v>11</v>
      </c>
      <c r="E1056">
        <v>51</v>
      </c>
      <c r="F1056" t="str" cm="1">
        <f t="array" ref="F1056">_xlfn.IFS(EmployeeData[[#This Row],[Age]]&lt;30,"20s",EmployeeData[[#This Row],[Age]]&lt;40,"30s",EmployeeData[[#This Row],[Age]]&lt;50,"40s",EmployeeData[[#This Row],[Age]]&lt;60,"50s",EmployeeData[[#This Row],[Age]]&gt;=60,"60s")</f>
        <v>50s</v>
      </c>
      <c r="G1056" s="5">
        <v>43376</v>
      </c>
      <c r="H1056" s="5">
        <v>45216</v>
      </c>
      <c r="I1056" t="s">
        <v>21</v>
      </c>
      <c r="J1056" t="s">
        <v>13</v>
      </c>
      <c r="K1056" cm="1">
        <f t="array" aca="1" ref="K1056" ca="1">_xlfn.IFS(EmployeeData[[#This Row],[Status]]="Active",_xlfn.DAYS(TODAY(),EmployeeData[[#This Row],[Join Date]]),EmployeeData[[#This Row],[Status]]="Exited",_xlfn.DAYS(EmployeeData[[#This Row],[Exit Date]],EmployeeData[[#This Row],[Join Date]]))</f>
        <v>1840</v>
      </c>
      <c r="L1056" cm="1">
        <f t="array" aca="1" ref="L1056" ca="1">_xlfn.IFS(EmployeeData[[#This Row],[Status]]="Exited",DATEDIF(EmployeeData[[#This Row],[Join Date]], EmployeeData[[#This Row],[Exit Date]], "Y"),EmployeeData[[#This Row],[Status]]="Active",DATEDIF(EmployeeData[[#This Row],[Join Date]], TODAY(), "Y"))</f>
        <v>5</v>
      </c>
      <c r="Q1056" t="str" cm="1">
        <f t="array" aca="1" ref="Q105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14 days</v>
      </c>
    </row>
    <row r="1057" spans="1:17" x14ac:dyDescent="0.3">
      <c r="A1057">
        <v>2056</v>
      </c>
      <c r="B1057" t="s">
        <v>153</v>
      </c>
      <c r="C1057" t="s">
        <v>15</v>
      </c>
      <c r="D1057" t="s">
        <v>24</v>
      </c>
      <c r="E1057">
        <v>41</v>
      </c>
      <c r="F1057" t="str" cm="1">
        <f t="array" ref="F1057">_xlfn.IFS(EmployeeData[[#This Row],[Age]]&lt;30,"20s",EmployeeData[[#This Row],[Age]]&lt;40,"30s",EmployeeData[[#This Row],[Age]]&lt;50,"40s",EmployeeData[[#This Row],[Age]]&lt;60,"50s",EmployeeData[[#This Row],[Age]]&gt;=60,"60s")</f>
        <v>40s</v>
      </c>
      <c r="G1057" s="5">
        <v>45125</v>
      </c>
      <c r="I1057" t="s">
        <v>17</v>
      </c>
      <c r="J1057" t="s">
        <v>18</v>
      </c>
      <c r="K1057" cm="1">
        <f t="array" aca="1" ref="K1057" ca="1">_xlfn.IFS(EmployeeData[[#This Row],[Status]]="Active",_xlfn.DAYS(TODAY(),EmployeeData[[#This Row],[Join Date]]),EmployeeData[[#This Row],[Status]]="Exited",_xlfn.DAYS(EmployeeData[[#This Row],[Exit Date]],EmployeeData[[#This Row],[Join Date]]))</f>
        <v>1072</v>
      </c>
      <c r="L1057" cm="1">
        <f t="array" aca="1" ref="L1057" ca="1">_xlfn.IFS(EmployeeData[[#This Row],[Status]]="Exited",DATEDIF(EmployeeData[[#This Row],[Join Date]], EmployeeData[[#This Row],[Exit Date]], "Y"),EmployeeData[[#This Row],[Status]]="Active",DATEDIF(EmployeeData[[#This Row],[Join Date]], TODAY(), "Y"))</f>
        <v>2</v>
      </c>
      <c r="Q1057" t="str" cm="1">
        <f t="array" aca="1" ref="Q105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11 months 6 days</v>
      </c>
    </row>
    <row r="1058" spans="1:17" x14ac:dyDescent="0.3">
      <c r="A1058">
        <v>2057</v>
      </c>
      <c r="B1058" t="s">
        <v>804</v>
      </c>
      <c r="C1058" t="s">
        <v>10</v>
      </c>
      <c r="D1058" t="s">
        <v>11</v>
      </c>
      <c r="E1058">
        <v>36</v>
      </c>
      <c r="F1058" t="str" cm="1">
        <f t="array" ref="F1058">_xlfn.IFS(EmployeeData[[#This Row],[Age]]&lt;30,"20s",EmployeeData[[#This Row],[Age]]&lt;40,"30s",EmployeeData[[#This Row],[Age]]&lt;50,"40s",EmployeeData[[#This Row],[Age]]&lt;60,"50s",EmployeeData[[#This Row],[Age]]&gt;=60,"60s")</f>
        <v>30s</v>
      </c>
      <c r="G1058" s="5">
        <v>44670</v>
      </c>
      <c r="I1058" t="s">
        <v>17</v>
      </c>
      <c r="J1058" t="s">
        <v>18</v>
      </c>
      <c r="K1058" cm="1">
        <f t="array" aca="1" ref="K1058" ca="1">_xlfn.IFS(EmployeeData[[#This Row],[Status]]="Active",_xlfn.DAYS(TODAY(),EmployeeData[[#This Row],[Join Date]]),EmployeeData[[#This Row],[Status]]="Exited",_xlfn.DAYS(EmployeeData[[#This Row],[Exit Date]],EmployeeData[[#This Row],[Join Date]]))</f>
        <v>1527</v>
      </c>
      <c r="L1058" cm="1">
        <f t="array" aca="1" ref="L1058" ca="1">_xlfn.IFS(EmployeeData[[#This Row],[Status]]="Exited",DATEDIF(EmployeeData[[#This Row],[Join Date]], EmployeeData[[#This Row],[Exit Date]], "Y"),EmployeeData[[#This Row],[Status]]="Active",DATEDIF(EmployeeData[[#This Row],[Join Date]], TODAY(), "Y"))</f>
        <v>4</v>
      </c>
      <c r="Q1058" t="str" cm="1">
        <f t="array" aca="1" ref="Q105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5 days</v>
      </c>
    </row>
    <row r="1059" spans="1:17" x14ac:dyDescent="0.3">
      <c r="A1059">
        <v>2058</v>
      </c>
      <c r="B1059" t="s">
        <v>833</v>
      </c>
      <c r="C1059" t="s">
        <v>10</v>
      </c>
      <c r="D1059" t="s">
        <v>24</v>
      </c>
      <c r="E1059">
        <v>47</v>
      </c>
      <c r="F1059" t="str" cm="1">
        <f t="array" ref="F1059">_xlfn.IFS(EmployeeData[[#This Row],[Age]]&lt;30,"20s",EmployeeData[[#This Row],[Age]]&lt;40,"30s",EmployeeData[[#This Row],[Age]]&lt;50,"40s",EmployeeData[[#This Row],[Age]]&lt;60,"50s",EmployeeData[[#This Row],[Age]]&gt;=60,"60s")</f>
        <v>40s</v>
      </c>
      <c r="G1059" s="5">
        <v>45259</v>
      </c>
      <c r="I1059" t="s">
        <v>17</v>
      </c>
      <c r="J1059" t="s">
        <v>18</v>
      </c>
      <c r="K1059" cm="1">
        <f t="array" aca="1" ref="K1059" ca="1">_xlfn.IFS(EmployeeData[[#This Row],[Status]]="Active",_xlfn.DAYS(TODAY(),EmployeeData[[#This Row],[Join Date]]),EmployeeData[[#This Row],[Status]]="Exited",_xlfn.DAYS(EmployeeData[[#This Row],[Exit Date]],EmployeeData[[#This Row],[Join Date]]))</f>
        <v>938</v>
      </c>
      <c r="L1059" cm="1">
        <f t="array" aca="1" ref="L1059" ca="1">_xlfn.IFS(EmployeeData[[#This Row],[Status]]="Exited",DATEDIF(EmployeeData[[#This Row],[Join Date]], EmployeeData[[#This Row],[Exit Date]], "Y"),EmployeeData[[#This Row],[Status]]="Active",DATEDIF(EmployeeData[[#This Row],[Join Date]], TODAY(), "Y"))</f>
        <v>2</v>
      </c>
      <c r="Q1059" t="str" cm="1">
        <f t="array" aca="1" ref="Q105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26 days</v>
      </c>
    </row>
    <row r="1060" spans="1:17" x14ac:dyDescent="0.3">
      <c r="A1060">
        <v>2059</v>
      </c>
      <c r="B1060" t="s">
        <v>989</v>
      </c>
      <c r="C1060" t="s">
        <v>15</v>
      </c>
      <c r="D1060" t="s">
        <v>11</v>
      </c>
      <c r="E1060">
        <v>22</v>
      </c>
      <c r="F1060" t="str" cm="1">
        <f t="array" ref="F1060">_xlfn.IFS(EmployeeData[[#This Row],[Age]]&lt;30,"20s",EmployeeData[[#This Row],[Age]]&lt;40,"30s",EmployeeData[[#This Row],[Age]]&lt;50,"40s",EmployeeData[[#This Row],[Age]]&lt;60,"50s",EmployeeData[[#This Row],[Age]]&gt;=60,"60s")</f>
        <v>20s</v>
      </c>
      <c r="G1060" s="5">
        <v>44585</v>
      </c>
      <c r="I1060" t="s">
        <v>17</v>
      </c>
      <c r="J1060" t="s">
        <v>18</v>
      </c>
      <c r="K1060" cm="1">
        <f t="array" aca="1" ref="K1060" ca="1">_xlfn.IFS(EmployeeData[[#This Row],[Status]]="Active",_xlfn.DAYS(TODAY(),EmployeeData[[#This Row],[Join Date]]),EmployeeData[[#This Row],[Status]]="Exited",_xlfn.DAYS(EmployeeData[[#This Row],[Exit Date]],EmployeeData[[#This Row],[Join Date]]))</f>
        <v>1612</v>
      </c>
      <c r="L1060" cm="1">
        <f t="array" aca="1" ref="L1060" ca="1">_xlfn.IFS(EmployeeData[[#This Row],[Status]]="Exited",DATEDIF(EmployeeData[[#This Row],[Join Date]], EmployeeData[[#This Row],[Exit Date]], "Y"),EmployeeData[[#This Row],[Status]]="Active",DATEDIF(EmployeeData[[#This Row],[Join Date]], TODAY(), "Y"))</f>
        <v>4</v>
      </c>
      <c r="Q1060" t="str" cm="1">
        <f t="array" aca="1" ref="Q106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0 days</v>
      </c>
    </row>
    <row r="1061" spans="1:17" x14ac:dyDescent="0.3">
      <c r="A1061">
        <v>2060</v>
      </c>
      <c r="B1061" t="s">
        <v>1097</v>
      </c>
      <c r="C1061" t="s">
        <v>10</v>
      </c>
      <c r="D1061" t="s">
        <v>11</v>
      </c>
      <c r="E1061">
        <v>29</v>
      </c>
      <c r="F1061" t="str" cm="1">
        <f t="array" ref="F1061">_xlfn.IFS(EmployeeData[[#This Row],[Age]]&lt;30,"20s",EmployeeData[[#This Row],[Age]]&lt;40,"30s",EmployeeData[[#This Row],[Age]]&lt;50,"40s",EmployeeData[[#This Row],[Age]]&lt;60,"50s",EmployeeData[[#This Row],[Age]]&gt;=60,"60s")</f>
        <v>20s</v>
      </c>
      <c r="G1061" s="5">
        <v>44308</v>
      </c>
      <c r="I1061" t="s">
        <v>17</v>
      </c>
      <c r="J1061" t="s">
        <v>18</v>
      </c>
      <c r="K1061" cm="1">
        <f t="array" aca="1" ref="K1061" ca="1">_xlfn.IFS(EmployeeData[[#This Row],[Status]]="Active",_xlfn.DAYS(TODAY(),EmployeeData[[#This Row],[Join Date]]),EmployeeData[[#This Row],[Status]]="Exited",_xlfn.DAYS(EmployeeData[[#This Row],[Exit Date]],EmployeeData[[#This Row],[Join Date]]))</f>
        <v>1889</v>
      </c>
      <c r="L1061" cm="1">
        <f t="array" aca="1" ref="L1061" ca="1">_xlfn.IFS(EmployeeData[[#This Row],[Status]]="Exited",DATEDIF(EmployeeData[[#This Row],[Join Date]], EmployeeData[[#This Row],[Exit Date]], "Y"),EmployeeData[[#This Row],[Status]]="Active",DATEDIF(EmployeeData[[#This Row],[Join Date]], TODAY(), "Y"))</f>
        <v>5</v>
      </c>
      <c r="Q1061" t="str" cm="1">
        <f t="array" aca="1" ref="Q106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2 months 2 days</v>
      </c>
    </row>
    <row r="1062" spans="1:17" x14ac:dyDescent="0.3">
      <c r="A1062">
        <v>2061</v>
      </c>
      <c r="B1062" t="s">
        <v>843</v>
      </c>
      <c r="C1062" t="s">
        <v>15</v>
      </c>
      <c r="D1062" t="s">
        <v>16</v>
      </c>
      <c r="E1062">
        <v>30</v>
      </c>
      <c r="F1062" t="str" cm="1">
        <f t="array" ref="F1062">_xlfn.IFS(EmployeeData[[#This Row],[Age]]&lt;30,"20s",EmployeeData[[#This Row],[Age]]&lt;40,"30s",EmployeeData[[#This Row],[Age]]&lt;50,"40s",EmployeeData[[#This Row],[Age]]&lt;60,"50s",EmployeeData[[#This Row],[Age]]&gt;=60,"60s")</f>
        <v>30s</v>
      </c>
      <c r="G1062" s="5">
        <v>44647</v>
      </c>
      <c r="I1062" t="s">
        <v>17</v>
      </c>
      <c r="J1062" t="s">
        <v>18</v>
      </c>
      <c r="K1062" cm="1">
        <f t="array" aca="1" ref="K1062" ca="1">_xlfn.IFS(EmployeeData[[#This Row],[Status]]="Active",_xlfn.DAYS(TODAY(),EmployeeData[[#This Row],[Join Date]]),EmployeeData[[#This Row],[Status]]="Exited",_xlfn.DAYS(EmployeeData[[#This Row],[Exit Date]],EmployeeData[[#This Row],[Join Date]]))</f>
        <v>1550</v>
      </c>
      <c r="L1062" cm="1">
        <f t="array" aca="1" ref="L1062" ca="1">_xlfn.IFS(EmployeeData[[#This Row],[Status]]="Exited",DATEDIF(EmployeeData[[#This Row],[Join Date]], EmployeeData[[#This Row],[Exit Date]], "Y"),EmployeeData[[#This Row],[Status]]="Active",DATEDIF(EmployeeData[[#This Row],[Join Date]], TODAY(), "Y"))</f>
        <v>4</v>
      </c>
      <c r="Q1062" t="str" cm="1">
        <f t="array" aca="1" ref="Q106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2 months 28 days</v>
      </c>
    </row>
    <row r="1063" spans="1:17" x14ac:dyDescent="0.3">
      <c r="A1063">
        <v>2062</v>
      </c>
      <c r="B1063" t="s">
        <v>1034</v>
      </c>
      <c r="C1063" t="s">
        <v>20</v>
      </c>
      <c r="D1063" t="s">
        <v>16</v>
      </c>
      <c r="E1063">
        <v>31</v>
      </c>
      <c r="F1063" t="str" cm="1">
        <f t="array" ref="F1063">_xlfn.IFS(EmployeeData[[#This Row],[Age]]&lt;30,"20s",EmployeeData[[#This Row],[Age]]&lt;40,"30s",EmployeeData[[#This Row],[Age]]&lt;50,"40s",EmployeeData[[#This Row],[Age]]&lt;60,"50s",EmployeeData[[#This Row],[Age]]&gt;=60,"60s")</f>
        <v>30s</v>
      </c>
      <c r="G1063" s="5">
        <v>43224</v>
      </c>
      <c r="H1063" s="5">
        <v>43892</v>
      </c>
      <c r="I1063" t="s">
        <v>31</v>
      </c>
      <c r="J1063" t="s">
        <v>13</v>
      </c>
      <c r="K1063" cm="1">
        <f t="array" aca="1" ref="K1063" ca="1">_xlfn.IFS(EmployeeData[[#This Row],[Status]]="Active",_xlfn.DAYS(TODAY(),EmployeeData[[#This Row],[Join Date]]),EmployeeData[[#This Row],[Status]]="Exited",_xlfn.DAYS(EmployeeData[[#This Row],[Exit Date]],EmployeeData[[#This Row],[Join Date]]))</f>
        <v>668</v>
      </c>
      <c r="L1063" cm="1">
        <f t="array" aca="1" ref="L1063" ca="1">_xlfn.IFS(EmployeeData[[#This Row],[Status]]="Exited",DATEDIF(EmployeeData[[#This Row],[Join Date]], EmployeeData[[#This Row],[Exit Date]], "Y"),EmployeeData[[#This Row],[Status]]="Active",DATEDIF(EmployeeData[[#This Row],[Join Date]], TODAY(), "Y"))</f>
        <v>1</v>
      </c>
      <c r="Q1063" t="str" cm="1">
        <f t="array" aca="1" ref="Q106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9 months 27 days</v>
      </c>
    </row>
    <row r="1064" spans="1:17" x14ac:dyDescent="0.3">
      <c r="A1064">
        <v>2063</v>
      </c>
      <c r="B1064" t="s">
        <v>534</v>
      </c>
      <c r="C1064" t="s">
        <v>15</v>
      </c>
      <c r="D1064" t="s">
        <v>16</v>
      </c>
      <c r="E1064">
        <v>29</v>
      </c>
      <c r="F1064" t="str" cm="1">
        <f t="array" ref="F1064">_xlfn.IFS(EmployeeData[[#This Row],[Age]]&lt;30,"20s",EmployeeData[[#This Row],[Age]]&lt;40,"30s",EmployeeData[[#This Row],[Age]]&lt;50,"40s",EmployeeData[[#This Row],[Age]]&lt;60,"50s",EmployeeData[[#This Row],[Age]]&gt;=60,"60s")</f>
        <v>20s</v>
      </c>
      <c r="G1064" s="5">
        <v>45261</v>
      </c>
      <c r="I1064" t="s">
        <v>17</v>
      </c>
      <c r="J1064" t="s">
        <v>18</v>
      </c>
      <c r="K1064" cm="1">
        <f t="array" aca="1" ref="K1064" ca="1">_xlfn.IFS(EmployeeData[[#This Row],[Status]]="Active",_xlfn.DAYS(TODAY(),EmployeeData[[#This Row],[Join Date]]),EmployeeData[[#This Row],[Status]]="Exited",_xlfn.DAYS(EmployeeData[[#This Row],[Exit Date]],EmployeeData[[#This Row],[Join Date]]))</f>
        <v>936</v>
      </c>
      <c r="L1064" cm="1">
        <f t="array" aca="1" ref="L1064" ca="1">_xlfn.IFS(EmployeeData[[#This Row],[Status]]="Exited",DATEDIF(EmployeeData[[#This Row],[Join Date]], EmployeeData[[#This Row],[Exit Date]], "Y"),EmployeeData[[#This Row],[Status]]="Active",DATEDIF(EmployeeData[[#This Row],[Join Date]], TODAY(), "Y"))</f>
        <v>2</v>
      </c>
      <c r="Q1064" t="str" cm="1">
        <f t="array" aca="1" ref="Q106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6 months 23 days</v>
      </c>
    </row>
    <row r="1065" spans="1:17" x14ac:dyDescent="0.3">
      <c r="A1065">
        <v>2064</v>
      </c>
      <c r="B1065" t="s">
        <v>847</v>
      </c>
      <c r="C1065" t="s">
        <v>10</v>
      </c>
      <c r="D1065" t="s">
        <v>24</v>
      </c>
      <c r="E1065">
        <v>21</v>
      </c>
      <c r="F1065" t="str" cm="1">
        <f t="array" ref="F1065">_xlfn.IFS(EmployeeData[[#This Row],[Age]]&lt;30,"20s",EmployeeData[[#This Row],[Age]]&lt;40,"30s",EmployeeData[[#This Row],[Age]]&lt;50,"40s",EmployeeData[[#This Row],[Age]]&lt;60,"50s",EmployeeData[[#This Row],[Age]]&gt;=60,"60s")</f>
        <v>20s</v>
      </c>
      <c r="G1065" s="5">
        <v>44275</v>
      </c>
      <c r="H1065" s="5">
        <v>44487</v>
      </c>
      <c r="I1065" t="s">
        <v>52</v>
      </c>
      <c r="J1065" t="s">
        <v>13</v>
      </c>
      <c r="K1065" cm="1">
        <f t="array" aca="1" ref="K1065" ca="1">_xlfn.IFS(EmployeeData[[#This Row],[Status]]="Active",_xlfn.DAYS(TODAY(),EmployeeData[[#This Row],[Join Date]]),EmployeeData[[#This Row],[Status]]="Exited",_xlfn.DAYS(EmployeeData[[#This Row],[Exit Date]],EmployeeData[[#This Row],[Join Date]]))</f>
        <v>212</v>
      </c>
      <c r="L1065" cm="1">
        <f t="array" aca="1" ref="L1065" ca="1">_xlfn.IFS(EmployeeData[[#This Row],[Status]]="Exited",DATEDIF(EmployeeData[[#This Row],[Join Date]], EmployeeData[[#This Row],[Exit Date]], "Y"),EmployeeData[[#This Row],[Status]]="Active",DATEDIF(EmployeeData[[#This Row],[Join Date]], TODAY(), "Y"))</f>
        <v>0</v>
      </c>
      <c r="Q1065" t="str" cm="1">
        <f t="array" aca="1" ref="Q106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6 months 28 days</v>
      </c>
    </row>
    <row r="1066" spans="1:17" x14ac:dyDescent="0.3">
      <c r="A1066">
        <v>2065</v>
      </c>
      <c r="B1066" t="s">
        <v>641</v>
      </c>
      <c r="C1066" t="s">
        <v>23</v>
      </c>
      <c r="D1066" t="s">
        <v>16</v>
      </c>
      <c r="E1066">
        <v>48</v>
      </c>
      <c r="F1066" t="str" cm="1">
        <f t="array" ref="F1066">_xlfn.IFS(EmployeeData[[#This Row],[Age]]&lt;30,"20s",EmployeeData[[#This Row],[Age]]&lt;40,"30s",EmployeeData[[#This Row],[Age]]&lt;50,"40s",EmployeeData[[#This Row],[Age]]&lt;60,"50s",EmployeeData[[#This Row],[Age]]&gt;=60,"60s")</f>
        <v>40s</v>
      </c>
      <c r="G1066" s="5">
        <v>45885</v>
      </c>
      <c r="I1066" t="s">
        <v>17</v>
      </c>
      <c r="J1066" t="s">
        <v>18</v>
      </c>
      <c r="K1066" cm="1">
        <f t="array" aca="1" ref="K1066" ca="1">_xlfn.IFS(EmployeeData[[#This Row],[Status]]="Active",_xlfn.DAYS(TODAY(),EmployeeData[[#This Row],[Join Date]]),EmployeeData[[#This Row],[Status]]="Exited",_xlfn.DAYS(EmployeeData[[#This Row],[Exit Date]],EmployeeData[[#This Row],[Join Date]]))</f>
        <v>312</v>
      </c>
      <c r="L1066" cm="1">
        <f t="array" aca="1" ref="L1066" ca="1">_xlfn.IFS(EmployeeData[[#This Row],[Status]]="Exited",DATEDIF(EmployeeData[[#This Row],[Join Date]], EmployeeData[[#This Row],[Exit Date]], "Y"),EmployeeData[[#This Row],[Status]]="Active",DATEDIF(EmployeeData[[#This Row],[Join Date]], TODAY(), "Y"))</f>
        <v>0</v>
      </c>
      <c r="Q1066" t="str" cm="1">
        <f t="array" aca="1" ref="Q106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0 years 10 months 8 days</v>
      </c>
    </row>
    <row r="1067" spans="1:17" x14ac:dyDescent="0.3">
      <c r="A1067">
        <v>2066</v>
      </c>
      <c r="B1067" t="s">
        <v>912</v>
      </c>
      <c r="C1067" t="s">
        <v>10</v>
      </c>
      <c r="D1067" t="s">
        <v>24</v>
      </c>
      <c r="E1067">
        <v>40</v>
      </c>
      <c r="F1067" t="str" cm="1">
        <f t="array" ref="F1067">_xlfn.IFS(EmployeeData[[#This Row],[Age]]&lt;30,"20s",EmployeeData[[#This Row],[Age]]&lt;40,"30s",EmployeeData[[#This Row],[Age]]&lt;50,"40s",EmployeeData[[#This Row],[Age]]&lt;60,"50s",EmployeeData[[#This Row],[Age]]&gt;=60,"60s")</f>
        <v>40s</v>
      </c>
      <c r="G1067" s="5">
        <v>44032</v>
      </c>
      <c r="I1067" t="s">
        <v>17</v>
      </c>
      <c r="J1067" t="s">
        <v>18</v>
      </c>
      <c r="K1067" cm="1">
        <f t="array" aca="1" ref="K1067" ca="1">_xlfn.IFS(EmployeeData[[#This Row],[Status]]="Active",_xlfn.DAYS(TODAY(),EmployeeData[[#This Row],[Join Date]]),EmployeeData[[#This Row],[Status]]="Exited",_xlfn.DAYS(EmployeeData[[#This Row],[Exit Date]],EmployeeData[[#This Row],[Join Date]]))</f>
        <v>2165</v>
      </c>
      <c r="L1067" cm="1">
        <f t="array" aca="1" ref="L1067" ca="1">_xlfn.IFS(EmployeeData[[#This Row],[Status]]="Exited",DATEDIF(EmployeeData[[#This Row],[Join Date]], EmployeeData[[#This Row],[Exit Date]], "Y"),EmployeeData[[#This Row],[Status]]="Active",DATEDIF(EmployeeData[[#This Row],[Join Date]], TODAY(), "Y"))</f>
        <v>5</v>
      </c>
      <c r="Q1067" t="str" cm="1">
        <f t="array" aca="1" ref="Q106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11 months 4 days</v>
      </c>
    </row>
    <row r="1068" spans="1:17" x14ac:dyDescent="0.3">
      <c r="A1068">
        <v>2067</v>
      </c>
      <c r="B1068" t="s">
        <v>553</v>
      </c>
      <c r="C1068" t="s">
        <v>23</v>
      </c>
      <c r="D1068" t="s">
        <v>11</v>
      </c>
      <c r="E1068">
        <v>29</v>
      </c>
      <c r="F1068" t="str" cm="1">
        <f t="array" ref="F1068">_xlfn.IFS(EmployeeData[[#This Row],[Age]]&lt;30,"20s",EmployeeData[[#This Row],[Age]]&lt;40,"30s",EmployeeData[[#This Row],[Age]]&lt;50,"40s",EmployeeData[[#This Row],[Age]]&lt;60,"50s",EmployeeData[[#This Row],[Age]]&gt;=60,"60s")</f>
        <v>20s</v>
      </c>
      <c r="G1068" s="5">
        <v>43968</v>
      </c>
      <c r="I1068" t="s">
        <v>17</v>
      </c>
      <c r="J1068" t="s">
        <v>18</v>
      </c>
      <c r="K1068" cm="1">
        <f t="array" aca="1" ref="K1068" ca="1">_xlfn.IFS(EmployeeData[[#This Row],[Status]]="Active",_xlfn.DAYS(TODAY(),EmployeeData[[#This Row],[Join Date]]),EmployeeData[[#This Row],[Status]]="Exited",_xlfn.DAYS(EmployeeData[[#This Row],[Exit Date]],EmployeeData[[#This Row],[Join Date]]))</f>
        <v>2229</v>
      </c>
      <c r="L1068" cm="1">
        <f t="array" aca="1" ref="L1068" ca="1">_xlfn.IFS(EmployeeData[[#This Row],[Status]]="Exited",DATEDIF(EmployeeData[[#This Row],[Join Date]], EmployeeData[[#This Row],[Exit Date]], "Y"),EmployeeData[[#This Row],[Status]]="Active",DATEDIF(EmployeeData[[#This Row],[Join Date]], TODAY(), "Y"))</f>
        <v>6</v>
      </c>
      <c r="Q1068" t="str" cm="1">
        <f t="array" aca="1" ref="Q106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1 months 7 days</v>
      </c>
    </row>
    <row r="1069" spans="1:17" x14ac:dyDescent="0.3">
      <c r="A1069">
        <v>2068</v>
      </c>
      <c r="B1069" t="s">
        <v>801</v>
      </c>
      <c r="C1069" t="s">
        <v>33</v>
      </c>
      <c r="D1069" t="s">
        <v>24</v>
      </c>
      <c r="E1069">
        <v>41</v>
      </c>
      <c r="F1069" t="str" cm="1">
        <f t="array" ref="F1069">_xlfn.IFS(EmployeeData[[#This Row],[Age]]&lt;30,"20s",EmployeeData[[#This Row],[Age]]&lt;40,"30s",EmployeeData[[#This Row],[Age]]&lt;50,"40s",EmployeeData[[#This Row],[Age]]&lt;60,"50s",EmployeeData[[#This Row],[Age]]&gt;=60,"60s")</f>
        <v>40s</v>
      </c>
      <c r="G1069" s="5">
        <v>45774</v>
      </c>
      <c r="I1069" t="s">
        <v>17</v>
      </c>
      <c r="J1069" t="s">
        <v>18</v>
      </c>
      <c r="K1069" cm="1">
        <f t="array" aca="1" ref="K1069" ca="1">_xlfn.IFS(EmployeeData[[#This Row],[Status]]="Active",_xlfn.DAYS(TODAY(),EmployeeData[[#This Row],[Join Date]]),EmployeeData[[#This Row],[Status]]="Exited",_xlfn.DAYS(EmployeeData[[#This Row],[Exit Date]],EmployeeData[[#This Row],[Join Date]]))</f>
        <v>423</v>
      </c>
      <c r="L1069" cm="1">
        <f t="array" aca="1" ref="L1069" ca="1">_xlfn.IFS(EmployeeData[[#This Row],[Status]]="Exited",DATEDIF(EmployeeData[[#This Row],[Join Date]], EmployeeData[[#This Row],[Exit Date]], "Y"),EmployeeData[[#This Row],[Status]]="Active",DATEDIF(EmployeeData[[#This Row],[Join Date]], TODAY(), "Y"))</f>
        <v>1</v>
      </c>
      <c r="Q1069" t="str" cm="1">
        <f t="array" aca="1" ref="Q106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 months 28 days</v>
      </c>
    </row>
    <row r="1070" spans="1:17" x14ac:dyDescent="0.3">
      <c r="A1070">
        <v>2069</v>
      </c>
      <c r="B1070" t="s">
        <v>444</v>
      </c>
      <c r="C1070" t="s">
        <v>20</v>
      </c>
      <c r="D1070" t="s">
        <v>16</v>
      </c>
      <c r="E1070">
        <v>27</v>
      </c>
      <c r="F1070" t="str" cm="1">
        <f t="array" ref="F1070">_xlfn.IFS(EmployeeData[[#This Row],[Age]]&lt;30,"20s",EmployeeData[[#This Row],[Age]]&lt;40,"30s",EmployeeData[[#This Row],[Age]]&lt;50,"40s",EmployeeData[[#This Row],[Age]]&lt;60,"50s",EmployeeData[[#This Row],[Age]]&gt;=60,"60s")</f>
        <v>20s</v>
      </c>
      <c r="G1070" s="5">
        <v>43528</v>
      </c>
      <c r="H1070" s="5">
        <v>44992</v>
      </c>
      <c r="I1070" t="s">
        <v>31</v>
      </c>
      <c r="J1070" t="s">
        <v>13</v>
      </c>
      <c r="K1070" cm="1">
        <f t="array" aca="1" ref="K1070" ca="1">_xlfn.IFS(EmployeeData[[#This Row],[Status]]="Active",_xlfn.DAYS(TODAY(),EmployeeData[[#This Row],[Join Date]]),EmployeeData[[#This Row],[Status]]="Exited",_xlfn.DAYS(EmployeeData[[#This Row],[Exit Date]],EmployeeData[[#This Row],[Join Date]]))</f>
        <v>1464</v>
      </c>
      <c r="L1070" cm="1">
        <f t="array" aca="1" ref="L1070" ca="1">_xlfn.IFS(EmployeeData[[#This Row],[Status]]="Exited",DATEDIF(EmployeeData[[#This Row],[Join Date]], EmployeeData[[#This Row],[Exit Date]], "Y"),EmployeeData[[#This Row],[Status]]="Active",DATEDIF(EmployeeData[[#This Row],[Join Date]], TODAY(), "Y"))</f>
        <v>4</v>
      </c>
      <c r="Q1070" t="str" cm="1">
        <f t="array" aca="1" ref="Q107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0 months 3 days</v>
      </c>
    </row>
    <row r="1071" spans="1:17" x14ac:dyDescent="0.3">
      <c r="A1071">
        <v>2070</v>
      </c>
      <c r="B1071" t="s">
        <v>524</v>
      </c>
      <c r="C1071" t="s">
        <v>15</v>
      </c>
      <c r="D1071" t="s">
        <v>16</v>
      </c>
      <c r="E1071">
        <v>40</v>
      </c>
      <c r="F1071" t="str" cm="1">
        <f t="array" ref="F1071">_xlfn.IFS(EmployeeData[[#This Row],[Age]]&lt;30,"20s",EmployeeData[[#This Row],[Age]]&lt;40,"30s",EmployeeData[[#This Row],[Age]]&lt;50,"40s",EmployeeData[[#This Row],[Age]]&lt;60,"50s",EmployeeData[[#This Row],[Age]]&gt;=60,"60s")</f>
        <v>40s</v>
      </c>
      <c r="G1071" s="5">
        <v>43869</v>
      </c>
      <c r="I1071" t="s">
        <v>17</v>
      </c>
      <c r="J1071" t="s">
        <v>18</v>
      </c>
      <c r="K1071" cm="1">
        <f t="array" aca="1" ref="K1071" ca="1">_xlfn.IFS(EmployeeData[[#This Row],[Status]]="Active",_xlfn.DAYS(TODAY(),EmployeeData[[#This Row],[Join Date]]),EmployeeData[[#This Row],[Status]]="Exited",_xlfn.DAYS(EmployeeData[[#This Row],[Exit Date]],EmployeeData[[#This Row],[Join Date]]))</f>
        <v>2328</v>
      </c>
      <c r="L1071" cm="1">
        <f t="array" aca="1" ref="L1071" ca="1">_xlfn.IFS(EmployeeData[[#This Row],[Status]]="Exited",DATEDIF(EmployeeData[[#This Row],[Join Date]], EmployeeData[[#This Row],[Exit Date]], "Y"),EmployeeData[[#This Row],[Status]]="Active",DATEDIF(EmployeeData[[#This Row],[Join Date]], TODAY(), "Y"))</f>
        <v>6</v>
      </c>
      <c r="Q1071" t="str" cm="1">
        <f t="array" aca="1" ref="Q107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6 years 4 months 16 days</v>
      </c>
    </row>
    <row r="1072" spans="1:17" x14ac:dyDescent="0.3">
      <c r="A1072">
        <v>2071</v>
      </c>
      <c r="B1072" t="s">
        <v>455</v>
      </c>
      <c r="C1072" t="s">
        <v>23</v>
      </c>
      <c r="D1072" t="s">
        <v>11</v>
      </c>
      <c r="E1072">
        <v>23</v>
      </c>
      <c r="F1072" t="str" cm="1">
        <f t="array" ref="F1072">_xlfn.IFS(EmployeeData[[#This Row],[Age]]&lt;30,"20s",EmployeeData[[#This Row],[Age]]&lt;40,"30s",EmployeeData[[#This Row],[Age]]&lt;50,"40s",EmployeeData[[#This Row],[Age]]&lt;60,"50s",EmployeeData[[#This Row],[Age]]&gt;=60,"60s")</f>
        <v>20s</v>
      </c>
      <c r="G1072" s="5">
        <v>43297</v>
      </c>
      <c r="H1072" s="5">
        <v>44651</v>
      </c>
      <c r="I1072" t="s">
        <v>31</v>
      </c>
      <c r="J1072" t="s">
        <v>13</v>
      </c>
      <c r="K1072" cm="1">
        <f t="array" aca="1" ref="K1072" ca="1">_xlfn.IFS(EmployeeData[[#This Row],[Status]]="Active",_xlfn.DAYS(TODAY(),EmployeeData[[#This Row],[Join Date]]),EmployeeData[[#This Row],[Status]]="Exited",_xlfn.DAYS(EmployeeData[[#This Row],[Exit Date]],EmployeeData[[#This Row],[Join Date]]))</f>
        <v>1354</v>
      </c>
      <c r="L1072" cm="1">
        <f t="array" aca="1" ref="L1072" ca="1">_xlfn.IFS(EmployeeData[[#This Row],[Status]]="Exited",DATEDIF(EmployeeData[[#This Row],[Join Date]], EmployeeData[[#This Row],[Exit Date]], "Y"),EmployeeData[[#This Row],[Status]]="Active",DATEDIF(EmployeeData[[#This Row],[Join Date]], TODAY(), "Y"))</f>
        <v>3</v>
      </c>
      <c r="Q1072" t="str" cm="1">
        <f t="array" aca="1" ref="Q107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8 months 15 days</v>
      </c>
    </row>
    <row r="1073" spans="1:17" x14ac:dyDescent="0.3">
      <c r="A1073">
        <v>2072</v>
      </c>
      <c r="B1073" t="s">
        <v>899</v>
      </c>
      <c r="C1073" t="s">
        <v>23</v>
      </c>
      <c r="D1073" t="s">
        <v>16</v>
      </c>
      <c r="E1073">
        <v>46</v>
      </c>
      <c r="F1073" t="str" cm="1">
        <f t="array" ref="F1073">_xlfn.IFS(EmployeeData[[#This Row],[Age]]&lt;30,"20s",EmployeeData[[#This Row],[Age]]&lt;40,"30s",EmployeeData[[#This Row],[Age]]&lt;50,"40s",EmployeeData[[#This Row],[Age]]&lt;60,"50s",EmployeeData[[#This Row],[Age]]&gt;=60,"60s")</f>
        <v>40s</v>
      </c>
      <c r="G1073" s="5">
        <v>44558</v>
      </c>
      <c r="I1073" t="s">
        <v>17</v>
      </c>
      <c r="J1073" t="s">
        <v>18</v>
      </c>
      <c r="K1073" cm="1">
        <f t="array" aca="1" ref="K1073" ca="1">_xlfn.IFS(EmployeeData[[#This Row],[Status]]="Active",_xlfn.DAYS(TODAY(),EmployeeData[[#This Row],[Join Date]]),EmployeeData[[#This Row],[Status]]="Exited",_xlfn.DAYS(EmployeeData[[#This Row],[Exit Date]],EmployeeData[[#This Row],[Join Date]]))</f>
        <v>1639</v>
      </c>
      <c r="L1073" cm="1">
        <f t="array" aca="1" ref="L1073" ca="1">_xlfn.IFS(EmployeeData[[#This Row],[Status]]="Exited",DATEDIF(EmployeeData[[#This Row],[Join Date]], EmployeeData[[#This Row],[Exit Date]], "Y"),EmployeeData[[#This Row],[Status]]="Active",DATEDIF(EmployeeData[[#This Row],[Join Date]], TODAY(), "Y"))</f>
        <v>4</v>
      </c>
      <c r="Q1073" t="str" cm="1">
        <f t="array" aca="1" ref="Q1073"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27 days</v>
      </c>
    </row>
    <row r="1074" spans="1:17" x14ac:dyDescent="0.3">
      <c r="A1074">
        <v>2073</v>
      </c>
      <c r="B1074" t="s">
        <v>53</v>
      </c>
      <c r="C1074" t="s">
        <v>23</v>
      </c>
      <c r="D1074" t="s">
        <v>11</v>
      </c>
      <c r="E1074">
        <v>22</v>
      </c>
      <c r="F1074" t="str" cm="1">
        <f t="array" ref="F1074">_xlfn.IFS(EmployeeData[[#This Row],[Age]]&lt;30,"20s",EmployeeData[[#This Row],[Age]]&lt;40,"30s",EmployeeData[[#This Row],[Age]]&lt;50,"40s",EmployeeData[[#This Row],[Age]]&lt;60,"50s",EmployeeData[[#This Row],[Age]]&gt;=60,"60s")</f>
        <v>20s</v>
      </c>
      <c r="G1074" s="5">
        <v>45506</v>
      </c>
      <c r="I1074" t="s">
        <v>17</v>
      </c>
      <c r="J1074" t="s">
        <v>18</v>
      </c>
      <c r="K1074" cm="1">
        <f t="array" aca="1" ref="K1074" ca="1">_xlfn.IFS(EmployeeData[[#This Row],[Status]]="Active",_xlfn.DAYS(TODAY(),EmployeeData[[#This Row],[Join Date]]),EmployeeData[[#This Row],[Status]]="Exited",_xlfn.DAYS(EmployeeData[[#This Row],[Exit Date]],EmployeeData[[#This Row],[Join Date]]))</f>
        <v>691</v>
      </c>
      <c r="L1074" cm="1">
        <f t="array" aca="1" ref="L1074" ca="1">_xlfn.IFS(EmployeeData[[#This Row],[Status]]="Exited",DATEDIF(EmployeeData[[#This Row],[Join Date]], EmployeeData[[#This Row],[Exit Date]], "Y"),EmployeeData[[#This Row],[Status]]="Active",DATEDIF(EmployeeData[[#This Row],[Join Date]], TODAY(), "Y"))</f>
        <v>1</v>
      </c>
      <c r="Q1074" t="str" cm="1">
        <f t="array" aca="1" ref="Q1074"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10 months 22 days</v>
      </c>
    </row>
    <row r="1075" spans="1:17" x14ac:dyDescent="0.3">
      <c r="A1075">
        <v>2074</v>
      </c>
      <c r="B1075" t="s">
        <v>881</v>
      </c>
      <c r="C1075" t="s">
        <v>15</v>
      </c>
      <c r="D1075" t="s">
        <v>16</v>
      </c>
      <c r="E1075">
        <v>50</v>
      </c>
      <c r="F1075" t="str" cm="1">
        <f t="array" ref="F1075">_xlfn.IFS(EmployeeData[[#This Row],[Age]]&lt;30,"20s",EmployeeData[[#This Row],[Age]]&lt;40,"30s",EmployeeData[[#This Row],[Age]]&lt;50,"40s",EmployeeData[[#This Row],[Age]]&lt;60,"50s",EmployeeData[[#This Row],[Age]]&gt;=60,"60s")</f>
        <v>50s</v>
      </c>
      <c r="G1075" s="5">
        <v>43423</v>
      </c>
      <c r="I1075" t="s">
        <v>17</v>
      </c>
      <c r="J1075" t="s">
        <v>18</v>
      </c>
      <c r="K1075" cm="1">
        <f t="array" aca="1" ref="K1075" ca="1">_xlfn.IFS(EmployeeData[[#This Row],[Status]]="Active",_xlfn.DAYS(TODAY(),EmployeeData[[#This Row],[Join Date]]),EmployeeData[[#This Row],[Status]]="Exited",_xlfn.DAYS(EmployeeData[[#This Row],[Exit Date]],EmployeeData[[#This Row],[Join Date]]))</f>
        <v>2774</v>
      </c>
      <c r="L1075" cm="1">
        <f t="array" aca="1" ref="L1075" ca="1">_xlfn.IFS(EmployeeData[[#This Row],[Status]]="Exited",DATEDIF(EmployeeData[[#This Row],[Join Date]], EmployeeData[[#This Row],[Exit Date]], "Y"),EmployeeData[[#This Row],[Status]]="Active",DATEDIF(EmployeeData[[#This Row],[Join Date]], TODAY(), "Y"))</f>
        <v>7</v>
      </c>
      <c r="Q1075" t="str" cm="1">
        <f t="array" aca="1" ref="Q1075"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7 years 7 months 5 days</v>
      </c>
    </row>
    <row r="1076" spans="1:17" x14ac:dyDescent="0.3">
      <c r="A1076">
        <v>2075</v>
      </c>
      <c r="B1076" t="s">
        <v>272</v>
      </c>
      <c r="C1076" t="s">
        <v>33</v>
      </c>
      <c r="D1076" t="s">
        <v>24</v>
      </c>
      <c r="E1076">
        <v>31</v>
      </c>
      <c r="F1076" t="str" cm="1">
        <f t="array" ref="F1076">_xlfn.IFS(EmployeeData[[#This Row],[Age]]&lt;30,"20s",EmployeeData[[#This Row],[Age]]&lt;40,"30s",EmployeeData[[#This Row],[Age]]&lt;50,"40s",EmployeeData[[#This Row],[Age]]&lt;60,"50s",EmployeeData[[#This Row],[Age]]&gt;=60,"60s")</f>
        <v>30s</v>
      </c>
      <c r="G1076" s="5">
        <v>45155</v>
      </c>
      <c r="I1076" t="s">
        <v>17</v>
      </c>
      <c r="J1076" t="s">
        <v>18</v>
      </c>
      <c r="K1076" cm="1">
        <f t="array" aca="1" ref="K1076" ca="1">_xlfn.IFS(EmployeeData[[#This Row],[Status]]="Active",_xlfn.DAYS(TODAY(),EmployeeData[[#This Row],[Join Date]]),EmployeeData[[#This Row],[Status]]="Exited",_xlfn.DAYS(EmployeeData[[#This Row],[Exit Date]],EmployeeData[[#This Row],[Join Date]]))</f>
        <v>1042</v>
      </c>
      <c r="L1076" cm="1">
        <f t="array" aca="1" ref="L1076" ca="1">_xlfn.IFS(EmployeeData[[#This Row],[Status]]="Exited",DATEDIF(EmployeeData[[#This Row],[Join Date]], EmployeeData[[#This Row],[Exit Date]], "Y"),EmployeeData[[#This Row],[Status]]="Active",DATEDIF(EmployeeData[[#This Row],[Join Date]], TODAY(), "Y"))</f>
        <v>2</v>
      </c>
      <c r="Q1076" t="str" cm="1">
        <f t="array" aca="1" ref="Q1076"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2 years 10 months 7 days</v>
      </c>
    </row>
    <row r="1077" spans="1:17" x14ac:dyDescent="0.3">
      <c r="A1077">
        <v>2076</v>
      </c>
      <c r="B1077" t="s">
        <v>759</v>
      </c>
      <c r="C1077" t="s">
        <v>20</v>
      </c>
      <c r="D1077" t="s">
        <v>16</v>
      </c>
      <c r="E1077">
        <v>39</v>
      </c>
      <c r="F1077" t="str" cm="1">
        <f t="array" ref="F1077">_xlfn.IFS(EmployeeData[[#This Row],[Age]]&lt;30,"20s",EmployeeData[[#This Row],[Age]]&lt;40,"30s",EmployeeData[[#This Row],[Age]]&lt;50,"40s",EmployeeData[[#This Row],[Age]]&lt;60,"50s",EmployeeData[[#This Row],[Age]]&gt;=60,"60s")</f>
        <v>30s</v>
      </c>
      <c r="G1077" s="5">
        <v>44576</v>
      </c>
      <c r="I1077" t="s">
        <v>17</v>
      </c>
      <c r="J1077" t="s">
        <v>18</v>
      </c>
      <c r="K1077" cm="1">
        <f t="array" aca="1" ref="K1077" ca="1">_xlfn.IFS(EmployeeData[[#This Row],[Status]]="Active",_xlfn.DAYS(TODAY(),EmployeeData[[#This Row],[Join Date]]),EmployeeData[[#This Row],[Status]]="Exited",_xlfn.DAYS(EmployeeData[[#This Row],[Exit Date]],EmployeeData[[#This Row],[Join Date]]))</f>
        <v>1621</v>
      </c>
      <c r="L1077" cm="1">
        <f t="array" aca="1" ref="L1077" ca="1">_xlfn.IFS(EmployeeData[[#This Row],[Status]]="Exited",DATEDIF(EmployeeData[[#This Row],[Join Date]], EmployeeData[[#This Row],[Exit Date]], "Y"),EmployeeData[[#This Row],[Status]]="Active",DATEDIF(EmployeeData[[#This Row],[Join Date]], TODAY(), "Y"))</f>
        <v>4</v>
      </c>
      <c r="Q1077" t="str" cm="1">
        <f t="array" aca="1" ref="Q1077"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4 years 5 months 9 days</v>
      </c>
    </row>
    <row r="1078" spans="1:17" x14ac:dyDescent="0.3">
      <c r="A1078">
        <v>2077</v>
      </c>
      <c r="B1078" t="s">
        <v>89</v>
      </c>
      <c r="C1078" t="s">
        <v>20</v>
      </c>
      <c r="D1078" t="s">
        <v>24</v>
      </c>
      <c r="E1078">
        <v>34</v>
      </c>
      <c r="F1078" t="str" cm="1">
        <f t="array" ref="F1078">_xlfn.IFS(EmployeeData[[#This Row],[Age]]&lt;30,"20s",EmployeeData[[#This Row],[Age]]&lt;40,"30s",EmployeeData[[#This Row],[Age]]&lt;50,"40s",EmployeeData[[#This Row],[Age]]&lt;60,"50s",EmployeeData[[#This Row],[Age]]&gt;=60,"60s")</f>
        <v>30s</v>
      </c>
      <c r="G1078" s="5">
        <v>45601</v>
      </c>
      <c r="I1078" t="s">
        <v>17</v>
      </c>
      <c r="J1078" t="s">
        <v>18</v>
      </c>
      <c r="K1078" cm="1">
        <f t="array" aca="1" ref="K1078" ca="1">_xlfn.IFS(EmployeeData[[#This Row],[Status]]="Active",_xlfn.DAYS(TODAY(),EmployeeData[[#This Row],[Join Date]]),EmployeeData[[#This Row],[Status]]="Exited",_xlfn.DAYS(EmployeeData[[#This Row],[Exit Date]],EmployeeData[[#This Row],[Join Date]]))</f>
        <v>596</v>
      </c>
      <c r="L1078" cm="1">
        <f t="array" aca="1" ref="L1078" ca="1">_xlfn.IFS(EmployeeData[[#This Row],[Status]]="Exited",DATEDIF(EmployeeData[[#This Row],[Join Date]], EmployeeData[[#This Row],[Exit Date]], "Y"),EmployeeData[[#This Row],[Status]]="Active",DATEDIF(EmployeeData[[#This Row],[Join Date]], TODAY(), "Y"))</f>
        <v>1</v>
      </c>
      <c r="Q1078" t="str" cm="1">
        <f t="array" aca="1" ref="Q1078"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1 years 7 months 19 days</v>
      </c>
    </row>
    <row r="1079" spans="1:17" x14ac:dyDescent="0.3">
      <c r="A1079">
        <v>2078</v>
      </c>
      <c r="B1079" t="s">
        <v>1026</v>
      </c>
      <c r="C1079" t="s">
        <v>23</v>
      </c>
      <c r="D1079" t="s">
        <v>11</v>
      </c>
      <c r="E1079">
        <v>30</v>
      </c>
      <c r="F1079" t="str" cm="1">
        <f t="array" ref="F1079">_xlfn.IFS(EmployeeData[[#This Row],[Age]]&lt;30,"20s",EmployeeData[[#This Row],[Age]]&lt;40,"30s",EmployeeData[[#This Row],[Age]]&lt;50,"40s",EmployeeData[[#This Row],[Age]]&lt;60,"50s",EmployeeData[[#This Row],[Age]]&gt;=60,"60s")</f>
        <v>30s</v>
      </c>
      <c r="G1079" s="5">
        <v>44368</v>
      </c>
      <c r="I1079" t="s">
        <v>17</v>
      </c>
      <c r="J1079" t="s">
        <v>18</v>
      </c>
      <c r="K1079" cm="1">
        <f t="array" aca="1" ref="K1079" ca="1">_xlfn.IFS(EmployeeData[[#This Row],[Status]]="Active",_xlfn.DAYS(TODAY(),EmployeeData[[#This Row],[Join Date]]),EmployeeData[[#This Row],[Status]]="Exited",_xlfn.DAYS(EmployeeData[[#This Row],[Exit Date]],EmployeeData[[#This Row],[Join Date]]))</f>
        <v>1829</v>
      </c>
      <c r="L1079" cm="1">
        <f t="array" aca="1" ref="L1079" ca="1">_xlfn.IFS(EmployeeData[[#This Row],[Status]]="Exited",DATEDIF(EmployeeData[[#This Row],[Join Date]], EmployeeData[[#This Row],[Exit Date]], "Y"),EmployeeData[[#This Row],[Status]]="Active",DATEDIF(EmployeeData[[#This Row],[Join Date]], TODAY(), "Y"))</f>
        <v>5</v>
      </c>
      <c r="Q1079" t="str" cm="1">
        <f t="array" aca="1" ref="Q1079"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0 months 3 days</v>
      </c>
    </row>
    <row r="1080" spans="1:17" x14ac:dyDescent="0.3">
      <c r="A1080">
        <v>2079</v>
      </c>
      <c r="B1080" t="s">
        <v>215</v>
      </c>
      <c r="C1080" t="s">
        <v>15</v>
      </c>
      <c r="D1080" t="s">
        <v>16</v>
      </c>
      <c r="E1080">
        <v>25</v>
      </c>
      <c r="F1080" t="str" cm="1">
        <f t="array" ref="F1080">_xlfn.IFS(EmployeeData[[#This Row],[Age]]&lt;30,"20s",EmployeeData[[#This Row],[Age]]&lt;40,"30s",EmployeeData[[#This Row],[Age]]&lt;50,"40s",EmployeeData[[#This Row],[Age]]&lt;60,"50s",EmployeeData[[#This Row],[Age]]&gt;=60,"60s")</f>
        <v>20s</v>
      </c>
      <c r="G1080" s="5">
        <v>44248</v>
      </c>
      <c r="I1080" t="s">
        <v>17</v>
      </c>
      <c r="J1080" t="s">
        <v>18</v>
      </c>
      <c r="K1080" cm="1">
        <f t="array" aca="1" ref="K1080" ca="1">_xlfn.IFS(EmployeeData[[#This Row],[Status]]="Active",_xlfn.DAYS(TODAY(),EmployeeData[[#This Row],[Join Date]]),EmployeeData[[#This Row],[Status]]="Exited",_xlfn.DAYS(EmployeeData[[#This Row],[Exit Date]],EmployeeData[[#This Row],[Join Date]]))</f>
        <v>1949</v>
      </c>
      <c r="L1080" cm="1">
        <f t="array" aca="1" ref="L1080" ca="1">_xlfn.IFS(EmployeeData[[#This Row],[Status]]="Exited",DATEDIF(EmployeeData[[#This Row],[Join Date]], EmployeeData[[#This Row],[Exit Date]], "Y"),EmployeeData[[#This Row],[Status]]="Active",DATEDIF(EmployeeData[[#This Row],[Join Date]], TODAY(), "Y"))</f>
        <v>5</v>
      </c>
      <c r="Q1080" t="str" cm="1">
        <f t="array" aca="1" ref="Q1080"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5 years 4 months 3 days</v>
      </c>
    </row>
    <row r="1081" spans="1:17" x14ac:dyDescent="0.3">
      <c r="A1081">
        <v>2080</v>
      </c>
      <c r="B1081" t="s">
        <v>356</v>
      </c>
      <c r="C1081" t="s">
        <v>10</v>
      </c>
      <c r="D1081" t="s">
        <v>24</v>
      </c>
      <c r="E1081">
        <v>37</v>
      </c>
      <c r="F1081" t="str" cm="1">
        <f t="array" ref="F1081">_xlfn.IFS(EmployeeData[[#This Row],[Age]]&lt;30,"20s",EmployeeData[[#This Row],[Age]]&lt;40,"30s",EmployeeData[[#This Row],[Age]]&lt;50,"40s",EmployeeData[[#This Row],[Age]]&lt;60,"50s",EmployeeData[[#This Row],[Age]]&gt;=60,"60s")</f>
        <v>30s</v>
      </c>
      <c r="G1081" s="5">
        <v>44911</v>
      </c>
      <c r="I1081" t="s">
        <v>17</v>
      </c>
      <c r="J1081" t="s">
        <v>18</v>
      </c>
      <c r="K1081" cm="1">
        <f t="array" aca="1" ref="K1081" ca="1">_xlfn.IFS(EmployeeData[[#This Row],[Status]]="Active",_xlfn.DAYS(TODAY(),EmployeeData[[#This Row],[Join Date]]),EmployeeData[[#This Row],[Status]]="Exited",_xlfn.DAYS(EmployeeData[[#This Row],[Exit Date]],EmployeeData[[#This Row],[Join Date]]))</f>
        <v>1286</v>
      </c>
      <c r="L1081" cm="1">
        <f t="array" aca="1" ref="L1081" ca="1">_xlfn.IFS(EmployeeData[[#This Row],[Status]]="Exited",DATEDIF(EmployeeData[[#This Row],[Join Date]], EmployeeData[[#This Row],[Exit Date]], "Y"),EmployeeData[[#This Row],[Status]]="Active",DATEDIF(EmployeeData[[#This Row],[Join Date]], TODAY(), "Y"))</f>
        <v>3</v>
      </c>
      <c r="Q1081" t="str" cm="1">
        <f t="array" aca="1" ref="Q1081"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6 months 8 days</v>
      </c>
    </row>
    <row r="1082" spans="1:17" x14ac:dyDescent="0.3">
      <c r="A1082">
        <v>2081</v>
      </c>
      <c r="B1082" t="s">
        <v>1106</v>
      </c>
      <c r="C1082" t="s">
        <v>23</v>
      </c>
      <c r="D1082" t="s">
        <v>24</v>
      </c>
      <c r="E1082">
        <v>32</v>
      </c>
      <c r="F1082" t="str" cm="1">
        <f t="array" ref="F1082">_xlfn.IFS(EmployeeData[[#This Row],[Age]]&lt;30,"20s",EmployeeData[[#This Row],[Age]]&lt;40,"30s",EmployeeData[[#This Row],[Age]]&lt;50,"40s",EmployeeData[[#This Row],[Age]]&lt;60,"50s",EmployeeData[[#This Row],[Age]]&gt;=60,"60s")</f>
        <v>30s</v>
      </c>
      <c r="G1082" s="5">
        <v>44973</v>
      </c>
      <c r="J1082" t="s">
        <v>18</v>
      </c>
      <c r="K1082" cm="1">
        <f t="array" aca="1" ref="K1082" ca="1">_xlfn.IFS(EmployeeData[[#This Row],[Status]]="Active",_xlfn.DAYS(TODAY(),EmployeeData[[#This Row],[Join Date]]),EmployeeData[[#This Row],[Status]]="Exited",_xlfn.DAYS(EmployeeData[[#This Row],[Exit Date]],EmployeeData[[#This Row],[Join Date]]))</f>
        <v>1224</v>
      </c>
      <c r="L1082" cm="1">
        <f t="array" aca="1" ref="L1082" ca="1">_xlfn.IFS(EmployeeData[[#This Row],[Status]]="Exited",DATEDIF(EmployeeData[[#This Row],[Join Date]], EmployeeData[[#This Row],[Exit Date]], "Y"),EmployeeData[[#This Row],[Status]]="Active",DATEDIF(EmployeeData[[#This Row],[Join Date]], TODAY(), "Y"))</f>
        <v>3</v>
      </c>
      <c r="Q1082" t="str" cm="1">
        <f t="array" aca="1" ref="Q1082" ca="1">_xlfn.IFS(EmployeeData[[#This Row],[Status]]="Exited",DATEDIF(EmployeeData[[#This Row],[Join Date]], EmployeeData[[#This Row],[Exit Date]], "Y") &amp; " years " &amp; DATEDIF(EmployeeData[[#This Row],[Join Date]], EmployeeData[[#This Row],[Exit Date]], "YM") &amp; " months " &amp; DATEDIF(EmployeeData[[#This Row],[Join Date]], EmployeeData[[#This Row],[Exit Date]], "MD") &amp; " days",EmployeeData[[#This Row],[Status]]="Active",DATEDIF(EmployeeData[[#This Row],[Join Date]], TODAY(), "Y") &amp; " years " &amp; DATEDIF(EmployeeData[[#This Row],[Join Date]], TODAY(), "YM") &amp; " months " &amp; DATEDIF(EmployeeData[[#This Row],[Join Date]], TODAY(), "MD") &amp; " days")</f>
        <v>3 years 4 months 8 days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0AC1-F07B-40AC-8E44-39A535C03581}">
  <sheetPr>
    <tabColor theme="0"/>
  </sheetPr>
  <dimension ref="B2:R19"/>
  <sheetViews>
    <sheetView workbookViewId="0">
      <selection activeCell="L6" sqref="L6"/>
    </sheetView>
  </sheetViews>
  <sheetFormatPr defaultRowHeight="14.4" x14ac:dyDescent="0.3"/>
  <cols>
    <col min="2" max="2" width="13.77734375" customWidth="1"/>
    <col min="9" max="9" width="8.88671875" customWidth="1"/>
    <col min="10" max="10" width="10.5546875" bestFit="1" customWidth="1"/>
    <col min="11" max="11" width="10.44140625" customWidth="1"/>
    <col min="12" max="12" width="10.5546875" bestFit="1" customWidth="1"/>
    <col min="13" max="13" width="9.44140625" bestFit="1" customWidth="1"/>
    <col min="14" max="14" width="14.6640625" bestFit="1" customWidth="1"/>
    <col min="15" max="15" width="14.6640625" customWidth="1"/>
    <col min="16" max="16" width="13.5546875" bestFit="1" customWidth="1"/>
    <col min="17" max="17" width="12.5546875" bestFit="1" customWidth="1"/>
    <col min="18" max="18" width="9.6640625" customWidth="1"/>
  </cols>
  <sheetData>
    <row r="2" spans="2:18" x14ac:dyDescent="0.3">
      <c r="B2" t="s">
        <v>1104</v>
      </c>
      <c r="I2" t="s">
        <v>1188</v>
      </c>
    </row>
    <row r="4" spans="2:18" x14ac:dyDescent="0.3">
      <c r="B4" s="10">
        <f>GETPIVOTDATA("Employee ID",'PIVOT TABLES'!$B$4)</f>
        <v>1081</v>
      </c>
      <c r="I4" t="s">
        <v>1189</v>
      </c>
      <c r="J4" t="s">
        <v>1187</v>
      </c>
      <c r="K4" t="s">
        <v>1186</v>
      </c>
      <c r="L4" t="s">
        <v>1194</v>
      </c>
      <c r="M4" t="s">
        <v>1191</v>
      </c>
      <c r="N4" t="s">
        <v>1192</v>
      </c>
      <c r="O4" t="s">
        <v>1196</v>
      </c>
      <c r="P4" t="s">
        <v>1193</v>
      </c>
      <c r="Q4" t="s">
        <v>1195</v>
      </c>
    </row>
    <row r="5" spans="2:18" x14ac:dyDescent="0.3">
      <c r="B5" s="10"/>
      <c r="I5" s="64">
        <v>2018</v>
      </c>
      <c r="J5" s="34">
        <v>43101</v>
      </c>
      <c r="K5" s="34">
        <v>43465</v>
      </c>
      <c r="L5">
        <f>COUNTIFS(EmployeeData[Join Date], "&gt;="&amp;J5, EmployeeData[Join Date], "&lt;="&amp;K5)</f>
        <v>146</v>
      </c>
      <c r="M5">
        <f>COUNTIFS(EmployeeData[Exit Date], "&gt;="&amp;J5, EmployeeData[Exit Date], "&lt;="&amp;K5)</f>
        <v>3</v>
      </c>
      <c r="N5">
        <f>L5-M5</f>
        <v>143</v>
      </c>
      <c r="O5">
        <f>N5</f>
        <v>143</v>
      </c>
      <c r="P5" s="78">
        <v>1</v>
      </c>
      <c r="Q5" s="78">
        <f>M5/O5</f>
        <v>2.097902097902098E-2</v>
      </c>
      <c r="R5" s="81">
        <v>0</v>
      </c>
    </row>
    <row r="6" spans="2:18" x14ac:dyDescent="0.3">
      <c r="B6" s="10" t="s">
        <v>1105</v>
      </c>
      <c r="I6" s="64">
        <v>2019</v>
      </c>
      <c r="J6" s="34">
        <v>43466</v>
      </c>
      <c r="K6" s="34">
        <v>43830</v>
      </c>
      <c r="L6" s="55">
        <f>N5 + COUNTIFS(EmployeeData[Join Date], "&gt;="&amp;J6, EmployeeData[Join Date], "&lt;="&amp;K6)</f>
        <v>288</v>
      </c>
      <c r="M6">
        <f>COUNTIFS(EmployeeData[Exit Date], "&gt;="&amp;J6, EmployeeData[Exit Date], "&lt;="&amp;K6)</f>
        <v>11</v>
      </c>
      <c r="N6">
        <f t="shared" ref="N6:N13" si="0">L6-M6</f>
        <v>277</v>
      </c>
      <c r="O6">
        <f>SUM(N6,N5)/2</f>
        <v>210</v>
      </c>
      <c r="P6" s="78">
        <f>(N6-N5)/N5</f>
        <v>0.93706293706293708</v>
      </c>
      <c r="Q6" s="78">
        <f t="shared" ref="Q6:Q13" si="1">M6/O6</f>
        <v>5.2380952380952382E-2</v>
      </c>
      <c r="R6" s="82">
        <f>Q6-Q5</f>
        <v>3.1401931401931399E-2</v>
      </c>
    </row>
    <row r="7" spans="2:18" x14ac:dyDescent="0.3">
      <c r="I7" s="64">
        <v>2020</v>
      </c>
      <c r="J7" s="34">
        <v>43831</v>
      </c>
      <c r="K7" s="34">
        <v>44196</v>
      </c>
      <c r="L7" s="55">
        <f>N6 + COUNTIFS(EmployeeData[Join Date], "&gt;="&amp;J7, EmployeeData[Join Date], "&lt;="&amp;K7)</f>
        <v>405</v>
      </c>
      <c r="M7">
        <f>COUNTIFS(EmployeeData[Exit Date], "&gt;="&amp;J7, EmployeeData[Exit Date], "&lt;="&amp;K7)</f>
        <v>23</v>
      </c>
      <c r="N7">
        <f t="shared" si="0"/>
        <v>382</v>
      </c>
      <c r="O7">
        <f t="shared" ref="O7:O13" si="2">SUM(N7,N6)/2</f>
        <v>329.5</v>
      </c>
      <c r="P7" s="78">
        <f t="shared" ref="P7:P13" si="3">(N7-N6)/N6</f>
        <v>0.37906137184115524</v>
      </c>
      <c r="Q7" s="78">
        <f t="shared" si="1"/>
        <v>6.9802731411229141E-2</v>
      </c>
      <c r="R7" s="82">
        <f t="shared" ref="R7:R13" si="4">Q7-Q6</f>
        <v>1.7421779030276759E-2</v>
      </c>
    </row>
    <row r="8" spans="2:18" x14ac:dyDescent="0.3">
      <c r="B8" t="s">
        <v>8</v>
      </c>
      <c r="C8" t="s">
        <v>1100</v>
      </c>
      <c r="I8" s="64">
        <v>2021</v>
      </c>
      <c r="J8" s="34">
        <v>44197</v>
      </c>
      <c r="K8" s="34">
        <v>44561</v>
      </c>
      <c r="L8" s="55">
        <f>N7 + COUNTIFS(EmployeeData[Join Date], "&gt;="&amp;J8, EmployeeData[Join Date], "&lt;="&amp;K8)</f>
        <v>516</v>
      </c>
      <c r="M8">
        <f>COUNTIFS(EmployeeData[Exit Date], "&gt;="&amp;J8, EmployeeData[Exit Date], "&lt;="&amp;K8)</f>
        <v>24</v>
      </c>
      <c r="N8">
        <f t="shared" si="0"/>
        <v>492</v>
      </c>
      <c r="O8">
        <f t="shared" si="2"/>
        <v>437</v>
      </c>
      <c r="P8" s="78">
        <f t="shared" si="3"/>
        <v>0.2879581151832461</v>
      </c>
      <c r="Q8" s="78">
        <f t="shared" si="1"/>
        <v>5.4919908466819219E-2</v>
      </c>
      <c r="R8" s="82">
        <f t="shared" si="4"/>
        <v>-1.4882822944409922E-2</v>
      </c>
    </row>
    <row r="9" spans="2:18" x14ac:dyDescent="0.3">
      <c r="B9" t="s">
        <v>18</v>
      </c>
      <c r="C9">
        <f>GETPIVOTDATA("Employee ID",'PIVOT TABLES'!$B$10,"Status","Active")</f>
        <v>667</v>
      </c>
      <c r="I9" s="64">
        <v>2022</v>
      </c>
      <c r="J9" s="34">
        <v>44562</v>
      </c>
      <c r="K9" s="34">
        <v>44926</v>
      </c>
      <c r="L9" s="55">
        <f>N8 + COUNTIFS(EmployeeData[Join Date], "&gt;="&amp;J9, EmployeeData[Join Date], "&lt;="&amp;K9)</f>
        <v>632</v>
      </c>
      <c r="M9">
        <f>COUNTIFS(EmployeeData[Exit Date], "&gt;="&amp;J9, EmployeeData[Exit Date], "&lt;="&amp;K9)</f>
        <v>49</v>
      </c>
      <c r="N9">
        <f t="shared" si="0"/>
        <v>583</v>
      </c>
      <c r="O9">
        <f t="shared" si="2"/>
        <v>537.5</v>
      </c>
      <c r="P9" s="78">
        <f t="shared" si="3"/>
        <v>0.18495934959349594</v>
      </c>
      <c r="Q9" s="78">
        <f t="shared" si="1"/>
        <v>9.1162790697674412E-2</v>
      </c>
      <c r="R9" s="82">
        <f t="shared" si="4"/>
        <v>3.6242882230855193E-2</v>
      </c>
    </row>
    <row r="10" spans="2:18" x14ac:dyDescent="0.3">
      <c r="B10" t="s">
        <v>13</v>
      </c>
      <c r="C10">
        <f>GETPIVOTDATA("Employee ID",'PIVOT TABLES'!$B$10,"Status","Exited")</f>
        <v>414</v>
      </c>
      <c r="I10" s="64">
        <v>2023</v>
      </c>
      <c r="J10" s="34">
        <v>44927</v>
      </c>
      <c r="K10" s="34">
        <v>45291</v>
      </c>
      <c r="L10" s="55">
        <f>N9 + COUNTIFS(EmployeeData[Join Date], "&gt;="&amp;J10, EmployeeData[Join Date], "&lt;="&amp;K10)</f>
        <v>723</v>
      </c>
      <c r="M10">
        <f>COUNTIFS(EmployeeData[Exit Date], "&gt;="&amp;J10, EmployeeData[Exit Date], "&lt;="&amp;K10)</f>
        <v>59</v>
      </c>
      <c r="N10">
        <f t="shared" si="0"/>
        <v>664</v>
      </c>
      <c r="O10">
        <f t="shared" si="2"/>
        <v>623.5</v>
      </c>
      <c r="P10" s="78">
        <f t="shared" si="3"/>
        <v>0.13893653516295026</v>
      </c>
      <c r="Q10" s="78">
        <f t="shared" si="1"/>
        <v>9.4627105052125099E-2</v>
      </c>
      <c r="R10" s="82">
        <f t="shared" si="4"/>
        <v>3.4643143544506871E-3</v>
      </c>
    </row>
    <row r="11" spans="2:18" x14ac:dyDescent="0.3">
      <c r="I11" s="64">
        <v>2024</v>
      </c>
      <c r="J11" s="34">
        <v>45292</v>
      </c>
      <c r="K11" s="34">
        <v>45657</v>
      </c>
      <c r="L11" s="55">
        <f>N10 + COUNTIFS(EmployeeData[Join Date], "&gt;="&amp;J11, EmployeeData[Join Date], "&lt;="&amp;K11)</f>
        <v>783</v>
      </c>
      <c r="M11">
        <f>COUNTIFS(EmployeeData[Exit Date], "&gt;="&amp;J11, EmployeeData[Exit Date], "&lt;="&amp;K11)</f>
        <v>71</v>
      </c>
      <c r="N11">
        <f t="shared" si="0"/>
        <v>712</v>
      </c>
      <c r="O11">
        <f t="shared" si="2"/>
        <v>688</v>
      </c>
      <c r="P11" s="78">
        <f t="shared" si="3"/>
        <v>7.2289156626506021E-2</v>
      </c>
      <c r="Q11" s="78">
        <f t="shared" si="1"/>
        <v>0.10319767441860465</v>
      </c>
      <c r="R11" s="82">
        <f t="shared" si="4"/>
        <v>8.5705693664795551E-3</v>
      </c>
    </row>
    <row r="12" spans="2:18" x14ac:dyDescent="0.3">
      <c r="B12" t="s">
        <v>1184</v>
      </c>
      <c r="I12" s="64">
        <v>2025</v>
      </c>
      <c r="J12" s="34">
        <v>45658</v>
      </c>
      <c r="K12" s="34">
        <v>46022</v>
      </c>
      <c r="L12" s="55">
        <f>N11 + COUNTIFS(EmployeeData[Join Date], "&gt;="&amp;J12, EmployeeData[Join Date], "&lt;="&amp;K12)</f>
        <v>841</v>
      </c>
      <c r="M12">
        <f>COUNTIFS(EmployeeData[Exit Date], "&gt;="&amp;J12, EmployeeData[Exit Date], "&lt;="&amp;K12)</f>
        <v>116</v>
      </c>
      <c r="N12">
        <f t="shared" si="0"/>
        <v>725</v>
      </c>
      <c r="O12">
        <f t="shared" si="2"/>
        <v>718.5</v>
      </c>
      <c r="P12" s="78">
        <f t="shared" si="3"/>
        <v>1.8258426966292134E-2</v>
      </c>
      <c r="Q12" s="78">
        <f t="shared" si="1"/>
        <v>0.16144745998608212</v>
      </c>
      <c r="R12" s="82">
        <f t="shared" si="4"/>
        <v>5.8249785567477466E-2</v>
      </c>
    </row>
    <row r="13" spans="2:18" x14ac:dyDescent="0.3">
      <c r="I13" s="76">
        <v>2026</v>
      </c>
      <c r="J13" s="34">
        <v>46023</v>
      </c>
      <c r="K13" s="34">
        <v>46387</v>
      </c>
      <c r="L13" s="55">
        <f>N12 + COUNTIFS(EmployeeData[Join Date], "&gt;="&amp;J13, EmployeeData[Join Date], "&lt;="&amp;K13)</f>
        <v>725</v>
      </c>
      <c r="M13">
        <f>COUNTIFS(EmployeeData[Exit Date], "&gt;="&amp;J13, EmployeeData[Exit Date], "&lt;="&amp;K13)</f>
        <v>58</v>
      </c>
      <c r="N13">
        <f t="shared" si="0"/>
        <v>667</v>
      </c>
      <c r="O13">
        <f t="shared" si="2"/>
        <v>696</v>
      </c>
      <c r="P13" s="78">
        <f t="shared" si="3"/>
        <v>-0.08</v>
      </c>
      <c r="Q13" s="78">
        <f t="shared" si="1"/>
        <v>8.3333333333333329E-2</v>
      </c>
      <c r="R13" s="82">
        <f t="shared" si="4"/>
        <v>-7.8114126652748792E-2</v>
      </c>
    </row>
    <row r="14" spans="2:18" x14ac:dyDescent="0.3">
      <c r="B14" t="s">
        <v>1182</v>
      </c>
      <c r="C14" t="s">
        <v>18</v>
      </c>
      <c r="D14" t="s">
        <v>18</v>
      </c>
      <c r="E14" t="s">
        <v>13</v>
      </c>
    </row>
    <row r="15" spans="2:18" x14ac:dyDescent="0.3">
      <c r="B15" t="s">
        <v>1177</v>
      </c>
      <c r="C15">
        <f>GETPIVOTDATA("Employee ID",'PIVOT TABLES'!$AL$4,"Age bracket","20s","Status","Active")</f>
        <v>153</v>
      </c>
      <c r="D15">
        <f>-C15</f>
        <v>-153</v>
      </c>
      <c r="E15">
        <f>GETPIVOTDATA("Employee ID",'PIVOT TABLES'!$AL$4,"Age bracket","20s","Status","Exited")</f>
        <v>92</v>
      </c>
    </row>
    <row r="16" spans="2:18" x14ac:dyDescent="0.3">
      <c r="B16" t="s">
        <v>1178</v>
      </c>
      <c r="C16">
        <f>GETPIVOTDATA("Employee ID",'PIVOT TABLES'!$AL$4,"Age bracket","30s","Status","Active")</f>
        <v>162</v>
      </c>
      <c r="D16">
        <f t="shared" ref="D16:D18" si="5">-C16</f>
        <v>-162</v>
      </c>
      <c r="E16">
        <f>GETPIVOTDATA("Employee ID",'PIVOT TABLES'!$AL$4,"Age bracket","30s","Status","Exited")</f>
        <v>83</v>
      </c>
    </row>
    <row r="17" spans="2:5" x14ac:dyDescent="0.3">
      <c r="B17" t="s">
        <v>1179</v>
      </c>
      <c r="C17">
        <f>GETPIVOTDATA("Employee ID",'PIVOT TABLES'!$AL$4,"Age bracket","40s","Status","Active")</f>
        <v>198</v>
      </c>
      <c r="D17">
        <f t="shared" si="5"/>
        <v>-198</v>
      </c>
      <c r="E17">
        <f>GETPIVOTDATA("Employee ID",'PIVOT TABLES'!$AL$4,"Age bracket","40s","Status","Exited")</f>
        <v>101</v>
      </c>
    </row>
    <row r="18" spans="2:5" x14ac:dyDescent="0.3">
      <c r="B18" t="s">
        <v>1180</v>
      </c>
      <c r="C18">
        <f>GETPIVOTDATA("Employee ID",'PIVOT TABLES'!$AL$4,"Age bracket","50s","Status","Active")</f>
        <v>154</v>
      </c>
      <c r="D18">
        <f t="shared" si="5"/>
        <v>-154</v>
      </c>
      <c r="E18">
        <f>GETPIVOTDATA("Employee ID",'PIVOT TABLES'!$AL$4,"Age bracket","50s","Status","Exited")</f>
        <v>119</v>
      </c>
    </row>
    <row r="19" spans="2:5" x14ac:dyDescent="0.3">
      <c r="B19" t="s">
        <v>1181</v>
      </c>
      <c r="E19">
        <f>GETPIVOTDATA("Employee ID",'PIVOT TABLES'!$AL$4,"Age bracket","60s","Status","Exited")</f>
        <v>19</v>
      </c>
    </row>
  </sheetData>
  <conditionalFormatting sqref="R5:R13">
    <cfRule type="iconSet" priority="1">
      <iconSet iconSet="3Signs" reverse="1">
        <cfvo type="percent" val="0"/>
        <cfvo type="num" val="0" gte="0"/>
        <cfvo type="num" val="1E-4" gte="0"/>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160582-35AF-4B8F-BB72-D0D46615B7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Employee Data</vt:lpstr>
      <vt:lpstr>helpers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 Villanueva</dc:creator>
  <cp:lastModifiedBy>Jm Villanueva</cp:lastModifiedBy>
  <cp:lastPrinted>2026-06-18T14:47:27Z</cp:lastPrinted>
  <dcterms:created xsi:type="dcterms:W3CDTF">2026-06-11T11:52:43Z</dcterms:created>
  <dcterms:modified xsi:type="dcterms:W3CDTF">2026-06-24T18:47:39Z</dcterms:modified>
</cp:coreProperties>
</file>